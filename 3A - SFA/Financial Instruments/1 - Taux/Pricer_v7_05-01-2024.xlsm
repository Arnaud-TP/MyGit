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ton\Mon Drive\DiFiQ - Cours\N1 - Produits de taux\2025\"/>
    </mc:Choice>
  </mc:AlternateContent>
  <xr:revisionPtr revIDLastSave="0" documentId="13_ncr:1_{5F16ED37-9C42-4563-A86B-24EAF2551340}" xr6:coauthVersionLast="47" xr6:coauthVersionMax="47" xr10:uidLastSave="{00000000-0000-0000-0000-000000000000}"/>
  <bookViews>
    <workbookView xWindow="-103" yWindow="-103" windowWidth="24892" windowHeight="15634" activeTab="2" xr2:uid="{00000000-000D-0000-FFFF-FFFF00000000}"/>
  </bookViews>
  <sheets>
    <sheet name="Courbe des taux" sheetId="1" r:id="rId1"/>
    <sheet name="Market vols" sheetId="23" r:id="rId2"/>
    <sheet name="Swap" sheetId="13" r:id="rId3"/>
    <sheet name="Cap &amp; Floor" sheetId="14" r:id="rId4"/>
    <sheet name="Tunnel" sheetId="16" r:id="rId5"/>
    <sheet name="Swaption" sheetId="17" r:id="rId6"/>
    <sheet name="Hedge" sheetId="21" r:id="rId7"/>
  </sheets>
  <functionGroups builtInGroupCount="19"/>
  <definedNames>
    <definedName name="Maturities">'Courbe des taux'!$I$9:$I$41</definedName>
    <definedName name="PortfolioPV">Hedge!$C$2</definedName>
    <definedName name="ZcRates">'Courbe des taux'!$L$9:$L$41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9" i="13" l="1"/>
  <c r="C20" i="13" s="1"/>
  <c r="AG2" i="13"/>
  <c r="AG1" i="13"/>
  <c r="B7" i="21"/>
  <c r="C7" i="21"/>
  <c r="B8" i="21"/>
  <c r="C8" i="21"/>
  <c r="B9" i="21"/>
  <c r="C9" i="21"/>
  <c r="B10" i="21"/>
  <c r="C10" i="21"/>
  <c r="B11" i="21"/>
  <c r="C11" i="21"/>
  <c r="B12" i="21"/>
  <c r="C12" i="21"/>
  <c r="B13" i="21"/>
  <c r="C13" i="21"/>
  <c r="B14" i="21"/>
  <c r="C14" i="21"/>
  <c r="B15" i="21"/>
  <c r="C15" i="21"/>
  <c r="B16" i="21"/>
  <c r="C16" i="21"/>
  <c r="B17" i="21"/>
  <c r="C17" i="21"/>
  <c r="B18" i="21"/>
  <c r="C18" i="21"/>
  <c r="B19" i="21"/>
  <c r="C19" i="21"/>
  <c r="B20" i="21"/>
  <c r="C20" i="21"/>
  <c r="B21" i="21"/>
  <c r="C21" i="21"/>
  <c r="B22" i="21"/>
  <c r="C22" i="21"/>
  <c r="B23" i="21"/>
  <c r="C23" i="21"/>
  <c r="B24" i="21"/>
  <c r="C24" i="21"/>
  <c r="B25" i="21"/>
  <c r="C25" i="21"/>
  <c r="B26" i="21"/>
  <c r="C26" i="21"/>
  <c r="B27" i="21"/>
  <c r="C27" i="21"/>
  <c r="B28" i="21"/>
  <c r="C28" i="21"/>
  <c r="B29" i="21"/>
  <c r="C29" i="21"/>
  <c r="B30" i="21"/>
  <c r="C30" i="21"/>
  <c r="B31" i="21"/>
  <c r="C31" i="21"/>
  <c r="B32" i="21"/>
  <c r="C32" i="21"/>
  <c r="B33" i="21"/>
  <c r="C33" i="21"/>
  <c r="B34" i="21"/>
  <c r="C34" i="21"/>
  <c r="B35" i="21"/>
  <c r="C35" i="21"/>
  <c r="B36" i="21"/>
  <c r="C36" i="21"/>
  <c r="B37" i="21"/>
  <c r="C37" i="21"/>
  <c r="B38" i="21"/>
  <c r="C38" i="21"/>
  <c r="B39" i="21"/>
  <c r="C39" i="21"/>
  <c r="B40" i="21"/>
  <c r="C40" i="21"/>
  <c r="D20" i="13" l="1"/>
  <c r="C21" i="13" s="1"/>
  <c r="D21" i="13" s="1"/>
  <c r="I42" i="16"/>
  <c r="J42" i="16"/>
  <c r="I43" i="16"/>
  <c r="J43" i="16"/>
  <c r="I44" i="16"/>
  <c r="J44" i="16"/>
  <c r="I45" i="16"/>
  <c r="J45" i="16"/>
  <c r="I46" i="16"/>
  <c r="J46" i="16"/>
  <c r="I47" i="16"/>
  <c r="J47" i="16"/>
  <c r="I48" i="16"/>
  <c r="J48" i="16"/>
  <c r="I49" i="16"/>
  <c r="J49" i="16"/>
  <c r="I50" i="16"/>
  <c r="J50" i="16"/>
  <c r="I51" i="16"/>
  <c r="J51" i="16"/>
  <c r="I52" i="16"/>
  <c r="J52" i="16"/>
  <c r="I53" i="16"/>
  <c r="J53" i="16"/>
  <c r="I54" i="16"/>
  <c r="J54" i="16"/>
  <c r="I55" i="16"/>
  <c r="J55" i="16"/>
  <c r="I56" i="16"/>
  <c r="J56" i="16"/>
  <c r="I57" i="16"/>
  <c r="J57" i="16"/>
  <c r="I58" i="16"/>
  <c r="J58" i="16"/>
  <c r="I59" i="16"/>
  <c r="J59" i="16"/>
  <c r="I60" i="16"/>
  <c r="J60" i="16"/>
  <c r="I61" i="16"/>
  <c r="J61" i="16"/>
  <c r="I62" i="16"/>
  <c r="J62" i="16"/>
  <c r="I63" i="16"/>
  <c r="J63" i="16"/>
  <c r="I64" i="16"/>
  <c r="J64" i="16"/>
  <c r="I65" i="16"/>
  <c r="J65" i="16"/>
  <c r="I66" i="16"/>
  <c r="J66" i="16"/>
  <c r="I67" i="16"/>
  <c r="J67" i="16"/>
  <c r="I68" i="16"/>
  <c r="J68" i="16"/>
  <c r="I69" i="16"/>
  <c r="J69" i="16"/>
  <c r="I70" i="16"/>
  <c r="J70" i="16"/>
  <c r="I71" i="16"/>
  <c r="J71" i="16"/>
  <c r="I72" i="16"/>
  <c r="J72" i="16"/>
  <c r="I73" i="16"/>
  <c r="J73" i="16"/>
  <c r="I74" i="16"/>
  <c r="J74" i="16"/>
  <c r="I75" i="16"/>
  <c r="J75" i="16"/>
  <c r="I76" i="16"/>
  <c r="J76" i="16"/>
  <c r="I77" i="16"/>
  <c r="J77" i="16"/>
  <c r="I78" i="16"/>
  <c r="J78" i="16"/>
  <c r="I79" i="16"/>
  <c r="J79" i="16"/>
  <c r="I80" i="16"/>
  <c r="J80" i="16"/>
  <c r="I81" i="16"/>
  <c r="J81" i="16"/>
  <c r="I82" i="16"/>
  <c r="J82" i="16"/>
  <c r="I83" i="16"/>
  <c r="J83" i="16"/>
  <c r="I84" i="16"/>
  <c r="J84" i="16"/>
  <c r="I85" i="16"/>
  <c r="J85" i="16"/>
  <c r="I86" i="16"/>
  <c r="J86" i="16"/>
  <c r="I87" i="16"/>
  <c r="J87" i="16"/>
  <c r="I88" i="16"/>
  <c r="J88" i="16"/>
  <c r="I89" i="16"/>
  <c r="J89" i="16"/>
  <c r="I90" i="16"/>
  <c r="J90" i="16"/>
  <c r="I91" i="16"/>
  <c r="J91" i="16"/>
  <c r="I92" i="16"/>
  <c r="J92" i="16"/>
  <c r="I93" i="16"/>
  <c r="J93" i="16"/>
  <c r="I94" i="16"/>
  <c r="J94" i="16"/>
  <c r="I95" i="16"/>
  <c r="J95" i="16"/>
  <c r="I96" i="16"/>
  <c r="J96" i="16"/>
  <c r="I97" i="16"/>
  <c r="J97" i="16"/>
  <c r="I98" i="16"/>
  <c r="J98" i="16"/>
  <c r="I99" i="16"/>
  <c r="J99" i="16"/>
  <c r="I100" i="16"/>
  <c r="J100" i="16"/>
  <c r="I101" i="16"/>
  <c r="J101" i="16"/>
  <c r="I102" i="16"/>
  <c r="J102" i="16"/>
  <c r="I103" i="16"/>
  <c r="J103" i="16"/>
  <c r="I104" i="16"/>
  <c r="J104" i="16"/>
  <c r="I105" i="16"/>
  <c r="J105" i="16"/>
  <c r="I106" i="16"/>
  <c r="J106" i="16"/>
  <c r="I107" i="16"/>
  <c r="J107" i="16"/>
  <c r="I108" i="16"/>
  <c r="J108" i="16"/>
  <c r="I109" i="16"/>
  <c r="J109" i="16"/>
  <c r="I110" i="16"/>
  <c r="J110" i="16"/>
  <c r="I111" i="16"/>
  <c r="J111" i="16"/>
  <c r="I112" i="16"/>
  <c r="J112" i="16"/>
  <c r="I113" i="16"/>
  <c r="J113" i="16"/>
  <c r="I114" i="16"/>
  <c r="J114" i="16"/>
  <c r="I115" i="16"/>
  <c r="J115" i="16"/>
  <c r="I116" i="16"/>
  <c r="J116" i="16"/>
  <c r="I117" i="16"/>
  <c r="J117" i="16"/>
  <c r="I118" i="16"/>
  <c r="J118" i="16"/>
  <c r="I119" i="16"/>
  <c r="J119" i="16"/>
  <c r="I120" i="16"/>
  <c r="J120" i="16"/>
  <c r="I121" i="16"/>
  <c r="J121" i="16"/>
  <c r="I122" i="16"/>
  <c r="J122" i="16"/>
  <c r="I123" i="16"/>
  <c r="J123" i="16"/>
  <c r="I124" i="16"/>
  <c r="J124" i="16"/>
  <c r="I125" i="16"/>
  <c r="J125" i="16"/>
  <c r="I126" i="16"/>
  <c r="J126" i="16"/>
  <c r="I127" i="16"/>
  <c r="J127" i="16"/>
  <c r="I128" i="16"/>
  <c r="J128" i="16"/>
  <c r="I129" i="16"/>
  <c r="J129" i="16"/>
  <c r="I130" i="16"/>
  <c r="J130" i="16"/>
  <c r="I131" i="16"/>
  <c r="J131" i="16"/>
  <c r="I132" i="16"/>
  <c r="J132" i="16"/>
  <c r="I133" i="16"/>
  <c r="J133" i="16"/>
  <c r="I134" i="16"/>
  <c r="J134" i="16"/>
  <c r="I135" i="16"/>
  <c r="J135" i="16"/>
  <c r="I136" i="16"/>
  <c r="J136" i="16"/>
  <c r="I137" i="16"/>
  <c r="J137" i="16"/>
  <c r="I138" i="16"/>
  <c r="J138" i="16"/>
  <c r="I139" i="16"/>
  <c r="J139" i="16"/>
  <c r="I140" i="16"/>
  <c r="J140" i="16"/>
  <c r="I141" i="16"/>
  <c r="J141" i="16"/>
  <c r="I39" i="14"/>
  <c r="J39" i="14"/>
  <c r="I40" i="14"/>
  <c r="J40" i="14"/>
  <c r="I41" i="14"/>
  <c r="J41" i="14"/>
  <c r="I42" i="14"/>
  <c r="J42" i="14"/>
  <c r="I43" i="14"/>
  <c r="J43" i="14"/>
  <c r="I44" i="14"/>
  <c r="J44" i="14"/>
  <c r="I45" i="14"/>
  <c r="J45" i="14"/>
  <c r="I46" i="14"/>
  <c r="J46" i="14"/>
  <c r="I47" i="14"/>
  <c r="J47" i="14"/>
  <c r="I48" i="14"/>
  <c r="J48" i="14"/>
  <c r="I49" i="14"/>
  <c r="J49" i="14"/>
  <c r="I50" i="14"/>
  <c r="J50" i="14"/>
  <c r="I51" i="14"/>
  <c r="J51" i="14"/>
  <c r="I52" i="14"/>
  <c r="J52" i="14"/>
  <c r="I53" i="14"/>
  <c r="J53" i="14"/>
  <c r="I54" i="14"/>
  <c r="J54" i="14"/>
  <c r="I55" i="14"/>
  <c r="J55" i="14"/>
  <c r="I56" i="14"/>
  <c r="J56" i="14"/>
  <c r="I57" i="14"/>
  <c r="J57" i="14"/>
  <c r="I58" i="14"/>
  <c r="J58" i="14"/>
  <c r="I59" i="14"/>
  <c r="J59" i="14"/>
  <c r="I60" i="14"/>
  <c r="J60" i="14"/>
  <c r="I61" i="14"/>
  <c r="J61" i="14"/>
  <c r="I62" i="14"/>
  <c r="J62" i="14"/>
  <c r="I63" i="14"/>
  <c r="J63" i="14"/>
  <c r="I64" i="14"/>
  <c r="J64" i="14"/>
  <c r="I65" i="14"/>
  <c r="J65" i="14"/>
  <c r="I66" i="14"/>
  <c r="J66" i="14"/>
  <c r="I67" i="14"/>
  <c r="J67" i="14"/>
  <c r="I68" i="14"/>
  <c r="J68" i="14"/>
  <c r="I69" i="14"/>
  <c r="J69" i="14"/>
  <c r="I70" i="14"/>
  <c r="J70" i="14"/>
  <c r="I71" i="14"/>
  <c r="J71" i="14"/>
  <c r="I72" i="14"/>
  <c r="J72" i="14"/>
  <c r="I73" i="14"/>
  <c r="J73" i="14"/>
  <c r="I74" i="14"/>
  <c r="J74" i="14"/>
  <c r="I75" i="14"/>
  <c r="J75" i="14"/>
  <c r="I76" i="14"/>
  <c r="J76" i="14"/>
  <c r="I77" i="14"/>
  <c r="J77" i="14"/>
  <c r="I78" i="14"/>
  <c r="J78" i="14"/>
  <c r="I79" i="14"/>
  <c r="J79" i="14"/>
  <c r="I80" i="14"/>
  <c r="J80" i="14"/>
  <c r="I81" i="14"/>
  <c r="J81" i="14"/>
  <c r="I82" i="14"/>
  <c r="J82" i="14"/>
  <c r="I83" i="14"/>
  <c r="J83" i="14"/>
  <c r="I84" i="14"/>
  <c r="J84" i="14"/>
  <c r="I85" i="14"/>
  <c r="J85" i="14"/>
  <c r="I86" i="14"/>
  <c r="J86" i="14"/>
  <c r="I87" i="14"/>
  <c r="J87" i="14"/>
  <c r="I88" i="14"/>
  <c r="J88" i="14"/>
  <c r="I89" i="14"/>
  <c r="J89" i="14"/>
  <c r="I90" i="14"/>
  <c r="J90" i="14"/>
  <c r="I91" i="14"/>
  <c r="J91" i="14"/>
  <c r="I92" i="14"/>
  <c r="J92" i="14"/>
  <c r="I93" i="14"/>
  <c r="J93" i="14"/>
  <c r="I94" i="14"/>
  <c r="J94" i="14"/>
  <c r="I95" i="14"/>
  <c r="J95" i="14"/>
  <c r="I96" i="14"/>
  <c r="J96" i="14"/>
  <c r="I97" i="14"/>
  <c r="J97" i="14"/>
  <c r="I98" i="14"/>
  <c r="J98" i="14"/>
  <c r="I99" i="14"/>
  <c r="J99" i="14"/>
  <c r="I100" i="14"/>
  <c r="J100" i="14"/>
  <c r="I101" i="14"/>
  <c r="J101" i="14"/>
  <c r="I102" i="14"/>
  <c r="J102" i="14"/>
  <c r="I103" i="14"/>
  <c r="J103" i="14"/>
  <c r="I104" i="14"/>
  <c r="J104" i="14"/>
  <c r="I105" i="14"/>
  <c r="J105" i="14"/>
  <c r="I106" i="14"/>
  <c r="J106" i="14"/>
  <c r="I107" i="14"/>
  <c r="J107" i="14"/>
  <c r="I108" i="14"/>
  <c r="J108" i="14"/>
  <c r="I109" i="14"/>
  <c r="J109" i="14"/>
  <c r="I110" i="14"/>
  <c r="J110" i="14"/>
  <c r="I111" i="14"/>
  <c r="J111" i="14"/>
  <c r="I112" i="14"/>
  <c r="J112" i="14"/>
  <c r="I113" i="14"/>
  <c r="J113" i="14"/>
  <c r="I114" i="14"/>
  <c r="J114" i="14"/>
  <c r="I115" i="14"/>
  <c r="J115" i="14"/>
  <c r="I116" i="14"/>
  <c r="J116" i="14"/>
  <c r="I117" i="14"/>
  <c r="J117" i="14"/>
  <c r="I118" i="14"/>
  <c r="J118" i="14"/>
  <c r="I119" i="14"/>
  <c r="J119" i="14"/>
  <c r="I120" i="14"/>
  <c r="J120" i="14"/>
  <c r="I121" i="14"/>
  <c r="J121" i="14"/>
  <c r="I122" i="14"/>
  <c r="J122" i="14"/>
  <c r="I123" i="14"/>
  <c r="J123" i="14"/>
  <c r="I124" i="14"/>
  <c r="J124" i="14"/>
  <c r="I125" i="14"/>
  <c r="J125" i="14"/>
  <c r="I126" i="14"/>
  <c r="J126" i="14"/>
  <c r="I127" i="14"/>
  <c r="J127" i="14"/>
  <c r="I128" i="14"/>
  <c r="J128" i="14"/>
  <c r="I129" i="14"/>
  <c r="J129" i="14"/>
  <c r="I130" i="14"/>
  <c r="J130" i="14"/>
  <c r="I131" i="14"/>
  <c r="J131" i="14"/>
  <c r="I132" i="14"/>
  <c r="J132" i="14"/>
  <c r="I133" i="14"/>
  <c r="J133" i="14"/>
  <c r="I134" i="14"/>
  <c r="J134" i="14"/>
  <c r="I135" i="14"/>
  <c r="J135" i="14"/>
  <c r="I136" i="14"/>
  <c r="J136" i="14"/>
  <c r="I137" i="14"/>
  <c r="J137" i="14"/>
  <c r="I138" i="14"/>
  <c r="J138" i="14"/>
  <c r="AC252" i="14"/>
  <c r="AB252" i="14"/>
  <c r="AC251" i="14"/>
  <c r="AB251" i="14"/>
  <c r="AC250" i="14"/>
  <c r="AB250" i="14"/>
  <c r="AC249" i="14"/>
  <c r="AB249" i="14"/>
  <c r="AC248" i="14"/>
  <c r="AB248" i="14"/>
  <c r="AC247" i="14"/>
  <c r="AB247" i="14"/>
  <c r="AC246" i="14"/>
  <c r="AB246" i="14"/>
  <c r="AC245" i="14"/>
  <c r="AB245" i="14"/>
  <c r="AC244" i="14"/>
  <c r="AB244" i="14"/>
  <c r="AC243" i="14"/>
  <c r="AB243" i="14"/>
  <c r="AC242" i="14"/>
  <c r="AB242" i="14"/>
  <c r="AC241" i="14"/>
  <c r="AB241" i="14"/>
  <c r="AC240" i="14"/>
  <c r="AB240" i="14"/>
  <c r="AC239" i="14"/>
  <c r="AB239" i="14"/>
  <c r="AC238" i="14"/>
  <c r="AB238" i="14"/>
  <c r="AC237" i="14"/>
  <c r="AB237" i="14"/>
  <c r="AC236" i="14"/>
  <c r="AB236" i="14"/>
  <c r="AC235" i="14"/>
  <c r="AB235" i="14"/>
  <c r="AC234" i="14"/>
  <c r="AB234" i="14"/>
  <c r="AC233" i="14"/>
  <c r="AB233" i="14"/>
  <c r="AC232" i="14"/>
  <c r="AB232" i="14"/>
  <c r="AC231" i="14"/>
  <c r="AB231" i="14"/>
  <c r="AC230" i="14"/>
  <c r="AB230" i="14"/>
  <c r="AC229" i="14"/>
  <c r="AB229" i="14"/>
  <c r="AC228" i="14"/>
  <c r="AB228" i="14"/>
  <c r="AC227" i="14"/>
  <c r="AB227" i="14"/>
  <c r="AC226" i="14"/>
  <c r="AB226" i="14"/>
  <c r="AC225" i="14"/>
  <c r="AB225" i="14"/>
  <c r="AC224" i="14"/>
  <c r="AB224" i="14"/>
  <c r="AC223" i="14"/>
  <c r="AB223" i="14"/>
  <c r="AC222" i="14"/>
  <c r="AB222" i="14"/>
  <c r="AC221" i="14"/>
  <c r="AB221" i="14"/>
  <c r="AC220" i="14"/>
  <c r="AB220" i="14"/>
  <c r="AC219" i="14"/>
  <c r="AB219" i="14"/>
  <c r="AC218" i="14"/>
  <c r="AB218" i="14"/>
  <c r="AC217" i="14"/>
  <c r="AB217" i="14"/>
  <c r="AC216" i="14"/>
  <c r="AB216" i="14"/>
  <c r="AC215" i="14"/>
  <c r="AB215" i="14"/>
  <c r="AC214" i="14"/>
  <c r="AB214" i="14"/>
  <c r="AC213" i="14"/>
  <c r="AB213" i="14"/>
  <c r="AC212" i="14"/>
  <c r="AB212" i="14"/>
  <c r="AC211" i="14"/>
  <c r="AB211" i="14"/>
  <c r="AC210" i="14"/>
  <c r="AB210" i="14"/>
  <c r="AC209" i="14"/>
  <c r="AB209" i="14"/>
  <c r="AC208" i="14"/>
  <c r="AB208" i="14"/>
  <c r="AC207" i="14"/>
  <c r="AB207" i="14"/>
  <c r="AC206" i="14"/>
  <c r="AB206" i="14"/>
  <c r="AC205" i="14"/>
  <c r="AB205" i="14"/>
  <c r="AC204" i="14"/>
  <c r="AB204" i="14"/>
  <c r="AC203" i="14"/>
  <c r="AB203" i="14"/>
  <c r="AC202" i="14"/>
  <c r="AB202" i="14"/>
  <c r="AC201" i="14"/>
  <c r="AB201" i="14"/>
  <c r="AC200" i="14"/>
  <c r="AB200" i="14"/>
  <c r="AC199" i="14"/>
  <c r="AB199" i="14"/>
  <c r="AC198" i="14"/>
  <c r="AB198" i="14"/>
  <c r="AC197" i="14"/>
  <c r="AB197" i="14"/>
  <c r="AC196" i="14"/>
  <c r="AB196" i="14"/>
  <c r="AC195" i="14"/>
  <c r="AB195" i="14"/>
  <c r="AC194" i="14"/>
  <c r="AB194" i="14"/>
  <c r="AC193" i="14"/>
  <c r="AB193" i="14"/>
  <c r="AC192" i="14"/>
  <c r="AB192" i="14"/>
  <c r="AC191" i="14"/>
  <c r="AB191" i="14"/>
  <c r="AC190" i="14"/>
  <c r="AB190" i="14"/>
  <c r="AC189" i="14"/>
  <c r="AB189" i="14"/>
  <c r="AC188" i="14"/>
  <c r="AB188" i="14"/>
  <c r="AC187" i="14"/>
  <c r="AB187" i="14"/>
  <c r="AC186" i="14"/>
  <c r="AB186" i="14"/>
  <c r="AC185" i="14"/>
  <c r="AB185" i="14"/>
  <c r="AC184" i="14"/>
  <c r="AB184" i="14"/>
  <c r="AC183" i="14"/>
  <c r="AB183" i="14"/>
  <c r="AC182" i="14"/>
  <c r="AB182" i="14"/>
  <c r="AC181" i="14"/>
  <c r="AB181" i="14"/>
  <c r="AC180" i="14"/>
  <c r="AB180" i="14"/>
  <c r="AC179" i="14"/>
  <c r="AB179" i="14"/>
  <c r="AC178" i="14"/>
  <c r="AB178" i="14"/>
  <c r="AC177" i="14"/>
  <c r="AB177" i="14"/>
  <c r="AC176" i="14"/>
  <c r="AB176" i="14"/>
  <c r="AC175" i="14"/>
  <c r="AB175" i="14"/>
  <c r="AC174" i="14"/>
  <c r="AB174" i="14"/>
  <c r="AC173" i="14"/>
  <c r="AB173" i="14"/>
  <c r="AC172" i="14"/>
  <c r="AB172" i="14"/>
  <c r="AC171" i="14"/>
  <c r="AB171" i="14"/>
  <c r="AC170" i="14"/>
  <c r="AB170" i="14"/>
  <c r="AC169" i="14"/>
  <c r="AB169" i="14"/>
  <c r="AC168" i="14"/>
  <c r="AB168" i="14"/>
  <c r="AC167" i="14"/>
  <c r="AB167" i="14"/>
  <c r="AC166" i="14"/>
  <c r="AB166" i="14"/>
  <c r="AC165" i="14"/>
  <c r="AB165" i="14"/>
  <c r="AC164" i="14"/>
  <c r="AB164" i="14"/>
  <c r="AC163" i="14"/>
  <c r="AB163" i="14"/>
  <c r="AC162" i="14"/>
  <c r="AB162" i="14"/>
  <c r="AC161" i="14"/>
  <c r="AB161" i="14"/>
  <c r="AC160" i="14"/>
  <c r="AB160" i="14"/>
  <c r="AC159" i="14"/>
  <c r="AB159" i="14"/>
  <c r="AC158" i="14"/>
  <c r="AB158" i="14"/>
  <c r="AC157" i="14"/>
  <c r="AB157" i="14"/>
  <c r="AC156" i="14"/>
  <c r="AB156" i="14"/>
  <c r="AC155" i="14"/>
  <c r="AB155" i="14"/>
  <c r="AC154" i="14"/>
  <c r="AB154" i="14"/>
  <c r="AC153" i="14"/>
  <c r="AB153" i="14"/>
  <c r="AC152" i="14"/>
  <c r="AB152" i="14"/>
  <c r="AC151" i="14"/>
  <c r="AB151" i="14"/>
  <c r="AC150" i="14"/>
  <c r="AB150" i="14"/>
  <c r="AC149" i="14"/>
  <c r="AB149" i="14"/>
  <c r="AC148" i="14"/>
  <c r="AB148" i="14"/>
  <c r="AC147" i="14"/>
  <c r="AB147" i="14"/>
  <c r="AC146" i="14"/>
  <c r="AB146" i="14"/>
  <c r="AC145" i="14"/>
  <c r="AB145" i="14"/>
  <c r="AC144" i="14"/>
  <c r="AB144" i="14"/>
  <c r="AC143" i="14"/>
  <c r="AB143" i="14"/>
  <c r="AC142" i="14"/>
  <c r="AB142" i="14"/>
  <c r="AC141" i="14"/>
  <c r="AB141" i="14"/>
  <c r="AC140" i="14"/>
  <c r="AB140" i="14"/>
  <c r="AC139" i="14"/>
  <c r="AB139" i="14"/>
  <c r="AD138" i="14"/>
  <c r="AC138" i="14"/>
  <c r="K138" i="14"/>
  <c r="AD137" i="14"/>
  <c r="AC137" i="14"/>
  <c r="K137" i="14"/>
  <c r="AD136" i="14"/>
  <c r="AC136" i="14"/>
  <c r="K136" i="14"/>
  <c r="AD135" i="14"/>
  <c r="AC135" i="14"/>
  <c r="K135" i="14"/>
  <c r="AD134" i="14"/>
  <c r="AC134" i="14"/>
  <c r="K134" i="14"/>
  <c r="AD133" i="14"/>
  <c r="AC133" i="14"/>
  <c r="K133" i="14"/>
  <c r="AD132" i="14"/>
  <c r="AC132" i="14"/>
  <c r="K132" i="14"/>
  <c r="AD131" i="14"/>
  <c r="AC131" i="14"/>
  <c r="K131" i="14"/>
  <c r="AD130" i="14"/>
  <c r="AC130" i="14"/>
  <c r="K130" i="14"/>
  <c r="AD129" i="14"/>
  <c r="AC129" i="14"/>
  <c r="K129" i="14"/>
  <c r="AD128" i="14"/>
  <c r="AC128" i="14"/>
  <c r="K128" i="14"/>
  <c r="AD127" i="14"/>
  <c r="AC127" i="14"/>
  <c r="K127" i="14"/>
  <c r="AD126" i="14"/>
  <c r="AC126" i="14"/>
  <c r="K126" i="14"/>
  <c r="AD125" i="14"/>
  <c r="AC125" i="14"/>
  <c r="K125" i="14"/>
  <c r="AD124" i="14"/>
  <c r="AC124" i="14"/>
  <c r="K124" i="14"/>
  <c r="AD123" i="14"/>
  <c r="AC123" i="14"/>
  <c r="K123" i="14"/>
  <c r="AD122" i="14"/>
  <c r="AC122" i="14"/>
  <c r="K122" i="14"/>
  <c r="AD121" i="14"/>
  <c r="AC121" i="14"/>
  <c r="K121" i="14"/>
  <c r="AD120" i="14"/>
  <c r="AC120" i="14"/>
  <c r="K120" i="14"/>
  <c r="AD119" i="14"/>
  <c r="AC119" i="14"/>
  <c r="K119" i="14"/>
  <c r="AD118" i="14"/>
  <c r="AC118" i="14"/>
  <c r="K118" i="14"/>
  <c r="AD117" i="14"/>
  <c r="AC117" i="14"/>
  <c r="K117" i="14"/>
  <c r="AD116" i="14"/>
  <c r="AC116" i="14"/>
  <c r="K116" i="14"/>
  <c r="AD115" i="14"/>
  <c r="AC115" i="14"/>
  <c r="K115" i="14"/>
  <c r="AD114" i="14"/>
  <c r="AC114" i="14"/>
  <c r="K114" i="14"/>
  <c r="AD113" i="14"/>
  <c r="AC113" i="14"/>
  <c r="K113" i="14"/>
  <c r="AD112" i="14"/>
  <c r="AC112" i="14"/>
  <c r="K112" i="14"/>
  <c r="AD111" i="14"/>
  <c r="AC111" i="14"/>
  <c r="K111" i="14"/>
  <c r="AD110" i="14"/>
  <c r="AC110" i="14"/>
  <c r="K110" i="14"/>
  <c r="AD109" i="14"/>
  <c r="AC109" i="14"/>
  <c r="K109" i="14"/>
  <c r="AD108" i="14"/>
  <c r="AC108" i="14"/>
  <c r="K108" i="14"/>
  <c r="AD107" i="14"/>
  <c r="AC107" i="14"/>
  <c r="K107" i="14"/>
  <c r="AD106" i="14"/>
  <c r="AC106" i="14"/>
  <c r="K106" i="14"/>
  <c r="AD105" i="14"/>
  <c r="AC105" i="14"/>
  <c r="K105" i="14"/>
  <c r="AD104" i="14"/>
  <c r="AC104" i="14"/>
  <c r="K104" i="14"/>
  <c r="AD103" i="14"/>
  <c r="AC103" i="14"/>
  <c r="K103" i="14"/>
  <c r="AD102" i="14"/>
  <c r="AC102" i="14"/>
  <c r="K102" i="14"/>
  <c r="AD101" i="14"/>
  <c r="AC101" i="14"/>
  <c r="K101" i="14"/>
  <c r="AD100" i="14"/>
  <c r="AC100" i="14"/>
  <c r="K100" i="14"/>
  <c r="AD99" i="14"/>
  <c r="AC99" i="14"/>
  <c r="K99" i="14"/>
  <c r="AD98" i="14"/>
  <c r="AC98" i="14"/>
  <c r="K98" i="14"/>
  <c r="AD97" i="14"/>
  <c r="AC97" i="14"/>
  <c r="K97" i="14"/>
  <c r="AD96" i="14"/>
  <c r="AC96" i="14"/>
  <c r="K96" i="14"/>
  <c r="AD95" i="14"/>
  <c r="AC95" i="14"/>
  <c r="K95" i="14"/>
  <c r="AD94" i="14"/>
  <c r="AC94" i="14"/>
  <c r="K94" i="14"/>
  <c r="AD93" i="14"/>
  <c r="AC93" i="14"/>
  <c r="K93" i="14"/>
  <c r="AD92" i="14"/>
  <c r="AC92" i="14"/>
  <c r="K92" i="14"/>
  <c r="AD91" i="14"/>
  <c r="AC91" i="14"/>
  <c r="K91" i="14"/>
  <c r="AD90" i="14"/>
  <c r="AC90" i="14"/>
  <c r="K90" i="14"/>
  <c r="AD89" i="14"/>
  <c r="AC89" i="14"/>
  <c r="K89" i="14"/>
  <c r="AD88" i="14"/>
  <c r="AC88" i="14"/>
  <c r="K88" i="14"/>
  <c r="AD87" i="14"/>
  <c r="AC87" i="14"/>
  <c r="K87" i="14"/>
  <c r="AD86" i="14"/>
  <c r="AC86" i="14"/>
  <c r="K86" i="14"/>
  <c r="AD85" i="14"/>
  <c r="AC85" i="14"/>
  <c r="K85" i="14"/>
  <c r="AD84" i="14"/>
  <c r="AC84" i="14"/>
  <c r="K84" i="14"/>
  <c r="AD83" i="14"/>
  <c r="AC83" i="14"/>
  <c r="K83" i="14"/>
  <c r="AD82" i="14"/>
  <c r="AC82" i="14"/>
  <c r="K82" i="14"/>
  <c r="AD81" i="14"/>
  <c r="AC81" i="14"/>
  <c r="K81" i="14"/>
  <c r="AD80" i="14"/>
  <c r="AC80" i="14"/>
  <c r="K80" i="14"/>
  <c r="AD79" i="14"/>
  <c r="AC79" i="14"/>
  <c r="K79" i="14"/>
  <c r="AD78" i="14"/>
  <c r="AC78" i="14"/>
  <c r="K78" i="14"/>
  <c r="AD77" i="14"/>
  <c r="AC77" i="14"/>
  <c r="K77" i="14"/>
  <c r="AD76" i="14"/>
  <c r="AC76" i="14"/>
  <c r="K76" i="14"/>
  <c r="AD75" i="14"/>
  <c r="AC75" i="14"/>
  <c r="K75" i="14"/>
  <c r="AD74" i="14"/>
  <c r="AC74" i="14"/>
  <c r="K74" i="14"/>
  <c r="AD73" i="14"/>
  <c r="AC73" i="14"/>
  <c r="K73" i="14"/>
  <c r="AD72" i="14"/>
  <c r="AC72" i="14"/>
  <c r="K72" i="14"/>
  <c r="AD71" i="14"/>
  <c r="AC71" i="14"/>
  <c r="K71" i="14"/>
  <c r="AD70" i="14"/>
  <c r="AC70" i="14"/>
  <c r="K70" i="14"/>
  <c r="AD69" i="14"/>
  <c r="AC69" i="14"/>
  <c r="K69" i="14"/>
  <c r="AD68" i="14"/>
  <c r="AC68" i="14"/>
  <c r="K68" i="14"/>
  <c r="AD67" i="14"/>
  <c r="AC67" i="14"/>
  <c r="K67" i="14"/>
  <c r="AD66" i="14"/>
  <c r="AC66" i="14"/>
  <c r="K66" i="14"/>
  <c r="AD65" i="14"/>
  <c r="AC65" i="14"/>
  <c r="K65" i="14"/>
  <c r="AD64" i="14"/>
  <c r="AC64" i="14"/>
  <c r="K64" i="14"/>
  <c r="AD63" i="14"/>
  <c r="AC63" i="14"/>
  <c r="K63" i="14"/>
  <c r="AD62" i="14"/>
  <c r="AC62" i="14"/>
  <c r="K62" i="14"/>
  <c r="AD61" i="14"/>
  <c r="AC61" i="14"/>
  <c r="K61" i="14"/>
  <c r="AD60" i="14"/>
  <c r="AC60" i="14"/>
  <c r="K60" i="14"/>
  <c r="AD59" i="14"/>
  <c r="AC59" i="14"/>
  <c r="K59" i="14"/>
  <c r="AD58" i="14"/>
  <c r="AC58" i="14"/>
  <c r="K58" i="14"/>
  <c r="AD57" i="14"/>
  <c r="AC57" i="14"/>
  <c r="K57" i="14"/>
  <c r="AD56" i="14"/>
  <c r="AC56" i="14"/>
  <c r="K56" i="14"/>
  <c r="AD55" i="14"/>
  <c r="AC55" i="14"/>
  <c r="K55" i="14"/>
  <c r="AD54" i="14"/>
  <c r="AC54" i="14"/>
  <c r="K54" i="14"/>
  <c r="AD53" i="14"/>
  <c r="AC53" i="14"/>
  <c r="K53" i="14"/>
  <c r="AD52" i="14"/>
  <c r="AC52" i="14"/>
  <c r="K52" i="14"/>
  <c r="AD51" i="14"/>
  <c r="AC51" i="14"/>
  <c r="K51" i="14"/>
  <c r="AD50" i="14"/>
  <c r="AC50" i="14"/>
  <c r="K50" i="14"/>
  <c r="AD49" i="14"/>
  <c r="AC49" i="14"/>
  <c r="K49" i="14"/>
  <c r="AD48" i="14"/>
  <c r="AC48" i="14"/>
  <c r="K48" i="14"/>
  <c r="AD47" i="14"/>
  <c r="AC47" i="14"/>
  <c r="K47" i="14"/>
  <c r="AD46" i="14"/>
  <c r="AC46" i="14"/>
  <c r="K46" i="14"/>
  <c r="AD45" i="14"/>
  <c r="AC45" i="14"/>
  <c r="K45" i="14"/>
  <c r="AD44" i="14"/>
  <c r="AC44" i="14"/>
  <c r="K44" i="14"/>
  <c r="AD43" i="14"/>
  <c r="AC43" i="14"/>
  <c r="K43" i="14"/>
  <c r="AD42" i="14"/>
  <c r="AC42" i="14"/>
  <c r="K42" i="14"/>
  <c r="AD41" i="14"/>
  <c r="AC41" i="14"/>
  <c r="K41" i="14"/>
  <c r="AD40" i="14"/>
  <c r="AC40" i="14"/>
  <c r="K40" i="14"/>
  <c r="AD39" i="14"/>
  <c r="AC39" i="14"/>
  <c r="K39" i="14"/>
  <c r="E14" i="1" l="1"/>
  <c r="J15" i="1" s="1"/>
  <c r="E12" i="1" l="1"/>
  <c r="E9" i="1"/>
  <c r="E10" i="1"/>
  <c r="E11" i="1"/>
  <c r="E13" i="1"/>
  <c r="E15" i="1"/>
  <c r="E16" i="1"/>
  <c r="E17" i="1"/>
  <c r="E18" i="1"/>
  <c r="E19" i="1"/>
  <c r="E20" i="1"/>
  <c r="E21" i="1"/>
  <c r="E22" i="1"/>
  <c r="E8" i="1"/>
  <c r="AB2" i="21" l="1"/>
  <c r="AB3" i="21" s="1"/>
  <c r="AA6" i="21" s="1"/>
  <c r="AA7" i="21" s="1"/>
  <c r="AA8" i="21" s="1"/>
  <c r="AA9" i="21" s="1"/>
  <c r="AA10" i="21" s="1"/>
  <c r="AA11" i="21" s="1"/>
  <c r="AA12" i="21" s="1"/>
  <c r="AA13" i="21" s="1"/>
  <c r="AA14" i="21" s="1"/>
  <c r="AA15" i="21" s="1"/>
  <c r="AA16" i="21" s="1"/>
  <c r="AA17" i="21" s="1"/>
  <c r="AA18" i="21" s="1"/>
  <c r="AA19" i="21" s="1"/>
  <c r="AA20" i="21" s="1"/>
  <c r="AA21" i="21" s="1"/>
  <c r="AA22" i="21" s="1"/>
  <c r="AA23" i="21" s="1"/>
  <c r="AA24" i="21" s="1"/>
  <c r="AA25" i="21" s="1"/>
  <c r="AA26" i="21" s="1"/>
  <c r="AA27" i="21" s="1"/>
  <c r="AA28" i="21" s="1"/>
  <c r="AA29" i="21" s="1"/>
  <c r="AA30" i="21" s="1"/>
  <c r="AA31" i="21" s="1"/>
  <c r="AA32" i="21" s="1"/>
  <c r="AA33" i="21" s="1"/>
  <c r="AA34" i="21" s="1"/>
  <c r="AA35" i="21" s="1"/>
  <c r="C6" i="21"/>
  <c r="AE40" i="21"/>
  <c r="AF40" i="21" s="1"/>
  <c r="AE39" i="21"/>
  <c r="AF39" i="21" s="1"/>
  <c r="AE38" i="21"/>
  <c r="AF38" i="21" s="1"/>
  <c r="AE37" i="21"/>
  <c r="AF37" i="21" s="1"/>
  <c r="AE36" i="21"/>
  <c r="AF36" i="21" s="1"/>
  <c r="AE35" i="21"/>
  <c r="AF35" i="21" s="1"/>
  <c r="AE34" i="21"/>
  <c r="AF34" i="21" s="1"/>
  <c r="AE33" i="21"/>
  <c r="AF33" i="21" s="1"/>
  <c r="AE32" i="21"/>
  <c r="AF32" i="21" s="1"/>
  <c r="AE31" i="21"/>
  <c r="AF31" i="21" s="1"/>
  <c r="AE30" i="21"/>
  <c r="AF30" i="21" s="1"/>
  <c r="AE29" i="21"/>
  <c r="AF29" i="21" s="1"/>
  <c r="AE28" i="21"/>
  <c r="AF28" i="21" s="1"/>
  <c r="AE27" i="21"/>
  <c r="AF27" i="21" s="1"/>
  <c r="AE26" i="21"/>
  <c r="AF26" i="21" s="1"/>
  <c r="AE25" i="21"/>
  <c r="AF25" i="21" s="1"/>
  <c r="AE24" i="21"/>
  <c r="AF24" i="21" s="1"/>
  <c r="AE23" i="21"/>
  <c r="AF23" i="21" s="1"/>
  <c r="AE22" i="21"/>
  <c r="AF22" i="21" s="1"/>
  <c r="AE21" i="21"/>
  <c r="AF21" i="21" s="1"/>
  <c r="AE20" i="21"/>
  <c r="AE19" i="21"/>
  <c r="AE18" i="21"/>
  <c r="AE17" i="21"/>
  <c r="AE16" i="21"/>
  <c r="AE15" i="21"/>
  <c r="AE14" i="21"/>
  <c r="AE13" i="21"/>
  <c r="AE12" i="21"/>
  <c r="AE11" i="21"/>
  <c r="AE10" i="21"/>
  <c r="AE9" i="21"/>
  <c r="B6" i="21"/>
  <c r="C2" i="13"/>
  <c r="C6" i="13" s="1"/>
  <c r="F6" i="13" s="1"/>
  <c r="M19" i="13" s="1"/>
  <c r="C2" i="14"/>
  <c r="V39" i="14"/>
  <c r="W39" i="14"/>
  <c r="X39" i="14"/>
  <c r="Y39" i="14"/>
  <c r="Z39" i="14"/>
  <c r="AA39" i="14"/>
  <c r="AB39" i="14"/>
  <c r="V40" i="14"/>
  <c r="W40" i="14"/>
  <c r="X40" i="14"/>
  <c r="Y40" i="14"/>
  <c r="Z40" i="14"/>
  <c r="AA40" i="14"/>
  <c r="AB40" i="14"/>
  <c r="V41" i="14"/>
  <c r="W41" i="14"/>
  <c r="X41" i="14"/>
  <c r="Y41" i="14"/>
  <c r="Z41" i="14"/>
  <c r="AA41" i="14"/>
  <c r="AB41" i="14"/>
  <c r="V42" i="14"/>
  <c r="W42" i="14"/>
  <c r="X42" i="14"/>
  <c r="Y42" i="14"/>
  <c r="Z42" i="14"/>
  <c r="AA42" i="14"/>
  <c r="AB42" i="14"/>
  <c r="V43" i="14"/>
  <c r="W43" i="14"/>
  <c r="X43" i="14"/>
  <c r="Y43" i="14"/>
  <c r="Z43" i="14"/>
  <c r="AA43" i="14"/>
  <c r="AB43" i="14"/>
  <c r="V44" i="14"/>
  <c r="W44" i="14"/>
  <c r="X44" i="14"/>
  <c r="Y44" i="14"/>
  <c r="Z44" i="14"/>
  <c r="AA44" i="14"/>
  <c r="AB44" i="14"/>
  <c r="V45" i="14"/>
  <c r="W45" i="14"/>
  <c r="X45" i="14"/>
  <c r="Y45" i="14"/>
  <c r="Z45" i="14"/>
  <c r="AA45" i="14"/>
  <c r="AB45" i="14"/>
  <c r="V46" i="14"/>
  <c r="W46" i="14"/>
  <c r="X46" i="14"/>
  <c r="Y46" i="14"/>
  <c r="Z46" i="14"/>
  <c r="AA46" i="14"/>
  <c r="AB46" i="14"/>
  <c r="V47" i="14"/>
  <c r="W47" i="14"/>
  <c r="X47" i="14"/>
  <c r="Y47" i="14"/>
  <c r="Z47" i="14"/>
  <c r="AA47" i="14"/>
  <c r="AB47" i="14"/>
  <c r="V48" i="14"/>
  <c r="W48" i="14"/>
  <c r="X48" i="14"/>
  <c r="Y48" i="14"/>
  <c r="Z48" i="14"/>
  <c r="AA48" i="14"/>
  <c r="AB48" i="14"/>
  <c r="V49" i="14"/>
  <c r="W49" i="14"/>
  <c r="X49" i="14"/>
  <c r="Y49" i="14"/>
  <c r="Z49" i="14"/>
  <c r="AA49" i="14"/>
  <c r="AB49" i="14"/>
  <c r="V50" i="14"/>
  <c r="W50" i="14"/>
  <c r="X50" i="14"/>
  <c r="Y50" i="14"/>
  <c r="Z50" i="14"/>
  <c r="AA50" i="14"/>
  <c r="AB50" i="14"/>
  <c r="V51" i="14"/>
  <c r="W51" i="14"/>
  <c r="X51" i="14"/>
  <c r="Y51" i="14"/>
  <c r="Z51" i="14"/>
  <c r="AA51" i="14"/>
  <c r="AB51" i="14"/>
  <c r="V52" i="14"/>
  <c r="W52" i="14"/>
  <c r="X52" i="14"/>
  <c r="Y52" i="14"/>
  <c r="Z52" i="14"/>
  <c r="AA52" i="14"/>
  <c r="AB52" i="14"/>
  <c r="V53" i="14"/>
  <c r="W53" i="14"/>
  <c r="X53" i="14"/>
  <c r="Y53" i="14"/>
  <c r="Z53" i="14"/>
  <c r="AA53" i="14"/>
  <c r="AB53" i="14"/>
  <c r="V54" i="14"/>
  <c r="W54" i="14"/>
  <c r="X54" i="14"/>
  <c r="Y54" i="14"/>
  <c r="Z54" i="14"/>
  <c r="AA54" i="14"/>
  <c r="AB54" i="14"/>
  <c r="V55" i="14"/>
  <c r="W55" i="14"/>
  <c r="X55" i="14"/>
  <c r="Y55" i="14"/>
  <c r="Z55" i="14"/>
  <c r="AA55" i="14"/>
  <c r="AB55" i="14"/>
  <c r="V56" i="14"/>
  <c r="W56" i="14"/>
  <c r="X56" i="14"/>
  <c r="Y56" i="14"/>
  <c r="Z56" i="14"/>
  <c r="AA56" i="14"/>
  <c r="AB56" i="14"/>
  <c r="V57" i="14"/>
  <c r="W57" i="14"/>
  <c r="X57" i="14"/>
  <c r="Y57" i="14"/>
  <c r="Z57" i="14"/>
  <c r="AA57" i="14"/>
  <c r="AB57" i="14"/>
  <c r="V58" i="14"/>
  <c r="W58" i="14"/>
  <c r="X58" i="14"/>
  <c r="Y58" i="14"/>
  <c r="Z58" i="14"/>
  <c r="AA58" i="14"/>
  <c r="AB58" i="14"/>
  <c r="V59" i="14"/>
  <c r="W59" i="14"/>
  <c r="X59" i="14"/>
  <c r="Y59" i="14"/>
  <c r="Z59" i="14"/>
  <c r="AA59" i="14"/>
  <c r="AB59" i="14"/>
  <c r="V60" i="14"/>
  <c r="W60" i="14"/>
  <c r="X60" i="14"/>
  <c r="Y60" i="14"/>
  <c r="Z60" i="14"/>
  <c r="AA60" i="14"/>
  <c r="AB60" i="14"/>
  <c r="V61" i="14"/>
  <c r="W61" i="14"/>
  <c r="X61" i="14"/>
  <c r="Y61" i="14"/>
  <c r="Z61" i="14"/>
  <c r="AA61" i="14"/>
  <c r="AB61" i="14"/>
  <c r="V62" i="14"/>
  <c r="W62" i="14"/>
  <c r="X62" i="14"/>
  <c r="Y62" i="14"/>
  <c r="Z62" i="14"/>
  <c r="AA62" i="14"/>
  <c r="AB62" i="14"/>
  <c r="V63" i="14"/>
  <c r="W63" i="14"/>
  <c r="X63" i="14"/>
  <c r="Y63" i="14"/>
  <c r="Z63" i="14"/>
  <c r="AA63" i="14"/>
  <c r="AB63" i="14"/>
  <c r="V64" i="14"/>
  <c r="W64" i="14"/>
  <c r="X64" i="14"/>
  <c r="Y64" i="14"/>
  <c r="Z64" i="14"/>
  <c r="AA64" i="14"/>
  <c r="AB64" i="14"/>
  <c r="V65" i="14"/>
  <c r="W65" i="14"/>
  <c r="X65" i="14"/>
  <c r="Y65" i="14"/>
  <c r="Z65" i="14"/>
  <c r="AA65" i="14"/>
  <c r="AB65" i="14"/>
  <c r="V66" i="14"/>
  <c r="W66" i="14"/>
  <c r="X66" i="14"/>
  <c r="Y66" i="14"/>
  <c r="Z66" i="14"/>
  <c r="AA66" i="14"/>
  <c r="AB66" i="14"/>
  <c r="V67" i="14"/>
  <c r="W67" i="14"/>
  <c r="X67" i="14"/>
  <c r="Y67" i="14"/>
  <c r="Z67" i="14"/>
  <c r="AA67" i="14"/>
  <c r="AB67" i="14"/>
  <c r="V68" i="14"/>
  <c r="W68" i="14"/>
  <c r="X68" i="14"/>
  <c r="Y68" i="14"/>
  <c r="Z68" i="14"/>
  <c r="AA68" i="14"/>
  <c r="AB68" i="14"/>
  <c r="V69" i="14"/>
  <c r="W69" i="14"/>
  <c r="X69" i="14"/>
  <c r="Y69" i="14"/>
  <c r="Z69" i="14"/>
  <c r="AA69" i="14"/>
  <c r="AB69" i="14"/>
  <c r="V70" i="14"/>
  <c r="W70" i="14"/>
  <c r="X70" i="14"/>
  <c r="Y70" i="14"/>
  <c r="Z70" i="14"/>
  <c r="AA70" i="14"/>
  <c r="AB70" i="14"/>
  <c r="V71" i="14"/>
  <c r="W71" i="14"/>
  <c r="X71" i="14"/>
  <c r="Y71" i="14"/>
  <c r="Z71" i="14"/>
  <c r="AA71" i="14"/>
  <c r="AB71" i="14"/>
  <c r="V72" i="14"/>
  <c r="W72" i="14"/>
  <c r="X72" i="14"/>
  <c r="Y72" i="14"/>
  <c r="Z72" i="14"/>
  <c r="AA72" i="14"/>
  <c r="AB72" i="14"/>
  <c r="V73" i="14"/>
  <c r="W73" i="14"/>
  <c r="X73" i="14"/>
  <c r="Y73" i="14"/>
  <c r="Z73" i="14"/>
  <c r="AA73" i="14"/>
  <c r="AB73" i="14"/>
  <c r="V74" i="14"/>
  <c r="W74" i="14"/>
  <c r="X74" i="14"/>
  <c r="Y74" i="14"/>
  <c r="Z74" i="14"/>
  <c r="AA74" i="14"/>
  <c r="AB74" i="14"/>
  <c r="V75" i="14"/>
  <c r="W75" i="14"/>
  <c r="X75" i="14"/>
  <c r="Y75" i="14"/>
  <c r="Z75" i="14"/>
  <c r="AA75" i="14"/>
  <c r="AB75" i="14"/>
  <c r="V76" i="14"/>
  <c r="W76" i="14"/>
  <c r="X76" i="14"/>
  <c r="Y76" i="14"/>
  <c r="Z76" i="14"/>
  <c r="AA76" i="14"/>
  <c r="AB76" i="14"/>
  <c r="V77" i="14"/>
  <c r="W77" i="14"/>
  <c r="X77" i="14"/>
  <c r="Y77" i="14"/>
  <c r="Z77" i="14"/>
  <c r="AA77" i="14"/>
  <c r="AB77" i="14"/>
  <c r="V78" i="14"/>
  <c r="W78" i="14"/>
  <c r="X78" i="14"/>
  <c r="Y78" i="14"/>
  <c r="Z78" i="14"/>
  <c r="AA78" i="14"/>
  <c r="AB78" i="14"/>
  <c r="V79" i="14"/>
  <c r="W79" i="14"/>
  <c r="X79" i="14"/>
  <c r="Y79" i="14"/>
  <c r="Z79" i="14"/>
  <c r="AA79" i="14"/>
  <c r="AB79" i="14"/>
  <c r="V80" i="14"/>
  <c r="W80" i="14"/>
  <c r="X80" i="14"/>
  <c r="Y80" i="14"/>
  <c r="Z80" i="14"/>
  <c r="AA80" i="14"/>
  <c r="AB80" i="14"/>
  <c r="V81" i="14"/>
  <c r="W81" i="14"/>
  <c r="X81" i="14"/>
  <c r="Y81" i="14"/>
  <c r="Z81" i="14"/>
  <c r="AA81" i="14"/>
  <c r="AB81" i="14"/>
  <c r="V82" i="14"/>
  <c r="W82" i="14"/>
  <c r="X82" i="14"/>
  <c r="Y82" i="14"/>
  <c r="Z82" i="14"/>
  <c r="AA82" i="14"/>
  <c r="AB82" i="14"/>
  <c r="V83" i="14"/>
  <c r="W83" i="14"/>
  <c r="X83" i="14"/>
  <c r="Y83" i="14"/>
  <c r="Z83" i="14"/>
  <c r="AA83" i="14"/>
  <c r="AB83" i="14"/>
  <c r="V84" i="14"/>
  <c r="W84" i="14"/>
  <c r="X84" i="14"/>
  <c r="Y84" i="14"/>
  <c r="Z84" i="14"/>
  <c r="AA84" i="14"/>
  <c r="AB84" i="14"/>
  <c r="V85" i="14"/>
  <c r="W85" i="14"/>
  <c r="X85" i="14"/>
  <c r="Y85" i="14"/>
  <c r="Z85" i="14"/>
  <c r="AA85" i="14"/>
  <c r="AB85" i="14"/>
  <c r="V86" i="14"/>
  <c r="W86" i="14"/>
  <c r="X86" i="14"/>
  <c r="Y86" i="14"/>
  <c r="Z86" i="14"/>
  <c r="AA86" i="14"/>
  <c r="AB86" i="14"/>
  <c r="V87" i="14"/>
  <c r="W87" i="14"/>
  <c r="X87" i="14"/>
  <c r="Y87" i="14"/>
  <c r="Z87" i="14"/>
  <c r="AA87" i="14"/>
  <c r="AB87" i="14"/>
  <c r="V88" i="14"/>
  <c r="W88" i="14"/>
  <c r="X88" i="14"/>
  <c r="Y88" i="14"/>
  <c r="Z88" i="14"/>
  <c r="AA88" i="14"/>
  <c r="AB88" i="14"/>
  <c r="V89" i="14"/>
  <c r="W89" i="14"/>
  <c r="X89" i="14"/>
  <c r="Y89" i="14"/>
  <c r="Z89" i="14"/>
  <c r="AA89" i="14"/>
  <c r="AB89" i="14"/>
  <c r="V90" i="14"/>
  <c r="W90" i="14"/>
  <c r="X90" i="14"/>
  <c r="Y90" i="14"/>
  <c r="Z90" i="14"/>
  <c r="AA90" i="14"/>
  <c r="AB90" i="14"/>
  <c r="V91" i="14"/>
  <c r="W91" i="14"/>
  <c r="X91" i="14"/>
  <c r="Y91" i="14"/>
  <c r="Z91" i="14"/>
  <c r="AA91" i="14"/>
  <c r="AB91" i="14"/>
  <c r="V92" i="14"/>
  <c r="W92" i="14"/>
  <c r="X92" i="14"/>
  <c r="Y92" i="14"/>
  <c r="Z92" i="14"/>
  <c r="AA92" i="14"/>
  <c r="AB92" i="14"/>
  <c r="V93" i="14"/>
  <c r="W93" i="14"/>
  <c r="X93" i="14"/>
  <c r="Y93" i="14"/>
  <c r="Z93" i="14"/>
  <c r="AA93" i="14"/>
  <c r="AB93" i="14"/>
  <c r="V94" i="14"/>
  <c r="W94" i="14"/>
  <c r="X94" i="14"/>
  <c r="Y94" i="14"/>
  <c r="Z94" i="14"/>
  <c r="AA94" i="14"/>
  <c r="AB94" i="14"/>
  <c r="V95" i="14"/>
  <c r="W95" i="14"/>
  <c r="X95" i="14"/>
  <c r="Y95" i="14"/>
  <c r="Z95" i="14"/>
  <c r="AA95" i="14"/>
  <c r="AB95" i="14"/>
  <c r="V96" i="14"/>
  <c r="W96" i="14"/>
  <c r="X96" i="14"/>
  <c r="Y96" i="14"/>
  <c r="Z96" i="14"/>
  <c r="AA96" i="14"/>
  <c r="AB96" i="14"/>
  <c r="V97" i="14"/>
  <c r="W97" i="14"/>
  <c r="X97" i="14"/>
  <c r="Y97" i="14"/>
  <c r="Z97" i="14"/>
  <c r="AA97" i="14"/>
  <c r="AB97" i="14"/>
  <c r="V98" i="14"/>
  <c r="W98" i="14"/>
  <c r="X98" i="14"/>
  <c r="Y98" i="14"/>
  <c r="Z98" i="14"/>
  <c r="AA98" i="14"/>
  <c r="AB98" i="14"/>
  <c r="V99" i="14"/>
  <c r="W99" i="14"/>
  <c r="X99" i="14"/>
  <c r="Y99" i="14"/>
  <c r="Z99" i="14"/>
  <c r="AA99" i="14"/>
  <c r="AB99" i="14"/>
  <c r="V100" i="14"/>
  <c r="W100" i="14"/>
  <c r="X100" i="14"/>
  <c r="Y100" i="14"/>
  <c r="Z100" i="14"/>
  <c r="AA100" i="14"/>
  <c r="AB100" i="14"/>
  <c r="V101" i="14"/>
  <c r="W101" i="14"/>
  <c r="X101" i="14"/>
  <c r="Y101" i="14"/>
  <c r="Z101" i="14"/>
  <c r="AA101" i="14"/>
  <c r="AB101" i="14"/>
  <c r="V102" i="14"/>
  <c r="W102" i="14"/>
  <c r="X102" i="14"/>
  <c r="Y102" i="14"/>
  <c r="Z102" i="14"/>
  <c r="AA102" i="14"/>
  <c r="AB102" i="14"/>
  <c r="V103" i="14"/>
  <c r="W103" i="14"/>
  <c r="X103" i="14"/>
  <c r="Y103" i="14"/>
  <c r="Z103" i="14"/>
  <c r="AA103" i="14"/>
  <c r="AB103" i="14"/>
  <c r="V104" i="14"/>
  <c r="W104" i="14"/>
  <c r="X104" i="14"/>
  <c r="Y104" i="14"/>
  <c r="Z104" i="14"/>
  <c r="AA104" i="14"/>
  <c r="AB104" i="14"/>
  <c r="V105" i="14"/>
  <c r="W105" i="14"/>
  <c r="X105" i="14"/>
  <c r="Y105" i="14"/>
  <c r="Z105" i="14"/>
  <c r="AA105" i="14"/>
  <c r="AB105" i="14"/>
  <c r="V106" i="14"/>
  <c r="W106" i="14"/>
  <c r="X106" i="14"/>
  <c r="Y106" i="14"/>
  <c r="Z106" i="14"/>
  <c r="AA106" i="14"/>
  <c r="AB106" i="14"/>
  <c r="V107" i="14"/>
  <c r="W107" i="14"/>
  <c r="X107" i="14"/>
  <c r="Y107" i="14"/>
  <c r="Z107" i="14"/>
  <c r="AA107" i="14"/>
  <c r="AB107" i="14"/>
  <c r="V108" i="14"/>
  <c r="W108" i="14"/>
  <c r="X108" i="14"/>
  <c r="Y108" i="14"/>
  <c r="Z108" i="14"/>
  <c r="AA108" i="14"/>
  <c r="AB108" i="14"/>
  <c r="V109" i="14"/>
  <c r="W109" i="14"/>
  <c r="X109" i="14"/>
  <c r="Y109" i="14"/>
  <c r="Z109" i="14"/>
  <c r="AA109" i="14"/>
  <c r="AB109" i="14"/>
  <c r="V110" i="14"/>
  <c r="W110" i="14"/>
  <c r="X110" i="14"/>
  <c r="Y110" i="14"/>
  <c r="Z110" i="14"/>
  <c r="AA110" i="14"/>
  <c r="AB110" i="14"/>
  <c r="V111" i="14"/>
  <c r="W111" i="14"/>
  <c r="X111" i="14"/>
  <c r="Y111" i="14"/>
  <c r="Z111" i="14"/>
  <c r="AA111" i="14"/>
  <c r="AB111" i="14"/>
  <c r="V112" i="14"/>
  <c r="W112" i="14"/>
  <c r="X112" i="14"/>
  <c r="Y112" i="14"/>
  <c r="Z112" i="14"/>
  <c r="AA112" i="14"/>
  <c r="AB112" i="14"/>
  <c r="V113" i="14"/>
  <c r="W113" i="14"/>
  <c r="X113" i="14"/>
  <c r="Y113" i="14"/>
  <c r="Z113" i="14"/>
  <c r="AA113" i="14"/>
  <c r="AB113" i="14"/>
  <c r="V114" i="14"/>
  <c r="W114" i="14"/>
  <c r="X114" i="14"/>
  <c r="Y114" i="14"/>
  <c r="Z114" i="14"/>
  <c r="AA114" i="14"/>
  <c r="AB114" i="14"/>
  <c r="V115" i="14"/>
  <c r="W115" i="14"/>
  <c r="X115" i="14"/>
  <c r="Y115" i="14"/>
  <c r="Z115" i="14"/>
  <c r="AA115" i="14"/>
  <c r="AB115" i="14"/>
  <c r="V116" i="14"/>
  <c r="W116" i="14"/>
  <c r="X116" i="14"/>
  <c r="Y116" i="14"/>
  <c r="Z116" i="14"/>
  <c r="AA116" i="14"/>
  <c r="AB116" i="14"/>
  <c r="V117" i="14"/>
  <c r="W117" i="14"/>
  <c r="X117" i="14"/>
  <c r="Y117" i="14"/>
  <c r="Z117" i="14"/>
  <c r="AA117" i="14"/>
  <c r="AB117" i="14"/>
  <c r="V118" i="14"/>
  <c r="W118" i="14"/>
  <c r="X118" i="14"/>
  <c r="Y118" i="14"/>
  <c r="Z118" i="14"/>
  <c r="AA118" i="14"/>
  <c r="AB118" i="14"/>
  <c r="V119" i="14"/>
  <c r="W119" i="14"/>
  <c r="X119" i="14"/>
  <c r="Y119" i="14"/>
  <c r="Z119" i="14"/>
  <c r="AA119" i="14"/>
  <c r="AB119" i="14"/>
  <c r="V120" i="14"/>
  <c r="W120" i="14"/>
  <c r="X120" i="14"/>
  <c r="Y120" i="14"/>
  <c r="Z120" i="14"/>
  <c r="AA120" i="14"/>
  <c r="AB120" i="14"/>
  <c r="V121" i="14"/>
  <c r="W121" i="14"/>
  <c r="X121" i="14"/>
  <c r="Y121" i="14"/>
  <c r="Z121" i="14"/>
  <c r="AA121" i="14"/>
  <c r="AB121" i="14"/>
  <c r="V122" i="14"/>
  <c r="W122" i="14"/>
  <c r="X122" i="14"/>
  <c r="Y122" i="14"/>
  <c r="Z122" i="14"/>
  <c r="AA122" i="14"/>
  <c r="AB122" i="14"/>
  <c r="V123" i="14"/>
  <c r="W123" i="14"/>
  <c r="X123" i="14"/>
  <c r="Y123" i="14"/>
  <c r="Z123" i="14"/>
  <c r="AA123" i="14"/>
  <c r="AB123" i="14"/>
  <c r="V124" i="14"/>
  <c r="W124" i="14"/>
  <c r="X124" i="14"/>
  <c r="Y124" i="14"/>
  <c r="Z124" i="14"/>
  <c r="AA124" i="14"/>
  <c r="AB124" i="14"/>
  <c r="V125" i="14"/>
  <c r="W125" i="14"/>
  <c r="X125" i="14"/>
  <c r="Y125" i="14"/>
  <c r="Z125" i="14"/>
  <c r="AA125" i="14"/>
  <c r="AB125" i="14"/>
  <c r="V126" i="14"/>
  <c r="W126" i="14"/>
  <c r="X126" i="14"/>
  <c r="Y126" i="14"/>
  <c r="Z126" i="14"/>
  <c r="AA126" i="14"/>
  <c r="AB126" i="14"/>
  <c r="V127" i="14"/>
  <c r="W127" i="14"/>
  <c r="X127" i="14"/>
  <c r="Y127" i="14"/>
  <c r="Z127" i="14"/>
  <c r="AA127" i="14"/>
  <c r="AB127" i="14"/>
  <c r="V128" i="14"/>
  <c r="W128" i="14"/>
  <c r="X128" i="14"/>
  <c r="Y128" i="14"/>
  <c r="Z128" i="14"/>
  <c r="AA128" i="14"/>
  <c r="AB128" i="14"/>
  <c r="V129" i="14"/>
  <c r="W129" i="14"/>
  <c r="X129" i="14"/>
  <c r="Y129" i="14"/>
  <c r="Z129" i="14"/>
  <c r="AA129" i="14"/>
  <c r="AB129" i="14"/>
  <c r="V130" i="14"/>
  <c r="W130" i="14"/>
  <c r="X130" i="14"/>
  <c r="Y130" i="14"/>
  <c r="Z130" i="14"/>
  <c r="AA130" i="14"/>
  <c r="AB130" i="14"/>
  <c r="V131" i="14"/>
  <c r="W131" i="14"/>
  <c r="X131" i="14"/>
  <c r="Y131" i="14"/>
  <c r="Z131" i="14"/>
  <c r="AA131" i="14"/>
  <c r="AB131" i="14"/>
  <c r="V132" i="14"/>
  <c r="W132" i="14"/>
  <c r="X132" i="14"/>
  <c r="Y132" i="14"/>
  <c r="Z132" i="14"/>
  <c r="AA132" i="14"/>
  <c r="AB132" i="14"/>
  <c r="V133" i="14"/>
  <c r="W133" i="14"/>
  <c r="X133" i="14"/>
  <c r="Y133" i="14"/>
  <c r="Z133" i="14"/>
  <c r="AA133" i="14"/>
  <c r="AB133" i="14"/>
  <c r="V134" i="14"/>
  <c r="W134" i="14"/>
  <c r="X134" i="14"/>
  <c r="Y134" i="14"/>
  <c r="Z134" i="14"/>
  <c r="AA134" i="14"/>
  <c r="AB134" i="14"/>
  <c r="V135" i="14"/>
  <c r="W135" i="14"/>
  <c r="X135" i="14"/>
  <c r="Y135" i="14"/>
  <c r="Z135" i="14"/>
  <c r="AA135" i="14"/>
  <c r="AB135" i="14"/>
  <c r="V136" i="14"/>
  <c r="W136" i="14"/>
  <c r="X136" i="14"/>
  <c r="Y136" i="14"/>
  <c r="Z136" i="14"/>
  <c r="AA136" i="14"/>
  <c r="AB136" i="14"/>
  <c r="V137" i="14"/>
  <c r="W137" i="14"/>
  <c r="X137" i="14"/>
  <c r="Y137" i="14"/>
  <c r="Z137" i="14"/>
  <c r="AA137" i="14"/>
  <c r="AB137" i="14"/>
  <c r="V138" i="14"/>
  <c r="W138" i="14"/>
  <c r="X138" i="14"/>
  <c r="Y138" i="14"/>
  <c r="Z138" i="14"/>
  <c r="AA138" i="14"/>
  <c r="AB138" i="14"/>
  <c r="I4" i="1"/>
  <c r="H9" i="1" s="1"/>
  <c r="J9" i="1"/>
  <c r="K9" i="1" s="1"/>
  <c r="J10" i="1"/>
  <c r="J11" i="1"/>
  <c r="J12" i="1"/>
  <c r="J13" i="1"/>
  <c r="J14" i="1"/>
  <c r="J16" i="1"/>
  <c r="J21" i="1"/>
  <c r="J23" i="1"/>
  <c r="J26" i="1"/>
  <c r="J18" i="1"/>
  <c r="J31" i="1"/>
  <c r="J36" i="1"/>
  <c r="J41" i="1"/>
  <c r="F7" i="13"/>
  <c r="C2" i="17"/>
  <c r="F6" i="17" s="1"/>
  <c r="C2" i="16"/>
  <c r="C7" i="16" s="1"/>
  <c r="C22" i="16" s="1"/>
  <c r="W42" i="16"/>
  <c r="X42" i="16"/>
  <c r="Y42" i="16"/>
  <c r="Z42" i="16"/>
  <c r="AA42" i="16"/>
  <c r="AB42" i="16"/>
  <c r="AC42" i="16"/>
  <c r="AD42" i="16"/>
  <c r="AE42" i="16"/>
  <c r="W43" i="16"/>
  <c r="AD43" i="16" s="1"/>
  <c r="X43" i="16"/>
  <c r="Y43" i="16"/>
  <c r="Z43" i="16"/>
  <c r="AA43" i="16"/>
  <c r="AB43" i="16"/>
  <c r="AC43" i="16"/>
  <c r="W44" i="16"/>
  <c r="X44" i="16"/>
  <c r="Y44" i="16"/>
  <c r="Z44" i="16"/>
  <c r="AA44" i="16"/>
  <c r="AB44" i="16"/>
  <c r="AC44" i="16"/>
  <c r="AD44" i="16"/>
  <c r="AE44" i="16"/>
  <c r="W45" i="16"/>
  <c r="AD45" i="16" s="1"/>
  <c r="X45" i="16"/>
  <c r="Y45" i="16"/>
  <c r="Z45" i="16"/>
  <c r="AA45" i="16"/>
  <c r="AB45" i="16"/>
  <c r="AC45" i="16"/>
  <c r="W46" i="16"/>
  <c r="AD46" i="16"/>
  <c r="X46" i="16"/>
  <c r="Y46" i="16"/>
  <c r="Z46" i="16"/>
  <c r="AA46" i="16"/>
  <c r="AB46" i="16"/>
  <c r="AC46" i="16"/>
  <c r="AE46" i="16"/>
  <c r="W47" i="16"/>
  <c r="AD47" i="16" s="1"/>
  <c r="X47" i="16"/>
  <c r="Y47" i="16"/>
  <c r="Z47" i="16"/>
  <c r="AA47" i="16"/>
  <c r="AB47" i="16"/>
  <c r="AC47" i="16"/>
  <c r="AE47" i="16"/>
  <c r="W48" i="16"/>
  <c r="AE48" i="16" s="1"/>
  <c r="X48" i="16"/>
  <c r="Y48" i="16"/>
  <c r="Z48" i="16"/>
  <c r="AA48" i="16"/>
  <c r="AB48" i="16"/>
  <c r="AC48" i="16"/>
  <c r="W49" i="16"/>
  <c r="AD49" i="16" s="1"/>
  <c r="X49" i="16"/>
  <c r="Y49" i="16"/>
  <c r="Z49" i="16"/>
  <c r="AA49" i="16"/>
  <c r="AB49" i="16"/>
  <c r="AC49" i="16"/>
  <c r="AE49" i="16"/>
  <c r="W50" i="16"/>
  <c r="AE50" i="16" s="1"/>
  <c r="X50" i="16"/>
  <c r="Y50" i="16"/>
  <c r="Z50" i="16"/>
  <c r="AA50" i="16"/>
  <c r="AB50" i="16"/>
  <c r="AC50" i="16"/>
  <c r="W51" i="16"/>
  <c r="AD51" i="16" s="1"/>
  <c r="X51" i="16"/>
  <c r="Y51" i="16"/>
  <c r="Z51" i="16"/>
  <c r="AA51" i="16"/>
  <c r="AB51" i="16"/>
  <c r="AC51" i="16"/>
  <c r="AE51" i="16"/>
  <c r="W52" i="16"/>
  <c r="AD52" i="16"/>
  <c r="X52" i="16"/>
  <c r="Y52" i="16"/>
  <c r="Z52" i="16"/>
  <c r="AA52" i="16"/>
  <c r="AB52" i="16"/>
  <c r="AC52" i="16"/>
  <c r="AE52" i="16"/>
  <c r="W53" i="16"/>
  <c r="AD53" i="16" s="1"/>
  <c r="X53" i="16"/>
  <c r="Y53" i="16"/>
  <c r="Z53" i="16"/>
  <c r="AA53" i="16"/>
  <c r="AB53" i="16"/>
  <c r="AC53" i="16"/>
  <c r="AE53" i="16"/>
  <c r="W54" i="16"/>
  <c r="AE54" i="16" s="1"/>
  <c r="AD54" i="16"/>
  <c r="X54" i="16"/>
  <c r="Y54" i="16"/>
  <c r="Z54" i="16"/>
  <c r="AA54" i="16"/>
  <c r="AB54" i="16"/>
  <c r="AC54" i="16"/>
  <c r="W55" i="16"/>
  <c r="AD55" i="16" s="1"/>
  <c r="X55" i="16"/>
  <c r="Y55" i="16"/>
  <c r="Z55" i="16"/>
  <c r="AA55" i="16"/>
  <c r="AB55" i="16"/>
  <c r="AC55" i="16"/>
  <c r="AE55" i="16"/>
  <c r="W56" i="16"/>
  <c r="AE56" i="16" s="1"/>
  <c r="AD56" i="16"/>
  <c r="X56" i="16"/>
  <c r="Y56" i="16"/>
  <c r="Z56" i="16"/>
  <c r="AA56" i="16"/>
  <c r="AB56" i="16"/>
  <c r="AC56" i="16"/>
  <c r="W57" i="16"/>
  <c r="AD57" i="16" s="1"/>
  <c r="X57" i="16"/>
  <c r="Y57" i="16"/>
  <c r="Z57" i="16"/>
  <c r="AA57" i="16"/>
  <c r="AB57" i="16"/>
  <c r="AC57" i="16"/>
  <c r="AE57" i="16"/>
  <c r="W58" i="16"/>
  <c r="AE58" i="16" s="1"/>
  <c r="AD58" i="16"/>
  <c r="X58" i="16"/>
  <c r="Y58" i="16"/>
  <c r="Z58" i="16"/>
  <c r="AA58" i="16"/>
  <c r="AB58" i="16"/>
  <c r="AC58" i="16"/>
  <c r="W59" i="16"/>
  <c r="AD59" i="16" s="1"/>
  <c r="X59" i="16"/>
  <c r="Y59" i="16"/>
  <c r="Z59" i="16"/>
  <c r="AA59" i="16"/>
  <c r="AB59" i="16"/>
  <c r="AC59" i="16"/>
  <c r="AE59" i="16"/>
  <c r="W60" i="16"/>
  <c r="AE60" i="16" s="1"/>
  <c r="AD60" i="16"/>
  <c r="X60" i="16"/>
  <c r="Y60" i="16"/>
  <c r="Z60" i="16"/>
  <c r="AA60" i="16"/>
  <c r="AB60" i="16"/>
  <c r="AC60" i="16"/>
  <c r="W61" i="16"/>
  <c r="AD61" i="16" s="1"/>
  <c r="X61" i="16"/>
  <c r="Y61" i="16"/>
  <c r="Z61" i="16"/>
  <c r="AA61" i="16"/>
  <c r="AB61" i="16"/>
  <c r="AC61" i="16"/>
  <c r="AE61" i="16"/>
  <c r="W62" i="16"/>
  <c r="AD62" i="16" s="1"/>
  <c r="X62" i="16"/>
  <c r="Y62" i="16"/>
  <c r="Z62" i="16"/>
  <c r="AA62" i="16"/>
  <c r="AB62" i="16"/>
  <c r="AC62" i="16"/>
  <c r="W63" i="16"/>
  <c r="AD63" i="16" s="1"/>
  <c r="X63" i="16"/>
  <c r="Y63" i="16"/>
  <c r="Z63" i="16"/>
  <c r="AA63" i="16"/>
  <c r="AB63" i="16"/>
  <c r="AC63" i="16"/>
  <c r="AE63" i="16"/>
  <c r="W64" i="16"/>
  <c r="AD64" i="16"/>
  <c r="X64" i="16"/>
  <c r="Y64" i="16"/>
  <c r="Z64" i="16"/>
  <c r="AA64" i="16"/>
  <c r="AB64" i="16"/>
  <c r="AC64" i="16"/>
  <c r="AE64" i="16"/>
  <c r="W65" i="16"/>
  <c r="AD65" i="16" s="1"/>
  <c r="X65" i="16"/>
  <c r="Y65" i="16"/>
  <c r="Z65" i="16"/>
  <c r="AA65" i="16"/>
  <c r="AB65" i="16"/>
  <c r="AC65" i="16"/>
  <c r="W66" i="16"/>
  <c r="AD66" i="16"/>
  <c r="X66" i="16"/>
  <c r="Y66" i="16"/>
  <c r="Z66" i="16"/>
  <c r="AA66" i="16"/>
  <c r="AB66" i="16"/>
  <c r="AC66" i="16"/>
  <c r="AE66" i="16"/>
  <c r="W67" i="16"/>
  <c r="AD67" i="16" s="1"/>
  <c r="X67" i="16"/>
  <c r="Y67" i="16"/>
  <c r="Z67" i="16"/>
  <c r="AA67" i="16"/>
  <c r="AB67" i="16"/>
  <c r="AC67" i="16"/>
  <c r="W68" i="16"/>
  <c r="AD68" i="16" s="1"/>
  <c r="X68" i="16"/>
  <c r="Y68" i="16"/>
  <c r="Z68" i="16"/>
  <c r="AA68" i="16"/>
  <c r="AB68" i="16"/>
  <c r="AC68" i="16"/>
  <c r="W69" i="16"/>
  <c r="AD69" i="16" s="1"/>
  <c r="X69" i="16"/>
  <c r="Y69" i="16"/>
  <c r="Z69" i="16"/>
  <c r="AA69" i="16"/>
  <c r="AB69" i="16"/>
  <c r="AC69" i="16"/>
  <c r="W70" i="16"/>
  <c r="AD70" i="16"/>
  <c r="X70" i="16"/>
  <c r="Y70" i="16"/>
  <c r="Z70" i="16"/>
  <c r="AA70" i="16"/>
  <c r="AB70" i="16"/>
  <c r="AC70" i="16"/>
  <c r="AE70" i="16"/>
  <c r="W71" i="16"/>
  <c r="AD71" i="16" s="1"/>
  <c r="X71" i="16"/>
  <c r="Y71" i="16"/>
  <c r="Z71" i="16"/>
  <c r="AA71" i="16"/>
  <c r="AB71" i="16"/>
  <c r="AC71" i="16"/>
  <c r="W72" i="16"/>
  <c r="AD72" i="16"/>
  <c r="X72" i="16"/>
  <c r="Y72" i="16"/>
  <c r="Z72" i="16"/>
  <c r="AA72" i="16"/>
  <c r="AB72" i="16"/>
  <c r="AC72" i="16"/>
  <c r="AE72" i="16"/>
  <c r="W73" i="16"/>
  <c r="AD73" i="16" s="1"/>
  <c r="X73" i="16"/>
  <c r="Y73" i="16"/>
  <c r="Z73" i="16"/>
  <c r="AA73" i="16"/>
  <c r="AB73" i="16"/>
  <c r="AC73" i="16"/>
  <c r="W74" i="16"/>
  <c r="AD74" i="16" s="1"/>
  <c r="X74" i="16"/>
  <c r="Y74" i="16"/>
  <c r="Z74" i="16"/>
  <c r="AA74" i="16"/>
  <c r="AB74" i="16"/>
  <c r="AC74" i="16"/>
  <c r="AE74" i="16"/>
  <c r="W75" i="16"/>
  <c r="AD75" i="16" s="1"/>
  <c r="X75" i="16"/>
  <c r="Y75" i="16"/>
  <c r="Z75" i="16"/>
  <c r="AA75" i="16"/>
  <c r="AB75" i="16"/>
  <c r="AC75" i="16"/>
  <c r="W76" i="16"/>
  <c r="AD76" i="16"/>
  <c r="X76" i="16"/>
  <c r="Y76" i="16"/>
  <c r="Z76" i="16"/>
  <c r="AA76" i="16"/>
  <c r="AB76" i="16"/>
  <c r="AC76" i="16"/>
  <c r="AE76" i="16"/>
  <c r="W77" i="16"/>
  <c r="AD77" i="16" s="1"/>
  <c r="X77" i="16"/>
  <c r="Y77" i="16"/>
  <c r="Z77" i="16"/>
  <c r="AA77" i="16"/>
  <c r="AB77" i="16"/>
  <c r="AC77" i="16"/>
  <c r="W78" i="16"/>
  <c r="AD78" i="16"/>
  <c r="X78" i="16"/>
  <c r="Y78" i="16"/>
  <c r="Z78" i="16"/>
  <c r="AA78" i="16"/>
  <c r="AB78" i="16"/>
  <c r="AC78" i="16"/>
  <c r="AE78" i="16"/>
  <c r="W79" i="16"/>
  <c r="AD79" i="16" s="1"/>
  <c r="X79" i="16"/>
  <c r="Y79" i="16"/>
  <c r="Z79" i="16"/>
  <c r="AA79" i="16"/>
  <c r="AB79" i="16"/>
  <c r="AC79" i="16"/>
  <c r="AE79" i="16"/>
  <c r="W80" i="16"/>
  <c r="AE80" i="16" s="1"/>
  <c r="X80" i="16"/>
  <c r="Y80" i="16"/>
  <c r="Z80" i="16"/>
  <c r="AA80" i="16"/>
  <c r="AB80" i="16"/>
  <c r="AC80" i="16"/>
  <c r="W81" i="16"/>
  <c r="AD81" i="16" s="1"/>
  <c r="X81" i="16"/>
  <c r="Y81" i="16"/>
  <c r="Z81" i="16"/>
  <c r="AA81" i="16"/>
  <c r="AB81" i="16"/>
  <c r="AC81" i="16"/>
  <c r="AE81" i="16"/>
  <c r="W82" i="16"/>
  <c r="AE82" i="16" s="1"/>
  <c r="X82" i="16"/>
  <c r="Y82" i="16"/>
  <c r="Z82" i="16"/>
  <c r="AA82" i="16"/>
  <c r="AB82" i="16"/>
  <c r="AC82" i="16"/>
  <c r="W83" i="16"/>
  <c r="AD83" i="16" s="1"/>
  <c r="X83" i="16"/>
  <c r="Y83" i="16"/>
  <c r="Z83" i="16"/>
  <c r="AA83" i="16"/>
  <c r="AB83" i="16"/>
  <c r="AC83" i="16"/>
  <c r="AE83" i="16"/>
  <c r="W84" i="16"/>
  <c r="AD84" i="16"/>
  <c r="X84" i="16"/>
  <c r="Y84" i="16"/>
  <c r="Z84" i="16"/>
  <c r="AA84" i="16"/>
  <c r="AB84" i="16"/>
  <c r="AC84" i="16"/>
  <c r="AE84" i="16"/>
  <c r="W85" i="16"/>
  <c r="AD85" i="16" s="1"/>
  <c r="X85" i="16"/>
  <c r="Y85" i="16"/>
  <c r="Z85" i="16"/>
  <c r="AA85" i="16"/>
  <c r="AB85" i="16"/>
  <c r="AC85" i="16"/>
  <c r="AE85" i="16"/>
  <c r="W86" i="16"/>
  <c r="AE86" i="16" s="1"/>
  <c r="AD86" i="16"/>
  <c r="X86" i="16"/>
  <c r="Y86" i="16"/>
  <c r="Z86" i="16"/>
  <c r="AA86" i="16"/>
  <c r="AB86" i="16"/>
  <c r="AC86" i="16"/>
  <c r="W87" i="16"/>
  <c r="AD87" i="16" s="1"/>
  <c r="X87" i="16"/>
  <c r="Y87" i="16"/>
  <c r="Z87" i="16"/>
  <c r="AA87" i="16"/>
  <c r="AB87" i="16"/>
  <c r="AC87" i="16"/>
  <c r="AE87" i="16"/>
  <c r="W88" i="16"/>
  <c r="AE88" i="16" s="1"/>
  <c r="AD88" i="16"/>
  <c r="X88" i="16"/>
  <c r="Y88" i="16"/>
  <c r="Z88" i="16"/>
  <c r="AA88" i="16"/>
  <c r="AB88" i="16"/>
  <c r="AC88" i="16"/>
  <c r="W89" i="16"/>
  <c r="AD89" i="16" s="1"/>
  <c r="X89" i="16"/>
  <c r="Y89" i="16"/>
  <c r="Z89" i="16"/>
  <c r="AA89" i="16"/>
  <c r="AB89" i="16"/>
  <c r="AC89" i="16"/>
  <c r="AE89" i="16"/>
  <c r="W90" i="16"/>
  <c r="AE90" i="16" s="1"/>
  <c r="AD90" i="16"/>
  <c r="X90" i="16"/>
  <c r="Y90" i="16"/>
  <c r="Z90" i="16"/>
  <c r="AA90" i="16"/>
  <c r="AB90" i="16"/>
  <c r="AC90" i="16"/>
  <c r="W91" i="16"/>
  <c r="AD91" i="16" s="1"/>
  <c r="X91" i="16"/>
  <c r="Y91" i="16"/>
  <c r="Z91" i="16"/>
  <c r="AA91" i="16"/>
  <c r="AB91" i="16"/>
  <c r="AC91" i="16"/>
  <c r="AE91" i="16"/>
  <c r="W92" i="16"/>
  <c r="AE92" i="16" s="1"/>
  <c r="AD92" i="16"/>
  <c r="X92" i="16"/>
  <c r="Y92" i="16"/>
  <c r="Z92" i="16"/>
  <c r="AA92" i="16"/>
  <c r="AB92" i="16"/>
  <c r="AC92" i="16"/>
  <c r="W93" i="16"/>
  <c r="AD93" i="16" s="1"/>
  <c r="X93" i="16"/>
  <c r="Y93" i="16"/>
  <c r="Z93" i="16"/>
  <c r="AA93" i="16"/>
  <c r="AB93" i="16"/>
  <c r="AC93" i="16"/>
  <c r="AE93" i="16"/>
  <c r="W94" i="16"/>
  <c r="AD94" i="16" s="1"/>
  <c r="X94" i="16"/>
  <c r="Y94" i="16"/>
  <c r="Z94" i="16"/>
  <c r="AA94" i="16"/>
  <c r="AB94" i="16"/>
  <c r="AC94" i="16"/>
  <c r="W95" i="16"/>
  <c r="AD95" i="16" s="1"/>
  <c r="X95" i="16"/>
  <c r="Y95" i="16"/>
  <c r="Z95" i="16"/>
  <c r="AA95" i="16"/>
  <c r="AB95" i="16"/>
  <c r="AC95" i="16"/>
  <c r="W96" i="16"/>
  <c r="AD96" i="16" s="1"/>
  <c r="X96" i="16"/>
  <c r="Y96" i="16"/>
  <c r="Z96" i="16"/>
  <c r="AA96" i="16"/>
  <c r="AB96" i="16"/>
  <c r="AC96" i="16"/>
  <c r="W97" i="16"/>
  <c r="AD97" i="16"/>
  <c r="X97" i="16"/>
  <c r="Y97" i="16"/>
  <c r="Z97" i="16"/>
  <c r="AA97" i="16"/>
  <c r="AB97" i="16"/>
  <c r="AC97" i="16"/>
  <c r="W98" i="16"/>
  <c r="AD98" i="16" s="1"/>
  <c r="X98" i="16"/>
  <c r="Y98" i="16"/>
  <c r="Z98" i="16"/>
  <c r="AA98" i="16"/>
  <c r="AB98" i="16"/>
  <c r="AC98" i="16"/>
  <c r="W99" i="16"/>
  <c r="AD99" i="16" s="1"/>
  <c r="X99" i="16"/>
  <c r="Y99" i="16"/>
  <c r="Z99" i="16"/>
  <c r="AA99" i="16"/>
  <c r="AB99" i="16"/>
  <c r="AC99" i="16"/>
  <c r="W100" i="16"/>
  <c r="AD100" i="16" s="1"/>
  <c r="X100" i="16"/>
  <c r="Y100" i="16"/>
  <c r="Z100" i="16"/>
  <c r="AA100" i="16"/>
  <c r="AB100" i="16"/>
  <c r="AC100" i="16"/>
  <c r="W101" i="16"/>
  <c r="AD101" i="16"/>
  <c r="X101" i="16"/>
  <c r="Y101" i="16"/>
  <c r="Z101" i="16"/>
  <c r="AA101" i="16"/>
  <c r="AB101" i="16"/>
  <c r="AC101" i="16"/>
  <c r="W102" i="16"/>
  <c r="AD102" i="16" s="1"/>
  <c r="X102" i="16"/>
  <c r="Y102" i="16"/>
  <c r="Z102" i="16"/>
  <c r="AA102" i="16"/>
  <c r="AB102" i="16"/>
  <c r="AC102" i="16"/>
  <c r="W103" i="16"/>
  <c r="AD103" i="16" s="1"/>
  <c r="X103" i="16"/>
  <c r="Y103" i="16"/>
  <c r="Z103" i="16"/>
  <c r="AA103" i="16"/>
  <c r="AB103" i="16"/>
  <c r="AC103" i="16"/>
  <c r="W104" i="16"/>
  <c r="AD104" i="16" s="1"/>
  <c r="X104" i="16"/>
  <c r="Y104" i="16"/>
  <c r="Z104" i="16"/>
  <c r="AA104" i="16"/>
  <c r="AB104" i="16"/>
  <c r="AC104" i="16"/>
  <c r="W105" i="16"/>
  <c r="AD105" i="16"/>
  <c r="X105" i="16"/>
  <c r="Y105" i="16"/>
  <c r="Z105" i="16"/>
  <c r="AA105" i="16"/>
  <c r="AB105" i="16"/>
  <c r="AC105" i="16"/>
  <c r="W106" i="16"/>
  <c r="AD106" i="16" s="1"/>
  <c r="X106" i="16"/>
  <c r="Y106" i="16"/>
  <c r="Z106" i="16"/>
  <c r="AA106" i="16"/>
  <c r="AB106" i="16"/>
  <c r="AC106" i="16"/>
  <c r="W107" i="16"/>
  <c r="AD107" i="16"/>
  <c r="X107" i="16"/>
  <c r="Y107" i="16"/>
  <c r="Z107" i="16"/>
  <c r="AA107" i="16"/>
  <c r="AB107" i="16"/>
  <c r="AC107" i="16"/>
  <c r="AE107" i="16"/>
  <c r="W108" i="16"/>
  <c r="AD108" i="16" s="1"/>
  <c r="X108" i="16"/>
  <c r="Y108" i="16"/>
  <c r="Z108" i="16"/>
  <c r="AA108" i="16"/>
  <c r="AB108" i="16"/>
  <c r="AC108" i="16"/>
  <c r="AE108" i="16"/>
  <c r="W109" i="16"/>
  <c r="AE109" i="16" s="1"/>
  <c r="X109" i="16"/>
  <c r="Y109" i="16"/>
  <c r="Z109" i="16"/>
  <c r="AA109" i="16"/>
  <c r="AB109" i="16"/>
  <c r="AC109" i="16"/>
  <c r="W110" i="16"/>
  <c r="AD110" i="16" s="1"/>
  <c r="X110" i="16"/>
  <c r="Y110" i="16"/>
  <c r="Z110" i="16"/>
  <c r="AA110" i="16"/>
  <c r="AB110" i="16"/>
  <c r="AC110" i="16"/>
  <c r="W111" i="16"/>
  <c r="AE111" i="16" s="1"/>
  <c r="X111" i="16"/>
  <c r="Y111" i="16"/>
  <c r="Z111" i="16"/>
  <c r="AA111" i="16"/>
  <c r="AB111" i="16"/>
  <c r="AC111" i="16"/>
  <c r="W112" i="16"/>
  <c r="AD112" i="16" s="1"/>
  <c r="X112" i="16"/>
  <c r="Y112" i="16"/>
  <c r="Z112" i="16"/>
  <c r="AA112" i="16"/>
  <c r="AB112" i="16"/>
  <c r="AC112" i="16"/>
  <c r="W113" i="16"/>
  <c r="AD113" i="16" s="1"/>
  <c r="X113" i="16"/>
  <c r="Y113" i="16"/>
  <c r="Z113" i="16"/>
  <c r="AA113" i="16"/>
  <c r="AB113" i="16"/>
  <c r="AC113" i="16"/>
  <c r="W114" i="16"/>
  <c r="AD114" i="16" s="1"/>
  <c r="X114" i="16"/>
  <c r="Y114" i="16"/>
  <c r="Z114" i="16"/>
  <c r="AA114" i="16"/>
  <c r="AB114" i="16"/>
  <c r="AC114" i="16"/>
  <c r="W115" i="16"/>
  <c r="AE115" i="16" s="1"/>
  <c r="X115" i="16"/>
  <c r="Y115" i="16"/>
  <c r="Z115" i="16"/>
  <c r="AA115" i="16"/>
  <c r="AB115" i="16"/>
  <c r="AC115" i="16"/>
  <c r="W116" i="16"/>
  <c r="AD116" i="16" s="1"/>
  <c r="X116" i="16"/>
  <c r="Y116" i="16"/>
  <c r="Z116" i="16"/>
  <c r="AA116" i="16"/>
  <c r="AB116" i="16"/>
  <c r="AC116" i="16"/>
  <c r="W117" i="16"/>
  <c r="AE117" i="16" s="1"/>
  <c r="X117" i="16"/>
  <c r="Y117" i="16"/>
  <c r="Z117" i="16"/>
  <c r="AA117" i="16"/>
  <c r="AB117" i="16"/>
  <c r="AC117" i="16"/>
  <c r="W118" i="16"/>
  <c r="AD118" i="16" s="1"/>
  <c r="X118" i="16"/>
  <c r="Y118" i="16"/>
  <c r="Z118" i="16"/>
  <c r="AA118" i="16"/>
  <c r="AB118" i="16"/>
  <c r="AC118" i="16"/>
  <c r="W119" i="16"/>
  <c r="AD119" i="16" s="1"/>
  <c r="X119" i="16"/>
  <c r="Y119" i="16"/>
  <c r="Z119" i="16"/>
  <c r="AA119" i="16"/>
  <c r="AB119" i="16"/>
  <c r="AC119" i="16"/>
  <c r="W120" i="16"/>
  <c r="AD120" i="16" s="1"/>
  <c r="X120" i="16"/>
  <c r="Y120" i="16"/>
  <c r="Z120" i="16"/>
  <c r="AA120" i="16"/>
  <c r="AB120" i="16"/>
  <c r="AC120" i="16"/>
  <c r="W121" i="16"/>
  <c r="AD121" i="16" s="1"/>
  <c r="X121" i="16"/>
  <c r="Y121" i="16"/>
  <c r="Z121" i="16"/>
  <c r="AA121" i="16"/>
  <c r="AB121" i="16"/>
  <c r="AC121" i="16"/>
  <c r="W122" i="16"/>
  <c r="AD122" i="16" s="1"/>
  <c r="X122" i="16"/>
  <c r="Y122" i="16"/>
  <c r="Z122" i="16"/>
  <c r="AA122" i="16"/>
  <c r="AB122" i="16"/>
  <c r="AC122" i="16"/>
  <c r="W123" i="16"/>
  <c r="AD123" i="16" s="1"/>
  <c r="X123" i="16"/>
  <c r="Y123" i="16"/>
  <c r="Z123" i="16"/>
  <c r="AA123" i="16"/>
  <c r="AB123" i="16"/>
  <c r="AC123" i="16"/>
  <c r="W124" i="16"/>
  <c r="AD124" i="16" s="1"/>
  <c r="X124" i="16"/>
  <c r="Y124" i="16"/>
  <c r="Z124" i="16"/>
  <c r="AA124" i="16"/>
  <c r="AB124" i="16"/>
  <c r="AC124" i="16"/>
  <c r="W125" i="16"/>
  <c r="AD125" i="16" s="1"/>
  <c r="X125" i="16"/>
  <c r="Y125" i="16"/>
  <c r="Z125" i="16"/>
  <c r="AA125" i="16"/>
  <c r="AB125" i="16"/>
  <c r="AC125" i="16"/>
  <c r="W126" i="16"/>
  <c r="AD126" i="16" s="1"/>
  <c r="X126" i="16"/>
  <c r="Y126" i="16"/>
  <c r="Z126" i="16"/>
  <c r="AA126" i="16"/>
  <c r="AB126" i="16"/>
  <c r="AC126" i="16"/>
  <c r="W127" i="16"/>
  <c r="AE127" i="16" s="1"/>
  <c r="X127" i="16"/>
  <c r="Y127" i="16"/>
  <c r="Z127" i="16"/>
  <c r="AA127" i="16"/>
  <c r="AB127" i="16"/>
  <c r="AC127" i="16"/>
  <c r="W128" i="16"/>
  <c r="AD128" i="16" s="1"/>
  <c r="X128" i="16"/>
  <c r="Y128" i="16"/>
  <c r="Z128" i="16"/>
  <c r="AA128" i="16"/>
  <c r="AB128" i="16"/>
  <c r="AC128" i="16"/>
  <c r="W129" i="16"/>
  <c r="AD129" i="16" s="1"/>
  <c r="X129" i="16"/>
  <c r="Y129" i="16"/>
  <c r="Z129" i="16"/>
  <c r="AA129" i="16"/>
  <c r="AB129" i="16"/>
  <c r="AC129" i="16"/>
  <c r="W130" i="16"/>
  <c r="AD130" i="16" s="1"/>
  <c r="X130" i="16"/>
  <c r="Y130" i="16"/>
  <c r="Z130" i="16"/>
  <c r="AA130" i="16"/>
  <c r="AB130" i="16"/>
  <c r="AC130" i="16"/>
  <c r="W131" i="16"/>
  <c r="AE131" i="16" s="1"/>
  <c r="X131" i="16"/>
  <c r="Y131" i="16"/>
  <c r="Z131" i="16"/>
  <c r="AA131" i="16"/>
  <c r="AB131" i="16"/>
  <c r="AC131" i="16"/>
  <c r="W132" i="16"/>
  <c r="AD132" i="16" s="1"/>
  <c r="X132" i="16"/>
  <c r="Y132" i="16"/>
  <c r="Z132" i="16"/>
  <c r="AA132" i="16"/>
  <c r="AB132" i="16"/>
  <c r="AC132" i="16"/>
  <c r="W133" i="16"/>
  <c r="AE133" i="16" s="1"/>
  <c r="X133" i="16"/>
  <c r="Y133" i="16"/>
  <c r="Z133" i="16"/>
  <c r="AA133" i="16"/>
  <c r="AB133" i="16"/>
  <c r="AC133" i="16"/>
  <c r="W134" i="16"/>
  <c r="AD134" i="16" s="1"/>
  <c r="X134" i="16"/>
  <c r="Y134" i="16"/>
  <c r="Z134" i="16"/>
  <c r="AA134" i="16"/>
  <c r="AB134" i="16"/>
  <c r="AC134" i="16"/>
  <c r="W135" i="16"/>
  <c r="AD135" i="16" s="1"/>
  <c r="X135" i="16"/>
  <c r="Y135" i="16"/>
  <c r="Z135" i="16"/>
  <c r="AA135" i="16"/>
  <c r="AB135" i="16"/>
  <c r="AC135" i="16"/>
  <c r="W136" i="16"/>
  <c r="AD136" i="16" s="1"/>
  <c r="X136" i="16"/>
  <c r="Y136" i="16"/>
  <c r="Z136" i="16"/>
  <c r="AA136" i="16"/>
  <c r="AB136" i="16"/>
  <c r="AC136" i="16"/>
  <c r="W137" i="16"/>
  <c r="AD137" i="16" s="1"/>
  <c r="X137" i="16"/>
  <c r="Y137" i="16"/>
  <c r="Z137" i="16"/>
  <c r="AA137" i="16"/>
  <c r="AB137" i="16"/>
  <c r="AC137" i="16"/>
  <c r="W138" i="16"/>
  <c r="AD138" i="16" s="1"/>
  <c r="X138" i="16"/>
  <c r="Y138" i="16"/>
  <c r="Z138" i="16"/>
  <c r="AA138" i="16"/>
  <c r="AB138" i="16"/>
  <c r="AC138" i="16"/>
  <c r="W139" i="16"/>
  <c r="AD139" i="16" s="1"/>
  <c r="X139" i="16"/>
  <c r="Y139" i="16"/>
  <c r="Z139" i="16"/>
  <c r="AA139" i="16"/>
  <c r="AB139" i="16"/>
  <c r="AC139" i="16"/>
  <c r="W140" i="16"/>
  <c r="AD140" i="16" s="1"/>
  <c r="X140" i="16"/>
  <c r="Y140" i="16"/>
  <c r="Z140" i="16"/>
  <c r="AA140" i="16"/>
  <c r="AB140" i="16"/>
  <c r="AC140" i="16"/>
  <c r="W141" i="16"/>
  <c r="AD141" i="16" s="1"/>
  <c r="X141" i="16"/>
  <c r="Y141" i="16"/>
  <c r="Z141" i="16"/>
  <c r="AA141" i="16"/>
  <c r="AB141" i="16"/>
  <c r="AC141" i="16"/>
  <c r="H142" i="16"/>
  <c r="AA142" i="16"/>
  <c r="AB142" i="16"/>
  <c r="H143" i="16"/>
  <c r="AA143" i="16"/>
  <c r="AB143" i="16"/>
  <c r="H144" i="16"/>
  <c r="AA144" i="16"/>
  <c r="AB144" i="16"/>
  <c r="H145" i="16"/>
  <c r="AA145" i="16"/>
  <c r="AB145" i="16"/>
  <c r="H146" i="16"/>
  <c r="AA146" i="16"/>
  <c r="AB146" i="16"/>
  <c r="H147" i="16"/>
  <c r="AA147" i="16"/>
  <c r="AB147" i="16"/>
  <c r="H148" i="16"/>
  <c r="AA148" i="16"/>
  <c r="AB148" i="16"/>
  <c r="H149" i="16"/>
  <c r="AA149" i="16"/>
  <c r="AB149" i="16"/>
  <c r="H150" i="16"/>
  <c r="AA150" i="16"/>
  <c r="AB150" i="16"/>
  <c r="H151" i="16"/>
  <c r="AA151" i="16"/>
  <c r="AB151" i="16"/>
  <c r="H152" i="16"/>
  <c r="AA152" i="16"/>
  <c r="AB152" i="16"/>
  <c r="H153" i="16"/>
  <c r="AA153" i="16"/>
  <c r="AB153" i="16"/>
  <c r="H154" i="16"/>
  <c r="AA154" i="16"/>
  <c r="AB154" i="16"/>
  <c r="H155" i="16"/>
  <c r="AA155" i="16"/>
  <c r="AB155" i="16"/>
  <c r="H156" i="16"/>
  <c r="AA156" i="16"/>
  <c r="AB156" i="16"/>
  <c r="H157" i="16"/>
  <c r="AA157" i="16"/>
  <c r="AB157" i="16"/>
  <c r="H158" i="16"/>
  <c r="AA158" i="16"/>
  <c r="AB158" i="16"/>
  <c r="H159" i="16"/>
  <c r="AA159" i="16"/>
  <c r="AB159" i="16"/>
  <c r="H160" i="16"/>
  <c r="AA160" i="16"/>
  <c r="AB160" i="16"/>
  <c r="H161" i="16"/>
  <c r="AA161" i="16"/>
  <c r="AB161" i="16"/>
  <c r="H162" i="16"/>
  <c r="AA162" i="16"/>
  <c r="AB162" i="16"/>
  <c r="H163" i="16"/>
  <c r="AA163" i="16"/>
  <c r="AB163" i="16"/>
  <c r="H164" i="16"/>
  <c r="AA164" i="16"/>
  <c r="AB164" i="16"/>
  <c r="H165" i="16"/>
  <c r="AA165" i="16"/>
  <c r="AB165" i="16"/>
  <c r="H166" i="16"/>
  <c r="AA166" i="16"/>
  <c r="AB166" i="16"/>
  <c r="H167" i="16"/>
  <c r="AA167" i="16"/>
  <c r="AB167" i="16"/>
  <c r="H168" i="16"/>
  <c r="AA168" i="16"/>
  <c r="AB168" i="16"/>
  <c r="H169" i="16"/>
  <c r="AA169" i="16"/>
  <c r="AB169" i="16"/>
  <c r="H170" i="16"/>
  <c r="AA170" i="16"/>
  <c r="AB170" i="16"/>
  <c r="H171" i="16"/>
  <c r="AA171" i="16"/>
  <c r="AB171" i="16"/>
  <c r="H172" i="16"/>
  <c r="AA172" i="16"/>
  <c r="AB172" i="16"/>
  <c r="H173" i="16"/>
  <c r="AA173" i="16"/>
  <c r="AB173" i="16"/>
  <c r="H174" i="16"/>
  <c r="AA174" i="16"/>
  <c r="AB174" i="16"/>
  <c r="H175" i="16"/>
  <c r="AA175" i="16"/>
  <c r="AB175" i="16"/>
  <c r="H176" i="16"/>
  <c r="AA176" i="16"/>
  <c r="AB176" i="16"/>
  <c r="H177" i="16"/>
  <c r="AA177" i="16"/>
  <c r="AB177" i="16"/>
  <c r="H178" i="16"/>
  <c r="AA178" i="16"/>
  <c r="AB178" i="16"/>
  <c r="H179" i="16"/>
  <c r="AA179" i="16"/>
  <c r="AB179" i="16"/>
  <c r="H180" i="16"/>
  <c r="AA180" i="16"/>
  <c r="AB180" i="16"/>
  <c r="H181" i="16"/>
  <c r="AA181" i="16"/>
  <c r="AB181" i="16"/>
  <c r="H182" i="16"/>
  <c r="AA182" i="16"/>
  <c r="AB182" i="16"/>
  <c r="H183" i="16"/>
  <c r="AA183" i="16"/>
  <c r="AB183" i="16"/>
  <c r="H184" i="16"/>
  <c r="AA184" i="16"/>
  <c r="AB184" i="16"/>
  <c r="H185" i="16"/>
  <c r="AA185" i="16"/>
  <c r="AB185" i="16"/>
  <c r="H186" i="16"/>
  <c r="AA186" i="16"/>
  <c r="AB186" i="16"/>
  <c r="H187" i="16"/>
  <c r="AA187" i="16"/>
  <c r="AB187" i="16"/>
  <c r="H188" i="16"/>
  <c r="AA188" i="16"/>
  <c r="AB188" i="16"/>
  <c r="H189" i="16"/>
  <c r="AA189" i="16"/>
  <c r="AB189" i="16"/>
  <c r="H190" i="16"/>
  <c r="AA190" i="16"/>
  <c r="AB190" i="16"/>
  <c r="H191" i="16"/>
  <c r="AA191" i="16"/>
  <c r="AB191" i="16"/>
  <c r="H192" i="16"/>
  <c r="AA192" i="16"/>
  <c r="AB192" i="16"/>
  <c r="H193" i="16"/>
  <c r="AA193" i="16"/>
  <c r="AB193" i="16"/>
  <c r="H194" i="16"/>
  <c r="AA194" i="16"/>
  <c r="AB194" i="16"/>
  <c r="H195" i="16"/>
  <c r="AA195" i="16"/>
  <c r="AB195" i="16"/>
  <c r="H196" i="16"/>
  <c r="AA196" i="16"/>
  <c r="AB196" i="16"/>
  <c r="H197" i="16"/>
  <c r="AA197" i="16"/>
  <c r="AB197" i="16"/>
  <c r="H198" i="16"/>
  <c r="AA198" i="16"/>
  <c r="AB198" i="16"/>
  <c r="H199" i="16"/>
  <c r="AA199" i="16"/>
  <c r="AB199" i="16"/>
  <c r="H200" i="16"/>
  <c r="AA200" i="16"/>
  <c r="AB200" i="16"/>
  <c r="H201" i="16"/>
  <c r="AA201" i="16"/>
  <c r="AB201" i="16"/>
  <c r="H202" i="16"/>
  <c r="AA202" i="16"/>
  <c r="AB202" i="16"/>
  <c r="H203" i="16"/>
  <c r="AA203" i="16"/>
  <c r="AB203" i="16"/>
  <c r="H204" i="16"/>
  <c r="AA204" i="16"/>
  <c r="AB204" i="16"/>
  <c r="H205" i="16"/>
  <c r="AA205" i="16"/>
  <c r="AB205" i="16"/>
  <c r="H206" i="16"/>
  <c r="AA206" i="16"/>
  <c r="AB206" i="16"/>
  <c r="H207" i="16"/>
  <c r="AA207" i="16"/>
  <c r="AB207" i="16"/>
  <c r="H208" i="16"/>
  <c r="AA208" i="16"/>
  <c r="AB208" i="16"/>
  <c r="H209" i="16"/>
  <c r="AA209" i="16"/>
  <c r="AB209" i="16"/>
  <c r="H210" i="16"/>
  <c r="AA210" i="16"/>
  <c r="AB210" i="16"/>
  <c r="H211" i="16"/>
  <c r="AA211" i="16"/>
  <c r="AB211" i="16"/>
  <c r="H212" i="16"/>
  <c r="AA212" i="16"/>
  <c r="AB212" i="16"/>
  <c r="H213" i="16"/>
  <c r="AA213" i="16"/>
  <c r="AB213" i="16"/>
  <c r="H214" i="16"/>
  <c r="AA214" i="16"/>
  <c r="AB214" i="16"/>
  <c r="H215" i="16"/>
  <c r="AA215" i="16"/>
  <c r="AB215" i="16"/>
  <c r="H216" i="16"/>
  <c r="AA216" i="16"/>
  <c r="AB216" i="16"/>
  <c r="H217" i="16"/>
  <c r="AA217" i="16"/>
  <c r="AB217" i="16"/>
  <c r="H218" i="16"/>
  <c r="AA218" i="16"/>
  <c r="AB218" i="16"/>
  <c r="H219" i="16"/>
  <c r="AA219" i="16"/>
  <c r="AB219" i="16"/>
  <c r="H220" i="16"/>
  <c r="AA220" i="16"/>
  <c r="AB220" i="16"/>
  <c r="H221" i="16"/>
  <c r="AA221" i="16"/>
  <c r="AB221" i="16"/>
  <c r="H222" i="16"/>
  <c r="AA222" i="16"/>
  <c r="AB222" i="16"/>
  <c r="H223" i="16"/>
  <c r="AA223" i="16"/>
  <c r="AB223" i="16"/>
  <c r="H224" i="16"/>
  <c r="AA224" i="16"/>
  <c r="AB224" i="16"/>
  <c r="H225" i="16"/>
  <c r="AA225" i="16"/>
  <c r="AB225" i="16"/>
  <c r="H226" i="16"/>
  <c r="AA226" i="16"/>
  <c r="AB226" i="16"/>
  <c r="H227" i="16"/>
  <c r="AA227" i="16"/>
  <c r="AB227" i="16"/>
  <c r="H228" i="16"/>
  <c r="AA228" i="16"/>
  <c r="AB228" i="16"/>
  <c r="H229" i="16"/>
  <c r="AA229" i="16"/>
  <c r="AB229" i="16"/>
  <c r="H230" i="16"/>
  <c r="AA230" i="16"/>
  <c r="AB230" i="16"/>
  <c r="H231" i="16"/>
  <c r="AA231" i="16"/>
  <c r="AB231" i="16"/>
  <c r="H232" i="16"/>
  <c r="AA232" i="16"/>
  <c r="AB232" i="16"/>
  <c r="H233" i="16"/>
  <c r="AA233" i="16"/>
  <c r="AB233" i="16"/>
  <c r="H234" i="16"/>
  <c r="AA234" i="16"/>
  <c r="AB234" i="16"/>
  <c r="H235" i="16"/>
  <c r="AA235" i="16"/>
  <c r="AB235" i="16"/>
  <c r="H236" i="16"/>
  <c r="AA236" i="16"/>
  <c r="AB236" i="16"/>
  <c r="H237" i="16"/>
  <c r="AA237" i="16"/>
  <c r="AB237" i="16"/>
  <c r="H238" i="16"/>
  <c r="AA238" i="16"/>
  <c r="AB238" i="16"/>
  <c r="H239" i="16"/>
  <c r="AA239" i="16"/>
  <c r="AB239" i="16"/>
  <c r="H240" i="16"/>
  <c r="AA240" i="16"/>
  <c r="AB240" i="16"/>
  <c r="H241" i="16"/>
  <c r="AA241" i="16"/>
  <c r="AB241" i="16"/>
  <c r="H242" i="16"/>
  <c r="AA242" i="16"/>
  <c r="AB242" i="16"/>
  <c r="H243" i="16"/>
  <c r="AA243" i="16"/>
  <c r="AB243" i="16"/>
  <c r="H244" i="16"/>
  <c r="AA244" i="16"/>
  <c r="AB244" i="16"/>
  <c r="H245" i="16"/>
  <c r="AA245" i="16"/>
  <c r="AB245" i="16"/>
  <c r="H246" i="16"/>
  <c r="AA246" i="16"/>
  <c r="AB246" i="16"/>
  <c r="H247" i="16"/>
  <c r="AA247" i="16"/>
  <c r="AB247" i="16"/>
  <c r="H248" i="16"/>
  <c r="AA248" i="16"/>
  <c r="AB248" i="16"/>
  <c r="H249" i="16"/>
  <c r="AA249" i="16"/>
  <c r="AB249" i="16"/>
  <c r="H250" i="16"/>
  <c r="AA250" i="16"/>
  <c r="AB250" i="16"/>
  <c r="H251" i="16"/>
  <c r="AA251" i="16"/>
  <c r="AB251" i="16"/>
  <c r="H252" i="16"/>
  <c r="AA252" i="16"/>
  <c r="AB252" i="16"/>
  <c r="H253" i="16"/>
  <c r="AA253" i="16"/>
  <c r="AB253" i="16"/>
  <c r="H254" i="16"/>
  <c r="AA254" i="16"/>
  <c r="AB254" i="16"/>
  <c r="H255" i="16"/>
  <c r="AA255" i="16"/>
  <c r="AB255" i="16"/>
  <c r="H256" i="16"/>
  <c r="H257" i="16"/>
  <c r="H258" i="16"/>
  <c r="H259" i="16"/>
  <c r="H260" i="16"/>
  <c r="H261" i="16"/>
  <c r="H262" i="16"/>
  <c r="H263" i="16"/>
  <c r="H264" i="16"/>
  <c r="H265" i="16"/>
  <c r="H266" i="16"/>
  <c r="H267" i="16"/>
  <c r="H268" i="16"/>
  <c r="H269" i="16"/>
  <c r="H270" i="16"/>
  <c r="H271" i="16"/>
  <c r="H272" i="16"/>
  <c r="H273" i="16"/>
  <c r="H274" i="16"/>
  <c r="H275" i="16"/>
  <c r="H276" i="16"/>
  <c r="H277" i="16"/>
  <c r="H278" i="16"/>
  <c r="H279" i="16"/>
  <c r="H280" i="16"/>
  <c r="H281" i="16"/>
  <c r="H282" i="16"/>
  <c r="H283" i="16"/>
  <c r="H284" i="16"/>
  <c r="H285" i="16"/>
  <c r="H286" i="16"/>
  <c r="H287" i="16"/>
  <c r="H288" i="16"/>
  <c r="H289" i="16"/>
  <c r="H290" i="16"/>
  <c r="H291" i="16"/>
  <c r="H292" i="16"/>
  <c r="H293" i="16"/>
  <c r="H294" i="16"/>
  <c r="H295" i="16"/>
  <c r="H296" i="16"/>
  <c r="H297" i="16"/>
  <c r="H298" i="16"/>
  <c r="H299" i="16"/>
  <c r="H300" i="16"/>
  <c r="H301" i="16"/>
  <c r="H302" i="16"/>
  <c r="H303" i="16"/>
  <c r="H304" i="16"/>
  <c r="H305" i="16"/>
  <c r="H306" i="16"/>
  <c r="H307" i="16"/>
  <c r="H308" i="16"/>
  <c r="H309" i="16"/>
  <c r="H310" i="16"/>
  <c r="H311" i="16"/>
  <c r="H312" i="16"/>
  <c r="H313" i="16"/>
  <c r="H314" i="16"/>
  <c r="H315" i="16"/>
  <c r="H316" i="16"/>
  <c r="H317" i="16"/>
  <c r="H318" i="16"/>
  <c r="H319" i="16"/>
  <c r="H320" i="16"/>
  <c r="H321" i="16"/>
  <c r="H322" i="16"/>
  <c r="H323" i="16"/>
  <c r="H324" i="16"/>
  <c r="H325" i="16"/>
  <c r="H326" i="16"/>
  <c r="H327" i="16"/>
  <c r="H328" i="16"/>
  <c r="H329" i="16"/>
  <c r="H330" i="16"/>
  <c r="H331" i="16"/>
  <c r="H332" i="16"/>
  <c r="H333" i="16"/>
  <c r="H334" i="16"/>
  <c r="H335" i="16"/>
  <c r="H336" i="16"/>
  <c r="H337" i="16"/>
  <c r="H338" i="16"/>
  <c r="H339" i="16"/>
  <c r="H340" i="16"/>
  <c r="H341" i="16"/>
  <c r="H342" i="16"/>
  <c r="H343" i="16"/>
  <c r="H344" i="16"/>
  <c r="H345" i="16"/>
  <c r="H346" i="16"/>
  <c r="H347" i="16"/>
  <c r="H348" i="16"/>
  <c r="H349" i="16"/>
  <c r="H350" i="16"/>
  <c r="H351" i="16"/>
  <c r="H352" i="16"/>
  <c r="H353" i="16"/>
  <c r="H354" i="16"/>
  <c r="H355" i="16"/>
  <c r="H356" i="16"/>
  <c r="H357" i="16"/>
  <c r="H358" i="16"/>
  <c r="H359" i="16"/>
  <c r="H360" i="16"/>
  <c r="H361" i="16"/>
  <c r="H362" i="16"/>
  <c r="H363" i="16"/>
  <c r="H364" i="16"/>
  <c r="H365" i="16"/>
  <c r="H366" i="16"/>
  <c r="H367" i="16"/>
  <c r="H368" i="16"/>
  <c r="H369" i="16"/>
  <c r="H370" i="16"/>
  <c r="H371" i="16"/>
  <c r="H372" i="16"/>
  <c r="H373" i="16"/>
  <c r="H374" i="16"/>
  <c r="H375" i="16"/>
  <c r="H376" i="16"/>
  <c r="H377" i="16"/>
  <c r="H378" i="16"/>
  <c r="H379" i="16"/>
  <c r="H380" i="16"/>
  <c r="H381" i="16"/>
  <c r="H382" i="16"/>
  <c r="H383" i="16"/>
  <c r="H384" i="16"/>
  <c r="H385" i="16"/>
  <c r="H386" i="16"/>
  <c r="H387" i="16"/>
  <c r="H388" i="16"/>
  <c r="H389" i="16"/>
  <c r="H390" i="16"/>
  <c r="H391" i="16"/>
  <c r="H392" i="16"/>
  <c r="H393" i="16"/>
  <c r="H394" i="16"/>
  <c r="H395" i="16"/>
  <c r="H396" i="16"/>
  <c r="H397" i="16"/>
  <c r="H398" i="16"/>
  <c r="H399" i="16"/>
  <c r="H400" i="16"/>
  <c r="H401" i="16"/>
  <c r="H402" i="16"/>
  <c r="H403" i="16"/>
  <c r="H404" i="16"/>
  <c r="H405" i="16"/>
  <c r="H406" i="16"/>
  <c r="H407" i="16"/>
  <c r="H408" i="16"/>
  <c r="H409" i="16"/>
  <c r="H410" i="16"/>
  <c r="H411" i="16"/>
  <c r="H412" i="16"/>
  <c r="H413" i="16"/>
  <c r="H414" i="16"/>
  <c r="H415" i="16"/>
  <c r="H416" i="16"/>
  <c r="H417" i="16"/>
  <c r="H418" i="16"/>
  <c r="H419" i="16"/>
  <c r="H420" i="16"/>
  <c r="H421" i="16"/>
  <c r="H422" i="16"/>
  <c r="H423" i="16"/>
  <c r="H424" i="16"/>
  <c r="H425" i="16"/>
  <c r="H426" i="16"/>
  <c r="H427" i="16"/>
  <c r="H428" i="16"/>
  <c r="H429" i="16"/>
  <c r="H430" i="16"/>
  <c r="H431" i="16"/>
  <c r="H432" i="16"/>
  <c r="H433" i="16"/>
  <c r="H434" i="16"/>
  <c r="H435" i="16"/>
  <c r="H436" i="16"/>
  <c r="H437" i="16"/>
  <c r="H438" i="16"/>
  <c r="H439" i="16"/>
  <c r="H440" i="16"/>
  <c r="H441" i="16"/>
  <c r="H442" i="16"/>
  <c r="H443" i="16"/>
  <c r="H444" i="16"/>
  <c r="H445" i="16"/>
  <c r="H446" i="16"/>
  <c r="H447" i="16"/>
  <c r="H448" i="16"/>
  <c r="H449" i="16"/>
  <c r="H450" i="16"/>
  <c r="H451" i="16"/>
  <c r="H452" i="16"/>
  <c r="H453" i="16"/>
  <c r="H454" i="16"/>
  <c r="H455" i="16"/>
  <c r="H456" i="16"/>
  <c r="H457" i="16"/>
  <c r="H458" i="16"/>
  <c r="H459" i="16"/>
  <c r="H460" i="16"/>
  <c r="H461" i="16"/>
  <c r="H462" i="16"/>
  <c r="H463" i="16"/>
  <c r="H464" i="16"/>
  <c r="H465" i="16"/>
  <c r="H466" i="16"/>
  <c r="H467" i="16"/>
  <c r="H468" i="16"/>
  <c r="H469" i="16"/>
  <c r="H470" i="16"/>
  <c r="H471" i="16"/>
  <c r="H472" i="16"/>
  <c r="H473" i="16"/>
  <c r="H474" i="16"/>
  <c r="H475" i="16"/>
  <c r="H476" i="16"/>
  <c r="H477" i="16"/>
  <c r="H478" i="16"/>
  <c r="H479" i="16"/>
  <c r="H480" i="16"/>
  <c r="H481" i="16"/>
  <c r="H482" i="16"/>
  <c r="H483" i="16"/>
  <c r="H484" i="16"/>
  <c r="H485" i="16"/>
  <c r="H486" i="16"/>
  <c r="H487" i="16"/>
  <c r="H488" i="16"/>
  <c r="H489" i="16"/>
  <c r="H490" i="16"/>
  <c r="H491" i="16"/>
  <c r="H492" i="16"/>
  <c r="H493" i="16"/>
  <c r="H494" i="16"/>
  <c r="H495" i="16"/>
  <c r="H496" i="16"/>
  <c r="H497" i="16"/>
  <c r="H498" i="16"/>
  <c r="H499" i="16"/>
  <c r="H500" i="16"/>
  <c r="H501" i="16"/>
  <c r="H502" i="16"/>
  <c r="H503" i="16"/>
  <c r="H504" i="16"/>
  <c r="H505" i="16"/>
  <c r="H506" i="16"/>
  <c r="H507" i="16"/>
  <c r="H508" i="16"/>
  <c r="H509" i="16"/>
  <c r="H510" i="16"/>
  <c r="H511" i="16"/>
  <c r="H512" i="16"/>
  <c r="H513" i="16"/>
  <c r="H514" i="16"/>
  <c r="H515" i="16"/>
  <c r="H516" i="16"/>
  <c r="H517" i="16"/>
  <c r="H518" i="16"/>
  <c r="H519" i="16"/>
  <c r="H520" i="16"/>
  <c r="H521" i="16"/>
  <c r="H522" i="16"/>
  <c r="H523" i="16"/>
  <c r="H524" i="16"/>
  <c r="H525" i="16"/>
  <c r="H526" i="16"/>
  <c r="H527" i="16"/>
  <c r="H528" i="16"/>
  <c r="H529" i="16"/>
  <c r="H530" i="16"/>
  <c r="H531" i="16"/>
  <c r="H532" i="16"/>
  <c r="H533" i="16"/>
  <c r="H534" i="16"/>
  <c r="H535" i="16"/>
  <c r="H536" i="16"/>
  <c r="H537" i="16"/>
  <c r="H538" i="16"/>
  <c r="H539" i="16"/>
  <c r="H540" i="16"/>
  <c r="H541" i="16"/>
  <c r="H542" i="16"/>
  <c r="H543" i="16"/>
  <c r="H544" i="16"/>
  <c r="H545" i="16"/>
  <c r="H546" i="16"/>
  <c r="H547" i="16"/>
  <c r="H548" i="16"/>
  <c r="H549" i="16"/>
  <c r="H550" i="16"/>
  <c r="H551" i="16"/>
  <c r="H552" i="16"/>
  <c r="H553" i="16"/>
  <c r="H554" i="16"/>
  <c r="H555" i="16"/>
  <c r="H556" i="16"/>
  <c r="H557" i="16"/>
  <c r="H558" i="16"/>
  <c r="H559" i="16"/>
  <c r="H560" i="16"/>
  <c r="H561" i="16"/>
  <c r="H562" i="16"/>
  <c r="H563" i="16"/>
  <c r="H564" i="16"/>
  <c r="H565" i="16"/>
  <c r="H566" i="16"/>
  <c r="H567" i="16"/>
  <c r="H568" i="16"/>
  <c r="H569" i="16"/>
  <c r="H570" i="16"/>
  <c r="H571" i="16"/>
  <c r="H572" i="16"/>
  <c r="H573" i="16"/>
  <c r="H574" i="16"/>
  <c r="H575" i="16"/>
  <c r="H576" i="16"/>
  <c r="H577" i="16"/>
  <c r="H578" i="16"/>
  <c r="H579" i="16"/>
  <c r="H580" i="16"/>
  <c r="H581" i="16"/>
  <c r="H582" i="16"/>
  <c r="H583" i="16"/>
  <c r="H584" i="16"/>
  <c r="H585" i="16"/>
  <c r="H586" i="16"/>
  <c r="H587" i="16"/>
  <c r="H588" i="16"/>
  <c r="H589" i="16"/>
  <c r="H590" i="16"/>
  <c r="H591" i="16"/>
  <c r="H592" i="16"/>
  <c r="H593" i="16"/>
  <c r="H594" i="16"/>
  <c r="H595" i="16"/>
  <c r="H596" i="16"/>
  <c r="H597" i="16"/>
  <c r="H598" i="16"/>
  <c r="H599" i="16"/>
  <c r="H600" i="16"/>
  <c r="H601" i="16"/>
  <c r="H602" i="16"/>
  <c r="H603" i="16"/>
  <c r="H604" i="16"/>
  <c r="H605" i="16"/>
  <c r="H606" i="16"/>
  <c r="H607" i="16"/>
  <c r="H608" i="16"/>
  <c r="H609" i="16"/>
  <c r="H610" i="16"/>
  <c r="H611" i="16"/>
  <c r="H612" i="16"/>
  <c r="H613" i="16"/>
  <c r="H614" i="16"/>
  <c r="H615" i="16"/>
  <c r="H616" i="16"/>
  <c r="H617" i="16"/>
  <c r="H618" i="16"/>
  <c r="H619" i="16"/>
  <c r="H620" i="16"/>
  <c r="H621" i="16"/>
  <c r="H622" i="16"/>
  <c r="H623" i="16"/>
  <c r="H624" i="16"/>
  <c r="H625" i="16"/>
  <c r="H626" i="16"/>
  <c r="H627" i="16"/>
  <c r="H628" i="16"/>
  <c r="H629" i="16"/>
  <c r="H630" i="16"/>
  <c r="H631" i="16"/>
  <c r="H632" i="16"/>
  <c r="H633" i="16"/>
  <c r="H634" i="16"/>
  <c r="H635" i="16"/>
  <c r="H636" i="16"/>
  <c r="H637" i="16"/>
  <c r="H638" i="16"/>
  <c r="H639" i="16"/>
  <c r="H640" i="16"/>
  <c r="H641" i="16"/>
  <c r="H642" i="16"/>
  <c r="H643" i="16"/>
  <c r="H644" i="16"/>
  <c r="H645" i="16"/>
  <c r="H646" i="16"/>
  <c r="H647" i="16"/>
  <c r="H648" i="16"/>
  <c r="H649" i="16"/>
  <c r="H650" i="16"/>
  <c r="H651" i="16"/>
  <c r="H652" i="16"/>
  <c r="H653" i="16"/>
  <c r="H654" i="16"/>
  <c r="H655" i="16"/>
  <c r="H656" i="16"/>
  <c r="H657" i="16"/>
  <c r="H658" i="16"/>
  <c r="H659" i="16"/>
  <c r="H660" i="16"/>
  <c r="H661" i="16"/>
  <c r="H662" i="16"/>
  <c r="H663" i="16"/>
  <c r="H664" i="16"/>
  <c r="H665" i="16"/>
  <c r="H666" i="16"/>
  <c r="H667" i="16"/>
  <c r="H668" i="16"/>
  <c r="H669" i="16"/>
  <c r="H670" i="16"/>
  <c r="H671" i="16"/>
  <c r="H672" i="16"/>
  <c r="H673" i="16"/>
  <c r="H674" i="16"/>
  <c r="H675" i="16"/>
  <c r="H676" i="16"/>
  <c r="H677" i="16"/>
  <c r="H678" i="16"/>
  <c r="H679" i="16"/>
  <c r="H680" i="16"/>
  <c r="H681" i="16"/>
  <c r="H682" i="16"/>
  <c r="H683" i="16"/>
  <c r="H684" i="16"/>
  <c r="H685" i="16"/>
  <c r="H686" i="16"/>
  <c r="H687" i="16"/>
  <c r="H688" i="16"/>
  <c r="H689" i="16"/>
  <c r="H690" i="16"/>
  <c r="H691" i="16"/>
  <c r="H692" i="16"/>
  <c r="H693" i="16"/>
  <c r="H694" i="16"/>
  <c r="H695" i="16"/>
  <c r="H696" i="16"/>
  <c r="H697" i="16"/>
  <c r="H698" i="16"/>
  <c r="H699" i="16"/>
  <c r="H700" i="16"/>
  <c r="H701" i="16"/>
  <c r="H702" i="16"/>
  <c r="H703" i="16"/>
  <c r="H704" i="16"/>
  <c r="H705" i="16"/>
  <c r="H706" i="16"/>
  <c r="H707" i="16"/>
  <c r="H708" i="16"/>
  <c r="H709" i="16"/>
  <c r="H710" i="16"/>
  <c r="H711" i="16"/>
  <c r="H712" i="16"/>
  <c r="H713" i="16"/>
  <c r="H714" i="16"/>
  <c r="H715" i="16"/>
  <c r="H716" i="16"/>
  <c r="H717" i="16"/>
  <c r="H718" i="16"/>
  <c r="H719" i="16"/>
  <c r="H720" i="16"/>
  <c r="H721" i="16"/>
  <c r="H722" i="16"/>
  <c r="H723" i="16"/>
  <c r="H724" i="16"/>
  <c r="H725" i="16"/>
  <c r="H726" i="16"/>
  <c r="H727" i="16"/>
  <c r="H728" i="16"/>
  <c r="H729" i="16"/>
  <c r="H730" i="16"/>
  <c r="H731" i="16"/>
  <c r="H732" i="16"/>
  <c r="H733" i="16"/>
  <c r="H734" i="16"/>
  <c r="H735" i="16"/>
  <c r="H736" i="16"/>
  <c r="H737" i="16"/>
  <c r="H738" i="16"/>
  <c r="H739" i="16"/>
  <c r="H740" i="16"/>
  <c r="H741" i="16"/>
  <c r="H742" i="16"/>
  <c r="H743" i="16"/>
  <c r="H744" i="16"/>
  <c r="H745" i="16"/>
  <c r="H746" i="16"/>
  <c r="H747" i="16"/>
  <c r="H748" i="16"/>
  <c r="H749" i="16"/>
  <c r="H750" i="16"/>
  <c r="H751" i="16"/>
  <c r="H752" i="16"/>
  <c r="H753" i="16"/>
  <c r="H754" i="16"/>
  <c r="H755" i="16"/>
  <c r="H756" i="16"/>
  <c r="H757" i="16"/>
  <c r="H758" i="16"/>
  <c r="H759" i="16"/>
  <c r="H760" i="16"/>
  <c r="H761" i="16"/>
  <c r="H762" i="16"/>
  <c r="H763" i="16"/>
  <c r="H764" i="16"/>
  <c r="H765" i="16"/>
  <c r="H766" i="16"/>
  <c r="H767" i="16"/>
  <c r="H768" i="16"/>
  <c r="H769" i="16"/>
  <c r="H770" i="16"/>
  <c r="H771" i="16"/>
  <c r="H772" i="16"/>
  <c r="H773" i="16"/>
  <c r="H774" i="16"/>
  <c r="H775" i="16"/>
  <c r="H776" i="16"/>
  <c r="H777" i="16"/>
  <c r="H778" i="16"/>
  <c r="H779" i="16"/>
  <c r="H780" i="16"/>
  <c r="H781" i="16"/>
  <c r="H782" i="16"/>
  <c r="H783" i="16"/>
  <c r="H784" i="16"/>
  <c r="H785" i="16"/>
  <c r="H786" i="16"/>
  <c r="H787" i="16"/>
  <c r="H788" i="16"/>
  <c r="H789" i="16"/>
  <c r="H790" i="16"/>
  <c r="H791" i="16"/>
  <c r="H792" i="16"/>
  <c r="H793" i="16"/>
  <c r="H794" i="16"/>
  <c r="H795" i="16"/>
  <c r="H796" i="16"/>
  <c r="H797" i="16"/>
  <c r="H798" i="16"/>
  <c r="H799" i="16"/>
  <c r="H800" i="16"/>
  <c r="H801" i="16"/>
  <c r="H802" i="16"/>
  <c r="H803" i="16"/>
  <c r="H804" i="16"/>
  <c r="H805" i="16"/>
  <c r="H806" i="16"/>
  <c r="H807" i="16"/>
  <c r="H808" i="16"/>
  <c r="H809" i="16"/>
  <c r="H810" i="16"/>
  <c r="H811" i="16"/>
  <c r="H812" i="16"/>
  <c r="H813" i="16"/>
  <c r="H814" i="16"/>
  <c r="H815" i="16"/>
  <c r="H816" i="16"/>
  <c r="H817" i="16"/>
  <c r="H818" i="16"/>
  <c r="H819" i="16"/>
  <c r="H820" i="16"/>
  <c r="H821" i="16"/>
  <c r="H822" i="16"/>
  <c r="H823" i="16"/>
  <c r="H824" i="16"/>
  <c r="H825" i="16"/>
  <c r="H826" i="16"/>
  <c r="H827" i="16"/>
  <c r="H828" i="16"/>
  <c r="H829" i="16"/>
  <c r="H830" i="16"/>
  <c r="H831" i="16"/>
  <c r="H832" i="16"/>
  <c r="H833" i="16"/>
  <c r="H834" i="16"/>
  <c r="H835" i="16"/>
  <c r="H836" i="16"/>
  <c r="H837" i="16"/>
  <c r="H838" i="16"/>
  <c r="H839" i="16"/>
  <c r="H840" i="16"/>
  <c r="H841" i="16"/>
  <c r="H842" i="16"/>
  <c r="H843" i="16"/>
  <c r="H844" i="16"/>
  <c r="H845" i="16"/>
  <c r="H846" i="16"/>
  <c r="H847" i="16"/>
  <c r="H848" i="16"/>
  <c r="H849" i="16"/>
  <c r="H850" i="16"/>
  <c r="H851" i="16"/>
  <c r="H852" i="16"/>
  <c r="H853" i="16"/>
  <c r="H854" i="16"/>
  <c r="H855" i="16"/>
  <c r="H856" i="16"/>
  <c r="H857" i="16"/>
  <c r="H858" i="16"/>
  <c r="H859" i="16"/>
  <c r="H860" i="16"/>
  <c r="H861" i="16"/>
  <c r="H862" i="16"/>
  <c r="H863" i="16"/>
  <c r="H864" i="16"/>
  <c r="H865" i="16"/>
  <c r="H866" i="16"/>
  <c r="H867" i="16"/>
  <c r="H868" i="16"/>
  <c r="H869" i="16"/>
  <c r="H870" i="16"/>
  <c r="H871" i="16"/>
  <c r="H872" i="16"/>
  <c r="H873" i="16"/>
  <c r="H874" i="16"/>
  <c r="H875" i="16"/>
  <c r="H876" i="16"/>
  <c r="H877" i="16"/>
  <c r="H878" i="16"/>
  <c r="H879" i="16"/>
  <c r="H880" i="16"/>
  <c r="H881" i="16"/>
  <c r="H882" i="16"/>
  <c r="H883" i="16"/>
  <c r="H884" i="16"/>
  <c r="H885" i="16"/>
  <c r="H886" i="16"/>
  <c r="H887" i="16"/>
  <c r="H888" i="16"/>
  <c r="H889" i="16"/>
  <c r="H890" i="16"/>
  <c r="H891" i="16"/>
  <c r="H892" i="16"/>
  <c r="H893" i="16"/>
  <c r="H894" i="16"/>
  <c r="H895" i="16"/>
  <c r="H896" i="16"/>
  <c r="H897" i="16"/>
  <c r="H898" i="16"/>
  <c r="H899" i="16"/>
  <c r="H900" i="16"/>
  <c r="H901" i="16"/>
  <c r="H902" i="16"/>
  <c r="H903" i="16"/>
  <c r="H904" i="16"/>
  <c r="H905" i="16"/>
  <c r="H906" i="16"/>
  <c r="H907" i="16"/>
  <c r="H908" i="16"/>
  <c r="H909" i="16"/>
  <c r="H910" i="16"/>
  <c r="H911" i="16"/>
  <c r="H912" i="16"/>
  <c r="H913" i="16"/>
  <c r="H914" i="16"/>
  <c r="H915" i="16"/>
  <c r="H916" i="16"/>
  <c r="H917" i="16"/>
  <c r="H918" i="16"/>
  <c r="H919" i="16"/>
  <c r="H920" i="16"/>
  <c r="H921" i="16"/>
  <c r="H922" i="16"/>
  <c r="H923" i="16"/>
  <c r="H924" i="16"/>
  <c r="H925" i="16"/>
  <c r="H926" i="16"/>
  <c r="H927" i="16"/>
  <c r="H928" i="16"/>
  <c r="H929" i="16"/>
  <c r="H930" i="16"/>
  <c r="H931" i="16"/>
  <c r="H932" i="16"/>
  <c r="H933" i="16"/>
  <c r="H934" i="16"/>
  <c r="H935" i="16"/>
  <c r="H936" i="16"/>
  <c r="H937" i="16"/>
  <c r="H938" i="16"/>
  <c r="H939" i="16"/>
  <c r="H940" i="16"/>
  <c r="H941" i="16"/>
  <c r="H942" i="16"/>
  <c r="H943" i="16"/>
  <c r="H944" i="16"/>
  <c r="H945" i="16"/>
  <c r="H946" i="16"/>
  <c r="H947" i="16"/>
  <c r="H948" i="16"/>
  <c r="H949" i="16"/>
  <c r="H950" i="16"/>
  <c r="H951" i="16"/>
  <c r="H952" i="16"/>
  <c r="H953" i="16"/>
  <c r="H954" i="16"/>
  <c r="H955" i="16"/>
  <c r="H956" i="16"/>
  <c r="H957" i="16"/>
  <c r="H958" i="16"/>
  <c r="H959" i="16"/>
  <c r="H960" i="16"/>
  <c r="H961" i="16"/>
  <c r="H962" i="16"/>
  <c r="H963" i="16"/>
  <c r="H964" i="16"/>
  <c r="H965" i="16"/>
  <c r="H966" i="16"/>
  <c r="H967" i="16"/>
  <c r="H968" i="16"/>
  <c r="H969" i="16"/>
  <c r="H970" i="16"/>
  <c r="H971" i="16"/>
  <c r="H972" i="16"/>
  <c r="H973" i="16"/>
  <c r="H974" i="16"/>
  <c r="H975" i="16"/>
  <c r="H976" i="16"/>
  <c r="H977" i="16"/>
  <c r="H978" i="16"/>
  <c r="H979" i="16"/>
  <c r="H980" i="16"/>
  <c r="H981" i="16"/>
  <c r="H982" i="16"/>
  <c r="H983" i="16"/>
  <c r="H984" i="16"/>
  <c r="H985" i="16"/>
  <c r="H986" i="16"/>
  <c r="H987" i="16"/>
  <c r="H988" i="16"/>
  <c r="H989" i="16"/>
  <c r="H990" i="16"/>
  <c r="H991" i="16"/>
  <c r="H992" i="16"/>
  <c r="H993" i="16"/>
  <c r="H994" i="16"/>
  <c r="H995" i="16"/>
  <c r="H996" i="16"/>
  <c r="H997" i="16"/>
  <c r="H998" i="16"/>
  <c r="H999" i="16"/>
  <c r="H1000" i="16"/>
  <c r="H1001" i="16"/>
  <c r="H1002" i="16"/>
  <c r="H1003" i="16"/>
  <c r="H1004" i="16"/>
  <c r="H1005" i="16"/>
  <c r="H1006" i="16"/>
  <c r="H1007" i="16"/>
  <c r="H1008" i="16"/>
  <c r="H1009" i="16"/>
  <c r="H1010" i="16"/>
  <c r="H1011" i="16"/>
  <c r="H1012" i="16"/>
  <c r="H1013" i="16"/>
  <c r="H1014" i="16"/>
  <c r="H1015" i="16"/>
  <c r="H1016" i="16"/>
  <c r="H1017" i="16"/>
  <c r="H1018" i="16"/>
  <c r="H1019" i="16"/>
  <c r="H1020" i="16"/>
  <c r="H1021" i="16"/>
  <c r="H1022" i="16"/>
  <c r="H1023" i="16"/>
  <c r="H1024" i="16"/>
  <c r="H1025" i="16"/>
  <c r="H1026" i="16"/>
  <c r="H1027" i="16"/>
  <c r="H1028" i="16"/>
  <c r="H1029" i="16"/>
  <c r="H1030" i="16"/>
  <c r="H1031" i="16"/>
  <c r="H1032" i="16"/>
  <c r="H1033" i="16"/>
  <c r="H1034" i="16"/>
  <c r="H1035" i="16"/>
  <c r="H1036" i="16"/>
  <c r="H1037" i="16"/>
  <c r="H1038" i="16"/>
  <c r="H1039" i="16"/>
  <c r="H1040" i="16"/>
  <c r="H1041" i="16"/>
  <c r="H1042" i="16"/>
  <c r="H1043" i="16"/>
  <c r="H1044" i="16"/>
  <c r="H1045" i="16"/>
  <c r="H1046" i="16"/>
  <c r="H1047" i="16"/>
  <c r="H1048" i="16"/>
  <c r="H1049" i="16"/>
  <c r="H1050" i="16"/>
  <c r="H1051" i="16"/>
  <c r="H1052" i="16"/>
  <c r="H1053" i="16"/>
  <c r="H1054" i="16"/>
  <c r="H1055" i="16"/>
  <c r="H1056" i="16"/>
  <c r="H1057" i="16"/>
  <c r="H1058" i="16"/>
  <c r="H1059" i="16"/>
  <c r="H1060" i="16"/>
  <c r="H1061" i="16"/>
  <c r="H1062" i="16"/>
  <c r="H1063" i="16"/>
  <c r="H1064" i="16"/>
  <c r="H1065" i="16"/>
  <c r="H1066" i="16"/>
  <c r="H1067" i="16"/>
  <c r="H1068" i="16"/>
  <c r="H1069" i="16"/>
  <c r="H1070" i="16"/>
  <c r="H1071" i="16"/>
  <c r="H1072" i="16"/>
  <c r="H1073" i="16"/>
  <c r="H1074" i="16"/>
  <c r="H1075" i="16"/>
  <c r="H1076" i="16"/>
  <c r="H1077" i="16"/>
  <c r="H1078" i="16"/>
  <c r="H1079" i="16"/>
  <c r="H1080" i="16"/>
  <c r="H1081" i="16"/>
  <c r="H1082" i="16"/>
  <c r="H1083" i="16"/>
  <c r="H1084" i="16"/>
  <c r="H1085" i="16"/>
  <c r="H1086" i="16"/>
  <c r="H1087" i="16"/>
  <c r="H1088" i="16"/>
  <c r="H1089" i="16"/>
  <c r="H1090" i="16"/>
  <c r="H1091" i="16"/>
  <c r="H1092" i="16"/>
  <c r="H1093" i="16"/>
  <c r="H1094" i="16"/>
  <c r="H1095" i="16"/>
  <c r="H1096" i="16"/>
  <c r="H1097" i="16"/>
  <c r="H1098" i="16"/>
  <c r="H1099" i="16"/>
  <c r="H1100" i="16"/>
  <c r="H1101" i="16"/>
  <c r="H1102" i="16"/>
  <c r="H1103" i="16"/>
  <c r="H1104" i="16"/>
  <c r="H1105" i="16"/>
  <c r="H1106" i="16"/>
  <c r="H1107" i="16"/>
  <c r="H1108" i="16"/>
  <c r="H1109" i="16"/>
  <c r="H1110" i="16"/>
  <c r="H1111" i="16"/>
  <c r="H1112" i="16"/>
  <c r="H1113" i="16"/>
  <c r="H1114" i="16"/>
  <c r="H1115" i="16"/>
  <c r="H1116" i="16"/>
  <c r="H1117" i="16"/>
  <c r="H1118" i="16"/>
  <c r="H1119" i="16"/>
  <c r="H1120" i="16"/>
  <c r="H1121" i="16"/>
  <c r="H1122" i="16"/>
  <c r="H1123" i="16"/>
  <c r="H1124" i="16"/>
  <c r="H1125" i="16"/>
  <c r="H1126" i="16"/>
  <c r="H1127" i="16"/>
  <c r="H1128" i="16"/>
  <c r="H1129" i="16"/>
  <c r="H1130" i="16"/>
  <c r="H1131" i="16"/>
  <c r="H1132" i="16"/>
  <c r="H1133" i="16"/>
  <c r="H1134" i="16"/>
  <c r="H1135" i="16"/>
  <c r="H1136" i="16"/>
  <c r="H1137" i="16"/>
  <c r="H1138" i="16"/>
  <c r="H1139" i="16"/>
  <c r="H1140" i="16"/>
  <c r="H1141" i="16"/>
  <c r="H1142" i="16"/>
  <c r="H1143" i="16"/>
  <c r="H1144" i="16"/>
  <c r="H1145" i="16"/>
  <c r="H1146" i="16"/>
  <c r="H1147" i="16"/>
  <c r="H1148" i="16"/>
  <c r="H1149" i="16"/>
  <c r="H1150" i="16"/>
  <c r="H1151" i="16"/>
  <c r="H1152" i="16"/>
  <c r="H1153" i="16"/>
  <c r="H1154" i="16"/>
  <c r="H1155" i="16"/>
  <c r="H1156" i="16"/>
  <c r="H1157" i="16"/>
  <c r="H1158" i="16"/>
  <c r="H1159" i="16"/>
  <c r="H1160" i="16"/>
  <c r="H1161" i="16"/>
  <c r="H1162" i="16"/>
  <c r="H1163" i="16"/>
  <c r="H1164" i="16"/>
  <c r="H1165" i="16"/>
  <c r="H1166" i="16"/>
  <c r="H1167" i="16"/>
  <c r="H1168" i="16"/>
  <c r="H1169" i="16"/>
  <c r="H1170" i="16"/>
  <c r="H1171" i="16"/>
  <c r="H1172" i="16"/>
  <c r="H1173" i="16"/>
  <c r="H1174" i="16"/>
  <c r="H1175" i="16"/>
  <c r="H1176" i="16"/>
  <c r="H1177" i="16"/>
  <c r="H1178" i="16"/>
  <c r="H1179" i="16"/>
  <c r="H1180" i="16"/>
  <c r="H1181" i="16"/>
  <c r="H1182" i="16"/>
  <c r="H1183" i="16"/>
  <c r="H1184" i="16"/>
  <c r="H1185" i="16"/>
  <c r="H1186" i="16"/>
  <c r="H1187" i="16"/>
  <c r="H1188" i="16"/>
  <c r="H1189" i="16"/>
  <c r="H1190" i="16"/>
  <c r="H1191" i="16"/>
  <c r="H1192" i="16"/>
  <c r="H1193" i="16"/>
  <c r="H1194" i="16"/>
  <c r="H1195" i="16"/>
  <c r="H1196" i="16"/>
  <c r="H1197" i="16"/>
  <c r="H1198" i="16"/>
  <c r="H1199" i="16"/>
  <c r="H1200" i="16"/>
  <c r="H1201" i="16"/>
  <c r="H1202" i="16"/>
  <c r="H1203" i="16"/>
  <c r="H1204" i="16"/>
  <c r="H1205" i="16"/>
  <c r="H1206" i="16"/>
  <c r="H1207" i="16"/>
  <c r="H1208" i="16"/>
  <c r="H1209" i="16"/>
  <c r="H1210" i="16"/>
  <c r="H1211" i="16"/>
  <c r="H1212" i="16"/>
  <c r="H1213" i="16"/>
  <c r="H1214" i="16"/>
  <c r="H1215" i="16"/>
  <c r="H1216" i="16"/>
  <c r="H1217" i="16"/>
  <c r="H1218" i="16"/>
  <c r="H1219" i="16"/>
  <c r="H1220" i="16"/>
  <c r="H1221" i="16"/>
  <c r="H1222" i="16"/>
  <c r="H1223" i="16"/>
  <c r="H1224" i="16"/>
  <c r="H1225" i="16"/>
  <c r="H1226" i="16"/>
  <c r="H1227" i="16"/>
  <c r="H1228" i="16"/>
  <c r="H1229" i="16"/>
  <c r="H1230" i="16"/>
  <c r="H1231" i="16"/>
  <c r="H1232" i="16"/>
  <c r="H1233" i="16"/>
  <c r="H1234" i="16"/>
  <c r="H1235" i="16"/>
  <c r="H1236" i="16"/>
  <c r="H1237" i="16"/>
  <c r="H1238" i="16"/>
  <c r="H1239" i="16"/>
  <c r="H1240" i="16"/>
  <c r="H1241" i="16"/>
  <c r="H1242" i="16"/>
  <c r="H1243" i="16"/>
  <c r="H1244" i="16"/>
  <c r="H1245" i="16"/>
  <c r="H1246" i="16"/>
  <c r="H1247" i="16"/>
  <c r="H1248" i="16"/>
  <c r="H1249" i="16"/>
  <c r="H1250" i="16"/>
  <c r="H1251" i="16"/>
  <c r="H1252" i="16"/>
  <c r="H1253" i="16"/>
  <c r="H1254" i="16"/>
  <c r="H1255" i="16"/>
  <c r="H1256" i="16"/>
  <c r="H1257" i="16"/>
  <c r="H1258" i="16"/>
  <c r="H1259" i="16"/>
  <c r="H1260" i="16"/>
  <c r="H1261" i="16"/>
  <c r="H1262" i="16"/>
  <c r="H1263" i="16"/>
  <c r="H1264" i="16"/>
  <c r="H1265" i="16"/>
  <c r="H1266" i="16"/>
  <c r="H1267" i="16"/>
  <c r="H1268" i="16"/>
  <c r="H1269" i="16"/>
  <c r="H1270" i="16"/>
  <c r="H1271" i="16"/>
  <c r="H1272" i="16"/>
  <c r="H1273" i="16"/>
  <c r="H1274" i="16"/>
  <c r="H1275" i="16"/>
  <c r="H1276" i="16"/>
  <c r="H1277" i="16"/>
  <c r="H1278" i="16"/>
  <c r="H1279" i="16"/>
  <c r="H1280" i="16"/>
  <c r="H1281" i="16"/>
  <c r="H1282" i="16"/>
  <c r="H1283" i="16"/>
  <c r="H1284" i="16"/>
  <c r="H1285" i="16"/>
  <c r="H1286" i="16"/>
  <c r="H1287" i="16"/>
  <c r="H1288" i="16"/>
  <c r="H1289" i="16"/>
  <c r="H1290" i="16"/>
  <c r="H1291" i="16"/>
  <c r="H1292" i="16"/>
  <c r="H1293" i="16"/>
  <c r="H1294" i="16"/>
  <c r="H1295" i="16"/>
  <c r="H1296" i="16"/>
  <c r="H1297" i="16"/>
  <c r="H1298" i="16"/>
  <c r="H1299" i="16"/>
  <c r="H1300" i="16"/>
  <c r="H1301" i="16"/>
  <c r="H1302" i="16"/>
  <c r="H1303" i="16"/>
  <c r="H1304" i="16"/>
  <c r="H1305" i="16"/>
  <c r="H1306" i="16"/>
  <c r="H1307" i="16"/>
  <c r="H1308" i="16"/>
  <c r="H1309" i="16"/>
  <c r="H1310" i="16"/>
  <c r="H1311" i="16"/>
  <c r="H1312" i="16"/>
  <c r="H1313" i="16"/>
  <c r="H1314" i="16"/>
  <c r="H1315" i="16"/>
  <c r="H1316" i="16"/>
  <c r="H1317" i="16"/>
  <c r="H1318" i="16"/>
  <c r="H1319" i="16"/>
  <c r="H1320" i="16"/>
  <c r="H1321" i="16"/>
  <c r="H1322" i="16"/>
  <c r="H1323" i="16"/>
  <c r="H1324" i="16"/>
  <c r="H1325" i="16"/>
  <c r="H1326" i="16"/>
  <c r="H1327" i="16"/>
  <c r="H1328" i="16"/>
  <c r="H1329" i="16"/>
  <c r="H1330" i="16"/>
  <c r="H1331" i="16"/>
  <c r="H1332" i="16"/>
  <c r="H1333" i="16"/>
  <c r="H1334" i="16"/>
  <c r="H1335" i="16"/>
  <c r="H1336" i="16"/>
  <c r="H1337" i="16"/>
  <c r="H1338" i="16"/>
  <c r="H1339" i="16"/>
  <c r="H1340" i="16"/>
  <c r="H1341" i="16"/>
  <c r="H1342" i="16"/>
  <c r="H1343" i="16"/>
  <c r="H1344" i="16"/>
  <c r="H1345" i="16"/>
  <c r="H1346" i="16"/>
  <c r="H1347" i="16"/>
  <c r="H1348" i="16"/>
  <c r="H1349" i="16"/>
  <c r="H1350" i="16"/>
  <c r="H1351" i="16"/>
  <c r="H1352" i="16"/>
  <c r="H1353" i="16"/>
  <c r="H1354" i="16"/>
  <c r="H1355" i="16"/>
  <c r="H1356" i="16"/>
  <c r="H1357" i="16"/>
  <c r="H1358" i="16"/>
  <c r="H1359" i="16"/>
  <c r="H1360" i="16"/>
  <c r="H1361" i="16"/>
  <c r="H1362" i="16"/>
  <c r="H1363" i="16"/>
  <c r="H1364" i="16"/>
  <c r="H1365" i="16"/>
  <c r="H1366" i="16"/>
  <c r="H1367" i="16"/>
  <c r="H1368" i="16"/>
  <c r="H1369" i="16"/>
  <c r="H1370" i="16"/>
  <c r="H1371" i="16"/>
  <c r="H1372" i="16"/>
  <c r="H1373" i="16"/>
  <c r="H1374" i="16"/>
  <c r="H1375" i="16"/>
  <c r="H1376" i="16"/>
  <c r="H1377" i="16"/>
  <c r="H1378" i="16"/>
  <c r="H1379" i="16"/>
  <c r="H1380" i="16"/>
  <c r="H1381" i="16"/>
  <c r="H1382" i="16"/>
  <c r="H1383" i="16"/>
  <c r="H1384" i="16"/>
  <c r="H1385" i="16"/>
  <c r="H1386" i="16"/>
  <c r="H1387" i="16"/>
  <c r="H1388" i="16"/>
  <c r="H1389" i="16"/>
  <c r="H1390" i="16"/>
  <c r="H1391" i="16"/>
  <c r="H1392" i="16"/>
  <c r="H1393" i="16"/>
  <c r="H1394" i="16"/>
  <c r="H1395" i="16"/>
  <c r="H1396" i="16"/>
  <c r="H1397" i="16"/>
  <c r="H1398" i="16"/>
  <c r="H1399" i="16"/>
  <c r="H1400" i="16"/>
  <c r="H1401" i="16"/>
  <c r="H1402" i="16"/>
  <c r="H1403" i="16"/>
  <c r="H1404" i="16"/>
  <c r="H1405" i="16"/>
  <c r="H1406" i="16"/>
  <c r="H1407" i="16"/>
  <c r="H1408" i="16"/>
  <c r="H1409" i="16"/>
  <c r="H1410" i="16"/>
  <c r="H1411" i="16"/>
  <c r="H1412" i="16"/>
  <c r="H1413" i="16"/>
  <c r="H1414" i="16"/>
  <c r="H1415" i="16"/>
  <c r="H1416" i="16"/>
  <c r="H1417" i="16"/>
  <c r="H1418" i="16"/>
  <c r="H1419" i="16"/>
  <c r="H1420" i="16"/>
  <c r="H1421" i="16"/>
  <c r="H1422" i="16"/>
  <c r="H1423" i="16"/>
  <c r="H1424" i="16"/>
  <c r="H1425" i="16"/>
  <c r="H1426" i="16"/>
  <c r="H1427" i="16"/>
  <c r="H1428" i="16"/>
  <c r="H1429" i="16"/>
  <c r="H1430" i="16"/>
  <c r="H1431" i="16"/>
  <c r="H1432" i="16"/>
  <c r="H1433" i="16"/>
  <c r="H1434" i="16"/>
  <c r="H1435" i="16"/>
  <c r="H1436" i="16"/>
  <c r="H1437" i="16"/>
  <c r="H1438" i="16"/>
  <c r="H1439" i="16"/>
  <c r="H1440" i="16"/>
  <c r="H1441" i="16"/>
  <c r="H1442" i="16"/>
  <c r="H1443" i="16"/>
  <c r="H1444" i="16"/>
  <c r="H1445" i="16"/>
  <c r="H1446" i="16"/>
  <c r="H1447" i="16"/>
  <c r="H1448" i="16"/>
  <c r="H1449" i="16"/>
  <c r="H1450" i="16"/>
  <c r="H1451" i="16"/>
  <c r="H1452" i="16"/>
  <c r="H1453" i="16"/>
  <c r="H1454" i="16"/>
  <c r="H1455" i="16"/>
  <c r="H1456" i="16"/>
  <c r="H1457" i="16"/>
  <c r="H1458" i="16"/>
  <c r="H1459" i="16"/>
  <c r="H1460" i="16"/>
  <c r="H1461" i="16"/>
  <c r="H1462" i="16"/>
  <c r="H1463" i="16"/>
  <c r="H1464" i="16"/>
  <c r="H1465" i="16"/>
  <c r="H1466" i="16"/>
  <c r="H1467" i="16"/>
  <c r="H1468" i="16"/>
  <c r="H1469" i="16"/>
  <c r="H1470" i="16"/>
  <c r="H1471" i="16"/>
  <c r="H1472" i="16"/>
  <c r="H1473" i="16"/>
  <c r="H1474" i="16"/>
  <c r="H1475" i="16"/>
  <c r="H1476" i="16"/>
  <c r="H1477" i="16"/>
  <c r="H1478" i="16"/>
  <c r="H1479" i="16"/>
  <c r="H1480" i="16"/>
  <c r="H1481" i="16"/>
  <c r="H1482" i="16"/>
  <c r="H1483" i="16"/>
  <c r="H1484" i="16"/>
  <c r="H1485" i="16"/>
  <c r="H1486" i="16"/>
  <c r="H1487" i="16"/>
  <c r="H1488" i="16"/>
  <c r="H1489" i="16"/>
  <c r="H1490" i="16"/>
  <c r="H1491" i="16"/>
  <c r="H1492" i="16"/>
  <c r="H1493" i="16"/>
  <c r="H1494" i="16"/>
  <c r="H1495" i="16"/>
  <c r="H1496" i="16"/>
  <c r="H1497" i="16"/>
  <c r="H1498" i="16"/>
  <c r="H1499" i="16"/>
  <c r="H1500" i="16"/>
  <c r="H1501" i="16"/>
  <c r="H1502" i="16"/>
  <c r="H1503" i="16"/>
  <c r="H1504" i="16"/>
  <c r="H1505" i="16"/>
  <c r="H1506" i="16"/>
  <c r="H1507" i="16"/>
  <c r="H1508" i="16"/>
  <c r="H1509" i="16"/>
  <c r="H1510" i="16"/>
  <c r="H1511" i="16"/>
  <c r="H1512" i="16"/>
  <c r="H1513" i="16"/>
  <c r="H1514" i="16"/>
  <c r="H1515" i="16"/>
  <c r="H1516" i="16"/>
  <c r="H1517" i="16"/>
  <c r="H1518" i="16"/>
  <c r="H1519" i="16"/>
  <c r="H1520" i="16"/>
  <c r="H1521" i="16"/>
  <c r="H1522" i="16"/>
  <c r="H1523" i="16"/>
  <c r="H1524" i="16"/>
  <c r="H1525" i="16"/>
  <c r="H1526" i="16"/>
  <c r="H1527" i="16"/>
  <c r="H1528" i="16"/>
  <c r="H1529" i="16"/>
  <c r="H1530" i="16"/>
  <c r="H1531" i="16"/>
  <c r="H1532" i="16"/>
  <c r="H1533" i="16"/>
  <c r="H1534" i="16"/>
  <c r="H1535" i="16"/>
  <c r="H1536" i="16"/>
  <c r="H1537" i="16"/>
  <c r="H1538" i="16"/>
  <c r="H1539" i="16"/>
  <c r="H1540" i="16"/>
  <c r="H1541" i="16"/>
  <c r="H1542" i="16"/>
  <c r="H1543" i="16"/>
  <c r="H1544" i="16"/>
  <c r="H1545" i="16"/>
  <c r="H1546" i="16"/>
  <c r="H1547" i="16"/>
  <c r="H1548" i="16"/>
  <c r="H1549" i="16"/>
  <c r="H1550" i="16"/>
  <c r="H1551" i="16"/>
  <c r="H1552" i="16"/>
  <c r="H1553" i="16"/>
  <c r="H1554" i="16"/>
  <c r="H1555" i="16"/>
  <c r="H1556" i="16"/>
  <c r="H1557" i="16"/>
  <c r="H1558" i="16"/>
  <c r="H1559" i="16"/>
  <c r="H1560" i="16"/>
  <c r="H1561" i="16"/>
  <c r="H1562" i="16"/>
  <c r="H1563" i="16"/>
  <c r="H1564" i="16"/>
  <c r="H1565" i="16"/>
  <c r="H1566" i="16"/>
  <c r="H1567" i="16"/>
  <c r="H1568" i="16"/>
  <c r="H1569" i="16"/>
  <c r="H1570" i="16"/>
  <c r="H1571" i="16"/>
  <c r="H1572" i="16"/>
  <c r="H1573" i="16"/>
  <c r="H1574" i="16"/>
  <c r="H1575" i="16"/>
  <c r="H1576" i="16"/>
  <c r="H1577" i="16"/>
  <c r="H1578" i="16"/>
  <c r="H1579" i="16"/>
  <c r="H1580" i="16"/>
  <c r="H1581" i="16"/>
  <c r="H1582" i="16"/>
  <c r="H1583" i="16"/>
  <c r="H1584" i="16"/>
  <c r="H1585" i="16"/>
  <c r="H1586" i="16"/>
  <c r="H1587" i="16"/>
  <c r="H1588" i="16"/>
  <c r="H1589" i="16"/>
  <c r="H1590" i="16"/>
  <c r="H1591" i="16"/>
  <c r="H1592" i="16"/>
  <c r="H1593" i="16"/>
  <c r="H1594" i="16"/>
  <c r="H1595" i="16"/>
  <c r="H1596" i="16"/>
  <c r="H1597" i="16"/>
  <c r="H1598" i="16"/>
  <c r="H1599" i="16"/>
  <c r="H1600" i="16"/>
  <c r="H1601" i="16"/>
  <c r="H1602" i="16"/>
  <c r="H1603" i="16"/>
  <c r="H1604" i="16"/>
  <c r="H1605" i="16"/>
  <c r="H1606" i="16"/>
  <c r="H1607" i="16"/>
  <c r="H1608" i="16"/>
  <c r="H1609" i="16"/>
  <c r="H1610" i="16"/>
  <c r="H1611" i="16"/>
  <c r="H1612" i="16"/>
  <c r="H1613" i="16"/>
  <c r="H1614" i="16"/>
  <c r="H1615" i="16"/>
  <c r="H1616" i="16"/>
  <c r="H1617" i="16"/>
  <c r="H1618" i="16"/>
  <c r="H1619" i="16"/>
  <c r="H1620" i="16"/>
  <c r="H1621" i="16"/>
  <c r="H1622" i="16"/>
  <c r="H1623" i="16"/>
  <c r="H1624" i="16"/>
  <c r="H1625" i="16"/>
  <c r="H1626" i="16"/>
  <c r="H1627" i="16"/>
  <c r="H1628" i="16"/>
  <c r="H1629" i="16"/>
  <c r="H1630" i="16"/>
  <c r="H1631" i="16"/>
  <c r="H1632" i="16"/>
  <c r="H1633" i="16"/>
  <c r="H1634" i="16"/>
  <c r="H1635" i="16"/>
  <c r="H1636" i="16"/>
  <c r="H1637" i="16"/>
  <c r="H1638" i="16"/>
  <c r="H1639" i="16"/>
  <c r="H1640" i="16"/>
  <c r="H1641" i="16"/>
  <c r="H1642" i="16"/>
  <c r="H1643" i="16"/>
  <c r="H1644" i="16"/>
  <c r="H1645" i="16"/>
  <c r="H1646" i="16"/>
  <c r="H1647" i="16"/>
  <c r="H1648" i="16"/>
  <c r="H1649" i="16"/>
  <c r="H1650" i="16"/>
  <c r="H1651" i="16"/>
  <c r="H1652" i="16"/>
  <c r="H1653" i="16"/>
  <c r="H1654" i="16"/>
  <c r="H1655" i="16"/>
  <c r="H1656" i="16"/>
  <c r="H1657" i="16"/>
  <c r="H1658" i="16"/>
  <c r="H1659" i="16"/>
  <c r="H1660" i="16"/>
  <c r="H1661" i="16"/>
  <c r="H1662" i="16"/>
  <c r="H1663" i="16"/>
  <c r="H1664" i="16"/>
  <c r="H1665" i="16"/>
  <c r="H1666" i="16"/>
  <c r="H1667" i="16"/>
  <c r="H1668" i="16"/>
  <c r="H1669" i="16"/>
  <c r="H1670" i="16"/>
  <c r="H1671" i="16"/>
  <c r="H1672" i="16"/>
  <c r="H1673" i="16"/>
  <c r="H1674" i="16"/>
  <c r="H1675" i="16"/>
  <c r="H1676" i="16"/>
  <c r="H1677" i="16"/>
  <c r="H1678" i="16"/>
  <c r="H1679" i="16"/>
  <c r="H1680" i="16"/>
  <c r="H1681" i="16"/>
  <c r="H1682" i="16"/>
  <c r="H1683" i="16"/>
  <c r="H1684" i="16"/>
  <c r="H1685" i="16"/>
  <c r="H1686" i="16"/>
  <c r="H1687" i="16"/>
  <c r="H1688" i="16"/>
  <c r="H1689" i="16"/>
  <c r="H1690" i="16"/>
  <c r="H1691" i="16"/>
  <c r="H1692" i="16"/>
  <c r="H1693" i="16"/>
  <c r="H1694" i="16"/>
  <c r="H1695" i="16"/>
  <c r="H1696" i="16"/>
  <c r="H1697" i="16"/>
  <c r="H1698" i="16"/>
  <c r="H1699" i="16"/>
  <c r="H1700" i="16"/>
  <c r="H1701" i="16"/>
  <c r="H1702" i="16"/>
  <c r="H1703" i="16"/>
  <c r="H1704" i="16"/>
  <c r="H1705" i="16"/>
  <c r="H1706" i="16"/>
  <c r="H1707" i="16"/>
  <c r="H1708" i="16"/>
  <c r="H1709" i="16"/>
  <c r="H1710" i="16"/>
  <c r="H1711" i="16"/>
  <c r="H1712" i="16"/>
  <c r="H1713" i="16"/>
  <c r="H1714" i="16"/>
  <c r="H1715" i="16"/>
  <c r="H1716" i="16"/>
  <c r="H1717" i="16"/>
  <c r="H1718" i="16"/>
  <c r="H1719" i="16"/>
  <c r="H1720" i="16"/>
  <c r="H1721" i="16"/>
  <c r="H1722" i="16"/>
  <c r="H1723" i="16"/>
  <c r="H1724" i="16"/>
  <c r="H1725" i="16"/>
  <c r="H1726" i="16"/>
  <c r="H1727" i="16"/>
  <c r="H1728" i="16"/>
  <c r="H1729" i="16"/>
  <c r="H1730" i="16"/>
  <c r="H1731" i="16"/>
  <c r="H1732" i="16"/>
  <c r="H1733" i="16"/>
  <c r="H1734" i="16"/>
  <c r="H1735" i="16"/>
  <c r="H1736" i="16"/>
  <c r="H1737" i="16"/>
  <c r="H1738" i="16"/>
  <c r="H1739" i="16"/>
  <c r="H1740" i="16"/>
  <c r="H1741" i="16"/>
  <c r="H1742" i="16"/>
  <c r="H1743" i="16"/>
  <c r="H1744" i="16"/>
  <c r="H1745" i="16"/>
  <c r="H1746" i="16"/>
  <c r="H1747" i="16"/>
  <c r="H1748" i="16"/>
  <c r="H1749" i="16"/>
  <c r="H1750" i="16"/>
  <c r="H1751" i="16"/>
  <c r="H1752" i="16"/>
  <c r="H1753" i="16"/>
  <c r="H1754" i="16"/>
  <c r="H1755" i="16"/>
  <c r="H1756" i="16"/>
  <c r="H1757" i="16"/>
  <c r="H1758" i="16"/>
  <c r="H1759" i="16"/>
  <c r="H1760" i="16"/>
  <c r="H1761" i="16"/>
  <c r="H1762" i="16"/>
  <c r="H1763" i="16"/>
  <c r="H1764" i="16"/>
  <c r="H1765" i="16"/>
  <c r="H1766" i="16"/>
  <c r="H1767" i="16"/>
  <c r="H1768" i="16"/>
  <c r="H1769" i="16"/>
  <c r="H1770" i="16"/>
  <c r="H1771" i="16"/>
  <c r="H1772" i="16"/>
  <c r="H1773" i="16"/>
  <c r="H1774" i="16"/>
  <c r="H1775" i="16"/>
  <c r="H1776" i="16"/>
  <c r="H1777" i="16"/>
  <c r="H1778" i="16"/>
  <c r="H1779" i="16"/>
  <c r="H1780" i="16"/>
  <c r="H1781" i="16"/>
  <c r="H1782" i="16"/>
  <c r="H1783" i="16"/>
  <c r="H1784" i="16"/>
  <c r="H1785" i="16"/>
  <c r="H1786" i="16"/>
  <c r="H1787" i="16"/>
  <c r="H1788" i="16"/>
  <c r="H1789" i="16"/>
  <c r="H1790" i="16"/>
  <c r="H1791" i="16"/>
  <c r="H1792" i="16"/>
  <c r="H1793" i="16"/>
  <c r="H1794" i="16"/>
  <c r="H1795" i="16"/>
  <c r="H1796" i="16"/>
  <c r="H1797" i="16"/>
  <c r="H1798" i="16"/>
  <c r="H1799" i="16"/>
  <c r="H1800" i="16"/>
  <c r="H1801" i="16"/>
  <c r="H1802" i="16"/>
  <c r="H1803" i="16"/>
  <c r="H1804" i="16"/>
  <c r="H1805" i="16"/>
  <c r="H1806" i="16"/>
  <c r="H1807" i="16"/>
  <c r="H1808" i="16"/>
  <c r="H1809" i="16"/>
  <c r="H1810" i="16"/>
  <c r="H1811" i="16"/>
  <c r="H1812" i="16"/>
  <c r="H1813" i="16"/>
  <c r="H1814" i="16"/>
  <c r="H1815" i="16"/>
  <c r="H1816" i="16"/>
  <c r="H1817" i="16"/>
  <c r="H1818" i="16"/>
  <c r="H1819" i="16"/>
  <c r="H1820" i="16"/>
  <c r="H1821" i="16"/>
  <c r="H1822" i="16"/>
  <c r="H1823" i="16"/>
  <c r="H1824" i="16"/>
  <c r="H1825" i="16"/>
  <c r="H1826" i="16"/>
  <c r="H1827" i="16"/>
  <c r="H1828" i="16"/>
  <c r="H1829" i="16"/>
  <c r="H1830" i="16"/>
  <c r="H1831" i="16"/>
  <c r="H1832" i="16"/>
  <c r="H1833" i="16"/>
  <c r="H1834" i="16"/>
  <c r="H1835" i="16"/>
  <c r="H1836" i="16"/>
  <c r="H1837" i="16"/>
  <c r="H1838" i="16"/>
  <c r="H1839" i="16"/>
  <c r="H1840" i="16"/>
  <c r="H1841" i="16"/>
  <c r="H1842" i="16"/>
  <c r="H1843" i="16"/>
  <c r="H1844" i="16"/>
  <c r="H1845" i="16"/>
  <c r="H1846" i="16"/>
  <c r="H1847" i="16"/>
  <c r="H1848" i="16"/>
  <c r="H1849" i="16"/>
  <c r="H1850" i="16"/>
  <c r="H1851" i="16"/>
  <c r="H1852" i="16"/>
  <c r="H1853" i="16"/>
  <c r="H1854" i="16"/>
  <c r="H1855" i="16"/>
  <c r="H1856" i="16"/>
  <c r="H1857" i="16"/>
  <c r="H1858" i="16"/>
  <c r="H1859" i="16"/>
  <c r="H1860" i="16"/>
  <c r="H1861" i="16"/>
  <c r="H1862" i="16"/>
  <c r="H1863" i="16"/>
  <c r="H1864" i="16"/>
  <c r="H1865" i="16"/>
  <c r="H1866" i="16"/>
  <c r="H1867" i="16"/>
  <c r="H1868" i="16"/>
  <c r="H1869" i="16"/>
  <c r="H1870" i="16"/>
  <c r="H1871" i="16"/>
  <c r="H1872" i="16"/>
  <c r="H1873" i="16"/>
  <c r="H1874" i="16"/>
  <c r="H1875" i="16"/>
  <c r="H1876" i="16"/>
  <c r="H1877" i="16"/>
  <c r="H1878" i="16"/>
  <c r="H1879" i="16"/>
  <c r="H1880" i="16"/>
  <c r="H1881" i="16"/>
  <c r="H1882" i="16"/>
  <c r="H1883" i="16"/>
  <c r="H1884" i="16"/>
  <c r="H1885" i="16"/>
  <c r="H1886" i="16"/>
  <c r="H1887" i="16"/>
  <c r="H1888" i="16"/>
  <c r="H1889" i="16"/>
  <c r="H1890" i="16"/>
  <c r="H1891" i="16"/>
  <c r="H1892" i="16"/>
  <c r="H1893" i="16"/>
  <c r="H1894" i="16"/>
  <c r="H1895" i="16"/>
  <c r="H1896" i="16"/>
  <c r="H1897" i="16"/>
  <c r="H1898" i="16"/>
  <c r="H1899" i="16"/>
  <c r="H1900" i="16"/>
  <c r="H1901" i="16"/>
  <c r="H1902" i="16"/>
  <c r="H1903" i="16"/>
  <c r="H1904" i="16"/>
  <c r="H1905" i="16"/>
  <c r="H1906" i="16"/>
  <c r="H1907" i="16"/>
  <c r="H1908" i="16"/>
  <c r="H1909" i="16"/>
  <c r="H1910" i="16"/>
  <c r="H1911" i="16"/>
  <c r="H1912" i="16"/>
  <c r="H1913" i="16"/>
  <c r="H1914" i="16"/>
  <c r="H1915" i="16"/>
  <c r="H1916" i="16"/>
  <c r="H1917" i="16"/>
  <c r="H1918" i="16"/>
  <c r="H1919" i="16"/>
  <c r="H1920" i="16"/>
  <c r="H1921" i="16"/>
  <c r="H1922" i="16"/>
  <c r="H1923" i="16"/>
  <c r="H1924" i="16"/>
  <c r="H1925" i="16"/>
  <c r="H1926" i="16"/>
  <c r="H1927" i="16"/>
  <c r="H1928" i="16"/>
  <c r="H1929" i="16"/>
  <c r="H1930" i="16"/>
  <c r="H1931" i="16"/>
  <c r="H1932" i="16"/>
  <c r="H1933" i="16"/>
  <c r="H1934" i="16"/>
  <c r="H1935" i="16"/>
  <c r="H1936" i="16"/>
  <c r="H1937" i="16"/>
  <c r="H1938" i="16"/>
  <c r="H1939" i="16"/>
  <c r="H1940" i="16"/>
  <c r="H1941" i="16"/>
  <c r="H1942" i="16"/>
  <c r="H1943" i="16"/>
  <c r="H1944" i="16"/>
  <c r="H1945" i="16"/>
  <c r="H1946" i="16"/>
  <c r="H1947" i="16"/>
  <c r="H1948" i="16"/>
  <c r="H1949" i="16"/>
  <c r="H1950" i="16"/>
  <c r="H1951" i="16"/>
  <c r="H1952" i="16"/>
  <c r="H1953" i="16"/>
  <c r="H1954" i="16"/>
  <c r="H1955" i="16"/>
  <c r="H1956" i="16"/>
  <c r="H1957" i="16"/>
  <c r="H1958" i="16"/>
  <c r="H1959" i="16"/>
  <c r="H1960" i="16"/>
  <c r="H1961" i="16"/>
  <c r="H1962" i="16"/>
  <c r="H1963" i="16"/>
  <c r="H1964" i="16"/>
  <c r="H1965" i="16"/>
  <c r="H1966" i="16"/>
  <c r="H1967" i="16"/>
  <c r="H1968" i="16"/>
  <c r="H1969" i="16"/>
  <c r="H1970" i="16"/>
  <c r="H1971" i="16"/>
  <c r="H1972" i="16"/>
  <c r="H1973" i="16"/>
  <c r="H1974" i="16"/>
  <c r="H1975" i="16"/>
  <c r="H1976" i="16"/>
  <c r="H1977" i="16"/>
  <c r="H1978" i="16"/>
  <c r="H1979" i="16"/>
  <c r="H1980" i="16"/>
  <c r="H1981" i="16"/>
  <c r="H1982" i="16"/>
  <c r="H1983" i="16"/>
  <c r="H1984" i="16"/>
  <c r="H1985" i="16"/>
  <c r="H1986" i="16"/>
  <c r="H1987" i="16"/>
  <c r="H1988" i="16"/>
  <c r="H1989" i="16"/>
  <c r="H1990" i="16"/>
  <c r="H1991" i="16"/>
  <c r="H1992" i="16"/>
  <c r="H1993" i="16"/>
  <c r="H1994" i="16"/>
  <c r="H1995" i="16"/>
  <c r="H1996" i="16"/>
  <c r="H1997" i="16"/>
  <c r="H1998" i="16"/>
  <c r="H1999" i="16"/>
  <c r="H2000" i="16"/>
  <c r="H2001" i="16"/>
  <c r="H2002" i="16"/>
  <c r="H2003" i="16"/>
  <c r="H2004" i="16"/>
  <c r="H2005" i="16"/>
  <c r="H2006" i="16"/>
  <c r="H2007" i="16"/>
  <c r="H2008" i="16"/>
  <c r="H2009" i="16"/>
  <c r="H2010" i="16"/>
  <c r="H2011" i="16"/>
  <c r="H2012" i="16"/>
  <c r="H2013" i="16"/>
  <c r="H2014" i="16"/>
  <c r="H2015" i="16"/>
  <c r="H2016" i="16"/>
  <c r="H2017" i="16"/>
  <c r="H2018" i="16"/>
  <c r="H2019" i="16"/>
  <c r="H2020" i="16"/>
  <c r="H2021" i="16"/>
  <c r="H2022" i="16"/>
  <c r="H2023" i="16"/>
  <c r="H2024" i="16"/>
  <c r="H2025" i="16"/>
  <c r="H2026" i="16"/>
  <c r="H2027" i="16"/>
  <c r="H2028" i="16"/>
  <c r="H2029" i="16"/>
  <c r="H2030" i="16"/>
  <c r="H2031" i="16"/>
  <c r="H2032" i="16"/>
  <c r="H2033" i="16"/>
  <c r="H2034" i="16"/>
  <c r="H2035" i="16"/>
  <c r="H2036" i="16"/>
  <c r="H2037" i="16"/>
  <c r="H2038" i="16"/>
  <c r="H2039" i="16"/>
  <c r="H2040" i="16"/>
  <c r="H2041" i="16"/>
  <c r="H2042" i="16"/>
  <c r="H2043" i="16"/>
  <c r="H2044" i="16"/>
  <c r="H2045" i="16"/>
  <c r="H2046" i="16"/>
  <c r="H2047" i="16"/>
  <c r="H2048" i="16"/>
  <c r="H2049" i="16"/>
  <c r="H2050" i="16"/>
  <c r="H2051" i="16"/>
  <c r="H2052" i="16"/>
  <c r="H2053" i="16"/>
  <c r="H2054" i="16"/>
  <c r="H2055" i="16"/>
  <c r="H2056" i="16"/>
  <c r="H2057" i="16"/>
  <c r="H2058" i="16"/>
  <c r="H2059" i="16"/>
  <c r="H2060" i="16"/>
  <c r="H2061" i="16"/>
  <c r="H2062" i="16"/>
  <c r="H2063" i="16"/>
  <c r="H2064" i="16"/>
  <c r="H2065" i="16"/>
  <c r="H2066" i="16"/>
  <c r="H2067" i="16"/>
  <c r="H2068" i="16"/>
  <c r="H2069" i="16"/>
  <c r="H2070" i="16"/>
  <c r="H2071" i="16"/>
  <c r="H2072" i="16"/>
  <c r="H2073" i="16"/>
  <c r="H2074" i="16"/>
  <c r="H2075" i="16"/>
  <c r="H2076" i="16"/>
  <c r="H2077" i="16"/>
  <c r="H2078" i="16"/>
  <c r="H2079" i="16"/>
  <c r="H2080" i="16"/>
  <c r="H2081" i="16"/>
  <c r="H2082" i="16"/>
  <c r="H2083" i="16"/>
  <c r="H2084" i="16"/>
  <c r="H2085" i="16"/>
  <c r="H2086" i="16"/>
  <c r="H2087" i="16"/>
  <c r="H2088" i="16"/>
  <c r="H2089" i="16"/>
  <c r="H2090" i="16"/>
  <c r="H2091" i="16"/>
  <c r="H2092" i="16"/>
  <c r="H2093" i="16"/>
  <c r="H2094" i="16"/>
  <c r="H2095" i="16"/>
  <c r="H2096" i="16"/>
  <c r="H2097" i="16"/>
  <c r="H2098" i="16"/>
  <c r="H2099" i="16"/>
  <c r="H2100" i="16"/>
  <c r="H2101" i="16"/>
  <c r="H2102" i="16"/>
  <c r="H2103" i="16"/>
  <c r="H2104" i="16"/>
  <c r="H2105" i="16"/>
  <c r="H2106" i="16"/>
  <c r="H2107" i="16"/>
  <c r="H2108" i="16"/>
  <c r="H2109" i="16"/>
  <c r="H2110" i="16"/>
  <c r="H2111" i="16"/>
  <c r="H2112" i="16"/>
  <c r="H2113" i="16"/>
  <c r="H2114" i="16"/>
  <c r="H2115" i="16"/>
  <c r="H2116" i="16"/>
  <c r="H2117" i="16"/>
  <c r="H2118" i="16"/>
  <c r="H2119" i="16"/>
  <c r="H2120" i="16"/>
  <c r="H2121" i="16"/>
  <c r="H2122" i="16"/>
  <c r="H2123" i="16"/>
  <c r="H2124" i="16"/>
  <c r="H2125" i="16"/>
  <c r="H2126" i="16"/>
  <c r="H2127" i="16"/>
  <c r="H2128" i="16"/>
  <c r="H2129" i="16"/>
  <c r="H2130" i="16"/>
  <c r="H2131" i="16"/>
  <c r="H2132" i="16"/>
  <c r="H2133" i="16"/>
  <c r="H2134" i="16"/>
  <c r="H2135" i="16"/>
  <c r="H2136" i="16"/>
  <c r="H2137" i="16"/>
  <c r="H2138" i="16"/>
  <c r="H2139" i="16"/>
  <c r="H2140" i="16"/>
  <c r="H2141" i="16"/>
  <c r="H2142" i="16"/>
  <c r="H2143" i="16"/>
  <c r="H2144" i="16"/>
  <c r="H2145" i="16"/>
  <c r="H2146" i="16"/>
  <c r="H2147" i="16"/>
  <c r="H2148" i="16"/>
  <c r="H2149" i="16"/>
  <c r="H2150" i="16"/>
  <c r="H2151" i="16"/>
  <c r="H2152" i="16"/>
  <c r="H2153" i="16"/>
  <c r="H2154" i="16"/>
  <c r="H2155" i="16"/>
  <c r="H2156" i="16"/>
  <c r="H2157" i="16"/>
  <c r="H2158" i="16"/>
  <c r="H2159" i="16"/>
  <c r="H2160" i="16"/>
  <c r="H2161" i="16"/>
  <c r="H2162" i="16"/>
  <c r="H2163" i="16"/>
  <c r="H2164" i="16"/>
  <c r="H2165" i="16"/>
  <c r="H2166" i="16"/>
  <c r="H2167" i="16"/>
  <c r="H2168" i="16"/>
  <c r="H2169" i="16"/>
  <c r="H2170" i="16"/>
  <c r="H2171" i="16"/>
  <c r="H2172" i="16"/>
  <c r="H2173" i="16"/>
  <c r="H2174" i="16"/>
  <c r="H2175" i="16"/>
  <c r="H2176" i="16"/>
  <c r="H2177" i="16"/>
  <c r="H2178" i="16"/>
  <c r="H2179" i="16"/>
  <c r="H2180" i="16"/>
  <c r="H2181" i="16"/>
  <c r="H2182" i="16"/>
  <c r="H2183" i="16"/>
  <c r="H2184" i="16"/>
  <c r="H2185" i="16"/>
  <c r="H2186" i="16"/>
  <c r="H2187" i="16"/>
  <c r="H2188" i="16"/>
  <c r="H2189" i="16"/>
  <c r="H2190" i="16"/>
  <c r="H2191" i="16"/>
  <c r="H2192" i="16"/>
  <c r="H2193" i="16"/>
  <c r="H2194" i="16"/>
  <c r="H2195" i="16"/>
  <c r="H2196" i="16"/>
  <c r="H2197" i="16"/>
  <c r="H2198" i="16"/>
  <c r="H2199" i="16"/>
  <c r="H2200" i="16"/>
  <c r="H2201" i="16"/>
  <c r="H2202" i="16"/>
  <c r="H2203" i="16"/>
  <c r="H2204" i="16"/>
  <c r="H2205" i="16"/>
  <c r="H2206" i="16"/>
  <c r="H2207" i="16"/>
  <c r="H2208" i="16"/>
  <c r="H2209" i="16"/>
  <c r="H2210" i="16"/>
  <c r="H2211" i="16"/>
  <c r="H2212" i="16"/>
  <c r="H2213" i="16"/>
  <c r="H2214" i="16"/>
  <c r="H2215" i="16"/>
  <c r="H2216" i="16"/>
  <c r="H2217" i="16"/>
  <c r="H2218" i="16"/>
  <c r="H2219" i="16"/>
  <c r="H2220" i="16"/>
  <c r="H2221" i="16"/>
  <c r="H2222" i="16"/>
  <c r="H2223" i="16"/>
  <c r="H2224" i="16"/>
  <c r="H2225" i="16"/>
  <c r="H2226" i="16"/>
  <c r="H2227" i="16"/>
  <c r="H2228" i="16"/>
  <c r="H2229" i="16"/>
  <c r="H2230" i="16"/>
  <c r="H2231" i="16"/>
  <c r="H2232" i="16"/>
  <c r="H2233" i="16"/>
  <c r="H2234" i="16"/>
  <c r="H2235" i="16"/>
  <c r="H2236" i="16"/>
  <c r="H2237" i="16"/>
  <c r="H2238" i="16"/>
  <c r="H2239" i="16"/>
  <c r="H2240" i="16"/>
  <c r="H2241" i="16"/>
  <c r="H2242" i="16"/>
  <c r="H2243" i="16"/>
  <c r="H2244" i="16"/>
  <c r="H2245" i="16"/>
  <c r="H2246" i="16"/>
  <c r="H2247" i="16"/>
  <c r="H2248" i="16"/>
  <c r="H2249" i="16"/>
  <c r="H2250" i="16"/>
  <c r="H2251" i="16"/>
  <c r="H2252" i="16"/>
  <c r="H2253" i="16"/>
  <c r="H2254" i="16"/>
  <c r="H2255" i="16"/>
  <c r="H2256" i="16"/>
  <c r="H2257" i="16"/>
  <c r="H2258" i="16"/>
  <c r="H2259" i="16"/>
  <c r="H2260" i="16"/>
  <c r="H2261" i="16"/>
  <c r="H2262" i="16"/>
  <c r="H2263" i="16"/>
  <c r="H2264" i="16"/>
  <c r="H2265" i="16"/>
  <c r="H2266" i="16"/>
  <c r="H2267" i="16"/>
  <c r="H2268" i="16"/>
  <c r="H2269" i="16"/>
  <c r="H2270" i="16"/>
  <c r="H2271" i="16"/>
  <c r="H2272" i="16"/>
  <c r="H2273" i="16"/>
  <c r="H2274" i="16"/>
  <c r="H2275" i="16"/>
  <c r="H2276" i="16"/>
  <c r="H2277" i="16"/>
  <c r="H2278" i="16"/>
  <c r="H2279" i="16"/>
  <c r="H2280" i="16"/>
  <c r="H2281" i="16"/>
  <c r="H2282" i="16"/>
  <c r="H2283" i="16"/>
  <c r="H2284" i="16"/>
  <c r="H2285" i="16"/>
  <c r="H2286" i="16"/>
  <c r="H2287" i="16"/>
  <c r="H2288" i="16"/>
  <c r="H2289" i="16"/>
  <c r="H2290" i="16"/>
  <c r="H2291" i="16"/>
  <c r="H2292" i="16"/>
  <c r="H2293" i="16"/>
  <c r="H2294" i="16"/>
  <c r="H2295" i="16"/>
  <c r="H2296" i="16"/>
  <c r="H2297" i="16"/>
  <c r="H2298" i="16"/>
  <c r="H2299" i="16"/>
  <c r="H2300" i="16"/>
  <c r="H2301" i="16"/>
  <c r="H2302" i="16"/>
  <c r="H2303" i="16"/>
  <c r="H2304" i="16"/>
  <c r="H2305" i="16"/>
  <c r="H2306" i="16"/>
  <c r="H2307" i="16"/>
  <c r="H2308" i="16"/>
  <c r="H2309" i="16"/>
  <c r="H2310" i="16"/>
  <c r="H2311" i="16"/>
  <c r="H2312" i="16"/>
  <c r="H2313" i="16"/>
  <c r="H2314" i="16"/>
  <c r="H2315" i="16"/>
  <c r="H2316" i="16"/>
  <c r="H2317" i="16"/>
  <c r="H2318" i="16"/>
  <c r="H2319" i="16"/>
  <c r="H2320" i="16"/>
  <c r="H2321" i="16"/>
  <c r="H2322" i="16"/>
  <c r="H2323" i="16"/>
  <c r="H2324" i="16"/>
  <c r="H2325" i="16"/>
  <c r="H2326" i="16"/>
  <c r="H2327" i="16"/>
  <c r="H2328" i="16"/>
  <c r="H2329" i="16"/>
  <c r="H2330" i="16"/>
  <c r="H2331" i="16"/>
  <c r="H2332" i="16"/>
  <c r="H2333" i="16"/>
  <c r="H2334" i="16"/>
  <c r="H2335" i="16"/>
  <c r="H2336" i="16"/>
  <c r="H2337" i="16"/>
  <c r="H2338" i="16"/>
  <c r="H2339" i="16"/>
  <c r="H2340" i="16"/>
  <c r="H2341" i="16"/>
  <c r="H2342" i="16"/>
  <c r="H2343" i="16"/>
  <c r="H2344" i="16"/>
  <c r="H2345" i="16"/>
  <c r="H2346" i="16"/>
  <c r="H2347" i="16"/>
  <c r="H2348" i="16"/>
  <c r="H2349" i="16"/>
  <c r="H2350" i="16"/>
  <c r="H2351" i="16"/>
  <c r="H2352" i="16"/>
  <c r="H2353" i="16"/>
  <c r="H2354" i="16"/>
  <c r="H2355" i="16"/>
  <c r="H2356" i="16"/>
  <c r="H2357" i="16"/>
  <c r="H2358" i="16"/>
  <c r="H2359" i="16"/>
  <c r="H2360" i="16"/>
  <c r="H2361" i="16"/>
  <c r="H2362" i="16"/>
  <c r="H2363" i="16"/>
  <c r="H2364" i="16"/>
  <c r="H2365" i="16"/>
  <c r="H2366" i="16"/>
  <c r="H2367" i="16"/>
  <c r="H2368" i="16"/>
  <c r="H2369" i="16"/>
  <c r="H2370" i="16"/>
  <c r="H2371" i="16"/>
  <c r="H2372" i="16"/>
  <c r="H2373" i="16"/>
  <c r="H2374" i="16"/>
  <c r="H2375" i="16"/>
  <c r="H2376" i="16"/>
  <c r="H2377" i="16"/>
  <c r="H2378" i="16"/>
  <c r="H2379" i="16"/>
  <c r="H2380" i="16"/>
  <c r="H2381" i="16"/>
  <c r="H2382" i="16"/>
  <c r="H2383" i="16"/>
  <c r="H2384" i="16"/>
  <c r="H2385" i="16"/>
  <c r="H2386" i="16"/>
  <c r="H2387" i="16"/>
  <c r="H2388" i="16"/>
  <c r="H2389" i="16"/>
  <c r="H2390" i="16"/>
  <c r="H2391" i="16"/>
  <c r="H2392" i="16"/>
  <c r="H2393" i="16"/>
  <c r="H2394" i="16"/>
  <c r="H2395" i="16"/>
  <c r="H2396" i="16"/>
  <c r="H2397" i="16"/>
  <c r="H2398" i="16"/>
  <c r="H2399" i="16"/>
  <c r="H2400" i="16"/>
  <c r="H2401" i="16"/>
  <c r="H2402" i="16"/>
  <c r="H2403" i="16"/>
  <c r="H2404" i="16"/>
  <c r="H2405" i="16"/>
  <c r="H2406" i="16"/>
  <c r="H2407" i="16"/>
  <c r="H2408" i="16"/>
  <c r="H2409" i="16"/>
  <c r="H2410" i="16"/>
  <c r="H2411" i="16"/>
  <c r="H2412" i="16"/>
  <c r="H2413" i="16"/>
  <c r="H2414" i="16"/>
  <c r="H2415" i="16"/>
  <c r="H2416" i="16"/>
  <c r="H2417" i="16"/>
  <c r="H2418" i="16"/>
  <c r="H2419" i="16"/>
  <c r="H2420" i="16"/>
  <c r="H2421" i="16"/>
  <c r="H2422" i="16"/>
  <c r="H2423" i="16"/>
  <c r="H2424" i="16"/>
  <c r="H2425" i="16"/>
  <c r="H2426" i="16"/>
  <c r="H2427" i="16"/>
  <c r="H2428" i="16"/>
  <c r="H2429" i="16"/>
  <c r="H2430" i="16"/>
  <c r="H2431" i="16"/>
  <c r="H2432" i="16"/>
  <c r="H2433" i="16"/>
  <c r="H2434" i="16"/>
  <c r="H2435" i="16"/>
  <c r="H2436" i="16"/>
  <c r="H2437" i="16"/>
  <c r="H2438" i="16"/>
  <c r="H2439" i="16"/>
  <c r="H2440" i="16"/>
  <c r="H2441" i="16"/>
  <c r="H2442" i="16"/>
  <c r="H2443" i="16"/>
  <c r="H2444" i="16"/>
  <c r="H2445" i="16"/>
  <c r="H2446" i="16"/>
  <c r="H2447" i="16"/>
  <c r="H2448" i="16"/>
  <c r="H2449" i="16"/>
  <c r="H2450" i="16"/>
  <c r="H2451" i="16"/>
  <c r="H2452" i="16"/>
  <c r="H2453" i="16"/>
  <c r="H2454" i="16"/>
  <c r="H2455" i="16"/>
  <c r="H2456" i="16"/>
  <c r="H2457" i="16"/>
  <c r="H2458" i="16"/>
  <c r="H2459" i="16"/>
  <c r="H2460" i="16"/>
  <c r="H2461" i="16"/>
  <c r="H2462" i="16"/>
  <c r="H2463" i="16"/>
  <c r="H2464" i="16"/>
  <c r="H2465" i="16"/>
  <c r="H2466" i="16"/>
  <c r="H2467" i="16"/>
  <c r="H2468" i="16"/>
  <c r="H2469" i="16"/>
  <c r="H2470" i="16"/>
  <c r="H2471" i="16"/>
  <c r="H2472" i="16"/>
  <c r="H2473" i="16"/>
  <c r="H2474" i="16"/>
  <c r="H2475" i="16"/>
  <c r="H2476" i="16"/>
  <c r="H2477" i="16"/>
  <c r="H2478" i="16"/>
  <c r="H2479" i="16"/>
  <c r="H2480" i="16"/>
  <c r="H2481" i="16"/>
  <c r="H2482" i="16"/>
  <c r="H2483" i="16"/>
  <c r="H2484" i="16"/>
  <c r="H2485" i="16"/>
  <c r="H2486" i="16"/>
  <c r="H2487" i="16"/>
  <c r="H2488" i="16"/>
  <c r="H2489" i="16"/>
  <c r="H2490" i="16"/>
  <c r="H2491" i="16"/>
  <c r="H2492" i="16"/>
  <c r="H2493" i="16"/>
  <c r="H2494" i="16"/>
  <c r="H2495" i="16"/>
  <c r="H2496" i="16"/>
  <c r="H2497" i="16"/>
  <c r="H2498" i="16"/>
  <c r="H2499" i="16"/>
  <c r="H2500" i="16"/>
  <c r="H2501" i="16"/>
  <c r="H2502" i="16"/>
  <c r="H2503" i="16"/>
  <c r="H2504" i="16"/>
  <c r="H2505" i="16"/>
  <c r="H2506" i="16"/>
  <c r="H2507" i="16"/>
  <c r="H2508" i="16"/>
  <c r="H2509" i="16"/>
  <c r="H2510" i="16"/>
  <c r="H2511" i="16"/>
  <c r="H2512" i="16"/>
  <c r="H2513" i="16"/>
  <c r="H2514" i="16"/>
  <c r="H2515" i="16"/>
  <c r="H2516" i="16"/>
  <c r="H2517" i="16"/>
  <c r="H2518" i="16"/>
  <c r="H2519" i="16"/>
  <c r="H2520" i="16"/>
  <c r="H2521" i="16"/>
  <c r="H2522" i="16"/>
  <c r="H2523" i="16"/>
  <c r="H2524" i="16"/>
  <c r="H2525" i="16"/>
  <c r="H2526" i="16"/>
  <c r="H2527" i="16"/>
  <c r="H2528" i="16"/>
  <c r="H2529" i="16"/>
  <c r="H2530" i="16"/>
  <c r="H2531" i="16"/>
  <c r="H2532" i="16"/>
  <c r="H2533" i="16"/>
  <c r="H2534" i="16"/>
  <c r="H2535" i="16"/>
  <c r="H2536" i="16"/>
  <c r="H2537" i="16"/>
  <c r="H2538" i="16"/>
  <c r="H2539" i="16"/>
  <c r="H2540" i="16"/>
  <c r="H2541" i="16"/>
  <c r="H2542" i="16"/>
  <c r="H2543" i="16"/>
  <c r="H2544" i="16"/>
  <c r="H2545" i="16"/>
  <c r="H2546" i="16"/>
  <c r="H2547" i="16"/>
  <c r="H2548" i="16"/>
  <c r="H2549" i="16"/>
  <c r="H2550" i="16"/>
  <c r="H2551" i="16"/>
  <c r="H2552" i="16"/>
  <c r="H2553" i="16"/>
  <c r="H2554" i="16"/>
  <c r="H2555" i="16"/>
  <c r="H2556" i="16"/>
  <c r="H2557" i="16"/>
  <c r="H2558" i="16"/>
  <c r="H2559" i="16"/>
  <c r="H2560" i="16"/>
  <c r="H2561" i="16"/>
  <c r="H2562" i="16"/>
  <c r="H2563" i="16"/>
  <c r="H2564" i="16"/>
  <c r="H2565" i="16"/>
  <c r="H2566" i="16"/>
  <c r="H2567" i="16"/>
  <c r="H2568" i="16"/>
  <c r="H2569" i="16"/>
  <c r="H2570" i="16"/>
  <c r="H2571" i="16"/>
  <c r="H2572" i="16"/>
  <c r="H2573" i="16"/>
  <c r="H2574" i="16"/>
  <c r="H2575" i="16"/>
  <c r="H2576" i="16"/>
  <c r="H2577" i="16"/>
  <c r="H2578" i="16"/>
  <c r="H2579" i="16"/>
  <c r="H2580" i="16"/>
  <c r="H2581" i="16"/>
  <c r="H2582" i="16"/>
  <c r="H2583" i="16"/>
  <c r="H2584" i="16"/>
  <c r="H2585" i="16"/>
  <c r="H2586" i="16"/>
  <c r="H2587" i="16"/>
  <c r="H2588" i="16"/>
  <c r="H2589" i="16"/>
  <c r="H2590" i="16"/>
  <c r="H2591" i="16"/>
  <c r="H2592" i="16"/>
  <c r="H2593" i="16"/>
  <c r="H2594" i="16"/>
  <c r="H2595" i="16"/>
  <c r="H2596" i="16"/>
  <c r="H2597" i="16"/>
  <c r="H2598" i="16"/>
  <c r="H2599" i="16"/>
  <c r="H2600" i="16"/>
  <c r="H2601" i="16"/>
  <c r="H2602" i="16"/>
  <c r="H2603" i="16"/>
  <c r="H2604" i="16"/>
  <c r="H2605" i="16"/>
  <c r="H2606" i="16"/>
  <c r="H2607" i="16"/>
  <c r="H2608" i="16"/>
  <c r="H2609" i="16"/>
  <c r="H2610" i="16"/>
  <c r="H2611" i="16"/>
  <c r="H2612" i="16"/>
  <c r="H2613" i="16"/>
  <c r="H2614" i="16"/>
  <c r="H2615" i="16"/>
  <c r="H2616" i="16"/>
  <c r="H2617" i="16"/>
  <c r="H2618" i="16"/>
  <c r="H2619" i="16"/>
  <c r="H2620" i="16"/>
  <c r="H2621" i="16"/>
  <c r="H2622" i="16"/>
  <c r="H2623" i="16"/>
  <c r="H2624" i="16"/>
  <c r="H2625" i="16"/>
  <c r="H2626" i="16"/>
  <c r="H2627" i="16"/>
  <c r="H2628" i="16"/>
  <c r="H2629" i="16"/>
  <c r="H2630" i="16"/>
  <c r="H2631" i="16"/>
  <c r="H2632" i="16"/>
  <c r="H2633" i="16"/>
  <c r="H2634" i="16"/>
  <c r="H2635" i="16"/>
  <c r="H2636" i="16"/>
  <c r="H2637" i="16"/>
  <c r="H2638" i="16"/>
  <c r="H2639" i="16"/>
  <c r="H2640" i="16"/>
  <c r="H2641" i="16"/>
  <c r="H2642" i="16"/>
  <c r="H2643" i="16"/>
  <c r="H2644" i="16"/>
  <c r="H2645" i="16"/>
  <c r="H2646" i="16"/>
  <c r="H2647" i="16"/>
  <c r="H2648" i="16"/>
  <c r="H2649" i="16"/>
  <c r="H2650" i="16"/>
  <c r="H2651" i="16"/>
  <c r="H2652" i="16"/>
  <c r="H2653" i="16"/>
  <c r="H2654" i="16"/>
  <c r="H2655" i="16"/>
  <c r="H2656" i="16"/>
  <c r="H2657" i="16"/>
  <c r="H2658" i="16"/>
  <c r="H2659" i="16"/>
  <c r="H2660" i="16"/>
  <c r="H2661" i="16"/>
  <c r="H2662" i="16"/>
  <c r="H2663" i="16"/>
  <c r="H2664" i="16"/>
  <c r="H2665" i="16"/>
  <c r="H2666" i="16"/>
  <c r="H2667" i="16"/>
  <c r="H2668" i="16"/>
  <c r="H2669" i="16"/>
  <c r="H2670" i="16"/>
  <c r="H2671" i="16"/>
  <c r="H2672" i="16"/>
  <c r="H2673" i="16"/>
  <c r="H2674" i="16"/>
  <c r="H2675" i="16"/>
  <c r="H2676" i="16"/>
  <c r="H2677" i="16"/>
  <c r="H2678" i="16"/>
  <c r="H2679" i="16"/>
  <c r="H2680" i="16"/>
  <c r="H2681" i="16"/>
  <c r="H2682" i="16"/>
  <c r="H2683" i="16"/>
  <c r="H2684" i="16"/>
  <c r="H2685" i="16"/>
  <c r="H2686" i="16"/>
  <c r="H2687" i="16"/>
  <c r="H2688" i="16"/>
  <c r="H2689" i="16"/>
  <c r="H2690" i="16"/>
  <c r="H2691" i="16"/>
  <c r="H2692" i="16"/>
  <c r="H2693" i="16"/>
  <c r="H2694" i="16"/>
  <c r="H2695" i="16"/>
  <c r="H2696" i="16"/>
  <c r="H2697" i="16"/>
  <c r="H2698" i="16"/>
  <c r="H2699" i="16"/>
  <c r="H2700" i="16"/>
  <c r="H2701" i="16"/>
  <c r="H2702" i="16"/>
  <c r="H2703" i="16"/>
  <c r="H2704" i="16"/>
  <c r="H2705" i="16"/>
  <c r="H2706" i="16"/>
  <c r="H2707" i="16"/>
  <c r="H2708" i="16"/>
  <c r="H2709" i="16"/>
  <c r="H2710" i="16"/>
  <c r="H2711" i="16"/>
  <c r="H2712" i="16"/>
  <c r="H2713" i="16"/>
  <c r="H2714" i="16"/>
  <c r="H2715" i="16"/>
  <c r="H2716" i="16"/>
  <c r="H2717" i="16"/>
  <c r="H2718" i="16"/>
  <c r="H2719" i="16"/>
  <c r="H2720" i="16"/>
  <c r="H2721" i="16"/>
  <c r="H2722" i="16"/>
  <c r="H2723" i="16"/>
  <c r="H2724" i="16"/>
  <c r="H2725" i="16"/>
  <c r="H2726" i="16"/>
  <c r="H2727" i="16"/>
  <c r="H2728" i="16"/>
  <c r="H2729" i="16"/>
  <c r="H2730" i="16"/>
  <c r="H2731" i="16"/>
  <c r="H2732" i="16"/>
  <c r="H2733" i="16"/>
  <c r="H2734" i="16"/>
  <c r="H2735" i="16"/>
  <c r="H2736" i="16"/>
  <c r="H2737" i="16"/>
  <c r="H2738" i="16"/>
  <c r="H2739" i="16"/>
  <c r="H2740" i="16"/>
  <c r="H2741" i="16"/>
  <c r="H2742" i="16"/>
  <c r="H2743" i="16"/>
  <c r="H2744" i="16"/>
  <c r="H2745" i="16"/>
  <c r="H2746" i="16"/>
  <c r="H2747" i="16"/>
  <c r="H2748" i="16"/>
  <c r="H2749" i="16"/>
  <c r="H2750" i="16"/>
  <c r="H2751" i="16"/>
  <c r="H2752" i="16"/>
  <c r="H2753" i="16"/>
  <c r="H2754" i="16"/>
  <c r="H2755" i="16"/>
  <c r="H2756" i="16"/>
  <c r="H2757" i="16"/>
  <c r="H2758" i="16"/>
  <c r="H2759" i="16"/>
  <c r="H2760" i="16"/>
  <c r="H2761" i="16"/>
  <c r="H2762" i="16"/>
  <c r="H2763" i="16"/>
  <c r="H2764" i="16"/>
  <c r="H2765" i="16"/>
  <c r="H2766" i="16"/>
  <c r="H2767" i="16"/>
  <c r="H2768" i="16"/>
  <c r="H2769" i="16"/>
  <c r="H2770" i="16"/>
  <c r="H2771" i="16"/>
  <c r="H2772" i="16"/>
  <c r="H2773" i="16"/>
  <c r="H2774" i="16"/>
  <c r="H2775" i="16"/>
  <c r="H2776" i="16"/>
  <c r="H2777" i="16"/>
  <c r="H2778" i="16"/>
  <c r="H2779" i="16"/>
  <c r="H2780" i="16"/>
  <c r="H2781" i="16"/>
  <c r="H2782" i="16"/>
  <c r="H2783" i="16"/>
  <c r="H2784" i="16"/>
  <c r="H2785" i="16"/>
  <c r="H2786" i="16"/>
  <c r="H2787" i="16"/>
  <c r="H2788" i="16"/>
  <c r="H2789" i="16"/>
  <c r="H2790" i="16"/>
  <c r="H2791" i="16"/>
  <c r="H2792" i="16"/>
  <c r="H2793" i="16"/>
  <c r="H2794" i="16"/>
  <c r="H2795" i="16"/>
  <c r="H2796" i="16"/>
  <c r="H2797" i="16"/>
  <c r="H2798" i="16"/>
  <c r="H2799" i="16"/>
  <c r="H2800" i="16"/>
  <c r="H2801" i="16"/>
  <c r="H2802" i="16"/>
  <c r="H2803" i="16"/>
  <c r="H2804" i="16"/>
  <c r="H2805" i="16"/>
  <c r="H2806" i="16"/>
  <c r="H2807" i="16"/>
  <c r="H2808" i="16"/>
  <c r="H2809" i="16"/>
  <c r="H2810" i="16"/>
  <c r="H2811" i="16"/>
  <c r="H2812" i="16"/>
  <c r="H2813" i="16"/>
  <c r="H2814" i="16"/>
  <c r="H2815" i="16"/>
  <c r="H2816" i="16"/>
  <c r="H2817" i="16"/>
  <c r="H2818" i="16"/>
  <c r="H2819" i="16"/>
  <c r="H2820" i="16"/>
  <c r="H2821" i="16"/>
  <c r="H2822" i="16"/>
  <c r="H2823" i="16"/>
  <c r="H2824" i="16"/>
  <c r="H2825" i="16"/>
  <c r="H2826" i="16"/>
  <c r="H2827" i="16"/>
  <c r="H2828" i="16"/>
  <c r="H2829" i="16"/>
  <c r="H2830" i="16"/>
  <c r="H2831" i="16"/>
  <c r="H2832" i="16"/>
  <c r="H2833" i="16"/>
  <c r="H2834" i="16"/>
  <c r="H2835" i="16"/>
  <c r="H2836" i="16"/>
  <c r="H2837" i="16"/>
  <c r="H2838" i="16"/>
  <c r="H2839" i="16"/>
  <c r="H2840" i="16"/>
  <c r="H2841" i="16"/>
  <c r="H2842" i="16"/>
  <c r="H2843" i="16"/>
  <c r="H2844" i="16"/>
  <c r="H2845" i="16"/>
  <c r="H2846" i="16"/>
  <c r="H2847" i="16"/>
  <c r="H2848" i="16"/>
  <c r="H2849" i="16"/>
  <c r="H2850" i="16"/>
  <c r="H2851" i="16"/>
  <c r="H2852" i="16"/>
  <c r="H2853" i="16"/>
  <c r="H2854" i="16"/>
  <c r="H2855" i="16"/>
  <c r="H2856" i="16"/>
  <c r="H2857" i="16"/>
  <c r="H2858" i="16"/>
  <c r="H2859" i="16"/>
  <c r="H2860" i="16"/>
  <c r="H2861" i="16"/>
  <c r="H2862" i="16"/>
  <c r="H2863" i="16"/>
  <c r="H2864" i="16"/>
  <c r="H2865" i="16"/>
  <c r="H2866" i="16"/>
  <c r="H2867" i="16"/>
  <c r="H2868" i="16"/>
  <c r="H2869" i="16"/>
  <c r="H2870" i="16"/>
  <c r="H2871" i="16"/>
  <c r="H2872" i="16"/>
  <c r="H2873" i="16"/>
  <c r="H2874" i="16"/>
  <c r="H2875" i="16"/>
  <c r="H2876" i="16"/>
  <c r="H2877" i="16"/>
  <c r="H2878" i="16"/>
  <c r="H2879" i="16"/>
  <c r="H2880" i="16"/>
  <c r="H2881" i="16"/>
  <c r="H2882" i="16"/>
  <c r="H2883" i="16"/>
  <c r="H2884" i="16"/>
  <c r="H2885" i="16"/>
  <c r="H2886" i="16"/>
  <c r="H2887" i="16"/>
  <c r="H2888" i="16"/>
  <c r="H2889" i="16"/>
  <c r="H2890" i="16"/>
  <c r="H2891" i="16"/>
  <c r="H2892" i="16"/>
  <c r="H2893" i="16"/>
  <c r="H2894" i="16"/>
  <c r="H2895" i="16"/>
  <c r="H2896" i="16"/>
  <c r="H2897" i="16"/>
  <c r="H2898" i="16"/>
  <c r="H2899" i="16"/>
  <c r="H2900" i="16"/>
  <c r="H2901" i="16"/>
  <c r="H2902" i="16"/>
  <c r="H2903" i="16"/>
  <c r="H2904" i="16"/>
  <c r="H2905" i="16"/>
  <c r="H2906" i="16"/>
  <c r="H2907" i="16"/>
  <c r="H2908" i="16"/>
  <c r="H2909" i="16"/>
  <c r="H2910" i="16"/>
  <c r="H2911" i="16"/>
  <c r="H2912" i="16"/>
  <c r="H2913" i="16"/>
  <c r="H2914" i="16"/>
  <c r="H2915" i="16"/>
  <c r="H2916" i="16"/>
  <c r="H2917" i="16"/>
  <c r="H2918" i="16"/>
  <c r="H2919" i="16"/>
  <c r="H2920" i="16"/>
  <c r="H2921" i="16"/>
  <c r="H2922" i="16"/>
  <c r="H2923" i="16"/>
  <c r="H2924" i="16"/>
  <c r="H2925" i="16"/>
  <c r="H2926" i="16"/>
  <c r="H2927" i="16"/>
  <c r="H2928" i="16"/>
  <c r="H2929" i="16"/>
  <c r="H2930" i="16"/>
  <c r="H2931" i="16"/>
  <c r="H2932" i="16"/>
  <c r="H2933" i="16"/>
  <c r="H2934" i="16"/>
  <c r="H2935" i="16"/>
  <c r="H2936" i="16"/>
  <c r="H2937" i="16"/>
  <c r="H2938" i="16"/>
  <c r="H2939" i="16"/>
  <c r="H2940" i="16"/>
  <c r="H2941" i="16"/>
  <c r="H2942" i="16"/>
  <c r="H2943" i="16"/>
  <c r="H2944" i="16"/>
  <c r="H2945" i="16"/>
  <c r="H2946" i="16"/>
  <c r="H2947" i="16"/>
  <c r="H2948" i="16"/>
  <c r="H2949" i="16"/>
  <c r="H2950" i="16"/>
  <c r="H2951" i="16"/>
  <c r="H2952" i="16"/>
  <c r="H2953" i="16"/>
  <c r="H2954" i="16"/>
  <c r="H2955" i="16"/>
  <c r="H2956" i="16"/>
  <c r="H2957" i="16"/>
  <c r="H2958" i="16"/>
  <c r="H2959" i="16"/>
  <c r="H2960" i="16"/>
  <c r="H2961" i="16"/>
  <c r="H2962" i="16"/>
  <c r="H2963" i="16"/>
  <c r="H2964" i="16"/>
  <c r="H2965" i="16"/>
  <c r="H2966" i="16"/>
  <c r="H2967" i="16"/>
  <c r="H2968" i="16"/>
  <c r="H2969" i="16"/>
  <c r="H2970" i="16"/>
  <c r="H2971" i="16"/>
  <c r="H2972" i="16"/>
  <c r="H2973" i="16"/>
  <c r="H2974" i="16"/>
  <c r="H2975" i="16"/>
  <c r="H2976" i="16"/>
  <c r="H2977" i="16"/>
  <c r="H2978" i="16"/>
  <c r="H2979" i="16"/>
  <c r="H2980" i="16"/>
  <c r="H2981" i="16"/>
  <c r="H2982" i="16"/>
  <c r="H2983" i="16"/>
  <c r="H2984" i="16"/>
  <c r="H2985" i="16"/>
  <c r="H2986" i="16"/>
  <c r="H2987" i="16"/>
  <c r="H2988" i="16"/>
  <c r="H2989" i="16"/>
  <c r="H2990" i="16"/>
  <c r="H2991" i="16"/>
  <c r="H2992" i="16"/>
  <c r="H2993" i="16"/>
  <c r="H2994" i="16"/>
  <c r="H2995" i="16"/>
  <c r="H2996" i="16"/>
  <c r="H2997" i="16"/>
  <c r="H2998" i="16"/>
  <c r="H2999" i="16"/>
  <c r="H3000" i="16"/>
  <c r="H3001" i="16"/>
  <c r="H3002" i="16"/>
  <c r="H3003" i="16"/>
  <c r="H3004" i="16"/>
  <c r="H3005" i="16"/>
  <c r="H3006" i="16"/>
  <c r="H3007" i="16"/>
  <c r="H3008" i="16"/>
  <c r="H3009" i="16"/>
  <c r="H3010" i="16"/>
  <c r="H3011" i="16"/>
  <c r="H3012" i="16"/>
  <c r="H3013" i="16"/>
  <c r="H3014" i="16"/>
  <c r="H3015" i="16"/>
  <c r="H3016" i="16"/>
  <c r="H3017" i="16"/>
  <c r="H3018" i="16"/>
  <c r="H3019" i="16"/>
  <c r="H3020" i="16"/>
  <c r="H3021" i="16"/>
  <c r="H3022" i="16"/>
  <c r="H3023" i="16"/>
  <c r="H3024" i="16"/>
  <c r="H3025" i="16"/>
  <c r="H3026" i="16"/>
  <c r="H3027" i="16"/>
  <c r="H3028" i="16"/>
  <c r="H3029" i="16"/>
  <c r="H3030" i="16"/>
  <c r="H3031" i="16"/>
  <c r="H3032" i="16"/>
  <c r="H3033" i="16"/>
  <c r="H3034" i="16"/>
  <c r="H3035" i="16"/>
  <c r="H3036" i="16"/>
  <c r="H3037" i="16"/>
  <c r="H3038" i="16"/>
  <c r="H3039" i="16"/>
  <c r="H3040" i="16"/>
  <c r="H3041" i="16"/>
  <c r="H3042" i="16"/>
  <c r="H3043" i="16"/>
  <c r="H3044" i="16"/>
  <c r="H3045" i="16"/>
  <c r="H3046" i="16"/>
  <c r="H3047" i="16"/>
  <c r="H3048" i="16"/>
  <c r="H3049" i="16"/>
  <c r="H3050" i="16"/>
  <c r="H3051" i="16"/>
  <c r="H3052" i="16"/>
  <c r="H3053" i="16"/>
  <c r="H3054" i="16"/>
  <c r="H3055" i="16"/>
  <c r="H3056" i="16"/>
  <c r="H3057" i="16"/>
  <c r="H3058" i="16"/>
  <c r="H3059" i="16"/>
  <c r="H3060" i="16"/>
  <c r="H3061" i="16"/>
  <c r="H3062" i="16"/>
  <c r="H3063" i="16"/>
  <c r="H3064" i="16"/>
  <c r="H3065" i="16"/>
  <c r="H3066" i="16"/>
  <c r="H3067" i="16"/>
  <c r="H3068" i="16"/>
  <c r="H3069" i="16"/>
  <c r="H3070" i="16"/>
  <c r="H3071" i="16"/>
  <c r="H3072" i="16"/>
  <c r="H3073" i="16"/>
  <c r="H3074" i="16"/>
  <c r="H3075" i="16"/>
  <c r="H3076" i="16"/>
  <c r="H3077" i="16"/>
  <c r="H3078" i="16"/>
  <c r="H3079" i="16"/>
  <c r="H3080" i="16"/>
  <c r="H3081" i="16"/>
  <c r="H3082" i="16"/>
  <c r="H3083" i="16"/>
  <c r="H3084" i="16"/>
  <c r="H3085" i="16"/>
  <c r="H3086" i="16"/>
  <c r="H3087" i="16"/>
  <c r="H3088" i="16"/>
  <c r="H3089" i="16"/>
  <c r="H3090" i="16"/>
  <c r="H3091" i="16"/>
  <c r="H3092" i="16"/>
  <c r="H3093" i="16"/>
  <c r="H3094" i="16"/>
  <c r="H3095" i="16"/>
  <c r="H3096" i="16"/>
  <c r="H3097" i="16"/>
  <c r="H3098" i="16"/>
  <c r="H3099" i="16"/>
  <c r="H3100" i="16"/>
  <c r="H3101" i="16"/>
  <c r="H3102" i="16"/>
  <c r="H3103" i="16"/>
  <c r="H3104" i="16"/>
  <c r="H3105" i="16"/>
  <c r="H3106" i="16"/>
  <c r="H3107" i="16"/>
  <c r="H3108" i="16"/>
  <c r="H3109" i="16"/>
  <c r="H3110" i="16"/>
  <c r="H3111" i="16"/>
  <c r="H3112" i="16"/>
  <c r="H3113" i="16"/>
  <c r="H3114" i="16"/>
  <c r="H3115" i="16"/>
  <c r="H3116" i="16"/>
  <c r="H3117" i="16"/>
  <c r="H3118" i="16"/>
  <c r="H3119" i="16"/>
  <c r="H3120" i="16"/>
  <c r="H3121" i="16"/>
  <c r="H3122" i="16"/>
  <c r="H3123" i="16"/>
  <c r="H3124" i="16"/>
  <c r="H3125" i="16"/>
  <c r="H3126" i="16"/>
  <c r="H3127" i="16"/>
  <c r="H3128" i="16"/>
  <c r="H3129" i="16"/>
  <c r="H3130" i="16"/>
  <c r="H3131" i="16"/>
  <c r="H3132" i="16"/>
  <c r="H3133" i="16"/>
  <c r="H3134" i="16"/>
  <c r="H3135" i="16"/>
  <c r="H3136" i="16"/>
  <c r="H3137" i="16"/>
  <c r="H3138" i="16"/>
  <c r="H3139" i="16"/>
  <c r="H3140" i="16"/>
  <c r="H3141" i="16"/>
  <c r="H3142" i="16"/>
  <c r="H3143" i="16"/>
  <c r="H3144" i="16"/>
  <c r="H3145" i="16"/>
  <c r="H3146" i="16"/>
  <c r="H3147" i="16"/>
  <c r="H3148" i="16"/>
  <c r="H3149" i="16"/>
  <c r="H3150" i="16"/>
  <c r="H3151" i="16"/>
  <c r="H3152" i="16"/>
  <c r="H3153" i="16"/>
  <c r="H3154" i="16"/>
  <c r="H3155" i="16"/>
  <c r="H3156" i="16"/>
  <c r="H3157" i="16"/>
  <c r="H3158" i="16"/>
  <c r="H3159" i="16"/>
  <c r="H3160" i="16"/>
  <c r="H3161" i="16"/>
  <c r="H3162" i="16"/>
  <c r="H3163" i="16"/>
  <c r="H3164" i="16"/>
  <c r="H3165" i="16"/>
  <c r="H3166" i="16"/>
  <c r="H3167" i="16"/>
  <c r="H3168" i="16"/>
  <c r="H3169" i="16"/>
  <c r="H3170" i="16"/>
  <c r="H3171" i="16"/>
  <c r="H3172" i="16"/>
  <c r="H3173" i="16"/>
  <c r="H3174" i="16"/>
  <c r="H3175" i="16"/>
  <c r="H3176" i="16"/>
  <c r="H3177" i="16"/>
  <c r="H3178" i="16"/>
  <c r="H3179" i="16"/>
  <c r="H3180" i="16"/>
  <c r="H3181" i="16"/>
  <c r="H3182" i="16"/>
  <c r="H3183" i="16"/>
  <c r="H3184" i="16"/>
  <c r="H3185" i="16"/>
  <c r="H3186" i="16"/>
  <c r="H3187" i="16"/>
  <c r="H3188" i="16"/>
  <c r="H3189" i="16"/>
  <c r="H3190" i="16"/>
  <c r="H3191" i="16"/>
  <c r="H3192" i="16"/>
  <c r="H3193" i="16"/>
  <c r="H3194" i="16"/>
  <c r="H3195" i="16"/>
  <c r="H3196" i="16"/>
  <c r="H3197" i="16"/>
  <c r="H3198" i="16"/>
  <c r="H3199" i="16"/>
  <c r="H3200" i="16"/>
  <c r="H3201" i="16"/>
  <c r="H3202" i="16"/>
  <c r="H3203" i="16"/>
  <c r="H3204" i="16"/>
  <c r="H3205" i="16"/>
  <c r="H3206" i="16"/>
  <c r="H3207" i="16"/>
  <c r="H3208" i="16"/>
  <c r="H3209" i="16"/>
  <c r="H3210" i="16"/>
  <c r="H3211" i="16"/>
  <c r="H3212" i="16"/>
  <c r="H3213" i="16"/>
  <c r="H3214" i="16"/>
  <c r="H3215" i="16"/>
  <c r="H3216" i="16"/>
  <c r="H3217" i="16"/>
  <c r="H3218" i="16"/>
  <c r="H3219" i="16"/>
  <c r="H3220" i="16"/>
  <c r="H3221" i="16"/>
  <c r="H3222" i="16"/>
  <c r="H3223" i="16"/>
  <c r="H3224" i="16"/>
  <c r="H3225" i="16"/>
  <c r="H3226" i="16"/>
  <c r="H3227" i="16"/>
  <c r="H3228" i="16"/>
  <c r="H3229" i="16"/>
  <c r="H3230" i="16"/>
  <c r="H3231" i="16"/>
  <c r="H3232" i="16"/>
  <c r="H3233" i="16"/>
  <c r="H3234" i="16"/>
  <c r="H3235" i="16"/>
  <c r="H3236" i="16"/>
  <c r="H3237" i="16"/>
  <c r="H3238" i="16"/>
  <c r="H3239" i="16"/>
  <c r="H3240" i="16"/>
  <c r="H3241" i="16"/>
  <c r="H3242" i="16"/>
  <c r="H3243" i="16"/>
  <c r="H3244" i="16"/>
  <c r="H3245" i="16"/>
  <c r="H3246" i="16"/>
  <c r="H3247" i="16"/>
  <c r="H3248" i="16"/>
  <c r="H3249" i="16"/>
  <c r="H3250" i="16"/>
  <c r="H3251" i="16"/>
  <c r="H3252" i="16"/>
  <c r="H3253" i="16"/>
  <c r="H3254" i="16"/>
  <c r="H3255" i="16"/>
  <c r="H3256" i="16"/>
  <c r="H3257" i="16"/>
  <c r="H3258" i="16"/>
  <c r="H3259" i="16"/>
  <c r="H3260" i="16"/>
  <c r="H3261" i="16"/>
  <c r="H3262" i="16"/>
  <c r="H3263" i="16"/>
  <c r="H3264" i="16"/>
  <c r="H3265" i="16"/>
  <c r="H3266" i="16"/>
  <c r="H3267" i="16"/>
  <c r="H3268" i="16"/>
  <c r="H3269" i="16"/>
  <c r="H3270" i="16"/>
  <c r="H3271" i="16"/>
  <c r="H3272" i="16"/>
  <c r="H3273" i="16"/>
  <c r="H3274" i="16"/>
  <c r="H3275" i="16"/>
  <c r="H3276" i="16"/>
  <c r="H3277" i="16"/>
  <c r="H3278" i="16"/>
  <c r="H3279" i="16"/>
  <c r="H3280" i="16"/>
  <c r="H3281" i="16"/>
  <c r="H3282" i="16"/>
  <c r="H3283" i="16"/>
  <c r="H3284" i="16"/>
  <c r="H3285" i="16"/>
  <c r="H3286" i="16"/>
  <c r="H3287" i="16"/>
  <c r="H3288" i="16"/>
  <c r="H3289" i="16"/>
  <c r="H3290" i="16"/>
  <c r="H3291" i="16"/>
  <c r="H3292" i="16"/>
  <c r="H3293" i="16"/>
  <c r="H3294" i="16"/>
  <c r="H3295" i="16"/>
  <c r="H3296" i="16"/>
  <c r="H3297" i="16"/>
  <c r="H3298" i="16"/>
  <c r="H3299" i="16"/>
  <c r="H3300" i="16"/>
  <c r="H3301" i="16"/>
  <c r="H3302" i="16"/>
  <c r="H3303" i="16"/>
  <c r="H3304" i="16"/>
  <c r="H3305" i="16"/>
  <c r="H3306" i="16"/>
  <c r="H3307" i="16"/>
  <c r="H3308" i="16"/>
  <c r="H3309" i="16"/>
  <c r="H3310" i="16"/>
  <c r="H3311" i="16"/>
  <c r="H3312" i="16"/>
  <c r="H3313" i="16"/>
  <c r="H3314" i="16"/>
  <c r="H3315" i="16"/>
  <c r="H3316" i="16"/>
  <c r="H3317" i="16"/>
  <c r="H3318" i="16"/>
  <c r="H3319" i="16"/>
  <c r="H3320" i="16"/>
  <c r="H3321" i="16"/>
  <c r="H3322" i="16"/>
  <c r="H3323" i="16"/>
  <c r="H3324" i="16"/>
  <c r="H3325" i="16"/>
  <c r="H3326" i="16"/>
  <c r="H3327" i="16"/>
  <c r="H3328" i="16"/>
  <c r="H3329" i="16"/>
  <c r="H3330" i="16"/>
  <c r="H3331" i="16"/>
  <c r="H3332" i="16"/>
  <c r="H3333" i="16"/>
  <c r="H3334" i="16"/>
  <c r="H3335" i="16"/>
  <c r="H3336" i="16"/>
  <c r="H3337" i="16"/>
  <c r="H3338" i="16"/>
  <c r="H3339" i="16"/>
  <c r="H3340" i="16"/>
  <c r="H3341" i="16"/>
  <c r="H3342" i="16"/>
  <c r="H3343" i="16"/>
  <c r="H3344" i="16"/>
  <c r="H3345" i="16"/>
  <c r="H3346" i="16"/>
  <c r="H3347" i="16"/>
  <c r="H3348" i="16"/>
  <c r="H3349" i="16"/>
  <c r="H3350" i="16"/>
  <c r="H3351" i="16"/>
  <c r="H3352" i="16"/>
  <c r="H3353" i="16"/>
  <c r="H3354" i="16"/>
  <c r="H3355" i="16"/>
  <c r="H3356" i="16"/>
  <c r="H3357" i="16"/>
  <c r="H3358" i="16"/>
  <c r="H3359" i="16"/>
  <c r="H3360" i="16"/>
  <c r="H3361" i="16"/>
  <c r="H3362" i="16"/>
  <c r="H3363" i="16"/>
  <c r="H3364" i="16"/>
  <c r="H3365" i="16"/>
  <c r="H3366" i="16"/>
  <c r="H3367" i="16"/>
  <c r="H3368" i="16"/>
  <c r="H3369" i="16"/>
  <c r="H3370" i="16"/>
  <c r="H3371" i="16"/>
  <c r="H3372" i="16"/>
  <c r="H3373" i="16"/>
  <c r="H3374" i="16"/>
  <c r="H3375" i="16"/>
  <c r="H3376" i="16"/>
  <c r="H3377" i="16"/>
  <c r="H3378" i="16"/>
  <c r="H3379" i="16"/>
  <c r="H3380" i="16"/>
  <c r="H3381" i="16"/>
  <c r="H3382" i="16"/>
  <c r="H3383" i="16"/>
  <c r="H3384" i="16"/>
  <c r="H3385" i="16"/>
  <c r="H3386" i="16"/>
  <c r="H3387" i="16"/>
  <c r="H3388" i="16"/>
  <c r="H3389" i="16"/>
  <c r="H3390" i="16"/>
  <c r="H3391" i="16"/>
  <c r="H3392" i="16"/>
  <c r="H3393" i="16"/>
  <c r="H3394" i="16"/>
  <c r="H3395" i="16"/>
  <c r="H3396" i="16"/>
  <c r="H3397" i="16"/>
  <c r="H3398" i="16"/>
  <c r="H3399" i="16"/>
  <c r="H3400" i="16"/>
  <c r="H3401" i="16"/>
  <c r="H3402" i="16"/>
  <c r="H3403" i="16"/>
  <c r="H3404" i="16"/>
  <c r="H3405" i="16"/>
  <c r="H3406" i="16"/>
  <c r="H3407" i="16"/>
  <c r="H3408" i="16"/>
  <c r="H3409" i="16"/>
  <c r="H3410" i="16"/>
  <c r="H3411" i="16"/>
  <c r="H3412" i="16"/>
  <c r="H3413" i="16"/>
  <c r="H3414" i="16"/>
  <c r="H3415" i="16"/>
  <c r="H3416" i="16"/>
  <c r="H3417" i="16"/>
  <c r="H3418" i="16"/>
  <c r="H3419" i="16"/>
  <c r="H3420" i="16"/>
  <c r="H3421" i="16"/>
  <c r="H3422" i="16"/>
  <c r="H3423" i="16"/>
  <c r="H3424" i="16"/>
  <c r="H3425" i="16"/>
  <c r="H3426" i="16"/>
  <c r="H3427" i="16"/>
  <c r="H3428" i="16"/>
  <c r="H3429" i="16"/>
  <c r="H3430" i="16"/>
  <c r="H3431" i="16"/>
  <c r="H3432" i="16"/>
  <c r="H3433" i="16"/>
  <c r="H3434" i="16"/>
  <c r="H3435" i="16"/>
  <c r="H3436" i="16"/>
  <c r="H3437" i="16"/>
  <c r="H3438" i="16"/>
  <c r="H3439" i="16"/>
  <c r="H3440" i="16"/>
  <c r="H3441" i="16"/>
  <c r="H3442" i="16"/>
  <c r="H3443" i="16"/>
  <c r="H3444" i="16"/>
  <c r="H3445" i="16"/>
  <c r="H3446" i="16"/>
  <c r="H3447" i="16"/>
  <c r="H3448" i="16"/>
  <c r="H3449" i="16"/>
  <c r="H3450" i="16"/>
  <c r="H3451" i="16"/>
  <c r="H3452" i="16"/>
  <c r="H3453" i="16"/>
  <c r="H3454" i="16"/>
  <c r="H3455" i="16"/>
  <c r="H3456" i="16"/>
  <c r="H3457" i="16"/>
  <c r="H3458" i="16"/>
  <c r="H3459" i="16"/>
  <c r="H3460" i="16"/>
  <c r="H3461" i="16"/>
  <c r="H3462" i="16"/>
  <c r="H3463" i="16"/>
  <c r="H3464" i="16"/>
  <c r="H3465" i="16"/>
  <c r="H3466" i="16"/>
  <c r="H3467" i="16"/>
  <c r="H3468" i="16"/>
  <c r="H3469" i="16"/>
  <c r="H3470" i="16"/>
  <c r="H3471" i="16"/>
  <c r="H3472" i="16"/>
  <c r="H3473" i="16"/>
  <c r="H3474" i="16"/>
  <c r="H3475" i="16"/>
  <c r="H3476" i="16"/>
  <c r="H3477" i="16"/>
  <c r="H3478" i="16"/>
  <c r="H3479" i="16"/>
  <c r="H3480" i="16"/>
  <c r="H3481" i="16"/>
  <c r="H3482" i="16"/>
  <c r="H3483" i="16"/>
  <c r="H3484" i="16"/>
  <c r="H3485" i="16"/>
  <c r="H3486" i="16"/>
  <c r="H3487" i="16"/>
  <c r="H3488" i="16"/>
  <c r="H3489" i="16"/>
  <c r="H3490" i="16"/>
  <c r="H3491" i="16"/>
  <c r="H3492" i="16"/>
  <c r="H3493" i="16"/>
  <c r="H3494" i="16"/>
  <c r="H3495" i="16"/>
  <c r="H3496" i="16"/>
  <c r="H3497" i="16"/>
  <c r="H3498" i="16"/>
  <c r="H3499" i="16"/>
  <c r="H3500" i="16"/>
  <c r="H3501" i="16"/>
  <c r="H3502" i="16"/>
  <c r="H3503" i="16"/>
  <c r="H3504" i="16"/>
  <c r="H3505" i="16"/>
  <c r="H3506" i="16"/>
  <c r="H3507" i="16"/>
  <c r="H3508" i="16"/>
  <c r="H3509" i="16"/>
  <c r="H3510" i="16"/>
  <c r="H3511" i="16"/>
  <c r="H3512" i="16"/>
  <c r="H3513" i="16"/>
  <c r="H3514" i="16"/>
  <c r="H3515" i="16"/>
  <c r="H3516" i="16"/>
  <c r="H3517" i="16"/>
  <c r="H3518" i="16"/>
  <c r="H3519" i="16"/>
  <c r="H3520" i="16"/>
  <c r="H3521" i="16"/>
  <c r="H3522" i="16"/>
  <c r="H3523" i="16"/>
  <c r="H3524" i="16"/>
  <c r="H3525" i="16"/>
  <c r="H3526" i="16"/>
  <c r="H3527" i="16"/>
  <c r="H3528" i="16"/>
  <c r="H3529" i="16"/>
  <c r="H3530" i="16"/>
  <c r="H3531" i="16"/>
  <c r="H3532" i="16"/>
  <c r="H3533" i="16"/>
  <c r="H3534" i="16"/>
  <c r="H3535" i="16"/>
  <c r="H3536" i="16"/>
  <c r="H3537" i="16"/>
  <c r="H3538" i="16"/>
  <c r="H3539" i="16"/>
  <c r="H3540" i="16"/>
  <c r="H3541" i="16"/>
  <c r="H3542" i="16"/>
  <c r="H3543" i="16"/>
  <c r="H3544" i="16"/>
  <c r="H3545" i="16"/>
  <c r="H3546" i="16"/>
  <c r="H3547" i="16"/>
  <c r="H3548" i="16"/>
  <c r="H3549" i="16"/>
  <c r="H3550" i="16"/>
  <c r="H3551" i="16"/>
  <c r="H3552" i="16"/>
  <c r="H3553" i="16"/>
  <c r="H3554" i="16"/>
  <c r="H3555" i="16"/>
  <c r="H3556" i="16"/>
  <c r="H3557" i="16"/>
  <c r="H3558" i="16"/>
  <c r="H3559" i="16"/>
  <c r="H3560" i="16"/>
  <c r="H3561" i="16"/>
  <c r="H3562" i="16"/>
  <c r="H3563" i="16"/>
  <c r="H3564" i="16"/>
  <c r="H3565" i="16"/>
  <c r="H3566" i="16"/>
  <c r="H3567" i="16"/>
  <c r="H3568" i="16"/>
  <c r="H3569" i="16"/>
  <c r="H3570" i="16"/>
  <c r="H3571" i="16"/>
  <c r="H3572" i="16"/>
  <c r="H3573" i="16"/>
  <c r="H3574" i="16"/>
  <c r="H3575" i="16"/>
  <c r="H3576" i="16"/>
  <c r="H3577" i="16"/>
  <c r="H3578" i="16"/>
  <c r="H3579" i="16"/>
  <c r="H3580" i="16"/>
  <c r="H3581" i="16"/>
  <c r="H3582" i="16"/>
  <c r="H3583" i="16"/>
  <c r="H3584" i="16"/>
  <c r="H3585" i="16"/>
  <c r="H3586" i="16"/>
  <c r="H3587" i="16"/>
  <c r="H3588" i="16"/>
  <c r="H3589" i="16"/>
  <c r="H3590" i="16"/>
  <c r="H3591" i="16"/>
  <c r="H3592" i="16"/>
  <c r="H3593" i="16"/>
  <c r="H3594" i="16"/>
  <c r="H3595" i="16"/>
  <c r="H3596" i="16"/>
  <c r="H3597" i="16"/>
  <c r="H3598" i="16"/>
  <c r="H3599" i="16"/>
  <c r="H3600" i="16"/>
  <c r="H3601" i="16"/>
  <c r="H3602" i="16"/>
  <c r="H3603" i="16"/>
  <c r="H3604" i="16"/>
  <c r="H3605" i="16"/>
  <c r="H3606" i="16"/>
  <c r="H3607" i="16"/>
  <c r="H3608" i="16"/>
  <c r="H3609" i="16"/>
  <c r="H3610" i="16"/>
  <c r="H3611" i="16"/>
  <c r="H3612" i="16"/>
  <c r="H3613" i="16"/>
  <c r="H3614" i="16"/>
  <c r="H3615" i="16"/>
  <c r="H3616" i="16"/>
  <c r="H3617" i="16"/>
  <c r="H3618" i="16"/>
  <c r="H3619" i="16"/>
  <c r="H3620" i="16"/>
  <c r="H3621" i="16"/>
  <c r="H3622" i="16"/>
  <c r="H3623" i="16"/>
  <c r="H3624" i="16"/>
  <c r="H3625" i="16"/>
  <c r="H3626" i="16"/>
  <c r="H3627" i="16"/>
  <c r="H3628" i="16"/>
  <c r="H3629" i="16"/>
  <c r="H3630" i="16"/>
  <c r="H3631" i="16"/>
  <c r="H3632" i="16"/>
  <c r="H3633" i="16"/>
  <c r="H3634" i="16"/>
  <c r="H3635" i="16"/>
  <c r="H3636" i="16"/>
  <c r="H3637" i="16"/>
  <c r="H3638" i="16"/>
  <c r="H3639" i="16"/>
  <c r="H3640" i="16"/>
  <c r="H3641" i="16"/>
  <c r="H3642" i="16"/>
  <c r="H3643" i="16"/>
  <c r="H3644" i="16"/>
  <c r="H3645" i="16"/>
  <c r="H3646" i="16"/>
  <c r="H3647" i="16"/>
  <c r="H3648" i="16"/>
  <c r="H3649" i="16"/>
  <c r="H3650" i="16"/>
  <c r="H3651" i="16"/>
  <c r="H3652" i="16"/>
  <c r="H3653" i="16"/>
  <c r="H3654" i="16"/>
  <c r="H3655" i="16"/>
  <c r="H3656" i="16"/>
  <c r="H3657" i="16"/>
  <c r="H3658" i="16"/>
  <c r="H3659" i="16"/>
  <c r="H3660" i="16"/>
  <c r="H3661" i="16"/>
  <c r="H3662" i="16"/>
  <c r="H3663" i="16"/>
  <c r="H3664" i="16"/>
  <c r="H3665" i="16"/>
  <c r="H3666" i="16"/>
  <c r="H3667" i="16"/>
  <c r="H3668" i="16"/>
  <c r="H3669" i="16"/>
  <c r="H3670" i="16"/>
  <c r="H3671" i="16"/>
  <c r="H3672" i="16"/>
  <c r="H3673" i="16"/>
  <c r="H3674" i="16"/>
  <c r="H3675" i="16"/>
  <c r="H3676" i="16"/>
  <c r="H3677" i="16"/>
  <c r="H3678" i="16"/>
  <c r="H3679" i="16"/>
  <c r="H3680" i="16"/>
  <c r="H3681" i="16"/>
  <c r="H3682" i="16"/>
  <c r="H3683" i="16"/>
  <c r="H3684" i="16"/>
  <c r="H3685" i="16"/>
  <c r="H3686" i="16"/>
  <c r="H3687" i="16"/>
  <c r="H3688" i="16"/>
  <c r="H3689" i="16"/>
  <c r="H3690" i="16"/>
  <c r="H3691" i="16"/>
  <c r="H3692" i="16"/>
  <c r="H3693" i="16"/>
  <c r="H3694" i="16"/>
  <c r="H3695" i="16"/>
  <c r="H3696" i="16"/>
  <c r="H3697" i="16"/>
  <c r="H3698" i="16"/>
  <c r="H3699" i="16"/>
  <c r="H3700" i="16"/>
  <c r="H3701" i="16"/>
  <c r="H3702" i="16"/>
  <c r="H3703" i="16"/>
  <c r="H3704" i="16"/>
  <c r="H3705" i="16"/>
  <c r="H3706" i="16"/>
  <c r="H3707" i="16"/>
  <c r="H3708" i="16"/>
  <c r="H3709" i="16"/>
  <c r="H3710" i="16"/>
  <c r="H3711" i="16"/>
  <c r="H3712" i="16"/>
  <c r="H3713" i="16"/>
  <c r="H3714" i="16"/>
  <c r="H3715" i="16"/>
  <c r="H3716" i="16"/>
  <c r="H3717" i="16"/>
  <c r="H3718" i="16"/>
  <c r="H3719" i="16"/>
  <c r="H3720" i="16"/>
  <c r="H3721" i="16"/>
  <c r="H3722" i="16"/>
  <c r="H3723" i="16"/>
  <c r="H3724" i="16"/>
  <c r="H3725" i="16"/>
  <c r="H3726" i="16"/>
  <c r="H3727" i="16"/>
  <c r="H3728" i="16"/>
  <c r="H3729" i="16"/>
  <c r="H3730" i="16"/>
  <c r="H3731" i="16"/>
  <c r="H3732" i="16"/>
  <c r="H3733" i="16"/>
  <c r="H3734" i="16"/>
  <c r="H3735" i="16"/>
  <c r="H3736" i="16"/>
  <c r="H3737" i="16"/>
  <c r="H3738" i="16"/>
  <c r="H3739" i="16"/>
  <c r="H3740" i="16"/>
  <c r="H3741" i="16"/>
  <c r="H3742" i="16"/>
  <c r="H3743" i="16"/>
  <c r="H3744" i="16"/>
  <c r="H3745" i="16"/>
  <c r="H3746" i="16"/>
  <c r="H3747" i="16"/>
  <c r="H3748" i="16"/>
  <c r="H3749" i="16"/>
  <c r="H3750" i="16"/>
  <c r="H3751" i="16"/>
  <c r="H3752" i="16"/>
  <c r="H3753" i="16"/>
  <c r="H3754" i="16"/>
  <c r="H3755" i="16"/>
  <c r="H3756" i="16"/>
  <c r="H3757" i="16"/>
  <c r="H3758" i="16"/>
  <c r="H3759" i="16"/>
  <c r="H3760" i="16"/>
  <c r="H3761" i="16"/>
  <c r="H3762" i="16"/>
  <c r="H3763" i="16"/>
  <c r="H3764" i="16"/>
  <c r="H3765" i="16"/>
  <c r="H3766" i="16"/>
  <c r="H3767" i="16"/>
  <c r="H3768" i="16"/>
  <c r="H3769" i="16"/>
  <c r="H3770" i="16"/>
  <c r="H3771" i="16"/>
  <c r="H3772" i="16"/>
  <c r="H3773" i="16"/>
  <c r="H3774" i="16"/>
  <c r="H3775" i="16"/>
  <c r="H3776" i="16"/>
  <c r="H3777" i="16"/>
  <c r="H3778" i="16"/>
  <c r="H3779" i="16"/>
  <c r="H3780" i="16"/>
  <c r="H3781" i="16"/>
  <c r="H3782" i="16"/>
  <c r="H3783" i="16"/>
  <c r="H3784" i="16"/>
  <c r="H3785" i="16"/>
  <c r="H3786" i="16"/>
  <c r="H3787" i="16"/>
  <c r="H3788" i="16"/>
  <c r="H3789" i="16"/>
  <c r="H3790" i="16"/>
  <c r="H3791" i="16"/>
  <c r="H3792" i="16"/>
  <c r="H3793" i="16"/>
  <c r="H3794" i="16"/>
  <c r="H3795" i="16"/>
  <c r="H3796" i="16"/>
  <c r="H3797" i="16"/>
  <c r="H3798" i="16"/>
  <c r="H3799" i="16"/>
  <c r="H3800" i="16"/>
  <c r="H3801" i="16"/>
  <c r="H3802" i="16"/>
  <c r="H3803" i="16"/>
  <c r="H3804" i="16"/>
  <c r="H3805" i="16"/>
  <c r="H3806" i="16"/>
  <c r="H3807" i="16"/>
  <c r="H3808" i="16"/>
  <c r="H3809" i="16"/>
  <c r="H3810" i="16"/>
  <c r="H3811" i="16"/>
  <c r="H3812" i="16"/>
  <c r="H3813" i="16"/>
  <c r="H3814" i="16"/>
  <c r="H3815" i="16"/>
  <c r="H3816" i="16"/>
  <c r="H3817" i="16"/>
  <c r="H3818" i="16"/>
  <c r="H3819" i="16"/>
  <c r="H3820" i="16"/>
  <c r="H3821" i="16"/>
  <c r="H3822" i="16"/>
  <c r="H3823" i="16"/>
  <c r="H3824" i="16"/>
  <c r="H3825" i="16"/>
  <c r="H3826" i="16"/>
  <c r="H3827" i="16"/>
  <c r="H3828" i="16"/>
  <c r="H3829" i="16"/>
  <c r="H3830" i="16"/>
  <c r="H3831" i="16"/>
  <c r="H3832" i="16"/>
  <c r="H3833" i="16"/>
  <c r="H3834" i="16"/>
  <c r="H3835" i="16"/>
  <c r="H3836" i="16"/>
  <c r="H3837" i="16"/>
  <c r="H3838" i="16"/>
  <c r="H3839" i="16"/>
  <c r="H3840" i="16"/>
  <c r="H3841" i="16"/>
  <c r="H3842" i="16"/>
  <c r="H3843" i="16"/>
  <c r="H3844" i="16"/>
  <c r="H3845" i="16"/>
  <c r="H3846" i="16"/>
  <c r="H3847" i="16"/>
  <c r="H3848" i="16"/>
  <c r="H3849" i="16"/>
  <c r="H3850" i="16"/>
  <c r="H3851" i="16"/>
  <c r="H3852" i="16"/>
  <c r="H3853" i="16"/>
  <c r="H3854" i="16"/>
  <c r="H3855" i="16"/>
  <c r="H3856" i="16"/>
  <c r="H3857" i="16"/>
  <c r="H3858" i="16"/>
  <c r="H3859" i="16"/>
  <c r="H3860" i="16"/>
  <c r="H3861" i="16"/>
  <c r="H3862" i="16"/>
  <c r="H3863" i="16"/>
  <c r="H3864" i="16"/>
  <c r="H3865" i="16"/>
  <c r="H3866" i="16"/>
  <c r="H3867" i="16"/>
  <c r="H3868" i="16"/>
  <c r="H3869" i="16"/>
  <c r="H3870" i="16"/>
  <c r="H3871" i="16"/>
  <c r="H3872" i="16"/>
  <c r="H3873" i="16"/>
  <c r="H3874" i="16"/>
  <c r="H3875" i="16"/>
  <c r="H3876" i="16"/>
  <c r="H3877" i="16"/>
  <c r="H3878" i="16"/>
  <c r="H3879" i="16"/>
  <c r="H3880" i="16"/>
  <c r="H3881" i="16"/>
  <c r="H3882" i="16"/>
  <c r="H3883" i="16"/>
  <c r="H3884" i="16"/>
  <c r="H3885" i="16"/>
  <c r="H3886" i="16"/>
  <c r="H3887" i="16"/>
  <c r="H3888" i="16"/>
  <c r="H3889" i="16"/>
  <c r="H3890" i="16"/>
  <c r="H3891" i="16"/>
  <c r="H3892" i="16"/>
  <c r="H3893" i="16"/>
  <c r="H3894" i="16"/>
  <c r="H3895" i="16"/>
  <c r="H3896" i="16"/>
  <c r="H3897" i="16"/>
  <c r="H3898" i="16"/>
  <c r="H3899" i="16"/>
  <c r="H3900" i="16"/>
  <c r="H3901" i="16"/>
  <c r="H3902" i="16"/>
  <c r="H3903" i="16"/>
  <c r="H3904" i="16"/>
  <c r="H3905" i="16"/>
  <c r="H3906" i="16"/>
  <c r="H3907" i="16"/>
  <c r="H3908" i="16"/>
  <c r="H3909" i="16"/>
  <c r="H3910" i="16"/>
  <c r="H3911" i="16"/>
  <c r="H3912" i="16"/>
  <c r="H3913" i="16"/>
  <c r="H3914" i="16"/>
  <c r="H3915" i="16"/>
  <c r="H3916" i="16"/>
  <c r="H3917" i="16"/>
  <c r="H3918" i="16"/>
  <c r="H3919" i="16"/>
  <c r="H3920" i="16"/>
  <c r="H3921" i="16"/>
  <c r="H3922" i="16"/>
  <c r="H3923" i="16"/>
  <c r="H3924" i="16"/>
  <c r="H3925" i="16"/>
  <c r="H3926" i="16"/>
  <c r="H3927" i="16"/>
  <c r="H3928" i="16"/>
  <c r="H3929" i="16"/>
  <c r="H3930" i="16"/>
  <c r="H3931" i="16"/>
  <c r="H3932" i="16"/>
  <c r="H3933" i="16"/>
  <c r="H3934" i="16"/>
  <c r="H3935" i="16"/>
  <c r="H3936" i="16"/>
  <c r="H3937" i="16"/>
  <c r="H3938" i="16"/>
  <c r="H3939" i="16"/>
  <c r="H3940" i="16"/>
  <c r="H3941" i="16"/>
  <c r="H3942" i="16"/>
  <c r="H3943" i="16"/>
  <c r="H3944" i="16"/>
  <c r="H3945" i="16"/>
  <c r="H3946" i="16"/>
  <c r="H3947" i="16"/>
  <c r="H3948" i="16"/>
  <c r="H3949" i="16"/>
  <c r="H3950" i="16"/>
  <c r="H3951" i="16"/>
  <c r="H3952" i="16"/>
  <c r="H3953" i="16"/>
  <c r="H3954" i="16"/>
  <c r="H3955" i="16"/>
  <c r="H3956" i="16"/>
  <c r="H3957" i="16"/>
  <c r="H3958" i="16"/>
  <c r="H3959" i="16"/>
  <c r="H3960" i="16"/>
  <c r="H3961" i="16"/>
  <c r="H3962" i="16"/>
  <c r="H3963" i="16"/>
  <c r="H3964" i="16"/>
  <c r="H3965" i="16"/>
  <c r="H3966" i="16"/>
  <c r="H3967" i="16"/>
  <c r="H3968" i="16"/>
  <c r="H3969" i="16"/>
  <c r="H3970" i="16"/>
  <c r="H3971" i="16"/>
  <c r="H3972" i="16"/>
  <c r="H3973" i="16"/>
  <c r="H3974" i="16"/>
  <c r="H3975" i="16"/>
  <c r="H3976" i="16"/>
  <c r="H3977" i="16"/>
  <c r="H3978" i="16"/>
  <c r="H3979" i="16"/>
  <c r="H3980" i="16"/>
  <c r="H3981" i="16"/>
  <c r="H3982" i="16"/>
  <c r="H3983" i="16"/>
  <c r="H3984" i="16"/>
  <c r="H3985" i="16"/>
  <c r="H3986" i="16"/>
  <c r="H3987" i="16"/>
  <c r="H3988" i="16"/>
  <c r="H3989" i="16"/>
  <c r="H3990" i="16"/>
  <c r="H3991" i="16"/>
  <c r="H3992" i="16"/>
  <c r="H3993" i="16"/>
  <c r="H3994" i="16"/>
  <c r="H3995" i="16"/>
  <c r="H3996" i="16"/>
  <c r="H3997" i="16"/>
  <c r="H3998" i="16"/>
  <c r="H3999" i="16"/>
  <c r="H4000" i="16"/>
  <c r="H4001" i="16"/>
  <c r="H4002" i="16"/>
  <c r="H4003" i="16"/>
  <c r="H4004" i="16"/>
  <c r="H4005" i="16"/>
  <c r="H4006" i="16"/>
  <c r="H4007" i="16"/>
  <c r="H4008" i="16"/>
  <c r="H4009" i="16"/>
  <c r="H4010" i="16"/>
  <c r="H4011" i="16"/>
  <c r="H4012" i="16"/>
  <c r="H4013" i="16"/>
  <c r="H4014" i="16"/>
  <c r="H4015" i="16"/>
  <c r="H4016" i="16"/>
  <c r="H4017" i="16"/>
  <c r="H4018" i="16"/>
  <c r="H4019" i="16"/>
  <c r="H4020" i="16"/>
  <c r="H4021" i="16"/>
  <c r="H4022" i="16"/>
  <c r="H4023" i="16"/>
  <c r="H4024" i="16"/>
  <c r="H4025" i="16"/>
  <c r="H4026" i="16"/>
  <c r="H4027" i="16"/>
  <c r="H4028" i="16"/>
  <c r="H4029" i="16"/>
  <c r="H4030" i="16"/>
  <c r="H4031" i="16"/>
  <c r="H4032" i="16"/>
  <c r="H4033" i="16"/>
  <c r="H4034" i="16"/>
  <c r="H4035" i="16"/>
  <c r="H4036" i="16"/>
  <c r="H4037" i="16"/>
  <c r="H4038" i="16"/>
  <c r="H4039" i="16"/>
  <c r="H4040" i="16"/>
  <c r="H4041" i="16"/>
  <c r="H4042" i="16"/>
  <c r="H4043" i="16"/>
  <c r="H4044" i="16"/>
  <c r="H4045" i="16"/>
  <c r="H4046" i="16"/>
  <c r="H4047" i="16"/>
  <c r="H4048" i="16"/>
  <c r="H4049" i="16"/>
  <c r="H4050" i="16"/>
  <c r="H4051" i="16"/>
  <c r="H4052" i="16"/>
  <c r="H4053" i="16"/>
  <c r="H4054" i="16"/>
  <c r="H4055" i="16"/>
  <c r="H4056" i="16"/>
  <c r="H4057" i="16"/>
  <c r="H4058" i="16"/>
  <c r="H4059" i="16"/>
  <c r="H4060" i="16"/>
  <c r="H4061" i="16"/>
  <c r="H4062" i="16"/>
  <c r="H4063" i="16"/>
  <c r="H4064" i="16"/>
  <c r="H4065" i="16"/>
  <c r="H4066" i="16"/>
  <c r="H4067" i="16"/>
  <c r="H4068" i="16"/>
  <c r="H4069" i="16"/>
  <c r="H4070" i="16"/>
  <c r="H4071" i="16"/>
  <c r="H4072" i="16"/>
  <c r="H4073" i="16"/>
  <c r="H4074" i="16"/>
  <c r="H4075" i="16"/>
  <c r="H4076" i="16"/>
  <c r="H4077" i="16"/>
  <c r="H4078" i="16"/>
  <c r="H4079" i="16"/>
  <c r="H4080" i="16"/>
  <c r="H4081" i="16"/>
  <c r="H4082" i="16"/>
  <c r="H4083" i="16"/>
  <c r="H4084" i="16"/>
  <c r="H4085" i="16"/>
  <c r="H4086" i="16"/>
  <c r="H4087" i="16"/>
  <c r="H4088" i="16"/>
  <c r="H4089" i="16"/>
  <c r="H4090" i="16"/>
  <c r="H4091" i="16"/>
  <c r="H4092" i="16"/>
  <c r="H4093" i="16"/>
  <c r="H4094" i="16"/>
  <c r="H4095" i="16"/>
  <c r="H4096" i="16"/>
  <c r="H4097" i="16"/>
  <c r="H4098" i="16"/>
  <c r="H4099" i="16"/>
  <c r="H4100" i="16"/>
  <c r="H4101" i="16"/>
  <c r="H4102" i="16"/>
  <c r="H4103" i="16"/>
  <c r="H4104" i="16"/>
  <c r="H4105" i="16"/>
  <c r="H4106" i="16"/>
  <c r="H4107" i="16"/>
  <c r="H4108" i="16"/>
  <c r="H4109" i="16"/>
  <c r="H4110" i="16"/>
  <c r="H4111" i="16"/>
  <c r="H4112" i="16"/>
  <c r="H4113" i="16"/>
  <c r="H4114" i="16"/>
  <c r="H4115" i="16"/>
  <c r="H4116" i="16"/>
  <c r="H4117" i="16"/>
  <c r="H4118" i="16"/>
  <c r="H4119" i="16"/>
  <c r="H4120" i="16"/>
  <c r="H4121" i="16"/>
  <c r="H4122" i="16"/>
  <c r="H4123" i="16"/>
  <c r="H4124" i="16"/>
  <c r="H4125" i="16"/>
  <c r="H4126" i="16"/>
  <c r="H4127" i="16"/>
  <c r="H4128" i="16"/>
  <c r="H4129" i="16"/>
  <c r="H4130" i="16"/>
  <c r="H4131" i="16"/>
  <c r="H4132" i="16"/>
  <c r="H4133" i="16"/>
  <c r="H4134" i="16"/>
  <c r="H4135" i="16"/>
  <c r="H4136" i="16"/>
  <c r="H4137" i="16"/>
  <c r="H4138" i="16"/>
  <c r="H4139" i="16"/>
  <c r="H4140" i="16"/>
  <c r="H4141" i="16"/>
  <c r="H4142" i="16"/>
  <c r="H4143" i="16"/>
  <c r="H4144" i="16"/>
  <c r="H4145" i="16"/>
  <c r="H4146" i="16"/>
  <c r="H4147" i="16"/>
  <c r="H4148" i="16"/>
  <c r="H4149" i="16"/>
  <c r="H4150" i="16"/>
  <c r="H4151" i="16"/>
  <c r="H4152" i="16"/>
  <c r="H4153" i="16"/>
  <c r="H4154" i="16"/>
  <c r="H4155" i="16"/>
  <c r="H4156" i="16"/>
  <c r="H4157" i="16"/>
  <c r="H4158" i="16"/>
  <c r="H4159" i="16"/>
  <c r="H4160" i="16"/>
  <c r="H4161" i="16"/>
  <c r="H4162" i="16"/>
  <c r="H4163" i="16"/>
  <c r="H4164" i="16"/>
  <c r="H4165" i="16"/>
  <c r="H4166" i="16"/>
  <c r="H4167" i="16"/>
  <c r="H4168" i="16"/>
  <c r="H4169" i="16"/>
  <c r="H4170" i="16"/>
  <c r="H4171" i="16"/>
  <c r="H4172" i="16"/>
  <c r="H4173" i="16"/>
  <c r="H4174" i="16"/>
  <c r="H4175" i="16"/>
  <c r="H4176" i="16"/>
  <c r="H4177" i="16"/>
  <c r="H4178" i="16"/>
  <c r="H4179" i="16"/>
  <c r="H4180" i="16"/>
  <c r="H4181" i="16"/>
  <c r="H4182" i="16"/>
  <c r="H4183" i="16"/>
  <c r="H4184" i="16"/>
  <c r="H4185" i="16"/>
  <c r="H4186" i="16"/>
  <c r="H4187" i="16"/>
  <c r="H4188" i="16"/>
  <c r="H4189" i="16"/>
  <c r="H4190" i="16"/>
  <c r="H4191" i="16"/>
  <c r="H4192" i="16"/>
  <c r="H4193" i="16"/>
  <c r="H4194" i="16"/>
  <c r="H4195" i="16"/>
  <c r="H4196" i="16"/>
  <c r="H4197" i="16"/>
  <c r="H4198" i="16"/>
  <c r="H4199" i="16"/>
  <c r="H4200" i="16"/>
  <c r="H4201" i="16"/>
  <c r="H4202" i="16"/>
  <c r="H4203" i="16"/>
  <c r="H4204" i="16"/>
  <c r="H4205" i="16"/>
  <c r="H4206" i="16"/>
  <c r="H4207" i="16"/>
  <c r="H4208" i="16"/>
  <c r="H4209" i="16"/>
  <c r="H4210" i="16"/>
  <c r="H4211" i="16"/>
  <c r="H4212" i="16"/>
  <c r="H4213" i="16"/>
  <c r="H4214" i="16"/>
  <c r="H4215" i="16"/>
  <c r="H4216" i="16"/>
  <c r="H4217" i="16"/>
  <c r="H4218" i="16"/>
  <c r="H4219" i="16"/>
  <c r="H4220" i="16"/>
  <c r="H4221" i="16"/>
  <c r="H4222" i="16"/>
  <c r="H4223" i="16"/>
  <c r="H4224" i="16"/>
  <c r="H4225" i="16"/>
  <c r="H4226" i="16"/>
  <c r="H4227" i="16"/>
  <c r="H4228" i="16"/>
  <c r="H4229" i="16"/>
  <c r="H4230" i="16"/>
  <c r="H4231" i="16"/>
  <c r="H4232" i="16"/>
  <c r="H4233" i="16"/>
  <c r="H4234" i="16"/>
  <c r="H4235" i="16"/>
  <c r="H4236" i="16"/>
  <c r="H4237" i="16"/>
  <c r="H4238" i="16"/>
  <c r="H4239" i="16"/>
  <c r="H4240" i="16"/>
  <c r="H4241" i="16"/>
  <c r="H4242" i="16"/>
  <c r="H4243" i="16"/>
  <c r="H4244" i="16"/>
  <c r="H4245" i="16"/>
  <c r="H4246" i="16"/>
  <c r="H4247" i="16"/>
  <c r="H4248" i="16"/>
  <c r="H4249" i="16"/>
  <c r="H4250" i="16"/>
  <c r="H4251" i="16"/>
  <c r="H4252" i="16"/>
  <c r="H4253" i="16"/>
  <c r="H4254" i="16"/>
  <c r="H4255" i="16"/>
  <c r="H4256" i="16"/>
  <c r="H4257" i="16"/>
  <c r="H4258" i="16"/>
  <c r="H4259" i="16"/>
  <c r="H4260" i="16"/>
  <c r="H4261" i="16"/>
  <c r="H4262" i="16"/>
  <c r="H4263" i="16"/>
  <c r="H4264" i="16"/>
  <c r="H4265" i="16"/>
  <c r="H4266" i="16"/>
  <c r="H4267" i="16"/>
  <c r="H4268" i="16"/>
  <c r="H4269" i="16"/>
  <c r="H4270" i="16"/>
  <c r="H4271" i="16"/>
  <c r="H4272" i="16"/>
  <c r="H4273" i="16"/>
  <c r="H4274" i="16"/>
  <c r="H4275" i="16"/>
  <c r="H4276" i="16"/>
  <c r="H4277" i="16"/>
  <c r="H4278" i="16"/>
  <c r="H4279" i="16"/>
  <c r="H4280" i="16"/>
  <c r="H4281" i="16"/>
  <c r="H4282" i="16"/>
  <c r="H4283" i="16"/>
  <c r="H4284" i="16"/>
  <c r="H4285" i="16"/>
  <c r="H4286" i="16"/>
  <c r="H4287" i="16"/>
  <c r="H4288" i="16"/>
  <c r="H4289" i="16"/>
  <c r="H4290" i="16"/>
  <c r="H4291" i="16"/>
  <c r="H4292" i="16"/>
  <c r="H4293" i="16"/>
  <c r="H4294" i="16"/>
  <c r="H4295" i="16"/>
  <c r="H4296" i="16"/>
  <c r="H4297" i="16"/>
  <c r="H4298" i="16"/>
  <c r="H4299" i="16"/>
  <c r="H4300" i="16"/>
  <c r="H4301" i="16"/>
  <c r="H4302" i="16"/>
  <c r="H4303" i="16"/>
  <c r="H4304" i="16"/>
  <c r="H4305" i="16"/>
  <c r="H4306" i="16"/>
  <c r="H4307" i="16"/>
  <c r="H4308" i="16"/>
  <c r="H4309" i="16"/>
  <c r="H4310" i="16"/>
  <c r="H4311" i="16"/>
  <c r="H4312" i="16"/>
  <c r="H4313" i="16"/>
  <c r="H4314" i="16"/>
  <c r="H4315" i="16"/>
  <c r="H4316" i="16"/>
  <c r="H4317" i="16"/>
  <c r="H4318" i="16"/>
  <c r="H4319" i="16"/>
  <c r="H4320" i="16"/>
  <c r="H4321" i="16"/>
  <c r="H4322" i="16"/>
  <c r="H4323" i="16"/>
  <c r="H4324" i="16"/>
  <c r="H4325" i="16"/>
  <c r="H4326" i="16"/>
  <c r="H4327" i="16"/>
  <c r="H4328" i="16"/>
  <c r="H4329" i="16"/>
  <c r="H4330" i="16"/>
  <c r="H4331" i="16"/>
  <c r="H4332" i="16"/>
  <c r="H4333" i="16"/>
  <c r="H4334" i="16"/>
  <c r="H4335" i="16"/>
  <c r="H4336" i="16"/>
  <c r="H4337" i="16"/>
  <c r="H4338" i="16"/>
  <c r="H4339" i="16"/>
  <c r="H4340" i="16"/>
  <c r="H4341" i="16"/>
  <c r="H4342" i="16"/>
  <c r="H4343" i="16"/>
  <c r="H4344" i="16"/>
  <c r="H4345" i="16"/>
  <c r="H4346" i="16"/>
  <c r="H4347" i="16"/>
  <c r="H4348" i="16"/>
  <c r="H4349" i="16"/>
  <c r="H4350" i="16"/>
  <c r="H4351" i="16"/>
  <c r="H4352" i="16"/>
  <c r="H4353" i="16"/>
  <c r="H4354" i="16"/>
  <c r="H4355" i="16"/>
  <c r="H4356" i="16"/>
  <c r="H4357" i="16"/>
  <c r="H4358" i="16"/>
  <c r="H4359" i="16"/>
  <c r="H4360" i="16"/>
  <c r="H4361" i="16"/>
  <c r="H4362" i="16"/>
  <c r="H4363" i="16"/>
  <c r="H4364" i="16"/>
  <c r="H4365" i="16"/>
  <c r="H4366" i="16"/>
  <c r="H4367" i="16"/>
  <c r="H4368" i="16"/>
  <c r="H4369" i="16"/>
  <c r="H4370" i="16"/>
  <c r="H4371" i="16"/>
  <c r="H4372" i="16"/>
  <c r="H4373" i="16"/>
  <c r="H4374" i="16"/>
  <c r="H4375" i="16"/>
  <c r="H4376" i="16"/>
  <c r="H4377" i="16"/>
  <c r="H4378" i="16"/>
  <c r="H4379" i="16"/>
  <c r="H4380" i="16"/>
  <c r="H4381" i="16"/>
  <c r="H4382" i="16"/>
  <c r="H4383" i="16"/>
  <c r="H4384" i="16"/>
  <c r="H4385" i="16"/>
  <c r="H4386" i="16"/>
  <c r="H4387" i="16"/>
  <c r="H4388" i="16"/>
  <c r="H4389" i="16"/>
  <c r="H4390" i="16"/>
  <c r="H4391" i="16"/>
  <c r="H4392" i="16"/>
  <c r="H4393" i="16"/>
  <c r="H4394" i="16"/>
  <c r="H4395" i="16"/>
  <c r="H4396" i="16"/>
  <c r="H4397" i="16"/>
  <c r="H4398" i="16"/>
  <c r="H4399" i="16"/>
  <c r="H4400" i="16"/>
  <c r="H4401" i="16"/>
  <c r="H4402" i="16"/>
  <c r="H4403" i="16"/>
  <c r="H4404" i="16"/>
  <c r="H4405" i="16"/>
  <c r="H4406" i="16"/>
  <c r="H4407" i="16"/>
  <c r="H4408" i="16"/>
  <c r="H4409" i="16"/>
  <c r="H4410" i="16"/>
  <c r="H4411" i="16"/>
  <c r="H4412" i="16"/>
  <c r="H4413" i="16"/>
  <c r="H4414" i="16"/>
  <c r="H4415" i="16"/>
  <c r="H4416" i="16"/>
  <c r="H4417" i="16"/>
  <c r="H4418" i="16"/>
  <c r="H4419" i="16"/>
  <c r="H4420" i="16"/>
  <c r="H4421" i="16"/>
  <c r="H4422" i="16"/>
  <c r="H4423" i="16"/>
  <c r="H4424" i="16"/>
  <c r="H4425" i="16"/>
  <c r="H4426" i="16"/>
  <c r="H4427" i="16"/>
  <c r="H4428" i="16"/>
  <c r="H4429" i="16"/>
  <c r="H4430" i="16"/>
  <c r="H4431" i="16"/>
  <c r="H4432" i="16"/>
  <c r="H4433" i="16"/>
  <c r="H4434" i="16"/>
  <c r="H4435" i="16"/>
  <c r="H4436" i="16"/>
  <c r="H4437" i="16"/>
  <c r="H4438" i="16"/>
  <c r="H4439" i="16"/>
  <c r="H4440" i="16"/>
  <c r="H4441" i="16"/>
  <c r="H4442" i="16"/>
  <c r="H4443" i="16"/>
  <c r="H4444" i="16"/>
  <c r="H4445" i="16"/>
  <c r="H4446" i="16"/>
  <c r="H4447" i="16"/>
  <c r="H4448" i="16"/>
  <c r="H4449" i="16"/>
  <c r="H4450" i="16"/>
  <c r="H4451" i="16"/>
  <c r="H4452" i="16"/>
  <c r="H4453" i="16"/>
  <c r="H4454" i="16"/>
  <c r="H4455" i="16"/>
  <c r="H4456" i="16"/>
  <c r="H4457" i="16"/>
  <c r="H4458" i="16"/>
  <c r="H4459" i="16"/>
  <c r="H4460" i="16"/>
  <c r="H4461" i="16"/>
  <c r="H4462" i="16"/>
  <c r="H4463" i="16"/>
  <c r="H4464" i="16"/>
  <c r="H4465" i="16"/>
  <c r="H4466" i="16"/>
  <c r="H4467" i="16"/>
  <c r="H4468" i="16"/>
  <c r="H4469" i="16"/>
  <c r="H4470" i="16"/>
  <c r="H4471" i="16"/>
  <c r="H4472" i="16"/>
  <c r="H4473" i="16"/>
  <c r="H4474" i="16"/>
  <c r="H4475" i="16"/>
  <c r="H4476" i="16"/>
  <c r="H4477" i="16"/>
  <c r="H4478" i="16"/>
  <c r="H4479" i="16"/>
  <c r="H4480" i="16"/>
  <c r="H4481" i="16"/>
  <c r="H4482" i="16"/>
  <c r="H4483" i="16"/>
  <c r="H4484" i="16"/>
  <c r="H4485" i="16"/>
  <c r="H4486" i="16"/>
  <c r="H4487" i="16"/>
  <c r="H4488" i="16"/>
  <c r="H4489" i="16"/>
  <c r="H4490" i="16"/>
  <c r="H4491" i="16"/>
  <c r="H4492" i="16"/>
  <c r="H4493" i="16"/>
  <c r="H4494" i="16"/>
  <c r="H4495" i="16"/>
  <c r="H4496" i="16"/>
  <c r="H4497" i="16"/>
  <c r="H4498" i="16"/>
  <c r="H4499" i="16"/>
  <c r="H4500" i="16"/>
  <c r="H4501" i="16"/>
  <c r="H4502" i="16"/>
  <c r="H4503" i="16"/>
  <c r="H4504" i="16"/>
  <c r="H4505" i="16"/>
  <c r="H4506" i="16"/>
  <c r="H4507" i="16"/>
  <c r="H4508" i="16"/>
  <c r="H4509" i="16"/>
  <c r="H4510" i="16"/>
  <c r="H4511" i="16"/>
  <c r="H4512" i="16"/>
  <c r="H4513" i="16"/>
  <c r="H4514" i="16"/>
  <c r="H4515" i="16"/>
  <c r="H4516" i="16"/>
  <c r="H4517" i="16"/>
  <c r="H4518" i="16"/>
  <c r="H4519" i="16"/>
  <c r="H4520" i="16"/>
  <c r="H4521" i="16"/>
  <c r="H4522" i="16"/>
  <c r="H4523" i="16"/>
  <c r="H4524" i="16"/>
  <c r="H4525" i="16"/>
  <c r="H4526" i="16"/>
  <c r="H4527" i="16"/>
  <c r="H4528" i="16"/>
  <c r="H4529" i="16"/>
  <c r="H4530" i="16"/>
  <c r="H4531" i="16"/>
  <c r="H4532" i="16"/>
  <c r="H4533" i="16"/>
  <c r="H4534" i="16"/>
  <c r="H4535" i="16"/>
  <c r="H4536" i="16"/>
  <c r="H4537" i="16"/>
  <c r="H4538" i="16"/>
  <c r="H4539" i="16"/>
  <c r="H4540" i="16"/>
  <c r="H4541" i="16"/>
  <c r="H4542" i="16"/>
  <c r="H4543" i="16"/>
  <c r="H4544" i="16"/>
  <c r="H4545" i="16"/>
  <c r="H4546" i="16"/>
  <c r="H4547" i="16"/>
  <c r="H4548" i="16"/>
  <c r="H4549" i="16"/>
  <c r="H4550" i="16"/>
  <c r="H4551" i="16"/>
  <c r="H4552" i="16"/>
  <c r="H4553" i="16"/>
  <c r="H4554" i="16"/>
  <c r="H4555" i="16"/>
  <c r="H4556" i="16"/>
  <c r="H4557" i="16"/>
  <c r="H4558" i="16"/>
  <c r="H4559" i="16"/>
  <c r="H4560" i="16"/>
  <c r="H4561" i="16"/>
  <c r="H4562" i="16"/>
  <c r="H4563" i="16"/>
  <c r="H4564" i="16"/>
  <c r="H4565" i="16"/>
  <c r="H4566" i="16"/>
  <c r="H4567" i="16"/>
  <c r="H4568" i="16"/>
  <c r="H4569" i="16"/>
  <c r="H4570" i="16"/>
  <c r="H4571" i="16"/>
  <c r="H4572" i="16"/>
  <c r="H4573" i="16"/>
  <c r="H4574" i="16"/>
  <c r="H4575" i="16"/>
  <c r="H4576" i="16"/>
  <c r="H4577" i="16"/>
  <c r="H4578" i="16"/>
  <c r="H4579" i="16"/>
  <c r="H4580" i="16"/>
  <c r="H4581" i="16"/>
  <c r="H4582" i="16"/>
  <c r="H4583" i="16"/>
  <c r="H4584" i="16"/>
  <c r="H4585" i="16"/>
  <c r="H4586" i="16"/>
  <c r="H4587" i="16"/>
  <c r="H4588" i="16"/>
  <c r="H4589" i="16"/>
  <c r="H4590" i="16"/>
  <c r="H4591" i="16"/>
  <c r="H4592" i="16"/>
  <c r="H4593" i="16"/>
  <c r="H4594" i="16"/>
  <c r="H4595" i="16"/>
  <c r="H4596" i="16"/>
  <c r="H4597" i="16"/>
  <c r="H4598" i="16"/>
  <c r="H4599" i="16"/>
  <c r="H4600" i="16"/>
  <c r="H4601" i="16"/>
  <c r="H4602" i="16"/>
  <c r="H4603" i="16"/>
  <c r="H4604" i="16"/>
  <c r="H4605" i="16"/>
  <c r="H4606" i="16"/>
  <c r="H4607" i="16"/>
  <c r="H4608" i="16"/>
  <c r="H4609" i="16"/>
  <c r="H4610" i="16"/>
  <c r="H4611" i="16"/>
  <c r="H4612" i="16"/>
  <c r="H4613" i="16"/>
  <c r="H4614" i="16"/>
  <c r="H4615" i="16"/>
  <c r="H4616" i="16"/>
  <c r="H4617" i="16"/>
  <c r="H4618" i="16"/>
  <c r="H4619" i="16"/>
  <c r="H4620" i="16"/>
  <c r="H4621" i="16"/>
  <c r="H4622" i="16"/>
  <c r="H4623" i="16"/>
  <c r="H4624" i="16"/>
  <c r="H4625" i="16"/>
  <c r="H4626" i="16"/>
  <c r="H4627" i="16"/>
  <c r="H4628" i="16"/>
  <c r="H4629" i="16"/>
  <c r="H4630" i="16"/>
  <c r="H4631" i="16"/>
  <c r="H4632" i="16"/>
  <c r="H4633" i="16"/>
  <c r="H4634" i="16"/>
  <c r="H4635" i="16"/>
  <c r="H4636" i="16"/>
  <c r="H4637" i="16"/>
  <c r="H4638" i="16"/>
  <c r="H4639" i="16"/>
  <c r="H4640" i="16"/>
  <c r="H4641" i="16"/>
  <c r="H4642" i="16"/>
  <c r="H4643" i="16"/>
  <c r="H4644" i="16"/>
  <c r="H4645" i="16"/>
  <c r="H4646" i="16"/>
  <c r="H4647" i="16"/>
  <c r="H4648" i="16"/>
  <c r="H4649" i="16"/>
  <c r="H4650" i="16"/>
  <c r="H4651" i="16"/>
  <c r="H4652" i="16"/>
  <c r="H4653" i="16"/>
  <c r="H4654" i="16"/>
  <c r="H4655" i="16"/>
  <c r="H4656" i="16"/>
  <c r="H4657" i="16"/>
  <c r="H4658" i="16"/>
  <c r="H4659" i="16"/>
  <c r="H4660" i="16"/>
  <c r="H4661" i="16"/>
  <c r="H4662" i="16"/>
  <c r="H4663" i="16"/>
  <c r="H4664" i="16"/>
  <c r="H4665" i="16"/>
  <c r="H4666" i="16"/>
  <c r="H4667" i="16"/>
  <c r="H4668" i="16"/>
  <c r="H4669" i="16"/>
  <c r="H4670" i="16"/>
  <c r="H4671" i="16"/>
  <c r="H4672" i="16"/>
  <c r="H4673" i="16"/>
  <c r="H4674" i="16"/>
  <c r="H4675" i="16"/>
  <c r="H4676" i="16"/>
  <c r="H4677" i="16"/>
  <c r="H4678" i="16"/>
  <c r="H4679" i="16"/>
  <c r="H4680" i="16"/>
  <c r="H4681" i="16"/>
  <c r="H4682" i="16"/>
  <c r="H4683" i="16"/>
  <c r="H4684" i="16"/>
  <c r="H4685" i="16"/>
  <c r="H4686" i="16"/>
  <c r="H4687" i="16"/>
  <c r="H4688" i="16"/>
  <c r="H4689" i="16"/>
  <c r="H4690" i="16"/>
  <c r="H4691" i="16"/>
  <c r="H4692" i="16"/>
  <c r="H4693" i="16"/>
  <c r="H4694" i="16"/>
  <c r="H4695" i="16"/>
  <c r="H4696" i="16"/>
  <c r="H4697" i="16"/>
  <c r="H4698" i="16"/>
  <c r="H4699" i="16"/>
  <c r="H4700" i="16"/>
  <c r="H4701" i="16"/>
  <c r="H4702" i="16"/>
  <c r="H4703" i="16"/>
  <c r="H4704" i="16"/>
  <c r="H4705" i="16"/>
  <c r="H4706" i="16"/>
  <c r="H4707" i="16"/>
  <c r="H4708" i="16"/>
  <c r="H4709" i="16"/>
  <c r="H4710" i="16"/>
  <c r="H4711" i="16"/>
  <c r="H4712" i="16"/>
  <c r="H4713" i="16"/>
  <c r="H4714" i="16"/>
  <c r="H4715" i="16"/>
  <c r="H4716" i="16"/>
  <c r="H4717" i="16"/>
  <c r="H4718" i="16"/>
  <c r="H4719" i="16"/>
  <c r="H4720" i="16"/>
  <c r="H4721" i="16"/>
  <c r="H4722" i="16"/>
  <c r="H4723" i="16"/>
  <c r="H4724" i="16"/>
  <c r="H4725" i="16"/>
  <c r="H4726" i="16"/>
  <c r="H4727" i="16"/>
  <c r="H4728" i="16"/>
  <c r="H4729" i="16"/>
  <c r="H4730" i="16"/>
  <c r="H4731" i="16"/>
  <c r="H4732" i="16"/>
  <c r="H4733" i="16"/>
  <c r="H4734" i="16"/>
  <c r="H4735" i="16"/>
  <c r="H4736" i="16"/>
  <c r="H4737" i="16"/>
  <c r="H4738" i="16"/>
  <c r="H4739" i="16"/>
  <c r="H4740" i="16"/>
  <c r="H4741" i="16"/>
  <c r="H4742" i="16"/>
  <c r="H4743" i="16"/>
  <c r="H4744" i="16"/>
  <c r="H4745" i="16"/>
  <c r="H4746" i="16"/>
  <c r="H4747" i="16"/>
  <c r="H4748" i="16"/>
  <c r="H4749" i="16"/>
  <c r="H4750" i="16"/>
  <c r="H4751" i="16"/>
  <c r="H4752" i="16"/>
  <c r="H4753" i="16"/>
  <c r="H4754" i="16"/>
  <c r="H4755" i="16"/>
  <c r="H4756" i="16"/>
  <c r="H4757" i="16"/>
  <c r="H4758" i="16"/>
  <c r="H4759" i="16"/>
  <c r="H4760" i="16"/>
  <c r="H4761" i="16"/>
  <c r="H4762" i="16"/>
  <c r="H4763" i="16"/>
  <c r="H4764" i="16"/>
  <c r="H4765" i="16"/>
  <c r="H4766" i="16"/>
  <c r="H4767" i="16"/>
  <c r="H4768" i="16"/>
  <c r="H4769" i="16"/>
  <c r="H4770" i="16"/>
  <c r="H4771" i="16"/>
  <c r="H4772" i="16"/>
  <c r="H4773" i="16"/>
  <c r="H4774" i="16"/>
  <c r="H4775" i="16"/>
  <c r="H4776" i="16"/>
  <c r="H4777" i="16"/>
  <c r="H4778" i="16"/>
  <c r="H4779" i="16"/>
  <c r="H4780" i="16"/>
  <c r="H4781" i="16"/>
  <c r="H4782" i="16"/>
  <c r="H4783" i="16"/>
  <c r="H4784" i="16"/>
  <c r="H4785" i="16"/>
  <c r="H4786" i="16"/>
  <c r="H4787" i="16"/>
  <c r="H4788" i="16"/>
  <c r="H4789" i="16"/>
  <c r="H4790" i="16"/>
  <c r="H4791" i="16"/>
  <c r="H4792" i="16"/>
  <c r="H4793" i="16"/>
  <c r="H4794" i="16"/>
  <c r="H4795" i="16"/>
  <c r="H4796" i="16"/>
  <c r="H4797" i="16"/>
  <c r="H4798" i="16"/>
  <c r="H4799" i="16"/>
  <c r="H4800" i="16"/>
  <c r="H4801" i="16"/>
  <c r="H4802" i="16"/>
  <c r="H4803" i="16"/>
  <c r="H4804" i="16"/>
  <c r="H4805" i="16"/>
  <c r="H4806" i="16"/>
  <c r="H4807" i="16"/>
  <c r="H4808" i="16"/>
  <c r="H4809" i="16"/>
  <c r="H4810" i="16"/>
  <c r="H4811" i="16"/>
  <c r="H4812" i="16"/>
  <c r="H4813" i="16"/>
  <c r="H4814" i="16"/>
  <c r="H4815" i="16"/>
  <c r="H4816" i="16"/>
  <c r="H4817" i="16"/>
  <c r="H4818" i="16"/>
  <c r="H4819" i="16"/>
  <c r="H4820" i="16"/>
  <c r="H4821" i="16"/>
  <c r="H4822" i="16"/>
  <c r="H4823" i="16"/>
  <c r="H4824" i="16"/>
  <c r="H4825" i="16"/>
  <c r="H4826" i="16"/>
  <c r="H4827" i="16"/>
  <c r="H4828" i="16"/>
  <c r="H4829" i="16"/>
  <c r="H4830" i="16"/>
  <c r="H4831" i="16"/>
  <c r="H4832" i="16"/>
  <c r="H4833" i="16"/>
  <c r="H4834" i="16"/>
  <c r="H4835" i="16"/>
  <c r="H4836" i="16"/>
  <c r="H4837" i="16"/>
  <c r="H4838" i="16"/>
  <c r="H4839" i="16"/>
  <c r="H4840" i="16"/>
  <c r="H4841" i="16"/>
  <c r="H4842" i="16"/>
  <c r="H4843" i="16"/>
  <c r="H4844" i="16"/>
  <c r="H4845" i="16"/>
  <c r="H4846" i="16"/>
  <c r="H4847" i="16"/>
  <c r="H4848" i="16"/>
  <c r="H4849" i="16"/>
  <c r="H4850" i="16"/>
  <c r="H4851" i="16"/>
  <c r="H4852" i="16"/>
  <c r="H4853" i="16"/>
  <c r="H4854" i="16"/>
  <c r="H4855" i="16"/>
  <c r="H4856" i="16"/>
  <c r="H4857" i="16"/>
  <c r="H4858" i="16"/>
  <c r="H4859" i="16"/>
  <c r="H4860" i="16"/>
  <c r="H4861" i="16"/>
  <c r="H4862" i="16"/>
  <c r="H4863" i="16"/>
  <c r="H4864" i="16"/>
  <c r="H4865" i="16"/>
  <c r="H4866" i="16"/>
  <c r="H4867" i="16"/>
  <c r="H4868" i="16"/>
  <c r="H4869" i="16"/>
  <c r="H4870" i="16"/>
  <c r="H4871" i="16"/>
  <c r="H4872" i="16"/>
  <c r="H4873" i="16"/>
  <c r="H4874" i="16"/>
  <c r="H4875" i="16"/>
  <c r="H4876" i="16"/>
  <c r="H4877" i="16"/>
  <c r="H4878" i="16"/>
  <c r="H4879" i="16"/>
  <c r="H4880" i="16"/>
  <c r="H4881" i="16"/>
  <c r="H4882" i="16"/>
  <c r="H4883" i="16"/>
  <c r="H4884" i="16"/>
  <c r="H4885" i="16"/>
  <c r="H4886" i="16"/>
  <c r="H4887" i="16"/>
  <c r="H4888" i="16"/>
  <c r="H4889" i="16"/>
  <c r="H4890" i="16"/>
  <c r="H4891" i="16"/>
  <c r="H4892" i="16"/>
  <c r="H4893" i="16"/>
  <c r="H4894" i="16"/>
  <c r="H4895" i="16"/>
  <c r="H4896" i="16"/>
  <c r="H4897" i="16"/>
  <c r="H4898" i="16"/>
  <c r="H4899" i="16"/>
  <c r="H4900" i="16"/>
  <c r="H4901" i="16"/>
  <c r="H4902" i="16"/>
  <c r="H4903" i="16"/>
  <c r="H4904" i="16"/>
  <c r="H4905" i="16"/>
  <c r="H4906" i="16"/>
  <c r="H4907" i="16"/>
  <c r="H4908" i="16"/>
  <c r="H4909" i="16"/>
  <c r="H4910" i="16"/>
  <c r="H4911" i="16"/>
  <c r="H4912" i="16"/>
  <c r="H4913" i="16"/>
  <c r="H4914" i="16"/>
  <c r="H4915" i="16"/>
  <c r="H4916" i="16"/>
  <c r="H4917" i="16"/>
  <c r="H4918" i="16"/>
  <c r="H4919" i="16"/>
  <c r="H4920" i="16"/>
  <c r="H4921" i="16"/>
  <c r="H4922" i="16"/>
  <c r="H4923" i="16"/>
  <c r="H4924" i="16"/>
  <c r="H4925" i="16"/>
  <c r="H4926" i="16"/>
  <c r="H4927" i="16"/>
  <c r="H4928" i="16"/>
  <c r="H4929" i="16"/>
  <c r="H4930" i="16"/>
  <c r="H4931" i="16"/>
  <c r="H4932" i="16"/>
  <c r="H4933" i="16"/>
  <c r="H4934" i="16"/>
  <c r="H4935" i="16"/>
  <c r="H4936" i="16"/>
  <c r="H4937" i="16"/>
  <c r="H4938" i="16"/>
  <c r="H4939" i="16"/>
  <c r="H4940" i="16"/>
  <c r="H4941" i="16"/>
  <c r="H4942" i="16"/>
  <c r="H4943" i="16"/>
  <c r="H4944" i="16"/>
  <c r="H4945" i="16"/>
  <c r="H4946" i="16"/>
  <c r="H4947" i="16"/>
  <c r="H4948" i="16"/>
  <c r="H4949" i="16"/>
  <c r="H4950" i="16"/>
  <c r="H4951" i="16"/>
  <c r="H4952" i="16"/>
  <c r="H4953" i="16"/>
  <c r="H4954" i="16"/>
  <c r="H4955" i="16"/>
  <c r="H4956" i="16"/>
  <c r="H4957" i="16"/>
  <c r="H4958" i="16"/>
  <c r="H4959" i="16"/>
  <c r="H4960" i="16"/>
  <c r="H4961" i="16"/>
  <c r="H4962" i="16"/>
  <c r="H4963" i="16"/>
  <c r="H4964" i="16"/>
  <c r="H4965" i="16"/>
  <c r="H4966" i="16"/>
  <c r="H4967" i="16"/>
  <c r="H4968" i="16"/>
  <c r="H4969" i="16"/>
  <c r="H4970" i="16"/>
  <c r="H4971" i="16"/>
  <c r="H4972" i="16"/>
  <c r="H4973" i="16"/>
  <c r="H4974" i="16"/>
  <c r="H4975" i="16"/>
  <c r="H4976" i="16"/>
  <c r="H4977" i="16"/>
  <c r="H4978" i="16"/>
  <c r="H4979" i="16"/>
  <c r="H4980" i="16"/>
  <c r="H4981" i="16"/>
  <c r="H4982" i="16"/>
  <c r="H4983" i="16"/>
  <c r="H4984" i="16"/>
  <c r="H4985" i="16"/>
  <c r="H4986" i="16"/>
  <c r="H4987" i="16"/>
  <c r="H4988" i="16"/>
  <c r="H4989" i="16"/>
  <c r="H4990" i="16"/>
  <c r="H4991" i="16"/>
  <c r="H4992" i="16"/>
  <c r="H4993" i="16"/>
  <c r="H4994" i="16"/>
  <c r="H4995" i="16"/>
  <c r="H4996" i="16"/>
  <c r="H4997" i="16"/>
  <c r="H4998" i="16"/>
  <c r="H4999" i="16"/>
  <c r="H5000" i="16"/>
  <c r="H5001" i="16"/>
  <c r="H5002" i="16"/>
  <c r="H5003" i="16"/>
  <c r="H5004" i="16"/>
  <c r="H5005" i="16"/>
  <c r="H5006" i="16"/>
  <c r="H5007" i="16"/>
  <c r="H5008" i="16"/>
  <c r="H5009" i="16"/>
  <c r="H5010" i="16"/>
  <c r="H5011" i="16"/>
  <c r="H5012" i="16"/>
  <c r="H5013" i="16"/>
  <c r="H5014" i="16"/>
  <c r="H5015" i="16"/>
  <c r="H5016" i="16"/>
  <c r="H5017" i="16"/>
  <c r="H5018" i="16"/>
  <c r="H5019" i="16"/>
  <c r="H5020" i="16"/>
  <c r="H5021" i="16"/>
  <c r="H5022" i="16"/>
  <c r="H5023" i="16"/>
  <c r="H5024" i="16"/>
  <c r="H5025" i="16"/>
  <c r="H5026" i="16"/>
  <c r="H5027" i="16"/>
  <c r="H5028" i="16"/>
  <c r="H5029" i="16"/>
  <c r="H5030" i="16"/>
  <c r="H5031" i="16"/>
  <c r="H5032" i="16"/>
  <c r="H5033" i="16"/>
  <c r="H5034" i="16"/>
  <c r="H5035" i="16"/>
  <c r="H5036" i="16"/>
  <c r="H5037" i="16"/>
  <c r="H5038" i="16"/>
  <c r="H5039" i="16"/>
  <c r="H5040" i="16"/>
  <c r="H5041" i="16"/>
  <c r="H5042" i="16"/>
  <c r="H5043" i="16"/>
  <c r="H5044" i="16"/>
  <c r="H5045" i="16"/>
  <c r="H5046" i="16"/>
  <c r="H5047" i="16"/>
  <c r="H5048" i="16"/>
  <c r="H5049" i="16"/>
  <c r="H5050" i="16"/>
  <c r="H5051" i="16"/>
  <c r="H5052" i="16"/>
  <c r="H5053" i="16"/>
  <c r="H5054" i="16"/>
  <c r="H5055" i="16"/>
  <c r="H5056" i="16"/>
  <c r="H5057" i="16"/>
  <c r="H5058" i="16"/>
  <c r="H5059" i="16"/>
  <c r="H5060" i="16"/>
  <c r="H5061" i="16"/>
  <c r="H5062" i="16"/>
  <c r="H5063" i="16"/>
  <c r="H5064" i="16"/>
  <c r="H5065" i="16"/>
  <c r="H5066" i="16"/>
  <c r="H5067" i="16"/>
  <c r="H5068" i="16"/>
  <c r="H5069" i="16"/>
  <c r="H5070" i="16"/>
  <c r="H5071" i="16"/>
  <c r="H5072" i="16"/>
  <c r="H5073" i="16"/>
  <c r="H5074" i="16"/>
  <c r="H5075" i="16"/>
  <c r="H5076" i="16"/>
  <c r="H5077" i="16"/>
  <c r="H5078" i="16"/>
  <c r="H5079" i="16"/>
  <c r="H5080" i="16"/>
  <c r="H5081" i="16"/>
  <c r="H5082" i="16"/>
  <c r="H5083" i="16"/>
  <c r="H5084" i="16"/>
  <c r="H5085" i="16"/>
  <c r="H5086" i="16"/>
  <c r="H5087" i="16"/>
  <c r="H5088" i="16"/>
  <c r="H5089" i="16"/>
  <c r="H5090" i="16"/>
  <c r="H5091" i="16"/>
  <c r="H5092" i="16"/>
  <c r="H5093" i="16"/>
  <c r="H5094" i="16"/>
  <c r="H5095" i="16"/>
  <c r="H5096" i="16"/>
  <c r="H5097" i="16"/>
  <c r="H5098" i="16"/>
  <c r="H5099" i="16"/>
  <c r="H5100" i="16"/>
  <c r="H5101" i="16"/>
  <c r="H5102" i="16"/>
  <c r="H5103" i="16"/>
  <c r="H5104" i="16"/>
  <c r="H5105" i="16"/>
  <c r="H5106" i="16"/>
  <c r="H5107" i="16"/>
  <c r="H5108" i="16"/>
  <c r="H5109" i="16"/>
  <c r="H5110" i="16"/>
  <c r="H5111" i="16"/>
  <c r="H5112" i="16"/>
  <c r="H5113" i="16"/>
  <c r="H5114" i="16"/>
  <c r="H5115" i="16"/>
  <c r="H5116" i="16"/>
  <c r="H5117" i="16"/>
  <c r="H5118" i="16"/>
  <c r="H5119" i="16"/>
  <c r="H5120" i="16"/>
  <c r="H5121" i="16"/>
  <c r="H5122" i="16"/>
  <c r="H5123" i="16"/>
  <c r="H5124" i="16"/>
  <c r="H5125" i="16"/>
  <c r="H5126" i="16"/>
  <c r="H5127" i="16"/>
  <c r="H5128" i="16"/>
  <c r="H5129" i="16"/>
  <c r="H5130" i="16"/>
  <c r="H5131" i="16"/>
  <c r="H5132" i="16"/>
  <c r="H5133" i="16"/>
  <c r="H5134" i="16"/>
  <c r="H5135" i="16"/>
  <c r="H5136" i="16"/>
  <c r="H5137" i="16"/>
  <c r="H5138" i="16"/>
  <c r="H5139" i="16"/>
  <c r="H5140" i="16"/>
  <c r="H5141" i="16"/>
  <c r="H5142" i="16"/>
  <c r="H5143" i="16"/>
  <c r="H5144" i="16"/>
  <c r="H5145" i="16"/>
  <c r="H5146" i="16"/>
  <c r="H5147" i="16"/>
  <c r="H5148" i="16"/>
  <c r="H5149" i="16"/>
  <c r="H5150" i="16"/>
  <c r="H5151" i="16"/>
  <c r="H5152" i="16"/>
  <c r="H5153" i="16"/>
  <c r="H5154" i="16"/>
  <c r="H5155" i="16"/>
  <c r="H5156" i="16"/>
  <c r="H5157" i="16"/>
  <c r="H5158" i="16"/>
  <c r="H5159" i="16"/>
  <c r="H5160" i="16"/>
  <c r="H5161" i="16"/>
  <c r="H5162" i="16"/>
  <c r="H5163" i="16"/>
  <c r="H5164" i="16"/>
  <c r="H5165" i="16"/>
  <c r="H5166" i="16"/>
  <c r="H5167" i="16"/>
  <c r="H5168" i="16"/>
  <c r="H5169" i="16"/>
  <c r="H5170" i="16"/>
  <c r="H5171" i="16"/>
  <c r="H5172" i="16"/>
  <c r="H5173" i="16"/>
  <c r="H5174" i="16"/>
  <c r="H5175" i="16"/>
  <c r="H5176" i="16"/>
  <c r="H5177" i="16"/>
  <c r="H5178" i="16"/>
  <c r="H5179" i="16"/>
  <c r="H5180" i="16"/>
  <c r="H5181" i="16"/>
  <c r="H5182" i="16"/>
  <c r="H5183" i="16"/>
  <c r="H5184" i="16"/>
  <c r="H5185" i="16"/>
  <c r="H5186" i="16"/>
  <c r="H5187" i="16"/>
  <c r="H5188" i="16"/>
  <c r="H5189" i="16"/>
  <c r="H5190" i="16"/>
  <c r="H5191" i="16"/>
  <c r="H5192" i="16"/>
  <c r="H5193" i="16"/>
  <c r="H5194" i="16"/>
  <c r="H5195" i="16"/>
  <c r="H5196" i="16"/>
  <c r="H5197" i="16"/>
  <c r="H5198" i="16"/>
  <c r="H5199" i="16"/>
  <c r="H5200" i="16"/>
  <c r="H5201" i="16"/>
  <c r="H5202" i="16"/>
  <c r="H5203" i="16"/>
  <c r="H5204" i="16"/>
  <c r="H5205" i="16"/>
  <c r="H5206" i="16"/>
  <c r="H5207" i="16"/>
  <c r="H5208" i="16"/>
  <c r="H5209" i="16"/>
  <c r="H5210" i="16"/>
  <c r="H5211" i="16"/>
  <c r="H5212" i="16"/>
  <c r="H5213" i="16"/>
  <c r="H5214" i="16"/>
  <c r="H5215" i="16"/>
  <c r="H5216" i="16"/>
  <c r="H5217" i="16"/>
  <c r="H5218" i="16"/>
  <c r="H5219" i="16"/>
  <c r="H5220" i="16"/>
  <c r="H5221" i="16"/>
  <c r="H5222" i="16"/>
  <c r="H5223" i="16"/>
  <c r="H5224" i="16"/>
  <c r="H5225" i="16"/>
  <c r="H5226" i="16"/>
  <c r="H5227" i="16"/>
  <c r="H5228" i="16"/>
  <c r="H5229" i="16"/>
  <c r="H5230" i="16"/>
  <c r="H5231" i="16"/>
  <c r="H5232" i="16"/>
  <c r="H5233" i="16"/>
  <c r="H5234" i="16"/>
  <c r="H5235" i="16"/>
  <c r="H5236" i="16"/>
  <c r="H5237" i="16"/>
  <c r="H5238" i="16"/>
  <c r="H5239" i="16"/>
  <c r="H5240" i="16"/>
  <c r="H5241" i="16"/>
  <c r="H5242" i="16"/>
  <c r="H5243" i="16"/>
  <c r="H5244" i="16"/>
  <c r="H5245" i="16"/>
  <c r="H5246" i="16"/>
  <c r="H5247" i="16"/>
  <c r="H5248" i="16"/>
  <c r="H5249" i="16"/>
  <c r="H5250" i="16"/>
  <c r="H5251" i="16"/>
  <c r="H5252" i="16"/>
  <c r="H5253" i="16"/>
  <c r="H5254" i="16"/>
  <c r="H5255" i="16"/>
  <c r="H5256" i="16"/>
  <c r="H5257" i="16"/>
  <c r="H5258" i="16"/>
  <c r="H5259" i="16"/>
  <c r="H5260" i="16"/>
  <c r="H5261" i="16"/>
  <c r="H5262" i="16"/>
  <c r="H5263" i="16"/>
  <c r="H5264" i="16"/>
  <c r="H5265" i="16"/>
  <c r="H5266" i="16"/>
  <c r="H5267" i="16"/>
  <c r="H5268" i="16"/>
  <c r="H5269" i="16"/>
  <c r="H5270" i="16"/>
  <c r="H5271" i="16"/>
  <c r="H5272" i="16"/>
  <c r="H5273" i="16"/>
  <c r="H5274" i="16"/>
  <c r="H5275" i="16"/>
  <c r="H5276" i="16"/>
  <c r="H5277" i="16"/>
  <c r="H5278" i="16"/>
  <c r="H5279" i="16"/>
  <c r="H5280" i="16"/>
  <c r="H5281" i="16"/>
  <c r="H5282" i="16"/>
  <c r="H5283" i="16"/>
  <c r="H5284" i="16"/>
  <c r="H5285" i="16"/>
  <c r="H5286" i="16"/>
  <c r="H5287" i="16"/>
  <c r="H5288" i="16"/>
  <c r="H5289" i="16"/>
  <c r="H5290" i="16"/>
  <c r="H5291" i="16"/>
  <c r="H5292" i="16"/>
  <c r="H5293" i="16"/>
  <c r="H5294" i="16"/>
  <c r="H5295" i="16"/>
  <c r="H5296" i="16"/>
  <c r="H5297" i="16"/>
  <c r="H5298" i="16"/>
  <c r="H5299" i="16"/>
  <c r="H5300" i="16"/>
  <c r="H5301" i="16"/>
  <c r="H5302" i="16"/>
  <c r="H5303" i="16"/>
  <c r="H5304" i="16"/>
  <c r="H5305" i="16"/>
  <c r="H5306" i="16"/>
  <c r="H5307" i="16"/>
  <c r="H5308" i="16"/>
  <c r="H5309" i="16"/>
  <c r="H5310" i="16"/>
  <c r="H5311" i="16"/>
  <c r="H5312" i="16"/>
  <c r="H5313" i="16"/>
  <c r="H5314" i="16"/>
  <c r="H5315" i="16"/>
  <c r="H5316" i="16"/>
  <c r="H5317" i="16"/>
  <c r="H5318" i="16"/>
  <c r="H5319" i="16"/>
  <c r="H5320" i="16"/>
  <c r="H5321" i="16"/>
  <c r="H5322" i="16"/>
  <c r="H5323" i="16"/>
  <c r="H5324" i="16"/>
  <c r="H5325" i="16"/>
  <c r="H5326" i="16"/>
  <c r="H5327" i="16"/>
  <c r="H5328" i="16"/>
  <c r="H5329" i="16"/>
  <c r="H5330" i="16"/>
  <c r="H5331" i="16"/>
  <c r="H5332" i="16"/>
  <c r="H5333" i="16"/>
  <c r="H5334" i="16"/>
  <c r="H5335" i="16"/>
  <c r="H5336" i="16"/>
  <c r="H5337" i="16"/>
  <c r="H5338" i="16"/>
  <c r="H5339" i="16"/>
  <c r="H5340" i="16"/>
  <c r="H5341" i="16"/>
  <c r="H5342" i="16"/>
  <c r="H5343" i="16"/>
  <c r="H5344" i="16"/>
  <c r="H5345" i="16"/>
  <c r="H5346" i="16"/>
  <c r="H5347" i="16"/>
  <c r="H5348" i="16"/>
  <c r="H5349" i="16"/>
  <c r="H5350" i="16"/>
  <c r="H5351" i="16"/>
  <c r="H5352" i="16"/>
  <c r="H5353" i="16"/>
  <c r="H5354" i="16"/>
  <c r="H5355" i="16"/>
  <c r="H5356" i="16"/>
  <c r="H5357" i="16"/>
  <c r="H5358" i="16"/>
  <c r="H5359" i="16"/>
  <c r="H5360" i="16"/>
  <c r="H5361" i="16"/>
  <c r="H5362" i="16"/>
  <c r="H5363" i="16"/>
  <c r="H5364" i="16"/>
  <c r="H5365" i="16"/>
  <c r="H5366" i="16"/>
  <c r="H5367" i="16"/>
  <c r="H5368" i="16"/>
  <c r="H5369" i="16"/>
  <c r="H5370" i="16"/>
  <c r="H5371" i="16"/>
  <c r="H5372" i="16"/>
  <c r="H5373" i="16"/>
  <c r="H5374" i="16"/>
  <c r="H5375" i="16"/>
  <c r="H5376" i="16"/>
  <c r="H5377" i="16"/>
  <c r="H5378" i="16"/>
  <c r="H5379" i="16"/>
  <c r="H5380" i="16"/>
  <c r="H5381" i="16"/>
  <c r="H5382" i="16"/>
  <c r="H5383" i="16"/>
  <c r="H5384" i="16"/>
  <c r="H5385" i="16"/>
  <c r="H5386" i="16"/>
  <c r="H5387" i="16"/>
  <c r="H5388" i="16"/>
  <c r="H5389" i="16"/>
  <c r="H5390" i="16"/>
  <c r="H5391" i="16"/>
  <c r="H5392" i="16"/>
  <c r="H5393" i="16"/>
  <c r="H5394" i="16"/>
  <c r="H5395" i="16"/>
  <c r="H5396" i="16"/>
  <c r="H5397" i="16"/>
  <c r="H5398" i="16"/>
  <c r="H5399" i="16"/>
  <c r="H5400" i="16"/>
  <c r="H5401" i="16"/>
  <c r="H5402" i="16"/>
  <c r="H5403" i="16"/>
  <c r="H5404" i="16"/>
  <c r="H5405" i="16"/>
  <c r="H5406" i="16"/>
  <c r="H5407" i="16"/>
  <c r="H5408" i="16"/>
  <c r="H5409" i="16"/>
  <c r="H5410" i="16"/>
  <c r="H5411" i="16"/>
  <c r="H5412" i="16"/>
  <c r="H5413" i="16"/>
  <c r="H5414" i="16"/>
  <c r="H5415" i="16"/>
  <c r="H5416" i="16"/>
  <c r="H5417" i="16"/>
  <c r="H5418" i="16"/>
  <c r="H5419" i="16"/>
  <c r="H5420" i="16"/>
  <c r="H5421" i="16"/>
  <c r="H5422" i="16"/>
  <c r="H5423" i="16"/>
  <c r="H5424" i="16"/>
  <c r="H5425" i="16"/>
  <c r="H5426" i="16"/>
  <c r="H5427" i="16"/>
  <c r="H5428" i="16"/>
  <c r="H5429" i="16"/>
  <c r="H5430" i="16"/>
  <c r="H5431" i="16"/>
  <c r="H5432" i="16"/>
  <c r="H5433" i="16"/>
  <c r="H5434" i="16"/>
  <c r="H5435" i="16"/>
  <c r="H5436" i="16"/>
  <c r="H5437" i="16"/>
  <c r="H5438" i="16"/>
  <c r="H5439" i="16"/>
  <c r="H5440" i="16"/>
  <c r="H5441" i="16"/>
  <c r="H5442" i="16"/>
  <c r="H5443" i="16"/>
  <c r="H5444" i="16"/>
  <c r="H5445" i="16"/>
  <c r="H5446" i="16"/>
  <c r="H5447" i="16"/>
  <c r="H5448" i="16"/>
  <c r="H5449" i="16"/>
  <c r="H5450" i="16"/>
  <c r="H5451" i="16"/>
  <c r="H5452" i="16"/>
  <c r="H5453" i="16"/>
  <c r="H5454" i="16"/>
  <c r="H5455" i="16"/>
  <c r="H5456" i="16"/>
  <c r="H5457" i="16"/>
  <c r="H5458" i="16"/>
  <c r="H5459" i="16"/>
  <c r="H5460" i="16"/>
  <c r="H5461" i="16"/>
  <c r="H5462" i="16"/>
  <c r="H5463" i="16"/>
  <c r="H5464" i="16"/>
  <c r="H5465" i="16"/>
  <c r="H5466" i="16"/>
  <c r="H5467" i="16"/>
  <c r="H5468" i="16"/>
  <c r="H5469" i="16"/>
  <c r="H5470" i="16"/>
  <c r="H5471" i="16"/>
  <c r="H5472" i="16"/>
  <c r="H5473" i="16"/>
  <c r="H5474" i="16"/>
  <c r="H5475" i="16"/>
  <c r="H5476" i="16"/>
  <c r="H5477" i="16"/>
  <c r="H5478" i="16"/>
  <c r="H5479" i="16"/>
  <c r="H5480" i="16"/>
  <c r="H5481" i="16"/>
  <c r="H5482" i="16"/>
  <c r="H5483" i="16"/>
  <c r="H5484" i="16"/>
  <c r="H5485" i="16"/>
  <c r="H5486" i="16"/>
  <c r="H5487" i="16"/>
  <c r="H5488" i="16"/>
  <c r="H5489" i="16"/>
  <c r="H5490" i="16"/>
  <c r="H5491" i="16"/>
  <c r="H5492" i="16"/>
  <c r="H5493" i="16"/>
  <c r="H5494" i="16"/>
  <c r="H5495" i="16"/>
  <c r="H5496" i="16"/>
  <c r="H5497" i="16"/>
  <c r="H5498" i="16"/>
  <c r="H5499" i="16"/>
  <c r="H5500" i="16"/>
  <c r="H5501" i="16"/>
  <c r="H5502" i="16"/>
  <c r="H5503" i="16"/>
  <c r="H5504" i="16"/>
  <c r="H5505" i="16"/>
  <c r="H5506" i="16"/>
  <c r="H5507" i="16"/>
  <c r="H5508" i="16"/>
  <c r="H5509" i="16"/>
  <c r="H5510" i="16"/>
  <c r="H5511" i="16"/>
  <c r="H5512" i="16"/>
  <c r="H5513" i="16"/>
  <c r="H5514" i="16"/>
  <c r="H5515" i="16"/>
  <c r="H5516" i="16"/>
  <c r="H5517" i="16"/>
  <c r="H5518" i="16"/>
  <c r="H5519" i="16"/>
  <c r="H5520" i="16"/>
  <c r="H5521" i="16"/>
  <c r="H5522" i="16"/>
  <c r="H5523" i="16"/>
  <c r="H5524" i="16"/>
  <c r="H5525" i="16"/>
  <c r="H5526" i="16"/>
  <c r="H5527" i="16"/>
  <c r="H5528" i="16"/>
  <c r="H5529" i="16"/>
  <c r="H5530" i="16"/>
  <c r="H5531" i="16"/>
  <c r="H5532" i="16"/>
  <c r="H5533" i="16"/>
  <c r="H5534" i="16"/>
  <c r="H5535" i="16"/>
  <c r="H5536" i="16"/>
  <c r="H5537" i="16"/>
  <c r="H5538" i="16"/>
  <c r="H5539" i="16"/>
  <c r="H5540" i="16"/>
  <c r="H5541" i="16"/>
  <c r="H5542" i="16"/>
  <c r="H5543" i="16"/>
  <c r="H5544" i="16"/>
  <c r="H5545" i="16"/>
  <c r="H5546" i="16"/>
  <c r="H5547" i="16"/>
  <c r="H5548" i="16"/>
  <c r="H5549" i="16"/>
  <c r="H5550" i="16"/>
  <c r="H5551" i="16"/>
  <c r="H5552" i="16"/>
  <c r="H5553" i="16"/>
  <c r="H5554" i="16"/>
  <c r="H5555" i="16"/>
  <c r="H5556" i="16"/>
  <c r="H5557" i="16"/>
  <c r="H5558" i="16"/>
  <c r="H5559" i="16"/>
  <c r="H5560" i="16"/>
  <c r="H5561" i="16"/>
  <c r="H5562" i="16"/>
  <c r="H5563" i="16"/>
  <c r="H5564" i="16"/>
  <c r="H5565" i="16"/>
  <c r="H5566" i="16"/>
  <c r="H5567" i="16"/>
  <c r="H5568" i="16"/>
  <c r="H5569" i="16"/>
  <c r="H5570" i="16"/>
  <c r="H5571" i="16"/>
  <c r="H5572" i="16"/>
  <c r="H5573" i="16"/>
  <c r="H5574" i="16"/>
  <c r="H5575" i="16"/>
  <c r="H5576" i="16"/>
  <c r="H5577" i="16"/>
  <c r="H5578" i="16"/>
  <c r="H5579" i="16"/>
  <c r="H5580" i="16"/>
  <c r="H5581" i="16"/>
  <c r="H5582" i="16"/>
  <c r="H5583" i="16"/>
  <c r="H5584" i="16"/>
  <c r="H5585" i="16"/>
  <c r="H5586" i="16"/>
  <c r="H5587" i="16"/>
  <c r="H5588" i="16"/>
  <c r="H5589" i="16"/>
  <c r="H5590" i="16"/>
  <c r="H5591" i="16"/>
  <c r="H5592" i="16"/>
  <c r="H5593" i="16"/>
  <c r="H5594" i="16"/>
  <c r="H5595" i="16"/>
  <c r="H5596" i="16"/>
  <c r="H5597" i="16"/>
  <c r="H5598" i="16"/>
  <c r="H5599" i="16"/>
  <c r="H5600" i="16"/>
  <c r="H5601" i="16"/>
  <c r="H5602" i="16"/>
  <c r="H5603" i="16"/>
  <c r="H5604" i="16"/>
  <c r="H5605" i="16"/>
  <c r="H5606" i="16"/>
  <c r="H5607" i="16"/>
  <c r="H5608" i="16"/>
  <c r="H5609" i="16"/>
  <c r="H5610" i="16"/>
  <c r="H5611" i="16"/>
  <c r="H5612" i="16"/>
  <c r="H5613" i="16"/>
  <c r="H5614" i="16"/>
  <c r="H5615" i="16"/>
  <c r="H5616" i="16"/>
  <c r="H5617" i="16"/>
  <c r="H5618" i="16"/>
  <c r="H5619" i="16"/>
  <c r="H5620" i="16"/>
  <c r="H5621" i="16"/>
  <c r="H5622" i="16"/>
  <c r="H5623" i="16"/>
  <c r="H5624" i="16"/>
  <c r="H5625" i="16"/>
  <c r="H5626" i="16"/>
  <c r="H5627" i="16"/>
  <c r="H5628" i="16"/>
  <c r="H5629" i="16"/>
  <c r="H5630" i="16"/>
  <c r="H5631" i="16"/>
  <c r="H5632" i="16"/>
  <c r="H5633" i="16"/>
  <c r="H5634" i="16"/>
  <c r="H5635" i="16"/>
  <c r="H5636" i="16"/>
  <c r="H5637" i="16"/>
  <c r="H5638" i="16"/>
  <c r="H5639" i="16"/>
  <c r="H5640" i="16"/>
  <c r="H5641" i="16"/>
  <c r="H5642" i="16"/>
  <c r="H5643" i="16"/>
  <c r="H5644" i="16"/>
  <c r="H5645" i="16"/>
  <c r="H5646" i="16"/>
  <c r="H5647" i="16"/>
  <c r="H5648" i="16"/>
  <c r="H5649" i="16"/>
  <c r="H5650" i="16"/>
  <c r="H5651" i="16"/>
  <c r="H5652" i="16"/>
  <c r="H5653" i="16"/>
  <c r="H5654" i="16"/>
  <c r="H5655" i="16"/>
  <c r="H5656" i="16"/>
  <c r="H5657" i="16"/>
  <c r="H5658" i="16"/>
  <c r="H5659" i="16"/>
  <c r="H5660" i="16"/>
  <c r="H5661" i="16"/>
  <c r="H5662" i="16"/>
  <c r="H5663" i="16"/>
  <c r="H5664" i="16"/>
  <c r="H5665" i="16"/>
  <c r="H5666" i="16"/>
  <c r="H5667" i="16"/>
  <c r="H5668" i="16"/>
  <c r="H5669" i="16"/>
  <c r="H5670" i="16"/>
  <c r="H5671" i="16"/>
  <c r="H5672" i="16"/>
  <c r="H5673" i="16"/>
  <c r="H5674" i="16"/>
  <c r="H5675" i="16"/>
  <c r="H5676" i="16"/>
  <c r="H5677" i="16"/>
  <c r="H5678" i="16"/>
  <c r="H5679" i="16"/>
  <c r="H5680" i="16"/>
  <c r="H5681" i="16"/>
  <c r="H5682" i="16"/>
  <c r="H5683" i="16"/>
  <c r="H5684" i="16"/>
  <c r="H5685" i="16"/>
  <c r="H5686" i="16"/>
  <c r="H5687" i="16"/>
  <c r="H5688" i="16"/>
  <c r="H5689" i="16"/>
  <c r="H5690" i="16"/>
  <c r="H5691" i="16"/>
  <c r="H5692" i="16"/>
  <c r="H5693" i="16"/>
  <c r="H5694" i="16"/>
  <c r="H5695" i="16"/>
  <c r="H5696" i="16"/>
  <c r="H5697" i="16"/>
  <c r="H5698" i="16"/>
  <c r="H5699" i="16"/>
  <c r="H5700" i="16"/>
  <c r="H5701" i="16"/>
  <c r="H5702" i="16"/>
  <c r="H5703" i="16"/>
  <c r="H5704" i="16"/>
  <c r="H5705" i="16"/>
  <c r="H5706" i="16"/>
  <c r="H5707" i="16"/>
  <c r="H5708" i="16"/>
  <c r="H5709" i="16"/>
  <c r="H5710" i="16"/>
  <c r="H5711" i="16"/>
  <c r="H5712" i="16"/>
  <c r="H5713" i="16"/>
  <c r="H5714" i="16"/>
  <c r="H5715" i="16"/>
  <c r="H5716" i="16"/>
  <c r="H5717" i="16"/>
  <c r="H5718" i="16"/>
  <c r="H5719" i="16"/>
  <c r="H5720" i="16"/>
  <c r="H5721" i="16"/>
  <c r="H5722" i="16"/>
  <c r="H5723" i="16"/>
  <c r="H5724" i="16"/>
  <c r="H5725" i="16"/>
  <c r="H5726" i="16"/>
  <c r="H5727" i="16"/>
  <c r="H5728" i="16"/>
  <c r="H5729" i="16"/>
  <c r="H5730" i="16"/>
  <c r="H5731" i="16"/>
  <c r="H5732" i="16"/>
  <c r="H5733" i="16"/>
  <c r="H5734" i="16"/>
  <c r="H5735" i="16"/>
  <c r="H5736" i="16"/>
  <c r="H5737" i="16"/>
  <c r="H5738" i="16"/>
  <c r="H5739" i="16"/>
  <c r="H5740" i="16"/>
  <c r="H5741" i="16"/>
  <c r="H5742" i="16"/>
  <c r="H5743" i="16"/>
  <c r="H5744" i="16"/>
  <c r="H5745" i="16"/>
  <c r="H5746" i="16"/>
  <c r="H5747" i="16"/>
  <c r="H5748" i="16"/>
  <c r="H5749" i="16"/>
  <c r="H5750" i="16"/>
  <c r="H5751" i="16"/>
  <c r="H5752" i="16"/>
  <c r="H5753" i="16"/>
  <c r="H5754" i="16"/>
  <c r="H5755" i="16"/>
  <c r="H5756" i="16"/>
  <c r="H5757" i="16"/>
  <c r="H5758" i="16"/>
  <c r="H5759" i="16"/>
  <c r="H5760" i="16"/>
  <c r="H5761" i="16"/>
  <c r="H5762" i="16"/>
  <c r="H5763" i="16"/>
  <c r="H5764" i="16"/>
  <c r="H5765" i="16"/>
  <c r="H5766" i="16"/>
  <c r="H5767" i="16"/>
  <c r="H5768" i="16"/>
  <c r="H5769" i="16"/>
  <c r="H5770" i="16"/>
  <c r="H5771" i="16"/>
  <c r="H5772" i="16"/>
  <c r="H5773" i="16"/>
  <c r="H5774" i="16"/>
  <c r="H5775" i="16"/>
  <c r="H5776" i="16"/>
  <c r="H5777" i="16"/>
  <c r="H5778" i="16"/>
  <c r="H5779" i="16"/>
  <c r="H5780" i="16"/>
  <c r="H5781" i="16"/>
  <c r="H5782" i="16"/>
  <c r="H5783" i="16"/>
  <c r="H5784" i="16"/>
  <c r="H5785" i="16"/>
  <c r="H5786" i="16"/>
  <c r="H5787" i="16"/>
  <c r="H5788" i="16"/>
  <c r="H5789" i="16"/>
  <c r="H5790" i="16"/>
  <c r="H5791" i="16"/>
  <c r="H5792" i="16"/>
  <c r="H5793" i="16"/>
  <c r="H5794" i="16"/>
  <c r="H5795" i="16"/>
  <c r="H5796" i="16"/>
  <c r="H5797" i="16"/>
  <c r="H5798" i="16"/>
  <c r="H5799" i="16"/>
  <c r="H5800" i="16"/>
  <c r="H5801" i="16"/>
  <c r="H5802" i="16"/>
  <c r="H5803" i="16"/>
  <c r="H5804" i="16"/>
  <c r="H5805" i="16"/>
  <c r="H5806" i="16"/>
  <c r="H5807" i="16"/>
  <c r="H5808" i="16"/>
  <c r="H5809" i="16"/>
  <c r="H5810" i="16"/>
  <c r="H5811" i="16"/>
  <c r="H5812" i="16"/>
  <c r="H5813" i="16"/>
  <c r="H5814" i="16"/>
  <c r="H5815" i="16"/>
  <c r="H5816" i="16"/>
  <c r="H5817" i="16"/>
  <c r="H5818" i="16"/>
  <c r="H5819" i="16"/>
  <c r="H5820" i="16"/>
  <c r="H5821" i="16"/>
  <c r="H5822" i="16"/>
  <c r="H5823" i="16"/>
  <c r="H5824" i="16"/>
  <c r="H5825" i="16"/>
  <c r="H5826" i="16"/>
  <c r="H5827" i="16"/>
  <c r="H5828" i="16"/>
  <c r="H5829" i="16"/>
  <c r="H5830" i="16"/>
  <c r="H5831" i="16"/>
  <c r="H5832" i="16"/>
  <c r="H5833" i="16"/>
  <c r="H5834" i="16"/>
  <c r="H5835" i="16"/>
  <c r="H5836" i="16"/>
  <c r="H5837" i="16"/>
  <c r="H5838" i="16"/>
  <c r="H5839" i="16"/>
  <c r="H5840" i="16"/>
  <c r="H5841" i="16"/>
  <c r="H5842" i="16"/>
  <c r="H5843" i="16"/>
  <c r="H5844" i="16"/>
  <c r="H5845" i="16"/>
  <c r="H5846" i="16"/>
  <c r="H5847" i="16"/>
  <c r="H5848" i="16"/>
  <c r="H5849" i="16"/>
  <c r="H5850" i="16"/>
  <c r="H5851" i="16"/>
  <c r="H5852" i="16"/>
  <c r="H5853" i="16"/>
  <c r="H5854" i="16"/>
  <c r="H5855" i="16"/>
  <c r="H5856" i="16"/>
  <c r="H5857" i="16"/>
  <c r="H5858" i="16"/>
  <c r="H5859" i="16"/>
  <c r="H5860" i="16"/>
  <c r="H5861" i="16"/>
  <c r="H5862" i="16"/>
  <c r="H5863" i="16"/>
  <c r="H5864" i="16"/>
  <c r="H5865" i="16"/>
  <c r="H5866" i="16"/>
  <c r="H5867" i="16"/>
  <c r="H5868" i="16"/>
  <c r="H5869" i="16"/>
  <c r="H5870" i="16"/>
  <c r="H5871" i="16"/>
  <c r="H5872" i="16"/>
  <c r="H5873" i="16"/>
  <c r="H5874" i="16"/>
  <c r="H5875" i="16"/>
  <c r="H5876" i="16"/>
  <c r="H5877" i="16"/>
  <c r="H5878" i="16"/>
  <c r="H5879" i="16"/>
  <c r="H5880" i="16"/>
  <c r="H5881" i="16"/>
  <c r="H5882" i="16"/>
  <c r="H5883" i="16"/>
  <c r="H5884" i="16"/>
  <c r="H5885" i="16"/>
  <c r="H5886" i="16"/>
  <c r="H5887" i="16"/>
  <c r="H5888" i="16"/>
  <c r="H5889" i="16"/>
  <c r="H5890" i="16"/>
  <c r="H5891" i="16"/>
  <c r="H5892" i="16"/>
  <c r="H5893" i="16"/>
  <c r="H5894" i="16"/>
  <c r="H5895" i="16"/>
  <c r="H5896" i="16"/>
  <c r="H5897" i="16"/>
  <c r="H5898" i="16"/>
  <c r="H5899" i="16"/>
  <c r="H5900" i="16"/>
  <c r="H5901" i="16"/>
  <c r="H5902" i="16"/>
  <c r="H5903" i="16"/>
  <c r="H5904" i="16"/>
  <c r="H5905" i="16"/>
  <c r="H5906" i="16"/>
  <c r="H5907" i="16"/>
  <c r="H5908" i="16"/>
  <c r="H5909" i="16"/>
  <c r="H5910" i="16"/>
  <c r="H5911" i="16"/>
  <c r="H5912" i="16"/>
  <c r="H5913" i="16"/>
  <c r="H5914" i="16"/>
  <c r="H5915" i="16"/>
  <c r="H5916" i="16"/>
  <c r="H5917" i="16"/>
  <c r="H5918" i="16"/>
  <c r="H5919" i="16"/>
  <c r="H5920" i="16"/>
  <c r="H5921" i="16"/>
  <c r="H5922" i="16"/>
  <c r="H5923" i="16"/>
  <c r="H5924" i="16"/>
  <c r="H5925" i="16"/>
  <c r="H5926" i="16"/>
  <c r="H5927" i="16"/>
  <c r="H5928" i="16"/>
  <c r="H5929" i="16"/>
  <c r="H5930" i="16"/>
  <c r="H5931" i="16"/>
  <c r="H5932" i="16"/>
  <c r="H5933" i="16"/>
  <c r="H5934" i="16"/>
  <c r="H5935" i="16"/>
  <c r="H5936" i="16"/>
  <c r="H5937" i="16"/>
  <c r="H5938" i="16"/>
  <c r="H5939" i="16"/>
  <c r="H5940" i="16"/>
  <c r="H5941" i="16"/>
  <c r="H5942" i="16"/>
  <c r="H5943" i="16"/>
  <c r="H5944" i="16"/>
  <c r="H5945" i="16"/>
  <c r="H5946" i="16"/>
  <c r="H5947" i="16"/>
  <c r="H5948" i="16"/>
  <c r="H5949" i="16"/>
  <c r="H5950" i="16"/>
  <c r="H5951" i="16"/>
  <c r="H5952" i="16"/>
  <c r="H5953" i="16"/>
  <c r="H5954" i="16"/>
  <c r="H5955" i="16"/>
  <c r="H5956" i="16"/>
  <c r="H5957" i="16"/>
  <c r="H5958" i="16"/>
  <c r="H5959" i="16"/>
  <c r="H5960" i="16"/>
  <c r="H5961" i="16"/>
  <c r="H5962" i="16"/>
  <c r="H5963" i="16"/>
  <c r="H5964" i="16"/>
  <c r="H5965" i="16"/>
  <c r="H5966" i="16"/>
  <c r="H5967" i="16"/>
  <c r="H5968" i="16"/>
  <c r="H5969" i="16"/>
  <c r="H5970" i="16"/>
  <c r="H5971" i="16"/>
  <c r="H5972" i="16"/>
  <c r="H5973" i="16"/>
  <c r="H5974" i="16"/>
  <c r="H5975" i="16"/>
  <c r="H5976" i="16"/>
  <c r="H5977" i="16"/>
  <c r="H5978" i="16"/>
  <c r="H5979" i="16"/>
  <c r="H5980" i="16"/>
  <c r="H5981" i="16"/>
  <c r="H5982" i="16"/>
  <c r="H5983" i="16"/>
  <c r="H5984" i="16"/>
  <c r="H5985" i="16"/>
  <c r="H5986" i="16"/>
  <c r="H5987" i="16"/>
  <c r="H5988" i="16"/>
  <c r="H5989" i="16"/>
  <c r="H5990" i="16"/>
  <c r="H5991" i="16"/>
  <c r="H5992" i="16"/>
  <c r="H5993" i="16"/>
  <c r="H5994" i="16"/>
  <c r="H5995" i="16"/>
  <c r="H5996" i="16"/>
  <c r="H5997" i="16"/>
  <c r="H5998" i="16"/>
  <c r="H5999" i="16"/>
  <c r="H6000" i="16"/>
  <c r="H6001" i="16"/>
  <c r="H6002" i="16"/>
  <c r="H6003" i="16"/>
  <c r="H6004" i="16"/>
  <c r="H6005" i="16"/>
  <c r="H6006" i="16"/>
  <c r="H6007" i="16"/>
  <c r="H6008" i="16"/>
  <c r="H6009" i="16"/>
  <c r="H6010" i="16"/>
  <c r="H6011" i="16"/>
  <c r="H6012" i="16"/>
  <c r="H6013" i="16"/>
  <c r="H6014" i="16"/>
  <c r="H6015" i="16"/>
  <c r="H6016" i="16"/>
  <c r="H6017" i="16"/>
  <c r="H6018" i="16"/>
  <c r="H6019" i="16"/>
  <c r="H6020" i="16"/>
  <c r="H6021" i="16"/>
  <c r="H6022" i="16"/>
  <c r="H6023" i="16"/>
  <c r="H6024" i="16"/>
  <c r="H6025" i="16"/>
  <c r="H6026" i="16"/>
  <c r="H6027" i="16"/>
  <c r="H6028" i="16"/>
  <c r="H6029" i="16"/>
  <c r="H6030" i="16"/>
  <c r="H6031" i="16"/>
  <c r="H6032" i="16"/>
  <c r="H6033" i="16"/>
  <c r="H6034" i="16"/>
  <c r="H6035" i="16"/>
  <c r="H6036" i="16"/>
  <c r="H6037" i="16"/>
  <c r="H6038" i="16"/>
  <c r="H6039" i="16"/>
  <c r="H6040" i="16"/>
  <c r="H6041" i="16"/>
  <c r="H6042" i="16"/>
  <c r="H6043" i="16"/>
  <c r="H6044" i="16"/>
  <c r="H6045" i="16"/>
  <c r="H6046" i="16"/>
  <c r="H6047" i="16"/>
  <c r="H6048" i="16"/>
  <c r="H6049" i="16"/>
  <c r="H6050" i="16"/>
  <c r="H6051" i="16"/>
  <c r="H6052" i="16"/>
  <c r="H6053" i="16"/>
  <c r="H6054" i="16"/>
  <c r="H6055" i="16"/>
  <c r="H6056" i="16"/>
  <c r="H6057" i="16"/>
  <c r="H6058" i="16"/>
  <c r="H6059" i="16"/>
  <c r="H6060" i="16"/>
  <c r="H6061" i="16"/>
  <c r="H6062" i="16"/>
  <c r="H6063" i="16"/>
  <c r="H6064" i="16"/>
  <c r="H6065" i="16"/>
  <c r="H6066" i="16"/>
  <c r="H6067" i="16"/>
  <c r="H6068" i="16"/>
  <c r="H6069" i="16"/>
  <c r="H6070" i="16"/>
  <c r="H6071" i="16"/>
  <c r="H6072" i="16"/>
  <c r="H6073" i="16"/>
  <c r="H6074" i="16"/>
  <c r="H6075" i="16"/>
  <c r="H6076" i="16"/>
  <c r="H6077" i="16"/>
  <c r="H6078" i="16"/>
  <c r="H6079" i="16"/>
  <c r="H6080" i="16"/>
  <c r="H6081" i="16"/>
  <c r="H6082" i="16"/>
  <c r="H6083" i="16"/>
  <c r="H6084" i="16"/>
  <c r="H6085" i="16"/>
  <c r="H6086" i="16"/>
  <c r="H6087" i="16"/>
  <c r="H6088" i="16"/>
  <c r="H6089" i="16"/>
  <c r="H6090" i="16"/>
  <c r="H6091" i="16"/>
  <c r="H6092" i="16"/>
  <c r="H6093" i="16"/>
  <c r="H6094" i="16"/>
  <c r="H6095" i="16"/>
  <c r="H6096" i="16"/>
  <c r="H6097" i="16"/>
  <c r="H6098" i="16"/>
  <c r="H6099" i="16"/>
  <c r="H6100" i="16"/>
  <c r="H6101" i="16"/>
  <c r="H6102" i="16"/>
  <c r="H6103" i="16"/>
  <c r="H6104" i="16"/>
  <c r="H6105" i="16"/>
  <c r="H6106" i="16"/>
  <c r="H6107" i="16"/>
  <c r="H6108" i="16"/>
  <c r="H6109" i="16"/>
  <c r="H6110" i="16"/>
  <c r="H6111" i="16"/>
  <c r="H6112" i="16"/>
  <c r="H6113" i="16"/>
  <c r="H6114" i="16"/>
  <c r="H6115" i="16"/>
  <c r="H6116" i="16"/>
  <c r="H6117" i="16"/>
  <c r="H6118" i="16"/>
  <c r="H6119" i="16"/>
  <c r="H6120" i="16"/>
  <c r="H6121" i="16"/>
  <c r="H6122" i="16"/>
  <c r="H6123" i="16"/>
  <c r="H6124" i="16"/>
  <c r="H6125" i="16"/>
  <c r="H6126" i="16"/>
  <c r="H6127" i="16"/>
  <c r="H6128" i="16"/>
  <c r="H6129" i="16"/>
  <c r="H6130" i="16"/>
  <c r="H6131" i="16"/>
  <c r="H6132" i="16"/>
  <c r="H6133" i="16"/>
  <c r="H6134" i="16"/>
  <c r="H6135" i="16"/>
  <c r="H6136" i="16"/>
  <c r="H6137" i="16"/>
  <c r="H6138" i="16"/>
  <c r="H6139" i="16"/>
  <c r="H6140" i="16"/>
  <c r="H6141" i="16"/>
  <c r="H6142" i="16"/>
  <c r="H6143" i="16"/>
  <c r="H6144" i="16"/>
  <c r="H6145" i="16"/>
  <c r="H6146" i="16"/>
  <c r="H6147" i="16"/>
  <c r="H6148" i="16"/>
  <c r="H6149" i="16"/>
  <c r="H6150" i="16"/>
  <c r="H6151" i="16"/>
  <c r="H6152" i="16"/>
  <c r="H6153" i="16"/>
  <c r="H6154" i="16"/>
  <c r="H6155" i="16"/>
  <c r="H6156" i="16"/>
  <c r="H6157" i="16"/>
  <c r="H6158" i="16"/>
  <c r="H6159" i="16"/>
  <c r="H6160" i="16"/>
  <c r="H6161" i="16"/>
  <c r="H6162" i="16"/>
  <c r="H6163" i="16"/>
  <c r="H6164" i="16"/>
  <c r="H6165" i="16"/>
  <c r="H6166" i="16"/>
  <c r="H6167" i="16"/>
  <c r="H6168" i="16"/>
  <c r="H6169" i="16"/>
  <c r="H6170" i="16"/>
  <c r="H6171" i="16"/>
  <c r="H6172" i="16"/>
  <c r="H6173" i="16"/>
  <c r="H6174" i="16"/>
  <c r="H6175" i="16"/>
  <c r="H6176" i="16"/>
  <c r="H6177" i="16"/>
  <c r="H6178" i="16"/>
  <c r="H6179" i="16"/>
  <c r="H6180" i="16"/>
  <c r="H6181" i="16"/>
  <c r="H6182" i="16"/>
  <c r="H6183" i="16"/>
  <c r="H6184" i="16"/>
  <c r="H6185" i="16"/>
  <c r="H6186" i="16"/>
  <c r="H6187" i="16"/>
  <c r="H6188" i="16"/>
  <c r="H6189" i="16"/>
  <c r="H6190" i="16"/>
  <c r="H6191" i="16"/>
  <c r="H6192" i="16"/>
  <c r="H6193" i="16"/>
  <c r="H6194" i="16"/>
  <c r="H6195" i="16"/>
  <c r="H6196" i="16"/>
  <c r="H6197" i="16"/>
  <c r="H6198" i="16"/>
  <c r="H6199" i="16"/>
  <c r="H6200" i="16"/>
  <c r="H6201" i="16"/>
  <c r="H6202" i="16"/>
  <c r="H6203" i="16"/>
  <c r="H6204" i="16"/>
  <c r="H6205" i="16"/>
  <c r="H6206" i="16"/>
  <c r="H6207" i="16"/>
  <c r="H6208" i="16"/>
  <c r="H6209" i="16"/>
  <c r="H6210" i="16"/>
  <c r="H6211" i="16"/>
  <c r="H6212" i="16"/>
  <c r="H6213" i="16"/>
  <c r="H6214" i="16"/>
  <c r="H6215" i="16"/>
  <c r="H6216" i="16"/>
  <c r="H6217" i="16"/>
  <c r="H6218" i="16"/>
  <c r="H6219" i="16"/>
  <c r="H6220" i="16"/>
  <c r="H6221" i="16"/>
  <c r="H6222" i="16"/>
  <c r="H6223" i="16"/>
  <c r="H6224" i="16"/>
  <c r="H6225" i="16"/>
  <c r="H6226" i="16"/>
  <c r="H6227" i="16"/>
  <c r="H6228" i="16"/>
  <c r="H6229" i="16"/>
  <c r="H6230" i="16"/>
  <c r="H6231" i="16"/>
  <c r="H6232" i="16"/>
  <c r="H6233" i="16"/>
  <c r="H6234" i="16"/>
  <c r="H6235" i="16"/>
  <c r="H6236" i="16"/>
  <c r="H6237" i="16"/>
  <c r="H6238" i="16"/>
  <c r="H6239" i="16"/>
  <c r="H6240" i="16"/>
  <c r="H6241" i="16"/>
  <c r="H6242" i="16"/>
  <c r="H6243" i="16"/>
  <c r="H6244" i="16"/>
  <c r="H6245" i="16"/>
  <c r="H6246" i="16"/>
  <c r="H6247" i="16"/>
  <c r="H6248" i="16"/>
  <c r="H6249" i="16"/>
  <c r="H6250" i="16"/>
  <c r="H6251" i="16"/>
  <c r="H6252" i="16"/>
  <c r="H6253" i="16"/>
  <c r="H6254" i="16"/>
  <c r="H6255" i="16"/>
  <c r="H6256" i="16"/>
  <c r="H6257" i="16"/>
  <c r="H6258" i="16"/>
  <c r="H6259" i="16"/>
  <c r="H6260" i="16"/>
  <c r="H6261" i="16"/>
  <c r="H6262" i="16"/>
  <c r="H6263" i="16"/>
  <c r="H6264" i="16"/>
  <c r="H6265" i="16"/>
  <c r="H6266" i="16"/>
  <c r="H6267" i="16"/>
  <c r="H6268" i="16"/>
  <c r="H6269" i="16"/>
  <c r="H6270" i="16"/>
  <c r="H6271" i="16"/>
  <c r="H6272" i="16"/>
  <c r="H6273" i="16"/>
  <c r="H6274" i="16"/>
  <c r="H6275" i="16"/>
  <c r="H6276" i="16"/>
  <c r="H6277" i="16"/>
  <c r="H6278" i="16"/>
  <c r="H6279" i="16"/>
  <c r="H6280" i="16"/>
  <c r="H6281" i="16"/>
  <c r="H6282" i="16"/>
  <c r="H6283" i="16"/>
  <c r="H6284" i="16"/>
  <c r="H6285" i="16"/>
  <c r="H6286" i="16"/>
  <c r="H6287" i="16"/>
  <c r="H6288" i="16"/>
  <c r="H6289" i="16"/>
  <c r="H6290" i="16"/>
  <c r="H6291" i="16"/>
  <c r="H6292" i="16"/>
  <c r="H6293" i="16"/>
  <c r="H6294" i="16"/>
  <c r="H6295" i="16"/>
  <c r="H6296" i="16"/>
  <c r="H6297" i="16"/>
  <c r="H6298" i="16"/>
  <c r="H6299" i="16"/>
  <c r="H6300" i="16"/>
  <c r="H6301" i="16"/>
  <c r="H6302" i="16"/>
  <c r="H6303" i="16"/>
  <c r="H6304" i="16"/>
  <c r="H6305" i="16"/>
  <c r="H6306" i="16"/>
  <c r="H6307" i="16"/>
  <c r="H6308" i="16"/>
  <c r="H6309" i="16"/>
  <c r="H6310" i="16"/>
  <c r="H6311" i="16"/>
  <c r="H6312" i="16"/>
  <c r="H6313" i="16"/>
  <c r="H6314" i="16"/>
  <c r="H6315" i="16"/>
  <c r="H6316" i="16"/>
  <c r="H6317" i="16"/>
  <c r="H6318" i="16"/>
  <c r="H6319" i="16"/>
  <c r="H6320" i="16"/>
  <c r="H6321" i="16"/>
  <c r="H6322" i="16"/>
  <c r="H6323" i="16"/>
  <c r="H6324" i="16"/>
  <c r="H6325" i="16"/>
  <c r="H6326" i="16"/>
  <c r="H6327" i="16"/>
  <c r="H6328" i="16"/>
  <c r="H6329" i="16"/>
  <c r="H6330" i="16"/>
  <c r="H6331" i="16"/>
  <c r="H6332" i="16"/>
  <c r="H6333" i="16"/>
  <c r="H6334" i="16"/>
  <c r="H6335" i="16"/>
  <c r="H6336" i="16"/>
  <c r="H6337" i="16"/>
  <c r="H6338" i="16"/>
  <c r="H6339" i="16"/>
  <c r="H6340" i="16"/>
  <c r="H6341" i="16"/>
  <c r="H6342" i="16"/>
  <c r="H6343" i="16"/>
  <c r="H6344" i="16"/>
  <c r="H6345" i="16"/>
  <c r="H6346" i="16"/>
  <c r="H6347" i="16"/>
  <c r="H6348" i="16"/>
  <c r="H6349" i="16"/>
  <c r="H6350" i="16"/>
  <c r="H6351" i="16"/>
  <c r="H6352" i="16"/>
  <c r="H6353" i="16"/>
  <c r="H6354" i="16"/>
  <c r="H6355" i="16"/>
  <c r="H6356" i="16"/>
  <c r="H6357" i="16"/>
  <c r="H6358" i="16"/>
  <c r="H6359" i="16"/>
  <c r="H6360" i="16"/>
  <c r="H6361" i="16"/>
  <c r="H6362" i="16"/>
  <c r="H6363" i="16"/>
  <c r="H6364" i="16"/>
  <c r="H6365" i="16"/>
  <c r="H6366" i="16"/>
  <c r="H6367" i="16"/>
  <c r="H6368" i="16"/>
  <c r="H6369" i="16"/>
  <c r="H6370" i="16"/>
  <c r="H6371" i="16"/>
  <c r="H6372" i="16"/>
  <c r="H6373" i="16"/>
  <c r="H6374" i="16"/>
  <c r="H6375" i="16"/>
  <c r="H6376" i="16"/>
  <c r="H6377" i="16"/>
  <c r="H6378" i="16"/>
  <c r="H6379" i="16"/>
  <c r="H6380" i="16"/>
  <c r="H6381" i="16"/>
  <c r="H6382" i="16"/>
  <c r="H6383" i="16"/>
  <c r="H6384" i="16"/>
  <c r="H6385" i="16"/>
  <c r="H6386" i="16"/>
  <c r="H6387" i="16"/>
  <c r="H6388" i="16"/>
  <c r="H6389" i="16"/>
  <c r="H6390" i="16"/>
  <c r="H6391" i="16"/>
  <c r="H6392" i="16"/>
  <c r="H6393" i="16"/>
  <c r="H6394" i="16"/>
  <c r="H6395" i="16"/>
  <c r="H6396" i="16"/>
  <c r="H6397" i="16"/>
  <c r="H6398" i="16"/>
  <c r="H6399" i="16"/>
  <c r="H6400" i="16"/>
  <c r="H6401" i="16"/>
  <c r="H6402" i="16"/>
  <c r="H6403" i="16"/>
  <c r="H6404" i="16"/>
  <c r="H6405" i="16"/>
  <c r="H6406" i="16"/>
  <c r="H6407" i="16"/>
  <c r="H6408" i="16"/>
  <c r="H6409" i="16"/>
  <c r="H6410" i="16"/>
  <c r="H6411" i="16"/>
  <c r="H6412" i="16"/>
  <c r="H6413" i="16"/>
  <c r="H6414" i="16"/>
  <c r="H6415" i="16"/>
  <c r="H6416" i="16"/>
  <c r="H6417" i="16"/>
  <c r="H6418" i="16"/>
  <c r="H6419" i="16"/>
  <c r="H6420" i="16"/>
  <c r="H6421" i="16"/>
  <c r="H6422" i="16"/>
  <c r="H6423" i="16"/>
  <c r="H6424" i="16"/>
  <c r="H6425" i="16"/>
  <c r="H6426" i="16"/>
  <c r="H6427" i="16"/>
  <c r="H6428" i="16"/>
  <c r="H6429" i="16"/>
  <c r="H6430" i="16"/>
  <c r="H6431" i="16"/>
  <c r="H6432" i="16"/>
  <c r="H6433" i="16"/>
  <c r="H6434" i="16"/>
  <c r="H6435" i="16"/>
  <c r="H6436" i="16"/>
  <c r="H6437" i="16"/>
  <c r="H6438" i="16"/>
  <c r="H6439" i="16"/>
  <c r="H6440" i="16"/>
  <c r="H6441" i="16"/>
  <c r="H6442" i="16"/>
  <c r="H6443" i="16"/>
  <c r="H6444" i="16"/>
  <c r="H6445" i="16"/>
  <c r="H6446" i="16"/>
  <c r="H6447" i="16"/>
  <c r="H6448" i="16"/>
  <c r="H6449" i="16"/>
  <c r="H6450" i="16"/>
  <c r="H6451" i="16"/>
  <c r="H6452" i="16"/>
  <c r="H6453" i="16"/>
  <c r="H6454" i="16"/>
  <c r="H6455" i="16"/>
  <c r="H6456" i="16"/>
  <c r="H6457" i="16"/>
  <c r="H6458" i="16"/>
  <c r="H6459" i="16"/>
  <c r="H6460" i="16"/>
  <c r="H6461" i="16"/>
  <c r="H6462" i="16"/>
  <c r="H6463" i="16"/>
  <c r="H6464" i="16"/>
  <c r="H6465" i="16"/>
  <c r="H6466" i="16"/>
  <c r="H6467" i="16"/>
  <c r="H6468" i="16"/>
  <c r="H6469" i="16"/>
  <c r="H6470" i="16"/>
  <c r="H6471" i="16"/>
  <c r="H6472" i="16"/>
  <c r="H6473" i="16"/>
  <c r="H6474" i="16"/>
  <c r="H6475" i="16"/>
  <c r="H6476" i="16"/>
  <c r="H6477" i="16"/>
  <c r="H6478" i="16"/>
  <c r="H6479" i="16"/>
  <c r="H6480" i="16"/>
  <c r="H6481" i="16"/>
  <c r="H6482" i="16"/>
  <c r="H6483" i="16"/>
  <c r="H6484" i="16"/>
  <c r="H6485" i="16"/>
  <c r="H6486" i="16"/>
  <c r="H6487" i="16"/>
  <c r="H6488" i="16"/>
  <c r="H6489" i="16"/>
  <c r="H6490" i="16"/>
  <c r="H6491" i="16"/>
  <c r="H6492" i="16"/>
  <c r="H6493" i="16"/>
  <c r="H6494" i="16"/>
  <c r="H6495" i="16"/>
  <c r="H6496" i="16"/>
  <c r="H6497" i="16"/>
  <c r="H6498" i="16"/>
  <c r="H6499" i="16"/>
  <c r="H6500" i="16"/>
  <c r="H6501" i="16"/>
  <c r="H6502" i="16"/>
  <c r="H6503" i="16"/>
  <c r="H6504" i="16"/>
  <c r="H6505" i="16"/>
  <c r="H6506" i="16"/>
  <c r="H6507" i="16"/>
  <c r="H6508" i="16"/>
  <c r="H6509" i="16"/>
  <c r="H6510" i="16"/>
  <c r="H6511" i="16"/>
  <c r="H6512" i="16"/>
  <c r="H6513" i="16"/>
  <c r="H6514" i="16"/>
  <c r="H6515" i="16"/>
  <c r="H6516" i="16"/>
  <c r="H6517" i="16"/>
  <c r="H6518" i="16"/>
  <c r="H6519" i="16"/>
  <c r="H6520" i="16"/>
  <c r="H6521" i="16"/>
  <c r="H6522" i="16"/>
  <c r="H6523" i="16"/>
  <c r="H6524" i="16"/>
  <c r="H6525" i="16"/>
  <c r="H6526" i="16"/>
  <c r="H6527" i="16"/>
  <c r="H6528" i="16"/>
  <c r="H6529" i="16"/>
  <c r="H6530" i="16"/>
  <c r="H6531" i="16"/>
  <c r="H6532" i="16"/>
  <c r="H6533" i="16"/>
  <c r="H6534" i="16"/>
  <c r="H6535" i="16"/>
  <c r="H6536" i="16"/>
  <c r="H6537" i="16"/>
  <c r="H6538" i="16"/>
  <c r="H6539" i="16"/>
  <c r="H6540" i="16"/>
  <c r="H6541" i="16"/>
  <c r="H6542" i="16"/>
  <c r="H6543" i="16"/>
  <c r="H6544" i="16"/>
  <c r="H6545" i="16"/>
  <c r="H6546" i="16"/>
  <c r="H6547" i="16"/>
  <c r="H6548" i="16"/>
  <c r="H6549" i="16"/>
  <c r="H6550" i="16"/>
  <c r="H6551" i="16"/>
  <c r="H6552" i="16"/>
  <c r="H6553" i="16"/>
  <c r="H6554" i="16"/>
  <c r="H6555" i="16"/>
  <c r="H6556" i="16"/>
  <c r="H6557" i="16"/>
  <c r="H6558" i="16"/>
  <c r="H6559" i="16"/>
  <c r="H6560" i="16"/>
  <c r="H6561" i="16"/>
  <c r="H6562" i="16"/>
  <c r="H6563" i="16"/>
  <c r="H6564" i="16"/>
  <c r="H6565" i="16"/>
  <c r="H6566" i="16"/>
  <c r="H6567" i="16"/>
  <c r="H6568" i="16"/>
  <c r="H6569" i="16"/>
  <c r="H6570" i="16"/>
  <c r="H6571" i="16"/>
  <c r="H6572" i="16"/>
  <c r="H6573" i="16"/>
  <c r="H6574" i="16"/>
  <c r="H6575" i="16"/>
  <c r="H6576" i="16"/>
  <c r="H6577" i="16"/>
  <c r="H6578" i="16"/>
  <c r="H6579" i="16"/>
  <c r="H6580" i="16"/>
  <c r="H6581" i="16"/>
  <c r="H6582" i="16"/>
  <c r="H6583" i="16"/>
  <c r="H6584" i="16"/>
  <c r="H6585" i="16"/>
  <c r="H6586" i="16"/>
  <c r="H6587" i="16"/>
  <c r="H6588" i="16"/>
  <c r="H6589" i="16"/>
  <c r="H6590" i="16"/>
  <c r="H6591" i="16"/>
  <c r="H6592" i="16"/>
  <c r="H6593" i="16"/>
  <c r="H6594" i="16"/>
  <c r="H6595" i="16"/>
  <c r="H6596" i="16"/>
  <c r="H6597" i="16"/>
  <c r="H6598" i="16"/>
  <c r="H6599" i="16"/>
  <c r="H6600" i="16"/>
  <c r="H6601" i="16"/>
  <c r="H6602" i="16"/>
  <c r="H6603" i="16"/>
  <c r="H6604" i="16"/>
  <c r="H6605" i="16"/>
  <c r="H6606" i="16"/>
  <c r="H6607" i="16"/>
  <c r="H6608" i="16"/>
  <c r="H6609" i="16"/>
  <c r="H6610" i="16"/>
  <c r="H6611" i="16"/>
  <c r="H6612" i="16"/>
  <c r="H6613" i="16"/>
  <c r="H6614" i="16"/>
  <c r="H6615" i="16"/>
  <c r="H6616" i="16"/>
  <c r="H6617" i="16"/>
  <c r="H6618" i="16"/>
  <c r="H6619" i="16"/>
  <c r="H6620" i="16"/>
  <c r="H6621" i="16"/>
  <c r="H6622" i="16"/>
  <c r="H6623" i="16"/>
  <c r="H6624" i="16"/>
  <c r="H6625" i="16"/>
  <c r="H6626" i="16"/>
  <c r="H6627" i="16"/>
  <c r="H6628" i="16"/>
  <c r="H6629" i="16"/>
  <c r="H6630" i="16"/>
  <c r="H6631" i="16"/>
  <c r="H6632" i="16"/>
  <c r="H6633" i="16"/>
  <c r="H6634" i="16"/>
  <c r="H6635" i="16"/>
  <c r="H6636" i="16"/>
  <c r="H6637" i="16"/>
  <c r="H6638" i="16"/>
  <c r="H6639" i="16"/>
  <c r="H6640" i="16"/>
  <c r="H6641" i="16"/>
  <c r="H6642" i="16"/>
  <c r="H6643" i="16"/>
  <c r="H6644" i="16"/>
  <c r="H6645" i="16"/>
  <c r="H6646" i="16"/>
  <c r="H6647" i="16"/>
  <c r="H6648" i="16"/>
  <c r="H6649" i="16"/>
  <c r="H6650" i="16"/>
  <c r="H6651" i="16"/>
  <c r="H6652" i="16"/>
  <c r="H6653" i="16"/>
  <c r="H6654" i="16"/>
  <c r="H6655" i="16"/>
  <c r="H6656" i="16"/>
  <c r="H6657" i="16"/>
  <c r="H6658" i="16"/>
  <c r="H6659" i="16"/>
  <c r="H6660" i="16"/>
  <c r="H6661" i="16"/>
  <c r="H6662" i="16"/>
  <c r="H6663" i="16"/>
  <c r="H6664" i="16"/>
  <c r="H6665" i="16"/>
  <c r="H6666" i="16"/>
  <c r="H6667" i="16"/>
  <c r="H6668" i="16"/>
  <c r="H6669" i="16"/>
  <c r="H6670" i="16"/>
  <c r="H6671" i="16"/>
  <c r="H6672" i="16"/>
  <c r="H6673" i="16"/>
  <c r="H6674" i="16"/>
  <c r="H6675" i="16"/>
  <c r="H6676" i="16"/>
  <c r="H6677" i="16"/>
  <c r="H6678" i="16"/>
  <c r="H6679" i="16"/>
  <c r="H6680" i="16"/>
  <c r="H6681" i="16"/>
  <c r="H6682" i="16"/>
  <c r="H6683" i="16"/>
  <c r="H6684" i="16"/>
  <c r="H6685" i="16"/>
  <c r="H6686" i="16"/>
  <c r="H6687" i="16"/>
  <c r="H6688" i="16"/>
  <c r="H6689" i="16"/>
  <c r="H6690" i="16"/>
  <c r="H6691" i="16"/>
  <c r="H6692" i="16"/>
  <c r="H6693" i="16"/>
  <c r="H6694" i="16"/>
  <c r="H6695" i="16"/>
  <c r="H6696" i="16"/>
  <c r="H6697" i="16"/>
  <c r="H6698" i="16"/>
  <c r="H6699" i="16"/>
  <c r="H6700" i="16"/>
  <c r="H6701" i="16"/>
  <c r="H6702" i="16"/>
  <c r="H6703" i="16"/>
  <c r="H6704" i="16"/>
  <c r="H6705" i="16"/>
  <c r="H6706" i="16"/>
  <c r="H6707" i="16"/>
  <c r="H6708" i="16"/>
  <c r="H6709" i="16"/>
  <c r="H6710" i="16"/>
  <c r="H6711" i="16"/>
  <c r="H6712" i="16"/>
  <c r="H6713" i="16"/>
  <c r="H6714" i="16"/>
  <c r="H6715" i="16"/>
  <c r="H6716" i="16"/>
  <c r="H6717" i="16"/>
  <c r="H6718" i="16"/>
  <c r="H6719" i="16"/>
  <c r="H6720" i="16"/>
  <c r="H6721" i="16"/>
  <c r="H6722" i="16"/>
  <c r="H6723" i="16"/>
  <c r="H6724" i="16"/>
  <c r="H6725" i="16"/>
  <c r="H6726" i="16"/>
  <c r="H6727" i="16"/>
  <c r="H6728" i="16"/>
  <c r="H6729" i="16"/>
  <c r="H6730" i="16"/>
  <c r="H6731" i="16"/>
  <c r="H6732" i="16"/>
  <c r="H6733" i="16"/>
  <c r="H6734" i="16"/>
  <c r="H6735" i="16"/>
  <c r="H6736" i="16"/>
  <c r="H6737" i="16"/>
  <c r="H6738" i="16"/>
  <c r="H6739" i="16"/>
  <c r="H6740" i="16"/>
  <c r="H6741" i="16"/>
  <c r="H6742" i="16"/>
  <c r="H6743" i="16"/>
  <c r="H6744" i="16"/>
  <c r="H6745" i="16"/>
  <c r="H6746" i="16"/>
  <c r="H6747" i="16"/>
  <c r="H6748" i="16"/>
  <c r="H6749" i="16"/>
  <c r="H6750" i="16"/>
  <c r="H6751" i="16"/>
  <c r="H6752" i="16"/>
  <c r="H6753" i="16"/>
  <c r="H6754" i="16"/>
  <c r="H6755" i="16"/>
  <c r="H6756" i="16"/>
  <c r="H6757" i="16"/>
  <c r="H6758" i="16"/>
  <c r="H6759" i="16"/>
  <c r="H6760" i="16"/>
  <c r="H6761" i="16"/>
  <c r="H6762" i="16"/>
  <c r="H6763" i="16"/>
  <c r="H6764" i="16"/>
  <c r="H6765" i="16"/>
  <c r="H6766" i="16"/>
  <c r="H6767" i="16"/>
  <c r="H6768" i="16"/>
  <c r="H6769" i="16"/>
  <c r="H6770" i="16"/>
  <c r="H6771" i="16"/>
  <c r="H6772" i="16"/>
  <c r="H6773" i="16"/>
  <c r="H6774" i="16"/>
  <c r="H6775" i="16"/>
  <c r="H6776" i="16"/>
  <c r="H6777" i="16"/>
  <c r="H6778" i="16"/>
  <c r="H6779" i="16"/>
  <c r="H6780" i="16"/>
  <c r="H6781" i="16"/>
  <c r="H6782" i="16"/>
  <c r="H6783" i="16"/>
  <c r="H6784" i="16"/>
  <c r="H6785" i="16"/>
  <c r="H6786" i="16"/>
  <c r="H6787" i="16"/>
  <c r="H6788" i="16"/>
  <c r="H6789" i="16"/>
  <c r="H6790" i="16"/>
  <c r="H6791" i="16"/>
  <c r="H6792" i="16"/>
  <c r="H6793" i="16"/>
  <c r="H6794" i="16"/>
  <c r="H6795" i="16"/>
  <c r="H6796" i="16"/>
  <c r="H6797" i="16"/>
  <c r="H6798" i="16"/>
  <c r="H6799" i="16"/>
  <c r="H6800" i="16"/>
  <c r="H6801" i="16"/>
  <c r="H6802" i="16"/>
  <c r="H6803" i="16"/>
  <c r="H6804" i="16"/>
  <c r="H6805" i="16"/>
  <c r="H6806" i="16"/>
  <c r="H6807" i="16"/>
  <c r="H6808" i="16"/>
  <c r="H6809" i="16"/>
  <c r="H6810" i="16"/>
  <c r="H6811" i="16"/>
  <c r="H6812" i="16"/>
  <c r="H6813" i="16"/>
  <c r="H6814" i="16"/>
  <c r="H6815" i="16"/>
  <c r="H6816" i="16"/>
  <c r="H6817" i="16"/>
  <c r="H6818" i="16"/>
  <c r="H6819" i="16"/>
  <c r="H6820" i="16"/>
  <c r="H6821" i="16"/>
  <c r="H6822" i="16"/>
  <c r="H6823" i="16"/>
  <c r="H6824" i="16"/>
  <c r="H6825" i="16"/>
  <c r="H6826" i="16"/>
  <c r="H6827" i="16"/>
  <c r="H6828" i="16"/>
  <c r="H6829" i="16"/>
  <c r="H6830" i="16"/>
  <c r="H6831" i="16"/>
  <c r="H6832" i="16"/>
  <c r="H6833" i="16"/>
  <c r="H6834" i="16"/>
  <c r="H6835" i="16"/>
  <c r="H6836" i="16"/>
  <c r="H6837" i="16"/>
  <c r="H6838" i="16"/>
  <c r="H6839" i="16"/>
  <c r="H6840" i="16"/>
  <c r="H6841" i="16"/>
  <c r="H6842" i="16"/>
  <c r="H6843" i="16"/>
  <c r="H6844" i="16"/>
  <c r="H6845" i="16"/>
  <c r="H6846" i="16"/>
  <c r="H6847" i="16"/>
  <c r="H6848" i="16"/>
  <c r="H6849" i="16"/>
  <c r="H6850" i="16"/>
  <c r="H6851" i="16"/>
  <c r="H6852" i="16"/>
  <c r="H6853" i="16"/>
  <c r="H6854" i="16"/>
  <c r="H6855" i="16"/>
  <c r="H6856" i="16"/>
  <c r="H6857" i="16"/>
  <c r="H6858" i="16"/>
  <c r="H6859" i="16"/>
  <c r="H6860" i="16"/>
  <c r="H6861" i="16"/>
  <c r="H6862" i="16"/>
  <c r="H6863" i="16"/>
  <c r="H6864" i="16"/>
  <c r="H6865" i="16"/>
  <c r="H6866" i="16"/>
  <c r="H6867" i="16"/>
  <c r="H6868" i="16"/>
  <c r="H6869" i="16"/>
  <c r="H6870" i="16"/>
  <c r="H6871" i="16"/>
  <c r="H6872" i="16"/>
  <c r="H6873" i="16"/>
  <c r="H6874" i="16"/>
  <c r="H6875" i="16"/>
  <c r="H6876" i="16"/>
  <c r="H6877" i="16"/>
  <c r="H6878" i="16"/>
  <c r="H6879" i="16"/>
  <c r="H6880" i="16"/>
  <c r="H6881" i="16"/>
  <c r="H6882" i="16"/>
  <c r="H6883" i="16"/>
  <c r="H6884" i="16"/>
  <c r="H6885" i="16"/>
  <c r="H6886" i="16"/>
  <c r="H6887" i="16"/>
  <c r="H6888" i="16"/>
  <c r="H6889" i="16"/>
  <c r="H6890" i="16"/>
  <c r="H6891" i="16"/>
  <c r="H6892" i="16"/>
  <c r="H6893" i="16"/>
  <c r="H6894" i="16"/>
  <c r="H6895" i="16"/>
  <c r="H6896" i="16"/>
  <c r="H6897" i="16"/>
  <c r="H6898" i="16"/>
  <c r="H6899" i="16"/>
  <c r="H6900" i="16"/>
  <c r="H6901" i="16"/>
  <c r="H6902" i="16"/>
  <c r="H6903" i="16"/>
  <c r="H6904" i="16"/>
  <c r="H6905" i="16"/>
  <c r="H6906" i="16"/>
  <c r="H6907" i="16"/>
  <c r="H6908" i="16"/>
  <c r="H6909" i="16"/>
  <c r="H6910" i="16"/>
  <c r="H6911" i="16"/>
  <c r="H6912" i="16"/>
  <c r="H6913" i="16"/>
  <c r="H6914" i="16"/>
  <c r="H6915" i="16"/>
  <c r="H6916" i="16"/>
  <c r="H6917" i="16"/>
  <c r="H6918" i="16"/>
  <c r="H6919" i="16"/>
  <c r="H6920" i="16"/>
  <c r="H6921" i="16"/>
  <c r="H6922" i="16"/>
  <c r="H6923" i="16"/>
  <c r="H6924" i="16"/>
  <c r="H6925" i="16"/>
  <c r="H6926" i="16"/>
  <c r="H6927" i="16"/>
  <c r="H6928" i="16"/>
  <c r="H6929" i="16"/>
  <c r="H6930" i="16"/>
  <c r="H6931" i="16"/>
  <c r="H6932" i="16"/>
  <c r="H6933" i="16"/>
  <c r="H6934" i="16"/>
  <c r="H6935" i="16"/>
  <c r="H6936" i="16"/>
  <c r="H6937" i="16"/>
  <c r="H6938" i="16"/>
  <c r="H6939" i="16"/>
  <c r="H6940" i="16"/>
  <c r="H6941" i="16"/>
  <c r="H6942" i="16"/>
  <c r="H6943" i="16"/>
  <c r="H6944" i="16"/>
  <c r="H6945" i="16"/>
  <c r="H6946" i="16"/>
  <c r="H6947" i="16"/>
  <c r="H6948" i="16"/>
  <c r="H6949" i="16"/>
  <c r="H6950" i="16"/>
  <c r="H6951" i="16"/>
  <c r="H6952" i="16"/>
  <c r="H6953" i="16"/>
  <c r="H6954" i="16"/>
  <c r="H6955" i="16"/>
  <c r="H6956" i="16"/>
  <c r="H6957" i="16"/>
  <c r="H6958" i="16"/>
  <c r="H6959" i="16"/>
  <c r="H6960" i="16"/>
  <c r="H6961" i="16"/>
  <c r="H6962" i="16"/>
  <c r="H6963" i="16"/>
  <c r="H6964" i="16"/>
  <c r="H6965" i="16"/>
  <c r="H6966" i="16"/>
  <c r="H6967" i="16"/>
  <c r="H6968" i="16"/>
  <c r="H6969" i="16"/>
  <c r="H6970" i="16"/>
  <c r="H6971" i="16"/>
  <c r="H6972" i="16"/>
  <c r="H6973" i="16"/>
  <c r="H6974" i="16"/>
  <c r="H6975" i="16"/>
  <c r="H6976" i="16"/>
  <c r="H6977" i="16"/>
  <c r="H6978" i="16"/>
  <c r="H6979" i="16"/>
  <c r="H6980" i="16"/>
  <c r="H6981" i="16"/>
  <c r="H6982" i="16"/>
  <c r="H6983" i="16"/>
  <c r="H6984" i="16"/>
  <c r="H6985" i="16"/>
  <c r="H6986" i="16"/>
  <c r="H6987" i="16"/>
  <c r="H6988" i="16"/>
  <c r="H6989" i="16"/>
  <c r="H6990" i="16"/>
  <c r="H6991" i="16"/>
  <c r="H6992" i="16"/>
  <c r="H6993" i="16"/>
  <c r="H6994" i="16"/>
  <c r="H6995" i="16"/>
  <c r="H6996" i="16"/>
  <c r="H6997" i="16"/>
  <c r="H6998" i="16"/>
  <c r="H6999" i="16"/>
  <c r="H7000" i="16"/>
  <c r="H7001" i="16"/>
  <c r="H7002" i="16"/>
  <c r="H7003" i="16"/>
  <c r="H7004" i="16"/>
  <c r="H7005" i="16"/>
  <c r="H7006" i="16"/>
  <c r="H7007" i="16"/>
  <c r="H7008" i="16"/>
  <c r="H7009" i="16"/>
  <c r="H7010" i="16"/>
  <c r="H7011" i="16"/>
  <c r="H7012" i="16"/>
  <c r="H7013" i="16"/>
  <c r="H7014" i="16"/>
  <c r="H7015" i="16"/>
  <c r="H7016" i="16"/>
  <c r="H7017" i="16"/>
  <c r="H7018" i="16"/>
  <c r="H7019" i="16"/>
  <c r="H7020" i="16"/>
  <c r="H7021" i="16"/>
  <c r="H7022" i="16"/>
  <c r="H7023" i="16"/>
  <c r="H7024" i="16"/>
  <c r="H7025" i="16"/>
  <c r="H7026" i="16"/>
  <c r="H7027" i="16"/>
  <c r="H7028" i="16"/>
  <c r="H7029" i="16"/>
  <c r="H7030" i="16"/>
  <c r="H7031" i="16"/>
  <c r="H7032" i="16"/>
  <c r="H7033" i="16"/>
  <c r="H7034" i="16"/>
  <c r="H7035" i="16"/>
  <c r="H7036" i="16"/>
  <c r="H7037" i="16"/>
  <c r="H7038" i="16"/>
  <c r="H7039" i="16"/>
  <c r="H7040" i="16"/>
  <c r="H7041" i="16"/>
  <c r="H7042" i="16"/>
  <c r="H7043" i="16"/>
  <c r="H7044" i="16"/>
  <c r="H7045" i="16"/>
  <c r="H7046" i="16"/>
  <c r="H7047" i="16"/>
  <c r="H7048" i="16"/>
  <c r="H7049" i="16"/>
  <c r="H7050" i="16"/>
  <c r="H7051" i="16"/>
  <c r="H7052" i="16"/>
  <c r="H7053" i="16"/>
  <c r="H7054" i="16"/>
  <c r="H7055" i="16"/>
  <c r="H7056" i="16"/>
  <c r="H7057" i="16"/>
  <c r="H7058" i="16"/>
  <c r="H7059" i="16"/>
  <c r="H7060" i="16"/>
  <c r="H7061" i="16"/>
  <c r="H7062" i="16"/>
  <c r="H7063" i="16"/>
  <c r="H7064" i="16"/>
  <c r="H7065" i="16"/>
  <c r="H7066" i="16"/>
  <c r="H7067" i="16"/>
  <c r="H7068" i="16"/>
  <c r="H7069" i="16"/>
  <c r="H7070" i="16"/>
  <c r="H7071" i="16"/>
  <c r="H7072" i="16"/>
  <c r="H7073" i="16"/>
  <c r="H7074" i="16"/>
  <c r="H7075" i="16"/>
  <c r="H7076" i="16"/>
  <c r="H7077" i="16"/>
  <c r="H7078" i="16"/>
  <c r="H7079" i="16"/>
  <c r="H7080" i="16"/>
  <c r="H7081" i="16"/>
  <c r="H7082" i="16"/>
  <c r="H7083" i="16"/>
  <c r="H7084" i="16"/>
  <c r="H7085" i="16"/>
  <c r="H7086" i="16"/>
  <c r="H7087" i="16"/>
  <c r="H7088" i="16"/>
  <c r="H7089" i="16"/>
  <c r="H7090" i="16"/>
  <c r="H7091" i="16"/>
  <c r="H7092" i="16"/>
  <c r="H7093" i="16"/>
  <c r="H7094" i="16"/>
  <c r="H7095" i="16"/>
  <c r="H7096" i="16"/>
  <c r="H7097" i="16"/>
  <c r="H7098" i="16"/>
  <c r="H7099" i="16"/>
  <c r="H7100" i="16"/>
  <c r="H7101" i="16"/>
  <c r="H7102" i="16"/>
  <c r="H7103" i="16"/>
  <c r="H7104" i="16"/>
  <c r="H7105" i="16"/>
  <c r="H7106" i="16"/>
  <c r="H7107" i="16"/>
  <c r="H7108" i="16"/>
  <c r="H7109" i="16"/>
  <c r="H7110" i="16"/>
  <c r="H7111" i="16"/>
  <c r="H7112" i="16"/>
  <c r="H7113" i="16"/>
  <c r="H7114" i="16"/>
  <c r="H7115" i="16"/>
  <c r="H7116" i="16"/>
  <c r="H7117" i="16"/>
  <c r="H7118" i="16"/>
  <c r="H7119" i="16"/>
  <c r="H7120" i="16"/>
  <c r="H7121" i="16"/>
  <c r="H7122" i="16"/>
  <c r="H7123" i="16"/>
  <c r="H7124" i="16"/>
  <c r="H7125" i="16"/>
  <c r="H7126" i="16"/>
  <c r="H7127" i="16"/>
  <c r="H7128" i="16"/>
  <c r="H7129" i="16"/>
  <c r="H7130" i="16"/>
  <c r="H7131" i="16"/>
  <c r="H7132" i="16"/>
  <c r="H7133" i="16"/>
  <c r="H7134" i="16"/>
  <c r="H7135" i="16"/>
  <c r="H7136" i="16"/>
  <c r="H7137" i="16"/>
  <c r="H7138" i="16"/>
  <c r="H7139" i="16"/>
  <c r="H7140" i="16"/>
  <c r="H7141" i="16"/>
  <c r="H7142" i="16"/>
  <c r="H7143" i="16"/>
  <c r="H7144" i="16"/>
  <c r="H7145" i="16"/>
  <c r="H7146" i="16"/>
  <c r="H7147" i="16"/>
  <c r="H7148" i="16"/>
  <c r="H7149" i="16"/>
  <c r="H7150" i="16"/>
  <c r="H7151" i="16"/>
  <c r="H7152" i="16"/>
  <c r="H7153" i="16"/>
  <c r="H7154" i="16"/>
  <c r="H7155" i="16"/>
  <c r="H7156" i="16"/>
  <c r="H7157" i="16"/>
  <c r="H7158" i="16"/>
  <c r="H7159" i="16"/>
  <c r="H7160" i="16"/>
  <c r="H7161" i="16"/>
  <c r="H7162" i="16"/>
  <c r="H7163" i="16"/>
  <c r="H7164" i="16"/>
  <c r="H7165" i="16"/>
  <c r="H7166" i="16"/>
  <c r="H7167" i="16"/>
  <c r="H7168" i="16"/>
  <c r="H7169" i="16"/>
  <c r="H7170" i="16"/>
  <c r="H7171" i="16"/>
  <c r="H7172" i="16"/>
  <c r="H7173" i="16"/>
  <c r="H7174" i="16"/>
  <c r="H7175" i="16"/>
  <c r="H7176" i="16"/>
  <c r="H7177" i="16"/>
  <c r="H7178" i="16"/>
  <c r="H7179" i="16"/>
  <c r="H7180" i="16"/>
  <c r="H7181" i="16"/>
  <c r="H7182" i="16"/>
  <c r="H7183" i="16"/>
  <c r="H7184" i="16"/>
  <c r="H7185" i="16"/>
  <c r="H7186" i="16"/>
  <c r="H7187" i="16"/>
  <c r="H7188" i="16"/>
  <c r="H7189" i="16"/>
  <c r="H7190" i="16"/>
  <c r="H7191" i="16"/>
  <c r="H7192" i="16"/>
  <c r="H7193" i="16"/>
  <c r="H7194" i="16"/>
  <c r="H7195" i="16"/>
  <c r="H7196" i="16"/>
  <c r="H7197" i="16"/>
  <c r="H7198" i="16"/>
  <c r="H7199" i="16"/>
  <c r="H7200" i="16"/>
  <c r="H7201" i="16"/>
  <c r="H7202" i="16"/>
  <c r="H7203" i="16"/>
  <c r="H7204" i="16"/>
  <c r="H7205" i="16"/>
  <c r="H7206" i="16"/>
  <c r="H7207" i="16"/>
  <c r="H7208" i="16"/>
  <c r="H7209" i="16"/>
  <c r="H7210" i="16"/>
  <c r="H7211" i="16"/>
  <c r="H7212" i="16"/>
  <c r="H7213" i="16"/>
  <c r="H7214" i="16"/>
  <c r="H7215" i="16"/>
  <c r="H7216" i="16"/>
  <c r="H7217" i="16"/>
  <c r="H7218" i="16"/>
  <c r="H7219" i="16"/>
  <c r="H7220" i="16"/>
  <c r="H7221" i="16"/>
  <c r="H7222" i="16"/>
  <c r="H7223" i="16"/>
  <c r="H7224" i="16"/>
  <c r="H7225" i="16"/>
  <c r="H7226" i="16"/>
  <c r="H7227" i="16"/>
  <c r="H7228" i="16"/>
  <c r="H7229" i="16"/>
  <c r="H7230" i="16"/>
  <c r="H7231" i="16"/>
  <c r="H7232" i="16"/>
  <c r="H7233" i="16"/>
  <c r="H7234" i="16"/>
  <c r="H7235" i="16"/>
  <c r="H7236" i="16"/>
  <c r="H7237" i="16"/>
  <c r="H7238" i="16"/>
  <c r="H7239" i="16"/>
  <c r="H7240" i="16"/>
  <c r="H7241" i="16"/>
  <c r="H7242" i="16"/>
  <c r="H7243" i="16"/>
  <c r="H7244" i="16"/>
  <c r="H7245" i="16"/>
  <c r="H7246" i="16"/>
  <c r="H7247" i="16"/>
  <c r="H7248" i="16"/>
  <c r="H7249" i="16"/>
  <c r="H7250" i="16"/>
  <c r="H7251" i="16"/>
  <c r="H7252" i="16"/>
  <c r="H7253" i="16"/>
  <c r="H7254" i="16"/>
  <c r="H7255" i="16"/>
  <c r="H7256" i="16"/>
  <c r="H7257" i="16"/>
  <c r="H7258" i="16"/>
  <c r="H7259" i="16"/>
  <c r="H7260" i="16"/>
  <c r="H7261" i="16"/>
  <c r="H7262" i="16"/>
  <c r="H7263" i="16"/>
  <c r="H7264" i="16"/>
  <c r="H7265" i="16"/>
  <c r="H7266" i="16"/>
  <c r="H7267" i="16"/>
  <c r="H7268" i="16"/>
  <c r="H7269" i="16"/>
  <c r="H7270" i="16"/>
  <c r="H7271" i="16"/>
  <c r="H7272" i="16"/>
  <c r="H7273" i="16"/>
  <c r="H7274" i="16"/>
  <c r="H7275" i="16"/>
  <c r="H7276" i="16"/>
  <c r="H7277" i="16"/>
  <c r="H7278" i="16"/>
  <c r="H7279" i="16"/>
  <c r="H7280" i="16"/>
  <c r="H7281" i="16"/>
  <c r="H7282" i="16"/>
  <c r="H7283" i="16"/>
  <c r="H7284" i="16"/>
  <c r="H7285" i="16"/>
  <c r="H7286" i="16"/>
  <c r="H7287" i="16"/>
  <c r="H7288" i="16"/>
  <c r="H7289" i="16"/>
  <c r="H7290" i="16"/>
  <c r="H7291" i="16"/>
  <c r="H7292" i="16"/>
  <c r="H7293" i="16"/>
  <c r="H7294" i="16"/>
  <c r="H7295" i="16"/>
  <c r="H7296" i="16"/>
  <c r="H7297" i="16"/>
  <c r="H7298" i="16"/>
  <c r="H7299" i="16"/>
  <c r="H7300" i="16"/>
  <c r="H7301" i="16"/>
  <c r="H7302" i="16"/>
  <c r="H7303" i="16"/>
  <c r="H7304" i="16"/>
  <c r="H7305" i="16"/>
  <c r="H7306" i="16"/>
  <c r="H7307" i="16"/>
  <c r="H7308" i="16"/>
  <c r="H7309" i="16"/>
  <c r="H7310" i="16"/>
  <c r="H7311" i="16"/>
  <c r="H7312" i="16"/>
  <c r="H7313" i="16"/>
  <c r="H7314" i="16"/>
  <c r="H7315" i="16"/>
  <c r="H7316" i="16"/>
  <c r="H7317" i="16"/>
  <c r="H7318" i="16"/>
  <c r="H7319" i="16"/>
  <c r="H7320" i="16"/>
  <c r="H7321" i="16"/>
  <c r="H7322" i="16"/>
  <c r="H7323" i="16"/>
  <c r="H7324" i="16"/>
  <c r="H7325" i="16"/>
  <c r="H7326" i="16"/>
  <c r="H7327" i="16"/>
  <c r="H7328" i="16"/>
  <c r="H7329" i="16"/>
  <c r="H7330" i="16"/>
  <c r="H7331" i="16"/>
  <c r="H7332" i="16"/>
  <c r="H7333" i="16"/>
  <c r="H7334" i="16"/>
  <c r="H7335" i="16"/>
  <c r="H7336" i="16"/>
  <c r="H7337" i="16"/>
  <c r="H7338" i="16"/>
  <c r="H7339" i="16"/>
  <c r="H7340" i="16"/>
  <c r="H7341" i="16"/>
  <c r="H7342" i="16"/>
  <c r="H7343" i="16"/>
  <c r="H7344" i="16"/>
  <c r="H7345" i="16"/>
  <c r="H7346" i="16"/>
  <c r="H7347" i="16"/>
  <c r="H7348" i="16"/>
  <c r="H7349" i="16"/>
  <c r="H7350" i="16"/>
  <c r="H7351" i="16"/>
  <c r="H7352" i="16"/>
  <c r="H7353" i="16"/>
  <c r="H7354" i="16"/>
  <c r="H7355" i="16"/>
  <c r="H7356" i="16"/>
  <c r="H7357" i="16"/>
  <c r="H7358" i="16"/>
  <c r="H7359" i="16"/>
  <c r="H7360" i="16"/>
  <c r="H7361" i="16"/>
  <c r="H7362" i="16"/>
  <c r="H7363" i="16"/>
  <c r="H7364" i="16"/>
  <c r="H7365" i="16"/>
  <c r="H7366" i="16"/>
  <c r="H7367" i="16"/>
  <c r="H7368" i="16"/>
  <c r="H7369" i="16"/>
  <c r="H7370" i="16"/>
  <c r="H7371" i="16"/>
  <c r="H7372" i="16"/>
  <c r="H7373" i="16"/>
  <c r="H7374" i="16"/>
  <c r="H7375" i="16"/>
  <c r="H7376" i="16"/>
  <c r="H7377" i="16"/>
  <c r="H7378" i="16"/>
  <c r="H7379" i="16"/>
  <c r="H7380" i="16"/>
  <c r="H7381" i="16"/>
  <c r="H7382" i="16"/>
  <c r="H7383" i="16"/>
  <c r="H7384" i="16"/>
  <c r="H7385" i="16"/>
  <c r="H7386" i="16"/>
  <c r="H7387" i="16"/>
  <c r="H7388" i="16"/>
  <c r="H7389" i="16"/>
  <c r="H7390" i="16"/>
  <c r="H7391" i="16"/>
  <c r="H7392" i="16"/>
  <c r="H7393" i="16"/>
  <c r="H7394" i="16"/>
  <c r="H7395" i="16"/>
  <c r="H7396" i="16"/>
  <c r="H7397" i="16"/>
  <c r="H7398" i="16"/>
  <c r="H7399" i="16"/>
  <c r="H7400" i="16"/>
  <c r="H7401" i="16"/>
  <c r="H7402" i="16"/>
  <c r="H7403" i="16"/>
  <c r="H7404" i="16"/>
  <c r="H7405" i="16"/>
  <c r="H7406" i="16"/>
  <c r="H7407" i="16"/>
  <c r="H7408" i="16"/>
  <c r="H7409" i="16"/>
  <c r="H7410" i="16"/>
  <c r="H7411" i="16"/>
  <c r="H7412" i="16"/>
  <c r="H7413" i="16"/>
  <c r="H7414" i="16"/>
  <c r="H7415" i="16"/>
  <c r="H7416" i="16"/>
  <c r="H7417" i="16"/>
  <c r="H7418" i="16"/>
  <c r="H7419" i="16"/>
  <c r="H7420" i="16"/>
  <c r="H7421" i="16"/>
  <c r="H7422" i="16"/>
  <c r="H7423" i="16"/>
  <c r="H7424" i="16"/>
  <c r="H7425" i="16"/>
  <c r="H7426" i="16"/>
  <c r="H7427" i="16"/>
  <c r="H7428" i="16"/>
  <c r="H7429" i="16"/>
  <c r="H7430" i="16"/>
  <c r="H7431" i="16"/>
  <c r="H7432" i="16"/>
  <c r="H7433" i="16"/>
  <c r="H7434" i="16"/>
  <c r="H7435" i="16"/>
  <c r="H7436" i="16"/>
  <c r="H7437" i="16"/>
  <c r="H7438" i="16"/>
  <c r="H7439" i="16"/>
  <c r="H7440" i="16"/>
  <c r="H7441" i="16"/>
  <c r="H7442" i="16"/>
  <c r="H7443" i="16"/>
  <c r="H7444" i="16"/>
  <c r="H7445" i="16"/>
  <c r="H7446" i="16"/>
  <c r="H7447" i="16"/>
  <c r="H7448" i="16"/>
  <c r="H7449" i="16"/>
  <c r="H7450" i="16"/>
  <c r="H7451" i="16"/>
  <c r="H7452" i="16"/>
  <c r="H7453" i="16"/>
  <c r="H7454" i="16"/>
  <c r="H7455" i="16"/>
  <c r="H7456" i="16"/>
  <c r="H7457" i="16"/>
  <c r="H7458" i="16"/>
  <c r="H7459" i="16"/>
  <c r="H7460" i="16"/>
  <c r="H7461" i="16"/>
  <c r="H7462" i="16"/>
  <c r="H7463" i="16"/>
  <c r="H7464" i="16"/>
  <c r="H7465" i="16"/>
  <c r="H7466" i="16"/>
  <c r="H7467" i="16"/>
  <c r="H7468" i="16"/>
  <c r="H7469" i="16"/>
  <c r="H7470" i="16"/>
  <c r="H7471" i="16"/>
  <c r="H7472" i="16"/>
  <c r="H7473" i="16"/>
  <c r="H7474" i="16"/>
  <c r="H7475" i="16"/>
  <c r="H7476" i="16"/>
  <c r="H7477" i="16"/>
  <c r="H7478" i="16"/>
  <c r="H7479" i="16"/>
  <c r="H7480" i="16"/>
  <c r="H7481" i="16"/>
  <c r="H7482" i="16"/>
  <c r="H7483" i="16"/>
  <c r="H7484" i="16"/>
  <c r="H7485" i="16"/>
  <c r="H7486" i="16"/>
  <c r="H7487" i="16"/>
  <c r="H7488" i="16"/>
  <c r="H7489" i="16"/>
  <c r="H7490" i="16"/>
  <c r="H7491" i="16"/>
  <c r="H7492" i="16"/>
  <c r="H7493" i="16"/>
  <c r="H7494" i="16"/>
  <c r="H7495" i="16"/>
  <c r="H7496" i="16"/>
  <c r="H7497" i="16"/>
  <c r="H7498" i="16"/>
  <c r="H7499" i="16"/>
  <c r="H7500" i="16"/>
  <c r="H7501" i="16"/>
  <c r="H7502" i="16"/>
  <c r="H7503" i="16"/>
  <c r="H7504" i="16"/>
  <c r="H7505" i="16"/>
  <c r="H7506" i="16"/>
  <c r="H7507" i="16"/>
  <c r="H7508" i="16"/>
  <c r="H7509" i="16"/>
  <c r="H7510" i="16"/>
  <c r="H7511" i="16"/>
  <c r="H7512" i="16"/>
  <c r="H7513" i="16"/>
  <c r="H7514" i="16"/>
  <c r="H7515" i="16"/>
  <c r="H7516" i="16"/>
  <c r="H7517" i="16"/>
  <c r="H7518" i="16"/>
  <c r="H7519" i="16"/>
  <c r="H7520" i="16"/>
  <c r="H7521" i="16"/>
  <c r="H7522" i="16"/>
  <c r="H7523" i="16"/>
  <c r="H7524" i="16"/>
  <c r="H7525" i="16"/>
  <c r="H7526" i="16"/>
  <c r="H7527" i="16"/>
  <c r="H7528" i="16"/>
  <c r="H7529" i="16"/>
  <c r="H7530" i="16"/>
  <c r="H7531" i="16"/>
  <c r="H7532" i="16"/>
  <c r="H7533" i="16"/>
  <c r="H7534" i="16"/>
  <c r="H7535" i="16"/>
  <c r="H7536" i="16"/>
  <c r="H7537" i="16"/>
  <c r="H7538" i="16"/>
  <c r="H7539" i="16"/>
  <c r="H7540" i="16"/>
  <c r="H7541" i="16"/>
  <c r="H7542" i="16"/>
  <c r="H7543" i="16"/>
  <c r="H7544" i="16"/>
  <c r="H7545" i="16"/>
  <c r="H7546" i="16"/>
  <c r="H7547" i="16"/>
  <c r="H7548" i="16"/>
  <c r="H7549" i="16"/>
  <c r="H7550" i="16"/>
  <c r="H7551" i="16"/>
  <c r="H7552" i="16"/>
  <c r="H7553" i="16"/>
  <c r="H7554" i="16"/>
  <c r="H7555" i="16"/>
  <c r="H7556" i="16"/>
  <c r="H7557" i="16"/>
  <c r="H7558" i="16"/>
  <c r="H7559" i="16"/>
  <c r="H7560" i="16"/>
  <c r="H7561" i="16"/>
  <c r="H7562" i="16"/>
  <c r="H7563" i="16"/>
  <c r="H7564" i="16"/>
  <c r="H7565" i="16"/>
  <c r="H7566" i="16"/>
  <c r="H7567" i="16"/>
  <c r="H7568" i="16"/>
  <c r="H7569" i="16"/>
  <c r="H7570" i="16"/>
  <c r="H7571" i="16"/>
  <c r="H7572" i="16"/>
  <c r="H7573" i="16"/>
  <c r="H7574" i="16"/>
  <c r="H7575" i="16"/>
  <c r="H7576" i="16"/>
  <c r="H7577" i="16"/>
  <c r="H7578" i="16"/>
  <c r="H7579" i="16"/>
  <c r="H7580" i="16"/>
  <c r="H7581" i="16"/>
  <c r="H7582" i="16"/>
  <c r="H7583" i="16"/>
  <c r="H7584" i="16"/>
  <c r="H7585" i="16"/>
  <c r="H7586" i="16"/>
  <c r="H7587" i="16"/>
  <c r="H7588" i="16"/>
  <c r="H7589" i="16"/>
  <c r="H7590" i="16"/>
  <c r="H7591" i="16"/>
  <c r="H7592" i="16"/>
  <c r="H7593" i="16"/>
  <c r="H7594" i="16"/>
  <c r="H7595" i="16"/>
  <c r="H7596" i="16"/>
  <c r="H7597" i="16"/>
  <c r="H7598" i="16"/>
  <c r="H7599" i="16"/>
  <c r="H7600" i="16"/>
  <c r="H7601" i="16"/>
  <c r="H7602" i="16"/>
  <c r="H7603" i="16"/>
  <c r="H7604" i="16"/>
  <c r="H7605" i="16"/>
  <c r="H7606" i="16"/>
  <c r="H7607" i="16"/>
  <c r="H7608" i="16"/>
  <c r="H7609" i="16"/>
  <c r="H7610" i="16"/>
  <c r="H7611" i="16"/>
  <c r="H7612" i="16"/>
  <c r="H7613" i="16"/>
  <c r="H7614" i="16"/>
  <c r="H7615" i="16"/>
  <c r="H7616" i="16"/>
  <c r="H7617" i="16"/>
  <c r="H7618" i="16"/>
  <c r="H7619" i="16"/>
  <c r="H7620" i="16"/>
  <c r="H7621" i="16"/>
  <c r="H7622" i="16"/>
  <c r="H7623" i="16"/>
  <c r="H7624" i="16"/>
  <c r="H7625" i="16"/>
  <c r="H7626" i="16"/>
  <c r="H7627" i="16"/>
  <c r="H7628" i="16"/>
  <c r="H7629" i="16"/>
  <c r="H7630" i="16"/>
  <c r="H7631" i="16"/>
  <c r="H7632" i="16"/>
  <c r="H7633" i="16"/>
  <c r="H7634" i="16"/>
  <c r="H7635" i="16"/>
  <c r="H7636" i="16"/>
  <c r="H7637" i="16"/>
  <c r="H7638" i="16"/>
  <c r="H7639" i="16"/>
  <c r="H7640" i="16"/>
  <c r="H7641" i="16"/>
  <c r="H7642" i="16"/>
  <c r="H7643" i="16"/>
  <c r="H7644" i="16"/>
  <c r="H7645" i="16"/>
  <c r="H7646" i="16"/>
  <c r="H7647" i="16"/>
  <c r="H7648" i="16"/>
  <c r="H7649" i="16"/>
  <c r="H7650" i="16"/>
  <c r="H7651" i="16"/>
  <c r="H7652" i="16"/>
  <c r="H7653" i="16"/>
  <c r="H7654" i="16"/>
  <c r="H7655" i="16"/>
  <c r="H7656" i="16"/>
  <c r="H7657" i="16"/>
  <c r="H7658" i="16"/>
  <c r="H7659" i="16"/>
  <c r="H7660" i="16"/>
  <c r="H7661" i="16"/>
  <c r="H7662" i="16"/>
  <c r="H7663" i="16"/>
  <c r="H7664" i="16"/>
  <c r="H7665" i="16"/>
  <c r="H7666" i="16"/>
  <c r="H7667" i="16"/>
  <c r="H7668" i="16"/>
  <c r="H7669" i="16"/>
  <c r="H7670" i="16"/>
  <c r="H7671" i="16"/>
  <c r="H7672" i="16"/>
  <c r="H7673" i="16"/>
  <c r="H7674" i="16"/>
  <c r="H7675" i="16"/>
  <c r="H7676" i="16"/>
  <c r="H7677" i="16"/>
  <c r="H7678" i="16"/>
  <c r="H7679" i="16"/>
  <c r="H7680" i="16"/>
  <c r="H7681" i="16"/>
  <c r="H7682" i="16"/>
  <c r="H7683" i="16"/>
  <c r="H7684" i="16"/>
  <c r="H7685" i="16"/>
  <c r="H7686" i="16"/>
  <c r="H7687" i="16"/>
  <c r="H7688" i="16"/>
  <c r="H7689" i="16"/>
  <c r="H7690" i="16"/>
  <c r="H7691" i="16"/>
  <c r="H7692" i="16"/>
  <c r="H7693" i="16"/>
  <c r="H7694" i="16"/>
  <c r="H7695" i="16"/>
  <c r="H7696" i="16"/>
  <c r="H7697" i="16"/>
  <c r="H7698" i="16"/>
  <c r="H7699" i="16"/>
  <c r="H7700" i="16"/>
  <c r="H7701" i="16"/>
  <c r="H7702" i="16"/>
  <c r="H7703" i="16"/>
  <c r="H7704" i="16"/>
  <c r="H7705" i="16"/>
  <c r="H7706" i="16"/>
  <c r="H7707" i="16"/>
  <c r="H7708" i="16"/>
  <c r="H7709" i="16"/>
  <c r="H7710" i="16"/>
  <c r="H7711" i="16"/>
  <c r="H7712" i="16"/>
  <c r="H7713" i="16"/>
  <c r="H7714" i="16"/>
  <c r="H7715" i="16"/>
  <c r="H7716" i="16"/>
  <c r="H7717" i="16"/>
  <c r="H7718" i="16"/>
  <c r="H7719" i="16"/>
  <c r="H7720" i="16"/>
  <c r="H7721" i="16"/>
  <c r="H7722" i="16"/>
  <c r="H7723" i="16"/>
  <c r="H7724" i="16"/>
  <c r="H7725" i="16"/>
  <c r="H7726" i="16"/>
  <c r="H7727" i="16"/>
  <c r="H7728" i="16"/>
  <c r="H7729" i="16"/>
  <c r="H7730" i="16"/>
  <c r="H7731" i="16"/>
  <c r="H7732" i="16"/>
  <c r="H7733" i="16"/>
  <c r="H7734" i="16"/>
  <c r="H7735" i="16"/>
  <c r="H7736" i="16"/>
  <c r="H7737" i="16"/>
  <c r="H7738" i="16"/>
  <c r="H7739" i="16"/>
  <c r="H7740" i="16"/>
  <c r="H7741" i="16"/>
  <c r="H7742" i="16"/>
  <c r="H7743" i="16"/>
  <c r="H7744" i="16"/>
  <c r="H7745" i="16"/>
  <c r="H7746" i="16"/>
  <c r="H7747" i="16"/>
  <c r="H7748" i="16"/>
  <c r="H7749" i="16"/>
  <c r="H7750" i="16"/>
  <c r="H7751" i="16"/>
  <c r="H7752" i="16"/>
  <c r="H7753" i="16"/>
  <c r="H7754" i="16"/>
  <c r="H7755" i="16"/>
  <c r="H7756" i="16"/>
  <c r="H7757" i="16"/>
  <c r="H7758" i="16"/>
  <c r="H7759" i="16"/>
  <c r="H7760" i="16"/>
  <c r="H7761" i="16"/>
  <c r="H7762" i="16"/>
  <c r="H7763" i="16"/>
  <c r="H7764" i="16"/>
  <c r="H7765" i="16"/>
  <c r="H7766" i="16"/>
  <c r="H7767" i="16"/>
  <c r="H7768" i="16"/>
  <c r="H7769" i="16"/>
  <c r="H7770" i="16"/>
  <c r="H7771" i="16"/>
  <c r="H7772" i="16"/>
  <c r="H7773" i="16"/>
  <c r="H7774" i="16"/>
  <c r="H7775" i="16"/>
  <c r="H7776" i="16"/>
  <c r="H7777" i="16"/>
  <c r="H7778" i="16"/>
  <c r="H7779" i="16"/>
  <c r="H7780" i="16"/>
  <c r="H7781" i="16"/>
  <c r="H7782" i="16"/>
  <c r="H7783" i="16"/>
  <c r="H7784" i="16"/>
  <c r="H7785" i="16"/>
  <c r="H7786" i="16"/>
  <c r="H7787" i="16"/>
  <c r="H7788" i="16"/>
  <c r="H7789" i="16"/>
  <c r="H7790" i="16"/>
  <c r="H7791" i="16"/>
  <c r="H7792" i="16"/>
  <c r="H7793" i="16"/>
  <c r="H7794" i="16"/>
  <c r="H7795" i="16"/>
  <c r="H7796" i="16"/>
  <c r="H7797" i="16"/>
  <c r="H7798" i="16"/>
  <c r="H7799" i="16"/>
  <c r="H7800" i="16"/>
  <c r="H7801" i="16"/>
  <c r="H7802" i="16"/>
  <c r="H7803" i="16"/>
  <c r="H7804" i="16"/>
  <c r="H7805" i="16"/>
  <c r="H7806" i="16"/>
  <c r="H7807" i="16"/>
  <c r="H7808" i="16"/>
  <c r="H7809" i="16"/>
  <c r="H7810" i="16"/>
  <c r="H7811" i="16"/>
  <c r="H7812" i="16"/>
  <c r="H7813" i="16"/>
  <c r="H7814" i="16"/>
  <c r="H7815" i="16"/>
  <c r="H7816" i="16"/>
  <c r="H7817" i="16"/>
  <c r="H7818" i="16"/>
  <c r="H7819" i="16"/>
  <c r="H7820" i="16"/>
  <c r="H7821" i="16"/>
  <c r="H7822" i="16"/>
  <c r="H7823" i="16"/>
  <c r="H7824" i="16"/>
  <c r="H7825" i="16"/>
  <c r="H7826" i="16"/>
  <c r="H7827" i="16"/>
  <c r="H7828" i="16"/>
  <c r="H7829" i="16"/>
  <c r="H7830" i="16"/>
  <c r="H7831" i="16"/>
  <c r="H7832" i="16"/>
  <c r="H7833" i="16"/>
  <c r="H7834" i="16"/>
  <c r="H7835" i="16"/>
  <c r="H7836" i="16"/>
  <c r="H7837" i="16"/>
  <c r="H7838" i="16"/>
  <c r="H7839" i="16"/>
  <c r="H7840" i="16"/>
  <c r="H7841" i="16"/>
  <c r="H7842" i="16"/>
  <c r="H7843" i="16"/>
  <c r="H7844" i="16"/>
  <c r="H7845" i="16"/>
  <c r="H7846" i="16"/>
  <c r="H7847" i="16"/>
  <c r="H7848" i="16"/>
  <c r="H7849" i="16"/>
  <c r="H7850" i="16"/>
  <c r="H7851" i="16"/>
  <c r="H7852" i="16"/>
  <c r="H7853" i="16"/>
  <c r="H7854" i="16"/>
  <c r="H7855" i="16"/>
  <c r="H7856" i="16"/>
  <c r="H7857" i="16"/>
  <c r="H7858" i="16"/>
  <c r="H7859" i="16"/>
  <c r="H7860" i="16"/>
  <c r="H7861" i="16"/>
  <c r="H7862" i="16"/>
  <c r="H7863" i="16"/>
  <c r="H7864" i="16"/>
  <c r="H7865" i="16"/>
  <c r="H7866" i="16"/>
  <c r="H7867" i="16"/>
  <c r="H7868" i="16"/>
  <c r="H7869" i="16"/>
  <c r="H7870" i="16"/>
  <c r="H7871" i="16"/>
  <c r="H7872" i="16"/>
  <c r="H7873" i="16"/>
  <c r="H7874" i="16"/>
  <c r="H7875" i="16"/>
  <c r="H7876" i="16"/>
  <c r="H7877" i="16"/>
  <c r="H7878" i="16"/>
  <c r="H7879" i="16"/>
  <c r="H7880" i="16"/>
  <c r="H7881" i="16"/>
  <c r="H7882" i="16"/>
  <c r="H7883" i="16"/>
  <c r="H7884" i="16"/>
  <c r="H7885" i="16"/>
  <c r="H7886" i="16"/>
  <c r="H7887" i="16"/>
  <c r="H7888" i="16"/>
  <c r="H7889" i="16"/>
  <c r="H7890" i="16"/>
  <c r="H7891" i="16"/>
  <c r="H7892" i="16"/>
  <c r="H7893" i="16"/>
  <c r="H7894" i="16"/>
  <c r="H7895" i="16"/>
  <c r="H7896" i="16"/>
  <c r="H7897" i="16"/>
  <c r="H7898" i="16"/>
  <c r="H7899" i="16"/>
  <c r="H7900" i="16"/>
  <c r="H7901" i="16"/>
  <c r="H7902" i="16"/>
  <c r="H7903" i="16"/>
  <c r="H7904" i="16"/>
  <c r="H7905" i="16"/>
  <c r="H7906" i="16"/>
  <c r="H7907" i="16"/>
  <c r="H7908" i="16"/>
  <c r="H7909" i="16"/>
  <c r="H7910" i="16"/>
  <c r="H7911" i="16"/>
  <c r="H7912" i="16"/>
  <c r="H7913" i="16"/>
  <c r="H7914" i="16"/>
  <c r="H7915" i="16"/>
  <c r="H7916" i="16"/>
  <c r="H7917" i="16"/>
  <c r="H7918" i="16"/>
  <c r="H7919" i="16"/>
  <c r="H7920" i="16"/>
  <c r="H7921" i="16"/>
  <c r="H7922" i="16"/>
  <c r="H7923" i="16"/>
  <c r="H7924" i="16"/>
  <c r="H7925" i="16"/>
  <c r="H7926" i="16"/>
  <c r="H7927" i="16"/>
  <c r="H7928" i="16"/>
  <c r="H7929" i="16"/>
  <c r="H7930" i="16"/>
  <c r="H7931" i="16"/>
  <c r="H7932" i="16"/>
  <c r="H7933" i="16"/>
  <c r="H7934" i="16"/>
  <c r="H7935" i="16"/>
  <c r="H7936" i="16"/>
  <c r="H7937" i="16"/>
  <c r="H7938" i="16"/>
  <c r="H7939" i="16"/>
  <c r="H7940" i="16"/>
  <c r="H7941" i="16"/>
  <c r="H7942" i="16"/>
  <c r="H7943" i="16"/>
  <c r="H7944" i="16"/>
  <c r="H7945" i="16"/>
  <c r="H7946" i="16"/>
  <c r="H7947" i="16"/>
  <c r="H7948" i="16"/>
  <c r="H7949" i="16"/>
  <c r="H7950" i="16"/>
  <c r="H7951" i="16"/>
  <c r="H7952" i="16"/>
  <c r="H7953" i="16"/>
  <c r="H7954" i="16"/>
  <c r="H7955" i="16"/>
  <c r="H7956" i="16"/>
  <c r="H7957" i="16"/>
  <c r="H7958" i="16"/>
  <c r="H7959" i="16"/>
  <c r="H7960" i="16"/>
  <c r="H7961" i="16"/>
  <c r="H7962" i="16"/>
  <c r="H7963" i="16"/>
  <c r="H7964" i="16"/>
  <c r="H7965" i="16"/>
  <c r="H7966" i="16"/>
  <c r="H7967" i="16"/>
  <c r="H7968" i="16"/>
  <c r="H7969" i="16"/>
  <c r="H7970" i="16"/>
  <c r="H7971" i="16"/>
  <c r="H7972" i="16"/>
  <c r="H7973" i="16"/>
  <c r="H7974" i="16"/>
  <c r="H7975" i="16"/>
  <c r="H7976" i="16"/>
  <c r="H7977" i="16"/>
  <c r="H7978" i="16"/>
  <c r="H7979" i="16"/>
  <c r="H7980" i="16"/>
  <c r="H7981" i="16"/>
  <c r="H7982" i="16"/>
  <c r="H7983" i="16"/>
  <c r="H7984" i="16"/>
  <c r="H7985" i="16"/>
  <c r="H7986" i="16"/>
  <c r="H7987" i="16"/>
  <c r="H7988" i="16"/>
  <c r="H7989" i="16"/>
  <c r="H7990" i="16"/>
  <c r="H7991" i="16"/>
  <c r="H7992" i="16"/>
  <c r="H7993" i="16"/>
  <c r="H7994" i="16"/>
  <c r="H7995" i="16"/>
  <c r="H7996" i="16"/>
  <c r="H7997" i="16"/>
  <c r="H7998" i="16"/>
  <c r="H7999" i="16"/>
  <c r="H8000" i="16"/>
  <c r="H8001" i="16"/>
  <c r="H8002" i="16"/>
  <c r="H8003" i="16"/>
  <c r="H8004" i="16"/>
  <c r="H8005" i="16"/>
  <c r="H8006" i="16"/>
  <c r="H8007" i="16"/>
  <c r="H8008" i="16"/>
  <c r="H8009" i="16"/>
  <c r="H8010" i="16"/>
  <c r="H8011" i="16"/>
  <c r="H8012" i="16"/>
  <c r="H8013" i="16"/>
  <c r="H8014" i="16"/>
  <c r="H8015" i="16"/>
  <c r="H8016" i="16"/>
  <c r="H8017" i="16"/>
  <c r="H8018" i="16"/>
  <c r="H8019" i="16"/>
  <c r="H8020" i="16"/>
  <c r="H8021" i="16"/>
  <c r="H8022" i="16"/>
  <c r="H8023" i="16"/>
  <c r="H8024" i="16"/>
  <c r="H8025" i="16"/>
  <c r="H8026" i="16"/>
  <c r="H8027" i="16"/>
  <c r="H8028" i="16"/>
  <c r="H8029" i="16"/>
  <c r="H8030" i="16"/>
  <c r="H8031" i="16"/>
  <c r="H8032" i="16"/>
  <c r="H8033" i="16"/>
  <c r="H8034" i="16"/>
  <c r="H8035" i="16"/>
  <c r="H8036" i="16"/>
  <c r="H8037" i="16"/>
  <c r="H8038" i="16"/>
  <c r="H8039" i="16"/>
  <c r="H8040" i="16"/>
  <c r="H8041" i="16"/>
  <c r="H8042" i="16"/>
  <c r="H8043" i="16"/>
  <c r="H8044" i="16"/>
  <c r="H8045" i="16"/>
  <c r="H8046" i="16"/>
  <c r="H8047" i="16"/>
  <c r="H8048" i="16"/>
  <c r="H8049" i="16"/>
  <c r="H8050" i="16"/>
  <c r="H8051" i="16"/>
  <c r="H8052" i="16"/>
  <c r="H8053" i="16"/>
  <c r="H8054" i="16"/>
  <c r="H8055" i="16"/>
  <c r="H8056" i="16"/>
  <c r="H8057" i="16"/>
  <c r="H8058" i="16"/>
  <c r="H8059" i="16"/>
  <c r="H8060" i="16"/>
  <c r="H8061" i="16"/>
  <c r="H8062" i="16"/>
  <c r="H8063" i="16"/>
  <c r="H8064" i="16"/>
  <c r="H8065" i="16"/>
  <c r="H8066" i="16"/>
  <c r="H8067" i="16"/>
  <c r="H8068" i="16"/>
  <c r="H8069" i="16"/>
  <c r="H8070" i="16"/>
  <c r="H8071" i="16"/>
  <c r="H8072" i="16"/>
  <c r="H8073" i="16"/>
  <c r="H8074" i="16"/>
  <c r="H8075" i="16"/>
  <c r="H8076" i="16"/>
  <c r="H8077" i="16"/>
  <c r="H8078" i="16"/>
  <c r="H8079" i="16"/>
  <c r="H8080" i="16"/>
  <c r="H8081" i="16"/>
  <c r="H8082" i="16"/>
  <c r="H8083" i="16"/>
  <c r="H8084" i="16"/>
  <c r="H8085" i="16"/>
  <c r="H8086" i="16"/>
  <c r="H8087" i="16"/>
  <c r="H8088" i="16"/>
  <c r="H8089" i="16"/>
  <c r="H8090" i="16"/>
  <c r="H8091" i="16"/>
  <c r="H8092" i="16"/>
  <c r="H8093" i="16"/>
  <c r="H8094" i="16"/>
  <c r="H8095" i="16"/>
  <c r="H8096" i="16"/>
  <c r="H8097" i="16"/>
  <c r="H8098" i="16"/>
  <c r="H8099" i="16"/>
  <c r="H8100" i="16"/>
  <c r="H8101" i="16"/>
  <c r="H8102" i="16"/>
  <c r="H8103" i="16"/>
  <c r="H8104" i="16"/>
  <c r="H8105" i="16"/>
  <c r="H8106" i="16"/>
  <c r="H8107" i="16"/>
  <c r="H8108" i="16"/>
  <c r="H8109" i="16"/>
  <c r="H8110" i="16"/>
  <c r="H8111" i="16"/>
  <c r="H8112" i="16"/>
  <c r="H8113" i="16"/>
  <c r="H8114" i="16"/>
  <c r="H8115" i="16"/>
  <c r="H8116" i="16"/>
  <c r="H8117" i="16"/>
  <c r="H8118" i="16"/>
  <c r="H8119" i="16"/>
  <c r="H8120" i="16"/>
  <c r="H8121" i="16"/>
  <c r="H8122" i="16"/>
  <c r="H8123" i="16"/>
  <c r="H8124" i="16"/>
  <c r="H8125" i="16"/>
  <c r="H8126" i="16"/>
  <c r="H8127" i="16"/>
  <c r="H8128" i="16"/>
  <c r="H8129" i="16"/>
  <c r="H8130" i="16"/>
  <c r="H8131" i="16"/>
  <c r="H8132" i="16"/>
  <c r="H8133" i="16"/>
  <c r="H8134" i="16"/>
  <c r="H8135" i="16"/>
  <c r="H8136" i="16"/>
  <c r="H8137" i="16"/>
  <c r="H8138" i="16"/>
  <c r="H8139" i="16"/>
  <c r="H8140" i="16"/>
  <c r="H8141" i="16"/>
  <c r="H8142" i="16"/>
  <c r="H8143" i="16"/>
  <c r="H8144" i="16"/>
  <c r="H8145" i="16"/>
  <c r="H8146" i="16"/>
  <c r="H8147" i="16"/>
  <c r="H8148" i="16"/>
  <c r="H8149" i="16"/>
  <c r="H8150" i="16"/>
  <c r="H8151" i="16"/>
  <c r="H8152" i="16"/>
  <c r="H8153" i="16"/>
  <c r="H8154" i="16"/>
  <c r="H8155" i="16"/>
  <c r="H8156" i="16"/>
  <c r="H8157" i="16"/>
  <c r="H8158" i="16"/>
  <c r="H8159" i="16"/>
  <c r="H8160" i="16"/>
  <c r="H8161" i="16"/>
  <c r="H8162" i="16"/>
  <c r="H8163" i="16"/>
  <c r="H8164" i="16"/>
  <c r="H8165" i="16"/>
  <c r="H8166" i="16"/>
  <c r="H8167" i="16"/>
  <c r="H8168" i="16"/>
  <c r="H8169" i="16"/>
  <c r="H8170" i="16"/>
  <c r="H8171" i="16"/>
  <c r="H8172" i="16"/>
  <c r="H8173" i="16"/>
  <c r="H8174" i="16"/>
  <c r="H8175" i="16"/>
  <c r="H8176" i="16"/>
  <c r="H8177" i="16"/>
  <c r="H8178" i="16"/>
  <c r="H8179" i="16"/>
  <c r="H8180" i="16"/>
  <c r="H8181" i="16"/>
  <c r="H8182" i="16"/>
  <c r="H8183" i="16"/>
  <c r="H8184" i="16"/>
  <c r="H8185" i="16"/>
  <c r="H8186" i="16"/>
  <c r="H8187" i="16"/>
  <c r="H8188" i="16"/>
  <c r="H8189" i="16"/>
  <c r="H8190" i="16"/>
  <c r="H8191" i="16"/>
  <c r="H8192" i="16"/>
  <c r="H8193" i="16"/>
  <c r="H8194" i="16"/>
  <c r="H8195" i="16"/>
  <c r="H8196" i="16"/>
  <c r="H8197" i="16"/>
  <c r="H8198" i="16"/>
  <c r="H8199" i="16"/>
  <c r="H8200" i="16"/>
  <c r="H8201" i="16"/>
  <c r="H8202" i="16"/>
  <c r="H8203" i="16"/>
  <c r="H8204" i="16"/>
  <c r="H8205" i="16"/>
  <c r="H8206" i="16"/>
  <c r="H8207" i="16"/>
  <c r="H8208" i="16"/>
  <c r="H8209" i="16"/>
  <c r="H8210" i="16"/>
  <c r="H8211" i="16"/>
  <c r="H8212" i="16"/>
  <c r="H8213" i="16"/>
  <c r="H8214" i="16"/>
  <c r="H8215" i="16"/>
  <c r="H8216" i="16"/>
  <c r="H8217" i="16"/>
  <c r="H8218" i="16"/>
  <c r="H8219" i="16"/>
  <c r="H8220" i="16"/>
  <c r="H8221" i="16"/>
  <c r="H8222" i="16"/>
  <c r="H8223" i="16"/>
  <c r="H8224" i="16"/>
  <c r="H8225" i="16"/>
  <c r="H8226" i="16"/>
  <c r="H8227" i="16"/>
  <c r="H8228" i="16"/>
  <c r="H8229" i="16"/>
  <c r="H8230" i="16"/>
  <c r="H8231" i="16"/>
  <c r="H8232" i="16"/>
  <c r="H8233" i="16"/>
  <c r="H8234" i="16"/>
  <c r="H8235" i="16"/>
  <c r="H8236" i="16"/>
  <c r="H8237" i="16"/>
  <c r="H8238" i="16"/>
  <c r="H8239" i="16"/>
  <c r="H8240" i="16"/>
  <c r="H8241" i="16"/>
  <c r="H8242" i="16"/>
  <c r="H8243" i="16"/>
  <c r="H8244" i="16"/>
  <c r="H8245" i="16"/>
  <c r="H8246" i="16"/>
  <c r="H8247" i="16"/>
  <c r="H8248" i="16"/>
  <c r="H8249" i="16"/>
  <c r="H8250" i="16"/>
  <c r="H8251" i="16"/>
  <c r="H8252" i="16"/>
  <c r="H8253" i="16"/>
  <c r="H8254" i="16"/>
  <c r="H8255" i="16"/>
  <c r="H8256" i="16"/>
  <c r="H8257" i="16"/>
  <c r="H8258" i="16"/>
  <c r="H8259" i="16"/>
  <c r="H8260" i="16"/>
  <c r="H8261" i="16"/>
  <c r="H8262" i="16"/>
  <c r="H8263" i="16"/>
  <c r="H8264" i="16"/>
  <c r="H8265" i="16"/>
  <c r="H8266" i="16"/>
  <c r="H8267" i="16"/>
  <c r="H8268" i="16"/>
  <c r="H8269" i="16"/>
  <c r="H8270" i="16"/>
  <c r="H8271" i="16"/>
  <c r="H8272" i="16"/>
  <c r="H8273" i="16"/>
  <c r="H8274" i="16"/>
  <c r="H8275" i="16"/>
  <c r="H8276" i="16"/>
  <c r="H8277" i="16"/>
  <c r="H8278" i="16"/>
  <c r="H8279" i="16"/>
  <c r="H8280" i="16"/>
  <c r="H8281" i="16"/>
  <c r="H8282" i="16"/>
  <c r="H8283" i="16"/>
  <c r="H8284" i="16"/>
  <c r="H8285" i="16"/>
  <c r="H8286" i="16"/>
  <c r="H8287" i="16"/>
  <c r="H8288" i="16"/>
  <c r="H8289" i="16"/>
  <c r="H8290" i="16"/>
  <c r="H8291" i="16"/>
  <c r="H8292" i="16"/>
  <c r="H8293" i="16"/>
  <c r="H8294" i="16"/>
  <c r="H8295" i="16"/>
  <c r="H8296" i="16"/>
  <c r="H8297" i="16"/>
  <c r="H8298" i="16"/>
  <c r="H8299" i="16"/>
  <c r="H8300" i="16"/>
  <c r="H8301" i="16"/>
  <c r="H8302" i="16"/>
  <c r="H8303" i="16"/>
  <c r="H8304" i="16"/>
  <c r="H8305" i="16"/>
  <c r="H8306" i="16"/>
  <c r="H8307" i="16"/>
  <c r="H8308" i="16"/>
  <c r="H8309" i="16"/>
  <c r="H8310" i="16"/>
  <c r="H8311" i="16"/>
  <c r="H8312" i="16"/>
  <c r="H8313" i="16"/>
  <c r="H8314" i="16"/>
  <c r="H8315" i="16"/>
  <c r="H8316" i="16"/>
  <c r="H8317" i="16"/>
  <c r="H8318" i="16"/>
  <c r="H8319" i="16"/>
  <c r="H8320" i="16"/>
  <c r="H8321" i="16"/>
  <c r="H8322" i="16"/>
  <c r="H8323" i="16"/>
  <c r="H8324" i="16"/>
  <c r="H8325" i="16"/>
  <c r="H8326" i="16"/>
  <c r="H8327" i="16"/>
  <c r="H8328" i="16"/>
  <c r="H8329" i="16"/>
  <c r="H8330" i="16"/>
  <c r="H8331" i="16"/>
  <c r="H8332" i="16"/>
  <c r="H8333" i="16"/>
  <c r="H8334" i="16"/>
  <c r="H8335" i="16"/>
  <c r="H8336" i="16"/>
  <c r="H8337" i="16"/>
  <c r="H8338" i="16"/>
  <c r="H8339" i="16"/>
  <c r="H8340" i="16"/>
  <c r="H8341" i="16"/>
  <c r="H8342" i="16"/>
  <c r="H8343" i="16"/>
  <c r="H8344" i="16"/>
  <c r="H8345" i="16"/>
  <c r="H8346" i="16"/>
  <c r="H8347" i="16"/>
  <c r="H8348" i="16"/>
  <c r="H8349" i="16"/>
  <c r="H8350" i="16"/>
  <c r="H8351" i="16"/>
  <c r="H8352" i="16"/>
  <c r="H8353" i="16"/>
  <c r="H8354" i="16"/>
  <c r="H8355" i="16"/>
  <c r="H8356" i="16"/>
  <c r="H8357" i="16"/>
  <c r="H8358" i="16"/>
  <c r="H8359" i="16"/>
  <c r="H8360" i="16"/>
  <c r="H8361" i="16"/>
  <c r="H8362" i="16"/>
  <c r="H8363" i="16"/>
  <c r="H8364" i="16"/>
  <c r="H8365" i="16"/>
  <c r="H8366" i="16"/>
  <c r="H8367" i="16"/>
  <c r="H8368" i="16"/>
  <c r="H8369" i="16"/>
  <c r="H8370" i="16"/>
  <c r="H8371" i="16"/>
  <c r="H8372" i="16"/>
  <c r="H8373" i="16"/>
  <c r="H8374" i="16"/>
  <c r="H8375" i="16"/>
  <c r="H8376" i="16"/>
  <c r="H8377" i="16"/>
  <c r="H8378" i="16"/>
  <c r="H8379" i="16"/>
  <c r="H8380" i="16"/>
  <c r="H8381" i="16"/>
  <c r="H8382" i="16"/>
  <c r="H8383" i="16"/>
  <c r="H8384" i="16"/>
  <c r="H8385" i="16"/>
  <c r="H8386" i="16"/>
  <c r="H8387" i="16"/>
  <c r="H8388" i="16"/>
  <c r="H8389" i="16"/>
  <c r="H8390" i="16"/>
  <c r="H8391" i="16"/>
  <c r="H8392" i="16"/>
  <c r="H8393" i="16"/>
  <c r="H8394" i="16"/>
  <c r="H8395" i="16"/>
  <c r="H8396" i="16"/>
  <c r="H8397" i="16"/>
  <c r="H8398" i="16"/>
  <c r="H8399" i="16"/>
  <c r="H8400" i="16"/>
  <c r="H8401" i="16"/>
  <c r="H8402" i="16"/>
  <c r="H8403" i="16"/>
  <c r="H8404" i="16"/>
  <c r="H8405" i="16"/>
  <c r="H8406" i="16"/>
  <c r="H8407" i="16"/>
  <c r="H8408" i="16"/>
  <c r="H8409" i="16"/>
  <c r="H8410" i="16"/>
  <c r="H8411" i="16"/>
  <c r="H8412" i="16"/>
  <c r="H8413" i="16"/>
  <c r="H8414" i="16"/>
  <c r="H8415" i="16"/>
  <c r="H8416" i="16"/>
  <c r="H8417" i="16"/>
  <c r="H8418" i="16"/>
  <c r="H8419" i="16"/>
  <c r="H8420" i="16"/>
  <c r="H8421" i="16"/>
  <c r="H8422" i="16"/>
  <c r="H8423" i="16"/>
  <c r="H8424" i="16"/>
  <c r="H8425" i="16"/>
  <c r="H8426" i="16"/>
  <c r="H8427" i="16"/>
  <c r="H8428" i="16"/>
  <c r="H8429" i="16"/>
  <c r="H8430" i="16"/>
  <c r="H8431" i="16"/>
  <c r="H8432" i="16"/>
  <c r="H8433" i="16"/>
  <c r="H8434" i="16"/>
  <c r="H8435" i="16"/>
  <c r="H8436" i="16"/>
  <c r="H8437" i="16"/>
  <c r="H8438" i="16"/>
  <c r="H8439" i="16"/>
  <c r="H8440" i="16"/>
  <c r="H8441" i="16"/>
  <c r="H8442" i="16"/>
  <c r="H8443" i="16"/>
  <c r="H8444" i="16"/>
  <c r="H8445" i="16"/>
  <c r="H8446" i="16"/>
  <c r="H8447" i="16"/>
  <c r="H8448" i="16"/>
  <c r="H8449" i="16"/>
  <c r="H8450" i="16"/>
  <c r="H8451" i="16"/>
  <c r="H8452" i="16"/>
  <c r="H8453" i="16"/>
  <c r="H8454" i="16"/>
  <c r="H8455" i="16"/>
  <c r="H8456" i="16"/>
  <c r="H8457" i="16"/>
  <c r="H8458" i="16"/>
  <c r="H8459" i="16"/>
  <c r="H8460" i="16"/>
  <c r="H8461" i="16"/>
  <c r="H8462" i="16"/>
  <c r="H8463" i="16"/>
  <c r="H8464" i="16"/>
  <c r="H8465" i="16"/>
  <c r="H8466" i="16"/>
  <c r="H8467" i="16"/>
  <c r="H8468" i="16"/>
  <c r="H8469" i="16"/>
  <c r="H8470" i="16"/>
  <c r="H8471" i="16"/>
  <c r="H8472" i="16"/>
  <c r="H8473" i="16"/>
  <c r="H8474" i="16"/>
  <c r="H8475" i="16"/>
  <c r="H8476" i="16"/>
  <c r="H8477" i="16"/>
  <c r="H8478" i="16"/>
  <c r="H8479" i="16"/>
  <c r="H8480" i="16"/>
  <c r="H8481" i="16"/>
  <c r="H8482" i="16"/>
  <c r="H8483" i="16"/>
  <c r="H8484" i="16"/>
  <c r="H8485" i="16"/>
  <c r="H8486" i="16"/>
  <c r="H8487" i="16"/>
  <c r="H8488" i="16"/>
  <c r="H8489" i="16"/>
  <c r="H8490" i="16"/>
  <c r="H8491" i="16"/>
  <c r="H8492" i="16"/>
  <c r="H8493" i="16"/>
  <c r="H8494" i="16"/>
  <c r="H8495" i="16"/>
  <c r="H8496" i="16"/>
  <c r="H8497" i="16"/>
  <c r="H8498" i="16"/>
  <c r="H8499" i="16"/>
  <c r="H8500" i="16"/>
  <c r="H8501" i="16"/>
  <c r="H8502" i="16"/>
  <c r="H8503" i="16"/>
  <c r="H8504" i="16"/>
  <c r="H8505" i="16"/>
  <c r="H8506" i="16"/>
  <c r="H8507" i="16"/>
  <c r="H8508" i="16"/>
  <c r="H8509" i="16"/>
  <c r="H8510" i="16"/>
  <c r="H8511" i="16"/>
  <c r="H8512" i="16"/>
  <c r="H8513" i="16"/>
  <c r="H8514" i="16"/>
  <c r="H8515" i="16"/>
  <c r="H8516" i="16"/>
  <c r="H8517" i="16"/>
  <c r="H8518" i="16"/>
  <c r="H8519" i="16"/>
  <c r="H8520" i="16"/>
  <c r="H8521" i="16"/>
  <c r="H8522" i="16"/>
  <c r="H8523" i="16"/>
  <c r="H8524" i="16"/>
  <c r="H8525" i="16"/>
  <c r="H8526" i="16"/>
  <c r="H8527" i="16"/>
  <c r="H8528" i="16"/>
  <c r="H8529" i="16"/>
  <c r="H8530" i="16"/>
  <c r="H8531" i="16"/>
  <c r="H8532" i="16"/>
  <c r="H8533" i="16"/>
  <c r="H8534" i="16"/>
  <c r="H8535" i="16"/>
  <c r="H8536" i="16"/>
  <c r="H8537" i="16"/>
  <c r="H8538" i="16"/>
  <c r="H8539" i="16"/>
  <c r="H8540" i="16"/>
  <c r="H8541" i="16"/>
  <c r="H8542" i="16"/>
  <c r="H8543" i="16"/>
  <c r="H8544" i="16"/>
  <c r="H8545" i="16"/>
  <c r="H8546" i="16"/>
  <c r="H8547" i="16"/>
  <c r="H8548" i="16"/>
  <c r="H8549" i="16"/>
  <c r="H8550" i="16"/>
  <c r="H8551" i="16"/>
  <c r="H8552" i="16"/>
  <c r="H8553" i="16"/>
  <c r="H8554" i="16"/>
  <c r="H8555" i="16"/>
  <c r="H8556" i="16"/>
  <c r="H8557" i="16"/>
  <c r="H8558" i="16"/>
  <c r="H8559" i="16"/>
  <c r="H8560" i="16"/>
  <c r="H8561" i="16"/>
  <c r="H8562" i="16"/>
  <c r="H8563" i="16"/>
  <c r="H8564" i="16"/>
  <c r="H8565" i="16"/>
  <c r="H8566" i="16"/>
  <c r="H8567" i="16"/>
  <c r="H8568" i="16"/>
  <c r="H8569" i="16"/>
  <c r="H8570" i="16"/>
  <c r="H8571" i="16"/>
  <c r="H8572" i="16"/>
  <c r="H8573" i="16"/>
  <c r="H8574" i="16"/>
  <c r="H8575" i="16"/>
  <c r="H8576" i="16"/>
  <c r="H8577" i="16"/>
  <c r="H8578" i="16"/>
  <c r="H8579" i="16"/>
  <c r="H8580" i="16"/>
  <c r="H8581" i="16"/>
  <c r="H8582" i="16"/>
  <c r="H8583" i="16"/>
  <c r="H8584" i="16"/>
  <c r="H8585" i="16"/>
  <c r="H8586" i="16"/>
  <c r="H8587" i="16"/>
  <c r="H8588" i="16"/>
  <c r="H8589" i="16"/>
  <c r="H8590" i="16"/>
  <c r="H8591" i="16"/>
  <c r="H8592" i="16"/>
  <c r="H8593" i="16"/>
  <c r="H8594" i="16"/>
  <c r="H8595" i="16"/>
  <c r="H8596" i="16"/>
  <c r="H8597" i="16"/>
  <c r="H8598" i="16"/>
  <c r="H8599" i="16"/>
  <c r="H8600" i="16"/>
  <c r="H8601" i="16"/>
  <c r="H8602" i="16"/>
  <c r="H8603" i="16"/>
  <c r="H8604" i="16"/>
  <c r="H8605" i="16"/>
  <c r="H8606" i="16"/>
  <c r="H8607" i="16"/>
  <c r="H8608" i="16"/>
  <c r="H8609" i="16"/>
  <c r="H8610" i="16"/>
  <c r="H8611" i="16"/>
  <c r="H8612" i="16"/>
  <c r="H8613" i="16"/>
  <c r="H8614" i="16"/>
  <c r="H8615" i="16"/>
  <c r="H8616" i="16"/>
  <c r="H8617" i="16"/>
  <c r="H8618" i="16"/>
  <c r="H8619" i="16"/>
  <c r="H8620" i="16"/>
  <c r="H8621" i="16"/>
  <c r="H8622" i="16"/>
  <c r="H8623" i="16"/>
  <c r="H8624" i="16"/>
  <c r="H8625" i="16"/>
  <c r="H8626" i="16"/>
  <c r="H8627" i="16"/>
  <c r="H8628" i="16"/>
  <c r="H8629" i="16"/>
  <c r="H8630" i="16"/>
  <c r="H8631" i="16"/>
  <c r="H8632" i="16"/>
  <c r="H8633" i="16"/>
  <c r="H8634" i="16"/>
  <c r="H8635" i="16"/>
  <c r="H8636" i="16"/>
  <c r="H8637" i="16"/>
  <c r="H8638" i="16"/>
  <c r="H8639" i="16"/>
  <c r="H8640" i="16"/>
  <c r="H8641" i="16"/>
  <c r="H8642" i="16"/>
  <c r="H8643" i="16"/>
  <c r="H8644" i="16"/>
  <c r="H8645" i="16"/>
  <c r="H8646" i="16"/>
  <c r="H8647" i="16"/>
  <c r="H8648" i="16"/>
  <c r="H8649" i="16"/>
  <c r="H8650" i="16"/>
  <c r="H8651" i="16"/>
  <c r="H8652" i="16"/>
  <c r="H8653" i="16"/>
  <c r="H8654" i="16"/>
  <c r="H8655" i="16"/>
  <c r="H8656" i="16"/>
  <c r="H8657" i="16"/>
  <c r="H8658" i="16"/>
  <c r="H8659" i="16"/>
  <c r="H8660" i="16"/>
  <c r="H8661" i="16"/>
  <c r="H8662" i="16"/>
  <c r="H8663" i="16"/>
  <c r="H8664" i="16"/>
  <c r="H8665" i="16"/>
  <c r="H8666" i="16"/>
  <c r="H8667" i="16"/>
  <c r="H8668" i="16"/>
  <c r="H8669" i="16"/>
  <c r="H8670" i="16"/>
  <c r="H8671" i="16"/>
  <c r="H8672" i="16"/>
  <c r="H8673" i="16"/>
  <c r="H8674" i="16"/>
  <c r="H8675" i="16"/>
  <c r="H8676" i="16"/>
  <c r="H8677" i="16"/>
  <c r="H8678" i="16"/>
  <c r="H8679" i="16"/>
  <c r="H8680" i="16"/>
  <c r="H8681" i="16"/>
  <c r="H8682" i="16"/>
  <c r="H8683" i="16"/>
  <c r="H8684" i="16"/>
  <c r="H8685" i="16"/>
  <c r="H8686" i="16"/>
  <c r="H8687" i="16"/>
  <c r="H8688" i="16"/>
  <c r="H8689" i="16"/>
  <c r="H8690" i="16"/>
  <c r="H8691" i="16"/>
  <c r="H8692" i="16"/>
  <c r="H8693" i="16"/>
  <c r="H8694" i="16"/>
  <c r="H8695" i="16"/>
  <c r="H8696" i="16"/>
  <c r="H8697" i="16"/>
  <c r="H8698" i="16"/>
  <c r="H8699" i="16"/>
  <c r="H8700" i="16"/>
  <c r="H8701" i="16"/>
  <c r="H8702" i="16"/>
  <c r="H8703" i="16"/>
  <c r="H8704" i="16"/>
  <c r="H8705" i="16"/>
  <c r="H8706" i="16"/>
  <c r="H8707" i="16"/>
  <c r="H8708" i="16"/>
  <c r="H8709" i="16"/>
  <c r="H8710" i="16"/>
  <c r="H8711" i="16"/>
  <c r="H8712" i="16"/>
  <c r="H8713" i="16"/>
  <c r="H8714" i="16"/>
  <c r="H8715" i="16"/>
  <c r="H8716" i="16"/>
  <c r="H8717" i="16"/>
  <c r="H8718" i="16"/>
  <c r="H8719" i="16"/>
  <c r="H8720" i="16"/>
  <c r="H8721" i="16"/>
  <c r="H8722" i="16"/>
  <c r="H8723" i="16"/>
  <c r="H8724" i="16"/>
  <c r="H8725" i="16"/>
  <c r="H8726" i="16"/>
  <c r="H8727" i="16"/>
  <c r="H8728" i="16"/>
  <c r="H8729" i="16"/>
  <c r="H8730" i="16"/>
  <c r="H8731" i="16"/>
  <c r="H8732" i="16"/>
  <c r="H8733" i="16"/>
  <c r="H8734" i="16"/>
  <c r="H8735" i="16"/>
  <c r="H8736" i="16"/>
  <c r="H8737" i="16"/>
  <c r="H8738" i="16"/>
  <c r="H8739" i="16"/>
  <c r="H8740" i="16"/>
  <c r="H8741" i="16"/>
  <c r="H8742" i="16"/>
  <c r="H8743" i="16"/>
  <c r="H8744" i="16"/>
  <c r="H8745" i="16"/>
  <c r="H8746" i="16"/>
  <c r="H8747" i="16"/>
  <c r="H8748" i="16"/>
  <c r="H8749" i="16"/>
  <c r="H8750" i="16"/>
  <c r="H8751" i="16"/>
  <c r="H8752" i="16"/>
  <c r="H8753" i="16"/>
  <c r="H8754" i="16"/>
  <c r="H8755" i="16"/>
  <c r="H8756" i="16"/>
  <c r="H8757" i="16"/>
  <c r="H8758" i="16"/>
  <c r="H8759" i="16"/>
  <c r="H8760" i="16"/>
  <c r="H8761" i="16"/>
  <c r="H8762" i="16"/>
  <c r="H8763" i="16"/>
  <c r="H8764" i="16"/>
  <c r="H8765" i="16"/>
  <c r="H8766" i="16"/>
  <c r="H8767" i="16"/>
  <c r="H8768" i="16"/>
  <c r="H8769" i="16"/>
  <c r="H8770" i="16"/>
  <c r="H8771" i="16"/>
  <c r="H8772" i="16"/>
  <c r="H8773" i="16"/>
  <c r="H8774" i="16"/>
  <c r="H8775" i="16"/>
  <c r="H8776" i="16"/>
  <c r="H8777" i="16"/>
  <c r="H8778" i="16"/>
  <c r="H8779" i="16"/>
  <c r="H8780" i="16"/>
  <c r="H8781" i="16"/>
  <c r="H8782" i="16"/>
  <c r="H8783" i="16"/>
  <c r="H8784" i="16"/>
  <c r="H8785" i="16"/>
  <c r="H8786" i="16"/>
  <c r="H8787" i="16"/>
  <c r="H8788" i="16"/>
  <c r="H8789" i="16"/>
  <c r="H8790" i="16"/>
  <c r="H8791" i="16"/>
  <c r="H8792" i="16"/>
  <c r="H8793" i="16"/>
  <c r="H8794" i="16"/>
  <c r="H8795" i="16"/>
  <c r="H8796" i="16"/>
  <c r="H8797" i="16"/>
  <c r="H8798" i="16"/>
  <c r="H8799" i="16"/>
  <c r="H8800" i="16"/>
  <c r="H8801" i="16"/>
  <c r="H8802" i="16"/>
  <c r="H8803" i="16"/>
  <c r="H8804" i="16"/>
  <c r="H8805" i="16"/>
  <c r="H8806" i="16"/>
  <c r="H8807" i="16"/>
  <c r="H8808" i="16"/>
  <c r="H8809" i="16"/>
  <c r="H8810" i="16"/>
  <c r="H8811" i="16"/>
  <c r="H8812" i="16"/>
  <c r="H8813" i="16"/>
  <c r="H8814" i="16"/>
  <c r="H8815" i="16"/>
  <c r="H8816" i="16"/>
  <c r="H8817" i="16"/>
  <c r="H8818" i="16"/>
  <c r="H8819" i="16"/>
  <c r="H8820" i="16"/>
  <c r="H8821" i="16"/>
  <c r="H8822" i="16"/>
  <c r="H8823" i="16"/>
  <c r="H8824" i="16"/>
  <c r="H8825" i="16"/>
  <c r="H8826" i="16"/>
  <c r="H8827" i="16"/>
  <c r="H8828" i="16"/>
  <c r="H8829" i="16"/>
  <c r="H8830" i="16"/>
  <c r="H8831" i="16"/>
  <c r="H8832" i="16"/>
  <c r="H8833" i="16"/>
  <c r="H8834" i="16"/>
  <c r="H8835" i="16"/>
  <c r="H8836" i="16"/>
  <c r="H8837" i="16"/>
  <c r="H8838" i="16"/>
  <c r="H8839" i="16"/>
  <c r="H8840" i="16"/>
  <c r="H8841" i="16"/>
  <c r="H8842" i="16"/>
  <c r="H8843" i="16"/>
  <c r="H8844" i="16"/>
  <c r="H8845" i="16"/>
  <c r="H8846" i="16"/>
  <c r="H8847" i="16"/>
  <c r="H8848" i="16"/>
  <c r="H8849" i="16"/>
  <c r="H8850" i="16"/>
  <c r="H8851" i="16"/>
  <c r="H8852" i="16"/>
  <c r="H8853" i="16"/>
  <c r="H8854" i="16"/>
  <c r="H8855" i="16"/>
  <c r="H8856" i="16"/>
  <c r="H8857" i="16"/>
  <c r="H8858" i="16"/>
  <c r="H8859" i="16"/>
  <c r="H8860" i="16"/>
  <c r="H8861" i="16"/>
  <c r="H8862" i="16"/>
  <c r="H8863" i="16"/>
  <c r="H8864" i="16"/>
  <c r="H8865" i="16"/>
  <c r="H8866" i="16"/>
  <c r="H8867" i="16"/>
  <c r="H8868" i="16"/>
  <c r="H8869" i="16"/>
  <c r="H8870" i="16"/>
  <c r="H8871" i="16"/>
  <c r="H8872" i="16"/>
  <c r="H8873" i="16"/>
  <c r="H8874" i="16"/>
  <c r="H8875" i="16"/>
  <c r="H8876" i="16"/>
  <c r="H8877" i="16"/>
  <c r="H8878" i="16"/>
  <c r="H8879" i="16"/>
  <c r="H8880" i="16"/>
  <c r="H8881" i="16"/>
  <c r="H8882" i="16"/>
  <c r="H8883" i="16"/>
  <c r="H8884" i="16"/>
  <c r="H8885" i="16"/>
  <c r="H8886" i="16"/>
  <c r="H8887" i="16"/>
  <c r="H8888" i="16"/>
  <c r="H8889" i="16"/>
  <c r="H8890" i="16"/>
  <c r="H8891" i="16"/>
  <c r="H8892" i="16"/>
  <c r="H8893" i="16"/>
  <c r="H8894" i="16"/>
  <c r="H8895" i="16"/>
  <c r="H8896" i="16"/>
  <c r="H8897" i="16"/>
  <c r="H8898" i="16"/>
  <c r="H8899" i="16"/>
  <c r="H8900" i="16"/>
  <c r="H8901" i="16"/>
  <c r="H8902" i="16"/>
  <c r="H8903" i="16"/>
  <c r="H8904" i="16"/>
  <c r="H8905" i="16"/>
  <c r="H8906" i="16"/>
  <c r="H8907" i="16"/>
  <c r="H8908" i="16"/>
  <c r="H8909" i="16"/>
  <c r="H8910" i="16"/>
  <c r="H8911" i="16"/>
  <c r="H8912" i="16"/>
  <c r="H8913" i="16"/>
  <c r="H8914" i="16"/>
  <c r="H8915" i="16"/>
  <c r="H8916" i="16"/>
  <c r="H8917" i="16"/>
  <c r="H8918" i="16"/>
  <c r="H8919" i="16"/>
  <c r="H8920" i="16"/>
  <c r="H8921" i="16"/>
  <c r="H8922" i="16"/>
  <c r="H8923" i="16"/>
  <c r="H8924" i="16"/>
  <c r="H8925" i="16"/>
  <c r="H8926" i="16"/>
  <c r="H8927" i="16"/>
  <c r="H8928" i="16"/>
  <c r="H8929" i="16"/>
  <c r="H8930" i="16"/>
  <c r="H8931" i="16"/>
  <c r="H8932" i="16"/>
  <c r="H8933" i="16"/>
  <c r="H8934" i="16"/>
  <c r="H8935" i="16"/>
  <c r="H8936" i="16"/>
  <c r="H8937" i="16"/>
  <c r="H8938" i="16"/>
  <c r="H8939" i="16"/>
  <c r="H8940" i="16"/>
  <c r="H8941" i="16"/>
  <c r="H8942" i="16"/>
  <c r="H8943" i="16"/>
  <c r="H8944" i="16"/>
  <c r="H8945" i="16"/>
  <c r="H8946" i="16"/>
  <c r="H8947" i="16"/>
  <c r="H8948" i="16"/>
  <c r="H8949" i="16"/>
  <c r="H8950" i="16"/>
  <c r="H8951" i="16"/>
  <c r="H8952" i="16"/>
  <c r="H8953" i="16"/>
  <c r="H8954" i="16"/>
  <c r="H8955" i="16"/>
  <c r="H8956" i="16"/>
  <c r="H8957" i="16"/>
  <c r="H8958" i="16"/>
  <c r="H8959" i="16"/>
  <c r="H8960" i="16"/>
  <c r="H8961" i="16"/>
  <c r="H8962" i="16"/>
  <c r="H8963" i="16"/>
  <c r="H8964" i="16"/>
  <c r="H8965" i="16"/>
  <c r="H8966" i="16"/>
  <c r="H8967" i="16"/>
  <c r="H8968" i="16"/>
  <c r="H8969" i="16"/>
  <c r="H8970" i="16"/>
  <c r="H8971" i="16"/>
  <c r="H8972" i="16"/>
  <c r="H8973" i="16"/>
  <c r="H8974" i="16"/>
  <c r="H8975" i="16"/>
  <c r="H8976" i="16"/>
  <c r="H8977" i="16"/>
  <c r="H8978" i="16"/>
  <c r="H8979" i="16"/>
  <c r="H8980" i="16"/>
  <c r="H8981" i="16"/>
  <c r="H8982" i="16"/>
  <c r="H8983" i="16"/>
  <c r="H8984" i="16"/>
  <c r="H8985" i="16"/>
  <c r="H8986" i="16"/>
  <c r="H8987" i="16"/>
  <c r="H8988" i="16"/>
  <c r="H8989" i="16"/>
  <c r="H8990" i="16"/>
  <c r="H8991" i="16"/>
  <c r="H8992" i="16"/>
  <c r="H8993" i="16"/>
  <c r="H8994" i="16"/>
  <c r="H8995" i="16"/>
  <c r="H8996" i="16"/>
  <c r="H8997" i="16"/>
  <c r="H8998" i="16"/>
  <c r="H8999" i="16"/>
  <c r="H9000" i="16"/>
  <c r="H9001" i="16"/>
  <c r="H9002" i="16"/>
  <c r="H9003" i="16"/>
  <c r="H9004" i="16"/>
  <c r="H9005" i="16"/>
  <c r="H9006" i="16"/>
  <c r="H9007" i="16"/>
  <c r="H9008" i="16"/>
  <c r="H9009" i="16"/>
  <c r="H9010" i="16"/>
  <c r="H9011" i="16"/>
  <c r="H9012" i="16"/>
  <c r="H9013" i="16"/>
  <c r="H9014" i="16"/>
  <c r="H9015" i="16"/>
  <c r="H9016" i="16"/>
  <c r="H9017" i="16"/>
  <c r="H9018" i="16"/>
  <c r="H9019" i="16"/>
  <c r="H9020" i="16"/>
  <c r="H9021" i="16"/>
  <c r="H9022" i="16"/>
  <c r="H9023" i="16"/>
  <c r="H9024" i="16"/>
  <c r="H9025" i="16"/>
  <c r="H9026" i="16"/>
  <c r="H9027" i="16"/>
  <c r="H9028" i="16"/>
  <c r="H9029" i="16"/>
  <c r="H9030" i="16"/>
  <c r="H9031" i="16"/>
  <c r="H9032" i="16"/>
  <c r="H9033" i="16"/>
  <c r="H9034" i="16"/>
  <c r="H9035" i="16"/>
  <c r="H9036" i="16"/>
  <c r="H9037" i="16"/>
  <c r="H9038" i="16"/>
  <c r="H9039" i="16"/>
  <c r="H9040" i="16"/>
  <c r="H9041" i="16"/>
  <c r="H9042" i="16"/>
  <c r="H9043" i="16"/>
  <c r="H9044" i="16"/>
  <c r="H9045" i="16"/>
  <c r="H9046" i="16"/>
  <c r="H9047" i="16"/>
  <c r="H9048" i="16"/>
  <c r="H9049" i="16"/>
  <c r="H9050" i="16"/>
  <c r="H9051" i="16"/>
  <c r="H9052" i="16"/>
  <c r="H9053" i="16"/>
  <c r="H9054" i="16"/>
  <c r="H9055" i="16"/>
  <c r="H9056" i="16"/>
  <c r="H9057" i="16"/>
  <c r="H9058" i="16"/>
  <c r="H9059" i="16"/>
  <c r="H9060" i="16"/>
  <c r="H9061" i="16"/>
  <c r="H9062" i="16"/>
  <c r="H9063" i="16"/>
  <c r="H9064" i="16"/>
  <c r="H9065" i="16"/>
  <c r="H9066" i="16"/>
  <c r="H9067" i="16"/>
  <c r="H9068" i="16"/>
  <c r="H9069" i="16"/>
  <c r="H9070" i="16"/>
  <c r="H9071" i="16"/>
  <c r="H9072" i="16"/>
  <c r="H9073" i="16"/>
  <c r="H9074" i="16"/>
  <c r="H9075" i="16"/>
  <c r="H9076" i="16"/>
  <c r="H9077" i="16"/>
  <c r="H9078" i="16"/>
  <c r="H9079" i="16"/>
  <c r="H9080" i="16"/>
  <c r="H9081" i="16"/>
  <c r="H9082" i="16"/>
  <c r="H9083" i="16"/>
  <c r="H9084" i="16"/>
  <c r="H9085" i="16"/>
  <c r="H9086" i="16"/>
  <c r="H9087" i="16"/>
  <c r="H9088" i="16"/>
  <c r="H9089" i="16"/>
  <c r="H9090" i="16"/>
  <c r="H9091" i="16"/>
  <c r="H9092" i="16"/>
  <c r="H9093" i="16"/>
  <c r="H9094" i="16"/>
  <c r="H9095" i="16"/>
  <c r="H9096" i="16"/>
  <c r="H9097" i="16"/>
  <c r="H9098" i="16"/>
  <c r="H9099" i="16"/>
  <c r="H9100" i="16"/>
  <c r="H9101" i="16"/>
  <c r="H9102" i="16"/>
  <c r="H9103" i="16"/>
  <c r="H9104" i="16"/>
  <c r="H9105" i="16"/>
  <c r="H9106" i="16"/>
  <c r="H9107" i="16"/>
  <c r="H9108" i="16"/>
  <c r="H9109" i="16"/>
  <c r="H9110" i="16"/>
  <c r="H9111" i="16"/>
  <c r="H9112" i="16"/>
  <c r="H9113" i="16"/>
  <c r="H9114" i="16"/>
  <c r="H9115" i="16"/>
  <c r="H9116" i="16"/>
  <c r="H9117" i="16"/>
  <c r="H9118" i="16"/>
  <c r="H9119" i="16"/>
  <c r="H9120" i="16"/>
  <c r="H9121" i="16"/>
  <c r="H9122" i="16"/>
  <c r="H9123" i="16"/>
  <c r="H9124" i="16"/>
  <c r="H9125" i="16"/>
  <c r="H9126" i="16"/>
  <c r="H9127" i="16"/>
  <c r="H9128" i="16"/>
  <c r="H9129" i="16"/>
  <c r="H9130" i="16"/>
  <c r="H9131" i="16"/>
  <c r="H9132" i="16"/>
  <c r="H9133" i="16"/>
  <c r="H9134" i="16"/>
  <c r="H9135" i="16"/>
  <c r="H9136" i="16"/>
  <c r="H9137" i="16"/>
  <c r="H9138" i="16"/>
  <c r="H9139" i="16"/>
  <c r="H9140" i="16"/>
  <c r="H9141" i="16"/>
  <c r="H9142" i="16"/>
  <c r="H9143" i="16"/>
  <c r="H9144" i="16"/>
  <c r="H9145" i="16"/>
  <c r="H9146" i="16"/>
  <c r="H9147" i="16"/>
  <c r="H9148" i="16"/>
  <c r="H9149" i="16"/>
  <c r="H9150" i="16"/>
  <c r="H9151" i="16"/>
  <c r="H9152" i="16"/>
  <c r="H9153" i="16"/>
  <c r="H9154" i="16"/>
  <c r="H9155" i="16"/>
  <c r="H9156" i="16"/>
  <c r="H9157" i="16"/>
  <c r="H9158" i="16"/>
  <c r="H9159" i="16"/>
  <c r="H9160" i="16"/>
  <c r="H9161" i="16"/>
  <c r="H9162" i="16"/>
  <c r="H9163" i="16"/>
  <c r="H9164" i="16"/>
  <c r="H9165" i="16"/>
  <c r="H9166" i="16"/>
  <c r="H9167" i="16"/>
  <c r="H9168" i="16"/>
  <c r="H9169" i="16"/>
  <c r="H9170" i="16"/>
  <c r="H9171" i="16"/>
  <c r="H9172" i="16"/>
  <c r="H9173" i="16"/>
  <c r="H9174" i="16"/>
  <c r="H9175" i="16"/>
  <c r="H9176" i="16"/>
  <c r="H9177" i="16"/>
  <c r="H9178" i="16"/>
  <c r="H9179" i="16"/>
  <c r="H9180" i="16"/>
  <c r="H9181" i="16"/>
  <c r="H9182" i="16"/>
  <c r="H9183" i="16"/>
  <c r="H9184" i="16"/>
  <c r="H9185" i="16"/>
  <c r="H9186" i="16"/>
  <c r="H9187" i="16"/>
  <c r="H9188" i="16"/>
  <c r="H9189" i="16"/>
  <c r="H9190" i="16"/>
  <c r="H9191" i="16"/>
  <c r="H9192" i="16"/>
  <c r="H9193" i="16"/>
  <c r="H9194" i="16"/>
  <c r="H9195" i="16"/>
  <c r="H9196" i="16"/>
  <c r="H9197" i="16"/>
  <c r="H9198" i="16"/>
  <c r="H9199" i="16"/>
  <c r="H9200" i="16"/>
  <c r="H9201" i="16"/>
  <c r="H9202" i="16"/>
  <c r="H9203" i="16"/>
  <c r="H9204" i="16"/>
  <c r="H9205" i="16"/>
  <c r="H9206" i="16"/>
  <c r="H9207" i="16"/>
  <c r="H9208" i="16"/>
  <c r="H9209" i="16"/>
  <c r="H9210" i="16"/>
  <c r="H9211" i="16"/>
  <c r="H9212" i="16"/>
  <c r="H9213" i="16"/>
  <c r="H9214" i="16"/>
  <c r="H9215" i="16"/>
  <c r="H9216" i="16"/>
  <c r="H9217" i="16"/>
  <c r="H9218" i="16"/>
  <c r="H9219" i="16"/>
  <c r="H9220" i="16"/>
  <c r="H9221" i="16"/>
  <c r="H9222" i="16"/>
  <c r="H9223" i="16"/>
  <c r="H9224" i="16"/>
  <c r="H9225" i="16"/>
  <c r="H9226" i="16"/>
  <c r="H9227" i="16"/>
  <c r="H9228" i="16"/>
  <c r="H9229" i="16"/>
  <c r="H9230" i="16"/>
  <c r="H9231" i="16"/>
  <c r="H9232" i="16"/>
  <c r="H9233" i="16"/>
  <c r="H9234" i="16"/>
  <c r="H9235" i="16"/>
  <c r="H9236" i="16"/>
  <c r="H9237" i="16"/>
  <c r="H9238" i="16"/>
  <c r="H9239" i="16"/>
  <c r="H9240" i="16"/>
  <c r="H9241" i="16"/>
  <c r="H9242" i="16"/>
  <c r="H9243" i="16"/>
  <c r="H9244" i="16"/>
  <c r="H9245" i="16"/>
  <c r="H9246" i="16"/>
  <c r="H9247" i="16"/>
  <c r="H9248" i="16"/>
  <c r="H9249" i="16"/>
  <c r="H9250" i="16"/>
  <c r="H9251" i="16"/>
  <c r="H9252" i="16"/>
  <c r="H9253" i="16"/>
  <c r="H9254" i="16"/>
  <c r="H9255" i="16"/>
  <c r="H9256" i="16"/>
  <c r="H9257" i="16"/>
  <c r="H9258" i="16"/>
  <c r="H9259" i="16"/>
  <c r="H9260" i="16"/>
  <c r="H9261" i="16"/>
  <c r="H9262" i="16"/>
  <c r="H9263" i="16"/>
  <c r="H9264" i="16"/>
  <c r="H9265" i="16"/>
  <c r="H9266" i="16"/>
  <c r="H9267" i="16"/>
  <c r="H9268" i="16"/>
  <c r="H9269" i="16"/>
  <c r="H9270" i="16"/>
  <c r="H9271" i="16"/>
  <c r="H9272" i="16"/>
  <c r="H9273" i="16"/>
  <c r="H9274" i="16"/>
  <c r="H9275" i="16"/>
  <c r="H9276" i="16"/>
  <c r="H9277" i="16"/>
  <c r="H9278" i="16"/>
  <c r="H9279" i="16"/>
  <c r="H9280" i="16"/>
  <c r="H9281" i="16"/>
  <c r="H9282" i="16"/>
  <c r="H9283" i="16"/>
  <c r="H9284" i="16"/>
  <c r="H9285" i="16"/>
  <c r="H9286" i="16"/>
  <c r="H9287" i="16"/>
  <c r="H9288" i="16"/>
  <c r="H9289" i="16"/>
  <c r="H9290" i="16"/>
  <c r="H9291" i="16"/>
  <c r="H9292" i="16"/>
  <c r="H9293" i="16"/>
  <c r="H9294" i="16"/>
  <c r="H9295" i="16"/>
  <c r="H9296" i="16"/>
  <c r="H9297" i="16"/>
  <c r="H9298" i="16"/>
  <c r="H9299" i="16"/>
  <c r="H9300" i="16"/>
  <c r="H9301" i="16"/>
  <c r="H9302" i="16"/>
  <c r="H9303" i="16"/>
  <c r="H9304" i="16"/>
  <c r="H9305" i="16"/>
  <c r="H9306" i="16"/>
  <c r="H9307" i="16"/>
  <c r="H9308" i="16"/>
  <c r="H9309" i="16"/>
  <c r="H9310" i="16"/>
  <c r="H9311" i="16"/>
  <c r="H9312" i="16"/>
  <c r="H9313" i="16"/>
  <c r="H9314" i="16"/>
  <c r="H9315" i="16"/>
  <c r="H9316" i="16"/>
  <c r="H9317" i="16"/>
  <c r="H9318" i="16"/>
  <c r="H9319" i="16"/>
  <c r="H9320" i="16"/>
  <c r="H9321" i="16"/>
  <c r="H9322" i="16"/>
  <c r="H9323" i="16"/>
  <c r="H9324" i="16"/>
  <c r="H9325" i="16"/>
  <c r="H9326" i="16"/>
  <c r="H9327" i="16"/>
  <c r="H9328" i="16"/>
  <c r="H9329" i="16"/>
  <c r="H9330" i="16"/>
  <c r="H9331" i="16"/>
  <c r="H9332" i="16"/>
  <c r="H9333" i="16"/>
  <c r="H9334" i="16"/>
  <c r="H9335" i="16"/>
  <c r="H9336" i="16"/>
  <c r="H9337" i="16"/>
  <c r="H9338" i="16"/>
  <c r="H9339" i="16"/>
  <c r="H9340" i="16"/>
  <c r="H9341" i="16"/>
  <c r="H9342" i="16"/>
  <c r="H9343" i="16"/>
  <c r="H9344" i="16"/>
  <c r="H9345" i="16"/>
  <c r="H9346" i="16"/>
  <c r="H9347" i="16"/>
  <c r="H9348" i="16"/>
  <c r="H9349" i="16"/>
  <c r="H9350" i="16"/>
  <c r="H9351" i="16"/>
  <c r="H9352" i="16"/>
  <c r="H9353" i="16"/>
  <c r="H9354" i="16"/>
  <c r="H9355" i="16"/>
  <c r="H9356" i="16"/>
  <c r="H9357" i="16"/>
  <c r="H9358" i="16"/>
  <c r="H9359" i="16"/>
  <c r="H9360" i="16"/>
  <c r="H9361" i="16"/>
  <c r="H9362" i="16"/>
  <c r="H9363" i="16"/>
  <c r="H9364" i="16"/>
  <c r="H9365" i="16"/>
  <c r="H9366" i="16"/>
  <c r="H9367" i="16"/>
  <c r="H9368" i="16"/>
  <c r="H9369" i="16"/>
  <c r="H9370" i="16"/>
  <c r="H9371" i="16"/>
  <c r="H9372" i="16"/>
  <c r="H9373" i="16"/>
  <c r="H9374" i="16"/>
  <c r="H9375" i="16"/>
  <c r="H9376" i="16"/>
  <c r="H9377" i="16"/>
  <c r="H9378" i="16"/>
  <c r="H9379" i="16"/>
  <c r="H9380" i="16"/>
  <c r="H9381" i="16"/>
  <c r="H9382" i="16"/>
  <c r="H9383" i="16"/>
  <c r="H9384" i="16"/>
  <c r="H9385" i="16"/>
  <c r="H9386" i="16"/>
  <c r="H9387" i="16"/>
  <c r="H9388" i="16"/>
  <c r="H9389" i="16"/>
  <c r="H9390" i="16"/>
  <c r="H9391" i="16"/>
  <c r="H9392" i="16"/>
  <c r="H9393" i="16"/>
  <c r="H9394" i="16"/>
  <c r="H9395" i="16"/>
  <c r="H9396" i="16"/>
  <c r="H9397" i="16"/>
  <c r="H9398" i="16"/>
  <c r="H9399" i="16"/>
  <c r="H9400" i="16"/>
  <c r="H9401" i="16"/>
  <c r="H9402" i="16"/>
  <c r="H9403" i="16"/>
  <c r="H9404" i="16"/>
  <c r="H9405" i="16"/>
  <c r="H9406" i="16"/>
  <c r="H9407" i="16"/>
  <c r="H9408" i="16"/>
  <c r="H9409" i="16"/>
  <c r="H9410" i="16"/>
  <c r="H9411" i="16"/>
  <c r="H9412" i="16"/>
  <c r="H9413" i="16"/>
  <c r="H9414" i="16"/>
  <c r="H9415" i="16"/>
  <c r="H9416" i="16"/>
  <c r="H9417" i="16"/>
  <c r="H9418" i="16"/>
  <c r="H9419" i="16"/>
  <c r="H9420" i="16"/>
  <c r="H9421" i="16"/>
  <c r="H9422" i="16"/>
  <c r="H9423" i="16"/>
  <c r="H9424" i="16"/>
  <c r="H9425" i="16"/>
  <c r="H9426" i="16"/>
  <c r="H9427" i="16"/>
  <c r="H9428" i="16"/>
  <c r="H9429" i="16"/>
  <c r="H9430" i="16"/>
  <c r="H9431" i="16"/>
  <c r="H9432" i="16"/>
  <c r="H9433" i="16"/>
  <c r="H9434" i="16"/>
  <c r="H9435" i="16"/>
  <c r="H9436" i="16"/>
  <c r="H9437" i="16"/>
  <c r="H9438" i="16"/>
  <c r="H9439" i="16"/>
  <c r="H9440" i="16"/>
  <c r="H9441" i="16"/>
  <c r="H9442" i="16"/>
  <c r="H9443" i="16"/>
  <c r="H9444" i="16"/>
  <c r="H9445" i="16"/>
  <c r="H9446" i="16"/>
  <c r="H9447" i="16"/>
  <c r="H9448" i="16"/>
  <c r="H9449" i="16"/>
  <c r="H9450" i="16"/>
  <c r="H9451" i="16"/>
  <c r="H9452" i="16"/>
  <c r="H9453" i="16"/>
  <c r="H9454" i="16"/>
  <c r="H9455" i="16"/>
  <c r="H9456" i="16"/>
  <c r="H9457" i="16"/>
  <c r="H9458" i="16"/>
  <c r="H9459" i="16"/>
  <c r="H9460" i="16"/>
  <c r="H9461" i="16"/>
  <c r="H9462" i="16"/>
  <c r="H9463" i="16"/>
  <c r="H9464" i="16"/>
  <c r="H9465" i="16"/>
  <c r="H9466" i="16"/>
  <c r="H9467" i="16"/>
  <c r="H9468" i="16"/>
  <c r="H9469" i="16"/>
  <c r="H9470" i="16"/>
  <c r="H9471" i="16"/>
  <c r="H9472" i="16"/>
  <c r="H9473" i="16"/>
  <c r="H9474" i="16"/>
  <c r="H9475" i="16"/>
  <c r="H9476" i="16"/>
  <c r="H9477" i="16"/>
  <c r="H9478" i="16"/>
  <c r="H9479" i="16"/>
  <c r="H9480" i="16"/>
  <c r="H9481" i="16"/>
  <c r="H9482" i="16"/>
  <c r="H9483" i="16"/>
  <c r="H9484" i="16"/>
  <c r="H9485" i="16"/>
  <c r="H9486" i="16"/>
  <c r="H9487" i="16"/>
  <c r="H9488" i="16"/>
  <c r="H9489" i="16"/>
  <c r="H9490" i="16"/>
  <c r="H9491" i="16"/>
  <c r="H9492" i="16"/>
  <c r="H9493" i="16"/>
  <c r="H9494" i="16"/>
  <c r="H9495" i="16"/>
  <c r="H9496" i="16"/>
  <c r="H9497" i="16"/>
  <c r="H9498" i="16"/>
  <c r="H9499" i="16"/>
  <c r="H9500" i="16"/>
  <c r="H9501" i="16"/>
  <c r="H9502" i="16"/>
  <c r="H9503" i="16"/>
  <c r="H9504" i="16"/>
  <c r="H9505" i="16"/>
  <c r="H9506" i="16"/>
  <c r="H9507" i="16"/>
  <c r="H9508" i="16"/>
  <c r="H9509" i="16"/>
  <c r="H9510" i="16"/>
  <c r="H9511" i="16"/>
  <c r="H9512" i="16"/>
  <c r="H9513" i="16"/>
  <c r="H9514" i="16"/>
  <c r="H9515" i="16"/>
  <c r="H9516" i="16"/>
  <c r="H9517" i="16"/>
  <c r="H9518" i="16"/>
  <c r="H9519" i="16"/>
  <c r="H9520" i="16"/>
  <c r="H9521" i="16"/>
  <c r="H9522" i="16"/>
  <c r="H9523" i="16"/>
  <c r="H9524" i="16"/>
  <c r="H9525" i="16"/>
  <c r="H9526" i="16"/>
  <c r="H9527" i="16"/>
  <c r="H9528" i="16"/>
  <c r="H9529" i="16"/>
  <c r="H9530" i="16"/>
  <c r="H9531" i="16"/>
  <c r="H9532" i="16"/>
  <c r="H9533" i="16"/>
  <c r="H9534" i="16"/>
  <c r="H9535" i="16"/>
  <c r="H9536" i="16"/>
  <c r="H9537" i="16"/>
  <c r="H9538" i="16"/>
  <c r="H9539" i="16"/>
  <c r="H9540" i="16"/>
  <c r="H9541" i="16"/>
  <c r="H9542" i="16"/>
  <c r="H9543" i="16"/>
  <c r="H9544" i="16"/>
  <c r="H9545" i="16"/>
  <c r="H9546" i="16"/>
  <c r="H9547" i="16"/>
  <c r="H9548" i="16"/>
  <c r="H9549" i="16"/>
  <c r="H9550" i="16"/>
  <c r="H9551" i="16"/>
  <c r="H9552" i="16"/>
  <c r="H9553" i="16"/>
  <c r="H9554" i="16"/>
  <c r="H9555" i="16"/>
  <c r="H9556" i="16"/>
  <c r="H9557" i="16"/>
  <c r="H9558" i="16"/>
  <c r="H9559" i="16"/>
  <c r="H9560" i="16"/>
  <c r="H9561" i="16"/>
  <c r="H9562" i="16"/>
  <c r="H9563" i="16"/>
  <c r="H9564" i="16"/>
  <c r="H9565" i="16"/>
  <c r="H9566" i="16"/>
  <c r="H9567" i="16"/>
  <c r="H9568" i="16"/>
  <c r="H9569" i="16"/>
  <c r="H9570" i="16"/>
  <c r="H9571" i="16"/>
  <c r="H9572" i="16"/>
  <c r="H9573" i="16"/>
  <c r="H9574" i="16"/>
  <c r="H9575" i="16"/>
  <c r="H9576" i="16"/>
  <c r="H9577" i="16"/>
  <c r="H9578" i="16"/>
  <c r="H9579" i="16"/>
  <c r="H9580" i="16"/>
  <c r="H9581" i="16"/>
  <c r="H9582" i="16"/>
  <c r="H9583" i="16"/>
  <c r="H9584" i="16"/>
  <c r="H9585" i="16"/>
  <c r="H9586" i="16"/>
  <c r="H9587" i="16"/>
  <c r="H9588" i="16"/>
  <c r="H9589" i="16"/>
  <c r="H9590" i="16"/>
  <c r="H9591" i="16"/>
  <c r="H9592" i="16"/>
  <c r="H9593" i="16"/>
  <c r="H9594" i="16"/>
  <c r="H9595" i="16"/>
  <c r="H9596" i="16"/>
  <c r="H9597" i="16"/>
  <c r="H9598" i="16"/>
  <c r="H9599" i="16"/>
  <c r="H9600" i="16"/>
  <c r="H9601" i="16"/>
  <c r="H9602" i="16"/>
  <c r="H9603" i="16"/>
  <c r="H9604" i="16"/>
  <c r="H9605" i="16"/>
  <c r="H9606" i="16"/>
  <c r="H9607" i="16"/>
  <c r="H9608" i="16"/>
  <c r="H9609" i="16"/>
  <c r="H9610" i="16"/>
  <c r="H9611" i="16"/>
  <c r="H9612" i="16"/>
  <c r="H9613" i="16"/>
  <c r="H9614" i="16"/>
  <c r="H9615" i="16"/>
  <c r="H9616" i="16"/>
  <c r="H9617" i="16"/>
  <c r="H9618" i="16"/>
  <c r="H9619" i="16"/>
  <c r="H9620" i="16"/>
  <c r="H9621" i="16"/>
  <c r="H9622" i="16"/>
  <c r="H9623" i="16"/>
  <c r="H9624" i="16"/>
  <c r="H9625" i="16"/>
  <c r="H9626" i="16"/>
  <c r="H9627" i="16"/>
  <c r="H9628" i="16"/>
  <c r="H9629" i="16"/>
  <c r="H9630" i="16"/>
  <c r="H9631" i="16"/>
  <c r="H9632" i="16"/>
  <c r="H9633" i="16"/>
  <c r="H9634" i="16"/>
  <c r="H9635" i="16"/>
  <c r="H9636" i="16"/>
  <c r="H9637" i="16"/>
  <c r="H9638" i="16"/>
  <c r="H9639" i="16"/>
  <c r="H9640" i="16"/>
  <c r="H9641" i="16"/>
  <c r="H9642" i="16"/>
  <c r="H9643" i="16"/>
  <c r="H9644" i="16"/>
  <c r="H9645" i="16"/>
  <c r="H9646" i="16"/>
  <c r="H9647" i="16"/>
  <c r="H9648" i="16"/>
  <c r="H9649" i="16"/>
  <c r="H9650" i="16"/>
  <c r="H9651" i="16"/>
  <c r="H9652" i="16"/>
  <c r="H9653" i="16"/>
  <c r="H9654" i="16"/>
  <c r="H9655" i="16"/>
  <c r="H9656" i="16"/>
  <c r="H9657" i="16"/>
  <c r="H9658" i="16"/>
  <c r="H9659" i="16"/>
  <c r="H9660" i="16"/>
  <c r="H9661" i="16"/>
  <c r="H9662" i="16"/>
  <c r="H9663" i="16"/>
  <c r="H9664" i="16"/>
  <c r="H9665" i="16"/>
  <c r="H9666" i="16"/>
  <c r="H9667" i="16"/>
  <c r="H9668" i="16"/>
  <c r="H9669" i="16"/>
  <c r="H9670" i="16"/>
  <c r="H9671" i="16"/>
  <c r="H9672" i="16"/>
  <c r="H9673" i="16"/>
  <c r="H9674" i="16"/>
  <c r="H9675" i="16"/>
  <c r="H9676" i="16"/>
  <c r="H9677" i="16"/>
  <c r="H9678" i="16"/>
  <c r="H9679" i="16"/>
  <c r="H9680" i="16"/>
  <c r="H9681" i="16"/>
  <c r="H9682" i="16"/>
  <c r="H9683" i="16"/>
  <c r="H9684" i="16"/>
  <c r="H9685" i="16"/>
  <c r="H9686" i="16"/>
  <c r="H9687" i="16"/>
  <c r="H9688" i="16"/>
  <c r="H9689" i="16"/>
  <c r="H9690" i="16"/>
  <c r="H9691" i="16"/>
  <c r="H9692" i="16"/>
  <c r="H9693" i="16"/>
  <c r="H9694" i="16"/>
  <c r="H9695" i="16"/>
  <c r="H9696" i="16"/>
  <c r="H9697" i="16"/>
  <c r="H9698" i="16"/>
  <c r="H9699" i="16"/>
  <c r="H9700" i="16"/>
  <c r="H9701" i="16"/>
  <c r="H9702" i="16"/>
  <c r="H9703" i="16"/>
  <c r="H9704" i="16"/>
  <c r="H9705" i="16"/>
  <c r="H9706" i="16"/>
  <c r="H9707" i="16"/>
  <c r="H9708" i="16"/>
  <c r="H9709" i="16"/>
  <c r="H9710" i="16"/>
  <c r="H9711" i="16"/>
  <c r="H9712" i="16"/>
  <c r="H9713" i="16"/>
  <c r="H9714" i="16"/>
  <c r="H9715" i="16"/>
  <c r="H9716" i="16"/>
  <c r="H9717" i="16"/>
  <c r="H9718" i="16"/>
  <c r="H9719" i="16"/>
  <c r="H9720" i="16"/>
  <c r="H9721" i="16"/>
  <c r="H9722" i="16"/>
  <c r="H9723" i="16"/>
  <c r="H9724" i="16"/>
  <c r="H9725" i="16"/>
  <c r="H9726" i="16"/>
  <c r="H9727" i="16"/>
  <c r="H9728" i="16"/>
  <c r="H9729" i="16"/>
  <c r="H9730" i="16"/>
  <c r="H9731" i="16"/>
  <c r="H9732" i="16"/>
  <c r="H9733" i="16"/>
  <c r="H9734" i="16"/>
  <c r="H9735" i="16"/>
  <c r="H9736" i="16"/>
  <c r="H9737" i="16"/>
  <c r="H9738" i="16"/>
  <c r="H9739" i="16"/>
  <c r="H9740" i="16"/>
  <c r="H9741" i="16"/>
  <c r="H9742" i="16"/>
  <c r="H9743" i="16"/>
  <c r="H9744" i="16"/>
  <c r="H9745" i="16"/>
  <c r="H9746" i="16"/>
  <c r="H9747" i="16"/>
  <c r="H9748" i="16"/>
  <c r="H9749" i="16"/>
  <c r="H9750" i="16"/>
  <c r="H9751" i="16"/>
  <c r="H9752" i="16"/>
  <c r="H9753" i="16"/>
  <c r="H9754" i="16"/>
  <c r="H9755" i="16"/>
  <c r="H9756" i="16"/>
  <c r="H9757" i="16"/>
  <c r="H9758" i="16"/>
  <c r="H9759" i="16"/>
  <c r="H9760" i="16"/>
  <c r="H9761" i="16"/>
  <c r="H9762" i="16"/>
  <c r="H9763" i="16"/>
  <c r="H9764" i="16"/>
  <c r="H9765" i="16"/>
  <c r="H9766" i="16"/>
  <c r="H9767" i="16"/>
  <c r="H9768" i="16"/>
  <c r="H9769" i="16"/>
  <c r="H9770" i="16"/>
  <c r="H9771" i="16"/>
  <c r="H9772" i="16"/>
  <c r="H9773" i="16"/>
  <c r="H9774" i="16"/>
  <c r="H9775" i="16"/>
  <c r="H9776" i="16"/>
  <c r="H9777" i="16"/>
  <c r="H9778" i="16"/>
  <c r="H9779" i="16"/>
  <c r="H9780" i="16"/>
  <c r="H9781" i="16"/>
  <c r="H9782" i="16"/>
  <c r="H9783" i="16"/>
  <c r="H9784" i="16"/>
  <c r="H9785" i="16"/>
  <c r="H9786" i="16"/>
  <c r="H9787" i="16"/>
  <c r="H9788" i="16"/>
  <c r="H9789" i="16"/>
  <c r="H9790" i="16"/>
  <c r="H9791" i="16"/>
  <c r="H9792" i="16"/>
  <c r="H9793" i="16"/>
  <c r="H9794" i="16"/>
  <c r="H9795" i="16"/>
  <c r="H9796" i="16"/>
  <c r="H9797" i="16"/>
  <c r="H9798" i="16"/>
  <c r="H9799" i="16"/>
  <c r="H9800" i="16"/>
  <c r="H9801" i="16"/>
  <c r="H9802" i="16"/>
  <c r="H9803" i="16"/>
  <c r="H9804" i="16"/>
  <c r="H9805" i="16"/>
  <c r="H9806" i="16"/>
  <c r="H9807" i="16"/>
  <c r="H9808" i="16"/>
  <c r="H9809" i="16"/>
  <c r="H9810" i="16"/>
  <c r="H9811" i="16"/>
  <c r="H9812" i="16"/>
  <c r="H9813" i="16"/>
  <c r="H9814" i="16"/>
  <c r="H9815" i="16"/>
  <c r="H9816" i="16"/>
  <c r="H9817" i="16"/>
  <c r="H9818" i="16"/>
  <c r="H9819" i="16"/>
  <c r="H9820" i="16"/>
  <c r="H9821" i="16"/>
  <c r="H9822" i="16"/>
  <c r="H9823" i="16"/>
  <c r="H9824" i="16"/>
  <c r="H9825" i="16"/>
  <c r="H9826" i="16"/>
  <c r="H9827" i="16"/>
  <c r="H9828" i="16"/>
  <c r="H9829" i="16"/>
  <c r="H9830" i="16"/>
  <c r="H9831" i="16"/>
  <c r="H9832" i="16"/>
  <c r="H9833" i="16"/>
  <c r="H9834" i="16"/>
  <c r="H9835" i="16"/>
  <c r="H9836" i="16"/>
  <c r="H9837" i="16"/>
  <c r="H9838" i="16"/>
  <c r="H9839" i="16"/>
  <c r="H9840" i="16"/>
  <c r="H9841" i="16"/>
  <c r="H9842" i="16"/>
  <c r="H9843" i="16"/>
  <c r="H9844" i="16"/>
  <c r="H9845" i="16"/>
  <c r="H9846" i="16"/>
  <c r="H9847" i="16"/>
  <c r="H9848" i="16"/>
  <c r="H9849" i="16"/>
  <c r="H9850" i="16"/>
  <c r="H9851" i="16"/>
  <c r="H9852" i="16"/>
  <c r="H9853" i="16"/>
  <c r="H9854" i="16"/>
  <c r="H9855" i="16"/>
  <c r="H9856" i="16"/>
  <c r="H9857" i="16"/>
  <c r="H9858" i="16"/>
  <c r="H9859" i="16"/>
  <c r="H9860" i="16"/>
  <c r="H9861" i="16"/>
  <c r="H9862" i="16"/>
  <c r="H9863" i="16"/>
  <c r="H9864" i="16"/>
  <c r="H9865" i="16"/>
  <c r="H9866" i="16"/>
  <c r="H9867" i="16"/>
  <c r="H9868" i="16"/>
  <c r="H9869" i="16"/>
  <c r="H9870" i="16"/>
  <c r="H9871" i="16"/>
  <c r="H9872" i="16"/>
  <c r="H9873" i="16"/>
  <c r="H9874" i="16"/>
  <c r="H9875" i="16"/>
  <c r="H9876" i="16"/>
  <c r="H9877" i="16"/>
  <c r="H9878" i="16"/>
  <c r="H9879" i="16"/>
  <c r="H9880" i="16"/>
  <c r="H9881" i="16"/>
  <c r="H9882" i="16"/>
  <c r="H9883" i="16"/>
  <c r="H9884" i="16"/>
  <c r="H9885" i="16"/>
  <c r="H9886" i="16"/>
  <c r="H9887" i="16"/>
  <c r="H9888" i="16"/>
  <c r="H9889" i="16"/>
  <c r="H9890" i="16"/>
  <c r="H9891" i="16"/>
  <c r="H9892" i="16"/>
  <c r="H9893" i="16"/>
  <c r="H9894" i="16"/>
  <c r="H9895" i="16"/>
  <c r="H9896" i="16"/>
  <c r="H9897" i="16"/>
  <c r="H9898" i="16"/>
  <c r="H9899" i="16"/>
  <c r="H9900" i="16"/>
  <c r="H9901" i="16"/>
  <c r="H9902" i="16"/>
  <c r="H9903" i="16"/>
  <c r="H9904" i="16"/>
  <c r="H9905" i="16"/>
  <c r="H9906" i="16"/>
  <c r="H9907" i="16"/>
  <c r="H9908" i="16"/>
  <c r="H9909" i="16"/>
  <c r="H9910" i="16"/>
  <c r="H9911" i="16"/>
  <c r="H9912" i="16"/>
  <c r="H9913" i="16"/>
  <c r="H9914" i="16"/>
  <c r="H9915" i="16"/>
  <c r="H9916" i="16"/>
  <c r="H9917" i="16"/>
  <c r="H9918" i="16"/>
  <c r="H9919" i="16"/>
  <c r="H9920" i="16"/>
  <c r="H9921" i="16"/>
  <c r="H9922" i="16"/>
  <c r="H9923" i="16"/>
  <c r="H9924" i="16"/>
  <c r="H9925" i="16"/>
  <c r="H9926" i="16"/>
  <c r="H9927" i="16"/>
  <c r="H9928" i="16"/>
  <c r="H9929" i="16"/>
  <c r="H9930" i="16"/>
  <c r="H9931" i="16"/>
  <c r="H9932" i="16"/>
  <c r="H9933" i="16"/>
  <c r="H9934" i="16"/>
  <c r="H9935" i="16"/>
  <c r="H9936" i="16"/>
  <c r="H9937" i="16"/>
  <c r="H9938" i="16"/>
  <c r="H9939" i="16"/>
  <c r="H9940" i="16"/>
  <c r="H9941" i="16"/>
  <c r="H9942" i="16"/>
  <c r="H9943" i="16"/>
  <c r="H9944" i="16"/>
  <c r="H9945" i="16"/>
  <c r="H9946" i="16"/>
  <c r="H9947" i="16"/>
  <c r="H9948" i="16"/>
  <c r="H9949" i="16"/>
  <c r="H9950" i="16"/>
  <c r="H9951" i="16"/>
  <c r="H9952" i="16"/>
  <c r="H9953" i="16"/>
  <c r="H9954" i="16"/>
  <c r="H9955" i="16"/>
  <c r="H9956" i="16"/>
  <c r="H9957" i="16"/>
  <c r="H9958" i="16"/>
  <c r="H9959" i="16"/>
  <c r="H9960" i="16"/>
  <c r="H9961" i="16"/>
  <c r="H9962" i="16"/>
  <c r="H9963" i="16"/>
  <c r="H9964" i="16"/>
  <c r="H9965" i="16"/>
  <c r="H9966" i="16"/>
  <c r="H9967" i="16"/>
  <c r="H9968" i="16"/>
  <c r="H9969" i="16"/>
  <c r="H9970" i="16"/>
  <c r="H9971" i="16"/>
  <c r="H9972" i="16"/>
  <c r="H9973" i="16"/>
  <c r="H9974" i="16"/>
  <c r="H9975" i="16"/>
  <c r="H9976" i="16"/>
  <c r="H9977" i="16"/>
  <c r="H9978" i="16"/>
  <c r="H9979" i="16"/>
  <c r="H9980" i="16"/>
  <c r="H9981" i="16"/>
  <c r="H9982" i="16"/>
  <c r="H9983" i="16"/>
  <c r="H9984" i="16"/>
  <c r="H9985" i="16"/>
  <c r="H9986" i="16"/>
  <c r="H9987" i="16"/>
  <c r="H9988" i="16"/>
  <c r="H9989" i="16"/>
  <c r="H9990" i="16"/>
  <c r="H9991" i="16"/>
  <c r="H9992" i="16"/>
  <c r="H9993" i="16"/>
  <c r="H9994" i="16"/>
  <c r="H9995" i="16"/>
  <c r="H9996" i="16"/>
  <c r="H9997" i="16"/>
  <c r="H9998" i="16"/>
  <c r="H9999" i="16"/>
  <c r="H10000" i="16"/>
  <c r="H10001" i="16"/>
  <c r="H10002" i="16"/>
  <c r="H10003" i="16"/>
  <c r="H10004" i="16"/>
  <c r="H10005" i="16"/>
  <c r="H10006" i="16"/>
  <c r="H10007" i="16"/>
  <c r="H10008" i="16"/>
  <c r="H10009" i="16"/>
  <c r="H10010" i="16"/>
  <c r="H10011" i="16"/>
  <c r="H10012" i="16"/>
  <c r="H10013" i="16"/>
  <c r="H10014" i="16"/>
  <c r="H10015" i="16"/>
  <c r="H10016" i="16"/>
  <c r="H10017" i="16"/>
  <c r="H10018" i="16"/>
  <c r="H10019" i="16"/>
  <c r="H10020" i="16"/>
  <c r="H10021" i="16"/>
  <c r="H10022" i="16"/>
  <c r="H10023" i="16"/>
  <c r="H10024" i="16"/>
  <c r="H10025" i="16"/>
  <c r="H10026" i="16"/>
  <c r="H10027" i="16"/>
  <c r="H10028" i="16"/>
  <c r="H10029" i="16"/>
  <c r="H10030" i="16"/>
  <c r="H10031" i="16"/>
  <c r="H10032" i="16"/>
  <c r="H10033" i="16"/>
  <c r="H10034" i="16"/>
  <c r="H10035" i="16"/>
  <c r="H10036" i="16"/>
  <c r="H10037" i="16"/>
  <c r="H10038" i="16"/>
  <c r="H10039" i="16"/>
  <c r="H10040" i="16"/>
  <c r="H10041" i="16"/>
  <c r="H10042" i="16"/>
  <c r="H10043" i="16"/>
  <c r="H10044" i="16"/>
  <c r="H10045" i="16"/>
  <c r="H10046" i="16"/>
  <c r="H10047" i="16"/>
  <c r="H10048" i="16"/>
  <c r="H10049" i="16"/>
  <c r="H10050" i="16"/>
  <c r="H10051" i="16"/>
  <c r="H10052" i="16"/>
  <c r="H10053" i="16"/>
  <c r="H10054" i="16"/>
  <c r="H10055" i="16"/>
  <c r="H10056" i="16"/>
  <c r="H10057" i="16"/>
  <c r="H10058" i="16"/>
  <c r="H10059" i="16"/>
  <c r="H10060" i="16"/>
  <c r="H10061" i="16"/>
  <c r="H10062" i="16"/>
  <c r="H10063" i="16"/>
  <c r="H10064" i="16"/>
  <c r="H10065" i="16"/>
  <c r="H10066" i="16"/>
  <c r="H10067" i="16"/>
  <c r="H10068" i="16"/>
  <c r="H10069" i="16"/>
  <c r="H10070" i="16"/>
  <c r="H10071" i="16"/>
  <c r="H10072" i="16"/>
  <c r="H10073" i="16"/>
  <c r="H10074" i="16"/>
  <c r="H10075" i="16"/>
  <c r="H10076" i="16"/>
  <c r="H10077" i="16"/>
  <c r="H10078" i="16"/>
  <c r="H10079" i="16"/>
  <c r="H10080" i="16"/>
  <c r="H10081" i="16"/>
  <c r="H10082" i="16"/>
  <c r="H10083" i="16"/>
  <c r="H10084" i="16"/>
  <c r="H10085" i="16"/>
  <c r="H10086" i="16"/>
  <c r="H10087" i="16"/>
  <c r="H10088" i="16"/>
  <c r="H10089" i="16"/>
  <c r="H10090" i="16"/>
  <c r="H10091" i="16"/>
  <c r="H10092" i="16"/>
  <c r="H10093" i="16"/>
  <c r="H10094" i="16"/>
  <c r="H10095" i="16"/>
  <c r="H10096" i="16"/>
  <c r="H10097" i="16"/>
  <c r="H10098" i="16"/>
  <c r="H10099" i="16"/>
  <c r="H10100" i="16"/>
  <c r="H10101" i="16"/>
  <c r="H10102" i="16"/>
  <c r="H10103" i="16"/>
  <c r="H10104" i="16"/>
  <c r="H10105" i="16"/>
  <c r="H10106" i="16"/>
  <c r="H10107" i="16"/>
  <c r="H10108" i="16"/>
  <c r="H10109" i="16"/>
  <c r="H10110" i="16"/>
  <c r="H10111" i="16"/>
  <c r="H10112" i="16"/>
  <c r="H10113" i="16"/>
  <c r="H10114" i="16"/>
  <c r="H10115" i="16"/>
  <c r="H10116" i="16"/>
  <c r="H10117" i="16"/>
  <c r="H10118" i="16"/>
  <c r="H10119" i="16"/>
  <c r="H10120" i="16"/>
  <c r="H10121" i="16"/>
  <c r="H10122" i="16"/>
  <c r="H10123" i="16"/>
  <c r="H10124" i="16"/>
  <c r="H10125" i="16"/>
  <c r="H10126" i="16"/>
  <c r="H10127" i="16"/>
  <c r="H10128" i="16"/>
  <c r="H10129" i="16"/>
  <c r="H10130" i="16"/>
  <c r="H10131" i="16"/>
  <c r="H10132" i="16"/>
  <c r="H10133" i="16"/>
  <c r="H10134" i="16"/>
  <c r="H10135" i="16"/>
  <c r="H10136" i="16"/>
  <c r="H10137" i="16"/>
  <c r="H10138" i="16"/>
  <c r="H10139" i="16"/>
  <c r="H10140" i="16"/>
  <c r="H10141" i="16"/>
  <c r="H10142" i="16"/>
  <c r="H10143" i="16"/>
  <c r="H10144" i="16"/>
  <c r="H10145" i="16"/>
  <c r="H10146" i="16"/>
  <c r="H10147" i="16"/>
  <c r="H10148" i="16"/>
  <c r="H10149" i="16"/>
  <c r="H10150" i="16"/>
  <c r="H10151" i="16"/>
  <c r="H10152" i="16"/>
  <c r="H10153" i="16"/>
  <c r="H10154" i="16"/>
  <c r="H10155" i="16"/>
  <c r="H10156" i="16"/>
  <c r="H10157" i="16"/>
  <c r="H10158" i="16"/>
  <c r="H10159" i="16"/>
  <c r="H10160" i="16"/>
  <c r="H10161" i="16"/>
  <c r="H10162" i="16"/>
  <c r="H10163" i="16"/>
  <c r="H10164" i="16"/>
  <c r="H10165" i="16"/>
  <c r="H10166" i="16"/>
  <c r="H10167" i="16"/>
  <c r="H10168" i="16"/>
  <c r="H10169" i="16"/>
  <c r="H10170" i="16"/>
  <c r="H10171" i="16"/>
  <c r="H10172" i="16"/>
  <c r="H10173" i="16"/>
  <c r="H10174" i="16"/>
  <c r="H10175" i="16"/>
  <c r="H10176" i="16"/>
  <c r="H10177" i="16"/>
  <c r="H10178" i="16"/>
  <c r="H10179" i="16"/>
  <c r="H10180" i="16"/>
  <c r="H10181" i="16"/>
  <c r="H10182" i="16"/>
  <c r="H10183" i="16"/>
  <c r="H10184" i="16"/>
  <c r="H10185" i="16"/>
  <c r="H10186" i="16"/>
  <c r="H10187" i="16"/>
  <c r="H10188" i="16"/>
  <c r="H10189" i="16"/>
  <c r="H10190" i="16"/>
  <c r="H10191" i="16"/>
  <c r="H10192" i="16"/>
  <c r="H10193" i="16"/>
  <c r="H10194" i="16"/>
  <c r="H10195" i="16"/>
  <c r="H10196" i="16"/>
  <c r="H10197" i="16"/>
  <c r="H10198" i="16"/>
  <c r="H10199" i="16"/>
  <c r="H10200" i="16"/>
  <c r="H10201" i="16"/>
  <c r="H10202" i="16"/>
  <c r="H10203" i="16"/>
  <c r="H10204" i="16"/>
  <c r="H10205" i="16"/>
  <c r="H10206" i="16"/>
  <c r="H10207" i="16"/>
  <c r="H10208" i="16"/>
  <c r="H10209" i="16"/>
  <c r="H10210" i="16"/>
  <c r="H10211" i="16"/>
  <c r="H10212" i="16"/>
  <c r="H10213" i="16"/>
  <c r="H10214" i="16"/>
  <c r="H10215" i="16"/>
  <c r="H10216" i="16"/>
  <c r="H10217" i="16"/>
  <c r="H10218" i="16"/>
  <c r="H10219" i="16"/>
  <c r="H10220" i="16"/>
  <c r="H10221" i="16"/>
  <c r="H10222" i="16"/>
  <c r="H10223" i="16"/>
  <c r="H10224" i="16"/>
  <c r="H10225" i="16"/>
  <c r="H10226" i="16"/>
  <c r="H10227" i="16"/>
  <c r="H10228" i="16"/>
  <c r="H10229" i="16"/>
  <c r="H10230" i="16"/>
  <c r="H10231" i="16"/>
  <c r="H10232" i="16"/>
  <c r="H10233" i="16"/>
  <c r="H10234" i="16"/>
  <c r="H10235" i="16"/>
  <c r="H10236" i="16"/>
  <c r="H10237" i="16"/>
  <c r="H10238" i="16"/>
  <c r="H10239" i="16"/>
  <c r="H10240" i="16"/>
  <c r="H10241" i="16"/>
  <c r="H10242" i="16"/>
  <c r="H10243" i="16"/>
  <c r="H10244" i="16"/>
  <c r="H10245" i="16"/>
  <c r="H10246" i="16"/>
  <c r="H10247" i="16"/>
  <c r="H10248" i="16"/>
  <c r="H10249" i="16"/>
  <c r="H10250" i="16"/>
  <c r="H10251" i="16"/>
  <c r="H10252" i="16"/>
  <c r="H10253" i="16"/>
  <c r="H10254" i="16"/>
  <c r="H10255" i="16"/>
  <c r="H10256" i="16"/>
  <c r="H10257" i="16"/>
  <c r="H10258" i="16"/>
  <c r="H10259" i="16"/>
  <c r="H10260" i="16"/>
  <c r="H10261" i="16"/>
  <c r="H10262" i="16"/>
  <c r="H10263" i="16"/>
  <c r="H10264" i="16"/>
  <c r="H10265" i="16"/>
  <c r="H10266" i="16"/>
  <c r="H10267" i="16"/>
  <c r="H10268" i="16"/>
  <c r="H10269" i="16"/>
  <c r="H10270" i="16"/>
  <c r="H10271" i="16"/>
  <c r="H10272" i="16"/>
  <c r="H10273" i="16"/>
  <c r="H10274" i="16"/>
  <c r="H10275" i="16"/>
  <c r="H10276" i="16"/>
  <c r="H10277" i="16"/>
  <c r="H10278" i="16"/>
  <c r="H10279" i="16"/>
  <c r="H10280" i="16"/>
  <c r="H10281" i="16"/>
  <c r="H10282" i="16"/>
  <c r="H10283" i="16"/>
  <c r="H10284" i="16"/>
  <c r="H10285" i="16"/>
  <c r="H10286" i="16"/>
  <c r="H10287" i="16"/>
  <c r="H10288" i="16"/>
  <c r="H10289" i="16"/>
  <c r="H10290" i="16"/>
  <c r="H10291" i="16"/>
  <c r="H10292" i="16"/>
  <c r="H10293" i="16"/>
  <c r="H10294" i="16"/>
  <c r="H10295" i="16"/>
  <c r="H10296" i="16"/>
  <c r="H10297" i="16"/>
  <c r="H10298" i="16"/>
  <c r="H10299" i="16"/>
  <c r="H10300" i="16"/>
  <c r="H10301" i="16"/>
  <c r="H10302" i="16"/>
  <c r="H10303" i="16"/>
  <c r="H10304" i="16"/>
  <c r="H10305" i="16"/>
  <c r="H10306" i="16"/>
  <c r="H10307" i="16"/>
  <c r="H10308" i="16"/>
  <c r="H10309" i="16"/>
  <c r="H10310" i="16"/>
  <c r="H10311" i="16"/>
  <c r="H10312" i="16"/>
  <c r="H10313" i="16"/>
  <c r="H10314" i="16"/>
  <c r="H10315" i="16"/>
  <c r="H10316" i="16"/>
  <c r="H10317" i="16"/>
  <c r="H10318" i="16"/>
  <c r="H10319" i="16"/>
  <c r="H10320" i="16"/>
  <c r="H10321" i="16"/>
  <c r="H10322" i="16"/>
  <c r="H10323" i="16"/>
  <c r="H10324" i="16"/>
  <c r="H10325" i="16"/>
  <c r="H10326" i="16"/>
  <c r="H10327" i="16"/>
  <c r="H10328" i="16"/>
  <c r="H10329" i="16"/>
  <c r="H10330" i="16"/>
  <c r="H10331" i="16"/>
  <c r="H10332" i="16"/>
  <c r="H10333" i="16"/>
  <c r="H10334" i="16"/>
  <c r="H10335" i="16"/>
  <c r="H10336" i="16"/>
  <c r="H10337" i="16"/>
  <c r="H10338" i="16"/>
  <c r="H10339" i="16"/>
  <c r="H10340" i="16"/>
  <c r="H10341" i="16"/>
  <c r="H10342" i="16"/>
  <c r="H10343" i="16"/>
  <c r="H10344" i="16"/>
  <c r="H10345" i="16"/>
  <c r="H10346" i="16"/>
  <c r="H10347" i="16"/>
  <c r="H10348" i="16"/>
  <c r="H10349" i="16"/>
  <c r="H10350" i="16"/>
  <c r="H10351" i="16"/>
  <c r="H10352" i="16"/>
  <c r="H10353" i="16"/>
  <c r="H10354" i="16"/>
  <c r="H10355" i="16"/>
  <c r="H10356" i="16"/>
  <c r="H10357" i="16"/>
  <c r="H10358" i="16"/>
  <c r="H10359" i="16"/>
  <c r="H10360" i="16"/>
  <c r="H10361" i="16"/>
  <c r="H10362" i="16"/>
  <c r="H10363" i="16"/>
  <c r="H10364" i="16"/>
  <c r="H10365" i="16"/>
  <c r="H10366" i="16"/>
  <c r="H10367" i="16"/>
  <c r="H10368" i="16"/>
  <c r="H10369" i="16"/>
  <c r="H10370" i="16"/>
  <c r="H10371" i="16"/>
  <c r="H10372" i="16"/>
  <c r="H10373" i="16"/>
  <c r="H10374" i="16"/>
  <c r="H10375" i="16"/>
  <c r="H10376" i="16"/>
  <c r="H10377" i="16"/>
  <c r="H10378" i="16"/>
  <c r="H10379" i="16"/>
  <c r="H10380" i="16"/>
  <c r="H10381" i="16"/>
  <c r="H10382" i="16"/>
  <c r="H10383" i="16"/>
  <c r="H10384" i="16"/>
  <c r="H10385" i="16"/>
  <c r="H10386" i="16"/>
  <c r="H10387" i="16"/>
  <c r="H10388" i="16"/>
  <c r="H10389" i="16"/>
  <c r="H10390" i="16"/>
  <c r="H10391" i="16"/>
  <c r="H10392" i="16"/>
  <c r="H10393" i="16"/>
  <c r="H10394" i="16"/>
  <c r="H10395" i="16"/>
  <c r="H10396" i="16"/>
  <c r="H10397" i="16"/>
  <c r="H10398" i="16"/>
  <c r="H10399" i="16"/>
  <c r="H10400" i="16"/>
  <c r="H10401" i="16"/>
  <c r="H10402" i="16"/>
  <c r="H10403" i="16"/>
  <c r="H10404" i="16"/>
  <c r="H10405" i="16"/>
  <c r="H10406" i="16"/>
  <c r="H10407" i="16"/>
  <c r="H10408" i="16"/>
  <c r="H10409" i="16"/>
  <c r="H10410" i="16"/>
  <c r="H10411" i="16"/>
  <c r="H10412" i="16"/>
  <c r="H10413" i="16"/>
  <c r="H10414" i="16"/>
  <c r="H10415" i="16"/>
  <c r="H10416" i="16"/>
  <c r="H10417" i="16"/>
  <c r="H10418" i="16"/>
  <c r="H10419" i="16"/>
  <c r="H10420" i="16"/>
  <c r="H10421" i="16"/>
  <c r="H10422" i="16"/>
  <c r="H10423" i="16"/>
  <c r="H10424" i="16"/>
  <c r="H10425" i="16"/>
  <c r="H10426" i="16"/>
  <c r="H10427" i="16"/>
  <c r="H10428" i="16"/>
  <c r="H10429" i="16"/>
  <c r="H10430" i="16"/>
  <c r="H10431" i="16"/>
  <c r="H10432" i="16"/>
  <c r="H10433" i="16"/>
  <c r="H10434" i="16"/>
  <c r="H10435" i="16"/>
  <c r="H10436" i="16"/>
  <c r="H10437" i="16"/>
  <c r="H10438" i="16"/>
  <c r="H10439" i="16"/>
  <c r="H10440" i="16"/>
  <c r="H10441" i="16"/>
  <c r="H10442" i="16"/>
  <c r="H10443" i="16"/>
  <c r="H10444" i="16"/>
  <c r="H10445" i="16"/>
  <c r="H10446" i="16"/>
  <c r="H10447" i="16"/>
  <c r="H10448" i="16"/>
  <c r="H10449" i="16"/>
  <c r="H10450" i="16"/>
  <c r="H10451" i="16"/>
  <c r="H10452" i="16"/>
  <c r="H10453" i="16"/>
  <c r="H10454" i="16"/>
  <c r="H10455" i="16"/>
  <c r="H10456" i="16"/>
  <c r="H10457" i="16"/>
  <c r="H10458" i="16"/>
  <c r="H10459" i="16"/>
  <c r="H10460" i="16"/>
  <c r="H10461" i="16"/>
  <c r="H10462" i="16"/>
  <c r="H10463" i="16"/>
  <c r="H10464" i="16"/>
  <c r="H10465" i="16"/>
  <c r="H10466" i="16"/>
  <c r="H10467" i="16"/>
  <c r="H10468" i="16"/>
  <c r="H10469" i="16"/>
  <c r="H10470" i="16"/>
  <c r="H10471" i="16"/>
  <c r="H10472" i="16"/>
  <c r="H10473" i="16"/>
  <c r="H10474" i="16"/>
  <c r="H10475" i="16"/>
  <c r="H10476" i="16"/>
  <c r="H10477" i="16"/>
  <c r="H10478" i="16"/>
  <c r="H10479" i="16"/>
  <c r="H10480" i="16"/>
  <c r="H10481" i="16"/>
  <c r="H10482" i="16"/>
  <c r="H10483" i="16"/>
  <c r="H10484" i="16"/>
  <c r="H10485" i="16"/>
  <c r="H10486" i="16"/>
  <c r="H10487" i="16"/>
  <c r="H10488" i="16"/>
  <c r="H10489" i="16"/>
  <c r="H10490" i="16"/>
  <c r="H10491" i="16"/>
  <c r="H10492" i="16"/>
  <c r="H10493" i="16"/>
  <c r="H10494" i="16"/>
  <c r="H10495" i="16"/>
  <c r="H10496" i="16"/>
  <c r="H10497" i="16"/>
  <c r="H10498" i="16"/>
  <c r="H10499" i="16"/>
  <c r="H10500" i="16"/>
  <c r="H10501" i="16"/>
  <c r="H10502" i="16"/>
  <c r="H10503" i="16"/>
  <c r="H10504" i="16"/>
  <c r="H10505" i="16"/>
  <c r="H10506" i="16"/>
  <c r="H10507" i="16"/>
  <c r="H10508" i="16"/>
  <c r="H10509" i="16"/>
  <c r="H10510" i="16"/>
  <c r="H10511" i="16"/>
  <c r="H10512" i="16"/>
  <c r="H10513" i="16"/>
  <c r="H10514" i="16"/>
  <c r="H10515" i="16"/>
  <c r="H10516" i="16"/>
  <c r="H10517" i="16"/>
  <c r="H10518" i="16"/>
  <c r="H10519" i="16"/>
  <c r="H10520" i="16"/>
  <c r="H10521" i="16"/>
  <c r="H10522" i="16"/>
  <c r="H10523" i="16"/>
  <c r="H10524" i="16"/>
  <c r="H10525" i="16"/>
  <c r="H10526" i="16"/>
  <c r="H10527" i="16"/>
  <c r="H10528" i="16"/>
  <c r="H10529" i="16"/>
  <c r="H10530" i="16"/>
  <c r="H10531" i="16"/>
  <c r="H10532" i="16"/>
  <c r="H10533" i="16"/>
  <c r="H10534" i="16"/>
  <c r="H10535" i="16"/>
  <c r="H10536" i="16"/>
  <c r="H10537" i="16"/>
  <c r="H10538" i="16"/>
  <c r="H10539" i="16"/>
  <c r="H10540" i="16"/>
  <c r="H10541" i="16"/>
  <c r="H10542" i="16"/>
  <c r="H10543" i="16"/>
  <c r="H10544" i="16"/>
  <c r="H10545" i="16"/>
  <c r="H10546" i="16"/>
  <c r="H10547" i="16"/>
  <c r="H10548" i="16"/>
  <c r="H10549" i="16"/>
  <c r="H10550" i="16"/>
  <c r="H10551" i="16"/>
  <c r="H10552" i="16"/>
  <c r="H10553" i="16"/>
  <c r="H10554" i="16"/>
  <c r="H10555" i="16"/>
  <c r="H10556" i="16"/>
  <c r="H10557" i="16"/>
  <c r="H10558" i="16"/>
  <c r="H10559" i="16"/>
  <c r="H10560" i="16"/>
  <c r="H10561" i="16"/>
  <c r="H10562" i="16"/>
  <c r="H10563" i="16"/>
  <c r="H10564" i="16"/>
  <c r="H10565" i="16"/>
  <c r="H10566" i="16"/>
  <c r="H10567" i="16"/>
  <c r="H10568" i="16"/>
  <c r="H10569" i="16"/>
  <c r="H10570" i="16"/>
  <c r="H10571" i="16"/>
  <c r="H10572" i="16"/>
  <c r="H10573" i="16"/>
  <c r="H10574" i="16"/>
  <c r="H10575" i="16"/>
  <c r="H10576" i="16"/>
  <c r="H10577" i="16"/>
  <c r="H10578" i="16"/>
  <c r="H10579" i="16"/>
  <c r="H10580" i="16"/>
  <c r="H10581" i="16"/>
  <c r="H10582" i="16"/>
  <c r="H10583" i="16"/>
  <c r="H10584" i="16"/>
  <c r="H10585" i="16"/>
  <c r="H10586" i="16"/>
  <c r="H10587" i="16"/>
  <c r="H10588" i="16"/>
  <c r="H10589" i="16"/>
  <c r="H10590" i="16"/>
  <c r="H10591" i="16"/>
  <c r="H10592" i="16"/>
  <c r="H10593" i="16"/>
  <c r="H10594" i="16"/>
  <c r="H10595" i="16"/>
  <c r="H10596" i="16"/>
  <c r="H10597" i="16"/>
  <c r="H10598" i="16"/>
  <c r="H10599" i="16"/>
  <c r="H10600" i="16"/>
  <c r="H10601" i="16"/>
  <c r="H10602" i="16"/>
  <c r="H10603" i="16"/>
  <c r="H10604" i="16"/>
  <c r="H10605" i="16"/>
  <c r="H10606" i="16"/>
  <c r="H10607" i="16"/>
  <c r="H10608" i="16"/>
  <c r="H10609" i="16"/>
  <c r="H10610" i="16"/>
  <c r="H10611" i="16"/>
  <c r="H10612" i="16"/>
  <c r="H10613" i="16"/>
  <c r="H10614" i="16"/>
  <c r="H10615" i="16"/>
  <c r="H10616" i="16"/>
  <c r="H10617" i="16"/>
  <c r="H10618" i="16"/>
  <c r="H10619" i="16"/>
  <c r="H10620" i="16"/>
  <c r="H10621" i="16"/>
  <c r="H10622" i="16"/>
  <c r="H10623" i="16"/>
  <c r="H10624" i="16"/>
  <c r="H10625" i="16"/>
  <c r="H10626" i="16"/>
  <c r="H10627" i="16"/>
  <c r="H10628" i="16"/>
  <c r="H10629" i="16"/>
  <c r="H10630" i="16"/>
  <c r="H10631" i="16"/>
  <c r="H10632" i="16"/>
  <c r="H10633" i="16"/>
  <c r="H10634" i="16"/>
  <c r="H10635" i="16"/>
  <c r="H10636" i="16"/>
  <c r="H10637" i="16"/>
  <c r="H10638" i="16"/>
  <c r="H10639" i="16"/>
  <c r="H10640" i="16"/>
  <c r="H10641" i="16"/>
  <c r="H10642" i="16"/>
  <c r="H10643" i="16"/>
  <c r="H10644" i="16"/>
  <c r="H10645" i="16"/>
  <c r="H10646" i="16"/>
  <c r="H10647" i="16"/>
  <c r="H10648" i="16"/>
  <c r="H10649" i="16"/>
  <c r="H10650" i="16"/>
  <c r="H10651" i="16"/>
  <c r="H10652" i="16"/>
  <c r="H10653" i="16"/>
  <c r="H10654" i="16"/>
  <c r="H10655" i="16"/>
  <c r="H10656" i="16"/>
  <c r="H10657" i="16"/>
  <c r="H10658" i="16"/>
  <c r="H10659" i="16"/>
  <c r="H10660" i="16"/>
  <c r="H10661" i="16"/>
  <c r="H10662" i="16"/>
  <c r="H10663" i="16"/>
  <c r="H10664" i="16"/>
  <c r="H10665" i="16"/>
  <c r="H10666" i="16"/>
  <c r="H10667" i="16"/>
  <c r="H10668" i="16"/>
  <c r="H10669" i="16"/>
  <c r="H10670" i="16"/>
  <c r="H10671" i="16"/>
  <c r="H10672" i="16"/>
  <c r="H10673" i="16"/>
  <c r="H10674" i="16"/>
  <c r="H10675" i="16"/>
  <c r="H10676" i="16"/>
  <c r="H10677" i="16"/>
  <c r="H10678" i="16"/>
  <c r="H10679" i="16"/>
  <c r="H10680" i="16"/>
  <c r="H10681" i="16"/>
  <c r="H10682" i="16"/>
  <c r="H10683" i="16"/>
  <c r="H10684" i="16"/>
  <c r="H10685" i="16"/>
  <c r="H10686" i="16"/>
  <c r="H10687" i="16"/>
  <c r="H10688" i="16"/>
  <c r="H10689" i="16"/>
  <c r="H10690" i="16"/>
  <c r="H10691" i="16"/>
  <c r="H10692" i="16"/>
  <c r="H10693" i="16"/>
  <c r="H10694" i="16"/>
  <c r="H10695" i="16"/>
  <c r="H10696" i="16"/>
  <c r="H10697" i="16"/>
  <c r="H10698" i="16"/>
  <c r="H10699" i="16"/>
  <c r="H10700" i="16"/>
  <c r="H10701" i="16"/>
  <c r="H10702" i="16"/>
  <c r="H10703" i="16"/>
  <c r="H10704" i="16"/>
  <c r="H10705" i="16"/>
  <c r="H10706" i="16"/>
  <c r="H10707" i="16"/>
  <c r="H10708" i="16"/>
  <c r="H10709" i="16"/>
  <c r="H10710" i="16"/>
  <c r="H10711" i="16"/>
  <c r="H10712" i="16"/>
  <c r="H10713" i="16"/>
  <c r="H10714" i="16"/>
  <c r="H10715" i="16"/>
  <c r="H10716" i="16"/>
  <c r="H10717" i="16"/>
  <c r="H10718" i="16"/>
  <c r="H10719" i="16"/>
  <c r="H10720" i="16"/>
  <c r="H10721" i="16"/>
  <c r="H10722" i="16"/>
  <c r="H10723" i="16"/>
  <c r="H10724" i="16"/>
  <c r="H10725" i="16"/>
  <c r="H10726" i="16"/>
  <c r="H10727" i="16"/>
  <c r="H10728" i="16"/>
  <c r="H10729" i="16"/>
  <c r="H10730" i="16"/>
  <c r="H10731" i="16"/>
  <c r="H10732" i="16"/>
  <c r="H10733" i="16"/>
  <c r="H10734" i="16"/>
  <c r="H10735" i="16"/>
  <c r="H10736" i="16"/>
  <c r="H10737" i="16"/>
  <c r="H10738" i="16"/>
  <c r="H10739" i="16"/>
  <c r="H10740" i="16"/>
  <c r="H10741" i="16"/>
  <c r="H10742" i="16"/>
  <c r="H10743" i="16"/>
  <c r="H10744" i="16"/>
  <c r="H10745" i="16"/>
  <c r="H10746" i="16"/>
  <c r="H10747" i="16"/>
  <c r="H10748" i="16"/>
  <c r="H10749" i="16"/>
  <c r="H10750" i="16"/>
  <c r="H10751" i="16"/>
  <c r="H10752" i="16"/>
  <c r="H10753" i="16"/>
  <c r="H10754" i="16"/>
  <c r="H10755" i="16"/>
  <c r="H10756" i="16"/>
  <c r="H10757" i="16"/>
  <c r="H10758" i="16"/>
  <c r="H10759" i="16"/>
  <c r="H10760" i="16"/>
  <c r="H10761" i="16"/>
  <c r="H10762" i="16"/>
  <c r="H10763" i="16"/>
  <c r="H10764" i="16"/>
  <c r="H10765" i="16"/>
  <c r="H10766" i="16"/>
  <c r="H10767" i="16"/>
  <c r="H10768" i="16"/>
  <c r="H10769" i="16"/>
  <c r="H10770" i="16"/>
  <c r="H10771" i="16"/>
  <c r="H10772" i="16"/>
  <c r="H10773" i="16"/>
  <c r="H10774" i="16"/>
  <c r="H10775" i="16"/>
  <c r="H10776" i="16"/>
  <c r="H10777" i="16"/>
  <c r="H10778" i="16"/>
  <c r="H10779" i="16"/>
  <c r="H10780" i="16"/>
  <c r="H10781" i="16"/>
  <c r="H10782" i="16"/>
  <c r="H10783" i="16"/>
  <c r="H10784" i="16"/>
  <c r="H10785" i="16"/>
  <c r="H10786" i="16"/>
  <c r="H10787" i="16"/>
  <c r="H10788" i="16"/>
  <c r="H10789" i="16"/>
  <c r="H10790" i="16"/>
  <c r="H10791" i="16"/>
  <c r="H10792" i="16"/>
  <c r="H10793" i="16"/>
  <c r="H10794" i="16"/>
  <c r="H10795" i="16"/>
  <c r="H10796" i="16"/>
  <c r="H10797" i="16"/>
  <c r="H10798" i="16"/>
  <c r="H10799" i="16"/>
  <c r="H10800" i="16"/>
  <c r="H10801" i="16"/>
  <c r="H10802" i="16"/>
  <c r="H10803" i="16"/>
  <c r="H10804" i="16"/>
  <c r="H10805" i="16"/>
  <c r="H10806" i="16"/>
  <c r="H10807" i="16"/>
  <c r="H10808" i="16"/>
  <c r="H10809" i="16"/>
  <c r="H10810" i="16"/>
  <c r="H10811" i="16"/>
  <c r="H10812" i="16"/>
  <c r="H10813" i="16"/>
  <c r="H10814" i="16"/>
  <c r="H10815" i="16"/>
  <c r="H10816" i="16"/>
  <c r="H10817" i="16"/>
  <c r="H10818" i="16"/>
  <c r="H10819" i="16"/>
  <c r="H10820" i="16"/>
  <c r="H10821" i="16"/>
  <c r="H10822" i="16"/>
  <c r="H10823" i="16"/>
  <c r="H10824" i="16"/>
  <c r="H10825" i="16"/>
  <c r="H10826" i="16"/>
  <c r="H10827" i="16"/>
  <c r="H10828" i="16"/>
  <c r="H10829" i="16"/>
  <c r="H10830" i="16"/>
  <c r="H10831" i="16"/>
  <c r="H10832" i="16"/>
  <c r="H10833" i="16"/>
  <c r="H10834" i="16"/>
  <c r="H10835" i="16"/>
  <c r="H10836" i="16"/>
  <c r="H10837" i="16"/>
  <c r="H10838" i="16"/>
  <c r="H10839" i="16"/>
  <c r="H10840" i="16"/>
  <c r="H10841" i="16"/>
  <c r="H10842" i="16"/>
  <c r="H10843" i="16"/>
  <c r="H10844" i="16"/>
  <c r="H10845" i="16"/>
  <c r="H10846" i="16"/>
  <c r="H10847" i="16"/>
  <c r="H10848" i="16"/>
  <c r="H10849" i="16"/>
  <c r="H10850" i="16"/>
  <c r="H10851" i="16"/>
  <c r="H10852" i="16"/>
  <c r="H10853" i="16"/>
  <c r="H10854" i="16"/>
  <c r="H10855" i="16"/>
  <c r="H10856" i="16"/>
  <c r="H10857" i="16"/>
  <c r="H10858" i="16"/>
  <c r="H10859" i="16"/>
  <c r="H10860" i="16"/>
  <c r="H10861" i="16"/>
  <c r="H10862" i="16"/>
  <c r="H10863" i="16"/>
  <c r="H10864" i="16"/>
  <c r="H10865" i="16"/>
  <c r="H10866" i="16"/>
  <c r="H10867" i="16"/>
  <c r="H10868" i="16"/>
  <c r="H10869" i="16"/>
  <c r="H10870" i="16"/>
  <c r="H10871" i="16"/>
  <c r="H10872" i="16"/>
  <c r="H10873" i="16"/>
  <c r="H10874" i="16"/>
  <c r="H10875" i="16"/>
  <c r="H10876" i="16"/>
  <c r="H10877" i="16"/>
  <c r="H10878" i="16"/>
  <c r="H10879" i="16"/>
  <c r="H10880" i="16"/>
  <c r="H10881" i="16"/>
  <c r="H10882" i="16"/>
  <c r="H10883" i="16"/>
  <c r="H10884" i="16"/>
  <c r="H10885" i="16"/>
  <c r="H10886" i="16"/>
  <c r="H10887" i="16"/>
  <c r="H10888" i="16"/>
  <c r="H10889" i="16"/>
  <c r="H10890" i="16"/>
  <c r="H10891" i="16"/>
  <c r="H10892" i="16"/>
  <c r="H10893" i="16"/>
  <c r="H10894" i="16"/>
  <c r="H10895" i="16"/>
  <c r="H10896" i="16"/>
  <c r="H10897" i="16"/>
  <c r="H10898" i="16"/>
  <c r="H10899" i="16"/>
  <c r="H10900" i="16"/>
  <c r="H10901" i="16"/>
  <c r="H10902" i="16"/>
  <c r="H10903" i="16"/>
  <c r="H10904" i="16"/>
  <c r="H10905" i="16"/>
  <c r="H10906" i="16"/>
  <c r="H10907" i="16"/>
  <c r="H10908" i="16"/>
  <c r="H10909" i="16"/>
  <c r="H10910" i="16"/>
  <c r="H10911" i="16"/>
  <c r="H10912" i="16"/>
  <c r="H10913" i="16"/>
  <c r="H10914" i="16"/>
  <c r="H10915" i="16"/>
  <c r="H10916" i="16"/>
  <c r="H10917" i="16"/>
  <c r="H10918" i="16"/>
  <c r="H10919" i="16"/>
  <c r="H10920" i="16"/>
  <c r="H10921" i="16"/>
  <c r="H10922" i="16"/>
  <c r="H10923" i="16"/>
  <c r="H10924" i="16"/>
  <c r="H10925" i="16"/>
  <c r="H10926" i="16"/>
  <c r="H10927" i="16"/>
  <c r="H10928" i="16"/>
  <c r="H10929" i="16"/>
  <c r="H10930" i="16"/>
  <c r="H10931" i="16"/>
  <c r="H10932" i="16"/>
  <c r="H10933" i="16"/>
  <c r="H10934" i="16"/>
  <c r="H10935" i="16"/>
  <c r="H10936" i="16"/>
  <c r="H10937" i="16"/>
  <c r="H10938" i="16"/>
  <c r="H10939" i="16"/>
  <c r="H10940" i="16"/>
  <c r="H10941" i="16"/>
  <c r="H10942" i="16"/>
  <c r="H10943" i="16"/>
  <c r="H10944" i="16"/>
  <c r="H10945" i="16"/>
  <c r="H10946" i="16"/>
  <c r="H10947" i="16"/>
  <c r="H10948" i="16"/>
  <c r="H10949" i="16"/>
  <c r="H10950" i="16"/>
  <c r="H10951" i="16"/>
  <c r="H10952" i="16"/>
  <c r="H10953" i="16"/>
  <c r="H10954" i="16"/>
  <c r="H10955" i="16"/>
  <c r="H10956" i="16"/>
  <c r="H10957" i="16"/>
  <c r="H10958" i="16"/>
  <c r="H10959" i="16"/>
  <c r="H10960" i="16"/>
  <c r="H10961" i="16"/>
  <c r="H10962" i="16"/>
  <c r="H10963" i="16"/>
  <c r="H10964" i="16"/>
  <c r="H10965" i="16"/>
  <c r="H10966" i="16"/>
  <c r="H10967" i="16"/>
  <c r="H10968" i="16"/>
  <c r="H10969" i="16"/>
  <c r="H10970" i="16"/>
  <c r="H10971" i="16"/>
  <c r="H10972" i="16"/>
  <c r="H10973" i="16"/>
  <c r="H10974" i="16"/>
  <c r="H10975" i="16"/>
  <c r="H10976" i="16"/>
  <c r="H10977" i="16"/>
  <c r="H10978" i="16"/>
  <c r="H10979" i="16"/>
  <c r="H10980" i="16"/>
  <c r="H10981" i="16"/>
  <c r="H10982" i="16"/>
  <c r="H10983" i="16"/>
  <c r="H10984" i="16"/>
  <c r="H10985" i="16"/>
  <c r="H10986" i="16"/>
  <c r="H10987" i="16"/>
  <c r="H10988" i="16"/>
  <c r="H10989" i="16"/>
  <c r="H10990" i="16"/>
  <c r="H10991" i="16"/>
  <c r="H10992" i="16"/>
  <c r="H10993" i="16"/>
  <c r="H10994" i="16"/>
  <c r="H10995" i="16"/>
  <c r="H10996" i="16"/>
  <c r="H10997" i="16"/>
  <c r="H10998" i="16"/>
  <c r="H10999" i="16"/>
  <c r="H11000" i="16"/>
  <c r="H11001" i="16"/>
  <c r="H11002" i="16"/>
  <c r="H11003" i="16"/>
  <c r="H11004" i="16"/>
  <c r="H11005" i="16"/>
  <c r="H11006" i="16"/>
  <c r="H11007" i="16"/>
  <c r="H11008" i="16"/>
  <c r="H11009" i="16"/>
  <c r="H11010" i="16"/>
  <c r="H11011" i="16"/>
  <c r="H11012" i="16"/>
  <c r="H11013" i="16"/>
  <c r="H11014" i="16"/>
  <c r="H11015" i="16"/>
  <c r="H11016" i="16"/>
  <c r="H11017" i="16"/>
  <c r="H11018" i="16"/>
  <c r="H11019" i="16"/>
  <c r="H11020" i="16"/>
  <c r="H11021" i="16"/>
  <c r="H11022" i="16"/>
  <c r="H11023" i="16"/>
  <c r="H11024" i="16"/>
  <c r="H11025" i="16"/>
  <c r="H11026" i="16"/>
  <c r="H11027" i="16"/>
  <c r="H11028" i="16"/>
  <c r="H11029" i="16"/>
  <c r="H11030" i="16"/>
  <c r="H11031" i="16"/>
  <c r="H11032" i="16"/>
  <c r="H11033" i="16"/>
  <c r="H11034" i="16"/>
  <c r="H11035" i="16"/>
  <c r="H11036" i="16"/>
  <c r="H11037" i="16"/>
  <c r="H11038" i="16"/>
  <c r="H11039" i="16"/>
  <c r="H11040" i="16"/>
  <c r="H11041" i="16"/>
  <c r="H11042" i="16"/>
  <c r="H11043" i="16"/>
  <c r="H11044" i="16"/>
  <c r="H11045" i="16"/>
  <c r="H11046" i="16"/>
  <c r="H11047" i="16"/>
  <c r="H11048" i="16"/>
  <c r="H11049" i="16"/>
  <c r="H11050" i="16"/>
  <c r="H11051" i="16"/>
  <c r="H11052" i="16"/>
  <c r="H11053" i="16"/>
  <c r="H11054" i="16"/>
  <c r="H11055" i="16"/>
  <c r="H11056" i="16"/>
  <c r="H11057" i="16"/>
  <c r="H11058" i="16"/>
  <c r="H11059" i="16"/>
  <c r="H11060" i="16"/>
  <c r="H11061" i="16"/>
  <c r="H11062" i="16"/>
  <c r="H11063" i="16"/>
  <c r="H11064" i="16"/>
  <c r="H11065" i="16"/>
  <c r="H11066" i="16"/>
  <c r="H11067" i="16"/>
  <c r="H11068" i="16"/>
  <c r="H11069" i="16"/>
  <c r="H11070" i="16"/>
  <c r="H11071" i="16"/>
  <c r="H11072" i="16"/>
  <c r="H11073" i="16"/>
  <c r="H11074" i="16"/>
  <c r="H11075" i="16"/>
  <c r="H11076" i="16"/>
  <c r="H11077" i="16"/>
  <c r="H11078" i="16"/>
  <c r="H11079" i="16"/>
  <c r="H11080" i="16"/>
  <c r="H11081" i="16"/>
  <c r="H11082" i="16"/>
  <c r="H11083" i="16"/>
  <c r="H11084" i="16"/>
  <c r="H11085" i="16"/>
  <c r="H11086" i="16"/>
  <c r="H11087" i="16"/>
  <c r="H11088" i="16"/>
  <c r="H11089" i="16"/>
  <c r="H11090" i="16"/>
  <c r="H11091" i="16"/>
  <c r="H11092" i="16"/>
  <c r="H11093" i="16"/>
  <c r="H11094" i="16"/>
  <c r="H11095" i="16"/>
  <c r="H11096" i="16"/>
  <c r="H11097" i="16"/>
  <c r="H11098" i="16"/>
  <c r="H11099" i="16"/>
  <c r="H11100" i="16"/>
  <c r="H11101" i="16"/>
  <c r="H11102" i="16"/>
  <c r="H11103" i="16"/>
  <c r="H11104" i="16"/>
  <c r="H11105" i="16"/>
  <c r="H11106" i="16"/>
  <c r="H11107" i="16"/>
  <c r="H11108" i="16"/>
  <c r="H11109" i="16"/>
  <c r="H11110" i="16"/>
  <c r="H11111" i="16"/>
  <c r="H11112" i="16"/>
  <c r="H11113" i="16"/>
  <c r="H11114" i="16"/>
  <c r="H11115" i="16"/>
  <c r="H11116" i="16"/>
  <c r="H11117" i="16"/>
  <c r="H11118" i="16"/>
  <c r="H11119" i="16"/>
  <c r="H11120" i="16"/>
  <c r="H11121" i="16"/>
  <c r="H11122" i="16"/>
  <c r="H11123" i="16"/>
  <c r="H11124" i="16"/>
  <c r="H11125" i="16"/>
  <c r="H11126" i="16"/>
  <c r="H11127" i="16"/>
  <c r="H11128" i="16"/>
  <c r="H11129" i="16"/>
  <c r="H11130" i="16"/>
  <c r="H11131" i="16"/>
  <c r="H11132" i="16"/>
  <c r="H11133" i="16"/>
  <c r="H11134" i="16"/>
  <c r="H11135" i="16"/>
  <c r="H11136" i="16"/>
  <c r="H11137" i="16"/>
  <c r="H11138" i="16"/>
  <c r="H11139" i="16"/>
  <c r="H11140" i="16"/>
  <c r="H11141" i="16"/>
  <c r="H11142" i="16"/>
  <c r="H11143" i="16"/>
  <c r="H11144" i="16"/>
  <c r="H11145" i="16"/>
  <c r="H11146" i="16"/>
  <c r="H11147" i="16"/>
  <c r="H11148" i="16"/>
  <c r="H11149" i="16"/>
  <c r="H11150" i="16"/>
  <c r="H11151" i="16"/>
  <c r="H11152" i="16"/>
  <c r="H11153" i="16"/>
  <c r="H11154" i="16"/>
  <c r="H11155" i="16"/>
  <c r="H11156" i="16"/>
  <c r="H11157" i="16"/>
  <c r="H11158" i="16"/>
  <c r="H11159" i="16"/>
  <c r="H11160" i="16"/>
  <c r="H11161" i="16"/>
  <c r="H11162" i="16"/>
  <c r="H11163" i="16"/>
  <c r="H11164" i="16"/>
  <c r="H11165" i="16"/>
  <c r="H11166" i="16"/>
  <c r="H11167" i="16"/>
  <c r="H11168" i="16"/>
  <c r="H11169" i="16"/>
  <c r="H11170" i="16"/>
  <c r="H11171" i="16"/>
  <c r="H11172" i="16"/>
  <c r="H11173" i="16"/>
  <c r="H11174" i="16"/>
  <c r="H11175" i="16"/>
  <c r="H11176" i="16"/>
  <c r="H11177" i="16"/>
  <c r="H11178" i="16"/>
  <c r="H11179" i="16"/>
  <c r="H11180" i="16"/>
  <c r="H11181" i="16"/>
  <c r="H11182" i="16"/>
  <c r="H11183" i="16"/>
  <c r="H11184" i="16"/>
  <c r="H11185" i="16"/>
  <c r="H11186" i="16"/>
  <c r="H11187" i="16"/>
  <c r="H11188" i="16"/>
  <c r="H11189" i="16"/>
  <c r="H11190" i="16"/>
  <c r="H11191" i="16"/>
  <c r="H11192" i="16"/>
  <c r="H11193" i="16"/>
  <c r="H11194" i="16"/>
  <c r="H11195" i="16"/>
  <c r="H11196" i="16"/>
  <c r="H11197" i="16"/>
  <c r="H11198" i="16"/>
  <c r="H11199" i="16"/>
  <c r="H11200" i="16"/>
  <c r="H11201" i="16"/>
  <c r="H11202" i="16"/>
  <c r="H11203" i="16"/>
  <c r="H11204" i="16"/>
  <c r="H11205" i="16"/>
  <c r="H11206" i="16"/>
  <c r="H11207" i="16"/>
  <c r="H11208" i="16"/>
  <c r="H11209" i="16"/>
  <c r="H11210" i="16"/>
  <c r="H11211" i="16"/>
  <c r="H11212" i="16"/>
  <c r="H11213" i="16"/>
  <c r="H11214" i="16"/>
  <c r="H11215" i="16"/>
  <c r="H11216" i="16"/>
  <c r="H11217" i="16"/>
  <c r="H11218" i="16"/>
  <c r="H11219" i="16"/>
  <c r="H11220" i="16"/>
  <c r="H11221" i="16"/>
  <c r="H11222" i="16"/>
  <c r="H11223" i="16"/>
  <c r="H11224" i="16"/>
  <c r="H11225" i="16"/>
  <c r="H11226" i="16"/>
  <c r="H11227" i="16"/>
  <c r="H11228" i="16"/>
  <c r="H11229" i="16"/>
  <c r="H11230" i="16"/>
  <c r="H11231" i="16"/>
  <c r="H11232" i="16"/>
  <c r="H11233" i="16"/>
  <c r="H11234" i="16"/>
  <c r="H11235" i="16"/>
  <c r="H11236" i="16"/>
  <c r="H11237" i="16"/>
  <c r="H11238" i="16"/>
  <c r="H11239" i="16"/>
  <c r="H11240" i="16"/>
  <c r="H11241" i="16"/>
  <c r="H11242" i="16"/>
  <c r="H11243" i="16"/>
  <c r="H11244" i="16"/>
  <c r="H11245" i="16"/>
  <c r="H11246" i="16"/>
  <c r="H11247" i="16"/>
  <c r="H11248" i="16"/>
  <c r="H11249" i="16"/>
  <c r="H11250" i="16"/>
  <c r="H11251" i="16"/>
  <c r="H11252" i="16"/>
  <c r="H11253" i="16"/>
  <c r="H11254" i="16"/>
  <c r="H11255" i="16"/>
  <c r="H11256" i="16"/>
  <c r="H11257" i="16"/>
  <c r="H11258" i="16"/>
  <c r="H11259" i="16"/>
  <c r="H11260" i="16"/>
  <c r="H11261" i="16"/>
  <c r="H11262" i="16"/>
  <c r="H11263" i="16"/>
  <c r="H11264" i="16"/>
  <c r="H11265" i="16"/>
  <c r="H11266" i="16"/>
  <c r="H11267" i="16"/>
  <c r="H11268" i="16"/>
  <c r="H11269" i="16"/>
  <c r="H11270" i="16"/>
  <c r="H11271" i="16"/>
  <c r="H11272" i="16"/>
  <c r="H11273" i="16"/>
  <c r="H11274" i="16"/>
  <c r="H11275" i="16"/>
  <c r="H11276" i="16"/>
  <c r="H11277" i="16"/>
  <c r="H11278" i="16"/>
  <c r="H11279" i="16"/>
  <c r="H11280" i="16"/>
  <c r="H11281" i="16"/>
  <c r="H11282" i="16"/>
  <c r="H11283" i="16"/>
  <c r="H11284" i="16"/>
  <c r="H11285" i="16"/>
  <c r="H11286" i="16"/>
  <c r="H11287" i="16"/>
  <c r="H11288" i="16"/>
  <c r="H11289" i="16"/>
  <c r="H11290" i="16"/>
  <c r="H11291" i="16"/>
  <c r="H11292" i="16"/>
  <c r="H11293" i="16"/>
  <c r="H11294" i="16"/>
  <c r="H11295" i="16"/>
  <c r="H11296" i="16"/>
  <c r="H11297" i="16"/>
  <c r="H11298" i="16"/>
  <c r="H11299" i="16"/>
  <c r="H11300" i="16"/>
  <c r="H11301" i="16"/>
  <c r="H11302" i="16"/>
  <c r="H11303" i="16"/>
  <c r="H11304" i="16"/>
  <c r="H11305" i="16"/>
  <c r="H11306" i="16"/>
  <c r="H11307" i="16"/>
  <c r="H11308" i="16"/>
  <c r="H11309" i="16"/>
  <c r="H11310" i="16"/>
  <c r="H11311" i="16"/>
  <c r="H11312" i="16"/>
  <c r="H11313" i="16"/>
  <c r="H11314" i="16"/>
  <c r="H11315" i="16"/>
  <c r="H11316" i="16"/>
  <c r="H11317" i="16"/>
  <c r="H11318" i="16"/>
  <c r="H11319" i="16"/>
  <c r="H11320" i="16"/>
  <c r="H11321" i="16"/>
  <c r="H11322" i="16"/>
  <c r="H11323" i="16"/>
  <c r="H11324" i="16"/>
  <c r="H11325" i="16"/>
  <c r="H11326" i="16"/>
  <c r="H11327" i="16"/>
  <c r="H11328" i="16"/>
  <c r="H11329" i="16"/>
  <c r="H11330" i="16"/>
  <c r="H11331" i="16"/>
  <c r="H11332" i="16"/>
  <c r="H11333" i="16"/>
  <c r="H11334" i="16"/>
  <c r="H11335" i="16"/>
  <c r="H11336" i="16"/>
  <c r="H11337" i="16"/>
  <c r="H11338" i="16"/>
  <c r="H11339" i="16"/>
  <c r="H11340" i="16"/>
  <c r="H11341" i="16"/>
  <c r="H11342" i="16"/>
  <c r="H11343" i="16"/>
  <c r="H11344" i="16"/>
  <c r="H11345" i="16"/>
  <c r="H11346" i="16"/>
  <c r="H11347" i="16"/>
  <c r="H11348" i="16"/>
  <c r="H11349" i="16"/>
  <c r="H11350" i="16"/>
  <c r="H11351" i="16"/>
  <c r="H11352" i="16"/>
  <c r="H11353" i="16"/>
  <c r="H11354" i="16"/>
  <c r="H11355" i="16"/>
  <c r="H11356" i="16"/>
  <c r="H11357" i="16"/>
  <c r="H11358" i="16"/>
  <c r="H11359" i="16"/>
  <c r="H11360" i="16"/>
  <c r="H11361" i="16"/>
  <c r="H11362" i="16"/>
  <c r="H11363" i="16"/>
  <c r="H11364" i="16"/>
  <c r="H11365" i="16"/>
  <c r="H11366" i="16"/>
  <c r="H11367" i="16"/>
  <c r="H11368" i="16"/>
  <c r="H11369" i="16"/>
  <c r="H11370" i="16"/>
  <c r="H11371" i="16"/>
  <c r="H11372" i="16"/>
  <c r="H11373" i="16"/>
  <c r="H11374" i="16"/>
  <c r="H11375" i="16"/>
  <c r="H11376" i="16"/>
  <c r="H11377" i="16"/>
  <c r="H11378" i="16"/>
  <c r="H11379" i="16"/>
  <c r="H11380" i="16"/>
  <c r="H11381" i="16"/>
  <c r="H11382" i="16"/>
  <c r="H11383" i="16"/>
  <c r="H11384" i="16"/>
  <c r="H11385" i="16"/>
  <c r="H11386" i="16"/>
  <c r="H11387" i="16"/>
  <c r="H11388" i="16"/>
  <c r="H11389" i="16"/>
  <c r="H11390" i="16"/>
  <c r="H11391" i="16"/>
  <c r="H11392" i="16"/>
  <c r="H11393" i="16"/>
  <c r="H11394" i="16"/>
  <c r="H11395" i="16"/>
  <c r="H11396" i="16"/>
  <c r="H11397" i="16"/>
  <c r="H11398" i="16"/>
  <c r="H11399" i="16"/>
  <c r="H11400" i="16"/>
  <c r="H11401" i="16"/>
  <c r="H11402" i="16"/>
  <c r="H11403" i="16"/>
  <c r="H11404" i="16"/>
  <c r="H11405" i="16"/>
  <c r="H11406" i="16"/>
  <c r="H11407" i="16"/>
  <c r="H11408" i="16"/>
  <c r="H11409" i="16"/>
  <c r="H11410" i="16"/>
  <c r="H11411" i="16"/>
  <c r="H11412" i="16"/>
  <c r="H11413" i="16"/>
  <c r="H11414" i="16"/>
  <c r="H11415" i="16"/>
  <c r="H11416" i="16"/>
  <c r="H11417" i="16"/>
  <c r="H11418" i="16"/>
  <c r="H11419" i="16"/>
  <c r="H11420" i="16"/>
  <c r="H11421" i="16"/>
  <c r="H11422" i="16"/>
  <c r="H11423" i="16"/>
  <c r="H11424" i="16"/>
  <c r="H11425" i="16"/>
  <c r="H11426" i="16"/>
  <c r="H11427" i="16"/>
  <c r="H11428" i="16"/>
  <c r="H11429" i="16"/>
  <c r="H11430" i="16"/>
  <c r="H11431" i="16"/>
  <c r="H11432" i="16"/>
  <c r="H11433" i="16"/>
  <c r="H11434" i="16"/>
  <c r="H11435" i="16"/>
  <c r="H11436" i="16"/>
  <c r="H11437" i="16"/>
  <c r="H11438" i="16"/>
  <c r="H11439" i="16"/>
  <c r="H11440" i="16"/>
  <c r="H11441" i="16"/>
  <c r="H11442" i="16"/>
  <c r="H11443" i="16"/>
  <c r="H11444" i="16"/>
  <c r="H11445" i="16"/>
  <c r="H11446" i="16"/>
  <c r="H11447" i="16"/>
  <c r="H11448" i="16"/>
  <c r="H11449" i="16"/>
  <c r="H11450" i="16"/>
  <c r="H11451" i="16"/>
  <c r="H11452" i="16"/>
  <c r="H11453" i="16"/>
  <c r="H11454" i="16"/>
  <c r="H11455" i="16"/>
  <c r="H11456" i="16"/>
  <c r="H11457" i="16"/>
  <c r="H11458" i="16"/>
  <c r="H11459" i="16"/>
  <c r="H11460" i="16"/>
  <c r="H11461" i="16"/>
  <c r="H11462" i="16"/>
  <c r="H11463" i="16"/>
  <c r="H11464" i="16"/>
  <c r="H11465" i="16"/>
  <c r="H11466" i="16"/>
  <c r="H11467" i="16"/>
  <c r="H11468" i="16"/>
  <c r="H11469" i="16"/>
  <c r="H11470" i="16"/>
  <c r="H11471" i="16"/>
  <c r="H11472" i="16"/>
  <c r="H11473" i="16"/>
  <c r="H11474" i="16"/>
  <c r="H11475" i="16"/>
  <c r="H11476" i="16"/>
  <c r="H11477" i="16"/>
  <c r="H11478" i="16"/>
  <c r="H11479" i="16"/>
  <c r="H11480" i="16"/>
  <c r="H11481" i="16"/>
  <c r="H11482" i="16"/>
  <c r="H11483" i="16"/>
  <c r="H11484" i="16"/>
  <c r="H11485" i="16"/>
  <c r="H11486" i="16"/>
  <c r="H11487" i="16"/>
  <c r="H11488" i="16"/>
  <c r="H11489" i="16"/>
  <c r="H11490" i="16"/>
  <c r="H11491" i="16"/>
  <c r="H11492" i="16"/>
  <c r="H11493" i="16"/>
  <c r="H11494" i="16"/>
  <c r="H11495" i="16"/>
  <c r="H11496" i="16"/>
  <c r="H11497" i="16"/>
  <c r="H11498" i="16"/>
  <c r="H11499" i="16"/>
  <c r="H11500" i="16"/>
  <c r="H11501" i="16"/>
  <c r="H11502" i="16"/>
  <c r="H11503" i="16"/>
  <c r="H11504" i="16"/>
  <c r="H11505" i="16"/>
  <c r="H11506" i="16"/>
  <c r="H11507" i="16"/>
  <c r="H11508" i="16"/>
  <c r="H11509" i="16"/>
  <c r="H11510" i="16"/>
  <c r="H11511" i="16"/>
  <c r="H11512" i="16"/>
  <c r="H11513" i="16"/>
  <c r="H11514" i="16"/>
  <c r="H11515" i="16"/>
  <c r="H11516" i="16"/>
  <c r="H11517" i="16"/>
  <c r="H11518" i="16"/>
  <c r="H11519" i="16"/>
  <c r="H11520" i="16"/>
  <c r="H11521" i="16"/>
  <c r="H11522" i="16"/>
  <c r="H11523" i="16"/>
  <c r="H11524" i="16"/>
  <c r="H11525" i="16"/>
  <c r="H11526" i="16"/>
  <c r="H11527" i="16"/>
  <c r="H11528" i="16"/>
  <c r="H11529" i="16"/>
  <c r="H11530" i="16"/>
  <c r="H11531" i="16"/>
  <c r="H11532" i="16"/>
  <c r="H11533" i="16"/>
  <c r="H11534" i="16"/>
  <c r="H11535" i="16"/>
  <c r="H11536" i="16"/>
  <c r="H11537" i="16"/>
  <c r="H11538" i="16"/>
  <c r="H11539" i="16"/>
  <c r="H11540" i="16"/>
  <c r="H11541" i="16"/>
  <c r="H11542" i="16"/>
  <c r="H11543" i="16"/>
  <c r="H11544" i="16"/>
  <c r="H11545" i="16"/>
  <c r="H11546" i="16"/>
  <c r="H11547" i="16"/>
  <c r="H11548" i="16"/>
  <c r="H11549" i="16"/>
  <c r="H11550" i="16"/>
  <c r="H11551" i="16"/>
  <c r="H11552" i="16"/>
  <c r="H11553" i="16"/>
  <c r="H11554" i="16"/>
  <c r="H11555" i="16"/>
  <c r="H11556" i="16"/>
  <c r="H11557" i="16"/>
  <c r="H11558" i="16"/>
  <c r="H11559" i="16"/>
  <c r="H11560" i="16"/>
  <c r="H11561" i="16"/>
  <c r="H11562" i="16"/>
  <c r="H11563" i="16"/>
  <c r="H11564" i="16"/>
  <c r="H11565" i="16"/>
  <c r="H11566" i="16"/>
  <c r="H11567" i="16"/>
  <c r="H11568" i="16"/>
  <c r="H11569" i="16"/>
  <c r="H11570" i="16"/>
  <c r="H11571" i="16"/>
  <c r="H11572" i="16"/>
  <c r="H11573" i="16"/>
  <c r="H11574" i="16"/>
  <c r="H11575" i="16"/>
  <c r="H11576" i="16"/>
  <c r="H11577" i="16"/>
  <c r="H11578" i="16"/>
  <c r="H11579" i="16"/>
  <c r="H11580" i="16"/>
  <c r="H11581" i="16"/>
  <c r="H11582" i="16"/>
  <c r="H11583" i="16"/>
  <c r="H11584" i="16"/>
  <c r="H11585" i="16"/>
  <c r="H11586" i="16"/>
  <c r="H11587" i="16"/>
  <c r="H11588" i="16"/>
  <c r="H11589" i="16"/>
  <c r="H11590" i="16"/>
  <c r="H11591" i="16"/>
  <c r="H11592" i="16"/>
  <c r="H11593" i="16"/>
  <c r="H11594" i="16"/>
  <c r="H11595" i="16"/>
  <c r="H11596" i="16"/>
  <c r="H11597" i="16"/>
  <c r="H11598" i="16"/>
  <c r="H11599" i="16"/>
  <c r="H11600" i="16"/>
  <c r="H11601" i="16"/>
  <c r="H11602" i="16"/>
  <c r="H11603" i="16"/>
  <c r="H11604" i="16"/>
  <c r="H11605" i="16"/>
  <c r="H11606" i="16"/>
  <c r="H11607" i="16"/>
  <c r="H11608" i="16"/>
  <c r="H11609" i="16"/>
  <c r="H11610" i="16"/>
  <c r="H11611" i="16"/>
  <c r="H11612" i="16"/>
  <c r="H11613" i="16"/>
  <c r="H11614" i="16"/>
  <c r="H11615" i="16"/>
  <c r="H11616" i="16"/>
  <c r="H11617" i="16"/>
  <c r="H11618" i="16"/>
  <c r="H11619" i="16"/>
  <c r="H11620" i="16"/>
  <c r="H11621" i="16"/>
  <c r="H11622" i="16"/>
  <c r="H11623" i="16"/>
  <c r="H11624" i="16"/>
  <c r="H11625" i="16"/>
  <c r="H11626" i="16"/>
  <c r="H11627" i="16"/>
  <c r="H11628" i="16"/>
  <c r="H11629" i="16"/>
  <c r="H11630" i="16"/>
  <c r="H11631" i="16"/>
  <c r="H11632" i="16"/>
  <c r="H11633" i="16"/>
  <c r="H11634" i="16"/>
  <c r="H11635" i="16"/>
  <c r="H11636" i="16"/>
  <c r="H11637" i="16"/>
  <c r="H11638" i="16"/>
  <c r="H11639" i="16"/>
  <c r="H11640" i="16"/>
  <c r="H11641" i="16"/>
  <c r="H11642" i="16"/>
  <c r="H11643" i="16"/>
  <c r="H11644" i="16"/>
  <c r="H11645" i="16"/>
  <c r="H11646" i="16"/>
  <c r="H11647" i="16"/>
  <c r="H11648" i="16"/>
  <c r="H11649" i="16"/>
  <c r="H11650" i="16"/>
  <c r="H11651" i="16"/>
  <c r="H11652" i="16"/>
  <c r="H11653" i="16"/>
  <c r="H11654" i="16"/>
  <c r="H11655" i="16"/>
  <c r="H11656" i="16"/>
  <c r="H11657" i="16"/>
  <c r="H11658" i="16"/>
  <c r="H11659" i="16"/>
  <c r="H11660" i="16"/>
  <c r="H11661" i="16"/>
  <c r="H11662" i="16"/>
  <c r="H11663" i="16"/>
  <c r="H11664" i="16"/>
  <c r="H11665" i="16"/>
  <c r="H11666" i="16"/>
  <c r="H11667" i="16"/>
  <c r="H11668" i="16"/>
  <c r="H11669" i="16"/>
  <c r="H11670" i="16"/>
  <c r="H11671" i="16"/>
  <c r="H11672" i="16"/>
  <c r="H11673" i="16"/>
  <c r="H11674" i="16"/>
  <c r="H11675" i="16"/>
  <c r="H11676" i="16"/>
  <c r="H11677" i="16"/>
  <c r="H11678" i="16"/>
  <c r="H11679" i="16"/>
  <c r="H11680" i="16"/>
  <c r="H11681" i="16"/>
  <c r="H11682" i="16"/>
  <c r="H11683" i="16"/>
  <c r="H11684" i="16"/>
  <c r="H11685" i="16"/>
  <c r="H11686" i="16"/>
  <c r="H11687" i="16"/>
  <c r="H11688" i="16"/>
  <c r="H11689" i="16"/>
  <c r="H11690" i="16"/>
  <c r="H11691" i="16"/>
  <c r="H11692" i="16"/>
  <c r="H11693" i="16"/>
  <c r="H11694" i="16"/>
  <c r="H11695" i="16"/>
  <c r="H11696" i="16"/>
  <c r="H11697" i="16"/>
  <c r="H11698" i="16"/>
  <c r="H11699" i="16"/>
  <c r="H11700" i="16"/>
  <c r="H11701" i="16"/>
  <c r="H11702" i="16"/>
  <c r="H11703" i="16"/>
  <c r="H11704" i="16"/>
  <c r="H11705" i="16"/>
  <c r="H11706" i="16"/>
  <c r="H11707" i="16"/>
  <c r="H11708" i="16"/>
  <c r="H11709" i="16"/>
  <c r="H11710" i="16"/>
  <c r="H11711" i="16"/>
  <c r="H11712" i="16"/>
  <c r="H11713" i="16"/>
  <c r="H11714" i="16"/>
  <c r="H11715" i="16"/>
  <c r="H11716" i="16"/>
  <c r="H11717" i="16"/>
  <c r="H11718" i="16"/>
  <c r="H11719" i="16"/>
  <c r="H11720" i="16"/>
  <c r="H11721" i="16"/>
  <c r="H11722" i="16"/>
  <c r="H11723" i="16"/>
  <c r="H11724" i="16"/>
  <c r="H11725" i="16"/>
  <c r="H11726" i="16"/>
  <c r="H11727" i="16"/>
  <c r="H11728" i="16"/>
  <c r="H11729" i="16"/>
  <c r="H11730" i="16"/>
  <c r="H11731" i="16"/>
  <c r="H11732" i="16"/>
  <c r="H11733" i="16"/>
  <c r="H11734" i="16"/>
  <c r="H11735" i="16"/>
  <c r="H11736" i="16"/>
  <c r="H11737" i="16"/>
  <c r="H11738" i="16"/>
  <c r="H11739" i="16"/>
  <c r="H11740" i="16"/>
  <c r="H11741" i="16"/>
  <c r="H11742" i="16"/>
  <c r="H11743" i="16"/>
  <c r="H11744" i="16"/>
  <c r="H11745" i="16"/>
  <c r="H11746" i="16"/>
  <c r="H11747" i="16"/>
  <c r="H11748" i="16"/>
  <c r="H11749" i="16"/>
  <c r="H11750" i="16"/>
  <c r="H11751" i="16"/>
  <c r="H11752" i="16"/>
  <c r="H11753" i="16"/>
  <c r="H11754" i="16"/>
  <c r="H11755" i="16"/>
  <c r="H11756" i="16"/>
  <c r="H11757" i="16"/>
  <c r="H11758" i="16"/>
  <c r="H11759" i="16"/>
  <c r="H11760" i="16"/>
  <c r="H11761" i="16"/>
  <c r="H11762" i="16"/>
  <c r="H11763" i="16"/>
  <c r="H11764" i="16"/>
  <c r="H11765" i="16"/>
  <c r="H11766" i="16"/>
  <c r="H11767" i="16"/>
  <c r="H11768" i="16"/>
  <c r="H11769" i="16"/>
  <c r="H11770" i="16"/>
  <c r="H11771" i="16"/>
  <c r="H11772" i="16"/>
  <c r="H11773" i="16"/>
  <c r="H11774" i="16"/>
  <c r="H11775" i="16"/>
  <c r="H11776" i="16"/>
  <c r="H11777" i="16"/>
  <c r="H11778" i="16"/>
  <c r="H11779" i="16"/>
  <c r="H11780" i="16"/>
  <c r="H11781" i="16"/>
  <c r="H11782" i="16"/>
  <c r="H11783" i="16"/>
  <c r="H11784" i="16"/>
  <c r="H11785" i="16"/>
  <c r="H11786" i="16"/>
  <c r="H11787" i="16"/>
  <c r="H11788" i="16"/>
  <c r="H11789" i="16"/>
  <c r="H11790" i="16"/>
  <c r="H11791" i="16"/>
  <c r="H11792" i="16"/>
  <c r="H11793" i="16"/>
  <c r="H11794" i="16"/>
  <c r="H11795" i="16"/>
  <c r="H11796" i="16"/>
  <c r="H11797" i="16"/>
  <c r="H11798" i="16"/>
  <c r="H11799" i="16"/>
  <c r="H11800" i="16"/>
  <c r="H11801" i="16"/>
  <c r="H11802" i="16"/>
  <c r="H11803" i="16"/>
  <c r="H11804" i="16"/>
  <c r="H11805" i="16"/>
  <c r="H11806" i="16"/>
  <c r="H11807" i="16"/>
  <c r="H11808" i="16"/>
  <c r="H11809" i="16"/>
  <c r="H11810" i="16"/>
  <c r="H11811" i="16"/>
  <c r="H11812" i="16"/>
  <c r="H11813" i="16"/>
  <c r="H11814" i="16"/>
  <c r="H11815" i="16"/>
  <c r="H11816" i="16"/>
  <c r="H11817" i="16"/>
  <c r="H11818" i="16"/>
  <c r="H11819" i="16"/>
  <c r="H11820" i="16"/>
  <c r="H11821" i="16"/>
  <c r="H11822" i="16"/>
  <c r="H11823" i="16"/>
  <c r="H11824" i="16"/>
  <c r="H11825" i="16"/>
  <c r="H11826" i="16"/>
  <c r="H11827" i="16"/>
  <c r="H11828" i="16"/>
  <c r="H11829" i="16"/>
  <c r="H11830" i="16"/>
  <c r="H11831" i="16"/>
  <c r="H11832" i="16"/>
  <c r="H11833" i="16"/>
  <c r="H11834" i="16"/>
  <c r="H11835" i="16"/>
  <c r="H11836" i="16"/>
  <c r="H11837" i="16"/>
  <c r="H11838" i="16"/>
  <c r="H11839" i="16"/>
  <c r="H11840" i="16"/>
  <c r="H11841" i="16"/>
  <c r="H11842" i="16"/>
  <c r="H11843" i="16"/>
  <c r="H11844" i="16"/>
  <c r="H11845" i="16"/>
  <c r="H11846" i="16"/>
  <c r="H11847" i="16"/>
  <c r="H11848" i="16"/>
  <c r="H11849" i="16"/>
  <c r="H11850" i="16"/>
  <c r="H11851" i="16"/>
  <c r="H11852" i="16"/>
  <c r="H11853" i="16"/>
  <c r="H11854" i="16"/>
  <c r="H11855" i="16"/>
  <c r="H11856" i="16"/>
  <c r="H11857" i="16"/>
  <c r="H11858" i="16"/>
  <c r="H11859" i="16"/>
  <c r="H11860" i="16"/>
  <c r="H11861" i="16"/>
  <c r="H11862" i="16"/>
  <c r="H11863" i="16"/>
  <c r="H11864" i="16"/>
  <c r="H11865" i="16"/>
  <c r="H11866" i="16"/>
  <c r="H11867" i="16"/>
  <c r="H11868" i="16"/>
  <c r="H11869" i="16"/>
  <c r="H11870" i="16"/>
  <c r="H11871" i="16"/>
  <c r="H11872" i="16"/>
  <c r="H11873" i="16"/>
  <c r="H11874" i="16"/>
  <c r="H11875" i="16"/>
  <c r="H11876" i="16"/>
  <c r="H11877" i="16"/>
  <c r="H11878" i="16"/>
  <c r="H11879" i="16"/>
  <c r="H11880" i="16"/>
  <c r="H11881" i="16"/>
  <c r="H11882" i="16"/>
  <c r="H11883" i="16"/>
  <c r="H11884" i="16"/>
  <c r="H11885" i="16"/>
  <c r="H11886" i="16"/>
  <c r="H11887" i="16"/>
  <c r="H11888" i="16"/>
  <c r="H11889" i="16"/>
  <c r="H11890" i="16"/>
  <c r="H11891" i="16"/>
  <c r="H11892" i="16"/>
  <c r="H11893" i="16"/>
  <c r="H11894" i="16"/>
  <c r="H11895" i="16"/>
  <c r="H11896" i="16"/>
  <c r="H11897" i="16"/>
  <c r="H11898" i="16"/>
  <c r="H11899" i="16"/>
  <c r="H11900" i="16"/>
  <c r="H11901" i="16"/>
  <c r="H11902" i="16"/>
  <c r="H11903" i="16"/>
  <c r="H11904" i="16"/>
  <c r="H11905" i="16"/>
  <c r="H11906" i="16"/>
  <c r="H11907" i="16"/>
  <c r="H11908" i="16"/>
  <c r="H11909" i="16"/>
  <c r="H11910" i="16"/>
  <c r="H11911" i="16"/>
  <c r="H11912" i="16"/>
  <c r="H11913" i="16"/>
  <c r="H11914" i="16"/>
  <c r="H11915" i="16"/>
  <c r="H11916" i="16"/>
  <c r="H11917" i="16"/>
  <c r="H11918" i="16"/>
  <c r="H11919" i="16"/>
  <c r="H11920" i="16"/>
  <c r="H11921" i="16"/>
  <c r="H11922" i="16"/>
  <c r="H11923" i="16"/>
  <c r="H11924" i="16"/>
  <c r="H11925" i="16"/>
  <c r="H11926" i="16"/>
  <c r="H11927" i="16"/>
  <c r="H11928" i="16"/>
  <c r="H11929" i="16"/>
  <c r="H11930" i="16"/>
  <c r="H11931" i="16"/>
  <c r="H11932" i="16"/>
  <c r="H11933" i="16"/>
  <c r="H11934" i="16"/>
  <c r="H11935" i="16"/>
  <c r="H11936" i="16"/>
  <c r="H11937" i="16"/>
  <c r="H11938" i="16"/>
  <c r="H11939" i="16"/>
  <c r="H11940" i="16"/>
  <c r="H11941" i="16"/>
  <c r="H11942" i="16"/>
  <c r="H11943" i="16"/>
  <c r="H11944" i="16"/>
  <c r="H11945" i="16"/>
  <c r="H11946" i="16"/>
  <c r="H11947" i="16"/>
  <c r="H11948" i="16"/>
  <c r="H11949" i="16"/>
  <c r="H11950" i="16"/>
  <c r="H11951" i="16"/>
  <c r="H11952" i="16"/>
  <c r="H11953" i="16"/>
  <c r="H11954" i="16"/>
  <c r="H11955" i="16"/>
  <c r="H11956" i="16"/>
  <c r="H11957" i="16"/>
  <c r="H11958" i="16"/>
  <c r="H11959" i="16"/>
  <c r="H11960" i="16"/>
  <c r="H11961" i="16"/>
  <c r="H11962" i="16"/>
  <c r="H11963" i="16"/>
  <c r="H11964" i="16"/>
  <c r="H11965" i="16"/>
  <c r="H11966" i="16"/>
  <c r="H11967" i="16"/>
  <c r="H11968" i="16"/>
  <c r="H11969" i="16"/>
  <c r="H11970" i="16"/>
  <c r="H11971" i="16"/>
  <c r="H11972" i="16"/>
  <c r="H11973" i="16"/>
  <c r="H11974" i="16"/>
  <c r="H11975" i="16"/>
  <c r="H11976" i="16"/>
  <c r="H11977" i="16"/>
  <c r="H11978" i="16"/>
  <c r="H11979" i="16"/>
  <c r="H11980" i="16"/>
  <c r="H11981" i="16"/>
  <c r="H11982" i="16"/>
  <c r="H11983" i="16"/>
  <c r="H11984" i="16"/>
  <c r="H11985" i="16"/>
  <c r="H11986" i="16"/>
  <c r="H11987" i="16"/>
  <c r="H11988" i="16"/>
  <c r="H11989" i="16"/>
  <c r="H11990" i="16"/>
  <c r="H11991" i="16"/>
  <c r="H11992" i="16"/>
  <c r="H11993" i="16"/>
  <c r="H11994" i="16"/>
  <c r="H11995" i="16"/>
  <c r="H11996" i="16"/>
  <c r="H11997" i="16"/>
  <c r="H11998" i="16"/>
  <c r="H11999" i="16"/>
  <c r="H12000" i="16"/>
  <c r="H12001" i="16"/>
  <c r="H12002" i="16"/>
  <c r="H12003" i="16"/>
  <c r="H12004" i="16"/>
  <c r="H12005" i="16"/>
  <c r="H12006" i="16"/>
  <c r="H12007" i="16"/>
  <c r="H12008" i="16"/>
  <c r="H12009" i="16"/>
  <c r="H12010" i="16"/>
  <c r="H12011" i="16"/>
  <c r="H12012" i="16"/>
  <c r="H12013" i="16"/>
  <c r="H12014" i="16"/>
  <c r="H12015" i="16"/>
  <c r="H12016" i="16"/>
  <c r="H12017" i="16"/>
  <c r="H12018" i="16"/>
  <c r="H12019" i="16"/>
  <c r="H12020" i="16"/>
  <c r="H12021" i="16"/>
  <c r="H12022" i="16"/>
  <c r="H12023" i="16"/>
  <c r="H12024" i="16"/>
  <c r="H12025" i="16"/>
  <c r="H12026" i="16"/>
  <c r="H12027" i="16"/>
  <c r="H12028" i="16"/>
  <c r="H12029" i="16"/>
  <c r="H12030" i="16"/>
  <c r="H12031" i="16"/>
  <c r="H12032" i="16"/>
  <c r="H12033" i="16"/>
  <c r="H12034" i="16"/>
  <c r="H12035" i="16"/>
  <c r="H12036" i="16"/>
  <c r="H12037" i="16"/>
  <c r="H12038" i="16"/>
  <c r="H12039" i="16"/>
  <c r="H12040" i="16"/>
  <c r="H12041" i="16"/>
  <c r="H12042" i="16"/>
  <c r="H12043" i="16"/>
  <c r="H12044" i="16"/>
  <c r="H12045" i="16"/>
  <c r="H12046" i="16"/>
  <c r="H12047" i="16"/>
  <c r="H12048" i="16"/>
  <c r="H12049" i="16"/>
  <c r="H12050" i="16"/>
  <c r="H12051" i="16"/>
  <c r="H12052" i="16"/>
  <c r="H12053" i="16"/>
  <c r="H12054" i="16"/>
  <c r="H12055" i="16"/>
  <c r="H12056" i="16"/>
  <c r="H12057" i="16"/>
  <c r="H12058" i="16"/>
  <c r="H12059" i="16"/>
  <c r="H12060" i="16"/>
  <c r="H12061" i="16"/>
  <c r="H12062" i="16"/>
  <c r="H12063" i="16"/>
  <c r="H12064" i="16"/>
  <c r="H12065" i="16"/>
  <c r="H12066" i="16"/>
  <c r="H12067" i="16"/>
  <c r="H12068" i="16"/>
  <c r="H12069" i="16"/>
  <c r="H12070" i="16"/>
  <c r="H12071" i="16"/>
  <c r="H12072" i="16"/>
  <c r="H12073" i="16"/>
  <c r="H12074" i="16"/>
  <c r="H12075" i="16"/>
  <c r="H12076" i="16"/>
  <c r="H12077" i="16"/>
  <c r="H12078" i="16"/>
  <c r="H12079" i="16"/>
  <c r="H12080" i="16"/>
  <c r="H12081" i="16"/>
  <c r="H12082" i="16"/>
  <c r="H12083" i="16"/>
  <c r="H12084" i="16"/>
  <c r="H12085" i="16"/>
  <c r="H12086" i="16"/>
  <c r="H12087" i="16"/>
  <c r="H12088" i="16"/>
  <c r="H12089" i="16"/>
  <c r="H12090" i="16"/>
  <c r="H12091" i="16"/>
  <c r="H12092" i="16"/>
  <c r="H12093" i="16"/>
  <c r="H12094" i="16"/>
  <c r="H12095" i="16"/>
  <c r="H12096" i="16"/>
  <c r="H12097" i="16"/>
  <c r="H12098" i="16"/>
  <c r="H12099" i="16"/>
  <c r="H12100" i="16"/>
  <c r="H12101" i="16"/>
  <c r="H12102" i="16"/>
  <c r="H12103" i="16"/>
  <c r="H12104" i="16"/>
  <c r="H12105" i="16"/>
  <c r="H12106" i="16"/>
  <c r="H12107" i="16"/>
  <c r="H12108" i="16"/>
  <c r="H12109" i="16"/>
  <c r="H12110" i="16"/>
  <c r="H12111" i="16"/>
  <c r="H12112" i="16"/>
  <c r="H12113" i="16"/>
  <c r="H12114" i="16"/>
  <c r="H12115" i="16"/>
  <c r="H12116" i="16"/>
  <c r="H12117" i="16"/>
  <c r="H12118" i="16"/>
  <c r="H12119" i="16"/>
  <c r="H12120" i="16"/>
  <c r="H12121" i="16"/>
  <c r="H12122" i="16"/>
  <c r="H12123" i="16"/>
  <c r="H12124" i="16"/>
  <c r="H12125" i="16"/>
  <c r="H12126" i="16"/>
  <c r="H12127" i="16"/>
  <c r="H12128" i="16"/>
  <c r="H12129" i="16"/>
  <c r="H12130" i="16"/>
  <c r="H12131" i="16"/>
  <c r="H12132" i="16"/>
  <c r="H12133" i="16"/>
  <c r="H12134" i="16"/>
  <c r="H12135" i="16"/>
  <c r="H12136" i="16"/>
  <c r="H12137" i="16"/>
  <c r="H12138" i="16"/>
  <c r="H12139" i="16"/>
  <c r="H12140" i="16"/>
  <c r="H12141" i="16"/>
  <c r="H12142" i="16"/>
  <c r="H12143" i="16"/>
  <c r="H12144" i="16"/>
  <c r="H12145" i="16"/>
  <c r="H12146" i="16"/>
  <c r="H12147" i="16"/>
  <c r="H12148" i="16"/>
  <c r="H12149" i="16"/>
  <c r="H12150" i="16"/>
  <c r="H12151" i="16"/>
  <c r="H12152" i="16"/>
  <c r="H12153" i="16"/>
  <c r="H12154" i="16"/>
  <c r="H12155" i="16"/>
  <c r="H12156" i="16"/>
  <c r="H12157" i="16"/>
  <c r="H12158" i="16"/>
  <c r="H12159" i="16"/>
  <c r="H12160" i="16"/>
  <c r="H12161" i="16"/>
  <c r="H12162" i="16"/>
  <c r="H12163" i="16"/>
  <c r="H12164" i="16"/>
  <c r="H12165" i="16"/>
  <c r="H12166" i="16"/>
  <c r="H12167" i="16"/>
  <c r="H12168" i="16"/>
  <c r="H12169" i="16"/>
  <c r="H12170" i="16"/>
  <c r="H12171" i="16"/>
  <c r="H12172" i="16"/>
  <c r="H12173" i="16"/>
  <c r="H12174" i="16"/>
  <c r="H12175" i="16"/>
  <c r="H12176" i="16"/>
  <c r="H12177" i="16"/>
  <c r="H12178" i="16"/>
  <c r="H12179" i="16"/>
  <c r="H12180" i="16"/>
  <c r="H12181" i="16"/>
  <c r="H12182" i="16"/>
  <c r="H12183" i="16"/>
  <c r="H12184" i="16"/>
  <c r="H12185" i="16"/>
  <c r="H12186" i="16"/>
  <c r="H12187" i="16"/>
  <c r="H12188" i="16"/>
  <c r="H12189" i="16"/>
  <c r="H12190" i="16"/>
  <c r="H12191" i="16"/>
  <c r="H12192" i="16"/>
  <c r="H12193" i="16"/>
  <c r="H12194" i="16"/>
  <c r="H12195" i="16"/>
  <c r="H12196" i="16"/>
  <c r="H12197" i="16"/>
  <c r="H12198" i="16"/>
  <c r="H12199" i="16"/>
  <c r="H12200" i="16"/>
  <c r="H12201" i="16"/>
  <c r="H12202" i="16"/>
  <c r="H12203" i="16"/>
  <c r="H12204" i="16"/>
  <c r="H12205" i="16"/>
  <c r="H12206" i="16"/>
  <c r="H12207" i="16"/>
  <c r="H12208" i="16"/>
  <c r="H12209" i="16"/>
  <c r="H12210" i="16"/>
  <c r="H12211" i="16"/>
  <c r="H12212" i="16"/>
  <c r="H12213" i="16"/>
  <c r="H12214" i="16"/>
  <c r="H12215" i="16"/>
  <c r="H12216" i="16"/>
  <c r="H12217" i="16"/>
  <c r="H12218" i="16"/>
  <c r="H12219" i="16"/>
  <c r="H12220" i="16"/>
  <c r="H12221" i="16"/>
  <c r="H12222" i="16"/>
  <c r="H12223" i="16"/>
  <c r="H12224" i="16"/>
  <c r="H12225" i="16"/>
  <c r="H12226" i="16"/>
  <c r="H12227" i="16"/>
  <c r="H12228" i="16"/>
  <c r="H12229" i="16"/>
  <c r="H12230" i="16"/>
  <c r="H12231" i="16"/>
  <c r="H12232" i="16"/>
  <c r="H12233" i="16"/>
  <c r="H12234" i="16"/>
  <c r="H12235" i="16"/>
  <c r="H12236" i="16"/>
  <c r="H12237" i="16"/>
  <c r="H12238" i="16"/>
  <c r="H12239" i="16"/>
  <c r="H12240" i="16"/>
  <c r="H12241" i="16"/>
  <c r="H12242" i="16"/>
  <c r="H12243" i="16"/>
  <c r="H12244" i="16"/>
  <c r="H12245" i="16"/>
  <c r="H12246" i="16"/>
  <c r="H12247" i="16"/>
  <c r="H12248" i="16"/>
  <c r="H12249" i="16"/>
  <c r="H12250" i="16"/>
  <c r="H12251" i="16"/>
  <c r="H12252" i="16"/>
  <c r="H12253" i="16"/>
  <c r="H12254" i="16"/>
  <c r="H12255" i="16"/>
  <c r="H12256" i="16"/>
  <c r="H12257" i="16"/>
  <c r="H12258" i="16"/>
  <c r="H12259" i="16"/>
  <c r="H12260" i="16"/>
  <c r="H12261" i="16"/>
  <c r="H12262" i="16"/>
  <c r="H12263" i="16"/>
  <c r="H12264" i="16"/>
  <c r="H12265" i="16"/>
  <c r="H12266" i="16"/>
  <c r="H12267" i="16"/>
  <c r="H12268" i="16"/>
  <c r="H12269" i="16"/>
  <c r="H12270" i="16"/>
  <c r="H12271" i="16"/>
  <c r="H12272" i="16"/>
  <c r="H12273" i="16"/>
  <c r="H12274" i="16"/>
  <c r="H12275" i="16"/>
  <c r="H12276" i="16"/>
  <c r="H12277" i="16"/>
  <c r="H12278" i="16"/>
  <c r="H12279" i="16"/>
  <c r="H12280" i="16"/>
  <c r="H12281" i="16"/>
  <c r="H12282" i="16"/>
  <c r="H12283" i="16"/>
  <c r="H12284" i="16"/>
  <c r="H12285" i="16"/>
  <c r="H12286" i="16"/>
  <c r="H12287" i="16"/>
  <c r="H12288" i="16"/>
  <c r="H12289" i="16"/>
  <c r="H12290" i="16"/>
  <c r="H12291" i="16"/>
  <c r="H12292" i="16"/>
  <c r="H12293" i="16"/>
  <c r="H12294" i="16"/>
  <c r="H12295" i="16"/>
  <c r="H12296" i="16"/>
  <c r="H12297" i="16"/>
  <c r="H12298" i="16"/>
  <c r="H12299" i="16"/>
  <c r="H12300" i="16"/>
  <c r="H12301" i="16"/>
  <c r="H12302" i="16"/>
  <c r="H12303" i="16"/>
  <c r="H12304" i="16"/>
  <c r="H12305" i="16"/>
  <c r="H12306" i="16"/>
  <c r="H12307" i="16"/>
  <c r="H12308" i="16"/>
  <c r="H12309" i="16"/>
  <c r="H12310" i="16"/>
  <c r="H12311" i="16"/>
  <c r="H12312" i="16"/>
  <c r="H12313" i="16"/>
  <c r="H12314" i="16"/>
  <c r="H12315" i="16"/>
  <c r="H12316" i="16"/>
  <c r="H12317" i="16"/>
  <c r="H12318" i="16"/>
  <c r="H12319" i="16"/>
  <c r="H12320" i="16"/>
  <c r="H12321" i="16"/>
  <c r="H12322" i="16"/>
  <c r="H12323" i="16"/>
  <c r="H12324" i="16"/>
  <c r="H12325" i="16"/>
  <c r="H12326" i="16"/>
  <c r="H12327" i="16"/>
  <c r="H12328" i="16"/>
  <c r="H12329" i="16"/>
  <c r="H12330" i="16"/>
  <c r="H12331" i="16"/>
  <c r="H12332" i="16"/>
  <c r="H12333" i="16"/>
  <c r="H12334" i="16"/>
  <c r="H12335" i="16"/>
  <c r="H12336" i="16"/>
  <c r="H12337" i="16"/>
  <c r="H12338" i="16"/>
  <c r="H12339" i="16"/>
  <c r="H12340" i="16"/>
  <c r="H12341" i="16"/>
  <c r="H12342" i="16"/>
  <c r="H12343" i="16"/>
  <c r="H12344" i="16"/>
  <c r="H12345" i="16"/>
  <c r="H12346" i="16"/>
  <c r="H12347" i="16"/>
  <c r="H12348" i="16"/>
  <c r="H12349" i="16"/>
  <c r="H12350" i="16"/>
  <c r="H12351" i="16"/>
  <c r="H12352" i="16"/>
  <c r="H12353" i="16"/>
  <c r="H12354" i="16"/>
  <c r="H12355" i="16"/>
  <c r="H12356" i="16"/>
  <c r="H12357" i="16"/>
  <c r="H12358" i="16"/>
  <c r="H12359" i="16"/>
  <c r="H12360" i="16"/>
  <c r="H12361" i="16"/>
  <c r="H12362" i="16"/>
  <c r="H12363" i="16"/>
  <c r="H12364" i="16"/>
  <c r="H12365" i="16"/>
  <c r="H12366" i="16"/>
  <c r="H12367" i="16"/>
  <c r="H12368" i="16"/>
  <c r="H12369" i="16"/>
  <c r="H12370" i="16"/>
  <c r="H12371" i="16"/>
  <c r="H12372" i="16"/>
  <c r="H12373" i="16"/>
  <c r="H12374" i="16"/>
  <c r="H12375" i="16"/>
  <c r="H12376" i="16"/>
  <c r="H12377" i="16"/>
  <c r="H12378" i="16"/>
  <c r="H12379" i="16"/>
  <c r="H12380" i="16"/>
  <c r="H12381" i="16"/>
  <c r="H12382" i="16"/>
  <c r="H12383" i="16"/>
  <c r="H12384" i="16"/>
  <c r="H12385" i="16"/>
  <c r="H12386" i="16"/>
  <c r="H12387" i="16"/>
  <c r="H12388" i="16"/>
  <c r="H12389" i="16"/>
  <c r="H12390" i="16"/>
  <c r="H12391" i="16"/>
  <c r="H12392" i="16"/>
  <c r="H12393" i="16"/>
  <c r="H12394" i="16"/>
  <c r="H12395" i="16"/>
  <c r="H12396" i="16"/>
  <c r="H12397" i="16"/>
  <c r="H12398" i="16"/>
  <c r="H12399" i="16"/>
  <c r="H12400" i="16"/>
  <c r="H12401" i="16"/>
  <c r="H12402" i="16"/>
  <c r="H12403" i="16"/>
  <c r="H12404" i="16"/>
  <c r="H12405" i="16"/>
  <c r="H12406" i="16"/>
  <c r="H12407" i="16"/>
  <c r="H12408" i="16"/>
  <c r="H12409" i="16"/>
  <c r="H12410" i="16"/>
  <c r="H12411" i="16"/>
  <c r="H12412" i="16"/>
  <c r="H12413" i="16"/>
  <c r="H12414" i="16"/>
  <c r="H12415" i="16"/>
  <c r="H12416" i="16"/>
  <c r="H12417" i="16"/>
  <c r="H12418" i="16"/>
  <c r="H12419" i="16"/>
  <c r="H12420" i="16"/>
  <c r="H12421" i="16"/>
  <c r="H12422" i="16"/>
  <c r="H12423" i="16"/>
  <c r="H12424" i="16"/>
  <c r="H12425" i="16"/>
  <c r="H12426" i="16"/>
  <c r="H12427" i="16"/>
  <c r="H12428" i="16"/>
  <c r="H12429" i="16"/>
  <c r="H12430" i="16"/>
  <c r="H12431" i="16"/>
  <c r="H12432" i="16"/>
  <c r="H12433" i="16"/>
  <c r="H12434" i="16"/>
  <c r="H12435" i="16"/>
  <c r="H12436" i="16"/>
  <c r="H12437" i="16"/>
  <c r="H12438" i="16"/>
  <c r="H12439" i="16"/>
  <c r="H12440" i="16"/>
  <c r="H12441" i="16"/>
  <c r="H12442" i="16"/>
  <c r="H12443" i="16"/>
  <c r="H12444" i="16"/>
  <c r="H12445" i="16"/>
  <c r="H12446" i="16"/>
  <c r="H12447" i="16"/>
  <c r="H12448" i="16"/>
  <c r="H12449" i="16"/>
  <c r="H12450" i="16"/>
  <c r="H12451" i="16"/>
  <c r="H12452" i="16"/>
  <c r="H12453" i="16"/>
  <c r="H12454" i="16"/>
  <c r="H12455" i="16"/>
  <c r="H12456" i="16"/>
  <c r="H12457" i="16"/>
  <c r="H12458" i="16"/>
  <c r="H12459" i="16"/>
  <c r="H12460" i="16"/>
  <c r="H12461" i="16"/>
  <c r="H12462" i="16"/>
  <c r="H12463" i="16"/>
  <c r="H12464" i="16"/>
  <c r="H12465" i="16"/>
  <c r="H12466" i="16"/>
  <c r="H12467" i="16"/>
  <c r="H12468" i="16"/>
  <c r="H12469" i="16"/>
  <c r="H12470" i="16"/>
  <c r="H12471" i="16"/>
  <c r="H12472" i="16"/>
  <c r="H12473" i="16"/>
  <c r="H12474" i="16"/>
  <c r="H12475" i="16"/>
  <c r="H12476" i="16"/>
  <c r="H12477" i="16"/>
  <c r="H12478" i="16"/>
  <c r="H12479" i="16"/>
  <c r="H12480" i="16"/>
  <c r="H12481" i="16"/>
  <c r="H12482" i="16"/>
  <c r="H12483" i="16"/>
  <c r="H12484" i="16"/>
  <c r="H12485" i="16"/>
  <c r="H12486" i="16"/>
  <c r="H12487" i="16"/>
  <c r="H12488" i="16"/>
  <c r="H12489" i="16"/>
  <c r="H12490" i="16"/>
  <c r="H12491" i="16"/>
  <c r="H12492" i="16"/>
  <c r="H12493" i="16"/>
  <c r="H12494" i="16"/>
  <c r="H12495" i="16"/>
  <c r="H12496" i="16"/>
  <c r="H12497" i="16"/>
  <c r="H12498" i="16"/>
  <c r="H12499" i="16"/>
  <c r="H12500" i="16"/>
  <c r="H12501" i="16"/>
  <c r="H12502" i="16"/>
  <c r="H12503" i="16"/>
  <c r="H12504" i="16"/>
  <c r="H12505" i="16"/>
  <c r="H12506" i="16"/>
  <c r="H12507" i="16"/>
  <c r="H12508" i="16"/>
  <c r="H12509" i="16"/>
  <c r="H12510" i="16"/>
  <c r="H12511" i="16"/>
  <c r="H12512" i="16"/>
  <c r="H12513" i="16"/>
  <c r="H12514" i="16"/>
  <c r="H12515" i="16"/>
  <c r="H12516" i="16"/>
  <c r="H12517" i="16"/>
  <c r="H12518" i="16"/>
  <c r="H12519" i="16"/>
  <c r="H12520" i="16"/>
  <c r="H12521" i="16"/>
  <c r="H12522" i="16"/>
  <c r="H12523" i="16"/>
  <c r="H12524" i="16"/>
  <c r="H12525" i="16"/>
  <c r="H12526" i="16"/>
  <c r="H12527" i="16"/>
  <c r="H12528" i="16"/>
  <c r="H12529" i="16"/>
  <c r="H12530" i="16"/>
  <c r="H12531" i="16"/>
  <c r="H12532" i="16"/>
  <c r="H12533" i="16"/>
  <c r="H12534" i="16"/>
  <c r="H12535" i="16"/>
  <c r="H12536" i="16"/>
  <c r="H12537" i="16"/>
  <c r="H12538" i="16"/>
  <c r="H12539" i="16"/>
  <c r="H12540" i="16"/>
  <c r="H12541" i="16"/>
  <c r="H12542" i="16"/>
  <c r="H12543" i="16"/>
  <c r="H12544" i="16"/>
  <c r="H12545" i="16"/>
  <c r="H12546" i="16"/>
  <c r="H12547" i="16"/>
  <c r="H12548" i="16"/>
  <c r="H12549" i="16"/>
  <c r="H12550" i="16"/>
  <c r="H12551" i="16"/>
  <c r="H12552" i="16"/>
  <c r="H12553" i="16"/>
  <c r="H12554" i="16"/>
  <c r="H12555" i="16"/>
  <c r="H12556" i="16"/>
  <c r="H12557" i="16"/>
  <c r="H12558" i="16"/>
  <c r="H12559" i="16"/>
  <c r="H12560" i="16"/>
  <c r="H12561" i="16"/>
  <c r="H12562" i="16"/>
  <c r="H12563" i="16"/>
  <c r="H12564" i="16"/>
  <c r="H12565" i="16"/>
  <c r="H12566" i="16"/>
  <c r="H12567" i="16"/>
  <c r="H12568" i="16"/>
  <c r="H12569" i="16"/>
  <c r="H12570" i="16"/>
  <c r="H12571" i="16"/>
  <c r="H12572" i="16"/>
  <c r="H12573" i="16"/>
  <c r="H12574" i="16"/>
  <c r="H12575" i="16"/>
  <c r="H12576" i="16"/>
  <c r="H12577" i="16"/>
  <c r="H12578" i="16"/>
  <c r="H12579" i="16"/>
  <c r="H12580" i="16"/>
  <c r="H12581" i="16"/>
  <c r="H12582" i="16"/>
  <c r="H12583" i="16"/>
  <c r="H12584" i="16"/>
  <c r="H12585" i="16"/>
  <c r="H12586" i="16"/>
  <c r="H12587" i="16"/>
  <c r="H12588" i="16"/>
  <c r="H12589" i="16"/>
  <c r="H12590" i="16"/>
  <c r="H12591" i="16"/>
  <c r="H12592" i="16"/>
  <c r="H12593" i="16"/>
  <c r="H12594" i="16"/>
  <c r="H12595" i="16"/>
  <c r="H12596" i="16"/>
  <c r="H12597" i="16"/>
  <c r="H12598" i="16"/>
  <c r="H12599" i="16"/>
  <c r="H12600" i="16"/>
  <c r="H12601" i="16"/>
  <c r="H12602" i="16"/>
  <c r="H12603" i="16"/>
  <c r="H12604" i="16"/>
  <c r="H12605" i="16"/>
  <c r="H12606" i="16"/>
  <c r="H12607" i="16"/>
  <c r="H12608" i="16"/>
  <c r="H12609" i="16"/>
  <c r="H12610" i="16"/>
  <c r="H12611" i="16"/>
  <c r="H12612" i="16"/>
  <c r="H12613" i="16"/>
  <c r="H12614" i="16"/>
  <c r="H12615" i="16"/>
  <c r="H12616" i="16"/>
  <c r="H12617" i="16"/>
  <c r="H12618" i="16"/>
  <c r="H12619" i="16"/>
  <c r="H12620" i="16"/>
  <c r="H12621" i="16"/>
  <c r="H12622" i="16"/>
  <c r="H12623" i="16"/>
  <c r="H12624" i="16"/>
  <c r="H12625" i="16"/>
  <c r="H12626" i="16"/>
  <c r="H12627" i="16"/>
  <c r="H12628" i="16"/>
  <c r="H12629" i="16"/>
  <c r="H12630" i="16"/>
  <c r="H12631" i="16"/>
  <c r="H12632" i="16"/>
  <c r="H12633" i="16"/>
  <c r="H12634" i="16"/>
  <c r="H12635" i="16"/>
  <c r="H12636" i="16"/>
  <c r="H12637" i="16"/>
  <c r="H12638" i="16"/>
  <c r="H12639" i="16"/>
  <c r="H12640" i="16"/>
  <c r="H12641" i="16"/>
  <c r="H12642" i="16"/>
  <c r="H12643" i="16"/>
  <c r="H12644" i="16"/>
  <c r="H12645" i="16"/>
  <c r="H12646" i="16"/>
  <c r="H12647" i="16"/>
  <c r="H12648" i="16"/>
  <c r="H12649" i="16"/>
  <c r="H12650" i="16"/>
  <c r="H12651" i="16"/>
  <c r="H12652" i="16"/>
  <c r="H12653" i="16"/>
  <c r="H12654" i="16"/>
  <c r="H12655" i="16"/>
  <c r="H12656" i="16"/>
  <c r="H12657" i="16"/>
  <c r="H12658" i="16"/>
  <c r="H12659" i="16"/>
  <c r="H12660" i="16"/>
  <c r="H12661" i="16"/>
  <c r="H12662" i="16"/>
  <c r="H12663" i="16"/>
  <c r="H12664" i="16"/>
  <c r="H12665" i="16"/>
  <c r="H12666" i="16"/>
  <c r="H12667" i="16"/>
  <c r="H12668" i="16"/>
  <c r="H12669" i="16"/>
  <c r="H12670" i="16"/>
  <c r="H12671" i="16"/>
  <c r="H12672" i="16"/>
  <c r="H12673" i="16"/>
  <c r="H12674" i="16"/>
  <c r="H12675" i="16"/>
  <c r="H12676" i="16"/>
  <c r="H12677" i="16"/>
  <c r="H12678" i="16"/>
  <c r="H12679" i="16"/>
  <c r="H12680" i="16"/>
  <c r="H12681" i="16"/>
  <c r="H12682" i="16"/>
  <c r="H12683" i="16"/>
  <c r="H12684" i="16"/>
  <c r="H12685" i="16"/>
  <c r="H12686" i="16"/>
  <c r="H12687" i="16"/>
  <c r="H12688" i="16"/>
  <c r="H12689" i="16"/>
  <c r="H12690" i="16"/>
  <c r="H12691" i="16"/>
  <c r="H12692" i="16"/>
  <c r="H12693" i="16"/>
  <c r="H12694" i="16"/>
  <c r="H12695" i="16"/>
  <c r="H12696" i="16"/>
  <c r="H12697" i="16"/>
  <c r="H12698" i="16"/>
  <c r="H12699" i="16"/>
  <c r="H12700" i="16"/>
  <c r="H12701" i="16"/>
  <c r="H12702" i="16"/>
  <c r="H12703" i="16"/>
  <c r="H12704" i="16"/>
  <c r="H12705" i="16"/>
  <c r="H12706" i="16"/>
  <c r="H12707" i="16"/>
  <c r="H12708" i="16"/>
  <c r="H12709" i="16"/>
  <c r="H12710" i="16"/>
  <c r="H12711" i="16"/>
  <c r="H12712" i="16"/>
  <c r="H12713" i="16"/>
  <c r="H12714" i="16"/>
  <c r="H12715" i="16"/>
  <c r="H12716" i="16"/>
  <c r="H12717" i="16"/>
  <c r="H12718" i="16"/>
  <c r="H12719" i="16"/>
  <c r="H12720" i="16"/>
  <c r="H12721" i="16"/>
  <c r="H12722" i="16"/>
  <c r="H12723" i="16"/>
  <c r="H12724" i="16"/>
  <c r="H12725" i="16"/>
  <c r="H12726" i="16"/>
  <c r="H12727" i="16"/>
  <c r="H12728" i="16"/>
  <c r="H12729" i="16"/>
  <c r="H12730" i="16"/>
  <c r="H12731" i="16"/>
  <c r="H12732" i="16"/>
  <c r="H12733" i="16"/>
  <c r="H12734" i="16"/>
  <c r="H12735" i="16"/>
  <c r="H12736" i="16"/>
  <c r="H12737" i="16"/>
  <c r="H12738" i="16"/>
  <c r="H12739" i="16"/>
  <c r="H12740" i="16"/>
  <c r="H12741" i="16"/>
  <c r="H12742" i="16"/>
  <c r="H12743" i="16"/>
  <c r="H12744" i="16"/>
  <c r="H12745" i="16"/>
  <c r="H12746" i="16"/>
  <c r="H12747" i="16"/>
  <c r="H12748" i="16"/>
  <c r="H12749" i="16"/>
  <c r="H12750" i="16"/>
  <c r="H12751" i="16"/>
  <c r="H12752" i="16"/>
  <c r="H12753" i="16"/>
  <c r="H12754" i="16"/>
  <c r="H12755" i="16"/>
  <c r="H12756" i="16"/>
  <c r="H12757" i="16"/>
  <c r="H12758" i="16"/>
  <c r="H12759" i="16"/>
  <c r="H12760" i="16"/>
  <c r="H12761" i="16"/>
  <c r="H12762" i="16"/>
  <c r="H12763" i="16"/>
  <c r="H12764" i="16"/>
  <c r="H12765" i="16"/>
  <c r="H12766" i="16"/>
  <c r="H12767" i="16"/>
  <c r="H12768" i="16"/>
  <c r="H12769" i="16"/>
  <c r="H12770" i="16"/>
  <c r="H12771" i="16"/>
  <c r="H12772" i="16"/>
  <c r="H12773" i="16"/>
  <c r="H12774" i="16"/>
  <c r="H12775" i="16"/>
  <c r="H12776" i="16"/>
  <c r="H12777" i="16"/>
  <c r="H12778" i="16"/>
  <c r="H12779" i="16"/>
  <c r="H12780" i="16"/>
  <c r="H12781" i="16"/>
  <c r="H12782" i="16"/>
  <c r="H12783" i="16"/>
  <c r="H12784" i="16"/>
  <c r="H12785" i="16"/>
  <c r="H12786" i="16"/>
  <c r="H12787" i="16"/>
  <c r="H12788" i="16"/>
  <c r="H12789" i="16"/>
  <c r="H12790" i="16"/>
  <c r="H12791" i="16"/>
  <c r="H12792" i="16"/>
  <c r="H12793" i="16"/>
  <c r="H12794" i="16"/>
  <c r="H12795" i="16"/>
  <c r="H12796" i="16"/>
  <c r="H12797" i="16"/>
  <c r="H12798" i="16"/>
  <c r="H12799" i="16"/>
  <c r="H12800" i="16"/>
  <c r="H12801" i="16"/>
  <c r="H12802" i="16"/>
  <c r="H12803" i="16"/>
  <c r="H12804" i="16"/>
  <c r="H12805" i="16"/>
  <c r="H12806" i="16"/>
  <c r="H12807" i="16"/>
  <c r="H12808" i="16"/>
  <c r="H12809" i="16"/>
  <c r="H12810" i="16"/>
  <c r="H12811" i="16"/>
  <c r="H12812" i="16"/>
  <c r="H12813" i="16"/>
  <c r="H12814" i="16"/>
  <c r="H12815" i="16"/>
  <c r="H12816" i="16"/>
  <c r="H12817" i="16"/>
  <c r="H12818" i="16"/>
  <c r="H12819" i="16"/>
  <c r="H12820" i="16"/>
  <c r="H12821" i="16"/>
  <c r="H12822" i="16"/>
  <c r="H12823" i="16"/>
  <c r="H12824" i="16"/>
  <c r="H12825" i="16"/>
  <c r="H12826" i="16"/>
  <c r="H12827" i="16"/>
  <c r="H12828" i="16"/>
  <c r="H12829" i="16"/>
  <c r="H12830" i="16"/>
  <c r="H12831" i="16"/>
  <c r="H12832" i="16"/>
  <c r="H12833" i="16"/>
  <c r="H12834" i="16"/>
  <c r="H12835" i="16"/>
  <c r="H12836" i="16"/>
  <c r="H12837" i="16"/>
  <c r="H12838" i="16"/>
  <c r="H12839" i="16"/>
  <c r="H12840" i="16"/>
  <c r="H12841" i="16"/>
  <c r="H12842" i="16"/>
  <c r="H12843" i="16"/>
  <c r="H12844" i="16"/>
  <c r="H12845" i="16"/>
  <c r="H12846" i="16"/>
  <c r="H12847" i="16"/>
  <c r="H12848" i="16"/>
  <c r="H12849" i="16"/>
  <c r="H12850" i="16"/>
  <c r="H12851" i="16"/>
  <c r="H12852" i="16"/>
  <c r="H12853" i="16"/>
  <c r="H12854" i="16"/>
  <c r="H12855" i="16"/>
  <c r="H12856" i="16"/>
  <c r="H12857" i="16"/>
  <c r="H12858" i="16"/>
  <c r="H12859" i="16"/>
  <c r="H12860" i="16"/>
  <c r="H12861" i="16"/>
  <c r="H12862" i="16"/>
  <c r="H12863" i="16"/>
  <c r="H12864" i="16"/>
  <c r="H12865" i="16"/>
  <c r="H12866" i="16"/>
  <c r="H12867" i="16"/>
  <c r="H12868" i="16"/>
  <c r="H12869" i="16"/>
  <c r="H12870" i="16"/>
  <c r="H12871" i="16"/>
  <c r="H12872" i="16"/>
  <c r="H12873" i="16"/>
  <c r="H12874" i="16"/>
  <c r="H12875" i="16"/>
  <c r="H12876" i="16"/>
  <c r="H12877" i="16"/>
  <c r="H12878" i="16"/>
  <c r="H12879" i="16"/>
  <c r="H12880" i="16"/>
  <c r="H12881" i="16"/>
  <c r="H12882" i="16"/>
  <c r="H12883" i="16"/>
  <c r="H12884" i="16"/>
  <c r="H12885" i="16"/>
  <c r="H12886" i="16"/>
  <c r="H12887" i="16"/>
  <c r="H12888" i="16"/>
  <c r="H12889" i="16"/>
  <c r="H12890" i="16"/>
  <c r="H12891" i="16"/>
  <c r="H12892" i="16"/>
  <c r="H12893" i="16"/>
  <c r="H12894" i="16"/>
  <c r="H12895" i="16"/>
  <c r="H12896" i="16"/>
  <c r="H12897" i="16"/>
  <c r="H12898" i="16"/>
  <c r="H12899" i="16"/>
  <c r="H12900" i="16"/>
  <c r="H12901" i="16"/>
  <c r="H12902" i="16"/>
  <c r="H12903" i="16"/>
  <c r="H12904" i="16"/>
  <c r="H12905" i="16"/>
  <c r="H12906" i="16"/>
  <c r="H12907" i="16"/>
  <c r="H12908" i="16"/>
  <c r="H12909" i="16"/>
  <c r="H12910" i="16"/>
  <c r="H12911" i="16"/>
  <c r="H12912" i="16"/>
  <c r="H12913" i="16"/>
  <c r="H12914" i="16"/>
  <c r="H12915" i="16"/>
  <c r="H12916" i="16"/>
  <c r="H12917" i="16"/>
  <c r="H12918" i="16"/>
  <c r="H12919" i="16"/>
  <c r="H12920" i="16"/>
  <c r="H12921" i="16"/>
  <c r="H12922" i="16"/>
  <c r="H12923" i="16"/>
  <c r="H12924" i="16"/>
  <c r="H12925" i="16"/>
  <c r="H12926" i="16"/>
  <c r="H12927" i="16"/>
  <c r="H12928" i="16"/>
  <c r="H12929" i="16"/>
  <c r="H12930" i="16"/>
  <c r="H12931" i="16"/>
  <c r="H12932" i="16"/>
  <c r="H12933" i="16"/>
  <c r="H12934" i="16"/>
  <c r="H12935" i="16"/>
  <c r="H12936" i="16"/>
  <c r="H12937" i="16"/>
  <c r="H12938" i="16"/>
  <c r="H12939" i="16"/>
  <c r="H12940" i="16"/>
  <c r="H12941" i="16"/>
  <c r="H12942" i="16"/>
  <c r="H12943" i="16"/>
  <c r="H12944" i="16"/>
  <c r="H12945" i="16"/>
  <c r="H12946" i="16"/>
  <c r="H12947" i="16"/>
  <c r="H12948" i="16"/>
  <c r="H12949" i="16"/>
  <c r="H12950" i="16"/>
  <c r="H12951" i="16"/>
  <c r="H12952" i="16"/>
  <c r="H12953" i="16"/>
  <c r="H12954" i="16"/>
  <c r="H12955" i="16"/>
  <c r="H12956" i="16"/>
  <c r="H12957" i="16"/>
  <c r="H12958" i="16"/>
  <c r="H12959" i="16"/>
  <c r="H12960" i="16"/>
  <c r="H12961" i="16"/>
  <c r="H12962" i="16"/>
  <c r="H12963" i="16"/>
  <c r="H12964" i="16"/>
  <c r="H12965" i="16"/>
  <c r="H12966" i="16"/>
  <c r="H12967" i="16"/>
  <c r="H12968" i="16"/>
  <c r="H12969" i="16"/>
  <c r="H12970" i="16"/>
  <c r="H12971" i="16"/>
  <c r="H12972" i="16"/>
  <c r="H12973" i="16"/>
  <c r="H12974" i="16"/>
  <c r="H12975" i="16"/>
  <c r="H12976" i="16"/>
  <c r="H12977" i="16"/>
  <c r="H12978" i="16"/>
  <c r="H12979" i="16"/>
  <c r="H12980" i="16"/>
  <c r="H12981" i="16"/>
  <c r="H12982" i="16"/>
  <c r="H12983" i="16"/>
  <c r="H12984" i="16"/>
  <c r="H12985" i="16"/>
  <c r="H12986" i="16"/>
  <c r="H12987" i="16"/>
  <c r="H12988" i="16"/>
  <c r="H12989" i="16"/>
  <c r="H12990" i="16"/>
  <c r="H12991" i="16"/>
  <c r="H12992" i="16"/>
  <c r="H12993" i="16"/>
  <c r="H12994" i="16"/>
  <c r="H12995" i="16"/>
  <c r="H12996" i="16"/>
  <c r="H12997" i="16"/>
  <c r="H12998" i="16"/>
  <c r="H12999" i="16"/>
  <c r="H13000" i="16"/>
  <c r="H13001" i="16"/>
  <c r="H13002" i="16"/>
  <c r="H13003" i="16"/>
  <c r="H13004" i="16"/>
  <c r="H13005" i="16"/>
  <c r="H13006" i="16"/>
  <c r="H13007" i="16"/>
  <c r="H13008" i="16"/>
  <c r="H13009" i="16"/>
  <c r="H13010" i="16"/>
  <c r="H13011" i="16"/>
  <c r="H13012" i="16"/>
  <c r="H13013" i="16"/>
  <c r="H13014" i="16"/>
  <c r="H13015" i="16"/>
  <c r="H13016" i="16"/>
  <c r="H13017" i="16"/>
  <c r="H13018" i="16"/>
  <c r="H13019" i="16"/>
  <c r="H13020" i="16"/>
  <c r="H13021" i="16"/>
  <c r="H13022" i="16"/>
  <c r="H13023" i="16"/>
  <c r="H13024" i="16"/>
  <c r="H13025" i="16"/>
  <c r="H13026" i="16"/>
  <c r="H13027" i="16"/>
  <c r="H13028" i="16"/>
  <c r="H13029" i="16"/>
  <c r="H13030" i="16"/>
  <c r="H13031" i="16"/>
  <c r="H13032" i="16"/>
  <c r="H13033" i="16"/>
  <c r="H13034" i="16"/>
  <c r="H13035" i="16"/>
  <c r="H13036" i="16"/>
  <c r="H13037" i="16"/>
  <c r="H13038" i="16"/>
  <c r="H13039" i="16"/>
  <c r="H13040" i="16"/>
  <c r="H13041" i="16"/>
  <c r="H13042" i="16"/>
  <c r="H13043" i="16"/>
  <c r="H13044" i="16"/>
  <c r="H13045" i="16"/>
  <c r="H13046" i="16"/>
  <c r="H13047" i="16"/>
  <c r="H13048" i="16"/>
  <c r="H13049" i="16"/>
  <c r="H13050" i="16"/>
  <c r="H13051" i="16"/>
  <c r="H13052" i="16"/>
  <c r="H13053" i="16"/>
  <c r="H13054" i="16"/>
  <c r="H13055" i="16"/>
  <c r="H13056" i="16"/>
  <c r="H13057" i="16"/>
  <c r="H13058" i="16"/>
  <c r="H13059" i="16"/>
  <c r="H13060" i="16"/>
  <c r="H13061" i="16"/>
  <c r="H13062" i="16"/>
  <c r="H13063" i="16"/>
  <c r="H13064" i="16"/>
  <c r="H13065" i="16"/>
  <c r="H13066" i="16"/>
  <c r="H13067" i="16"/>
  <c r="H13068" i="16"/>
  <c r="H13069" i="16"/>
  <c r="H13070" i="16"/>
  <c r="H13071" i="16"/>
  <c r="H13072" i="16"/>
  <c r="H13073" i="16"/>
  <c r="H13074" i="16"/>
  <c r="H13075" i="16"/>
  <c r="H13076" i="16"/>
  <c r="H13077" i="16"/>
  <c r="H13078" i="16"/>
  <c r="H13079" i="16"/>
  <c r="H13080" i="16"/>
  <c r="H13081" i="16"/>
  <c r="H13082" i="16"/>
  <c r="H13083" i="16"/>
  <c r="H13084" i="16"/>
  <c r="H13085" i="16"/>
  <c r="H13086" i="16"/>
  <c r="H13087" i="16"/>
  <c r="H13088" i="16"/>
  <c r="H13089" i="16"/>
  <c r="H13090" i="16"/>
  <c r="H13091" i="16"/>
  <c r="H13092" i="16"/>
  <c r="H13093" i="16"/>
  <c r="H13094" i="16"/>
  <c r="H13095" i="16"/>
  <c r="H13096" i="16"/>
  <c r="H13097" i="16"/>
  <c r="H13098" i="16"/>
  <c r="H13099" i="16"/>
  <c r="H13100" i="16"/>
  <c r="H13101" i="16"/>
  <c r="H13102" i="16"/>
  <c r="H13103" i="16"/>
  <c r="H13104" i="16"/>
  <c r="H13105" i="16"/>
  <c r="H13106" i="16"/>
  <c r="H13107" i="16"/>
  <c r="H13108" i="16"/>
  <c r="H13109" i="16"/>
  <c r="H13110" i="16"/>
  <c r="H13111" i="16"/>
  <c r="H13112" i="16"/>
  <c r="H13113" i="16"/>
  <c r="H13114" i="16"/>
  <c r="H13115" i="16"/>
  <c r="H13116" i="16"/>
  <c r="H13117" i="16"/>
  <c r="H13118" i="16"/>
  <c r="H13119" i="16"/>
  <c r="H13120" i="16"/>
  <c r="H13121" i="16"/>
  <c r="H13122" i="16"/>
  <c r="H13123" i="16"/>
  <c r="H13124" i="16"/>
  <c r="H13125" i="16"/>
  <c r="H13126" i="16"/>
  <c r="H13127" i="16"/>
  <c r="H13128" i="16"/>
  <c r="H13129" i="16"/>
  <c r="H13130" i="16"/>
  <c r="H13131" i="16"/>
  <c r="H13132" i="16"/>
  <c r="H13133" i="16"/>
  <c r="H13134" i="16"/>
  <c r="H13135" i="16"/>
  <c r="H13136" i="16"/>
  <c r="H13137" i="16"/>
  <c r="H13138" i="16"/>
  <c r="H13139" i="16"/>
  <c r="H13140" i="16"/>
  <c r="H13141" i="16"/>
  <c r="H13142" i="16"/>
  <c r="H13143" i="16"/>
  <c r="H13144" i="16"/>
  <c r="H13145" i="16"/>
  <c r="H13146" i="16"/>
  <c r="H13147" i="16"/>
  <c r="H13148" i="16"/>
  <c r="H13149" i="16"/>
  <c r="H13150" i="16"/>
  <c r="H13151" i="16"/>
  <c r="H13152" i="16"/>
  <c r="H13153" i="16"/>
  <c r="H13154" i="16"/>
  <c r="H13155" i="16"/>
  <c r="H13156" i="16"/>
  <c r="H13157" i="16"/>
  <c r="H13158" i="16"/>
  <c r="H13159" i="16"/>
  <c r="H13160" i="16"/>
  <c r="H13161" i="16"/>
  <c r="H13162" i="16"/>
  <c r="H13163" i="16"/>
  <c r="H13164" i="16"/>
  <c r="H13165" i="16"/>
  <c r="H13166" i="16"/>
  <c r="H13167" i="16"/>
  <c r="H13168" i="16"/>
  <c r="H13169" i="16"/>
  <c r="H13170" i="16"/>
  <c r="H13171" i="16"/>
  <c r="H13172" i="16"/>
  <c r="H13173" i="16"/>
  <c r="H13174" i="16"/>
  <c r="H13175" i="16"/>
  <c r="H13176" i="16"/>
  <c r="H13177" i="16"/>
  <c r="H13178" i="16"/>
  <c r="H13179" i="16"/>
  <c r="H13180" i="16"/>
  <c r="H13181" i="16"/>
  <c r="H13182" i="16"/>
  <c r="H13183" i="16"/>
  <c r="H13184" i="16"/>
  <c r="H13185" i="16"/>
  <c r="H13186" i="16"/>
  <c r="H13187" i="16"/>
  <c r="H13188" i="16"/>
  <c r="H13189" i="16"/>
  <c r="H13190" i="16"/>
  <c r="H13191" i="16"/>
  <c r="H13192" i="16"/>
  <c r="H13193" i="16"/>
  <c r="H13194" i="16"/>
  <c r="H13195" i="16"/>
  <c r="H13196" i="16"/>
  <c r="H13197" i="16"/>
  <c r="H13198" i="16"/>
  <c r="H13199" i="16"/>
  <c r="H13200" i="16"/>
  <c r="H13201" i="16"/>
  <c r="H13202" i="16"/>
  <c r="H13203" i="16"/>
  <c r="H13204" i="16"/>
  <c r="H13205" i="16"/>
  <c r="H13206" i="16"/>
  <c r="H13207" i="16"/>
  <c r="H13208" i="16"/>
  <c r="H13209" i="16"/>
  <c r="H13210" i="16"/>
  <c r="H13211" i="16"/>
  <c r="H13212" i="16"/>
  <c r="H13213" i="16"/>
  <c r="H13214" i="16"/>
  <c r="H13215" i="16"/>
  <c r="H13216" i="16"/>
  <c r="H13217" i="16"/>
  <c r="H13218" i="16"/>
  <c r="H13219" i="16"/>
  <c r="H13220" i="16"/>
  <c r="H13221" i="16"/>
  <c r="H13222" i="16"/>
  <c r="H13223" i="16"/>
  <c r="H13224" i="16"/>
  <c r="H13225" i="16"/>
  <c r="H13226" i="16"/>
  <c r="H13227" i="16"/>
  <c r="H13228" i="16"/>
  <c r="H13229" i="16"/>
  <c r="H13230" i="16"/>
  <c r="H13231" i="16"/>
  <c r="H13232" i="16"/>
  <c r="H13233" i="16"/>
  <c r="H13234" i="16"/>
  <c r="H13235" i="16"/>
  <c r="H13236" i="16"/>
  <c r="H13237" i="16"/>
  <c r="H13238" i="16"/>
  <c r="H13239" i="16"/>
  <c r="H13240" i="16"/>
  <c r="H13241" i="16"/>
  <c r="H13242" i="16"/>
  <c r="H13243" i="16"/>
  <c r="H13244" i="16"/>
  <c r="H13245" i="16"/>
  <c r="H13246" i="16"/>
  <c r="H13247" i="16"/>
  <c r="H13248" i="16"/>
  <c r="H13249" i="16"/>
  <c r="H13250" i="16"/>
  <c r="H13251" i="16"/>
  <c r="H13252" i="16"/>
  <c r="H13253" i="16"/>
  <c r="H13254" i="16"/>
  <c r="H13255" i="16"/>
  <c r="H13256" i="16"/>
  <c r="H13257" i="16"/>
  <c r="H13258" i="16"/>
  <c r="H13259" i="16"/>
  <c r="H13260" i="16"/>
  <c r="H13261" i="16"/>
  <c r="H13262" i="16"/>
  <c r="H13263" i="16"/>
  <c r="H13264" i="16"/>
  <c r="H13265" i="16"/>
  <c r="H13266" i="16"/>
  <c r="H13267" i="16"/>
  <c r="H13268" i="16"/>
  <c r="H13269" i="16"/>
  <c r="H13270" i="16"/>
  <c r="H13271" i="16"/>
  <c r="H13272" i="16"/>
  <c r="H13273" i="16"/>
  <c r="H13274" i="16"/>
  <c r="H13275" i="16"/>
  <c r="H13276" i="16"/>
  <c r="H13277" i="16"/>
  <c r="H13278" i="16"/>
  <c r="H13279" i="16"/>
  <c r="H13280" i="16"/>
  <c r="H13281" i="16"/>
  <c r="H13282" i="16"/>
  <c r="H13283" i="16"/>
  <c r="H13284" i="16"/>
  <c r="H13285" i="16"/>
  <c r="H13286" i="16"/>
  <c r="H13287" i="16"/>
  <c r="H13288" i="16"/>
  <c r="H13289" i="16"/>
  <c r="H13290" i="16"/>
  <c r="H13291" i="16"/>
  <c r="H13292" i="16"/>
  <c r="H13293" i="16"/>
  <c r="H13294" i="16"/>
  <c r="H13295" i="16"/>
  <c r="H13296" i="16"/>
  <c r="H13297" i="16"/>
  <c r="H13298" i="16"/>
  <c r="H13299" i="16"/>
  <c r="H13300" i="16"/>
  <c r="H13301" i="16"/>
  <c r="H13302" i="16"/>
  <c r="H13303" i="16"/>
  <c r="H13304" i="16"/>
  <c r="H13305" i="16"/>
  <c r="H13306" i="16"/>
  <c r="H13307" i="16"/>
  <c r="H13308" i="16"/>
  <c r="H13309" i="16"/>
  <c r="H13310" i="16"/>
  <c r="H13311" i="16"/>
  <c r="H13312" i="16"/>
  <c r="H13313" i="16"/>
  <c r="H13314" i="16"/>
  <c r="H13315" i="16"/>
  <c r="H13316" i="16"/>
  <c r="H13317" i="16"/>
  <c r="H13318" i="16"/>
  <c r="H13319" i="16"/>
  <c r="H13320" i="16"/>
  <c r="H13321" i="16"/>
  <c r="H13322" i="16"/>
  <c r="H13323" i="16"/>
  <c r="H13324" i="16"/>
  <c r="H13325" i="16"/>
  <c r="H13326" i="16"/>
  <c r="H13327" i="16"/>
  <c r="H13328" i="16"/>
  <c r="H13329" i="16"/>
  <c r="H13330" i="16"/>
  <c r="H13331" i="16"/>
  <c r="H13332" i="16"/>
  <c r="H13333" i="16"/>
  <c r="H13334" i="16"/>
  <c r="H13335" i="16"/>
  <c r="H13336" i="16"/>
  <c r="H13337" i="16"/>
  <c r="H13338" i="16"/>
  <c r="H13339" i="16"/>
  <c r="H13340" i="16"/>
  <c r="H13341" i="16"/>
  <c r="H13342" i="16"/>
  <c r="H13343" i="16"/>
  <c r="H13344" i="16"/>
  <c r="H13345" i="16"/>
  <c r="H13346" i="16"/>
  <c r="H13347" i="16"/>
  <c r="H13348" i="16"/>
  <c r="H13349" i="16"/>
  <c r="H13350" i="16"/>
  <c r="H13351" i="16"/>
  <c r="H13352" i="16"/>
  <c r="H13353" i="16"/>
  <c r="H13354" i="16"/>
  <c r="H13355" i="16"/>
  <c r="H13356" i="16"/>
  <c r="H13357" i="16"/>
  <c r="H13358" i="16"/>
  <c r="H13359" i="16"/>
  <c r="H13360" i="16"/>
  <c r="H13361" i="16"/>
  <c r="H13362" i="16"/>
  <c r="H13363" i="16"/>
  <c r="H13364" i="16"/>
  <c r="H13365" i="16"/>
  <c r="H13366" i="16"/>
  <c r="H13367" i="16"/>
  <c r="H13368" i="16"/>
  <c r="H13369" i="16"/>
  <c r="H13370" i="16"/>
  <c r="H13371" i="16"/>
  <c r="H13372" i="16"/>
  <c r="H13373" i="16"/>
  <c r="H13374" i="16"/>
  <c r="H13375" i="16"/>
  <c r="H13376" i="16"/>
  <c r="H13377" i="16"/>
  <c r="H13378" i="16"/>
  <c r="H13379" i="16"/>
  <c r="H13380" i="16"/>
  <c r="H13381" i="16"/>
  <c r="H13382" i="16"/>
  <c r="H13383" i="16"/>
  <c r="H13384" i="16"/>
  <c r="H13385" i="16"/>
  <c r="H13386" i="16"/>
  <c r="H13387" i="16"/>
  <c r="H13388" i="16"/>
  <c r="H13389" i="16"/>
  <c r="H13390" i="16"/>
  <c r="H13391" i="16"/>
  <c r="H13392" i="16"/>
  <c r="H13393" i="16"/>
  <c r="H13394" i="16"/>
  <c r="H13395" i="16"/>
  <c r="H13396" i="16"/>
  <c r="H13397" i="16"/>
  <c r="H13398" i="16"/>
  <c r="H13399" i="16"/>
  <c r="H13400" i="16"/>
  <c r="H13401" i="16"/>
  <c r="H13402" i="16"/>
  <c r="H13403" i="16"/>
  <c r="H13404" i="16"/>
  <c r="H13405" i="16"/>
  <c r="H13406" i="16"/>
  <c r="H13407" i="16"/>
  <c r="H13408" i="16"/>
  <c r="H13409" i="16"/>
  <c r="H13410" i="16"/>
  <c r="H13411" i="16"/>
  <c r="H13412" i="16"/>
  <c r="H13413" i="16"/>
  <c r="H13414" i="16"/>
  <c r="H13415" i="16"/>
  <c r="H13416" i="16"/>
  <c r="H13417" i="16"/>
  <c r="H13418" i="16"/>
  <c r="H13419" i="16"/>
  <c r="H13420" i="16"/>
  <c r="H13421" i="16"/>
  <c r="H13422" i="16"/>
  <c r="H13423" i="16"/>
  <c r="H13424" i="16"/>
  <c r="H13425" i="16"/>
  <c r="H13426" i="16"/>
  <c r="H13427" i="16"/>
  <c r="H13428" i="16"/>
  <c r="H13429" i="16"/>
  <c r="H13430" i="16"/>
  <c r="H13431" i="16"/>
  <c r="H13432" i="16"/>
  <c r="H13433" i="16"/>
  <c r="H13434" i="16"/>
  <c r="H13435" i="16"/>
  <c r="H13436" i="16"/>
  <c r="H13437" i="16"/>
  <c r="H13438" i="16"/>
  <c r="H13439" i="16"/>
  <c r="H13440" i="16"/>
  <c r="H13441" i="16"/>
  <c r="H13442" i="16"/>
  <c r="H13443" i="16"/>
  <c r="H13444" i="16"/>
  <c r="H13445" i="16"/>
  <c r="H13446" i="16"/>
  <c r="H13447" i="16"/>
  <c r="H13448" i="16"/>
  <c r="H13449" i="16"/>
  <c r="H13450" i="16"/>
  <c r="H13451" i="16"/>
  <c r="H13452" i="16"/>
  <c r="H13453" i="16"/>
  <c r="H13454" i="16"/>
  <c r="H13455" i="16"/>
  <c r="H13456" i="16"/>
  <c r="H13457" i="16"/>
  <c r="H13458" i="16"/>
  <c r="H13459" i="16"/>
  <c r="H13460" i="16"/>
  <c r="H13461" i="16"/>
  <c r="H13462" i="16"/>
  <c r="H13463" i="16"/>
  <c r="H13464" i="16"/>
  <c r="H13465" i="16"/>
  <c r="H13466" i="16"/>
  <c r="H13467" i="16"/>
  <c r="H13468" i="16"/>
  <c r="H13469" i="16"/>
  <c r="H13470" i="16"/>
  <c r="H13471" i="16"/>
  <c r="H13472" i="16"/>
  <c r="H13473" i="16"/>
  <c r="H13474" i="16"/>
  <c r="H13475" i="16"/>
  <c r="H13476" i="16"/>
  <c r="H13477" i="16"/>
  <c r="H13478" i="16"/>
  <c r="H13479" i="16"/>
  <c r="H13480" i="16"/>
  <c r="H13481" i="16"/>
  <c r="H13482" i="16"/>
  <c r="H13483" i="16"/>
  <c r="H13484" i="16"/>
  <c r="H13485" i="16"/>
  <c r="H13486" i="16"/>
  <c r="H13487" i="16"/>
  <c r="H13488" i="16"/>
  <c r="H13489" i="16"/>
  <c r="H13490" i="16"/>
  <c r="H13491" i="16"/>
  <c r="H13492" i="16"/>
  <c r="H13493" i="16"/>
  <c r="H13494" i="16"/>
  <c r="H13495" i="16"/>
  <c r="H13496" i="16"/>
  <c r="H13497" i="16"/>
  <c r="H13498" i="16"/>
  <c r="H13499" i="16"/>
  <c r="H13500" i="16"/>
  <c r="H13501" i="16"/>
  <c r="H13502" i="16"/>
  <c r="H13503" i="16"/>
  <c r="H13504" i="16"/>
  <c r="H13505" i="16"/>
  <c r="H13506" i="16"/>
  <c r="H13507" i="16"/>
  <c r="H13508" i="16"/>
  <c r="H13509" i="16"/>
  <c r="H13510" i="16"/>
  <c r="H13511" i="16"/>
  <c r="H13512" i="16"/>
  <c r="H13513" i="16"/>
  <c r="H13514" i="16"/>
  <c r="H13515" i="16"/>
  <c r="H13516" i="16"/>
  <c r="H13517" i="16"/>
  <c r="H13518" i="16"/>
  <c r="H13519" i="16"/>
  <c r="H13520" i="16"/>
  <c r="H13521" i="16"/>
  <c r="H13522" i="16"/>
  <c r="H13523" i="16"/>
  <c r="H13524" i="16"/>
  <c r="H13525" i="16"/>
  <c r="H13526" i="16"/>
  <c r="H13527" i="16"/>
  <c r="H13528" i="16"/>
  <c r="H13529" i="16"/>
  <c r="H13530" i="16"/>
  <c r="H13531" i="16"/>
  <c r="H13532" i="16"/>
  <c r="H13533" i="16"/>
  <c r="H13534" i="16"/>
  <c r="H13535" i="16"/>
  <c r="H13536" i="16"/>
  <c r="H13537" i="16"/>
  <c r="H13538" i="16"/>
  <c r="H13539" i="16"/>
  <c r="H13540" i="16"/>
  <c r="H13541" i="16"/>
  <c r="H13542" i="16"/>
  <c r="H13543" i="16"/>
  <c r="H13544" i="16"/>
  <c r="H13545" i="16"/>
  <c r="H13546" i="16"/>
  <c r="H13547" i="16"/>
  <c r="H13548" i="16"/>
  <c r="H13549" i="16"/>
  <c r="H13550" i="16"/>
  <c r="H13551" i="16"/>
  <c r="H13552" i="16"/>
  <c r="H13553" i="16"/>
  <c r="H13554" i="16"/>
  <c r="H13555" i="16"/>
  <c r="H13556" i="16"/>
  <c r="H13557" i="16"/>
  <c r="H13558" i="16"/>
  <c r="H13559" i="16"/>
  <c r="H13560" i="16"/>
  <c r="H13561" i="16"/>
  <c r="H13562" i="16"/>
  <c r="H13563" i="16"/>
  <c r="H13564" i="16"/>
  <c r="H13565" i="16"/>
  <c r="H13566" i="16"/>
  <c r="H13567" i="16"/>
  <c r="H13568" i="16"/>
  <c r="H13569" i="16"/>
  <c r="H13570" i="16"/>
  <c r="H13571" i="16"/>
  <c r="H13572" i="16"/>
  <c r="H13573" i="16"/>
  <c r="H13574" i="16"/>
  <c r="H13575" i="16"/>
  <c r="H13576" i="16"/>
  <c r="H13577" i="16"/>
  <c r="H13578" i="16"/>
  <c r="H13579" i="16"/>
  <c r="H13580" i="16"/>
  <c r="H13581" i="16"/>
  <c r="H13582" i="16"/>
  <c r="H13583" i="16"/>
  <c r="H13584" i="16"/>
  <c r="H13585" i="16"/>
  <c r="H13586" i="16"/>
  <c r="H13587" i="16"/>
  <c r="H13588" i="16"/>
  <c r="H13589" i="16"/>
  <c r="H13590" i="16"/>
  <c r="H13591" i="16"/>
  <c r="H13592" i="16"/>
  <c r="H13593" i="16"/>
  <c r="H13594" i="16"/>
  <c r="H13595" i="16"/>
  <c r="H13596" i="16"/>
  <c r="H13597" i="16"/>
  <c r="H13598" i="16"/>
  <c r="H13599" i="16"/>
  <c r="H13600" i="16"/>
  <c r="H13601" i="16"/>
  <c r="H13602" i="16"/>
  <c r="H13603" i="16"/>
  <c r="H13604" i="16"/>
  <c r="H13605" i="16"/>
  <c r="H13606" i="16"/>
  <c r="H13607" i="16"/>
  <c r="H13608" i="16"/>
  <c r="H13609" i="16"/>
  <c r="H13610" i="16"/>
  <c r="H13611" i="16"/>
  <c r="H13612" i="16"/>
  <c r="H13613" i="16"/>
  <c r="H13614" i="16"/>
  <c r="H13615" i="16"/>
  <c r="H13616" i="16"/>
  <c r="H13617" i="16"/>
  <c r="H13618" i="16"/>
  <c r="H13619" i="16"/>
  <c r="H13620" i="16"/>
  <c r="H13621" i="16"/>
  <c r="H13622" i="16"/>
  <c r="H13623" i="16"/>
  <c r="H13624" i="16"/>
  <c r="H13625" i="16"/>
  <c r="H13626" i="16"/>
  <c r="H13627" i="16"/>
  <c r="H13628" i="16"/>
  <c r="H13629" i="16"/>
  <c r="H13630" i="16"/>
  <c r="H13631" i="16"/>
  <c r="H13632" i="16"/>
  <c r="H13633" i="16"/>
  <c r="H13634" i="16"/>
  <c r="H13635" i="16"/>
  <c r="H13636" i="16"/>
  <c r="H13637" i="16"/>
  <c r="H13638" i="16"/>
  <c r="H13639" i="16"/>
  <c r="H13640" i="16"/>
  <c r="H13641" i="16"/>
  <c r="H13642" i="16"/>
  <c r="H13643" i="16"/>
  <c r="H13644" i="16"/>
  <c r="H13645" i="16"/>
  <c r="H13646" i="16"/>
  <c r="H13647" i="16"/>
  <c r="H13648" i="16"/>
  <c r="H13649" i="16"/>
  <c r="H13650" i="16"/>
  <c r="H13651" i="16"/>
  <c r="H13652" i="16"/>
  <c r="H13653" i="16"/>
  <c r="H13654" i="16"/>
  <c r="H13655" i="16"/>
  <c r="H13656" i="16"/>
  <c r="H13657" i="16"/>
  <c r="H13658" i="16"/>
  <c r="H13659" i="16"/>
  <c r="H13660" i="16"/>
  <c r="H13661" i="16"/>
  <c r="H13662" i="16"/>
  <c r="H13663" i="16"/>
  <c r="H13664" i="16"/>
  <c r="H13665" i="16"/>
  <c r="H13666" i="16"/>
  <c r="H13667" i="16"/>
  <c r="H13668" i="16"/>
  <c r="H13669" i="16"/>
  <c r="H13670" i="16"/>
  <c r="H13671" i="16"/>
  <c r="H13672" i="16"/>
  <c r="H13673" i="16"/>
  <c r="H13674" i="16"/>
  <c r="H13675" i="16"/>
  <c r="H13676" i="16"/>
  <c r="H13677" i="16"/>
  <c r="H13678" i="16"/>
  <c r="H13679" i="16"/>
  <c r="H13680" i="16"/>
  <c r="H13681" i="16"/>
  <c r="H13682" i="16"/>
  <c r="H13683" i="16"/>
  <c r="H13684" i="16"/>
  <c r="H13685" i="16"/>
  <c r="H13686" i="16"/>
  <c r="H13687" i="16"/>
  <c r="H13688" i="16"/>
  <c r="H13689" i="16"/>
  <c r="H13690" i="16"/>
  <c r="H13691" i="16"/>
  <c r="H13692" i="16"/>
  <c r="H13693" i="16"/>
  <c r="H13694" i="16"/>
  <c r="H13695" i="16"/>
  <c r="H13696" i="16"/>
  <c r="H13697" i="16"/>
  <c r="H13698" i="16"/>
  <c r="H13699" i="16"/>
  <c r="H13700" i="16"/>
  <c r="H13701" i="16"/>
  <c r="H13702" i="16"/>
  <c r="H13703" i="16"/>
  <c r="H13704" i="16"/>
  <c r="H13705" i="16"/>
  <c r="H13706" i="16"/>
  <c r="H13707" i="16"/>
  <c r="H13708" i="16"/>
  <c r="H13709" i="16"/>
  <c r="H13710" i="16"/>
  <c r="H13711" i="16"/>
  <c r="H13712" i="16"/>
  <c r="H13713" i="16"/>
  <c r="H13714" i="16"/>
  <c r="H13715" i="16"/>
  <c r="H13716" i="16"/>
  <c r="H13717" i="16"/>
  <c r="H13718" i="16"/>
  <c r="H13719" i="16"/>
  <c r="H13720" i="16"/>
  <c r="H13721" i="16"/>
  <c r="H13722" i="16"/>
  <c r="H13723" i="16"/>
  <c r="H13724" i="16"/>
  <c r="H13725" i="16"/>
  <c r="H13726" i="16"/>
  <c r="H13727" i="16"/>
  <c r="H13728" i="16"/>
  <c r="H13729" i="16"/>
  <c r="H13730" i="16"/>
  <c r="H13731" i="16"/>
  <c r="H13732" i="16"/>
  <c r="H13733" i="16"/>
  <c r="H13734" i="16"/>
  <c r="H13735" i="16"/>
  <c r="H13736" i="16"/>
  <c r="H13737" i="16"/>
  <c r="H13738" i="16"/>
  <c r="H13739" i="16"/>
  <c r="H13740" i="16"/>
  <c r="H13741" i="16"/>
  <c r="H13742" i="16"/>
  <c r="H13743" i="16"/>
  <c r="H13744" i="16"/>
  <c r="H13745" i="16"/>
  <c r="H13746" i="16"/>
  <c r="H13747" i="16"/>
  <c r="H13748" i="16"/>
  <c r="H13749" i="16"/>
  <c r="H13750" i="16"/>
  <c r="H13751" i="16"/>
  <c r="H13752" i="16"/>
  <c r="H13753" i="16"/>
  <c r="H13754" i="16"/>
  <c r="H13755" i="16"/>
  <c r="H13756" i="16"/>
  <c r="H13757" i="16"/>
  <c r="H13758" i="16"/>
  <c r="H13759" i="16"/>
  <c r="H13760" i="16"/>
  <c r="H13761" i="16"/>
  <c r="H13762" i="16"/>
  <c r="H13763" i="16"/>
  <c r="H13764" i="16"/>
  <c r="H13765" i="16"/>
  <c r="H13766" i="16"/>
  <c r="H13767" i="16"/>
  <c r="H13768" i="16"/>
  <c r="H13769" i="16"/>
  <c r="H13770" i="16"/>
  <c r="H13771" i="16"/>
  <c r="H13772" i="16"/>
  <c r="H13773" i="16"/>
  <c r="H13774" i="16"/>
  <c r="H13775" i="16"/>
  <c r="H13776" i="16"/>
  <c r="H13777" i="16"/>
  <c r="H13778" i="16"/>
  <c r="H13779" i="16"/>
  <c r="H13780" i="16"/>
  <c r="H13781" i="16"/>
  <c r="H13782" i="16"/>
  <c r="H13783" i="16"/>
  <c r="H13784" i="16"/>
  <c r="H13785" i="16"/>
  <c r="H13786" i="16"/>
  <c r="H13787" i="16"/>
  <c r="H13788" i="16"/>
  <c r="H13789" i="16"/>
  <c r="H13790" i="16"/>
  <c r="H13791" i="16"/>
  <c r="H13792" i="16"/>
  <c r="H13793" i="16"/>
  <c r="H13794" i="16"/>
  <c r="H13795" i="16"/>
  <c r="H13796" i="16"/>
  <c r="H13797" i="16"/>
  <c r="H13798" i="16"/>
  <c r="H13799" i="16"/>
  <c r="H13800" i="16"/>
  <c r="H13801" i="16"/>
  <c r="H13802" i="16"/>
  <c r="H13803" i="16"/>
  <c r="H13804" i="16"/>
  <c r="H13805" i="16"/>
  <c r="H13806" i="16"/>
  <c r="H13807" i="16"/>
  <c r="H13808" i="16"/>
  <c r="H13809" i="16"/>
  <c r="H13810" i="16"/>
  <c r="H13811" i="16"/>
  <c r="H13812" i="16"/>
  <c r="H13813" i="16"/>
  <c r="H13814" i="16"/>
  <c r="H13815" i="16"/>
  <c r="H13816" i="16"/>
  <c r="H13817" i="16"/>
  <c r="H13818" i="16"/>
  <c r="H13819" i="16"/>
  <c r="H13820" i="16"/>
  <c r="H13821" i="16"/>
  <c r="H13822" i="16"/>
  <c r="H13823" i="16"/>
  <c r="H13824" i="16"/>
  <c r="H13825" i="16"/>
  <c r="H13826" i="16"/>
  <c r="H13827" i="16"/>
  <c r="H13828" i="16"/>
  <c r="H13829" i="16"/>
  <c r="H13830" i="16"/>
  <c r="H13831" i="16"/>
  <c r="H13832" i="16"/>
  <c r="H13833" i="16"/>
  <c r="H13834" i="16"/>
  <c r="H13835" i="16"/>
  <c r="H13836" i="16"/>
  <c r="H13837" i="16"/>
  <c r="H13838" i="16"/>
  <c r="H13839" i="16"/>
  <c r="H13840" i="16"/>
  <c r="H13841" i="16"/>
  <c r="H13842" i="16"/>
  <c r="H13843" i="16"/>
  <c r="H13844" i="16"/>
  <c r="H13845" i="16"/>
  <c r="H13846" i="16"/>
  <c r="H13847" i="16"/>
  <c r="H13848" i="16"/>
  <c r="H13849" i="16"/>
  <c r="H13850" i="16"/>
  <c r="H13851" i="16"/>
  <c r="H13852" i="16"/>
  <c r="H13853" i="16"/>
  <c r="H13854" i="16"/>
  <c r="H13855" i="16"/>
  <c r="H13856" i="16"/>
  <c r="H13857" i="16"/>
  <c r="H13858" i="16"/>
  <c r="H13859" i="16"/>
  <c r="H13860" i="16"/>
  <c r="H13861" i="16"/>
  <c r="H13862" i="16"/>
  <c r="H13863" i="16"/>
  <c r="H13864" i="16"/>
  <c r="H13865" i="16"/>
  <c r="H13866" i="16"/>
  <c r="H13867" i="16"/>
  <c r="H13868" i="16"/>
  <c r="H13869" i="16"/>
  <c r="H13870" i="16"/>
  <c r="H13871" i="16"/>
  <c r="H13872" i="16"/>
  <c r="H13873" i="16"/>
  <c r="H13874" i="16"/>
  <c r="H13875" i="16"/>
  <c r="H13876" i="16"/>
  <c r="H13877" i="16"/>
  <c r="H13878" i="16"/>
  <c r="H13879" i="16"/>
  <c r="H13880" i="16"/>
  <c r="H13881" i="16"/>
  <c r="H13882" i="16"/>
  <c r="H13883" i="16"/>
  <c r="H13884" i="16"/>
  <c r="H13885" i="16"/>
  <c r="H13886" i="16"/>
  <c r="H13887" i="16"/>
  <c r="H13888" i="16"/>
  <c r="H13889" i="16"/>
  <c r="H13890" i="16"/>
  <c r="H13891" i="16"/>
  <c r="H13892" i="16"/>
  <c r="H13893" i="16"/>
  <c r="H13894" i="16"/>
  <c r="H13895" i="16"/>
  <c r="H13896" i="16"/>
  <c r="H13897" i="16"/>
  <c r="H13898" i="16"/>
  <c r="H13899" i="16"/>
  <c r="H13900" i="16"/>
  <c r="H13901" i="16"/>
  <c r="H13902" i="16"/>
  <c r="H13903" i="16"/>
  <c r="H13904" i="16"/>
  <c r="H13905" i="16"/>
  <c r="H13906" i="16"/>
  <c r="H13907" i="16"/>
  <c r="H13908" i="16"/>
  <c r="H13909" i="16"/>
  <c r="H13910" i="16"/>
  <c r="H13911" i="16"/>
  <c r="H13912" i="16"/>
  <c r="H13913" i="16"/>
  <c r="H13914" i="16"/>
  <c r="H13915" i="16"/>
  <c r="H13916" i="16"/>
  <c r="H13917" i="16"/>
  <c r="H13918" i="16"/>
  <c r="H13919" i="16"/>
  <c r="H13920" i="16"/>
  <c r="H13921" i="16"/>
  <c r="H13922" i="16"/>
  <c r="H13923" i="16"/>
  <c r="H13924" i="16"/>
  <c r="H13925" i="16"/>
  <c r="H13926" i="16"/>
  <c r="H13927" i="16"/>
  <c r="H13928" i="16"/>
  <c r="H13929" i="16"/>
  <c r="H13930" i="16"/>
  <c r="H13931" i="16"/>
  <c r="H13932" i="16"/>
  <c r="H13933" i="16"/>
  <c r="H13934" i="16"/>
  <c r="H13935" i="16"/>
  <c r="H13936" i="16"/>
  <c r="H13937" i="16"/>
  <c r="H13938" i="16"/>
  <c r="H13939" i="16"/>
  <c r="H13940" i="16"/>
  <c r="H13941" i="16"/>
  <c r="H13942" i="16"/>
  <c r="H13943" i="16"/>
  <c r="H13944" i="16"/>
  <c r="H13945" i="16"/>
  <c r="H13946" i="16"/>
  <c r="H13947" i="16"/>
  <c r="H13948" i="16"/>
  <c r="H13949" i="16"/>
  <c r="H13950" i="16"/>
  <c r="H13951" i="16"/>
  <c r="H13952" i="16"/>
  <c r="H13953" i="16"/>
  <c r="H13954" i="16"/>
  <c r="H13955" i="16"/>
  <c r="H13956" i="16"/>
  <c r="H13957" i="16"/>
  <c r="H13958" i="16"/>
  <c r="H13959" i="16"/>
  <c r="H13960" i="16"/>
  <c r="H13961" i="16"/>
  <c r="H13962" i="16"/>
  <c r="H13963" i="16"/>
  <c r="H13964" i="16"/>
  <c r="H13965" i="16"/>
  <c r="H13966" i="16"/>
  <c r="H13967" i="16"/>
  <c r="H13968" i="16"/>
  <c r="H13969" i="16"/>
  <c r="H13970" i="16"/>
  <c r="H13971" i="16"/>
  <c r="H13972" i="16"/>
  <c r="H13973" i="16"/>
  <c r="H13974" i="16"/>
  <c r="H13975" i="16"/>
  <c r="H13976" i="16"/>
  <c r="H13977" i="16"/>
  <c r="H13978" i="16"/>
  <c r="H13979" i="16"/>
  <c r="H13980" i="16"/>
  <c r="H13981" i="16"/>
  <c r="H13982" i="16"/>
  <c r="H13983" i="16"/>
  <c r="H13984" i="16"/>
  <c r="H13985" i="16"/>
  <c r="H13986" i="16"/>
  <c r="H13987" i="16"/>
  <c r="H13988" i="16"/>
  <c r="H13989" i="16"/>
  <c r="H13990" i="16"/>
  <c r="H13991" i="16"/>
  <c r="H13992" i="16"/>
  <c r="H13993" i="16"/>
  <c r="H13994" i="16"/>
  <c r="H13995" i="16"/>
  <c r="H13996" i="16"/>
  <c r="H13997" i="16"/>
  <c r="H13998" i="16"/>
  <c r="H13999" i="16"/>
  <c r="H14000" i="16"/>
  <c r="H14001" i="16"/>
  <c r="H14002" i="16"/>
  <c r="H14003" i="16"/>
  <c r="H14004" i="16"/>
  <c r="H14005" i="16"/>
  <c r="H14006" i="16"/>
  <c r="H14007" i="16"/>
  <c r="H14008" i="16"/>
  <c r="H14009" i="16"/>
  <c r="H14010" i="16"/>
  <c r="H14011" i="16"/>
  <c r="H14012" i="16"/>
  <c r="H14013" i="16"/>
  <c r="H14014" i="16"/>
  <c r="H14015" i="16"/>
  <c r="H14016" i="16"/>
  <c r="H14017" i="16"/>
  <c r="H14018" i="16"/>
  <c r="H14019" i="16"/>
  <c r="H14020" i="16"/>
  <c r="H14021" i="16"/>
  <c r="H14022" i="16"/>
  <c r="H14023" i="16"/>
  <c r="H14024" i="16"/>
  <c r="H14025" i="16"/>
  <c r="H14026" i="16"/>
  <c r="H14027" i="16"/>
  <c r="H14028" i="16"/>
  <c r="H14029" i="16"/>
  <c r="H14030" i="16"/>
  <c r="H14031" i="16"/>
  <c r="H14032" i="16"/>
  <c r="H14033" i="16"/>
  <c r="H14034" i="16"/>
  <c r="H14035" i="16"/>
  <c r="H14036" i="16"/>
  <c r="H14037" i="16"/>
  <c r="H14038" i="16"/>
  <c r="H14039" i="16"/>
  <c r="H14040" i="16"/>
  <c r="H14041" i="16"/>
  <c r="H14042" i="16"/>
  <c r="H14043" i="16"/>
  <c r="H14044" i="16"/>
  <c r="H14045" i="16"/>
  <c r="H14046" i="16"/>
  <c r="H14047" i="16"/>
  <c r="H14048" i="16"/>
  <c r="H14049" i="16"/>
  <c r="H14050" i="16"/>
  <c r="H14051" i="16"/>
  <c r="H14052" i="16"/>
  <c r="H14053" i="16"/>
  <c r="H14054" i="16"/>
  <c r="H14055" i="16"/>
  <c r="H14056" i="16"/>
  <c r="H14057" i="16"/>
  <c r="H14058" i="16"/>
  <c r="H14059" i="16"/>
  <c r="H14060" i="16"/>
  <c r="H14061" i="16"/>
  <c r="H14062" i="16"/>
  <c r="H14063" i="16"/>
  <c r="H14064" i="16"/>
  <c r="H14065" i="16"/>
  <c r="H14066" i="16"/>
  <c r="H14067" i="16"/>
  <c r="H14068" i="16"/>
  <c r="H14069" i="16"/>
  <c r="H14070" i="16"/>
  <c r="H14071" i="16"/>
  <c r="H14072" i="16"/>
  <c r="H14073" i="16"/>
  <c r="H14074" i="16"/>
  <c r="H14075" i="16"/>
  <c r="H14076" i="16"/>
  <c r="H14077" i="16"/>
  <c r="H14078" i="16"/>
  <c r="H14079" i="16"/>
  <c r="H14080" i="16"/>
  <c r="H14081" i="16"/>
  <c r="H14082" i="16"/>
  <c r="H14083" i="16"/>
  <c r="H14084" i="16"/>
  <c r="H14085" i="16"/>
  <c r="H14086" i="16"/>
  <c r="H14087" i="16"/>
  <c r="H14088" i="16"/>
  <c r="H14089" i="16"/>
  <c r="H14090" i="16"/>
  <c r="H14091" i="16"/>
  <c r="H14092" i="16"/>
  <c r="H14093" i="16"/>
  <c r="H14094" i="16"/>
  <c r="H14095" i="16"/>
  <c r="H14096" i="16"/>
  <c r="H14097" i="16"/>
  <c r="H14098" i="16"/>
  <c r="H14099" i="16"/>
  <c r="H14100" i="16"/>
  <c r="H14101" i="16"/>
  <c r="H14102" i="16"/>
  <c r="H14103" i="16"/>
  <c r="H14104" i="16"/>
  <c r="H14105" i="16"/>
  <c r="H14106" i="16"/>
  <c r="H14107" i="16"/>
  <c r="H14108" i="16"/>
  <c r="H14109" i="16"/>
  <c r="H14110" i="16"/>
  <c r="H14111" i="16"/>
  <c r="H14112" i="16"/>
  <c r="H14113" i="16"/>
  <c r="H14114" i="16"/>
  <c r="H14115" i="16"/>
  <c r="H14116" i="16"/>
  <c r="H14117" i="16"/>
  <c r="H14118" i="16"/>
  <c r="H14119" i="16"/>
  <c r="H14120" i="16"/>
  <c r="H14121" i="16"/>
  <c r="H14122" i="16"/>
  <c r="H14123" i="16"/>
  <c r="H14124" i="16"/>
  <c r="H14125" i="16"/>
  <c r="H14126" i="16"/>
  <c r="H14127" i="16"/>
  <c r="H14128" i="16"/>
  <c r="H14129" i="16"/>
  <c r="H14130" i="16"/>
  <c r="H14131" i="16"/>
  <c r="H14132" i="16"/>
  <c r="H14133" i="16"/>
  <c r="H14134" i="16"/>
  <c r="H14135" i="16"/>
  <c r="H14136" i="16"/>
  <c r="H14137" i="16"/>
  <c r="H14138" i="16"/>
  <c r="H14139" i="16"/>
  <c r="H14140" i="16"/>
  <c r="H14141" i="16"/>
  <c r="H14142" i="16"/>
  <c r="H14143" i="16"/>
  <c r="H14144" i="16"/>
  <c r="H14145" i="16"/>
  <c r="H14146" i="16"/>
  <c r="H14147" i="16"/>
  <c r="H14148" i="16"/>
  <c r="H14149" i="16"/>
  <c r="H14150" i="16"/>
  <c r="H14151" i="16"/>
  <c r="H14152" i="16"/>
  <c r="H14153" i="16"/>
  <c r="H14154" i="16"/>
  <c r="H14155" i="16"/>
  <c r="H14156" i="16"/>
  <c r="H14157" i="16"/>
  <c r="H14158" i="16"/>
  <c r="H14159" i="16"/>
  <c r="H14160" i="16"/>
  <c r="H14161" i="16"/>
  <c r="H14162" i="16"/>
  <c r="H14163" i="16"/>
  <c r="H14164" i="16"/>
  <c r="H14165" i="16"/>
  <c r="H14166" i="16"/>
  <c r="H14167" i="16"/>
  <c r="H14168" i="16"/>
  <c r="H14169" i="16"/>
  <c r="H14170" i="16"/>
  <c r="H14171" i="16"/>
  <c r="H14172" i="16"/>
  <c r="H14173" i="16"/>
  <c r="H14174" i="16"/>
  <c r="H14175" i="16"/>
  <c r="H14176" i="16"/>
  <c r="H14177" i="16"/>
  <c r="H14178" i="16"/>
  <c r="H14179" i="16"/>
  <c r="H14180" i="16"/>
  <c r="H14181" i="16"/>
  <c r="H14182" i="16"/>
  <c r="H14183" i="16"/>
  <c r="H14184" i="16"/>
  <c r="H14185" i="16"/>
  <c r="H14186" i="16"/>
  <c r="H14187" i="16"/>
  <c r="H14188" i="16"/>
  <c r="H14189" i="16"/>
  <c r="H14190" i="16"/>
  <c r="H14191" i="16"/>
  <c r="H14192" i="16"/>
  <c r="H14193" i="16"/>
  <c r="H14194" i="16"/>
  <c r="H14195" i="16"/>
  <c r="H14196" i="16"/>
  <c r="H14197" i="16"/>
  <c r="H14198" i="16"/>
  <c r="H14199" i="16"/>
  <c r="H14200" i="16"/>
  <c r="H14201" i="16"/>
  <c r="H14202" i="16"/>
  <c r="H14203" i="16"/>
  <c r="H14204" i="16"/>
  <c r="H14205" i="16"/>
  <c r="H14206" i="16"/>
  <c r="H14207" i="16"/>
  <c r="H14208" i="16"/>
  <c r="H14209" i="16"/>
  <c r="H14210" i="16"/>
  <c r="H14211" i="16"/>
  <c r="H14212" i="16"/>
  <c r="H14213" i="16"/>
  <c r="H14214" i="16"/>
  <c r="H14215" i="16"/>
  <c r="H14216" i="16"/>
  <c r="H14217" i="16"/>
  <c r="H14218" i="16"/>
  <c r="H14219" i="16"/>
  <c r="H14220" i="16"/>
  <c r="H14221" i="16"/>
  <c r="H14222" i="16"/>
  <c r="H14223" i="16"/>
  <c r="H14224" i="16"/>
  <c r="H14225" i="16"/>
  <c r="H14226" i="16"/>
  <c r="H14227" i="16"/>
  <c r="H14228" i="16"/>
  <c r="H14229" i="16"/>
  <c r="H14230" i="16"/>
  <c r="H14231" i="16"/>
  <c r="H14232" i="16"/>
  <c r="H14233" i="16"/>
  <c r="H14234" i="16"/>
  <c r="H14235" i="16"/>
  <c r="H14236" i="16"/>
  <c r="H14237" i="16"/>
  <c r="H14238" i="16"/>
  <c r="H14239" i="16"/>
  <c r="H14240" i="16"/>
  <c r="H14241" i="16"/>
  <c r="H14242" i="16"/>
  <c r="H14243" i="16"/>
  <c r="H14244" i="16"/>
  <c r="H14245" i="16"/>
  <c r="H14246" i="16"/>
  <c r="H14247" i="16"/>
  <c r="H14248" i="16"/>
  <c r="H14249" i="16"/>
  <c r="H14250" i="16"/>
  <c r="H14251" i="16"/>
  <c r="H14252" i="16"/>
  <c r="H14253" i="16"/>
  <c r="H14254" i="16"/>
  <c r="H14255" i="16"/>
  <c r="H14256" i="16"/>
  <c r="H14257" i="16"/>
  <c r="H14258" i="16"/>
  <c r="H14259" i="16"/>
  <c r="H14260" i="16"/>
  <c r="H14261" i="16"/>
  <c r="H14262" i="16"/>
  <c r="H14263" i="16"/>
  <c r="H14264" i="16"/>
  <c r="H14265" i="16"/>
  <c r="H14266" i="16"/>
  <c r="H14267" i="16"/>
  <c r="H14268" i="16"/>
  <c r="H14269" i="16"/>
  <c r="H14270" i="16"/>
  <c r="H14271" i="16"/>
  <c r="H14272" i="16"/>
  <c r="H14273" i="16"/>
  <c r="H14274" i="16"/>
  <c r="H14275" i="16"/>
  <c r="H14276" i="16"/>
  <c r="H14277" i="16"/>
  <c r="H14278" i="16"/>
  <c r="H14279" i="16"/>
  <c r="H14280" i="16"/>
  <c r="H14281" i="16"/>
  <c r="H14282" i="16"/>
  <c r="H14283" i="16"/>
  <c r="H14284" i="16"/>
  <c r="H14285" i="16"/>
  <c r="H14286" i="16"/>
  <c r="H14287" i="16"/>
  <c r="H14288" i="16"/>
  <c r="H14289" i="16"/>
  <c r="H14290" i="16"/>
  <c r="H14291" i="16"/>
  <c r="H14292" i="16"/>
  <c r="H14293" i="16"/>
  <c r="H14294" i="16"/>
  <c r="H14295" i="16"/>
  <c r="H14296" i="16"/>
  <c r="H14297" i="16"/>
  <c r="H14298" i="16"/>
  <c r="H14299" i="16"/>
  <c r="H14300" i="16"/>
  <c r="H14301" i="16"/>
  <c r="H14302" i="16"/>
  <c r="H14303" i="16"/>
  <c r="H14304" i="16"/>
  <c r="H14305" i="16"/>
  <c r="H14306" i="16"/>
  <c r="H14307" i="16"/>
  <c r="H14308" i="16"/>
  <c r="H14309" i="16"/>
  <c r="H14310" i="16"/>
  <c r="H14311" i="16"/>
  <c r="H14312" i="16"/>
  <c r="H14313" i="16"/>
  <c r="H14314" i="16"/>
  <c r="H14315" i="16"/>
  <c r="H14316" i="16"/>
  <c r="H14317" i="16"/>
  <c r="H14318" i="16"/>
  <c r="H14319" i="16"/>
  <c r="H14320" i="16"/>
  <c r="H14321" i="16"/>
  <c r="H14322" i="16"/>
  <c r="H14323" i="16"/>
  <c r="H14324" i="16"/>
  <c r="H14325" i="16"/>
  <c r="H14326" i="16"/>
  <c r="H14327" i="16"/>
  <c r="H14328" i="16"/>
  <c r="H14329" i="16"/>
  <c r="H14330" i="16"/>
  <c r="H14331" i="16"/>
  <c r="H14332" i="16"/>
  <c r="H14333" i="16"/>
  <c r="H14334" i="16"/>
  <c r="H14335" i="16"/>
  <c r="H14336" i="16"/>
  <c r="H14337" i="16"/>
  <c r="H14338" i="16"/>
  <c r="H14339" i="16"/>
  <c r="H14340" i="16"/>
  <c r="H14341" i="16"/>
  <c r="H14342" i="16"/>
  <c r="H14343" i="16"/>
  <c r="H14344" i="16"/>
  <c r="H14345" i="16"/>
  <c r="H14346" i="16"/>
  <c r="H14347" i="16"/>
  <c r="H14348" i="16"/>
  <c r="H14349" i="16"/>
  <c r="H14350" i="16"/>
  <c r="H14351" i="16"/>
  <c r="H14352" i="16"/>
  <c r="H14353" i="16"/>
  <c r="H14354" i="16"/>
  <c r="H14355" i="16"/>
  <c r="H14356" i="16"/>
  <c r="H14357" i="16"/>
  <c r="H14358" i="16"/>
  <c r="H14359" i="16"/>
  <c r="H14360" i="16"/>
  <c r="H14361" i="16"/>
  <c r="H14362" i="16"/>
  <c r="H14363" i="16"/>
  <c r="H14364" i="16"/>
  <c r="H14365" i="16"/>
  <c r="H14366" i="16"/>
  <c r="H14367" i="16"/>
  <c r="H14368" i="16"/>
  <c r="H14369" i="16"/>
  <c r="H14370" i="16"/>
  <c r="H14371" i="16"/>
  <c r="H14372" i="16"/>
  <c r="H14373" i="16"/>
  <c r="H14374" i="16"/>
  <c r="H14375" i="16"/>
  <c r="H14376" i="16"/>
  <c r="H14377" i="16"/>
  <c r="H14378" i="16"/>
  <c r="H14379" i="16"/>
  <c r="H14380" i="16"/>
  <c r="H14381" i="16"/>
  <c r="H14382" i="16"/>
  <c r="H14383" i="16"/>
  <c r="H14384" i="16"/>
  <c r="H14385" i="16"/>
  <c r="H14386" i="16"/>
  <c r="H14387" i="16"/>
  <c r="H14388" i="16"/>
  <c r="H14389" i="16"/>
  <c r="H14390" i="16"/>
  <c r="H14391" i="16"/>
  <c r="H14392" i="16"/>
  <c r="H14393" i="16"/>
  <c r="H14394" i="16"/>
  <c r="H14395" i="16"/>
  <c r="H14396" i="16"/>
  <c r="H14397" i="16"/>
  <c r="H14398" i="16"/>
  <c r="H14399" i="16"/>
  <c r="H14400" i="16"/>
  <c r="H14401" i="16"/>
  <c r="H14402" i="16"/>
  <c r="H14403" i="16"/>
  <c r="H14404" i="16"/>
  <c r="H14405" i="16"/>
  <c r="H14406" i="16"/>
  <c r="H14407" i="16"/>
  <c r="H14408" i="16"/>
  <c r="H14409" i="16"/>
  <c r="H14410" i="16"/>
  <c r="H14411" i="16"/>
  <c r="H14412" i="16"/>
  <c r="H14413" i="16"/>
  <c r="H14414" i="16"/>
  <c r="H14415" i="16"/>
  <c r="H14416" i="16"/>
  <c r="H14417" i="16"/>
  <c r="H14418" i="16"/>
  <c r="H14419" i="16"/>
  <c r="H14420" i="16"/>
  <c r="H14421" i="16"/>
  <c r="H14422" i="16"/>
  <c r="H14423" i="16"/>
  <c r="H14424" i="16"/>
  <c r="H14425" i="16"/>
  <c r="H14426" i="16"/>
  <c r="H14427" i="16"/>
  <c r="H14428" i="16"/>
  <c r="H14429" i="16"/>
  <c r="H14430" i="16"/>
  <c r="H14431" i="16"/>
  <c r="H14432" i="16"/>
  <c r="H14433" i="16"/>
  <c r="H14434" i="16"/>
  <c r="H14435" i="16"/>
  <c r="H14436" i="16"/>
  <c r="H14437" i="16"/>
  <c r="H14438" i="16"/>
  <c r="H14439" i="16"/>
  <c r="H14440" i="16"/>
  <c r="H14441" i="16"/>
  <c r="H14442" i="16"/>
  <c r="H14443" i="16"/>
  <c r="H14444" i="16"/>
  <c r="H14445" i="16"/>
  <c r="H14446" i="16"/>
  <c r="H14447" i="16"/>
  <c r="H14448" i="16"/>
  <c r="H14449" i="16"/>
  <c r="H14450" i="16"/>
  <c r="H14451" i="16"/>
  <c r="H14452" i="16"/>
  <c r="H14453" i="16"/>
  <c r="H14454" i="16"/>
  <c r="H14455" i="16"/>
  <c r="H14456" i="16"/>
  <c r="H14457" i="16"/>
  <c r="H14458" i="16"/>
  <c r="H14459" i="16"/>
  <c r="H14460" i="16"/>
  <c r="H14461" i="16"/>
  <c r="H14462" i="16"/>
  <c r="H14463" i="16"/>
  <c r="H14464" i="16"/>
  <c r="H14465" i="16"/>
  <c r="H14466" i="16"/>
  <c r="H14467" i="16"/>
  <c r="H14468" i="16"/>
  <c r="H14469" i="16"/>
  <c r="H14470" i="16"/>
  <c r="H14471" i="16"/>
  <c r="H14472" i="16"/>
  <c r="H14473" i="16"/>
  <c r="H14474" i="16"/>
  <c r="H14475" i="16"/>
  <c r="H14476" i="16"/>
  <c r="H14477" i="16"/>
  <c r="H14478" i="16"/>
  <c r="H14479" i="16"/>
  <c r="H14480" i="16"/>
  <c r="H14481" i="16"/>
  <c r="H14482" i="16"/>
  <c r="H14483" i="16"/>
  <c r="H14484" i="16"/>
  <c r="H14485" i="16"/>
  <c r="H14486" i="16"/>
  <c r="H14487" i="16"/>
  <c r="H14488" i="16"/>
  <c r="H14489" i="16"/>
  <c r="H14490" i="16"/>
  <c r="H14491" i="16"/>
  <c r="H14492" i="16"/>
  <c r="H14493" i="16"/>
  <c r="H14494" i="16"/>
  <c r="H14495" i="16"/>
  <c r="H14496" i="16"/>
  <c r="H14497" i="16"/>
  <c r="H14498" i="16"/>
  <c r="H14499" i="16"/>
  <c r="H14500" i="16"/>
  <c r="H14501" i="16"/>
  <c r="H14502" i="16"/>
  <c r="H14503" i="16"/>
  <c r="H14504" i="16"/>
  <c r="H14505" i="16"/>
  <c r="H14506" i="16"/>
  <c r="H14507" i="16"/>
  <c r="H14508" i="16"/>
  <c r="H14509" i="16"/>
  <c r="H14510" i="16"/>
  <c r="H14511" i="16"/>
  <c r="H14512" i="16"/>
  <c r="H14513" i="16"/>
  <c r="H14514" i="16"/>
  <c r="H14515" i="16"/>
  <c r="H14516" i="16"/>
  <c r="H14517" i="16"/>
  <c r="H14518" i="16"/>
  <c r="H14519" i="16"/>
  <c r="H14520" i="16"/>
  <c r="H14521" i="16"/>
  <c r="H14522" i="16"/>
  <c r="H14523" i="16"/>
  <c r="H14524" i="16"/>
  <c r="H14525" i="16"/>
  <c r="H14526" i="16"/>
  <c r="H14527" i="16"/>
  <c r="H14528" i="16"/>
  <c r="H14529" i="16"/>
  <c r="H14530" i="16"/>
  <c r="H14531" i="16"/>
  <c r="H14532" i="16"/>
  <c r="H14533" i="16"/>
  <c r="H14534" i="16"/>
  <c r="H14535" i="16"/>
  <c r="H14536" i="16"/>
  <c r="H14537" i="16"/>
  <c r="H14538" i="16"/>
  <c r="H14539" i="16"/>
  <c r="H14540" i="16"/>
  <c r="H14541" i="16"/>
  <c r="H14542" i="16"/>
  <c r="H14543" i="16"/>
  <c r="H14544" i="16"/>
  <c r="H14545" i="16"/>
  <c r="H14546" i="16"/>
  <c r="H14547" i="16"/>
  <c r="H14548" i="16"/>
  <c r="H14549" i="16"/>
  <c r="H14550" i="16"/>
  <c r="H14551" i="16"/>
  <c r="H14552" i="16"/>
  <c r="H14553" i="16"/>
  <c r="H14554" i="16"/>
  <c r="H14555" i="16"/>
  <c r="H14556" i="16"/>
  <c r="H14557" i="16"/>
  <c r="H14558" i="16"/>
  <c r="H14559" i="16"/>
  <c r="H14560" i="16"/>
  <c r="H14561" i="16"/>
  <c r="H14562" i="16"/>
  <c r="H14563" i="16"/>
  <c r="H14564" i="16"/>
  <c r="H14565" i="16"/>
  <c r="H14566" i="16"/>
  <c r="H14567" i="16"/>
  <c r="H14568" i="16"/>
  <c r="H14569" i="16"/>
  <c r="H14570" i="16"/>
  <c r="H14571" i="16"/>
  <c r="H14572" i="16"/>
  <c r="H14573" i="16"/>
  <c r="H14574" i="16"/>
  <c r="H14575" i="16"/>
  <c r="H14576" i="16"/>
  <c r="H14577" i="16"/>
  <c r="H14578" i="16"/>
  <c r="H14579" i="16"/>
  <c r="H14580" i="16"/>
  <c r="H14581" i="16"/>
  <c r="H14582" i="16"/>
  <c r="H14583" i="16"/>
  <c r="H14584" i="16"/>
  <c r="H14585" i="16"/>
  <c r="H14586" i="16"/>
  <c r="H14587" i="16"/>
  <c r="H14588" i="16"/>
  <c r="H14589" i="16"/>
  <c r="H14590" i="16"/>
  <c r="H14591" i="16"/>
  <c r="H14592" i="16"/>
  <c r="H14593" i="16"/>
  <c r="H14594" i="16"/>
  <c r="H14595" i="16"/>
  <c r="H14596" i="16"/>
  <c r="H14597" i="16"/>
  <c r="H14598" i="16"/>
  <c r="H14599" i="16"/>
  <c r="H14600" i="16"/>
  <c r="H14601" i="16"/>
  <c r="H14602" i="16"/>
  <c r="H14603" i="16"/>
  <c r="H14604" i="16"/>
  <c r="H14605" i="16"/>
  <c r="H14606" i="16"/>
  <c r="H14607" i="16"/>
  <c r="H14608" i="16"/>
  <c r="H14609" i="16"/>
  <c r="H14610" i="16"/>
  <c r="H14611" i="16"/>
  <c r="H14612" i="16"/>
  <c r="H14613" i="16"/>
  <c r="H14614" i="16"/>
  <c r="H14615" i="16"/>
  <c r="H14616" i="16"/>
  <c r="H14617" i="16"/>
  <c r="H14618" i="16"/>
  <c r="H14619" i="16"/>
  <c r="H14620" i="16"/>
  <c r="H14621" i="16"/>
  <c r="H14622" i="16"/>
  <c r="H14623" i="16"/>
  <c r="H14624" i="16"/>
  <c r="H14625" i="16"/>
  <c r="H14626" i="16"/>
  <c r="H14627" i="16"/>
  <c r="H14628" i="16"/>
  <c r="H14629" i="16"/>
  <c r="H14630" i="16"/>
  <c r="H14631" i="16"/>
  <c r="H14632" i="16"/>
  <c r="H14633" i="16"/>
  <c r="H14634" i="16"/>
  <c r="H14635" i="16"/>
  <c r="H14636" i="16"/>
  <c r="H14637" i="16"/>
  <c r="H14638" i="16"/>
  <c r="H14639" i="16"/>
  <c r="H14640" i="16"/>
  <c r="H14641" i="16"/>
  <c r="H14642" i="16"/>
  <c r="H14643" i="16"/>
  <c r="H14644" i="16"/>
  <c r="H14645" i="16"/>
  <c r="H14646" i="16"/>
  <c r="H14647" i="16"/>
  <c r="H14648" i="16"/>
  <c r="H14649" i="16"/>
  <c r="H14650" i="16"/>
  <c r="H14651" i="16"/>
  <c r="H14652" i="16"/>
  <c r="H14653" i="16"/>
  <c r="H14654" i="16"/>
  <c r="H14655" i="16"/>
  <c r="H14656" i="16"/>
  <c r="H14657" i="16"/>
  <c r="H14658" i="16"/>
  <c r="H14659" i="16"/>
  <c r="H14660" i="16"/>
  <c r="H14661" i="16"/>
  <c r="H14662" i="16"/>
  <c r="H14663" i="16"/>
  <c r="H14664" i="16"/>
  <c r="H14665" i="16"/>
  <c r="H14666" i="16"/>
  <c r="H14667" i="16"/>
  <c r="H14668" i="16"/>
  <c r="H14669" i="16"/>
  <c r="H14670" i="16"/>
  <c r="H14671" i="16"/>
  <c r="H14672" i="16"/>
  <c r="H14673" i="16"/>
  <c r="H14674" i="16"/>
  <c r="H14675" i="16"/>
  <c r="H14676" i="16"/>
  <c r="H14677" i="16"/>
  <c r="H14678" i="16"/>
  <c r="H14679" i="16"/>
  <c r="H14680" i="16"/>
  <c r="H14681" i="16"/>
  <c r="H14682" i="16"/>
  <c r="H14683" i="16"/>
  <c r="H14684" i="16"/>
  <c r="H14685" i="16"/>
  <c r="H14686" i="16"/>
  <c r="H14687" i="16"/>
  <c r="H14688" i="16"/>
  <c r="H14689" i="16"/>
  <c r="H14690" i="16"/>
  <c r="H14691" i="16"/>
  <c r="H14692" i="16"/>
  <c r="H14693" i="16"/>
  <c r="H14694" i="16"/>
  <c r="H14695" i="16"/>
  <c r="H14696" i="16"/>
  <c r="H14697" i="16"/>
  <c r="H14698" i="16"/>
  <c r="H14699" i="16"/>
  <c r="H14700" i="16"/>
  <c r="H14701" i="16"/>
  <c r="H14702" i="16"/>
  <c r="H14703" i="16"/>
  <c r="H14704" i="16"/>
  <c r="H14705" i="16"/>
  <c r="H14706" i="16"/>
  <c r="H14707" i="16"/>
  <c r="H14708" i="16"/>
  <c r="H14709" i="16"/>
  <c r="H14710" i="16"/>
  <c r="H14711" i="16"/>
  <c r="H14712" i="16"/>
  <c r="H14713" i="16"/>
  <c r="H14714" i="16"/>
  <c r="H14715" i="16"/>
  <c r="H14716" i="16"/>
  <c r="H14717" i="16"/>
  <c r="H14718" i="16"/>
  <c r="H14719" i="16"/>
  <c r="H14720" i="16"/>
  <c r="H14721" i="16"/>
  <c r="H14722" i="16"/>
  <c r="H14723" i="16"/>
  <c r="H14724" i="16"/>
  <c r="H14725" i="16"/>
  <c r="H14726" i="16"/>
  <c r="H14727" i="16"/>
  <c r="H14728" i="16"/>
  <c r="H14729" i="16"/>
  <c r="H14730" i="16"/>
  <c r="H14731" i="16"/>
  <c r="H14732" i="16"/>
  <c r="H14733" i="16"/>
  <c r="H14734" i="16"/>
  <c r="H14735" i="16"/>
  <c r="H14736" i="16"/>
  <c r="H14737" i="16"/>
  <c r="H14738" i="16"/>
  <c r="H14739" i="16"/>
  <c r="H14740" i="16"/>
  <c r="H14741" i="16"/>
  <c r="H14742" i="16"/>
  <c r="H14743" i="16"/>
  <c r="H14744" i="16"/>
  <c r="H14745" i="16"/>
  <c r="H14746" i="16"/>
  <c r="H14747" i="16"/>
  <c r="H14748" i="16"/>
  <c r="H14749" i="16"/>
  <c r="H14750" i="16"/>
  <c r="H14751" i="16"/>
  <c r="H14752" i="16"/>
  <c r="H14753" i="16"/>
  <c r="H14754" i="16"/>
  <c r="H14755" i="16"/>
  <c r="H14756" i="16"/>
  <c r="H14757" i="16"/>
  <c r="H14758" i="16"/>
  <c r="H14759" i="16"/>
  <c r="H14760" i="16"/>
  <c r="H14761" i="16"/>
  <c r="H14762" i="16"/>
  <c r="H14763" i="16"/>
  <c r="H14764" i="16"/>
  <c r="H14765" i="16"/>
  <c r="H14766" i="16"/>
  <c r="H14767" i="16"/>
  <c r="H14768" i="16"/>
  <c r="H14769" i="16"/>
  <c r="H14770" i="16"/>
  <c r="H14771" i="16"/>
  <c r="H14772" i="16"/>
  <c r="H14773" i="16"/>
  <c r="H14774" i="16"/>
  <c r="H14775" i="16"/>
  <c r="H14776" i="16"/>
  <c r="H14777" i="16"/>
  <c r="H14778" i="16"/>
  <c r="H14779" i="16"/>
  <c r="H14780" i="16"/>
  <c r="H14781" i="16"/>
  <c r="H14782" i="16"/>
  <c r="H14783" i="16"/>
  <c r="H14784" i="16"/>
  <c r="H14785" i="16"/>
  <c r="H14786" i="16"/>
  <c r="H14787" i="16"/>
  <c r="H14788" i="16"/>
  <c r="H14789" i="16"/>
  <c r="H14790" i="16"/>
  <c r="H14791" i="16"/>
  <c r="H14792" i="16"/>
  <c r="H14793" i="16"/>
  <c r="H14794" i="16"/>
  <c r="H14795" i="16"/>
  <c r="H14796" i="16"/>
  <c r="H14797" i="16"/>
  <c r="H14798" i="16"/>
  <c r="H14799" i="16"/>
  <c r="H14800" i="16"/>
  <c r="H14801" i="16"/>
  <c r="H14802" i="16"/>
  <c r="H14803" i="16"/>
  <c r="H14804" i="16"/>
  <c r="H14805" i="16"/>
  <c r="H14806" i="16"/>
  <c r="H14807" i="16"/>
  <c r="H14808" i="16"/>
  <c r="H14809" i="16"/>
  <c r="H14810" i="16"/>
  <c r="H14811" i="16"/>
  <c r="H14812" i="16"/>
  <c r="H14813" i="16"/>
  <c r="H14814" i="16"/>
  <c r="H14815" i="16"/>
  <c r="H14816" i="16"/>
  <c r="H14817" i="16"/>
  <c r="H14818" i="16"/>
  <c r="H14819" i="16"/>
  <c r="H14820" i="16"/>
  <c r="H14821" i="16"/>
  <c r="H14822" i="16"/>
  <c r="H14823" i="16"/>
  <c r="H14824" i="16"/>
  <c r="H14825" i="16"/>
  <c r="H14826" i="16"/>
  <c r="H14827" i="16"/>
  <c r="H14828" i="16"/>
  <c r="H14829" i="16"/>
  <c r="H14830" i="16"/>
  <c r="H14831" i="16"/>
  <c r="H14832" i="16"/>
  <c r="H14833" i="16"/>
  <c r="H14834" i="16"/>
  <c r="H14835" i="16"/>
  <c r="H14836" i="16"/>
  <c r="H14837" i="16"/>
  <c r="H14838" i="16"/>
  <c r="H14839" i="16"/>
  <c r="H14840" i="16"/>
  <c r="H14841" i="16"/>
  <c r="H14842" i="16"/>
  <c r="H14843" i="16"/>
  <c r="H14844" i="16"/>
  <c r="H14845" i="16"/>
  <c r="H14846" i="16"/>
  <c r="H14847" i="16"/>
  <c r="H14848" i="16"/>
  <c r="H14849" i="16"/>
  <c r="H14850" i="16"/>
  <c r="H14851" i="16"/>
  <c r="H14852" i="16"/>
  <c r="H14853" i="16"/>
  <c r="H14854" i="16"/>
  <c r="H14855" i="16"/>
  <c r="H14856" i="16"/>
  <c r="H14857" i="16"/>
  <c r="H14858" i="16"/>
  <c r="H14859" i="16"/>
  <c r="H14860" i="16"/>
  <c r="H14861" i="16"/>
  <c r="H14862" i="16"/>
  <c r="H14863" i="16"/>
  <c r="H14864" i="16"/>
  <c r="H14865" i="16"/>
  <c r="H14866" i="16"/>
  <c r="H14867" i="16"/>
  <c r="H14868" i="16"/>
  <c r="H14869" i="16"/>
  <c r="H14870" i="16"/>
  <c r="H14871" i="16"/>
  <c r="H14872" i="16"/>
  <c r="H14873" i="16"/>
  <c r="H14874" i="16"/>
  <c r="H14875" i="16"/>
  <c r="H14876" i="16"/>
  <c r="H14877" i="16"/>
  <c r="H14878" i="16"/>
  <c r="H14879" i="16"/>
  <c r="H14880" i="16"/>
  <c r="H14881" i="16"/>
  <c r="H14882" i="16"/>
  <c r="H14883" i="16"/>
  <c r="H14884" i="16"/>
  <c r="H14885" i="16"/>
  <c r="H14886" i="16"/>
  <c r="H14887" i="16"/>
  <c r="H14888" i="16"/>
  <c r="H14889" i="16"/>
  <c r="H14890" i="16"/>
  <c r="H14891" i="16"/>
  <c r="H14892" i="16"/>
  <c r="H14893" i="16"/>
  <c r="H14894" i="16"/>
  <c r="H14895" i="16"/>
  <c r="H14896" i="16"/>
  <c r="H14897" i="16"/>
  <c r="H14898" i="16"/>
  <c r="H14899" i="16"/>
  <c r="H14900" i="16"/>
  <c r="H14901" i="16"/>
  <c r="H14902" i="16"/>
  <c r="H14903" i="16"/>
  <c r="H14904" i="16"/>
  <c r="H14905" i="16"/>
  <c r="H14906" i="16"/>
  <c r="H14907" i="16"/>
  <c r="H14908" i="16"/>
  <c r="H14909" i="16"/>
  <c r="H14910" i="16"/>
  <c r="H14911" i="16"/>
  <c r="H14912" i="16"/>
  <c r="H14913" i="16"/>
  <c r="H14914" i="16"/>
  <c r="H14915" i="16"/>
  <c r="H14916" i="16"/>
  <c r="H14917" i="16"/>
  <c r="H14918" i="16"/>
  <c r="H14919" i="16"/>
  <c r="H14920" i="16"/>
  <c r="H14921" i="16"/>
  <c r="H14922" i="16"/>
  <c r="H14923" i="16"/>
  <c r="H14924" i="16"/>
  <c r="H14925" i="16"/>
  <c r="H14926" i="16"/>
  <c r="H14927" i="16"/>
  <c r="H14928" i="16"/>
  <c r="H14929" i="16"/>
  <c r="H14930" i="16"/>
  <c r="H14931" i="16"/>
  <c r="H14932" i="16"/>
  <c r="H14933" i="16"/>
  <c r="H14934" i="16"/>
  <c r="H14935" i="16"/>
  <c r="H14936" i="16"/>
  <c r="H14937" i="16"/>
  <c r="H14938" i="16"/>
  <c r="H14939" i="16"/>
  <c r="H14940" i="16"/>
  <c r="H14941" i="16"/>
  <c r="H14942" i="16"/>
  <c r="H14943" i="16"/>
  <c r="H14944" i="16"/>
  <c r="H14945" i="16"/>
  <c r="H14946" i="16"/>
  <c r="H14947" i="16"/>
  <c r="H14948" i="16"/>
  <c r="H14949" i="16"/>
  <c r="H14950" i="16"/>
  <c r="H14951" i="16"/>
  <c r="H14952" i="16"/>
  <c r="H14953" i="16"/>
  <c r="H14954" i="16"/>
  <c r="H14955" i="16"/>
  <c r="H14956" i="16"/>
  <c r="H14957" i="16"/>
  <c r="H14958" i="16"/>
  <c r="H14959" i="16"/>
  <c r="H14960" i="16"/>
  <c r="H14961" i="16"/>
  <c r="H14962" i="16"/>
  <c r="H14963" i="16"/>
  <c r="H14964" i="16"/>
  <c r="H14965" i="16"/>
  <c r="H14966" i="16"/>
  <c r="H14967" i="16"/>
  <c r="H14968" i="16"/>
  <c r="H14969" i="16"/>
  <c r="H14970" i="16"/>
  <c r="H14971" i="16"/>
  <c r="H14972" i="16"/>
  <c r="H14973" i="16"/>
  <c r="H14974" i="16"/>
  <c r="H14975" i="16"/>
  <c r="H14976" i="16"/>
  <c r="H14977" i="16"/>
  <c r="H14978" i="16"/>
  <c r="H14979" i="16"/>
  <c r="H14980" i="16"/>
  <c r="H14981" i="16"/>
  <c r="H14982" i="16"/>
  <c r="H14983" i="16"/>
  <c r="H14984" i="16"/>
  <c r="H14985" i="16"/>
  <c r="H14986" i="16"/>
  <c r="H14987" i="16"/>
  <c r="H14988" i="16"/>
  <c r="H14989" i="16"/>
  <c r="H14990" i="16"/>
  <c r="H14991" i="16"/>
  <c r="H14992" i="16"/>
  <c r="H14993" i="16"/>
  <c r="H14994" i="16"/>
  <c r="H14995" i="16"/>
  <c r="H14996" i="16"/>
  <c r="H14997" i="16"/>
  <c r="H14998" i="16"/>
  <c r="H14999" i="16"/>
  <c r="H15000" i="16"/>
  <c r="H15001" i="16"/>
  <c r="H15002" i="16"/>
  <c r="H15003" i="16"/>
  <c r="H15004" i="16"/>
  <c r="H15005" i="16"/>
  <c r="H15006" i="16"/>
  <c r="H15007" i="16"/>
  <c r="H15008" i="16"/>
  <c r="H15009" i="16"/>
  <c r="H15010" i="16"/>
  <c r="H15011" i="16"/>
  <c r="H15012" i="16"/>
  <c r="H15013" i="16"/>
  <c r="H15014" i="16"/>
  <c r="H15015" i="16"/>
  <c r="H15016" i="16"/>
  <c r="H15017" i="16"/>
  <c r="H15018" i="16"/>
  <c r="H15019" i="16"/>
  <c r="H15020" i="16"/>
  <c r="H15021" i="16"/>
  <c r="H15022" i="16"/>
  <c r="H15023" i="16"/>
  <c r="H15024" i="16"/>
  <c r="H15025" i="16"/>
  <c r="H15026" i="16"/>
  <c r="H15027" i="16"/>
  <c r="H15028" i="16"/>
  <c r="H15029" i="16"/>
  <c r="H15030" i="16"/>
  <c r="H15031" i="16"/>
  <c r="H15032" i="16"/>
  <c r="H15033" i="16"/>
  <c r="H15034" i="16"/>
  <c r="H15035" i="16"/>
  <c r="H15036" i="16"/>
  <c r="H15037" i="16"/>
  <c r="H15038" i="16"/>
  <c r="H15039" i="16"/>
  <c r="H15040" i="16"/>
  <c r="H15041" i="16"/>
  <c r="H15042" i="16"/>
  <c r="H15043" i="16"/>
  <c r="H15044" i="16"/>
  <c r="H15045" i="16"/>
  <c r="H15046" i="16"/>
  <c r="H15047" i="16"/>
  <c r="H15048" i="16"/>
  <c r="H15049" i="16"/>
  <c r="H15050" i="16"/>
  <c r="H15051" i="16"/>
  <c r="H15052" i="16"/>
  <c r="H15053" i="16"/>
  <c r="H15054" i="16"/>
  <c r="H15055" i="16"/>
  <c r="H15056" i="16"/>
  <c r="H15057" i="16"/>
  <c r="H15058" i="16"/>
  <c r="H15059" i="16"/>
  <c r="H15060" i="16"/>
  <c r="H15061" i="16"/>
  <c r="H15062" i="16"/>
  <c r="H15063" i="16"/>
  <c r="H15064" i="16"/>
  <c r="H15065" i="16"/>
  <c r="H15066" i="16"/>
  <c r="H15067" i="16"/>
  <c r="H15068" i="16"/>
  <c r="H15069" i="16"/>
  <c r="H15070" i="16"/>
  <c r="H15071" i="16"/>
  <c r="H15072" i="16"/>
  <c r="H15073" i="16"/>
  <c r="H15074" i="16"/>
  <c r="H15075" i="16"/>
  <c r="H15076" i="16"/>
  <c r="H15077" i="16"/>
  <c r="H15078" i="16"/>
  <c r="H15079" i="16"/>
  <c r="H15080" i="16"/>
  <c r="H15081" i="16"/>
  <c r="H15082" i="16"/>
  <c r="H15083" i="16"/>
  <c r="H15084" i="16"/>
  <c r="H15085" i="16"/>
  <c r="H15086" i="16"/>
  <c r="H15087" i="16"/>
  <c r="H15088" i="16"/>
  <c r="H15089" i="16"/>
  <c r="H15090" i="16"/>
  <c r="H15091" i="16"/>
  <c r="H15092" i="16"/>
  <c r="H15093" i="16"/>
  <c r="H15094" i="16"/>
  <c r="H15095" i="16"/>
  <c r="H15096" i="16"/>
  <c r="H15097" i="16"/>
  <c r="H15098" i="16"/>
  <c r="H15099" i="16"/>
  <c r="H15100" i="16"/>
  <c r="H15101" i="16"/>
  <c r="H15102" i="16"/>
  <c r="H15103" i="16"/>
  <c r="H15104" i="16"/>
  <c r="H15105" i="16"/>
  <c r="H15106" i="16"/>
  <c r="H15107" i="16"/>
  <c r="H15108" i="16"/>
  <c r="H15109" i="16"/>
  <c r="H15110" i="16"/>
  <c r="H15111" i="16"/>
  <c r="H15112" i="16"/>
  <c r="H15113" i="16"/>
  <c r="H15114" i="16"/>
  <c r="H15115" i="16"/>
  <c r="H15116" i="16"/>
  <c r="H15117" i="16"/>
  <c r="H15118" i="16"/>
  <c r="H15119" i="16"/>
  <c r="H15120" i="16"/>
  <c r="H15121" i="16"/>
  <c r="H15122" i="16"/>
  <c r="H15123" i="16"/>
  <c r="H15124" i="16"/>
  <c r="H15125" i="16"/>
  <c r="H15126" i="16"/>
  <c r="H15127" i="16"/>
  <c r="H15128" i="16"/>
  <c r="H15129" i="16"/>
  <c r="H15130" i="16"/>
  <c r="H15131" i="16"/>
  <c r="H15132" i="16"/>
  <c r="H15133" i="16"/>
  <c r="H15134" i="16"/>
  <c r="H15135" i="16"/>
  <c r="H15136" i="16"/>
  <c r="H15137" i="16"/>
  <c r="H15138" i="16"/>
  <c r="H15139" i="16"/>
  <c r="H15140" i="16"/>
  <c r="H15141" i="16"/>
  <c r="H15142" i="16"/>
  <c r="H15143" i="16"/>
  <c r="H15144" i="16"/>
  <c r="H15145" i="16"/>
  <c r="H15146" i="16"/>
  <c r="H15147" i="16"/>
  <c r="H15148" i="16"/>
  <c r="H15149" i="16"/>
  <c r="H15150" i="16"/>
  <c r="H15151" i="16"/>
  <c r="H15152" i="16"/>
  <c r="H15153" i="16"/>
  <c r="H15154" i="16"/>
  <c r="H15155" i="16"/>
  <c r="H15156" i="16"/>
  <c r="H15157" i="16"/>
  <c r="H15158" i="16"/>
  <c r="H15159" i="16"/>
  <c r="H15160" i="16"/>
  <c r="H15161" i="16"/>
  <c r="H15162" i="16"/>
  <c r="H15163" i="16"/>
  <c r="H15164" i="16"/>
  <c r="H15165" i="16"/>
  <c r="H15166" i="16"/>
  <c r="H15167" i="16"/>
  <c r="H15168" i="16"/>
  <c r="H15169" i="16"/>
  <c r="H15170" i="16"/>
  <c r="H15171" i="16"/>
  <c r="H15172" i="16"/>
  <c r="H15173" i="16"/>
  <c r="H15174" i="16"/>
  <c r="H15175" i="16"/>
  <c r="H15176" i="16"/>
  <c r="H15177" i="16"/>
  <c r="H15178" i="16"/>
  <c r="H15179" i="16"/>
  <c r="H15180" i="16"/>
  <c r="H15181" i="16"/>
  <c r="H15182" i="16"/>
  <c r="H15183" i="16"/>
  <c r="H15184" i="16"/>
  <c r="H15185" i="16"/>
  <c r="H15186" i="16"/>
  <c r="H15187" i="16"/>
  <c r="H15188" i="16"/>
  <c r="H15189" i="16"/>
  <c r="H15190" i="16"/>
  <c r="H15191" i="16"/>
  <c r="H15192" i="16"/>
  <c r="H15193" i="16"/>
  <c r="H15194" i="16"/>
  <c r="H15195" i="16"/>
  <c r="H15196" i="16"/>
  <c r="H15197" i="16"/>
  <c r="H15198" i="16"/>
  <c r="H15199" i="16"/>
  <c r="H15200" i="16"/>
  <c r="H15201" i="16"/>
  <c r="H15202" i="16"/>
  <c r="H15203" i="16"/>
  <c r="H15204" i="16"/>
  <c r="H15205" i="16"/>
  <c r="H15206" i="16"/>
  <c r="H15207" i="16"/>
  <c r="H15208" i="16"/>
  <c r="H15209" i="16"/>
  <c r="H15210" i="16"/>
  <c r="H15211" i="16"/>
  <c r="H15212" i="16"/>
  <c r="H15213" i="16"/>
  <c r="H15214" i="16"/>
  <c r="H15215" i="16"/>
  <c r="H15216" i="16"/>
  <c r="H15217" i="16"/>
  <c r="H15218" i="16"/>
  <c r="H15219" i="16"/>
  <c r="H15220" i="16"/>
  <c r="H15221" i="16"/>
  <c r="H15222" i="16"/>
  <c r="H15223" i="16"/>
  <c r="H15224" i="16"/>
  <c r="H15225" i="16"/>
  <c r="H15226" i="16"/>
  <c r="H15227" i="16"/>
  <c r="H15228" i="16"/>
  <c r="H15229" i="16"/>
  <c r="H15230" i="16"/>
  <c r="H15231" i="16"/>
  <c r="H15232" i="16"/>
  <c r="H15233" i="16"/>
  <c r="H15234" i="16"/>
  <c r="H15235" i="16"/>
  <c r="H15236" i="16"/>
  <c r="H15237" i="16"/>
  <c r="H15238" i="16"/>
  <c r="H15239" i="16"/>
  <c r="H15240" i="16"/>
  <c r="H15241" i="16"/>
  <c r="H15242" i="16"/>
  <c r="H15243" i="16"/>
  <c r="H15244" i="16"/>
  <c r="H15245" i="16"/>
  <c r="H15246" i="16"/>
  <c r="H15247" i="16"/>
  <c r="H15248" i="16"/>
  <c r="H15249" i="16"/>
  <c r="H15250" i="16"/>
  <c r="H15251" i="16"/>
  <c r="H15252" i="16"/>
  <c r="H15253" i="16"/>
  <c r="H15254" i="16"/>
  <c r="H15255" i="16"/>
  <c r="H15256" i="16"/>
  <c r="H15257" i="16"/>
  <c r="H15258" i="16"/>
  <c r="H15259" i="16"/>
  <c r="H15260" i="16"/>
  <c r="H15261" i="16"/>
  <c r="H15262" i="16"/>
  <c r="H15263" i="16"/>
  <c r="H15264" i="16"/>
  <c r="H15265" i="16"/>
  <c r="H15266" i="16"/>
  <c r="H15267" i="16"/>
  <c r="H15268" i="16"/>
  <c r="H15269" i="16"/>
  <c r="H15270" i="16"/>
  <c r="H15271" i="16"/>
  <c r="H15272" i="16"/>
  <c r="H15273" i="16"/>
  <c r="H15274" i="16"/>
  <c r="H15275" i="16"/>
  <c r="H15276" i="16"/>
  <c r="H15277" i="16"/>
  <c r="H15278" i="16"/>
  <c r="H15279" i="16"/>
  <c r="H15280" i="16"/>
  <c r="H15281" i="16"/>
  <c r="H15282" i="16"/>
  <c r="H15283" i="16"/>
  <c r="H15284" i="16"/>
  <c r="H15285" i="16"/>
  <c r="H15286" i="16"/>
  <c r="H15287" i="16"/>
  <c r="H15288" i="16"/>
  <c r="H15289" i="16"/>
  <c r="H15290" i="16"/>
  <c r="H15291" i="16"/>
  <c r="H15292" i="16"/>
  <c r="H15293" i="16"/>
  <c r="H15294" i="16"/>
  <c r="H15295" i="16"/>
  <c r="H15296" i="16"/>
  <c r="H15297" i="16"/>
  <c r="H15298" i="16"/>
  <c r="H15299" i="16"/>
  <c r="H15300" i="16"/>
  <c r="H15301" i="16"/>
  <c r="H15302" i="16"/>
  <c r="H15303" i="16"/>
  <c r="H15304" i="16"/>
  <c r="H15305" i="16"/>
  <c r="H15306" i="16"/>
  <c r="H15307" i="16"/>
  <c r="H15308" i="16"/>
  <c r="H15309" i="16"/>
  <c r="H15310" i="16"/>
  <c r="H15311" i="16"/>
  <c r="H15312" i="16"/>
  <c r="H15313" i="16"/>
  <c r="H15314" i="16"/>
  <c r="H15315" i="16"/>
  <c r="H15316" i="16"/>
  <c r="H15317" i="16"/>
  <c r="H15318" i="16"/>
  <c r="H15319" i="16"/>
  <c r="H15320" i="16"/>
  <c r="H15321" i="16"/>
  <c r="H15322" i="16"/>
  <c r="H15323" i="16"/>
  <c r="H15324" i="16"/>
  <c r="H15325" i="16"/>
  <c r="H15326" i="16"/>
  <c r="H15327" i="16"/>
  <c r="H15328" i="16"/>
  <c r="H15329" i="16"/>
  <c r="H15330" i="16"/>
  <c r="H15331" i="16"/>
  <c r="H15332" i="16"/>
  <c r="H15333" i="16"/>
  <c r="H15334" i="16"/>
  <c r="H15335" i="16"/>
  <c r="H15336" i="16"/>
  <c r="H15337" i="16"/>
  <c r="H15338" i="16"/>
  <c r="H15339" i="16"/>
  <c r="H15340" i="16"/>
  <c r="H15341" i="16"/>
  <c r="H15342" i="16"/>
  <c r="H15343" i="16"/>
  <c r="H15344" i="16"/>
  <c r="H15345" i="16"/>
  <c r="H15346" i="16"/>
  <c r="H15347" i="16"/>
  <c r="H15348" i="16"/>
  <c r="H15349" i="16"/>
  <c r="H15350" i="16"/>
  <c r="H15351" i="16"/>
  <c r="H15352" i="16"/>
  <c r="H15353" i="16"/>
  <c r="H15354" i="16"/>
  <c r="H15355" i="16"/>
  <c r="H15356" i="16"/>
  <c r="H15357" i="16"/>
  <c r="H15358" i="16"/>
  <c r="H15359" i="16"/>
  <c r="H15360" i="16"/>
  <c r="H15361" i="16"/>
  <c r="H15362" i="16"/>
  <c r="H15363" i="16"/>
  <c r="H15364" i="16"/>
  <c r="H15365" i="16"/>
  <c r="H15366" i="16"/>
  <c r="H15367" i="16"/>
  <c r="H15368" i="16"/>
  <c r="H15369" i="16"/>
  <c r="H15370" i="16"/>
  <c r="H15371" i="16"/>
  <c r="H15372" i="16"/>
  <c r="H15373" i="16"/>
  <c r="H15374" i="16"/>
  <c r="H15375" i="16"/>
  <c r="H15376" i="16"/>
  <c r="H15377" i="16"/>
  <c r="H15378" i="16"/>
  <c r="H15379" i="16"/>
  <c r="H15380" i="16"/>
  <c r="H15381" i="16"/>
  <c r="H15382" i="16"/>
  <c r="H15383" i="16"/>
  <c r="H15384" i="16"/>
  <c r="H15385" i="16"/>
  <c r="H15386" i="16"/>
  <c r="H15387" i="16"/>
  <c r="H15388" i="16"/>
  <c r="H15389" i="16"/>
  <c r="H15390" i="16"/>
  <c r="H15391" i="16"/>
  <c r="H15392" i="16"/>
  <c r="H15393" i="16"/>
  <c r="H15394" i="16"/>
  <c r="H15395" i="16"/>
  <c r="H15396" i="16"/>
  <c r="H15397" i="16"/>
  <c r="H15398" i="16"/>
  <c r="H15399" i="16"/>
  <c r="H15400" i="16"/>
  <c r="H15401" i="16"/>
  <c r="H15402" i="16"/>
  <c r="H15403" i="16"/>
  <c r="H15404" i="16"/>
  <c r="H15405" i="16"/>
  <c r="H15406" i="16"/>
  <c r="H15407" i="16"/>
  <c r="H15408" i="16"/>
  <c r="H15409" i="16"/>
  <c r="H15410" i="16"/>
  <c r="H15411" i="16"/>
  <c r="H15412" i="16"/>
  <c r="H15413" i="16"/>
  <c r="H15414" i="16"/>
  <c r="H15415" i="16"/>
  <c r="H15416" i="16"/>
  <c r="H15417" i="16"/>
  <c r="H15418" i="16"/>
  <c r="H15419" i="16"/>
  <c r="H15420" i="16"/>
  <c r="H15421" i="16"/>
  <c r="H15422" i="16"/>
  <c r="H15423" i="16"/>
  <c r="H15424" i="16"/>
  <c r="H15425" i="16"/>
  <c r="H15426" i="16"/>
  <c r="H15427" i="16"/>
  <c r="H15428" i="16"/>
  <c r="H15429" i="16"/>
  <c r="H15430" i="16"/>
  <c r="H15431" i="16"/>
  <c r="H15432" i="16"/>
  <c r="H15433" i="16"/>
  <c r="H15434" i="16"/>
  <c r="H15435" i="16"/>
  <c r="H15436" i="16"/>
  <c r="H15437" i="16"/>
  <c r="H15438" i="16"/>
  <c r="H15439" i="16"/>
  <c r="H15440" i="16"/>
  <c r="H15441" i="16"/>
  <c r="H15442" i="16"/>
  <c r="H15443" i="16"/>
  <c r="H15444" i="16"/>
  <c r="H15445" i="16"/>
  <c r="H15446" i="16"/>
  <c r="H15447" i="16"/>
  <c r="H15448" i="16"/>
  <c r="H15449" i="16"/>
  <c r="H15450" i="16"/>
  <c r="H15451" i="16"/>
  <c r="H15452" i="16"/>
  <c r="H15453" i="16"/>
  <c r="H15454" i="16"/>
  <c r="H15455" i="16"/>
  <c r="H15456" i="16"/>
  <c r="H15457" i="16"/>
  <c r="H15458" i="16"/>
  <c r="H15459" i="16"/>
  <c r="H15460" i="16"/>
  <c r="H15461" i="16"/>
  <c r="H15462" i="16"/>
  <c r="H15463" i="16"/>
  <c r="H15464" i="16"/>
  <c r="H15465" i="16"/>
  <c r="H15466" i="16"/>
  <c r="H15467" i="16"/>
  <c r="H15468" i="16"/>
  <c r="H15469" i="16"/>
  <c r="H15470" i="16"/>
  <c r="H15471" i="16"/>
  <c r="H15472" i="16"/>
  <c r="H15473" i="16"/>
  <c r="H15474" i="16"/>
  <c r="H15475" i="16"/>
  <c r="H15476" i="16"/>
  <c r="H15477" i="16"/>
  <c r="H15478" i="16"/>
  <c r="H15479" i="16"/>
  <c r="H15480" i="16"/>
  <c r="H15481" i="16"/>
  <c r="H15482" i="16"/>
  <c r="H15483" i="16"/>
  <c r="H15484" i="16"/>
  <c r="H15485" i="16"/>
  <c r="H15486" i="16"/>
  <c r="H15487" i="16"/>
  <c r="H15488" i="16"/>
  <c r="H15489" i="16"/>
  <c r="H15490" i="16"/>
  <c r="H15491" i="16"/>
  <c r="H15492" i="16"/>
  <c r="H15493" i="16"/>
  <c r="H15494" i="16"/>
  <c r="H15495" i="16"/>
  <c r="H15496" i="16"/>
  <c r="H15497" i="16"/>
  <c r="H15498" i="16"/>
  <c r="H15499" i="16"/>
  <c r="H15500" i="16"/>
  <c r="H15501" i="16"/>
  <c r="H15502" i="16"/>
  <c r="H15503" i="16"/>
  <c r="H15504" i="16"/>
  <c r="H15505" i="16"/>
  <c r="H15506" i="16"/>
  <c r="H15507" i="16"/>
  <c r="H15508" i="16"/>
  <c r="H15509" i="16"/>
  <c r="H15510" i="16"/>
  <c r="H15511" i="16"/>
  <c r="H15512" i="16"/>
  <c r="H15513" i="16"/>
  <c r="H15514" i="16"/>
  <c r="H15515" i="16"/>
  <c r="H15516" i="16"/>
  <c r="H15517" i="16"/>
  <c r="H15518" i="16"/>
  <c r="H15519" i="16"/>
  <c r="H15520" i="16"/>
  <c r="H15521" i="16"/>
  <c r="H15522" i="16"/>
  <c r="H15523" i="16"/>
  <c r="H15524" i="16"/>
  <c r="H15525" i="16"/>
  <c r="H15526" i="16"/>
  <c r="H15527" i="16"/>
  <c r="H15528" i="16"/>
  <c r="H15529" i="16"/>
  <c r="H15530" i="16"/>
  <c r="H15531" i="16"/>
  <c r="H15532" i="16"/>
  <c r="H15533" i="16"/>
  <c r="H15534" i="16"/>
  <c r="H15535" i="16"/>
  <c r="H15536" i="16"/>
  <c r="H15537" i="16"/>
  <c r="H15538" i="16"/>
  <c r="H15539" i="16"/>
  <c r="H15540" i="16"/>
  <c r="H15541" i="16"/>
  <c r="H15542" i="16"/>
  <c r="H15543" i="16"/>
  <c r="H15544" i="16"/>
  <c r="H15545" i="16"/>
  <c r="H15546" i="16"/>
  <c r="H15547" i="16"/>
  <c r="H15548" i="16"/>
  <c r="H15549" i="16"/>
  <c r="H15550" i="16"/>
  <c r="H15551" i="16"/>
  <c r="H15552" i="16"/>
  <c r="H15553" i="16"/>
  <c r="H15554" i="16"/>
  <c r="H15555" i="16"/>
  <c r="H15556" i="16"/>
  <c r="H15557" i="16"/>
  <c r="H15558" i="16"/>
  <c r="H15559" i="16"/>
  <c r="H15560" i="16"/>
  <c r="H15561" i="16"/>
  <c r="H15562" i="16"/>
  <c r="H15563" i="16"/>
  <c r="H15564" i="16"/>
  <c r="H15565" i="16"/>
  <c r="H15566" i="16"/>
  <c r="H15567" i="16"/>
  <c r="H15568" i="16"/>
  <c r="H15569" i="16"/>
  <c r="H15570" i="16"/>
  <c r="H15571" i="16"/>
  <c r="H15572" i="16"/>
  <c r="H15573" i="16"/>
  <c r="H15574" i="16"/>
  <c r="H15575" i="16"/>
  <c r="H15576" i="16"/>
  <c r="H15577" i="16"/>
  <c r="H15578" i="16"/>
  <c r="H15579" i="16"/>
  <c r="H15580" i="16"/>
  <c r="H15581" i="16"/>
  <c r="H15582" i="16"/>
  <c r="H15583" i="16"/>
  <c r="H15584" i="16"/>
  <c r="H15585" i="16"/>
  <c r="H15586" i="16"/>
  <c r="H15587" i="16"/>
  <c r="H15588" i="16"/>
  <c r="H15589" i="16"/>
  <c r="H15590" i="16"/>
  <c r="H15591" i="16"/>
  <c r="H15592" i="16"/>
  <c r="H15593" i="16"/>
  <c r="H15594" i="16"/>
  <c r="H15595" i="16"/>
  <c r="H15596" i="16"/>
  <c r="H15597" i="16"/>
  <c r="H15598" i="16"/>
  <c r="H15599" i="16"/>
  <c r="H15600" i="16"/>
  <c r="H15601" i="16"/>
  <c r="H15602" i="16"/>
  <c r="H15603" i="16"/>
  <c r="H15604" i="16"/>
  <c r="H15605" i="16"/>
  <c r="H15606" i="16"/>
  <c r="H15607" i="16"/>
  <c r="H15608" i="16"/>
  <c r="H15609" i="16"/>
  <c r="H15610" i="16"/>
  <c r="H15611" i="16"/>
  <c r="H15612" i="16"/>
  <c r="H15613" i="16"/>
  <c r="H15614" i="16"/>
  <c r="H15615" i="16"/>
  <c r="H15616" i="16"/>
  <c r="H15617" i="16"/>
  <c r="H15618" i="16"/>
  <c r="H15619" i="16"/>
  <c r="H15620" i="16"/>
  <c r="H15621" i="16"/>
  <c r="H15622" i="16"/>
  <c r="H15623" i="16"/>
  <c r="H15624" i="16"/>
  <c r="H15625" i="16"/>
  <c r="H15626" i="16"/>
  <c r="H15627" i="16"/>
  <c r="H15628" i="16"/>
  <c r="H15629" i="16"/>
  <c r="H15630" i="16"/>
  <c r="H15631" i="16"/>
  <c r="H15632" i="16"/>
  <c r="H15633" i="16"/>
  <c r="H15634" i="16"/>
  <c r="H15635" i="16"/>
  <c r="H15636" i="16"/>
  <c r="H15637" i="16"/>
  <c r="H15638" i="16"/>
  <c r="H15639" i="16"/>
  <c r="H15640" i="16"/>
  <c r="H15641" i="16"/>
  <c r="H15642" i="16"/>
  <c r="H15643" i="16"/>
  <c r="H15644" i="16"/>
  <c r="H15645" i="16"/>
  <c r="H15646" i="16"/>
  <c r="H15647" i="16"/>
  <c r="H15648" i="16"/>
  <c r="H15649" i="16"/>
  <c r="H15650" i="16"/>
  <c r="H15651" i="16"/>
  <c r="H15652" i="16"/>
  <c r="H15653" i="16"/>
  <c r="H15654" i="16"/>
  <c r="H15655" i="16"/>
  <c r="H15656" i="16"/>
  <c r="H15657" i="16"/>
  <c r="H15658" i="16"/>
  <c r="H15659" i="16"/>
  <c r="H15660" i="16"/>
  <c r="H15661" i="16"/>
  <c r="H15662" i="16"/>
  <c r="H15663" i="16"/>
  <c r="H15664" i="16"/>
  <c r="H15665" i="16"/>
  <c r="H15666" i="16"/>
  <c r="H15667" i="16"/>
  <c r="H15668" i="16"/>
  <c r="H15669" i="16"/>
  <c r="H15670" i="16"/>
  <c r="H15671" i="16"/>
  <c r="H15672" i="16"/>
  <c r="H15673" i="16"/>
  <c r="H15674" i="16"/>
  <c r="H15675" i="16"/>
  <c r="H15676" i="16"/>
  <c r="H15677" i="16"/>
  <c r="H15678" i="16"/>
  <c r="H15679" i="16"/>
  <c r="H15680" i="16"/>
  <c r="H15681" i="16"/>
  <c r="H15682" i="16"/>
  <c r="H15683" i="16"/>
  <c r="H15684" i="16"/>
  <c r="H15685" i="16"/>
  <c r="H15686" i="16"/>
  <c r="H15687" i="16"/>
  <c r="H15688" i="16"/>
  <c r="H15689" i="16"/>
  <c r="H15690" i="16"/>
  <c r="H15691" i="16"/>
  <c r="H15692" i="16"/>
  <c r="H15693" i="16"/>
  <c r="H15694" i="16"/>
  <c r="H15695" i="16"/>
  <c r="H15696" i="16"/>
  <c r="H15697" i="16"/>
  <c r="H15698" i="16"/>
  <c r="H15699" i="16"/>
  <c r="H15700" i="16"/>
  <c r="H15701" i="16"/>
  <c r="H15702" i="16"/>
  <c r="H15703" i="16"/>
  <c r="H15704" i="16"/>
  <c r="H15705" i="16"/>
  <c r="H15706" i="16"/>
  <c r="H15707" i="16"/>
  <c r="H15708" i="16"/>
  <c r="H15709" i="16"/>
  <c r="H15710" i="16"/>
  <c r="H15711" i="16"/>
  <c r="H15712" i="16"/>
  <c r="H15713" i="16"/>
  <c r="H15714" i="16"/>
  <c r="H15715" i="16"/>
  <c r="H15716" i="16"/>
  <c r="H15717" i="16"/>
  <c r="H15718" i="16"/>
  <c r="H15719" i="16"/>
  <c r="H15720" i="16"/>
  <c r="H15721" i="16"/>
  <c r="H15722" i="16"/>
  <c r="H15723" i="16"/>
  <c r="H15724" i="16"/>
  <c r="H15725" i="16"/>
  <c r="H15726" i="16"/>
  <c r="H15727" i="16"/>
  <c r="H15728" i="16"/>
  <c r="H15729" i="16"/>
  <c r="H15730" i="16"/>
  <c r="H15731" i="16"/>
  <c r="H15732" i="16"/>
  <c r="H15733" i="16"/>
  <c r="H15734" i="16"/>
  <c r="H15735" i="16"/>
  <c r="H15736" i="16"/>
  <c r="H15737" i="16"/>
  <c r="H15738" i="16"/>
  <c r="H15739" i="16"/>
  <c r="H15740" i="16"/>
  <c r="H15741" i="16"/>
  <c r="H15742" i="16"/>
  <c r="H15743" i="16"/>
  <c r="H15744" i="16"/>
  <c r="H15745" i="16"/>
  <c r="H15746" i="16"/>
  <c r="H15747" i="16"/>
  <c r="H15748" i="16"/>
  <c r="H15749" i="16"/>
  <c r="H15750" i="16"/>
  <c r="H15751" i="16"/>
  <c r="H15752" i="16"/>
  <c r="H15753" i="16"/>
  <c r="H15754" i="16"/>
  <c r="H15755" i="16"/>
  <c r="H15756" i="16"/>
  <c r="H15757" i="16"/>
  <c r="H15758" i="16"/>
  <c r="H15759" i="16"/>
  <c r="H15760" i="16"/>
  <c r="H15761" i="16"/>
  <c r="H15762" i="16"/>
  <c r="H15763" i="16"/>
  <c r="H15764" i="16"/>
  <c r="H15765" i="16"/>
  <c r="H15766" i="16"/>
  <c r="H15767" i="16"/>
  <c r="H15768" i="16"/>
  <c r="H15769" i="16"/>
  <c r="H15770" i="16"/>
  <c r="H15771" i="16"/>
  <c r="H15772" i="16"/>
  <c r="H15773" i="16"/>
  <c r="H15774" i="16"/>
  <c r="H15775" i="16"/>
  <c r="H15776" i="16"/>
  <c r="H15777" i="16"/>
  <c r="H15778" i="16"/>
  <c r="H15779" i="16"/>
  <c r="H15780" i="16"/>
  <c r="H15781" i="16"/>
  <c r="H15782" i="16"/>
  <c r="H15783" i="16"/>
  <c r="H15784" i="16"/>
  <c r="H15785" i="16"/>
  <c r="H15786" i="16"/>
  <c r="H15787" i="16"/>
  <c r="H15788" i="16"/>
  <c r="H15789" i="16"/>
  <c r="H15790" i="16"/>
  <c r="H15791" i="16"/>
  <c r="H15792" i="16"/>
  <c r="H15793" i="16"/>
  <c r="H15794" i="16"/>
  <c r="H15795" i="16"/>
  <c r="H15796" i="16"/>
  <c r="H15797" i="16"/>
  <c r="H15798" i="16"/>
  <c r="H15799" i="16"/>
  <c r="H15800" i="16"/>
  <c r="H15801" i="16"/>
  <c r="H15802" i="16"/>
  <c r="H15803" i="16"/>
  <c r="H15804" i="16"/>
  <c r="H15805" i="16"/>
  <c r="H15806" i="16"/>
  <c r="H15807" i="16"/>
  <c r="H15808" i="16"/>
  <c r="H15809" i="16"/>
  <c r="H15810" i="16"/>
  <c r="H15811" i="16"/>
  <c r="H15812" i="16"/>
  <c r="H15813" i="16"/>
  <c r="H15814" i="16"/>
  <c r="H15815" i="16"/>
  <c r="H15816" i="16"/>
  <c r="H15817" i="16"/>
  <c r="H15818" i="16"/>
  <c r="H15819" i="16"/>
  <c r="H15820" i="16"/>
  <c r="H15821" i="16"/>
  <c r="H15822" i="16"/>
  <c r="H15823" i="16"/>
  <c r="H15824" i="16"/>
  <c r="H15825" i="16"/>
  <c r="H15826" i="16"/>
  <c r="H15827" i="16"/>
  <c r="H15828" i="16"/>
  <c r="H15829" i="16"/>
  <c r="H15830" i="16"/>
  <c r="H15831" i="16"/>
  <c r="H15832" i="16"/>
  <c r="H15833" i="16"/>
  <c r="H15834" i="16"/>
  <c r="H15835" i="16"/>
  <c r="H15836" i="16"/>
  <c r="H15837" i="16"/>
  <c r="H15838" i="16"/>
  <c r="H15839" i="16"/>
  <c r="H15840" i="16"/>
  <c r="H15841" i="16"/>
  <c r="H15842" i="16"/>
  <c r="H15843" i="16"/>
  <c r="H15844" i="16"/>
  <c r="H15845" i="16"/>
  <c r="H15846" i="16"/>
  <c r="H15847" i="16"/>
  <c r="H15848" i="16"/>
  <c r="H15849" i="16"/>
  <c r="H15850" i="16"/>
  <c r="H15851" i="16"/>
  <c r="H15852" i="16"/>
  <c r="H15853" i="16"/>
  <c r="H15854" i="16"/>
  <c r="H15855" i="16"/>
  <c r="H15856" i="16"/>
  <c r="H15857" i="16"/>
  <c r="H15858" i="16"/>
  <c r="H15859" i="16"/>
  <c r="H15860" i="16"/>
  <c r="H15861" i="16"/>
  <c r="H15862" i="16"/>
  <c r="H15863" i="16"/>
  <c r="H15864" i="16"/>
  <c r="H15865" i="16"/>
  <c r="H15866" i="16"/>
  <c r="H15867" i="16"/>
  <c r="H15868" i="16"/>
  <c r="H15869" i="16"/>
  <c r="H15870" i="16"/>
  <c r="H15871" i="16"/>
  <c r="H15872" i="16"/>
  <c r="H15873" i="16"/>
  <c r="H15874" i="16"/>
  <c r="H15875" i="16"/>
  <c r="H15876" i="16"/>
  <c r="H15877" i="16"/>
  <c r="H15878" i="16"/>
  <c r="H15879" i="16"/>
  <c r="H15880" i="16"/>
  <c r="H15881" i="16"/>
  <c r="H15882" i="16"/>
  <c r="H15883" i="16"/>
  <c r="H15884" i="16"/>
  <c r="H15885" i="16"/>
  <c r="H15886" i="16"/>
  <c r="H15887" i="16"/>
  <c r="H15888" i="16"/>
  <c r="H15889" i="16"/>
  <c r="H15890" i="16"/>
  <c r="H15891" i="16"/>
  <c r="H15892" i="16"/>
  <c r="H15893" i="16"/>
  <c r="H15894" i="16"/>
  <c r="H15895" i="16"/>
  <c r="H15896" i="16"/>
  <c r="H15897" i="16"/>
  <c r="H15898" i="16"/>
  <c r="H15899" i="16"/>
  <c r="H15900" i="16"/>
  <c r="H15901" i="16"/>
  <c r="H15902" i="16"/>
  <c r="H15903" i="16"/>
  <c r="H15904" i="16"/>
  <c r="H15905" i="16"/>
  <c r="H15906" i="16"/>
  <c r="H15907" i="16"/>
  <c r="H15908" i="16"/>
  <c r="H15909" i="16"/>
  <c r="H15910" i="16"/>
  <c r="H15911" i="16"/>
  <c r="H15912" i="16"/>
  <c r="H15913" i="16"/>
  <c r="H15914" i="16"/>
  <c r="H15915" i="16"/>
  <c r="H15916" i="16"/>
  <c r="H15917" i="16"/>
  <c r="H15918" i="16"/>
  <c r="H15919" i="16"/>
  <c r="H15920" i="16"/>
  <c r="H15921" i="16"/>
  <c r="H15922" i="16"/>
  <c r="H15923" i="16"/>
  <c r="H15924" i="16"/>
  <c r="H15925" i="16"/>
  <c r="H15926" i="16"/>
  <c r="H15927" i="16"/>
  <c r="H15928" i="16"/>
  <c r="H15929" i="16"/>
  <c r="H15930" i="16"/>
  <c r="H15931" i="16"/>
  <c r="H15932" i="16"/>
  <c r="H15933" i="16"/>
  <c r="H15934" i="16"/>
  <c r="H15935" i="16"/>
  <c r="H15936" i="16"/>
  <c r="H15937" i="16"/>
  <c r="H15938" i="16"/>
  <c r="H15939" i="16"/>
  <c r="H15940" i="16"/>
  <c r="H15941" i="16"/>
  <c r="H15942" i="16"/>
  <c r="H15943" i="16"/>
  <c r="H15944" i="16"/>
  <c r="H15945" i="16"/>
  <c r="H15946" i="16"/>
  <c r="H15947" i="16"/>
  <c r="H15948" i="16"/>
  <c r="H15949" i="16"/>
  <c r="H15950" i="16"/>
  <c r="H15951" i="16"/>
  <c r="H15952" i="16"/>
  <c r="H15953" i="16"/>
  <c r="H15954" i="16"/>
  <c r="H15955" i="16"/>
  <c r="H15956" i="16"/>
  <c r="H15957" i="16"/>
  <c r="H15958" i="16"/>
  <c r="H15959" i="16"/>
  <c r="H15960" i="16"/>
  <c r="H15961" i="16"/>
  <c r="H15962" i="16"/>
  <c r="H15963" i="16"/>
  <c r="H15964" i="16"/>
  <c r="H15965" i="16"/>
  <c r="H15966" i="16"/>
  <c r="H15967" i="16"/>
  <c r="H15968" i="16"/>
  <c r="H15969" i="16"/>
  <c r="H15970" i="16"/>
  <c r="H15971" i="16"/>
  <c r="H15972" i="16"/>
  <c r="H15973" i="16"/>
  <c r="H15974" i="16"/>
  <c r="H15975" i="16"/>
  <c r="H15976" i="16"/>
  <c r="H15977" i="16"/>
  <c r="H15978" i="16"/>
  <c r="H15979" i="16"/>
  <c r="H15980" i="16"/>
  <c r="H15981" i="16"/>
  <c r="H15982" i="16"/>
  <c r="H15983" i="16"/>
  <c r="H15984" i="16"/>
  <c r="H15985" i="16"/>
  <c r="H15986" i="16"/>
  <c r="H15987" i="16"/>
  <c r="H15988" i="16"/>
  <c r="H15989" i="16"/>
  <c r="H15990" i="16"/>
  <c r="H15991" i="16"/>
  <c r="H15992" i="16"/>
  <c r="H15993" i="16"/>
  <c r="H15994" i="16"/>
  <c r="H15995" i="16"/>
  <c r="H15996" i="16"/>
  <c r="H15997" i="16"/>
  <c r="H15998" i="16"/>
  <c r="H15999" i="16"/>
  <c r="H16000" i="16"/>
  <c r="H16001" i="16"/>
  <c r="H16002" i="16"/>
  <c r="H16003" i="16"/>
  <c r="H16004" i="16"/>
  <c r="H16005" i="16"/>
  <c r="H16006" i="16"/>
  <c r="H16007" i="16"/>
  <c r="H16008" i="16"/>
  <c r="H16009" i="16"/>
  <c r="H16010" i="16"/>
  <c r="H16011" i="16"/>
  <c r="H16012" i="16"/>
  <c r="H16013" i="16"/>
  <c r="H16014" i="16"/>
  <c r="H16015" i="16"/>
  <c r="H16016" i="16"/>
  <c r="H16017" i="16"/>
  <c r="H16018" i="16"/>
  <c r="H16019" i="16"/>
  <c r="H16020" i="16"/>
  <c r="H16021" i="16"/>
  <c r="H16022" i="16"/>
  <c r="H16023" i="16"/>
  <c r="H16024" i="16"/>
  <c r="H16025" i="16"/>
  <c r="H16026" i="16"/>
  <c r="H16027" i="16"/>
  <c r="H16028" i="16"/>
  <c r="H16029" i="16"/>
  <c r="H16030" i="16"/>
  <c r="H16031" i="16"/>
  <c r="H16032" i="16"/>
  <c r="H16033" i="16"/>
  <c r="H16034" i="16"/>
  <c r="H16035" i="16"/>
  <c r="H16036" i="16"/>
  <c r="H16037" i="16"/>
  <c r="H16038" i="16"/>
  <c r="H16039" i="16"/>
  <c r="H16040" i="16"/>
  <c r="H16041" i="16"/>
  <c r="H16042" i="16"/>
  <c r="H16043" i="16"/>
  <c r="H16044" i="16"/>
  <c r="H16045" i="16"/>
  <c r="H16046" i="16"/>
  <c r="H16047" i="16"/>
  <c r="H16048" i="16"/>
  <c r="H16049" i="16"/>
  <c r="H16050" i="16"/>
  <c r="H16051" i="16"/>
  <c r="H16052" i="16"/>
  <c r="H16053" i="16"/>
  <c r="H16054" i="16"/>
  <c r="H16055" i="16"/>
  <c r="H16056" i="16"/>
  <c r="H16057" i="16"/>
  <c r="H16058" i="16"/>
  <c r="H16059" i="16"/>
  <c r="H16060" i="16"/>
  <c r="H16061" i="16"/>
  <c r="H16062" i="16"/>
  <c r="H16063" i="16"/>
  <c r="H16064" i="16"/>
  <c r="H16065" i="16"/>
  <c r="H16066" i="16"/>
  <c r="H16067" i="16"/>
  <c r="H16068" i="16"/>
  <c r="H16069" i="16"/>
  <c r="H16070" i="16"/>
  <c r="H16071" i="16"/>
  <c r="H16072" i="16"/>
  <c r="H16073" i="16"/>
  <c r="H16074" i="16"/>
  <c r="H16075" i="16"/>
  <c r="H16076" i="16"/>
  <c r="H16077" i="16"/>
  <c r="H16078" i="16"/>
  <c r="H16079" i="16"/>
  <c r="H16080" i="16"/>
  <c r="H16081" i="16"/>
  <c r="H16082" i="16"/>
  <c r="H16083" i="16"/>
  <c r="H16084" i="16"/>
  <c r="H16085" i="16"/>
  <c r="H16086" i="16"/>
  <c r="H16087" i="16"/>
  <c r="H16088" i="16"/>
  <c r="H16089" i="16"/>
  <c r="H16090" i="16"/>
  <c r="H16091" i="16"/>
  <c r="H16092" i="16"/>
  <c r="H16093" i="16"/>
  <c r="H16094" i="16"/>
  <c r="H16095" i="16"/>
  <c r="H16096" i="16"/>
  <c r="H16097" i="16"/>
  <c r="H16098" i="16"/>
  <c r="H16099" i="16"/>
  <c r="H16100" i="16"/>
  <c r="H16101" i="16"/>
  <c r="H16102" i="16"/>
  <c r="H16103" i="16"/>
  <c r="H16104" i="16"/>
  <c r="H16105" i="16"/>
  <c r="H16106" i="16"/>
  <c r="H16107" i="16"/>
  <c r="H16108" i="16"/>
  <c r="H16109" i="16"/>
  <c r="H16110" i="16"/>
  <c r="H16111" i="16"/>
  <c r="H16112" i="16"/>
  <c r="H16113" i="16"/>
  <c r="H16114" i="16"/>
  <c r="H16115" i="16"/>
  <c r="H16116" i="16"/>
  <c r="H16117" i="16"/>
  <c r="H16118" i="16"/>
  <c r="H16119" i="16"/>
  <c r="H16120" i="16"/>
  <c r="H16121" i="16"/>
  <c r="H16122" i="16"/>
  <c r="H16123" i="16"/>
  <c r="H16124" i="16"/>
  <c r="H16125" i="16"/>
  <c r="H16126" i="16"/>
  <c r="H16127" i="16"/>
  <c r="H16128" i="16"/>
  <c r="H16129" i="16"/>
  <c r="H16130" i="16"/>
  <c r="H16131" i="16"/>
  <c r="H16132" i="16"/>
  <c r="H16133" i="16"/>
  <c r="H16134" i="16"/>
  <c r="H16135" i="16"/>
  <c r="H16136" i="16"/>
  <c r="H16137" i="16"/>
  <c r="H16138" i="16"/>
  <c r="H16139" i="16"/>
  <c r="H16140" i="16"/>
  <c r="H16141" i="16"/>
  <c r="H16142" i="16"/>
  <c r="H16143" i="16"/>
  <c r="H16144" i="16"/>
  <c r="H16145" i="16"/>
  <c r="H16146" i="16"/>
  <c r="H16147" i="16"/>
  <c r="H16148" i="16"/>
  <c r="H16149" i="16"/>
  <c r="H16150" i="16"/>
  <c r="H16151" i="16"/>
  <c r="H16152" i="16"/>
  <c r="H16153" i="16"/>
  <c r="H16154" i="16"/>
  <c r="H16155" i="16"/>
  <c r="H16156" i="16"/>
  <c r="H16157" i="16"/>
  <c r="H16158" i="16"/>
  <c r="H16159" i="16"/>
  <c r="H16160" i="16"/>
  <c r="H16161" i="16"/>
  <c r="H16162" i="16"/>
  <c r="H16163" i="16"/>
  <c r="H16164" i="16"/>
  <c r="H16165" i="16"/>
  <c r="H16166" i="16"/>
  <c r="H16167" i="16"/>
  <c r="H16168" i="16"/>
  <c r="H16169" i="16"/>
  <c r="H16170" i="16"/>
  <c r="H16171" i="16"/>
  <c r="H16172" i="16"/>
  <c r="H16173" i="16"/>
  <c r="H16174" i="16"/>
  <c r="H16175" i="16"/>
  <c r="H16176" i="16"/>
  <c r="H16177" i="16"/>
  <c r="H16178" i="16"/>
  <c r="H16179" i="16"/>
  <c r="H16180" i="16"/>
  <c r="H16181" i="16"/>
  <c r="H16182" i="16"/>
  <c r="H16183" i="16"/>
  <c r="H16184" i="16"/>
  <c r="H16185" i="16"/>
  <c r="H16186" i="16"/>
  <c r="H16187" i="16"/>
  <c r="H16188" i="16"/>
  <c r="H16189" i="16"/>
  <c r="H16190" i="16"/>
  <c r="H16191" i="16"/>
  <c r="H16192" i="16"/>
  <c r="H16193" i="16"/>
  <c r="H16194" i="16"/>
  <c r="H16195" i="16"/>
  <c r="H16196" i="16"/>
  <c r="H16197" i="16"/>
  <c r="H16198" i="16"/>
  <c r="H16199" i="16"/>
  <c r="H16200" i="16"/>
  <c r="H16201" i="16"/>
  <c r="H16202" i="16"/>
  <c r="H16203" i="16"/>
  <c r="H16204" i="16"/>
  <c r="H16205" i="16"/>
  <c r="H16206" i="16"/>
  <c r="H16207" i="16"/>
  <c r="H16208" i="16"/>
  <c r="H16209" i="16"/>
  <c r="H16210" i="16"/>
  <c r="H16211" i="16"/>
  <c r="H16212" i="16"/>
  <c r="H16213" i="16"/>
  <c r="H16214" i="16"/>
  <c r="H16215" i="16"/>
  <c r="H16216" i="16"/>
  <c r="H16217" i="16"/>
  <c r="H16218" i="16"/>
  <c r="H16219" i="16"/>
  <c r="H16220" i="16"/>
  <c r="H16221" i="16"/>
  <c r="H16222" i="16"/>
  <c r="H16223" i="16"/>
  <c r="H16224" i="16"/>
  <c r="H16225" i="16"/>
  <c r="H16226" i="16"/>
  <c r="H16227" i="16"/>
  <c r="H16228" i="16"/>
  <c r="H16229" i="16"/>
  <c r="H16230" i="16"/>
  <c r="H16231" i="16"/>
  <c r="H16232" i="16"/>
  <c r="H16233" i="16"/>
  <c r="H16234" i="16"/>
  <c r="H16235" i="16"/>
  <c r="H16236" i="16"/>
  <c r="H16237" i="16"/>
  <c r="H16238" i="16"/>
  <c r="H16239" i="16"/>
  <c r="H16240" i="16"/>
  <c r="H16241" i="16"/>
  <c r="H16242" i="16"/>
  <c r="H16243" i="16"/>
  <c r="H16244" i="16"/>
  <c r="H16245" i="16"/>
  <c r="H16246" i="16"/>
  <c r="H16247" i="16"/>
  <c r="H16248" i="16"/>
  <c r="H16249" i="16"/>
  <c r="H16250" i="16"/>
  <c r="H16251" i="16"/>
  <c r="H16252" i="16"/>
  <c r="H16253" i="16"/>
  <c r="H16254" i="16"/>
  <c r="H16255" i="16"/>
  <c r="H16256" i="16"/>
  <c r="H16257" i="16"/>
  <c r="H16258" i="16"/>
  <c r="H16259" i="16"/>
  <c r="H16260" i="16"/>
  <c r="H16261" i="16"/>
  <c r="H16262" i="16"/>
  <c r="H16263" i="16"/>
  <c r="H16264" i="16"/>
  <c r="H16265" i="16"/>
  <c r="H16266" i="16"/>
  <c r="H16267" i="16"/>
  <c r="H16268" i="16"/>
  <c r="H16269" i="16"/>
  <c r="H16270" i="16"/>
  <c r="H16271" i="16"/>
  <c r="H16272" i="16"/>
  <c r="H16273" i="16"/>
  <c r="H16274" i="16"/>
  <c r="H16275" i="16"/>
  <c r="H16276" i="16"/>
  <c r="H16277" i="16"/>
  <c r="H16278" i="16"/>
  <c r="H16279" i="16"/>
  <c r="H16280" i="16"/>
  <c r="H16281" i="16"/>
  <c r="H16282" i="16"/>
  <c r="H16283" i="16"/>
  <c r="H16284" i="16"/>
  <c r="H16285" i="16"/>
  <c r="H16286" i="16"/>
  <c r="H16287" i="16"/>
  <c r="H16288" i="16"/>
  <c r="H16289" i="16"/>
  <c r="H16290" i="16"/>
  <c r="H16291" i="16"/>
  <c r="H16292" i="16"/>
  <c r="H16293" i="16"/>
  <c r="H16294" i="16"/>
  <c r="H16295" i="16"/>
  <c r="H16296" i="16"/>
  <c r="H16297" i="16"/>
  <c r="H16298" i="16"/>
  <c r="H16299" i="16"/>
  <c r="H16300" i="16"/>
  <c r="H16301" i="16"/>
  <c r="H16302" i="16"/>
  <c r="H16303" i="16"/>
  <c r="H16304" i="16"/>
  <c r="H16305" i="16"/>
  <c r="H16306" i="16"/>
  <c r="H16307" i="16"/>
  <c r="H16308" i="16"/>
  <c r="H16309" i="16"/>
  <c r="H16310" i="16"/>
  <c r="H16311" i="16"/>
  <c r="H16312" i="16"/>
  <c r="H16313" i="16"/>
  <c r="H16314" i="16"/>
  <c r="H16315" i="16"/>
  <c r="H16316" i="16"/>
  <c r="H16317" i="16"/>
  <c r="H16318" i="16"/>
  <c r="H16319" i="16"/>
  <c r="H16320" i="16"/>
  <c r="H16321" i="16"/>
  <c r="H16322" i="16"/>
  <c r="H16323" i="16"/>
  <c r="H16324" i="16"/>
  <c r="H16325" i="16"/>
  <c r="H16326" i="16"/>
  <c r="H16327" i="16"/>
  <c r="H16328" i="16"/>
  <c r="H16329" i="16"/>
  <c r="H16330" i="16"/>
  <c r="H16331" i="16"/>
  <c r="H16332" i="16"/>
  <c r="H16333" i="16"/>
  <c r="H16334" i="16"/>
  <c r="H16335" i="16"/>
  <c r="H16336" i="16"/>
  <c r="H16337" i="16"/>
  <c r="H16338" i="16"/>
  <c r="H16339" i="16"/>
  <c r="H16340" i="16"/>
  <c r="H16341" i="16"/>
  <c r="H16342" i="16"/>
  <c r="H16343" i="16"/>
  <c r="H16344" i="16"/>
  <c r="H16345" i="16"/>
  <c r="H16346" i="16"/>
  <c r="H16347" i="16"/>
  <c r="H16348" i="16"/>
  <c r="H16349" i="16"/>
  <c r="H16350" i="16"/>
  <c r="H16351" i="16"/>
  <c r="H16352" i="16"/>
  <c r="H16353" i="16"/>
  <c r="H16354" i="16"/>
  <c r="H16355" i="16"/>
  <c r="H16356" i="16"/>
  <c r="H16357" i="16"/>
  <c r="H16358" i="16"/>
  <c r="H16359" i="16"/>
  <c r="H16360" i="16"/>
  <c r="H16361" i="16"/>
  <c r="H16362" i="16"/>
  <c r="H16363" i="16"/>
  <c r="H16364" i="16"/>
  <c r="H16365" i="16"/>
  <c r="H16366" i="16"/>
  <c r="H16367" i="16"/>
  <c r="H16368" i="16"/>
  <c r="H16369" i="16"/>
  <c r="H16370" i="16"/>
  <c r="H16371" i="16"/>
  <c r="H16372" i="16"/>
  <c r="H16373" i="16"/>
  <c r="H16374" i="16"/>
  <c r="H16375" i="16"/>
  <c r="H16376" i="16"/>
  <c r="H16377" i="16"/>
  <c r="H16378" i="16"/>
  <c r="H16379" i="16"/>
  <c r="H16380" i="16"/>
  <c r="H16381" i="16"/>
  <c r="H16382" i="16"/>
  <c r="H16383" i="16"/>
  <c r="H16384" i="16"/>
  <c r="H16385" i="16"/>
  <c r="H16386" i="16"/>
  <c r="H16387" i="16"/>
  <c r="H16388" i="16"/>
  <c r="H16389" i="16"/>
  <c r="H16390" i="16"/>
  <c r="H16391" i="16"/>
  <c r="H16392" i="16"/>
  <c r="H16393" i="16"/>
  <c r="H16394" i="16"/>
  <c r="H16395" i="16"/>
  <c r="H16396" i="16"/>
  <c r="H16397" i="16"/>
  <c r="H16398" i="16"/>
  <c r="H16399" i="16"/>
  <c r="H16400" i="16"/>
  <c r="H16401" i="16"/>
  <c r="H16402" i="16"/>
  <c r="H16403" i="16"/>
  <c r="H16404" i="16"/>
  <c r="H16405" i="16"/>
  <c r="H16406" i="16"/>
  <c r="H16407" i="16"/>
  <c r="H16408" i="16"/>
  <c r="H16409" i="16"/>
  <c r="H16410" i="16"/>
  <c r="H16411" i="16"/>
  <c r="H16412" i="16"/>
  <c r="H16413" i="16"/>
  <c r="H16414" i="16"/>
  <c r="H16415" i="16"/>
  <c r="H16416" i="16"/>
  <c r="H16417" i="16"/>
  <c r="H16418" i="16"/>
  <c r="H16419" i="16"/>
  <c r="H16420" i="16"/>
  <c r="H16421" i="16"/>
  <c r="H16422" i="16"/>
  <c r="H16423" i="16"/>
  <c r="H16424" i="16"/>
  <c r="H16425" i="16"/>
  <c r="H16426" i="16"/>
  <c r="H16427" i="16"/>
  <c r="H16428" i="16"/>
  <c r="H16429" i="16"/>
  <c r="H16430" i="16"/>
  <c r="H16431" i="16"/>
  <c r="H16432" i="16"/>
  <c r="H16433" i="16"/>
  <c r="H16434" i="16"/>
  <c r="H16435" i="16"/>
  <c r="H16436" i="16"/>
  <c r="H16437" i="16"/>
  <c r="H16438" i="16"/>
  <c r="H16439" i="16"/>
  <c r="H16440" i="16"/>
  <c r="H16441" i="16"/>
  <c r="H16442" i="16"/>
  <c r="H16443" i="16"/>
  <c r="H16444" i="16"/>
  <c r="H16445" i="16"/>
  <c r="H16446" i="16"/>
  <c r="H16447" i="16"/>
  <c r="H16448" i="16"/>
  <c r="H16449" i="16"/>
  <c r="H16450" i="16"/>
  <c r="H16451" i="16"/>
  <c r="H16452" i="16"/>
  <c r="H16453" i="16"/>
  <c r="H16454" i="16"/>
  <c r="H16455" i="16"/>
  <c r="H16456" i="16"/>
  <c r="H16457" i="16"/>
  <c r="H16458" i="16"/>
  <c r="H16459" i="16"/>
  <c r="H16460" i="16"/>
  <c r="H16461" i="16"/>
  <c r="H16462" i="16"/>
  <c r="H16463" i="16"/>
  <c r="H16464" i="16"/>
  <c r="H16465" i="16"/>
  <c r="H16466" i="16"/>
  <c r="H16467" i="16"/>
  <c r="H16468" i="16"/>
  <c r="H16469" i="16"/>
  <c r="H16470" i="16"/>
  <c r="H16471" i="16"/>
  <c r="H16472" i="16"/>
  <c r="H16473" i="16"/>
  <c r="H16474" i="16"/>
  <c r="H16475" i="16"/>
  <c r="H16476" i="16"/>
  <c r="H16477" i="16"/>
  <c r="H16478" i="16"/>
  <c r="H16479" i="16"/>
  <c r="H16480" i="16"/>
  <c r="H16481" i="16"/>
  <c r="H16482" i="16"/>
  <c r="H16483" i="16"/>
  <c r="H16484" i="16"/>
  <c r="H16485" i="16"/>
  <c r="H16486" i="16"/>
  <c r="H16487" i="16"/>
  <c r="H16488" i="16"/>
  <c r="H16489" i="16"/>
  <c r="H16490" i="16"/>
  <c r="H16491" i="16"/>
  <c r="H16492" i="16"/>
  <c r="H16493" i="16"/>
  <c r="H16494" i="16"/>
  <c r="H16495" i="16"/>
  <c r="H16496" i="16"/>
  <c r="H16497" i="16"/>
  <c r="H16498" i="16"/>
  <c r="H16499" i="16"/>
  <c r="H16500" i="16"/>
  <c r="H16501" i="16"/>
  <c r="H16502" i="16"/>
  <c r="H16503" i="16"/>
  <c r="H16504" i="16"/>
  <c r="H16505" i="16"/>
  <c r="H16506" i="16"/>
  <c r="H16507" i="16"/>
  <c r="H16508" i="16"/>
  <c r="H16509" i="16"/>
  <c r="H16510" i="16"/>
  <c r="H16511" i="16"/>
  <c r="H16512" i="16"/>
  <c r="H16513" i="16"/>
  <c r="H16514" i="16"/>
  <c r="H16515" i="16"/>
  <c r="H16516" i="16"/>
  <c r="H16517" i="16"/>
  <c r="H16518" i="16"/>
  <c r="H16519" i="16"/>
  <c r="H16520" i="16"/>
  <c r="H16521" i="16"/>
  <c r="H16522" i="16"/>
  <c r="H16523" i="16"/>
  <c r="H16524" i="16"/>
  <c r="H16525" i="16"/>
  <c r="H16526" i="16"/>
  <c r="H16527" i="16"/>
  <c r="H16528" i="16"/>
  <c r="H16529" i="16"/>
  <c r="H16530" i="16"/>
  <c r="H16531" i="16"/>
  <c r="H16532" i="16"/>
  <c r="H16533" i="16"/>
  <c r="H16534" i="16"/>
  <c r="H16535" i="16"/>
  <c r="H16536" i="16"/>
  <c r="H16537" i="16"/>
  <c r="H16538" i="16"/>
  <c r="H16539" i="16"/>
  <c r="H16540" i="16"/>
  <c r="H16541" i="16"/>
  <c r="H16542" i="16"/>
  <c r="H16543" i="16"/>
  <c r="H16544" i="16"/>
  <c r="H16545" i="16"/>
  <c r="H16546" i="16"/>
  <c r="H16547" i="16"/>
  <c r="H16548" i="16"/>
  <c r="H16549" i="16"/>
  <c r="H16550" i="16"/>
  <c r="H16551" i="16"/>
  <c r="H16552" i="16"/>
  <c r="H16553" i="16"/>
  <c r="H16554" i="16"/>
  <c r="H16555" i="16"/>
  <c r="H16556" i="16"/>
  <c r="H16557" i="16"/>
  <c r="H16558" i="16"/>
  <c r="H16559" i="16"/>
  <c r="H16560" i="16"/>
  <c r="H16561" i="16"/>
  <c r="H16562" i="16"/>
  <c r="H16563" i="16"/>
  <c r="H16564" i="16"/>
  <c r="H16565" i="16"/>
  <c r="H16566" i="16"/>
  <c r="H16567" i="16"/>
  <c r="H16568" i="16"/>
  <c r="H16569" i="16"/>
  <c r="H16570" i="16"/>
  <c r="H16571" i="16"/>
  <c r="H16572" i="16"/>
  <c r="H16573" i="16"/>
  <c r="H16574" i="16"/>
  <c r="H16575" i="16"/>
  <c r="H16576" i="16"/>
  <c r="H16577" i="16"/>
  <c r="H16578" i="16"/>
  <c r="H16579" i="16"/>
  <c r="H16580" i="16"/>
  <c r="H16581" i="16"/>
  <c r="H16582" i="16"/>
  <c r="H16583" i="16"/>
  <c r="H16584" i="16"/>
  <c r="H16585" i="16"/>
  <c r="H16586" i="16"/>
  <c r="H16587" i="16"/>
  <c r="H16588" i="16"/>
  <c r="H16589" i="16"/>
  <c r="H16590" i="16"/>
  <c r="H16591" i="16"/>
  <c r="H16592" i="16"/>
  <c r="H16593" i="16"/>
  <c r="H16594" i="16"/>
  <c r="H16595" i="16"/>
  <c r="H16596" i="16"/>
  <c r="H16597" i="16"/>
  <c r="H16598" i="16"/>
  <c r="H16599" i="16"/>
  <c r="H16600" i="16"/>
  <c r="H16601" i="16"/>
  <c r="H16602" i="16"/>
  <c r="H16603" i="16"/>
  <c r="H16604" i="16"/>
  <c r="H16605" i="16"/>
  <c r="H16606" i="16"/>
  <c r="H16607" i="16"/>
  <c r="H16608" i="16"/>
  <c r="H16609" i="16"/>
  <c r="H16610" i="16"/>
  <c r="H16611" i="16"/>
  <c r="H16612" i="16"/>
  <c r="H16613" i="16"/>
  <c r="H16614" i="16"/>
  <c r="H16615" i="16"/>
  <c r="H16616" i="16"/>
  <c r="H16617" i="16"/>
  <c r="H16618" i="16"/>
  <c r="H16619" i="16"/>
  <c r="H16620" i="16"/>
  <c r="H16621" i="16"/>
  <c r="H16622" i="16"/>
  <c r="H16623" i="16"/>
  <c r="H16624" i="16"/>
  <c r="H16625" i="16"/>
  <c r="H16626" i="16"/>
  <c r="H16627" i="16"/>
  <c r="H16628" i="16"/>
  <c r="H16629" i="16"/>
  <c r="H16630" i="16"/>
  <c r="H16631" i="16"/>
  <c r="H16632" i="16"/>
  <c r="H16633" i="16"/>
  <c r="H16634" i="16"/>
  <c r="H16635" i="16"/>
  <c r="H16636" i="16"/>
  <c r="H16637" i="16"/>
  <c r="H16638" i="16"/>
  <c r="H16639" i="16"/>
  <c r="H16640" i="16"/>
  <c r="H16641" i="16"/>
  <c r="H16642" i="16"/>
  <c r="H16643" i="16"/>
  <c r="H16644" i="16"/>
  <c r="H16645" i="16"/>
  <c r="H16646" i="16"/>
  <c r="H16647" i="16"/>
  <c r="H16648" i="16"/>
  <c r="H16649" i="16"/>
  <c r="H16650" i="16"/>
  <c r="H16651" i="16"/>
  <c r="H16652" i="16"/>
  <c r="H16653" i="16"/>
  <c r="H16654" i="16"/>
  <c r="H16655" i="16"/>
  <c r="H16656" i="16"/>
  <c r="H16657" i="16"/>
  <c r="H16658" i="16"/>
  <c r="H16659" i="16"/>
  <c r="H16660" i="16"/>
  <c r="H16661" i="16"/>
  <c r="H16662" i="16"/>
  <c r="H16663" i="16"/>
  <c r="H16664" i="16"/>
  <c r="H16665" i="16"/>
  <c r="H16666" i="16"/>
  <c r="H16667" i="16"/>
  <c r="H16668" i="16"/>
  <c r="H16669" i="16"/>
  <c r="H16670" i="16"/>
  <c r="H16671" i="16"/>
  <c r="H16672" i="16"/>
  <c r="H16673" i="16"/>
  <c r="H16674" i="16"/>
  <c r="H16675" i="16"/>
  <c r="H16676" i="16"/>
  <c r="H16677" i="16"/>
  <c r="H16678" i="16"/>
  <c r="H16679" i="16"/>
  <c r="H16680" i="16"/>
  <c r="H16681" i="16"/>
  <c r="H16682" i="16"/>
  <c r="H16683" i="16"/>
  <c r="H16684" i="16"/>
  <c r="H16685" i="16"/>
  <c r="H16686" i="16"/>
  <c r="H16687" i="16"/>
  <c r="H16688" i="16"/>
  <c r="H16689" i="16"/>
  <c r="H16690" i="16"/>
  <c r="H16691" i="16"/>
  <c r="H16692" i="16"/>
  <c r="H16693" i="16"/>
  <c r="H16694" i="16"/>
  <c r="H16695" i="16"/>
  <c r="H16696" i="16"/>
  <c r="H16697" i="16"/>
  <c r="H16698" i="16"/>
  <c r="H16699" i="16"/>
  <c r="H16700" i="16"/>
  <c r="H16701" i="16"/>
  <c r="H16702" i="16"/>
  <c r="H16703" i="16"/>
  <c r="H16704" i="16"/>
  <c r="H16705" i="16"/>
  <c r="H16706" i="16"/>
  <c r="H16707" i="16"/>
  <c r="H16708" i="16"/>
  <c r="H16709" i="16"/>
  <c r="H16710" i="16"/>
  <c r="H16711" i="16"/>
  <c r="H16712" i="16"/>
  <c r="H16713" i="16"/>
  <c r="H16714" i="16"/>
  <c r="H16715" i="16"/>
  <c r="H16716" i="16"/>
  <c r="H16717" i="16"/>
  <c r="H16718" i="16"/>
  <c r="H16719" i="16"/>
  <c r="H16720" i="16"/>
  <c r="H16721" i="16"/>
  <c r="H16722" i="16"/>
  <c r="H16723" i="16"/>
  <c r="H16724" i="16"/>
  <c r="H16725" i="16"/>
  <c r="H16726" i="16"/>
  <c r="H16727" i="16"/>
  <c r="H16728" i="16"/>
  <c r="H16729" i="16"/>
  <c r="H16730" i="16"/>
  <c r="H16731" i="16"/>
  <c r="H16732" i="16"/>
  <c r="H16733" i="16"/>
  <c r="H16734" i="16"/>
  <c r="H16735" i="16"/>
  <c r="H16736" i="16"/>
  <c r="H16737" i="16"/>
  <c r="H16738" i="16"/>
  <c r="H16739" i="16"/>
  <c r="H16740" i="16"/>
  <c r="H16741" i="16"/>
  <c r="H16742" i="16"/>
  <c r="H16743" i="16"/>
  <c r="H16744" i="16"/>
  <c r="H16745" i="16"/>
  <c r="H16746" i="16"/>
  <c r="H16747" i="16"/>
  <c r="H16748" i="16"/>
  <c r="H16749" i="16"/>
  <c r="H16750" i="16"/>
  <c r="H16751" i="16"/>
  <c r="H16752" i="16"/>
  <c r="H16753" i="16"/>
  <c r="H16754" i="16"/>
  <c r="H16755" i="16"/>
  <c r="H16756" i="16"/>
  <c r="H16757" i="16"/>
  <c r="H16758" i="16"/>
  <c r="H16759" i="16"/>
  <c r="H16760" i="16"/>
  <c r="H16761" i="16"/>
  <c r="H16762" i="16"/>
  <c r="H16763" i="16"/>
  <c r="H16764" i="16"/>
  <c r="H16765" i="16"/>
  <c r="H16766" i="16"/>
  <c r="H16767" i="16"/>
  <c r="H16768" i="16"/>
  <c r="H16769" i="16"/>
  <c r="H16770" i="16"/>
  <c r="H16771" i="16"/>
  <c r="H16772" i="16"/>
  <c r="H16773" i="16"/>
  <c r="H16774" i="16"/>
  <c r="H16775" i="16"/>
  <c r="H16776" i="16"/>
  <c r="H16777" i="16"/>
  <c r="H16778" i="16"/>
  <c r="H16779" i="16"/>
  <c r="H16780" i="16"/>
  <c r="H16781" i="16"/>
  <c r="H16782" i="16"/>
  <c r="H16783" i="16"/>
  <c r="H16784" i="16"/>
  <c r="H16785" i="16"/>
  <c r="H16786" i="16"/>
  <c r="H16787" i="16"/>
  <c r="H16788" i="16"/>
  <c r="H16789" i="16"/>
  <c r="H16790" i="16"/>
  <c r="H16791" i="16"/>
  <c r="H16792" i="16"/>
  <c r="H16793" i="16"/>
  <c r="H16794" i="16"/>
  <c r="H16795" i="16"/>
  <c r="H16796" i="16"/>
  <c r="H16797" i="16"/>
  <c r="H16798" i="16"/>
  <c r="H16799" i="16"/>
  <c r="H16800" i="16"/>
  <c r="H16801" i="16"/>
  <c r="H16802" i="16"/>
  <c r="H16803" i="16"/>
  <c r="H16804" i="16"/>
  <c r="H16805" i="16"/>
  <c r="H16806" i="16"/>
  <c r="H16807" i="16"/>
  <c r="H16808" i="16"/>
  <c r="H16809" i="16"/>
  <c r="H16810" i="16"/>
  <c r="H16811" i="16"/>
  <c r="H16812" i="16"/>
  <c r="H16813" i="16"/>
  <c r="H16814" i="16"/>
  <c r="H16815" i="16"/>
  <c r="H16816" i="16"/>
  <c r="H16817" i="16"/>
  <c r="H16818" i="16"/>
  <c r="H16819" i="16"/>
  <c r="H16820" i="16"/>
  <c r="H16821" i="16"/>
  <c r="H16822" i="16"/>
  <c r="H16823" i="16"/>
  <c r="H16824" i="16"/>
  <c r="H16825" i="16"/>
  <c r="H16826" i="16"/>
  <c r="H16827" i="16"/>
  <c r="H16828" i="16"/>
  <c r="H16829" i="16"/>
  <c r="H16830" i="16"/>
  <c r="H16831" i="16"/>
  <c r="H16832" i="16"/>
  <c r="H16833" i="16"/>
  <c r="H16834" i="16"/>
  <c r="H16835" i="16"/>
  <c r="H16836" i="16"/>
  <c r="H16837" i="16"/>
  <c r="H16838" i="16"/>
  <c r="H16839" i="16"/>
  <c r="H16840" i="16"/>
  <c r="H16841" i="16"/>
  <c r="H16842" i="16"/>
  <c r="H16843" i="16"/>
  <c r="H16844" i="16"/>
  <c r="H16845" i="16"/>
  <c r="H16846" i="16"/>
  <c r="H16847" i="16"/>
  <c r="H16848" i="16"/>
  <c r="H16849" i="16"/>
  <c r="H16850" i="16"/>
  <c r="H16851" i="16"/>
  <c r="H16852" i="16"/>
  <c r="H16853" i="16"/>
  <c r="H16854" i="16"/>
  <c r="H16855" i="16"/>
  <c r="H16856" i="16"/>
  <c r="H16857" i="16"/>
  <c r="H16858" i="16"/>
  <c r="H16859" i="16"/>
  <c r="H16860" i="16"/>
  <c r="H16861" i="16"/>
  <c r="H16862" i="16"/>
  <c r="H16863" i="16"/>
  <c r="H16864" i="16"/>
  <c r="H16865" i="16"/>
  <c r="H16866" i="16"/>
  <c r="H16867" i="16"/>
  <c r="H16868" i="16"/>
  <c r="H16869" i="16"/>
  <c r="H16870" i="16"/>
  <c r="H16871" i="16"/>
  <c r="H16872" i="16"/>
  <c r="H16873" i="16"/>
  <c r="H16874" i="16"/>
  <c r="H16875" i="16"/>
  <c r="H16876" i="16"/>
  <c r="H16877" i="16"/>
  <c r="H16878" i="16"/>
  <c r="H16879" i="16"/>
  <c r="H16880" i="16"/>
  <c r="H16881" i="16"/>
  <c r="H16882" i="16"/>
  <c r="H16883" i="16"/>
  <c r="H16884" i="16"/>
  <c r="H16885" i="16"/>
  <c r="H16886" i="16"/>
  <c r="H16887" i="16"/>
  <c r="H16888" i="16"/>
  <c r="H16889" i="16"/>
  <c r="H16890" i="16"/>
  <c r="H16891" i="16"/>
  <c r="H16892" i="16"/>
  <c r="H16893" i="16"/>
  <c r="H16894" i="16"/>
  <c r="H16895" i="16"/>
  <c r="H16896" i="16"/>
  <c r="H16897" i="16"/>
  <c r="H16898" i="16"/>
  <c r="H16899" i="16"/>
  <c r="H16900" i="16"/>
  <c r="H16901" i="16"/>
  <c r="H16902" i="16"/>
  <c r="H16903" i="16"/>
  <c r="H16904" i="16"/>
  <c r="H16905" i="16"/>
  <c r="H16906" i="16"/>
  <c r="H16907" i="16"/>
  <c r="H16908" i="16"/>
  <c r="H16909" i="16"/>
  <c r="H16910" i="16"/>
  <c r="H16911" i="16"/>
  <c r="H16912" i="16"/>
  <c r="H16913" i="16"/>
  <c r="H16914" i="16"/>
  <c r="H16915" i="16"/>
  <c r="H16916" i="16"/>
  <c r="H16917" i="16"/>
  <c r="H16918" i="16"/>
  <c r="H16919" i="16"/>
  <c r="H16920" i="16"/>
  <c r="H16921" i="16"/>
  <c r="H16922" i="16"/>
  <c r="H16923" i="16"/>
  <c r="H16924" i="16"/>
  <c r="H16925" i="16"/>
  <c r="H16926" i="16"/>
  <c r="H16927" i="16"/>
  <c r="H16928" i="16"/>
  <c r="H16929" i="16"/>
  <c r="H16930" i="16"/>
  <c r="H16931" i="16"/>
  <c r="H16932" i="16"/>
  <c r="H16933" i="16"/>
  <c r="H16934" i="16"/>
  <c r="H16935" i="16"/>
  <c r="H16936" i="16"/>
  <c r="H16937" i="16"/>
  <c r="H16938" i="16"/>
  <c r="H16939" i="16"/>
  <c r="H16940" i="16"/>
  <c r="H16941" i="16"/>
  <c r="H16942" i="16"/>
  <c r="H16943" i="16"/>
  <c r="H16944" i="16"/>
  <c r="H16945" i="16"/>
  <c r="H16946" i="16"/>
  <c r="H16947" i="16"/>
  <c r="H16948" i="16"/>
  <c r="H16949" i="16"/>
  <c r="H16950" i="16"/>
  <c r="H16951" i="16"/>
  <c r="H16952" i="16"/>
  <c r="H16953" i="16"/>
  <c r="H16954" i="16"/>
  <c r="H16955" i="16"/>
  <c r="H16956" i="16"/>
  <c r="H16957" i="16"/>
  <c r="H16958" i="16"/>
  <c r="H16959" i="16"/>
  <c r="H16960" i="16"/>
  <c r="H16961" i="16"/>
  <c r="H16962" i="16"/>
  <c r="H16963" i="16"/>
  <c r="H16964" i="16"/>
  <c r="H16965" i="16"/>
  <c r="H16966" i="16"/>
  <c r="H16967" i="16"/>
  <c r="H16968" i="16"/>
  <c r="H16969" i="16"/>
  <c r="H16970" i="16"/>
  <c r="H16971" i="16"/>
  <c r="H16972" i="16"/>
  <c r="H16973" i="16"/>
  <c r="H16974" i="16"/>
  <c r="H16975" i="16"/>
  <c r="H16976" i="16"/>
  <c r="H16977" i="16"/>
  <c r="H16978" i="16"/>
  <c r="H16979" i="16"/>
  <c r="H16980" i="16"/>
  <c r="H16981" i="16"/>
  <c r="H16982" i="16"/>
  <c r="H16983" i="16"/>
  <c r="H16984" i="16"/>
  <c r="H16985" i="16"/>
  <c r="H16986" i="16"/>
  <c r="H16987" i="16"/>
  <c r="H16988" i="16"/>
  <c r="H16989" i="16"/>
  <c r="H16990" i="16"/>
  <c r="H16991" i="16"/>
  <c r="H16992" i="16"/>
  <c r="H16993" i="16"/>
  <c r="H16994" i="16"/>
  <c r="H16995" i="16"/>
  <c r="H16996" i="16"/>
  <c r="H16997" i="16"/>
  <c r="H16998" i="16"/>
  <c r="H16999" i="16"/>
  <c r="H17000" i="16"/>
  <c r="H17001" i="16"/>
  <c r="H17002" i="16"/>
  <c r="H17003" i="16"/>
  <c r="H17004" i="16"/>
  <c r="H17005" i="16"/>
  <c r="H17006" i="16"/>
  <c r="H17007" i="16"/>
  <c r="H17008" i="16"/>
  <c r="H17009" i="16"/>
  <c r="H17010" i="16"/>
  <c r="H17011" i="16"/>
  <c r="H17012" i="16"/>
  <c r="H17013" i="16"/>
  <c r="H17014" i="16"/>
  <c r="H17015" i="16"/>
  <c r="H17016" i="16"/>
  <c r="H17017" i="16"/>
  <c r="H17018" i="16"/>
  <c r="H17019" i="16"/>
  <c r="H17020" i="16"/>
  <c r="H17021" i="16"/>
  <c r="H17022" i="16"/>
  <c r="H17023" i="16"/>
  <c r="H17024" i="16"/>
  <c r="H17025" i="16"/>
  <c r="H17026" i="16"/>
  <c r="H17027" i="16"/>
  <c r="H17028" i="16"/>
  <c r="H17029" i="16"/>
  <c r="H17030" i="16"/>
  <c r="H17031" i="16"/>
  <c r="H17032" i="16"/>
  <c r="H17033" i="16"/>
  <c r="H17034" i="16"/>
  <c r="H17035" i="16"/>
  <c r="H17036" i="16"/>
  <c r="H17037" i="16"/>
  <c r="H17038" i="16"/>
  <c r="H17039" i="16"/>
  <c r="H17040" i="16"/>
  <c r="H17041" i="16"/>
  <c r="H17042" i="16"/>
  <c r="H17043" i="16"/>
  <c r="H17044" i="16"/>
  <c r="H17045" i="16"/>
  <c r="H17046" i="16"/>
  <c r="H17047" i="16"/>
  <c r="H17048" i="16"/>
  <c r="H17049" i="16"/>
  <c r="H17050" i="16"/>
  <c r="H17051" i="16"/>
  <c r="H17052" i="16"/>
  <c r="H17053" i="16"/>
  <c r="H17054" i="16"/>
  <c r="H17055" i="16"/>
  <c r="H17056" i="16"/>
  <c r="H17057" i="16"/>
  <c r="H17058" i="16"/>
  <c r="H17059" i="16"/>
  <c r="H17060" i="16"/>
  <c r="H17061" i="16"/>
  <c r="H17062" i="16"/>
  <c r="H17063" i="16"/>
  <c r="H17064" i="16"/>
  <c r="H17065" i="16"/>
  <c r="H17066" i="16"/>
  <c r="H17067" i="16"/>
  <c r="H17068" i="16"/>
  <c r="H17069" i="16"/>
  <c r="H17070" i="16"/>
  <c r="H17071" i="16"/>
  <c r="H17072" i="16"/>
  <c r="H17073" i="16"/>
  <c r="H17074" i="16"/>
  <c r="H17075" i="16"/>
  <c r="H17076" i="16"/>
  <c r="H17077" i="16"/>
  <c r="H17078" i="16"/>
  <c r="H17079" i="16"/>
  <c r="H17080" i="16"/>
  <c r="H17081" i="16"/>
  <c r="H17082" i="16"/>
  <c r="H17083" i="16"/>
  <c r="H17084" i="16"/>
  <c r="H17085" i="16"/>
  <c r="H17086" i="16"/>
  <c r="H17087" i="16"/>
  <c r="H17088" i="16"/>
  <c r="H17089" i="16"/>
  <c r="H17090" i="16"/>
  <c r="H17091" i="16"/>
  <c r="H17092" i="16"/>
  <c r="H17093" i="16"/>
  <c r="H17094" i="16"/>
  <c r="H17095" i="16"/>
  <c r="H17096" i="16"/>
  <c r="H17097" i="16"/>
  <c r="H17098" i="16"/>
  <c r="H17099" i="16"/>
  <c r="H17100" i="16"/>
  <c r="H17101" i="16"/>
  <c r="H17102" i="16"/>
  <c r="H17103" i="16"/>
  <c r="H17104" i="16"/>
  <c r="H17105" i="16"/>
  <c r="H17106" i="16"/>
  <c r="H17107" i="16"/>
  <c r="H17108" i="16"/>
  <c r="H17109" i="16"/>
  <c r="H17110" i="16"/>
  <c r="H17111" i="16"/>
  <c r="H17112" i="16"/>
  <c r="H17113" i="16"/>
  <c r="H17114" i="16"/>
  <c r="H17115" i="16"/>
  <c r="H17116" i="16"/>
  <c r="H17117" i="16"/>
  <c r="H17118" i="16"/>
  <c r="H17119" i="16"/>
  <c r="H17120" i="16"/>
  <c r="H17121" i="16"/>
  <c r="H17122" i="16"/>
  <c r="H17123" i="16"/>
  <c r="H17124" i="16"/>
  <c r="H17125" i="16"/>
  <c r="H17126" i="16"/>
  <c r="H17127" i="16"/>
  <c r="H17128" i="16"/>
  <c r="H17129" i="16"/>
  <c r="H17130" i="16"/>
  <c r="H17131" i="16"/>
  <c r="H17132" i="16"/>
  <c r="H17133" i="16"/>
  <c r="H17134" i="16"/>
  <c r="H17135" i="16"/>
  <c r="H17136" i="16"/>
  <c r="H17137" i="16"/>
  <c r="H17138" i="16"/>
  <c r="H17139" i="16"/>
  <c r="H17140" i="16"/>
  <c r="H17141" i="16"/>
  <c r="H17142" i="16"/>
  <c r="H17143" i="16"/>
  <c r="H17144" i="16"/>
  <c r="H17145" i="16"/>
  <c r="H17146" i="16"/>
  <c r="H17147" i="16"/>
  <c r="H17148" i="16"/>
  <c r="H17149" i="16"/>
  <c r="H17150" i="16"/>
  <c r="H17151" i="16"/>
  <c r="H17152" i="16"/>
  <c r="H17153" i="16"/>
  <c r="H17154" i="16"/>
  <c r="H17155" i="16"/>
  <c r="H17156" i="16"/>
  <c r="H17157" i="16"/>
  <c r="H17158" i="16"/>
  <c r="H17159" i="16"/>
  <c r="H17160" i="16"/>
  <c r="H17161" i="16"/>
  <c r="H17162" i="16"/>
  <c r="H17163" i="16"/>
  <c r="H17164" i="16"/>
  <c r="H17165" i="16"/>
  <c r="H17166" i="16"/>
  <c r="H17167" i="16"/>
  <c r="H17168" i="16"/>
  <c r="H17169" i="16"/>
  <c r="H17170" i="16"/>
  <c r="H17171" i="16"/>
  <c r="H17172" i="16"/>
  <c r="H17173" i="16"/>
  <c r="H17174" i="16"/>
  <c r="H17175" i="16"/>
  <c r="H17176" i="16"/>
  <c r="H17177" i="16"/>
  <c r="H17178" i="16"/>
  <c r="H17179" i="16"/>
  <c r="H17180" i="16"/>
  <c r="H17181" i="16"/>
  <c r="H17182" i="16"/>
  <c r="H17183" i="16"/>
  <c r="H17184" i="16"/>
  <c r="H17185" i="16"/>
  <c r="H17186" i="16"/>
  <c r="H17187" i="16"/>
  <c r="H17188" i="16"/>
  <c r="H17189" i="16"/>
  <c r="H17190" i="16"/>
  <c r="H17191" i="16"/>
  <c r="H17192" i="16"/>
  <c r="H17193" i="16"/>
  <c r="H17194" i="16"/>
  <c r="H17195" i="16"/>
  <c r="H17196" i="16"/>
  <c r="H17197" i="16"/>
  <c r="H17198" i="16"/>
  <c r="H17199" i="16"/>
  <c r="H17200" i="16"/>
  <c r="H17201" i="16"/>
  <c r="H17202" i="16"/>
  <c r="H17203" i="16"/>
  <c r="H17204" i="16"/>
  <c r="H17205" i="16"/>
  <c r="H17206" i="16"/>
  <c r="H17207" i="16"/>
  <c r="H17208" i="16"/>
  <c r="H17209" i="16"/>
  <c r="H17210" i="16"/>
  <c r="H17211" i="16"/>
  <c r="H17212" i="16"/>
  <c r="H17213" i="16"/>
  <c r="H17214" i="16"/>
  <c r="H17215" i="16"/>
  <c r="H17216" i="16"/>
  <c r="H17217" i="16"/>
  <c r="H17218" i="16"/>
  <c r="H17219" i="16"/>
  <c r="H17220" i="16"/>
  <c r="H17221" i="16"/>
  <c r="H17222" i="16"/>
  <c r="H17223" i="16"/>
  <c r="H17224" i="16"/>
  <c r="H17225" i="16"/>
  <c r="H17226" i="16"/>
  <c r="H17227" i="16"/>
  <c r="H17228" i="16"/>
  <c r="H17229" i="16"/>
  <c r="H17230" i="16"/>
  <c r="H17231" i="16"/>
  <c r="H17232" i="16"/>
  <c r="H17233" i="16"/>
  <c r="H17234" i="16"/>
  <c r="H17235" i="16"/>
  <c r="H17236" i="16"/>
  <c r="H17237" i="16"/>
  <c r="H17238" i="16"/>
  <c r="H17239" i="16"/>
  <c r="H17240" i="16"/>
  <c r="H17241" i="16"/>
  <c r="H17242" i="16"/>
  <c r="H17243" i="16"/>
  <c r="H17244" i="16"/>
  <c r="H17245" i="16"/>
  <c r="H17246" i="16"/>
  <c r="H17247" i="16"/>
  <c r="H17248" i="16"/>
  <c r="H17249" i="16"/>
  <c r="H17250" i="16"/>
  <c r="H17251" i="16"/>
  <c r="H17252" i="16"/>
  <c r="H17253" i="16"/>
  <c r="H17254" i="16"/>
  <c r="H17255" i="16"/>
  <c r="H17256" i="16"/>
  <c r="H17257" i="16"/>
  <c r="H17258" i="16"/>
  <c r="H17259" i="16"/>
  <c r="H17260" i="16"/>
  <c r="H17261" i="16"/>
  <c r="H17262" i="16"/>
  <c r="H17263" i="16"/>
  <c r="H17264" i="16"/>
  <c r="H17265" i="16"/>
  <c r="H17266" i="16"/>
  <c r="H17267" i="16"/>
  <c r="H17268" i="16"/>
  <c r="H17269" i="16"/>
  <c r="H17270" i="16"/>
  <c r="H17271" i="16"/>
  <c r="H17272" i="16"/>
  <c r="H17273" i="16"/>
  <c r="H17274" i="16"/>
  <c r="H17275" i="16"/>
  <c r="H17276" i="16"/>
  <c r="H17277" i="16"/>
  <c r="H17278" i="16"/>
  <c r="H17279" i="16"/>
  <c r="H17280" i="16"/>
  <c r="H17281" i="16"/>
  <c r="H17282" i="16"/>
  <c r="H17283" i="16"/>
  <c r="H17284" i="16"/>
  <c r="H17285" i="16"/>
  <c r="H17286" i="16"/>
  <c r="H17287" i="16"/>
  <c r="H17288" i="16"/>
  <c r="H17289" i="16"/>
  <c r="H17290" i="16"/>
  <c r="H17291" i="16"/>
  <c r="H17292" i="16"/>
  <c r="H17293" i="16"/>
  <c r="H17294" i="16"/>
  <c r="H17295" i="16"/>
  <c r="H17296" i="16"/>
  <c r="H17297" i="16"/>
  <c r="H17298" i="16"/>
  <c r="H17299" i="16"/>
  <c r="H17300" i="16"/>
  <c r="H17301" i="16"/>
  <c r="H17302" i="16"/>
  <c r="H17303" i="16"/>
  <c r="H17304" i="16"/>
  <c r="H17305" i="16"/>
  <c r="H17306" i="16"/>
  <c r="H17307" i="16"/>
  <c r="H17308" i="16"/>
  <c r="H17309" i="16"/>
  <c r="H17310" i="16"/>
  <c r="H17311" i="16"/>
  <c r="H17312" i="16"/>
  <c r="H17313" i="16"/>
  <c r="H17314" i="16"/>
  <c r="H17315" i="16"/>
  <c r="H17316" i="16"/>
  <c r="H17317" i="16"/>
  <c r="H17318" i="16"/>
  <c r="H17319" i="16"/>
  <c r="H17320" i="16"/>
  <c r="H17321" i="16"/>
  <c r="H17322" i="16"/>
  <c r="H17323" i="16"/>
  <c r="H17324" i="16"/>
  <c r="H17325" i="16"/>
  <c r="H17326" i="16"/>
  <c r="H17327" i="16"/>
  <c r="H17328" i="16"/>
  <c r="H17329" i="16"/>
  <c r="H17330" i="16"/>
  <c r="H17331" i="16"/>
  <c r="H17332" i="16"/>
  <c r="H17333" i="16"/>
  <c r="H17334" i="16"/>
  <c r="H17335" i="16"/>
  <c r="H17336" i="16"/>
  <c r="H17337" i="16"/>
  <c r="H17338" i="16"/>
  <c r="H17339" i="16"/>
  <c r="H17340" i="16"/>
  <c r="H17341" i="16"/>
  <c r="H17342" i="16"/>
  <c r="H17343" i="16"/>
  <c r="H17344" i="16"/>
  <c r="H17345" i="16"/>
  <c r="H17346" i="16"/>
  <c r="H17347" i="16"/>
  <c r="H17348" i="16"/>
  <c r="H17349" i="16"/>
  <c r="H17350" i="16"/>
  <c r="H17351" i="16"/>
  <c r="H17352" i="16"/>
  <c r="H17353" i="16"/>
  <c r="H17354" i="16"/>
  <c r="H17355" i="16"/>
  <c r="H17356" i="16"/>
  <c r="H17357" i="16"/>
  <c r="H17358" i="16"/>
  <c r="H17359" i="16"/>
  <c r="H17360" i="16"/>
  <c r="H17361" i="16"/>
  <c r="H17362" i="16"/>
  <c r="H17363" i="16"/>
  <c r="H17364" i="16"/>
  <c r="H17365" i="16"/>
  <c r="H17366" i="16"/>
  <c r="H17367" i="16"/>
  <c r="H17368" i="16"/>
  <c r="H17369" i="16"/>
  <c r="H17370" i="16"/>
  <c r="H17371" i="16"/>
  <c r="H17372" i="16"/>
  <c r="H17373" i="16"/>
  <c r="H17374" i="16"/>
  <c r="H17375" i="16"/>
  <c r="H17376" i="16"/>
  <c r="H17377" i="16"/>
  <c r="H17378" i="16"/>
  <c r="H17379" i="16"/>
  <c r="H17380" i="16"/>
  <c r="H17381" i="16"/>
  <c r="H17382" i="16"/>
  <c r="H17383" i="16"/>
  <c r="H17384" i="16"/>
  <c r="H17385" i="16"/>
  <c r="H17386" i="16"/>
  <c r="H17387" i="16"/>
  <c r="H17388" i="16"/>
  <c r="H17389" i="16"/>
  <c r="H17390" i="16"/>
  <c r="H17391" i="16"/>
  <c r="H17392" i="16"/>
  <c r="H17393" i="16"/>
  <c r="H17394" i="16"/>
  <c r="H17395" i="16"/>
  <c r="H17396" i="16"/>
  <c r="H17397" i="16"/>
  <c r="H17398" i="16"/>
  <c r="H17399" i="16"/>
  <c r="H17400" i="16"/>
  <c r="H17401" i="16"/>
  <c r="H17402" i="16"/>
  <c r="H17403" i="16"/>
  <c r="H17404" i="16"/>
  <c r="H17405" i="16"/>
  <c r="H17406" i="16"/>
  <c r="H17407" i="16"/>
  <c r="H17408" i="16"/>
  <c r="H17409" i="16"/>
  <c r="H17410" i="16"/>
  <c r="H17411" i="16"/>
  <c r="H17412" i="16"/>
  <c r="H17413" i="16"/>
  <c r="H17414" i="16"/>
  <c r="H17415" i="16"/>
  <c r="H17416" i="16"/>
  <c r="H17417" i="16"/>
  <c r="H17418" i="16"/>
  <c r="H17419" i="16"/>
  <c r="H17420" i="16"/>
  <c r="H17421" i="16"/>
  <c r="H17422" i="16"/>
  <c r="H17423" i="16"/>
  <c r="H17424" i="16"/>
  <c r="H17425" i="16"/>
  <c r="H17426" i="16"/>
  <c r="H17427" i="16"/>
  <c r="H17428" i="16"/>
  <c r="H17429" i="16"/>
  <c r="H17430" i="16"/>
  <c r="H17431" i="16"/>
  <c r="H17432" i="16"/>
  <c r="H17433" i="16"/>
  <c r="H17434" i="16"/>
  <c r="H17435" i="16"/>
  <c r="H17436" i="16"/>
  <c r="H17437" i="16"/>
  <c r="H17438" i="16"/>
  <c r="H17439" i="16"/>
  <c r="H17440" i="16"/>
  <c r="H17441" i="16"/>
  <c r="H17442" i="16"/>
  <c r="H17443" i="16"/>
  <c r="H17444" i="16"/>
  <c r="H17445" i="16"/>
  <c r="H17446" i="16"/>
  <c r="H17447" i="16"/>
  <c r="H17448" i="16"/>
  <c r="H17449" i="16"/>
  <c r="H17450" i="16"/>
  <c r="H17451" i="16"/>
  <c r="H17452" i="16"/>
  <c r="H17453" i="16"/>
  <c r="H17454" i="16"/>
  <c r="H17455" i="16"/>
  <c r="H17456" i="16"/>
  <c r="H17457" i="16"/>
  <c r="H17458" i="16"/>
  <c r="H17459" i="16"/>
  <c r="H17460" i="16"/>
  <c r="H17461" i="16"/>
  <c r="H17462" i="16"/>
  <c r="H17463" i="16"/>
  <c r="H17464" i="16"/>
  <c r="H17465" i="16"/>
  <c r="H17466" i="16"/>
  <c r="H17467" i="16"/>
  <c r="H17468" i="16"/>
  <c r="H17469" i="16"/>
  <c r="H17470" i="16"/>
  <c r="H17471" i="16"/>
  <c r="H17472" i="16"/>
  <c r="H17473" i="16"/>
  <c r="H17474" i="16"/>
  <c r="H17475" i="16"/>
  <c r="H17476" i="16"/>
  <c r="H17477" i="16"/>
  <c r="H17478" i="16"/>
  <c r="H17479" i="16"/>
  <c r="H17480" i="16"/>
  <c r="H17481" i="16"/>
  <c r="H17482" i="16"/>
  <c r="H17483" i="16"/>
  <c r="H17484" i="16"/>
  <c r="H17485" i="16"/>
  <c r="H17486" i="16"/>
  <c r="H17487" i="16"/>
  <c r="H17488" i="16"/>
  <c r="H17489" i="16"/>
  <c r="H17490" i="16"/>
  <c r="H17491" i="16"/>
  <c r="H17492" i="16"/>
  <c r="H17493" i="16"/>
  <c r="H17494" i="16"/>
  <c r="H17495" i="16"/>
  <c r="H17496" i="16"/>
  <c r="H17497" i="16"/>
  <c r="H17498" i="16"/>
  <c r="H17499" i="16"/>
  <c r="H17500" i="16"/>
  <c r="H17501" i="16"/>
  <c r="H17502" i="16"/>
  <c r="H17503" i="16"/>
  <c r="H17504" i="16"/>
  <c r="H17505" i="16"/>
  <c r="H17506" i="16"/>
  <c r="H17507" i="16"/>
  <c r="H17508" i="16"/>
  <c r="H17509" i="16"/>
  <c r="H17510" i="16"/>
  <c r="H17511" i="16"/>
  <c r="H17512" i="16"/>
  <c r="H17513" i="16"/>
  <c r="H17514" i="16"/>
  <c r="H17515" i="16"/>
  <c r="H17516" i="16"/>
  <c r="H17517" i="16"/>
  <c r="H17518" i="16"/>
  <c r="H17519" i="16"/>
  <c r="H17520" i="16"/>
  <c r="H17521" i="16"/>
  <c r="H17522" i="16"/>
  <c r="H17523" i="16"/>
  <c r="H17524" i="16"/>
  <c r="H17525" i="16"/>
  <c r="H17526" i="16"/>
  <c r="H17527" i="16"/>
  <c r="H17528" i="16"/>
  <c r="H17529" i="16"/>
  <c r="H17530" i="16"/>
  <c r="H17531" i="16"/>
  <c r="H17532" i="16"/>
  <c r="H17533" i="16"/>
  <c r="H17534" i="16"/>
  <c r="H17535" i="16"/>
  <c r="H17536" i="16"/>
  <c r="H17537" i="16"/>
  <c r="H17538" i="16"/>
  <c r="H17539" i="16"/>
  <c r="H17540" i="16"/>
  <c r="H17541" i="16"/>
  <c r="H17542" i="16"/>
  <c r="H17543" i="16"/>
  <c r="H17544" i="16"/>
  <c r="H17545" i="16"/>
  <c r="H17546" i="16"/>
  <c r="H17547" i="16"/>
  <c r="H17548" i="16"/>
  <c r="H17549" i="16"/>
  <c r="H17550" i="16"/>
  <c r="H17551" i="16"/>
  <c r="H17552" i="16"/>
  <c r="H17553" i="16"/>
  <c r="H17554" i="16"/>
  <c r="H17555" i="16"/>
  <c r="H17556" i="16"/>
  <c r="H17557" i="16"/>
  <c r="H17558" i="16"/>
  <c r="H17559" i="16"/>
  <c r="H17560" i="16"/>
  <c r="H17561" i="16"/>
  <c r="H17562" i="16"/>
  <c r="H17563" i="16"/>
  <c r="H17564" i="16"/>
  <c r="H17565" i="16"/>
  <c r="H17566" i="16"/>
  <c r="H17567" i="16"/>
  <c r="H17568" i="16"/>
  <c r="H17569" i="16"/>
  <c r="H17570" i="16"/>
  <c r="H17571" i="16"/>
  <c r="H17572" i="16"/>
  <c r="H17573" i="16"/>
  <c r="H17574" i="16"/>
  <c r="H17575" i="16"/>
  <c r="H17576" i="16"/>
  <c r="H17577" i="16"/>
  <c r="H17578" i="16"/>
  <c r="H17579" i="16"/>
  <c r="H17580" i="16"/>
  <c r="H17581" i="16"/>
  <c r="H17582" i="16"/>
  <c r="H17583" i="16"/>
  <c r="H17584" i="16"/>
  <c r="H17585" i="16"/>
  <c r="H17586" i="16"/>
  <c r="H17587" i="16"/>
  <c r="H17588" i="16"/>
  <c r="H17589" i="16"/>
  <c r="H17590" i="16"/>
  <c r="H17591" i="16"/>
  <c r="H17592" i="16"/>
  <c r="H17593" i="16"/>
  <c r="H17594" i="16"/>
  <c r="H17595" i="16"/>
  <c r="H17596" i="16"/>
  <c r="H17597" i="16"/>
  <c r="H17598" i="16"/>
  <c r="H17599" i="16"/>
  <c r="H17600" i="16"/>
  <c r="H17601" i="16"/>
  <c r="H17602" i="16"/>
  <c r="H17603" i="16"/>
  <c r="H17604" i="16"/>
  <c r="H17605" i="16"/>
  <c r="H17606" i="16"/>
  <c r="H17607" i="16"/>
  <c r="H17608" i="16"/>
  <c r="H17609" i="16"/>
  <c r="H17610" i="16"/>
  <c r="H17611" i="16"/>
  <c r="H17612" i="16"/>
  <c r="H17613" i="16"/>
  <c r="H17614" i="16"/>
  <c r="H17615" i="16"/>
  <c r="H17616" i="16"/>
  <c r="H17617" i="16"/>
  <c r="H17618" i="16"/>
  <c r="H17619" i="16"/>
  <c r="H17620" i="16"/>
  <c r="H17621" i="16"/>
  <c r="H17622" i="16"/>
  <c r="H17623" i="16"/>
  <c r="H17624" i="16"/>
  <c r="H17625" i="16"/>
  <c r="H17626" i="16"/>
  <c r="H17627" i="16"/>
  <c r="H17628" i="16"/>
  <c r="H17629" i="16"/>
  <c r="H17630" i="16"/>
  <c r="H17631" i="16"/>
  <c r="H17632" i="16"/>
  <c r="H17633" i="16"/>
  <c r="H17634" i="16"/>
  <c r="H17635" i="16"/>
  <c r="H17636" i="16"/>
  <c r="H17637" i="16"/>
  <c r="H17638" i="16"/>
  <c r="H17639" i="16"/>
  <c r="H17640" i="16"/>
  <c r="H17641" i="16"/>
  <c r="H17642" i="16"/>
  <c r="H17643" i="16"/>
  <c r="H17644" i="16"/>
  <c r="H17645" i="16"/>
  <c r="H17646" i="16"/>
  <c r="H17647" i="16"/>
  <c r="H17648" i="16"/>
  <c r="H17649" i="16"/>
  <c r="H17650" i="16"/>
  <c r="H17651" i="16"/>
  <c r="H17652" i="16"/>
  <c r="H17653" i="16"/>
  <c r="H17654" i="16"/>
  <c r="H17655" i="16"/>
  <c r="H17656" i="16"/>
  <c r="H17657" i="16"/>
  <c r="H17658" i="16"/>
  <c r="H17659" i="16"/>
  <c r="H17660" i="16"/>
  <c r="H17661" i="16"/>
  <c r="H17662" i="16"/>
  <c r="H17663" i="16"/>
  <c r="H17664" i="16"/>
  <c r="H17665" i="16"/>
  <c r="H17666" i="16"/>
  <c r="H17667" i="16"/>
  <c r="H17668" i="16"/>
  <c r="H17669" i="16"/>
  <c r="H17670" i="16"/>
  <c r="H17671" i="16"/>
  <c r="H17672" i="16"/>
  <c r="H17673" i="16"/>
  <c r="H17674" i="16"/>
  <c r="H17675" i="16"/>
  <c r="H17676" i="16"/>
  <c r="H17677" i="16"/>
  <c r="H17678" i="16"/>
  <c r="H17679" i="16"/>
  <c r="H17680" i="16"/>
  <c r="H17681" i="16"/>
  <c r="H17682" i="16"/>
  <c r="H17683" i="16"/>
  <c r="H17684" i="16"/>
  <c r="H17685" i="16"/>
  <c r="H17686" i="16"/>
  <c r="H17687" i="16"/>
  <c r="H17688" i="16"/>
  <c r="H17689" i="16"/>
  <c r="H17690" i="16"/>
  <c r="H17691" i="16"/>
  <c r="H17692" i="16"/>
  <c r="H17693" i="16"/>
  <c r="H17694" i="16"/>
  <c r="H17695" i="16"/>
  <c r="H17696" i="16"/>
  <c r="H17697" i="16"/>
  <c r="H17698" i="16"/>
  <c r="H17699" i="16"/>
  <c r="H17700" i="16"/>
  <c r="H17701" i="16"/>
  <c r="H17702" i="16"/>
  <c r="H17703" i="16"/>
  <c r="H17704" i="16"/>
  <c r="H17705" i="16"/>
  <c r="H17706" i="16"/>
  <c r="H17707" i="16"/>
  <c r="H17708" i="16"/>
  <c r="H17709" i="16"/>
  <c r="H17710" i="16"/>
  <c r="H17711" i="16"/>
  <c r="H17712" i="16"/>
  <c r="H17713" i="16"/>
  <c r="H17714" i="16"/>
  <c r="H17715" i="16"/>
  <c r="H17716" i="16"/>
  <c r="H17717" i="16"/>
  <c r="H17718" i="16"/>
  <c r="H17719" i="16"/>
  <c r="H17720" i="16"/>
  <c r="H17721" i="16"/>
  <c r="H17722" i="16"/>
  <c r="H17723" i="16"/>
  <c r="H17724" i="16"/>
  <c r="H17725" i="16"/>
  <c r="H17726" i="16"/>
  <c r="H17727" i="16"/>
  <c r="H17728" i="16"/>
  <c r="H17729" i="16"/>
  <c r="H17730" i="16"/>
  <c r="H17731" i="16"/>
  <c r="H17732" i="16"/>
  <c r="H17733" i="16"/>
  <c r="H17734" i="16"/>
  <c r="H17735" i="16"/>
  <c r="H17736" i="16"/>
  <c r="H17737" i="16"/>
  <c r="H17738" i="16"/>
  <c r="H17739" i="16"/>
  <c r="H17740" i="16"/>
  <c r="H17741" i="16"/>
  <c r="H17742" i="16"/>
  <c r="H17743" i="16"/>
  <c r="H17744" i="16"/>
  <c r="H17745" i="16"/>
  <c r="H17746" i="16"/>
  <c r="H17747" i="16"/>
  <c r="H17748" i="16"/>
  <c r="H17749" i="16"/>
  <c r="H17750" i="16"/>
  <c r="H17751" i="16"/>
  <c r="H17752" i="16"/>
  <c r="H17753" i="16"/>
  <c r="H17754" i="16"/>
  <c r="H17755" i="16"/>
  <c r="H17756" i="16"/>
  <c r="H17757" i="16"/>
  <c r="H17758" i="16"/>
  <c r="H17759" i="16"/>
  <c r="H17760" i="16"/>
  <c r="H17761" i="16"/>
  <c r="H17762" i="16"/>
  <c r="H17763" i="16"/>
  <c r="H17764" i="16"/>
  <c r="H17765" i="16"/>
  <c r="H17766" i="16"/>
  <c r="H17767" i="16"/>
  <c r="H17768" i="16"/>
  <c r="H17769" i="16"/>
  <c r="H17770" i="16"/>
  <c r="H17771" i="16"/>
  <c r="H17772" i="16"/>
  <c r="H17773" i="16"/>
  <c r="H17774" i="16"/>
  <c r="H17775" i="16"/>
  <c r="H17776" i="16"/>
  <c r="H17777" i="16"/>
  <c r="H17778" i="16"/>
  <c r="H17779" i="16"/>
  <c r="H17780" i="16"/>
  <c r="H17781" i="16"/>
  <c r="H17782" i="16"/>
  <c r="H17783" i="16"/>
  <c r="H17784" i="16"/>
  <c r="H17785" i="16"/>
  <c r="H17786" i="16"/>
  <c r="H17787" i="16"/>
  <c r="H17788" i="16"/>
  <c r="H17789" i="16"/>
  <c r="H17790" i="16"/>
  <c r="H17791" i="16"/>
  <c r="H17792" i="16"/>
  <c r="H17793" i="16"/>
  <c r="H17794" i="16"/>
  <c r="H17795" i="16"/>
  <c r="H17796" i="16"/>
  <c r="H17797" i="16"/>
  <c r="H17798" i="16"/>
  <c r="H17799" i="16"/>
  <c r="H17800" i="16"/>
  <c r="H17801" i="16"/>
  <c r="H17802" i="16"/>
  <c r="H17803" i="16"/>
  <c r="H17804" i="16"/>
  <c r="H17805" i="16"/>
  <c r="H17806" i="16"/>
  <c r="H17807" i="16"/>
  <c r="H17808" i="16"/>
  <c r="H17809" i="16"/>
  <c r="H17810" i="16"/>
  <c r="H17811" i="16"/>
  <c r="H17812" i="16"/>
  <c r="H17813" i="16"/>
  <c r="H17814" i="16"/>
  <c r="H17815" i="16"/>
  <c r="H17816" i="16"/>
  <c r="H17817" i="16"/>
  <c r="H17818" i="16"/>
  <c r="H17819" i="16"/>
  <c r="H17820" i="16"/>
  <c r="H17821" i="16"/>
  <c r="H17822" i="16"/>
  <c r="H17823" i="16"/>
  <c r="H17824" i="16"/>
  <c r="H17825" i="16"/>
  <c r="H17826" i="16"/>
  <c r="H17827" i="16"/>
  <c r="H17828" i="16"/>
  <c r="H17829" i="16"/>
  <c r="H17830" i="16"/>
  <c r="H17831" i="16"/>
  <c r="H17832" i="16"/>
  <c r="H17833" i="16"/>
  <c r="H17834" i="16"/>
  <c r="H17835" i="16"/>
  <c r="H17836" i="16"/>
  <c r="H17837" i="16"/>
  <c r="H17838" i="16"/>
  <c r="H17839" i="16"/>
  <c r="H17840" i="16"/>
  <c r="H17841" i="16"/>
  <c r="H17842" i="16"/>
  <c r="H17843" i="16"/>
  <c r="H17844" i="16"/>
  <c r="H17845" i="16"/>
  <c r="H17846" i="16"/>
  <c r="H17847" i="16"/>
  <c r="H17848" i="16"/>
  <c r="H17849" i="16"/>
  <c r="H17850" i="16"/>
  <c r="H17851" i="16"/>
  <c r="H17852" i="16"/>
  <c r="H17853" i="16"/>
  <c r="H17854" i="16"/>
  <c r="H17855" i="16"/>
  <c r="H17856" i="16"/>
  <c r="H17857" i="16"/>
  <c r="H17858" i="16"/>
  <c r="H17859" i="16"/>
  <c r="H17860" i="16"/>
  <c r="H17861" i="16"/>
  <c r="H17862" i="16"/>
  <c r="H17863" i="16"/>
  <c r="H17864" i="16"/>
  <c r="H17865" i="16"/>
  <c r="H17866" i="16"/>
  <c r="H17867" i="16"/>
  <c r="H17868" i="16"/>
  <c r="H17869" i="16"/>
  <c r="H17870" i="16"/>
  <c r="H17871" i="16"/>
  <c r="H17872" i="16"/>
  <c r="H17873" i="16"/>
  <c r="H17874" i="16"/>
  <c r="H17875" i="16"/>
  <c r="H17876" i="16"/>
  <c r="H17877" i="16"/>
  <c r="H17878" i="16"/>
  <c r="H17879" i="16"/>
  <c r="H17880" i="16"/>
  <c r="H17881" i="16"/>
  <c r="H17882" i="16"/>
  <c r="H17883" i="16"/>
  <c r="H17884" i="16"/>
  <c r="H17885" i="16"/>
  <c r="H17886" i="16"/>
  <c r="H17887" i="16"/>
  <c r="H17888" i="16"/>
  <c r="H17889" i="16"/>
  <c r="H17890" i="16"/>
  <c r="H17891" i="16"/>
  <c r="H17892" i="16"/>
  <c r="H17893" i="16"/>
  <c r="H17894" i="16"/>
  <c r="H17895" i="16"/>
  <c r="H17896" i="16"/>
  <c r="H17897" i="16"/>
  <c r="H17898" i="16"/>
  <c r="H17899" i="16"/>
  <c r="H17900" i="16"/>
  <c r="H17901" i="16"/>
  <c r="H17902" i="16"/>
  <c r="H17903" i="16"/>
  <c r="H17904" i="16"/>
  <c r="H17905" i="16"/>
  <c r="H17906" i="16"/>
  <c r="H17907" i="16"/>
  <c r="H17908" i="16"/>
  <c r="H17909" i="16"/>
  <c r="H17910" i="16"/>
  <c r="H17911" i="16"/>
  <c r="H17912" i="16"/>
  <c r="H17913" i="16"/>
  <c r="H17914" i="16"/>
  <c r="H17915" i="16"/>
  <c r="H17916" i="16"/>
  <c r="H17917" i="16"/>
  <c r="H17918" i="16"/>
  <c r="H17919" i="16"/>
  <c r="H17920" i="16"/>
  <c r="H17921" i="16"/>
  <c r="H17922" i="16"/>
  <c r="H17923" i="16"/>
  <c r="H17924" i="16"/>
  <c r="H17925" i="16"/>
  <c r="H17926" i="16"/>
  <c r="H17927" i="16"/>
  <c r="H17928" i="16"/>
  <c r="H17929" i="16"/>
  <c r="H17930" i="16"/>
  <c r="H17931" i="16"/>
  <c r="H17932" i="16"/>
  <c r="H17933" i="16"/>
  <c r="H17934" i="16"/>
  <c r="H17935" i="16"/>
  <c r="H17936" i="16"/>
  <c r="H17937" i="16"/>
  <c r="H17938" i="16"/>
  <c r="H17939" i="16"/>
  <c r="H17940" i="16"/>
  <c r="H17941" i="16"/>
  <c r="H17942" i="16"/>
  <c r="H17943" i="16"/>
  <c r="H17944" i="16"/>
  <c r="H17945" i="16"/>
  <c r="H17946" i="16"/>
  <c r="H17947" i="16"/>
  <c r="H17948" i="16"/>
  <c r="H17949" i="16"/>
  <c r="H17950" i="16"/>
  <c r="H17951" i="16"/>
  <c r="H17952" i="16"/>
  <c r="H17953" i="16"/>
  <c r="H17954" i="16"/>
  <c r="H17955" i="16"/>
  <c r="H17956" i="16"/>
  <c r="H17957" i="16"/>
  <c r="H17958" i="16"/>
  <c r="H17959" i="16"/>
  <c r="H17960" i="16"/>
  <c r="H17961" i="16"/>
  <c r="H17962" i="16"/>
  <c r="H17963" i="16"/>
  <c r="H17964" i="16"/>
  <c r="H17965" i="16"/>
  <c r="H17966" i="16"/>
  <c r="H17967" i="16"/>
  <c r="H17968" i="16"/>
  <c r="H17969" i="16"/>
  <c r="H17970" i="16"/>
  <c r="H17971" i="16"/>
  <c r="H17972" i="16"/>
  <c r="H17973" i="16"/>
  <c r="H17974" i="16"/>
  <c r="H17975" i="16"/>
  <c r="H17976" i="16"/>
  <c r="H17977" i="16"/>
  <c r="H17978" i="16"/>
  <c r="H17979" i="16"/>
  <c r="H17980" i="16"/>
  <c r="H17981" i="16"/>
  <c r="H17982" i="16"/>
  <c r="H17983" i="16"/>
  <c r="H17984" i="16"/>
  <c r="H17985" i="16"/>
  <c r="H17986" i="16"/>
  <c r="H17987" i="16"/>
  <c r="H17988" i="16"/>
  <c r="H17989" i="16"/>
  <c r="H17990" i="16"/>
  <c r="H17991" i="16"/>
  <c r="H17992" i="16"/>
  <c r="H17993" i="16"/>
  <c r="H17994" i="16"/>
  <c r="H17995" i="16"/>
  <c r="H17996" i="16"/>
  <c r="H17997" i="16"/>
  <c r="H17998" i="16"/>
  <c r="H17999" i="16"/>
  <c r="H18000" i="16"/>
  <c r="H18001" i="16"/>
  <c r="H18002" i="16"/>
  <c r="H18003" i="16"/>
  <c r="H18004" i="16"/>
  <c r="H18005" i="16"/>
  <c r="H18006" i="16"/>
  <c r="H18007" i="16"/>
  <c r="H18008" i="16"/>
  <c r="H18009" i="16"/>
  <c r="H18010" i="16"/>
  <c r="H18011" i="16"/>
  <c r="H18012" i="16"/>
  <c r="H18013" i="16"/>
  <c r="H18014" i="16"/>
  <c r="H18015" i="16"/>
  <c r="H18016" i="16"/>
  <c r="H18017" i="16"/>
  <c r="H18018" i="16"/>
  <c r="H18019" i="16"/>
  <c r="H18020" i="16"/>
  <c r="H18021" i="16"/>
  <c r="H18022" i="16"/>
  <c r="H18023" i="16"/>
  <c r="H18024" i="16"/>
  <c r="H18025" i="16"/>
  <c r="H18026" i="16"/>
  <c r="H18027" i="16"/>
  <c r="H18028" i="16"/>
  <c r="H18029" i="16"/>
  <c r="H18030" i="16"/>
  <c r="H18031" i="16"/>
  <c r="H18032" i="16"/>
  <c r="H18033" i="16"/>
  <c r="H18034" i="16"/>
  <c r="H18035" i="16"/>
  <c r="H18036" i="16"/>
  <c r="H18037" i="16"/>
  <c r="H18038" i="16"/>
  <c r="H18039" i="16"/>
  <c r="H18040" i="16"/>
  <c r="H18041" i="16"/>
  <c r="H18042" i="16"/>
  <c r="H18043" i="16"/>
  <c r="H18044" i="16"/>
  <c r="H18045" i="16"/>
  <c r="H18046" i="16"/>
  <c r="H18047" i="16"/>
  <c r="H18048" i="16"/>
  <c r="H18049" i="16"/>
  <c r="H18050" i="16"/>
  <c r="H18051" i="16"/>
  <c r="H18052" i="16"/>
  <c r="H18053" i="16"/>
  <c r="H18054" i="16"/>
  <c r="H18055" i="16"/>
  <c r="H18056" i="16"/>
  <c r="H18057" i="16"/>
  <c r="H18058" i="16"/>
  <c r="H18059" i="16"/>
  <c r="H18060" i="16"/>
  <c r="H18061" i="16"/>
  <c r="H18062" i="16"/>
  <c r="H18063" i="16"/>
  <c r="H18064" i="16"/>
  <c r="H18065" i="16"/>
  <c r="H18066" i="16"/>
  <c r="H18067" i="16"/>
  <c r="H18068" i="16"/>
  <c r="H18069" i="16"/>
  <c r="H18070" i="16"/>
  <c r="H18071" i="16"/>
  <c r="H18072" i="16"/>
  <c r="H18073" i="16"/>
  <c r="H18074" i="16"/>
  <c r="H18075" i="16"/>
  <c r="H18076" i="16"/>
  <c r="H18077" i="16"/>
  <c r="H18078" i="16"/>
  <c r="H18079" i="16"/>
  <c r="H18080" i="16"/>
  <c r="H18081" i="16"/>
  <c r="H18082" i="16"/>
  <c r="H18083" i="16"/>
  <c r="H18084" i="16"/>
  <c r="H18085" i="16"/>
  <c r="H18086" i="16"/>
  <c r="H18087" i="16"/>
  <c r="H18088" i="16"/>
  <c r="H18089" i="16"/>
  <c r="H18090" i="16"/>
  <c r="H18091" i="16"/>
  <c r="H18092" i="16"/>
  <c r="H18093" i="16"/>
  <c r="H18094" i="16"/>
  <c r="H18095" i="16"/>
  <c r="H18096" i="16"/>
  <c r="H18097" i="16"/>
  <c r="H18098" i="16"/>
  <c r="H18099" i="16"/>
  <c r="H18100" i="16"/>
  <c r="H18101" i="16"/>
  <c r="H18102" i="16"/>
  <c r="H18103" i="16"/>
  <c r="H18104" i="16"/>
  <c r="H18105" i="16"/>
  <c r="H18106" i="16"/>
  <c r="H18107" i="16"/>
  <c r="H18108" i="16"/>
  <c r="H18109" i="16"/>
  <c r="H18110" i="16"/>
  <c r="H18111" i="16"/>
  <c r="H18112" i="16"/>
  <c r="H18113" i="16"/>
  <c r="H18114" i="16"/>
  <c r="H18115" i="16"/>
  <c r="H18116" i="16"/>
  <c r="H18117" i="16"/>
  <c r="H18118" i="16"/>
  <c r="H18119" i="16"/>
  <c r="H18120" i="16"/>
  <c r="H18121" i="16"/>
  <c r="H18122" i="16"/>
  <c r="H18123" i="16"/>
  <c r="H18124" i="16"/>
  <c r="H18125" i="16"/>
  <c r="H18126" i="16"/>
  <c r="H18127" i="16"/>
  <c r="H18128" i="16"/>
  <c r="H18129" i="16"/>
  <c r="H18130" i="16"/>
  <c r="H18131" i="16"/>
  <c r="H18132" i="16"/>
  <c r="H18133" i="16"/>
  <c r="H18134" i="16"/>
  <c r="H18135" i="16"/>
  <c r="H18136" i="16"/>
  <c r="H18137" i="16"/>
  <c r="H18138" i="16"/>
  <c r="H18139" i="16"/>
  <c r="H18140" i="16"/>
  <c r="H18141" i="16"/>
  <c r="H18142" i="16"/>
  <c r="H18143" i="16"/>
  <c r="H18144" i="16"/>
  <c r="H18145" i="16"/>
  <c r="H18146" i="16"/>
  <c r="H18147" i="16"/>
  <c r="H18148" i="16"/>
  <c r="H18149" i="16"/>
  <c r="H18150" i="16"/>
  <c r="H18151" i="16"/>
  <c r="H18152" i="16"/>
  <c r="H18153" i="16"/>
  <c r="H18154" i="16"/>
  <c r="H18155" i="16"/>
  <c r="H18156" i="16"/>
  <c r="H18157" i="16"/>
  <c r="H18158" i="16"/>
  <c r="H18159" i="16"/>
  <c r="H18160" i="16"/>
  <c r="H18161" i="16"/>
  <c r="H18162" i="16"/>
  <c r="H18163" i="16"/>
  <c r="H18164" i="16"/>
  <c r="H18165" i="16"/>
  <c r="H18166" i="16"/>
  <c r="H18167" i="16"/>
  <c r="H18168" i="16"/>
  <c r="H18169" i="16"/>
  <c r="H18170" i="16"/>
  <c r="H18171" i="16"/>
  <c r="H18172" i="16"/>
  <c r="H18173" i="16"/>
  <c r="H18174" i="16"/>
  <c r="H18175" i="16"/>
  <c r="H18176" i="16"/>
  <c r="H18177" i="16"/>
  <c r="H18178" i="16"/>
  <c r="H18179" i="16"/>
  <c r="H18180" i="16"/>
  <c r="H18181" i="16"/>
  <c r="H18182" i="16"/>
  <c r="H18183" i="16"/>
  <c r="H18184" i="16"/>
  <c r="H18185" i="16"/>
  <c r="H18186" i="16"/>
  <c r="H18187" i="16"/>
  <c r="H18188" i="16"/>
  <c r="H18189" i="16"/>
  <c r="H18190" i="16"/>
  <c r="H18191" i="16"/>
  <c r="H18192" i="16"/>
  <c r="H18193" i="16"/>
  <c r="H18194" i="16"/>
  <c r="H18195" i="16"/>
  <c r="H18196" i="16"/>
  <c r="H18197" i="16"/>
  <c r="H18198" i="16"/>
  <c r="H18199" i="16"/>
  <c r="H18200" i="16"/>
  <c r="H18201" i="16"/>
  <c r="H18202" i="16"/>
  <c r="H18203" i="16"/>
  <c r="H18204" i="16"/>
  <c r="H18205" i="16"/>
  <c r="H18206" i="16"/>
  <c r="H18207" i="16"/>
  <c r="H18208" i="16"/>
  <c r="H18209" i="16"/>
  <c r="H18210" i="16"/>
  <c r="H18211" i="16"/>
  <c r="H18212" i="16"/>
  <c r="H18213" i="16"/>
  <c r="H18214" i="16"/>
  <c r="H18215" i="16"/>
  <c r="H18216" i="16"/>
  <c r="H18217" i="16"/>
  <c r="H18218" i="16"/>
  <c r="H18219" i="16"/>
  <c r="H18220" i="16"/>
  <c r="H18221" i="16"/>
  <c r="H18222" i="16"/>
  <c r="H18223" i="16"/>
  <c r="H18224" i="16"/>
  <c r="H18225" i="16"/>
  <c r="H18226" i="16"/>
  <c r="H18227" i="16"/>
  <c r="H18228" i="16"/>
  <c r="H18229" i="16"/>
  <c r="H18230" i="16"/>
  <c r="H18231" i="16"/>
  <c r="H18232" i="16"/>
  <c r="H18233" i="16"/>
  <c r="H18234" i="16"/>
  <c r="H18235" i="16"/>
  <c r="H18236" i="16"/>
  <c r="H18237" i="16"/>
  <c r="H18238" i="16"/>
  <c r="H18239" i="16"/>
  <c r="H18240" i="16"/>
  <c r="H18241" i="16"/>
  <c r="H18242" i="16"/>
  <c r="H18243" i="16"/>
  <c r="H18244" i="16"/>
  <c r="H18245" i="16"/>
  <c r="H18246" i="16"/>
  <c r="H18247" i="16"/>
  <c r="H18248" i="16"/>
  <c r="H18249" i="16"/>
  <c r="H18250" i="16"/>
  <c r="H18251" i="16"/>
  <c r="H18252" i="16"/>
  <c r="H18253" i="16"/>
  <c r="H18254" i="16"/>
  <c r="H18255" i="16"/>
  <c r="H18256" i="16"/>
  <c r="H18257" i="16"/>
  <c r="H18258" i="16"/>
  <c r="H18259" i="16"/>
  <c r="H18260" i="16"/>
  <c r="H18261" i="16"/>
  <c r="H18262" i="16"/>
  <c r="H18263" i="16"/>
  <c r="H18264" i="16"/>
  <c r="H18265" i="16"/>
  <c r="H18266" i="16"/>
  <c r="H18267" i="16"/>
  <c r="H18268" i="16"/>
  <c r="H18269" i="16"/>
  <c r="H18270" i="16"/>
  <c r="H18271" i="16"/>
  <c r="H18272" i="16"/>
  <c r="H18273" i="16"/>
  <c r="H18274" i="16"/>
  <c r="H18275" i="16"/>
  <c r="H18276" i="16"/>
  <c r="H18277" i="16"/>
  <c r="H18278" i="16"/>
  <c r="H18279" i="16"/>
  <c r="H18280" i="16"/>
  <c r="H18281" i="16"/>
  <c r="H18282" i="16"/>
  <c r="H18283" i="16"/>
  <c r="H18284" i="16"/>
  <c r="H18285" i="16"/>
  <c r="H18286" i="16"/>
  <c r="H18287" i="16"/>
  <c r="H18288" i="16"/>
  <c r="H18289" i="16"/>
  <c r="H18290" i="16"/>
  <c r="H18291" i="16"/>
  <c r="H18292" i="16"/>
  <c r="H18293" i="16"/>
  <c r="H18294" i="16"/>
  <c r="H18295" i="16"/>
  <c r="H18296" i="16"/>
  <c r="H18297" i="16"/>
  <c r="H18298" i="16"/>
  <c r="H18299" i="16"/>
  <c r="H18300" i="16"/>
  <c r="H18301" i="16"/>
  <c r="H18302" i="16"/>
  <c r="H18303" i="16"/>
  <c r="H18304" i="16"/>
  <c r="H18305" i="16"/>
  <c r="H18306" i="16"/>
  <c r="H18307" i="16"/>
  <c r="H18308" i="16"/>
  <c r="H18309" i="16"/>
  <c r="H18310" i="16"/>
  <c r="H18311" i="16"/>
  <c r="H18312" i="16"/>
  <c r="H18313" i="16"/>
  <c r="H18314" i="16"/>
  <c r="H18315" i="16"/>
  <c r="H18316" i="16"/>
  <c r="H18317" i="16"/>
  <c r="H18318" i="16"/>
  <c r="H18319" i="16"/>
  <c r="H18320" i="16"/>
  <c r="H18321" i="16"/>
  <c r="H18322" i="16"/>
  <c r="H18323" i="16"/>
  <c r="H18324" i="16"/>
  <c r="H18325" i="16"/>
  <c r="H18326" i="16"/>
  <c r="H18327" i="16"/>
  <c r="H18328" i="16"/>
  <c r="H18329" i="16"/>
  <c r="H18330" i="16"/>
  <c r="H18331" i="16"/>
  <c r="H18332" i="16"/>
  <c r="H18333" i="16"/>
  <c r="H18334" i="16"/>
  <c r="H18335" i="16"/>
  <c r="H18336" i="16"/>
  <c r="H18337" i="16"/>
  <c r="H18338" i="16"/>
  <c r="H18339" i="16"/>
  <c r="H18340" i="16"/>
  <c r="H18341" i="16"/>
  <c r="H18342" i="16"/>
  <c r="H18343" i="16"/>
  <c r="H18344" i="16"/>
  <c r="H18345" i="16"/>
  <c r="H18346" i="16"/>
  <c r="H18347" i="16"/>
  <c r="H18348" i="16"/>
  <c r="H18349" i="16"/>
  <c r="H18350" i="16"/>
  <c r="H18351" i="16"/>
  <c r="H18352" i="16"/>
  <c r="H18353" i="16"/>
  <c r="H18354" i="16"/>
  <c r="H18355" i="16"/>
  <c r="H18356" i="16"/>
  <c r="H18357" i="16"/>
  <c r="H18358" i="16"/>
  <c r="H18359" i="16"/>
  <c r="H18360" i="16"/>
  <c r="H18361" i="16"/>
  <c r="H18362" i="16"/>
  <c r="H18363" i="16"/>
  <c r="H18364" i="16"/>
  <c r="H18365" i="16"/>
  <c r="H18366" i="16"/>
  <c r="H18367" i="16"/>
  <c r="H18368" i="16"/>
  <c r="H18369" i="16"/>
  <c r="H18370" i="16"/>
  <c r="H18371" i="16"/>
  <c r="H18372" i="16"/>
  <c r="H18373" i="16"/>
  <c r="H18374" i="16"/>
  <c r="H18375" i="16"/>
  <c r="H18376" i="16"/>
  <c r="H18377" i="16"/>
  <c r="H18378" i="16"/>
  <c r="H18379" i="16"/>
  <c r="H18380" i="16"/>
  <c r="H18381" i="16"/>
  <c r="H18382" i="16"/>
  <c r="H18383" i="16"/>
  <c r="H18384" i="16"/>
  <c r="H18385" i="16"/>
  <c r="H18386" i="16"/>
  <c r="H18387" i="16"/>
  <c r="H18388" i="16"/>
  <c r="H18389" i="16"/>
  <c r="H18390" i="16"/>
  <c r="H18391" i="16"/>
  <c r="H18392" i="16"/>
  <c r="H18393" i="16"/>
  <c r="H18394" i="16"/>
  <c r="H18395" i="16"/>
  <c r="H18396" i="16"/>
  <c r="H18397" i="16"/>
  <c r="H18398" i="16"/>
  <c r="H18399" i="16"/>
  <c r="H18400" i="16"/>
  <c r="H18401" i="16"/>
  <c r="H18402" i="16"/>
  <c r="H18403" i="16"/>
  <c r="H18404" i="16"/>
  <c r="H18405" i="16"/>
  <c r="H18406" i="16"/>
  <c r="H18407" i="16"/>
  <c r="H18408" i="16"/>
  <c r="H18409" i="16"/>
  <c r="H18410" i="16"/>
  <c r="H18411" i="16"/>
  <c r="H18412" i="16"/>
  <c r="H18413" i="16"/>
  <c r="H18414" i="16"/>
  <c r="H18415" i="16"/>
  <c r="H18416" i="16"/>
  <c r="H18417" i="16"/>
  <c r="H18418" i="16"/>
  <c r="H18419" i="16"/>
  <c r="H18420" i="16"/>
  <c r="H18421" i="16"/>
  <c r="H18422" i="16"/>
  <c r="H18423" i="16"/>
  <c r="H18424" i="16"/>
  <c r="H18425" i="16"/>
  <c r="H18426" i="16"/>
  <c r="H18427" i="16"/>
  <c r="H18428" i="16"/>
  <c r="H18429" i="16"/>
  <c r="H18430" i="16"/>
  <c r="H18431" i="16"/>
  <c r="H18432" i="16"/>
  <c r="H18433" i="16"/>
  <c r="H18434" i="16"/>
  <c r="H18435" i="16"/>
  <c r="H18436" i="16"/>
  <c r="H18437" i="16"/>
  <c r="H18438" i="16"/>
  <c r="H18439" i="16"/>
  <c r="H18440" i="16"/>
  <c r="H18441" i="16"/>
  <c r="H18442" i="16"/>
  <c r="H18443" i="16"/>
  <c r="H18444" i="16"/>
  <c r="H18445" i="16"/>
  <c r="H18446" i="16"/>
  <c r="H18447" i="16"/>
  <c r="H18448" i="16"/>
  <c r="H18449" i="16"/>
  <c r="H18450" i="16"/>
  <c r="H18451" i="16"/>
  <c r="H18452" i="16"/>
  <c r="H18453" i="16"/>
  <c r="H18454" i="16"/>
  <c r="H18455" i="16"/>
  <c r="H18456" i="16"/>
  <c r="H18457" i="16"/>
  <c r="H18458" i="16"/>
  <c r="H18459" i="16"/>
  <c r="H18460" i="16"/>
  <c r="H18461" i="16"/>
  <c r="H18462" i="16"/>
  <c r="H18463" i="16"/>
  <c r="H18464" i="16"/>
  <c r="H18465" i="16"/>
  <c r="H18466" i="16"/>
  <c r="H18467" i="16"/>
  <c r="H18468" i="16"/>
  <c r="H18469" i="16"/>
  <c r="H18470" i="16"/>
  <c r="H18471" i="16"/>
  <c r="H18472" i="16"/>
  <c r="H18473" i="16"/>
  <c r="H18474" i="16"/>
  <c r="H18475" i="16"/>
  <c r="H18476" i="16"/>
  <c r="H18477" i="16"/>
  <c r="H18478" i="16"/>
  <c r="H18479" i="16"/>
  <c r="H18480" i="16"/>
  <c r="H18481" i="16"/>
  <c r="H18482" i="16"/>
  <c r="H18483" i="16"/>
  <c r="H18484" i="16"/>
  <c r="H18485" i="16"/>
  <c r="H18486" i="16"/>
  <c r="H18487" i="16"/>
  <c r="H18488" i="16"/>
  <c r="H18489" i="16"/>
  <c r="H18490" i="16"/>
  <c r="H18491" i="16"/>
  <c r="H18492" i="16"/>
  <c r="H18493" i="16"/>
  <c r="H18494" i="16"/>
  <c r="H18495" i="16"/>
  <c r="H18496" i="16"/>
  <c r="H18497" i="16"/>
  <c r="H18498" i="16"/>
  <c r="H18499" i="16"/>
  <c r="H18500" i="16"/>
  <c r="H18501" i="16"/>
  <c r="H18502" i="16"/>
  <c r="H18503" i="16"/>
  <c r="H18504" i="16"/>
  <c r="H18505" i="16"/>
  <c r="H18506" i="16"/>
  <c r="H18507" i="16"/>
  <c r="H18508" i="16"/>
  <c r="H18509" i="16"/>
  <c r="H18510" i="16"/>
  <c r="H18511" i="16"/>
  <c r="H18512" i="16"/>
  <c r="H18513" i="16"/>
  <c r="H18514" i="16"/>
  <c r="H18515" i="16"/>
  <c r="H18516" i="16"/>
  <c r="H18517" i="16"/>
  <c r="H18518" i="16"/>
  <c r="H18519" i="16"/>
  <c r="H18520" i="16"/>
  <c r="H18521" i="16"/>
  <c r="H18522" i="16"/>
  <c r="H18523" i="16"/>
  <c r="H18524" i="16"/>
  <c r="H18525" i="16"/>
  <c r="H18526" i="16"/>
  <c r="H18527" i="16"/>
  <c r="H18528" i="16"/>
  <c r="H18529" i="16"/>
  <c r="H18530" i="16"/>
  <c r="H18531" i="16"/>
  <c r="H18532" i="16"/>
  <c r="H18533" i="16"/>
  <c r="H18534" i="16"/>
  <c r="H18535" i="16"/>
  <c r="H18536" i="16"/>
  <c r="H18537" i="16"/>
  <c r="H18538" i="16"/>
  <c r="H18539" i="16"/>
  <c r="H18540" i="16"/>
  <c r="H18541" i="16"/>
  <c r="H18542" i="16"/>
  <c r="H18543" i="16"/>
  <c r="H18544" i="16"/>
  <c r="H18545" i="16"/>
  <c r="H18546" i="16"/>
  <c r="H18547" i="16"/>
  <c r="H18548" i="16"/>
  <c r="H18549" i="16"/>
  <c r="H18550" i="16"/>
  <c r="H18551" i="16"/>
  <c r="H18552" i="16"/>
  <c r="H18553" i="16"/>
  <c r="H18554" i="16"/>
  <c r="H18555" i="16"/>
  <c r="H18556" i="16"/>
  <c r="H18557" i="16"/>
  <c r="H18558" i="16"/>
  <c r="H18559" i="16"/>
  <c r="H18560" i="16"/>
  <c r="H18561" i="16"/>
  <c r="H18562" i="16"/>
  <c r="H18563" i="16"/>
  <c r="H18564" i="16"/>
  <c r="H18565" i="16"/>
  <c r="H18566" i="16"/>
  <c r="H18567" i="16"/>
  <c r="H18568" i="16"/>
  <c r="H18569" i="16"/>
  <c r="H18570" i="16"/>
  <c r="H18571" i="16"/>
  <c r="H18572" i="16"/>
  <c r="H18573" i="16"/>
  <c r="H18574" i="16"/>
  <c r="H18575" i="16"/>
  <c r="H18576" i="16"/>
  <c r="H18577" i="16"/>
  <c r="H18578" i="16"/>
  <c r="H18579" i="16"/>
  <c r="H18580" i="16"/>
  <c r="H18581" i="16"/>
  <c r="H18582" i="16"/>
  <c r="H18583" i="16"/>
  <c r="H18584" i="16"/>
  <c r="H18585" i="16"/>
  <c r="H18586" i="16"/>
  <c r="H18587" i="16"/>
  <c r="H18588" i="16"/>
  <c r="H18589" i="16"/>
  <c r="H18590" i="16"/>
  <c r="H18591" i="16"/>
  <c r="H18592" i="16"/>
  <c r="H18593" i="16"/>
  <c r="H18594" i="16"/>
  <c r="H18595" i="16"/>
  <c r="H18596" i="16"/>
  <c r="H18597" i="16"/>
  <c r="H18598" i="16"/>
  <c r="H18599" i="16"/>
  <c r="H18600" i="16"/>
  <c r="H18601" i="16"/>
  <c r="H18602" i="16"/>
  <c r="H18603" i="16"/>
  <c r="H18604" i="16"/>
  <c r="H18605" i="16"/>
  <c r="H18606" i="16"/>
  <c r="H18607" i="16"/>
  <c r="H18608" i="16"/>
  <c r="H18609" i="16"/>
  <c r="H18610" i="16"/>
  <c r="H18611" i="16"/>
  <c r="H18612" i="16"/>
  <c r="H18613" i="16"/>
  <c r="H18614" i="16"/>
  <c r="H18615" i="16"/>
  <c r="H18616" i="16"/>
  <c r="H18617" i="16"/>
  <c r="H18618" i="16"/>
  <c r="H18619" i="16"/>
  <c r="H18620" i="16"/>
  <c r="H18621" i="16"/>
  <c r="H18622" i="16"/>
  <c r="H18623" i="16"/>
  <c r="H18624" i="16"/>
  <c r="H18625" i="16"/>
  <c r="H18626" i="16"/>
  <c r="H18627" i="16"/>
  <c r="H18628" i="16"/>
  <c r="H18629" i="16"/>
  <c r="H18630" i="16"/>
  <c r="H18631" i="16"/>
  <c r="H18632" i="16"/>
  <c r="H18633" i="16"/>
  <c r="H18634" i="16"/>
  <c r="H18635" i="16"/>
  <c r="H18636" i="16"/>
  <c r="H18637" i="16"/>
  <c r="H18638" i="16"/>
  <c r="H18639" i="16"/>
  <c r="H18640" i="16"/>
  <c r="H18641" i="16"/>
  <c r="H18642" i="16"/>
  <c r="H18643" i="16"/>
  <c r="H18644" i="16"/>
  <c r="H18645" i="16"/>
  <c r="H18646" i="16"/>
  <c r="H18647" i="16"/>
  <c r="H18648" i="16"/>
  <c r="H18649" i="16"/>
  <c r="H18650" i="16"/>
  <c r="H18651" i="16"/>
  <c r="H18652" i="16"/>
  <c r="H18653" i="16"/>
  <c r="H18654" i="16"/>
  <c r="H18655" i="16"/>
  <c r="H18656" i="16"/>
  <c r="H18657" i="16"/>
  <c r="H18658" i="16"/>
  <c r="H18659" i="16"/>
  <c r="H18660" i="16"/>
  <c r="H18661" i="16"/>
  <c r="H18662" i="16"/>
  <c r="H18663" i="16"/>
  <c r="H18664" i="16"/>
  <c r="H18665" i="16"/>
  <c r="H18666" i="16"/>
  <c r="H18667" i="16"/>
  <c r="H18668" i="16"/>
  <c r="H18669" i="16"/>
  <c r="H18670" i="16"/>
  <c r="H18671" i="16"/>
  <c r="H18672" i="16"/>
  <c r="H18673" i="16"/>
  <c r="H18674" i="16"/>
  <c r="H18675" i="16"/>
  <c r="H18676" i="16"/>
  <c r="H18677" i="16"/>
  <c r="H18678" i="16"/>
  <c r="H18679" i="16"/>
  <c r="H18680" i="16"/>
  <c r="H18681" i="16"/>
  <c r="H18682" i="16"/>
  <c r="H18683" i="16"/>
  <c r="H18684" i="16"/>
  <c r="H18685" i="16"/>
  <c r="H18686" i="16"/>
  <c r="H18687" i="16"/>
  <c r="H18688" i="16"/>
  <c r="H18689" i="16"/>
  <c r="H18690" i="16"/>
  <c r="H18691" i="16"/>
  <c r="H18692" i="16"/>
  <c r="H18693" i="16"/>
  <c r="H18694" i="16"/>
  <c r="H18695" i="16"/>
  <c r="H18696" i="16"/>
  <c r="H18697" i="16"/>
  <c r="H18698" i="16"/>
  <c r="H18699" i="16"/>
  <c r="H18700" i="16"/>
  <c r="H18701" i="16"/>
  <c r="H18702" i="16"/>
  <c r="H18703" i="16"/>
  <c r="H18704" i="16"/>
  <c r="H18705" i="16"/>
  <c r="H18706" i="16"/>
  <c r="H18707" i="16"/>
  <c r="H18708" i="16"/>
  <c r="H18709" i="16"/>
  <c r="H18710" i="16"/>
  <c r="H18711" i="16"/>
  <c r="H18712" i="16"/>
  <c r="H18713" i="16"/>
  <c r="H18714" i="16"/>
  <c r="H18715" i="16"/>
  <c r="H18716" i="16"/>
  <c r="H18717" i="16"/>
  <c r="H18718" i="16"/>
  <c r="H18719" i="16"/>
  <c r="H18720" i="16"/>
  <c r="H18721" i="16"/>
  <c r="H18722" i="16"/>
  <c r="H18723" i="16"/>
  <c r="H18724" i="16"/>
  <c r="H18725" i="16"/>
  <c r="H18726" i="16"/>
  <c r="H18727" i="16"/>
  <c r="H18728" i="16"/>
  <c r="H18729" i="16"/>
  <c r="H18730" i="16"/>
  <c r="H18731" i="16"/>
  <c r="H18732" i="16"/>
  <c r="H18733" i="16"/>
  <c r="H18734" i="16"/>
  <c r="H18735" i="16"/>
  <c r="H18736" i="16"/>
  <c r="H18737" i="16"/>
  <c r="H18738" i="16"/>
  <c r="H18739" i="16"/>
  <c r="H18740" i="16"/>
  <c r="H18741" i="16"/>
  <c r="H18742" i="16"/>
  <c r="H18743" i="16"/>
  <c r="H18744" i="16"/>
  <c r="H18745" i="16"/>
  <c r="H18746" i="16"/>
  <c r="H18747" i="16"/>
  <c r="H18748" i="16"/>
  <c r="H18749" i="16"/>
  <c r="H18750" i="16"/>
  <c r="H18751" i="16"/>
  <c r="H18752" i="16"/>
  <c r="H18753" i="16"/>
  <c r="H18754" i="16"/>
  <c r="H18755" i="16"/>
  <c r="H18756" i="16"/>
  <c r="H18757" i="16"/>
  <c r="H18758" i="16"/>
  <c r="H18759" i="16"/>
  <c r="H18760" i="16"/>
  <c r="H18761" i="16"/>
  <c r="H18762" i="16"/>
  <c r="H18763" i="16"/>
  <c r="H18764" i="16"/>
  <c r="H18765" i="16"/>
  <c r="H18766" i="16"/>
  <c r="H18767" i="16"/>
  <c r="H18768" i="16"/>
  <c r="H18769" i="16"/>
  <c r="H18770" i="16"/>
  <c r="H18771" i="16"/>
  <c r="H18772" i="16"/>
  <c r="H18773" i="16"/>
  <c r="H18774" i="16"/>
  <c r="H18775" i="16"/>
  <c r="H18776" i="16"/>
  <c r="H18777" i="16"/>
  <c r="H18778" i="16"/>
  <c r="H18779" i="16"/>
  <c r="H18780" i="16"/>
  <c r="H18781" i="16"/>
  <c r="H18782" i="16"/>
  <c r="H18783" i="16"/>
  <c r="H18784" i="16"/>
  <c r="H18785" i="16"/>
  <c r="H18786" i="16"/>
  <c r="H18787" i="16"/>
  <c r="H18788" i="16"/>
  <c r="H18789" i="16"/>
  <c r="H18790" i="16"/>
  <c r="H18791" i="16"/>
  <c r="H18792" i="16"/>
  <c r="H18793" i="16"/>
  <c r="H18794" i="16"/>
  <c r="H18795" i="16"/>
  <c r="H18796" i="16"/>
  <c r="H18797" i="16"/>
  <c r="H18798" i="16"/>
  <c r="H18799" i="16"/>
  <c r="H18800" i="16"/>
  <c r="H18801" i="16"/>
  <c r="H18802" i="16"/>
  <c r="H18803" i="16"/>
  <c r="H18804" i="16"/>
  <c r="H18805" i="16"/>
  <c r="H18806" i="16"/>
  <c r="H18807" i="16"/>
  <c r="H18808" i="16"/>
  <c r="H18809" i="16"/>
  <c r="H18810" i="16"/>
  <c r="H18811" i="16"/>
  <c r="H18812" i="16"/>
  <c r="H18813" i="16"/>
  <c r="H18814" i="16"/>
  <c r="H18815" i="16"/>
  <c r="H18816" i="16"/>
  <c r="H18817" i="16"/>
  <c r="H18818" i="16"/>
  <c r="H18819" i="16"/>
  <c r="H18820" i="16"/>
  <c r="H18821" i="16"/>
  <c r="H18822" i="16"/>
  <c r="H18823" i="16"/>
  <c r="H18824" i="16"/>
  <c r="H18825" i="16"/>
  <c r="H18826" i="16"/>
  <c r="H18827" i="16"/>
  <c r="H18828" i="16"/>
  <c r="H18829" i="16"/>
  <c r="H18830" i="16"/>
  <c r="H18831" i="16"/>
  <c r="H18832" i="16"/>
  <c r="H18833" i="16"/>
  <c r="H18834" i="16"/>
  <c r="H18835" i="16"/>
  <c r="H18836" i="16"/>
  <c r="H18837" i="16"/>
  <c r="H18838" i="16"/>
  <c r="H18839" i="16"/>
  <c r="H18840" i="16"/>
  <c r="H18841" i="16"/>
  <c r="H18842" i="16"/>
  <c r="H18843" i="16"/>
  <c r="H18844" i="16"/>
  <c r="H18845" i="16"/>
  <c r="H18846" i="16"/>
  <c r="H18847" i="16"/>
  <c r="H18848" i="16"/>
  <c r="H18849" i="16"/>
  <c r="H18850" i="16"/>
  <c r="H18851" i="16"/>
  <c r="H18852" i="16"/>
  <c r="H18853" i="16"/>
  <c r="H18854" i="16"/>
  <c r="H18855" i="16"/>
  <c r="H18856" i="16"/>
  <c r="H18857" i="16"/>
  <c r="H18858" i="16"/>
  <c r="H18859" i="16"/>
  <c r="H18860" i="16"/>
  <c r="H18861" i="16"/>
  <c r="H18862" i="16"/>
  <c r="H18863" i="16"/>
  <c r="H18864" i="16"/>
  <c r="H18865" i="16"/>
  <c r="H18866" i="16"/>
  <c r="H18867" i="16"/>
  <c r="H18868" i="16"/>
  <c r="H18869" i="16"/>
  <c r="H18870" i="16"/>
  <c r="H18871" i="16"/>
  <c r="H18872" i="16"/>
  <c r="H18873" i="16"/>
  <c r="H18874" i="16"/>
  <c r="H18875" i="16"/>
  <c r="H18876" i="16"/>
  <c r="H18877" i="16"/>
  <c r="H18878" i="16"/>
  <c r="H18879" i="16"/>
  <c r="H18880" i="16"/>
  <c r="H18881" i="16"/>
  <c r="H18882" i="16"/>
  <c r="H18883" i="16"/>
  <c r="H18884" i="16"/>
  <c r="H18885" i="16"/>
  <c r="H18886" i="16"/>
  <c r="H18887" i="16"/>
  <c r="H18888" i="16"/>
  <c r="H18889" i="16"/>
  <c r="H18890" i="16"/>
  <c r="H18891" i="16"/>
  <c r="H18892" i="16"/>
  <c r="H18893" i="16"/>
  <c r="H18894" i="16"/>
  <c r="H18895" i="16"/>
  <c r="H18896" i="16"/>
  <c r="H18897" i="16"/>
  <c r="H18898" i="16"/>
  <c r="H18899" i="16"/>
  <c r="H18900" i="16"/>
  <c r="H18901" i="16"/>
  <c r="H18902" i="16"/>
  <c r="H18903" i="16"/>
  <c r="H18904" i="16"/>
  <c r="H18905" i="16"/>
  <c r="H18906" i="16"/>
  <c r="H18907" i="16"/>
  <c r="H18908" i="16"/>
  <c r="H18909" i="16"/>
  <c r="H18910" i="16"/>
  <c r="H18911" i="16"/>
  <c r="H18912" i="16"/>
  <c r="H18913" i="16"/>
  <c r="H18914" i="16"/>
  <c r="H18915" i="16"/>
  <c r="H18916" i="16"/>
  <c r="H18917" i="16"/>
  <c r="H18918" i="16"/>
  <c r="H18919" i="16"/>
  <c r="H18920" i="16"/>
  <c r="H18921" i="16"/>
  <c r="H18922" i="16"/>
  <c r="H18923" i="16"/>
  <c r="H18924" i="16"/>
  <c r="H18925" i="16"/>
  <c r="H18926" i="16"/>
  <c r="H18927" i="16"/>
  <c r="H18928" i="16"/>
  <c r="H18929" i="16"/>
  <c r="H18930" i="16"/>
  <c r="H18931" i="16"/>
  <c r="H18932" i="16"/>
  <c r="H18933" i="16"/>
  <c r="H18934" i="16"/>
  <c r="H18935" i="16"/>
  <c r="H18936" i="16"/>
  <c r="H18937" i="16"/>
  <c r="H18938" i="16"/>
  <c r="H18939" i="16"/>
  <c r="H18940" i="16"/>
  <c r="H18941" i="16"/>
  <c r="H18942" i="16"/>
  <c r="H18943" i="16"/>
  <c r="H18944" i="16"/>
  <c r="H18945" i="16"/>
  <c r="H18946" i="16"/>
  <c r="H18947" i="16"/>
  <c r="H18948" i="16"/>
  <c r="H18949" i="16"/>
  <c r="H18950" i="16"/>
  <c r="H18951" i="16"/>
  <c r="H18952" i="16"/>
  <c r="H18953" i="16"/>
  <c r="H18954" i="16"/>
  <c r="H18955" i="16"/>
  <c r="H18956" i="16"/>
  <c r="H18957" i="16"/>
  <c r="H18958" i="16"/>
  <c r="H18959" i="16"/>
  <c r="H18960" i="16"/>
  <c r="H18961" i="16"/>
  <c r="H18962" i="16"/>
  <c r="H18963" i="16"/>
  <c r="H18964" i="16"/>
  <c r="H18965" i="16"/>
  <c r="H18966" i="16"/>
  <c r="H18967" i="16"/>
  <c r="H18968" i="16"/>
  <c r="H18969" i="16"/>
  <c r="H18970" i="16"/>
  <c r="H18971" i="16"/>
  <c r="H18972" i="16"/>
  <c r="H18973" i="16"/>
  <c r="H18974" i="16"/>
  <c r="H18975" i="16"/>
  <c r="H18976" i="16"/>
  <c r="H18977" i="16"/>
  <c r="H18978" i="16"/>
  <c r="H18979" i="16"/>
  <c r="H18980" i="16"/>
  <c r="H18981" i="16"/>
  <c r="H18982" i="16"/>
  <c r="H18983" i="16"/>
  <c r="H18984" i="16"/>
  <c r="H18985" i="16"/>
  <c r="H18986" i="16"/>
  <c r="H18987" i="16"/>
  <c r="H18988" i="16"/>
  <c r="H18989" i="16"/>
  <c r="H18990" i="16"/>
  <c r="H18991" i="16"/>
  <c r="H18992" i="16"/>
  <c r="H18993" i="16"/>
  <c r="H18994" i="16"/>
  <c r="H18995" i="16"/>
  <c r="H18996" i="16"/>
  <c r="H18997" i="16"/>
  <c r="H18998" i="16"/>
  <c r="H18999" i="16"/>
  <c r="H19000" i="16"/>
  <c r="H19001" i="16"/>
  <c r="H19002" i="16"/>
  <c r="H19003" i="16"/>
  <c r="H19004" i="16"/>
  <c r="H19005" i="16"/>
  <c r="H19006" i="16"/>
  <c r="H19007" i="16"/>
  <c r="H19008" i="16"/>
  <c r="H19009" i="16"/>
  <c r="H19010" i="16"/>
  <c r="H19011" i="16"/>
  <c r="H19012" i="16"/>
  <c r="H19013" i="16"/>
  <c r="H19014" i="16"/>
  <c r="H19015" i="16"/>
  <c r="H19016" i="16"/>
  <c r="H19017" i="16"/>
  <c r="H19018" i="16"/>
  <c r="H19019" i="16"/>
  <c r="H19020" i="16"/>
  <c r="H19021" i="16"/>
  <c r="H19022" i="16"/>
  <c r="H19023" i="16"/>
  <c r="H19024" i="16"/>
  <c r="H19025" i="16"/>
  <c r="H19026" i="16"/>
  <c r="H19027" i="16"/>
  <c r="H19028" i="16"/>
  <c r="H19029" i="16"/>
  <c r="H19030" i="16"/>
  <c r="H19031" i="16"/>
  <c r="H19032" i="16"/>
  <c r="H19033" i="16"/>
  <c r="H19034" i="16"/>
  <c r="H19035" i="16"/>
  <c r="H19036" i="16"/>
  <c r="H19037" i="16"/>
  <c r="H19038" i="16"/>
  <c r="H19039" i="16"/>
  <c r="H19040" i="16"/>
  <c r="H19041" i="16"/>
  <c r="H19042" i="16"/>
  <c r="H19043" i="16"/>
  <c r="H19044" i="16"/>
  <c r="H19045" i="16"/>
  <c r="H19046" i="16"/>
  <c r="H19047" i="16"/>
  <c r="H19048" i="16"/>
  <c r="H19049" i="16"/>
  <c r="H19050" i="16"/>
  <c r="H19051" i="16"/>
  <c r="H19052" i="16"/>
  <c r="H19053" i="16"/>
  <c r="H19054" i="16"/>
  <c r="H19055" i="16"/>
  <c r="H19056" i="16"/>
  <c r="H19057" i="16"/>
  <c r="H19058" i="16"/>
  <c r="H19059" i="16"/>
  <c r="H19060" i="16"/>
  <c r="H19061" i="16"/>
  <c r="H19062" i="16"/>
  <c r="H19063" i="16"/>
  <c r="H19064" i="16"/>
  <c r="H19065" i="16"/>
  <c r="H19066" i="16"/>
  <c r="H19067" i="16"/>
  <c r="H19068" i="16"/>
  <c r="H19069" i="16"/>
  <c r="H19070" i="16"/>
  <c r="H19071" i="16"/>
  <c r="H19072" i="16"/>
  <c r="H19073" i="16"/>
  <c r="H19074" i="16"/>
  <c r="H19075" i="16"/>
  <c r="H19076" i="16"/>
  <c r="H19077" i="16"/>
  <c r="H19078" i="16"/>
  <c r="H19079" i="16"/>
  <c r="H19080" i="16"/>
  <c r="H19081" i="16"/>
  <c r="H19082" i="16"/>
  <c r="H19083" i="16"/>
  <c r="H19084" i="16"/>
  <c r="H19085" i="16"/>
  <c r="H19086" i="16"/>
  <c r="H19087" i="16"/>
  <c r="H19088" i="16"/>
  <c r="H19089" i="16"/>
  <c r="H19090" i="16"/>
  <c r="H19091" i="16"/>
  <c r="H19092" i="16"/>
  <c r="H19093" i="16"/>
  <c r="H19094" i="16"/>
  <c r="H19095" i="16"/>
  <c r="H19096" i="16"/>
  <c r="H19097" i="16"/>
  <c r="H19098" i="16"/>
  <c r="H19099" i="16"/>
  <c r="H19100" i="16"/>
  <c r="H19101" i="16"/>
  <c r="H19102" i="16"/>
  <c r="H19103" i="16"/>
  <c r="H19104" i="16"/>
  <c r="H19105" i="16"/>
  <c r="H19106" i="16"/>
  <c r="H19107" i="16"/>
  <c r="H19108" i="16"/>
  <c r="H19109" i="16"/>
  <c r="H19110" i="16"/>
  <c r="H19111" i="16"/>
  <c r="H19112" i="16"/>
  <c r="H19113" i="16"/>
  <c r="H19114" i="16"/>
  <c r="H19115" i="16"/>
  <c r="H19116" i="16"/>
  <c r="H19117" i="16"/>
  <c r="H19118" i="16"/>
  <c r="H19119" i="16"/>
  <c r="H19120" i="16"/>
  <c r="H19121" i="16"/>
  <c r="H19122" i="16"/>
  <c r="H19123" i="16"/>
  <c r="H19124" i="16"/>
  <c r="H19125" i="16"/>
  <c r="H19126" i="16"/>
  <c r="H19127" i="16"/>
  <c r="H19128" i="16"/>
  <c r="H19129" i="16"/>
  <c r="H19130" i="16"/>
  <c r="H19131" i="16"/>
  <c r="H19132" i="16"/>
  <c r="H19133" i="16"/>
  <c r="H19134" i="16"/>
  <c r="H19135" i="16"/>
  <c r="H19136" i="16"/>
  <c r="H19137" i="16"/>
  <c r="H19138" i="16"/>
  <c r="H19139" i="16"/>
  <c r="H19140" i="16"/>
  <c r="H19141" i="16"/>
  <c r="H19142" i="16"/>
  <c r="H19143" i="16"/>
  <c r="H19144" i="16"/>
  <c r="H19145" i="16"/>
  <c r="H19146" i="16"/>
  <c r="H19147" i="16"/>
  <c r="H19148" i="16"/>
  <c r="H19149" i="16"/>
  <c r="H19150" i="16"/>
  <c r="H19151" i="16"/>
  <c r="H19152" i="16"/>
  <c r="H19153" i="16"/>
  <c r="H19154" i="16"/>
  <c r="H19155" i="16"/>
  <c r="H19156" i="16"/>
  <c r="H19157" i="16"/>
  <c r="H19158" i="16"/>
  <c r="H19159" i="16"/>
  <c r="H19160" i="16"/>
  <c r="H19161" i="16"/>
  <c r="H19162" i="16"/>
  <c r="H19163" i="16"/>
  <c r="H19164" i="16"/>
  <c r="H19165" i="16"/>
  <c r="H19166" i="16"/>
  <c r="H19167" i="16"/>
  <c r="H19168" i="16"/>
  <c r="H19169" i="16"/>
  <c r="H19170" i="16"/>
  <c r="H19171" i="16"/>
  <c r="H19172" i="16"/>
  <c r="H19173" i="16"/>
  <c r="H19174" i="16"/>
  <c r="H19175" i="16"/>
  <c r="H19176" i="16"/>
  <c r="H19177" i="16"/>
  <c r="H19178" i="16"/>
  <c r="H19179" i="16"/>
  <c r="H19180" i="16"/>
  <c r="H19181" i="16"/>
  <c r="H19182" i="16"/>
  <c r="H19183" i="16"/>
  <c r="H19184" i="16"/>
  <c r="H19185" i="16"/>
  <c r="H19186" i="16"/>
  <c r="H19187" i="16"/>
  <c r="H19188" i="16"/>
  <c r="H19189" i="16"/>
  <c r="H19190" i="16"/>
  <c r="H19191" i="16"/>
  <c r="H19192" i="16"/>
  <c r="H19193" i="16"/>
  <c r="H19194" i="16"/>
  <c r="H19195" i="16"/>
  <c r="H19196" i="16"/>
  <c r="H19197" i="16"/>
  <c r="H19198" i="16"/>
  <c r="H19199" i="16"/>
  <c r="H19200" i="16"/>
  <c r="H19201" i="16"/>
  <c r="H19202" i="16"/>
  <c r="H19203" i="16"/>
  <c r="H19204" i="16"/>
  <c r="H19205" i="16"/>
  <c r="H19206" i="16"/>
  <c r="H19207" i="16"/>
  <c r="H19208" i="16"/>
  <c r="H19209" i="16"/>
  <c r="H19210" i="16"/>
  <c r="H19211" i="16"/>
  <c r="H19212" i="16"/>
  <c r="H19213" i="16"/>
  <c r="H19214" i="16"/>
  <c r="H19215" i="16"/>
  <c r="H19216" i="16"/>
  <c r="H19217" i="16"/>
  <c r="H19218" i="16"/>
  <c r="H19219" i="16"/>
  <c r="H19220" i="16"/>
  <c r="H19221" i="16"/>
  <c r="H19222" i="16"/>
  <c r="H19223" i="16"/>
  <c r="H19224" i="16"/>
  <c r="H19225" i="16"/>
  <c r="H19226" i="16"/>
  <c r="H19227" i="16"/>
  <c r="H19228" i="16"/>
  <c r="H19229" i="16"/>
  <c r="H19230" i="16"/>
  <c r="H19231" i="16"/>
  <c r="H19232" i="16"/>
  <c r="H19233" i="16"/>
  <c r="H19234" i="16"/>
  <c r="H19235" i="16"/>
  <c r="H19236" i="16"/>
  <c r="H19237" i="16"/>
  <c r="H19238" i="16"/>
  <c r="H19239" i="16"/>
  <c r="H19240" i="16"/>
  <c r="H19241" i="16"/>
  <c r="H19242" i="16"/>
  <c r="H19243" i="16"/>
  <c r="H19244" i="16"/>
  <c r="H19245" i="16"/>
  <c r="H19246" i="16"/>
  <c r="H19247" i="16"/>
  <c r="H19248" i="16"/>
  <c r="H19249" i="16"/>
  <c r="H19250" i="16"/>
  <c r="H19251" i="16"/>
  <c r="H19252" i="16"/>
  <c r="H19253" i="16"/>
  <c r="H19254" i="16"/>
  <c r="H19255" i="16"/>
  <c r="H19256" i="16"/>
  <c r="H19257" i="16"/>
  <c r="H19258" i="16"/>
  <c r="H19259" i="16"/>
  <c r="H19260" i="16"/>
  <c r="H19261" i="16"/>
  <c r="H19262" i="16"/>
  <c r="H19263" i="16"/>
  <c r="H19264" i="16"/>
  <c r="H19265" i="16"/>
  <c r="H19266" i="16"/>
  <c r="H19267" i="16"/>
  <c r="H19268" i="16"/>
  <c r="H19269" i="16"/>
  <c r="H19270" i="16"/>
  <c r="H19271" i="16"/>
  <c r="H19272" i="16"/>
  <c r="H19273" i="16"/>
  <c r="H19274" i="16"/>
  <c r="H19275" i="16"/>
  <c r="H19276" i="16"/>
  <c r="H19277" i="16"/>
  <c r="H19278" i="16"/>
  <c r="H19279" i="16"/>
  <c r="H19280" i="16"/>
  <c r="H19281" i="16"/>
  <c r="H19282" i="16"/>
  <c r="H19283" i="16"/>
  <c r="H19284" i="16"/>
  <c r="H19285" i="16"/>
  <c r="H19286" i="16"/>
  <c r="H19287" i="16"/>
  <c r="H19288" i="16"/>
  <c r="H19289" i="16"/>
  <c r="H19290" i="16"/>
  <c r="H19291" i="16"/>
  <c r="H19292" i="16"/>
  <c r="H19293" i="16"/>
  <c r="H19294" i="16"/>
  <c r="H19295" i="16"/>
  <c r="H19296" i="16"/>
  <c r="H19297" i="16"/>
  <c r="H19298" i="16"/>
  <c r="H19299" i="16"/>
  <c r="H19300" i="16"/>
  <c r="H19301" i="16"/>
  <c r="H19302" i="16"/>
  <c r="H19303" i="16"/>
  <c r="H19304" i="16"/>
  <c r="H19305" i="16"/>
  <c r="H19306" i="16"/>
  <c r="H19307" i="16"/>
  <c r="H19308" i="16"/>
  <c r="H19309" i="16"/>
  <c r="H19310" i="16"/>
  <c r="H19311" i="16"/>
  <c r="H19312" i="16"/>
  <c r="H19313" i="16"/>
  <c r="H19314" i="16"/>
  <c r="H19315" i="16"/>
  <c r="H19316" i="16"/>
  <c r="H19317" i="16"/>
  <c r="H19318" i="16"/>
  <c r="H19319" i="16"/>
  <c r="H19320" i="16"/>
  <c r="H19321" i="16"/>
  <c r="H19322" i="16"/>
  <c r="H19323" i="16"/>
  <c r="H19324" i="16"/>
  <c r="H19325" i="16"/>
  <c r="H19326" i="16"/>
  <c r="H19327" i="16"/>
  <c r="H19328" i="16"/>
  <c r="H19329" i="16"/>
  <c r="H19330" i="16"/>
  <c r="H19331" i="16"/>
  <c r="H19332" i="16"/>
  <c r="H19333" i="16"/>
  <c r="H19334" i="16"/>
  <c r="H19335" i="16"/>
  <c r="H19336" i="16"/>
  <c r="H19337" i="16"/>
  <c r="H19338" i="16"/>
  <c r="H19339" i="16"/>
  <c r="H19340" i="16"/>
  <c r="H19341" i="16"/>
  <c r="H19342" i="16"/>
  <c r="H19343" i="16"/>
  <c r="H19344" i="16"/>
  <c r="H19345" i="16"/>
  <c r="H19346" i="16"/>
  <c r="H19347" i="16"/>
  <c r="H19348" i="16"/>
  <c r="H19349" i="16"/>
  <c r="H19350" i="16"/>
  <c r="H19351" i="16"/>
  <c r="H19352" i="16"/>
  <c r="H19353" i="16"/>
  <c r="H19354" i="16"/>
  <c r="H19355" i="16"/>
  <c r="H19356" i="16"/>
  <c r="H19357" i="16"/>
  <c r="H19358" i="16"/>
  <c r="H19359" i="16"/>
  <c r="H19360" i="16"/>
  <c r="H19361" i="16"/>
  <c r="H19362" i="16"/>
  <c r="H19363" i="16"/>
  <c r="H19364" i="16"/>
  <c r="H19365" i="16"/>
  <c r="H19366" i="16"/>
  <c r="H19367" i="16"/>
  <c r="H19368" i="16"/>
  <c r="H19369" i="16"/>
  <c r="H19370" i="16"/>
  <c r="H19371" i="16"/>
  <c r="H19372" i="16"/>
  <c r="H19373" i="16"/>
  <c r="H19374" i="16"/>
  <c r="H19375" i="16"/>
  <c r="H19376" i="16"/>
  <c r="H19377" i="16"/>
  <c r="H19378" i="16"/>
  <c r="H19379" i="16"/>
  <c r="H19380" i="16"/>
  <c r="H19381" i="16"/>
  <c r="H19382" i="16"/>
  <c r="H19383" i="16"/>
  <c r="H19384" i="16"/>
  <c r="H19385" i="16"/>
  <c r="H19386" i="16"/>
  <c r="H19387" i="16"/>
  <c r="H19388" i="16"/>
  <c r="H19389" i="16"/>
  <c r="H19390" i="16"/>
  <c r="H19391" i="16"/>
  <c r="H19392" i="16"/>
  <c r="H19393" i="16"/>
  <c r="H19394" i="16"/>
  <c r="H19395" i="16"/>
  <c r="H19396" i="16"/>
  <c r="H19397" i="16"/>
  <c r="H19398" i="16"/>
  <c r="H19399" i="16"/>
  <c r="H19400" i="16"/>
  <c r="H19401" i="16"/>
  <c r="H19402" i="16"/>
  <c r="H19403" i="16"/>
  <c r="H19404" i="16"/>
  <c r="H19405" i="16"/>
  <c r="H19406" i="16"/>
  <c r="H19407" i="16"/>
  <c r="H19408" i="16"/>
  <c r="H19409" i="16"/>
  <c r="H19410" i="16"/>
  <c r="H19411" i="16"/>
  <c r="H19412" i="16"/>
  <c r="H19413" i="16"/>
  <c r="H19414" i="16"/>
  <c r="H19415" i="16"/>
  <c r="H19416" i="16"/>
  <c r="H19417" i="16"/>
  <c r="H19418" i="16"/>
  <c r="H19419" i="16"/>
  <c r="H19420" i="16"/>
  <c r="H19421" i="16"/>
  <c r="H19422" i="16"/>
  <c r="H19423" i="16"/>
  <c r="H19424" i="16"/>
  <c r="H19425" i="16"/>
  <c r="H19426" i="16"/>
  <c r="H19427" i="16"/>
  <c r="H19428" i="16"/>
  <c r="H19429" i="16"/>
  <c r="H19430" i="16"/>
  <c r="H19431" i="16"/>
  <c r="H19432" i="16"/>
  <c r="H19433" i="16"/>
  <c r="H19434" i="16"/>
  <c r="H19435" i="16"/>
  <c r="H19436" i="16"/>
  <c r="H19437" i="16"/>
  <c r="H19438" i="16"/>
  <c r="H19439" i="16"/>
  <c r="H19440" i="16"/>
  <c r="H19441" i="16"/>
  <c r="H19442" i="16"/>
  <c r="H19443" i="16"/>
  <c r="H19444" i="16"/>
  <c r="H19445" i="16"/>
  <c r="H19446" i="16"/>
  <c r="H19447" i="16"/>
  <c r="H19448" i="16"/>
  <c r="H19449" i="16"/>
  <c r="H19450" i="16"/>
  <c r="H19451" i="16"/>
  <c r="H19452" i="16"/>
  <c r="H19453" i="16"/>
  <c r="H19454" i="16"/>
  <c r="H19455" i="16"/>
  <c r="H19456" i="16"/>
  <c r="H19457" i="16"/>
  <c r="H19458" i="16"/>
  <c r="H19459" i="16"/>
  <c r="H19460" i="16"/>
  <c r="H19461" i="16"/>
  <c r="H19462" i="16"/>
  <c r="H19463" i="16"/>
  <c r="H19464" i="16"/>
  <c r="H19465" i="16"/>
  <c r="H19466" i="16"/>
  <c r="H19467" i="16"/>
  <c r="H19468" i="16"/>
  <c r="H19469" i="16"/>
  <c r="H19470" i="16"/>
  <c r="H19471" i="16"/>
  <c r="H19472" i="16"/>
  <c r="H19473" i="16"/>
  <c r="H19474" i="16"/>
  <c r="H19475" i="16"/>
  <c r="H19476" i="16"/>
  <c r="H19477" i="16"/>
  <c r="H19478" i="16"/>
  <c r="H19479" i="16"/>
  <c r="H19480" i="16"/>
  <c r="H19481" i="16"/>
  <c r="H19482" i="16"/>
  <c r="H19483" i="16"/>
  <c r="H19484" i="16"/>
  <c r="H19485" i="16"/>
  <c r="H19486" i="16"/>
  <c r="H19487" i="16"/>
  <c r="H19488" i="16"/>
  <c r="H19489" i="16"/>
  <c r="H19490" i="16"/>
  <c r="H19491" i="16"/>
  <c r="H19492" i="16"/>
  <c r="H19493" i="16"/>
  <c r="H19494" i="16"/>
  <c r="H19495" i="16"/>
  <c r="H19496" i="16"/>
  <c r="H19497" i="16"/>
  <c r="H19498" i="16"/>
  <c r="H19499" i="16"/>
  <c r="H19500" i="16"/>
  <c r="H19501" i="16"/>
  <c r="H19502" i="16"/>
  <c r="H19503" i="16"/>
  <c r="H19504" i="16"/>
  <c r="H19505" i="16"/>
  <c r="H19506" i="16"/>
  <c r="H19507" i="16"/>
  <c r="H19508" i="16"/>
  <c r="H19509" i="16"/>
  <c r="H19510" i="16"/>
  <c r="H19511" i="16"/>
  <c r="H19512" i="16"/>
  <c r="H19513" i="16"/>
  <c r="H19514" i="16"/>
  <c r="H19515" i="16"/>
  <c r="H19516" i="16"/>
  <c r="H19517" i="16"/>
  <c r="H19518" i="16"/>
  <c r="H19519" i="16"/>
  <c r="H19520" i="16"/>
  <c r="H19521" i="16"/>
  <c r="H19522" i="16"/>
  <c r="H19523" i="16"/>
  <c r="H19524" i="16"/>
  <c r="H19525" i="16"/>
  <c r="H19526" i="16"/>
  <c r="H19527" i="16"/>
  <c r="H19528" i="16"/>
  <c r="H19529" i="16"/>
  <c r="H19530" i="16"/>
  <c r="H19531" i="16"/>
  <c r="H19532" i="16"/>
  <c r="H19533" i="16"/>
  <c r="H19534" i="16"/>
  <c r="H19535" i="16"/>
  <c r="H19536" i="16"/>
  <c r="H19537" i="16"/>
  <c r="H19538" i="16"/>
  <c r="H19539" i="16"/>
  <c r="H19540" i="16"/>
  <c r="H19541" i="16"/>
  <c r="H19542" i="16"/>
  <c r="H19543" i="16"/>
  <c r="H19544" i="16"/>
  <c r="H19545" i="16"/>
  <c r="H19546" i="16"/>
  <c r="H19547" i="16"/>
  <c r="H19548" i="16"/>
  <c r="H19549" i="16"/>
  <c r="H19550" i="16"/>
  <c r="H19551" i="16"/>
  <c r="H19552" i="16"/>
  <c r="H19553" i="16"/>
  <c r="H19554" i="16"/>
  <c r="H19555" i="16"/>
  <c r="H19556" i="16"/>
  <c r="H19557" i="16"/>
  <c r="H19558" i="16"/>
  <c r="H19559" i="16"/>
  <c r="H19560" i="16"/>
  <c r="H19561" i="16"/>
  <c r="H19562" i="16"/>
  <c r="H19563" i="16"/>
  <c r="H19564" i="16"/>
  <c r="H19565" i="16"/>
  <c r="H19566" i="16"/>
  <c r="H19567" i="16"/>
  <c r="H19568" i="16"/>
  <c r="H19569" i="16"/>
  <c r="H19570" i="16"/>
  <c r="H19571" i="16"/>
  <c r="H19572" i="16"/>
  <c r="H19573" i="16"/>
  <c r="H19574" i="16"/>
  <c r="H19575" i="16"/>
  <c r="H19576" i="16"/>
  <c r="H19577" i="16"/>
  <c r="H19578" i="16"/>
  <c r="H19579" i="16"/>
  <c r="H19580" i="16"/>
  <c r="H19581" i="16"/>
  <c r="H19582" i="16"/>
  <c r="H19583" i="16"/>
  <c r="H19584" i="16"/>
  <c r="H19585" i="16"/>
  <c r="H19586" i="16"/>
  <c r="H19587" i="16"/>
  <c r="H19588" i="16"/>
  <c r="H19589" i="16"/>
  <c r="H19590" i="16"/>
  <c r="H19591" i="16"/>
  <c r="H19592" i="16"/>
  <c r="H19593" i="16"/>
  <c r="H19594" i="16"/>
  <c r="H19595" i="16"/>
  <c r="H19596" i="16"/>
  <c r="H19597" i="16"/>
  <c r="H19598" i="16"/>
  <c r="H19599" i="16"/>
  <c r="H19600" i="16"/>
  <c r="H19601" i="16"/>
  <c r="H19602" i="16"/>
  <c r="H19603" i="16"/>
  <c r="H19604" i="16"/>
  <c r="H19605" i="16"/>
  <c r="H19606" i="16"/>
  <c r="H19607" i="16"/>
  <c r="H19608" i="16"/>
  <c r="H19609" i="16"/>
  <c r="H19610" i="16"/>
  <c r="H19611" i="16"/>
  <c r="H19612" i="16"/>
  <c r="H19613" i="16"/>
  <c r="H19614" i="16"/>
  <c r="H19615" i="16"/>
  <c r="H19616" i="16"/>
  <c r="H19617" i="16"/>
  <c r="H19618" i="16"/>
  <c r="H19619" i="16"/>
  <c r="H19620" i="16"/>
  <c r="H19621" i="16"/>
  <c r="H19622" i="16"/>
  <c r="H19623" i="16"/>
  <c r="H19624" i="16"/>
  <c r="H19625" i="16"/>
  <c r="H19626" i="16"/>
  <c r="H19627" i="16"/>
  <c r="H19628" i="16"/>
  <c r="H19629" i="16"/>
  <c r="H19630" i="16"/>
  <c r="H19631" i="16"/>
  <c r="H19632" i="16"/>
  <c r="H19633" i="16"/>
  <c r="H19634" i="16"/>
  <c r="H19635" i="16"/>
  <c r="H19636" i="16"/>
  <c r="H19637" i="16"/>
  <c r="H19638" i="16"/>
  <c r="H19639" i="16"/>
  <c r="H19640" i="16"/>
  <c r="H19641" i="16"/>
  <c r="H19642" i="16"/>
  <c r="H19643" i="16"/>
  <c r="H19644" i="16"/>
  <c r="H19645" i="16"/>
  <c r="H19646" i="16"/>
  <c r="H19647" i="16"/>
  <c r="H19648" i="16"/>
  <c r="H19649" i="16"/>
  <c r="H19650" i="16"/>
  <c r="H19651" i="16"/>
  <c r="H19652" i="16"/>
  <c r="H19653" i="16"/>
  <c r="H19654" i="16"/>
  <c r="H19655" i="16"/>
  <c r="H19656" i="16"/>
  <c r="H19657" i="16"/>
  <c r="H19658" i="16"/>
  <c r="H19659" i="16"/>
  <c r="H19660" i="16"/>
  <c r="H19661" i="16"/>
  <c r="H19662" i="16"/>
  <c r="H19663" i="16"/>
  <c r="H19664" i="16"/>
  <c r="H19665" i="16"/>
  <c r="H19666" i="16"/>
  <c r="H19667" i="16"/>
  <c r="H19668" i="16"/>
  <c r="H19669" i="16"/>
  <c r="H19670" i="16"/>
  <c r="H19671" i="16"/>
  <c r="H19672" i="16"/>
  <c r="H19673" i="16"/>
  <c r="H19674" i="16"/>
  <c r="H19675" i="16"/>
  <c r="H19676" i="16"/>
  <c r="H19677" i="16"/>
  <c r="H19678" i="16"/>
  <c r="H19679" i="16"/>
  <c r="H19680" i="16"/>
  <c r="H19681" i="16"/>
  <c r="H19682" i="16"/>
  <c r="H19683" i="16"/>
  <c r="H19684" i="16"/>
  <c r="H19685" i="16"/>
  <c r="H19686" i="16"/>
  <c r="H19687" i="16"/>
  <c r="H19688" i="16"/>
  <c r="H19689" i="16"/>
  <c r="H19690" i="16"/>
  <c r="H19691" i="16"/>
  <c r="H19692" i="16"/>
  <c r="H19693" i="16"/>
  <c r="H19694" i="16"/>
  <c r="H19695" i="16"/>
  <c r="H19696" i="16"/>
  <c r="H19697" i="16"/>
  <c r="H19698" i="16"/>
  <c r="H19699" i="16"/>
  <c r="H19700" i="16"/>
  <c r="H19701" i="16"/>
  <c r="H19702" i="16"/>
  <c r="H19703" i="16"/>
  <c r="H19704" i="16"/>
  <c r="H19705" i="16"/>
  <c r="H19706" i="16"/>
  <c r="H19707" i="16"/>
  <c r="H19708" i="16"/>
  <c r="H19709" i="16"/>
  <c r="H19710" i="16"/>
  <c r="H19711" i="16"/>
  <c r="H19712" i="16"/>
  <c r="H19713" i="16"/>
  <c r="H19714" i="16"/>
  <c r="H19715" i="16"/>
  <c r="H19716" i="16"/>
  <c r="H19717" i="16"/>
  <c r="H19718" i="16"/>
  <c r="H19719" i="16"/>
  <c r="H19720" i="16"/>
  <c r="H19721" i="16"/>
  <c r="H19722" i="16"/>
  <c r="H19723" i="16"/>
  <c r="H19724" i="16"/>
  <c r="H19725" i="16"/>
  <c r="H19726" i="16"/>
  <c r="H19727" i="16"/>
  <c r="H19728" i="16"/>
  <c r="H19729" i="16"/>
  <c r="H19730" i="16"/>
  <c r="H19731" i="16"/>
  <c r="H19732" i="16"/>
  <c r="H19733" i="16"/>
  <c r="H19734" i="16"/>
  <c r="H19735" i="16"/>
  <c r="H19736" i="16"/>
  <c r="H19737" i="16"/>
  <c r="H19738" i="16"/>
  <c r="H19739" i="16"/>
  <c r="H19740" i="16"/>
  <c r="H19741" i="16"/>
  <c r="H19742" i="16"/>
  <c r="H19743" i="16"/>
  <c r="H19744" i="16"/>
  <c r="H19745" i="16"/>
  <c r="H19746" i="16"/>
  <c r="H19747" i="16"/>
  <c r="H19748" i="16"/>
  <c r="H19749" i="16"/>
  <c r="H19750" i="16"/>
  <c r="H19751" i="16"/>
  <c r="H19752" i="16"/>
  <c r="H19753" i="16"/>
  <c r="H19754" i="16"/>
  <c r="H19755" i="16"/>
  <c r="H19756" i="16"/>
  <c r="H19757" i="16"/>
  <c r="H19758" i="16"/>
  <c r="H19759" i="16"/>
  <c r="H19760" i="16"/>
  <c r="H19761" i="16"/>
  <c r="H19762" i="16"/>
  <c r="H19763" i="16"/>
  <c r="H19764" i="16"/>
  <c r="H19765" i="16"/>
  <c r="H19766" i="16"/>
  <c r="H19767" i="16"/>
  <c r="H19768" i="16"/>
  <c r="H19769" i="16"/>
  <c r="H19770" i="16"/>
  <c r="H19771" i="16"/>
  <c r="H19772" i="16"/>
  <c r="H19773" i="16"/>
  <c r="H19774" i="16"/>
  <c r="H19775" i="16"/>
  <c r="H19776" i="16"/>
  <c r="H19777" i="16"/>
  <c r="H19778" i="16"/>
  <c r="H19779" i="16"/>
  <c r="H19780" i="16"/>
  <c r="H19781" i="16"/>
  <c r="H19782" i="16"/>
  <c r="H19783" i="16"/>
  <c r="H19784" i="16"/>
  <c r="H19785" i="16"/>
  <c r="H19786" i="16"/>
  <c r="H19787" i="16"/>
  <c r="H19788" i="16"/>
  <c r="H19789" i="16"/>
  <c r="H19790" i="16"/>
  <c r="H19791" i="16"/>
  <c r="H19792" i="16"/>
  <c r="H19793" i="16"/>
  <c r="H19794" i="16"/>
  <c r="H19795" i="16"/>
  <c r="H19796" i="16"/>
  <c r="H19797" i="16"/>
  <c r="H19798" i="16"/>
  <c r="H19799" i="16"/>
  <c r="H19800" i="16"/>
  <c r="H19801" i="16"/>
  <c r="H19802" i="16"/>
  <c r="H19803" i="16"/>
  <c r="H19804" i="16"/>
  <c r="H19805" i="16"/>
  <c r="H19806" i="16"/>
  <c r="H19807" i="16"/>
  <c r="H19808" i="16"/>
  <c r="H19809" i="16"/>
  <c r="H19810" i="16"/>
  <c r="H19811" i="16"/>
  <c r="H19812" i="16"/>
  <c r="H19813" i="16"/>
  <c r="H19814" i="16"/>
  <c r="H19815" i="16"/>
  <c r="H19816" i="16"/>
  <c r="H19817" i="16"/>
  <c r="H19818" i="16"/>
  <c r="H19819" i="16"/>
  <c r="H19820" i="16"/>
  <c r="H19821" i="16"/>
  <c r="H19822" i="16"/>
  <c r="H19823" i="16"/>
  <c r="H19824" i="16"/>
  <c r="H19825" i="16"/>
  <c r="H19826" i="16"/>
  <c r="H19827" i="16"/>
  <c r="H19828" i="16"/>
  <c r="H19829" i="16"/>
  <c r="H19830" i="16"/>
  <c r="H19831" i="16"/>
  <c r="H19832" i="16"/>
  <c r="H19833" i="16"/>
  <c r="H19834" i="16"/>
  <c r="H19835" i="16"/>
  <c r="H19836" i="16"/>
  <c r="H19837" i="16"/>
  <c r="H19838" i="16"/>
  <c r="H19839" i="16"/>
  <c r="H19840" i="16"/>
  <c r="H19841" i="16"/>
  <c r="H19842" i="16"/>
  <c r="H19843" i="16"/>
  <c r="H19844" i="16"/>
  <c r="H19845" i="16"/>
  <c r="H19846" i="16"/>
  <c r="H19847" i="16"/>
  <c r="H19848" i="16"/>
  <c r="H19849" i="16"/>
  <c r="H19850" i="16"/>
  <c r="H19851" i="16"/>
  <c r="H19852" i="16"/>
  <c r="H19853" i="16"/>
  <c r="H19854" i="16"/>
  <c r="H19855" i="16"/>
  <c r="H19856" i="16"/>
  <c r="H19857" i="16"/>
  <c r="H19858" i="16"/>
  <c r="H19859" i="16"/>
  <c r="H19860" i="16"/>
  <c r="H19861" i="16"/>
  <c r="H19862" i="16"/>
  <c r="H19863" i="16"/>
  <c r="H19864" i="16"/>
  <c r="H19865" i="16"/>
  <c r="H19866" i="16"/>
  <c r="H19867" i="16"/>
  <c r="H19868" i="16"/>
  <c r="H19869" i="16"/>
  <c r="H19870" i="16"/>
  <c r="H19871" i="16"/>
  <c r="H19872" i="16"/>
  <c r="H19873" i="16"/>
  <c r="H19874" i="16"/>
  <c r="H19875" i="16"/>
  <c r="H19876" i="16"/>
  <c r="H19877" i="16"/>
  <c r="H19878" i="16"/>
  <c r="H19879" i="16"/>
  <c r="H19880" i="16"/>
  <c r="H19881" i="16"/>
  <c r="H19882" i="16"/>
  <c r="H19883" i="16"/>
  <c r="H19884" i="16"/>
  <c r="H19885" i="16"/>
  <c r="H19886" i="16"/>
  <c r="H19887" i="16"/>
  <c r="H19888" i="16"/>
  <c r="H19889" i="16"/>
  <c r="H19890" i="16"/>
  <c r="H19891" i="16"/>
  <c r="H19892" i="16"/>
  <c r="H19893" i="16"/>
  <c r="H19894" i="16"/>
  <c r="H19895" i="16"/>
  <c r="H19896" i="16"/>
  <c r="H19897" i="16"/>
  <c r="H19898" i="16"/>
  <c r="H19899" i="16"/>
  <c r="H19900" i="16"/>
  <c r="H19901" i="16"/>
  <c r="H19902" i="16"/>
  <c r="H19903" i="16"/>
  <c r="H19904" i="16"/>
  <c r="H19905" i="16"/>
  <c r="H19906" i="16"/>
  <c r="H19907" i="16"/>
  <c r="H19908" i="16"/>
  <c r="H19909" i="16"/>
  <c r="H19910" i="16"/>
  <c r="H19911" i="16"/>
  <c r="H19912" i="16"/>
  <c r="H19913" i="16"/>
  <c r="H19914" i="16"/>
  <c r="H19915" i="16"/>
  <c r="H19916" i="16"/>
  <c r="H19917" i="16"/>
  <c r="H19918" i="16"/>
  <c r="H19919" i="16"/>
  <c r="H19920" i="16"/>
  <c r="H19921" i="16"/>
  <c r="H19922" i="16"/>
  <c r="H19923" i="16"/>
  <c r="H19924" i="16"/>
  <c r="H19925" i="16"/>
  <c r="H19926" i="16"/>
  <c r="H19927" i="16"/>
  <c r="H19928" i="16"/>
  <c r="H19929" i="16"/>
  <c r="H19930" i="16"/>
  <c r="H19931" i="16"/>
  <c r="H19932" i="16"/>
  <c r="H19933" i="16"/>
  <c r="H19934" i="16"/>
  <c r="H19935" i="16"/>
  <c r="H19936" i="16"/>
  <c r="H19937" i="16"/>
  <c r="H19938" i="16"/>
  <c r="H19939" i="16"/>
  <c r="H19940" i="16"/>
  <c r="H19941" i="16"/>
  <c r="H19942" i="16"/>
  <c r="H19943" i="16"/>
  <c r="H19944" i="16"/>
  <c r="H19945" i="16"/>
  <c r="H19946" i="16"/>
  <c r="H19947" i="16"/>
  <c r="H19948" i="16"/>
  <c r="H19949" i="16"/>
  <c r="H19950" i="16"/>
  <c r="H19951" i="16"/>
  <c r="H19952" i="16"/>
  <c r="H19953" i="16"/>
  <c r="H19954" i="16"/>
  <c r="H19955" i="16"/>
  <c r="H19956" i="16"/>
  <c r="H19957" i="16"/>
  <c r="H19958" i="16"/>
  <c r="H19959" i="16"/>
  <c r="H19960" i="16"/>
  <c r="H19961" i="16"/>
  <c r="H19962" i="16"/>
  <c r="H19963" i="16"/>
  <c r="H19964" i="16"/>
  <c r="H19965" i="16"/>
  <c r="H19966" i="16"/>
  <c r="H19967" i="16"/>
  <c r="H19968" i="16"/>
  <c r="H19969" i="16"/>
  <c r="H19970" i="16"/>
  <c r="H19971" i="16"/>
  <c r="H19972" i="16"/>
  <c r="H19973" i="16"/>
  <c r="H19974" i="16"/>
  <c r="H19975" i="16"/>
  <c r="H19976" i="16"/>
  <c r="H19977" i="16"/>
  <c r="H19978" i="16"/>
  <c r="H19979" i="16"/>
  <c r="H19980" i="16"/>
  <c r="H19981" i="16"/>
  <c r="H19982" i="16"/>
  <c r="H19983" i="16"/>
  <c r="H19984" i="16"/>
  <c r="H19985" i="16"/>
  <c r="H19986" i="16"/>
  <c r="H19987" i="16"/>
  <c r="H19988" i="16"/>
  <c r="H19989" i="16"/>
  <c r="H19990" i="16"/>
  <c r="H19991" i="16"/>
  <c r="H19992" i="16"/>
  <c r="H19993" i="16"/>
  <c r="H19994" i="16"/>
  <c r="H19995" i="16"/>
  <c r="H19996" i="16"/>
  <c r="H19997" i="16"/>
  <c r="H19998" i="16"/>
  <c r="H19999" i="16"/>
  <c r="H20000" i="16"/>
  <c r="H20001" i="16"/>
  <c r="H20002" i="16"/>
  <c r="H20003" i="16"/>
  <c r="H20004" i="16"/>
  <c r="H20005" i="16"/>
  <c r="H20006" i="16"/>
  <c r="H20007" i="16"/>
  <c r="H20008" i="16"/>
  <c r="H20009" i="16"/>
  <c r="H20010" i="16"/>
  <c r="H20011" i="16"/>
  <c r="H20012" i="16"/>
  <c r="H20013" i="16"/>
  <c r="H20014" i="16"/>
  <c r="H20015" i="16"/>
  <c r="H20016" i="16"/>
  <c r="H20017" i="16"/>
  <c r="H20018" i="16"/>
  <c r="H20019" i="16"/>
  <c r="H20020" i="16"/>
  <c r="H20021" i="16"/>
  <c r="H20022" i="16"/>
  <c r="H20023" i="16"/>
  <c r="H20024" i="16"/>
  <c r="H20025" i="16"/>
  <c r="H20026" i="16"/>
  <c r="H20027" i="16"/>
  <c r="H20028" i="16"/>
  <c r="H20029" i="16"/>
  <c r="H20030" i="16"/>
  <c r="H20031" i="16"/>
  <c r="H20032" i="16"/>
  <c r="H20033" i="16"/>
  <c r="H20034" i="16"/>
  <c r="H20035" i="16"/>
  <c r="H20036" i="16"/>
  <c r="H20037" i="16"/>
  <c r="H20038" i="16"/>
  <c r="H20039" i="16"/>
  <c r="H20040" i="16"/>
  <c r="H20041" i="16"/>
  <c r="H20042" i="16"/>
  <c r="H20043" i="16"/>
  <c r="H20044" i="16"/>
  <c r="H20045" i="16"/>
  <c r="H20046" i="16"/>
  <c r="H20047" i="16"/>
  <c r="H20048" i="16"/>
  <c r="H20049" i="16"/>
  <c r="H20050" i="16"/>
  <c r="H20051" i="16"/>
  <c r="H20052" i="16"/>
  <c r="H20053" i="16"/>
  <c r="H20054" i="16"/>
  <c r="H20055" i="16"/>
  <c r="H20056" i="16"/>
  <c r="H20057" i="16"/>
  <c r="H20058" i="16"/>
  <c r="H20059" i="16"/>
  <c r="H20060" i="16"/>
  <c r="H20061" i="16"/>
  <c r="H20062" i="16"/>
  <c r="H20063" i="16"/>
  <c r="H20064" i="16"/>
  <c r="H20065" i="16"/>
  <c r="H20066" i="16"/>
  <c r="H20067" i="16"/>
  <c r="H20068" i="16"/>
  <c r="H20069" i="16"/>
  <c r="H20070" i="16"/>
  <c r="H20071" i="16"/>
  <c r="H20072" i="16"/>
  <c r="H20073" i="16"/>
  <c r="H20074" i="16"/>
  <c r="H20075" i="16"/>
  <c r="H20076" i="16"/>
  <c r="H20077" i="16"/>
  <c r="H20078" i="16"/>
  <c r="H20079" i="16"/>
  <c r="H20080" i="16"/>
  <c r="H20081" i="16"/>
  <c r="H20082" i="16"/>
  <c r="H20083" i="16"/>
  <c r="H20084" i="16"/>
  <c r="H20085" i="16"/>
  <c r="H20086" i="16"/>
  <c r="H20087" i="16"/>
  <c r="H20088" i="16"/>
  <c r="H20089" i="16"/>
  <c r="H20090" i="16"/>
  <c r="H20091" i="16"/>
  <c r="H20092" i="16"/>
  <c r="H20093" i="16"/>
  <c r="H20094" i="16"/>
  <c r="H20095" i="16"/>
  <c r="H20096" i="16"/>
  <c r="H20097" i="16"/>
  <c r="H20098" i="16"/>
  <c r="H20099" i="16"/>
  <c r="H20100" i="16"/>
  <c r="H20101" i="16"/>
  <c r="H20102" i="16"/>
  <c r="H20103" i="16"/>
  <c r="H20104" i="16"/>
  <c r="H20105" i="16"/>
  <c r="H20106" i="16"/>
  <c r="H20107" i="16"/>
  <c r="H20108" i="16"/>
  <c r="H20109" i="16"/>
  <c r="H20110" i="16"/>
  <c r="H20111" i="16"/>
  <c r="H20112" i="16"/>
  <c r="H20113" i="16"/>
  <c r="H20114" i="16"/>
  <c r="H20115" i="16"/>
  <c r="H20116" i="16"/>
  <c r="H20117" i="16"/>
  <c r="H20118" i="16"/>
  <c r="H20119" i="16"/>
  <c r="H20120" i="16"/>
  <c r="H20121" i="16"/>
  <c r="H20122" i="16"/>
  <c r="H20123" i="16"/>
  <c r="H20124" i="16"/>
  <c r="H20125" i="16"/>
  <c r="H20126" i="16"/>
  <c r="H20127" i="16"/>
  <c r="H20128" i="16"/>
  <c r="H20129" i="16"/>
  <c r="H20130" i="16"/>
  <c r="H20131" i="16"/>
  <c r="H20132" i="16"/>
  <c r="H20133" i="16"/>
  <c r="H20134" i="16"/>
  <c r="H20135" i="16"/>
  <c r="H20136" i="16"/>
  <c r="H20137" i="16"/>
  <c r="H20138" i="16"/>
  <c r="H20139" i="16"/>
  <c r="H20140" i="16"/>
  <c r="H20141" i="16"/>
  <c r="H20142" i="16"/>
  <c r="H20143" i="16"/>
  <c r="H20144" i="16"/>
  <c r="H20145" i="16"/>
  <c r="H20146" i="16"/>
  <c r="H20147" i="16"/>
  <c r="H20148" i="16"/>
  <c r="H20149" i="16"/>
  <c r="H20150" i="16"/>
  <c r="H20151" i="16"/>
  <c r="H20152" i="16"/>
  <c r="H20153" i="16"/>
  <c r="H20154" i="16"/>
  <c r="H20155" i="16"/>
  <c r="H20156" i="16"/>
  <c r="H20157" i="16"/>
  <c r="H20158" i="16"/>
  <c r="H20159" i="16"/>
  <c r="H20160" i="16"/>
  <c r="H20161" i="16"/>
  <c r="H20162" i="16"/>
  <c r="H20163" i="16"/>
  <c r="H20164" i="16"/>
  <c r="H20165" i="16"/>
  <c r="H20166" i="16"/>
  <c r="H20167" i="16"/>
  <c r="H20168" i="16"/>
  <c r="H20169" i="16"/>
  <c r="H20170" i="16"/>
  <c r="H20171" i="16"/>
  <c r="H20172" i="16"/>
  <c r="H20173" i="16"/>
  <c r="H20174" i="16"/>
  <c r="H20175" i="16"/>
  <c r="H20176" i="16"/>
  <c r="H20177" i="16"/>
  <c r="H20178" i="16"/>
  <c r="H20179" i="16"/>
  <c r="H20180" i="16"/>
  <c r="H20181" i="16"/>
  <c r="H20182" i="16"/>
  <c r="H20183" i="16"/>
  <c r="H20184" i="16"/>
  <c r="H20185" i="16"/>
  <c r="H20186" i="16"/>
  <c r="H20187" i="16"/>
  <c r="H20188" i="16"/>
  <c r="H20189" i="16"/>
  <c r="H20190" i="16"/>
  <c r="H20191" i="16"/>
  <c r="H20192" i="16"/>
  <c r="H20193" i="16"/>
  <c r="H20194" i="16"/>
  <c r="H20195" i="16"/>
  <c r="H20196" i="16"/>
  <c r="H20197" i="16"/>
  <c r="H20198" i="16"/>
  <c r="H20199" i="16"/>
  <c r="H20200" i="16"/>
  <c r="H20201" i="16"/>
  <c r="H20202" i="16"/>
  <c r="H20203" i="16"/>
  <c r="H20204" i="16"/>
  <c r="H20205" i="16"/>
  <c r="H20206" i="16"/>
  <c r="H20207" i="16"/>
  <c r="H20208" i="16"/>
  <c r="H20209" i="16"/>
  <c r="H20210" i="16"/>
  <c r="H20211" i="16"/>
  <c r="H20212" i="16"/>
  <c r="H20213" i="16"/>
  <c r="H20214" i="16"/>
  <c r="H20215" i="16"/>
  <c r="H20216" i="16"/>
  <c r="H20217" i="16"/>
  <c r="H20218" i="16"/>
  <c r="H20219" i="16"/>
  <c r="H20220" i="16"/>
  <c r="H20221" i="16"/>
  <c r="H20222" i="16"/>
  <c r="H20223" i="16"/>
  <c r="H20224" i="16"/>
  <c r="H20225" i="16"/>
  <c r="H20226" i="16"/>
  <c r="H20227" i="16"/>
  <c r="H20228" i="16"/>
  <c r="H20229" i="16"/>
  <c r="H20230" i="16"/>
  <c r="H20231" i="16"/>
  <c r="H20232" i="16"/>
  <c r="H20233" i="16"/>
  <c r="H20234" i="16"/>
  <c r="H20235" i="16"/>
  <c r="H20236" i="16"/>
  <c r="H20237" i="16"/>
  <c r="H20238" i="16"/>
  <c r="H20239" i="16"/>
  <c r="H20240" i="16"/>
  <c r="H20241" i="16"/>
  <c r="H20242" i="16"/>
  <c r="H20243" i="16"/>
  <c r="H20244" i="16"/>
  <c r="H20245" i="16"/>
  <c r="H20246" i="16"/>
  <c r="H20247" i="16"/>
  <c r="H20248" i="16"/>
  <c r="H20249" i="16"/>
  <c r="H20250" i="16"/>
  <c r="H20251" i="16"/>
  <c r="H20252" i="16"/>
  <c r="H20253" i="16"/>
  <c r="H20254" i="16"/>
  <c r="H20255" i="16"/>
  <c r="H20256" i="16"/>
  <c r="H20257" i="16"/>
  <c r="H20258" i="16"/>
  <c r="H20259" i="16"/>
  <c r="H20260" i="16"/>
  <c r="H20261" i="16"/>
  <c r="H20262" i="16"/>
  <c r="H20263" i="16"/>
  <c r="H20264" i="16"/>
  <c r="H20265" i="16"/>
  <c r="H20266" i="16"/>
  <c r="H20267" i="16"/>
  <c r="H20268" i="16"/>
  <c r="H20269" i="16"/>
  <c r="H20270" i="16"/>
  <c r="H20271" i="16"/>
  <c r="H20272" i="16"/>
  <c r="H20273" i="16"/>
  <c r="H20274" i="16"/>
  <c r="H20275" i="16"/>
  <c r="H20276" i="16"/>
  <c r="H20277" i="16"/>
  <c r="H20278" i="16"/>
  <c r="H20279" i="16"/>
  <c r="H20280" i="16"/>
  <c r="H20281" i="16"/>
  <c r="H20282" i="16"/>
  <c r="H20283" i="16"/>
  <c r="H20284" i="16"/>
  <c r="H20285" i="16"/>
  <c r="H20286" i="16"/>
  <c r="H20287" i="16"/>
  <c r="H20288" i="16"/>
  <c r="H20289" i="16"/>
  <c r="H20290" i="16"/>
  <c r="H20291" i="16"/>
  <c r="H20292" i="16"/>
  <c r="H20293" i="16"/>
  <c r="H20294" i="16"/>
  <c r="H20295" i="16"/>
  <c r="H20296" i="16"/>
  <c r="H20297" i="16"/>
  <c r="H20298" i="16"/>
  <c r="H20299" i="16"/>
  <c r="H20300" i="16"/>
  <c r="H20301" i="16"/>
  <c r="H20302" i="16"/>
  <c r="H20303" i="16"/>
  <c r="H20304" i="16"/>
  <c r="H20305" i="16"/>
  <c r="H20306" i="16"/>
  <c r="H20307" i="16"/>
  <c r="H20308" i="16"/>
  <c r="H20309" i="16"/>
  <c r="H20310" i="16"/>
  <c r="H20311" i="16"/>
  <c r="H20312" i="16"/>
  <c r="H20313" i="16"/>
  <c r="H20314" i="16"/>
  <c r="H20315" i="16"/>
  <c r="H20316" i="16"/>
  <c r="H20317" i="16"/>
  <c r="H20318" i="16"/>
  <c r="H20319" i="16"/>
  <c r="H20320" i="16"/>
  <c r="H20321" i="16"/>
  <c r="H20322" i="16"/>
  <c r="H20323" i="16"/>
  <c r="H20324" i="16"/>
  <c r="H20325" i="16"/>
  <c r="H20326" i="16"/>
  <c r="H20327" i="16"/>
  <c r="H20328" i="16"/>
  <c r="H20329" i="16"/>
  <c r="H20330" i="16"/>
  <c r="H20331" i="16"/>
  <c r="H20332" i="16"/>
  <c r="H20333" i="16"/>
  <c r="H20334" i="16"/>
  <c r="H20335" i="16"/>
  <c r="H20336" i="16"/>
  <c r="H20337" i="16"/>
  <c r="H20338" i="16"/>
  <c r="H20339" i="16"/>
  <c r="H20340" i="16"/>
  <c r="H20341" i="16"/>
  <c r="H20342" i="16"/>
  <c r="H20343" i="16"/>
  <c r="H20344" i="16"/>
  <c r="H20345" i="16"/>
  <c r="H20346" i="16"/>
  <c r="H20347" i="16"/>
  <c r="H20348" i="16"/>
  <c r="H20349" i="16"/>
  <c r="H20350" i="16"/>
  <c r="H20351" i="16"/>
  <c r="H20352" i="16"/>
  <c r="H20353" i="16"/>
  <c r="H20354" i="16"/>
  <c r="H20355" i="16"/>
  <c r="H20356" i="16"/>
  <c r="H20357" i="16"/>
  <c r="H20358" i="16"/>
  <c r="H20359" i="16"/>
  <c r="H20360" i="16"/>
  <c r="H20361" i="16"/>
  <c r="H20362" i="16"/>
  <c r="H20363" i="16"/>
  <c r="H20364" i="16"/>
  <c r="H20365" i="16"/>
  <c r="H20366" i="16"/>
  <c r="H20367" i="16"/>
  <c r="H20368" i="16"/>
  <c r="H20369" i="16"/>
  <c r="H20370" i="16"/>
  <c r="H20371" i="16"/>
  <c r="H20372" i="16"/>
  <c r="H20373" i="16"/>
  <c r="H20374" i="16"/>
  <c r="H20375" i="16"/>
  <c r="H20376" i="16"/>
  <c r="H20377" i="16"/>
  <c r="H20378" i="16"/>
  <c r="H20379" i="16"/>
  <c r="H20380" i="16"/>
  <c r="H20381" i="16"/>
  <c r="H20382" i="16"/>
  <c r="H20383" i="16"/>
  <c r="H20384" i="16"/>
  <c r="H20385" i="16"/>
  <c r="H20386" i="16"/>
  <c r="H20387" i="16"/>
  <c r="H20388" i="16"/>
  <c r="H20389" i="16"/>
  <c r="H20390" i="16"/>
  <c r="H20391" i="16"/>
  <c r="H20392" i="16"/>
  <c r="H20393" i="16"/>
  <c r="H20394" i="16"/>
  <c r="H20395" i="16"/>
  <c r="H20396" i="16"/>
  <c r="H20397" i="16"/>
  <c r="H20398" i="16"/>
  <c r="H20399" i="16"/>
  <c r="H20400" i="16"/>
  <c r="H20401" i="16"/>
  <c r="H20402" i="16"/>
  <c r="H20403" i="16"/>
  <c r="H20404" i="16"/>
  <c r="H20405" i="16"/>
  <c r="H20406" i="16"/>
  <c r="H20407" i="16"/>
  <c r="H20408" i="16"/>
  <c r="H20409" i="16"/>
  <c r="H20410" i="16"/>
  <c r="H20411" i="16"/>
  <c r="H20412" i="16"/>
  <c r="H20413" i="16"/>
  <c r="H20414" i="16"/>
  <c r="H20415" i="16"/>
  <c r="H20416" i="16"/>
  <c r="H20417" i="16"/>
  <c r="H20418" i="16"/>
  <c r="H20419" i="16"/>
  <c r="H20420" i="16"/>
  <c r="H20421" i="16"/>
  <c r="H20422" i="16"/>
  <c r="H20423" i="16"/>
  <c r="H20424" i="16"/>
  <c r="H20425" i="16"/>
  <c r="H20426" i="16"/>
  <c r="H20427" i="16"/>
  <c r="H20428" i="16"/>
  <c r="H20429" i="16"/>
  <c r="H20430" i="16"/>
  <c r="H20431" i="16"/>
  <c r="H20432" i="16"/>
  <c r="H20433" i="16"/>
  <c r="H20434" i="16"/>
  <c r="H20435" i="16"/>
  <c r="H20436" i="16"/>
  <c r="H20437" i="16"/>
  <c r="H20438" i="16"/>
  <c r="H20439" i="16"/>
  <c r="H20440" i="16"/>
  <c r="H20441" i="16"/>
  <c r="H20442" i="16"/>
  <c r="H20443" i="16"/>
  <c r="H20444" i="16"/>
  <c r="H20445" i="16"/>
  <c r="H20446" i="16"/>
  <c r="H20447" i="16"/>
  <c r="H20448" i="16"/>
  <c r="H20449" i="16"/>
  <c r="H20450" i="16"/>
  <c r="H20451" i="16"/>
  <c r="H20452" i="16"/>
  <c r="H20453" i="16"/>
  <c r="H20454" i="16"/>
  <c r="H20455" i="16"/>
  <c r="H20456" i="16"/>
  <c r="H20457" i="16"/>
  <c r="H20458" i="16"/>
  <c r="H20459" i="16"/>
  <c r="H20460" i="16"/>
  <c r="H20461" i="16"/>
  <c r="H20462" i="16"/>
  <c r="H20463" i="16"/>
  <c r="H20464" i="16"/>
  <c r="H20465" i="16"/>
  <c r="H20466" i="16"/>
  <c r="H20467" i="16"/>
  <c r="H20468" i="16"/>
  <c r="H20469" i="16"/>
  <c r="H20470" i="16"/>
  <c r="H20471" i="16"/>
  <c r="H20472" i="16"/>
  <c r="H20473" i="16"/>
  <c r="H20474" i="16"/>
  <c r="H20475" i="16"/>
  <c r="H20476" i="16"/>
  <c r="H20477" i="16"/>
  <c r="H20478" i="16"/>
  <c r="H20479" i="16"/>
  <c r="H20480" i="16"/>
  <c r="H20481" i="16"/>
  <c r="H20482" i="16"/>
  <c r="H20483" i="16"/>
  <c r="H20484" i="16"/>
  <c r="H20485" i="16"/>
  <c r="H20486" i="16"/>
  <c r="H20487" i="16"/>
  <c r="H20488" i="16"/>
  <c r="H20489" i="16"/>
  <c r="H20490" i="16"/>
  <c r="H20491" i="16"/>
  <c r="H20492" i="16"/>
  <c r="H20493" i="16"/>
  <c r="H20494" i="16"/>
  <c r="H20495" i="16"/>
  <c r="H20496" i="16"/>
  <c r="H20497" i="16"/>
  <c r="H20498" i="16"/>
  <c r="H20499" i="16"/>
  <c r="H20500" i="16"/>
  <c r="H20501" i="16"/>
  <c r="H20502" i="16"/>
  <c r="H20503" i="16"/>
  <c r="H20504" i="16"/>
  <c r="H20505" i="16"/>
  <c r="H20506" i="16"/>
  <c r="H20507" i="16"/>
  <c r="H20508" i="16"/>
  <c r="H20509" i="16"/>
  <c r="H20510" i="16"/>
  <c r="H20511" i="16"/>
  <c r="H20512" i="16"/>
  <c r="H20513" i="16"/>
  <c r="H20514" i="16"/>
  <c r="H20515" i="16"/>
  <c r="H20516" i="16"/>
  <c r="H20517" i="16"/>
  <c r="H20518" i="16"/>
  <c r="H20519" i="16"/>
  <c r="H20520" i="16"/>
  <c r="H20521" i="16"/>
  <c r="H20522" i="16"/>
  <c r="H20523" i="16"/>
  <c r="H20524" i="16"/>
  <c r="H20525" i="16"/>
  <c r="H20526" i="16"/>
  <c r="H20527" i="16"/>
  <c r="H20528" i="16"/>
  <c r="H20529" i="16"/>
  <c r="H20530" i="16"/>
  <c r="H20531" i="16"/>
  <c r="H20532" i="16"/>
  <c r="H20533" i="16"/>
  <c r="H20534" i="16"/>
  <c r="H20535" i="16"/>
  <c r="H20536" i="16"/>
  <c r="H20537" i="16"/>
  <c r="H20538" i="16"/>
  <c r="H20539" i="16"/>
  <c r="H20540" i="16"/>
  <c r="H20541" i="16"/>
  <c r="H20542" i="16"/>
  <c r="H20543" i="16"/>
  <c r="H20544" i="16"/>
  <c r="H20545" i="16"/>
  <c r="H20546" i="16"/>
  <c r="H20547" i="16"/>
  <c r="H20548" i="16"/>
  <c r="H20549" i="16"/>
  <c r="H20550" i="16"/>
  <c r="H20551" i="16"/>
  <c r="H20552" i="16"/>
  <c r="H20553" i="16"/>
  <c r="H20554" i="16"/>
  <c r="H20555" i="16"/>
  <c r="H20556" i="16"/>
  <c r="H20557" i="16"/>
  <c r="H20558" i="16"/>
  <c r="H20559" i="16"/>
  <c r="H20560" i="16"/>
  <c r="H20561" i="16"/>
  <c r="H20562" i="16"/>
  <c r="H20563" i="16"/>
  <c r="H20564" i="16"/>
  <c r="H20565" i="16"/>
  <c r="H20566" i="16"/>
  <c r="H20567" i="16"/>
  <c r="H20568" i="16"/>
  <c r="H20569" i="16"/>
  <c r="H20570" i="16"/>
  <c r="H20571" i="16"/>
  <c r="H20572" i="16"/>
  <c r="H20573" i="16"/>
  <c r="H20574" i="16"/>
  <c r="H20575" i="16"/>
  <c r="H20576" i="16"/>
  <c r="H20577" i="16"/>
  <c r="H20578" i="16"/>
  <c r="H20579" i="16"/>
  <c r="H20580" i="16"/>
  <c r="H20581" i="16"/>
  <c r="H20582" i="16"/>
  <c r="H20583" i="16"/>
  <c r="H20584" i="16"/>
  <c r="H20585" i="16"/>
  <c r="H20586" i="16"/>
  <c r="H20587" i="16"/>
  <c r="H20588" i="16"/>
  <c r="H20589" i="16"/>
  <c r="H20590" i="16"/>
  <c r="H20591" i="16"/>
  <c r="H20592" i="16"/>
  <c r="H20593" i="16"/>
  <c r="H20594" i="16"/>
  <c r="H20595" i="16"/>
  <c r="H20596" i="16"/>
  <c r="H20597" i="16"/>
  <c r="H20598" i="16"/>
  <c r="H20599" i="16"/>
  <c r="H20600" i="16"/>
  <c r="H20601" i="16"/>
  <c r="H20602" i="16"/>
  <c r="H20603" i="16"/>
  <c r="H20604" i="16"/>
  <c r="H20605" i="16"/>
  <c r="H20606" i="16"/>
  <c r="H20607" i="16"/>
  <c r="H20608" i="16"/>
  <c r="H20609" i="16"/>
  <c r="H20610" i="16"/>
  <c r="H20611" i="16"/>
  <c r="H20612" i="16"/>
  <c r="H20613" i="16"/>
  <c r="H20614" i="16"/>
  <c r="H20615" i="16"/>
  <c r="H20616" i="16"/>
  <c r="H20617" i="16"/>
  <c r="H20618" i="16"/>
  <c r="H20619" i="16"/>
  <c r="H20620" i="16"/>
  <c r="H20621" i="16"/>
  <c r="H20622" i="16"/>
  <c r="H20623" i="16"/>
  <c r="H20624" i="16"/>
  <c r="H20625" i="16"/>
  <c r="H20626" i="16"/>
  <c r="H20627" i="16"/>
  <c r="H20628" i="16"/>
  <c r="H20629" i="16"/>
  <c r="H20630" i="16"/>
  <c r="H20631" i="16"/>
  <c r="H20632" i="16"/>
  <c r="H20633" i="16"/>
  <c r="H20634" i="16"/>
  <c r="H20635" i="16"/>
  <c r="H20636" i="16"/>
  <c r="H20637" i="16"/>
  <c r="H20638" i="16"/>
  <c r="H20639" i="16"/>
  <c r="H20640" i="16"/>
  <c r="H20641" i="16"/>
  <c r="H20642" i="16"/>
  <c r="H20643" i="16"/>
  <c r="H20644" i="16"/>
  <c r="H20645" i="16"/>
  <c r="H20646" i="16"/>
  <c r="H20647" i="16"/>
  <c r="H20648" i="16"/>
  <c r="H20649" i="16"/>
  <c r="H20650" i="16"/>
  <c r="H20651" i="16"/>
  <c r="H20652" i="16"/>
  <c r="H20653" i="16"/>
  <c r="H20654" i="16"/>
  <c r="H20655" i="16"/>
  <c r="H20656" i="16"/>
  <c r="H20657" i="16"/>
  <c r="H20658" i="16"/>
  <c r="H20659" i="16"/>
  <c r="H20660" i="16"/>
  <c r="H20661" i="16"/>
  <c r="H20662" i="16"/>
  <c r="H20663" i="16"/>
  <c r="H20664" i="16"/>
  <c r="H20665" i="16"/>
  <c r="H20666" i="16"/>
  <c r="H20667" i="16"/>
  <c r="H20668" i="16"/>
  <c r="H20669" i="16"/>
  <c r="H20670" i="16"/>
  <c r="H20671" i="16"/>
  <c r="H20672" i="16"/>
  <c r="H20673" i="16"/>
  <c r="H20674" i="16"/>
  <c r="H20675" i="16"/>
  <c r="H20676" i="16"/>
  <c r="H20677" i="16"/>
  <c r="H20678" i="16"/>
  <c r="H20679" i="16"/>
  <c r="H20680" i="16"/>
  <c r="H20681" i="16"/>
  <c r="H20682" i="16"/>
  <c r="H20683" i="16"/>
  <c r="H20684" i="16"/>
  <c r="H20685" i="16"/>
  <c r="H20686" i="16"/>
  <c r="H20687" i="16"/>
  <c r="H20688" i="16"/>
  <c r="H20689" i="16"/>
  <c r="H20690" i="16"/>
  <c r="H20691" i="16"/>
  <c r="H20692" i="16"/>
  <c r="H20693" i="16"/>
  <c r="H20694" i="16"/>
  <c r="H20695" i="16"/>
  <c r="H20696" i="16"/>
  <c r="H20697" i="16"/>
  <c r="H20698" i="16"/>
  <c r="H20699" i="16"/>
  <c r="H20700" i="16"/>
  <c r="H20701" i="16"/>
  <c r="H20702" i="16"/>
  <c r="H20703" i="16"/>
  <c r="H20704" i="16"/>
  <c r="H20705" i="16"/>
  <c r="H20706" i="16"/>
  <c r="H20707" i="16"/>
  <c r="H20708" i="16"/>
  <c r="H20709" i="16"/>
  <c r="H20710" i="16"/>
  <c r="H20711" i="16"/>
  <c r="H20712" i="16"/>
  <c r="H20713" i="16"/>
  <c r="H20714" i="16"/>
  <c r="H20715" i="16"/>
  <c r="H20716" i="16"/>
  <c r="H20717" i="16"/>
  <c r="H20718" i="16"/>
  <c r="H20719" i="16"/>
  <c r="H20720" i="16"/>
  <c r="H20721" i="16"/>
  <c r="H20722" i="16"/>
  <c r="H20723" i="16"/>
  <c r="H20724" i="16"/>
  <c r="H20725" i="16"/>
  <c r="H20726" i="16"/>
  <c r="H20727" i="16"/>
  <c r="H20728" i="16"/>
  <c r="H20729" i="16"/>
  <c r="H20730" i="16"/>
  <c r="H20731" i="16"/>
  <c r="H20732" i="16"/>
  <c r="H20733" i="16"/>
  <c r="H20734" i="16"/>
  <c r="H20735" i="16"/>
  <c r="H20736" i="16"/>
  <c r="H20737" i="16"/>
  <c r="H20738" i="16"/>
  <c r="H20739" i="16"/>
  <c r="H20740" i="16"/>
  <c r="H20741" i="16"/>
  <c r="H20742" i="16"/>
  <c r="H20743" i="16"/>
  <c r="H20744" i="16"/>
  <c r="H20745" i="16"/>
  <c r="H20746" i="16"/>
  <c r="H20747" i="16"/>
  <c r="H20748" i="16"/>
  <c r="H20749" i="16"/>
  <c r="H20750" i="16"/>
  <c r="H20751" i="16"/>
  <c r="H20752" i="16"/>
  <c r="H20753" i="16"/>
  <c r="H20754" i="16"/>
  <c r="H20755" i="16"/>
  <c r="H20756" i="16"/>
  <c r="H20757" i="16"/>
  <c r="H20758" i="16"/>
  <c r="H20759" i="16"/>
  <c r="H20760" i="16"/>
  <c r="H20761" i="16"/>
  <c r="H20762" i="16"/>
  <c r="H20763" i="16"/>
  <c r="H20764" i="16"/>
  <c r="H20765" i="16"/>
  <c r="H20766" i="16"/>
  <c r="H20767" i="16"/>
  <c r="H20768" i="16"/>
  <c r="H20769" i="16"/>
  <c r="H20770" i="16"/>
  <c r="H20771" i="16"/>
  <c r="H20772" i="16"/>
  <c r="H20773" i="16"/>
  <c r="H20774" i="16"/>
  <c r="H20775" i="16"/>
  <c r="H20776" i="16"/>
  <c r="H20777" i="16"/>
  <c r="H20778" i="16"/>
  <c r="H20779" i="16"/>
  <c r="H20780" i="16"/>
  <c r="H20781" i="16"/>
  <c r="H20782" i="16"/>
  <c r="H20783" i="16"/>
  <c r="H20784" i="16"/>
  <c r="H20785" i="16"/>
  <c r="H20786" i="16"/>
  <c r="H20787" i="16"/>
  <c r="H20788" i="16"/>
  <c r="H20789" i="16"/>
  <c r="H20790" i="16"/>
  <c r="H20791" i="16"/>
  <c r="H20792" i="16"/>
  <c r="H20793" i="16"/>
  <c r="H20794" i="16"/>
  <c r="H20795" i="16"/>
  <c r="H20796" i="16"/>
  <c r="H20797" i="16"/>
  <c r="H20798" i="16"/>
  <c r="H20799" i="16"/>
  <c r="H20800" i="16"/>
  <c r="H20801" i="16"/>
  <c r="H20802" i="16"/>
  <c r="H20803" i="16"/>
  <c r="H20804" i="16"/>
  <c r="H20805" i="16"/>
  <c r="H20806" i="16"/>
  <c r="H20807" i="16"/>
  <c r="H20808" i="16"/>
  <c r="H20809" i="16"/>
  <c r="H20810" i="16"/>
  <c r="H20811" i="16"/>
  <c r="H20812" i="16"/>
  <c r="H20813" i="16"/>
  <c r="H20814" i="16"/>
  <c r="H20815" i="16"/>
  <c r="H20816" i="16"/>
  <c r="H20817" i="16"/>
  <c r="H20818" i="16"/>
  <c r="H20819" i="16"/>
  <c r="H20820" i="16"/>
  <c r="H20821" i="16"/>
  <c r="H20822" i="16"/>
  <c r="H20823" i="16"/>
  <c r="H20824" i="16"/>
  <c r="H20825" i="16"/>
  <c r="H20826" i="16"/>
  <c r="H20827" i="16"/>
  <c r="H20828" i="16"/>
  <c r="H20829" i="16"/>
  <c r="H20830" i="16"/>
  <c r="H20831" i="16"/>
  <c r="H20832" i="16"/>
  <c r="H20833" i="16"/>
  <c r="H20834" i="16"/>
  <c r="H20835" i="16"/>
  <c r="H20836" i="16"/>
  <c r="H20837" i="16"/>
  <c r="H20838" i="16"/>
  <c r="H20839" i="16"/>
  <c r="H20840" i="16"/>
  <c r="H20841" i="16"/>
  <c r="H20842" i="16"/>
  <c r="H20843" i="16"/>
  <c r="H20844" i="16"/>
  <c r="H20845" i="16"/>
  <c r="H20846" i="16"/>
  <c r="H20847" i="16"/>
  <c r="H20848" i="16"/>
  <c r="H20849" i="16"/>
  <c r="H20850" i="16"/>
  <c r="H20851" i="16"/>
  <c r="H20852" i="16"/>
  <c r="H20853" i="16"/>
  <c r="H20854" i="16"/>
  <c r="H20855" i="16"/>
  <c r="H20856" i="16"/>
  <c r="H20857" i="16"/>
  <c r="H20858" i="16"/>
  <c r="H20859" i="16"/>
  <c r="H20860" i="16"/>
  <c r="H20861" i="16"/>
  <c r="H20862" i="16"/>
  <c r="H20863" i="16"/>
  <c r="H20864" i="16"/>
  <c r="H20865" i="16"/>
  <c r="H20866" i="16"/>
  <c r="H20867" i="16"/>
  <c r="H20868" i="16"/>
  <c r="H20869" i="16"/>
  <c r="H20870" i="16"/>
  <c r="H20871" i="16"/>
  <c r="H20872" i="16"/>
  <c r="H20873" i="16"/>
  <c r="H20874" i="16"/>
  <c r="H20875" i="16"/>
  <c r="H20876" i="16"/>
  <c r="H20877" i="16"/>
  <c r="H20878" i="16"/>
  <c r="H20879" i="16"/>
  <c r="H20880" i="16"/>
  <c r="H20881" i="16"/>
  <c r="H20882" i="16"/>
  <c r="H20883" i="16"/>
  <c r="H20884" i="16"/>
  <c r="H20885" i="16"/>
  <c r="H20886" i="16"/>
  <c r="H20887" i="16"/>
  <c r="H20888" i="16"/>
  <c r="H20889" i="16"/>
  <c r="H20890" i="16"/>
  <c r="H20891" i="16"/>
  <c r="H20892" i="16"/>
  <c r="H20893" i="16"/>
  <c r="H20894" i="16"/>
  <c r="H20895" i="16"/>
  <c r="H20896" i="16"/>
  <c r="H20897" i="16"/>
  <c r="H20898" i="16"/>
  <c r="H20899" i="16"/>
  <c r="H20900" i="16"/>
  <c r="H20901" i="16"/>
  <c r="H20902" i="16"/>
  <c r="H20903" i="16"/>
  <c r="H20904" i="16"/>
  <c r="H20905" i="16"/>
  <c r="H20906" i="16"/>
  <c r="H20907" i="16"/>
  <c r="H20908" i="16"/>
  <c r="H20909" i="16"/>
  <c r="H20910" i="16"/>
  <c r="H20911" i="16"/>
  <c r="H20912" i="16"/>
  <c r="H20913" i="16"/>
  <c r="H20914" i="16"/>
  <c r="H20915" i="16"/>
  <c r="H20916" i="16"/>
  <c r="H20917" i="16"/>
  <c r="H20918" i="16"/>
  <c r="H20919" i="16"/>
  <c r="H20920" i="16"/>
  <c r="H20921" i="16"/>
  <c r="H20922" i="16"/>
  <c r="H20923" i="16"/>
  <c r="H20924" i="16"/>
  <c r="H20925" i="16"/>
  <c r="H20926" i="16"/>
  <c r="H20927" i="16"/>
  <c r="H20928" i="16"/>
  <c r="H20929" i="16"/>
  <c r="H20930" i="16"/>
  <c r="H20931" i="16"/>
  <c r="H20932" i="16"/>
  <c r="H20933" i="16"/>
  <c r="H20934" i="16"/>
  <c r="H20935" i="16"/>
  <c r="H20936" i="16"/>
  <c r="H20937" i="16"/>
  <c r="H20938" i="16"/>
  <c r="H20939" i="16"/>
  <c r="H20940" i="16"/>
  <c r="H20941" i="16"/>
  <c r="H20942" i="16"/>
  <c r="H20943" i="16"/>
  <c r="H20944" i="16"/>
  <c r="H20945" i="16"/>
  <c r="H20946" i="16"/>
  <c r="H20947" i="16"/>
  <c r="H20948" i="16"/>
  <c r="H20949" i="16"/>
  <c r="H20950" i="16"/>
  <c r="H20951" i="16"/>
  <c r="H20952" i="16"/>
  <c r="H20953" i="16"/>
  <c r="H20954" i="16"/>
  <c r="H20955" i="16"/>
  <c r="H20956" i="16"/>
  <c r="H20957" i="16"/>
  <c r="H20958" i="16"/>
  <c r="H20959" i="16"/>
  <c r="H20960" i="16"/>
  <c r="H20961" i="16"/>
  <c r="H20962" i="16"/>
  <c r="H20963" i="16"/>
  <c r="H20964" i="16"/>
  <c r="H20965" i="16"/>
  <c r="H20966" i="16"/>
  <c r="H20967" i="16"/>
  <c r="H20968" i="16"/>
  <c r="H20969" i="16"/>
  <c r="H20970" i="16"/>
  <c r="H20971" i="16"/>
  <c r="H20972" i="16"/>
  <c r="H20973" i="16"/>
  <c r="H20974" i="16"/>
  <c r="H20975" i="16"/>
  <c r="H20976" i="16"/>
  <c r="H20977" i="16"/>
  <c r="H20978" i="16"/>
  <c r="H20979" i="16"/>
  <c r="H20980" i="16"/>
  <c r="H20981" i="16"/>
  <c r="H20982" i="16"/>
  <c r="H20983" i="16"/>
  <c r="H20984" i="16"/>
  <c r="H20985" i="16"/>
  <c r="H20986" i="16"/>
  <c r="H20987" i="16"/>
  <c r="H20988" i="16"/>
  <c r="H20989" i="16"/>
  <c r="H20990" i="16"/>
  <c r="H20991" i="16"/>
  <c r="H20992" i="16"/>
  <c r="H20993" i="16"/>
  <c r="H20994" i="16"/>
  <c r="H20995" i="16"/>
  <c r="H20996" i="16"/>
  <c r="H20997" i="16"/>
  <c r="H20998" i="16"/>
  <c r="H20999" i="16"/>
  <c r="H21000" i="16"/>
  <c r="H21001" i="16"/>
  <c r="H21002" i="16"/>
  <c r="H21003" i="16"/>
  <c r="H21004" i="16"/>
  <c r="H21005" i="16"/>
  <c r="H21006" i="16"/>
  <c r="H21007" i="16"/>
  <c r="H21008" i="16"/>
  <c r="H21009" i="16"/>
  <c r="H21010" i="16"/>
  <c r="H21011" i="16"/>
  <c r="H21012" i="16"/>
  <c r="H21013" i="16"/>
  <c r="H21014" i="16"/>
  <c r="H21015" i="16"/>
  <c r="H21016" i="16"/>
  <c r="H21017" i="16"/>
  <c r="H21018" i="16"/>
  <c r="H21019" i="16"/>
  <c r="H21020" i="16"/>
  <c r="H21021" i="16"/>
  <c r="H21022" i="16"/>
  <c r="H21023" i="16"/>
  <c r="H21024" i="16"/>
  <c r="H21025" i="16"/>
  <c r="H21026" i="16"/>
  <c r="H21027" i="16"/>
  <c r="H21028" i="16"/>
  <c r="H21029" i="16"/>
  <c r="H21030" i="16"/>
  <c r="H21031" i="16"/>
  <c r="H21032" i="16"/>
  <c r="H21033" i="16"/>
  <c r="H21034" i="16"/>
  <c r="H21035" i="16"/>
  <c r="H21036" i="16"/>
  <c r="H21037" i="16"/>
  <c r="H21038" i="16"/>
  <c r="H21039" i="16"/>
  <c r="H21040" i="16"/>
  <c r="H21041" i="16"/>
  <c r="H21042" i="16"/>
  <c r="H21043" i="16"/>
  <c r="H21044" i="16"/>
  <c r="H21045" i="16"/>
  <c r="H21046" i="16"/>
  <c r="H21047" i="16"/>
  <c r="H21048" i="16"/>
  <c r="H21049" i="16"/>
  <c r="H21050" i="16"/>
  <c r="H21051" i="16"/>
  <c r="H21052" i="16"/>
  <c r="H21053" i="16"/>
  <c r="H21054" i="16"/>
  <c r="H21055" i="16"/>
  <c r="H21056" i="16"/>
  <c r="H21057" i="16"/>
  <c r="H21058" i="16"/>
  <c r="H21059" i="16"/>
  <c r="H21060" i="16"/>
  <c r="H21061" i="16"/>
  <c r="H21062" i="16"/>
  <c r="H21063" i="16"/>
  <c r="H21064" i="16"/>
  <c r="H21065" i="16"/>
  <c r="H21066" i="16"/>
  <c r="H21067" i="16"/>
  <c r="H21068" i="16"/>
  <c r="H21069" i="16"/>
  <c r="H21070" i="16"/>
  <c r="H21071" i="16"/>
  <c r="H21072" i="16"/>
  <c r="H21073" i="16"/>
  <c r="H21074" i="16"/>
  <c r="H21075" i="16"/>
  <c r="H21076" i="16"/>
  <c r="H21077" i="16"/>
  <c r="H21078" i="16"/>
  <c r="H21079" i="16"/>
  <c r="H21080" i="16"/>
  <c r="H21081" i="16"/>
  <c r="H21082" i="16"/>
  <c r="H21083" i="16"/>
  <c r="H21084" i="16"/>
  <c r="H21085" i="16"/>
  <c r="H21086" i="16"/>
  <c r="H21087" i="16"/>
  <c r="H21088" i="16"/>
  <c r="H21089" i="16"/>
  <c r="H21090" i="16"/>
  <c r="H21091" i="16"/>
  <c r="H21092" i="16"/>
  <c r="H21093" i="16"/>
  <c r="H21094" i="16"/>
  <c r="H21095" i="16"/>
  <c r="H21096" i="16"/>
  <c r="H21097" i="16"/>
  <c r="H21098" i="16"/>
  <c r="H21099" i="16"/>
  <c r="H21100" i="16"/>
  <c r="H21101" i="16"/>
  <c r="H21102" i="16"/>
  <c r="H21103" i="16"/>
  <c r="H21104" i="16"/>
  <c r="H21105" i="16"/>
  <c r="H21106" i="16"/>
  <c r="H21107" i="16"/>
  <c r="H21108" i="16"/>
  <c r="H21109" i="16"/>
  <c r="H21110" i="16"/>
  <c r="H21111" i="16"/>
  <c r="H21112" i="16"/>
  <c r="H21113" i="16"/>
  <c r="H21114" i="16"/>
  <c r="H21115" i="16"/>
  <c r="H21116" i="16"/>
  <c r="H21117" i="16"/>
  <c r="H21118" i="16"/>
  <c r="H21119" i="16"/>
  <c r="H21120" i="16"/>
  <c r="H21121" i="16"/>
  <c r="H21122" i="16"/>
  <c r="H21123" i="16"/>
  <c r="H21124" i="16"/>
  <c r="H21125" i="16"/>
  <c r="H21126" i="16"/>
  <c r="H21127" i="16"/>
  <c r="H21128" i="16"/>
  <c r="H21129" i="16"/>
  <c r="H21130" i="16"/>
  <c r="H21131" i="16"/>
  <c r="H21132" i="16"/>
  <c r="H21133" i="16"/>
  <c r="H21134" i="16"/>
  <c r="H21135" i="16"/>
  <c r="H21136" i="16"/>
  <c r="H21137" i="16"/>
  <c r="H21138" i="16"/>
  <c r="H21139" i="16"/>
  <c r="H21140" i="16"/>
  <c r="H21141" i="16"/>
  <c r="H21142" i="16"/>
  <c r="H21143" i="16"/>
  <c r="H21144" i="16"/>
  <c r="H21145" i="16"/>
  <c r="H21146" i="16"/>
  <c r="H21147" i="16"/>
  <c r="H21148" i="16"/>
  <c r="H21149" i="16"/>
  <c r="H21150" i="16"/>
  <c r="H21151" i="16"/>
  <c r="H21152" i="16"/>
  <c r="H21153" i="16"/>
  <c r="H21154" i="16"/>
  <c r="H21155" i="16"/>
  <c r="H21156" i="16"/>
  <c r="H21157" i="16"/>
  <c r="H21158" i="16"/>
  <c r="H21159" i="16"/>
  <c r="H21160" i="16"/>
  <c r="H21161" i="16"/>
  <c r="H21162" i="16"/>
  <c r="H21163" i="16"/>
  <c r="H21164" i="16"/>
  <c r="H21165" i="16"/>
  <c r="H21166" i="16"/>
  <c r="H21167" i="16"/>
  <c r="H21168" i="16"/>
  <c r="H21169" i="16"/>
  <c r="H21170" i="16"/>
  <c r="H21171" i="16"/>
  <c r="H21172" i="16"/>
  <c r="H21173" i="16"/>
  <c r="H21174" i="16"/>
  <c r="H21175" i="16"/>
  <c r="H21176" i="16"/>
  <c r="H21177" i="16"/>
  <c r="H21178" i="16"/>
  <c r="H21179" i="16"/>
  <c r="H21180" i="16"/>
  <c r="H21181" i="16"/>
  <c r="H21182" i="16"/>
  <c r="H21183" i="16"/>
  <c r="H21184" i="16"/>
  <c r="H21185" i="16"/>
  <c r="H21186" i="16"/>
  <c r="H21187" i="16"/>
  <c r="H21188" i="16"/>
  <c r="H21189" i="16"/>
  <c r="H21190" i="16"/>
  <c r="H21191" i="16"/>
  <c r="H21192" i="16"/>
  <c r="H21193" i="16"/>
  <c r="H21194" i="16"/>
  <c r="H21195" i="16"/>
  <c r="H21196" i="16"/>
  <c r="H21197" i="16"/>
  <c r="H21198" i="16"/>
  <c r="H21199" i="16"/>
  <c r="H21200" i="16"/>
  <c r="H21201" i="16"/>
  <c r="H21202" i="16"/>
  <c r="H21203" i="16"/>
  <c r="H21204" i="16"/>
  <c r="H21205" i="16"/>
  <c r="H21206" i="16"/>
  <c r="H21207" i="16"/>
  <c r="H21208" i="16"/>
  <c r="H21209" i="16"/>
  <c r="H21210" i="16"/>
  <c r="H21211" i="16"/>
  <c r="H21212" i="16"/>
  <c r="H21213" i="16"/>
  <c r="H21214" i="16"/>
  <c r="H21215" i="16"/>
  <c r="H21216" i="16"/>
  <c r="H21217" i="16"/>
  <c r="H21218" i="16"/>
  <c r="H21219" i="16"/>
  <c r="H21220" i="16"/>
  <c r="H21221" i="16"/>
  <c r="H21222" i="16"/>
  <c r="H21223" i="16"/>
  <c r="H21224" i="16"/>
  <c r="H21225" i="16"/>
  <c r="H21226" i="16"/>
  <c r="H21227" i="16"/>
  <c r="H21228" i="16"/>
  <c r="H21229" i="16"/>
  <c r="H21230" i="16"/>
  <c r="H21231" i="16"/>
  <c r="H21232" i="16"/>
  <c r="H21233" i="16"/>
  <c r="H21234" i="16"/>
  <c r="H21235" i="16"/>
  <c r="H21236" i="16"/>
  <c r="H21237" i="16"/>
  <c r="H21238" i="16"/>
  <c r="H21239" i="16"/>
  <c r="H21240" i="16"/>
  <c r="H21241" i="16"/>
  <c r="H21242" i="16"/>
  <c r="H21243" i="16"/>
  <c r="H21244" i="16"/>
  <c r="H21245" i="16"/>
  <c r="H21246" i="16"/>
  <c r="H21247" i="16"/>
  <c r="H21248" i="16"/>
  <c r="H21249" i="16"/>
  <c r="H21250" i="16"/>
  <c r="H21251" i="16"/>
  <c r="H21252" i="16"/>
  <c r="H21253" i="16"/>
  <c r="H21254" i="16"/>
  <c r="H21255" i="16"/>
  <c r="H21256" i="16"/>
  <c r="H21257" i="16"/>
  <c r="H21258" i="16"/>
  <c r="H21259" i="16"/>
  <c r="H21260" i="16"/>
  <c r="H21261" i="16"/>
  <c r="H21262" i="16"/>
  <c r="H21263" i="16"/>
  <c r="H21264" i="16"/>
  <c r="H21265" i="16"/>
  <c r="H21266" i="16"/>
  <c r="H21267" i="16"/>
  <c r="H21268" i="16"/>
  <c r="H21269" i="16"/>
  <c r="H21270" i="16"/>
  <c r="H21271" i="16"/>
  <c r="H21272" i="16"/>
  <c r="H21273" i="16"/>
  <c r="H21274" i="16"/>
  <c r="H21275" i="16"/>
  <c r="H21276" i="16"/>
  <c r="H21277" i="16"/>
  <c r="H21278" i="16"/>
  <c r="H21279" i="16"/>
  <c r="H21280" i="16"/>
  <c r="H21281" i="16"/>
  <c r="H21282" i="16"/>
  <c r="H21283" i="16"/>
  <c r="H21284" i="16"/>
  <c r="H21285" i="16"/>
  <c r="H21286" i="16"/>
  <c r="H21287" i="16"/>
  <c r="H21288" i="16"/>
  <c r="H21289" i="16"/>
  <c r="H21290" i="16"/>
  <c r="H21291" i="16"/>
  <c r="H21292" i="16"/>
  <c r="H21293" i="16"/>
  <c r="H21294" i="16"/>
  <c r="H21295" i="16"/>
  <c r="H21296" i="16"/>
  <c r="H21297" i="16"/>
  <c r="H21298" i="16"/>
  <c r="H21299" i="16"/>
  <c r="H21300" i="16"/>
  <c r="H21301" i="16"/>
  <c r="H21302" i="16"/>
  <c r="H21303" i="16"/>
  <c r="H21304" i="16"/>
  <c r="H21305" i="16"/>
  <c r="H21306" i="16"/>
  <c r="H21307" i="16"/>
  <c r="H21308" i="16"/>
  <c r="H21309" i="16"/>
  <c r="H21310" i="16"/>
  <c r="H21311" i="16"/>
  <c r="H21312" i="16"/>
  <c r="H21313" i="16"/>
  <c r="H21314" i="16"/>
  <c r="H21315" i="16"/>
  <c r="H21316" i="16"/>
  <c r="H21317" i="16"/>
  <c r="H21318" i="16"/>
  <c r="H21319" i="16"/>
  <c r="H21320" i="16"/>
  <c r="H21321" i="16"/>
  <c r="H21322" i="16"/>
  <c r="H21323" i="16"/>
  <c r="H21324" i="16"/>
  <c r="H21325" i="16"/>
  <c r="H21326" i="16"/>
  <c r="H21327" i="16"/>
  <c r="H21328" i="16"/>
  <c r="H21329" i="16"/>
  <c r="H21330" i="16"/>
  <c r="H21331" i="16"/>
  <c r="H21332" i="16"/>
  <c r="H21333" i="16"/>
  <c r="H21334" i="16"/>
  <c r="H21335" i="16"/>
  <c r="H21336" i="16"/>
  <c r="H21337" i="16"/>
  <c r="H21338" i="16"/>
  <c r="H21339" i="16"/>
  <c r="H21340" i="16"/>
  <c r="H21341" i="16"/>
  <c r="H21342" i="16"/>
  <c r="H21343" i="16"/>
  <c r="H21344" i="16"/>
  <c r="H21345" i="16"/>
  <c r="H21346" i="16"/>
  <c r="H21347" i="16"/>
  <c r="H21348" i="16"/>
  <c r="H21349" i="16"/>
  <c r="H21350" i="16"/>
  <c r="H21351" i="16"/>
  <c r="H21352" i="16"/>
  <c r="H21353" i="16"/>
  <c r="H21354" i="16"/>
  <c r="H21355" i="16"/>
  <c r="H21356" i="16"/>
  <c r="H21357" i="16"/>
  <c r="H21358" i="16"/>
  <c r="H21359" i="16"/>
  <c r="H21360" i="16"/>
  <c r="H21361" i="16"/>
  <c r="H21362" i="16"/>
  <c r="H21363" i="16"/>
  <c r="H21364" i="16"/>
  <c r="H21365" i="16"/>
  <c r="H21366" i="16"/>
  <c r="H21367" i="16"/>
  <c r="H21368" i="16"/>
  <c r="H21369" i="16"/>
  <c r="H21370" i="16"/>
  <c r="H21371" i="16"/>
  <c r="H21372" i="16"/>
  <c r="H21373" i="16"/>
  <c r="H21374" i="16"/>
  <c r="H21375" i="16"/>
  <c r="H21376" i="16"/>
  <c r="H21377" i="16"/>
  <c r="H21378" i="16"/>
  <c r="H21379" i="16"/>
  <c r="H21380" i="16"/>
  <c r="H21381" i="16"/>
  <c r="H21382" i="16"/>
  <c r="H21383" i="16"/>
  <c r="H21384" i="16"/>
  <c r="H21385" i="16"/>
  <c r="H21386" i="16"/>
  <c r="H21387" i="16"/>
  <c r="H21388" i="16"/>
  <c r="H21389" i="16"/>
  <c r="H21390" i="16"/>
  <c r="H21391" i="16"/>
  <c r="H21392" i="16"/>
  <c r="H21393" i="16"/>
  <c r="H21394" i="16"/>
  <c r="H21395" i="16"/>
  <c r="H21396" i="16"/>
  <c r="H21397" i="16"/>
  <c r="H21398" i="16"/>
  <c r="H21399" i="16"/>
  <c r="H21400" i="16"/>
  <c r="H21401" i="16"/>
  <c r="H21402" i="16"/>
  <c r="H21403" i="16"/>
  <c r="H21404" i="16"/>
  <c r="H21405" i="16"/>
  <c r="H21406" i="16"/>
  <c r="H21407" i="16"/>
  <c r="H21408" i="16"/>
  <c r="H21409" i="16"/>
  <c r="H21410" i="16"/>
  <c r="H21411" i="16"/>
  <c r="H21412" i="16"/>
  <c r="H21413" i="16"/>
  <c r="H21414" i="16"/>
  <c r="H21415" i="16"/>
  <c r="H21416" i="16"/>
  <c r="H21417" i="16"/>
  <c r="H21418" i="16"/>
  <c r="H21419" i="16"/>
  <c r="H21420" i="16"/>
  <c r="H21421" i="16"/>
  <c r="H21422" i="16"/>
  <c r="H21423" i="16"/>
  <c r="H21424" i="16"/>
  <c r="H21425" i="16"/>
  <c r="H21426" i="16"/>
  <c r="H21427" i="16"/>
  <c r="H21428" i="16"/>
  <c r="H21429" i="16"/>
  <c r="H21430" i="16"/>
  <c r="H21431" i="16"/>
  <c r="H21432" i="16"/>
  <c r="H21433" i="16"/>
  <c r="H21434" i="16"/>
  <c r="H21435" i="16"/>
  <c r="H21436" i="16"/>
  <c r="H21437" i="16"/>
  <c r="H21438" i="16"/>
  <c r="H21439" i="16"/>
  <c r="H21440" i="16"/>
  <c r="H21441" i="16"/>
  <c r="H21442" i="16"/>
  <c r="H21443" i="16"/>
  <c r="H21444" i="16"/>
  <c r="H21445" i="16"/>
  <c r="H21446" i="16"/>
  <c r="H21447" i="16"/>
  <c r="H21448" i="16"/>
  <c r="H21449" i="16"/>
  <c r="H21450" i="16"/>
  <c r="H21451" i="16"/>
  <c r="H21452" i="16"/>
  <c r="H21453" i="16"/>
  <c r="H21454" i="16"/>
  <c r="H21455" i="16"/>
  <c r="H21456" i="16"/>
  <c r="H21457" i="16"/>
  <c r="H21458" i="16"/>
  <c r="H21459" i="16"/>
  <c r="H21460" i="16"/>
  <c r="H21461" i="16"/>
  <c r="H21462" i="16"/>
  <c r="H21463" i="16"/>
  <c r="H21464" i="16"/>
  <c r="H21465" i="16"/>
  <c r="H21466" i="16"/>
  <c r="H21467" i="16"/>
  <c r="H21468" i="16"/>
  <c r="H21469" i="16"/>
  <c r="H21470" i="16"/>
  <c r="H21471" i="16"/>
  <c r="H21472" i="16"/>
  <c r="H21473" i="16"/>
  <c r="H21474" i="16"/>
  <c r="H21475" i="16"/>
  <c r="H21476" i="16"/>
  <c r="H21477" i="16"/>
  <c r="H21478" i="16"/>
  <c r="H21479" i="16"/>
  <c r="H21480" i="16"/>
  <c r="H21481" i="16"/>
  <c r="H21482" i="16"/>
  <c r="H21483" i="16"/>
  <c r="H21484" i="16"/>
  <c r="H21485" i="16"/>
  <c r="H21486" i="16"/>
  <c r="H21487" i="16"/>
  <c r="H21488" i="16"/>
  <c r="H21489" i="16"/>
  <c r="H21490" i="16"/>
  <c r="H21491" i="16"/>
  <c r="H21492" i="16"/>
  <c r="H21493" i="16"/>
  <c r="H21494" i="16"/>
  <c r="H21495" i="16"/>
  <c r="H21496" i="16"/>
  <c r="H21497" i="16"/>
  <c r="H21498" i="16"/>
  <c r="H21499" i="16"/>
  <c r="H21500" i="16"/>
  <c r="H21501" i="16"/>
  <c r="H21502" i="16"/>
  <c r="H21503" i="16"/>
  <c r="H21504" i="16"/>
  <c r="H21505" i="16"/>
  <c r="H21506" i="16"/>
  <c r="H21507" i="16"/>
  <c r="H21508" i="16"/>
  <c r="H21509" i="16"/>
  <c r="H21510" i="16"/>
  <c r="H21511" i="16"/>
  <c r="H21512" i="16"/>
  <c r="H21513" i="16"/>
  <c r="H21514" i="16"/>
  <c r="H21515" i="16"/>
  <c r="H21516" i="16"/>
  <c r="H21517" i="16"/>
  <c r="H21518" i="16"/>
  <c r="H21519" i="16"/>
  <c r="H21520" i="16"/>
  <c r="H21521" i="16"/>
  <c r="H21522" i="16"/>
  <c r="H21523" i="16"/>
  <c r="H21524" i="16"/>
  <c r="H21525" i="16"/>
  <c r="H21526" i="16"/>
  <c r="H21527" i="16"/>
  <c r="H21528" i="16"/>
  <c r="H21529" i="16"/>
  <c r="H21530" i="16"/>
  <c r="H21531" i="16"/>
  <c r="H21532" i="16"/>
  <c r="H21533" i="16"/>
  <c r="H21534" i="16"/>
  <c r="H21535" i="16"/>
  <c r="H21536" i="16"/>
  <c r="H21537" i="16"/>
  <c r="H21538" i="16"/>
  <c r="H21539" i="16"/>
  <c r="H21540" i="16"/>
  <c r="H21541" i="16"/>
  <c r="H21542" i="16"/>
  <c r="H21543" i="16"/>
  <c r="H21544" i="16"/>
  <c r="H21545" i="16"/>
  <c r="H21546" i="16"/>
  <c r="H21547" i="16"/>
  <c r="H21548" i="16"/>
  <c r="H21549" i="16"/>
  <c r="H21550" i="16"/>
  <c r="H21551" i="16"/>
  <c r="H21552" i="16"/>
  <c r="H21553" i="16"/>
  <c r="H21554" i="16"/>
  <c r="H21555" i="16"/>
  <c r="H21556" i="16"/>
  <c r="H21557" i="16"/>
  <c r="H21558" i="16"/>
  <c r="H21559" i="16"/>
  <c r="H21560" i="16"/>
  <c r="H21561" i="16"/>
  <c r="H21562" i="16"/>
  <c r="H21563" i="16"/>
  <c r="H21564" i="16"/>
  <c r="H21565" i="16"/>
  <c r="H21566" i="16"/>
  <c r="H21567" i="16"/>
  <c r="H21568" i="16"/>
  <c r="H21569" i="16"/>
  <c r="H21570" i="16"/>
  <c r="H21571" i="16"/>
  <c r="H21572" i="16"/>
  <c r="H21573" i="16"/>
  <c r="H21574" i="16"/>
  <c r="H21575" i="16"/>
  <c r="H21576" i="16"/>
  <c r="H21577" i="16"/>
  <c r="H21578" i="16"/>
  <c r="H21579" i="16"/>
  <c r="H21580" i="16"/>
  <c r="H21581" i="16"/>
  <c r="H21582" i="16"/>
  <c r="H21583" i="16"/>
  <c r="H21584" i="16"/>
  <c r="H21585" i="16"/>
  <c r="H21586" i="16"/>
  <c r="H21587" i="16"/>
  <c r="H21588" i="16"/>
  <c r="H21589" i="16"/>
  <c r="H21590" i="16"/>
  <c r="H21591" i="16"/>
  <c r="H21592" i="16"/>
  <c r="H21593" i="16"/>
  <c r="H21594" i="16"/>
  <c r="H21595" i="16"/>
  <c r="H21596" i="16"/>
  <c r="H21597" i="16"/>
  <c r="H21598" i="16"/>
  <c r="H21599" i="16"/>
  <c r="H21600" i="16"/>
  <c r="H21601" i="16"/>
  <c r="H21602" i="16"/>
  <c r="H21603" i="16"/>
  <c r="H21604" i="16"/>
  <c r="H21605" i="16"/>
  <c r="H21606" i="16"/>
  <c r="H21607" i="16"/>
  <c r="H21608" i="16"/>
  <c r="H21609" i="16"/>
  <c r="H21610" i="16"/>
  <c r="H21611" i="16"/>
  <c r="H21612" i="16"/>
  <c r="H21613" i="16"/>
  <c r="H21614" i="16"/>
  <c r="H21615" i="16"/>
  <c r="H21616" i="16"/>
  <c r="H21617" i="16"/>
  <c r="H21618" i="16"/>
  <c r="H21619" i="16"/>
  <c r="H21620" i="16"/>
  <c r="H21621" i="16"/>
  <c r="H21622" i="16"/>
  <c r="H21623" i="16"/>
  <c r="H21624" i="16"/>
  <c r="H21625" i="16"/>
  <c r="H21626" i="16"/>
  <c r="H21627" i="16"/>
  <c r="H21628" i="16"/>
  <c r="H21629" i="16"/>
  <c r="H21630" i="16"/>
  <c r="H21631" i="16"/>
  <c r="H21632" i="16"/>
  <c r="H21633" i="16"/>
  <c r="H21634" i="16"/>
  <c r="H21635" i="16"/>
  <c r="H21636" i="16"/>
  <c r="H21637" i="16"/>
  <c r="H21638" i="16"/>
  <c r="H21639" i="16"/>
  <c r="H21640" i="16"/>
  <c r="H21641" i="16"/>
  <c r="H21642" i="16"/>
  <c r="H21643" i="16"/>
  <c r="H21644" i="16"/>
  <c r="H21645" i="16"/>
  <c r="H21646" i="16"/>
  <c r="H21647" i="16"/>
  <c r="H21648" i="16"/>
  <c r="H21649" i="16"/>
  <c r="H21650" i="16"/>
  <c r="H21651" i="16"/>
  <c r="H21652" i="16"/>
  <c r="H21653" i="16"/>
  <c r="H21654" i="16"/>
  <c r="H21655" i="16"/>
  <c r="H21656" i="16"/>
  <c r="H21657" i="16"/>
  <c r="H21658" i="16"/>
  <c r="H21659" i="16"/>
  <c r="H21660" i="16"/>
  <c r="H21661" i="16"/>
  <c r="H21662" i="16"/>
  <c r="H21663" i="16"/>
  <c r="H21664" i="16"/>
  <c r="H21665" i="16"/>
  <c r="H21666" i="16"/>
  <c r="H21667" i="16"/>
  <c r="H21668" i="16"/>
  <c r="H21669" i="16"/>
  <c r="H21670" i="16"/>
  <c r="H21671" i="16"/>
  <c r="H21672" i="16"/>
  <c r="H21673" i="16"/>
  <c r="H21674" i="16"/>
  <c r="H21675" i="16"/>
  <c r="H21676" i="16"/>
  <c r="H21677" i="16"/>
  <c r="H21678" i="16"/>
  <c r="H21679" i="16"/>
  <c r="H21680" i="16"/>
  <c r="H21681" i="16"/>
  <c r="H21682" i="16"/>
  <c r="H21683" i="16"/>
  <c r="H21684" i="16"/>
  <c r="H21685" i="16"/>
  <c r="H21686" i="16"/>
  <c r="H21687" i="16"/>
  <c r="H21688" i="16"/>
  <c r="H21689" i="16"/>
  <c r="H21690" i="16"/>
  <c r="H21691" i="16"/>
  <c r="H21692" i="16"/>
  <c r="H21693" i="16"/>
  <c r="H21694" i="16"/>
  <c r="H21695" i="16"/>
  <c r="H21696" i="16"/>
  <c r="H21697" i="16"/>
  <c r="H21698" i="16"/>
  <c r="H21699" i="16"/>
  <c r="H21700" i="16"/>
  <c r="H21701" i="16"/>
  <c r="H21702" i="16"/>
  <c r="H21703" i="16"/>
  <c r="H21704" i="16"/>
  <c r="H21705" i="16"/>
  <c r="H21706" i="16"/>
  <c r="H21707" i="16"/>
  <c r="H21708" i="16"/>
  <c r="H21709" i="16"/>
  <c r="H21710" i="16"/>
  <c r="H21711" i="16"/>
  <c r="H21712" i="16"/>
  <c r="H21713" i="16"/>
  <c r="H21714" i="16"/>
  <c r="H21715" i="16"/>
  <c r="H21716" i="16"/>
  <c r="H21717" i="16"/>
  <c r="H21718" i="16"/>
  <c r="H21719" i="16"/>
  <c r="H21720" i="16"/>
  <c r="H21721" i="16"/>
  <c r="H21722" i="16"/>
  <c r="H21723" i="16"/>
  <c r="H21724" i="16"/>
  <c r="H21725" i="16"/>
  <c r="H21726" i="16"/>
  <c r="H21727" i="16"/>
  <c r="H21728" i="16"/>
  <c r="H21729" i="16"/>
  <c r="H21730" i="16"/>
  <c r="H21731" i="16"/>
  <c r="H21732" i="16"/>
  <c r="H21733" i="16"/>
  <c r="H21734" i="16"/>
  <c r="H21735" i="16"/>
  <c r="H21736" i="16"/>
  <c r="H21737" i="16"/>
  <c r="H21738" i="16"/>
  <c r="H21739" i="16"/>
  <c r="H21740" i="16"/>
  <c r="H21741" i="16"/>
  <c r="H21742" i="16"/>
  <c r="H21743" i="16"/>
  <c r="H21744" i="16"/>
  <c r="H21745" i="16"/>
  <c r="H21746" i="16"/>
  <c r="H21747" i="16"/>
  <c r="H21748" i="16"/>
  <c r="H21749" i="16"/>
  <c r="H21750" i="16"/>
  <c r="H21751" i="16"/>
  <c r="H21752" i="16"/>
  <c r="H21753" i="16"/>
  <c r="H21754" i="16"/>
  <c r="H21755" i="16"/>
  <c r="H21756" i="16"/>
  <c r="H21757" i="16"/>
  <c r="H21758" i="16"/>
  <c r="H21759" i="16"/>
  <c r="H21760" i="16"/>
  <c r="H21761" i="16"/>
  <c r="H21762" i="16"/>
  <c r="H21763" i="16"/>
  <c r="H21764" i="16"/>
  <c r="H21765" i="16"/>
  <c r="H21766" i="16"/>
  <c r="H21767" i="16"/>
  <c r="H21768" i="16"/>
  <c r="H21769" i="16"/>
  <c r="H21770" i="16"/>
  <c r="H21771" i="16"/>
  <c r="H21772" i="16"/>
  <c r="H21773" i="16"/>
  <c r="H21774" i="16"/>
  <c r="H21775" i="16"/>
  <c r="H21776" i="16"/>
  <c r="H21777" i="16"/>
  <c r="H21778" i="16"/>
  <c r="H21779" i="16"/>
  <c r="H21780" i="16"/>
  <c r="H21781" i="16"/>
  <c r="H21782" i="16"/>
  <c r="H21783" i="16"/>
  <c r="H21784" i="16"/>
  <c r="H21785" i="16"/>
  <c r="H21786" i="16"/>
  <c r="H21787" i="16"/>
  <c r="H21788" i="16"/>
  <c r="H21789" i="16"/>
  <c r="H21790" i="16"/>
  <c r="H21791" i="16"/>
  <c r="H21792" i="16"/>
  <c r="H21793" i="16"/>
  <c r="H21794" i="16"/>
  <c r="H21795" i="16"/>
  <c r="H21796" i="16"/>
  <c r="H21797" i="16"/>
  <c r="H21798" i="16"/>
  <c r="H21799" i="16"/>
  <c r="H21800" i="16"/>
  <c r="H21801" i="16"/>
  <c r="H21802" i="16"/>
  <c r="H21803" i="16"/>
  <c r="H21804" i="16"/>
  <c r="H21805" i="16"/>
  <c r="H21806" i="16"/>
  <c r="H21807" i="16"/>
  <c r="H21808" i="16"/>
  <c r="H21809" i="16"/>
  <c r="H21810" i="16"/>
  <c r="H21811" i="16"/>
  <c r="H21812" i="16"/>
  <c r="H21813" i="16"/>
  <c r="H21814" i="16"/>
  <c r="H21815" i="16"/>
  <c r="H21816" i="16"/>
  <c r="H21817" i="16"/>
  <c r="H21818" i="16"/>
  <c r="H21819" i="16"/>
  <c r="H21820" i="16"/>
  <c r="H21821" i="16"/>
  <c r="H21822" i="16"/>
  <c r="H21823" i="16"/>
  <c r="H21824" i="16"/>
  <c r="H21825" i="16"/>
  <c r="H21826" i="16"/>
  <c r="H21827" i="16"/>
  <c r="H21828" i="16"/>
  <c r="H21829" i="16"/>
  <c r="H21830" i="16"/>
  <c r="H21831" i="16"/>
  <c r="H21832" i="16"/>
  <c r="H21833" i="16"/>
  <c r="H21834" i="16"/>
  <c r="H21835" i="16"/>
  <c r="H21836" i="16"/>
  <c r="H21837" i="16"/>
  <c r="H21838" i="16"/>
  <c r="H21839" i="16"/>
  <c r="H21840" i="16"/>
  <c r="H21841" i="16"/>
  <c r="H21842" i="16"/>
  <c r="H21843" i="16"/>
  <c r="H21844" i="16"/>
  <c r="H21845" i="16"/>
  <c r="H21846" i="16"/>
  <c r="H21847" i="16"/>
  <c r="H21848" i="16"/>
  <c r="H21849" i="16"/>
  <c r="H21850" i="16"/>
  <c r="H21851" i="16"/>
  <c r="H21852" i="16"/>
  <c r="H21853" i="16"/>
  <c r="H21854" i="16"/>
  <c r="H21855" i="16"/>
  <c r="H21856" i="16"/>
  <c r="H21857" i="16"/>
  <c r="H21858" i="16"/>
  <c r="H21859" i="16"/>
  <c r="H21860" i="16"/>
  <c r="H21861" i="16"/>
  <c r="H21862" i="16"/>
  <c r="H21863" i="16"/>
  <c r="H21864" i="16"/>
  <c r="H21865" i="16"/>
  <c r="H21866" i="16"/>
  <c r="H21867" i="16"/>
  <c r="H21868" i="16"/>
  <c r="H21869" i="16"/>
  <c r="H21870" i="16"/>
  <c r="H21871" i="16"/>
  <c r="H21872" i="16"/>
  <c r="H21873" i="16"/>
  <c r="H21874" i="16"/>
  <c r="H21875" i="16"/>
  <c r="H21876" i="16"/>
  <c r="H21877" i="16"/>
  <c r="H21878" i="16"/>
  <c r="H21879" i="16"/>
  <c r="H21880" i="16"/>
  <c r="H21881" i="16"/>
  <c r="H21882" i="16"/>
  <c r="H21883" i="16"/>
  <c r="H21884" i="16"/>
  <c r="H21885" i="16"/>
  <c r="H21886" i="16"/>
  <c r="H21887" i="16"/>
  <c r="H21888" i="16"/>
  <c r="H21889" i="16"/>
  <c r="H21890" i="16"/>
  <c r="H21891" i="16"/>
  <c r="H21892" i="16"/>
  <c r="H21893" i="16"/>
  <c r="H21894" i="16"/>
  <c r="H21895" i="16"/>
  <c r="H21896" i="16"/>
  <c r="H21897" i="16"/>
  <c r="H21898" i="16"/>
  <c r="H21899" i="16"/>
  <c r="H21900" i="16"/>
  <c r="H21901" i="16"/>
  <c r="H21902" i="16"/>
  <c r="H21903" i="16"/>
  <c r="H21904" i="16"/>
  <c r="H21905" i="16"/>
  <c r="H21906" i="16"/>
  <c r="H21907" i="16"/>
  <c r="H21908" i="16"/>
  <c r="H21909" i="16"/>
  <c r="H21910" i="16"/>
  <c r="H21911" i="16"/>
  <c r="H21912" i="16"/>
  <c r="H21913" i="16"/>
  <c r="H21914" i="16"/>
  <c r="H21915" i="16"/>
  <c r="H21916" i="16"/>
  <c r="H21917" i="16"/>
  <c r="H21918" i="16"/>
  <c r="H21919" i="16"/>
  <c r="H21920" i="16"/>
  <c r="H21921" i="16"/>
  <c r="H21922" i="16"/>
  <c r="H21923" i="16"/>
  <c r="H21924" i="16"/>
  <c r="H21925" i="16"/>
  <c r="H21926" i="16"/>
  <c r="H21927" i="16"/>
  <c r="H21928" i="16"/>
  <c r="H21929" i="16"/>
  <c r="H21930" i="16"/>
  <c r="H21931" i="16"/>
  <c r="H21932" i="16"/>
  <c r="H21933" i="16"/>
  <c r="H21934" i="16"/>
  <c r="H21935" i="16"/>
  <c r="H21936" i="16"/>
  <c r="H21937" i="16"/>
  <c r="H21938" i="16"/>
  <c r="H21939" i="16"/>
  <c r="H21940" i="16"/>
  <c r="H21941" i="16"/>
  <c r="H21942" i="16"/>
  <c r="H21943" i="16"/>
  <c r="H21944" i="16"/>
  <c r="H21945" i="16"/>
  <c r="H21946" i="16"/>
  <c r="H21947" i="16"/>
  <c r="H21948" i="16"/>
  <c r="H21949" i="16"/>
  <c r="H21950" i="16"/>
  <c r="H21951" i="16"/>
  <c r="H21952" i="16"/>
  <c r="H21953" i="16"/>
  <c r="H21954" i="16"/>
  <c r="H21955" i="16"/>
  <c r="H21956" i="16"/>
  <c r="H21957" i="16"/>
  <c r="H21958" i="16"/>
  <c r="H21959" i="16"/>
  <c r="H21960" i="16"/>
  <c r="H21961" i="16"/>
  <c r="H21962" i="16"/>
  <c r="H21963" i="16"/>
  <c r="H21964" i="16"/>
  <c r="H21965" i="16"/>
  <c r="H21966" i="16"/>
  <c r="H21967" i="16"/>
  <c r="H21968" i="16"/>
  <c r="H21969" i="16"/>
  <c r="H21970" i="16"/>
  <c r="H21971" i="16"/>
  <c r="H21972" i="16"/>
  <c r="H21973" i="16"/>
  <c r="H21974" i="16"/>
  <c r="H21975" i="16"/>
  <c r="H21976" i="16"/>
  <c r="H21977" i="16"/>
  <c r="H21978" i="16"/>
  <c r="H21979" i="16"/>
  <c r="H21980" i="16"/>
  <c r="H21981" i="16"/>
  <c r="H21982" i="16"/>
  <c r="H21983" i="16"/>
  <c r="H21984" i="16"/>
  <c r="H21985" i="16"/>
  <c r="H21986" i="16"/>
  <c r="H21987" i="16"/>
  <c r="H21988" i="16"/>
  <c r="H21989" i="16"/>
  <c r="H21990" i="16"/>
  <c r="H21991" i="16"/>
  <c r="H21992" i="16"/>
  <c r="H21993" i="16"/>
  <c r="H21994" i="16"/>
  <c r="H21995" i="16"/>
  <c r="H21996" i="16"/>
  <c r="H21997" i="16"/>
  <c r="H21998" i="16"/>
  <c r="H21999" i="16"/>
  <c r="H22000" i="16"/>
  <c r="H22001" i="16"/>
  <c r="H22002" i="16"/>
  <c r="H22003" i="16"/>
  <c r="H22004" i="16"/>
  <c r="H22005" i="16"/>
  <c r="H22006" i="16"/>
  <c r="H22007" i="16"/>
  <c r="H22008" i="16"/>
  <c r="H22009" i="16"/>
  <c r="H22010" i="16"/>
  <c r="H22011" i="16"/>
  <c r="H22012" i="16"/>
  <c r="H22013" i="16"/>
  <c r="H22014" i="16"/>
  <c r="H22015" i="16"/>
  <c r="H22016" i="16"/>
  <c r="H22017" i="16"/>
  <c r="H22018" i="16"/>
  <c r="H22019" i="16"/>
  <c r="H22020" i="16"/>
  <c r="H22021" i="16"/>
  <c r="H22022" i="16"/>
  <c r="H22023" i="16"/>
  <c r="H22024" i="16"/>
  <c r="H22025" i="16"/>
  <c r="H22026" i="16"/>
  <c r="H22027" i="16"/>
  <c r="H22028" i="16"/>
  <c r="H22029" i="16"/>
  <c r="H22030" i="16"/>
  <c r="H22031" i="16"/>
  <c r="H22032" i="16"/>
  <c r="H22033" i="16"/>
  <c r="H22034" i="16"/>
  <c r="H22035" i="16"/>
  <c r="H22036" i="16"/>
  <c r="H22037" i="16"/>
  <c r="H22038" i="16"/>
  <c r="H22039" i="16"/>
  <c r="H22040" i="16"/>
  <c r="H22041" i="16"/>
  <c r="H22042" i="16"/>
  <c r="H22043" i="16"/>
  <c r="H22044" i="16"/>
  <c r="H22045" i="16"/>
  <c r="H22046" i="16"/>
  <c r="H22047" i="16"/>
  <c r="H22048" i="16"/>
  <c r="H22049" i="16"/>
  <c r="H22050" i="16"/>
  <c r="H22051" i="16"/>
  <c r="H22052" i="16"/>
  <c r="H22053" i="16"/>
  <c r="H22054" i="16"/>
  <c r="H22055" i="16"/>
  <c r="H22056" i="16"/>
  <c r="H22057" i="16"/>
  <c r="H22058" i="16"/>
  <c r="H22059" i="16"/>
  <c r="H22060" i="16"/>
  <c r="H22061" i="16"/>
  <c r="H22062" i="16"/>
  <c r="H22063" i="16"/>
  <c r="H22064" i="16"/>
  <c r="H22065" i="16"/>
  <c r="H22066" i="16"/>
  <c r="H22067" i="16"/>
  <c r="H22068" i="16"/>
  <c r="H22069" i="16"/>
  <c r="H22070" i="16"/>
  <c r="H22071" i="16"/>
  <c r="H22072" i="16"/>
  <c r="H22073" i="16"/>
  <c r="H22074" i="16"/>
  <c r="H22075" i="16"/>
  <c r="H22076" i="16"/>
  <c r="H22077" i="16"/>
  <c r="H22078" i="16"/>
  <c r="H22079" i="16"/>
  <c r="H22080" i="16"/>
  <c r="H22081" i="16"/>
  <c r="H22082" i="16"/>
  <c r="H22083" i="16"/>
  <c r="H22084" i="16"/>
  <c r="H22085" i="16"/>
  <c r="H22086" i="16"/>
  <c r="H22087" i="16"/>
  <c r="H22088" i="16"/>
  <c r="H22089" i="16"/>
  <c r="H22090" i="16"/>
  <c r="H22091" i="16"/>
  <c r="H22092" i="16"/>
  <c r="H22093" i="16"/>
  <c r="H22094" i="16"/>
  <c r="H22095" i="16"/>
  <c r="H22096" i="16"/>
  <c r="H22097" i="16"/>
  <c r="H22098" i="16"/>
  <c r="H22099" i="16"/>
  <c r="H22100" i="16"/>
  <c r="H22101" i="16"/>
  <c r="H22102" i="16"/>
  <c r="H22103" i="16"/>
  <c r="H22104" i="16"/>
  <c r="H22105" i="16"/>
  <c r="H22106" i="16"/>
  <c r="H22107" i="16"/>
  <c r="H22108" i="16"/>
  <c r="H22109" i="16"/>
  <c r="H22110" i="16"/>
  <c r="H22111" i="16"/>
  <c r="H22112" i="16"/>
  <c r="H22113" i="16"/>
  <c r="H22114" i="16"/>
  <c r="H22115" i="16"/>
  <c r="H22116" i="16"/>
  <c r="H22117" i="16"/>
  <c r="H22118" i="16"/>
  <c r="H22119" i="16"/>
  <c r="H22120" i="16"/>
  <c r="H22121" i="16"/>
  <c r="H22122" i="16"/>
  <c r="H22123" i="16"/>
  <c r="H22124" i="16"/>
  <c r="H22125" i="16"/>
  <c r="H22126" i="16"/>
  <c r="H22127" i="16"/>
  <c r="H22128" i="16"/>
  <c r="H22129" i="16"/>
  <c r="H22130" i="16"/>
  <c r="H22131" i="16"/>
  <c r="H22132" i="16"/>
  <c r="H22133" i="16"/>
  <c r="H22134" i="16"/>
  <c r="H22135" i="16"/>
  <c r="H22136" i="16"/>
  <c r="H22137" i="16"/>
  <c r="H22138" i="16"/>
  <c r="H22139" i="16"/>
  <c r="H22140" i="16"/>
  <c r="H22141" i="16"/>
  <c r="H22142" i="16"/>
  <c r="H22143" i="16"/>
  <c r="H22144" i="16"/>
  <c r="H22145" i="16"/>
  <c r="H22146" i="16"/>
  <c r="H22147" i="16"/>
  <c r="H22148" i="16"/>
  <c r="H22149" i="16"/>
  <c r="H22150" i="16"/>
  <c r="H22151" i="16"/>
  <c r="H22152" i="16"/>
  <c r="H22153" i="16"/>
  <c r="H22154" i="16"/>
  <c r="H22155" i="16"/>
  <c r="H22156" i="16"/>
  <c r="H22157" i="16"/>
  <c r="H22158" i="16"/>
  <c r="H22159" i="16"/>
  <c r="H22160" i="16"/>
  <c r="H22161" i="16"/>
  <c r="H22162" i="16"/>
  <c r="H22163" i="16"/>
  <c r="H22164" i="16"/>
  <c r="H22165" i="16"/>
  <c r="H22166" i="16"/>
  <c r="H22167" i="16"/>
  <c r="H22168" i="16"/>
  <c r="H22169" i="16"/>
  <c r="H22170" i="16"/>
  <c r="H22171" i="16"/>
  <c r="H22172" i="16"/>
  <c r="H22173" i="16"/>
  <c r="H22174" i="16"/>
  <c r="H22175" i="16"/>
  <c r="H22176" i="16"/>
  <c r="H22177" i="16"/>
  <c r="H22178" i="16"/>
  <c r="H22179" i="16"/>
  <c r="H22180" i="16"/>
  <c r="H22181" i="16"/>
  <c r="H22182" i="16"/>
  <c r="H22183" i="16"/>
  <c r="H22184" i="16"/>
  <c r="H22185" i="16"/>
  <c r="H22186" i="16"/>
  <c r="H22187" i="16"/>
  <c r="H22188" i="16"/>
  <c r="H22189" i="16"/>
  <c r="H22190" i="16"/>
  <c r="H22191" i="16"/>
  <c r="H22192" i="16"/>
  <c r="H22193" i="16"/>
  <c r="H22194" i="16"/>
  <c r="H22195" i="16"/>
  <c r="H22196" i="16"/>
  <c r="H22197" i="16"/>
  <c r="H22198" i="16"/>
  <c r="H22199" i="16"/>
  <c r="H22200" i="16"/>
  <c r="H22201" i="16"/>
  <c r="H22202" i="16"/>
  <c r="H22203" i="16"/>
  <c r="H22204" i="16"/>
  <c r="H22205" i="16"/>
  <c r="H22206" i="16"/>
  <c r="H22207" i="16"/>
  <c r="H22208" i="16"/>
  <c r="H22209" i="16"/>
  <c r="H22210" i="16"/>
  <c r="H22211" i="16"/>
  <c r="H22212" i="16"/>
  <c r="H22213" i="16"/>
  <c r="H22214" i="16"/>
  <c r="H22215" i="16"/>
  <c r="H22216" i="16"/>
  <c r="H22217" i="16"/>
  <c r="H22218" i="16"/>
  <c r="H22219" i="16"/>
  <c r="H22220" i="16"/>
  <c r="H22221" i="16"/>
  <c r="H22222" i="16"/>
  <c r="H22223" i="16"/>
  <c r="H22224" i="16"/>
  <c r="H22225" i="16"/>
  <c r="H22226" i="16"/>
  <c r="H22227" i="16"/>
  <c r="H22228" i="16"/>
  <c r="H22229" i="16"/>
  <c r="H22230" i="16"/>
  <c r="H22231" i="16"/>
  <c r="H22232" i="16"/>
  <c r="H22233" i="16"/>
  <c r="H22234" i="16"/>
  <c r="H22235" i="16"/>
  <c r="H22236" i="16"/>
  <c r="H22237" i="16"/>
  <c r="H22238" i="16"/>
  <c r="H22239" i="16"/>
  <c r="H22240" i="16"/>
  <c r="H22241" i="16"/>
  <c r="H22242" i="16"/>
  <c r="H22243" i="16"/>
  <c r="H22244" i="16"/>
  <c r="H22245" i="16"/>
  <c r="H22246" i="16"/>
  <c r="H22247" i="16"/>
  <c r="H22248" i="16"/>
  <c r="H22249" i="16"/>
  <c r="H22250" i="16"/>
  <c r="H22251" i="16"/>
  <c r="H22252" i="16"/>
  <c r="H22253" i="16"/>
  <c r="H22254" i="16"/>
  <c r="H22255" i="16"/>
  <c r="H22256" i="16"/>
  <c r="H22257" i="16"/>
  <c r="H22258" i="16"/>
  <c r="H22259" i="16"/>
  <c r="H22260" i="16"/>
  <c r="H22261" i="16"/>
  <c r="H22262" i="16"/>
  <c r="H22263" i="16"/>
  <c r="H22264" i="16"/>
  <c r="H22265" i="16"/>
  <c r="H22266" i="16"/>
  <c r="H22267" i="16"/>
  <c r="H22268" i="16"/>
  <c r="H22269" i="16"/>
  <c r="H22270" i="16"/>
  <c r="H22271" i="16"/>
  <c r="H22272" i="16"/>
  <c r="H22273" i="16"/>
  <c r="H22274" i="16"/>
  <c r="H22275" i="16"/>
  <c r="H22276" i="16"/>
  <c r="H22277" i="16"/>
  <c r="H22278" i="16"/>
  <c r="H22279" i="16"/>
  <c r="H22280" i="16"/>
  <c r="H22281" i="16"/>
  <c r="H22282" i="16"/>
  <c r="H22283" i="16"/>
  <c r="H22284" i="16"/>
  <c r="H22285" i="16"/>
  <c r="H22286" i="16"/>
  <c r="H22287" i="16"/>
  <c r="H22288" i="16"/>
  <c r="H22289" i="16"/>
  <c r="H22290" i="16"/>
  <c r="H22291" i="16"/>
  <c r="H22292" i="16"/>
  <c r="H22293" i="16"/>
  <c r="H22294" i="16"/>
  <c r="H22295" i="16"/>
  <c r="H22296" i="16"/>
  <c r="H22297" i="16"/>
  <c r="H22298" i="16"/>
  <c r="H22299" i="16"/>
  <c r="H22300" i="16"/>
  <c r="H22301" i="16"/>
  <c r="H22302" i="16"/>
  <c r="H22303" i="16"/>
  <c r="H22304" i="16"/>
  <c r="H22305" i="16"/>
  <c r="H22306" i="16"/>
  <c r="H22307" i="16"/>
  <c r="H22308" i="16"/>
  <c r="H22309" i="16"/>
  <c r="H22310" i="16"/>
  <c r="H22311" i="16"/>
  <c r="H22312" i="16"/>
  <c r="H22313" i="16"/>
  <c r="H22314" i="16"/>
  <c r="H22315" i="16"/>
  <c r="H22316" i="16"/>
  <c r="H22317" i="16"/>
  <c r="H22318" i="16"/>
  <c r="H22319" i="16"/>
  <c r="H22320" i="16"/>
  <c r="H22321" i="16"/>
  <c r="H22322" i="16"/>
  <c r="H22323" i="16"/>
  <c r="H22324" i="16"/>
  <c r="H22325" i="16"/>
  <c r="H22326" i="16"/>
  <c r="H22327" i="16"/>
  <c r="H22328" i="16"/>
  <c r="H22329" i="16"/>
  <c r="H22330" i="16"/>
  <c r="H22331" i="16"/>
  <c r="H22332" i="16"/>
  <c r="H22333" i="16"/>
  <c r="H22334" i="16"/>
  <c r="H22335" i="16"/>
  <c r="H22336" i="16"/>
  <c r="H22337" i="16"/>
  <c r="H22338" i="16"/>
  <c r="H22339" i="16"/>
  <c r="H22340" i="16"/>
  <c r="H22341" i="16"/>
  <c r="H22342" i="16"/>
  <c r="H22343" i="16"/>
  <c r="H22344" i="16"/>
  <c r="H22345" i="16"/>
  <c r="H22346" i="16"/>
  <c r="H22347" i="16"/>
  <c r="H22348" i="16"/>
  <c r="H22349" i="16"/>
  <c r="H22350" i="16"/>
  <c r="H22351" i="16"/>
  <c r="H22352" i="16"/>
  <c r="H22353" i="16"/>
  <c r="H22354" i="16"/>
  <c r="H22355" i="16"/>
  <c r="H22356" i="16"/>
  <c r="H22357" i="16"/>
  <c r="H22358" i="16"/>
  <c r="H22359" i="16"/>
  <c r="H22360" i="16"/>
  <c r="H22361" i="16"/>
  <c r="H22362" i="16"/>
  <c r="H22363" i="16"/>
  <c r="H22364" i="16"/>
  <c r="H22365" i="16"/>
  <c r="H22366" i="16"/>
  <c r="H22367" i="16"/>
  <c r="H22368" i="16"/>
  <c r="H22369" i="16"/>
  <c r="H22370" i="16"/>
  <c r="H22371" i="16"/>
  <c r="H22372" i="16"/>
  <c r="H22373" i="16"/>
  <c r="H22374" i="16"/>
  <c r="H22375" i="16"/>
  <c r="H22376" i="16"/>
  <c r="H22377" i="16"/>
  <c r="H22378" i="16"/>
  <c r="H22379" i="16"/>
  <c r="H22380" i="16"/>
  <c r="H22381" i="16"/>
  <c r="H22382" i="16"/>
  <c r="H22383" i="16"/>
  <c r="H22384" i="16"/>
  <c r="H22385" i="16"/>
  <c r="H22386" i="16"/>
  <c r="H22387" i="16"/>
  <c r="H22388" i="16"/>
  <c r="H22389" i="16"/>
  <c r="H22390" i="16"/>
  <c r="H22391" i="16"/>
  <c r="H22392" i="16"/>
  <c r="H22393" i="16"/>
  <c r="H22394" i="16"/>
  <c r="H22395" i="16"/>
  <c r="H22396" i="16"/>
  <c r="H22397" i="16"/>
  <c r="H22398" i="16"/>
  <c r="H22399" i="16"/>
  <c r="H22400" i="16"/>
  <c r="H22401" i="16"/>
  <c r="H22402" i="16"/>
  <c r="H22403" i="16"/>
  <c r="H22404" i="16"/>
  <c r="H22405" i="16"/>
  <c r="H22406" i="16"/>
  <c r="H22407" i="16"/>
  <c r="H22408" i="16"/>
  <c r="H22409" i="16"/>
  <c r="H22410" i="16"/>
  <c r="H22411" i="16"/>
  <c r="H22412" i="16"/>
  <c r="H22413" i="16"/>
  <c r="H22414" i="16"/>
  <c r="H22415" i="16"/>
  <c r="H22416" i="16"/>
  <c r="H22417" i="16"/>
  <c r="H22418" i="16"/>
  <c r="H22419" i="16"/>
  <c r="H22420" i="16"/>
  <c r="H22421" i="16"/>
  <c r="H22422" i="16"/>
  <c r="H22423" i="16"/>
  <c r="H22424" i="16"/>
  <c r="H22425" i="16"/>
  <c r="H22426" i="16"/>
  <c r="H22427" i="16"/>
  <c r="H22428" i="16"/>
  <c r="H22429" i="16"/>
  <c r="H22430" i="16"/>
  <c r="H22431" i="16"/>
  <c r="H22432" i="16"/>
  <c r="H22433" i="16"/>
  <c r="H22434" i="16"/>
  <c r="H22435" i="16"/>
  <c r="H22436" i="16"/>
  <c r="H22437" i="16"/>
  <c r="H22438" i="16"/>
  <c r="H22439" i="16"/>
  <c r="H22440" i="16"/>
  <c r="H22441" i="16"/>
  <c r="H22442" i="16"/>
  <c r="H22443" i="16"/>
  <c r="H22444" i="16"/>
  <c r="H22445" i="16"/>
  <c r="H22446" i="16"/>
  <c r="H22447" i="16"/>
  <c r="H22448" i="16"/>
  <c r="H22449" i="16"/>
  <c r="H22450" i="16"/>
  <c r="H22451" i="16"/>
  <c r="H22452" i="16"/>
  <c r="H22453" i="16"/>
  <c r="H22454" i="16"/>
  <c r="H22455" i="16"/>
  <c r="H22456" i="16"/>
  <c r="H22457" i="16"/>
  <c r="H22458" i="16"/>
  <c r="H22459" i="16"/>
  <c r="H22460" i="16"/>
  <c r="H22461" i="16"/>
  <c r="H22462" i="16"/>
  <c r="H22463" i="16"/>
  <c r="H22464" i="16"/>
  <c r="H22465" i="16"/>
  <c r="H22466" i="16"/>
  <c r="H22467" i="16"/>
  <c r="H22468" i="16"/>
  <c r="H22469" i="16"/>
  <c r="H22470" i="16"/>
  <c r="H22471" i="16"/>
  <c r="H22472" i="16"/>
  <c r="H22473" i="16"/>
  <c r="H22474" i="16"/>
  <c r="H22475" i="16"/>
  <c r="H22476" i="16"/>
  <c r="H22477" i="16"/>
  <c r="H22478" i="16"/>
  <c r="H22479" i="16"/>
  <c r="H22480" i="16"/>
  <c r="H22481" i="16"/>
  <c r="H22482" i="16"/>
  <c r="H22483" i="16"/>
  <c r="H22484" i="16"/>
  <c r="H22485" i="16"/>
  <c r="H22486" i="16"/>
  <c r="H22487" i="16"/>
  <c r="H22488" i="16"/>
  <c r="H22489" i="16"/>
  <c r="H22490" i="16"/>
  <c r="H22491" i="16"/>
  <c r="H22492" i="16"/>
  <c r="H22493" i="16"/>
  <c r="H22494" i="16"/>
  <c r="H22495" i="16"/>
  <c r="H22496" i="16"/>
  <c r="H22497" i="16"/>
  <c r="H22498" i="16"/>
  <c r="H22499" i="16"/>
  <c r="H22500" i="16"/>
  <c r="H22501" i="16"/>
  <c r="H22502" i="16"/>
  <c r="H22503" i="16"/>
  <c r="H22504" i="16"/>
  <c r="H22505" i="16"/>
  <c r="H22506" i="16"/>
  <c r="H22507" i="16"/>
  <c r="H22508" i="16"/>
  <c r="H22509" i="16"/>
  <c r="H22510" i="16"/>
  <c r="H22511" i="16"/>
  <c r="H22512" i="16"/>
  <c r="H22513" i="16"/>
  <c r="H22514" i="16"/>
  <c r="H22515" i="16"/>
  <c r="H22516" i="16"/>
  <c r="H22517" i="16"/>
  <c r="H22518" i="16"/>
  <c r="H22519" i="16"/>
  <c r="H22520" i="16"/>
  <c r="H22521" i="16"/>
  <c r="H22522" i="16"/>
  <c r="H22523" i="16"/>
  <c r="H22524" i="16"/>
  <c r="H22525" i="16"/>
  <c r="H22526" i="16"/>
  <c r="H22527" i="16"/>
  <c r="H22528" i="16"/>
  <c r="H22529" i="16"/>
  <c r="H22530" i="16"/>
  <c r="H22531" i="16"/>
  <c r="H22532" i="16"/>
  <c r="H22533" i="16"/>
  <c r="H22534" i="16"/>
  <c r="H22535" i="16"/>
  <c r="H22536" i="16"/>
  <c r="H22537" i="16"/>
  <c r="H22538" i="16"/>
  <c r="H22539" i="16"/>
  <c r="H22540" i="16"/>
  <c r="H22541" i="16"/>
  <c r="H22542" i="16"/>
  <c r="H22543" i="16"/>
  <c r="H22544" i="16"/>
  <c r="H22545" i="16"/>
  <c r="H22546" i="16"/>
  <c r="H22547" i="16"/>
  <c r="H22548" i="16"/>
  <c r="H22549" i="16"/>
  <c r="H22550" i="16"/>
  <c r="H22551" i="16"/>
  <c r="H22552" i="16"/>
  <c r="H22553" i="16"/>
  <c r="H22554" i="16"/>
  <c r="H22555" i="16"/>
  <c r="H22556" i="16"/>
  <c r="H22557" i="16"/>
  <c r="H22558" i="16"/>
  <c r="H22559" i="16"/>
  <c r="H22560" i="16"/>
  <c r="H22561" i="16"/>
  <c r="H22562" i="16"/>
  <c r="H22563" i="16"/>
  <c r="H22564" i="16"/>
  <c r="H22565" i="16"/>
  <c r="H22566" i="16"/>
  <c r="H22567" i="16"/>
  <c r="H22568" i="16"/>
  <c r="H22569" i="16"/>
  <c r="H22570" i="16"/>
  <c r="H22571" i="16"/>
  <c r="H22572" i="16"/>
  <c r="H22573" i="16"/>
  <c r="H22574" i="16"/>
  <c r="H22575" i="16"/>
  <c r="H22576" i="16"/>
  <c r="H22577" i="16"/>
  <c r="H22578" i="16"/>
  <c r="H22579" i="16"/>
  <c r="H22580" i="16"/>
  <c r="H22581" i="16"/>
  <c r="H22582" i="16"/>
  <c r="H22583" i="16"/>
  <c r="H22584" i="16"/>
  <c r="H22585" i="16"/>
  <c r="H22586" i="16"/>
  <c r="H22587" i="16"/>
  <c r="H22588" i="16"/>
  <c r="H22589" i="16"/>
  <c r="H22590" i="16"/>
  <c r="H22591" i="16"/>
  <c r="H22592" i="16"/>
  <c r="H22593" i="16"/>
  <c r="H22594" i="16"/>
  <c r="H22595" i="16"/>
  <c r="H22596" i="16"/>
  <c r="H22597" i="16"/>
  <c r="H22598" i="16"/>
  <c r="H22599" i="16"/>
  <c r="H22600" i="16"/>
  <c r="H22601" i="16"/>
  <c r="H22602" i="16"/>
  <c r="H22603" i="16"/>
  <c r="H22604" i="16"/>
  <c r="H22605" i="16"/>
  <c r="H22606" i="16"/>
  <c r="H22607" i="16"/>
  <c r="H22608" i="16"/>
  <c r="H22609" i="16"/>
  <c r="H22610" i="16"/>
  <c r="H22611" i="16"/>
  <c r="H22612" i="16"/>
  <c r="H22613" i="16"/>
  <c r="H22614" i="16"/>
  <c r="H22615" i="16"/>
  <c r="H22616" i="16"/>
  <c r="H22617" i="16"/>
  <c r="H22618" i="16"/>
  <c r="H22619" i="16"/>
  <c r="H22620" i="16"/>
  <c r="H22621" i="16"/>
  <c r="H22622" i="16"/>
  <c r="H22623" i="16"/>
  <c r="H22624" i="16"/>
  <c r="H22625" i="16"/>
  <c r="H22626" i="16"/>
  <c r="H22627" i="16"/>
  <c r="H22628" i="16"/>
  <c r="H22629" i="16"/>
  <c r="H22630" i="16"/>
  <c r="H22631" i="16"/>
  <c r="H22632" i="16"/>
  <c r="H22633" i="16"/>
  <c r="H22634" i="16"/>
  <c r="H22635" i="16"/>
  <c r="H22636" i="16"/>
  <c r="H22637" i="16"/>
  <c r="H22638" i="16"/>
  <c r="H22639" i="16"/>
  <c r="H22640" i="16"/>
  <c r="H22641" i="16"/>
  <c r="H22642" i="16"/>
  <c r="H22643" i="16"/>
  <c r="H22644" i="16"/>
  <c r="H22645" i="16"/>
  <c r="H22646" i="16"/>
  <c r="H22647" i="16"/>
  <c r="H22648" i="16"/>
  <c r="H22649" i="16"/>
  <c r="H22650" i="16"/>
  <c r="H22651" i="16"/>
  <c r="H22652" i="16"/>
  <c r="H22653" i="16"/>
  <c r="H22654" i="16"/>
  <c r="H22655" i="16"/>
  <c r="H22656" i="16"/>
  <c r="H22657" i="16"/>
  <c r="H22658" i="16"/>
  <c r="H22659" i="16"/>
  <c r="H22660" i="16"/>
  <c r="H22661" i="16"/>
  <c r="H22662" i="16"/>
  <c r="H22663" i="16"/>
  <c r="H22664" i="16"/>
  <c r="H22665" i="16"/>
  <c r="H22666" i="16"/>
  <c r="H22667" i="16"/>
  <c r="H22668" i="16"/>
  <c r="H22669" i="16"/>
  <c r="H22670" i="16"/>
  <c r="H22671" i="16"/>
  <c r="H22672" i="16"/>
  <c r="H22673" i="16"/>
  <c r="H22674" i="16"/>
  <c r="H22675" i="16"/>
  <c r="H22676" i="16"/>
  <c r="H22677" i="16"/>
  <c r="H22678" i="16"/>
  <c r="H22679" i="16"/>
  <c r="H22680" i="16"/>
  <c r="H22681" i="16"/>
  <c r="H22682" i="16"/>
  <c r="H22683" i="16"/>
  <c r="H22684" i="16"/>
  <c r="H22685" i="16"/>
  <c r="H22686" i="16"/>
  <c r="H22687" i="16"/>
  <c r="H22688" i="16"/>
  <c r="H22689" i="16"/>
  <c r="H22690" i="16"/>
  <c r="H22691" i="16"/>
  <c r="H22692" i="16"/>
  <c r="H22693" i="16"/>
  <c r="H22694" i="16"/>
  <c r="H22695" i="16"/>
  <c r="H22696" i="16"/>
  <c r="H22697" i="16"/>
  <c r="H22698" i="16"/>
  <c r="H22699" i="16"/>
  <c r="H22700" i="16"/>
  <c r="H22701" i="16"/>
  <c r="H22702" i="16"/>
  <c r="H22703" i="16"/>
  <c r="H22704" i="16"/>
  <c r="H22705" i="16"/>
  <c r="H22706" i="16"/>
  <c r="H22707" i="16"/>
  <c r="H22708" i="16"/>
  <c r="H22709" i="16"/>
  <c r="H22710" i="16"/>
  <c r="H22711" i="16"/>
  <c r="H22712" i="16"/>
  <c r="H22713" i="16"/>
  <c r="H22714" i="16"/>
  <c r="H22715" i="16"/>
  <c r="H22716" i="16"/>
  <c r="H22717" i="16"/>
  <c r="H22718" i="16"/>
  <c r="H22719" i="16"/>
  <c r="H22720" i="16"/>
  <c r="H22721" i="16"/>
  <c r="H22722" i="16"/>
  <c r="H22723" i="16"/>
  <c r="H22724" i="16"/>
  <c r="H22725" i="16"/>
  <c r="H22726" i="16"/>
  <c r="H22727" i="16"/>
  <c r="H22728" i="16"/>
  <c r="H22729" i="16"/>
  <c r="H22730" i="16"/>
  <c r="H22731" i="16"/>
  <c r="H22732" i="16"/>
  <c r="H22733" i="16"/>
  <c r="H22734" i="16"/>
  <c r="H22735" i="16"/>
  <c r="H22736" i="16"/>
  <c r="H22737" i="16"/>
  <c r="H22738" i="16"/>
  <c r="H22739" i="16"/>
  <c r="H22740" i="16"/>
  <c r="H22741" i="16"/>
  <c r="H22742" i="16"/>
  <c r="H22743" i="16"/>
  <c r="H22744" i="16"/>
  <c r="H22745" i="16"/>
  <c r="H22746" i="16"/>
  <c r="H22747" i="16"/>
  <c r="H22748" i="16"/>
  <c r="H22749" i="16"/>
  <c r="H22750" i="16"/>
  <c r="H22751" i="16"/>
  <c r="H22752" i="16"/>
  <c r="H22753" i="16"/>
  <c r="H22754" i="16"/>
  <c r="H22755" i="16"/>
  <c r="H22756" i="16"/>
  <c r="H22757" i="16"/>
  <c r="H22758" i="16"/>
  <c r="H22759" i="16"/>
  <c r="H22760" i="16"/>
  <c r="H22761" i="16"/>
  <c r="H22762" i="16"/>
  <c r="H22763" i="16"/>
  <c r="H22764" i="16"/>
  <c r="H22765" i="16"/>
  <c r="H22766" i="16"/>
  <c r="H22767" i="16"/>
  <c r="H22768" i="16"/>
  <c r="H22769" i="16"/>
  <c r="H22770" i="16"/>
  <c r="H22771" i="16"/>
  <c r="H22772" i="16"/>
  <c r="H22773" i="16"/>
  <c r="H22774" i="16"/>
  <c r="H22775" i="16"/>
  <c r="H22776" i="16"/>
  <c r="H22777" i="16"/>
  <c r="H22778" i="16"/>
  <c r="H22779" i="16"/>
  <c r="H22780" i="16"/>
  <c r="H22781" i="16"/>
  <c r="H22782" i="16"/>
  <c r="H22783" i="16"/>
  <c r="H22784" i="16"/>
  <c r="H22785" i="16"/>
  <c r="H22786" i="16"/>
  <c r="H22787" i="16"/>
  <c r="H22788" i="16"/>
  <c r="H22789" i="16"/>
  <c r="H22790" i="16"/>
  <c r="H22791" i="16"/>
  <c r="H22792" i="16"/>
  <c r="H22793" i="16"/>
  <c r="H22794" i="16"/>
  <c r="H22795" i="16"/>
  <c r="H22796" i="16"/>
  <c r="H22797" i="16"/>
  <c r="H22798" i="16"/>
  <c r="H22799" i="16"/>
  <c r="H22800" i="16"/>
  <c r="H22801" i="16"/>
  <c r="H22802" i="16"/>
  <c r="H22803" i="16"/>
  <c r="H22804" i="16"/>
  <c r="H22805" i="16"/>
  <c r="H22806" i="16"/>
  <c r="H22807" i="16"/>
  <c r="H22808" i="16"/>
  <c r="H22809" i="16"/>
  <c r="H22810" i="16"/>
  <c r="H22811" i="16"/>
  <c r="H22812" i="16"/>
  <c r="H22813" i="16"/>
  <c r="H22814" i="16"/>
  <c r="H22815" i="16"/>
  <c r="H22816" i="16"/>
  <c r="H22817" i="16"/>
  <c r="H22818" i="16"/>
  <c r="H22819" i="16"/>
  <c r="H22820" i="16"/>
  <c r="H22821" i="16"/>
  <c r="H22822" i="16"/>
  <c r="H22823" i="16"/>
  <c r="H22824" i="16"/>
  <c r="H22825" i="16"/>
  <c r="H22826" i="16"/>
  <c r="H22827" i="16"/>
  <c r="H22828" i="16"/>
  <c r="H22829" i="16"/>
  <c r="H22830" i="16"/>
  <c r="H22831" i="16"/>
  <c r="H22832" i="16"/>
  <c r="H22833" i="16"/>
  <c r="H22834" i="16"/>
  <c r="H22835" i="16"/>
  <c r="H22836" i="16"/>
  <c r="H22837" i="16"/>
  <c r="H22838" i="16"/>
  <c r="H22839" i="16"/>
  <c r="H22840" i="16"/>
  <c r="H22841" i="16"/>
  <c r="H22842" i="16"/>
  <c r="H22843" i="16"/>
  <c r="H22844" i="16"/>
  <c r="H22845" i="16"/>
  <c r="H22846" i="16"/>
  <c r="H22847" i="16"/>
  <c r="H22848" i="16"/>
  <c r="H22849" i="16"/>
  <c r="H22850" i="16"/>
  <c r="H22851" i="16"/>
  <c r="H22852" i="16"/>
  <c r="H22853" i="16"/>
  <c r="H22854" i="16"/>
  <c r="H22855" i="16"/>
  <c r="H22856" i="16"/>
  <c r="H22857" i="16"/>
  <c r="H22858" i="16"/>
  <c r="H22859" i="16"/>
  <c r="H22860" i="16"/>
  <c r="H22861" i="16"/>
  <c r="H22862" i="16"/>
  <c r="H22863" i="16"/>
  <c r="H22864" i="16"/>
  <c r="H22865" i="16"/>
  <c r="H22866" i="16"/>
  <c r="H22867" i="16"/>
  <c r="H22868" i="16"/>
  <c r="H22869" i="16"/>
  <c r="H22870" i="16"/>
  <c r="H22871" i="16"/>
  <c r="H22872" i="16"/>
  <c r="H22873" i="16"/>
  <c r="H22874" i="16"/>
  <c r="H22875" i="16"/>
  <c r="H22876" i="16"/>
  <c r="H22877" i="16"/>
  <c r="H22878" i="16"/>
  <c r="H22879" i="16"/>
  <c r="H22880" i="16"/>
  <c r="H22881" i="16"/>
  <c r="H22882" i="16"/>
  <c r="H22883" i="16"/>
  <c r="H22884" i="16"/>
  <c r="H22885" i="16"/>
  <c r="H22886" i="16"/>
  <c r="H22887" i="16"/>
  <c r="H22888" i="16"/>
  <c r="H22889" i="16"/>
  <c r="H22890" i="16"/>
  <c r="H22891" i="16"/>
  <c r="H22892" i="16"/>
  <c r="H22893" i="16"/>
  <c r="H22894" i="16"/>
  <c r="H22895" i="16"/>
  <c r="H22896" i="16"/>
  <c r="H22897" i="16"/>
  <c r="H22898" i="16"/>
  <c r="H22899" i="16"/>
  <c r="H22900" i="16"/>
  <c r="H22901" i="16"/>
  <c r="H22902" i="16"/>
  <c r="H22903" i="16"/>
  <c r="H22904" i="16"/>
  <c r="H22905" i="16"/>
  <c r="H22906" i="16"/>
  <c r="H22907" i="16"/>
  <c r="H22908" i="16"/>
  <c r="H22909" i="16"/>
  <c r="H22910" i="16"/>
  <c r="H22911" i="16"/>
  <c r="H22912" i="16"/>
  <c r="H22913" i="16"/>
  <c r="H22914" i="16"/>
  <c r="H22915" i="16"/>
  <c r="H22916" i="16"/>
  <c r="H22917" i="16"/>
  <c r="H22918" i="16"/>
  <c r="H22919" i="16"/>
  <c r="H22920" i="16"/>
  <c r="H22921" i="16"/>
  <c r="H22922" i="16"/>
  <c r="H22923" i="16"/>
  <c r="H22924" i="16"/>
  <c r="H22925" i="16"/>
  <c r="H22926" i="16"/>
  <c r="H22927" i="16"/>
  <c r="H22928" i="16"/>
  <c r="H22929" i="16"/>
  <c r="H22930" i="16"/>
  <c r="H22931" i="16"/>
  <c r="H22932" i="16"/>
  <c r="H22933" i="16"/>
  <c r="H22934" i="16"/>
  <c r="H22935" i="16"/>
  <c r="H22936" i="16"/>
  <c r="H22937" i="16"/>
  <c r="H22938" i="16"/>
  <c r="H22939" i="16"/>
  <c r="H22940" i="16"/>
  <c r="H22941" i="16"/>
  <c r="H22942" i="16"/>
  <c r="H22943" i="16"/>
  <c r="H22944" i="16"/>
  <c r="H22945" i="16"/>
  <c r="H22946" i="16"/>
  <c r="H22947" i="16"/>
  <c r="H22948" i="16"/>
  <c r="H22949" i="16"/>
  <c r="H22950" i="16"/>
  <c r="H22951" i="16"/>
  <c r="H22952" i="16"/>
  <c r="H22953" i="16"/>
  <c r="H22954" i="16"/>
  <c r="H22955" i="16"/>
  <c r="H22956" i="16"/>
  <c r="H22957" i="16"/>
  <c r="H22958" i="16"/>
  <c r="H22959" i="16"/>
  <c r="H22960" i="16"/>
  <c r="H22961" i="16"/>
  <c r="H22962" i="16"/>
  <c r="H22963" i="16"/>
  <c r="H22964" i="16"/>
  <c r="H22965" i="16"/>
  <c r="H22966" i="16"/>
  <c r="H22967" i="16"/>
  <c r="H22968" i="16"/>
  <c r="H22969" i="16"/>
  <c r="H22970" i="16"/>
  <c r="H22971" i="16"/>
  <c r="H22972" i="16"/>
  <c r="H22973" i="16"/>
  <c r="H22974" i="16"/>
  <c r="H22975" i="16"/>
  <c r="H22976" i="16"/>
  <c r="H22977" i="16"/>
  <c r="H22978" i="16"/>
  <c r="H22979" i="16"/>
  <c r="H22980" i="16"/>
  <c r="H22981" i="16"/>
  <c r="H22982" i="16"/>
  <c r="H22983" i="16"/>
  <c r="H22984" i="16"/>
  <c r="H22985" i="16"/>
  <c r="H22986" i="16"/>
  <c r="H22987" i="16"/>
  <c r="H22988" i="16"/>
  <c r="H22989" i="16"/>
  <c r="H22990" i="16"/>
  <c r="H22991" i="16"/>
  <c r="H22992" i="16"/>
  <c r="H22993" i="16"/>
  <c r="H22994" i="16"/>
  <c r="H22995" i="16"/>
  <c r="H22996" i="16"/>
  <c r="H22997" i="16"/>
  <c r="H22998" i="16"/>
  <c r="H22999" i="16"/>
  <c r="H23000" i="16"/>
  <c r="H23001" i="16"/>
  <c r="H23002" i="16"/>
  <c r="H23003" i="16"/>
  <c r="H23004" i="16"/>
  <c r="H23005" i="16"/>
  <c r="H23006" i="16"/>
  <c r="H23007" i="16"/>
  <c r="H23008" i="16"/>
  <c r="H23009" i="16"/>
  <c r="H23010" i="16"/>
  <c r="H23011" i="16"/>
  <c r="H23012" i="16"/>
  <c r="H23013" i="16"/>
  <c r="H23014" i="16"/>
  <c r="H23015" i="16"/>
  <c r="H23016" i="16"/>
  <c r="H23017" i="16"/>
  <c r="H23018" i="16"/>
  <c r="H23019" i="16"/>
  <c r="H23020" i="16"/>
  <c r="H23021" i="16"/>
  <c r="H23022" i="16"/>
  <c r="H23023" i="16"/>
  <c r="H23024" i="16"/>
  <c r="H23025" i="16"/>
  <c r="H23026" i="16"/>
  <c r="H23027" i="16"/>
  <c r="H23028" i="16"/>
  <c r="H23029" i="16"/>
  <c r="H23030" i="16"/>
  <c r="H23031" i="16"/>
  <c r="H23032" i="16"/>
  <c r="H23033" i="16"/>
  <c r="H23034" i="16"/>
  <c r="H23035" i="16"/>
  <c r="H23036" i="16"/>
  <c r="H23037" i="16"/>
  <c r="H23038" i="16"/>
  <c r="H23039" i="16"/>
  <c r="H23040" i="16"/>
  <c r="H23041" i="16"/>
  <c r="H23042" i="16"/>
  <c r="H23043" i="16"/>
  <c r="H23044" i="16"/>
  <c r="H23045" i="16"/>
  <c r="H23046" i="16"/>
  <c r="H23047" i="16"/>
  <c r="H23048" i="16"/>
  <c r="H23049" i="16"/>
  <c r="H23050" i="16"/>
  <c r="H23051" i="16"/>
  <c r="H23052" i="16"/>
  <c r="H23053" i="16"/>
  <c r="H23054" i="16"/>
  <c r="H23055" i="16"/>
  <c r="H23056" i="16"/>
  <c r="H23057" i="16"/>
  <c r="H23058" i="16"/>
  <c r="H23059" i="16"/>
  <c r="H23060" i="16"/>
  <c r="H23061" i="16"/>
  <c r="H23062" i="16"/>
  <c r="H23063" i="16"/>
  <c r="H23064" i="16"/>
  <c r="H23065" i="16"/>
  <c r="H23066" i="16"/>
  <c r="H23067" i="16"/>
  <c r="H23068" i="16"/>
  <c r="H23069" i="16"/>
  <c r="H23070" i="16"/>
  <c r="H23071" i="16"/>
  <c r="H23072" i="16"/>
  <c r="H23073" i="16"/>
  <c r="H23074" i="16"/>
  <c r="H23075" i="16"/>
  <c r="H23076" i="16"/>
  <c r="H23077" i="16"/>
  <c r="H23078" i="16"/>
  <c r="H23079" i="16"/>
  <c r="H23080" i="16"/>
  <c r="H23081" i="16"/>
  <c r="H23082" i="16"/>
  <c r="H23083" i="16"/>
  <c r="H23084" i="16"/>
  <c r="H23085" i="16"/>
  <c r="H23086" i="16"/>
  <c r="H23087" i="16"/>
  <c r="H23088" i="16"/>
  <c r="H23089" i="16"/>
  <c r="H23090" i="16"/>
  <c r="H23091" i="16"/>
  <c r="H23092" i="16"/>
  <c r="H23093" i="16"/>
  <c r="H23094" i="16"/>
  <c r="H23095" i="16"/>
  <c r="H23096" i="16"/>
  <c r="H23097" i="16"/>
  <c r="H23098" i="16"/>
  <c r="H23099" i="16"/>
  <c r="H23100" i="16"/>
  <c r="H23101" i="16"/>
  <c r="H23102" i="16"/>
  <c r="H23103" i="16"/>
  <c r="H23104" i="16"/>
  <c r="H23105" i="16"/>
  <c r="H23106" i="16"/>
  <c r="H23107" i="16"/>
  <c r="H23108" i="16"/>
  <c r="H23109" i="16"/>
  <c r="H23110" i="16"/>
  <c r="H23111" i="16"/>
  <c r="H23112" i="16"/>
  <c r="H23113" i="16"/>
  <c r="H23114" i="16"/>
  <c r="H23115" i="16"/>
  <c r="H23116" i="16"/>
  <c r="H23117" i="16"/>
  <c r="H23118" i="16"/>
  <c r="H23119" i="16"/>
  <c r="H23120" i="16"/>
  <c r="H23121" i="16"/>
  <c r="H23122" i="16"/>
  <c r="H23123" i="16"/>
  <c r="H23124" i="16"/>
  <c r="H23125" i="16"/>
  <c r="H23126" i="16"/>
  <c r="H23127" i="16"/>
  <c r="H23128" i="16"/>
  <c r="H23129" i="16"/>
  <c r="H23130" i="16"/>
  <c r="H23131" i="16"/>
  <c r="H23132" i="16"/>
  <c r="H23133" i="16"/>
  <c r="H23134" i="16"/>
  <c r="H23135" i="16"/>
  <c r="H23136" i="16"/>
  <c r="H23137" i="16"/>
  <c r="H23138" i="16"/>
  <c r="H23139" i="16"/>
  <c r="H23140" i="16"/>
  <c r="H23141" i="16"/>
  <c r="H23142" i="16"/>
  <c r="H23143" i="16"/>
  <c r="H23144" i="16"/>
  <c r="H23145" i="16"/>
  <c r="H23146" i="16"/>
  <c r="H23147" i="16"/>
  <c r="H23148" i="16"/>
  <c r="H23149" i="16"/>
  <c r="H23150" i="16"/>
  <c r="H23151" i="16"/>
  <c r="H23152" i="16"/>
  <c r="H23153" i="16"/>
  <c r="H23154" i="16"/>
  <c r="H23155" i="16"/>
  <c r="H23156" i="16"/>
  <c r="H23157" i="16"/>
  <c r="H23158" i="16"/>
  <c r="H23159" i="16"/>
  <c r="H23160" i="16"/>
  <c r="H23161" i="16"/>
  <c r="H23162" i="16"/>
  <c r="H23163" i="16"/>
  <c r="H23164" i="16"/>
  <c r="H23165" i="16"/>
  <c r="H23166" i="16"/>
  <c r="H23167" i="16"/>
  <c r="H23168" i="16"/>
  <c r="H23169" i="16"/>
  <c r="H23170" i="16"/>
  <c r="H23171" i="16"/>
  <c r="H23172" i="16"/>
  <c r="H23173" i="16"/>
  <c r="H23174" i="16"/>
  <c r="H23175" i="16"/>
  <c r="H23176" i="16"/>
  <c r="H23177" i="16"/>
  <c r="H23178" i="16"/>
  <c r="H23179" i="16"/>
  <c r="H23180" i="16"/>
  <c r="H23181" i="16"/>
  <c r="H23182" i="16"/>
  <c r="H23183" i="16"/>
  <c r="H23184" i="16"/>
  <c r="H23185" i="16"/>
  <c r="H23186" i="16"/>
  <c r="H23187" i="16"/>
  <c r="H23188" i="16"/>
  <c r="H23189" i="16"/>
  <c r="H23190" i="16"/>
  <c r="H23191" i="16"/>
  <c r="H23192" i="16"/>
  <c r="H23193" i="16"/>
  <c r="H23194" i="16"/>
  <c r="H23195" i="16"/>
  <c r="H23196" i="16"/>
  <c r="H23197" i="16"/>
  <c r="H23198" i="16"/>
  <c r="H23199" i="16"/>
  <c r="H23200" i="16"/>
  <c r="H23201" i="16"/>
  <c r="H23202" i="16"/>
  <c r="H23203" i="16"/>
  <c r="H23204" i="16"/>
  <c r="H23205" i="16"/>
  <c r="H23206" i="16"/>
  <c r="H23207" i="16"/>
  <c r="H23208" i="16"/>
  <c r="H23209" i="16"/>
  <c r="H23210" i="16"/>
  <c r="H23211" i="16"/>
  <c r="H23212" i="16"/>
  <c r="H23213" i="16"/>
  <c r="H23214" i="16"/>
  <c r="H23215" i="16"/>
  <c r="H23216" i="16"/>
  <c r="H23217" i="16"/>
  <c r="H23218" i="16"/>
  <c r="H23219" i="16"/>
  <c r="H23220" i="16"/>
  <c r="H23221" i="16"/>
  <c r="H23222" i="16"/>
  <c r="H23223" i="16"/>
  <c r="H23224" i="16"/>
  <c r="H23225" i="16"/>
  <c r="H23226" i="16"/>
  <c r="H23227" i="16"/>
  <c r="H23228" i="16"/>
  <c r="H23229" i="16"/>
  <c r="H23230" i="16"/>
  <c r="H23231" i="16"/>
  <c r="H23232" i="16"/>
  <c r="H23233" i="16"/>
  <c r="H23234" i="16"/>
  <c r="H23235" i="16"/>
  <c r="H23236" i="16"/>
  <c r="H23237" i="16"/>
  <c r="H23238" i="16"/>
  <c r="H23239" i="16"/>
  <c r="H23240" i="16"/>
  <c r="H23241" i="16"/>
  <c r="H23242" i="16"/>
  <c r="H23243" i="16"/>
  <c r="H23244" i="16"/>
  <c r="H23245" i="16"/>
  <c r="H23246" i="16"/>
  <c r="H23247" i="16"/>
  <c r="H23248" i="16"/>
  <c r="H23249" i="16"/>
  <c r="H23250" i="16"/>
  <c r="H23251" i="16"/>
  <c r="H23252" i="16"/>
  <c r="H23253" i="16"/>
  <c r="H23254" i="16"/>
  <c r="H23255" i="16"/>
  <c r="H23256" i="16"/>
  <c r="H23257" i="16"/>
  <c r="H23258" i="16"/>
  <c r="H23259" i="16"/>
  <c r="H23260" i="16"/>
  <c r="H23261" i="16"/>
  <c r="H23262" i="16"/>
  <c r="H23263" i="16"/>
  <c r="H23264" i="16"/>
  <c r="H23265" i="16"/>
  <c r="H23266" i="16"/>
  <c r="H23267" i="16"/>
  <c r="H23268" i="16"/>
  <c r="H23269" i="16"/>
  <c r="H23270" i="16"/>
  <c r="H23271" i="16"/>
  <c r="H23272" i="16"/>
  <c r="H23273" i="16"/>
  <c r="H23274" i="16"/>
  <c r="H23275" i="16"/>
  <c r="H23276" i="16"/>
  <c r="H23277" i="16"/>
  <c r="H23278" i="16"/>
  <c r="H23279" i="16"/>
  <c r="H23280" i="16"/>
  <c r="H23281" i="16"/>
  <c r="H23282" i="16"/>
  <c r="H23283" i="16"/>
  <c r="H23284" i="16"/>
  <c r="H23285" i="16"/>
  <c r="H23286" i="16"/>
  <c r="H23287" i="16"/>
  <c r="H23288" i="16"/>
  <c r="H23289" i="16"/>
  <c r="H23290" i="16"/>
  <c r="H23291" i="16"/>
  <c r="H23292" i="16"/>
  <c r="H23293" i="16"/>
  <c r="H23294" i="16"/>
  <c r="H23295" i="16"/>
  <c r="H23296" i="16"/>
  <c r="H23297" i="16"/>
  <c r="H23298" i="16"/>
  <c r="H23299" i="16"/>
  <c r="H23300" i="16"/>
  <c r="H23301" i="16"/>
  <c r="H23302" i="16"/>
  <c r="H23303" i="16"/>
  <c r="H23304" i="16"/>
  <c r="H23305" i="16"/>
  <c r="H23306" i="16"/>
  <c r="H23307" i="16"/>
  <c r="H23308" i="16"/>
  <c r="H23309" i="16"/>
  <c r="H23310" i="16"/>
  <c r="H23311" i="16"/>
  <c r="H23312" i="16"/>
  <c r="H23313" i="16"/>
  <c r="H23314" i="16"/>
  <c r="H23315" i="16"/>
  <c r="H23316" i="16"/>
  <c r="H23317" i="16"/>
  <c r="H23318" i="16"/>
  <c r="H23319" i="16"/>
  <c r="H23320" i="16"/>
  <c r="H23321" i="16"/>
  <c r="H23322" i="16"/>
  <c r="H23323" i="16"/>
  <c r="H23324" i="16"/>
  <c r="H23325" i="16"/>
  <c r="H23326" i="16"/>
  <c r="H23327" i="16"/>
  <c r="H23328" i="16"/>
  <c r="H23329" i="16"/>
  <c r="H23330" i="16"/>
  <c r="H23331" i="16"/>
  <c r="H23332" i="16"/>
  <c r="H23333" i="16"/>
  <c r="H23334" i="16"/>
  <c r="H23335" i="16"/>
  <c r="H23336" i="16"/>
  <c r="H23337" i="16"/>
  <c r="H23338" i="16"/>
  <c r="H23339" i="16"/>
  <c r="H23340" i="16"/>
  <c r="H23341" i="16"/>
  <c r="H23342" i="16"/>
  <c r="H23343" i="16"/>
  <c r="H23344" i="16"/>
  <c r="H23345" i="16"/>
  <c r="H23346" i="16"/>
  <c r="H23347" i="16"/>
  <c r="H23348" i="16"/>
  <c r="H23349" i="16"/>
  <c r="H23350" i="16"/>
  <c r="H23351" i="16"/>
  <c r="H23352" i="16"/>
  <c r="H23353" i="16"/>
  <c r="H23354" i="16"/>
  <c r="H23355" i="16"/>
  <c r="H23356" i="16"/>
  <c r="H23357" i="16"/>
  <c r="H23358" i="16"/>
  <c r="H23359" i="16"/>
  <c r="H23360" i="16"/>
  <c r="H23361" i="16"/>
  <c r="H23362" i="16"/>
  <c r="H23363" i="16"/>
  <c r="H23364" i="16"/>
  <c r="H23365" i="16"/>
  <c r="H23366" i="16"/>
  <c r="H23367" i="16"/>
  <c r="H23368" i="16"/>
  <c r="H23369" i="16"/>
  <c r="H23370" i="16"/>
  <c r="H23371" i="16"/>
  <c r="H23372" i="16"/>
  <c r="H23373" i="16"/>
  <c r="H23374" i="16"/>
  <c r="H23375" i="16"/>
  <c r="H23376" i="16"/>
  <c r="H23377" i="16"/>
  <c r="H23378" i="16"/>
  <c r="H23379" i="16"/>
  <c r="H23380" i="16"/>
  <c r="H23381" i="16"/>
  <c r="H23382" i="16"/>
  <c r="H23383" i="16"/>
  <c r="H23384" i="16"/>
  <c r="H23385" i="16"/>
  <c r="H23386" i="16"/>
  <c r="H23387" i="16"/>
  <c r="H23388" i="16"/>
  <c r="H23389" i="16"/>
  <c r="H23390" i="16"/>
  <c r="H23391" i="16"/>
  <c r="H23392" i="16"/>
  <c r="H23393" i="16"/>
  <c r="H23394" i="16"/>
  <c r="H23395" i="16"/>
  <c r="H23396" i="16"/>
  <c r="H23397" i="16"/>
  <c r="H23398" i="16"/>
  <c r="H23399" i="16"/>
  <c r="H23400" i="16"/>
  <c r="H23401" i="16"/>
  <c r="H23402" i="16"/>
  <c r="H23403" i="16"/>
  <c r="H23404" i="16"/>
  <c r="H23405" i="16"/>
  <c r="H23406" i="16"/>
  <c r="H23407" i="16"/>
  <c r="H23408" i="16"/>
  <c r="H23409" i="16"/>
  <c r="H23410" i="16"/>
  <c r="H23411" i="16"/>
  <c r="H23412" i="16"/>
  <c r="H23413" i="16"/>
  <c r="H23414" i="16"/>
  <c r="H23415" i="16"/>
  <c r="H23416" i="16"/>
  <c r="H23417" i="16"/>
  <c r="H23418" i="16"/>
  <c r="H23419" i="16"/>
  <c r="H23420" i="16"/>
  <c r="H23421" i="16"/>
  <c r="H23422" i="16"/>
  <c r="H23423" i="16"/>
  <c r="H23424" i="16"/>
  <c r="H23425" i="16"/>
  <c r="H23426" i="16"/>
  <c r="H23427" i="16"/>
  <c r="H23428" i="16"/>
  <c r="H23429" i="16"/>
  <c r="H23430" i="16"/>
  <c r="H23431" i="16"/>
  <c r="H23432" i="16"/>
  <c r="H23433" i="16"/>
  <c r="H23434" i="16"/>
  <c r="H23435" i="16"/>
  <c r="H23436" i="16"/>
  <c r="H23437" i="16"/>
  <c r="H23438" i="16"/>
  <c r="H23439" i="16"/>
  <c r="H23440" i="16"/>
  <c r="H23441" i="16"/>
  <c r="H23442" i="16"/>
  <c r="H23443" i="16"/>
  <c r="H23444" i="16"/>
  <c r="H23445" i="16"/>
  <c r="H23446" i="16"/>
  <c r="H23447" i="16"/>
  <c r="H23448" i="16"/>
  <c r="H23449" i="16"/>
  <c r="H23450" i="16"/>
  <c r="H23451" i="16"/>
  <c r="H23452" i="16"/>
  <c r="H23453" i="16"/>
  <c r="H23454" i="16"/>
  <c r="H23455" i="16"/>
  <c r="H23456" i="16"/>
  <c r="H23457" i="16"/>
  <c r="H23458" i="16"/>
  <c r="H23459" i="16"/>
  <c r="H23460" i="16"/>
  <c r="H23461" i="16"/>
  <c r="H23462" i="16"/>
  <c r="H23463" i="16"/>
  <c r="H23464" i="16"/>
  <c r="H23465" i="16"/>
  <c r="H23466" i="16"/>
  <c r="H23467" i="16"/>
  <c r="H23468" i="16"/>
  <c r="H23469" i="16"/>
  <c r="H23470" i="16"/>
  <c r="H23471" i="16"/>
  <c r="H23472" i="16"/>
  <c r="H23473" i="16"/>
  <c r="H23474" i="16"/>
  <c r="H23475" i="16"/>
  <c r="H23476" i="16"/>
  <c r="H23477" i="16"/>
  <c r="H23478" i="16"/>
  <c r="H23479" i="16"/>
  <c r="H23480" i="16"/>
  <c r="H23481" i="16"/>
  <c r="H23482" i="16"/>
  <c r="H23483" i="16"/>
  <c r="H23484" i="16"/>
  <c r="H23485" i="16"/>
  <c r="H23486" i="16"/>
  <c r="H23487" i="16"/>
  <c r="H23488" i="16"/>
  <c r="H23489" i="16"/>
  <c r="H23490" i="16"/>
  <c r="H23491" i="16"/>
  <c r="H23492" i="16"/>
  <c r="H23493" i="16"/>
  <c r="H23494" i="16"/>
  <c r="H23495" i="16"/>
  <c r="H23496" i="16"/>
  <c r="H23497" i="16"/>
  <c r="H23498" i="16"/>
  <c r="H23499" i="16"/>
  <c r="H23500" i="16"/>
  <c r="H23501" i="16"/>
  <c r="H23502" i="16"/>
  <c r="H23503" i="16"/>
  <c r="H23504" i="16"/>
  <c r="H23505" i="16"/>
  <c r="H23506" i="16"/>
  <c r="H23507" i="16"/>
  <c r="H23508" i="16"/>
  <c r="H23509" i="16"/>
  <c r="H23510" i="16"/>
  <c r="H23511" i="16"/>
  <c r="H23512" i="16"/>
  <c r="H23513" i="16"/>
  <c r="H23514" i="16"/>
  <c r="H23515" i="16"/>
  <c r="H23516" i="16"/>
  <c r="H23517" i="16"/>
  <c r="H23518" i="16"/>
  <c r="H23519" i="16"/>
  <c r="H23520" i="16"/>
  <c r="H23521" i="16"/>
  <c r="H23522" i="16"/>
  <c r="H23523" i="16"/>
  <c r="H23524" i="16"/>
  <c r="H23525" i="16"/>
  <c r="H23526" i="16"/>
  <c r="H23527" i="16"/>
  <c r="H23528" i="16"/>
  <c r="H23529" i="16"/>
  <c r="H23530" i="16"/>
  <c r="H23531" i="16"/>
  <c r="H23532" i="16"/>
  <c r="H23533" i="16"/>
  <c r="H23534" i="16"/>
  <c r="H23535" i="16"/>
  <c r="H23536" i="16"/>
  <c r="H23537" i="16"/>
  <c r="H23538" i="16"/>
  <c r="H23539" i="16"/>
  <c r="H23540" i="16"/>
  <c r="H23541" i="16"/>
  <c r="H23542" i="16"/>
  <c r="H23543" i="16"/>
  <c r="H23544" i="16"/>
  <c r="H23545" i="16"/>
  <c r="H23546" i="16"/>
  <c r="H23547" i="16"/>
  <c r="H23548" i="16"/>
  <c r="H23549" i="16"/>
  <c r="H23550" i="16"/>
  <c r="H23551" i="16"/>
  <c r="H23552" i="16"/>
  <c r="H23553" i="16"/>
  <c r="H23554" i="16"/>
  <c r="H23555" i="16"/>
  <c r="H23556" i="16"/>
  <c r="H23557" i="16"/>
  <c r="H23558" i="16"/>
  <c r="H23559" i="16"/>
  <c r="H23560" i="16"/>
  <c r="H23561" i="16"/>
  <c r="H23562" i="16"/>
  <c r="H23563" i="16"/>
  <c r="H23564" i="16"/>
  <c r="H23565" i="16"/>
  <c r="H23566" i="16"/>
  <c r="H23567" i="16"/>
  <c r="H23568" i="16"/>
  <c r="H23569" i="16"/>
  <c r="H23570" i="16"/>
  <c r="H23571" i="16"/>
  <c r="H23572" i="16"/>
  <c r="H23573" i="16"/>
  <c r="H23574" i="16"/>
  <c r="H23575" i="16"/>
  <c r="H23576" i="16"/>
  <c r="H23577" i="16"/>
  <c r="H23578" i="16"/>
  <c r="H23579" i="16"/>
  <c r="H23580" i="16"/>
  <c r="H23581" i="16"/>
  <c r="H23582" i="16"/>
  <c r="H23583" i="16"/>
  <c r="H23584" i="16"/>
  <c r="H23585" i="16"/>
  <c r="H23586" i="16"/>
  <c r="H23587" i="16"/>
  <c r="H23588" i="16"/>
  <c r="H23589" i="16"/>
  <c r="H23590" i="16"/>
  <c r="H23591" i="16"/>
  <c r="H23592" i="16"/>
  <c r="H23593" i="16"/>
  <c r="H23594" i="16"/>
  <c r="H23595" i="16"/>
  <c r="H23596" i="16"/>
  <c r="H23597" i="16"/>
  <c r="H23598" i="16"/>
  <c r="H23599" i="16"/>
  <c r="H23600" i="16"/>
  <c r="H23601" i="16"/>
  <c r="H23602" i="16"/>
  <c r="H23603" i="16"/>
  <c r="H23604" i="16"/>
  <c r="H23605" i="16"/>
  <c r="H23606" i="16"/>
  <c r="H23607" i="16"/>
  <c r="H23608" i="16"/>
  <c r="H23609" i="16"/>
  <c r="H23610" i="16"/>
  <c r="H23611" i="16"/>
  <c r="H23612" i="16"/>
  <c r="H23613" i="16"/>
  <c r="H23614" i="16"/>
  <c r="H23615" i="16"/>
  <c r="H23616" i="16"/>
  <c r="H23617" i="16"/>
  <c r="H23618" i="16"/>
  <c r="H23619" i="16"/>
  <c r="H23620" i="16"/>
  <c r="H23621" i="16"/>
  <c r="H23622" i="16"/>
  <c r="H23623" i="16"/>
  <c r="H23624" i="16"/>
  <c r="H23625" i="16"/>
  <c r="H23626" i="16"/>
  <c r="H23627" i="16"/>
  <c r="H23628" i="16"/>
  <c r="H23629" i="16"/>
  <c r="H23630" i="16"/>
  <c r="H23631" i="16"/>
  <c r="H23632" i="16"/>
  <c r="H23633" i="16"/>
  <c r="H23634" i="16"/>
  <c r="H23635" i="16"/>
  <c r="H23636" i="16"/>
  <c r="H23637" i="16"/>
  <c r="H23638" i="16"/>
  <c r="H23639" i="16"/>
  <c r="H23640" i="16"/>
  <c r="H23641" i="16"/>
  <c r="H23642" i="16"/>
  <c r="H23643" i="16"/>
  <c r="H23644" i="16"/>
  <c r="H23645" i="16"/>
  <c r="H23646" i="16"/>
  <c r="H23647" i="16"/>
  <c r="H23648" i="16"/>
  <c r="H23649" i="16"/>
  <c r="H23650" i="16"/>
  <c r="H23651" i="16"/>
  <c r="H23652" i="16"/>
  <c r="H23653" i="16"/>
  <c r="H23654" i="16"/>
  <c r="H23655" i="16"/>
  <c r="H23656" i="16"/>
  <c r="H23657" i="16"/>
  <c r="H23658" i="16"/>
  <c r="H23659" i="16"/>
  <c r="H23660" i="16"/>
  <c r="H23661" i="16"/>
  <c r="H23662" i="16"/>
  <c r="H23663" i="16"/>
  <c r="H23664" i="16"/>
  <c r="H23665" i="16"/>
  <c r="H23666" i="16"/>
  <c r="H23667" i="16"/>
  <c r="H23668" i="16"/>
  <c r="H23669" i="16"/>
  <c r="H23670" i="16"/>
  <c r="H23671" i="16"/>
  <c r="H23672" i="16"/>
  <c r="H23673" i="16"/>
  <c r="H23674" i="16"/>
  <c r="H23675" i="16"/>
  <c r="H23676" i="16"/>
  <c r="H23677" i="16"/>
  <c r="H23678" i="16"/>
  <c r="H23679" i="16"/>
  <c r="H23680" i="16"/>
  <c r="H23681" i="16"/>
  <c r="H23682" i="16"/>
  <c r="H23683" i="16"/>
  <c r="H23684" i="16"/>
  <c r="H23685" i="16"/>
  <c r="H23686" i="16"/>
  <c r="H23687" i="16"/>
  <c r="H23688" i="16"/>
  <c r="H23689" i="16"/>
  <c r="H23690" i="16"/>
  <c r="H23691" i="16"/>
  <c r="H23692" i="16"/>
  <c r="H23693" i="16"/>
  <c r="H23694" i="16"/>
  <c r="H23695" i="16"/>
  <c r="H23696" i="16"/>
  <c r="H23697" i="16"/>
  <c r="H23698" i="16"/>
  <c r="H23699" i="16"/>
  <c r="H23700" i="16"/>
  <c r="H23701" i="16"/>
  <c r="H23702" i="16"/>
  <c r="H23703" i="16"/>
  <c r="H23704" i="16"/>
  <c r="H23705" i="16"/>
  <c r="H23706" i="16"/>
  <c r="H23707" i="16"/>
  <c r="H23708" i="16"/>
  <c r="H23709" i="16"/>
  <c r="H23710" i="16"/>
  <c r="H23711" i="16"/>
  <c r="H23712" i="16"/>
  <c r="H23713" i="16"/>
  <c r="H23714" i="16"/>
  <c r="H23715" i="16"/>
  <c r="H23716" i="16"/>
  <c r="H23717" i="16"/>
  <c r="H23718" i="16"/>
  <c r="H23719" i="16"/>
  <c r="H23720" i="16"/>
  <c r="H23721" i="16"/>
  <c r="H23722" i="16"/>
  <c r="H23723" i="16"/>
  <c r="H23724" i="16"/>
  <c r="H23725" i="16"/>
  <c r="H23726" i="16"/>
  <c r="H23727" i="16"/>
  <c r="H23728" i="16"/>
  <c r="H23729" i="16"/>
  <c r="H23730" i="16"/>
  <c r="H23731" i="16"/>
  <c r="H23732" i="16"/>
  <c r="H23733" i="16"/>
  <c r="H23734" i="16"/>
  <c r="H23735" i="16"/>
  <c r="H23736" i="16"/>
  <c r="H23737" i="16"/>
  <c r="H23738" i="16"/>
  <c r="H23739" i="16"/>
  <c r="H23740" i="16"/>
  <c r="H23741" i="16"/>
  <c r="H23742" i="16"/>
  <c r="H23743" i="16"/>
  <c r="H23744" i="16"/>
  <c r="H23745" i="16"/>
  <c r="H23746" i="16"/>
  <c r="H23747" i="16"/>
  <c r="H23748" i="16"/>
  <c r="H23749" i="16"/>
  <c r="H23750" i="16"/>
  <c r="H23751" i="16"/>
  <c r="H23752" i="16"/>
  <c r="H23753" i="16"/>
  <c r="H23754" i="16"/>
  <c r="H23755" i="16"/>
  <c r="H23756" i="16"/>
  <c r="H23757" i="16"/>
  <c r="H23758" i="16"/>
  <c r="H23759" i="16"/>
  <c r="H23760" i="16"/>
  <c r="H23761" i="16"/>
  <c r="H23762" i="16"/>
  <c r="H23763" i="16"/>
  <c r="H23764" i="16"/>
  <c r="H23765" i="16"/>
  <c r="H23766" i="16"/>
  <c r="H23767" i="16"/>
  <c r="H23768" i="16"/>
  <c r="H23769" i="16"/>
  <c r="H23770" i="16"/>
  <c r="H23771" i="16"/>
  <c r="H23772" i="16"/>
  <c r="H23773" i="16"/>
  <c r="H23774" i="16"/>
  <c r="H23775" i="16"/>
  <c r="H23776" i="16"/>
  <c r="H23777" i="16"/>
  <c r="H23778" i="16"/>
  <c r="H23779" i="16"/>
  <c r="H23780" i="16"/>
  <c r="H23781" i="16"/>
  <c r="H23782" i="16"/>
  <c r="H23783" i="16"/>
  <c r="H23784" i="16"/>
  <c r="H23785" i="16"/>
  <c r="H23786" i="16"/>
  <c r="H23787" i="16"/>
  <c r="H23788" i="16"/>
  <c r="H23789" i="16"/>
  <c r="H23790" i="16"/>
  <c r="H23791" i="16"/>
  <c r="H23792" i="16"/>
  <c r="H23793" i="16"/>
  <c r="H23794" i="16"/>
  <c r="H23795" i="16"/>
  <c r="H23796" i="16"/>
  <c r="H23797" i="16"/>
  <c r="H23798" i="16"/>
  <c r="H23799" i="16"/>
  <c r="H23800" i="16"/>
  <c r="H23801" i="16"/>
  <c r="H23802" i="16"/>
  <c r="H23803" i="16"/>
  <c r="H23804" i="16"/>
  <c r="H23805" i="16"/>
  <c r="H23806" i="16"/>
  <c r="H23807" i="16"/>
  <c r="H23808" i="16"/>
  <c r="H23809" i="16"/>
  <c r="H23810" i="16"/>
  <c r="H23811" i="16"/>
  <c r="H23812" i="16"/>
  <c r="H23813" i="16"/>
  <c r="H23814" i="16"/>
  <c r="H23815" i="16"/>
  <c r="H23816" i="16"/>
  <c r="H23817" i="16"/>
  <c r="H23818" i="16"/>
  <c r="H23819" i="16"/>
  <c r="H23820" i="16"/>
  <c r="H23821" i="16"/>
  <c r="H23822" i="16"/>
  <c r="H23823" i="16"/>
  <c r="H23824" i="16"/>
  <c r="H23825" i="16"/>
  <c r="H23826" i="16"/>
  <c r="H23827" i="16"/>
  <c r="H23828" i="16"/>
  <c r="H23829" i="16"/>
  <c r="H23830" i="16"/>
  <c r="H23831" i="16"/>
  <c r="H23832" i="16"/>
  <c r="H23833" i="16"/>
  <c r="H23834" i="16"/>
  <c r="H23835" i="16"/>
  <c r="H23836" i="16"/>
  <c r="H23837" i="16"/>
  <c r="H23838" i="16"/>
  <c r="H23839" i="16"/>
  <c r="H23840" i="16"/>
  <c r="H23841" i="16"/>
  <c r="H23842" i="16"/>
  <c r="H23843" i="16"/>
  <c r="H23844" i="16"/>
  <c r="H23845" i="16"/>
  <c r="H23846" i="16"/>
  <c r="H23847" i="16"/>
  <c r="H23848" i="16"/>
  <c r="H23849" i="16"/>
  <c r="H23850" i="16"/>
  <c r="H23851" i="16"/>
  <c r="H23852" i="16"/>
  <c r="H23853" i="16"/>
  <c r="H23854" i="16"/>
  <c r="H23855" i="16"/>
  <c r="H23856" i="16"/>
  <c r="H23857" i="16"/>
  <c r="H23858" i="16"/>
  <c r="H23859" i="16"/>
  <c r="H23860" i="16"/>
  <c r="H23861" i="16"/>
  <c r="H23862" i="16"/>
  <c r="H23863" i="16"/>
  <c r="H23864" i="16"/>
  <c r="H23865" i="16"/>
  <c r="H23866" i="16"/>
  <c r="H23867" i="16"/>
  <c r="H23868" i="16"/>
  <c r="H23869" i="16"/>
  <c r="H23870" i="16"/>
  <c r="H23871" i="16"/>
  <c r="H23872" i="16"/>
  <c r="H23873" i="16"/>
  <c r="H23874" i="16"/>
  <c r="H23875" i="16"/>
  <c r="H23876" i="16"/>
  <c r="H23877" i="16"/>
  <c r="H23878" i="16"/>
  <c r="H23879" i="16"/>
  <c r="H23880" i="16"/>
  <c r="H23881" i="16"/>
  <c r="H23882" i="16"/>
  <c r="H23883" i="16"/>
  <c r="H23884" i="16"/>
  <c r="H23885" i="16"/>
  <c r="H23886" i="16"/>
  <c r="H23887" i="16"/>
  <c r="H23888" i="16"/>
  <c r="H23889" i="16"/>
  <c r="H23890" i="16"/>
  <c r="H23891" i="16"/>
  <c r="H23892" i="16"/>
  <c r="H23893" i="16"/>
  <c r="H23894" i="16"/>
  <c r="H23895" i="16"/>
  <c r="H23896" i="16"/>
  <c r="H23897" i="16"/>
  <c r="H23898" i="16"/>
  <c r="H23899" i="16"/>
  <c r="H23900" i="16"/>
  <c r="H23901" i="16"/>
  <c r="H23902" i="16"/>
  <c r="H23903" i="16"/>
  <c r="H23904" i="16"/>
  <c r="H23905" i="16"/>
  <c r="H23906" i="16"/>
  <c r="H23907" i="16"/>
  <c r="H23908" i="16"/>
  <c r="H23909" i="16"/>
  <c r="H23910" i="16"/>
  <c r="H23911" i="16"/>
  <c r="H23912" i="16"/>
  <c r="H23913" i="16"/>
  <c r="H23914" i="16"/>
  <c r="H23915" i="16"/>
  <c r="H23916" i="16"/>
  <c r="H23917" i="16"/>
  <c r="H23918" i="16"/>
  <c r="H23919" i="16"/>
  <c r="H23920" i="16"/>
  <c r="H23921" i="16"/>
  <c r="H23922" i="16"/>
  <c r="H23923" i="16"/>
  <c r="H23924" i="16"/>
  <c r="H23925" i="16"/>
  <c r="H23926" i="16"/>
  <c r="H23927" i="16"/>
  <c r="H23928" i="16"/>
  <c r="H23929" i="16"/>
  <c r="H23930" i="16"/>
  <c r="H23931" i="16"/>
  <c r="H23932" i="16"/>
  <c r="H23933" i="16"/>
  <c r="H23934" i="16"/>
  <c r="H23935" i="16"/>
  <c r="H23936" i="16"/>
  <c r="H23937" i="16"/>
  <c r="H23938" i="16"/>
  <c r="H23939" i="16"/>
  <c r="H23940" i="16"/>
  <c r="H23941" i="16"/>
  <c r="H23942" i="16"/>
  <c r="H23943" i="16"/>
  <c r="H23944" i="16"/>
  <c r="H23945" i="16"/>
  <c r="H23946" i="16"/>
  <c r="H23947" i="16"/>
  <c r="H23948" i="16"/>
  <c r="H23949" i="16"/>
  <c r="H23950" i="16"/>
  <c r="H23951" i="16"/>
  <c r="H23952" i="16"/>
  <c r="H23953" i="16"/>
  <c r="H23954" i="16"/>
  <c r="H23955" i="16"/>
  <c r="H23956" i="16"/>
  <c r="H23957" i="16"/>
  <c r="H23958" i="16"/>
  <c r="H23959" i="16"/>
  <c r="H23960" i="16"/>
  <c r="H23961" i="16"/>
  <c r="H23962" i="16"/>
  <c r="H23963" i="16"/>
  <c r="H23964" i="16"/>
  <c r="H23965" i="16"/>
  <c r="H23966" i="16"/>
  <c r="H23967" i="16"/>
  <c r="H23968" i="16"/>
  <c r="H23969" i="16"/>
  <c r="H23970" i="16"/>
  <c r="H23971" i="16"/>
  <c r="H23972" i="16"/>
  <c r="H23973" i="16"/>
  <c r="H23974" i="16"/>
  <c r="H23975" i="16"/>
  <c r="H23976" i="16"/>
  <c r="H23977" i="16"/>
  <c r="H23978" i="16"/>
  <c r="H23979" i="16"/>
  <c r="H23980" i="16"/>
  <c r="H23981" i="16"/>
  <c r="H23982" i="16"/>
  <c r="H23983" i="16"/>
  <c r="H23984" i="16"/>
  <c r="H23985" i="16"/>
  <c r="H23986" i="16"/>
  <c r="H23987" i="16"/>
  <c r="H23988" i="16"/>
  <c r="H23989" i="16"/>
  <c r="H23990" i="16"/>
  <c r="H23991" i="16"/>
  <c r="H23992" i="16"/>
  <c r="H23993" i="16"/>
  <c r="H23994" i="16"/>
  <c r="H23995" i="16"/>
  <c r="H23996" i="16"/>
  <c r="H23997" i="16"/>
  <c r="H23998" i="16"/>
  <c r="H23999" i="16"/>
  <c r="H24000" i="16"/>
  <c r="H24001" i="16"/>
  <c r="H24002" i="16"/>
  <c r="H24003" i="16"/>
  <c r="H24004" i="16"/>
  <c r="H24005" i="16"/>
  <c r="H24006" i="16"/>
  <c r="H24007" i="16"/>
  <c r="H24008" i="16"/>
  <c r="H24009" i="16"/>
  <c r="H24010" i="16"/>
  <c r="H24011" i="16"/>
  <c r="H24012" i="16"/>
  <c r="H24013" i="16"/>
  <c r="H24014" i="16"/>
  <c r="H24015" i="16"/>
  <c r="H24016" i="16"/>
  <c r="H24017" i="16"/>
  <c r="H24018" i="16"/>
  <c r="H24019" i="16"/>
  <c r="H24020" i="16"/>
  <c r="H24021" i="16"/>
  <c r="H24022" i="16"/>
  <c r="H24023" i="16"/>
  <c r="H24024" i="16"/>
  <c r="H24025" i="16"/>
  <c r="H24026" i="16"/>
  <c r="H24027" i="16"/>
  <c r="H24028" i="16"/>
  <c r="H24029" i="16"/>
  <c r="H24030" i="16"/>
  <c r="H24031" i="16"/>
  <c r="H24032" i="16"/>
  <c r="H24033" i="16"/>
  <c r="H24034" i="16"/>
  <c r="H24035" i="16"/>
  <c r="H24036" i="16"/>
  <c r="H24037" i="16"/>
  <c r="H24038" i="16"/>
  <c r="H24039" i="16"/>
  <c r="H24040" i="16"/>
  <c r="H24041" i="16"/>
  <c r="H24042" i="16"/>
  <c r="H24043" i="16"/>
  <c r="H24044" i="16"/>
  <c r="H24045" i="16"/>
  <c r="H24046" i="16"/>
  <c r="H24047" i="16"/>
  <c r="H24048" i="16"/>
  <c r="H24049" i="16"/>
  <c r="H24050" i="16"/>
  <c r="H24051" i="16"/>
  <c r="H24052" i="16"/>
  <c r="H24053" i="16"/>
  <c r="H24054" i="16"/>
  <c r="H24055" i="16"/>
  <c r="H24056" i="16"/>
  <c r="H24057" i="16"/>
  <c r="H24058" i="16"/>
  <c r="H24059" i="16"/>
  <c r="H24060" i="16"/>
  <c r="H24061" i="16"/>
  <c r="H24062" i="16"/>
  <c r="H24063" i="16"/>
  <c r="H24064" i="16"/>
  <c r="H24065" i="16"/>
  <c r="H24066" i="16"/>
  <c r="H24067" i="16"/>
  <c r="H24068" i="16"/>
  <c r="H24069" i="16"/>
  <c r="H24070" i="16"/>
  <c r="H24071" i="16"/>
  <c r="H24072" i="16"/>
  <c r="H24073" i="16"/>
  <c r="H24074" i="16"/>
  <c r="H24075" i="16"/>
  <c r="H24076" i="16"/>
  <c r="H24077" i="16"/>
  <c r="H24078" i="16"/>
  <c r="H24079" i="16"/>
  <c r="H24080" i="16"/>
  <c r="H24081" i="16"/>
  <c r="H24082" i="16"/>
  <c r="H24083" i="16"/>
  <c r="H24084" i="16"/>
  <c r="H24085" i="16"/>
  <c r="H24086" i="16"/>
  <c r="H24087" i="16"/>
  <c r="H24088" i="16"/>
  <c r="H24089" i="16"/>
  <c r="H24090" i="16"/>
  <c r="H24091" i="16"/>
  <c r="H24092" i="16"/>
  <c r="H24093" i="16"/>
  <c r="H24094" i="16"/>
  <c r="H24095" i="16"/>
  <c r="H24096" i="16"/>
  <c r="H24097" i="16"/>
  <c r="H24098" i="16"/>
  <c r="H24099" i="16"/>
  <c r="H24100" i="16"/>
  <c r="H24101" i="16"/>
  <c r="H24102" i="16"/>
  <c r="H24103" i="16"/>
  <c r="H24104" i="16"/>
  <c r="H24105" i="16"/>
  <c r="H24106" i="16"/>
  <c r="H24107" i="16"/>
  <c r="H24108" i="16"/>
  <c r="H24109" i="16"/>
  <c r="H24110" i="16"/>
  <c r="H24111" i="16"/>
  <c r="H24112" i="16"/>
  <c r="H24113" i="16"/>
  <c r="H24114" i="16"/>
  <c r="H24115" i="16"/>
  <c r="H24116" i="16"/>
  <c r="H24117" i="16"/>
  <c r="H24118" i="16"/>
  <c r="H24119" i="16"/>
  <c r="H24120" i="16"/>
  <c r="H24121" i="16"/>
  <c r="H24122" i="16"/>
  <c r="H24123" i="16"/>
  <c r="H24124" i="16"/>
  <c r="H24125" i="16"/>
  <c r="H24126" i="16"/>
  <c r="H24127" i="16"/>
  <c r="H24128" i="16"/>
  <c r="H24129" i="16"/>
  <c r="H24130" i="16"/>
  <c r="H24131" i="16"/>
  <c r="H24132" i="16"/>
  <c r="H24133" i="16"/>
  <c r="H24134" i="16"/>
  <c r="H24135" i="16"/>
  <c r="H24136" i="16"/>
  <c r="H24137" i="16"/>
  <c r="H24138" i="16"/>
  <c r="H24139" i="16"/>
  <c r="H24140" i="16"/>
  <c r="H24141" i="16"/>
  <c r="H24142" i="16"/>
  <c r="H24143" i="16"/>
  <c r="H24144" i="16"/>
  <c r="H24145" i="16"/>
  <c r="H24146" i="16"/>
  <c r="H24147" i="16"/>
  <c r="H24148" i="16"/>
  <c r="H24149" i="16"/>
  <c r="H24150" i="16"/>
  <c r="H24151" i="16"/>
  <c r="H24152" i="16"/>
  <c r="H24153" i="16"/>
  <c r="H24154" i="16"/>
  <c r="H24155" i="16"/>
  <c r="H24156" i="16"/>
  <c r="H24157" i="16"/>
  <c r="H24158" i="16"/>
  <c r="H24159" i="16"/>
  <c r="H24160" i="16"/>
  <c r="H24161" i="16"/>
  <c r="H24162" i="16"/>
  <c r="H24163" i="16"/>
  <c r="H24164" i="16"/>
  <c r="H24165" i="16"/>
  <c r="H24166" i="16"/>
  <c r="H24167" i="16"/>
  <c r="H24168" i="16"/>
  <c r="H24169" i="16"/>
  <c r="H24170" i="16"/>
  <c r="H24171" i="16"/>
  <c r="H24172" i="16"/>
  <c r="H24173" i="16"/>
  <c r="H24174" i="16"/>
  <c r="H24175" i="16"/>
  <c r="H24176" i="16"/>
  <c r="H24177" i="16"/>
  <c r="H24178" i="16"/>
  <c r="H24179" i="16"/>
  <c r="H24180" i="16"/>
  <c r="H24181" i="16"/>
  <c r="H24182" i="16"/>
  <c r="H24183" i="16"/>
  <c r="H24184" i="16"/>
  <c r="H24185" i="16"/>
  <c r="H24186" i="16"/>
  <c r="H24187" i="16"/>
  <c r="H24188" i="16"/>
  <c r="H24189" i="16"/>
  <c r="H24190" i="16"/>
  <c r="H24191" i="16"/>
  <c r="H24192" i="16"/>
  <c r="H24193" i="16"/>
  <c r="H24194" i="16"/>
  <c r="H24195" i="16"/>
  <c r="H24196" i="16"/>
  <c r="H24197" i="16"/>
  <c r="H24198" i="16"/>
  <c r="H24199" i="16"/>
  <c r="H24200" i="16"/>
  <c r="H24201" i="16"/>
  <c r="H24202" i="16"/>
  <c r="H24203" i="16"/>
  <c r="H24204" i="16"/>
  <c r="H24205" i="16"/>
  <c r="H24206" i="16"/>
  <c r="H24207" i="16"/>
  <c r="H24208" i="16"/>
  <c r="H24209" i="16"/>
  <c r="H24210" i="16"/>
  <c r="H24211" i="16"/>
  <c r="H24212" i="16"/>
  <c r="H24213" i="16"/>
  <c r="H24214" i="16"/>
  <c r="H24215" i="16"/>
  <c r="H24216" i="16"/>
  <c r="H24217" i="16"/>
  <c r="H24218" i="16"/>
  <c r="H24219" i="16"/>
  <c r="H24220" i="16"/>
  <c r="H24221" i="16"/>
  <c r="H24222" i="16"/>
  <c r="H24223" i="16"/>
  <c r="H24224" i="16"/>
  <c r="H24225" i="16"/>
  <c r="H24226" i="16"/>
  <c r="H24227" i="16"/>
  <c r="H24228" i="16"/>
  <c r="H24229" i="16"/>
  <c r="H24230" i="16"/>
  <c r="H24231" i="16"/>
  <c r="H24232" i="16"/>
  <c r="H24233" i="16"/>
  <c r="H24234" i="16"/>
  <c r="H24235" i="16"/>
  <c r="H24236" i="16"/>
  <c r="H24237" i="16"/>
  <c r="H24238" i="16"/>
  <c r="H24239" i="16"/>
  <c r="H24240" i="16"/>
  <c r="H24241" i="16"/>
  <c r="H24242" i="16"/>
  <c r="H24243" i="16"/>
  <c r="H24244" i="16"/>
  <c r="H24245" i="16"/>
  <c r="H24246" i="16"/>
  <c r="H24247" i="16"/>
  <c r="H24248" i="16"/>
  <c r="H24249" i="16"/>
  <c r="H24250" i="16"/>
  <c r="H24251" i="16"/>
  <c r="H24252" i="16"/>
  <c r="H24253" i="16"/>
  <c r="H24254" i="16"/>
  <c r="H24255" i="16"/>
  <c r="H24256" i="16"/>
  <c r="H24257" i="16"/>
  <c r="H24258" i="16"/>
  <c r="H24259" i="16"/>
  <c r="H24260" i="16"/>
  <c r="H24261" i="16"/>
  <c r="H24262" i="16"/>
  <c r="H24263" i="16"/>
  <c r="H24264" i="16"/>
  <c r="H24265" i="16"/>
  <c r="H24266" i="16"/>
  <c r="H24267" i="16"/>
  <c r="H24268" i="16"/>
  <c r="H24269" i="16"/>
  <c r="H24270" i="16"/>
  <c r="H24271" i="16"/>
  <c r="H24272" i="16"/>
  <c r="H24273" i="16"/>
  <c r="H24274" i="16"/>
  <c r="H24275" i="16"/>
  <c r="H24276" i="16"/>
  <c r="H24277" i="16"/>
  <c r="H24278" i="16"/>
  <c r="H24279" i="16"/>
  <c r="H24280" i="16"/>
  <c r="H24281" i="16"/>
  <c r="H24282" i="16"/>
  <c r="H24283" i="16"/>
  <c r="H24284" i="16"/>
  <c r="H24285" i="16"/>
  <c r="H24286" i="16"/>
  <c r="H24287" i="16"/>
  <c r="H24288" i="16"/>
  <c r="H24289" i="16"/>
  <c r="H24290" i="16"/>
  <c r="H24291" i="16"/>
  <c r="H24292" i="16"/>
  <c r="H24293" i="16"/>
  <c r="H24294" i="16"/>
  <c r="H24295" i="16"/>
  <c r="H24296" i="16"/>
  <c r="H24297" i="16"/>
  <c r="H24298" i="16"/>
  <c r="H24299" i="16"/>
  <c r="H24300" i="16"/>
  <c r="H24301" i="16"/>
  <c r="H24302" i="16"/>
  <c r="H24303" i="16"/>
  <c r="H24304" i="16"/>
  <c r="H24305" i="16"/>
  <c r="H24306" i="16"/>
  <c r="H24307" i="16"/>
  <c r="H24308" i="16"/>
  <c r="H24309" i="16"/>
  <c r="H24310" i="16"/>
  <c r="H24311" i="16"/>
  <c r="H24312" i="16"/>
  <c r="H24313" i="16"/>
  <c r="H24314" i="16"/>
  <c r="H24315" i="16"/>
  <c r="H24316" i="16"/>
  <c r="H24317" i="16"/>
  <c r="H24318" i="16"/>
  <c r="H24319" i="16"/>
  <c r="H24320" i="16"/>
  <c r="H24321" i="16"/>
  <c r="H24322" i="16"/>
  <c r="H24323" i="16"/>
  <c r="H24324" i="16"/>
  <c r="H24325" i="16"/>
  <c r="H24326" i="16"/>
  <c r="H24327" i="16"/>
  <c r="H24328" i="16"/>
  <c r="H24329" i="16"/>
  <c r="H24330" i="16"/>
  <c r="H24331" i="16"/>
  <c r="H24332" i="16"/>
  <c r="H24333" i="16"/>
  <c r="H24334" i="16"/>
  <c r="H24335" i="16"/>
  <c r="H24336" i="16"/>
  <c r="H24337" i="16"/>
  <c r="H24338" i="16"/>
  <c r="H24339" i="16"/>
  <c r="H24340" i="16"/>
  <c r="H24341" i="16"/>
  <c r="H24342" i="16"/>
  <c r="H24343" i="16"/>
  <c r="H24344" i="16"/>
  <c r="H24345" i="16"/>
  <c r="H24346" i="16"/>
  <c r="H24347" i="16"/>
  <c r="H24348" i="16"/>
  <c r="H24349" i="16"/>
  <c r="H24350" i="16"/>
  <c r="H24351" i="16"/>
  <c r="H24352" i="16"/>
  <c r="H24353" i="16"/>
  <c r="H24354" i="16"/>
  <c r="H24355" i="16"/>
  <c r="H24356" i="16"/>
  <c r="H24357" i="16"/>
  <c r="H24358" i="16"/>
  <c r="H24359" i="16"/>
  <c r="H24360" i="16"/>
  <c r="H24361" i="16"/>
  <c r="H24362" i="16"/>
  <c r="H24363" i="16"/>
  <c r="H24364" i="16"/>
  <c r="H24365" i="16"/>
  <c r="H24366" i="16"/>
  <c r="H24367" i="16"/>
  <c r="H24368" i="16"/>
  <c r="H24369" i="16"/>
  <c r="H24370" i="16"/>
  <c r="H24371" i="16"/>
  <c r="H24372" i="16"/>
  <c r="H24373" i="16"/>
  <c r="H24374" i="16"/>
  <c r="H24375" i="16"/>
  <c r="H24376" i="16"/>
  <c r="H24377" i="16"/>
  <c r="H24378" i="16"/>
  <c r="H24379" i="16"/>
  <c r="H24380" i="16"/>
  <c r="H24381" i="16"/>
  <c r="H24382" i="16"/>
  <c r="H24383" i="16"/>
  <c r="H24384" i="16"/>
  <c r="H24385" i="16"/>
  <c r="H24386" i="16"/>
  <c r="H24387" i="16"/>
  <c r="H24388" i="16"/>
  <c r="H24389" i="16"/>
  <c r="H24390" i="16"/>
  <c r="H24391" i="16"/>
  <c r="H24392" i="16"/>
  <c r="H24393" i="16"/>
  <c r="H24394" i="16"/>
  <c r="H24395" i="16"/>
  <c r="H24396" i="16"/>
  <c r="H24397" i="16"/>
  <c r="H24398" i="16"/>
  <c r="H24399" i="16"/>
  <c r="H24400" i="16"/>
  <c r="H24401" i="16"/>
  <c r="H24402" i="16"/>
  <c r="H24403" i="16"/>
  <c r="H24404" i="16"/>
  <c r="H24405" i="16"/>
  <c r="H24406" i="16"/>
  <c r="H24407" i="16"/>
  <c r="H24408" i="16"/>
  <c r="H24409" i="16"/>
  <c r="H24410" i="16"/>
  <c r="H24411" i="16"/>
  <c r="H24412" i="16"/>
  <c r="H24413" i="16"/>
  <c r="H24414" i="16"/>
  <c r="H24415" i="16"/>
  <c r="H24416" i="16"/>
  <c r="H24417" i="16"/>
  <c r="H24418" i="16"/>
  <c r="H24419" i="16"/>
  <c r="H24420" i="16"/>
  <c r="H24421" i="16"/>
  <c r="H24422" i="16"/>
  <c r="H24423" i="16"/>
  <c r="H24424" i="16"/>
  <c r="H24425" i="16"/>
  <c r="H24426" i="16"/>
  <c r="H24427" i="16"/>
  <c r="H24428" i="16"/>
  <c r="H24429" i="16"/>
  <c r="H24430" i="16"/>
  <c r="H24431" i="16"/>
  <c r="H24432" i="16"/>
  <c r="H24433" i="16"/>
  <c r="H24434" i="16"/>
  <c r="H24435" i="16"/>
  <c r="H24436" i="16"/>
  <c r="H24437" i="16"/>
  <c r="H24438" i="16"/>
  <c r="H24439" i="16"/>
  <c r="H24440" i="16"/>
  <c r="H24441" i="16"/>
  <c r="H24442" i="16"/>
  <c r="H24443" i="16"/>
  <c r="H24444" i="16"/>
  <c r="H24445" i="16"/>
  <c r="H24446" i="16"/>
  <c r="H24447" i="16"/>
  <c r="H24448" i="16"/>
  <c r="H24449" i="16"/>
  <c r="H24450" i="16"/>
  <c r="H24451" i="16"/>
  <c r="H24452" i="16"/>
  <c r="H24453" i="16"/>
  <c r="H24454" i="16"/>
  <c r="H24455" i="16"/>
  <c r="H24456" i="16"/>
  <c r="H24457" i="16"/>
  <c r="H24458" i="16"/>
  <c r="H24459" i="16"/>
  <c r="H24460" i="16"/>
  <c r="H24461" i="16"/>
  <c r="H24462" i="16"/>
  <c r="H24463" i="16"/>
  <c r="H24464" i="16"/>
  <c r="H24465" i="16"/>
  <c r="H24466" i="16"/>
  <c r="H24467" i="16"/>
  <c r="H24468" i="16"/>
  <c r="H24469" i="16"/>
  <c r="H24470" i="16"/>
  <c r="H24471" i="16"/>
  <c r="H24472" i="16"/>
  <c r="H24473" i="16"/>
  <c r="H24474" i="16"/>
  <c r="H24475" i="16"/>
  <c r="H24476" i="16"/>
  <c r="H24477" i="16"/>
  <c r="H24478" i="16"/>
  <c r="H24479" i="16"/>
  <c r="H24480" i="16"/>
  <c r="H24481" i="16"/>
  <c r="H24482" i="16"/>
  <c r="H24483" i="16"/>
  <c r="H24484" i="16"/>
  <c r="H24485" i="16"/>
  <c r="H24486" i="16"/>
  <c r="H24487" i="16"/>
  <c r="H24488" i="16"/>
  <c r="H24489" i="16"/>
  <c r="H24490" i="16"/>
  <c r="H24491" i="16"/>
  <c r="H24492" i="16"/>
  <c r="H24493" i="16"/>
  <c r="H24494" i="16"/>
  <c r="H24495" i="16"/>
  <c r="H24496" i="16"/>
  <c r="H24497" i="16"/>
  <c r="H24498" i="16"/>
  <c r="H24499" i="16"/>
  <c r="H24500" i="16"/>
  <c r="H24501" i="16"/>
  <c r="H24502" i="16"/>
  <c r="H24503" i="16"/>
  <c r="H24504" i="16"/>
  <c r="H24505" i="16"/>
  <c r="H24506" i="16"/>
  <c r="H24507" i="16"/>
  <c r="H24508" i="16"/>
  <c r="H24509" i="16"/>
  <c r="H24510" i="16"/>
  <c r="H24511" i="16"/>
  <c r="H24512" i="16"/>
  <c r="H24513" i="16"/>
  <c r="H24514" i="16"/>
  <c r="H24515" i="16"/>
  <c r="H24516" i="16"/>
  <c r="H24517" i="16"/>
  <c r="H24518" i="16"/>
  <c r="H24519" i="16"/>
  <c r="H24520" i="16"/>
  <c r="H24521" i="16"/>
  <c r="H24522" i="16"/>
  <c r="H24523" i="16"/>
  <c r="H24524" i="16"/>
  <c r="H24525" i="16"/>
  <c r="H24526" i="16"/>
  <c r="H24527" i="16"/>
  <c r="H24528" i="16"/>
  <c r="H24529" i="16"/>
  <c r="H24530" i="16"/>
  <c r="H24531" i="16"/>
  <c r="H24532" i="16"/>
  <c r="H24533" i="16"/>
  <c r="H24534" i="16"/>
  <c r="H24535" i="16"/>
  <c r="H24536" i="16"/>
  <c r="H24537" i="16"/>
  <c r="H24538" i="16"/>
  <c r="H24539" i="16"/>
  <c r="H24540" i="16"/>
  <c r="H24541" i="16"/>
  <c r="H24542" i="16"/>
  <c r="H24543" i="16"/>
  <c r="H24544" i="16"/>
  <c r="H24545" i="16"/>
  <c r="H24546" i="16"/>
  <c r="H24547" i="16"/>
  <c r="H24548" i="16"/>
  <c r="H24549" i="16"/>
  <c r="H24550" i="16"/>
  <c r="H24551" i="16"/>
  <c r="H24552" i="16"/>
  <c r="H24553" i="16"/>
  <c r="H24554" i="16"/>
  <c r="H24555" i="16"/>
  <c r="H24556" i="16"/>
  <c r="H24557" i="16"/>
  <c r="H24558" i="16"/>
  <c r="H24559" i="16"/>
  <c r="H24560" i="16"/>
  <c r="H24561" i="16"/>
  <c r="H24562" i="16"/>
  <c r="H24563" i="16"/>
  <c r="H24564" i="16"/>
  <c r="H24565" i="16"/>
  <c r="H24566" i="16"/>
  <c r="H24567" i="16"/>
  <c r="H24568" i="16"/>
  <c r="H24569" i="16"/>
  <c r="H24570" i="16"/>
  <c r="H24571" i="16"/>
  <c r="H24572" i="16"/>
  <c r="H24573" i="16"/>
  <c r="H24574" i="16"/>
  <c r="H24575" i="16"/>
  <c r="H24576" i="16"/>
  <c r="H24577" i="16"/>
  <c r="H24578" i="16"/>
  <c r="H24579" i="16"/>
  <c r="H24580" i="16"/>
  <c r="H24581" i="16"/>
  <c r="H24582" i="16"/>
  <c r="H24583" i="16"/>
  <c r="H24584" i="16"/>
  <c r="H24585" i="16"/>
  <c r="H24586" i="16"/>
  <c r="H24587" i="16"/>
  <c r="H24588" i="16"/>
  <c r="H24589" i="16"/>
  <c r="H24590" i="16"/>
  <c r="H24591" i="16"/>
  <c r="H24592" i="16"/>
  <c r="H24593" i="16"/>
  <c r="H24594" i="16"/>
  <c r="H24595" i="16"/>
  <c r="H24596" i="16"/>
  <c r="H24597" i="16"/>
  <c r="H24598" i="16"/>
  <c r="H24599" i="16"/>
  <c r="H24600" i="16"/>
  <c r="H24601" i="16"/>
  <c r="H24602" i="16"/>
  <c r="H24603" i="16"/>
  <c r="H24604" i="16"/>
  <c r="H24605" i="16"/>
  <c r="H24606" i="16"/>
  <c r="H24607" i="16"/>
  <c r="H24608" i="16"/>
  <c r="H24609" i="16"/>
  <c r="H24610" i="16"/>
  <c r="H24611" i="16"/>
  <c r="H24612" i="16"/>
  <c r="H24613" i="16"/>
  <c r="H24614" i="16"/>
  <c r="H24615" i="16"/>
  <c r="H24616" i="16"/>
  <c r="H24617" i="16"/>
  <c r="H24618" i="16"/>
  <c r="H24619" i="16"/>
  <c r="H24620" i="16"/>
  <c r="H24621" i="16"/>
  <c r="H24622" i="16"/>
  <c r="H24623" i="16"/>
  <c r="H24624" i="16"/>
  <c r="H24625" i="16"/>
  <c r="H24626" i="16"/>
  <c r="H24627" i="16"/>
  <c r="H24628" i="16"/>
  <c r="H24629" i="16"/>
  <c r="H24630" i="16"/>
  <c r="H24631" i="16"/>
  <c r="H24632" i="16"/>
  <c r="H24633" i="16"/>
  <c r="H24634" i="16"/>
  <c r="H24635" i="16"/>
  <c r="H24636" i="16"/>
  <c r="H24637" i="16"/>
  <c r="H24638" i="16"/>
  <c r="H24639" i="16"/>
  <c r="H24640" i="16"/>
  <c r="H24641" i="16"/>
  <c r="H24642" i="16"/>
  <c r="H24643" i="16"/>
  <c r="H24644" i="16"/>
  <c r="H24645" i="16"/>
  <c r="H24646" i="16"/>
  <c r="H24647" i="16"/>
  <c r="H24648" i="16"/>
  <c r="H24649" i="16"/>
  <c r="H24650" i="16"/>
  <c r="H24651" i="16"/>
  <c r="H24652" i="16"/>
  <c r="H24653" i="16"/>
  <c r="H24654" i="16"/>
  <c r="H24655" i="16"/>
  <c r="H24656" i="16"/>
  <c r="H24657" i="16"/>
  <c r="H24658" i="16"/>
  <c r="H24659" i="16"/>
  <c r="H24660" i="16"/>
  <c r="H24661" i="16"/>
  <c r="H24662" i="16"/>
  <c r="H24663" i="16"/>
  <c r="H24664" i="16"/>
  <c r="H24665" i="16"/>
  <c r="H24666" i="16"/>
  <c r="H24667" i="16"/>
  <c r="H24668" i="16"/>
  <c r="H24669" i="16"/>
  <c r="H24670" i="16"/>
  <c r="H24671" i="16"/>
  <c r="H24672" i="16"/>
  <c r="H24673" i="16"/>
  <c r="H24674" i="16"/>
  <c r="H24675" i="16"/>
  <c r="H24676" i="16"/>
  <c r="H24677" i="16"/>
  <c r="H24678" i="16"/>
  <c r="H24679" i="16"/>
  <c r="H24680" i="16"/>
  <c r="H24681" i="16"/>
  <c r="H24682" i="16"/>
  <c r="H24683" i="16"/>
  <c r="H24684" i="16"/>
  <c r="H24685" i="16"/>
  <c r="H24686" i="16"/>
  <c r="H24687" i="16"/>
  <c r="H24688" i="16"/>
  <c r="H24689" i="16"/>
  <c r="H24690" i="16"/>
  <c r="H24691" i="16"/>
  <c r="H24692" i="16"/>
  <c r="H24693" i="16"/>
  <c r="H24694" i="16"/>
  <c r="H24695" i="16"/>
  <c r="H24696" i="16"/>
  <c r="H24697" i="16"/>
  <c r="H24698" i="16"/>
  <c r="H24699" i="16"/>
  <c r="H24700" i="16"/>
  <c r="H24701" i="16"/>
  <c r="H24702" i="16"/>
  <c r="H24703" i="16"/>
  <c r="H24704" i="16"/>
  <c r="H24705" i="16"/>
  <c r="H24706" i="16"/>
  <c r="H24707" i="16"/>
  <c r="H24708" i="16"/>
  <c r="H24709" i="16"/>
  <c r="H24710" i="16"/>
  <c r="H24711" i="16"/>
  <c r="H24712" i="16"/>
  <c r="H24713" i="16"/>
  <c r="H24714" i="16"/>
  <c r="H24715" i="16"/>
  <c r="H24716" i="16"/>
  <c r="H24717" i="16"/>
  <c r="H24718" i="16"/>
  <c r="H24719" i="16"/>
  <c r="H24720" i="16"/>
  <c r="H24721" i="16"/>
  <c r="H24722" i="16"/>
  <c r="H24723" i="16"/>
  <c r="H24724" i="16"/>
  <c r="H24725" i="16"/>
  <c r="H24726" i="16"/>
  <c r="H24727" i="16"/>
  <c r="H24728" i="16"/>
  <c r="H24729" i="16"/>
  <c r="H24730" i="16"/>
  <c r="H24731" i="16"/>
  <c r="H24732" i="16"/>
  <c r="H24733" i="16"/>
  <c r="H24734" i="16"/>
  <c r="H24735" i="16"/>
  <c r="H24736" i="16"/>
  <c r="H24737" i="16"/>
  <c r="H24738" i="16"/>
  <c r="H24739" i="16"/>
  <c r="H24740" i="16"/>
  <c r="H24741" i="16"/>
  <c r="H24742" i="16"/>
  <c r="H24743" i="16"/>
  <c r="H24744" i="16"/>
  <c r="H24745" i="16"/>
  <c r="H24746" i="16"/>
  <c r="H24747" i="16"/>
  <c r="H24748" i="16"/>
  <c r="H24749" i="16"/>
  <c r="H24750" i="16"/>
  <c r="H24751" i="16"/>
  <c r="H24752" i="16"/>
  <c r="H24753" i="16"/>
  <c r="H24754" i="16"/>
  <c r="H24755" i="16"/>
  <c r="H24756" i="16"/>
  <c r="H24757" i="16"/>
  <c r="H24758" i="16"/>
  <c r="H24759" i="16"/>
  <c r="H24760" i="16"/>
  <c r="H24761" i="16"/>
  <c r="H24762" i="16"/>
  <c r="H24763" i="16"/>
  <c r="H24764" i="16"/>
  <c r="H24765" i="16"/>
  <c r="H24766" i="16"/>
  <c r="H24767" i="16"/>
  <c r="H24768" i="16"/>
  <c r="H24769" i="16"/>
  <c r="H24770" i="16"/>
  <c r="H24771" i="16"/>
  <c r="H24772" i="16"/>
  <c r="H24773" i="16"/>
  <c r="H24774" i="16"/>
  <c r="H24775" i="16"/>
  <c r="H24776" i="16"/>
  <c r="H24777" i="16"/>
  <c r="H24778" i="16"/>
  <c r="H24779" i="16"/>
  <c r="H24780" i="16"/>
  <c r="H24781" i="16"/>
  <c r="H24782" i="16"/>
  <c r="H24783" i="16"/>
  <c r="H24784" i="16"/>
  <c r="H24785" i="16"/>
  <c r="H24786" i="16"/>
  <c r="H24787" i="16"/>
  <c r="H24788" i="16"/>
  <c r="H24789" i="16"/>
  <c r="H24790" i="16"/>
  <c r="H24791" i="16"/>
  <c r="H24792" i="16"/>
  <c r="H24793" i="16"/>
  <c r="H24794" i="16"/>
  <c r="H24795" i="16"/>
  <c r="H24796" i="16"/>
  <c r="H24797" i="16"/>
  <c r="H24798" i="16"/>
  <c r="H24799" i="16"/>
  <c r="H24800" i="16"/>
  <c r="H24801" i="16"/>
  <c r="H24802" i="16"/>
  <c r="H24803" i="16"/>
  <c r="H24804" i="16"/>
  <c r="H24805" i="16"/>
  <c r="H24806" i="16"/>
  <c r="H24807" i="16"/>
  <c r="H24808" i="16"/>
  <c r="H24809" i="16"/>
  <c r="H24810" i="16"/>
  <c r="H24811" i="16"/>
  <c r="H24812" i="16"/>
  <c r="H24813" i="16"/>
  <c r="H24814" i="16"/>
  <c r="H24815" i="16"/>
  <c r="H24816" i="16"/>
  <c r="H24817" i="16"/>
  <c r="H24818" i="16"/>
  <c r="H24819" i="16"/>
  <c r="H24820" i="16"/>
  <c r="H24821" i="16"/>
  <c r="H24822" i="16"/>
  <c r="H24823" i="16"/>
  <c r="H24824" i="16"/>
  <c r="H24825" i="16"/>
  <c r="H24826" i="16"/>
  <c r="H24827" i="16"/>
  <c r="H24828" i="16"/>
  <c r="H24829" i="16"/>
  <c r="H24830" i="16"/>
  <c r="H24831" i="16"/>
  <c r="H24832" i="16"/>
  <c r="H24833" i="16"/>
  <c r="H24834" i="16"/>
  <c r="H24835" i="16"/>
  <c r="H24836" i="16"/>
  <c r="H24837" i="16"/>
  <c r="H24838" i="16"/>
  <c r="H24839" i="16"/>
  <c r="H24840" i="16"/>
  <c r="H24841" i="16"/>
  <c r="H24842" i="16"/>
  <c r="H24843" i="16"/>
  <c r="H24844" i="16"/>
  <c r="H24845" i="16"/>
  <c r="H24846" i="16"/>
  <c r="H24847" i="16"/>
  <c r="H24848" i="16"/>
  <c r="H24849" i="16"/>
  <c r="H24850" i="16"/>
  <c r="H24851" i="16"/>
  <c r="H24852" i="16"/>
  <c r="H24853" i="16"/>
  <c r="H24854" i="16"/>
  <c r="H24855" i="16"/>
  <c r="H24856" i="16"/>
  <c r="H24857" i="16"/>
  <c r="H24858" i="16"/>
  <c r="H24859" i="16"/>
  <c r="H24860" i="16"/>
  <c r="H24861" i="16"/>
  <c r="H24862" i="16"/>
  <c r="H24863" i="16"/>
  <c r="H24864" i="16"/>
  <c r="H24865" i="16"/>
  <c r="H24866" i="16"/>
  <c r="H24867" i="16"/>
  <c r="H24868" i="16"/>
  <c r="H24869" i="16"/>
  <c r="H24870" i="16"/>
  <c r="H24871" i="16"/>
  <c r="H24872" i="16"/>
  <c r="H24873" i="16"/>
  <c r="H24874" i="16"/>
  <c r="H24875" i="16"/>
  <c r="H24876" i="16"/>
  <c r="H24877" i="16"/>
  <c r="H24878" i="16"/>
  <c r="H24879" i="16"/>
  <c r="H24880" i="16"/>
  <c r="H24881" i="16"/>
  <c r="H24882" i="16"/>
  <c r="H24883" i="16"/>
  <c r="H24884" i="16"/>
  <c r="H24885" i="16"/>
  <c r="H24886" i="16"/>
  <c r="H24887" i="16"/>
  <c r="H24888" i="16"/>
  <c r="H24889" i="16"/>
  <c r="H24890" i="16"/>
  <c r="H24891" i="16"/>
  <c r="H24892" i="16"/>
  <c r="H24893" i="16"/>
  <c r="H24894" i="16"/>
  <c r="H24895" i="16"/>
  <c r="H24896" i="16"/>
  <c r="H24897" i="16"/>
  <c r="H24898" i="16"/>
  <c r="H24899" i="16"/>
  <c r="H24900" i="16"/>
  <c r="H24901" i="16"/>
  <c r="H24902" i="16"/>
  <c r="H24903" i="16"/>
  <c r="H24904" i="16"/>
  <c r="H24905" i="16"/>
  <c r="H24906" i="16"/>
  <c r="H24907" i="16"/>
  <c r="H24908" i="16"/>
  <c r="H24909" i="16"/>
  <c r="H24910" i="16"/>
  <c r="H24911" i="16"/>
  <c r="H24912" i="16"/>
  <c r="H24913" i="16"/>
  <c r="H24914" i="16"/>
  <c r="H24915" i="16"/>
  <c r="H24916" i="16"/>
  <c r="H24917" i="16"/>
  <c r="H24918" i="16"/>
  <c r="H24919" i="16"/>
  <c r="H24920" i="16"/>
  <c r="H24921" i="16"/>
  <c r="H24922" i="16"/>
  <c r="H24923" i="16"/>
  <c r="H24924" i="16"/>
  <c r="H24925" i="16"/>
  <c r="H24926" i="16"/>
  <c r="H24927" i="16"/>
  <c r="H24928" i="16"/>
  <c r="H24929" i="16"/>
  <c r="H24930" i="16"/>
  <c r="H24931" i="16"/>
  <c r="H24932" i="16"/>
  <c r="H24933" i="16"/>
  <c r="H24934" i="16"/>
  <c r="H24935" i="16"/>
  <c r="H24936" i="16"/>
  <c r="H24937" i="16"/>
  <c r="H24938" i="16"/>
  <c r="H24939" i="16"/>
  <c r="H24940" i="16"/>
  <c r="H24941" i="16"/>
  <c r="H24942" i="16"/>
  <c r="H24943" i="16"/>
  <c r="H24944" i="16"/>
  <c r="H24945" i="16"/>
  <c r="H24946" i="16"/>
  <c r="H24947" i="16"/>
  <c r="H24948" i="16"/>
  <c r="H24949" i="16"/>
  <c r="H24950" i="16"/>
  <c r="H24951" i="16"/>
  <c r="H24952" i="16"/>
  <c r="H24953" i="16"/>
  <c r="H24954" i="16"/>
  <c r="H24955" i="16"/>
  <c r="H24956" i="16"/>
  <c r="H24957" i="16"/>
  <c r="H24958" i="16"/>
  <c r="H24959" i="16"/>
  <c r="H24960" i="16"/>
  <c r="H24961" i="16"/>
  <c r="H24962" i="16"/>
  <c r="H24963" i="16"/>
  <c r="H24964" i="16"/>
  <c r="H24965" i="16"/>
  <c r="H24966" i="16"/>
  <c r="H24967" i="16"/>
  <c r="H24968" i="16"/>
  <c r="H24969" i="16"/>
  <c r="H24970" i="16"/>
  <c r="H24971" i="16"/>
  <c r="H24972" i="16"/>
  <c r="H24973" i="16"/>
  <c r="H24974" i="16"/>
  <c r="H24975" i="16"/>
  <c r="H24976" i="16"/>
  <c r="H24977" i="16"/>
  <c r="H24978" i="16"/>
  <c r="H24979" i="16"/>
  <c r="H24980" i="16"/>
  <c r="H24981" i="16"/>
  <c r="H24982" i="16"/>
  <c r="H24983" i="16"/>
  <c r="H24984" i="16"/>
  <c r="H24985" i="16"/>
  <c r="H24986" i="16"/>
  <c r="H24987" i="16"/>
  <c r="H24988" i="16"/>
  <c r="H24989" i="16"/>
  <c r="H24990" i="16"/>
  <c r="H24991" i="16"/>
  <c r="H24992" i="16"/>
  <c r="H24993" i="16"/>
  <c r="H24994" i="16"/>
  <c r="H24995" i="16"/>
  <c r="H24996" i="16"/>
  <c r="H24997" i="16"/>
  <c r="H24998" i="16"/>
  <c r="H24999" i="16"/>
  <c r="H25000" i="16"/>
  <c r="H25001" i="16"/>
  <c r="H25002" i="16"/>
  <c r="H25003" i="16"/>
  <c r="H25004" i="16"/>
  <c r="H25005" i="16"/>
  <c r="H25006" i="16"/>
  <c r="H25007" i="16"/>
  <c r="H25008" i="16"/>
  <c r="H25009" i="16"/>
  <c r="H25010" i="16"/>
  <c r="H25011" i="16"/>
  <c r="H25012" i="16"/>
  <c r="H25013" i="16"/>
  <c r="H25014" i="16"/>
  <c r="H25015" i="16"/>
  <c r="H25016" i="16"/>
  <c r="H25017" i="16"/>
  <c r="H25018" i="16"/>
  <c r="H25019" i="16"/>
  <c r="H25020" i="16"/>
  <c r="H25021" i="16"/>
  <c r="H25022" i="16"/>
  <c r="H25023" i="16"/>
  <c r="H25024" i="16"/>
  <c r="H25025" i="16"/>
  <c r="H25026" i="16"/>
  <c r="H25027" i="16"/>
  <c r="H25028" i="16"/>
  <c r="H25029" i="16"/>
  <c r="H25030" i="16"/>
  <c r="H25031" i="16"/>
  <c r="H25032" i="16"/>
  <c r="H25033" i="16"/>
  <c r="H25034" i="16"/>
  <c r="H25035" i="16"/>
  <c r="H25036" i="16"/>
  <c r="H25037" i="16"/>
  <c r="H25038" i="16"/>
  <c r="H25039" i="16"/>
  <c r="H25040" i="16"/>
  <c r="H25041" i="16"/>
  <c r="H25042" i="16"/>
  <c r="H25043" i="16"/>
  <c r="H25044" i="16"/>
  <c r="H25045" i="16"/>
  <c r="H25046" i="16"/>
  <c r="H25047" i="16"/>
  <c r="H25048" i="16"/>
  <c r="H25049" i="16"/>
  <c r="H25050" i="16"/>
  <c r="H25051" i="16"/>
  <c r="H25052" i="16"/>
  <c r="H25053" i="16"/>
  <c r="H25054" i="16"/>
  <c r="H25055" i="16"/>
  <c r="H25056" i="16"/>
  <c r="H25057" i="16"/>
  <c r="H25058" i="16"/>
  <c r="H25059" i="16"/>
  <c r="H25060" i="16"/>
  <c r="H25061" i="16"/>
  <c r="H25062" i="16"/>
  <c r="H25063" i="16"/>
  <c r="H25064" i="16"/>
  <c r="H25065" i="16"/>
  <c r="H25066" i="16"/>
  <c r="H25067" i="16"/>
  <c r="H25068" i="16"/>
  <c r="H25069" i="16"/>
  <c r="H25070" i="16"/>
  <c r="H25071" i="16"/>
  <c r="H25072" i="16"/>
  <c r="H25073" i="16"/>
  <c r="H25074" i="16"/>
  <c r="H25075" i="16"/>
  <c r="H25076" i="16"/>
  <c r="H25077" i="16"/>
  <c r="H25078" i="16"/>
  <c r="H25079" i="16"/>
  <c r="H25080" i="16"/>
  <c r="H25081" i="16"/>
  <c r="H25082" i="16"/>
  <c r="H25083" i="16"/>
  <c r="H25084" i="16"/>
  <c r="H25085" i="16"/>
  <c r="H25086" i="16"/>
  <c r="H25087" i="16"/>
  <c r="H25088" i="16"/>
  <c r="H25089" i="16"/>
  <c r="H25090" i="16"/>
  <c r="H25091" i="16"/>
  <c r="H25092" i="16"/>
  <c r="H25093" i="16"/>
  <c r="H25094" i="16"/>
  <c r="H25095" i="16"/>
  <c r="H25096" i="16"/>
  <c r="H25097" i="16"/>
  <c r="H25098" i="16"/>
  <c r="H25099" i="16"/>
  <c r="H25100" i="16"/>
  <c r="H25101" i="16"/>
  <c r="H25102" i="16"/>
  <c r="H25103" i="16"/>
  <c r="H25104" i="16"/>
  <c r="H25105" i="16"/>
  <c r="H25106" i="16"/>
  <c r="H25107" i="16"/>
  <c r="H25108" i="16"/>
  <c r="H25109" i="16"/>
  <c r="H25110" i="16"/>
  <c r="H25111" i="16"/>
  <c r="H25112" i="16"/>
  <c r="H25113" i="16"/>
  <c r="H25114" i="16"/>
  <c r="H25115" i="16"/>
  <c r="H25116" i="16"/>
  <c r="H25117" i="16"/>
  <c r="H25118" i="16"/>
  <c r="H25119" i="16"/>
  <c r="H25120" i="16"/>
  <c r="H25121" i="16"/>
  <c r="H25122" i="16"/>
  <c r="H25123" i="16"/>
  <c r="H25124" i="16"/>
  <c r="H25125" i="16"/>
  <c r="H25126" i="16"/>
  <c r="H25127" i="16"/>
  <c r="H25128" i="16"/>
  <c r="H25129" i="16"/>
  <c r="H25130" i="16"/>
  <c r="H25131" i="16"/>
  <c r="H25132" i="16"/>
  <c r="H25133" i="16"/>
  <c r="H25134" i="16"/>
  <c r="H25135" i="16"/>
  <c r="H25136" i="16"/>
  <c r="H25137" i="16"/>
  <c r="H25138" i="16"/>
  <c r="H25139" i="16"/>
  <c r="H25140" i="16"/>
  <c r="H25141" i="16"/>
  <c r="H25142" i="16"/>
  <c r="H25143" i="16"/>
  <c r="H25144" i="16"/>
  <c r="H25145" i="16"/>
  <c r="H25146" i="16"/>
  <c r="H25147" i="16"/>
  <c r="H25148" i="16"/>
  <c r="H25149" i="16"/>
  <c r="H25150" i="16"/>
  <c r="H25151" i="16"/>
  <c r="H25152" i="16"/>
  <c r="H25153" i="16"/>
  <c r="H25154" i="16"/>
  <c r="H25155" i="16"/>
  <c r="H25156" i="16"/>
  <c r="H25157" i="16"/>
  <c r="H25158" i="16"/>
  <c r="H25159" i="16"/>
  <c r="H25160" i="16"/>
  <c r="H25161" i="16"/>
  <c r="H25162" i="16"/>
  <c r="H25163" i="16"/>
  <c r="H25164" i="16"/>
  <c r="H25165" i="16"/>
  <c r="H25166" i="16"/>
  <c r="H25167" i="16"/>
  <c r="H25168" i="16"/>
  <c r="H25169" i="16"/>
  <c r="H25170" i="16"/>
  <c r="H25171" i="16"/>
  <c r="H25172" i="16"/>
  <c r="H25173" i="16"/>
  <c r="H25174" i="16"/>
  <c r="H25175" i="16"/>
  <c r="H25176" i="16"/>
  <c r="H25177" i="16"/>
  <c r="H25178" i="16"/>
  <c r="H25179" i="16"/>
  <c r="H25180" i="16"/>
  <c r="H25181" i="16"/>
  <c r="H25182" i="16"/>
  <c r="H25183" i="16"/>
  <c r="H25184" i="16"/>
  <c r="H25185" i="16"/>
  <c r="H25186" i="16"/>
  <c r="H25187" i="16"/>
  <c r="H25188" i="16"/>
  <c r="H25189" i="16"/>
  <c r="H25190" i="16"/>
  <c r="H25191" i="16"/>
  <c r="H25192" i="16"/>
  <c r="H25193" i="16"/>
  <c r="H25194" i="16"/>
  <c r="H25195" i="16"/>
  <c r="H25196" i="16"/>
  <c r="H25197" i="16"/>
  <c r="H25198" i="16"/>
  <c r="H25199" i="16"/>
  <c r="H25200" i="16"/>
  <c r="H25201" i="16"/>
  <c r="H25202" i="16"/>
  <c r="H25203" i="16"/>
  <c r="H25204" i="16"/>
  <c r="H25205" i="16"/>
  <c r="H25206" i="16"/>
  <c r="H25207" i="16"/>
  <c r="H25208" i="16"/>
  <c r="H25209" i="16"/>
  <c r="H25210" i="16"/>
  <c r="H25211" i="16"/>
  <c r="H25212" i="16"/>
  <c r="H25213" i="16"/>
  <c r="H25214" i="16"/>
  <c r="H25215" i="16"/>
  <c r="H25216" i="16"/>
  <c r="H25217" i="16"/>
  <c r="H25218" i="16"/>
  <c r="H25219" i="16"/>
  <c r="H25220" i="16"/>
  <c r="H25221" i="16"/>
  <c r="H25222" i="16"/>
  <c r="H25223" i="16"/>
  <c r="H25224" i="16"/>
  <c r="H25225" i="16"/>
  <c r="H25226" i="16"/>
  <c r="H25227" i="16"/>
  <c r="H25228" i="16"/>
  <c r="H25229" i="16"/>
  <c r="H25230" i="16"/>
  <c r="H25231" i="16"/>
  <c r="H25232" i="16"/>
  <c r="H25233" i="16"/>
  <c r="H25234" i="16"/>
  <c r="H25235" i="16"/>
  <c r="H25236" i="16"/>
  <c r="H25237" i="16"/>
  <c r="H25238" i="16"/>
  <c r="H25239" i="16"/>
  <c r="H25240" i="16"/>
  <c r="H25241" i="16"/>
  <c r="H25242" i="16"/>
  <c r="H25243" i="16"/>
  <c r="H25244" i="16"/>
  <c r="H25245" i="16"/>
  <c r="H25246" i="16"/>
  <c r="H25247" i="16"/>
  <c r="H25248" i="16"/>
  <c r="H25249" i="16"/>
  <c r="H25250" i="16"/>
  <c r="H25251" i="16"/>
  <c r="H25252" i="16"/>
  <c r="H25253" i="16"/>
  <c r="H25254" i="16"/>
  <c r="H25255" i="16"/>
  <c r="H25256" i="16"/>
  <c r="H25257" i="16"/>
  <c r="H25258" i="16"/>
  <c r="H25259" i="16"/>
  <c r="H25260" i="16"/>
  <c r="H25261" i="16"/>
  <c r="H25262" i="16"/>
  <c r="H25263" i="16"/>
  <c r="H25264" i="16"/>
  <c r="H25265" i="16"/>
  <c r="H25266" i="16"/>
  <c r="H25267" i="16"/>
  <c r="H25268" i="16"/>
  <c r="H25269" i="16"/>
  <c r="H25270" i="16"/>
  <c r="H25271" i="16"/>
  <c r="H25272" i="16"/>
  <c r="H25273" i="16"/>
  <c r="H25274" i="16"/>
  <c r="H25275" i="16"/>
  <c r="H25276" i="16"/>
  <c r="H25277" i="16"/>
  <c r="H25278" i="16"/>
  <c r="H25279" i="16"/>
  <c r="H25280" i="16"/>
  <c r="H25281" i="16"/>
  <c r="H25282" i="16"/>
  <c r="H25283" i="16"/>
  <c r="H25284" i="16"/>
  <c r="H25285" i="16"/>
  <c r="H25286" i="16"/>
  <c r="H25287" i="16"/>
  <c r="H25288" i="16"/>
  <c r="H25289" i="16"/>
  <c r="H25290" i="16"/>
  <c r="H25291" i="16"/>
  <c r="H25292" i="16"/>
  <c r="H25293" i="16"/>
  <c r="H25294" i="16"/>
  <c r="H25295" i="16"/>
  <c r="H25296" i="16"/>
  <c r="H25297" i="16"/>
  <c r="H25298" i="16"/>
  <c r="H25299" i="16"/>
  <c r="H25300" i="16"/>
  <c r="H25301" i="16"/>
  <c r="H25302" i="16"/>
  <c r="H25303" i="16"/>
  <c r="H25304" i="16"/>
  <c r="H25305" i="16"/>
  <c r="H25306" i="16"/>
  <c r="H25307" i="16"/>
  <c r="H25308" i="16"/>
  <c r="H25309" i="16"/>
  <c r="H25310" i="16"/>
  <c r="H25311" i="16"/>
  <c r="H25312" i="16"/>
  <c r="H25313" i="16"/>
  <c r="H25314" i="16"/>
  <c r="H25315" i="16"/>
  <c r="H25316" i="16"/>
  <c r="H25317" i="16"/>
  <c r="H25318" i="16"/>
  <c r="H25319" i="16"/>
  <c r="H25320" i="16"/>
  <c r="H25321" i="16"/>
  <c r="H25322" i="16"/>
  <c r="H25323" i="16"/>
  <c r="H25324" i="16"/>
  <c r="H25325" i="16"/>
  <c r="H25326" i="16"/>
  <c r="H25327" i="16"/>
  <c r="H25328" i="16"/>
  <c r="H25329" i="16"/>
  <c r="H25330" i="16"/>
  <c r="H25331" i="16"/>
  <c r="H25332" i="16"/>
  <c r="H25333" i="16"/>
  <c r="H25334" i="16"/>
  <c r="H25335" i="16"/>
  <c r="H25336" i="16"/>
  <c r="H25337" i="16"/>
  <c r="H25338" i="16"/>
  <c r="H25339" i="16"/>
  <c r="H25340" i="16"/>
  <c r="H25341" i="16"/>
  <c r="H25342" i="16"/>
  <c r="H25343" i="16"/>
  <c r="H25344" i="16"/>
  <c r="H25345" i="16"/>
  <c r="H25346" i="16"/>
  <c r="H25347" i="16"/>
  <c r="H25348" i="16"/>
  <c r="H25349" i="16"/>
  <c r="H25350" i="16"/>
  <c r="H25351" i="16"/>
  <c r="H25352" i="16"/>
  <c r="H25353" i="16"/>
  <c r="H25354" i="16"/>
  <c r="H25355" i="16"/>
  <c r="H25356" i="16"/>
  <c r="H25357" i="16"/>
  <c r="H25358" i="16"/>
  <c r="H25359" i="16"/>
  <c r="H25360" i="16"/>
  <c r="H25361" i="16"/>
  <c r="H25362" i="16"/>
  <c r="H25363" i="16"/>
  <c r="H25364" i="16"/>
  <c r="H25365" i="16"/>
  <c r="H25366" i="16"/>
  <c r="H25367" i="16"/>
  <c r="H25368" i="16"/>
  <c r="H25369" i="16"/>
  <c r="H25370" i="16"/>
  <c r="H25371" i="16"/>
  <c r="H25372" i="16"/>
  <c r="H25373" i="16"/>
  <c r="H25374" i="16"/>
  <c r="H25375" i="16"/>
  <c r="H25376" i="16"/>
  <c r="H25377" i="16"/>
  <c r="H25378" i="16"/>
  <c r="H25379" i="16"/>
  <c r="H25380" i="16"/>
  <c r="H25381" i="16"/>
  <c r="H25382" i="16"/>
  <c r="H25383" i="16"/>
  <c r="H25384" i="16"/>
  <c r="H25385" i="16"/>
  <c r="H25386" i="16"/>
  <c r="H25387" i="16"/>
  <c r="H25388" i="16"/>
  <c r="H25389" i="16"/>
  <c r="H25390" i="16"/>
  <c r="H25391" i="16"/>
  <c r="H25392" i="16"/>
  <c r="H25393" i="16"/>
  <c r="H25394" i="16"/>
  <c r="H25395" i="16"/>
  <c r="H25396" i="16"/>
  <c r="H25397" i="16"/>
  <c r="H25398" i="16"/>
  <c r="H25399" i="16"/>
  <c r="H25400" i="16"/>
  <c r="H25401" i="16"/>
  <c r="H25402" i="16"/>
  <c r="H25403" i="16"/>
  <c r="H25404" i="16"/>
  <c r="H25405" i="16"/>
  <c r="H25406" i="16"/>
  <c r="H25407" i="16"/>
  <c r="H25408" i="16"/>
  <c r="H25409" i="16"/>
  <c r="H25410" i="16"/>
  <c r="H25411" i="16"/>
  <c r="H25412" i="16"/>
  <c r="H25413" i="16"/>
  <c r="H25414" i="16"/>
  <c r="H25415" i="16"/>
  <c r="H25416" i="16"/>
  <c r="H25417" i="16"/>
  <c r="H25418" i="16"/>
  <c r="H25419" i="16"/>
  <c r="H25420" i="16"/>
  <c r="H25421" i="16"/>
  <c r="H25422" i="16"/>
  <c r="H25423" i="16"/>
  <c r="H25424" i="16"/>
  <c r="H25425" i="16"/>
  <c r="H25426" i="16"/>
  <c r="H25427" i="16"/>
  <c r="H25428" i="16"/>
  <c r="H25429" i="16"/>
  <c r="H25430" i="16"/>
  <c r="H25431" i="16"/>
  <c r="H25432" i="16"/>
  <c r="H25433" i="16"/>
  <c r="H25434" i="16"/>
  <c r="H25435" i="16"/>
  <c r="H25436" i="16"/>
  <c r="H25437" i="16"/>
  <c r="H25438" i="16"/>
  <c r="H25439" i="16"/>
  <c r="H25440" i="16"/>
  <c r="H25441" i="16"/>
  <c r="H25442" i="16"/>
  <c r="H25443" i="16"/>
  <c r="H25444" i="16"/>
  <c r="H25445" i="16"/>
  <c r="H25446" i="16"/>
  <c r="H25447" i="16"/>
  <c r="H25448" i="16"/>
  <c r="H25449" i="16"/>
  <c r="H25450" i="16"/>
  <c r="H25451" i="16"/>
  <c r="H25452" i="16"/>
  <c r="H25453" i="16"/>
  <c r="H25454" i="16"/>
  <c r="H25455" i="16"/>
  <c r="H25456" i="16"/>
  <c r="H25457" i="16"/>
  <c r="H25458" i="16"/>
  <c r="H25459" i="16"/>
  <c r="H25460" i="16"/>
  <c r="H25461" i="16"/>
  <c r="H25462" i="16"/>
  <c r="H25463" i="16"/>
  <c r="H25464" i="16"/>
  <c r="H25465" i="16"/>
  <c r="H25466" i="16"/>
  <c r="H25467" i="16"/>
  <c r="H25468" i="16"/>
  <c r="H25469" i="16"/>
  <c r="H25470" i="16"/>
  <c r="H25471" i="16"/>
  <c r="H25472" i="16"/>
  <c r="H25473" i="16"/>
  <c r="H25474" i="16"/>
  <c r="H25475" i="16"/>
  <c r="H25476" i="16"/>
  <c r="H25477" i="16"/>
  <c r="H25478" i="16"/>
  <c r="H25479" i="16"/>
  <c r="H25480" i="16"/>
  <c r="H25481" i="16"/>
  <c r="H25482" i="16"/>
  <c r="H25483" i="16"/>
  <c r="H25484" i="16"/>
  <c r="H25485" i="16"/>
  <c r="H25486" i="16"/>
  <c r="H25487" i="16"/>
  <c r="H25488" i="16"/>
  <c r="H25489" i="16"/>
  <c r="H25490" i="16"/>
  <c r="H25491" i="16"/>
  <c r="H25492" i="16"/>
  <c r="H25493" i="16"/>
  <c r="H25494" i="16"/>
  <c r="H25495" i="16"/>
  <c r="H25496" i="16"/>
  <c r="H25497" i="16"/>
  <c r="H25498" i="16"/>
  <c r="H25499" i="16"/>
  <c r="H25500" i="16"/>
  <c r="H25501" i="16"/>
  <c r="H25502" i="16"/>
  <c r="H25503" i="16"/>
  <c r="H25504" i="16"/>
  <c r="H25505" i="16"/>
  <c r="H25506" i="16"/>
  <c r="H25507" i="16"/>
  <c r="H25508" i="16"/>
  <c r="H25509" i="16"/>
  <c r="H25510" i="16"/>
  <c r="H25511" i="16"/>
  <c r="H25512" i="16"/>
  <c r="H25513" i="16"/>
  <c r="H25514" i="16"/>
  <c r="H25515" i="16"/>
  <c r="H25516" i="16"/>
  <c r="H25517" i="16"/>
  <c r="H25518" i="16"/>
  <c r="H25519" i="16"/>
  <c r="H25520" i="16"/>
  <c r="H25521" i="16"/>
  <c r="H25522" i="16"/>
  <c r="H25523" i="16"/>
  <c r="H25524" i="16"/>
  <c r="H25525" i="16"/>
  <c r="H25526" i="16"/>
  <c r="H25527" i="16"/>
  <c r="H25528" i="16"/>
  <c r="H25529" i="16"/>
  <c r="H25530" i="16"/>
  <c r="H25531" i="16"/>
  <c r="H25532" i="16"/>
  <c r="H25533" i="16"/>
  <c r="H25534" i="16"/>
  <c r="H25535" i="16"/>
  <c r="H25536" i="16"/>
  <c r="H25537" i="16"/>
  <c r="H25538" i="16"/>
  <c r="H25539" i="16"/>
  <c r="H25540" i="16"/>
  <c r="H25541" i="16"/>
  <c r="H25542" i="16"/>
  <c r="H25543" i="16"/>
  <c r="H25544" i="16"/>
  <c r="H25545" i="16"/>
  <c r="H25546" i="16"/>
  <c r="H25547" i="16"/>
  <c r="H25548" i="16"/>
  <c r="H25549" i="16"/>
  <c r="H25550" i="16"/>
  <c r="H25551" i="16"/>
  <c r="H25552" i="16"/>
  <c r="H25553" i="16"/>
  <c r="H25554" i="16"/>
  <c r="H25555" i="16"/>
  <c r="H25556" i="16"/>
  <c r="H25557" i="16"/>
  <c r="H25558" i="16"/>
  <c r="H25559" i="16"/>
  <c r="H25560" i="16"/>
  <c r="H25561" i="16"/>
  <c r="H25562" i="16"/>
  <c r="H25563" i="16"/>
  <c r="H25564" i="16"/>
  <c r="H25565" i="16"/>
  <c r="H25566" i="16"/>
  <c r="H25567" i="16"/>
  <c r="H25568" i="16"/>
  <c r="H25569" i="16"/>
  <c r="H25570" i="16"/>
  <c r="H25571" i="16"/>
  <c r="H25572" i="16"/>
  <c r="H25573" i="16"/>
  <c r="H25574" i="16"/>
  <c r="H25575" i="16"/>
  <c r="H25576" i="16"/>
  <c r="H25577" i="16"/>
  <c r="H25578" i="16"/>
  <c r="H25579" i="16"/>
  <c r="H25580" i="16"/>
  <c r="H25581" i="16"/>
  <c r="H25582" i="16"/>
  <c r="H25583" i="16"/>
  <c r="H25584" i="16"/>
  <c r="H25585" i="16"/>
  <c r="H25586" i="16"/>
  <c r="H25587" i="16"/>
  <c r="H25588" i="16"/>
  <c r="H25589" i="16"/>
  <c r="H25590" i="16"/>
  <c r="H25591" i="16"/>
  <c r="H25592" i="16"/>
  <c r="H25593" i="16"/>
  <c r="H25594" i="16"/>
  <c r="H25595" i="16"/>
  <c r="H25596" i="16"/>
  <c r="H25597" i="16"/>
  <c r="H25598" i="16"/>
  <c r="H25599" i="16"/>
  <c r="H25600" i="16"/>
  <c r="H25601" i="16"/>
  <c r="H25602" i="16"/>
  <c r="H25603" i="16"/>
  <c r="H25604" i="16"/>
  <c r="H25605" i="16"/>
  <c r="H25606" i="16"/>
  <c r="H25607" i="16"/>
  <c r="H25608" i="16"/>
  <c r="H25609" i="16"/>
  <c r="H25610" i="16"/>
  <c r="H25611" i="16"/>
  <c r="H25612" i="16"/>
  <c r="H25613" i="16"/>
  <c r="H25614" i="16"/>
  <c r="H25615" i="16"/>
  <c r="H25616" i="16"/>
  <c r="H25617" i="16"/>
  <c r="H25618" i="16"/>
  <c r="H25619" i="16"/>
  <c r="H25620" i="16"/>
  <c r="H25621" i="16"/>
  <c r="H25622" i="16"/>
  <c r="H25623" i="16"/>
  <c r="H25624" i="16"/>
  <c r="H25625" i="16"/>
  <c r="H25626" i="16"/>
  <c r="H25627" i="16"/>
  <c r="H25628" i="16"/>
  <c r="H25629" i="16"/>
  <c r="H25630" i="16"/>
  <c r="H25631" i="16"/>
  <c r="H25632" i="16"/>
  <c r="H25633" i="16"/>
  <c r="H25634" i="16"/>
  <c r="H25635" i="16"/>
  <c r="H25636" i="16"/>
  <c r="H25637" i="16"/>
  <c r="H25638" i="16"/>
  <c r="H25639" i="16"/>
  <c r="H25640" i="16"/>
  <c r="H25641" i="16"/>
  <c r="H25642" i="16"/>
  <c r="H25643" i="16"/>
  <c r="H25644" i="16"/>
  <c r="H25645" i="16"/>
  <c r="H25646" i="16"/>
  <c r="H25647" i="16"/>
  <c r="H25648" i="16"/>
  <c r="H25649" i="16"/>
  <c r="H25650" i="16"/>
  <c r="H25651" i="16"/>
  <c r="H25652" i="16"/>
  <c r="H25653" i="16"/>
  <c r="H25654" i="16"/>
  <c r="H25655" i="16"/>
  <c r="H25656" i="16"/>
  <c r="H25657" i="16"/>
  <c r="H25658" i="16"/>
  <c r="H25659" i="16"/>
  <c r="H25660" i="16"/>
  <c r="H25661" i="16"/>
  <c r="H25662" i="16"/>
  <c r="H25663" i="16"/>
  <c r="H25664" i="16"/>
  <c r="H25665" i="16"/>
  <c r="H25666" i="16"/>
  <c r="H25667" i="16"/>
  <c r="H25668" i="16"/>
  <c r="H25669" i="16"/>
  <c r="H25670" i="16"/>
  <c r="H25671" i="16"/>
  <c r="H25672" i="16"/>
  <c r="H25673" i="16"/>
  <c r="H25674" i="16"/>
  <c r="H25675" i="16"/>
  <c r="H25676" i="16"/>
  <c r="H25677" i="16"/>
  <c r="H25678" i="16"/>
  <c r="H25679" i="16"/>
  <c r="H25680" i="16"/>
  <c r="H25681" i="16"/>
  <c r="H25682" i="16"/>
  <c r="H25683" i="16"/>
  <c r="H25684" i="16"/>
  <c r="H25685" i="16"/>
  <c r="H25686" i="16"/>
  <c r="H25687" i="16"/>
  <c r="H25688" i="16"/>
  <c r="H25689" i="16"/>
  <c r="H25690" i="16"/>
  <c r="H25691" i="16"/>
  <c r="H25692" i="16"/>
  <c r="H25693" i="16"/>
  <c r="H25694" i="16"/>
  <c r="H25695" i="16"/>
  <c r="H25696" i="16"/>
  <c r="H25697" i="16"/>
  <c r="H25698" i="16"/>
  <c r="H25699" i="16"/>
  <c r="H25700" i="16"/>
  <c r="H25701" i="16"/>
  <c r="H25702" i="16"/>
  <c r="H25703" i="16"/>
  <c r="H25704" i="16"/>
  <c r="H25705" i="16"/>
  <c r="H25706" i="16"/>
  <c r="H25707" i="16"/>
  <c r="H25708" i="16"/>
  <c r="H25709" i="16"/>
  <c r="H25710" i="16"/>
  <c r="H25711" i="16"/>
  <c r="H25712" i="16"/>
  <c r="H25713" i="16"/>
  <c r="H25714" i="16"/>
  <c r="H25715" i="16"/>
  <c r="H25716" i="16"/>
  <c r="H25717" i="16"/>
  <c r="H25718" i="16"/>
  <c r="H25719" i="16"/>
  <c r="H25720" i="16"/>
  <c r="H25721" i="16"/>
  <c r="H25722" i="16"/>
  <c r="H25723" i="16"/>
  <c r="H25724" i="16"/>
  <c r="H25725" i="16"/>
  <c r="H25726" i="16"/>
  <c r="H25727" i="16"/>
  <c r="H25728" i="16"/>
  <c r="H25729" i="16"/>
  <c r="H25730" i="16"/>
  <c r="H25731" i="16"/>
  <c r="H25732" i="16"/>
  <c r="H25733" i="16"/>
  <c r="H25734" i="16"/>
  <c r="H25735" i="16"/>
  <c r="H25736" i="16"/>
  <c r="H25737" i="16"/>
  <c r="H25738" i="16"/>
  <c r="H25739" i="16"/>
  <c r="H25740" i="16"/>
  <c r="H25741" i="16"/>
  <c r="H25742" i="16"/>
  <c r="H25743" i="16"/>
  <c r="H25744" i="16"/>
  <c r="H25745" i="16"/>
  <c r="H25746" i="16"/>
  <c r="H25747" i="16"/>
  <c r="H25748" i="16"/>
  <c r="H25749" i="16"/>
  <c r="H25750" i="16"/>
  <c r="H25751" i="16"/>
  <c r="H25752" i="16"/>
  <c r="H25753" i="16"/>
  <c r="H25754" i="16"/>
  <c r="H25755" i="16"/>
  <c r="H25756" i="16"/>
  <c r="H25757" i="16"/>
  <c r="H25758" i="16"/>
  <c r="H25759" i="16"/>
  <c r="H25760" i="16"/>
  <c r="H25761" i="16"/>
  <c r="H25762" i="16"/>
  <c r="H25763" i="16"/>
  <c r="H25764" i="16"/>
  <c r="H25765" i="16"/>
  <c r="H25766" i="16"/>
  <c r="H25767" i="16"/>
  <c r="H25768" i="16"/>
  <c r="H25769" i="16"/>
  <c r="H25770" i="16"/>
  <c r="H25771" i="16"/>
  <c r="H25772" i="16"/>
  <c r="H25773" i="16"/>
  <c r="H25774" i="16"/>
  <c r="H25775" i="16"/>
  <c r="H25776" i="16"/>
  <c r="H25777" i="16"/>
  <c r="H25778" i="16"/>
  <c r="H25779" i="16"/>
  <c r="H25780" i="16"/>
  <c r="H25781" i="16"/>
  <c r="H25782" i="16"/>
  <c r="H25783" i="16"/>
  <c r="H25784" i="16"/>
  <c r="H25785" i="16"/>
  <c r="H25786" i="16"/>
  <c r="H25787" i="16"/>
  <c r="H25788" i="16"/>
  <c r="H25789" i="16"/>
  <c r="H25790" i="16"/>
  <c r="H25791" i="16"/>
  <c r="H25792" i="16"/>
  <c r="H25793" i="16"/>
  <c r="H25794" i="16"/>
  <c r="H25795" i="16"/>
  <c r="H25796" i="16"/>
  <c r="H25797" i="16"/>
  <c r="H25798" i="16"/>
  <c r="H25799" i="16"/>
  <c r="H25800" i="16"/>
  <c r="H25801" i="16"/>
  <c r="H25802" i="16"/>
  <c r="H25803" i="16"/>
  <c r="H25804" i="16"/>
  <c r="H25805" i="16"/>
  <c r="H25806" i="16"/>
  <c r="H25807" i="16"/>
  <c r="H25808" i="16"/>
  <c r="H25809" i="16"/>
  <c r="H25810" i="16"/>
  <c r="H25811" i="16"/>
  <c r="H25812" i="16"/>
  <c r="H25813" i="16"/>
  <c r="H25814" i="16"/>
  <c r="H25815" i="16"/>
  <c r="H25816" i="16"/>
  <c r="H25817" i="16"/>
  <c r="H25818" i="16"/>
  <c r="H25819" i="16"/>
  <c r="H25820" i="16"/>
  <c r="H25821" i="16"/>
  <c r="H25822" i="16"/>
  <c r="H25823" i="16"/>
  <c r="H25824" i="16"/>
  <c r="H25825" i="16"/>
  <c r="H25826" i="16"/>
  <c r="H25827" i="16"/>
  <c r="H25828" i="16"/>
  <c r="H25829" i="16"/>
  <c r="H25830" i="16"/>
  <c r="H25831" i="16"/>
  <c r="H25832" i="16"/>
  <c r="H25833" i="16"/>
  <c r="H25834" i="16"/>
  <c r="H25835" i="16"/>
  <c r="H25836" i="16"/>
  <c r="H25837" i="16"/>
  <c r="H25838" i="16"/>
  <c r="H25839" i="16"/>
  <c r="H25840" i="16"/>
  <c r="H25841" i="16"/>
  <c r="H25842" i="16"/>
  <c r="H25843" i="16"/>
  <c r="H25844" i="16"/>
  <c r="H25845" i="16"/>
  <c r="H25846" i="16"/>
  <c r="H25847" i="16"/>
  <c r="H25848" i="16"/>
  <c r="H25849" i="16"/>
  <c r="H25850" i="16"/>
  <c r="H25851" i="16"/>
  <c r="H25852" i="16"/>
  <c r="H25853" i="16"/>
  <c r="H25854" i="16"/>
  <c r="H25855" i="16"/>
  <c r="H25856" i="16"/>
  <c r="H25857" i="16"/>
  <c r="H25858" i="16"/>
  <c r="H25859" i="16"/>
  <c r="H25860" i="16"/>
  <c r="H25861" i="16"/>
  <c r="H25862" i="16"/>
  <c r="H25863" i="16"/>
  <c r="H25864" i="16"/>
  <c r="H25865" i="16"/>
  <c r="H25866" i="16"/>
  <c r="H25867" i="16"/>
  <c r="H25868" i="16"/>
  <c r="H25869" i="16"/>
  <c r="H25870" i="16"/>
  <c r="H25871" i="16"/>
  <c r="H25872" i="16"/>
  <c r="H25873" i="16"/>
  <c r="H25874" i="16"/>
  <c r="H25875" i="16"/>
  <c r="H25876" i="16"/>
  <c r="H25877" i="16"/>
  <c r="H25878" i="16"/>
  <c r="H25879" i="16"/>
  <c r="H25880" i="16"/>
  <c r="H25881" i="16"/>
  <c r="H25882" i="16"/>
  <c r="H25883" i="16"/>
  <c r="H25884" i="16"/>
  <c r="H25885" i="16"/>
  <c r="H25886" i="16"/>
  <c r="H25887" i="16"/>
  <c r="H25888" i="16"/>
  <c r="H25889" i="16"/>
  <c r="H25890" i="16"/>
  <c r="H25891" i="16"/>
  <c r="H25892" i="16"/>
  <c r="H25893" i="16"/>
  <c r="H25894" i="16"/>
  <c r="H25895" i="16"/>
  <c r="H25896" i="16"/>
  <c r="H25897" i="16"/>
  <c r="H25898" i="16"/>
  <c r="H25899" i="16"/>
  <c r="H25900" i="16"/>
  <c r="H25901" i="16"/>
  <c r="H25902" i="16"/>
  <c r="H25903" i="16"/>
  <c r="H25904" i="16"/>
  <c r="H25905" i="16"/>
  <c r="H25906" i="16"/>
  <c r="H25907" i="16"/>
  <c r="H25908" i="16"/>
  <c r="H25909" i="16"/>
  <c r="H25910" i="16"/>
  <c r="H25911" i="16"/>
  <c r="H25912" i="16"/>
  <c r="H25913" i="16"/>
  <c r="H25914" i="16"/>
  <c r="H25915" i="16"/>
  <c r="H25916" i="16"/>
  <c r="H25917" i="16"/>
  <c r="H25918" i="16"/>
  <c r="H25919" i="16"/>
  <c r="H25920" i="16"/>
  <c r="H25921" i="16"/>
  <c r="H25922" i="16"/>
  <c r="H25923" i="16"/>
  <c r="H25924" i="16"/>
  <c r="H25925" i="16"/>
  <c r="H25926" i="16"/>
  <c r="H25927" i="16"/>
  <c r="H25928" i="16"/>
  <c r="H25929" i="16"/>
  <c r="H25930" i="16"/>
  <c r="H25931" i="16"/>
  <c r="H25932" i="16"/>
  <c r="H25933" i="16"/>
  <c r="H25934" i="16"/>
  <c r="H25935" i="16"/>
  <c r="H25936" i="16"/>
  <c r="H25937" i="16"/>
  <c r="H25938" i="16"/>
  <c r="H25939" i="16"/>
  <c r="H25940" i="16"/>
  <c r="H25941" i="16"/>
  <c r="H25942" i="16"/>
  <c r="H25943" i="16"/>
  <c r="H25944" i="16"/>
  <c r="H25945" i="16"/>
  <c r="H25946" i="16"/>
  <c r="H25947" i="16"/>
  <c r="H25948" i="16"/>
  <c r="H25949" i="16"/>
  <c r="H25950" i="16"/>
  <c r="H25951" i="16"/>
  <c r="H25952" i="16"/>
  <c r="H25953" i="16"/>
  <c r="H25954" i="16"/>
  <c r="H25955" i="16"/>
  <c r="H25956" i="16"/>
  <c r="H25957" i="16"/>
  <c r="H25958" i="16"/>
  <c r="H25959" i="16"/>
  <c r="H25960" i="16"/>
  <c r="H25961" i="16"/>
  <c r="H25962" i="16"/>
  <c r="H25963" i="16"/>
  <c r="H25964" i="16"/>
  <c r="H25965" i="16"/>
  <c r="H25966" i="16"/>
  <c r="H25967" i="16"/>
  <c r="H25968" i="16"/>
  <c r="H25969" i="16"/>
  <c r="H25970" i="16"/>
  <c r="H25971" i="16"/>
  <c r="H25972" i="16"/>
  <c r="H25973" i="16"/>
  <c r="H25974" i="16"/>
  <c r="H25975" i="16"/>
  <c r="H25976" i="16"/>
  <c r="H25977" i="16"/>
  <c r="H25978" i="16"/>
  <c r="H25979" i="16"/>
  <c r="H25980" i="16"/>
  <c r="H25981" i="16"/>
  <c r="H25982" i="16"/>
  <c r="H25983" i="16"/>
  <c r="H25984" i="16"/>
  <c r="H25985" i="16"/>
  <c r="H25986" i="16"/>
  <c r="H25987" i="16"/>
  <c r="H25988" i="16"/>
  <c r="H25989" i="16"/>
  <c r="H25990" i="16"/>
  <c r="H25991" i="16"/>
  <c r="H25992" i="16"/>
  <c r="H25993" i="16"/>
  <c r="H25994" i="16"/>
  <c r="H25995" i="16"/>
  <c r="H25996" i="16"/>
  <c r="H25997" i="16"/>
  <c r="H25998" i="16"/>
  <c r="H25999" i="16"/>
  <c r="H26000" i="16"/>
  <c r="H26001" i="16"/>
  <c r="H26002" i="16"/>
  <c r="H26003" i="16"/>
  <c r="H26004" i="16"/>
  <c r="H26005" i="16"/>
  <c r="H26006" i="16"/>
  <c r="H26007" i="16"/>
  <c r="H26008" i="16"/>
  <c r="H26009" i="16"/>
  <c r="H26010" i="16"/>
  <c r="H26011" i="16"/>
  <c r="H26012" i="16"/>
  <c r="H26013" i="16"/>
  <c r="H26014" i="16"/>
  <c r="H26015" i="16"/>
  <c r="H26016" i="16"/>
  <c r="H26017" i="16"/>
  <c r="H26018" i="16"/>
  <c r="H26019" i="16"/>
  <c r="H26020" i="16"/>
  <c r="H26021" i="16"/>
  <c r="H26022" i="16"/>
  <c r="H26023" i="16"/>
  <c r="H26024" i="16"/>
  <c r="H26025" i="16"/>
  <c r="H26026" i="16"/>
  <c r="H26027" i="16"/>
  <c r="H26028" i="16"/>
  <c r="H26029" i="16"/>
  <c r="H26030" i="16"/>
  <c r="H26031" i="16"/>
  <c r="H26032" i="16"/>
  <c r="H26033" i="16"/>
  <c r="H26034" i="16"/>
  <c r="H26035" i="16"/>
  <c r="H26036" i="16"/>
  <c r="H26037" i="16"/>
  <c r="H26038" i="16"/>
  <c r="H26039" i="16"/>
  <c r="H26040" i="16"/>
  <c r="H26041" i="16"/>
  <c r="H26042" i="16"/>
  <c r="H26043" i="16"/>
  <c r="H26044" i="16"/>
  <c r="H26045" i="16"/>
  <c r="H26046" i="16"/>
  <c r="H26047" i="16"/>
  <c r="H26048" i="16"/>
  <c r="H26049" i="16"/>
  <c r="H26050" i="16"/>
  <c r="H26051" i="16"/>
  <c r="H26052" i="16"/>
  <c r="H26053" i="16"/>
  <c r="H26054" i="16"/>
  <c r="H26055" i="16"/>
  <c r="H26056" i="16"/>
  <c r="H26057" i="16"/>
  <c r="H26058" i="16"/>
  <c r="H26059" i="16"/>
  <c r="H26060" i="16"/>
  <c r="H26061" i="16"/>
  <c r="H26062" i="16"/>
  <c r="H26063" i="16"/>
  <c r="H26064" i="16"/>
  <c r="H26065" i="16"/>
  <c r="H26066" i="16"/>
  <c r="H26067" i="16"/>
  <c r="H26068" i="16"/>
  <c r="H26069" i="16"/>
  <c r="H26070" i="16"/>
  <c r="H26071" i="16"/>
  <c r="H26072" i="16"/>
  <c r="H26073" i="16"/>
  <c r="H26074" i="16"/>
  <c r="H26075" i="16"/>
  <c r="H26076" i="16"/>
  <c r="H26077" i="16"/>
  <c r="H26078" i="16"/>
  <c r="H26079" i="16"/>
  <c r="H26080" i="16"/>
  <c r="H26081" i="16"/>
  <c r="H26082" i="16"/>
  <c r="H26083" i="16"/>
  <c r="H26084" i="16"/>
  <c r="H26085" i="16"/>
  <c r="H26086" i="16"/>
  <c r="H26087" i="16"/>
  <c r="H26088" i="16"/>
  <c r="H26089" i="16"/>
  <c r="H26090" i="16"/>
  <c r="H26091" i="16"/>
  <c r="H26092" i="16"/>
  <c r="H26093" i="16"/>
  <c r="H26094" i="16"/>
  <c r="H26095" i="16"/>
  <c r="H26096" i="16"/>
  <c r="H26097" i="16"/>
  <c r="H26098" i="16"/>
  <c r="H26099" i="16"/>
  <c r="H26100" i="16"/>
  <c r="H26101" i="16"/>
  <c r="H26102" i="16"/>
  <c r="H26103" i="16"/>
  <c r="H26104" i="16"/>
  <c r="H26105" i="16"/>
  <c r="H26106" i="16"/>
  <c r="H26107" i="16"/>
  <c r="H26108" i="16"/>
  <c r="H26109" i="16"/>
  <c r="H26110" i="16"/>
  <c r="H26111" i="16"/>
  <c r="H26112" i="16"/>
  <c r="H26113" i="16"/>
  <c r="H26114" i="16"/>
  <c r="H26115" i="16"/>
  <c r="H26116" i="16"/>
  <c r="H26117" i="16"/>
  <c r="H26118" i="16"/>
  <c r="H26119" i="16"/>
  <c r="H26120" i="16"/>
  <c r="H26121" i="16"/>
  <c r="H26122" i="16"/>
  <c r="H26123" i="16"/>
  <c r="H26124" i="16"/>
  <c r="H26125" i="16"/>
  <c r="H26126" i="16"/>
  <c r="H26127" i="16"/>
  <c r="H26128" i="16"/>
  <c r="H26129" i="16"/>
  <c r="H26130" i="16"/>
  <c r="H26131" i="16"/>
  <c r="H26132" i="16"/>
  <c r="H26133" i="16"/>
  <c r="H26134" i="16"/>
  <c r="H26135" i="16"/>
  <c r="H26136" i="16"/>
  <c r="H26137" i="16"/>
  <c r="H26138" i="16"/>
  <c r="H26139" i="16"/>
  <c r="H26140" i="16"/>
  <c r="H26141" i="16"/>
  <c r="H26142" i="16"/>
  <c r="H26143" i="16"/>
  <c r="H26144" i="16"/>
  <c r="H26145" i="16"/>
  <c r="H26146" i="16"/>
  <c r="H26147" i="16"/>
  <c r="H26148" i="16"/>
  <c r="H26149" i="16"/>
  <c r="H26150" i="16"/>
  <c r="H26151" i="16"/>
  <c r="H26152" i="16"/>
  <c r="H26153" i="16"/>
  <c r="H26154" i="16"/>
  <c r="H26155" i="16"/>
  <c r="H26156" i="16"/>
  <c r="H26157" i="16"/>
  <c r="H26158" i="16"/>
  <c r="H26159" i="16"/>
  <c r="H26160" i="16"/>
  <c r="H26161" i="16"/>
  <c r="H26162" i="16"/>
  <c r="H26163" i="16"/>
  <c r="H26164" i="16"/>
  <c r="H26165" i="16"/>
  <c r="H26166" i="16"/>
  <c r="H26167" i="16"/>
  <c r="H26168" i="16"/>
  <c r="H26169" i="16"/>
  <c r="H26170" i="16"/>
  <c r="H26171" i="16"/>
  <c r="H26172" i="16"/>
  <c r="H26173" i="16"/>
  <c r="H26174" i="16"/>
  <c r="H26175" i="16"/>
  <c r="H26176" i="16"/>
  <c r="H26177" i="16"/>
  <c r="H26178" i="16"/>
  <c r="H26179" i="16"/>
  <c r="H26180" i="16"/>
  <c r="H26181" i="16"/>
  <c r="H26182" i="16"/>
  <c r="H26183" i="16"/>
  <c r="H26184" i="16"/>
  <c r="H26185" i="16"/>
  <c r="H26186" i="16"/>
  <c r="H26187" i="16"/>
  <c r="H26188" i="16"/>
  <c r="H26189" i="16"/>
  <c r="H26190" i="16"/>
  <c r="H26191" i="16"/>
  <c r="H26192" i="16"/>
  <c r="H26193" i="16"/>
  <c r="H26194" i="16"/>
  <c r="H26195" i="16"/>
  <c r="H26196" i="16"/>
  <c r="H26197" i="16"/>
  <c r="H26198" i="16"/>
  <c r="H26199" i="16"/>
  <c r="H26200" i="16"/>
  <c r="H26201" i="16"/>
  <c r="H26202" i="16"/>
  <c r="H26203" i="16"/>
  <c r="H26204" i="16"/>
  <c r="H26205" i="16"/>
  <c r="H26206" i="16"/>
  <c r="H26207" i="16"/>
  <c r="H26208" i="16"/>
  <c r="H26209" i="16"/>
  <c r="H26210" i="16"/>
  <c r="H26211" i="16"/>
  <c r="H26212" i="16"/>
  <c r="H26213" i="16"/>
  <c r="H26214" i="16"/>
  <c r="H26215" i="16"/>
  <c r="H26216" i="16"/>
  <c r="H26217" i="16"/>
  <c r="H26218" i="16"/>
  <c r="H26219" i="16"/>
  <c r="H26220" i="16"/>
  <c r="H26221" i="16"/>
  <c r="H26222" i="16"/>
  <c r="H26223" i="16"/>
  <c r="H26224" i="16"/>
  <c r="H26225" i="16"/>
  <c r="H26226" i="16"/>
  <c r="H26227" i="16"/>
  <c r="H26228" i="16"/>
  <c r="H26229" i="16"/>
  <c r="H26230" i="16"/>
  <c r="H26231" i="16"/>
  <c r="H26232" i="16"/>
  <c r="H26233" i="16"/>
  <c r="H26234" i="16"/>
  <c r="H26235" i="16"/>
  <c r="H26236" i="16"/>
  <c r="H26237" i="16"/>
  <c r="H26238" i="16"/>
  <c r="H26239" i="16"/>
  <c r="H26240" i="16"/>
  <c r="H26241" i="16"/>
  <c r="H26242" i="16"/>
  <c r="H26243" i="16"/>
  <c r="H26244" i="16"/>
  <c r="H26245" i="16"/>
  <c r="H26246" i="16"/>
  <c r="H26247" i="16"/>
  <c r="H26248" i="16"/>
  <c r="H26249" i="16"/>
  <c r="H26250" i="16"/>
  <c r="H26251" i="16"/>
  <c r="H26252" i="16"/>
  <c r="H26253" i="16"/>
  <c r="H26254" i="16"/>
  <c r="H26255" i="16"/>
  <c r="H26256" i="16"/>
  <c r="H26257" i="16"/>
  <c r="H26258" i="16"/>
  <c r="H26259" i="16"/>
  <c r="H26260" i="16"/>
  <c r="H26261" i="16"/>
  <c r="H26262" i="16"/>
  <c r="H26263" i="16"/>
  <c r="H26264" i="16"/>
  <c r="H26265" i="16"/>
  <c r="H26266" i="16"/>
  <c r="H26267" i="16"/>
  <c r="H26268" i="16"/>
  <c r="H26269" i="16"/>
  <c r="H26270" i="16"/>
  <c r="H26271" i="16"/>
  <c r="H26272" i="16"/>
  <c r="H26273" i="16"/>
  <c r="H26274" i="16"/>
  <c r="H26275" i="16"/>
  <c r="H26276" i="16"/>
  <c r="H26277" i="16"/>
  <c r="H26278" i="16"/>
  <c r="H26279" i="16"/>
  <c r="H26280" i="16"/>
  <c r="H26281" i="16"/>
  <c r="H26282" i="16"/>
  <c r="H26283" i="16"/>
  <c r="H26284" i="16"/>
  <c r="H26285" i="16"/>
  <c r="H26286" i="16"/>
  <c r="H26287" i="16"/>
  <c r="H26288" i="16"/>
  <c r="H26289" i="16"/>
  <c r="H26290" i="16"/>
  <c r="H26291" i="16"/>
  <c r="H26292" i="16"/>
  <c r="H26293" i="16"/>
  <c r="H26294" i="16"/>
  <c r="H26295" i="16"/>
  <c r="H26296" i="16"/>
  <c r="H26297" i="16"/>
  <c r="H26298" i="16"/>
  <c r="H26299" i="16"/>
  <c r="H26300" i="16"/>
  <c r="H26301" i="16"/>
  <c r="H26302" i="16"/>
  <c r="H26303" i="16"/>
  <c r="H26304" i="16"/>
  <c r="H26305" i="16"/>
  <c r="H26306" i="16"/>
  <c r="H26307" i="16"/>
  <c r="H26308" i="16"/>
  <c r="H26309" i="16"/>
  <c r="H26310" i="16"/>
  <c r="H26311" i="16"/>
  <c r="H26312" i="16"/>
  <c r="H26313" i="16"/>
  <c r="H26314" i="16"/>
  <c r="H26315" i="16"/>
  <c r="H26316" i="16"/>
  <c r="H26317" i="16"/>
  <c r="H26318" i="16"/>
  <c r="H26319" i="16"/>
  <c r="H26320" i="16"/>
  <c r="H26321" i="16"/>
  <c r="H26322" i="16"/>
  <c r="H26323" i="16"/>
  <c r="H26324" i="16"/>
  <c r="H26325" i="16"/>
  <c r="H26326" i="16"/>
  <c r="H26327" i="16"/>
  <c r="H26328" i="16"/>
  <c r="H26329" i="16"/>
  <c r="H26330" i="16"/>
  <c r="H26331" i="16"/>
  <c r="H26332" i="16"/>
  <c r="H26333" i="16"/>
  <c r="H26334" i="16"/>
  <c r="H26335" i="16"/>
  <c r="H26336" i="16"/>
  <c r="H26337" i="16"/>
  <c r="H26338" i="16"/>
  <c r="H26339" i="16"/>
  <c r="H26340" i="16"/>
  <c r="H26341" i="16"/>
  <c r="H26342" i="16"/>
  <c r="H26343" i="16"/>
  <c r="H26344" i="16"/>
  <c r="H26345" i="16"/>
  <c r="H26346" i="16"/>
  <c r="H26347" i="16"/>
  <c r="H26348" i="16"/>
  <c r="H26349" i="16"/>
  <c r="H26350" i="16"/>
  <c r="H26351" i="16"/>
  <c r="H26352" i="16"/>
  <c r="H26353" i="16"/>
  <c r="H26354" i="16"/>
  <c r="H26355" i="16"/>
  <c r="H26356" i="16"/>
  <c r="H26357" i="16"/>
  <c r="H26358" i="16"/>
  <c r="H26359" i="16"/>
  <c r="H26360" i="16"/>
  <c r="H26361" i="16"/>
  <c r="H26362" i="16"/>
  <c r="H26363" i="16"/>
  <c r="H26364" i="16"/>
  <c r="H26365" i="16"/>
  <c r="H26366" i="16"/>
  <c r="H26367" i="16"/>
  <c r="H26368" i="16"/>
  <c r="H26369" i="16"/>
  <c r="H26370" i="16"/>
  <c r="H26371" i="16"/>
  <c r="H26372" i="16"/>
  <c r="H26373" i="16"/>
  <c r="H26374" i="16"/>
  <c r="H26375" i="16"/>
  <c r="H26376" i="16"/>
  <c r="H26377" i="16"/>
  <c r="H26378" i="16"/>
  <c r="H26379" i="16"/>
  <c r="H26380" i="16"/>
  <c r="H26381" i="16"/>
  <c r="H26382" i="16"/>
  <c r="H26383" i="16"/>
  <c r="H26384" i="16"/>
  <c r="H26385" i="16"/>
  <c r="H26386" i="16"/>
  <c r="H26387" i="16"/>
  <c r="H26388" i="16"/>
  <c r="H26389" i="16"/>
  <c r="H26390" i="16"/>
  <c r="H26391" i="16"/>
  <c r="H26392" i="16"/>
  <c r="H26393" i="16"/>
  <c r="H26394" i="16"/>
  <c r="H26395" i="16"/>
  <c r="H26396" i="16"/>
  <c r="H26397" i="16"/>
  <c r="H26398" i="16"/>
  <c r="H26399" i="16"/>
  <c r="H26400" i="16"/>
  <c r="H26401" i="16"/>
  <c r="H26402" i="16"/>
  <c r="H26403" i="16"/>
  <c r="H26404" i="16"/>
  <c r="H26405" i="16"/>
  <c r="H26406" i="16"/>
  <c r="H26407" i="16"/>
  <c r="H26408" i="16"/>
  <c r="H26409" i="16"/>
  <c r="H26410" i="16"/>
  <c r="H26411" i="16"/>
  <c r="H26412" i="16"/>
  <c r="H26413" i="16"/>
  <c r="H26414" i="16"/>
  <c r="H26415" i="16"/>
  <c r="H26416" i="16"/>
  <c r="H26417" i="16"/>
  <c r="H26418" i="16"/>
  <c r="H26419" i="16"/>
  <c r="H26420" i="16"/>
  <c r="H26421" i="16"/>
  <c r="H26422" i="16"/>
  <c r="H26423" i="16"/>
  <c r="H26424" i="16"/>
  <c r="H26425" i="16"/>
  <c r="H26426" i="16"/>
  <c r="H26427" i="16"/>
  <c r="H26428" i="16"/>
  <c r="H26429" i="16"/>
  <c r="H26430" i="16"/>
  <c r="H26431" i="16"/>
  <c r="H26432" i="16"/>
  <c r="H26433" i="16"/>
  <c r="H26434" i="16"/>
  <c r="H26435" i="16"/>
  <c r="H26436" i="16"/>
  <c r="H26437" i="16"/>
  <c r="H26438" i="16"/>
  <c r="H26439" i="16"/>
  <c r="H26440" i="16"/>
  <c r="H26441" i="16"/>
  <c r="H26442" i="16"/>
  <c r="H26443" i="16"/>
  <c r="H26444" i="16"/>
  <c r="H26445" i="16"/>
  <c r="H26446" i="16"/>
  <c r="H26447" i="16"/>
  <c r="H26448" i="16"/>
  <c r="H26449" i="16"/>
  <c r="H26450" i="16"/>
  <c r="H26451" i="16"/>
  <c r="H26452" i="16"/>
  <c r="H26453" i="16"/>
  <c r="H26454" i="16"/>
  <c r="H26455" i="16"/>
  <c r="H26456" i="16"/>
  <c r="H26457" i="16"/>
  <c r="H26458" i="16"/>
  <c r="H26459" i="16"/>
  <c r="H26460" i="16"/>
  <c r="H26461" i="16"/>
  <c r="H26462" i="16"/>
  <c r="H26463" i="16"/>
  <c r="H26464" i="16"/>
  <c r="H26465" i="16"/>
  <c r="H26466" i="16"/>
  <c r="H26467" i="16"/>
  <c r="H26468" i="16"/>
  <c r="H26469" i="16"/>
  <c r="H26470" i="16"/>
  <c r="H26471" i="16"/>
  <c r="H26472" i="16"/>
  <c r="H26473" i="16"/>
  <c r="H26474" i="16"/>
  <c r="H26475" i="16"/>
  <c r="H26476" i="16"/>
  <c r="H26477" i="16"/>
  <c r="H26478" i="16"/>
  <c r="H26479" i="16"/>
  <c r="H26480" i="16"/>
  <c r="H26481" i="16"/>
  <c r="H26482" i="16"/>
  <c r="H26483" i="16"/>
  <c r="H26484" i="16"/>
  <c r="H26485" i="16"/>
  <c r="H26486" i="16"/>
  <c r="H26487" i="16"/>
  <c r="H26488" i="16"/>
  <c r="H26489" i="16"/>
  <c r="H26490" i="16"/>
  <c r="H26491" i="16"/>
  <c r="H26492" i="16"/>
  <c r="H26493" i="16"/>
  <c r="H26494" i="16"/>
  <c r="H26495" i="16"/>
  <c r="H26496" i="16"/>
  <c r="H26497" i="16"/>
  <c r="H26498" i="16"/>
  <c r="H26499" i="16"/>
  <c r="H26500" i="16"/>
  <c r="H26501" i="16"/>
  <c r="H26502" i="16"/>
  <c r="H26503" i="16"/>
  <c r="H26504" i="16"/>
  <c r="H26505" i="16"/>
  <c r="H26506" i="16"/>
  <c r="H26507" i="16"/>
  <c r="H26508" i="16"/>
  <c r="H26509" i="16"/>
  <c r="H26510" i="16"/>
  <c r="H26511" i="16"/>
  <c r="H26512" i="16"/>
  <c r="H26513" i="16"/>
  <c r="H26514" i="16"/>
  <c r="H26515" i="16"/>
  <c r="H26516" i="16"/>
  <c r="H26517" i="16"/>
  <c r="H26518" i="16"/>
  <c r="H26519" i="16"/>
  <c r="H26520" i="16"/>
  <c r="H26521" i="16"/>
  <c r="H26522" i="16"/>
  <c r="H26523" i="16"/>
  <c r="H26524" i="16"/>
  <c r="H26525" i="16"/>
  <c r="H26526" i="16"/>
  <c r="H26527" i="16"/>
  <c r="H26528" i="16"/>
  <c r="H26529" i="16"/>
  <c r="H26530" i="16"/>
  <c r="H26531" i="16"/>
  <c r="H26532" i="16"/>
  <c r="H26533" i="16"/>
  <c r="H26534" i="16"/>
  <c r="H26535" i="16"/>
  <c r="H26536" i="16"/>
  <c r="H26537" i="16"/>
  <c r="H26538" i="16"/>
  <c r="H26539" i="16"/>
  <c r="H26540" i="16"/>
  <c r="H26541" i="16"/>
  <c r="H26542" i="16"/>
  <c r="H26543" i="16"/>
  <c r="H26544" i="16"/>
  <c r="H26545" i="16"/>
  <c r="H26546" i="16"/>
  <c r="H26547" i="16"/>
  <c r="H26548" i="16"/>
  <c r="H26549" i="16"/>
  <c r="H26550" i="16"/>
  <c r="H26551" i="16"/>
  <c r="H26552" i="16"/>
  <c r="H26553" i="16"/>
  <c r="H26554" i="16"/>
  <c r="H26555" i="16"/>
  <c r="H26556" i="16"/>
  <c r="H26557" i="16"/>
  <c r="H26558" i="16"/>
  <c r="H26559" i="16"/>
  <c r="H26560" i="16"/>
  <c r="H26561" i="16"/>
  <c r="H26562" i="16"/>
  <c r="H26563" i="16"/>
  <c r="H26564" i="16"/>
  <c r="H26565" i="16"/>
  <c r="H26566" i="16"/>
  <c r="H26567" i="16"/>
  <c r="H26568" i="16"/>
  <c r="H26569" i="16"/>
  <c r="H26570" i="16"/>
  <c r="H26571" i="16"/>
  <c r="H26572" i="16"/>
  <c r="H26573" i="16"/>
  <c r="H26574" i="16"/>
  <c r="H26575" i="16"/>
  <c r="H26576" i="16"/>
  <c r="H26577" i="16"/>
  <c r="H26578" i="16"/>
  <c r="H26579" i="16"/>
  <c r="H26580" i="16"/>
  <c r="H26581" i="16"/>
  <c r="H26582" i="16"/>
  <c r="H26583" i="16"/>
  <c r="H26584" i="16"/>
  <c r="H26585" i="16"/>
  <c r="H26586" i="16"/>
  <c r="H26587" i="16"/>
  <c r="H26588" i="16"/>
  <c r="H26589" i="16"/>
  <c r="H26590" i="16"/>
  <c r="H26591" i="16"/>
  <c r="H26592" i="16"/>
  <c r="H26593" i="16"/>
  <c r="H26594" i="16"/>
  <c r="H26595" i="16"/>
  <c r="H26596" i="16"/>
  <c r="H26597" i="16"/>
  <c r="H26598" i="16"/>
  <c r="H26599" i="16"/>
  <c r="H26600" i="16"/>
  <c r="H26601" i="16"/>
  <c r="H26602" i="16"/>
  <c r="H26603" i="16"/>
  <c r="H26604" i="16"/>
  <c r="H26605" i="16"/>
  <c r="H26606" i="16"/>
  <c r="H26607" i="16"/>
  <c r="H26608" i="16"/>
  <c r="H26609" i="16"/>
  <c r="H26610" i="16"/>
  <c r="H26611" i="16"/>
  <c r="H26612" i="16"/>
  <c r="H26613" i="16"/>
  <c r="H26614" i="16"/>
  <c r="H26615" i="16"/>
  <c r="H26616" i="16"/>
  <c r="H26617" i="16"/>
  <c r="H26618" i="16"/>
  <c r="H26619" i="16"/>
  <c r="H26620" i="16"/>
  <c r="H26621" i="16"/>
  <c r="H26622" i="16"/>
  <c r="H26623" i="16"/>
  <c r="H26624" i="16"/>
  <c r="H26625" i="16"/>
  <c r="H26626" i="16"/>
  <c r="H26627" i="16"/>
  <c r="H26628" i="16"/>
  <c r="H26629" i="16"/>
  <c r="H26630" i="16"/>
  <c r="H26631" i="16"/>
  <c r="H26632" i="16"/>
  <c r="H26633" i="16"/>
  <c r="H26634" i="16"/>
  <c r="H26635" i="16"/>
  <c r="H26636" i="16"/>
  <c r="H26637" i="16"/>
  <c r="H26638" i="16"/>
  <c r="H26639" i="16"/>
  <c r="H26640" i="16"/>
  <c r="H26641" i="16"/>
  <c r="H26642" i="16"/>
  <c r="H26643" i="16"/>
  <c r="H26644" i="16"/>
  <c r="H26645" i="16"/>
  <c r="H26646" i="16"/>
  <c r="H26647" i="16"/>
  <c r="H26648" i="16"/>
  <c r="H26649" i="16"/>
  <c r="H26650" i="16"/>
  <c r="H26651" i="16"/>
  <c r="H26652" i="16"/>
  <c r="H26653" i="16"/>
  <c r="H26654" i="16"/>
  <c r="H26655" i="16"/>
  <c r="H26656" i="16"/>
  <c r="H26657" i="16"/>
  <c r="H26658" i="16"/>
  <c r="H26659" i="16"/>
  <c r="H26660" i="16"/>
  <c r="H26661" i="16"/>
  <c r="H26662" i="16"/>
  <c r="H26663" i="16"/>
  <c r="H26664" i="16"/>
  <c r="H26665" i="16"/>
  <c r="H26666" i="16"/>
  <c r="H26667" i="16"/>
  <c r="H26668" i="16"/>
  <c r="H26669" i="16"/>
  <c r="H26670" i="16"/>
  <c r="H26671" i="16"/>
  <c r="H26672" i="16"/>
  <c r="H26673" i="16"/>
  <c r="H26674" i="16"/>
  <c r="H26675" i="16"/>
  <c r="H26676" i="16"/>
  <c r="H26677" i="16"/>
  <c r="H26678" i="16"/>
  <c r="H26679" i="16"/>
  <c r="H26680" i="16"/>
  <c r="H26681" i="16"/>
  <c r="H26682" i="16"/>
  <c r="H26683" i="16"/>
  <c r="H26684" i="16"/>
  <c r="H26685" i="16"/>
  <c r="H26686" i="16"/>
  <c r="H26687" i="16"/>
  <c r="H26688" i="16"/>
  <c r="H26689" i="16"/>
  <c r="H26690" i="16"/>
  <c r="H26691" i="16"/>
  <c r="H26692" i="16"/>
  <c r="H26693" i="16"/>
  <c r="H26694" i="16"/>
  <c r="H26695" i="16"/>
  <c r="H26696" i="16"/>
  <c r="H26697" i="16"/>
  <c r="H26698" i="16"/>
  <c r="H26699" i="16"/>
  <c r="H26700" i="16"/>
  <c r="H26701" i="16"/>
  <c r="H26702" i="16"/>
  <c r="H26703" i="16"/>
  <c r="H26704" i="16"/>
  <c r="H26705" i="16"/>
  <c r="H26706" i="16"/>
  <c r="H26707" i="16"/>
  <c r="H26708" i="16"/>
  <c r="H26709" i="16"/>
  <c r="H26710" i="16"/>
  <c r="H26711" i="16"/>
  <c r="H26712" i="16"/>
  <c r="H26713" i="16"/>
  <c r="H26714" i="16"/>
  <c r="H26715" i="16"/>
  <c r="H26716" i="16"/>
  <c r="H26717" i="16"/>
  <c r="H26718" i="16"/>
  <c r="H26719" i="16"/>
  <c r="H26720" i="16"/>
  <c r="H26721" i="16"/>
  <c r="H26722" i="16"/>
  <c r="H26723" i="16"/>
  <c r="H26724" i="16"/>
  <c r="H26725" i="16"/>
  <c r="H26726" i="16"/>
  <c r="H26727" i="16"/>
  <c r="H26728" i="16"/>
  <c r="H26729" i="16"/>
  <c r="H26730" i="16"/>
  <c r="H26731" i="16"/>
  <c r="H26732" i="16"/>
  <c r="H26733" i="16"/>
  <c r="H26734" i="16"/>
  <c r="H26735" i="16"/>
  <c r="H26736" i="16"/>
  <c r="H26737" i="16"/>
  <c r="H26738" i="16"/>
  <c r="H26739" i="16"/>
  <c r="H26740" i="16"/>
  <c r="H26741" i="16"/>
  <c r="H26742" i="16"/>
  <c r="H26743" i="16"/>
  <c r="H26744" i="16"/>
  <c r="H26745" i="16"/>
  <c r="H26746" i="16"/>
  <c r="H26747" i="16"/>
  <c r="H26748" i="16"/>
  <c r="H26749" i="16"/>
  <c r="H26750" i="16"/>
  <c r="H26751" i="16"/>
  <c r="H26752" i="16"/>
  <c r="H26753" i="16"/>
  <c r="H26754" i="16"/>
  <c r="H26755" i="16"/>
  <c r="H26756" i="16"/>
  <c r="H26757" i="16"/>
  <c r="H26758" i="16"/>
  <c r="H26759" i="16"/>
  <c r="H26760" i="16"/>
  <c r="H26761" i="16"/>
  <c r="H26762" i="16"/>
  <c r="H26763" i="16"/>
  <c r="H26764" i="16"/>
  <c r="H26765" i="16"/>
  <c r="H26766" i="16"/>
  <c r="H26767" i="16"/>
  <c r="H26768" i="16"/>
  <c r="H26769" i="16"/>
  <c r="H26770" i="16"/>
  <c r="H26771" i="16"/>
  <c r="H26772" i="16"/>
  <c r="H26773" i="16"/>
  <c r="H26774" i="16"/>
  <c r="H26775" i="16"/>
  <c r="H26776" i="16"/>
  <c r="H26777" i="16"/>
  <c r="H26778" i="16"/>
  <c r="H26779" i="16"/>
  <c r="H26780" i="16"/>
  <c r="H26781" i="16"/>
  <c r="H26782" i="16"/>
  <c r="H26783" i="16"/>
  <c r="H26784" i="16"/>
  <c r="H26785" i="16"/>
  <c r="H26786" i="16"/>
  <c r="H26787" i="16"/>
  <c r="H26788" i="16"/>
  <c r="H26789" i="16"/>
  <c r="H26790" i="16"/>
  <c r="H26791" i="16"/>
  <c r="H26792" i="16"/>
  <c r="H26793" i="16"/>
  <c r="H26794" i="16"/>
  <c r="H26795" i="16"/>
  <c r="H26796" i="16"/>
  <c r="H26797" i="16"/>
  <c r="H26798" i="16"/>
  <c r="H26799" i="16"/>
  <c r="H26800" i="16"/>
  <c r="H26801" i="16"/>
  <c r="H26802" i="16"/>
  <c r="H26803" i="16"/>
  <c r="H26804" i="16"/>
  <c r="H26805" i="16"/>
  <c r="H26806" i="16"/>
  <c r="H26807" i="16"/>
  <c r="H26808" i="16"/>
  <c r="H26809" i="16"/>
  <c r="H26810" i="16"/>
  <c r="H26811" i="16"/>
  <c r="H26812" i="16"/>
  <c r="H26813" i="16"/>
  <c r="H26814" i="16"/>
  <c r="H26815" i="16"/>
  <c r="H26816" i="16"/>
  <c r="H26817" i="16"/>
  <c r="H26818" i="16"/>
  <c r="H26819" i="16"/>
  <c r="H26820" i="16"/>
  <c r="H26821" i="16"/>
  <c r="H26822" i="16"/>
  <c r="H26823" i="16"/>
  <c r="H26824" i="16"/>
  <c r="H26825" i="16"/>
  <c r="H26826" i="16"/>
  <c r="H26827" i="16"/>
  <c r="H26828" i="16"/>
  <c r="H26829" i="16"/>
  <c r="H26830" i="16"/>
  <c r="H26831" i="16"/>
  <c r="H26832" i="16"/>
  <c r="H26833" i="16"/>
  <c r="H26834" i="16"/>
  <c r="H26835" i="16"/>
  <c r="H26836" i="16"/>
  <c r="H26837" i="16"/>
  <c r="H26838" i="16"/>
  <c r="H26839" i="16"/>
  <c r="H26840" i="16"/>
  <c r="H26841" i="16"/>
  <c r="H26842" i="16"/>
  <c r="H26843" i="16"/>
  <c r="H26844" i="16"/>
  <c r="H26845" i="16"/>
  <c r="H26846" i="16"/>
  <c r="H26847" i="16"/>
  <c r="H26848" i="16"/>
  <c r="H26849" i="16"/>
  <c r="H26850" i="16"/>
  <c r="H26851" i="16"/>
  <c r="H26852" i="16"/>
  <c r="H26853" i="16"/>
  <c r="H26854" i="16"/>
  <c r="H26855" i="16"/>
  <c r="H26856" i="16"/>
  <c r="H26857" i="16"/>
  <c r="H26858" i="16"/>
  <c r="H26859" i="16"/>
  <c r="H26860" i="16"/>
  <c r="H26861" i="16"/>
  <c r="H26862" i="16"/>
  <c r="H26863" i="16"/>
  <c r="H26864" i="16"/>
  <c r="H26865" i="16"/>
  <c r="H26866" i="16"/>
  <c r="H26867" i="16"/>
  <c r="H26868" i="16"/>
  <c r="H26869" i="16"/>
  <c r="H26870" i="16"/>
  <c r="H26871" i="16"/>
  <c r="H26872" i="16"/>
  <c r="H26873" i="16"/>
  <c r="H26874" i="16"/>
  <c r="H26875" i="16"/>
  <c r="H26876" i="16"/>
  <c r="H26877" i="16"/>
  <c r="H26878" i="16"/>
  <c r="H26879" i="16"/>
  <c r="H26880" i="16"/>
  <c r="H26881" i="16"/>
  <c r="H26882" i="16"/>
  <c r="H26883" i="16"/>
  <c r="H26884" i="16"/>
  <c r="H26885" i="16"/>
  <c r="H26886" i="16"/>
  <c r="H26887" i="16"/>
  <c r="H26888" i="16"/>
  <c r="H26889" i="16"/>
  <c r="H26890" i="16"/>
  <c r="H26891" i="16"/>
  <c r="H26892" i="16"/>
  <c r="H26893" i="16"/>
  <c r="H26894" i="16"/>
  <c r="H26895" i="16"/>
  <c r="H26896" i="16"/>
  <c r="H26897" i="16"/>
  <c r="H26898" i="16"/>
  <c r="H26899" i="16"/>
  <c r="H26900" i="16"/>
  <c r="H26901" i="16"/>
  <c r="H26902" i="16"/>
  <c r="H26903" i="16"/>
  <c r="H26904" i="16"/>
  <c r="H26905" i="16"/>
  <c r="H26906" i="16"/>
  <c r="H26907" i="16"/>
  <c r="H26908" i="16"/>
  <c r="H26909" i="16"/>
  <c r="H26910" i="16"/>
  <c r="H26911" i="16"/>
  <c r="H26912" i="16"/>
  <c r="H26913" i="16"/>
  <c r="H26914" i="16"/>
  <c r="H26915" i="16"/>
  <c r="H26916" i="16"/>
  <c r="H26917" i="16"/>
  <c r="H26918" i="16"/>
  <c r="H26919" i="16"/>
  <c r="H26920" i="16"/>
  <c r="H26921" i="16"/>
  <c r="H26922" i="16"/>
  <c r="H26923" i="16"/>
  <c r="H26924" i="16"/>
  <c r="H26925" i="16"/>
  <c r="H26926" i="16"/>
  <c r="H26927" i="16"/>
  <c r="H26928" i="16"/>
  <c r="H26929" i="16"/>
  <c r="H26930" i="16"/>
  <c r="H26931" i="16"/>
  <c r="H26932" i="16"/>
  <c r="H26933" i="16"/>
  <c r="H26934" i="16"/>
  <c r="H26935" i="16"/>
  <c r="H26936" i="16"/>
  <c r="H26937" i="16"/>
  <c r="H26938" i="16"/>
  <c r="H26939" i="16"/>
  <c r="H26940" i="16"/>
  <c r="H26941" i="16"/>
  <c r="H26942" i="16"/>
  <c r="H26943" i="16"/>
  <c r="H26944" i="16"/>
  <c r="H26945" i="16"/>
  <c r="H26946" i="16"/>
  <c r="H26947" i="16"/>
  <c r="H26948" i="16"/>
  <c r="H26949" i="16"/>
  <c r="H26950" i="16"/>
  <c r="H26951" i="16"/>
  <c r="H26952" i="16"/>
  <c r="H26953" i="16"/>
  <c r="H26954" i="16"/>
  <c r="H26955" i="16"/>
  <c r="H26956" i="16"/>
  <c r="H26957" i="16"/>
  <c r="H26958" i="16"/>
  <c r="H26959" i="16"/>
  <c r="H26960" i="16"/>
  <c r="H26961" i="16"/>
  <c r="H26962" i="16"/>
  <c r="H26963" i="16"/>
  <c r="H26964" i="16"/>
  <c r="H26965" i="16"/>
  <c r="H26966" i="16"/>
  <c r="H26967" i="16"/>
  <c r="H26968" i="16"/>
  <c r="H26969" i="16"/>
  <c r="H26970" i="16"/>
  <c r="H26971" i="16"/>
  <c r="H26972" i="16"/>
  <c r="H26973" i="16"/>
  <c r="H26974" i="16"/>
  <c r="H26975" i="16"/>
  <c r="H26976" i="16"/>
  <c r="H26977" i="16"/>
  <c r="H26978" i="16"/>
  <c r="H26979" i="16"/>
  <c r="H26980" i="16"/>
  <c r="H26981" i="16"/>
  <c r="H26982" i="16"/>
  <c r="H26983" i="16"/>
  <c r="H26984" i="16"/>
  <c r="H26985" i="16"/>
  <c r="H26986" i="16"/>
  <c r="H26987" i="16"/>
  <c r="H26988" i="16"/>
  <c r="H26989" i="16"/>
  <c r="H26990" i="16"/>
  <c r="H26991" i="16"/>
  <c r="H26992" i="16"/>
  <c r="H26993" i="16"/>
  <c r="H26994" i="16"/>
  <c r="H26995" i="16"/>
  <c r="H26996" i="16"/>
  <c r="H26997" i="16"/>
  <c r="H26998" i="16"/>
  <c r="H26999" i="16"/>
  <c r="H27000" i="16"/>
  <c r="H27001" i="16"/>
  <c r="H27002" i="16"/>
  <c r="H27003" i="16"/>
  <c r="H27004" i="16"/>
  <c r="H27005" i="16"/>
  <c r="H27006" i="16"/>
  <c r="H27007" i="16"/>
  <c r="H27008" i="16"/>
  <c r="H27009" i="16"/>
  <c r="H27010" i="16"/>
  <c r="H27011" i="16"/>
  <c r="H27012" i="16"/>
  <c r="H27013" i="16"/>
  <c r="H27014" i="16"/>
  <c r="H27015" i="16"/>
  <c r="H27016" i="16"/>
  <c r="H27017" i="16"/>
  <c r="H27018" i="16"/>
  <c r="H27019" i="16"/>
  <c r="H27020" i="16"/>
  <c r="H27021" i="16"/>
  <c r="H27022" i="16"/>
  <c r="H27023" i="16"/>
  <c r="H27024" i="16"/>
  <c r="H27025" i="16"/>
  <c r="H27026" i="16"/>
  <c r="H27027" i="16"/>
  <c r="H27028" i="16"/>
  <c r="H27029" i="16"/>
  <c r="H27030" i="16"/>
  <c r="H27031" i="16"/>
  <c r="H27032" i="16"/>
  <c r="H27033" i="16"/>
  <c r="H27034" i="16"/>
  <c r="H27035" i="16"/>
  <c r="H27036" i="16"/>
  <c r="H27037" i="16"/>
  <c r="H27038" i="16"/>
  <c r="H27039" i="16"/>
  <c r="H27040" i="16"/>
  <c r="H27041" i="16"/>
  <c r="H27042" i="16"/>
  <c r="H27043" i="16"/>
  <c r="H27044" i="16"/>
  <c r="H27045" i="16"/>
  <c r="H27046" i="16"/>
  <c r="H27047" i="16"/>
  <c r="H27048" i="16"/>
  <c r="H27049" i="16"/>
  <c r="H27050" i="16"/>
  <c r="H27051" i="16"/>
  <c r="H27052" i="16"/>
  <c r="H27053" i="16"/>
  <c r="H27054" i="16"/>
  <c r="H27055" i="16"/>
  <c r="H27056" i="16"/>
  <c r="H27057" i="16"/>
  <c r="H27058" i="16"/>
  <c r="H27059" i="16"/>
  <c r="H27060" i="16"/>
  <c r="H27061" i="16"/>
  <c r="H27062" i="16"/>
  <c r="H27063" i="16"/>
  <c r="H27064" i="16"/>
  <c r="H27065" i="16"/>
  <c r="H27066" i="16"/>
  <c r="H27067" i="16"/>
  <c r="H27068" i="16"/>
  <c r="H27069" i="16"/>
  <c r="H27070" i="16"/>
  <c r="H27071" i="16"/>
  <c r="H27072" i="16"/>
  <c r="H27073" i="16"/>
  <c r="H27074" i="16"/>
  <c r="H27075" i="16"/>
  <c r="H27076" i="16"/>
  <c r="H27077" i="16"/>
  <c r="H27078" i="16"/>
  <c r="H27079" i="16"/>
  <c r="H27080" i="16"/>
  <c r="H27081" i="16"/>
  <c r="H27082" i="16"/>
  <c r="H27083" i="16"/>
  <c r="H27084" i="16"/>
  <c r="H27085" i="16"/>
  <c r="H27086" i="16"/>
  <c r="H27087" i="16"/>
  <c r="H27088" i="16"/>
  <c r="H27089" i="16"/>
  <c r="H27090" i="16"/>
  <c r="H27091" i="16"/>
  <c r="H27092" i="16"/>
  <c r="H27093" i="16"/>
  <c r="H27094" i="16"/>
  <c r="H27095" i="16"/>
  <c r="H27096" i="16"/>
  <c r="H27097" i="16"/>
  <c r="H27098" i="16"/>
  <c r="H27099" i="16"/>
  <c r="H27100" i="16"/>
  <c r="H27101" i="16"/>
  <c r="H27102" i="16"/>
  <c r="H27103" i="16"/>
  <c r="H27104" i="16"/>
  <c r="H27105" i="16"/>
  <c r="H27106" i="16"/>
  <c r="H27107" i="16"/>
  <c r="H27108" i="16"/>
  <c r="H27109" i="16"/>
  <c r="H27110" i="16"/>
  <c r="H27111" i="16"/>
  <c r="H27112" i="16"/>
  <c r="H27113" i="16"/>
  <c r="H27114" i="16"/>
  <c r="H27115" i="16"/>
  <c r="H27116" i="16"/>
  <c r="H27117" i="16"/>
  <c r="H27118" i="16"/>
  <c r="H27119" i="16"/>
  <c r="H27120" i="16"/>
  <c r="H27121" i="16"/>
  <c r="H27122" i="16"/>
  <c r="H27123" i="16"/>
  <c r="H27124" i="16"/>
  <c r="H27125" i="16"/>
  <c r="H27126" i="16"/>
  <c r="H27127" i="16"/>
  <c r="H27128" i="16"/>
  <c r="H27129" i="16"/>
  <c r="H27130" i="16"/>
  <c r="H27131" i="16"/>
  <c r="H27132" i="16"/>
  <c r="H27133" i="16"/>
  <c r="H27134" i="16"/>
  <c r="H27135" i="16"/>
  <c r="H27136" i="16"/>
  <c r="H27137" i="16"/>
  <c r="H27138" i="16"/>
  <c r="H27139" i="16"/>
  <c r="H27140" i="16"/>
  <c r="H27141" i="16"/>
  <c r="H27142" i="16"/>
  <c r="H27143" i="16"/>
  <c r="H27144" i="16"/>
  <c r="H27145" i="16"/>
  <c r="H27146" i="16"/>
  <c r="H27147" i="16"/>
  <c r="H27148" i="16"/>
  <c r="H27149" i="16"/>
  <c r="H27150" i="16"/>
  <c r="H27151" i="16"/>
  <c r="H27152" i="16"/>
  <c r="H27153" i="16"/>
  <c r="H27154" i="16"/>
  <c r="H27155" i="16"/>
  <c r="H27156" i="16"/>
  <c r="H27157" i="16"/>
  <c r="H27158" i="16"/>
  <c r="H27159" i="16"/>
  <c r="H27160" i="16"/>
  <c r="H27161" i="16"/>
  <c r="H27162" i="16"/>
  <c r="H27163" i="16"/>
  <c r="H27164" i="16"/>
  <c r="H27165" i="16"/>
  <c r="H27166" i="16"/>
  <c r="H27167" i="16"/>
  <c r="H27168" i="16"/>
  <c r="H27169" i="16"/>
  <c r="H27170" i="16"/>
  <c r="H27171" i="16"/>
  <c r="H27172" i="16"/>
  <c r="H27173" i="16"/>
  <c r="H27174" i="16"/>
  <c r="H27175" i="16"/>
  <c r="H27176" i="16"/>
  <c r="H27177" i="16"/>
  <c r="H27178" i="16"/>
  <c r="H27179" i="16"/>
  <c r="H27180" i="16"/>
  <c r="H27181" i="16"/>
  <c r="H27182" i="16"/>
  <c r="H27183" i="16"/>
  <c r="H27184" i="16"/>
  <c r="H27185" i="16"/>
  <c r="H27186" i="16"/>
  <c r="H27187" i="16"/>
  <c r="H27188" i="16"/>
  <c r="H27189" i="16"/>
  <c r="H27190" i="16"/>
  <c r="H27191" i="16"/>
  <c r="H27192" i="16"/>
  <c r="H27193" i="16"/>
  <c r="H27194" i="16"/>
  <c r="H27195" i="16"/>
  <c r="H27196" i="16"/>
  <c r="H27197" i="16"/>
  <c r="H27198" i="16"/>
  <c r="H27199" i="16"/>
  <c r="H27200" i="16"/>
  <c r="H27201" i="16"/>
  <c r="H27202" i="16"/>
  <c r="H27203" i="16"/>
  <c r="H27204" i="16"/>
  <c r="H27205" i="16"/>
  <c r="H27206" i="16"/>
  <c r="H27207" i="16"/>
  <c r="H27208" i="16"/>
  <c r="H27209" i="16"/>
  <c r="H27210" i="16"/>
  <c r="H27211" i="16"/>
  <c r="H27212" i="16"/>
  <c r="H27213" i="16"/>
  <c r="H27214" i="16"/>
  <c r="H27215" i="16"/>
  <c r="H27216" i="16"/>
  <c r="H27217" i="16"/>
  <c r="H27218" i="16"/>
  <c r="H27219" i="16"/>
  <c r="H27220" i="16"/>
  <c r="H27221" i="16"/>
  <c r="H27222" i="16"/>
  <c r="H27223" i="16"/>
  <c r="H27224" i="16"/>
  <c r="H27225" i="16"/>
  <c r="H27226" i="16"/>
  <c r="H27227" i="16"/>
  <c r="H27228" i="16"/>
  <c r="H27229" i="16"/>
  <c r="H27230" i="16"/>
  <c r="H27231" i="16"/>
  <c r="H27232" i="16"/>
  <c r="H27233" i="16"/>
  <c r="H27234" i="16"/>
  <c r="H27235" i="16"/>
  <c r="H27236" i="16"/>
  <c r="H27237" i="16"/>
  <c r="H27238" i="16"/>
  <c r="H27239" i="16"/>
  <c r="H27240" i="16"/>
  <c r="H27241" i="16"/>
  <c r="H27242" i="16"/>
  <c r="H27243" i="16"/>
  <c r="H27244" i="16"/>
  <c r="H27245" i="16"/>
  <c r="H27246" i="16"/>
  <c r="H27247" i="16"/>
  <c r="H27248" i="16"/>
  <c r="H27249" i="16"/>
  <c r="H27250" i="16"/>
  <c r="H27251" i="16"/>
  <c r="H27252" i="16"/>
  <c r="H27253" i="16"/>
  <c r="H27254" i="16"/>
  <c r="H27255" i="16"/>
  <c r="H27256" i="16"/>
  <c r="H27257" i="16"/>
  <c r="H27258" i="16"/>
  <c r="H27259" i="16"/>
  <c r="H27260" i="16"/>
  <c r="H27261" i="16"/>
  <c r="H27262" i="16"/>
  <c r="H27263" i="16"/>
  <c r="H27264" i="16"/>
  <c r="H27265" i="16"/>
  <c r="H27266" i="16"/>
  <c r="H27267" i="16"/>
  <c r="H27268" i="16"/>
  <c r="H27269" i="16"/>
  <c r="H27270" i="16"/>
  <c r="H27271" i="16"/>
  <c r="H27272" i="16"/>
  <c r="H27273" i="16"/>
  <c r="H27274" i="16"/>
  <c r="H27275" i="16"/>
  <c r="H27276" i="16"/>
  <c r="H27277" i="16"/>
  <c r="H27278" i="16"/>
  <c r="H27279" i="16"/>
  <c r="H27280" i="16"/>
  <c r="H27281" i="16"/>
  <c r="H27282" i="16"/>
  <c r="H27283" i="16"/>
  <c r="H27284" i="16"/>
  <c r="H27285" i="16"/>
  <c r="H27286" i="16"/>
  <c r="H27287" i="16"/>
  <c r="H27288" i="16"/>
  <c r="H27289" i="16"/>
  <c r="H27290" i="16"/>
  <c r="H27291" i="16"/>
  <c r="H27292" i="16"/>
  <c r="H27293" i="16"/>
  <c r="H27294" i="16"/>
  <c r="H27295" i="16"/>
  <c r="H27296" i="16"/>
  <c r="H27297" i="16"/>
  <c r="H27298" i="16"/>
  <c r="H27299" i="16"/>
  <c r="H27300" i="16"/>
  <c r="H27301" i="16"/>
  <c r="H27302" i="16"/>
  <c r="H27303" i="16"/>
  <c r="H27304" i="16"/>
  <c r="H27305" i="16"/>
  <c r="H27306" i="16"/>
  <c r="H27307" i="16"/>
  <c r="H27308" i="16"/>
  <c r="H27309" i="16"/>
  <c r="H27310" i="16"/>
  <c r="H27311" i="16"/>
  <c r="H27312" i="16"/>
  <c r="H27313" i="16"/>
  <c r="H27314" i="16"/>
  <c r="H27315" i="16"/>
  <c r="H27316" i="16"/>
  <c r="H27317" i="16"/>
  <c r="H27318" i="16"/>
  <c r="H27319" i="16"/>
  <c r="H27320" i="16"/>
  <c r="H27321" i="16"/>
  <c r="H27322" i="16"/>
  <c r="H27323" i="16"/>
  <c r="H27324" i="16"/>
  <c r="H27325" i="16"/>
  <c r="H27326" i="16"/>
  <c r="H27327" i="16"/>
  <c r="H27328" i="16"/>
  <c r="H27329" i="16"/>
  <c r="H27330" i="16"/>
  <c r="H27331" i="16"/>
  <c r="H27332" i="16"/>
  <c r="H27333" i="16"/>
  <c r="H27334" i="16"/>
  <c r="H27335" i="16"/>
  <c r="H27336" i="16"/>
  <c r="H27337" i="16"/>
  <c r="H27338" i="16"/>
  <c r="H27339" i="16"/>
  <c r="H27340" i="16"/>
  <c r="H27341" i="16"/>
  <c r="H27342" i="16"/>
  <c r="H27343" i="16"/>
  <c r="H27344" i="16"/>
  <c r="H27345" i="16"/>
  <c r="H27346" i="16"/>
  <c r="H27347" i="16"/>
  <c r="H27348" i="16"/>
  <c r="H27349" i="16"/>
  <c r="H27350" i="16"/>
  <c r="H27351" i="16"/>
  <c r="H27352" i="16"/>
  <c r="H27353" i="16"/>
  <c r="H27354" i="16"/>
  <c r="H27355" i="16"/>
  <c r="H27356" i="16"/>
  <c r="H27357" i="16"/>
  <c r="H27358" i="16"/>
  <c r="H27359" i="16"/>
  <c r="H27360" i="16"/>
  <c r="H27361" i="16"/>
  <c r="H27362" i="16"/>
  <c r="H27363" i="16"/>
  <c r="H27364" i="16"/>
  <c r="H27365" i="16"/>
  <c r="H27366" i="16"/>
  <c r="H27367" i="16"/>
  <c r="H27368" i="16"/>
  <c r="H27369" i="16"/>
  <c r="H27370" i="16"/>
  <c r="H27371" i="16"/>
  <c r="H27372" i="16"/>
  <c r="H27373" i="16"/>
  <c r="H27374" i="16"/>
  <c r="H27375" i="16"/>
  <c r="H27376" i="16"/>
  <c r="H27377" i="16"/>
  <c r="H27378" i="16"/>
  <c r="H27379" i="16"/>
  <c r="H27380" i="16"/>
  <c r="H27381" i="16"/>
  <c r="H27382" i="16"/>
  <c r="H27383" i="16"/>
  <c r="H27384" i="16"/>
  <c r="H27385" i="16"/>
  <c r="H27386" i="16"/>
  <c r="H27387" i="16"/>
  <c r="H27388" i="16"/>
  <c r="H27389" i="16"/>
  <c r="H27390" i="16"/>
  <c r="H27391" i="16"/>
  <c r="H27392" i="16"/>
  <c r="H27393" i="16"/>
  <c r="H27394" i="16"/>
  <c r="H27395" i="16"/>
  <c r="H27396" i="16"/>
  <c r="H27397" i="16"/>
  <c r="H27398" i="16"/>
  <c r="H27399" i="16"/>
  <c r="H27400" i="16"/>
  <c r="H27401" i="16"/>
  <c r="H27402" i="16"/>
  <c r="H27403" i="16"/>
  <c r="H27404" i="16"/>
  <c r="H27405" i="16"/>
  <c r="H27406" i="16"/>
  <c r="H27407" i="16"/>
  <c r="H27408" i="16"/>
  <c r="H27409" i="16"/>
  <c r="H27410" i="16"/>
  <c r="H27411" i="16"/>
  <c r="H27412" i="16"/>
  <c r="H27413" i="16"/>
  <c r="H27414" i="16"/>
  <c r="H27415" i="16"/>
  <c r="H27416" i="16"/>
  <c r="H27417" i="16"/>
  <c r="H27418" i="16"/>
  <c r="H27419" i="16"/>
  <c r="H27420" i="16"/>
  <c r="H27421" i="16"/>
  <c r="H27422" i="16"/>
  <c r="H27423" i="16"/>
  <c r="H27424" i="16"/>
  <c r="H27425" i="16"/>
  <c r="H27426" i="16"/>
  <c r="H27427" i="16"/>
  <c r="H27428" i="16"/>
  <c r="H27429" i="16"/>
  <c r="H27430" i="16"/>
  <c r="H27431" i="16"/>
  <c r="H27432" i="16"/>
  <c r="H27433" i="16"/>
  <c r="H27434" i="16"/>
  <c r="H27435" i="16"/>
  <c r="H27436" i="16"/>
  <c r="H27437" i="16"/>
  <c r="H27438" i="16"/>
  <c r="H27439" i="16"/>
  <c r="H27440" i="16"/>
  <c r="H27441" i="16"/>
  <c r="H27442" i="16"/>
  <c r="H27443" i="16"/>
  <c r="H27444" i="16"/>
  <c r="H27445" i="16"/>
  <c r="H27446" i="16"/>
  <c r="H27447" i="16"/>
  <c r="H27448" i="16"/>
  <c r="H27449" i="16"/>
  <c r="H27450" i="16"/>
  <c r="H27451" i="16"/>
  <c r="H27452" i="16"/>
  <c r="H27453" i="16"/>
  <c r="H27454" i="16"/>
  <c r="H27455" i="16"/>
  <c r="H27456" i="16"/>
  <c r="H27457" i="16"/>
  <c r="H27458" i="16"/>
  <c r="H27459" i="16"/>
  <c r="H27460" i="16"/>
  <c r="H27461" i="16"/>
  <c r="H27462" i="16"/>
  <c r="H27463" i="16"/>
  <c r="H27464" i="16"/>
  <c r="H27465" i="16"/>
  <c r="H27466" i="16"/>
  <c r="H27467" i="16"/>
  <c r="H27468" i="16"/>
  <c r="H27469" i="16"/>
  <c r="H27470" i="16"/>
  <c r="H27471" i="16"/>
  <c r="H27472" i="16"/>
  <c r="H27473" i="16"/>
  <c r="H27474" i="16"/>
  <c r="H27475" i="16"/>
  <c r="H27476" i="16"/>
  <c r="H27477" i="16"/>
  <c r="H27478" i="16"/>
  <c r="H27479" i="16"/>
  <c r="H27480" i="16"/>
  <c r="H27481" i="16"/>
  <c r="H27482" i="16"/>
  <c r="H27483" i="16"/>
  <c r="H27484" i="16"/>
  <c r="H27485" i="16"/>
  <c r="H27486" i="16"/>
  <c r="H27487" i="16"/>
  <c r="H27488" i="16"/>
  <c r="H27489" i="16"/>
  <c r="H27490" i="16"/>
  <c r="H27491" i="16"/>
  <c r="H27492" i="16"/>
  <c r="H27493" i="16"/>
  <c r="H27494" i="16"/>
  <c r="H27495" i="16"/>
  <c r="H27496" i="16"/>
  <c r="H27497" i="16"/>
  <c r="H27498" i="16"/>
  <c r="H27499" i="16"/>
  <c r="H27500" i="16"/>
  <c r="H27501" i="16"/>
  <c r="H27502" i="16"/>
  <c r="H27503" i="16"/>
  <c r="H27504" i="16"/>
  <c r="H27505" i="16"/>
  <c r="H27506" i="16"/>
  <c r="H27507" i="16"/>
  <c r="H27508" i="16"/>
  <c r="H27509" i="16"/>
  <c r="H27510" i="16"/>
  <c r="H27511" i="16"/>
  <c r="H27512" i="16"/>
  <c r="H27513" i="16"/>
  <c r="H27514" i="16"/>
  <c r="H27515" i="16"/>
  <c r="H27516" i="16"/>
  <c r="H27517" i="16"/>
  <c r="H27518" i="16"/>
  <c r="H27519" i="16"/>
  <c r="H27520" i="16"/>
  <c r="H27521" i="16"/>
  <c r="H27522" i="16"/>
  <c r="H27523" i="16"/>
  <c r="H27524" i="16"/>
  <c r="H27525" i="16"/>
  <c r="H27526" i="16"/>
  <c r="H27527" i="16"/>
  <c r="H27528" i="16"/>
  <c r="H27529" i="16"/>
  <c r="H27530" i="16"/>
  <c r="H27531" i="16"/>
  <c r="H27532" i="16"/>
  <c r="H27533" i="16"/>
  <c r="H27534" i="16"/>
  <c r="H27535" i="16"/>
  <c r="H27536" i="16"/>
  <c r="H27537" i="16"/>
  <c r="H27538" i="16"/>
  <c r="H27539" i="16"/>
  <c r="H27540" i="16"/>
  <c r="H27541" i="16"/>
  <c r="H27542" i="16"/>
  <c r="H27543" i="16"/>
  <c r="H27544" i="16"/>
  <c r="H27545" i="16"/>
  <c r="H27546" i="16"/>
  <c r="H27547" i="16"/>
  <c r="H27548" i="16"/>
  <c r="H27549" i="16"/>
  <c r="H27550" i="16"/>
  <c r="H27551" i="16"/>
  <c r="H27552" i="16"/>
  <c r="H27553" i="16"/>
  <c r="H27554" i="16"/>
  <c r="H27555" i="16"/>
  <c r="H27556" i="16"/>
  <c r="H27557" i="16"/>
  <c r="H27558" i="16"/>
  <c r="H27559" i="16"/>
  <c r="H27560" i="16"/>
  <c r="H27561" i="16"/>
  <c r="H27562" i="16"/>
  <c r="H27563" i="16"/>
  <c r="H27564" i="16"/>
  <c r="H27565" i="16"/>
  <c r="H27566" i="16"/>
  <c r="H27567" i="16"/>
  <c r="H27568" i="16"/>
  <c r="H27569" i="16"/>
  <c r="H27570" i="16"/>
  <c r="H27571" i="16"/>
  <c r="H27572" i="16"/>
  <c r="H27573" i="16"/>
  <c r="H27574" i="16"/>
  <c r="H27575" i="16"/>
  <c r="H27576" i="16"/>
  <c r="H27577" i="16"/>
  <c r="H27578" i="16"/>
  <c r="H27579" i="16"/>
  <c r="H27580" i="16"/>
  <c r="H27581" i="16"/>
  <c r="H27582" i="16"/>
  <c r="H27583" i="16"/>
  <c r="H27584" i="16"/>
  <c r="H27585" i="16"/>
  <c r="H27586" i="16"/>
  <c r="H27587" i="16"/>
  <c r="H27588" i="16"/>
  <c r="H27589" i="16"/>
  <c r="H27590" i="16"/>
  <c r="H27591" i="16"/>
  <c r="H27592" i="16"/>
  <c r="H27593" i="16"/>
  <c r="H27594" i="16"/>
  <c r="H27595" i="16"/>
  <c r="H27596" i="16"/>
  <c r="H27597" i="16"/>
  <c r="H27598" i="16"/>
  <c r="H27599" i="16"/>
  <c r="H27600" i="16"/>
  <c r="H27601" i="16"/>
  <c r="H27602" i="16"/>
  <c r="H27603" i="16"/>
  <c r="H27604" i="16"/>
  <c r="H27605" i="16"/>
  <c r="H27606" i="16"/>
  <c r="H27607" i="16"/>
  <c r="H27608" i="16"/>
  <c r="H27609" i="16"/>
  <c r="H27610" i="16"/>
  <c r="H27611" i="16"/>
  <c r="H27612" i="16"/>
  <c r="H27613" i="16"/>
  <c r="H27614" i="16"/>
  <c r="H27615" i="16"/>
  <c r="H27616" i="16"/>
  <c r="H27617" i="16"/>
  <c r="H27618" i="16"/>
  <c r="H27619" i="16"/>
  <c r="H27620" i="16"/>
  <c r="H27621" i="16"/>
  <c r="H27622" i="16"/>
  <c r="H27623" i="16"/>
  <c r="H27624" i="16"/>
  <c r="H27625" i="16"/>
  <c r="H27626" i="16"/>
  <c r="H27627" i="16"/>
  <c r="H27628" i="16"/>
  <c r="H27629" i="16"/>
  <c r="H27630" i="16"/>
  <c r="H27631" i="16"/>
  <c r="H27632" i="16"/>
  <c r="H27633" i="16"/>
  <c r="H27634" i="16"/>
  <c r="H27635" i="16"/>
  <c r="H27636" i="16"/>
  <c r="H27637" i="16"/>
  <c r="H27638" i="16"/>
  <c r="H27639" i="16"/>
  <c r="H27640" i="16"/>
  <c r="H27641" i="16"/>
  <c r="H27642" i="16"/>
  <c r="H27643" i="16"/>
  <c r="H27644" i="16"/>
  <c r="H27645" i="16"/>
  <c r="H27646" i="16"/>
  <c r="H27647" i="16"/>
  <c r="H27648" i="16"/>
  <c r="H27649" i="16"/>
  <c r="H27650" i="16"/>
  <c r="H27651" i="16"/>
  <c r="H27652" i="16"/>
  <c r="H27653" i="16"/>
  <c r="H27654" i="16"/>
  <c r="H27655" i="16"/>
  <c r="H27656" i="16"/>
  <c r="H27657" i="16"/>
  <c r="H27658" i="16"/>
  <c r="H27659" i="16"/>
  <c r="H27660" i="16"/>
  <c r="H27661" i="16"/>
  <c r="H27662" i="16"/>
  <c r="H27663" i="16"/>
  <c r="H27664" i="16"/>
  <c r="H27665" i="16"/>
  <c r="H27666" i="16"/>
  <c r="H27667" i="16"/>
  <c r="H27668" i="16"/>
  <c r="H27669" i="16"/>
  <c r="H27670" i="16"/>
  <c r="H27671" i="16"/>
  <c r="H27672" i="16"/>
  <c r="H27673" i="16"/>
  <c r="H27674" i="16"/>
  <c r="H27675" i="16"/>
  <c r="H27676" i="16"/>
  <c r="H27677" i="16"/>
  <c r="H27678" i="16"/>
  <c r="H27679" i="16"/>
  <c r="H27680" i="16"/>
  <c r="H27681" i="16"/>
  <c r="H27682" i="16"/>
  <c r="H27683" i="16"/>
  <c r="H27684" i="16"/>
  <c r="H27685" i="16"/>
  <c r="H27686" i="16"/>
  <c r="H27687" i="16"/>
  <c r="H27688" i="16"/>
  <c r="H27689" i="16"/>
  <c r="H27690" i="16"/>
  <c r="H27691" i="16"/>
  <c r="H27692" i="16"/>
  <c r="H27693" i="16"/>
  <c r="H27694" i="16"/>
  <c r="H27695" i="16"/>
  <c r="H27696" i="16"/>
  <c r="H27697" i="16"/>
  <c r="H27698" i="16"/>
  <c r="H27699" i="16"/>
  <c r="H27700" i="16"/>
  <c r="H27701" i="16"/>
  <c r="H27702" i="16"/>
  <c r="H27703" i="16"/>
  <c r="H27704" i="16"/>
  <c r="H27705" i="16"/>
  <c r="H27706" i="16"/>
  <c r="H27707" i="16"/>
  <c r="H27708" i="16"/>
  <c r="H27709" i="16"/>
  <c r="H27710" i="16"/>
  <c r="H27711" i="16"/>
  <c r="H27712" i="16"/>
  <c r="H27713" i="16"/>
  <c r="H27714" i="16"/>
  <c r="H27715" i="16"/>
  <c r="H27716" i="16"/>
  <c r="H27717" i="16"/>
  <c r="H27718" i="16"/>
  <c r="H27719" i="16"/>
  <c r="H27720" i="16"/>
  <c r="H27721" i="16"/>
  <c r="H27722" i="16"/>
  <c r="H27723" i="16"/>
  <c r="H27724" i="16"/>
  <c r="H27725" i="16"/>
  <c r="H27726" i="16"/>
  <c r="H27727" i="16"/>
  <c r="H27728" i="16"/>
  <c r="H27729" i="16"/>
  <c r="H27730" i="16"/>
  <c r="H27731" i="16"/>
  <c r="H27732" i="16"/>
  <c r="H27733" i="16"/>
  <c r="H27734" i="16"/>
  <c r="H27735" i="16"/>
  <c r="H27736" i="16"/>
  <c r="H27737" i="16"/>
  <c r="H27738" i="16"/>
  <c r="H27739" i="16"/>
  <c r="H27740" i="16"/>
  <c r="H27741" i="16"/>
  <c r="H27742" i="16"/>
  <c r="H27743" i="16"/>
  <c r="H27744" i="16"/>
  <c r="H27745" i="16"/>
  <c r="H27746" i="16"/>
  <c r="H27747" i="16"/>
  <c r="H27748" i="16"/>
  <c r="H27749" i="16"/>
  <c r="H27750" i="16"/>
  <c r="H27751" i="16"/>
  <c r="H27752" i="16"/>
  <c r="H27753" i="16"/>
  <c r="H27754" i="16"/>
  <c r="H27755" i="16"/>
  <c r="H27756" i="16"/>
  <c r="H27757" i="16"/>
  <c r="H27758" i="16"/>
  <c r="H27759" i="16"/>
  <c r="H27760" i="16"/>
  <c r="H27761" i="16"/>
  <c r="H27762" i="16"/>
  <c r="H27763" i="16"/>
  <c r="H27764" i="16"/>
  <c r="H27765" i="16"/>
  <c r="H27766" i="16"/>
  <c r="H27767" i="16"/>
  <c r="H27768" i="16"/>
  <c r="H27769" i="16"/>
  <c r="H27770" i="16"/>
  <c r="H27771" i="16"/>
  <c r="H27772" i="16"/>
  <c r="H27773" i="16"/>
  <c r="H27774" i="16"/>
  <c r="H27775" i="16"/>
  <c r="H27776" i="16"/>
  <c r="H27777" i="16"/>
  <c r="H27778" i="16"/>
  <c r="H27779" i="16"/>
  <c r="H27780" i="16"/>
  <c r="H27781" i="16"/>
  <c r="H27782" i="16"/>
  <c r="H27783" i="16"/>
  <c r="H27784" i="16"/>
  <c r="H27785" i="16"/>
  <c r="H27786" i="16"/>
  <c r="H27787" i="16"/>
  <c r="H27788" i="16"/>
  <c r="H27789" i="16"/>
  <c r="H27790" i="16"/>
  <c r="H27791" i="16"/>
  <c r="H27792" i="16"/>
  <c r="H27793" i="16"/>
  <c r="H27794" i="16"/>
  <c r="H27795" i="16"/>
  <c r="H27796" i="16"/>
  <c r="H27797" i="16"/>
  <c r="H27798" i="16"/>
  <c r="H27799" i="16"/>
  <c r="H27800" i="16"/>
  <c r="H27801" i="16"/>
  <c r="H27802" i="16"/>
  <c r="H27803" i="16"/>
  <c r="H27804" i="16"/>
  <c r="H27805" i="16"/>
  <c r="H27806" i="16"/>
  <c r="H27807" i="16"/>
  <c r="H27808" i="16"/>
  <c r="H27809" i="16"/>
  <c r="H27810" i="16"/>
  <c r="H27811" i="16"/>
  <c r="H27812" i="16"/>
  <c r="H27813" i="16"/>
  <c r="H27814" i="16"/>
  <c r="H27815" i="16"/>
  <c r="H27816" i="16"/>
  <c r="H27817" i="16"/>
  <c r="H27818" i="16"/>
  <c r="H27819" i="16"/>
  <c r="H27820" i="16"/>
  <c r="H27821" i="16"/>
  <c r="H27822" i="16"/>
  <c r="H27823" i="16"/>
  <c r="H27824" i="16"/>
  <c r="H27825" i="16"/>
  <c r="H27826" i="16"/>
  <c r="H27827" i="16"/>
  <c r="H27828" i="16"/>
  <c r="H27829" i="16"/>
  <c r="H27830" i="16"/>
  <c r="H27831" i="16"/>
  <c r="H27832" i="16"/>
  <c r="H27833" i="16"/>
  <c r="H27834" i="16"/>
  <c r="H27835" i="16"/>
  <c r="H27836" i="16"/>
  <c r="H27837" i="16"/>
  <c r="H27838" i="16"/>
  <c r="H27839" i="16"/>
  <c r="H27840" i="16"/>
  <c r="H27841" i="16"/>
  <c r="H27842" i="16"/>
  <c r="H27843" i="16"/>
  <c r="H27844" i="16"/>
  <c r="H27845" i="16"/>
  <c r="H27846" i="16"/>
  <c r="H27847" i="16"/>
  <c r="H27848" i="16"/>
  <c r="H27849" i="16"/>
  <c r="H27850" i="16"/>
  <c r="H27851" i="16"/>
  <c r="H27852" i="16"/>
  <c r="H27853" i="16"/>
  <c r="H27854" i="16"/>
  <c r="H27855" i="16"/>
  <c r="H27856" i="16"/>
  <c r="H27857" i="16"/>
  <c r="H27858" i="16"/>
  <c r="H27859" i="16"/>
  <c r="H27860" i="16"/>
  <c r="H27861" i="16"/>
  <c r="H27862" i="16"/>
  <c r="H27863" i="16"/>
  <c r="H27864" i="16"/>
  <c r="H27865" i="16"/>
  <c r="H27866" i="16"/>
  <c r="H27867" i="16"/>
  <c r="H27868" i="16"/>
  <c r="H27869" i="16"/>
  <c r="H27870" i="16"/>
  <c r="H27871" i="16"/>
  <c r="H27872" i="16"/>
  <c r="H27873" i="16"/>
  <c r="H27874" i="16"/>
  <c r="H27875" i="16"/>
  <c r="H27876" i="16"/>
  <c r="H27877" i="16"/>
  <c r="H27878" i="16"/>
  <c r="H27879" i="16"/>
  <c r="H27880" i="16"/>
  <c r="H27881" i="16"/>
  <c r="H27882" i="16"/>
  <c r="H27883" i="16"/>
  <c r="H27884" i="16"/>
  <c r="H27885" i="16"/>
  <c r="H27886" i="16"/>
  <c r="H27887" i="16"/>
  <c r="H27888" i="16"/>
  <c r="H27889" i="16"/>
  <c r="H27890" i="16"/>
  <c r="H27891" i="16"/>
  <c r="H27892" i="16"/>
  <c r="H27893" i="16"/>
  <c r="H27894" i="16"/>
  <c r="H27895" i="16"/>
  <c r="H27896" i="16"/>
  <c r="H27897" i="16"/>
  <c r="H27898" i="16"/>
  <c r="H27899" i="16"/>
  <c r="H27900" i="16"/>
  <c r="H27901" i="16"/>
  <c r="H27902" i="16"/>
  <c r="H27903" i="16"/>
  <c r="H27904" i="16"/>
  <c r="H27905" i="16"/>
  <c r="H27906" i="16"/>
  <c r="H27907" i="16"/>
  <c r="H27908" i="16"/>
  <c r="H27909" i="16"/>
  <c r="H27910" i="16"/>
  <c r="H27911" i="16"/>
  <c r="H27912" i="16"/>
  <c r="H27913" i="16"/>
  <c r="H27914" i="16"/>
  <c r="H27915" i="16"/>
  <c r="H27916" i="16"/>
  <c r="H27917" i="16"/>
  <c r="H27918" i="16"/>
  <c r="H27919" i="16"/>
  <c r="H27920" i="16"/>
  <c r="H27921" i="16"/>
  <c r="H27922" i="16"/>
  <c r="H27923" i="16"/>
  <c r="H27924" i="16"/>
  <c r="H27925" i="16"/>
  <c r="H27926" i="16"/>
  <c r="H27927" i="16"/>
  <c r="H27928" i="16"/>
  <c r="H27929" i="16"/>
  <c r="H27930" i="16"/>
  <c r="H27931" i="16"/>
  <c r="H27932" i="16"/>
  <c r="H27933" i="16"/>
  <c r="H27934" i="16"/>
  <c r="H27935" i="16"/>
  <c r="H27936" i="16"/>
  <c r="H27937" i="16"/>
  <c r="H27938" i="16"/>
  <c r="H27939" i="16"/>
  <c r="H27940" i="16"/>
  <c r="H27941" i="16"/>
  <c r="H27942" i="16"/>
  <c r="H27943" i="16"/>
  <c r="H27944" i="16"/>
  <c r="H27945" i="16"/>
  <c r="H27946" i="16"/>
  <c r="H27947" i="16"/>
  <c r="H27948" i="16"/>
  <c r="H27949" i="16"/>
  <c r="H27950" i="16"/>
  <c r="H27951" i="16"/>
  <c r="H27952" i="16"/>
  <c r="H27953" i="16"/>
  <c r="H27954" i="16"/>
  <c r="H27955" i="16"/>
  <c r="H27956" i="16"/>
  <c r="H27957" i="16"/>
  <c r="H27958" i="16"/>
  <c r="H27959" i="16"/>
  <c r="H27960" i="16"/>
  <c r="H27961" i="16"/>
  <c r="H27962" i="16"/>
  <c r="H27963" i="16"/>
  <c r="H27964" i="16"/>
  <c r="H27965" i="16"/>
  <c r="H27966" i="16"/>
  <c r="H27967" i="16"/>
  <c r="H27968" i="16"/>
  <c r="H27969" i="16"/>
  <c r="H27970" i="16"/>
  <c r="H27971" i="16"/>
  <c r="H27972" i="16"/>
  <c r="H27973" i="16"/>
  <c r="H27974" i="16"/>
  <c r="H27975" i="16"/>
  <c r="H27976" i="16"/>
  <c r="H27977" i="16"/>
  <c r="H27978" i="16"/>
  <c r="H27979" i="16"/>
  <c r="H27980" i="16"/>
  <c r="H27981" i="16"/>
  <c r="H27982" i="16"/>
  <c r="H27983" i="16"/>
  <c r="H27984" i="16"/>
  <c r="H27985" i="16"/>
  <c r="H27986" i="16"/>
  <c r="H27987" i="16"/>
  <c r="H27988" i="16"/>
  <c r="H27989" i="16"/>
  <c r="H27990" i="16"/>
  <c r="H27991" i="16"/>
  <c r="H27992" i="16"/>
  <c r="H27993" i="16"/>
  <c r="H27994" i="16"/>
  <c r="H27995" i="16"/>
  <c r="H27996" i="16"/>
  <c r="H27997" i="16"/>
  <c r="H27998" i="16"/>
  <c r="H27999" i="16"/>
  <c r="H28000" i="16"/>
  <c r="H28001" i="16"/>
  <c r="H28002" i="16"/>
  <c r="H28003" i="16"/>
  <c r="H28004" i="16"/>
  <c r="H28005" i="16"/>
  <c r="H28006" i="16"/>
  <c r="H28007" i="16"/>
  <c r="H28008" i="16"/>
  <c r="H28009" i="16"/>
  <c r="H28010" i="16"/>
  <c r="H28011" i="16"/>
  <c r="H28012" i="16"/>
  <c r="H28013" i="16"/>
  <c r="H28014" i="16"/>
  <c r="H28015" i="16"/>
  <c r="H28016" i="16"/>
  <c r="H28017" i="16"/>
  <c r="H28018" i="16"/>
  <c r="H28019" i="16"/>
  <c r="H28020" i="16"/>
  <c r="H28021" i="16"/>
  <c r="H28022" i="16"/>
  <c r="H28023" i="16"/>
  <c r="H28024" i="16"/>
  <c r="H28025" i="16"/>
  <c r="H28026" i="16"/>
  <c r="H28027" i="16"/>
  <c r="H28028" i="16"/>
  <c r="H28029" i="16"/>
  <c r="H28030" i="16"/>
  <c r="H28031" i="16"/>
  <c r="H28032" i="16"/>
  <c r="H28033" i="16"/>
  <c r="H28034" i="16"/>
  <c r="H28035" i="16"/>
  <c r="H28036" i="16"/>
  <c r="H28037" i="16"/>
  <c r="H28038" i="16"/>
  <c r="H28039" i="16"/>
  <c r="H28040" i="16"/>
  <c r="H28041" i="16"/>
  <c r="H28042" i="16"/>
  <c r="H28043" i="16"/>
  <c r="H28044" i="16"/>
  <c r="H28045" i="16"/>
  <c r="H28046" i="16"/>
  <c r="H28047" i="16"/>
  <c r="H28048" i="16"/>
  <c r="H28049" i="16"/>
  <c r="H28050" i="16"/>
  <c r="H28051" i="16"/>
  <c r="H28052" i="16"/>
  <c r="H28053" i="16"/>
  <c r="H28054" i="16"/>
  <c r="H28055" i="16"/>
  <c r="H28056" i="16"/>
  <c r="H28057" i="16"/>
  <c r="H28058" i="16"/>
  <c r="H28059" i="16"/>
  <c r="H28060" i="16"/>
  <c r="H28061" i="16"/>
  <c r="H28062" i="16"/>
  <c r="H28063" i="16"/>
  <c r="H28064" i="16"/>
  <c r="H28065" i="16"/>
  <c r="H28066" i="16"/>
  <c r="H28067" i="16"/>
  <c r="H28068" i="16"/>
  <c r="H28069" i="16"/>
  <c r="H28070" i="16"/>
  <c r="H28071" i="16"/>
  <c r="H28072" i="16"/>
  <c r="H28073" i="16"/>
  <c r="H28074" i="16"/>
  <c r="H28075" i="16"/>
  <c r="H28076" i="16"/>
  <c r="H28077" i="16"/>
  <c r="H28078" i="16"/>
  <c r="H28079" i="16"/>
  <c r="H28080" i="16"/>
  <c r="H28081" i="16"/>
  <c r="H28082" i="16"/>
  <c r="H28083" i="16"/>
  <c r="H28084" i="16"/>
  <c r="H28085" i="16"/>
  <c r="H28086" i="16"/>
  <c r="H28087" i="16"/>
  <c r="H28088" i="16"/>
  <c r="H28089" i="16"/>
  <c r="H28090" i="16"/>
  <c r="H28091" i="16"/>
  <c r="H28092" i="16"/>
  <c r="H28093" i="16"/>
  <c r="H28094" i="16"/>
  <c r="H28095" i="16"/>
  <c r="H28096" i="16"/>
  <c r="H28097" i="16"/>
  <c r="H28098" i="16"/>
  <c r="H28099" i="16"/>
  <c r="H28100" i="16"/>
  <c r="H28101" i="16"/>
  <c r="H28102" i="16"/>
  <c r="H28103" i="16"/>
  <c r="H28104" i="16"/>
  <c r="H28105" i="16"/>
  <c r="H28106" i="16"/>
  <c r="H28107" i="16"/>
  <c r="H28108" i="16"/>
  <c r="H28109" i="16"/>
  <c r="H28110" i="16"/>
  <c r="H28111" i="16"/>
  <c r="H28112" i="16"/>
  <c r="H28113" i="16"/>
  <c r="H28114" i="16"/>
  <c r="H28115" i="16"/>
  <c r="H28116" i="16"/>
  <c r="H28117" i="16"/>
  <c r="H28118" i="16"/>
  <c r="H28119" i="16"/>
  <c r="H28120" i="16"/>
  <c r="H28121" i="16"/>
  <c r="H28122" i="16"/>
  <c r="H28123" i="16"/>
  <c r="H28124" i="16"/>
  <c r="H28125" i="16"/>
  <c r="H28126" i="16"/>
  <c r="H28127" i="16"/>
  <c r="H28128" i="16"/>
  <c r="H28129" i="16"/>
  <c r="H28130" i="16"/>
  <c r="H28131" i="16"/>
  <c r="H28132" i="16"/>
  <c r="H28133" i="16"/>
  <c r="H28134" i="16"/>
  <c r="H28135" i="16"/>
  <c r="H28136" i="16"/>
  <c r="H28137" i="16"/>
  <c r="H28138" i="16"/>
  <c r="H28139" i="16"/>
  <c r="H28140" i="16"/>
  <c r="H28141" i="16"/>
  <c r="H28142" i="16"/>
  <c r="H28143" i="16"/>
  <c r="H28144" i="16"/>
  <c r="H28145" i="16"/>
  <c r="H28146" i="16"/>
  <c r="H28147" i="16"/>
  <c r="H28148" i="16"/>
  <c r="H28149" i="16"/>
  <c r="H28150" i="16"/>
  <c r="H28151" i="16"/>
  <c r="H28152" i="16"/>
  <c r="H28153" i="16"/>
  <c r="H28154" i="16"/>
  <c r="H28155" i="16"/>
  <c r="H28156" i="16"/>
  <c r="H28157" i="16"/>
  <c r="H28158" i="16"/>
  <c r="H28159" i="16"/>
  <c r="H28160" i="16"/>
  <c r="H28161" i="16"/>
  <c r="H28162" i="16"/>
  <c r="H28163" i="16"/>
  <c r="H28164" i="16"/>
  <c r="H28165" i="16"/>
  <c r="H28166" i="16"/>
  <c r="H28167" i="16"/>
  <c r="H28168" i="16"/>
  <c r="H28169" i="16"/>
  <c r="H28170" i="16"/>
  <c r="H28171" i="16"/>
  <c r="H28172" i="16"/>
  <c r="H28173" i="16"/>
  <c r="H28174" i="16"/>
  <c r="H28175" i="16"/>
  <c r="H28176" i="16"/>
  <c r="H28177" i="16"/>
  <c r="H28178" i="16"/>
  <c r="H28179" i="16"/>
  <c r="H28180" i="16"/>
  <c r="H28181" i="16"/>
  <c r="H28182" i="16"/>
  <c r="H28183" i="16"/>
  <c r="H28184" i="16"/>
  <c r="H28185" i="16"/>
  <c r="H28186" i="16"/>
  <c r="H28187" i="16"/>
  <c r="H28188" i="16"/>
  <c r="H28189" i="16"/>
  <c r="H28190" i="16"/>
  <c r="H28191" i="16"/>
  <c r="H28192" i="16"/>
  <c r="H28193" i="16"/>
  <c r="H28194" i="16"/>
  <c r="H28195" i="16"/>
  <c r="H28196" i="16"/>
  <c r="H28197" i="16"/>
  <c r="H28198" i="16"/>
  <c r="H28199" i="16"/>
  <c r="H28200" i="16"/>
  <c r="H28201" i="16"/>
  <c r="H28202" i="16"/>
  <c r="H28203" i="16"/>
  <c r="H28204" i="16"/>
  <c r="H28205" i="16"/>
  <c r="H28206" i="16"/>
  <c r="H28207" i="16"/>
  <c r="H28208" i="16"/>
  <c r="H28209" i="16"/>
  <c r="H28210" i="16"/>
  <c r="H28211" i="16"/>
  <c r="H28212" i="16"/>
  <c r="H28213" i="16"/>
  <c r="H28214" i="16"/>
  <c r="H28215" i="16"/>
  <c r="H28216" i="16"/>
  <c r="H28217" i="16"/>
  <c r="H28218" i="16"/>
  <c r="H28219" i="16"/>
  <c r="H28220" i="16"/>
  <c r="H28221" i="16"/>
  <c r="H28222" i="16"/>
  <c r="H28223" i="16"/>
  <c r="H28224" i="16"/>
  <c r="H28225" i="16"/>
  <c r="H28226" i="16"/>
  <c r="H28227" i="16"/>
  <c r="H28228" i="16"/>
  <c r="H28229" i="16"/>
  <c r="H28230" i="16"/>
  <c r="H28231" i="16"/>
  <c r="H28232" i="16"/>
  <c r="H28233" i="16"/>
  <c r="H28234" i="16"/>
  <c r="H28235" i="16"/>
  <c r="H28236" i="16"/>
  <c r="H28237" i="16"/>
  <c r="H28238" i="16"/>
  <c r="H28239" i="16"/>
  <c r="H28240" i="16"/>
  <c r="H28241" i="16"/>
  <c r="H28242" i="16"/>
  <c r="H28243" i="16"/>
  <c r="H28244" i="16"/>
  <c r="H28245" i="16"/>
  <c r="H28246" i="16"/>
  <c r="H28247" i="16"/>
  <c r="H28248" i="16"/>
  <c r="H28249" i="16"/>
  <c r="H28250" i="16"/>
  <c r="H28251" i="16"/>
  <c r="H28252" i="16"/>
  <c r="H28253" i="16"/>
  <c r="H28254" i="16"/>
  <c r="H28255" i="16"/>
  <c r="H28256" i="16"/>
  <c r="H28257" i="16"/>
  <c r="H28258" i="16"/>
  <c r="H28259" i="16"/>
  <c r="H28260" i="16"/>
  <c r="H28261" i="16"/>
  <c r="H28262" i="16"/>
  <c r="H28263" i="16"/>
  <c r="H28264" i="16"/>
  <c r="H28265" i="16"/>
  <c r="H28266" i="16"/>
  <c r="H28267" i="16"/>
  <c r="H28268" i="16"/>
  <c r="H28269" i="16"/>
  <c r="H28270" i="16"/>
  <c r="H28271" i="16"/>
  <c r="H28272" i="16"/>
  <c r="H28273" i="16"/>
  <c r="H28274" i="16"/>
  <c r="H28275" i="16"/>
  <c r="H28276" i="16"/>
  <c r="H28277" i="16"/>
  <c r="H28278" i="16"/>
  <c r="H28279" i="16"/>
  <c r="H28280" i="16"/>
  <c r="H28281" i="16"/>
  <c r="H28282" i="16"/>
  <c r="H28283" i="16"/>
  <c r="H28284" i="16"/>
  <c r="H28285" i="16"/>
  <c r="H28286" i="16"/>
  <c r="H28287" i="16"/>
  <c r="H28288" i="16"/>
  <c r="H28289" i="16"/>
  <c r="H28290" i="16"/>
  <c r="H28291" i="16"/>
  <c r="H28292" i="16"/>
  <c r="H28293" i="16"/>
  <c r="H28294" i="16"/>
  <c r="H28295" i="16"/>
  <c r="H28296" i="16"/>
  <c r="H28297" i="16"/>
  <c r="H28298" i="16"/>
  <c r="H28299" i="16"/>
  <c r="H28300" i="16"/>
  <c r="H28301" i="16"/>
  <c r="H28302" i="16"/>
  <c r="H28303" i="16"/>
  <c r="H28304" i="16"/>
  <c r="H28305" i="16"/>
  <c r="H28306" i="16"/>
  <c r="H28307" i="16"/>
  <c r="H28308" i="16"/>
  <c r="H28309" i="16"/>
  <c r="H28310" i="16"/>
  <c r="H28311" i="16"/>
  <c r="H28312" i="16"/>
  <c r="H28313" i="16"/>
  <c r="H28314" i="16"/>
  <c r="H28315" i="16"/>
  <c r="H28316" i="16"/>
  <c r="H28317" i="16"/>
  <c r="H28318" i="16"/>
  <c r="H28319" i="16"/>
  <c r="H28320" i="16"/>
  <c r="H28321" i="16"/>
  <c r="H28322" i="16"/>
  <c r="H28323" i="16"/>
  <c r="H28324" i="16"/>
  <c r="H28325" i="16"/>
  <c r="H28326" i="16"/>
  <c r="H28327" i="16"/>
  <c r="H28328" i="16"/>
  <c r="H28329" i="16"/>
  <c r="H28330" i="16"/>
  <c r="H28331" i="16"/>
  <c r="H28332" i="16"/>
  <c r="H28333" i="16"/>
  <c r="H28334" i="16"/>
  <c r="H28335" i="16"/>
  <c r="H28336" i="16"/>
  <c r="H28337" i="16"/>
  <c r="H28338" i="16"/>
  <c r="H28339" i="16"/>
  <c r="H28340" i="16"/>
  <c r="H28341" i="16"/>
  <c r="H28342" i="16"/>
  <c r="H28343" i="16"/>
  <c r="H28344" i="16"/>
  <c r="H28345" i="16"/>
  <c r="H28346" i="16"/>
  <c r="H28347" i="16"/>
  <c r="H28348" i="16"/>
  <c r="H28349" i="16"/>
  <c r="H28350" i="16"/>
  <c r="H28351" i="16"/>
  <c r="H28352" i="16"/>
  <c r="H28353" i="16"/>
  <c r="H28354" i="16"/>
  <c r="H28355" i="16"/>
  <c r="H28356" i="16"/>
  <c r="H28357" i="16"/>
  <c r="H28358" i="16"/>
  <c r="H28359" i="16"/>
  <c r="H28360" i="16"/>
  <c r="H28361" i="16"/>
  <c r="H28362" i="16"/>
  <c r="H28363" i="16"/>
  <c r="H28364" i="16"/>
  <c r="H28365" i="16"/>
  <c r="H28366" i="16"/>
  <c r="H28367" i="16"/>
  <c r="H28368" i="16"/>
  <c r="H28369" i="16"/>
  <c r="H28370" i="16"/>
  <c r="H28371" i="16"/>
  <c r="H28372" i="16"/>
  <c r="H28373" i="16"/>
  <c r="H28374" i="16"/>
  <c r="H28375" i="16"/>
  <c r="H28376" i="16"/>
  <c r="H28377" i="16"/>
  <c r="H28378" i="16"/>
  <c r="H28379" i="16"/>
  <c r="H28380" i="16"/>
  <c r="H28381" i="16"/>
  <c r="H28382" i="16"/>
  <c r="H28383" i="16"/>
  <c r="H28384" i="16"/>
  <c r="H28385" i="16"/>
  <c r="H28386" i="16"/>
  <c r="H28387" i="16"/>
  <c r="H28388" i="16"/>
  <c r="H28389" i="16"/>
  <c r="H28390" i="16"/>
  <c r="H28391" i="16"/>
  <c r="H28392" i="16"/>
  <c r="H28393" i="16"/>
  <c r="H28394" i="16"/>
  <c r="H28395" i="16"/>
  <c r="H28396" i="16"/>
  <c r="H28397" i="16"/>
  <c r="H28398" i="16"/>
  <c r="H28399" i="16"/>
  <c r="H28400" i="16"/>
  <c r="H28401" i="16"/>
  <c r="H28402" i="16"/>
  <c r="H28403" i="16"/>
  <c r="H28404" i="16"/>
  <c r="H28405" i="16"/>
  <c r="H28406" i="16"/>
  <c r="H28407" i="16"/>
  <c r="H28408" i="16"/>
  <c r="H28409" i="16"/>
  <c r="H28410" i="16"/>
  <c r="H28411" i="16"/>
  <c r="H28412" i="16"/>
  <c r="H28413" i="16"/>
  <c r="H28414" i="16"/>
  <c r="H28415" i="16"/>
  <c r="H28416" i="16"/>
  <c r="H28417" i="16"/>
  <c r="H28418" i="16"/>
  <c r="H28419" i="16"/>
  <c r="H28420" i="16"/>
  <c r="H28421" i="16"/>
  <c r="H28422" i="16"/>
  <c r="H28423" i="16"/>
  <c r="H28424" i="16"/>
  <c r="H28425" i="16"/>
  <c r="H28426" i="16"/>
  <c r="H28427" i="16"/>
  <c r="H28428" i="16"/>
  <c r="H28429" i="16"/>
  <c r="H28430" i="16"/>
  <c r="H28431" i="16"/>
  <c r="H28432" i="16"/>
  <c r="H28433" i="16"/>
  <c r="H28434" i="16"/>
  <c r="H28435" i="16"/>
  <c r="H28436" i="16"/>
  <c r="H28437" i="16"/>
  <c r="H28438" i="16"/>
  <c r="H28439" i="16"/>
  <c r="H28440" i="16"/>
  <c r="H28441" i="16"/>
  <c r="H28442" i="16"/>
  <c r="H28443" i="16"/>
  <c r="H28444" i="16"/>
  <c r="H28445" i="16"/>
  <c r="H28446" i="16"/>
  <c r="H28447" i="16"/>
  <c r="H28448" i="16"/>
  <c r="H28449" i="16"/>
  <c r="H28450" i="16"/>
  <c r="H28451" i="16"/>
  <c r="H28452" i="16"/>
  <c r="H28453" i="16"/>
  <c r="H28454" i="16"/>
  <c r="H28455" i="16"/>
  <c r="H28456" i="16"/>
  <c r="H28457" i="16"/>
  <c r="H28458" i="16"/>
  <c r="H28459" i="16"/>
  <c r="H28460" i="16"/>
  <c r="H28461" i="16"/>
  <c r="H28462" i="16"/>
  <c r="H28463" i="16"/>
  <c r="H28464" i="16"/>
  <c r="H28465" i="16"/>
  <c r="H28466" i="16"/>
  <c r="H28467" i="16"/>
  <c r="H28468" i="16"/>
  <c r="H28469" i="16"/>
  <c r="H28470" i="16"/>
  <c r="H28471" i="16"/>
  <c r="H28472" i="16"/>
  <c r="H28473" i="16"/>
  <c r="H28474" i="16"/>
  <c r="H28475" i="16"/>
  <c r="H28476" i="16"/>
  <c r="H28477" i="16"/>
  <c r="H28478" i="16"/>
  <c r="H28479" i="16"/>
  <c r="H28480" i="16"/>
  <c r="H28481" i="16"/>
  <c r="H28482" i="16"/>
  <c r="H28483" i="16"/>
  <c r="H28484" i="16"/>
  <c r="H28485" i="16"/>
  <c r="H28486" i="16"/>
  <c r="H28487" i="16"/>
  <c r="H28488" i="16"/>
  <c r="H28489" i="16"/>
  <c r="H28490" i="16"/>
  <c r="H28491" i="16"/>
  <c r="H28492" i="16"/>
  <c r="H28493" i="16"/>
  <c r="H28494" i="16"/>
  <c r="H28495" i="16"/>
  <c r="H28496" i="16"/>
  <c r="H28497" i="16"/>
  <c r="H28498" i="16"/>
  <c r="H28499" i="16"/>
  <c r="H28500" i="16"/>
  <c r="H28501" i="16"/>
  <c r="H28502" i="16"/>
  <c r="H28503" i="16"/>
  <c r="H28504" i="16"/>
  <c r="H28505" i="16"/>
  <c r="H28506" i="16"/>
  <c r="H28507" i="16"/>
  <c r="H28508" i="16"/>
  <c r="H28509" i="16"/>
  <c r="H28510" i="16"/>
  <c r="H28511" i="16"/>
  <c r="H28512" i="16"/>
  <c r="H28513" i="16"/>
  <c r="H28514" i="16"/>
  <c r="H28515" i="16"/>
  <c r="H28516" i="16"/>
  <c r="H28517" i="16"/>
  <c r="H28518" i="16"/>
  <c r="H28519" i="16"/>
  <c r="H28520" i="16"/>
  <c r="H28521" i="16"/>
  <c r="H28522" i="16"/>
  <c r="H28523" i="16"/>
  <c r="H28524" i="16"/>
  <c r="H28525" i="16"/>
  <c r="H28526" i="16"/>
  <c r="H28527" i="16"/>
  <c r="H28528" i="16"/>
  <c r="H28529" i="16"/>
  <c r="H28530" i="16"/>
  <c r="H28531" i="16"/>
  <c r="H28532" i="16"/>
  <c r="H28533" i="16"/>
  <c r="H28534" i="16"/>
  <c r="H28535" i="16"/>
  <c r="H28536" i="16"/>
  <c r="H28537" i="16"/>
  <c r="H28538" i="16"/>
  <c r="H28539" i="16"/>
  <c r="H28540" i="16"/>
  <c r="H28541" i="16"/>
  <c r="H28542" i="16"/>
  <c r="H28543" i="16"/>
  <c r="H28544" i="16"/>
  <c r="H28545" i="16"/>
  <c r="H28546" i="16"/>
  <c r="H28547" i="16"/>
  <c r="H28548" i="16"/>
  <c r="H28549" i="16"/>
  <c r="H28550" i="16"/>
  <c r="H28551" i="16"/>
  <c r="H28552" i="16"/>
  <c r="H28553" i="16"/>
  <c r="H28554" i="16"/>
  <c r="H28555" i="16"/>
  <c r="H28556" i="16"/>
  <c r="H28557" i="16"/>
  <c r="H28558" i="16"/>
  <c r="H28559" i="16"/>
  <c r="H28560" i="16"/>
  <c r="H28561" i="16"/>
  <c r="H28562" i="16"/>
  <c r="H28563" i="16"/>
  <c r="H28564" i="16"/>
  <c r="H28565" i="16"/>
  <c r="H28566" i="16"/>
  <c r="H28567" i="16"/>
  <c r="H28568" i="16"/>
  <c r="H28569" i="16"/>
  <c r="H28570" i="16"/>
  <c r="H28571" i="16"/>
  <c r="H28572" i="16"/>
  <c r="H28573" i="16"/>
  <c r="H28574" i="16"/>
  <c r="H28575" i="16"/>
  <c r="H28576" i="16"/>
  <c r="H28577" i="16"/>
  <c r="H28578" i="16"/>
  <c r="H28579" i="16"/>
  <c r="H28580" i="16"/>
  <c r="H28581" i="16"/>
  <c r="H28582" i="16"/>
  <c r="H28583" i="16"/>
  <c r="H28584" i="16"/>
  <c r="H28585" i="16"/>
  <c r="H28586" i="16"/>
  <c r="H28587" i="16"/>
  <c r="H28588" i="16"/>
  <c r="H28589" i="16"/>
  <c r="H28590" i="16"/>
  <c r="H28591" i="16"/>
  <c r="H28592" i="16"/>
  <c r="H28593" i="16"/>
  <c r="H28594" i="16"/>
  <c r="H28595" i="16"/>
  <c r="H28596" i="16"/>
  <c r="H28597" i="16"/>
  <c r="H28598" i="16"/>
  <c r="H28599" i="16"/>
  <c r="H28600" i="16"/>
  <c r="H28601" i="16"/>
  <c r="H28602" i="16"/>
  <c r="H28603" i="16"/>
  <c r="H28604" i="16"/>
  <c r="H28605" i="16"/>
  <c r="H28606" i="16"/>
  <c r="H28607" i="16"/>
  <c r="H28608" i="16"/>
  <c r="H28609" i="16"/>
  <c r="H28610" i="16"/>
  <c r="H28611" i="16"/>
  <c r="H28612" i="16"/>
  <c r="H28613" i="16"/>
  <c r="H28614" i="16"/>
  <c r="H28615" i="16"/>
  <c r="H28616" i="16"/>
  <c r="H28617" i="16"/>
  <c r="H28618" i="16"/>
  <c r="H28619" i="16"/>
  <c r="H28620" i="16"/>
  <c r="H28621" i="16"/>
  <c r="H28622" i="16"/>
  <c r="H28623" i="16"/>
  <c r="H28624" i="16"/>
  <c r="H28625" i="16"/>
  <c r="H28626" i="16"/>
  <c r="H28627" i="16"/>
  <c r="H28628" i="16"/>
  <c r="H28629" i="16"/>
  <c r="H28630" i="16"/>
  <c r="H28631" i="16"/>
  <c r="H28632" i="16"/>
  <c r="H28633" i="16"/>
  <c r="H28634" i="16"/>
  <c r="H28635" i="16"/>
  <c r="H28636" i="16"/>
  <c r="H28637" i="16"/>
  <c r="H28638" i="16"/>
  <c r="H28639" i="16"/>
  <c r="H28640" i="16"/>
  <c r="H28641" i="16"/>
  <c r="H28642" i="16"/>
  <c r="H28643" i="16"/>
  <c r="H28644" i="16"/>
  <c r="H28645" i="16"/>
  <c r="H28646" i="16"/>
  <c r="H28647" i="16"/>
  <c r="H28648" i="16"/>
  <c r="H28649" i="16"/>
  <c r="H28650" i="16"/>
  <c r="H28651" i="16"/>
  <c r="H28652" i="16"/>
  <c r="H28653" i="16"/>
  <c r="H28654" i="16"/>
  <c r="H28655" i="16"/>
  <c r="H28656" i="16"/>
  <c r="H28657" i="16"/>
  <c r="H28658" i="16"/>
  <c r="H28659" i="16"/>
  <c r="H28660" i="16"/>
  <c r="H28661" i="16"/>
  <c r="H28662" i="16"/>
  <c r="H28663" i="16"/>
  <c r="H28664" i="16"/>
  <c r="H28665" i="16"/>
  <c r="H28666" i="16"/>
  <c r="H28667" i="16"/>
  <c r="H28668" i="16"/>
  <c r="H28669" i="16"/>
  <c r="H28670" i="16"/>
  <c r="H28671" i="16"/>
  <c r="H28672" i="16"/>
  <c r="H28673" i="16"/>
  <c r="H28674" i="16"/>
  <c r="H28675" i="16"/>
  <c r="H28676" i="16"/>
  <c r="H28677" i="16"/>
  <c r="H28678" i="16"/>
  <c r="H28679" i="16"/>
  <c r="H28680" i="16"/>
  <c r="H28681" i="16"/>
  <c r="H28682" i="16"/>
  <c r="H28683" i="16"/>
  <c r="H28684" i="16"/>
  <c r="H28685" i="16"/>
  <c r="H28686" i="16"/>
  <c r="H28687" i="16"/>
  <c r="H28688" i="16"/>
  <c r="H28689" i="16"/>
  <c r="H28690" i="16"/>
  <c r="H28691" i="16"/>
  <c r="H28692" i="16"/>
  <c r="H28693" i="16"/>
  <c r="H28694" i="16"/>
  <c r="H28695" i="16"/>
  <c r="H28696" i="16"/>
  <c r="H28697" i="16"/>
  <c r="H28698" i="16"/>
  <c r="H28699" i="16"/>
  <c r="H28700" i="16"/>
  <c r="H28701" i="16"/>
  <c r="H28702" i="16"/>
  <c r="H28703" i="16"/>
  <c r="H28704" i="16"/>
  <c r="H28705" i="16"/>
  <c r="H28706" i="16"/>
  <c r="H28707" i="16"/>
  <c r="H28708" i="16"/>
  <c r="H28709" i="16"/>
  <c r="H28710" i="16"/>
  <c r="H28711" i="16"/>
  <c r="H28712" i="16"/>
  <c r="H28713" i="16"/>
  <c r="H28714" i="16"/>
  <c r="H28715" i="16"/>
  <c r="H28716" i="16"/>
  <c r="H28717" i="16"/>
  <c r="H28718" i="16"/>
  <c r="H28719" i="16"/>
  <c r="H28720" i="16"/>
  <c r="H28721" i="16"/>
  <c r="H28722" i="16"/>
  <c r="H28723" i="16"/>
  <c r="H28724" i="16"/>
  <c r="H28725" i="16"/>
  <c r="H28726" i="16"/>
  <c r="H28727" i="16"/>
  <c r="H28728" i="16"/>
  <c r="H28729" i="16"/>
  <c r="H28730" i="16"/>
  <c r="H28731" i="16"/>
  <c r="H28732" i="16"/>
  <c r="H28733" i="16"/>
  <c r="H28734" i="16"/>
  <c r="H28735" i="16"/>
  <c r="H28736" i="16"/>
  <c r="H28737" i="16"/>
  <c r="H28738" i="16"/>
  <c r="H28739" i="16"/>
  <c r="H28740" i="16"/>
  <c r="H28741" i="16"/>
  <c r="H28742" i="16"/>
  <c r="H28743" i="16"/>
  <c r="H28744" i="16"/>
  <c r="H28745" i="16"/>
  <c r="H28746" i="16"/>
  <c r="H28747" i="16"/>
  <c r="H28748" i="16"/>
  <c r="H28749" i="16"/>
  <c r="H28750" i="16"/>
  <c r="H28751" i="16"/>
  <c r="H28752" i="16"/>
  <c r="H28753" i="16"/>
  <c r="H28754" i="16"/>
  <c r="H28755" i="16"/>
  <c r="H28756" i="16"/>
  <c r="H28757" i="16"/>
  <c r="H28758" i="16"/>
  <c r="H28759" i="16"/>
  <c r="H28760" i="16"/>
  <c r="H28761" i="16"/>
  <c r="H28762" i="16"/>
  <c r="H28763" i="16"/>
  <c r="H28764" i="16"/>
  <c r="H28765" i="16"/>
  <c r="H28766" i="16"/>
  <c r="H28767" i="16"/>
  <c r="H28768" i="16"/>
  <c r="H28769" i="16"/>
  <c r="H28770" i="16"/>
  <c r="H28771" i="16"/>
  <c r="H28772" i="16"/>
  <c r="H28773" i="16"/>
  <c r="H28774" i="16"/>
  <c r="H28775" i="16"/>
  <c r="H28776" i="16"/>
  <c r="H28777" i="16"/>
  <c r="H28778" i="16"/>
  <c r="H28779" i="16"/>
  <c r="H28780" i="16"/>
  <c r="H28781" i="16"/>
  <c r="H28782" i="16"/>
  <c r="H28783" i="16"/>
  <c r="H28784" i="16"/>
  <c r="H28785" i="16"/>
  <c r="H28786" i="16"/>
  <c r="H28787" i="16"/>
  <c r="H28788" i="16"/>
  <c r="H28789" i="16"/>
  <c r="H28790" i="16"/>
  <c r="H28791" i="16"/>
  <c r="H28792" i="16"/>
  <c r="H28793" i="16"/>
  <c r="H28794" i="16"/>
  <c r="H28795" i="16"/>
  <c r="H28796" i="16"/>
  <c r="H28797" i="16"/>
  <c r="H28798" i="16"/>
  <c r="H28799" i="16"/>
  <c r="H28800" i="16"/>
  <c r="H28801" i="16"/>
  <c r="H28802" i="16"/>
  <c r="H28803" i="16"/>
  <c r="H28804" i="16"/>
  <c r="H28805" i="16"/>
  <c r="H28806" i="16"/>
  <c r="H28807" i="16"/>
  <c r="H28808" i="16"/>
  <c r="H28809" i="16"/>
  <c r="H28810" i="16"/>
  <c r="H28811" i="16"/>
  <c r="H28812" i="16"/>
  <c r="H28813" i="16"/>
  <c r="H28814" i="16"/>
  <c r="H28815" i="16"/>
  <c r="H28816" i="16"/>
  <c r="H28817" i="16"/>
  <c r="H28818" i="16"/>
  <c r="H28819" i="16"/>
  <c r="H28820" i="16"/>
  <c r="H28821" i="16"/>
  <c r="H28822" i="16"/>
  <c r="H28823" i="16"/>
  <c r="H28824" i="16"/>
  <c r="H28825" i="16"/>
  <c r="H28826" i="16"/>
  <c r="H28827" i="16"/>
  <c r="H28828" i="16"/>
  <c r="H28829" i="16"/>
  <c r="H28830" i="16"/>
  <c r="H28831" i="16"/>
  <c r="H28832" i="16"/>
  <c r="H28833" i="16"/>
  <c r="H28834" i="16"/>
  <c r="H28835" i="16"/>
  <c r="H28836" i="16"/>
  <c r="H28837" i="16"/>
  <c r="H28838" i="16"/>
  <c r="H28839" i="16"/>
  <c r="H28840" i="16"/>
  <c r="H28841" i="16"/>
  <c r="H28842" i="16"/>
  <c r="H28843" i="16"/>
  <c r="H28844" i="16"/>
  <c r="H28845" i="16"/>
  <c r="H28846" i="16"/>
  <c r="H28847" i="16"/>
  <c r="H28848" i="16"/>
  <c r="H28849" i="16"/>
  <c r="H28850" i="16"/>
  <c r="H28851" i="16"/>
  <c r="H28852" i="16"/>
  <c r="H28853" i="16"/>
  <c r="H28854" i="16"/>
  <c r="H28855" i="16"/>
  <c r="H28856" i="16"/>
  <c r="H28857" i="16"/>
  <c r="H28858" i="16"/>
  <c r="H28859" i="16"/>
  <c r="H28860" i="16"/>
  <c r="H28861" i="16"/>
  <c r="H28862" i="16"/>
  <c r="H28863" i="16"/>
  <c r="H28864" i="16"/>
  <c r="H28865" i="16"/>
  <c r="H28866" i="16"/>
  <c r="H28867" i="16"/>
  <c r="H28868" i="16"/>
  <c r="H28869" i="16"/>
  <c r="H28870" i="16"/>
  <c r="H28871" i="16"/>
  <c r="H28872" i="16"/>
  <c r="H28873" i="16"/>
  <c r="H28874" i="16"/>
  <c r="H28875" i="16"/>
  <c r="H28876" i="16"/>
  <c r="H28877" i="16"/>
  <c r="H28878" i="16"/>
  <c r="H28879" i="16"/>
  <c r="H28880" i="16"/>
  <c r="H28881" i="16"/>
  <c r="H28882" i="16"/>
  <c r="H28883" i="16"/>
  <c r="H28884" i="16"/>
  <c r="H28885" i="16"/>
  <c r="H28886" i="16"/>
  <c r="H28887" i="16"/>
  <c r="H28888" i="16"/>
  <c r="H28889" i="16"/>
  <c r="H28890" i="16"/>
  <c r="H28891" i="16"/>
  <c r="H28892" i="16"/>
  <c r="H28893" i="16"/>
  <c r="H28894" i="16"/>
  <c r="H28895" i="16"/>
  <c r="H28896" i="16"/>
  <c r="H28897" i="16"/>
  <c r="H28898" i="16"/>
  <c r="H28899" i="16"/>
  <c r="H28900" i="16"/>
  <c r="H28901" i="16"/>
  <c r="H28902" i="16"/>
  <c r="H28903" i="16"/>
  <c r="H28904" i="16"/>
  <c r="H28905" i="16"/>
  <c r="H28906" i="16"/>
  <c r="H28907" i="16"/>
  <c r="H28908" i="16"/>
  <c r="H28909" i="16"/>
  <c r="H28910" i="16"/>
  <c r="H28911" i="16"/>
  <c r="H28912" i="16"/>
  <c r="H28913" i="16"/>
  <c r="H28914" i="16"/>
  <c r="H28915" i="16"/>
  <c r="H28916" i="16"/>
  <c r="H28917" i="16"/>
  <c r="H28918" i="16"/>
  <c r="H28919" i="16"/>
  <c r="H28920" i="16"/>
  <c r="H28921" i="16"/>
  <c r="H28922" i="16"/>
  <c r="H28923" i="16"/>
  <c r="H28924" i="16"/>
  <c r="H28925" i="16"/>
  <c r="H28926" i="16"/>
  <c r="H28927" i="16"/>
  <c r="H28928" i="16"/>
  <c r="H28929" i="16"/>
  <c r="H28930" i="16"/>
  <c r="H28931" i="16"/>
  <c r="H28932" i="16"/>
  <c r="H28933" i="16"/>
  <c r="H28934" i="16"/>
  <c r="H28935" i="16"/>
  <c r="H28936" i="16"/>
  <c r="H28937" i="16"/>
  <c r="H28938" i="16"/>
  <c r="H28939" i="16"/>
  <c r="H28940" i="16"/>
  <c r="H28941" i="16"/>
  <c r="H28942" i="16"/>
  <c r="H28943" i="16"/>
  <c r="H28944" i="16"/>
  <c r="H28945" i="16"/>
  <c r="H28946" i="16"/>
  <c r="H28947" i="16"/>
  <c r="H28948" i="16"/>
  <c r="H28949" i="16"/>
  <c r="H28950" i="16"/>
  <c r="H28951" i="16"/>
  <c r="H28952" i="16"/>
  <c r="H28953" i="16"/>
  <c r="H28954" i="16"/>
  <c r="H28955" i="16"/>
  <c r="H28956" i="16"/>
  <c r="H28957" i="16"/>
  <c r="H28958" i="16"/>
  <c r="H28959" i="16"/>
  <c r="H28960" i="16"/>
  <c r="H28961" i="16"/>
  <c r="H28962" i="16"/>
  <c r="H28963" i="16"/>
  <c r="H28964" i="16"/>
  <c r="H28965" i="16"/>
  <c r="H28966" i="16"/>
  <c r="H28967" i="16"/>
  <c r="H28968" i="16"/>
  <c r="H28969" i="16"/>
  <c r="H28970" i="16"/>
  <c r="H28971" i="16"/>
  <c r="H28972" i="16"/>
  <c r="H28973" i="16"/>
  <c r="H28974" i="16"/>
  <c r="H28975" i="16"/>
  <c r="H28976" i="16"/>
  <c r="H28977" i="16"/>
  <c r="H28978" i="16"/>
  <c r="H28979" i="16"/>
  <c r="H28980" i="16"/>
  <c r="H28981" i="16"/>
  <c r="H28982" i="16"/>
  <c r="H28983" i="16"/>
  <c r="H28984" i="16"/>
  <c r="H28985" i="16"/>
  <c r="H28986" i="16"/>
  <c r="H28987" i="16"/>
  <c r="H28988" i="16"/>
  <c r="H28989" i="16"/>
  <c r="H28990" i="16"/>
  <c r="H28991" i="16"/>
  <c r="H28992" i="16"/>
  <c r="H28993" i="16"/>
  <c r="H28994" i="16"/>
  <c r="H28995" i="16"/>
  <c r="H28996" i="16"/>
  <c r="H28997" i="16"/>
  <c r="H28998" i="16"/>
  <c r="H28999" i="16"/>
  <c r="H29000" i="16"/>
  <c r="H29001" i="16"/>
  <c r="H29002" i="16"/>
  <c r="H29003" i="16"/>
  <c r="H29004" i="16"/>
  <c r="H29005" i="16"/>
  <c r="H29006" i="16"/>
  <c r="H29007" i="16"/>
  <c r="H29008" i="16"/>
  <c r="H29009" i="16"/>
  <c r="H29010" i="16"/>
  <c r="H29011" i="16"/>
  <c r="H29012" i="16"/>
  <c r="H29013" i="16"/>
  <c r="H29014" i="16"/>
  <c r="H29015" i="16"/>
  <c r="H29016" i="16"/>
  <c r="H29017" i="16"/>
  <c r="H29018" i="16"/>
  <c r="H29019" i="16"/>
  <c r="H29020" i="16"/>
  <c r="H29021" i="16"/>
  <c r="H29022" i="16"/>
  <c r="H29023" i="16"/>
  <c r="H29024" i="16"/>
  <c r="H29025" i="16"/>
  <c r="H29026" i="16"/>
  <c r="H29027" i="16"/>
  <c r="H29028" i="16"/>
  <c r="H29029" i="16"/>
  <c r="H29030" i="16"/>
  <c r="H29031" i="16"/>
  <c r="H29032" i="16"/>
  <c r="H29033" i="16"/>
  <c r="H29034" i="16"/>
  <c r="H29035" i="16"/>
  <c r="H29036" i="16"/>
  <c r="H29037" i="16"/>
  <c r="H29038" i="16"/>
  <c r="H29039" i="16"/>
  <c r="H29040" i="16"/>
  <c r="H29041" i="16"/>
  <c r="H29042" i="16"/>
  <c r="H29043" i="16"/>
  <c r="H29044" i="16"/>
  <c r="H29045" i="16"/>
  <c r="H29046" i="16"/>
  <c r="H29047" i="16"/>
  <c r="H29048" i="16"/>
  <c r="H29049" i="16"/>
  <c r="H29050" i="16"/>
  <c r="H29051" i="16"/>
  <c r="H29052" i="16"/>
  <c r="H29053" i="16"/>
  <c r="H29054" i="16"/>
  <c r="H29055" i="16"/>
  <c r="H29056" i="16"/>
  <c r="H29057" i="16"/>
  <c r="H29058" i="16"/>
  <c r="H29059" i="16"/>
  <c r="H29060" i="16"/>
  <c r="H29061" i="16"/>
  <c r="H29062" i="16"/>
  <c r="H29063" i="16"/>
  <c r="H29064" i="16"/>
  <c r="H29065" i="16"/>
  <c r="H29066" i="16"/>
  <c r="H29067" i="16"/>
  <c r="H29068" i="16"/>
  <c r="H29069" i="16"/>
  <c r="H29070" i="16"/>
  <c r="H29071" i="16"/>
  <c r="H29072" i="16"/>
  <c r="H29073" i="16"/>
  <c r="H29074" i="16"/>
  <c r="H29075" i="16"/>
  <c r="H29076" i="16"/>
  <c r="H29077" i="16"/>
  <c r="H29078" i="16"/>
  <c r="H29079" i="16"/>
  <c r="H29080" i="16"/>
  <c r="H29081" i="16"/>
  <c r="H29082" i="16"/>
  <c r="H29083" i="16"/>
  <c r="H29084" i="16"/>
  <c r="H29085" i="16"/>
  <c r="H29086" i="16"/>
  <c r="H29087" i="16"/>
  <c r="H29088" i="16"/>
  <c r="H29089" i="16"/>
  <c r="H29090" i="16"/>
  <c r="H29091" i="16"/>
  <c r="H29092" i="16"/>
  <c r="H29093" i="16"/>
  <c r="H29094" i="16"/>
  <c r="H29095" i="16"/>
  <c r="H29096" i="16"/>
  <c r="H29097" i="16"/>
  <c r="H29098" i="16"/>
  <c r="H29099" i="16"/>
  <c r="H29100" i="16"/>
  <c r="H29101" i="16"/>
  <c r="H29102" i="16"/>
  <c r="H29103" i="16"/>
  <c r="H29104" i="16"/>
  <c r="H29105" i="16"/>
  <c r="H29106" i="16"/>
  <c r="H29107" i="16"/>
  <c r="H29108" i="16"/>
  <c r="H29109" i="16"/>
  <c r="H29110" i="16"/>
  <c r="H29111" i="16"/>
  <c r="H29112" i="16"/>
  <c r="H29113" i="16"/>
  <c r="H29114" i="16"/>
  <c r="H29115" i="16"/>
  <c r="H29116" i="16"/>
  <c r="H29117" i="16"/>
  <c r="H29118" i="16"/>
  <c r="H29119" i="16"/>
  <c r="H29120" i="16"/>
  <c r="H29121" i="16"/>
  <c r="H29122" i="16"/>
  <c r="H29123" i="16"/>
  <c r="H29124" i="16"/>
  <c r="H29125" i="16"/>
  <c r="H29126" i="16"/>
  <c r="H29127" i="16"/>
  <c r="H29128" i="16"/>
  <c r="H29129" i="16"/>
  <c r="H29130" i="16"/>
  <c r="H29131" i="16"/>
  <c r="H29132" i="16"/>
  <c r="H29133" i="16"/>
  <c r="H29134" i="16"/>
  <c r="H29135" i="16"/>
  <c r="H29136" i="16"/>
  <c r="H29137" i="16"/>
  <c r="H29138" i="16"/>
  <c r="H29139" i="16"/>
  <c r="H29140" i="16"/>
  <c r="H29141" i="16"/>
  <c r="H29142" i="16"/>
  <c r="H29143" i="16"/>
  <c r="H29144" i="16"/>
  <c r="H29145" i="16"/>
  <c r="H29146" i="16"/>
  <c r="H29147" i="16"/>
  <c r="H29148" i="16"/>
  <c r="H29149" i="16"/>
  <c r="H29150" i="16"/>
  <c r="H29151" i="16"/>
  <c r="H29152" i="16"/>
  <c r="H29153" i="16"/>
  <c r="H29154" i="16"/>
  <c r="H29155" i="16"/>
  <c r="H29156" i="16"/>
  <c r="H29157" i="16"/>
  <c r="H29158" i="16"/>
  <c r="H29159" i="16"/>
  <c r="H29160" i="16"/>
  <c r="H29161" i="16"/>
  <c r="H29162" i="16"/>
  <c r="H29163" i="16"/>
  <c r="H29164" i="16"/>
  <c r="H29165" i="16"/>
  <c r="H29166" i="16"/>
  <c r="H29167" i="16"/>
  <c r="H29168" i="16"/>
  <c r="H29169" i="16"/>
  <c r="H29170" i="16"/>
  <c r="H29171" i="16"/>
  <c r="H29172" i="16"/>
  <c r="H29173" i="16"/>
  <c r="H29174" i="16"/>
  <c r="H29175" i="16"/>
  <c r="H29176" i="16"/>
  <c r="H29177" i="16"/>
  <c r="H29178" i="16"/>
  <c r="H29179" i="16"/>
  <c r="H29180" i="16"/>
  <c r="H29181" i="16"/>
  <c r="H29182" i="16"/>
  <c r="H29183" i="16"/>
  <c r="H29184" i="16"/>
  <c r="H29185" i="16"/>
  <c r="H29186" i="16"/>
  <c r="H29187" i="16"/>
  <c r="H29188" i="16"/>
  <c r="H29189" i="16"/>
  <c r="H29190" i="16"/>
  <c r="H29191" i="16"/>
  <c r="H29192" i="16"/>
  <c r="H29193" i="16"/>
  <c r="H29194" i="16"/>
  <c r="H29195" i="16"/>
  <c r="H29196" i="16"/>
  <c r="H29197" i="16"/>
  <c r="H29198" i="16"/>
  <c r="H29199" i="16"/>
  <c r="H29200" i="16"/>
  <c r="H29201" i="16"/>
  <c r="H29202" i="16"/>
  <c r="H29203" i="16"/>
  <c r="H29204" i="16"/>
  <c r="H29205" i="16"/>
  <c r="H29206" i="16"/>
  <c r="H29207" i="16"/>
  <c r="H29208" i="16"/>
  <c r="H29209" i="16"/>
  <c r="H29210" i="16"/>
  <c r="H29211" i="16"/>
  <c r="H29212" i="16"/>
  <c r="H29213" i="16"/>
  <c r="H29214" i="16"/>
  <c r="H29215" i="16"/>
  <c r="H29216" i="16"/>
  <c r="H29217" i="16"/>
  <c r="H29218" i="16"/>
  <c r="H29219" i="16"/>
  <c r="H29220" i="16"/>
  <c r="H29221" i="16"/>
  <c r="H29222" i="16"/>
  <c r="H29223" i="16"/>
  <c r="H29224" i="16"/>
  <c r="H29225" i="16"/>
  <c r="H29226" i="16"/>
  <c r="H29227" i="16"/>
  <c r="H29228" i="16"/>
  <c r="H29229" i="16"/>
  <c r="H29230" i="16"/>
  <c r="H29231" i="16"/>
  <c r="H29232" i="16"/>
  <c r="H29233" i="16"/>
  <c r="H29234" i="16"/>
  <c r="H29235" i="16"/>
  <c r="H29236" i="16"/>
  <c r="H29237" i="16"/>
  <c r="H29238" i="16"/>
  <c r="H29239" i="16"/>
  <c r="H29240" i="16"/>
  <c r="H29241" i="16"/>
  <c r="H29242" i="16"/>
  <c r="H29243" i="16"/>
  <c r="H29244" i="16"/>
  <c r="H29245" i="16"/>
  <c r="H29246" i="16"/>
  <c r="H29247" i="16"/>
  <c r="H29248" i="16"/>
  <c r="H29249" i="16"/>
  <c r="H29250" i="16"/>
  <c r="H29251" i="16"/>
  <c r="H29252" i="16"/>
  <c r="H29253" i="16"/>
  <c r="H29254" i="16"/>
  <c r="H29255" i="16"/>
  <c r="H29256" i="16"/>
  <c r="H29257" i="16"/>
  <c r="H29258" i="16"/>
  <c r="H29259" i="16"/>
  <c r="H29260" i="16"/>
  <c r="H29261" i="16"/>
  <c r="H29262" i="16"/>
  <c r="H29263" i="16"/>
  <c r="H29264" i="16"/>
  <c r="H29265" i="16"/>
  <c r="H29266" i="16"/>
  <c r="H29267" i="16"/>
  <c r="H29268" i="16"/>
  <c r="H29269" i="16"/>
  <c r="H29270" i="16"/>
  <c r="H29271" i="16"/>
  <c r="H29272" i="16"/>
  <c r="H29273" i="16"/>
  <c r="H29274" i="16"/>
  <c r="H29275" i="16"/>
  <c r="H29276" i="16"/>
  <c r="H29277" i="16"/>
  <c r="H29278" i="16"/>
  <c r="H29279" i="16"/>
  <c r="H29280" i="16"/>
  <c r="H29281" i="16"/>
  <c r="H29282" i="16"/>
  <c r="H29283" i="16"/>
  <c r="H29284" i="16"/>
  <c r="H29285" i="16"/>
  <c r="H29286" i="16"/>
  <c r="H29287" i="16"/>
  <c r="H29288" i="16"/>
  <c r="H29289" i="16"/>
  <c r="H29290" i="16"/>
  <c r="H29291" i="16"/>
  <c r="H29292" i="16"/>
  <c r="H29293" i="16"/>
  <c r="H29294" i="16"/>
  <c r="H29295" i="16"/>
  <c r="H29296" i="16"/>
  <c r="H29297" i="16"/>
  <c r="H29298" i="16"/>
  <c r="H29299" i="16"/>
  <c r="H29300" i="16"/>
  <c r="H29301" i="16"/>
  <c r="H29302" i="16"/>
  <c r="H29303" i="16"/>
  <c r="H29304" i="16"/>
  <c r="H29305" i="16"/>
  <c r="H29306" i="16"/>
  <c r="H29307" i="16"/>
  <c r="H29308" i="16"/>
  <c r="H29309" i="16"/>
  <c r="H29310" i="16"/>
  <c r="H29311" i="16"/>
  <c r="H29312" i="16"/>
  <c r="H29313" i="16"/>
  <c r="H29314" i="16"/>
  <c r="H29315" i="16"/>
  <c r="H29316" i="16"/>
  <c r="H29317" i="16"/>
  <c r="H29318" i="16"/>
  <c r="H29319" i="16"/>
  <c r="H29320" i="16"/>
  <c r="H29321" i="16"/>
  <c r="H29322" i="16"/>
  <c r="H29323" i="16"/>
  <c r="H29324" i="16"/>
  <c r="H29325" i="16"/>
  <c r="H29326" i="16"/>
  <c r="H29327" i="16"/>
  <c r="H29328" i="16"/>
  <c r="H29329" i="16"/>
  <c r="H29330" i="16"/>
  <c r="H29331" i="16"/>
  <c r="H29332" i="16"/>
  <c r="H29333" i="16"/>
  <c r="H29334" i="16"/>
  <c r="H29335" i="16"/>
  <c r="H29336" i="16"/>
  <c r="H29337" i="16"/>
  <c r="H29338" i="16"/>
  <c r="H29339" i="16"/>
  <c r="H29340" i="16"/>
  <c r="H29341" i="16"/>
  <c r="H29342" i="16"/>
  <c r="H29343" i="16"/>
  <c r="H29344" i="16"/>
  <c r="H29345" i="16"/>
  <c r="H29346" i="16"/>
  <c r="H29347" i="16"/>
  <c r="H29348" i="16"/>
  <c r="H29349" i="16"/>
  <c r="H29350" i="16"/>
  <c r="H29351" i="16"/>
  <c r="H29352" i="16"/>
  <c r="H29353" i="16"/>
  <c r="H29354" i="16"/>
  <c r="H29355" i="16"/>
  <c r="H29356" i="16"/>
  <c r="H29357" i="16"/>
  <c r="H29358" i="16"/>
  <c r="H29359" i="16"/>
  <c r="H29360" i="16"/>
  <c r="H29361" i="16"/>
  <c r="H29362" i="16"/>
  <c r="H29363" i="16"/>
  <c r="H29364" i="16"/>
  <c r="H29365" i="16"/>
  <c r="H29366" i="16"/>
  <c r="H29367" i="16"/>
  <c r="H29368" i="16"/>
  <c r="H29369" i="16"/>
  <c r="H29370" i="16"/>
  <c r="H29371" i="16"/>
  <c r="H29372" i="16"/>
  <c r="H29373" i="16"/>
  <c r="H29374" i="16"/>
  <c r="H29375" i="16"/>
  <c r="H29376" i="16"/>
  <c r="H29377" i="16"/>
  <c r="H29378" i="16"/>
  <c r="H29379" i="16"/>
  <c r="H29380" i="16"/>
  <c r="H29381" i="16"/>
  <c r="H29382" i="16"/>
  <c r="H29383" i="16"/>
  <c r="H29384" i="16"/>
  <c r="H29385" i="16"/>
  <c r="H29386" i="16"/>
  <c r="H29387" i="16"/>
  <c r="H29388" i="16"/>
  <c r="H29389" i="16"/>
  <c r="H29390" i="16"/>
  <c r="H29391" i="16"/>
  <c r="H29392" i="16"/>
  <c r="H29393" i="16"/>
  <c r="H29394" i="16"/>
  <c r="H29395" i="16"/>
  <c r="H29396" i="16"/>
  <c r="H29397" i="16"/>
  <c r="H29398" i="16"/>
  <c r="H29399" i="16"/>
  <c r="H29400" i="16"/>
  <c r="H29401" i="16"/>
  <c r="H29402" i="16"/>
  <c r="H29403" i="16"/>
  <c r="H29404" i="16"/>
  <c r="H29405" i="16"/>
  <c r="H29406" i="16"/>
  <c r="H29407" i="16"/>
  <c r="H29408" i="16"/>
  <c r="H29409" i="16"/>
  <c r="H29410" i="16"/>
  <c r="H29411" i="16"/>
  <c r="H29412" i="16"/>
  <c r="H29413" i="16"/>
  <c r="H29414" i="16"/>
  <c r="H29415" i="16"/>
  <c r="H29416" i="16"/>
  <c r="H29417" i="16"/>
  <c r="H29418" i="16"/>
  <c r="H29419" i="16"/>
  <c r="H29420" i="16"/>
  <c r="H29421" i="16"/>
  <c r="H29422" i="16"/>
  <c r="H29423" i="16"/>
  <c r="H29424" i="16"/>
  <c r="H29425" i="16"/>
  <c r="H29426" i="16"/>
  <c r="H29427" i="16"/>
  <c r="H29428" i="16"/>
  <c r="H29429" i="16"/>
  <c r="H29430" i="16"/>
  <c r="H29431" i="16"/>
  <c r="H29432" i="16"/>
  <c r="H29433" i="16"/>
  <c r="H29434" i="16"/>
  <c r="H29435" i="16"/>
  <c r="H29436" i="16"/>
  <c r="H29437" i="16"/>
  <c r="H29438" i="16"/>
  <c r="H29439" i="16"/>
  <c r="H29440" i="16"/>
  <c r="H29441" i="16"/>
  <c r="H29442" i="16"/>
  <c r="H29443" i="16"/>
  <c r="H29444" i="16"/>
  <c r="H29445" i="16"/>
  <c r="H29446" i="16"/>
  <c r="H29447" i="16"/>
  <c r="H29448" i="16"/>
  <c r="H29449" i="16"/>
  <c r="H29450" i="16"/>
  <c r="H29451" i="16"/>
  <c r="H29452" i="16"/>
  <c r="H29453" i="16"/>
  <c r="H29454" i="16"/>
  <c r="H29455" i="16"/>
  <c r="H29456" i="16"/>
  <c r="H29457" i="16"/>
  <c r="H29458" i="16"/>
  <c r="H29459" i="16"/>
  <c r="H29460" i="16"/>
  <c r="H29461" i="16"/>
  <c r="H29462" i="16"/>
  <c r="H29463" i="16"/>
  <c r="H29464" i="16"/>
  <c r="H29465" i="16"/>
  <c r="H29466" i="16"/>
  <c r="H29467" i="16"/>
  <c r="H29468" i="16"/>
  <c r="H29469" i="16"/>
  <c r="H29470" i="16"/>
  <c r="H29471" i="16"/>
  <c r="H29472" i="16"/>
  <c r="H29473" i="16"/>
  <c r="H29474" i="16"/>
  <c r="H29475" i="16"/>
  <c r="H29476" i="16"/>
  <c r="H29477" i="16"/>
  <c r="H29478" i="16"/>
  <c r="H29479" i="16"/>
  <c r="H29480" i="16"/>
  <c r="H29481" i="16"/>
  <c r="H29482" i="16"/>
  <c r="H29483" i="16"/>
  <c r="H29484" i="16"/>
  <c r="H29485" i="16"/>
  <c r="H29486" i="16"/>
  <c r="H29487" i="16"/>
  <c r="H29488" i="16"/>
  <c r="H29489" i="16"/>
  <c r="H29490" i="16"/>
  <c r="H29491" i="16"/>
  <c r="H29492" i="16"/>
  <c r="H29493" i="16"/>
  <c r="H29494" i="16"/>
  <c r="H29495" i="16"/>
  <c r="H29496" i="16"/>
  <c r="H29497" i="16"/>
  <c r="H29498" i="16"/>
  <c r="H29499" i="16"/>
  <c r="H29500" i="16"/>
  <c r="H29501" i="16"/>
  <c r="H29502" i="16"/>
  <c r="H29503" i="16"/>
  <c r="H29504" i="16"/>
  <c r="H29505" i="16"/>
  <c r="H29506" i="16"/>
  <c r="H29507" i="16"/>
  <c r="H29508" i="16"/>
  <c r="H29509" i="16"/>
  <c r="H29510" i="16"/>
  <c r="H29511" i="16"/>
  <c r="H29512" i="16"/>
  <c r="H29513" i="16"/>
  <c r="H29514" i="16"/>
  <c r="H29515" i="16"/>
  <c r="H29516" i="16"/>
  <c r="H29517" i="16"/>
  <c r="H29518" i="16"/>
  <c r="H29519" i="16"/>
  <c r="H29520" i="16"/>
  <c r="H29521" i="16"/>
  <c r="H29522" i="16"/>
  <c r="H29523" i="16"/>
  <c r="H29524" i="16"/>
  <c r="H29525" i="16"/>
  <c r="H29526" i="16"/>
  <c r="H29527" i="16"/>
  <c r="H29528" i="16"/>
  <c r="H29529" i="16"/>
  <c r="H29530" i="16"/>
  <c r="H29531" i="16"/>
  <c r="H29532" i="16"/>
  <c r="H29533" i="16"/>
  <c r="H29534" i="16"/>
  <c r="H29535" i="16"/>
  <c r="H29536" i="16"/>
  <c r="H29537" i="16"/>
  <c r="H29538" i="16"/>
  <c r="H29539" i="16"/>
  <c r="H29540" i="16"/>
  <c r="H29541" i="16"/>
  <c r="H29542" i="16"/>
  <c r="H29543" i="16"/>
  <c r="H29544" i="16"/>
  <c r="H29545" i="16"/>
  <c r="H29546" i="16"/>
  <c r="H29547" i="16"/>
  <c r="H29548" i="16"/>
  <c r="H29549" i="16"/>
  <c r="H29550" i="16"/>
  <c r="H29551" i="16"/>
  <c r="H29552" i="16"/>
  <c r="H29553" i="16"/>
  <c r="H29554" i="16"/>
  <c r="H29555" i="16"/>
  <c r="H29556" i="16"/>
  <c r="H29557" i="16"/>
  <c r="H29558" i="16"/>
  <c r="H29559" i="16"/>
  <c r="H29560" i="16"/>
  <c r="H29561" i="16"/>
  <c r="H29562" i="16"/>
  <c r="H29563" i="16"/>
  <c r="H29564" i="16"/>
  <c r="H29565" i="16"/>
  <c r="H29566" i="16"/>
  <c r="H29567" i="16"/>
  <c r="H29568" i="16"/>
  <c r="H29569" i="16"/>
  <c r="H29570" i="16"/>
  <c r="H29571" i="16"/>
  <c r="H29572" i="16"/>
  <c r="H29573" i="16"/>
  <c r="H29574" i="16"/>
  <c r="H29575" i="16"/>
  <c r="H29576" i="16"/>
  <c r="H29577" i="16"/>
  <c r="H29578" i="16"/>
  <c r="H29579" i="16"/>
  <c r="H29580" i="16"/>
  <c r="H29581" i="16"/>
  <c r="H29582" i="16"/>
  <c r="H29583" i="16"/>
  <c r="H29584" i="16"/>
  <c r="H29585" i="16"/>
  <c r="H29586" i="16"/>
  <c r="H29587" i="16"/>
  <c r="H29588" i="16"/>
  <c r="H29589" i="16"/>
  <c r="H29590" i="16"/>
  <c r="H29591" i="16"/>
  <c r="H29592" i="16"/>
  <c r="H29593" i="16"/>
  <c r="H29594" i="16"/>
  <c r="H29595" i="16"/>
  <c r="H29596" i="16"/>
  <c r="H29597" i="16"/>
  <c r="H29598" i="16"/>
  <c r="H29599" i="16"/>
  <c r="H29600" i="16"/>
  <c r="H29601" i="16"/>
  <c r="H29602" i="16"/>
  <c r="H29603" i="16"/>
  <c r="H29604" i="16"/>
  <c r="H29605" i="16"/>
  <c r="H29606" i="16"/>
  <c r="H29607" i="16"/>
  <c r="H29608" i="16"/>
  <c r="H29609" i="16"/>
  <c r="H29610" i="16"/>
  <c r="H29611" i="16"/>
  <c r="H29612" i="16"/>
  <c r="H29613" i="16"/>
  <c r="H29614" i="16"/>
  <c r="H29615" i="16"/>
  <c r="H29616" i="16"/>
  <c r="H29617" i="16"/>
  <c r="H29618" i="16"/>
  <c r="H29619" i="16"/>
  <c r="H29620" i="16"/>
  <c r="H29621" i="16"/>
  <c r="H29622" i="16"/>
  <c r="H29623" i="16"/>
  <c r="H29624" i="16"/>
  <c r="H29625" i="16"/>
  <c r="H29626" i="16"/>
  <c r="H29627" i="16"/>
  <c r="H29628" i="16"/>
  <c r="H29629" i="16"/>
  <c r="H29630" i="16"/>
  <c r="H29631" i="16"/>
  <c r="H29632" i="16"/>
  <c r="H29633" i="16"/>
  <c r="H29634" i="16"/>
  <c r="H29635" i="16"/>
  <c r="H29636" i="16"/>
  <c r="H29637" i="16"/>
  <c r="H29638" i="16"/>
  <c r="H29639" i="16"/>
  <c r="H29640" i="16"/>
  <c r="H29641" i="16"/>
  <c r="H29642" i="16"/>
  <c r="H29643" i="16"/>
  <c r="H29644" i="16"/>
  <c r="H29645" i="16"/>
  <c r="H29646" i="16"/>
  <c r="H29647" i="16"/>
  <c r="H29648" i="16"/>
  <c r="H29649" i="16"/>
  <c r="H29650" i="16"/>
  <c r="H29651" i="16"/>
  <c r="H29652" i="16"/>
  <c r="H29653" i="16"/>
  <c r="H29654" i="16"/>
  <c r="H29655" i="16"/>
  <c r="H29656" i="16"/>
  <c r="H29657" i="16"/>
  <c r="H29658" i="16"/>
  <c r="H29659" i="16"/>
  <c r="H29660" i="16"/>
  <c r="H29661" i="16"/>
  <c r="H29662" i="16"/>
  <c r="H29663" i="16"/>
  <c r="H29664" i="16"/>
  <c r="H29665" i="16"/>
  <c r="H29666" i="16"/>
  <c r="H29667" i="16"/>
  <c r="H29668" i="16"/>
  <c r="H29669" i="16"/>
  <c r="H29670" i="16"/>
  <c r="H29671" i="16"/>
  <c r="H29672" i="16"/>
  <c r="H29673" i="16"/>
  <c r="H29674" i="16"/>
  <c r="H29675" i="16"/>
  <c r="H29676" i="16"/>
  <c r="H29677" i="16"/>
  <c r="H29678" i="16"/>
  <c r="H29679" i="16"/>
  <c r="H29680" i="16"/>
  <c r="H29681" i="16"/>
  <c r="H29682" i="16"/>
  <c r="H29683" i="16"/>
  <c r="H29684" i="16"/>
  <c r="H29685" i="16"/>
  <c r="H29686" i="16"/>
  <c r="H29687" i="16"/>
  <c r="H29688" i="16"/>
  <c r="H29689" i="16"/>
  <c r="H29690" i="16"/>
  <c r="H29691" i="16"/>
  <c r="H29692" i="16"/>
  <c r="H29693" i="16"/>
  <c r="H29694" i="16"/>
  <c r="H29695" i="16"/>
  <c r="H29696" i="16"/>
  <c r="H29697" i="16"/>
  <c r="H29698" i="16"/>
  <c r="H29699" i="16"/>
  <c r="H29700" i="16"/>
  <c r="H29701" i="16"/>
  <c r="H29702" i="16"/>
  <c r="H29703" i="16"/>
  <c r="H29704" i="16"/>
  <c r="H29705" i="16"/>
  <c r="H29706" i="16"/>
  <c r="H29707" i="16"/>
  <c r="H29708" i="16"/>
  <c r="H29709" i="16"/>
  <c r="H29710" i="16"/>
  <c r="H29711" i="16"/>
  <c r="H29712" i="16"/>
  <c r="H29713" i="16"/>
  <c r="H29714" i="16"/>
  <c r="H29715" i="16"/>
  <c r="H29716" i="16"/>
  <c r="H29717" i="16"/>
  <c r="H29718" i="16"/>
  <c r="H29719" i="16"/>
  <c r="H29720" i="16"/>
  <c r="H29721" i="16"/>
  <c r="H29722" i="16"/>
  <c r="H29723" i="16"/>
  <c r="H29724" i="16"/>
  <c r="H29725" i="16"/>
  <c r="H29726" i="16"/>
  <c r="H29727" i="16"/>
  <c r="H29728" i="16"/>
  <c r="H29729" i="16"/>
  <c r="H29730" i="16"/>
  <c r="H29731" i="16"/>
  <c r="H29732" i="16"/>
  <c r="H29733" i="16"/>
  <c r="H29734" i="16"/>
  <c r="H29735" i="16"/>
  <c r="H29736" i="16"/>
  <c r="H29737" i="16"/>
  <c r="H29738" i="16"/>
  <c r="H29739" i="16"/>
  <c r="H29740" i="16"/>
  <c r="H29741" i="16"/>
  <c r="H29742" i="16"/>
  <c r="H29743" i="16"/>
  <c r="H29744" i="16"/>
  <c r="H29745" i="16"/>
  <c r="H29746" i="16"/>
  <c r="H29747" i="16"/>
  <c r="H29748" i="16"/>
  <c r="H29749" i="16"/>
  <c r="H29750" i="16"/>
  <c r="H29751" i="16"/>
  <c r="H29752" i="16"/>
  <c r="H29753" i="16"/>
  <c r="H29754" i="16"/>
  <c r="H29755" i="16"/>
  <c r="H29756" i="16"/>
  <c r="H29757" i="16"/>
  <c r="H29758" i="16"/>
  <c r="H29759" i="16"/>
  <c r="H29760" i="16"/>
  <c r="H29761" i="16"/>
  <c r="H29762" i="16"/>
  <c r="H29763" i="16"/>
  <c r="H29764" i="16"/>
  <c r="H29765" i="16"/>
  <c r="H29766" i="16"/>
  <c r="H29767" i="16"/>
  <c r="H29768" i="16"/>
  <c r="H29769" i="16"/>
  <c r="H29770" i="16"/>
  <c r="H29771" i="16"/>
  <c r="H29772" i="16"/>
  <c r="H29773" i="16"/>
  <c r="H29774" i="16"/>
  <c r="H29775" i="16"/>
  <c r="H29776" i="16"/>
  <c r="H29777" i="16"/>
  <c r="H29778" i="16"/>
  <c r="H29779" i="16"/>
  <c r="H29780" i="16"/>
  <c r="H29781" i="16"/>
  <c r="H29782" i="16"/>
  <c r="H29783" i="16"/>
  <c r="H29784" i="16"/>
  <c r="H29785" i="16"/>
  <c r="H29786" i="16"/>
  <c r="H29787" i="16"/>
  <c r="H29788" i="16"/>
  <c r="H29789" i="16"/>
  <c r="H29790" i="16"/>
  <c r="H29791" i="16"/>
  <c r="H29792" i="16"/>
  <c r="H29793" i="16"/>
  <c r="H29794" i="16"/>
  <c r="H29795" i="16"/>
  <c r="H29796" i="16"/>
  <c r="H29797" i="16"/>
  <c r="H29798" i="16"/>
  <c r="H29799" i="16"/>
  <c r="H29800" i="16"/>
  <c r="H29801" i="16"/>
  <c r="H29802" i="16"/>
  <c r="H29803" i="16"/>
  <c r="H29804" i="16"/>
  <c r="H29805" i="16"/>
  <c r="H29806" i="16"/>
  <c r="H29807" i="16"/>
  <c r="H29808" i="16"/>
  <c r="H29809" i="16"/>
  <c r="H29810" i="16"/>
  <c r="H29811" i="16"/>
  <c r="H29812" i="16"/>
  <c r="H29813" i="16"/>
  <c r="H29814" i="16"/>
  <c r="H29815" i="16"/>
  <c r="H29816" i="16"/>
  <c r="H29817" i="16"/>
  <c r="H29818" i="16"/>
  <c r="H29819" i="16"/>
  <c r="H29820" i="16"/>
  <c r="H29821" i="16"/>
  <c r="H29822" i="16"/>
  <c r="H29823" i="16"/>
  <c r="H29824" i="16"/>
  <c r="H29825" i="16"/>
  <c r="H29826" i="16"/>
  <c r="H29827" i="16"/>
  <c r="H29828" i="16"/>
  <c r="H29829" i="16"/>
  <c r="H29830" i="16"/>
  <c r="H29831" i="16"/>
  <c r="H29832" i="16"/>
  <c r="H29833" i="16"/>
  <c r="H29834" i="16"/>
  <c r="H29835" i="16"/>
  <c r="H29836" i="16"/>
  <c r="H29837" i="16"/>
  <c r="H29838" i="16"/>
  <c r="H29839" i="16"/>
  <c r="H29840" i="16"/>
  <c r="H29841" i="16"/>
  <c r="H29842" i="16"/>
  <c r="H29843" i="16"/>
  <c r="H29844" i="16"/>
  <c r="H29845" i="16"/>
  <c r="H29846" i="16"/>
  <c r="H29847" i="16"/>
  <c r="H29848" i="16"/>
  <c r="H29849" i="16"/>
  <c r="H29850" i="16"/>
  <c r="H29851" i="16"/>
  <c r="H29852" i="16"/>
  <c r="H29853" i="16"/>
  <c r="H29854" i="16"/>
  <c r="H29855" i="16"/>
  <c r="H29856" i="16"/>
  <c r="H29857" i="16"/>
  <c r="H29858" i="16"/>
  <c r="H29859" i="16"/>
  <c r="H29860" i="16"/>
  <c r="H29861" i="16"/>
  <c r="H29862" i="16"/>
  <c r="H29863" i="16"/>
  <c r="H29864" i="16"/>
  <c r="H29865" i="16"/>
  <c r="H29866" i="16"/>
  <c r="H29867" i="16"/>
  <c r="H29868" i="16"/>
  <c r="H29869" i="16"/>
  <c r="H29870" i="16"/>
  <c r="H29871" i="16"/>
  <c r="H29872" i="16"/>
  <c r="H29873" i="16"/>
  <c r="H29874" i="16"/>
  <c r="H29875" i="16"/>
  <c r="H29876" i="16"/>
  <c r="H29877" i="16"/>
  <c r="H29878" i="16"/>
  <c r="H29879" i="16"/>
  <c r="H29880" i="16"/>
  <c r="H29881" i="16"/>
  <c r="H29882" i="16"/>
  <c r="H29883" i="16"/>
  <c r="H29884" i="16"/>
  <c r="H29885" i="16"/>
  <c r="H29886" i="16"/>
  <c r="H29887" i="16"/>
  <c r="H29888" i="16"/>
  <c r="H29889" i="16"/>
  <c r="H29890" i="16"/>
  <c r="H29891" i="16"/>
  <c r="H29892" i="16"/>
  <c r="H29893" i="16"/>
  <c r="H29894" i="16"/>
  <c r="H29895" i="16"/>
  <c r="H29896" i="16"/>
  <c r="H29897" i="16"/>
  <c r="H29898" i="16"/>
  <c r="H29899" i="16"/>
  <c r="H29900" i="16"/>
  <c r="H29901" i="16"/>
  <c r="H29902" i="16"/>
  <c r="H29903" i="16"/>
  <c r="H29904" i="16"/>
  <c r="H29905" i="16"/>
  <c r="H29906" i="16"/>
  <c r="H29907" i="16"/>
  <c r="H29908" i="16"/>
  <c r="H29909" i="16"/>
  <c r="H29910" i="16"/>
  <c r="H29911" i="16"/>
  <c r="H29912" i="16"/>
  <c r="H29913" i="16"/>
  <c r="H29914" i="16"/>
  <c r="H29915" i="16"/>
  <c r="H29916" i="16"/>
  <c r="H29917" i="16"/>
  <c r="H29918" i="16"/>
  <c r="H29919" i="16"/>
  <c r="H29920" i="16"/>
  <c r="H29921" i="16"/>
  <c r="H29922" i="16"/>
  <c r="H29923" i="16"/>
  <c r="H29924" i="16"/>
  <c r="H29925" i="16"/>
  <c r="H29926" i="16"/>
  <c r="H29927" i="16"/>
  <c r="H29928" i="16"/>
  <c r="H29929" i="16"/>
  <c r="H29930" i="16"/>
  <c r="H29931" i="16"/>
  <c r="H29932" i="16"/>
  <c r="H29933" i="16"/>
  <c r="H29934" i="16"/>
  <c r="H29935" i="16"/>
  <c r="H29936" i="16"/>
  <c r="H29937" i="16"/>
  <c r="H29938" i="16"/>
  <c r="H29939" i="16"/>
  <c r="H29940" i="16"/>
  <c r="H29941" i="16"/>
  <c r="H29942" i="16"/>
  <c r="H29943" i="16"/>
  <c r="H29944" i="16"/>
  <c r="H29945" i="16"/>
  <c r="H29946" i="16"/>
  <c r="H29947" i="16"/>
  <c r="H29948" i="16"/>
  <c r="H29949" i="16"/>
  <c r="H29950" i="16"/>
  <c r="H29951" i="16"/>
  <c r="H29952" i="16"/>
  <c r="H29953" i="16"/>
  <c r="H29954" i="16"/>
  <c r="H29955" i="16"/>
  <c r="H29956" i="16"/>
  <c r="H29957" i="16"/>
  <c r="H29958" i="16"/>
  <c r="H29959" i="16"/>
  <c r="H29960" i="16"/>
  <c r="H29961" i="16"/>
  <c r="H29962" i="16"/>
  <c r="H29963" i="16"/>
  <c r="H29964" i="16"/>
  <c r="H29965" i="16"/>
  <c r="H29966" i="16"/>
  <c r="H29967" i="16"/>
  <c r="H29968" i="16"/>
  <c r="H29969" i="16"/>
  <c r="H29970" i="16"/>
  <c r="H29971" i="16"/>
  <c r="H29972" i="16"/>
  <c r="H29973" i="16"/>
  <c r="H29974" i="16"/>
  <c r="H29975" i="16"/>
  <c r="H29976" i="16"/>
  <c r="H29977" i="16"/>
  <c r="H29978" i="16"/>
  <c r="H29979" i="16"/>
  <c r="H29980" i="16"/>
  <c r="H29981" i="16"/>
  <c r="H29982" i="16"/>
  <c r="H29983" i="16"/>
  <c r="H29984" i="16"/>
  <c r="H29985" i="16"/>
  <c r="H29986" i="16"/>
  <c r="H29987" i="16"/>
  <c r="H29988" i="16"/>
  <c r="H29989" i="16"/>
  <c r="H29990" i="16"/>
  <c r="H29991" i="16"/>
  <c r="H29992" i="16"/>
  <c r="H29993" i="16"/>
  <c r="H29994" i="16"/>
  <c r="H29995" i="16"/>
  <c r="H29996" i="16"/>
  <c r="H29997" i="16"/>
  <c r="H29998" i="16"/>
  <c r="H29999" i="16"/>
  <c r="H30000" i="16"/>
  <c r="H30001" i="16"/>
  <c r="H30002" i="16"/>
  <c r="H30003" i="16"/>
  <c r="H30004" i="16"/>
  <c r="H30005" i="16"/>
  <c r="H30006" i="16"/>
  <c r="H30007" i="16"/>
  <c r="H30008" i="16"/>
  <c r="H30009" i="16"/>
  <c r="H30010" i="16"/>
  <c r="H30011" i="16"/>
  <c r="H30012" i="16"/>
  <c r="H30013" i="16"/>
  <c r="H30014" i="16"/>
  <c r="H30015" i="16"/>
  <c r="H30016" i="16"/>
  <c r="H30017" i="16"/>
  <c r="H30018" i="16"/>
  <c r="H30019" i="16"/>
  <c r="H30020" i="16"/>
  <c r="H30021" i="16"/>
  <c r="H30022" i="16"/>
  <c r="H30023" i="16"/>
  <c r="H30024" i="16"/>
  <c r="H30025" i="16"/>
  <c r="H30026" i="16"/>
  <c r="H30027" i="16"/>
  <c r="H30028" i="16"/>
  <c r="H30029" i="16"/>
  <c r="H30030" i="16"/>
  <c r="H30031" i="16"/>
  <c r="H30032" i="16"/>
  <c r="H30033" i="16"/>
  <c r="H30034" i="16"/>
  <c r="H30035" i="16"/>
  <c r="H30036" i="16"/>
  <c r="H30037" i="16"/>
  <c r="H30038" i="16"/>
  <c r="H30039" i="16"/>
  <c r="H30040" i="16"/>
  <c r="H30041" i="16"/>
  <c r="H30042" i="16"/>
  <c r="H30043" i="16"/>
  <c r="H30044" i="16"/>
  <c r="H30045" i="16"/>
  <c r="H30046" i="16"/>
  <c r="H30047" i="16"/>
  <c r="H30048" i="16"/>
  <c r="H30049" i="16"/>
  <c r="H30050" i="16"/>
  <c r="H30051" i="16"/>
  <c r="H30052" i="16"/>
  <c r="H30053" i="16"/>
  <c r="H30054" i="16"/>
  <c r="H30055" i="16"/>
  <c r="H30056" i="16"/>
  <c r="H30057" i="16"/>
  <c r="H30058" i="16"/>
  <c r="H30059" i="16"/>
  <c r="H30060" i="16"/>
  <c r="H30061" i="16"/>
  <c r="H30062" i="16"/>
  <c r="H30063" i="16"/>
  <c r="H30064" i="16"/>
  <c r="H30065" i="16"/>
  <c r="H30066" i="16"/>
  <c r="H30067" i="16"/>
  <c r="H30068" i="16"/>
  <c r="H30069" i="16"/>
  <c r="H30070" i="16"/>
  <c r="H30071" i="16"/>
  <c r="H30072" i="16"/>
  <c r="H30073" i="16"/>
  <c r="H30074" i="16"/>
  <c r="H30075" i="16"/>
  <c r="H30076" i="16"/>
  <c r="H30077" i="16"/>
  <c r="H30078" i="16"/>
  <c r="H30079" i="16"/>
  <c r="H30080" i="16"/>
  <c r="H30081" i="16"/>
  <c r="H30082" i="16"/>
  <c r="H30083" i="16"/>
  <c r="H30084" i="16"/>
  <c r="H30085" i="16"/>
  <c r="H30086" i="16"/>
  <c r="H30087" i="16"/>
  <c r="H30088" i="16"/>
  <c r="H30089" i="16"/>
  <c r="H30090" i="16"/>
  <c r="H30091" i="16"/>
  <c r="H30092" i="16"/>
  <c r="H30093" i="16"/>
  <c r="H30094" i="16"/>
  <c r="H30095" i="16"/>
  <c r="H30096" i="16"/>
  <c r="H30097" i="16"/>
  <c r="H30098" i="16"/>
  <c r="H30099" i="16"/>
  <c r="H30100" i="16"/>
  <c r="H30101" i="16"/>
  <c r="H30102" i="16"/>
  <c r="H30103" i="16"/>
  <c r="H30104" i="16"/>
  <c r="H30105" i="16"/>
  <c r="H30106" i="16"/>
  <c r="H30107" i="16"/>
  <c r="H30108" i="16"/>
  <c r="H30109" i="16"/>
  <c r="H30110" i="16"/>
  <c r="H30111" i="16"/>
  <c r="H30112" i="16"/>
  <c r="H30113" i="16"/>
  <c r="H30114" i="16"/>
  <c r="H30115" i="16"/>
  <c r="H30116" i="16"/>
  <c r="H30117" i="16"/>
  <c r="H30118" i="16"/>
  <c r="H30119" i="16"/>
  <c r="H30120" i="16"/>
  <c r="H30121" i="16"/>
  <c r="H30122" i="16"/>
  <c r="H30123" i="16"/>
  <c r="H30124" i="16"/>
  <c r="H30125" i="16"/>
  <c r="H30126" i="16"/>
  <c r="H30127" i="16"/>
  <c r="H30128" i="16"/>
  <c r="H30129" i="16"/>
  <c r="H30130" i="16"/>
  <c r="H30131" i="16"/>
  <c r="H30132" i="16"/>
  <c r="H30133" i="16"/>
  <c r="H30134" i="16"/>
  <c r="H30135" i="16"/>
  <c r="H30136" i="16"/>
  <c r="H30137" i="16"/>
  <c r="H30138" i="16"/>
  <c r="H30139" i="16"/>
  <c r="H30140" i="16"/>
  <c r="H30141" i="16"/>
  <c r="H30142" i="16"/>
  <c r="H30143" i="16"/>
  <c r="H30144" i="16"/>
  <c r="H30145" i="16"/>
  <c r="H30146" i="16"/>
  <c r="H30147" i="16"/>
  <c r="H30148" i="16"/>
  <c r="H30149" i="16"/>
  <c r="H30150" i="16"/>
  <c r="H30151" i="16"/>
  <c r="H30152" i="16"/>
  <c r="H30153" i="16"/>
  <c r="H30154" i="16"/>
  <c r="H30155" i="16"/>
  <c r="H30156" i="16"/>
  <c r="H30157" i="16"/>
  <c r="H30158" i="16"/>
  <c r="H30159" i="16"/>
  <c r="H30160" i="16"/>
  <c r="H30161" i="16"/>
  <c r="H30162" i="16"/>
  <c r="H30163" i="16"/>
  <c r="H30164" i="16"/>
  <c r="H30165" i="16"/>
  <c r="H30166" i="16"/>
  <c r="H30167" i="16"/>
  <c r="H30168" i="16"/>
  <c r="H30169" i="16"/>
  <c r="H30170" i="16"/>
  <c r="H30171" i="16"/>
  <c r="H30172" i="16"/>
  <c r="H30173" i="16"/>
  <c r="H30174" i="16"/>
  <c r="H30175" i="16"/>
  <c r="H30176" i="16"/>
  <c r="H30177" i="16"/>
  <c r="H30178" i="16"/>
  <c r="H30179" i="16"/>
  <c r="H30180" i="16"/>
  <c r="H30181" i="16"/>
  <c r="H30182" i="16"/>
  <c r="H30183" i="16"/>
  <c r="H30184" i="16"/>
  <c r="H30185" i="16"/>
  <c r="H30186" i="16"/>
  <c r="H30187" i="16"/>
  <c r="H30188" i="16"/>
  <c r="H30189" i="16"/>
  <c r="H30190" i="16"/>
  <c r="H30191" i="16"/>
  <c r="H30192" i="16"/>
  <c r="H30193" i="16"/>
  <c r="H30194" i="16"/>
  <c r="H30195" i="16"/>
  <c r="H30196" i="16"/>
  <c r="H30197" i="16"/>
  <c r="H30198" i="16"/>
  <c r="H30199" i="16"/>
  <c r="H30200" i="16"/>
  <c r="H30201" i="16"/>
  <c r="H30202" i="16"/>
  <c r="H30203" i="16"/>
  <c r="H30204" i="16"/>
  <c r="H30205" i="16"/>
  <c r="H30206" i="16"/>
  <c r="H30207" i="16"/>
  <c r="H30208" i="16"/>
  <c r="H30209" i="16"/>
  <c r="H30210" i="16"/>
  <c r="H30211" i="16"/>
  <c r="H30212" i="16"/>
  <c r="H30213" i="16"/>
  <c r="H30214" i="16"/>
  <c r="H30215" i="16"/>
  <c r="H30216" i="16"/>
  <c r="H30217" i="16"/>
  <c r="H30218" i="16"/>
  <c r="H30219" i="16"/>
  <c r="H30220" i="16"/>
  <c r="H30221" i="16"/>
  <c r="H30222" i="16"/>
  <c r="H30223" i="16"/>
  <c r="H30224" i="16"/>
  <c r="H30225" i="16"/>
  <c r="H30226" i="16"/>
  <c r="H30227" i="16"/>
  <c r="H30228" i="16"/>
  <c r="H30229" i="16"/>
  <c r="H30230" i="16"/>
  <c r="H30231" i="16"/>
  <c r="H30232" i="16"/>
  <c r="H30233" i="16"/>
  <c r="H30234" i="16"/>
  <c r="H30235" i="16"/>
  <c r="H30236" i="16"/>
  <c r="H30237" i="16"/>
  <c r="H30238" i="16"/>
  <c r="H30239" i="16"/>
  <c r="H30240" i="16"/>
  <c r="H30241" i="16"/>
  <c r="H30242" i="16"/>
  <c r="H30243" i="16"/>
  <c r="H30244" i="16"/>
  <c r="H30245" i="16"/>
  <c r="H30246" i="16"/>
  <c r="H30247" i="16"/>
  <c r="H30248" i="16"/>
  <c r="H30249" i="16"/>
  <c r="H30250" i="16"/>
  <c r="H30251" i="16"/>
  <c r="H30252" i="16"/>
  <c r="H30253" i="16"/>
  <c r="H30254" i="16"/>
  <c r="H30255" i="16"/>
  <c r="H30256" i="16"/>
  <c r="H30257" i="16"/>
  <c r="H30258" i="16"/>
  <c r="H30259" i="16"/>
  <c r="H30260" i="16"/>
  <c r="H30261" i="16"/>
  <c r="H30262" i="16"/>
  <c r="H30263" i="16"/>
  <c r="H30264" i="16"/>
  <c r="H30265" i="16"/>
  <c r="H30266" i="16"/>
  <c r="H30267" i="16"/>
  <c r="H30268" i="16"/>
  <c r="H30269" i="16"/>
  <c r="H30270" i="16"/>
  <c r="H30271" i="16"/>
  <c r="H30272" i="16"/>
  <c r="H30273" i="16"/>
  <c r="H30274" i="16"/>
  <c r="H30275" i="16"/>
  <c r="H30276" i="16"/>
  <c r="H30277" i="16"/>
  <c r="H30278" i="16"/>
  <c r="H30279" i="16"/>
  <c r="H30280" i="16"/>
  <c r="H30281" i="16"/>
  <c r="H30282" i="16"/>
  <c r="H30283" i="16"/>
  <c r="H30284" i="16"/>
  <c r="H30285" i="16"/>
  <c r="H30286" i="16"/>
  <c r="H30287" i="16"/>
  <c r="H30288" i="16"/>
  <c r="H30289" i="16"/>
  <c r="H30290" i="16"/>
  <c r="H30291" i="16"/>
  <c r="H30292" i="16"/>
  <c r="H30293" i="16"/>
  <c r="H30294" i="16"/>
  <c r="H30295" i="16"/>
  <c r="H30296" i="16"/>
  <c r="H30297" i="16"/>
  <c r="H30298" i="16"/>
  <c r="H30299" i="16"/>
  <c r="H30300" i="16"/>
  <c r="H30301" i="16"/>
  <c r="H30302" i="16"/>
  <c r="H30303" i="16"/>
  <c r="H30304" i="16"/>
  <c r="H30305" i="16"/>
  <c r="H30306" i="16"/>
  <c r="H30307" i="16"/>
  <c r="H30308" i="16"/>
  <c r="H30309" i="16"/>
  <c r="H30310" i="16"/>
  <c r="H30311" i="16"/>
  <c r="H30312" i="16"/>
  <c r="H30313" i="16"/>
  <c r="H30314" i="16"/>
  <c r="H30315" i="16"/>
  <c r="H30316" i="16"/>
  <c r="H30317" i="16"/>
  <c r="H30318" i="16"/>
  <c r="H30319" i="16"/>
  <c r="H30320" i="16"/>
  <c r="H30321" i="16"/>
  <c r="H30322" i="16"/>
  <c r="H30323" i="16"/>
  <c r="H30324" i="16"/>
  <c r="H30325" i="16"/>
  <c r="H30326" i="16"/>
  <c r="H30327" i="16"/>
  <c r="H30328" i="16"/>
  <c r="H30329" i="16"/>
  <c r="H30330" i="16"/>
  <c r="H30331" i="16"/>
  <c r="H30332" i="16"/>
  <c r="H30333" i="16"/>
  <c r="H30334" i="16"/>
  <c r="H30335" i="16"/>
  <c r="H30336" i="16"/>
  <c r="H30337" i="16"/>
  <c r="H30338" i="16"/>
  <c r="H30339" i="16"/>
  <c r="H30340" i="16"/>
  <c r="H30341" i="16"/>
  <c r="H30342" i="16"/>
  <c r="H30343" i="16"/>
  <c r="H30344" i="16"/>
  <c r="H30345" i="16"/>
  <c r="H30346" i="16"/>
  <c r="H30347" i="16"/>
  <c r="H30348" i="16"/>
  <c r="H30349" i="16"/>
  <c r="H30350" i="16"/>
  <c r="H30351" i="16"/>
  <c r="H30352" i="16"/>
  <c r="H30353" i="16"/>
  <c r="H30354" i="16"/>
  <c r="H30355" i="16"/>
  <c r="H30356" i="16"/>
  <c r="H30357" i="16"/>
  <c r="H30358" i="16"/>
  <c r="H30359" i="16"/>
  <c r="H30360" i="16"/>
  <c r="H30361" i="16"/>
  <c r="H30362" i="16"/>
  <c r="H30363" i="16"/>
  <c r="H30364" i="16"/>
  <c r="H30365" i="16"/>
  <c r="H30366" i="16"/>
  <c r="H30367" i="16"/>
  <c r="H30368" i="16"/>
  <c r="H30369" i="16"/>
  <c r="H30370" i="16"/>
  <c r="H30371" i="16"/>
  <c r="H30372" i="16"/>
  <c r="H30373" i="16"/>
  <c r="H30374" i="16"/>
  <c r="H30375" i="16"/>
  <c r="H30376" i="16"/>
  <c r="H30377" i="16"/>
  <c r="H30378" i="16"/>
  <c r="H30379" i="16"/>
  <c r="H30380" i="16"/>
  <c r="H30381" i="16"/>
  <c r="H30382" i="16"/>
  <c r="H30383" i="16"/>
  <c r="H30384" i="16"/>
  <c r="H30385" i="16"/>
  <c r="H30386" i="16"/>
  <c r="H30387" i="16"/>
  <c r="H30388" i="16"/>
  <c r="H30389" i="16"/>
  <c r="H30390" i="16"/>
  <c r="H30391" i="16"/>
  <c r="H30392" i="16"/>
  <c r="H30393" i="16"/>
  <c r="H30394" i="16"/>
  <c r="H30395" i="16"/>
  <c r="H30396" i="16"/>
  <c r="H30397" i="16"/>
  <c r="H30398" i="16"/>
  <c r="H30399" i="16"/>
  <c r="H30400" i="16"/>
  <c r="H30401" i="16"/>
  <c r="H30402" i="16"/>
  <c r="H30403" i="16"/>
  <c r="H30404" i="16"/>
  <c r="H30405" i="16"/>
  <c r="H30406" i="16"/>
  <c r="H30407" i="16"/>
  <c r="H30408" i="16"/>
  <c r="H30409" i="16"/>
  <c r="H30410" i="16"/>
  <c r="H30411" i="16"/>
  <c r="H30412" i="16"/>
  <c r="H30413" i="16"/>
  <c r="H30414" i="16"/>
  <c r="H30415" i="16"/>
  <c r="H30416" i="16"/>
  <c r="H30417" i="16"/>
  <c r="H30418" i="16"/>
  <c r="H30419" i="16"/>
  <c r="H30420" i="16"/>
  <c r="H30421" i="16"/>
  <c r="H30422" i="16"/>
  <c r="H30423" i="16"/>
  <c r="H30424" i="16"/>
  <c r="H30425" i="16"/>
  <c r="H30426" i="16"/>
  <c r="H30427" i="16"/>
  <c r="H30428" i="16"/>
  <c r="H30429" i="16"/>
  <c r="H30430" i="16"/>
  <c r="H30431" i="16"/>
  <c r="H30432" i="16"/>
  <c r="H30433" i="16"/>
  <c r="H30434" i="16"/>
  <c r="H30435" i="16"/>
  <c r="H30436" i="16"/>
  <c r="H30437" i="16"/>
  <c r="H30438" i="16"/>
  <c r="H30439" i="16"/>
  <c r="H30440" i="16"/>
  <c r="H30441" i="16"/>
  <c r="H30442" i="16"/>
  <c r="H30443" i="16"/>
  <c r="H30444" i="16"/>
  <c r="H30445" i="16"/>
  <c r="H30446" i="16"/>
  <c r="H30447" i="16"/>
  <c r="H30448" i="16"/>
  <c r="H30449" i="16"/>
  <c r="H30450" i="16"/>
  <c r="H30451" i="16"/>
  <c r="H30452" i="16"/>
  <c r="H30453" i="16"/>
  <c r="H30454" i="16"/>
  <c r="H30455" i="16"/>
  <c r="H30456" i="16"/>
  <c r="H30457" i="16"/>
  <c r="H30458" i="16"/>
  <c r="H30459" i="16"/>
  <c r="H30460" i="16"/>
  <c r="H30461" i="16"/>
  <c r="H30462" i="16"/>
  <c r="H30463" i="16"/>
  <c r="H30464" i="16"/>
  <c r="H30465" i="16"/>
  <c r="H30466" i="16"/>
  <c r="H30467" i="16"/>
  <c r="H30468" i="16"/>
  <c r="H30469" i="16"/>
  <c r="H30470" i="16"/>
  <c r="H30471" i="16"/>
  <c r="H30472" i="16"/>
  <c r="H30473" i="16"/>
  <c r="H30474" i="16"/>
  <c r="H30475" i="16"/>
  <c r="H30476" i="16"/>
  <c r="H30477" i="16"/>
  <c r="H30478" i="16"/>
  <c r="H30479" i="16"/>
  <c r="H30480" i="16"/>
  <c r="H30481" i="16"/>
  <c r="H30482" i="16"/>
  <c r="H30483" i="16"/>
  <c r="H30484" i="16"/>
  <c r="H30485" i="16"/>
  <c r="H30486" i="16"/>
  <c r="H30487" i="16"/>
  <c r="H30488" i="16"/>
  <c r="H30489" i="16"/>
  <c r="H30490" i="16"/>
  <c r="H30491" i="16"/>
  <c r="H30492" i="16"/>
  <c r="H30493" i="16"/>
  <c r="H30494" i="16"/>
  <c r="H30495" i="16"/>
  <c r="H30496" i="16"/>
  <c r="H30497" i="16"/>
  <c r="H30498" i="16"/>
  <c r="H30499" i="16"/>
  <c r="H30500" i="16"/>
  <c r="H30501" i="16"/>
  <c r="H30502" i="16"/>
  <c r="H30503" i="16"/>
  <c r="H30504" i="16"/>
  <c r="H30505" i="16"/>
  <c r="H30506" i="16"/>
  <c r="H30507" i="16"/>
  <c r="H30508" i="16"/>
  <c r="H30509" i="16"/>
  <c r="H30510" i="16"/>
  <c r="H30511" i="16"/>
  <c r="H30512" i="16"/>
  <c r="H30513" i="16"/>
  <c r="H30514" i="16"/>
  <c r="H30515" i="16"/>
  <c r="H30516" i="16"/>
  <c r="H30517" i="16"/>
  <c r="H30518" i="16"/>
  <c r="H30519" i="16"/>
  <c r="H30520" i="16"/>
  <c r="H30521" i="16"/>
  <c r="H30522" i="16"/>
  <c r="H30523" i="16"/>
  <c r="H30524" i="16"/>
  <c r="H30525" i="16"/>
  <c r="H30526" i="16"/>
  <c r="H30527" i="16"/>
  <c r="H30528" i="16"/>
  <c r="H30529" i="16"/>
  <c r="H30530" i="16"/>
  <c r="H30531" i="16"/>
  <c r="H30532" i="16"/>
  <c r="H30533" i="16"/>
  <c r="H30534" i="16"/>
  <c r="H30535" i="16"/>
  <c r="H30536" i="16"/>
  <c r="H30537" i="16"/>
  <c r="H30538" i="16"/>
  <c r="H30539" i="16"/>
  <c r="H30540" i="16"/>
  <c r="H30541" i="16"/>
  <c r="H30542" i="16"/>
  <c r="H30543" i="16"/>
  <c r="H30544" i="16"/>
  <c r="H30545" i="16"/>
  <c r="H30546" i="16"/>
  <c r="H30547" i="16"/>
  <c r="H30548" i="16"/>
  <c r="H30549" i="16"/>
  <c r="H30550" i="16"/>
  <c r="H30551" i="16"/>
  <c r="H30552" i="16"/>
  <c r="H30553" i="16"/>
  <c r="H30554" i="16"/>
  <c r="H30555" i="16"/>
  <c r="H30556" i="16"/>
  <c r="H30557" i="16"/>
  <c r="H30558" i="16"/>
  <c r="H30559" i="16"/>
  <c r="H30560" i="16"/>
  <c r="H30561" i="16"/>
  <c r="H30562" i="16"/>
  <c r="H30563" i="16"/>
  <c r="H30564" i="16"/>
  <c r="H30565" i="16"/>
  <c r="H30566" i="16"/>
  <c r="H30567" i="16"/>
  <c r="H30568" i="16"/>
  <c r="H30569" i="16"/>
  <c r="H30570" i="16"/>
  <c r="H30571" i="16"/>
  <c r="H30572" i="16"/>
  <c r="H30573" i="16"/>
  <c r="H30574" i="16"/>
  <c r="H30575" i="16"/>
  <c r="H30576" i="16"/>
  <c r="H30577" i="16"/>
  <c r="H30578" i="16"/>
  <c r="H30579" i="16"/>
  <c r="H30580" i="16"/>
  <c r="H30581" i="16"/>
  <c r="H30582" i="16"/>
  <c r="H30583" i="16"/>
  <c r="H30584" i="16"/>
  <c r="H30585" i="16"/>
  <c r="H30586" i="16"/>
  <c r="H30587" i="16"/>
  <c r="H30588" i="16"/>
  <c r="H30589" i="16"/>
  <c r="H30590" i="16"/>
  <c r="H30591" i="16"/>
  <c r="H30592" i="16"/>
  <c r="H30593" i="16"/>
  <c r="H30594" i="16"/>
  <c r="H30595" i="16"/>
  <c r="H30596" i="16"/>
  <c r="H30597" i="16"/>
  <c r="H30598" i="16"/>
  <c r="H30599" i="16"/>
  <c r="H30600" i="16"/>
  <c r="H30601" i="16"/>
  <c r="H30602" i="16"/>
  <c r="H30603" i="16"/>
  <c r="H30604" i="16"/>
  <c r="H30605" i="16"/>
  <c r="H30606" i="16"/>
  <c r="H30607" i="16"/>
  <c r="H30608" i="16"/>
  <c r="H30609" i="16"/>
  <c r="H30610" i="16"/>
  <c r="H30611" i="16"/>
  <c r="H30612" i="16"/>
  <c r="H30613" i="16"/>
  <c r="H30614" i="16"/>
  <c r="H30615" i="16"/>
  <c r="H30616" i="16"/>
  <c r="H30617" i="16"/>
  <c r="H30618" i="16"/>
  <c r="H30619" i="16"/>
  <c r="H30620" i="16"/>
  <c r="H30621" i="16"/>
  <c r="H30622" i="16"/>
  <c r="H30623" i="16"/>
  <c r="H30624" i="16"/>
  <c r="H30625" i="16"/>
  <c r="H30626" i="16"/>
  <c r="H30627" i="16"/>
  <c r="H30628" i="16"/>
  <c r="H30629" i="16"/>
  <c r="H30630" i="16"/>
  <c r="H30631" i="16"/>
  <c r="H30632" i="16"/>
  <c r="H30633" i="16"/>
  <c r="H30634" i="16"/>
  <c r="H30635" i="16"/>
  <c r="H30636" i="16"/>
  <c r="H30637" i="16"/>
  <c r="H30638" i="16"/>
  <c r="H30639" i="16"/>
  <c r="H30640" i="16"/>
  <c r="H30641" i="16"/>
  <c r="H30642" i="16"/>
  <c r="H30643" i="16"/>
  <c r="H30644" i="16"/>
  <c r="H30645" i="16"/>
  <c r="H30646" i="16"/>
  <c r="H30647" i="16"/>
  <c r="H30648" i="16"/>
  <c r="H30649" i="16"/>
  <c r="H30650" i="16"/>
  <c r="H30651" i="16"/>
  <c r="H30652" i="16"/>
  <c r="H30653" i="16"/>
  <c r="H30654" i="16"/>
  <c r="H30655" i="16"/>
  <c r="H30656" i="16"/>
  <c r="H30657" i="16"/>
  <c r="H30658" i="16"/>
  <c r="H30659" i="16"/>
  <c r="H30660" i="16"/>
  <c r="H30661" i="16"/>
  <c r="H30662" i="16"/>
  <c r="H30663" i="16"/>
  <c r="H30664" i="16"/>
  <c r="H30665" i="16"/>
  <c r="H30666" i="16"/>
  <c r="H30667" i="16"/>
  <c r="H30668" i="16"/>
  <c r="H30669" i="16"/>
  <c r="H30670" i="16"/>
  <c r="H30671" i="16"/>
  <c r="H30672" i="16"/>
  <c r="H30673" i="16"/>
  <c r="H30674" i="16"/>
  <c r="H30675" i="16"/>
  <c r="H30676" i="16"/>
  <c r="H30677" i="16"/>
  <c r="H30678" i="16"/>
  <c r="H30679" i="16"/>
  <c r="H30680" i="16"/>
  <c r="H30681" i="16"/>
  <c r="H30682" i="16"/>
  <c r="H30683" i="16"/>
  <c r="H30684" i="16"/>
  <c r="H30685" i="16"/>
  <c r="H30686" i="16"/>
  <c r="H30687" i="16"/>
  <c r="H30688" i="16"/>
  <c r="H30689" i="16"/>
  <c r="H30690" i="16"/>
  <c r="H30691" i="16"/>
  <c r="H30692" i="16"/>
  <c r="H30693" i="16"/>
  <c r="H30694" i="16"/>
  <c r="H30695" i="16"/>
  <c r="H30696" i="16"/>
  <c r="H30697" i="16"/>
  <c r="H30698" i="16"/>
  <c r="H30699" i="16"/>
  <c r="H30700" i="16"/>
  <c r="H30701" i="16"/>
  <c r="H30702" i="16"/>
  <c r="H30703" i="16"/>
  <c r="H30704" i="16"/>
  <c r="H30705" i="16"/>
  <c r="H30706" i="16"/>
  <c r="H30707" i="16"/>
  <c r="H30708" i="16"/>
  <c r="H30709" i="16"/>
  <c r="H30710" i="16"/>
  <c r="H30711" i="16"/>
  <c r="H30712" i="16"/>
  <c r="H30713" i="16"/>
  <c r="H30714" i="16"/>
  <c r="H30715" i="16"/>
  <c r="H30716" i="16"/>
  <c r="H30717" i="16"/>
  <c r="H30718" i="16"/>
  <c r="H30719" i="16"/>
  <c r="H30720" i="16"/>
  <c r="H30721" i="16"/>
  <c r="H30722" i="16"/>
  <c r="H30723" i="16"/>
  <c r="H30724" i="16"/>
  <c r="H30725" i="16"/>
  <c r="H30726" i="16"/>
  <c r="H30727" i="16"/>
  <c r="H30728" i="16"/>
  <c r="H30729" i="16"/>
  <c r="H30730" i="16"/>
  <c r="H30731" i="16"/>
  <c r="H30732" i="16"/>
  <c r="H30733" i="16"/>
  <c r="H30734" i="16"/>
  <c r="H30735" i="16"/>
  <c r="H30736" i="16"/>
  <c r="H30737" i="16"/>
  <c r="H30738" i="16"/>
  <c r="H30739" i="16"/>
  <c r="H30740" i="16"/>
  <c r="H30741" i="16"/>
  <c r="H30742" i="16"/>
  <c r="H30743" i="16"/>
  <c r="H30744" i="16"/>
  <c r="H30745" i="16"/>
  <c r="H30746" i="16"/>
  <c r="H30747" i="16"/>
  <c r="H30748" i="16"/>
  <c r="H30749" i="16"/>
  <c r="H30750" i="16"/>
  <c r="H30751" i="16"/>
  <c r="H30752" i="16"/>
  <c r="H30753" i="16"/>
  <c r="H30754" i="16"/>
  <c r="H30755" i="16"/>
  <c r="H30756" i="16"/>
  <c r="H30757" i="16"/>
  <c r="H30758" i="16"/>
  <c r="H30759" i="16"/>
  <c r="H30760" i="16"/>
  <c r="H30761" i="16"/>
  <c r="H30762" i="16"/>
  <c r="H30763" i="16"/>
  <c r="H30764" i="16"/>
  <c r="H30765" i="16"/>
  <c r="H30766" i="16"/>
  <c r="H30767" i="16"/>
  <c r="H30768" i="16"/>
  <c r="H30769" i="16"/>
  <c r="H30770" i="16"/>
  <c r="H30771" i="16"/>
  <c r="H30772" i="16"/>
  <c r="H30773" i="16"/>
  <c r="H30774" i="16"/>
  <c r="H30775" i="16"/>
  <c r="H30776" i="16"/>
  <c r="H30777" i="16"/>
  <c r="H30778" i="16"/>
  <c r="H30779" i="16"/>
  <c r="H30780" i="16"/>
  <c r="H30781" i="16"/>
  <c r="H30782" i="16"/>
  <c r="H30783" i="16"/>
  <c r="H30784" i="16"/>
  <c r="H30785" i="16"/>
  <c r="H30786" i="16"/>
  <c r="H30787" i="16"/>
  <c r="H30788" i="16"/>
  <c r="H30789" i="16"/>
  <c r="H30790" i="16"/>
  <c r="H30791" i="16"/>
  <c r="H30792" i="16"/>
  <c r="H30793" i="16"/>
  <c r="H30794" i="16"/>
  <c r="H30795" i="16"/>
  <c r="H30796" i="16"/>
  <c r="H30797" i="16"/>
  <c r="H30798" i="16"/>
  <c r="H30799" i="16"/>
  <c r="H30800" i="16"/>
  <c r="H30801" i="16"/>
  <c r="H30802" i="16"/>
  <c r="H30803" i="16"/>
  <c r="H30804" i="16"/>
  <c r="H30805" i="16"/>
  <c r="H30806" i="16"/>
  <c r="H30807" i="16"/>
  <c r="H30808" i="16"/>
  <c r="H30809" i="16"/>
  <c r="H30810" i="16"/>
  <c r="H30811" i="16"/>
  <c r="H30812" i="16"/>
  <c r="H30813" i="16"/>
  <c r="H30814" i="16"/>
  <c r="H30815" i="16"/>
  <c r="H30816" i="16"/>
  <c r="H30817" i="16"/>
  <c r="H30818" i="16"/>
  <c r="H30819" i="16"/>
  <c r="H30820" i="16"/>
  <c r="H30821" i="16"/>
  <c r="H30822" i="16"/>
  <c r="H30823" i="16"/>
  <c r="H30824" i="16"/>
  <c r="H30825" i="16"/>
  <c r="H30826" i="16"/>
  <c r="H30827" i="16"/>
  <c r="H30828" i="16"/>
  <c r="H30829" i="16"/>
  <c r="H30830" i="16"/>
  <c r="H30831" i="16"/>
  <c r="H30832" i="16"/>
  <c r="H30833" i="16"/>
  <c r="H30834" i="16"/>
  <c r="H30835" i="16"/>
  <c r="H30836" i="16"/>
  <c r="H30837" i="16"/>
  <c r="H30838" i="16"/>
  <c r="H30839" i="16"/>
  <c r="H30840" i="16"/>
  <c r="H30841" i="16"/>
  <c r="H30842" i="16"/>
  <c r="H30843" i="16"/>
  <c r="H30844" i="16"/>
  <c r="H30845" i="16"/>
  <c r="H30846" i="16"/>
  <c r="H30847" i="16"/>
  <c r="H30848" i="16"/>
  <c r="H30849" i="16"/>
  <c r="H30850" i="16"/>
  <c r="H30851" i="16"/>
  <c r="H30852" i="16"/>
  <c r="H30853" i="16"/>
  <c r="H30854" i="16"/>
  <c r="H30855" i="16"/>
  <c r="H30856" i="16"/>
  <c r="H30857" i="16"/>
  <c r="H30858" i="16"/>
  <c r="H30859" i="16"/>
  <c r="H30860" i="16"/>
  <c r="H30861" i="16"/>
  <c r="H30862" i="16"/>
  <c r="H30863" i="16"/>
  <c r="H30864" i="16"/>
  <c r="H30865" i="16"/>
  <c r="H30866" i="16"/>
  <c r="H30867" i="16"/>
  <c r="H30868" i="16"/>
  <c r="H30869" i="16"/>
  <c r="H30870" i="16"/>
  <c r="H30871" i="16"/>
  <c r="H30872" i="16"/>
  <c r="H30873" i="16"/>
  <c r="H30874" i="16"/>
  <c r="H30875" i="16"/>
  <c r="H30876" i="16"/>
  <c r="H30877" i="16"/>
  <c r="H30878" i="16"/>
  <c r="H30879" i="16"/>
  <c r="H30880" i="16"/>
  <c r="H30881" i="16"/>
  <c r="H30882" i="16"/>
  <c r="H30883" i="16"/>
  <c r="H30884" i="16"/>
  <c r="H30885" i="16"/>
  <c r="H30886" i="16"/>
  <c r="H30887" i="16"/>
  <c r="H30888" i="16"/>
  <c r="H30889" i="16"/>
  <c r="H30890" i="16"/>
  <c r="H30891" i="16"/>
  <c r="H30892" i="16"/>
  <c r="H30893" i="16"/>
  <c r="H30894" i="16"/>
  <c r="H30895" i="16"/>
  <c r="H30896" i="16"/>
  <c r="H30897" i="16"/>
  <c r="H30898" i="16"/>
  <c r="H30899" i="16"/>
  <c r="H30900" i="16"/>
  <c r="H30901" i="16"/>
  <c r="H30902" i="16"/>
  <c r="H30903" i="16"/>
  <c r="H30904" i="16"/>
  <c r="H30905" i="16"/>
  <c r="H30906" i="16"/>
  <c r="H30907" i="16"/>
  <c r="H30908" i="16"/>
  <c r="H30909" i="16"/>
  <c r="H30910" i="16"/>
  <c r="H30911" i="16"/>
  <c r="H30912" i="16"/>
  <c r="H30913" i="16"/>
  <c r="H30914" i="16"/>
  <c r="H30915" i="16"/>
  <c r="H30916" i="16"/>
  <c r="H30917" i="16"/>
  <c r="H30918" i="16"/>
  <c r="H30919" i="16"/>
  <c r="H30920" i="16"/>
  <c r="H30921" i="16"/>
  <c r="H30922" i="16"/>
  <c r="H30923" i="16"/>
  <c r="H30924" i="16"/>
  <c r="H30925" i="16"/>
  <c r="H30926" i="16"/>
  <c r="H30927" i="16"/>
  <c r="H30928" i="16"/>
  <c r="H30929" i="16"/>
  <c r="H30930" i="16"/>
  <c r="H30931" i="16"/>
  <c r="H30932" i="16"/>
  <c r="H30933" i="16"/>
  <c r="H30934" i="16"/>
  <c r="H30935" i="16"/>
  <c r="H30936" i="16"/>
  <c r="H30937" i="16"/>
  <c r="H30938" i="16"/>
  <c r="H30939" i="16"/>
  <c r="H30940" i="16"/>
  <c r="H30941" i="16"/>
  <c r="H30942" i="16"/>
  <c r="H30943" i="16"/>
  <c r="H30944" i="16"/>
  <c r="H30945" i="16"/>
  <c r="H30946" i="16"/>
  <c r="H30947" i="16"/>
  <c r="H30948" i="16"/>
  <c r="H30949" i="16"/>
  <c r="H30950" i="16"/>
  <c r="H30951" i="16"/>
  <c r="H30952" i="16"/>
  <c r="H30953" i="16"/>
  <c r="H30954" i="16"/>
  <c r="H30955" i="16"/>
  <c r="H30956" i="16"/>
  <c r="H30957" i="16"/>
  <c r="H30958" i="16"/>
  <c r="H30959" i="16"/>
  <c r="H30960" i="16"/>
  <c r="H30961" i="16"/>
  <c r="H30962" i="16"/>
  <c r="H30963" i="16"/>
  <c r="H30964" i="16"/>
  <c r="H30965" i="16"/>
  <c r="H30966" i="16"/>
  <c r="H30967" i="16"/>
  <c r="H30968" i="16"/>
  <c r="H30969" i="16"/>
  <c r="H30970" i="16"/>
  <c r="H30971" i="16"/>
  <c r="H30972" i="16"/>
  <c r="H30973" i="16"/>
  <c r="H30974" i="16"/>
  <c r="H30975" i="16"/>
  <c r="H30976" i="16"/>
  <c r="H30977" i="16"/>
  <c r="H30978" i="16"/>
  <c r="H30979" i="16"/>
  <c r="H30980" i="16"/>
  <c r="H30981" i="16"/>
  <c r="H30982" i="16"/>
  <c r="H30983" i="16"/>
  <c r="H30984" i="16"/>
  <c r="H30985" i="16"/>
  <c r="H30986" i="16"/>
  <c r="H30987" i="16"/>
  <c r="H30988" i="16"/>
  <c r="H30989" i="16"/>
  <c r="H30990" i="16"/>
  <c r="H30991" i="16"/>
  <c r="H30992" i="16"/>
  <c r="H30993" i="16"/>
  <c r="H30994" i="16"/>
  <c r="H30995" i="16"/>
  <c r="H30996" i="16"/>
  <c r="H30997" i="16"/>
  <c r="H30998" i="16"/>
  <c r="H30999" i="16"/>
  <c r="H31000" i="16"/>
  <c r="H31001" i="16"/>
  <c r="H31002" i="16"/>
  <c r="H31003" i="16"/>
  <c r="H31004" i="16"/>
  <c r="H31005" i="16"/>
  <c r="H31006" i="16"/>
  <c r="H31007" i="16"/>
  <c r="H31008" i="16"/>
  <c r="H31009" i="16"/>
  <c r="H31010" i="16"/>
  <c r="H31011" i="16"/>
  <c r="H31012" i="16"/>
  <c r="H31013" i="16"/>
  <c r="H31014" i="16"/>
  <c r="H31015" i="16"/>
  <c r="H31016" i="16"/>
  <c r="H31017" i="16"/>
  <c r="H31018" i="16"/>
  <c r="H31019" i="16"/>
  <c r="H31020" i="16"/>
  <c r="H31021" i="16"/>
  <c r="H31022" i="16"/>
  <c r="H31023" i="16"/>
  <c r="H31024" i="16"/>
  <c r="H31025" i="16"/>
  <c r="H31026" i="16"/>
  <c r="H31027" i="16"/>
  <c r="H31028" i="16"/>
  <c r="H31029" i="16"/>
  <c r="H31030" i="16"/>
  <c r="H31031" i="16"/>
  <c r="H31032" i="16"/>
  <c r="H31033" i="16"/>
  <c r="H31034" i="16"/>
  <c r="H31035" i="16"/>
  <c r="H31036" i="16"/>
  <c r="H31037" i="16"/>
  <c r="H31038" i="16"/>
  <c r="H31039" i="16"/>
  <c r="H31040" i="16"/>
  <c r="H31041" i="16"/>
  <c r="H31042" i="16"/>
  <c r="H31043" i="16"/>
  <c r="H31044" i="16"/>
  <c r="H31045" i="16"/>
  <c r="H31046" i="16"/>
  <c r="H31047" i="16"/>
  <c r="H31048" i="16"/>
  <c r="H31049" i="16"/>
  <c r="H31050" i="16"/>
  <c r="H31051" i="16"/>
  <c r="H31052" i="16"/>
  <c r="H31053" i="16"/>
  <c r="H31054" i="16"/>
  <c r="H31055" i="16"/>
  <c r="H31056" i="16"/>
  <c r="H31057" i="16"/>
  <c r="H31058" i="16"/>
  <c r="H31059" i="16"/>
  <c r="H31060" i="16"/>
  <c r="H31061" i="16"/>
  <c r="H31062" i="16"/>
  <c r="H31063" i="16"/>
  <c r="H31064" i="16"/>
  <c r="H31065" i="16"/>
  <c r="H31066" i="16"/>
  <c r="H31067" i="16"/>
  <c r="H31068" i="16"/>
  <c r="H31069" i="16"/>
  <c r="H31070" i="16"/>
  <c r="H31071" i="16"/>
  <c r="H31072" i="16"/>
  <c r="H31073" i="16"/>
  <c r="H31074" i="16"/>
  <c r="H31075" i="16"/>
  <c r="H31076" i="16"/>
  <c r="H31077" i="16"/>
  <c r="H31078" i="16"/>
  <c r="H31079" i="16"/>
  <c r="H31080" i="16"/>
  <c r="H31081" i="16"/>
  <c r="H31082" i="16"/>
  <c r="H31083" i="16"/>
  <c r="H31084" i="16"/>
  <c r="H31085" i="16"/>
  <c r="H31086" i="16"/>
  <c r="H31087" i="16"/>
  <c r="H31088" i="16"/>
  <c r="H31089" i="16"/>
  <c r="H31090" i="16"/>
  <c r="H31091" i="16"/>
  <c r="H31092" i="16"/>
  <c r="H31093" i="16"/>
  <c r="H31094" i="16"/>
  <c r="H31095" i="16"/>
  <c r="H31096" i="16"/>
  <c r="H31097" i="16"/>
  <c r="H31098" i="16"/>
  <c r="H31099" i="16"/>
  <c r="H31100" i="16"/>
  <c r="H31101" i="16"/>
  <c r="H31102" i="16"/>
  <c r="H31103" i="16"/>
  <c r="H31104" i="16"/>
  <c r="H31105" i="16"/>
  <c r="H31106" i="16"/>
  <c r="H31107" i="16"/>
  <c r="H31108" i="16"/>
  <c r="H31109" i="16"/>
  <c r="H31110" i="16"/>
  <c r="H31111" i="16"/>
  <c r="H31112" i="16"/>
  <c r="H31113" i="16"/>
  <c r="H31114" i="16"/>
  <c r="H31115" i="16"/>
  <c r="H31116" i="16"/>
  <c r="H31117" i="16"/>
  <c r="H31118" i="16"/>
  <c r="H31119" i="16"/>
  <c r="H31120" i="16"/>
  <c r="H31121" i="16"/>
  <c r="H31122" i="16"/>
  <c r="H31123" i="16"/>
  <c r="H31124" i="16"/>
  <c r="H31125" i="16"/>
  <c r="H31126" i="16"/>
  <c r="H31127" i="16"/>
  <c r="H31128" i="16"/>
  <c r="H31129" i="16"/>
  <c r="H31130" i="16"/>
  <c r="H31131" i="16"/>
  <c r="H31132" i="16"/>
  <c r="H31133" i="16"/>
  <c r="H31134" i="16"/>
  <c r="H31135" i="16"/>
  <c r="H31136" i="16"/>
  <c r="H31137" i="16"/>
  <c r="H31138" i="16"/>
  <c r="H31139" i="16"/>
  <c r="H31140" i="16"/>
  <c r="H31141" i="16"/>
  <c r="H31142" i="16"/>
  <c r="H31143" i="16"/>
  <c r="H31144" i="16"/>
  <c r="H31145" i="16"/>
  <c r="H31146" i="16"/>
  <c r="H31147" i="16"/>
  <c r="H31148" i="16"/>
  <c r="H31149" i="16"/>
  <c r="H31150" i="16"/>
  <c r="H31151" i="16"/>
  <c r="H31152" i="16"/>
  <c r="H31153" i="16"/>
  <c r="H31154" i="16"/>
  <c r="H31155" i="16"/>
  <c r="H31156" i="16"/>
  <c r="H31157" i="16"/>
  <c r="H31158" i="16"/>
  <c r="H31159" i="16"/>
  <c r="H31160" i="16"/>
  <c r="H31161" i="16"/>
  <c r="H31162" i="16"/>
  <c r="H31163" i="16"/>
  <c r="H31164" i="16"/>
  <c r="H31165" i="16"/>
  <c r="H31166" i="16"/>
  <c r="H31167" i="16"/>
  <c r="H31168" i="16"/>
  <c r="H31169" i="16"/>
  <c r="H31170" i="16"/>
  <c r="H31171" i="16"/>
  <c r="H31172" i="16"/>
  <c r="H31173" i="16"/>
  <c r="H31174" i="16"/>
  <c r="H31175" i="16"/>
  <c r="H31176" i="16"/>
  <c r="H31177" i="16"/>
  <c r="H31178" i="16"/>
  <c r="H31179" i="16"/>
  <c r="H31180" i="16"/>
  <c r="H31181" i="16"/>
  <c r="H31182" i="16"/>
  <c r="H31183" i="16"/>
  <c r="H31184" i="16"/>
  <c r="H31185" i="16"/>
  <c r="H31186" i="16"/>
  <c r="H31187" i="16"/>
  <c r="H31188" i="16"/>
  <c r="H31189" i="16"/>
  <c r="H31190" i="16"/>
  <c r="H31191" i="16"/>
  <c r="H31192" i="16"/>
  <c r="H31193" i="16"/>
  <c r="H31194" i="16"/>
  <c r="H31195" i="16"/>
  <c r="H31196" i="16"/>
  <c r="H31197" i="16"/>
  <c r="H31198" i="16"/>
  <c r="H31199" i="16"/>
  <c r="H31200" i="16"/>
  <c r="H31201" i="16"/>
  <c r="H31202" i="16"/>
  <c r="H31203" i="16"/>
  <c r="H31204" i="16"/>
  <c r="H31205" i="16"/>
  <c r="H31206" i="16"/>
  <c r="H31207" i="16"/>
  <c r="H31208" i="16"/>
  <c r="H31209" i="16"/>
  <c r="H31210" i="16"/>
  <c r="H31211" i="16"/>
  <c r="H31212" i="16"/>
  <c r="H31213" i="16"/>
  <c r="H31214" i="16"/>
  <c r="H31215" i="16"/>
  <c r="H31216" i="16"/>
  <c r="H31217" i="16"/>
  <c r="H31218" i="16"/>
  <c r="H31219" i="16"/>
  <c r="H31220" i="16"/>
  <c r="H31221" i="16"/>
  <c r="H31222" i="16"/>
  <c r="H31223" i="16"/>
  <c r="H31224" i="16"/>
  <c r="H31225" i="16"/>
  <c r="H31226" i="16"/>
  <c r="H31227" i="16"/>
  <c r="H31228" i="16"/>
  <c r="H31229" i="16"/>
  <c r="H31230" i="16"/>
  <c r="H31231" i="16"/>
  <c r="H31232" i="16"/>
  <c r="H31233" i="16"/>
  <c r="H31234" i="16"/>
  <c r="H31235" i="16"/>
  <c r="H31236" i="16"/>
  <c r="H31237" i="16"/>
  <c r="H31238" i="16"/>
  <c r="H31239" i="16"/>
  <c r="H31240" i="16"/>
  <c r="H31241" i="16"/>
  <c r="H31242" i="16"/>
  <c r="H31243" i="16"/>
  <c r="H31244" i="16"/>
  <c r="H31245" i="16"/>
  <c r="H31246" i="16"/>
  <c r="H31247" i="16"/>
  <c r="H31248" i="16"/>
  <c r="H31249" i="16"/>
  <c r="H31250" i="16"/>
  <c r="H31251" i="16"/>
  <c r="H31252" i="16"/>
  <c r="H31253" i="16"/>
  <c r="H31254" i="16"/>
  <c r="H31255" i="16"/>
  <c r="H31256" i="16"/>
  <c r="H31257" i="16"/>
  <c r="H31258" i="16"/>
  <c r="H31259" i="16"/>
  <c r="H31260" i="16"/>
  <c r="H31261" i="16"/>
  <c r="H31262" i="16"/>
  <c r="H31263" i="16"/>
  <c r="H31264" i="16"/>
  <c r="H31265" i="16"/>
  <c r="H31266" i="16"/>
  <c r="H31267" i="16"/>
  <c r="H31268" i="16"/>
  <c r="H31269" i="16"/>
  <c r="H31270" i="16"/>
  <c r="H31271" i="16"/>
  <c r="H31272" i="16"/>
  <c r="H31273" i="16"/>
  <c r="H31274" i="16"/>
  <c r="H31275" i="16"/>
  <c r="H31276" i="16"/>
  <c r="H31277" i="16"/>
  <c r="H31278" i="16"/>
  <c r="H31279" i="16"/>
  <c r="H31280" i="16"/>
  <c r="H31281" i="16"/>
  <c r="H31282" i="16"/>
  <c r="H31283" i="16"/>
  <c r="H31284" i="16"/>
  <c r="H31285" i="16"/>
  <c r="H31286" i="16"/>
  <c r="H31287" i="16"/>
  <c r="H31288" i="16"/>
  <c r="H31289" i="16"/>
  <c r="H31290" i="16"/>
  <c r="H31291" i="16"/>
  <c r="H31292" i="16"/>
  <c r="H31293" i="16"/>
  <c r="H31294" i="16"/>
  <c r="H31295" i="16"/>
  <c r="H31296" i="16"/>
  <c r="H31297" i="16"/>
  <c r="H31298" i="16"/>
  <c r="H31299" i="16"/>
  <c r="H31300" i="16"/>
  <c r="H31301" i="16"/>
  <c r="H31302" i="16"/>
  <c r="H31303" i="16"/>
  <c r="H31304" i="16"/>
  <c r="H31305" i="16"/>
  <c r="H31306" i="16"/>
  <c r="H31307" i="16"/>
  <c r="H31308" i="16"/>
  <c r="H31309" i="16"/>
  <c r="H31310" i="16"/>
  <c r="H31311" i="16"/>
  <c r="H31312" i="16"/>
  <c r="H31313" i="16"/>
  <c r="H31314" i="16"/>
  <c r="H31315" i="16"/>
  <c r="H31316" i="16"/>
  <c r="H31317" i="16"/>
  <c r="H31318" i="16"/>
  <c r="H31319" i="16"/>
  <c r="H31320" i="16"/>
  <c r="H31321" i="16"/>
  <c r="H31322" i="16"/>
  <c r="H31323" i="16"/>
  <c r="H31324" i="16"/>
  <c r="H31325" i="16"/>
  <c r="H31326" i="16"/>
  <c r="H31327" i="16"/>
  <c r="H31328" i="16"/>
  <c r="H31329" i="16"/>
  <c r="H31330" i="16"/>
  <c r="H31331" i="16"/>
  <c r="H31332" i="16"/>
  <c r="H31333" i="16"/>
  <c r="H31334" i="16"/>
  <c r="H31335" i="16"/>
  <c r="H31336" i="16"/>
  <c r="H31337" i="16"/>
  <c r="H31338" i="16"/>
  <c r="H31339" i="16"/>
  <c r="H31340" i="16"/>
  <c r="H31341" i="16"/>
  <c r="H31342" i="16"/>
  <c r="H31343" i="16"/>
  <c r="H31344" i="16"/>
  <c r="H31345" i="16"/>
  <c r="H31346" i="16"/>
  <c r="H31347" i="16"/>
  <c r="H31348" i="16"/>
  <c r="H31349" i="16"/>
  <c r="H31350" i="16"/>
  <c r="H31351" i="16"/>
  <c r="H31352" i="16"/>
  <c r="H31353" i="16"/>
  <c r="H31354" i="16"/>
  <c r="H31355" i="16"/>
  <c r="H31356" i="16"/>
  <c r="H31357" i="16"/>
  <c r="H31358" i="16"/>
  <c r="H31359" i="16"/>
  <c r="H31360" i="16"/>
  <c r="H31361" i="16"/>
  <c r="H31362" i="16"/>
  <c r="H31363" i="16"/>
  <c r="H31364" i="16"/>
  <c r="H31365" i="16"/>
  <c r="H31366" i="16"/>
  <c r="H31367" i="16"/>
  <c r="H31368" i="16"/>
  <c r="H31369" i="16"/>
  <c r="H31370" i="16"/>
  <c r="H31371" i="16"/>
  <c r="H31372" i="16"/>
  <c r="H31373" i="16"/>
  <c r="H31374" i="16"/>
  <c r="H31375" i="16"/>
  <c r="H31376" i="16"/>
  <c r="H31377" i="16"/>
  <c r="H31378" i="16"/>
  <c r="H31379" i="16"/>
  <c r="H31380" i="16"/>
  <c r="H31381" i="16"/>
  <c r="H31382" i="16"/>
  <c r="H31383" i="16"/>
  <c r="H31384" i="16"/>
  <c r="H31385" i="16"/>
  <c r="H31386" i="16"/>
  <c r="H31387" i="16"/>
  <c r="H31388" i="16"/>
  <c r="H31389" i="16"/>
  <c r="H31390" i="16"/>
  <c r="H31391" i="16"/>
  <c r="H31392" i="16"/>
  <c r="H31393" i="16"/>
  <c r="H31394" i="16"/>
  <c r="H31395" i="16"/>
  <c r="H31396" i="16"/>
  <c r="H31397" i="16"/>
  <c r="H31398" i="16"/>
  <c r="H31399" i="16"/>
  <c r="H31400" i="16"/>
  <c r="H31401" i="16"/>
  <c r="H31402" i="16"/>
  <c r="H31403" i="16"/>
  <c r="H31404" i="16"/>
  <c r="H31405" i="16"/>
  <c r="H31406" i="16"/>
  <c r="H31407" i="16"/>
  <c r="H31408" i="16"/>
  <c r="H31409" i="16"/>
  <c r="H31410" i="16"/>
  <c r="H31411" i="16"/>
  <c r="H31412" i="16"/>
  <c r="H31413" i="16"/>
  <c r="H31414" i="16"/>
  <c r="H31415" i="16"/>
  <c r="H31416" i="16"/>
  <c r="H31417" i="16"/>
  <c r="H31418" i="16"/>
  <c r="H31419" i="16"/>
  <c r="H31420" i="16"/>
  <c r="H31421" i="16"/>
  <c r="H31422" i="16"/>
  <c r="H31423" i="16"/>
  <c r="H31424" i="16"/>
  <c r="H31425" i="16"/>
  <c r="H31426" i="16"/>
  <c r="H31427" i="16"/>
  <c r="H31428" i="16"/>
  <c r="H31429" i="16"/>
  <c r="H31430" i="16"/>
  <c r="H31431" i="16"/>
  <c r="H31432" i="16"/>
  <c r="H31433" i="16"/>
  <c r="H31434" i="16"/>
  <c r="H31435" i="16"/>
  <c r="H31436" i="16"/>
  <c r="H31437" i="16"/>
  <c r="H31438" i="16"/>
  <c r="H31439" i="16"/>
  <c r="H31440" i="16"/>
  <c r="H31441" i="16"/>
  <c r="H31442" i="16"/>
  <c r="H31443" i="16"/>
  <c r="H31444" i="16"/>
  <c r="H31445" i="16"/>
  <c r="H31446" i="16"/>
  <c r="H31447" i="16"/>
  <c r="H31448" i="16"/>
  <c r="H31449" i="16"/>
  <c r="H31450" i="16"/>
  <c r="H31451" i="16"/>
  <c r="H31452" i="16"/>
  <c r="H31453" i="16"/>
  <c r="H31454" i="16"/>
  <c r="H31455" i="16"/>
  <c r="H31456" i="16"/>
  <c r="H31457" i="16"/>
  <c r="H31458" i="16"/>
  <c r="H31459" i="16"/>
  <c r="H31460" i="16"/>
  <c r="H31461" i="16"/>
  <c r="H31462" i="16"/>
  <c r="H31463" i="16"/>
  <c r="H31464" i="16"/>
  <c r="H31465" i="16"/>
  <c r="H31466" i="16"/>
  <c r="H31467" i="16"/>
  <c r="H31468" i="16"/>
  <c r="H31469" i="16"/>
  <c r="H31470" i="16"/>
  <c r="H31471" i="16"/>
  <c r="H31472" i="16"/>
  <c r="H31473" i="16"/>
  <c r="H31474" i="16"/>
  <c r="H31475" i="16"/>
  <c r="H31476" i="16"/>
  <c r="H31477" i="16"/>
  <c r="H31478" i="16"/>
  <c r="H31479" i="16"/>
  <c r="H31480" i="16"/>
  <c r="H31481" i="16"/>
  <c r="H31482" i="16"/>
  <c r="H31483" i="16"/>
  <c r="H31484" i="16"/>
  <c r="H31485" i="16"/>
  <c r="H31486" i="16"/>
  <c r="H31487" i="16"/>
  <c r="H31488" i="16"/>
  <c r="H31489" i="16"/>
  <c r="H31490" i="16"/>
  <c r="H31491" i="16"/>
  <c r="H31492" i="16"/>
  <c r="H31493" i="16"/>
  <c r="H31494" i="16"/>
  <c r="H31495" i="16"/>
  <c r="H31496" i="16"/>
  <c r="H31497" i="16"/>
  <c r="H31498" i="16"/>
  <c r="H31499" i="16"/>
  <c r="H31500" i="16"/>
  <c r="H31501" i="16"/>
  <c r="H31502" i="16"/>
  <c r="H31503" i="16"/>
  <c r="H31504" i="16"/>
  <c r="H31505" i="16"/>
  <c r="H31506" i="16"/>
  <c r="H31507" i="16"/>
  <c r="H31508" i="16"/>
  <c r="H31509" i="16"/>
  <c r="H31510" i="16"/>
  <c r="H31511" i="16"/>
  <c r="H31512" i="16"/>
  <c r="H31513" i="16"/>
  <c r="H31514" i="16"/>
  <c r="H31515" i="16"/>
  <c r="H31516" i="16"/>
  <c r="H31517" i="16"/>
  <c r="H31518" i="16"/>
  <c r="H31519" i="16"/>
  <c r="H31520" i="16"/>
  <c r="H31521" i="16"/>
  <c r="H31522" i="16"/>
  <c r="H31523" i="16"/>
  <c r="H31524" i="16"/>
  <c r="H31525" i="16"/>
  <c r="H31526" i="16"/>
  <c r="H31527" i="16"/>
  <c r="H31528" i="16"/>
  <c r="H31529" i="16"/>
  <c r="H31530" i="16"/>
  <c r="H31531" i="16"/>
  <c r="H31532" i="16"/>
  <c r="H31533" i="16"/>
  <c r="H31534" i="16"/>
  <c r="H31535" i="16"/>
  <c r="H31536" i="16"/>
  <c r="H31537" i="16"/>
  <c r="H31538" i="16"/>
  <c r="H31539" i="16"/>
  <c r="H31540" i="16"/>
  <c r="H31541" i="16"/>
  <c r="H31542" i="16"/>
  <c r="H31543" i="16"/>
  <c r="H31544" i="16"/>
  <c r="H31545" i="16"/>
  <c r="H31546" i="16"/>
  <c r="H31547" i="16"/>
  <c r="H31548" i="16"/>
  <c r="H31549" i="16"/>
  <c r="H31550" i="16"/>
  <c r="H31551" i="16"/>
  <c r="H31552" i="16"/>
  <c r="H31553" i="16"/>
  <c r="H31554" i="16"/>
  <c r="H31555" i="16"/>
  <c r="H31556" i="16"/>
  <c r="H31557" i="16"/>
  <c r="H31558" i="16"/>
  <c r="H31559" i="16"/>
  <c r="H31560" i="16"/>
  <c r="H31561" i="16"/>
  <c r="H31562" i="16"/>
  <c r="H31563" i="16"/>
  <c r="H31564" i="16"/>
  <c r="H31565" i="16"/>
  <c r="H31566" i="16"/>
  <c r="H31567" i="16"/>
  <c r="H31568" i="16"/>
  <c r="H31569" i="16"/>
  <c r="H31570" i="16"/>
  <c r="H31571" i="16"/>
  <c r="H31572" i="16"/>
  <c r="H31573" i="16"/>
  <c r="H31574" i="16"/>
  <c r="H31575" i="16"/>
  <c r="H31576" i="16"/>
  <c r="H31577" i="16"/>
  <c r="H31578" i="16"/>
  <c r="H31579" i="16"/>
  <c r="H31580" i="16"/>
  <c r="H31581" i="16"/>
  <c r="H31582" i="16"/>
  <c r="H31583" i="16"/>
  <c r="H31584" i="16"/>
  <c r="H31585" i="16"/>
  <c r="H31586" i="16"/>
  <c r="H31587" i="16"/>
  <c r="H31588" i="16"/>
  <c r="H31589" i="16"/>
  <c r="H31590" i="16"/>
  <c r="H31591" i="16"/>
  <c r="H31592" i="16"/>
  <c r="H31593" i="16"/>
  <c r="H31594" i="16"/>
  <c r="H31595" i="16"/>
  <c r="H31596" i="16"/>
  <c r="H31597" i="16"/>
  <c r="H31598" i="16"/>
  <c r="H31599" i="16"/>
  <c r="H31600" i="16"/>
  <c r="H31601" i="16"/>
  <c r="H31602" i="16"/>
  <c r="H31603" i="16"/>
  <c r="H31604" i="16"/>
  <c r="H31605" i="16"/>
  <c r="H31606" i="16"/>
  <c r="H31607" i="16"/>
  <c r="H31608" i="16"/>
  <c r="H31609" i="16"/>
  <c r="H31610" i="16"/>
  <c r="H31611" i="16"/>
  <c r="H31612" i="16"/>
  <c r="H31613" i="16"/>
  <c r="H31614" i="16"/>
  <c r="H31615" i="16"/>
  <c r="H31616" i="16"/>
  <c r="H31617" i="16"/>
  <c r="H31618" i="16"/>
  <c r="H31619" i="16"/>
  <c r="H31620" i="16"/>
  <c r="H31621" i="16"/>
  <c r="H31622" i="16"/>
  <c r="H31623" i="16"/>
  <c r="H31624" i="16"/>
  <c r="H31625" i="16"/>
  <c r="H31626" i="16"/>
  <c r="H31627" i="16"/>
  <c r="H31628" i="16"/>
  <c r="H31629" i="16"/>
  <c r="H31630" i="16"/>
  <c r="H31631" i="16"/>
  <c r="H31632" i="16"/>
  <c r="H31633" i="16"/>
  <c r="H31634" i="16"/>
  <c r="H31635" i="16"/>
  <c r="H31636" i="16"/>
  <c r="H31637" i="16"/>
  <c r="H31638" i="16"/>
  <c r="H31639" i="16"/>
  <c r="H31640" i="16"/>
  <c r="H31641" i="16"/>
  <c r="H31642" i="16"/>
  <c r="H31643" i="16"/>
  <c r="H31644" i="16"/>
  <c r="H31645" i="16"/>
  <c r="H31646" i="16"/>
  <c r="H31647" i="16"/>
  <c r="H31648" i="16"/>
  <c r="H31649" i="16"/>
  <c r="H31650" i="16"/>
  <c r="H31651" i="16"/>
  <c r="H31652" i="16"/>
  <c r="H31653" i="16"/>
  <c r="H31654" i="16"/>
  <c r="H31655" i="16"/>
  <c r="H31656" i="16"/>
  <c r="H31657" i="16"/>
  <c r="H31658" i="16"/>
  <c r="H31659" i="16"/>
  <c r="H31660" i="16"/>
  <c r="H31661" i="16"/>
  <c r="H31662" i="16"/>
  <c r="H31663" i="16"/>
  <c r="H31664" i="16"/>
  <c r="H31665" i="16"/>
  <c r="H31666" i="16"/>
  <c r="H31667" i="16"/>
  <c r="H31668" i="16"/>
  <c r="H31669" i="16"/>
  <c r="H31670" i="16"/>
  <c r="H31671" i="16"/>
  <c r="H31672" i="16"/>
  <c r="H31673" i="16"/>
  <c r="H31674" i="16"/>
  <c r="H31675" i="16"/>
  <c r="H31676" i="16"/>
  <c r="H31677" i="16"/>
  <c r="H31678" i="16"/>
  <c r="H31679" i="16"/>
  <c r="H31680" i="16"/>
  <c r="H31681" i="16"/>
  <c r="H31682" i="16"/>
  <c r="H31683" i="16"/>
  <c r="H31684" i="16"/>
  <c r="H31685" i="16"/>
  <c r="H31686" i="16"/>
  <c r="H31687" i="16"/>
  <c r="H31688" i="16"/>
  <c r="H31689" i="16"/>
  <c r="H31690" i="16"/>
  <c r="H31691" i="16"/>
  <c r="H31692" i="16"/>
  <c r="H31693" i="16"/>
  <c r="H31694" i="16"/>
  <c r="H31695" i="16"/>
  <c r="H31696" i="16"/>
  <c r="H31697" i="16"/>
  <c r="H31698" i="16"/>
  <c r="H31699" i="16"/>
  <c r="H31700" i="16"/>
  <c r="H31701" i="16"/>
  <c r="H31702" i="16"/>
  <c r="H31703" i="16"/>
  <c r="H31704" i="16"/>
  <c r="H31705" i="16"/>
  <c r="H31706" i="16"/>
  <c r="H31707" i="16"/>
  <c r="H31708" i="16"/>
  <c r="H31709" i="16"/>
  <c r="H31710" i="16"/>
  <c r="H31711" i="16"/>
  <c r="H31712" i="16"/>
  <c r="H31713" i="16"/>
  <c r="H31714" i="16"/>
  <c r="H31715" i="16"/>
  <c r="H31716" i="16"/>
  <c r="H31717" i="16"/>
  <c r="H31718" i="16"/>
  <c r="H31719" i="16"/>
  <c r="H31720" i="16"/>
  <c r="H31721" i="16"/>
  <c r="H31722" i="16"/>
  <c r="H31723" i="16"/>
  <c r="H31724" i="16"/>
  <c r="H31725" i="16"/>
  <c r="H31726" i="16"/>
  <c r="H31727" i="16"/>
  <c r="H31728" i="16"/>
  <c r="H31729" i="16"/>
  <c r="H31730" i="16"/>
  <c r="H31731" i="16"/>
  <c r="H31732" i="16"/>
  <c r="H31733" i="16"/>
  <c r="H31734" i="16"/>
  <c r="H31735" i="16"/>
  <c r="H31736" i="16"/>
  <c r="H31737" i="16"/>
  <c r="H31738" i="16"/>
  <c r="H31739" i="16"/>
  <c r="H31740" i="16"/>
  <c r="H31741" i="16"/>
  <c r="H31742" i="16"/>
  <c r="H31743" i="16"/>
  <c r="H31744" i="16"/>
  <c r="H31745" i="16"/>
  <c r="H31746" i="16"/>
  <c r="H31747" i="16"/>
  <c r="H31748" i="16"/>
  <c r="H31749" i="16"/>
  <c r="H31750" i="16"/>
  <c r="H31751" i="16"/>
  <c r="H31752" i="16"/>
  <c r="H31753" i="16"/>
  <c r="H31754" i="16"/>
  <c r="H31755" i="16"/>
  <c r="H31756" i="16"/>
  <c r="H31757" i="16"/>
  <c r="H31758" i="16"/>
  <c r="H31759" i="16"/>
  <c r="H31760" i="16"/>
  <c r="H31761" i="16"/>
  <c r="H31762" i="16"/>
  <c r="H31763" i="16"/>
  <c r="H31764" i="16"/>
  <c r="H31765" i="16"/>
  <c r="H31766" i="16"/>
  <c r="H31767" i="16"/>
  <c r="H31768" i="16"/>
  <c r="H31769" i="16"/>
  <c r="H31770" i="16"/>
  <c r="H31771" i="16"/>
  <c r="H31772" i="16"/>
  <c r="H31773" i="16"/>
  <c r="H31774" i="16"/>
  <c r="H31775" i="16"/>
  <c r="H31776" i="16"/>
  <c r="H31777" i="16"/>
  <c r="H31778" i="16"/>
  <c r="H31779" i="16"/>
  <c r="H31780" i="16"/>
  <c r="H31781" i="16"/>
  <c r="H31782" i="16"/>
  <c r="H31783" i="16"/>
  <c r="H31784" i="16"/>
  <c r="H31785" i="16"/>
  <c r="H31786" i="16"/>
  <c r="H31787" i="16"/>
  <c r="H31788" i="16"/>
  <c r="H31789" i="16"/>
  <c r="H31790" i="16"/>
  <c r="H31791" i="16"/>
  <c r="H31792" i="16"/>
  <c r="H31793" i="16"/>
  <c r="H31794" i="16"/>
  <c r="H31795" i="16"/>
  <c r="H31796" i="16"/>
  <c r="H31797" i="16"/>
  <c r="H31798" i="16"/>
  <c r="H31799" i="16"/>
  <c r="H31800" i="16"/>
  <c r="H31801" i="16"/>
  <c r="H31802" i="16"/>
  <c r="H31803" i="16"/>
  <c r="H31804" i="16"/>
  <c r="H31805" i="16"/>
  <c r="H31806" i="16"/>
  <c r="H31807" i="16"/>
  <c r="H31808" i="16"/>
  <c r="H31809" i="16"/>
  <c r="H31810" i="16"/>
  <c r="H31811" i="16"/>
  <c r="H31812" i="16"/>
  <c r="H31813" i="16"/>
  <c r="H31814" i="16"/>
  <c r="H31815" i="16"/>
  <c r="H31816" i="16"/>
  <c r="H31817" i="16"/>
  <c r="H31818" i="16"/>
  <c r="H31819" i="16"/>
  <c r="H31820" i="16"/>
  <c r="H31821" i="16"/>
  <c r="H31822" i="16"/>
  <c r="H31823" i="16"/>
  <c r="H31824" i="16"/>
  <c r="H31825" i="16"/>
  <c r="H31826" i="16"/>
  <c r="H31827" i="16"/>
  <c r="H31828" i="16"/>
  <c r="H31829" i="16"/>
  <c r="H31830" i="16"/>
  <c r="H31831" i="16"/>
  <c r="H31832" i="16"/>
  <c r="H31833" i="16"/>
  <c r="H31834" i="16"/>
  <c r="H31835" i="16"/>
  <c r="H31836" i="16"/>
  <c r="H31837" i="16"/>
  <c r="H31838" i="16"/>
  <c r="H31839" i="16"/>
  <c r="H31840" i="16"/>
  <c r="H31841" i="16"/>
  <c r="H31842" i="16"/>
  <c r="H31843" i="16"/>
  <c r="H31844" i="16"/>
  <c r="H31845" i="16"/>
  <c r="H31846" i="16"/>
  <c r="H31847" i="16"/>
  <c r="H31848" i="16"/>
  <c r="H31849" i="16"/>
  <c r="H31850" i="16"/>
  <c r="H31851" i="16"/>
  <c r="H31852" i="16"/>
  <c r="H31853" i="16"/>
  <c r="H31854" i="16"/>
  <c r="H31855" i="16"/>
  <c r="H31856" i="16"/>
  <c r="H31857" i="16"/>
  <c r="H31858" i="16"/>
  <c r="H31859" i="16"/>
  <c r="H31860" i="16"/>
  <c r="H31861" i="16"/>
  <c r="H31862" i="16"/>
  <c r="H31863" i="16"/>
  <c r="H31864" i="16"/>
  <c r="H31865" i="16"/>
  <c r="H31866" i="16"/>
  <c r="H31867" i="16"/>
  <c r="H31868" i="16"/>
  <c r="H31869" i="16"/>
  <c r="H31870" i="16"/>
  <c r="H31871" i="16"/>
  <c r="H31872" i="16"/>
  <c r="H31873" i="16"/>
  <c r="H31874" i="16"/>
  <c r="H31875" i="16"/>
  <c r="H31876" i="16"/>
  <c r="H31877" i="16"/>
  <c r="H31878" i="16"/>
  <c r="H31879" i="16"/>
  <c r="H31880" i="16"/>
  <c r="H31881" i="16"/>
  <c r="H31882" i="16"/>
  <c r="H31883" i="16"/>
  <c r="H31884" i="16"/>
  <c r="H31885" i="16"/>
  <c r="H31886" i="16"/>
  <c r="H31887" i="16"/>
  <c r="H31888" i="16"/>
  <c r="H31889" i="16"/>
  <c r="H31890" i="16"/>
  <c r="H31891" i="16"/>
  <c r="H31892" i="16"/>
  <c r="H31893" i="16"/>
  <c r="H31894" i="16"/>
  <c r="H31895" i="16"/>
  <c r="H31896" i="16"/>
  <c r="H31897" i="16"/>
  <c r="H31898" i="16"/>
  <c r="H31899" i="16"/>
  <c r="H31900" i="16"/>
  <c r="H31901" i="16"/>
  <c r="H31902" i="16"/>
  <c r="H31903" i="16"/>
  <c r="H31904" i="16"/>
  <c r="H31905" i="16"/>
  <c r="H31906" i="16"/>
  <c r="H31907" i="16"/>
  <c r="H31908" i="16"/>
  <c r="H31909" i="16"/>
  <c r="H31910" i="16"/>
  <c r="H31911" i="16"/>
  <c r="H31912" i="16"/>
  <c r="H31913" i="16"/>
  <c r="H31914" i="16"/>
  <c r="H31915" i="16"/>
  <c r="H31916" i="16"/>
  <c r="H31917" i="16"/>
  <c r="H31918" i="16"/>
  <c r="H31919" i="16"/>
  <c r="H31920" i="16"/>
  <c r="H31921" i="16"/>
  <c r="H31922" i="16"/>
  <c r="H31923" i="16"/>
  <c r="H31924" i="16"/>
  <c r="H31925" i="16"/>
  <c r="H31926" i="16"/>
  <c r="H31927" i="16"/>
  <c r="H31928" i="16"/>
  <c r="H31929" i="16"/>
  <c r="H31930" i="16"/>
  <c r="H31931" i="16"/>
  <c r="H31932" i="16"/>
  <c r="H31933" i="16"/>
  <c r="H31934" i="16"/>
  <c r="H31935" i="16"/>
  <c r="H31936" i="16"/>
  <c r="H31937" i="16"/>
  <c r="H31938" i="16"/>
  <c r="H31939" i="16"/>
  <c r="H31940" i="16"/>
  <c r="H31941" i="16"/>
  <c r="H31942" i="16"/>
  <c r="H31943" i="16"/>
  <c r="H31944" i="16"/>
  <c r="H31945" i="16"/>
  <c r="H31946" i="16"/>
  <c r="H31947" i="16"/>
  <c r="H31948" i="16"/>
  <c r="H31949" i="16"/>
  <c r="H31950" i="16"/>
  <c r="H31951" i="16"/>
  <c r="H31952" i="16"/>
  <c r="H31953" i="16"/>
  <c r="H31954" i="16"/>
  <c r="H31955" i="16"/>
  <c r="H31956" i="16"/>
  <c r="H31957" i="16"/>
  <c r="H31958" i="16"/>
  <c r="H31959" i="16"/>
  <c r="H31960" i="16"/>
  <c r="H31961" i="16"/>
  <c r="H31962" i="16"/>
  <c r="H31963" i="16"/>
  <c r="H31964" i="16"/>
  <c r="H31965" i="16"/>
  <c r="H31966" i="16"/>
  <c r="H31967" i="16"/>
  <c r="H31968" i="16"/>
  <c r="H31969" i="16"/>
  <c r="H31970" i="16"/>
  <c r="H31971" i="16"/>
  <c r="H31972" i="16"/>
  <c r="H31973" i="16"/>
  <c r="H31974" i="16"/>
  <c r="H31975" i="16"/>
  <c r="H31976" i="16"/>
  <c r="H31977" i="16"/>
  <c r="H31978" i="16"/>
  <c r="H31979" i="16"/>
  <c r="H31980" i="16"/>
  <c r="H31981" i="16"/>
  <c r="H31982" i="16"/>
  <c r="H31983" i="16"/>
  <c r="H31984" i="16"/>
  <c r="H31985" i="16"/>
  <c r="H31986" i="16"/>
  <c r="H31987" i="16"/>
  <c r="H31988" i="16"/>
  <c r="H31989" i="16"/>
  <c r="H31990" i="16"/>
  <c r="H31991" i="16"/>
  <c r="H31992" i="16"/>
  <c r="H31993" i="16"/>
  <c r="H31994" i="16"/>
  <c r="H31995" i="16"/>
  <c r="H31996" i="16"/>
  <c r="H31997" i="16"/>
  <c r="H31998" i="16"/>
  <c r="H31999" i="16"/>
  <c r="H32000" i="16"/>
  <c r="H32001" i="16"/>
  <c r="H32002" i="16"/>
  <c r="H32003" i="16"/>
  <c r="H32004" i="16"/>
  <c r="H32005" i="16"/>
  <c r="H32006" i="16"/>
  <c r="H32007" i="16"/>
  <c r="H32008" i="16"/>
  <c r="H32009" i="16"/>
  <c r="H32010" i="16"/>
  <c r="H32011" i="16"/>
  <c r="H32012" i="16"/>
  <c r="H32013" i="16"/>
  <c r="H32014" i="16"/>
  <c r="H32015" i="16"/>
  <c r="H32016" i="16"/>
  <c r="H32017" i="16"/>
  <c r="H32018" i="16"/>
  <c r="H32019" i="16"/>
  <c r="H32020" i="16"/>
  <c r="H32021" i="16"/>
  <c r="H32022" i="16"/>
  <c r="H32023" i="16"/>
  <c r="H32024" i="16"/>
  <c r="H32025" i="16"/>
  <c r="H32026" i="16"/>
  <c r="H32027" i="16"/>
  <c r="H32028" i="16"/>
  <c r="H32029" i="16"/>
  <c r="H32030" i="16"/>
  <c r="H32031" i="16"/>
  <c r="H32032" i="16"/>
  <c r="H32033" i="16"/>
  <c r="H32034" i="16"/>
  <c r="H32035" i="16"/>
  <c r="H32036" i="16"/>
  <c r="H32037" i="16"/>
  <c r="H32038" i="16"/>
  <c r="H32039" i="16"/>
  <c r="H32040" i="16"/>
  <c r="H32041" i="16"/>
  <c r="H32042" i="16"/>
  <c r="H32043" i="16"/>
  <c r="H32044" i="16"/>
  <c r="H32045" i="16"/>
  <c r="H32046" i="16"/>
  <c r="H32047" i="16"/>
  <c r="H32048" i="16"/>
  <c r="H32049" i="16"/>
  <c r="H32050" i="16"/>
  <c r="H32051" i="16"/>
  <c r="H32052" i="16"/>
  <c r="H32053" i="16"/>
  <c r="H32054" i="16"/>
  <c r="H32055" i="16"/>
  <c r="H32056" i="16"/>
  <c r="H32057" i="16"/>
  <c r="H32058" i="16"/>
  <c r="H32059" i="16"/>
  <c r="H32060" i="16"/>
  <c r="H32061" i="16"/>
  <c r="H32062" i="16"/>
  <c r="H32063" i="16"/>
  <c r="H32064" i="16"/>
  <c r="H32065" i="16"/>
  <c r="H32066" i="16"/>
  <c r="H32067" i="16"/>
  <c r="H32068" i="16"/>
  <c r="H32069" i="16"/>
  <c r="H32070" i="16"/>
  <c r="H32071" i="16"/>
  <c r="H32072" i="16"/>
  <c r="H32073" i="16"/>
  <c r="H32074" i="16"/>
  <c r="H32075" i="16"/>
  <c r="H32076" i="16"/>
  <c r="H32077" i="16"/>
  <c r="H32078" i="16"/>
  <c r="H32079" i="16"/>
  <c r="H32080" i="16"/>
  <c r="H32081" i="16"/>
  <c r="H32082" i="16"/>
  <c r="H32083" i="16"/>
  <c r="H32084" i="16"/>
  <c r="H32085" i="16"/>
  <c r="H32086" i="16"/>
  <c r="H32087" i="16"/>
  <c r="H32088" i="16"/>
  <c r="H32089" i="16"/>
  <c r="H32090" i="16"/>
  <c r="H32091" i="16"/>
  <c r="H32092" i="16"/>
  <c r="H32093" i="16"/>
  <c r="H32094" i="16"/>
  <c r="H32095" i="16"/>
  <c r="H32096" i="16"/>
  <c r="H32097" i="16"/>
  <c r="H32098" i="16"/>
  <c r="H32099" i="16"/>
  <c r="H32100" i="16"/>
  <c r="H32101" i="16"/>
  <c r="H32102" i="16"/>
  <c r="H32103" i="16"/>
  <c r="H32104" i="16"/>
  <c r="H32105" i="16"/>
  <c r="H32106" i="16"/>
  <c r="H32107" i="16"/>
  <c r="H32108" i="16"/>
  <c r="H32109" i="16"/>
  <c r="H32110" i="16"/>
  <c r="H32111" i="16"/>
  <c r="H32112" i="16"/>
  <c r="H32113" i="16"/>
  <c r="H32114" i="16"/>
  <c r="H32115" i="16"/>
  <c r="H32116" i="16"/>
  <c r="H32117" i="16"/>
  <c r="H32118" i="16"/>
  <c r="H32119" i="16"/>
  <c r="H32120" i="16"/>
  <c r="H32121" i="16"/>
  <c r="H32122" i="16"/>
  <c r="H32123" i="16"/>
  <c r="H32124" i="16"/>
  <c r="H32125" i="16"/>
  <c r="H32126" i="16"/>
  <c r="H32127" i="16"/>
  <c r="H32128" i="16"/>
  <c r="H32129" i="16"/>
  <c r="H32130" i="16"/>
  <c r="H32131" i="16"/>
  <c r="H32132" i="16"/>
  <c r="H32133" i="16"/>
  <c r="H32134" i="16"/>
  <c r="H32135" i="16"/>
  <c r="H32136" i="16"/>
  <c r="H32137" i="16"/>
  <c r="H32138" i="16"/>
  <c r="H32139" i="16"/>
  <c r="H32140" i="16"/>
  <c r="H32141" i="16"/>
  <c r="H32142" i="16"/>
  <c r="H32143" i="16"/>
  <c r="H32144" i="16"/>
  <c r="H32145" i="16"/>
  <c r="H32146" i="16"/>
  <c r="H32147" i="16"/>
  <c r="H32148" i="16"/>
  <c r="H32149" i="16"/>
  <c r="H32150" i="16"/>
  <c r="H32151" i="16"/>
  <c r="H32152" i="16"/>
  <c r="H32153" i="16"/>
  <c r="H32154" i="16"/>
  <c r="H32155" i="16"/>
  <c r="H32156" i="16"/>
  <c r="H32157" i="16"/>
  <c r="H32158" i="16"/>
  <c r="H32159" i="16"/>
  <c r="H32160" i="16"/>
  <c r="H32161" i="16"/>
  <c r="H32162" i="16"/>
  <c r="H32163" i="16"/>
  <c r="H32164" i="16"/>
  <c r="H32165" i="16"/>
  <c r="H32166" i="16"/>
  <c r="H32167" i="16"/>
  <c r="H32168" i="16"/>
  <c r="H32169" i="16"/>
  <c r="H32170" i="16"/>
  <c r="H32171" i="16"/>
  <c r="H32172" i="16"/>
  <c r="H32173" i="16"/>
  <c r="H32174" i="16"/>
  <c r="H32175" i="16"/>
  <c r="H32176" i="16"/>
  <c r="H32177" i="16"/>
  <c r="H32178" i="16"/>
  <c r="H32179" i="16"/>
  <c r="H32180" i="16"/>
  <c r="H32181" i="16"/>
  <c r="H32182" i="16"/>
  <c r="H32183" i="16"/>
  <c r="H32184" i="16"/>
  <c r="H32185" i="16"/>
  <c r="H32186" i="16"/>
  <c r="H32187" i="16"/>
  <c r="H32188" i="16"/>
  <c r="H32189" i="16"/>
  <c r="H32190" i="16"/>
  <c r="H32191" i="16"/>
  <c r="H32192" i="16"/>
  <c r="H32193" i="16"/>
  <c r="H32194" i="16"/>
  <c r="H32195" i="16"/>
  <c r="H32196" i="16"/>
  <c r="H32197" i="16"/>
  <c r="H32198" i="16"/>
  <c r="H32199" i="16"/>
  <c r="H32200" i="16"/>
  <c r="H32201" i="16"/>
  <c r="H32202" i="16"/>
  <c r="H32203" i="16"/>
  <c r="H32204" i="16"/>
  <c r="H32205" i="16"/>
  <c r="H32206" i="16"/>
  <c r="H32207" i="16"/>
  <c r="H32208" i="16"/>
  <c r="H32209" i="16"/>
  <c r="H32210" i="16"/>
  <c r="H32211" i="16"/>
  <c r="H32212" i="16"/>
  <c r="H32213" i="16"/>
  <c r="H32214" i="16"/>
  <c r="H32215" i="16"/>
  <c r="H32216" i="16"/>
  <c r="H32217" i="16"/>
  <c r="H32218" i="16"/>
  <c r="H32219" i="16"/>
  <c r="H32220" i="16"/>
  <c r="H32221" i="16"/>
  <c r="H32222" i="16"/>
  <c r="H32223" i="16"/>
  <c r="H32224" i="16"/>
  <c r="H32225" i="16"/>
  <c r="H32226" i="16"/>
  <c r="H32227" i="16"/>
  <c r="H32228" i="16"/>
  <c r="H32229" i="16"/>
  <c r="H32230" i="16"/>
  <c r="H32231" i="16"/>
  <c r="H32232" i="16"/>
  <c r="H32233" i="16"/>
  <c r="H32234" i="16"/>
  <c r="H32235" i="16"/>
  <c r="H32236" i="16"/>
  <c r="H32237" i="16"/>
  <c r="H32238" i="16"/>
  <c r="H32239" i="16"/>
  <c r="H32240" i="16"/>
  <c r="H32241" i="16"/>
  <c r="H32242" i="16"/>
  <c r="H32243" i="16"/>
  <c r="H32244" i="16"/>
  <c r="H32245" i="16"/>
  <c r="H32246" i="16"/>
  <c r="H32247" i="16"/>
  <c r="H32248" i="16"/>
  <c r="H32249" i="16"/>
  <c r="H32250" i="16"/>
  <c r="H32251" i="16"/>
  <c r="H32252" i="16"/>
  <c r="H32253" i="16"/>
  <c r="H32254" i="16"/>
  <c r="H32255" i="16"/>
  <c r="H32256" i="16"/>
  <c r="H32257" i="16"/>
  <c r="H32258" i="16"/>
  <c r="H32259" i="16"/>
  <c r="H32260" i="16"/>
  <c r="H32261" i="16"/>
  <c r="H32262" i="16"/>
  <c r="H32263" i="16"/>
  <c r="H32264" i="16"/>
  <c r="H32265" i="16"/>
  <c r="H32266" i="16"/>
  <c r="H32267" i="16"/>
  <c r="H32268" i="16"/>
  <c r="H32269" i="16"/>
  <c r="H32270" i="16"/>
  <c r="H32271" i="16"/>
  <c r="H32272" i="16"/>
  <c r="H32273" i="16"/>
  <c r="H32274" i="16"/>
  <c r="H32275" i="16"/>
  <c r="H32276" i="16"/>
  <c r="H32277" i="16"/>
  <c r="H32278" i="16"/>
  <c r="H32279" i="16"/>
  <c r="H32280" i="16"/>
  <c r="H32281" i="16"/>
  <c r="H32282" i="16"/>
  <c r="H32283" i="16"/>
  <c r="H32284" i="16"/>
  <c r="H32285" i="16"/>
  <c r="H32286" i="16"/>
  <c r="H32287" i="16"/>
  <c r="H32288" i="16"/>
  <c r="H32289" i="16"/>
  <c r="H32290" i="16"/>
  <c r="H32291" i="16"/>
  <c r="H32292" i="16"/>
  <c r="H32293" i="16"/>
  <c r="H32294" i="16"/>
  <c r="H32295" i="16"/>
  <c r="H32296" i="16"/>
  <c r="H32297" i="16"/>
  <c r="H32298" i="16"/>
  <c r="H32299" i="16"/>
  <c r="H32300" i="16"/>
  <c r="H32301" i="16"/>
  <c r="H32302" i="16"/>
  <c r="H32303" i="16"/>
  <c r="H32304" i="16"/>
  <c r="H32305" i="16"/>
  <c r="H32306" i="16"/>
  <c r="H32307" i="16"/>
  <c r="H32308" i="16"/>
  <c r="H32309" i="16"/>
  <c r="H32310" i="16"/>
  <c r="H32311" i="16"/>
  <c r="H32312" i="16"/>
  <c r="H32313" i="16"/>
  <c r="H32314" i="16"/>
  <c r="H32315" i="16"/>
  <c r="H32316" i="16"/>
  <c r="H32317" i="16"/>
  <c r="H32318" i="16"/>
  <c r="H32319" i="16"/>
  <c r="H32320" i="16"/>
  <c r="H32321" i="16"/>
  <c r="H32322" i="16"/>
  <c r="H32323" i="16"/>
  <c r="H32324" i="16"/>
  <c r="H32325" i="16"/>
  <c r="H32326" i="16"/>
  <c r="H32327" i="16"/>
  <c r="H32328" i="16"/>
  <c r="H32329" i="16"/>
  <c r="H32330" i="16"/>
  <c r="H32331" i="16"/>
  <c r="H32332" i="16"/>
  <c r="H32333" i="16"/>
  <c r="H32334" i="16"/>
  <c r="H32335" i="16"/>
  <c r="H32336" i="16"/>
  <c r="H32337" i="16"/>
  <c r="H32338" i="16"/>
  <c r="H32339" i="16"/>
  <c r="H32340" i="16"/>
  <c r="H32341" i="16"/>
  <c r="H32342" i="16"/>
  <c r="H32343" i="16"/>
  <c r="H32344" i="16"/>
  <c r="H32345" i="16"/>
  <c r="H32346" i="16"/>
  <c r="H32347" i="16"/>
  <c r="H32348" i="16"/>
  <c r="H32349" i="16"/>
  <c r="H32350" i="16"/>
  <c r="H32351" i="16"/>
  <c r="H32352" i="16"/>
  <c r="H32353" i="16"/>
  <c r="H32354" i="16"/>
  <c r="H32355" i="16"/>
  <c r="H32356" i="16"/>
  <c r="H32357" i="16"/>
  <c r="H32358" i="16"/>
  <c r="H32359" i="16"/>
  <c r="H32360" i="16"/>
  <c r="H32361" i="16"/>
  <c r="H32362" i="16"/>
  <c r="H32363" i="16"/>
  <c r="H32364" i="16"/>
  <c r="H32365" i="16"/>
  <c r="H32366" i="16"/>
  <c r="H32367" i="16"/>
  <c r="H32368" i="16"/>
  <c r="H32369" i="16"/>
  <c r="H32370" i="16"/>
  <c r="H32371" i="16"/>
  <c r="H32372" i="16"/>
  <c r="H32373" i="16"/>
  <c r="H32374" i="16"/>
  <c r="H32375" i="16"/>
  <c r="H32376" i="16"/>
  <c r="H32377" i="16"/>
  <c r="H32378" i="16"/>
  <c r="H32379" i="16"/>
  <c r="H32380" i="16"/>
  <c r="H32381" i="16"/>
  <c r="H32382" i="16"/>
  <c r="H32383" i="16"/>
  <c r="H32384" i="16"/>
  <c r="H32385" i="16"/>
  <c r="H32386" i="16"/>
  <c r="H32387" i="16"/>
  <c r="H32388" i="16"/>
  <c r="H32389" i="16"/>
  <c r="H32390" i="16"/>
  <c r="H32391" i="16"/>
  <c r="H32392" i="16"/>
  <c r="H32393" i="16"/>
  <c r="H32394" i="16"/>
  <c r="H32395" i="16"/>
  <c r="H32396" i="16"/>
  <c r="H32397" i="16"/>
  <c r="H32398" i="16"/>
  <c r="H32399" i="16"/>
  <c r="H32400" i="16"/>
  <c r="H32401" i="16"/>
  <c r="H32402" i="16"/>
  <c r="H32403" i="16"/>
  <c r="H32404" i="16"/>
  <c r="H32405" i="16"/>
  <c r="H32406" i="16"/>
  <c r="H32407" i="16"/>
  <c r="H32408" i="16"/>
  <c r="H32409" i="16"/>
  <c r="H32410" i="16"/>
  <c r="H32411" i="16"/>
  <c r="H32412" i="16"/>
  <c r="H32413" i="16"/>
  <c r="H32414" i="16"/>
  <c r="H32415" i="16"/>
  <c r="H32416" i="16"/>
  <c r="H32417" i="16"/>
  <c r="H32418" i="16"/>
  <c r="H32419" i="16"/>
  <c r="H32420" i="16"/>
  <c r="H32421" i="16"/>
  <c r="H32422" i="16"/>
  <c r="H32423" i="16"/>
  <c r="H32424" i="16"/>
  <c r="H32425" i="16"/>
  <c r="H32426" i="16"/>
  <c r="H32427" i="16"/>
  <c r="H32428" i="16"/>
  <c r="H32429" i="16"/>
  <c r="H32430" i="16"/>
  <c r="H32431" i="16"/>
  <c r="H32432" i="16"/>
  <c r="H32433" i="16"/>
  <c r="H32434" i="16"/>
  <c r="H32435" i="16"/>
  <c r="H32436" i="16"/>
  <c r="H32437" i="16"/>
  <c r="H32438" i="16"/>
  <c r="H32439" i="16"/>
  <c r="H32440" i="16"/>
  <c r="H32441" i="16"/>
  <c r="H32442" i="16"/>
  <c r="H32443" i="16"/>
  <c r="H32444" i="16"/>
  <c r="H32445" i="16"/>
  <c r="H32446" i="16"/>
  <c r="H32447" i="16"/>
  <c r="H32448" i="16"/>
  <c r="H32449" i="16"/>
  <c r="H32450" i="16"/>
  <c r="H32451" i="16"/>
  <c r="H32452" i="16"/>
  <c r="H32453" i="16"/>
  <c r="H32454" i="16"/>
  <c r="H32455" i="16"/>
  <c r="H32456" i="16"/>
  <c r="H32457" i="16"/>
  <c r="H32458" i="16"/>
  <c r="H32459" i="16"/>
  <c r="H32460" i="16"/>
  <c r="H32461" i="16"/>
  <c r="H32462" i="16"/>
  <c r="H32463" i="16"/>
  <c r="H32464" i="16"/>
  <c r="H32465" i="16"/>
  <c r="H32466" i="16"/>
  <c r="H32467" i="16"/>
  <c r="H32468" i="16"/>
  <c r="H32469" i="16"/>
  <c r="H32470" i="16"/>
  <c r="H32471" i="16"/>
  <c r="H32472" i="16"/>
  <c r="H32473" i="16"/>
  <c r="H32474" i="16"/>
  <c r="H32475" i="16"/>
  <c r="H32476" i="16"/>
  <c r="H32477" i="16"/>
  <c r="H32478" i="16"/>
  <c r="H32479" i="16"/>
  <c r="H32480" i="16"/>
  <c r="H32481" i="16"/>
  <c r="H32482" i="16"/>
  <c r="H32483" i="16"/>
  <c r="H32484" i="16"/>
  <c r="H32485" i="16"/>
  <c r="H32486" i="16"/>
  <c r="H32487" i="16"/>
  <c r="H32488" i="16"/>
  <c r="H32489" i="16"/>
  <c r="H32490" i="16"/>
  <c r="H32491" i="16"/>
  <c r="H32492" i="16"/>
  <c r="H32493" i="16"/>
  <c r="H32494" i="16"/>
  <c r="H32495" i="16"/>
  <c r="H32496" i="16"/>
  <c r="H32497" i="16"/>
  <c r="H32498" i="16"/>
  <c r="H32499" i="16"/>
  <c r="H32500" i="16"/>
  <c r="H32501" i="16"/>
  <c r="H32502" i="16"/>
  <c r="H32503" i="16"/>
  <c r="H32504" i="16"/>
  <c r="H32505" i="16"/>
  <c r="H32506" i="16"/>
  <c r="H32507" i="16"/>
  <c r="H32508" i="16"/>
  <c r="H32509" i="16"/>
  <c r="H32510" i="16"/>
  <c r="H32511" i="16"/>
  <c r="H32512" i="16"/>
  <c r="H32513" i="16"/>
  <c r="H32514" i="16"/>
  <c r="H32515" i="16"/>
  <c r="H32516" i="16"/>
  <c r="H32517" i="16"/>
  <c r="H32518" i="16"/>
  <c r="H32519" i="16"/>
  <c r="H32520" i="16"/>
  <c r="H32521" i="16"/>
  <c r="H32522" i="16"/>
  <c r="H32523" i="16"/>
  <c r="H32524" i="16"/>
  <c r="H32525" i="16"/>
  <c r="H32526" i="16"/>
  <c r="H32527" i="16"/>
  <c r="H32528" i="16"/>
  <c r="H32529" i="16"/>
  <c r="H32530" i="16"/>
  <c r="H32531" i="16"/>
  <c r="H32532" i="16"/>
  <c r="H32533" i="16"/>
  <c r="H32534" i="16"/>
  <c r="H32535" i="16"/>
  <c r="H32536" i="16"/>
  <c r="H32537" i="16"/>
  <c r="H32538" i="16"/>
  <c r="H32539" i="16"/>
  <c r="H32540" i="16"/>
  <c r="H32541" i="16"/>
  <c r="H32542" i="16"/>
  <c r="H32543" i="16"/>
  <c r="H32544" i="16"/>
  <c r="H32545" i="16"/>
  <c r="H32546" i="16"/>
  <c r="H32547" i="16"/>
  <c r="H32548" i="16"/>
  <c r="H32549" i="16"/>
  <c r="H32550" i="16"/>
  <c r="H32551" i="16"/>
  <c r="H32552" i="16"/>
  <c r="H32553" i="16"/>
  <c r="H32554" i="16"/>
  <c r="H32555" i="16"/>
  <c r="H32556" i="16"/>
  <c r="H32557" i="16"/>
  <c r="H32558" i="16"/>
  <c r="H32559" i="16"/>
  <c r="H32560" i="16"/>
  <c r="H32561" i="16"/>
  <c r="H32562" i="16"/>
  <c r="H32563" i="16"/>
  <c r="H32564" i="16"/>
  <c r="H32565" i="16"/>
  <c r="H32566" i="16"/>
  <c r="H32567" i="16"/>
  <c r="H32568" i="16"/>
  <c r="H32569" i="16"/>
  <c r="H32570" i="16"/>
  <c r="H32571" i="16"/>
  <c r="H32572" i="16"/>
  <c r="H32573" i="16"/>
  <c r="H32574" i="16"/>
  <c r="H32575" i="16"/>
  <c r="H32576" i="16"/>
  <c r="H32577" i="16"/>
  <c r="H32578" i="16"/>
  <c r="H32579" i="16"/>
  <c r="H32580" i="16"/>
  <c r="H32581" i="16"/>
  <c r="H32582" i="16"/>
  <c r="H32583" i="16"/>
  <c r="H32584" i="16"/>
  <c r="H32585" i="16"/>
  <c r="H32586" i="16"/>
  <c r="H32587" i="16"/>
  <c r="H32588" i="16"/>
  <c r="H32589" i="16"/>
  <c r="H32590" i="16"/>
  <c r="H32591" i="16"/>
  <c r="H32592" i="16"/>
  <c r="H32593" i="16"/>
  <c r="H32594" i="16"/>
  <c r="H32595" i="16"/>
  <c r="H32596" i="16"/>
  <c r="H32597" i="16"/>
  <c r="H32598" i="16"/>
  <c r="H32599" i="16"/>
  <c r="H32600" i="16"/>
  <c r="H32601" i="16"/>
  <c r="H32602" i="16"/>
  <c r="H32603" i="16"/>
  <c r="H32604" i="16"/>
  <c r="H32605" i="16"/>
  <c r="H32606" i="16"/>
  <c r="H32607" i="16"/>
  <c r="H32608" i="16"/>
  <c r="H32609" i="16"/>
  <c r="H32610" i="16"/>
  <c r="H32611" i="16"/>
  <c r="H32612" i="16"/>
  <c r="H32613" i="16"/>
  <c r="H32614" i="16"/>
  <c r="H32615" i="16"/>
  <c r="H32616" i="16"/>
  <c r="H32617" i="16"/>
  <c r="H32618" i="16"/>
  <c r="H32619" i="16"/>
  <c r="H32620" i="16"/>
  <c r="H32621" i="16"/>
  <c r="H32622" i="16"/>
  <c r="H32623" i="16"/>
  <c r="H32624" i="16"/>
  <c r="H32625" i="16"/>
  <c r="H32626" i="16"/>
  <c r="H32627" i="16"/>
  <c r="H32628" i="16"/>
  <c r="H32629" i="16"/>
  <c r="H32630" i="16"/>
  <c r="H32631" i="16"/>
  <c r="H32632" i="16"/>
  <c r="H32633" i="16"/>
  <c r="H32634" i="16"/>
  <c r="H32635" i="16"/>
  <c r="H32636" i="16"/>
  <c r="H32637" i="16"/>
  <c r="H32638" i="16"/>
  <c r="H32639" i="16"/>
  <c r="H32640" i="16"/>
  <c r="H32641" i="16"/>
  <c r="H32642" i="16"/>
  <c r="H32643" i="16"/>
  <c r="H32644" i="16"/>
  <c r="H32645" i="16"/>
  <c r="H32646" i="16"/>
  <c r="H32647" i="16"/>
  <c r="H32648" i="16"/>
  <c r="H32649" i="16"/>
  <c r="H32650" i="16"/>
  <c r="H32651" i="16"/>
  <c r="H32652" i="16"/>
  <c r="H32653" i="16"/>
  <c r="H32654" i="16"/>
  <c r="H32655" i="16"/>
  <c r="H32656" i="16"/>
  <c r="H32657" i="16"/>
  <c r="H32658" i="16"/>
  <c r="H32659" i="16"/>
  <c r="H32660" i="16"/>
  <c r="H32661" i="16"/>
  <c r="H32662" i="16"/>
  <c r="H32663" i="16"/>
  <c r="H32664" i="16"/>
  <c r="H32665" i="16"/>
  <c r="H32666" i="16"/>
  <c r="H32667" i="16"/>
  <c r="H32668" i="16"/>
  <c r="H32669" i="16"/>
  <c r="H32670" i="16"/>
  <c r="H32671" i="16"/>
  <c r="H32672" i="16"/>
  <c r="H32673" i="16"/>
  <c r="H32674" i="16"/>
  <c r="H32675" i="16"/>
  <c r="H32676" i="16"/>
  <c r="H32677" i="16"/>
  <c r="H32678" i="16"/>
  <c r="H32679" i="16"/>
  <c r="H32680" i="16"/>
  <c r="H32681" i="16"/>
  <c r="H32682" i="16"/>
  <c r="H32683" i="16"/>
  <c r="H32684" i="16"/>
  <c r="H32685" i="16"/>
  <c r="H32686" i="16"/>
  <c r="H32687" i="16"/>
  <c r="H32688" i="16"/>
  <c r="H32689" i="16"/>
  <c r="H32690" i="16"/>
  <c r="H32691" i="16"/>
  <c r="H32692" i="16"/>
  <c r="H32693" i="16"/>
  <c r="H32694" i="16"/>
  <c r="H32695" i="16"/>
  <c r="H32696" i="16"/>
  <c r="H32697" i="16"/>
  <c r="H32698" i="16"/>
  <c r="H32699" i="16"/>
  <c r="H32700" i="16"/>
  <c r="H32701" i="16"/>
  <c r="H32702" i="16"/>
  <c r="H32703" i="16"/>
  <c r="H32704" i="16"/>
  <c r="H32705" i="16"/>
  <c r="H32706" i="16"/>
  <c r="H32707" i="16"/>
  <c r="H32708" i="16"/>
  <c r="H32709" i="16"/>
  <c r="H32710" i="16"/>
  <c r="H32711" i="16"/>
  <c r="H32712" i="16"/>
  <c r="H32713" i="16"/>
  <c r="H32714" i="16"/>
  <c r="H32715" i="16"/>
  <c r="H32716" i="16"/>
  <c r="H32717" i="16"/>
  <c r="H32718" i="16"/>
  <c r="H32719" i="16"/>
  <c r="H32720" i="16"/>
  <c r="H32721" i="16"/>
  <c r="H32722" i="16"/>
  <c r="H32723" i="16"/>
  <c r="H32724" i="16"/>
  <c r="H32725" i="16"/>
  <c r="H32726" i="16"/>
  <c r="H32727" i="16"/>
  <c r="H32728" i="16"/>
  <c r="H32729" i="16"/>
  <c r="H32730" i="16"/>
  <c r="H32731" i="16"/>
  <c r="H32732" i="16"/>
  <c r="H32733" i="16"/>
  <c r="H32734" i="16"/>
  <c r="H32735" i="16"/>
  <c r="H32736" i="16"/>
  <c r="H32737" i="16"/>
  <c r="H32738" i="16"/>
  <c r="H32739" i="16"/>
  <c r="H32740" i="16"/>
  <c r="H32741" i="16"/>
  <c r="H32742" i="16"/>
  <c r="H32743" i="16"/>
  <c r="H32744" i="16"/>
  <c r="H32745" i="16"/>
  <c r="H32746" i="16"/>
  <c r="H32747" i="16"/>
  <c r="H32748" i="16"/>
  <c r="H32749" i="16"/>
  <c r="H32750" i="16"/>
  <c r="H32751" i="16"/>
  <c r="H32752" i="16"/>
  <c r="H32753" i="16"/>
  <c r="H32754" i="16"/>
  <c r="H32755" i="16"/>
  <c r="H32756" i="16"/>
  <c r="H32757" i="16"/>
  <c r="H32758" i="16"/>
  <c r="H32759" i="16"/>
  <c r="H32760" i="16"/>
  <c r="H32761" i="16"/>
  <c r="H32762" i="16"/>
  <c r="H32763" i="16"/>
  <c r="H32764" i="16"/>
  <c r="H32765" i="16"/>
  <c r="H32766" i="16"/>
  <c r="H32767" i="16"/>
  <c r="H32768" i="16"/>
  <c r="H32769" i="16"/>
  <c r="H32770" i="16"/>
  <c r="H32771" i="16"/>
  <c r="H32772" i="16"/>
  <c r="H32773" i="16"/>
  <c r="H32774" i="16"/>
  <c r="H32775" i="16"/>
  <c r="H32776" i="16"/>
  <c r="H32777" i="16"/>
  <c r="H32778" i="16"/>
  <c r="H32779" i="16"/>
  <c r="H32780" i="16"/>
  <c r="H32781" i="16"/>
  <c r="H32782" i="16"/>
  <c r="H32783" i="16"/>
  <c r="H32784" i="16"/>
  <c r="H32785" i="16"/>
  <c r="H32786" i="16"/>
  <c r="H32787" i="16"/>
  <c r="H32788" i="16"/>
  <c r="H32789" i="16"/>
  <c r="H32790" i="16"/>
  <c r="H32791" i="16"/>
  <c r="H32792" i="16"/>
  <c r="H32793" i="16"/>
  <c r="H32794" i="16"/>
  <c r="H32795" i="16"/>
  <c r="H32796" i="16"/>
  <c r="H32797" i="16"/>
  <c r="H32798" i="16"/>
  <c r="H32799" i="16"/>
  <c r="H32800" i="16"/>
  <c r="H32801" i="16"/>
  <c r="H32802" i="16"/>
  <c r="H32803" i="16"/>
  <c r="H32804" i="16"/>
  <c r="H32805" i="16"/>
  <c r="H32806" i="16"/>
  <c r="H32807" i="16"/>
  <c r="H32808" i="16"/>
  <c r="H32809" i="16"/>
  <c r="H32810" i="16"/>
  <c r="H32811" i="16"/>
  <c r="H32812" i="16"/>
  <c r="H32813" i="16"/>
  <c r="H32814" i="16"/>
  <c r="H32815" i="16"/>
  <c r="H32816" i="16"/>
  <c r="H32817" i="16"/>
  <c r="H32818" i="16"/>
  <c r="H32819" i="16"/>
  <c r="H32820" i="16"/>
  <c r="H32821" i="16"/>
  <c r="H32822" i="16"/>
  <c r="H32823" i="16"/>
  <c r="H32824" i="16"/>
  <c r="H32825" i="16"/>
  <c r="H32826" i="16"/>
  <c r="H32827" i="16"/>
  <c r="H32828" i="16"/>
  <c r="H32829" i="16"/>
  <c r="H32830" i="16"/>
  <c r="H32831" i="16"/>
  <c r="H32832" i="16"/>
  <c r="H32833" i="16"/>
  <c r="H32834" i="16"/>
  <c r="H32835" i="16"/>
  <c r="H32836" i="16"/>
  <c r="H32837" i="16"/>
  <c r="H32838" i="16"/>
  <c r="H32839" i="16"/>
  <c r="H32840" i="16"/>
  <c r="H32841" i="16"/>
  <c r="H32842" i="16"/>
  <c r="H32843" i="16"/>
  <c r="H32844" i="16"/>
  <c r="H32845" i="16"/>
  <c r="H32846" i="16"/>
  <c r="H32847" i="16"/>
  <c r="H32848" i="16"/>
  <c r="H32849" i="16"/>
  <c r="H32850" i="16"/>
  <c r="H32851" i="16"/>
  <c r="H32852" i="16"/>
  <c r="H32853" i="16"/>
  <c r="H32854" i="16"/>
  <c r="H32855" i="16"/>
  <c r="H32856" i="16"/>
  <c r="H32857" i="16"/>
  <c r="H32858" i="16"/>
  <c r="H32859" i="16"/>
  <c r="H32860" i="16"/>
  <c r="H32861" i="16"/>
  <c r="H32862" i="16"/>
  <c r="H32863" i="16"/>
  <c r="H32864" i="16"/>
  <c r="H32865" i="16"/>
  <c r="H32866" i="16"/>
  <c r="H32867" i="16"/>
  <c r="H32868" i="16"/>
  <c r="H32869" i="16"/>
  <c r="H32870" i="16"/>
  <c r="H32871" i="16"/>
  <c r="H32872" i="16"/>
  <c r="H32873" i="16"/>
  <c r="H32874" i="16"/>
  <c r="H32875" i="16"/>
  <c r="H32876" i="16"/>
  <c r="H32877" i="16"/>
  <c r="H32878" i="16"/>
  <c r="H32879" i="16"/>
  <c r="H32880" i="16"/>
  <c r="H32881" i="16"/>
  <c r="H32882" i="16"/>
  <c r="H32883" i="16"/>
  <c r="H32884" i="16"/>
  <c r="H32885" i="16"/>
  <c r="H32886" i="16"/>
  <c r="H32887" i="16"/>
  <c r="H32888" i="16"/>
  <c r="H32889" i="16"/>
  <c r="H32890" i="16"/>
  <c r="H32891" i="16"/>
  <c r="H32892" i="16"/>
  <c r="H32893" i="16"/>
  <c r="H32894" i="16"/>
  <c r="H32895" i="16"/>
  <c r="H32896" i="16"/>
  <c r="H32897" i="16"/>
  <c r="H32898" i="16"/>
  <c r="H32899" i="16"/>
  <c r="H32900" i="16"/>
  <c r="H32901" i="16"/>
  <c r="H32902" i="16"/>
  <c r="H32903" i="16"/>
  <c r="H32904" i="16"/>
  <c r="H32905" i="16"/>
  <c r="H32906" i="16"/>
  <c r="H32907" i="16"/>
  <c r="H32908" i="16"/>
  <c r="H32909" i="16"/>
  <c r="H32910" i="16"/>
  <c r="H32911" i="16"/>
  <c r="H32912" i="16"/>
  <c r="H32913" i="16"/>
  <c r="H32914" i="16"/>
  <c r="H32915" i="16"/>
  <c r="H32916" i="16"/>
  <c r="H32917" i="16"/>
  <c r="H32918" i="16"/>
  <c r="H32919" i="16"/>
  <c r="H32920" i="16"/>
  <c r="H32921" i="16"/>
  <c r="H32922" i="16"/>
  <c r="H32923" i="16"/>
  <c r="H32924" i="16"/>
  <c r="H32925" i="16"/>
  <c r="H32926" i="16"/>
  <c r="H32927" i="16"/>
  <c r="H32928" i="16"/>
  <c r="H32929" i="16"/>
  <c r="H32930" i="16"/>
  <c r="H32931" i="16"/>
  <c r="H32932" i="16"/>
  <c r="H32933" i="16"/>
  <c r="H32934" i="16"/>
  <c r="H32935" i="16"/>
  <c r="H32936" i="16"/>
  <c r="H32937" i="16"/>
  <c r="H32938" i="16"/>
  <c r="H32939" i="16"/>
  <c r="H32940" i="16"/>
  <c r="H32941" i="16"/>
  <c r="H32942" i="16"/>
  <c r="H32943" i="16"/>
  <c r="H32944" i="16"/>
  <c r="H32945" i="16"/>
  <c r="H32946" i="16"/>
  <c r="H32947" i="16"/>
  <c r="H32948" i="16"/>
  <c r="H32949" i="16"/>
  <c r="H32950" i="16"/>
  <c r="H32951" i="16"/>
  <c r="H32952" i="16"/>
  <c r="H32953" i="16"/>
  <c r="H32954" i="16"/>
  <c r="H32955" i="16"/>
  <c r="H32956" i="16"/>
  <c r="H32957" i="16"/>
  <c r="H32958" i="16"/>
  <c r="H32959" i="16"/>
  <c r="H32960" i="16"/>
  <c r="H32961" i="16"/>
  <c r="H32962" i="16"/>
  <c r="H32963" i="16"/>
  <c r="H32964" i="16"/>
  <c r="H32965" i="16"/>
  <c r="H32966" i="16"/>
  <c r="H32967" i="16"/>
  <c r="H32968" i="16"/>
  <c r="H32969" i="16"/>
  <c r="H32970" i="16"/>
  <c r="H32971" i="16"/>
  <c r="H32972" i="16"/>
  <c r="H32973" i="16"/>
  <c r="H32974" i="16"/>
  <c r="H32975" i="16"/>
  <c r="H32976" i="16"/>
  <c r="H32977" i="16"/>
  <c r="H32978" i="16"/>
  <c r="H32979" i="16"/>
  <c r="H32980" i="16"/>
  <c r="H32981" i="16"/>
  <c r="H32982" i="16"/>
  <c r="H32983" i="16"/>
  <c r="H32984" i="16"/>
  <c r="H32985" i="16"/>
  <c r="H32986" i="16"/>
  <c r="H32987" i="16"/>
  <c r="H32988" i="16"/>
  <c r="H32989" i="16"/>
  <c r="H32990" i="16"/>
  <c r="H32991" i="16"/>
  <c r="H32992" i="16"/>
  <c r="H32993" i="16"/>
  <c r="H32994" i="16"/>
  <c r="H32995" i="16"/>
  <c r="H32996" i="16"/>
  <c r="H32997" i="16"/>
  <c r="H32998" i="16"/>
  <c r="H32999" i="16"/>
  <c r="H33000" i="16"/>
  <c r="H33001" i="16"/>
  <c r="H33002" i="16"/>
  <c r="H33003" i="16"/>
  <c r="H33004" i="16"/>
  <c r="H33005" i="16"/>
  <c r="H33006" i="16"/>
  <c r="H33007" i="16"/>
  <c r="H33008" i="16"/>
  <c r="H33009" i="16"/>
  <c r="H33010" i="16"/>
  <c r="H33011" i="16"/>
  <c r="H33012" i="16"/>
  <c r="H33013" i="16"/>
  <c r="H33014" i="16"/>
  <c r="H33015" i="16"/>
  <c r="H33016" i="16"/>
  <c r="H33017" i="16"/>
  <c r="H33018" i="16"/>
  <c r="H33019" i="16"/>
  <c r="H33020" i="16"/>
  <c r="H33021" i="16"/>
  <c r="H33022" i="16"/>
  <c r="H33023" i="16"/>
  <c r="H33024" i="16"/>
  <c r="H33025" i="16"/>
  <c r="H33026" i="16"/>
  <c r="H33027" i="16"/>
  <c r="H33028" i="16"/>
  <c r="H33029" i="16"/>
  <c r="H33030" i="16"/>
  <c r="H33031" i="16"/>
  <c r="H33032" i="16"/>
  <c r="H33033" i="16"/>
  <c r="H33034" i="16"/>
  <c r="H33035" i="16"/>
  <c r="H33036" i="16"/>
  <c r="H33037" i="16"/>
  <c r="H33038" i="16"/>
  <c r="H33039" i="16"/>
  <c r="H33040" i="16"/>
  <c r="H33041" i="16"/>
  <c r="H33042" i="16"/>
  <c r="H33043" i="16"/>
  <c r="H33044" i="16"/>
  <c r="H33045" i="16"/>
  <c r="H33046" i="16"/>
  <c r="H33047" i="16"/>
  <c r="H33048" i="16"/>
  <c r="H33049" i="16"/>
  <c r="H33050" i="16"/>
  <c r="H33051" i="16"/>
  <c r="H33052" i="16"/>
  <c r="H33053" i="16"/>
  <c r="H33054" i="16"/>
  <c r="H33055" i="16"/>
  <c r="H33056" i="16"/>
  <c r="H33057" i="16"/>
  <c r="H33058" i="16"/>
  <c r="H33059" i="16"/>
  <c r="H33060" i="16"/>
  <c r="H33061" i="16"/>
  <c r="H33062" i="16"/>
  <c r="H33063" i="16"/>
  <c r="H33064" i="16"/>
  <c r="H33065" i="16"/>
  <c r="H33066" i="16"/>
  <c r="H33067" i="16"/>
  <c r="H33068" i="16"/>
  <c r="H33069" i="16"/>
  <c r="H33070" i="16"/>
  <c r="H33071" i="16"/>
  <c r="H33072" i="16"/>
  <c r="H33073" i="16"/>
  <c r="H33074" i="16"/>
  <c r="H33075" i="16"/>
  <c r="H33076" i="16"/>
  <c r="H33077" i="16"/>
  <c r="H33078" i="16"/>
  <c r="H33079" i="16"/>
  <c r="H33080" i="16"/>
  <c r="H33081" i="16"/>
  <c r="H33082" i="16"/>
  <c r="H33083" i="16"/>
  <c r="H33084" i="16"/>
  <c r="H33085" i="16"/>
  <c r="H33086" i="16"/>
  <c r="H33087" i="16"/>
  <c r="H33088" i="16"/>
  <c r="H33089" i="16"/>
  <c r="H33090" i="16"/>
  <c r="H33091" i="16"/>
  <c r="H33092" i="16"/>
  <c r="H33093" i="16"/>
  <c r="H33094" i="16"/>
  <c r="H33095" i="16"/>
  <c r="H33096" i="16"/>
  <c r="H33097" i="16"/>
  <c r="H33098" i="16"/>
  <c r="H33099" i="16"/>
  <c r="H33100" i="16"/>
  <c r="H33101" i="16"/>
  <c r="H33102" i="16"/>
  <c r="H33103" i="16"/>
  <c r="H33104" i="16"/>
  <c r="H33105" i="16"/>
  <c r="H33106" i="16"/>
  <c r="H33107" i="16"/>
  <c r="H33108" i="16"/>
  <c r="H33109" i="16"/>
  <c r="H33110" i="16"/>
  <c r="H33111" i="16"/>
  <c r="H33112" i="16"/>
  <c r="H33113" i="16"/>
  <c r="H33114" i="16"/>
  <c r="H33115" i="16"/>
  <c r="H33116" i="16"/>
  <c r="H33117" i="16"/>
  <c r="H33118" i="16"/>
  <c r="H33119" i="16"/>
  <c r="H33120" i="16"/>
  <c r="H33121" i="16"/>
  <c r="H33122" i="16"/>
  <c r="H33123" i="16"/>
  <c r="H33124" i="16"/>
  <c r="H33125" i="16"/>
  <c r="H33126" i="16"/>
  <c r="H33127" i="16"/>
  <c r="H33128" i="16"/>
  <c r="H33129" i="16"/>
  <c r="H33130" i="16"/>
  <c r="H33131" i="16"/>
  <c r="H33132" i="16"/>
  <c r="H33133" i="16"/>
  <c r="H33134" i="16"/>
  <c r="H33135" i="16"/>
  <c r="H33136" i="16"/>
  <c r="H33137" i="16"/>
  <c r="H33138" i="16"/>
  <c r="H33139" i="16"/>
  <c r="H33140" i="16"/>
  <c r="H33141" i="16"/>
  <c r="H33142" i="16"/>
  <c r="H33143" i="16"/>
  <c r="H33144" i="16"/>
  <c r="H33145" i="16"/>
  <c r="H33146" i="16"/>
  <c r="H33147" i="16"/>
  <c r="H33148" i="16"/>
  <c r="H33149" i="16"/>
  <c r="H33150" i="16"/>
  <c r="H33151" i="16"/>
  <c r="H33152" i="16"/>
  <c r="H33153" i="16"/>
  <c r="H33154" i="16"/>
  <c r="H33155" i="16"/>
  <c r="H33156" i="16"/>
  <c r="H33157" i="16"/>
  <c r="H33158" i="16"/>
  <c r="H33159" i="16"/>
  <c r="H33160" i="16"/>
  <c r="H33161" i="16"/>
  <c r="H33162" i="16"/>
  <c r="H33163" i="16"/>
  <c r="H33164" i="16"/>
  <c r="H33165" i="16"/>
  <c r="H33166" i="16"/>
  <c r="H33167" i="16"/>
  <c r="H33168" i="16"/>
  <c r="H33169" i="16"/>
  <c r="H33170" i="16"/>
  <c r="H33171" i="16"/>
  <c r="H33172" i="16"/>
  <c r="H33173" i="16"/>
  <c r="H33174" i="16"/>
  <c r="H33175" i="16"/>
  <c r="H33176" i="16"/>
  <c r="H33177" i="16"/>
  <c r="H33178" i="16"/>
  <c r="H33179" i="16"/>
  <c r="H33180" i="16"/>
  <c r="H33181" i="16"/>
  <c r="H33182" i="16"/>
  <c r="H33183" i="16"/>
  <c r="H33184" i="16"/>
  <c r="H33185" i="16"/>
  <c r="H33186" i="16"/>
  <c r="H33187" i="16"/>
  <c r="H33188" i="16"/>
  <c r="H33189" i="16"/>
  <c r="H33190" i="16"/>
  <c r="H33191" i="16"/>
  <c r="H33192" i="16"/>
  <c r="H33193" i="16"/>
  <c r="H33194" i="16"/>
  <c r="H33195" i="16"/>
  <c r="H33196" i="16"/>
  <c r="H33197" i="16"/>
  <c r="H33198" i="16"/>
  <c r="H33199" i="16"/>
  <c r="H33200" i="16"/>
  <c r="H33201" i="16"/>
  <c r="H33202" i="16"/>
  <c r="H33203" i="16"/>
  <c r="H33204" i="16"/>
  <c r="H33205" i="16"/>
  <c r="H33206" i="16"/>
  <c r="H33207" i="16"/>
  <c r="H33208" i="16"/>
  <c r="H33209" i="16"/>
  <c r="H33210" i="16"/>
  <c r="H33211" i="16"/>
  <c r="H33212" i="16"/>
  <c r="H33213" i="16"/>
  <c r="H33214" i="16"/>
  <c r="H33215" i="16"/>
  <c r="H33216" i="16"/>
  <c r="H33217" i="16"/>
  <c r="H33218" i="16"/>
  <c r="H33219" i="16"/>
  <c r="H33220" i="16"/>
  <c r="H33221" i="16"/>
  <c r="H33222" i="16"/>
  <c r="H33223" i="16"/>
  <c r="H33224" i="16"/>
  <c r="H33225" i="16"/>
  <c r="H33226" i="16"/>
  <c r="H33227" i="16"/>
  <c r="H33228" i="16"/>
  <c r="H33229" i="16"/>
  <c r="H33230" i="16"/>
  <c r="H33231" i="16"/>
  <c r="H33232" i="16"/>
  <c r="H33233" i="16"/>
  <c r="H33234" i="16"/>
  <c r="H33235" i="16"/>
  <c r="H33236" i="16"/>
  <c r="H33237" i="16"/>
  <c r="H33238" i="16"/>
  <c r="H33239" i="16"/>
  <c r="H33240" i="16"/>
  <c r="H33241" i="16"/>
  <c r="H33242" i="16"/>
  <c r="H33243" i="16"/>
  <c r="H33244" i="16"/>
  <c r="H33245" i="16"/>
  <c r="H33246" i="16"/>
  <c r="H33247" i="16"/>
  <c r="H33248" i="16"/>
  <c r="H33249" i="16"/>
  <c r="H33250" i="16"/>
  <c r="H33251" i="16"/>
  <c r="H33252" i="16"/>
  <c r="H33253" i="16"/>
  <c r="H33254" i="16"/>
  <c r="H33255" i="16"/>
  <c r="H33256" i="16"/>
  <c r="H33257" i="16"/>
  <c r="H33258" i="16"/>
  <c r="H33259" i="16"/>
  <c r="H33260" i="16"/>
  <c r="H33261" i="16"/>
  <c r="H33262" i="16"/>
  <c r="H33263" i="16"/>
  <c r="H33264" i="16"/>
  <c r="H33265" i="16"/>
  <c r="H33266" i="16"/>
  <c r="H33267" i="16"/>
  <c r="H33268" i="16"/>
  <c r="H33269" i="16"/>
  <c r="H33270" i="16"/>
  <c r="H33271" i="16"/>
  <c r="H33272" i="16"/>
  <c r="H33273" i="16"/>
  <c r="H33274" i="16"/>
  <c r="H33275" i="16"/>
  <c r="H33276" i="16"/>
  <c r="H33277" i="16"/>
  <c r="H33278" i="16"/>
  <c r="H33279" i="16"/>
  <c r="H33280" i="16"/>
  <c r="H33281" i="16"/>
  <c r="H33282" i="16"/>
  <c r="H33283" i="16"/>
  <c r="H33284" i="16"/>
  <c r="H33285" i="16"/>
  <c r="H33286" i="16"/>
  <c r="H33287" i="16"/>
  <c r="H33288" i="16"/>
  <c r="H33289" i="16"/>
  <c r="H33290" i="16"/>
  <c r="H33291" i="16"/>
  <c r="H33292" i="16"/>
  <c r="H33293" i="16"/>
  <c r="H33294" i="16"/>
  <c r="H33295" i="16"/>
  <c r="H33296" i="16"/>
  <c r="H33297" i="16"/>
  <c r="H33298" i="16"/>
  <c r="H33299" i="16"/>
  <c r="H33300" i="16"/>
  <c r="H33301" i="16"/>
  <c r="H33302" i="16"/>
  <c r="H33303" i="16"/>
  <c r="H33304" i="16"/>
  <c r="H33305" i="16"/>
  <c r="H33306" i="16"/>
  <c r="H33307" i="16"/>
  <c r="H33308" i="16"/>
  <c r="H33309" i="16"/>
  <c r="H33310" i="16"/>
  <c r="H33311" i="16"/>
  <c r="H33312" i="16"/>
  <c r="H33313" i="16"/>
  <c r="H33314" i="16"/>
  <c r="H33315" i="16"/>
  <c r="H33316" i="16"/>
  <c r="H33317" i="16"/>
  <c r="H33318" i="16"/>
  <c r="H33319" i="16"/>
  <c r="H33320" i="16"/>
  <c r="H33321" i="16"/>
  <c r="H33322" i="16"/>
  <c r="H33323" i="16"/>
  <c r="H33324" i="16"/>
  <c r="H33325" i="16"/>
  <c r="H33326" i="16"/>
  <c r="H33327" i="16"/>
  <c r="H33328" i="16"/>
  <c r="H33329" i="16"/>
  <c r="H33330" i="16"/>
  <c r="H33331" i="16"/>
  <c r="H33332" i="16"/>
  <c r="H33333" i="16"/>
  <c r="H33334" i="16"/>
  <c r="H33335" i="16"/>
  <c r="H33336" i="16"/>
  <c r="H33337" i="16"/>
  <c r="H33338" i="16"/>
  <c r="H33339" i="16"/>
  <c r="H33340" i="16"/>
  <c r="H33341" i="16"/>
  <c r="H33342" i="16"/>
  <c r="H33343" i="16"/>
  <c r="H33344" i="16"/>
  <c r="H33345" i="16"/>
  <c r="H33346" i="16"/>
  <c r="H33347" i="16"/>
  <c r="H33348" i="16"/>
  <c r="H33349" i="16"/>
  <c r="H33350" i="16"/>
  <c r="H33351" i="16"/>
  <c r="H33352" i="16"/>
  <c r="H33353" i="16"/>
  <c r="H33354" i="16"/>
  <c r="H33355" i="16"/>
  <c r="H33356" i="16"/>
  <c r="H33357" i="16"/>
  <c r="H33358" i="16"/>
  <c r="H33359" i="16"/>
  <c r="H33360" i="16"/>
  <c r="H33361" i="16"/>
  <c r="H33362" i="16"/>
  <c r="H33363" i="16"/>
  <c r="H33364" i="16"/>
  <c r="H33365" i="16"/>
  <c r="H33366" i="16"/>
  <c r="H33367" i="16"/>
  <c r="H33368" i="16"/>
  <c r="H33369" i="16"/>
  <c r="H33370" i="16"/>
  <c r="H33371" i="16"/>
  <c r="H33372" i="16"/>
  <c r="H33373" i="16"/>
  <c r="H33374" i="16"/>
  <c r="H33375" i="16"/>
  <c r="H33376" i="16"/>
  <c r="H33377" i="16"/>
  <c r="H33378" i="16"/>
  <c r="H33379" i="16"/>
  <c r="H33380" i="16"/>
  <c r="H33381" i="16"/>
  <c r="H33382" i="16"/>
  <c r="H33383" i="16"/>
  <c r="H33384" i="16"/>
  <c r="H33385" i="16"/>
  <c r="H33386" i="16"/>
  <c r="H33387" i="16"/>
  <c r="H33388" i="16"/>
  <c r="H33389" i="16"/>
  <c r="H33390" i="16"/>
  <c r="H33391" i="16"/>
  <c r="H33392" i="16"/>
  <c r="H33393" i="16"/>
  <c r="H33394" i="16"/>
  <c r="H33395" i="16"/>
  <c r="H33396" i="16"/>
  <c r="H33397" i="16"/>
  <c r="H33398" i="16"/>
  <c r="H33399" i="16"/>
  <c r="H33400" i="16"/>
  <c r="H33401" i="16"/>
  <c r="H33402" i="16"/>
  <c r="H33403" i="16"/>
  <c r="H33404" i="16"/>
  <c r="H33405" i="16"/>
  <c r="H33406" i="16"/>
  <c r="H33407" i="16"/>
  <c r="H33408" i="16"/>
  <c r="H33409" i="16"/>
  <c r="H33410" i="16"/>
  <c r="H33411" i="16"/>
  <c r="H33412" i="16"/>
  <c r="H33413" i="16"/>
  <c r="H33414" i="16"/>
  <c r="H33415" i="16"/>
  <c r="H33416" i="16"/>
  <c r="H33417" i="16"/>
  <c r="H33418" i="16"/>
  <c r="H33419" i="16"/>
  <c r="H33420" i="16"/>
  <c r="H33421" i="16"/>
  <c r="H33422" i="16"/>
  <c r="H33423" i="16"/>
  <c r="H33424" i="16"/>
  <c r="H33425" i="16"/>
  <c r="H33426" i="16"/>
  <c r="H33427" i="16"/>
  <c r="H33428" i="16"/>
  <c r="H33429" i="16"/>
  <c r="H33430" i="16"/>
  <c r="H33431" i="16"/>
  <c r="H33432" i="16"/>
  <c r="H33433" i="16"/>
  <c r="H33434" i="16"/>
  <c r="H33435" i="16"/>
  <c r="H33436" i="16"/>
  <c r="H33437" i="16"/>
  <c r="H33438" i="16"/>
  <c r="H33439" i="16"/>
  <c r="H33440" i="16"/>
  <c r="H33441" i="16"/>
  <c r="H33442" i="16"/>
  <c r="H33443" i="16"/>
  <c r="H33444" i="16"/>
  <c r="H33445" i="16"/>
  <c r="H33446" i="16"/>
  <c r="H33447" i="16"/>
  <c r="H33448" i="16"/>
  <c r="H33449" i="16"/>
  <c r="H33450" i="16"/>
  <c r="H33451" i="16"/>
  <c r="H33452" i="16"/>
  <c r="H33453" i="16"/>
  <c r="H33454" i="16"/>
  <c r="H33455" i="16"/>
  <c r="H33456" i="16"/>
  <c r="H33457" i="16"/>
  <c r="H33458" i="16"/>
  <c r="H33459" i="16"/>
  <c r="H33460" i="16"/>
  <c r="H33461" i="16"/>
  <c r="H33462" i="16"/>
  <c r="H33463" i="16"/>
  <c r="H33464" i="16"/>
  <c r="H33465" i="16"/>
  <c r="H33466" i="16"/>
  <c r="H33467" i="16"/>
  <c r="H33468" i="16"/>
  <c r="H33469" i="16"/>
  <c r="H33470" i="16"/>
  <c r="H33471" i="16"/>
  <c r="H33472" i="16"/>
  <c r="H33473" i="16"/>
  <c r="H33474" i="16"/>
  <c r="H33475" i="16"/>
  <c r="H33476" i="16"/>
  <c r="H33477" i="16"/>
  <c r="H33478" i="16"/>
  <c r="H33479" i="16"/>
  <c r="H33480" i="16"/>
  <c r="H33481" i="16"/>
  <c r="H33482" i="16"/>
  <c r="H33483" i="16"/>
  <c r="H33484" i="16"/>
  <c r="H33485" i="16"/>
  <c r="H33486" i="16"/>
  <c r="H33487" i="16"/>
  <c r="H33488" i="16"/>
  <c r="H33489" i="16"/>
  <c r="H33490" i="16"/>
  <c r="H33491" i="16"/>
  <c r="H33492" i="16"/>
  <c r="H33493" i="16"/>
  <c r="H33494" i="16"/>
  <c r="H33495" i="16"/>
  <c r="H33496" i="16"/>
  <c r="H33497" i="16"/>
  <c r="H33498" i="16"/>
  <c r="H33499" i="16"/>
  <c r="H33500" i="16"/>
  <c r="H33501" i="16"/>
  <c r="H33502" i="16"/>
  <c r="H33503" i="16"/>
  <c r="H33504" i="16"/>
  <c r="H33505" i="16"/>
  <c r="H33506" i="16"/>
  <c r="H33507" i="16"/>
  <c r="H33508" i="16"/>
  <c r="H33509" i="16"/>
  <c r="H33510" i="16"/>
  <c r="H33511" i="16"/>
  <c r="H33512" i="16"/>
  <c r="H33513" i="16"/>
  <c r="H33514" i="16"/>
  <c r="H33515" i="16"/>
  <c r="H33516" i="16"/>
  <c r="H33517" i="16"/>
  <c r="H33518" i="16"/>
  <c r="H33519" i="16"/>
  <c r="H33520" i="16"/>
  <c r="H33521" i="16"/>
  <c r="H33522" i="16"/>
  <c r="H33523" i="16"/>
  <c r="H33524" i="16"/>
  <c r="H33525" i="16"/>
  <c r="H33526" i="16"/>
  <c r="H33527" i="16"/>
  <c r="H33528" i="16"/>
  <c r="H33529" i="16"/>
  <c r="H33530" i="16"/>
  <c r="H33531" i="16"/>
  <c r="H33532" i="16"/>
  <c r="H33533" i="16"/>
  <c r="H33534" i="16"/>
  <c r="H33535" i="16"/>
  <c r="H33536" i="16"/>
  <c r="H33537" i="16"/>
  <c r="H33538" i="16"/>
  <c r="H33539" i="16"/>
  <c r="H33540" i="16"/>
  <c r="H33541" i="16"/>
  <c r="H33542" i="16"/>
  <c r="H33543" i="16"/>
  <c r="H33544" i="16"/>
  <c r="H33545" i="16"/>
  <c r="H33546" i="16"/>
  <c r="H33547" i="16"/>
  <c r="H33548" i="16"/>
  <c r="H33549" i="16"/>
  <c r="H33550" i="16"/>
  <c r="H33551" i="16"/>
  <c r="H33552" i="16"/>
  <c r="H33553" i="16"/>
  <c r="H33554" i="16"/>
  <c r="H33555" i="16"/>
  <c r="H33556" i="16"/>
  <c r="H33557" i="16"/>
  <c r="H33558" i="16"/>
  <c r="H33559" i="16"/>
  <c r="H33560" i="16"/>
  <c r="H33561" i="16"/>
  <c r="H33562" i="16"/>
  <c r="H33563" i="16"/>
  <c r="H33564" i="16"/>
  <c r="H33565" i="16"/>
  <c r="H33566" i="16"/>
  <c r="H33567" i="16"/>
  <c r="H33568" i="16"/>
  <c r="H33569" i="16"/>
  <c r="H33570" i="16"/>
  <c r="H33571" i="16"/>
  <c r="H33572" i="16"/>
  <c r="H33573" i="16"/>
  <c r="H33574" i="16"/>
  <c r="H33575" i="16"/>
  <c r="H33576" i="16"/>
  <c r="H33577" i="16"/>
  <c r="H33578" i="16"/>
  <c r="H33579" i="16"/>
  <c r="H33580" i="16"/>
  <c r="H33581" i="16"/>
  <c r="H33582" i="16"/>
  <c r="H33583" i="16"/>
  <c r="H33584" i="16"/>
  <c r="H33585" i="16"/>
  <c r="H33586" i="16"/>
  <c r="H33587" i="16"/>
  <c r="H33588" i="16"/>
  <c r="H33589" i="16"/>
  <c r="H33590" i="16"/>
  <c r="H33591" i="16"/>
  <c r="H33592" i="16"/>
  <c r="H33593" i="16"/>
  <c r="H33594" i="16"/>
  <c r="H33595" i="16"/>
  <c r="H33596" i="16"/>
  <c r="H33597" i="16"/>
  <c r="H33598" i="16"/>
  <c r="H33599" i="16"/>
  <c r="H33600" i="16"/>
  <c r="H33601" i="16"/>
  <c r="H33602" i="16"/>
  <c r="H33603" i="16"/>
  <c r="H33604" i="16"/>
  <c r="H33605" i="16"/>
  <c r="H33606" i="16"/>
  <c r="H33607" i="16"/>
  <c r="H33608" i="16"/>
  <c r="H33609" i="16"/>
  <c r="H33610" i="16"/>
  <c r="H33611" i="16"/>
  <c r="H33612" i="16"/>
  <c r="H33613" i="16"/>
  <c r="H33614" i="16"/>
  <c r="H33615" i="16"/>
  <c r="H33616" i="16"/>
  <c r="H33617" i="16"/>
  <c r="H33618" i="16"/>
  <c r="H33619" i="16"/>
  <c r="H33620" i="16"/>
  <c r="H33621" i="16"/>
  <c r="H33622" i="16"/>
  <c r="H33623" i="16"/>
  <c r="H33624" i="16"/>
  <c r="H33625" i="16"/>
  <c r="H33626" i="16"/>
  <c r="H33627" i="16"/>
  <c r="H33628" i="16"/>
  <c r="H33629" i="16"/>
  <c r="H33630" i="16"/>
  <c r="H33631" i="16"/>
  <c r="H33632" i="16"/>
  <c r="H33633" i="16"/>
  <c r="H33634" i="16"/>
  <c r="H33635" i="16"/>
  <c r="H33636" i="16"/>
  <c r="H33637" i="16"/>
  <c r="H33638" i="16"/>
  <c r="H33639" i="16"/>
  <c r="H33640" i="16"/>
  <c r="H33641" i="16"/>
  <c r="H33642" i="16"/>
  <c r="H33643" i="16"/>
  <c r="H33644" i="16"/>
  <c r="H33645" i="16"/>
  <c r="H33646" i="16"/>
  <c r="H33647" i="16"/>
  <c r="H33648" i="16"/>
  <c r="H33649" i="16"/>
  <c r="H33650" i="16"/>
  <c r="H33651" i="16"/>
  <c r="H33652" i="16"/>
  <c r="H33653" i="16"/>
  <c r="H33654" i="16"/>
  <c r="H33655" i="16"/>
  <c r="H33656" i="16"/>
  <c r="H33657" i="16"/>
  <c r="H33658" i="16"/>
  <c r="H33659" i="16"/>
  <c r="H33660" i="16"/>
  <c r="H33661" i="16"/>
  <c r="H33662" i="16"/>
  <c r="H33663" i="16"/>
  <c r="H33664" i="16"/>
  <c r="H33665" i="16"/>
  <c r="H33666" i="16"/>
  <c r="H33667" i="16"/>
  <c r="H33668" i="16"/>
  <c r="H33669" i="16"/>
  <c r="H33670" i="16"/>
  <c r="H33671" i="16"/>
  <c r="H33672" i="16"/>
  <c r="H33673" i="16"/>
  <c r="H33674" i="16"/>
  <c r="H33675" i="16"/>
  <c r="H33676" i="16"/>
  <c r="H33677" i="16"/>
  <c r="H33678" i="16"/>
  <c r="H33679" i="16"/>
  <c r="H33680" i="16"/>
  <c r="H33681" i="16"/>
  <c r="H33682" i="16"/>
  <c r="H33683" i="16"/>
  <c r="H33684" i="16"/>
  <c r="H33685" i="16"/>
  <c r="H33686" i="16"/>
  <c r="H33687" i="16"/>
  <c r="H33688" i="16"/>
  <c r="H33689" i="16"/>
  <c r="H33690" i="16"/>
  <c r="H33691" i="16"/>
  <c r="H33692" i="16"/>
  <c r="H33693" i="16"/>
  <c r="H33694" i="16"/>
  <c r="H33695" i="16"/>
  <c r="H33696" i="16"/>
  <c r="H33697" i="16"/>
  <c r="H33698" i="16"/>
  <c r="H33699" i="16"/>
  <c r="H33700" i="16"/>
  <c r="H33701" i="16"/>
  <c r="H33702" i="16"/>
  <c r="H33703" i="16"/>
  <c r="H33704" i="16"/>
  <c r="H33705" i="16"/>
  <c r="H33706" i="16"/>
  <c r="H33707" i="16"/>
  <c r="H33708" i="16"/>
  <c r="H33709" i="16"/>
  <c r="H33710" i="16"/>
  <c r="H33711" i="16"/>
  <c r="H33712" i="16"/>
  <c r="H33713" i="16"/>
  <c r="H33714" i="16"/>
  <c r="H33715" i="16"/>
  <c r="H33716" i="16"/>
  <c r="H33717" i="16"/>
  <c r="H33718" i="16"/>
  <c r="H33719" i="16"/>
  <c r="H33720" i="16"/>
  <c r="H33721" i="16"/>
  <c r="H33722" i="16"/>
  <c r="H33723" i="16"/>
  <c r="H33724" i="16"/>
  <c r="H33725" i="16"/>
  <c r="H33726" i="16"/>
  <c r="H33727" i="16"/>
  <c r="H33728" i="16"/>
  <c r="H33729" i="16"/>
  <c r="H33730" i="16"/>
  <c r="H33731" i="16"/>
  <c r="H33732" i="16"/>
  <c r="H33733" i="16"/>
  <c r="H33734" i="16"/>
  <c r="H33735" i="16"/>
  <c r="H33736" i="16"/>
  <c r="H33737" i="16"/>
  <c r="H33738" i="16"/>
  <c r="H33739" i="16"/>
  <c r="H33740" i="16"/>
  <c r="H33741" i="16"/>
  <c r="H33742" i="16"/>
  <c r="H33743" i="16"/>
  <c r="H33744" i="16"/>
  <c r="H33745" i="16"/>
  <c r="H33746" i="16"/>
  <c r="H33747" i="16"/>
  <c r="H33748" i="16"/>
  <c r="H33749" i="16"/>
  <c r="H33750" i="16"/>
  <c r="H33751" i="16"/>
  <c r="H33752" i="16"/>
  <c r="H33753" i="16"/>
  <c r="H33754" i="16"/>
  <c r="H33755" i="16"/>
  <c r="H33756" i="16"/>
  <c r="H33757" i="16"/>
  <c r="H33758" i="16"/>
  <c r="H33759" i="16"/>
  <c r="H33760" i="16"/>
  <c r="H33761" i="16"/>
  <c r="H33762" i="16"/>
  <c r="H33763" i="16"/>
  <c r="H33764" i="16"/>
  <c r="H33765" i="16"/>
  <c r="H33766" i="16"/>
  <c r="H33767" i="16"/>
  <c r="H33768" i="16"/>
  <c r="H33769" i="16"/>
  <c r="H33770" i="16"/>
  <c r="H33771" i="16"/>
  <c r="H33772" i="16"/>
  <c r="H33773" i="16"/>
  <c r="H33774" i="16"/>
  <c r="H33775" i="16"/>
  <c r="H33776" i="16"/>
  <c r="H33777" i="16"/>
  <c r="H33778" i="16"/>
  <c r="H33779" i="16"/>
  <c r="H33780" i="16"/>
  <c r="H33781" i="16"/>
  <c r="H33782" i="16"/>
  <c r="H33783" i="16"/>
  <c r="H33784" i="16"/>
  <c r="H33785" i="16"/>
  <c r="H33786" i="16"/>
  <c r="H33787" i="16"/>
  <c r="H33788" i="16"/>
  <c r="H33789" i="16"/>
  <c r="H33790" i="16"/>
  <c r="H33791" i="16"/>
  <c r="H33792" i="16"/>
  <c r="H33793" i="16"/>
  <c r="H33794" i="16"/>
  <c r="H33795" i="16"/>
  <c r="H33796" i="16"/>
  <c r="H33797" i="16"/>
  <c r="H33798" i="16"/>
  <c r="H33799" i="16"/>
  <c r="H33800" i="16"/>
  <c r="H33801" i="16"/>
  <c r="H33802" i="16"/>
  <c r="H33803" i="16"/>
  <c r="H33804" i="16"/>
  <c r="H33805" i="16"/>
  <c r="H33806" i="16"/>
  <c r="H33807" i="16"/>
  <c r="H33808" i="16"/>
  <c r="H33809" i="16"/>
  <c r="H33810" i="16"/>
  <c r="H33811" i="16"/>
  <c r="H33812" i="16"/>
  <c r="H33813" i="16"/>
  <c r="H33814" i="16"/>
  <c r="H33815" i="16"/>
  <c r="H33816" i="16"/>
  <c r="H33817" i="16"/>
  <c r="H33818" i="16"/>
  <c r="H33819" i="16"/>
  <c r="H33820" i="16"/>
  <c r="H33821" i="16"/>
  <c r="H33822" i="16"/>
  <c r="H33823" i="16"/>
  <c r="H33824" i="16"/>
  <c r="H33825" i="16"/>
  <c r="H33826" i="16"/>
  <c r="H33827" i="16"/>
  <c r="H33828" i="16"/>
  <c r="H33829" i="16"/>
  <c r="H33830" i="16"/>
  <c r="H33831" i="16"/>
  <c r="H33832" i="16"/>
  <c r="H33833" i="16"/>
  <c r="H33834" i="16"/>
  <c r="H33835" i="16"/>
  <c r="H33836" i="16"/>
  <c r="H33837" i="16"/>
  <c r="H33838" i="16"/>
  <c r="H33839" i="16"/>
  <c r="H33840" i="16"/>
  <c r="H33841" i="16"/>
  <c r="H33842" i="16"/>
  <c r="H33843" i="16"/>
  <c r="H33844" i="16"/>
  <c r="H33845" i="16"/>
  <c r="H33846" i="16"/>
  <c r="H33847" i="16"/>
  <c r="H33848" i="16"/>
  <c r="H33849" i="16"/>
  <c r="H33850" i="16"/>
  <c r="H33851" i="16"/>
  <c r="H33852" i="16"/>
  <c r="H33853" i="16"/>
  <c r="H33854" i="16"/>
  <c r="H33855" i="16"/>
  <c r="H33856" i="16"/>
  <c r="H33857" i="16"/>
  <c r="H33858" i="16"/>
  <c r="H33859" i="16"/>
  <c r="H33860" i="16"/>
  <c r="H33861" i="16"/>
  <c r="H33862" i="16"/>
  <c r="H33863" i="16"/>
  <c r="H33864" i="16"/>
  <c r="H33865" i="16"/>
  <c r="H33866" i="16"/>
  <c r="H33867" i="16"/>
  <c r="H33868" i="16"/>
  <c r="H33869" i="16"/>
  <c r="H33870" i="16"/>
  <c r="H33871" i="16"/>
  <c r="H33872" i="16"/>
  <c r="H33873" i="16"/>
  <c r="H33874" i="16"/>
  <c r="H33875" i="16"/>
  <c r="H33876" i="16"/>
  <c r="H33877" i="16"/>
  <c r="H33878" i="16"/>
  <c r="H33879" i="16"/>
  <c r="H33880" i="16"/>
  <c r="H33881" i="16"/>
  <c r="H33882" i="16"/>
  <c r="H33883" i="16"/>
  <c r="H33884" i="16"/>
  <c r="H33885" i="16"/>
  <c r="H33886" i="16"/>
  <c r="H33887" i="16"/>
  <c r="H33888" i="16"/>
  <c r="H33889" i="16"/>
  <c r="H33890" i="16"/>
  <c r="H33891" i="16"/>
  <c r="H33892" i="16"/>
  <c r="H33893" i="16"/>
  <c r="H33894" i="16"/>
  <c r="H33895" i="16"/>
  <c r="H33896" i="16"/>
  <c r="H33897" i="16"/>
  <c r="H33898" i="16"/>
  <c r="H33899" i="16"/>
  <c r="H33900" i="16"/>
  <c r="H33901" i="16"/>
  <c r="H33902" i="16"/>
  <c r="H33903" i="16"/>
  <c r="H33904" i="16"/>
  <c r="H33905" i="16"/>
  <c r="H33906" i="16"/>
  <c r="H33907" i="16"/>
  <c r="H33908" i="16"/>
  <c r="H33909" i="16"/>
  <c r="H33910" i="16"/>
  <c r="H33911" i="16"/>
  <c r="H33912" i="16"/>
  <c r="H33913" i="16"/>
  <c r="H33914" i="16"/>
  <c r="H33915" i="16"/>
  <c r="H33916" i="16"/>
  <c r="H33917" i="16"/>
  <c r="H33918" i="16"/>
  <c r="H33919" i="16"/>
  <c r="H33920" i="16"/>
  <c r="H33921" i="16"/>
  <c r="H33922" i="16"/>
  <c r="H33923" i="16"/>
  <c r="H33924" i="16"/>
  <c r="H33925" i="16"/>
  <c r="H33926" i="16"/>
  <c r="H33927" i="16"/>
  <c r="H33928" i="16"/>
  <c r="H33929" i="16"/>
  <c r="H33930" i="16"/>
  <c r="H33931" i="16"/>
  <c r="H33932" i="16"/>
  <c r="H33933" i="16"/>
  <c r="H33934" i="16"/>
  <c r="H33935" i="16"/>
  <c r="H33936" i="16"/>
  <c r="H33937" i="16"/>
  <c r="H33938" i="16"/>
  <c r="H33939" i="16"/>
  <c r="H33940" i="16"/>
  <c r="H33941" i="16"/>
  <c r="H33942" i="16"/>
  <c r="H33943" i="16"/>
  <c r="H33944" i="16"/>
  <c r="H33945" i="16"/>
  <c r="H33946" i="16"/>
  <c r="H33947" i="16"/>
  <c r="H33948" i="16"/>
  <c r="H33949" i="16"/>
  <c r="H33950" i="16"/>
  <c r="H33951" i="16"/>
  <c r="H33952" i="16"/>
  <c r="H33953" i="16"/>
  <c r="H33954" i="16"/>
  <c r="H33955" i="16"/>
  <c r="H33956" i="16"/>
  <c r="H33957" i="16"/>
  <c r="H33958" i="16"/>
  <c r="H33959" i="16"/>
  <c r="H33960" i="16"/>
  <c r="H33961" i="16"/>
  <c r="H33962" i="16"/>
  <c r="H33963" i="16"/>
  <c r="H33964" i="16"/>
  <c r="H33965" i="16"/>
  <c r="H33966" i="16"/>
  <c r="H33967" i="16"/>
  <c r="H33968" i="16"/>
  <c r="H33969" i="16"/>
  <c r="H33970" i="16"/>
  <c r="H33971" i="16"/>
  <c r="H33972" i="16"/>
  <c r="H33973" i="16"/>
  <c r="H33974" i="16"/>
  <c r="H33975" i="16"/>
  <c r="H33976" i="16"/>
  <c r="H33977" i="16"/>
  <c r="H33978" i="16"/>
  <c r="H33979" i="16"/>
  <c r="H33980" i="16"/>
  <c r="H33981" i="16"/>
  <c r="H33982" i="16"/>
  <c r="H33983" i="16"/>
  <c r="H33984" i="16"/>
  <c r="H33985" i="16"/>
  <c r="H33986" i="16"/>
  <c r="H33987" i="16"/>
  <c r="H33988" i="16"/>
  <c r="H33989" i="16"/>
  <c r="H33990" i="16"/>
  <c r="H33991" i="16"/>
  <c r="H33992" i="16"/>
  <c r="H33993" i="16"/>
  <c r="H33994" i="16"/>
  <c r="H33995" i="16"/>
  <c r="H33996" i="16"/>
  <c r="H33997" i="16"/>
  <c r="H33998" i="16"/>
  <c r="H33999" i="16"/>
  <c r="H34000" i="16"/>
  <c r="H34001" i="16"/>
  <c r="H34002" i="16"/>
  <c r="H34003" i="16"/>
  <c r="H34004" i="16"/>
  <c r="H34005" i="16"/>
  <c r="H34006" i="16"/>
  <c r="H34007" i="16"/>
  <c r="H34008" i="16"/>
  <c r="H34009" i="16"/>
  <c r="H34010" i="16"/>
  <c r="H34011" i="16"/>
  <c r="H34012" i="16"/>
  <c r="H34013" i="16"/>
  <c r="H34014" i="16"/>
  <c r="H34015" i="16"/>
  <c r="H34016" i="16"/>
  <c r="H34017" i="16"/>
  <c r="H34018" i="16"/>
  <c r="H34019" i="16"/>
  <c r="H34020" i="16"/>
  <c r="H34021" i="16"/>
  <c r="H34022" i="16"/>
  <c r="H34023" i="16"/>
  <c r="H34024" i="16"/>
  <c r="H34025" i="16"/>
  <c r="H34026" i="16"/>
  <c r="H34027" i="16"/>
  <c r="H34028" i="16"/>
  <c r="H34029" i="16"/>
  <c r="H34030" i="16"/>
  <c r="H34031" i="16"/>
  <c r="H34032" i="16"/>
  <c r="H34033" i="16"/>
  <c r="H34034" i="16"/>
  <c r="H34035" i="16"/>
  <c r="H34036" i="16"/>
  <c r="H34037" i="16"/>
  <c r="H34038" i="16"/>
  <c r="H34039" i="16"/>
  <c r="H34040" i="16"/>
  <c r="H34041" i="16"/>
  <c r="H34042" i="16"/>
  <c r="H34043" i="16"/>
  <c r="H34044" i="16"/>
  <c r="H34045" i="16"/>
  <c r="H34046" i="16"/>
  <c r="H34047" i="16"/>
  <c r="H34048" i="16"/>
  <c r="H34049" i="16"/>
  <c r="H34050" i="16"/>
  <c r="H34051" i="16"/>
  <c r="H34052" i="16"/>
  <c r="H34053" i="16"/>
  <c r="H34054" i="16"/>
  <c r="H34055" i="16"/>
  <c r="H34056" i="16"/>
  <c r="H34057" i="16"/>
  <c r="H34058" i="16"/>
  <c r="H34059" i="16"/>
  <c r="H34060" i="16"/>
  <c r="H34061" i="16"/>
  <c r="H34062" i="16"/>
  <c r="H34063" i="16"/>
  <c r="H34064" i="16"/>
  <c r="H34065" i="16"/>
  <c r="H34066" i="16"/>
  <c r="H34067" i="16"/>
  <c r="H34068" i="16"/>
  <c r="H34069" i="16"/>
  <c r="H34070" i="16"/>
  <c r="H34071" i="16"/>
  <c r="H34072" i="16"/>
  <c r="H34073" i="16"/>
  <c r="H34074" i="16"/>
  <c r="H34075" i="16"/>
  <c r="H34076" i="16"/>
  <c r="H34077" i="16"/>
  <c r="H34078" i="16"/>
  <c r="H34079" i="16"/>
  <c r="H34080" i="16"/>
  <c r="H34081" i="16"/>
  <c r="H34082" i="16"/>
  <c r="H34083" i="16"/>
  <c r="H34084" i="16"/>
  <c r="H34085" i="16"/>
  <c r="H34086" i="16"/>
  <c r="H34087" i="16"/>
  <c r="H34088" i="16"/>
  <c r="H34089" i="16"/>
  <c r="H34090" i="16"/>
  <c r="H34091" i="16"/>
  <c r="H34092" i="16"/>
  <c r="H34093" i="16"/>
  <c r="H34094" i="16"/>
  <c r="H34095" i="16"/>
  <c r="H34096" i="16"/>
  <c r="H34097" i="16"/>
  <c r="H34098" i="16"/>
  <c r="H34099" i="16"/>
  <c r="H34100" i="16"/>
  <c r="H34101" i="16"/>
  <c r="H34102" i="16"/>
  <c r="H34103" i="16"/>
  <c r="H34104" i="16"/>
  <c r="H34105" i="16"/>
  <c r="H34106" i="16"/>
  <c r="H34107" i="16"/>
  <c r="H34108" i="16"/>
  <c r="H34109" i="16"/>
  <c r="H34110" i="16"/>
  <c r="H34111" i="16"/>
  <c r="H34112" i="16"/>
  <c r="H34113" i="16"/>
  <c r="H34114" i="16"/>
  <c r="H34115" i="16"/>
  <c r="H34116" i="16"/>
  <c r="H34117" i="16"/>
  <c r="H34118" i="16"/>
  <c r="H34119" i="16"/>
  <c r="H34120" i="16"/>
  <c r="H34121" i="16"/>
  <c r="H34122" i="16"/>
  <c r="H34123" i="16"/>
  <c r="H34124" i="16"/>
  <c r="H34125" i="16"/>
  <c r="H34126" i="16"/>
  <c r="H34127" i="16"/>
  <c r="H34128" i="16"/>
  <c r="H34129" i="16"/>
  <c r="H34130" i="16"/>
  <c r="H34131" i="16"/>
  <c r="H34132" i="16"/>
  <c r="H34133" i="16"/>
  <c r="H34134" i="16"/>
  <c r="H34135" i="16"/>
  <c r="H34136" i="16"/>
  <c r="H34137" i="16"/>
  <c r="H34138" i="16"/>
  <c r="H34139" i="16"/>
  <c r="H34140" i="16"/>
  <c r="H34141" i="16"/>
  <c r="H34142" i="16"/>
  <c r="H34143" i="16"/>
  <c r="H34144" i="16"/>
  <c r="H34145" i="16"/>
  <c r="H34146" i="16"/>
  <c r="H34147" i="16"/>
  <c r="H34148" i="16"/>
  <c r="H34149" i="16"/>
  <c r="H34150" i="16"/>
  <c r="H34151" i="16"/>
  <c r="H34152" i="16"/>
  <c r="H34153" i="16"/>
  <c r="H34154" i="16"/>
  <c r="H34155" i="16"/>
  <c r="H34156" i="16"/>
  <c r="H34157" i="16"/>
  <c r="H34158" i="16"/>
  <c r="H34159" i="16"/>
  <c r="H34160" i="16"/>
  <c r="H34161" i="16"/>
  <c r="H34162" i="16"/>
  <c r="H34163" i="16"/>
  <c r="H34164" i="16"/>
  <c r="H34165" i="16"/>
  <c r="H34166" i="16"/>
  <c r="H34167" i="16"/>
  <c r="H34168" i="16"/>
  <c r="H34169" i="16"/>
  <c r="H34170" i="16"/>
  <c r="H34171" i="16"/>
  <c r="H34172" i="16"/>
  <c r="H34173" i="16"/>
  <c r="H34174" i="16"/>
  <c r="H34175" i="16"/>
  <c r="H34176" i="16"/>
  <c r="H34177" i="16"/>
  <c r="H34178" i="16"/>
  <c r="H34179" i="16"/>
  <c r="H34180" i="16"/>
  <c r="H34181" i="16"/>
  <c r="H34182" i="16"/>
  <c r="H34183" i="16"/>
  <c r="H34184" i="16"/>
  <c r="H34185" i="16"/>
  <c r="H34186" i="16"/>
  <c r="H34187" i="16"/>
  <c r="H34188" i="16"/>
  <c r="H34189" i="16"/>
  <c r="H34190" i="16"/>
  <c r="H34191" i="16"/>
  <c r="H34192" i="16"/>
  <c r="H34193" i="16"/>
  <c r="H34194" i="16"/>
  <c r="H34195" i="16"/>
  <c r="H34196" i="16"/>
  <c r="H34197" i="16"/>
  <c r="H34198" i="16"/>
  <c r="H34199" i="16"/>
  <c r="H34200" i="16"/>
  <c r="H34201" i="16"/>
  <c r="H34202" i="16"/>
  <c r="H34203" i="16"/>
  <c r="H34204" i="16"/>
  <c r="H34205" i="16"/>
  <c r="H34206" i="16"/>
  <c r="H34207" i="16"/>
  <c r="H34208" i="16"/>
  <c r="H34209" i="16"/>
  <c r="H34210" i="16"/>
  <c r="H34211" i="16"/>
  <c r="H34212" i="16"/>
  <c r="H34213" i="16"/>
  <c r="H34214" i="16"/>
  <c r="H34215" i="16"/>
  <c r="H34216" i="16"/>
  <c r="H34217" i="16"/>
  <c r="H34218" i="16"/>
  <c r="H34219" i="16"/>
  <c r="H34220" i="16"/>
  <c r="H34221" i="16"/>
  <c r="H34222" i="16"/>
  <c r="H34223" i="16"/>
  <c r="H34224" i="16"/>
  <c r="H34225" i="16"/>
  <c r="H34226" i="16"/>
  <c r="H34227" i="16"/>
  <c r="H34228" i="16"/>
  <c r="H34229" i="16"/>
  <c r="H34230" i="16"/>
  <c r="H34231" i="16"/>
  <c r="H34232" i="16"/>
  <c r="H34233" i="16"/>
  <c r="H34234" i="16"/>
  <c r="H34235" i="16"/>
  <c r="H34236" i="16"/>
  <c r="H34237" i="16"/>
  <c r="H34238" i="16"/>
  <c r="H34239" i="16"/>
  <c r="H34240" i="16"/>
  <c r="H34241" i="16"/>
  <c r="H34242" i="16"/>
  <c r="H34243" i="16"/>
  <c r="H34244" i="16"/>
  <c r="H34245" i="16"/>
  <c r="H34246" i="16"/>
  <c r="H34247" i="16"/>
  <c r="H34248" i="16"/>
  <c r="H34249" i="16"/>
  <c r="H34250" i="16"/>
  <c r="H34251" i="16"/>
  <c r="H34252" i="16"/>
  <c r="H34253" i="16"/>
  <c r="H34254" i="16"/>
  <c r="H34255" i="16"/>
  <c r="H34256" i="16"/>
  <c r="H34257" i="16"/>
  <c r="H34258" i="16"/>
  <c r="H34259" i="16"/>
  <c r="H34260" i="16"/>
  <c r="H34261" i="16"/>
  <c r="H34262" i="16"/>
  <c r="H34263" i="16"/>
  <c r="H34264" i="16"/>
  <c r="H34265" i="16"/>
  <c r="H34266" i="16"/>
  <c r="H34267" i="16"/>
  <c r="H34268" i="16"/>
  <c r="H34269" i="16"/>
  <c r="H34270" i="16"/>
  <c r="H34271" i="16"/>
  <c r="H34272" i="16"/>
  <c r="H34273" i="16"/>
  <c r="H34274" i="16"/>
  <c r="H34275" i="16"/>
  <c r="H34276" i="16"/>
  <c r="H34277" i="16"/>
  <c r="H34278" i="16"/>
  <c r="H34279" i="16"/>
  <c r="H34280" i="16"/>
  <c r="H34281" i="16"/>
  <c r="H34282" i="16"/>
  <c r="H34283" i="16"/>
  <c r="H34284" i="16"/>
  <c r="H34285" i="16"/>
  <c r="H34286" i="16"/>
  <c r="H34287" i="16"/>
  <c r="H34288" i="16"/>
  <c r="H34289" i="16"/>
  <c r="H34290" i="16"/>
  <c r="H34291" i="16"/>
  <c r="H34292" i="16"/>
  <c r="H34293" i="16"/>
  <c r="H34294" i="16"/>
  <c r="H34295" i="16"/>
  <c r="H34296" i="16"/>
  <c r="H34297" i="16"/>
  <c r="H34298" i="16"/>
  <c r="H34299" i="16"/>
  <c r="H34300" i="16"/>
  <c r="H34301" i="16"/>
  <c r="H34302" i="16"/>
  <c r="H34303" i="16"/>
  <c r="H34304" i="16"/>
  <c r="H34305" i="16"/>
  <c r="H34306" i="16"/>
  <c r="H34307" i="16"/>
  <c r="H34308" i="16"/>
  <c r="H34309" i="16"/>
  <c r="H34310" i="16"/>
  <c r="H34311" i="16"/>
  <c r="H34312" i="16"/>
  <c r="H34313" i="16"/>
  <c r="H34314" i="16"/>
  <c r="H34315" i="16"/>
  <c r="H34316" i="16"/>
  <c r="H34317" i="16"/>
  <c r="H34318" i="16"/>
  <c r="H34319" i="16"/>
  <c r="H34320" i="16"/>
  <c r="H34321" i="16"/>
  <c r="H34322" i="16"/>
  <c r="H34323" i="16"/>
  <c r="H34324" i="16"/>
  <c r="H34325" i="16"/>
  <c r="H34326" i="16"/>
  <c r="H34327" i="16"/>
  <c r="H34328" i="16"/>
  <c r="H34329" i="16"/>
  <c r="H34330" i="16"/>
  <c r="H34331" i="16"/>
  <c r="H34332" i="16"/>
  <c r="H34333" i="16"/>
  <c r="H34334" i="16"/>
  <c r="H34335" i="16"/>
  <c r="H34336" i="16"/>
  <c r="H34337" i="16"/>
  <c r="H34338" i="16"/>
  <c r="H34339" i="16"/>
  <c r="H34340" i="16"/>
  <c r="H34341" i="16"/>
  <c r="H34342" i="16"/>
  <c r="H34343" i="16"/>
  <c r="H34344" i="16"/>
  <c r="H34345" i="16"/>
  <c r="H34346" i="16"/>
  <c r="H34347" i="16"/>
  <c r="H34348" i="16"/>
  <c r="H34349" i="16"/>
  <c r="H34350" i="16"/>
  <c r="H34351" i="16"/>
  <c r="H34352" i="16"/>
  <c r="H34353" i="16"/>
  <c r="H34354" i="16"/>
  <c r="H34355" i="16"/>
  <c r="H34356" i="16"/>
  <c r="H34357" i="16"/>
  <c r="H34358" i="16"/>
  <c r="H34359" i="16"/>
  <c r="H34360" i="16"/>
  <c r="H34361" i="16"/>
  <c r="H34362" i="16"/>
  <c r="H34363" i="16"/>
  <c r="H34364" i="16"/>
  <c r="H34365" i="16"/>
  <c r="H34366" i="16"/>
  <c r="H34367" i="16"/>
  <c r="H34368" i="16"/>
  <c r="H34369" i="16"/>
  <c r="H34370" i="16"/>
  <c r="H34371" i="16"/>
  <c r="H34372" i="16"/>
  <c r="H34373" i="16"/>
  <c r="H34374" i="16"/>
  <c r="H34375" i="16"/>
  <c r="H34376" i="16"/>
  <c r="H34377" i="16"/>
  <c r="H34378" i="16"/>
  <c r="H34379" i="16"/>
  <c r="H34380" i="16"/>
  <c r="H34381" i="16"/>
  <c r="H34382" i="16"/>
  <c r="H34383" i="16"/>
  <c r="H34384" i="16"/>
  <c r="H34385" i="16"/>
  <c r="H34386" i="16"/>
  <c r="H34387" i="16"/>
  <c r="H34388" i="16"/>
  <c r="H34389" i="16"/>
  <c r="H34390" i="16"/>
  <c r="H34391" i="16"/>
  <c r="H34392" i="16"/>
  <c r="H34393" i="16"/>
  <c r="H34394" i="16"/>
  <c r="H34395" i="16"/>
  <c r="H34396" i="16"/>
  <c r="H34397" i="16"/>
  <c r="H34398" i="16"/>
  <c r="H34399" i="16"/>
  <c r="H34400" i="16"/>
  <c r="H34401" i="16"/>
  <c r="H34402" i="16"/>
  <c r="H34403" i="16"/>
  <c r="H34404" i="16"/>
  <c r="H34405" i="16"/>
  <c r="H34406" i="16"/>
  <c r="H34407" i="16"/>
  <c r="H34408" i="16"/>
  <c r="H34409" i="16"/>
  <c r="H34410" i="16"/>
  <c r="H34411" i="16"/>
  <c r="H34412" i="16"/>
  <c r="H34413" i="16"/>
  <c r="H34414" i="16"/>
  <c r="H34415" i="16"/>
  <c r="H34416" i="16"/>
  <c r="H34417" i="16"/>
  <c r="H34418" i="16"/>
  <c r="H34419" i="16"/>
  <c r="H34420" i="16"/>
  <c r="H34421" i="16"/>
  <c r="H34422" i="16"/>
  <c r="H34423" i="16"/>
  <c r="H34424" i="16"/>
  <c r="H34425" i="16"/>
  <c r="H34426" i="16"/>
  <c r="H34427" i="16"/>
  <c r="H34428" i="16"/>
  <c r="H34429" i="16"/>
  <c r="H34430" i="16"/>
  <c r="H34431" i="16"/>
  <c r="H34432" i="16"/>
  <c r="H34433" i="16"/>
  <c r="H34434" i="16"/>
  <c r="H34435" i="16"/>
  <c r="H34436" i="16"/>
  <c r="H34437" i="16"/>
  <c r="H34438" i="16"/>
  <c r="H34439" i="16"/>
  <c r="H34440" i="16"/>
  <c r="H34441" i="16"/>
  <c r="H34442" i="16"/>
  <c r="H34443" i="16"/>
  <c r="H34444" i="16"/>
  <c r="H34445" i="16"/>
  <c r="H34446" i="16"/>
  <c r="H34447" i="16"/>
  <c r="H34448" i="16"/>
  <c r="H34449" i="16"/>
  <c r="H34450" i="16"/>
  <c r="H34451" i="16"/>
  <c r="H34452" i="16"/>
  <c r="H34453" i="16"/>
  <c r="H34454" i="16"/>
  <c r="H34455" i="16"/>
  <c r="H34456" i="16"/>
  <c r="H34457" i="16"/>
  <c r="H34458" i="16"/>
  <c r="H34459" i="16"/>
  <c r="H34460" i="16"/>
  <c r="H34461" i="16"/>
  <c r="H34462" i="16"/>
  <c r="H34463" i="16"/>
  <c r="H34464" i="16"/>
  <c r="H34465" i="16"/>
  <c r="H34466" i="16"/>
  <c r="H34467" i="16"/>
  <c r="H34468" i="16"/>
  <c r="H34469" i="16"/>
  <c r="H34470" i="16"/>
  <c r="H34471" i="16"/>
  <c r="H34472" i="16"/>
  <c r="H34473" i="16"/>
  <c r="H34474" i="16"/>
  <c r="H34475" i="16"/>
  <c r="H34476" i="16"/>
  <c r="H34477" i="16"/>
  <c r="H34478" i="16"/>
  <c r="H34479" i="16"/>
  <c r="H34480" i="16"/>
  <c r="H34481" i="16"/>
  <c r="H34482" i="16"/>
  <c r="H34483" i="16"/>
  <c r="H34484" i="16"/>
  <c r="H34485" i="16"/>
  <c r="H34486" i="16"/>
  <c r="H34487" i="16"/>
  <c r="H34488" i="16"/>
  <c r="H34489" i="16"/>
  <c r="H34490" i="16"/>
  <c r="H34491" i="16"/>
  <c r="H34492" i="16"/>
  <c r="H34493" i="16"/>
  <c r="H34494" i="16"/>
  <c r="H34495" i="16"/>
  <c r="H34496" i="16"/>
  <c r="H34497" i="16"/>
  <c r="H34498" i="16"/>
  <c r="H34499" i="16"/>
  <c r="H34500" i="16"/>
  <c r="H34501" i="16"/>
  <c r="H34502" i="16"/>
  <c r="H34503" i="16"/>
  <c r="H34504" i="16"/>
  <c r="H34505" i="16"/>
  <c r="H34506" i="16"/>
  <c r="H34507" i="16"/>
  <c r="H34508" i="16"/>
  <c r="H34509" i="16"/>
  <c r="H34510" i="16"/>
  <c r="H34511" i="16"/>
  <c r="H34512" i="16"/>
  <c r="H34513" i="16"/>
  <c r="H34514" i="16"/>
  <c r="H34515" i="16"/>
  <c r="H34516" i="16"/>
  <c r="H34517" i="16"/>
  <c r="H34518" i="16"/>
  <c r="H34519" i="16"/>
  <c r="H34520" i="16"/>
  <c r="H34521" i="16"/>
  <c r="H34522" i="16"/>
  <c r="H34523" i="16"/>
  <c r="H34524" i="16"/>
  <c r="H34525" i="16"/>
  <c r="H34526" i="16"/>
  <c r="H34527" i="16"/>
  <c r="H34528" i="16"/>
  <c r="H34529" i="16"/>
  <c r="H34530" i="16"/>
  <c r="H34531" i="16"/>
  <c r="H34532" i="16"/>
  <c r="H34533" i="16"/>
  <c r="H34534" i="16"/>
  <c r="H34535" i="16"/>
  <c r="H34536" i="16"/>
  <c r="H34537" i="16"/>
  <c r="H34538" i="16"/>
  <c r="H34539" i="16"/>
  <c r="H34540" i="16"/>
  <c r="H34541" i="16"/>
  <c r="H34542" i="16"/>
  <c r="H34543" i="16"/>
  <c r="H34544" i="16"/>
  <c r="H34545" i="16"/>
  <c r="H34546" i="16"/>
  <c r="H34547" i="16"/>
  <c r="H34548" i="16"/>
  <c r="H34549" i="16"/>
  <c r="H34550" i="16"/>
  <c r="H34551" i="16"/>
  <c r="H34552" i="16"/>
  <c r="H34553" i="16"/>
  <c r="H34554" i="16"/>
  <c r="H34555" i="16"/>
  <c r="H34556" i="16"/>
  <c r="H34557" i="16"/>
  <c r="H34558" i="16"/>
  <c r="H34559" i="16"/>
  <c r="H34560" i="16"/>
  <c r="H34561" i="16"/>
  <c r="H34562" i="16"/>
  <c r="H34563" i="16"/>
  <c r="H34564" i="16"/>
  <c r="H34565" i="16"/>
  <c r="H34566" i="16"/>
  <c r="H34567" i="16"/>
  <c r="H34568" i="16"/>
  <c r="H34569" i="16"/>
  <c r="H34570" i="16"/>
  <c r="H34571" i="16"/>
  <c r="H34572" i="16"/>
  <c r="H34573" i="16"/>
  <c r="H34574" i="16"/>
  <c r="H34575" i="16"/>
  <c r="H34576" i="16"/>
  <c r="H34577" i="16"/>
  <c r="H34578" i="16"/>
  <c r="H34579" i="16"/>
  <c r="H34580" i="16"/>
  <c r="H34581" i="16"/>
  <c r="H34582" i="16"/>
  <c r="H34583" i="16"/>
  <c r="H34584" i="16"/>
  <c r="H34585" i="16"/>
  <c r="H34586" i="16"/>
  <c r="H34587" i="16"/>
  <c r="H34588" i="16"/>
  <c r="H34589" i="16"/>
  <c r="H34590" i="16"/>
  <c r="H34591" i="16"/>
  <c r="H34592" i="16"/>
  <c r="H34593" i="16"/>
  <c r="H34594" i="16"/>
  <c r="H34595" i="16"/>
  <c r="H34596" i="16"/>
  <c r="H34597" i="16"/>
  <c r="H34598" i="16"/>
  <c r="H34599" i="16"/>
  <c r="H34600" i="16"/>
  <c r="H34601" i="16"/>
  <c r="H34602" i="16"/>
  <c r="H34603" i="16"/>
  <c r="H34604" i="16"/>
  <c r="H34605" i="16"/>
  <c r="H34606" i="16"/>
  <c r="H34607" i="16"/>
  <c r="H34608" i="16"/>
  <c r="H34609" i="16"/>
  <c r="H34610" i="16"/>
  <c r="H34611" i="16"/>
  <c r="H34612" i="16"/>
  <c r="H34613" i="16"/>
  <c r="H34614" i="16"/>
  <c r="H34615" i="16"/>
  <c r="H34616" i="16"/>
  <c r="H34617" i="16"/>
  <c r="H34618" i="16"/>
  <c r="H34619" i="16"/>
  <c r="H34620" i="16"/>
  <c r="H34621" i="16"/>
  <c r="H34622" i="16"/>
  <c r="H34623" i="16"/>
  <c r="H34624" i="16"/>
  <c r="H34625" i="16"/>
  <c r="H34626" i="16"/>
  <c r="H34627" i="16"/>
  <c r="H34628" i="16"/>
  <c r="H34629" i="16"/>
  <c r="H34630" i="16"/>
  <c r="H34631" i="16"/>
  <c r="H34632" i="16"/>
  <c r="H34633" i="16"/>
  <c r="H34634" i="16"/>
  <c r="H34635" i="16"/>
  <c r="H34636" i="16"/>
  <c r="H34637" i="16"/>
  <c r="H34638" i="16"/>
  <c r="H34639" i="16"/>
  <c r="H34640" i="16"/>
  <c r="H34641" i="16"/>
  <c r="H34642" i="16"/>
  <c r="H34643" i="16"/>
  <c r="H34644" i="16"/>
  <c r="H34645" i="16"/>
  <c r="H34646" i="16"/>
  <c r="H34647" i="16"/>
  <c r="H34648" i="16"/>
  <c r="H34649" i="16"/>
  <c r="H34650" i="16"/>
  <c r="H34651" i="16"/>
  <c r="H34652" i="16"/>
  <c r="H34653" i="16"/>
  <c r="H34654" i="16"/>
  <c r="H34655" i="16"/>
  <c r="H34656" i="16"/>
  <c r="H34657" i="16"/>
  <c r="H34658" i="16"/>
  <c r="H34659" i="16"/>
  <c r="H34660" i="16"/>
  <c r="H34661" i="16"/>
  <c r="H34662" i="16"/>
  <c r="H34663" i="16"/>
  <c r="H34664" i="16"/>
  <c r="H34665" i="16"/>
  <c r="H34666" i="16"/>
  <c r="H34667" i="16"/>
  <c r="H34668" i="16"/>
  <c r="H34669" i="16"/>
  <c r="H34670" i="16"/>
  <c r="H34671" i="16"/>
  <c r="H34672" i="16"/>
  <c r="H34673" i="16"/>
  <c r="H34674" i="16"/>
  <c r="H34675" i="16"/>
  <c r="H34676" i="16"/>
  <c r="H34677" i="16"/>
  <c r="H34678" i="16"/>
  <c r="H34679" i="16"/>
  <c r="H34680" i="16"/>
  <c r="H34681" i="16"/>
  <c r="H34682" i="16"/>
  <c r="H34683" i="16"/>
  <c r="H34684" i="16"/>
  <c r="H34685" i="16"/>
  <c r="H34686" i="16"/>
  <c r="H34687" i="16"/>
  <c r="H34688" i="16"/>
  <c r="H34689" i="16"/>
  <c r="H34690" i="16"/>
  <c r="H34691" i="16"/>
  <c r="H34692" i="16"/>
  <c r="H34693" i="16"/>
  <c r="H34694" i="16"/>
  <c r="H34695" i="16"/>
  <c r="H34696" i="16"/>
  <c r="H34697" i="16"/>
  <c r="H34698" i="16"/>
  <c r="H34699" i="16"/>
  <c r="H34700" i="16"/>
  <c r="H34701" i="16"/>
  <c r="H34702" i="16"/>
  <c r="H34703" i="16"/>
  <c r="H34704" i="16"/>
  <c r="H34705" i="16"/>
  <c r="H34706" i="16"/>
  <c r="H34707" i="16"/>
  <c r="H34708" i="16"/>
  <c r="H34709" i="16"/>
  <c r="H34710" i="16"/>
  <c r="H34711" i="16"/>
  <c r="H34712" i="16"/>
  <c r="H34713" i="16"/>
  <c r="H34714" i="16"/>
  <c r="H34715" i="16"/>
  <c r="H34716" i="16"/>
  <c r="H34717" i="16"/>
  <c r="H34718" i="16"/>
  <c r="H34719" i="16"/>
  <c r="H34720" i="16"/>
  <c r="H34721" i="16"/>
  <c r="H34722" i="16"/>
  <c r="H34723" i="16"/>
  <c r="H34724" i="16"/>
  <c r="H34725" i="16"/>
  <c r="H34726" i="16"/>
  <c r="H34727" i="16"/>
  <c r="H34728" i="16"/>
  <c r="H34729" i="16"/>
  <c r="H34730" i="16"/>
  <c r="H34731" i="16"/>
  <c r="H34732" i="16"/>
  <c r="H34733" i="16"/>
  <c r="H34734" i="16"/>
  <c r="H34735" i="16"/>
  <c r="H34736" i="16"/>
  <c r="H34737" i="16"/>
  <c r="H34738" i="16"/>
  <c r="H34739" i="16"/>
  <c r="H34740" i="16"/>
  <c r="H34741" i="16"/>
  <c r="H34742" i="16"/>
  <c r="H34743" i="16"/>
  <c r="H34744" i="16"/>
  <c r="H34745" i="16"/>
  <c r="H34746" i="16"/>
  <c r="H34747" i="16"/>
  <c r="H34748" i="16"/>
  <c r="H34749" i="16"/>
  <c r="H34750" i="16"/>
  <c r="H34751" i="16"/>
  <c r="H34752" i="16"/>
  <c r="H34753" i="16"/>
  <c r="H34754" i="16"/>
  <c r="H34755" i="16"/>
  <c r="H34756" i="16"/>
  <c r="H34757" i="16"/>
  <c r="H34758" i="16"/>
  <c r="H34759" i="16"/>
  <c r="H34760" i="16"/>
  <c r="H34761" i="16"/>
  <c r="H34762" i="16"/>
  <c r="H34763" i="16"/>
  <c r="H34764" i="16"/>
  <c r="H34765" i="16"/>
  <c r="H34766" i="16"/>
  <c r="H34767" i="16"/>
  <c r="H34768" i="16"/>
  <c r="H34769" i="16"/>
  <c r="H34770" i="16"/>
  <c r="H34771" i="16"/>
  <c r="H34772" i="16"/>
  <c r="H34773" i="16"/>
  <c r="H34774" i="16"/>
  <c r="H34775" i="16"/>
  <c r="H34776" i="16"/>
  <c r="H34777" i="16"/>
  <c r="H34778" i="16"/>
  <c r="H34779" i="16"/>
  <c r="H34780" i="16"/>
  <c r="H34781" i="16"/>
  <c r="H34782" i="16"/>
  <c r="H34783" i="16"/>
  <c r="H34784" i="16"/>
  <c r="H34785" i="16"/>
  <c r="H34786" i="16"/>
  <c r="H34787" i="16"/>
  <c r="H34788" i="16"/>
  <c r="H34789" i="16"/>
  <c r="H34790" i="16"/>
  <c r="H34791" i="16"/>
  <c r="H34792" i="16"/>
  <c r="H34793" i="16"/>
  <c r="H34794" i="16"/>
  <c r="H34795" i="16"/>
  <c r="H34796" i="16"/>
  <c r="H34797" i="16"/>
  <c r="H34798" i="16"/>
  <c r="H34799" i="16"/>
  <c r="H34800" i="16"/>
  <c r="H34801" i="16"/>
  <c r="H34802" i="16"/>
  <c r="H34803" i="16"/>
  <c r="H34804" i="16"/>
  <c r="H34805" i="16"/>
  <c r="H34806" i="16"/>
  <c r="H34807" i="16"/>
  <c r="H34808" i="16"/>
  <c r="H34809" i="16"/>
  <c r="H34810" i="16"/>
  <c r="H34811" i="16"/>
  <c r="H34812" i="16"/>
  <c r="H34813" i="16"/>
  <c r="H34814" i="16"/>
  <c r="H34815" i="16"/>
  <c r="H34816" i="16"/>
  <c r="H34817" i="16"/>
  <c r="H34818" i="16"/>
  <c r="H34819" i="16"/>
  <c r="H34820" i="16"/>
  <c r="H34821" i="16"/>
  <c r="H34822" i="16"/>
  <c r="H34823" i="16"/>
  <c r="H34824" i="16"/>
  <c r="H34825" i="16"/>
  <c r="H34826" i="16"/>
  <c r="H34827" i="16"/>
  <c r="H34828" i="16"/>
  <c r="H34829" i="16"/>
  <c r="H34830" i="16"/>
  <c r="H34831" i="16"/>
  <c r="H34832" i="16"/>
  <c r="H34833" i="16"/>
  <c r="H34834" i="16"/>
  <c r="H34835" i="16"/>
  <c r="H34836" i="16"/>
  <c r="H34837" i="16"/>
  <c r="H34838" i="16"/>
  <c r="H34839" i="16"/>
  <c r="H34840" i="16"/>
  <c r="H34841" i="16"/>
  <c r="H34842" i="16"/>
  <c r="H34843" i="16"/>
  <c r="H34844" i="16"/>
  <c r="H34845" i="16"/>
  <c r="H34846" i="16"/>
  <c r="H34847" i="16"/>
  <c r="H34848" i="16"/>
  <c r="H34849" i="16"/>
  <c r="H34850" i="16"/>
  <c r="H34851" i="16"/>
  <c r="H34852" i="16"/>
  <c r="H34853" i="16"/>
  <c r="H34854" i="16"/>
  <c r="H34855" i="16"/>
  <c r="H34856" i="16"/>
  <c r="H34857" i="16"/>
  <c r="H34858" i="16"/>
  <c r="H34859" i="16"/>
  <c r="H34860" i="16"/>
  <c r="H34861" i="16"/>
  <c r="H34862" i="16"/>
  <c r="H34863" i="16"/>
  <c r="H34864" i="16"/>
  <c r="H34865" i="16"/>
  <c r="H34866" i="16"/>
  <c r="H34867" i="16"/>
  <c r="H34868" i="16"/>
  <c r="H34869" i="16"/>
  <c r="H34870" i="16"/>
  <c r="H34871" i="16"/>
  <c r="H34872" i="16"/>
  <c r="H34873" i="16"/>
  <c r="H34874" i="16"/>
  <c r="H34875" i="16"/>
  <c r="H34876" i="16"/>
  <c r="H34877" i="16"/>
  <c r="H34878" i="16"/>
  <c r="H34879" i="16"/>
  <c r="H34880" i="16"/>
  <c r="H34881" i="16"/>
  <c r="H34882" i="16"/>
  <c r="H34883" i="16"/>
  <c r="H34884" i="16"/>
  <c r="H34885" i="16"/>
  <c r="H34886" i="16"/>
  <c r="H34887" i="16"/>
  <c r="H34888" i="16"/>
  <c r="H34889" i="16"/>
  <c r="H34890" i="16"/>
  <c r="H34891" i="16"/>
  <c r="H34892" i="16"/>
  <c r="H34893" i="16"/>
  <c r="H34894" i="16"/>
  <c r="H34895" i="16"/>
  <c r="H34896" i="16"/>
  <c r="H34897" i="16"/>
  <c r="H34898" i="16"/>
  <c r="H34899" i="16"/>
  <c r="H34900" i="16"/>
  <c r="H34901" i="16"/>
  <c r="H34902" i="16"/>
  <c r="H34903" i="16"/>
  <c r="H34904" i="16"/>
  <c r="H34905" i="16"/>
  <c r="H34906" i="16"/>
  <c r="H34907" i="16"/>
  <c r="H34908" i="16"/>
  <c r="H34909" i="16"/>
  <c r="H34910" i="16"/>
  <c r="H34911" i="16"/>
  <c r="H34912" i="16"/>
  <c r="H34913" i="16"/>
  <c r="H34914" i="16"/>
  <c r="H34915" i="16"/>
  <c r="H34916" i="16"/>
  <c r="H34917" i="16"/>
  <c r="H34918" i="16"/>
  <c r="H34919" i="16"/>
  <c r="H34920" i="16"/>
  <c r="H34921" i="16"/>
  <c r="H34922" i="16"/>
  <c r="H34923" i="16"/>
  <c r="H34924" i="16"/>
  <c r="H34925" i="16"/>
  <c r="H34926" i="16"/>
  <c r="H34927" i="16"/>
  <c r="H34928" i="16"/>
  <c r="H34929" i="16"/>
  <c r="H34930" i="16"/>
  <c r="H34931" i="16"/>
  <c r="H34932" i="16"/>
  <c r="H34933" i="16"/>
  <c r="H34934" i="16"/>
  <c r="H34935" i="16"/>
  <c r="H34936" i="16"/>
  <c r="H34937" i="16"/>
  <c r="H34938" i="16"/>
  <c r="H34939" i="16"/>
  <c r="H34940" i="16"/>
  <c r="H34941" i="16"/>
  <c r="H34942" i="16"/>
  <c r="H34943" i="16"/>
  <c r="H34944" i="16"/>
  <c r="H34945" i="16"/>
  <c r="H34946" i="16"/>
  <c r="H34947" i="16"/>
  <c r="H34948" i="16"/>
  <c r="H34949" i="16"/>
  <c r="H34950" i="16"/>
  <c r="H34951" i="16"/>
  <c r="H34952" i="16"/>
  <c r="H34953" i="16"/>
  <c r="H34954" i="16"/>
  <c r="H34955" i="16"/>
  <c r="H34956" i="16"/>
  <c r="H34957" i="16"/>
  <c r="H34958" i="16"/>
  <c r="H34959" i="16"/>
  <c r="H34960" i="16"/>
  <c r="H34961" i="16"/>
  <c r="H34962" i="16"/>
  <c r="H34963" i="16"/>
  <c r="H34964" i="16"/>
  <c r="H34965" i="16"/>
  <c r="H34966" i="16"/>
  <c r="H34967" i="16"/>
  <c r="H34968" i="16"/>
  <c r="H34969" i="16"/>
  <c r="H34970" i="16"/>
  <c r="H34971" i="16"/>
  <c r="H34972" i="16"/>
  <c r="H34973" i="16"/>
  <c r="H34974" i="16"/>
  <c r="H34975" i="16"/>
  <c r="H34976" i="16"/>
  <c r="H34977" i="16"/>
  <c r="H34978" i="16"/>
  <c r="H34979" i="16"/>
  <c r="H34980" i="16"/>
  <c r="H34981" i="16"/>
  <c r="H34982" i="16"/>
  <c r="H34983" i="16"/>
  <c r="H34984" i="16"/>
  <c r="H34985" i="16"/>
  <c r="H34986" i="16"/>
  <c r="H34987" i="16"/>
  <c r="H34988" i="16"/>
  <c r="H34989" i="16"/>
  <c r="H34990" i="16"/>
  <c r="H34991" i="16"/>
  <c r="H34992" i="16"/>
  <c r="H34993" i="16"/>
  <c r="H34994" i="16"/>
  <c r="H34995" i="16"/>
  <c r="H34996" i="16"/>
  <c r="H34997" i="16"/>
  <c r="H34998" i="16"/>
  <c r="H34999" i="16"/>
  <c r="H35000" i="16"/>
  <c r="H35001" i="16"/>
  <c r="H35002" i="16"/>
  <c r="H35003" i="16"/>
  <c r="H35004" i="16"/>
  <c r="H35005" i="16"/>
  <c r="H35006" i="16"/>
  <c r="H35007" i="16"/>
  <c r="H35008" i="16"/>
  <c r="H35009" i="16"/>
  <c r="H35010" i="16"/>
  <c r="H35011" i="16"/>
  <c r="H35012" i="16"/>
  <c r="H35013" i="16"/>
  <c r="H35014" i="16"/>
  <c r="H35015" i="16"/>
  <c r="H35016" i="16"/>
  <c r="H35017" i="16"/>
  <c r="H35018" i="16"/>
  <c r="H35019" i="16"/>
  <c r="H35020" i="16"/>
  <c r="H35021" i="16"/>
  <c r="H35022" i="16"/>
  <c r="H35023" i="16"/>
  <c r="H35024" i="16"/>
  <c r="H35025" i="16"/>
  <c r="H35026" i="16"/>
  <c r="H35027" i="16"/>
  <c r="H35028" i="16"/>
  <c r="H35029" i="16"/>
  <c r="H35030" i="16"/>
  <c r="H35031" i="16"/>
  <c r="H35032" i="16"/>
  <c r="H35033" i="16"/>
  <c r="H35034" i="16"/>
  <c r="H35035" i="16"/>
  <c r="H35036" i="16"/>
  <c r="H35037" i="16"/>
  <c r="H35038" i="16"/>
  <c r="H35039" i="16"/>
  <c r="H35040" i="16"/>
  <c r="H35041" i="16"/>
  <c r="H35042" i="16"/>
  <c r="H35043" i="16"/>
  <c r="H35044" i="16"/>
  <c r="H35045" i="16"/>
  <c r="H35046" i="16"/>
  <c r="H35047" i="16"/>
  <c r="H35048" i="16"/>
  <c r="H35049" i="16"/>
  <c r="H35050" i="16"/>
  <c r="H35051" i="16"/>
  <c r="H35052" i="16"/>
  <c r="H35053" i="16"/>
  <c r="H35054" i="16"/>
  <c r="H35055" i="16"/>
  <c r="H35056" i="16"/>
  <c r="H35057" i="16"/>
  <c r="H35058" i="16"/>
  <c r="H35059" i="16"/>
  <c r="H35060" i="16"/>
  <c r="H35061" i="16"/>
  <c r="H35062" i="16"/>
  <c r="H35063" i="16"/>
  <c r="H35064" i="16"/>
  <c r="H35065" i="16"/>
  <c r="H35066" i="16"/>
  <c r="H35067" i="16"/>
  <c r="H35068" i="16"/>
  <c r="H35069" i="16"/>
  <c r="H35070" i="16"/>
  <c r="H35071" i="16"/>
  <c r="H35072" i="16"/>
  <c r="H35073" i="16"/>
  <c r="H35074" i="16"/>
  <c r="H35075" i="16"/>
  <c r="H35076" i="16"/>
  <c r="H35077" i="16"/>
  <c r="H35078" i="16"/>
  <c r="H35079" i="16"/>
  <c r="H35080" i="16"/>
  <c r="H35081" i="16"/>
  <c r="H35082" i="16"/>
  <c r="H35083" i="16"/>
  <c r="H35084" i="16"/>
  <c r="H35085" i="16"/>
  <c r="H35086" i="16"/>
  <c r="H35087" i="16"/>
  <c r="H35088" i="16"/>
  <c r="H35089" i="16"/>
  <c r="H35090" i="16"/>
  <c r="H35091" i="16"/>
  <c r="H35092" i="16"/>
  <c r="H35093" i="16"/>
  <c r="H35094" i="16"/>
  <c r="H35095" i="16"/>
  <c r="H35096" i="16"/>
  <c r="H35097" i="16"/>
  <c r="H35098" i="16"/>
  <c r="H35099" i="16"/>
  <c r="H35100" i="16"/>
  <c r="H35101" i="16"/>
  <c r="H35102" i="16"/>
  <c r="H35103" i="16"/>
  <c r="H35104" i="16"/>
  <c r="H35105" i="16"/>
  <c r="H35106" i="16"/>
  <c r="H35107" i="16"/>
  <c r="H35108" i="16"/>
  <c r="H35109" i="16"/>
  <c r="H35110" i="16"/>
  <c r="H35111" i="16"/>
  <c r="H35112" i="16"/>
  <c r="H35113" i="16"/>
  <c r="H35114" i="16"/>
  <c r="H35115" i="16"/>
  <c r="H35116" i="16"/>
  <c r="H35117" i="16"/>
  <c r="H35118" i="16"/>
  <c r="H35119" i="16"/>
  <c r="H35120" i="16"/>
  <c r="H35121" i="16"/>
  <c r="H35122" i="16"/>
  <c r="H35123" i="16"/>
  <c r="H35124" i="16"/>
  <c r="H35125" i="16"/>
  <c r="H35126" i="16"/>
  <c r="H35127" i="16"/>
  <c r="H35128" i="16"/>
  <c r="H35129" i="16"/>
  <c r="H35130" i="16"/>
  <c r="H35131" i="16"/>
  <c r="H35132" i="16"/>
  <c r="H35133" i="16"/>
  <c r="H35134" i="16"/>
  <c r="H35135" i="16"/>
  <c r="H35136" i="16"/>
  <c r="H35137" i="16"/>
  <c r="H35138" i="16"/>
  <c r="H35139" i="16"/>
  <c r="H35140" i="16"/>
  <c r="H35141" i="16"/>
  <c r="H35142" i="16"/>
  <c r="H35143" i="16"/>
  <c r="H35144" i="16"/>
  <c r="H35145" i="16"/>
  <c r="H35146" i="16"/>
  <c r="H35147" i="16"/>
  <c r="H35148" i="16"/>
  <c r="H35149" i="16"/>
  <c r="H35150" i="16"/>
  <c r="H35151" i="16"/>
  <c r="H35152" i="16"/>
  <c r="H35153" i="16"/>
  <c r="H35154" i="16"/>
  <c r="H35155" i="16"/>
  <c r="H35156" i="16"/>
  <c r="H35157" i="16"/>
  <c r="H35158" i="16"/>
  <c r="H35159" i="16"/>
  <c r="H35160" i="16"/>
  <c r="H35161" i="16"/>
  <c r="H35162" i="16"/>
  <c r="H35163" i="16"/>
  <c r="H35164" i="16"/>
  <c r="H35165" i="16"/>
  <c r="H35166" i="16"/>
  <c r="H35167" i="16"/>
  <c r="H35168" i="16"/>
  <c r="H35169" i="16"/>
  <c r="H35170" i="16"/>
  <c r="H35171" i="16"/>
  <c r="H35172" i="16"/>
  <c r="H35173" i="16"/>
  <c r="H35174" i="16"/>
  <c r="H35175" i="16"/>
  <c r="H35176" i="16"/>
  <c r="H35177" i="16"/>
  <c r="H35178" i="16"/>
  <c r="H35179" i="16"/>
  <c r="H35180" i="16"/>
  <c r="H35181" i="16"/>
  <c r="H35182" i="16"/>
  <c r="H35183" i="16"/>
  <c r="H35184" i="16"/>
  <c r="H35185" i="16"/>
  <c r="H35186" i="16"/>
  <c r="H35187" i="16"/>
  <c r="H35188" i="16"/>
  <c r="H35189" i="16"/>
  <c r="H35190" i="16"/>
  <c r="H35191" i="16"/>
  <c r="H35192" i="16"/>
  <c r="H35193" i="16"/>
  <c r="H35194" i="16"/>
  <c r="H35195" i="16"/>
  <c r="H35196" i="16"/>
  <c r="H35197" i="16"/>
  <c r="H35198" i="16"/>
  <c r="H35199" i="16"/>
  <c r="H35200" i="16"/>
  <c r="H35201" i="16"/>
  <c r="H35202" i="16"/>
  <c r="H35203" i="16"/>
  <c r="H35204" i="16"/>
  <c r="H35205" i="16"/>
  <c r="H35206" i="16"/>
  <c r="H35207" i="16"/>
  <c r="H35208" i="16"/>
  <c r="H35209" i="16"/>
  <c r="H35210" i="16"/>
  <c r="H35211" i="16"/>
  <c r="H35212" i="16"/>
  <c r="H35213" i="16"/>
  <c r="H35214" i="16"/>
  <c r="H35215" i="16"/>
  <c r="H35216" i="16"/>
  <c r="H35217" i="16"/>
  <c r="H35218" i="16"/>
  <c r="H35219" i="16"/>
  <c r="H35220" i="16"/>
  <c r="H35221" i="16"/>
  <c r="H35222" i="16"/>
  <c r="H35223" i="16"/>
  <c r="H35224" i="16"/>
  <c r="H35225" i="16"/>
  <c r="H35226" i="16"/>
  <c r="H35227" i="16"/>
  <c r="H35228" i="16"/>
  <c r="H35229" i="16"/>
  <c r="H35230" i="16"/>
  <c r="H35231" i="16"/>
  <c r="H35232" i="16"/>
  <c r="H35233" i="16"/>
  <c r="H35234" i="16"/>
  <c r="H35235" i="16"/>
  <c r="H35236" i="16"/>
  <c r="H35237" i="16"/>
  <c r="H35238" i="16"/>
  <c r="H35239" i="16"/>
  <c r="H35240" i="16"/>
  <c r="H35241" i="16"/>
  <c r="H35242" i="16"/>
  <c r="H35243" i="16"/>
  <c r="H35244" i="16"/>
  <c r="H35245" i="16"/>
  <c r="H35246" i="16"/>
  <c r="H35247" i="16"/>
  <c r="H35248" i="16"/>
  <c r="H35249" i="16"/>
  <c r="H35250" i="16"/>
  <c r="H35251" i="16"/>
  <c r="H35252" i="16"/>
  <c r="H35253" i="16"/>
  <c r="H35254" i="16"/>
  <c r="H35255" i="16"/>
  <c r="H35256" i="16"/>
  <c r="H35257" i="16"/>
  <c r="H35258" i="16"/>
  <c r="H35259" i="16"/>
  <c r="H35260" i="16"/>
  <c r="H35261" i="16"/>
  <c r="H35262" i="16"/>
  <c r="H35263" i="16"/>
  <c r="H35264" i="16"/>
  <c r="H35265" i="16"/>
  <c r="H35266" i="16"/>
  <c r="H35267" i="16"/>
  <c r="H35268" i="16"/>
  <c r="H35269" i="16"/>
  <c r="H35270" i="16"/>
  <c r="H35271" i="16"/>
  <c r="H35272" i="16"/>
  <c r="H35273" i="16"/>
  <c r="H35274" i="16"/>
  <c r="H35275" i="16"/>
  <c r="H35276" i="16"/>
  <c r="H35277" i="16"/>
  <c r="H35278" i="16"/>
  <c r="H35279" i="16"/>
  <c r="H35280" i="16"/>
  <c r="H35281" i="16"/>
  <c r="H35282" i="16"/>
  <c r="H35283" i="16"/>
  <c r="H35284" i="16"/>
  <c r="H35285" i="16"/>
  <c r="H35286" i="16"/>
  <c r="H35287" i="16"/>
  <c r="H35288" i="16"/>
  <c r="H35289" i="16"/>
  <c r="H35290" i="16"/>
  <c r="H35291" i="16"/>
  <c r="H35292" i="16"/>
  <c r="H35293" i="16"/>
  <c r="H35294" i="16"/>
  <c r="H35295" i="16"/>
  <c r="H35296" i="16"/>
  <c r="H35297" i="16"/>
  <c r="H35298" i="16"/>
  <c r="H35299" i="16"/>
  <c r="H35300" i="16"/>
  <c r="H35301" i="16"/>
  <c r="H35302" i="16"/>
  <c r="H35303" i="16"/>
  <c r="H35304" i="16"/>
  <c r="H35305" i="16"/>
  <c r="H35306" i="16"/>
  <c r="H35307" i="16"/>
  <c r="H35308" i="16"/>
  <c r="H35309" i="16"/>
  <c r="H35310" i="16"/>
  <c r="H35311" i="16"/>
  <c r="H35312" i="16"/>
  <c r="H35313" i="16"/>
  <c r="H35314" i="16"/>
  <c r="H35315" i="16"/>
  <c r="H35316" i="16"/>
  <c r="H35317" i="16"/>
  <c r="H35318" i="16"/>
  <c r="H35319" i="16"/>
  <c r="H35320" i="16"/>
  <c r="H35321" i="16"/>
  <c r="H35322" i="16"/>
  <c r="H35323" i="16"/>
  <c r="H35324" i="16"/>
  <c r="H35325" i="16"/>
  <c r="H35326" i="16"/>
  <c r="H35327" i="16"/>
  <c r="H35328" i="16"/>
  <c r="H35329" i="16"/>
  <c r="H35330" i="16"/>
  <c r="H35331" i="16"/>
  <c r="H35332" i="16"/>
  <c r="H35333" i="16"/>
  <c r="H35334" i="16"/>
  <c r="H35335" i="16"/>
  <c r="H35336" i="16"/>
  <c r="H35337" i="16"/>
  <c r="H35338" i="16"/>
  <c r="H35339" i="16"/>
  <c r="H35340" i="16"/>
  <c r="H35341" i="16"/>
  <c r="H35342" i="16"/>
  <c r="H35343" i="16"/>
  <c r="H35344" i="16"/>
  <c r="H35345" i="16"/>
  <c r="H35346" i="16"/>
  <c r="H35347" i="16"/>
  <c r="H35348" i="16"/>
  <c r="H35349" i="16"/>
  <c r="H35350" i="16"/>
  <c r="H35351" i="16"/>
  <c r="H35352" i="16"/>
  <c r="H35353" i="16"/>
  <c r="H35354" i="16"/>
  <c r="H35355" i="16"/>
  <c r="H35356" i="16"/>
  <c r="H35357" i="16"/>
  <c r="H35358" i="16"/>
  <c r="H35359" i="16"/>
  <c r="H35360" i="16"/>
  <c r="H35361" i="16"/>
  <c r="H35362" i="16"/>
  <c r="H35363" i="16"/>
  <c r="H35364" i="16"/>
  <c r="H35365" i="16"/>
  <c r="H35366" i="16"/>
  <c r="H35367" i="16"/>
  <c r="H35368" i="16"/>
  <c r="H35369" i="16"/>
  <c r="H35370" i="16"/>
  <c r="H35371" i="16"/>
  <c r="H35372" i="16"/>
  <c r="H35373" i="16"/>
  <c r="H35374" i="16"/>
  <c r="H35375" i="16"/>
  <c r="H35376" i="16"/>
  <c r="H35377" i="16"/>
  <c r="H35378" i="16"/>
  <c r="H35379" i="16"/>
  <c r="H35380" i="16"/>
  <c r="H35381" i="16"/>
  <c r="H35382" i="16"/>
  <c r="H35383" i="16"/>
  <c r="H35384" i="16"/>
  <c r="H35385" i="16"/>
  <c r="H35386" i="16"/>
  <c r="H35387" i="16"/>
  <c r="H35388" i="16"/>
  <c r="H35389" i="16"/>
  <c r="H35390" i="16"/>
  <c r="H35391" i="16"/>
  <c r="H35392" i="16"/>
  <c r="H35393" i="16"/>
  <c r="H35394" i="16"/>
  <c r="H35395" i="16"/>
  <c r="H35396" i="16"/>
  <c r="H35397" i="16"/>
  <c r="H35398" i="16"/>
  <c r="H35399" i="16"/>
  <c r="H35400" i="16"/>
  <c r="H35401" i="16"/>
  <c r="H35402" i="16"/>
  <c r="H35403" i="16"/>
  <c r="H35404" i="16"/>
  <c r="H35405" i="16"/>
  <c r="H35406" i="16"/>
  <c r="H35407" i="16"/>
  <c r="H35408" i="16"/>
  <c r="H35409" i="16"/>
  <c r="H35410" i="16"/>
  <c r="H35411" i="16"/>
  <c r="H35412" i="16"/>
  <c r="H35413" i="16"/>
  <c r="H35414" i="16"/>
  <c r="H35415" i="16"/>
  <c r="H35416" i="16"/>
  <c r="H35417" i="16"/>
  <c r="H35418" i="16"/>
  <c r="H35419" i="16"/>
  <c r="H35420" i="16"/>
  <c r="H35421" i="16"/>
  <c r="H35422" i="16"/>
  <c r="H35423" i="16"/>
  <c r="H35424" i="16"/>
  <c r="H35425" i="16"/>
  <c r="H35426" i="16"/>
  <c r="H35427" i="16"/>
  <c r="H35428" i="16"/>
  <c r="H35429" i="16"/>
  <c r="H35430" i="16"/>
  <c r="H35431" i="16"/>
  <c r="H35432" i="16"/>
  <c r="H35433" i="16"/>
  <c r="H35434" i="16"/>
  <c r="H35435" i="16"/>
  <c r="H35436" i="16"/>
  <c r="H35437" i="16"/>
  <c r="H35438" i="16"/>
  <c r="H35439" i="16"/>
  <c r="H35440" i="16"/>
  <c r="H35441" i="16"/>
  <c r="H35442" i="16"/>
  <c r="H35443" i="16"/>
  <c r="H35444" i="16"/>
  <c r="H35445" i="16"/>
  <c r="H35446" i="16"/>
  <c r="H35447" i="16"/>
  <c r="H35448" i="16"/>
  <c r="H35449" i="16"/>
  <c r="H35450" i="16"/>
  <c r="H35451" i="16"/>
  <c r="H35452" i="16"/>
  <c r="H35453" i="16"/>
  <c r="H35454" i="16"/>
  <c r="H35455" i="16"/>
  <c r="H35456" i="16"/>
  <c r="H35457" i="16"/>
  <c r="H35458" i="16"/>
  <c r="H35459" i="16"/>
  <c r="H35460" i="16"/>
  <c r="H35461" i="16"/>
  <c r="H35462" i="16"/>
  <c r="H35463" i="16"/>
  <c r="H35464" i="16"/>
  <c r="H35465" i="16"/>
  <c r="H35466" i="16"/>
  <c r="H35467" i="16"/>
  <c r="H35468" i="16"/>
  <c r="H35469" i="16"/>
  <c r="H35470" i="16"/>
  <c r="H35471" i="16"/>
  <c r="H35472" i="16"/>
  <c r="H35473" i="16"/>
  <c r="H35474" i="16"/>
  <c r="H35475" i="16"/>
  <c r="H35476" i="16"/>
  <c r="H35477" i="16"/>
  <c r="H35478" i="16"/>
  <c r="H35479" i="16"/>
  <c r="H35480" i="16"/>
  <c r="H35481" i="16"/>
  <c r="H35482" i="16"/>
  <c r="H35483" i="16"/>
  <c r="H35484" i="16"/>
  <c r="H35485" i="16"/>
  <c r="H35486" i="16"/>
  <c r="H35487" i="16"/>
  <c r="H35488" i="16"/>
  <c r="H35489" i="16"/>
  <c r="H35490" i="16"/>
  <c r="H35491" i="16"/>
  <c r="H35492" i="16"/>
  <c r="H35493" i="16"/>
  <c r="H35494" i="16"/>
  <c r="H35495" i="16"/>
  <c r="H35496" i="16"/>
  <c r="H35497" i="16"/>
  <c r="H35498" i="16"/>
  <c r="H35499" i="16"/>
  <c r="H35500" i="16"/>
  <c r="H35501" i="16"/>
  <c r="H35502" i="16"/>
  <c r="H35503" i="16"/>
  <c r="H35504" i="16"/>
  <c r="H35505" i="16"/>
  <c r="H35506" i="16"/>
  <c r="H35507" i="16"/>
  <c r="H35508" i="16"/>
  <c r="H35509" i="16"/>
  <c r="H35510" i="16"/>
  <c r="H35511" i="16"/>
  <c r="H35512" i="16"/>
  <c r="H35513" i="16"/>
  <c r="H35514" i="16"/>
  <c r="H35515" i="16"/>
  <c r="H35516" i="16"/>
  <c r="H35517" i="16"/>
  <c r="H35518" i="16"/>
  <c r="H35519" i="16"/>
  <c r="H35520" i="16"/>
  <c r="H35521" i="16"/>
  <c r="H35522" i="16"/>
  <c r="H35523" i="16"/>
  <c r="H35524" i="16"/>
  <c r="H35525" i="16"/>
  <c r="H35526" i="16"/>
  <c r="H35527" i="16"/>
  <c r="H35528" i="16"/>
  <c r="H35529" i="16"/>
  <c r="H35530" i="16"/>
  <c r="H35531" i="16"/>
  <c r="H35532" i="16"/>
  <c r="H35533" i="16"/>
  <c r="H35534" i="16"/>
  <c r="H35535" i="16"/>
  <c r="H35536" i="16"/>
  <c r="H35537" i="16"/>
  <c r="H35538" i="16"/>
  <c r="H35539" i="16"/>
  <c r="H35540" i="16"/>
  <c r="H35541" i="16"/>
  <c r="H35542" i="16"/>
  <c r="H35543" i="16"/>
  <c r="H35544" i="16"/>
  <c r="H35545" i="16"/>
  <c r="H35546" i="16"/>
  <c r="H35547" i="16"/>
  <c r="H35548" i="16"/>
  <c r="H35549" i="16"/>
  <c r="H35550" i="16"/>
  <c r="H35551" i="16"/>
  <c r="H35552" i="16"/>
  <c r="H35553" i="16"/>
  <c r="H35554" i="16"/>
  <c r="H35555" i="16"/>
  <c r="H35556" i="16"/>
  <c r="H35557" i="16"/>
  <c r="H35558" i="16"/>
  <c r="H35559" i="16"/>
  <c r="H35560" i="16"/>
  <c r="H35561" i="16"/>
  <c r="H35562" i="16"/>
  <c r="H35563" i="16"/>
  <c r="H35564" i="16"/>
  <c r="H35565" i="16"/>
  <c r="H35566" i="16"/>
  <c r="H35567" i="16"/>
  <c r="H35568" i="16"/>
  <c r="H35569" i="16"/>
  <c r="H35570" i="16"/>
  <c r="H35571" i="16"/>
  <c r="H35572" i="16"/>
  <c r="H35573" i="16"/>
  <c r="H35574" i="16"/>
  <c r="H35575" i="16"/>
  <c r="H35576" i="16"/>
  <c r="H35577" i="16"/>
  <c r="H35578" i="16"/>
  <c r="H35579" i="16"/>
  <c r="H35580" i="16"/>
  <c r="H35581" i="16"/>
  <c r="H35582" i="16"/>
  <c r="H35583" i="16"/>
  <c r="H35584" i="16"/>
  <c r="H35585" i="16"/>
  <c r="H35586" i="16"/>
  <c r="H35587" i="16"/>
  <c r="H35588" i="16"/>
  <c r="H35589" i="16"/>
  <c r="H35590" i="16"/>
  <c r="H35591" i="16"/>
  <c r="H35592" i="16"/>
  <c r="H35593" i="16"/>
  <c r="H35594" i="16"/>
  <c r="H35595" i="16"/>
  <c r="H35596" i="16"/>
  <c r="H35597" i="16"/>
  <c r="H35598" i="16"/>
  <c r="H35599" i="16"/>
  <c r="H35600" i="16"/>
  <c r="H35601" i="16"/>
  <c r="H35602" i="16"/>
  <c r="H35603" i="16"/>
  <c r="H35604" i="16"/>
  <c r="H35605" i="16"/>
  <c r="H35606" i="16"/>
  <c r="H35607" i="16"/>
  <c r="H35608" i="16"/>
  <c r="H35609" i="16"/>
  <c r="H35610" i="16"/>
  <c r="H35611" i="16"/>
  <c r="H35612" i="16"/>
  <c r="H35613" i="16"/>
  <c r="H35614" i="16"/>
  <c r="H35615" i="16"/>
  <c r="H35616" i="16"/>
  <c r="H35617" i="16"/>
  <c r="H35618" i="16"/>
  <c r="H35619" i="16"/>
  <c r="H35620" i="16"/>
  <c r="H35621" i="16"/>
  <c r="H35622" i="16"/>
  <c r="H35623" i="16"/>
  <c r="H35624" i="16"/>
  <c r="H35625" i="16"/>
  <c r="H35626" i="16"/>
  <c r="H35627" i="16"/>
  <c r="H35628" i="16"/>
  <c r="H35629" i="16"/>
  <c r="H35630" i="16"/>
  <c r="H35631" i="16"/>
  <c r="H35632" i="16"/>
  <c r="H35633" i="16"/>
  <c r="H35634" i="16"/>
  <c r="H35635" i="16"/>
  <c r="H35636" i="16"/>
  <c r="H35637" i="16"/>
  <c r="H35638" i="16"/>
  <c r="H35639" i="16"/>
  <c r="H35640" i="16"/>
  <c r="H35641" i="16"/>
  <c r="H35642" i="16"/>
  <c r="H35643" i="16"/>
  <c r="H35644" i="16"/>
  <c r="H35645" i="16"/>
  <c r="H35646" i="16"/>
  <c r="H35647" i="16"/>
  <c r="H35648" i="16"/>
  <c r="H35649" i="16"/>
  <c r="H35650" i="16"/>
  <c r="H35651" i="16"/>
  <c r="H35652" i="16"/>
  <c r="H35653" i="16"/>
  <c r="H35654" i="16"/>
  <c r="H35655" i="16"/>
  <c r="H35656" i="16"/>
  <c r="H35657" i="16"/>
  <c r="H35658" i="16"/>
  <c r="H35659" i="16"/>
  <c r="H35660" i="16"/>
  <c r="H35661" i="16"/>
  <c r="H35662" i="16"/>
  <c r="H35663" i="16"/>
  <c r="H35664" i="16"/>
  <c r="H35665" i="16"/>
  <c r="H35666" i="16"/>
  <c r="H35667" i="16"/>
  <c r="H35668" i="16"/>
  <c r="H35669" i="16"/>
  <c r="H35670" i="16"/>
  <c r="H35671" i="16"/>
  <c r="H35672" i="16"/>
  <c r="H35673" i="16"/>
  <c r="H35674" i="16"/>
  <c r="H35675" i="16"/>
  <c r="H35676" i="16"/>
  <c r="H35677" i="16"/>
  <c r="H35678" i="16"/>
  <c r="H35679" i="16"/>
  <c r="H35680" i="16"/>
  <c r="H35681" i="16"/>
  <c r="H35682" i="16"/>
  <c r="H35683" i="16"/>
  <c r="H35684" i="16"/>
  <c r="H35685" i="16"/>
  <c r="H35686" i="16"/>
  <c r="H35687" i="16"/>
  <c r="H35688" i="16"/>
  <c r="H35689" i="16"/>
  <c r="H35690" i="16"/>
  <c r="H35691" i="16"/>
  <c r="H35692" i="16"/>
  <c r="H35693" i="16"/>
  <c r="H35694" i="16"/>
  <c r="H35695" i="16"/>
  <c r="H35696" i="16"/>
  <c r="H35697" i="16"/>
  <c r="H35698" i="16"/>
  <c r="H35699" i="16"/>
  <c r="H35700" i="16"/>
  <c r="H35701" i="16"/>
  <c r="H35702" i="16"/>
  <c r="H35703" i="16"/>
  <c r="H35704" i="16"/>
  <c r="H35705" i="16"/>
  <c r="H35706" i="16"/>
  <c r="H35707" i="16"/>
  <c r="H35708" i="16"/>
  <c r="H35709" i="16"/>
  <c r="H35710" i="16"/>
  <c r="H35711" i="16"/>
  <c r="H35712" i="16"/>
  <c r="H35713" i="16"/>
  <c r="H35714" i="16"/>
  <c r="H35715" i="16"/>
  <c r="H35716" i="16"/>
  <c r="H35717" i="16"/>
  <c r="H35718" i="16"/>
  <c r="H35719" i="16"/>
  <c r="H35720" i="16"/>
  <c r="H35721" i="16"/>
  <c r="H35722" i="16"/>
  <c r="H35723" i="16"/>
  <c r="H35724" i="16"/>
  <c r="H35725" i="16"/>
  <c r="H35726" i="16"/>
  <c r="H35727" i="16"/>
  <c r="H35728" i="16"/>
  <c r="H35729" i="16"/>
  <c r="H35730" i="16"/>
  <c r="H35731" i="16"/>
  <c r="H35732" i="16"/>
  <c r="H35733" i="16"/>
  <c r="H35734" i="16"/>
  <c r="H35735" i="16"/>
  <c r="H35736" i="16"/>
  <c r="H35737" i="16"/>
  <c r="H35738" i="16"/>
  <c r="H35739" i="16"/>
  <c r="H35740" i="16"/>
  <c r="H35741" i="16"/>
  <c r="H35742" i="16"/>
  <c r="H35743" i="16"/>
  <c r="H35744" i="16"/>
  <c r="H35745" i="16"/>
  <c r="H35746" i="16"/>
  <c r="H35747" i="16"/>
  <c r="H35748" i="16"/>
  <c r="H35749" i="16"/>
  <c r="H35750" i="16"/>
  <c r="H35751" i="16"/>
  <c r="H35752" i="16"/>
  <c r="H35753" i="16"/>
  <c r="H35754" i="16"/>
  <c r="H35755" i="16"/>
  <c r="H35756" i="16"/>
  <c r="H35757" i="16"/>
  <c r="H35758" i="16"/>
  <c r="H35759" i="16"/>
  <c r="H35760" i="16"/>
  <c r="H35761" i="16"/>
  <c r="H35762" i="16"/>
  <c r="H35763" i="16"/>
  <c r="H35764" i="16"/>
  <c r="H35765" i="16"/>
  <c r="H35766" i="16"/>
  <c r="H35767" i="16"/>
  <c r="H35768" i="16"/>
  <c r="H35769" i="16"/>
  <c r="H35770" i="16"/>
  <c r="H35771" i="16"/>
  <c r="H35772" i="16"/>
  <c r="H35773" i="16"/>
  <c r="H35774" i="16"/>
  <c r="H35775" i="16"/>
  <c r="H35776" i="16"/>
  <c r="H35777" i="16"/>
  <c r="H35778" i="16"/>
  <c r="H35779" i="16"/>
  <c r="H35780" i="16"/>
  <c r="H35781" i="16"/>
  <c r="H35782" i="16"/>
  <c r="H35783" i="16"/>
  <c r="H35784" i="16"/>
  <c r="H35785" i="16"/>
  <c r="H35786" i="16"/>
  <c r="H35787" i="16"/>
  <c r="H35788" i="16"/>
  <c r="H35789" i="16"/>
  <c r="H35790" i="16"/>
  <c r="H35791" i="16"/>
  <c r="H35792" i="16"/>
  <c r="H35793" i="16"/>
  <c r="H35794" i="16"/>
  <c r="H35795" i="16"/>
  <c r="H35796" i="16"/>
  <c r="H35797" i="16"/>
  <c r="H35798" i="16"/>
  <c r="H35799" i="16"/>
  <c r="H35800" i="16"/>
  <c r="H35801" i="16"/>
  <c r="H35802" i="16"/>
  <c r="H35803" i="16"/>
  <c r="H35804" i="16"/>
  <c r="H35805" i="16"/>
  <c r="H35806" i="16"/>
  <c r="H35807" i="16"/>
  <c r="H35808" i="16"/>
  <c r="H35809" i="16"/>
  <c r="H35810" i="16"/>
  <c r="H35811" i="16"/>
  <c r="H35812" i="16"/>
  <c r="H35813" i="16"/>
  <c r="H35814" i="16"/>
  <c r="H35815" i="16"/>
  <c r="H35816" i="16"/>
  <c r="H35817" i="16"/>
  <c r="H35818" i="16"/>
  <c r="H35819" i="16"/>
  <c r="H35820" i="16"/>
  <c r="H35821" i="16"/>
  <c r="H35822" i="16"/>
  <c r="H35823" i="16"/>
  <c r="H35824" i="16"/>
  <c r="H35825" i="16"/>
  <c r="H35826" i="16"/>
  <c r="H35827" i="16"/>
  <c r="H35828" i="16"/>
  <c r="H35829" i="16"/>
  <c r="H35830" i="16"/>
  <c r="H35831" i="16"/>
  <c r="H35832" i="16"/>
  <c r="H35833" i="16"/>
  <c r="H35834" i="16"/>
  <c r="H35835" i="16"/>
  <c r="H35836" i="16"/>
  <c r="H35837" i="16"/>
  <c r="H35838" i="16"/>
  <c r="H35839" i="16"/>
  <c r="H35840" i="16"/>
  <c r="H35841" i="16"/>
  <c r="H35842" i="16"/>
  <c r="H35843" i="16"/>
  <c r="H35844" i="16"/>
  <c r="H35845" i="16"/>
  <c r="H35846" i="16"/>
  <c r="H35847" i="16"/>
  <c r="H35848" i="16"/>
  <c r="H35849" i="16"/>
  <c r="H35850" i="16"/>
  <c r="H35851" i="16"/>
  <c r="H35852" i="16"/>
  <c r="H35853" i="16"/>
  <c r="H35854" i="16"/>
  <c r="H35855" i="16"/>
  <c r="H35856" i="16"/>
  <c r="H35857" i="16"/>
  <c r="H35858" i="16"/>
  <c r="H35859" i="16"/>
  <c r="H35860" i="16"/>
  <c r="H35861" i="16"/>
  <c r="H35862" i="16"/>
  <c r="H35863" i="16"/>
  <c r="H35864" i="16"/>
  <c r="H35865" i="16"/>
  <c r="H35866" i="16"/>
  <c r="H35867" i="16"/>
  <c r="H35868" i="16"/>
  <c r="H35869" i="16"/>
  <c r="H35870" i="16"/>
  <c r="H35871" i="16"/>
  <c r="H35872" i="16"/>
  <c r="H35873" i="16"/>
  <c r="H35874" i="16"/>
  <c r="H35875" i="16"/>
  <c r="H35876" i="16"/>
  <c r="H35877" i="16"/>
  <c r="H35878" i="16"/>
  <c r="H35879" i="16"/>
  <c r="H35880" i="16"/>
  <c r="H35881" i="16"/>
  <c r="H35882" i="16"/>
  <c r="H35883" i="16"/>
  <c r="H35884" i="16"/>
  <c r="H35885" i="16"/>
  <c r="H35886" i="16"/>
  <c r="H35887" i="16"/>
  <c r="H35888" i="16"/>
  <c r="H35889" i="16"/>
  <c r="H35890" i="16"/>
  <c r="H35891" i="16"/>
  <c r="H35892" i="16"/>
  <c r="H35893" i="16"/>
  <c r="H35894" i="16"/>
  <c r="H35895" i="16"/>
  <c r="H35896" i="16"/>
  <c r="H35897" i="16"/>
  <c r="H35898" i="16"/>
  <c r="H35899" i="16"/>
  <c r="H35900" i="16"/>
  <c r="H35901" i="16"/>
  <c r="H35902" i="16"/>
  <c r="H35903" i="16"/>
  <c r="H35904" i="16"/>
  <c r="H35905" i="16"/>
  <c r="H35906" i="16"/>
  <c r="H35907" i="16"/>
  <c r="H35908" i="16"/>
  <c r="H35909" i="16"/>
  <c r="H35910" i="16"/>
  <c r="H35911" i="16"/>
  <c r="H35912" i="16"/>
  <c r="H35913" i="16"/>
  <c r="H35914" i="16"/>
  <c r="H35915" i="16"/>
  <c r="H35916" i="16"/>
  <c r="H35917" i="16"/>
  <c r="H35918" i="16"/>
  <c r="H35919" i="16"/>
  <c r="H35920" i="16"/>
  <c r="H35921" i="16"/>
  <c r="H35922" i="16"/>
  <c r="H35923" i="16"/>
  <c r="H35924" i="16"/>
  <c r="H35925" i="16"/>
  <c r="H35926" i="16"/>
  <c r="H35927" i="16"/>
  <c r="H35928" i="16"/>
  <c r="H35929" i="16"/>
  <c r="H35930" i="16"/>
  <c r="H35931" i="16"/>
  <c r="H35932" i="16"/>
  <c r="H35933" i="16"/>
  <c r="H35934" i="16"/>
  <c r="H35935" i="16"/>
  <c r="H35936" i="16"/>
  <c r="H35937" i="16"/>
  <c r="H35938" i="16"/>
  <c r="H35939" i="16"/>
  <c r="H35940" i="16"/>
  <c r="H35941" i="16"/>
  <c r="H35942" i="16"/>
  <c r="H35943" i="16"/>
  <c r="H35944" i="16"/>
  <c r="H35945" i="16"/>
  <c r="H35946" i="16"/>
  <c r="H35947" i="16"/>
  <c r="H35948" i="16"/>
  <c r="H35949" i="16"/>
  <c r="H35950" i="16"/>
  <c r="H35951" i="16"/>
  <c r="H35952" i="16"/>
  <c r="H35953" i="16"/>
  <c r="H35954" i="16"/>
  <c r="H35955" i="16"/>
  <c r="H35956" i="16"/>
  <c r="H35957" i="16"/>
  <c r="H35958" i="16"/>
  <c r="H35959" i="16"/>
  <c r="H35960" i="16"/>
  <c r="H35961" i="16"/>
  <c r="H35962" i="16"/>
  <c r="H35963" i="16"/>
  <c r="H35964" i="16"/>
  <c r="H35965" i="16"/>
  <c r="H35966" i="16"/>
  <c r="H35967" i="16"/>
  <c r="H35968" i="16"/>
  <c r="H35969" i="16"/>
  <c r="H35970" i="16"/>
  <c r="H35971" i="16"/>
  <c r="H35972" i="16"/>
  <c r="H35973" i="16"/>
  <c r="H35974" i="16"/>
  <c r="H35975" i="16"/>
  <c r="H35976" i="16"/>
  <c r="H35977" i="16"/>
  <c r="H35978" i="16"/>
  <c r="H35979" i="16"/>
  <c r="H35980" i="16"/>
  <c r="H35981" i="16"/>
  <c r="H35982" i="16"/>
  <c r="H35983" i="16"/>
  <c r="H35984" i="16"/>
  <c r="H35985" i="16"/>
  <c r="H35986" i="16"/>
  <c r="H35987" i="16"/>
  <c r="H35988" i="16"/>
  <c r="H35989" i="16"/>
  <c r="H35990" i="16"/>
  <c r="H35991" i="16"/>
  <c r="H35992" i="16"/>
  <c r="H35993" i="16"/>
  <c r="H35994" i="16"/>
  <c r="H35995" i="16"/>
  <c r="H35996" i="16"/>
  <c r="H35997" i="16"/>
  <c r="H35998" i="16"/>
  <c r="H35999" i="16"/>
  <c r="H36000" i="16"/>
  <c r="H36001" i="16"/>
  <c r="H36002" i="16"/>
  <c r="H36003" i="16"/>
  <c r="H36004" i="16"/>
  <c r="H36005" i="16"/>
  <c r="H36006" i="16"/>
  <c r="H36007" i="16"/>
  <c r="H36008" i="16"/>
  <c r="H36009" i="16"/>
  <c r="H36010" i="16"/>
  <c r="H36011" i="16"/>
  <c r="H36012" i="16"/>
  <c r="H36013" i="16"/>
  <c r="H36014" i="16"/>
  <c r="H36015" i="16"/>
  <c r="H36016" i="16"/>
  <c r="H36017" i="16"/>
  <c r="H36018" i="16"/>
  <c r="H36019" i="16"/>
  <c r="H36020" i="16"/>
  <c r="H36021" i="16"/>
  <c r="H36022" i="16"/>
  <c r="H36023" i="16"/>
  <c r="H36024" i="16"/>
  <c r="H36025" i="16"/>
  <c r="H36026" i="16"/>
  <c r="H36027" i="16"/>
  <c r="H36028" i="16"/>
  <c r="H36029" i="16"/>
  <c r="H36030" i="16"/>
  <c r="H36031" i="16"/>
  <c r="H36032" i="16"/>
  <c r="H36033" i="16"/>
  <c r="H36034" i="16"/>
  <c r="H36035" i="16"/>
  <c r="H36036" i="16"/>
  <c r="H36037" i="16"/>
  <c r="H36038" i="16"/>
  <c r="H36039" i="16"/>
  <c r="H36040" i="16"/>
  <c r="H36041" i="16"/>
  <c r="H36042" i="16"/>
  <c r="H36043" i="16"/>
  <c r="H36044" i="16"/>
  <c r="H36045" i="16"/>
  <c r="H36046" i="16"/>
  <c r="H36047" i="16"/>
  <c r="H36048" i="16"/>
  <c r="H36049" i="16"/>
  <c r="H36050" i="16"/>
  <c r="H36051" i="16"/>
  <c r="H36052" i="16"/>
  <c r="H36053" i="16"/>
  <c r="H36054" i="16"/>
  <c r="H36055" i="16"/>
  <c r="H36056" i="16"/>
  <c r="H36057" i="16"/>
  <c r="H36058" i="16"/>
  <c r="H36059" i="16"/>
  <c r="H36060" i="16"/>
  <c r="H36061" i="16"/>
  <c r="H36062" i="16"/>
  <c r="H36063" i="16"/>
  <c r="H36064" i="16"/>
  <c r="H36065" i="16"/>
  <c r="H36066" i="16"/>
  <c r="H36067" i="16"/>
  <c r="H36068" i="16"/>
  <c r="H36069" i="16"/>
  <c r="H36070" i="16"/>
  <c r="H36071" i="16"/>
  <c r="H36072" i="16"/>
  <c r="H36073" i="16"/>
  <c r="H36074" i="16"/>
  <c r="H36075" i="16"/>
  <c r="H36076" i="16"/>
  <c r="H36077" i="16"/>
  <c r="H36078" i="16"/>
  <c r="H36079" i="16"/>
  <c r="H36080" i="16"/>
  <c r="H36081" i="16"/>
  <c r="H36082" i="16"/>
  <c r="H36083" i="16"/>
  <c r="H36084" i="16"/>
  <c r="H36085" i="16"/>
  <c r="H36086" i="16"/>
  <c r="H36087" i="16"/>
  <c r="H36088" i="16"/>
  <c r="H36089" i="16"/>
  <c r="H36090" i="16"/>
  <c r="H36091" i="16"/>
  <c r="H36092" i="16"/>
  <c r="H36093" i="16"/>
  <c r="H36094" i="16"/>
  <c r="H36095" i="16"/>
  <c r="H36096" i="16"/>
  <c r="H36097" i="16"/>
  <c r="H36098" i="16"/>
  <c r="H36099" i="16"/>
  <c r="H36100" i="16"/>
  <c r="H36101" i="16"/>
  <c r="H36102" i="16"/>
  <c r="H36103" i="16"/>
  <c r="H36104" i="16"/>
  <c r="H36105" i="16"/>
  <c r="H36106" i="16"/>
  <c r="H36107" i="16"/>
  <c r="H36108" i="16"/>
  <c r="H36109" i="16"/>
  <c r="H36110" i="16"/>
  <c r="H36111" i="16"/>
  <c r="H36112" i="16"/>
  <c r="H36113" i="16"/>
  <c r="H36114" i="16"/>
  <c r="H36115" i="16"/>
  <c r="H36116" i="16"/>
  <c r="H36117" i="16"/>
  <c r="H36118" i="16"/>
  <c r="H36119" i="16"/>
  <c r="H36120" i="16"/>
  <c r="H36121" i="16"/>
  <c r="H36122" i="16"/>
  <c r="H36123" i="16"/>
  <c r="H36124" i="16"/>
  <c r="H36125" i="16"/>
  <c r="H36126" i="16"/>
  <c r="H36127" i="16"/>
  <c r="H36128" i="16"/>
  <c r="H36129" i="16"/>
  <c r="H36130" i="16"/>
  <c r="H36131" i="16"/>
  <c r="H36132" i="16"/>
  <c r="H36133" i="16"/>
  <c r="H36134" i="16"/>
  <c r="H36135" i="16"/>
  <c r="H36136" i="16"/>
  <c r="H36137" i="16"/>
  <c r="H36138" i="16"/>
  <c r="H36139" i="16"/>
  <c r="H36140" i="16"/>
  <c r="H36141" i="16"/>
  <c r="H36142" i="16"/>
  <c r="H36143" i="16"/>
  <c r="H36144" i="16"/>
  <c r="H36145" i="16"/>
  <c r="H36146" i="16"/>
  <c r="H36147" i="16"/>
  <c r="H36148" i="16"/>
  <c r="H36149" i="16"/>
  <c r="H36150" i="16"/>
  <c r="H36151" i="16"/>
  <c r="H36152" i="16"/>
  <c r="H36153" i="16"/>
  <c r="H36154" i="16"/>
  <c r="H36155" i="16"/>
  <c r="H36156" i="16"/>
  <c r="H36157" i="16"/>
  <c r="H36158" i="16"/>
  <c r="H36159" i="16"/>
  <c r="H36160" i="16"/>
  <c r="H36161" i="16"/>
  <c r="H36162" i="16"/>
  <c r="H36163" i="16"/>
  <c r="H36164" i="16"/>
  <c r="H36165" i="16"/>
  <c r="H36166" i="16"/>
  <c r="H36167" i="16"/>
  <c r="H36168" i="16"/>
  <c r="H36169" i="16"/>
  <c r="H36170" i="16"/>
  <c r="H36171" i="16"/>
  <c r="H36172" i="16"/>
  <c r="H36173" i="16"/>
  <c r="H36174" i="16"/>
  <c r="H36175" i="16"/>
  <c r="H36176" i="16"/>
  <c r="H36177" i="16"/>
  <c r="H36178" i="16"/>
  <c r="H36179" i="16"/>
  <c r="H36180" i="16"/>
  <c r="H36181" i="16"/>
  <c r="H36182" i="16"/>
  <c r="H36183" i="16"/>
  <c r="H36184" i="16"/>
  <c r="H36185" i="16"/>
  <c r="H36186" i="16"/>
  <c r="H36187" i="16"/>
  <c r="H36188" i="16"/>
  <c r="H36189" i="16"/>
  <c r="H36190" i="16"/>
  <c r="H36191" i="16"/>
  <c r="H36192" i="16"/>
  <c r="H36193" i="16"/>
  <c r="H36194" i="16"/>
  <c r="H36195" i="16"/>
  <c r="H36196" i="16"/>
  <c r="H36197" i="16"/>
  <c r="H36198" i="16"/>
  <c r="H36199" i="16"/>
  <c r="H36200" i="16"/>
  <c r="H36201" i="16"/>
  <c r="H36202" i="16"/>
  <c r="H36203" i="16"/>
  <c r="H36204" i="16"/>
  <c r="H36205" i="16"/>
  <c r="H36206" i="16"/>
  <c r="H36207" i="16"/>
  <c r="H36208" i="16"/>
  <c r="H36209" i="16"/>
  <c r="H36210" i="16"/>
  <c r="H36211" i="16"/>
  <c r="H36212" i="16"/>
  <c r="H36213" i="16"/>
  <c r="H36214" i="16"/>
  <c r="H36215" i="16"/>
  <c r="H36216" i="16"/>
  <c r="H36217" i="16"/>
  <c r="H36218" i="16"/>
  <c r="H36219" i="16"/>
  <c r="H36220" i="16"/>
  <c r="H36221" i="16"/>
  <c r="H36222" i="16"/>
  <c r="H36223" i="16"/>
  <c r="H36224" i="16"/>
  <c r="H36225" i="16"/>
  <c r="H36226" i="16"/>
  <c r="H36227" i="16"/>
  <c r="H36228" i="16"/>
  <c r="H36229" i="16"/>
  <c r="H36230" i="16"/>
  <c r="H36231" i="16"/>
  <c r="H36232" i="16"/>
  <c r="H36233" i="16"/>
  <c r="H36234" i="16"/>
  <c r="H36235" i="16"/>
  <c r="H36236" i="16"/>
  <c r="H36237" i="16"/>
  <c r="H36238" i="16"/>
  <c r="H36239" i="16"/>
  <c r="H36240" i="16"/>
  <c r="H36241" i="16"/>
  <c r="H36242" i="16"/>
  <c r="H36243" i="16"/>
  <c r="H36244" i="16"/>
  <c r="H36245" i="16"/>
  <c r="H36246" i="16"/>
  <c r="H36247" i="16"/>
  <c r="H36248" i="16"/>
  <c r="H36249" i="16"/>
  <c r="H36250" i="16"/>
  <c r="H36251" i="16"/>
  <c r="H36252" i="16"/>
  <c r="H36253" i="16"/>
  <c r="H36254" i="16"/>
  <c r="H36255" i="16"/>
  <c r="H36256" i="16"/>
  <c r="H36257" i="16"/>
  <c r="H36258" i="16"/>
  <c r="H36259" i="16"/>
  <c r="H36260" i="16"/>
  <c r="H36261" i="16"/>
  <c r="H36262" i="16"/>
  <c r="H36263" i="16"/>
  <c r="H36264" i="16"/>
  <c r="H36265" i="16"/>
  <c r="H36266" i="16"/>
  <c r="H36267" i="16"/>
  <c r="H36268" i="16"/>
  <c r="H36269" i="16"/>
  <c r="H36270" i="16"/>
  <c r="H36271" i="16"/>
  <c r="H36272" i="16"/>
  <c r="H36273" i="16"/>
  <c r="H36274" i="16"/>
  <c r="H36275" i="16"/>
  <c r="H36276" i="16"/>
  <c r="H36277" i="16"/>
  <c r="H36278" i="16"/>
  <c r="H36279" i="16"/>
  <c r="H36280" i="16"/>
  <c r="H36281" i="16"/>
  <c r="H36282" i="16"/>
  <c r="H36283" i="16"/>
  <c r="H36284" i="16"/>
  <c r="H36285" i="16"/>
  <c r="H36286" i="16"/>
  <c r="H36287" i="16"/>
  <c r="H36288" i="16"/>
  <c r="H36289" i="16"/>
  <c r="H36290" i="16"/>
  <c r="H36291" i="16"/>
  <c r="H36292" i="16"/>
  <c r="H36293" i="16"/>
  <c r="H36294" i="16"/>
  <c r="H36295" i="16"/>
  <c r="H36296" i="16"/>
  <c r="H36297" i="16"/>
  <c r="H36298" i="16"/>
  <c r="H36299" i="16"/>
  <c r="H36300" i="16"/>
  <c r="H36301" i="16"/>
  <c r="H36302" i="16"/>
  <c r="H36303" i="16"/>
  <c r="H36304" i="16"/>
  <c r="H36305" i="16"/>
  <c r="H36306" i="16"/>
  <c r="H36307" i="16"/>
  <c r="H36308" i="16"/>
  <c r="H36309" i="16"/>
  <c r="H36310" i="16"/>
  <c r="H36311" i="16"/>
  <c r="H36312" i="16"/>
  <c r="H36313" i="16"/>
  <c r="H36314" i="16"/>
  <c r="H36315" i="16"/>
  <c r="H36316" i="16"/>
  <c r="H36317" i="16"/>
  <c r="H36318" i="16"/>
  <c r="H36319" i="16"/>
  <c r="H36320" i="16"/>
  <c r="H36321" i="16"/>
  <c r="H36322" i="16"/>
  <c r="H36323" i="16"/>
  <c r="H36324" i="16"/>
  <c r="H36325" i="16"/>
  <c r="H36326" i="16"/>
  <c r="H36327" i="16"/>
  <c r="H36328" i="16"/>
  <c r="H36329" i="16"/>
  <c r="H36330" i="16"/>
  <c r="H36331" i="16"/>
  <c r="H36332" i="16"/>
  <c r="H36333" i="16"/>
  <c r="H36334" i="16"/>
  <c r="H36335" i="16"/>
  <c r="H36336" i="16"/>
  <c r="H36337" i="16"/>
  <c r="H36338" i="16"/>
  <c r="H36339" i="16"/>
  <c r="H36340" i="16"/>
  <c r="H36341" i="16"/>
  <c r="H36342" i="16"/>
  <c r="H36343" i="16"/>
  <c r="H36344" i="16"/>
  <c r="H36345" i="16"/>
  <c r="H36346" i="16"/>
  <c r="H36347" i="16"/>
  <c r="H36348" i="16"/>
  <c r="H36349" i="16"/>
  <c r="H36350" i="16"/>
  <c r="H36351" i="16"/>
  <c r="H36352" i="16"/>
  <c r="H36353" i="16"/>
  <c r="H36354" i="16"/>
  <c r="H36355" i="16"/>
  <c r="H36356" i="16"/>
  <c r="H36357" i="16"/>
  <c r="H36358" i="16"/>
  <c r="H36359" i="16"/>
  <c r="H36360" i="16"/>
  <c r="H36361" i="16"/>
  <c r="H36362" i="16"/>
  <c r="H36363" i="16"/>
  <c r="H36364" i="16"/>
  <c r="H36365" i="16"/>
  <c r="H36366" i="16"/>
  <c r="H36367" i="16"/>
  <c r="H36368" i="16"/>
  <c r="H36369" i="16"/>
  <c r="H36370" i="16"/>
  <c r="H36371" i="16"/>
  <c r="H36372" i="16"/>
  <c r="H36373" i="16"/>
  <c r="H36374" i="16"/>
  <c r="H36375" i="16"/>
  <c r="H36376" i="16"/>
  <c r="H36377" i="16"/>
  <c r="H36378" i="16"/>
  <c r="H36379" i="16"/>
  <c r="H36380" i="16"/>
  <c r="H36381" i="16"/>
  <c r="H36382" i="16"/>
  <c r="H36383" i="16"/>
  <c r="H36384" i="16"/>
  <c r="H36385" i="16"/>
  <c r="H36386" i="16"/>
  <c r="H36387" i="16"/>
  <c r="H36388" i="16"/>
  <c r="H36389" i="16"/>
  <c r="H36390" i="16"/>
  <c r="H36391" i="16"/>
  <c r="H36392" i="16"/>
  <c r="H36393" i="16"/>
  <c r="H36394" i="16"/>
  <c r="H36395" i="16"/>
  <c r="H36396" i="16"/>
  <c r="H36397" i="16"/>
  <c r="H36398" i="16"/>
  <c r="H36399" i="16"/>
  <c r="H36400" i="16"/>
  <c r="H36401" i="16"/>
  <c r="H36402" i="16"/>
  <c r="H36403" i="16"/>
  <c r="H36404" i="16"/>
  <c r="H36405" i="16"/>
  <c r="H36406" i="16"/>
  <c r="H36407" i="16"/>
  <c r="H36408" i="16"/>
  <c r="H36409" i="16"/>
  <c r="H36410" i="16"/>
  <c r="H36411" i="16"/>
  <c r="H36412" i="16"/>
  <c r="H36413" i="16"/>
  <c r="H36414" i="16"/>
  <c r="H36415" i="16"/>
  <c r="H36416" i="16"/>
  <c r="H36417" i="16"/>
  <c r="H36418" i="16"/>
  <c r="H36419" i="16"/>
  <c r="H36420" i="16"/>
  <c r="H36421" i="16"/>
  <c r="H36422" i="16"/>
  <c r="H36423" i="16"/>
  <c r="H36424" i="16"/>
  <c r="H36425" i="16"/>
  <c r="H36426" i="16"/>
  <c r="H36427" i="16"/>
  <c r="H36428" i="16"/>
  <c r="H36429" i="16"/>
  <c r="H36430" i="16"/>
  <c r="H36431" i="16"/>
  <c r="H36432" i="16"/>
  <c r="H36433" i="16"/>
  <c r="H36434" i="16"/>
  <c r="H36435" i="16"/>
  <c r="H36436" i="16"/>
  <c r="H36437" i="16"/>
  <c r="H36438" i="16"/>
  <c r="H36439" i="16"/>
  <c r="H36440" i="16"/>
  <c r="H36441" i="16"/>
  <c r="H36442" i="16"/>
  <c r="H36443" i="16"/>
  <c r="H36444" i="16"/>
  <c r="H36445" i="16"/>
  <c r="H36446" i="16"/>
  <c r="H36447" i="16"/>
  <c r="H36448" i="16"/>
  <c r="H36449" i="16"/>
  <c r="H36450" i="16"/>
  <c r="H36451" i="16"/>
  <c r="H36452" i="16"/>
  <c r="H36453" i="16"/>
  <c r="H36454" i="16"/>
  <c r="H36455" i="16"/>
  <c r="H36456" i="16"/>
  <c r="H36457" i="16"/>
  <c r="H36458" i="16"/>
  <c r="H36459" i="16"/>
  <c r="H36460" i="16"/>
  <c r="H36461" i="16"/>
  <c r="H36462" i="16"/>
  <c r="H36463" i="16"/>
  <c r="H36464" i="16"/>
  <c r="H36465" i="16"/>
  <c r="H36466" i="16"/>
  <c r="H36467" i="16"/>
  <c r="H36468" i="16"/>
  <c r="H36469" i="16"/>
  <c r="H36470" i="16"/>
  <c r="H36471" i="16"/>
  <c r="H36472" i="16"/>
  <c r="H36473" i="16"/>
  <c r="H36474" i="16"/>
  <c r="H36475" i="16"/>
  <c r="H36476" i="16"/>
  <c r="H36477" i="16"/>
  <c r="H36478" i="16"/>
  <c r="H36479" i="16"/>
  <c r="H36480" i="16"/>
  <c r="H36481" i="16"/>
  <c r="H36482" i="16"/>
  <c r="H36483" i="16"/>
  <c r="H36484" i="16"/>
  <c r="H36485" i="16"/>
  <c r="H36486" i="16"/>
  <c r="H36487" i="16"/>
  <c r="H36488" i="16"/>
  <c r="H36489" i="16"/>
  <c r="H36490" i="16"/>
  <c r="H36491" i="16"/>
  <c r="H36492" i="16"/>
  <c r="H36493" i="16"/>
  <c r="H36494" i="16"/>
  <c r="H36495" i="16"/>
  <c r="H36496" i="16"/>
  <c r="H36497" i="16"/>
  <c r="H36498" i="16"/>
  <c r="H36499" i="16"/>
  <c r="H36500" i="16"/>
  <c r="H36501" i="16"/>
  <c r="H36502" i="16"/>
  <c r="H36503" i="16"/>
  <c r="H36504" i="16"/>
  <c r="H36505" i="16"/>
  <c r="H36506" i="16"/>
  <c r="H36507" i="16"/>
  <c r="H36508" i="16"/>
  <c r="H36509" i="16"/>
  <c r="H36510" i="16"/>
  <c r="H36511" i="16"/>
  <c r="H36512" i="16"/>
  <c r="H36513" i="16"/>
  <c r="H36514" i="16"/>
  <c r="H36515" i="16"/>
  <c r="H36516" i="16"/>
  <c r="H36517" i="16"/>
  <c r="H36518" i="16"/>
  <c r="H36519" i="16"/>
  <c r="H36520" i="16"/>
  <c r="H36521" i="16"/>
  <c r="H36522" i="16"/>
  <c r="H36523" i="16"/>
  <c r="H36524" i="16"/>
  <c r="H36525" i="16"/>
  <c r="H36526" i="16"/>
  <c r="H36527" i="16"/>
  <c r="H36528" i="16"/>
  <c r="H36529" i="16"/>
  <c r="H36530" i="16"/>
  <c r="H36531" i="16"/>
  <c r="H36532" i="16"/>
  <c r="H36533" i="16"/>
  <c r="H36534" i="16"/>
  <c r="H36535" i="16"/>
  <c r="H36536" i="16"/>
  <c r="H36537" i="16"/>
  <c r="H36538" i="16"/>
  <c r="H36539" i="16"/>
  <c r="H36540" i="16"/>
  <c r="H36541" i="16"/>
  <c r="H36542" i="16"/>
  <c r="H36543" i="16"/>
  <c r="H36544" i="16"/>
  <c r="H36545" i="16"/>
  <c r="H36546" i="16"/>
  <c r="H36547" i="16"/>
  <c r="H36548" i="16"/>
  <c r="H36549" i="16"/>
  <c r="H36550" i="16"/>
  <c r="H36551" i="16"/>
  <c r="H36552" i="16"/>
  <c r="H36553" i="16"/>
  <c r="H36554" i="16"/>
  <c r="H36555" i="16"/>
  <c r="H36556" i="16"/>
  <c r="H36557" i="16"/>
  <c r="H36558" i="16"/>
  <c r="H36559" i="16"/>
  <c r="H36560" i="16"/>
  <c r="H36561" i="16"/>
  <c r="H36562" i="16"/>
  <c r="H36563" i="16"/>
  <c r="H36564" i="16"/>
  <c r="H36565" i="16"/>
  <c r="H36566" i="16"/>
  <c r="H36567" i="16"/>
  <c r="H36568" i="16"/>
  <c r="H36569" i="16"/>
  <c r="H36570" i="16"/>
  <c r="H36571" i="16"/>
  <c r="H36572" i="16"/>
  <c r="H36573" i="16"/>
  <c r="H36574" i="16"/>
  <c r="H36575" i="16"/>
  <c r="H36576" i="16"/>
  <c r="H36577" i="16"/>
  <c r="H36578" i="16"/>
  <c r="H36579" i="16"/>
  <c r="H36580" i="16"/>
  <c r="H36581" i="16"/>
  <c r="H36582" i="16"/>
  <c r="H36583" i="16"/>
  <c r="H36584" i="16"/>
  <c r="H36585" i="16"/>
  <c r="H36586" i="16"/>
  <c r="H36587" i="16"/>
  <c r="H36588" i="16"/>
  <c r="H36589" i="16"/>
  <c r="H36590" i="16"/>
  <c r="H36591" i="16"/>
  <c r="H36592" i="16"/>
  <c r="H36593" i="16"/>
  <c r="H36594" i="16"/>
  <c r="H36595" i="16"/>
  <c r="H36596" i="16"/>
  <c r="H36597" i="16"/>
  <c r="H36598" i="16"/>
  <c r="H36599" i="16"/>
  <c r="H36600" i="16"/>
  <c r="H36601" i="16"/>
  <c r="H36602" i="16"/>
  <c r="H36603" i="16"/>
  <c r="H36604" i="16"/>
  <c r="H36605" i="16"/>
  <c r="H36606" i="16"/>
  <c r="H36607" i="16"/>
  <c r="H36608" i="16"/>
  <c r="H36609" i="16"/>
  <c r="H36610" i="16"/>
  <c r="H36611" i="16"/>
  <c r="H36612" i="16"/>
  <c r="H36613" i="16"/>
  <c r="H36614" i="16"/>
  <c r="H36615" i="16"/>
  <c r="H36616" i="16"/>
  <c r="H36617" i="16"/>
  <c r="H36618" i="16"/>
  <c r="H36619" i="16"/>
  <c r="H36620" i="16"/>
  <c r="H36621" i="16"/>
  <c r="H36622" i="16"/>
  <c r="H36623" i="16"/>
  <c r="H36624" i="16"/>
  <c r="H36625" i="16"/>
  <c r="H36626" i="16"/>
  <c r="H36627" i="16"/>
  <c r="H36628" i="16"/>
  <c r="H36629" i="16"/>
  <c r="H36630" i="16"/>
  <c r="H36631" i="16"/>
  <c r="H36632" i="16"/>
  <c r="H36633" i="16"/>
  <c r="H36634" i="16"/>
  <c r="H36635" i="16"/>
  <c r="H36636" i="16"/>
  <c r="H36637" i="16"/>
  <c r="H36638" i="16"/>
  <c r="H36639" i="16"/>
  <c r="H36640" i="16"/>
  <c r="H36641" i="16"/>
  <c r="H36642" i="16"/>
  <c r="H36643" i="16"/>
  <c r="H36644" i="16"/>
  <c r="H36645" i="16"/>
  <c r="H36646" i="16"/>
  <c r="H36647" i="16"/>
  <c r="H36648" i="16"/>
  <c r="H36649" i="16"/>
  <c r="H36650" i="16"/>
  <c r="H36651" i="16"/>
  <c r="H36652" i="16"/>
  <c r="H36653" i="16"/>
  <c r="H36654" i="16"/>
  <c r="H36655" i="16"/>
  <c r="H36656" i="16"/>
  <c r="H36657" i="16"/>
  <c r="H36658" i="16"/>
  <c r="H36659" i="16"/>
  <c r="H36660" i="16"/>
  <c r="H36661" i="16"/>
  <c r="H36662" i="16"/>
  <c r="H36663" i="16"/>
  <c r="H36664" i="16"/>
  <c r="H36665" i="16"/>
  <c r="H36666" i="16"/>
  <c r="H36667" i="16"/>
  <c r="H36668" i="16"/>
  <c r="H36669" i="16"/>
  <c r="H36670" i="16"/>
  <c r="H36671" i="16"/>
  <c r="H36672" i="16"/>
  <c r="H36673" i="16"/>
  <c r="H36674" i="16"/>
  <c r="H36675" i="16"/>
  <c r="H36676" i="16"/>
  <c r="H36677" i="16"/>
  <c r="H36678" i="16"/>
  <c r="H36679" i="16"/>
  <c r="H36680" i="16"/>
  <c r="H36681" i="16"/>
  <c r="H36682" i="16"/>
  <c r="H36683" i="16"/>
  <c r="H36684" i="16"/>
  <c r="H36685" i="16"/>
  <c r="H36686" i="16"/>
  <c r="H36687" i="16"/>
  <c r="H36688" i="16"/>
  <c r="H36689" i="16"/>
  <c r="H36690" i="16"/>
  <c r="H36691" i="16"/>
  <c r="H36692" i="16"/>
  <c r="H36693" i="16"/>
  <c r="H36694" i="16"/>
  <c r="H36695" i="16"/>
  <c r="H36696" i="16"/>
  <c r="H36697" i="16"/>
  <c r="H36698" i="16"/>
  <c r="H36699" i="16"/>
  <c r="H36700" i="16"/>
  <c r="H36701" i="16"/>
  <c r="H36702" i="16"/>
  <c r="H36703" i="16"/>
  <c r="H36704" i="16"/>
  <c r="H36705" i="16"/>
  <c r="H36706" i="16"/>
  <c r="H36707" i="16"/>
  <c r="H36708" i="16"/>
  <c r="H36709" i="16"/>
  <c r="H36710" i="16"/>
  <c r="H36711" i="16"/>
  <c r="H36712" i="16"/>
  <c r="H36713" i="16"/>
  <c r="H36714" i="16"/>
  <c r="H36715" i="16"/>
  <c r="H36716" i="16"/>
  <c r="H36717" i="16"/>
  <c r="H36718" i="16"/>
  <c r="H36719" i="16"/>
  <c r="H36720" i="16"/>
  <c r="H36721" i="16"/>
  <c r="H36722" i="16"/>
  <c r="H36723" i="16"/>
  <c r="H36724" i="16"/>
  <c r="H36725" i="16"/>
  <c r="H36726" i="16"/>
  <c r="H36727" i="16"/>
  <c r="H36728" i="16"/>
  <c r="H36729" i="16"/>
  <c r="H36730" i="16"/>
  <c r="H36731" i="16"/>
  <c r="H36732" i="16"/>
  <c r="H36733" i="16"/>
  <c r="H36734" i="16"/>
  <c r="H36735" i="16"/>
  <c r="H36736" i="16"/>
  <c r="H36737" i="16"/>
  <c r="H36738" i="16"/>
  <c r="H36739" i="16"/>
  <c r="H36740" i="16"/>
  <c r="H36741" i="16"/>
  <c r="H36742" i="16"/>
  <c r="H36743" i="16"/>
  <c r="H36744" i="16"/>
  <c r="H36745" i="16"/>
  <c r="H36746" i="16"/>
  <c r="H36747" i="16"/>
  <c r="H36748" i="16"/>
  <c r="H36749" i="16"/>
  <c r="H36750" i="16"/>
  <c r="H36751" i="16"/>
  <c r="H36752" i="16"/>
  <c r="H36753" i="16"/>
  <c r="H36754" i="16"/>
  <c r="H36755" i="16"/>
  <c r="H36756" i="16"/>
  <c r="H36757" i="16"/>
  <c r="H36758" i="16"/>
  <c r="H36759" i="16"/>
  <c r="H36760" i="16"/>
  <c r="H36761" i="16"/>
  <c r="H36762" i="16"/>
  <c r="H36763" i="16"/>
  <c r="H36764" i="16"/>
  <c r="H36765" i="16"/>
  <c r="H36766" i="16"/>
  <c r="H36767" i="16"/>
  <c r="H36768" i="16"/>
  <c r="H36769" i="16"/>
  <c r="H36770" i="16"/>
  <c r="H36771" i="16"/>
  <c r="H36772" i="16"/>
  <c r="H36773" i="16"/>
  <c r="H36774" i="16"/>
  <c r="H36775" i="16"/>
  <c r="H36776" i="16"/>
  <c r="H36777" i="16"/>
  <c r="H36778" i="16"/>
  <c r="H36779" i="16"/>
  <c r="H36780" i="16"/>
  <c r="H36781" i="16"/>
  <c r="H36782" i="16"/>
  <c r="H36783" i="16"/>
  <c r="H36784" i="16"/>
  <c r="H36785" i="16"/>
  <c r="H36786" i="16"/>
  <c r="H36787" i="16"/>
  <c r="H36788" i="16"/>
  <c r="H36789" i="16"/>
  <c r="H36790" i="16"/>
  <c r="H36791" i="16"/>
  <c r="H36792" i="16"/>
  <c r="H36793" i="16"/>
  <c r="H36794" i="16"/>
  <c r="H36795" i="16"/>
  <c r="H36796" i="16"/>
  <c r="H36797" i="16"/>
  <c r="H36798" i="16"/>
  <c r="H36799" i="16"/>
  <c r="H36800" i="16"/>
  <c r="H36801" i="16"/>
  <c r="H36802" i="16"/>
  <c r="H36803" i="16"/>
  <c r="H36804" i="16"/>
  <c r="H36805" i="16"/>
  <c r="H36806" i="16"/>
  <c r="H36807" i="16"/>
  <c r="H36808" i="16"/>
  <c r="H36809" i="16"/>
  <c r="H36810" i="16"/>
  <c r="H36811" i="16"/>
  <c r="H36812" i="16"/>
  <c r="H36813" i="16"/>
  <c r="H36814" i="16"/>
  <c r="H36815" i="16"/>
  <c r="H36816" i="16"/>
  <c r="H36817" i="16"/>
  <c r="H36818" i="16"/>
  <c r="H36819" i="16"/>
  <c r="H36820" i="16"/>
  <c r="H36821" i="16"/>
  <c r="H36822" i="16"/>
  <c r="H36823" i="16"/>
  <c r="H36824" i="16"/>
  <c r="H36825" i="16"/>
  <c r="H36826" i="16"/>
  <c r="H36827" i="16"/>
  <c r="H36828" i="16"/>
  <c r="H36829" i="16"/>
  <c r="H36830" i="16"/>
  <c r="H36831" i="16"/>
  <c r="H36832" i="16"/>
  <c r="H36833" i="16"/>
  <c r="H36834" i="16"/>
  <c r="H36835" i="16"/>
  <c r="H36836" i="16"/>
  <c r="H36837" i="16"/>
  <c r="H36838" i="16"/>
  <c r="H36839" i="16"/>
  <c r="H36840" i="16"/>
  <c r="H36841" i="16"/>
  <c r="H36842" i="16"/>
  <c r="H36843" i="16"/>
  <c r="H36844" i="16"/>
  <c r="H36845" i="16"/>
  <c r="H36846" i="16"/>
  <c r="H36847" i="16"/>
  <c r="H36848" i="16"/>
  <c r="H36849" i="16"/>
  <c r="H36850" i="16"/>
  <c r="H36851" i="16"/>
  <c r="H36852" i="16"/>
  <c r="H36853" i="16"/>
  <c r="H36854" i="16"/>
  <c r="H36855" i="16"/>
  <c r="H36856" i="16"/>
  <c r="H36857" i="16"/>
  <c r="H36858" i="16"/>
  <c r="H36859" i="16"/>
  <c r="H36860" i="16"/>
  <c r="H36861" i="16"/>
  <c r="H36862" i="16"/>
  <c r="H36863" i="16"/>
  <c r="H36864" i="16"/>
  <c r="H36865" i="16"/>
  <c r="H36866" i="16"/>
  <c r="H36867" i="16"/>
  <c r="H36868" i="16"/>
  <c r="H36869" i="16"/>
  <c r="H36870" i="16"/>
  <c r="H36871" i="16"/>
  <c r="H36872" i="16"/>
  <c r="H36873" i="16"/>
  <c r="H36874" i="16"/>
  <c r="H36875" i="16"/>
  <c r="H36876" i="16"/>
  <c r="H36877" i="16"/>
  <c r="H36878" i="16"/>
  <c r="H36879" i="16"/>
  <c r="H36880" i="16"/>
  <c r="H36881" i="16"/>
  <c r="H36882" i="16"/>
  <c r="H36883" i="16"/>
  <c r="H36884" i="16"/>
  <c r="H36885" i="16"/>
  <c r="H36886" i="16"/>
  <c r="H36887" i="16"/>
  <c r="H36888" i="16"/>
  <c r="H36889" i="16"/>
  <c r="H36890" i="16"/>
  <c r="H36891" i="16"/>
  <c r="H36892" i="16"/>
  <c r="H36893" i="16"/>
  <c r="H36894" i="16"/>
  <c r="H36895" i="16"/>
  <c r="H36896" i="16"/>
  <c r="H36897" i="16"/>
  <c r="H36898" i="16"/>
  <c r="H36899" i="16"/>
  <c r="H36900" i="16"/>
  <c r="H36901" i="16"/>
  <c r="H36902" i="16"/>
  <c r="H36903" i="16"/>
  <c r="H36904" i="16"/>
  <c r="H36905" i="16"/>
  <c r="H36906" i="16"/>
  <c r="H36907" i="16"/>
  <c r="H36908" i="16"/>
  <c r="H36909" i="16"/>
  <c r="H36910" i="16"/>
  <c r="H36911" i="16"/>
  <c r="H36912" i="16"/>
  <c r="H36913" i="16"/>
  <c r="H36914" i="16"/>
  <c r="H36915" i="16"/>
  <c r="H36916" i="16"/>
  <c r="H36917" i="16"/>
  <c r="H36918" i="16"/>
  <c r="H36919" i="16"/>
  <c r="H36920" i="16"/>
  <c r="H36921" i="16"/>
  <c r="H36922" i="16"/>
  <c r="H36923" i="16"/>
  <c r="H36924" i="16"/>
  <c r="H36925" i="16"/>
  <c r="H36926" i="16"/>
  <c r="H36927" i="16"/>
  <c r="H36928" i="16"/>
  <c r="H36929" i="16"/>
  <c r="H36930" i="16"/>
  <c r="H36931" i="16"/>
  <c r="H36932" i="16"/>
  <c r="H36933" i="16"/>
  <c r="H36934" i="16"/>
  <c r="H36935" i="16"/>
  <c r="H36936" i="16"/>
  <c r="H36937" i="16"/>
  <c r="H36938" i="16"/>
  <c r="H36939" i="16"/>
  <c r="H36940" i="16"/>
  <c r="H36941" i="16"/>
  <c r="H36942" i="16"/>
  <c r="H36943" i="16"/>
  <c r="H36944" i="16"/>
  <c r="H36945" i="16"/>
  <c r="H36946" i="16"/>
  <c r="H36947" i="16"/>
  <c r="H36948" i="16"/>
  <c r="H36949" i="16"/>
  <c r="H36950" i="16"/>
  <c r="H36951" i="16"/>
  <c r="H36952" i="16"/>
  <c r="H36953" i="16"/>
  <c r="H36954" i="16"/>
  <c r="H36955" i="16"/>
  <c r="H36956" i="16"/>
  <c r="H36957" i="16"/>
  <c r="H36958" i="16"/>
  <c r="H36959" i="16"/>
  <c r="H36960" i="16"/>
  <c r="H36961" i="16"/>
  <c r="H36962" i="16"/>
  <c r="H36963" i="16"/>
  <c r="H36964" i="16"/>
  <c r="H36965" i="16"/>
  <c r="H36966" i="16"/>
  <c r="H36967" i="16"/>
  <c r="H36968" i="16"/>
  <c r="H36969" i="16"/>
  <c r="H36970" i="16"/>
  <c r="H36971" i="16"/>
  <c r="H36972" i="16"/>
  <c r="H36973" i="16"/>
  <c r="H36974" i="16"/>
  <c r="H36975" i="16"/>
  <c r="H36976" i="16"/>
  <c r="H36977" i="16"/>
  <c r="H36978" i="16"/>
  <c r="H36979" i="16"/>
  <c r="H36980" i="16"/>
  <c r="H36981" i="16"/>
  <c r="H36982" i="16"/>
  <c r="H36983" i="16"/>
  <c r="H36984" i="16"/>
  <c r="H36985" i="16"/>
  <c r="H36986" i="16"/>
  <c r="H36987" i="16"/>
  <c r="H36988" i="16"/>
  <c r="H36989" i="16"/>
  <c r="H36990" i="16"/>
  <c r="H36991" i="16"/>
  <c r="H36992" i="16"/>
  <c r="H36993" i="16"/>
  <c r="H36994" i="16"/>
  <c r="H36995" i="16"/>
  <c r="H36996" i="16"/>
  <c r="H36997" i="16"/>
  <c r="H36998" i="16"/>
  <c r="H36999" i="16"/>
  <c r="H37000" i="16"/>
  <c r="H37001" i="16"/>
  <c r="H37002" i="16"/>
  <c r="H37003" i="16"/>
  <c r="H37004" i="16"/>
  <c r="H37005" i="16"/>
  <c r="H37006" i="16"/>
  <c r="H37007" i="16"/>
  <c r="H37008" i="16"/>
  <c r="H37009" i="16"/>
  <c r="H37010" i="16"/>
  <c r="H37011" i="16"/>
  <c r="H37012" i="16"/>
  <c r="H37013" i="16"/>
  <c r="H37014" i="16"/>
  <c r="H37015" i="16"/>
  <c r="H37016" i="16"/>
  <c r="H37017" i="16"/>
  <c r="H37018" i="16"/>
  <c r="H37019" i="16"/>
  <c r="H37020" i="16"/>
  <c r="H37021" i="16"/>
  <c r="H37022" i="16"/>
  <c r="H37023" i="16"/>
  <c r="H37024" i="16"/>
  <c r="H37025" i="16"/>
  <c r="H37026" i="16"/>
  <c r="H37027" i="16"/>
  <c r="H37028" i="16"/>
  <c r="H37029" i="16"/>
  <c r="H37030" i="16"/>
  <c r="H37031" i="16"/>
  <c r="H37032" i="16"/>
  <c r="H37033" i="16"/>
  <c r="H37034" i="16"/>
  <c r="H37035" i="16"/>
  <c r="H37036" i="16"/>
  <c r="H37037" i="16"/>
  <c r="H37038" i="16"/>
  <c r="H37039" i="16"/>
  <c r="H37040" i="16"/>
  <c r="H37041" i="16"/>
  <c r="H37042" i="16"/>
  <c r="H37043" i="16"/>
  <c r="H37044" i="16"/>
  <c r="H37045" i="16"/>
  <c r="H37046" i="16"/>
  <c r="H37047" i="16"/>
  <c r="H37048" i="16"/>
  <c r="H37049" i="16"/>
  <c r="H37050" i="16"/>
  <c r="H37051" i="16"/>
  <c r="H37052" i="16"/>
  <c r="H37053" i="16"/>
  <c r="H37054" i="16"/>
  <c r="H37055" i="16"/>
  <c r="H37056" i="16"/>
  <c r="H37057" i="16"/>
  <c r="H37058" i="16"/>
  <c r="H37059" i="16"/>
  <c r="H37060" i="16"/>
  <c r="H37061" i="16"/>
  <c r="H37062" i="16"/>
  <c r="H37063" i="16"/>
  <c r="H37064" i="16"/>
  <c r="H37065" i="16"/>
  <c r="H37066" i="16"/>
  <c r="H37067" i="16"/>
  <c r="H37068" i="16"/>
  <c r="H37069" i="16"/>
  <c r="H37070" i="16"/>
  <c r="H37071" i="16"/>
  <c r="H37072" i="16"/>
  <c r="H37073" i="16"/>
  <c r="H37074" i="16"/>
  <c r="H37075" i="16"/>
  <c r="H37076" i="16"/>
  <c r="H37077" i="16"/>
  <c r="H37078" i="16"/>
  <c r="H37079" i="16"/>
  <c r="H37080" i="16"/>
  <c r="H37081" i="16"/>
  <c r="H37082" i="16"/>
  <c r="H37083" i="16"/>
  <c r="H37084" i="16"/>
  <c r="H37085" i="16"/>
  <c r="H37086" i="16"/>
  <c r="H37087" i="16"/>
  <c r="H37088" i="16"/>
  <c r="H37089" i="16"/>
  <c r="H37090" i="16"/>
  <c r="H37091" i="16"/>
  <c r="H37092" i="16"/>
  <c r="H37093" i="16"/>
  <c r="H37094" i="16"/>
  <c r="H37095" i="16"/>
  <c r="H37096" i="16"/>
  <c r="H37097" i="16"/>
  <c r="H37098" i="16"/>
  <c r="H37099" i="16"/>
  <c r="H37100" i="16"/>
  <c r="H37101" i="16"/>
  <c r="H37102" i="16"/>
  <c r="H37103" i="16"/>
  <c r="H37104" i="16"/>
  <c r="H37105" i="16"/>
  <c r="H37106" i="16"/>
  <c r="H37107" i="16"/>
  <c r="H37108" i="16"/>
  <c r="H37109" i="16"/>
  <c r="H37110" i="16"/>
  <c r="H37111" i="16"/>
  <c r="H37112" i="16"/>
  <c r="H37113" i="16"/>
  <c r="H37114" i="16"/>
  <c r="H37115" i="16"/>
  <c r="H37116" i="16"/>
  <c r="H37117" i="16"/>
  <c r="H37118" i="16"/>
  <c r="H37119" i="16"/>
  <c r="H37120" i="16"/>
  <c r="H37121" i="16"/>
  <c r="H37122" i="16"/>
  <c r="H37123" i="16"/>
  <c r="H37124" i="16"/>
  <c r="H37125" i="16"/>
  <c r="H37126" i="16"/>
  <c r="H37127" i="16"/>
  <c r="H37128" i="16"/>
  <c r="H37129" i="16"/>
  <c r="H37130" i="16"/>
  <c r="H37131" i="16"/>
  <c r="H37132" i="16"/>
  <c r="H37133" i="16"/>
  <c r="H37134" i="16"/>
  <c r="H37135" i="16"/>
  <c r="H37136" i="16"/>
  <c r="H37137" i="16"/>
  <c r="H37138" i="16"/>
  <c r="H37139" i="16"/>
  <c r="H37140" i="16"/>
  <c r="H37141" i="16"/>
  <c r="H37142" i="16"/>
  <c r="H37143" i="16"/>
  <c r="H37144" i="16"/>
  <c r="H37145" i="16"/>
  <c r="H37146" i="16"/>
  <c r="H37147" i="16"/>
  <c r="H37148" i="16"/>
  <c r="H37149" i="16"/>
  <c r="H37150" i="16"/>
  <c r="H37151" i="16"/>
  <c r="H37152" i="16"/>
  <c r="H37153" i="16"/>
  <c r="H37154" i="16"/>
  <c r="H37155" i="16"/>
  <c r="H37156" i="16"/>
  <c r="H37157" i="16"/>
  <c r="H37158" i="16"/>
  <c r="H37159" i="16"/>
  <c r="H37160" i="16"/>
  <c r="H37161" i="16"/>
  <c r="H37162" i="16"/>
  <c r="H37163" i="16"/>
  <c r="H37164" i="16"/>
  <c r="H37165" i="16"/>
  <c r="H37166" i="16"/>
  <c r="H37167" i="16"/>
  <c r="H37168" i="16"/>
  <c r="H37169" i="16"/>
  <c r="H37170" i="16"/>
  <c r="H37171" i="16"/>
  <c r="H37172" i="16"/>
  <c r="H37173" i="16"/>
  <c r="H37174" i="16"/>
  <c r="H37175" i="16"/>
  <c r="H37176" i="16"/>
  <c r="H37177" i="16"/>
  <c r="H37178" i="16"/>
  <c r="H37179" i="16"/>
  <c r="H37180" i="16"/>
  <c r="H37181" i="16"/>
  <c r="H37182" i="16"/>
  <c r="H37183" i="16"/>
  <c r="H37184" i="16"/>
  <c r="H37185" i="16"/>
  <c r="H37186" i="16"/>
  <c r="H37187" i="16"/>
  <c r="H37188" i="16"/>
  <c r="H37189" i="16"/>
  <c r="H37190" i="16"/>
  <c r="H37191" i="16"/>
  <c r="H37192" i="16"/>
  <c r="H37193" i="16"/>
  <c r="H37194" i="16"/>
  <c r="H37195" i="16"/>
  <c r="H37196" i="16"/>
  <c r="H37197" i="16"/>
  <c r="H37198" i="16"/>
  <c r="H37199" i="16"/>
  <c r="H37200" i="16"/>
  <c r="H37201" i="16"/>
  <c r="H37202" i="16"/>
  <c r="H37203" i="16"/>
  <c r="H37204" i="16"/>
  <c r="H37205" i="16"/>
  <c r="H37206" i="16"/>
  <c r="H37207" i="16"/>
  <c r="H37208" i="16"/>
  <c r="H37209" i="16"/>
  <c r="H37210" i="16"/>
  <c r="H37211" i="16"/>
  <c r="H37212" i="16"/>
  <c r="H37213" i="16"/>
  <c r="H37214" i="16"/>
  <c r="H37215" i="16"/>
  <c r="H37216" i="16"/>
  <c r="H37217" i="16"/>
  <c r="H37218" i="16"/>
  <c r="H37219" i="16"/>
  <c r="H37220" i="16"/>
  <c r="H37221" i="16"/>
  <c r="H37222" i="16"/>
  <c r="H37223" i="16"/>
  <c r="H37224" i="16"/>
  <c r="H37225" i="16"/>
  <c r="H37226" i="16"/>
  <c r="H37227" i="16"/>
  <c r="H37228" i="16"/>
  <c r="H37229" i="16"/>
  <c r="H37230" i="16"/>
  <c r="H37231" i="16"/>
  <c r="H37232" i="16"/>
  <c r="H37233" i="16"/>
  <c r="H37234" i="16"/>
  <c r="H37235" i="16"/>
  <c r="H37236" i="16"/>
  <c r="H37237" i="16"/>
  <c r="H37238" i="16"/>
  <c r="H37239" i="16"/>
  <c r="H37240" i="16"/>
  <c r="H37241" i="16"/>
  <c r="H37242" i="16"/>
  <c r="H37243" i="16"/>
  <c r="H37244" i="16"/>
  <c r="H37245" i="16"/>
  <c r="H37246" i="16"/>
  <c r="H37247" i="16"/>
  <c r="H37248" i="16"/>
  <c r="H37249" i="16"/>
  <c r="H37250" i="16"/>
  <c r="H37251" i="16"/>
  <c r="H37252" i="16"/>
  <c r="H37253" i="16"/>
  <c r="H37254" i="16"/>
  <c r="H37255" i="16"/>
  <c r="H37256" i="16"/>
  <c r="H37257" i="16"/>
  <c r="H37258" i="16"/>
  <c r="H37259" i="16"/>
  <c r="H37260" i="16"/>
  <c r="H37261" i="16"/>
  <c r="H37262" i="16"/>
  <c r="H37263" i="16"/>
  <c r="H37264" i="16"/>
  <c r="H37265" i="16"/>
  <c r="H37266" i="16"/>
  <c r="H37267" i="16"/>
  <c r="H37268" i="16"/>
  <c r="H37269" i="16"/>
  <c r="H37270" i="16"/>
  <c r="H37271" i="16"/>
  <c r="H37272" i="16"/>
  <c r="H37273" i="16"/>
  <c r="H37274" i="16"/>
  <c r="H37275" i="16"/>
  <c r="H37276" i="16"/>
  <c r="H37277" i="16"/>
  <c r="H37278" i="16"/>
  <c r="H37279" i="16"/>
  <c r="H37280" i="16"/>
  <c r="H37281" i="16"/>
  <c r="H37282" i="16"/>
  <c r="H37283" i="16"/>
  <c r="H37284" i="16"/>
  <c r="H37285" i="16"/>
  <c r="H37286" i="16"/>
  <c r="H37287" i="16"/>
  <c r="H37288" i="16"/>
  <c r="H37289" i="16"/>
  <c r="H37290" i="16"/>
  <c r="H37291" i="16"/>
  <c r="H37292" i="16"/>
  <c r="H37293" i="16"/>
  <c r="H37294" i="16"/>
  <c r="H37295" i="16"/>
  <c r="H37296" i="16"/>
  <c r="H37297" i="16"/>
  <c r="H37298" i="16"/>
  <c r="H37299" i="16"/>
  <c r="H37300" i="16"/>
  <c r="H37301" i="16"/>
  <c r="H37302" i="16"/>
  <c r="H37303" i="16"/>
  <c r="H37304" i="16"/>
  <c r="H37305" i="16"/>
  <c r="H37306" i="16"/>
  <c r="H37307" i="16"/>
  <c r="H37308" i="16"/>
  <c r="H37309" i="16"/>
  <c r="H37310" i="16"/>
  <c r="H37311" i="16"/>
  <c r="H37312" i="16"/>
  <c r="H37313" i="16"/>
  <c r="H37314" i="16"/>
  <c r="H37315" i="16"/>
  <c r="H37316" i="16"/>
  <c r="H37317" i="16"/>
  <c r="H37318" i="16"/>
  <c r="H37319" i="16"/>
  <c r="H37320" i="16"/>
  <c r="H37321" i="16"/>
  <c r="H37322" i="16"/>
  <c r="H37323" i="16"/>
  <c r="H37324" i="16"/>
  <c r="H37325" i="16"/>
  <c r="H37326" i="16"/>
  <c r="H37327" i="16"/>
  <c r="H37328" i="16"/>
  <c r="H37329" i="16"/>
  <c r="H37330" i="16"/>
  <c r="H37331" i="16"/>
  <c r="H37332" i="16"/>
  <c r="H37333" i="16"/>
  <c r="H37334" i="16"/>
  <c r="H37335" i="16"/>
  <c r="H37336" i="16"/>
  <c r="H37337" i="16"/>
  <c r="H37338" i="16"/>
  <c r="H37339" i="16"/>
  <c r="H37340" i="16"/>
  <c r="H37341" i="16"/>
  <c r="H37342" i="16"/>
  <c r="H37343" i="16"/>
  <c r="H37344" i="16"/>
  <c r="H37345" i="16"/>
  <c r="H37346" i="16"/>
  <c r="H37347" i="16"/>
  <c r="H37348" i="16"/>
  <c r="H37349" i="16"/>
  <c r="H37350" i="16"/>
  <c r="H37351" i="16"/>
  <c r="H37352" i="16"/>
  <c r="H37353" i="16"/>
  <c r="H37354" i="16"/>
  <c r="H37355" i="16"/>
  <c r="H37356" i="16"/>
  <c r="H37357" i="16"/>
  <c r="H37358" i="16"/>
  <c r="H37359" i="16"/>
  <c r="H37360" i="16"/>
  <c r="H37361" i="16"/>
  <c r="H37362" i="16"/>
  <c r="H37363" i="16"/>
  <c r="H37364" i="16"/>
  <c r="H37365" i="16"/>
  <c r="H37366" i="16"/>
  <c r="H37367" i="16"/>
  <c r="H37368" i="16"/>
  <c r="H37369" i="16"/>
  <c r="H37370" i="16"/>
  <c r="H37371" i="16"/>
  <c r="H37372" i="16"/>
  <c r="H37373" i="16"/>
  <c r="H37374" i="16"/>
  <c r="H37375" i="16"/>
  <c r="H37376" i="16"/>
  <c r="H37377" i="16"/>
  <c r="H37378" i="16"/>
  <c r="H37379" i="16"/>
  <c r="H37380" i="16"/>
  <c r="H37381" i="16"/>
  <c r="H37382" i="16"/>
  <c r="H37383" i="16"/>
  <c r="H37384" i="16"/>
  <c r="H37385" i="16"/>
  <c r="H37386" i="16"/>
  <c r="H37387" i="16"/>
  <c r="H37388" i="16"/>
  <c r="H37389" i="16"/>
  <c r="H37390" i="16"/>
  <c r="H37391" i="16"/>
  <c r="H37392" i="16"/>
  <c r="H37393" i="16"/>
  <c r="H37394" i="16"/>
  <c r="H37395" i="16"/>
  <c r="H37396" i="16"/>
  <c r="H37397" i="16"/>
  <c r="H37398" i="16"/>
  <c r="H37399" i="16"/>
  <c r="H37400" i="16"/>
  <c r="H37401" i="16"/>
  <c r="H37402" i="16"/>
  <c r="H37403" i="16"/>
  <c r="H37404" i="16"/>
  <c r="H37405" i="16"/>
  <c r="H37406" i="16"/>
  <c r="H37407" i="16"/>
  <c r="H37408" i="16"/>
  <c r="H37409" i="16"/>
  <c r="H37410" i="16"/>
  <c r="H37411" i="16"/>
  <c r="H37412" i="16"/>
  <c r="H37413" i="16"/>
  <c r="H37414" i="16"/>
  <c r="H37415" i="16"/>
  <c r="H37416" i="16"/>
  <c r="H37417" i="16"/>
  <c r="H37418" i="16"/>
  <c r="H37419" i="16"/>
  <c r="H37420" i="16"/>
  <c r="H37421" i="16"/>
  <c r="H37422" i="16"/>
  <c r="H37423" i="16"/>
  <c r="H37424" i="16"/>
  <c r="H37425" i="16"/>
  <c r="H37426" i="16"/>
  <c r="H37427" i="16"/>
  <c r="H37428" i="16"/>
  <c r="H37429" i="16"/>
  <c r="H37430" i="16"/>
  <c r="H37431" i="16"/>
  <c r="H37432" i="16"/>
  <c r="H37433" i="16"/>
  <c r="H37434" i="16"/>
  <c r="H37435" i="16"/>
  <c r="H37436" i="16"/>
  <c r="H37437" i="16"/>
  <c r="H37438" i="16"/>
  <c r="H37439" i="16"/>
  <c r="H37440" i="16"/>
  <c r="H37441" i="16"/>
  <c r="H37442" i="16"/>
  <c r="H37443" i="16"/>
  <c r="H37444" i="16"/>
  <c r="H37445" i="16"/>
  <c r="H37446" i="16"/>
  <c r="H37447" i="16"/>
  <c r="H37448" i="16"/>
  <c r="H37449" i="16"/>
  <c r="H37450" i="16"/>
  <c r="H37451" i="16"/>
  <c r="H37452" i="16"/>
  <c r="H37453" i="16"/>
  <c r="H37454" i="16"/>
  <c r="H37455" i="16"/>
  <c r="H37456" i="16"/>
  <c r="H37457" i="16"/>
  <c r="H37458" i="16"/>
  <c r="H37459" i="16"/>
  <c r="H37460" i="16"/>
  <c r="H37461" i="16"/>
  <c r="H37462" i="16"/>
  <c r="H37463" i="16"/>
  <c r="H37464" i="16"/>
  <c r="H37465" i="16"/>
  <c r="H37466" i="16"/>
  <c r="H37467" i="16"/>
  <c r="H37468" i="16"/>
  <c r="H37469" i="16"/>
  <c r="H37470" i="16"/>
  <c r="H37471" i="16"/>
  <c r="H37472" i="16"/>
  <c r="H37473" i="16"/>
  <c r="H37474" i="16"/>
  <c r="H37475" i="16"/>
  <c r="H37476" i="16"/>
  <c r="H37477" i="16"/>
  <c r="H37478" i="16"/>
  <c r="H37479" i="16"/>
  <c r="H37480" i="16"/>
  <c r="H37481" i="16"/>
  <c r="H37482" i="16"/>
  <c r="H37483" i="16"/>
  <c r="H37484" i="16"/>
  <c r="H37485" i="16"/>
  <c r="H37486" i="16"/>
  <c r="H37487" i="16"/>
  <c r="H37488" i="16"/>
  <c r="H37489" i="16"/>
  <c r="H37490" i="16"/>
  <c r="H37491" i="16"/>
  <c r="H37492" i="16"/>
  <c r="H37493" i="16"/>
  <c r="H37494" i="16"/>
  <c r="H37495" i="16"/>
  <c r="H37496" i="16"/>
  <c r="H37497" i="16"/>
  <c r="H37498" i="16"/>
  <c r="H37499" i="16"/>
  <c r="H37500" i="16"/>
  <c r="H37501" i="16"/>
  <c r="H37502" i="16"/>
  <c r="H37503" i="16"/>
  <c r="H37504" i="16"/>
  <c r="H37505" i="16"/>
  <c r="H37506" i="16"/>
  <c r="H37507" i="16"/>
  <c r="H37508" i="16"/>
  <c r="H37509" i="16"/>
  <c r="H37510" i="16"/>
  <c r="H37511" i="16"/>
  <c r="H37512" i="16"/>
  <c r="H37513" i="16"/>
  <c r="H37514" i="16"/>
  <c r="H37515" i="16"/>
  <c r="H37516" i="16"/>
  <c r="H37517" i="16"/>
  <c r="H37518" i="16"/>
  <c r="H37519" i="16"/>
  <c r="H37520" i="16"/>
  <c r="H37521" i="16"/>
  <c r="H37522" i="16"/>
  <c r="H37523" i="16"/>
  <c r="H37524" i="16"/>
  <c r="H37525" i="16"/>
  <c r="H37526" i="16"/>
  <c r="H37527" i="16"/>
  <c r="H37528" i="16"/>
  <c r="H37529" i="16"/>
  <c r="H37530" i="16"/>
  <c r="H37531" i="16"/>
  <c r="H37532" i="16"/>
  <c r="H37533" i="16"/>
  <c r="H37534" i="16"/>
  <c r="H37535" i="16"/>
  <c r="H37536" i="16"/>
  <c r="H37537" i="16"/>
  <c r="H37538" i="16"/>
  <c r="H37539" i="16"/>
  <c r="H37540" i="16"/>
  <c r="H37541" i="16"/>
  <c r="H37542" i="16"/>
  <c r="H37543" i="16"/>
  <c r="H37544" i="16"/>
  <c r="H37545" i="16"/>
  <c r="H37546" i="16"/>
  <c r="H37547" i="16"/>
  <c r="H37548" i="16"/>
  <c r="H37549" i="16"/>
  <c r="H37550" i="16"/>
  <c r="H37551" i="16"/>
  <c r="H37552" i="16"/>
  <c r="H37553" i="16"/>
  <c r="H37554" i="16"/>
  <c r="H37555" i="16"/>
  <c r="H37556" i="16"/>
  <c r="H37557" i="16"/>
  <c r="H37558" i="16"/>
  <c r="H37559" i="16"/>
  <c r="H37560" i="16"/>
  <c r="H37561" i="16"/>
  <c r="H37562" i="16"/>
  <c r="H37563" i="16"/>
  <c r="H37564" i="16"/>
  <c r="H37565" i="16"/>
  <c r="H37566" i="16"/>
  <c r="H37567" i="16"/>
  <c r="H37568" i="16"/>
  <c r="H37569" i="16"/>
  <c r="H37570" i="16"/>
  <c r="H37571" i="16"/>
  <c r="H37572" i="16"/>
  <c r="H37573" i="16"/>
  <c r="H37574" i="16"/>
  <c r="H37575" i="16"/>
  <c r="H37576" i="16"/>
  <c r="H37577" i="16"/>
  <c r="H37578" i="16"/>
  <c r="H37579" i="16"/>
  <c r="H37580" i="16"/>
  <c r="H37581" i="16"/>
  <c r="H37582" i="16"/>
  <c r="H37583" i="16"/>
  <c r="H37584" i="16"/>
  <c r="H37585" i="16"/>
  <c r="H37586" i="16"/>
  <c r="H37587" i="16"/>
  <c r="H37588" i="16"/>
  <c r="H37589" i="16"/>
  <c r="H37590" i="16"/>
  <c r="H37591" i="16"/>
  <c r="H37592" i="16"/>
  <c r="H37593" i="16"/>
  <c r="H37594" i="16"/>
  <c r="H37595" i="16"/>
  <c r="H37596" i="16"/>
  <c r="H37597" i="16"/>
  <c r="H37598" i="16"/>
  <c r="H37599" i="16"/>
  <c r="H37600" i="16"/>
  <c r="H37601" i="16"/>
  <c r="H37602" i="16"/>
  <c r="H37603" i="16"/>
  <c r="H37604" i="16"/>
  <c r="H37605" i="16"/>
  <c r="H37606" i="16"/>
  <c r="H37607" i="16"/>
  <c r="H37608" i="16"/>
  <c r="H37609" i="16"/>
  <c r="H37610" i="16"/>
  <c r="H37611" i="16"/>
  <c r="H37612" i="16"/>
  <c r="H37613" i="16"/>
  <c r="H37614" i="16"/>
  <c r="H37615" i="16"/>
  <c r="H37616" i="16"/>
  <c r="H37617" i="16"/>
  <c r="H37618" i="16"/>
  <c r="H37619" i="16"/>
  <c r="H37620" i="16"/>
  <c r="H37621" i="16"/>
  <c r="H37622" i="16"/>
  <c r="H37623" i="16"/>
  <c r="H37624" i="16"/>
  <c r="H37625" i="16"/>
  <c r="H37626" i="16"/>
  <c r="H37627" i="16"/>
  <c r="H37628" i="16"/>
  <c r="H37629" i="16"/>
  <c r="H37630" i="16"/>
  <c r="H37631" i="16"/>
  <c r="H37632" i="16"/>
  <c r="H37633" i="16"/>
  <c r="H37634" i="16"/>
  <c r="H37635" i="16"/>
  <c r="H37636" i="16"/>
  <c r="H37637" i="16"/>
  <c r="H37638" i="16"/>
  <c r="H37639" i="16"/>
  <c r="H37640" i="16"/>
  <c r="H37641" i="16"/>
  <c r="H37642" i="16"/>
  <c r="H37643" i="16"/>
  <c r="H37644" i="16"/>
  <c r="H37645" i="16"/>
  <c r="H37646" i="16"/>
  <c r="H37647" i="16"/>
  <c r="H37648" i="16"/>
  <c r="H37649" i="16"/>
  <c r="H37650" i="16"/>
  <c r="H37651" i="16"/>
  <c r="H37652" i="16"/>
  <c r="H37653" i="16"/>
  <c r="H37654" i="16"/>
  <c r="H37655" i="16"/>
  <c r="H37656" i="16"/>
  <c r="H37657" i="16"/>
  <c r="H37658" i="16"/>
  <c r="H37659" i="16"/>
  <c r="H37660" i="16"/>
  <c r="H37661" i="16"/>
  <c r="H37662" i="16"/>
  <c r="H37663" i="16"/>
  <c r="H37664" i="16"/>
  <c r="H37665" i="16"/>
  <c r="H37666" i="16"/>
  <c r="H37667" i="16"/>
  <c r="H37668" i="16"/>
  <c r="H37669" i="16"/>
  <c r="H37670" i="16"/>
  <c r="H37671" i="16"/>
  <c r="H37672" i="16"/>
  <c r="H37673" i="16"/>
  <c r="H37674" i="16"/>
  <c r="H37675" i="16"/>
  <c r="H37676" i="16"/>
  <c r="H37677" i="16"/>
  <c r="H37678" i="16"/>
  <c r="H37679" i="16"/>
  <c r="H37680" i="16"/>
  <c r="H37681" i="16"/>
  <c r="H37682" i="16"/>
  <c r="H37683" i="16"/>
  <c r="H37684" i="16"/>
  <c r="H37685" i="16"/>
  <c r="H37686" i="16"/>
  <c r="H37687" i="16"/>
  <c r="H37688" i="16"/>
  <c r="H37689" i="16"/>
  <c r="H37690" i="16"/>
  <c r="H37691" i="16"/>
  <c r="H37692" i="16"/>
  <c r="H37693" i="16"/>
  <c r="H37694" i="16"/>
  <c r="H37695" i="16"/>
  <c r="H37696" i="16"/>
  <c r="H37697" i="16"/>
  <c r="H37698" i="16"/>
  <c r="H37699" i="16"/>
  <c r="H37700" i="16"/>
  <c r="H37701" i="16"/>
  <c r="H37702" i="16"/>
  <c r="H37703" i="16"/>
  <c r="H37704" i="16"/>
  <c r="H37705" i="16"/>
  <c r="H37706" i="16"/>
  <c r="H37707" i="16"/>
  <c r="H37708" i="16"/>
  <c r="H37709" i="16"/>
  <c r="H37710" i="16"/>
  <c r="H37711" i="16"/>
  <c r="H37712" i="16"/>
  <c r="H37713" i="16"/>
  <c r="H37714" i="16"/>
  <c r="H37715" i="16"/>
  <c r="H37716" i="16"/>
  <c r="H37717" i="16"/>
  <c r="H37718" i="16"/>
  <c r="H37719" i="16"/>
  <c r="H37720" i="16"/>
  <c r="H37721" i="16"/>
  <c r="H37722" i="16"/>
  <c r="H37723" i="16"/>
  <c r="H37724" i="16"/>
  <c r="H37725" i="16"/>
  <c r="H37726" i="16"/>
  <c r="H37727" i="16"/>
  <c r="H37728" i="16"/>
  <c r="H37729" i="16"/>
  <c r="H37730" i="16"/>
  <c r="H37731" i="16"/>
  <c r="H37732" i="16"/>
  <c r="H37733" i="16"/>
  <c r="H37734" i="16"/>
  <c r="H37735" i="16"/>
  <c r="H37736" i="16"/>
  <c r="H37737" i="16"/>
  <c r="H37738" i="16"/>
  <c r="H37739" i="16"/>
  <c r="H37740" i="16"/>
  <c r="H37741" i="16"/>
  <c r="H37742" i="16"/>
  <c r="H37743" i="16"/>
  <c r="H37744" i="16"/>
  <c r="H37745" i="16"/>
  <c r="H37746" i="16"/>
  <c r="H37747" i="16"/>
  <c r="H37748" i="16"/>
  <c r="H37749" i="16"/>
  <c r="H37750" i="16"/>
  <c r="H37751" i="16"/>
  <c r="H37752" i="16"/>
  <c r="H37753" i="16"/>
  <c r="H37754" i="16"/>
  <c r="H37755" i="16"/>
  <c r="H37756" i="16"/>
  <c r="H37757" i="16"/>
  <c r="H37758" i="16"/>
  <c r="H37759" i="16"/>
  <c r="H37760" i="16"/>
  <c r="H37761" i="16"/>
  <c r="H37762" i="16"/>
  <c r="H37763" i="16"/>
  <c r="H37764" i="16"/>
  <c r="H37765" i="16"/>
  <c r="H37766" i="16"/>
  <c r="H37767" i="16"/>
  <c r="H37768" i="16"/>
  <c r="H37769" i="16"/>
  <c r="H37770" i="16"/>
  <c r="H37771" i="16"/>
  <c r="H37772" i="16"/>
  <c r="H37773" i="16"/>
  <c r="H37774" i="16"/>
  <c r="H37775" i="16"/>
  <c r="H37776" i="16"/>
  <c r="H37777" i="16"/>
  <c r="H37778" i="16"/>
  <c r="H37779" i="16"/>
  <c r="H37780" i="16"/>
  <c r="H37781" i="16"/>
  <c r="H37782" i="16"/>
  <c r="H37783" i="16"/>
  <c r="H37784" i="16"/>
  <c r="H37785" i="16"/>
  <c r="H37786" i="16"/>
  <c r="H37787" i="16"/>
  <c r="H37788" i="16"/>
  <c r="H37789" i="16"/>
  <c r="H37790" i="16"/>
  <c r="H37791" i="16"/>
  <c r="H37792" i="16"/>
  <c r="H37793" i="16"/>
  <c r="H37794" i="16"/>
  <c r="H37795" i="16"/>
  <c r="H37796" i="16"/>
  <c r="H37797" i="16"/>
  <c r="H37798" i="16"/>
  <c r="H37799" i="16"/>
  <c r="H37800" i="16"/>
  <c r="H37801" i="16"/>
  <c r="H37802" i="16"/>
  <c r="H37803" i="16"/>
  <c r="H37804" i="16"/>
  <c r="H37805" i="16"/>
  <c r="H37806" i="16"/>
  <c r="H37807" i="16"/>
  <c r="H37808" i="16"/>
  <c r="H37809" i="16"/>
  <c r="H37810" i="16"/>
  <c r="H37811" i="16"/>
  <c r="H37812" i="16"/>
  <c r="H37813" i="16"/>
  <c r="H37814" i="16"/>
  <c r="H37815" i="16"/>
  <c r="H37816" i="16"/>
  <c r="H37817" i="16"/>
  <c r="H37818" i="16"/>
  <c r="H37819" i="16"/>
  <c r="H37820" i="16"/>
  <c r="H37821" i="16"/>
  <c r="H37822" i="16"/>
  <c r="H37823" i="16"/>
  <c r="H37824" i="16"/>
  <c r="H37825" i="16"/>
  <c r="H37826" i="16"/>
  <c r="H37827" i="16"/>
  <c r="H37828" i="16"/>
  <c r="H37829" i="16"/>
  <c r="H37830" i="16"/>
  <c r="H37831" i="16"/>
  <c r="H37832" i="16"/>
  <c r="H37833" i="16"/>
  <c r="H37834" i="16"/>
  <c r="H37835" i="16"/>
  <c r="H37836" i="16"/>
  <c r="H37837" i="16"/>
  <c r="H37838" i="16"/>
  <c r="H37839" i="16"/>
  <c r="H37840" i="16"/>
  <c r="H37841" i="16"/>
  <c r="H37842" i="16"/>
  <c r="H37843" i="16"/>
  <c r="H37844" i="16"/>
  <c r="H37845" i="16"/>
  <c r="H37846" i="16"/>
  <c r="H37847" i="16"/>
  <c r="H37848" i="16"/>
  <c r="H37849" i="16"/>
  <c r="H37850" i="16"/>
  <c r="H37851" i="16"/>
  <c r="H37852" i="16"/>
  <c r="H37853" i="16"/>
  <c r="H37854" i="16"/>
  <c r="H37855" i="16"/>
  <c r="H37856" i="16"/>
  <c r="H37857" i="16"/>
  <c r="H37858" i="16"/>
  <c r="H37859" i="16"/>
  <c r="H37860" i="16"/>
  <c r="H37861" i="16"/>
  <c r="H37862" i="16"/>
  <c r="H37863" i="16"/>
  <c r="H37864" i="16"/>
  <c r="H37865" i="16"/>
  <c r="H37866" i="16"/>
  <c r="H37867" i="16"/>
  <c r="H37868" i="16"/>
  <c r="H37869" i="16"/>
  <c r="H37870" i="16"/>
  <c r="H37871" i="16"/>
  <c r="H37872" i="16"/>
  <c r="H37873" i="16"/>
  <c r="H37874" i="16"/>
  <c r="H37875" i="16"/>
  <c r="H37876" i="16"/>
  <c r="H37877" i="16"/>
  <c r="H37878" i="16"/>
  <c r="H37879" i="16"/>
  <c r="H37880" i="16"/>
  <c r="H37881" i="16"/>
  <c r="H37882" i="16"/>
  <c r="H37883" i="16"/>
  <c r="H37884" i="16"/>
  <c r="H37885" i="16"/>
  <c r="H37886" i="16"/>
  <c r="H37887" i="16"/>
  <c r="H37888" i="16"/>
  <c r="H37889" i="16"/>
  <c r="H37890" i="16"/>
  <c r="H37891" i="16"/>
  <c r="H37892" i="16"/>
  <c r="H37893" i="16"/>
  <c r="H37894" i="16"/>
  <c r="H37895" i="16"/>
  <c r="H37896" i="16"/>
  <c r="H37897" i="16"/>
  <c r="H37898" i="16"/>
  <c r="H37899" i="16"/>
  <c r="H37900" i="16"/>
  <c r="H37901" i="16"/>
  <c r="H37902" i="16"/>
  <c r="H37903" i="16"/>
  <c r="H37904" i="16"/>
  <c r="H37905" i="16"/>
  <c r="H37906" i="16"/>
  <c r="H37907" i="16"/>
  <c r="H37908" i="16"/>
  <c r="H37909" i="16"/>
  <c r="H37910" i="16"/>
  <c r="H37911" i="16"/>
  <c r="H37912" i="16"/>
  <c r="H37913" i="16"/>
  <c r="H37914" i="16"/>
  <c r="H37915" i="16"/>
  <c r="H37916" i="16"/>
  <c r="H37917" i="16"/>
  <c r="H37918" i="16"/>
  <c r="H37919" i="16"/>
  <c r="H37920" i="16"/>
  <c r="H37921" i="16"/>
  <c r="H37922" i="16"/>
  <c r="H37923" i="16"/>
  <c r="H37924" i="16"/>
  <c r="H37925" i="16"/>
  <c r="H37926" i="16"/>
  <c r="H37927" i="16"/>
  <c r="H37928" i="16"/>
  <c r="H37929" i="16"/>
  <c r="H37930" i="16"/>
  <c r="H37931" i="16"/>
  <c r="H37932" i="16"/>
  <c r="H37933" i="16"/>
  <c r="H37934" i="16"/>
  <c r="H37935" i="16"/>
  <c r="H37936" i="16"/>
  <c r="H37937" i="16"/>
  <c r="H37938" i="16"/>
  <c r="H37939" i="16"/>
  <c r="H37940" i="16"/>
  <c r="H37941" i="16"/>
  <c r="H37942" i="16"/>
  <c r="H37943" i="16"/>
  <c r="H37944" i="16"/>
  <c r="H37945" i="16"/>
  <c r="H37946" i="16"/>
  <c r="H37947" i="16"/>
  <c r="H37948" i="16"/>
  <c r="H37949" i="16"/>
  <c r="H37950" i="16"/>
  <c r="H37951" i="16"/>
  <c r="H37952" i="16"/>
  <c r="H37953" i="16"/>
  <c r="H37954" i="16"/>
  <c r="H37955" i="16"/>
  <c r="H37956" i="16"/>
  <c r="H37957" i="16"/>
  <c r="H37958" i="16"/>
  <c r="H37959" i="16"/>
  <c r="H37960" i="16"/>
  <c r="H37961" i="16"/>
  <c r="H37962" i="16"/>
  <c r="H37963" i="16"/>
  <c r="H37964" i="16"/>
  <c r="H37965" i="16"/>
  <c r="H37966" i="16"/>
  <c r="H37967" i="16"/>
  <c r="H37968" i="16"/>
  <c r="H37969" i="16"/>
  <c r="H37970" i="16"/>
  <c r="H37971" i="16"/>
  <c r="H37972" i="16"/>
  <c r="H37973" i="16"/>
  <c r="H37974" i="16"/>
  <c r="H37975" i="16"/>
  <c r="H37976" i="16"/>
  <c r="H37977" i="16"/>
  <c r="H37978" i="16"/>
  <c r="H37979" i="16"/>
  <c r="H37980" i="16"/>
  <c r="H37981" i="16"/>
  <c r="H37982" i="16"/>
  <c r="H37983" i="16"/>
  <c r="H37984" i="16"/>
  <c r="H37985" i="16"/>
  <c r="H37986" i="16"/>
  <c r="H37987" i="16"/>
  <c r="H37988" i="16"/>
  <c r="H37989" i="16"/>
  <c r="H37990" i="16"/>
  <c r="H37991" i="16"/>
  <c r="H37992" i="16"/>
  <c r="H37993" i="16"/>
  <c r="H37994" i="16"/>
  <c r="H37995" i="16"/>
  <c r="H37996" i="16"/>
  <c r="H37997" i="16"/>
  <c r="H37998" i="16"/>
  <c r="H37999" i="16"/>
  <c r="H38000" i="16"/>
  <c r="H38001" i="16"/>
  <c r="H38002" i="16"/>
  <c r="H38003" i="16"/>
  <c r="H38004" i="16"/>
  <c r="H38005" i="16"/>
  <c r="H38006" i="16"/>
  <c r="H38007" i="16"/>
  <c r="H38008" i="16"/>
  <c r="H38009" i="16"/>
  <c r="H38010" i="16"/>
  <c r="H38011" i="16"/>
  <c r="H38012" i="16"/>
  <c r="H38013" i="16"/>
  <c r="H38014" i="16"/>
  <c r="H38015" i="16"/>
  <c r="H38016" i="16"/>
  <c r="H38017" i="16"/>
  <c r="H38018" i="16"/>
  <c r="H38019" i="16"/>
  <c r="H38020" i="16"/>
  <c r="H38021" i="16"/>
  <c r="H38022" i="16"/>
  <c r="H38023" i="16"/>
  <c r="H38024" i="16"/>
  <c r="H38025" i="16"/>
  <c r="H38026" i="16"/>
  <c r="H38027" i="16"/>
  <c r="H38028" i="16"/>
  <c r="H38029" i="16"/>
  <c r="H38030" i="16"/>
  <c r="H38031" i="16"/>
  <c r="H38032" i="16"/>
  <c r="H38033" i="16"/>
  <c r="H38034" i="16"/>
  <c r="H38035" i="16"/>
  <c r="H38036" i="16"/>
  <c r="H38037" i="16"/>
  <c r="H38038" i="16"/>
  <c r="H38039" i="16"/>
  <c r="H38040" i="16"/>
  <c r="H38041" i="16"/>
  <c r="H38042" i="16"/>
  <c r="H38043" i="16"/>
  <c r="H38044" i="16"/>
  <c r="H38045" i="16"/>
  <c r="H38046" i="16"/>
  <c r="H38047" i="16"/>
  <c r="H38048" i="16"/>
  <c r="H38049" i="16"/>
  <c r="H38050" i="16"/>
  <c r="H38051" i="16"/>
  <c r="H38052" i="16"/>
  <c r="H38053" i="16"/>
  <c r="H38054" i="16"/>
  <c r="H38055" i="16"/>
  <c r="H38056" i="16"/>
  <c r="H38057" i="16"/>
  <c r="H38058" i="16"/>
  <c r="H38059" i="16"/>
  <c r="H38060" i="16"/>
  <c r="H38061" i="16"/>
  <c r="H38062" i="16"/>
  <c r="H38063" i="16"/>
  <c r="H38064" i="16"/>
  <c r="H38065" i="16"/>
  <c r="H38066" i="16"/>
  <c r="H38067" i="16"/>
  <c r="H38068" i="16"/>
  <c r="H38069" i="16"/>
  <c r="H38070" i="16"/>
  <c r="H38071" i="16"/>
  <c r="H38072" i="16"/>
  <c r="H38073" i="16"/>
  <c r="H38074" i="16"/>
  <c r="H38075" i="16"/>
  <c r="H38076" i="16"/>
  <c r="H38077" i="16"/>
  <c r="H38078" i="16"/>
  <c r="H38079" i="16"/>
  <c r="H38080" i="16"/>
  <c r="H38081" i="16"/>
  <c r="H38082" i="16"/>
  <c r="H38083" i="16"/>
  <c r="H38084" i="16"/>
  <c r="H38085" i="16"/>
  <c r="H38086" i="16"/>
  <c r="H38087" i="16"/>
  <c r="H38088" i="16"/>
  <c r="H38089" i="16"/>
  <c r="H38090" i="16"/>
  <c r="H38091" i="16"/>
  <c r="H38092" i="16"/>
  <c r="H38093" i="16"/>
  <c r="H38094" i="16"/>
  <c r="H38095" i="16"/>
  <c r="H38096" i="16"/>
  <c r="H38097" i="16"/>
  <c r="H38098" i="16"/>
  <c r="H38099" i="16"/>
  <c r="H38100" i="16"/>
  <c r="H38101" i="16"/>
  <c r="H38102" i="16"/>
  <c r="H38103" i="16"/>
  <c r="H38104" i="16"/>
  <c r="H38105" i="16"/>
  <c r="H38106" i="16"/>
  <c r="H38107" i="16"/>
  <c r="H38108" i="16"/>
  <c r="H38109" i="16"/>
  <c r="H38110" i="16"/>
  <c r="H38111" i="16"/>
  <c r="H38112" i="16"/>
  <c r="H38113" i="16"/>
  <c r="H38114" i="16"/>
  <c r="H38115" i="16"/>
  <c r="H38116" i="16"/>
  <c r="H38117" i="16"/>
  <c r="H38118" i="16"/>
  <c r="H38119" i="16"/>
  <c r="H38120" i="16"/>
  <c r="H38121" i="16"/>
  <c r="H38122" i="16"/>
  <c r="H38123" i="16"/>
  <c r="H38124" i="16"/>
  <c r="H38125" i="16"/>
  <c r="H38126" i="16"/>
  <c r="H38127" i="16"/>
  <c r="H38128" i="16"/>
  <c r="H38129" i="16"/>
  <c r="H38130" i="16"/>
  <c r="H38131" i="16"/>
  <c r="H38132" i="16"/>
  <c r="H38133" i="16"/>
  <c r="H38134" i="16"/>
  <c r="H38135" i="16"/>
  <c r="H38136" i="16"/>
  <c r="H38137" i="16"/>
  <c r="H38138" i="16"/>
  <c r="H38139" i="16"/>
  <c r="H38140" i="16"/>
  <c r="H38141" i="16"/>
  <c r="H38142" i="16"/>
  <c r="H38143" i="16"/>
  <c r="H38144" i="16"/>
  <c r="H38145" i="16"/>
  <c r="H38146" i="16"/>
  <c r="H38147" i="16"/>
  <c r="H38148" i="16"/>
  <c r="H38149" i="16"/>
  <c r="H38150" i="16"/>
  <c r="H38151" i="16"/>
  <c r="H38152" i="16"/>
  <c r="H38153" i="16"/>
  <c r="H38154" i="16"/>
  <c r="H38155" i="16"/>
  <c r="H38156" i="16"/>
  <c r="H38157" i="16"/>
  <c r="H38158" i="16"/>
  <c r="H38159" i="16"/>
  <c r="H38160" i="16"/>
  <c r="H38161" i="16"/>
  <c r="H38162" i="16"/>
  <c r="H38163" i="16"/>
  <c r="H38164" i="16"/>
  <c r="H38165" i="16"/>
  <c r="H38166" i="16"/>
  <c r="H38167" i="16"/>
  <c r="H38168" i="16"/>
  <c r="H38169" i="16"/>
  <c r="H38170" i="16"/>
  <c r="H38171" i="16"/>
  <c r="H38172" i="16"/>
  <c r="H38173" i="16"/>
  <c r="H38174" i="16"/>
  <c r="H38175" i="16"/>
  <c r="H38176" i="16"/>
  <c r="H38177" i="16"/>
  <c r="H38178" i="16"/>
  <c r="H38179" i="16"/>
  <c r="H38180" i="16"/>
  <c r="H38181" i="16"/>
  <c r="H38182" i="16"/>
  <c r="H38183" i="16"/>
  <c r="H38184" i="16"/>
  <c r="H38185" i="16"/>
  <c r="H38186" i="16"/>
  <c r="H38187" i="16"/>
  <c r="H38188" i="16"/>
  <c r="H38189" i="16"/>
  <c r="H38190" i="16"/>
  <c r="H38191" i="16"/>
  <c r="H38192" i="16"/>
  <c r="H38193" i="16"/>
  <c r="H38194" i="16"/>
  <c r="H38195" i="16"/>
  <c r="H38196" i="16"/>
  <c r="H38197" i="16"/>
  <c r="H38198" i="16"/>
  <c r="H38199" i="16"/>
  <c r="H38200" i="16"/>
  <c r="H38201" i="16"/>
  <c r="H38202" i="16"/>
  <c r="H38203" i="16"/>
  <c r="H38204" i="16"/>
  <c r="H38205" i="16"/>
  <c r="H38206" i="16"/>
  <c r="H38207" i="16"/>
  <c r="H38208" i="16"/>
  <c r="H38209" i="16"/>
  <c r="H38210" i="16"/>
  <c r="H38211" i="16"/>
  <c r="H38212" i="16"/>
  <c r="H38213" i="16"/>
  <c r="H38214" i="16"/>
  <c r="H38215" i="16"/>
  <c r="H38216" i="16"/>
  <c r="H38217" i="16"/>
  <c r="H38218" i="16"/>
  <c r="H38219" i="16"/>
  <c r="H38220" i="16"/>
  <c r="H38221" i="16"/>
  <c r="H38222" i="16"/>
  <c r="H38223" i="16"/>
  <c r="H38224" i="16"/>
  <c r="H38225" i="16"/>
  <c r="H38226" i="16"/>
  <c r="H38227" i="16"/>
  <c r="H38228" i="16"/>
  <c r="H38229" i="16"/>
  <c r="H38230" i="16"/>
  <c r="H38231" i="16"/>
  <c r="H38232" i="16"/>
  <c r="H38233" i="16"/>
  <c r="H38234" i="16"/>
  <c r="H38235" i="16"/>
  <c r="H38236" i="16"/>
  <c r="H38237" i="16"/>
  <c r="H38238" i="16"/>
  <c r="H38239" i="16"/>
  <c r="H38240" i="16"/>
  <c r="H38241" i="16"/>
  <c r="H38242" i="16"/>
  <c r="H38243" i="16"/>
  <c r="H38244" i="16"/>
  <c r="H38245" i="16"/>
  <c r="H38246" i="16"/>
  <c r="H38247" i="16"/>
  <c r="H38248" i="16"/>
  <c r="H38249" i="16"/>
  <c r="H38250" i="16"/>
  <c r="H38251" i="16"/>
  <c r="H38252" i="16"/>
  <c r="H38253" i="16"/>
  <c r="H38254" i="16"/>
  <c r="H38255" i="16"/>
  <c r="H38256" i="16"/>
  <c r="H38257" i="16"/>
  <c r="H38258" i="16"/>
  <c r="H38259" i="16"/>
  <c r="H38260" i="16"/>
  <c r="H38261" i="16"/>
  <c r="H38262" i="16"/>
  <c r="H38263" i="16"/>
  <c r="H38264" i="16"/>
  <c r="H38265" i="16"/>
  <c r="H38266" i="16"/>
  <c r="H38267" i="16"/>
  <c r="H38268" i="16"/>
  <c r="H38269" i="16"/>
  <c r="H38270" i="16"/>
  <c r="H38271" i="16"/>
  <c r="H38272" i="16"/>
  <c r="H38273" i="16"/>
  <c r="H38274" i="16"/>
  <c r="H38275" i="16"/>
  <c r="H38276" i="16"/>
  <c r="H38277" i="16"/>
  <c r="H38278" i="16"/>
  <c r="H38279" i="16"/>
  <c r="H38280" i="16"/>
  <c r="H38281" i="16"/>
  <c r="H38282" i="16"/>
  <c r="H38283" i="16"/>
  <c r="H38284" i="16"/>
  <c r="H38285" i="16"/>
  <c r="H38286" i="16"/>
  <c r="H38287" i="16"/>
  <c r="H38288" i="16"/>
  <c r="H38289" i="16"/>
  <c r="H38290" i="16"/>
  <c r="H38291" i="16"/>
  <c r="H38292" i="16"/>
  <c r="H38293" i="16"/>
  <c r="H38294" i="16"/>
  <c r="H38295" i="16"/>
  <c r="H38296" i="16"/>
  <c r="H38297" i="16"/>
  <c r="H38298" i="16"/>
  <c r="H38299" i="16"/>
  <c r="H38300" i="16"/>
  <c r="H38301" i="16"/>
  <c r="H38302" i="16"/>
  <c r="H38303" i="16"/>
  <c r="H38304" i="16"/>
  <c r="H38305" i="16"/>
  <c r="H38306" i="16"/>
  <c r="H38307" i="16"/>
  <c r="H38308" i="16"/>
  <c r="H38309" i="16"/>
  <c r="H38310" i="16"/>
  <c r="H38311" i="16"/>
  <c r="H38312" i="16"/>
  <c r="H38313" i="16"/>
  <c r="H38314" i="16"/>
  <c r="H38315" i="16"/>
  <c r="H38316" i="16"/>
  <c r="H38317" i="16"/>
  <c r="H38318" i="16"/>
  <c r="H38319" i="16"/>
  <c r="H38320" i="16"/>
  <c r="H38321" i="16"/>
  <c r="H38322" i="16"/>
  <c r="H38323" i="16"/>
  <c r="H38324" i="16"/>
  <c r="H38325" i="16"/>
  <c r="H38326" i="16"/>
  <c r="H38327" i="16"/>
  <c r="H38328" i="16"/>
  <c r="H38329" i="16"/>
  <c r="H38330" i="16"/>
  <c r="H38331" i="16"/>
  <c r="H38332" i="16"/>
  <c r="H38333" i="16"/>
  <c r="H38334" i="16"/>
  <c r="H38335" i="16"/>
  <c r="H38336" i="16"/>
  <c r="H38337" i="16"/>
  <c r="H38338" i="16"/>
  <c r="H38339" i="16"/>
  <c r="H38340" i="16"/>
  <c r="H38341" i="16"/>
  <c r="H38342" i="16"/>
  <c r="H38343" i="16"/>
  <c r="H38344" i="16"/>
  <c r="H38345" i="16"/>
  <c r="H38346" i="16"/>
  <c r="H38347" i="16"/>
  <c r="H38348" i="16"/>
  <c r="H38349" i="16"/>
  <c r="H38350" i="16"/>
  <c r="H38351" i="16"/>
  <c r="H38352" i="16"/>
  <c r="H38353" i="16"/>
  <c r="H38354" i="16"/>
  <c r="H38355" i="16"/>
  <c r="H38356" i="16"/>
  <c r="H38357" i="16"/>
  <c r="H38358" i="16"/>
  <c r="H38359" i="16"/>
  <c r="H38360" i="16"/>
  <c r="H38361" i="16"/>
  <c r="H38362" i="16"/>
  <c r="H38363" i="16"/>
  <c r="H38364" i="16"/>
  <c r="H38365" i="16"/>
  <c r="H38366" i="16"/>
  <c r="H38367" i="16"/>
  <c r="H38368" i="16"/>
  <c r="H38369" i="16"/>
  <c r="H38370" i="16"/>
  <c r="H38371" i="16"/>
  <c r="H38372" i="16"/>
  <c r="H38373" i="16"/>
  <c r="H38374" i="16"/>
  <c r="H38375" i="16"/>
  <c r="H38376" i="16"/>
  <c r="H38377" i="16"/>
  <c r="H38378" i="16"/>
  <c r="H38379" i="16"/>
  <c r="H38380" i="16"/>
  <c r="H38381" i="16"/>
  <c r="H38382" i="16"/>
  <c r="H38383" i="16"/>
  <c r="H38384" i="16"/>
  <c r="H38385" i="16"/>
  <c r="H38386" i="16"/>
  <c r="H38387" i="16"/>
  <c r="H38388" i="16"/>
  <c r="H38389" i="16"/>
  <c r="H38390" i="16"/>
  <c r="H38391" i="16"/>
  <c r="H38392" i="16"/>
  <c r="H38393" i="16"/>
  <c r="H38394" i="16"/>
  <c r="H38395" i="16"/>
  <c r="H38396" i="16"/>
  <c r="H38397" i="16"/>
  <c r="H38398" i="16"/>
  <c r="H38399" i="16"/>
  <c r="H38400" i="16"/>
  <c r="H38401" i="16"/>
  <c r="H38402" i="16"/>
  <c r="H38403" i="16"/>
  <c r="H38404" i="16"/>
  <c r="H38405" i="16"/>
  <c r="H38406" i="16"/>
  <c r="H38407" i="16"/>
  <c r="H38408" i="16"/>
  <c r="H38409" i="16"/>
  <c r="H38410" i="16"/>
  <c r="H38411" i="16"/>
  <c r="H38412" i="16"/>
  <c r="H38413" i="16"/>
  <c r="H38414" i="16"/>
  <c r="H38415" i="16"/>
  <c r="H38416" i="16"/>
  <c r="H38417" i="16"/>
  <c r="H38418" i="16"/>
  <c r="H38419" i="16"/>
  <c r="H38420" i="16"/>
  <c r="H38421" i="16"/>
  <c r="H38422" i="16"/>
  <c r="H38423" i="16"/>
  <c r="H38424" i="16"/>
  <c r="H38425" i="16"/>
  <c r="H38426" i="16"/>
  <c r="H38427" i="16"/>
  <c r="H38428" i="16"/>
  <c r="H38429" i="16"/>
  <c r="H38430" i="16"/>
  <c r="H38431" i="16"/>
  <c r="H38432" i="16"/>
  <c r="H38433" i="16"/>
  <c r="H38434" i="16"/>
  <c r="H38435" i="16"/>
  <c r="H38436" i="16"/>
  <c r="H38437" i="16"/>
  <c r="H38438" i="16"/>
  <c r="H38439" i="16"/>
  <c r="H38440" i="16"/>
  <c r="H38441" i="16"/>
  <c r="H38442" i="16"/>
  <c r="H38443" i="16"/>
  <c r="H38444" i="16"/>
  <c r="H38445" i="16"/>
  <c r="H38446" i="16"/>
  <c r="H38447" i="16"/>
  <c r="H38448" i="16"/>
  <c r="H38449" i="16"/>
  <c r="H38450" i="16"/>
  <c r="H38451" i="16"/>
  <c r="H38452" i="16"/>
  <c r="H38453" i="16"/>
  <c r="H38454" i="16"/>
  <c r="H38455" i="16"/>
  <c r="H38456" i="16"/>
  <c r="H38457" i="16"/>
  <c r="H38458" i="16"/>
  <c r="H38459" i="16"/>
  <c r="H38460" i="16"/>
  <c r="H38461" i="16"/>
  <c r="H38462" i="16"/>
  <c r="H38463" i="16"/>
  <c r="H38464" i="16"/>
  <c r="H38465" i="16"/>
  <c r="H38466" i="16"/>
  <c r="H38467" i="16"/>
  <c r="H38468" i="16"/>
  <c r="H38469" i="16"/>
  <c r="H38470" i="16"/>
  <c r="H38471" i="16"/>
  <c r="H38472" i="16"/>
  <c r="H38473" i="16"/>
  <c r="H38474" i="16"/>
  <c r="H38475" i="16"/>
  <c r="H38476" i="16"/>
  <c r="H38477" i="16"/>
  <c r="H38478" i="16"/>
  <c r="H38479" i="16"/>
  <c r="H38480" i="16"/>
  <c r="H38481" i="16"/>
  <c r="H38482" i="16"/>
  <c r="H38483" i="16"/>
  <c r="H38484" i="16"/>
  <c r="H38485" i="16"/>
  <c r="H38486" i="16"/>
  <c r="H38487" i="16"/>
  <c r="H38488" i="16"/>
  <c r="H38489" i="16"/>
  <c r="H38490" i="16"/>
  <c r="H38491" i="16"/>
  <c r="H38492" i="16"/>
  <c r="H38493" i="16"/>
  <c r="H38494" i="16"/>
  <c r="H38495" i="16"/>
  <c r="H38496" i="16"/>
  <c r="H38497" i="16"/>
  <c r="H38498" i="16"/>
  <c r="H38499" i="16"/>
  <c r="H38500" i="16"/>
  <c r="H38501" i="16"/>
  <c r="H38502" i="16"/>
  <c r="H38503" i="16"/>
  <c r="H38504" i="16"/>
  <c r="H38505" i="16"/>
  <c r="H38506" i="16"/>
  <c r="H38507" i="16"/>
  <c r="H38508" i="16"/>
  <c r="H38509" i="16"/>
  <c r="H38510" i="16"/>
  <c r="H38511" i="16"/>
  <c r="H38512" i="16"/>
  <c r="H38513" i="16"/>
  <c r="H38514" i="16"/>
  <c r="H38515" i="16"/>
  <c r="H38516" i="16"/>
  <c r="H38517" i="16"/>
  <c r="H38518" i="16"/>
  <c r="H38519" i="16"/>
  <c r="H38520" i="16"/>
  <c r="H38521" i="16"/>
  <c r="H38522" i="16"/>
  <c r="H38523" i="16"/>
  <c r="H38524" i="16"/>
  <c r="H38525" i="16"/>
  <c r="H38526" i="16"/>
  <c r="H38527" i="16"/>
  <c r="H38528" i="16"/>
  <c r="H38529" i="16"/>
  <c r="H38530" i="16"/>
  <c r="H38531" i="16"/>
  <c r="H38532" i="16"/>
  <c r="H38533" i="16"/>
  <c r="H38534" i="16"/>
  <c r="H38535" i="16"/>
  <c r="H38536" i="16"/>
  <c r="H38537" i="16"/>
  <c r="H38538" i="16"/>
  <c r="H38539" i="16"/>
  <c r="H38540" i="16"/>
  <c r="H38541" i="16"/>
  <c r="H38542" i="16"/>
  <c r="H38543" i="16"/>
  <c r="H38544" i="16"/>
  <c r="H38545" i="16"/>
  <c r="H38546" i="16"/>
  <c r="H38547" i="16"/>
  <c r="H38548" i="16"/>
  <c r="H38549" i="16"/>
  <c r="H38550" i="16"/>
  <c r="H38551" i="16"/>
  <c r="H38552" i="16"/>
  <c r="H38553" i="16"/>
  <c r="H38554" i="16"/>
  <c r="H38555" i="16"/>
  <c r="H38556" i="16"/>
  <c r="H38557" i="16"/>
  <c r="H38558" i="16"/>
  <c r="H38559" i="16"/>
  <c r="H38560" i="16"/>
  <c r="H38561" i="16"/>
  <c r="H38562" i="16"/>
  <c r="H38563" i="16"/>
  <c r="H38564" i="16"/>
  <c r="H38565" i="16"/>
  <c r="H38566" i="16"/>
  <c r="H38567" i="16"/>
  <c r="H38568" i="16"/>
  <c r="H38569" i="16"/>
  <c r="H38570" i="16"/>
  <c r="H38571" i="16"/>
  <c r="H38572" i="16"/>
  <c r="H38573" i="16"/>
  <c r="H38574" i="16"/>
  <c r="H38575" i="16"/>
  <c r="H38576" i="16"/>
  <c r="H38577" i="16"/>
  <c r="H38578" i="16"/>
  <c r="H38579" i="16"/>
  <c r="H38580" i="16"/>
  <c r="H38581" i="16"/>
  <c r="H38582" i="16"/>
  <c r="H38583" i="16"/>
  <c r="H38584" i="16"/>
  <c r="H38585" i="16"/>
  <c r="H38586" i="16"/>
  <c r="H38587" i="16"/>
  <c r="H38588" i="16"/>
  <c r="H38589" i="16"/>
  <c r="H38590" i="16"/>
  <c r="H38591" i="16"/>
  <c r="H38592" i="16"/>
  <c r="H38593" i="16"/>
  <c r="H38594" i="16"/>
  <c r="H38595" i="16"/>
  <c r="H38596" i="16"/>
  <c r="H38597" i="16"/>
  <c r="H38598" i="16"/>
  <c r="H38599" i="16"/>
  <c r="H38600" i="16"/>
  <c r="H38601" i="16"/>
  <c r="H38602" i="16"/>
  <c r="H38603" i="16"/>
  <c r="H38604" i="16"/>
  <c r="H38605" i="16"/>
  <c r="H38606" i="16"/>
  <c r="H38607" i="16"/>
  <c r="H38608" i="16"/>
  <c r="H38609" i="16"/>
  <c r="H38610" i="16"/>
  <c r="H38611" i="16"/>
  <c r="H38612" i="16"/>
  <c r="H38613" i="16"/>
  <c r="H38614" i="16"/>
  <c r="H38615" i="16"/>
  <c r="H38616" i="16"/>
  <c r="H38617" i="16"/>
  <c r="H38618" i="16"/>
  <c r="H38619" i="16"/>
  <c r="H38620" i="16"/>
  <c r="H38621" i="16"/>
  <c r="H38622" i="16"/>
  <c r="H38623" i="16"/>
  <c r="H38624" i="16"/>
  <c r="H38625" i="16"/>
  <c r="H38626" i="16"/>
  <c r="H38627" i="16"/>
  <c r="H38628" i="16"/>
  <c r="H38629" i="16"/>
  <c r="H38630" i="16"/>
  <c r="H38631" i="16"/>
  <c r="H38632" i="16"/>
  <c r="H38633" i="16"/>
  <c r="H38634" i="16"/>
  <c r="H38635" i="16"/>
  <c r="H38636" i="16"/>
  <c r="H38637" i="16"/>
  <c r="H38638" i="16"/>
  <c r="H38639" i="16"/>
  <c r="H38640" i="16"/>
  <c r="H38641" i="16"/>
  <c r="H38642" i="16"/>
  <c r="H38643" i="16"/>
  <c r="H38644" i="16"/>
  <c r="H38645" i="16"/>
  <c r="H38646" i="16"/>
  <c r="H38647" i="16"/>
  <c r="H38648" i="16"/>
  <c r="H38649" i="16"/>
  <c r="H38650" i="16"/>
  <c r="H38651" i="16"/>
  <c r="H38652" i="16"/>
  <c r="H38653" i="16"/>
  <c r="H38654" i="16"/>
  <c r="H38655" i="16"/>
  <c r="H38656" i="16"/>
  <c r="H38657" i="16"/>
  <c r="H38658" i="16"/>
  <c r="H38659" i="16"/>
  <c r="H38660" i="16"/>
  <c r="H38661" i="16"/>
  <c r="H38662" i="16"/>
  <c r="H38663" i="16"/>
  <c r="H38664" i="16"/>
  <c r="H38665" i="16"/>
  <c r="H38666" i="16"/>
  <c r="H38667" i="16"/>
  <c r="H38668" i="16"/>
  <c r="H38669" i="16"/>
  <c r="H38670" i="16"/>
  <c r="H38671" i="16"/>
  <c r="H38672" i="16"/>
  <c r="H38673" i="16"/>
  <c r="H38674" i="16"/>
  <c r="H38675" i="16"/>
  <c r="H38676" i="16"/>
  <c r="H38677" i="16"/>
  <c r="H38678" i="16"/>
  <c r="H38679" i="16"/>
  <c r="H38680" i="16"/>
  <c r="H38681" i="16"/>
  <c r="H38682" i="16"/>
  <c r="H38683" i="16"/>
  <c r="H38684" i="16"/>
  <c r="H38685" i="16"/>
  <c r="H38686" i="16"/>
  <c r="H38687" i="16"/>
  <c r="H38688" i="16"/>
  <c r="H38689" i="16"/>
  <c r="H38690" i="16"/>
  <c r="H38691" i="16"/>
  <c r="H38692" i="16"/>
  <c r="H38693" i="16"/>
  <c r="H38694" i="16"/>
  <c r="H38695" i="16"/>
  <c r="H38696" i="16"/>
  <c r="H38697" i="16"/>
  <c r="H38698" i="16"/>
  <c r="H38699" i="16"/>
  <c r="H38700" i="16"/>
  <c r="H38701" i="16"/>
  <c r="H38702" i="16"/>
  <c r="H38703" i="16"/>
  <c r="H38704" i="16"/>
  <c r="H38705" i="16"/>
  <c r="H38706" i="16"/>
  <c r="H38707" i="16"/>
  <c r="H38708" i="16"/>
  <c r="H38709" i="16"/>
  <c r="H38710" i="16"/>
  <c r="H38711" i="16"/>
  <c r="H38712" i="16"/>
  <c r="H38713" i="16"/>
  <c r="H38714" i="16"/>
  <c r="H38715" i="16"/>
  <c r="H38716" i="16"/>
  <c r="H38717" i="16"/>
  <c r="H38718" i="16"/>
  <c r="H38719" i="16"/>
  <c r="H38720" i="16"/>
  <c r="H38721" i="16"/>
  <c r="H38722" i="16"/>
  <c r="H38723" i="16"/>
  <c r="H38724" i="16"/>
  <c r="H38725" i="16"/>
  <c r="H38726" i="16"/>
  <c r="H38727" i="16"/>
  <c r="H38728" i="16"/>
  <c r="H38729" i="16"/>
  <c r="H38730" i="16"/>
  <c r="H38731" i="16"/>
  <c r="H38732" i="16"/>
  <c r="H38733" i="16"/>
  <c r="H38734" i="16"/>
  <c r="H38735" i="16"/>
  <c r="H38736" i="16"/>
  <c r="H38737" i="16"/>
  <c r="H38738" i="16"/>
  <c r="H38739" i="16"/>
  <c r="H38740" i="16"/>
  <c r="H38741" i="16"/>
  <c r="H38742" i="16"/>
  <c r="H38743" i="16"/>
  <c r="H38744" i="16"/>
  <c r="H38745" i="16"/>
  <c r="H38746" i="16"/>
  <c r="H38747" i="16"/>
  <c r="H38748" i="16"/>
  <c r="H38749" i="16"/>
  <c r="H38750" i="16"/>
  <c r="H38751" i="16"/>
  <c r="H38752" i="16"/>
  <c r="H38753" i="16"/>
  <c r="H38754" i="16"/>
  <c r="H38755" i="16"/>
  <c r="H38756" i="16"/>
  <c r="H38757" i="16"/>
  <c r="H38758" i="16"/>
  <c r="H38759" i="16"/>
  <c r="H38760" i="16"/>
  <c r="H38761" i="16"/>
  <c r="H38762" i="16"/>
  <c r="H38763" i="16"/>
  <c r="H38764" i="16"/>
  <c r="H38765" i="16"/>
  <c r="H38766" i="16"/>
  <c r="H38767" i="16"/>
  <c r="H38768" i="16"/>
  <c r="H38769" i="16"/>
  <c r="H38770" i="16"/>
  <c r="H38771" i="16"/>
  <c r="H38772" i="16"/>
  <c r="H38773" i="16"/>
  <c r="H38774" i="16"/>
  <c r="H38775" i="16"/>
  <c r="H38776" i="16"/>
  <c r="H38777" i="16"/>
  <c r="H38778" i="16"/>
  <c r="H38779" i="16"/>
  <c r="H38780" i="16"/>
  <c r="H38781" i="16"/>
  <c r="H38782" i="16"/>
  <c r="H38783" i="16"/>
  <c r="H38784" i="16"/>
  <c r="H38785" i="16"/>
  <c r="H38786" i="16"/>
  <c r="H38787" i="16"/>
  <c r="H38788" i="16"/>
  <c r="H38789" i="16"/>
  <c r="H38790" i="16"/>
  <c r="H38791" i="16"/>
  <c r="H38792" i="16"/>
  <c r="H38793" i="16"/>
  <c r="H38794" i="16"/>
  <c r="H38795" i="16"/>
  <c r="H38796" i="16"/>
  <c r="H38797" i="16"/>
  <c r="H38798" i="16"/>
  <c r="H38799" i="16"/>
  <c r="H38800" i="16"/>
  <c r="H38801" i="16"/>
  <c r="H38802" i="16"/>
  <c r="H38803" i="16"/>
  <c r="H38804" i="16"/>
  <c r="H38805" i="16"/>
  <c r="H38806" i="16"/>
  <c r="H38807" i="16"/>
  <c r="H38808" i="16"/>
  <c r="H38809" i="16"/>
  <c r="H38810" i="16"/>
  <c r="H38811" i="16"/>
  <c r="H38812" i="16"/>
  <c r="H38813" i="16"/>
  <c r="H38814" i="16"/>
  <c r="H38815" i="16"/>
  <c r="H38816" i="16"/>
  <c r="H38817" i="16"/>
  <c r="H38818" i="16"/>
  <c r="H38819" i="16"/>
  <c r="H38820" i="16"/>
  <c r="H38821" i="16"/>
  <c r="H38822" i="16"/>
  <c r="H38823" i="16"/>
  <c r="H38824" i="16"/>
  <c r="H38825" i="16"/>
  <c r="H38826" i="16"/>
  <c r="H38827" i="16"/>
  <c r="H38828" i="16"/>
  <c r="H38829" i="16"/>
  <c r="H38830" i="16"/>
  <c r="H38831" i="16"/>
  <c r="H38832" i="16"/>
  <c r="H38833" i="16"/>
  <c r="H38834" i="16"/>
  <c r="H38835" i="16"/>
  <c r="H38836" i="16"/>
  <c r="H38837" i="16"/>
  <c r="H38838" i="16"/>
  <c r="H38839" i="16"/>
  <c r="H38840" i="16"/>
  <c r="H38841" i="16"/>
  <c r="H38842" i="16"/>
  <c r="H38843" i="16"/>
  <c r="H38844" i="16"/>
  <c r="H38845" i="16"/>
  <c r="H38846" i="16"/>
  <c r="H38847" i="16"/>
  <c r="H38848" i="16"/>
  <c r="H38849" i="16"/>
  <c r="H38850" i="16"/>
  <c r="H38851" i="16"/>
  <c r="H38852" i="16"/>
  <c r="H38853" i="16"/>
  <c r="H38854" i="16"/>
  <c r="H38855" i="16"/>
  <c r="H38856" i="16"/>
  <c r="H38857" i="16"/>
  <c r="H38858" i="16"/>
  <c r="H38859" i="16"/>
  <c r="H38860" i="16"/>
  <c r="H38861" i="16"/>
  <c r="H38862" i="16"/>
  <c r="H38863" i="16"/>
  <c r="H38864" i="16"/>
  <c r="H38865" i="16"/>
  <c r="H38866" i="16"/>
  <c r="H38867" i="16"/>
  <c r="H38868" i="16"/>
  <c r="H38869" i="16"/>
  <c r="H38870" i="16"/>
  <c r="H38871" i="16"/>
  <c r="H38872" i="16"/>
  <c r="H38873" i="16"/>
  <c r="H38874" i="16"/>
  <c r="H38875" i="16"/>
  <c r="H38876" i="16"/>
  <c r="H38877" i="16"/>
  <c r="H38878" i="16"/>
  <c r="H38879" i="16"/>
  <c r="H38880" i="16"/>
  <c r="H38881" i="16"/>
  <c r="H38882" i="16"/>
  <c r="H38883" i="16"/>
  <c r="H38884" i="16"/>
  <c r="H38885" i="16"/>
  <c r="H38886" i="16"/>
  <c r="H38887" i="16"/>
  <c r="H38888" i="16"/>
  <c r="H38889" i="16"/>
  <c r="H38890" i="16"/>
  <c r="H38891" i="16"/>
  <c r="H38892" i="16"/>
  <c r="H38893" i="16"/>
  <c r="H38894" i="16"/>
  <c r="H38895" i="16"/>
  <c r="H38896" i="16"/>
  <c r="H38897" i="16"/>
  <c r="H38898" i="16"/>
  <c r="H38899" i="16"/>
  <c r="H38900" i="16"/>
  <c r="H38901" i="16"/>
  <c r="H38902" i="16"/>
  <c r="H38903" i="16"/>
  <c r="H38904" i="16"/>
  <c r="H38905" i="16"/>
  <c r="H38906" i="16"/>
  <c r="H38907" i="16"/>
  <c r="H38908" i="16"/>
  <c r="H38909" i="16"/>
  <c r="H38910" i="16"/>
  <c r="H38911" i="16"/>
  <c r="H38912" i="16"/>
  <c r="H38913" i="16"/>
  <c r="H38914" i="16"/>
  <c r="H38915" i="16"/>
  <c r="H38916" i="16"/>
  <c r="H38917" i="16"/>
  <c r="H38918" i="16"/>
  <c r="H38919" i="16"/>
  <c r="H38920" i="16"/>
  <c r="H38921" i="16"/>
  <c r="H38922" i="16"/>
  <c r="H38923" i="16"/>
  <c r="H38924" i="16"/>
  <c r="H38925" i="16"/>
  <c r="H38926" i="16"/>
  <c r="H38927" i="16"/>
  <c r="H38928" i="16"/>
  <c r="H38929" i="16"/>
  <c r="H38930" i="16"/>
  <c r="H38931" i="16"/>
  <c r="H38932" i="16"/>
  <c r="H38933" i="16"/>
  <c r="H38934" i="16"/>
  <c r="H38935" i="16"/>
  <c r="H38936" i="16"/>
  <c r="H38937" i="16"/>
  <c r="H38938" i="16"/>
  <c r="H38939" i="16"/>
  <c r="H38940" i="16"/>
  <c r="H38941" i="16"/>
  <c r="H38942" i="16"/>
  <c r="H38943" i="16"/>
  <c r="H38944" i="16"/>
  <c r="H38945" i="16"/>
  <c r="H38946" i="16"/>
  <c r="H38947" i="16"/>
  <c r="H38948" i="16"/>
  <c r="H38949" i="16"/>
  <c r="H38950" i="16"/>
  <c r="H38951" i="16"/>
  <c r="H38952" i="16"/>
  <c r="H38953" i="16"/>
  <c r="H38954" i="16"/>
  <c r="H38955" i="16"/>
  <c r="H38956" i="16"/>
  <c r="H38957" i="16"/>
  <c r="H38958" i="16"/>
  <c r="H38959" i="16"/>
  <c r="H38960" i="16"/>
  <c r="H38961" i="16"/>
  <c r="H38962" i="16"/>
  <c r="H38963" i="16"/>
  <c r="H38964" i="16"/>
  <c r="H38965" i="16"/>
  <c r="H38966" i="16"/>
  <c r="H38967" i="16"/>
  <c r="H38968" i="16"/>
  <c r="H38969" i="16"/>
  <c r="H38970" i="16"/>
  <c r="H38971" i="16"/>
  <c r="H38972" i="16"/>
  <c r="H38973" i="16"/>
  <c r="H38974" i="16"/>
  <c r="H38975" i="16"/>
  <c r="H38976" i="16"/>
  <c r="H38977" i="16"/>
  <c r="H38978" i="16"/>
  <c r="H38979" i="16"/>
  <c r="H38980" i="16"/>
  <c r="H38981" i="16"/>
  <c r="H38982" i="16"/>
  <c r="H38983" i="16"/>
  <c r="H38984" i="16"/>
  <c r="H38985" i="16"/>
  <c r="H38986" i="16"/>
  <c r="H38987" i="16"/>
  <c r="H38988" i="16"/>
  <c r="H38989" i="16"/>
  <c r="H38990" i="16"/>
  <c r="H38991" i="16"/>
  <c r="H38992" i="16"/>
  <c r="H38993" i="16"/>
  <c r="H38994" i="16"/>
  <c r="H38995" i="16"/>
  <c r="H38996" i="16"/>
  <c r="H38997" i="16"/>
  <c r="H38998" i="16"/>
  <c r="H38999" i="16"/>
  <c r="H39000" i="16"/>
  <c r="H39001" i="16"/>
  <c r="H39002" i="16"/>
  <c r="H39003" i="16"/>
  <c r="H39004" i="16"/>
  <c r="H39005" i="16"/>
  <c r="H39006" i="16"/>
  <c r="H39007" i="16"/>
  <c r="H39008" i="16"/>
  <c r="H39009" i="16"/>
  <c r="H39010" i="16"/>
  <c r="H39011" i="16"/>
  <c r="H39012" i="16"/>
  <c r="H39013" i="16"/>
  <c r="H39014" i="16"/>
  <c r="H39015" i="16"/>
  <c r="H39016" i="16"/>
  <c r="H39017" i="16"/>
  <c r="H39018" i="16"/>
  <c r="H39019" i="16"/>
  <c r="H39020" i="16"/>
  <c r="H39021" i="16"/>
  <c r="H39022" i="16"/>
  <c r="H39023" i="16"/>
  <c r="H39024" i="16"/>
  <c r="H39025" i="16"/>
  <c r="H39026" i="16"/>
  <c r="H39027" i="16"/>
  <c r="H39028" i="16"/>
  <c r="H39029" i="16"/>
  <c r="H39030" i="16"/>
  <c r="H39031" i="16"/>
  <c r="H39032" i="16"/>
  <c r="H39033" i="16"/>
  <c r="H39034" i="16"/>
  <c r="H39035" i="16"/>
  <c r="H39036" i="16"/>
  <c r="H39037" i="16"/>
  <c r="H39038" i="16"/>
  <c r="H39039" i="16"/>
  <c r="H39040" i="16"/>
  <c r="H39041" i="16"/>
  <c r="H39042" i="16"/>
  <c r="H39043" i="16"/>
  <c r="H39044" i="16"/>
  <c r="H39045" i="16"/>
  <c r="H39046" i="16"/>
  <c r="H39047" i="16"/>
  <c r="H39048" i="16"/>
  <c r="H39049" i="16"/>
  <c r="H39050" i="16"/>
  <c r="H39051" i="16"/>
  <c r="H39052" i="16"/>
  <c r="H39053" i="16"/>
  <c r="H39054" i="16"/>
  <c r="H39055" i="16"/>
  <c r="H39056" i="16"/>
  <c r="H39057" i="16"/>
  <c r="H39058" i="16"/>
  <c r="H39059" i="16"/>
  <c r="H39060" i="16"/>
  <c r="H39061" i="16"/>
  <c r="H39062" i="16"/>
  <c r="H39063" i="16"/>
  <c r="H39064" i="16"/>
  <c r="H39065" i="16"/>
  <c r="H39066" i="16"/>
  <c r="H39067" i="16"/>
  <c r="H39068" i="16"/>
  <c r="H39069" i="16"/>
  <c r="H39070" i="16"/>
  <c r="H39071" i="16"/>
  <c r="H39072" i="16"/>
  <c r="H39073" i="16"/>
  <c r="H39074" i="16"/>
  <c r="H39075" i="16"/>
  <c r="H39076" i="16"/>
  <c r="H39077" i="16"/>
  <c r="H39078" i="16"/>
  <c r="H39079" i="16"/>
  <c r="H39080" i="16"/>
  <c r="H39081" i="16"/>
  <c r="H39082" i="16"/>
  <c r="H39083" i="16"/>
  <c r="H39084" i="16"/>
  <c r="H39085" i="16"/>
  <c r="H39086" i="16"/>
  <c r="H39087" i="16"/>
  <c r="H39088" i="16"/>
  <c r="H39089" i="16"/>
  <c r="H39090" i="16"/>
  <c r="H39091" i="16"/>
  <c r="H39092" i="16"/>
  <c r="H39093" i="16"/>
  <c r="H39094" i="16"/>
  <c r="H39095" i="16"/>
  <c r="H39096" i="16"/>
  <c r="H39097" i="16"/>
  <c r="H39098" i="16"/>
  <c r="H39099" i="16"/>
  <c r="H39100" i="16"/>
  <c r="H39101" i="16"/>
  <c r="H39102" i="16"/>
  <c r="H39103" i="16"/>
  <c r="H39104" i="16"/>
  <c r="H39105" i="16"/>
  <c r="H39106" i="16"/>
  <c r="H39107" i="16"/>
  <c r="H39108" i="16"/>
  <c r="H39109" i="16"/>
  <c r="H39110" i="16"/>
  <c r="H39111" i="16"/>
  <c r="H39112" i="16"/>
  <c r="H39113" i="16"/>
  <c r="H39114" i="16"/>
  <c r="H39115" i="16"/>
  <c r="H39116" i="16"/>
  <c r="H39117" i="16"/>
  <c r="H39118" i="16"/>
  <c r="H39119" i="16"/>
  <c r="H39120" i="16"/>
  <c r="H39121" i="16"/>
  <c r="H39122" i="16"/>
  <c r="H39123" i="16"/>
  <c r="H39124" i="16"/>
  <c r="H39125" i="16"/>
  <c r="H39126" i="16"/>
  <c r="H39127" i="16"/>
  <c r="H39128" i="16"/>
  <c r="H39129" i="16"/>
  <c r="H39130" i="16"/>
  <c r="H39131" i="16"/>
  <c r="H39132" i="16"/>
  <c r="H39133" i="16"/>
  <c r="H39134" i="16"/>
  <c r="H39135" i="16"/>
  <c r="H39136" i="16"/>
  <c r="H39137" i="16"/>
  <c r="H39138" i="16"/>
  <c r="H39139" i="16"/>
  <c r="H39140" i="16"/>
  <c r="H39141" i="16"/>
  <c r="H39142" i="16"/>
  <c r="H39143" i="16"/>
  <c r="H39144" i="16"/>
  <c r="H39145" i="16"/>
  <c r="H39146" i="16"/>
  <c r="H39147" i="16"/>
  <c r="H39148" i="16"/>
  <c r="H39149" i="16"/>
  <c r="H39150" i="16"/>
  <c r="H39151" i="16"/>
  <c r="H39152" i="16"/>
  <c r="H39153" i="16"/>
  <c r="H39154" i="16"/>
  <c r="H39155" i="16"/>
  <c r="H39156" i="16"/>
  <c r="H39157" i="16"/>
  <c r="H39158" i="16"/>
  <c r="H39159" i="16"/>
  <c r="H39160" i="16"/>
  <c r="H39161" i="16"/>
  <c r="H39162" i="16"/>
  <c r="H39163" i="16"/>
  <c r="H39164" i="16"/>
  <c r="H39165" i="16"/>
  <c r="H39166" i="16"/>
  <c r="H39167" i="16"/>
  <c r="H39168" i="16"/>
  <c r="H39169" i="16"/>
  <c r="H39170" i="16"/>
  <c r="H39171" i="16"/>
  <c r="H39172" i="16"/>
  <c r="H39173" i="16"/>
  <c r="H39174" i="16"/>
  <c r="H39175" i="16"/>
  <c r="H39176" i="16"/>
  <c r="H39177" i="16"/>
  <c r="H39178" i="16"/>
  <c r="H39179" i="16"/>
  <c r="H39180" i="16"/>
  <c r="H39181" i="16"/>
  <c r="H39182" i="16"/>
  <c r="H39183" i="16"/>
  <c r="H39184" i="16"/>
  <c r="H39185" i="16"/>
  <c r="H39186" i="16"/>
  <c r="H39187" i="16"/>
  <c r="H39188" i="16"/>
  <c r="H39189" i="16"/>
  <c r="H39190" i="16"/>
  <c r="H39191" i="16"/>
  <c r="H39192" i="16"/>
  <c r="H39193" i="16"/>
  <c r="H39194" i="16"/>
  <c r="H39195" i="16"/>
  <c r="H39196" i="16"/>
  <c r="H39197" i="16"/>
  <c r="H39198" i="16"/>
  <c r="H39199" i="16"/>
  <c r="H39200" i="16"/>
  <c r="H39201" i="16"/>
  <c r="H39202" i="16"/>
  <c r="H39203" i="16"/>
  <c r="H39204" i="16"/>
  <c r="H39205" i="16"/>
  <c r="H39206" i="16"/>
  <c r="H39207" i="16"/>
  <c r="H39208" i="16"/>
  <c r="H39209" i="16"/>
  <c r="H39210" i="16"/>
  <c r="H39211" i="16"/>
  <c r="H39212" i="16"/>
  <c r="H39213" i="16"/>
  <c r="H39214" i="16"/>
  <c r="H39215" i="16"/>
  <c r="H39216" i="16"/>
  <c r="H39217" i="16"/>
  <c r="H39218" i="16"/>
  <c r="H39219" i="16"/>
  <c r="H39220" i="16"/>
  <c r="H39221" i="16"/>
  <c r="H39222" i="16"/>
  <c r="H39223" i="16"/>
  <c r="H39224" i="16"/>
  <c r="H39225" i="16"/>
  <c r="H39226" i="16"/>
  <c r="H39227" i="16"/>
  <c r="H39228" i="16"/>
  <c r="H39229" i="16"/>
  <c r="H39230" i="16"/>
  <c r="H39231" i="16"/>
  <c r="H39232" i="16"/>
  <c r="H39233" i="16"/>
  <c r="H39234" i="16"/>
  <c r="H39235" i="16"/>
  <c r="H39236" i="16"/>
  <c r="H39237" i="16"/>
  <c r="H39238" i="16"/>
  <c r="H39239" i="16"/>
  <c r="H39240" i="16"/>
  <c r="H39241" i="16"/>
  <c r="H39242" i="16"/>
  <c r="H39243" i="16"/>
  <c r="H39244" i="16"/>
  <c r="H39245" i="16"/>
  <c r="H39246" i="16"/>
  <c r="H39247" i="16"/>
  <c r="H39248" i="16"/>
  <c r="H39249" i="16"/>
  <c r="H39250" i="16"/>
  <c r="H39251" i="16"/>
  <c r="H39252" i="16"/>
  <c r="H39253" i="16"/>
  <c r="H39254" i="16"/>
  <c r="H39255" i="16"/>
  <c r="H39256" i="16"/>
  <c r="H39257" i="16"/>
  <c r="H39258" i="16"/>
  <c r="H39259" i="16"/>
  <c r="H39260" i="16"/>
  <c r="H39261" i="16"/>
  <c r="H39262" i="16"/>
  <c r="H39263" i="16"/>
  <c r="H39264" i="16"/>
  <c r="H39265" i="16"/>
  <c r="H39266" i="16"/>
  <c r="H39267" i="16"/>
  <c r="H39268" i="16"/>
  <c r="H39269" i="16"/>
  <c r="H39270" i="16"/>
  <c r="H39271" i="16"/>
  <c r="H39272" i="16"/>
  <c r="H39273" i="16"/>
  <c r="H39274" i="16"/>
  <c r="H39275" i="16"/>
  <c r="H39276" i="16"/>
  <c r="H39277" i="16"/>
  <c r="H39278" i="16"/>
  <c r="H39279" i="16"/>
  <c r="H39280" i="16"/>
  <c r="H39281" i="16"/>
  <c r="H39282" i="16"/>
  <c r="H39283" i="16"/>
  <c r="H39284" i="16"/>
  <c r="H39285" i="16"/>
  <c r="H39286" i="16"/>
  <c r="H39287" i="16"/>
  <c r="H39288" i="16"/>
  <c r="H39289" i="16"/>
  <c r="H39290" i="16"/>
  <c r="H39291" i="16"/>
  <c r="H39292" i="16"/>
  <c r="H39293" i="16"/>
  <c r="H39294" i="16"/>
  <c r="H39295" i="16"/>
  <c r="H39296" i="16"/>
  <c r="H39297" i="16"/>
  <c r="H39298" i="16"/>
  <c r="H39299" i="16"/>
  <c r="H39300" i="16"/>
  <c r="H39301" i="16"/>
  <c r="H39302" i="16"/>
  <c r="H39303" i="16"/>
  <c r="H39304" i="16"/>
  <c r="H39305" i="16"/>
  <c r="H39306" i="16"/>
  <c r="H39307" i="16"/>
  <c r="H39308" i="16"/>
  <c r="H39309" i="16"/>
  <c r="H39310" i="16"/>
  <c r="H39311" i="16"/>
  <c r="H39312" i="16"/>
  <c r="H39313" i="16"/>
  <c r="H39314" i="16"/>
  <c r="H39315" i="16"/>
  <c r="H39316" i="16"/>
  <c r="H39317" i="16"/>
  <c r="H39318" i="16"/>
  <c r="H39319" i="16"/>
  <c r="H39320" i="16"/>
  <c r="H39321" i="16"/>
  <c r="H39322" i="16"/>
  <c r="H39323" i="16"/>
  <c r="H39324" i="16"/>
  <c r="H39325" i="16"/>
  <c r="H39326" i="16"/>
  <c r="H39327" i="16"/>
  <c r="H39328" i="16"/>
  <c r="H39329" i="16"/>
  <c r="H39330" i="16"/>
  <c r="H39331" i="16"/>
  <c r="H39332" i="16"/>
  <c r="H39333" i="16"/>
  <c r="H39334" i="16"/>
  <c r="H39335" i="16"/>
  <c r="H39336" i="16"/>
  <c r="H39337" i="16"/>
  <c r="H39338" i="16"/>
  <c r="H39339" i="16"/>
  <c r="H39340" i="16"/>
  <c r="H39341" i="16"/>
  <c r="H39342" i="16"/>
  <c r="H39343" i="16"/>
  <c r="H39344" i="16"/>
  <c r="H39345" i="16"/>
  <c r="H39346" i="16"/>
  <c r="H39347" i="16"/>
  <c r="H39348" i="16"/>
  <c r="H39349" i="16"/>
  <c r="H39350" i="16"/>
  <c r="H39351" i="16"/>
  <c r="H39352" i="16"/>
  <c r="H39353" i="16"/>
  <c r="H39354" i="16"/>
  <c r="H39355" i="16"/>
  <c r="H39356" i="16"/>
  <c r="H39357" i="16"/>
  <c r="H39358" i="16"/>
  <c r="H39359" i="16"/>
  <c r="H39360" i="16"/>
  <c r="H39361" i="16"/>
  <c r="H39362" i="16"/>
  <c r="H39363" i="16"/>
  <c r="H39364" i="16"/>
  <c r="H39365" i="16"/>
  <c r="H39366" i="16"/>
  <c r="H39367" i="16"/>
  <c r="H39368" i="16"/>
  <c r="H39369" i="16"/>
  <c r="H39370" i="16"/>
  <c r="H39371" i="16"/>
  <c r="H39372" i="16"/>
  <c r="H39373" i="16"/>
  <c r="H39374" i="16"/>
  <c r="H39375" i="16"/>
  <c r="H39376" i="16"/>
  <c r="H39377" i="16"/>
  <c r="H39378" i="16"/>
  <c r="H39379" i="16"/>
  <c r="H39380" i="16"/>
  <c r="H39381" i="16"/>
  <c r="H39382" i="16"/>
  <c r="H39383" i="16"/>
  <c r="H39384" i="16"/>
  <c r="H39385" i="16"/>
  <c r="H39386" i="16"/>
  <c r="H39387" i="16"/>
  <c r="H39388" i="16"/>
  <c r="H39389" i="16"/>
  <c r="H39390" i="16"/>
  <c r="H39391" i="16"/>
  <c r="H39392" i="16"/>
  <c r="H39393" i="16"/>
  <c r="H39394" i="16"/>
  <c r="H39395" i="16"/>
  <c r="H39396" i="16"/>
  <c r="H39397" i="16"/>
  <c r="H39398" i="16"/>
  <c r="H39399" i="16"/>
  <c r="H39400" i="16"/>
  <c r="H39401" i="16"/>
  <c r="H39402" i="16"/>
  <c r="H39403" i="16"/>
  <c r="H39404" i="16"/>
  <c r="H39405" i="16"/>
  <c r="H39406" i="16"/>
  <c r="H39407" i="16"/>
  <c r="H39408" i="16"/>
  <c r="H39409" i="16"/>
  <c r="H39410" i="16"/>
  <c r="H39411" i="16"/>
  <c r="H39412" i="16"/>
  <c r="H39413" i="16"/>
  <c r="H39414" i="16"/>
  <c r="H39415" i="16"/>
  <c r="H39416" i="16"/>
  <c r="H39417" i="16"/>
  <c r="H39418" i="16"/>
  <c r="H39419" i="16"/>
  <c r="H39420" i="16"/>
  <c r="H39421" i="16"/>
  <c r="H39422" i="16"/>
  <c r="H39423" i="16"/>
  <c r="H39424" i="16"/>
  <c r="H39425" i="16"/>
  <c r="H39426" i="16"/>
  <c r="H39427" i="16"/>
  <c r="H39428" i="16"/>
  <c r="H39429" i="16"/>
  <c r="H39430" i="16"/>
  <c r="H39431" i="16"/>
  <c r="H39432" i="16"/>
  <c r="H39433" i="16"/>
  <c r="H39434" i="16"/>
  <c r="H39435" i="16"/>
  <c r="H39436" i="16"/>
  <c r="H39437" i="16"/>
  <c r="H39438" i="16"/>
  <c r="H39439" i="16"/>
  <c r="H39440" i="16"/>
  <c r="H39441" i="16"/>
  <c r="H39442" i="16"/>
  <c r="H39443" i="16"/>
  <c r="H39444" i="16"/>
  <c r="H39445" i="16"/>
  <c r="H39446" i="16"/>
  <c r="H39447" i="16"/>
  <c r="H39448" i="16"/>
  <c r="H39449" i="16"/>
  <c r="H39450" i="16"/>
  <c r="H39451" i="16"/>
  <c r="H39452" i="16"/>
  <c r="H39453" i="16"/>
  <c r="H39454" i="16"/>
  <c r="H39455" i="16"/>
  <c r="H39456" i="16"/>
  <c r="H39457" i="16"/>
  <c r="H39458" i="16"/>
  <c r="H39459" i="16"/>
  <c r="H39460" i="16"/>
  <c r="H39461" i="16"/>
  <c r="H39462" i="16"/>
  <c r="H39463" i="16"/>
  <c r="H39464" i="16"/>
  <c r="H39465" i="16"/>
  <c r="H39466" i="16"/>
  <c r="H39467" i="16"/>
  <c r="H39468" i="16"/>
  <c r="H39469" i="16"/>
  <c r="H39470" i="16"/>
  <c r="H39471" i="16"/>
  <c r="H39472" i="16"/>
  <c r="H39473" i="16"/>
  <c r="H39474" i="16"/>
  <c r="H39475" i="16"/>
  <c r="H39476" i="16"/>
  <c r="H39477" i="16"/>
  <c r="H39478" i="16"/>
  <c r="H39479" i="16"/>
  <c r="H39480" i="16"/>
  <c r="H39481" i="16"/>
  <c r="H39482" i="16"/>
  <c r="H39483" i="16"/>
  <c r="H39484" i="16"/>
  <c r="H39485" i="16"/>
  <c r="H39486" i="16"/>
  <c r="H39487" i="16"/>
  <c r="H39488" i="16"/>
  <c r="H39489" i="16"/>
  <c r="H39490" i="16"/>
  <c r="H39491" i="16"/>
  <c r="H39492" i="16"/>
  <c r="H39493" i="16"/>
  <c r="H39494" i="16"/>
  <c r="H39495" i="16"/>
  <c r="H39496" i="16"/>
  <c r="H39497" i="16"/>
  <c r="H39498" i="16"/>
  <c r="H39499" i="16"/>
  <c r="H39500" i="16"/>
  <c r="H39501" i="16"/>
  <c r="H39502" i="16"/>
  <c r="H39503" i="16"/>
  <c r="H39504" i="16"/>
  <c r="H39505" i="16"/>
  <c r="H39506" i="16"/>
  <c r="H39507" i="16"/>
  <c r="H39508" i="16"/>
  <c r="H39509" i="16"/>
  <c r="H39510" i="16"/>
  <c r="H39511" i="16"/>
  <c r="H39512" i="16"/>
  <c r="H39513" i="16"/>
  <c r="H39514" i="16"/>
  <c r="H39515" i="16"/>
  <c r="H39516" i="16"/>
  <c r="H39517" i="16"/>
  <c r="H39518" i="16"/>
  <c r="H39519" i="16"/>
  <c r="H39520" i="16"/>
  <c r="H39521" i="16"/>
  <c r="H39522" i="16"/>
  <c r="H39523" i="16"/>
  <c r="H39524" i="16"/>
  <c r="H39525" i="16"/>
  <c r="H39526" i="16"/>
  <c r="H39527" i="16"/>
  <c r="H39528" i="16"/>
  <c r="H39529" i="16"/>
  <c r="H39530" i="16"/>
  <c r="H39531" i="16"/>
  <c r="H39532" i="16"/>
  <c r="H39533" i="16"/>
  <c r="H39534" i="16"/>
  <c r="H39535" i="16"/>
  <c r="H39536" i="16"/>
  <c r="H39537" i="16"/>
  <c r="H39538" i="16"/>
  <c r="H39539" i="16"/>
  <c r="H39540" i="16"/>
  <c r="H39541" i="16"/>
  <c r="H39542" i="16"/>
  <c r="H39543" i="16"/>
  <c r="H39544" i="16"/>
  <c r="H39545" i="16"/>
  <c r="H39546" i="16"/>
  <c r="H39547" i="16"/>
  <c r="H39548" i="16"/>
  <c r="H39549" i="16"/>
  <c r="H39550" i="16"/>
  <c r="H39551" i="16"/>
  <c r="H39552" i="16"/>
  <c r="H39553" i="16"/>
  <c r="H39554" i="16"/>
  <c r="H39555" i="16"/>
  <c r="H39556" i="16"/>
  <c r="H39557" i="16"/>
  <c r="H39558" i="16"/>
  <c r="H39559" i="16"/>
  <c r="H39560" i="16"/>
  <c r="H39561" i="16"/>
  <c r="H39562" i="16"/>
  <c r="H39563" i="16"/>
  <c r="H39564" i="16"/>
  <c r="H39565" i="16"/>
  <c r="H39566" i="16"/>
  <c r="H39567" i="16"/>
  <c r="H39568" i="16"/>
  <c r="H39569" i="16"/>
  <c r="H39570" i="16"/>
  <c r="H39571" i="16"/>
  <c r="H39572" i="16"/>
  <c r="H39573" i="16"/>
  <c r="H39574" i="16"/>
  <c r="H39575" i="16"/>
  <c r="H39576" i="16"/>
  <c r="H39577" i="16"/>
  <c r="H39578" i="16"/>
  <c r="H39579" i="16"/>
  <c r="H39580" i="16"/>
  <c r="H39581" i="16"/>
  <c r="H39582" i="16"/>
  <c r="H39583" i="16"/>
  <c r="H39584" i="16"/>
  <c r="H39585" i="16"/>
  <c r="H39586" i="16"/>
  <c r="H39587" i="16"/>
  <c r="H39588" i="16"/>
  <c r="H39589" i="16"/>
  <c r="H39590" i="16"/>
  <c r="H39591" i="16"/>
  <c r="H39592" i="16"/>
  <c r="H39593" i="16"/>
  <c r="H39594" i="16"/>
  <c r="H39595" i="16"/>
  <c r="H39596" i="16"/>
  <c r="H39597" i="16"/>
  <c r="H39598" i="16"/>
  <c r="H39599" i="16"/>
  <c r="H39600" i="16"/>
  <c r="H39601" i="16"/>
  <c r="H39602" i="16"/>
  <c r="H39603" i="16"/>
  <c r="H39604" i="16"/>
  <c r="H39605" i="16"/>
  <c r="H39606" i="16"/>
  <c r="H39607" i="16"/>
  <c r="H39608" i="16"/>
  <c r="H39609" i="16"/>
  <c r="H39610" i="16"/>
  <c r="H39611" i="16"/>
  <c r="H39612" i="16"/>
  <c r="H39613" i="16"/>
  <c r="H39614" i="16"/>
  <c r="H39615" i="16"/>
  <c r="H39616" i="16"/>
  <c r="H39617" i="16"/>
  <c r="H39618" i="16"/>
  <c r="H39619" i="16"/>
  <c r="H39620" i="16"/>
  <c r="H39621" i="16"/>
  <c r="H39622" i="16"/>
  <c r="H39623" i="16"/>
  <c r="H39624" i="16"/>
  <c r="H39625" i="16"/>
  <c r="H39626" i="16"/>
  <c r="H39627" i="16"/>
  <c r="H39628" i="16"/>
  <c r="H39629" i="16"/>
  <c r="H39630" i="16"/>
  <c r="H39631" i="16"/>
  <c r="H39632" i="16"/>
  <c r="H39633" i="16"/>
  <c r="H39634" i="16"/>
  <c r="H39635" i="16"/>
  <c r="H39636" i="16"/>
  <c r="H39637" i="16"/>
  <c r="H39638" i="16"/>
  <c r="H39639" i="16"/>
  <c r="H39640" i="16"/>
  <c r="H39641" i="16"/>
  <c r="H39642" i="16"/>
  <c r="H39643" i="16"/>
  <c r="H39644" i="16"/>
  <c r="H39645" i="16"/>
  <c r="H39646" i="16"/>
  <c r="H39647" i="16"/>
  <c r="H39648" i="16"/>
  <c r="H39649" i="16"/>
  <c r="H39650" i="16"/>
  <c r="H39651" i="16"/>
  <c r="H39652" i="16"/>
  <c r="H39653" i="16"/>
  <c r="H39654" i="16"/>
  <c r="H39655" i="16"/>
  <c r="H39656" i="16"/>
  <c r="H39657" i="16"/>
  <c r="H39658" i="16"/>
  <c r="H39659" i="16"/>
  <c r="H39660" i="16"/>
  <c r="H39661" i="16"/>
  <c r="H39662" i="16"/>
  <c r="H39663" i="16"/>
  <c r="H39664" i="16"/>
  <c r="H39665" i="16"/>
  <c r="H39666" i="16"/>
  <c r="H39667" i="16"/>
  <c r="H39668" i="16"/>
  <c r="H39669" i="16"/>
  <c r="H39670" i="16"/>
  <c r="H39671" i="16"/>
  <c r="H39672" i="16"/>
  <c r="H39673" i="16"/>
  <c r="H39674" i="16"/>
  <c r="H39675" i="16"/>
  <c r="H39676" i="16"/>
  <c r="H39677" i="16"/>
  <c r="H39678" i="16"/>
  <c r="H39679" i="16"/>
  <c r="H39680" i="16"/>
  <c r="H39681" i="16"/>
  <c r="H39682" i="16"/>
  <c r="H39683" i="16"/>
  <c r="H39684" i="16"/>
  <c r="H39685" i="16"/>
  <c r="H39686" i="16"/>
  <c r="H39687" i="16"/>
  <c r="H39688" i="16"/>
  <c r="H39689" i="16"/>
  <c r="H39690" i="16"/>
  <c r="H39691" i="16"/>
  <c r="H39692" i="16"/>
  <c r="H39693" i="16"/>
  <c r="H39694" i="16"/>
  <c r="H39695" i="16"/>
  <c r="H39696" i="16"/>
  <c r="H39697" i="16"/>
  <c r="H39698" i="16"/>
  <c r="H39699" i="16"/>
  <c r="H39700" i="16"/>
  <c r="H39701" i="16"/>
  <c r="H39702" i="16"/>
  <c r="H39703" i="16"/>
  <c r="H39704" i="16"/>
  <c r="H39705" i="16"/>
  <c r="H39706" i="16"/>
  <c r="H39707" i="16"/>
  <c r="H39708" i="16"/>
  <c r="H39709" i="16"/>
  <c r="H39710" i="16"/>
  <c r="H39711" i="16"/>
  <c r="H39712" i="16"/>
  <c r="H39713" i="16"/>
  <c r="H39714" i="16"/>
  <c r="H39715" i="16"/>
  <c r="H39716" i="16"/>
  <c r="H39717" i="16"/>
  <c r="H39718" i="16"/>
  <c r="H39719" i="16"/>
  <c r="H39720" i="16"/>
  <c r="H39721" i="16"/>
  <c r="H39722" i="16"/>
  <c r="H39723" i="16"/>
  <c r="H39724" i="16"/>
  <c r="H39725" i="16"/>
  <c r="H39726" i="16"/>
  <c r="H39727" i="16"/>
  <c r="H39728" i="16"/>
  <c r="H39729" i="16"/>
  <c r="H39730" i="16"/>
  <c r="H39731" i="16"/>
  <c r="H39732" i="16"/>
  <c r="H39733" i="16"/>
  <c r="H39734" i="16"/>
  <c r="H39735" i="16"/>
  <c r="H39736" i="16"/>
  <c r="H39737" i="16"/>
  <c r="H39738" i="16"/>
  <c r="H39739" i="16"/>
  <c r="H39740" i="16"/>
  <c r="H39741" i="16"/>
  <c r="H39742" i="16"/>
  <c r="H39743" i="16"/>
  <c r="H39744" i="16"/>
  <c r="H39745" i="16"/>
  <c r="H39746" i="16"/>
  <c r="H39747" i="16"/>
  <c r="H39748" i="16"/>
  <c r="H39749" i="16"/>
  <c r="H39750" i="16"/>
  <c r="H39751" i="16"/>
  <c r="H39752" i="16"/>
  <c r="H39753" i="16"/>
  <c r="H39754" i="16"/>
  <c r="H39755" i="16"/>
  <c r="H39756" i="16"/>
  <c r="H39757" i="16"/>
  <c r="H39758" i="16"/>
  <c r="H39759" i="16"/>
  <c r="H39760" i="16"/>
  <c r="H39761" i="16"/>
  <c r="H39762" i="16"/>
  <c r="H39763" i="16"/>
  <c r="H39764" i="16"/>
  <c r="H39765" i="16"/>
  <c r="H39766" i="16"/>
  <c r="H39767" i="16"/>
  <c r="H39768" i="16"/>
  <c r="H39769" i="16"/>
  <c r="H39770" i="16"/>
  <c r="H39771" i="16"/>
  <c r="H39772" i="16"/>
  <c r="H39773" i="16"/>
  <c r="H39774" i="16"/>
  <c r="H39775" i="16"/>
  <c r="H39776" i="16"/>
  <c r="H39777" i="16"/>
  <c r="H39778" i="16"/>
  <c r="H39779" i="16"/>
  <c r="H39780" i="16"/>
  <c r="H39781" i="16"/>
  <c r="H39782" i="16"/>
  <c r="H39783" i="16"/>
  <c r="H39784" i="16"/>
  <c r="H39785" i="16"/>
  <c r="H39786" i="16"/>
  <c r="H39787" i="16"/>
  <c r="H39788" i="16"/>
  <c r="H39789" i="16"/>
  <c r="H39790" i="16"/>
  <c r="H39791" i="16"/>
  <c r="H39792" i="16"/>
  <c r="H39793" i="16"/>
  <c r="H39794" i="16"/>
  <c r="H39795" i="16"/>
  <c r="H39796" i="16"/>
  <c r="H39797" i="16"/>
  <c r="H39798" i="16"/>
  <c r="H39799" i="16"/>
  <c r="H39800" i="16"/>
  <c r="H39801" i="16"/>
  <c r="H39802" i="16"/>
  <c r="H39803" i="16"/>
  <c r="H39804" i="16"/>
  <c r="H39805" i="16"/>
  <c r="H39806" i="16"/>
  <c r="H39807" i="16"/>
  <c r="H39808" i="16"/>
  <c r="H39809" i="16"/>
  <c r="H39810" i="16"/>
  <c r="H39811" i="16"/>
  <c r="H39812" i="16"/>
  <c r="H39813" i="16"/>
  <c r="H39814" i="16"/>
  <c r="H39815" i="16"/>
  <c r="H39816" i="16"/>
  <c r="H39817" i="16"/>
  <c r="H39818" i="16"/>
  <c r="H39819" i="16"/>
  <c r="H39820" i="16"/>
  <c r="H39821" i="16"/>
  <c r="H39822" i="16"/>
  <c r="H39823" i="16"/>
  <c r="H39824" i="16"/>
  <c r="H39825" i="16"/>
  <c r="H39826" i="16"/>
  <c r="H39827" i="16"/>
  <c r="H39828" i="16"/>
  <c r="H39829" i="16"/>
  <c r="H39830" i="16"/>
  <c r="H39831" i="16"/>
  <c r="H39832" i="16"/>
  <c r="H39833" i="16"/>
  <c r="H39834" i="16"/>
  <c r="H39835" i="16"/>
  <c r="H39836" i="16"/>
  <c r="H39837" i="16"/>
  <c r="H39838" i="16"/>
  <c r="H39839" i="16"/>
  <c r="H39840" i="16"/>
  <c r="H39841" i="16"/>
  <c r="H39842" i="16"/>
  <c r="H39843" i="16"/>
  <c r="H39844" i="16"/>
  <c r="H39845" i="16"/>
  <c r="H39846" i="16"/>
  <c r="H39847" i="16"/>
  <c r="H39848" i="16"/>
  <c r="H39849" i="16"/>
  <c r="H39850" i="16"/>
  <c r="H39851" i="16"/>
  <c r="H39852" i="16"/>
  <c r="H39853" i="16"/>
  <c r="H39854" i="16"/>
  <c r="H39855" i="16"/>
  <c r="H39856" i="16"/>
  <c r="H39857" i="16"/>
  <c r="H39858" i="16"/>
  <c r="H39859" i="16"/>
  <c r="H39860" i="16"/>
  <c r="H39861" i="16"/>
  <c r="H39862" i="16"/>
  <c r="H39863" i="16"/>
  <c r="H39864" i="16"/>
  <c r="H39865" i="16"/>
  <c r="H39866" i="16"/>
  <c r="H39867" i="16"/>
  <c r="H39868" i="16"/>
  <c r="H39869" i="16"/>
  <c r="H39870" i="16"/>
  <c r="H39871" i="16"/>
  <c r="H39872" i="16"/>
  <c r="H39873" i="16"/>
  <c r="H39874" i="16"/>
  <c r="H39875" i="16"/>
  <c r="H39876" i="16"/>
  <c r="H39877" i="16"/>
  <c r="H39878" i="16"/>
  <c r="H39879" i="16"/>
  <c r="H39880" i="16"/>
  <c r="H39881" i="16"/>
  <c r="H39882" i="16"/>
  <c r="H39883" i="16"/>
  <c r="H39884" i="16"/>
  <c r="H39885" i="16"/>
  <c r="H39886" i="16"/>
  <c r="H39887" i="16"/>
  <c r="H39888" i="16"/>
  <c r="H39889" i="16"/>
  <c r="H39890" i="16"/>
  <c r="H39891" i="16"/>
  <c r="H39892" i="16"/>
  <c r="H39893" i="16"/>
  <c r="H39894" i="16"/>
  <c r="H39895" i="16"/>
  <c r="H39896" i="16"/>
  <c r="H39897" i="16"/>
  <c r="H39898" i="16"/>
  <c r="H39899" i="16"/>
  <c r="H39900" i="16"/>
  <c r="H39901" i="16"/>
  <c r="H39902" i="16"/>
  <c r="H39903" i="16"/>
  <c r="H39904" i="16"/>
  <c r="H39905" i="16"/>
  <c r="H39906" i="16"/>
  <c r="H39907" i="16"/>
  <c r="H39908" i="16"/>
  <c r="H39909" i="16"/>
  <c r="H39910" i="16"/>
  <c r="H39911" i="16"/>
  <c r="H39912" i="16"/>
  <c r="H39913" i="16"/>
  <c r="H39914" i="16"/>
  <c r="H39915" i="16"/>
  <c r="H39916" i="16"/>
  <c r="H39917" i="16"/>
  <c r="H39918" i="16"/>
  <c r="H39919" i="16"/>
  <c r="H39920" i="16"/>
  <c r="H39921" i="16"/>
  <c r="H39922" i="16"/>
  <c r="H39923" i="16"/>
  <c r="H39924" i="16"/>
  <c r="H39925" i="16"/>
  <c r="H39926" i="16"/>
  <c r="H39927" i="16"/>
  <c r="H39928" i="16"/>
  <c r="H39929" i="16"/>
  <c r="H39930" i="16"/>
  <c r="H39931" i="16"/>
  <c r="H39932" i="16"/>
  <c r="H39933" i="16"/>
  <c r="H39934" i="16"/>
  <c r="H39935" i="16"/>
  <c r="H39936" i="16"/>
  <c r="H39937" i="16"/>
  <c r="H39938" i="16"/>
  <c r="H39939" i="16"/>
  <c r="H39940" i="16"/>
  <c r="H39941" i="16"/>
  <c r="H39942" i="16"/>
  <c r="H39943" i="16"/>
  <c r="H39944" i="16"/>
  <c r="H39945" i="16"/>
  <c r="H39946" i="16"/>
  <c r="H39947" i="16"/>
  <c r="H39948" i="16"/>
  <c r="H39949" i="16"/>
  <c r="H39950" i="16"/>
  <c r="H39951" i="16"/>
  <c r="H39952" i="16"/>
  <c r="H39953" i="16"/>
  <c r="H39954" i="16"/>
  <c r="H39955" i="16"/>
  <c r="H39956" i="16"/>
  <c r="H39957" i="16"/>
  <c r="H39958" i="16"/>
  <c r="H39959" i="16"/>
  <c r="H39960" i="16"/>
  <c r="H39961" i="16"/>
  <c r="H39962" i="16"/>
  <c r="H39963" i="16"/>
  <c r="H39964" i="16"/>
  <c r="H39965" i="16"/>
  <c r="H39966" i="16"/>
  <c r="H39967" i="16"/>
  <c r="H39968" i="16"/>
  <c r="H39969" i="16"/>
  <c r="H39970" i="16"/>
  <c r="H39971" i="16"/>
  <c r="H39972" i="16"/>
  <c r="H39973" i="16"/>
  <c r="H39974" i="16"/>
  <c r="H39975" i="16"/>
  <c r="H39976" i="16"/>
  <c r="H39977" i="16"/>
  <c r="H39978" i="16"/>
  <c r="H39979" i="16"/>
  <c r="H39980" i="16"/>
  <c r="H39981" i="16"/>
  <c r="H39982" i="16"/>
  <c r="H39983" i="16"/>
  <c r="H39984" i="16"/>
  <c r="H39985" i="16"/>
  <c r="H39986" i="16"/>
  <c r="H39987" i="16"/>
  <c r="H39988" i="16"/>
  <c r="H39989" i="16"/>
  <c r="H39990" i="16"/>
  <c r="H39991" i="16"/>
  <c r="H39992" i="16"/>
  <c r="H39993" i="16"/>
  <c r="H39994" i="16"/>
  <c r="H39995" i="16"/>
  <c r="H39996" i="16"/>
  <c r="H39997" i="16"/>
  <c r="H39998" i="16"/>
  <c r="H39999" i="16"/>
  <c r="H40000" i="16"/>
  <c r="H40001" i="16"/>
  <c r="H40002" i="16"/>
  <c r="H40003" i="16"/>
  <c r="H40004" i="16"/>
  <c r="H40005" i="16"/>
  <c r="H40006" i="16"/>
  <c r="H40007" i="16"/>
  <c r="H40008" i="16"/>
  <c r="H40009" i="16"/>
  <c r="H40010" i="16"/>
  <c r="H40011" i="16"/>
  <c r="H40012" i="16"/>
  <c r="H40013" i="16"/>
  <c r="H40014" i="16"/>
  <c r="H40015" i="16"/>
  <c r="H40016" i="16"/>
  <c r="H40017" i="16"/>
  <c r="H40018" i="16"/>
  <c r="H40019" i="16"/>
  <c r="H40020" i="16"/>
  <c r="H40021" i="16"/>
  <c r="H40022" i="16"/>
  <c r="H40023" i="16"/>
  <c r="H40024" i="16"/>
  <c r="H40025" i="16"/>
  <c r="H40026" i="16"/>
  <c r="H40027" i="16"/>
  <c r="H40028" i="16"/>
  <c r="H40029" i="16"/>
  <c r="H40030" i="16"/>
  <c r="H40031" i="16"/>
  <c r="H40032" i="16"/>
  <c r="H40033" i="16"/>
  <c r="H40034" i="16"/>
  <c r="H40035" i="16"/>
  <c r="H40036" i="16"/>
  <c r="H40037" i="16"/>
  <c r="H40038" i="16"/>
  <c r="H40039" i="16"/>
  <c r="H40040" i="16"/>
  <c r="H40041" i="16"/>
  <c r="H40042" i="16"/>
  <c r="H40043" i="16"/>
  <c r="H40044" i="16"/>
  <c r="H40045" i="16"/>
  <c r="H40046" i="16"/>
  <c r="H40047" i="16"/>
  <c r="H40048" i="16"/>
  <c r="H40049" i="16"/>
  <c r="H40050" i="16"/>
  <c r="H40051" i="16"/>
  <c r="H40052" i="16"/>
  <c r="H40053" i="16"/>
  <c r="H40054" i="16"/>
  <c r="H40055" i="16"/>
  <c r="H40056" i="16"/>
  <c r="H40057" i="16"/>
  <c r="H40058" i="16"/>
  <c r="H40059" i="16"/>
  <c r="H40060" i="16"/>
  <c r="H40061" i="16"/>
  <c r="H40062" i="16"/>
  <c r="H40063" i="16"/>
  <c r="H40064" i="16"/>
  <c r="H40065" i="16"/>
  <c r="H40066" i="16"/>
  <c r="H40067" i="16"/>
  <c r="H40068" i="16"/>
  <c r="H40069" i="16"/>
  <c r="H40070" i="16"/>
  <c r="H40071" i="16"/>
  <c r="H40072" i="16"/>
  <c r="H40073" i="16"/>
  <c r="H40074" i="16"/>
  <c r="H40075" i="16"/>
  <c r="H40076" i="16"/>
  <c r="H40077" i="16"/>
  <c r="H40078" i="16"/>
  <c r="H40079" i="16"/>
  <c r="H40080" i="16"/>
  <c r="H40081" i="16"/>
  <c r="H40082" i="16"/>
  <c r="H40083" i="16"/>
  <c r="H40084" i="16"/>
  <c r="H40085" i="16"/>
  <c r="H40086" i="16"/>
  <c r="H40087" i="16"/>
  <c r="H40088" i="16"/>
  <c r="H40089" i="16"/>
  <c r="H40090" i="16"/>
  <c r="H40091" i="16"/>
  <c r="H40092" i="16"/>
  <c r="H40093" i="16"/>
  <c r="H40094" i="16"/>
  <c r="H40095" i="16"/>
  <c r="H40096" i="16"/>
  <c r="H40097" i="16"/>
  <c r="H40098" i="16"/>
  <c r="H40099" i="16"/>
  <c r="H40100" i="16"/>
  <c r="H40101" i="16"/>
  <c r="H40102" i="16"/>
  <c r="H40103" i="16"/>
  <c r="H40104" i="16"/>
  <c r="H40105" i="16"/>
  <c r="H40106" i="16"/>
  <c r="H40107" i="16"/>
  <c r="H40108" i="16"/>
  <c r="H40109" i="16"/>
  <c r="H40110" i="16"/>
  <c r="H40111" i="16"/>
  <c r="H40112" i="16"/>
  <c r="H40113" i="16"/>
  <c r="H40114" i="16"/>
  <c r="H40115" i="16"/>
  <c r="H40116" i="16"/>
  <c r="H40117" i="16"/>
  <c r="H40118" i="16"/>
  <c r="H40119" i="16"/>
  <c r="H40120" i="16"/>
  <c r="H40121" i="16"/>
  <c r="H40122" i="16"/>
  <c r="H40123" i="16"/>
  <c r="H40124" i="16"/>
  <c r="H40125" i="16"/>
  <c r="H40126" i="16"/>
  <c r="H40127" i="16"/>
  <c r="H40128" i="16"/>
  <c r="H40129" i="16"/>
  <c r="H40130" i="16"/>
  <c r="H40131" i="16"/>
  <c r="H40132" i="16"/>
  <c r="H40133" i="16"/>
  <c r="H40134" i="16"/>
  <c r="H40135" i="16"/>
  <c r="H40136" i="16"/>
  <c r="H40137" i="16"/>
  <c r="H40138" i="16"/>
  <c r="H40139" i="16"/>
  <c r="H40140" i="16"/>
  <c r="H40141" i="16"/>
  <c r="H40142" i="16"/>
  <c r="H40143" i="16"/>
  <c r="H40144" i="16"/>
  <c r="H40145" i="16"/>
  <c r="H40146" i="16"/>
  <c r="H40147" i="16"/>
  <c r="H40148" i="16"/>
  <c r="H40149" i="16"/>
  <c r="H40150" i="16"/>
  <c r="H40151" i="16"/>
  <c r="H40152" i="16"/>
  <c r="H40153" i="16"/>
  <c r="H40154" i="16"/>
  <c r="H40155" i="16"/>
  <c r="H40156" i="16"/>
  <c r="H40157" i="16"/>
  <c r="H40158" i="16"/>
  <c r="H40159" i="16"/>
  <c r="H40160" i="16"/>
  <c r="H40161" i="16"/>
  <c r="H40162" i="16"/>
  <c r="H40163" i="16"/>
  <c r="H40164" i="16"/>
  <c r="H40165" i="16"/>
  <c r="H40166" i="16"/>
  <c r="H40167" i="16"/>
  <c r="H40168" i="16"/>
  <c r="H40169" i="16"/>
  <c r="H40170" i="16"/>
  <c r="H40171" i="16"/>
  <c r="H40172" i="16"/>
  <c r="H40173" i="16"/>
  <c r="H40174" i="16"/>
  <c r="H40175" i="16"/>
  <c r="H40176" i="16"/>
  <c r="H40177" i="16"/>
  <c r="H40178" i="16"/>
  <c r="H40179" i="16"/>
  <c r="H40180" i="16"/>
  <c r="H40181" i="16"/>
  <c r="H40182" i="16"/>
  <c r="H40183" i="16"/>
  <c r="H40184" i="16"/>
  <c r="H40185" i="16"/>
  <c r="H40186" i="16"/>
  <c r="H40187" i="16"/>
  <c r="H40188" i="16"/>
  <c r="H40189" i="16"/>
  <c r="H40190" i="16"/>
  <c r="H40191" i="16"/>
  <c r="H40192" i="16"/>
  <c r="H40193" i="16"/>
  <c r="H40194" i="16"/>
  <c r="H40195" i="16"/>
  <c r="H40196" i="16"/>
  <c r="H40197" i="16"/>
  <c r="H40198" i="16"/>
  <c r="H40199" i="16"/>
  <c r="H40200" i="16"/>
  <c r="H40201" i="16"/>
  <c r="H40202" i="16"/>
  <c r="H40203" i="16"/>
  <c r="H40204" i="16"/>
  <c r="H40205" i="16"/>
  <c r="H40206" i="16"/>
  <c r="H40207" i="16"/>
  <c r="H40208" i="16"/>
  <c r="H40209" i="16"/>
  <c r="H40210" i="16"/>
  <c r="H40211" i="16"/>
  <c r="H40212" i="16"/>
  <c r="H40213" i="16"/>
  <c r="H40214" i="16"/>
  <c r="H40215" i="16"/>
  <c r="H40216" i="16"/>
  <c r="H40217" i="16"/>
  <c r="H40218" i="16"/>
  <c r="H40219" i="16"/>
  <c r="H40220" i="16"/>
  <c r="H40221" i="16"/>
  <c r="H40222" i="16"/>
  <c r="H40223" i="16"/>
  <c r="H40224" i="16"/>
  <c r="H40225" i="16"/>
  <c r="H40226" i="16"/>
  <c r="H40227" i="16"/>
  <c r="H40228" i="16"/>
  <c r="H40229" i="16"/>
  <c r="H40230" i="16"/>
  <c r="H40231" i="16"/>
  <c r="H40232" i="16"/>
  <c r="H40233" i="16"/>
  <c r="H40234" i="16"/>
  <c r="H40235" i="16"/>
  <c r="H40236" i="16"/>
  <c r="H40237" i="16"/>
  <c r="H40238" i="16"/>
  <c r="H40239" i="16"/>
  <c r="H40240" i="16"/>
  <c r="H40241" i="16"/>
  <c r="H40242" i="16"/>
  <c r="H40243" i="16"/>
  <c r="H40244" i="16"/>
  <c r="H40245" i="16"/>
  <c r="H40246" i="16"/>
  <c r="H40247" i="16"/>
  <c r="H40248" i="16"/>
  <c r="H40249" i="16"/>
  <c r="H40250" i="16"/>
  <c r="H40251" i="16"/>
  <c r="H40252" i="16"/>
  <c r="H40253" i="16"/>
  <c r="H40254" i="16"/>
  <c r="H40255" i="16"/>
  <c r="H40256" i="16"/>
  <c r="H40257" i="16"/>
  <c r="H40258" i="16"/>
  <c r="H40259" i="16"/>
  <c r="H40260" i="16"/>
  <c r="H40261" i="16"/>
  <c r="H40262" i="16"/>
  <c r="H40263" i="16"/>
  <c r="H40264" i="16"/>
  <c r="H40265" i="16"/>
  <c r="H40266" i="16"/>
  <c r="H40267" i="16"/>
  <c r="H40268" i="16"/>
  <c r="H40269" i="16"/>
  <c r="H40270" i="16"/>
  <c r="H40271" i="16"/>
  <c r="H40272" i="16"/>
  <c r="H40273" i="16"/>
  <c r="H40274" i="16"/>
  <c r="H40275" i="16"/>
  <c r="H40276" i="16"/>
  <c r="H40277" i="16"/>
  <c r="H40278" i="16"/>
  <c r="H40279" i="16"/>
  <c r="H40280" i="16"/>
  <c r="H40281" i="16"/>
  <c r="H40282" i="16"/>
  <c r="H40283" i="16"/>
  <c r="H40284" i="16"/>
  <c r="H40285" i="16"/>
  <c r="H40286" i="16"/>
  <c r="H40287" i="16"/>
  <c r="H40288" i="16"/>
  <c r="H40289" i="16"/>
  <c r="H40290" i="16"/>
  <c r="H40291" i="16"/>
  <c r="H40292" i="16"/>
  <c r="H40293" i="16"/>
  <c r="H40294" i="16"/>
  <c r="H40295" i="16"/>
  <c r="H40296" i="16"/>
  <c r="H40297" i="16"/>
  <c r="H40298" i="16"/>
  <c r="H40299" i="16"/>
  <c r="H40300" i="16"/>
  <c r="H40301" i="16"/>
  <c r="H40302" i="16"/>
  <c r="H40303" i="16"/>
  <c r="H40304" i="16"/>
  <c r="H40305" i="16"/>
  <c r="H40306" i="16"/>
  <c r="H40307" i="16"/>
  <c r="H40308" i="16"/>
  <c r="H40309" i="16"/>
  <c r="H40310" i="16"/>
  <c r="H40311" i="16"/>
  <c r="H40312" i="16"/>
  <c r="H40313" i="16"/>
  <c r="H40314" i="16"/>
  <c r="H40315" i="16"/>
  <c r="H40316" i="16"/>
  <c r="H40317" i="16"/>
  <c r="H40318" i="16"/>
  <c r="H40319" i="16"/>
  <c r="H40320" i="16"/>
  <c r="H40321" i="16"/>
  <c r="H40322" i="16"/>
  <c r="H40323" i="16"/>
  <c r="H40324" i="16"/>
  <c r="H40325" i="16"/>
  <c r="H40326" i="16"/>
  <c r="H40327" i="16"/>
  <c r="H40328" i="16"/>
  <c r="H40329" i="16"/>
  <c r="H40330" i="16"/>
  <c r="H40331" i="16"/>
  <c r="H40332" i="16"/>
  <c r="H40333" i="16"/>
  <c r="H40334" i="16"/>
  <c r="H40335" i="16"/>
  <c r="H40336" i="16"/>
  <c r="H40337" i="16"/>
  <c r="H40338" i="16"/>
  <c r="H40339" i="16"/>
  <c r="H40340" i="16"/>
  <c r="H40341" i="16"/>
  <c r="H40342" i="16"/>
  <c r="H40343" i="16"/>
  <c r="H40344" i="16"/>
  <c r="H40345" i="16"/>
  <c r="H40346" i="16"/>
  <c r="H40347" i="16"/>
  <c r="H40348" i="16"/>
  <c r="H40349" i="16"/>
  <c r="H40350" i="16"/>
  <c r="H40351" i="16"/>
  <c r="H40352" i="16"/>
  <c r="H40353" i="16"/>
  <c r="H40354" i="16"/>
  <c r="H40355" i="16"/>
  <c r="H40356" i="16"/>
  <c r="H40357" i="16"/>
  <c r="H40358" i="16"/>
  <c r="H40359" i="16"/>
  <c r="H40360" i="16"/>
  <c r="H40361" i="16"/>
  <c r="H40362" i="16"/>
  <c r="H40363" i="16"/>
  <c r="H40364" i="16"/>
  <c r="H40365" i="16"/>
  <c r="H40366" i="16"/>
  <c r="H40367" i="16"/>
  <c r="H40368" i="16"/>
  <c r="H40369" i="16"/>
  <c r="H40370" i="16"/>
  <c r="H40371" i="16"/>
  <c r="H40372" i="16"/>
  <c r="H40373" i="16"/>
  <c r="H40374" i="16"/>
  <c r="H40375" i="16"/>
  <c r="H40376" i="16"/>
  <c r="H40377" i="16"/>
  <c r="H40378" i="16"/>
  <c r="H40379" i="16"/>
  <c r="H40380" i="16"/>
  <c r="H40381" i="16"/>
  <c r="H40382" i="16"/>
  <c r="H40383" i="16"/>
  <c r="H40384" i="16"/>
  <c r="H40385" i="16"/>
  <c r="H40386" i="16"/>
  <c r="H40387" i="16"/>
  <c r="H40388" i="16"/>
  <c r="H40389" i="16"/>
  <c r="H40390" i="16"/>
  <c r="H40391" i="16"/>
  <c r="H40392" i="16"/>
  <c r="H40393" i="16"/>
  <c r="H40394" i="16"/>
  <c r="H40395" i="16"/>
  <c r="H40396" i="16"/>
  <c r="H40397" i="16"/>
  <c r="H40398" i="16"/>
  <c r="H40399" i="16"/>
  <c r="H40400" i="16"/>
  <c r="H40401" i="16"/>
  <c r="H40402" i="16"/>
  <c r="H40403" i="16"/>
  <c r="H40404" i="16"/>
  <c r="H40405" i="16"/>
  <c r="H40406" i="16"/>
  <c r="H40407" i="16"/>
  <c r="H40408" i="16"/>
  <c r="H40409" i="16"/>
  <c r="H40410" i="16"/>
  <c r="H40411" i="16"/>
  <c r="H40412" i="16"/>
  <c r="H40413" i="16"/>
  <c r="H40414" i="16"/>
  <c r="H40415" i="16"/>
  <c r="H40416" i="16"/>
  <c r="H40417" i="16"/>
  <c r="H40418" i="16"/>
  <c r="H40419" i="16"/>
  <c r="H40420" i="16"/>
  <c r="H40421" i="16"/>
  <c r="H40422" i="16"/>
  <c r="H40423" i="16"/>
  <c r="H40424" i="16"/>
  <c r="H40425" i="16"/>
  <c r="H40426" i="16"/>
  <c r="H40427" i="16"/>
  <c r="H40428" i="16"/>
  <c r="H40429" i="16"/>
  <c r="H40430" i="16"/>
  <c r="H40431" i="16"/>
  <c r="H40432" i="16"/>
  <c r="H40433" i="16"/>
  <c r="H40434" i="16"/>
  <c r="H40435" i="16"/>
  <c r="H40436" i="16"/>
  <c r="H40437" i="16"/>
  <c r="H40438" i="16"/>
  <c r="H40439" i="16"/>
  <c r="H40440" i="16"/>
  <c r="H40441" i="16"/>
  <c r="H40442" i="16"/>
  <c r="H40443" i="16"/>
  <c r="H40444" i="16"/>
  <c r="H40445" i="16"/>
  <c r="H40446" i="16"/>
  <c r="H40447" i="16"/>
  <c r="H40448" i="16"/>
  <c r="H40449" i="16"/>
  <c r="H40450" i="16"/>
  <c r="H40451" i="16"/>
  <c r="H40452" i="16"/>
  <c r="H40453" i="16"/>
  <c r="H40454" i="16"/>
  <c r="H40455" i="16"/>
  <c r="H40456" i="16"/>
  <c r="H40457" i="16"/>
  <c r="H40458" i="16"/>
  <c r="H40459" i="16"/>
  <c r="H40460" i="16"/>
  <c r="H40461" i="16"/>
  <c r="H40462" i="16"/>
  <c r="H40463" i="16"/>
  <c r="H40464" i="16"/>
  <c r="H40465" i="16"/>
  <c r="H40466" i="16"/>
  <c r="H40467" i="16"/>
  <c r="H40468" i="16"/>
  <c r="H40469" i="16"/>
  <c r="H40470" i="16"/>
  <c r="H40471" i="16"/>
  <c r="H40472" i="16"/>
  <c r="H40473" i="16"/>
  <c r="H40474" i="16"/>
  <c r="H40475" i="16"/>
  <c r="H40476" i="16"/>
  <c r="H40477" i="16"/>
  <c r="H40478" i="16"/>
  <c r="H40479" i="16"/>
  <c r="H40480" i="16"/>
  <c r="H40481" i="16"/>
  <c r="H40482" i="16"/>
  <c r="H40483" i="16"/>
  <c r="H40484" i="16"/>
  <c r="H40485" i="16"/>
  <c r="H40486" i="16"/>
  <c r="H40487" i="16"/>
  <c r="H40488" i="16"/>
  <c r="H40489" i="16"/>
  <c r="H40490" i="16"/>
  <c r="H40491" i="16"/>
  <c r="H40492" i="16"/>
  <c r="H40493" i="16"/>
  <c r="H40494" i="16"/>
  <c r="H40495" i="16"/>
  <c r="H40496" i="16"/>
  <c r="H40497" i="16"/>
  <c r="H40498" i="16"/>
  <c r="H40499" i="16"/>
  <c r="H40500" i="16"/>
  <c r="H40501" i="16"/>
  <c r="H40502" i="16"/>
  <c r="H40503" i="16"/>
  <c r="H40504" i="16"/>
  <c r="H40505" i="16"/>
  <c r="H40506" i="16"/>
  <c r="H40507" i="16"/>
  <c r="H40508" i="16"/>
  <c r="H40509" i="16"/>
  <c r="H40510" i="16"/>
  <c r="H40511" i="16"/>
  <c r="H40512" i="16"/>
  <c r="H40513" i="16"/>
  <c r="H40514" i="16"/>
  <c r="H40515" i="16"/>
  <c r="H40516" i="16"/>
  <c r="H40517" i="16"/>
  <c r="H40518" i="16"/>
  <c r="H40519" i="16"/>
  <c r="H40520" i="16"/>
  <c r="H40521" i="16"/>
  <c r="H40522" i="16"/>
  <c r="H40523" i="16"/>
  <c r="H40524" i="16"/>
  <c r="H40525" i="16"/>
  <c r="H40526" i="16"/>
  <c r="H40527" i="16"/>
  <c r="H40528" i="16"/>
  <c r="H40529" i="16"/>
  <c r="H40530" i="16"/>
  <c r="H40531" i="16"/>
  <c r="H40532" i="16"/>
  <c r="H40533" i="16"/>
  <c r="H40534" i="16"/>
  <c r="H40535" i="16"/>
  <c r="H40536" i="16"/>
  <c r="H40537" i="16"/>
  <c r="H40538" i="16"/>
  <c r="H40539" i="16"/>
  <c r="H40540" i="16"/>
  <c r="H40541" i="16"/>
  <c r="H40542" i="16"/>
  <c r="H40543" i="16"/>
  <c r="H40544" i="16"/>
  <c r="H40545" i="16"/>
  <c r="H40546" i="16"/>
  <c r="H40547" i="16"/>
  <c r="H40548" i="16"/>
  <c r="H40549" i="16"/>
  <c r="H40550" i="16"/>
  <c r="H40551" i="16"/>
  <c r="H40552" i="16"/>
  <c r="H40553" i="16"/>
  <c r="H40554" i="16"/>
  <c r="H40555" i="16"/>
  <c r="H40556" i="16"/>
  <c r="H40557" i="16"/>
  <c r="H40558" i="16"/>
  <c r="H40559" i="16"/>
  <c r="H40560" i="16"/>
  <c r="H40561" i="16"/>
  <c r="H40562" i="16"/>
  <c r="H40563" i="16"/>
  <c r="H40564" i="16"/>
  <c r="H40565" i="16"/>
  <c r="H40566" i="16"/>
  <c r="H40567" i="16"/>
  <c r="H40568" i="16"/>
  <c r="H40569" i="16"/>
  <c r="H40570" i="16"/>
  <c r="H40571" i="16"/>
  <c r="H40572" i="16"/>
  <c r="H40573" i="16"/>
  <c r="H40574" i="16"/>
  <c r="H40575" i="16"/>
  <c r="H40576" i="16"/>
  <c r="H40577" i="16"/>
  <c r="H40578" i="16"/>
  <c r="H40579" i="16"/>
  <c r="H40580" i="16"/>
  <c r="H40581" i="16"/>
  <c r="H40582" i="16"/>
  <c r="H40583" i="16"/>
  <c r="H40584" i="16"/>
  <c r="H40585" i="16"/>
  <c r="H40586" i="16"/>
  <c r="H40587" i="16"/>
  <c r="H40588" i="16"/>
  <c r="H40589" i="16"/>
  <c r="H40590" i="16"/>
  <c r="H40591" i="16"/>
  <c r="H40592" i="16"/>
  <c r="H40593" i="16"/>
  <c r="H40594" i="16"/>
  <c r="H40595" i="16"/>
  <c r="H40596" i="16"/>
  <c r="H40597" i="16"/>
  <c r="H40598" i="16"/>
  <c r="H40599" i="16"/>
  <c r="H40600" i="16"/>
  <c r="H40601" i="16"/>
  <c r="H40602" i="16"/>
  <c r="H40603" i="16"/>
  <c r="H40604" i="16"/>
  <c r="H40605" i="16"/>
  <c r="H40606" i="16"/>
  <c r="H40607" i="16"/>
  <c r="H40608" i="16"/>
  <c r="H40609" i="16"/>
  <c r="H40610" i="16"/>
  <c r="H40611" i="16"/>
  <c r="H40612" i="16"/>
  <c r="H40613" i="16"/>
  <c r="H40614" i="16"/>
  <c r="H40615" i="16"/>
  <c r="H40616" i="16"/>
  <c r="H40617" i="16"/>
  <c r="H40618" i="16"/>
  <c r="H40619" i="16"/>
  <c r="H40620" i="16"/>
  <c r="H40621" i="16"/>
  <c r="H40622" i="16"/>
  <c r="H40623" i="16"/>
  <c r="H40624" i="16"/>
  <c r="H40625" i="16"/>
  <c r="H40626" i="16"/>
  <c r="H40627" i="16"/>
  <c r="H40628" i="16"/>
  <c r="H40629" i="16"/>
  <c r="H40630" i="16"/>
  <c r="H40631" i="16"/>
  <c r="H40632" i="16"/>
  <c r="H40633" i="16"/>
  <c r="H40634" i="16"/>
  <c r="H40635" i="16"/>
  <c r="H40636" i="16"/>
  <c r="H40637" i="16"/>
  <c r="H40638" i="16"/>
  <c r="H40639" i="16"/>
  <c r="H40640" i="16"/>
  <c r="H40641" i="16"/>
  <c r="H40642" i="16"/>
  <c r="H40643" i="16"/>
  <c r="H40644" i="16"/>
  <c r="H40645" i="16"/>
  <c r="H40646" i="16"/>
  <c r="H40647" i="16"/>
  <c r="H40648" i="16"/>
  <c r="H40649" i="16"/>
  <c r="H40650" i="16"/>
  <c r="H40651" i="16"/>
  <c r="H40652" i="16"/>
  <c r="H40653" i="16"/>
  <c r="H40654" i="16"/>
  <c r="H40655" i="16"/>
  <c r="H40656" i="16"/>
  <c r="H40657" i="16"/>
  <c r="H40658" i="16"/>
  <c r="H40659" i="16"/>
  <c r="H40660" i="16"/>
  <c r="H40661" i="16"/>
  <c r="H40662" i="16"/>
  <c r="H40663" i="16"/>
  <c r="H40664" i="16"/>
  <c r="H40665" i="16"/>
  <c r="H40666" i="16"/>
  <c r="H40667" i="16"/>
  <c r="H40668" i="16"/>
  <c r="H40669" i="16"/>
  <c r="H40670" i="16"/>
  <c r="H40671" i="16"/>
  <c r="H40672" i="16"/>
  <c r="H40673" i="16"/>
  <c r="H40674" i="16"/>
  <c r="H40675" i="16"/>
  <c r="H40676" i="16"/>
  <c r="H40677" i="16"/>
  <c r="H40678" i="16"/>
  <c r="H40679" i="16"/>
  <c r="H40680" i="16"/>
  <c r="H40681" i="16"/>
  <c r="H40682" i="16"/>
  <c r="H40683" i="16"/>
  <c r="H40684" i="16"/>
  <c r="H40685" i="16"/>
  <c r="H40686" i="16"/>
  <c r="H40687" i="16"/>
  <c r="H40688" i="16"/>
  <c r="H40689" i="16"/>
  <c r="H40690" i="16"/>
  <c r="H40691" i="16"/>
  <c r="H40692" i="16"/>
  <c r="H40693" i="16"/>
  <c r="H40694" i="16"/>
  <c r="H40695" i="16"/>
  <c r="H40696" i="16"/>
  <c r="H40697" i="16"/>
  <c r="H40698" i="16"/>
  <c r="H40699" i="16"/>
  <c r="H40700" i="16"/>
  <c r="H40701" i="16"/>
  <c r="H40702" i="16"/>
  <c r="H40703" i="16"/>
  <c r="H40704" i="16"/>
  <c r="H40705" i="16"/>
  <c r="H40706" i="16"/>
  <c r="H40707" i="16"/>
  <c r="H40708" i="16"/>
  <c r="H40709" i="16"/>
  <c r="H40710" i="16"/>
  <c r="H40711" i="16"/>
  <c r="H40712" i="16"/>
  <c r="H40713" i="16"/>
  <c r="H40714" i="16"/>
  <c r="H40715" i="16"/>
  <c r="H40716" i="16"/>
  <c r="H40717" i="16"/>
  <c r="H40718" i="16"/>
  <c r="H40719" i="16"/>
  <c r="H40720" i="16"/>
  <c r="H40721" i="16"/>
  <c r="H40722" i="16"/>
  <c r="H40723" i="16"/>
  <c r="H40724" i="16"/>
  <c r="H40725" i="16"/>
  <c r="H40726" i="16"/>
  <c r="H40727" i="16"/>
  <c r="H40728" i="16"/>
  <c r="H40729" i="16"/>
  <c r="H40730" i="16"/>
  <c r="H40731" i="16"/>
  <c r="H40732" i="16"/>
  <c r="H40733" i="16"/>
  <c r="H40734" i="16"/>
  <c r="H40735" i="16"/>
  <c r="H40736" i="16"/>
  <c r="H40737" i="16"/>
  <c r="H40738" i="16"/>
  <c r="H40739" i="16"/>
  <c r="H40740" i="16"/>
  <c r="H40741" i="16"/>
  <c r="H40742" i="16"/>
  <c r="H40743" i="16"/>
  <c r="H40744" i="16"/>
  <c r="H40745" i="16"/>
  <c r="H40746" i="16"/>
  <c r="H40747" i="16"/>
  <c r="H40748" i="16"/>
  <c r="H40749" i="16"/>
  <c r="H40750" i="16"/>
  <c r="H40751" i="16"/>
  <c r="H40752" i="16"/>
  <c r="H40753" i="16"/>
  <c r="H40754" i="16"/>
  <c r="H40755" i="16"/>
  <c r="H40756" i="16"/>
  <c r="H40757" i="16"/>
  <c r="H40758" i="16"/>
  <c r="H40759" i="16"/>
  <c r="H40760" i="16"/>
  <c r="H40761" i="16"/>
  <c r="H40762" i="16"/>
  <c r="H40763" i="16"/>
  <c r="H40764" i="16"/>
  <c r="H40765" i="16"/>
  <c r="H40766" i="16"/>
  <c r="H40767" i="16"/>
  <c r="H40768" i="16"/>
  <c r="H40769" i="16"/>
  <c r="H40770" i="16"/>
  <c r="H40771" i="16"/>
  <c r="H40772" i="16"/>
  <c r="H40773" i="16"/>
  <c r="H40774" i="16"/>
  <c r="H40775" i="16"/>
  <c r="H40776" i="16"/>
  <c r="H40777" i="16"/>
  <c r="H40778" i="16"/>
  <c r="H40779" i="16"/>
  <c r="H40780" i="16"/>
  <c r="H40781" i="16"/>
  <c r="H40782" i="16"/>
  <c r="H40783" i="16"/>
  <c r="H40784" i="16"/>
  <c r="H40785" i="16"/>
  <c r="H40786" i="16"/>
  <c r="H40787" i="16"/>
  <c r="H40788" i="16"/>
  <c r="H40789" i="16"/>
  <c r="H40790" i="16"/>
  <c r="H40791" i="16"/>
  <c r="H40792" i="16"/>
  <c r="H40793" i="16"/>
  <c r="H40794" i="16"/>
  <c r="H40795" i="16"/>
  <c r="H40796" i="16"/>
  <c r="H40797" i="16"/>
  <c r="H40798" i="16"/>
  <c r="H40799" i="16"/>
  <c r="H40800" i="16"/>
  <c r="H40801" i="16"/>
  <c r="H40802" i="16"/>
  <c r="H40803" i="16"/>
  <c r="H40804" i="16"/>
  <c r="H40805" i="16"/>
  <c r="H40806" i="16"/>
  <c r="H40807" i="16"/>
  <c r="H40808" i="16"/>
  <c r="H40809" i="16"/>
  <c r="H40810" i="16"/>
  <c r="H40811" i="16"/>
  <c r="H40812" i="16"/>
  <c r="H40813" i="16"/>
  <c r="H40814" i="16"/>
  <c r="H40815" i="16"/>
  <c r="H40816" i="16"/>
  <c r="H40817" i="16"/>
  <c r="H40818" i="16"/>
  <c r="H40819" i="16"/>
  <c r="H40820" i="16"/>
  <c r="H40821" i="16"/>
  <c r="H40822" i="16"/>
  <c r="H40823" i="16"/>
  <c r="H40824" i="16"/>
  <c r="H40825" i="16"/>
  <c r="H40826" i="16"/>
  <c r="H40827" i="16"/>
  <c r="H40828" i="16"/>
  <c r="H40829" i="16"/>
  <c r="H40830" i="16"/>
  <c r="H40831" i="16"/>
  <c r="H40832" i="16"/>
  <c r="H40833" i="16"/>
  <c r="H40834" i="16"/>
  <c r="H40835" i="16"/>
  <c r="H40836" i="16"/>
  <c r="H40837" i="16"/>
  <c r="H40838" i="16"/>
  <c r="H40839" i="16"/>
  <c r="H40840" i="16"/>
  <c r="H40841" i="16"/>
  <c r="H40842" i="16"/>
  <c r="H40843" i="16"/>
  <c r="H40844" i="16"/>
  <c r="H40845" i="16"/>
  <c r="H40846" i="16"/>
  <c r="H40847" i="16"/>
  <c r="H40848" i="16"/>
  <c r="H40849" i="16"/>
  <c r="H40850" i="16"/>
  <c r="H40851" i="16"/>
  <c r="H40852" i="16"/>
  <c r="H40853" i="16"/>
  <c r="H40854" i="16"/>
  <c r="H40855" i="16"/>
  <c r="H40856" i="16"/>
  <c r="H40857" i="16"/>
  <c r="H40858" i="16"/>
  <c r="H40859" i="16"/>
  <c r="H40860" i="16"/>
  <c r="H40861" i="16"/>
  <c r="H40862" i="16"/>
  <c r="H40863" i="16"/>
  <c r="H40864" i="16"/>
  <c r="H40865" i="16"/>
  <c r="H40866" i="16"/>
  <c r="H40867" i="16"/>
  <c r="H40868" i="16"/>
  <c r="H40869" i="16"/>
  <c r="H40870" i="16"/>
  <c r="H40871" i="16"/>
  <c r="H40872" i="16"/>
  <c r="H40873" i="16"/>
  <c r="H40874" i="16"/>
  <c r="H40875" i="16"/>
  <c r="H40876" i="16"/>
  <c r="H40877" i="16"/>
  <c r="H40878" i="16"/>
  <c r="H40879" i="16"/>
  <c r="H40880" i="16"/>
  <c r="H40881" i="16"/>
  <c r="H40882" i="16"/>
  <c r="H40883" i="16"/>
  <c r="H40884" i="16"/>
  <c r="H40885" i="16"/>
  <c r="H40886" i="16"/>
  <c r="H40887" i="16"/>
  <c r="H40888" i="16"/>
  <c r="H40889" i="16"/>
  <c r="H40890" i="16"/>
  <c r="H40891" i="16"/>
  <c r="H40892" i="16"/>
  <c r="H40893" i="16"/>
  <c r="H40894" i="16"/>
  <c r="H40895" i="16"/>
  <c r="H40896" i="16"/>
  <c r="H40897" i="16"/>
  <c r="H40898" i="16"/>
  <c r="H40899" i="16"/>
  <c r="H40900" i="16"/>
  <c r="H40901" i="16"/>
  <c r="H40902" i="16"/>
  <c r="H40903" i="16"/>
  <c r="H40904" i="16"/>
  <c r="H40905" i="16"/>
  <c r="H40906" i="16"/>
  <c r="H40907" i="16"/>
  <c r="H40908" i="16"/>
  <c r="H40909" i="16"/>
  <c r="H40910" i="16"/>
  <c r="H40911" i="16"/>
  <c r="H40912" i="16"/>
  <c r="H40913" i="16"/>
  <c r="H40914" i="16"/>
  <c r="H40915" i="16"/>
  <c r="H40916" i="16"/>
  <c r="H40917" i="16"/>
  <c r="H40918" i="16"/>
  <c r="H40919" i="16"/>
  <c r="H40920" i="16"/>
  <c r="H40921" i="16"/>
  <c r="H40922" i="16"/>
  <c r="H40923" i="16"/>
  <c r="H40924" i="16"/>
  <c r="H40925" i="16"/>
  <c r="H40926" i="16"/>
  <c r="H40927" i="16"/>
  <c r="H40928" i="16"/>
  <c r="H40929" i="16"/>
  <c r="H40930" i="16"/>
  <c r="H40931" i="16"/>
  <c r="H40932" i="16"/>
  <c r="H40933" i="16"/>
  <c r="H40934" i="16"/>
  <c r="H40935" i="16"/>
  <c r="H40936" i="16"/>
  <c r="H40937" i="16"/>
  <c r="H40938" i="16"/>
  <c r="H40939" i="16"/>
  <c r="H40940" i="16"/>
  <c r="H40941" i="16"/>
  <c r="H40942" i="16"/>
  <c r="H40943" i="16"/>
  <c r="H40944" i="16"/>
  <c r="H40945" i="16"/>
  <c r="H40946" i="16"/>
  <c r="H40947" i="16"/>
  <c r="H40948" i="16"/>
  <c r="H40949" i="16"/>
  <c r="H40950" i="16"/>
  <c r="H40951" i="16"/>
  <c r="H40952" i="16"/>
  <c r="H40953" i="16"/>
  <c r="H40954" i="16"/>
  <c r="H40955" i="16"/>
  <c r="H40956" i="16"/>
  <c r="H40957" i="16"/>
  <c r="H40958" i="16"/>
  <c r="H40959" i="16"/>
  <c r="H40960" i="16"/>
  <c r="H40961" i="16"/>
  <c r="H40962" i="16"/>
  <c r="H40963" i="16"/>
  <c r="H40964" i="16"/>
  <c r="H40965" i="16"/>
  <c r="H40966" i="16"/>
  <c r="H40967" i="16"/>
  <c r="H40968" i="16"/>
  <c r="H40969" i="16"/>
  <c r="H40970" i="16"/>
  <c r="H40971" i="16"/>
  <c r="H40972" i="16"/>
  <c r="H40973" i="16"/>
  <c r="H40974" i="16"/>
  <c r="H40975" i="16"/>
  <c r="H40976" i="16"/>
  <c r="H40977" i="16"/>
  <c r="H40978" i="16"/>
  <c r="H40979" i="16"/>
  <c r="H40980" i="16"/>
  <c r="H40981" i="16"/>
  <c r="H40982" i="16"/>
  <c r="H40983" i="16"/>
  <c r="H40984" i="16"/>
  <c r="H40985" i="16"/>
  <c r="H40986" i="16"/>
  <c r="H40987" i="16"/>
  <c r="H40988" i="16"/>
  <c r="H40989" i="16"/>
  <c r="H40990" i="16"/>
  <c r="H40991" i="16"/>
  <c r="H40992" i="16"/>
  <c r="H40993" i="16"/>
  <c r="H40994" i="16"/>
  <c r="H40995" i="16"/>
  <c r="H40996" i="16"/>
  <c r="H40997" i="16"/>
  <c r="H40998" i="16"/>
  <c r="H40999" i="16"/>
  <c r="H41000" i="16"/>
  <c r="H41001" i="16"/>
  <c r="H41002" i="16"/>
  <c r="H41003" i="16"/>
  <c r="H41004" i="16"/>
  <c r="H41005" i="16"/>
  <c r="H41006" i="16"/>
  <c r="H41007" i="16"/>
  <c r="H41008" i="16"/>
  <c r="H41009" i="16"/>
  <c r="H41010" i="16"/>
  <c r="H41011" i="16"/>
  <c r="H41012" i="16"/>
  <c r="H41013" i="16"/>
  <c r="H41014" i="16"/>
  <c r="H41015" i="16"/>
  <c r="H41016" i="16"/>
  <c r="H41017" i="16"/>
  <c r="H41018" i="16"/>
  <c r="H41019" i="16"/>
  <c r="H41020" i="16"/>
  <c r="H41021" i="16"/>
  <c r="H41022" i="16"/>
  <c r="H41023" i="16"/>
  <c r="H41024" i="16"/>
  <c r="H41025" i="16"/>
  <c r="H41026" i="16"/>
  <c r="H41027" i="16"/>
  <c r="H41028" i="16"/>
  <c r="H41029" i="16"/>
  <c r="H41030" i="16"/>
  <c r="H41031" i="16"/>
  <c r="H41032" i="16"/>
  <c r="H41033" i="16"/>
  <c r="H41034" i="16"/>
  <c r="H41035" i="16"/>
  <c r="H41036" i="16"/>
  <c r="H41037" i="16"/>
  <c r="H41038" i="16"/>
  <c r="H41039" i="16"/>
  <c r="H41040" i="16"/>
  <c r="H41041" i="16"/>
  <c r="H41042" i="16"/>
  <c r="H41043" i="16"/>
  <c r="H41044" i="16"/>
  <c r="H41045" i="16"/>
  <c r="H41046" i="16"/>
  <c r="H41047" i="16"/>
  <c r="H41048" i="16"/>
  <c r="H41049" i="16"/>
  <c r="H41050" i="16"/>
  <c r="H41051" i="16"/>
  <c r="H41052" i="16"/>
  <c r="H41053" i="16"/>
  <c r="H41054" i="16"/>
  <c r="H41055" i="16"/>
  <c r="H41056" i="16"/>
  <c r="H41057" i="16"/>
  <c r="H41058" i="16"/>
  <c r="H41059" i="16"/>
  <c r="H41060" i="16"/>
  <c r="H41061" i="16"/>
  <c r="H41062" i="16"/>
  <c r="H41063" i="16"/>
  <c r="H41064" i="16"/>
  <c r="H41065" i="16"/>
  <c r="H41066" i="16"/>
  <c r="H41067" i="16"/>
  <c r="H41068" i="16"/>
  <c r="H41069" i="16"/>
  <c r="H41070" i="16"/>
  <c r="H41071" i="16"/>
  <c r="H41072" i="16"/>
  <c r="H41073" i="16"/>
  <c r="H41074" i="16"/>
  <c r="H41075" i="16"/>
  <c r="H41076" i="16"/>
  <c r="H41077" i="16"/>
  <c r="H41078" i="16"/>
  <c r="H41079" i="16"/>
  <c r="H41080" i="16"/>
  <c r="H41081" i="16"/>
  <c r="H41082" i="16"/>
  <c r="H41083" i="16"/>
  <c r="H41084" i="16"/>
  <c r="H41085" i="16"/>
  <c r="H41086" i="16"/>
  <c r="H41087" i="16"/>
  <c r="H41088" i="16"/>
  <c r="H41089" i="16"/>
  <c r="H41090" i="16"/>
  <c r="H41091" i="16"/>
  <c r="H41092" i="16"/>
  <c r="H41093" i="16"/>
  <c r="H41094" i="16"/>
  <c r="H41095" i="16"/>
  <c r="H41096" i="16"/>
  <c r="H41097" i="16"/>
  <c r="H41098" i="16"/>
  <c r="H41099" i="16"/>
  <c r="H41100" i="16"/>
  <c r="H41101" i="16"/>
  <c r="H41102" i="16"/>
  <c r="H41103" i="16"/>
  <c r="H41104" i="16"/>
  <c r="H41105" i="16"/>
  <c r="H41106" i="16"/>
  <c r="H41107" i="16"/>
  <c r="H41108" i="16"/>
  <c r="H41109" i="16"/>
  <c r="H41110" i="16"/>
  <c r="H41111" i="16"/>
  <c r="H41112" i="16"/>
  <c r="H41113" i="16"/>
  <c r="H41114" i="16"/>
  <c r="H41115" i="16"/>
  <c r="H41116" i="16"/>
  <c r="H41117" i="16"/>
  <c r="H41118" i="16"/>
  <c r="H41119" i="16"/>
  <c r="H41120" i="16"/>
  <c r="H41121" i="16"/>
  <c r="H41122" i="16"/>
  <c r="H41123" i="16"/>
  <c r="H41124" i="16"/>
  <c r="H41125" i="16"/>
  <c r="H41126" i="16"/>
  <c r="H41127" i="16"/>
  <c r="H41128" i="16"/>
  <c r="H41129" i="16"/>
  <c r="H41130" i="16"/>
  <c r="H41131" i="16"/>
  <c r="H41132" i="16"/>
  <c r="H41133" i="16"/>
  <c r="H41134" i="16"/>
  <c r="H41135" i="16"/>
  <c r="H41136" i="16"/>
  <c r="H41137" i="16"/>
  <c r="H41138" i="16"/>
  <c r="H41139" i="16"/>
  <c r="H41140" i="16"/>
  <c r="H41141" i="16"/>
  <c r="H41142" i="16"/>
  <c r="H41143" i="16"/>
  <c r="H41144" i="16"/>
  <c r="H41145" i="16"/>
  <c r="H41146" i="16"/>
  <c r="H41147" i="16"/>
  <c r="H41148" i="16"/>
  <c r="H41149" i="16"/>
  <c r="H41150" i="16"/>
  <c r="H41151" i="16"/>
  <c r="H41152" i="16"/>
  <c r="H41153" i="16"/>
  <c r="H41154" i="16"/>
  <c r="H41155" i="16"/>
  <c r="H41156" i="16"/>
  <c r="H41157" i="16"/>
  <c r="H41158" i="16"/>
  <c r="H41159" i="16"/>
  <c r="H41160" i="16"/>
  <c r="H41161" i="16"/>
  <c r="H41162" i="16"/>
  <c r="H41163" i="16"/>
  <c r="H41164" i="16"/>
  <c r="H41165" i="16"/>
  <c r="H41166" i="16"/>
  <c r="H41167" i="16"/>
  <c r="H41168" i="16"/>
  <c r="H41169" i="16"/>
  <c r="H41170" i="16"/>
  <c r="H41171" i="16"/>
  <c r="H41172" i="16"/>
  <c r="H41173" i="16"/>
  <c r="H41174" i="16"/>
  <c r="H41175" i="16"/>
  <c r="H41176" i="16"/>
  <c r="H41177" i="16"/>
  <c r="H41178" i="16"/>
  <c r="H41179" i="16"/>
  <c r="H41180" i="16"/>
  <c r="H41181" i="16"/>
  <c r="H41182" i="16"/>
  <c r="H41183" i="16"/>
  <c r="H41184" i="16"/>
  <c r="H41185" i="16"/>
  <c r="H41186" i="16"/>
  <c r="H41187" i="16"/>
  <c r="H41188" i="16"/>
  <c r="H41189" i="16"/>
  <c r="H41190" i="16"/>
  <c r="H41191" i="16"/>
  <c r="H41192" i="16"/>
  <c r="H41193" i="16"/>
  <c r="H41194" i="16"/>
  <c r="H41195" i="16"/>
  <c r="H41196" i="16"/>
  <c r="H41197" i="16"/>
  <c r="H41198" i="16"/>
  <c r="H41199" i="16"/>
  <c r="H41200" i="16"/>
  <c r="H41201" i="16"/>
  <c r="H41202" i="16"/>
  <c r="H41203" i="16"/>
  <c r="H41204" i="16"/>
  <c r="H41205" i="16"/>
  <c r="H41206" i="16"/>
  <c r="H41207" i="16"/>
  <c r="H41208" i="16"/>
  <c r="H41209" i="16"/>
  <c r="H41210" i="16"/>
  <c r="H41211" i="16"/>
  <c r="H41212" i="16"/>
  <c r="H41213" i="16"/>
  <c r="H41214" i="16"/>
  <c r="H41215" i="16"/>
  <c r="H41216" i="16"/>
  <c r="H41217" i="16"/>
  <c r="H41218" i="16"/>
  <c r="H41219" i="16"/>
  <c r="H41220" i="16"/>
  <c r="H41221" i="16"/>
  <c r="H41222" i="16"/>
  <c r="H41223" i="16"/>
  <c r="H41224" i="16"/>
  <c r="H41225" i="16"/>
  <c r="H41226" i="16"/>
  <c r="H41227" i="16"/>
  <c r="H41228" i="16"/>
  <c r="H41229" i="16"/>
  <c r="H41230" i="16"/>
  <c r="H41231" i="16"/>
  <c r="H41232" i="16"/>
  <c r="H41233" i="16"/>
  <c r="H41234" i="16"/>
  <c r="H41235" i="16"/>
  <c r="H41236" i="16"/>
  <c r="H41237" i="16"/>
  <c r="H41238" i="16"/>
  <c r="H41239" i="16"/>
  <c r="H41240" i="16"/>
  <c r="H41241" i="16"/>
  <c r="H41242" i="16"/>
  <c r="H41243" i="16"/>
  <c r="H41244" i="16"/>
  <c r="H41245" i="16"/>
  <c r="H41246" i="16"/>
  <c r="H41247" i="16"/>
  <c r="H41248" i="16"/>
  <c r="H41249" i="16"/>
  <c r="H41250" i="16"/>
  <c r="H41251" i="16"/>
  <c r="H41252" i="16"/>
  <c r="H41253" i="16"/>
  <c r="H41254" i="16"/>
  <c r="H41255" i="16"/>
  <c r="H41256" i="16"/>
  <c r="H41257" i="16"/>
  <c r="H41258" i="16"/>
  <c r="H41259" i="16"/>
  <c r="H41260" i="16"/>
  <c r="H41261" i="16"/>
  <c r="H41262" i="16"/>
  <c r="H41263" i="16"/>
  <c r="H41264" i="16"/>
  <c r="H41265" i="16"/>
  <c r="H41266" i="16"/>
  <c r="H41267" i="16"/>
  <c r="H41268" i="16"/>
  <c r="H41269" i="16"/>
  <c r="H41270" i="16"/>
  <c r="H41271" i="16"/>
  <c r="H41272" i="16"/>
  <c r="H41273" i="16"/>
  <c r="H41274" i="16"/>
  <c r="H41275" i="16"/>
  <c r="H41276" i="16"/>
  <c r="H41277" i="16"/>
  <c r="H41278" i="16"/>
  <c r="H41279" i="16"/>
  <c r="H41280" i="16"/>
  <c r="H41281" i="16"/>
  <c r="H41282" i="16"/>
  <c r="H41283" i="16"/>
  <c r="H41284" i="16"/>
  <c r="H41285" i="16"/>
  <c r="H41286" i="16"/>
  <c r="H41287" i="16"/>
  <c r="H41288" i="16"/>
  <c r="H41289" i="16"/>
  <c r="H41290" i="16"/>
  <c r="H41291" i="16"/>
  <c r="H41292" i="16"/>
  <c r="H41293" i="16"/>
  <c r="H41294" i="16"/>
  <c r="H41295" i="16"/>
  <c r="H41296" i="16"/>
  <c r="H41297" i="16"/>
  <c r="H41298" i="16"/>
  <c r="H41299" i="16"/>
  <c r="H41300" i="16"/>
  <c r="H41301" i="16"/>
  <c r="H41302" i="16"/>
  <c r="H41303" i="16"/>
  <c r="H41304" i="16"/>
  <c r="H41305" i="16"/>
  <c r="H41306" i="16"/>
  <c r="H41307" i="16"/>
  <c r="H41308" i="16"/>
  <c r="H41309" i="16"/>
  <c r="H41310" i="16"/>
  <c r="H41311" i="16"/>
  <c r="H41312" i="16"/>
  <c r="H41313" i="16"/>
  <c r="H41314" i="16"/>
  <c r="H41315" i="16"/>
  <c r="H41316" i="16"/>
  <c r="H41317" i="16"/>
  <c r="H41318" i="16"/>
  <c r="H41319" i="16"/>
  <c r="H41320" i="16"/>
  <c r="H41321" i="16"/>
  <c r="H41322" i="16"/>
  <c r="H41323" i="16"/>
  <c r="H41324" i="16"/>
  <c r="H41325" i="16"/>
  <c r="H41326" i="16"/>
  <c r="H41327" i="16"/>
  <c r="H41328" i="16"/>
  <c r="H41329" i="16"/>
  <c r="H41330" i="16"/>
  <c r="H41331" i="16"/>
  <c r="H41332" i="16"/>
  <c r="H41333" i="16"/>
  <c r="H41334" i="16"/>
  <c r="H41335" i="16"/>
  <c r="H41336" i="16"/>
  <c r="H41337" i="16"/>
  <c r="H41338" i="16"/>
  <c r="H41339" i="16"/>
  <c r="H41340" i="16"/>
  <c r="H41341" i="16"/>
  <c r="H41342" i="16"/>
  <c r="H41343" i="16"/>
  <c r="H41344" i="16"/>
  <c r="H41345" i="16"/>
  <c r="H41346" i="16"/>
  <c r="H41347" i="16"/>
  <c r="H41348" i="16"/>
  <c r="H41349" i="16"/>
  <c r="H41350" i="16"/>
  <c r="H41351" i="16"/>
  <c r="H41352" i="16"/>
  <c r="H41353" i="16"/>
  <c r="H41354" i="16"/>
  <c r="H41355" i="16"/>
  <c r="H41356" i="16"/>
  <c r="H41357" i="16"/>
  <c r="H41358" i="16"/>
  <c r="H41359" i="16"/>
  <c r="H41360" i="16"/>
  <c r="H41361" i="16"/>
  <c r="H41362" i="16"/>
  <c r="H41363" i="16"/>
  <c r="H41364" i="16"/>
  <c r="H41365" i="16"/>
  <c r="H41366" i="16"/>
  <c r="H41367" i="16"/>
  <c r="H41368" i="16"/>
  <c r="H41369" i="16"/>
  <c r="H41370" i="16"/>
  <c r="H41371" i="16"/>
  <c r="H41372" i="16"/>
  <c r="H41373" i="16"/>
  <c r="H41374" i="16"/>
  <c r="H41375" i="16"/>
  <c r="H41376" i="16"/>
  <c r="H41377" i="16"/>
  <c r="H41378" i="16"/>
  <c r="H41379" i="16"/>
  <c r="H41380" i="16"/>
  <c r="H41381" i="16"/>
  <c r="H41382" i="16"/>
  <c r="H41383" i="16"/>
  <c r="H41384" i="16"/>
  <c r="H41385" i="16"/>
  <c r="H41386" i="16"/>
  <c r="H41387" i="16"/>
  <c r="H41388" i="16"/>
  <c r="H41389" i="16"/>
  <c r="H41390" i="16"/>
  <c r="H41391" i="16"/>
  <c r="H41392" i="16"/>
  <c r="H41393" i="16"/>
  <c r="H41394" i="16"/>
  <c r="H41395" i="16"/>
  <c r="H41396" i="16"/>
  <c r="H41397" i="16"/>
  <c r="H41398" i="16"/>
  <c r="H41399" i="16"/>
  <c r="H41400" i="16"/>
  <c r="H41401" i="16"/>
  <c r="H41402" i="16"/>
  <c r="H41403" i="16"/>
  <c r="H41404" i="16"/>
  <c r="H41405" i="16"/>
  <c r="H41406" i="16"/>
  <c r="H41407" i="16"/>
  <c r="H41408" i="16"/>
  <c r="H41409" i="16"/>
  <c r="H41410" i="16"/>
  <c r="H41411" i="16"/>
  <c r="H41412" i="16"/>
  <c r="H41413" i="16"/>
  <c r="H41414" i="16"/>
  <c r="H41415" i="16"/>
  <c r="H41416" i="16"/>
  <c r="H41417" i="16"/>
  <c r="H41418" i="16"/>
  <c r="H41419" i="16"/>
  <c r="H41420" i="16"/>
  <c r="H41421" i="16"/>
  <c r="H41422" i="16"/>
  <c r="H41423" i="16"/>
  <c r="H41424" i="16"/>
  <c r="H41425" i="16"/>
  <c r="H41426" i="16"/>
  <c r="H41427" i="16"/>
  <c r="H41428" i="16"/>
  <c r="H41429" i="16"/>
  <c r="H41430" i="16"/>
  <c r="H41431" i="16"/>
  <c r="H41432" i="16"/>
  <c r="H41433" i="16"/>
  <c r="H41434" i="16"/>
  <c r="H41435" i="16"/>
  <c r="H41436" i="16"/>
  <c r="H41437" i="16"/>
  <c r="H41438" i="16"/>
  <c r="H41439" i="16"/>
  <c r="H41440" i="16"/>
  <c r="H41441" i="16"/>
  <c r="H41442" i="16"/>
  <c r="H41443" i="16"/>
  <c r="H41444" i="16"/>
  <c r="H41445" i="16"/>
  <c r="H41446" i="16"/>
  <c r="H41447" i="16"/>
  <c r="H41448" i="16"/>
  <c r="H41449" i="16"/>
  <c r="H41450" i="16"/>
  <c r="H41451" i="16"/>
  <c r="H41452" i="16"/>
  <c r="H41453" i="16"/>
  <c r="H41454" i="16"/>
  <c r="H41455" i="16"/>
  <c r="H41456" i="16"/>
  <c r="H41457" i="16"/>
  <c r="H41458" i="16"/>
  <c r="H41459" i="16"/>
  <c r="H41460" i="16"/>
  <c r="H41461" i="16"/>
  <c r="H41462" i="16"/>
  <c r="H41463" i="16"/>
  <c r="H41464" i="16"/>
  <c r="H41465" i="16"/>
  <c r="H41466" i="16"/>
  <c r="H41467" i="16"/>
  <c r="H41468" i="16"/>
  <c r="H41469" i="16"/>
  <c r="H41470" i="16"/>
  <c r="H41471" i="16"/>
  <c r="H41472" i="16"/>
  <c r="H41473" i="16"/>
  <c r="H41474" i="16"/>
  <c r="H41475" i="16"/>
  <c r="H41476" i="16"/>
  <c r="H41477" i="16"/>
  <c r="H41478" i="16"/>
  <c r="H41479" i="16"/>
  <c r="H41480" i="16"/>
  <c r="H41481" i="16"/>
  <c r="H41482" i="16"/>
  <c r="H41483" i="16"/>
  <c r="H41484" i="16"/>
  <c r="H41485" i="16"/>
  <c r="H41486" i="16"/>
  <c r="H41487" i="16"/>
  <c r="H41488" i="16"/>
  <c r="H41489" i="16"/>
  <c r="H41490" i="16"/>
  <c r="H41491" i="16"/>
  <c r="H41492" i="16"/>
  <c r="H41493" i="16"/>
  <c r="H41494" i="16"/>
  <c r="H41495" i="16"/>
  <c r="H41496" i="16"/>
  <c r="H41497" i="16"/>
  <c r="H41498" i="16"/>
  <c r="H41499" i="16"/>
  <c r="H41500" i="16"/>
  <c r="H41501" i="16"/>
  <c r="H41502" i="16"/>
  <c r="H41503" i="16"/>
  <c r="H41504" i="16"/>
  <c r="H41505" i="16"/>
  <c r="H41506" i="16"/>
  <c r="H41507" i="16"/>
  <c r="H41508" i="16"/>
  <c r="H41509" i="16"/>
  <c r="H41510" i="16"/>
  <c r="H41511" i="16"/>
  <c r="H41512" i="16"/>
  <c r="H41513" i="16"/>
  <c r="H41514" i="16"/>
  <c r="H41515" i="16"/>
  <c r="H41516" i="16"/>
  <c r="H41517" i="16"/>
  <c r="H41518" i="16"/>
  <c r="H41519" i="16"/>
  <c r="H41520" i="16"/>
  <c r="H41521" i="16"/>
  <c r="H41522" i="16"/>
  <c r="H41523" i="16"/>
  <c r="H41524" i="16"/>
  <c r="H41525" i="16"/>
  <c r="H41526" i="16"/>
  <c r="H41527" i="16"/>
  <c r="H41528" i="16"/>
  <c r="H41529" i="16"/>
  <c r="H41530" i="16"/>
  <c r="H41531" i="16"/>
  <c r="H41532" i="16"/>
  <c r="H41533" i="16"/>
  <c r="H41534" i="16"/>
  <c r="H41535" i="16"/>
  <c r="H41536" i="16"/>
  <c r="H41537" i="16"/>
  <c r="H41538" i="16"/>
  <c r="H41539" i="16"/>
  <c r="H41540" i="16"/>
  <c r="H41541" i="16"/>
  <c r="H41542" i="16"/>
  <c r="H41543" i="16"/>
  <c r="H41544" i="16"/>
  <c r="H41545" i="16"/>
  <c r="H41546" i="16"/>
  <c r="H41547" i="16"/>
  <c r="H41548" i="16"/>
  <c r="H41549" i="16"/>
  <c r="H41550" i="16"/>
  <c r="H41551" i="16"/>
  <c r="H41552" i="16"/>
  <c r="H41553" i="16"/>
  <c r="H41554" i="16"/>
  <c r="H41555" i="16"/>
  <c r="H41556" i="16"/>
  <c r="H41557" i="16"/>
  <c r="H41558" i="16"/>
  <c r="H41559" i="16"/>
  <c r="H41560" i="16"/>
  <c r="H41561" i="16"/>
  <c r="H41562" i="16"/>
  <c r="H41563" i="16"/>
  <c r="H41564" i="16"/>
  <c r="H41565" i="16"/>
  <c r="H41566" i="16"/>
  <c r="H41567" i="16"/>
  <c r="H41568" i="16"/>
  <c r="H41569" i="16"/>
  <c r="H41570" i="16"/>
  <c r="H41571" i="16"/>
  <c r="H41572" i="16"/>
  <c r="H41573" i="16"/>
  <c r="H41574" i="16"/>
  <c r="H41575" i="16"/>
  <c r="H41576" i="16"/>
  <c r="H41577" i="16"/>
  <c r="H41578" i="16"/>
  <c r="H41579" i="16"/>
  <c r="H41580" i="16"/>
  <c r="H41581" i="16"/>
  <c r="H41582" i="16"/>
  <c r="H41583" i="16"/>
  <c r="H41584" i="16"/>
  <c r="H41585" i="16"/>
  <c r="H41586" i="16"/>
  <c r="H41587" i="16"/>
  <c r="H41588" i="16"/>
  <c r="H41589" i="16"/>
  <c r="H41590" i="16"/>
  <c r="H41591" i="16"/>
  <c r="H41592" i="16"/>
  <c r="H41593" i="16"/>
  <c r="H41594" i="16"/>
  <c r="H41595" i="16"/>
  <c r="H41596" i="16"/>
  <c r="H41597" i="16"/>
  <c r="H41598" i="16"/>
  <c r="H41599" i="16"/>
  <c r="H41600" i="16"/>
  <c r="H41601" i="16"/>
  <c r="H41602" i="16"/>
  <c r="H41603" i="16"/>
  <c r="H41604" i="16"/>
  <c r="H41605" i="16"/>
  <c r="H41606" i="16"/>
  <c r="H41607" i="16"/>
  <c r="H41608" i="16"/>
  <c r="H41609" i="16"/>
  <c r="H41610" i="16"/>
  <c r="H41611" i="16"/>
  <c r="H41612" i="16"/>
  <c r="H41613" i="16"/>
  <c r="H41614" i="16"/>
  <c r="H41615" i="16"/>
  <c r="H41616" i="16"/>
  <c r="H41617" i="16"/>
  <c r="H41618" i="16"/>
  <c r="H41619" i="16"/>
  <c r="H41620" i="16"/>
  <c r="H41621" i="16"/>
  <c r="H41622" i="16"/>
  <c r="H41623" i="16"/>
  <c r="H41624" i="16"/>
  <c r="H41625" i="16"/>
  <c r="H41626" i="16"/>
  <c r="H41627" i="16"/>
  <c r="H41628" i="16"/>
  <c r="H41629" i="16"/>
  <c r="H41630" i="16"/>
  <c r="H41631" i="16"/>
  <c r="H41632" i="16"/>
  <c r="H41633" i="16"/>
  <c r="H41634" i="16"/>
  <c r="H41635" i="16"/>
  <c r="H41636" i="16"/>
  <c r="H41637" i="16"/>
  <c r="H41638" i="16"/>
  <c r="H41639" i="16"/>
  <c r="H41640" i="16"/>
  <c r="H41641" i="16"/>
  <c r="H41642" i="16"/>
  <c r="H41643" i="16"/>
  <c r="H41644" i="16"/>
  <c r="H41645" i="16"/>
  <c r="H41646" i="16"/>
  <c r="H41647" i="16"/>
  <c r="H41648" i="16"/>
  <c r="H41649" i="16"/>
  <c r="H41650" i="16"/>
  <c r="H41651" i="16"/>
  <c r="H41652" i="16"/>
  <c r="H41653" i="16"/>
  <c r="H41654" i="16"/>
  <c r="H41655" i="16"/>
  <c r="H41656" i="16"/>
  <c r="H41657" i="16"/>
  <c r="H41658" i="16"/>
  <c r="H41659" i="16"/>
  <c r="H41660" i="16"/>
  <c r="H41661" i="16"/>
  <c r="H41662" i="16"/>
  <c r="H41663" i="16"/>
  <c r="H41664" i="16"/>
  <c r="H41665" i="16"/>
  <c r="H41666" i="16"/>
  <c r="H41667" i="16"/>
  <c r="H41668" i="16"/>
  <c r="H41669" i="16"/>
  <c r="H41670" i="16"/>
  <c r="H41671" i="16"/>
  <c r="H41672" i="16"/>
  <c r="H41673" i="16"/>
  <c r="H41674" i="16"/>
  <c r="H41675" i="16"/>
  <c r="H41676" i="16"/>
  <c r="H41677" i="16"/>
  <c r="H41678" i="16"/>
  <c r="H41679" i="16"/>
  <c r="H41680" i="16"/>
  <c r="H41681" i="16"/>
  <c r="H41682" i="16"/>
  <c r="H41683" i="16"/>
  <c r="H41684" i="16"/>
  <c r="H41685" i="16"/>
  <c r="H41686" i="16"/>
  <c r="H41687" i="16"/>
  <c r="H41688" i="16"/>
  <c r="H41689" i="16"/>
  <c r="H41690" i="16"/>
  <c r="H41691" i="16"/>
  <c r="H41692" i="16"/>
  <c r="H41693" i="16"/>
  <c r="H41694" i="16"/>
  <c r="H41695" i="16"/>
  <c r="H41696" i="16"/>
  <c r="H41697" i="16"/>
  <c r="H41698" i="16"/>
  <c r="H41699" i="16"/>
  <c r="H41700" i="16"/>
  <c r="H41701" i="16"/>
  <c r="H41702" i="16"/>
  <c r="H41703" i="16"/>
  <c r="H41704" i="16"/>
  <c r="H41705" i="16"/>
  <c r="H41706" i="16"/>
  <c r="H41707" i="16"/>
  <c r="H41708" i="16"/>
  <c r="H41709" i="16"/>
  <c r="H41710" i="16"/>
  <c r="H41711" i="16"/>
  <c r="H41712" i="16"/>
  <c r="H41713" i="16"/>
  <c r="H41714" i="16"/>
  <c r="H41715" i="16"/>
  <c r="H41716" i="16"/>
  <c r="H41717" i="16"/>
  <c r="H41718" i="16"/>
  <c r="H41719" i="16"/>
  <c r="H41720" i="16"/>
  <c r="H41721" i="16"/>
  <c r="H41722" i="16"/>
  <c r="H41723" i="16"/>
  <c r="H41724" i="16"/>
  <c r="H41725" i="16"/>
  <c r="H41726" i="16"/>
  <c r="H41727" i="16"/>
  <c r="H41728" i="16"/>
  <c r="H41729" i="16"/>
  <c r="H41730" i="16"/>
  <c r="H41731" i="16"/>
  <c r="H41732" i="16"/>
  <c r="H41733" i="16"/>
  <c r="H41734" i="16"/>
  <c r="H41735" i="16"/>
  <c r="H41736" i="16"/>
  <c r="H41737" i="16"/>
  <c r="H41738" i="16"/>
  <c r="H41739" i="16"/>
  <c r="H41740" i="16"/>
  <c r="H41741" i="16"/>
  <c r="H41742" i="16"/>
  <c r="H41743" i="16"/>
  <c r="H41744" i="16"/>
  <c r="H41745" i="16"/>
  <c r="H41746" i="16"/>
  <c r="H41747" i="16"/>
  <c r="H41748" i="16"/>
  <c r="H41749" i="16"/>
  <c r="H41750" i="16"/>
  <c r="H41751" i="16"/>
  <c r="H41752" i="16"/>
  <c r="H41753" i="16"/>
  <c r="H41754" i="16"/>
  <c r="H41755" i="16"/>
  <c r="H41756" i="16"/>
  <c r="H41757" i="16"/>
  <c r="H41758" i="16"/>
  <c r="H41759" i="16"/>
  <c r="H41760" i="16"/>
  <c r="H41761" i="16"/>
  <c r="H41762" i="16"/>
  <c r="H41763" i="16"/>
  <c r="H41764" i="16"/>
  <c r="H41765" i="16"/>
  <c r="H41766" i="16"/>
  <c r="H41767" i="16"/>
  <c r="H41768" i="16"/>
  <c r="H41769" i="16"/>
  <c r="H41770" i="16"/>
  <c r="H41771" i="16"/>
  <c r="H41772" i="16"/>
  <c r="H41773" i="16"/>
  <c r="H41774" i="16"/>
  <c r="H41775" i="16"/>
  <c r="H41776" i="16"/>
  <c r="H41777" i="16"/>
  <c r="H41778" i="16"/>
  <c r="H41779" i="16"/>
  <c r="H41780" i="16"/>
  <c r="H41781" i="16"/>
  <c r="H41782" i="16"/>
  <c r="H41783" i="16"/>
  <c r="H41784" i="16"/>
  <c r="H41785" i="16"/>
  <c r="H41786" i="16"/>
  <c r="H41787" i="16"/>
  <c r="H41788" i="16"/>
  <c r="H41789" i="16"/>
  <c r="H41790" i="16"/>
  <c r="H41791" i="16"/>
  <c r="H41792" i="16"/>
  <c r="H41793" i="16"/>
  <c r="H41794" i="16"/>
  <c r="H41795" i="16"/>
  <c r="H41796" i="16"/>
  <c r="H41797" i="16"/>
  <c r="H41798" i="16"/>
  <c r="H41799" i="16"/>
  <c r="H41800" i="16"/>
  <c r="H41801" i="16"/>
  <c r="H41802" i="16"/>
  <c r="H41803" i="16"/>
  <c r="H41804" i="16"/>
  <c r="H41805" i="16"/>
  <c r="H41806" i="16"/>
  <c r="H41807" i="16"/>
  <c r="H41808" i="16"/>
  <c r="H41809" i="16"/>
  <c r="H41810" i="16"/>
  <c r="H41811" i="16"/>
  <c r="H41812" i="16"/>
  <c r="H41813" i="16"/>
  <c r="H41814" i="16"/>
  <c r="H41815" i="16"/>
  <c r="H41816" i="16"/>
  <c r="H41817" i="16"/>
  <c r="H41818" i="16"/>
  <c r="H41819" i="16"/>
  <c r="H41820" i="16"/>
  <c r="H41821" i="16"/>
  <c r="H41822" i="16"/>
  <c r="H41823" i="16"/>
  <c r="H41824" i="16"/>
  <c r="H41825" i="16"/>
  <c r="H41826" i="16"/>
  <c r="H41827" i="16"/>
  <c r="H41828" i="16"/>
  <c r="H41829" i="16"/>
  <c r="H41830" i="16"/>
  <c r="H41831" i="16"/>
  <c r="H41832" i="16"/>
  <c r="H41833" i="16"/>
  <c r="H41834" i="16"/>
  <c r="H41835" i="16"/>
  <c r="H41836" i="16"/>
  <c r="H41837" i="16"/>
  <c r="H41838" i="16"/>
  <c r="H41839" i="16"/>
  <c r="H41840" i="16"/>
  <c r="H41841" i="16"/>
  <c r="H41842" i="16"/>
  <c r="H41843" i="16"/>
  <c r="H41844" i="16"/>
  <c r="H41845" i="16"/>
  <c r="H41846" i="16"/>
  <c r="H41847" i="16"/>
  <c r="H41848" i="16"/>
  <c r="H41849" i="16"/>
  <c r="H41850" i="16"/>
  <c r="H41851" i="16"/>
  <c r="H41852" i="16"/>
  <c r="H41853" i="16"/>
  <c r="H41854" i="16"/>
  <c r="H41855" i="16"/>
  <c r="H41856" i="16"/>
  <c r="H41857" i="16"/>
  <c r="H41858" i="16"/>
  <c r="H41859" i="16"/>
  <c r="H41860" i="16"/>
  <c r="H41861" i="16"/>
  <c r="H41862" i="16"/>
  <c r="H41863" i="16"/>
  <c r="H41864" i="16"/>
  <c r="H41865" i="16"/>
  <c r="H41866" i="16"/>
  <c r="H41867" i="16"/>
  <c r="H41868" i="16"/>
  <c r="H41869" i="16"/>
  <c r="H41870" i="16"/>
  <c r="H41871" i="16"/>
  <c r="H41872" i="16"/>
  <c r="H41873" i="16"/>
  <c r="H41874" i="16"/>
  <c r="H41875" i="16"/>
  <c r="H41876" i="16"/>
  <c r="H41877" i="16"/>
  <c r="H41878" i="16"/>
  <c r="H41879" i="16"/>
  <c r="H41880" i="16"/>
  <c r="H41881" i="16"/>
  <c r="H41882" i="16"/>
  <c r="H41883" i="16"/>
  <c r="H41884" i="16"/>
  <c r="H41885" i="16"/>
  <c r="H41886" i="16"/>
  <c r="H41887" i="16"/>
  <c r="H41888" i="16"/>
  <c r="H41889" i="16"/>
  <c r="H41890" i="16"/>
  <c r="H41891" i="16"/>
  <c r="H41892" i="16"/>
  <c r="H41893" i="16"/>
  <c r="H41894" i="16"/>
  <c r="H41895" i="16"/>
  <c r="H41896" i="16"/>
  <c r="H41897" i="16"/>
  <c r="H41898" i="16"/>
  <c r="H41899" i="16"/>
  <c r="H41900" i="16"/>
  <c r="H41901" i="16"/>
  <c r="H41902" i="16"/>
  <c r="H41903" i="16"/>
  <c r="H41904" i="16"/>
  <c r="H41905" i="16"/>
  <c r="H41906" i="16"/>
  <c r="H41907" i="16"/>
  <c r="H41908" i="16"/>
  <c r="H41909" i="16"/>
  <c r="H41910" i="16"/>
  <c r="H41911" i="16"/>
  <c r="H41912" i="16"/>
  <c r="H41913" i="16"/>
  <c r="H41914" i="16"/>
  <c r="H41915" i="16"/>
  <c r="H41916" i="16"/>
  <c r="H41917" i="16"/>
  <c r="H41918" i="16"/>
  <c r="H41919" i="16"/>
  <c r="H41920" i="16"/>
  <c r="H41921" i="16"/>
  <c r="H41922" i="16"/>
  <c r="H41923" i="16"/>
  <c r="H41924" i="16"/>
  <c r="H41925" i="16"/>
  <c r="H41926" i="16"/>
  <c r="H41927" i="16"/>
  <c r="H41928" i="16"/>
  <c r="H41929" i="16"/>
  <c r="H41930" i="16"/>
  <c r="H41931" i="16"/>
  <c r="H41932" i="16"/>
  <c r="H41933" i="16"/>
  <c r="H41934" i="16"/>
  <c r="H41935" i="16"/>
  <c r="H41936" i="16"/>
  <c r="H41937" i="16"/>
  <c r="H41938" i="16"/>
  <c r="H41939" i="16"/>
  <c r="H41940" i="16"/>
  <c r="H41941" i="16"/>
  <c r="H41942" i="16"/>
  <c r="H41943" i="16"/>
  <c r="H41944" i="16"/>
  <c r="H41945" i="16"/>
  <c r="H41946" i="16"/>
  <c r="H41947" i="16"/>
  <c r="H41948" i="16"/>
  <c r="H41949" i="16"/>
  <c r="H41950" i="16"/>
  <c r="H41951" i="16"/>
  <c r="H41952" i="16"/>
  <c r="H41953" i="16"/>
  <c r="H41954" i="16"/>
  <c r="H41955" i="16"/>
  <c r="H41956" i="16"/>
  <c r="H41957" i="16"/>
  <c r="H41958" i="16"/>
  <c r="H41959" i="16"/>
  <c r="H41960" i="16"/>
  <c r="H41961" i="16"/>
  <c r="H41962" i="16"/>
  <c r="H41963" i="16"/>
  <c r="H41964" i="16"/>
  <c r="H41965" i="16"/>
  <c r="H41966" i="16"/>
  <c r="H41967" i="16"/>
  <c r="H41968" i="16"/>
  <c r="H41969" i="16"/>
  <c r="H41970" i="16"/>
  <c r="H41971" i="16"/>
  <c r="H41972" i="16"/>
  <c r="H41973" i="16"/>
  <c r="H41974" i="16"/>
  <c r="H41975" i="16"/>
  <c r="H41976" i="16"/>
  <c r="H41977" i="16"/>
  <c r="H41978" i="16"/>
  <c r="H41979" i="16"/>
  <c r="H41980" i="16"/>
  <c r="H41981" i="16"/>
  <c r="H41982" i="16"/>
  <c r="H41983" i="16"/>
  <c r="H41984" i="16"/>
  <c r="H41985" i="16"/>
  <c r="H41986" i="16"/>
  <c r="H41987" i="16"/>
  <c r="H41988" i="16"/>
  <c r="H41989" i="16"/>
  <c r="H41990" i="16"/>
  <c r="H41991" i="16"/>
  <c r="H41992" i="16"/>
  <c r="H41993" i="16"/>
  <c r="H41994" i="16"/>
  <c r="H41995" i="16"/>
  <c r="H41996" i="16"/>
  <c r="H41997" i="16"/>
  <c r="H41998" i="16"/>
  <c r="H41999" i="16"/>
  <c r="H42000" i="16"/>
  <c r="H42001" i="16"/>
  <c r="H42002" i="16"/>
  <c r="H42003" i="16"/>
  <c r="H42004" i="16"/>
  <c r="H42005" i="16"/>
  <c r="H42006" i="16"/>
  <c r="H42007" i="16"/>
  <c r="H42008" i="16"/>
  <c r="H42009" i="16"/>
  <c r="H42010" i="16"/>
  <c r="H42011" i="16"/>
  <c r="H42012" i="16"/>
  <c r="H42013" i="16"/>
  <c r="H42014" i="16"/>
  <c r="H42015" i="16"/>
  <c r="H42016" i="16"/>
  <c r="H42017" i="16"/>
  <c r="H42018" i="16"/>
  <c r="H42019" i="16"/>
  <c r="H42020" i="16"/>
  <c r="H42021" i="16"/>
  <c r="H42022" i="16"/>
  <c r="H42023" i="16"/>
  <c r="H42024" i="16"/>
  <c r="H42025" i="16"/>
  <c r="H42026" i="16"/>
  <c r="H42027" i="16"/>
  <c r="H42028" i="16"/>
  <c r="H42029" i="16"/>
  <c r="H42030" i="16"/>
  <c r="H42031" i="16"/>
  <c r="H42032" i="16"/>
  <c r="H42033" i="16"/>
  <c r="H42034" i="16"/>
  <c r="H42035" i="16"/>
  <c r="H42036" i="16"/>
  <c r="H42037" i="16"/>
  <c r="H42038" i="16"/>
  <c r="H42039" i="16"/>
  <c r="H42040" i="16"/>
  <c r="H42041" i="16"/>
  <c r="H42042" i="16"/>
  <c r="H42043" i="16"/>
  <c r="H42044" i="16"/>
  <c r="H42045" i="16"/>
  <c r="H42046" i="16"/>
  <c r="H42047" i="16"/>
  <c r="H42048" i="16"/>
  <c r="H42049" i="16"/>
  <c r="H42050" i="16"/>
  <c r="H42051" i="16"/>
  <c r="H42052" i="16"/>
  <c r="H42053" i="16"/>
  <c r="H42054" i="16"/>
  <c r="H42055" i="16"/>
  <c r="H42056" i="16"/>
  <c r="H42057" i="16"/>
  <c r="H42058" i="16"/>
  <c r="H42059" i="16"/>
  <c r="H42060" i="16"/>
  <c r="H42061" i="16"/>
  <c r="H42062" i="16"/>
  <c r="H42063" i="16"/>
  <c r="H42064" i="16"/>
  <c r="H42065" i="16"/>
  <c r="H42066" i="16"/>
  <c r="H42067" i="16"/>
  <c r="H42068" i="16"/>
  <c r="H42069" i="16"/>
  <c r="H42070" i="16"/>
  <c r="H42071" i="16"/>
  <c r="H42072" i="16"/>
  <c r="H42073" i="16"/>
  <c r="H42074" i="16"/>
  <c r="H42075" i="16"/>
  <c r="H42076" i="16"/>
  <c r="H42077" i="16"/>
  <c r="H42078" i="16"/>
  <c r="H42079" i="16"/>
  <c r="H42080" i="16"/>
  <c r="H42081" i="16"/>
  <c r="H42082" i="16"/>
  <c r="H42083" i="16"/>
  <c r="H42084" i="16"/>
  <c r="H42085" i="16"/>
  <c r="H42086" i="16"/>
  <c r="H42087" i="16"/>
  <c r="H42088" i="16"/>
  <c r="H42089" i="16"/>
  <c r="H42090" i="16"/>
  <c r="H42091" i="16"/>
  <c r="H42092" i="16"/>
  <c r="H42093" i="16"/>
  <c r="H42094" i="16"/>
  <c r="H42095" i="16"/>
  <c r="H42096" i="16"/>
  <c r="H42097" i="16"/>
  <c r="H42098" i="16"/>
  <c r="H42099" i="16"/>
  <c r="H42100" i="16"/>
  <c r="H42101" i="16"/>
  <c r="H42102" i="16"/>
  <c r="H42103" i="16"/>
  <c r="H42104" i="16"/>
  <c r="H42105" i="16"/>
  <c r="H42106" i="16"/>
  <c r="H42107" i="16"/>
  <c r="H42108" i="16"/>
  <c r="H42109" i="16"/>
  <c r="H42110" i="16"/>
  <c r="H42111" i="16"/>
  <c r="H42112" i="16"/>
  <c r="H42113" i="16"/>
  <c r="H42114" i="16"/>
  <c r="H42115" i="16"/>
  <c r="H42116" i="16"/>
  <c r="H42117" i="16"/>
  <c r="H42118" i="16"/>
  <c r="H42119" i="16"/>
  <c r="H42120" i="16"/>
  <c r="H42121" i="16"/>
  <c r="H42122" i="16"/>
  <c r="H42123" i="16"/>
  <c r="H42124" i="16"/>
  <c r="H42125" i="16"/>
  <c r="H42126" i="16"/>
  <c r="H42127" i="16"/>
  <c r="H42128" i="16"/>
  <c r="H42129" i="16"/>
  <c r="H42130" i="16"/>
  <c r="H42131" i="16"/>
  <c r="H42132" i="16"/>
  <c r="H42133" i="16"/>
  <c r="H42134" i="16"/>
  <c r="H42135" i="16"/>
  <c r="H42136" i="16"/>
  <c r="H42137" i="16"/>
  <c r="H42138" i="16"/>
  <c r="H42139" i="16"/>
  <c r="H42140" i="16"/>
  <c r="H42141" i="16"/>
  <c r="H42142" i="16"/>
  <c r="H42143" i="16"/>
  <c r="H42144" i="16"/>
  <c r="H42145" i="16"/>
  <c r="H42146" i="16"/>
  <c r="H42147" i="16"/>
  <c r="H42148" i="16"/>
  <c r="H42149" i="16"/>
  <c r="H42150" i="16"/>
  <c r="H42151" i="16"/>
  <c r="H42152" i="16"/>
  <c r="H42153" i="16"/>
  <c r="H42154" i="16"/>
  <c r="H42155" i="16"/>
  <c r="H42156" i="16"/>
  <c r="H42157" i="16"/>
  <c r="H42158" i="16"/>
  <c r="H42159" i="16"/>
  <c r="H42160" i="16"/>
  <c r="H42161" i="16"/>
  <c r="H42162" i="16"/>
  <c r="H42163" i="16"/>
  <c r="H42164" i="16"/>
  <c r="H42165" i="16"/>
  <c r="H42166" i="16"/>
  <c r="H42167" i="16"/>
  <c r="H42168" i="16"/>
  <c r="H42169" i="16"/>
  <c r="H42170" i="16"/>
  <c r="H42171" i="16"/>
  <c r="H42172" i="16"/>
  <c r="H42173" i="16"/>
  <c r="H42174" i="16"/>
  <c r="H42175" i="16"/>
  <c r="H42176" i="16"/>
  <c r="H42177" i="16"/>
  <c r="H42178" i="16"/>
  <c r="H42179" i="16"/>
  <c r="H42180" i="16"/>
  <c r="H42181" i="16"/>
  <c r="H42182" i="16"/>
  <c r="H42183" i="16"/>
  <c r="H42184" i="16"/>
  <c r="H42185" i="16"/>
  <c r="H42186" i="16"/>
  <c r="H42187" i="16"/>
  <c r="H42188" i="16"/>
  <c r="H42189" i="16"/>
  <c r="H42190" i="16"/>
  <c r="H42191" i="16"/>
  <c r="H42192" i="16"/>
  <c r="H42193" i="16"/>
  <c r="H42194" i="16"/>
  <c r="H42195" i="16"/>
  <c r="H42196" i="16"/>
  <c r="H42197" i="16"/>
  <c r="H42198" i="16"/>
  <c r="H42199" i="16"/>
  <c r="H42200" i="16"/>
  <c r="H42201" i="16"/>
  <c r="H42202" i="16"/>
  <c r="H42203" i="16"/>
  <c r="H42204" i="16"/>
  <c r="H42205" i="16"/>
  <c r="H42206" i="16"/>
  <c r="H42207" i="16"/>
  <c r="H42208" i="16"/>
  <c r="H42209" i="16"/>
  <c r="H42210" i="16"/>
  <c r="H42211" i="16"/>
  <c r="H42212" i="16"/>
  <c r="H42213" i="16"/>
  <c r="H42214" i="16"/>
  <c r="H42215" i="16"/>
  <c r="H42216" i="16"/>
  <c r="H42217" i="16"/>
  <c r="H42218" i="16"/>
  <c r="H42219" i="16"/>
  <c r="H42220" i="16"/>
  <c r="H42221" i="16"/>
  <c r="H42222" i="16"/>
  <c r="H42223" i="16"/>
  <c r="H42224" i="16"/>
  <c r="H42225" i="16"/>
  <c r="H42226" i="16"/>
  <c r="H42227" i="16"/>
  <c r="H42228" i="16"/>
  <c r="H42229" i="16"/>
  <c r="H42230" i="16"/>
  <c r="H42231" i="16"/>
  <c r="H42232" i="16"/>
  <c r="H42233" i="16"/>
  <c r="H42234" i="16"/>
  <c r="H42235" i="16"/>
  <c r="H42236" i="16"/>
  <c r="H42237" i="16"/>
  <c r="H42238" i="16"/>
  <c r="H42239" i="16"/>
  <c r="H42240" i="16"/>
  <c r="H42241" i="16"/>
  <c r="H42242" i="16"/>
  <c r="H42243" i="16"/>
  <c r="H42244" i="16"/>
  <c r="H42245" i="16"/>
  <c r="H42246" i="16"/>
  <c r="H42247" i="16"/>
  <c r="H42248" i="16"/>
  <c r="H42249" i="16"/>
  <c r="H42250" i="16"/>
  <c r="H42251" i="16"/>
  <c r="H42252" i="16"/>
  <c r="H42253" i="16"/>
  <c r="H42254" i="16"/>
  <c r="H42255" i="16"/>
  <c r="H42256" i="16"/>
  <c r="H42257" i="16"/>
  <c r="H42258" i="16"/>
  <c r="H42259" i="16"/>
  <c r="H42260" i="16"/>
  <c r="H42261" i="16"/>
  <c r="H42262" i="16"/>
  <c r="H42263" i="16"/>
  <c r="H42264" i="16"/>
  <c r="H42265" i="16"/>
  <c r="H42266" i="16"/>
  <c r="H42267" i="16"/>
  <c r="H42268" i="16"/>
  <c r="H42269" i="16"/>
  <c r="H42270" i="16"/>
  <c r="H42271" i="16"/>
  <c r="H42272" i="16"/>
  <c r="H42273" i="16"/>
  <c r="H42274" i="16"/>
  <c r="H42275" i="16"/>
  <c r="H42276" i="16"/>
  <c r="H42277" i="16"/>
  <c r="H42278" i="16"/>
  <c r="H42279" i="16"/>
  <c r="H42280" i="16"/>
  <c r="H42281" i="16"/>
  <c r="H42282" i="16"/>
  <c r="H42283" i="16"/>
  <c r="H42284" i="16"/>
  <c r="H42285" i="16"/>
  <c r="H42286" i="16"/>
  <c r="H42287" i="16"/>
  <c r="H42288" i="16"/>
  <c r="H42289" i="16"/>
  <c r="H42290" i="16"/>
  <c r="H42291" i="16"/>
  <c r="H42292" i="16"/>
  <c r="H42293" i="16"/>
  <c r="H42294" i="16"/>
  <c r="H42295" i="16"/>
  <c r="H42296" i="16"/>
  <c r="H42297" i="16"/>
  <c r="H42298" i="16"/>
  <c r="H42299" i="16"/>
  <c r="H42300" i="16"/>
  <c r="H42301" i="16"/>
  <c r="H42302" i="16"/>
  <c r="H42303" i="16"/>
  <c r="H42304" i="16"/>
  <c r="H42305" i="16"/>
  <c r="H42306" i="16"/>
  <c r="H42307" i="16"/>
  <c r="H42308" i="16"/>
  <c r="H42309" i="16"/>
  <c r="H42310" i="16"/>
  <c r="H42311" i="16"/>
  <c r="H42312" i="16"/>
  <c r="H42313" i="16"/>
  <c r="H42314" i="16"/>
  <c r="H42315" i="16"/>
  <c r="H42316" i="16"/>
  <c r="H42317" i="16"/>
  <c r="H42318" i="16"/>
  <c r="H42319" i="16"/>
  <c r="H42320" i="16"/>
  <c r="H42321" i="16"/>
  <c r="H42322" i="16"/>
  <c r="H42323" i="16"/>
  <c r="H42324" i="16"/>
  <c r="H42325" i="16"/>
  <c r="H42326" i="16"/>
  <c r="H42327" i="16"/>
  <c r="H42328" i="16"/>
  <c r="H42329" i="16"/>
  <c r="H42330" i="16"/>
  <c r="H42331" i="16"/>
  <c r="H42332" i="16"/>
  <c r="H42333" i="16"/>
  <c r="H42334" i="16"/>
  <c r="H42335" i="16"/>
  <c r="H42336" i="16"/>
  <c r="H42337" i="16"/>
  <c r="H42338" i="16"/>
  <c r="H42339" i="16"/>
  <c r="H42340" i="16"/>
  <c r="H42341" i="16"/>
  <c r="H42342" i="16"/>
  <c r="H42343" i="16"/>
  <c r="H42344" i="16"/>
  <c r="H42345" i="16"/>
  <c r="H42346" i="16"/>
  <c r="H42347" i="16"/>
  <c r="H42348" i="16"/>
  <c r="H42349" i="16"/>
  <c r="H42350" i="16"/>
  <c r="H42351" i="16"/>
  <c r="H42352" i="16"/>
  <c r="H42353" i="16"/>
  <c r="H42354" i="16"/>
  <c r="H42355" i="16"/>
  <c r="H42356" i="16"/>
  <c r="H42357" i="16"/>
  <c r="H42358" i="16"/>
  <c r="H42359" i="16"/>
  <c r="H42360" i="16"/>
  <c r="H42361" i="16"/>
  <c r="H42362" i="16"/>
  <c r="H42363" i="16"/>
  <c r="H42364" i="16"/>
  <c r="H42365" i="16"/>
  <c r="H42366" i="16"/>
  <c r="H42367" i="16"/>
  <c r="H42368" i="16"/>
  <c r="H42369" i="16"/>
  <c r="H42370" i="16"/>
  <c r="H42371" i="16"/>
  <c r="H42372" i="16"/>
  <c r="H42373" i="16"/>
  <c r="H42374" i="16"/>
  <c r="H42375" i="16"/>
  <c r="H42376" i="16"/>
  <c r="H42377" i="16"/>
  <c r="H42378" i="16"/>
  <c r="H42379" i="16"/>
  <c r="H42380" i="16"/>
  <c r="H42381" i="16"/>
  <c r="H42382" i="16"/>
  <c r="H42383" i="16"/>
  <c r="H42384" i="16"/>
  <c r="H42385" i="16"/>
  <c r="H42386" i="16"/>
  <c r="H42387" i="16"/>
  <c r="H42388" i="16"/>
  <c r="H42389" i="16"/>
  <c r="H42390" i="16"/>
  <c r="H42391" i="16"/>
  <c r="H42392" i="16"/>
  <c r="H42393" i="16"/>
  <c r="H42394" i="16"/>
  <c r="H42395" i="16"/>
  <c r="H42396" i="16"/>
  <c r="H42397" i="16"/>
  <c r="H42398" i="16"/>
  <c r="H42399" i="16"/>
  <c r="H42400" i="16"/>
  <c r="H42401" i="16"/>
  <c r="H42402" i="16"/>
  <c r="H42403" i="16"/>
  <c r="H42404" i="16"/>
  <c r="H42405" i="16"/>
  <c r="H42406" i="16"/>
  <c r="H42407" i="16"/>
  <c r="H42408" i="16"/>
  <c r="H42409" i="16"/>
  <c r="H42410" i="16"/>
  <c r="H42411" i="16"/>
  <c r="H42412" i="16"/>
  <c r="H42413" i="16"/>
  <c r="H42414" i="16"/>
  <c r="H42415" i="16"/>
  <c r="H42416" i="16"/>
  <c r="H42417" i="16"/>
  <c r="H42418" i="16"/>
  <c r="H42419" i="16"/>
  <c r="H42420" i="16"/>
  <c r="H42421" i="16"/>
  <c r="H42422" i="16"/>
  <c r="H42423" i="16"/>
  <c r="H42424" i="16"/>
  <c r="H42425" i="16"/>
  <c r="H42426" i="16"/>
  <c r="H42427" i="16"/>
  <c r="H42428" i="16"/>
  <c r="H42429" i="16"/>
  <c r="H42430" i="16"/>
  <c r="H42431" i="16"/>
  <c r="H42432" i="16"/>
  <c r="H42433" i="16"/>
  <c r="H42434" i="16"/>
  <c r="H42435" i="16"/>
  <c r="H42436" i="16"/>
  <c r="H42437" i="16"/>
  <c r="H42438" i="16"/>
  <c r="H42439" i="16"/>
  <c r="H42440" i="16"/>
  <c r="H42441" i="16"/>
  <c r="H42442" i="16"/>
  <c r="H42443" i="16"/>
  <c r="H42444" i="16"/>
  <c r="H42445" i="16"/>
  <c r="H42446" i="16"/>
  <c r="H42447" i="16"/>
  <c r="H42448" i="16"/>
  <c r="H42449" i="16"/>
  <c r="H42450" i="16"/>
  <c r="H42451" i="16"/>
  <c r="H42452" i="16"/>
  <c r="H42453" i="16"/>
  <c r="H42454" i="16"/>
  <c r="H42455" i="16"/>
  <c r="H42456" i="16"/>
  <c r="H42457" i="16"/>
  <c r="H42458" i="16"/>
  <c r="H42459" i="16"/>
  <c r="H42460" i="16"/>
  <c r="H42461" i="16"/>
  <c r="H42462" i="16"/>
  <c r="H42463" i="16"/>
  <c r="H42464" i="16"/>
  <c r="H42465" i="16"/>
  <c r="H42466" i="16"/>
  <c r="H42467" i="16"/>
  <c r="H42468" i="16"/>
  <c r="H42469" i="16"/>
  <c r="H42470" i="16"/>
  <c r="H42471" i="16"/>
  <c r="H42472" i="16"/>
  <c r="H42473" i="16"/>
  <c r="H42474" i="16"/>
  <c r="H42475" i="16"/>
  <c r="H42476" i="16"/>
  <c r="H42477" i="16"/>
  <c r="H42478" i="16"/>
  <c r="H42479" i="16"/>
  <c r="H42480" i="16"/>
  <c r="H42481" i="16"/>
  <c r="H42482" i="16"/>
  <c r="H42483" i="16"/>
  <c r="H42484" i="16"/>
  <c r="H42485" i="16"/>
  <c r="H42486" i="16"/>
  <c r="H42487" i="16"/>
  <c r="H42488" i="16"/>
  <c r="H42489" i="16"/>
  <c r="H42490" i="16"/>
  <c r="H42491" i="16"/>
  <c r="H42492" i="16"/>
  <c r="H42493" i="16"/>
  <c r="H42494" i="16"/>
  <c r="H42495" i="16"/>
  <c r="H42496" i="16"/>
  <c r="H42497" i="16"/>
  <c r="H42498" i="16"/>
  <c r="H42499" i="16"/>
  <c r="H42500" i="16"/>
  <c r="H42501" i="16"/>
  <c r="H42502" i="16"/>
  <c r="H42503" i="16"/>
  <c r="H42504" i="16"/>
  <c r="H42505" i="16"/>
  <c r="H42506" i="16"/>
  <c r="H42507" i="16"/>
  <c r="H42508" i="16"/>
  <c r="H42509" i="16"/>
  <c r="H42510" i="16"/>
  <c r="H42511" i="16"/>
  <c r="H42512" i="16"/>
  <c r="H42513" i="16"/>
  <c r="H42514" i="16"/>
  <c r="H42515" i="16"/>
  <c r="H42516" i="16"/>
  <c r="H42517" i="16"/>
  <c r="H42518" i="16"/>
  <c r="H42519" i="16"/>
  <c r="H42520" i="16"/>
  <c r="H42521" i="16"/>
  <c r="H42522" i="16"/>
  <c r="H42523" i="16"/>
  <c r="H42524" i="16"/>
  <c r="H42525" i="16"/>
  <c r="H42526" i="16"/>
  <c r="H42527" i="16"/>
  <c r="H42528" i="16"/>
  <c r="H42529" i="16"/>
  <c r="H42530" i="16"/>
  <c r="H42531" i="16"/>
  <c r="H42532" i="16"/>
  <c r="H42533" i="16"/>
  <c r="H42534" i="16"/>
  <c r="H42535" i="16"/>
  <c r="H42536" i="16"/>
  <c r="H42537" i="16"/>
  <c r="H42538" i="16"/>
  <c r="H42539" i="16"/>
  <c r="H42540" i="16"/>
  <c r="H42541" i="16"/>
  <c r="H42542" i="16"/>
  <c r="H42543" i="16"/>
  <c r="H42544" i="16"/>
  <c r="H42545" i="16"/>
  <c r="H42546" i="16"/>
  <c r="H42547" i="16"/>
  <c r="H42548" i="16"/>
  <c r="H42549" i="16"/>
  <c r="H42550" i="16"/>
  <c r="H42551" i="16"/>
  <c r="H42552" i="16"/>
  <c r="H42553" i="16"/>
  <c r="H42554" i="16"/>
  <c r="H42555" i="16"/>
  <c r="H42556" i="16"/>
  <c r="H42557" i="16"/>
  <c r="H42558" i="16"/>
  <c r="H42559" i="16"/>
  <c r="H42560" i="16"/>
  <c r="H42561" i="16"/>
  <c r="H42562" i="16"/>
  <c r="H42563" i="16"/>
  <c r="H42564" i="16"/>
  <c r="H42565" i="16"/>
  <c r="H42566" i="16"/>
  <c r="H42567" i="16"/>
  <c r="H42568" i="16"/>
  <c r="H42569" i="16"/>
  <c r="H42570" i="16"/>
  <c r="H42571" i="16"/>
  <c r="H42572" i="16"/>
  <c r="H42573" i="16"/>
  <c r="H42574" i="16"/>
  <c r="H42575" i="16"/>
  <c r="H42576" i="16"/>
  <c r="H42577" i="16"/>
  <c r="H42578" i="16"/>
  <c r="H42579" i="16"/>
  <c r="H42580" i="16"/>
  <c r="H42581" i="16"/>
  <c r="H42582" i="16"/>
  <c r="H42583" i="16"/>
  <c r="H42584" i="16"/>
  <c r="H42585" i="16"/>
  <c r="H42586" i="16"/>
  <c r="H42587" i="16"/>
  <c r="H42588" i="16"/>
  <c r="H42589" i="16"/>
  <c r="H42590" i="16"/>
  <c r="H42591" i="16"/>
  <c r="H42592" i="16"/>
  <c r="H42593" i="16"/>
  <c r="H42594" i="16"/>
  <c r="H42595" i="16"/>
  <c r="H42596" i="16"/>
  <c r="H42597" i="16"/>
  <c r="H42598" i="16"/>
  <c r="H42599" i="16"/>
  <c r="H42600" i="16"/>
  <c r="H42601" i="16"/>
  <c r="H42602" i="16"/>
  <c r="H42603" i="16"/>
  <c r="H42604" i="16"/>
  <c r="H42605" i="16"/>
  <c r="H42606" i="16"/>
  <c r="H42607" i="16"/>
  <c r="H42608" i="16"/>
  <c r="H42609" i="16"/>
  <c r="H42610" i="16"/>
  <c r="H42611" i="16"/>
  <c r="H42612" i="16"/>
  <c r="H42613" i="16"/>
  <c r="H42614" i="16"/>
  <c r="H42615" i="16"/>
  <c r="H42616" i="16"/>
  <c r="H42617" i="16"/>
  <c r="H42618" i="16"/>
  <c r="H42619" i="16"/>
  <c r="H42620" i="16"/>
  <c r="H42621" i="16"/>
  <c r="H42622" i="16"/>
  <c r="H42623" i="16"/>
  <c r="H42624" i="16"/>
  <c r="H42625" i="16"/>
  <c r="H42626" i="16"/>
  <c r="H42627" i="16"/>
  <c r="H42628" i="16"/>
  <c r="H42629" i="16"/>
  <c r="H42630" i="16"/>
  <c r="H42631" i="16"/>
  <c r="H42632" i="16"/>
  <c r="H42633" i="16"/>
  <c r="H42634" i="16"/>
  <c r="H42635" i="16"/>
  <c r="H42636" i="16"/>
  <c r="H42637" i="16"/>
  <c r="H42638" i="16"/>
  <c r="H42639" i="16"/>
  <c r="H42640" i="16"/>
  <c r="H42641" i="16"/>
  <c r="H42642" i="16"/>
  <c r="H42643" i="16"/>
  <c r="H42644" i="16"/>
  <c r="H42645" i="16"/>
  <c r="H42646" i="16"/>
  <c r="H42647" i="16"/>
  <c r="H42648" i="16"/>
  <c r="H42649" i="16"/>
  <c r="H42650" i="16"/>
  <c r="H42651" i="16"/>
  <c r="H42652" i="16"/>
  <c r="H42653" i="16"/>
  <c r="H42654" i="16"/>
  <c r="H42655" i="16"/>
  <c r="H42656" i="16"/>
  <c r="H42657" i="16"/>
  <c r="H42658" i="16"/>
  <c r="H42659" i="16"/>
  <c r="H42660" i="16"/>
  <c r="H42661" i="16"/>
  <c r="H42662" i="16"/>
  <c r="H42663" i="16"/>
  <c r="H42664" i="16"/>
  <c r="H42665" i="16"/>
  <c r="H42666" i="16"/>
  <c r="H42667" i="16"/>
  <c r="H42668" i="16"/>
  <c r="H42669" i="16"/>
  <c r="H42670" i="16"/>
  <c r="H42671" i="16"/>
  <c r="H42672" i="16"/>
  <c r="H42673" i="16"/>
  <c r="H42674" i="16"/>
  <c r="H42675" i="16"/>
  <c r="H42676" i="16"/>
  <c r="H42677" i="16"/>
  <c r="H42678" i="16"/>
  <c r="H42679" i="16"/>
  <c r="H42680" i="16"/>
  <c r="H42681" i="16"/>
  <c r="H42682" i="16"/>
  <c r="H42683" i="16"/>
  <c r="H42684" i="16"/>
  <c r="H42685" i="16"/>
  <c r="H42686" i="16"/>
  <c r="H42687" i="16"/>
  <c r="H42688" i="16"/>
  <c r="H42689" i="16"/>
  <c r="H42690" i="16"/>
  <c r="H42691" i="16"/>
  <c r="H42692" i="16"/>
  <c r="H42693" i="16"/>
  <c r="H42694" i="16"/>
  <c r="H42695" i="16"/>
  <c r="H42696" i="16"/>
  <c r="H42697" i="16"/>
  <c r="H42698" i="16"/>
  <c r="H42699" i="16"/>
  <c r="H42700" i="16"/>
  <c r="H42701" i="16"/>
  <c r="H42702" i="16"/>
  <c r="H42703" i="16"/>
  <c r="H42704" i="16"/>
  <c r="H42705" i="16"/>
  <c r="H42706" i="16"/>
  <c r="H42707" i="16"/>
  <c r="H42708" i="16"/>
  <c r="H42709" i="16"/>
  <c r="H42710" i="16"/>
  <c r="H42711" i="16"/>
  <c r="H42712" i="16"/>
  <c r="H42713" i="16"/>
  <c r="H42714" i="16"/>
  <c r="H42715" i="16"/>
  <c r="H42716" i="16"/>
  <c r="H42717" i="16"/>
  <c r="H42718" i="16"/>
  <c r="H42719" i="16"/>
  <c r="H42720" i="16"/>
  <c r="H42721" i="16"/>
  <c r="H42722" i="16"/>
  <c r="H42723" i="16"/>
  <c r="H42724" i="16"/>
  <c r="H42725" i="16"/>
  <c r="H42726" i="16"/>
  <c r="H42727" i="16"/>
  <c r="H42728" i="16"/>
  <c r="H42729" i="16"/>
  <c r="H42730" i="16"/>
  <c r="H42731" i="16"/>
  <c r="H42732" i="16"/>
  <c r="H42733" i="16"/>
  <c r="H42734" i="16"/>
  <c r="H42735" i="16"/>
  <c r="H42736" i="16"/>
  <c r="H42737" i="16"/>
  <c r="H42738" i="16"/>
  <c r="H42739" i="16"/>
  <c r="H42740" i="16"/>
  <c r="H42741" i="16"/>
  <c r="H42742" i="16"/>
  <c r="H42743" i="16"/>
  <c r="H42744" i="16"/>
  <c r="H42745" i="16"/>
  <c r="H42746" i="16"/>
  <c r="H42747" i="16"/>
  <c r="H42748" i="16"/>
  <c r="H42749" i="16"/>
  <c r="H42750" i="16"/>
  <c r="H42751" i="16"/>
  <c r="H42752" i="16"/>
  <c r="H42753" i="16"/>
  <c r="H42754" i="16"/>
  <c r="H42755" i="16"/>
  <c r="H42756" i="16"/>
  <c r="H42757" i="16"/>
  <c r="H42758" i="16"/>
  <c r="H42759" i="16"/>
  <c r="H42760" i="16"/>
  <c r="H42761" i="16"/>
  <c r="H42762" i="16"/>
  <c r="H42763" i="16"/>
  <c r="H42764" i="16"/>
  <c r="H42765" i="16"/>
  <c r="H42766" i="16"/>
  <c r="H42767" i="16"/>
  <c r="H42768" i="16"/>
  <c r="H42769" i="16"/>
  <c r="H42770" i="16"/>
  <c r="H42771" i="16"/>
  <c r="H42772" i="16"/>
  <c r="H42773" i="16"/>
  <c r="H42774" i="16"/>
  <c r="H42775" i="16"/>
  <c r="H42776" i="16"/>
  <c r="H42777" i="16"/>
  <c r="H42778" i="16"/>
  <c r="H42779" i="16"/>
  <c r="H42780" i="16"/>
  <c r="H42781" i="16"/>
  <c r="H42782" i="16"/>
  <c r="H42783" i="16"/>
  <c r="H42784" i="16"/>
  <c r="H42785" i="16"/>
  <c r="H42786" i="16"/>
  <c r="H42787" i="16"/>
  <c r="H42788" i="16"/>
  <c r="H42789" i="16"/>
  <c r="H42790" i="16"/>
  <c r="H42791" i="16"/>
  <c r="H42792" i="16"/>
  <c r="H42793" i="16"/>
  <c r="H42794" i="16"/>
  <c r="H42795" i="16"/>
  <c r="H42796" i="16"/>
  <c r="H42797" i="16"/>
  <c r="H42798" i="16"/>
  <c r="H42799" i="16"/>
  <c r="H42800" i="16"/>
  <c r="H42801" i="16"/>
  <c r="H42802" i="16"/>
  <c r="H42803" i="16"/>
  <c r="H42804" i="16"/>
  <c r="H42805" i="16"/>
  <c r="H42806" i="16"/>
  <c r="H42807" i="16"/>
  <c r="H42808" i="16"/>
  <c r="H42809" i="16"/>
  <c r="H42810" i="16"/>
  <c r="H42811" i="16"/>
  <c r="H42812" i="16"/>
  <c r="H42813" i="16"/>
  <c r="H42814" i="16"/>
  <c r="H42815" i="16"/>
  <c r="H42816" i="16"/>
  <c r="H42817" i="16"/>
  <c r="H42818" i="16"/>
  <c r="H42819" i="16"/>
  <c r="H42820" i="16"/>
  <c r="H42821" i="16"/>
  <c r="H42822" i="16"/>
  <c r="H42823" i="16"/>
  <c r="H42824" i="16"/>
  <c r="H42825" i="16"/>
  <c r="H42826" i="16"/>
  <c r="H42827" i="16"/>
  <c r="H42828" i="16"/>
  <c r="H42829" i="16"/>
  <c r="H42830" i="16"/>
  <c r="H42831" i="16"/>
  <c r="H42832" i="16"/>
  <c r="H42833" i="16"/>
  <c r="H42834" i="16"/>
  <c r="H42835" i="16"/>
  <c r="H42836" i="16"/>
  <c r="H42837" i="16"/>
  <c r="H42838" i="16"/>
  <c r="H42839" i="16"/>
  <c r="H42840" i="16"/>
  <c r="H42841" i="16"/>
  <c r="H42842" i="16"/>
  <c r="H42843" i="16"/>
  <c r="H42844" i="16"/>
  <c r="H42845" i="16"/>
  <c r="H42846" i="16"/>
  <c r="H42847" i="16"/>
  <c r="H42848" i="16"/>
  <c r="H42849" i="16"/>
  <c r="H42850" i="16"/>
  <c r="H42851" i="16"/>
  <c r="H42852" i="16"/>
  <c r="H42853" i="16"/>
  <c r="H42854" i="16"/>
  <c r="H42855" i="16"/>
  <c r="H42856" i="16"/>
  <c r="H42857" i="16"/>
  <c r="H42858" i="16"/>
  <c r="H42859" i="16"/>
  <c r="H42860" i="16"/>
  <c r="H42861" i="16"/>
  <c r="H42862" i="16"/>
  <c r="H42863" i="16"/>
  <c r="H42864" i="16"/>
  <c r="H42865" i="16"/>
  <c r="H42866" i="16"/>
  <c r="H42867" i="16"/>
  <c r="H42868" i="16"/>
  <c r="H42869" i="16"/>
  <c r="H42870" i="16"/>
  <c r="H42871" i="16"/>
  <c r="H42872" i="16"/>
  <c r="H42873" i="16"/>
  <c r="H42874" i="16"/>
  <c r="H42875" i="16"/>
  <c r="H42876" i="16"/>
  <c r="H42877" i="16"/>
  <c r="H42878" i="16"/>
  <c r="H42879" i="16"/>
  <c r="H42880" i="16"/>
  <c r="H42881" i="16"/>
  <c r="H42882" i="16"/>
  <c r="H42883" i="16"/>
  <c r="H42884" i="16"/>
  <c r="H42885" i="16"/>
  <c r="H42886" i="16"/>
  <c r="H42887" i="16"/>
  <c r="H42888" i="16"/>
  <c r="H42889" i="16"/>
  <c r="H42890" i="16"/>
  <c r="H42891" i="16"/>
  <c r="H42892" i="16"/>
  <c r="H42893" i="16"/>
  <c r="H42894" i="16"/>
  <c r="H42895" i="16"/>
  <c r="H42896" i="16"/>
  <c r="H42897" i="16"/>
  <c r="H42898" i="16"/>
  <c r="H42899" i="16"/>
  <c r="H42900" i="16"/>
  <c r="H42901" i="16"/>
  <c r="H42902" i="16"/>
  <c r="H42903" i="16"/>
  <c r="H42904" i="16"/>
  <c r="H42905" i="16"/>
  <c r="H42906" i="16"/>
  <c r="H42907" i="16"/>
  <c r="H42908" i="16"/>
  <c r="H42909" i="16"/>
  <c r="H42910" i="16"/>
  <c r="H42911" i="16"/>
  <c r="H42912" i="16"/>
  <c r="H42913" i="16"/>
  <c r="H42914" i="16"/>
  <c r="H42915" i="16"/>
  <c r="H42916" i="16"/>
  <c r="H42917" i="16"/>
  <c r="H42918" i="16"/>
  <c r="H42919" i="16"/>
  <c r="H42920" i="16"/>
  <c r="H42921" i="16"/>
  <c r="H42922" i="16"/>
  <c r="H42923" i="16"/>
  <c r="H42924" i="16"/>
  <c r="H42925" i="16"/>
  <c r="H42926" i="16"/>
  <c r="H42927" i="16"/>
  <c r="H42928" i="16"/>
  <c r="H42929" i="16"/>
  <c r="H42930" i="16"/>
  <c r="H42931" i="16"/>
  <c r="H42932" i="16"/>
  <c r="H42933" i="16"/>
  <c r="H42934" i="16"/>
  <c r="H42935" i="16"/>
  <c r="H42936" i="16"/>
  <c r="H42937" i="16"/>
  <c r="H42938" i="16"/>
  <c r="H42939" i="16"/>
  <c r="H42940" i="16"/>
  <c r="H42941" i="16"/>
  <c r="H42942" i="16"/>
  <c r="H42943" i="16"/>
  <c r="H42944" i="16"/>
  <c r="H42945" i="16"/>
  <c r="H42946" i="16"/>
  <c r="H42947" i="16"/>
  <c r="H42948" i="16"/>
  <c r="H42949" i="16"/>
  <c r="H42950" i="16"/>
  <c r="H42951" i="16"/>
  <c r="H42952" i="16"/>
  <c r="H42953" i="16"/>
  <c r="H42954" i="16"/>
  <c r="H42955" i="16"/>
  <c r="H42956" i="16"/>
  <c r="H42957" i="16"/>
  <c r="H42958" i="16"/>
  <c r="H42959" i="16"/>
  <c r="H42960" i="16"/>
  <c r="H42961" i="16"/>
  <c r="H42962" i="16"/>
  <c r="H42963" i="16"/>
  <c r="H42964" i="16"/>
  <c r="H42965" i="16"/>
  <c r="H42966" i="16"/>
  <c r="H42967" i="16"/>
  <c r="H42968" i="16"/>
  <c r="H42969" i="16"/>
  <c r="H42970" i="16"/>
  <c r="H42971" i="16"/>
  <c r="H42972" i="16"/>
  <c r="H42973" i="16"/>
  <c r="H42974" i="16"/>
  <c r="H42975" i="16"/>
  <c r="H42976" i="16"/>
  <c r="H42977" i="16"/>
  <c r="H42978" i="16"/>
  <c r="H42979" i="16"/>
  <c r="H42980" i="16"/>
  <c r="H42981" i="16"/>
  <c r="H42982" i="16"/>
  <c r="H42983" i="16"/>
  <c r="H42984" i="16"/>
  <c r="H42985" i="16"/>
  <c r="H42986" i="16"/>
  <c r="H42987" i="16"/>
  <c r="H42988" i="16"/>
  <c r="H42989" i="16"/>
  <c r="H42990" i="16"/>
  <c r="H42991" i="16"/>
  <c r="H42992" i="16"/>
  <c r="H42993" i="16"/>
  <c r="H42994" i="16"/>
  <c r="H42995" i="16"/>
  <c r="H42996" i="16"/>
  <c r="H42997" i="16"/>
  <c r="H42998" i="16"/>
  <c r="H42999" i="16"/>
  <c r="H43000" i="16"/>
  <c r="H43001" i="16"/>
  <c r="H43002" i="16"/>
  <c r="H43003" i="16"/>
  <c r="H43004" i="16"/>
  <c r="H43005" i="16"/>
  <c r="H43006" i="16"/>
  <c r="H43007" i="16"/>
  <c r="H43008" i="16"/>
  <c r="H43009" i="16"/>
  <c r="H43010" i="16"/>
  <c r="H43011" i="16"/>
  <c r="H43012" i="16"/>
  <c r="H43013" i="16"/>
  <c r="H43014" i="16"/>
  <c r="H43015" i="16"/>
  <c r="H43016" i="16"/>
  <c r="H43017" i="16"/>
  <c r="H43018" i="16"/>
  <c r="H43019" i="16"/>
  <c r="H43020" i="16"/>
  <c r="H43021" i="16"/>
  <c r="H43022" i="16"/>
  <c r="H43023" i="16"/>
  <c r="H43024" i="16"/>
  <c r="H43025" i="16"/>
  <c r="H43026" i="16"/>
  <c r="H43027" i="16"/>
  <c r="H43028" i="16"/>
  <c r="H43029" i="16"/>
  <c r="H43030" i="16"/>
  <c r="H43031" i="16"/>
  <c r="H43032" i="16"/>
  <c r="H43033" i="16"/>
  <c r="H43034" i="16"/>
  <c r="H43035" i="16"/>
  <c r="H43036" i="16"/>
  <c r="H43037" i="16"/>
  <c r="H43038" i="16"/>
  <c r="H43039" i="16"/>
  <c r="H43040" i="16"/>
  <c r="H43041" i="16"/>
  <c r="H43042" i="16"/>
  <c r="H43043" i="16"/>
  <c r="H43044" i="16"/>
  <c r="H43045" i="16"/>
  <c r="H43046" i="16"/>
  <c r="H43047" i="16"/>
  <c r="H43048" i="16"/>
  <c r="H43049" i="16"/>
  <c r="H43050" i="16"/>
  <c r="H43051" i="16"/>
  <c r="H43052" i="16"/>
  <c r="H43053" i="16"/>
  <c r="H43054" i="16"/>
  <c r="H43055" i="16"/>
  <c r="H43056" i="16"/>
  <c r="H43057" i="16"/>
  <c r="H43058" i="16"/>
  <c r="H43059" i="16"/>
  <c r="H43060" i="16"/>
  <c r="H43061" i="16"/>
  <c r="H43062" i="16"/>
  <c r="H43063" i="16"/>
  <c r="H43064" i="16"/>
  <c r="H43065" i="16"/>
  <c r="H43066" i="16"/>
  <c r="H43067" i="16"/>
  <c r="H43068" i="16"/>
  <c r="H43069" i="16"/>
  <c r="H43070" i="16"/>
  <c r="H43071" i="16"/>
  <c r="H43072" i="16"/>
  <c r="H43073" i="16"/>
  <c r="H43074" i="16"/>
  <c r="H43075" i="16"/>
  <c r="H43076" i="16"/>
  <c r="H43077" i="16"/>
  <c r="H43078" i="16"/>
  <c r="H43079" i="16"/>
  <c r="H43080" i="16"/>
  <c r="H43081" i="16"/>
  <c r="H43082" i="16"/>
  <c r="H43083" i="16"/>
  <c r="H43084" i="16"/>
  <c r="H43085" i="16"/>
  <c r="H43086" i="16"/>
  <c r="H43087" i="16"/>
  <c r="H43088" i="16"/>
  <c r="H43089" i="16"/>
  <c r="H43090" i="16"/>
  <c r="H43091" i="16"/>
  <c r="H43092" i="16"/>
  <c r="H43093" i="16"/>
  <c r="H43094" i="16"/>
  <c r="H43095" i="16"/>
  <c r="H43096" i="16"/>
  <c r="H43097" i="16"/>
  <c r="H43098" i="16"/>
  <c r="H43099" i="16"/>
  <c r="H43100" i="16"/>
  <c r="H43101" i="16"/>
  <c r="H43102" i="16"/>
  <c r="H43103" i="16"/>
  <c r="H43104" i="16"/>
  <c r="H43105" i="16"/>
  <c r="H43106" i="16"/>
  <c r="H43107" i="16"/>
  <c r="H43108" i="16"/>
  <c r="H43109" i="16"/>
  <c r="H43110" i="16"/>
  <c r="H43111" i="16"/>
  <c r="H43112" i="16"/>
  <c r="H43113" i="16"/>
  <c r="H43114" i="16"/>
  <c r="H43115" i="16"/>
  <c r="H43116" i="16"/>
  <c r="H43117" i="16"/>
  <c r="H43118" i="16"/>
  <c r="H43119" i="16"/>
  <c r="H43120" i="16"/>
  <c r="H43121" i="16"/>
  <c r="H43122" i="16"/>
  <c r="H43123" i="16"/>
  <c r="H43124" i="16"/>
  <c r="H43125" i="16"/>
  <c r="H43126" i="16"/>
  <c r="H43127" i="16"/>
  <c r="H43128" i="16"/>
  <c r="H43129" i="16"/>
  <c r="H43130" i="16"/>
  <c r="H43131" i="16"/>
  <c r="H43132" i="16"/>
  <c r="H43133" i="16"/>
  <c r="H43134" i="16"/>
  <c r="H43135" i="16"/>
  <c r="H43136" i="16"/>
  <c r="H43137" i="16"/>
  <c r="H43138" i="16"/>
  <c r="H43139" i="16"/>
  <c r="H43140" i="16"/>
  <c r="H43141" i="16"/>
  <c r="H43142" i="16"/>
  <c r="H43143" i="16"/>
  <c r="H43144" i="16"/>
  <c r="H43145" i="16"/>
  <c r="H43146" i="16"/>
  <c r="H43147" i="16"/>
  <c r="H43148" i="16"/>
  <c r="H43149" i="16"/>
  <c r="H43150" i="16"/>
  <c r="H43151" i="16"/>
  <c r="H43152" i="16"/>
  <c r="H43153" i="16"/>
  <c r="H43154" i="16"/>
  <c r="H43155" i="16"/>
  <c r="H43156" i="16"/>
  <c r="H43157" i="16"/>
  <c r="H43158" i="16"/>
  <c r="H43159" i="16"/>
  <c r="H43160" i="16"/>
  <c r="H43161" i="16"/>
  <c r="H43162" i="16"/>
  <c r="H43163" i="16"/>
  <c r="H43164" i="16"/>
  <c r="H43165" i="16"/>
  <c r="H43166" i="16"/>
  <c r="H43167" i="16"/>
  <c r="H43168" i="16"/>
  <c r="H43169" i="16"/>
  <c r="H43170" i="16"/>
  <c r="H43171" i="16"/>
  <c r="H43172" i="16"/>
  <c r="H43173" i="16"/>
  <c r="H43174" i="16"/>
  <c r="H43175" i="16"/>
  <c r="H43176" i="16"/>
  <c r="H43177" i="16"/>
  <c r="H43178" i="16"/>
  <c r="H43179" i="16"/>
  <c r="H43180" i="16"/>
  <c r="H43181" i="16"/>
  <c r="H43182" i="16"/>
  <c r="H43183" i="16"/>
  <c r="H43184" i="16"/>
  <c r="H43185" i="16"/>
  <c r="H43186" i="16"/>
  <c r="H43187" i="16"/>
  <c r="H43188" i="16"/>
  <c r="H43189" i="16"/>
  <c r="H43190" i="16"/>
  <c r="H43191" i="16"/>
  <c r="H43192" i="16"/>
  <c r="H43193" i="16"/>
  <c r="H43194" i="16"/>
  <c r="H43195" i="16"/>
  <c r="H43196" i="16"/>
  <c r="H43197" i="16"/>
  <c r="H43198" i="16"/>
  <c r="H43199" i="16"/>
  <c r="H43200" i="16"/>
  <c r="H43201" i="16"/>
  <c r="H43202" i="16"/>
  <c r="H43203" i="16"/>
  <c r="H43204" i="16"/>
  <c r="H43205" i="16"/>
  <c r="H43206" i="16"/>
  <c r="H43207" i="16"/>
  <c r="H43208" i="16"/>
  <c r="H43209" i="16"/>
  <c r="H43210" i="16"/>
  <c r="H43211" i="16"/>
  <c r="H43212" i="16"/>
  <c r="H43213" i="16"/>
  <c r="H43214" i="16"/>
  <c r="H43215" i="16"/>
  <c r="H43216" i="16"/>
  <c r="H43217" i="16"/>
  <c r="H43218" i="16"/>
  <c r="H43219" i="16"/>
  <c r="H43220" i="16"/>
  <c r="H43221" i="16"/>
  <c r="H43222" i="16"/>
  <c r="H43223" i="16"/>
  <c r="H43224" i="16"/>
  <c r="H43225" i="16"/>
  <c r="H43226" i="16"/>
  <c r="H43227" i="16"/>
  <c r="H43228" i="16"/>
  <c r="H43229" i="16"/>
  <c r="H43230" i="16"/>
  <c r="H43231" i="16"/>
  <c r="H43232" i="16"/>
  <c r="H43233" i="16"/>
  <c r="H43234" i="16"/>
  <c r="H43235" i="16"/>
  <c r="H43236" i="16"/>
  <c r="H43237" i="16"/>
  <c r="H43238" i="16"/>
  <c r="H43239" i="16"/>
  <c r="H43240" i="16"/>
  <c r="H43241" i="16"/>
  <c r="H43242" i="16"/>
  <c r="H43243" i="16"/>
  <c r="H43244" i="16"/>
  <c r="H43245" i="16"/>
  <c r="H43246" i="16"/>
  <c r="H43247" i="16"/>
  <c r="H43248" i="16"/>
  <c r="H43249" i="16"/>
  <c r="H43250" i="16"/>
  <c r="H43251" i="16"/>
  <c r="H43252" i="16"/>
  <c r="H43253" i="16"/>
  <c r="H43254" i="16"/>
  <c r="H43255" i="16"/>
  <c r="H43256" i="16"/>
  <c r="H43257" i="16"/>
  <c r="H43258" i="16"/>
  <c r="H43259" i="16"/>
  <c r="H43260" i="16"/>
  <c r="H43261" i="16"/>
  <c r="H43262" i="16"/>
  <c r="H43263" i="16"/>
  <c r="H43264" i="16"/>
  <c r="H43265" i="16"/>
  <c r="H43266" i="16"/>
  <c r="H43267" i="16"/>
  <c r="H43268" i="16"/>
  <c r="H43269" i="16"/>
  <c r="H43270" i="16"/>
  <c r="H43271" i="16"/>
  <c r="H43272" i="16"/>
  <c r="H43273" i="16"/>
  <c r="H43274" i="16"/>
  <c r="H43275" i="16"/>
  <c r="H43276" i="16"/>
  <c r="H43277" i="16"/>
  <c r="H43278" i="16"/>
  <c r="H43279" i="16"/>
  <c r="H43280" i="16"/>
  <c r="H43281" i="16"/>
  <c r="H43282" i="16"/>
  <c r="H43283" i="16"/>
  <c r="H43284" i="16"/>
  <c r="H43285" i="16"/>
  <c r="H43286" i="16"/>
  <c r="H43287" i="16"/>
  <c r="H43288" i="16"/>
  <c r="H43289" i="16"/>
  <c r="H43290" i="16"/>
  <c r="H43291" i="16"/>
  <c r="H43292" i="16"/>
  <c r="H43293" i="16"/>
  <c r="H43294" i="16"/>
  <c r="H43295" i="16"/>
  <c r="H43296" i="16"/>
  <c r="H43297" i="16"/>
  <c r="H43298" i="16"/>
  <c r="H43299" i="16"/>
  <c r="H43300" i="16"/>
  <c r="H43301" i="16"/>
  <c r="H43302" i="16"/>
  <c r="H43303" i="16"/>
  <c r="H43304" i="16"/>
  <c r="H43305" i="16"/>
  <c r="H43306" i="16"/>
  <c r="H43307" i="16"/>
  <c r="H43308" i="16"/>
  <c r="H43309" i="16"/>
  <c r="H43310" i="16"/>
  <c r="H43311" i="16"/>
  <c r="H43312" i="16"/>
  <c r="H43313" i="16"/>
  <c r="H43314" i="16"/>
  <c r="H43315" i="16"/>
  <c r="H43316" i="16"/>
  <c r="H43317" i="16"/>
  <c r="H43318" i="16"/>
  <c r="H43319" i="16"/>
  <c r="H43320" i="16"/>
  <c r="H43321" i="16"/>
  <c r="H43322" i="16"/>
  <c r="H43323" i="16"/>
  <c r="H43324" i="16"/>
  <c r="H43325" i="16"/>
  <c r="H43326" i="16"/>
  <c r="H43327" i="16"/>
  <c r="H43328" i="16"/>
  <c r="H43329" i="16"/>
  <c r="H43330" i="16"/>
  <c r="H43331" i="16"/>
  <c r="H43332" i="16"/>
  <c r="H43333" i="16"/>
  <c r="H43334" i="16"/>
  <c r="H43335" i="16"/>
  <c r="H43336" i="16"/>
  <c r="H43337" i="16"/>
  <c r="H43338" i="16"/>
  <c r="H43339" i="16"/>
  <c r="H43340" i="16"/>
  <c r="H43341" i="16"/>
  <c r="H43342" i="16"/>
  <c r="H43343" i="16"/>
  <c r="H43344" i="16"/>
  <c r="H43345" i="16"/>
  <c r="H43346" i="16"/>
  <c r="H43347" i="16"/>
  <c r="H43348" i="16"/>
  <c r="H43349" i="16"/>
  <c r="H43350" i="16"/>
  <c r="H43351" i="16"/>
  <c r="H43352" i="16"/>
  <c r="H43353" i="16"/>
  <c r="H43354" i="16"/>
  <c r="H43355" i="16"/>
  <c r="H43356" i="16"/>
  <c r="H43357" i="16"/>
  <c r="H43358" i="16"/>
  <c r="H43359" i="16"/>
  <c r="H43360" i="16"/>
  <c r="H43361" i="16"/>
  <c r="H43362" i="16"/>
  <c r="H43363" i="16"/>
  <c r="H43364" i="16"/>
  <c r="H43365" i="16"/>
  <c r="H43366" i="16"/>
  <c r="H43367" i="16"/>
  <c r="H43368" i="16"/>
  <c r="H43369" i="16"/>
  <c r="H43370" i="16"/>
  <c r="H43371" i="16"/>
  <c r="H43372" i="16"/>
  <c r="H43373" i="16"/>
  <c r="H43374" i="16"/>
  <c r="H43375" i="16"/>
  <c r="H43376" i="16"/>
  <c r="H43377" i="16"/>
  <c r="H43378" i="16"/>
  <c r="H43379" i="16"/>
  <c r="H43380" i="16"/>
  <c r="H43381" i="16"/>
  <c r="H43382" i="16"/>
  <c r="H43383" i="16"/>
  <c r="H43384" i="16"/>
  <c r="H43385" i="16"/>
  <c r="H43386" i="16"/>
  <c r="H43387" i="16"/>
  <c r="H43388" i="16"/>
  <c r="H43389" i="16"/>
  <c r="H43390" i="16"/>
  <c r="H43391" i="16"/>
  <c r="H43392" i="16"/>
  <c r="H43393" i="16"/>
  <c r="H43394" i="16"/>
  <c r="H43395" i="16"/>
  <c r="H43396" i="16"/>
  <c r="H43397" i="16"/>
  <c r="H43398" i="16"/>
  <c r="H43399" i="16"/>
  <c r="H43400" i="16"/>
  <c r="H43401" i="16"/>
  <c r="H43402" i="16"/>
  <c r="H43403" i="16"/>
  <c r="H43404" i="16"/>
  <c r="H43405" i="16"/>
  <c r="H43406" i="16"/>
  <c r="H43407" i="16"/>
  <c r="H43408" i="16"/>
  <c r="H43409" i="16"/>
  <c r="H43410" i="16"/>
  <c r="H43411" i="16"/>
  <c r="H43412" i="16"/>
  <c r="H43413" i="16"/>
  <c r="H43414" i="16"/>
  <c r="H43415" i="16"/>
  <c r="H43416" i="16"/>
  <c r="H43417" i="16"/>
  <c r="H43418" i="16"/>
  <c r="H43419" i="16"/>
  <c r="H43420" i="16"/>
  <c r="H43421" i="16"/>
  <c r="H43422" i="16"/>
  <c r="H43423" i="16"/>
  <c r="H43424" i="16"/>
  <c r="H43425" i="16"/>
  <c r="H43426" i="16"/>
  <c r="H43427" i="16"/>
  <c r="H43428" i="16"/>
  <c r="H43429" i="16"/>
  <c r="H43430" i="16"/>
  <c r="H43431" i="16"/>
  <c r="H43432" i="16"/>
  <c r="H43433" i="16"/>
  <c r="H43434" i="16"/>
  <c r="H43435" i="16"/>
  <c r="H43436" i="16"/>
  <c r="H43437" i="16"/>
  <c r="H43438" i="16"/>
  <c r="H43439" i="16"/>
  <c r="H43440" i="16"/>
  <c r="H43441" i="16"/>
  <c r="H43442" i="16"/>
  <c r="H43443" i="16"/>
  <c r="H43444" i="16"/>
  <c r="H43445" i="16"/>
  <c r="H43446" i="16"/>
  <c r="H43447" i="16"/>
  <c r="H43448" i="16"/>
  <c r="H43449" i="16"/>
  <c r="H43450" i="16"/>
  <c r="H43451" i="16"/>
  <c r="H43452" i="16"/>
  <c r="H43453" i="16"/>
  <c r="H43454" i="16"/>
  <c r="H43455" i="16"/>
  <c r="H43456" i="16"/>
  <c r="H43457" i="16"/>
  <c r="H43458" i="16"/>
  <c r="H43459" i="16"/>
  <c r="H43460" i="16"/>
  <c r="H43461" i="16"/>
  <c r="H43462" i="16"/>
  <c r="H43463" i="16"/>
  <c r="H43464" i="16"/>
  <c r="H43465" i="16"/>
  <c r="H43466" i="16"/>
  <c r="H43467" i="16"/>
  <c r="H43468" i="16"/>
  <c r="H43469" i="16"/>
  <c r="H43470" i="16"/>
  <c r="H43471" i="16"/>
  <c r="H43472" i="16"/>
  <c r="H43473" i="16"/>
  <c r="H43474" i="16"/>
  <c r="H43475" i="16"/>
  <c r="H43476" i="16"/>
  <c r="H43477" i="16"/>
  <c r="H43478" i="16"/>
  <c r="H43479" i="16"/>
  <c r="H43480" i="16"/>
  <c r="H43481" i="16"/>
  <c r="H43482" i="16"/>
  <c r="H43483" i="16"/>
  <c r="H43484" i="16"/>
  <c r="H43485" i="16"/>
  <c r="H43486" i="16"/>
  <c r="H43487" i="16"/>
  <c r="H43488" i="16"/>
  <c r="H43489" i="16"/>
  <c r="H43490" i="16"/>
  <c r="H43491" i="16"/>
  <c r="H43492" i="16"/>
  <c r="H43493" i="16"/>
  <c r="H43494" i="16"/>
  <c r="H43495" i="16"/>
  <c r="H43496" i="16"/>
  <c r="H43497" i="16"/>
  <c r="H43498" i="16"/>
  <c r="H43499" i="16"/>
  <c r="H43500" i="16"/>
  <c r="H43501" i="16"/>
  <c r="H43502" i="16"/>
  <c r="H43503" i="16"/>
  <c r="H43504" i="16"/>
  <c r="H43505" i="16"/>
  <c r="H43506" i="16"/>
  <c r="H43507" i="16"/>
  <c r="H43508" i="16"/>
  <c r="H43509" i="16"/>
  <c r="H43510" i="16"/>
  <c r="H43511" i="16"/>
  <c r="H43512" i="16"/>
  <c r="H43513" i="16"/>
  <c r="H43514" i="16"/>
  <c r="H43515" i="16"/>
  <c r="H43516" i="16"/>
  <c r="H43517" i="16"/>
  <c r="H43518" i="16"/>
  <c r="H43519" i="16"/>
  <c r="H43520" i="16"/>
  <c r="H43521" i="16"/>
  <c r="H43522" i="16"/>
  <c r="H43523" i="16"/>
  <c r="H43524" i="16"/>
  <c r="H43525" i="16"/>
  <c r="H43526" i="16"/>
  <c r="H43527" i="16"/>
  <c r="H43528" i="16"/>
  <c r="H43529" i="16"/>
  <c r="H43530" i="16"/>
  <c r="H43531" i="16"/>
  <c r="H43532" i="16"/>
  <c r="H43533" i="16"/>
  <c r="H43534" i="16"/>
  <c r="H43535" i="16"/>
  <c r="H43536" i="16"/>
  <c r="H43537" i="16"/>
  <c r="H43538" i="16"/>
  <c r="H43539" i="16"/>
  <c r="H43540" i="16"/>
  <c r="H43541" i="16"/>
  <c r="H43542" i="16"/>
  <c r="H43543" i="16"/>
  <c r="H43544" i="16"/>
  <c r="H43545" i="16"/>
  <c r="H43546" i="16"/>
  <c r="H43547" i="16"/>
  <c r="H43548" i="16"/>
  <c r="H43549" i="16"/>
  <c r="H43550" i="16"/>
  <c r="H43551" i="16"/>
  <c r="H43552" i="16"/>
  <c r="H43553" i="16"/>
  <c r="H43554" i="16"/>
  <c r="H43555" i="16"/>
  <c r="H43556" i="16"/>
  <c r="H43557" i="16"/>
  <c r="H43558" i="16"/>
  <c r="H43559" i="16"/>
  <c r="H43560" i="16"/>
  <c r="H43561" i="16"/>
  <c r="H43562" i="16"/>
  <c r="H43563" i="16"/>
  <c r="H43564" i="16"/>
  <c r="H43565" i="16"/>
  <c r="H43566" i="16"/>
  <c r="H43567" i="16"/>
  <c r="H43568" i="16"/>
  <c r="H43569" i="16"/>
  <c r="H43570" i="16"/>
  <c r="H43571" i="16"/>
  <c r="H43572" i="16"/>
  <c r="H43573" i="16"/>
  <c r="H43574" i="16"/>
  <c r="H43575" i="16"/>
  <c r="H43576" i="16"/>
  <c r="H43577" i="16"/>
  <c r="H43578" i="16"/>
  <c r="H43579" i="16"/>
  <c r="H43580" i="16"/>
  <c r="H43581" i="16"/>
  <c r="H43582" i="16"/>
  <c r="H43583" i="16"/>
  <c r="H43584" i="16"/>
  <c r="H43585" i="16"/>
  <c r="H43586" i="16"/>
  <c r="H43587" i="16"/>
  <c r="H43588" i="16"/>
  <c r="H43589" i="16"/>
  <c r="H43590" i="16"/>
  <c r="H43591" i="16"/>
  <c r="H43592" i="16"/>
  <c r="H43593" i="16"/>
  <c r="H43594" i="16"/>
  <c r="H43595" i="16"/>
  <c r="H43596" i="16"/>
  <c r="H43597" i="16"/>
  <c r="H43598" i="16"/>
  <c r="H43599" i="16"/>
  <c r="H43600" i="16"/>
  <c r="H43601" i="16"/>
  <c r="H43602" i="16"/>
  <c r="H43603" i="16"/>
  <c r="H43604" i="16"/>
  <c r="H43605" i="16"/>
  <c r="H43606" i="16"/>
  <c r="H43607" i="16"/>
  <c r="H43608" i="16"/>
  <c r="H43609" i="16"/>
  <c r="H43610" i="16"/>
  <c r="H43611" i="16"/>
  <c r="H43612" i="16"/>
  <c r="H43613" i="16"/>
  <c r="H43614" i="16"/>
  <c r="H43615" i="16"/>
  <c r="H43616" i="16"/>
  <c r="H43617" i="16"/>
  <c r="H43618" i="16"/>
  <c r="H43619" i="16"/>
  <c r="H43620" i="16"/>
  <c r="H43621" i="16"/>
  <c r="H43622" i="16"/>
  <c r="H43623" i="16"/>
  <c r="H43624" i="16"/>
  <c r="H43625" i="16"/>
  <c r="H43626" i="16"/>
  <c r="H43627" i="16"/>
  <c r="H43628" i="16"/>
  <c r="H43629" i="16"/>
  <c r="H43630" i="16"/>
  <c r="H43631" i="16"/>
  <c r="H43632" i="16"/>
  <c r="H43633" i="16"/>
  <c r="H43634" i="16"/>
  <c r="H43635" i="16"/>
  <c r="H43636" i="16"/>
  <c r="H43637" i="16"/>
  <c r="H43638" i="16"/>
  <c r="H43639" i="16"/>
  <c r="H43640" i="16"/>
  <c r="H43641" i="16"/>
  <c r="H43642" i="16"/>
  <c r="H43643" i="16"/>
  <c r="H43644" i="16"/>
  <c r="H43645" i="16"/>
  <c r="H43646" i="16"/>
  <c r="H43647" i="16"/>
  <c r="H43648" i="16"/>
  <c r="H43649" i="16"/>
  <c r="H43650" i="16"/>
  <c r="H43651" i="16"/>
  <c r="H43652" i="16"/>
  <c r="H43653" i="16"/>
  <c r="H43654" i="16"/>
  <c r="H43655" i="16"/>
  <c r="H43656" i="16"/>
  <c r="H43657" i="16"/>
  <c r="H43658" i="16"/>
  <c r="H43659" i="16"/>
  <c r="H43660" i="16"/>
  <c r="H43661" i="16"/>
  <c r="H43662" i="16"/>
  <c r="H43663" i="16"/>
  <c r="H43664" i="16"/>
  <c r="H43665" i="16"/>
  <c r="H43666" i="16"/>
  <c r="H43667" i="16"/>
  <c r="H43668" i="16"/>
  <c r="H43669" i="16"/>
  <c r="H43670" i="16"/>
  <c r="H43671" i="16"/>
  <c r="H43672" i="16"/>
  <c r="H43673" i="16"/>
  <c r="H43674" i="16"/>
  <c r="H43675" i="16"/>
  <c r="H43676" i="16"/>
  <c r="H43677" i="16"/>
  <c r="H43678" i="16"/>
  <c r="H43679" i="16"/>
  <c r="H43680" i="16"/>
  <c r="H43681" i="16"/>
  <c r="H43682" i="16"/>
  <c r="H43683" i="16"/>
  <c r="H43684" i="16"/>
  <c r="H43685" i="16"/>
  <c r="H43686" i="16"/>
  <c r="H43687" i="16"/>
  <c r="H43688" i="16"/>
  <c r="H43689" i="16"/>
  <c r="H43690" i="16"/>
  <c r="H43691" i="16"/>
  <c r="H43692" i="16"/>
  <c r="H43693" i="16"/>
  <c r="H43694" i="16"/>
  <c r="H43695" i="16"/>
  <c r="H43696" i="16"/>
  <c r="H43697" i="16"/>
  <c r="H43698" i="16"/>
  <c r="H43699" i="16"/>
  <c r="H43700" i="16"/>
  <c r="H43701" i="16"/>
  <c r="H43702" i="16"/>
  <c r="H43703" i="16"/>
  <c r="H43704" i="16"/>
  <c r="H43705" i="16"/>
  <c r="H43706" i="16"/>
  <c r="H43707" i="16"/>
  <c r="H43708" i="16"/>
  <c r="H43709" i="16"/>
  <c r="H43710" i="16"/>
  <c r="H43711" i="16"/>
  <c r="H43712" i="16"/>
  <c r="H43713" i="16"/>
  <c r="H43714" i="16"/>
  <c r="H43715" i="16"/>
  <c r="H43716" i="16"/>
  <c r="H43717" i="16"/>
  <c r="H43718" i="16"/>
  <c r="H43719" i="16"/>
  <c r="H43720" i="16"/>
  <c r="H43721" i="16"/>
  <c r="H43722" i="16"/>
  <c r="H43723" i="16"/>
  <c r="H43724" i="16"/>
  <c r="H43725" i="16"/>
  <c r="H43726" i="16"/>
  <c r="H43727" i="16"/>
  <c r="H43728" i="16"/>
  <c r="H43729" i="16"/>
  <c r="H43730" i="16"/>
  <c r="H43731" i="16"/>
  <c r="H43732" i="16"/>
  <c r="H43733" i="16"/>
  <c r="H43734" i="16"/>
  <c r="H43735" i="16"/>
  <c r="H43736" i="16"/>
  <c r="H43737" i="16"/>
  <c r="H43738" i="16"/>
  <c r="H43739" i="16"/>
  <c r="H43740" i="16"/>
  <c r="H43741" i="16"/>
  <c r="H43742" i="16"/>
  <c r="H43743" i="16"/>
  <c r="H43744" i="16"/>
  <c r="H43745" i="16"/>
  <c r="H43746" i="16"/>
  <c r="H43747" i="16"/>
  <c r="H43748" i="16"/>
  <c r="H43749" i="16"/>
  <c r="H43750" i="16"/>
  <c r="H43751" i="16"/>
  <c r="H43752" i="16"/>
  <c r="H43753" i="16"/>
  <c r="H43754" i="16"/>
  <c r="H43755" i="16"/>
  <c r="H43756" i="16"/>
  <c r="H43757" i="16"/>
  <c r="H43758" i="16"/>
  <c r="H43759" i="16"/>
  <c r="H43760" i="16"/>
  <c r="H43761" i="16"/>
  <c r="H43762" i="16"/>
  <c r="H43763" i="16"/>
  <c r="H43764" i="16"/>
  <c r="H43765" i="16"/>
  <c r="H43766" i="16"/>
  <c r="H43767" i="16"/>
  <c r="H43768" i="16"/>
  <c r="H43769" i="16"/>
  <c r="H43770" i="16"/>
  <c r="H43771" i="16"/>
  <c r="H43772" i="16"/>
  <c r="H43773" i="16"/>
  <c r="H43774" i="16"/>
  <c r="H43775" i="16"/>
  <c r="H43776" i="16"/>
  <c r="H43777" i="16"/>
  <c r="H43778" i="16"/>
  <c r="H43779" i="16"/>
  <c r="H43780" i="16"/>
  <c r="H43781" i="16"/>
  <c r="H43782" i="16"/>
  <c r="H43783" i="16"/>
  <c r="H43784" i="16"/>
  <c r="H43785" i="16"/>
  <c r="H43786" i="16"/>
  <c r="H43787" i="16"/>
  <c r="H43788" i="16"/>
  <c r="H43789" i="16"/>
  <c r="H43790" i="16"/>
  <c r="H43791" i="16"/>
  <c r="H43792" i="16"/>
  <c r="H43793" i="16"/>
  <c r="H43794" i="16"/>
  <c r="H43795" i="16"/>
  <c r="H43796" i="16"/>
  <c r="H43797" i="16"/>
  <c r="H43798" i="16"/>
  <c r="H43799" i="16"/>
  <c r="H43800" i="16"/>
  <c r="H43801" i="16"/>
  <c r="H43802" i="16"/>
  <c r="H43803" i="16"/>
  <c r="H43804" i="16"/>
  <c r="H43805" i="16"/>
  <c r="H43806" i="16"/>
  <c r="H43807" i="16"/>
  <c r="H43808" i="16"/>
  <c r="H43809" i="16"/>
  <c r="H43810" i="16"/>
  <c r="H43811" i="16"/>
  <c r="H43812" i="16"/>
  <c r="H43813" i="16"/>
  <c r="H43814" i="16"/>
  <c r="H43815" i="16"/>
  <c r="H43816" i="16"/>
  <c r="H43817" i="16"/>
  <c r="H43818" i="16"/>
  <c r="H43819" i="16"/>
  <c r="H43820" i="16"/>
  <c r="H43821" i="16"/>
  <c r="H43822" i="16"/>
  <c r="H43823" i="16"/>
  <c r="H43824" i="16"/>
  <c r="H43825" i="16"/>
  <c r="H43826" i="16"/>
  <c r="H43827" i="16"/>
  <c r="H43828" i="16"/>
  <c r="H43829" i="16"/>
  <c r="H43830" i="16"/>
  <c r="H43831" i="16"/>
  <c r="H43832" i="16"/>
  <c r="H43833" i="16"/>
  <c r="H43834" i="16"/>
  <c r="H43835" i="16"/>
  <c r="H43836" i="16"/>
  <c r="H43837" i="16"/>
  <c r="H43838" i="16"/>
  <c r="H43839" i="16"/>
  <c r="H43840" i="16"/>
  <c r="H43841" i="16"/>
  <c r="H43842" i="16"/>
  <c r="H43843" i="16"/>
  <c r="H43844" i="16"/>
  <c r="H43845" i="16"/>
  <c r="H43846" i="16"/>
  <c r="H43847" i="16"/>
  <c r="H43848" i="16"/>
  <c r="H43849" i="16"/>
  <c r="H43850" i="16"/>
  <c r="H43851" i="16"/>
  <c r="H43852" i="16"/>
  <c r="H43853" i="16"/>
  <c r="H43854" i="16"/>
  <c r="H43855" i="16"/>
  <c r="H43856" i="16"/>
  <c r="H43857" i="16"/>
  <c r="H43858" i="16"/>
  <c r="H43859" i="16"/>
  <c r="H43860" i="16"/>
  <c r="H43861" i="16"/>
  <c r="H43862" i="16"/>
  <c r="H43863" i="16"/>
  <c r="H43864" i="16"/>
  <c r="H43865" i="16"/>
  <c r="H43866" i="16"/>
  <c r="H43867" i="16"/>
  <c r="H43868" i="16"/>
  <c r="H43869" i="16"/>
  <c r="H43870" i="16"/>
  <c r="H43871" i="16"/>
  <c r="H43872" i="16"/>
  <c r="H43873" i="16"/>
  <c r="H43874" i="16"/>
  <c r="H43875" i="16"/>
  <c r="H43876" i="16"/>
  <c r="H43877" i="16"/>
  <c r="H43878" i="16"/>
  <c r="H43879" i="16"/>
  <c r="H43880" i="16"/>
  <c r="H43881" i="16"/>
  <c r="H43882" i="16"/>
  <c r="H43883" i="16"/>
  <c r="H43884" i="16"/>
  <c r="H43885" i="16"/>
  <c r="H43886" i="16"/>
  <c r="H43887" i="16"/>
  <c r="H43888" i="16"/>
  <c r="H43889" i="16"/>
  <c r="H43890" i="16"/>
  <c r="H43891" i="16"/>
  <c r="H43892" i="16"/>
  <c r="H43893" i="16"/>
  <c r="H43894" i="16"/>
  <c r="H43895" i="16"/>
  <c r="H43896" i="16"/>
  <c r="H43897" i="16"/>
  <c r="H43898" i="16"/>
  <c r="H43899" i="16"/>
  <c r="H43900" i="16"/>
  <c r="H43901" i="16"/>
  <c r="H43902" i="16"/>
  <c r="H43903" i="16"/>
  <c r="H43904" i="16"/>
  <c r="H43905" i="16"/>
  <c r="H43906" i="16"/>
  <c r="H43907" i="16"/>
  <c r="H43908" i="16"/>
  <c r="H43909" i="16"/>
  <c r="H43910" i="16"/>
  <c r="H43911" i="16"/>
  <c r="H43912" i="16"/>
  <c r="H43913" i="16"/>
  <c r="H43914" i="16"/>
  <c r="H43915" i="16"/>
  <c r="H43916" i="16"/>
  <c r="H43917" i="16"/>
  <c r="H43918" i="16"/>
  <c r="H43919" i="16"/>
  <c r="H43920" i="16"/>
  <c r="H43921" i="16"/>
  <c r="H43922" i="16"/>
  <c r="H43923" i="16"/>
  <c r="H43924" i="16"/>
  <c r="H43925" i="16"/>
  <c r="H43926" i="16"/>
  <c r="H43927" i="16"/>
  <c r="H43928" i="16"/>
  <c r="H43929" i="16"/>
  <c r="H43930" i="16"/>
  <c r="H43931" i="16"/>
  <c r="H43932" i="16"/>
  <c r="H43933" i="16"/>
  <c r="H43934" i="16"/>
  <c r="H43935" i="16"/>
  <c r="H43936" i="16"/>
  <c r="H43937" i="16"/>
  <c r="H43938" i="16"/>
  <c r="H43939" i="16"/>
  <c r="H43940" i="16"/>
  <c r="H43941" i="16"/>
  <c r="H43942" i="16"/>
  <c r="H43943" i="16"/>
  <c r="H43944" i="16"/>
  <c r="H43945" i="16"/>
  <c r="H43946" i="16"/>
  <c r="H43947" i="16"/>
  <c r="H43948" i="16"/>
  <c r="H43949" i="16"/>
  <c r="H43950" i="16"/>
  <c r="H43951" i="16"/>
  <c r="H43952" i="16"/>
  <c r="H43953" i="16"/>
  <c r="H43954" i="16"/>
  <c r="H43955" i="16"/>
  <c r="H43956" i="16"/>
  <c r="H43957" i="16"/>
  <c r="H43958" i="16"/>
  <c r="H43959" i="16"/>
  <c r="H43960" i="16"/>
  <c r="H43961" i="16"/>
  <c r="H43962" i="16"/>
  <c r="H43963" i="16"/>
  <c r="H43964" i="16"/>
  <c r="H43965" i="16"/>
  <c r="H43966" i="16"/>
  <c r="H43967" i="16"/>
  <c r="H43968" i="16"/>
  <c r="H43969" i="16"/>
  <c r="H43970" i="16"/>
  <c r="H43971" i="16"/>
  <c r="H43972" i="16"/>
  <c r="H43973" i="16"/>
  <c r="H43974" i="16"/>
  <c r="H43975" i="16"/>
  <c r="H43976" i="16"/>
  <c r="H43977" i="16"/>
  <c r="H43978" i="16"/>
  <c r="H43979" i="16"/>
  <c r="H43980" i="16"/>
  <c r="H43981" i="16"/>
  <c r="H43982" i="16"/>
  <c r="H43983" i="16"/>
  <c r="H43984" i="16"/>
  <c r="H43985" i="16"/>
  <c r="H43986" i="16"/>
  <c r="H43987" i="16"/>
  <c r="H43988" i="16"/>
  <c r="H43989" i="16"/>
  <c r="H43990" i="16"/>
  <c r="H43991" i="16"/>
  <c r="H43992" i="16"/>
  <c r="H43993" i="16"/>
  <c r="H43994" i="16"/>
  <c r="H43995" i="16"/>
  <c r="H43996" i="16"/>
  <c r="H43997" i="16"/>
  <c r="H43998" i="16"/>
  <c r="H43999" i="16"/>
  <c r="H44000" i="16"/>
  <c r="H44001" i="16"/>
  <c r="H44002" i="16"/>
  <c r="H44003" i="16"/>
  <c r="H44004" i="16"/>
  <c r="H44005" i="16"/>
  <c r="H44006" i="16"/>
  <c r="H44007" i="16"/>
  <c r="H44008" i="16"/>
  <c r="H44009" i="16"/>
  <c r="H44010" i="16"/>
  <c r="H44011" i="16"/>
  <c r="H44012" i="16"/>
  <c r="H44013" i="16"/>
  <c r="H44014" i="16"/>
  <c r="H44015" i="16"/>
  <c r="H44016" i="16"/>
  <c r="H44017" i="16"/>
  <c r="H44018" i="16"/>
  <c r="H44019" i="16"/>
  <c r="H44020" i="16"/>
  <c r="H44021" i="16"/>
  <c r="H44022" i="16"/>
  <c r="H44023" i="16"/>
  <c r="H44024" i="16"/>
  <c r="H44025" i="16"/>
  <c r="H44026" i="16"/>
  <c r="H44027" i="16"/>
  <c r="H44028" i="16"/>
  <c r="H44029" i="16"/>
  <c r="H44030" i="16"/>
  <c r="H44031" i="16"/>
  <c r="H44032" i="16"/>
  <c r="H44033" i="16"/>
  <c r="H44034" i="16"/>
  <c r="H44035" i="16"/>
  <c r="H44036" i="16"/>
  <c r="H44037" i="16"/>
  <c r="H44038" i="16"/>
  <c r="H44039" i="16"/>
  <c r="H44040" i="16"/>
  <c r="H44041" i="16"/>
  <c r="H44042" i="16"/>
  <c r="H44043" i="16"/>
  <c r="H44044" i="16"/>
  <c r="H44045" i="16"/>
  <c r="H44046" i="16"/>
  <c r="H44047" i="16"/>
  <c r="H44048" i="16"/>
  <c r="H44049" i="16"/>
  <c r="H44050" i="16"/>
  <c r="H44051" i="16"/>
  <c r="H44052" i="16"/>
  <c r="H44053" i="16"/>
  <c r="H44054" i="16"/>
  <c r="H44055" i="16"/>
  <c r="H44056" i="16"/>
  <c r="H44057" i="16"/>
  <c r="H44058" i="16"/>
  <c r="H44059" i="16"/>
  <c r="H44060" i="16"/>
  <c r="H44061" i="16"/>
  <c r="H44062" i="16"/>
  <c r="H44063" i="16"/>
  <c r="H44064" i="16"/>
  <c r="H44065" i="16"/>
  <c r="H44066" i="16"/>
  <c r="H44067" i="16"/>
  <c r="H44068" i="16"/>
  <c r="H44069" i="16"/>
  <c r="H44070" i="16"/>
  <c r="H44071" i="16"/>
  <c r="H44072" i="16"/>
  <c r="H44073" i="16"/>
  <c r="H44074" i="16"/>
  <c r="H44075" i="16"/>
  <c r="H44076" i="16"/>
  <c r="H44077" i="16"/>
  <c r="H44078" i="16"/>
  <c r="H44079" i="16"/>
  <c r="H44080" i="16"/>
  <c r="H44081" i="16"/>
  <c r="H44082" i="16"/>
  <c r="H44083" i="16"/>
  <c r="H44084" i="16"/>
  <c r="H44085" i="16"/>
  <c r="H44086" i="16"/>
  <c r="H44087" i="16"/>
  <c r="H44088" i="16"/>
  <c r="H44089" i="16"/>
  <c r="H44090" i="16"/>
  <c r="H44091" i="16"/>
  <c r="H44092" i="16"/>
  <c r="H44093" i="16"/>
  <c r="H44094" i="16"/>
  <c r="H44095" i="16"/>
  <c r="H44096" i="16"/>
  <c r="H44097" i="16"/>
  <c r="H44098" i="16"/>
  <c r="H44099" i="16"/>
  <c r="H44100" i="16"/>
  <c r="H44101" i="16"/>
  <c r="H44102" i="16"/>
  <c r="H44103" i="16"/>
  <c r="H44104" i="16"/>
  <c r="H44105" i="16"/>
  <c r="H44106" i="16"/>
  <c r="H44107" i="16"/>
  <c r="H44108" i="16"/>
  <c r="H44109" i="16"/>
  <c r="H44110" i="16"/>
  <c r="H44111" i="16"/>
  <c r="H44112" i="16"/>
  <c r="H44113" i="16"/>
  <c r="H44114" i="16"/>
  <c r="H44115" i="16"/>
  <c r="H44116" i="16"/>
  <c r="H44117" i="16"/>
  <c r="H44118" i="16"/>
  <c r="H44119" i="16"/>
  <c r="H44120" i="16"/>
  <c r="H44121" i="16"/>
  <c r="H44122" i="16"/>
  <c r="H44123" i="16"/>
  <c r="H44124" i="16"/>
  <c r="H44125" i="16"/>
  <c r="H44126" i="16"/>
  <c r="H44127" i="16"/>
  <c r="H44128" i="16"/>
  <c r="H44129" i="16"/>
  <c r="H44130" i="16"/>
  <c r="H44131" i="16"/>
  <c r="H44132" i="16"/>
  <c r="H44133" i="16"/>
  <c r="H44134" i="16"/>
  <c r="H44135" i="16"/>
  <c r="H44136" i="16"/>
  <c r="H44137" i="16"/>
  <c r="H44138" i="16"/>
  <c r="H44139" i="16"/>
  <c r="H44140" i="16"/>
  <c r="H44141" i="16"/>
  <c r="H44142" i="16"/>
  <c r="H44143" i="16"/>
  <c r="H44144" i="16"/>
  <c r="H44145" i="16"/>
  <c r="H44146" i="16"/>
  <c r="H44147" i="16"/>
  <c r="H44148" i="16"/>
  <c r="H44149" i="16"/>
  <c r="H44150" i="16"/>
  <c r="H44151" i="16"/>
  <c r="H44152" i="16"/>
  <c r="H44153" i="16"/>
  <c r="H44154" i="16"/>
  <c r="H44155" i="16"/>
  <c r="H44156" i="16"/>
  <c r="H44157" i="16"/>
  <c r="H44158" i="16"/>
  <c r="H44159" i="16"/>
  <c r="H44160" i="16"/>
  <c r="H44161" i="16"/>
  <c r="H44162" i="16"/>
  <c r="H44163" i="16"/>
  <c r="H44164" i="16"/>
  <c r="H44165" i="16"/>
  <c r="H44166" i="16"/>
  <c r="H44167" i="16"/>
  <c r="H44168" i="16"/>
  <c r="H44169" i="16"/>
  <c r="H44170" i="16"/>
  <c r="H44171" i="16"/>
  <c r="H44172" i="16"/>
  <c r="H44173" i="16"/>
  <c r="H44174" i="16"/>
  <c r="H44175" i="16"/>
  <c r="H44176" i="16"/>
  <c r="H44177" i="16"/>
  <c r="H44178" i="16"/>
  <c r="H44179" i="16"/>
  <c r="H44180" i="16"/>
  <c r="H44181" i="16"/>
  <c r="H44182" i="16"/>
  <c r="H44183" i="16"/>
  <c r="H44184" i="16"/>
  <c r="H44185" i="16"/>
  <c r="H44186" i="16"/>
  <c r="H44187" i="16"/>
  <c r="H44188" i="16"/>
  <c r="H44189" i="16"/>
  <c r="H44190" i="16"/>
  <c r="H44191" i="16"/>
  <c r="H44192" i="16"/>
  <c r="H44193" i="16"/>
  <c r="H44194" i="16"/>
  <c r="H44195" i="16"/>
  <c r="H44196" i="16"/>
  <c r="H44197" i="16"/>
  <c r="H44198" i="16"/>
  <c r="H44199" i="16"/>
  <c r="H44200" i="16"/>
  <c r="H44201" i="16"/>
  <c r="H44202" i="16"/>
  <c r="H44203" i="16"/>
  <c r="H44204" i="16"/>
  <c r="H44205" i="16"/>
  <c r="H44206" i="16"/>
  <c r="H44207" i="16"/>
  <c r="H44208" i="16"/>
  <c r="H44209" i="16"/>
  <c r="H44210" i="16"/>
  <c r="H44211" i="16"/>
  <c r="H44212" i="16"/>
  <c r="H44213" i="16"/>
  <c r="H44214" i="16"/>
  <c r="H44215" i="16"/>
  <c r="H44216" i="16"/>
  <c r="H44217" i="16"/>
  <c r="H44218" i="16"/>
  <c r="H44219" i="16"/>
  <c r="H44220" i="16"/>
  <c r="H44221" i="16"/>
  <c r="H44222" i="16"/>
  <c r="H44223" i="16"/>
  <c r="H44224" i="16"/>
  <c r="H44225" i="16"/>
  <c r="H44226" i="16"/>
  <c r="H44227" i="16"/>
  <c r="H44228" i="16"/>
  <c r="H44229" i="16"/>
  <c r="H44230" i="16"/>
  <c r="H44231" i="16"/>
  <c r="H44232" i="16"/>
  <c r="H44233" i="16"/>
  <c r="H44234" i="16"/>
  <c r="H44235" i="16"/>
  <c r="H44236" i="16"/>
  <c r="H44237" i="16"/>
  <c r="H44238" i="16"/>
  <c r="H44239" i="16"/>
  <c r="H44240" i="16"/>
  <c r="H44241" i="16"/>
  <c r="H44242" i="16"/>
  <c r="H44243" i="16"/>
  <c r="H44244" i="16"/>
  <c r="H44245" i="16"/>
  <c r="H44246" i="16"/>
  <c r="H44247" i="16"/>
  <c r="H44248" i="16"/>
  <c r="H44249" i="16"/>
  <c r="H44250" i="16"/>
  <c r="H44251" i="16"/>
  <c r="H44252" i="16"/>
  <c r="H44253" i="16"/>
  <c r="H44254" i="16"/>
  <c r="H44255" i="16"/>
  <c r="H44256" i="16"/>
  <c r="H44257" i="16"/>
  <c r="H44258" i="16"/>
  <c r="H44259" i="16"/>
  <c r="H44260" i="16"/>
  <c r="H44261" i="16"/>
  <c r="H44262" i="16"/>
  <c r="H44263" i="16"/>
  <c r="H44264" i="16"/>
  <c r="H44265" i="16"/>
  <c r="H44266" i="16"/>
  <c r="H44267" i="16"/>
  <c r="H44268" i="16"/>
  <c r="H44269" i="16"/>
  <c r="H44270" i="16"/>
  <c r="H44271" i="16"/>
  <c r="H44272" i="16"/>
  <c r="H44273" i="16"/>
  <c r="H44274" i="16"/>
  <c r="H44275" i="16"/>
  <c r="H44276" i="16"/>
  <c r="H44277" i="16"/>
  <c r="H44278" i="16"/>
  <c r="H44279" i="16"/>
  <c r="H44280" i="16"/>
  <c r="H44281" i="16"/>
  <c r="H44282" i="16"/>
  <c r="H44283" i="16"/>
  <c r="H44284" i="16"/>
  <c r="H44285" i="16"/>
  <c r="H44286" i="16"/>
  <c r="H44287" i="16"/>
  <c r="H44288" i="16"/>
  <c r="H44289" i="16"/>
  <c r="H44290" i="16"/>
  <c r="H44291" i="16"/>
  <c r="H44292" i="16"/>
  <c r="H44293" i="16"/>
  <c r="H44294" i="16"/>
  <c r="H44295" i="16"/>
  <c r="H44296" i="16"/>
  <c r="H44297" i="16"/>
  <c r="H44298" i="16"/>
  <c r="H44299" i="16"/>
  <c r="H44300" i="16"/>
  <c r="H44301" i="16"/>
  <c r="H44302" i="16"/>
  <c r="H44303" i="16"/>
  <c r="H44304" i="16"/>
  <c r="H44305" i="16"/>
  <c r="H44306" i="16"/>
  <c r="H44307" i="16"/>
  <c r="H44308" i="16"/>
  <c r="H44309" i="16"/>
  <c r="H44310" i="16"/>
  <c r="H44311" i="16"/>
  <c r="H44312" i="16"/>
  <c r="H44313" i="16"/>
  <c r="H44314" i="16"/>
  <c r="H44315" i="16"/>
  <c r="H44316" i="16"/>
  <c r="H44317" i="16"/>
  <c r="H44318" i="16"/>
  <c r="H44319" i="16"/>
  <c r="H44320" i="16"/>
  <c r="H44321" i="16"/>
  <c r="H44322" i="16"/>
  <c r="H44323" i="16"/>
  <c r="H44324" i="16"/>
  <c r="H44325" i="16"/>
  <c r="H44326" i="16"/>
  <c r="H44327" i="16"/>
  <c r="H44328" i="16"/>
  <c r="H44329" i="16"/>
  <c r="H44330" i="16"/>
  <c r="H44331" i="16"/>
  <c r="H44332" i="16"/>
  <c r="H44333" i="16"/>
  <c r="H44334" i="16"/>
  <c r="H44335" i="16"/>
  <c r="H44336" i="16"/>
  <c r="H44337" i="16"/>
  <c r="H44338" i="16"/>
  <c r="H44339" i="16"/>
  <c r="H44340" i="16"/>
  <c r="H44341" i="16"/>
  <c r="H44342" i="16"/>
  <c r="H44343" i="16"/>
  <c r="H44344" i="16"/>
  <c r="H44345" i="16"/>
  <c r="H44346" i="16"/>
  <c r="H44347" i="16"/>
  <c r="H44348" i="16"/>
  <c r="H44349" i="16"/>
  <c r="H44350" i="16"/>
  <c r="H44351" i="16"/>
  <c r="H44352" i="16"/>
  <c r="H44353" i="16"/>
  <c r="H44354" i="16"/>
  <c r="H44355" i="16"/>
  <c r="H44356" i="16"/>
  <c r="H44357" i="16"/>
  <c r="H44358" i="16"/>
  <c r="H44359" i="16"/>
  <c r="H44360" i="16"/>
  <c r="H44361" i="16"/>
  <c r="H44362" i="16"/>
  <c r="H44363" i="16"/>
  <c r="H44364" i="16"/>
  <c r="H44365" i="16"/>
  <c r="H44366" i="16"/>
  <c r="H44367" i="16"/>
  <c r="H44368" i="16"/>
  <c r="H44369" i="16"/>
  <c r="H44370" i="16"/>
  <c r="H44371" i="16"/>
  <c r="H44372" i="16"/>
  <c r="H44373" i="16"/>
  <c r="H44374" i="16"/>
  <c r="H44375" i="16"/>
  <c r="H44376" i="16"/>
  <c r="H44377" i="16"/>
  <c r="H44378" i="16"/>
  <c r="H44379" i="16"/>
  <c r="H44380" i="16"/>
  <c r="H44381" i="16"/>
  <c r="H44382" i="16"/>
  <c r="H44383" i="16"/>
  <c r="H44384" i="16"/>
  <c r="H44385" i="16"/>
  <c r="H44386" i="16"/>
  <c r="H44387" i="16"/>
  <c r="H44388" i="16"/>
  <c r="H44389" i="16"/>
  <c r="H44390" i="16"/>
  <c r="H44391" i="16"/>
  <c r="H44392" i="16"/>
  <c r="H44393" i="16"/>
  <c r="H44394" i="16"/>
  <c r="H44395" i="16"/>
  <c r="H44396" i="16"/>
  <c r="H44397" i="16"/>
  <c r="H44398" i="16"/>
  <c r="H44399" i="16"/>
  <c r="H44400" i="16"/>
  <c r="H44401" i="16"/>
  <c r="H44402" i="16"/>
  <c r="H44403" i="16"/>
  <c r="H44404" i="16"/>
  <c r="H44405" i="16"/>
  <c r="H44406" i="16"/>
  <c r="H44407" i="16"/>
  <c r="H44408" i="16"/>
  <c r="H44409" i="16"/>
  <c r="H44410" i="16"/>
  <c r="H44411" i="16"/>
  <c r="H44412" i="16"/>
  <c r="H44413" i="16"/>
  <c r="H44414" i="16"/>
  <c r="H44415" i="16"/>
  <c r="H44416" i="16"/>
  <c r="H44417" i="16"/>
  <c r="H44418" i="16"/>
  <c r="H44419" i="16"/>
  <c r="H44420" i="16"/>
  <c r="H44421" i="16"/>
  <c r="H44422" i="16"/>
  <c r="H44423" i="16"/>
  <c r="H44424" i="16"/>
  <c r="H44425" i="16"/>
  <c r="H44426" i="16"/>
  <c r="H44427" i="16"/>
  <c r="H44428" i="16"/>
  <c r="H44429" i="16"/>
  <c r="H44430" i="16"/>
  <c r="H44431" i="16"/>
  <c r="H44432" i="16"/>
  <c r="H44433" i="16"/>
  <c r="H44434" i="16"/>
  <c r="H44435" i="16"/>
  <c r="H44436" i="16"/>
  <c r="H44437" i="16"/>
  <c r="H44438" i="16"/>
  <c r="H44439" i="16"/>
  <c r="H44440" i="16"/>
  <c r="H44441" i="16"/>
  <c r="H44442" i="16"/>
  <c r="H44443" i="16"/>
  <c r="H44444" i="16"/>
  <c r="H44445" i="16"/>
  <c r="H44446" i="16"/>
  <c r="H44447" i="16"/>
  <c r="H44448" i="16"/>
  <c r="H44449" i="16"/>
  <c r="H44450" i="16"/>
  <c r="H44451" i="16"/>
  <c r="H44452" i="16"/>
  <c r="H44453" i="16"/>
  <c r="H44454" i="16"/>
  <c r="H44455" i="16"/>
  <c r="H44456" i="16"/>
  <c r="H44457" i="16"/>
  <c r="H44458" i="16"/>
  <c r="H44459" i="16"/>
  <c r="H44460" i="16"/>
  <c r="H44461" i="16"/>
  <c r="H44462" i="16"/>
  <c r="H44463" i="16"/>
  <c r="H44464" i="16"/>
  <c r="H44465" i="16"/>
  <c r="H44466" i="16"/>
  <c r="H44467" i="16"/>
  <c r="H44468" i="16"/>
  <c r="H44469" i="16"/>
  <c r="H44470" i="16"/>
  <c r="H44471" i="16"/>
  <c r="H44472" i="16"/>
  <c r="H44473" i="16"/>
  <c r="H44474" i="16"/>
  <c r="H44475" i="16"/>
  <c r="H44476" i="16"/>
  <c r="H44477" i="16"/>
  <c r="H44478" i="16"/>
  <c r="H44479" i="16"/>
  <c r="H44480" i="16"/>
  <c r="H44481" i="16"/>
  <c r="H44482" i="16"/>
  <c r="H44483" i="16"/>
  <c r="H44484" i="16"/>
  <c r="H44485" i="16"/>
  <c r="H44486" i="16"/>
  <c r="H44487" i="16"/>
  <c r="H44488" i="16"/>
  <c r="H44489" i="16"/>
  <c r="H44490" i="16"/>
  <c r="H44491" i="16"/>
  <c r="H44492" i="16"/>
  <c r="H44493" i="16"/>
  <c r="H44494" i="16"/>
  <c r="H44495" i="16"/>
  <c r="H44496" i="16"/>
  <c r="H44497" i="16"/>
  <c r="H44498" i="16"/>
  <c r="H44499" i="16"/>
  <c r="H44500" i="16"/>
  <c r="H44501" i="16"/>
  <c r="H44502" i="16"/>
  <c r="H44503" i="16"/>
  <c r="H44504" i="16"/>
  <c r="H44505" i="16"/>
  <c r="H44506" i="16"/>
  <c r="H44507" i="16"/>
  <c r="H44508" i="16"/>
  <c r="H44509" i="16"/>
  <c r="H44510" i="16"/>
  <c r="H44511" i="16"/>
  <c r="H44512" i="16"/>
  <c r="H44513" i="16"/>
  <c r="H44514" i="16"/>
  <c r="H44515" i="16"/>
  <c r="H44516" i="16"/>
  <c r="H44517" i="16"/>
  <c r="H44518" i="16"/>
  <c r="H44519" i="16"/>
  <c r="H44520" i="16"/>
  <c r="H44521" i="16"/>
  <c r="H44522" i="16"/>
  <c r="H44523" i="16"/>
  <c r="H44524" i="16"/>
  <c r="H44525" i="16"/>
  <c r="H44526" i="16"/>
  <c r="H44527" i="16"/>
  <c r="H44528" i="16"/>
  <c r="H44529" i="16"/>
  <c r="H44530" i="16"/>
  <c r="H44531" i="16"/>
  <c r="H44532" i="16"/>
  <c r="H44533" i="16"/>
  <c r="H44534" i="16"/>
  <c r="H44535" i="16"/>
  <c r="H44536" i="16"/>
  <c r="H44537" i="16"/>
  <c r="H44538" i="16"/>
  <c r="H44539" i="16"/>
  <c r="H44540" i="16"/>
  <c r="H44541" i="16"/>
  <c r="H44542" i="16"/>
  <c r="H44543" i="16"/>
  <c r="H44544" i="16"/>
  <c r="H44545" i="16"/>
  <c r="H44546" i="16"/>
  <c r="H44547" i="16"/>
  <c r="H44548" i="16"/>
  <c r="H44549" i="16"/>
  <c r="H44550" i="16"/>
  <c r="H44551" i="16"/>
  <c r="H44552" i="16"/>
  <c r="H44553" i="16"/>
  <c r="H44554" i="16"/>
  <c r="H44555" i="16"/>
  <c r="H44556" i="16"/>
  <c r="H44557" i="16"/>
  <c r="H44558" i="16"/>
  <c r="H44559" i="16"/>
  <c r="H44560" i="16"/>
  <c r="H44561" i="16"/>
  <c r="H44562" i="16"/>
  <c r="H44563" i="16"/>
  <c r="H44564" i="16"/>
  <c r="H44565" i="16"/>
  <c r="H44566" i="16"/>
  <c r="H44567" i="16"/>
  <c r="H44568" i="16"/>
  <c r="H44569" i="16"/>
  <c r="H44570" i="16"/>
  <c r="H44571" i="16"/>
  <c r="H44572" i="16"/>
  <c r="H44573" i="16"/>
  <c r="H44574" i="16"/>
  <c r="H44575" i="16"/>
  <c r="H44576" i="16"/>
  <c r="H44577" i="16"/>
  <c r="H44578" i="16"/>
  <c r="H44579" i="16"/>
  <c r="H44580" i="16"/>
  <c r="H44581" i="16"/>
  <c r="H44582" i="16"/>
  <c r="H44583" i="16"/>
  <c r="H44584" i="16"/>
  <c r="H44585" i="16"/>
  <c r="H44586" i="16"/>
  <c r="H44587" i="16"/>
  <c r="H44588" i="16"/>
  <c r="H44589" i="16"/>
  <c r="H44590" i="16"/>
  <c r="H44591" i="16"/>
  <c r="H44592" i="16"/>
  <c r="H44593" i="16"/>
  <c r="H44594" i="16"/>
  <c r="H44595" i="16"/>
  <c r="H44596" i="16"/>
  <c r="H44597" i="16"/>
  <c r="H44598" i="16"/>
  <c r="H44599" i="16"/>
  <c r="H44600" i="16"/>
  <c r="H44601" i="16"/>
  <c r="H44602" i="16"/>
  <c r="H44603" i="16"/>
  <c r="H44604" i="16"/>
  <c r="H44605" i="16"/>
  <c r="H44606" i="16"/>
  <c r="H44607" i="16"/>
  <c r="H44608" i="16"/>
  <c r="H44609" i="16"/>
  <c r="H44610" i="16"/>
  <c r="H44611" i="16"/>
  <c r="H44612" i="16"/>
  <c r="H44613" i="16"/>
  <c r="H44614" i="16"/>
  <c r="H44615" i="16"/>
  <c r="H44616" i="16"/>
  <c r="H44617" i="16"/>
  <c r="H44618" i="16"/>
  <c r="H44619" i="16"/>
  <c r="H44620" i="16"/>
  <c r="H44621" i="16"/>
  <c r="H44622" i="16"/>
  <c r="H44623" i="16"/>
  <c r="H44624" i="16"/>
  <c r="H44625" i="16"/>
  <c r="H44626" i="16"/>
  <c r="H44627" i="16"/>
  <c r="H44628" i="16"/>
  <c r="H44629" i="16"/>
  <c r="H44630" i="16"/>
  <c r="H44631" i="16"/>
  <c r="H44632" i="16"/>
  <c r="H44633" i="16"/>
  <c r="H44634" i="16"/>
  <c r="H44635" i="16"/>
  <c r="H44636" i="16"/>
  <c r="H44637" i="16"/>
  <c r="H44638" i="16"/>
  <c r="H44639" i="16"/>
  <c r="H44640" i="16"/>
  <c r="H44641" i="16"/>
  <c r="H44642" i="16"/>
  <c r="H44643" i="16"/>
  <c r="H44644" i="16"/>
  <c r="H44645" i="16"/>
  <c r="H44646" i="16"/>
  <c r="H44647" i="16"/>
  <c r="H44648" i="16"/>
  <c r="H44649" i="16"/>
  <c r="H44650" i="16"/>
  <c r="H44651" i="16"/>
  <c r="H44652" i="16"/>
  <c r="H44653" i="16"/>
  <c r="H44654" i="16"/>
  <c r="H44655" i="16"/>
  <c r="H44656" i="16"/>
  <c r="H44657" i="16"/>
  <c r="H44658" i="16"/>
  <c r="H44659" i="16"/>
  <c r="H44660" i="16"/>
  <c r="H44661" i="16"/>
  <c r="H44662" i="16"/>
  <c r="H44663" i="16"/>
  <c r="H44664" i="16"/>
  <c r="H44665" i="16"/>
  <c r="H44666" i="16"/>
  <c r="H44667" i="16"/>
  <c r="H44668" i="16"/>
  <c r="H44669" i="16"/>
  <c r="H44670" i="16"/>
  <c r="H44671" i="16"/>
  <c r="H44672" i="16"/>
  <c r="H44673" i="16"/>
  <c r="H44674" i="16"/>
  <c r="H44675" i="16"/>
  <c r="H44676" i="16"/>
  <c r="H44677" i="16"/>
  <c r="H44678" i="16"/>
  <c r="H44679" i="16"/>
  <c r="H44680" i="16"/>
  <c r="H44681" i="16"/>
  <c r="H44682" i="16"/>
  <c r="H44683" i="16"/>
  <c r="H44684" i="16"/>
  <c r="H44685" i="16"/>
  <c r="H44686" i="16"/>
  <c r="H44687" i="16"/>
  <c r="H44688" i="16"/>
  <c r="H44689" i="16"/>
  <c r="H44690" i="16"/>
  <c r="H44691" i="16"/>
  <c r="H44692" i="16"/>
  <c r="H44693" i="16"/>
  <c r="H44694" i="16"/>
  <c r="H44695" i="16"/>
  <c r="H44696" i="16"/>
  <c r="H44697" i="16"/>
  <c r="H44698" i="16"/>
  <c r="H44699" i="16"/>
  <c r="H44700" i="16"/>
  <c r="H44701" i="16"/>
  <c r="H44702" i="16"/>
  <c r="H44703" i="16"/>
  <c r="H44704" i="16"/>
  <c r="H44705" i="16"/>
  <c r="H44706" i="16"/>
  <c r="H44707" i="16"/>
  <c r="H44708" i="16"/>
  <c r="H44709" i="16"/>
  <c r="H44710" i="16"/>
  <c r="H44711" i="16"/>
  <c r="H44712" i="16"/>
  <c r="H44713" i="16"/>
  <c r="H44714" i="16"/>
  <c r="H44715" i="16"/>
  <c r="H44716" i="16"/>
  <c r="H44717" i="16"/>
  <c r="H44718" i="16"/>
  <c r="H44719" i="16"/>
  <c r="H44720" i="16"/>
  <c r="H44721" i="16"/>
  <c r="H44722" i="16"/>
  <c r="H44723" i="16"/>
  <c r="H44724" i="16"/>
  <c r="H44725" i="16"/>
  <c r="H44726" i="16"/>
  <c r="H44727" i="16"/>
  <c r="H44728" i="16"/>
  <c r="H44729" i="16"/>
  <c r="H44730" i="16"/>
  <c r="H44731" i="16"/>
  <c r="H44732" i="16"/>
  <c r="H44733" i="16"/>
  <c r="H44734" i="16"/>
  <c r="H44735" i="16"/>
  <c r="H44736" i="16"/>
  <c r="H44737" i="16"/>
  <c r="H44738" i="16"/>
  <c r="H44739" i="16"/>
  <c r="H44740" i="16"/>
  <c r="H44741" i="16"/>
  <c r="H44742" i="16"/>
  <c r="H44743" i="16"/>
  <c r="H44744" i="16"/>
  <c r="H44745" i="16"/>
  <c r="H44746" i="16"/>
  <c r="H44747" i="16"/>
  <c r="H44748" i="16"/>
  <c r="H44749" i="16"/>
  <c r="H44750" i="16"/>
  <c r="H44751" i="16"/>
  <c r="H44752" i="16"/>
  <c r="H44753" i="16"/>
  <c r="H44754" i="16"/>
  <c r="H44755" i="16"/>
  <c r="H44756" i="16"/>
  <c r="H44757" i="16"/>
  <c r="H44758" i="16"/>
  <c r="H44759" i="16"/>
  <c r="H44760" i="16"/>
  <c r="H44761" i="16"/>
  <c r="H44762" i="16"/>
  <c r="H44763" i="16"/>
  <c r="H44764" i="16"/>
  <c r="H44765" i="16"/>
  <c r="H44766" i="16"/>
  <c r="H44767" i="16"/>
  <c r="H44768" i="16"/>
  <c r="H44769" i="16"/>
  <c r="H44770" i="16"/>
  <c r="H44771" i="16"/>
  <c r="H44772" i="16"/>
  <c r="H44773" i="16"/>
  <c r="H44774" i="16"/>
  <c r="H44775" i="16"/>
  <c r="H44776" i="16"/>
  <c r="H44777" i="16"/>
  <c r="H44778" i="16"/>
  <c r="H44779" i="16"/>
  <c r="H44780" i="16"/>
  <c r="H44781" i="16"/>
  <c r="H44782" i="16"/>
  <c r="H44783" i="16"/>
  <c r="H44784" i="16"/>
  <c r="H44785" i="16"/>
  <c r="H44786" i="16"/>
  <c r="H44787" i="16"/>
  <c r="H44788" i="16"/>
  <c r="H44789" i="16"/>
  <c r="H44790" i="16"/>
  <c r="H44791" i="16"/>
  <c r="H44792" i="16"/>
  <c r="H44793" i="16"/>
  <c r="H44794" i="16"/>
  <c r="H44795" i="16"/>
  <c r="H44796" i="16"/>
  <c r="H44797" i="16"/>
  <c r="H44798" i="16"/>
  <c r="H44799" i="16"/>
  <c r="H44800" i="16"/>
  <c r="H44801" i="16"/>
  <c r="H44802" i="16"/>
  <c r="H44803" i="16"/>
  <c r="H44804" i="16"/>
  <c r="H44805" i="16"/>
  <c r="H44806" i="16"/>
  <c r="H44807" i="16"/>
  <c r="H44808" i="16"/>
  <c r="H44809" i="16"/>
  <c r="H44810" i="16"/>
  <c r="H44811" i="16"/>
  <c r="H44812" i="16"/>
  <c r="H44813" i="16"/>
  <c r="H44814" i="16"/>
  <c r="H44815" i="16"/>
  <c r="H44816" i="16"/>
  <c r="H44817" i="16"/>
  <c r="H44818" i="16"/>
  <c r="H44819" i="16"/>
  <c r="H44820" i="16"/>
  <c r="H44821" i="16"/>
  <c r="H44822" i="16"/>
  <c r="H44823" i="16"/>
  <c r="H44824" i="16"/>
  <c r="H44825" i="16"/>
  <c r="H44826" i="16"/>
  <c r="H44827" i="16"/>
  <c r="H44828" i="16"/>
  <c r="H44829" i="16"/>
  <c r="H44830" i="16"/>
  <c r="H44831" i="16"/>
  <c r="H44832" i="16"/>
  <c r="H44833" i="16"/>
  <c r="H44834" i="16"/>
  <c r="H44835" i="16"/>
  <c r="H44836" i="16"/>
  <c r="H44837" i="16"/>
  <c r="H44838" i="16"/>
  <c r="H44839" i="16"/>
  <c r="H44840" i="16"/>
  <c r="H44841" i="16"/>
  <c r="H44842" i="16"/>
  <c r="H44843" i="16"/>
  <c r="H44844" i="16"/>
  <c r="H44845" i="16"/>
  <c r="H44846" i="16"/>
  <c r="H44847" i="16"/>
  <c r="H44848" i="16"/>
  <c r="H44849" i="16"/>
  <c r="H44850" i="16"/>
  <c r="H44851" i="16"/>
  <c r="H44852" i="16"/>
  <c r="H44853" i="16"/>
  <c r="H44854" i="16"/>
  <c r="H44855" i="16"/>
  <c r="H44856" i="16"/>
  <c r="H44857" i="16"/>
  <c r="H44858" i="16"/>
  <c r="H44859" i="16"/>
  <c r="H44860" i="16"/>
  <c r="H44861" i="16"/>
  <c r="H44862" i="16"/>
  <c r="H44863" i="16"/>
  <c r="H44864" i="16"/>
  <c r="H44865" i="16"/>
  <c r="H44866" i="16"/>
  <c r="H44867" i="16"/>
  <c r="H44868" i="16"/>
  <c r="H44869" i="16"/>
  <c r="H44870" i="16"/>
  <c r="H44871" i="16"/>
  <c r="H44872" i="16"/>
  <c r="H44873" i="16"/>
  <c r="H44874" i="16"/>
  <c r="H44875" i="16"/>
  <c r="H44876" i="16"/>
  <c r="H44877" i="16"/>
  <c r="H44878" i="16"/>
  <c r="H44879" i="16"/>
  <c r="H44880" i="16"/>
  <c r="H44881" i="16"/>
  <c r="H44882" i="16"/>
  <c r="H44883" i="16"/>
  <c r="H44884" i="16"/>
  <c r="H44885" i="16"/>
  <c r="H44886" i="16"/>
  <c r="H44887" i="16"/>
  <c r="H44888" i="16"/>
  <c r="H44889" i="16"/>
  <c r="H44890" i="16"/>
  <c r="H44891" i="16"/>
  <c r="H44892" i="16"/>
  <c r="H44893" i="16"/>
  <c r="H44894" i="16"/>
  <c r="H44895" i="16"/>
  <c r="H44896" i="16"/>
  <c r="H44897" i="16"/>
  <c r="H44898" i="16"/>
  <c r="H44899" i="16"/>
  <c r="H44900" i="16"/>
  <c r="H44901" i="16"/>
  <c r="H44902" i="16"/>
  <c r="H44903" i="16"/>
  <c r="H44904" i="16"/>
  <c r="H44905" i="16"/>
  <c r="H44906" i="16"/>
  <c r="H44907" i="16"/>
  <c r="H44908" i="16"/>
  <c r="H44909" i="16"/>
  <c r="H44910" i="16"/>
  <c r="H44911" i="16"/>
  <c r="H44912" i="16"/>
  <c r="H44913" i="16"/>
  <c r="H44914" i="16"/>
  <c r="H44915" i="16"/>
  <c r="H44916" i="16"/>
  <c r="H44917" i="16"/>
  <c r="H44918" i="16"/>
  <c r="H44919" i="16"/>
  <c r="H44920" i="16"/>
  <c r="H44921" i="16"/>
  <c r="H44922" i="16"/>
  <c r="H44923" i="16"/>
  <c r="H44924" i="16"/>
  <c r="H44925" i="16"/>
  <c r="H44926" i="16"/>
  <c r="H44927" i="16"/>
  <c r="H44928" i="16"/>
  <c r="H44929" i="16"/>
  <c r="H44930" i="16"/>
  <c r="H44931" i="16"/>
  <c r="H44932" i="16"/>
  <c r="H44933" i="16"/>
  <c r="H44934" i="16"/>
  <c r="H44935" i="16"/>
  <c r="H44936" i="16"/>
  <c r="H44937" i="16"/>
  <c r="H44938" i="16"/>
  <c r="H44939" i="16"/>
  <c r="H44940" i="16"/>
  <c r="H44941" i="16"/>
  <c r="H44942" i="16"/>
  <c r="H44943" i="16"/>
  <c r="H44944" i="16"/>
  <c r="H44945" i="16"/>
  <c r="H44946" i="16"/>
  <c r="H44947" i="16"/>
  <c r="H44948" i="16"/>
  <c r="H44949" i="16"/>
  <c r="H44950" i="16"/>
  <c r="H44951" i="16"/>
  <c r="H44952" i="16"/>
  <c r="H44953" i="16"/>
  <c r="H44954" i="16"/>
  <c r="H44955" i="16"/>
  <c r="H44956" i="16"/>
  <c r="H44957" i="16"/>
  <c r="H44958" i="16"/>
  <c r="H44959" i="16"/>
  <c r="H44960" i="16"/>
  <c r="H44961" i="16"/>
  <c r="H44962" i="16"/>
  <c r="H44963" i="16"/>
  <c r="H44964" i="16"/>
  <c r="H44965" i="16"/>
  <c r="H44966" i="16"/>
  <c r="H44967" i="16"/>
  <c r="H44968" i="16"/>
  <c r="H44969" i="16"/>
  <c r="H44970" i="16"/>
  <c r="H44971" i="16"/>
  <c r="H44972" i="16"/>
  <c r="H44973" i="16"/>
  <c r="H44974" i="16"/>
  <c r="H44975" i="16"/>
  <c r="H44976" i="16"/>
  <c r="H44977" i="16"/>
  <c r="H44978" i="16"/>
  <c r="H44979" i="16"/>
  <c r="H44980" i="16"/>
  <c r="H44981" i="16"/>
  <c r="H44982" i="16"/>
  <c r="H44983" i="16"/>
  <c r="H44984" i="16"/>
  <c r="H44985" i="16"/>
  <c r="H44986" i="16"/>
  <c r="H44987" i="16"/>
  <c r="H44988" i="16"/>
  <c r="H44989" i="16"/>
  <c r="H44990" i="16"/>
  <c r="H44991" i="16"/>
  <c r="H44992" i="16"/>
  <c r="H44993" i="16"/>
  <c r="H44994" i="16"/>
  <c r="H44995" i="16"/>
  <c r="H44996" i="16"/>
  <c r="H44997" i="16"/>
  <c r="H44998" i="16"/>
  <c r="H44999" i="16"/>
  <c r="H45000" i="16"/>
  <c r="H45001" i="16"/>
  <c r="H45002" i="16"/>
  <c r="H45003" i="16"/>
  <c r="H45004" i="16"/>
  <c r="H45005" i="16"/>
  <c r="H45006" i="16"/>
  <c r="H45007" i="16"/>
  <c r="H45008" i="16"/>
  <c r="H45009" i="16"/>
  <c r="H45010" i="16"/>
  <c r="H45011" i="16"/>
  <c r="H45012" i="16"/>
  <c r="H45013" i="16"/>
  <c r="H45014" i="16"/>
  <c r="H45015" i="16"/>
  <c r="H45016" i="16"/>
  <c r="H45017" i="16"/>
  <c r="H45018" i="16"/>
  <c r="H45019" i="16"/>
  <c r="H45020" i="16"/>
  <c r="H45021" i="16"/>
  <c r="H45022" i="16"/>
  <c r="H45023" i="16"/>
  <c r="H45024" i="16"/>
  <c r="H45025" i="16"/>
  <c r="H45026" i="16"/>
  <c r="H45027" i="16"/>
  <c r="H45028" i="16"/>
  <c r="H45029" i="16"/>
  <c r="H45030" i="16"/>
  <c r="H45031" i="16"/>
  <c r="H45032" i="16"/>
  <c r="H45033" i="16"/>
  <c r="H45034" i="16"/>
  <c r="H45035" i="16"/>
  <c r="H45036" i="16"/>
  <c r="H45037" i="16"/>
  <c r="H45038" i="16"/>
  <c r="H45039" i="16"/>
  <c r="H45040" i="16"/>
  <c r="H45041" i="16"/>
  <c r="H45042" i="16"/>
  <c r="H45043" i="16"/>
  <c r="H45044" i="16"/>
  <c r="H45045" i="16"/>
  <c r="H45046" i="16"/>
  <c r="H45047" i="16"/>
  <c r="H45048" i="16"/>
  <c r="H45049" i="16"/>
  <c r="H45050" i="16"/>
  <c r="H45051" i="16"/>
  <c r="H45052" i="16"/>
  <c r="H45053" i="16"/>
  <c r="H45054" i="16"/>
  <c r="H45055" i="16"/>
  <c r="H45056" i="16"/>
  <c r="H45057" i="16"/>
  <c r="H45058" i="16"/>
  <c r="H45059" i="16"/>
  <c r="H45060" i="16"/>
  <c r="H45061" i="16"/>
  <c r="H45062" i="16"/>
  <c r="H45063" i="16"/>
  <c r="H45064" i="16"/>
  <c r="H45065" i="16"/>
  <c r="H45066" i="16"/>
  <c r="H45067" i="16"/>
  <c r="H45068" i="16"/>
  <c r="H45069" i="16"/>
  <c r="H45070" i="16"/>
  <c r="H45071" i="16"/>
  <c r="H45072" i="16"/>
  <c r="H45073" i="16"/>
  <c r="H45074" i="16"/>
  <c r="H45075" i="16"/>
  <c r="H45076" i="16"/>
  <c r="H45077" i="16"/>
  <c r="H45078" i="16"/>
  <c r="H45079" i="16"/>
  <c r="H45080" i="16"/>
  <c r="H45081" i="16"/>
  <c r="H45082" i="16"/>
  <c r="H45083" i="16"/>
  <c r="H45084" i="16"/>
  <c r="H45085" i="16"/>
  <c r="H45086" i="16"/>
  <c r="H45087" i="16"/>
  <c r="H45088" i="16"/>
  <c r="H45089" i="16"/>
  <c r="H45090" i="16"/>
  <c r="H45091" i="16"/>
  <c r="H45092" i="16"/>
  <c r="H45093" i="16"/>
  <c r="H45094" i="16"/>
  <c r="H45095" i="16"/>
  <c r="H45096" i="16"/>
  <c r="H45097" i="16"/>
  <c r="H45098" i="16"/>
  <c r="H45099" i="16"/>
  <c r="H45100" i="16"/>
  <c r="H45101" i="16"/>
  <c r="H45102" i="16"/>
  <c r="H45103" i="16"/>
  <c r="H45104" i="16"/>
  <c r="H45105" i="16"/>
  <c r="H45106" i="16"/>
  <c r="H45107" i="16"/>
  <c r="H45108" i="16"/>
  <c r="H45109" i="16"/>
  <c r="H45110" i="16"/>
  <c r="H45111" i="16"/>
  <c r="H45112" i="16"/>
  <c r="H45113" i="16"/>
  <c r="H45114" i="16"/>
  <c r="H45115" i="16"/>
  <c r="H45116" i="16"/>
  <c r="H45117" i="16"/>
  <c r="H45118" i="16"/>
  <c r="H45119" i="16"/>
  <c r="H45120" i="16"/>
  <c r="H45121" i="16"/>
  <c r="H45122" i="16"/>
  <c r="H45123" i="16"/>
  <c r="H45124" i="16"/>
  <c r="H45125" i="16"/>
  <c r="H45126" i="16"/>
  <c r="H45127" i="16"/>
  <c r="H45128" i="16"/>
  <c r="H45129" i="16"/>
  <c r="H45130" i="16"/>
  <c r="H45131" i="16"/>
  <c r="H45132" i="16"/>
  <c r="H45133" i="16"/>
  <c r="H45134" i="16"/>
  <c r="H45135" i="16"/>
  <c r="H45136" i="16"/>
  <c r="H45137" i="16"/>
  <c r="H45138" i="16"/>
  <c r="H45139" i="16"/>
  <c r="H45140" i="16"/>
  <c r="H45141" i="16"/>
  <c r="H45142" i="16"/>
  <c r="H45143" i="16"/>
  <c r="H45144" i="16"/>
  <c r="H45145" i="16"/>
  <c r="H45146" i="16"/>
  <c r="H45147" i="16"/>
  <c r="H45148" i="16"/>
  <c r="H45149" i="16"/>
  <c r="H45150" i="16"/>
  <c r="H45151" i="16"/>
  <c r="H45152" i="16"/>
  <c r="H45153" i="16"/>
  <c r="H45154" i="16"/>
  <c r="H45155" i="16"/>
  <c r="H45156" i="16"/>
  <c r="H45157" i="16"/>
  <c r="H45158" i="16"/>
  <c r="H45159" i="16"/>
  <c r="H45160" i="16"/>
  <c r="H45161" i="16"/>
  <c r="H45162" i="16"/>
  <c r="H45163" i="16"/>
  <c r="H45164" i="16"/>
  <c r="H45165" i="16"/>
  <c r="H45166" i="16"/>
  <c r="H45167" i="16"/>
  <c r="H45168" i="16"/>
  <c r="H45169" i="16"/>
  <c r="H45170" i="16"/>
  <c r="H45171" i="16"/>
  <c r="H45172" i="16"/>
  <c r="H45173" i="16"/>
  <c r="H45174" i="16"/>
  <c r="H45175" i="16"/>
  <c r="H45176" i="16"/>
  <c r="H45177" i="16"/>
  <c r="H45178" i="16"/>
  <c r="H45179" i="16"/>
  <c r="H45180" i="16"/>
  <c r="H45181" i="16"/>
  <c r="H45182" i="16"/>
  <c r="H45183" i="16"/>
  <c r="H45184" i="16"/>
  <c r="H45185" i="16"/>
  <c r="H45186" i="16"/>
  <c r="H45187" i="16"/>
  <c r="H45188" i="16"/>
  <c r="H45189" i="16"/>
  <c r="H45190" i="16"/>
  <c r="H45191" i="16"/>
  <c r="H45192" i="16"/>
  <c r="H45193" i="16"/>
  <c r="H45194" i="16"/>
  <c r="H45195" i="16"/>
  <c r="H45196" i="16"/>
  <c r="H45197" i="16"/>
  <c r="H45198" i="16"/>
  <c r="H45199" i="16"/>
  <c r="H45200" i="16"/>
  <c r="H45201" i="16"/>
  <c r="H45202" i="16"/>
  <c r="H45203" i="16"/>
  <c r="H45204" i="16"/>
  <c r="H45205" i="16"/>
  <c r="H45206" i="16"/>
  <c r="H45207" i="16"/>
  <c r="H45208" i="16"/>
  <c r="H45209" i="16"/>
  <c r="H45210" i="16"/>
  <c r="H45211" i="16"/>
  <c r="H45212" i="16"/>
  <c r="H45213" i="16"/>
  <c r="H45214" i="16"/>
  <c r="H45215" i="16"/>
  <c r="H45216" i="16"/>
  <c r="H45217" i="16"/>
  <c r="H45218" i="16"/>
  <c r="H45219" i="16"/>
  <c r="H45220" i="16"/>
  <c r="H45221" i="16"/>
  <c r="H45222" i="16"/>
  <c r="H45223" i="16"/>
  <c r="H45224" i="16"/>
  <c r="H45225" i="16"/>
  <c r="H45226" i="16"/>
  <c r="H45227" i="16"/>
  <c r="H45228" i="16"/>
  <c r="H45229" i="16"/>
  <c r="H45230" i="16"/>
  <c r="H45231" i="16"/>
  <c r="H45232" i="16"/>
  <c r="H45233" i="16"/>
  <c r="H45234" i="16"/>
  <c r="H45235" i="16"/>
  <c r="H45236" i="16"/>
  <c r="H45237" i="16"/>
  <c r="H45238" i="16"/>
  <c r="H45239" i="16"/>
  <c r="H45240" i="16"/>
  <c r="H45241" i="16"/>
  <c r="H45242" i="16"/>
  <c r="H45243" i="16"/>
  <c r="H45244" i="16"/>
  <c r="H45245" i="16"/>
  <c r="H45246" i="16"/>
  <c r="H45247" i="16"/>
  <c r="H45248" i="16"/>
  <c r="H45249" i="16"/>
  <c r="H45250" i="16"/>
  <c r="H45251" i="16"/>
  <c r="H45252" i="16"/>
  <c r="H45253" i="16"/>
  <c r="H45254" i="16"/>
  <c r="H45255" i="16"/>
  <c r="H45256" i="16"/>
  <c r="H45257" i="16"/>
  <c r="H45258" i="16"/>
  <c r="H45259" i="16"/>
  <c r="H45260" i="16"/>
  <c r="H45261" i="16"/>
  <c r="H45262" i="16"/>
  <c r="H45263" i="16"/>
  <c r="H45264" i="16"/>
  <c r="H45265" i="16"/>
  <c r="H45266" i="16"/>
  <c r="H45267" i="16"/>
  <c r="H45268" i="16"/>
  <c r="H45269" i="16"/>
  <c r="H45270" i="16"/>
  <c r="H45271" i="16"/>
  <c r="H45272" i="16"/>
  <c r="H45273" i="16"/>
  <c r="H45274" i="16"/>
  <c r="H45275" i="16"/>
  <c r="H45276" i="16"/>
  <c r="H45277" i="16"/>
  <c r="H45278" i="16"/>
  <c r="H45279" i="16"/>
  <c r="H45280" i="16"/>
  <c r="H45281" i="16"/>
  <c r="H45282" i="16"/>
  <c r="H45283" i="16"/>
  <c r="H45284" i="16"/>
  <c r="H45285" i="16"/>
  <c r="H45286" i="16"/>
  <c r="H45287" i="16"/>
  <c r="H45288" i="16"/>
  <c r="H45289" i="16"/>
  <c r="H45290" i="16"/>
  <c r="H45291" i="16"/>
  <c r="H45292" i="16"/>
  <c r="H45293" i="16"/>
  <c r="H45294" i="16"/>
  <c r="H45295" i="16"/>
  <c r="H45296" i="16"/>
  <c r="H45297" i="16"/>
  <c r="H45298" i="16"/>
  <c r="H45299" i="16"/>
  <c r="H45300" i="16"/>
  <c r="H45301" i="16"/>
  <c r="H45302" i="16"/>
  <c r="H45303" i="16"/>
  <c r="H45304" i="16"/>
  <c r="H45305" i="16"/>
  <c r="H45306" i="16"/>
  <c r="H45307" i="16"/>
  <c r="H45308" i="16"/>
  <c r="H45309" i="16"/>
  <c r="H45310" i="16"/>
  <c r="H45311" i="16"/>
  <c r="H45312" i="16"/>
  <c r="H45313" i="16"/>
  <c r="H45314" i="16"/>
  <c r="H45315" i="16"/>
  <c r="H45316" i="16"/>
  <c r="H45317" i="16"/>
  <c r="H45318" i="16"/>
  <c r="H45319" i="16"/>
  <c r="H45320" i="16"/>
  <c r="H45321" i="16"/>
  <c r="H45322" i="16"/>
  <c r="H45323" i="16"/>
  <c r="H45324" i="16"/>
  <c r="H45325" i="16"/>
  <c r="H45326" i="16"/>
  <c r="H45327" i="16"/>
  <c r="H45328" i="16"/>
  <c r="H45329" i="16"/>
  <c r="H45330" i="16"/>
  <c r="H45331" i="16"/>
  <c r="H45332" i="16"/>
  <c r="H45333" i="16"/>
  <c r="H45334" i="16"/>
  <c r="H45335" i="16"/>
  <c r="H45336" i="16"/>
  <c r="H45337" i="16"/>
  <c r="H45338" i="16"/>
  <c r="H45339" i="16"/>
  <c r="H45340" i="16"/>
  <c r="H45341" i="16"/>
  <c r="H45342" i="16"/>
  <c r="H45343" i="16"/>
  <c r="H45344" i="16"/>
  <c r="H45345" i="16"/>
  <c r="H45346" i="16"/>
  <c r="H45347" i="16"/>
  <c r="H45348" i="16"/>
  <c r="H45349" i="16"/>
  <c r="H45350" i="16"/>
  <c r="H45351" i="16"/>
  <c r="H45352" i="16"/>
  <c r="H45353" i="16"/>
  <c r="H45354" i="16"/>
  <c r="H45355" i="16"/>
  <c r="H45356" i="16"/>
  <c r="H45357" i="16"/>
  <c r="H45358" i="16"/>
  <c r="H45359" i="16"/>
  <c r="H45360" i="16"/>
  <c r="H45361" i="16"/>
  <c r="H45362" i="16"/>
  <c r="H45363" i="16"/>
  <c r="H45364" i="16"/>
  <c r="H45365" i="16"/>
  <c r="H45366" i="16"/>
  <c r="H45367" i="16"/>
  <c r="H45368" i="16"/>
  <c r="H45369" i="16"/>
  <c r="H45370" i="16"/>
  <c r="H45371" i="16"/>
  <c r="H45372" i="16"/>
  <c r="H45373" i="16"/>
  <c r="H45374" i="16"/>
  <c r="H45375" i="16"/>
  <c r="H45376" i="16"/>
  <c r="H45377" i="16"/>
  <c r="H45378" i="16"/>
  <c r="H45379" i="16"/>
  <c r="H45380" i="16"/>
  <c r="H45381" i="16"/>
  <c r="H45382" i="16"/>
  <c r="H45383" i="16"/>
  <c r="H45384" i="16"/>
  <c r="H45385" i="16"/>
  <c r="H45386" i="16"/>
  <c r="H45387" i="16"/>
  <c r="H45388" i="16"/>
  <c r="H45389" i="16"/>
  <c r="H45390" i="16"/>
  <c r="H45391" i="16"/>
  <c r="H45392" i="16"/>
  <c r="H45393" i="16"/>
  <c r="H45394" i="16"/>
  <c r="H45395" i="16"/>
  <c r="H45396" i="16"/>
  <c r="H45397" i="16"/>
  <c r="H45398" i="16"/>
  <c r="H45399" i="16"/>
  <c r="H45400" i="16"/>
  <c r="H45401" i="16"/>
  <c r="H45402" i="16"/>
  <c r="H45403" i="16"/>
  <c r="H45404" i="16"/>
  <c r="H45405" i="16"/>
  <c r="H45406" i="16"/>
  <c r="H45407" i="16"/>
  <c r="H45408" i="16"/>
  <c r="H45409" i="16"/>
  <c r="H45410" i="16"/>
  <c r="H45411" i="16"/>
  <c r="H45412" i="16"/>
  <c r="H45413" i="16"/>
  <c r="H45414" i="16"/>
  <c r="H45415" i="16"/>
  <c r="H45416" i="16"/>
  <c r="H45417" i="16"/>
  <c r="H45418" i="16"/>
  <c r="H45419" i="16"/>
  <c r="H45420" i="16"/>
  <c r="H45421" i="16"/>
  <c r="H45422" i="16"/>
  <c r="H45423" i="16"/>
  <c r="H45424" i="16"/>
  <c r="H45425" i="16"/>
  <c r="H45426" i="16"/>
  <c r="H45427" i="16"/>
  <c r="H45428" i="16"/>
  <c r="H45429" i="16"/>
  <c r="H45430" i="16"/>
  <c r="H45431" i="16"/>
  <c r="H45432" i="16"/>
  <c r="H45433" i="16"/>
  <c r="H45434" i="16"/>
  <c r="H45435" i="16"/>
  <c r="H45436" i="16"/>
  <c r="H45437" i="16"/>
  <c r="H45438" i="16"/>
  <c r="H45439" i="16"/>
  <c r="H45440" i="16"/>
  <c r="H45441" i="16"/>
  <c r="H45442" i="16"/>
  <c r="H45443" i="16"/>
  <c r="H45444" i="16"/>
  <c r="H45445" i="16"/>
  <c r="H45446" i="16"/>
  <c r="H45447" i="16"/>
  <c r="H45448" i="16"/>
  <c r="H45449" i="16"/>
  <c r="H45450" i="16"/>
  <c r="H45451" i="16"/>
  <c r="H45452" i="16"/>
  <c r="H45453" i="16"/>
  <c r="H45454" i="16"/>
  <c r="H45455" i="16"/>
  <c r="H45456" i="16"/>
  <c r="H45457" i="16"/>
  <c r="H45458" i="16"/>
  <c r="H45459" i="16"/>
  <c r="H45460" i="16"/>
  <c r="H45461" i="16"/>
  <c r="H45462" i="16"/>
  <c r="H45463" i="16"/>
  <c r="H45464" i="16"/>
  <c r="H45465" i="16"/>
  <c r="H45466" i="16"/>
  <c r="H45467" i="16"/>
  <c r="H45468" i="16"/>
  <c r="H45469" i="16"/>
  <c r="H45470" i="16"/>
  <c r="H45471" i="16"/>
  <c r="H45472" i="16"/>
  <c r="H45473" i="16"/>
  <c r="H45474" i="16"/>
  <c r="H45475" i="16"/>
  <c r="H45476" i="16"/>
  <c r="H45477" i="16"/>
  <c r="H45478" i="16"/>
  <c r="H45479" i="16"/>
  <c r="H45480" i="16"/>
  <c r="H45481" i="16"/>
  <c r="H45482" i="16"/>
  <c r="H45483" i="16"/>
  <c r="H45484" i="16"/>
  <c r="H45485" i="16"/>
  <c r="H45486" i="16"/>
  <c r="H45487" i="16"/>
  <c r="H45488" i="16"/>
  <c r="H45489" i="16"/>
  <c r="H45490" i="16"/>
  <c r="H45491" i="16"/>
  <c r="H45492" i="16"/>
  <c r="H45493" i="16"/>
  <c r="H45494" i="16"/>
  <c r="H45495" i="16"/>
  <c r="H45496" i="16"/>
  <c r="H45497" i="16"/>
  <c r="H45498" i="16"/>
  <c r="H45499" i="16"/>
  <c r="H45500" i="16"/>
  <c r="H45501" i="16"/>
  <c r="H45502" i="16"/>
  <c r="H45503" i="16"/>
  <c r="H45504" i="16"/>
  <c r="H45505" i="16"/>
  <c r="H45506" i="16"/>
  <c r="H45507" i="16"/>
  <c r="H45508" i="16"/>
  <c r="H45509" i="16"/>
  <c r="H45510" i="16"/>
  <c r="H45511" i="16"/>
  <c r="H45512" i="16"/>
  <c r="H45513" i="16"/>
  <c r="H45514" i="16"/>
  <c r="H45515" i="16"/>
  <c r="H45516" i="16"/>
  <c r="H45517" i="16"/>
  <c r="H45518" i="16"/>
  <c r="H45519" i="16"/>
  <c r="H45520" i="16"/>
  <c r="H45521" i="16"/>
  <c r="H45522" i="16"/>
  <c r="H45523" i="16"/>
  <c r="H45524" i="16"/>
  <c r="H45525" i="16"/>
  <c r="H45526" i="16"/>
  <c r="H45527" i="16"/>
  <c r="H45528" i="16"/>
  <c r="H45529" i="16"/>
  <c r="H45530" i="16"/>
  <c r="H45531" i="16"/>
  <c r="H45532" i="16"/>
  <c r="H45533" i="16"/>
  <c r="H45534" i="16"/>
  <c r="H45535" i="16"/>
  <c r="H45536" i="16"/>
  <c r="H45537" i="16"/>
  <c r="H45538" i="16"/>
  <c r="H45539" i="16"/>
  <c r="H45540" i="16"/>
  <c r="H45541" i="16"/>
  <c r="H45542" i="16"/>
  <c r="H45543" i="16"/>
  <c r="H45544" i="16"/>
  <c r="H45545" i="16"/>
  <c r="H45546" i="16"/>
  <c r="H45547" i="16"/>
  <c r="H45548" i="16"/>
  <c r="H45549" i="16"/>
  <c r="H45550" i="16"/>
  <c r="H45551" i="16"/>
  <c r="H45552" i="16"/>
  <c r="H45553" i="16"/>
  <c r="H45554" i="16"/>
  <c r="H45555" i="16"/>
  <c r="H45556" i="16"/>
  <c r="H45557" i="16"/>
  <c r="H45558" i="16"/>
  <c r="H45559" i="16"/>
  <c r="H45560" i="16"/>
  <c r="H45561" i="16"/>
  <c r="H45562" i="16"/>
  <c r="H45563" i="16"/>
  <c r="H45564" i="16"/>
  <c r="H45565" i="16"/>
  <c r="H45566" i="16"/>
  <c r="H45567" i="16"/>
  <c r="H45568" i="16"/>
  <c r="H45569" i="16"/>
  <c r="H45570" i="16"/>
  <c r="H45571" i="16"/>
  <c r="H45572" i="16"/>
  <c r="H45573" i="16"/>
  <c r="H45574" i="16"/>
  <c r="H45575" i="16"/>
  <c r="H45576" i="16"/>
  <c r="H45577" i="16"/>
  <c r="H45578" i="16"/>
  <c r="H45579" i="16"/>
  <c r="H45580" i="16"/>
  <c r="H45581" i="16"/>
  <c r="H45582" i="16"/>
  <c r="H45583" i="16"/>
  <c r="H45584" i="16"/>
  <c r="H45585" i="16"/>
  <c r="H45586" i="16"/>
  <c r="H45587" i="16"/>
  <c r="H45588" i="16"/>
  <c r="H45589" i="16"/>
  <c r="H45590" i="16"/>
  <c r="H45591" i="16"/>
  <c r="H45592" i="16"/>
  <c r="H45593" i="16"/>
  <c r="H45594" i="16"/>
  <c r="H45595" i="16"/>
  <c r="H45596" i="16"/>
  <c r="H45597" i="16"/>
  <c r="H45598" i="16"/>
  <c r="H45599" i="16"/>
  <c r="H45600" i="16"/>
  <c r="H45601" i="16"/>
  <c r="H45602" i="16"/>
  <c r="H45603" i="16"/>
  <c r="H45604" i="16"/>
  <c r="H45605" i="16"/>
  <c r="H45606" i="16"/>
  <c r="H45607" i="16"/>
  <c r="H45608" i="16"/>
  <c r="H45609" i="16"/>
  <c r="H45610" i="16"/>
  <c r="H45611" i="16"/>
  <c r="H45612" i="16"/>
  <c r="H45613" i="16"/>
  <c r="H45614" i="16"/>
  <c r="H45615" i="16"/>
  <c r="H45616" i="16"/>
  <c r="H45617" i="16"/>
  <c r="H45618" i="16"/>
  <c r="H45619" i="16"/>
  <c r="H45620" i="16"/>
  <c r="H45621" i="16"/>
  <c r="H45622" i="16"/>
  <c r="H45623" i="16"/>
  <c r="H45624" i="16"/>
  <c r="H45625" i="16"/>
  <c r="H45626" i="16"/>
  <c r="H45627" i="16"/>
  <c r="H45628" i="16"/>
  <c r="H45629" i="16"/>
  <c r="H45630" i="16"/>
  <c r="H45631" i="16"/>
  <c r="H45632" i="16"/>
  <c r="H45633" i="16"/>
  <c r="H45634" i="16"/>
  <c r="H45635" i="16"/>
  <c r="H45636" i="16"/>
  <c r="H45637" i="16"/>
  <c r="H45638" i="16"/>
  <c r="H45639" i="16"/>
  <c r="H45640" i="16"/>
  <c r="H45641" i="16"/>
  <c r="H45642" i="16"/>
  <c r="H45643" i="16"/>
  <c r="H45644" i="16"/>
  <c r="H45645" i="16"/>
  <c r="H45646" i="16"/>
  <c r="H45647" i="16"/>
  <c r="H45648" i="16"/>
  <c r="H45649" i="16"/>
  <c r="H45650" i="16"/>
  <c r="H45651" i="16"/>
  <c r="H45652" i="16"/>
  <c r="H45653" i="16"/>
  <c r="H45654" i="16"/>
  <c r="H45655" i="16"/>
  <c r="H45656" i="16"/>
  <c r="H45657" i="16"/>
  <c r="H45658" i="16"/>
  <c r="H45659" i="16"/>
  <c r="H45660" i="16"/>
  <c r="H45661" i="16"/>
  <c r="H45662" i="16"/>
  <c r="H45663" i="16"/>
  <c r="H45664" i="16"/>
  <c r="H45665" i="16"/>
  <c r="H45666" i="16"/>
  <c r="H45667" i="16"/>
  <c r="H45668" i="16"/>
  <c r="H45669" i="16"/>
  <c r="H45670" i="16"/>
  <c r="H45671" i="16"/>
  <c r="H45672" i="16"/>
  <c r="H45673" i="16"/>
  <c r="H45674" i="16"/>
  <c r="H45675" i="16"/>
  <c r="H45676" i="16"/>
  <c r="H45677" i="16"/>
  <c r="H45678" i="16"/>
  <c r="H45679" i="16"/>
  <c r="H45680" i="16"/>
  <c r="H45681" i="16"/>
  <c r="H45682" i="16"/>
  <c r="H45683" i="16"/>
  <c r="H45684" i="16"/>
  <c r="H45685" i="16"/>
  <c r="H45686" i="16"/>
  <c r="H45687" i="16"/>
  <c r="H45688" i="16"/>
  <c r="H45689" i="16"/>
  <c r="H45690" i="16"/>
  <c r="H45691" i="16"/>
  <c r="H45692" i="16"/>
  <c r="H45693" i="16"/>
  <c r="H45694" i="16"/>
  <c r="H45695" i="16"/>
  <c r="H45696" i="16"/>
  <c r="H45697" i="16"/>
  <c r="H45698" i="16"/>
  <c r="H45699" i="16"/>
  <c r="H45700" i="16"/>
  <c r="H45701" i="16"/>
  <c r="H45702" i="16"/>
  <c r="H45703" i="16"/>
  <c r="H45704" i="16"/>
  <c r="H45705" i="16"/>
  <c r="H45706" i="16"/>
  <c r="H45707" i="16"/>
  <c r="H45708" i="16"/>
  <c r="H45709" i="16"/>
  <c r="H45710" i="16"/>
  <c r="H45711" i="16"/>
  <c r="H45712" i="16"/>
  <c r="H45713" i="16"/>
  <c r="H45714" i="16"/>
  <c r="H45715" i="16"/>
  <c r="H45716" i="16"/>
  <c r="H45717" i="16"/>
  <c r="H45718" i="16"/>
  <c r="H45719" i="16"/>
  <c r="H45720" i="16"/>
  <c r="H45721" i="16"/>
  <c r="H45722" i="16"/>
  <c r="H45723" i="16"/>
  <c r="H45724" i="16"/>
  <c r="H45725" i="16"/>
  <c r="H45726" i="16"/>
  <c r="H45727" i="16"/>
  <c r="H45728" i="16"/>
  <c r="H45729" i="16"/>
  <c r="H45730" i="16"/>
  <c r="H45731" i="16"/>
  <c r="H45732" i="16"/>
  <c r="H45733" i="16"/>
  <c r="H45734" i="16"/>
  <c r="H45735" i="16"/>
  <c r="H45736" i="16"/>
  <c r="H45737" i="16"/>
  <c r="H45738" i="16"/>
  <c r="H45739" i="16"/>
  <c r="H45740" i="16"/>
  <c r="H45741" i="16"/>
  <c r="H45742" i="16"/>
  <c r="H45743" i="16"/>
  <c r="H45744" i="16"/>
  <c r="H45745" i="16"/>
  <c r="H45746" i="16"/>
  <c r="H45747" i="16"/>
  <c r="H45748" i="16"/>
  <c r="H45749" i="16"/>
  <c r="H45750" i="16"/>
  <c r="H45751" i="16"/>
  <c r="H45752" i="16"/>
  <c r="H45753" i="16"/>
  <c r="H45754" i="16"/>
  <c r="H45755" i="16"/>
  <c r="H45756" i="16"/>
  <c r="H45757" i="16"/>
  <c r="H45758" i="16"/>
  <c r="H45759" i="16"/>
  <c r="H45760" i="16"/>
  <c r="H45761" i="16"/>
  <c r="H45762" i="16"/>
  <c r="H45763" i="16"/>
  <c r="H45764" i="16"/>
  <c r="H45765" i="16"/>
  <c r="H45766" i="16"/>
  <c r="H45767" i="16"/>
  <c r="H45768" i="16"/>
  <c r="H45769" i="16"/>
  <c r="H45770" i="16"/>
  <c r="H45771" i="16"/>
  <c r="H45772" i="16"/>
  <c r="H45773" i="16"/>
  <c r="H45774" i="16"/>
  <c r="H45775" i="16"/>
  <c r="H45776" i="16"/>
  <c r="H45777" i="16"/>
  <c r="H45778" i="16"/>
  <c r="H45779" i="16"/>
  <c r="H45780" i="16"/>
  <c r="H45781" i="16"/>
  <c r="H45782" i="16"/>
  <c r="H45783" i="16"/>
  <c r="H45784" i="16"/>
  <c r="H45785" i="16"/>
  <c r="H45786" i="16"/>
  <c r="H45787" i="16"/>
  <c r="H45788" i="16"/>
  <c r="H45789" i="16"/>
  <c r="H45790" i="16"/>
  <c r="H45791" i="16"/>
  <c r="H45792" i="16"/>
  <c r="H45793" i="16"/>
  <c r="H45794" i="16"/>
  <c r="H45795" i="16"/>
  <c r="H45796" i="16"/>
  <c r="H45797" i="16"/>
  <c r="H45798" i="16"/>
  <c r="H45799" i="16"/>
  <c r="H45800" i="16"/>
  <c r="H45801" i="16"/>
  <c r="H45802" i="16"/>
  <c r="H45803" i="16"/>
  <c r="H45804" i="16"/>
  <c r="H45805" i="16"/>
  <c r="H45806" i="16"/>
  <c r="H45807" i="16"/>
  <c r="H45808" i="16"/>
  <c r="H45809" i="16"/>
  <c r="H45810" i="16"/>
  <c r="H45811" i="16"/>
  <c r="H45812" i="16"/>
  <c r="H45813" i="16"/>
  <c r="H45814" i="16"/>
  <c r="H45815" i="16"/>
  <c r="H45816" i="16"/>
  <c r="H45817" i="16"/>
  <c r="H45818" i="16"/>
  <c r="H45819" i="16"/>
  <c r="H45820" i="16"/>
  <c r="H45821" i="16"/>
  <c r="H45822" i="16"/>
  <c r="H45823" i="16"/>
  <c r="H45824" i="16"/>
  <c r="H45825" i="16"/>
  <c r="H45826" i="16"/>
  <c r="H45827" i="16"/>
  <c r="H45828" i="16"/>
  <c r="H45829" i="16"/>
  <c r="H45830" i="16"/>
  <c r="H45831" i="16"/>
  <c r="H45832" i="16"/>
  <c r="H45833" i="16"/>
  <c r="H45834" i="16"/>
  <c r="H45835" i="16"/>
  <c r="H45836" i="16"/>
  <c r="H45837" i="16"/>
  <c r="H45838" i="16"/>
  <c r="H45839" i="16"/>
  <c r="H45840" i="16"/>
  <c r="H45841" i="16"/>
  <c r="H45842" i="16"/>
  <c r="H45843" i="16"/>
  <c r="H45844" i="16"/>
  <c r="H45845" i="16"/>
  <c r="H45846" i="16"/>
  <c r="H45847" i="16"/>
  <c r="H45848" i="16"/>
  <c r="H45849" i="16"/>
  <c r="H45850" i="16"/>
  <c r="H45851" i="16"/>
  <c r="H45852" i="16"/>
  <c r="H45853" i="16"/>
  <c r="H45854" i="16"/>
  <c r="H45855" i="16"/>
  <c r="H45856" i="16"/>
  <c r="H45857" i="16"/>
  <c r="H45858" i="16"/>
  <c r="H45859" i="16"/>
  <c r="H45860" i="16"/>
  <c r="H45861" i="16"/>
  <c r="H45862" i="16"/>
  <c r="H45863" i="16"/>
  <c r="H45864" i="16"/>
  <c r="H45865" i="16"/>
  <c r="H45866" i="16"/>
  <c r="H45867" i="16"/>
  <c r="H45868" i="16"/>
  <c r="H45869" i="16"/>
  <c r="H45870" i="16"/>
  <c r="H45871" i="16"/>
  <c r="H45872" i="16"/>
  <c r="H45873" i="16"/>
  <c r="H45874" i="16"/>
  <c r="H45875" i="16"/>
  <c r="H45876" i="16"/>
  <c r="H45877" i="16"/>
  <c r="H45878" i="16"/>
  <c r="H45879" i="16"/>
  <c r="H45880" i="16"/>
  <c r="H45881" i="16"/>
  <c r="H45882" i="16"/>
  <c r="H45883" i="16"/>
  <c r="H45884" i="16"/>
  <c r="H45885" i="16"/>
  <c r="H45886" i="16"/>
  <c r="H45887" i="16"/>
  <c r="H45888" i="16"/>
  <c r="H45889" i="16"/>
  <c r="H45890" i="16"/>
  <c r="H45891" i="16"/>
  <c r="H45892" i="16"/>
  <c r="H45893" i="16"/>
  <c r="H45894" i="16"/>
  <c r="H45895" i="16"/>
  <c r="H45896" i="16"/>
  <c r="H45897" i="16"/>
  <c r="H45898" i="16"/>
  <c r="H45899" i="16"/>
  <c r="H45900" i="16"/>
  <c r="H45901" i="16"/>
  <c r="H45902" i="16"/>
  <c r="H45903" i="16"/>
  <c r="H45904" i="16"/>
  <c r="H45905" i="16"/>
  <c r="H45906" i="16"/>
  <c r="H45907" i="16"/>
  <c r="H45908" i="16"/>
  <c r="H45909" i="16"/>
  <c r="H45910" i="16"/>
  <c r="H45911" i="16"/>
  <c r="H45912" i="16"/>
  <c r="H45913" i="16"/>
  <c r="H45914" i="16"/>
  <c r="H45915" i="16"/>
  <c r="H45916" i="16"/>
  <c r="H45917" i="16"/>
  <c r="H45918" i="16"/>
  <c r="H45919" i="16"/>
  <c r="H45920" i="16"/>
  <c r="H45921" i="16"/>
  <c r="H45922" i="16"/>
  <c r="H45923" i="16"/>
  <c r="H45924" i="16"/>
  <c r="H45925" i="16"/>
  <c r="H45926" i="16"/>
  <c r="H45927" i="16"/>
  <c r="H45928" i="16"/>
  <c r="H45929" i="16"/>
  <c r="H45930" i="16"/>
  <c r="H45931" i="16"/>
  <c r="H45932" i="16"/>
  <c r="H45933" i="16"/>
  <c r="H45934" i="16"/>
  <c r="H45935" i="16"/>
  <c r="H45936" i="16"/>
  <c r="H45937" i="16"/>
  <c r="H45938" i="16"/>
  <c r="H45939" i="16"/>
  <c r="H45940" i="16"/>
  <c r="H45941" i="16"/>
  <c r="H45942" i="16"/>
  <c r="H45943" i="16"/>
  <c r="H45944" i="16"/>
  <c r="H45945" i="16"/>
  <c r="H45946" i="16"/>
  <c r="H45947" i="16"/>
  <c r="H45948" i="16"/>
  <c r="H45949" i="16"/>
  <c r="H45950" i="16"/>
  <c r="H45951" i="16"/>
  <c r="H45952" i="16"/>
  <c r="H45953" i="16"/>
  <c r="H45954" i="16"/>
  <c r="H45955" i="16"/>
  <c r="H45956" i="16"/>
  <c r="H45957" i="16"/>
  <c r="H45958" i="16"/>
  <c r="H45959" i="16"/>
  <c r="H45960" i="16"/>
  <c r="H45961" i="16"/>
  <c r="H45962" i="16"/>
  <c r="H45963" i="16"/>
  <c r="H45964" i="16"/>
  <c r="H45965" i="16"/>
  <c r="H45966" i="16"/>
  <c r="H45967" i="16"/>
  <c r="H45968" i="16"/>
  <c r="H45969" i="16"/>
  <c r="H45970" i="16"/>
  <c r="H45971" i="16"/>
  <c r="H45972" i="16"/>
  <c r="H45973" i="16"/>
  <c r="H45974" i="16"/>
  <c r="H45975" i="16"/>
  <c r="H45976" i="16"/>
  <c r="H45977" i="16"/>
  <c r="H45978" i="16"/>
  <c r="H45979" i="16"/>
  <c r="H45980" i="16"/>
  <c r="H45981" i="16"/>
  <c r="H45982" i="16"/>
  <c r="H45983" i="16"/>
  <c r="H45984" i="16"/>
  <c r="H45985" i="16"/>
  <c r="H45986" i="16"/>
  <c r="H45987" i="16"/>
  <c r="H45988" i="16"/>
  <c r="H45989" i="16"/>
  <c r="H45990" i="16"/>
  <c r="H45991" i="16"/>
  <c r="H45992" i="16"/>
  <c r="H45993" i="16"/>
  <c r="H45994" i="16"/>
  <c r="H45995" i="16"/>
  <c r="H45996" i="16"/>
  <c r="H45997" i="16"/>
  <c r="H45998" i="16"/>
  <c r="H45999" i="16"/>
  <c r="H46000" i="16"/>
  <c r="H46001" i="16"/>
  <c r="H46002" i="16"/>
  <c r="H46003" i="16"/>
  <c r="H46004" i="16"/>
  <c r="H46005" i="16"/>
  <c r="H46006" i="16"/>
  <c r="H46007" i="16"/>
  <c r="H46008" i="16"/>
  <c r="H46009" i="16"/>
  <c r="H46010" i="16"/>
  <c r="H46011" i="16"/>
  <c r="H46012" i="16"/>
  <c r="H46013" i="16"/>
  <c r="H46014" i="16"/>
  <c r="H46015" i="16"/>
  <c r="H46016" i="16"/>
  <c r="H46017" i="16"/>
  <c r="H46018" i="16"/>
  <c r="H46019" i="16"/>
  <c r="H46020" i="16"/>
  <c r="H46021" i="16"/>
  <c r="H46022" i="16"/>
  <c r="H46023" i="16"/>
  <c r="H46024" i="16"/>
  <c r="H46025" i="16"/>
  <c r="H46026" i="16"/>
  <c r="H46027" i="16"/>
  <c r="H46028" i="16"/>
  <c r="H46029" i="16"/>
  <c r="H46030" i="16"/>
  <c r="H46031" i="16"/>
  <c r="H46032" i="16"/>
  <c r="H46033" i="16"/>
  <c r="H46034" i="16"/>
  <c r="H46035" i="16"/>
  <c r="H46036" i="16"/>
  <c r="H46037" i="16"/>
  <c r="H46038" i="16"/>
  <c r="H46039" i="16"/>
  <c r="H46040" i="16"/>
  <c r="H46041" i="16"/>
  <c r="H46042" i="16"/>
  <c r="H46043" i="16"/>
  <c r="H46044" i="16"/>
  <c r="H46045" i="16"/>
  <c r="H46046" i="16"/>
  <c r="H46047" i="16"/>
  <c r="H46048" i="16"/>
  <c r="H46049" i="16"/>
  <c r="H46050" i="16"/>
  <c r="H46051" i="16"/>
  <c r="H46052" i="16"/>
  <c r="H46053" i="16"/>
  <c r="H46054" i="16"/>
  <c r="H46055" i="16"/>
  <c r="H46056" i="16"/>
  <c r="H46057" i="16"/>
  <c r="H46058" i="16"/>
  <c r="H46059" i="16"/>
  <c r="H46060" i="16"/>
  <c r="H46061" i="16"/>
  <c r="H46062" i="16"/>
  <c r="H46063" i="16"/>
  <c r="H46064" i="16"/>
  <c r="H46065" i="16"/>
  <c r="H46066" i="16"/>
  <c r="H46067" i="16"/>
  <c r="H46068" i="16"/>
  <c r="H46069" i="16"/>
  <c r="H46070" i="16"/>
  <c r="H46071" i="16"/>
  <c r="H46072" i="16"/>
  <c r="H46073" i="16"/>
  <c r="H46074" i="16"/>
  <c r="H46075" i="16"/>
  <c r="H46076" i="16"/>
  <c r="H46077" i="16"/>
  <c r="H46078" i="16"/>
  <c r="H46079" i="16"/>
  <c r="H46080" i="16"/>
  <c r="H46081" i="16"/>
  <c r="H46082" i="16"/>
  <c r="H46083" i="16"/>
  <c r="H46084" i="16"/>
  <c r="H46085" i="16"/>
  <c r="H46086" i="16"/>
  <c r="H46087" i="16"/>
  <c r="H46088" i="16"/>
  <c r="H46089" i="16"/>
  <c r="H46090" i="16"/>
  <c r="H46091" i="16"/>
  <c r="H46092" i="16"/>
  <c r="H46093" i="16"/>
  <c r="H46094" i="16"/>
  <c r="H46095" i="16"/>
  <c r="H46096" i="16"/>
  <c r="H46097" i="16"/>
  <c r="H46098" i="16"/>
  <c r="H46099" i="16"/>
  <c r="H46100" i="16"/>
  <c r="H46101" i="16"/>
  <c r="H46102" i="16"/>
  <c r="H46103" i="16"/>
  <c r="H46104" i="16"/>
  <c r="H46105" i="16"/>
  <c r="H46106" i="16"/>
  <c r="H46107" i="16"/>
  <c r="H46108" i="16"/>
  <c r="H46109" i="16"/>
  <c r="H46110" i="16"/>
  <c r="H46111" i="16"/>
  <c r="H46112" i="16"/>
  <c r="H46113" i="16"/>
  <c r="H46114" i="16"/>
  <c r="H46115" i="16"/>
  <c r="H46116" i="16"/>
  <c r="H46117" i="16"/>
  <c r="H46118" i="16"/>
  <c r="H46119" i="16"/>
  <c r="H46120" i="16"/>
  <c r="H46121" i="16"/>
  <c r="H46122" i="16"/>
  <c r="H46123" i="16"/>
  <c r="H46124" i="16"/>
  <c r="H46125" i="16"/>
  <c r="H46126" i="16"/>
  <c r="H46127" i="16"/>
  <c r="H46128" i="16"/>
  <c r="H46129" i="16"/>
  <c r="H46130" i="16"/>
  <c r="H46131" i="16"/>
  <c r="H46132" i="16"/>
  <c r="H46133" i="16"/>
  <c r="H46134" i="16"/>
  <c r="H46135" i="16"/>
  <c r="H46136" i="16"/>
  <c r="H46137" i="16"/>
  <c r="H46138" i="16"/>
  <c r="H46139" i="16"/>
  <c r="H46140" i="16"/>
  <c r="H46141" i="16"/>
  <c r="H46142" i="16"/>
  <c r="H46143" i="16"/>
  <c r="H46144" i="16"/>
  <c r="H46145" i="16"/>
  <c r="H46146" i="16"/>
  <c r="H46147" i="16"/>
  <c r="H46148" i="16"/>
  <c r="H46149" i="16"/>
  <c r="H46150" i="16"/>
  <c r="H46151" i="16"/>
  <c r="H46152" i="16"/>
  <c r="H46153" i="16"/>
  <c r="H46154" i="16"/>
  <c r="H46155" i="16"/>
  <c r="H46156" i="16"/>
  <c r="H46157" i="16"/>
  <c r="H46158" i="16"/>
  <c r="H46159" i="16"/>
  <c r="H46160" i="16"/>
  <c r="H46161" i="16"/>
  <c r="H46162" i="16"/>
  <c r="H46163" i="16"/>
  <c r="H46164" i="16"/>
  <c r="H46165" i="16"/>
  <c r="H46166" i="16"/>
  <c r="H46167" i="16"/>
  <c r="H46168" i="16"/>
  <c r="H46169" i="16"/>
  <c r="H46170" i="16"/>
  <c r="H46171" i="16"/>
  <c r="H46172" i="16"/>
  <c r="H46173" i="16"/>
  <c r="H46174" i="16"/>
  <c r="H46175" i="16"/>
  <c r="H46176" i="16"/>
  <c r="H46177" i="16"/>
  <c r="H46178" i="16"/>
  <c r="H46179" i="16"/>
  <c r="H46180" i="16"/>
  <c r="H46181" i="16"/>
  <c r="H46182" i="16"/>
  <c r="H46183" i="16"/>
  <c r="H46184" i="16"/>
  <c r="H46185" i="16"/>
  <c r="H46186" i="16"/>
  <c r="H46187" i="16"/>
  <c r="H46188" i="16"/>
  <c r="H46189" i="16"/>
  <c r="H46190" i="16"/>
  <c r="H46191" i="16"/>
  <c r="H46192" i="16"/>
  <c r="H46193" i="16"/>
  <c r="H46194" i="16"/>
  <c r="H46195" i="16"/>
  <c r="H46196" i="16"/>
  <c r="H46197" i="16"/>
  <c r="H46198" i="16"/>
  <c r="H46199" i="16"/>
  <c r="H46200" i="16"/>
  <c r="H46201" i="16"/>
  <c r="H46202" i="16"/>
  <c r="H46203" i="16"/>
  <c r="H46204" i="16"/>
  <c r="H46205" i="16"/>
  <c r="H46206" i="16"/>
  <c r="H46207" i="16"/>
  <c r="H46208" i="16"/>
  <c r="H46209" i="16"/>
  <c r="H46210" i="16"/>
  <c r="H46211" i="16"/>
  <c r="H46212" i="16"/>
  <c r="H46213" i="16"/>
  <c r="H46214" i="16"/>
  <c r="H46215" i="16"/>
  <c r="H46216" i="16"/>
  <c r="H46217" i="16"/>
  <c r="H46218" i="16"/>
  <c r="H46219" i="16"/>
  <c r="H46220" i="16"/>
  <c r="H46221" i="16"/>
  <c r="H46222" i="16"/>
  <c r="H46223" i="16"/>
  <c r="H46224" i="16"/>
  <c r="H46225" i="16"/>
  <c r="H46226" i="16"/>
  <c r="H46227" i="16"/>
  <c r="H46228" i="16"/>
  <c r="H46229" i="16"/>
  <c r="H46230" i="16"/>
  <c r="H46231" i="16"/>
  <c r="H46232" i="16"/>
  <c r="H46233" i="16"/>
  <c r="H46234" i="16"/>
  <c r="H46235" i="16"/>
  <c r="H46236" i="16"/>
  <c r="H46237" i="16"/>
  <c r="H46238" i="16"/>
  <c r="H46239" i="16"/>
  <c r="H46240" i="16"/>
  <c r="H46241" i="16"/>
  <c r="H46242" i="16"/>
  <c r="H46243" i="16"/>
  <c r="H46244" i="16"/>
  <c r="H46245" i="16"/>
  <c r="H46246" i="16"/>
  <c r="H46247" i="16"/>
  <c r="H46248" i="16"/>
  <c r="H46249" i="16"/>
  <c r="H46250" i="16"/>
  <c r="H46251" i="16"/>
  <c r="H46252" i="16"/>
  <c r="H46253" i="16"/>
  <c r="H46254" i="16"/>
  <c r="H46255" i="16"/>
  <c r="H46256" i="16"/>
  <c r="H46257" i="16"/>
  <c r="H46258" i="16"/>
  <c r="H46259" i="16"/>
  <c r="H46260" i="16"/>
  <c r="H46261" i="16"/>
  <c r="H46262" i="16"/>
  <c r="H46263" i="16"/>
  <c r="H46264" i="16"/>
  <c r="H46265" i="16"/>
  <c r="H46266" i="16"/>
  <c r="H46267" i="16"/>
  <c r="H46268" i="16"/>
  <c r="H46269" i="16"/>
  <c r="H46270" i="16"/>
  <c r="H46271" i="16"/>
  <c r="H46272" i="16"/>
  <c r="H46273" i="16"/>
  <c r="H46274" i="16"/>
  <c r="H46275" i="16"/>
  <c r="H46276" i="16"/>
  <c r="H46277" i="16"/>
  <c r="H46278" i="16"/>
  <c r="H46279" i="16"/>
  <c r="H46280" i="16"/>
  <c r="H46281" i="16"/>
  <c r="H46282" i="16"/>
  <c r="H46283" i="16"/>
  <c r="H46284" i="16"/>
  <c r="H46285" i="16"/>
  <c r="H46286" i="16"/>
  <c r="H46287" i="16"/>
  <c r="H46288" i="16"/>
  <c r="H46289" i="16"/>
  <c r="H46290" i="16"/>
  <c r="H46291" i="16"/>
  <c r="H46292" i="16"/>
  <c r="H46293" i="16"/>
  <c r="H46294" i="16"/>
  <c r="H46295" i="16"/>
  <c r="H46296" i="16"/>
  <c r="H46297" i="16"/>
  <c r="H46298" i="16"/>
  <c r="H46299" i="16"/>
  <c r="H46300" i="16"/>
  <c r="H46301" i="16"/>
  <c r="H46302" i="16"/>
  <c r="H46303" i="16"/>
  <c r="H46304" i="16"/>
  <c r="H46305" i="16"/>
  <c r="H46306" i="16"/>
  <c r="H46307" i="16"/>
  <c r="H46308" i="16"/>
  <c r="H46309" i="16"/>
  <c r="H46310" i="16"/>
  <c r="H46311" i="16"/>
  <c r="H46312" i="16"/>
  <c r="H46313" i="16"/>
  <c r="H46314" i="16"/>
  <c r="H46315" i="16"/>
  <c r="H46316" i="16"/>
  <c r="H46317" i="16"/>
  <c r="H46318" i="16"/>
  <c r="H46319" i="16"/>
  <c r="H46320" i="16"/>
  <c r="H46321" i="16"/>
  <c r="H46322" i="16"/>
  <c r="H46323" i="16"/>
  <c r="H46324" i="16"/>
  <c r="H46325" i="16"/>
  <c r="H46326" i="16"/>
  <c r="H46327" i="16"/>
  <c r="H46328" i="16"/>
  <c r="H46329" i="16"/>
  <c r="H46330" i="16"/>
  <c r="H46331" i="16"/>
  <c r="H46332" i="16"/>
  <c r="H46333" i="16"/>
  <c r="H46334" i="16"/>
  <c r="H46335" i="16"/>
  <c r="H46336" i="16"/>
  <c r="H46337" i="16"/>
  <c r="H46338" i="16"/>
  <c r="H46339" i="16"/>
  <c r="H46340" i="16"/>
  <c r="H46341" i="16"/>
  <c r="H46342" i="16"/>
  <c r="H46343" i="16"/>
  <c r="H46344" i="16"/>
  <c r="H46345" i="16"/>
  <c r="H46346" i="16"/>
  <c r="H46347" i="16"/>
  <c r="H46348" i="16"/>
  <c r="H46349" i="16"/>
  <c r="H46350" i="16"/>
  <c r="H46351" i="16"/>
  <c r="H46352" i="16"/>
  <c r="H46353" i="16"/>
  <c r="H46354" i="16"/>
  <c r="H46355" i="16"/>
  <c r="H46356" i="16"/>
  <c r="H46357" i="16"/>
  <c r="H46358" i="16"/>
  <c r="H46359" i="16"/>
  <c r="H46360" i="16"/>
  <c r="H46361" i="16"/>
  <c r="H46362" i="16"/>
  <c r="H46363" i="16"/>
  <c r="H46364" i="16"/>
  <c r="H46365" i="16"/>
  <c r="H46366" i="16"/>
  <c r="H46367" i="16"/>
  <c r="H46368" i="16"/>
  <c r="H46369" i="16"/>
  <c r="H46370" i="16"/>
  <c r="H46371" i="16"/>
  <c r="H46372" i="16"/>
  <c r="H46373" i="16"/>
  <c r="H46374" i="16"/>
  <c r="H46375" i="16"/>
  <c r="H46376" i="16"/>
  <c r="H46377" i="16"/>
  <c r="H46378" i="16"/>
  <c r="H46379" i="16"/>
  <c r="H46380" i="16"/>
  <c r="H46381" i="16"/>
  <c r="H46382" i="16"/>
  <c r="H46383" i="16"/>
  <c r="H46384" i="16"/>
  <c r="H46385" i="16"/>
  <c r="H46386" i="16"/>
  <c r="H46387" i="16"/>
  <c r="H46388" i="16"/>
  <c r="H46389" i="16"/>
  <c r="H46390" i="16"/>
  <c r="H46391" i="16"/>
  <c r="H46392" i="16"/>
  <c r="H46393" i="16"/>
  <c r="H46394" i="16"/>
  <c r="H46395" i="16"/>
  <c r="H46396" i="16"/>
  <c r="H46397" i="16"/>
  <c r="H46398" i="16"/>
  <c r="H46399" i="16"/>
  <c r="H46400" i="16"/>
  <c r="H46401" i="16"/>
  <c r="H46402" i="16"/>
  <c r="H46403" i="16"/>
  <c r="H46404" i="16"/>
  <c r="H46405" i="16"/>
  <c r="H46406" i="16"/>
  <c r="H46407" i="16"/>
  <c r="H46408" i="16"/>
  <c r="H46409" i="16"/>
  <c r="H46410" i="16"/>
  <c r="H46411" i="16"/>
  <c r="H46412" i="16"/>
  <c r="H46413" i="16"/>
  <c r="H46414" i="16"/>
  <c r="H46415" i="16"/>
  <c r="H46416" i="16"/>
  <c r="H46417" i="16"/>
  <c r="H46418" i="16"/>
  <c r="H46419" i="16"/>
  <c r="H46420" i="16"/>
  <c r="H46421" i="16"/>
  <c r="H46422" i="16"/>
  <c r="H46423" i="16"/>
  <c r="H46424" i="16"/>
  <c r="H46425" i="16"/>
  <c r="H46426" i="16"/>
  <c r="H46427" i="16"/>
  <c r="H46428" i="16"/>
  <c r="H46429" i="16"/>
  <c r="H46430" i="16"/>
  <c r="H46431" i="16"/>
  <c r="H46432" i="16"/>
  <c r="H46433" i="16"/>
  <c r="H46434" i="16"/>
  <c r="H46435" i="16"/>
  <c r="H46436" i="16"/>
  <c r="H46437" i="16"/>
  <c r="H46438" i="16"/>
  <c r="H46439" i="16"/>
  <c r="H46440" i="16"/>
  <c r="H46441" i="16"/>
  <c r="H46442" i="16"/>
  <c r="H46443" i="16"/>
  <c r="H46444" i="16"/>
  <c r="H46445" i="16"/>
  <c r="H46446" i="16"/>
  <c r="H46447" i="16"/>
  <c r="H46448" i="16"/>
  <c r="H46449" i="16"/>
  <c r="H46450" i="16"/>
  <c r="H46451" i="16"/>
  <c r="H46452" i="16"/>
  <c r="H46453" i="16"/>
  <c r="H46454" i="16"/>
  <c r="H46455" i="16"/>
  <c r="H46456" i="16"/>
  <c r="H46457" i="16"/>
  <c r="H46458" i="16"/>
  <c r="H46459" i="16"/>
  <c r="H46460" i="16"/>
  <c r="H46461" i="16"/>
  <c r="H46462" i="16"/>
  <c r="H46463" i="16"/>
  <c r="H46464" i="16"/>
  <c r="H46465" i="16"/>
  <c r="H46466" i="16"/>
  <c r="H46467" i="16"/>
  <c r="H46468" i="16"/>
  <c r="H46469" i="16"/>
  <c r="H46470" i="16"/>
  <c r="H46471" i="16"/>
  <c r="H46472" i="16"/>
  <c r="H46473" i="16"/>
  <c r="H46474" i="16"/>
  <c r="H46475" i="16"/>
  <c r="H46476" i="16"/>
  <c r="H46477" i="16"/>
  <c r="H46478" i="16"/>
  <c r="H46479" i="16"/>
  <c r="H46480" i="16"/>
  <c r="H46481" i="16"/>
  <c r="H46482" i="16"/>
  <c r="H46483" i="16"/>
  <c r="H46484" i="16"/>
  <c r="H46485" i="16"/>
  <c r="H46486" i="16"/>
  <c r="H46487" i="16"/>
  <c r="H46488" i="16"/>
  <c r="H46489" i="16"/>
  <c r="H46490" i="16"/>
  <c r="H46491" i="16"/>
  <c r="H46492" i="16"/>
  <c r="H46493" i="16"/>
  <c r="H46494" i="16"/>
  <c r="H46495" i="16"/>
  <c r="H46496" i="16"/>
  <c r="H46497" i="16"/>
  <c r="H46498" i="16"/>
  <c r="H46499" i="16"/>
  <c r="H46500" i="16"/>
  <c r="H46501" i="16"/>
  <c r="H46502" i="16"/>
  <c r="H46503" i="16"/>
  <c r="H46504" i="16"/>
  <c r="H46505" i="16"/>
  <c r="H46506" i="16"/>
  <c r="H46507" i="16"/>
  <c r="H46508" i="16"/>
  <c r="H46509" i="16"/>
  <c r="H46510" i="16"/>
  <c r="H46511" i="16"/>
  <c r="H46512" i="16"/>
  <c r="H46513" i="16"/>
  <c r="H46514" i="16"/>
  <c r="H46515" i="16"/>
  <c r="H46516" i="16"/>
  <c r="H46517" i="16"/>
  <c r="H46518" i="16"/>
  <c r="H46519" i="16"/>
  <c r="H46520" i="16"/>
  <c r="H46521" i="16"/>
  <c r="H46522" i="16"/>
  <c r="H46523" i="16"/>
  <c r="H46524" i="16"/>
  <c r="H46525" i="16"/>
  <c r="H46526" i="16"/>
  <c r="H46527" i="16"/>
  <c r="H46528" i="16"/>
  <c r="H46529" i="16"/>
  <c r="H46530" i="16"/>
  <c r="H46531" i="16"/>
  <c r="H46532" i="16"/>
  <c r="H46533" i="16"/>
  <c r="H46534" i="16"/>
  <c r="H46535" i="16"/>
  <c r="H46536" i="16"/>
  <c r="H46537" i="16"/>
  <c r="H46538" i="16"/>
  <c r="H46539" i="16"/>
  <c r="H46540" i="16"/>
  <c r="H46541" i="16"/>
  <c r="H46542" i="16"/>
  <c r="H46543" i="16"/>
  <c r="H46544" i="16"/>
  <c r="H46545" i="16"/>
  <c r="H46546" i="16"/>
  <c r="H46547" i="16"/>
  <c r="H46548" i="16"/>
  <c r="H46549" i="16"/>
  <c r="H46550" i="16"/>
  <c r="H46551" i="16"/>
  <c r="H46552" i="16"/>
  <c r="H46553" i="16"/>
  <c r="H46554" i="16"/>
  <c r="H46555" i="16"/>
  <c r="H46556" i="16"/>
  <c r="H46557" i="16"/>
  <c r="H46558" i="16"/>
  <c r="H46559" i="16"/>
  <c r="H46560" i="16"/>
  <c r="H46561" i="16"/>
  <c r="H46562" i="16"/>
  <c r="H46563" i="16"/>
  <c r="H46564" i="16"/>
  <c r="H46565" i="16"/>
  <c r="H46566" i="16"/>
  <c r="H46567" i="16"/>
  <c r="H46568" i="16"/>
  <c r="H46569" i="16"/>
  <c r="H46570" i="16"/>
  <c r="H46571" i="16"/>
  <c r="H46572" i="16"/>
  <c r="H46573" i="16"/>
  <c r="H46574" i="16"/>
  <c r="H46575" i="16"/>
  <c r="H46576" i="16"/>
  <c r="H46577" i="16"/>
  <c r="H46578" i="16"/>
  <c r="H46579" i="16"/>
  <c r="H46580" i="16"/>
  <c r="H46581" i="16"/>
  <c r="H46582" i="16"/>
  <c r="H46583" i="16"/>
  <c r="H46584" i="16"/>
  <c r="H46585" i="16"/>
  <c r="H46586" i="16"/>
  <c r="H46587" i="16"/>
  <c r="H46588" i="16"/>
  <c r="H46589" i="16"/>
  <c r="H46590" i="16"/>
  <c r="H46591" i="16"/>
  <c r="H46592" i="16"/>
  <c r="H46593" i="16"/>
  <c r="H46594" i="16"/>
  <c r="H46595" i="16"/>
  <c r="H46596" i="16"/>
  <c r="H46597" i="16"/>
  <c r="H46598" i="16"/>
  <c r="H46599" i="16"/>
  <c r="H46600" i="16"/>
  <c r="H46601" i="16"/>
  <c r="H46602" i="16"/>
  <c r="H46603" i="16"/>
  <c r="H46604" i="16"/>
  <c r="H46605" i="16"/>
  <c r="H46606" i="16"/>
  <c r="H46607" i="16"/>
  <c r="H46608" i="16"/>
  <c r="H46609" i="16"/>
  <c r="H46610" i="16"/>
  <c r="H46611" i="16"/>
  <c r="H46612" i="16"/>
  <c r="H46613" i="16"/>
  <c r="H46614" i="16"/>
  <c r="H46615" i="16"/>
  <c r="H46616" i="16"/>
  <c r="H46617" i="16"/>
  <c r="H46618" i="16"/>
  <c r="H46619" i="16"/>
  <c r="H46620" i="16"/>
  <c r="H46621" i="16"/>
  <c r="H46622" i="16"/>
  <c r="H46623" i="16"/>
  <c r="H46624" i="16"/>
  <c r="H46625" i="16"/>
  <c r="H46626" i="16"/>
  <c r="H46627" i="16"/>
  <c r="H46628" i="16"/>
  <c r="H46629" i="16"/>
  <c r="H46630" i="16"/>
  <c r="H46631" i="16"/>
  <c r="H46632" i="16"/>
  <c r="H46633" i="16"/>
  <c r="H46634" i="16"/>
  <c r="H46635" i="16"/>
  <c r="H46636" i="16"/>
  <c r="H46637" i="16"/>
  <c r="H46638" i="16"/>
  <c r="H46639" i="16"/>
  <c r="H46640" i="16"/>
  <c r="H46641" i="16"/>
  <c r="H46642" i="16"/>
  <c r="H46643" i="16"/>
  <c r="H46644" i="16"/>
  <c r="H46645" i="16"/>
  <c r="H46646" i="16"/>
  <c r="H46647" i="16"/>
  <c r="H46648" i="16"/>
  <c r="H46649" i="16"/>
  <c r="H46650" i="16"/>
  <c r="H46651" i="16"/>
  <c r="H46652" i="16"/>
  <c r="H46653" i="16"/>
  <c r="H46654" i="16"/>
  <c r="H46655" i="16"/>
  <c r="H46656" i="16"/>
  <c r="H46657" i="16"/>
  <c r="H46658" i="16"/>
  <c r="H46659" i="16"/>
  <c r="H46660" i="16"/>
  <c r="H46661" i="16"/>
  <c r="H46662" i="16"/>
  <c r="H46663" i="16"/>
  <c r="H46664" i="16"/>
  <c r="H46665" i="16"/>
  <c r="H46666" i="16"/>
  <c r="H46667" i="16"/>
  <c r="H46668" i="16"/>
  <c r="H46669" i="16"/>
  <c r="H46670" i="16"/>
  <c r="H46671" i="16"/>
  <c r="H46672" i="16"/>
  <c r="H46673" i="16"/>
  <c r="H46674" i="16"/>
  <c r="H46675" i="16"/>
  <c r="H46676" i="16"/>
  <c r="H46677" i="16"/>
  <c r="H46678" i="16"/>
  <c r="H46679" i="16"/>
  <c r="H46680" i="16"/>
  <c r="H46681" i="16"/>
  <c r="H46682" i="16"/>
  <c r="H46683" i="16"/>
  <c r="H46684" i="16"/>
  <c r="H46685" i="16"/>
  <c r="H46686" i="16"/>
  <c r="H46687" i="16"/>
  <c r="H46688" i="16"/>
  <c r="H46689" i="16"/>
  <c r="H46690" i="16"/>
  <c r="H46691" i="16"/>
  <c r="H46692" i="16"/>
  <c r="H46693" i="16"/>
  <c r="H46694" i="16"/>
  <c r="H46695" i="16"/>
  <c r="H46696" i="16"/>
  <c r="H46697" i="16"/>
  <c r="H46698" i="16"/>
  <c r="H46699" i="16"/>
  <c r="H46700" i="16"/>
  <c r="H46701" i="16"/>
  <c r="H46702" i="16"/>
  <c r="H46703" i="16"/>
  <c r="H46704" i="16"/>
  <c r="H46705" i="16"/>
  <c r="H46706" i="16"/>
  <c r="H46707" i="16"/>
  <c r="H46708" i="16"/>
  <c r="H46709" i="16"/>
  <c r="H46710" i="16"/>
  <c r="H46711" i="16"/>
  <c r="H46712" i="16"/>
  <c r="H46713" i="16"/>
  <c r="H46714" i="16"/>
  <c r="H46715" i="16"/>
  <c r="H46716" i="16"/>
  <c r="H46717" i="16"/>
  <c r="H46718" i="16"/>
  <c r="H46719" i="16"/>
  <c r="H46720" i="16"/>
  <c r="H46721" i="16"/>
  <c r="H46722" i="16"/>
  <c r="H46723" i="16"/>
  <c r="H46724" i="16"/>
  <c r="H46725" i="16"/>
  <c r="H46726" i="16"/>
  <c r="H46727" i="16"/>
  <c r="H46728" i="16"/>
  <c r="H46729" i="16"/>
  <c r="H46730" i="16"/>
  <c r="H46731" i="16"/>
  <c r="H46732" i="16"/>
  <c r="H46733" i="16"/>
  <c r="H46734" i="16"/>
  <c r="H46735" i="16"/>
  <c r="H46736" i="16"/>
  <c r="H46737" i="16"/>
  <c r="H46738" i="16"/>
  <c r="H46739" i="16"/>
  <c r="H46740" i="16"/>
  <c r="H46741" i="16"/>
  <c r="H46742" i="16"/>
  <c r="H46743" i="16"/>
  <c r="H46744" i="16"/>
  <c r="H46745" i="16"/>
  <c r="H46746" i="16"/>
  <c r="H46747" i="16"/>
  <c r="H46748" i="16"/>
  <c r="H46749" i="16"/>
  <c r="H46750" i="16"/>
  <c r="H46751" i="16"/>
  <c r="H46752" i="16"/>
  <c r="H46753" i="16"/>
  <c r="H46754" i="16"/>
  <c r="H46755" i="16"/>
  <c r="H46756" i="16"/>
  <c r="H46757" i="16"/>
  <c r="H46758" i="16"/>
  <c r="H46759" i="16"/>
  <c r="H46760" i="16"/>
  <c r="H46761" i="16"/>
  <c r="H46762" i="16"/>
  <c r="H46763" i="16"/>
  <c r="H46764" i="16"/>
  <c r="H46765" i="16"/>
  <c r="H46766" i="16"/>
  <c r="H46767" i="16"/>
  <c r="H46768" i="16"/>
  <c r="H46769" i="16"/>
  <c r="H46770" i="16"/>
  <c r="H46771" i="16"/>
  <c r="H46772" i="16"/>
  <c r="H46773" i="16"/>
  <c r="H46774" i="16"/>
  <c r="H46775" i="16"/>
  <c r="H46776" i="16"/>
  <c r="H46777" i="16"/>
  <c r="H46778" i="16"/>
  <c r="H46779" i="16"/>
  <c r="H46780" i="16"/>
  <c r="H46781" i="16"/>
  <c r="H46782" i="16"/>
  <c r="H46783" i="16"/>
  <c r="H46784" i="16"/>
  <c r="H46785" i="16"/>
  <c r="H46786" i="16"/>
  <c r="H46787" i="16"/>
  <c r="H46788" i="16"/>
  <c r="H46789" i="16"/>
  <c r="H46790" i="16"/>
  <c r="H46791" i="16"/>
  <c r="H46792" i="16"/>
  <c r="H46793" i="16"/>
  <c r="H46794" i="16"/>
  <c r="H46795" i="16"/>
  <c r="H46796" i="16"/>
  <c r="H46797" i="16"/>
  <c r="H46798" i="16"/>
  <c r="H46799" i="16"/>
  <c r="H46800" i="16"/>
  <c r="H46801" i="16"/>
  <c r="H46802" i="16"/>
  <c r="H46803" i="16"/>
  <c r="H46804" i="16"/>
  <c r="H46805" i="16"/>
  <c r="H46806" i="16"/>
  <c r="H46807" i="16"/>
  <c r="H46808" i="16"/>
  <c r="H46809" i="16"/>
  <c r="H46810" i="16"/>
  <c r="H46811" i="16"/>
  <c r="H46812" i="16"/>
  <c r="H46813" i="16"/>
  <c r="H46814" i="16"/>
  <c r="H46815" i="16"/>
  <c r="H46816" i="16"/>
  <c r="H46817" i="16"/>
  <c r="H46818" i="16"/>
  <c r="H46819" i="16"/>
  <c r="H46820" i="16"/>
  <c r="H46821" i="16"/>
  <c r="H46822" i="16"/>
  <c r="H46823" i="16"/>
  <c r="H46824" i="16"/>
  <c r="H46825" i="16"/>
  <c r="H46826" i="16"/>
  <c r="H46827" i="16"/>
  <c r="H46828" i="16"/>
  <c r="H46829" i="16"/>
  <c r="H46830" i="16"/>
  <c r="H46831" i="16"/>
  <c r="H46832" i="16"/>
  <c r="H46833" i="16"/>
  <c r="H46834" i="16"/>
  <c r="H46835" i="16"/>
  <c r="H46836" i="16"/>
  <c r="H46837" i="16"/>
  <c r="H46838" i="16"/>
  <c r="H46839" i="16"/>
  <c r="H46840" i="16"/>
  <c r="H46841" i="16"/>
  <c r="H46842" i="16"/>
  <c r="H46843" i="16"/>
  <c r="H46844" i="16"/>
  <c r="H46845" i="16"/>
  <c r="H46846" i="16"/>
  <c r="H46847" i="16"/>
  <c r="H46848" i="16"/>
  <c r="H46849" i="16"/>
  <c r="H46850" i="16"/>
  <c r="H46851" i="16"/>
  <c r="H46852" i="16"/>
  <c r="H46853" i="16"/>
  <c r="H46854" i="16"/>
  <c r="H46855" i="16"/>
  <c r="H46856" i="16"/>
  <c r="H46857" i="16"/>
  <c r="H46858" i="16"/>
  <c r="H46859" i="16"/>
  <c r="H46860" i="16"/>
  <c r="H46861" i="16"/>
  <c r="H46862" i="16"/>
  <c r="H46863" i="16"/>
  <c r="H46864" i="16"/>
  <c r="H46865" i="16"/>
  <c r="H46866" i="16"/>
  <c r="H46867" i="16"/>
  <c r="H46868" i="16"/>
  <c r="H46869" i="16"/>
  <c r="H46870" i="16"/>
  <c r="H46871" i="16"/>
  <c r="H46872" i="16"/>
  <c r="H46873" i="16"/>
  <c r="H46874" i="16"/>
  <c r="H46875" i="16"/>
  <c r="H46876" i="16"/>
  <c r="H46877" i="16"/>
  <c r="H46878" i="16"/>
  <c r="H46879" i="16"/>
  <c r="H46880" i="16"/>
  <c r="H46881" i="16"/>
  <c r="H46882" i="16"/>
  <c r="H46883" i="16"/>
  <c r="H46884" i="16"/>
  <c r="H46885" i="16"/>
  <c r="H46886" i="16"/>
  <c r="H46887" i="16"/>
  <c r="H46888" i="16"/>
  <c r="H46889" i="16"/>
  <c r="H46890" i="16"/>
  <c r="H46891" i="16"/>
  <c r="H46892" i="16"/>
  <c r="H46893" i="16"/>
  <c r="H46894" i="16"/>
  <c r="H46895" i="16"/>
  <c r="H46896" i="16"/>
  <c r="H46897" i="16"/>
  <c r="H46898" i="16"/>
  <c r="H46899" i="16"/>
  <c r="H46900" i="16"/>
  <c r="H46901" i="16"/>
  <c r="H46902" i="16"/>
  <c r="H46903" i="16"/>
  <c r="H46904" i="16"/>
  <c r="H46905" i="16"/>
  <c r="H46906" i="16"/>
  <c r="H46907" i="16"/>
  <c r="H46908" i="16"/>
  <c r="H46909" i="16"/>
  <c r="H46910" i="16"/>
  <c r="H46911" i="16"/>
  <c r="H46912" i="16"/>
  <c r="H46913" i="16"/>
  <c r="H46914" i="16"/>
  <c r="H46915" i="16"/>
  <c r="H46916" i="16"/>
  <c r="H46917" i="16"/>
  <c r="H46918" i="16"/>
  <c r="H46919" i="16"/>
  <c r="H46920" i="16"/>
  <c r="H46921" i="16"/>
  <c r="H46922" i="16"/>
  <c r="H46923" i="16"/>
  <c r="H46924" i="16"/>
  <c r="H46925" i="16"/>
  <c r="H46926" i="16"/>
  <c r="H46927" i="16"/>
  <c r="H46928" i="16"/>
  <c r="H46929" i="16"/>
  <c r="H46930" i="16"/>
  <c r="H46931" i="16"/>
  <c r="H46932" i="16"/>
  <c r="H46933" i="16"/>
  <c r="H46934" i="16"/>
  <c r="H46935" i="16"/>
  <c r="H46936" i="16"/>
  <c r="H46937" i="16"/>
  <c r="H46938" i="16"/>
  <c r="H46939" i="16"/>
  <c r="H46940" i="16"/>
  <c r="H46941" i="16"/>
  <c r="H46942" i="16"/>
  <c r="H46943" i="16"/>
  <c r="H46944" i="16"/>
  <c r="H46945" i="16"/>
  <c r="H46946" i="16"/>
  <c r="H46947" i="16"/>
  <c r="H46948" i="16"/>
  <c r="H46949" i="16"/>
  <c r="H46950" i="16"/>
  <c r="H46951" i="16"/>
  <c r="H46952" i="16"/>
  <c r="H46953" i="16"/>
  <c r="H46954" i="16"/>
  <c r="H46955" i="16"/>
  <c r="H46956" i="16"/>
  <c r="H46957" i="16"/>
  <c r="H46958" i="16"/>
  <c r="H46959" i="16"/>
  <c r="H46960" i="16"/>
  <c r="H46961" i="16"/>
  <c r="H46962" i="16"/>
  <c r="H46963" i="16"/>
  <c r="H46964" i="16"/>
  <c r="H46965" i="16"/>
  <c r="H46966" i="16"/>
  <c r="H46967" i="16"/>
  <c r="H46968" i="16"/>
  <c r="H46969" i="16"/>
  <c r="H46970" i="16"/>
  <c r="H46971" i="16"/>
  <c r="H46972" i="16"/>
  <c r="H46973" i="16"/>
  <c r="H46974" i="16"/>
  <c r="H46975" i="16"/>
  <c r="H46976" i="16"/>
  <c r="H46977" i="16"/>
  <c r="H46978" i="16"/>
  <c r="H46979" i="16"/>
  <c r="H46980" i="16"/>
  <c r="H46981" i="16"/>
  <c r="H46982" i="16"/>
  <c r="H46983" i="16"/>
  <c r="H46984" i="16"/>
  <c r="H46985" i="16"/>
  <c r="H46986" i="16"/>
  <c r="H46987" i="16"/>
  <c r="H46988" i="16"/>
  <c r="H46989" i="16"/>
  <c r="H46990" i="16"/>
  <c r="H46991" i="16"/>
  <c r="H46992" i="16"/>
  <c r="H46993" i="16"/>
  <c r="H46994" i="16"/>
  <c r="H46995" i="16"/>
  <c r="H46996" i="16"/>
  <c r="H46997" i="16"/>
  <c r="H46998" i="16"/>
  <c r="H46999" i="16"/>
  <c r="H47000" i="16"/>
  <c r="H47001" i="16"/>
  <c r="H47002" i="16"/>
  <c r="H47003" i="16"/>
  <c r="H47004" i="16"/>
  <c r="H47005" i="16"/>
  <c r="H47006" i="16"/>
  <c r="H47007" i="16"/>
  <c r="H47008" i="16"/>
  <c r="H47009" i="16"/>
  <c r="H47010" i="16"/>
  <c r="H47011" i="16"/>
  <c r="H47012" i="16"/>
  <c r="H47013" i="16"/>
  <c r="H47014" i="16"/>
  <c r="H47015" i="16"/>
  <c r="H47016" i="16"/>
  <c r="H47017" i="16"/>
  <c r="H47018" i="16"/>
  <c r="H47019" i="16"/>
  <c r="H47020" i="16"/>
  <c r="H47021" i="16"/>
  <c r="H47022" i="16"/>
  <c r="H47023" i="16"/>
  <c r="H47024" i="16"/>
  <c r="H47025" i="16"/>
  <c r="H47026" i="16"/>
  <c r="H47027" i="16"/>
  <c r="H47028" i="16"/>
  <c r="H47029" i="16"/>
  <c r="H47030" i="16"/>
  <c r="H47031" i="16"/>
  <c r="H47032" i="16"/>
  <c r="H47033" i="16"/>
  <c r="H47034" i="16"/>
  <c r="H47035" i="16"/>
  <c r="H47036" i="16"/>
  <c r="H47037" i="16"/>
  <c r="H47038" i="16"/>
  <c r="H47039" i="16"/>
  <c r="H47040" i="16"/>
  <c r="H47041" i="16"/>
  <c r="H47042" i="16"/>
  <c r="H47043" i="16"/>
  <c r="H47044" i="16"/>
  <c r="H47045" i="16"/>
  <c r="H47046" i="16"/>
  <c r="H47047" i="16"/>
  <c r="H47048" i="16"/>
  <c r="H47049" i="16"/>
  <c r="H47050" i="16"/>
  <c r="H47051" i="16"/>
  <c r="H47052" i="16"/>
  <c r="H47053" i="16"/>
  <c r="H47054" i="16"/>
  <c r="H47055" i="16"/>
  <c r="H47056" i="16"/>
  <c r="H47057" i="16"/>
  <c r="H47058" i="16"/>
  <c r="H47059" i="16"/>
  <c r="H47060" i="16"/>
  <c r="H47061" i="16"/>
  <c r="H47062" i="16"/>
  <c r="H47063" i="16"/>
  <c r="H47064" i="16"/>
  <c r="H47065" i="16"/>
  <c r="H47066" i="16"/>
  <c r="H47067" i="16"/>
  <c r="H47068" i="16"/>
  <c r="H47069" i="16"/>
  <c r="H47070" i="16"/>
  <c r="H47071" i="16"/>
  <c r="H47072" i="16"/>
  <c r="H47073" i="16"/>
  <c r="H47074" i="16"/>
  <c r="H47075" i="16"/>
  <c r="H47076" i="16"/>
  <c r="H47077" i="16"/>
  <c r="H47078" i="16"/>
  <c r="H47079" i="16"/>
  <c r="H47080" i="16"/>
  <c r="H47081" i="16"/>
  <c r="H47082" i="16"/>
  <c r="H47083" i="16"/>
  <c r="H47084" i="16"/>
  <c r="H47085" i="16"/>
  <c r="H47086" i="16"/>
  <c r="H47087" i="16"/>
  <c r="H47088" i="16"/>
  <c r="H47089" i="16"/>
  <c r="H47090" i="16"/>
  <c r="H47091" i="16"/>
  <c r="H47092" i="16"/>
  <c r="H47093" i="16"/>
  <c r="H47094" i="16"/>
  <c r="H47095" i="16"/>
  <c r="H47096" i="16"/>
  <c r="H47097" i="16"/>
  <c r="H47098" i="16"/>
  <c r="H47099" i="16"/>
  <c r="H47100" i="16"/>
  <c r="H47101" i="16"/>
  <c r="H47102" i="16"/>
  <c r="H47103" i="16"/>
  <c r="H47104" i="16"/>
  <c r="H47105" i="16"/>
  <c r="H47106" i="16"/>
  <c r="H47107" i="16"/>
  <c r="H47108" i="16"/>
  <c r="H47109" i="16"/>
  <c r="H47110" i="16"/>
  <c r="H47111" i="16"/>
  <c r="H47112" i="16"/>
  <c r="H47113" i="16"/>
  <c r="H47114" i="16"/>
  <c r="H47115" i="16"/>
  <c r="H47116" i="16"/>
  <c r="H47117" i="16"/>
  <c r="H47118" i="16"/>
  <c r="H47119" i="16"/>
  <c r="H47120" i="16"/>
  <c r="H47121" i="16"/>
  <c r="H47122" i="16"/>
  <c r="H47123" i="16"/>
  <c r="H47124" i="16"/>
  <c r="H47125" i="16"/>
  <c r="H47126" i="16"/>
  <c r="H47127" i="16"/>
  <c r="H47128" i="16"/>
  <c r="H47129" i="16"/>
  <c r="H47130" i="16"/>
  <c r="H47131" i="16"/>
  <c r="H47132" i="16"/>
  <c r="H47133" i="16"/>
  <c r="H47134" i="16"/>
  <c r="H47135" i="16"/>
  <c r="H47136" i="16"/>
  <c r="H47137" i="16"/>
  <c r="H47138" i="16"/>
  <c r="H47139" i="16"/>
  <c r="H47140" i="16"/>
  <c r="H47141" i="16"/>
  <c r="H47142" i="16"/>
  <c r="H47143" i="16"/>
  <c r="H47144" i="16"/>
  <c r="H47145" i="16"/>
  <c r="H47146" i="16"/>
  <c r="H47147" i="16"/>
  <c r="H47148" i="16"/>
  <c r="H47149" i="16"/>
  <c r="H47150" i="16"/>
  <c r="H47151" i="16"/>
  <c r="H47152" i="16"/>
  <c r="H47153" i="16"/>
  <c r="H47154" i="16"/>
  <c r="H47155" i="16"/>
  <c r="H47156" i="16"/>
  <c r="H47157" i="16"/>
  <c r="H47158" i="16"/>
  <c r="H47159" i="16"/>
  <c r="H47160" i="16"/>
  <c r="H47161" i="16"/>
  <c r="H47162" i="16"/>
  <c r="H47163" i="16"/>
  <c r="H47164" i="16"/>
  <c r="H47165" i="16"/>
  <c r="H47166" i="16"/>
  <c r="H47167" i="16"/>
  <c r="H47168" i="16"/>
  <c r="H47169" i="16"/>
  <c r="H47170" i="16"/>
  <c r="H47171" i="16"/>
  <c r="H47172" i="16"/>
  <c r="H47173" i="16"/>
  <c r="H47174" i="16"/>
  <c r="H47175" i="16"/>
  <c r="H47176" i="16"/>
  <c r="H47177" i="16"/>
  <c r="H47178" i="16"/>
  <c r="H47179" i="16"/>
  <c r="H47180" i="16"/>
  <c r="H47181" i="16"/>
  <c r="H47182" i="16"/>
  <c r="H47183" i="16"/>
  <c r="H47184" i="16"/>
  <c r="H47185" i="16"/>
  <c r="H47186" i="16"/>
  <c r="H47187" i="16"/>
  <c r="H47188" i="16"/>
  <c r="H47189" i="16"/>
  <c r="H47190" i="16"/>
  <c r="H47191" i="16"/>
  <c r="H47192" i="16"/>
  <c r="H47193" i="16"/>
  <c r="H47194" i="16"/>
  <c r="H47195" i="16"/>
  <c r="H47196" i="16"/>
  <c r="H47197" i="16"/>
  <c r="H47198" i="16"/>
  <c r="H47199" i="16"/>
  <c r="H47200" i="16"/>
  <c r="H47201" i="16"/>
  <c r="H47202" i="16"/>
  <c r="H47203" i="16"/>
  <c r="H47204" i="16"/>
  <c r="H47205" i="16"/>
  <c r="H47206" i="16"/>
  <c r="H47207" i="16"/>
  <c r="H47208" i="16"/>
  <c r="H47209" i="16"/>
  <c r="H47210" i="16"/>
  <c r="H47211" i="16"/>
  <c r="H47212" i="16"/>
  <c r="H47213" i="16"/>
  <c r="H47214" i="16"/>
  <c r="H47215" i="16"/>
  <c r="H47216" i="16"/>
  <c r="H47217" i="16"/>
  <c r="H47218" i="16"/>
  <c r="H47219" i="16"/>
  <c r="H47220" i="16"/>
  <c r="H47221" i="16"/>
  <c r="H47222" i="16"/>
  <c r="H47223" i="16"/>
  <c r="H47224" i="16"/>
  <c r="H47225" i="16"/>
  <c r="H47226" i="16"/>
  <c r="H47227" i="16"/>
  <c r="H47228" i="16"/>
  <c r="H47229" i="16"/>
  <c r="H47230" i="16"/>
  <c r="H47231" i="16"/>
  <c r="H47232" i="16"/>
  <c r="H47233" i="16"/>
  <c r="H47234" i="16"/>
  <c r="H47235" i="16"/>
  <c r="H47236" i="16"/>
  <c r="H47237" i="16"/>
  <c r="H47238" i="16"/>
  <c r="H47239" i="16"/>
  <c r="H47240" i="16"/>
  <c r="H47241" i="16"/>
  <c r="H47242" i="16"/>
  <c r="H47243" i="16"/>
  <c r="H47244" i="16"/>
  <c r="H47245" i="16"/>
  <c r="H47246" i="16"/>
  <c r="H47247" i="16"/>
  <c r="H47248" i="16"/>
  <c r="H47249" i="16"/>
  <c r="H47250" i="16"/>
  <c r="H47251" i="16"/>
  <c r="H47252" i="16"/>
  <c r="H47253" i="16"/>
  <c r="H47254" i="16"/>
  <c r="H47255" i="16"/>
  <c r="H47256" i="16"/>
  <c r="H47257" i="16"/>
  <c r="H47258" i="16"/>
  <c r="H47259" i="16"/>
  <c r="H47260" i="16"/>
  <c r="H47261" i="16"/>
  <c r="H47262" i="16"/>
  <c r="H47263" i="16"/>
  <c r="H47264" i="16"/>
  <c r="H47265" i="16"/>
  <c r="H47266" i="16"/>
  <c r="H47267" i="16"/>
  <c r="H47268" i="16"/>
  <c r="H47269" i="16"/>
  <c r="H47270" i="16"/>
  <c r="H47271" i="16"/>
  <c r="H47272" i="16"/>
  <c r="H47273" i="16"/>
  <c r="H47274" i="16"/>
  <c r="H47275" i="16"/>
  <c r="H47276" i="16"/>
  <c r="H47277" i="16"/>
  <c r="H47278" i="16"/>
  <c r="H47279" i="16"/>
  <c r="H47280" i="16"/>
  <c r="H47281" i="16"/>
  <c r="H47282" i="16"/>
  <c r="H47283" i="16"/>
  <c r="H47284" i="16"/>
  <c r="H47285" i="16"/>
  <c r="H47286" i="16"/>
  <c r="H47287" i="16"/>
  <c r="H47288" i="16"/>
  <c r="H47289" i="16"/>
  <c r="H47290" i="16"/>
  <c r="H47291" i="16"/>
  <c r="H47292" i="16"/>
  <c r="H47293" i="16"/>
  <c r="H47294" i="16"/>
  <c r="H47295" i="16"/>
  <c r="H47296" i="16"/>
  <c r="H47297" i="16"/>
  <c r="H47298" i="16"/>
  <c r="H47299" i="16"/>
  <c r="H47300" i="16"/>
  <c r="H47301" i="16"/>
  <c r="H47302" i="16"/>
  <c r="H47303" i="16"/>
  <c r="H47304" i="16"/>
  <c r="H47305" i="16"/>
  <c r="H47306" i="16"/>
  <c r="H47307" i="16"/>
  <c r="H47308" i="16"/>
  <c r="H47309" i="16"/>
  <c r="H47310" i="16"/>
  <c r="H47311" i="16"/>
  <c r="H47312" i="16"/>
  <c r="H47313" i="16"/>
  <c r="H47314" i="16"/>
  <c r="H47315" i="16"/>
  <c r="H47316" i="16"/>
  <c r="H47317" i="16"/>
  <c r="H47318" i="16"/>
  <c r="H47319" i="16"/>
  <c r="H47320" i="16"/>
  <c r="H47321" i="16"/>
  <c r="H47322" i="16"/>
  <c r="H47323" i="16"/>
  <c r="H47324" i="16"/>
  <c r="H47325" i="16"/>
  <c r="H47326" i="16"/>
  <c r="H47327" i="16"/>
  <c r="H47328" i="16"/>
  <c r="H47329" i="16"/>
  <c r="H47330" i="16"/>
  <c r="H47331" i="16"/>
  <c r="H47332" i="16"/>
  <c r="H47333" i="16"/>
  <c r="H47334" i="16"/>
  <c r="H47335" i="16"/>
  <c r="H47336" i="16"/>
  <c r="H47337" i="16"/>
  <c r="H47338" i="16"/>
  <c r="H47339" i="16"/>
  <c r="H47340" i="16"/>
  <c r="H47341" i="16"/>
  <c r="H47342" i="16"/>
  <c r="H47343" i="16"/>
  <c r="H47344" i="16"/>
  <c r="H47345" i="16"/>
  <c r="H47346" i="16"/>
  <c r="H47347" i="16"/>
  <c r="H47348" i="16"/>
  <c r="H47349" i="16"/>
  <c r="H47350" i="16"/>
  <c r="H47351" i="16"/>
  <c r="H47352" i="16"/>
  <c r="H47353" i="16"/>
  <c r="H47354" i="16"/>
  <c r="H47355" i="16"/>
  <c r="H47356" i="16"/>
  <c r="H47357" i="16"/>
  <c r="H47358" i="16"/>
  <c r="H47359" i="16"/>
  <c r="H47360" i="16"/>
  <c r="H47361" i="16"/>
  <c r="H47362" i="16"/>
  <c r="H47363" i="16"/>
  <c r="H47364" i="16"/>
  <c r="H47365" i="16"/>
  <c r="H47366" i="16"/>
  <c r="H47367" i="16"/>
  <c r="H47368" i="16"/>
  <c r="H47369" i="16"/>
  <c r="H47370" i="16"/>
  <c r="H47371" i="16"/>
  <c r="H47372" i="16"/>
  <c r="H47373" i="16"/>
  <c r="H47374" i="16"/>
  <c r="H47375" i="16"/>
  <c r="H47376" i="16"/>
  <c r="H47377" i="16"/>
  <c r="H47378" i="16"/>
  <c r="H47379" i="16"/>
  <c r="H47380" i="16"/>
  <c r="H47381" i="16"/>
  <c r="H47382" i="16"/>
  <c r="H47383" i="16"/>
  <c r="H47384" i="16"/>
  <c r="H47385" i="16"/>
  <c r="H47386" i="16"/>
  <c r="H47387" i="16"/>
  <c r="H47388" i="16"/>
  <c r="H47389" i="16"/>
  <c r="H47390" i="16"/>
  <c r="H47391" i="16"/>
  <c r="H47392" i="16"/>
  <c r="H47393" i="16"/>
  <c r="H47394" i="16"/>
  <c r="H47395" i="16"/>
  <c r="H47396" i="16"/>
  <c r="H47397" i="16"/>
  <c r="H47398" i="16"/>
  <c r="H47399" i="16"/>
  <c r="H47400" i="16"/>
  <c r="H47401" i="16"/>
  <c r="H47402" i="16"/>
  <c r="H47403" i="16"/>
  <c r="H47404" i="16"/>
  <c r="H47405" i="16"/>
  <c r="H47406" i="16"/>
  <c r="H47407" i="16"/>
  <c r="H47408" i="16"/>
  <c r="H47409" i="16"/>
  <c r="H47410" i="16"/>
  <c r="H47411" i="16"/>
  <c r="H47412" i="16"/>
  <c r="H47413" i="16"/>
  <c r="H47414" i="16"/>
  <c r="H47415" i="16"/>
  <c r="H47416" i="16"/>
  <c r="H47417" i="16"/>
  <c r="H47418" i="16"/>
  <c r="H47419" i="16"/>
  <c r="H47420" i="16"/>
  <c r="H47421" i="16"/>
  <c r="H47422" i="16"/>
  <c r="H47423" i="16"/>
  <c r="H47424" i="16"/>
  <c r="H47425" i="16"/>
  <c r="H47426" i="16"/>
  <c r="H47427" i="16"/>
  <c r="H47428" i="16"/>
  <c r="H47429" i="16"/>
  <c r="H47430" i="16"/>
  <c r="H47431" i="16"/>
  <c r="H47432" i="16"/>
  <c r="H47433" i="16"/>
  <c r="H47434" i="16"/>
  <c r="H47435" i="16"/>
  <c r="H47436" i="16"/>
  <c r="H47437" i="16"/>
  <c r="H47438" i="16"/>
  <c r="H47439" i="16"/>
  <c r="H47440" i="16"/>
  <c r="H47441" i="16"/>
  <c r="H47442" i="16"/>
  <c r="H47443" i="16"/>
  <c r="H47444" i="16"/>
  <c r="H47445" i="16"/>
  <c r="H47446" i="16"/>
  <c r="H47447" i="16"/>
  <c r="H47448" i="16"/>
  <c r="H47449" i="16"/>
  <c r="H47450" i="16"/>
  <c r="H47451" i="16"/>
  <c r="H47452" i="16"/>
  <c r="H47453" i="16"/>
  <c r="H47454" i="16"/>
  <c r="H47455" i="16"/>
  <c r="H47456" i="16"/>
  <c r="H47457" i="16"/>
  <c r="H47458" i="16"/>
  <c r="H47459" i="16"/>
  <c r="H47460" i="16"/>
  <c r="H47461" i="16"/>
  <c r="H47462" i="16"/>
  <c r="H47463" i="16"/>
  <c r="H47464" i="16"/>
  <c r="H47465" i="16"/>
  <c r="H47466" i="16"/>
  <c r="H47467" i="16"/>
  <c r="H47468" i="16"/>
  <c r="H47469" i="16"/>
  <c r="H47470" i="16"/>
  <c r="H47471" i="16"/>
  <c r="H47472" i="16"/>
  <c r="H47473" i="16"/>
  <c r="H47474" i="16"/>
  <c r="H47475" i="16"/>
  <c r="H47476" i="16"/>
  <c r="H47477" i="16"/>
  <c r="H47478" i="16"/>
  <c r="H47479" i="16"/>
  <c r="H47480" i="16"/>
  <c r="H47481" i="16"/>
  <c r="H47482" i="16"/>
  <c r="H47483" i="16"/>
  <c r="H47484" i="16"/>
  <c r="H47485" i="16"/>
  <c r="H47486" i="16"/>
  <c r="H47487" i="16"/>
  <c r="H47488" i="16"/>
  <c r="H47489" i="16"/>
  <c r="H47490" i="16"/>
  <c r="H47491" i="16"/>
  <c r="H47492" i="16"/>
  <c r="H47493" i="16"/>
  <c r="H47494" i="16"/>
  <c r="H47495" i="16"/>
  <c r="H47496" i="16"/>
  <c r="H47497" i="16"/>
  <c r="H47498" i="16"/>
  <c r="H47499" i="16"/>
  <c r="H47500" i="16"/>
  <c r="H47501" i="16"/>
  <c r="H47502" i="16"/>
  <c r="H47503" i="16"/>
  <c r="H47504" i="16"/>
  <c r="H47505" i="16"/>
  <c r="H47506" i="16"/>
  <c r="H47507" i="16"/>
  <c r="H47508" i="16"/>
  <c r="H47509" i="16"/>
  <c r="H47510" i="16"/>
  <c r="H47511" i="16"/>
  <c r="H47512" i="16"/>
  <c r="H47513" i="16"/>
  <c r="H47514" i="16"/>
  <c r="H47515" i="16"/>
  <c r="H47516" i="16"/>
  <c r="H47517" i="16"/>
  <c r="H47518" i="16"/>
  <c r="H47519" i="16"/>
  <c r="H47520" i="16"/>
  <c r="H47521" i="16"/>
  <c r="H47522" i="16"/>
  <c r="H47523" i="16"/>
  <c r="H47524" i="16"/>
  <c r="H47525" i="16"/>
  <c r="H47526" i="16"/>
  <c r="H47527" i="16"/>
  <c r="H47528" i="16"/>
  <c r="H47529" i="16"/>
  <c r="H47530" i="16"/>
  <c r="H47531" i="16"/>
  <c r="H47532" i="16"/>
  <c r="H47533" i="16"/>
  <c r="H47534" i="16"/>
  <c r="H47535" i="16"/>
  <c r="H47536" i="16"/>
  <c r="H47537" i="16"/>
  <c r="H47538" i="16"/>
  <c r="H47539" i="16"/>
  <c r="H47540" i="16"/>
  <c r="H47541" i="16"/>
  <c r="H47542" i="16"/>
  <c r="H47543" i="16"/>
  <c r="H47544" i="16"/>
  <c r="H47545" i="16"/>
  <c r="H47546" i="16"/>
  <c r="H47547" i="16"/>
  <c r="H47548" i="16"/>
  <c r="H47549" i="16"/>
  <c r="H47550" i="16"/>
  <c r="H47551" i="16"/>
  <c r="H47552" i="16"/>
  <c r="H47553" i="16"/>
  <c r="H47554" i="16"/>
  <c r="H47555" i="16"/>
  <c r="H47556" i="16"/>
  <c r="H47557" i="16"/>
  <c r="H47558" i="16"/>
  <c r="H47559" i="16"/>
  <c r="H47560" i="16"/>
  <c r="H47561" i="16"/>
  <c r="H47562" i="16"/>
  <c r="H47563" i="16"/>
  <c r="H47564" i="16"/>
  <c r="H47565" i="16"/>
  <c r="H47566" i="16"/>
  <c r="H47567" i="16"/>
  <c r="H47568" i="16"/>
  <c r="H47569" i="16"/>
  <c r="H47570" i="16"/>
  <c r="H47571" i="16"/>
  <c r="H47572" i="16"/>
  <c r="H47573" i="16"/>
  <c r="H47574" i="16"/>
  <c r="H47575" i="16"/>
  <c r="H47576" i="16"/>
  <c r="H47577" i="16"/>
  <c r="H47578" i="16"/>
  <c r="H47579" i="16"/>
  <c r="H47580" i="16"/>
  <c r="H47581" i="16"/>
  <c r="H47582" i="16"/>
  <c r="H47583" i="16"/>
  <c r="H47584" i="16"/>
  <c r="H47585" i="16"/>
  <c r="H47586" i="16"/>
  <c r="H47587" i="16"/>
  <c r="H47588" i="16"/>
  <c r="H47589" i="16"/>
  <c r="H47590" i="16"/>
  <c r="H47591" i="16"/>
  <c r="H47592" i="16"/>
  <c r="H47593" i="16"/>
  <c r="H47594" i="16"/>
  <c r="H47595" i="16"/>
  <c r="H47596" i="16"/>
  <c r="H47597" i="16"/>
  <c r="H47598" i="16"/>
  <c r="H47599" i="16"/>
  <c r="H47600" i="16"/>
  <c r="H47601" i="16"/>
  <c r="H47602" i="16"/>
  <c r="H47603" i="16"/>
  <c r="H47604" i="16"/>
  <c r="H47605" i="16"/>
  <c r="H47606" i="16"/>
  <c r="H47607" i="16"/>
  <c r="H47608" i="16"/>
  <c r="H47609" i="16"/>
  <c r="H47610" i="16"/>
  <c r="H47611" i="16"/>
  <c r="H47612" i="16"/>
  <c r="H47613" i="16"/>
  <c r="H47614" i="16"/>
  <c r="H47615" i="16"/>
  <c r="H47616" i="16"/>
  <c r="H47617" i="16"/>
  <c r="H47618" i="16"/>
  <c r="H47619" i="16"/>
  <c r="H47620" i="16"/>
  <c r="H47621" i="16"/>
  <c r="H47622" i="16"/>
  <c r="H47623" i="16"/>
  <c r="H47624" i="16"/>
  <c r="H47625" i="16"/>
  <c r="H47626" i="16"/>
  <c r="H47627" i="16"/>
  <c r="H47628" i="16"/>
  <c r="H47629" i="16"/>
  <c r="H47630" i="16"/>
  <c r="H47631" i="16"/>
  <c r="H47632" i="16"/>
  <c r="H47633" i="16"/>
  <c r="H47634" i="16"/>
  <c r="H47635" i="16"/>
  <c r="H47636" i="16"/>
  <c r="H47637" i="16"/>
  <c r="H47638" i="16"/>
  <c r="H47639" i="16"/>
  <c r="H47640" i="16"/>
  <c r="H47641" i="16"/>
  <c r="H47642" i="16"/>
  <c r="H47643" i="16"/>
  <c r="H47644" i="16"/>
  <c r="H47645" i="16"/>
  <c r="H47646" i="16"/>
  <c r="H47647" i="16"/>
  <c r="H47648" i="16"/>
  <c r="H47649" i="16"/>
  <c r="H47650" i="16"/>
  <c r="H47651" i="16"/>
  <c r="H47652" i="16"/>
  <c r="H47653" i="16"/>
  <c r="H47654" i="16"/>
  <c r="H47655" i="16"/>
  <c r="H47656" i="16"/>
  <c r="H47657" i="16"/>
  <c r="H47658" i="16"/>
  <c r="H47659" i="16"/>
  <c r="H47660" i="16"/>
  <c r="H47661" i="16"/>
  <c r="H47662" i="16"/>
  <c r="H47663" i="16"/>
  <c r="H47664" i="16"/>
  <c r="H47665" i="16"/>
  <c r="H47666" i="16"/>
  <c r="H47667" i="16"/>
  <c r="H47668" i="16"/>
  <c r="H47669" i="16"/>
  <c r="H47670" i="16"/>
  <c r="H47671" i="16"/>
  <c r="H47672" i="16"/>
  <c r="H47673" i="16"/>
  <c r="H47674" i="16"/>
  <c r="H47675" i="16"/>
  <c r="H47676" i="16"/>
  <c r="H47677" i="16"/>
  <c r="H47678" i="16"/>
  <c r="H47679" i="16"/>
  <c r="H47680" i="16"/>
  <c r="H47681" i="16"/>
  <c r="H47682" i="16"/>
  <c r="H47683" i="16"/>
  <c r="H47684" i="16"/>
  <c r="H47685" i="16"/>
  <c r="H47686" i="16"/>
  <c r="H47687" i="16"/>
  <c r="H47688" i="16"/>
  <c r="H47689" i="16"/>
  <c r="H47690" i="16"/>
  <c r="H47691" i="16"/>
  <c r="H47692" i="16"/>
  <c r="H47693" i="16"/>
  <c r="H47694" i="16"/>
  <c r="H47695" i="16"/>
  <c r="H47696" i="16"/>
  <c r="H47697" i="16"/>
  <c r="H47698" i="16"/>
  <c r="H47699" i="16"/>
  <c r="H47700" i="16"/>
  <c r="H47701" i="16"/>
  <c r="H47702" i="16"/>
  <c r="H47703" i="16"/>
  <c r="H47704" i="16"/>
  <c r="H47705" i="16"/>
  <c r="H47706" i="16"/>
  <c r="H47707" i="16"/>
  <c r="H47708" i="16"/>
  <c r="H47709" i="16"/>
  <c r="H47710" i="16"/>
  <c r="H47711" i="16"/>
  <c r="H47712" i="16"/>
  <c r="H47713" i="16"/>
  <c r="H47714" i="16"/>
  <c r="H47715" i="16"/>
  <c r="H47716" i="16"/>
  <c r="H47717" i="16"/>
  <c r="H47718" i="16"/>
  <c r="H47719" i="16"/>
  <c r="H47720" i="16"/>
  <c r="H47721" i="16"/>
  <c r="H47722" i="16"/>
  <c r="H47723" i="16"/>
  <c r="H47724" i="16"/>
  <c r="H47725" i="16"/>
  <c r="H47726" i="16"/>
  <c r="H47727" i="16"/>
  <c r="H47728" i="16"/>
  <c r="H47729" i="16"/>
  <c r="H47730" i="16"/>
  <c r="H47731" i="16"/>
  <c r="H47732" i="16"/>
  <c r="H47733" i="16"/>
  <c r="H47734" i="16"/>
  <c r="H47735" i="16"/>
  <c r="H47736" i="16"/>
  <c r="H47737" i="16"/>
  <c r="H47738" i="16"/>
  <c r="H47739" i="16"/>
  <c r="H47740" i="16"/>
  <c r="H47741" i="16"/>
  <c r="H47742" i="16"/>
  <c r="H47743" i="16"/>
  <c r="H47744" i="16"/>
  <c r="H47745" i="16"/>
  <c r="H47746" i="16"/>
  <c r="H47747" i="16"/>
  <c r="H47748" i="16"/>
  <c r="H47749" i="16"/>
  <c r="H47750" i="16"/>
  <c r="H47751" i="16"/>
  <c r="H47752" i="16"/>
  <c r="H47753" i="16"/>
  <c r="H47754" i="16"/>
  <c r="H47755" i="16"/>
  <c r="H47756" i="16"/>
  <c r="H47757" i="16"/>
  <c r="H47758" i="16"/>
  <c r="H47759" i="16"/>
  <c r="H47760" i="16"/>
  <c r="H47761" i="16"/>
  <c r="H47762" i="16"/>
  <c r="H47763" i="16"/>
  <c r="H47764" i="16"/>
  <c r="H47765" i="16"/>
  <c r="H47766" i="16"/>
  <c r="H47767" i="16"/>
  <c r="H47768" i="16"/>
  <c r="H47769" i="16"/>
  <c r="H47770" i="16"/>
  <c r="H47771" i="16"/>
  <c r="H47772" i="16"/>
  <c r="H47773" i="16"/>
  <c r="H47774" i="16"/>
  <c r="H47775" i="16"/>
  <c r="H47776" i="16"/>
  <c r="H47777" i="16"/>
  <c r="H47778" i="16"/>
  <c r="H47779" i="16"/>
  <c r="H47780" i="16"/>
  <c r="H47781" i="16"/>
  <c r="H47782" i="16"/>
  <c r="H47783" i="16"/>
  <c r="H47784" i="16"/>
  <c r="H47785" i="16"/>
  <c r="H47786" i="16"/>
  <c r="H47787" i="16"/>
  <c r="H47788" i="16"/>
  <c r="H47789" i="16"/>
  <c r="H47790" i="16"/>
  <c r="H47791" i="16"/>
  <c r="H47792" i="16"/>
  <c r="H47793" i="16"/>
  <c r="H47794" i="16"/>
  <c r="H47795" i="16"/>
  <c r="H47796" i="16"/>
  <c r="H47797" i="16"/>
  <c r="H47798" i="16"/>
  <c r="H47799" i="16"/>
  <c r="H47800" i="16"/>
  <c r="H47801" i="16"/>
  <c r="H47802" i="16"/>
  <c r="H47803" i="16"/>
  <c r="H47804" i="16"/>
  <c r="H47805" i="16"/>
  <c r="H47806" i="16"/>
  <c r="H47807" i="16"/>
  <c r="H47808" i="16"/>
  <c r="H47809" i="16"/>
  <c r="H47810" i="16"/>
  <c r="H47811" i="16"/>
  <c r="H47812" i="16"/>
  <c r="H47813" i="16"/>
  <c r="H47814" i="16"/>
  <c r="H47815" i="16"/>
  <c r="H47816" i="16"/>
  <c r="H47817" i="16"/>
  <c r="H47818" i="16"/>
  <c r="H47819" i="16"/>
  <c r="H47820" i="16"/>
  <c r="H47821" i="16"/>
  <c r="H47822" i="16"/>
  <c r="H47823" i="16"/>
  <c r="H47824" i="16"/>
  <c r="H47825" i="16"/>
  <c r="H47826" i="16"/>
  <c r="H47827" i="16"/>
  <c r="H47828" i="16"/>
  <c r="H47829" i="16"/>
  <c r="H47830" i="16"/>
  <c r="H47831" i="16"/>
  <c r="H47832" i="16"/>
  <c r="H47833" i="16"/>
  <c r="H47834" i="16"/>
  <c r="H47835" i="16"/>
  <c r="H47836" i="16"/>
  <c r="H47837" i="16"/>
  <c r="H47838" i="16"/>
  <c r="H47839" i="16"/>
  <c r="H47840" i="16"/>
  <c r="H47841" i="16"/>
  <c r="H47842" i="16"/>
  <c r="H47843" i="16"/>
  <c r="H47844" i="16"/>
  <c r="H47845" i="16"/>
  <c r="H47846" i="16"/>
  <c r="H47847" i="16"/>
  <c r="H47848" i="16"/>
  <c r="H47849" i="16"/>
  <c r="H47850" i="16"/>
  <c r="H47851" i="16"/>
  <c r="H47852" i="16"/>
  <c r="H47853" i="16"/>
  <c r="H47854" i="16"/>
  <c r="H47855" i="16"/>
  <c r="H47856" i="16"/>
  <c r="H47857" i="16"/>
  <c r="H47858" i="16"/>
  <c r="H47859" i="16"/>
  <c r="H47860" i="16"/>
  <c r="H47861" i="16"/>
  <c r="H47862" i="16"/>
  <c r="H47863" i="16"/>
  <c r="H47864" i="16"/>
  <c r="H47865" i="16"/>
  <c r="H47866" i="16"/>
  <c r="H47867" i="16"/>
  <c r="H47868" i="16"/>
  <c r="H47869" i="16"/>
  <c r="H47870" i="16"/>
  <c r="H47871" i="16"/>
  <c r="H47872" i="16"/>
  <c r="H47873" i="16"/>
  <c r="H47874" i="16"/>
  <c r="H47875" i="16"/>
  <c r="H47876" i="16"/>
  <c r="H47877" i="16"/>
  <c r="H47878" i="16"/>
  <c r="H47879" i="16"/>
  <c r="H47880" i="16"/>
  <c r="H47881" i="16"/>
  <c r="H47882" i="16"/>
  <c r="H47883" i="16"/>
  <c r="H47884" i="16"/>
  <c r="H47885" i="16"/>
  <c r="H47886" i="16"/>
  <c r="H47887" i="16"/>
  <c r="H47888" i="16"/>
  <c r="H47889" i="16"/>
  <c r="H47890" i="16"/>
  <c r="H47891" i="16"/>
  <c r="H47892" i="16"/>
  <c r="H47893" i="16"/>
  <c r="H47894" i="16"/>
  <c r="H47895" i="16"/>
  <c r="H47896" i="16"/>
  <c r="H47897" i="16"/>
  <c r="H47898" i="16"/>
  <c r="H47899" i="16"/>
  <c r="H47900" i="16"/>
  <c r="H47901" i="16"/>
  <c r="H47902" i="16"/>
  <c r="H47903" i="16"/>
  <c r="H47904" i="16"/>
  <c r="H47905" i="16"/>
  <c r="H47906" i="16"/>
  <c r="H47907" i="16"/>
  <c r="H47908" i="16"/>
  <c r="H47909" i="16"/>
  <c r="H47910" i="16"/>
  <c r="H47911" i="16"/>
  <c r="H47912" i="16"/>
  <c r="H47913" i="16"/>
  <c r="H47914" i="16"/>
  <c r="H47915" i="16"/>
  <c r="H47916" i="16"/>
  <c r="H47917" i="16"/>
  <c r="H47918" i="16"/>
  <c r="H47919" i="16"/>
  <c r="H47920" i="16"/>
  <c r="H47921" i="16"/>
  <c r="H47922" i="16"/>
  <c r="H47923" i="16"/>
  <c r="H47924" i="16"/>
  <c r="H47925" i="16"/>
  <c r="H47926" i="16"/>
  <c r="H47927" i="16"/>
  <c r="H47928" i="16"/>
  <c r="H47929" i="16"/>
  <c r="H47930" i="16"/>
  <c r="H47931" i="16"/>
  <c r="H47932" i="16"/>
  <c r="H47933" i="16"/>
  <c r="H47934" i="16"/>
  <c r="H47935" i="16"/>
  <c r="H47936" i="16"/>
  <c r="H47937" i="16"/>
  <c r="H47938" i="16"/>
  <c r="H47939" i="16"/>
  <c r="H47940" i="16"/>
  <c r="H47941" i="16"/>
  <c r="H47942" i="16"/>
  <c r="H47943" i="16"/>
  <c r="H47944" i="16"/>
  <c r="H47945" i="16"/>
  <c r="H47946" i="16"/>
  <c r="H47947" i="16"/>
  <c r="H47948" i="16"/>
  <c r="H47949" i="16"/>
  <c r="H47950" i="16"/>
  <c r="H47951" i="16"/>
  <c r="H47952" i="16"/>
  <c r="H47953" i="16"/>
  <c r="H47954" i="16"/>
  <c r="H47955" i="16"/>
  <c r="H47956" i="16"/>
  <c r="H47957" i="16"/>
  <c r="H47958" i="16"/>
  <c r="H47959" i="16"/>
  <c r="H47960" i="16"/>
  <c r="H47961" i="16"/>
  <c r="H47962" i="16"/>
  <c r="H47963" i="16"/>
  <c r="H47964" i="16"/>
  <c r="H47965" i="16"/>
  <c r="H47966" i="16"/>
  <c r="H47967" i="16"/>
  <c r="H47968" i="16"/>
  <c r="H47969" i="16"/>
  <c r="H47970" i="16"/>
  <c r="H47971" i="16"/>
  <c r="H47972" i="16"/>
  <c r="H47973" i="16"/>
  <c r="H47974" i="16"/>
  <c r="H47975" i="16"/>
  <c r="H47976" i="16"/>
  <c r="H47977" i="16"/>
  <c r="H47978" i="16"/>
  <c r="H47979" i="16"/>
  <c r="H47980" i="16"/>
  <c r="H47981" i="16"/>
  <c r="H47982" i="16"/>
  <c r="H47983" i="16"/>
  <c r="H47984" i="16"/>
  <c r="H47985" i="16"/>
  <c r="H47986" i="16"/>
  <c r="H47987" i="16"/>
  <c r="H47988" i="16"/>
  <c r="H47989" i="16"/>
  <c r="H47990" i="16"/>
  <c r="H47991" i="16"/>
  <c r="H47992" i="16"/>
  <c r="H47993" i="16"/>
  <c r="H47994" i="16"/>
  <c r="H47995" i="16"/>
  <c r="H47996" i="16"/>
  <c r="H47997" i="16"/>
  <c r="H47998" i="16"/>
  <c r="H47999" i="16"/>
  <c r="H48000" i="16"/>
  <c r="H48001" i="16"/>
  <c r="H48002" i="16"/>
  <c r="H48003" i="16"/>
  <c r="H48004" i="16"/>
  <c r="H48005" i="16"/>
  <c r="H48006" i="16"/>
  <c r="H48007" i="16"/>
  <c r="H48008" i="16"/>
  <c r="H48009" i="16"/>
  <c r="H48010" i="16"/>
  <c r="H48011" i="16"/>
  <c r="H48012" i="16"/>
  <c r="H48013" i="16"/>
  <c r="H48014" i="16"/>
  <c r="H48015" i="16"/>
  <c r="H48016" i="16"/>
  <c r="H48017" i="16"/>
  <c r="H48018" i="16"/>
  <c r="H48019" i="16"/>
  <c r="H48020" i="16"/>
  <c r="H48021" i="16"/>
  <c r="H48022" i="16"/>
  <c r="H48023" i="16"/>
  <c r="H48024" i="16"/>
  <c r="H48025" i="16"/>
  <c r="H48026" i="16"/>
  <c r="H48027" i="16"/>
  <c r="H48028" i="16"/>
  <c r="H48029" i="16"/>
  <c r="H48030" i="16"/>
  <c r="H48031" i="16"/>
  <c r="H48032" i="16"/>
  <c r="H48033" i="16"/>
  <c r="H48034" i="16"/>
  <c r="H48035" i="16"/>
  <c r="H48036" i="16"/>
  <c r="H48037" i="16"/>
  <c r="H48038" i="16"/>
  <c r="H48039" i="16"/>
  <c r="H48040" i="16"/>
  <c r="H48041" i="16"/>
  <c r="H48042" i="16"/>
  <c r="H48043" i="16"/>
  <c r="H48044" i="16"/>
  <c r="H48045" i="16"/>
  <c r="H48046" i="16"/>
  <c r="H48047" i="16"/>
  <c r="H48048" i="16"/>
  <c r="H48049" i="16"/>
  <c r="H48050" i="16"/>
  <c r="H48051" i="16"/>
  <c r="H48052" i="16"/>
  <c r="H48053" i="16"/>
  <c r="H48054" i="16"/>
  <c r="H48055" i="16"/>
  <c r="H48056" i="16"/>
  <c r="H48057" i="16"/>
  <c r="H48058" i="16"/>
  <c r="H48059" i="16"/>
  <c r="H48060" i="16"/>
  <c r="H48061" i="16"/>
  <c r="H48062" i="16"/>
  <c r="H48063" i="16"/>
  <c r="H48064" i="16"/>
  <c r="H48065" i="16"/>
  <c r="H48066" i="16"/>
  <c r="H48067" i="16"/>
  <c r="H48068" i="16"/>
  <c r="H48069" i="16"/>
  <c r="H48070" i="16"/>
  <c r="H48071" i="16"/>
  <c r="H48072" i="16"/>
  <c r="H48073" i="16"/>
  <c r="H48074" i="16"/>
  <c r="H48075" i="16"/>
  <c r="H48076" i="16"/>
  <c r="H48077" i="16"/>
  <c r="H48078" i="16"/>
  <c r="H48079" i="16"/>
  <c r="H48080" i="16"/>
  <c r="H48081" i="16"/>
  <c r="H48082" i="16"/>
  <c r="H48083" i="16"/>
  <c r="H48084" i="16"/>
  <c r="H48085" i="16"/>
  <c r="H48086" i="16"/>
  <c r="H48087" i="16"/>
  <c r="H48088" i="16"/>
  <c r="H48089" i="16"/>
  <c r="H48090" i="16"/>
  <c r="H48091" i="16"/>
  <c r="H48092" i="16"/>
  <c r="H48093" i="16"/>
  <c r="H48094" i="16"/>
  <c r="H48095" i="16"/>
  <c r="H48096" i="16"/>
  <c r="H48097" i="16"/>
  <c r="H48098" i="16"/>
  <c r="H48099" i="16"/>
  <c r="H48100" i="16"/>
  <c r="H48101" i="16"/>
  <c r="H48102" i="16"/>
  <c r="H48103" i="16"/>
  <c r="H48104" i="16"/>
  <c r="H48105" i="16"/>
  <c r="H48106" i="16"/>
  <c r="H48107" i="16"/>
  <c r="H48108" i="16"/>
  <c r="H48109" i="16"/>
  <c r="H48110" i="16"/>
  <c r="H48111" i="16"/>
  <c r="H48112" i="16"/>
  <c r="H48113" i="16"/>
  <c r="H48114" i="16"/>
  <c r="H48115" i="16"/>
  <c r="H48116" i="16"/>
  <c r="H48117" i="16"/>
  <c r="H48118" i="16"/>
  <c r="H48119" i="16"/>
  <c r="H48120" i="16"/>
  <c r="H48121" i="16"/>
  <c r="H48122" i="16"/>
  <c r="H48123" i="16"/>
  <c r="H48124" i="16"/>
  <c r="H48125" i="16"/>
  <c r="H48126" i="16"/>
  <c r="H48127" i="16"/>
  <c r="H48128" i="16"/>
  <c r="H48129" i="16"/>
  <c r="H48130" i="16"/>
  <c r="H48131" i="16"/>
  <c r="H48132" i="16"/>
  <c r="H48133" i="16"/>
  <c r="H48134" i="16"/>
  <c r="H48135" i="16"/>
  <c r="H48136" i="16"/>
  <c r="H48137" i="16"/>
  <c r="H48138" i="16"/>
  <c r="H48139" i="16"/>
  <c r="H48140" i="16"/>
  <c r="H48141" i="16"/>
  <c r="H48142" i="16"/>
  <c r="H48143" i="16"/>
  <c r="H48144" i="16"/>
  <c r="H48145" i="16"/>
  <c r="H48146" i="16"/>
  <c r="H48147" i="16"/>
  <c r="H48148" i="16"/>
  <c r="H48149" i="16"/>
  <c r="H48150" i="16"/>
  <c r="H48151" i="16"/>
  <c r="H48152" i="16"/>
  <c r="H48153" i="16"/>
  <c r="H48154" i="16"/>
  <c r="H48155" i="16"/>
  <c r="H48156" i="16"/>
  <c r="H48157" i="16"/>
  <c r="H48158" i="16"/>
  <c r="H48159" i="16"/>
  <c r="H48160" i="16"/>
  <c r="H48161" i="16"/>
  <c r="H48162" i="16"/>
  <c r="H48163" i="16"/>
  <c r="H48164" i="16"/>
  <c r="H48165" i="16"/>
  <c r="H48166" i="16"/>
  <c r="H48167" i="16"/>
  <c r="H48168" i="16"/>
  <c r="H48169" i="16"/>
  <c r="H48170" i="16"/>
  <c r="H48171" i="16"/>
  <c r="H48172" i="16"/>
  <c r="H48173" i="16"/>
  <c r="H48174" i="16"/>
  <c r="H48175" i="16"/>
  <c r="H48176" i="16"/>
  <c r="H48177" i="16"/>
  <c r="H48178" i="16"/>
  <c r="H48179" i="16"/>
  <c r="H48180" i="16"/>
  <c r="H48181" i="16"/>
  <c r="H48182" i="16"/>
  <c r="H48183" i="16"/>
  <c r="H48184" i="16"/>
  <c r="H48185" i="16"/>
  <c r="H48186" i="16"/>
  <c r="H48187" i="16"/>
  <c r="H48188" i="16"/>
  <c r="H48189" i="16"/>
  <c r="H48190" i="16"/>
  <c r="H48191" i="16"/>
  <c r="H48192" i="16"/>
  <c r="H48193" i="16"/>
  <c r="H48194" i="16"/>
  <c r="H48195" i="16"/>
  <c r="H48196" i="16"/>
  <c r="H48197" i="16"/>
  <c r="H48198" i="16"/>
  <c r="H48199" i="16"/>
  <c r="H48200" i="16"/>
  <c r="H48201" i="16"/>
  <c r="H48202" i="16"/>
  <c r="H48203" i="16"/>
  <c r="H48204" i="16"/>
  <c r="H48205" i="16"/>
  <c r="H48206" i="16"/>
  <c r="H48207" i="16"/>
  <c r="H48208" i="16"/>
  <c r="H48209" i="16"/>
  <c r="H48210" i="16"/>
  <c r="H48211" i="16"/>
  <c r="H48212" i="16"/>
  <c r="H48213" i="16"/>
  <c r="H48214" i="16"/>
  <c r="H48215" i="16"/>
  <c r="H48216" i="16"/>
  <c r="H48217" i="16"/>
  <c r="H48218" i="16"/>
  <c r="H48219" i="16"/>
  <c r="H48220" i="16"/>
  <c r="H48221" i="16"/>
  <c r="H48222" i="16"/>
  <c r="H48223" i="16"/>
  <c r="H48224" i="16"/>
  <c r="H48225" i="16"/>
  <c r="H48226" i="16"/>
  <c r="H48227" i="16"/>
  <c r="H48228" i="16"/>
  <c r="H48229" i="16"/>
  <c r="H48230" i="16"/>
  <c r="H48231" i="16"/>
  <c r="H48232" i="16"/>
  <c r="H48233" i="16"/>
  <c r="H48234" i="16"/>
  <c r="H48235" i="16"/>
  <c r="H48236" i="16"/>
  <c r="H48237" i="16"/>
  <c r="H48238" i="16"/>
  <c r="H48239" i="16"/>
  <c r="H48240" i="16"/>
  <c r="H48241" i="16"/>
  <c r="H48242" i="16"/>
  <c r="H48243" i="16"/>
  <c r="H48244" i="16"/>
  <c r="H48245" i="16"/>
  <c r="H48246" i="16"/>
  <c r="H48247" i="16"/>
  <c r="H48248" i="16"/>
  <c r="H48249" i="16"/>
  <c r="H48250" i="16"/>
  <c r="H48251" i="16"/>
  <c r="H48252" i="16"/>
  <c r="H48253" i="16"/>
  <c r="H48254" i="16"/>
  <c r="H48255" i="16"/>
  <c r="H48256" i="16"/>
  <c r="H48257" i="16"/>
  <c r="H48258" i="16"/>
  <c r="H48259" i="16"/>
  <c r="H48260" i="16"/>
  <c r="H48261" i="16"/>
  <c r="H48262" i="16"/>
  <c r="H48263" i="16"/>
  <c r="H48264" i="16"/>
  <c r="H48265" i="16"/>
  <c r="H48266" i="16"/>
  <c r="H48267" i="16"/>
  <c r="H48268" i="16"/>
  <c r="H48269" i="16"/>
  <c r="H48270" i="16"/>
  <c r="H48271" i="16"/>
  <c r="H48272" i="16"/>
  <c r="H48273" i="16"/>
  <c r="H48274" i="16"/>
  <c r="H48275" i="16"/>
  <c r="H48276" i="16"/>
  <c r="H48277" i="16"/>
  <c r="H48278" i="16"/>
  <c r="H48279" i="16"/>
  <c r="H48280" i="16"/>
  <c r="H48281" i="16"/>
  <c r="H48282" i="16"/>
  <c r="H48283" i="16"/>
  <c r="H48284" i="16"/>
  <c r="H48285" i="16"/>
  <c r="H48286" i="16"/>
  <c r="H48287" i="16"/>
  <c r="H48288" i="16"/>
  <c r="H48289" i="16"/>
  <c r="H48290" i="16"/>
  <c r="H48291" i="16"/>
  <c r="H48292" i="16"/>
  <c r="H48293" i="16"/>
  <c r="H48294" i="16"/>
  <c r="H48295" i="16"/>
  <c r="H48296" i="16"/>
  <c r="H48297" i="16"/>
  <c r="H48298" i="16"/>
  <c r="H48299" i="16"/>
  <c r="H48300" i="16"/>
  <c r="H48301" i="16"/>
  <c r="H48302" i="16"/>
  <c r="H48303" i="16"/>
  <c r="H48304" i="16"/>
  <c r="H48305" i="16"/>
  <c r="H48306" i="16"/>
  <c r="H48307" i="16"/>
  <c r="H48308" i="16"/>
  <c r="H48309" i="16"/>
  <c r="H48310" i="16"/>
  <c r="H48311" i="16"/>
  <c r="H48312" i="16"/>
  <c r="H48313" i="16"/>
  <c r="H48314" i="16"/>
  <c r="H48315" i="16"/>
  <c r="H48316" i="16"/>
  <c r="H48317" i="16"/>
  <c r="H48318" i="16"/>
  <c r="H48319" i="16"/>
  <c r="H48320" i="16"/>
  <c r="H48321" i="16"/>
  <c r="H48322" i="16"/>
  <c r="H48323" i="16"/>
  <c r="H48324" i="16"/>
  <c r="H48325" i="16"/>
  <c r="H48326" i="16"/>
  <c r="H48327" i="16"/>
  <c r="H48328" i="16"/>
  <c r="H48329" i="16"/>
  <c r="H48330" i="16"/>
  <c r="H48331" i="16"/>
  <c r="H48332" i="16"/>
  <c r="H48333" i="16"/>
  <c r="H48334" i="16"/>
  <c r="H48335" i="16"/>
  <c r="H48336" i="16"/>
  <c r="H48337" i="16"/>
  <c r="H48338" i="16"/>
  <c r="H48339" i="16"/>
  <c r="H48340" i="16"/>
  <c r="H48341" i="16"/>
  <c r="H48342" i="16"/>
  <c r="H48343" i="16"/>
  <c r="H48344" i="16"/>
  <c r="H48345" i="16"/>
  <c r="H48346" i="16"/>
  <c r="H48347" i="16"/>
  <c r="H48348" i="16"/>
  <c r="H48349" i="16"/>
  <c r="H48350" i="16"/>
  <c r="H48351" i="16"/>
  <c r="H48352" i="16"/>
  <c r="H48353" i="16"/>
  <c r="H48354" i="16"/>
  <c r="H48355" i="16"/>
  <c r="H48356" i="16"/>
  <c r="H48357" i="16"/>
  <c r="H48358" i="16"/>
  <c r="H48359" i="16"/>
  <c r="H48360" i="16"/>
  <c r="H48361" i="16"/>
  <c r="H48362" i="16"/>
  <c r="H48363" i="16"/>
  <c r="H48364" i="16"/>
  <c r="H48365" i="16"/>
  <c r="H48366" i="16"/>
  <c r="H48367" i="16"/>
  <c r="H48368" i="16"/>
  <c r="H48369" i="16"/>
  <c r="H48370" i="16"/>
  <c r="H48371" i="16"/>
  <c r="H48372" i="16"/>
  <c r="H48373" i="16"/>
  <c r="H48374" i="16"/>
  <c r="H48375" i="16"/>
  <c r="H48376" i="16"/>
  <c r="H48377" i="16"/>
  <c r="H48378" i="16"/>
  <c r="H48379" i="16"/>
  <c r="H48380" i="16"/>
  <c r="H48381" i="16"/>
  <c r="H48382" i="16"/>
  <c r="H48383" i="16"/>
  <c r="H48384" i="16"/>
  <c r="H48385" i="16"/>
  <c r="H48386" i="16"/>
  <c r="H48387" i="16"/>
  <c r="H48388" i="16"/>
  <c r="H48389" i="16"/>
  <c r="H48390" i="16"/>
  <c r="H48391" i="16"/>
  <c r="H48392" i="16"/>
  <c r="H48393" i="16"/>
  <c r="H48394" i="16"/>
  <c r="H48395" i="16"/>
  <c r="H48396" i="16"/>
  <c r="H48397" i="16"/>
  <c r="H48398" i="16"/>
  <c r="H48399" i="16"/>
  <c r="H48400" i="16"/>
  <c r="H48401" i="16"/>
  <c r="H48402" i="16"/>
  <c r="H48403" i="16"/>
  <c r="H48404" i="16"/>
  <c r="H48405" i="16"/>
  <c r="H48406" i="16"/>
  <c r="H48407" i="16"/>
  <c r="H48408" i="16"/>
  <c r="H48409" i="16"/>
  <c r="H48410" i="16"/>
  <c r="H48411" i="16"/>
  <c r="H48412" i="16"/>
  <c r="H48413" i="16"/>
  <c r="H48414" i="16"/>
  <c r="H48415" i="16"/>
  <c r="H48416" i="16"/>
  <c r="H48417" i="16"/>
  <c r="H48418" i="16"/>
  <c r="H48419" i="16"/>
  <c r="H48420" i="16"/>
  <c r="H48421" i="16"/>
  <c r="H48422" i="16"/>
  <c r="H48423" i="16"/>
  <c r="H48424" i="16"/>
  <c r="H48425" i="16"/>
  <c r="H48426" i="16"/>
  <c r="H48427" i="16"/>
  <c r="H48428" i="16"/>
  <c r="H48429" i="16"/>
  <c r="H48430" i="16"/>
  <c r="H48431" i="16"/>
  <c r="H48432" i="16"/>
  <c r="H48433" i="16"/>
  <c r="H48434" i="16"/>
  <c r="H48435" i="16"/>
  <c r="H48436" i="16"/>
  <c r="H48437" i="16"/>
  <c r="H48438" i="16"/>
  <c r="H48439" i="16"/>
  <c r="H48440" i="16"/>
  <c r="H48441" i="16"/>
  <c r="H48442" i="16"/>
  <c r="H48443" i="16"/>
  <c r="H48444" i="16"/>
  <c r="H48445" i="16"/>
  <c r="H48446" i="16"/>
  <c r="H48447" i="16"/>
  <c r="H48448" i="16"/>
  <c r="H48449" i="16"/>
  <c r="H48450" i="16"/>
  <c r="H48451" i="16"/>
  <c r="H48452" i="16"/>
  <c r="H48453" i="16"/>
  <c r="H48454" i="16"/>
  <c r="H48455" i="16"/>
  <c r="H48456" i="16"/>
  <c r="H48457" i="16"/>
  <c r="H48458" i="16"/>
  <c r="H48459" i="16"/>
  <c r="H48460" i="16"/>
  <c r="H48461" i="16"/>
  <c r="H48462" i="16"/>
  <c r="H48463" i="16"/>
  <c r="H48464" i="16"/>
  <c r="H48465" i="16"/>
  <c r="H48466" i="16"/>
  <c r="H48467" i="16"/>
  <c r="H48468" i="16"/>
  <c r="H48469" i="16"/>
  <c r="H48470" i="16"/>
  <c r="H48471" i="16"/>
  <c r="H48472" i="16"/>
  <c r="H48473" i="16"/>
  <c r="H48474" i="16"/>
  <c r="H48475" i="16"/>
  <c r="H48476" i="16"/>
  <c r="H48477" i="16"/>
  <c r="H48478" i="16"/>
  <c r="H48479" i="16"/>
  <c r="H48480" i="16"/>
  <c r="H48481" i="16"/>
  <c r="H48482" i="16"/>
  <c r="H48483" i="16"/>
  <c r="H48484" i="16"/>
  <c r="H48485" i="16"/>
  <c r="H48486" i="16"/>
  <c r="H48487" i="16"/>
  <c r="H48488" i="16"/>
  <c r="H48489" i="16"/>
  <c r="H48490" i="16"/>
  <c r="H48491" i="16"/>
  <c r="H48492" i="16"/>
  <c r="H48493" i="16"/>
  <c r="H48494" i="16"/>
  <c r="H48495" i="16"/>
  <c r="H48496" i="16"/>
  <c r="H48497" i="16"/>
  <c r="H48498" i="16"/>
  <c r="H48499" i="16"/>
  <c r="H48500" i="16"/>
  <c r="H48501" i="16"/>
  <c r="H48502" i="16"/>
  <c r="H48503" i="16"/>
  <c r="H48504" i="16"/>
  <c r="H48505" i="16"/>
  <c r="H48506" i="16"/>
  <c r="H48507" i="16"/>
  <c r="H48508" i="16"/>
  <c r="H48509" i="16"/>
  <c r="H48510" i="16"/>
  <c r="H48511" i="16"/>
  <c r="H48512" i="16"/>
  <c r="H48513" i="16"/>
  <c r="H48514" i="16"/>
  <c r="H48515" i="16"/>
  <c r="H48516" i="16"/>
  <c r="H48517" i="16"/>
  <c r="H48518" i="16"/>
  <c r="H48519" i="16"/>
  <c r="H48520" i="16"/>
  <c r="H48521" i="16"/>
  <c r="H48522" i="16"/>
  <c r="H48523" i="16"/>
  <c r="H48524" i="16"/>
  <c r="H48525" i="16"/>
  <c r="H48526" i="16"/>
  <c r="H48527" i="16"/>
  <c r="H48528" i="16"/>
  <c r="H48529" i="16"/>
  <c r="H48530" i="16"/>
  <c r="H48531" i="16"/>
  <c r="H48532" i="16"/>
  <c r="H48533" i="16"/>
  <c r="H48534" i="16"/>
  <c r="H48535" i="16"/>
  <c r="H48536" i="16"/>
  <c r="H48537" i="16"/>
  <c r="H48538" i="16"/>
  <c r="H48539" i="16"/>
  <c r="H48540" i="16"/>
  <c r="H48541" i="16"/>
  <c r="H48542" i="16"/>
  <c r="H48543" i="16"/>
  <c r="H48544" i="16"/>
  <c r="H48545" i="16"/>
  <c r="H48546" i="16"/>
  <c r="H48547" i="16"/>
  <c r="H48548" i="16"/>
  <c r="H48549" i="16"/>
  <c r="H48550" i="16"/>
  <c r="H48551" i="16"/>
  <c r="H48552" i="16"/>
  <c r="H48553" i="16"/>
  <c r="H48554" i="16"/>
  <c r="H48555" i="16"/>
  <c r="H48556" i="16"/>
  <c r="H48557" i="16"/>
  <c r="H48558" i="16"/>
  <c r="H48559" i="16"/>
  <c r="H48560" i="16"/>
  <c r="H48561" i="16"/>
  <c r="H48562" i="16"/>
  <c r="H48563" i="16"/>
  <c r="H48564" i="16"/>
  <c r="H48565" i="16"/>
  <c r="H48566" i="16"/>
  <c r="H48567" i="16"/>
  <c r="H48568" i="16"/>
  <c r="H48569" i="16"/>
  <c r="H48570" i="16"/>
  <c r="H48571" i="16"/>
  <c r="H48572" i="16"/>
  <c r="H48573" i="16"/>
  <c r="H48574" i="16"/>
  <c r="H48575" i="16"/>
  <c r="H48576" i="16"/>
  <c r="H48577" i="16"/>
  <c r="H48578" i="16"/>
  <c r="H48579" i="16"/>
  <c r="H48580" i="16"/>
  <c r="H48581" i="16"/>
  <c r="H48582" i="16"/>
  <c r="H48583" i="16"/>
  <c r="H48584" i="16"/>
  <c r="H48585" i="16"/>
  <c r="H48586" i="16"/>
  <c r="H48587" i="16"/>
  <c r="H48588" i="16"/>
  <c r="H48589" i="16"/>
  <c r="H48590" i="16"/>
  <c r="H48591" i="16"/>
  <c r="H48592" i="16"/>
  <c r="H48593" i="16"/>
  <c r="H48594" i="16"/>
  <c r="H48595" i="16"/>
  <c r="H48596" i="16"/>
  <c r="H48597" i="16"/>
  <c r="H48598" i="16"/>
  <c r="H48599" i="16"/>
  <c r="H48600" i="16"/>
  <c r="H48601" i="16"/>
  <c r="H48602" i="16"/>
  <c r="H48603" i="16"/>
  <c r="H48604" i="16"/>
  <c r="H48605" i="16"/>
  <c r="H48606" i="16"/>
  <c r="H48607" i="16"/>
  <c r="H48608" i="16"/>
  <c r="H48609" i="16"/>
  <c r="H48610" i="16"/>
  <c r="H48611" i="16"/>
  <c r="H48612" i="16"/>
  <c r="H48613" i="16"/>
  <c r="H48614" i="16"/>
  <c r="H48615" i="16"/>
  <c r="H48616" i="16"/>
  <c r="H48617" i="16"/>
  <c r="H48618" i="16"/>
  <c r="H48619" i="16"/>
  <c r="H48620" i="16"/>
  <c r="H48621" i="16"/>
  <c r="H48622" i="16"/>
  <c r="H48623" i="16"/>
  <c r="H48624" i="16"/>
  <c r="H48625" i="16"/>
  <c r="H48626" i="16"/>
  <c r="H48627" i="16"/>
  <c r="H48628" i="16"/>
  <c r="H48629" i="16"/>
  <c r="H48630" i="16"/>
  <c r="H48631" i="16"/>
  <c r="H48632" i="16"/>
  <c r="H48633" i="16"/>
  <c r="H48634" i="16"/>
  <c r="H48635" i="16"/>
  <c r="H48636" i="16"/>
  <c r="H48637" i="16"/>
  <c r="H48638" i="16"/>
  <c r="H48639" i="16"/>
  <c r="H48640" i="16"/>
  <c r="H48641" i="16"/>
  <c r="H48642" i="16"/>
  <c r="H48643" i="16"/>
  <c r="H48644" i="16"/>
  <c r="H48645" i="16"/>
  <c r="H48646" i="16"/>
  <c r="H48647" i="16"/>
  <c r="H48648" i="16"/>
  <c r="H48649" i="16"/>
  <c r="H48650" i="16"/>
  <c r="H48651" i="16"/>
  <c r="H48652" i="16"/>
  <c r="H48653" i="16"/>
  <c r="H48654" i="16"/>
  <c r="H48655" i="16"/>
  <c r="H48656" i="16"/>
  <c r="H48657" i="16"/>
  <c r="H48658" i="16"/>
  <c r="H48659" i="16"/>
  <c r="H48660" i="16"/>
  <c r="H48661" i="16"/>
  <c r="H48662" i="16"/>
  <c r="H48663" i="16"/>
  <c r="H48664" i="16"/>
  <c r="H48665" i="16"/>
  <c r="H48666" i="16"/>
  <c r="H48667" i="16"/>
  <c r="H48668" i="16"/>
  <c r="H48669" i="16"/>
  <c r="H48670" i="16"/>
  <c r="H48671" i="16"/>
  <c r="H48672" i="16"/>
  <c r="H48673" i="16"/>
  <c r="H48674" i="16"/>
  <c r="H48675" i="16"/>
  <c r="H48676" i="16"/>
  <c r="H48677" i="16"/>
  <c r="H48678" i="16"/>
  <c r="H48679" i="16"/>
  <c r="H48680" i="16"/>
  <c r="H48681" i="16"/>
  <c r="H48682" i="16"/>
  <c r="H48683" i="16"/>
  <c r="H48684" i="16"/>
  <c r="H48685" i="16"/>
  <c r="H48686" i="16"/>
  <c r="H48687" i="16"/>
  <c r="H48688" i="16"/>
  <c r="H48689" i="16"/>
  <c r="H48690" i="16"/>
  <c r="H48691" i="16"/>
  <c r="H48692" i="16"/>
  <c r="H48693" i="16"/>
  <c r="H48694" i="16"/>
  <c r="H48695" i="16"/>
  <c r="H48696" i="16"/>
  <c r="H48697" i="16"/>
  <c r="H48698" i="16"/>
  <c r="H48699" i="16"/>
  <c r="H48700" i="16"/>
  <c r="H48701" i="16"/>
  <c r="H48702" i="16"/>
  <c r="H48703" i="16"/>
  <c r="H48704" i="16"/>
  <c r="H48705" i="16"/>
  <c r="H48706" i="16"/>
  <c r="H48707" i="16"/>
  <c r="H48708" i="16"/>
  <c r="H48709" i="16"/>
  <c r="H48710" i="16"/>
  <c r="H48711" i="16"/>
  <c r="H48712" i="16"/>
  <c r="H48713" i="16"/>
  <c r="H48714" i="16"/>
  <c r="H48715" i="16"/>
  <c r="H48716" i="16"/>
  <c r="H48717" i="16"/>
  <c r="H48718" i="16"/>
  <c r="H48719" i="16"/>
  <c r="H48720" i="16"/>
  <c r="H48721" i="16"/>
  <c r="H48722" i="16"/>
  <c r="H48723" i="16"/>
  <c r="H48724" i="16"/>
  <c r="H48725" i="16"/>
  <c r="H48726" i="16"/>
  <c r="H48727" i="16"/>
  <c r="H48728" i="16"/>
  <c r="H48729" i="16"/>
  <c r="H48730" i="16"/>
  <c r="H48731" i="16"/>
  <c r="H48732" i="16"/>
  <c r="H48733" i="16"/>
  <c r="H48734" i="16"/>
  <c r="H48735" i="16"/>
  <c r="H48736" i="16"/>
  <c r="H48737" i="16"/>
  <c r="H48738" i="16"/>
  <c r="H48739" i="16"/>
  <c r="H48740" i="16"/>
  <c r="H48741" i="16"/>
  <c r="H48742" i="16"/>
  <c r="H48743" i="16"/>
  <c r="H48744" i="16"/>
  <c r="H48745" i="16"/>
  <c r="H48746" i="16"/>
  <c r="H48747" i="16"/>
  <c r="H48748" i="16"/>
  <c r="H48749" i="16"/>
  <c r="H48750" i="16"/>
  <c r="H48751" i="16"/>
  <c r="H48752" i="16"/>
  <c r="H48753" i="16"/>
  <c r="H48754" i="16"/>
  <c r="H48755" i="16"/>
  <c r="H48756" i="16"/>
  <c r="H48757" i="16"/>
  <c r="H48758" i="16"/>
  <c r="H48759" i="16"/>
  <c r="H48760" i="16"/>
  <c r="H48761" i="16"/>
  <c r="H48762" i="16"/>
  <c r="H48763" i="16"/>
  <c r="H48764" i="16"/>
  <c r="H48765" i="16"/>
  <c r="H48766" i="16"/>
  <c r="H48767" i="16"/>
  <c r="H48768" i="16"/>
  <c r="H48769" i="16"/>
  <c r="H48770" i="16"/>
  <c r="H48771" i="16"/>
  <c r="H48772" i="16"/>
  <c r="H48773" i="16"/>
  <c r="H48774" i="16"/>
  <c r="H48775" i="16"/>
  <c r="H48776" i="16"/>
  <c r="H48777" i="16"/>
  <c r="H48778" i="16"/>
  <c r="H48779" i="16"/>
  <c r="H48780" i="16"/>
  <c r="H48781" i="16"/>
  <c r="H48782" i="16"/>
  <c r="H48783" i="16"/>
  <c r="H48784" i="16"/>
  <c r="H48785" i="16"/>
  <c r="H48786" i="16"/>
  <c r="H48787" i="16"/>
  <c r="H48788" i="16"/>
  <c r="H48789" i="16"/>
  <c r="H48790" i="16"/>
  <c r="H48791" i="16"/>
  <c r="H48792" i="16"/>
  <c r="H48793" i="16"/>
  <c r="H48794" i="16"/>
  <c r="H48795" i="16"/>
  <c r="H48796" i="16"/>
  <c r="H48797" i="16"/>
  <c r="H48798" i="16"/>
  <c r="H48799" i="16"/>
  <c r="H48800" i="16"/>
  <c r="H48801" i="16"/>
  <c r="H48802" i="16"/>
  <c r="H48803" i="16"/>
  <c r="H48804" i="16"/>
  <c r="H48805" i="16"/>
  <c r="H48806" i="16"/>
  <c r="H48807" i="16"/>
  <c r="H48808" i="16"/>
  <c r="H48809" i="16"/>
  <c r="H48810" i="16"/>
  <c r="H48811" i="16"/>
  <c r="H48812" i="16"/>
  <c r="H48813" i="16"/>
  <c r="H48814" i="16"/>
  <c r="H48815" i="16"/>
  <c r="H48816" i="16"/>
  <c r="H48817" i="16"/>
  <c r="H48818" i="16"/>
  <c r="H48819" i="16"/>
  <c r="H48820" i="16"/>
  <c r="H48821" i="16"/>
  <c r="H48822" i="16"/>
  <c r="H48823" i="16"/>
  <c r="H48824" i="16"/>
  <c r="H48825" i="16"/>
  <c r="H48826" i="16"/>
  <c r="H48827" i="16"/>
  <c r="H48828" i="16"/>
  <c r="H48829" i="16"/>
  <c r="H48830" i="16"/>
  <c r="H48831" i="16"/>
  <c r="H48832" i="16"/>
  <c r="H48833" i="16"/>
  <c r="H48834" i="16"/>
  <c r="H48835" i="16"/>
  <c r="H48836" i="16"/>
  <c r="H48837" i="16"/>
  <c r="H48838" i="16"/>
  <c r="H48839" i="16"/>
  <c r="H48840" i="16"/>
  <c r="H48841" i="16"/>
  <c r="H48842" i="16"/>
  <c r="H48843" i="16"/>
  <c r="H48844" i="16"/>
  <c r="H48845" i="16"/>
  <c r="H48846" i="16"/>
  <c r="H48847" i="16"/>
  <c r="H48848" i="16"/>
  <c r="H48849" i="16"/>
  <c r="H48850" i="16"/>
  <c r="H48851" i="16"/>
  <c r="H48852" i="16"/>
  <c r="H48853" i="16"/>
  <c r="H48854" i="16"/>
  <c r="H48855" i="16"/>
  <c r="H48856" i="16"/>
  <c r="H48857" i="16"/>
  <c r="H48858" i="16"/>
  <c r="H48859" i="16"/>
  <c r="H48860" i="16"/>
  <c r="H48861" i="16"/>
  <c r="H48862" i="16"/>
  <c r="H48863" i="16"/>
  <c r="H48864" i="16"/>
  <c r="H48865" i="16"/>
  <c r="H48866" i="16"/>
  <c r="H48867" i="16"/>
  <c r="H48868" i="16"/>
  <c r="H48869" i="16"/>
  <c r="H48870" i="16"/>
  <c r="H48871" i="16"/>
  <c r="H48872" i="16"/>
  <c r="H48873" i="16"/>
  <c r="H48874" i="16"/>
  <c r="H48875" i="16"/>
  <c r="H48876" i="16"/>
  <c r="H48877" i="16"/>
  <c r="H48878" i="16"/>
  <c r="H48879" i="16"/>
  <c r="H48880" i="16"/>
  <c r="H48881" i="16"/>
  <c r="H48882" i="16"/>
  <c r="H48883" i="16"/>
  <c r="H48884" i="16"/>
  <c r="H48885" i="16"/>
  <c r="H48886" i="16"/>
  <c r="H48887" i="16"/>
  <c r="H48888" i="16"/>
  <c r="H48889" i="16"/>
  <c r="H48890" i="16"/>
  <c r="H48891" i="16"/>
  <c r="H48892" i="16"/>
  <c r="H48893" i="16"/>
  <c r="H48894" i="16"/>
  <c r="H48895" i="16"/>
  <c r="H48896" i="16"/>
  <c r="H48897" i="16"/>
  <c r="H48898" i="16"/>
  <c r="H48899" i="16"/>
  <c r="H48900" i="16"/>
  <c r="H48901" i="16"/>
  <c r="H48902" i="16"/>
  <c r="H48903" i="16"/>
  <c r="H48904" i="16"/>
  <c r="H48905" i="16"/>
  <c r="H48906" i="16"/>
  <c r="H48907" i="16"/>
  <c r="H48908" i="16"/>
  <c r="H48909" i="16"/>
  <c r="H48910" i="16"/>
  <c r="H48911" i="16"/>
  <c r="H48912" i="16"/>
  <c r="H48913" i="16"/>
  <c r="H48914" i="16"/>
  <c r="H48915" i="16"/>
  <c r="H48916" i="16"/>
  <c r="H48917" i="16"/>
  <c r="H48918" i="16"/>
  <c r="H48919" i="16"/>
  <c r="H48920" i="16"/>
  <c r="H48921" i="16"/>
  <c r="H48922" i="16"/>
  <c r="H48923" i="16"/>
  <c r="H48924" i="16"/>
  <c r="H48925" i="16"/>
  <c r="H48926" i="16"/>
  <c r="H48927" i="16"/>
  <c r="H48928" i="16"/>
  <c r="H48929" i="16"/>
  <c r="H48930" i="16"/>
  <c r="H48931" i="16"/>
  <c r="H48932" i="16"/>
  <c r="H48933" i="16"/>
  <c r="H48934" i="16"/>
  <c r="H48935" i="16"/>
  <c r="H48936" i="16"/>
  <c r="H48937" i="16"/>
  <c r="H48938" i="16"/>
  <c r="H48939" i="16"/>
  <c r="H48940" i="16"/>
  <c r="H48941" i="16"/>
  <c r="H48942" i="16"/>
  <c r="H48943" i="16"/>
  <c r="H48944" i="16"/>
  <c r="H48945" i="16"/>
  <c r="H48946" i="16"/>
  <c r="H48947" i="16"/>
  <c r="H48948" i="16"/>
  <c r="H48949" i="16"/>
  <c r="H48950" i="16"/>
  <c r="H48951" i="16"/>
  <c r="H48952" i="16"/>
  <c r="H48953" i="16"/>
  <c r="H48954" i="16"/>
  <c r="H48955" i="16"/>
  <c r="H48956" i="16"/>
  <c r="H48957" i="16"/>
  <c r="H48958" i="16"/>
  <c r="H48959" i="16"/>
  <c r="H48960" i="16"/>
  <c r="H48961" i="16"/>
  <c r="H48962" i="16"/>
  <c r="H48963" i="16"/>
  <c r="H48964" i="16"/>
  <c r="H48965" i="16"/>
  <c r="H48966" i="16"/>
  <c r="H48967" i="16"/>
  <c r="H48968" i="16"/>
  <c r="H48969" i="16"/>
  <c r="H48970" i="16"/>
  <c r="H48971" i="16"/>
  <c r="H48972" i="16"/>
  <c r="H48973" i="16"/>
  <c r="H48974" i="16"/>
  <c r="H48975" i="16"/>
  <c r="H48976" i="16"/>
  <c r="H48977" i="16"/>
  <c r="H48978" i="16"/>
  <c r="H48979" i="16"/>
  <c r="H48980" i="16"/>
  <c r="H48981" i="16"/>
  <c r="H48982" i="16"/>
  <c r="H48983" i="16"/>
  <c r="H48984" i="16"/>
  <c r="H48985" i="16"/>
  <c r="H48986" i="16"/>
  <c r="H48987" i="16"/>
  <c r="H48988" i="16"/>
  <c r="H48989" i="16"/>
  <c r="H48990" i="16"/>
  <c r="H48991" i="16"/>
  <c r="H48992" i="16"/>
  <c r="H48993" i="16"/>
  <c r="H48994" i="16"/>
  <c r="H48995" i="16"/>
  <c r="H48996" i="16"/>
  <c r="H48997" i="16"/>
  <c r="H48998" i="16"/>
  <c r="H48999" i="16"/>
  <c r="H49000" i="16"/>
  <c r="H49001" i="16"/>
  <c r="H49002" i="16"/>
  <c r="H49003" i="16"/>
  <c r="H49004" i="16"/>
  <c r="H49005" i="16"/>
  <c r="H49006" i="16"/>
  <c r="H49007" i="16"/>
  <c r="H49008" i="16"/>
  <c r="H49009" i="16"/>
  <c r="H49010" i="16"/>
  <c r="H49011" i="16"/>
  <c r="H49012" i="16"/>
  <c r="H49013" i="16"/>
  <c r="H49014" i="16"/>
  <c r="H49015" i="16"/>
  <c r="H49016" i="16"/>
  <c r="H49017" i="16"/>
  <c r="H49018" i="16"/>
  <c r="H49019" i="16"/>
  <c r="H49020" i="16"/>
  <c r="H49021" i="16"/>
  <c r="H49022" i="16"/>
  <c r="H49023" i="16"/>
  <c r="H49024" i="16"/>
  <c r="H49025" i="16"/>
  <c r="H49026" i="16"/>
  <c r="H49027" i="16"/>
  <c r="H49028" i="16"/>
  <c r="H49029" i="16"/>
  <c r="H49030" i="16"/>
  <c r="H49031" i="16"/>
  <c r="H49032" i="16"/>
  <c r="H49033" i="16"/>
  <c r="H49034" i="16"/>
  <c r="H49035" i="16"/>
  <c r="H49036" i="16"/>
  <c r="H49037" i="16"/>
  <c r="H49038" i="16"/>
  <c r="H49039" i="16"/>
  <c r="H49040" i="16"/>
  <c r="H49041" i="16"/>
  <c r="H49042" i="16"/>
  <c r="H49043" i="16"/>
  <c r="H49044" i="16"/>
  <c r="H49045" i="16"/>
  <c r="H49046" i="16"/>
  <c r="H49047" i="16"/>
  <c r="H49048" i="16"/>
  <c r="H49049" i="16"/>
  <c r="H49050" i="16"/>
  <c r="H49051" i="16"/>
  <c r="H49052" i="16"/>
  <c r="H49053" i="16"/>
  <c r="H49054" i="16"/>
  <c r="H49055" i="16"/>
  <c r="H49056" i="16"/>
  <c r="H49057" i="16"/>
  <c r="H49058" i="16"/>
  <c r="H49059" i="16"/>
  <c r="H49060" i="16"/>
  <c r="H49061" i="16"/>
  <c r="H49062" i="16"/>
  <c r="H49063" i="16"/>
  <c r="H49064" i="16"/>
  <c r="H49065" i="16"/>
  <c r="H49066" i="16"/>
  <c r="H49067" i="16"/>
  <c r="H49068" i="16"/>
  <c r="H49069" i="16"/>
  <c r="H49070" i="16"/>
  <c r="H49071" i="16"/>
  <c r="H49072" i="16"/>
  <c r="H49073" i="16"/>
  <c r="H49074" i="16"/>
  <c r="H49075" i="16"/>
  <c r="H49076" i="16"/>
  <c r="H49077" i="16"/>
  <c r="H49078" i="16"/>
  <c r="H49079" i="16"/>
  <c r="H49080" i="16"/>
  <c r="H49081" i="16"/>
  <c r="H49082" i="16"/>
  <c r="H49083" i="16"/>
  <c r="H49084" i="16"/>
  <c r="H49085" i="16"/>
  <c r="H49086" i="16"/>
  <c r="H49087" i="16"/>
  <c r="H49088" i="16"/>
  <c r="H49089" i="16"/>
  <c r="H49090" i="16"/>
  <c r="H49091" i="16"/>
  <c r="H49092" i="16"/>
  <c r="H49093" i="16"/>
  <c r="H49094" i="16"/>
  <c r="H49095" i="16"/>
  <c r="H49096" i="16"/>
  <c r="H49097" i="16"/>
  <c r="H49098" i="16"/>
  <c r="H49099" i="16"/>
  <c r="H49100" i="16"/>
  <c r="H49101" i="16"/>
  <c r="H49102" i="16"/>
  <c r="H49103" i="16"/>
  <c r="H49104" i="16"/>
  <c r="H49105" i="16"/>
  <c r="H49106" i="16"/>
  <c r="H49107" i="16"/>
  <c r="H49108" i="16"/>
  <c r="H49109" i="16"/>
  <c r="H49110" i="16"/>
  <c r="H49111" i="16"/>
  <c r="H49112" i="16"/>
  <c r="H49113" i="16"/>
  <c r="H49114" i="16"/>
  <c r="H49115" i="16"/>
  <c r="H49116" i="16"/>
  <c r="H49117" i="16"/>
  <c r="H49118" i="16"/>
  <c r="H49119" i="16"/>
  <c r="H49120" i="16"/>
  <c r="H49121" i="16"/>
  <c r="H49122" i="16"/>
  <c r="H49123" i="16"/>
  <c r="H49124" i="16"/>
  <c r="H49125" i="16"/>
  <c r="H49126" i="16"/>
  <c r="H49127" i="16"/>
  <c r="H49128" i="16"/>
  <c r="H49129" i="16"/>
  <c r="H49130" i="16"/>
  <c r="H49131" i="16"/>
  <c r="H49132" i="16"/>
  <c r="H49133" i="16"/>
  <c r="H49134" i="16"/>
  <c r="H49135" i="16"/>
  <c r="H49136" i="16"/>
  <c r="H49137" i="16"/>
  <c r="H49138" i="16"/>
  <c r="H49139" i="16"/>
  <c r="H49140" i="16"/>
  <c r="H49141" i="16"/>
  <c r="H49142" i="16"/>
  <c r="H49143" i="16"/>
  <c r="H49144" i="16"/>
  <c r="H49145" i="16"/>
  <c r="H49146" i="16"/>
  <c r="H49147" i="16"/>
  <c r="H49148" i="16"/>
  <c r="H49149" i="16"/>
  <c r="H49150" i="16"/>
  <c r="H49151" i="16"/>
  <c r="H49152" i="16"/>
  <c r="H49153" i="16"/>
  <c r="H49154" i="16"/>
  <c r="H49155" i="16"/>
  <c r="H49156" i="16"/>
  <c r="H49157" i="16"/>
  <c r="H49158" i="16"/>
  <c r="H49159" i="16"/>
  <c r="H49160" i="16"/>
  <c r="H49161" i="16"/>
  <c r="H49162" i="16"/>
  <c r="H49163" i="16"/>
  <c r="H49164" i="16"/>
  <c r="H49165" i="16"/>
  <c r="H49166" i="16"/>
  <c r="H49167" i="16"/>
  <c r="H49168" i="16"/>
  <c r="H49169" i="16"/>
  <c r="H49170" i="16"/>
  <c r="H49171" i="16"/>
  <c r="H49172" i="16"/>
  <c r="H49173" i="16"/>
  <c r="H49174" i="16"/>
  <c r="H49175" i="16"/>
  <c r="H49176" i="16"/>
  <c r="H49177" i="16"/>
  <c r="H49178" i="16"/>
  <c r="H49179" i="16"/>
  <c r="H49180" i="16"/>
  <c r="H49181" i="16"/>
  <c r="H49182" i="16"/>
  <c r="H49183" i="16"/>
  <c r="H49184" i="16"/>
  <c r="H49185" i="16"/>
  <c r="H49186" i="16"/>
  <c r="H49187" i="16"/>
  <c r="H49188" i="16"/>
  <c r="H49189" i="16"/>
  <c r="H49190" i="16"/>
  <c r="H49191" i="16"/>
  <c r="H49192" i="16"/>
  <c r="H49193" i="16"/>
  <c r="H49194" i="16"/>
  <c r="H49195" i="16"/>
  <c r="H49196" i="16"/>
  <c r="H49197" i="16"/>
  <c r="H49198" i="16"/>
  <c r="H49199" i="16"/>
  <c r="H49200" i="16"/>
  <c r="H49201" i="16"/>
  <c r="H49202" i="16"/>
  <c r="H49203" i="16"/>
  <c r="H49204" i="16"/>
  <c r="H49205" i="16"/>
  <c r="H49206" i="16"/>
  <c r="H49207" i="16"/>
  <c r="H49208" i="16"/>
  <c r="H49209" i="16"/>
  <c r="H49210" i="16"/>
  <c r="H49211" i="16"/>
  <c r="H49212" i="16"/>
  <c r="H49213" i="16"/>
  <c r="H49214" i="16"/>
  <c r="H49215" i="16"/>
  <c r="H49216" i="16"/>
  <c r="H49217" i="16"/>
  <c r="H49218" i="16"/>
  <c r="H49219" i="16"/>
  <c r="H49220" i="16"/>
  <c r="H49221" i="16"/>
  <c r="H49222" i="16"/>
  <c r="H49223" i="16"/>
  <c r="H49224" i="16"/>
  <c r="H49225" i="16"/>
  <c r="H49226" i="16"/>
  <c r="H49227" i="16"/>
  <c r="H49228" i="16"/>
  <c r="H49229" i="16"/>
  <c r="H49230" i="16"/>
  <c r="H49231" i="16"/>
  <c r="H49232" i="16"/>
  <c r="H49233" i="16"/>
  <c r="H49234" i="16"/>
  <c r="H49235" i="16"/>
  <c r="H49236" i="16"/>
  <c r="H49237" i="16"/>
  <c r="H49238" i="16"/>
  <c r="H49239" i="16"/>
  <c r="H49240" i="16"/>
  <c r="H49241" i="16"/>
  <c r="H49242" i="16"/>
  <c r="H49243" i="16"/>
  <c r="H49244" i="16"/>
  <c r="H49245" i="16"/>
  <c r="H49246" i="16"/>
  <c r="H49247" i="16"/>
  <c r="H49248" i="16"/>
  <c r="H49249" i="16"/>
  <c r="H49250" i="16"/>
  <c r="H49251" i="16"/>
  <c r="H49252" i="16"/>
  <c r="H49253" i="16"/>
  <c r="H49254" i="16"/>
  <c r="H49255" i="16"/>
  <c r="H49256" i="16"/>
  <c r="H49257" i="16"/>
  <c r="H49258" i="16"/>
  <c r="H49259" i="16"/>
  <c r="H49260" i="16"/>
  <c r="H49261" i="16"/>
  <c r="H49262" i="16"/>
  <c r="H49263" i="16"/>
  <c r="H49264" i="16"/>
  <c r="H49265" i="16"/>
  <c r="H49266" i="16"/>
  <c r="H49267" i="16"/>
  <c r="H49268" i="16"/>
  <c r="H49269" i="16"/>
  <c r="H49270" i="16"/>
  <c r="H49271" i="16"/>
  <c r="H49272" i="16"/>
  <c r="H49273" i="16"/>
  <c r="H49274" i="16"/>
  <c r="H49275" i="16"/>
  <c r="H49276" i="16"/>
  <c r="H49277" i="16"/>
  <c r="H49278" i="16"/>
  <c r="H49279" i="16"/>
  <c r="H49280" i="16"/>
  <c r="H49281" i="16"/>
  <c r="H49282" i="16"/>
  <c r="H49283" i="16"/>
  <c r="H49284" i="16"/>
  <c r="H49285" i="16"/>
  <c r="H49286" i="16"/>
  <c r="H49287" i="16"/>
  <c r="H49288" i="16"/>
  <c r="H49289" i="16"/>
  <c r="H49290" i="16"/>
  <c r="H49291" i="16"/>
  <c r="H49292" i="16"/>
  <c r="H49293" i="16"/>
  <c r="H49294" i="16"/>
  <c r="H49295" i="16"/>
  <c r="H49296" i="16"/>
  <c r="H49297" i="16"/>
  <c r="H49298" i="16"/>
  <c r="H49299" i="16"/>
  <c r="H49300" i="16"/>
  <c r="H49301" i="16"/>
  <c r="H49302" i="16"/>
  <c r="H49303" i="16"/>
  <c r="H49304" i="16"/>
  <c r="H49305" i="16"/>
  <c r="H49306" i="16"/>
  <c r="H49307" i="16"/>
  <c r="H49308" i="16"/>
  <c r="H49309" i="16"/>
  <c r="H49310" i="16"/>
  <c r="H49311" i="16"/>
  <c r="H49312" i="16"/>
  <c r="H49313" i="16"/>
  <c r="H49314" i="16"/>
  <c r="H49315" i="16"/>
  <c r="H49316" i="16"/>
  <c r="H49317" i="16"/>
  <c r="H49318" i="16"/>
  <c r="H49319" i="16"/>
  <c r="H49320" i="16"/>
  <c r="H49321" i="16"/>
  <c r="H49322" i="16"/>
  <c r="H49323" i="16"/>
  <c r="H49324" i="16"/>
  <c r="H49325" i="16"/>
  <c r="H49326" i="16"/>
  <c r="H49327" i="16"/>
  <c r="H49328" i="16"/>
  <c r="H49329" i="16"/>
  <c r="H49330" i="16"/>
  <c r="H49331" i="16"/>
  <c r="H49332" i="16"/>
  <c r="H49333" i="16"/>
  <c r="H49334" i="16"/>
  <c r="H49335" i="16"/>
  <c r="H49336" i="16"/>
  <c r="H49337" i="16"/>
  <c r="H49338" i="16"/>
  <c r="H49339" i="16"/>
  <c r="H49340" i="16"/>
  <c r="H49341" i="16"/>
  <c r="H49342" i="16"/>
  <c r="H49343" i="16"/>
  <c r="H49344" i="16"/>
  <c r="H49345" i="16"/>
  <c r="H49346" i="16"/>
  <c r="H49347" i="16"/>
  <c r="H49348" i="16"/>
  <c r="H49349" i="16"/>
  <c r="H49350" i="16"/>
  <c r="H49351" i="16"/>
  <c r="H49352" i="16"/>
  <c r="H49353" i="16"/>
  <c r="H49354" i="16"/>
  <c r="H49355" i="16"/>
  <c r="H49356" i="16"/>
  <c r="H49357" i="16"/>
  <c r="H49358" i="16"/>
  <c r="H49359" i="16"/>
  <c r="H49360" i="16"/>
  <c r="H49361" i="16"/>
  <c r="H49362" i="16"/>
  <c r="H49363" i="16"/>
  <c r="H49364" i="16"/>
  <c r="H49365" i="16"/>
  <c r="H49366" i="16"/>
  <c r="H49367" i="16"/>
  <c r="H49368" i="16"/>
  <c r="H49369" i="16"/>
  <c r="H49370" i="16"/>
  <c r="H49371" i="16"/>
  <c r="H49372" i="16"/>
  <c r="H49373" i="16"/>
  <c r="H49374" i="16"/>
  <c r="H49375" i="16"/>
  <c r="H49376" i="16"/>
  <c r="H49377" i="16"/>
  <c r="H49378" i="16"/>
  <c r="H49379" i="16"/>
  <c r="H49380" i="16"/>
  <c r="H49381" i="16"/>
  <c r="H49382" i="16"/>
  <c r="H49383" i="16"/>
  <c r="H49384" i="16"/>
  <c r="H49385" i="16"/>
  <c r="H49386" i="16"/>
  <c r="H49387" i="16"/>
  <c r="H49388" i="16"/>
  <c r="H49389" i="16"/>
  <c r="H49390" i="16"/>
  <c r="H49391" i="16"/>
  <c r="H49392" i="16"/>
  <c r="H49393" i="16"/>
  <c r="H49394" i="16"/>
  <c r="H49395" i="16"/>
  <c r="H49396" i="16"/>
  <c r="H49397" i="16"/>
  <c r="H49398" i="16"/>
  <c r="H49399" i="16"/>
  <c r="H49400" i="16"/>
  <c r="H49401" i="16"/>
  <c r="H49402" i="16"/>
  <c r="H49403" i="16"/>
  <c r="H49404" i="16"/>
  <c r="H49405" i="16"/>
  <c r="H49406" i="16"/>
  <c r="H49407" i="16"/>
  <c r="H49408" i="16"/>
  <c r="H49409" i="16"/>
  <c r="H49410" i="16"/>
  <c r="H49411" i="16"/>
  <c r="H49412" i="16"/>
  <c r="H49413" i="16"/>
  <c r="H49414" i="16"/>
  <c r="H49415" i="16"/>
  <c r="H49416" i="16"/>
  <c r="H49417" i="16"/>
  <c r="H49418" i="16"/>
  <c r="H49419" i="16"/>
  <c r="H49420" i="16"/>
  <c r="H49421" i="16"/>
  <c r="H49422" i="16"/>
  <c r="H49423" i="16"/>
  <c r="H49424" i="16"/>
  <c r="H49425" i="16"/>
  <c r="H49426" i="16"/>
  <c r="H49427" i="16"/>
  <c r="H49428" i="16"/>
  <c r="H49429" i="16"/>
  <c r="H49430" i="16"/>
  <c r="H49431" i="16"/>
  <c r="H49432" i="16"/>
  <c r="H49433" i="16"/>
  <c r="H49434" i="16"/>
  <c r="H49435" i="16"/>
  <c r="H49436" i="16"/>
  <c r="H49437" i="16"/>
  <c r="H49438" i="16"/>
  <c r="H49439" i="16"/>
  <c r="H49440" i="16"/>
  <c r="H49441" i="16"/>
  <c r="H49442" i="16"/>
  <c r="H49443" i="16"/>
  <c r="H49444" i="16"/>
  <c r="H49445" i="16"/>
  <c r="H49446" i="16"/>
  <c r="H49447" i="16"/>
  <c r="H49448" i="16"/>
  <c r="H49449" i="16"/>
  <c r="H49450" i="16"/>
  <c r="H49451" i="16"/>
  <c r="H49452" i="16"/>
  <c r="H49453" i="16"/>
  <c r="H49454" i="16"/>
  <c r="H49455" i="16"/>
  <c r="H49456" i="16"/>
  <c r="H49457" i="16"/>
  <c r="H49458" i="16"/>
  <c r="H49459" i="16"/>
  <c r="H49460" i="16"/>
  <c r="H49461" i="16"/>
  <c r="H49462" i="16"/>
  <c r="H49463" i="16"/>
  <c r="H49464" i="16"/>
  <c r="H49465" i="16"/>
  <c r="H49466" i="16"/>
  <c r="H49467" i="16"/>
  <c r="H49468" i="16"/>
  <c r="H49469" i="16"/>
  <c r="H49470" i="16"/>
  <c r="H49471" i="16"/>
  <c r="H49472" i="16"/>
  <c r="H49473" i="16"/>
  <c r="H49474" i="16"/>
  <c r="H49475" i="16"/>
  <c r="H49476" i="16"/>
  <c r="H49477" i="16"/>
  <c r="H49478" i="16"/>
  <c r="H49479" i="16"/>
  <c r="H49480" i="16"/>
  <c r="H49481" i="16"/>
  <c r="H49482" i="16"/>
  <c r="H49483" i="16"/>
  <c r="H49484" i="16"/>
  <c r="H49485" i="16"/>
  <c r="H49486" i="16"/>
  <c r="H49487" i="16"/>
  <c r="H49488" i="16"/>
  <c r="H49489" i="16"/>
  <c r="H49490" i="16"/>
  <c r="H49491" i="16"/>
  <c r="H49492" i="16"/>
  <c r="H49493" i="16"/>
  <c r="H49494" i="16"/>
  <c r="H49495" i="16"/>
  <c r="H49496" i="16"/>
  <c r="H49497" i="16"/>
  <c r="H49498" i="16"/>
  <c r="H49499" i="16"/>
  <c r="H49500" i="16"/>
  <c r="H49501" i="16"/>
  <c r="H49502" i="16"/>
  <c r="H49503" i="16"/>
  <c r="H49504" i="16"/>
  <c r="H49505" i="16"/>
  <c r="H49506" i="16"/>
  <c r="H49507" i="16"/>
  <c r="H49508" i="16"/>
  <c r="H49509" i="16"/>
  <c r="H49510" i="16"/>
  <c r="H49511" i="16"/>
  <c r="H49512" i="16"/>
  <c r="H49513" i="16"/>
  <c r="H49514" i="16"/>
  <c r="H49515" i="16"/>
  <c r="H49516" i="16"/>
  <c r="H49517" i="16"/>
  <c r="H49518" i="16"/>
  <c r="H49519" i="16"/>
  <c r="H49520" i="16"/>
  <c r="H49521" i="16"/>
  <c r="H49522" i="16"/>
  <c r="H49523" i="16"/>
  <c r="H49524" i="16"/>
  <c r="H49525" i="16"/>
  <c r="H49526" i="16"/>
  <c r="H49527" i="16"/>
  <c r="H49528" i="16"/>
  <c r="H49529" i="16"/>
  <c r="H49530" i="16"/>
  <c r="H49531" i="16"/>
  <c r="H49532" i="16"/>
  <c r="H49533" i="16"/>
  <c r="H49534" i="16"/>
  <c r="H49535" i="16"/>
  <c r="H49536" i="16"/>
  <c r="H49537" i="16"/>
  <c r="H49538" i="16"/>
  <c r="H49539" i="16"/>
  <c r="H49540" i="16"/>
  <c r="H49541" i="16"/>
  <c r="H49542" i="16"/>
  <c r="H49543" i="16"/>
  <c r="H49544" i="16"/>
  <c r="H49545" i="16"/>
  <c r="H49546" i="16"/>
  <c r="H49547" i="16"/>
  <c r="H49548" i="16"/>
  <c r="H49549" i="16"/>
  <c r="H49550" i="16"/>
  <c r="H49551" i="16"/>
  <c r="H49552" i="16"/>
  <c r="H49553" i="16"/>
  <c r="H49554" i="16"/>
  <c r="H49555" i="16"/>
  <c r="H49556" i="16"/>
  <c r="H49557" i="16"/>
  <c r="H49558" i="16"/>
  <c r="H49559" i="16"/>
  <c r="H49560" i="16"/>
  <c r="H49561" i="16"/>
  <c r="H49562" i="16"/>
  <c r="H49563" i="16"/>
  <c r="H49564" i="16"/>
  <c r="H49565" i="16"/>
  <c r="H49566" i="16"/>
  <c r="H49567" i="16"/>
  <c r="H49568" i="16"/>
  <c r="H49569" i="16"/>
  <c r="H49570" i="16"/>
  <c r="H49571" i="16"/>
  <c r="H49572" i="16"/>
  <c r="H49573" i="16"/>
  <c r="H49574" i="16"/>
  <c r="H49575" i="16"/>
  <c r="H49576" i="16"/>
  <c r="H49577" i="16"/>
  <c r="H49578" i="16"/>
  <c r="H49579" i="16"/>
  <c r="H49580" i="16"/>
  <c r="H49581" i="16"/>
  <c r="H49582" i="16"/>
  <c r="H49583" i="16"/>
  <c r="H49584" i="16"/>
  <c r="H49585" i="16"/>
  <c r="H49586" i="16"/>
  <c r="H49587" i="16"/>
  <c r="H49588" i="16"/>
  <c r="H49589" i="16"/>
  <c r="H49590" i="16"/>
  <c r="H49591" i="16"/>
  <c r="H49592" i="16"/>
  <c r="H49593" i="16"/>
  <c r="H49594" i="16"/>
  <c r="H49595" i="16"/>
  <c r="H49596" i="16"/>
  <c r="H49597" i="16"/>
  <c r="H49598" i="16"/>
  <c r="H49599" i="16"/>
  <c r="H49600" i="16"/>
  <c r="H49601" i="16"/>
  <c r="H49602" i="16"/>
  <c r="H49603" i="16"/>
  <c r="H49604" i="16"/>
  <c r="H49605" i="16"/>
  <c r="H49606" i="16"/>
  <c r="H49607" i="16"/>
  <c r="H49608" i="16"/>
  <c r="H49609" i="16"/>
  <c r="H49610" i="16"/>
  <c r="H49611" i="16"/>
  <c r="H49612" i="16"/>
  <c r="H49613" i="16"/>
  <c r="H49614" i="16"/>
  <c r="H49615" i="16"/>
  <c r="H49616" i="16"/>
  <c r="H49617" i="16"/>
  <c r="H49618" i="16"/>
  <c r="H49619" i="16"/>
  <c r="H49620" i="16"/>
  <c r="H49621" i="16"/>
  <c r="H49622" i="16"/>
  <c r="H49623" i="16"/>
  <c r="H49624" i="16"/>
  <c r="H49625" i="16"/>
  <c r="H49626" i="16"/>
  <c r="H49627" i="16"/>
  <c r="H49628" i="16"/>
  <c r="H49629" i="16"/>
  <c r="H49630" i="16"/>
  <c r="H49631" i="16"/>
  <c r="H49632" i="16"/>
  <c r="H49633" i="16"/>
  <c r="H49634" i="16"/>
  <c r="H49635" i="16"/>
  <c r="H49636" i="16"/>
  <c r="H49637" i="16"/>
  <c r="H49638" i="16"/>
  <c r="H49639" i="16"/>
  <c r="H49640" i="16"/>
  <c r="H49641" i="16"/>
  <c r="H49642" i="16"/>
  <c r="H49643" i="16"/>
  <c r="H49644" i="16"/>
  <c r="H49645" i="16"/>
  <c r="H49646" i="16"/>
  <c r="H49647" i="16"/>
  <c r="H49648" i="16"/>
  <c r="H49649" i="16"/>
  <c r="H49650" i="16"/>
  <c r="H49651" i="16"/>
  <c r="H49652" i="16"/>
  <c r="H49653" i="16"/>
  <c r="H49654" i="16"/>
  <c r="H49655" i="16"/>
  <c r="H49656" i="16"/>
  <c r="H49657" i="16"/>
  <c r="H49658" i="16"/>
  <c r="H49659" i="16"/>
  <c r="H49660" i="16"/>
  <c r="H49661" i="16"/>
  <c r="H49662" i="16"/>
  <c r="H49663" i="16"/>
  <c r="H49664" i="16"/>
  <c r="H49665" i="16"/>
  <c r="H49666" i="16"/>
  <c r="H49667" i="16"/>
  <c r="H49668" i="16"/>
  <c r="H49669" i="16"/>
  <c r="H49670" i="16"/>
  <c r="H49671" i="16"/>
  <c r="H49672" i="16"/>
  <c r="H49673" i="16"/>
  <c r="H49674" i="16"/>
  <c r="H49675" i="16"/>
  <c r="H49676" i="16"/>
  <c r="H49677" i="16"/>
  <c r="H49678" i="16"/>
  <c r="H49679" i="16"/>
  <c r="H49680" i="16"/>
  <c r="H49681" i="16"/>
  <c r="H49682" i="16"/>
  <c r="H49683" i="16"/>
  <c r="H49684" i="16"/>
  <c r="H49685" i="16"/>
  <c r="H49686" i="16"/>
  <c r="H49687" i="16"/>
  <c r="H49688" i="16"/>
  <c r="H49689" i="16"/>
  <c r="H49690" i="16"/>
  <c r="H49691" i="16"/>
  <c r="H49692" i="16"/>
  <c r="H49693" i="16"/>
  <c r="H49694" i="16"/>
  <c r="H49695" i="16"/>
  <c r="H49696" i="16"/>
  <c r="H49697" i="16"/>
  <c r="H49698" i="16"/>
  <c r="H49699" i="16"/>
  <c r="H49700" i="16"/>
  <c r="H49701" i="16"/>
  <c r="H49702" i="16"/>
  <c r="H49703" i="16"/>
  <c r="H49704" i="16"/>
  <c r="H49705" i="16"/>
  <c r="H49706" i="16"/>
  <c r="H49707" i="16"/>
  <c r="H49708" i="16"/>
  <c r="H49709" i="16"/>
  <c r="H49710" i="16"/>
  <c r="H49711" i="16"/>
  <c r="H49712" i="16"/>
  <c r="H49713" i="16"/>
  <c r="H49714" i="16"/>
  <c r="H49715" i="16"/>
  <c r="H49716" i="16"/>
  <c r="H49717" i="16"/>
  <c r="H49718" i="16"/>
  <c r="H49719" i="16"/>
  <c r="H49720" i="16"/>
  <c r="H49721" i="16"/>
  <c r="H49722" i="16"/>
  <c r="H49723" i="16"/>
  <c r="H49724" i="16"/>
  <c r="H49725" i="16"/>
  <c r="H49726" i="16"/>
  <c r="H49727" i="16"/>
  <c r="H49728" i="16"/>
  <c r="H49729" i="16"/>
  <c r="H49730" i="16"/>
  <c r="H49731" i="16"/>
  <c r="H49732" i="16"/>
  <c r="H49733" i="16"/>
  <c r="H49734" i="16"/>
  <c r="H49735" i="16"/>
  <c r="H49736" i="16"/>
  <c r="H49737" i="16"/>
  <c r="H49738" i="16"/>
  <c r="H49739" i="16"/>
  <c r="H49740" i="16"/>
  <c r="H49741" i="16"/>
  <c r="H49742" i="16"/>
  <c r="H49743" i="16"/>
  <c r="H49744" i="16"/>
  <c r="H49745" i="16"/>
  <c r="H49746" i="16"/>
  <c r="H49747" i="16"/>
  <c r="H49748" i="16"/>
  <c r="H49749" i="16"/>
  <c r="H49750" i="16"/>
  <c r="H49751" i="16"/>
  <c r="H49752" i="16"/>
  <c r="H49753" i="16"/>
  <c r="H49754" i="16"/>
  <c r="H49755" i="16"/>
  <c r="H49756" i="16"/>
  <c r="H49757" i="16"/>
  <c r="H49758" i="16"/>
  <c r="H49759" i="16"/>
  <c r="H49760" i="16"/>
  <c r="H49761" i="16"/>
  <c r="H49762" i="16"/>
  <c r="H49763" i="16"/>
  <c r="H49764" i="16"/>
  <c r="H49765" i="16"/>
  <c r="H49766" i="16"/>
  <c r="H49767" i="16"/>
  <c r="H49768" i="16"/>
  <c r="H49769" i="16"/>
  <c r="H49770" i="16"/>
  <c r="H49771" i="16"/>
  <c r="H49772" i="16"/>
  <c r="H49773" i="16"/>
  <c r="H49774" i="16"/>
  <c r="H49775" i="16"/>
  <c r="H49776" i="16"/>
  <c r="H49777" i="16"/>
  <c r="H49778" i="16"/>
  <c r="H49779" i="16"/>
  <c r="H49780" i="16"/>
  <c r="H49781" i="16"/>
  <c r="H49782" i="16"/>
  <c r="H49783" i="16"/>
  <c r="H49784" i="16"/>
  <c r="H49785" i="16"/>
  <c r="H49786" i="16"/>
  <c r="H49787" i="16"/>
  <c r="H49788" i="16"/>
  <c r="H49789" i="16"/>
  <c r="H49790" i="16"/>
  <c r="H49791" i="16"/>
  <c r="H49792" i="16"/>
  <c r="H49793" i="16"/>
  <c r="H49794" i="16"/>
  <c r="H49795" i="16"/>
  <c r="H49796" i="16"/>
  <c r="H49797" i="16"/>
  <c r="H49798" i="16"/>
  <c r="H49799" i="16"/>
  <c r="H49800" i="16"/>
  <c r="H49801" i="16"/>
  <c r="H49802" i="16"/>
  <c r="H49803" i="16"/>
  <c r="H49804" i="16"/>
  <c r="H49805" i="16"/>
  <c r="H49806" i="16"/>
  <c r="H49807" i="16"/>
  <c r="H49808" i="16"/>
  <c r="H49809" i="16"/>
  <c r="H49810" i="16"/>
  <c r="H49811" i="16"/>
  <c r="H49812" i="16"/>
  <c r="H49813" i="16"/>
  <c r="H49814" i="16"/>
  <c r="H49815" i="16"/>
  <c r="H49816" i="16"/>
  <c r="H49817" i="16"/>
  <c r="H49818" i="16"/>
  <c r="H49819" i="16"/>
  <c r="H49820" i="16"/>
  <c r="H49821" i="16"/>
  <c r="H49822" i="16"/>
  <c r="H49823" i="16"/>
  <c r="H49824" i="16"/>
  <c r="H49825" i="16"/>
  <c r="H49826" i="16"/>
  <c r="H49827" i="16"/>
  <c r="H49828" i="16"/>
  <c r="H49829" i="16"/>
  <c r="H49830" i="16"/>
  <c r="H49831" i="16"/>
  <c r="H49832" i="16"/>
  <c r="H49833" i="16"/>
  <c r="H49834" i="16"/>
  <c r="H49835" i="16"/>
  <c r="H49836" i="16"/>
  <c r="H49837" i="16"/>
  <c r="H49838" i="16"/>
  <c r="H49839" i="16"/>
  <c r="H49840" i="16"/>
  <c r="H49841" i="16"/>
  <c r="H49842" i="16"/>
  <c r="H49843" i="16"/>
  <c r="H49844" i="16"/>
  <c r="H49845" i="16"/>
  <c r="H49846" i="16"/>
  <c r="H49847" i="16"/>
  <c r="H49848" i="16"/>
  <c r="H49849" i="16"/>
  <c r="H49850" i="16"/>
  <c r="H49851" i="16"/>
  <c r="H49852" i="16"/>
  <c r="H49853" i="16"/>
  <c r="H49854" i="16"/>
  <c r="H49855" i="16"/>
  <c r="H49856" i="16"/>
  <c r="H49857" i="16"/>
  <c r="H49858" i="16"/>
  <c r="H49859" i="16"/>
  <c r="H49860" i="16"/>
  <c r="H49861" i="16"/>
  <c r="H49862" i="16"/>
  <c r="H49863" i="16"/>
  <c r="H49864" i="16"/>
  <c r="H49865" i="16"/>
  <c r="H49866" i="16"/>
  <c r="H49867" i="16"/>
  <c r="H49868" i="16"/>
  <c r="H49869" i="16"/>
  <c r="H49870" i="16"/>
  <c r="H49871" i="16"/>
  <c r="H49872" i="16"/>
  <c r="H49873" i="16"/>
  <c r="H49874" i="16"/>
  <c r="H49875" i="16"/>
  <c r="H49876" i="16"/>
  <c r="H49877" i="16"/>
  <c r="H49878" i="16"/>
  <c r="H49879" i="16"/>
  <c r="H49880" i="16"/>
  <c r="H49881" i="16"/>
  <c r="H49882" i="16"/>
  <c r="H49883" i="16"/>
  <c r="H49884" i="16"/>
  <c r="H49885" i="16"/>
  <c r="H49886" i="16"/>
  <c r="H49887" i="16"/>
  <c r="H49888" i="16"/>
  <c r="H49889" i="16"/>
  <c r="H49890" i="16"/>
  <c r="H49891" i="16"/>
  <c r="H49892" i="16"/>
  <c r="H49893" i="16"/>
  <c r="H49894" i="16"/>
  <c r="H49895" i="16"/>
  <c r="H49896" i="16"/>
  <c r="H49897" i="16"/>
  <c r="H49898" i="16"/>
  <c r="H49899" i="16"/>
  <c r="H49900" i="16"/>
  <c r="H49901" i="16"/>
  <c r="H49902" i="16"/>
  <c r="H49903" i="16"/>
  <c r="H49904" i="16"/>
  <c r="H49905" i="16"/>
  <c r="H49906" i="16"/>
  <c r="H49907" i="16"/>
  <c r="H49908" i="16"/>
  <c r="H49909" i="16"/>
  <c r="H49910" i="16"/>
  <c r="H49911" i="16"/>
  <c r="H49912" i="16"/>
  <c r="H49913" i="16"/>
  <c r="H49914" i="16"/>
  <c r="H49915" i="16"/>
  <c r="H49916" i="16"/>
  <c r="H49917" i="16"/>
  <c r="H49918" i="16"/>
  <c r="H49919" i="16"/>
  <c r="H49920" i="16"/>
  <c r="H49921" i="16"/>
  <c r="H49922" i="16"/>
  <c r="H49923" i="16"/>
  <c r="H49924" i="16"/>
  <c r="H49925" i="16"/>
  <c r="H49926" i="16"/>
  <c r="H49927" i="16"/>
  <c r="H49928" i="16"/>
  <c r="H49929" i="16"/>
  <c r="H49930" i="16"/>
  <c r="H49931" i="16"/>
  <c r="H49932" i="16"/>
  <c r="H49933" i="16"/>
  <c r="H49934" i="16"/>
  <c r="H49935" i="16"/>
  <c r="H49936" i="16"/>
  <c r="H49937" i="16"/>
  <c r="H49938" i="16"/>
  <c r="H49939" i="16"/>
  <c r="H49940" i="16"/>
  <c r="H49941" i="16"/>
  <c r="H49942" i="16"/>
  <c r="H49943" i="16"/>
  <c r="H49944" i="16"/>
  <c r="H49945" i="16"/>
  <c r="H49946" i="16"/>
  <c r="H49947" i="16"/>
  <c r="H49948" i="16"/>
  <c r="H49949" i="16"/>
  <c r="H49950" i="16"/>
  <c r="H49951" i="16"/>
  <c r="H49952" i="16"/>
  <c r="H49953" i="16"/>
  <c r="H49954" i="16"/>
  <c r="H49955" i="16"/>
  <c r="H49956" i="16"/>
  <c r="H49957" i="16"/>
  <c r="H49958" i="16"/>
  <c r="H49959" i="16"/>
  <c r="H49960" i="16"/>
  <c r="H49961" i="16"/>
  <c r="H49962" i="16"/>
  <c r="H49963" i="16"/>
  <c r="H49964" i="16"/>
  <c r="H49965" i="16"/>
  <c r="H49966" i="16"/>
  <c r="H49967" i="16"/>
  <c r="H49968" i="16"/>
  <c r="H49969" i="16"/>
  <c r="H49970" i="16"/>
  <c r="H49971" i="16"/>
  <c r="H49972" i="16"/>
  <c r="H49973" i="16"/>
  <c r="H49974" i="16"/>
  <c r="H49975" i="16"/>
  <c r="H49976" i="16"/>
  <c r="H49977" i="16"/>
  <c r="H49978" i="16"/>
  <c r="H49979" i="16"/>
  <c r="H49980" i="16"/>
  <c r="H49981" i="16"/>
  <c r="H49982" i="16"/>
  <c r="H49983" i="16"/>
  <c r="H49984" i="16"/>
  <c r="H49985" i="16"/>
  <c r="H49986" i="16"/>
  <c r="H49987" i="16"/>
  <c r="H49988" i="16"/>
  <c r="H49989" i="16"/>
  <c r="H49990" i="16"/>
  <c r="H49991" i="16"/>
  <c r="H49992" i="16"/>
  <c r="H49993" i="16"/>
  <c r="H49994" i="16"/>
  <c r="H49995" i="16"/>
  <c r="H49996" i="16"/>
  <c r="H49997" i="16"/>
  <c r="H49998" i="16"/>
  <c r="H49999" i="16"/>
  <c r="H50000" i="16"/>
  <c r="H50001" i="16"/>
  <c r="H50002" i="16"/>
  <c r="H50003" i="16"/>
  <c r="H50004" i="16"/>
  <c r="H50005" i="16"/>
  <c r="H50006" i="16"/>
  <c r="H50007" i="16"/>
  <c r="H50008" i="16"/>
  <c r="H50009" i="16"/>
  <c r="H50010" i="16"/>
  <c r="H50011" i="16"/>
  <c r="H50012" i="16"/>
  <c r="H50013" i="16"/>
  <c r="H50014" i="16"/>
  <c r="H50015" i="16"/>
  <c r="H50016" i="16"/>
  <c r="H50017" i="16"/>
  <c r="H50018" i="16"/>
  <c r="H50019" i="16"/>
  <c r="H50020" i="16"/>
  <c r="H50021" i="16"/>
  <c r="H50022" i="16"/>
  <c r="H50023" i="16"/>
  <c r="H50024" i="16"/>
  <c r="H50025" i="16"/>
  <c r="H50026" i="16"/>
  <c r="H50027" i="16"/>
  <c r="H50028" i="16"/>
  <c r="H50029" i="16"/>
  <c r="H50030" i="16"/>
  <c r="H50031" i="16"/>
  <c r="H50032" i="16"/>
  <c r="H50033" i="16"/>
  <c r="H50034" i="16"/>
  <c r="H50035" i="16"/>
  <c r="H50036" i="16"/>
  <c r="H50037" i="16"/>
  <c r="H50038" i="16"/>
  <c r="H50039" i="16"/>
  <c r="H50040" i="16"/>
  <c r="H50041" i="16"/>
  <c r="H50042" i="16"/>
  <c r="H50043" i="16"/>
  <c r="H50044" i="16"/>
  <c r="H50045" i="16"/>
  <c r="H50046" i="16"/>
  <c r="H50047" i="16"/>
  <c r="H50048" i="16"/>
  <c r="H50049" i="16"/>
  <c r="H50050" i="16"/>
  <c r="H50051" i="16"/>
  <c r="H50052" i="16"/>
  <c r="H50053" i="16"/>
  <c r="H50054" i="16"/>
  <c r="H50055" i="16"/>
  <c r="H50056" i="16"/>
  <c r="H50057" i="16"/>
  <c r="H50058" i="16"/>
  <c r="H50059" i="16"/>
  <c r="H50060" i="16"/>
  <c r="H50061" i="16"/>
  <c r="H50062" i="16"/>
  <c r="H50063" i="16"/>
  <c r="H50064" i="16"/>
  <c r="H50065" i="16"/>
  <c r="H50066" i="16"/>
  <c r="H50067" i="16"/>
  <c r="H50068" i="16"/>
  <c r="H50069" i="16"/>
  <c r="H50070" i="16"/>
  <c r="H50071" i="16"/>
  <c r="H50072" i="16"/>
  <c r="H50073" i="16"/>
  <c r="H50074" i="16"/>
  <c r="H50075" i="16"/>
  <c r="H50076" i="16"/>
  <c r="H50077" i="16"/>
  <c r="H50078" i="16"/>
  <c r="H50079" i="16"/>
  <c r="H50080" i="16"/>
  <c r="H50081" i="16"/>
  <c r="H50082" i="16"/>
  <c r="H50083" i="16"/>
  <c r="H50084" i="16"/>
  <c r="H50085" i="16"/>
  <c r="H50086" i="16"/>
  <c r="H50087" i="16"/>
  <c r="H50088" i="16"/>
  <c r="H50089" i="16"/>
  <c r="H50090" i="16"/>
  <c r="H50091" i="16"/>
  <c r="H50092" i="16"/>
  <c r="H50093" i="16"/>
  <c r="H50094" i="16"/>
  <c r="H50095" i="16"/>
  <c r="H50096" i="16"/>
  <c r="H50097" i="16"/>
  <c r="H50098" i="16"/>
  <c r="H50099" i="16"/>
  <c r="H50100" i="16"/>
  <c r="H50101" i="16"/>
  <c r="H50102" i="16"/>
  <c r="H50103" i="16"/>
  <c r="H50104" i="16"/>
  <c r="H50105" i="16"/>
  <c r="H50106" i="16"/>
  <c r="H50107" i="16"/>
  <c r="H50108" i="16"/>
  <c r="H50109" i="16"/>
  <c r="H50110" i="16"/>
  <c r="H50111" i="16"/>
  <c r="H50112" i="16"/>
  <c r="H50113" i="16"/>
  <c r="H50114" i="16"/>
  <c r="H50115" i="16"/>
  <c r="H50116" i="16"/>
  <c r="H50117" i="16"/>
  <c r="H50118" i="16"/>
  <c r="H50119" i="16"/>
  <c r="H50120" i="16"/>
  <c r="H50121" i="16"/>
  <c r="H50122" i="16"/>
  <c r="H50123" i="16"/>
  <c r="H50124" i="16"/>
  <c r="H50125" i="16"/>
  <c r="H50126" i="16"/>
  <c r="H50127" i="16"/>
  <c r="H50128" i="16"/>
  <c r="H50129" i="16"/>
  <c r="H50130" i="16"/>
  <c r="H50131" i="16"/>
  <c r="H50132" i="16"/>
  <c r="H50133" i="16"/>
  <c r="H50134" i="16"/>
  <c r="H50135" i="16"/>
  <c r="H50136" i="16"/>
  <c r="H50137" i="16"/>
  <c r="H50138" i="16"/>
  <c r="H50139" i="16"/>
  <c r="H50140" i="16"/>
  <c r="H50141" i="16"/>
  <c r="H50142" i="16"/>
  <c r="H50143" i="16"/>
  <c r="H50144" i="16"/>
  <c r="H50145" i="16"/>
  <c r="H50146" i="16"/>
  <c r="H50147" i="16"/>
  <c r="H50148" i="16"/>
  <c r="H50149" i="16"/>
  <c r="H50150" i="16"/>
  <c r="H50151" i="16"/>
  <c r="H50152" i="16"/>
  <c r="H50153" i="16"/>
  <c r="H50154" i="16"/>
  <c r="H50155" i="16"/>
  <c r="H50156" i="16"/>
  <c r="H50157" i="16"/>
  <c r="H50158" i="16"/>
  <c r="H50159" i="16"/>
  <c r="H50160" i="16"/>
  <c r="H50161" i="16"/>
  <c r="H50162" i="16"/>
  <c r="H50163" i="16"/>
  <c r="H50164" i="16"/>
  <c r="H50165" i="16"/>
  <c r="H50166" i="16"/>
  <c r="H50167" i="16"/>
  <c r="H50168" i="16"/>
  <c r="H50169" i="16"/>
  <c r="H50170" i="16"/>
  <c r="H50171" i="16"/>
  <c r="H50172" i="16"/>
  <c r="H50173" i="16"/>
  <c r="H50174" i="16"/>
  <c r="H50175" i="16"/>
  <c r="H50176" i="16"/>
  <c r="H50177" i="16"/>
  <c r="H50178" i="16"/>
  <c r="H50179" i="16"/>
  <c r="H50180" i="16"/>
  <c r="H50181" i="16"/>
  <c r="H50182" i="16"/>
  <c r="H50183" i="16"/>
  <c r="H50184" i="16"/>
  <c r="H50185" i="16"/>
  <c r="H50186" i="16"/>
  <c r="H50187" i="16"/>
  <c r="H50188" i="16"/>
  <c r="H50189" i="16"/>
  <c r="H50190" i="16"/>
  <c r="H50191" i="16"/>
  <c r="H50192" i="16"/>
  <c r="H50193" i="16"/>
  <c r="H50194" i="16"/>
  <c r="H50195" i="16"/>
  <c r="H50196" i="16"/>
  <c r="H50197" i="16"/>
  <c r="H50198" i="16"/>
  <c r="H50199" i="16"/>
  <c r="H50200" i="16"/>
  <c r="H50201" i="16"/>
  <c r="H50202" i="16"/>
  <c r="H50203" i="16"/>
  <c r="H50204" i="16"/>
  <c r="H50205" i="16"/>
  <c r="H50206" i="16"/>
  <c r="H50207" i="16"/>
  <c r="H50208" i="16"/>
  <c r="H50209" i="16"/>
  <c r="H50210" i="16"/>
  <c r="H50211" i="16"/>
  <c r="H50212" i="16"/>
  <c r="H50213" i="16"/>
  <c r="H50214" i="16"/>
  <c r="H50215" i="16"/>
  <c r="H50216" i="16"/>
  <c r="H50217" i="16"/>
  <c r="H50218" i="16"/>
  <c r="H50219" i="16"/>
  <c r="H50220" i="16"/>
  <c r="H50221" i="16"/>
  <c r="H50222" i="16"/>
  <c r="H50223" i="16"/>
  <c r="H50224" i="16"/>
  <c r="H50225" i="16"/>
  <c r="H50226" i="16"/>
  <c r="H50227" i="16"/>
  <c r="H50228" i="16"/>
  <c r="H50229" i="16"/>
  <c r="H50230" i="16"/>
  <c r="H50231" i="16"/>
  <c r="H50232" i="16"/>
  <c r="H50233" i="16"/>
  <c r="H50234" i="16"/>
  <c r="H50235" i="16"/>
  <c r="H50236" i="16"/>
  <c r="H50237" i="16"/>
  <c r="H50238" i="16"/>
  <c r="H50239" i="16"/>
  <c r="H50240" i="16"/>
  <c r="H50241" i="16"/>
  <c r="H50242" i="16"/>
  <c r="H50243" i="16"/>
  <c r="H50244" i="16"/>
  <c r="H50245" i="16"/>
  <c r="H50246" i="16"/>
  <c r="H50247" i="16"/>
  <c r="H50248" i="16"/>
  <c r="H50249" i="16"/>
  <c r="H50250" i="16"/>
  <c r="H50251" i="16"/>
  <c r="H50252" i="16"/>
  <c r="H50253" i="16"/>
  <c r="H50254" i="16"/>
  <c r="H50255" i="16"/>
  <c r="H50256" i="16"/>
  <c r="H50257" i="16"/>
  <c r="H50258" i="16"/>
  <c r="H50259" i="16"/>
  <c r="H50260" i="16"/>
  <c r="H50261" i="16"/>
  <c r="H50262" i="16"/>
  <c r="H50263" i="16"/>
  <c r="H50264" i="16"/>
  <c r="H50265" i="16"/>
  <c r="H50266" i="16"/>
  <c r="H50267" i="16"/>
  <c r="H50268" i="16"/>
  <c r="H50269" i="16"/>
  <c r="H50270" i="16"/>
  <c r="H50271" i="16"/>
  <c r="H50272" i="16"/>
  <c r="H50273" i="16"/>
  <c r="H50274" i="16"/>
  <c r="H50275" i="16"/>
  <c r="H50276" i="16"/>
  <c r="H50277" i="16"/>
  <c r="H50278" i="16"/>
  <c r="H50279" i="16"/>
  <c r="H50280" i="16"/>
  <c r="H50281" i="16"/>
  <c r="H50282" i="16"/>
  <c r="H50283" i="16"/>
  <c r="H50284" i="16"/>
  <c r="H50285" i="16"/>
  <c r="H50286" i="16"/>
  <c r="H50287" i="16"/>
  <c r="H50288" i="16"/>
  <c r="H50289" i="16"/>
  <c r="H50290" i="16"/>
  <c r="H50291" i="16"/>
  <c r="H50292" i="16"/>
  <c r="H50293" i="16"/>
  <c r="H50294" i="16"/>
  <c r="H50295" i="16"/>
  <c r="H50296" i="16"/>
  <c r="H50297" i="16"/>
  <c r="H50298" i="16"/>
  <c r="H50299" i="16"/>
  <c r="H50300" i="16"/>
  <c r="H50301" i="16"/>
  <c r="H50302" i="16"/>
  <c r="H50303" i="16"/>
  <c r="H50304" i="16"/>
  <c r="H50305" i="16"/>
  <c r="H50306" i="16"/>
  <c r="H50307" i="16"/>
  <c r="H50308" i="16"/>
  <c r="H50309" i="16"/>
  <c r="H50310" i="16"/>
  <c r="H50311" i="16"/>
  <c r="H50312" i="16"/>
  <c r="H50313" i="16"/>
  <c r="H50314" i="16"/>
  <c r="H50315" i="16"/>
  <c r="H50316" i="16"/>
  <c r="H50317" i="16"/>
  <c r="H50318" i="16"/>
  <c r="H50319" i="16"/>
  <c r="H50320" i="16"/>
  <c r="H50321" i="16"/>
  <c r="H50322" i="16"/>
  <c r="H50323" i="16"/>
  <c r="H50324" i="16"/>
  <c r="H50325" i="16"/>
  <c r="H50326" i="16"/>
  <c r="H50327" i="16"/>
  <c r="H50328" i="16"/>
  <c r="H50329" i="16"/>
  <c r="H50330" i="16"/>
  <c r="H50331" i="16"/>
  <c r="H50332" i="16"/>
  <c r="H50333" i="16"/>
  <c r="H50334" i="16"/>
  <c r="H50335" i="16"/>
  <c r="H50336" i="16"/>
  <c r="H50337" i="16"/>
  <c r="H50338" i="16"/>
  <c r="H50339" i="16"/>
  <c r="H50340" i="16"/>
  <c r="H50341" i="16"/>
  <c r="H50342" i="16"/>
  <c r="H50343" i="16"/>
  <c r="H50344" i="16"/>
  <c r="H50345" i="16"/>
  <c r="H50346" i="16"/>
  <c r="H50347" i="16"/>
  <c r="H50348" i="16"/>
  <c r="H50349" i="16"/>
  <c r="H50350" i="16"/>
  <c r="H50351" i="16"/>
  <c r="H50352" i="16"/>
  <c r="H50353" i="16"/>
  <c r="H50354" i="16"/>
  <c r="H50355" i="16"/>
  <c r="H50356" i="16"/>
  <c r="H50357" i="16"/>
  <c r="H50358" i="16"/>
  <c r="H50359" i="16"/>
  <c r="H50360" i="16"/>
  <c r="H50361" i="16"/>
  <c r="H50362" i="16"/>
  <c r="H50363" i="16"/>
  <c r="H50364" i="16"/>
  <c r="H50365" i="16"/>
  <c r="H50366" i="16"/>
  <c r="H50367" i="16"/>
  <c r="H50368" i="16"/>
  <c r="H50369" i="16"/>
  <c r="H50370" i="16"/>
  <c r="H50371" i="16"/>
  <c r="H50372" i="16"/>
  <c r="H50373" i="16"/>
  <c r="H50374" i="16"/>
  <c r="H50375" i="16"/>
  <c r="H50376" i="16"/>
  <c r="H50377" i="16"/>
  <c r="H50378" i="16"/>
  <c r="H50379" i="16"/>
  <c r="H50380" i="16"/>
  <c r="H50381" i="16"/>
  <c r="H50382" i="16"/>
  <c r="H50383" i="16"/>
  <c r="H50384" i="16"/>
  <c r="H50385" i="16"/>
  <c r="H50386" i="16"/>
  <c r="H50387" i="16"/>
  <c r="H50388" i="16"/>
  <c r="H50389" i="16"/>
  <c r="H50390" i="16"/>
  <c r="H50391" i="16"/>
  <c r="H50392" i="16"/>
  <c r="H50393" i="16"/>
  <c r="H50394" i="16"/>
  <c r="H50395" i="16"/>
  <c r="H50396" i="16"/>
  <c r="H50397" i="16"/>
  <c r="H50398" i="16"/>
  <c r="H50399" i="16"/>
  <c r="H50400" i="16"/>
  <c r="H50401" i="16"/>
  <c r="H50402" i="16"/>
  <c r="H50403" i="16"/>
  <c r="H50404" i="16"/>
  <c r="H50405" i="16"/>
  <c r="H50406" i="16"/>
  <c r="H50407" i="16"/>
  <c r="H50408" i="16"/>
  <c r="H50409" i="16"/>
  <c r="H50410" i="16"/>
  <c r="H50411" i="16"/>
  <c r="H50412" i="16"/>
  <c r="H50413" i="16"/>
  <c r="H50414" i="16"/>
  <c r="H50415" i="16"/>
  <c r="H50416" i="16"/>
  <c r="H50417" i="16"/>
  <c r="H50418" i="16"/>
  <c r="H50419" i="16"/>
  <c r="H50420" i="16"/>
  <c r="H50421" i="16"/>
  <c r="H50422" i="16"/>
  <c r="H50423" i="16"/>
  <c r="H50424" i="16"/>
  <c r="H50425" i="16"/>
  <c r="H50426" i="16"/>
  <c r="H50427" i="16"/>
  <c r="H50428" i="16"/>
  <c r="H50429" i="16"/>
  <c r="H50430" i="16"/>
  <c r="H50431" i="16"/>
  <c r="H50432" i="16"/>
  <c r="H50433" i="16"/>
  <c r="H50434" i="16"/>
  <c r="H50435" i="16"/>
  <c r="H50436" i="16"/>
  <c r="H50437" i="16"/>
  <c r="H50438" i="16"/>
  <c r="H50439" i="16"/>
  <c r="H50440" i="16"/>
  <c r="H50441" i="16"/>
  <c r="H50442" i="16"/>
  <c r="H50443" i="16"/>
  <c r="H50444" i="16"/>
  <c r="H50445" i="16"/>
  <c r="H50446" i="16"/>
  <c r="H50447" i="16"/>
  <c r="H50448" i="16"/>
  <c r="H50449" i="16"/>
  <c r="H50450" i="16"/>
  <c r="H50451" i="16"/>
  <c r="H50452" i="16"/>
  <c r="H50453" i="16"/>
  <c r="H50454" i="16"/>
  <c r="H50455" i="16"/>
  <c r="H50456" i="16"/>
  <c r="H50457" i="16"/>
  <c r="H50458" i="16"/>
  <c r="H50459" i="16"/>
  <c r="H50460" i="16"/>
  <c r="H50461" i="16"/>
  <c r="H50462" i="16"/>
  <c r="H50463" i="16"/>
  <c r="H50464" i="16"/>
  <c r="H50465" i="16"/>
  <c r="H50466" i="16"/>
  <c r="H50467" i="16"/>
  <c r="H50468" i="16"/>
  <c r="H50469" i="16"/>
  <c r="H50470" i="16"/>
  <c r="H50471" i="16"/>
  <c r="H50472" i="16"/>
  <c r="H50473" i="16"/>
  <c r="H50474" i="16"/>
  <c r="H50475" i="16"/>
  <c r="H50476" i="16"/>
  <c r="H50477" i="16"/>
  <c r="H50478" i="16"/>
  <c r="H50479" i="16"/>
  <c r="H50480" i="16"/>
  <c r="H50481" i="16"/>
  <c r="H50482" i="16"/>
  <c r="H50483" i="16"/>
  <c r="H50484" i="16"/>
  <c r="H50485" i="16"/>
  <c r="H50486" i="16"/>
  <c r="H50487" i="16"/>
  <c r="H50488" i="16"/>
  <c r="H50489" i="16"/>
  <c r="H50490" i="16"/>
  <c r="H50491" i="16"/>
  <c r="H50492" i="16"/>
  <c r="H50493" i="16"/>
  <c r="H50494" i="16"/>
  <c r="H50495" i="16"/>
  <c r="H50496" i="16"/>
  <c r="H50497" i="16"/>
  <c r="H50498" i="16"/>
  <c r="H50499" i="16"/>
  <c r="H50500" i="16"/>
  <c r="H50501" i="16"/>
  <c r="H50502" i="16"/>
  <c r="H50503" i="16"/>
  <c r="H50504" i="16"/>
  <c r="H50505" i="16"/>
  <c r="H50506" i="16"/>
  <c r="H50507" i="16"/>
  <c r="H50508" i="16"/>
  <c r="H50509" i="16"/>
  <c r="H50510" i="16"/>
  <c r="H50511" i="16"/>
  <c r="H50512" i="16"/>
  <c r="H50513" i="16"/>
  <c r="H50514" i="16"/>
  <c r="H50515" i="16"/>
  <c r="H50516" i="16"/>
  <c r="H50517" i="16"/>
  <c r="H50518" i="16"/>
  <c r="H50519" i="16"/>
  <c r="H50520" i="16"/>
  <c r="H50521" i="16"/>
  <c r="H50522" i="16"/>
  <c r="H50523" i="16"/>
  <c r="H50524" i="16"/>
  <c r="H50525" i="16"/>
  <c r="H50526" i="16"/>
  <c r="H50527" i="16"/>
  <c r="H50528" i="16"/>
  <c r="H50529" i="16"/>
  <c r="H50530" i="16"/>
  <c r="H50531" i="16"/>
  <c r="H50532" i="16"/>
  <c r="H50533" i="16"/>
  <c r="H50534" i="16"/>
  <c r="H50535" i="16"/>
  <c r="H50536" i="16"/>
  <c r="H50537" i="16"/>
  <c r="H50538" i="16"/>
  <c r="H50539" i="16"/>
  <c r="H50540" i="16"/>
  <c r="H50541" i="16"/>
  <c r="H50542" i="16"/>
  <c r="H50543" i="16"/>
  <c r="H50544" i="16"/>
  <c r="H50545" i="16"/>
  <c r="H50546" i="16"/>
  <c r="H50547" i="16"/>
  <c r="H50548" i="16"/>
  <c r="H50549" i="16"/>
  <c r="H50550" i="16"/>
  <c r="H50551" i="16"/>
  <c r="H50552" i="16"/>
  <c r="H50553" i="16"/>
  <c r="H50554" i="16"/>
  <c r="H50555" i="16"/>
  <c r="H50556" i="16"/>
  <c r="H50557" i="16"/>
  <c r="H50558" i="16"/>
  <c r="H50559" i="16"/>
  <c r="H50560" i="16"/>
  <c r="H50561" i="16"/>
  <c r="H50562" i="16"/>
  <c r="H50563" i="16"/>
  <c r="H50564" i="16"/>
  <c r="H50565" i="16"/>
  <c r="H50566" i="16"/>
  <c r="H50567" i="16"/>
  <c r="H50568" i="16"/>
  <c r="H50569" i="16"/>
  <c r="H50570" i="16"/>
  <c r="H50571" i="16"/>
  <c r="H50572" i="16"/>
  <c r="H50573" i="16"/>
  <c r="H50574" i="16"/>
  <c r="H50575" i="16"/>
  <c r="H50576" i="16"/>
  <c r="H50577" i="16"/>
  <c r="H50578" i="16"/>
  <c r="H50579" i="16"/>
  <c r="H50580" i="16"/>
  <c r="H50581" i="16"/>
  <c r="H50582" i="16"/>
  <c r="H50583" i="16"/>
  <c r="H50584" i="16"/>
  <c r="H50585" i="16"/>
  <c r="H50586" i="16"/>
  <c r="H50587" i="16"/>
  <c r="H50588" i="16"/>
  <c r="H50589" i="16"/>
  <c r="H50590" i="16"/>
  <c r="H50591" i="16"/>
  <c r="H50592" i="16"/>
  <c r="H50593" i="16"/>
  <c r="H50594" i="16"/>
  <c r="H50595" i="16"/>
  <c r="H50596" i="16"/>
  <c r="H50597" i="16"/>
  <c r="H50598" i="16"/>
  <c r="H50599" i="16"/>
  <c r="H50600" i="16"/>
  <c r="H50601" i="16"/>
  <c r="H50602" i="16"/>
  <c r="H50603" i="16"/>
  <c r="H50604" i="16"/>
  <c r="H50605" i="16"/>
  <c r="H50606" i="16"/>
  <c r="H50607" i="16"/>
  <c r="H50608" i="16"/>
  <c r="H50609" i="16"/>
  <c r="H50610" i="16"/>
  <c r="H50611" i="16"/>
  <c r="H50612" i="16"/>
  <c r="H50613" i="16"/>
  <c r="H50614" i="16"/>
  <c r="H50615" i="16"/>
  <c r="H50616" i="16"/>
  <c r="H50617" i="16"/>
  <c r="H50618" i="16"/>
  <c r="H50619" i="16"/>
  <c r="H50620" i="16"/>
  <c r="H50621" i="16"/>
  <c r="H50622" i="16"/>
  <c r="H50623" i="16"/>
  <c r="H50624" i="16"/>
  <c r="H50625" i="16"/>
  <c r="H50626" i="16"/>
  <c r="H50627" i="16"/>
  <c r="H50628" i="16"/>
  <c r="H50629" i="16"/>
  <c r="H50630" i="16"/>
  <c r="H50631" i="16"/>
  <c r="H50632" i="16"/>
  <c r="H50633" i="16"/>
  <c r="H50634" i="16"/>
  <c r="H50635" i="16"/>
  <c r="H50636" i="16"/>
  <c r="H50637" i="16"/>
  <c r="H50638" i="16"/>
  <c r="H50639" i="16"/>
  <c r="H50640" i="16"/>
  <c r="H50641" i="16"/>
  <c r="H50642" i="16"/>
  <c r="H50643" i="16"/>
  <c r="H50644" i="16"/>
  <c r="H50645" i="16"/>
  <c r="H50646" i="16"/>
  <c r="H50647" i="16"/>
  <c r="H50648" i="16"/>
  <c r="H50649" i="16"/>
  <c r="H50650" i="16"/>
  <c r="H50651" i="16"/>
  <c r="H50652" i="16"/>
  <c r="H50653" i="16"/>
  <c r="H50654" i="16"/>
  <c r="H50655" i="16"/>
  <c r="H50656" i="16"/>
  <c r="H50657" i="16"/>
  <c r="H50658" i="16"/>
  <c r="H50659" i="16"/>
  <c r="H50660" i="16"/>
  <c r="H50661" i="16"/>
  <c r="H50662" i="16"/>
  <c r="H50663" i="16"/>
  <c r="H50664" i="16"/>
  <c r="H50665" i="16"/>
  <c r="H50666" i="16"/>
  <c r="H50667" i="16"/>
  <c r="H50668" i="16"/>
  <c r="H50669" i="16"/>
  <c r="H50670" i="16"/>
  <c r="H50671" i="16"/>
  <c r="H50672" i="16"/>
  <c r="H50673" i="16"/>
  <c r="H50674" i="16"/>
  <c r="H50675" i="16"/>
  <c r="H50676" i="16"/>
  <c r="H50677" i="16"/>
  <c r="H50678" i="16"/>
  <c r="H50679" i="16"/>
  <c r="H50680" i="16"/>
  <c r="H50681" i="16"/>
  <c r="H50682" i="16"/>
  <c r="H50683" i="16"/>
  <c r="H50684" i="16"/>
  <c r="H50685" i="16"/>
  <c r="H50686" i="16"/>
  <c r="H50687" i="16"/>
  <c r="H50688" i="16"/>
  <c r="H50689" i="16"/>
  <c r="H50690" i="16"/>
  <c r="H50691" i="16"/>
  <c r="H50692" i="16"/>
  <c r="H50693" i="16"/>
  <c r="H50694" i="16"/>
  <c r="H50695" i="16"/>
  <c r="H50696" i="16"/>
  <c r="H50697" i="16"/>
  <c r="H50698" i="16"/>
  <c r="H50699" i="16"/>
  <c r="H50700" i="16"/>
  <c r="H50701" i="16"/>
  <c r="H50702" i="16"/>
  <c r="H50703" i="16"/>
  <c r="H50704" i="16"/>
  <c r="H50705" i="16"/>
  <c r="H50706" i="16"/>
  <c r="H50707" i="16"/>
  <c r="H50708" i="16"/>
  <c r="H50709" i="16"/>
  <c r="H50710" i="16"/>
  <c r="H50711" i="16"/>
  <c r="H50712" i="16"/>
  <c r="H50713" i="16"/>
  <c r="H50714" i="16"/>
  <c r="H50715" i="16"/>
  <c r="H50716" i="16"/>
  <c r="H50717" i="16"/>
  <c r="H50718" i="16"/>
  <c r="H50719" i="16"/>
  <c r="H50720" i="16"/>
  <c r="H50721" i="16"/>
  <c r="H50722" i="16"/>
  <c r="H50723" i="16"/>
  <c r="H50724" i="16"/>
  <c r="H50725" i="16"/>
  <c r="H50726" i="16"/>
  <c r="H50727" i="16"/>
  <c r="H50728" i="16"/>
  <c r="H50729" i="16"/>
  <c r="H50730" i="16"/>
  <c r="H50731" i="16"/>
  <c r="H50732" i="16"/>
  <c r="H50733" i="16"/>
  <c r="H50734" i="16"/>
  <c r="H50735" i="16"/>
  <c r="H50736" i="16"/>
  <c r="H50737" i="16"/>
  <c r="H50738" i="16"/>
  <c r="H50739" i="16"/>
  <c r="H50740" i="16"/>
  <c r="H50741" i="16"/>
  <c r="H50742" i="16"/>
  <c r="H50743" i="16"/>
  <c r="H50744" i="16"/>
  <c r="H50745" i="16"/>
  <c r="H50746" i="16"/>
  <c r="H50747" i="16"/>
  <c r="H50748" i="16"/>
  <c r="H50749" i="16"/>
  <c r="H50750" i="16"/>
  <c r="H50751" i="16"/>
  <c r="H50752" i="16"/>
  <c r="H50753" i="16"/>
  <c r="H50754" i="16"/>
  <c r="H50755" i="16"/>
  <c r="H50756" i="16"/>
  <c r="H50757" i="16"/>
  <c r="H50758" i="16"/>
  <c r="H50759" i="16"/>
  <c r="H50760" i="16"/>
  <c r="H50761" i="16"/>
  <c r="H50762" i="16"/>
  <c r="H50763" i="16"/>
  <c r="H50764" i="16"/>
  <c r="H50765" i="16"/>
  <c r="H50766" i="16"/>
  <c r="H50767" i="16"/>
  <c r="H50768" i="16"/>
  <c r="H50769" i="16"/>
  <c r="H50770" i="16"/>
  <c r="H50771" i="16"/>
  <c r="H50772" i="16"/>
  <c r="H50773" i="16"/>
  <c r="H50774" i="16"/>
  <c r="H50775" i="16"/>
  <c r="H50776" i="16"/>
  <c r="H50777" i="16"/>
  <c r="H50778" i="16"/>
  <c r="H50779" i="16"/>
  <c r="H50780" i="16"/>
  <c r="H50781" i="16"/>
  <c r="H50782" i="16"/>
  <c r="H50783" i="16"/>
  <c r="H50784" i="16"/>
  <c r="H50785" i="16"/>
  <c r="H50786" i="16"/>
  <c r="H50787" i="16"/>
  <c r="H50788" i="16"/>
  <c r="H50789" i="16"/>
  <c r="H50790" i="16"/>
  <c r="H50791" i="16"/>
  <c r="H50792" i="16"/>
  <c r="H50793" i="16"/>
  <c r="H50794" i="16"/>
  <c r="H50795" i="16"/>
  <c r="H50796" i="16"/>
  <c r="H50797" i="16"/>
  <c r="H50798" i="16"/>
  <c r="H50799" i="16"/>
  <c r="H50800" i="16"/>
  <c r="H50801" i="16"/>
  <c r="H50802" i="16"/>
  <c r="H50803" i="16"/>
  <c r="H50804" i="16"/>
  <c r="H50805" i="16"/>
  <c r="H50806" i="16"/>
  <c r="H50807" i="16"/>
  <c r="H50808" i="16"/>
  <c r="H50809" i="16"/>
  <c r="H50810" i="16"/>
  <c r="H50811" i="16"/>
  <c r="H50812" i="16"/>
  <c r="H50813" i="16"/>
  <c r="H50814" i="16"/>
  <c r="H50815" i="16"/>
  <c r="H50816" i="16"/>
  <c r="H50817" i="16"/>
  <c r="H50818" i="16"/>
  <c r="H50819" i="16"/>
  <c r="H50820" i="16"/>
  <c r="H50821" i="16"/>
  <c r="H50822" i="16"/>
  <c r="H50823" i="16"/>
  <c r="H50824" i="16"/>
  <c r="H50825" i="16"/>
  <c r="H50826" i="16"/>
  <c r="H50827" i="16"/>
  <c r="H50828" i="16"/>
  <c r="H50829" i="16"/>
  <c r="H50830" i="16"/>
  <c r="H50831" i="16"/>
  <c r="H50832" i="16"/>
  <c r="H50833" i="16"/>
  <c r="H50834" i="16"/>
  <c r="H50835" i="16"/>
  <c r="H50836" i="16"/>
  <c r="H50837" i="16"/>
  <c r="H50838" i="16"/>
  <c r="H50839" i="16"/>
  <c r="H50840" i="16"/>
  <c r="H50841" i="16"/>
  <c r="H50842" i="16"/>
  <c r="H50843" i="16"/>
  <c r="H50844" i="16"/>
  <c r="H50845" i="16"/>
  <c r="H50846" i="16"/>
  <c r="H50847" i="16"/>
  <c r="H50848" i="16"/>
  <c r="H50849" i="16"/>
  <c r="H50850" i="16"/>
  <c r="H50851" i="16"/>
  <c r="H50852" i="16"/>
  <c r="H50853" i="16"/>
  <c r="H50854" i="16"/>
  <c r="H50855" i="16"/>
  <c r="H50856" i="16"/>
  <c r="H50857" i="16"/>
  <c r="H50858" i="16"/>
  <c r="H50859" i="16"/>
  <c r="H50860" i="16"/>
  <c r="H50861" i="16"/>
  <c r="H50862" i="16"/>
  <c r="H50863" i="16"/>
  <c r="H50864" i="16"/>
  <c r="H50865" i="16"/>
  <c r="H50866" i="16"/>
  <c r="H50867" i="16"/>
  <c r="H50868" i="16"/>
  <c r="H50869" i="16"/>
  <c r="H50870" i="16"/>
  <c r="H50871" i="16"/>
  <c r="H50872" i="16"/>
  <c r="H50873" i="16"/>
  <c r="H50874" i="16"/>
  <c r="H50875" i="16"/>
  <c r="H50876" i="16"/>
  <c r="H50877" i="16"/>
  <c r="H50878" i="16"/>
  <c r="H50879" i="16"/>
  <c r="H50880" i="16"/>
  <c r="H50881" i="16"/>
  <c r="H50882" i="16"/>
  <c r="H50883" i="16"/>
  <c r="H50884" i="16"/>
  <c r="H50885" i="16"/>
  <c r="H50886" i="16"/>
  <c r="H50887" i="16"/>
  <c r="H50888" i="16"/>
  <c r="H50889" i="16"/>
  <c r="H50890" i="16"/>
  <c r="H50891" i="16"/>
  <c r="H50892" i="16"/>
  <c r="H50893" i="16"/>
  <c r="H50894" i="16"/>
  <c r="H50895" i="16"/>
  <c r="H50896" i="16"/>
  <c r="H50897" i="16"/>
  <c r="H50898" i="16"/>
  <c r="H50899" i="16"/>
  <c r="H50900" i="16"/>
  <c r="H50901" i="16"/>
  <c r="H50902" i="16"/>
  <c r="H50903" i="16"/>
  <c r="H50904" i="16"/>
  <c r="H50905" i="16"/>
  <c r="H50906" i="16"/>
  <c r="H50907" i="16"/>
  <c r="H50908" i="16"/>
  <c r="H50909" i="16"/>
  <c r="H50910" i="16"/>
  <c r="H50911" i="16"/>
  <c r="H50912" i="16"/>
  <c r="H50913" i="16"/>
  <c r="H50914" i="16"/>
  <c r="H50915" i="16"/>
  <c r="H50916" i="16"/>
  <c r="H50917" i="16"/>
  <c r="H50918" i="16"/>
  <c r="H50919" i="16"/>
  <c r="H50920" i="16"/>
  <c r="H50921" i="16"/>
  <c r="H50922" i="16"/>
  <c r="H50923" i="16"/>
  <c r="H50924" i="16"/>
  <c r="H50925" i="16"/>
  <c r="H50926" i="16"/>
  <c r="H50927" i="16"/>
  <c r="H50928" i="16"/>
  <c r="H50929" i="16"/>
  <c r="H50930" i="16"/>
  <c r="H50931" i="16"/>
  <c r="H50932" i="16"/>
  <c r="H50933" i="16"/>
  <c r="H50934" i="16"/>
  <c r="H50935" i="16"/>
  <c r="H50936" i="16"/>
  <c r="H50937" i="16"/>
  <c r="H50938" i="16"/>
  <c r="H50939" i="16"/>
  <c r="H50940" i="16"/>
  <c r="H50941" i="16"/>
  <c r="H50942" i="16"/>
  <c r="H50943" i="16"/>
  <c r="H50944" i="16"/>
  <c r="H50945" i="16"/>
  <c r="H50946" i="16"/>
  <c r="H50947" i="16"/>
  <c r="H50948" i="16"/>
  <c r="H50949" i="16"/>
  <c r="H50950" i="16"/>
  <c r="H50951" i="16"/>
  <c r="H50952" i="16"/>
  <c r="H50953" i="16"/>
  <c r="H50954" i="16"/>
  <c r="H50955" i="16"/>
  <c r="H50956" i="16"/>
  <c r="H50957" i="16"/>
  <c r="H50958" i="16"/>
  <c r="H50959" i="16"/>
  <c r="H50960" i="16"/>
  <c r="H50961" i="16"/>
  <c r="H50962" i="16"/>
  <c r="H50963" i="16"/>
  <c r="H50964" i="16"/>
  <c r="H50965" i="16"/>
  <c r="H50966" i="16"/>
  <c r="H50967" i="16"/>
  <c r="H50968" i="16"/>
  <c r="H50969" i="16"/>
  <c r="H50970" i="16"/>
  <c r="H50971" i="16"/>
  <c r="H50972" i="16"/>
  <c r="H50973" i="16"/>
  <c r="H50974" i="16"/>
  <c r="H50975" i="16"/>
  <c r="H50976" i="16"/>
  <c r="H50977" i="16"/>
  <c r="H50978" i="16"/>
  <c r="H50979" i="16"/>
  <c r="H50980" i="16"/>
  <c r="H50981" i="16"/>
  <c r="H50982" i="16"/>
  <c r="H50983" i="16"/>
  <c r="H50984" i="16"/>
  <c r="H50985" i="16"/>
  <c r="H50986" i="16"/>
  <c r="H50987" i="16"/>
  <c r="H50988" i="16"/>
  <c r="H50989" i="16"/>
  <c r="H50990" i="16"/>
  <c r="H50991" i="16"/>
  <c r="H50992" i="16"/>
  <c r="H50993" i="16"/>
  <c r="H50994" i="16"/>
  <c r="H50995" i="16"/>
  <c r="H50996" i="16"/>
  <c r="H50997" i="16"/>
  <c r="H50998" i="16"/>
  <c r="H50999" i="16"/>
  <c r="H51000" i="16"/>
  <c r="H51001" i="16"/>
  <c r="H51002" i="16"/>
  <c r="H51003" i="16"/>
  <c r="H51004" i="16"/>
  <c r="H51005" i="16"/>
  <c r="H51006" i="16"/>
  <c r="H51007" i="16"/>
  <c r="H51008" i="16"/>
  <c r="H51009" i="16"/>
  <c r="H51010" i="16"/>
  <c r="H51011" i="16"/>
  <c r="H51012" i="16"/>
  <c r="H51013" i="16"/>
  <c r="H51014" i="16"/>
  <c r="H51015" i="16"/>
  <c r="H51016" i="16"/>
  <c r="H51017" i="16"/>
  <c r="H51018" i="16"/>
  <c r="H51019" i="16"/>
  <c r="H51020" i="16"/>
  <c r="H51021" i="16"/>
  <c r="H51022" i="16"/>
  <c r="H51023" i="16"/>
  <c r="H51024" i="16"/>
  <c r="H51025" i="16"/>
  <c r="H51026" i="16"/>
  <c r="H51027" i="16"/>
  <c r="H51028" i="16"/>
  <c r="H51029" i="16"/>
  <c r="H51030" i="16"/>
  <c r="H51031" i="16"/>
  <c r="H51032" i="16"/>
  <c r="H51033" i="16"/>
  <c r="H51034" i="16"/>
  <c r="H51035" i="16"/>
  <c r="H51036" i="16"/>
  <c r="H51037" i="16"/>
  <c r="H51038" i="16"/>
  <c r="H51039" i="16"/>
  <c r="H51040" i="16"/>
  <c r="H51041" i="16"/>
  <c r="H51042" i="16"/>
  <c r="H51043" i="16"/>
  <c r="H51044" i="16"/>
  <c r="H51045" i="16"/>
  <c r="H51046" i="16"/>
  <c r="H51047" i="16"/>
  <c r="H51048" i="16"/>
  <c r="H51049" i="16"/>
  <c r="H51050" i="16"/>
  <c r="H51051" i="16"/>
  <c r="H51052" i="16"/>
  <c r="H51053" i="16"/>
  <c r="H51054" i="16"/>
  <c r="H51055" i="16"/>
  <c r="H51056" i="16"/>
  <c r="H51057" i="16"/>
  <c r="H51058" i="16"/>
  <c r="H51059" i="16"/>
  <c r="H51060" i="16"/>
  <c r="H51061" i="16"/>
  <c r="H51062" i="16"/>
  <c r="H51063" i="16"/>
  <c r="H51064" i="16"/>
  <c r="H51065" i="16"/>
  <c r="H51066" i="16"/>
  <c r="H51067" i="16"/>
  <c r="H51068" i="16"/>
  <c r="H51069" i="16"/>
  <c r="H51070" i="16"/>
  <c r="H51071" i="16"/>
  <c r="H51072" i="16"/>
  <c r="H51073" i="16"/>
  <c r="H51074" i="16"/>
  <c r="H51075" i="16"/>
  <c r="H51076" i="16"/>
  <c r="H51077" i="16"/>
  <c r="H51078" i="16"/>
  <c r="H51079" i="16"/>
  <c r="H51080" i="16"/>
  <c r="H51081" i="16"/>
  <c r="H51082" i="16"/>
  <c r="H51083" i="16"/>
  <c r="H51084" i="16"/>
  <c r="H51085" i="16"/>
  <c r="H51086" i="16"/>
  <c r="H51087" i="16"/>
  <c r="H51088" i="16"/>
  <c r="H51089" i="16"/>
  <c r="H51090" i="16"/>
  <c r="H51091" i="16"/>
  <c r="H51092" i="16"/>
  <c r="H51093" i="16"/>
  <c r="H51094" i="16"/>
  <c r="H51095" i="16"/>
  <c r="H51096" i="16"/>
  <c r="H51097" i="16"/>
  <c r="H51098" i="16"/>
  <c r="H51099" i="16"/>
  <c r="H51100" i="16"/>
  <c r="H51101" i="16"/>
  <c r="H51102" i="16"/>
  <c r="H51103" i="16"/>
  <c r="H51104" i="16"/>
  <c r="H51105" i="16"/>
  <c r="H51106" i="16"/>
  <c r="H51107" i="16"/>
  <c r="H51108" i="16"/>
  <c r="H51109" i="16"/>
  <c r="H51110" i="16"/>
  <c r="H51111" i="16"/>
  <c r="H51112" i="16"/>
  <c r="H51113" i="16"/>
  <c r="H51114" i="16"/>
  <c r="H51115" i="16"/>
  <c r="H51116" i="16"/>
  <c r="H51117" i="16"/>
  <c r="H51118" i="16"/>
  <c r="H51119" i="16"/>
  <c r="H51120" i="16"/>
  <c r="H51121" i="16"/>
  <c r="H51122" i="16"/>
  <c r="H51123" i="16"/>
  <c r="H51124" i="16"/>
  <c r="H51125" i="16"/>
  <c r="H51126" i="16"/>
  <c r="H51127" i="16"/>
  <c r="H51128" i="16"/>
  <c r="H51129" i="16"/>
  <c r="H51130" i="16"/>
  <c r="H51131" i="16"/>
  <c r="H51132" i="16"/>
  <c r="H51133" i="16"/>
  <c r="H51134" i="16"/>
  <c r="H51135" i="16"/>
  <c r="H51136" i="16"/>
  <c r="H51137" i="16"/>
  <c r="H51138" i="16"/>
  <c r="H51139" i="16"/>
  <c r="H51140" i="16"/>
  <c r="H51141" i="16"/>
  <c r="H51142" i="16"/>
  <c r="H51143" i="16"/>
  <c r="H51144" i="16"/>
  <c r="H51145" i="16"/>
  <c r="H51146" i="16"/>
  <c r="H51147" i="16"/>
  <c r="H51148" i="16"/>
  <c r="H51149" i="16"/>
  <c r="H51150" i="16"/>
  <c r="H51151" i="16"/>
  <c r="H51152" i="16"/>
  <c r="H51153" i="16"/>
  <c r="H51154" i="16"/>
  <c r="H51155" i="16"/>
  <c r="H51156" i="16"/>
  <c r="H51157" i="16"/>
  <c r="H51158" i="16"/>
  <c r="H51159" i="16"/>
  <c r="H51160" i="16"/>
  <c r="H51161" i="16"/>
  <c r="H51162" i="16"/>
  <c r="H51163" i="16"/>
  <c r="H51164" i="16"/>
  <c r="H51165" i="16"/>
  <c r="H51166" i="16"/>
  <c r="H51167" i="16"/>
  <c r="H51168" i="16"/>
  <c r="H51169" i="16"/>
  <c r="H51170" i="16"/>
  <c r="H51171" i="16"/>
  <c r="H51172" i="16"/>
  <c r="H51173" i="16"/>
  <c r="H51174" i="16"/>
  <c r="H51175" i="16"/>
  <c r="H51176" i="16"/>
  <c r="H51177" i="16"/>
  <c r="H51178" i="16"/>
  <c r="H51179" i="16"/>
  <c r="H51180" i="16"/>
  <c r="H51181" i="16"/>
  <c r="H51182" i="16"/>
  <c r="H51183" i="16"/>
  <c r="H51184" i="16"/>
  <c r="H51185" i="16"/>
  <c r="H51186" i="16"/>
  <c r="H51187" i="16"/>
  <c r="H51188" i="16"/>
  <c r="H51189" i="16"/>
  <c r="H51190" i="16"/>
  <c r="H51191" i="16"/>
  <c r="H51192" i="16"/>
  <c r="H51193" i="16"/>
  <c r="H51194" i="16"/>
  <c r="H51195" i="16"/>
  <c r="H51196" i="16"/>
  <c r="H51197" i="16"/>
  <c r="H51198" i="16"/>
  <c r="H51199" i="16"/>
  <c r="H51200" i="16"/>
  <c r="H51201" i="16"/>
  <c r="H51202" i="16"/>
  <c r="H51203" i="16"/>
  <c r="H51204" i="16"/>
  <c r="H51205" i="16"/>
  <c r="H51206" i="16"/>
  <c r="H51207" i="16"/>
  <c r="H51208" i="16"/>
  <c r="H51209" i="16"/>
  <c r="H51210" i="16"/>
  <c r="H51211" i="16"/>
  <c r="H51212" i="16"/>
  <c r="H51213" i="16"/>
  <c r="H51214" i="16"/>
  <c r="H51215" i="16"/>
  <c r="H51216" i="16"/>
  <c r="H51217" i="16"/>
  <c r="H51218" i="16"/>
  <c r="H51219" i="16"/>
  <c r="H51220" i="16"/>
  <c r="H51221" i="16"/>
  <c r="H51222" i="16"/>
  <c r="H51223" i="16"/>
  <c r="H51224" i="16"/>
  <c r="H51225" i="16"/>
  <c r="H51226" i="16"/>
  <c r="H51227" i="16"/>
  <c r="H51228" i="16"/>
  <c r="H51229" i="16"/>
  <c r="H51230" i="16"/>
  <c r="H51231" i="16"/>
  <c r="H51232" i="16"/>
  <c r="H51233" i="16"/>
  <c r="H51234" i="16"/>
  <c r="H51235" i="16"/>
  <c r="H51236" i="16"/>
  <c r="H51237" i="16"/>
  <c r="H51238" i="16"/>
  <c r="H51239" i="16"/>
  <c r="H51240" i="16"/>
  <c r="H51241" i="16"/>
  <c r="H51242" i="16"/>
  <c r="H51243" i="16"/>
  <c r="H51244" i="16"/>
  <c r="H51245" i="16"/>
  <c r="H51246" i="16"/>
  <c r="H51247" i="16"/>
  <c r="H51248" i="16"/>
  <c r="H51249" i="16"/>
  <c r="H51250" i="16"/>
  <c r="H51251" i="16"/>
  <c r="H51252" i="16"/>
  <c r="H51253" i="16"/>
  <c r="H51254" i="16"/>
  <c r="H51255" i="16"/>
  <c r="H51256" i="16"/>
  <c r="H51257" i="16"/>
  <c r="H51258" i="16"/>
  <c r="H51259" i="16"/>
  <c r="H51260" i="16"/>
  <c r="H51261" i="16"/>
  <c r="H51262" i="16"/>
  <c r="H51263" i="16"/>
  <c r="H51264" i="16"/>
  <c r="H51265" i="16"/>
  <c r="H51266" i="16"/>
  <c r="H51267" i="16"/>
  <c r="H51268" i="16"/>
  <c r="H51269" i="16"/>
  <c r="H51270" i="16"/>
  <c r="H51271" i="16"/>
  <c r="H51272" i="16"/>
  <c r="H51273" i="16"/>
  <c r="H51274" i="16"/>
  <c r="H51275" i="16"/>
  <c r="H51276" i="16"/>
  <c r="H51277" i="16"/>
  <c r="H51278" i="16"/>
  <c r="H51279" i="16"/>
  <c r="H51280" i="16"/>
  <c r="H51281" i="16"/>
  <c r="H51282" i="16"/>
  <c r="H51283" i="16"/>
  <c r="H51284" i="16"/>
  <c r="H51285" i="16"/>
  <c r="H51286" i="16"/>
  <c r="H51287" i="16"/>
  <c r="H51288" i="16"/>
  <c r="H51289" i="16"/>
  <c r="H51290" i="16"/>
  <c r="H51291" i="16"/>
  <c r="H51292" i="16"/>
  <c r="H51293" i="16"/>
  <c r="H51294" i="16"/>
  <c r="H51295" i="16"/>
  <c r="H51296" i="16"/>
  <c r="H51297" i="16"/>
  <c r="H51298" i="16"/>
  <c r="H51299" i="16"/>
  <c r="H51300" i="16"/>
  <c r="H51301" i="16"/>
  <c r="H51302" i="16"/>
  <c r="H51303" i="16"/>
  <c r="H51304" i="16"/>
  <c r="H51305" i="16"/>
  <c r="H51306" i="16"/>
  <c r="H51307" i="16"/>
  <c r="H51308" i="16"/>
  <c r="H51309" i="16"/>
  <c r="H51310" i="16"/>
  <c r="H51311" i="16"/>
  <c r="H51312" i="16"/>
  <c r="H51313" i="16"/>
  <c r="H51314" i="16"/>
  <c r="H51315" i="16"/>
  <c r="H51316" i="16"/>
  <c r="H51317" i="16"/>
  <c r="H51318" i="16"/>
  <c r="H51319" i="16"/>
  <c r="H51320" i="16"/>
  <c r="H51321" i="16"/>
  <c r="H51322" i="16"/>
  <c r="H51323" i="16"/>
  <c r="H51324" i="16"/>
  <c r="H51325" i="16"/>
  <c r="H51326" i="16"/>
  <c r="H51327" i="16"/>
  <c r="H51328" i="16"/>
  <c r="H51329" i="16"/>
  <c r="H51330" i="16"/>
  <c r="H51331" i="16"/>
  <c r="H51332" i="16"/>
  <c r="H51333" i="16"/>
  <c r="H51334" i="16"/>
  <c r="H51335" i="16"/>
  <c r="H51336" i="16"/>
  <c r="H51337" i="16"/>
  <c r="H51338" i="16"/>
  <c r="H51339" i="16"/>
  <c r="H51340" i="16"/>
  <c r="H51341" i="16"/>
  <c r="H51342" i="16"/>
  <c r="H51343" i="16"/>
  <c r="H51344" i="16"/>
  <c r="H51345" i="16"/>
  <c r="H51346" i="16"/>
  <c r="H51347" i="16"/>
  <c r="H51348" i="16"/>
  <c r="H51349" i="16"/>
  <c r="H51350" i="16"/>
  <c r="H51351" i="16"/>
  <c r="H51352" i="16"/>
  <c r="H51353" i="16"/>
  <c r="H51354" i="16"/>
  <c r="H51355" i="16"/>
  <c r="H51356" i="16"/>
  <c r="H51357" i="16"/>
  <c r="H51358" i="16"/>
  <c r="H51359" i="16"/>
  <c r="H51360" i="16"/>
  <c r="H51361" i="16"/>
  <c r="H51362" i="16"/>
  <c r="H51363" i="16"/>
  <c r="H51364" i="16"/>
  <c r="H51365" i="16"/>
  <c r="H51366" i="16"/>
  <c r="H51367" i="16"/>
  <c r="H51368" i="16"/>
  <c r="H51369" i="16"/>
  <c r="H51370" i="16"/>
  <c r="H51371" i="16"/>
  <c r="H51372" i="16"/>
  <c r="H51373" i="16"/>
  <c r="H51374" i="16"/>
  <c r="H51375" i="16"/>
  <c r="H51376" i="16"/>
  <c r="H51377" i="16"/>
  <c r="H51378" i="16"/>
  <c r="H51379" i="16"/>
  <c r="H51380" i="16"/>
  <c r="H51381" i="16"/>
  <c r="H51382" i="16"/>
  <c r="H51383" i="16"/>
  <c r="H51384" i="16"/>
  <c r="H51385" i="16"/>
  <c r="H51386" i="16"/>
  <c r="H51387" i="16"/>
  <c r="H51388" i="16"/>
  <c r="H51389" i="16"/>
  <c r="H51390" i="16"/>
  <c r="H51391" i="16"/>
  <c r="H51392" i="16"/>
  <c r="H51393" i="16"/>
  <c r="H51394" i="16"/>
  <c r="H51395" i="16"/>
  <c r="H51396" i="16"/>
  <c r="H51397" i="16"/>
  <c r="H51398" i="16"/>
  <c r="H51399" i="16"/>
  <c r="H51400" i="16"/>
  <c r="H51401" i="16"/>
  <c r="H51402" i="16"/>
  <c r="H51403" i="16"/>
  <c r="H51404" i="16"/>
  <c r="H51405" i="16"/>
  <c r="H51406" i="16"/>
  <c r="H51407" i="16"/>
  <c r="H51408" i="16"/>
  <c r="H51409" i="16"/>
  <c r="H51410" i="16"/>
  <c r="H51411" i="16"/>
  <c r="H51412" i="16"/>
  <c r="H51413" i="16"/>
  <c r="H51414" i="16"/>
  <c r="H51415" i="16"/>
  <c r="H51416" i="16"/>
  <c r="H51417" i="16"/>
  <c r="H51418" i="16"/>
  <c r="H51419" i="16"/>
  <c r="H51420" i="16"/>
  <c r="H51421" i="16"/>
  <c r="H51422" i="16"/>
  <c r="H51423" i="16"/>
  <c r="H51424" i="16"/>
  <c r="H51425" i="16"/>
  <c r="H51426" i="16"/>
  <c r="H51427" i="16"/>
  <c r="H51428" i="16"/>
  <c r="H51429" i="16"/>
  <c r="H51430" i="16"/>
  <c r="H51431" i="16"/>
  <c r="H51432" i="16"/>
  <c r="H51433" i="16"/>
  <c r="H51434" i="16"/>
  <c r="H51435" i="16"/>
  <c r="H51436" i="16"/>
  <c r="H51437" i="16"/>
  <c r="H51438" i="16"/>
  <c r="H51439" i="16"/>
  <c r="H51440" i="16"/>
  <c r="H51441" i="16"/>
  <c r="H51442" i="16"/>
  <c r="H51443" i="16"/>
  <c r="H51444" i="16"/>
  <c r="H51445" i="16"/>
  <c r="H51446" i="16"/>
  <c r="H51447" i="16"/>
  <c r="H51448" i="16"/>
  <c r="H51449" i="16"/>
  <c r="H51450" i="16"/>
  <c r="H51451" i="16"/>
  <c r="H51452" i="16"/>
  <c r="H51453" i="16"/>
  <c r="H51454" i="16"/>
  <c r="H51455" i="16"/>
  <c r="H51456" i="16"/>
  <c r="H51457" i="16"/>
  <c r="H51458" i="16"/>
  <c r="H51459" i="16"/>
  <c r="H51460" i="16"/>
  <c r="H51461" i="16"/>
  <c r="H51462" i="16"/>
  <c r="H51463" i="16"/>
  <c r="H51464" i="16"/>
  <c r="H51465" i="16"/>
  <c r="H51466" i="16"/>
  <c r="H51467" i="16"/>
  <c r="H51468" i="16"/>
  <c r="H51469" i="16"/>
  <c r="H51470" i="16"/>
  <c r="H51471" i="16"/>
  <c r="H51472" i="16"/>
  <c r="H51473" i="16"/>
  <c r="H51474" i="16"/>
  <c r="H51475" i="16"/>
  <c r="H51476" i="16"/>
  <c r="H51477" i="16"/>
  <c r="H51478" i="16"/>
  <c r="H51479" i="16"/>
  <c r="H51480" i="16"/>
  <c r="H51481" i="16"/>
  <c r="H51482" i="16"/>
  <c r="H51483" i="16"/>
  <c r="H51484" i="16"/>
  <c r="H51485" i="16"/>
  <c r="H51486" i="16"/>
  <c r="H51487" i="16"/>
  <c r="H51488" i="16"/>
  <c r="H51489" i="16"/>
  <c r="H51490" i="16"/>
  <c r="H51491" i="16"/>
  <c r="H51492" i="16"/>
  <c r="H51493" i="16"/>
  <c r="H51494" i="16"/>
  <c r="H51495" i="16"/>
  <c r="H51496" i="16"/>
  <c r="H51497" i="16"/>
  <c r="H51498" i="16"/>
  <c r="H51499" i="16"/>
  <c r="H51500" i="16"/>
  <c r="H51501" i="16"/>
  <c r="H51502" i="16"/>
  <c r="H51503" i="16"/>
  <c r="H51504" i="16"/>
  <c r="H51505" i="16"/>
  <c r="H51506" i="16"/>
  <c r="H51507" i="16"/>
  <c r="H51508" i="16"/>
  <c r="H51509" i="16"/>
  <c r="H51510" i="16"/>
  <c r="H51511" i="16"/>
  <c r="H51512" i="16"/>
  <c r="H51513" i="16"/>
  <c r="H51514" i="16"/>
  <c r="H51515" i="16"/>
  <c r="H51516" i="16"/>
  <c r="H51517" i="16"/>
  <c r="H51518" i="16"/>
  <c r="H51519" i="16"/>
  <c r="H51520" i="16"/>
  <c r="H51521" i="16"/>
  <c r="H51522" i="16"/>
  <c r="H51523" i="16"/>
  <c r="H51524" i="16"/>
  <c r="H51525" i="16"/>
  <c r="H51526" i="16"/>
  <c r="H51527" i="16"/>
  <c r="H51528" i="16"/>
  <c r="H51529" i="16"/>
  <c r="H51530" i="16"/>
  <c r="H51531" i="16"/>
  <c r="H51532" i="16"/>
  <c r="H51533" i="16"/>
  <c r="H51534" i="16"/>
  <c r="H51535" i="16"/>
  <c r="H51536" i="16"/>
  <c r="H51537" i="16"/>
  <c r="H51538" i="16"/>
  <c r="H51539" i="16"/>
  <c r="H51540" i="16"/>
  <c r="H51541" i="16"/>
  <c r="H51542" i="16"/>
  <c r="H51543" i="16"/>
  <c r="H51544" i="16"/>
  <c r="H51545" i="16"/>
  <c r="H51546" i="16"/>
  <c r="H51547" i="16"/>
  <c r="H51548" i="16"/>
  <c r="H51549" i="16"/>
  <c r="H51550" i="16"/>
  <c r="H51551" i="16"/>
  <c r="H51552" i="16"/>
  <c r="H51553" i="16"/>
  <c r="H51554" i="16"/>
  <c r="H51555" i="16"/>
  <c r="H51556" i="16"/>
  <c r="H51557" i="16"/>
  <c r="H51558" i="16"/>
  <c r="H51559" i="16"/>
  <c r="H51560" i="16"/>
  <c r="H51561" i="16"/>
  <c r="H51562" i="16"/>
  <c r="H51563" i="16"/>
  <c r="H51564" i="16"/>
  <c r="H51565" i="16"/>
  <c r="H51566" i="16"/>
  <c r="H51567" i="16"/>
  <c r="H51568" i="16"/>
  <c r="H51569" i="16"/>
  <c r="H51570" i="16"/>
  <c r="H51571" i="16"/>
  <c r="H51572" i="16"/>
  <c r="H51573" i="16"/>
  <c r="H51574" i="16"/>
  <c r="H51575" i="16"/>
  <c r="H51576" i="16"/>
  <c r="H51577" i="16"/>
  <c r="H51578" i="16"/>
  <c r="H51579" i="16"/>
  <c r="H51580" i="16"/>
  <c r="H51581" i="16"/>
  <c r="H51582" i="16"/>
  <c r="H51583" i="16"/>
  <c r="H51584" i="16"/>
  <c r="H51585" i="16"/>
  <c r="H51586" i="16"/>
  <c r="H51587" i="16"/>
  <c r="H51588" i="16"/>
  <c r="H51589" i="16"/>
  <c r="H51590" i="16"/>
  <c r="H51591" i="16"/>
  <c r="H51592" i="16"/>
  <c r="H51593" i="16"/>
  <c r="H51594" i="16"/>
  <c r="H51595" i="16"/>
  <c r="H51596" i="16"/>
  <c r="H51597" i="16"/>
  <c r="H51598" i="16"/>
  <c r="H51599" i="16"/>
  <c r="H51600" i="16"/>
  <c r="H51601" i="16"/>
  <c r="H51602" i="16"/>
  <c r="H51603" i="16"/>
  <c r="H51604" i="16"/>
  <c r="H51605" i="16"/>
  <c r="H51606" i="16"/>
  <c r="H51607" i="16"/>
  <c r="H51608" i="16"/>
  <c r="H51609" i="16"/>
  <c r="H51610" i="16"/>
  <c r="H51611" i="16"/>
  <c r="H51612" i="16"/>
  <c r="H51613" i="16"/>
  <c r="H51614" i="16"/>
  <c r="H51615" i="16"/>
  <c r="H51616" i="16"/>
  <c r="H51617" i="16"/>
  <c r="H51618" i="16"/>
  <c r="H51619" i="16"/>
  <c r="H51620" i="16"/>
  <c r="H51621" i="16"/>
  <c r="H51622" i="16"/>
  <c r="H51623" i="16"/>
  <c r="H51624" i="16"/>
  <c r="H51625" i="16"/>
  <c r="H51626" i="16"/>
  <c r="H51627" i="16"/>
  <c r="H51628" i="16"/>
  <c r="H51629" i="16"/>
  <c r="H51630" i="16"/>
  <c r="H51631" i="16"/>
  <c r="H51632" i="16"/>
  <c r="H51633" i="16"/>
  <c r="H51634" i="16"/>
  <c r="H51635" i="16"/>
  <c r="H51636" i="16"/>
  <c r="H51637" i="16"/>
  <c r="H51638" i="16"/>
  <c r="H51639" i="16"/>
  <c r="H51640" i="16"/>
  <c r="H51641" i="16"/>
  <c r="H51642" i="16"/>
  <c r="H51643" i="16"/>
  <c r="H51644" i="16"/>
  <c r="H51645" i="16"/>
  <c r="H51646" i="16"/>
  <c r="H51647" i="16"/>
  <c r="H51648" i="16"/>
  <c r="H51649" i="16"/>
  <c r="H51650" i="16"/>
  <c r="H51651" i="16"/>
  <c r="H51652" i="16"/>
  <c r="H51653" i="16"/>
  <c r="H51654" i="16"/>
  <c r="H51655" i="16"/>
  <c r="H51656" i="16"/>
  <c r="H51657" i="16"/>
  <c r="H51658" i="16"/>
  <c r="H51659" i="16"/>
  <c r="H51660" i="16"/>
  <c r="H51661" i="16"/>
  <c r="H51662" i="16"/>
  <c r="H51663" i="16"/>
  <c r="H51664" i="16"/>
  <c r="H51665" i="16"/>
  <c r="H51666" i="16"/>
  <c r="H51667" i="16"/>
  <c r="H51668" i="16"/>
  <c r="H51669" i="16"/>
  <c r="H51670" i="16"/>
  <c r="H51671" i="16"/>
  <c r="H51672" i="16"/>
  <c r="H51673" i="16"/>
  <c r="H51674" i="16"/>
  <c r="H51675" i="16"/>
  <c r="H51676" i="16"/>
  <c r="H51677" i="16"/>
  <c r="H51678" i="16"/>
  <c r="H51679" i="16"/>
  <c r="H51680" i="16"/>
  <c r="H51681" i="16"/>
  <c r="H51682" i="16"/>
  <c r="H51683" i="16"/>
  <c r="H51684" i="16"/>
  <c r="H51685" i="16"/>
  <c r="H51686" i="16"/>
  <c r="H51687" i="16"/>
  <c r="H51688" i="16"/>
  <c r="H51689" i="16"/>
  <c r="H51690" i="16"/>
  <c r="H51691" i="16"/>
  <c r="H51692" i="16"/>
  <c r="H51693" i="16"/>
  <c r="H51694" i="16"/>
  <c r="H51695" i="16"/>
  <c r="H51696" i="16"/>
  <c r="H51697" i="16"/>
  <c r="H51698" i="16"/>
  <c r="H51699" i="16"/>
  <c r="H51700" i="16"/>
  <c r="H51701" i="16"/>
  <c r="H51702" i="16"/>
  <c r="H51703" i="16"/>
  <c r="H51704" i="16"/>
  <c r="H51705" i="16"/>
  <c r="H51706" i="16"/>
  <c r="H51707" i="16"/>
  <c r="H51708" i="16"/>
  <c r="H51709" i="16"/>
  <c r="H51710" i="16"/>
  <c r="H51711" i="16"/>
  <c r="H51712" i="16"/>
  <c r="H51713" i="16"/>
  <c r="H51714" i="16"/>
  <c r="H51715" i="16"/>
  <c r="H51716" i="16"/>
  <c r="H51717" i="16"/>
  <c r="H51718" i="16"/>
  <c r="H51719" i="16"/>
  <c r="H51720" i="16"/>
  <c r="H51721" i="16"/>
  <c r="H51722" i="16"/>
  <c r="H51723" i="16"/>
  <c r="H51724" i="16"/>
  <c r="H51725" i="16"/>
  <c r="H51726" i="16"/>
  <c r="H51727" i="16"/>
  <c r="H51728" i="16"/>
  <c r="H51729" i="16"/>
  <c r="H51730" i="16"/>
  <c r="H51731" i="16"/>
  <c r="H51732" i="16"/>
  <c r="H51733" i="16"/>
  <c r="H51734" i="16"/>
  <c r="H51735" i="16"/>
  <c r="H51736" i="16"/>
  <c r="H51737" i="16"/>
  <c r="H51738" i="16"/>
  <c r="H51739" i="16"/>
  <c r="H51740" i="16"/>
  <c r="H51741" i="16"/>
  <c r="H51742" i="16"/>
  <c r="H51743" i="16"/>
  <c r="H51744" i="16"/>
  <c r="H51745" i="16"/>
  <c r="H51746" i="16"/>
  <c r="H51747" i="16"/>
  <c r="H51748" i="16"/>
  <c r="H51749" i="16"/>
  <c r="H51750" i="16"/>
  <c r="H51751" i="16"/>
  <c r="H51752" i="16"/>
  <c r="H51753" i="16"/>
  <c r="H51754" i="16"/>
  <c r="H51755" i="16"/>
  <c r="H51756" i="16"/>
  <c r="H51757" i="16"/>
  <c r="H51758" i="16"/>
  <c r="H51759" i="16"/>
  <c r="H51760" i="16"/>
  <c r="H51761" i="16"/>
  <c r="H51762" i="16"/>
  <c r="H51763" i="16"/>
  <c r="H51764" i="16"/>
  <c r="H51765" i="16"/>
  <c r="H51766" i="16"/>
  <c r="H51767" i="16"/>
  <c r="H51768" i="16"/>
  <c r="H51769" i="16"/>
  <c r="H51770" i="16"/>
  <c r="H51771" i="16"/>
  <c r="H51772" i="16"/>
  <c r="H51773" i="16"/>
  <c r="H51774" i="16"/>
  <c r="H51775" i="16"/>
  <c r="H51776" i="16"/>
  <c r="H51777" i="16"/>
  <c r="H51778" i="16"/>
  <c r="H51779" i="16"/>
  <c r="H51780" i="16"/>
  <c r="H51781" i="16"/>
  <c r="H51782" i="16"/>
  <c r="H51783" i="16"/>
  <c r="H51784" i="16"/>
  <c r="H51785" i="16"/>
  <c r="H51786" i="16"/>
  <c r="H51787" i="16"/>
  <c r="H51788" i="16"/>
  <c r="H51789" i="16"/>
  <c r="H51790" i="16"/>
  <c r="H51791" i="16"/>
  <c r="H51792" i="16"/>
  <c r="H51793" i="16"/>
  <c r="H51794" i="16"/>
  <c r="H51795" i="16"/>
  <c r="H51796" i="16"/>
  <c r="H51797" i="16"/>
  <c r="H51798" i="16"/>
  <c r="H51799" i="16"/>
  <c r="H51800" i="16"/>
  <c r="H51801" i="16"/>
  <c r="H51802" i="16"/>
  <c r="H51803" i="16"/>
  <c r="H51804" i="16"/>
  <c r="H51805" i="16"/>
  <c r="H51806" i="16"/>
  <c r="H51807" i="16"/>
  <c r="H51808" i="16"/>
  <c r="H51809" i="16"/>
  <c r="H51810" i="16"/>
  <c r="H51811" i="16"/>
  <c r="H51812" i="16"/>
  <c r="H51813" i="16"/>
  <c r="H51814" i="16"/>
  <c r="H51815" i="16"/>
  <c r="H51816" i="16"/>
  <c r="H51817" i="16"/>
  <c r="H51818" i="16"/>
  <c r="H51819" i="16"/>
  <c r="H51820" i="16"/>
  <c r="H51821" i="16"/>
  <c r="H51822" i="16"/>
  <c r="H51823" i="16"/>
  <c r="H51824" i="16"/>
  <c r="H51825" i="16"/>
  <c r="H51826" i="16"/>
  <c r="H51827" i="16"/>
  <c r="H51828" i="16"/>
  <c r="H51829" i="16"/>
  <c r="H51830" i="16"/>
  <c r="H51831" i="16"/>
  <c r="H51832" i="16"/>
  <c r="H51833" i="16"/>
  <c r="H51834" i="16"/>
  <c r="H51835" i="16"/>
  <c r="H51836" i="16"/>
  <c r="H51837" i="16"/>
  <c r="H51838" i="16"/>
  <c r="H51839" i="16"/>
  <c r="H51840" i="16"/>
  <c r="H51841" i="16"/>
  <c r="H51842" i="16"/>
  <c r="H51843" i="16"/>
  <c r="H51844" i="16"/>
  <c r="H51845" i="16"/>
  <c r="H51846" i="16"/>
  <c r="H51847" i="16"/>
  <c r="H51848" i="16"/>
  <c r="H51849" i="16"/>
  <c r="H51850" i="16"/>
  <c r="H51851" i="16"/>
  <c r="H51852" i="16"/>
  <c r="H51853" i="16"/>
  <c r="H51854" i="16"/>
  <c r="H51855" i="16"/>
  <c r="H51856" i="16"/>
  <c r="H51857" i="16"/>
  <c r="H51858" i="16"/>
  <c r="H51859" i="16"/>
  <c r="H51860" i="16"/>
  <c r="H51861" i="16"/>
  <c r="H51862" i="16"/>
  <c r="H51863" i="16"/>
  <c r="H51864" i="16"/>
  <c r="H51865" i="16"/>
  <c r="H51866" i="16"/>
  <c r="H51867" i="16"/>
  <c r="H51868" i="16"/>
  <c r="H51869" i="16"/>
  <c r="H51870" i="16"/>
  <c r="H51871" i="16"/>
  <c r="H51872" i="16"/>
  <c r="H51873" i="16"/>
  <c r="H51874" i="16"/>
  <c r="H51875" i="16"/>
  <c r="H51876" i="16"/>
  <c r="H51877" i="16"/>
  <c r="H51878" i="16"/>
  <c r="H51879" i="16"/>
  <c r="H51880" i="16"/>
  <c r="H51881" i="16"/>
  <c r="H51882" i="16"/>
  <c r="H51883" i="16"/>
  <c r="H51884" i="16"/>
  <c r="H51885" i="16"/>
  <c r="H51886" i="16"/>
  <c r="H51887" i="16"/>
  <c r="H51888" i="16"/>
  <c r="H51889" i="16"/>
  <c r="H51890" i="16"/>
  <c r="H51891" i="16"/>
  <c r="H51892" i="16"/>
  <c r="H51893" i="16"/>
  <c r="H51894" i="16"/>
  <c r="H51895" i="16"/>
  <c r="H51896" i="16"/>
  <c r="H51897" i="16"/>
  <c r="H51898" i="16"/>
  <c r="H51899" i="16"/>
  <c r="H51900" i="16"/>
  <c r="H51901" i="16"/>
  <c r="H51902" i="16"/>
  <c r="H51903" i="16"/>
  <c r="H51904" i="16"/>
  <c r="H51905" i="16"/>
  <c r="H51906" i="16"/>
  <c r="H51907" i="16"/>
  <c r="H51908" i="16"/>
  <c r="H51909" i="16"/>
  <c r="H51910" i="16"/>
  <c r="H51911" i="16"/>
  <c r="H51912" i="16"/>
  <c r="H51913" i="16"/>
  <c r="H51914" i="16"/>
  <c r="H51915" i="16"/>
  <c r="H51916" i="16"/>
  <c r="H51917" i="16"/>
  <c r="H51918" i="16"/>
  <c r="H51919" i="16"/>
  <c r="H51920" i="16"/>
  <c r="H51921" i="16"/>
  <c r="H51922" i="16"/>
  <c r="H51923" i="16"/>
  <c r="H51924" i="16"/>
  <c r="H51925" i="16"/>
  <c r="H51926" i="16"/>
  <c r="H51927" i="16"/>
  <c r="H51928" i="16"/>
  <c r="H51929" i="16"/>
  <c r="H51930" i="16"/>
  <c r="H51931" i="16"/>
  <c r="H51932" i="16"/>
  <c r="H51933" i="16"/>
  <c r="H51934" i="16"/>
  <c r="H51935" i="16"/>
  <c r="H51936" i="16"/>
  <c r="H51937" i="16"/>
  <c r="H51938" i="16"/>
  <c r="H51939" i="16"/>
  <c r="H51940" i="16"/>
  <c r="H51941" i="16"/>
  <c r="H51942" i="16"/>
  <c r="H51943" i="16"/>
  <c r="H51944" i="16"/>
  <c r="H51945" i="16"/>
  <c r="H51946" i="16"/>
  <c r="H51947" i="16"/>
  <c r="H51948" i="16"/>
  <c r="H51949" i="16"/>
  <c r="H51950" i="16"/>
  <c r="H51951" i="16"/>
  <c r="H51952" i="16"/>
  <c r="H51953" i="16"/>
  <c r="H51954" i="16"/>
  <c r="H51955" i="16"/>
  <c r="H51956" i="16"/>
  <c r="H51957" i="16"/>
  <c r="H51958" i="16"/>
  <c r="H51959" i="16"/>
  <c r="H51960" i="16"/>
  <c r="H51961" i="16"/>
  <c r="H51962" i="16"/>
  <c r="H51963" i="16"/>
  <c r="H51964" i="16"/>
  <c r="H51965" i="16"/>
  <c r="H51966" i="16"/>
  <c r="H51967" i="16"/>
  <c r="H51968" i="16"/>
  <c r="H51969" i="16"/>
  <c r="H51970" i="16"/>
  <c r="H51971" i="16"/>
  <c r="H51972" i="16"/>
  <c r="H51973" i="16"/>
  <c r="H51974" i="16"/>
  <c r="H51975" i="16"/>
  <c r="H51976" i="16"/>
  <c r="H51977" i="16"/>
  <c r="H51978" i="16"/>
  <c r="H51979" i="16"/>
  <c r="H51980" i="16"/>
  <c r="H51981" i="16"/>
  <c r="H51982" i="16"/>
  <c r="H51983" i="16"/>
  <c r="H51984" i="16"/>
  <c r="H51985" i="16"/>
  <c r="H51986" i="16"/>
  <c r="H51987" i="16"/>
  <c r="H51988" i="16"/>
  <c r="H51989" i="16"/>
  <c r="H51990" i="16"/>
  <c r="H51991" i="16"/>
  <c r="H51992" i="16"/>
  <c r="H51993" i="16"/>
  <c r="H51994" i="16"/>
  <c r="H51995" i="16"/>
  <c r="H51996" i="16"/>
  <c r="H51997" i="16"/>
  <c r="H51998" i="16"/>
  <c r="H51999" i="16"/>
  <c r="H52000" i="16"/>
  <c r="H52001" i="16"/>
  <c r="H52002" i="16"/>
  <c r="H52003" i="16"/>
  <c r="H52004" i="16"/>
  <c r="H52005" i="16"/>
  <c r="H52006" i="16"/>
  <c r="H52007" i="16"/>
  <c r="H52008" i="16"/>
  <c r="H52009" i="16"/>
  <c r="H52010" i="16"/>
  <c r="H52011" i="16"/>
  <c r="H52012" i="16"/>
  <c r="H52013" i="16"/>
  <c r="H52014" i="16"/>
  <c r="H52015" i="16"/>
  <c r="H52016" i="16"/>
  <c r="H52017" i="16"/>
  <c r="H52018" i="16"/>
  <c r="H52019" i="16"/>
  <c r="H52020" i="16"/>
  <c r="H52021" i="16"/>
  <c r="H52022" i="16"/>
  <c r="H52023" i="16"/>
  <c r="H52024" i="16"/>
  <c r="H52025" i="16"/>
  <c r="H52026" i="16"/>
  <c r="H52027" i="16"/>
  <c r="H52028" i="16"/>
  <c r="H52029" i="16"/>
  <c r="H52030" i="16"/>
  <c r="H52031" i="16"/>
  <c r="H52032" i="16"/>
  <c r="H52033" i="16"/>
  <c r="H52034" i="16"/>
  <c r="H52035" i="16"/>
  <c r="H52036" i="16"/>
  <c r="H52037" i="16"/>
  <c r="H52038" i="16"/>
  <c r="H52039" i="16"/>
  <c r="H52040" i="16"/>
  <c r="H52041" i="16"/>
  <c r="H52042" i="16"/>
  <c r="H52043" i="16"/>
  <c r="H52044" i="16"/>
  <c r="H52045" i="16"/>
  <c r="H52046" i="16"/>
  <c r="H52047" i="16"/>
  <c r="H52048" i="16"/>
  <c r="H52049" i="16"/>
  <c r="H52050" i="16"/>
  <c r="H52051" i="16"/>
  <c r="H52052" i="16"/>
  <c r="H52053" i="16"/>
  <c r="H52054" i="16"/>
  <c r="H52055" i="16"/>
  <c r="H52056" i="16"/>
  <c r="H52057" i="16"/>
  <c r="H52058" i="16"/>
  <c r="H52059" i="16"/>
  <c r="H52060" i="16"/>
  <c r="H52061" i="16"/>
  <c r="H52062" i="16"/>
  <c r="H52063" i="16"/>
  <c r="H52064" i="16"/>
  <c r="H52065" i="16"/>
  <c r="H52066" i="16"/>
  <c r="H52067" i="16"/>
  <c r="H52068" i="16"/>
  <c r="H52069" i="16"/>
  <c r="H52070" i="16"/>
  <c r="H52071" i="16"/>
  <c r="H52072" i="16"/>
  <c r="H52073" i="16"/>
  <c r="H52074" i="16"/>
  <c r="H52075" i="16"/>
  <c r="H52076" i="16"/>
  <c r="H52077" i="16"/>
  <c r="H52078" i="16"/>
  <c r="H52079" i="16"/>
  <c r="H52080" i="16"/>
  <c r="H52081" i="16"/>
  <c r="H52082" i="16"/>
  <c r="H52083" i="16"/>
  <c r="H52084" i="16"/>
  <c r="H52085" i="16"/>
  <c r="H52086" i="16"/>
  <c r="H52087" i="16"/>
  <c r="H52088" i="16"/>
  <c r="H52089" i="16"/>
  <c r="H52090" i="16"/>
  <c r="H52091" i="16"/>
  <c r="H52092" i="16"/>
  <c r="H52093" i="16"/>
  <c r="H52094" i="16"/>
  <c r="H52095" i="16"/>
  <c r="H52096" i="16"/>
  <c r="H52097" i="16"/>
  <c r="H52098" i="16"/>
  <c r="H52099" i="16"/>
  <c r="H52100" i="16"/>
  <c r="H52101" i="16"/>
  <c r="H52102" i="16"/>
  <c r="H52103" i="16"/>
  <c r="H52104" i="16"/>
  <c r="H52105" i="16"/>
  <c r="H52106" i="16"/>
  <c r="H52107" i="16"/>
  <c r="H52108" i="16"/>
  <c r="H52109" i="16"/>
  <c r="H52110" i="16"/>
  <c r="H52111" i="16"/>
  <c r="H52112" i="16"/>
  <c r="H52113" i="16"/>
  <c r="H52114" i="16"/>
  <c r="H52115" i="16"/>
  <c r="H52116" i="16"/>
  <c r="H52117" i="16"/>
  <c r="H52118" i="16"/>
  <c r="H52119" i="16"/>
  <c r="H52120" i="16"/>
  <c r="H52121" i="16"/>
  <c r="H52122" i="16"/>
  <c r="H52123" i="16"/>
  <c r="H52124" i="16"/>
  <c r="H52125" i="16"/>
  <c r="H52126" i="16"/>
  <c r="H52127" i="16"/>
  <c r="H52128" i="16"/>
  <c r="H52129" i="16"/>
  <c r="H52130" i="16"/>
  <c r="H52131" i="16"/>
  <c r="H52132" i="16"/>
  <c r="H52133" i="16"/>
  <c r="H52134" i="16"/>
  <c r="H52135" i="16"/>
  <c r="H52136" i="16"/>
  <c r="H52137" i="16"/>
  <c r="H52138" i="16"/>
  <c r="H52139" i="16"/>
  <c r="H52140" i="16"/>
  <c r="H52141" i="16"/>
  <c r="H52142" i="16"/>
  <c r="H52143" i="16"/>
  <c r="H52144" i="16"/>
  <c r="H52145" i="16"/>
  <c r="H52146" i="16"/>
  <c r="H52147" i="16"/>
  <c r="H52148" i="16"/>
  <c r="H52149" i="16"/>
  <c r="H52150" i="16"/>
  <c r="H52151" i="16"/>
  <c r="H52152" i="16"/>
  <c r="H52153" i="16"/>
  <c r="H52154" i="16"/>
  <c r="H52155" i="16"/>
  <c r="H52156" i="16"/>
  <c r="H52157" i="16"/>
  <c r="H52158" i="16"/>
  <c r="H52159" i="16"/>
  <c r="H52160" i="16"/>
  <c r="H52161" i="16"/>
  <c r="H52162" i="16"/>
  <c r="H52163" i="16"/>
  <c r="H52164" i="16"/>
  <c r="H52165" i="16"/>
  <c r="H52166" i="16"/>
  <c r="H52167" i="16"/>
  <c r="H52168" i="16"/>
  <c r="H52169" i="16"/>
  <c r="H52170" i="16"/>
  <c r="H52171" i="16"/>
  <c r="H52172" i="16"/>
  <c r="H52173" i="16"/>
  <c r="H52174" i="16"/>
  <c r="H52175" i="16"/>
  <c r="H52176" i="16"/>
  <c r="H52177" i="16"/>
  <c r="H52178" i="16"/>
  <c r="H52179" i="16"/>
  <c r="H52180" i="16"/>
  <c r="H52181" i="16"/>
  <c r="H52182" i="16"/>
  <c r="H52183" i="16"/>
  <c r="H52184" i="16"/>
  <c r="H52185" i="16"/>
  <c r="H52186" i="16"/>
  <c r="H52187" i="16"/>
  <c r="H52188" i="16"/>
  <c r="H52189" i="16"/>
  <c r="H52190" i="16"/>
  <c r="H52191" i="16"/>
  <c r="H52192" i="16"/>
  <c r="H52193" i="16"/>
  <c r="H52194" i="16"/>
  <c r="H52195" i="16"/>
  <c r="H52196" i="16"/>
  <c r="H52197" i="16"/>
  <c r="H52198" i="16"/>
  <c r="H52199" i="16"/>
  <c r="H52200" i="16"/>
  <c r="H52201" i="16"/>
  <c r="H52202" i="16"/>
  <c r="H52203" i="16"/>
  <c r="H52204" i="16"/>
  <c r="H52205" i="16"/>
  <c r="H52206" i="16"/>
  <c r="H52207" i="16"/>
  <c r="H52208" i="16"/>
  <c r="H52209" i="16"/>
  <c r="H52210" i="16"/>
  <c r="H52211" i="16"/>
  <c r="H52212" i="16"/>
  <c r="H52213" i="16"/>
  <c r="H52214" i="16"/>
  <c r="H52215" i="16"/>
  <c r="H52216" i="16"/>
  <c r="H52217" i="16"/>
  <c r="H52218" i="16"/>
  <c r="H52219" i="16"/>
  <c r="H52220" i="16"/>
  <c r="H52221" i="16"/>
  <c r="H52222" i="16"/>
  <c r="H52223" i="16"/>
  <c r="H52224" i="16"/>
  <c r="H52225" i="16"/>
  <c r="H52226" i="16"/>
  <c r="H52227" i="16"/>
  <c r="H52228" i="16"/>
  <c r="H52229" i="16"/>
  <c r="H52230" i="16"/>
  <c r="H52231" i="16"/>
  <c r="H52232" i="16"/>
  <c r="H52233" i="16"/>
  <c r="H52234" i="16"/>
  <c r="H52235" i="16"/>
  <c r="H52236" i="16"/>
  <c r="H52237" i="16"/>
  <c r="H52238" i="16"/>
  <c r="H52239" i="16"/>
  <c r="H52240" i="16"/>
  <c r="H52241" i="16"/>
  <c r="H52242" i="16"/>
  <c r="H52243" i="16"/>
  <c r="H52244" i="16"/>
  <c r="H52245" i="16"/>
  <c r="H52246" i="16"/>
  <c r="H52247" i="16"/>
  <c r="H52248" i="16"/>
  <c r="H52249" i="16"/>
  <c r="H52250" i="16"/>
  <c r="H52251" i="16"/>
  <c r="H52252" i="16"/>
  <c r="H52253" i="16"/>
  <c r="H52254" i="16"/>
  <c r="H52255" i="16"/>
  <c r="H52256" i="16"/>
  <c r="H52257" i="16"/>
  <c r="H52258" i="16"/>
  <c r="H52259" i="16"/>
  <c r="H52260" i="16"/>
  <c r="H52261" i="16"/>
  <c r="H52262" i="16"/>
  <c r="H52263" i="16"/>
  <c r="H52264" i="16"/>
  <c r="H52265" i="16"/>
  <c r="H52266" i="16"/>
  <c r="H52267" i="16"/>
  <c r="H52268" i="16"/>
  <c r="H52269" i="16"/>
  <c r="H52270" i="16"/>
  <c r="H52271" i="16"/>
  <c r="H52272" i="16"/>
  <c r="H52273" i="16"/>
  <c r="H52274" i="16"/>
  <c r="H52275" i="16"/>
  <c r="H52276" i="16"/>
  <c r="H52277" i="16"/>
  <c r="H52278" i="16"/>
  <c r="H52279" i="16"/>
  <c r="H52280" i="16"/>
  <c r="H52281" i="16"/>
  <c r="H52282" i="16"/>
  <c r="H52283" i="16"/>
  <c r="H52284" i="16"/>
  <c r="H52285" i="16"/>
  <c r="H52286" i="16"/>
  <c r="H52287" i="16"/>
  <c r="H52288" i="16"/>
  <c r="H52289" i="16"/>
  <c r="H52290" i="16"/>
  <c r="H52291" i="16"/>
  <c r="H52292" i="16"/>
  <c r="H52293" i="16"/>
  <c r="H52294" i="16"/>
  <c r="H52295" i="16"/>
  <c r="H52296" i="16"/>
  <c r="H52297" i="16"/>
  <c r="H52298" i="16"/>
  <c r="H52299" i="16"/>
  <c r="H52300" i="16"/>
  <c r="H52301" i="16"/>
  <c r="H52302" i="16"/>
  <c r="H52303" i="16"/>
  <c r="H52304" i="16"/>
  <c r="H52305" i="16"/>
  <c r="H52306" i="16"/>
  <c r="H52307" i="16"/>
  <c r="H52308" i="16"/>
  <c r="H52309" i="16"/>
  <c r="H52310" i="16"/>
  <c r="H52311" i="16"/>
  <c r="H52312" i="16"/>
  <c r="H52313" i="16"/>
  <c r="H52314" i="16"/>
  <c r="H52315" i="16"/>
  <c r="H52316" i="16"/>
  <c r="H52317" i="16"/>
  <c r="H52318" i="16"/>
  <c r="H52319" i="16"/>
  <c r="H52320" i="16"/>
  <c r="H52321" i="16"/>
  <c r="H52322" i="16"/>
  <c r="H52323" i="16"/>
  <c r="H52324" i="16"/>
  <c r="H52325" i="16"/>
  <c r="H52326" i="16"/>
  <c r="H52327" i="16"/>
  <c r="H52328" i="16"/>
  <c r="H52329" i="16"/>
  <c r="H52330" i="16"/>
  <c r="H52331" i="16"/>
  <c r="H52332" i="16"/>
  <c r="H52333" i="16"/>
  <c r="H52334" i="16"/>
  <c r="H52335" i="16"/>
  <c r="H52336" i="16"/>
  <c r="H52337" i="16"/>
  <c r="H52338" i="16"/>
  <c r="H52339" i="16"/>
  <c r="H52340" i="16"/>
  <c r="H52341" i="16"/>
  <c r="H52342" i="16"/>
  <c r="H52343" i="16"/>
  <c r="H52344" i="16"/>
  <c r="H52345" i="16"/>
  <c r="H52346" i="16"/>
  <c r="H52347" i="16"/>
  <c r="H52348" i="16"/>
  <c r="H52349" i="16"/>
  <c r="H52350" i="16"/>
  <c r="H52351" i="16"/>
  <c r="H52352" i="16"/>
  <c r="H52353" i="16"/>
  <c r="H52354" i="16"/>
  <c r="H52355" i="16"/>
  <c r="H52356" i="16"/>
  <c r="H52357" i="16"/>
  <c r="H52358" i="16"/>
  <c r="H52359" i="16"/>
  <c r="H52360" i="16"/>
  <c r="H52361" i="16"/>
  <c r="H52362" i="16"/>
  <c r="H52363" i="16"/>
  <c r="H52364" i="16"/>
  <c r="H52365" i="16"/>
  <c r="H52366" i="16"/>
  <c r="H52367" i="16"/>
  <c r="H52368" i="16"/>
  <c r="H52369" i="16"/>
  <c r="H52370" i="16"/>
  <c r="H52371" i="16"/>
  <c r="H52372" i="16"/>
  <c r="H52373" i="16"/>
  <c r="H52374" i="16"/>
  <c r="H52375" i="16"/>
  <c r="H52376" i="16"/>
  <c r="H52377" i="16"/>
  <c r="H52378" i="16"/>
  <c r="H52379" i="16"/>
  <c r="H52380" i="16"/>
  <c r="H52381" i="16"/>
  <c r="H52382" i="16"/>
  <c r="H52383" i="16"/>
  <c r="H52384" i="16"/>
  <c r="H52385" i="16"/>
  <c r="H52386" i="16"/>
  <c r="H52387" i="16"/>
  <c r="H52388" i="16"/>
  <c r="H52389" i="16"/>
  <c r="H52390" i="16"/>
  <c r="H52391" i="16"/>
  <c r="H52392" i="16"/>
  <c r="H52393" i="16"/>
  <c r="H52394" i="16"/>
  <c r="H52395" i="16"/>
  <c r="H52396" i="16"/>
  <c r="H52397" i="16"/>
  <c r="H52398" i="16"/>
  <c r="H52399" i="16"/>
  <c r="H52400" i="16"/>
  <c r="H52401" i="16"/>
  <c r="H52402" i="16"/>
  <c r="H52403" i="16"/>
  <c r="H52404" i="16"/>
  <c r="H52405" i="16"/>
  <c r="H52406" i="16"/>
  <c r="H52407" i="16"/>
  <c r="H52408" i="16"/>
  <c r="H52409" i="16"/>
  <c r="H52410" i="16"/>
  <c r="H52411" i="16"/>
  <c r="H52412" i="16"/>
  <c r="H52413" i="16"/>
  <c r="H52414" i="16"/>
  <c r="H52415" i="16"/>
  <c r="H52416" i="16"/>
  <c r="H52417" i="16"/>
  <c r="H52418" i="16"/>
  <c r="H52419" i="16"/>
  <c r="H52420" i="16"/>
  <c r="H52421" i="16"/>
  <c r="H52422" i="16"/>
  <c r="H52423" i="16"/>
  <c r="H52424" i="16"/>
  <c r="H52425" i="16"/>
  <c r="H52426" i="16"/>
  <c r="H52427" i="16"/>
  <c r="H52428" i="16"/>
  <c r="H52429" i="16"/>
  <c r="H52430" i="16"/>
  <c r="H52431" i="16"/>
  <c r="H52432" i="16"/>
  <c r="H52433" i="16"/>
  <c r="H52434" i="16"/>
  <c r="H52435" i="16"/>
  <c r="H52436" i="16"/>
  <c r="H52437" i="16"/>
  <c r="H52438" i="16"/>
  <c r="H52439" i="16"/>
  <c r="H52440" i="16"/>
  <c r="H52441" i="16"/>
  <c r="H52442" i="16"/>
  <c r="H52443" i="16"/>
  <c r="H52444" i="16"/>
  <c r="H52445" i="16"/>
  <c r="H52446" i="16"/>
  <c r="H52447" i="16"/>
  <c r="H52448" i="16"/>
  <c r="H52449" i="16"/>
  <c r="H52450" i="16"/>
  <c r="H52451" i="16"/>
  <c r="H52452" i="16"/>
  <c r="H52453" i="16"/>
  <c r="H52454" i="16"/>
  <c r="H52455" i="16"/>
  <c r="H52456" i="16"/>
  <c r="H52457" i="16"/>
  <c r="H52458" i="16"/>
  <c r="H52459" i="16"/>
  <c r="H52460" i="16"/>
  <c r="H52461" i="16"/>
  <c r="H52462" i="16"/>
  <c r="H52463" i="16"/>
  <c r="H52464" i="16"/>
  <c r="H52465" i="16"/>
  <c r="H52466" i="16"/>
  <c r="H52467" i="16"/>
  <c r="H52468" i="16"/>
  <c r="H52469" i="16"/>
  <c r="H52470" i="16"/>
  <c r="H52471" i="16"/>
  <c r="H52472" i="16"/>
  <c r="H52473" i="16"/>
  <c r="H52474" i="16"/>
  <c r="H52475" i="16"/>
  <c r="H52476" i="16"/>
  <c r="H52477" i="16"/>
  <c r="H52478" i="16"/>
  <c r="H52479" i="16"/>
  <c r="H52480" i="16"/>
  <c r="H52481" i="16"/>
  <c r="H52482" i="16"/>
  <c r="H52483" i="16"/>
  <c r="H52484" i="16"/>
  <c r="H52485" i="16"/>
  <c r="H52486" i="16"/>
  <c r="H52487" i="16"/>
  <c r="H52488" i="16"/>
  <c r="H52489" i="16"/>
  <c r="H52490" i="16"/>
  <c r="H52491" i="16"/>
  <c r="H52492" i="16"/>
  <c r="H52493" i="16"/>
  <c r="H52494" i="16"/>
  <c r="H52495" i="16"/>
  <c r="H52496" i="16"/>
  <c r="H52497" i="16"/>
  <c r="H52498" i="16"/>
  <c r="H52499" i="16"/>
  <c r="H52500" i="16"/>
  <c r="H52501" i="16"/>
  <c r="H52502" i="16"/>
  <c r="H52503" i="16"/>
  <c r="H52504" i="16"/>
  <c r="H52505" i="16"/>
  <c r="H52506" i="16"/>
  <c r="H52507" i="16"/>
  <c r="H52508" i="16"/>
  <c r="H52509" i="16"/>
  <c r="H52510" i="16"/>
  <c r="H52511" i="16"/>
  <c r="H52512" i="16"/>
  <c r="H52513" i="16"/>
  <c r="H52514" i="16"/>
  <c r="H52515" i="16"/>
  <c r="H52516" i="16"/>
  <c r="H52517" i="16"/>
  <c r="H52518" i="16"/>
  <c r="H52519" i="16"/>
  <c r="H52520" i="16"/>
  <c r="H52521" i="16"/>
  <c r="H52522" i="16"/>
  <c r="H52523" i="16"/>
  <c r="H52524" i="16"/>
  <c r="H52525" i="16"/>
  <c r="H52526" i="16"/>
  <c r="H52527" i="16"/>
  <c r="H52528" i="16"/>
  <c r="H52529" i="16"/>
  <c r="H52530" i="16"/>
  <c r="H52531" i="16"/>
  <c r="H52532" i="16"/>
  <c r="H52533" i="16"/>
  <c r="H52534" i="16"/>
  <c r="H52535" i="16"/>
  <c r="H52536" i="16"/>
  <c r="H52537" i="16"/>
  <c r="H52538" i="16"/>
  <c r="H52539" i="16"/>
  <c r="H52540" i="16"/>
  <c r="H52541" i="16"/>
  <c r="H52542" i="16"/>
  <c r="H52543" i="16"/>
  <c r="H52544" i="16"/>
  <c r="H52545" i="16"/>
  <c r="H52546" i="16"/>
  <c r="H52547" i="16"/>
  <c r="H52548" i="16"/>
  <c r="H52549" i="16"/>
  <c r="H52550" i="16"/>
  <c r="H52551" i="16"/>
  <c r="H52552" i="16"/>
  <c r="H52553" i="16"/>
  <c r="H52554" i="16"/>
  <c r="H52555" i="16"/>
  <c r="H52556" i="16"/>
  <c r="H52557" i="16"/>
  <c r="H52558" i="16"/>
  <c r="H52559" i="16"/>
  <c r="H52560" i="16"/>
  <c r="H52561" i="16"/>
  <c r="H52562" i="16"/>
  <c r="H52563" i="16"/>
  <c r="H52564" i="16"/>
  <c r="H52565" i="16"/>
  <c r="H52566" i="16"/>
  <c r="H52567" i="16"/>
  <c r="H52568" i="16"/>
  <c r="H52569" i="16"/>
  <c r="H52570" i="16"/>
  <c r="H52571" i="16"/>
  <c r="H52572" i="16"/>
  <c r="H52573" i="16"/>
  <c r="H52574" i="16"/>
  <c r="H52575" i="16"/>
  <c r="H52576" i="16"/>
  <c r="H52577" i="16"/>
  <c r="H52578" i="16"/>
  <c r="H52579" i="16"/>
  <c r="H52580" i="16"/>
  <c r="H52581" i="16"/>
  <c r="H52582" i="16"/>
  <c r="H52583" i="16"/>
  <c r="H52584" i="16"/>
  <c r="H52585" i="16"/>
  <c r="H52586" i="16"/>
  <c r="H52587" i="16"/>
  <c r="H52588" i="16"/>
  <c r="H52589" i="16"/>
  <c r="H52590" i="16"/>
  <c r="H52591" i="16"/>
  <c r="H52592" i="16"/>
  <c r="H52593" i="16"/>
  <c r="H52594" i="16"/>
  <c r="H52595" i="16"/>
  <c r="H52596" i="16"/>
  <c r="H52597" i="16"/>
  <c r="H52598" i="16"/>
  <c r="H52599" i="16"/>
  <c r="H52600" i="16"/>
  <c r="H52601" i="16"/>
  <c r="H52602" i="16"/>
  <c r="H52603" i="16"/>
  <c r="H52604" i="16"/>
  <c r="H52605" i="16"/>
  <c r="H52606" i="16"/>
  <c r="H52607" i="16"/>
  <c r="H52608" i="16"/>
  <c r="H52609" i="16"/>
  <c r="H52610" i="16"/>
  <c r="H52611" i="16"/>
  <c r="H52612" i="16"/>
  <c r="H52613" i="16"/>
  <c r="H52614" i="16"/>
  <c r="H52615" i="16"/>
  <c r="H52616" i="16"/>
  <c r="H52617" i="16"/>
  <c r="H52618" i="16"/>
  <c r="H52619" i="16"/>
  <c r="H52620" i="16"/>
  <c r="H52621" i="16"/>
  <c r="H52622" i="16"/>
  <c r="H52623" i="16"/>
  <c r="H52624" i="16"/>
  <c r="H52625" i="16"/>
  <c r="H52626" i="16"/>
  <c r="H52627" i="16"/>
  <c r="H52628" i="16"/>
  <c r="H52629" i="16"/>
  <c r="H52630" i="16"/>
  <c r="H52631" i="16"/>
  <c r="H52632" i="16"/>
  <c r="H52633" i="16"/>
  <c r="H52634" i="16"/>
  <c r="H52635" i="16"/>
  <c r="H52636" i="16"/>
  <c r="H52637" i="16"/>
  <c r="H52638" i="16"/>
  <c r="H52639" i="16"/>
  <c r="H52640" i="16"/>
  <c r="H52641" i="16"/>
  <c r="H52642" i="16"/>
  <c r="H52643" i="16"/>
  <c r="H52644" i="16"/>
  <c r="H52645" i="16"/>
  <c r="H52646" i="16"/>
  <c r="H52647" i="16"/>
  <c r="H52648" i="16"/>
  <c r="H52649" i="16"/>
  <c r="H52650" i="16"/>
  <c r="H52651" i="16"/>
  <c r="H52652" i="16"/>
  <c r="H52653" i="16"/>
  <c r="H52654" i="16"/>
  <c r="H52655" i="16"/>
  <c r="H52656" i="16"/>
  <c r="H52657" i="16"/>
  <c r="H52658" i="16"/>
  <c r="H52659" i="16"/>
  <c r="H52660" i="16"/>
  <c r="H52661" i="16"/>
  <c r="H52662" i="16"/>
  <c r="H52663" i="16"/>
  <c r="H52664" i="16"/>
  <c r="H52665" i="16"/>
  <c r="H52666" i="16"/>
  <c r="H52667" i="16"/>
  <c r="H52668" i="16"/>
  <c r="H52669" i="16"/>
  <c r="H52670" i="16"/>
  <c r="H52671" i="16"/>
  <c r="H52672" i="16"/>
  <c r="H52673" i="16"/>
  <c r="H52674" i="16"/>
  <c r="H52675" i="16"/>
  <c r="H52676" i="16"/>
  <c r="H52677" i="16"/>
  <c r="H52678" i="16"/>
  <c r="H52679" i="16"/>
  <c r="H52680" i="16"/>
  <c r="H52681" i="16"/>
  <c r="H52682" i="16"/>
  <c r="H52683" i="16"/>
  <c r="H52684" i="16"/>
  <c r="H52685" i="16"/>
  <c r="H52686" i="16"/>
  <c r="H52687" i="16"/>
  <c r="H52688" i="16"/>
  <c r="H52689" i="16"/>
  <c r="H52690" i="16"/>
  <c r="H52691" i="16"/>
  <c r="H52692" i="16"/>
  <c r="H52693" i="16"/>
  <c r="H52694" i="16"/>
  <c r="H52695" i="16"/>
  <c r="H52696" i="16"/>
  <c r="H52697" i="16"/>
  <c r="H52698" i="16"/>
  <c r="H52699" i="16"/>
  <c r="H52700" i="16"/>
  <c r="H52701" i="16"/>
  <c r="H52702" i="16"/>
  <c r="H52703" i="16"/>
  <c r="H52704" i="16"/>
  <c r="H52705" i="16"/>
  <c r="H52706" i="16"/>
  <c r="H52707" i="16"/>
  <c r="H52708" i="16"/>
  <c r="H52709" i="16"/>
  <c r="H52710" i="16"/>
  <c r="H52711" i="16"/>
  <c r="H52712" i="16"/>
  <c r="H52713" i="16"/>
  <c r="H52714" i="16"/>
  <c r="H52715" i="16"/>
  <c r="H52716" i="16"/>
  <c r="H52717" i="16"/>
  <c r="H52718" i="16"/>
  <c r="H52719" i="16"/>
  <c r="H52720" i="16"/>
  <c r="H52721" i="16"/>
  <c r="H52722" i="16"/>
  <c r="H52723" i="16"/>
  <c r="H52724" i="16"/>
  <c r="H52725" i="16"/>
  <c r="H52726" i="16"/>
  <c r="H52727" i="16"/>
  <c r="H52728" i="16"/>
  <c r="H52729" i="16"/>
  <c r="H52730" i="16"/>
  <c r="H52731" i="16"/>
  <c r="H52732" i="16"/>
  <c r="H52733" i="16"/>
  <c r="H52734" i="16"/>
  <c r="H52735" i="16"/>
  <c r="H52736" i="16"/>
  <c r="H52737" i="16"/>
  <c r="H52738" i="16"/>
  <c r="H52739" i="16"/>
  <c r="H52740" i="16"/>
  <c r="H52741" i="16"/>
  <c r="H52742" i="16"/>
  <c r="H52743" i="16"/>
  <c r="H52744" i="16"/>
  <c r="H52745" i="16"/>
  <c r="H52746" i="16"/>
  <c r="H52747" i="16"/>
  <c r="H52748" i="16"/>
  <c r="H52749" i="16"/>
  <c r="H52750" i="16"/>
  <c r="H52751" i="16"/>
  <c r="H52752" i="16"/>
  <c r="H52753" i="16"/>
  <c r="H52754" i="16"/>
  <c r="H52755" i="16"/>
  <c r="H52756" i="16"/>
  <c r="H52757" i="16"/>
  <c r="H52758" i="16"/>
  <c r="H52759" i="16"/>
  <c r="H52760" i="16"/>
  <c r="H52761" i="16"/>
  <c r="H52762" i="16"/>
  <c r="H52763" i="16"/>
  <c r="H52764" i="16"/>
  <c r="H52765" i="16"/>
  <c r="H52766" i="16"/>
  <c r="H52767" i="16"/>
  <c r="H52768" i="16"/>
  <c r="H52769" i="16"/>
  <c r="H52770" i="16"/>
  <c r="H52771" i="16"/>
  <c r="H52772" i="16"/>
  <c r="H52773" i="16"/>
  <c r="H52774" i="16"/>
  <c r="H52775" i="16"/>
  <c r="H52776" i="16"/>
  <c r="H52777" i="16"/>
  <c r="H52778" i="16"/>
  <c r="H52779" i="16"/>
  <c r="H52780" i="16"/>
  <c r="H52781" i="16"/>
  <c r="H52782" i="16"/>
  <c r="H52783" i="16"/>
  <c r="H52784" i="16"/>
  <c r="H52785" i="16"/>
  <c r="H52786" i="16"/>
  <c r="H52787" i="16"/>
  <c r="H52788" i="16"/>
  <c r="H52789" i="16"/>
  <c r="H52790" i="16"/>
  <c r="H52791" i="16"/>
  <c r="H52792" i="16"/>
  <c r="H52793" i="16"/>
  <c r="H52794" i="16"/>
  <c r="H52795" i="16"/>
  <c r="H52796" i="16"/>
  <c r="H52797" i="16"/>
  <c r="H52798" i="16"/>
  <c r="H52799" i="16"/>
  <c r="H52800" i="16"/>
  <c r="H52801" i="16"/>
  <c r="H52802" i="16"/>
  <c r="H52803" i="16"/>
  <c r="H52804" i="16"/>
  <c r="H52805" i="16"/>
  <c r="H52806" i="16"/>
  <c r="H52807" i="16"/>
  <c r="H52808" i="16"/>
  <c r="H52809" i="16"/>
  <c r="H52810" i="16"/>
  <c r="H52811" i="16"/>
  <c r="H52812" i="16"/>
  <c r="H52813" i="16"/>
  <c r="H52814" i="16"/>
  <c r="H52815" i="16"/>
  <c r="H52816" i="16"/>
  <c r="H52817" i="16"/>
  <c r="H52818" i="16"/>
  <c r="H52819" i="16"/>
  <c r="H52820" i="16"/>
  <c r="H52821" i="16"/>
  <c r="H52822" i="16"/>
  <c r="H52823" i="16"/>
  <c r="H52824" i="16"/>
  <c r="H52825" i="16"/>
  <c r="H52826" i="16"/>
  <c r="H52827" i="16"/>
  <c r="H52828" i="16"/>
  <c r="H52829" i="16"/>
  <c r="H52830" i="16"/>
  <c r="H52831" i="16"/>
  <c r="H52832" i="16"/>
  <c r="H52833" i="16"/>
  <c r="H52834" i="16"/>
  <c r="H52835" i="16"/>
  <c r="H52836" i="16"/>
  <c r="H52837" i="16"/>
  <c r="H52838" i="16"/>
  <c r="H52839" i="16"/>
  <c r="H52840" i="16"/>
  <c r="H52841" i="16"/>
  <c r="H52842" i="16"/>
  <c r="H52843" i="16"/>
  <c r="H52844" i="16"/>
  <c r="H52845" i="16"/>
  <c r="H52846" i="16"/>
  <c r="H52847" i="16"/>
  <c r="H52848" i="16"/>
  <c r="H52849" i="16"/>
  <c r="H52850" i="16"/>
  <c r="H52851" i="16"/>
  <c r="H52852" i="16"/>
  <c r="H52853" i="16"/>
  <c r="H52854" i="16"/>
  <c r="H52855" i="16"/>
  <c r="H52856" i="16"/>
  <c r="H52857" i="16"/>
  <c r="H52858" i="16"/>
  <c r="H52859" i="16"/>
  <c r="H52860" i="16"/>
  <c r="H52861" i="16"/>
  <c r="H52862" i="16"/>
  <c r="H52863" i="16"/>
  <c r="H52864" i="16"/>
  <c r="H52865" i="16"/>
  <c r="H52866" i="16"/>
  <c r="H52867" i="16"/>
  <c r="H52868" i="16"/>
  <c r="H52869" i="16"/>
  <c r="H52870" i="16"/>
  <c r="H52871" i="16"/>
  <c r="H52872" i="16"/>
  <c r="H52873" i="16"/>
  <c r="H52874" i="16"/>
  <c r="H52875" i="16"/>
  <c r="H52876" i="16"/>
  <c r="H52877" i="16"/>
  <c r="H52878" i="16"/>
  <c r="H52879" i="16"/>
  <c r="H52880" i="16"/>
  <c r="H52881" i="16"/>
  <c r="H52882" i="16"/>
  <c r="H52883" i="16"/>
  <c r="H52884" i="16"/>
  <c r="H52885" i="16"/>
  <c r="H52886" i="16"/>
  <c r="H52887" i="16"/>
  <c r="H52888" i="16"/>
  <c r="H52889" i="16"/>
  <c r="H52890" i="16"/>
  <c r="H52891" i="16"/>
  <c r="H52892" i="16"/>
  <c r="H52893" i="16"/>
  <c r="H52894" i="16"/>
  <c r="H52895" i="16"/>
  <c r="H52896" i="16"/>
  <c r="H52897" i="16"/>
  <c r="H52898" i="16"/>
  <c r="H52899" i="16"/>
  <c r="H52900" i="16"/>
  <c r="H52901" i="16"/>
  <c r="H52902" i="16"/>
  <c r="H52903" i="16"/>
  <c r="H52904" i="16"/>
  <c r="H52905" i="16"/>
  <c r="H52906" i="16"/>
  <c r="H52907" i="16"/>
  <c r="H52908" i="16"/>
  <c r="H52909" i="16"/>
  <c r="H52910" i="16"/>
  <c r="H52911" i="16"/>
  <c r="H52912" i="16"/>
  <c r="H52913" i="16"/>
  <c r="H52914" i="16"/>
  <c r="H52915" i="16"/>
  <c r="H52916" i="16"/>
  <c r="H52917" i="16"/>
  <c r="H52918" i="16"/>
  <c r="H52919" i="16"/>
  <c r="H52920" i="16"/>
  <c r="H52921" i="16"/>
  <c r="H52922" i="16"/>
  <c r="H52923" i="16"/>
  <c r="H52924" i="16"/>
  <c r="H52925" i="16"/>
  <c r="H52926" i="16"/>
  <c r="H52927" i="16"/>
  <c r="H52928" i="16"/>
  <c r="H52929" i="16"/>
  <c r="H52930" i="16"/>
  <c r="H52931" i="16"/>
  <c r="H52932" i="16"/>
  <c r="H52933" i="16"/>
  <c r="H52934" i="16"/>
  <c r="H52935" i="16"/>
  <c r="H52936" i="16"/>
  <c r="H52937" i="16"/>
  <c r="H52938" i="16"/>
  <c r="H52939" i="16"/>
  <c r="H52940" i="16"/>
  <c r="H52941" i="16"/>
  <c r="H52942" i="16"/>
  <c r="H52943" i="16"/>
  <c r="H52944" i="16"/>
  <c r="H52945" i="16"/>
  <c r="H52946" i="16"/>
  <c r="H52947" i="16"/>
  <c r="H52948" i="16"/>
  <c r="H52949" i="16"/>
  <c r="H52950" i="16"/>
  <c r="H52951" i="16"/>
  <c r="H52952" i="16"/>
  <c r="H52953" i="16"/>
  <c r="H52954" i="16"/>
  <c r="H52955" i="16"/>
  <c r="H52956" i="16"/>
  <c r="H52957" i="16"/>
  <c r="H52958" i="16"/>
  <c r="H52959" i="16"/>
  <c r="H52960" i="16"/>
  <c r="H52961" i="16"/>
  <c r="H52962" i="16"/>
  <c r="H52963" i="16"/>
  <c r="H52964" i="16"/>
  <c r="H52965" i="16"/>
  <c r="H52966" i="16"/>
  <c r="H52967" i="16"/>
  <c r="H52968" i="16"/>
  <c r="H52969" i="16"/>
  <c r="H52970" i="16"/>
  <c r="H52971" i="16"/>
  <c r="H52972" i="16"/>
  <c r="H52973" i="16"/>
  <c r="H52974" i="16"/>
  <c r="H52975" i="16"/>
  <c r="H52976" i="16"/>
  <c r="H52977" i="16"/>
  <c r="H52978" i="16"/>
  <c r="H52979" i="16"/>
  <c r="H52980" i="16"/>
  <c r="H52981" i="16"/>
  <c r="H52982" i="16"/>
  <c r="H52983" i="16"/>
  <c r="H52984" i="16"/>
  <c r="H52985" i="16"/>
  <c r="H52986" i="16"/>
  <c r="H52987" i="16"/>
  <c r="H52988" i="16"/>
  <c r="H52989" i="16"/>
  <c r="H52990" i="16"/>
  <c r="H52991" i="16"/>
  <c r="H52992" i="16"/>
  <c r="H52993" i="16"/>
  <c r="H52994" i="16"/>
  <c r="H52995" i="16"/>
  <c r="H52996" i="16"/>
  <c r="H52997" i="16"/>
  <c r="H52998" i="16"/>
  <c r="H52999" i="16"/>
  <c r="H53000" i="16"/>
  <c r="H53001" i="16"/>
  <c r="H53002" i="16"/>
  <c r="H53003" i="16"/>
  <c r="H53004" i="16"/>
  <c r="H53005" i="16"/>
  <c r="H53006" i="16"/>
  <c r="H53007" i="16"/>
  <c r="H53008" i="16"/>
  <c r="H53009" i="16"/>
  <c r="H53010" i="16"/>
  <c r="H53011" i="16"/>
  <c r="H53012" i="16"/>
  <c r="H53013" i="16"/>
  <c r="H53014" i="16"/>
  <c r="H53015" i="16"/>
  <c r="H53016" i="16"/>
  <c r="H53017" i="16"/>
  <c r="H53018" i="16"/>
  <c r="H53019" i="16"/>
  <c r="H53020" i="16"/>
  <c r="H53021" i="16"/>
  <c r="H53022" i="16"/>
  <c r="H53023" i="16"/>
  <c r="H53024" i="16"/>
  <c r="H53025" i="16"/>
  <c r="H53026" i="16"/>
  <c r="H53027" i="16"/>
  <c r="H53028" i="16"/>
  <c r="H53029" i="16"/>
  <c r="H53030" i="16"/>
  <c r="H53031" i="16"/>
  <c r="H53032" i="16"/>
  <c r="H53033" i="16"/>
  <c r="H53034" i="16"/>
  <c r="H53035" i="16"/>
  <c r="H53036" i="16"/>
  <c r="H53037" i="16"/>
  <c r="H53038" i="16"/>
  <c r="H53039" i="16"/>
  <c r="H53040" i="16"/>
  <c r="H53041" i="16"/>
  <c r="H53042" i="16"/>
  <c r="H53043" i="16"/>
  <c r="H53044" i="16"/>
  <c r="H53045" i="16"/>
  <c r="H53046" i="16"/>
  <c r="H53047" i="16"/>
  <c r="H53048" i="16"/>
  <c r="H53049" i="16"/>
  <c r="H53050" i="16"/>
  <c r="H53051" i="16"/>
  <c r="H53052" i="16"/>
  <c r="H53053" i="16"/>
  <c r="H53054" i="16"/>
  <c r="H53055" i="16"/>
  <c r="H53056" i="16"/>
  <c r="H53057" i="16"/>
  <c r="H53058" i="16"/>
  <c r="H53059" i="16"/>
  <c r="H53060" i="16"/>
  <c r="H53061" i="16"/>
  <c r="H53062" i="16"/>
  <c r="H53063" i="16"/>
  <c r="H53064" i="16"/>
  <c r="H53065" i="16"/>
  <c r="H53066" i="16"/>
  <c r="H53067" i="16"/>
  <c r="H53068" i="16"/>
  <c r="H53069" i="16"/>
  <c r="H53070" i="16"/>
  <c r="H53071" i="16"/>
  <c r="H53072" i="16"/>
  <c r="H53073" i="16"/>
  <c r="H53074" i="16"/>
  <c r="H53075" i="16"/>
  <c r="H53076" i="16"/>
  <c r="H53077" i="16"/>
  <c r="H53078" i="16"/>
  <c r="H53079" i="16"/>
  <c r="H53080" i="16"/>
  <c r="H53081" i="16"/>
  <c r="H53082" i="16"/>
  <c r="H53083" i="16"/>
  <c r="H53084" i="16"/>
  <c r="H53085" i="16"/>
  <c r="H53086" i="16"/>
  <c r="H53087" i="16"/>
  <c r="H53088" i="16"/>
  <c r="H53089" i="16"/>
  <c r="H53090" i="16"/>
  <c r="H53091" i="16"/>
  <c r="H53092" i="16"/>
  <c r="H53093" i="16"/>
  <c r="H53094" i="16"/>
  <c r="H53095" i="16"/>
  <c r="H53096" i="16"/>
  <c r="H53097" i="16"/>
  <c r="H53098" i="16"/>
  <c r="H53099" i="16"/>
  <c r="H53100" i="16"/>
  <c r="H53101" i="16"/>
  <c r="H53102" i="16"/>
  <c r="H53103" i="16"/>
  <c r="H53104" i="16"/>
  <c r="H53105" i="16"/>
  <c r="H53106" i="16"/>
  <c r="H53107" i="16"/>
  <c r="H53108" i="16"/>
  <c r="H53109" i="16"/>
  <c r="H53110" i="16"/>
  <c r="H53111" i="16"/>
  <c r="H53112" i="16"/>
  <c r="H53113" i="16"/>
  <c r="H53114" i="16"/>
  <c r="H53115" i="16"/>
  <c r="H53116" i="16"/>
  <c r="H53117" i="16"/>
  <c r="H53118" i="16"/>
  <c r="H53119" i="16"/>
  <c r="H53120" i="16"/>
  <c r="H53121" i="16"/>
  <c r="H53122" i="16"/>
  <c r="H53123" i="16"/>
  <c r="H53124" i="16"/>
  <c r="H53125" i="16"/>
  <c r="H53126" i="16"/>
  <c r="H53127" i="16"/>
  <c r="H53128" i="16"/>
  <c r="H53129" i="16"/>
  <c r="H53130" i="16"/>
  <c r="H53131" i="16"/>
  <c r="H53132" i="16"/>
  <c r="H53133" i="16"/>
  <c r="H53134" i="16"/>
  <c r="H53135" i="16"/>
  <c r="H53136" i="16"/>
  <c r="H53137" i="16"/>
  <c r="H53138" i="16"/>
  <c r="H53139" i="16"/>
  <c r="H53140" i="16"/>
  <c r="H53141" i="16"/>
  <c r="H53142" i="16"/>
  <c r="H53143" i="16"/>
  <c r="H53144" i="16"/>
  <c r="H53145" i="16"/>
  <c r="H53146" i="16"/>
  <c r="H53147" i="16"/>
  <c r="H53148" i="16"/>
  <c r="H53149" i="16"/>
  <c r="H53150" i="16"/>
  <c r="H53151" i="16"/>
  <c r="H53152" i="16"/>
  <c r="H53153" i="16"/>
  <c r="H53154" i="16"/>
  <c r="H53155" i="16"/>
  <c r="H53156" i="16"/>
  <c r="H53157" i="16"/>
  <c r="H53158" i="16"/>
  <c r="H53159" i="16"/>
  <c r="H53160" i="16"/>
  <c r="H53161" i="16"/>
  <c r="H53162" i="16"/>
  <c r="H53163" i="16"/>
  <c r="H53164" i="16"/>
  <c r="H53165" i="16"/>
  <c r="H53166" i="16"/>
  <c r="H53167" i="16"/>
  <c r="H53168" i="16"/>
  <c r="H53169" i="16"/>
  <c r="H53170" i="16"/>
  <c r="H53171" i="16"/>
  <c r="H53172" i="16"/>
  <c r="H53173" i="16"/>
  <c r="H53174" i="16"/>
  <c r="H53175" i="16"/>
  <c r="H53176" i="16"/>
  <c r="H53177" i="16"/>
  <c r="H53178" i="16"/>
  <c r="H53179" i="16"/>
  <c r="H53180" i="16"/>
  <c r="H53181" i="16"/>
  <c r="H53182" i="16"/>
  <c r="H53183" i="16"/>
  <c r="H53184" i="16"/>
  <c r="H53185" i="16"/>
  <c r="H53186" i="16"/>
  <c r="H53187" i="16"/>
  <c r="H53188" i="16"/>
  <c r="H53189" i="16"/>
  <c r="H53190" i="16"/>
  <c r="H53191" i="16"/>
  <c r="H53192" i="16"/>
  <c r="H53193" i="16"/>
  <c r="H53194" i="16"/>
  <c r="H53195" i="16"/>
  <c r="H53196" i="16"/>
  <c r="H53197" i="16"/>
  <c r="H53198" i="16"/>
  <c r="H53199" i="16"/>
  <c r="H53200" i="16"/>
  <c r="H53201" i="16"/>
  <c r="H53202" i="16"/>
  <c r="H53203" i="16"/>
  <c r="H53204" i="16"/>
  <c r="H53205" i="16"/>
  <c r="H53206" i="16"/>
  <c r="H53207" i="16"/>
  <c r="H53208" i="16"/>
  <c r="H53209" i="16"/>
  <c r="H53210" i="16"/>
  <c r="H53211" i="16"/>
  <c r="H53212" i="16"/>
  <c r="H53213" i="16"/>
  <c r="H53214" i="16"/>
  <c r="H53215" i="16"/>
  <c r="H53216" i="16"/>
  <c r="H53217" i="16"/>
  <c r="H53218" i="16"/>
  <c r="H53219" i="16"/>
  <c r="H53220" i="16"/>
  <c r="H53221" i="16"/>
  <c r="H53222" i="16"/>
  <c r="H53223" i="16"/>
  <c r="H53224" i="16"/>
  <c r="H53225" i="16"/>
  <c r="H53226" i="16"/>
  <c r="H53227" i="16"/>
  <c r="H53228" i="16"/>
  <c r="H53229" i="16"/>
  <c r="H53230" i="16"/>
  <c r="H53231" i="16"/>
  <c r="H53232" i="16"/>
  <c r="H53233" i="16"/>
  <c r="H53234" i="16"/>
  <c r="H53235" i="16"/>
  <c r="H53236" i="16"/>
  <c r="H53237" i="16"/>
  <c r="H53238" i="16"/>
  <c r="H53239" i="16"/>
  <c r="H53240" i="16"/>
  <c r="H53241" i="16"/>
  <c r="H53242" i="16"/>
  <c r="H53243" i="16"/>
  <c r="H53244" i="16"/>
  <c r="H53245" i="16"/>
  <c r="H53246" i="16"/>
  <c r="H53247" i="16"/>
  <c r="H53248" i="16"/>
  <c r="H53249" i="16"/>
  <c r="H53250" i="16"/>
  <c r="H53251" i="16"/>
  <c r="H53252" i="16"/>
  <c r="H53253" i="16"/>
  <c r="H53254" i="16"/>
  <c r="H53255" i="16"/>
  <c r="H53256" i="16"/>
  <c r="H53257" i="16"/>
  <c r="H53258" i="16"/>
  <c r="H53259" i="16"/>
  <c r="H53260" i="16"/>
  <c r="H53261" i="16"/>
  <c r="H53262" i="16"/>
  <c r="H53263" i="16"/>
  <c r="H53264" i="16"/>
  <c r="H53265" i="16"/>
  <c r="H53266" i="16"/>
  <c r="H53267" i="16"/>
  <c r="H53268" i="16"/>
  <c r="H53269" i="16"/>
  <c r="H53270" i="16"/>
  <c r="H53271" i="16"/>
  <c r="H53272" i="16"/>
  <c r="H53273" i="16"/>
  <c r="H53274" i="16"/>
  <c r="H53275" i="16"/>
  <c r="H53276" i="16"/>
  <c r="H53277" i="16"/>
  <c r="H53278" i="16"/>
  <c r="H53279" i="16"/>
  <c r="H53280" i="16"/>
  <c r="H53281" i="16"/>
  <c r="H53282" i="16"/>
  <c r="H53283" i="16"/>
  <c r="H53284" i="16"/>
  <c r="H53285" i="16"/>
  <c r="H53286" i="16"/>
  <c r="H53287" i="16"/>
  <c r="H53288" i="16"/>
  <c r="H53289" i="16"/>
  <c r="H53290" i="16"/>
  <c r="H53291" i="16"/>
  <c r="H53292" i="16"/>
  <c r="H53293" i="16"/>
  <c r="H53294" i="16"/>
  <c r="H53295" i="16"/>
  <c r="H53296" i="16"/>
  <c r="H53297" i="16"/>
  <c r="H53298" i="16"/>
  <c r="H53299" i="16"/>
  <c r="H53300" i="16"/>
  <c r="H53301" i="16"/>
  <c r="H53302" i="16"/>
  <c r="H53303" i="16"/>
  <c r="H53304" i="16"/>
  <c r="H53305" i="16"/>
  <c r="H53306" i="16"/>
  <c r="H53307" i="16"/>
  <c r="H53308" i="16"/>
  <c r="H53309" i="16"/>
  <c r="H53310" i="16"/>
  <c r="H53311" i="16"/>
  <c r="H53312" i="16"/>
  <c r="H53313" i="16"/>
  <c r="H53314" i="16"/>
  <c r="H53315" i="16"/>
  <c r="H53316" i="16"/>
  <c r="H53317" i="16"/>
  <c r="H53318" i="16"/>
  <c r="H53319" i="16"/>
  <c r="H53320" i="16"/>
  <c r="H53321" i="16"/>
  <c r="H53322" i="16"/>
  <c r="H53323" i="16"/>
  <c r="H53324" i="16"/>
  <c r="H53325" i="16"/>
  <c r="H53326" i="16"/>
  <c r="H53327" i="16"/>
  <c r="H53328" i="16"/>
  <c r="H53329" i="16"/>
  <c r="H53330" i="16"/>
  <c r="H53331" i="16"/>
  <c r="H53332" i="16"/>
  <c r="H53333" i="16"/>
  <c r="H53334" i="16"/>
  <c r="H53335" i="16"/>
  <c r="H53336" i="16"/>
  <c r="H53337" i="16"/>
  <c r="H53338" i="16"/>
  <c r="H53339" i="16"/>
  <c r="H53340" i="16"/>
  <c r="H53341" i="16"/>
  <c r="H53342" i="16"/>
  <c r="H53343" i="16"/>
  <c r="H53344" i="16"/>
  <c r="H53345" i="16"/>
  <c r="H53346" i="16"/>
  <c r="H53347" i="16"/>
  <c r="H53348" i="16"/>
  <c r="H53349" i="16"/>
  <c r="H53350" i="16"/>
  <c r="H53351" i="16"/>
  <c r="H53352" i="16"/>
  <c r="H53353" i="16"/>
  <c r="H53354" i="16"/>
  <c r="H53355" i="16"/>
  <c r="H53356" i="16"/>
  <c r="H53357" i="16"/>
  <c r="H53358" i="16"/>
  <c r="H53359" i="16"/>
  <c r="H53360" i="16"/>
  <c r="H53361" i="16"/>
  <c r="H53362" i="16"/>
  <c r="H53363" i="16"/>
  <c r="H53364" i="16"/>
  <c r="H53365" i="16"/>
  <c r="H53366" i="16"/>
  <c r="H53367" i="16"/>
  <c r="H53368" i="16"/>
  <c r="H53369" i="16"/>
  <c r="H53370" i="16"/>
  <c r="H53371" i="16"/>
  <c r="H53372" i="16"/>
  <c r="H53373" i="16"/>
  <c r="H53374" i="16"/>
  <c r="H53375" i="16"/>
  <c r="H53376" i="16"/>
  <c r="H53377" i="16"/>
  <c r="H53378" i="16"/>
  <c r="H53379" i="16"/>
  <c r="H53380" i="16"/>
  <c r="H53381" i="16"/>
  <c r="H53382" i="16"/>
  <c r="H53383" i="16"/>
  <c r="H53384" i="16"/>
  <c r="H53385" i="16"/>
  <c r="H53386" i="16"/>
  <c r="H53387" i="16"/>
  <c r="H53388" i="16"/>
  <c r="H53389" i="16"/>
  <c r="H53390" i="16"/>
  <c r="H53391" i="16"/>
  <c r="H53392" i="16"/>
  <c r="H53393" i="16"/>
  <c r="H53394" i="16"/>
  <c r="H53395" i="16"/>
  <c r="H53396" i="16"/>
  <c r="H53397" i="16"/>
  <c r="H53398" i="16"/>
  <c r="H53399" i="16"/>
  <c r="H53400" i="16"/>
  <c r="H53401" i="16"/>
  <c r="H53402" i="16"/>
  <c r="H53403" i="16"/>
  <c r="H53404" i="16"/>
  <c r="H53405" i="16"/>
  <c r="H53406" i="16"/>
  <c r="H53407" i="16"/>
  <c r="H53408" i="16"/>
  <c r="H53409" i="16"/>
  <c r="H53410" i="16"/>
  <c r="H53411" i="16"/>
  <c r="H53412" i="16"/>
  <c r="H53413" i="16"/>
  <c r="H53414" i="16"/>
  <c r="H53415" i="16"/>
  <c r="H53416" i="16"/>
  <c r="H53417" i="16"/>
  <c r="H53418" i="16"/>
  <c r="H53419" i="16"/>
  <c r="H53420" i="16"/>
  <c r="H53421" i="16"/>
  <c r="H53422" i="16"/>
  <c r="H53423" i="16"/>
  <c r="H53424" i="16"/>
  <c r="H53425" i="16"/>
  <c r="H53426" i="16"/>
  <c r="H53427" i="16"/>
  <c r="H53428" i="16"/>
  <c r="H53429" i="16"/>
  <c r="H53430" i="16"/>
  <c r="H53431" i="16"/>
  <c r="H53432" i="16"/>
  <c r="H53433" i="16"/>
  <c r="H53434" i="16"/>
  <c r="H53435" i="16"/>
  <c r="H53436" i="16"/>
  <c r="H53437" i="16"/>
  <c r="H53438" i="16"/>
  <c r="H53439" i="16"/>
  <c r="H53440" i="16"/>
  <c r="H53441" i="16"/>
  <c r="H53442" i="16"/>
  <c r="H53443" i="16"/>
  <c r="H53444" i="16"/>
  <c r="H53445" i="16"/>
  <c r="H53446" i="16"/>
  <c r="H53447" i="16"/>
  <c r="H53448" i="16"/>
  <c r="H53449" i="16"/>
  <c r="H53450" i="16"/>
  <c r="H53451" i="16"/>
  <c r="H53452" i="16"/>
  <c r="H53453" i="16"/>
  <c r="H53454" i="16"/>
  <c r="H53455" i="16"/>
  <c r="H53456" i="16"/>
  <c r="H53457" i="16"/>
  <c r="H53458" i="16"/>
  <c r="H53459" i="16"/>
  <c r="H53460" i="16"/>
  <c r="H53461" i="16"/>
  <c r="H53462" i="16"/>
  <c r="H53463" i="16"/>
  <c r="H53464" i="16"/>
  <c r="H53465" i="16"/>
  <c r="H53466" i="16"/>
  <c r="H53467" i="16"/>
  <c r="H53468" i="16"/>
  <c r="H53469" i="16"/>
  <c r="H53470" i="16"/>
  <c r="H53471" i="16"/>
  <c r="H53472" i="16"/>
  <c r="H53473" i="16"/>
  <c r="H53474" i="16"/>
  <c r="H53475" i="16"/>
  <c r="H53476" i="16"/>
  <c r="H53477" i="16"/>
  <c r="H53478" i="16"/>
  <c r="H53479" i="16"/>
  <c r="H53480" i="16"/>
  <c r="H53481" i="16"/>
  <c r="H53482" i="16"/>
  <c r="H53483" i="16"/>
  <c r="H53484" i="16"/>
  <c r="H53485" i="16"/>
  <c r="H53486" i="16"/>
  <c r="H53487" i="16"/>
  <c r="H53488" i="16"/>
  <c r="H53489" i="16"/>
  <c r="H53490" i="16"/>
  <c r="H53491" i="16"/>
  <c r="H53492" i="16"/>
  <c r="H53493" i="16"/>
  <c r="H53494" i="16"/>
  <c r="H53495" i="16"/>
  <c r="H53496" i="16"/>
  <c r="H53497" i="16"/>
  <c r="H53498" i="16"/>
  <c r="H53499" i="16"/>
  <c r="H53500" i="16"/>
  <c r="H53501" i="16"/>
  <c r="H53502" i="16"/>
  <c r="H53503" i="16"/>
  <c r="H53504" i="16"/>
  <c r="H53505" i="16"/>
  <c r="H53506" i="16"/>
  <c r="H53507" i="16"/>
  <c r="H53508" i="16"/>
  <c r="H53509" i="16"/>
  <c r="H53510" i="16"/>
  <c r="H53511" i="16"/>
  <c r="H53512" i="16"/>
  <c r="H53513" i="16"/>
  <c r="H53514" i="16"/>
  <c r="H53515" i="16"/>
  <c r="H53516" i="16"/>
  <c r="H53517" i="16"/>
  <c r="H53518" i="16"/>
  <c r="H53519" i="16"/>
  <c r="H53520" i="16"/>
  <c r="H53521" i="16"/>
  <c r="H53522" i="16"/>
  <c r="H53523" i="16"/>
  <c r="H53524" i="16"/>
  <c r="H53525" i="16"/>
  <c r="H53526" i="16"/>
  <c r="H53527" i="16"/>
  <c r="H53528" i="16"/>
  <c r="H53529" i="16"/>
  <c r="H53530" i="16"/>
  <c r="H53531" i="16"/>
  <c r="H53532" i="16"/>
  <c r="H53533" i="16"/>
  <c r="H53534" i="16"/>
  <c r="H53535" i="16"/>
  <c r="H53536" i="16"/>
  <c r="H53537" i="16"/>
  <c r="H53538" i="16"/>
  <c r="H53539" i="16"/>
  <c r="H53540" i="16"/>
  <c r="H53541" i="16"/>
  <c r="H53542" i="16"/>
  <c r="H53543" i="16"/>
  <c r="H53544" i="16"/>
  <c r="H53545" i="16"/>
  <c r="H53546" i="16"/>
  <c r="H53547" i="16"/>
  <c r="H53548" i="16"/>
  <c r="H53549" i="16"/>
  <c r="H53550" i="16"/>
  <c r="H53551" i="16"/>
  <c r="H53552" i="16"/>
  <c r="H53553" i="16"/>
  <c r="H53554" i="16"/>
  <c r="H53555" i="16"/>
  <c r="H53556" i="16"/>
  <c r="H53557" i="16"/>
  <c r="H53558" i="16"/>
  <c r="H53559" i="16"/>
  <c r="H53560" i="16"/>
  <c r="H53561" i="16"/>
  <c r="H53562" i="16"/>
  <c r="H53563" i="16"/>
  <c r="H53564" i="16"/>
  <c r="H53565" i="16"/>
  <c r="H53566" i="16"/>
  <c r="H53567" i="16"/>
  <c r="H53568" i="16"/>
  <c r="H53569" i="16"/>
  <c r="H53570" i="16"/>
  <c r="H53571" i="16"/>
  <c r="H53572" i="16"/>
  <c r="H53573" i="16"/>
  <c r="H53574" i="16"/>
  <c r="H53575" i="16"/>
  <c r="H53576" i="16"/>
  <c r="H53577" i="16"/>
  <c r="H53578" i="16"/>
  <c r="H53579" i="16"/>
  <c r="H53580" i="16"/>
  <c r="H53581" i="16"/>
  <c r="H53582" i="16"/>
  <c r="H53583" i="16"/>
  <c r="H53584" i="16"/>
  <c r="H53585" i="16"/>
  <c r="H53586" i="16"/>
  <c r="H53587" i="16"/>
  <c r="H53588" i="16"/>
  <c r="H53589" i="16"/>
  <c r="H53590" i="16"/>
  <c r="H53591" i="16"/>
  <c r="H53592" i="16"/>
  <c r="H53593" i="16"/>
  <c r="H53594" i="16"/>
  <c r="H53595" i="16"/>
  <c r="H53596" i="16"/>
  <c r="H53597" i="16"/>
  <c r="H53598" i="16"/>
  <c r="H53599" i="16"/>
  <c r="H53600" i="16"/>
  <c r="H53601" i="16"/>
  <c r="H53602" i="16"/>
  <c r="H53603" i="16"/>
  <c r="H53604" i="16"/>
  <c r="H53605" i="16"/>
  <c r="H53606" i="16"/>
  <c r="H53607" i="16"/>
  <c r="H53608" i="16"/>
  <c r="H53609" i="16"/>
  <c r="H53610" i="16"/>
  <c r="H53611" i="16"/>
  <c r="H53612" i="16"/>
  <c r="H53613" i="16"/>
  <c r="H53614" i="16"/>
  <c r="H53615" i="16"/>
  <c r="H53616" i="16"/>
  <c r="H53617" i="16"/>
  <c r="H53618" i="16"/>
  <c r="H53619" i="16"/>
  <c r="H53620" i="16"/>
  <c r="H53621" i="16"/>
  <c r="H53622" i="16"/>
  <c r="H53623" i="16"/>
  <c r="H53624" i="16"/>
  <c r="H53625" i="16"/>
  <c r="H53626" i="16"/>
  <c r="H53627" i="16"/>
  <c r="H53628" i="16"/>
  <c r="H53629" i="16"/>
  <c r="H53630" i="16"/>
  <c r="H53631" i="16"/>
  <c r="H53632" i="16"/>
  <c r="H53633" i="16"/>
  <c r="H53634" i="16"/>
  <c r="H53635" i="16"/>
  <c r="H53636" i="16"/>
  <c r="H53637" i="16"/>
  <c r="H53638" i="16"/>
  <c r="H53639" i="16"/>
  <c r="H53640" i="16"/>
  <c r="H53641" i="16"/>
  <c r="H53642" i="16"/>
  <c r="H53643" i="16"/>
  <c r="H53644" i="16"/>
  <c r="H53645" i="16"/>
  <c r="H53646" i="16"/>
  <c r="H53647" i="16"/>
  <c r="H53648" i="16"/>
  <c r="H53649" i="16"/>
  <c r="H53650" i="16"/>
  <c r="H53651" i="16"/>
  <c r="H53652" i="16"/>
  <c r="H53653" i="16"/>
  <c r="H53654" i="16"/>
  <c r="H53655" i="16"/>
  <c r="H53656" i="16"/>
  <c r="H53657" i="16"/>
  <c r="H53658" i="16"/>
  <c r="H53659" i="16"/>
  <c r="H53660" i="16"/>
  <c r="H53661" i="16"/>
  <c r="H53662" i="16"/>
  <c r="H53663" i="16"/>
  <c r="H53664" i="16"/>
  <c r="H53665" i="16"/>
  <c r="H53666" i="16"/>
  <c r="H53667" i="16"/>
  <c r="H53668" i="16"/>
  <c r="H53669" i="16"/>
  <c r="H53670" i="16"/>
  <c r="H53671" i="16"/>
  <c r="H53672" i="16"/>
  <c r="H53673" i="16"/>
  <c r="H53674" i="16"/>
  <c r="H53675" i="16"/>
  <c r="H53676" i="16"/>
  <c r="H53677" i="16"/>
  <c r="H53678" i="16"/>
  <c r="H53679" i="16"/>
  <c r="H53680" i="16"/>
  <c r="H53681" i="16"/>
  <c r="H53682" i="16"/>
  <c r="H53683" i="16"/>
  <c r="H53684" i="16"/>
  <c r="H53685" i="16"/>
  <c r="H53686" i="16"/>
  <c r="H53687" i="16"/>
  <c r="H53688" i="16"/>
  <c r="H53689" i="16"/>
  <c r="H53690" i="16"/>
  <c r="H53691" i="16"/>
  <c r="H53692" i="16"/>
  <c r="H53693" i="16"/>
  <c r="H53694" i="16"/>
  <c r="H53695" i="16"/>
  <c r="H53696" i="16"/>
  <c r="H53697" i="16"/>
  <c r="H53698" i="16"/>
  <c r="H53699" i="16"/>
  <c r="H53700" i="16"/>
  <c r="H53701" i="16"/>
  <c r="H53702" i="16"/>
  <c r="H53703" i="16"/>
  <c r="H53704" i="16"/>
  <c r="H53705" i="16"/>
  <c r="H53706" i="16"/>
  <c r="H53707" i="16"/>
  <c r="H53708" i="16"/>
  <c r="H53709" i="16"/>
  <c r="H53710" i="16"/>
  <c r="H53711" i="16"/>
  <c r="H53712" i="16"/>
  <c r="H53713" i="16"/>
  <c r="H53714" i="16"/>
  <c r="H53715" i="16"/>
  <c r="H53716" i="16"/>
  <c r="H53717" i="16"/>
  <c r="H53718" i="16"/>
  <c r="H53719" i="16"/>
  <c r="H53720" i="16"/>
  <c r="H53721" i="16"/>
  <c r="H53722" i="16"/>
  <c r="H53723" i="16"/>
  <c r="H53724" i="16"/>
  <c r="H53725" i="16"/>
  <c r="H53726" i="16"/>
  <c r="H53727" i="16"/>
  <c r="H53728" i="16"/>
  <c r="H53729" i="16"/>
  <c r="H53730" i="16"/>
  <c r="H53731" i="16"/>
  <c r="H53732" i="16"/>
  <c r="H53733" i="16"/>
  <c r="H53734" i="16"/>
  <c r="H53735" i="16"/>
  <c r="H53736" i="16"/>
  <c r="H53737" i="16"/>
  <c r="H53738" i="16"/>
  <c r="H53739" i="16"/>
  <c r="H53740" i="16"/>
  <c r="H53741" i="16"/>
  <c r="H53742" i="16"/>
  <c r="H53743" i="16"/>
  <c r="H53744" i="16"/>
  <c r="H53745" i="16"/>
  <c r="H53746" i="16"/>
  <c r="H53747" i="16"/>
  <c r="H53748" i="16"/>
  <c r="H53749" i="16"/>
  <c r="H53750" i="16"/>
  <c r="H53751" i="16"/>
  <c r="H53752" i="16"/>
  <c r="H53753" i="16"/>
  <c r="H53754" i="16"/>
  <c r="H53755" i="16"/>
  <c r="H53756" i="16"/>
  <c r="H53757" i="16"/>
  <c r="H53758" i="16"/>
  <c r="H53759" i="16"/>
  <c r="H53760" i="16"/>
  <c r="H53761" i="16"/>
  <c r="H53762" i="16"/>
  <c r="H53763" i="16"/>
  <c r="H53764" i="16"/>
  <c r="H53765" i="16"/>
  <c r="H53766" i="16"/>
  <c r="H53767" i="16"/>
  <c r="H53768" i="16"/>
  <c r="H53769" i="16"/>
  <c r="H53770" i="16"/>
  <c r="H53771" i="16"/>
  <c r="H53772" i="16"/>
  <c r="H53773" i="16"/>
  <c r="H53774" i="16"/>
  <c r="H53775" i="16"/>
  <c r="H53776" i="16"/>
  <c r="H53777" i="16"/>
  <c r="H53778" i="16"/>
  <c r="H53779" i="16"/>
  <c r="H53780" i="16"/>
  <c r="H53781" i="16"/>
  <c r="H53782" i="16"/>
  <c r="H53783" i="16"/>
  <c r="H53784" i="16"/>
  <c r="H53785" i="16"/>
  <c r="H53786" i="16"/>
  <c r="H53787" i="16"/>
  <c r="H53788" i="16"/>
  <c r="H53789" i="16"/>
  <c r="H53790" i="16"/>
  <c r="H53791" i="16"/>
  <c r="H53792" i="16"/>
  <c r="H53793" i="16"/>
  <c r="H53794" i="16"/>
  <c r="H53795" i="16"/>
  <c r="H53796" i="16"/>
  <c r="H53797" i="16"/>
  <c r="H53798" i="16"/>
  <c r="H53799" i="16"/>
  <c r="H53800" i="16"/>
  <c r="H53801" i="16"/>
  <c r="H53802" i="16"/>
  <c r="H53803" i="16"/>
  <c r="H53804" i="16"/>
  <c r="H53805" i="16"/>
  <c r="H53806" i="16"/>
  <c r="H53807" i="16"/>
  <c r="H53808" i="16"/>
  <c r="H53809" i="16"/>
  <c r="H53810" i="16"/>
  <c r="H53811" i="16"/>
  <c r="H53812" i="16"/>
  <c r="H53813" i="16"/>
  <c r="H53814" i="16"/>
  <c r="H53815" i="16"/>
  <c r="H53816" i="16"/>
  <c r="H53817" i="16"/>
  <c r="H53818" i="16"/>
  <c r="H53819" i="16"/>
  <c r="H53820" i="16"/>
  <c r="H53821" i="16"/>
  <c r="H53822" i="16"/>
  <c r="H53823" i="16"/>
  <c r="H53824" i="16"/>
  <c r="H53825" i="16"/>
  <c r="H53826" i="16"/>
  <c r="H53827" i="16"/>
  <c r="H53828" i="16"/>
  <c r="H53829" i="16"/>
  <c r="H53830" i="16"/>
  <c r="H53831" i="16"/>
  <c r="H53832" i="16"/>
  <c r="H53833" i="16"/>
  <c r="H53834" i="16"/>
  <c r="H53835" i="16"/>
  <c r="H53836" i="16"/>
  <c r="H53837" i="16"/>
  <c r="H53838" i="16"/>
  <c r="H53839" i="16"/>
  <c r="H53840" i="16"/>
  <c r="H53841" i="16"/>
  <c r="H53842" i="16"/>
  <c r="H53843" i="16"/>
  <c r="H53844" i="16"/>
  <c r="H53845" i="16"/>
  <c r="H53846" i="16"/>
  <c r="H53847" i="16"/>
  <c r="H53848" i="16"/>
  <c r="H53849" i="16"/>
  <c r="H53850" i="16"/>
  <c r="H53851" i="16"/>
  <c r="H53852" i="16"/>
  <c r="H53853" i="16"/>
  <c r="H53854" i="16"/>
  <c r="H53855" i="16"/>
  <c r="H53856" i="16"/>
  <c r="H53857" i="16"/>
  <c r="H53858" i="16"/>
  <c r="H53859" i="16"/>
  <c r="H53860" i="16"/>
  <c r="H53861" i="16"/>
  <c r="H53862" i="16"/>
  <c r="H53863" i="16"/>
  <c r="H53864" i="16"/>
  <c r="H53865" i="16"/>
  <c r="H53866" i="16"/>
  <c r="H53867" i="16"/>
  <c r="H53868" i="16"/>
  <c r="H53869" i="16"/>
  <c r="H53870" i="16"/>
  <c r="H53871" i="16"/>
  <c r="H53872" i="16"/>
  <c r="H53873" i="16"/>
  <c r="H53874" i="16"/>
  <c r="H53875" i="16"/>
  <c r="H53876" i="16"/>
  <c r="H53877" i="16"/>
  <c r="H53878" i="16"/>
  <c r="H53879" i="16"/>
  <c r="H53880" i="16"/>
  <c r="H53881" i="16"/>
  <c r="H53882" i="16"/>
  <c r="H53883" i="16"/>
  <c r="H53884" i="16"/>
  <c r="H53885" i="16"/>
  <c r="H53886" i="16"/>
  <c r="H53887" i="16"/>
  <c r="H53888" i="16"/>
  <c r="H53889" i="16"/>
  <c r="H53890" i="16"/>
  <c r="H53891" i="16"/>
  <c r="H53892" i="16"/>
  <c r="H53893" i="16"/>
  <c r="H53894" i="16"/>
  <c r="H53895" i="16"/>
  <c r="H53896" i="16"/>
  <c r="H53897" i="16"/>
  <c r="H53898" i="16"/>
  <c r="H53899" i="16"/>
  <c r="H53900" i="16"/>
  <c r="H53901" i="16"/>
  <c r="H53902" i="16"/>
  <c r="H53903" i="16"/>
  <c r="H53904" i="16"/>
  <c r="H53905" i="16"/>
  <c r="H53906" i="16"/>
  <c r="H53907" i="16"/>
  <c r="H53908" i="16"/>
  <c r="H53909" i="16"/>
  <c r="H53910" i="16"/>
  <c r="H53911" i="16"/>
  <c r="H53912" i="16"/>
  <c r="H53913" i="16"/>
  <c r="H53914" i="16"/>
  <c r="H53915" i="16"/>
  <c r="H53916" i="16"/>
  <c r="H53917" i="16"/>
  <c r="H53918" i="16"/>
  <c r="H53919" i="16"/>
  <c r="H53920" i="16"/>
  <c r="H53921" i="16"/>
  <c r="H53922" i="16"/>
  <c r="H53923" i="16"/>
  <c r="H53924" i="16"/>
  <c r="H53925" i="16"/>
  <c r="H53926" i="16"/>
  <c r="H53927" i="16"/>
  <c r="H53928" i="16"/>
  <c r="H53929" i="16"/>
  <c r="H53930" i="16"/>
  <c r="H53931" i="16"/>
  <c r="H53932" i="16"/>
  <c r="H53933" i="16"/>
  <c r="H53934" i="16"/>
  <c r="H53935" i="16"/>
  <c r="H53936" i="16"/>
  <c r="H53937" i="16"/>
  <c r="H53938" i="16"/>
  <c r="H53939" i="16"/>
  <c r="H53940" i="16"/>
  <c r="H53941" i="16"/>
  <c r="H53942" i="16"/>
  <c r="H53943" i="16"/>
  <c r="H53944" i="16"/>
  <c r="H53945" i="16"/>
  <c r="H53946" i="16"/>
  <c r="H53947" i="16"/>
  <c r="H53948" i="16"/>
  <c r="H53949" i="16"/>
  <c r="H53950" i="16"/>
  <c r="H53951" i="16"/>
  <c r="H53952" i="16"/>
  <c r="H53953" i="16"/>
  <c r="H53954" i="16"/>
  <c r="H53955" i="16"/>
  <c r="H53956" i="16"/>
  <c r="H53957" i="16"/>
  <c r="H53958" i="16"/>
  <c r="H53959" i="16"/>
  <c r="H53960" i="16"/>
  <c r="H53961" i="16"/>
  <c r="H53962" i="16"/>
  <c r="H53963" i="16"/>
  <c r="H53964" i="16"/>
  <c r="H53965" i="16"/>
  <c r="H53966" i="16"/>
  <c r="H53967" i="16"/>
  <c r="H53968" i="16"/>
  <c r="H53969" i="16"/>
  <c r="H53970" i="16"/>
  <c r="H53971" i="16"/>
  <c r="H53972" i="16"/>
  <c r="H53973" i="16"/>
  <c r="H53974" i="16"/>
  <c r="H53975" i="16"/>
  <c r="H53976" i="16"/>
  <c r="H53977" i="16"/>
  <c r="H53978" i="16"/>
  <c r="H53979" i="16"/>
  <c r="H53980" i="16"/>
  <c r="H53981" i="16"/>
  <c r="H53982" i="16"/>
  <c r="H53983" i="16"/>
  <c r="H53984" i="16"/>
  <c r="H53985" i="16"/>
  <c r="H53986" i="16"/>
  <c r="H53987" i="16"/>
  <c r="H53988" i="16"/>
  <c r="H53989" i="16"/>
  <c r="H53990" i="16"/>
  <c r="H53991" i="16"/>
  <c r="H53992" i="16"/>
  <c r="H53993" i="16"/>
  <c r="H53994" i="16"/>
  <c r="H53995" i="16"/>
  <c r="H53996" i="16"/>
  <c r="H53997" i="16"/>
  <c r="H53998" i="16"/>
  <c r="H53999" i="16"/>
  <c r="H54000" i="16"/>
  <c r="H54001" i="16"/>
  <c r="H54002" i="16"/>
  <c r="H54003" i="16"/>
  <c r="H54004" i="16"/>
  <c r="H54005" i="16"/>
  <c r="H54006" i="16"/>
  <c r="H54007" i="16"/>
  <c r="H54008" i="16"/>
  <c r="H54009" i="16"/>
  <c r="H54010" i="16"/>
  <c r="H54011" i="16"/>
  <c r="H54012" i="16"/>
  <c r="H54013" i="16"/>
  <c r="H54014" i="16"/>
  <c r="H54015" i="16"/>
  <c r="H54016" i="16"/>
  <c r="H54017" i="16"/>
  <c r="H54018" i="16"/>
  <c r="H54019" i="16"/>
  <c r="H54020" i="16"/>
  <c r="H54021" i="16"/>
  <c r="H54022" i="16"/>
  <c r="H54023" i="16"/>
  <c r="H54024" i="16"/>
  <c r="H54025" i="16"/>
  <c r="H54026" i="16"/>
  <c r="H54027" i="16"/>
  <c r="H54028" i="16"/>
  <c r="H54029" i="16"/>
  <c r="H54030" i="16"/>
  <c r="H54031" i="16"/>
  <c r="H54032" i="16"/>
  <c r="H54033" i="16"/>
  <c r="H54034" i="16"/>
  <c r="H54035" i="16"/>
  <c r="H54036" i="16"/>
  <c r="H54037" i="16"/>
  <c r="H54038" i="16"/>
  <c r="H54039" i="16"/>
  <c r="H54040" i="16"/>
  <c r="H54041" i="16"/>
  <c r="H54042" i="16"/>
  <c r="H54043" i="16"/>
  <c r="H54044" i="16"/>
  <c r="H54045" i="16"/>
  <c r="H54046" i="16"/>
  <c r="H54047" i="16"/>
  <c r="H54048" i="16"/>
  <c r="H54049" i="16"/>
  <c r="H54050" i="16"/>
  <c r="H54051" i="16"/>
  <c r="H54052" i="16"/>
  <c r="H54053" i="16"/>
  <c r="H54054" i="16"/>
  <c r="H54055" i="16"/>
  <c r="H54056" i="16"/>
  <c r="H54057" i="16"/>
  <c r="H54058" i="16"/>
  <c r="H54059" i="16"/>
  <c r="H54060" i="16"/>
  <c r="H54061" i="16"/>
  <c r="H54062" i="16"/>
  <c r="H54063" i="16"/>
  <c r="H54064" i="16"/>
  <c r="H54065" i="16"/>
  <c r="H54066" i="16"/>
  <c r="H54067" i="16"/>
  <c r="H54068" i="16"/>
  <c r="H54069" i="16"/>
  <c r="H54070" i="16"/>
  <c r="H54071" i="16"/>
  <c r="H54072" i="16"/>
  <c r="H54073" i="16"/>
  <c r="H54074" i="16"/>
  <c r="H54075" i="16"/>
  <c r="H54076" i="16"/>
  <c r="H54077" i="16"/>
  <c r="H54078" i="16"/>
  <c r="H54079" i="16"/>
  <c r="H54080" i="16"/>
  <c r="H54081" i="16"/>
  <c r="H54082" i="16"/>
  <c r="H54083" i="16"/>
  <c r="H54084" i="16"/>
  <c r="H54085" i="16"/>
  <c r="H54086" i="16"/>
  <c r="H54087" i="16"/>
  <c r="H54088" i="16"/>
  <c r="H54089" i="16"/>
  <c r="H54090" i="16"/>
  <c r="H54091" i="16"/>
  <c r="H54092" i="16"/>
  <c r="H54093" i="16"/>
  <c r="H54094" i="16"/>
  <c r="H54095" i="16"/>
  <c r="H54096" i="16"/>
  <c r="H54097" i="16"/>
  <c r="H54098" i="16"/>
  <c r="H54099" i="16"/>
  <c r="H54100" i="16"/>
  <c r="H54101" i="16"/>
  <c r="H54102" i="16"/>
  <c r="H54103" i="16"/>
  <c r="H54104" i="16"/>
  <c r="H54105" i="16"/>
  <c r="H54106" i="16"/>
  <c r="H54107" i="16"/>
  <c r="H54108" i="16"/>
  <c r="H54109" i="16"/>
  <c r="H54110" i="16"/>
  <c r="H54111" i="16"/>
  <c r="H54112" i="16"/>
  <c r="H54113" i="16"/>
  <c r="H54114" i="16"/>
  <c r="H54115" i="16"/>
  <c r="H54116" i="16"/>
  <c r="H54117" i="16"/>
  <c r="H54118" i="16"/>
  <c r="H54119" i="16"/>
  <c r="H54120" i="16"/>
  <c r="H54121" i="16"/>
  <c r="H54122" i="16"/>
  <c r="H54123" i="16"/>
  <c r="H54124" i="16"/>
  <c r="H54125" i="16"/>
  <c r="H54126" i="16"/>
  <c r="H54127" i="16"/>
  <c r="H54128" i="16"/>
  <c r="H54129" i="16"/>
  <c r="H54130" i="16"/>
  <c r="H54131" i="16"/>
  <c r="H54132" i="16"/>
  <c r="H54133" i="16"/>
  <c r="H54134" i="16"/>
  <c r="H54135" i="16"/>
  <c r="H54136" i="16"/>
  <c r="H54137" i="16"/>
  <c r="H54138" i="16"/>
  <c r="H54139" i="16"/>
  <c r="H54140" i="16"/>
  <c r="H54141" i="16"/>
  <c r="H54142" i="16"/>
  <c r="H54143" i="16"/>
  <c r="H54144" i="16"/>
  <c r="H54145" i="16"/>
  <c r="H54146" i="16"/>
  <c r="H54147" i="16"/>
  <c r="H54148" i="16"/>
  <c r="H54149" i="16"/>
  <c r="H54150" i="16"/>
  <c r="H54151" i="16"/>
  <c r="H54152" i="16"/>
  <c r="H54153" i="16"/>
  <c r="H54154" i="16"/>
  <c r="H54155" i="16"/>
  <c r="H54156" i="16"/>
  <c r="H54157" i="16"/>
  <c r="H54158" i="16"/>
  <c r="H54159" i="16"/>
  <c r="H54160" i="16"/>
  <c r="H54161" i="16"/>
  <c r="H54162" i="16"/>
  <c r="H54163" i="16"/>
  <c r="H54164" i="16"/>
  <c r="H54165" i="16"/>
  <c r="H54166" i="16"/>
  <c r="H54167" i="16"/>
  <c r="H54168" i="16"/>
  <c r="H54169" i="16"/>
  <c r="H54170" i="16"/>
  <c r="H54171" i="16"/>
  <c r="H54172" i="16"/>
  <c r="H54173" i="16"/>
  <c r="H54174" i="16"/>
  <c r="H54175" i="16"/>
  <c r="H54176" i="16"/>
  <c r="H54177" i="16"/>
  <c r="H54178" i="16"/>
  <c r="H54179" i="16"/>
  <c r="H54180" i="16"/>
  <c r="H54181" i="16"/>
  <c r="H54182" i="16"/>
  <c r="H54183" i="16"/>
  <c r="H54184" i="16"/>
  <c r="H54185" i="16"/>
  <c r="H54186" i="16"/>
  <c r="H54187" i="16"/>
  <c r="H54188" i="16"/>
  <c r="H54189" i="16"/>
  <c r="H54190" i="16"/>
  <c r="H54191" i="16"/>
  <c r="H54192" i="16"/>
  <c r="H54193" i="16"/>
  <c r="H54194" i="16"/>
  <c r="H54195" i="16"/>
  <c r="H54196" i="16"/>
  <c r="H54197" i="16"/>
  <c r="H54198" i="16"/>
  <c r="H54199" i="16"/>
  <c r="H54200" i="16"/>
  <c r="H54201" i="16"/>
  <c r="H54202" i="16"/>
  <c r="H54203" i="16"/>
  <c r="H54204" i="16"/>
  <c r="H54205" i="16"/>
  <c r="H54206" i="16"/>
  <c r="H54207" i="16"/>
  <c r="H54208" i="16"/>
  <c r="H54209" i="16"/>
  <c r="H54210" i="16"/>
  <c r="H54211" i="16"/>
  <c r="H54212" i="16"/>
  <c r="H54213" i="16"/>
  <c r="H54214" i="16"/>
  <c r="H54215" i="16"/>
  <c r="H54216" i="16"/>
  <c r="H54217" i="16"/>
  <c r="H54218" i="16"/>
  <c r="H54219" i="16"/>
  <c r="H54220" i="16"/>
  <c r="H54221" i="16"/>
  <c r="H54222" i="16"/>
  <c r="H54223" i="16"/>
  <c r="H54224" i="16"/>
  <c r="H54225" i="16"/>
  <c r="H54226" i="16"/>
  <c r="H54227" i="16"/>
  <c r="H54228" i="16"/>
  <c r="H54229" i="16"/>
  <c r="H54230" i="16"/>
  <c r="H54231" i="16"/>
  <c r="H54232" i="16"/>
  <c r="H54233" i="16"/>
  <c r="H54234" i="16"/>
  <c r="H54235" i="16"/>
  <c r="H54236" i="16"/>
  <c r="H54237" i="16"/>
  <c r="H54238" i="16"/>
  <c r="H54239" i="16"/>
  <c r="H54240" i="16"/>
  <c r="H54241" i="16"/>
  <c r="H54242" i="16"/>
  <c r="H54243" i="16"/>
  <c r="H54244" i="16"/>
  <c r="H54245" i="16"/>
  <c r="H54246" i="16"/>
  <c r="H54247" i="16"/>
  <c r="H54248" i="16"/>
  <c r="H54249" i="16"/>
  <c r="H54250" i="16"/>
  <c r="H54251" i="16"/>
  <c r="H54252" i="16"/>
  <c r="H54253" i="16"/>
  <c r="H54254" i="16"/>
  <c r="H54255" i="16"/>
  <c r="H54256" i="16"/>
  <c r="H54257" i="16"/>
  <c r="H54258" i="16"/>
  <c r="H54259" i="16"/>
  <c r="H54260" i="16"/>
  <c r="H54261" i="16"/>
  <c r="H54262" i="16"/>
  <c r="H54263" i="16"/>
  <c r="H54264" i="16"/>
  <c r="H54265" i="16"/>
  <c r="H54266" i="16"/>
  <c r="H54267" i="16"/>
  <c r="H54268" i="16"/>
  <c r="H54269" i="16"/>
  <c r="H54270" i="16"/>
  <c r="H54271" i="16"/>
  <c r="H54272" i="16"/>
  <c r="H54273" i="16"/>
  <c r="H54274" i="16"/>
  <c r="H54275" i="16"/>
  <c r="H54276" i="16"/>
  <c r="H54277" i="16"/>
  <c r="H54278" i="16"/>
  <c r="H54279" i="16"/>
  <c r="H54280" i="16"/>
  <c r="H54281" i="16"/>
  <c r="H54282" i="16"/>
  <c r="H54283" i="16"/>
  <c r="H54284" i="16"/>
  <c r="H54285" i="16"/>
  <c r="H54286" i="16"/>
  <c r="H54287" i="16"/>
  <c r="H54288" i="16"/>
  <c r="H54289" i="16"/>
  <c r="H54290" i="16"/>
  <c r="H54291" i="16"/>
  <c r="H54292" i="16"/>
  <c r="H54293" i="16"/>
  <c r="H54294" i="16"/>
  <c r="H54295" i="16"/>
  <c r="H54296" i="16"/>
  <c r="H54297" i="16"/>
  <c r="H54298" i="16"/>
  <c r="H54299" i="16"/>
  <c r="H54300" i="16"/>
  <c r="H54301" i="16"/>
  <c r="H54302" i="16"/>
  <c r="H54303" i="16"/>
  <c r="H54304" i="16"/>
  <c r="H54305" i="16"/>
  <c r="H54306" i="16"/>
  <c r="H54307" i="16"/>
  <c r="H54308" i="16"/>
  <c r="H54309" i="16"/>
  <c r="H54310" i="16"/>
  <c r="H54311" i="16"/>
  <c r="H54312" i="16"/>
  <c r="H54313" i="16"/>
  <c r="H54314" i="16"/>
  <c r="H54315" i="16"/>
  <c r="H54316" i="16"/>
  <c r="H54317" i="16"/>
  <c r="H54318" i="16"/>
  <c r="H54319" i="16"/>
  <c r="H54320" i="16"/>
  <c r="H54321" i="16"/>
  <c r="H54322" i="16"/>
  <c r="H54323" i="16"/>
  <c r="H54324" i="16"/>
  <c r="H54325" i="16"/>
  <c r="H54326" i="16"/>
  <c r="H54327" i="16"/>
  <c r="H54328" i="16"/>
  <c r="H54329" i="16"/>
  <c r="H54330" i="16"/>
  <c r="H54331" i="16"/>
  <c r="H54332" i="16"/>
  <c r="H54333" i="16"/>
  <c r="H54334" i="16"/>
  <c r="H54335" i="16"/>
  <c r="H54336" i="16"/>
  <c r="H54337" i="16"/>
  <c r="H54338" i="16"/>
  <c r="H54339" i="16"/>
  <c r="H54340" i="16"/>
  <c r="H54341" i="16"/>
  <c r="H54342" i="16"/>
  <c r="H54343" i="16"/>
  <c r="H54344" i="16"/>
  <c r="H54345" i="16"/>
  <c r="H54346" i="16"/>
  <c r="H54347" i="16"/>
  <c r="H54348" i="16"/>
  <c r="H54349" i="16"/>
  <c r="H54350" i="16"/>
  <c r="H54351" i="16"/>
  <c r="H54352" i="16"/>
  <c r="H54353" i="16"/>
  <c r="H54354" i="16"/>
  <c r="H54355" i="16"/>
  <c r="H54356" i="16"/>
  <c r="H54357" i="16"/>
  <c r="H54358" i="16"/>
  <c r="H54359" i="16"/>
  <c r="H54360" i="16"/>
  <c r="H54361" i="16"/>
  <c r="H54362" i="16"/>
  <c r="H54363" i="16"/>
  <c r="H54364" i="16"/>
  <c r="H54365" i="16"/>
  <c r="H54366" i="16"/>
  <c r="H54367" i="16"/>
  <c r="H54368" i="16"/>
  <c r="H54369" i="16"/>
  <c r="H54370" i="16"/>
  <c r="H54371" i="16"/>
  <c r="H54372" i="16"/>
  <c r="H54373" i="16"/>
  <c r="H54374" i="16"/>
  <c r="H54375" i="16"/>
  <c r="H54376" i="16"/>
  <c r="H54377" i="16"/>
  <c r="H54378" i="16"/>
  <c r="H54379" i="16"/>
  <c r="H54380" i="16"/>
  <c r="H54381" i="16"/>
  <c r="H54382" i="16"/>
  <c r="H54383" i="16"/>
  <c r="H54384" i="16"/>
  <c r="H54385" i="16"/>
  <c r="H54386" i="16"/>
  <c r="H54387" i="16"/>
  <c r="H54388" i="16"/>
  <c r="H54389" i="16"/>
  <c r="H54390" i="16"/>
  <c r="H54391" i="16"/>
  <c r="H54392" i="16"/>
  <c r="H54393" i="16"/>
  <c r="H54394" i="16"/>
  <c r="H54395" i="16"/>
  <c r="H54396" i="16"/>
  <c r="H54397" i="16"/>
  <c r="H54398" i="16"/>
  <c r="H54399" i="16"/>
  <c r="H54400" i="16"/>
  <c r="H54401" i="16"/>
  <c r="H54402" i="16"/>
  <c r="H54403" i="16"/>
  <c r="H54404" i="16"/>
  <c r="H54405" i="16"/>
  <c r="H54406" i="16"/>
  <c r="H54407" i="16"/>
  <c r="H54408" i="16"/>
  <c r="H54409" i="16"/>
  <c r="H54410" i="16"/>
  <c r="H54411" i="16"/>
  <c r="H54412" i="16"/>
  <c r="H54413" i="16"/>
  <c r="H54414" i="16"/>
  <c r="H54415" i="16"/>
  <c r="H54416" i="16"/>
  <c r="H54417" i="16"/>
  <c r="H54418" i="16"/>
  <c r="H54419" i="16"/>
  <c r="H54420" i="16"/>
  <c r="H54421" i="16"/>
  <c r="H54422" i="16"/>
  <c r="H54423" i="16"/>
  <c r="H54424" i="16"/>
  <c r="H54425" i="16"/>
  <c r="H54426" i="16"/>
  <c r="H54427" i="16"/>
  <c r="H54428" i="16"/>
  <c r="H54429" i="16"/>
  <c r="H54430" i="16"/>
  <c r="H54431" i="16"/>
  <c r="H54432" i="16"/>
  <c r="H54433" i="16"/>
  <c r="H54434" i="16"/>
  <c r="H54435" i="16"/>
  <c r="H54436" i="16"/>
  <c r="H54437" i="16"/>
  <c r="H54438" i="16"/>
  <c r="H54439" i="16"/>
  <c r="H54440" i="16"/>
  <c r="H54441" i="16"/>
  <c r="H54442" i="16"/>
  <c r="H54443" i="16"/>
  <c r="H54444" i="16"/>
  <c r="H54445" i="16"/>
  <c r="H54446" i="16"/>
  <c r="H54447" i="16"/>
  <c r="H54448" i="16"/>
  <c r="H54449" i="16"/>
  <c r="H54450" i="16"/>
  <c r="H54451" i="16"/>
  <c r="H54452" i="16"/>
  <c r="H54453" i="16"/>
  <c r="H54454" i="16"/>
  <c r="H54455" i="16"/>
  <c r="H54456" i="16"/>
  <c r="H54457" i="16"/>
  <c r="H54458" i="16"/>
  <c r="H54459" i="16"/>
  <c r="H54460" i="16"/>
  <c r="H54461" i="16"/>
  <c r="H54462" i="16"/>
  <c r="H54463" i="16"/>
  <c r="H54464" i="16"/>
  <c r="H54465" i="16"/>
  <c r="H54466" i="16"/>
  <c r="H54467" i="16"/>
  <c r="H54468" i="16"/>
  <c r="H54469" i="16"/>
  <c r="H54470" i="16"/>
  <c r="H54471" i="16"/>
  <c r="H54472" i="16"/>
  <c r="H54473" i="16"/>
  <c r="H54474" i="16"/>
  <c r="H54475" i="16"/>
  <c r="H54476" i="16"/>
  <c r="H54477" i="16"/>
  <c r="H54478" i="16"/>
  <c r="H54479" i="16"/>
  <c r="H54480" i="16"/>
  <c r="H54481" i="16"/>
  <c r="H54482" i="16"/>
  <c r="H54483" i="16"/>
  <c r="H54484" i="16"/>
  <c r="H54485" i="16"/>
  <c r="H54486" i="16"/>
  <c r="H54487" i="16"/>
  <c r="H54488" i="16"/>
  <c r="H54489" i="16"/>
  <c r="H54490" i="16"/>
  <c r="H54491" i="16"/>
  <c r="H54492" i="16"/>
  <c r="H54493" i="16"/>
  <c r="H54494" i="16"/>
  <c r="H54495" i="16"/>
  <c r="H54496" i="16"/>
  <c r="H54497" i="16"/>
  <c r="H54498" i="16"/>
  <c r="H54499" i="16"/>
  <c r="H54500" i="16"/>
  <c r="H54501" i="16"/>
  <c r="H54502" i="16"/>
  <c r="H54503" i="16"/>
  <c r="H54504" i="16"/>
  <c r="H54505" i="16"/>
  <c r="H54506" i="16"/>
  <c r="H54507" i="16"/>
  <c r="H54508" i="16"/>
  <c r="H54509" i="16"/>
  <c r="H54510" i="16"/>
  <c r="H54511" i="16"/>
  <c r="H54512" i="16"/>
  <c r="H54513" i="16"/>
  <c r="H54514" i="16"/>
  <c r="H54515" i="16"/>
  <c r="H54516" i="16"/>
  <c r="H54517" i="16"/>
  <c r="H54518" i="16"/>
  <c r="H54519" i="16"/>
  <c r="H54520" i="16"/>
  <c r="H54521" i="16"/>
  <c r="H54522" i="16"/>
  <c r="H54523" i="16"/>
  <c r="H54524" i="16"/>
  <c r="H54525" i="16"/>
  <c r="H54526" i="16"/>
  <c r="H54527" i="16"/>
  <c r="H54528" i="16"/>
  <c r="H54529" i="16"/>
  <c r="H54530" i="16"/>
  <c r="H54531" i="16"/>
  <c r="H54532" i="16"/>
  <c r="H54533" i="16"/>
  <c r="H54534" i="16"/>
  <c r="H54535" i="16"/>
  <c r="H54536" i="16"/>
  <c r="H54537" i="16"/>
  <c r="H54538" i="16"/>
  <c r="H54539" i="16"/>
  <c r="H54540" i="16"/>
  <c r="H54541" i="16"/>
  <c r="H54542" i="16"/>
  <c r="H54543" i="16"/>
  <c r="H54544" i="16"/>
  <c r="H54545" i="16"/>
  <c r="H54546" i="16"/>
  <c r="H54547" i="16"/>
  <c r="H54548" i="16"/>
  <c r="H54549" i="16"/>
  <c r="H54550" i="16"/>
  <c r="H54551" i="16"/>
  <c r="H54552" i="16"/>
  <c r="H54553" i="16"/>
  <c r="H54554" i="16"/>
  <c r="H54555" i="16"/>
  <c r="H54556" i="16"/>
  <c r="H54557" i="16"/>
  <c r="H54558" i="16"/>
  <c r="H54559" i="16"/>
  <c r="H54560" i="16"/>
  <c r="H54561" i="16"/>
  <c r="H54562" i="16"/>
  <c r="H54563" i="16"/>
  <c r="H54564" i="16"/>
  <c r="H54565" i="16"/>
  <c r="H54566" i="16"/>
  <c r="H54567" i="16"/>
  <c r="H54568" i="16"/>
  <c r="H54569" i="16"/>
  <c r="H54570" i="16"/>
  <c r="H54571" i="16"/>
  <c r="H54572" i="16"/>
  <c r="H54573" i="16"/>
  <c r="H54574" i="16"/>
  <c r="H54575" i="16"/>
  <c r="H54576" i="16"/>
  <c r="H54577" i="16"/>
  <c r="H54578" i="16"/>
  <c r="H54579" i="16"/>
  <c r="H54580" i="16"/>
  <c r="H54581" i="16"/>
  <c r="H54582" i="16"/>
  <c r="H54583" i="16"/>
  <c r="H54584" i="16"/>
  <c r="H54585" i="16"/>
  <c r="H54586" i="16"/>
  <c r="H54587" i="16"/>
  <c r="H54588" i="16"/>
  <c r="H54589" i="16"/>
  <c r="H54590" i="16"/>
  <c r="H54591" i="16"/>
  <c r="H54592" i="16"/>
  <c r="H54593" i="16"/>
  <c r="H54594" i="16"/>
  <c r="H54595" i="16"/>
  <c r="H54596" i="16"/>
  <c r="H54597" i="16"/>
  <c r="H54598" i="16"/>
  <c r="H54599" i="16"/>
  <c r="H54600" i="16"/>
  <c r="H54601" i="16"/>
  <c r="H54602" i="16"/>
  <c r="H54603" i="16"/>
  <c r="H54604" i="16"/>
  <c r="H54605" i="16"/>
  <c r="H54606" i="16"/>
  <c r="H54607" i="16"/>
  <c r="H54608" i="16"/>
  <c r="H54609" i="16"/>
  <c r="H54610" i="16"/>
  <c r="H54611" i="16"/>
  <c r="H54612" i="16"/>
  <c r="H54613" i="16"/>
  <c r="H54614" i="16"/>
  <c r="H54615" i="16"/>
  <c r="H54616" i="16"/>
  <c r="H54617" i="16"/>
  <c r="H54618" i="16"/>
  <c r="H54619" i="16"/>
  <c r="H54620" i="16"/>
  <c r="H54621" i="16"/>
  <c r="H54622" i="16"/>
  <c r="H54623" i="16"/>
  <c r="H54624" i="16"/>
  <c r="H54625" i="16"/>
  <c r="H54626" i="16"/>
  <c r="H54627" i="16"/>
  <c r="H54628" i="16"/>
  <c r="H54629" i="16"/>
  <c r="H54630" i="16"/>
  <c r="H54631" i="16"/>
  <c r="H54632" i="16"/>
  <c r="H54633" i="16"/>
  <c r="H54634" i="16"/>
  <c r="H54635" i="16"/>
  <c r="H54636" i="16"/>
  <c r="H54637" i="16"/>
  <c r="H54638" i="16"/>
  <c r="H54639" i="16"/>
  <c r="H54640" i="16"/>
  <c r="H54641" i="16"/>
  <c r="H54642" i="16"/>
  <c r="H54643" i="16"/>
  <c r="H54644" i="16"/>
  <c r="H54645" i="16"/>
  <c r="H54646" i="16"/>
  <c r="H54647" i="16"/>
  <c r="H54648" i="16"/>
  <c r="H54649" i="16"/>
  <c r="H54650" i="16"/>
  <c r="H54651" i="16"/>
  <c r="H54652" i="16"/>
  <c r="H54653" i="16"/>
  <c r="H54654" i="16"/>
  <c r="H54655" i="16"/>
  <c r="H54656" i="16"/>
  <c r="H54657" i="16"/>
  <c r="H54658" i="16"/>
  <c r="H54659" i="16"/>
  <c r="H54660" i="16"/>
  <c r="H54661" i="16"/>
  <c r="H54662" i="16"/>
  <c r="H54663" i="16"/>
  <c r="H54664" i="16"/>
  <c r="H54665" i="16"/>
  <c r="H54666" i="16"/>
  <c r="H54667" i="16"/>
  <c r="H54668" i="16"/>
  <c r="H54669" i="16"/>
  <c r="H54670" i="16"/>
  <c r="H54671" i="16"/>
  <c r="H54672" i="16"/>
  <c r="H54673" i="16"/>
  <c r="H54674" i="16"/>
  <c r="H54675" i="16"/>
  <c r="H54676" i="16"/>
  <c r="H54677" i="16"/>
  <c r="H54678" i="16"/>
  <c r="H54679" i="16"/>
  <c r="H54680" i="16"/>
  <c r="H54681" i="16"/>
  <c r="H54682" i="16"/>
  <c r="H54683" i="16"/>
  <c r="H54684" i="16"/>
  <c r="H54685" i="16"/>
  <c r="H54686" i="16"/>
  <c r="H54687" i="16"/>
  <c r="H54688" i="16"/>
  <c r="H54689" i="16"/>
  <c r="H54690" i="16"/>
  <c r="H54691" i="16"/>
  <c r="H54692" i="16"/>
  <c r="H54693" i="16"/>
  <c r="H54694" i="16"/>
  <c r="H54695" i="16"/>
  <c r="H54696" i="16"/>
  <c r="H54697" i="16"/>
  <c r="H54698" i="16"/>
  <c r="H54699" i="16"/>
  <c r="H54700" i="16"/>
  <c r="H54701" i="16"/>
  <c r="H54702" i="16"/>
  <c r="H54703" i="16"/>
  <c r="H54704" i="16"/>
  <c r="H54705" i="16"/>
  <c r="H54706" i="16"/>
  <c r="H54707" i="16"/>
  <c r="H54708" i="16"/>
  <c r="H54709" i="16"/>
  <c r="H54710" i="16"/>
  <c r="H54711" i="16"/>
  <c r="H54712" i="16"/>
  <c r="H54713" i="16"/>
  <c r="H54714" i="16"/>
  <c r="H54715" i="16"/>
  <c r="H54716" i="16"/>
  <c r="H54717" i="16"/>
  <c r="H54718" i="16"/>
  <c r="H54719" i="16"/>
  <c r="H54720" i="16"/>
  <c r="H54721" i="16"/>
  <c r="H54722" i="16"/>
  <c r="H54723" i="16"/>
  <c r="H54724" i="16"/>
  <c r="H54725" i="16"/>
  <c r="H54726" i="16"/>
  <c r="H54727" i="16"/>
  <c r="H54728" i="16"/>
  <c r="H54729" i="16"/>
  <c r="H54730" i="16"/>
  <c r="H54731" i="16"/>
  <c r="H54732" i="16"/>
  <c r="H54733" i="16"/>
  <c r="H54734" i="16"/>
  <c r="H54735" i="16"/>
  <c r="H54736" i="16"/>
  <c r="H54737" i="16"/>
  <c r="H54738" i="16"/>
  <c r="H54739" i="16"/>
  <c r="H54740" i="16"/>
  <c r="H54741" i="16"/>
  <c r="H54742" i="16"/>
  <c r="H54743" i="16"/>
  <c r="H54744" i="16"/>
  <c r="H54745" i="16"/>
  <c r="H54746" i="16"/>
  <c r="H54747" i="16"/>
  <c r="H54748" i="16"/>
  <c r="H54749" i="16"/>
  <c r="H54750" i="16"/>
  <c r="H54751" i="16"/>
  <c r="H54752" i="16"/>
  <c r="H54753" i="16"/>
  <c r="H54754" i="16"/>
  <c r="H54755" i="16"/>
  <c r="H54756" i="16"/>
  <c r="H54757" i="16"/>
  <c r="H54758" i="16"/>
  <c r="H54759" i="16"/>
  <c r="H54760" i="16"/>
  <c r="H54761" i="16"/>
  <c r="H54762" i="16"/>
  <c r="H54763" i="16"/>
  <c r="H54764" i="16"/>
  <c r="H54765" i="16"/>
  <c r="H54766" i="16"/>
  <c r="H54767" i="16"/>
  <c r="H54768" i="16"/>
  <c r="H54769" i="16"/>
  <c r="H54770" i="16"/>
  <c r="H54771" i="16"/>
  <c r="H54772" i="16"/>
  <c r="H54773" i="16"/>
  <c r="H54774" i="16"/>
  <c r="H54775" i="16"/>
  <c r="H54776" i="16"/>
  <c r="H54777" i="16"/>
  <c r="H54778" i="16"/>
  <c r="H54779" i="16"/>
  <c r="H54780" i="16"/>
  <c r="H54781" i="16"/>
  <c r="H54782" i="16"/>
  <c r="H54783" i="16"/>
  <c r="H54784" i="16"/>
  <c r="H54785" i="16"/>
  <c r="H54786" i="16"/>
  <c r="H54787" i="16"/>
  <c r="H54788" i="16"/>
  <c r="H54789" i="16"/>
  <c r="H54790" i="16"/>
  <c r="H54791" i="16"/>
  <c r="H54792" i="16"/>
  <c r="H54793" i="16"/>
  <c r="H54794" i="16"/>
  <c r="H54795" i="16"/>
  <c r="H54796" i="16"/>
  <c r="H54797" i="16"/>
  <c r="H54798" i="16"/>
  <c r="H54799" i="16"/>
  <c r="H54800" i="16"/>
  <c r="H54801" i="16"/>
  <c r="H54802" i="16"/>
  <c r="H54803" i="16"/>
  <c r="H54804" i="16"/>
  <c r="H54805" i="16"/>
  <c r="H54806" i="16"/>
  <c r="H54807" i="16"/>
  <c r="H54808" i="16"/>
  <c r="H54809" i="16"/>
  <c r="H54810" i="16"/>
  <c r="H54811" i="16"/>
  <c r="H54812" i="16"/>
  <c r="H54813" i="16"/>
  <c r="H54814" i="16"/>
  <c r="H54815" i="16"/>
  <c r="H54816" i="16"/>
  <c r="H54817" i="16"/>
  <c r="H54818" i="16"/>
  <c r="H54819" i="16"/>
  <c r="H54820" i="16"/>
  <c r="H54821" i="16"/>
  <c r="H54822" i="16"/>
  <c r="H54823" i="16"/>
  <c r="H54824" i="16"/>
  <c r="H54825" i="16"/>
  <c r="H54826" i="16"/>
  <c r="H54827" i="16"/>
  <c r="H54828" i="16"/>
  <c r="H54829" i="16"/>
  <c r="H54830" i="16"/>
  <c r="H54831" i="16"/>
  <c r="H54832" i="16"/>
  <c r="H54833" i="16"/>
  <c r="H54834" i="16"/>
  <c r="H54835" i="16"/>
  <c r="H54836" i="16"/>
  <c r="H54837" i="16"/>
  <c r="H54838" i="16"/>
  <c r="H54839" i="16"/>
  <c r="H54840" i="16"/>
  <c r="H54841" i="16"/>
  <c r="H54842" i="16"/>
  <c r="H54843" i="16"/>
  <c r="H54844" i="16"/>
  <c r="H54845" i="16"/>
  <c r="H54846" i="16"/>
  <c r="H54847" i="16"/>
  <c r="H54848" i="16"/>
  <c r="H54849" i="16"/>
  <c r="H54850" i="16"/>
  <c r="H54851" i="16"/>
  <c r="H54852" i="16"/>
  <c r="H54853" i="16"/>
  <c r="H54854" i="16"/>
  <c r="H54855" i="16"/>
  <c r="H54856" i="16"/>
  <c r="H54857" i="16"/>
  <c r="H54858" i="16"/>
  <c r="H54859" i="16"/>
  <c r="H54860" i="16"/>
  <c r="H54861" i="16"/>
  <c r="H54862" i="16"/>
  <c r="H54863" i="16"/>
  <c r="H54864" i="16"/>
  <c r="H54865" i="16"/>
  <c r="H54866" i="16"/>
  <c r="H54867" i="16"/>
  <c r="H54868" i="16"/>
  <c r="H54869" i="16"/>
  <c r="H54870" i="16"/>
  <c r="H54871" i="16"/>
  <c r="H54872" i="16"/>
  <c r="H54873" i="16"/>
  <c r="H54874" i="16"/>
  <c r="H54875" i="16"/>
  <c r="H54876" i="16"/>
  <c r="H54877" i="16"/>
  <c r="H54878" i="16"/>
  <c r="H54879" i="16"/>
  <c r="H54880" i="16"/>
  <c r="H54881" i="16"/>
  <c r="H54882" i="16"/>
  <c r="H54883" i="16"/>
  <c r="H54884" i="16"/>
  <c r="H54885" i="16"/>
  <c r="H54886" i="16"/>
  <c r="H54887" i="16"/>
  <c r="H54888" i="16"/>
  <c r="H54889" i="16"/>
  <c r="H54890" i="16"/>
  <c r="H54891" i="16"/>
  <c r="H54892" i="16"/>
  <c r="H54893" i="16"/>
  <c r="H54894" i="16"/>
  <c r="H54895" i="16"/>
  <c r="H54896" i="16"/>
  <c r="H54897" i="16"/>
  <c r="H54898" i="16"/>
  <c r="H54899" i="16"/>
  <c r="H54900" i="16"/>
  <c r="H54901" i="16"/>
  <c r="H54902" i="16"/>
  <c r="H54903" i="16"/>
  <c r="H54904" i="16"/>
  <c r="H54905" i="16"/>
  <c r="H54906" i="16"/>
  <c r="H54907" i="16"/>
  <c r="H54908" i="16"/>
  <c r="H54909" i="16"/>
  <c r="H54910" i="16"/>
  <c r="H54911" i="16"/>
  <c r="H54912" i="16"/>
  <c r="H54913" i="16"/>
  <c r="H54914" i="16"/>
  <c r="H54915" i="16"/>
  <c r="H54916" i="16"/>
  <c r="H54917" i="16"/>
  <c r="H54918" i="16"/>
  <c r="H54919" i="16"/>
  <c r="H54920" i="16"/>
  <c r="H54921" i="16"/>
  <c r="H54922" i="16"/>
  <c r="H54923" i="16"/>
  <c r="H54924" i="16"/>
  <c r="H54925" i="16"/>
  <c r="H54926" i="16"/>
  <c r="H54927" i="16"/>
  <c r="H54928" i="16"/>
  <c r="H54929" i="16"/>
  <c r="H54930" i="16"/>
  <c r="H54931" i="16"/>
  <c r="H54932" i="16"/>
  <c r="H54933" i="16"/>
  <c r="H54934" i="16"/>
  <c r="H54935" i="16"/>
  <c r="H54936" i="16"/>
  <c r="H54937" i="16"/>
  <c r="H54938" i="16"/>
  <c r="H54939" i="16"/>
  <c r="H54940" i="16"/>
  <c r="H54941" i="16"/>
  <c r="H54942" i="16"/>
  <c r="H54943" i="16"/>
  <c r="H54944" i="16"/>
  <c r="H54945" i="16"/>
  <c r="H54946" i="16"/>
  <c r="H54947" i="16"/>
  <c r="H54948" i="16"/>
  <c r="H54949" i="16"/>
  <c r="H54950" i="16"/>
  <c r="H54951" i="16"/>
  <c r="H54952" i="16"/>
  <c r="H54953" i="16"/>
  <c r="H54954" i="16"/>
  <c r="H54955" i="16"/>
  <c r="H54956" i="16"/>
  <c r="H54957" i="16"/>
  <c r="H54958" i="16"/>
  <c r="H54959" i="16"/>
  <c r="H54960" i="16"/>
  <c r="H54961" i="16"/>
  <c r="H54962" i="16"/>
  <c r="H54963" i="16"/>
  <c r="H54964" i="16"/>
  <c r="H54965" i="16"/>
  <c r="H54966" i="16"/>
  <c r="H54967" i="16"/>
  <c r="H54968" i="16"/>
  <c r="H54969" i="16"/>
  <c r="H54970" i="16"/>
  <c r="H54971" i="16"/>
  <c r="H54972" i="16"/>
  <c r="H54973" i="16"/>
  <c r="H54974" i="16"/>
  <c r="H54975" i="16"/>
  <c r="H54976" i="16"/>
  <c r="H54977" i="16"/>
  <c r="H54978" i="16"/>
  <c r="H54979" i="16"/>
  <c r="H54980" i="16"/>
  <c r="H54981" i="16"/>
  <c r="H54982" i="16"/>
  <c r="H54983" i="16"/>
  <c r="H54984" i="16"/>
  <c r="H54985" i="16"/>
  <c r="H54986" i="16"/>
  <c r="H54987" i="16"/>
  <c r="H54988" i="16"/>
  <c r="H54989" i="16"/>
  <c r="H54990" i="16"/>
  <c r="H54991" i="16"/>
  <c r="H54992" i="16"/>
  <c r="H54993" i="16"/>
  <c r="H54994" i="16"/>
  <c r="H54995" i="16"/>
  <c r="H54996" i="16"/>
  <c r="H54997" i="16"/>
  <c r="H54998" i="16"/>
  <c r="H54999" i="16"/>
  <c r="H55000" i="16"/>
  <c r="H55001" i="16"/>
  <c r="H55002" i="16"/>
  <c r="H55003" i="16"/>
  <c r="H55004" i="16"/>
  <c r="H55005" i="16"/>
  <c r="H55006" i="16"/>
  <c r="H55007" i="16"/>
  <c r="H55008" i="16"/>
  <c r="H55009" i="16"/>
  <c r="H55010" i="16"/>
  <c r="H55011" i="16"/>
  <c r="H55012" i="16"/>
  <c r="H55013" i="16"/>
  <c r="H55014" i="16"/>
  <c r="H55015" i="16"/>
  <c r="H55016" i="16"/>
  <c r="H55017" i="16"/>
  <c r="H55018" i="16"/>
  <c r="H55019" i="16"/>
  <c r="H55020" i="16"/>
  <c r="H55021" i="16"/>
  <c r="H55022" i="16"/>
  <c r="H55023" i="16"/>
  <c r="H55024" i="16"/>
  <c r="H55025" i="16"/>
  <c r="H55026" i="16"/>
  <c r="H55027" i="16"/>
  <c r="H55028" i="16"/>
  <c r="H55029" i="16"/>
  <c r="H55030" i="16"/>
  <c r="H55031" i="16"/>
  <c r="H55032" i="16"/>
  <c r="H55033" i="16"/>
  <c r="H55034" i="16"/>
  <c r="H55035" i="16"/>
  <c r="H55036" i="16"/>
  <c r="H55037" i="16"/>
  <c r="H55038" i="16"/>
  <c r="H55039" i="16"/>
  <c r="H55040" i="16"/>
  <c r="H55041" i="16"/>
  <c r="H55042" i="16"/>
  <c r="H55043" i="16"/>
  <c r="H55044" i="16"/>
  <c r="H55045" i="16"/>
  <c r="H55046" i="16"/>
  <c r="H55047" i="16"/>
  <c r="H55048" i="16"/>
  <c r="H55049" i="16"/>
  <c r="H55050" i="16"/>
  <c r="H55051" i="16"/>
  <c r="H55052" i="16"/>
  <c r="H55053" i="16"/>
  <c r="H55054" i="16"/>
  <c r="H55055" i="16"/>
  <c r="H55056" i="16"/>
  <c r="H55057" i="16"/>
  <c r="H55058" i="16"/>
  <c r="H55059" i="16"/>
  <c r="H55060" i="16"/>
  <c r="H55061" i="16"/>
  <c r="H55062" i="16"/>
  <c r="H55063" i="16"/>
  <c r="H55064" i="16"/>
  <c r="H55065" i="16"/>
  <c r="H55066" i="16"/>
  <c r="H55067" i="16"/>
  <c r="H55068" i="16"/>
  <c r="H55069" i="16"/>
  <c r="H55070" i="16"/>
  <c r="H55071" i="16"/>
  <c r="H55072" i="16"/>
  <c r="H55073" i="16"/>
  <c r="H55074" i="16"/>
  <c r="H55075" i="16"/>
  <c r="H55076" i="16"/>
  <c r="H55077" i="16"/>
  <c r="H55078" i="16"/>
  <c r="H55079" i="16"/>
  <c r="H55080" i="16"/>
  <c r="H55081" i="16"/>
  <c r="H55082" i="16"/>
  <c r="H55083" i="16"/>
  <c r="H55084" i="16"/>
  <c r="H55085" i="16"/>
  <c r="H55086" i="16"/>
  <c r="H55087" i="16"/>
  <c r="H55088" i="16"/>
  <c r="H55089" i="16"/>
  <c r="H55090" i="16"/>
  <c r="H55091" i="16"/>
  <c r="H55092" i="16"/>
  <c r="H55093" i="16"/>
  <c r="H55094" i="16"/>
  <c r="H55095" i="16"/>
  <c r="H55096" i="16"/>
  <c r="H55097" i="16"/>
  <c r="H55098" i="16"/>
  <c r="H55099" i="16"/>
  <c r="H55100" i="16"/>
  <c r="H55101" i="16"/>
  <c r="H55102" i="16"/>
  <c r="H55103" i="16"/>
  <c r="H55104" i="16"/>
  <c r="H55105" i="16"/>
  <c r="H55106" i="16"/>
  <c r="H55107" i="16"/>
  <c r="H55108" i="16"/>
  <c r="H55109" i="16"/>
  <c r="H55110" i="16"/>
  <c r="H55111" i="16"/>
  <c r="H55112" i="16"/>
  <c r="H55113" i="16"/>
  <c r="H55114" i="16"/>
  <c r="H55115" i="16"/>
  <c r="H55116" i="16"/>
  <c r="H55117" i="16"/>
  <c r="H55118" i="16"/>
  <c r="H55119" i="16"/>
  <c r="H55120" i="16"/>
  <c r="H55121" i="16"/>
  <c r="H55122" i="16"/>
  <c r="H55123" i="16"/>
  <c r="H55124" i="16"/>
  <c r="H55125" i="16"/>
  <c r="H55126" i="16"/>
  <c r="H55127" i="16"/>
  <c r="H55128" i="16"/>
  <c r="H55129" i="16"/>
  <c r="H55130" i="16"/>
  <c r="H55131" i="16"/>
  <c r="H55132" i="16"/>
  <c r="H55133" i="16"/>
  <c r="H55134" i="16"/>
  <c r="H55135" i="16"/>
  <c r="H55136" i="16"/>
  <c r="H55137" i="16"/>
  <c r="H55138" i="16"/>
  <c r="H55139" i="16"/>
  <c r="H55140" i="16"/>
  <c r="H55141" i="16"/>
  <c r="H55142" i="16"/>
  <c r="H55143" i="16"/>
  <c r="H55144" i="16"/>
  <c r="H55145" i="16"/>
  <c r="H55146" i="16"/>
  <c r="H55147" i="16"/>
  <c r="H55148" i="16"/>
  <c r="H55149" i="16"/>
  <c r="H55150" i="16"/>
  <c r="H55151" i="16"/>
  <c r="H55152" i="16"/>
  <c r="H55153" i="16"/>
  <c r="H55154" i="16"/>
  <c r="H55155" i="16"/>
  <c r="H55156" i="16"/>
  <c r="H55157" i="16"/>
  <c r="H55158" i="16"/>
  <c r="H55159" i="16"/>
  <c r="H55160" i="16"/>
  <c r="H55161" i="16"/>
  <c r="H55162" i="16"/>
  <c r="H55163" i="16"/>
  <c r="H55164" i="16"/>
  <c r="H55165" i="16"/>
  <c r="H55166" i="16"/>
  <c r="H55167" i="16"/>
  <c r="H55168" i="16"/>
  <c r="H55169" i="16"/>
  <c r="H55170" i="16"/>
  <c r="H55171" i="16"/>
  <c r="H55172" i="16"/>
  <c r="H55173" i="16"/>
  <c r="H55174" i="16"/>
  <c r="H55175" i="16"/>
  <c r="H55176" i="16"/>
  <c r="H55177" i="16"/>
  <c r="H55178" i="16"/>
  <c r="H55179" i="16"/>
  <c r="H55180" i="16"/>
  <c r="H55181" i="16"/>
  <c r="H55182" i="16"/>
  <c r="H55183" i="16"/>
  <c r="H55184" i="16"/>
  <c r="H55185" i="16"/>
  <c r="H55186" i="16"/>
  <c r="H55187" i="16"/>
  <c r="H55188" i="16"/>
  <c r="H55189" i="16"/>
  <c r="H55190" i="16"/>
  <c r="H55191" i="16"/>
  <c r="H55192" i="16"/>
  <c r="H55193" i="16"/>
  <c r="H55194" i="16"/>
  <c r="H55195" i="16"/>
  <c r="H55196" i="16"/>
  <c r="H55197" i="16"/>
  <c r="H55198" i="16"/>
  <c r="H55199" i="16"/>
  <c r="H55200" i="16"/>
  <c r="H55201" i="16"/>
  <c r="H55202" i="16"/>
  <c r="H55203" i="16"/>
  <c r="H55204" i="16"/>
  <c r="H55205" i="16"/>
  <c r="H55206" i="16"/>
  <c r="H55207" i="16"/>
  <c r="H55208" i="16"/>
  <c r="H55209" i="16"/>
  <c r="H55210" i="16"/>
  <c r="H55211" i="16"/>
  <c r="H55212" i="16"/>
  <c r="H55213" i="16"/>
  <c r="H55214" i="16"/>
  <c r="H55215" i="16"/>
  <c r="H55216" i="16"/>
  <c r="H55217" i="16"/>
  <c r="H55218" i="16"/>
  <c r="H55219" i="16"/>
  <c r="H55220" i="16"/>
  <c r="H55221" i="16"/>
  <c r="H55222" i="16"/>
  <c r="H55223" i="16"/>
  <c r="H55224" i="16"/>
  <c r="H55225" i="16"/>
  <c r="H55226" i="16"/>
  <c r="H55227" i="16"/>
  <c r="H55228" i="16"/>
  <c r="H55229" i="16"/>
  <c r="H55230" i="16"/>
  <c r="H55231" i="16"/>
  <c r="H55232" i="16"/>
  <c r="H55233" i="16"/>
  <c r="H55234" i="16"/>
  <c r="H55235" i="16"/>
  <c r="H55236" i="16"/>
  <c r="H55237" i="16"/>
  <c r="H55238" i="16"/>
  <c r="H55239" i="16"/>
  <c r="H55240" i="16"/>
  <c r="H55241" i="16"/>
  <c r="H55242" i="16"/>
  <c r="H55243" i="16"/>
  <c r="H55244" i="16"/>
  <c r="H55245" i="16"/>
  <c r="H55246" i="16"/>
  <c r="H55247" i="16"/>
  <c r="H55248" i="16"/>
  <c r="H55249" i="16"/>
  <c r="H55250" i="16"/>
  <c r="H55251" i="16"/>
  <c r="H55252" i="16"/>
  <c r="H55253" i="16"/>
  <c r="H55254" i="16"/>
  <c r="H55255" i="16"/>
  <c r="H55256" i="16"/>
  <c r="H55257" i="16"/>
  <c r="H55258" i="16"/>
  <c r="H55259" i="16"/>
  <c r="H55260" i="16"/>
  <c r="H55261" i="16"/>
  <c r="H55262" i="16"/>
  <c r="H55263" i="16"/>
  <c r="H55264" i="16"/>
  <c r="H55265" i="16"/>
  <c r="H55266" i="16"/>
  <c r="H55267" i="16"/>
  <c r="H55268" i="16"/>
  <c r="H55269" i="16"/>
  <c r="H55270" i="16"/>
  <c r="H55271" i="16"/>
  <c r="H55272" i="16"/>
  <c r="H55273" i="16"/>
  <c r="H55274" i="16"/>
  <c r="H55275" i="16"/>
  <c r="H55276" i="16"/>
  <c r="H55277" i="16"/>
  <c r="H55278" i="16"/>
  <c r="H55279" i="16"/>
  <c r="H55280" i="16"/>
  <c r="H55281" i="16"/>
  <c r="H55282" i="16"/>
  <c r="H55283" i="16"/>
  <c r="H55284" i="16"/>
  <c r="H55285" i="16"/>
  <c r="H55286" i="16"/>
  <c r="H55287" i="16"/>
  <c r="H55288" i="16"/>
  <c r="H55289" i="16"/>
  <c r="H55290" i="16"/>
  <c r="H55291" i="16"/>
  <c r="H55292" i="16"/>
  <c r="H55293" i="16"/>
  <c r="H55294" i="16"/>
  <c r="H55295" i="16"/>
  <c r="H55296" i="16"/>
  <c r="H55297" i="16"/>
  <c r="H55298" i="16"/>
  <c r="H55299" i="16"/>
  <c r="H55300" i="16"/>
  <c r="H55301" i="16"/>
  <c r="H55302" i="16"/>
  <c r="H55303" i="16"/>
  <c r="H55304" i="16"/>
  <c r="H55305" i="16"/>
  <c r="H55306" i="16"/>
  <c r="H55307" i="16"/>
  <c r="H55308" i="16"/>
  <c r="H55309" i="16"/>
  <c r="H55310" i="16"/>
  <c r="H55311" i="16"/>
  <c r="H55312" i="16"/>
  <c r="H55313" i="16"/>
  <c r="H55314" i="16"/>
  <c r="H55315" i="16"/>
  <c r="H55316" i="16"/>
  <c r="H55317" i="16"/>
  <c r="H55318" i="16"/>
  <c r="H55319" i="16"/>
  <c r="H55320" i="16"/>
  <c r="H55321" i="16"/>
  <c r="H55322" i="16"/>
  <c r="H55323" i="16"/>
  <c r="H55324" i="16"/>
  <c r="H55325" i="16"/>
  <c r="H55326" i="16"/>
  <c r="H55327" i="16"/>
  <c r="H55328" i="16"/>
  <c r="H55329" i="16"/>
  <c r="H55330" i="16"/>
  <c r="H55331" i="16"/>
  <c r="H55332" i="16"/>
  <c r="H55333" i="16"/>
  <c r="H55334" i="16"/>
  <c r="H55335" i="16"/>
  <c r="H55336" i="16"/>
  <c r="H55337" i="16"/>
  <c r="H55338" i="16"/>
  <c r="H55339" i="16"/>
  <c r="H55340" i="16"/>
  <c r="H55341" i="16"/>
  <c r="H55342" i="16"/>
  <c r="H55343" i="16"/>
  <c r="H55344" i="16"/>
  <c r="H55345" i="16"/>
  <c r="H55346" i="16"/>
  <c r="H55347" i="16"/>
  <c r="H55348" i="16"/>
  <c r="H55349" i="16"/>
  <c r="H55350" i="16"/>
  <c r="H55351" i="16"/>
  <c r="H55352" i="16"/>
  <c r="H55353" i="16"/>
  <c r="H55354" i="16"/>
  <c r="H55355" i="16"/>
  <c r="H55356" i="16"/>
  <c r="H55357" i="16"/>
  <c r="H55358" i="16"/>
  <c r="H55359" i="16"/>
  <c r="H55360" i="16"/>
  <c r="H55361" i="16"/>
  <c r="H55362" i="16"/>
  <c r="H55363" i="16"/>
  <c r="H55364" i="16"/>
  <c r="H55365" i="16"/>
  <c r="H55366" i="16"/>
  <c r="H55367" i="16"/>
  <c r="H55368" i="16"/>
  <c r="H55369" i="16"/>
  <c r="H55370" i="16"/>
  <c r="H55371" i="16"/>
  <c r="H55372" i="16"/>
  <c r="H55373" i="16"/>
  <c r="H55374" i="16"/>
  <c r="H55375" i="16"/>
  <c r="H55376" i="16"/>
  <c r="H55377" i="16"/>
  <c r="H55378" i="16"/>
  <c r="H55379" i="16"/>
  <c r="H55380" i="16"/>
  <c r="H55381" i="16"/>
  <c r="H55382" i="16"/>
  <c r="H55383" i="16"/>
  <c r="H55384" i="16"/>
  <c r="H55385" i="16"/>
  <c r="H55386" i="16"/>
  <c r="H55387" i="16"/>
  <c r="H55388" i="16"/>
  <c r="H55389" i="16"/>
  <c r="H55390" i="16"/>
  <c r="H55391" i="16"/>
  <c r="H55392" i="16"/>
  <c r="H55393" i="16"/>
  <c r="H55394" i="16"/>
  <c r="H55395" i="16"/>
  <c r="H55396" i="16"/>
  <c r="H55397" i="16"/>
  <c r="H55398" i="16"/>
  <c r="H55399" i="16"/>
  <c r="H55400" i="16"/>
  <c r="H55401" i="16"/>
  <c r="H55402" i="16"/>
  <c r="H55403" i="16"/>
  <c r="H55404" i="16"/>
  <c r="H55405" i="16"/>
  <c r="H55406" i="16"/>
  <c r="H55407" i="16"/>
  <c r="H55408" i="16"/>
  <c r="H55409" i="16"/>
  <c r="H55410" i="16"/>
  <c r="H55411" i="16"/>
  <c r="H55412" i="16"/>
  <c r="H55413" i="16"/>
  <c r="H55414" i="16"/>
  <c r="H55415" i="16"/>
  <c r="H55416" i="16"/>
  <c r="H55417" i="16"/>
  <c r="H55418" i="16"/>
  <c r="H55419" i="16"/>
  <c r="H55420" i="16"/>
  <c r="H55421" i="16"/>
  <c r="H55422" i="16"/>
  <c r="H55423" i="16"/>
  <c r="H55424" i="16"/>
  <c r="H55425" i="16"/>
  <c r="H55426" i="16"/>
  <c r="H55427" i="16"/>
  <c r="H55428" i="16"/>
  <c r="H55429" i="16"/>
  <c r="H55430" i="16"/>
  <c r="H55431" i="16"/>
  <c r="H55432" i="16"/>
  <c r="H55433" i="16"/>
  <c r="H55434" i="16"/>
  <c r="H55435" i="16"/>
  <c r="H55436" i="16"/>
  <c r="H55437" i="16"/>
  <c r="H55438" i="16"/>
  <c r="H55439" i="16"/>
  <c r="H55440" i="16"/>
  <c r="H55441" i="16"/>
  <c r="H55442" i="16"/>
  <c r="H55443" i="16"/>
  <c r="H55444" i="16"/>
  <c r="H55445" i="16"/>
  <c r="H55446" i="16"/>
  <c r="H55447" i="16"/>
  <c r="H55448" i="16"/>
  <c r="H55449" i="16"/>
  <c r="H55450" i="16"/>
  <c r="H55451" i="16"/>
  <c r="H55452" i="16"/>
  <c r="H55453" i="16"/>
  <c r="H55454" i="16"/>
  <c r="H55455" i="16"/>
  <c r="H55456" i="16"/>
  <c r="H55457" i="16"/>
  <c r="H55458" i="16"/>
  <c r="H55459" i="16"/>
  <c r="H55460" i="16"/>
  <c r="H55461" i="16"/>
  <c r="H55462" i="16"/>
  <c r="H55463" i="16"/>
  <c r="H55464" i="16"/>
  <c r="H55465" i="16"/>
  <c r="H55466" i="16"/>
  <c r="H55467" i="16"/>
  <c r="H55468" i="16"/>
  <c r="H55469" i="16"/>
  <c r="H55470" i="16"/>
  <c r="H55471" i="16"/>
  <c r="H55472" i="16"/>
  <c r="H55473" i="16"/>
  <c r="H55474" i="16"/>
  <c r="H55475" i="16"/>
  <c r="H55476" i="16"/>
  <c r="H55477" i="16"/>
  <c r="H55478" i="16"/>
  <c r="H55479" i="16"/>
  <c r="H55480" i="16"/>
  <c r="H55481" i="16"/>
  <c r="H55482" i="16"/>
  <c r="H55483" i="16"/>
  <c r="H55484" i="16"/>
  <c r="H55485" i="16"/>
  <c r="H55486" i="16"/>
  <c r="H55487" i="16"/>
  <c r="H55488" i="16"/>
  <c r="H55489" i="16"/>
  <c r="H55490" i="16"/>
  <c r="H55491" i="16"/>
  <c r="H55492" i="16"/>
  <c r="H55493" i="16"/>
  <c r="H55494" i="16"/>
  <c r="H55495" i="16"/>
  <c r="H55496" i="16"/>
  <c r="H55497" i="16"/>
  <c r="H55498" i="16"/>
  <c r="H55499" i="16"/>
  <c r="H55500" i="16"/>
  <c r="H55501" i="16"/>
  <c r="H55502" i="16"/>
  <c r="H55503" i="16"/>
  <c r="H55504" i="16"/>
  <c r="H55505" i="16"/>
  <c r="H55506" i="16"/>
  <c r="H55507" i="16"/>
  <c r="H55508" i="16"/>
  <c r="H55509" i="16"/>
  <c r="H55510" i="16"/>
  <c r="H55511" i="16"/>
  <c r="H55512" i="16"/>
  <c r="H55513" i="16"/>
  <c r="H55514" i="16"/>
  <c r="H55515" i="16"/>
  <c r="H55516" i="16"/>
  <c r="H55517" i="16"/>
  <c r="H55518" i="16"/>
  <c r="H55519" i="16"/>
  <c r="H55520" i="16"/>
  <c r="H55521" i="16"/>
  <c r="H55522" i="16"/>
  <c r="H55523" i="16"/>
  <c r="H55524" i="16"/>
  <c r="H55525" i="16"/>
  <c r="H55526" i="16"/>
  <c r="H55527" i="16"/>
  <c r="H55528" i="16"/>
  <c r="H55529" i="16"/>
  <c r="H55530" i="16"/>
  <c r="H55531" i="16"/>
  <c r="H55532" i="16"/>
  <c r="H55533" i="16"/>
  <c r="H55534" i="16"/>
  <c r="H55535" i="16"/>
  <c r="H55536" i="16"/>
  <c r="H55537" i="16"/>
  <c r="H55538" i="16"/>
  <c r="H55539" i="16"/>
  <c r="H55540" i="16"/>
  <c r="H55541" i="16"/>
  <c r="H55542" i="16"/>
  <c r="H55543" i="16"/>
  <c r="H55544" i="16"/>
  <c r="H55545" i="16"/>
  <c r="H55546" i="16"/>
  <c r="H55547" i="16"/>
  <c r="H55548" i="16"/>
  <c r="H55549" i="16"/>
  <c r="H55550" i="16"/>
  <c r="H55551" i="16"/>
  <c r="H55552" i="16"/>
  <c r="H55553" i="16"/>
  <c r="H55554" i="16"/>
  <c r="H55555" i="16"/>
  <c r="H55556" i="16"/>
  <c r="H55557" i="16"/>
  <c r="H55558" i="16"/>
  <c r="H55559" i="16"/>
  <c r="H55560" i="16"/>
  <c r="H55561" i="16"/>
  <c r="H55562" i="16"/>
  <c r="H55563" i="16"/>
  <c r="H55564" i="16"/>
  <c r="H55565" i="16"/>
  <c r="H55566" i="16"/>
  <c r="H55567" i="16"/>
  <c r="H55568" i="16"/>
  <c r="H55569" i="16"/>
  <c r="H55570" i="16"/>
  <c r="H55571" i="16"/>
  <c r="H55572" i="16"/>
  <c r="H55573" i="16"/>
  <c r="H55574" i="16"/>
  <c r="H55575" i="16"/>
  <c r="H55576" i="16"/>
  <c r="H55577" i="16"/>
  <c r="H55578" i="16"/>
  <c r="H55579" i="16"/>
  <c r="H55580" i="16"/>
  <c r="H55581" i="16"/>
  <c r="H55582" i="16"/>
  <c r="H55583" i="16"/>
  <c r="H55584" i="16"/>
  <c r="H55585" i="16"/>
  <c r="H55586" i="16"/>
  <c r="H55587" i="16"/>
  <c r="H55588" i="16"/>
  <c r="H55589" i="16"/>
  <c r="H55590" i="16"/>
  <c r="H55591" i="16"/>
  <c r="H55592" i="16"/>
  <c r="H55593" i="16"/>
  <c r="H55594" i="16"/>
  <c r="H55595" i="16"/>
  <c r="H55596" i="16"/>
  <c r="H55597" i="16"/>
  <c r="H55598" i="16"/>
  <c r="H55599" i="16"/>
  <c r="H55600" i="16"/>
  <c r="H55601" i="16"/>
  <c r="H55602" i="16"/>
  <c r="H55603" i="16"/>
  <c r="H55604" i="16"/>
  <c r="H55605" i="16"/>
  <c r="H55606" i="16"/>
  <c r="H55607" i="16"/>
  <c r="H55608" i="16"/>
  <c r="H55609" i="16"/>
  <c r="H55610" i="16"/>
  <c r="H55611" i="16"/>
  <c r="H55612" i="16"/>
  <c r="H55613" i="16"/>
  <c r="H55614" i="16"/>
  <c r="H55615" i="16"/>
  <c r="H55616" i="16"/>
  <c r="H55617" i="16"/>
  <c r="H55618" i="16"/>
  <c r="H55619" i="16"/>
  <c r="H55620" i="16"/>
  <c r="H55621" i="16"/>
  <c r="H55622" i="16"/>
  <c r="H55623" i="16"/>
  <c r="H55624" i="16"/>
  <c r="H55625" i="16"/>
  <c r="H55626" i="16"/>
  <c r="H55627" i="16"/>
  <c r="H55628" i="16"/>
  <c r="H55629" i="16"/>
  <c r="H55630" i="16"/>
  <c r="H55631" i="16"/>
  <c r="H55632" i="16"/>
  <c r="H55633" i="16"/>
  <c r="H55634" i="16"/>
  <c r="H55635" i="16"/>
  <c r="H55636" i="16"/>
  <c r="H55637" i="16"/>
  <c r="H55638" i="16"/>
  <c r="H55639" i="16"/>
  <c r="H55640" i="16"/>
  <c r="H55641" i="16"/>
  <c r="H55642" i="16"/>
  <c r="H55643" i="16"/>
  <c r="H55644" i="16"/>
  <c r="H55645" i="16"/>
  <c r="H55646" i="16"/>
  <c r="H55647" i="16"/>
  <c r="H55648" i="16"/>
  <c r="H55649" i="16"/>
  <c r="H55650" i="16"/>
  <c r="H55651" i="16"/>
  <c r="H55652" i="16"/>
  <c r="H55653" i="16"/>
  <c r="H55654" i="16"/>
  <c r="H55655" i="16"/>
  <c r="H55656" i="16"/>
  <c r="H55657" i="16"/>
  <c r="H55658" i="16"/>
  <c r="H55659" i="16"/>
  <c r="H55660" i="16"/>
  <c r="H55661" i="16"/>
  <c r="H55662" i="16"/>
  <c r="H55663" i="16"/>
  <c r="H55664" i="16"/>
  <c r="H55665" i="16"/>
  <c r="H55666" i="16"/>
  <c r="H55667" i="16"/>
  <c r="H55668" i="16"/>
  <c r="H55669" i="16"/>
  <c r="H55670" i="16"/>
  <c r="H55671" i="16"/>
  <c r="H55672" i="16"/>
  <c r="H55673" i="16"/>
  <c r="H55674" i="16"/>
  <c r="H55675" i="16"/>
  <c r="H55676" i="16"/>
  <c r="H55677" i="16"/>
  <c r="H55678" i="16"/>
  <c r="H55679" i="16"/>
  <c r="H55680" i="16"/>
  <c r="H55681" i="16"/>
  <c r="H55682" i="16"/>
  <c r="H55683" i="16"/>
  <c r="H55684" i="16"/>
  <c r="H55685" i="16"/>
  <c r="H55686" i="16"/>
  <c r="H55687" i="16"/>
  <c r="H55688" i="16"/>
  <c r="H55689" i="16"/>
  <c r="H55690" i="16"/>
  <c r="H55691" i="16"/>
  <c r="H55692" i="16"/>
  <c r="H55693" i="16"/>
  <c r="H55694" i="16"/>
  <c r="H55695" i="16"/>
  <c r="H55696" i="16"/>
  <c r="H55697" i="16"/>
  <c r="H55698" i="16"/>
  <c r="H55699" i="16"/>
  <c r="H55700" i="16"/>
  <c r="H55701" i="16"/>
  <c r="H55702" i="16"/>
  <c r="H55703" i="16"/>
  <c r="H55704" i="16"/>
  <c r="H55705" i="16"/>
  <c r="H55706" i="16"/>
  <c r="H55707" i="16"/>
  <c r="H55708" i="16"/>
  <c r="H55709" i="16"/>
  <c r="H55710" i="16"/>
  <c r="H55711" i="16"/>
  <c r="H55712" i="16"/>
  <c r="H55713" i="16"/>
  <c r="H55714" i="16"/>
  <c r="H55715" i="16"/>
  <c r="H55716" i="16"/>
  <c r="H55717" i="16"/>
  <c r="H55718" i="16"/>
  <c r="H55719" i="16"/>
  <c r="H55720" i="16"/>
  <c r="H55721" i="16"/>
  <c r="H55722" i="16"/>
  <c r="H55723" i="16"/>
  <c r="H55724" i="16"/>
  <c r="H55725" i="16"/>
  <c r="H55726" i="16"/>
  <c r="H55727" i="16"/>
  <c r="H55728" i="16"/>
  <c r="H55729" i="16"/>
  <c r="H55730" i="16"/>
  <c r="H55731" i="16"/>
  <c r="H55732" i="16"/>
  <c r="H55733" i="16"/>
  <c r="H55734" i="16"/>
  <c r="H55735" i="16"/>
  <c r="H55736" i="16"/>
  <c r="H55737" i="16"/>
  <c r="H55738" i="16"/>
  <c r="H55739" i="16"/>
  <c r="H55740" i="16"/>
  <c r="H55741" i="16"/>
  <c r="H55742" i="16"/>
  <c r="H55743" i="16"/>
  <c r="H55744" i="16"/>
  <c r="H55745" i="16"/>
  <c r="H55746" i="16"/>
  <c r="H55747" i="16"/>
  <c r="H55748" i="16"/>
  <c r="H55749" i="16"/>
  <c r="H55750" i="16"/>
  <c r="H55751" i="16"/>
  <c r="H55752" i="16"/>
  <c r="H55753" i="16"/>
  <c r="H55754" i="16"/>
  <c r="H55755" i="16"/>
  <c r="H55756" i="16"/>
  <c r="H55757" i="16"/>
  <c r="H55758" i="16"/>
  <c r="H55759" i="16"/>
  <c r="H55760" i="16"/>
  <c r="H55761" i="16"/>
  <c r="H55762" i="16"/>
  <c r="H55763" i="16"/>
  <c r="H55764" i="16"/>
  <c r="H55765" i="16"/>
  <c r="H55766" i="16"/>
  <c r="H55767" i="16"/>
  <c r="H55768" i="16"/>
  <c r="H55769" i="16"/>
  <c r="H55770" i="16"/>
  <c r="H55771" i="16"/>
  <c r="H55772" i="16"/>
  <c r="H55773" i="16"/>
  <c r="H55774" i="16"/>
  <c r="H55775" i="16"/>
  <c r="H55776" i="16"/>
  <c r="H55777" i="16"/>
  <c r="H55778" i="16"/>
  <c r="H55779" i="16"/>
  <c r="H55780" i="16"/>
  <c r="H55781" i="16"/>
  <c r="H55782" i="16"/>
  <c r="H55783" i="16"/>
  <c r="H55784" i="16"/>
  <c r="H55785" i="16"/>
  <c r="H55786" i="16"/>
  <c r="H55787" i="16"/>
  <c r="H55788" i="16"/>
  <c r="H55789" i="16"/>
  <c r="H55790" i="16"/>
  <c r="H55791" i="16"/>
  <c r="H55792" i="16"/>
  <c r="H55793" i="16"/>
  <c r="H55794" i="16"/>
  <c r="H55795" i="16"/>
  <c r="H55796" i="16"/>
  <c r="H55797" i="16"/>
  <c r="H55798" i="16"/>
  <c r="H55799" i="16"/>
  <c r="H55800" i="16"/>
  <c r="H55801" i="16"/>
  <c r="H55802" i="16"/>
  <c r="H55803" i="16"/>
  <c r="H55804" i="16"/>
  <c r="H55805" i="16"/>
  <c r="H55806" i="16"/>
  <c r="H55807" i="16"/>
  <c r="H55808" i="16"/>
  <c r="H55809" i="16"/>
  <c r="H55810" i="16"/>
  <c r="H55811" i="16"/>
  <c r="H55812" i="16"/>
  <c r="H55813" i="16"/>
  <c r="H55814" i="16"/>
  <c r="H55815" i="16"/>
  <c r="H55816" i="16"/>
  <c r="H55817" i="16"/>
  <c r="H55818" i="16"/>
  <c r="H55819" i="16"/>
  <c r="H55820" i="16"/>
  <c r="H55821" i="16"/>
  <c r="H55822" i="16"/>
  <c r="H55823" i="16"/>
  <c r="H55824" i="16"/>
  <c r="H55825" i="16"/>
  <c r="H55826" i="16"/>
  <c r="H55827" i="16"/>
  <c r="H55828" i="16"/>
  <c r="H55829" i="16"/>
  <c r="H55830" i="16"/>
  <c r="H55831" i="16"/>
  <c r="H55832" i="16"/>
  <c r="H55833" i="16"/>
  <c r="H55834" i="16"/>
  <c r="H55835" i="16"/>
  <c r="H55836" i="16"/>
  <c r="H55837" i="16"/>
  <c r="H55838" i="16"/>
  <c r="H55839" i="16"/>
  <c r="H55840" i="16"/>
  <c r="H55841" i="16"/>
  <c r="H55842" i="16"/>
  <c r="H55843" i="16"/>
  <c r="H55844" i="16"/>
  <c r="H55845" i="16"/>
  <c r="H55846" i="16"/>
  <c r="H55847" i="16"/>
  <c r="H55848" i="16"/>
  <c r="H55849" i="16"/>
  <c r="H55850" i="16"/>
  <c r="H55851" i="16"/>
  <c r="H55852" i="16"/>
  <c r="H55853" i="16"/>
  <c r="H55854" i="16"/>
  <c r="H55855" i="16"/>
  <c r="H55856" i="16"/>
  <c r="H55857" i="16"/>
  <c r="H55858" i="16"/>
  <c r="H55859" i="16"/>
  <c r="H55860" i="16"/>
  <c r="H55861" i="16"/>
  <c r="H55862" i="16"/>
  <c r="H55863" i="16"/>
  <c r="H55864" i="16"/>
  <c r="H55865" i="16"/>
  <c r="H55866" i="16"/>
  <c r="H55867" i="16"/>
  <c r="H55868" i="16"/>
  <c r="H55869" i="16"/>
  <c r="H55870" i="16"/>
  <c r="H55871" i="16"/>
  <c r="H55872" i="16"/>
  <c r="H55873" i="16"/>
  <c r="H55874" i="16"/>
  <c r="H55875" i="16"/>
  <c r="H55876" i="16"/>
  <c r="H55877" i="16"/>
  <c r="H55878" i="16"/>
  <c r="H55879" i="16"/>
  <c r="H55880" i="16"/>
  <c r="H55881" i="16"/>
  <c r="H55882" i="16"/>
  <c r="H55883" i="16"/>
  <c r="H55884" i="16"/>
  <c r="H55885" i="16"/>
  <c r="H55886" i="16"/>
  <c r="H55887" i="16"/>
  <c r="H55888" i="16"/>
  <c r="H55889" i="16"/>
  <c r="H55890" i="16"/>
  <c r="H55891" i="16"/>
  <c r="H55892" i="16"/>
  <c r="H55893" i="16"/>
  <c r="H55894" i="16"/>
  <c r="H55895" i="16"/>
  <c r="H55896" i="16"/>
  <c r="H55897" i="16"/>
  <c r="H55898" i="16"/>
  <c r="H55899" i="16"/>
  <c r="H55900" i="16"/>
  <c r="H55901" i="16"/>
  <c r="H55902" i="16"/>
  <c r="H55903" i="16"/>
  <c r="H55904" i="16"/>
  <c r="H55905" i="16"/>
  <c r="H55906" i="16"/>
  <c r="H55907" i="16"/>
  <c r="H55908" i="16"/>
  <c r="H55909" i="16"/>
  <c r="H55910" i="16"/>
  <c r="H55911" i="16"/>
  <c r="H55912" i="16"/>
  <c r="H55913" i="16"/>
  <c r="H55914" i="16"/>
  <c r="H55915" i="16"/>
  <c r="H55916" i="16"/>
  <c r="H55917" i="16"/>
  <c r="H55918" i="16"/>
  <c r="H55919" i="16"/>
  <c r="H55920" i="16"/>
  <c r="H55921" i="16"/>
  <c r="H55922" i="16"/>
  <c r="H55923" i="16"/>
  <c r="H55924" i="16"/>
  <c r="H55925" i="16"/>
  <c r="H55926" i="16"/>
  <c r="H55927" i="16"/>
  <c r="H55928" i="16"/>
  <c r="H55929" i="16"/>
  <c r="H55930" i="16"/>
  <c r="H55931" i="16"/>
  <c r="H55932" i="16"/>
  <c r="H55933" i="16"/>
  <c r="H55934" i="16"/>
  <c r="H55935" i="16"/>
  <c r="H55936" i="16"/>
  <c r="H55937" i="16"/>
  <c r="H55938" i="16"/>
  <c r="H55939" i="16"/>
  <c r="H55940" i="16"/>
  <c r="H55941" i="16"/>
  <c r="H55942" i="16"/>
  <c r="H55943" i="16"/>
  <c r="H55944" i="16"/>
  <c r="H55945" i="16"/>
  <c r="H55946" i="16"/>
  <c r="H55947" i="16"/>
  <c r="H55948" i="16"/>
  <c r="H55949" i="16"/>
  <c r="H55950" i="16"/>
  <c r="H55951" i="16"/>
  <c r="H55952" i="16"/>
  <c r="H55953" i="16"/>
  <c r="H55954" i="16"/>
  <c r="H55955" i="16"/>
  <c r="H55956" i="16"/>
  <c r="H55957" i="16"/>
  <c r="H55958" i="16"/>
  <c r="H55959" i="16"/>
  <c r="H55960" i="16"/>
  <c r="H55961" i="16"/>
  <c r="H55962" i="16"/>
  <c r="H55963" i="16"/>
  <c r="H55964" i="16"/>
  <c r="H55965" i="16"/>
  <c r="H55966" i="16"/>
  <c r="H55967" i="16"/>
  <c r="H55968" i="16"/>
  <c r="H55969" i="16"/>
  <c r="H55970" i="16"/>
  <c r="H55971" i="16"/>
  <c r="H55972" i="16"/>
  <c r="H55973" i="16"/>
  <c r="H55974" i="16"/>
  <c r="H55975" i="16"/>
  <c r="H55976" i="16"/>
  <c r="H55977" i="16"/>
  <c r="H55978" i="16"/>
  <c r="H55979" i="16"/>
  <c r="H55980" i="16"/>
  <c r="H55981" i="16"/>
  <c r="H55982" i="16"/>
  <c r="H55983" i="16"/>
  <c r="H55984" i="16"/>
  <c r="H55985" i="16"/>
  <c r="H55986" i="16"/>
  <c r="H55987" i="16"/>
  <c r="H55988" i="16"/>
  <c r="H55989" i="16"/>
  <c r="H55990" i="16"/>
  <c r="H55991" i="16"/>
  <c r="H55992" i="16"/>
  <c r="H55993" i="16"/>
  <c r="H55994" i="16"/>
  <c r="H55995" i="16"/>
  <c r="H55996" i="16"/>
  <c r="H55997" i="16"/>
  <c r="H55998" i="16"/>
  <c r="H55999" i="16"/>
  <c r="H56000" i="16"/>
  <c r="H56001" i="16"/>
  <c r="H56002" i="16"/>
  <c r="H56003" i="16"/>
  <c r="H56004" i="16"/>
  <c r="H56005" i="16"/>
  <c r="H56006" i="16"/>
  <c r="H56007" i="16"/>
  <c r="H56008" i="16"/>
  <c r="H56009" i="16"/>
  <c r="H56010" i="16"/>
  <c r="H56011" i="16"/>
  <c r="H56012" i="16"/>
  <c r="H56013" i="16"/>
  <c r="H56014" i="16"/>
  <c r="H56015" i="16"/>
  <c r="H56016" i="16"/>
  <c r="H56017" i="16"/>
  <c r="H56018" i="16"/>
  <c r="H56019" i="16"/>
  <c r="H56020" i="16"/>
  <c r="H56021" i="16"/>
  <c r="H56022" i="16"/>
  <c r="H56023" i="16"/>
  <c r="H56024" i="16"/>
  <c r="H56025" i="16"/>
  <c r="H56026" i="16"/>
  <c r="H56027" i="16"/>
  <c r="H56028" i="16"/>
  <c r="H56029" i="16"/>
  <c r="H56030" i="16"/>
  <c r="H56031" i="16"/>
  <c r="H56032" i="16"/>
  <c r="H56033" i="16"/>
  <c r="H56034" i="16"/>
  <c r="H56035" i="16"/>
  <c r="H56036" i="16"/>
  <c r="H56037" i="16"/>
  <c r="H56038" i="16"/>
  <c r="H56039" i="16"/>
  <c r="H56040" i="16"/>
  <c r="H56041" i="16"/>
  <c r="H56042" i="16"/>
  <c r="H56043" i="16"/>
  <c r="H56044" i="16"/>
  <c r="H56045" i="16"/>
  <c r="H56046" i="16"/>
  <c r="H56047" i="16"/>
  <c r="H56048" i="16"/>
  <c r="H56049" i="16"/>
  <c r="H56050" i="16"/>
  <c r="H56051" i="16"/>
  <c r="H56052" i="16"/>
  <c r="H56053" i="16"/>
  <c r="H56054" i="16"/>
  <c r="H56055" i="16"/>
  <c r="H56056" i="16"/>
  <c r="H56057" i="16"/>
  <c r="H56058" i="16"/>
  <c r="H56059" i="16"/>
  <c r="H56060" i="16"/>
  <c r="H56061" i="16"/>
  <c r="H56062" i="16"/>
  <c r="H56063" i="16"/>
  <c r="H56064" i="16"/>
  <c r="H56065" i="16"/>
  <c r="H56066" i="16"/>
  <c r="H56067" i="16"/>
  <c r="H56068" i="16"/>
  <c r="H56069" i="16"/>
  <c r="H56070" i="16"/>
  <c r="H56071" i="16"/>
  <c r="H56072" i="16"/>
  <c r="H56073" i="16"/>
  <c r="H56074" i="16"/>
  <c r="H56075" i="16"/>
  <c r="H56076" i="16"/>
  <c r="H56077" i="16"/>
  <c r="H56078" i="16"/>
  <c r="H56079" i="16"/>
  <c r="H56080" i="16"/>
  <c r="H56081" i="16"/>
  <c r="H56082" i="16"/>
  <c r="H56083" i="16"/>
  <c r="H56084" i="16"/>
  <c r="H56085" i="16"/>
  <c r="H56086" i="16"/>
  <c r="H56087" i="16"/>
  <c r="H56088" i="16"/>
  <c r="H56089" i="16"/>
  <c r="H56090" i="16"/>
  <c r="H56091" i="16"/>
  <c r="H56092" i="16"/>
  <c r="H56093" i="16"/>
  <c r="H56094" i="16"/>
  <c r="H56095" i="16"/>
  <c r="H56096" i="16"/>
  <c r="H56097" i="16"/>
  <c r="H56098" i="16"/>
  <c r="H56099" i="16"/>
  <c r="H56100" i="16"/>
  <c r="H56101" i="16"/>
  <c r="H56102" i="16"/>
  <c r="H56103" i="16"/>
  <c r="H56104" i="16"/>
  <c r="H56105" i="16"/>
  <c r="H56106" i="16"/>
  <c r="H56107" i="16"/>
  <c r="H56108" i="16"/>
  <c r="H56109" i="16"/>
  <c r="H56110" i="16"/>
  <c r="H56111" i="16"/>
  <c r="H56112" i="16"/>
  <c r="H56113" i="16"/>
  <c r="H56114" i="16"/>
  <c r="H56115" i="16"/>
  <c r="H56116" i="16"/>
  <c r="H56117" i="16"/>
  <c r="H56118" i="16"/>
  <c r="H56119" i="16"/>
  <c r="H56120" i="16"/>
  <c r="H56121" i="16"/>
  <c r="H56122" i="16"/>
  <c r="H56123" i="16"/>
  <c r="H56124" i="16"/>
  <c r="H56125" i="16"/>
  <c r="H56126" i="16"/>
  <c r="H56127" i="16"/>
  <c r="H56128" i="16"/>
  <c r="H56129" i="16"/>
  <c r="H56130" i="16"/>
  <c r="H56131" i="16"/>
  <c r="H56132" i="16"/>
  <c r="H56133" i="16"/>
  <c r="H56134" i="16"/>
  <c r="H56135" i="16"/>
  <c r="H56136" i="16"/>
  <c r="H56137" i="16"/>
  <c r="H56138" i="16"/>
  <c r="H56139" i="16"/>
  <c r="H56140" i="16"/>
  <c r="H56141" i="16"/>
  <c r="H56142" i="16"/>
  <c r="H56143" i="16"/>
  <c r="H56144" i="16"/>
  <c r="H56145" i="16"/>
  <c r="H56146" i="16"/>
  <c r="H56147" i="16"/>
  <c r="H56148" i="16"/>
  <c r="H56149" i="16"/>
  <c r="H56150" i="16"/>
  <c r="H56151" i="16"/>
  <c r="H56152" i="16"/>
  <c r="H56153" i="16"/>
  <c r="H56154" i="16"/>
  <c r="H56155" i="16"/>
  <c r="H56156" i="16"/>
  <c r="H56157" i="16"/>
  <c r="H56158" i="16"/>
  <c r="H56159" i="16"/>
  <c r="H56160" i="16"/>
  <c r="H56161" i="16"/>
  <c r="H56162" i="16"/>
  <c r="H56163" i="16"/>
  <c r="H56164" i="16"/>
  <c r="H56165" i="16"/>
  <c r="H56166" i="16"/>
  <c r="H56167" i="16"/>
  <c r="H56168" i="16"/>
  <c r="H56169" i="16"/>
  <c r="H56170" i="16"/>
  <c r="H56171" i="16"/>
  <c r="H56172" i="16"/>
  <c r="H56173" i="16"/>
  <c r="H56174" i="16"/>
  <c r="H56175" i="16"/>
  <c r="H56176" i="16"/>
  <c r="H56177" i="16"/>
  <c r="H56178" i="16"/>
  <c r="H56179" i="16"/>
  <c r="H56180" i="16"/>
  <c r="H56181" i="16"/>
  <c r="H56182" i="16"/>
  <c r="H56183" i="16"/>
  <c r="H56184" i="16"/>
  <c r="H56185" i="16"/>
  <c r="H56186" i="16"/>
  <c r="H56187" i="16"/>
  <c r="H56188" i="16"/>
  <c r="H56189" i="16"/>
  <c r="H56190" i="16"/>
  <c r="H56191" i="16"/>
  <c r="H56192" i="16"/>
  <c r="H56193" i="16"/>
  <c r="H56194" i="16"/>
  <c r="H56195" i="16"/>
  <c r="H56196" i="16"/>
  <c r="H56197" i="16"/>
  <c r="H56198" i="16"/>
  <c r="H56199" i="16"/>
  <c r="H56200" i="16"/>
  <c r="H56201" i="16"/>
  <c r="H56202" i="16"/>
  <c r="H56203" i="16"/>
  <c r="H56204" i="16"/>
  <c r="H56205" i="16"/>
  <c r="H56206" i="16"/>
  <c r="H56207" i="16"/>
  <c r="H56208" i="16"/>
  <c r="H56209" i="16"/>
  <c r="H56210" i="16"/>
  <c r="H56211" i="16"/>
  <c r="H56212" i="16"/>
  <c r="H56213" i="16"/>
  <c r="H56214" i="16"/>
  <c r="H56215" i="16"/>
  <c r="H56216" i="16"/>
  <c r="H56217" i="16"/>
  <c r="H56218" i="16"/>
  <c r="H56219" i="16"/>
  <c r="H56220" i="16"/>
  <c r="H56221" i="16"/>
  <c r="H56222" i="16"/>
  <c r="H56223" i="16"/>
  <c r="H56224" i="16"/>
  <c r="H56225" i="16"/>
  <c r="H56226" i="16"/>
  <c r="H56227" i="16"/>
  <c r="H56228" i="16"/>
  <c r="H56229" i="16"/>
  <c r="H56230" i="16"/>
  <c r="H56231" i="16"/>
  <c r="H56232" i="16"/>
  <c r="H56233" i="16"/>
  <c r="H56234" i="16"/>
  <c r="H56235" i="16"/>
  <c r="H56236" i="16"/>
  <c r="H56237" i="16"/>
  <c r="H56238" i="16"/>
  <c r="H56239" i="16"/>
  <c r="H56240" i="16"/>
  <c r="H56241" i="16"/>
  <c r="H56242" i="16"/>
  <c r="H56243" i="16"/>
  <c r="H56244" i="16"/>
  <c r="H56245" i="16"/>
  <c r="H56246" i="16"/>
  <c r="H56247" i="16"/>
  <c r="H56248" i="16"/>
  <c r="H56249" i="16"/>
  <c r="H56250" i="16"/>
  <c r="H56251" i="16"/>
  <c r="H56252" i="16"/>
  <c r="H56253" i="16"/>
  <c r="H56254" i="16"/>
  <c r="H56255" i="16"/>
  <c r="H56256" i="16"/>
  <c r="H56257" i="16"/>
  <c r="H56258" i="16"/>
  <c r="H56259" i="16"/>
  <c r="H56260" i="16"/>
  <c r="H56261" i="16"/>
  <c r="H56262" i="16"/>
  <c r="H56263" i="16"/>
  <c r="H56264" i="16"/>
  <c r="H56265" i="16"/>
  <c r="H56266" i="16"/>
  <c r="H56267" i="16"/>
  <c r="H56268" i="16"/>
  <c r="H56269" i="16"/>
  <c r="H56270" i="16"/>
  <c r="H56271" i="16"/>
  <c r="H56272" i="16"/>
  <c r="H56273" i="16"/>
  <c r="H56274" i="16"/>
  <c r="H56275" i="16"/>
  <c r="H56276" i="16"/>
  <c r="H56277" i="16"/>
  <c r="H56278" i="16"/>
  <c r="H56279" i="16"/>
  <c r="H56280" i="16"/>
  <c r="H56281" i="16"/>
  <c r="H56282" i="16"/>
  <c r="H56283" i="16"/>
  <c r="H56284" i="16"/>
  <c r="H56285" i="16"/>
  <c r="H56286" i="16"/>
  <c r="H56287" i="16"/>
  <c r="H56288" i="16"/>
  <c r="H56289" i="16"/>
  <c r="H56290" i="16"/>
  <c r="H56291" i="16"/>
  <c r="H56292" i="16"/>
  <c r="H56293" i="16"/>
  <c r="H56294" i="16"/>
  <c r="H56295" i="16"/>
  <c r="H56296" i="16"/>
  <c r="H56297" i="16"/>
  <c r="H56298" i="16"/>
  <c r="H56299" i="16"/>
  <c r="H56300" i="16"/>
  <c r="H56301" i="16"/>
  <c r="H56302" i="16"/>
  <c r="H56303" i="16"/>
  <c r="H56304" i="16"/>
  <c r="H56305" i="16"/>
  <c r="H56306" i="16"/>
  <c r="H56307" i="16"/>
  <c r="H56308" i="16"/>
  <c r="H56309" i="16"/>
  <c r="H56310" i="16"/>
  <c r="H56311" i="16"/>
  <c r="H56312" i="16"/>
  <c r="H56313" i="16"/>
  <c r="H56314" i="16"/>
  <c r="H56315" i="16"/>
  <c r="H56316" i="16"/>
  <c r="H56317" i="16"/>
  <c r="H56318" i="16"/>
  <c r="H56319" i="16"/>
  <c r="H56320" i="16"/>
  <c r="H56321" i="16"/>
  <c r="H56322" i="16"/>
  <c r="H56323" i="16"/>
  <c r="H56324" i="16"/>
  <c r="H56325" i="16"/>
  <c r="H56326" i="16"/>
  <c r="H56327" i="16"/>
  <c r="H56328" i="16"/>
  <c r="H56329" i="16"/>
  <c r="H56330" i="16"/>
  <c r="H56331" i="16"/>
  <c r="H56332" i="16"/>
  <c r="H56333" i="16"/>
  <c r="H56334" i="16"/>
  <c r="H56335" i="16"/>
  <c r="H56336" i="16"/>
  <c r="H56337" i="16"/>
  <c r="H56338" i="16"/>
  <c r="H56339" i="16"/>
  <c r="H56340" i="16"/>
  <c r="H56341" i="16"/>
  <c r="H56342" i="16"/>
  <c r="H56343" i="16"/>
  <c r="H56344" i="16"/>
  <c r="H56345" i="16"/>
  <c r="H56346" i="16"/>
  <c r="H56347" i="16"/>
  <c r="H56348" i="16"/>
  <c r="H56349" i="16"/>
  <c r="H56350" i="16"/>
  <c r="H56351" i="16"/>
  <c r="H56352" i="16"/>
  <c r="H56353" i="16"/>
  <c r="H56354" i="16"/>
  <c r="H56355" i="16"/>
  <c r="H56356" i="16"/>
  <c r="H56357" i="16"/>
  <c r="H56358" i="16"/>
  <c r="H56359" i="16"/>
  <c r="H56360" i="16"/>
  <c r="H56361" i="16"/>
  <c r="H56362" i="16"/>
  <c r="H56363" i="16"/>
  <c r="H56364" i="16"/>
  <c r="H56365" i="16"/>
  <c r="H56366" i="16"/>
  <c r="H56367" i="16"/>
  <c r="H56368" i="16"/>
  <c r="H56369" i="16"/>
  <c r="H56370" i="16"/>
  <c r="H56371" i="16"/>
  <c r="H56372" i="16"/>
  <c r="H56373" i="16"/>
  <c r="H56374" i="16"/>
  <c r="H56375" i="16"/>
  <c r="H56376" i="16"/>
  <c r="H56377" i="16"/>
  <c r="H56378" i="16"/>
  <c r="H56379" i="16"/>
  <c r="H56380" i="16"/>
  <c r="H56381" i="16"/>
  <c r="H56382" i="16"/>
  <c r="H56383" i="16"/>
  <c r="H56384" i="16"/>
  <c r="H56385" i="16"/>
  <c r="H56386" i="16"/>
  <c r="H56387" i="16"/>
  <c r="H56388" i="16"/>
  <c r="H56389" i="16"/>
  <c r="H56390" i="16"/>
  <c r="H56391" i="16"/>
  <c r="H56392" i="16"/>
  <c r="H56393" i="16"/>
  <c r="H56394" i="16"/>
  <c r="H56395" i="16"/>
  <c r="H56396" i="16"/>
  <c r="H56397" i="16"/>
  <c r="H56398" i="16"/>
  <c r="H56399" i="16"/>
  <c r="H56400" i="16"/>
  <c r="H56401" i="16"/>
  <c r="H56402" i="16"/>
  <c r="H56403" i="16"/>
  <c r="H56404" i="16"/>
  <c r="H56405" i="16"/>
  <c r="H56406" i="16"/>
  <c r="H56407" i="16"/>
  <c r="H56408" i="16"/>
  <c r="H56409" i="16"/>
  <c r="H56410" i="16"/>
  <c r="H56411" i="16"/>
  <c r="H56412" i="16"/>
  <c r="H56413" i="16"/>
  <c r="H56414" i="16"/>
  <c r="H56415" i="16"/>
  <c r="H56416" i="16"/>
  <c r="H56417" i="16"/>
  <c r="H56418" i="16"/>
  <c r="H56419" i="16"/>
  <c r="H56420" i="16"/>
  <c r="H56421" i="16"/>
  <c r="H56422" i="16"/>
  <c r="H56423" i="16"/>
  <c r="H56424" i="16"/>
  <c r="H56425" i="16"/>
  <c r="H56426" i="16"/>
  <c r="H56427" i="16"/>
  <c r="H56428" i="16"/>
  <c r="H56429" i="16"/>
  <c r="H56430" i="16"/>
  <c r="H56431" i="16"/>
  <c r="H56432" i="16"/>
  <c r="H56433" i="16"/>
  <c r="H56434" i="16"/>
  <c r="H56435" i="16"/>
  <c r="H56436" i="16"/>
  <c r="H56437" i="16"/>
  <c r="H56438" i="16"/>
  <c r="H56439" i="16"/>
  <c r="H56440" i="16"/>
  <c r="H56441" i="16"/>
  <c r="H56442" i="16"/>
  <c r="H56443" i="16"/>
  <c r="H56444" i="16"/>
  <c r="H56445" i="16"/>
  <c r="H56446" i="16"/>
  <c r="H56447" i="16"/>
  <c r="H56448" i="16"/>
  <c r="H56449" i="16"/>
  <c r="H56450" i="16"/>
  <c r="H56451" i="16"/>
  <c r="H56452" i="16"/>
  <c r="H56453" i="16"/>
  <c r="H56454" i="16"/>
  <c r="H56455" i="16"/>
  <c r="H56456" i="16"/>
  <c r="H56457" i="16"/>
  <c r="H56458" i="16"/>
  <c r="H56459" i="16"/>
  <c r="H56460" i="16"/>
  <c r="H56461" i="16"/>
  <c r="H56462" i="16"/>
  <c r="H56463" i="16"/>
  <c r="H56464" i="16"/>
  <c r="H56465" i="16"/>
  <c r="H56466" i="16"/>
  <c r="H56467" i="16"/>
  <c r="H56468" i="16"/>
  <c r="H56469" i="16"/>
  <c r="H56470" i="16"/>
  <c r="H56471" i="16"/>
  <c r="H56472" i="16"/>
  <c r="H56473" i="16"/>
  <c r="H56474" i="16"/>
  <c r="H56475" i="16"/>
  <c r="H56476" i="16"/>
  <c r="H56477" i="16"/>
  <c r="H56478" i="16"/>
  <c r="H56479" i="16"/>
  <c r="H56480" i="16"/>
  <c r="H56481" i="16"/>
  <c r="H56482" i="16"/>
  <c r="H56483" i="16"/>
  <c r="H56484" i="16"/>
  <c r="H56485" i="16"/>
  <c r="H56486" i="16"/>
  <c r="H56487" i="16"/>
  <c r="H56488" i="16"/>
  <c r="H56489" i="16"/>
  <c r="H56490" i="16"/>
  <c r="H56491" i="16"/>
  <c r="H56492" i="16"/>
  <c r="H56493" i="16"/>
  <c r="H56494" i="16"/>
  <c r="H56495" i="16"/>
  <c r="H56496" i="16"/>
  <c r="H56497" i="16"/>
  <c r="H56498" i="16"/>
  <c r="H56499" i="16"/>
  <c r="H56500" i="16"/>
  <c r="H56501" i="16"/>
  <c r="H56502" i="16"/>
  <c r="H56503" i="16"/>
  <c r="H56504" i="16"/>
  <c r="H56505" i="16"/>
  <c r="H56506" i="16"/>
  <c r="H56507" i="16"/>
  <c r="H56508" i="16"/>
  <c r="H56509" i="16"/>
  <c r="H56510" i="16"/>
  <c r="H56511" i="16"/>
  <c r="H56512" i="16"/>
  <c r="H56513" i="16"/>
  <c r="H56514" i="16"/>
  <c r="H56515" i="16"/>
  <c r="H56516" i="16"/>
  <c r="H56517" i="16"/>
  <c r="H56518" i="16"/>
  <c r="H56519" i="16"/>
  <c r="H56520" i="16"/>
  <c r="H56521" i="16"/>
  <c r="H56522" i="16"/>
  <c r="H56523" i="16"/>
  <c r="H56524" i="16"/>
  <c r="H56525" i="16"/>
  <c r="H56526" i="16"/>
  <c r="H56527" i="16"/>
  <c r="H56528" i="16"/>
  <c r="H56529" i="16"/>
  <c r="H56530" i="16"/>
  <c r="H56531" i="16"/>
  <c r="H56532" i="16"/>
  <c r="H56533" i="16"/>
  <c r="H56534" i="16"/>
  <c r="H56535" i="16"/>
  <c r="H56536" i="16"/>
  <c r="H56537" i="16"/>
  <c r="H56538" i="16"/>
  <c r="H56539" i="16"/>
  <c r="H56540" i="16"/>
  <c r="H56541" i="16"/>
  <c r="H56542" i="16"/>
  <c r="H56543" i="16"/>
  <c r="H56544" i="16"/>
  <c r="H56545" i="16"/>
  <c r="H56546" i="16"/>
  <c r="H56547" i="16"/>
  <c r="H56548" i="16"/>
  <c r="H56549" i="16"/>
  <c r="H56550" i="16"/>
  <c r="H56551" i="16"/>
  <c r="H56552" i="16"/>
  <c r="H56553" i="16"/>
  <c r="H56554" i="16"/>
  <c r="H56555" i="16"/>
  <c r="H56556" i="16"/>
  <c r="H56557" i="16"/>
  <c r="H56558" i="16"/>
  <c r="H56559" i="16"/>
  <c r="H56560" i="16"/>
  <c r="H56561" i="16"/>
  <c r="H56562" i="16"/>
  <c r="H56563" i="16"/>
  <c r="H56564" i="16"/>
  <c r="H56565" i="16"/>
  <c r="H56566" i="16"/>
  <c r="H56567" i="16"/>
  <c r="H56568" i="16"/>
  <c r="H56569" i="16"/>
  <c r="H56570" i="16"/>
  <c r="H56571" i="16"/>
  <c r="H56572" i="16"/>
  <c r="H56573" i="16"/>
  <c r="H56574" i="16"/>
  <c r="H56575" i="16"/>
  <c r="H56576" i="16"/>
  <c r="H56577" i="16"/>
  <c r="H56578" i="16"/>
  <c r="H56579" i="16"/>
  <c r="H56580" i="16"/>
  <c r="H56581" i="16"/>
  <c r="H56582" i="16"/>
  <c r="H56583" i="16"/>
  <c r="H56584" i="16"/>
  <c r="H56585" i="16"/>
  <c r="H56586" i="16"/>
  <c r="H56587" i="16"/>
  <c r="H56588" i="16"/>
  <c r="H56589" i="16"/>
  <c r="H56590" i="16"/>
  <c r="H56591" i="16"/>
  <c r="H56592" i="16"/>
  <c r="H56593" i="16"/>
  <c r="H56594" i="16"/>
  <c r="H56595" i="16"/>
  <c r="H56596" i="16"/>
  <c r="H56597" i="16"/>
  <c r="H56598" i="16"/>
  <c r="H56599" i="16"/>
  <c r="H56600" i="16"/>
  <c r="H56601" i="16"/>
  <c r="H56602" i="16"/>
  <c r="H56603" i="16"/>
  <c r="H56604" i="16"/>
  <c r="H56605" i="16"/>
  <c r="H56606" i="16"/>
  <c r="H56607" i="16"/>
  <c r="H56608" i="16"/>
  <c r="H56609" i="16"/>
  <c r="H56610" i="16"/>
  <c r="H56611" i="16"/>
  <c r="H56612" i="16"/>
  <c r="H56613" i="16"/>
  <c r="H56614" i="16"/>
  <c r="H56615" i="16"/>
  <c r="H56616" i="16"/>
  <c r="H56617" i="16"/>
  <c r="H56618" i="16"/>
  <c r="H56619" i="16"/>
  <c r="H56620" i="16"/>
  <c r="H56621" i="16"/>
  <c r="H56622" i="16"/>
  <c r="H56623" i="16"/>
  <c r="H56624" i="16"/>
  <c r="H56625" i="16"/>
  <c r="H56626" i="16"/>
  <c r="H56627" i="16"/>
  <c r="H56628" i="16"/>
  <c r="H56629" i="16"/>
  <c r="H56630" i="16"/>
  <c r="H56631" i="16"/>
  <c r="H56632" i="16"/>
  <c r="H56633" i="16"/>
  <c r="H56634" i="16"/>
  <c r="H56635" i="16"/>
  <c r="H56636" i="16"/>
  <c r="H56637" i="16"/>
  <c r="H56638" i="16"/>
  <c r="H56639" i="16"/>
  <c r="H56640" i="16"/>
  <c r="H56641" i="16"/>
  <c r="H56642" i="16"/>
  <c r="H56643" i="16"/>
  <c r="H56644" i="16"/>
  <c r="H56645" i="16"/>
  <c r="H56646" i="16"/>
  <c r="H56647" i="16"/>
  <c r="H56648" i="16"/>
  <c r="H56649" i="16"/>
  <c r="H56650" i="16"/>
  <c r="H56651" i="16"/>
  <c r="H56652" i="16"/>
  <c r="H56653" i="16"/>
  <c r="H56654" i="16"/>
  <c r="H56655" i="16"/>
  <c r="H56656" i="16"/>
  <c r="H56657" i="16"/>
  <c r="H56658" i="16"/>
  <c r="H56659" i="16"/>
  <c r="H56660" i="16"/>
  <c r="H56661" i="16"/>
  <c r="H56662" i="16"/>
  <c r="H56663" i="16"/>
  <c r="H56664" i="16"/>
  <c r="H56665" i="16"/>
  <c r="H56666" i="16"/>
  <c r="H56667" i="16"/>
  <c r="H56668" i="16"/>
  <c r="H56669" i="16"/>
  <c r="H56670" i="16"/>
  <c r="H56671" i="16"/>
  <c r="H56672" i="16"/>
  <c r="H56673" i="16"/>
  <c r="H56674" i="16"/>
  <c r="H56675" i="16"/>
  <c r="H56676" i="16"/>
  <c r="H56677" i="16"/>
  <c r="H56678" i="16"/>
  <c r="H56679" i="16"/>
  <c r="H56680" i="16"/>
  <c r="H56681" i="16"/>
  <c r="H56682" i="16"/>
  <c r="H56683" i="16"/>
  <c r="H56684" i="16"/>
  <c r="H56685" i="16"/>
  <c r="H56686" i="16"/>
  <c r="H56687" i="16"/>
  <c r="H56688" i="16"/>
  <c r="H56689" i="16"/>
  <c r="H56690" i="16"/>
  <c r="H56691" i="16"/>
  <c r="H56692" i="16"/>
  <c r="H56693" i="16"/>
  <c r="H56694" i="16"/>
  <c r="H56695" i="16"/>
  <c r="H56696" i="16"/>
  <c r="H56697" i="16"/>
  <c r="H56698" i="16"/>
  <c r="H56699" i="16"/>
  <c r="H56700" i="16"/>
  <c r="H56701" i="16"/>
  <c r="H56702" i="16"/>
  <c r="H56703" i="16"/>
  <c r="H56704" i="16"/>
  <c r="H56705" i="16"/>
  <c r="H56706" i="16"/>
  <c r="H56707" i="16"/>
  <c r="H56708" i="16"/>
  <c r="H56709" i="16"/>
  <c r="H56710" i="16"/>
  <c r="H56711" i="16"/>
  <c r="H56712" i="16"/>
  <c r="H56713" i="16"/>
  <c r="H56714" i="16"/>
  <c r="H56715" i="16"/>
  <c r="H56716" i="16"/>
  <c r="H56717" i="16"/>
  <c r="H56718" i="16"/>
  <c r="H56719" i="16"/>
  <c r="H56720" i="16"/>
  <c r="H56721" i="16"/>
  <c r="H56722" i="16"/>
  <c r="H56723" i="16"/>
  <c r="H56724" i="16"/>
  <c r="H56725" i="16"/>
  <c r="H56726" i="16"/>
  <c r="H56727" i="16"/>
  <c r="H56728" i="16"/>
  <c r="H56729" i="16"/>
  <c r="H56730" i="16"/>
  <c r="H56731" i="16"/>
  <c r="H56732" i="16"/>
  <c r="H56733" i="16"/>
  <c r="H56734" i="16"/>
  <c r="H56735" i="16"/>
  <c r="H56736" i="16"/>
  <c r="H56737" i="16"/>
  <c r="H56738" i="16"/>
  <c r="H56739" i="16"/>
  <c r="H56740" i="16"/>
  <c r="H56741" i="16"/>
  <c r="H56742" i="16"/>
  <c r="H56743" i="16"/>
  <c r="H56744" i="16"/>
  <c r="H56745" i="16"/>
  <c r="H56746" i="16"/>
  <c r="H56747" i="16"/>
  <c r="H56748" i="16"/>
  <c r="H56749" i="16"/>
  <c r="H56750" i="16"/>
  <c r="H56751" i="16"/>
  <c r="H56752" i="16"/>
  <c r="H56753" i="16"/>
  <c r="H56754" i="16"/>
  <c r="H56755" i="16"/>
  <c r="H56756" i="16"/>
  <c r="H56757" i="16"/>
  <c r="H56758" i="16"/>
  <c r="H56759" i="16"/>
  <c r="H56760" i="16"/>
  <c r="H56761" i="16"/>
  <c r="H56762" i="16"/>
  <c r="H56763" i="16"/>
  <c r="H56764" i="16"/>
  <c r="H56765" i="16"/>
  <c r="H56766" i="16"/>
  <c r="H56767" i="16"/>
  <c r="H56768" i="16"/>
  <c r="H56769" i="16"/>
  <c r="H56770" i="16"/>
  <c r="H56771" i="16"/>
  <c r="H56772" i="16"/>
  <c r="H56773" i="16"/>
  <c r="H56774" i="16"/>
  <c r="H56775" i="16"/>
  <c r="H56776" i="16"/>
  <c r="H56777" i="16"/>
  <c r="H56778" i="16"/>
  <c r="H56779" i="16"/>
  <c r="H56780" i="16"/>
  <c r="H56781" i="16"/>
  <c r="H56782" i="16"/>
  <c r="H56783" i="16"/>
  <c r="H56784" i="16"/>
  <c r="H56785" i="16"/>
  <c r="H56786" i="16"/>
  <c r="H56787" i="16"/>
  <c r="H56788" i="16"/>
  <c r="H56789" i="16"/>
  <c r="H56790" i="16"/>
  <c r="H56791" i="16"/>
  <c r="H56792" i="16"/>
  <c r="H56793" i="16"/>
  <c r="H56794" i="16"/>
  <c r="H56795" i="16"/>
  <c r="H56796" i="16"/>
  <c r="H56797" i="16"/>
  <c r="H56798" i="16"/>
  <c r="H56799" i="16"/>
  <c r="H56800" i="16"/>
  <c r="H56801" i="16"/>
  <c r="H56802" i="16"/>
  <c r="H56803" i="16"/>
  <c r="H56804" i="16"/>
  <c r="H56805" i="16"/>
  <c r="H56806" i="16"/>
  <c r="H56807" i="16"/>
  <c r="H56808" i="16"/>
  <c r="H56809" i="16"/>
  <c r="H56810" i="16"/>
  <c r="H56811" i="16"/>
  <c r="H56812" i="16"/>
  <c r="H56813" i="16"/>
  <c r="H56814" i="16"/>
  <c r="H56815" i="16"/>
  <c r="H56816" i="16"/>
  <c r="H56817" i="16"/>
  <c r="H56818" i="16"/>
  <c r="H56819" i="16"/>
  <c r="H56820" i="16"/>
  <c r="H56821" i="16"/>
  <c r="H56822" i="16"/>
  <c r="H56823" i="16"/>
  <c r="H56824" i="16"/>
  <c r="H56825" i="16"/>
  <c r="H56826" i="16"/>
  <c r="H56827" i="16"/>
  <c r="H56828" i="16"/>
  <c r="H56829" i="16"/>
  <c r="H56830" i="16"/>
  <c r="H56831" i="16"/>
  <c r="H56832" i="16"/>
  <c r="H56833" i="16"/>
  <c r="H56834" i="16"/>
  <c r="H56835" i="16"/>
  <c r="H56836" i="16"/>
  <c r="H56837" i="16"/>
  <c r="H56838" i="16"/>
  <c r="H56839" i="16"/>
  <c r="H56840" i="16"/>
  <c r="H56841" i="16"/>
  <c r="H56842" i="16"/>
  <c r="H56843" i="16"/>
  <c r="H56844" i="16"/>
  <c r="H56845" i="16"/>
  <c r="H56846" i="16"/>
  <c r="H56847" i="16"/>
  <c r="H56848" i="16"/>
  <c r="H56849" i="16"/>
  <c r="H56850" i="16"/>
  <c r="H56851" i="16"/>
  <c r="H56852" i="16"/>
  <c r="H56853" i="16"/>
  <c r="H56854" i="16"/>
  <c r="H56855" i="16"/>
  <c r="H56856" i="16"/>
  <c r="H56857" i="16"/>
  <c r="H56858" i="16"/>
  <c r="H56859" i="16"/>
  <c r="H56860" i="16"/>
  <c r="H56861" i="16"/>
  <c r="H56862" i="16"/>
  <c r="H56863" i="16"/>
  <c r="H56864" i="16"/>
  <c r="H56865" i="16"/>
  <c r="H56866" i="16"/>
  <c r="H56867" i="16"/>
  <c r="H56868" i="16"/>
  <c r="H56869" i="16"/>
  <c r="H56870" i="16"/>
  <c r="H56871" i="16"/>
  <c r="H56872" i="16"/>
  <c r="H56873" i="16"/>
  <c r="H56874" i="16"/>
  <c r="H56875" i="16"/>
  <c r="H56876" i="16"/>
  <c r="H56877" i="16"/>
  <c r="H56878" i="16"/>
  <c r="H56879" i="16"/>
  <c r="H56880" i="16"/>
  <c r="H56881" i="16"/>
  <c r="H56882" i="16"/>
  <c r="H56883" i="16"/>
  <c r="H56884" i="16"/>
  <c r="H56885" i="16"/>
  <c r="H56886" i="16"/>
  <c r="H56887" i="16"/>
  <c r="H56888" i="16"/>
  <c r="H56889" i="16"/>
  <c r="H56890" i="16"/>
  <c r="H56891" i="16"/>
  <c r="H56892" i="16"/>
  <c r="H56893" i="16"/>
  <c r="H56894" i="16"/>
  <c r="H56895" i="16"/>
  <c r="H56896" i="16"/>
  <c r="H56897" i="16"/>
  <c r="H56898" i="16"/>
  <c r="H56899" i="16"/>
  <c r="H56900" i="16"/>
  <c r="H56901" i="16"/>
  <c r="H56902" i="16"/>
  <c r="H56903" i="16"/>
  <c r="H56904" i="16"/>
  <c r="H56905" i="16"/>
  <c r="H56906" i="16"/>
  <c r="H56907" i="16"/>
  <c r="H56908" i="16"/>
  <c r="H56909" i="16"/>
  <c r="H56910" i="16"/>
  <c r="H56911" i="16"/>
  <c r="H56912" i="16"/>
  <c r="H56913" i="16"/>
  <c r="H56914" i="16"/>
  <c r="H56915" i="16"/>
  <c r="H56916" i="16"/>
  <c r="H56917" i="16"/>
  <c r="H56918" i="16"/>
  <c r="H56919" i="16"/>
  <c r="H56920" i="16"/>
  <c r="H56921" i="16"/>
  <c r="H56922" i="16"/>
  <c r="H56923" i="16"/>
  <c r="H56924" i="16"/>
  <c r="H56925" i="16"/>
  <c r="H56926" i="16"/>
  <c r="H56927" i="16"/>
  <c r="H56928" i="16"/>
  <c r="H56929" i="16"/>
  <c r="H56930" i="16"/>
  <c r="H56931" i="16"/>
  <c r="H56932" i="16"/>
  <c r="H56933" i="16"/>
  <c r="H56934" i="16"/>
  <c r="H56935" i="16"/>
  <c r="H56936" i="16"/>
  <c r="H56937" i="16"/>
  <c r="H56938" i="16"/>
  <c r="H56939" i="16"/>
  <c r="H56940" i="16"/>
  <c r="H56941" i="16"/>
  <c r="H56942" i="16"/>
  <c r="H56943" i="16"/>
  <c r="H56944" i="16"/>
  <c r="H56945" i="16"/>
  <c r="H56946" i="16"/>
  <c r="H56947" i="16"/>
  <c r="H56948" i="16"/>
  <c r="H56949" i="16"/>
  <c r="H56950" i="16"/>
  <c r="H56951" i="16"/>
  <c r="H56952" i="16"/>
  <c r="H56953" i="16"/>
  <c r="H56954" i="16"/>
  <c r="H56955" i="16"/>
  <c r="H56956" i="16"/>
  <c r="H56957" i="16"/>
  <c r="H56958" i="16"/>
  <c r="H56959" i="16"/>
  <c r="H56960" i="16"/>
  <c r="H56961" i="16"/>
  <c r="H56962" i="16"/>
  <c r="H56963" i="16"/>
  <c r="H56964" i="16"/>
  <c r="H56965" i="16"/>
  <c r="H56966" i="16"/>
  <c r="H56967" i="16"/>
  <c r="H56968" i="16"/>
  <c r="H56969" i="16"/>
  <c r="H56970" i="16"/>
  <c r="H56971" i="16"/>
  <c r="H56972" i="16"/>
  <c r="H56973" i="16"/>
  <c r="H56974" i="16"/>
  <c r="H56975" i="16"/>
  <c r="H56976" i="16"/>
  <c r="H56977" i="16"/>
  <c r="H56978" i="16"/>
  <c r="H56979" i="16"/>
  <c r="H56980" i="16"/>
  <c r="H56981" i="16"/>
  <c r="H56982" i="16"/>
  <c r="H56983" i="16"/>
  <c r="H56984" i="16"/>
  <c r="H56985" i="16"/>
  <c r="H56986" i="16"/>
  <c r="H56987" i="16"/>
  <c r="H56988" i="16"/>
  <c r="H56989" i="16"/>
  <c r="H56990" i="16"/>
  <c r="H56991" i="16"/>
  <c r="H56992" i="16"/>
  <c r="H56993" i="16"/>
  <c r="H56994" i="16"/>
  <c r="H56995" i="16"/>
  <c r="H56996" i="16"/>
  <c r="H56997" i="16"/>
  <c r="H56998" i="16"/>
  <c r="H56999" i="16"/>
  <c r="H57000" i="16"/>
  <c r="H57001" i="16"/>
  <c r="H57002" i="16"/>
  <c r="H57003" i="16"/>
  <c r="H57004" i="16"/>
  <c r="H57005" i="16"/>
  <c r="H57006" i="16"/>
  <c r="H57007" i="16"/>
  <c r="H57008" i="16"/>
  <c r="H57009" i="16"/>
  <c r="H57010" i="16"/>
  <c r="H57011" i="16"/>
  <c r="H57012" i="16"/>
  <c r="H57013" i="16"/>
  <c r="H57014" i="16"/>
  <c r="H57015" i="16"/>
  <c r="H57016" i="16"/>
  <c r="H57017" i="16"/>
  <c r="H57018" i="16"/>
  <c r="H57019" i="16"/>
  <c r="H57020" i="16"/>
  <c r="H57021" i="16"/>
  <c r="H57022" i="16"/>
  <c r="H57023" i="16"/>
  <c r="H57024" i="16"/>
  <c r="H57025" i="16"/>
  <c r="H57026" i="16"/>
  <c r="H57027" i="16"/>
  <c r="H57028" i="16"/>
  <c r="H57029" i="16"/>
  <c r="H57030" i="16"/>
  <c r="H57031" i="16"/>
  <c r="H57032" i="16"/>
  <c r="H57033" i="16"/>
  <c r="H57034" i="16"/>
  <c r="H57035" i="16"/>
  <c r="H57036" i="16"/>
  <c r="H57037" i="16"/>
  <c r="H57038" i="16"/>
  <c r="H57039" i="16"/>
  <c r="H57040" i="16"/>
  <c r="H57041" i="16"/>
  <c r="H57042" i="16"/>
  <c r="H57043" i="16"/>
  <c r="H57044" i="16"/>
  <c r="H57045" i="16"/>
  <c r="H57046" i="16"/>
  <c r="H57047" i="16"/>
  <c r="H57048" i="16"/>
  <c r="H57049" i="16"/>
  <c r="H57050" i="16"/>
  <c r="H57051" i="16"/>
  <c r="H57052" i="16"/>
  <c r="H57053" i="16"/>
  <c r="H57054" i="16"/>
  <c r="H57055" i="16"/>
  <c r="H57056" i="16"/>
  <c r="H57057" i="16"/>
  <c r="H57058" i="16"/>
  <c r="H57059" i="16"/>
  <c r="H57060" i="16"/>
  <c r="H57061" i="16"/>
  <c r="H57062" i="16"/>
  <c r="H57063" i="16"/>
  <c r="H57064" i="16"/>
  <c r="H57065" i="16"/>
  <c r="H57066" i="16"/>
  <c r="H57067" i="16"/>
  <c r="H57068" i="16"/>
  <c r="H57069" i="16"/>
  <c r="H57070" i="16"/>
  <c r="H57071" i="16"/>
  <c r="H57072" i="16"/>
  <c r="H57073" i="16"/>
  <c r="H57074" i="16"/>
  <c r="H57075" i="16"/>
  <c r="H57076" i="16"/>
  <c r="H57077" i="16"/>
  <c r="H57078" i="16"/>
  <c r="H57079" i="16"/>
  <c r="H57080" i="16"/>
  <c r="H57081" i="16"/>
  <c r="H57082" i="16"/>
  <c r="H57083" i="16"/>
  <c r="H57084" i="16"/>
  <c r="H57085" i="16"/>
  <c r="H57086" i="16"/>
  <c r="H57087" i="16"/>
  <c r="H57088" i="16"/>
  <c r="H57089" i="16"/>
  <c r="H57090" i="16"/>
  <c r="H57091" i="16"/>
  <c r="H57092" i="16"/>
  <c r="H57093" i="16"/>
  <c r="H57094" i="16"/>
  <c r="H57095" i="16"/>
  <c r="H57096" i="16"/>
  <c r="H57097" i="16"/>
  <c r="H57098" i="16"/>
  <c r="H57099" i="16"/>
  <c r="H57100" i="16"/>
  <c r="H57101" i="16"/>
  <c r="H57102" i="16"/>
  <c r="H57103" i="16"/>
  <c r="H57104" i="16"/>
  <c r="H57105" i="16"/>
  <c r="H57106" i="16"/>
  <c r="H57107" i="16"/>
  <c r="H57108" i="16"/>
  <c r="H57109" i="16"/>
  <c r="H57110" i="16"/>
  <c r="H57111" i="16"/>
  <c r="H57112" i="16"/>
  <c r="H57113" i="16"/>
  <c r="H57114" i="16"/>
  <c r="H57115" i="16"/>
  <c r="H57116" i="16"/>
  <c r="H57117" i="16"/>
  <c r="H57118" i="16"/>
  <c r="H57119" i="16"/>
  <c r="H57120" i="16"/>
  <c r="H57121" i="16"/>
  <c r="H57122" i="16"/>
  <c r="H57123" i="16"/>
  <c r="H57124" i="16"/>
  <c r="H57125" i="16"/>
  <c r="H57126" i="16"/>
  <c r="H57127" i="16"/>
  <c r="H57128" i="16"/>
  <c r="H57129" i="16"/>
  <c r="H57130" i="16"/>
  <c r="H57131" i="16"/>
  <c r="H57132" i="16"/>
  <c r="H57133" i="16"/>
  <c r="H57134" i="16"/>
  <c r="H57135" i="16"/>
  <c r="H57136" i="16"/>
  <c r="H57137" i="16"/>
  <c r="H57138" i="16"/>
  <c r="H57139" i="16"/>
  <c r="H57140" i="16"/>
  <c r="H57141" i="16"/>
  <c r="H57142" i="16"/>
  <c r="H57143" i="16"/>
  <c r="H57144" i="16"/>
  <c r="H57145" i="16"/>
  <c r="H57146" i="16"/>
  <c r="H57147" i="16"/>
  <c r="H57148" i="16"/>
  <c r="H57149" i="16"/>
  <c r="H57150" i="16"/>
  <c r="H57151" i="16"/>
  <c r="H57152" i="16"/>
  <c r="H57153" i="16"/>
  <c r="H57154" i="16"/>
  <c r="H57155" i="16"/>
  <c r="H57156" i="16"/>
  <c r="H57157" i="16"/>
  <c r="H57158" i="16"/>
  <c r="H57159" i="16"/>
  <c r="H57160" i="16"/>
  <c r="H57161" i="16"/>
  <c r="H57162" i="16"/>
  <c r="H57163" i="16"/>
  <c r="H57164" i="16"/>
  <c r="H57165" i="16"/>
  <c r="H57166" i="16"/>
  <c r="H57167" i="16"/>
  <c r="H57168" i="16"/>
  <c r="H57169" i="16"/>
  <c r="H57170" i="16"/>
  <c r="H57171" i="16"/>
  <c r="H57172" i="16"/>
  <c r="H57173" i="16"/>
  <c r="H57174" i="16"/>
  <c r="H57175" i="16"/>
  <c r="H57176" i="16"/>
  <c r="H57177" i="16"/>
  <c r="H57178" i="16"/>
  <c r="H57179" i="16"/>
  <c r="H57180" i="16"/>
  <c r="H57181" i="16"/>
  <c r="H57182" i="16"/>
  <c r="H57183" i="16"/>
  <c r="H57184" i="16"/>
  <c r="H57185" i="16"/>
  <c r="H57186" i="16"/>
  <c r="H57187" i="16"/>
  <c r="H57188" i="16"/>
  <c r="H57189" i="16"/>
  <c r="H57190" i="16"/>
  <c r="H57191" i="16"/>
  <c r="H57192" i="16"/>
  <c r="H57193" i="16"/>
  <c r="H57194" i="16"/>
  <c r="H57195" i="16"/>
  <c r="H57196" i="16"/>
  <c r="H57197" i="16"/>
  <c r="H57198" i="16"/>
  <c r="H57199" i="16"/>
  <c r="H57200" i="16"/>
  <c r="H57201" i="16"/>
  <c r="H57202" i="16"/>
  <c r="H57203" i="16"/>
  <c r="H57204" i="16"/>
  <c r="H57205" i="16"/>
  <c r="H57206" i="16"/>
  <c r="H57207" i="16"/>
  <c r="H57208" i="16"/>
  <c r="H57209" i="16"/>
  <c r="H57210" i="16"/>
  <c r="H57211" i="16"/>
  <c r="H57212" i="16"/>
  <c r="H57213" i="16"/>
  <c r="H57214" i="16"/>
  <c r="H57215" i="16"/>
  <c r="H57216" i="16"/>
  <c r="H57217" i="16"/>
  <c r="H57218" i="16"/>
  <c r="H57219" i="16"/>
  <c r="H57220" i="16"/>
  <c r="H57221" i="16"/>
  <c r="H57222" i="16"/>
  <c r="H57223" i="16"/>
  <c r="H57224" i="16"/>
  <c r="H57225" i="16"/>
  <c r="H57226" i="16"/>
  <c r="H57227" i="16"/>
  <c r="H57228" i="16"/>
  <c r="H57229" i="16"/>
  <c r="H57230" i="16"/>
  <c r="H57231" i="16"/>
  <c r="H57232" i="16"/>
  <c r="H57233" i="16"/>
  <c r="H57234" i="16"/>
  <c r="H57235" i="16"/>
  <c r="H57236" i="16"/>
  <c r="H57237" i="16"/>
  <c r="H57238" i="16"/>
  <c r="H57239" i="16"/>
  <c r="H57240" i="16"/>
  <c r="H57241" i="16"/>
  <c r="H57242" i="16"/>
  <c r="H57243" i="16"/>
  <c r="H57244" i="16"/>
  <c r="H57245" i="16"/>
  <c r="H57246" i="16"/>
  <c r="H57247" i="16"/>
  <c r="H57248" i="16"/>
  <c r="H57249" i="16"/>
  <c r="H57250" i="16"/>
  <c r="H57251" i="16"/>
  <c r="H57252" i="16"/>
  <c r="H57253" i="16"/>
  <c r="H57254" i="16"/>
  <c r="H57255" i="16"/>
  <c r="H57256" i="16"/>
  <c r="H57257" i="16"/>
  <c r="H57258" i="16"/>
  <c r="H57259" i="16"/>
  <c r="H57260" i="16"/>
  <c r="H57261" i="16"/>
  <c r="H57262" i="16"/>
  <c r="H57263" i="16"/>
  <c r="H57264" i="16"/>
  <c r="H57265" i="16"/>
  <c r="H57266" i="16"/>
  <c r="H57267" i="16"/>
  <c r="H57268" i="16"/>
  <c r="H57269" i="16"/>
  <c r="H57270" i="16"/>
  <c r="H57271" i="16"/>
  <c r="H57272" i="16"/>
  <c r="H57273" i="16"/>
  <c r="H57274" i="16"/>
  <c r="H57275" i="16"/>
  <c r="H57276" i="16"/>
  <c r="H57277" i="16"/>
  <c r="H57278" i="16"/>
  <c r="H57279" i="16"/>
  <c r="H57280" i="16"/>
  <c r="H57281" i="16"/>
  <c r="H57282" i="16"/>
  <c r="H57283" i="16"/>
  <c r="H57284" i="16"/>
  <c r="H57285" i="16"/>
  <c r="H57286" i="16"/>
  <c r="H57287" i="16"/>
  <c r="H57288" i="16"/>
  <c r="H57289" i="16"/>
  <c r="H57290" i="16"/>
  <c r="H57291" i="16"/>
  <c r="H57292" i="16"/>
  <c r="H57293" i="16"/>
  <c r="H57294" i="16"/>
  <c r="H57295" i="16"/>
  <c r="H57296" i="16"/>
  <c r="H57297" i="16"/>
  <c r="H57298" i="16"/>
  <c r="H57299" i="16"/>
  <c r="H57300" i="16"/>
  <c r="H57301" i="16"/>
  <c r="H57302" i="16"/>
  <c r="H57303" i="16"/>
  <c r="H57304" i="16"/>
  <c r="H57305" i="16"/>
  <c r="H57306" i="16"/>
  <c r="H57307" i="16"/>
  <c r="H57308" i="16"/>
  <c r="H57309" i="16"/>
  <c r="H57310" i="16"/>
  <c r="H57311" i="16"/>
  <c r="H57312" i="16"/>
  <c r="H57313" i="16"/>
  <c r="H57314" i="16"/>
  <c r="H57315" i="16"/>
  <c r="H57316" i="16"/>
  <c r="H57317" i="16"/>
  <c r="H57318" i="16"/>
  <c r="H57319" i="16"/>
  <c r="H57320" i="16"/>
  <c r="H57321" i="16"/>
  <c r="H57322" i="16"/>
  <c r="H57323" i="16"/>
  <c r="H57324" i="16"/>
  <c r="H57325" i="16"/>
  <c r="H57326" i="16"/>
  <c r="H57327" i="16"/>
  <c r="H57328" i="16"/>
  <c r="H57329" i="16"/>
  <c r="H57330" i="16"/>
  <c r="H57331" i="16"/>
  <c r="H57332" i="16"/>
  <c r="H57333" i="16"/>
  <c r="H57334" i="16"/>
  <c r="H57335" i="16"/>
  <c r="H57336" i="16"/>
  <c r="H57337" i="16"/>
  <c r="H57338" i="16"/>
  <c r="H57339" i="16"/>
  <c r="H57340" i="16"/>
  <c r="H57341" i="16"/>
  <c r="H57342" i="16"/>
  <c r="H57343" i="16"/>
  <c r="H57344" i="16"/>
  <c r="H57345" i="16"/>
  <c r="H57346" i="16"/>
  <c r="H57347" i="16"/>
  <c r="H57348" i="16"/>
  <c r="H57349" i="16"/>
  <c r="H57350" i="16"/>
  <c r="H57351" i="16"/>
  <c r="H57352" i="16"/>
  <c r="H57353" i="16"/>
  <c r="H57354" i="16"/>
  <c r="H57355" i="16"/>
  <c r="H57356" i="16"/>
  <c r="H57357" i="16"/>
  <c r="H57358" i="16"/>
  <c r="H57359" i="16"/>
  <c r="H57360" i="16"/>
  <c r="H57361" i="16"/>
  <c r="H57362" i="16"/>
  <c r="H57363" i="16"/>
  <c r="H57364" i="16"/>
  <c r="H57365" i="16"/>
  <c r="H57366" i="16"/>
  <c r="H57367" i="16"/>
  <c r="H57368" i="16"/>
  <c r="H57369" i="16"/>
  <c r="H57370" i="16"/>
  <c r="H57371" i="16"/>
  <c r="H57372" i="16"/>
  <c r="H57373" i="16"/>
  <c r="H57374" i="16"/>
  <c r="H57375" i="16"/>
  <c r="H57376" i="16"/>
  <c r="H57377" i="16"/>
  <c r="H57378" i="16"/>
  <c r="H57379" i="16"/>
  <c r="H57380" i="16"/>
  <c r="H57381" i="16"/>
  <c r="H57382" i="16"/>
  <c r="H57383" i="16"/>
  <c r="H57384" i="16"/>
  <c r="H57385" i="16"/>
  <c r="H57386" i="16"/>
  <c r="H57387" i="16"/>
  <c r="H57388" i="16"/>
  <c r="H57389" i="16"/>
  <c r="H57390" i="16"/>
  <c r="H57391" i="16"/>
  <c r="H57392" i="16"/>
  <c r="H57393" i="16"/>
  <c r="H57394" i="16"/>
  <c r="H57395" i="16"/>
  <c r="H57396" i="16"/>
  <c r="H57397" i="16"/>
  <c r="H57398" i="16"/>
  <c r="H57399" i="16"/>
  <c r="H57400" i="16"/>
  <c r="H57401" i="16"/>
  <c r="H57402" i="16"/>
  <c r="H57403" i="16"/>
  <c r="H57404" i="16"/>
  <c r="H57405" i="16"/>
  <c r="H57406" i="16"/>
  <c r="H57407" i="16"/>
  <c r="H57408" i="16"/>
  <c r="H57409" i="16"/>
  <c r="H57410" i="16"/>
  <c r="H57411" i="16"/>
  <c r="H57412" i="16"/>
  <c r="H57413" i="16"/>
  <c r="H57414" i="16"/>
  <c r="H57415" i="16"/>
  <c r="H57416" i="16"/>
  <c r="H57417" i="16"/>
  <c r="H57418" i="16"/>
  <c r="H57419" i="16"/>
  <c r="H57420" i="16"/>
  <c r="H57421" i="16"/>
  <c r="H57422" i="16"/>
  <c r="H57423" i="16"/>
  <c r="H57424" i="16"/>
  <c r="H57425" i="16"/>
  <c r="H57426" i="16"/>
  <c r="H57427" i="16"/>
  <c r="H57428" i="16"/>
  <c r="H57429" i="16"/>
  <c r="H57430" i="16"/>
  <c r="H57431" i="16"/>
  <c r="H57432" i="16"/>
  <c r="H57433" i="16"/>
  <c r="H57434" i="16"/>
  <c r="H57435" i="16"/>
  <c r="H57436" i="16"/>
  <c r="H57437" i="16"/>
  <c r="H57438" i="16"/>
  <c r="H57439" i="16"/>
  <c r="H57440" i="16"/>
  <c r="H57441" i="16"/>
  <c r="H57442" i="16"/>
  <c r="H57443" i="16"/>
  <c r="H57444" i="16"/>
  <c r="H57445" i="16"/>
  <c r="H57446" i="16"/>
  <c r="H57447" i="16"/>
  <c r="H57448" i="16"/>
  <c r="H57449" i="16"/>
  <c r="H57450" i="16"/>
  <c r="H57451" i="16"/>
  <c r="H57452" i="16"/>
  <c r="H57453" i="16"/>
  <c r="H57454" i="16"/>
  <c r="H57455" i="16"/>
  <c r="H57456" i="16"/>
  <c r="H57457" i="16"/>
  <c r="H57458" i="16"/>
  <c r="H57459" i="16"/>
  <c r="H57460" i="16"/>
  <c r="H57461" i="16"/>
  <c r="H57462" i="16"/>
  <c r="H57463" i="16"/>
  <c r="H57464" i="16"/>
  <c r="H57465" i="16"/>
  <c r="H57466" i="16"/>
  <c r="H57467" i="16"/>
  <c r="H57468" i="16"/>
  <c r="H57469" i="16"/>
  <c r="H57470" i="16"/>
  <c r="H57471" i="16"/>
  <c r="H57472" i="16"/>
  <c r="H57473" i="16"/>
  <c r="H57474" i="16"/>
  <c r="H57475" i="16"/>
  <c r="H57476" i="16"/>
  <c r="H57477" i="16"/>
  <c r="H57478" i="16"/>
  <c r="H57479" i="16"/>
  <c r="H57480" i="16"/>
  <c r="H57481" i="16"/>
  <c r="H57482" i="16"/>
  <c r="H57483" i="16"/>
  <c r="H57484" i="16"/>
  <c r="H57485" i="16"/>
  <c r="H57486" i="16"/>
  <c r="H57487" i="16"/>
  <c r="H57488" i="16"/>
  <c r="H57489" i="16"/>
  <c r="H57490" i="16"/>
  <c r="H57491" i="16"/>
  <c r="H57492" i="16"/>
  <c r="H57493" i="16"/>
  <c r="H57494" i="16"/>
  <c r="H57495" i="16"/>
  <c r="H57496" i="16"/>
  <c r="H57497" i="16"/>
  <c r="H57498" i="16"/>
  <c r="H57499" i="16"/>
  <c r="H57500" i="16"/>
  <c r="H57501" i="16"/>
  <c r="H57502" i="16"/>
  <c r="H57503" i="16"/>
  <c r="H57504" i="16"/>
  <c r="H57505" i="16"/>
  <c r="H57506" i="16"/>
  <c r="H57507" i="16"/>
  <c r="H57508" i="16"/>
  <c r="H57509" i="16"/>
  <c r="H57510" i="16"/>
  <c r="H57511" i="16"/>
  <c r="H57512" i="16"/>
  <c r="H57513" i="16"/>
  <c r="H57514" i="16"/>
  <c r="H57515" i="16"/>
  <c r="H57516" i="16"/>
  <c r="H57517" i="16"/>
  <c r="H57518" i="16"/>
  <c r="H57519" i="16"/>
  <c r="H57520" i="16"/>
  <c r="H57521" i="16"/>
  <c r="H57522" i="16"/>
  <c r="H57523" i="16"/>
  <c r="H57524" i="16"/>
  <c r="H57525" i="16"/>
  <c r="H57526" i="16"/>
  <c r="H57527" i="16"/>
  <c r="H57528" i="16"/>
  <c r="H57529" i="16"/>
  <c r="H57530" i="16"/>
  <c r="H57531" i="16"/>
  <c r="H57532" i="16"/>
  <c r="H57533" i="16"/>
  <c r="H57534" i="16"/>
  <c r="H57535" i="16"/>
  <c r="H57536" i="16"/>
  <c r="H57537" i="16"/>
  <c r="H57538" i="16"/>
  <c r="H57539" i="16"/>
  <c r="H57540" i="16"/>
  <c r="H57541" i="16"/>
  <c r="H57542" i="16"/>
  <c r="H57543" i="16"/>
  <c r="H57544" i="16"/>
  <c r="H57545" i="16"/>
  <c r="H57546" i="16"/>
  <c r="H57547" i="16"/>
  <c r="H57548" i="16"/>
  <c r="H57549" i="16"/>
  <c r="H57550" i="16"/>
  <c r="H57551" i="16"/>
  <c r="H57552" i="16"/>
  <c r="H57553" i="16"/>
  <c r="H57554" i="16"/>
  <c r="H57555" i="16"/>
  <c r="H57556" i="16"/>
  <c r="H57557" i="16"/>
  <c r="H57558" i="16"/>
  <c r="H57559" i="16"/>
  <c r="H57560" i="16"/>
  <c r="H57561" i="16"/>
  <c r="H57562" i="16"/>
  <c r="H57563" i="16"/>
  <c r="H57564" i="16"/>
  <c r="H57565" i="16"/>
  <c r="H57566" i="16"/>
  <c r="H57567" i="16"/>
  <c r="H57568" i="16"/>
  <c r="H57569" i="16"/>
  <c r="H57570" i="16"/>
  <c r="H57571" i="16"/>
  <c r="H57572" i="16"/>
  <c r="H57573" i="16"/>
  <c r="H57574" i="16"/>
  <c r="H57575" i="16"/>
  <c r="H57576" i="16"/>
  <c r="H57577" i="16"/>
  <c r="H57578" i="16"/>
  <c r="H57579" i="16"/>
  <c r="H57580" i="16"/>
  <c r="H57581" i="16"/>
  <c r="H57582" i="16"/>
  <c r="H57583" i="16"/>
  <c r="H57584" i="16"/>
  <c r="H57585" i="16"/>
  <c r="H57586" i="16"/>
  <c r="H57587" i="16"/>
  <c r="H57588" i="16"/>
  <c r="H57589" i="16"/>
  <c r="H57590" i="16"/>
  <c r="H57591" i="16"/>
  <c r="H57592" i="16"/>
  <c r="H57593" i="16"/>
  <c r="H57594" i="16"/>
  <c r="H57595" i="16"/>
  <c r="H57596" i="16"/>
  <c r="H57597" i="16"/>
  <c r="H57598" i="16"/>
  <c r="H57599" i="16"/>
  <c r="H57600" i="16"/>
  <c r="H57601" i="16"/>
  <c r="H57602" i="16"/>
  <c r="H57603" i="16"/>
  <c r="H57604" i="16"/>
  <c r="H57605" i="16"/>
  <c r="H57606" i="16"/>
  <c r="H57607" i="16"/>
  <c r="H57608" i="16"/>
  <c r="H57609" i="16"/>
  <c r="H57610" i="16"/>
  <c r="H57611" i="16"/>
  <c r="H57612" i="16"/>
  <c r="H57613" i="16"/>
  <c r="H57614" i="16"/>
  <c r="H57615" i="16"/>
  <c r="H57616" i="16"/>
  <c r="H57617" i="16"/>
  <c r="H57618" i="16"/>
  <c r="H57619" i="16"/>
  <c r="H57620" i="16"/>
  <c r="H57621" i="16"/>
  <c r="H57622" i="16"/>
  <c r="H57623" i="16"/>
  <c r="H57624" i="16"/>
  <c r="H57625" i="16"/>
  <c r="H57626" i="16"/>
  <c r="H57627" i="16"/>
  <c r="H57628" i="16"/>
  <c r="H57629" i="16"/>
  <c r="H57630" i="16"/>
  <c r="H57631" i="16"/>
  <c r="H57632" i="16"/>
  <c r="H57633" i="16"/>
  <c r="H57634" i="16"/>
  <c r="H57635" i="16"/>
  <c r="H57636" i="16"/>
  <c r="H57637" i="16"/>
  <c r="H57638" i="16"/>
  <c r="H57639" i="16"/>
  <c r="H57640" i="16"/>
  <c r="H57641" i="16"/>
  <c r="H57642" i="16"/>
  <c r="H57643" i="16"/>
  <c r="H57644" i="16"/>
  <c r="H57645" i="16"/>
  <c r="H57646" i="16"/>
  <c r="H57647" i="16"/>
  <c r="H57648" i="16"/>
  <c r="H57649" i="16"/>
  <c r="H57650" i="16"/>
  <c r="H57651" i="16"/>
  <c r="H57652" i="16"/>
  <c r="H57653" i="16"/>
  <c r="H57654" i="16"/>
  <c r="H57655" i="16"/>
  <c r="H57656" i="16"/>
  <c r="H57657" i="16"/>
  <c r="H57658" i="16"/>
  <c r="H57659" i="16"/>
  <c r="H57660" i="16"/>
  <c r="H57661" i="16"/>
  <c r="H57662" i="16"/>
  <c r="H57663" i="16"/>
  <c r="H57664" i="16"/>
  <c r="H57665" i="16"/>
  <c r="H57666" i="16"/>
  <c r="H57667" i="16"/>
  <c r="H57668" i="16"/>
  <c r="H57669" i="16"/>
  <c r="H57670" i="16"/>
  <c r="H57671" i="16"/>
  <c r="H57672" i="16"/>
  <c r="H57673" i="16"/>
  <c r="H57674" i="16"/>
  <c r="H57675" i="16"/>
  <c r="H57676" i="16"/>
  <c r="H57677" i="16"/>
  <c r="H57678" i="16"/>
  <c r="H57679" i="16"/>
  <c r="H57680" i="16"/>
  <c r="H57681" i="16"/>
  <c r="H57682" i="16"/>
  <c r="H57683" i="16"/>
  <c r="H57684" i="16"/>
  <c r="H57685" i="16"/>
  <c r="H57686" i="16"/>
  <c r="H57687" i="16"/>
  <c r="H57688" i="16"/>
  <c r="H57689" i="16"/>
  <c r="H57690" i="16"/>
  <c r="H57691" i="16"/>
  <c r="H57692" i="16"/>
  <c r="H57693" i="16"/>
  <c r="H57694" i="16"/>
  <c r="H57695" i="16"/>
  <c r="H57696" i="16"/>
  <c r="H57697" i="16"/>
  <c r="H57698" i="16"/>
  <c r="H57699" i="16"/>
  <c r="H57700" i="16"/>
  <c r="H57701" i="16"/>
  <c r="H57702" i="16"/>
  <c r="H57703" i="16"/>
  <c r="H57704" i="16"/>
  <c r="H57705" i="16"/>
  <c r="H57706" i="16"/>
  <c r="H57707" i="16"/>
  <c r="H57708" i="16"/>
  <c r="H57709" i="16"/>
  <c r="H57710" i="16"/>
  <c r="H57711" i="16"/>
  <c r="H57712" i="16"/>
  <c r="H57713" i="16"/>
  <c r="H57714" i="16"/>
  <c r="H57715" i="16"/>
  <c r="H57716" i="16"/>
  <c r="H57717" i="16"/>
  <c r="H57718" i="16"/>
  <c r="H57719" i="16"/>
  <c r="H57720" i="16"/>
  <c r="H57721" i="16"/>
  <c r="H57722" i="16"/>
  <c r="H57723" i="16"/>
  <c r="H57724" i="16"/>
  <c r="H57725" i="16"/>
  <c r="H57726" i="16"/>
  <c r="H57727" i="16"/>
  <c r="H57728" i="16"/>
  <c r="H57729" i="16"/>
  <c r="H57730" i="16"/>
  <c r="H57731" i="16"/>
  <c r="H57732" i="16"/>
  <c r="H57733" i="16"/>
  <c r="H57734" i="16"/>
  <c r="H57735" i="16"/>
  <c r="H57736" i="16"/>
  <c r="H57737" i="16"/>
  <c r="H57738" i="16"/>
  <c r="H57739" i="16"/>
  <c r="H57740" i="16"/>
  <c r="H57741" i="16"/>
  <c r="H57742" i="16"/>
  <c r="H57743" i="16"/>
  <c r="H57744" i="16"/>
  <c r="H57745" i="16"/>
  <c r="H57746" i="16"/>
  <c r="H57747" i="16"/>
  <c r="H57748" i="16"/>
  <c r="H57749" i="16"/>
  <c r="H57750" i="16"/>
  <c r="H57751" i="16"/>
  <c r="H57752" i="16"/>
  <c r="H57753" i="16"/>
  <c r="H57754" i="16"/>
  <c r="H57755" i="16"/>
  <c r="H57756" i="16"/>
  <c r="H57757" i="16"/>
  <c r="H57758" i="16"/>
  <c r="H57759" i="16"/>
  <c r="H57760" i="16"/>
  <c r="H57761" i="16"/>
  <c r="H57762" i="16"/>
  <c r="H57763" i="16"/>
  <c r="H57764" i="16"/>
  <c r="H57765" i="16"/>
  <c r="H57766" i="16"/>
  <c r="H57767" i="16"/>
  <c r="H57768" i="16"/>
  <c r="H57769" i="16"/>
  <c r="H57770" i="16"/>
  <c r="H57771" i="16"/>
  <c r="H57772" i="16"/>
  <c r="H57773" i="16"/>
  <c r="H57774" i="16"/>
  <c r="H57775" i="16"/>
  <c r="H57776" i="16"/>
  <c r="H57777" i="16"/>
  <c r="H57778" i="16"/>
  <c r="H57779" i="16"/>
  <c r="H57780" i="16"/>
  <c r="H57781" i="16"/>
  <c r="H57782" i="16"/>
  <c r="H57783" i="16"/>
  <c r="H57784" i="16"/>
  <c r="H57785" i="16"/>
  <c r="H57786" i="16"/>
  <c r="H57787" i="16"/>
  <c r="H57788" i="16"/>
  <c r="H57789" i="16"/>
  <c r="H57790" i="16"/>
  <c r="H57791" i="16"/>
  <c r="H57792" i="16"/>
  <c r="H57793" i="16"/>
  <c r="H57794" i="16"/>
  <c r="H57795" i="16"/>
  <c r="H57796" i="16"/>
  <c r="H57797" i="16"/>
  <c r="H57798" i="16"/>
  <c r="H57799" i="16"/>
  <c r="H57800" i="16"/>
  <c r="H57801" i="16"/>
  <c r="H57802" i="16"/>
  <c r="H57803" i="16"/>
  <c r="H57804" i="16"/>
  <c r="H57805" i="16"/>
  <c r="H57806" i="16"/>
  <c r="H57807" i="16"/>
  <c r="H57808" i="16"/>
  <c r="H57809" i="16"/>
  <c r="H57810" i="16"/>
  <c r="H57811" i="16"/>
  <c r="H57812" i="16"/>
  <c r="H57813" i="16"/>
  <c r="H57814" i="16"/>
  <c r="H57815" i="16"/>
  <c r="H57816" i="16"/>
  <c r="H57817" i="16"/>
  <c r="H57818" i="16"/>
  <c r="H57819" i="16"/>
  <c r="H57820" i="16"/>
  <c r="H57821" i="16"/>
  <c r="H57822" i="16"/>
  <c r="H57823" i="16"/>
  <c r="H57824" i="16"/>
  <c r="H57825" i="16"/>
  <c r="H57826" i="16"/>
  <c r="H57827" i="16"/>
  <c r="H57828" i="16"/>
  <c r="H57829" i="16"/>
  <c r="H57830" i="16"/>
  <c r="H57831" i="16"/>
  <c r="H57832" i="16"/>
  <c r="H57833" i="16"/>
  <c r="H57834" i="16"/>
  <c r="H57835" i="16"/>
  <c r="H57836" i="16"/>
  <c r="H57837" i="16"/>
  <c r="H57838" i="16"/>
  <c r="H57839" i="16"/>
  <c r="H57840" i="16"/>
  <c r="H57841" i="16"/>
  <c r="H57842" i="16"/>
  <c r="H57843" i="16"/>
  <c r="H57844" i="16"/>
  <c r="H57845" i="16"/>
  <c r="H57846" i="16"/>
  <c r="H57847" i="16"/>
  <c r="H57848" i="16"/>
  <c r="H57849" i="16"/>
  <c r="H57850" i="16"/>
  <c r="H57851" i="16"/>
  <c r="H57852" i="16"/>
  <c r="H57853" i="16"/>
  <c r="H57854" i="16"/>
  <c r="H57855" i="16"/>
  <c r="H57856" i="16"/>
  <c r="H57857" i="16"/>
  <c r="H57858" i="16"/>
  <c r="H57859" i="16"/>
  <c r="H57860" i="16"/>
  <c r="H57861" i="16"/>
  <c r="H57862" i="16"/>
  <c r="H57863" i="16"/>
  <c r="H57864" i="16"/>
  <c r="H57865" i="16"/>
  <c r="H57866" i="16"/>
  <c r="H57867" i="16"/>
  <c r="H57868" i="16"/>
  <c r="H57869" i="16"/>
  <c r="H57870" i="16"/>
  <c r="H57871" i="16"/>
  <c r="H57872" i="16"/>
  <c r="H57873" i="16"/>
  <c r="H57874" i="16"/>
  <c r="H57875" i="16"/>
  <c r="H57876" i="16"/>
  <c r="H57877" i="16"/>
  <c r="H57878" i="16"/>
  <c r="H57879" i="16"/>
  <c r="H57880" i="16"/>
  <c r="H57881" i="16"/>
  <c r="H57882" i="16"/>
  <c r="H57883" i="16"/>
  <c r="H57884" i="16"/>
  <c r="H57885" i="16"/>
  <c r="H57886" i="16"/>
  <c r="H57887" i="16"/>
  <c r="H57888" i="16"/>
  <c r="H57889" i="16"/>
  <c r="H57890" i="16"/>
  <c r="H57891" i="16"/>
  <c r="H57892" i="16"/>
  <c r="H57893" i="16"/>
  <c r="H57894" i="16"/>
  <c r="H57895" i="16"/>
  <c r="H57896" i="16"/>
  <c r="H57897" i="16"/>
  <c r="H57898" i="16"/>
  <c r="H57899" i="16"/>
  <c r="H57900" i="16"/>
  <c r="H57901" i="16"/>
  <c r="H57902" i="16"/>
  <c r="H57903" i="16"/>
  <c r="H57904" i="16"/>
  <c r="H57905" i="16"/>
  <c r="H57906" i="16"/>
  <c r="H57907" i="16"/>
  <c r="H57908" i="16"/>
  <c r="H57909" i="16"/>
  <c r="H57910" i="16"/>
  <c r="H57911" i="16"/>
  <c r="H57912" i="16"/>
  <c r="H57913" i="16"/>
  <c r="H57914" i="16"/>
  <c r="H57915" i="16"/>
  <c r="H57916" i="16"/>
  <c r="H57917" i="16"/>
  <c r="H57918" i="16"/>
  <c r="H57919" i="16"/>
  <c r="H57920" i="16"/>
  <c r="H57921" i="16"/>
  <c r="H57922" i="16"/>
  <c r="H57923" i="16"/>
  <c r="H57924" i="16"/>
  <c r="H57925" i="16"/>
  <c r="H57926" i="16"/>
  <c r="H57927" i="16"/>
  <c r="H57928" i="16"/>
  <c r="H57929" i="16"/>
  <c r="H57930" i="16"/>
  <c r="H57931" i="16"/>
  <c r="H57932" i="16"/>
  <c r="H57933" i="16"/>
  <c r="H57934" i="16"/>
  <c r="H57935" i="16"/>
  <c r="H57936" i="16"/>
  <c r="H57937" i="16"/>
  <c r="H57938" i="16"/>
  <c r="H57939" i="16"/>
  <c r="H57940" i="16"/>
  <c r="H57941" i="16"/>
  <c r="H57942" i="16"/>
  <c r="H57943" i="16"/>
  <c r="H57944" i="16"/>
  <c r="H57945" i="16"/>
  <c r="H57946" i="16"/>
  <c r="H57947" i="16"/>
  <c r="H57948" i="16"/>
  <c r="H57949" i="16"/>
  <c r="H57950" i="16"/>
  <c r="H57951" i="16"/>
  <c r="H57952" i="16"/>
  <c r="H57953" i="16"/>
  <c r="H57954" i="16"/>
  <c r="H57955" i="16"/>
  <c r="H57956" i="16"/>
  <c r="H57957" i="16"/>
  <c r="H57958" i="16"/>
  <c r="H57959" i="16"/>
  <c r="H57960" i="16"/>
  <c r="H57961" i="16"/>
  <c r="H57962" i="16"/>
  <c r="H57963" i="16"/>
  <c r="H57964" i="16"/>
  <c r="H57965" i="16"/>
  <c r="H57966" i="16"/>
  <c r="H57967" i="16"/>
  <c r="H57968" i="16"/>
  <c r="H57969" i="16"/>
  <c r="H57970" i="16"/>
  <c r="H57971" i="16"/>
  <c r="H57972" i="16"/>
  <c r="H57973" i="16"/>
  <c r="H57974" i="16"/>
  <c r="H57975" i="16"/>
  <c r="H57976" i="16"/>
  <c r="H57977" i="16"/>
  <c r="H57978" i="16"/>
  <c r="H57979" i="16"/>
  <c r="H57980" i="16"/>
  <c r="H57981" i="16"/>
  <c r="H57982" i="16"/>
  <c r="H57983" i="16"/>
  <c r="H57984" i="16"/>
  <c r="H57985" i="16"/>
  <c r="H57986" i="16"/>
  <c r="H57987" i="16"/>
  <c r="H57988" i="16"/>
  <c r="H57989" i="16"/>
  <c r="H57990" i="16"/>
  <c r="H57991" i="16"/>
  <c r="H57992" i="16"/>
  <c r="H57993" i="16"/>
  <c r="H57994" i="16"/>
  <c r="H57995" i="16"/>
  <c r="H57996" i="16"/>
  <c r="H57997" i="16"/>
  <c r="H57998" i="16"/>
  <c r="H57999" i="16"/>
  <c r="H58000" i="16"/>
  <c r="H58001" i="16"/>
  <c r="H58002" i="16"/>
  <c r="H58003" i="16"/>
  <c r="H58004" i="16"/>
  <c r="H58005" i="16"/>
  <c r="H58006" i="16"/>
  <c r="H58007" i="16"/>
  <c r="H58008" i="16"/>
  <c r="H58009" i="16"/>
  <c r="H58010" i="16"/>
  <c r="H58011" i="16"/>
  <c r="H58012" i="16"/>
  <c r="H58013" i="16"/>
  <c r="H58014" i="16"/>
  <c r="H58015" i="16"/>
  <c r="H58016" i="16"/>
  <c r="H58017" i="16"/>
  <c r="H58018" i="16"/>
  <c r="H58019" i="16"/>
  <c r="H58020" i="16"/>
  <c r="H58021" i="16"/>
  <c r="H58022" i="16"/>
  <c r="H58023" i="16"/>
  <c r="H58024" i="16"/>
  <c r="H58025" i="16"/>
  <c r="H58026" i="16"/>
  <c r="H58027" i="16"/>
  <c r="H58028" i="16"/>
  <c r="H58029" i="16"/>
  <c r="H58030" i="16"/>
  <c r="H58031" i="16"/>
  <c r="H58032" i="16"/>
  <c r="H58033" i="16"/>
  <c r="H58034" i="16"/>
  <c r="H58035" i="16"/>
  <c r="H58036" i="16"/>
  <c r="H58037" i="16"/>
  <c r="H58038" i="16"/>
  <c r="H58039" i="16"/>
  <c r="H58040" i="16"/>
  <c r="H58041" i="16"/>
  <c r="H58042" i="16"/>
  <c r="H58043" i="16"/>
  <c r="H58044" i="16"/>
  <c r="H58045" i="16"/>
  <c r="H58046" i="16"/>
  <c r="H58047" i="16"/>
  <c r="H58048" i="16"/>
  <c r="H58049" i="16"/>
  <c r="H58050" i="16"/>
  <c r="H58051" i="16"/>
  <c r="H58052" i="16"/>
  <c r="H58053" i="16"/>
  <c r="H58054" i="16"/>
  <c r="H58055" i="16"/>
  <c r="H58056" i="16"/>
  <c r="H58057" i="16"/>
  <c r="H58058" i="16"/>
  <c r="H58059" i="16"/>
  <c r="H58060" i="16"/>
  <c r="H58061" i="16"/>
  <c r="H58062" i="16"/>
  <c r="H58063" i="16"/>
  <c r="H58064" i="16"/>
  <c r="H58065" i="16"/>
  <c r="H58066" i="16"/>
  <c r="H58067" i="16"/>
  <c r="H58068" i="16"/>
  <c r="H58069" i="16"/>
  <c r="H58070" i="16"/>
  <c r="H58071" i="16"/>
  <c r="H58072" i="16"/>
  <c r="H58073" i="16"/>
  <c r="H58074" i="16"/>
  <c r="H58075" i="16"/>
  <c r="H58076" i="16"/>
  <c r="H58077" i="16"/>
  <c r="H58078" i="16"/>
  <c r="H58079" i="16"/>
  <c r="H58080" i="16"/>
  <c r="H58081" i="16"/>
  <c r="H58082" i="16"/>
  <c r="H58083" i="16"/>
  <c r="H58084" i="16"/>
  <c r="H58085" i="16"/>
  <c r="H58086" i="16"/>
  <c r="H58087" i="16"/>
  <c r="H58088" i="16"/>
  <c r="H58089" i="16"/>
  <c r="H58090" i="16"/>
  <c r="H58091" i="16"/>
  <c r="H58092" i="16"/>
  <c r="H58093" i="16"/>
  <c r="H58094" i="16"/>
  <c r="H58095" i="16"/>
  <c r="H58096" i="16"/>
  <c r="H58097" i="16"/>
  <c r="H58098" i="16"/>
  <c r="H58099" i="16"/>
  <c r="H58100" i="16"/>
  <c r="H58101" i="16"/>
  <c r="H58102" i="16"/>
  <c r="H58103" i="16"/>
  <c r="H58104" i="16"/>
  <c r="H58105" i="16"/>
  <c r="H58106" i="16"/>
  <c r="H58107" i="16"/>
  <c r="H58108" i="16"/>
  <c r="H58109" i="16"/>
  <c r="H58110" i="16"/>
  <c r="H58111" i="16"/>
  <c r="H58112" i="16"/>
  <c r="H58113" i="16"/>
  <c r="H58114" i="16"/>
  <c r="H58115" i="16"/>
  <c r="H58116" i="16"/>
  <c r="H58117" i="16"/>
  <c r="H58118" i="16"/>
  <c r="H58119" i="16"/>
  <c r="H58120" i="16"/>
  <c r="H58121" i="16"/>
  <c r="H58122" i="16"/>
  <c r="H58123" i="16"/>
  <c r="H58124" i="16"/>
  <c r="H58125" i="16"/>
  <c r="H58126" i="16"/>
  <c r="H58127" i="16"/>
  <c r="H58128" i="16"/>
  <c r="H58129" i="16"/>
  <c r="H58130" i="16"/>
  <c r="H58131" i="16"/>
  <c r="H58132" i="16"/>
  <c r="H58133" i="16"/>
  <c r="H58134" i="16"/>
  <c r="H58135" i="16"/>
  <c r="H58136" i="16"/>
  <c r="H58137" i="16"/>
  <c r="H58138" i="16"/>
  <c r="H58139" i="16"/>
  <c r="H58140" i="16"/>
  <c r="H58141" i="16"/>
  <c r="H58142" i="16"/>
  <c r="H58143" i="16"/>
  <c r="H58144" i="16"/>
  <c r="H58145" i="16"/>
  <c r="H58146" i="16"/>
  <c r="H58147" i="16"/>
  <c r="H58148" i="16"/>
  <c r="H58149" i="16"/>
  <c r="H58150" i="16"/>
  <c r="H58151" i="16"/>
  <c r="H58152" i="16"/>
  <c r="H58153" i="16"/>
  <c r="H58154" i="16"/>
  <c r="H58155" i="16"/>
  <c r="H58156" i="16"/>
  <c r="H58157" i="16"/>
  <c r="H58158" i="16"/>
  <c r="H58159" i="16"/>
  <c r="H58160" i="16"/>
  <c r="H58161" i="16"/>
  <c r="H58162" i="16"/>
  <c r="H58163" i="16"/>
  <c r="H58164" i="16"/>
  <c r="H58165" i="16"/>
  <c r="H58166" i="16"/>
  <c r="H58167" i="16"/>
  <c r="H58168" i="16"/>
  <c r="H58169" i="16"/>
  <c r="H58170" i="16"/>
  <c r="H58171" i="16"/>
  <c r="H58172" i="16"/>
  <c r="H58173" i="16"/>
  <c r="H58174" i="16"/>
  <c r="H58175" i="16"/>
  <c r="H58176" i="16"/>
  <c r="H58177" i="16"/>
  <c r="H58178" i="16"/>
  <c r="H58179" i="16"/>
  <c r="H58180" i="16"/>
  <c r="H58181" i="16"/>
  <c r="H58182" i="16"/>
  <c r="H58183" i="16"/>
  <c r="H58184" i="16"/>
  <c r="H58185" i="16"/>
  <c r="H58186" i="16"/>
  <c r="H58187" i="16"/>
  <c r="H58188" i="16"/>
  <c r="H58189" i="16"/>
  <c r="H58190" i="16"/>
  <c r="H58191" i="16"/>
  <c r="H58192" i="16"/>
  <c r="H58193" i="16"/>
  <c r="H58194" i="16"/>
  <c r="H58195" i="16"/>
  <c r="H58196" i="16"/>
  <c r="H58197" i="16"/>
  <c r="H58198" i="16"/>
  <c r="H58199" i="16"/>
  <c r="H58200" i="16"/>
  <c r="H58201" i="16"/>
  <c r="H58202" i="16"/>
  <c r="H58203" i="16"/>
  <c r="H58204" i="16"/>
  <c r="H58205" i="16"/>
  <c r="H58206" i="16"/>
  <c r="H58207" i="16"/>
  <c r="H58208" i="16"/>
  <c r="H58209" i="16"/>
  <c r="H58210" i="16"/>
  <c r="H58211" i="16"/>
  <c r="H58212" i="16"/>
  <c r="H58213" i="16"/>
  <c r="H58214" i="16"/>
  <c r="H58215" i="16"/>
  <c r="H58216" i="16"/>
  <c r="H58217" i="16"/>
  <c r="H58218" i="16"/>
  <c r="H58219" i="16"/>
  <c r="H58220" i="16"/>
  <c r="H58221" i="16"/>
  <c r="H58222" i="16"/>
  <c r="H58223" i="16"/>
  <c r="H58224" i="16"/>
  <c r="H58225" i="16"/>
  <c r="H58226" i="16"/>
  <c r="H58227" i="16"/>
  <c r="H58228" i="16"/>
  <c r="H58229" i="16"/>
  <c r="H58230" i="16"/>
  <c r="H58231" i="16"/>
  <c r="H58232" i="16"/>
  <c r="H58233" i="16"/>
  <c r="H58234" i="16"/>
  <c r="H58235" i="16"/>
  <c r="H58236" i="16"/>
  <c r="H58237" i="16"/>
  <c r="H58238" i="16"/>
  <c r="H58239" i="16"/>
  <c r="H58240" i="16"/>
  <c r="H58241" i="16"/>
  <c r="H58242" i="16"/>
  <c r="H58243" i="16"/>
  <c r="H58244" i="16"/>
  <c r="H58245" i="16"/>
  <c r="H58246" i="16"/>
  <c r="H58247" i="16"/>
  <c r="H58248" i="16"/>
  <c r="H58249" i="16"/>
  <c r="H58250" i="16"/>
  <c r="H58251" i="16"/>
  <c r="H58252" i="16"/>
  <c r="H58253" i="16"/>
  <c r="H58254" i="16"/>
  <c r="H58255" i="16"/>
  <c r="H58256" i="16"/>
  <c r="H58257" i="16"/>
  <c r="H58258" i="16"/>
  <c r="H58259" i="16"/>
  <c r="H58260" i="16"/>
  <c r="H58261" i="16"/>
  <c r="H58262" i="16"/>
  <c r="H58263" i="16"/>
  <c r="H58264" i="16"/>
  <c r="H58265" i="16"/>
  <c r="H58266" i="16"/>
  <c r="H58267" i="16"/>
  <c r="H58268" i="16"/>
  <c r="H58269" i="16"/>
  <c r="H58270" i="16"/>
  <c r="H58271" i="16"/>
  <c r="H58272" i="16"/>
  <c r="H58273" i="16"/>
  <c r="H58274" i="16"/>
  <c r="H58275" i="16"/>
  <c r="H58276" i="16"/>
  <c r="H58277" i="16"/>
  <c r="H58278" i="16"/>
  <c r="H58279" i="16"/>
  <c r="H58280" i="16"/>
  <c r="H58281" i="16"/>
  <c r="H58282" i="16"/>
  <c r="H58283" i="16"/>
  <c r="H58284" i="16"/>
  <c r="H58285" i="16"/>
  <c r="H58286" i="16"/>
  <c r="H58287" i="16"/>
  <c r="H58288" i="16"/>
  <c r="H58289" i="16"/>
  <c r="H58290" i="16"/>
  <c r="H58291" i="16"/>
  <c r="H58292" i="16"/>
  <c r="H58293" i="16"/>
  <c r="H58294" i="16"/>
  <c r="H58295" i="16"/>
  <c r="H58296" i="16"/>
  <c r="H58297" i="16"/>
  <c r="H58298" i="16"/>
  <c r="H58299" i="16"/>
  <c r="H58300" i="16"/>
  <c r="H58301" i="16"/>
  <c r="H58302" i="16"/>
  <c r="H58303" i="16"/>
  <c r="H58304" i="16"/>
  <c r="H58305" i="16"/>
  <c r="H58306" i="16"/>
  <c r="H58307" i="16"/>
  <c r="H58308" i="16"/>
  <c r="H58309" i="16"/>
  <c r="H58310" i="16"/>
  <c r="H58311" i="16"/>
  <c r="H58312" i="16"/>
  <c r="H58313" i="16"/>
  <c r="H58314" i="16"/>
  <c r="H58315" i="16"/>
  <c r="H58316" i="16"/>
  <c r="H58317" i="16"/>
  <c r="H58318" i="16"/>
  <c r="H58319" i="16"/>
  <c r="H58320" i="16"/>
  <c r="H58321" i="16"/>
  <c r="H58322" i="16"/>
  <c r="H58323" i="16"/>
  <c r="H58324" i="16"/>
  <c r="H58325" i="16"/>
  <c r="H58326" i="16"/>
  <c r="H58327" i="16"/>
  <c r="H58328" i="16"/>
  <c r="H58329" i="16"/>
  <c r="H58330" i="16"/>
  <c r="H58331" i="16"/>
  <c r="H58332" i="16"/>
  <c r="H58333" i="16"/>
  <c r="H58334" i="16"/>
  <c r="H58335" i="16"/>
  <c r="H58336" i="16"/>
  <c r="H58337" i="16"/>
  <c r="H58338" i="16"/>
  <c r="H58339" i="16"/>
  <c r="H58340" i="16"/>
  <c r="H58341" i="16"/>
  <c r="H58342" i="16"/>
  <c r="H58343" i="16"/>
  <c r="H58344" i="16"/>
  <c r="H58345" i="16"/>
  <c r="H58346" i="16"/>
  <c r="H58347" i="16"/>
  <c r="H58348" i="16"/>
  <c r="H58349" i="16"/>
  <c r="H58350" i="16"/>
  <c r="H58351" i="16"/>
  <c r="H58352" i="16"/>
  <c r="H58353" i="16"/>
  <c r="H58354" i="16"/>
  <c r="H58355" i="16"/>
  <c r="H58356" i="16"/>
  <c r="H58357" i="16"/>
  <c r="H58358" i="16"/>
  <c r="H58359" i="16"/>
  <c r="H58360" i="16"/>
  <c r="H58361" i="16"/>
  <c r="H58362" i="16"/>
  <c r="H58363" i="16"/>
  <c r="H58364" i="16"/>
  <c r="H58365" i="16"/>
  <c r="H58366" i="16"/>
  <c r="H58367" i="16"/>
  <c r="H58368" i="16"/>
  <c r="H58369" i="16"/>
  <c r="H58370" i="16"/>
  <c r="H58371" i="16"/>
  <c r="H58372" i="16"/>
  <c r="H58373" i="16"/>
  <c r="H58374" i="16"/>
  <c r="H58375" i="16"/>
  <c r="H58376" i="16"/>
  <c r="H58377" i="16"/>
  <c r="H58378" i="16"/>
  <c r="H58379" i="16"/>
  <c r="H58380" i="16"/>
  <c r="H58381" i="16"/>
  <c r="H58382" i="16"/>
  <c r="H58383" i="16"/>
  <c r="H58384" i="16"/>
  <c r="H58385" i="16"/>
  <c r="H58386" i="16"/>
  <c r="H58387" i="16"/>
  <c r="H58388" i="16"/>
  <c r="H58389" i="16"/>
  <c r="H58390" i="16"/>
  <c r="H58391" i="16"/>
  <c r="H58392" i="16"/>
  <c r="H58393" i="16"/>
  <c r="H58394" i="16"/>
  <c r="H58395" i="16"/>
  <c r="H58396" i="16"/>
  <c r="H58397" i="16"/>
  <c r="H58398" i="16"/>
  <c r="H58399" i="16"/>
  <c r="H58400" i="16"/>
  <c r="H58401" i="16"/>
  <c r="H58402" i="16"/>
  <c r="H58403" i="16"/>
  <c r="H58404" i="16"/>
  <c r="H58405" i="16"/>
  <c r="H58406" i="16"/>
  <c r="H58407" i="16"/>
  <c r="H58408" i="16"/>
  <c r="H58409" i="16"/>
  <c r="H58410" i="16"/>
  <c r="H58411" i="16"/>
  <c r="H58412" i="16"/>
  <c r="H58413" i="16"/>
  <c r="H58414" i="16"/>
  <c r="H58415" i="16"/>
  <c r="H58416" i="16"/>
  <c r="H58417" i="16"/>
  <c r="H58418" i="16"/>
  <c r="H58419" i="16"/>
  <c r="H58420" i="16"/>
  <c r="H58421" i="16"/>
  <c r="H58422" i="16"/>
  <c r="H58423" i="16"/>
  <c r="H58424" i="16"/>
  <c r="H58425" i="16"/>
  <c r="H58426" i="16"/>
  <c r="H58427" i="16"/>
  <c r="H58428" i="16"/>
  <c r="H58429" i="16"/>
  <c r="H58430" i="16"/>
  <c r="H58431" i="16"/>
  <c r="H58432" i="16"/>
  <c r="H58433" i="16"/>
  <c r="H58434" i="16"/>
  <c r="H58435" i="16"/>
  <c r="H58436" i="16"/>
  <c r="H58437" i="16"/>
  <c r="H58438" i="16"/>
  <c r="H58439" i="16"/>
  <c r="H58440" i="16"/>
  <c r="H58441" i="16"/>
  <c r="H58442" i="16"/>
  <c r="H58443" i="16"/>
  <c r="H58444" i="16"/>
  <c r="H58445" i="16"/>
  <c r="H58446" i="16"/>
  <c r="H58447" i="16"/>
  <c r="H58448" i="16"/>
  <c r="H58449" i="16"/>
  <c r="H58450" i="16"/>
  <c r="H58451" i="16"/>
  <c r="H58452" i="16"/>
  <c r="H58453" i="16"/>
  <c r="H58454" i="16"/>
  <c r="H58455" i="16"/>
  <c r="H58456" i="16"/>
  <c r="H58457" i="16"/>
  <c r="H58458" i="16"/>
  <c r="H58459" i="16"/>
  <c r="H58460" i="16"/>
  <c r="H58461" i="16"/>
  <c r="H58462" i="16"/>
  <c r="H58463" i="16"/>
  <c r="H58464" i="16"/>
  <c r="H58465" i="16"/>
  <c r="H58466" i="16"/>
  <c r="H58467" i="16"/>
  <c r="H58468" i="16"/>
  <c r="H58469" i="16"/>
  <c r="H58470" i="16"/>
  <c r="H58471" i="16"/>
  <c r="H58472" i="16"/>
  <c r="H58473" i="16"/>
  <c r="H58474" i="16"/>
  <c r="H58475" i="16"/>
  <c r="H58476" i="16"/>
  <c r="H58477" i="16"/>
  <c r="H58478" i="16"/>
  <c r="H58479" i="16"/>
  <c r="H58480" i="16"/>
  <c r="H58481" i="16"/>
  <c r="H58482" i="16"/>
  <c r="H58483" i="16"/>
  <c r="H58484" i="16"/>
  <c r="H58485" i="16"/>
  <c r="H58486" i="16"/>
  <c r="H58487" i="16"/>
  <c r="H58488" i="16"/>
  <c r="H58489" i="16"/>
  <c r="H58490" i="16"/>
  <c r="H58491" i="16"/>
  <c r="H58492" i="16"/>
  <c r="H58493" i="16"/>
  <c r="H58494" i="16"/>
  <c r="H58495" i="16"/>
  <c r="H58496" i="16"/>
  <c r="H58497" i="16"/>
  <c r="H58498" i="16"/>
  <c r="H58499" i="16"/>
  <c r="H58500" i="16"/>
  <c r="H58501" i="16"/>
  <c r="H58502" i="16"/>
  <c r="H58503" i="16"/>
  <c r="H58504" i="16"/>
  <c r="H58505" i="16"/>
  <c r="H58506" i="16"/>
  <c r="H58507" i="16"/>
  <c r="H58508" i="16"/>
  <c r="H58509" i="16"/>
  <c r="H58510" i="16"/>
  <c r="H58511" i="16"/>
  <c r="H58512" i="16"/>
  <c r="H58513" i="16"/>
  <c r="H58514" i="16"/>
  <c r="H58515" i="16"/>
  <c r="H58516" i="16"/>
  <c r="H58517" i="16"/>
  <c r="H58518" i="16"/>
  <c r="H58519" i="16"/>
  <c r="H58520" i="16"/>
  <c r="H58521" i="16"/>
  <c r="H58522" i="16"/>
  <c r="H58523" i="16"/>
  <c r="H58524" i="16"/>
  <c r="H58525" i="16"/>
  <c r="H58526" i="16"/>
  <c r="H58527" i="16"/>
  <c r="H58528" i="16"/>
  <c r="H58529" i="16"/>
  <c r="H58530" i="16"/>
  <c r="H58531" i="16"/>
  <c r="H58532" i="16"/>
  <c r="H58533" i="16"/>
  <c r="H58534" i="16"/>
  <c r="H58535" i="16"/>
  <c r="H58536" i="16"/>
  <c r="H58537" i="16"/>
  <c r="H58538" i="16"/>
  <c r="H58539" i="16"/>
  <c r="H58540" i="16"/>
  <c r="H58541" i="16"/>
  <c r="H58542" i="16"/>
  <c r="H58543" i="16"/>
  <c r="H58544" i="16"/>
  <c r="H58545" i="16"/>
  <c r="H58546" i="16"/>
  <c r="H58547" i="16"/>
  <c r="H58548" i="16"/>
  <c r="H58549" i="16"/>
  <c r="H58550" i="16"/>
  <c r="H58551" i="16"/>
  <c r="H58552" i="16"/>
  <c r="H58553" i="16"/>
  <c r="H58554" i="16"/>
  <c r="H58555" i="16"/>
  <c r="H58556" i="16"/>
  <c r="H58557" i="16"/>
  <c r="H58558" i="16"/>
  <c r="H58559" i="16"/>
  <c r="H58560" i="16"/>
  <c r="H58561" i="16"/>
  <c r="H58562" i="16"/>
  <c r="H58563" i="16"/>
  <c r="H58564" i="16"/>
  <c r="H58565" i="16"/>
  <c r="H58566" i="16"/>
  <c r="H58567" i="16"/>
  <c r="H58568" i="16"/>
  <c r="H58569" i="16"/>
  <c r="H58570" i="16"/>
  <c r="H58571" i="16"/>
  <c r="H58572" i="16"/>
  <c r="H58573" i="16"/>
  <c r="H58574" i="16"/>
  <c r="H58575" i="16"/>
  <c r="H58576" i="16"/>
  <c r="H58577" i="16"/>
  <c r="H58578" i="16"/>
  <c r="H58579" i="16"/>
  <c r="H58580" i="16"/>
  <c r="H58581" i="16"/>
  <c r="H58582" i="16"/>
  <c r="H58583" i="16"/>
  <c r="H58584" i="16"/>
  <c r="H58585" i="16"/>
  <c r="H58586" i="16"/>
  <c r="H58587" i="16"/>
  <c r="H58588" i="16"/>
  <c r="H58589" i="16"/>
  <c r="H58590" i="16"/>
  <c r="H58591" i="16"/>
  <c r="H58592" i="16"/>
  <c r="H58593" i="16"/>
  <c r="H58594" i="16"/>
  <c r="H58595" i="16"/>
  <c r="H58596" i="16"/>
  <c r="H58597" i="16"/>
  <c r="H58598" i="16"/>
  <c r="H58599" i="16"/>
  <c r="H58600" i="16"/>
  <c r="H58601" i="16"/>
  <c r="H58602" i="16"/>
  <c r="H58603" i="16"/>
  <c r="H58604" i="16"/>
  <c r="H58605" i="16"/>
  <c r="H58606" i="16"/>
  <c r="H58607" i="16"/>
  <c r="H58608" i="16"/>
  <c r="H58609" i="16"/>
  <c r="H58610" i="16"/>
  <c r="H58611" i="16"/>
  <c r="H58612" i="16"/>
  <c r="H58613" i="16"/>
  <c r="H58614" i="16"/>
  <c r="H58615" i="16"/>
  <c r="H58616" i="16"/>
  <c r="H58617" i="16"/>
  <c r="H58618" i="16"/>
  <c r="H58619" i="16"/>
  <c r="H58620" i="16"/>
  <c r="H58621" i="16"/>
  <c r="H58622" i="16"/>
  <c r="H58623" i="16"/>
  <c r="H58624" i="16"/>
  <c r="H58625" i="16"/>
  <c r="H58626" i="16"/>
  <c r="H58627" i="16"/>
  <c r="H58628" i="16"/>
  <c r="H58629" i="16"/>
  <c r="H58630" i="16"/>
  <c r="H58631" i="16"/>
  <c r="H58632" i="16"/>
  <c r="H58633" i="16"/>
  <c r="H58634" i="16"/>
  <c r="H58635" i="16"/>
  <c r="H58636" i="16"/>
  <c r="H58637" i="16"/>
  <c r="H58638" i="16"/>
  <c r="H58639" i="16"/>
  <c r="H58640" i="16"/>
  <c r="H58641" i="16"/>
  <c r="H58642" i="16"/>
  <c r="H58643" i="16"/>
  <c r="H58644" i="16"/>
  <c r="H58645" i="16"/>
  <c r="H58646" i="16"/>
  <c r="H58647" i="16"/>
  <c r="H58648" i="16"/>
  <c r="H58649" i="16"/>
  <c r="H58650" i="16"/>
  <c r="H58651" i="16"/>
  <c r="H58652" i="16"/>
  <c r="H58653" i="16"/>
  <c r="H58654" i="16"/>
  <c r="H58655" i="16"/>
  <c r="H58656" i="16"/>
  <c r="H58657" i="16"/>
  <c r="H58658" i="16"/>
  <c r="H58659" i="16"/>
  <c r="H58660" i="16"/>
  <c r="H58661" i="16"/>
  <c r="H58662" i="16"/>
  <c r="H58663" i="16"/>
  <c r="H58664" i="16"/>
  <c r="H58665" i="16"/>
  <c r="H58666" i="16"/>
  <c r="H58667" i="16"/>
  <c r="H58668" i="16"/>
  <c r="H58669" i="16"/>
  <c r="H58670" i="16"/>
  <c r="H58671" i="16"/>
  <c r="H58672" i="16"/>
  <c r="H58673" i="16"/>
  <c r="H58674" i="16"/>
  <c r="H58675" i="16"/>
  <c r="H58676" i="16"/>
  <c r="H58677" i="16"/>
  <c r="H58678" i="16"/>
  <c r="H58679" i="16"/>
  <c r="H58680" i="16"/>
  <c r="H58681" i="16"/>
  <c r="H58682" i="16"/>
  <c r="H58683" i="16"/>
  <c r="H58684" i="16"/>
  <c r="H58685" i="16"/>
  <c r="H58686" i="16"/>
  <c r="H58687" i="16"/>
  <c r="H58688" i="16"/>
  <c r="H58689" i="16"/>
  <c r="H58690" i="16"/>
  <c r="H58691" i="16"/>
  <c r="H58692" i="16"/>
  <c r="H58693" i="16"/>
  <c r="H58694" i="16"/>
  <c r="H58695" i="16"/>
  <c r="H58696" i="16"/>
  <c r="H58697" i="16"/>
  <c r="H58698" i="16"/>
  <c r="H58699" i="16"/>
  <c r="H58700" i="16"/>
  <c r="H58701" i="16"/>
  <c r="H58702" i="16"/>
  <c r="H58703" i="16"/>
  <c r="H58704" i="16"/>
  <c r="H58705" i="16"/>
  <c r="H58706" i="16"/>
  <c r="H58707" i="16"/>
  <c r="H58708" i="16"/>
  <c r="H58709" i="16"/>
  <c r="H58710" i="16"/>
  <c r="H58711" i="16"/>
  <c r="H58712" i="16"/>
  <c r="H58713" i="16"/>
  <c r="H58714" i="16"/>
  <c r="H58715" i="16"/>
  <c r="H58716" i="16"/>
  <c r="H58717" i="16"/>
  <c r="H58718" i="16"/>
  <c r="H58719" i="16"/>
  <c r="H58720" i="16"/>
  <c r="H58721" i="16"/>
  <c r="H58722" i="16"/>
  <c r="H58723" i="16"/>
  <c r="H58724" i="16"/>
  <c r="H58725" i="16"/>
  <c r="H58726" i="16"/>
  <c r="H58727" i="16"/>
  <c r="H58728" i="16"/>
  <c r="H58729" i="16"/>
  <c r="H58730" i="16"/>
  <c r="H58731" i="16"/>
  <c r="H58732" i="16"/>
  <c r="H58733" i="16"/>
  <c r="H58734" i="16"/>
  <c r="H58735" i="16"/>
  <c r="H58736" i="16"/>
  <c r="H58737" i="16"/>
  <c r="H58738" i="16"/>
  <c r="H58739" i="16"/>
  <c r="H58740" i="16"/>
  <c r="H58741" i="16"/>
  <c r="H58742" i="16"/>
  <c r="H58743" i="16"/>
  <c r="H58744" i="16"/>
  <c r="H58745" i="16"/>
  <c r="H58746" i="16"/>
  <c r="H58747" i="16"/>
  <c r="H58748" i="16"/>
  <c r="H58749" i="16"/>
  <c r="H58750" i="16"/>
  <c r="H58751" i="16"/>
  <c r="H58752" i="16"/>
  <c r="H58753" i="16"/>
  <c r="H58754" i="16"/>
  <c r="H58755" i="16"/>
  <c r="H58756" i="16"/>
  <c r="H58757" i="16"/>
  <c r="H58758" i="16"/>
  <c r="H58759" i="16"/>
  <c r="H58760" i="16"/>
  <c r="H58761" i="16"/>
  <c r="H58762" i="16"/>
  <c r="H58763" i="16"/>
  <c r="H58764" i="16"/>
  <c r="H58765" i="16"/>
  <c r="H58766" i="16"/>
  <c r="H58767" i="16"/>
  <c r="H58768" i="16"/>
  <c r="H58769" i="16"/>
  <c r="H58770" i="16"/>
  <c r="H58771" i="16"/>
  <c r="H58772" i="16"/>
  <c r="H58773" i="16"/>
  <c r="H58774" i="16"/>
  <c r="H58775" i="16"/>
  <c r="H58776" i="16"/>
  <c r="H58777" i="16"/>
  <c r="H58778" i="16"/>
  <c r="H58779" i="16"/>
  <c r="H58780" i="16"/>
  <c r="H58781" i="16"/>
  <c r="H58782" i="16"/>
  <c r="H58783" i="16"/>
  <c r="H58784" i="16"/>
  <c r="H58785" i="16"/>
  <c r="H58786" i="16"/>
  <c r="H58787" i="16"/>
  <c r="H58788" i="16"/>
  <c r="H58789" i="16"/>
  <c r="H58790" i="16"/>
  <c r="H58791" i="16"/>
  <c r="H58792" i="16"/>
  <c r="H58793" i="16"/>
  <c r="H58794" i="16"/>
  <c r="H58795" i="16"/>
  <c r="H58796" i="16"/>
  <c r="H58797" i="16"/>
  <c r="H58798" i="16"/>
  <c r="H58799" i="16"/>
  <c r="H58800" i="16"/>
  <c r="H58801" i="16"/>
  <c r="H58802" i="16"/>
  <c r="H58803" i="16"/>
  <c r="H58804" i="16"/>
  <c r="H58805" i="16"/>
  <c r="H58806" i="16"/>
  <c r="H58807" i="16"/>
  <c r="H58808" i="16"/>
  <c r="H58809" i="16"/>
  <c r="H58810" i="16"/>
  <c r="H58811" i="16"/>
  <c r="H58812" i="16"/>
  <c r="H58813" i="16"/>
  <c r="H58814" i="16"/>
  <c r="H58815" i="16"/>
  <c r="H58816" i="16"/>
  <c r="H58817" i="16"/>
  <c r="H58818" i="16"/>
  <c r="H58819" i="16"/>
  <c r="H58820" i="16"/>
  <c r="H58821" i="16"/>
  <c r="H58822" i="16"/>
  <c r="H58823" i="16"/>
  <c r="H58824" i="16"/>
  <c r="H58825" i="16"/>
  <c r="H58826" i="16"/>
  <c r="H58827" i="16"/>
  <c r="H58828" i="16"/>
  <c r="H58829" i="16"/>
  <c r="H58830" i="16"/>
  <c r="H58831" i="16"/>
  <c r="H58832" i="16"/>
  <c r="H58833" i="16"/>
  <c r="H58834" i="16"/>
  <c r="H58835" i="16"/>
  <c r="H58836" i="16"/>
  <c r="H58837" i="16"/>
  <c r="H58838" i="16"/>
  <c r="H58839" i="16"/>
  <c r="H58840" i="16"/>
  <c r="H58841" i="16"/>
  <c r="H58842" i="16"/>
  <c r="H58843" i="16"/>
  <c r="H58844" i="16"/>
  <c r="H58845" i="16"/>
  <c r="H58846" i="16"/>
  <c r="H58847" i="16"/>
  <c r="H58848" i="16"/>
  <c r="H58849" i="16"/>
  <c r="H58850" i="16"/>
  <c r="H58851" i="16"/>
  <c r="H58852" i="16"/>
  <c r="H58853" i="16"/>
  <c r="H58854" i="16"/>
  <c r="H58855" i="16"/>
  <c r="H58856" i="16"/>
  <c r="H58857" i="16"/>
  <c r="H58858" i="16"/>
  <c r="H58859" i="16"/>
  <c r="H58860" i="16"/>
  <c r="H58861" i="16"/>
  <c r="H58862" i="16"/>
  <c r="H58863" i="16"/>
  <c r="H58864" i="16"/>
  <c r="H58865" i="16"/>
  <c r="H58866" i="16"/>
  <c r="H58867" i="16"/>
  <c r="H58868" i="16"/>
  <c r="H58869" i="16"/>
  <c r="H58870" i="16"/>
  <c r="H58871" i="16"/>
  <c r="H58872" i="16"/>
  <c r="H58873" i="16"/>
  <c r="H58874" i="16"/>
  <c r="H58875" i="16"/>
  <c r="H58876" i="16"/>
  <c r="H58877" i="16"/>
  <c r="H58878" i="16"/>
  <c r="H58879" i="16"/>
  <c r="H58880" i="16"/>
  <c r="H58881" i="16"/>
  <c r="H58882" i="16"/>
  <c r="H58883" i="16"/>
  <c r="H58884" i="16"/>
  <c r="H58885" i="16"/>
  <c r="H58886" i="16"/>
  <c r="H58887" i="16"/>
  <c r="H58888" i="16"/>
  <c r="H58889" i="16"/>
  <c r="H58890" i="16"/>
  <c r="H58891" i="16"/>
  <c r="H58892" i="16"/>
  <c r="H58893" i="16"/>
  <c r="H58894" i="16"/>
  <c r="H58895" i="16"/>
  <c r="H58896" i="16"/>
  <c r="H58897" i="16"/>
  <c r="H58898" i="16"/>
  <c r="H58899" i="16"/>
  <c r="H58900" i="16"/>
  <c r="H58901" i="16"/>
  <c r="H58902" i="16"/>
  <c r="H58903" i="16"/>
  <c r="H58904" i="16"/>
  <c r="H58905" i="16"/>
  <c r="H58906" i="16"/>
  <c r="H58907" i="16"/>
  <c r="H58908" i="16"/>
  <c r="H58909" i="16"/>
  <c r="H58910" i="16"/>
  <c r="H58911" i="16"/>
  <c r="H58912" i="16"/>
  <c r="H58913" i="16"/>
  <c r="H58914" i="16"/>
  <c r="H58915" i="16"/>
  <c r="H58916" i="16"/>
  <c r="H58917" i="16"/>
  <c r="H58918" i="16"/>
  <c r="H58919" i="16"/>
  <c r="H58920" i="16"/>
  <c r="H58921" i="16"/>
  <c r="H58922" i="16"/>
  <c r="H58923" i="16"/>
  <c r="H58924" i="16"/>
  <c r="H58925" i="16"/>
  <c r="H58926" i="16"/>
  <c r="H58927" i="16"/>
  <c r="H58928" i="16"/>
  <c r="H58929" i="16"/>
  <c r="H58930" i="16"/>
  <c r="H58931" i="16"/>
  <c r="H58932" i="16"/>
  <c r="H58933" i="16"/>
  <c r="H58934" i="16"/>
  <c r="H58935" i="16"/>
  <c r="H58936" i="16"/>
  <c r="H58937" i="16"/>
  <c r="H58938" i="16"/>
  <c r="H58939" i="16"/>
  <c r="H58940" i="16"/>
  <c r="H58941" i="16"/>
  <c r="H58942" i="16"/>
  <c r="H58943" i="16"/>
  <c r="H58944" i="16"/>
  <c r="H58945" i="16"/>
  <c r="H58946" i="16"/>
  <c r="H58947" i="16"/>
  <c r="H58948" i="16"/>
  <c r="H58949" i="16"/>
  <c r="H58950" i="16"/>
  <c r="H58951" i="16"/>
  <c r="H58952" i="16"/>
  <c r="H58953" i="16"/>
  <c r="H58954" i="16"/>
  <c r="H58955" i="16"/>
  <c r="H58956" i="16"/>
  <c r="H58957" i="16"/>
  <c r="H58958" i="16"/>
  <c r="H58959" i="16"/>
  <c r="H58960" i="16"/>
  <c r="H58961" i="16"/>
  <c r="H58962" i="16"/>
  <c r="H58963" i="16"/>
  <c r="H58964" i="16"/>
  <c r="H58965" i="16"/>
  <c r="H58966" i="16"/>
  <c r="H58967" i="16"/>
  <c r="H58968" i="16"/>
  <c r="H58969" i="16"/>
  <c r="H58970" i="16"/>
  <c r="H58971" i="16"/>
  <c r="H58972" i="16"/>
  <c r="H58973" i="16"/>
  <c r="H58974" i="16"/>
  <c r="H58975" i="16"/>
  <c r="H58976" i="16"/>
  <c r="H58977" i="16"/>
  <c r="H58978" i="16"/>
  <c r="H58979" i="16"/>
  <c r="H58980" i="16"/>
  <c r="H58981" i="16"/>
  <c r="H58982" i="16"/>
  <c r="H58983" i="16"/>
  <c r="H58984" i="16"/>
  <c r="H58985" i="16"/>
  <c r="H58986" i="16"/>
  <c r="H58987" i="16"/>
  <c r="H58988" i="16"/>
  <c r="H58989" i="16"/>
  <c r="H58990" i="16"/>
  <c r="H58991" i="16"/>
  <c r="H58992" i="16"/>
  <c r="H58993" i="16"/>
  <c r="H58994" i="16"/>
  <c r="H58995" i="16"/>
  <c r="H58996" i="16"/>
  <c r="H58997" i="16"/>
  <c r="H58998" i="16"/>
  <c r="H58999" i="16"/>
  <c r="H59000" i="16"/>
  <c r="H59001" i="16"/>
  <c r="H59002" i="16"/>
  <c r="H59003" i="16"/>
  <c r="H59004" i="16"/>
  <c r="H59005" i="16"/>
  <c r="H59006" i="16"/>
  <c r="H59007" i="16"/>
  <c r="H59008" i="16"/>
  <c r="H59009" i="16"/>
  <c r="H59010" i="16"/>
  <c r="H59011" i="16"/>
  <c r="H59012" i="16"/>
  <c r="H59013" i="16"/>
  <c r="H59014" i="16"/>
  <c r="H59015" i="16"/>
  <c r="H59016" i="16"/>
  <c r="H59017" i="16"/>
  <c r="H59018" i="16"/>
  <c r="H59019" i="16"/>
  <c r="H59020" i="16"/>
  <c r="H59021" i="16"/>
  <c r="H59022" i="16"/>
  <c r="H59023" i="16"/>
  <c r="H59024" i="16"/>
  <c r="H59025" i="16"/>
  <c r="H59026" i="16"/>
  <c r="H59027" i="16"/>
  <c r="H59028" i="16"/>
  <c r="H59029" i="16"/>
  <c r="H59030" i="16"/>
  <c r="H59031" i="16"/>
  <c r="H59032" i="16"/>
  <c r="H59033" i="16"/>
  <c r="H59034" i="16"/>
  <c r="H59035" i="16"/>
  <c r="H59036" i="16"/>
  <c r="H59037" i="16"/>
  <c r="H59038" i="16"/>
  <c r="H59039" i="16"/>
  <c r="H59040" i="16"/>
  <c r="H59041" i="16"/>
  <c r="H59042" i="16"/>
  <c r="H59043" i="16"/>
  <c r="H59044" i="16"/>
  <c r="H59045" i="16"/>
  <c r="H59046" i="16"/>
  <c r="H59047" i="16"/>
  <c r="H59048" i="16"/>
  <c r="H59049" i="16"/>
  <c r="H59050" i="16"/>
  <c r="H59051" i="16"/>
  <c r="H59052" i="16"/>
  <c r="H59053" i="16"/>
  <c r="H59054" i="16"/>
  <c r="H59055" i="16"/>
  <c r="H59056" i="16"/>
  <c r="H59057" i="16"/>
  <c r="H59058" i="16"/>
  <c r="H59059" i="16"/>
  <c r="H59060" i="16"/>
  <c r="H59061" i="16"/>
  <c r="H59062" i="16"/>
  <c r="H59063" i="16"/>
  <c r="H59064" i="16"/>
  <c r="H59065" i="16"/>
  <c r="H59066" i="16"/>
  <c r="H59067" i="16"/>
  <c r="H59068" i="16"/>
  <c r="H59069" i="16"/>
  <c r="H59070" i="16"/>
  <c r="H59071" i="16"/>
  <c r="H59072" i="16"/>
  <c r="H59073" i="16"/>
  <c r="H59074" i="16"/>
  <c r="H59075" i="16"/>
  <c r="H59076" i="16"/>
  <c r="H59077" i="16"/>
  <c r="H59078" i="16"/>
  <c r="H59079" i="16"/>
  <c r="H59080" i="16"/>
  <c r="H59081" i="16"/>
  <c r="H59082" i="16"/>
  <c r="H59083" i="16"/>
  <c r="H59084" i="16"/>
  <c r="H59085" i="16"/>
  <c r="H59086" i="16"/>
  <c r="H59087" i="16"/>
  <c r="H59088" i="16"/>
  <c r="H59089" i="16"/>
  <c r="H59090" i="16"/>
  <c r="H59091" i="16"/>
  <c r="H59092" i="16"/>
  <c r="H59093" i="16"/>
  <c r="H59094" i="16"/>
  <c r="H59095" i="16"/>
  <c r="H59096" i="16"/>
  <c r="H59097" i="16"/>
  <c r="H59098" i="16"/>
  <c r="H59099" i="16"/>
  <c r="H59100" i="16"/>
  <c r="H59101" i="16"/>
  <c r="H59102" i="16"/>
  <c r="H59103" i="16"/>
  <c r="H59104" i="16"/>
  <c r="H59105" i="16"/>
  <c r="H59106" i="16"/>
  <c r="H59107" i="16"/>
  <c r="H59108" i="16"/>
  <c r="H59109" i="16"/>
  <c r="H59110" i="16"/>
  <c r="H59111" i="16"/>
  <c r="H59112" i="16"/>
  <c r="H59113" i="16"/>
  <c r="H59114" i="16"/>
  <c r="H59115" i="16"/>
  <c r="H59116" i="16"/>
  <c r="H59117" i="16"/>
  <c r="H59118" i="16"/>
  <c r="H59119" i="16"/>
  <c r="H59120" i="16"/>
  <c r="H59121" i="16"/>
  <c r="H59122" i="16"/>
  <c r="H59123" i="16"/>
  <c r="H59124" i="16"/>
  <c r="H59125" i="16"/>
  <c r="H59126" i="16"/>
  <c r="H59127" i="16"/>
  <c r="H59128" i="16"/>
  <c r="H59129" i="16"/>
  <c r="H59130" i="16"/>
  <c r="H59131" i="16"/>
  <c r="H59132" i="16"/>
  <c r="H59133" i="16"/>
  <c r="H59134" i="16"/>
  <c r="H59135" i="16"/>
  <c r="H59136" i="16"/>
  <c r="H59137" i="16"/>
  <c r="H59138" i="16"/>
  <c r="H59139" i="16"/>
  <c r="H59140" i="16"/>
  <c r="H59141" i="16"/>
  <c r="H59142" i="16"/>
  <c r="H59143" i="16"/>
  <c r="H59144" i="16"/>
  <c r="H59145" i="16"/>
  <c r="H59146" i="16"/>
  <c r="H59147" i="16"/>
  <c r="H59148" i="16"/>
  <c r="H59149" i="16"/>
  <c r="H59150" i="16"/>
  <c r="H59151" i="16"/>
  <c r="H59152" i="16"/>
  <c r="H59153" i="16"/>
  <c r="H59154" i="16"/>
  <c r="H59155" i="16"/>
  <c r="H59156" i="16"/>
  <c r="H59157" i="16"/>
  <c r="H59158" i="16"/>
  <c r="H59159" i="16"/>
  <c r="H59160" i="16"/>
  <c r="H59161" i="16"/>
  <c r="H59162" i="16"/>
  <c r="H59163" i="16"/>
  <c r="H59164" i="16"/>
  <c r="H59165" i="16"/>
  <c r="H59166" i="16"/>
  <c r="H59167" i="16"/>
  <c r="H59168" i="16"/>
  <c r="H59169" i="16"/>
  <c r="H59170" i="16"/>
  <c r="H59171" i="16"/>
  <c r="H59172" i="16"/>
  <c r="H59173" i="16"/>
  <c r="H59174" i="16"/>
  <c r="H59175" i="16"/>
  <c r="H59176" i="16"/>
  <c r="H59177" i="16"/>
  <c r="H59178" i="16"/>
  <c r="H59179" i="16"/>
  <c r="H59180" i="16"/>
  <c r="H59181" i="16"/>
  <c r="H59182" i="16"/>
  <c r="H59183" i="16"/>
  <c r="H59184" i="16"/>
  <c r="H59185" i="16"/>
  <c r="H59186" i="16"/>
  <c r="H59187" i="16"/>
  <c r="H59188" i="16"/>
  <c r="H59189" i="16"/>
  <c r="H59190" i="16"/>
  <c r="H59191" i="16"/>
  <c r="H59192" i="16"/>
  <c r="H59193" i="16"/>
  <c r="H59194" i="16"/>
  <c r="H59195" i="16"/>
  <c r="H59196" i="16"/>
  <c r="H59197" i="16"/>
  <c r="H59198" i="16"/>
  <c r="H59199" i="16"/>
  <c r="H59200" i="16"/>
  <c r="H59201" i="16"/>
  <c r="H59202" i="16"/>
  <c r="H59203" i="16"/>
  <c r="H59204" i="16"/>
  <c r="H59205" i="16"/>
  <c r="H59206" i="16"/>
  <c r="H59207" i="16"/>
  <c r="H59208" i="16"/>
  <c r="H59209" i="16"/>
  <c r="H59210" i="16"/>
  <c r="H59211" i="16"/>
  <c r="H59212" i="16"/>
  <c r="H59213" i="16"/>
  <c r="H59214" i="16"/>
  <c r="H59215" i="16"/>
  <c r="H59216" i="16"/>
  <c r="H59217" i="16"/>
  <c r="H59218" i="16"/>
  <c r="H59219" i="16"/>
  <c r="H59220" i="16"/>
  <c r="H59221" i="16"/>
  <c r="H59222" i="16"/>
  <c r="H59223" i="16"/>
  <c r="H59224" i="16"/>
  <c r="H59225" i="16"/>
  <c r="H59226" i="16"/>
  <c r="H59227" i="16"/>
  <c r="H59228" i="16"/>
  <c r="H59229" i="16"/>
  <c r="H59230" i="16"/>
  <c r="H59231" i="16"/>
  <c r="H59232" i="16"/>
  <c r="H59233" i="16"/>
  <c r="H59234" i="16"/>
  <c r="H59235" i="16"/>
  <c r="H59236" i="16"/>
  <c r="H59237" i="16"/>
  <c r="H59238" i="16"/>
  <c r="H59239" i="16"/>
  <c r="H59240" i="16"/>
  <c r="H59241" i="16"/>
  <c r="H59242" i="16"/>
  <c r="H59243" i="16"/>
  <c r="H59244" i="16"/>
  <c r="H59245" i="16"/>
  <c r="H59246" i="16"/>
  <c r="H59247" i="16"/>
  <c r="H59248" i="16"/>
  <c r="H59249" i="16"/>
  <c r="H59250" i="16"/>
  <c r="H59251" i="16"/>
  <c r="H59252" i="16"/>
  <c r="H59253" i="16"/>
  <c r="H59254" i="16"/>
  <c r="H59255" i="16"/>
  <c r="H59256" i="16"/>
  <c r="H59257" i="16"/>
  <c r="H59258" i="16"/>
  <c r="H59259" i="16"/>
  <c r="H59260" i="16"/>
  <c r="H59261" i="16"/>
  <c r="H59262" i="16"/>
  <c r="H59263" i="16"/>
  <c r="H59264" i="16"/>
  <c r="H59265" i="16"/>
  <c r="H59266" i="16"/>
  <c r="H59267" i="16"/>
  <c r="H59268" i="16"/>
  <c r="H59269" i="16"/>
  <c r="H59270" i="16"/>
  <c r="H59271" i="16"/>
  <c r="H59272" i="16"/>
  <c r="H59273" i="16"/>
  <c r="H59274" i="16"/>
  <c r="H59275" i="16"/>
  <c r="H59276" i="16"/>
  <c r="H59277" i="16"/>
  <c r="H59278" i="16"/>
  <c r="H59279" i="16"/>
  <c r="H59280" i="16"/>
  <c r="H59281" i="16"/>
  <c r="H59282" i="16"/>
  <c r="H59283" i="16"/>
  <c r="H59284" i="16"/>
  <c r="H59285" i="16"/>
  <c r="H59286" i="16"/>
  <c r="H59287" i="16"/>
  <c r="H59288" i="16"/>
  <c r="H59289" i="16"/>
  <c r="H59290" i="16"/>
  <c r="H59291" i="16"/>
  <c r="H59292" i="16"/>
  <c r="H59293" i="16"/>
  <c r="H59294" i="16"/>
  <c r="H59295" i="16"/>
  <c r="H59296" i="16"/>
  <c r="H59297" i="16"/>
  <c r="H59298" i="16"/>
  <c r="H59299" i="16"/>
  <c r="H59300" i="16"/>
  <c r="H59301" i="16"/>
  <c r="H59302" i="16"/>
  <c r="H59303" i="16"/>
  <c r="H59304" i="16"/>
  <c r="H59305" i="16"/>
  <c r="H59306" i="16"/>
  <c r="H59307" i="16"/>
  <c r="H59308" i="16"/>
  <c r="H59309" i="16"/>
  <c r="H59310" i="16"/>
  <c r="H59311" i="16"/>
  <c r="H59312" i="16"/>
  <c r="H59313" i="16"/>
  <c r="H59314" i="16"/>
  <c r="H59315" i="16"/>
  <c r="H59316" i="16"/>
  <c r="H59317" i="16"/>
  <c r="H59318" i="16"/>
  <c r="H59319" i="16"/>
  <c r="H59320" i="16"/>
  <c r="H59321" i="16"/>
  <c r="H59322" i="16"/>
  <c r="H59323" i="16"/>
  <c r="H59324" i="16"/>
  <c r="H59325" i="16"/>
  <c r="H59326" i="16"/>
  <c r="H59327" i="16"/>
  <c r="H59328" i="16"/>
  <c r="H59329" i="16"/>
  <c r="H59330" i="16"/>
  <c r="H59331" i="16"/>
  <c r="H59332" i="16"/>
  <c r="H59333" i="16"/>
  <c r="H59334" i="16"/>
  <c r="H59335" i="16"/>
  <c r="H59336" i="16"/>
  <c r="H59337" i="16"/>
  <c r="H59338" i="16"/>
  <c r="H59339" i="16"/>
  <c r="H59340" i="16"/>
  <c r="H59341" i="16"/>
  <c r="H59342" i="16"/>
  <c r="H59343" i="16"/>
  <c r="H59344" i="16"/>
  <c r="H59345" i="16"/>
  <c r="H59346" i="16"/>
  <c r="H59347" i="16"/>
  <c r="H59348" i="16"/>
  <c r="H59349" i="16"/>
  <c r="H59350" i="16"/>
  <c r="H59351" i="16"/>
  <c r="H59352" i="16"/>
  <c r="H59353" i="16"/>
  <c r="H59354" i="16"/>
  <c r="H59355" i="16"/>
  <c r="H59356" i="16"/>
  <c r="H59357" i="16"/>
  <c r="H59358" i="16"/>
  <c r="H59359" i="16"/>
  <c r="H59360" i="16"/>
  <c r="H59361" i="16"/>
  <c r="H59362" i="16"/>
  <c r="H59363" i="16"/>
  <c r="H59364" i="16"/>
  <c r="H59365" i="16"/>
  <c r="H59366" i="16"/>
  <c r="H59367" i="16"/>
  <c r="H59368" i="16"/>
  <c r="H59369" i="16"/>
  <c r="H59370" i="16"/>
  <c r="H59371" i="16"/>
  <c r="H59372" i="16"/>
  <c r="H59373" i="16"/>
  <c r="H59374" i="16"/>
  <c r="H59375" i="16"/>
  <c r="H59376" i="16"/>
  <c r="H59377" i="16"/>
  <c r="H59378" i="16"/>
  <c r="H59379" i="16"/>
  <c r="H59380" i="16"/>
  <c r="H59381" i="16"/>
  <c r="H59382" i="16"/>
  <c r="H59383" i="16"/>
  <c r="H59384" i="16"/>
  <c r="H59385" i="16"/>
  <c r="H59386" i="16"/>
  <c r="H59387" i="16"/>
  <c r="H59388" i="16"/>
  <c r="H59389" i="16"/>
  <c r="H59390" i="16"/>
  <c r="H59391" i="16"/>
  <c r="H59392" i="16"/>
  <c r="H59393" i="16"/>
  <c r="H59394" i="16"/>
  <c r="H59395" i="16"/>
  <c r="H59396" i="16"/>
  <c r="H59397" i="16"/>
  <c r="H59398" i="16"/>
  <c r="H59399" i="16"/>
  <c r="H59400" i="16"/>
  <c r="H59401" i="16"/>
  <c r="H59402" i="16"/>
  <c r="H59403" i="16"/>
  <c r="H59404" i="16"/>
  <c r="H59405" i="16"/>
  <c r="H59406" i="16"/>
  <c r="H59407" i="16"/>
  <c r="H59408" i="16"/>
  <c r="H59409" i="16"/>
  <c r="H59410" i="16"/>
  <c r="H59411" i="16"/>
  <c r="H59412" i="16"/>
  <c r="H59413" i="16"/>
  <c r="H59414" i="16"/>
  <c r="H59415" i="16"/>
  <c r="H59416" i="16"/>
  <c r="H59417" i="16"/>
  <c r="H59418" i="16"/>
  <c r="H59419" i="16"/>
  <c r="H59420" i="16"/>
  <c r="H59421" i="16"/>
  <c r="H59422" i="16"/>
  <c r="H59423" i="16"/>
  <c r="H59424" i="16"/>
  <c r="H59425" i="16"/>
  <c r="H59426" i="16"/>
  <c r="H59427" i="16"/>
  <c r="H59428" i="16"/>
  <c r="H59429" i="16"/>
  <c r="H59430" i="16"/>
  <c r="H59431" i="16"/>
  <c r="H59432" i="16"/>
  <c r="H59433" i="16"/>
  <c r="H59434" i="16"/>
  <c r="H59435" i="16"/>
  <c r="H59436" i="16"/>
  <c r="H59437" i="16"/>
  <c r="H59438" i="16"/>
  <c r="H59439" i="16"/>
  <c r="H59440" i="16"/>
  <c r="H59441" i="16"/>
  <c r="H59442" i="16"/>
  <c r="H59443" i="16"/>
  <c r="H59444" i="16"/>
  <c r="H59445" i="16"/>
  <c r="H59446" i="16"/>
  <c r="H59447" i="16"/>
  <c r="H59448" i="16"/>
  <c r="H59449" i="16"/>
  <c r="H59450" i="16"/>
  <c r="H59451" i="16"/>
  <c r="H59452" i="16"/>
  <c r="H59453" i="16"/>
  <c r="H59454" i="16"/>
  <c r="H59455" i="16"/>
  <c r="H59456" i="16"/>
  <c r="H59457" i="16"/>
  <c r="H59458" i="16"/>
  <c r="H59459" i="16"/>
  <c r="H59460" i="16"/>
  <c r="H59461" i="16"/>
  <c r="H59462" i="16"/>
  <c r="H59463" i="16"/>
  <c r="H59464" i="16"/>
  <c r="H59465" i="16"/>
  <c r="H59466" i="16"/>
  <c r="H59467" i="16"/>
  <c r="H59468" i="16"/>
  <c r="H59469" i="16"/>
  <c r="H59470" i="16"/>
  <c r="H59471" i="16"/>
  <c r="H59472" i="16"/>
  <c r="H59473" i="16"/>
  <c r="H59474" i="16"/>
  <c r="H59475" i="16"/>
  <c r="H59476" i="16"/>
  <c r="H59477" i="16"/>
  <c r="H59478" i="16"/>
  <c r="H59479" i="16"/>
  <c r="H59480" i="16"/>
  <c r="H59481" i="16"/>
  <c r="H59482" i="16"/>
  <c r="H59483" i="16"/>
  <c r="H59484" i="16"/>
  <c r="H59485" i="16"/>
  <c r="H59486" i="16"/>
  <c r="H59487" i="16"/>
  <c r="H59488" i="16"/>
  <c r="H59489" i="16"/>
  <c r="H59490" i="16"/>
  <c r="H59491" i="16"/>
  <c r="H59492" i="16"/>
  <c r="H59493" i="16"/>
  <c r="H59494" i="16"/>
  <c r="H59495" i="16"/>
  <c r="H59496" i="16"/>
  <c r="H59497" i="16"/>
  <c r="H59498" i="16"/>
  <c r="H59499" i="16"/>
  <c r="H59500" i="16"/>
  <c r="H59501" i="16"/>
  <c r="H59502" i="16"/>
  <c r="H59503" i="16"/>
  <c r="H59504" i="16"/>
  <c r="H59505" i="16"/>
  <c r="H59506" i="16"/>
  <c r="H59507" i="16"/>
  <c r="H59508" i="16"/>
  <c r="H59509" i="16"/>
  <c r="H59510" i="16"/>
  <c r="H59511" i="16"/>
  <c r="H59512" i="16"/>
  <c r="H59513" i="16"/>
  <c r="H59514" i="16"/>
  <c r="H59515" i="16"/>
  <c r="H59516" i="16"/>
  <c r="H59517" i="16"/>
  <c r="H59518" i="16"/>
  <c r="H59519" i="16"/>
  <c r="H59520" i="16"/>
  <c r="H59521" i="16"/>
  <c r="H59522" i="16"/>
  <c r="H59523" i="16"/>
  <c r="H59524" i="16"/>
  <c r="H59525" i="16"/>
  <c r="H59526" i="16"/>
  <c r="H59527" i="16"/>
  <c r="H59528" i="16"/>
  <c r="H59529" i="16"/>
  <c r="H59530" i="16"/>
  <c r="H59531" i="16"/>
  <c r="H59532" i="16"/>
  <c r="H59533" i="16"/>
  <c r="H59534" i="16"/>
  <c r="H59535" i="16"/>
  <c r="H59536" i="16"/>
  <c r="H59537" i="16"/>
  <c r="H59538" i="16"/>
  <c r="H59539" i="16"/>
  <c r="H59540" i="16"/>
  <c r="H59541" i="16"/>
  <c r="H59542" i="16"/>
  <c r="H59543" i="16"/>
  <c r="H59544" i="16"/>
  <c r="H59545" i="16"/>
  <c r="H59546" i="16"/>
  <c r="H59547" i="16"/>
  <c r="H59548" i="16"/>
  <c r="H59549" i="16"/>
  <c r="H59550" i="16"/>
  <c r="H59551" i="16"/>
  <c r="H59552" i="16"/>
  <c r="H59553" i="16"/>
  <c r="H59554" i="16"/>
  <c r="H59555" i="16"/>
  <c r="H59556" i="16"/>
  <c r="H59557" i="16"/>
  <c r="H59558" i="16"/>
  <c r="H59559" i="16"/>
  <c r="H59560" i="16"/>
  <c r="H59561" i="16"/>
  <c r="H59562" i="16"/>
  <c r="H59563" i="16"/>
  <c r="H59564" i="16"/>
  <c r="H59565" i="16"/>
  <c r="H59566" i="16"/>
  <c r="H59567" i="16"/>
  <c r="H59568" i="16"/>
  <c r="H59569" i="16"/>
  <c r="H59570" i="16"/>
  <c r="H59571" i="16"/>
  <c r="H59572" i="16"/>
  <c r="H59573" i="16"/>
  <c r="H59574" i="16"/>
  <c r="H59575" i="16"/>
  <c r="H59576" i="16"/>
  <c r="H59577" i="16"/>
  <c r="H59578" i="16"/>
  <c r="H59579" i="16"/>
  <c r="H59580" i="16"/>
  <c r="H59581" i="16"/>
  <c r="H59582" i="16"/>
  <c r="H59583" i="16"/>
  <c r="H59584" i="16"/>
  <c r="H59585" i="16"/>
  <c r="H59586" i="16"/>
  <c r="H59587" i="16"/>
  <c r="H59588" i="16"/>
  <c r="H59589" i="16"/>
  <c r="H59590" i="16"/>
  <c r="H59591" i="16"/>
  <c r="H59592" i="16"/>
  <c r="H59593" i="16"/>
  <c r="H59594" i="16"/>
  <c r="H59595" i="16"/>
  <c r="H59596" i="16"/>
  <c r="H59597" i="16"/>
  <c r="H59598" i="16"/>
  <c r="H59599" i="16"/>
  <c r="H59600" i="16"/>
  <c r="H59601" i="16"/>
  <c r="H59602" i="16"/>
  <c r="H59603" i="16"/>
  <c r="H59604" i="16"/>
  <c r="H59605" i="16"/>
  <c r="H59606" i="16"/>
  <c r="H59607" i="16"/>
  <c r="H59608" i="16"/>
  <c r="H59609" i="16"/>
  <c r="H59610" i="16"/>
  <c r="H59611" i="16"/>
  <c r="H59612" i="16"/>
  <c r="H59613" i="16"/>
  <c r="H59614" i="16"/>
  <c r="H59615" i="16"/>
  <c r="H59616" i="16"/>
  <c r="H59617" i="16"/>
  <c r="H59618" i="16"/>
  <c r="H59619" i="16"/>
  <c r="H59620" i="16"/>
  <c r="H59621" i="16"/>
  <c r="H59622" i="16"/>
  <c r="H59623" i="16"/>
  <c r="H59624" i="16"/>
  <c r="H59625" i="16"/>
  <c r="H59626" i="16"/>
  <c r="H59627" i="16"/>
  <c r="H59628" i="16"/>
  <c r="H59629" i="16"/>
  <c r="H59630" i="16"/>
  <c r="H59631" i="16"/>
  <c r="H59632" i="16"/>
  <c r="H59633" i="16"/>
  <c r="H59634" i="16"/>
  <c r="H59635" i="16"/>
  <c r="H59636" i="16"/>
  <c r="H59637" i="16"/>
  <c r="H59638" i="16"/>
  <c r="H59639" i="16"/>
  <c r="H59640" i="16"/>
  <c r="H59641" i="16"/>
  <c r="H59642" i="16"/>
  <c r="H59643" i="16"/>
  <c r="H59644" i="16"/>
  <c r="H59645" i="16"/>
  <c r="H59646" i="16"/>
  <c r="H59647" i="16"/>
  <c r="H59648" i="16"/>
  <c r="H59649" i="16"/>
  <c r="H59650" i="16"/>
  <c r="H59651" i="16"/>
  <c r="H59652" i="16"/>
  <c r="H59653" i="16"/>
  <c r="H59654" i="16"/>
  <c r="H59655" i="16"/>
  <c r="H59656" i="16"/>
  <c r="H59657" i="16"/>
  <c r="H59658" i="16"/>
  <c r="H59659" i="16"/>
  <c r="H59660" i="16"/>
  <c r="H59661" i="16"/>
  <c r="H59662" i="16"/>
  <c r="H59663" i="16"/>
  <c r="H59664" i="16"/>
  <c r="H59665" i="16"/>
  <c r="H59666" i="16"/>
  <c r="H59667" i="16"/>
  <c r="H59668" i="16"/>
  <c r="H59669" i="16"/>
  <c r="H59670" i="16"/>
  <c r="H59671" i="16"/>
  <c r="H59672" i="16"/>
  <c r="H59673" i="16"/>
  <c r="H59674" i="16"/>
  <c r="H59675" i="16"/>
  <c r="H59676" i="16"/>
  <c r="H59677" i="16"/>
  <c r="H59678" i="16"/>
  <c r="H59679" i="16"/>
  <c r="H59680" i="16"/>
  <c r="H59681" i="16"/>
  <c r="H59682" i="16"/>
  <c r="H59683" i="16"/>
  <c r="H59684" i="16"/>
  <c r="H59685" i="16"/>
  <c r="H59686" i="16"/>
  <c r="H59687" i="16"/>
  <c r="H59688" i="16"/>
  <c r="H59689" i="16"/>
  <c r="H59690" i="16"/>
  <c r="H59691" i="16"/>
  <c r="H59692" i="16"/>
  <c r="H59693" i="16"/>
  <c r="H59694" i="16"/>
  <c r="H59695" i="16"/>
  <c r="H59696" i="16"/>
  <c r="H59697" i="16"/>
  <c r="H59698" i="16"/>
  <c r="H59699" i="16"/>
  <c r="H59700" i="16"/>
  <c r="H59701" i="16"/>
  <c r="H59702" i="16"/>
  <c r="H59703" i="16"/>
  <c r="H59704" i="16"/>
  <c r="H59705" i="16"/>
  <c r="H59706" i="16"/>
  <c r="H59707" i="16"/>
  <c r="H59708" i="16"/>
  <c r="H59709" i="16"/>
  <c r="H59710" i="16"/>
  <c r="H59711" i="16"/>
  <c r="H59712" i="16"/>
  <c r="H59713" i="16"/>
  <c r="H59714" i="16"/>
  <c r="H59715" i="16"/>
  <c r="H59716" i="16"/>
  <c r="H59717" i="16"/>
  <c r="H59718" i="16"/>
  <c r="H59719" i="16"/>
  <c r="H59720" i="16"/>
  <c r="H59721" i="16"/>
  <c r="H59722" i="16"/>
  <c r="H59723" i="16"/>
  <c r="H59724" i="16"/>
  <c r="H59725" i="16"/>
  <c r="H59726" i="16"/>
  <c r="H59727" i="16"/>
  <c r="H59728" i="16"/>
  <c r="H59729" i="16"/>
  <c r="H59730" i="16"/>
  <c r="H59731" i="16"/>
  <c r="H59732" i="16"/>
  <c r="H59733" i="16"/>
  <c r="H59734" i="16"/>
  <c r="H59735" i="16"/>
  <c r="H59736" i="16"/>
  <c r="H59737" i="16"/>
  <c r="H59738" i="16"/>
  <c r="H59739" i="16"/>
  <c r="H59740" i="16"/>
  <c r="H59741" i="16"/>
  <c r="H59742" i="16"/>
  <c r="H59743" i="16"/>
  <c r="H59744" i="16"/>
  <c r="H59745" i="16"/>
  <c r="H59746" i="16"/>
  <c r="H59747" i="16"/>
  <c r="H59748" i="16"/>
  <c r="H59749" i="16"/>
  <c r="H59750" i="16"/>
  <c r="H59751" i="16"/>
  <c r="H59752" i="16"/>
  <c r="H59753" i="16"/>
  <c r="H59754" i="16"/>
  <c r="H59755" i="16"/>
  <c r="H59756" i="16"/>
  <c r="H59757" i="16"/>
  <c r="H59758" i="16"/>
  <c r="H59759" i="16"/>
  <c r="H59760" i="16"/>
  <c r="H59761" i="16"/>
  <c r="H59762" i="16"/>
  <c r="H59763" i="16"/>
  <c r="H59764" i="16"/>
  <c r="H59765" i="16"/>
  <c r="H59766" i="16"/>
  <c r="H59767" i="16"/>
  <c r="H59768" i="16"/>
  <c r="H59769" i="16"/>
  <c r="H59770" i="16"/>
  <c r="H59771" i="16"/>
  <c r="H59772" i="16"/>
  <c r="H59773" i="16"/>
  <c r="H59774" i="16"/>
  <c r="H59775" i="16"/>
  <c r="H59776" i="16"/>
  <c r="H59777" i="16"/>
  <c r="H59778" i="16"/>
  <c r="H59779" i="16"/>
  <c r="H59780" i="16"/>
  <c r="H59781" i="16"/>
  <c r="H59782" i="16"/>
  <c r="H59783" i="16"/>
  <c r="H59784" i="16"/>
  <c r="H59785" i="16"/>
  <c r="H59786" i="16"/>
  <c r="H59787" i="16"/>
  <c r="H59788" i="16"/>
  <c r="H59789" i="16"/>
  <c r="H59790" i="16"/>
  <c r="H59791" i="16"/>
  <c r="H59792" i="16"/>
  <c r="H59793" i="16"/>
  <c r="H59794" i="16"/>
  <c r="H59795" i="16"/>
  <c r="H59796" i="16"/>
  <c r="H59797" i="16"/>
  <c r="H59798" i="16"/>
  <c r="H59799" i="16"/>
  <c r="H59800" i="16"/>
  <c r="H59801" i="16"/>
  <c r="H59802" i="16"/>
  <c r="H59803" i="16"/>
  <c r="H59804" i="16"/>
  <c r="H59805" i="16"/>
  <c r="H59806" i="16"/>
  <c r="H59807" i="16"/>
  <c r="H59808" i="16"/>
  <c r="H59809" i="16"/>
  <c r="H59810" i="16"/>
  <c r="H59811" i="16"/>
  <c r="H59812" i="16"/>
  <c r="H59813" i="16"/>
  <c r="H59814" i="16"/>
  <c r="H59815" i="16"/>
  <c r="H59816" i="16"/>
  <c r="H59817" i="16"/>
  <c r="H59818" i="16"/>
  <c r="H59819" i="16"/>
  <c r="H59820" i="16"/>
  <c r="H59821" i="16"/>
  <c r="H59822" i="16"/>
  <c r="H59823" i="16"/>
  <c r="H59824" i="16"/>
  <c r="H59825" i="16"/>
  <c r="H59826" i="16"/>
  <c r="H59827" i="16"/>
  <c r="H59828" i="16"/>
  <c r="H59829" i="16"/>
  <c r="H59830" i="16"/>
  <c r="H59831" i="16"/>
  <c r="H59832" i="16"/>
  <c r="H59833" i="16"/>
  <c r="H59834" i="16"/>
  <c r="H59835" i="16"/>
  <c r="H59836" i="16"/>
  <c r="H59837" i="16"/>
  <c r="H59838" i="16"/>
  <c r="H59839" i="16"/>
  <c r="H59840" i="16"/>
  <c r="H59841" i="16"/>
  <c r="H59842" i="16"/>
  <c r="H59843" i="16"/>
  <c r="H59844" i="16"/>
  <c r="H59845" i="16"/>
  <c r="H59846" i="16"/>
  <c r="H59847" i="16"/>
  <c r="H59848" i="16"/>
  <c r="H59849" i="16"/>
  <c r="H59850" i="16"/>
  <c r="H59851" i="16"/>
  <c r="H59852" i="16"/>
  <c r="H59853" i="16"/>
  <c r="H59854" i="16"/>
  <c r="H59855" i="16"/>
  <c r="H59856" i="16"/>
  <c r="H59857" i="16"/>
  <c r="H59858" i="16"/>
  <c r="H59859" i="16"/>
  <c r="H59860" i="16"/>
  <c r="H59861" i="16"/>
  <c r="H59862" i="16"/>
  <c r="H59863" i="16"/>
  <c r="H59864" i="16"/>
  <c r="H59865" i="16"/>
  <c r="H59866" i="16"/>
  <c r="H59867" i="16"/>
  <c r="H59868" i="16"/>
  <c r="H59869" i="16"/>
  <c r="H59870" i="16"/>
  <c r="H59871" i="16"/>
  <c r="H59872" i="16"/>
  <c r="H59873" i="16"/>
  <c r="H59874" i="16"/>
  <c r="H59875" i="16"/>
  <c r="H59876" i="16"/>
  <c r="H59877" i="16"/>
  <c r="H59878" i="16"/>
  <c r="H59879" i="16"/>
  <c r="H59880" i="16"/>
  <c r="H59881" i="16"/>
  <c r="H59882" i="16"/>
  <c r="H59883" i="16"/>
  <c r="H59884" i="16"/>
  <c r="H59885" i="16"/>
  <c r="H59886" i="16"/>
  <c r="H59887" i="16"/>
  <c r="H59888" i="16"/>
  <c r="H59889" i="16"/>
  <c r="H59890" i="16"/>
  <c r="H59891" i="16"/>
  <c r="H59892" i="16"/>
  <c r="H59893" i="16"/>
  <c r="H59894" i="16"/>
  <c r="H59895" i="16"/>
  <c r="H59896" i="16"/>
  <c r="H59897" i="16"/>
  <c r="H59898" i="16"/>
  <c r="H59899" i="16"/>
  <c r="H59900" i="16"/>
  <c r="H59901" i="16"/>
  <c r="H59902" i="16"/>
  <c r="H59903" i="16"/>
  <c r="H59904" i="16"/>
  <c r="H59905" i="16"/>
  <c r="H59906" i="16"/>
  <c r="H59907" i="16"/>
  <c r="H59908" i="16"/>
  <c r="H59909" i="16"/>
  <c r="H59910" i="16"/>
  <c r="H59911" i="16"/>
  <c r="H59912" i="16"/>
  <c r="H59913" i="16"/>
  <c r="H59914" i="16"/>
  <c r="H59915" i="16"/>
  <c r="H59916" i="16"/>
  <c r="H59917" i="16"/>
  <c r="H59918" i="16"/>
  <c r="H59919" i="16"/>
  <c r="H59920" i="16"/>
  <c r="H59921" i="16"/>
  <c r="H59922" i="16"/>
  <c r="H59923" i="16"/>
  <c r="H59924" i="16"/>
  <c r="H59925" i="16"/>
  <c r="H59926" i="16"/>
  <c r="H59927" i="16"/>
  <c r="H59928" i="16"/>
  <c r="H59929" i="16"/>
  <c r="H59930" i="16"/>
  <c r="H59931" i="16"/>
  <c r="H59932" i="16"/>
  <c r="H59933" i="16"/>
  <c r="H59934" i="16"/>
  <c r="H59935" i="16"/>
  <c r="H59936" i="16"/>
  <c r="H59937" i="16"/>
  <c r="H59938" i="16"/>
  <c r="H59939" i="16"/>
  <c r="H59940" i="16"/>
  <c r="H59941" i="16"/>
  <c r="H59942" i="16"/>
  <c r="H59943" i="16"/>
  <c r="H59944" i="16"/>
  <c r="H59945" i="16"/>
  <c r="H59946" i="16"/>
  <c r="H59947" i="16"/>
  <c r="H59948" i="16"/>
  <c r="H59949" i="16"/>
  <c r="H59950" i="16"/>
  <c r="H59951" i="16"/>
  <c r="H59952" i="16"/>
  <c r="H59953" i="16"/>
  <c r="H59954" i="16"/>
  <c r="H59955" i="16"/>
  <c r="H59956" i="16"/>
  <c r="H59957" i="16"/>
  <c r="H59958" i="16"/>
  <c r="H59959" i="16"/>
  <c r="H59960" i="16"/>
  <c r="H59961" i="16"/>
  <c r="H59962" i="16"/>
  <c r="H59963" i="16"/>
  <c r="H59964" i="16"/>
  <c r="H59965" i="16"/>
  <c r="H59966" i="16"/>
  <c r="H59967" i="16"/>
  <c r="H59968" i="16"/>
  <c r="H59969" i="16"/>
  <c r="H59970" i="16"/>
  <c r="H59971" i="16"/>
  <c r="H59972" i="16"/>
  <c r="H59973" i="16"/>
  <c r="H59974" i="16"/>
  <c r="H59975" i="16"/>
  <c r="H59976" i="16"/>
  <c r="H59977" i="16"/>
  <c r="H59978" i="16"/>
  <c r="H59979" i="16"/>
  <c r="H59980" i="16"/>
  <c r="H59981" i="16"/>
  <c r="H59982" i="16"/>
  <c r="H59983" i="16"/>
  <c r="H59984" i="16"/>
  <c r="H59985" i="16"/>
  <c r="H59986" i="16"/>
  <c r="H59987" i="16"/>
  <c r="H59988" i="16"/>
  <c r="H59989" i="16"/>
  <c r="H59990" i="16"/>
  <c r="H59991" i="16"/>
  <c r="H59992" i="16"/>
  <c r="H59993" i="16"/>
  <c r="H59994" i="16"/>
  <c r="H59995" i="16"/>
  <c r="H59996" i="16"/>
  <c r="H59997" i="16"/>
  <c r="H59998" i="16"/>
  <c r="H59999" i="16"/>
  <c r="H60000" i="16"/>
  <c r="H60001" i="16"/>
  <c r="H60002" i="16"/>
  <c r="H60003" i="16"/>
  <c r="H60004" i="16"/>
  <c r="H60005" i="16"/>
  <c r="H60006" i="16"/>
  <c r="H60007" i="16"/>
  <c r="H60008" i="16"/>
  <c r="H60009" i="16"/>
  <c r="H60010" i="16"/>
  <c r="H60011" i="16"/>
  <c r="H60012" i="16"/>
  <c r="H60013" i="16"/>
  <c r="H60014" i="16"/>
  <c r="H60015" i="16"/>
  <c r="H60016" i="16"/>
  <c r="H60017" i="16"/>
  <c r="H60018" i="16"/>
  <c r="H60019" i="16"/>
  <c r="H60020" i="16"/>
  <c r="H60021" i="16"/>
  <c r="H60022" i="16"/>
  <c r="H60023" i="16"/>
  <c r="H60024" i="16"/>
  <c r="H60025" i="16"/>
  <c r="H60026" i="16"/>
  <c r="H60027" i="16"/>
  <c r="H60028" i="16"/>
  <c r="H60029" i="16"/>
  <c r="H60030" i="16"/>
  <c r="H60031" i="16"/>
  <c r="H60032" i="16"/>
  <c r="H60033" i="16"/>
  <c r="H60034" i="16"/>
  <c r="H60035" i="16"/>
  <c r="H60036" i="16"/>
  <c r="H60037" i="16"/>
  <c r="H60038" i="16"/>
  <c r="H60039" i="16"/>
  <c r="H60040" i="16"/>
  <c r="H60041" i="16"/>
  <c r="H60042" i="16"/>
  <c r="H60043" i="16"/>
  <c r="H60044" i="16"/>
  <c r="H60045" i="16"/>
  <c r="H60046" i="16"/>
  <c r="H60047" i="16"/>
  <c r="H60048" i="16"/>
  <c r="H60049" i="16"/>
  <c r="H60050" i="16"/>
  <c r="H60051" i="16"/>
  <c r="H60052" i="16"/>
  <c r="H60053" i="16"/>
  <c r="H60054" i="16"/>
  <c r="H60055" i="16"/>
  <c r="H60056" i="16"/>
  <c r="H60057" i="16"/>
  <c r="H60058" i="16"/>
  <c r="H60059" i="16"/>
  <c r="H60060" i="16"/>
  <c r="H60061" i="16"/>
  <c r="H60062" i="16"/>
  <c r="H60063" i="16"/>
  <c r="H60064" i="16"/>
  <c r="H60065" i="16"/>
  <c r="H60066" i="16"/>
  <c r="H60067" i="16"/>
  <c r="H60068" i="16"/>
  <c r="H60069" i="16"/>
  <c r="H60070" i="16"/>
  <c r="H60071" i="16"/>
  <c r="H60072" i="16"/>
  <c r="H60073" i="16"/>
  <c r="H60074" i="16"/>
  <c r="H60075" i="16"/>
  <c r="H60076" i="16"/>
  <c r="H60077" i="16"/>
  <c r="H60078" i="16"/>
  <c r="H60079" i="16"/>
  <c r="H60080" i="16"/>
  <c r="H60081" i="16"/>
  <c r="H60082" i="16"/>
  <c r="H60083" i="16"/>
  <c r="H60084" i="16"/>
  <c r="H60085" i="16"/>
  <c r="H60086" i="16"/>
  <c r="H60087" i="16"/>
  <c r="H60088" i="16"/>
  <c r="H60089" i="16"/>
  <c r="H60090" i="16"/>
  <c r="H60091" i="16"/>
  <c r="H60092" i="16"/>
  <c r="H60093" i="16"/>
  <c r="H60094" i="16"/>
  <c r="H60095" i="16"/>
  <c r="H60096" i="16"/>
  <c r="H60097" i="16"/>
  <c r="H60098" i="16"/>
  <c r="H60099" i="16"/>
  <c r="H60100" i="16"/>
  <c r="H60101" i="16"/>
  <c r="H60102" i="16"/>
  <c r="H60103" i="16"/>
  <c r="H60104" i="16"/>
  <c r="H60105" i="16"/>
  <c r="H60106" i="16"/>
  <c r="H60107" i="16"/>
  <c r="H60108" i="16"/>
  <c r="H60109" i="16"/>
  <c r="H60110" i="16"/>
  <c r="H60111" i="16"/>
  <c r="H60112" i="16"/>
  <c r="H60113" i="16"/>
  <c r="H60114" i="16"/>
  <c r="H60115" i="16"/>
  <c r="H60116" i="16"/>
  <c r="H60117" i="16"/>
  <c r="H60118" i="16"/>
  <c r="H60119" i="16"/>
  <c r="H60120" i="16"/>
  <c r="H60121" i="16"/>
  <c r="H60122" i="16"/>
  <c r="H60123" i="16"/>
  <c r="H60124" i="16"/>
  <c r="H60125" i="16"/>
  <c r="H60126" i="16"/>
  <c r="H60127" i="16"/>
  <c r="H60128" i="16"/>
  <c r="H60129" i="16"/>
  <c r="H60130" i="16"/>
  <c r="H60131" i="16"/>
  <c r="H60132" i="16"/>
  <c r="H60133" i="16"/>
  <c r="H60134" i="16"/>
  <c r="H60135" i="16"/>
  <c r="H60136" i="16"/>
  <c r="H60137" i="16"/>
  <c r="H60138" i="16"/>
  <c r="H60139" i="16"/>
  <c r="H60140" i="16"/>
  <c r="H60141" i="16"/>
  <c r="H60142" i="16"/>
  <c r="H60143" i="16"/>
  <c r="H60144" i="16"/>
  <c r="H60145" i="16"/>
  <c r="H60146" i="16"/>
  <c r="H60147" i="16"/>
  <c r="H60148" i="16"/>
  <c r="H60149" i="16"/>
  <c r="H60150" i="16"/>
  <c r="H60151" i="16"/>
  <c r="H60152" i="16"/>
  <c r="H60153" i="16"/>
  <c r="H60154" i="16"/>
  <c r="H60155" i="16"/>
  <c r="H60156" i="16"/>
  <c r="H60157" i="16"/>
  <c r="H60158" i="16"/>
  <c r="H60159" i="16"/>
  <c r="H60160" i="16"/>
  <c r="H60161" i="16"/>
  <c r="H60162" i="16"/>
  <c r="H60163" i="16"/>
  <c r="H60164" i="16"/>
  <c r="H60165" i="16"/>
  <c r="H60166" i="16"/>
  <c r="H60167" i="16"/>
  <c r="H60168" i="16"/>
  <c r="H60169" i="16"/>
  <c r="H60170" i="16"/>
  <c r="H60171" i="16"/>
  <c r="H60172" i="16"/>
  <c r="H60173" i="16"/>
  <c r="H60174" i="16"/>
  <c r="H60175" i="16"/>
  <c r="H60176" i="16"/>
  <c r="H60177" i="16"/>
  <c r="H60178" i="16"/>
  <c r="H60179" i="16"/>
  <c r="H60180" i="16"/>
  <c r="H60181" i="16"/>
  <c r="H60182" i="16"/>
  <c r="H60183" i="16"/>
  <c r="H60184" i="16"/>
  <c r="H60185" i="16"/>
  <c r="H60186" i="16"/>
  <c r="H60187" i="16"/>
  <c r="H60188" i="16"/>
  <c r="H60189" i="16"/>
  <c r="H60190" i="16"/>
  <c r="H60191" i="16"/>
  <c r="H60192" i="16"/>
  <c r="H60193" i="16"/>
  <c r="H60194" i="16"/>
  <c r="H60195" i="16"/>
  <c r="H60196" i="16"/>
  <c r="H60197" i="16"/>
  <c r="H60198" i="16"/>
  <c r="H60199" i="16"/>
  <c r="H60200" i="16"/>
  <c r="H60201" i="16"/>
  <c r="H60202" i="16"/>
  <c r="H60203" i="16"/>
  <c r="H60204" i="16"/>
  <c r="H60205" i="16"/>
  <c r="H60206" i="16"/>
  <c r="H60207" i="16"/>
  <c r="H60208" i="16"/>
  <c r="H60209" i="16"/>
  <c r="H60210" i="16"/>
  <c r="H60211" i="16"/>
  <c r="H60212" i="16"/>
  <c r="H60213" i="16"/>
  <c r="H60214" i="16"/>
  <c r="H60215" i="16"/>
  <c r="H60216" i="16"/>
  <c r="H60217" i="16"/>
  <c r="H60218" i="16"/>
  <c r="H60219" i="16"/>
  <c r="H60220" i="16"/>
  <c r="H60221" i="16"/>
  <c r="H60222" i="16"/>
  <c r="H60223" i="16"/>
  <c r="H60224" i="16"/>
  <c r="H60225" i="16"/>
  <c r="H60226" i="16"/>
  <c r="H60227" i="16"/>
  <c r="H60228" i="16"/>
  <c r="H60229" i="16"/>
  <c r="H60230" i="16"/>
  <c r="H60231" i="16"/>
  <c r="H60232" i="16"/>
  <c r="H60233" i="16"/>
  <c r="H60234" i="16"/>
  <c r="H60235" i="16"/>
  <c r="H60236" i="16"/>
  <c r="H60237" i="16"/>
  <c r="H60238" i="16"/>
  <c r="H60239" i="16"/>
  <c r="H60240" i="16"/>
  <c r="H60241" i="16"/>
  <c r="H60242" i="16"/>
  <c r="H60243" i="16"/>
  <c r="H60244" i="16"/>
  <c r="H60245" i="16"/>
  <c r="H60246" i="16"/>
  <c r="H60247" i="16"/>
  <c r="H60248" i="16"/>
  <c r="H60249" i="16"/>
  <c r="H60250" i="16"/>
  <c r="H60251" i="16"/>
  <c r="H60252" i="16"/>
  <c r="H60253" i="16"/>
  <c r="H60254" i="16"/>
  <c r="H60255" i="16"/>
  <c r="H60256" i="16"/>
  <c r="H60257" i="16"/>
  <c r="H60258" i="16"/>
  <c r="H60259" i="16"/>
  <c r="H60260" i="16"/>
  <c r="H60261" i="16"/>
  <c r="H60262" i="16"/>
  <c r="H60263" i="16"/>
  <c r="H60264" i="16"/>
  <c r="H60265" i="16"/>
  <c r="H60266" i="16"/>
  <c r="H60267" i="16"/>
  <c r="H60268" i="16"/>
  <c r="H60269" i="16"/>
  <c r="H60270" i="16"/>
  <c r="H60271" i="16"/>
  <c r="H60272" i="16"/>
  <c r="H60273" i="16"/>
  <c r="H60274" i="16"/>
  <c r="H60275" i="16"/>
  <c r="H60276" i="16"/>
  <c r="H60277" i="16"/>
  <c r="H60278" i="16"/>
  <c r="H60279" i="16"/>
  <c r="H60280" i="16"/>
  <c r="H60281" i="16"/>
  <c r="H60282" i="16"/>
  <c r="H60283" i="16"/>
  <c r="H60284" i="16"/>
  <c r="H60285" i="16"/>
  <c r="H60286" i="16"/>
  <c r="H60287" i="16"/>
  <c r="H60288" i="16"/>
  <c r="H60289" i="16"/>
  <c r="H60290" i="16"/>
  <c r="H60291" i="16"/>
  <c r="H60292" i="16"/>
  <c r="H60293" i="16"/>
  <c r="H60294" i="16"/>
  <c r="H60295" i="16"/>
  <c r="H60296" i="16"/>
  <c r="H60297" i="16"/>
  <c r="H60298" i="16"/>
  <c r="H60299" i="16"/>
  <c r="H60300" i="16"/>
  <c r="H60301" i="16"/>
  <c r="H60302" i="16"/>
  <c r="H60303" i="16"/>
  <c r="H60304" i="16"/>
  <c r="H60305" i="16"/>
  <c r="H60306" i="16"/>
  <c r="H60307" i="16"/>
  <c r="H60308" i="16"/>
  <c r="H60309" i="16"/>
  <c r="H60310" i="16"/>
  <c r="H60311" i="16"/>
  <c r="H60312" i="16"/>
  <c r="H60313" i="16"/>
  <c r="H60314" i="16"/>
  <c r="H60315" i="16"/>
  <c r="H60316" i="16"/>
  <c r="H60317" i="16"/>
  <c r="H60318" i="16"/>
  <c r="H60319" i="16"/>
  <c r="H60320" i="16"/>
  <c r="H60321" i="16"/>
  <c r="H60322" i="16"/>
  <c r="H60323" i="16"/>
  <c r="H60324" i="16"/>
  <c r="H60325" i="16"/>
  <c r="H60326" i="16"/>
  <c r="H60327" i="16"/>
  <c r="H60328" i="16"/>
  <c r="H60329" i="16"/>
  <c r="H60330" i="16"/>
  <c r="H60331" i="16"/>
  <c r="H60332" i="16"/>
  <c r="H60333" i="16"/>
  <c r="H60334" i="16"/>
  <c r="H60335" i="16"/>
  <c r="H60336" i="16"/>
  <c r="H60337" i="16"/>
  <c r="H60338" i="16"/>
  <c r="H60339" i="16"/>
  <c r="H60340" i="16"/>
  <c r="H60341" i="16"/>
  <c r="H60342" i="16"/>
  <c r="H60343" i="16"/>
  <c r="H60344" i="16"/>
  <c r="H60345" i="16"/>
  <c r="H60346" i="16"/>
  <c r="H60347" i="16"/>
  <c r="H60348" i="16"/>
  <c r="H60349" i="16"/>
  <c r="H60350" i="16"/>
  <c r="H60351" i="16"/>
  <c r="H60352" i="16"/>
  <c r="H60353" i="16"/>
  <c r="H60354" i="16"/>
  <c r="H60355" i="16"/>
  <c r="H60356" i="16"/>
  <c r="H60357" i="16"/>
  <c r="H60358" i="16"/>
  <c r="H60359" i="16"/>
  <c r="H60360" i="16"/>
  <c r="H60361" i="16"/>
  <c r="H60362" i="16"/>
  <c r="H60363" i="16"/>
  <c r="H60364" i="16"/>
  <c r="H60365" i="16"/>
  <c r="H60366" i="16"/>
  <c r="H60367" i="16"/>
  <c r="H60368" i="16"/>
  <c r="H60369" i="16"/>
  <c r="H60370" i="16"/>
  <c r="H60371" i="16"/>
  <c r="H60372" i="16"/>
  <c r="H60373" i="16"/>
  <c r="H60374" i="16"/>
  <c r="H60375" i="16"/>
  <c r="H60376" i="16"/>
  <c r="H60377" i="16"/>
  <c r="H60378" i="16"/>
  <c r="H60379" i="16"/>
  <c r="H60380" i="16"/>
  <c r="H60381" i="16"/>
  <c r="H60382" i="16"/>
  <c r="H60383" i="16"/>
  <c r="H60384" i="16"/>
  <c r="H60385" i="16"/>
  <c r="H60386" i="16"/>
  <c r="H60387" i="16"/>
  <c r="H60388" i="16"/>
  <c r="H60389" i="16"/>
  <c r="H60390" i="16"/>
  <c r="H60391" i="16"/>
  <c r="H60392" i="16"/>
  <c r="H60393" i="16"/>
  <c r="H60394" i="16"/>
  <c r="H60395" i="16"/>
  <c r="H60396" i="16"/>
  <c r="H60397" i="16"/>
  <c r="H60398" i="16"/>
  <c r="H60399" i="16"/>
  <c r="H60400" i="16"/>
  <c r="H60401" i="16"/>
  <c r="H60402" i="16"/>
  <c r="H60403" i="16"/>
  <c r="H60404" i="16"/>
  <c r="H60405" i="16"/>
  <c r="H60406" i="16"/>
  <c r="H60407" i="16"/>
  <c r="H60408" i="16"/>
  <c r="H60409" i="16"/>
  <c r="H60410" i="16"/>
  <c r="H60411" i="16"/>
  <c r="H60412" i="16"/>
  <c r="H60413" i="16"/>
  <c r="H60414" i="16"/>
  <c r="H60415" i="16"/>
  <c r="H60416" i="16"/>
  <c r="H60417" i="16"/>
  <c r="H60418" i="16"/>
  <c r="H60419" i="16"/>
  <c r="H60420" i="16"/>
  <c r="H60421" i="16"/>
  <c r="H60422" i="16"/>
  <c r="H60423" i="16"/>
  <c r="H60424" i="16"/>
  <c r="H60425" i="16"/>
  <c r="H60426" i="16"/>
  <c r="H60427" i="16"/>
  <c r="H60428" i="16"/>
  <c r="H60429" i="16"/>
  <c r="H60430" i="16"/>
  <c r="H60431" i="16"/>
  <c r="H60432" i="16"/>
  <c r="H60433" i="16"/>
  <c r="H60434" i="16"/>
  <c r="H60435" i="16"/>
  <c r="H60436" i="16"/>
  <c r="H60437" i="16"/>
  <c r="H60438" i="16"/>
  <c r="H60439" i="16"/>
  <c r="H60440" i="16"/>
  <c r="H60441" i="16"/>
  <c r="H60442" i="16"/>
  <c r="H60443" i="16"/>
  <c r="H60444" i="16"/>
  <c r="H60445" i="16"/>
  <c r="H60446" i="16"/>
  <c r="H60447" i="16"/>
  <c r="H60448" i="16"/>
  <c r="H60449" i="16"/>
  <c r="H60450" i="16"/>
  <c r="H60451" i="16"/>
  <c r="H60452" i="16"/>
  <c r="H60453" i="16"/>
  <c r="H60454" i="16"/>
  <c r="H60455" i="16"/>
  <c r="H60456" i="16"/>
  <c r="H60457" i="16"/>
  <c r="H60458" i="16"/>
  <c r="H60459" i="16"/>
  <c r="H60460" i="16"/>
  <c r="H60461" i="16"/>
  <c r="H60462" i="16"/>
  <c r="H60463" i="16"/>
  <c r="H60464" i="16"/>
  <c r="H60465" i="16"/>
  <c r="H60466" i="16"/>
  <c r="H60467" i="16"/>
  <c r="H60468" i="16"/>
  <c r="H60469" i="16"/>
  <c r="H60470" i="16"/>
  <c r="H60471" i="16"/>
  <c r="H60472" i="16"/>
  <c r="H60473" i="16"/>
  <c r="H60474" i="16"/>
  <c r="H60475" i="16"/>
  <c r="H60476" i="16"/>
  <c r="H60477" i="16"/>
  <c r="H60478" i="16"/>
  <c r="H60479" i="16"/>
  <c r="H60480" i="16"/>
  <c r="H60481" i="16"/>
  <c r="H60482" i="16"/>
  <c r="H60483" i="16"/>
  <c r="H60484" i="16"/>
  <c r="H60485" i="16"/>
  <c r="H60486" i="16"/>
  <c r="H60487" i="16"/>
  <c r="H60488" i="16"/>
  <c r="H60489" i="16"/>
  <c r="H60490" i="16"/>
  <c r="H60491" i="16"/>
  <c r="H60492" i="16"/>
  <c r="H60493" i="16"/>
  <c r="H60494" i="16"/>
  <c r="H60495" i="16"/>
  <c r="H60496" i="16"/>
  <c r="H60497" i="16"/>
  <c r="H60498" i="16"/>
  <c r="H60499" i="16"/>
  <c r="H60500" i="16"/>
  <c r="H60501" i="16"/>
  <c r="H60502" i="16"/>
  <c r="H60503" i="16"/>
  <c r="H60504" i="16"/>
  <c r="H60505" i="16"/>
  <c r="H60506" i="16"/>
  <c r="H60507" i="16"/>
  <c r="H60508" i="16"/>
  <c r="H60509" i="16"/>
  <c r="H60510" i="16"/>
  <c r="H60511" i="16"/>
  <c r="H60512" i="16"/>
  <c r="H60513" i="16"/>
  <c r="H60514" i="16"/>
  <c r="H60515" i="16"/>
  <c r="H60516" i="16"/>
  <c r="H60517" i="16"/>
  <c r="H60518" i="16"/>
  <c r="H60519" i="16"/>
  <c r="H60520" i="16"/>
  <c r="H60521" i="16"/>
  <c r="H60522" i="16"/>
  <c r="H60523" i="16"/>
  <c r="H60524" i="16"/>
  <c r="H60525" i="16"/>
  <c r="H60526" i="16"/>
  <c r="H60527" i="16"/>
  <c r="H60528" i="16"/>
  <c r="H60529" i="16"/>
  <c r="H60530" i="16"/>
  <c r="H60531" i="16"/>
  <c r="H60532" i="16"/>
  <c r="H60533" i="16"/>
  <c r="H60534" i="16"/>
  <c r="H60535" i="16"/>
  <c r="H60536" i="16"/>
  <c r="H60537" i="16"/>
  <c r="H60538" i="16"/>
  <c r="H60539" i="16"/>
  <c r="H60540" i="16"/>
  <c r="H60541" i="16"/>
  <c r="H60542" i="16"/>
  <c r="H60543" i="16"/>
  <c r="H60544" i="16"/>
  <c r="H60545" i="16"/>
  <c r="H60546" i="16"/>
  <c r="H60547" i="16"/>
  <c r="H60548" i="16"/>
  <c r="H60549" i="16"/>
  <c r="H60550" i="16"/>
  <c r="H60551" i="16"/>
  <c r="H60552" i="16"/>
  <c r="H60553" i="16"/>
  <c r="H60554" i="16"/>
  <c r="H60555" i="16"/>
  <c r="H60556" i="16"/>
  <c r="H60557" i="16"/>
  <c r="H60558" i="16"/>
  <c r="H60559" i="16"/>
  <c r="H60560" i="16"/>
  <c r="H60561" i="16"/>
  <c r="H60562" i="16"/>
  <c r="H60563" i="16"/>
  <c r="H60564" i="16"/>
  <c r="H60565" i="16"/>
  <c r="H60566" i="16"/>
  <c r="H60567" i="16"/>
  <c r="H60568" i="16"/>
  <c r="H60569" i="16"/>
  <c r="H60570" i="16"/>
  <c r="H60571" i="16"/>
  <c r="H60572" i="16"/>
  <c r="H60573" i="16"/>
  <c r="H60574" i="16"/>
  <c r="H60575" i="16"/>
  <c r="H60576" i="16"/>
  <c r="H60577" i="16"/>
  <c r="H60578" i="16"/>
  <c r="H60579" i="16"/>
  <c r="H60580" i="16"/>
  <c r="H60581" i="16"/>
  <c r="H60582" i="16"/>
  <c r="H60583" i="16"/>
  <c r="H60584" i="16"/>
  <c r="H60585" i="16"/>
  <c r="H60586" i="16"/>
  <c r="H60587" i="16"/>
  <c r="H60588" i="16"/>
  <c r="H60589" i="16"/>
  <c r="H60590" i="16"/>
  <c r="H60591" i="16"/>
  <c r="H60592" i="16"/>
  <c r="H60593" i="16"/>
  <c r="H60594" i="16"/>
  <c r="H60595" i="16"/>
  <c r="H60596" i="16"/>
  <c r="H60597" i="16"/>
  <c r="H60598" i="16"/>
  <c r="H60599" i="16"/>
  <c r="H60600" i="16"/>
  <c r="H60601" i="16"/>
  <c r="H60602" i="16"/>
  <c r="H60603" i="16"/>
  <c r="H60604" i="16"/>
  <c r="H60605" i="16"/>
  <c r="H60606" i="16"/>
  <c r="H60607" i="16"/>
  <c r="H60608" i="16"/>
  <c r="H60609" i="16"/>
  <c r="H60610" i="16"/>
  <c r="H60611" i="16"/>
  <c r="H60612" i="16"/>
  <c r="H60613" i="16"/>
  <c r="H60614" i="16"/>
  <c r="H60615" i="16"/>
  <c r="H60616" i="16"/>
  <c r="H60617" i="16"/>
  <c r="H60618" i="16"/>
  <c r="H60619" i="16"/>
  <c r="H60620" i="16"/>
  <c r="H60621" i="16"/>
  <c r="H60622" i="16"/>
  <c r="H60623" i="16"/>
  <c r="H60624" i="16"/>
  <c r="H60625" i="16"/>
  <c r="H60626" i="16"/>
  <c r="H60627" i="16"/>
  <c r="H60628" i="16"/>
  <c r="H60629" i="16"/>
  <c r="H60630" i="16"/>
  <c r="H60631" i="16"/>
  <c r="H60632" i="16"/>
  <c r="H60633" i="16"/>
  <c r="H60634" i="16"/>
  <c r="H60635" i="16"/>
  <c r="H60636" i="16"/>
  <c r="H60637" i="16"/>
  <c r="H60638" i="16"/>
  <c r="H60639" i="16"/>
  <c r="H60640" i="16"/>
  <c r="H60641" i="16"/>
  <c r="H60642" i="16"/>
  <c r="H60643" i="16"/>
  <c r="H60644" i="16"/>
  <c r="H60645" i="16"/>
  <c r="H60646" i="16"/>
  <c r="H60647" i="16"/>
  <c r="H60648" i="16"/>
  <c r="H60649" i="16"/>
  <c r="H60650" i="16"/>
  <c r="H60651" i="16"/>
  <c r="H60652" i="16"/>
  <c r="H60653" i="16"/>
  <c r="H60654" i="16"/>
  <c r="H60655" i="16"/>
  <c r="H60656" i="16"/>
  <c r="H60657" i="16"/>
  <c r="H60658" i="16"/>
  <c r="H60659" i="16"/>
  <c r="H60660" i="16"/>
  <c r="H60661" i="16"/>
  <c r="H60662" i="16"/>
  <c r="H60663" i="16"/>
  <c r="H60664" i="16"/>
  <c r="H60665" i="16"/>
  <c r="H60666" i="16"/>
  <c r="H60667" i="16"/>
  <c r="H60668" i="16"/>
  <c r="H60669" i="16"/>
  <c r="H60670" i="16"/>
  <c r="H60671" i="16"/>
  <c r="H60672" i="16"/>
  <c r="H60673" i="16"/>
  <c r="H60674" i="16"/>
  <c r="H60675" i="16"/>
  <c r="H60676" i="16"/>
  <c r="H60677" i="16"/>
  <c r="H60678" i="16"/>
  <c r="H60679" i="16"/>
  <c r="H60680" i="16"/>
  <c r="H60681" i="16"/>
  <c r="H60682" i="16"/>
  <c r="H60683" i="16"/>
  <c r="H60684" i="16"/>
  <c r="H60685" i="16"/>
  <c r="H60686" i="16"/>
  <c r="H60687" i="16"/>
  <c r="H60688" i="16"/>
  <c r="H60689" i="16"/>
  <c r="H60690" i="16"/>
  <c r="H60691" i="16"/>
  <c r="H60692" i="16"/>
  <c r="H60693" i="16"/>
  <c r="H60694" i="16"/>
  <c r="H60695" i="16"/>
  <c r="H60696" i="16"/>
  <c r="H60697" i="16"/>
  <c r="H60698" i="16"/>
  <c r="H60699" i="16"/>
  <c r="H60700" i="16"/>
  <c r="H60701" i="16"/>
  <c r="H60702" i="16"/>
  <c r="H60703" i="16"/>
  <c r="H60704" i="16"/>
  <c r="H60705" i="16"/>
  <c r="H60706" i="16"/>
  <c r="H60707" i="16"/>
  <c r="H60708" i="16"/>
  <c r="H60709" i="16"/>
  <c r="H60710" i="16"/>
  <c r="H60711" i="16"/>
  <c r="H60712" i="16"/>
  <c r="H60713" i="16"/>
  <c r="H60714" i="16"/>
  <c r="H60715" i="16"/>
  <c r="H60716" i="16"/>
  <c r="H60717" i="16"/>
  <c r="H60718" i="16"/>
  <c r="H60719" i="16"/>
  <c r="H60720" i="16"/>
  <c r="H60721" i="16"/>
  <c r="H60722" i="16"/>
  <c r="H60723" i="16"/>
  <c r="H60724" i="16"/>
  <c r="H60725" i="16"/>
  <c r="H60726" i="16"/>
  <c r="H60727" i="16"/>
  <c r="H60728" i="16"/>
  <c r="H60729" i="16"/>
  <c r="H60730" i="16"/>
  <c r="H60731" i="16"/>
  <c r="H60732" i="16"/>
  <c r="H60733" i="16"/>
  <c r="H60734" i="16"/>
  <c r="H60735" i="16"/>
  <c r="H60736" i="16"/>
  <c r="H60737" i="16"/>
  <c r="H60738" i="16"/>
  <c r="H60739" i="16"/>
  <c r="H60740" i="16"/>
  <c r="H60741" i="16"/>
  <c r="H60742" i="16"/>
  <c r="H60743" i="16"/>
  <c r="H60744" i="16"/>
  <c r="H60745" i="16"/>
  <c r="H60746" i="16"/>
  <c r="H60747" i="16"/>
  <c r="H60748" i="16"/>
  <c r="H60749" i="16"/>
  <c r="H60750" i="16"/>
  <c r="H60751" i="16"/>
  <c r="H60752" i="16"/>
  <c r="H60753" i="16"/>
  <c r="H60754" i="16"/>
  <c r="H60755" i="16"/>
  <c r="H60756" i="16"/>
  <c r="H60757" i="16"/>
  <c r="H60758" i="16"/>
  <c r="H60759" i="16"/>
  <c r="H60760" i="16"/>
  <c r="H60761" i="16"/>
  <c r="H60762" i="16"/>
  <c r="H60763" i="16"/>
  <c r="H60764" i="16"/>
  <c r="H60765" i="16"/>
  <c r="H60766" i="16"/>
  <c r="H60767" i="16"/>
  <c r="H60768" i="16"/>
  <c r="H60769" i="16"/>
  <c r="H60770" i="16"/>
  <c r="H60771" i="16"/>
  <c r="H60772" i="16"/>
  <c r="H60773" i="16"/>
  <c r="H60774" i="16"/>
  <c r="H60775" i="16"/>
  <c r="H60776" i="16"/>
  <c r="H60777" i="16"/>
  <c r="H60778" i="16"/>
  <c r="H60779" i="16"/>
  <c r="H60780" i="16"/>
  <c r="H60781" i="16"/>
  <c r="H60782" i="16"/>
  <c r="H60783" i="16"/>
  <c r="H60784" i="16"/>
  <c r="H60785" i="16"/>
  <c r="H60786" i="16"/>
  <c r="H60787" i="16"/>
  <c r="H60788" i="16"/>
  <c r="H60789" i="16"/>
  <c r="H60790" i="16"/>
  <c r="H60791" i="16"/>
  <c r="H60792" i="16"/>
  <c r="H60793" i="16"/>
  <c r="H60794" i="16"/>
  <c r="H60795" i="16"/>
  <c r="H60796" i="16"/>
  <c r="H60797" i="16"/>
  <c r="H60798" i="16"/>
  <c r="H60799" i="16"/>
  <c r="H60800" i="16"/>
  <c r="H60801" i="16"/>
  <c r="H60802" i="16"/>
  <c r="H60803" i="16"/>
  <c r="H60804" i="16"/>
  <c r="H60805" i="16"/>
  <c r="H60806" i="16"/>
  <c r="H60807" i="16"/>
  <c r="H60808" i="16"/>
  <c r="H60809" i="16"/>
  <c r="H60810" i="16"/>
  <c r="H60811" i="16"/>
  <c r="H60812" i="16"/>
  <c r="H60813" i="16"/>
  <c r="H60814" i="16"/>
  <c r="H60815" i="16"/>
  <c r="H60816" i="16"/>
  <c r="H60817" i="16"/>
  <c r="H60818" i="16"/>
  <c r="H60819" i="16"/>
  <c r="H60820" i="16"/>
  <c r="H60821" i="16"/>
  <c r="H60822" i="16"/>
  <c r="H60823" i="16"/>
  <c r="H60824" i="16"/>
  <c r="H60825" i="16"/>
  <c r="H60826" i="16"/>
  <c r="H60827" i="16"/>
  <c r="H60828" i="16"/>
  <c r="H60829" i="16"/>
  <c r="H60830" i="16"/>
  <c r="H60831" i="16"/>
  <c r="H60832" i="16"/>
  <c r="H60833" i="16"/>
  <c r="H60834" i="16"/>
  <c r="H60835" i="16"/>
  <c r="H60836" i="16"/>
  <c r="H60837" i="16"/>
  <c r="H60838" i="16"/>
  <c r="H60839" i="16"/>
  <c r="H60840" i="16"/>
  <c r="H60841" i="16"/>
  <c r="H60842" i="16"/>
  <c r="H60843" i="16"/>
  <c r="H60844" i="16"/>
  <c r="H60845" i="16"/>
  <c r="H60846" i="16"/>
  <c r="H60847" i="16"/>
  <c r="H60848" i="16"/>
  <c r="H60849" i="16"/>
  <c r="H60850" i="16"/>
  <c r="H60851" i="16"/>
  <c r="H60852" i="16"/>
  <c r="H60853" i="16"/>
  <c r="H60854" i="16"/>
  <c r="H60855" i="16"/>
  <c r="H60856" i="16"/>
  <c r="H60857" i="16"/>
  <c r="H60858" i="16"/>
  <c r="H60859" i="16"/>
  <c r="H60860" i="16"/>
  <c r="H60861" i="16"/>
  <c r="H60862" i="16"/>
  <c r="H60863" i="16"/>
  <c r="H60864" i="16"/>
  <c r="H60865" i="16"/>
  <c r="H60866" i="16"/>
  <c r="H60867" i="16"/>
  <c r="H60868" i="16"/>
  <c r="H60869" i="16"/>
  <c r="H60870" i="16"/>
  <c r="H60871" i="16"/>
  <c r="H60872" i="16"/>
  <c r="H60873" i="16"/>
  <c r="H60874" i="16"/>
  <c r="H60875" i="16"/>
  <c r="H60876" i="16"/>
  <c r="H60877" i="16"/>
  <c r="H60878" i="16"/>
  <c r="H60879" i="16"/>
  <c r="H60880" i="16"/>
  <c r="H60881" i="16"/>
  <c r="H60882" i="16"/>
  <c r="H60883" i="16"/>
  <c r="H60884" i="16"/>
  <c r="H60885" i="16"/>
  <c r="H60886" i="16"/>
  <c r="H60887" i="16"/>
  <c r="H60888" i="16"/>
  <c r="H60889" i="16"/>
  <c r="H60890" i="16"/>
  <c r="H60891" i="16"/>
  <c r="H60892" i="16"/>
  <c r="H60893" i="16"/>
  <c r="H60894" i="16"/>
  <c r="H60895" i="16"/>
  <c r="H60896" i="16"/>
  <c r="H60897" i="16"/>
  <c r="H60898" i="16"/>
  <c r="H60899" i="16"/>
  <c r="H60900" i="16"/>
  <c r="H60901" i="16"/>
  <c r="H60902" i="16"/>
  <c r="H60903" i="16"/>
  <c r="H60904" i="16"/>
  <c r="H60905" i="16"/>
  <c r="H60906" i="16"/>
  <c r="H60907" i="16"/>
  <c r="H60908" i="16"/>
  <c r="H60909" i="16"/>
  <c r="H60910" i="16"/>
  <c r="H60911" i="16"/>
  <c r="H60912" i="16"/>
  <c r="H60913" i="16"/>
  <c r="H60914" i="16"/>
  <c r="H60915" i="16"/>
  <c r="H60916" i="16"/>
  <c r="H60917" i="16"/>
  <c r="H60918" i="16"/>
  <c r="H60919" i="16"/>
  <c r="H60920" i="16"/>
  <c r="H60921" i="16"/>
  <c r="H60922" i="16"/>
  <c r="H60923" i="16"/>
  <c r="H60924" i="16"/>
  <c r="H60925" i="16"/>
  <c r="H60926" i="16"/>
  <c r="H60927" i="16"/>
  <c r="H60928" i="16"/>
  <c r="H60929" i="16"/>
  <c r="H60930" i="16"/>
  <c r="H60931" i="16"/>
  <c r="H60932" i="16"/>
  <c r="H60933" i="16"/>
  <c r="H60934" i="16"/>
  <c r="H60935" i="16"/>
  <c r="H60936" i="16"/>
  <c r="H60937" i="16"/>
  <c r="H60938" i="16"/>
  <c r="H60939" i="16"/>
  <c r="H60940" i="16"/>
  <c r="H60941" i="16"/>
  <c r="H60942" i="16"/>
  <c r="H60943" i="16"/>
  <c r="H60944" i="16"/>
  <c r="H60945" i="16"/>
  <c r="H60946" i="16"/>
  <c r="H60947" i="16"/>
  <c r="H60948" i="16"/>
  <c r="H60949" i="16"/>
  <c r="H60950" i="16"/>
  <c r="H60951" i="16"/>
  <c r="H60952" i="16"/>
  <c r="H60953" i="16"/>
  <c r="H60954" i="16"/>
  <c r="H60955" i="16"/>
  <c r="H60956" i="16"/>
  <c r="H60957" i="16"/>
  <c r="H60958" i="16"/>
  <c r="H60959" i="16"/>
  <c r="H60960" i="16"/>
  <c r="H60961" i="16"/>
  <c r="H60962" i="16"/>
  <c r="H60963" i="16"/>
  <c r="H60964" i="16"/>
  <c r="H60965" i="16"/>
  <c r="H60966" i="16"/>
  <c r="H60967" i="16"/>
  <c r="H60968" i="16"/>
  <c r="H60969" i="16"/>
  <c r="H60970" i="16"/>
  <c r="H60971" i="16"/>
  <c r="H60972" i="16"/>
  <c r="H60973" i="16"/>
  <c r="H60974" i="16"/>
  <c r="H60975" i="16"/>
  <c r="H60976" i="16"/>
  <c r="H60977" i="16"/>
  <c r="H60978" i="16"/>
  <c r="H60979" i="16"/>
  <c r="H60980" i="16"/>
  <c r="H60981" i="16"/>
  <c r="H60982" i="16"/>
  <c r="H60983" i="16"/>
  <c r="H60984" i="16"/>
  <c r="H60985" i="16"/>
  <c r="H60986" i="16"/>
  <c r="H60987" i="16"/>
  <c r="H60988" i="16"/>
  <c r="H60989" i="16"/>
  <c r="H60990" i="16"/>
  <c r="H60991" i="16"/>
  <c r="H60992" i="16"/>
  <c r="H60993" i="16"/>
  <c r="H60994" i="16"/>
  <c r="H60995" i="16"/>
  <c r="H60996" i="16"/>
  <c r="H60997" i="16"/>
  <c r="H60998" i="16"/>
  <c r="H60999" i="16"/>
  <c r="H61000" i="16"/>
  <c r="H61001" i="16"/>
  <c r="H61002" i="16"/>
  <c r="H61003" i="16"/>
  <c r="H61004" i="16"/>
  <c r="H61005" i="16"/>
  <c r="H61006" i="16"/>
  <c r="H61007" i="16"/>
  <c r="H61008" i="16"/>
  <c r="H61009" i="16"/>
  <c r="H61010" i="16"/>
  <c r="H61011" i="16"/>
  <c r="H61012" i="16"/>
  <c r="H61013" i="16"/>
  <c r="H61014" i="16"/>
  <c r="H61015" i="16"/>
  <c r="H61016" i="16"/>
  <c r="H61017" i="16"/>
  <c r="H61018" i="16"/>
  <c r="H61019" i="16"/>
  <c r="H61020" i="16"/>
  <c r="H61021" i="16"/>
  <c r="H61022" i="16"/>
  <c r="H61023" i="16"/>
  <c r="H61024" i="16"/>
  <c r="H61025" i="16"/>
  <c r="H61026" i="16"/>
  <c r="H61027" i="16"/>
  <c r="H61028" i="16"/>
  <c r="H61029" i="16"/>
  <c r="H61030" i="16"/>
  <c r="H61031" i="16"/>
  <c r="H61032" i="16"/>
  <c r="H61033" i="16"/>
  <c r="H61034" i="16"/>
  <c r="H61035" i="16"/>
  <c r="H61036" i="16"/>
  <c r="H61037" i="16"/>
  <c r="H61038" i="16"/>
  <c r="H61039" i="16"/>
  <c r="H61040" i="16"/>
  <c r="H61041" i="16"/>
  <c r="H61042" i="16"/>
  <c r="H61043" i="16"/>
  <c r="H61044" i="16"/>
  <c r="H61045" i="16"/>
  <c r="H61046" i="16"/>
  <c r="H61047" i="16"/>
  <c r="H61048" i="16"/>
  <c r="H61049" i="16"/>
  <c r="H61050" i="16"/>
  <c r="H61051" i="16"/>
  <c r="H61052" i="16"/>
  <c r="H61053" i="16"/>
  <c r="H61054" i="16"/>
  <c r="H61055" i="16"/>
  <c r="H61056" i="16"/>
  <c r="H61057" i="16"/>
  <c r="H61058" i="16"/>
  <c r="H61059" i="16"/>
  <c r="H61060" i="16"/>
  <c r="H61061" i="16"/>
  <c r="H61062" i="16"/>
  <c r="H61063" i="16"/>
  <c r="H61064" i="16"/>
  <c r="H61065" i="16"/>
  <c r="H61066" i="16"/>
  <c r="H61067" i="16"/>
  <c r="H61068" i="16"/>
  <c r="H61069" i="16"/>
  <c r="H61070" i="16"/>
  <c r="H61071" i="16"/>
  <c r="H61072" i="16"/>
  <c r="H61073" i="16"/>
  <c r="H61074" i="16"/>
  <c r="H61075" i="16"/>
  <c r="H61076" i="16"/>
  <c r="H61077" i="16"/>
  <c r="H61078" i="16"/>
  <c r="H61079" i="16"/>
  <c r="H61080" i="16"/>
  <c r="H61081" i="16"/>
  <c r="H61082" i="16"/>
  <c r="H61083" i="16"/>
  <c r="H61084" i="16"/>
  <c r="H61085" i="16"/>
  <c r="H61086" i="16"/>
  <c r="H61087" i="16"/>
  <c r="H61088" i="16"/>
  <c r="H61089" i="16"/>
  <c r="H61090" i="16"/>
  <c r="H61091" i="16"/>
  <c r="H61092" i="16"/>
  <c r="H61093" i="16"/>
  <c r="H61094" i="16"/>
  <c r="H61095" i="16"/>
  <c r="H61096" i="16"/>
  <c r="H61097" i="16"/>
  <c r="H61098" i="16"/>
  <c r="H61099" i="16"/>
  <c r="H61100" i="16"/>
  <c r="H61101" i="16"/>
  <c r="H61102" i="16"/>
  <c r="H61103" i="16"/>
  <c r="H61104" i="16"/>
  <c r="H61105" i="16"/>
  <c r="H61106" i="16"/>
  <c r="H61107" i="16"/>
  <c r="H61108" i="16"/>
  <c r="H61109" i="16"/>
  <c r="H61110" i="16"/>
  <c r="H61111" i="16"/>
  <c r="H61112" i="16"/>
  <c r="H61113" i="16"/>
  <c r="H61114" i="16"/>
  <c r="H61115" i="16"/>
  <c r="H61116" i="16"/>
  <c r="H61117" i="16"/>
  <c r="H61118" i="16"/>
  <c r="H61119" i="16"/>
  <c r="H61120" i="16"/>
  <c r="H61121" i="16"/>
  <c r="H61122" i="16"/>
  <c r="H61123" i="16"/>
  <c r="H61124" i="16"/>
  <c r="H61125" i="16"/>
  <c r="H61126" i="16"/>
  <c r="H61127" i="16"/>
  <c r="H61128" i="16"/>
  <c r="H61129" i="16"/>
  <c r="H61130" i="16"/>
  <c r="H61131" i="16"/>
  <c r="H61132" i="16"/>
  <c r="H61133" i="16"/>
  <c r="H61134" i="16"/>
  <c r="H61135" i="16"/>
  <c r="H61136" i="16"/>
  <c r="H61137" i="16"/>
  <c r="H61138" i="16"/>
  <c r="H61139" i="16"/>
  <c r="H61140" i="16"/>
  <c r="H61141" i="16"/>
  <c r="H61142" i="16"/>
  <c r="H61143" i="16"/>
  <c r="H61144" i="16"/>
  <c r="H61145" i="16"/>
  <c r="H61146" i="16"/>
  <c r="H61147" i="16"/>
  <c r="H61148" i="16"/>
  <c r="H61149" i="16"/>
  <c r="H61150" i="16"/>
  <c r="H61151" i="16"/>
  <c r="H61152" i="16"/>
  <c r="H61153" i="16"/>
  <c r="H61154" i="16"/>
  <c r="H61155" i="16"/>
  <c r="H61156" i="16"/>
  <c r="H61157" i="16"/>
  <c r="H61158" i="16"/>
  <c r="H61159" i="16"/>
  <c r="H61160" i="16"/>
  <c r="H61161" i="16"/>
  <c r="H61162" i="16"/>
  <c r="H61163" i="16"/>
  <c r="H61164" i="16"/>
  <c r="H61165" i="16"/>
  <c r="H61166" i="16"/>
  <c r="H61167" i="16"/>
  <c r="H61168" i="16"/>
  <c r="H61169" i="16"/>
  <c r="H61170" i="16"/>
  <c r="H61171" i="16"/>
  <c r="H61172" i="16"/>
  <c r="H61173" i="16"/>
  <c r="H61174" i="16"/>
  <c r="H61175" i="16"/>
  <c r="H61176" i="16"/>
  <c r="H61177" i="16"/>
  <c r="H61178" i="16"/>
  <c r="H61179" i="16"/>
  <c r="H61180" i="16"/>
  <c r="H61181" i="16"/>
  <c r="H61182" i="16"/>
  <c r="H61183" i="16"/>
  <c r="H61184" i="16"/>
  <c r="H61185" i="16"/>
  <c r="H61186" i="16"/>
  <c r="H61187" i="16"/>
  <c r="H61188" i="16"/>
  <c r="H61189" i="16"/>
  <c r="H61190" i="16"/>
  <c r="H61191" i="16"/>
  <c r="H61192" i="16"/>
  <c r="H61193" i="16"/>
  <c r="H61194" i="16"/>
  <c r="H61195" i="16"/>
  <c r="H61196" i="16"/>
  <c r="H61197" i="16"/>
  <c r="H61198" i="16"/>
  <c r="H61199" i="16"/>
  <c r="H61200" i="16"/>
  <c r="H61201" i="16"/>
  <c r="H61202" i="16"/>
  <c r="H61203" i="16"/>
  <c r="H61204" i="16"/>
  <c r="H61205" i="16"/>
  <c r="H61206" i="16"/>
  <c r="H61207" i="16"/>
  <c r="H61208" i="16"/>
  <c r="H61209" i="16"/>
  <c r="H61210" i="16"/>
  <c r="H61211" i="16"/>
  <c r="H61212" i="16"/>
  <c r="H61213" i="16"/>
  <c r="H61214" i="16"/>
  <c r="H61215" i="16"/>
  <c r="H61216" i="16"/>
  <c r="H61217" i="16"/>
  <c r="H61218" i="16"/>
  <c r="H61219" i="16"/>
  <c r="H61220" i="16"/>
  <c r="H61221" i="16"/>
  <c r="H61222" i="16"/>
  <c r="H61223" i="16"/>
  <c r="H61224" i="16"/>
  <c r="H61225" i="16"/>
  <c r="H61226" i="16"/>
  <c r="H61227" i="16"/>
  <c r="H61228" i="16"/>
  <c r="H61229" i="16"/>
  <c r="H61230" i="16"/>
  <c r="H61231" i="16"/>
  <c r="H61232" i="16"/>
  <c r="H61233" i="16"/>
  <c r="H61234" i="16"/>
  <c r="H61235" i="16"/>
  <c r="H61236" i="16"/>
  <c r="H61237" i="16"/>
  <c r="H61238" i="16"/>
  <c r="H61239" i="16"/>
  <c r="H61240" i="16"/>
  <c r="H61241" i="16"/>
  <c r="H61242" i="16"/>
  <c r="H61243" i="16"/>
  <c r="H61244" i="16"/>
  <c r="H61245" i="16"/>
  <c r="H61246" i="16"/>
  <c r="H61247" i="16"/>
  <c r="H61248" i="16"/>
  <c r="H61249" i="16"/>
  <c r="H61250" i="16"/>
  <c r="H61251" i="16"/>
  <c r="H61252" i="16"/>
  <c r="H61253" i="16"/>
  <c r="H61254" i="16"/>
  <c r="H61255" i="16"/>
  <c r="H61256" i="16"/>
  <c r="H61257" i="16"/>
  <c r="H61258" i="16"/>
  <c r="H61259" i="16"/>
  <c r="H61260" i="16"/>
  <c r="H61261" i="16"/>
  <c r="H61262" i="16"/>
  <c r="H61263" i="16"/>
  <c r="H61264" i="16"/>
  <c r="H61265" i="16"/>
  <c r="H61266" i="16"/>
  <c r="H61267" i="16"/>
  <c r="H61268" i="16"/>
  <c r="H61269" i="16"/>
  <c r="H61270" i="16"/>
  <c r="H61271" i="16"/>
  <c r="H61272" i="16"/>
  <c r="H61273" i="16"/>
  <c r="H61274" i="16"/>
  <c r="H61275" i="16"/>
  <c r="H61276" i="16"/>
  <c r="H61277" i="16"/>
  <c r="H61278" i="16"/>
  <c r="H61279" i="16"/>
  <c r="H61280" i="16"/>
  <c r="H61281" i="16"/>
  <c r="H61282" i="16"/>
  <c r="H61283" i="16"/>
  <c r="H61284" i="16"/>
  <c r="H61285" i="16"/>
  <c r="H61286" i="16"/>
  <c r="H61287" i="16"/>
  <c r="H61288" i="16"/>
  <c r="H61289" i="16"/>
  <c r="H61290" i="16"/>
  <c r="H61291" i="16"/>
  <c r="H61292" i="16"/>
  <c r="H61293" i="16"/>
  <c r="H61294" i="16"/>
  <c r="H61295" i="16"/>
  <c r="H61296" i="16"/>
  <c r="H61297" i="16"/>
  <c r="H61298" i="16"/>
  <c r="H61299" i="16"/>
  <c r="H61300" i="16"/>
  <c r="H61301" i="16"/>
  <c r="H61302" i="16"/>
  <c r="H61303" i="16"/>
  <c r="H61304" i="16"/>
  <c r="H61305" i="16"/>
  <c r="H61306" i="16"/>
  <c r="H61307" i="16"/>
  <c r="H61308" i="16"/>
  <c r="H61309" i="16"/>
  <c r="H61310" i="16"/>
  <c r="H61311" i="16"/>
  <c r="H61312" i="16"/>
  <c r="H61313" i="16"/>
  <c r="H61314" i="16"/>
  <c r="H61315" i="16"/>
  <c r="H61316" i="16"/>
  <c r="H61317" i="16"/>
  <c r="H61318" i="16"/>
  <c r="H61319" i="16"/>
  <c r="H61320" i="16"/>
  <c r="H61321" i="16"/>
  <c r="H61322" i="16"/>
  <c r="H61323" i="16"/>
  <c r="H61324" i="16"/>
  <c r="H61325" i="16"/>
  <c r="H61326" i="16"/>
  <c r="H61327" i="16"/>
  <c r="H61328" i="16"/>
  <c r="H61329" i="16"/>
  <c r="H61330" i="16"/>
  <c r="H61331" i="16"/>
  <c r="H61332" i="16"/>
  <c r="H61333" i="16"/>
  <c r="H61334" i="16"/>
  <c r="H61335" i="16"/>
  <c r="H61336" i="16"/>
  <c r="H61337" i="16"/>
  <c r="H61338" i="16"/>
  <c r="H61339" i="16"/>
  <c r="H61340" i="16"/>
  <c r="H61341" i="16"/>
  <c r="H61342" i="16"/>
  <c r="H61343" i="16"/>
  <c r="H61344" i="16"/>
  <c r="H61345" i="16"/>
  <c r="H61346" i="16"/>
  <c r="H61347" i="16"/>
  <c r="H61348" i="16"/>
  <c r="H61349" i="16"/>
  <c r="H61350" i="16"/>
  <c r="H61351" i="16"/>
  <c r="H61352" i="16"/>
  <c r="H61353" i="16"/>
  <c r="H61354" i="16"/>
  <c r="H61355" i="16"/>
  <c r="H61356" i="16"/>
  <c r="H61357" i="16"/>
  <c r="H61358" i="16"/>
  <c r="H61359" i="16"/>
  <c r="H61360" i="16"/>
  <c r="H61361" i="16"/>
  <c r="H61362" i="16"/>
  <c r="H61363" i="16"/>
  <c r="H61364" i="16"/>
  <c r="H61365" i="16"/>
  <c r="H61366" i="16"/>
  <c r="H61367" i="16"/>
  <c r="H61368" i="16"/>
  <c r="H61369" i="16"/>
  <c r="H61370" i="16"/>
  <c r="H61371" i="16"/>
  <c r="H61372" i="16"/>
  <c r="H61373" i="16"/>
  <c r="H61374" i="16"/>
  <c r="H61375" i="16"/>
  <c r="H61376" i="16"/>
  <c r="H61377" i="16"/>
  <c r="H61378" i="16"/>
  <c r="H61379" i="16"/>
  <c r="H61380" i="16"/>
  <c r="H61381" i="16"/>
  <c r="H61382" i="16"/>
  <c r="H61383" i="16"/>
  <c r="H61384" i="16"/>
  <c r="H61385" i="16"/>
  <c r="H61386" i="16"/>
  <c r="H61387" i="16"/>
  <c r="H61388" i="16"/>
  <c r="H61389" i="16"/>
  <c r="H61390" i="16"/>
  <c r="H61391" i="16"/>
  <c r="H61392" i="16"/>
  <c r="H61393" i="16"/>
  <c r="H61394" i="16"/>
  <c r="H61395" i="16"/>
  <c r="H61396" i="16"/>
  <c r="H61397" i="16"/>
  <c r="H61398" i="16"/>
  <c r="H61399" i="16"/>
  <c r="H61400" i="16"/>
  <c r="H61401" i="16"/>
  <c r="H61402" i="16"/>
  <c r="H61403" i="16"/>
  <c r="H61404" i="16"/>
  <c r="H61405" i="16"/>
  <c r="H61406" i="16"/>
  <c r="H61407" i="16"/>
  <c r="H61408" i="16"/>
  <c r="H61409" i="16"/>
  <c r="H61410" i="16"/>
  <c r="H61411" i="16"/>
  <c r="H61412" i="16"/>
  <c r="H61413" i="16"/>
  <c r="H61414" i="16"/>
  <c r="H61415" i="16"/>
  <c r="H61416" i="16"/>
  <c r="H61417" i="16"/>
  <c r="H61418" i="16"/>
  <c r="H61419" i="16"/>
  <c r="H61420" i="16"/>
  <c r="H61421" i="16"/>
  <c r="H61422" i="16"/>
  <c r="H61423" i="16"/>
  <c r="H61424" i="16"/>
  <c r="H61425" i="16"/>
  <c r="H61426" i="16"/>
  <c r="H61427" i="16"/>
  <c r="H61428" i="16"/>
  <c r="H61429" i="16"/>
  <c r="H61430" i="16"/>
  <c r="H61431" i="16"/>
  <c r="H61432" i="16"/>
  <c r="H61433" i="16"/>
  <c r="H61434" i="16"/>
  <c r="H61435" i="16"/>
  <c r="H61436" i="16"/>
  <c r="H61437" i="16"/>
  <c r="H61438" i="16"/>
  <c r="H61439" i="16"/>
  <c r="H61440" i="16"/>
  <c r="H61441" i="16"/>
  <c r="H61442" i="16"/>
  <c r="H61443" i="16"/>
  <c r="H61444" i="16"/>
  <c r="H61445" i="16"/>
  <c r="H61446" i="16"/>
  <c r="H61447" i="16"/>
  <c r="H61448" i="16"/>
  <c r="H61449" i="16"/>
  <c r="H61450" i="16"/>
  <c r="H61451" i="16"/>
  <c r="H61452" i="16"/>
  <c r="H61453" i="16"/>
  <c r="H61454" i="16"/>
  <c r="H61455" i="16"/>
  <c r="H61456" i="16"/>
  <c r="H61457" i="16"/>
  <c r="H61458" i="16"/>
  <c r="H61459" i="16"/>
  <c r="H61460" i="16"/>
  <c r="H61461" i="16"/>
  <c r="H61462" i="16"/>
  <c r="H61463" i="16"/>
  <c r="H61464" i="16"/>
  <c r="H61465" i="16"/>
  <c r="H61466" i="16"/>
  <c r="H61467" i="16"/>
  <c r="H61468" i="16"/>
  <c r="H61469" i="16"/>
  <c r="H61470" i="16"/>
  <c r="H61471" i="16"/>
  <c r="H61472" i="16"/>
  <c r="H61473" i="16"/>
  <c r="H61474" i="16"/>
  <c r="H61475" i="16"/>
  <c r="H61476" i="16"/>
  <c r="H61477" i="16"/>
  <c r="H61478" i="16"/>
  <c r="H61479" i="16"/>
  <c r="H61480" i="16"/>
  <c r="H61481" i="16"/>
  <c r="H61482" i="16"/>
  <c r="H61483" i="16"/>
  <c r="H61484" i="16"/>
  <c r="H61485" i="16"/>
  <c r="H61486" i="16"/>
  <c r="H61487" i="16"/>
  <c r="H61488" i="16"/>
  <c r="H61489" i="16"/>
  <c r="H61490" i="16"/>
  <c r="H61491" i="16"/>
  <c r="H61492" i="16"/>
  <c r="H61493" i="16"/>
  <c r="H61494" i="16"/>
  <c r="H61495" i="16"/>
  <c r="H61496" i="16"/>
  <c r="H61497" i="16"/>
  <c r="H61498" i="16"/>
  <c r="H61499" i="16"/>
  <c r="H61500" i="16"/>
  <c r="H61501" i="16"/>
  <c r="H61502" i="16"/>
  <c r="H61503" i="16"/>
  <c r="H61504" i="16"/>
  <c r="H61505" i="16"/>
  <c r="H61506" i="16"/>
  <c r="H61507" i="16"/>
  <c r="H61508" i="16"/>
  <c r="H61509" i="16"/>
  <c r="H61510" i="16"/>
  <c r="H61511" i="16"/>
  <c r="H61512" i="16"/>
  <c r="H61513" i="16"/>
  <c r="H61514" i="16"/>
  <c r="H61515" i="16"/>
  <c r="H61516" i="16"/>
  <c r="H61517" i="16"/>
  <c r="H61518" i="16"/>
  <c r="H61519" i="16"/>
  <c r="H61520" i="16"/>
  <c r="H61521" i="16"/>
  <c r="H61522" i="16"/>
  <c r="H61523" i="16"/>
  <c r="H61524" i="16"/>
  <c r="H61525" i="16"/>
  <c r="H61526" i="16"/>
  <c r="H61527" i="16"/>
  <c r="H61528" i="16"/>
  <c r="H61529" i="16"/>
  <c r="H61530" i="16"/>
  <c r="H61531" i="16"/>
  <c r="H61532" i="16"/>
  <c r="H61533" i="16"/>
  <c r="H61534" i="16"/>
  <c r="H61535" i="16"/>
  <c r="H61536" i="16"/>
  <c r="H61537" i="16"/>
  <c r="H61538" i="16"/>
  <c r="H61539" i="16"/>
  <c r="H61540" i="16"/>
  <c r="H61541" i="16"/>
  <c r="H61542" i="16"/>
  <c r="H61543" i="16"/>
  <c r="H61544" i="16"/>
  <c r="H61545" i="16"/>
  <c r="H61546" i="16"/>
  <c r="H61547" i="16"/>
  <c r="H61548" i="16"/>
  <c r="H61549" i="16"/>
  <c r="H61550" i="16"/>
  <c r="H61551" i="16"/>
  <c r="H61552" i="16"/>
  <c r="H61553" i="16"/>
  <c r="H61554" i="16"/>
  <c r="H61555" i="16"/>
  <c r="H61556" i="16"/>
  <c r="H61557" i="16"/>
  <c r="H61558" i="16"/>
  <c r="H61559" i="16"/>
  <c r="H61560" i="16"/>
  <c r="H61561" i="16"/>
  <c r="H61562" i="16"/>
  <c r="H61563" i="16"/>
  <c r="H61564" i="16"/>
  <c r="H61565" i="16"/>
  <c r="H61566" i="16"/>
  <c r="H61567" i="16"/>
  <c r="H61568" i="16"/>
  <c r="H61569" i="16"/>
  <c r="H61570" i="16"/>
  <c r="H61571" i="16"/>
  <c r="H61572" i="16"/>
  <c r="H61573" i="16"/>
  <c r="H61574" i="16"/>
  <c r="H61575" i="16"/>
  <c r="H61576" i="16"/>
  <c r="H61577" i="16"/>
  <c r="H61578" i="16"/>
  <c r="H61579" i="16"/>
  <c r="H61580" i="16"/>
  <c r="H61581" i="16"/>
  <c r="H61582" i="16"/>
  <c r="H61583" i="16"/>
  <c r="H61584" i="16"/>
  <c r="H61585" i="16"/>
  <c r="H61586" i="16"/>
  <c r="H61587" i="16"/>
  <c r="H61588" i="16"/>
  <c r="H61589" i="16"/>
  <c r="H61590" i="16"/>
  <c r="H61591" i="16"/>
  <c r="H61592" i="16"/>
  <c r="H61593" i="16"/>
  <c r="H61594" i="16"/>
  <c r="H61595" i="16"/>
  <c r="H61596" i="16"/>
  <c r="H61597" i="16"/>
  <c r="H61598" i="16"/>
  <c r="H61599" i="16"/>
  <c r="H61600" i="16"/>
  <c r="H61601" i="16"/>
  <c r="H61602" i="16"/>
  <c r="H61603" i="16"/>
  <c r="H61604" i="16"/>
  <c r="H61605" i="16"/>
  <c r="H61606" i="16"/>
  <c r="H61607" i="16"/>
  <c r="H61608" i="16"/>
  <c r="H61609" i="16"/>
  <c r="H61610" i="16"/>
  <c r="H61611" i="16"/>
  <c r="H61612" i="16"/>
  <c r="H61613" i="16"/>
  <c r="H61614" i="16"/>
  <c r="H61615" i="16"/>
  <c r="H61616" i="16"/>
  <c r="H61617" i="16"/>
  <c r="H61618" i="16"/>
  <c r="H61619" i="16"/>
  <c r="H61620" i="16"/>
  <c r="H61621" i="16"/>
  <c r="H61622" i="16"/>
  <c r="H61623" i="16"/>
  <c r="H61624" i="16"/>
  <c r="H61625" i="16"/>
  <c r="H61626" i="16"/>
  <c r="H61627" i="16"/>
  <c r="H61628" i="16"/>
  <c r="H61629" i="16"/>
  <c r="H61630" i="16"/>
  <c r="H61631" i="16"/>
  <c r="H61632" i="16"/>
  <c r="H61633" i="16"/>
  <c r="H61634" i="16"/>
  <c r="H61635" i="16"/>
  <c r="H61636" i="16"/>
  <c r="H61637" i="16"/>
  <c r="H61638" i="16"/>
  <c r="H61639" i="16"/>
  <c r="H61640" i="16"/>
  <c r="H61641" i="16"/>
  <c r="H61642" i="16"/>
  <c r="H61643" i="16"/>
  <c r="H61644" i="16"/>
  <c r="H61645" i="16"/>
  <c r="H61646" i="16"/>
  <c r="H61647" i="16"/>
  <c r="H61648" i="16"/>
  <c r="H61649" i="16"/>
  <c r="H61650" i="16"/>
  <c r="H61651" i="16"/>
  <c r="H61652" i="16"/>
  <c r="H61653" i="16"/>
  <c r="H61654" i="16"/>
  <c r="H61655" i="16"/>
  <c r="H61656" i="16"/>
  <c r="H61657" i="16"/>
  <c r="H61658" i="16"/>
  <c r="H61659" i="16"/>
  <c r="H61660" i="16"/>
  <c r="H61661" i="16"/>
  <c r="H61662" i="16"/>
  <c r="H61663" i="16"/>
  <c r="H61664" i="16"/>
  <c r="H61665" i="16"/>
  <c r="H61666" i="16"/>
  <c r="H61667" i="16"/>
  <c r="H61668" i="16"/>
  <c r="H61669" i="16"/>
  <c r="H61670" i="16"/>
  <c r="H61671" i="16"/>
  <c r="H61672" i="16"/>
  <c r="H61673" i="16"/>
  <c r="H61674" i="16"/>
  <c r="H61675" i="16"/>
  <c r="H61676" i="16"/>
  <c r="H61677" i="16"/>
  <c r="H61678" i="16"/>
  <c r="H61679" i="16"/>
  <c r="H61680" i="16"/>
  <c r="H61681" i="16"/>
  <c r="H61682" i="16"/>
  <c r="H61683" i="16"/>
  <c r="H61684" i="16"/>
  <c r="H61685" i="16"/>
  <c r="H61686" i="16"/>
  <c r="H61687" i="16"/>
  <c r="H61688" i="16"/>
  <c r="H61689" i="16"/>
  <c r="H61690" i="16"/>
  <c r="H61691" i="16"/>
  <c r="H61692" i="16"/>
  <c r="H61693" i="16"/>
  <c r="H61694" i="16"/>
  <c r="H61695" i="16"/>
  <c r="H61696" i="16"/>
  <c r="H61697" i="16"/>
  <c r="H61698" i="16"/>
  <c r="H61699" i="16"/>
  <c r="H61700" i="16"/>
  <c r="H61701" i="16"/>
  <c r="H61702" i="16"/>
  <c r="H61703" i="16"/>
  <c r="H61704" i="16"/>
  <c r="H61705" i="16"/>
  <c r="H61706" i="16"/>
  <c r="H61707" i="16"/>
  <c r="H61708" i="16"/>
  <c r="H61709" i="16"/>
  <c r="H61710" i="16"/>
  <c r="H61711" i="16"/>
  <c r="H61712" i="16"/>
  <c r="H61713" i="16"/>
  <c r="H61714" i="16"/>
  <c r="H61715" i="16"/>
  <c r="H61716" i="16"/>
  <c r="H61717" i="16"/>
  <c r="H61718" i="16"/>
  <c r="H61719" i="16"/>
  <c r="H61720" i="16"/>
  <c r="H61721" i="16"/>
  <c r="H61722" i="16"/>
  <c r="H61723" i="16"/>
  <c r="H61724" i="16"/>
  <c r="H61725" i="16"/>
  <c r="H61726" i="16"/>
  <c r="H61727" i="16"/>
  <c r="H61728" i="16"/>
  <c r="H61729" i="16"/>
  <c r="H61730" i="16"/>
  <c r="H61731" i="16"/>
  <c r="H61732" i="16"/>
  <c r="H61733" i="16"/>
  <c r="H61734" i="16"/>
  <c r="H61735" i="16"/>
  <c r="H61736" i="16"/>
  <c r="H61737" i="16"/>
  <c r="H61738" i="16"/>
  <c r="H61739" i="16"/>
  <c r="H61740" i="16"/>
  <c r="H61741" i="16"/>
  <c r="H61742" i="16"/>
  <c r="H61743" i="16"/>
  <c r="H61744" i="16"/>
  <c r="H61745" i="16"/>
  <c r="H61746" i="16"/>
  <c r="H61747" i="16"/>
  <c r="H61748" i="16"/>
  <c r="H61749" i="16"/>
  <c r="H61750" i="16"/>
  <c r="H61751" i="16"/>
  <c r="H61752" i="16"/>
  <c r="H61753" i="16"/>
  <c r="H61754" i="16"/>
  <c r="H61755" i="16"/>
  <c r="H61756" i="16"/>
  <c r="H61757" i="16"/>
  <c r="H61758" i="16"/>
  <c r="H61759" i="16"/>
  <c r="H61760" i="16"/>
  <c r="H61761" i="16"/>
  <c r="H61762" i="16"/>
  <c r="H61763" i="16"/>
  <c r="H61764" i="16"/>
  <c r="H61765" i="16"/>
  <c r="H61766" i="16"/>
  <c r="H61767" i="16"/>
  <c r="H61768" i="16"/>
  <c r="H61769" i="16"/>
  <c r="H61770" i="16"/>
  <c r="H61771" i="16"/>
  <c r="H61772" i="16"/>
  <c r="H61773" i="16"/>
  <c r="H61774" i="16"/>
  <c r="H61775" i="16"/>
  <c r="H61776" i="16"/>
  <c r="H61777" i="16"/>
  <c r="H61778" i="16"/>
  <c r="H61779" i="16"/>
  <c r="H61780" i="16"/>
  <c r="H61781" i="16"/>
  <c r="H61782" i="16"/>
  <c r="H61783" i="16"/>
  <c r="H61784" i="16"/>
  <c r="H61785" i="16"/>
  <c r="H61786" i="16"/>
  <c r="H61787" i="16"/>
  <c r="H61788" i="16"/>
  <c r="H61789" i="16"/>
  <c r="H61790" i="16"/>
  <c r="H61791" i="16"/>
  <c r="H61792" i="16"/>
  <c r="H61793" i="16"/>
  <c r="H61794" i="16"/>
  <c r="H61795" i="16"/>
  <c r="H61796" i="16"/>
  <c r="H61797" i="16"/>
  <c r="H61798" i="16"/>
  <c r="H61799" i="16"/>
  <c r="H61800" i="16"/>
  <c r="H61801" i="16"/>
  <c r="H61802" i="16"/>
  <c r="H61803" i="16"/>
  <c r="H61804" i="16"/>
  <c r="H61805" i="16"/>
  <c r="H61806" i="16"/>
  <c r="H61807" i="16"/>
  <c r="H61808" i="16"/>
  <c r="H61809" i="16"/>
  <c r="H61810" i="16"/>
  <c r="H61811" i="16"/>
  <c r="H61812" i="16"/>
  <c r="H61813" i="16"/>
  <c r="H61814" i="16"/>
  <c r="H61815" i="16"/>
  <c r="H61816" i="16"/>
  <c r="H61817" i="16"/>
  <c r="H61818" i="16"/>
  <c r="H61819" i="16"/>
  <c r="H61820" i="16"/>
  <c r="H61821" i="16"/>
  <c r="H61822" i="16"/>
  <c r="H61823" i="16"/>
  <c r="H61824" i="16"/>
  <c r="H61825" i="16"/>
  <c r="H61826" i="16"/>
  <c r="H61827" i="16"/>
  <c r="H61828" i="16"/>
  <c r="H61829" i="16"/>
  <c r="H61830" i="16"/>
  <c r="H61831" i="16"/>
  <c r="H61832" i="16"/>
  <c r="H61833" i="16"/>
  <c r="H61834" i="16"/>
  <c r="H61835" i="16"/>
  <c r="H61836" i="16"/>
  <c r="H61837" i="16"/>
  <c r="H61838" i="16"/>
  <c r="H61839" i="16"/>
  <c r="H61840" i="16"/>
  <c r="H61841" i="16"/>
  <c r="H61842" i="16"/>
  <c r="H61843" i="16"/>
  <c r="H61844" i="16"/>
  <c r="H61845" i="16"/>
  <c r="H61846" i="16"/>
  <c r="H61847" i="16"/>
  <c r="H61848" i="16"/>
  <c r="H61849" i="16"/>
  <c r="H61850" i="16"/>
  <c r="H61851" i="16"/>
  <c r="H61852" i="16"/>
  <c r="H61853" i="16"/>
  <c r="H61854" i="16"/>
  <c r="H61855" i="16"/>
  <c r="H61856" i="16"/>
  <c r="H61857" i="16"/>
  <c r="H61858" i="16"/>
  <c r="H61859" i="16"/>
  <c r="H61860" i="16"/>
  <c r="H61861" i="16"/>
  <c r="H61862" i="16"/>
  <c r="H61863" i="16"/>
  <c r="H61864" i="16"/>
  <c r="H61865" i="16"/>
  <c r="H61866" i="16"/>
  <c r="H61867" i="16"/>
  <c r="H61868" i="16"/>
  <c r="H61869" i="16"/>
  <c r="H61870" i="16"/>
  <c r="H61871" i="16"/>
  <c r="H61872" i="16"/>
  <c r="H61873" i="16"/>
  <c r="H61874" i="16"/>
  <c r="H61875" i="16"/>
  <c r="H61876" i="16"/>
  <c r="H61877" i="16"/>
  <c r="H61878" i="16"/>
  <c r="H61879" i="16"/>
  <c r="H61880" i="16"/>
  <c r="H61881" i="16"/>
  <c r="H61882" i="16"/>
  <c r="H61883" i="16"/>
  <c r="H61884" i="16"/>
  <c r="H61885" i="16"/>
  <c r="H61886" i="16"/>
  <c r="H61887" i="16"/>
  <c r="H61888" i="16"/>
  <c r="H61889" i="16"/>
  <c r="H61890" i="16"/>
  <c r="H61891" i="16"/>
  <c r="H61892" i="16"/>
  <c r="H61893" i="16"/>
  <c r="H61894" i="16"/>
  <c r="H61895" i="16"/>
  <c r="H61896" i="16"/>
  <c r="H61897" i="16"/>
  <c r="H61898" i="16"/>
  <c r="H61899" i="16"/>
  <c r="H61900" i="16"/>
  <c r="H61901" i="16"/>
  <c r="H61902" i="16"/>
  <c r="H61903" i="16"/>
  <c r="H61904" i="16"/>
  <c r="H61905" i="16"/>
  <c r="H61906" i="16"/>
  <c r="H61907" i="16"/>
  <c r="H61908" i="16"/>
  <c r="H61909" i="16"/>
  <c r="H61910" i="16"/>
  <c r="H61911" i="16"/>
  <c r="H61912" i="16"/>
  <c r="H61913" i="16"/>
  <c r="H61914" i="16"/>
  <c r="H61915" i="16"/>
  <c r="H61916" i="16"/>
  <c r="H61917" i="16"/>
  <c r="H61918" i="16"/>
  <c r="H61919" i="16"/>
  <c r="H61920" i="16"/>
  <c r="H61921" i="16"/>
  <c r="H61922" i="16"/>
  <c r="H61923" i="16"/>
  <c r="H61924" i="16"/>
  <c r="H61925" i="16"/>
  <c r="H61926" i="16"/>
  <c r="H61927" i="16"/>
  <c r="H61928" i="16"/>
  <c r="H61929" i="16"/>
  <c r="H61930" i="16"/>
  <c r="H61931" i="16"/>
  <c r="H61932" i="16"/>
  <c r="H61933" i="16"/>
  <c r="H61934" i="16"/>
  <c r="H61935" i="16"/>
  <c r="H61936" i="16"/>
  <c r="H61937" i="16"/>
  <c r="H61938" i="16"/>
  <c r="H61939" i="16"/>
  <c r="H61940" i="16"/>
  <c r="H61941" i="16"/>
  <c r="H61942" i="16"/>
  <c r="H61943" i="16"/>
  <c r="H61944" i="16"/>
  <c r="H61945" i="16"/>
  <c r="H61946" i="16"/>
  <c r="H61947" i="16"/>
  <c r="H61948" i="16"/>
  <c r="H61949" i="16"/>
  <c r="H61950" i="16"/>
  <c r="H61951" i="16"/>
  <c r="H61952" i="16"/>
  <c r="H61953" i="16"/>
  <c r="H61954" i="16"/>
  <c r="H61955" i="16"/>
  <c r="H61956" i="16"/>
  <c r="H61957" i="16"/>
  <c r="H61958" i="16"/>
  <c r="H61959" i="16"/>
  <c r="H61960" i="16"/>
  <c r="H61961" i="16"/>
  <c r="H61962" i="16"/>
  <c r="H61963" i="16"/>
  <c r="H61964" i="16"/>
  <c r="H61965" i="16"/>
  <c r="H61966" i="16"/>
  <c r="H61967" i="16"/>
  <c r="H61968" i="16"/>
  <c r="H61969" i="16"/>
  <c r="H61970" i="16"/>
  <c r="H61971" i="16"/>
  <c r="H61972" i="16"/>
  <c r="H61973" i="16"/>
  <c r="H61974" i="16"/>
  <c r="H61975" i="16"/>
  <c r="H61976" i="16"/>
  <c r="H61977" i="16"/>
  <c r="H61978" i="16"/>
  <c r="H61979" i="16"/>
  <c r="H61980" i="16"/>
  <c r="H61981" i="16"/>
  <c r="H61982" i="16"/>
  <c r="H61983" i="16"/>
  <c r="H61984" i="16"/>
  <c r="H61985" i="16"/>
  <c r="H61986" i="16"/>
  <c r="H61987" i="16"/>
  <c r="H61988" i="16"/>
  <c r="H61989" i="16"/>
  <c r="H61990" i="16"/>
  <c r="H61991" i="16"/>
  <c r="H61992" i="16"/>
  <c r="H61993" i="16"/>
  <c r="H61994" i="16"/>
  <c r="H61995" i="16"/>
  <c r="H61996" i="16"/>
  <c r="H61997" i="16"/>
  <c r="H61998" i="16"/>
  <c r="H61999" i="16"/>
  <c r="H62000" i="16"/>
  <c r="H62001" i="16"/>
  <c r="H62002" i="16"/>
  <c r="H62003" i="16"/>
  <c r="H62004" i="16"/>
  <c r="H62005" i="16"/>
  <c r="H62006" i="16"/>
  <c r="H62007" i="16"/>
  <c r="H62008" i="16"/>
  <c r="H62009" i="16"/>
  <c r="H62010" i="16"/>
  <c r="H62011" i="16"/>
  <c r="H62012" i="16"/>
  <c r="H62013" i="16"/>
  <c r="H62014" i="16"/>
  <c r="H62015" i="16"/>
  <c r="H62016" i="16"/>
  <c r="H62017" i="16"/>
  <c r="H62018" i="16"/>
  <c r="H62019" i="16"/>
  <c r="H62020" i="16"/>
  <c r="H62021" i="16"/>
  <c r="H62022" i="16"/>
  <c r="H62023" i="16"/>
  <c r="H62024" i="16"/>
  <c r="H62025" i="16"/>
  <c r="H62026" i="16"/>
  <c r="H62027" i="16"/>
  <c r="H62028" i="16"/>
  <c r="H62029" i="16"/>
  <c r="H62030" i="16"/>
  <c r="H62031" i="16"/>
  <c r="H62032" i="16"/>
  <c r="H62033" i="16"/>
  <c r="H62034" i="16"/>
  <c r="H62035" i="16"/>
  <c r="H62036" i="16"/>
  <c r="H62037" i="16"/>
  <c r="H62038" i="16"/>
  <c r="H62039" i="16"/>
  <c r="H62040" i="16"/>
  <c r="H62041" i="16"/>
  <c r="H62042" i="16"/>
  <c r="H62043" i="16"/>
  <c r="H62044" i="16"/>
  <c r="H62045" i="16"/>
  <c r="H62046" i="16"/>
  <c r="H62047" i="16"/>
  <c r="H62048" i="16"/>
  <c r="H62049" i="16"/>
  <c r="H62050" i="16"/>
  <c r="H62051" i="16"/>
  <c r="H62052" i="16"/>
  <c r="H62053" i="16"/>
  <c r="H62054" i="16"/>
  <c r="H62055" i="16"/>
  <c r="H62056" i="16"/>
  <c r="H62057" i="16"/>
  <c r="H62058" i="16"/>
  <c r="H62059" i="16"/>
  <c r="H62060" i="16"/>
  <c r="H62061" i="16"/>
  <c r="H62062" i="16"/>
  <c r="H62063" i="16"/>
  <c r="H62064" i="16"/>
  <c r="H62065" i="16"/>
  <c r="H62066" i="16"/>
  <c r="H62067" i="16"/>
  <c r="H62068" i="16"/>
  <c r="H62069" i="16"/>
  <c r="H62070" i="16"/>
  <c r="H62071" i="16"/>
  <c r="H62072" i="16"/>
  <c r="H62073" i="16"/>
  <c r="H62074" i="16"/>
  <c r="H62075" i="16"/>
  <c r="H62076" i="16"/>
  <c r="H62077" i="16"/>
  <c r="H62078" i="16"/>
  <c r="H62079" i="16"/>
  <c r="H62080" i="16"/>
  <c r="H62081" i="16"/>
  <c r="H62082" i="16"/>
  <c r="H62083" i="16"/>
  <c r="H62084" i="16"/>
  <c r="H62085" i="16"/>
  <c r="H62086" i="16"/>
  <c r="H62087" i="16"/>
  <c r="H62088" i="16"/>
  <c r="H62089" i="16"/>
  <c r="H62090" i="16"/>
  <c r="H62091" i="16"/>
  <c r="H62092" i="16"/>
  <c r="H62093" i="16"/>
  <c r="H62094" i="16"/>
  <c r="H62095" i="16"/>
  <c r="H62096" i="16"/>
  <c r="H62097" i="16"/>
  <c r="H62098" i="16"/>
  <c r="H62099" i="16"/>
  <c r="H62100" i="16"/>
  <c r="H62101" i="16"/>
  <c r="H62102" i="16"/>
  <c r="H62103" i="16"/>
  <c r="H62104" i="16"/>
  <c r="H62105" i="16"/>
  <c r="H62106" i="16"/>
  <c r="H62107" i="16"/>
  <c r="H62108" i="16"/>
  <c r="H62109" i="16"/>
  <c r="H62110" i="16"/>
  <c r="H62111" i="16"/>
  <c r="H62112" i="16"/>
  <c r="H62113" i="16"/>
  <c r="H62114" i="16"/>
  <c r="H62115" i="16"/>
  <c r="H62116" i="16"/>
  <c r="H62117" i="16"/>
  <c r="H62118" i="16"/>
  <c r="H62119" i="16"/>
  <c r="H62120" i="16"/>
  <c r="H62121" i="16"/>
  <c r="H62122" i="16"/>
  <c r="H62123" i="16"/>
  <c r="H62124" i="16"/>
  <c r="H62125" i="16"/>
  <c r="H62126" i="16"/>
  <c r="H62127" i="16"/>
  <c r="H62128" i="16"/>
  <c r="H62129" i="16"/>
  <c r="H62130" i="16"/>
  <c r="H62131" i="16"/>
  <c r="H62132" i="16"/>
  <c r="H62133" i="16"/>
  <c r="H62134" i="16"/>
  <c r="H62135" i="16"/>
  <c r="H62136" i="16"/>
  <c r="H62137" i="16"/>
  <c r="H62138" i="16"/>
  <c r="H62139" i="16"/>
  <c r="H62140" i="16"/>
  <c r="H62141" i="16"/>
  <c r="H62142" i="16"/>
  <c r="H62143" i="16"/>
  <c r="H62144" i="16"/>
  <c r="H62145" i="16"/>
  <c r="H62146" i="16"/>
  <c r="H62147" i="16"/>
  <c r="H62148" i="16"/>
  <c r="H62149" i="16"/>
  <c r="H62150" i="16"/>
  <c r="H62151" i="16"/>
  <c r="H62152" i="16"/>
  <c r="H62153" i="16"/>
  <c r="H62154" i="16"/>
  <c r="H62155" i="16"/>
  <c r="H62156" i="16"/>
  <c r="H62157" i="16"/>
  <c r="H62158" i="16"/>
  <c r="H62159" i="16"/>
  <c r="H62160" i="16"/>
  <c r="H62161" i="16"/>
  <c r="H62162" i="16"/>
  <c r="H62163" i="16"/>
  <c r="H62164" i="16"/>
  <c r="H62165" i="16"/>
  <c r="H62166" i="16"/>
  <c r="H62167" i="16"/>
  <c r="H62168" i="16"/>
  <c r="H62169" i="16"/>
  <c r="H62170" i="16"/>
  <c r="H62171" i="16"/>
  <c r="H62172" i="16"/>
  <c r="H62173" i="16"/>
  <c r="H62174" i="16"/>
  <c r="H62175" i="16"/>
  <c r="H62176" i="16"/>
  <c r="H62177" i="16"/>
  <c r="H62178" i="16"/>
  <c r="H62179" i="16"/>
  <c r="H62180" i="16"/>
  <c r="H62181" i="16"/>
  <c r="H62182" i="16"/>
  <c r="H62183" i="16"/>
  <c r="H62184" i="16"/>
  <c r="H62185" i="16"/>
  <c r="H62186" i="16"/>
  <c r="H62187" i="16"/>
  <c r="H62188" i="16"/>
  <c r="H62189" i="16"/>
  <c r="H62190" i="16"/>
  <c r="H62191" i="16"/>
  <c r="H62192" i="16"/>
  <c r="H62193" i="16"/>
  <c r="H62194" i="16"/>
  <c r="H62195" i="16"/>
  <c r="H62196" i="16"/>
  <c r="H62197" i="16"/>
  <c r="H62198" i="16"/>
  <c r="H62199" i="16"/>
  <c r="H62200" i="16"/>
  <c r="H62201" i="16"/>
  <c r="H62202" i="16"/>
  <c r="H62203" i="16"/>
  <c r="H62204" i="16"/>
  <c r="H62205" i="16"/>
  <c r="H62206" i="16"/>
  <c r="H62207" i="16"/>
  <c r="H62208" i="16"/>
  <c r="H62209" i="16"/>
  <c r="H62210" i="16"/>
  <c r="H62211" i="16"/>
  <c r="H62212" i="16"/>
  <c r="H62213" i="16"/>
  <c r="H62214" i="16"/>
  <c r="H62215" i="16"/>
  <c r="H62216" i="16"/>
  <c r="H62217" i="16"/>
  <c r="H62218" i="16"/>
  <c r="H62219" i="16"/>
  <c r="H62220" i="16"/>
  <c r="H62221" i="16"/>
  <c r="H62222" i="16"/>
  <c r="H62223" i="16"/>
  <c r="H62224" i="16"/>
  <c r="H62225" i="16"/>
  <c r="H62226" i="16"/>
  <c r="H62227" i="16"/>
  <c r="H62228" i="16"/>
  <c r="H62229" i="16"/>
  <c r="H62230" i="16"/>
  <c r="H62231" i="16"/>
  <c r="H62232" i="16"/>
  <c r="H62233" i="16"/>
  <c r="H62234" i="16"/>
  <c r="H62235" i="16"/>
  <c r="H62236" i="16"/>
  <c r="H62237" i="16"/>
  <c r="H62238" i="16"/>
  <c r="H62239" i="16"/>
  <c r="H62240" i="16"/>
  <c r="H62241" i="16"/>
  <c r="H62242" i="16"/>
  <c r="H62243" i="16"/>
  <c r="H62244" i="16"/>
  <c r="H62245" i="16"/>
  <c r="H62246" i="16"/>
  <c r="H62247" i="16"/>
  <c r="H62248" i="16"/>
  <c r="H62249" i="16"/>
  <c r="H62250" i="16"/>
  <c r="H62251" i="16"/>
  <c r="H62252" i="16"/>
  <c r="H62253" i="16"/>
  <c r="H62254" i="16"/>
  <c r="H62255" i="16"/>
  <c r="H62256" i="16"/>
  <c r="H62257" i="16"/>
  <c r="H62258" i="16"/>
  <c r="H62259" i="16"/>
  <c r="H62260" i="16"/>
  <c r="H62261" i="16"/>
  <c r="H62262" i="16"/>
  <c r="H62263" i="16"/>
  <c r="H62264" i="16"/>
  <c r="H62265" i="16"/>
  <c r="H62266" i="16"/>
  <c r="H62267" i="16"/>
  <c r="H62268" i="16"/>
  <c r="H62269" i="16"/>
  <c r="H62270" i="16"/>
  <c r="H62271" i="16"/>
  <c r="H62272" i="16"/>
  <c r="H62273" i="16"/>
  <c r="H62274" i="16"/>
  <c r="H62275" i="16"/>
  <c r="H62276" i="16"/>
  <c r="H62277" i="16"/>
  <c r="H62278" i="16"/>
  <c r="H62279" i="16"/>
  <c r="H62280" i="16"/>
  <c r="H62281" i="16"/>
  <c r="H62282" i="16"/>
  <c r="H62283" i="16"/>
  <c r="H62284" i="16"/>
  <c r="H62285" i="16"/>
  <c r="H62286" i="16"/>
  <c r="H62287" i="16"/>
  <c r="H62288" i="16"/>
  <c r="H62289" i="16"/>
  <c r="H62290" i="16"/>
  <c r="H62291" i="16"/>
  <c r="H62292" i="16"/>
  <c r="H62293" i="16"/>
  <c r="H62294" i="16"/>
  <c r="H62295" i="16"/>
  <c r="H62296" i="16"/>
  <c r="H62297" i="16"/>
  <c r="H62298" i="16"/>
  <c r="H62299" i="16"/>
  <c r="H62300" i="16"/>
  <c r="H62301" i="16"/>
  <c r="H62302" i="16"/>
  <c r="H62303" i="16"/>
  <c r="H62304" i="16"/>
  <c r="H62305" i="16"/>
  <c r="H62306" i="16"/>
  <c r="H62307" i="16"/>
  <c r="H62308" i="16"/>
  <c r="H62309" i="16"/>
  <c r="H62310" i="16"/>
  <c r="H62311" i="16"/>
  <c r="H62312" i="16"/>
  <c r="H62313" i="16"/>
  <c r="H62314" i="16"/>
  <c r="H62315" i="16"/>
  <c r="H62316" i="16"/>
  <c r="H62317" i="16"/>
  <c r="H62318" i="16"/>
  <c r="H62319" i="16"/>
  <c r="H62320" i="16"/>
  <c r="H62321" i="16"/>
  <c r="H62322" i="16"/>
  <c r="H62323" i="16"/>
  <c r="H62324" i="16"/>
  <c r="H62325" i="16"/>
  <c r="H62326" i="16"/>
  <c r="H62327" i="16"/>
  <c r="H62328" i="16"/>
  <c r="H62329" i="16"/>
  <c r="H62330" i="16"/>
  <c r="H62331" i="16"/>
  <c r="H62332" i="16"/>
  <c r="H62333" i="16"/>
  <c r="H62334" i="16"/>
  <c r="H62335" i="16"/>
  <c r="H62336" i="16"/>
  <c r="H62337" i="16"/>
  <c r="H62338" i="16"/>
  <c r="H62339" i="16"/>
  <c r="H62340" i="16"/>
  <c r="H62341" i="16"/>
  <c r="H62342" i="16"/>
  <c r="H62343" i="16"/>
  <c r="H62344" i="16"/>
  <c r="H62345" i="16"/>
  <c r="H62346" i="16"/>
  <c r="H62347" i="16"/>
  <c r="H62348" i="16"/>
  <c r="H62349" i="16"/>
  <c r="H62350" i="16"/>
  <c r="H62351" i="16"/>
  <c r="H62352" i="16"/>
  <c r="H62353" i="16"/>
  <c r="H62354" i="16"/>
  <c r="H62355" i="16"/>
  <c r="H62356" i="16"/>
  <c r="H62357" i="16"/>
  <c r="H62358" i="16"/>
  <c r="H62359" i="16"/>
  <c r="H62360" i="16"/>
  <c r="H62361" i="16"/>
  <c r="H62362" i="16"/>
  <c r="H62363" i="16"/>
  <c r="H62364" i="16"/>
  <c r="H62365" i="16"/>
  <c r="H62366" i="16"/>
  <c r="H62367" i="16"/>
  <c r="H62368" i="16"/>
  <c r="H62369" i="16"/>
  <c r="H62370" i="16"/>
  <c r="H62371" i="16"/>
  <c r="H62372" i="16"/>
  <c r="H62373" i="16"/>
  <c r="H62374" i="16"/>
  <c r="H62375" i="16"/>
  <c r="H62376" i="16"/>
  <c r="H62377" i="16"/>
  <c r="H62378" i="16"/>
  <c r="H62379" i="16"/>
  <c r="H62380" i="16"/>
  <c r="H62381" i="16"/>
  <c r="H62382" i="16"/>
  <c r="H62383" i="16"/>
  <c r="H62384" i="16"/>
  <c r="H62385" i="16"/>
  <c r="H62386" i="16"/>
  <c r="H62387" i="16"/>
  <c r="H62388" i="16"/>
  <c r="H62389" i="16"/>
  <c r="H62390" i="16"/>
  <c r="H62391" i="16"/>
  <c r="H62392" i="16"/>
  <c r="H62393" i="16"/>
  <c r="H62394" i="16"/>
  <c r="H62395" i="16"/>
  <c r="H62396" i="16"/>
  <c r="H62397" i="16"/>
  <c r="H62398" i="16"/>
  <c r="H62399" i="16"/>
  <c r="H62400" i="16"/>
  <c r="H62401" i="16"/>
  <c r="H62402" i="16"/>
  <c r="H62403" i="16"/>
  <c r="H62404" i="16"/>
  <c r="H62405" i="16"/>
  <c r="H62406" i="16"/>
  <c r="H62407" i="16"/>
  <c r="H62408" i="16"/>
  <c r="H62409" i="16"/>
  <c r="H62410" i="16"/>
  <c r="H62411" i="16"/>
  <c r="H62412" i="16"/>
  <c r="H62413" i="16"/>
  <c r="H62414" i="16"/>
  <c r="H62415" i="16"/>
  <c r="H62416" i="16"/>
  <c r="H62417" i="16"/>
  <c r="H62418" i="16"/>
  <c r="H62419" i="16"/>
  <c r="H62420" i="16"/>
  <c r="H62421" i="16"/>
  <c r="H62422" i="16"/>
  <c r="H62423" i="16"/>
  <c r="H62424" i="16"/>
  <c r="H62425" i="16"/>
  <c r="H62426" i="16"/>
  <c r="H62427" i="16"/>
  <c r="H62428" i="16"/>
  <c r="H62429" i="16"/>
  <c r="H62430" i="16"/>
  <c r="H62431" i="16"/>
  <c r="H62432" i="16"/>
  <c r="H62433" i="16"/>
  <c r="H62434" i="16"/>
  <c r="H62435" i="16"/>
  <c r="H62436" i="16"/>
  <c r="H62437" i="16"/>
  <c r="H62438" i="16"/>
  <c r="H62439" i="16"/>
  <c r="H62440" i="16"/>
  <c r="H62441" i="16"/>
  <c r="H62442" i="16"/>
  <c r="H62443" i="16"/>
  <c r="H62444" i="16"/>
  <c r="H62445" i="16"/>
  <c r="H62446" i="16"/>
  <c r="H62447" i="16"/>
  <c r="H62448" i="16"/>
  <c r="H62449" i="16"/>
  <c r="H62450" i="16"/>
  <c r="H62451" i="16"/>
  <c r="H62452" i="16"/>
  <c r="H62453" i="16"/>
  <c r="H62454" i="16"/>
  <c r="H62455" i="16"/>
  <c r="H62456" i="16"/>
  <c r="H62457" i="16"/>
  <c r="H62458" i="16"/>
  <c r="H62459" i="16"/>
  <c r="H62460" i="16"/>
  <c r="H62461" i="16"/>
  <c r="H62462" i="16"/>
  <c r="H62463" i="16"/>
  <c r="H62464" i="16"/>
  <c r="H62465" i="16"/>
  <c r="H62466" i="16"/>
  <c r="H62467" i="16"/>
  <c r="H62468" i="16"/>
  <c r="H62469" i="16"/>
  <c r="H62470" i="16"/>
  <c r="H62471" i="16"/>
  <c r="H62472" i="16"/>
  <c r="H62473" i="16"/>
  <c r="H62474" i="16"/>
  <c r="H62475" i="16"/>
  <c r="H62476" i="16"/>
  <c r="H62477" i="16"/>
  <c r="H62478" i="16"/>
  <c r="H62479" i="16"/>
  <c r="H62480" i="16"/>
  <c r="H62481" i="16"/>
  <c r="H62482" i="16"/>
  <c r="H62483" i="16"/>
  <c r="H62484" i="16"/>
  <c r="H62485" i="16"/>
  <c r="H62486" i="16"/>
  <c r="H62487" i="16"/>
  <c r="H62488" i="16"/>
  <c r="H62489" i="16"/>
  <c r="H62490" i="16"/>
  <c r="H62491" i="16"/>
  <c r="H62492" i="16"/>
  <c r="H62493" i="16"/>
  <c r="H62494" i="16"/>
  <c r="H62495" i="16"/>
  <c r="H62496" i="16"/>
  <c r="H62497" i="16"/>
  <c r="H62498" i="16"/>
  <c r="H62499" i="16"/>
  <c r="H62500" i="16"/>
  <c r="H62501" i="16"/>
  <c r="H62502" i="16"/>
  <c r="H62503" i="16"/>
  <c r="H62504" i="16"/>
  <c r="H62505" i="16"/>
  <c r="H62506" i="16"/>
  <c r="H62507" i="16"/>
  <c r="H62508" i="16"/>
  <c r="H62509" i="16"/>
  <c r="H62510" i="16"/>
  <c r="H62511" i="16"/>
  <c r="H62512" i="16"/>
  <c r="H62513" i="16"/>
  <c r="H62514" i="16"/>
  <c r="H62515" i="16"/>
  <c r="H62516" i="16"/>
  <c r="H62517" i="16"/>
  <c r="H62518" i="16"/>
  <c r="H62519" i="16"/>
  <c r="H62520" i="16"/>
  <c r="H62521" i="16"/>
  <c r="H62522" i="16"/>
  <c r="H62523" i="16"/>
  <c r="H62524" i="16"/>
  <c r="H62525" i="16"/>
  <c r="H62526" i="16"/>
  <c r="H62527" i="16"/>
  <c r="H62528" i="16"/>
  <c r="H62529" i="16"/>
  <c r="H62530" i="16"/>
  <c r="H62531" i="16"/>
  <c r="H62532" i="16"/>
  <c r="H62533" i="16"/>
  <c r="H62534" i="16"/>
  <c r="H62535" i="16"/>
  <c r="H62536" i="16"/>
  <c r="H62537" i="16"/>
  <c r="H62538" i="16"/>
  <c r="H62539" i="16"/>
  <c r="H62540" i="16"/>
  <c r="H62541" i="16"/>
  <c r="H62542" i="16"/>
  <c r="H62543" i="16"/>
  <c r="H62544" i="16"/>
  <c r="H62545" i="16"/>
  <c r="H62546" i="16"/>
  <c r="H62547" i="16"/>
  <c r="H62548" i="16"/>
  <c r="H62549" i="16"/>
  <c r="H62550" i="16"/>
  <c r="H62551" i="16"/>
  <c r="H62552" i="16"/>
  <c r="H62553" i="16"/>
  <c r="H62554" i="16"/>
  <c r="H62555" i="16"/>
  <c r="H62556" i="16"/>
  <c r="H62557" i="16"/>
  <c r="H62558" i="16"/>
  <c r="H62559" i="16"/>
  <c r="H62560" i="16"/>
  <c r="H62561" i="16"/>
  <c r="H62562" i="16"/>
  <c r="H62563" i="16"/>
  <c r="H62564" i="16"/>
  <c r="H62565" i="16"/>
  <c r="H62566" i="16"/>
  <c r="H62567" i="16"/>
  <c r="H62568" i="16"/>
  <c r="H62569" i="16"/>
  <c r="H62570" i="16"/>
  <c r="H62571" i="16"/>
  <c r="H62572" i="16"/>
  <c r="H62573" i="16"/>
  <c r="H62574" i="16"/>
  <c r="H62575" i="16"/>
  <c r="H62576" i="16"/>
  <c r="H62577" i="16"/>
  <c r="H62578" i="16"/>
  <c r="H62579" i="16"/>
  <c r="H62580" i="16"/>
  <c r="H62581" i="16"/>
  <c r="H62582" i="16"/>
  <c r="H62583" i="16"/>
  <c r="H62584" i="16"/>
  <c r="H62585" i="16"/>
  <c r="H62586" i="16"/>
  <c r="H62587" i="16"/>
  <c r="H62588" i="16"/>
  <c r="H62589" i="16"/>
  <c r="H62590" i="16"/>
  <c r="H62591" i="16"/>
  <c r="H62592" i="16"/>
  <c r="H62593" i="16"/>
  <c r="H62594" i="16"/>
  <c r="H62595" i="16"/>
  <c r="H62596" i="16"/>
  <c r="H62597" i="16"/>
  <c r="H62598" i="16"/>
  <c r="H62599" i="16"/>
  <c r="H62600" i="16"/>
  <c r="H62601" i="16"/>
  <c r="H62602" i="16"/>
  <c r="H62603" i="16"/>
  <c r="H62604" i="16"/>
  <c r="H62605" i="16"/>
  <c r="H62606" i="16"/>
  <c r="H62607" i="16"/>
  <c r="H62608" i="16"/>
  <c r="H62609" i="16"/>
  <c r="H62610" i="16"/>
  <c r="H62611" i="16"/>
  <c r="H62612" i="16"/>
  <c r="H62613" i="16"/>
  <c r="H62614" i="16"/>
  <c r="H62615" i="16"/>
  <c r="H62616" i="16"/>
  <c r="H62617" i="16"/>
  <c r="H62618" i="16"/>
  <c r="H62619" i="16"/>
  <c r="H62620" i="16"/>
  <c r="H62621" i="16"/>
  <c r="H62622" i="16"/>
  <c r="H62623" i="16"/>
  <c r="H62624" i="16"/>
  <c r="H62625" i="16"/>
  <c r="H62626" i="16"/>
  <c r="H62627" i="16"/>
  <c r="H62628" i="16"/>
  <c r="H62629" i="16"/>
  <c r="H62630" i="16"/>
  <c r="H62631" i="16"/>
  <c r="H62632" i="16"/>
  <c r="H62633" i="16"/>
  <c r="H62634" i="16"/>
  <c r="H62635" i="16"/>
  <c r="H62636" i="16"/>
  <c r="H62637" i="16"/>
  <c r="H62638" i="16"/>
  <c r="H62639" i="16"/>
  <c r="H62640" i="16"/>
  <c r="H62641" i="16"/>
  <c r="H62642" i="16"/>
  <c r="H62643" i="16"/>
  <c r="H62644" i="16"/>
  <c r="H62645" i="16"/>
  <c r="H62646" i="16"/>
  <c r="H62647" i="16"/>
  <c r="H62648" i="16"/>
  <c r="H62649" i="16"/>
  <c r="H62650" i="16"/>
  <c r="H62651" i="16"/>
  <c r="H62652" i="16"/>
  <c r="H62653" i="16"/>
  <c r="H62654" i="16"/>
  <c r="H62655" i="16"/>
  <c r="H62656" i="16"/>
  <c r="H62657" i="16"/>
  <c r="H62658" i="16"/>
  <c r="H62659" i="16"/>
  <c r="H62660" i="16"/>
  <c r="H62661" i="16"/>
  <c r="H62662" i="16"/>
  <c r="H62663" i="16"/>
  <c r="H62664" i="16"/>
  <c r="H62665" i="16"/>
  <c r="H62666" i="16"/>
  <c r="H62667" i="16"/>
  <c r="H62668" i="16"/>
  <c r="H62669" i="16"/>
  <c r="H62670" i="16"/>
  <c r="H62671" i="16"/>
  <c r="H62672" i="16"/>
  <c r="H62673" i="16"/>
  <c r="H62674" i="16"/>
  <c r="H62675" i="16"/>
  <c r="H62676" i="16"/>
  <c r="H62677" i="16"/>
  <c r="H62678" i="16"/>
  <c r="H62679" i="16"/>
  <c r="H62680" i="16"/>
  <c r="H62681" i="16"/>
  <c r="H62682" i="16"/>
  <c r="H62683" i="16"/>
  <c r="H62684" i="16"/>
  <c r="H62685" i="16"/>
  <c r="H62686" i="16"/>
  <c r="H62687" i="16"/>
  <c r="H62688" i="16"/>
  <c r="H62689" i="16"/>
  <c r="H62690" i="16"/>
  <c r="H62691" i="16"/>
  <c r="H62692" i="16"/>
  <c r="H62693" i="16"/>
  <c r="H62694" i="16"/>
  <c r="H62695" i="16"/>
  <c r="H62696" i="16"/>
  <c r="H62697" i="16"/>
  <c r="H62698" i="16"/>
  <c r="H62699" i="16"/>
  <c r="H62700" i="16"/>
  <c r="H62701" i="16"/>
  <c r="H62702" i="16"/>
  <c r="H62703" i="16"/>
  <c r="H62704" i="16"/>
  <c r="H62705" i="16"/>
  <c r="H62706" i="16"/>
  <c r="H62707" i="16"/>
  <c r="H62708" i="16"/>
  <c r="H62709" i="16"/>
  <c r="H62710" i="16"/>
  <c r="H62711" i="16"/>
  <c r="H62712" i="16"/>
  <c r="H62713" i="16"/>
  <c r="H62714" i="16"/>
  <c r="H62715" i="16"/>
  <c r="H62716" i="16"/>
  <c r="H62717" i="16"/>
  <c r="H62718" i="16"/>
  <c r="H62719" i="16"/>
  <c r="H62720" i="16"/>
  <c r="H62721" i="16"/>
  <c r="H62722" i="16"/>
  <c r="H62723" i="16"/>
  <c r="H62724" i="16"/>
  <c r="H62725" i="16"/>
  <c r="H62726" i="16"/>
  <c r="H62727" i="16"/>
  <c r="H62728" i="16"/>
  <c r="H62729" i="16"/>
  <c r="H62730" i="16"/>
  <c r="H62731" i="16"/>
  <c r="H62732" i="16"/>
  <c r="H62733" i="16"/>
  <c r="H62734" i="16"/>
  <c r="H62735" i="16"/>
  <c r="H62736" i="16"/>
  <c r="H62737" i="16"/>
  <c r="H62738" i="16"/>
  <c r="H62739" i="16"/>
  <c r="H62740" i="16"/>
  <c r="H62741" i="16"/>
  <c r="H62742" i="16"/>
  <c r="H62743" i="16"/>
  <c r="H62744" i="16"/>
  <c r="H62745" i="16"/>
  <c r="H62746" i="16"/>
  <c r="H62747" i="16"/>
  <c r="H62748" i="16"/>
  <c r="H62749" i="16"/>
  <c r="H62750" i="16"/>
  <c r="H62751" i="16"/>
  <c r="H62752" i="16"/>
  <c r="H62753" i="16"/>
  <c r="H62754" i="16"/>
  <c r="H62755" i="16"/>
  <c r="H62756" i="16"/>
  <c r="H62757" i="16"/>
  <c r="H62758" i="16"/>
  <c r="H62759" i="16"/>
  <c r="H62760" i="16"/>
  <c r="H62761" i="16"/>
  <c r="H62762" i="16"/>
  <c r="H62763" i="16"/>
  <c r="H62764" i="16"/>
  <c r="H62765" i="16"/>
  <c r="H62766" i="16"/>
  <c r="H62767" i="16"/>
  <c r="H62768" i="16"/>
  <c r="H62769" i="16"/>
  <c r="H62770" i="16"/>
  <c r="H62771" i="16"/>
  <c r="H62772" i="16"/>
  <c r="H62773" i="16"/>
  <c r="H62774" i="16"/>
  <c r="H62775" i="16"/>
  <c r="H62776" i="16"/>
  <c r="H62777" i="16"/>
  <c r="H62778" i="16"/>
  <c r="H62779" i="16"/>
  <c r="H62780" i="16"/>
  <c r="H62781" i="16"/>
  <c r="H62782" i="16"/>
  <c r="H62783" i="16"/>
  <c r="H62784" i="16"/>
  <c r="H62785" i="16"/>
  <c r="H62786" i="16"/>
  <c r="H62787" i="16"/>
  <c r="H62788" i="16"/>
  <c r="H62789" i="16"/>
  <c r="H62790" i="16"/>
  <c r="H62791" i="16"/>
  <c r="H62792" i="16"/>
  <c r="H62793" i="16"/>
  <c r="H62794" i="16"/>
  <c r="H62795" i="16"/>
  <c r="H62796" i="16"/>
  <c r="H62797" i="16"/>
  <c r="H62798" i="16"/>
  <c r="H62799" i="16"/>
  <c r="H62800" i="16"/>
  <c r="H62801" i="16"/>
  <c r="H62802" i="16"/>
  <c r="H62803" i="16"/>
  <c r="H62804" i="16"/>
  <c r="H62805" i="16"/>
  <c r="H62806" i="16"/>
  <c r="H62807" i="16"/>
  <c r="H62808" i="16"/>
  <c r="H62809" i="16"/>
  <c r="H62810" i="16"/>
  <c r="H62811" i="16"/>
  <c r="H62812" i="16"/>
  <c r="H62813" i="16"/>
  <c r="H62814" i="16"/>
  <c r="H62815" i="16"/>
  <c r="H62816" i="16"/>
  <c r="H62817" i="16"/>
  <c r="H62818" i="16"/>
  <c r="H62819" i="16"/>
  <c r="H62820" i="16"/>
  <c r="H62821" i="16"/>
  <c r="H62822" i="16"/>
  <c r="H62823" i="16"/>
  <c r="H62824" i="16"/>
  <c r="H62825" i="16"/>
  <c r="H62826" i="16"/>
  <c r="H62827" i="16"/>
  <c r="H62828" i="16"/>
  <c r="H62829" i="16"/>
  <c r="H62830" i="16"/>
  <c r="H62831" i="16"/>
  <c r="H62832" i="16"/>
  <c r="H62833" i="16"/>
  <c r="H62834" i="16"/>
  <c r="H62835" i="16"/>
  <c r="H62836" i="16"/>
  <c r="H62837" i="16"/>
  <c r="H62838" i="16"/>
  <c r="H62839" i="16"/>
  <c r="H62840" i="16"/>
  <c r="H62841" i="16"/>
  <c r="H62842" i="16"/>
  <c r="H62843" i="16"/>
  <c r="H62844" i="16"/>
  <c r="H62845" i="16"/>
  <c r="H62846" i="16"/>
  <c r="H62847" i="16"/>
  <c r="H62848" i="16"/>
  <c r="H62849" i="16"/>
  <c r="H62850" i="16"/>
  <c r="H62851" i="16"/>
  <c r="H62852" i="16"/>
  <c r="H62853" i="16"/>
  <c r="H62854" i="16"/>
  <c r="H62855" i="16"/>
  <c r="H62856" i="16"/>
  <c r="H62857" i="16"/>
  <c r="H62858" i="16"/>
  <c r="H62859" i="16"/>
  <c r="H62860" i="16"/>
  <c r="H62861" i="16"/>
  <c r="H62862" i="16"/>
  <c r="H62863" i="16"/>
  <c r="H62864" i="16"/>
  <c r="H62865" i="16"/>
  <c r="H62866" i="16"/>
  <c r="H62867" i="16"/>
  <c r="H62868" i="16"/>
  <c r="H62869" i="16"/>
  <c r="H62870" i="16"/>
  <c r="H62871" i="16"/>
  <c r="H62872" i="16"/>
  <c r="H62873" i="16"/>
  <c r="H62874" i="16"/>
  <c r="H62875" i="16"/>
  <c r="H62876" i="16"/>
  <c r="H62877" i="16"/>
  <c r="H62878" i="16"/>
  <c r="H62879" i="16"/>
  <c r="H62880" i="16"/>
  <c r="H62881" i="16"/>
  <c r="H62882" i="16"/>
  <c r="H62883" i="16"/>
  <c r="H62884" i="16"/>
  <c r="H62885" i="16"/>
  <c r="H62886" i="16"/>
  <c r="H62887" i="16"/>
  <c r="H62888" i="16"/>
  <c r="H62889" i="16"/>
  <c r="H62890" i="16"/>
  <c r="H62891" i="16"/>
  <c r="H62892" i="16"/>
  <c r="H62893" i="16"/>
  <c r="H62894" i="16"/>
  <c r="H62895" i="16"/>
  <c r="H62896" i="16"/>
  <c r="H62897" i="16"/>
  <c r="H62898" i="16"/>
  <c r="H62899" i="16"/>
  <c r="H62900" i="16"/>
  <c r="H62901" i="16"/>
  <c r="H62902" i="16"/>
  <c r="H62903" i="16"/>
  <c r="H62904" i="16"/>
  <c r="H62905" i="16"/>
  <c r="H62906" i="16"/>
  <c r="H62907" i="16"/>
  <c r="H62908" i="16"/>
  <c r="H62909" i="16"/>
  <c r="H62910" i="16"/>
  <c r="H62911" i="16"/>
  <c r="H62912" i="16"/>
  <c r="H62913" i="16"/>
  <c r="H62914" i="16"/>
  <c r="H62915" i="16"/>
  <c r="H62916" i="16"/>
  <c r="H62917" i="16"/>
  <c r="H62918" i="16"/>
  <c r="H62919" i="16"/>
  <c r="H62920" i="16"/>
  <c r="H62921" i="16"/>
  <c r="H62922" i="16"/>
  <c r="H62923" i="16"/>
  <c r="H62924" i="16"/>
  <c r="H62925" i="16"/>
  <c r="H62926" i="16"/>
  <c r="H62927" i="16"/>
  <c r="H62928" i="16"/>
  <c r="H62929" i="16"/>
  <c r="H62930" i="16"/>
  <c r="H62931" i="16"/>
  <c r="H62932" i="16"/>
  <c r="H62933" i="16"/>
  <c r="H62934" i="16"/>
  <c r="H62935" i="16"/>
  <c r="H62936" i="16"/>
  <c r="H62937" i="16"/>
  <c r="H62938" i="16"/>
  <c r="H62939" i="16"/>
  <c r="H62940" i="16"/>
  <c r="H62941" i="16"/>
  <c r="H62942" i="16"/>
  <c r="H62943" i="16"/>
  <c r="H62944" i="16"/>
  <c r="H62945" i="16"/>
  <c r="H62946" i="16"/>
  <c r="H62947" i="16"/>
  <c r="H62948" i="16"/>
  <c r="H62949" i="16"/>
  <c r="H62950" i="16"/>
  <c r="H62951" i="16"/>
  <c r="H62952" i="16"/>
  <c r="H62953" i="16"/>
  <c r="H62954" i="16"/>
  <c r="H62955" i="16"/>
  <c r="H62956" i="16"/>
  <c r="H62957" i="16"/>
  <c r="H62958" i="16"/>
  <c r="H62959" i="16"/>
  <c r="H62960" i="16"/>
  <c r="H62961" i="16"/>
  <c r="H62962" i="16"/>
  <c r="H62963" i="16"/>
  <c r="H62964" i="16"/>
  <c r="H62965" i="16"/>
  <c r="H62966" i="16"/>
  <c r="H62967" i="16"/>
  <c r="H62968" i="16"/>
  <c r="H62969" i="16"/>
  <c r="H62970" i="16"/>
  <c r="H62971" i="16"/>
  <c r="H62972" i="16"/>
  <c r="H62973" i="16"/>
  <c r="H62974" i="16"/>
  <c r="H62975" i="16"/>
  <c r="H62976" i="16"/>
  <c r="H62977" i="16"/>
  <c r="H62978" i="16"/>
  <c r="H62979" i="16"/>
  <c r="H62980" i="16"/>
  <c r="H62981" i="16"/>
  <c r="H62982" i="16"/>
  <c r="H62983" i="16"/>
  <c r="H62984" i="16"/>
  <c r="H62985" i="16"/>
  <c r="H62986" i="16"/>
  <c r="H62987" i="16"/>
  <c r="H62988" i="16"/>
  <c r="H62989" i="16"/>
  <c r="H62990" i="16"/>
  <c r="H62991" i="16"/>
  <c r="H62992" i="16"/>
  <c r="H62993" i="16"/>
  <c r="H62994" i="16"/>
  <c r="H62995" i="16"/>
  <c r="H62996" i="16"/>
  <c r="H62997" i="16"/>
  <c r="H62998" i="16"/>
  <c r="H62999" i="16"/>
  <c r="H63000" i="16"/>
  <c r="H63001" i="16"/>
  <c r="H63002" i="16"/>
  <c r="H63003" i="16"/>
  <c r="H63004" i="16"/>
  <c r="H63005" i="16"/>
  <c r="H63006" i="16"/>
  <c r="H63007" i="16"/>
  <c r="H63008" i="16"/>
  <c r="H63009" i="16"/>
  <c r="H63010" i="16"/>
  <c r="H63011" i="16"/>
  <c r="H63012" i="16"/>
  <c r="H63013" i="16"/>
  <c r="H63014" i="16"/>
  <c r="H63015" i="16"/>
  <c r="H63016" i="16"/>
  <c r="H63017" i="16"/>
  <c r="H63018" i="16"/>
  <c r="H63019" i="16"/>
  <c r="H63020" i="16"/>
  <c r="H63021" i="16"/>
  <c r="H63022" i="16"/>
  <c r="H63023" i="16"/>
  <c r="H63024" i="16"/>
  <c r="H63025" i="16"/>
  <c r="H63026" i="16"/>
  <c r="H63027" i="16"/>
  <c r="H63028" i="16"/>
  <c r="H63029" i="16"/>
  <c r="H63030" i="16"/>
  <c r="H63031" i="16"/>
  <c r="H63032" i="16"/>
  <c r="H63033" i="16"/>
  <c r="H63034" i="16"/>
  <c r="H63035" i="16"/>
  <c r="H63036" i="16"/>
  <c r="H63037" i="16"/>
  <c r="H63038" i="16"/>
  <c r="H63039" i="16"/>
  <c r="H63040" i="16"/>
  <c r="H63041" i="16"/>
  <c r="H63042" i="16"/>
  <c r="H63043" i="16"/>
  <c r="H63044" i="16"/>
  <c r="H63045" i="16"/>
  <c r="H63046" i="16"/>
  <c r="H63047" i="16"/>
  <c r="H63048" i="16"/>
  <c r="H63049" i="16"/>
  <c r="H63050" i="16"/>
  <c r="H63051" i="16"/>
  <c r="H63052" i="16"/>
  <c r="H63053" i="16"/>
  <c r="H63054" i="16"/>
  <c r="H63055" i="16"/>
  <c r="H63056" i="16"/>
  <c r="H63057" i="16"/>
  <c r="H63058" i="16"/>
  <c r="H63059" i="16"/>
  <c r="H63060" i="16"/>
  <c r="H63061" i="16"/>
  <c r="H63062" i="16"/>
  <c r="H63063" i="16"/>
  <c r="H63064" i="16"/>
  <c r="H63065" i="16"/>
  <c r="H63066" i="16"/>
  <c r="H63067" i="16"/>
  <c r="H63068" i="16"/>
  <c r="H63069" i="16"/>
  <c r="H63070" i="16"/>
  <c r="H63071" i="16"/>
  <c r="H63072" i="16"/>
  <c r="H63073" i="16"/>
  <c r="H63074" i="16"/>
  <c r="H63075" i="16"/>
  <c r="H63076" i="16"/>
  <c r="H63077" i="16"/>
  <c r="H63078" i="16"/>
  <c r="H63079" i="16"/>
  <c r="H63080" i="16"/>
  <c r="H63081" i="16"/>
  <c r="H63082" i="16"/>
  <c r="H63083" i="16"/>
  <c r="H63084" i="16"/>
  <c r="H63085" i="16"/>
  <c r="H63086" i="16"/>
  <c r="H63087" i="16"/>
  <c r="H63088" i="16"/>
  <c r="H63089" i="16"/>
  <c r="H63090" i="16"/>
  <c r="H63091" i="16"/>
  <c r="H63092" i="16"/>
  <c r="H63093" i="16"/>
  <c r="H63094" i="16"/>
  <c r="H63095" i="16"/>
  <c r="H63096" i="16"/>
  <c r="H63097" i="16"/>
  <c r="H63098" i="16"/>
  <c r="H63099" i="16"/>
  <c r="H63100" i="16"/>
  <c r="H63101" i="16"/>
  <c r="H63102" i="16"/>
  <c r="H63103" i="16"/>
  <c r="H63104" i="16"/>
  <c r="H63105" i="16"/>
  <c r="H63106" i="16"/>
  <c r="H63107" i="16"/>
  <c r="H63108" i="16"/>
  <c r="H63109" i="16"/>
  <c r="H63110" i="16"/>
  <c r="H63111" i="16"/>
  <c r="H63112" i="16"/>
  <c r="H63113" i="16"/>
  <c r="H63114" i="16"/>
  <c r="H63115" i="16"/>
  <c r="H63116" i="16"/>
  <c r="H63117" i="16"/>
  <c r="H63118" i="16"/>
  <c r="H63119" i="16"/>
  <c r="H63120" i="16"/>
  <c r="H63121" i="16"/>
  <c r="H63122" i="16"/>
  <c r="H63123" i="16"/>
  <c r="H63124" i="16"/>
  <c r="H63125" i="16"/>
  <c r="H63126" i="16"/>
  <c r="H63127" i="16"/>
  <c r="H63128" i="16"/>
  <c r="H63129" i="16"/>
  <c r="H63130" i="16"/>
  <c r="H63131" i="16"/>
  <c r="H63132" i="16"/>
  <c r="H63133" i="16"/>
  <c r="H63134" i="16"/>
  <c r="H63135" i="16"/>
  <c r="H63136" i="16"/>
  <c r="H63137" i="16"/>
  <c r="H63138" i="16"/>
  <c r="H63139" i="16"/>
  <c r="H63140" i="16"/>
  <c r="H63141" i="16"/>
  <c r="H63142" i="16"/>
  <c r="H63143" i="16"/>
  <c r="H63144" i="16"/>
  <c r="H63145" i="16"/>
  <c r="H63146" i="16"/>
  <c r="H63147" i="16"/>
  <c r="H63148" i="16"/>
  <c r="H63149" i="16"/>
  <c r="H63150" i="16"/>
  <c r="H63151" i="16"/>
  <c r="H63152" i="16"/>
  <c r="H63153" i="16"/>
  <c r="H63154" i="16"/>
  <c r="H63155" i="16"/>
  <c r="H63156" i="16"/>
  <c r="H63157" i="16"/>
  <c r="H63158" i="16"/>
  <c r="H63159" i="16"/>
  <c r="H63160" i="16"/>
  <c r="H63161" i="16"/>
  <c r="H63162" i="16"/>
  <c r="H63163" i="16"/>
  <c r="H63164" i="16"/>
  <c r="H63165" i="16"/>
  <c r="H63166" i="16"/>
  <c r="H63167" i="16"/>
  <c r="H63168" i="16"/>
  <c r="H63169" i="16"/>
  <c r="H63170" i="16"/>
  <c r="H63171" i="16"/>
  <c r="H63172" i="16"/>
  <c r="H63173" i="16"/>
  <c r="H63174" i="16"/>
  <c r="H63175" i="16"/>
  <c r="H63176" i="16"/>
  <c r="H63177" i="16"/>
  <c r="H63178" i="16"/>
  <c r="H63179" i="16"/>
  <c r="H63180" i="16"/>
  <c r="H63181" i="16"/>
  <c r="H63182" i="16"/>
  <c r="H63183" i="16"/>
  <c r="H63184" i="16"/>
  <c r="H63185" i="16"/>
  <c r="H63186" i="16"/>
  <c r="H63187" i="16"/>
  <c r="H63188" i="16"/>
  <c r="H63189" i="16"/>
  <c r="H63190" i="16"/>
  <c r="H63191" i="16"/>
  <c r="H63192" i="16"/>
  <c r="H63193" i="16"/>
  <c r="H63194" i="16"/>
  <c r="H63195" i="16"/>
  <c r="H63196" i="16"/>
  <c r="H63197" i="16"/>
  <c r="H63198" i="16"/>
  <c r="H63199" i="16"/>
  <c r="H63200" i="16"/>
  <c r="H63201" i="16"/>
  <c r="H63202" i="16"/>
  <c r="H63203" i="16"/>
  <c r="H63204" i="16"/>
  <c r="H63205" i="16"/>
  <c r="H63206" i="16"/>
  <c r="H63207" i="16"/>
  <c r="H63208" i="16"/>
  <c r="H63209" i="16"/>
  <c r="H63210" i="16"/>
  <c r="H63211" i="16"/>
  <c r="H63212" i="16"/>
  <c r="H63213" i="16"/>
  <c r="H63214" i="16"/>
  <c r="H63215" i="16"/>
  <c r="H63216" i="16"/>
  <c r="H63217" i="16"/>
  <c r="H63218" i="16"/>
  <c r="H63219" i="16"/>
  <c r="H63220" i="16"/>
  <c r="H63221" i="16"/>
  <c r="H63222" i="16"/>
  <c r="H63223" i="16"/>
  <c r="H63224" i="16"/>
  <c r="H63225" i="16"/>
  <c r="H63226" i="16"/>
  <c r="H63227" i="16"/>
  <c r="H63228" i="16"/>
  <c r="H63229" i="16"/>
  <c r="H63230" i="16"/>
  <c r="H63231" i="16"/>
  <c r="H63232" i="16"/>
  <c r="H63233" i="16"/>
  <c r="H63234" i="16"/>
  <c r="H63235" i="16"/>
  <c r="H63236" i="16"/>
  <c r="H63237" i="16"/>
  <c r="H63238" i="16"/>
  <c r="H63239" i="16"/>
  <c r="H63240" i="16"/>
  <c r="H63241" i="16"/>
  <c r="H63242" i="16"/>
  <c r="H63243" i="16"/>
  <c r="H63244" i="16"/>
  <c r="H63245" i="16"/>
  <c r="H63246" i="16"/>
  <c r="H63247" i="16"/>
  <c r="H63248" i="16"/>
  <c r="H63249" i="16"/>
  <c r="H63250" i="16"/>
  <c r="H63251" i="16"/>
  <c r="H63252" i="16"/>
  <c r="H63253" i="16"/>
  <c r="H63254" i="16"/>
  <c r="H63255" i="16"/>
  <c r="H63256" i="16"/>
  <c r="H63257" i="16"/>
  <c r="H63258" i="16"/>
  <c r="H63259" i="16"/>
  <c r="H63260" i="16"/>
  <c r="H63261" i="16"/>
  <c r="H63262" i="16"/>
  <c r="H63263" i="16"/>
  <c r="H63264" i="16"/>
  <c r="H63265" i="16"/>
  <c r="H63266" i="16"/>
  <c r="H63267" i="16"/>
  <c r="H63268" i="16"/>
  <c r="H63269" i="16"/>
  <c r="H63270" i="16"/>
  <c r="H63271" i="16"/>
  <c r="H63272" i="16"/>
  <c r="H63273" i="16"/>
  <c r="H63274" i="16"/>
  <c r="H63275" i="16"/>
  <c r="H63276" i="16"/>
  <c r="H63277" i="16"/>
  <c r="H63278" i="16"/>
  <c r="H63279" i="16"/>
  <c r="H63280" i="16"/>
  <c r="H63281" i="16"/>
  <c r="H63282" i="16"/>
  <c r="H63283" i="16"/>
  <c r="H63284" i="16"/>
  <c r="H63285" i="16"/>
  <c r="H63286" i="16"/>
  <c r="H63287" i="16"/>
  <c r="H63288" i="16"/>
  <c r="H63289" i="16"/>
  <c r="H63290" i="16"/>
  <c r="H63291" i="16"/>
  <c r="H63292" i="16"/>
  <c r="H63293" i="16"/>
  <c r="H63294" i="16"/>
  <c r="H63295" i="16"/>
  <c r="H63296" i="16"/>
  <c r="H63297" i="16"/>
  <c r="H63298" i="16"/>
  <c r="H63299" i="16"/>
  <c r="H63300" i="16"/>
  <c r="H63301" i="16"/>
  <c r="H63302" i="16"/>
  <c r="H63303" i="16"/>
  <c r="H63304" i="16"/>
  <c r="H63305" i="16"/>
  <c r="H63306" i="16"/>
  <c r="H63307" i="16"/>
  <c r="H63308" i="16"/>
  <c r="H63309" i="16"/>
  <c r="H63310" i="16"/>
  <c r="H63311" i="16"/>
  <c r="H63312" i="16"/>
  <c r="H63313" i="16"/>
  <c r="H63314" i="16"/>
  <c r="H63315" i="16"/>
  <c r="H63316" i="16"/>
  <c r="H63317" i="16"/>
  <c r="H63318" i="16"/>
  <c r="H63319" i="16"/>
  <c r="H63320" i="16"/>
  <c r="H63321" i="16"/>
  <c r="H63322" i="16"/>
  <c r="H63323" i="16"/>
  <c r="H63324" i="16"/>
  <c r="H63325" i="16"/>
  <c r="H63326" i="16"/>
  <c r="H63327" i="16"/>
  <c r="H63328" i="16"/>
  <c r="H63329" i="16"/>
  <c r="H63330" i="16"/>
  <c r="H63331" i="16"/>
  <c r="H63332" i="16"/>
  <c r="H63333" i="16"/>
  <c r="H63334" i="16"/>
  <c r="H63335" i="16"/>
  <c r="H63336" i="16"/>
  <c r="H63337" i="16"/>
  <c r="H63338" i="16"/>
  <c r="H63339" i="16"/>
  <c r="H63340" i="16"/>
  <c r="H63341" i="16"/>
  <c r="H63342" i="16"/>
  <c r="H63343" i="16"/>
  <c r="H63344" i="16"/>
  <c r="H63345" i="16"/>
  <c r="H63346" i="16"/>
  <c r="H63347" i="16"/>
  <c r="H63348" i="16"/>
  <c r="H63349" i="16"/>
  <c r="H63350" i="16"/>
  <c r="H63351" i="16"/>
  <c r="H63352" i="16"/>
  <c r="H63353" i="16"/>
  <c r="H63354" i="16"/>
  <c r="H63355" i="16"/>
  <c r="H63356" i="16"/>
  <c r="H63357" i="16"/>
  <c r="H63358" i="16"/>
  <c r="H63359" i="16"/>
  <c r="H63360" i="16"/>
  <c r="H63361" i="16"/>
  <c r="H63362" i="16"/>
  <c r="H63363" i="16"/>
  <c r="H63364" i="16"/>
  <c r="H63365" i="16"/>
  <c r="H63366" i="16"/>
  <c r="H63367" i="16"/>
  <c r="H63368" i="16"/>
  <c r="H63369" i="16"/>
  <c r="H63370" i="16"/>
  <c r="H63371" i="16"/>
  <c r="H63372" i="16"/>
  <c r="H63373" i="16"/>
  <c r="H63374" i="16"/>
  <c r="H63375" i="16"/>
  <c r="H63376" i="16"/>
  <c r="H63377" i="16"/>
  <c r="H63378" i="16"/>
  <c r="H63379" i="16"/>
  <c r="H63380" i="16"/>
  <c r="H63381" i="16"/>
  <c r="H63382" i="16"/>
  <c r="H63383" i="16"/>
  <c r="H63384" i="16"/>
  <c r="H63385" i="16"/>
  <c r="H63386" i="16"/>
  <c r="H63387" i="16"/>
  <c r="H63388" i="16"/>
  <c r="H63389" i="16"/>
  <c r="H63390" i="16"/>
  <c r="H63391" i="16"/>
  <c r="H63392" i="16"/>
  <c r="H63393" i="16"/>
  <c r="H63394" i="16"/>
  <c r="H63395" i="16"/>
  <c r="H63396" i="16"/>
  <c r="H63397" i="16"/>
  <c r="H63398" i="16"/>
  <c r="H63399" i="16"/>
  <c r="H63400" i="16"/>
  <c r="H63401" i="16"/>
  <c r="H63402" i="16"/>
  <c r="H63403" i="16"/>
  <c r="H63404" i="16"/>
  <c r="H63405" i="16"/>
  <c r="H63406" i="16"/>
  <c r="H63407" i="16"/>
  <c r="H63408" i="16"/>
  <c r="H63409" i="16"/>
  <c r="H63410" i="16"/>
  <c r="H63411" i="16"/>
  <c r="H63412" i="16"/>
  <c r="H63413" i="16"/>
  <c r="H63414" i="16"/>
  <c r="H63415" i="16"/>
  <c r="H63416" i="16"/>
  <c r="H63417" i="16"/>
  <c r="H63418" i="16"/>
  <c r="H63419" i="16"/>
  <c r="H63420" i="16"/>
  <c r="H63421" i="16"/>
  <c r="H63422" i="16"/>
  <c r="H63423" i="16"/>
  <c r="H63424" i="16"/>
  <c r="H63425" i="16"/>
  <c r="H63426" i="16"/>
  <c r="H63427" i="16"/>
  <c r="H63428" i="16"/>
  <c r="H63429" i="16"/>
  <c r="H63430" i="16"/>
  <c r="H63431" i="16"/>
  <c r="H63432" i="16"/>
  <c r="H63433" i="16"/>
  <c r="H63434" i="16"/>
  <c r="H63435" i="16"/>
  <c r="H63436" i="16"/>
  <c r="H63437" i="16"/>
  <c r="H63438" i="16"/>
  <c r="H63439" i="16"/>
  <c r="H63440" i="16"/>
  <c r="H63441" i="16"/>
  <c r="H63442" i="16"/>
  <c r="H63443" i="16"/>
  <c r="H63444" i="16"/>
  <c r="H63445" i="16"/>
  <c r="H63446" i="16"/>
  <c r="H63447" i="16"/>
  <c r="H63448" i="16"/>
  <c r="H63449" i="16"/>
  <c r="H63450" i="16"/>
  <c r="H63451" i="16"/>
  <c r="H63452" i="16"/>
  <c r="H63453" i="16"/>
  <c r="H63454" i="16"/>
  <c r="H63455" i="16"/>
  <c r="H63456" i="16"/>
  <c r="H63457" i="16"/>
  <c r="H63458" i="16"/>
  <c r="H63459" i="16"/>
  <c r="H63460" i="16"/>
  <c r="H63461" i="16"/>
  <c r="H63462" i="16"/>
  <c r="H63463" i="16"/>
  <c r="H63464" i="16"/>
  <c r="H63465" i="16"/>
  <c r="H63466" i="16"/>
  <c r="H63467" i="16"/>
  <c r="H63468" i="16"/>
  <c r="H63469" i="16"/>
  <c r="H63470" i="16"/>
  <c r="H63471" i="16"/>
  <c r="H63472" i="16"/>
  <c r="H63473" i="16"/>
  <c r="H63474" i="16"/>
  <c r="H63475" i="16"/>
  <c r="H63476" i="16"/>
  <c r="H63477" i="16"/>
  <c r="H63478" i="16"/>
  <c r="H63479" i="16"/>
  <c r="H63480" i="16"/>
  <c r="H63481" i="16"/>
  <c r="H63482" i="16"/>
  <c r="H63483" i="16"/>
  <c r="H63484" i="16"/>
  <c r="H63485" i="16"/>
  <c r="H63486" i="16"/>
  <c r="H63487" i="16"/>
  <c r="H63488" i="16"/>
  <c r="H63489" i="16"/>
  <c r="H63490" i="16"/>
  <c r="H63491" i="16"/>
  <c r="H63492" i="16"/>
  <c r="H63493" i="16"/>
  <c r="H63494" i="16"/>
  <c r="H63495" i="16"/>
  <c r="H63496" i="16"/>
  <c r="H63497" i="16"/>
  <c r="H63498" i="16"/>
  <c r="H63499" i="16"/>
  <c r="H63500" i="16"/>
  <c r="H63501" i="16"/>
  <c r="H63502" i="16"/>
  <c r="H63503" i="16"/>
  <c r="H63504" i="16"/>
  <c r="H63505" i="16"/>
  <c r="H63506" i="16"/>
  <c r="H63507" i="16"/>
  <c r="H63508" i="16"/>
  <c r="H63509" i="16"/>
  <c r="H63510" i="16"/>
  <c r="H63511" i="16"/>
  <c r="H63512" i="16"/>
  <c r="H63513" i="16"/>
  <c r="H63514" i="16"/>
  <c r="H63515" i="16"/>
  <c r="H63516" i="16"/>
  <c r="H63517" i="16"/>
  <c r="H63518" i="16"/>
  <c r="H63519" i="16"/>
  <c r="H63520" i="16"/>
  <c r="H63521" i="16"/>
  <c r="H63522" i="16"/>
  <c r="H63523" i="16"/>
  <c r="H63524" i="16"/>
  <c r="H63525" i="16"/>
  <c r="H63526" i="16"/>
  <c r="H63527" i="16"/>
  <c r="H63528" i="16"/>
  <c r="H63529" i="16"/>
  <c r="H63530" i="16"/>
  <c r="H63531" i="16"/>
  <c r="H63532" i="16"/>
  <c r="H63533" i="16"/>
  <c r="H63534" i="16"/>
  <c r="H63535" i="16"/>
  <c r="H63536" i="16"/>
  <c r="H63537" i="16"/>
  <c r="H63538" i="16"/>
  <c r="H63539" i="16"/>
  <c r="H63540" i="16"/>
  <c r="H63541" i="16"/>
  <c r="H63542" i="16"/>
  <c r="H63543" i="16"/>
  <c r="H63544" i="16"/>
  <c r="H63545" i="16"/>
  <c r="H63546" i="16"/>
  <c r="H63547" i="16"/>
  <c r="H63548" i="16"/>
  <c r="H63549" i="16"/>
  <c r="H63550" i="16"/>
  <c r="H63551" i="16"/>
  <c r="H63552" i="16"/>
  <c r="H63553" i="16"/>
  <c r="H63554" i="16"/>
  <c r="H63555" i="16"/>
  <c r="H63556" i="16"/>
  <c r="H63557" i="16"/>
  <c r="H63558" i="16"/>
  <c r="H63559" i="16"/>
  <c r="H63560" i="16"/>
  <c r="H63561" i="16"/>
  <c r="H63562" i="16"/>
  <c r="H63563" i="16"/>
  <c r="H63564" i="16"/>
  <c r="H63565" i="16"/>
  <c r="H63566" i="16"/>
  <c r="H63567" i="16"/>
  <c r="H63568" i="16"/>
  <c r="H63569" i="16"/>
  <c r="H63570" i="16"/>
  <c r="H63571" i="16"/>
  <c r="H63572" i="16"/>
  <c r="H63573" i="16"/>
  <c r="H63574" i="16"/>
  <c r="H63575" i="16"/>
  <c r="H63576" i="16"/>
  <c r="H63577" i="16"/>
  <c r="H63578" i="16"/>
  <c r="H63579" i="16"/>
  <c r="H63580" i="16"/>
  <c r="H63581" i="16"/>
  <c r="H63582" i="16"/>
  <c r="H63583" i="16"/>
  <c r="H63584" i="16"/>
  <c r="H63585" i="16"/>
  <c r="H63586" i="16"/>
  <c r="H63587" i="16"/>
  <c r="H63588" i="16"/>
  <c r="H63589" i="16"/>
  <c r="H63590" i="16"/>
  <c r="H63591" i="16"/>
  <c r="H63592" i="16"/>
  <c r="H63593" i="16"/>
  <c r="H63594" i="16"/>
  <c r="H63595" i="16"/>
  <c r="H63596" i="16"/>
  <c r="H63597" i="16"/>
  <c r="H63598" i="16"/>
  <c r="H63599" i="16"/>
  <c r="H63600" i="16"/>
  <c r="H63601" i="16"/>
  <c r="H63602" i="16"/>
  <c r="H63603" i="16"/>
  <c r="H63604" i="16"/>
  <c r="H63605" i="16"/>
  <c r="H63606" i="16"/>
  <c r="H63607" i="16"/>
  <c r="H63608" i="16"/>
  <c r="H63609" i="16"/>
  <c r="H63610" i="16"/>
  <c r="H63611" i="16"/>
  <c r="H63612" i="16"/>
  <c r="H63613" i="16"/>
  <c r="H63614" i="16"/>
  <c r="H63615" i="16"/>
  <c r="H63616" i="16"/>
  <c r="H63617" i="16"/>
  <c r="H63618" i="16"/>
  <c r="H63619" i="16"/>
  <c r="H63620" i="16"/>
  <c r="H63621" i="16"/>
  <c r="H63622" i="16"/>
  <c r="H63623" i="16"/>
  <c r="H63624" i="16"/>
  <c r="H63625" i="16"/>
  <c r="H63626" i="16"/>
  <c r="H63627" i="16"/>
  <c r="H63628" i="16"/>
  <c r="H63629" i="16"/>
  <c r="H63630" i="16"/>
  <c r="H63631" i="16"/>
  <c r="H63632" i="16"/>
  <c r="H63633" i="16"/>
  <c r="H63634" i="16"/>
  <c r="H63635" i="16"/>
  <c r="H63636" i="16"/>
  <c r="H63637" i="16"/>
  <c r="H63638" i="16"/>
  <c r="H63639" i="16"/>
  <c r="H63640" i="16"/>
  <c r="H63641" i="16"/>
  <c r="H63642" i="16"/>
  <c r="H63643" i="16"/>
  <c r="H63644" i="16"/>
  <c r="H63645" i="16"/>
  <c r="H63646" i="16"/>
  <c r="H63647" i="16"/>
  <c r="H63648" i="16"/>
  <c r="H63649" i="16"/>
  <c r="H63650" i="16"/>
  <c r="H63651" i="16"/>
  <c r="H63652" i="16"/>
  <c r="H63653" i="16"/>
  <c r="H63654" i="16"/>
  <c r="H63655" i="16"/>
  <c r="H63656" i="16"/>
  <c r="H63657" i="16"/>
  <c r="H63658" i="16"/>
  <c r="H63659" i="16"/>
  <c r="H63660" i="16"/>
  <c r="H63661" i="16"/>
  <c r="H63662" i="16"/>
  <c r="H63663" i="16"/>
  <c r="H63664" i="16"/>
  <c r="H63665" i="16"/>
  <c r="H63666" i="16"/>
  <c r="H63667" i="16"/>
  <c r="H63668" i="16"/>
  <c r="H63669" i="16"/>
  <c r="H63670" i="16"/>
  <c r="H63671" i="16"/>
  <c r="H63672" i="16"/>
  <c r="H63673" i="16"/>
  <c r="H63674" i="16"/>
  <c r="H63675" i="16"/>
  <c r="H63676" i="16"/>
  <c r="H63677" i="16"/>
  <c r="H63678" i="16"/>
  <c r="H63679" i="16"/>
  <c r="H63680" i="16"/>
  <c r="H63681" i="16"/>
  <c r="H63682" i="16"/>
  <c r="H63683" i="16"/>
  <c r="H63684" i="16"/>
  <c r="H63685" i="16"/>
  <c r="H63686" i="16"/>
  <c r="H63687" i="16"/>
  <c r="H63688" i="16"/>
  <c r="H63689" i="16"/>
  <c r="H63690" i="16"/>
  <c r="H63691" i="16"/>
  <c r="H63692" i="16"/>
  <c r="H63693" i="16"/>
  <c r="H63694" i="16"/>
  <c r="H63695" i="16"/>
  <c r="H63696" i="16"/>
  <c r="H63697" i="16"/>
  <c r="H63698" i="16"/>
  <c r="H63699" i="16"/>
  <c r="H63700" i="16"/>
  <c r="H63701" i="16"/>
  <c r="H63702" i="16"/>
  <c r="H63703" i="16"/>
  <c r="H63704" i="16"/>
  <c r="H63705" i="16"/>
  <c r="H63706" i="16"/>
  <c r="H63707" i="16"/>
  <c r="H63708" i="16"/>
  <c r="H63709" i="16"/>
  <c r="H63710" i="16"/>
  <c r="H63711" i="16"/>
  <c r="H63712" i="16"/>
  <c r="H63713" i="16"/>
  <c r="H63714" i="16"/>
  <c r="H63715" i="16"/>
  <c r="H63716" i="16"/>
  <c r="H63717" i="16"/>
  <c r="H63718" i="16"/>
  <c r="H63719" i="16"/>
  <c r="H63720" i="16"/>
  <c r="H63721" i="16"/>
  <c r="H63722" i="16"/>
  <c r="H63723" i="16"/>
  <c r="H63724" i="16"/>
  <c r="H63725" i="16"/>
  <c r="H63726" i="16"/>
  <c r="H63727" i="16"/>
  <c r="H63728" i="16"/>
  <c r="H63729" i="16"/>
  <c r="H63730" i="16"/>
  <c r="H63731" i="16"/>
  <c r="H63732" i="16"/>
  <c r="H63733" i="16"/>
  <c r="H63734" i="16"/>
  <c r="H63735" i="16"/>
  <c r="H63736" i="16"/>
  <c r="H63737" i="16"/>
  <c r="H63738" i="16"/>
  <c r="H63739" i="16"/>
  <c r="H63740" i="16"/>
  <c r="H63741" i="16"/>
  <c r="H63742" i="16"/>
  <c r="H63743" i="16"/>
  <c r="H63744" i="16"/>
  <c r="H63745" i="16"/>
  <c r="H63746" i="16"/>
  <c r="H63747" i="16"/>
  <c r="H63748" i="16"/>
  <c r="H63749" i="16"/>
  <c r="H63750" i="16"/>
  <c r="H63751" i="16"/>
  <c r="H63752" i="16"/>
  <c r="H63753" i="16"/>
  <c r="H63754" i="16"/>
  <c r="H63755" i="16"/>
  <c r="H63756" i="16"/>
  <c r="H63757" i="16"/>
  <c r="H63758" i="16"/>
  <c r="H63759" i="16"/>
  <c r="H63760" i="16"/>
  <c r="H63761" i="16"/>
  <c r="H63762" i="16"/>
  <c r="H63763" i="16"/>
  <c r="H63764" i="16"/>
  <c r="H63765" i="16"/>
  <c r="H63766" i="16"/>
  <c r="H63767" i="16"/>
  <c r="H63768" i="16"/>
  <c r="H63769" i="16"/>
  <c r="H63770" i="16"/>
  <c r="H63771" i="16"/>
  <c r="H63772" i="16"/>
  <c r="H63773" i="16"/>
  <c r="H63774" i="16"/>
  <c r="H63775" i="16"/>
  <c r="H63776" i="16"/>
  <c r="H63777" i="16"/>
  <c r="H63778" i="16"/>
  <c r="H63779" i="16"/>
  <c r="H63780" i="16"/>
  <c r="H63781" i="16"/>
  <c r="H63782" i="16"/>
  <c r="H63783" i="16"/>
  <c r="H63784" i="16"/>
  <c r="H63785" i="16"/>
  <c r="H63786" i="16"/>
  <c r="H63787" i="16"/>
  <c r="H63788" i="16"/>
  <c r="H63789" i="16"/>
  <c r="H63790" i="16"/>
  <c r="H63791" i="16"/>
  <c r="H63792" i="16"/>
  <c r="H63793" i="16"/>
  <c r="H63794" i="16"/>
  <c r="H63795" i="16"/>
  <c r="H63796" i="16"/>
  <c r="H63797" i="16"/>
  <c r="H63798" i="16"/>
  <c r="H63799" i="16"/>
  <c r="H63800" i="16"/>
  <c r="H63801" i="16"/>
  <c r="H63802" i="16"/>
  <c r="H63803" i="16"/>
  <c r="H63804" i="16"/>
  <c r="H63805" i="16"/>
  <c r="H63806" i="16"/>
  <c r="H63807" i="16"/>
  <c r="H63808" i="16"/>
  <c r="H63809" i="16"/>
  <c r="H63810" i="16"/>
  <c r="H63811" i="16"/>
  <c r="H63812" i="16"/>
  <c r="H63813" i="16"/>
  <c r="H63814" i="16"/>
  <c r="H63815" i="16"/>
  <c r="H63816" i="16"/>
  <c r="H63817" i="16"/>
  <c r="H63818" i="16"/>
  <c r="H63819" i="16"/>
  <c r="H63820" i="16"/>
  <c r="H63821" i="16"/>
  <c r="H63822" i="16"/>
  <c r="H63823" i="16"/>
  <c r="H63824" i="16"/>
  <c r="H63825" i="16"/>
  <c r="H63826" i="16"/>
  <c r="H63827" i="16"/>
  <c r="H63828" i="16"/>
  <c r="H63829" i="16"/>
  <c r="H63830" i="16"/>
  <c r="H63831" i="16"/>
  <c r="H63832" i="16"/>
  <c r="H63833" i="16"/>
  <c r="H63834" i="16"/>
  <c r="H63835" i="16"/>
  <c r="H63836" i="16"/>
  <c r="H63837" i="16"/>
  <c r="H63838" i="16"/>
  <c r="H63839" i="16"/>
  <c r="H63840" i="16"/>
  <c r="H63841" i="16"/>
  <c r="H63842" i="16"/>
  <c r="H63843" i="16"/>
  <c r="H63844" i="16"/>
  <c r="H63845" i="16"/>
  <c r="H63846" i="16"/>
  <c r="H63847" i="16"/>
  <c r="H63848" i="16"/>
  <c r="H63849" i="16"/>
  <c r="H63850" i="16"/>
  <c r="H63851" i="16"/>
  <c r="H63852" i="16"/>
  <c r="H63853" i="16"/>
  <c r="H63854" i="16"/>
  <c r="H63855" i="16"/>
  <c r="H63856" i="16"/>
  <c r="H63857" i="16"/>
  <c r="H63858" i="16"/>
  <c r="H63859" i="16"/>
  <c r="H63860" i="16"/>
  <c r="H63861" i="16"/>
  <c r="H63862" i="16"/>
  <c r="H63863" i="16"/>
  <c r="H63864" i="16"/>
  <c r="H63865" i="16"/>
  <c r="H63866" i="16"/>
  <c r="H63867" i="16"/>
  <c r="H63868" i="16"/>
  <c r="H63869" i="16"/>
  <c r="H63870" i="16"/>
  <c r="H63871" i="16"/>
  <c r="H63872" i="16"/>
  <c r="H63873" i="16"/>
  <c r="H63874" i="16"/>
  <c r="H63875" i="16"/>
  <c r="H63876" i="16"/>
  <c r="H63877" i="16"/>
  <c r="H63878" i="16"/>
  <c r="H63879" i="16"/>
  <c r="H63880" i="16"/>
  <c r="H63881" i="16"/>
  <c r="H63882" i="16"/>
  <c r="H63883" i="16"/>
  <c r="H63884" i="16"/>
  <c r="H63885" i="16"/>
  <c r="H63886" i="16"/>
  <c r="H63887" i="16"/>
  <c r="H63888" i="16"/>
  <c r="H63889" i="16"/>
  <c r="H63890" i="16"/>
  <c r="H63891" i="16"/>
  <c r="H63892" i="16"/>
  <c r="H63893" i="16"/>
  <c r="H63894" i="16"/>
  <c r="H63895" i="16"/>
  <c r="H63896" i="16"/>
  <c r="H63897" i="16"/>
  <c r="H63898" i="16"/>
  <c r="H63899" i="16"/>
  <c r="H63900" i="16"/>
  <c r="H63901" i="16"/>
  <c r="H63902" i="16"/>
  <c r="H63903" i="16"/>
  <c r="H63904" i="16"/>
  <c r="H63905" i="16"/>
  <c r="H63906" i="16"/>
  <c r="H63907" i="16"/>
  <c r="H63908" i="16"/>
  <c r="H63909" i="16"/>
  <c r="H63910" i="16"/>
  <c r="H63911" i="16"/>
  <c r="H63912" i="16"/>
  <c r="H63913" i="16"/>
  <c r="H63914" i="16"/>
  <c r="H63915" i="16"/>
  <c r="H63916" i="16"/>
  <c r="H63917" i="16"/>
  <c r="H63918" i="16"/>
  <c r="H63919" i="16"/>
  <c r="H63920" i="16"/>
  <c r="H63921" i="16"/>
  <c r="H63922" i="16"/>
  <c r="H63923" i="16"/>
  <c r="H63924" i="16"/>
  <c r="H63925" i="16"/>
  <c r="H63926" i="16"/>
  <c r="H63927" i="16"/>
  <c r="H63928" i="16"/>
  <c r="H63929" i="16"/>
  <c r="H63930" i="16"/>
  <c r="H63931" i="16"/>
  <c r="H63932" i="16"/>
  <c r="H63933" i="16"/>
  <c r="H63934" i="16"/>
  <c r="H63935" i="16"/>
  <c r="H63936" i="16"/>
  <c r="H63937" i="16"/>
  <c r="H63938" i="16"/>
  <c r="H63939" i="16"/>
  <c r="H63940" i="16"/>
  <c r="H63941" i="16"/>
  <c r="H63942" i="16"/>
  <c r="H63943" i="16"/>
  <c r="H63944" i="16"/>
  <c r="H63945" i="16"/>
  <c r="H63946" i="16"/>
  <c r="H63947" i="16"/>
  <c r="H63948" i="16"/>
  <c r="H63949" i="16"/>
  <c r="H63950" i="16"/>
  <c r="H63951" i="16"/>
  <c r="H63952" i="16"/>
  <c r="H63953" i="16"/>
  <c r="H63954" i="16"/>
  <c r="H63955" i="16"/>
  <c r="H63956" i="16"/>
  <c r="H63957" i="16"/>
  <c r="H63958" i="16"/>
  <c r="H63959" i="16"/>
  <c r="H63960" i="16"/>
  <c r="H63961" i="16"/>
  <c r="H63962" i="16"/>
  <c r="H63963" i="16"/>
  <c r="H63964" i="16"/>
  <c r="H63965" i="16"/>
  <c r="H63966" i="16"/>
  <c r="H63967" i="16"/>
  <c r="H63968" i="16"/>
  <c r="H63969" i="16"/>
  <c r="H63970" i="16"/>
  <c r="H63971" i="16"/>
  <c r="H63972" i="16"/>
  <c r="H63973" i="16"/>
  <c r="H63974" i="16"/>
  <c r="H63975" i="16"/>
  <c r="H63976" i="16"/>
  <c r="H63977" i="16"/>
  <c r="H63978" i="16"/>
  <c r="H63979" i="16"/>
  <c r="H63980" i="16"/>
  <c r="H63981" i="16"/>
  <c r="H63982" i="16"/>
  <c r="H63983" i="16"/>
  <c r="H63984" i="16"/>
  <c r="H63985" i="16"/>
  <c r="H63986" i="16"/>
  <c r="H63987" i="16"/>
  <c r="H63988" i="16"/>
  <c r="H63989" i="16"/>
  <c r="H63990" i="16"/>
  <c r="H63991" i="16"/>
  <c r="H63992" i="16"/>
  <c r="H63993" i="16"/>
  <c r="H63994" i="16"/>
  <c r="H63995" i="16"/>
  <c r="H63996" i="16"/>
  <c r="H63997" i="16"/>
  <c r="H63998" i="16"/>
  <c r="H63999" i="16"/>
  <c r="H64000" i="16"/>
  <c r="H64001" i="16"/>
  <c r="H64002" i="16"/>
  <c r="H64003" i="16"/>
  <c r="H64004" i="16"/>
  <c r="H64005" i="16"/>
  <c r="H64006" i="16"/>
  <c r="H64007" i="16"/>
  <c r="H64008" i="16"/>
  <c r="H64009" i="16"/>
  <c r="H64010" i="16"/>
  <c r="H64011" i="16"/>
  <c r="H64012" i="16"/>
  <c r="H64013" i="16"/>
  <c r="H64014" i="16"/>
  <c r="H64015" i="16"/>
  <c r="H64016" i="16"/>
  <c r="H64017" i="16"/>
  <c r="H64018" i="16"/>
  <c r="H64019" i="16"/>
  <c r="H64020" i="16"/>
  <c r="H64021" i="16"/>
  <c r="H64022" i="16"/>
  <c r="H64023" i="16"/>
  <c r="H64024" i="16"/>
  <c r="H64025" i="16"/>
  <c r="H64026" i="16"/>
  <c r="H64027" i="16"/>
  <c r="H64028" i="16"/>
  <c r="H64029" i="16"/>
  <c r="H64030" i="16"/>
  <c r="H64031" i="16"/>
  <c r="H64032" i="16"/>
  <c r="H64033" i="16"/>
  <c r="H64034" i="16"/>
  <c r="H64035" i="16"/>
  <c r="H64036" i="16"/>
  <c r="H64037" i="16"/>
  <c r="H64038" i="16"/>
  <c r="H64039" i="16"/>
  <c r="H64040" i="16"/>
  <c r="H64041" i="16"/>
  <c r="H64042" i="16"/>
  <c r="H64043" i="16"/>
  <c r="H64044" i="16"/>
  <c r="H64045" i="16"/>
  <c r="H64046" i="16"/>
  <c r="H64047" i="16"/>
  <c r="H64048" i="16"/>
  <c r="H64049" i="16"/>
  <c r="H64050" i="16"/>
  <c r="H64051" i="16"/>
  <c r="H64052" i="16"/>
  <c r="H64053" i="16"/>
  <c r="H64054" i="16"/>
  <c r="H64055" i="16"/>
  <c r="H64056" i="16"/>
  <c r="H64057" i="16"/>
  <c r="H64058" i="16"/>
  <c r="H64059" i="16"/>
  <c r="H64060" i="16"/>
  <c r="H64061" i="16"/>
  <c r="H64062" i="16"/>
  <c r="H64063" i="16"/>
  <c r="H64064" i="16"/>
  <c r="H64065" i="16"/>
  <c r="H64066" i="16"/>
  <c r="H64067" i="16"/>
  <c r="H64068" i="16"/>
  <c r="H64069" i="16"/>
  <c r="H64070" i="16"/>
  <c r="H64071" i="16"/>
  <c r="H64072" i="16"/>
  <c r="H64073" i="16"/>
  <c r="H64074" i="16"/>
  <c r="H64075" i="16"/>
  <c r="H64076" i="16"/>
  <c r="H64077" i="16"/>
  <c r="H64078" i="16"/>
  <c r="H64079" i="16"/>
  <c r="H64080" i="16"/>
  <c r="H64081" i="16"/>
  <c r="H64082" i="16"/>
  <c r="H64083" i="16"/>
  <c r="H64084" i="16"/>
  <c r="H64085" i="16"/>
  <c r="H64086" i="16"/>
  <c r="H64087" i="16"/>
  <c r="H64088" i="16"/>
  <c r="H64089" i="16"/>
  <c r="H64090" i="16"/>
  <c r="H64091" i="16"/>
  <c r="H64092" i="16"/>
  <c r="H64093" i="16"/>
  <c r="H64094" i="16"/>
  <c r="H64095" i="16"/>
  <c r="H64096" i="16"/>
  <c r="H64097" i="16"/>
  <c r="H64098" i="16"/>
  <c r="H64099" i="16"/>
  <c r="H64100" i="16"/>
  <c r="H64101" i="16"/>
  <c r="H64102" i="16"/>
  <c r="H64103" i="16"/>
  <c r="H64104" i="16"/>
  <c r="H64105" i="16"/>
  <c r="H64106" i="16"/>
  <c r="H64107" i="16"/>
  <c r="H64108" i="16"/>
  <c r="H64109" i="16"/>
  <c r="H64110" i="16"/>
  <c r="H64111" i="16"/>
  <c r="H64112" i="16"/>
  <c r="H64113" i="16"/>
  <c r="H64114" i="16"/>
  <c r="H64115" i="16"/>
  <c r="H64116" i="16"/>
  <c r="H64117" i="16"/>
  <c r="H64118" i="16"/>
  <c r="H64119" i="16"/>
  <c r="H64120" i="16"/>
  <c r="H64121" i="16"/>
  <c r="H64122" i="16"/>
  <c r="H64123" i="16"/>
  <c r="H64124" i="16"/>
  <c r="H64125" i="16"/>
  <c r="H64126" i="16"/>
  <c r="H64127" i="16"/>
  <c r="H64128" i="16"/>
  <c r="H64129" i="16"/>
  <c r="H64130" i="16"/>
  <c r="H64131" i="16"/>
  <c r="H64132" i="16"/>
  <c r="H64133" i="16"/>
  <c r="H64134" i="16"/>
  <c r="H64135" i="16"/>
  <c r="H64136" i="16"/>
  <c r="H64137" i="16"/>
  <c r="H64138" i="16"/>
  <c r="H64139" i="16"/>
  <c r="H64140" i="16"/>
  <c r="H64141" i="16"/>
  <c r="H64142" i="16"/>
  <c r="H64143" i="16"/>
  <c r="H64144" i="16"/>
  <c r="H64145" i="16"/>
  <c r="H64146" i="16"/>
  <c r="H64147" i="16"/>
  <c r="H64148" i="16"/>
  <c r="H64149" i="16"/>
  <c r="H64150" i="16"/>
  <c r="H64151" i="16"/>
  <c r="H64152" i="16"/>
  <c r="H64153" i="16"/>
  <c r="H64154" i="16"/>
  <c r="H64155" i="16"/>
  <c r="H64156" i="16"/>
  <c r="H64157" i="16"/>
  <c r="H64158" i="16"/>
  <c r="H64159" i="16"/>
  <c r="H64160" i="16"/>
  <c r="H64161" i="16"/>
  <c r="H64162" i="16"/>
  <c r="H64163" i="16"/>
  <c r="H64164" i="16"/>
  <c r="H64165" i="16"/>
  <c r="H64166" i="16"/>
  <c r="H64167" i="16"/>
  <c r="H64168" i="16"/>
  <c r="H64169" i="16"/>
  <c r="H64170" i="16"/>
  <c r="H64171" i="16"/>
  <c r="H64172" i="16"/>
  <c r="H64173" i="16"/>
  <c r="H64174" i="16"/>
  <c r="H64175" i="16"/>
  <c r="H64176" i="16"/>
  <c r="H64177" i="16"/>
  <c r="H64178" i="16"/>
  <c r="H64179" i="16"/>
  <c r="H64180" i="16"/>
  <c r="H64181" i="16"/>
  <c r="H64182" i="16"/>
  <c r="H64183" i="16"/>
  <c r="H64184" i="16"/>
  <c r="H64185" i="16"/>
  <c r="H64186" i="16"/>
  <c r="H64187" i="16"/>
  <c r="H64188" i="16"/>
  <c r="H64189" i="16"/>
  <c r="H64190" i="16"/>
  <c r="H64191" i="16"/>
  <c r="H64192" i="16"/>
  <c r="H64193" i="16"/>
  <c r="H64194" i="16"/>
  <c r="H64195" i="16"/>
  <c r="H64196" i="16"/>
  <c r="H64197" i="16"/>
  <c r="H64198" i="16"/>
  <c r="H64199" i="16"/>
  <c r="H64200" i="16"/>
  <c r="H64201" i="16"/>
  <c r="H64202" i="16"/>
  <c r="H64203" i="16"/>
  <c r="H64204" i="16"/>
  <c r="H64205" i="16"/>
  <c r="H64206" i="16"/>
  <c r="H64207" i="16"/>
  <c r="H64208" i="16"/>
  <c r="H64209" i="16"/>
  <c r="H64210" i="16"/>
  <c r="H64211" i="16"/>
  <c r="H64212" i="16"/>
  <c r="H64213" i="16"/>
  <c r="H64214" i="16"/>
  <c r="H64215" i="16"/>
  <c r="H64216" i="16"/>
  <c r="H64217" i="16"/>
  <c r="H64218" i="16"/>
  <c r="H64219" i="16"/>
  <c r="H64220" i="16"/>
  <c r="H64221" i="16"/>
  <c r="H64222" i="16"/>
  <c r="H64223" i="16"/>
  <c r="H64224" i="16"/>
  <c r="H64225" i="16"/>
  <c r="H64226" i="16"/>
  <c r="H64227" i="16"/>
  <c r="H64228" i="16"/>
  <c r="H64229" i="16"/>
  <c r="H64230" i="16"/>
  <c r="H64231" i="16"/>
  <c r="H64232" i="16"/>
  <c r="H64233" i="16"/>
  <c r="H64234" i="16"/>
  <c r="H64235" i="16"/>
  <c r="H64236" i="16"/>
  <c r="H64237" i="16"/>
  <c r="H64238" i="16"/>
  <c r="H64239" i="16"/>
  <c r="H64240" i="16"/>
  <c r="H64241" i="16"/>
  <c r="H64242" i="16"/>
  <c r="H64243" i="16"/>
  <c r="H64244" i="16"/>
  <c r="H64245" i="16"/>
  <c r="H64246" i="16"/>
  <c r="H64247" i="16"/>
  <c r="H64248" i="16"/>
  <c r="H64249" i="16"/>
  <c r="H64250" i="16"/>
  <c r="H64251" i="16"/>
  <c r="H64252" i="16"/>
  <c r="H64253" i="16"/>
  <c r="H64254" i="16"/>
  <c r="H64255" i="16"/>
  <c r="H64256" i="16"/>
  <c r="H64257" i="16"/>
  <c r="H64258" i="16"/>
  <c r="H64259" i="16"/>
  <c r="H64260" i="16"/>
  <c r="H64261" i="16"/>
  <c r="H64262" i="16"/>
  <c r="H64263" i="16"/>
  <c r="H64264" i="16"/>
  <c r="H64265" i="16"/>
  <c r="H64266" i="16"/>
  <c r="H64267" i="16"/>
  <c r="H64268" i="16"/>
  <c r="H64269" i="16"/>
  <c r="H64270" i="16"/>
  <c r="H64271" i="16"/>
  <c r="H64272" i="16"/>
  <c r="H64273" i="16"/>
  <c r="H64274" i="16"/>
  <c r="H64275" i="16"/>
  <c r="H64276" i="16"/>
  <c r="H64277" i="16"/>
  <c r="H64278" i="16"/>
  <c r="H64279" i="16"/>
  <c r="H64280" i="16"/>
  <c r="H64281" i="16"/>
  <c r="H64282" i="16"/>
  <c r="H64283" i="16"/>
  <c r="H64284" i="16"/>
  <c r="H64285" i="16"/>
  <c r="H64286" i="16"/>
  <c r="H64287" i="16"/>
  <c r="H64288" i="16"/>
  <c r="H64289" i="16"/>
  <c r="H64290" i="16"/>
  <c r="H64291" i="16"/>
  <c r="H64292" i="16"/>
  <c r="H64293" i="16"/>
  <c r="H64294" i="16"/>
  <c r="H64295" i="16"/>
  <c r="H64296" i="16"/>
  <c r="H64297" i="16"/>
  <c r="H64298" i="16"/>
  <c r="H64299" i="16"/>
  <c r="H64300" i="16"/>
  <c r="H64301" i="16"/>
  <c r="H64302" i="16"/>
  <c r="H64303" i="16"/>
  <c r="H64304" i="16"/>
  <c r="H64305" i="16"/>
  <c r="H64306" i="16"/>
  <c r="H64307" i="16"/>
  <c r="H64308" i="16"/>
  <c r="H64309" i="16"/>
  <c r="H64310" i="16"/>
  <c r="H64311" i="16"/>
  <c r="H64312" i="16"/>
  <c r="H64313" i="16"/>
  <c r="H64314" i="16"/>
  <c r="H64315" i="16"/>
  <c r="H64316" i="16"/>
  <c r="H64317" i="16"/>
  <c r="H64318" i="16"/>
  <c r="H64319" i="16"/>
  <c r="H64320" i="16"/>
  <c r="H64321" i="16"/>
  <c r="H64322" i="16"/>
  <c r="H64323" i="16"/>
  <c r="H64324" i="16"/>
  <c r="H64325" i="16"/>
  <c r="H64326" i="16"/>
  <c r="H64327" i="16"/>
  <c r="H64328" i="16"/>
  <c r="H64329" i="16"/>
  <c r="H64330" i="16"/>
  <c r="H64331" i="16"/>
  <c r="H64332" i="16"/>
  <c r="H64333" i="16"/>
  <c r="H64334" i="16"/>
  <c r="H64335" i="16"/>
  <c r="H64336" i="16"/>
  <c r="H64337" i="16"/>
  <c r="H64338" i="16"/>
  <c r="H64339" i="16"/>
  <c r="H64340" i="16"/>
  <c r="H64341" i="16"/>
  <c r="H64342" i="16"/>
  <c r="H64343" i="16"/>
  <c r="H64344" i="16"/>
  <c r="H64345" i="16"/>
  <c r="H64346" i="16"/>
  <c r="H64347" i="16"/>
  <c r="H64348" i="16"/>
  <c r="H64349" i="16"/>
  <c r="H64350" i="16"/>
  <c r="H64351" i="16"/>
  <c r="H64352" i="16"/>
  <c r="H64353" i="16"/>
  <c r="H64354" i="16"/>
  <c r="H64355" i="16"/>
  <c r="H64356" i="16"/>
  <c r="H64357" i="16"/>
  <c r="H64358" i="16"/>
  <c r="H64359" i="16"/>
  <c r="H64360" i="16"/>
  <c r="H64361" i="16"/>
  <c r="H64362" i="16"/>
  <c r="H64363" i="16"/>
  <c r="H64364" i="16"/>
  <c r="H64365" i="16"/>
  <c r="H64366" i="16"/>
  <c r="H64367" i="16"/>
  <c r="H64368" i="16"/>
  <c r="H64369" i="16"/>
  <c r="H64370" i="16"/>
  <c r="H64371" i="16"/>
  <c r="H64372" i="16"/>
  <c r="H64373" i="16"/>
  <c r="H64374" i="16"/>
  <c r="H64375" i="16"/>
  <c r="H64376" i="16"/>
  <c r="H64377" i="16"/>
  <c r="H64378" i="16"/>
  <c r="H64379" i="16"/>
  <c r="H64380" i="16"/>
  <c r="H64381" i="16"/>
  <c r="H64382" i="16"/>
  <c r="H64383" i="16"/>
  <c r="H64384" i="16"/>
  <c r="H64385" i="16"/>
  <c r="H64386" i="16"/>
  <c r="H64387" i="16"/>
  <c r="H64388" i="16"/>
  <c r="H64389" i="16"/>
  <c r="H64390" i="16"/>
  <c r="H64391" i="16"/>
  <c r="H64392" i="16"/>
  <c r="H64393" i="16"/>
  <c r="H64394" i="16"/>
  <c r="H64395" i="16"/>
  <c r="H64396" i="16"/>
  <c r="H64397" i="16"/>
  <c r="H64398" i="16"/>
  <c r="H64399" i="16"/>
  <c r="H64400" i="16"/>
  <c r="H64401" i="16"/>
  <c r="H64402" i="16"/>
  <c r="H64403" i="16"/>
  <c r="H64404" i="16"/>
  <c r="H64405" i="16"/>
  <c r="H64406" i="16"/>
  <c r="H64407" i="16"/>
  <c r="H64408" i="16"/>
  <c r="H64409" i="16"/>
  <c r="H64410" i="16"/>
  <c r="H64411" i="16"/>
  <c r="H64412" i="16"/>
  <c r="H64413" i="16"/>
  <c r="H64414" i="16"/>
  <c r="H64415" i="16"/>
  <c r="H64416" i="16"/>
  <c r="H64417" i="16"/>
  <c r="H64418" i="16"/>
  <c r="H64419" i="16"/>
  <c r="H64420" i="16"/>
  <c r="H64421" i="16"/>
  <c r="H64422" i="16"/>
  <c r="H64423" i="16"/>
  <c r="H64424" i="16"/>
  <c r="H64425" i="16"/>
  <c r="H64426" i="16"/>
  <c r="H64427" i="16"/>
  <c r="H64428" i="16"/>
  <c r="H64429" i="16"/>
  <c r="H64430" i="16"/>
  <c r="H64431" i="16"/>
  <c r="H64432" i="16"/>
  <c r="H64433" i="16"/>
  <c r="H64434" i="16"/>
  <c r="H64435" i="16"/>
  <c r="H64436" i="16"/>
  <c r="H64437" i="16"/>
  <c r="H64438" i="16"/>
  <c r="H64439" i="16"/>
  <c r="H64440" i="16"/>
  <c r="H64441" i="16"/>
  <c r="H64442" i="16"/>
  <c r="H64443" i="16"/>
  <c r="H64444" i="16"/>
  <c r="H64445" i="16"/>
  <c r="H64446" i="16"/>
  <c r="H64447" i="16"/>
  <c r="H64448" i="16"/>
  <c r="H64449" i="16"/>
  <c r="H64450" i="16"/>
  <c r="H64451" i="16"/>
  <c r="H64452" i="16"/>
  <c r="H64453" i="16"/>
  <c r="H64454" i="16"/>
  <c r="H64455" i="16"/>
  <c r="H64456" i="16"/>
  <c r="H64457" i="16"/>
  <c r="H64458" i="16"/>
  <c r="H64459" i="16"/>
  <c r="H64460" i="16"/>
  <c r="H64461" i="16"/>
  <c r="H64462" i="16"/>
  <c r="H64463" i="16"/>
  <c r="H64464" i="16"/>
  <c r="H64465" i="16"/>
  <c r="H64466" i="16"/>
  <c r="H64467" i="16"/>
  <c r="H64468" i="16"/>
  <c r="H64469" i="16"/>
  <c r="H64470" i="16"/>
  <c r="H64471" i="16"/>
  <c r="H64472" i="16"/>
  <c r="H64473" i="16"/>
  <c r="H64474" i="16"/>
  <c r="H64475" i="16"/>
  <c r="H64476" i="16"/>
  <c r="H64477" i="16"/>
  <c r="H64478" i="16"/>
  <c r="H64479" i="16"/>
  <c r="H64480" i="16"/>
  <c r="H64481" i="16"/>
  <c r="H64482" i="16"/>
  <c r="H64483" i="16"/>
  <c r="H64484" i="16"/>
  <c r="H64485" i="16"/>
  <c r="H64486" i="16"/>
  <c r="H64487" i="16"/>
  <c r="H64488" i="16"/>
  <c r="H64489" i="16"/>
  <c r="H64490" i="16"/>
  <c r="H64491" i="16"/>
  <c r="H64492" i="16"/>
  <c r="H64493" i="16"/>
  <c r="H64494" i="16"/>
  <c r="H64495" i="16"/>
  <c r="H64496" i="16"/>
  <c r="H64497" i="16"/>
  <c r="H64498" i="16"/>
  <c r="H64499" i="16"/>
  <c r="H64500" i="16"/>
  <c r="H64501" i="16"/>
  <c r="H64502" i="16"/>
  <c r="H64503" i="16"/>
  <c r="H64504" i="16"/>
  <c r="H64505" i="16"/>
  <c r="H64506" i="16"/>
  <c r="H64507" i="16"/>
  <c r="H64508" i="16"/>
  <c r="H64509" i="16"/>
  <c r="H64510" i="16"/>
  <c r="H64511" i="16"/>
  <c r="H64512" i="16"/>
  <c r="H64513" i="16"/>
  <c r="H64514" i="16"/>
  <c r="H64515" i="16"/>
  <c r="H64516" i="16"/>
  <c r="H64517" i="16"/>
  <c r="H64518" i="16"/>
  <c r="H64519" i="16"/>
  <c r="H64520" i="16"/>
  <c r="H64521" i="16"/>
  <c r="H64522" i="16"/>
  <c r="H64523" i="16"/>
  <c r="H64524" i="16"/>
  <c r="H64525" i="16"/>
  <c r="H64526" i="16"/>
  <c r="H64527" i="16"/>
  <c r="H64528" i="16"/>
  <c r="H64529" i="16"/>
  <c r="H64530" i="16"/>
  <c r="H64531" i="16"/>
  <c r="H64532" i="16"/>
  <c r="H64533" i="16"/>
  <c r="H64534" i="16"/>
  <c r="H64535" i="16"/>
  <c r="H64536" i="16"/>
  <c r="H64537" i="16"/>
  <c r="H64538" i="16"/>
  <c r="H64539" i="16"/>
  <c r="H64540" i="16"/>
  <c r="H64541" i="16"/>
  <c r="H64542" i="16"/>
  <c r="H64543" i="16"/>
  <c r="H64544" i="16"/>
  <c r="H64545" i="16"/>
  <c r="H64546" i="16"/>
  <c r="H64547" i="16"/>
  <c r="H64548" i="16"/>
  <c r="H64549" i="16"/>
  <c r="H64550" i="16"/>
  <c r="H64551" i="16"/>
  <c r="H64552" i="16"/>
  <c r="H64553" i="16"/>
  <c r="H64554" i="16"/>
  <c r="H64555" i="16"/>
  <c r="H64556" i="16"/>
  <c r="H64557" i="16"/>
  <c r="H64558" i="16"/>
  <c r="H64559" i="16"/>
  <c r="H64560" i="16"/>
  <c r="H64561" i="16"/>
  <c r="H64562" i="16"/>
  <c r="H64563" i="16"/>
  <c r="H64564" i="16"/>
  <c r="H64565" i="16"/>
  <c r="H64566" i="16"/>
  <c r="H64567" i="16"/>
  <c r="H64568" i="16"/>
  <c r="H64569" i="16"/>
  <c r="H64570" i="16"/>
  <c r="H64571" i="16"/>
  <c r="H64572" i="16"/>
  <c r="H64573" i="16"/>
  <c r="H64574" i="16"/>
  <c r="H64575" i="16"/>
  <c r="H64576" i="16"/>
  <c r="H64577" i="16"/>
  <c r="H64578" i="16"/>
  <c r="H64579" i="16"/>
  <c r="H64580" i="16"/>
  <c r="H64581" i="16"/>
  <c r="H64582" i="16"/>
  <c r="H64583" i="16"/>
  <c r="H64584" i="16"/>
  <c r="H64585" i="16"/>
  <c r="H64586" i="16"/>
  <c r="H64587" i="16"/>
  <c r="H64588" i="16"/>
  <c r="H64589" i="16"/>
  <c r="H64590" i="16"/>
  <c r="H64591" i="16"/>
  <c r="H64592" i="16"/>
  <c r="H64593" i="16"/>
  <c r="H64594" i="16"/>
  <c r="H64595" i="16"/>
  <c r="H64596" i="16"/>
  <c r="H64597" i="16"/>
  <c r="H64598" i="16"/>
  <c r="H64599" i="16"/>
  <c r="H64600" i="16"/>
  <c r="H64601" i="16"/>
  <c r="H64602" i="16"/>
  <c r="H64603" i="16"/>
  <c r="H64604" i="16"/>
  <c r="H64605" i="16"/>
  <c r="H64606" i="16"/>
  <c r="H64607" i="16"/>
  <c r="H64608" i="16"/>
  <c r="H64609" i="16"/>
  <c r="H64610" i="16"/>
  <c r="H64611" i="16"/>
  <c r="H64612" i="16"/>
  <c r="H64613" i="16"/>
  <c r="H64614" i="16"/>
  <c r="H64615" i="16"/>
  <c r="H64616" i="16"/>
  <c r="H64617" i="16"/>
  <c r="H64618" i="16"/>
  <c r="H64619" i="16"/>
  <c r="H64620" i="16"/>
  <c r="H64621" i="16"/>
  <c r="H64622" i="16"/>
  <c r="H64623" i="16"/>
  <c r="H64624" i="16"/>
  <c r="H64625" i="16"/>
  <c r="H64626" i="16"/>
  <c r="H64627" i="16"/>
  <c r="H64628" i="16"/>
  <c r="H64629" i="16"/>
  <c r="H64630" i="16"/>
  <c r="H64631" i="16"/>
  <c r="H64632" i="16"/>
  <c r="H64633" i="16"/>
  <c r="H64634" i="16"/>
  <c r="H64635" i="16"/>
  <c r="H64636" i="16"/>
  <c r="H64637" i="16"/>
  <c r="H64638" i="16"/>
  <c r="H64639" i="16"/>
  <c r="H64640" i="16"/>
  <c r="H64641" i="16"/>
  <c r="H64642" i="16"/>
  <c r="H64643" i="16"/>
  <c r="H64644" i="16"/>
  <c r="H64645" i="16"/>
  <c r="H64646" i="16"/>
  <c r="H64647" i="16"/>
  <c r="H64648" i="16"/>
  <c r="H64649" i="16"/>
  <c r="H64650" i="16"/>
  <c r="H64651" i="16"/>
  <c r="H64652" i="16"/>
  <c r="H64653" i="16"/>
  <c r="H64654" i="16"/>
  <c r="H64655" i="16"/>
  <c r="H64656" i="16"/>
  <c r="H64657" i="16"/>
  <c r="H64658" i="16"/>
  <c r="H64659" i="16"/>
  <c r="H64660" i="16"/>
  <c r="H64661" i="16"/>
  <c r="H64662" i="16"/>
  <c r="H64663" i="16"/>
  <c r="H64664" i="16"/>
  <c r="H64665" i="16"/>
  <c r="H64666" i="16"/>
  <c r="H64667" i="16"/>
  <c r="H64668" i="16"/>
  <c r="H64669" i="16"/>
  <c r="H64670" i="16"/>
  <c r="H64671" i="16"/>
  <c r="H64672" i="16"/>
  <c r="H64673" i="16"/>
  <c r="H64674" i="16"/>
  <c r="H64675" i="16"/>
  <c r="H64676" i="16"/>
  <c r="H64677" i="16"/>
  <c r="H64678" i="16"/>
  <c r="H64679" i="16"/>
  <c r="H64680" i="16"/>
  <c r="H64681" i="16"/>
  <c r="H64682" i="16"/>
  <c r="H64683" i="16"/>
  <c r="H64684" i="16"/>
  <c r="H64685" i="16"/>
  <c r="H64686" i="16"/>
  <c r="H64687" i="16"/>
  <c r="H64688" i="16"/>
  <c r="H64689" i="16"/>
  <c r="H64690" i="16"/>
  <c r="H64691" i="16"/>
  <c r="H64692" i="16"/>
  <c r="H64693" i="16"/>
  <c r="H64694" i="16"/>
  <c r="H64695" i="16"/>
  <c r="H64696" i="16"/>
  <c r="H64697" i="16"/>
  <c r="H64698" i="16"/>
  <c r="H64699" i="16"/>
  <c r="H64700" i="16"/>
  <c r="H64701" i="16"/>
  <c r="H64702" i="16"/>
  <c r="H64703" i="16"/>
  <c r="H64704" i="16"/>
  <c r="H64705" i="16"/>
  <c r="H64706" i="16"/>
  <c r="H64707" i="16"/>
  <c r="H64708" i="16"/>
  <c r="H64709" i="16"/>
  <c r="H64710" i="16"/>
  <c r="H64711" i="16"/>
  <c r="H64712" i="16"/>
  <c r="H64713" i="16"/>
  <c r="H64714" i="16"/>
  <c r="H64715" i="16"/>
  <c r="H64716" i="16"/>
  <c r="H64717" i="16"/>
  <c r="H64718" i="16"/>
  <c r="H64719" i="16"/>
  <c r="H64720" i="16"/>
  <c r="H64721" i="16"/>
  <c r="H64722" i="16"/>
  <c r="H64723" i="16"/>
  <c r="H64724" i="16"/>
  <c r="H64725" i="16"/>
  <c r="H64726" i="16"/>
  <c r="H64727" i="16"/>
  <c r="H64728" i="16"/>
  <c r="H64729" i="16"/>
  <c r="H64730" i="16"/>
  <c r="H64731" i="16"/>
  <c r="H64732" i="16"/>
  <c r="H64733" i="16"/>
  <c r="H64734" i="16"/>
  <c r="H64735" i="16"/>
  <c r="H64736" i="16"/>
  <c r="H64737" i="16"/>
  <c r="H64738" i="16"/>
  <c r="H64739" i="16"/>
  <c r="H64740" i="16"/>
  <c r="H64741" i="16"/>
  <c r="H64742" i="16"/>
  <c r="H64743" i="16"/>
  <c r="H64744" i="16"/>
  <c r="H64745" i="16"/>
  <c r="H64746" i="16"/>
  <c r="H64747" i="16"/>
  <c r="H64748" i="16"/>
  <c r="H64749" i="16"/>
  <c r="H64750" i="16"/>
  <c r="H64751" i="16"/>
  <c r="H64752" i="16"/>
  <c r="H64753" i="16"/>
  <c r="H64754" i="16"/>
  <c r="H64755" i="16"/>
  <c r="H64756" i="16"/>
  <c r="H64757" i="16"/>
  <c r="H64758" i="16"/>
  <c r="H64759" i="16"/>
  <c r="H64760" i="16"/>
  <c r="H64761" i="16"/>
  <c r="H64762" i="16"/>
  <c r="H64763" i="16"/>
  <c r="H64764" i="16"/>
  <c r="H64765" i="16"/>
  <c r="H64766" i="16"/>
  <c r="H64767" i="16"/>
  <c r="H64768" i="16"/>
  <c r="H64769" i="16"/>
  <c r="H64770" i="16"/>
  <c r="H64771" i="16"/>
  <c r="H64772" i="16"/>
  <c r="H64773" i="16"/>
  <c r="H64774" i="16"/>
  <c r="H64775" i="16"/>
  <c r="H64776" i="16"/>
  <c r="H64777" i="16"/>
  <c r="H64778" i="16"/>
  <c r="H64779" i="16"/>
  <c r="H64780" i="16"/>
  <c r="H64781" i="16"/>
  <c r="H64782" i="16"/>
  <c r="H64783" i="16"/>
  <c r="H64784" i="16"/>
  <c r="H64785" i="16"/>
  <c r="H64786" i="16"/>
  <c r="H64787" i="16"/>
  <c r="H64788" i="16"/>
  <c r="H64789" i="16"/>
  <c r="H64790" i="16"/>
  <c r="H64791" i="16"/>
  <c r="H64792" i="16"/>
  <c r="H64793" i="16"/>
  <c r="H64794" i="16"/>
  <c r="H64795" i="16"/>
  <c r="H64796" i="16"/>
  <c r="H64797" i="16"/>
  <c r="H64798" i="16"/>
  <c r="H64799" i="16"/>
  <c r="H64800" i="16"/>
  <c r="H64801" i="16"/>
  <c r="H64802" i="16"/>
  <c r="H64803" i="16"/>
  <c r="H64804" i="16"/>
  <c r="H64805" i="16"/>
  <c r="H64806" i="16"/>
  <c r="H64807" i="16"/>
  <c r="H64808" i="16"/>
  <c r="H64809" i="16"/>
  <c r="H64810" i="16"/>
  <c r="H64811" i="16"/>
  <c r="H64812" i="16"/>
  <c r="H64813" i="16"/>
  <c r="H64814" i="16"/>
  <c r="H64815" i="16"/>
  <c r="H64816" i="16"/>
  <c r="H64817" i="16"/>
  <c r="H64818" i="16"/>
  <c r="H64819" i="16"/>
  <c r="H64820" i="16"/>
  <c r="H64821" i="16"/>
  <c r="H64822" i="16"/>
  <c r="H64823" i="16"/>
  <c r="H64824" i="16"/>
  <c r="H64825" i="16"/>
  <c r="H64826" i="16"/>
  <c r="H64827" i="16"/>
  <c r="H64828" i="16"/>
  <c r="H64829" i="16"/>
  <c r="H64830" i="16"/>
  <c r="H64831" i="16"/>
  <c r="H64832" i="16"/>
  <c r="H64833" i="16"/>
  <c r="H64834" i="16"/>
  <c r="H64835" i="16"/>
  <c r="H64836" i="16"/>
  <c r="H64837" i="16"/>
  <c r="H64838" i="16"/>
  <c r="H64839" i="16"/>
  <c r="H64840" i="16"/>
  <c r="H64841" i="16"/>
  <c r="H64842" i="16"/>
  <c r="H64843" i="16"/>
  <c r="H64844" i="16"/>
  <c r="H64845" i="16"/>
  <c r="H64846" i="16"/>
  <c r="H64847" i="16"/>
  <c r="H64848" i="16"/>
  <c r="H64849" i="16"/>
  <c r="H64850" i="16"/>
  <c r="H64851" i="16"/>
  <c r="H64852" i="16"/>
  <c r="H64853" i="16"/>
  <c r="H64854" i="16"/>
  <c r="H64855" i="16"/>
  <c r="H64856" i="16"/>
  <c r="H64857" i="16"/>
  <c r="H64858" i="16"/>
  <c r="H64859" i="16"/>
  <c r="H64860" i="16"/>
  <c r="H64861" i="16"/>
  <c r="H64862" i="16"/>
  <c r="H64863" i="16"/>
  <c r="H64864" i="16"/>
  <c r="H64865" i="16"/>
  <c r="H64866" i="16"/>
  <c r="H64867" i="16"/>
  <c r="H64868" i="16"/>
  <c r="H64869" i="16"/>
  <c r="H64870" i="16"/>
  <c r="H64871" i="16"/>
  <c r="H64872" i="16"/>
  <c r="H64873" i="16"/>
  <c r="H64874" i="16"/>
  <c r="H64875" i="16"/>
  <c r="H64876" i="16"/>
  <c r="H64877" i="16"/>
  <c r="H64878" i="16"/>
  <c r="H64879" i="16"/>
  <c r="H64880" i="16"/>
  <c r="H64881" i="16"/>
  <c r="H64882" i="16"/>
  <c r="H64883" i="16"/>
  <c r="H64884" i="16"/>
  <c r="H64885" i="16"/>
  <c r="H64886" i="16"/>
  <c r="H64887" i="16"/>
  <c r="H64888" i="16"/>
  <c r="H64889" i="16"/>
  <c r="H64890" i="16"/>
  <c r="H64891" i="16"/>
  <c r="H64892" i="16"/>
  <c r="H64893" i="16"/>
  <c r="H64894" i="16"/>
  <c r="H64895" i="16"/>
  <c r="H64896" i="16"/>
  <c r="H64897" i="16"/>
  <c r="H64898" i="16"/>
  <c r="H64899" i="16"/>
  <c r="H64900" i="16"/>
  <c r="H64901" i="16"/>
  <c r="H64902" i="16"/>
  <c r="H64903" i="16"/>
  <c r="H64904" i="16"/>
  <c r="H64905" i="16"/>
  <c r="H64906" i="16"/>
  <c r="H64907" i="16"/>
  <c r="H64908" i="16"/>
  <c r="H64909" i="16"/>
  <c r="H64910" i="16"/>
  <c r="H64911" i="16"/>
  <c r="H64912" i="16"/>
  <c r="H64913" i="16"/>
  <c r="H64914" i="16"/>
  <c r="H64915" i="16"/>
  <c r="H64916" i="16"/>
  <c r="H64917" i="16"/>
  <c r="H64918" i="16"/>
  <c r="H64919" i="16"/>
  <c r="H64920" i="16"/>
  <c r="H64921" i="16"/>
  <c r="H64922" i="16"/>
  <c r="H64923" i="16"/>
  <c r="H64924" i="16"/>
  <c r="H64925" i="16"/>
  <c r="H64926" i="16"/>
  <c r="H64927" i="16"/>
  <c r="H64928" i="16"/>
  <c r="H64929" i="16"/>
  <c r="H64930" i="16"/>
  <c r="H64931" i="16"/>
  <c r="H64932" i="16"/>
  <c r="H64933" i="16"/>
  <c r="H64934" i="16"/>
  <c r="H64935" i="16"/>
  <c r="H64936" i="16"/>
  <c r="H64937" i="16"/>
  <c r="H64938" i="16"/>
  <c r="H64939" i="16"/>
  <c r="H64940" i="16"/>
  <c r="H64941" i="16"/>
  <c r="H64942" i="16"/>
  <c r="H64943" i="16"/>
  <c r="H64944" i="16"/>
  <c r="H64945" i="16"/>
  <c r="H64946" i="16"/>
  <c r="H64947" i="16"/>
  <c r="H64948" i="16"/>
  <c r="H64949" i="16"/>
  <c r="H64950" i="16"/>
  <c r="H64951" i="16"/>
  <c r="H64952" i="16"/>
  <c r="H64953" i="16"/>
  <c r="H64954" i="16"/>
  <c r="H64955" i="16"/>
  <c r="H64956" i="16"/>
  <c r="H64957" i="16"/>
  <c r="H64958" i="16"/>
  <c r="H64959" i="16"/>
  <c r="H64960" i="16"/>
  <c r="H64961" i="16"/>
  <c r="H64962" i="16"/>
  <c r="H64963" i="16"/>
  <c r="H64964" i="16"/>
  <c r="H64965" i="16"/>
  <c r="H64966" i="16"/>
  <c r="H64967" i="16"/>
  <c r="H64968" i="16"/>
  <c r="H64969" i="16"/>
  <c r="H64970" i="16"/>
  <c r="H64971" i="16"/>
  <c r="H64972" i="16"/>
  <c r="H64973" i="16"/>
  <c r="H64974" i="16"/>
  <c r="H64975" i="16"/>
  <c r="H64976" i="16"/>
  <c r="H64977" i="16"/>
  <c r="H64978" i="16"/>
  <c r="H64979" i="16"/>
  <c r="H64980" i="16"/>
  <c r="H64981" i="16"/>
  <c r="H64982" i="16"/>
  <c r="H64983" i="16"/>
  <c r="H64984" i="16"/>
  <c r="H64985" i="16"/>
  <c r="H64986" i="16"/>
  <c r="H64987" i="16"/>
  <c r="H64988" i="16"/>
  <c r="H64989" i="16"/>
  <c r="H64990" i="16"/>
  <c r="H64991" i="16"/>
  <c r="H64992" i="16"/>
  <c r="H64993" i="16"/>
  <c r="H64994" i="16"/>
  <c r="H64995" i="16"/>
  <c r="H64996" i="16"/>
  <c r="H64997" i="16"/>
  <c r="H64998" i="16"/>
  <c r="H64999" i="16"/>
  <c r="H65000" i="16"/>
  <c r="H65001" i="16"/>
  <c r="H65002" i="16"/>
  <c r="H65003" i="16"/>
  <c r="H65004" i="16"/>
  <c r="H65005" i="16"/>
  <c r="H65006" i="16"/>
  <c r="H65007" i="16"/>
  <c r="H65008" i="16"/>
  <c r="H65009" i="16"/>
  <c r="H65010" i="16"/>
  <c r="H65011" i="16"/>
  <c r="H65012" i="16"/>
  <c r="H65013" i="16"/>
  <c r="H65014" i="16"/>
  <c r="H65015" i="16"/>
  <c r="H65016" i="16"/>
  <c r="H65017" i="16"/>
  <c r="H65018" i="16"/>
  <c r="H65019" i="16"/>
  <c r="H65020" i="16"/>
  <c r="H65021" i="16"/>
  <c r="H65022" i="16"/>
  <c r="H65023" i="16"/>
  <c r="H65024" i="16"/>
  <c r="H65025" i="16"/>
  <c r="H65026" i="16"/>
  <c r="H65027" i="16"/>
  <c r="H65028" i="16"/>
  <c r="H65029" i="16"/>
  <c r="H65030" i="16"/>
  <c r="H65031" i="16"/>
  <c r="H65032" i="16"/>
  <c r="H65033" i="16"/>
  <c r="H65034" i="16"/>
  <c r="H65035" i="16"/>
  <c r="H65036" i="16"/>
  <c r="H65037" i="16"/>
  <c r="H65038" i="16"/>
  <c r="H65039" i="16"/>
  <c r="H65040" i="16"/>
  <c r="H65041" i="16"/>
  <c r="H65042" i="16"/>
  <c r="H65043" i="16"/>
  <c r="H65044" i="16"/>
  <c r="H65045" i="16"/>
  <c r="H65046" i="16"/>
  <c r="H65047" i="16"/>
  <c r="H65048" i="16"/>
  <c r="H65049" i="16"/>
  <c r="H65050" i="16"/>
  <c r="H65051" i="16"/>
  <c r="H65052" i="16"/>
  <c r="H65053" i="16"/>
  <c r="H65054" i="16"/>
  <c r="H65055" i="16"/>
  <c r="H65056" i="16"/>
  <c r="H65057" i="16"/>
  <c r="H65058" i="16"/>
  <c r="H65059" i="16"/>
  <c r="H65060" i="16"/>
  <c r="H65061" i="16"/>
  <c r="H65062" i="16"/>
  <c r="H65063" i="16"/>
  <c r="H65064" i="16"/>
  <c r="H65065" i="16"/>
  <c r="H65066" i="16"/>
  <c r="H65067" i="16"/>
  <c r="H65068" i="16"/>
  <c r="H65069" i="16"/>
  <c r="H65070" i="16"/>
  <c r="H65071" i="16"/>
  <c r="H65072" i="16"/>
  <c r="H65073" i="16"/>
  <c r="H65074" i="16"/>
  <c r="H65075" i="16"/>
  <c r="H65076" i="16"/>
  <c r="H65077" i="16"/>
  <c r="H65078" i="16"/>
  <c r="H65079" i="16"/>
  <c r="H65080" i="16"/>
  <c r="H65081" i="16"/>
  <c r="H65082" i="16"/>
  <c r="H65083" i="16"/>
  <c r="H65084" i="16"/>
  <c r="H65085" i="16"/>
  <c r="H65086" i="16"/>
  <c r="H65087" i="16"/>
  <c r="H65088" i="16"/>
  <c r="H65089" i="16"/>
  <c r="H65090" i="16"/>
  <c r="H65091" i="16"/>
  <c r="H65092" i="16"/>
  <c r="H65093" i="16"/>
  <c r="H65094" i="16"/>
  <c r="H65095" i="16"/>
  <c r="H65096" i="16"/>
  <c r="H65097" i="16"/>
  <c r="H65098" i="16"/>
  <c r="H65099" i="16"/>
  <c r="H65100" i="16"/>
  <c r="H65101" i="16"/>
  <c r="H65102" i="16"/>
  <c r="H65103" i="16"/>
  <c r="H65104" i="16"/>
  <c r="H65105" i="16"/>
  <c r="H65106" i="16"/>
  <c r="H65107" i="16"/>
  <c r="H65108" i="16"/>
  <c r="H65109" i="16"/>
  <c r="H65110" i="16"/>
  <c r="H65111" i="16"/>
  <c r="H65112" i="16"/>
  <c r="H65113" i="16"/>
  <c r="H65114" i="16"/>
  <c r="H65115" i="16"/>
  <c r="H65116" i="16"/>
  <c r="H65117" i="16"/>
  <c r="H65118" i="16"/>
  <c r="H65119" i="16"/>
  <c r="H65120" i="16"/>
  <c r="H65121" i="16"/>
  <c r="H65122" i="16"/>
  <c r="H65123" i="16"/>
  <c r="H65124" i="16"/>
  <c r="H65125" i="16"/>
  <c r="H65126" i="16"/>
  <c r="H65127" i="16"/>
  <c r="H65128" i="16"/>
  <c r="H65129" i="16"/>
  <c r="H65130" i="16"/>
  <c r="H65131" i="16"/>
  <c r="H65132" i="16"/>
  <c r="H65133" i="16"/>
  <c r="H65134" i="16"/>
  <c r="H65135" i="16"/>
  <c r="H65136" i="16"/>
  <c r="H65137" i="16"/>
  <c r="H65138" i="16"/>
  <c r="H65139" i="16"/>
  <c r="H65140" i="16"/>
  <c r="H65141" i="16"/>
  <c r="H65142" i="16"/>
  <c r="H65143" i="16"/>
  <c r="H65144" i="16"/>
  <c r="H65145" i="16"/>
  <c r="H65146" i="16"/>
  <c r="H65147" i="16"/>
  <c r="H65148" i="16"/>
  <c r="H65149" i="16"/>
  <c r="H65150" i="16"/>
  <c r="H65151" i="16"/>
  <c r="H65152" i="16"/>
  <c r="H65153" i="16"/>
  <c r="H65154" i="16"/>
  <c r="H65155" i="16"/>
  <c r="H65156" i="16"/>
  <c r="H65157" i="16"/>
  <c r="H65158" i="16"/>
  <c r="H65159" i="16"/>
  <c r="H65160" i="16"/>
  <c r="H65161" i="16"/>
  <c r="H65162" i="16"/>
  <c r="H65163" i="16"/>
  <c r="H65164" i="16"/>
  <c r="H65165" i="16"/>
  <c r="H65166" i="16"/>
  <c r="H65167" i="16"/>
  <c r="H65168" i="16"/>
  <c r="H65169" i="16"/>
  <c r="H65170" i="16"/>
  <c r="H65171" i="16"/>
  <c r="H65172" i="16"/>
  <c r="H65173" i="16"/>
  <c r="H65174" i="16"/>
  <c r="H65175" i="16"/>
  <c r="H65176" i="16"/>
  <c r="H65177" i="16"/>
  <c r="H65178" i="16"/>
  <c r="H65179" i="16"/>
  <c r="H65180" i="16"/>
  <c r="H65181" i="16"/>
  <c r="H65182" i="16"/>
  <c r="H65183" i="16"/>
  <c r="H65184" i="16"/>
  <c r="H65185" i="16"/>
  <c r="H65186" i="16"/>
  <c r="H65187" i="16"/>
  <c r="H65188" i="16"/>
  <c r="H65189" i="16"/>
  <c r="H65190" i="16"/>
  <c r="H65191" i="16"/>
  <c r="H65192" i="16"/>
  <c r="H65193" i="16"/>
  <c r="H65194" i="16"/>
  <c r="H65195" i="16"/>
  <c r="H65196" i="16"/>
  <c r="H65197" i="16"/>
  <c r="H65198" i="16"/>
  <c r="H65199" i="16"/>
  <c r="H65200" i="16"/>
  <c r="H65201" i="16"/>
  <c r="H65202" i="16"/>
  <c r="H65203" i="16"/>
  <c r="H65204" i="16"/>
  <c r="H65205" i="16"/>
  <c r="H65206" i="16"/>
  <c r="H65207" i="16"/>
  <c r="H65208" i="16"/>
  <c r="H65209" i="16"/>
  <c r="H65210" i="16"/>
  <c r="H65211" i="16"/>
  <c r="H65212" i="16"/>
  <c r="H65213" i="16"/>
  <c r="H65214" i="16"/>
  <c r="H65215" i="16"/>
  <c r="H65216" i="16"/>
  <c r="H65217" i="16"/>
  <c r="H65218" i="16"/>
  <c r="H65219" i="16"/>
  <c r="H65220" i="16"/>
  <c r="H65221" i="16"/>
  <c r="H65222" i="16"/>
  <c r="H65223" i="16"/>
  <c r="H65224" i="16"/>
  <c r="H65225" i="16"/>
  <c r="H65226" i="16"/>
  <c r="H65227" i="16"/>
  <c r="H65228" i="16"/>
  <c r="H65229" i="16"/>
  <c r="H65230" i="16"/>
  <c r="H65231" i="16"/>
  <c r="H65232" i="16"/>
  <c r="H65233" i="16"/>
  <c r="H65234" i="16"/>
  <c r="H65235" i="16"/>
  <c r="H65236" i="16"/>
  <c r="H65237" i="16"/>
  <c r="H65238" i="16"/>
  <c r="H65239" i="16"/>
  <c r="H65240" i="16"/>
  <c r="H65241" i="16"/>
  <c r="H65242" i="16"/>
  <c r="H65243" i="16"/>
  <c r="H65244" i="16"/>
  <c r="H65245" i="16"/>
  <c r="H65246" i="16"/>
  <c r="H65247" i="16"/>
  <c r="H65248" i="16"/>
  <c r="H65249" i="16"/>
  <c r="H65250" i="16"/>
  <c r="H65251" i="16"/>
  <c r="H65252" i="16"/>
  <c r="H65253" i="16"/>
  <c r="H65254" i="16"/>
  <c r="H65255" i="16"/>
  <c r="H65256" i="16"/>
  <c r="H65257" i="16"/>
  <c r="H65258" i="16"/>
  <c r="H65259" i="16"/>
  <c r="H65260" i="16"/>
  <c r="H65261" i="16"/>
  <c r="H65262" i="16"/>
  <c r="H65263" i="16"/>
  <c r="H65264" i="16"/>
  <c r="H65265" i="16"/>
  <c r="H65266" i="16"/>
  <c r="H65267" i="16"/>
  <c r="H65268" i="16"/>
  <c r="H65269" i="16"/>
  <c r="H65270" i="16"/>
  <c r="H65271" i="16"/>
  <c r="H65272" i="16"/>
  <c r="H65273" i="16"/>
  <c r="H65274" i="16"/>
  <c r="H65275" i="16"/>
  <c r="H65276" i="16"/>
  <c r="H65277" i="16"/>
  <c r="H65278" i="16"/>
  <c r="H65279" i="16"/>
  <c r="H65280" i="16"/>
  <c r="H65281" i="16"/>
  <c r="H65282" i="16"/>
  <c r="H65283" i="16"/>
  <c r="H65284" i="16"/>
  <c r="H65285" i="16"/>
  <c r="H65286" i="16"/>
  <c r="H65287" i="16"/>
  <c r="H65288" i="16"/>
  <c r="H65289" i="16"/>
  <c r="H65290" i="16"/>
  <c r="H65291" i="16"/>
  <c r="H65292" i="16"/>
  <c r="H65293" i="16"/>
  <c r="H65294" i="16"/>
  <c r="H65295" i="16"/>
  <c r="H65296" i="16"/>
  <c r="H65297" i="16"/>
  <c r="H65298" i="16"/>
  <c r="H65299" i="16"/>
  <c r="H65300" i="16"/>
  <c r="H65301" i="16"/>
  <c r="H65302" i="16"/>
  <c r="H65303" i="16"/>
  <c r="H65304" i="16"/>
  <c r="H65305" i="16"/>
  <c r="H65306" i="16"/>
  <c r="H65307" i="16"/>
  <c r="H65308" i="16"/>
  <c r="H65309" i="16"/>
  <c r="H65310" i="16"/>
  <c r="H65311" i="16"/>
  <c r="H65312" i="16"/>
  <c r="H65313" i="16"/>
  <c r="H65314" i="16"/>
  <c r="H65315" i="16"/>
  <c r="H65316" i="16"/>
  <c r="H65317" i="16"/>
  <c r="H65318" i="16"/>
  <c r="H65319" i="16"/>
  <c r="H65320" i="16"/>
  <c r="H65321" i="16"/>
  <c r="H65322" i="16"/>
  <c r="H65323" i="16"/>
  <c r="H65324" i="16"/>
  <c r="H65325" i="16"/>
  <c r="H65326" i="16"/>
  <c r="H65327" i="16"/>
  <c r="H65328" i="16"/>
  <c r="H65329" i="16"/>
  <c r="H65330" i="16"/>
  <c r="H65331" i="16"/>
  <c r="H65332" i="16"/>
  <c r="H65333" i="16"/>
  <c r="H65334" i="16"/>
  <c r="H65335" i="16"/>
  <c r="H65336" i="16"/>
  <c r="H65337" i="16"/>
  <c r="H65338" i="16"/>
  <c r="H65339" i="16"/>
  <c r="H65340" i="16"/>
  <c r="H65341" i="16"/>
  <c r="H65342" i="16"/>
  <c r="H65343" i="16"/>
  <c r="H65344" i="16"/>
  <c r="H65345" i="16"/>
  <c r="H65346" i="16"/>
  <c r="H65347" i="16"/>
  <c r="H65348" i="16"/>
  <c r="H65349" i="16"/>
  <c r="H65350" i="16"/>
  <c r="H65351" i="16"/>
  <c r="H65352" i="16"/>
  <c r="H65353" i="16"/>
  <c r="H65354" i="16"/>
  <c r="H65355" i="16"/>
  <c r="H65356" i="16"/>
  <c r="H65357" i="16"/>
  <c r="H65358" i="16"/>
  <c r="H65359" i="16"/>
  <c r="H65360" i="16"/>
  <c r="H65361" i="16"/>
  <c r="H65362" i="16"/>
  <c r="H65363" i="16"/>
  <c r="H65364" i="16"/>
  <c r="H65365" i="16"/>
  <c r="H65366" i="16"/>
  <c r="H65367" i="16"/>
  <c r="H65368" i="16"/>
  <c r="H65369" i="16"/>
  <c r="H65370" i="16"/>
  <c r="H65371" i="16"/>
  <c r="H65372" i="16"/>
  <c r="H65373" i="16"/>
  <c r="H65374" i="16"/>
  <c r="H65375" i="16"/>
  <c r="H65376" i="16"/>
  <c r="H65377" i="16"/>
  <c r="H65378" i="16"/>
  <c r="H65379" i="16"/>
  <c r="H65380" i="16"/>
  <c r="H65381" i="16"/>
  <c r="H65382" i="16"/>
  <c r="H65383" i="16"/>
  <c r="H65384" i="16"/>
  <c r="H65385" i="16"/>
  <c r="H65386" i="16"/>
  <c r="H65387" i="16"/>
  <c r="H65388" i="16"/>
  <c r="H65389" i="16"/>
  <c r="H65390" i="16"/>
  <c r="H65391" i="16"/>
  <c r="H65392" i="16"/>
  <c r="H65393" i="16"/>
  <c r="H65394" i="16"/>
  <c r="H65395" i="16"/>
  <c r="H65396" i="16"/>
  <c r="H65397" i="16"/>
  <c r="H65398" i="16"/>
  <c r="H65399" i="16"/>
  <c r="H65400" i="16"/>
  <c r="H65401" i="16"/>
  <c r="H65402" i="16"/>
  <c r="H65403" i="16"/>
  <c r="H65404" i="16"/>
  <c r="H65405" i="16"/>
  <c r="H65406" i="16"/>
  <c r="H65407" i="16"/>
  <c r="H65408" i="16"/>
  <c r="H65409" i="16"/>
  <c r="H65410" i="16"/>
  <c r="H65411" i="16"/>
  <c r="H65412" i="16"/>
  <c r="H65413" i="16"/>
  <c r="H65414" i="16"/>
  <c r="H65415" i="16"/>
  <c r="H65416" i="16"/>
  <c r="H65417" i="16"/>
  <c r="H65418" i="16"/>
  <c r="H65419" i="16"/>
  <c r="H65420" i="16"/>
  <c r="H65421" i="16"/>
  <c r="H65422" i="16"/>
  <c r="H65423" i="16"/>
  <c r="H65424" i="16"/>
  <c r="H65425" i="16"/>
  <c r="H65426" i="16"/>
  <c r="H65427" i="16"/>
  <c r="H65428" i="16"/>
  <c r="H65429" i="16"/>
  <c r="H65430" i="16"/>
  <c r="H65431" i="16"/>
  <c r="H65432" i="16"/>
  <c r="H65433" i="16"/>
  <c r="H65434" i="16"/>
  <c r="H65435" i="16"/>
  <c r="H65436" i="16"/>
  <c r="H65437" i="16"/>
  <c r="H65438" i="16"/>
  <c r="H65439" i="16"/>
  <c r="H65440" i="16"/>
  <c r="H65441" i="16"/>
  <c r="H65442" i="16"/>
  <c r="H65443" i="16"/>
  <c r="H65444" i="16"/>
  <c r="H65445" i="16"/>
  <c r="H65446" i="16"/>
  <c r="H65447" i="16"/>
  <c r="H65448" i="16"/>
  <c r="H65449" i="16"/>
  <c r="H65450" i="16"/>
  <c r="H65451" i="16"/>
  <c r="H65452" i="16"/>
  <c r="H65453" i="16"/>
  <c r="H65454" i="16"/>
  <c r="H65455" i="16"/>
  <c r="H65456" i="16"/>
  <c r="H65457" i="16"/>
  <c r="H65458" i="16"/>
  <c r="H65459" i="16"/>
  <c r="H65460" i="16"/>
  <c r="H65461" i="16"/>
  <c r="H65462" i="16"/>
  <c r="H65463" i="16"/>
  <c r="H65464" i="16"/>
  <c r="H65465" i="16"/>
  <c r="H65466" i="16"/>
  <c r="H65467" i="16"/>
  <c r="H65468" i="16"/>
  <c r="H65469" i="16"/>
  <c r="H65470" i="16"/>
  <c r="H65471" i="16"/>
  <c r="H65472" i="16"/>
  <c r="H65473" i="16"/>
  <c r="H65474" i="16"/>
  <c r="H65475" i="16"/>
  <c r="H65476" i="16"/>
  <c r="H65477" i="16"/>
  <c r="H65478" i="16"/>
  <c r="H65479" i="16"/>
  <c r="H65480" i="16"/>
  <c r="H65481" i="16"/>
  <c r="H65482" i="16"/>
  <c r="H65483" i="16"/>
  <c r="H65484" i="16"/>
  <c r="H65485" i="16"/>
  <c r="H65486" i="16"/>
  <c r="H65487" i="16"/>
  <c r="H65488" i="16"/>
  <c r="H65489" i="16"/>
  <c r="H65490" i="16"/>
  <c r="H65491" i="16"/>
  <c r="H65492" i="16"/>
  <c r="H65493" i="16"/>
  <c r="H65494" i="16"/>
  <c r="H65495" i="16"/>
  <c r="H65496" i="16"/>
  <c r="H65497" i="16"/>
  <c r="H65498" i="16"/>
  <c r="H65499" i="16"/>
  <c r="H65500" i="16"/>
  <c r="H65501" i="16"/>
  <c r="H65502" i="16"/>
  <c r="H65503" i="16"/>
  <c r="H65504" i="16"/>
  <c r="H65505" i="16"/>
  <c r="H65506" i="16"/>
  <c r="H65507" i="16"/>
  <c r="H65508" i="16"/>
  <c r="H65509" i="16"/>
  <c r="H65510" i="16"/>
  <c r="H65511" i="16"/>
  <c r="H65512" i="16"/>
  <c r="H65513" i="16"/>
  <c r="H65514" i="16"/>
  <c r="H65515" i="16"/>
  <c r="H65516" i="16"/>
  <c r="H65517" i="16"/>
  <c r="H65518" i="16"/>
  <c r="H65519" i="16"/>
  <c r="H65520" i="16"/>
  <c r="H65521" i="16"/>
  <c r="H65522" i="16"/>
  <c r="H65523" i="16"/>
  <c r="H65524" i="16"/>
  <c r="H65525" i="16"/>
  <c r="H65526" i="16"/>
  <c r="H65527" i="16"/>
  <c r="H65528" i="16"/>
  <c r="H65529" i="16"/>
  <c r="H65530" i="16"/>
  <c r="H65531" i="16"/>
  <c r="H65532" i="16"/>
  <c r="H65533" i="16"/>
  <c r="H65534" i="16"/>
  <c r="H65535" i="16"/>
  <c r="H65536" i="16"/>
  <c r="AE105" i="16"/>
  <c r="AE141" i="16"/>
  <c r="AE140" i="16"/>
  <c r="AE139" i="16"/>
  <c r="AE138" i="16"/>
  <c r="AE137" i="16"/>
  <c r="AE136" i="16"/>
  <c r="AE135" i="16"/>
  <c r="AE134" i="16"/>
  <c r="AE132" i="16"/>
  <c r="AE130" i="16"/>
  <c r="AE129" i="16"/>
  <c r="AE128" i="16"/>
  <c r="AE126" i="16"/>
  <c r="AE125" i="16"/>
  <c r="AE124" i="16"/>
  <c r="AE123" i="16"/>
  <c r="AE122" i="16"/>
  <c r="AE121" i="16"/>
  <c r="AE120" i="16"/>
  <c r="AE119" i="16"/>
  <c r="AE118" i="16"/>
  <c r="AE116" i="16"/>
  <c r="AE114" i="16"/>
  <c r="AE113" i="16"/>
  <c r="AE112" i="16"/>
  <c r="AE110" i="16"/>
  <c r="AE101" i="16"/>
  <c r="AE99" i="16"/>
  <c r="AE97" i="16"/>
  <c r="AE95" i="16"/>
  <c r="N19" i="13" l="1"/>
  <c r="M20" i="13" s="1"/>
  <c r="J37" i="1"/>
  <c r="J40" i="1"/>
  <c r="J39" i="1"/>
  <c r="J35" i="1"/>
  <c r="J38" i="1"/>
  <c r="C8" i="14"/>
  <c r="C19" i="14" s="1"/>
  <c r="K12" i="1"/>
  <c r="K13" i="1" s="1"/>
  <c r="J25" i="1"/>
  <c r="J19" i="1"/>
  <c r="J24" i="1"/>
  <c r="J34" i="1"/>
  <c r="J33" i="1"/>
  <c r="J32" i="1"/>
  <c r="J29" i="1"/>
  <c r="J20" i="1"/>
  <c r="J17" i="1"/>
  <c r="C19" i="13"/>
  <c r="J30" i="1"/>
  <c r="AE103" i="16"/>
  <c r="AD82" i="16"/>
  <c r="AE68" i="16"/>
  <c r="AD50" i="16"/>
  <c r="J28" i="1"/>
  <c r="J27" i="1"/>
  <c r="AE106" i="16"/>
  <c r="AD133" i="16"/>
  <c r="AD131" i="16"/>
  <c r="AD127" i="16"/>
  <c r="AD117" i="16"/>
  <c r="AD115" i="16"/>
  <c r="AD111" i="16"/>
  <c r="AD109" i="16"/>
  <c r="AD80" i="16"/>
  <c r="AD48" i="16"/>
  <c r="AE102" i="16"/>
  <c r="AE98" i="16"/>
  <c r="AE94" i="16"/>
  <c r="AE62" i="16"/>
  <c r="AE104" i="16"/>
  <c r="AE100" i="16"/>
  <c r="AE96" i="16"/>
  <c r="AE77" i="16"/>
  <c r="AE45" i="16"/>
  <c r="AE43" i="16"/>
  <c r="AE73" i="16"/>
  <c r="AE71" i="16"/>
  <c r="AE75" i="16"/>
  <c r="AE69" i="16"/>
  <c r="J22" i="1"/>
  <c r="AE67" i="16"/>
  <c r="AE65" i="16"/>
  <c r="L19" i="13"/>
  <c r="D22" i="16"/>
  <c r="C23" i="16" s="1"/>
  <c r="B22" i="16"/>
  <c r="I9" i="1"/>
  <c r="H10" i="1"/>
  <c r="H12" i="1"/>
  <c r="L9" i="1"/>
  <c r="H11" i="1"/>
  <c r="C19" i="17"/>
  <c r="F7" i="17"/>
  <c r="N20" i="13" l="1"/>
  <c r="M21" i="13" s="1"/>
  <c r="N21" i="13" s="1"/>
  <c r="M22" i="13" s="1"/>
  <c r="N22" i="13" s="1"/>
  <c r="D19" i="14"/>
  <c r="C20" i="14" s="1"/>
  <c r="B20" i="14" s="1"/>
  <c r="B19" i="14"/>
  <c r="K14" i="1"/>
  <c r="B19" i="13"/>
  <c r="P19" i="13"/>
  <c r="O19" i="13"/>
  <c r="Q19" i="13"/>
  <c r="L20" i="13"/>
  <c r="B19" i="17"/>
  <c r="D19" i="17"/>
  <c r="C20" i="17" s="1"/>
  <c r="I10" i="1"/>
  <c r="K10" i="1"/>
  <c r="L10" i="1" s="1"/>
  <c r="I11" i="1"/>
  <c r="K11" i="1"/>
  <c r="L11" i="1" s="1"/>
  <c r="E22" i="16"/>
  <c r="G22" i="16"/>
  <c r="H22" i="16"/>
  <c r="F22" i="16"/>
  <c r="G19" i="14"/>
  <c r="H19" i="14"/>
  <c r="E19" i="14"/>
  <c r="F19" i="14"/>
  <c r="I12" i="1"/>
  <c r="H13" i="1"/>
  <c r="L12" i="1"/>
  <c r="D23" i="16"/>
  <c r="C24" i="16" s="1"/>
  <c r="B23" i="16"/>
  <c r="J20" i="14"/>
  <c r="J23" i="16"/>
  <c r="I23" i="16"/>
  <c r="I22" i="16"/>
  <c r="S19" i="13"/>
  <c r="J19" i="14"/>
  <c r="I19" i="14"/>
  <c r="I20" i="14"/>
  <c r="J19" i="13"/>
  <c r="J22" i="16"/>
  <c r="B20" i="13" l="1"/>
  <c r="G20" i="13" s="1"/>
  <c r="D20" i="14"/>
  <c r="C21" i="14" s="1"/>
  <c r="B21" i="14" s="1"/>
  <c r="F19" i="13"/>
  <c r="E19" i="13"/>
  <c r="G19" i="13"/>
  <c r="R19" i="13"/>
  <c r="O20" i="13"/>
  <c r="P20" i="13"/>
  <c r="Q20" i="13"/>
  <c r="L21" i="13"/>
  <c r="M23" i="13"/>
  <c r="N23" i="13" s="1"/>
  <c r="B24" i="16"/>
  <c r="D24" i="16"/>
  <c r="C25" i="16" s="1"/>
  <c r="G20" i="14"/>
  <c r="H20" i="14"/>
  <c r="F20" i="14"/>
  <c r="E23" i="16"/>
  <c r="G23" i="16"/>
  <c r="H23" i="16"/>
  <c r="F23" i="16"/>
  <c r="B20" i="17"/>
  <c r="D20" i="17"/>
  <c r="C21" i="17" s="1"/>
  <c r="I13" i="1"/>
  <c r="H14" i="1"/>
  <c r="L13" i="1"/>
  <c r="E19" i="17"/>
  <c r="K19" i="14"/>
  <c r="I21" i="14"/>
  <c r="I22" i="14"/>
  <c r="K20" i="14"/>
  <c r="J24" i="16"/>
  <c r="I24" i="16"/>
  <c r="J22" i="14"/>
  <c r="J25" i="16"/>
  <c r="H19" i="13"/>
  <c r="S20" i="13"/>
  <c r="J21" i="14"/>
  <c r="I25" i="16"/>
  <c r="F20" i="13" l="1"/>
  <c r="D21" i="14"/>
  <c r="C22" i="14" s="1"/>
  <c r="E20" i="14"/>
  <c r="M24" i="13"/>
  <c r="N24" i="13" s="1"/>
  <c r="L22" i="13"/>
  <c r="R20" i="13"/>
  <c r="Q21" i="13"/>
  <c r="P21" i="13"/>
  <c r="O21" i="13"/>
  <c r="B21" i="17"/>
  <c r="D21" i="17"/>
  <c r="C22" i="17" s="1"/>
  <c r="B25" i="16"/>
  <c r="D25" i="16"/>
  <c r="C26" i="16" s="1"/>
  <c r="D22" i="14"/>
  <c r="C23" i="14" s="1"/>
  <c r="B22" i="14"/>
  <c r="E20" i="17"/>
  <c r="I14" i="1"/>
  <c r="H15" i="1"/>
  <c r="L14" i="1"/>
  <c r="G24" i="16"/>
  <c r="E24" i="16"/>
  <c r="F24" i="16"/>
  <c r="H24" i="16"/>
  <c r="G21" i="14"/>
  <c r="F21" i="14"/>
  <c r="H21" i="14"/>
  <c r="J20" i="13"/>
  <c r="J23" i="14"/>
  <c r="K21" i="14"/>
  <c r="K22" i="14"/>
  <c r="J27" i="16"/>
  <c r="S21" i="13"/>
  <c r="I27" i="16"/>
  <c r="J26" i="16"/>
  <c r="J24" i="14"/>
  <c r="I23" i="14"/>
  <c r="I24" i="14"/>
  <c r="I26" i="16"/>
  <c r="B21" i="13" l="1"/>
  <c r="C22" i="13"/>
  <c r="D22" i="13" s="1"/>
  <c r="G21" i="13"/>
  <c r="E20" i="13"/>
  <c r="F21" i="13"/>
  <c r="E21" i="14"/>
  <c r="M25" i="13"/>
  <c r="N25" i="13" s="1"/>
  <c r="L23" i="13"/>
  <c r="R21" i="13"/>
  <c r="P22" i="13"/>
  <c r="Q22" i="13"/>
  <c r="O22" i="13"/>
  <c r="B23" i="14"/>
  <c r="D23" i="14"/>
  <c r="C24" i="14" s="1"/>
  <c r="B26" i="16"/>
  <c r="D26" i="16"/>
  <c r="C27" i="16" s="1"/>
  <c r="F25" i="16"/>
  <c r="G25" i="16"/>
  <c r="H25" i="16"/>
  <c r="E25" i="16"/>
  <c r="H16" i="1"/>
  <c r="I15" i="1"/>
  <c r="E22" i="14"/>
  <c r="H22" i="14"/>
  <c r="G22" i="14"/>
  <c r="F22" i="14"/>
  <c r="D22" i="17"/>
  <c r="C23" i="17" s="1"/>
  <c r="B22" i="17"/>
  <c r="E21" i="17"/>
  <c r="J21" i="13"/>
  <c r="H20" i="13"/>
  <c r="K24" i="14"/>
  <c r="K23" i="14"/>
  <c r="E21" i="13" l="1"/>
  <c r="C23" i="13"/>
  <c r="D23" i="13" s="1"/>
  <c r="R22" i="13"/>
  <c r="L24" i="13"/>
  <c r="M26" i="13"/>
  <c r="N26" i="13" s="1"/>
  <c r="Q23" i="13"/>
  <c r="O23" i="13"/>
  <c r="P23" i="13"/>
  <c r="D23" i="17"/>
  <c r="C24" i="17" s="1"/>
  <c r="B23" i="17"/>
  <c r="G23" i="14"/>
  <c r="H23" i="14"/>
  <c r="E23" i="14"/>
  <c r="F23" i="14"/>
  <c r="I16" i="1"/>
  <c r="H17" i="1"/>
  <c r="B27" i="16"/>
  <c r="D27" i="16"/>
  <c r="C28" i="16" s="1"/>
  <c r="E22" i="17"/>
  <c r="E26" i="16"/>
  <c r="H26" i="16"/>
  <c r="F26" i="16"/>
  <c r="G26" i="16"/>
  <c r="D24" i="14"/>
  <c r="C25" i="14" s="1"/>
  <c r="B24" i="14"/>
  <c r="H21" i="13"/>
  <c r="C24" i="13" l="1"/>
  <c r="D24" i="13" s="1"/>
  <c r="B22" i="13"/>
  <c r="R23" i="13"/>
  <c r="M27" i="13"/>
  <c r="N27" i="13" s="1"/>
  <c r="L25" i="13"/>
  <c r="P24" i="13"/>
  <c r="Q24" i="13"/>
  <c r="O24" i="13"/>
  <c r="E24" i="14"/>
  <c r="F24" i="14"/>
  <c r="G24" i="14"/>
  <c r="H24" i="14"/>
  <c r="D25" i="14"/>
  <c r="C26" i="14" s="1"/>
  <c r="B25" i="14"/>
  <c r="D28" i="16"/>
  <c r="C29" i="16" s="1"/>
  <c r="B28" i="16"/>
  <c r="G27" i="16"/>
  <c r="F27" i="16"/>
  <c r="H27" i="16"/>
  <c r="E27" i="16"/>
  <c r="E23" i="17"/>
  <c r="B24" i="17"/>
  <c r="D24" i="17"/>
  <c r="C25" i="17" s="1"/>
  <c r="H18" i="1"/>
  <c r="I17" i="1"/>
  <c r="J22" i="13"/>
  <c r="E22" i="13" l="1"/>
  <c r="G22" i="13"/>
  <c r="F22" i="13"/>
  <c r="B23" i="13"/>
  <c r="C25" i="13"/>
  <c r="D25" i="13" s="1"/>
  <c r="R24" i="13"/>
  <c r="O25" i="13"/>
  <c r="P25" i="13"/>
  <c r="Q25" i="13"/>
  <c r="M28" i="13"/>
  <c r="N28" i="13" s="1"/>
  <c r="L26" i="13"/>
  <c r="E24" i="17"/>
  <c r="B26" i="14"/>
  <c r="D26" i="14"/>
  <c r="C27" i="14" s="1"/>
  <c r="B29" i="16"/>
  <c r="D29" i="16"/>
  <c r="C30" i="16" s="1"/>
  <c r="B25" i="17"/>
  <c r="D25" i="17"/>
  <c r="C26" i="17" s="1"/>
  <c r="G25" i="14"/>
  <c r="F25" i="14"/>
  <c r="E25" i="14"/>
  <c r="H25" i="14"/>
  <c r="I18" i="1"/>
  <c r="H19" i="1"/>
  <c r="E28" i="16"/>
  <c r="F28" i="16"/>
  <c r="G28" i="16"/>
  <c r="H28" i="16"/>
  <c r="J23" i="13"/>
  <c r="H22" i="13"/>
  <c r="B24" i="13" l="1"/>
  <c r="C26" i="13"/>
  <c r="D26" i="13" s="1"/>
  <c r="F23" i="13"/>
  <c r="G23" i="13"/>
  <c r="E23" i="13"/>
  <c r="R25" i="13"/>
  <c r="Q26" i="13"/>
  <c r="O26" i="13"/>
  <c r="P26" i="13"/>
  <c r="M29" i="13"/>
  <c r="N29" i="13" s="1"/>
  <c r="L27" i="13"/>
  <c r="D30" i="16"/>
  <c r="C31" i="16" s="1"/>
  <c r="B30" i="16"/>
  <c r="H29" i="16"/>
  <c r="G29" i="16"/>
  <c r="E29" i="16"/>
  <c r="F29" i="16"/>
  <c r="D26" i="17"/>
  <c r="C27" i="17" s="1"/>
  <c r="B26" i="17"/>
  <c r="E25" i="17"/>
  <c r="H20" i="1"/>
  <c r="I19" i="1"/>
  <c r="B27" i="14"/>
  <c r="D27" i="14"/>
  <c r="C28" i="14" s="1"/>
  <c r="G26" i="14"/>
  <c r="H26" i="14"/>
  <c r="E26" i="14"/>
  <c r="F26" i="14"/>
  <c r="H23" i="13"/>
  <c r="J24" i="13"/>
  <c r="C27" i="13" l="1"/>
  <c r="D27" i="13" s="1"/>
  <c r="B25" i="13"/>
  <c r="F24" i="13"/>
  <c r="G24" i="13"/>
  <c r="E24" i="13"/>
  <c r="R26" i="13"/>
  <c r="L28" i="13"/>
  <c r="M30" i="13"/>
  <c r="N30" i="13" s="1"/>
  <c r="Q27" i="13"/>
  <c r="P27" i="13"/>
  <c r="O27" i="13"/>
  <c r="E26" i="17"/>
  <c r="D27" i="17"/>
  <c r="C28" i="17" s="1"/>
  <c r="B27" i="17"/>
  <c r="H30" i="16"/>
  <c r="F30" i="16"/>
  <c r="G30" i="16"/>
  <c r="E30" i="16"/>
  <c r="B31" i="16"/>
  <c r="D31" i="16"/>
  <c r="C32" i="16" s="1"/>
  <c r="D28" i="14"/>
  <c r="C29" i="14" s="1"/>
  <c r="B28" i="14"/>
  <c r="I20" i="1"/>
  <c r="H21" i="1"/>
  <c r="H27" i="14"/>
  <c r="F27" i="14"/>
  <c r="E27" i="14"/>
  <c r="G27" i="14"/>
  <c r="H24" i="13"/>
  <c r="G25" i="13" l="1"/>
  <c r="F25" i="13"/>
  <c r="E25" i="13"/>
  <c r="B26" i="13"/>
  <c r="C28" i="13"/>
  <c r="D28" i="13" s="1"/>
  <c r="R27" i="13"/>
  <c r="Q28" i="13"/>
  <c r="P28" i="13"/>
  <c r="O28" i="13"/>
  <c r="M31" i="13"/>
  <c r="N31" i="13" s="1"/>
  <c r="L29" i="13"/>
  <c r="H22" i="1"/>
  <c r="I21" i="1"/>
  <c r="H28" i="14"/>
  <c r="E28" i="14"/>
  <c r="F28" i="14"/>
  <c r="G28" i="14"/>
  <c r="E27" i="17"/>
  <c r="B29" i="14"/>
  <c r="D29" i="14"/>
  <c r="C30" i="14" s="1"/>
  <c r="B32" i="16"/>
  <c r="D32" i="16"/>
  <c r="C33" i="16" s="1"/>
  <c r="B28" i="17"/>
  <c r="D28" i="17"/>
  <c r="C29" i="17" s="1"/>
  <c r="F31" i="16"/>
  <c r="G31" i="16"/>
  <c r="H31" i="16"/>
  <c r="E31" i="16"/>
  <c r="E26" i="13" l="1"/>
  <c r="F26" i="13"/>
  <c r="G26" i="13"/>
  <c r="B27" i="13"/>
  <c r="C29" i="13"/>
  <c r="D29" i="13" s="1"/>
  <c r="R28" i="13"/>
  <c r="P29" i="13"/>
  <c r="Q29" i="13"/>
  <c r="O29" i="13"/>
  <c r="M32" i="13"/>
  <c r="N32" i="13" s="1"/>
  <c r="L30" i="13"/>
  <c r="B29" i="17"/>
  <c r="D29" i="17"/>
  <c r="C30" i="17" s="1"/>
  <c r="D30" i="14"/>
  <c r="C31" i="14" s="1"/>
  <c r="B30" i="14"/>
  <c r="F29" i="14"/>
  <c r="E29" i="14"/>
  <c r="G29" i="14"/>
  <c r="H29" i="14"/>
  <c r="E28" i="17"/>
  <c r="B33" i="16"/>
  <c r="D33" i="16"/>
  <c r="C34" i="16" s="1"/>
  <c r="G32" i="16"/>
  <c r="F32" i="16"/>
  <c r="H32" i="16"/>
  <c r="E32" i="16"/>
  <c r="H23" i="1"/>
  <c r="I22" i="1"/>
  <c r="S29" i="13"/>
  <c r="B28" i="13" l="1"/>
  <c r="C30" i="13"/>
  <c r="D30" i="13" s="1"/>
  <c r="E27" i="13"/>
  <c r="G27" i="13"/>
  <c r="F27" i="13"/>
  <c r="R29" i="13"/>
  <c r="L31" i="13"/>
  <c r="M33" i="13"/>
  <c r="N33" i="13" s="1"/>
  <c r="Q30" i="13"/>
  <c r="O30" i="13"/>
  <c r="P30" i="13"/>
  <c r="B34" i="16"/>
  <c r="D34" i="16"/>
  <c r="C35" i="16" s="1"/>
  <c r="B31" i="14"/>
  <c r="D31" i="14"/>
  <c r="C32" i="14" s="1"/>
  <c r="D30" i="17"/>
  <c r="C31" i="17" s="1"/>
  <c r="B30" i="17"/>
  <c r="H30" i="14"/>
  <c r="F30" i="14"/>
  <c r="G30" i="14"/>
  <c r="E30" i="14"/>
  <c r="I23" i="1"/>
  <c r="H24" i="1"/>
  <c r="G33" i="16"/>
  <c r="E33" i="16"/>
  <c r="H33" i="16"/>
  <c r="F33" i="16"/>
  <c r="E29" i="17"/>
  <c r="F29" i="17"/>
  <c r="S30" i="13"/>
  <c r="B29" i="13" l="1"/>
  <c r="C31" i="13"/>
  <c r="D31" i="13" s="1"/>
  <c r="F28" i="13"/>
  <c r="G28" i="13"/>
  <c r="E28" i="13"/>
  <c r="R30" i="13"/>
  <c r="M34" i="13"/>
  <c r="N34" i="13" s="1"/>
  <c r="L32" i="13"/>
  <c r="O31" i="13"/>
  <c r="P31" i="13"/>
  <c r="Q31" i="13"/>
  <c r="B32" i="14"/>
  <c r="D32" i="14"/>
  <c r="C33" i="14" s="1"/>
  <c r="B35" i="16"/>
  <c r="D35" i="16"/>
  <c r="C36" i="16" s="1"/>
  <c r="E31" i="14"/>
  <c r="F31" i="14"/>
  <c r="G31" i="14"/>
  <c r="H31" i="14"/>
  <c r="F34" i="16"/>
  <c r="G34" i="16"/>
  <c r="H34" i="16"/>
  <c r="E34" i="16"/>
  <c r="H25" i="1"/>
  <c r="I24" i="1"/>
  <c r="E30" i="17"/>
  <c r="B31" i="17"/>
  <c r="D31" i="17"/>
  <c r="C32" i="17" s="1"/>
  <c r="F30" i="17"/>
  <c r="S31" i="13"/>
  <c r="B30" i="13" l="1"/>
  <c r="C32" i="13"/>
  <c r="D32" i="13" s="1"/>
  <c r="E29" i="13"/>
  <c r="G29" i="13"/>
  <c r="F29" i="13"/>
  <c r="R31" i="13"/>
  <c r="Q32" i="13"/>
  <c r="P32" i="13"/>
  <c r="O32" i="13"/>
  <c r="R32" i="13" s="1"/>
  <c r="L33" i="13"/>
  <c r="M35" i="13"/>
  <c r="N35" i="13" s="1"/>
  <c r="D33" i="14"/>
  <c r="C34" i="14" s="1"/>
  <c r="B33" i="14"/>
  <c r="E31" i="17"/>
  <c r="H32" i="14"/>
  <c r="G32" i="14"/>
  <c r="E32" i="14"/>
  <c r="F32" i="14"/>
  <c r="H26" i="1"/>
  <c r="I25" i="1"/>
  <c r="H35" i="16"/>
  <c r="F35" i="16"/>
  <c r="E35" i="16"/>
  <c r="G35" i="16"/>
  <c r="B32" i="17"/>
  <c r="D32" i="17"/>
  <c r="C33" i="17" s="1"/>
  <c r="D36" i="16"/>
  <c r="C37" i="16" s="1"/>
  <c r="B36" i="16"/>
  <c r="F31" i="17"/>
  <c r="S32" i="13"/>
  <c r="B31" i="13" l="1"/>
  <c r="C33" i="13"/>
  <c r="D33" i="13" s="1"/>
  <c r="G30" i="13"/>
  <c r="E30" i="13"/>
  <c r="F30" i="13"/>
  <c r="M36" i="13"/>
  <c r="N36" i="13" s="1"/>
  <c r="L34" i="13"/>
  <c r="P33" i="13"/>
  <c r="O33" i="13"/>
  <c r="Q33" i="13"/>
  <c r="H27" i="1"/>
  <c r="I26" i="1"/>
  <c r="H33" i="14"/>
  <c r="E33" i="14"/>
  <c r="G33" i="14"/>
  <c r="F33" i="14"/>
  <c r="B34" i="14"/>
  <c r="D34" i="14"/>
  <c r="C35" i="14" s="1"/>
  <c r="G36" i="16"/>
  <c r="E36" i="16"/>
  <c r="F36" i="16"/>
  <c r="H36" i="16"/>
  <c r="D33" i="17"/>
  <c r="C34" i="17" s="1"/>
  <c r="B33" i="17"/>
  <c r="D37" i="16"/>
  <c r="C38" i="16" s="1"/>
  <c r="B37" i="16"/>
  <c r="E32" i="17"/>
  <c r="F32" i="17"/>
  <c r="S33" i="13"/>
  <c r="C34" i="13" l="1"/>
  <c r="D34" i="13" s="1"/>
  <c r="B32" i="13"/>
  <c r="G31" i="13"/>
  <c r="F31" i="13"/>
  <c r="E31" i="13"/>
  <c r="R33" i="13"/>
  <c r="P34" i="13"/>
  <c r="O34" i="13"/>
  <c r="Q34" i="13"/>
  <c r="L35" i="13"/>
  <c r="M37" i="13"/>
  <c r="N37" i="13" s="1"/>
  <c r="G37" i="16"/>
  <c r="H37" i="16"/>
  <c r="E37" i="16"/>
  <c r="F37" i="16"/>
  <c r="D34" i="17"/>
  <c r="C35" i="17" s="1"/>
  <c r="B34" i="17"/>
  <c r="B35" i="14"/>
  <c r="D35" i="14"/>
  <c r="C36" i="14" s="1"/>
  <c r="I27" i="1"/>
  <c r="H28" i="1"/>
  <c r="E34" i="14"/>
  <c r="F34" i="14"/>
  <c r="G34" i="14"/>
  <c r="H34" i="14"/>
  <c r="D38" i="16"/>
  <c r="C39" i="16" s="1"/>
  <c r="B38" i="16"/>
  <c r="E33" i="17"/>
  <c r="F33" i="17"/>
  <c r="S34" i="13"/>
  <c r="F32" i="13" l="1"/>
  <c r="G32" i="13"/>
  <c r="E32" i="13"/>
  <c r="B33" i="13"/>
  <c r="C35" i="13"/>
  <c r="D35" i="13" s="1"/>
  <c r="R34" i="13"/>
  <c r="O35" i="13"/>
  <c r="Q35" i="13"/>
  <c r="P35" i="13"/>
  <c r="L36" i="13"/>
  <c r="M38" i="13"/>
  <c r="N38" i="13" s="1"/>
  <c r="D36" i="14"/>
  <c r="C37" i="14" s="1"/>
  <c r="B36" i="14"/>
  <c r="D39" i="16"/>
  <c r="C40" i="16" s="1"/>
  <c r="B39" i="16"/>
  <c r="H29" i="1"/>
  <c r="I28" i="1"/>
  <c r="E34" i="17"/>
  <c r="F38" i="16"/>
  <c r="G38" i="16"/>
  <c r="H38" i="16"/>
  <c r="E38" i="16"/>
  <c r="E35" i="14"/>
  <c r="G35" i="14"/>
  <c r="H35" i="14"/>
  <c r="F35" i="14"/>
  <c r="D35" i="17"/>
  <c r="C36" i="17" s="1"/>
  <c r="B35" i="17"/>
  <c r="F34" i="17"/>
  <c r="S35" i="13"/>
  <c r="G33" i="13" l="1"/>
  <c r="F33" i="13"/>
  <c r="E33" i="13"/>
  <c r="C36" i="13"/>
  <c r="D36" i="13" s="1"/>
  <c r="B34" i="13"/>
  <c r="R35" i="13"/>
  <c r="O36" i="13"/>
  <c r="P36" i="13"/>
  <c r="Q36" i="13"/>
  <c r="L37" i="13"/>
  <c r="M39" i="13"/>
  <c r="N39" i="13" s="1"/>
  <c r="D40" i="16"/>
  <c r="C41" i="16" s="1"/>
  <c r="B40" i="16"/>
  <c r="E35" i="17"/>
  <c r="E39" i="16"/>
  <c r="G39" i="16"/>
  <c r="H39" i="16"/>
  <c r="F39" i="16"/>
  <c r="F36" i="14"/>
  <c r="G36" i="14"/>
  <c r="H36" i="14"/>
  <c r="E36" i="14"/>
  <c r="B37" i="14"/>
  <c r="D37" i="14"/>
  <c r="C38" i="14" s="1"/>
  <c r="D36" i="17"/>
  <c r="C37" i="17" s="1"/>
  <c r="B36" i="17"/>
  <c r="H30" i="1"/>
  <c r="I29" i="1"/>
  <c r="F35" i="17"/>
  <c r="S36" i="13"/>
  <c r="C37" i="13" l="1"/>
  <c r="D37" i="13" s="1"/>
  <c r="B35" i="13"/>
  <c r="G34" i="13"/>
  <c r="F34" i="13"/>
  <c r="E34" i="13"/>
  <c r="R36" i="13"/>
  <c r="O37" i="13"/>
  <c r="P37" i="13"/>
  <c r="Q37" i="13"/>
  <c r="L38" i="13"/>
  <c r="M40" i="13"/>
  <c r="N40" i="13" s="1"/>
  <c r="B37" i="17"/>
  <c r="D37" i="17"/>
  <c r="C38" i="17" s="1"/>
  <c r="E36" i="17"/>
  <c r="D41" i="16"/>
  <c r="C42" i="16" s="1"/>
  <c r="B41" i="16"/>
  <c r="I30" i="1"/>
  <c r="H31" i="1"/>
  <c r="D38" i="14"/>
  <c r="C39" i="14" s="1"/>
  <c r="B38" i="14"/>
  <c r="H37" i="14"/>
  <c r="F37" i="14"/>
  <c r="E37" i="14"/>
  <c r="G37" i="14"/>
  <c r="E40" i="16"/>
  <c r="F40" i="16"/>
  <c r="H40" i="16"/>
  <c r="G40" i="16"/>
  <c r="F36" i="17"/>
  <c r="S37" i="13"/>
  <c r="F35" i="13" l="1"/>
  <c r="G35" i="13"/>
  <c r="E35" i="13"/>
  <c r="B36" i="13"/>
  <c r="C38" i="13"/>
  <c r="D38" i="13" s="1"/>
  <c r="R37" i="13"/>
  <c r="L39" i="13"/>
  <c r="M41" i="13"/>
  <c r="N41" i="13" s="1"/>
  <c r="O38" i="13"/>
  <c r="Q38" i="13"/>
  <c r="P38" i="13"/>
  <c r="E38" i="14"/>
  <c r="H38" i="14"/>
  <c r="F38" i="14"/>
  <c r="G38" i="14"/>
  <c r="F41" i="16"/>
  <c r="G41" i="16"/>
  <c r="H41" i="16"/>
  <c r="E41" i="16"/>
  <c r="B39" i="14"/>
  <c r="D39" i="14"/>
  <c r="C40" i="14" s="1"/>
  <c r="B42" i="16"/>
  <c r="D42" i="16"/>
  <c r="C43" i="16" s="1"/>
  <c r="E37" i="17"/>
  <c r="B38" i="17"/>
  <c r="D38" i="17"/>
  <c r="C39" i="17" s="1"/>
  <c r="H32" i="1"/>
  <c r="I31" i="1"/>
  <c r="F37" i="17"/>
  <c r="S38" i="13"/>
  <c r="B37" i="13" l="1"/>
  <c r="C39" i="13"/>
  <c r="D39" i="13" s="1"/>
  <c r="G36" i="13"/>
  <c r="F36" i="13"/>
  <c r="E36" i="13"/>
  <c r="R38" i="13"/>
  <c r="M42" i="13"/>
  <c r="N42" i="13" s="1"/>
  <c r="L40" i="13"/>
  <c r="O39" i="13"/>
  <c r="P39" i="13"/>
  <c r="Q39" i="13"/>
  <c r="E38" i="17"/>
  <c r="F39" i="14"/>
  <c r="E39" i="14"/>
  <c r="G39" i="14"/>
  <c r="H39" i="14"/>
  <c r="I32" i="1"/>
  <c r="H33" i="1"/>
  <c r="B43" i="16"/>
  <c r="D43" i="16"/>
  <c r="C44" i="16" s="1"/>
  <c r="F42" i="16"/>
  <c r="G42" i="16"/>
  <c r="H42" i="16"/>
  <c r="E42" i="16"/>
  <c r="B39" i="17"/>
  <c r="D39" i="17"/>
  <c r="C40" i="17" s="1"/>
  <c r="B40" i="14"/>
  <c r="D40" i="14"/>
  <c r="C41" i="14" s="1"/>
  <c r="F38" i="17"/>
  <c r="S39" i="13"/>
  <c r="C40" i="13" l="1"/>
  <c r="D40" i="13" s="1"/>
  <c r="B38" i="13"/>
  <c r="E37" i="13"/>
  <c r="F37" i="13"/>
  <c r="G37" i="13"/>
  <c r="R39" i="13"/>
  <c r="O40" i="13"/>
  <c r="Q40" i="13"/>
  <c r="P40" i="13"/>
  <c r="L41" i="13"/>
  <c r="M43" i="13"/>
  <c r="N43" i="13" s="1"/>
  <c r="B41" i="14"/>
  <c r="D41" i="14"/>
  <c r="C42" i="14" s="1"/>
  <c r="G43" i="16"/>
  <c r="H43" i="16"/>
  <c r="F43" i="16"/>
  <c r="E43" i="16"/>
  <c r="G40" i="14"/>
  <c r="H40" i="14"/>
  <c r="E40" i="14"/>
  <c r="F40" i="14"/>
  <c r="B40" i="17"/>
  <c r="D40" i="17"/>
  <c r="C41" i="17" s="1"/>
  <c r="H34" i="1"/>
  <c r="I33" i="1"/>
  <c r="E39" i="17"/>
  <c r="D44" i="16"/>
  <c r="C45" i="16" s="1"/>
  <c r="B44" i="16"/>
  <c r="F39" i="17"/>
  <c r="S40" i="13"/>
  <c r="E38" i="13" l="1"/>
  <c r="G38" i="13"/>
  <c r="F38" i="13"/>
  <c r="C41" i="13"/>
  <c r="D41" i="13" s="1"/>
  <c r="B39" i="13"/>
  <c r="R40" i="13"/>
  <c r="P41" i="13"/>
  <c r="Q41" i="13"/>
  <c r="O41" i="13"/>
  <c r="R41" i="13" s="1"/>
  <c r="M44" i="13"/>
  <c r="N44" i="13" s="1"/>
  <c r="L42" i="13"/>
  <c r="H35" i="1"/>
  <c r="I34" i="1"/>
  <c r="G41" i="14"/>
  <c r="H41" i="14"/>
  <c r="F41" i="14"/>
  <c r="E41" i="14"/>
  <c r="D45" i="16"/>
  <c r="C46" i="16" s="1"/>
  <c r="B45" i="16"/>
  <c r="D41" i="17"/>
  <c r="C42" i="17" s="1"/>
  <c r="B41" i="17"/>
  <c r="H44" i="16"/>
  <c r="F44" i="16"/>
  <c r="E44" i="16"/>
  <c r="G44" i="16"/>
  <c r="E40" i="17"/>
  <c r="D42" i="14"/>
  <c r="C43" i="14" s="1"/>
  <c r="B42" i="14"/>
  <c r="F40" i="17"/>
  <c r="S41" i="13"/>
  <c r="E39" i="13" l="1"/>
  <c r="F39" i="13"/>
  <c r="G39" i="13"/>
  <c r="B40" i="13"/>
  <c r="C42" i="13"/>
  <c r="D42" i="13" s="1"/>
  <c r="O42" i="13"/>
  <c r="Q42" i="13"/>
  <c r="P42" i="13"/>
  <c r="L43" i="13"/>
  <c r="M45" i="13"/>
  <c r="N45" i="13" s="1"/>
  <c r="I35" i="1"/>
  <c r="H36" i="1"/>
  <c r="G42" i="14"/>
  <c r="E42" i="14"/>
  <c r="H42" i="14"/>
  <c r="F42" i="14"/>
  <c r="B42" i="17"/>
  <c r="D42" i="17"/>
  <c r="C43" i="17" s="1"/>
  <c r="E45" i="16"/>
  <c r="H45" i="16"/>
  <c r="F45" i="16"/>
  <c r="G45" i="16"/>
  <c r="B46" i="16"/>
  <c r="D46" i="16"/>
  <c r="C47" i="16" s="1"/>
  <c r="B43" i="14"/>
  <c r="D43" i="14"/>
  <c r="C44" i="14" s="1"/>
  <c r="E41" i="17"/>
  <c r="F41" i="17"/>
  <c r="S42" i="13"/>
  <c r="H39" i="13"/>
  <c r="J39" i="13"/>
  <c r="B41" i="13" l="1"/>
  <c r="C43" i="13"/>
  <c r="D43" i="13" s="1"/>
  <c r="G40" i="13"/>
  <c r="F40" i="13"/>
  <c r="E40" i="13"/>
  <c r="R42" i="13"/>
  <c r="Q43" i="13"/>
  <c r="P43" i="13"/>
  <c r="O43" i="13"/>
  <c r="L44" i="13"/>
  <c r="M46" i="13"/>
  <c r="N46" i="13" s="1"/>
  <c r="G43" i="14"/>
  <c r="F43" i="14"/>
  <c r="H43" i="14"/>
  <c r="E43" i="14"/>
  <c r="E42" i="17"/>
  <c r="B47" i="16"/>
  <c r="D47" i="16"/>
  <c r="C48" i="16" s="1"/>
  <c r="G46" i="16"/>
  <c r="F46" i="16"/>
  <c r="E46" i="16"/>
  <c r="H46" i="16"/>
  <c r="I36" i="1"/>
  <c r="H37" i="1"/>
  <c r="D44" i="14"/>
  <c r="C45" i="14" s="1"/>
  <c r="B44" i="14"/>
  <c r="D43" i="17"/>
  <c r="C44" i="17" s="1"/>
  <c r="B43" i="17"/>
  <c r="F42" i="17"/>
  <c r="S43" i="13"/>
  <c r="J40" i="13"/>
  <c r="H40" i="13"/>
  <c r="C44" i="13" l="1"/>
  <c r="D44" i="13" s="1"/>
  <c r="B42" i="13"/>
  <c r="E41" i="13"/>
  <c r="G41" i="13"/>
  <c r="F41" i="13"/>
  <c r="R43" i="13"/>
  <c r="O44" i="13"/>
  <c r="Q44" i="13"/>
  <c r="P44" i="13"/>
  <c r="M47" i="13"/>
  <c r="N47" i="13" s="1"/>
  <c r="L45" i="13"/>
  <c r="H38" i="1"/>
  <c r="I37" i="1"/>
  <c r="E43" i="17"/>
  <c r="H47" i="16"/>
  <c r="G47" i="16"/>
  <c r="E47" i="16"/>
  <c r="F47" i="16"/>
  <c r="B44" i="17"/>
  <c r="D44" i="17"/>
  <c r="C45" i="17" s="1"/>
  <c r="F44" i="14"/>
  <c r="G44" i="14"/>
  <c r="E44" i="14"/>
  <c r="H44" i="14"/>
  <c r="B45" i="14"/>
  <c r="D45" i="14"/>
  <c r="C46" i="14" s="1"/>
  <c r="B48" i="16"/>
  <c r="D48" i="16"/>
  <c r="C49" i="16" s="1"/>
  <c r="F43" i="17"/>
  <c r="S44" i="13"/>
  <c r="H41" i="13"/>
  <c r="J41" i="13"/>
  <c r="G42" i="13" l="1"/>
  <c r="F42" i="13"/>
  <c r="E42" i="13"/>
  <c r="C45" i="13"/>
  <c r="D45" i="13" s="1"/>
  <c r="B43" i="13"/>
  <c r="R44" i="13"/>
  <c r="P45" i="13"/>
  <c r="Q45" i="13"/>
  <c r="O45" i="13"/>
  <c r="R45" i="13" s="1"/>
  <c r="M48" i="13"/>
  <c r="N48" i="13" s="1"/>
  <c r="L46" i="13"/>
  <c r="D46" i="14"/>
  <c r="C47" i="14" s="1"/>
  <c r="B46" i="14"/>
  <c r="B49" i="16"/>
  <c r="D49" i="16"/>
  <c r="C50" i="16" s="1"/>
  <c r="F48" i="16"/>
  <c r="E48" i="16"/>
  <c r="H48" i="16"/>
  <c r="G48" i="16"/>
  <c r="E45" i="14"/>
  <c r="G45" i="14"/>
  <c r="H45" i="14"/>
  <c r="F45" i="14"/>
  <c r="B45" i="17"/>
  <c r="D45" i="17"/>
  <c r="C46" i="17" s="1"/>
  <c r="E44" i="17"/>
  <c r="H39" i="1"/>
  <c r="I38" i="1"/>
  <c r="F44" i="17"/>
  <c r="S45" i="13"/>
  <c r="H42" i="13"/>
  <c r="J42" i="13"/>
  <c r="B44" i="13" l="1"/>
  <c r="C46" i="13"/>
  <c r="D46" i="13" s="1"/>
  <c r="G43" i="13"/>
  <c r="F43" i="13"/>
  <c r="E43" i="13"/>
  <c r="M49" i="13"/>
  <c r="N49" i="13" s="1"/>
  <c r="L47" i="13"/>
  <c r="O46" i="13"/>
  <c r="P46" i="13"/>
  <c r="Q46" i="13"/>
  <c r="B46" i="17"/>
  <c r="D46" i="17"/>
  <c r="C47" i="17" s="1"/>
  <c r="B47" i="14"/>
  <c r="D47" i="14"/>
  <c r="C48" i="14" s="1"/>
  <c r="B50" i="16"/>
  <c r="D50" i="16"/>
  <c r="C51" i="16" s="1"/>
  <c r="I39" i="1"/>
  <c r="H40" i="1"/>
  <c r="E49" i="16"/>
  <c r="H49" i="16"/>
  <c r="G49" i="16"/>
  <c r="F49" i="16"/>
  <c r="E45" i="17"/>
  <c r="F46" i="14"/>
  <c r="G46" i="14"/>
  <c r="H46" i="14"/>
  <c r="E46" i="14"/>
  <c r="F45" i="17"/>
  <c r="S46" i="13"/>
  <c r="H43" i="13"/>
  <c r="J43" i="13"/>
  <c r="B45" i="13" l="1"/>
  <c r="C47" i="13"/>
  <c r="D47" i="13" s="1"/>
  <c r="E44" i="13"/>
  <c r="F44" i="13"/>
  <c r="G44" i="13"/>
  <c r="R46" i="13"/>
  <c r="O47" i="13"/>
  <c r="Q47" i="13"/>
  <c r="P47" i="13"/>
  <c r="M50" i="13"/>
  <c r="N50" i="13" s="1"/>
  <c r="L48" i="13"/>
  <c r="G50" i="16"/>
  <c r="F50" i="16"/>
  <c r="E50" i="16"/>
  <c r="H50" i="16"/>
  <c r="B48" i="14"/>
  <c r="D48" i="14"/>
  <c r="C49" i="14" s="1"/>
  <c r="D47" i="17"/>
  <c r="C48" i="17" s="1"/>
  <c r="B47" i="17"/>
  <c r="E47" i="14"/>
  <c r="G47" i="14"/>
  <c r="F47" i="14"/>
  <c r="H47" i="14"/>
  <c r="E46" i="17"/>
  <c r="H41" i="1"/>
  <c r="I40" i="1"/>
  <c r="B51" i="16"/>
  <c r="D51" i="16"/>
  <c r="C52" i="16" s="1"/>
  <c r="F46" i="17"/>
  <c r="S47" i="13"/>
  <c r="H44" i="13"/>
  <c r="J44" i="13"/>
  <c r="C48" i="13" l="1"/>
  <c r="D48" i="13" s="1"/>
  <c r="B46" i="13"/>
  <c r="E45" i="13"/>
  <c r="G45" i="13"/>
  <c r="F45" i="13"/>
  <c r="R47" i="13"/>
  <c r="L49" i="13"/>
  <c r="S49" i="13" s="1"/>
  <c r="M51" i="13"/>
  <c r="N51" i="13" s="1"/>
  <c r="Q48" i="13"/>
  <c r="P48" i="13"/>
  <c r="O48" i="13"/>
  <c r="F51" i="16"/>
  <c r="H51" i="16"/>
  <c r="E51" i="16"/>
  <c r="G51" i="16"/>
  <c r="E48" i="14"/>
  <c r="F48" i="14"/>
  <c r="G48" i="14"/>
  <c r="H48" i="14"/>
  <c r="E47" i="17"/>
  <c r="B48" i="17"/>
  <c r="D48" i="17"/>
  <c r="C49" i="17" s="1"/>
  <c r="B52" i="16"/>
  <c r="D52" i="16"/>
  <c r="C53" i="16" s="1"/>
  <c r="I41" i="1"/>
  <c r="B49" i="14"/>
  <c r="D49" i="14"/>
  <c r="C50" i="14" s="1"/>
  <c r="F47" i="17"/>
  <c r="S48" i="13"/>
  <c r="J45" i="13"/>
  <c r="H45" i="13"/>
  <c r="AB7" i="21"/>
  <c r="AB8" i="21"/>
  <c r="AB6" i="21"/>
  <c r="R48" i="13" l="1"/>
  <c r="E46" i="13"/>
  <c r="G46" i="13"/>
  <c r="F46" i="13"/>
  <c r="C49" i="13"/>
  <c r="D49" i="13" s="1"/>
  <c r="B47" i="13"/>
  <c r="L50" i="13"/>
  <c r="S50" i="13" s="1"/>
  <c r="M52" i="13"/>
  <c r="N52" i="13" s="1"/>
  <c r="P49" i="13"/>
  <c r="Q49" i="13"/>
  <c r="O49" i="13"/>
  <c r="AC6" i="21"/>
  <c r="I19" i="13"/>
  <c r="I20" i="13"/>
  <c r="I21" i="13"/>
  <c r="I22" i="13"/>
  <c r="I23" i="13"/>
  <c r="I24" i="13"/>
  <c r="D32" i="21"/>
  <c r="I39" i="13"/>
  <c r="D33" i="21"/>
  <c r="I40" i="13"/>
  <c r="I41" i="13"/>
  <c r="D34" i="21"/>
  <c r="D35" i="21"/>
  <c r="I42" i="13"/>
  <c r="D36" i="21"/>
  <c r="I43" i="13"/>
  <c r="D37" i="21"/>
  <c r="I44" i="13"/>
  <c r="I45" i="13"/>
  <c r="D38" i="21"/>
  <c r="B53" i="16"/>
  <c r="D53" i="16"/>
  <c r="C54" i="16" s="1"/>
  <c r="G49" i="14"/>
  <c r="F49" i="14"/>
  <c r="H49" i="14"/>
  <c r="E49" i="14"/>
  <c r="H52" i="16"/>
  <c r="F52" i="16"/>
  <c r="G52" i="16"/>
  <c r="E52" i="16"/>
  <c r="E48" i="17"/>
  <c r="B50" i="14"/>
  <c r="D50" i="14"/>
  <c r="C51" i="14" s="1"/>
  <c r="D49" i="17"/>
  <c r="C50" i="17" s="1"/>
  <c r="B49" i="17"/>
  <c r="F49" i="17" s="1"/>
  <c r="K42" i="16"/>
  <c r="K45" i="16"/>
  <c r="L48" i="16"/>
  <c r="K50" i="16"/>
  <c r="L43" i="16"/>
  <c r="K44" i="16"/>
  <c r="L42" i="16"/>
  <c r="L47" i="16"/>
  <c r="L45" i="16"/>
  <c r="L49" i="16"/>
  <c r="K49" i="16"/>
  <c r="K51" i="16"/>
  <c r="L50" i="16"/>
  <c r="L46" i="16"/>
  <c r="K47" i="16"/>
  <c r="K46" i="16"/>
  <c r="K48" i="16"/>
  <c r="L51" i="16"/>
  <c r="K43" i="16"/>
  <c r="L44" i="16"/>
  <c r="F48" i="17"/>
  <c r="H46" i="13"/>
  <c r="J46" i="13"/>
  <c r="L25" i="16"/>
  <c r="L27" i="16"/>
  <c r="L24" i="16"/>
  <c r="L23" i="16"/>
  <c r="K23" i="16"/>
  <c r="K26" i="16"/>
  <c r="K27" i="16"/>
  <c r="L22" i="16"/>
  <c r="K22" i="16"/>
  <c r="L26" i="16"/>
  <c r="K25" i="16"/>
  <c r="K24" i="16"/>
  <c r="D39" i="21" l="1"/>
  <c r="I46" i="13"/>
  <c r="G47" i="13"/>
  <c r="E47" i="13"/>
  <c r="F47" i="13"/>
  <c r="B48" i="13"/>
  <c r="C50" i="13"/>
  <c r="D50" i="13" s="1"/>
  <c r="R49" i="13"/>
  <c r="L51" i="13"/>
  <c r="S51" i="13" s="1"/>
  <c r="M53" i="13"/>
  <c r="N53" i="13" s="1"/>
  <c r="O50" i="13"/>
  <c r="Q50" i="13"/>
  <c r="P50" i="13"/>
  <c r="R50" i="13"/>
  <c r="H50" i="14"/>
  <c r="F50" i="14"/>
  <c r="G50" i="14"/>
  <c r="E50" i="14"/>
  <c r="B54" i="16"/>
  <c r="D54" i="16"/>
  <c r="C55" i="16" s="1"/>
  <c r="AF9" i="21"/>
  <c r="AC7" i="21"/>
  <c r="H53" i="16"/>
  <c r="F53" i="16"/>
  <c r="G53" i="16"/>
  <c r="E53" i="16"/>
  <c r="E49" i="17"/>
  <c r="B50" i="17"/>
  <c r="F50" i="17" s="1"/>
  <c r="D50" i="17"/>
  <c r="C51" i="17" s="1"/>
  <c r="B51" i="14"/>
  <c r="D51" i="14"/>
  <c r="C52" i="14" s="1"/>
  <c r="K52" i="16"/>
  <c r="L52" i="16"/>
  <c r="J47" i="13"/>
  <c r="H47" i="13"/>
  <c r="D40" i="21" l="1"/>
  <c r="I47" i="13"/>
  <c r="B49" i="13"/>
  <c r="C51" i="13"/>
  <c r="D51" i="13" s="1"/>
  <c r="G48" i="13"/>
  <c r="F48" i="13"/>
  <c r="E48" i="13"/>
  <c r="M54" i="13"/>
  <c r="N54" i="13" s="1"/>
  <c r="L52" i="13"/>
  <c r="S52" i="13" s="1"/>
  <c r="P51" i="13"/>
  <c r="O51" i="13"/>
  <c r="R51" i="13" s="1"/>
  <c r="Q51" i="13"/>
  <c r="F51" i="14"/>
  <c r="G51" i="14"/>
  <c r="H51" i="14"/>
  <c r="E51" i="14"/>
  <c r="F54" i="16"/>
  <c r="H54" i="16"/>
  <c r="E54" i="16"/>
  <c r="G54" i="16"/>
  <c r="D51" i="17"/>
  <c r="C52" i="17" s="1"/>
  <c r="B51" i="17"/>
  <c r="F51" i="17" s="1"/>
  <c r="AF10" i="21"/>
  <c r="AC8" i="21"/>
  <c r="E50" i="17"/>
  <c r="D52" i="14"/>
  <c r="C53" i="14" s="1"/>
  <c r="B52" i="14"/>
  <c r="B55" i="16"/>
  <c r="D55" i="16"/>
  <c r="C56" i="16" s="1"/>
  <c r="L53" i="16"/>
  <c r="K53" i="16"/>
  <c r="J48" i="13"/>
  <c r="H48" i="13"/>
  <c r="I48" i="13" l="1"/>
  <c r="C52" i="13"/>
  <c r="D52" i="13" s="1"/>
  <c r="B50" i="13"/>
  <c r="E49" i="13"/>
  <c r="F49" i="13"/>
  <c r="G49" i="13"/>
  <c r="Q52" i="13"/>
  <c r="O52" i="13"/>
  <c r="R52" i="13" s="1"/>
  <c r="P52" i="13"/>
  <c r="L53" i="13"/>
  <c r="S53" i="13" s="1"/>
  <c r="M55" i="13"/>
  <c r="N55" i="13" s="1"/>
  <c r="E51" i="17"/>
  <c r="G52" i="14"/>
  <c r="E52" i="14"/>
  <c r="H52" i="14"/>
  <c r="F52" i="14"/>
  <c r="B53" i="14"/>
  <c r="D53" i="14"/>
  <c r="C54" i="14" s="1"/>
  <c r="D52" i="17"/>
  <c r="C53" i="17" s="1"/>
  <c r="B52" i="17"/>
  <c r="F52" i="17" s="1"/>
  <c r="B56" i="16"/>
  <c r="D56" i="16"/>
  <c r="C57" i="16" s="1"/>
  <c r="AF11" i="21"/>
  <c r="E55" i="16"/>
  <c r="F55" i="16"/>
  <c r="G55" i="16"/>
  <c r="H55" i="16"/>
  <c r="K54" i="16"/>
  <c r="L54" i="16"/>
  <c r="J49" i="13"/>
  <c r="H49" i="13"/>
  <c r="I49" i="13" l="1"/>
  <c r="E50" i="13"/>
  <c r="G50" i="13"/>
  <c r="F50" i="13"/>
  <c r="C53" i="13"/>
  <c r="D53" i="13" s="1"/>
  <c r="B51" i="13"/>
  <c r="L54" i="13"/>
  <c r="S54" i="13" s="1"/>
  <c r="M56" i="13"/>
  <c r="N56" i="13" s="1"/>
  <c r="Q53" i="13"/>
  <c r="P53" i="13"/>
  <c r="O53" i="13"/>
  <c r="R53" i="13" s="1"/>
  <c r="B57" i="16"/>
  <c r="D57" i="16"/>
  <c r="C58" i="16" s="1"/>
  <c r="E52" i="17"/>
  <c r="B54" i="14"/>
  <c r="D54" i="14"/>
  <c r="C55" i="14" s="1"/>
  <c r="D53" i="17"/>
  <c r="C54" i="17" s="1"/>
  <c r="B53" i="17"/>
  <c r="F53" i="17" s="1"/>
  <c r="G53" i="14"/>
  <c r="E53" i="14"/>
  <c r="F53" i="14"/>
  <c r="H53" i="14"/>
  <c r="F56" i="16"/>
  <c r="H56" i="16"/>
  <c r="E56" i="16"/>
  <c r="G56" i="16"/>
  <c r="L55" i="16"/>
  <c r="K55" i="16"/>
  <c r="J50" i="13"/>
  <c r="H50" i="13"/>
  <c r="I50" i="13" l="1"/>
  <c r="E51" i="13"/>
  <c r="G51" i="13"/>
  <c r="F51" i="13"/>
  <c r="B52" i="13"/>
  <c r="C54" i="13"/>
  <c r="D54" i="13" s="1"/>
  <c r="L55" i="13"/>
  <c r="S55" i="13" s="1"/>
  <c r="M57" i="13"/>
  <c r="N57" i="13" s="1"/>
  <c r="Q54" i="13"/>
  <c r="O54" i="13"/>
  <c r="R54" i="13" s="1"/>
  <c r="P54" i="13"/>
  <c r="B54" i="17"/>
  <c r="F54" i="17" s="1"/>
  <c r="D54" i="17"/>
  <c r="C55" i="17" s="1"/>
  <c r="B55" i="14"/>
  <c r="D55" i="14"/>
  <c r="C56" i="14" s="1"/>
  <c r="E53" i="17"/>
  <c r="E54" i="14"/>
  <c r="F54" i="14"/>
  <c r="H54" i="14"/>
  <c r="G54" i="14"/>
  <c r="B58" i="16"/>
  <c r="D58" i="16"/>
  <c r="C59" i="16" s="1"/>
  <c r="H57" i="16"/>
  <c r="E57" i="16"/>
  <c r="F57" i="16"/>
  <c r="G57" i="16"/>
  <c r="K56" i="16"/>
  <c r="L56" i="16"/>
  <c r="H51" i="13"/>
  <c r="J51" i="13"/>
  <c r="I51" i="13" l="1"/>
  <c r="F52" i="13"/>
  <c r="G52" i="13"/>
  <c r="E52" i="13"/>
  <c r="B53" i="13"/>
  <c r="C55" i="13"/>
  <c r="D55" i="13" s="1"/>
  <c r="L56" i="13"/>
  <c r="S56" i="13" s="1"/>
  <c r="M58" i="13"/>
  <c r="N58" i="13" s="1"/>
  <c r="Q55" i="13"/>
  <c r="O55" i="13"/>
  <c r="R55" i="13" s="1"/>
  <c r="P55" i="13"/>
  <c r="D56" i="14"/>
  <c r="C57" i="14" s="1"/>
  <c r="B56" i="14"/>
  <c r="E55" i="14"/>
  <c r="F55" i="14"/>
  <c r="G55" i="14"/>
  <c r="H55" i="14"/>
  <c r="E54" i="17"/>
  <c r="B59" i="16"/>
  <c r="D59" i="16"/>
  <c r="C60" i="16" s="1"/>
  <c r="F58" i="16"/>
  <c r="H58" i="16"/>
  <c r="E58" i="16"/>
  <c r="G58" i="16"/>
  <c r="D55" i="17"/>
  <c r="C56" i="17" s="1"/>
  <c r="B55" i="17"/>
  <c r="F55" i="17" s="1"/>
  <c r="L57" i="16"/>
  <c r="K57" i="16"/>
  <c r="H52" i="13"/>
  <c r="J52" i="13"/>
  <c r="I52" i="13" l="1"/>
  <c r="F53" i="13"/>
  <c r="E53" i="13"/>
  <c r="G53" i="13"/>
  <c r="B54" i="13"/>
  <c r="C56" i="13"/>
  <c r="D56" i="13" s="1"/>
  <c r="L57" i="13"/>
  <c r="S57" i="13" s="1"/>
  <c r="M59" i="13"/>
  <c r="N59" i="13" s="1"/>
  <c r="Q56" i="13"/>
  <c r="O56" i="13"/>
  <c r="P56" i="13"/>
  <c r="E55" i="17"/>
  <c r="H56" i="14"/>
  <c r="G56" i="14"/>
  <c r="F56" i="14"/>
  <c r="E56" i="14"/>
  <c r="B56" i="17"/>
  <c r="F56" i="17" s="1"/>
  <c r="D56" i="17"/>
  <c r="C57" i="17" s="1"/>
  <c r="F59" i="16"/>
  <c r="G59" i="16"/>
  <c r="H59" i="16"/>
  <c r="E59" i="16"/>
  <c r="B57" i="14"/>
  <c r="D57" i="14"/>
  <c r="C58" i="14" s="1"/>
  <c r="B60" i="16"/>
  <c r="D60" i="16"/>
  <c r="C61" i="16" s="1"/>
  <c r="K58" i="16"/>
  <c r="L58" i="16"/>
  <c r="J53" i="13"/>
  <c r="H53" i="13"/>
  <c r="I53" i="13" l="1"/>
  <c r="B55" i="13"/>
  <c r="C57" i="13"/>
  <c r="D57" i="13" s="1"/>
  <c r="F54" i="13"/>
  <c r="E54" i="13"/>
  <c r="G54" i="13"/>
  <c r="R56" i="13"/>
  <c r="L58" i="13"/>
  <c r="S58" i="13" s="1"/>
  <c r="M60" i="13"/>
  <c r="N60" i="13" s="1"/>
  <c r="Q57" i="13"/>
  <c r="O57" i="13"/>
  <c r="R57" i="13" s="1"/>
  <c r="P57" i="13"/>
  <c r="D61" i="16"/>
  <c r="C62" i="16" s="1"/>
  <c r="B61" i="16"/>
  <c r="H60" i="16"/>
  <c r="G60" i="16"/>
  <c r="E60" i="16"/>
  <c r="F60" i="16"/>
  <c r="B58" i="14"/>
  <c r="D58" i="14"/>
  <c r="C59" i="14" s="1"/>
  <c r="D57" i="17"/>
  <c r="C58" i="17" s="1"/>
  <c r="B57" i="17"/>
  <c r="F57" i="17" s="1"/>
  <c r="E57" i="14"/>
  <c r="H57" i="14"/>
  <c r="F57" i="14"/>
  <c r="G57" i="14"/>
  <c r="E56" i="17"/>
  <c r="L59" i="16"/>
  <c r="K59" i="16"/>
  <c r="J54" i="13"/>
  <c r="H54" i="13"/>
  <c r="I54" i="13" l="1"/>
  <c r="C58" i="13"/>
  <c r="D58" i="13" s="1"/>
  <c r="B56" i="13"/>
  <c r="F55" i="13"/>
  <c r="E55" i="13"/>
  <c r="G55" i="13"/>
  <c r="L59" i="13"/>
  <c r="S59" i="13" s="1"/>
  <c r="M61" i="13"/>
  <c r="N61" i="13" s="1"/>
  <c r="O58" i="13"/>
  <c r="Q58" i="13"/>
  <c r="P58" i="13"/>
  <c r="H58" i="14"/>
  <c r="F58" i="14"/>
  <c r="E58" i="14"/>
  <c r="G58" i="14"/>
  <c r="E61" i="16"/>
  <c r="G61" i="16"/>
  <c r="F61" i="16"/>
  <c r="H61" i="16"/>
  <c r="E57" i="17"/>
  <c r="D62" i="16"/>
  <c r="C63" i="16" s="1"/>
  <c r="B62" i="16"/>
  <c r="B58" i="17"/>
  <c r="F58" i="17" s="1"/>
  <c r="D58" i="17"/>
  <c r="C59" i="17" s="1"/>
  <c r="D59" i="14"/>
  <c r="C60" i="14" s="1"/>
  <c r="B59" i="14"/>
  <c r="L60" i="16"/>
  <c r="K60" i="16"/>
  <c r="H55" i="13"/>
  <c r="J55" i="13"/>
  <c r="I55" i="13" l="1"/>
  <c r="E56" i="13"/>
  <c r="F56" i="13"/>
  <c r="G56" i="13"/>
  <c r="C59" i="13"/>
  <c r="D59" i="13" s="1"/>
  <c r="B57" i="13"/>
  <c r="R58" i="13"/>
  <c r="L60" i="13"/>
  <c r="S60" i="13" s="1"/>
  <c r="M62" i="13"/>
  <c r="N62" i="13" s="1"/>
  <c r="O59" i="13"/>
  <c r="P59" i="13"/>
  <c r="Q59" i="13"/>
  <c r="G59" i="14"/>
  <c r="E59" i="14"/>
  <c r="F59" i="14"/>
  <c r="H59" i="14"/>
  <c r="H62" i="16"/>
  <c r="F62" i="16"/>
  <c r="G62" i="16"/>
  <c r="E62" i="16"/>
  <c r="D60" i="14"/>
  <c r="C61" i="14" s="1"/>
  <c r="B60" i="14"/>
  <c r="B63" i="16"/>
  <c r="D63" i="16"/>
  <c r="C64" i="16" s="1"/>
  <c r="D59" i="17"/>
  <c r="C60" i="17" s="1"/>
  <c r="B59" i="17"/>
  <c r="F59" i="17" s="1"/>
  <c r="E58" i="17"/>
  <c r="K61" i="16"/>
  <c r="L61" i="16"/>
  <c r="H56" i="13"/>
  <c r="J56" i="13"/>
  <c r="I56" i="13" l="1"/>
  <c r="G57" i="13"/>
  <c r="E57" i="13"/>
  <c r="F57" i="13"/>
  <c r="B58" i="13"/>
  <c r="C60" i="13"/>
  <c r="D60" i="13" s="1"/>
  <c r="R59" i="13"/>
  <c r="L61" i="13"/>
  <c r="S61" i="13" s="1"/>
  <c r="M63" i="13"/>
  <c r="N63" i="13" s="1"/>
  <c r="Q60" i="13"/>
  <c r="P60" i="13"/>
  <c r="O60" i="13"/>
  <c r="R60" i="13" s="1"/>
  <c r="G60" i="14"/>
  <c r="E60" i="14"/>
  <c r="H60" i="14"/>
  <c r="F60" i="14"/>
  <c r="E59" i="17"/>
  <c r="D60" i="17"/>
  <c r="C61" i="17" s="1"/>
  <c r="B60" i="17"/>
  <c r="F60" i="17" s="1"/>
  <c r="B64" i="16"/>
  <c r="D64" i="16"/>
  <c r="C65" i="16" s="1"/>
  <c r="E63" i="16"/>
  <c r="H63" i="16"/>
  <c r="G63" i="16"/>
  <c r="F63" i="16"/>
  <c r="D61" i="14"/>
  <c r="C62" i="14" s="1"/>
  <c r="B61" i="14"/>
  <c r="L62" i="16"/>
  <c r="K62" i="16"/>
  <c r="H57" i="13"/>
  <c r="J57" i="13"/>
  <c r="I57" i="13" l="1"/>
  <c r="C61" i="13"/>
  <c r="D61" i="13" s="1"/>
  <c r="B59" i="13"/>
  <c r="E58" i="13"/>
  <c r="F58" i="13"/>
  <c r="G58" i="13"/>
  <c r="L62" i="13"/>
  <c r="S62" i="13" s="1"/>
  <c r="M64" i="13"/>
  <c r="N64" i="13" s="1"/>
  <c r="O61" i="13"/>
  <c r="Q61" i="13"/>
  <c r="P61" i="13"/>
  <c r="R61" i="13" s="1"/>
  <c r="E61" i="14"/>
  <c r="G61" i="14"/>
  <c r="H61" i="14"/>
  <c r="F61" i="14"/>
  <c r="B62" i="14"/>
  <c r="D62" i="14"/>
  <c r="C63" i="14" s="1"/>
  <c r="B65" i="16"/>
  <c r="D65" i="16"/>
  <c r="C66" i="16" s="1"/>
  <c r="E64" i="16"/>
  <c r="H64" i="16"/>
  <c r="G64" i="16"/>
  <c r="F64" i="16"/>
  <c r="E60" i="17"/>
  <c r="D61" i="17"/>
  <c r="C62" i="17" s="1"/>
  <c r="B61" i="17"/>
  <c r="F61" i="17" s="1"/>
  <c r="K63" i="16"/>
  <c r="L63" i="16"/>
  <c r="J58" i="13"/>
  <c r="H58" i="13"/>
  <c r="I58" i="13" l="1"/>
  <c r="G59" i="13"/>
  <c r="E59" i="13"/>
  <c r="F59" i="13"/>
  <c r="B60" i="13"/>
  <c r="C62" i="13"/>
  <c r="D62" i="13" s="1"/>
  <c r="M65" i="13"/>
  <c r="N65" i="13" s="1"/>
  <c r="L63" i="13"/>
  <c r="S63" i="13" s="1"/>
  <c r="O62" i="13"/>
  <c r="R62" i="13" s="1"/>
  <c r="Q62" i="13"/>
  <c r="P62" i="13"/>
  <c r="D63" i="14"/>
  <c r="C64" i="14" s="1"/>
  <c r="B63" i="14"/>
  <c r="E62" i="14"/>
  <c r="H62" i="14"/>
  <c r="F62" i="14"/>
  <c r="G62" i="14"/>
  <c r="B62" i="17"/>
  <c r="F62" i="17" s="1"/>
  <c r="D62" i="17"/>
  <c r="C63" i="17" s="1"/>
  <c r="D66" i="16"/>
  <c r="C67" i="16" s="1"/>
  <c r="B66" i="16"/>
  <c r="F65" i="16"/>
  <c r="E65" i="16"/>
  <c r="H65" i="16"/>
  <c r="G65" i="16"/>
  <c r="E61" i="17"/>
  <c r="K64" i="16"/>
  <c r="L64" i="16"/>
  <c r="H59" i="13"/>
  <c r="J59" i="13"/>
  <c r="I59" i="13" l="1"/>
  <c r="C63" i="13"/>
  <c r="D63" i="13" s="1"/>
  <c r="B61" i="13"/>
  <c r="G60" i="13"/>
  <c r="F60" i="13"/>
  <c r="E60" i="13"/>
  <c r="P63" i="13"/>
  <c r="O63" i="13"/>
  <c r="Q63" i="13"/>
  <c r="R63" i="13" s="1"/>
  <c r="M66" i="13"/>
  <c r="N66" i="13" s="1"/>
  <c r="L64" i="13"/>
  <c r="S64" i="13" s="1"/>
  <c r="D64" i="14"/>
  <c r="C65" i="14" s="1"/>
  <c r="B64" i="14"/>
  <c r="F66" i="16"/>
  <c r="H66" i="16"/>
  <c r="E66" i="16"/>
  <c r="G66" i="16"/>
  <c r="E62" i="17"/>
  <c r="B67" i="16"/>
  <c r="D67" i="16"/>
  <c r="C68" i="16" s="1"/>
  <c r="F63" i="14"/>
  <c r="G63" i="14"/>
  <c r="H63" i="14"/>
  <c r="E63" i="14"/>
  <c r="D63" i="17"/>
  <c r="C64" i="17" s="1"/>
  <c r="B63" i="17"/>
  <c r="F63" i="17" s="1"/>
  <c r="L65" i="16"/>
  <c r="K65" i="16"/>
  <c r="J60" i="13"/>
  <c r="H60" i="13"/>
  <c r="I60" i="13" l="1"/>
  <c r="F61" i="13"/>
  <c r="E61" i="13"/>
  <c r="G61" i="13"/>
  <c r="B62" i="13"/>
  <c r="C64" i="13"/>
  <c r="D64" i="13" s="1"/>
  <c r="L65" i="13"/>
  <c r="S65" i="13" s="1"/>
  <c r="M67" i="13"/>
  <c r="N67" i="13" s="1"/>
  <c r="O64" i="13"/>
  <c r="Q64" i="13"/>
  <c r="P64" i="13"/>
  <c r="E63" i="17"/>
  <c r="D68" i="16"/>
  <c r="C69" i="16" s="1"/>
  <c r="B68" i="16"/>
  <c r="H64" i="14"/>
  <c r="E64" i="14"/>
  <c r="G64" i="14"/>
  <c r="F64" i="14"/>
  <c r="B64" i="17"/>
  <c r="F64" i="17" s="1"/>
  <c r="D64" i="17"/>
  <c r="C65" i="17" s="1"/>
  <c r="G67" i="16"/>
  <c r="F67" i="16"/>
  <c r="E67" i="16"/>
  <c r="H67" i="16"/>
  <c r="D65" i="14"/>
  <c r="C66" i="14" s="1"/>
  <c r="B65" i="14"/>
  <c r="K66" i="16"/>
  <c r="L66" i="16"/>
  <c r="H61" i="13"/>
  <c r="J61" i="13"/>
  <c r="I61" i="13" l="1"/>
  <c r="G62" i="13"/>
  <c r="E62" i="13"/>
  <c r="F62" i="13"/>
  <c r="B63" i="13"/>
  <c r="C65" i="13"/>
  <c r="D65" i="13" s="1"/>
  <c r="R64" i="13"/>
  <c r="M68" i="13"/>
  <c r="N68" i="13" s="1"/>
  <c r="L66" i="13"/>
  <c r="S66" i="13" s="1"/>
  <c r="P65" i="13"/>
  <c r="Q65" i="13"/>
  <c r="O65" i="13"/>
  <c r="H65" i="14"/>
  <c r="F65" i="14"/>
  <c r="G65" i="14"/>
  <c r="E65" i="14"/>
  <c r="B69" i="16"/>
  <c r="D69" i="16"/>
  <c r="C70" i="16" s="1"/>
  <c r="B66" i="14"/>
  <c r="D66" i="14"/>
  <c r="C67" i="14" s="1"/>
  <c r="B65" i="17"/>
  <c r="F65" i="17" s="1"/>
  <c r="D65" i="17"/>
  <c r="C66" i="17" s="1"/>
  <c r="E64" i="17"/>
  <c r="G68" i="16"/>
  <c r="E68" i="16"/>
  <c r="F68" i="16"/>
  <c r="H68" i="16"/>
  <c r="K67" i="16"/>
  <c r="L67" i="16"/>
  <c r="J62" i="13"/>
  <c r="H62" i="13"/>
  <c r="I62" i="13" l="1"/>
  <c r="F63" i="13"/>
  <c r="E63" i="13"/>
  <c r="G63" i="13"/>
  <c r="B64" i="13"/>
  <c r="C66" i="13"/>
  <c r="D66" i="13" s="1"/>
  <c r="R65" i="13"/>
  <c r="P66" i="13"/>
  <c r="O66" i="13"/>
  <c r="Q66" i="13"/>
  <c r="L67" i="13"/>
  <c r="S67" i="13" s="1"/>
  <c r="M69" i="13"/>
  <c r="N69" i="13" s="1"/>
  <c r="G69" i="16"/>
  <c r="F69" i="16"/>
  <c r="H69" i="16"/>
  <c r="E69" i="16"/>
  <c r="D67" i="14"/>
  <c r="C68" i="14" s="1"/>
  <c r="B67" i="14"/>
  <c r="E65" i="17"/>
  <c r="E66" i="14"/>
  <c r="G66" i="14"/>
  <c r="H66" i="14"/>
  <c r="F66" i="14"/>
  <c r="B70" i="16"/>
  <c r="D70" i="16"/>
  <c r="C71" i="16" s="1"/>
  <c r="B66" i="17"/>
  <c r="F66" i="17" s="1"/>
  <c r="D66" i="17"/>
  <c r="C67" i="17" s="1"/>
  <c r="K68" i="16"/>
  <c r="L68" i="16"/>
  <c r="J63" i="13"/>
  <c r="H63" i="13"/>
  <c r="I63" i="13" l="1"/>
  <c r="E64" i="13"/>
  <c r="G64" i="13"/>
  <c r="F64" i="13"/>
  <c r="B65" i="13"/>
  <c r="C67" i="13"/>
  <c r="D67" i="13" s="1"/>
  <c r="R66" i="13"/>
  <c r="O67" i="13"/>
  <c r="P67" i="13"/>
  <c r="Q67" i="13"/>
  <c r="L68" i="13"/>
  <c r="S68" i="13" s="1"/>
  <c r="M70" i="13"/>
  <c r="N70" i="13" s="1"/>
  <c r="E66" i="17"/>
  <c r="E70" i="16"/>
  <c r="H70" i="16"/>
  <c r="F70" i="16"/>
  <c r="G70" i="16"/>
  <c r="E67" i="14"/>
  <c r="H67" i="14"/>
  <c r="G67" i="14"/>
  <c r="F67" i="14"/>
  <c r="D68" i="14"/>
  <c r="C69" i="14" s="1"/>
  <c r="B68" i="14"/>
  <c r="B67" i="17"/>
  <c r="F67" i="17" s="1"/>
  <c r="D67" i="17"/>
  <c r="C68" i="17" s="1"/>
  <c r="B71" i="16"/>
  <c r="D71" i="16"/>
  <c r="C72" i="16" s="1"/>
  <c r="K69" i="16"/>
  <c r="L69" i="16"/>
  <c r="J64" i="13"/>
  <c r="H64" i="13"/>
  <c r="I64" i="13" l="1"/>
  <c r="E65" i="13"/>
  <c r="F65" i="13"/>
  <c r="G65" i="13"/>
  <c r="C68" i="13"/>
  <c r="D68" i="13" s="1"/>
  <c r="B66" i="13"/>
  <c r="R67" i="13"/>
  <c r="Q68" i="13"/>
  <c r="P68" i="13"/>
  <c r="O68" i="13"/>
  <c r="R68" i="13" s="1"/>
  <c r="L69" i="13"/>
  <c r="S69" i="13" s="1"/>
  <c r="M71" i="13"/>
  <c r="N71" i="13" s="1"/>
  <c r="E68" i="14"/>
  <c r="F68" i="14"/>
  <c r="G68" i="14"/>
  <c r="H68" i="14"/>
  <c r="B68" i="17"/>
  <c r="F68" i="17" s="1"/>
  <c r="D68" i="17"/>
  <c r="C69" i="17" s="1"/>
  <c r="E67" i="17"/>
  <c r="B72" i="16"/>
  <c r="D72" i="16"/>
  <c r="C73" i="16" s="1"/>
  <c r="E71" i="16"/>
  <c r="F71" i="16"/>
  <c r="G71" i="16"/>
  <c r="H71" i="16"/>
  <c r="B69" i="14"/>
  <c r="D69" i="14"/>
  <c r="C70" i="14" s="1"/>
  <c r="K70" i="16"/>
  <c r="L70" i="16"/>
  <c r="J65" i="13"/>
  <c r="H65" i="13"/>
  <c r="I65" i="13" l="1"/>
  <c r="G66" i="13"/>
  <c r="E66" i="13"/>
  <c r="F66" i="13"/>
  <c r="B67" i="13"/>
  <c r="C69" i="13"/>
  <c r="D69" i="13" s="1"/>
  <c r="M72" i="13"/>
  <c r="N72" i="13" s="1"/>
  <c r="L70" i="13"/>
  <c r="S70" i="13" s="1"/>
  <c r="Q69" i="13"/>
  <c r="P69" i="13"/>
  <c r="O69" i="13"/>
  <c r="R69" i="13" s="1"/>
  <c r="F69" i="14"/>
  <c r="E69" i="14"/>
  <c r="G69" i="14"/>
  <c r="H69" i="14"/>
  <c r="B69" i="17"/>
  <c r="F69" i="17" s="1"/>
  <c r="D69" i="17"/>
  <c r="C70" i="17" s="1"/>
  <c r="B70" i="14"/>
  <c r="D70" i="14"/>
  <c r="C71" i="14" s="1"/>
  <c r="B73" i="16"/>
  <c r="D73" i="16"/>
  <c r="C74" i="16" s="1"/>
  <c r="E68" i="17"/>
  <c r="E72" i="16"/>
  <c r="F72" i="16"/>
  <c r="G72" i="16"/>
  <c r="H72" i="16"/>
  <c r="L71" i="16"/>
  <c r="K71" i="16"/>
  <c r="J66" i="13"/>
  <c r="H66" i="13"/>
  <c r="I66" i="13" l="1"/>
  <c r="F67" i="13"/>
  <c r="E67" i="13"/>
  <c r="G67" i="13"/>
  <c r="C70" i="13"/>
  <c r="D70" i="13" s="1"/>
  <c r="B68" i="13"/>
  <c r="P70" i="13"/>
  <c r="O70" i="13"/>
  <c r="Q70" i="13"/>
  <c r="L71" i="13"/>
  <c r="S71" i="13" s="1"/>
  <c r="M73" i="13"/>
  <c r="N73" i="13" s="1"/>
  <c r="E73" i="16"/>
  <c r="F73" i="16"/>
  <c r="G73" i="16"/>
  <c r="H73" i="16"/>
  <c r="E69" i="17"/>
  <c r="D71" i="14"/>
  <c r="C72" i="14" s="1"/>
  <c r="B71" i="14"/>
  <c r="E70" i="14"/>
  <c r="G70" i="14"/>
  <c r="H70" i="14"/>
  <c r="F70" i="14"/>
  <c r="B70" i="17"/>
  <c r="F70" i="17" s="1"/>
  <c r="D70" i="17"/>
  <c r="C71" i="17" s="1"/>
  <c r="B74" i="16"/>
  <c r="D74" i="16"/>
  <c r="C75" i="16" s="1"/>
  <c r="K72" i="16"/>
  <c r="L72" i="16"/>
  <c r="J67" i="13"/>
  <c r="H67" i="13"/>
  <c r="I67" i="13" l="1"/>
  <c r="B69" i="13"/>
  <c r="C71" i="13"/>
  <c r="D71" i="13" s="1"/>
  <c r="E68" i="13"/>
  <c r="G68" i="13"/>
  <c r="F68" i="13"/>
  <c r="R70" i="13"/>
  <c r="O71" i="13"/>
  <c r="P71" i="13"/>
  <c r="Q71" i="13"/>
  <c r="M74" i="13"/>
  <c r="N74" i="13" s="1"/>
  <c r="L72" i="13"/>
  <c r="S72" i="13" s="1"/>
  <c r="B71" i="17"/>
  <c r="F71" i="17" s="1"/>
  <c r="D71" i="17"/>
  <c r="C72" i="17" s="1"/>
  <c r="E71" i="14"/>
  <c r="G71" i="14"/>
  <c r="H71" i="14"/>
  <c r="F71" i="14"/>
  <c r="E70" i="17"/>
  <c r="D72" i="14"/>
  <c r="C73" i="14" s="1"/>
  <c r="B72" i="14"/>
  <c r="B75" i="16"/>
  <c r="D75" i="16"/>
  <c r="C76" i="16" s="1"/>
  <c r="F74" i="16"/>
  <c r="G74" i="16"/>
  <c r="H74" i="16"/>
  <c r="E74" i="16"/>
  <c r="L73" i="16"/>
  <c r="K73" i="16"/>
  <c r="H68" i="13"/>
  <c r="J68" i="13"/>
  <c r="I68" i="13" l="1"/>
  <c r="B70" i="13"/>
  <c r="C72" i="13"/>
  <c r="D72" i="13" s="1"/>
  <c r="E69" i="13"/>
  <c r="G69" i="13"/>
  <c r="F69" i="13"/>
  <c r="R71" i="13"/>
  <c r="M75" i="13"/>
  <c r="N75" i="13" s="1"/>
  <c r="L73" i="13"/>
  <c r="S73" i="13" s="1"/>
  <c r="P72" i="13"/>
  <c r="O72" i="13"/>
  <c r="Q72" i="13"/>
  <c r="B72" i="17"/>
  <c r="F72" i="17" s="1"/>
  <c r="D72" i="17"/>
  <c r="C73" i="17" s="1"/>
  <c r="E72" i="14"/>
  <c r="H72" i="14"/>
  <c r="G72" i="14"/>
  <c r="F72" i="14"/>
  <c r="E71" i="17"/>
  <c r="H75" i="16"/>
  <c r="E75" i="16"/>
  <c r="F75" i="16"/>
  <c r="G75" i="16"/>
  <c r="B73" i="14"/>
  <c r="D73" i="14"/>
  <c r="C74" i="14" s="1"/>
  <c r="B76" i="16"/>
  <c r="D76" i="16"/>
  <c r="C77" i="16" s="1"/>
  <c r="L74" i="16"/>
  <c r="K74" i="16"/>
  <c r="J69" i="13"/>
  <c r="H69" i="13"/>
  <c r="I69" i="13" l="1"/>
  <c r="B71" i="13"/>
  <c r="C73" i="13"/>
  <c r="D73" i="13" s="1"/>
  <c r="G70" i="13"/>
  <c r="F70" i="13"/>
  <c r="E70" i="13"/>
  <c r="R72" i="13"/>
  <c r="P73" i="13"/>
  <c r="O73" i="13"/>
  <c r="Q73" i="13"/>
  <c r="M76" i="13"/>
  <c r="N76" i="13" s="1"/>
  <c r="L74" i="13"/>
  <c r="S74" i="13" s="1"/>
  <c r="B74" i="14"/>
  <c r="D74" i="14"/>
  <c r="C75" i="14" s="1"/>
  <c r="F76" i="16"/>
  <c r="G76" i="16"/>
  <c r="H76" i="16"/>
  <c r="E76" i="16"/>
  <c r="G73" i="14"/>
  <c r="H73" i="14"/>
  <c r="E73" i="14"/>
  <c r="F73" i="14"/>
  <c r="D73" i="17"/>
  <c r="C74" i="17" s="1"/>
  <c r="B73" i="17"/>
  <c r="F73" i="17" s="1"/>
  <c r="E72" i="17"/>
  <c r="B77" i="16"/>
  <c r="D77" i="16"/>
  <c r="C78" i="16" s="1"/>
  <c r="L75" i="16"/>
  <c r="K75" i="16"/>
  <c r="H70" i="13"/>
  <c r="J70" i="13"/>
  <c r="I70" i="13" l="1"/>
  <c r="C74" i="13"/>
  <c r="D74" i="13" s="1"/>
  <c r="B72" i="13"/>
  <c r="E71" i="13"/>
  <c r="G71" i="13"/>
  <c r="F71" i="13"/>
  <c r="R73" i="13"/>
  <c r="M77" i="13"/>
  <c r="N77" i="13" s="1"/>
  <c r="L75" i="13"/>
  <c r="S75" i="13" s="1"/>
  <c r="O74" i="13"/>
  <c r="P74" i="13"/>
  <c r="Q74" i="13"/>
  <c r="R74" i="13"/>
  <c r="D75" i="14"/>
  <c r="C76" i="14" s="1"/>
  <c r="B75" i="14"/>
  <c r="E77" i="16"/>
  <c r="F77" i="16"/>
  <c r="G77" i="16"/>
  <c r="H77" i="16"/>
  <c r="F74" i="14"/>
  <c r="H74" i="14"/>
  <c r="E74" i="14"/>
  <c r="G74" i="14"/>
  <c r="E73" i="17"/>
  <c r="B74" i="17"/>
  <c r="F74" i="17" s="1"/>
  <c r="D74" i="17"/>
  <c r="C75" i="17" s="1"/>
  <c r="B78" i="16"/>
  <c r="D78" i="16"/>
  <c r="C79" i="16" s="1"/>
  <c r="K76" i="16"/>
  <c r="L76" i="16"/>
  <c r="J71" i="13"/>
  <c r="H71" i="13"/>
  <c r="I71" i="13" l="1"/>
  <c r="F72" i="13"/>
  <c r="G72" i="13"/>
  <c r="E72" i="13"/>
  <c r="C75" i="13"/>
  <c r="D75" i="13" s="1"/>
  <c r="B73" i="13"/>
  <c r="P75" i="13"/>
  <c r="O75" i="13"/>
  <c r="Q75" i="13"/>
  <c r="L76" i="13"/>
  <c r="S76" i="13" s="1"/>
  <c r="M78" i="13"/>
  <c r="N78" i="13" s="1"/>
  <c r="B79" i="16"/>
  <c r="D79" i="16"/>
  <c r="C80" i="16" s="1"/>
  <c r="H78" i="16"/>
  <c r="E78" i="16"/>
  <c r="F78" i="16"/>
  <c r="G78" i="16"/>
  <c r="D75" i="17"/>
  <c r="C76" i="17" s="1"/>
  <c r="B75" i="17"/>
  <c r="F75" i="17" s="1"/>
  <c r="E74" i="17"/>
  <c r="F75" i="14"/>
  <c r="H75" i="14"/>
  <c r="G75" i="14"/>
  <c r="E75" i="14"/>
  <c r="D76" i="14"/>
  <c r="C77" i="14" s="1"/>
  <c r="B76" i="14"/>
  <c r="L77" i="16"/>
  <c r="K77" i="16"/>
  <c r="H72" i="13"/>
  <c r="J72" i="13"/>
  <c r="I72" i="13" l="1"/>
  <c r="G73" i="13"/>
  <c r="E73" i="13"/>
  <c r="F73" i="13"/>
  <c r="C76" i="13"/>
  <c r="D76" i="13" s="1"/>
  <c r="B74" i="13"/>
  <c r="R75" i="13"/>
  <c r="P76" i="13"/>
  <c r="Q76" i="13"/>
  <c r="O76" i="13"/>
  <c r="R76" i="13" s="1"/>
  <c r="L77" i="13"/>
  <c r="S77" i="13" s="1"/>
  <c r="M79" i="13"/>
  <c r="N79" i="13" s="1"/>
  <c r="B77" i="14"/>
  <c r="D77" i="14"/>
  <c r="C78" i="14" s="1"/>
  <c r="B76" i="17"/>
  <c r="F76" i="17" s="1"/>
  <c r="D76" i="17"/>
  <c r="C77" i="17" s="1"/>
  <c r="H76" i="14"/>
  <c r="G76" i="14"/>
  <c r="F76" i="14"/>
  <c r="E76" i="14"/>
  <c r="E75" i="17"/>
  <c r="D80" i="16"/>
  <c r="C81" i="16" s="1"/>
  <c r="B80" i="16"/>
  <c r="E79" i="16"/>
  <c r="F79" i="16"/>
  <c r="G79" i="16"/>
  <c r="H79" i="16"/>
  <c r="K78" i="16"/>
  <c r="L78" i="16"/>
  <c r="H73" i="13"/>
  <c r="J73" i="13"/>
  <c r="I73" i="13" l="1"/>
  <c r="F74" i="13"/>
  <c r="G74" i="13"/>
  <c r="E74" i="13"/>
  <c r="C77" i="13"/>
  <c r="D77" i="13" s="1"/>
  <c r="B75" i="13"/>
  <c r="L78" i="13"/>
  <c r="S78" i="13" s="1"/>
  <c r="M80" i="13"/>
  <c r="N80" i="13" s="1"/>
  <c r="Q77" i="13"/>
  <c r="P77" i="13"/>
  <c r="O77" i="13"/>
  <c r="R77" i="13" s="1"/>
  <c r="E80" i="16"/>
  <c r="F80" i="16"/>
  <c r="G80" i="16"/>
  <c r="H80" i="16"/>
  <c r="B81" i="16"/>
  <c r="D81" i="16"/>
  <c r="C82" i="16" s="1"/>
  <c r="B77" i="17"/>
  <c r="F77" i="17" s="1"/>
  <c r="D77" i="17"/>
  <c r="C78" i="17" s="1"/>
  <c r="E76" i="17"/>
  <c r="B78" i="14"/>
  <c r="D78" i="14"/>
  <c r="C79" i="14" s="1"/>
  <c r="F77" i="14"/>
  <c r="E77" i="14"/>
  <c r="G77" i="14"/>
  <c r="H77" i="14"/>
  <c r="L79" i="16"/>
  <c r="K79" i="16"/>
  <c r="H74" i="13"/>
  <c r="J74" i="13"/>
  <c r="I74" i="13" l="1"/>
  <c r="G75" i="13"/>
  <c r="F75" i="13"/>
  <c r="E75" i="13"/>
  <c r="C78" i="13"/>
  <c r="D78" i="13" s="1"/>
  <c r="B76" i="13"/>
  <c r="M81" i="13"/>
  <c r="N81" i="13" s="1"/>
  <c r="L79" i="13"/>
  <c r="S79" i="13" s="1"/>
  <c r="O78" i="13"/>
  <c r="P78" i="13"/>
  <c r="Q78" i="13"/>
  <c r="D79" i="14"/>
  <c r="C80" i="14" s="1"/>
  <c r="B79" i="14"/>
  <c r="G78" i="14"/>
  <c r="H78" i="14"/>
  <c r="F78" i="14"/>
  <c r="E78" i="14"/>
  <c r="E77" i="17"/>
  <c r="B82" i="16"/>
  <c r="D82" i="16"/>
  <c r="C83" i="16" s="1"/>
  <c r="F81" i="16"/>
  <c r="G81" i="16"/>
  <c r="H81" i="16"/>
  <c r="E81" i="16"/>
  <c r="B78" i="17"/>
  <c r="F78" i="17" s="1"/>
  <c r="D78" i="17"/>
  <c r="C79" i="17" s="1"/>
  <c r="K80" i="16"/>
  <c r="L80" i="16"/>
  <c r="H75" i="13"/>
  <c r="J75" i="13"/>
  <c r="I75" i="13" l="1"/>
  <c r="B77" i="13"/>
  <c r="C79" i="13"/>
  <c r="D79" i="13" s="1"/>
  <c r="E76" i="13"/>
  <c r="F76" i="13"/>
  <c r="G76" i="13"/>
  <c r="R78" i="13"/>
  <c r="Q79" i="13"/>
  <c r="O79" i="13"/>
  <c r="P79" i="13"/>
  <c r="L80" i="13"/>
  <c r="S80" i="13" s="1"/>
  <c r="M82" i="13"/>
  <c r="N82" i="13" s="1"/>
  <c r="G82" i="16"/>
  <c r="H82" i="16"/>
  <c r="E82" i="16"/>
  <c r="F82" i="16"/>
  <c r="B80" i="14"/>
  <c r="D80" i="14"/>
  <c r="C81" i="14" s="1"/>
  <c r="D79" i="17"/>
  <c r="C80" i="17" s="1"/>
  <c r="B79" i="17"/>
  <c r="F79" i="17" s="1"/>
  <c r="E78" i="17"/>
  <c r="B83" i="16"/>
  <c r="D83" i="16"/>
  <c r="C84" i="16" s="1"/>
  <c r="E79" i="14"/>
  <c r="G79" i="14"/>
  <c r="F79" i="14"/>
  <c r="H79" i="14"/>
  <c r="L81" i="16"/>
  <c r="K81" i="16"/>
  <c r="J76" i="13"/>
  <c r="H76" i="13"/>
  <c r="I76" i="13" l="1"/>
  <c r="B78" i="13"/>
  <c r="C80" i="13"/>
  <c r="D80" i="13" s="1"/>
  <c r="E77" i="13"/>
  <c r="F77" i="13"/>
  <c r="G77" i="13"/>
  <c r="R79" i="13"/>
  <c r="Q80" i="13"/>
  <c r="O80" i="13"/>
  <c r="R80" i="13" s="1"/>
  <c r="P80" i="13"/>
  <c r="M83" i="13"/>
  <c r="N83" i="13" s="1"/>
  <c r="L81" i="13"/>
  <c r="S81" i="13" s="1"/>
  <c r="B80" i="17"/>
  <c r="F80" i="17" s="1"/>
  <c r="D80" i="17"/>
  <c r="C81" i="17" s="1"/>
  <c r="B84" i="16"/>
  <c r="D84" i="16"/>
  <c r="C85" i="16" s="1"/>
  <c r="E79" i="17"/>
  <c r="B81" i="14"/>
  <c r="D81" i="14"/>
  <c r="C82" i="14" s="1"/>
  <c r="G83" i="16"/>
  <c r="H83" i="16"/>
  <c r="E83" i="16"/>
  <c r="F83" i="16"/>
  <c r="F80" i="14"/>
  <c r="H80" i="14"/>
  <c r="G80" i="14"/>
  <c r="E80" i="14"/>
  <c r="L82" i="16"/>
  <c r="K82" i="16"/>
  <c r="H77" i="13"/>
  <c r="J77" i="13"/>
  <c r="I77" i="13" l="1"/>
  <c r="C81" i="13"/>
  <c r="D81" i="13" s="1"/>
  <c r="B79" i="13"/>
  <c r="E78" i="13"/>
  <c r="F78" i="13"/>
  <c r="G78" i="13"/>
  <c r="O81" i="13"/>
  <c r="P81" i="13"/>
  <c r="Q81" i="13"/>
  <c r="M84" i="13"/>
  <c r="N84" i="13" s="1"/>
  <c r="L82" i="13"/>
  <c r="S82" i="13" s="1"/>
  <c r="B82" i="14"/>
  <c r="D82" i="14"/>
  <c r="C83" i="14" s="1"/>
  <c r="G81" i="14"/>
  <c r="F81" i="14"/>
  <c r="E81" i="14"/>
  <c r="H81" i="14"/>
  <c r="H84" i="16"/>
  <c r="E84" i="16"/>
  <c r="F84" i="16"/>
  <c r="G84" i="16"/>
  <c r="B81" i="17"/>
  <c r="F81" i="17" s="1"/>
  <c r="D81" i="17"/>
  <c r="C82" i="17" s="1"/>
  <c r="E80" i="17"/>
  <c r="B85" i="16"/>
  <c r="D85" i="16"/>
  <c r="C86" i="16" s="1"/>
  <c r="L83" i="16"/>
  <c r="K83" i="16"/>
  <c r="J78" i="13"/>
  <c r="H78" i="13"/>
  <c r="I78" i="13" l="1"/>
  <c r="H79" i="13"/>
  <c r="J79" i="13"/>
  <c r="G79" i="13"/>
  <c r="E79" i="13"/>
  <c r="F79" i="13"/>
  <c r="I79" i="13"/>
  <c r="B80" i="13"/>
  <c r="C82" i="13"/>
  <c r="D82" i="13" s="1"/>
  <c r="R81" i="13"/>
  <c r="M85" i="13"/>
  <c r="N85" i="13" s="1"/>
  <c r="L83" i="13"/>
  <c r="S83" i="13" s="1"/>
  <c r="P82" i="13"/>
  <c r="O82" i="13"/>
  <c r="R82" i="13" s="1"/>
  <c r="Q82" i="13"/>
  <c r="B83" i="14"/>
  <c r="D83" i="14"/>
  <c r="C84" i="14" s="1"/>
  <c r="B86" i="16"/>
  <c r="D86" i="16"/>
  <c r="C87" i="16" s="1"/>
  <c r="E82" i="14"/>
  <c r="F82" i="14"/>
  <c r="H82" i="14"/>
  <c r="G82" i="14"/>
  <c r="E81" i="17"/>
  <c r="F85" i="16"/>
  <c r="G85" i="16"/>
  <c r="H85" i="16"/>
  <c r="E85" i="16"/>
  <c r="B82" i="17"/>
  <c r="F82" i="17" s="1"/>
  <c r="D82" i="17"/>
  <c r="C83" i="17" s="1"/>
  <c r="L84" i="16"/>
  <c r="K84" i="16"/>
  <c r="H80" i="13" l="1"/>
  <c r="J80" i="13"/>
  <c r="E80" i="13"/>
  <c r="F80" i="13"/>
  <c r="G80" i="13"/>
  <c r="I80" i="13"/>
  <c r="C83" i="13"/>
  <c r="D83" i="13" s="1"/>
  <c r="B81" i="13"/>
  <c r="Q83" i="13"/>
  <c r="O83" i="13"/>
  <c r="P83" i="13"/>
  <c r="L84" i="13"/>
  <c r="S84" i="13" s="1"/>
  <c r="M86" i="13"/>
  <c r="N86" i="13" s="1"/>
  <c r="B83" i="17"/>
  <c r="F83" i="17" s="1"/>
  <c r="D83" i="17"/>
  <c r="C84" i="17" s="1"/>
  <c r="B87" i="16"/>
  <c r="D87" i="16"/>
  <c r="C88" i="16" s="1"/>
  <c r="F86" i="16"/>
  <c r="G86" i="16"/>
  <c r="H86" i="16"/>
  <c r="E86" i="16"/>
  <c r="D84" i="14"/>
  <c r="C85" i="14" s="1"/>
  <c r="B84" i="14"/>
  <c r="E82" i="17"/>
  <c r="H83" i="14"/>
  <c r="G83" i="14"/>
  <c r="F83" i="14"/>
  <c r="E83" i="14"/>
  <c r="L85" i="16"/>
  <c r="K85" i="16"/>
  <c r="J81" i="13" l="1"/>
  <c r="H81" i="13"/>
  <c r="F81" i="13"/>
  <c r="E81" i="13"/>
  <c r="G81" i="13"/>
  <c r="I81" i="13"/>
  <c r="B82" i="13"/>
  <c r="C84" i="13"/>
  <c r="D84" i="13" s="1"/>
  <c r="R83" i="13"/>
  <c r="M87" i="13"/>
  <c r="N87" i="13" s="1"/>
  <c r="L85" i="13"/>
  <c r="S85" i="13" s="1"/>
  <c r="P84" i="13"/>
  <c r="O84" i="13"/>
  <c r="R84" i="13" s="1"/>
  <c r="Q84" i="13"/>
  <c r="B85" i="14"/>
  <c r="D85" i="14"/>
  <c r="C86" i="14" s="1"/>
  <c r="E87" i="16"/>
  <c r="F87" i="16"/>
  <c r="G87" i="16"/>
  <c r="H87" i="16"/>
  <c r="B84" i="17"/>
  <c r="F84" i="17" s="1"/>
  <c r="D84" i="17"/>
  <c r="C85" i="17" s="1"/>
  <c r="F84" i="14"/>
  <c r="E84" i="14"/>
  <c r="G84" i="14"/>
  <c r="H84" i="14"/>
  <c r="B88" i="16"/>
  <c r="D88" i="16"/>
  <c r="C89" i="16" s="1"/>
  <c r="E83" i="17"/>
  <c r="K86" i="16"/>
  <c r="L86" i="16"/>
  <c r="J82" i="13" l="1"/>
  <c r="H82" i="13"/>
  <c r="C85" i="13"/>
  <c r="D85" i="13" s="1"/>
  <c r="B83" i="13"/>
  <c r="G82" i="13"/>
  <c r="E82" i="13"/>
  <c r="F82" i="13"/>
  <c r="I82" i="13"/>
  <c r="Q85" i="13"/>
  <c r="O85" i="13"/>
  <c r="R85" i="13" s="1"/>
  <c r="P85" i="13"/>
  <c r="L86" i="13"/>
  <c r="S86" i="13" s="1"/>
  <c r="M88" i="13"/>
  <c r="N88" i="13" s="1"/>
  <c r="B85" i="17"/>
  <c r="F85" i="17" s="1"/>
  <c r="D85" i="17"/>
  <c r="C86" i="17" s="1"/>
  <c r="E88" i="16"/>
  <c r="F88" i="16"/>
  <c r="G88" i="16"/>
  <c r="H88" i="16"/>
  <c r="E84" i="17"/>
  <c r="B86" i="14"/>
  <c r="D86" i="14"/>
  <c r="C87" i="14" s="1"/>
  <c r="B89" i="16"/>
  <c r="D89" i="16"/>
  <c r="C90" i="16" s="1"/>
  <c r="E85" i="14"/>
  <c r="H85" i="14"/>
  <c r="F85" i="14"/>
  <c r="G85" i="14"/>
  <c r="L87" i="16"/>
  <c r="K87" i="16"/>
  <c r="J83" i="13" l="1"/>
  <c r="H83" i="13"/>
  <c r="G83" i="13"/>
  <c r="F83" i="13"/>
  <c r="E83" i="13"/>
  <c r="I83" i="13"/>
  <c r="B84" i="13"/>
  <c r="C86" i="13"/>
  <c r="D86" i="13" s="1"/>
  <c r="L87" i="13"/>
  <c r="S87" i="13" s="1"/>
  <c r="M89" i="13"/>
  <c r="N89" i="13" s="1"/>
  <c r="O86" i="13"/>
  <c r="Q86" i="13"/>
  <c r="P86" i="13"/>
  <c r="E86" i="14"/>
  <c r="H86" i="14"/>
  <c r="G86" i="14"/>
  <c r="F86" i="14"/>
  <c r="B86" i="17"/>
  <c r="F86" i="17" s="1"/>
  <c r="D86" i="17"/>
  <c r="C87" i="17" s="1"/>
  <c r="E85" i="17"/>
  <c r="B90" i="16"/>
  <c r="D90" i="16"/>
  <c r="C91" i="16" s="1"/>
  <c r="H89" i="16"/>
  <c r="E89" i="16"/>
  <c r="F89" i="16"/>
  <c r="G89" i="16"/>
  <c r="B87" i="14"/>
  <c r="D87" i="14"/>
  <c r="C88" i="14" s="1"/>
  <c r="L88" i="16"/>
  <c r="K88" i="16"/>
  <c r="J84" i="13" l="1"/>
  <c r="H84" i="13"/>
  <c r="F84" i="13"/>
  <c r="G84" i="13"/>
  <c r="E84" i="13"/>
  <c r="I84" i="13"/>
  <c r="B85" i="13"/>
  <c r="C87" i="13"/>
  <c r="D87" i="13" s="1"/>
  <c r="R86" i="13"/>
  <c r="M90" i="13"/>
  <c r="N90" i="13" s="1"/>
  <c r="L88" i="13"/>
  <c r="S88" i="13" s="1"/>
  <c r="P87" i="13"/>
  <c r="Q87" i="13"/>
  <c r="O87" i="13"/>
  <c r="D88" i="14"/>
  <c r="C89" i="14" s="1"/>
  <c r="B88" i="14"/>
  <c r="B91" i="16"/>
  <c r="D91" i="16"/>
  <c r="C92" i="16" s="1"/>
  <c r="D87" i="17"/>
  <c r="C88" i="17" s="1"/>
  <c r="B87" i="17"/>
  <c r="F87" i="17" s="1"/>
  <c r="G87" i="14"/>
  <c r="E87" i="14"/>
  <c r="F87" i="14"/>
  <c r="H87" i="14"/>
  <c r="F90" i="16"/>
  <c r="G90" i="16"/>
  <c r="H90" i="16"/>
  <c r="E90" i="16"/>
  <c r="E86" i="17"/>
  <c r="K89" i="16"/>
  <c r="L89" i="16"/>
  <c r="J85" i="13" l="1"/>
  <c r="H85" i="13"/>
  <c r="G85" i="13"/>
  <c r="E85" i="13"/>
  <c r="F85" i="13"/>
  <c r="I85" i="13"/>
  <c r="C88" i="13"/>
  <c r="D88" i="13" s="1"/>
  <c r="B86" i="13"/>
  <c r="R87" i="13"/>
  <c r="P88" i="13"/>
  <c r="Q88" i="13"/>
  <c r="O88" i="13"/>
  <c r="R88" i="13" s="1"/>
  <c r="L89" i="13"/>
  <c r="S89" i="13" s="1"/>
  <c r="M91" i="13"/>
  <c r="N91" i="13" s="1"/>
  <c r="B88" i="17"/>
  <c r="F88" i="17" s="1"/>
  <c r="D88" i="17"/>
  <c r="C89" i="17" s="1"/>
  <c r="H91" i="16"/>
  <c r="E91" i="16"/>
  <c r="F91" i="16"/>
  <c r="G91" i="16"/>
  <c r="G88" i="14"/>
  <c r="F88" i="14"/>
  <c r="H88" i="14"/>
  <c r="E88" i="14"/>
  <c r="B92" i="16"/>
  <c r="D92" i="16"/>
  <c r="C93" i="16" s="1"/>
  <c r="E87" i="17"/>
  <c r="B89" i="14"/>
  <c r="D89" i="14"/>
  <c r="C90" i="14" s="1"/>
  <c r="L90" i="16"/>
  <c r="K90" i="16"/>
  <c r="J86" i="13" l="1"/>
  <c r="H86" i="13"/>
  <c r="B87" i="13"/>
  <c r="C89" i="13"/>
  <c r="D89" i="13" s="1"/>
  <c r="F86" i="13"/>
  <c r="E86" i="13"/>
  <c r="G86" i="13"/>
  <c r="I86" i="13"/>
  <c r="L90" i="13"/>
  <c r="S90" i="13" s="1"/>
  <c r="M92" i="13"/>
  <c r="N92" i="13" s="1"/>
  <c r="Q89" i="13"/>
  <c r="P89" i="13"/>
  <c r="O89" i="13"/>
  <c r="D89" i="17"/>
  <c r="C90" i="17" s="1"/>
  <c r="B89" i="17"/>
  <c r="F89" i="17" s="1"/>
  <c r="B93" i="16"/>
  <c r="D93" i="16"/>
  <c r="C94" i="16" s="1"/>
  <c r="E88" i="17"/>
  <c r="B90" i="14"/>
  <c r="D90" i="14"/>
  <c r="C91" i="14" s="1"/>
  <c r="F89" i="14"/>
  <c r="H89" i="14"/>
  <c r="E89" i="14"/>
  <c r="G89" i="14"/>
  <c r="G92" i="16"/>
  <c r="H92" i="16"/>
  <c r="E92" i="16"/>
  <c r="F92" i="16"/>
  <c r="K91" i="16"/>
  <c r="L91" i="16"/>
  <c r="H87" i="13" l="1"/>
  <c r="J87" i="13"/>
  <c r="B88" i="13"/>
  <c r="C90" i="13"/>
  <c r="D90" i="13" s="1"/>
  <c r="F87" i="13"/>
  <c r="G87" i="13"/>
  <c r="E87" i="13"/>
  <c r="I87" i="13"/>
  <c r="R89" i="13"/>
  <c r="M93" i="13"/>
  <c r="N93" i="13" s="1"/>
  <c r="L91" i="13"/>
  <c r="S91" i="13" s="1"/>
  <c r="Q90" i="13"/>
  <c r="O90" i="13"/>
  <c r="P90" i="13"/>
  <c r="B94" i="16"/>
  <c r="D94" i="16"/>
  <c r="C95" i="16" s="1"/>
  <c r="B91" i="14"/>
  <c r="D91" i="14"/>
  <c r="C92" i="14" s="1"/>
  <c r="H90" i="14"/>
  <c r="E90" i="14"/>
  <c r="G90" i="14"/>
  <c r="F90" i="14"/>
  <c r="H93" i="16"/>
  <c r="E93" i="16"/>
  <c r="F93" i="16"/>
  <c r="G93" i="16"/>
  <c r="E89" i="17"/>
  <c r="B90" i="17"/>
  <c r="F90" i="17" s="1"/>
  <c r="D90" i="17"/>
  <c r="C91" i="17" s="1"/>
  <c r="K92" i="16"/>
  <c r="L92" i="16"/>
  <c r="J88" i="13" l="1"/>
  <c r="H88" i="13"/>
  <c r="B89" i="13"/>
  <c r="C91" i="13"/>
  <c r="D91" i="13" s="1"/>
  <c r="F88" i="13"/>
  <c r="E88" i="13"/>
  <c r="G88" i="13"/>
  <c r="I88" i="13"/>
  <c r="R90" i="13"/>
  <c r="O91" i="13"/>
  <c r="P91" i="13"/>
  <c r="Q91" i="13"/>
  <c r="L92" i="13"/>
  <c r="S92" i="13" s="1"/>
  <c r="M94" i="13"/>
  <c r="N94" i="13" s="1"/>
  <c r="D91" i="17"/>
  <c r="C92" i="17" s="1"/>
  <c r="B91" i="17"/>
  <c r="F91" i="17" s="1"/>
  <c r="G91" i="14"/>
  <c r="F91" i="14"/>
  <c r="E91" i="14"/>
  <c r="H91" i="14"/>
  <c r="B95" i="16"/>
  <c r="D95" i="16"/>
  <c r="C96" i="16" s="1"/>
  <c r="E90" i="17"/>
  <c r="E94" i="16"/>
  <c r="F94" i="16"/>
  <c r="G94" i="16"/>
  <c r="H94" i="16"/>
  <c r="D92" i="14"/>
  <c r="C93" i="14" s="1"/>
  <c r="B92" i="14"/>
  <c r="K93" i="16"/>
  <c r="L93" i="16"/>
  <c r="H89" i="13" l="1"/>
  <c r="J89" i="13"/>
  <c r="B90" i="13"/>
  <c r="C92" i="13"/>
  <c r="D92" i="13" s="1"/>
  <c r="F89" i="13"/>
  <c r="E89" i="13"/>
  <c r="G89" i="13"/>
  <c r="I89" i="13"/>
  <c r="R91" i="13"/>
  <c r="L93" i="13"/>
  <c r="S93" i="13" s="1"/>
  <c r="M95" i="13"/>
  <c r="N95" i="13" s="1"/>
  <c r="Q92" i="13"/>
  <c r="P92" i="13"/>
  <c r="O92" i="13"/>
  <c r="R92" i="13" s="1"/>
  <c r="B93" i="14"/>
  <c r="D93" i="14"/>
  <c r="C94" i="14" s="1"/>
  <c r="E91" i="17"/>
  <c r="B96" i="16"/>
  <c r="D96" i="16"/>
  <c r="C97" i="16" s="1"/>
  <c r="D92" i="17"/>
  <c r="C93" i="17" s="1"/>
  <c r="B92" i="17"/>
  <c r="F92" i="17" s="1"/>
  <c r="E92" i="14"/>
  <c r="H92" i="14"/>
  <c r="F92" i="14"/>
  <c r="G92" i="14"/>
  <c r="G95" i="16"/>
  <c r="H95" i="16"/>
  <c r="E95" i="16"/>
  <c r="F95" i="16"/>
  <c r="K94" i="16"/>
  <c r="L94" i="16"/>
  <c r="J90" i="13" l="1"/>
  <c r="H90" i="13"/>
  <c r="B91" i="13"/>
  <c r="C93" i="13"/>
  <c r="D93" i="13" s="1"/>
  <c r="F90" i="13"/>
  <c r="G90" i="13"/>
  <c r="E90" i="13"/>
  <c r="I90" i="13"/>
  <c r="M96" i="13"/>
  <c r="N96" i="13" s="1"/>
  <c r="L94" i="13"/>
  <c r="S94" i="13" s="1"/>
  <c r="O93" i="13"/>
  <c r="R93" i="13" s="1"/>
  <c r="Q93" i="13"/>
  <c r="P93" i="13"/>
  <c r="E92" i="17"/>
  <c r="B97" i="16"/>
  <c r="D97" i="16"/>
  <c r="C98" i="16" s="1"/>
  <c r="B94" i="14"/>
  <c r="D94" i="14"/>
  <c r="C95" i="14" s="1"/>
  <c r="H93" i="14"/>
  <c r="G93" i="14"/>
  <c r="F93" i="14"/>
  <c r="E93" i="14"/>
  <c r="D93" i="17"/>
  <c r="C94" i="17" s="1"/>
  <c r="B93" i="17"/>
  <c r="F93" i="17" s="1"/>
  <c r="H96" i="16"/>
  <c r="E96" i="16"/>
  <c r="F96" i="16"/>
  <c r="G96" i="16"/>
  <c r="K95" i="16"/>
  <c r="L95" i="16"/>
  <c r="H91" i="13" l="1"/>
  <c r="J91" i="13"/>
  <c r="B92" i="13"/>
  <c r="C94" i="13"/>
  <c r="D94" i="13" s="1"/>
  <c r="E91" i="13"/>
  <c r="G91" i="13"/>
  <c r="F91" i="13"/>
  <c r="I91" i="13"/>
  <c r="P94" i="13"/>
  <c r="Q94" i="13"/>
  <c r="O94" i="13"/>
  <c r="R94" i="13" s="1"/>
  <c r="M97" i="13"/>
  <c r="N97" i="13" s="1"/>
  <c r="L95" i="13"/>
  <c r="S95" i="13" s="1"/>
  <c r="B98" i="16"/>
  <c r="D98" i="16"/>
  <c r="C99" i="16" s="1"/>
  <c r="E93" i="17"/>
  <c r="B94" i="17"/>
  <c r="F94" i="17" s="1"/>
  <c r="D94" i="17"/>
  <c r="C95" i="17" s="1"/>
  <c r="F94" i="14"/>
  <c r="G94" i="14"/>
  <c r="E94" i="14"/>
  <c r="H94" i="14"/>
  <c r="G97" i="16"/>
  <c r="H97" i="16"/>
  <c r="E97" i="16"/>
  <c r="F97" i="16"/>
  <c r="D95" i="14"/>
  <c r="C96" i="14" s="1"/>
  <c r="B95" i="14"/>
  <c r="K96" i="16"/>
  <c r="L96" i="16"/>
  <c r="H92" i="13" l="1"/>
  <c r="J92" i="13"/>
  <c r="C95" i="13"/>
  <c r="D95" i="13" s="1"/>
  <c r="B93" i="13"/>
  <c r="E92" i="13"/>
  <c r="F92" i="13"/>
  <c r="G92" i="13"/>
  <c r="I92" i="13"/>
  <c r="Q95" i="13"/>
  <c r="P95" i="13"/>
  <c r="O95" i="13"/>
  <c r="R95" i="13" s="1"/>
  <c r="M98" i="13"/>
  <c r="N98" i="13" s="1"/>
  <c r="L96" i="13"/>
  <c r="S96" i="13" s="1"/>
  <c r="F95" i="14"/>
  <c r="H95" i="14"/>
  <c r="E95" i="14"/>
  <c r="G95" i="14"/>
  <c r="E98" i="16"/>
  <c r="F98" i="16"/>
  <c r="G98" i="16"/>
  <c r="H98" i="16"/>
  <c r="B95" i="17"/>
  <c r="F95" i="17" s="1"/>
  <c r="D95" i="17"/>
  <c r="C96" i="17" s="1"/>
  <c r="B96" i="14"/>
  <c r="D96" i="14"/>
  <c r="C97" i="14" s="1"/>
  <c r="E94" i="17"/>
  <c r="D99" i="16"/>
  <c r="C100" i="16" s="1"/>
  <c r="B99" i="16"/>
  <c r="K97" i="16"/>
  <c r="L97" i="16"/>
  <c r="J93" i="13" l="1"/>
  <c r="H93" i="13"/>
  <c r="G93" i="13"/>
  <c r="E93" i="13"/>
  <c r="F93" i="13"/>
  <c r="I93" i="13"/>
  <c r="B94" i="13"/>
  <c r="C96" i="13"/>
  <c r="D96" i="13" s="1"/>
  <c r="O96" i="13"/>
  <c r="P96" i="13"/>
  <c r="Q96" i="13"/>
  <c r="M99" i="13"/>
  <c r="N99" i="13" s="1"/>
  <c r="L97" i="13"/>
  <c r="S97" i="13" s="1"/>
  <c r="G96" i="14"/>
  <c r="F96" i="14"/>
  <c r="E96" i="14"/>
  <c r="H96" i="14"/>
  <c r="B96" i="17"/>
  <c r="F96" i="17" s="1"/>
  <c r="D96" i="17"/>
  <c r="C97" i="17" s="1"/>
  <c r="B100" i="16"/>
  <c r="D100" i="16"/>
  <c r="C101" i="16" s="1"/>
  <c r="E95" i="17"/>
  <c r="E99" i="16"/>
  <c r="F99" i="16"/>
  <c r="G99" i="16"/>
  <c r="H99" i="16"/>
  <c r="D97" i="14"/>
  <c r="C98" i="14" s="1"/>
  <c r="B97" i="14"/>
  <c r="K98" i="16"/>
  <c r="L98" i="16"/>
  <c r="H94" i="13" l="1"/>
  <c r="J94" i="13"/>
  <c r="B95" i="13"/>
  <c r="C97" i="13"/>
  <c r="D97" i="13" s="1"/>
  <c r="G94" i="13"/>
  <c r="E94" i="13"/>
  <c r="F94" i="13"/>
  <c r="I94" i="13"/>
  <c r="R96" i="13"/>
  <c r="O97" i="13"/>
  <c r="Q97" i="13"/>
  <c r="P97" i="13"/>
  <c r="M100" i="13"/>
  <c r="N100" i="13" s="1"/>
  <c r="L98" i="13"/>
  <c r="S98" i="13" s="1"/>
  <c r="D98" i="14"/>
  <c r="C99" i="14" s="1"/>
  <c r="B98" i="14"/>
  <c r="B101" i="16"/>
  <c r="D101" i="16"/>
  <c r="C102" i="16" s="1"/>
  <c r="B97" i="17"/>
  <c r="F97" i="17" s="1"/>
  <c r="D97" i="17"/>
  <c r="C98" i="17" s="1"/>
  <c r="F97" i="14"/>
  <c r="H97" i="14"/>
  <c r="G97" i="14"/>
  <c r="E97" i="14"/>
  <c r="F100" i="16"/>
  <c r="G100" i="16"/>
  <c r="H100" i="16"/>
  <c r="E100" i="16"/>
  <c r="E96" i="17"/>
  <c r="L99" i="16"/>
  <c r="K99" i="16"/>
  <c r="H95" i="13" l="1"/>
  <c r="J95" i="13"/>
  <c r="C98" i="13"/>
  <c r="D98" i="13" s="1"/>
  <c r="B96" i="13"/>
  <c r="G95" i="13"/>
  <c r="E95" i="13"/>
  <c r="F95" i="13"/>
  <c r="I95" i="13"/>
  <c r="R97" i="13"/>
  <c r="M101" i="13"/>
  <c r="N101" i="13" s="1"/>
  <c r="L99" i="13"/>
  <c r="S99" i="13" s="1"/>
  <c r="Q98" i="13"/>
  <c r="O98" i="13"/>
  <c r="R98" i="13" s="1"/>
  <c r="P98" i="13"/>
  <c r="B98" i="17"/>
  <c r="F98" i="17" s="1"/>
  <c r="D98" i="17"/>
  <c r="C99" i="17" s="1"/>
  <c r="E98" i="14"/>
  <c r="F98" i="14"/>
  <c r="G98" i="14"/>
  <c r="H98" i="14"/>
  <c r="E97" i="17"/>
  <c r="D99" i="14"/>
  <c r="C100" i="14" s="1"/>
  <c r="B99" i="14"/>
  <c r="D102" i="16"/>
  <c r="C103" i="16" s="1"/>
  <c r="B102" i="16"/>
  <c r="F101" i="16"/>
  <c r="G101" i="16"/>
  <c r="H101" i="16"/>
  <c r="E101" i="16"/>
  <c r="K100" i="16"/>
  <c r="L100" i="16"/>
  <c r="H96" i="13" l="1"/>
  <c r="J96" i="13"/>
  <c r="G96" i="13"/>
  <c r="F96" i="13"/>
  <c r="E96" i="13"/>
  <c r="I96" i="13"/>
  <c r="C99" i="13"/>
  <c r="D99" i="13" s="1"/>
  <c r="B97" i="13"/>
  <c r="Q99" i="13"/>
  <c r="O99" i="13"/>
  <c r="R99" i="13" s="1"/>
  <c r="P99" i="13"/>
  <c r="M102" i="13"/>
  <c r="N102" i="13" s="1"/>
  <c r="L100" i="13"/>
  <c r="S100" i="13" s="1"/>
  <c r="G102" i="16"/>
  <c r="E102" i="16"/>
  <c r="F102" i="16"/>
  <c r="H102" i="16"/>
  <c r="E98" i="17"/>
  <c r="B103" i="16"/>
  <c r="D103" i="16"/>
  <c r="C104" i="16" s="1"/>
  <c r="B100" i="14"/>
  <c r="D100" i="14"/>
  <c r="C101" i="14" s="1"/>
  <c r="H99" i="14"/>
  <c r="G99" i="14"/>
  <c r="F99" i="14"/>
  <c r="E99" i="14"/>
  <c r="D99" i="17"/>
  <c r="C100" i="17" s="1"/>
  <c r="B99" i="17"/>
  <c r="F99" i="17" s="1"/>
  <c r="K101" i="16"/>
  <c r="L101" i="16"/>
  <c r="J97" i="13" l="1"/>
  <c r="H97" i="13"/>
  <c r="G97" i="13"/>
  <c r="E97" i="13"/>
  <c r="F97" i="13"/>
  <c r="I97" i="13"/>
  <c r="C100" i="13"/>
  <c r="D100" i="13" s="1"/>
  <c r="B98" i="13"/>
  <c r="O100" i="13"/>
  <c r="Q100" i="13"/>
  <c r="P100" i="13"/>
  <c r="M103" i="13"/>
  <c r="N103" i="13" s="1"/>
  <c r="L101" i="13"/>
  <c r="S101" i="13" s="1"/>
  <c r="D104" i="16"/>
  <c r="C105" i="16" s="1"/>
  <c r="B104" i="16"/>
  <c r="B100" i="17"/>
  <c r="F100" i="17" s="1"/>
  <c r="D100" i="17"/>
  <c r="C101" i="17" s="1"/>
  <c r="H100" i="14"/>
  <c r="E100" i="14"/>
  <c r="G100" i="14"/>
  <c r="F100" i="14"/>
  <c r="E99" i="17"/>
  <c r="F103" i="16"/>
  <c r="G103" i="16"/>
  <c r="E103" i="16"/>
  <c r="H103" i="16"/>
  <c r="D101" i="14"/>
  <c r="C102" i="14" s="1"/>
  <c r="B101" i="14"/>
  <c r="L102" i="16"/>
  <c r="K102" i="16"/>
  <c r="H98" i="13" l="1"/>
  <c r="J98" i="13"/>
  <c r="F98" i="13"/>
  <c r="E98" i="13"/>
  <c r="G98" i="13"/>
  <c r="I98" i="13"/>
  <c r="B99" i="13"/>
  <c r="C101" i="13"/>
  <c r="D101" i="13" s="1"/>
  <c r="R100" i="13"/>
  <c r="P101" i="13"/>
  <c r="Q101" i="13"/>
  <c r="O101" i="13"/>
  <c r="R101" i="13" s="1"/>
  <c r="L102" i="13"/>
  <c r="S102" i="13" s="1"/>
  <c r="M104" i="13"/>
  <c r="N104" i="13" s="1"/>
  <c r="B102" i="14"/>
  <c r="D102" i="14"/>
  <c r="C103" i="14" s="1"/>
  <c r="E100" i="17"/>
  <c r="H104" i="16"/>
  <c r="E104" i="16"/>
  <c r="F104" i="16"/>
  <c r="G104" i="16"/>
  <c r="B105" i="16"/>
  <c r="D105" i="16"/>
  <c r="C106" i="16" s="1"/>
  <c r="E101" i="14"/>
  <c r="F101" i="14"/>
  <c r="H101" i="14"/>
  <c r="G101" i="14"/>
  <c r="D101" i="17"/>
  <c r="C102" i="17" s="1"/>
  <c r="B101" i="17"/>
  <c r="F101" i="17" s="1"/>
  <c r="L103" i="16"/>
  <c r="K103" i="16"/>
  <c r="J99" i="13" l="1"/>
  <c r="H99" i="13"/>
  <c r="C102" i="13"/>
  <c r="D102" i="13" s="1"/>
  <c r="B100" i="13"/>
  <c r="F99" i="13"/>
  <c r="G99" i="13"/>
  <c r="E99" i="13"/>
  <c r="I99" i="13"/>
  <c r="L103" i="13"/>
  <c r="S103" i="13" s="1"/>
  <c r="M105" i="13"/>
  <c r="N105" i="13" s="1"/>
  <c r="P102" i="13"/>
  <c r="Q102" i="13"/>
  <c r="O102" i="13"/>
  <c r="B103" i="14"/>
  <c r="D103" i="14"/>
  <c r="C104" i="14" s="1"/>
  <c r="E101" i="17"/>
  <c r="F102" i="14"/>
  <c r="G102" i="14"/>
  <c r="E102" i="14"/>
  <c r="H102" i="14"/>
  <c r="B102" i="17"/>
  <c r="F102" i="17" s="1"/>
  <c r="D102" i="17"/>
  <c r="C103" i="17" s="1"/>
  <c r="B106" i="16"/>
  <c r="D106" i="16"/>
  <c r="C107" i="16" s="1"/>
  <c r="H105" i="16"/>
  <c r="E105" i="16"/>
  <c r="G105" i="16"/>
  <c r="F105" i="16"/>
  <c r="K104" i="16"/>
  <c r="L104" i="16"/>
  <c r="J100" i="13" l="1"/>
  <c r="H100" i="13"/>
  <c r="G100" i="13"/>
  <c r="E100" i="13"/>
  <c r="F100" i="13"/>
  <c r="I100" i="13"/>
  <c r="C103" i="13"/>
  <c r="D103" i="13" s="1"/>
  <c r="B101" i="13"/>
  <c r="R102" i="13"/>
  <c r="L104" i="13"/>
  <c r="S104" i="13" s="1"/>
  <c r="M106" i="13"/>
  <c r="N106" i="13" s="1"/>
  <c r="O103" i="13"/>
  <c r="Q103" i="13"/>
  <c r="P103" i="13"/>
  <c r="D107" i="16"/>
  <c r="C108" i="16" s="1"/>
  <c r="B107" i="16"/>
  <c r="F106" i="16"/>
  <c r="H106" i="16"/>
  <c r="E106" i="16"/>
  <c r="G106" i="16"/>
  <c r="B103" i="17"/>
  <c r="F103" i="17" s="1"/>
  <c r="D103" i="17"/>
  <c r="C104" i="17" s="1"/>
  <c r="B104" i="14"/>
  <c r="D104" i="14"/>
  <c r="C105" i="14" s="1"/>
  <c r="E102" i="17"/>
  <c r="E103" i="14"/>
  <c r="F103" i="14"/>
  <c r="H103" i="14"/>
  <c r="G103" i="14"/>
  <c r="K105" i="16"/>
  <c r="L105" i="16"/>
  <c r="J101" i="13" l="1"/>
  <c r="H101" i="13"/>
  <c r="B102" i="13"/>
  <c r="C104" i="13"/>
  <c r="D104" i="13" s="1"/>
  <c r="E101" i="13"/>
  <c r="F101" i="13"/>
  <c r="G101" i="13"/>
  <c r="I101" i="13"/>
  <c r="R103" i="13"/>
  <c r="L105" i="13"/>
  <c r="S105" i="13" s="1"/>
  <c r="M107" i="13"/>
  <c r="N107" i="13" s="1"/>
  <c r="O104" i="13"/>
  <c r="P104" i="13"/>
  <c r="Q104" i="13"/>
  <c r="B105" i="14"/>
  <c r="D105" i="14"/>
  <c r="C106" i="14" s="1"/>
  <c r="B104" i="17"/>
  <c r="F104" i="17" s="1"/>
  <c r="D104" i="17"/>
  <c r="C105" i="17" s="1"/>
  <c r="G104" i="14"/>
  <c r="F104" i="14"/>
  <c r="H104" i="14"/>
  <c r="E104" i="14"/>
  <c r="E103" i="17"/>
  <c r="F107" i="16"/>
  <c r="E107" i="16"/>
  <c r="G107" i="16"/>
  <c r="H107" i="16"/>
  <c r="D108" i="16"/>
  <c r="C109" i="16" s="1"/>
  <c r="B108" i="16"/>
  <c r="K106" i="16"/>
  <c r="L106" i="16"/>
  <c r="J102" i="13" l="1"/>
  <c r="H102" i="13"/>
  <c r="B103" i="13"/>
  <c r="C105" i="13"/>
  <c r="D105" i="13" s="1"/>
  <c r="G102" i="13"/>
  <c r="E102" i="13"/>
  <c r="F102" i="13"/>
  <c r="I102" i="13"/>
  <c r="R104" i="13"/>
  <c r="M108" i="13"/>
  <c r="N108" i="13" s="1"/>
  <c r="L106" i="13"/>
  <c r="S106" i="13" s="1"/>
  <c r="P105" i="13"/>
  <c r="Q105" i="13"/>
  <c r="O105" i="13"/>
  <c r="R105" i="13" s="1"/>
  <c r="D109" i="16"/>
  <c r="C110" i="16" s="1"/>
  <c r="B109" i="16"/>
  <c r="B105" i="17"/>
  <c r="F105" i="17" s="1"/>
  <c r="D105" i="17"/>
  <c r="C106" i="17" s="1"/>
  <c r="E104" i="17"/>
  <c r="D106" i="14"/>
  <c r="C107" i="14" s="1"/>
  <c r="B106" i="14"/>
  <c r="H108" i="16"/>
  <c r="G108" i="16"/>
  <c r="F108" i="16"/>
  <c r="E108" i="16"/>
  <c r="G105" i="14"/>
  <c r="E105" i="14"/>
  <c r="H105" i="14"/>
  <c r="F105" i="14"/>
  <c r="L107" i="16"/>
  <c r="K107" i="16"/>
  <c r="H103" i="13" l="1"/>
  <c r="J103" i="13"/>
  <c r="C106" i="13"/>
  <c r="D106" i="13" s="1"/>
  <c r="B104" i="13"/>
  <c r="F103" i="13"/>
  <c r="G103" i="13"/>
  <c r="E103" i="13"/>
  <c r="I103" i="13"/>
  <c r="P106" i="13"/>
  <c r="Q106" i="13"/>
  <c r="O106" i="13"/>
  <c r="L107" i="13"/>
  <c r="S107" i="13" s="1"/>
  <c r="M109" i="13"/>
  <c r="N109" i="13" s="1"/>
  <c r="F106" i="14"/>
  <c r="G106" i="14"/>
  <c r="H106" i="14"/>
  <c r="E106" i="14"/>
  <c r="D110" i="16"/>
  <c r="C111" i="16" s="1"/>
  <c r="B110" i="16"/>
  <c r="B107" i="14"/>
  <c r="D107" i="14"/>
  <c r="C108" i="14" s="1"/>
  <c r="B106" i="17"/>
  <c r="F106" i="17" s="1"/>
  <c r="D106" i="17"/>
  <c r="C107" i="17" s="1"/>
  <c r="E105" i="17"/>
  <c r="F109" i="16"/>
  <c r="E109" i="16"/>
  <c r="G109" i="16"/>
  <c r="H109" i="16"/>
  <c r="K108" i="16"/>
  <c r="L108" i="16"/>
  <c r="H104" i="13" l="1"/>
  <c r="J104" i="13"/>
  <c r="E104" i="13"/>
  <c r="F104" i="13"/>
  <c r="G104" i="13"/>
  <c r="I104" i="13"/>
  <c r="C107" i="13"/>
  <c r="D107" i="13" s="1"/>
  <c r="B105" i="13"/>
  <c r="R106" i="13"/>
  <c r="O107" i="13"/>
  <c r="P107" i="13"/>
  <c r="Q107" i="13"/>
  <c r="L108" i="13"/>
  <c r="S108" i="13" s="1"/>
  <c r="M110" i="13"/>
  <c r="N110" i="13" s="1"/>
  <c r="B107" i="17"/>
  <c r="F107" i="17" s="1"/>
  <c r="D107" i="17"/>
  <c r="C108" i="17" s="1"/>
  <c r="D111" i="16"/>
  <c r="C112" i="16" s="1"/>
  <c r="B111" i="16"/>
  <c r="B108" i="14"/>
  <c r="D108" i="14"/>
  <c r="C109" i="14" s="1"/>
  <c r="E106" i="17"/>
  <c r="G107" i="14"/>
  <c r="E107" i="14"/>
  <c r="F107" i="14"/>
  <c r="H107" i="14"/>
  <c r="H110" i="16"/>
  <c r="G110" i="16"/>
  <c r="E110" i="16"/>
  <c r="F110" i="16"/>
  <c r="L109" i="16"/>
  <c r="K109" i="16"/>
  <c r="H105" i="13" l="1"/>
  <c r="J105" i="13"/>
  <c r="C108" i="13"/>
  <c r="D108" i="13" s="1"/>
  <c r="B106" i="13"/>
  <c r="E105" i="13"/>
  <c r="F105" i="13"/>
  <c r="G105" i="13"/>
  <c r="I105" i="13"/>
  <c r="R107" i="13"/>
  <c r="O108" i="13"/>
  <c r="P108" i="13"/>
  <c r="Q108" i="13"/>
  <c r="M111" i="13"/>
  <c r="N111" i="13" s="1"/>
  <c r="L109" i="13"/>
  <c r="S109" i="13" s="1"/>
  <c r="E111" i="16"/>
  <c r="G111" i="16"/>
  <c r="H111" i="16"/>
  <c r="F111" i="16"/>
  <c r="B109" i="14"/>
  <c r="D109" i="14"/>
  <c r="C110" i="14" s="1"/>
  <c r="B112" i="16"/>
  <c r="D112" i="16"/>
  <c r="C113" i="16" s="1"/>
  <c r="E107" i="17"/>
  <c r="G108" i="14"/>
  <c r="F108" i="14"/>
  <c r="H108" i="14"/>
  <c r="E108" i="14"/>
  <c r="B108" i="17"/>
  <c r="F108" i="17" s="1"/>
  <c r="D108" i="17"/>
  <c r="C109" i="17" s="1"/>
  <c r="K110" i="16"/>
  <c r="L110" i="16"/>
  <c r="J106" i="13" l="1"/>
  <c r="H106" i="13"/>
  <c r="F106" i="13"/>
  <c r="G106" i="13"/>
  <c r="E106" i="13"/>
  <c r="I106" i="13"/>
  <c r="B107" i="13"/>
  <c r="C109" i="13"/>
  <c r="D109" i="13" s="1"/>
  <c r="R108" i="13"/>
  <c r="P109" i="13"/>
  <c r="Q109" i="13"/>
  <c r="O109" i="13"/>
  <c r="R109" i="13" s="1"/>
  <c r="M112" i="13"/>
  <c r="N112" i="13" s="1"/>
  <c r="L110" i="13"/>
  <c r="S110" i="13" s="1"/>
  <c r="B110" i="14"/>
  <c r="D110" i="14"/>
  <c r="C111" i="14" s="1"/>
  <c r="B109" i="17"/>
  <c r="F109" i="17" s="1"/>
  <c r="D109" i="17"/>
  <c r="C110" i="17" s="1"/>
  <c r="H109" i="14"/>
  <c r="F109" i="14"/>
  <c r="G109" i="14"/>
  <c r="E109" i="14"/>
  <c r="E108" i="17"/>
  <c r="D113" i="16"/>
  <c r="C114" i="16" s="1"/>
  <c r="B113" i="16"/>
  <c r="H112" i="16"/>
  <c r="G112" i="16"/>
  <c r="E112" i="16"/>
  <c r="F112" i="16"/>
  <c r="K111" i="16"/>
  <c r="L111" i="16"/>
  <c r="J107" i="13" l="1"/>
  <c r="H107" i="13"/>
  <c r="G107" i="13"/>
  <c r="E107" i="13"/>
  <c r="F107" i="13"/>
  <c r="I107" i="13"/>
  <c r="C110" i="13"/>
  <c r="D110" i="13" s="1"/>
  <c r="B108" i="13"/>
  <c r="Q110" i="13"/>
  <c r="O110" i="13"/>
  <c r="P110" i="13"/>
  <c r="M113" i="13"/>
  <c r="N113" i="13" s="1"/>
  <c r="L111" i="13"/>
  <c r="S111" i="13" s="1"/>
  <c r="F113" i="16"/>
  <c r="H113" i="16"/>
  <c r="G113" i="16"/>
  <c r="E113" i="16"/>
  <c r="B114" i="16"/>
  <c r="D114" i="16"/>
  <c r="C115" i="16" s="1"/>
  <c r="B110" i="17"/>
  <c r="F110" i="17" s="1"/>
  <c r="D110" i="17"/>
  <c r="C111" i="17" s="1"/>
  <c r="D111" i="14"/>
  <c r="C112" i="14" s="1"/>
  <c r="B111" i="14"/>
  <c r="E109" i="17"/>
  <c r="H110" i="14"/>
  <c r="F110" i="14"/>
  <c r="E110" i="14"/>
  <c r="G110" i="14"/>
  <c r="K112" i="16"/>
  <c r="L112" i="16"/>
  <c r="J108" i="13" l="1"/>
  <c r="H108" i="13"/>
  <c r="C111" i="13"/>
  <c r="D111" i="13" s="1"/>
  <c r="B109" i="13"/>
  <c r="G108" i="13"/>
  <c r="F108" i="13"/>
  <c r="E108" i="13"/>
  <c r="I108" i="13"/>
  <c r="R110" i="13"/>
  <c r="M114" i="13"/>
  <c r="N114" i="13" s="1"/>
  <c r="L112" i="13"/>
  <c r="S112" i="13" s="1"/>
  <c r="O111" i="13"/>
  <c r="P111" i="13"/>
  <c r="Q111" i="13"/>
  <c r="E110" i="17"/>
  <c r="F114" i="16"/>
  <c r="E114" i="16"/>
  <c r="H114" i="16"/>
  <c r="G114" i="16"/>
  <c r="G111" i="14"/>
  <c r="E111" i="14"/>
  <c r="H111" i="14"/>
  <c r="F111" i="14"/>
  <c r="B111" i="17"/>
  <c r="F111" i="17" s="1"/>
  <c r="D111" i="17"/>
  <c r="C112" i="17" s="1"/>
  <c r="B112" i="14"/>
  <c r="D112" i="14"/>
  <c r="C113" i="14" s="1"/>
  <c r="D115" i="16"/>
  <c r="C116" i="16" s="1"/>
  <c r="B115" i="16"/>
  <c r="L113" i="16"/>
  <c r="K113" i="16"/>
  <c r="H109" i="13" l="1"/>
  <c r="J109" i="13"/>
  <c r="E109" i="13"/>
  <c r="F109" i="13"/>
  <c r="G109" i="13"/>
  <c r="I109" i="13"/>
  <c r="B110" i="13"/>
  <c r="C112" i="13"/>
  <c r="D112" i="13" s="1"/>
  <c r="R111" i="13"/>
  <c r="Q112" i="13"/>
  <c r="O112" i="13"/>
  <c r="R112" i="13" s="1"/>
  <c r="P112" i="13"/>
  <c r="M115" i="13"/>
  <c r="N115" i="13" s="1"/>
  <c r="L113" i="13"/>
  <c r="S113" i="13" s="1"/>
  <c r="H115" i="16"/>
  <c r="F115" i="16"/>
  <c r="G115" i="16"/>
  <c r="E115" i="16"/>
  <c r="B112" i="17"/>
  <c r="F112" i="17" s="1"/>
  <c r="D112" i="17"/>
  <c r="C113" i="17" s="1"/>
  <c r="B113" i="14"/>
  <c r="D113" i="14"/>
  <c r="C114" i="14" s="1"/>
  <c r="D116" i="16"/>
  <c r="C117" i="16" s="1"/>
  <c r="B116" i="16"/>
  <c r="G112" i="14"/>
  <c r="H112" i="14"/>
  <c r="E112" i="14"/>
  <c r="F112" i="14"/>
  <c r="E111" i="17"/>
  <c r="L114" i="16"/>
  <c r="K114" i="16"/>
  <c r="H110" i="13" l="1"/>
  <c r="J110" i="13"/>
  <c r="C113" i="13"/>
  <c r="D113" i="13" s="1"/>
  <c r="B111" i="13"/>
  <c r="G110" i="13"/>
  <c r="E110" i="13"/>
  <c r="F110" i="13"/>
  <c r="I110" i="13"/>
  <c r="O113" i="13"/>
  <c r="R113" i="13" s="1"/>
  <c r="P113" i="13"/>
  <c r="Q113" i="13"/>
  <c r="L114" i="13"/>
  <c r="S114" i="13" s="1"/>
  <c r="M116" i="13"/>
  <c r="N116" i="13" s="1"/>
  <c r="E112" i="17"/>
  <c r="B117" i="16"/>
  <c r="D117" i="16"/>
  <c r="C118" i="16" s="1"/>
  <c r="D114" i="14"/>
  <c r="C115" i="14" s="1"/>
  <c r="B114" i="14"/>
  <c r="E113" i="14"/>
  <c r="G113" i="14"/>
  <c r="H113" i="14"/>
  <c r="F113" i="14"/>
  <c r="B113" i="17"/>
  <c r="F113" i="17" s="1"/>
  <c r="D113" i="17"/>
  <c r="C114" i="17" s="1"/>
  <c r="G116" i="16"/>
  <c r="E116" i="16"/>
  <c r="H116" i="16"/>
  <c r="F116" i="16"/>
  <c r="K115" i="16"/>
  <c r="L115" i="16"/>
  <c r="H111" i="13" l="1"/>
  <c r="J111" i="13"/>
  <c r="G111" i="13"/>
  <c r="F111" i="13"/>
  <c r="E111" i="13"/>
  <c r="I111" i="13"/>
  <c r="C114" i="13"/>
  <c r="D114" i="13" s="1"/>
  <c r="B112" i="13"/>
  <c r="O114" i="13"/>
  <c r="P114" i="13"/>
  <c r="Q114" i="13"/>
  <c r="M117" i="13"/>
  <c r="N117" i="13" s="1"/>
  <c r="L115" i="13"/>
  <c r="S115" i="13" s="1"/>
  <c r="H114" i="14"/>
  <c r="E114" i="14"/>
  <c r="F114" i="14"/>
  <c r="G114" i="14"/>
  <c r="E113" i="17"/>
  <c r="D115" i="14"/>
  <c r="C116" i="14" s="1"/>
  <c r="B115" i="14"/>
  <c r="B118" i="16"/>
  <c r="D118" i="16"/>
  <c r="C119" i="16" s="1"/>
  <c r="F117" i="16"/>
  <c r="G117" i="16"/>
  <c r="H117" i="16"/>
  <c r="E117" i="16"/>
  <c r="B114" i="17"/>
  <c r="F114" i="17" s="1"/>
  <c r="D114" i="17"/>
  <c r="C115" i="17" s="1"/>
  <c r="K116" i="16"/>
  <c r="L116" i="16"/>
  <c r="H112" i="13" l="1"/>
  <c r="J112" i="13"/>
  <c r="E112" i="13"/>
  <c r="F112" i="13"/>
  <c r="G112" i="13"/>
  <c r="I112" i="13"/>
  <c r="C115" i="13"/>
  <c r="D115" i="13" s="1"/>
  <c r="B113" i="13"/>
  <c r="R114" i="13"/>
  <c r="M118" i="13"/>
  <c r="N118" i="13" s="1"/>
  <c r="L116" i="13"/>
  <c r="S116" i="13" s="1"/>
  <c r="P115" i="13"/>
  <c r="O115" i="13"/>
  <c r="R115" i="13" s="1"/>
  <c r="Q115" i="13"/>
  <c r="E114" i="17"/>
  <c r="F115" i="14"/>
  <c r="H115" i="14"/>
  <c r="G115" i="14"/>
  <c r="E115" i="14"/>
  <c r="D116" i="14"/>
  <c r="C117" i="14" s="1"/>
  <c r="B116" i="14"/>
  <c r="B119" i="16"/>
  <c r="D119" i="16"/>
  <c r="C120" i="16" s="1"/>
  <c r="B115" i="17"/>
  <c r="F115" i="17" s="1"/>
  <c r="D115" i="17"/>
  <c r="C116" i="17" s="1"/>
  <c r="H118" i="16"/>
  <c r="F118" i="16"/>
  <c r="G118" i="16"/>
  <c r="E118" i="16"/>
  <c r="K117" i="16"/>
  <c r="L117" i="16"/>
  <c r="J113" i="13" l="1"/>
  <c r="H113" i="13"/>
  <c r="G113" i="13"/>
  <c r="F113" i="13"/>
  <c r="E113" i="13"/>
  <c r="I113" i="13"/>
  <c r="C116" i="13"/>
  <c r="D116" i="13" s="1"/>
  <c r="B114" i="13"/>
  <c r="P116" i="13"/>
  <c r="Q116" i="13"/>
  <c r="O116" i="13"/>
  <c r="R116" i="13" s="1"/>
  <c r="M119" i="13"/>
  <c r="N119" i="13" s="1"/>
  <c r="L117" i="13"/>
  <c r="S117" i="13" s="1"/>
  <c r="B120" i="16"/>
  <c r="D120" i="16"/>
  <c r="C121" i="16" s="1"/>
  <c r="E116" i="14"/>
  <c r="H116" i="14"/>
  <c r="G116" i="14"/>
  <c r="F116" i="14"/>
  <c r="B116" i="17"/>
  <c r="F116" i="17" s="1"/>
  <c r="D116" i="17"/>
  <c r="C117" i="17" s="1"/>
  <c r="F119" i="16"/>
  <c r="G119" i="16"/>
  <c r="E119" i="16"/>
  <c r="H119" i="16"/>
  <c r="B117" i="14"/>
  <c r="D117" i="14"/>
  <c r="C118" i="14" s="1"/>
  <c r="E115" i="17"/>
  <c r="L118" i="16"/>
  <c r="K118" i="16"/>
  <c r="J114" i="13" l="1"/>
  <c r="H114" i="13"/>
  <c r="B115" i="13"/>
  <c r="C117" i="13"/>
  <c r="D117" i="13" s="1"/>
  <c r="F114" i="13"/>
  <c r="G114" i="13"/>
  <c r="E114" i="13"/>
  <c r="I114" i="13"/>
  <c r="Q117" i="13"/>
  <c r="P117" i="13"/>
  <c r="O117" i="13"/>
  <c r="M120" i="13"/>
  <c r="N120" i="13" s="1"/>
  <c r="L118" i="13"/>
  <c r="S118" i="13" s="1"/>
  <c r="D118" i="14"/>
  <c r="C119" i="14" s="1"/>
  <c r="B118" i="14"/>
  <c r="H117" i="14"/>
  <c r="G117" i="14"/>
  <c r="E117" i="14"/>
  <c r="F117" i="14"/>
  <c r="E120" i="16"/>
  <c r="H120" i="16"/>
  <c r="F120" i="16"/>
  <c r="G120" i="16"/>
  <c r="B117" i="17"/>
  <c r="F117" i="17" s="1"/>
  <c r="D117" i="17"/>
  <c r="C118" i="17" s="1"/>
  <c r="E116" i="17"/>
  <c r="B121" i="16"/>
  <c r="D121" i="16"/>
  <c r="C122" i="16" s="1"/>
  <c r="K119" i="16"/>
  <c r="L119" i="16"/>
  <c r="J115" i="13" l="1"/>
  <c r="H115" i="13"/>
  <c r="B116" i="13"/>
  <c r="C118" i="13"/>
  <c r="D118" i="13" s="1"/>
  <c r="E115" i="13"/>
  <c r="F115" i="13"/>
  <c r="G115" i="13"/>
  <c r="I115" i="13"/>
  <c r="R117" i="13"/>
  <c r="M121" i="13"/>
  <c r="N121" i="13" s="1"/>
  <c r="L119" i="13"/>
  <c r="S119" i="13" s="1"/>
  <c r="P118" i="13"/>
  <c r="O118" i="13"/>
  <c r="Q118" i="13"/>
  <c r="B118" i="17"/>
  <c r="F118" i="17" s="1"/>
  <c r="D118" i="17"/>
  <c r="C119" i="17" s="1"/>
  <c r="B122" i="16"/>
  <c r="D122" i="16"/>
  <c r="C123" i="16" s="1"/>
  <c r="E117" i="17"/>
  <c r="G118" i="14"/>
  <c r="E118" i="14"/>
  <c r="H118" i="14"/>
  <c r="F118" i="14"/>
  <c r="E121" i="16"/>
  <c r="H121" i="16"/>
  <c r="F121" i="16"/>
  <c r="G121" i="16"/>
  <c r="D119" i="14"/>
  <c r="C120" i="14" s="1"/>
  <c r="B119" i="14"/>
  <c r="K120" i="16"/>
  <c r="L120" i="16"/>
  <c r="J116" i="13" l="1"/>
  <c r="H116" i="13"/>
  <c r="C119" i="13"/>
  <c r="D119" i="13" s="1"/>
  <c r="B117" i="13"/>
  <c r="G116" i="13"/>
  <c r="F116" i="13"/>
  <c r="E116" i="13"/>
  <c r="I116" i="13"/>
  <c r="R118" i="13"/>
  <c r="Q119" i="13"/>
  <c r="P119" i="13"/>
  <c r="O119" i="13"/>
  <c r="R119" i="13" s="1"/>
  <c r="M122" i="13"/>
  <c r="N122" i="13" s="1"/>
  <c r="L120" i="13"/>
  <c r="S120" i="13" s="1"/>
  <c r="F119" i="14"/>
  <c r="G119" i="14"/>
  <c r="E119" i="14"/>
  <c r="H119" i="14"/>
  <c r="D120" i="14"/>
  <c r="C121" i="14" s="1"/>
  <c r="B120" i="14"/>
  <c r="B123" i="16"/>
  <c r="D123" i="16"/>
  <c r="C124" i="16" s="1"/>
  <c r="B119" i="17"/>
  <c r="F119" i="17" s="1"/>
  <c r="D119" i="17"/>
  <c r="C120" i="17" s="1"/>
  <c r="G122" i="16"/>
  <c r="E122" i="16"/>
  <c r="H122" i="16"/>
  <c r="F122" i="16"/>
  <c r="E118" i="17"/>
  <c r="K121" i="16"/>
  <c r="L121" i="16"/>
  <c r="J117" i="13" l="1"/>
  <c r="H117" i="13"/>
  <c r="E117" i="13"/>
  <c r="G117" i="13"/>
  <c r="F117" i="13"/>
  <c r="I117" i="13"/>
  <c r="C120" i="13"/>
  <c r="D120" i="13" s="1"/>
  <c r="B118" i="13"/>
  <c r="P120" i="13"/>
  <c r="O120" i="13"/>
  <c r="Q120" i="13"/>
  <c r="L121" i="13"/>
  <c r="S121" i="13" s="1"/>
  <c r="M123" i="13"/>
  <c r="N123" i="13" s="1"/>
  <c r="B120" i="17"/>
  <c r="F120" i="17" s="1"/>
  <c r="D120" i="17"/>
  <c r="C121" i="17" s="1"/>
  <c r="B121" i="14"/>
  <c r="D121" i="14"/>
  <c r="C122" i="14" s="1"/>
  <c r="B124" i="16"/>
  <c r="D124" i="16"/>
  <c r="C125" i="16" s="1"/>
  <c r="G123" i="16"/>
  <c r="E123" i="16"/>
  <c r="H123" i="16"/>
  <c r="F123" i="16"/>
  <c r="F120" i="14"/>
  <c r="G120" i="14"/>
  <c r="H120" i="14"/>
  <c r="E120" i="14"/>
  <c r="E119" i="17"/>
  <c r="L122" i="16"/>
  <c r="K122" i="16"/>
  <c r="J118" i="13" l="1"/>
  <c r="H118" i="13"/>
  <c r="G118" i="13"/>
  <c r="F118" i="13"/>
  <c r="E118" i="13"/>
  <c r="I118" i="13"/>
  <c r="C121" i="13"/>
  <c r="D121" i="13" s="1"/>
  <c r="B119" i="13"/>
  <c r="R120" i="13"/>
  <c r="P121" i="13"/>
  <c r="O121" i="13"/>
  <c r="Q121" i="13"/>
  <c r="L122" i="13"/>
  <c r="S122" i="13" s="1"/>
  <c r="M124" i="13"/>
  <c r="N124" i="13" s="1"/>
  <c r="E124" i="16"/>
  <c r="F124" i="16"/>
  <c r="G124" i="16"/>
  <c r="H124" i="16"/>
  <c r="D121" i="17"/>
  <c r="C122" i="17" s="1"/>
  <c r="B121" i="17"/>
  <c r="F121" i="17" s="1"/>
  <c r="B125" i="16"/>
  <c r="D125" i="16"/>
  <c r="C126" i="16" s="1"/>
  <c r="B122" i="14"/>
  <c r="D122" i="14"/>
  <c r="C123" i="14" s="1"/>
  <c r="E120" i="17"/>
  <c r="H121" i="14"/>
  <c r="E121" i="14"/>
  <c r="G121" i="14"/>
  <c r="F121" i="14"/>
  <c r="L123" i="16"/>
  <c r="K123" i="16"/>
  <c r="J119" i="13" l="1"/>
  <c r="H119" i="13"/>
  <c r="G119" i="13"/>
  <c r="F119" i="13"/>
  <c r="E119" i="13"/>
  <c r="I119" i="13"/>
  <c r="C122" i="13"/>
  <c r="D122" i="13" s="1"/>
  <c r="B120" i="13"/>
  <c r="R121" i="13"/>
  <c r="M125" i="13"/>
  <c r="N125" i="13" s="1"/>
  <c r="L123" i="13"/>
  <c r="S123" i="13" s="1"/>
  <c r="Q122" i="13"/>
  <c r="P122" i="13"/>
  <c r="O122" i="13"/>
  <c r="R122" i="13" s="1"/>
  <c r="B122" i="17"/>
  <c r="F122" i="17" s="1"/>
  <c r="D122" i="17"/>
  <c r="C123" i="17" s="1"/>
  <c r="E125" i="16"/>
  <c r="F125" i="16"/>
  <c r="G125" i="16"/>
  <c r="H125" i="16"/>
  <c r="D123" i="14"/>
  <c r="C124" i="14" s="1"/>
  <c r="B123" i="14"/>
  <c r="E121" i="17"/>
  <c r="H122" i="14"/>
  <c r="E122" i="14"/>
  <c r="G122" i="14"/>
  <c r="F122" i="14"/>
  <c r="B126" i="16"/>
  <c r="D126" i="16"/>
  <c r="C127" i="16" s="1"/>
  <c r="L124" i="16"/>
  <c r="K124" i="16"/>
  <c r="J120" i="13" l="1"/>
  <c r="H120" i="13"/>
  <c r="G120" i="13"/>
  <c r="E120" i="13"/>
  <c r="F120" i="13"/>
  <c r="I120" i="13"/>
  <c r="C123" i="13"/>
  <c r="D123" i="13" s="1"/>
  <c r="B121" i="13"/>
  <c r="Q123" i="13"/>
  <c r="P123" i="13"/>
  <c r="O123" i="13"/>
  <c r="R123" i="13" s="1"/>
  <c r="M126" i="13"/>
  <c r="N126" i="13" s="1"/>
  <c r="L124" i="13"/>
  <c r="S124" i="13" s="1"/>
  <c r="B127" i="16"/>
  <c r="D127" i="16"/>
  <c r="C128" i="16" s="1"/>
  <c r="F123" i="14"/>
  <c r="H123" i="14"/>
  <c r="E123" i="14"/>
  <c r="G123" i="14"/>
  <c r="E122" i="17"/>
  <c r="E126" i="16"/>
  <c r="F126" i="16"/>
  <c r="G126" i="16"/>
  <c r="H126" i="16"/>
  <c r="B124" i="14"/>
  <c r="D124" i="14"/>
  <c r="C125" i="14" s="1"/>
  <c r="D123" i="17"/>
  <c r="C124" i="17" s="1"/>
  <c r="B123" i="17"/>
  <c r="F123" i="17" s="1"/>
  <c r="K125" i="16"/>
  <c r="L125" i="16"/>
  <c r="H121" i="13" l="1"/>
  <c r="J121" i="13"/>
  <c r="F121" i="13"/>
  <c r="G121" i="13"/>
  <c r="E121" i="13"/>
  <c r="I121" i="13"/>
  <c r="C124" i="13"/>
  <c r="D124" i="13" s="1"/>
  <c r="B122" i="13"/>
  <c r="P124" i="13"/>
  <c r="O124" i="13"/>
  <c r="R124" i="13" s="1"/>
  <c r="Q124" i="13"/>
  <c r="M127" i="13"/>
  <c r="N127" i="13" s="1"/>
  <c r="L125" i="13"/>
  <c r="S125" i="13" s="1"/>
  <c r="D124" i="17"/>
  <c r="C125" i="17" s="1"/>
  <c r="B124" i="17"/>
  <c r="F124" i="17" s="1"/>
  <c r="D125" i="14"/>
  <c r="C126" i="14" s="1"/>
  <c r="B125" i="14"/>
  <c r="F127" i="16"/>
  <c r="E127" i="16"/>
  <c r="H127" i="16"/>
  <c r="G127" i="16"/>
  <c r="E124" i="14"/>
  <c r="H124" i="14"/>
  <c r="F124" i="14"/>
  <c r="G124" i="14"/>
  <c r="B128" i="16"/>
  <c r="D128" i="16"/>
  <c r="C129" i="16" s="1"/>
  <c r="E123" i="17"/>
  <c r="L126" i="16"/>
  <c r="K126" i="16"/>
  <c r="J122" i="13" l="1"/>
  <c r="H122" i="13"/>
  <c r="G122" i="13"/>
  <c r="F122" i="13"/>
  <c r="E122" i="13"/>
  <c r="I122" i="13"/>
  <c r="C125" i="13"/>
  <c r="D125" i="13" s="1"/>
  <c r="B123" i="13"/>
  <c r="Q125" i="13"/>
  <c r="O125" i="13"/>
  <c r="R125" i="13" s="1"/>
  <c r="P125" i="13"/>
  <c r="L126" i="13"/>
  <c r="S126" i="13" s="1"/>
  <c r="M128" i="13"/>
  <c r="N128" i="13" s="1"/>
  <c r="B129" i="16"/>
  <c r="D129" i="16"/>
  <c r="C130" i="16" s="1"/>
  <c r="H125" i="14"/>
  <c r="F125" i="14"/>
  <c r="E125" i="14"/>
  <c r="G125" i="14"/>
  <c r="F128" i="16"/>
  <c r="E128" i="16"/>
  <c r="H128" i="16"/>
  <c r="G128" i="16"/>
  <c r="B125" i="17"/>
  <c r="F125" i="17" s="1"/>
  <c r="D125" i="17"/>
  <c r="C126" i="17" s="1"/>
  <c r="E124" i="17"/>
  <c r="B126" i="14"/>
  <c r="D126" i="14"/>
  <c r="C127" i="14" s="1"/>
  <c r="L127" i="16"/>
  <c r="K127" i="16"/>
  <c r="J123" i="13" l="1"/>
  <c r="H123" i="13"/>
  <c r="B124" i="13"/>
  <c r="C126" i="13"/>
  <c r="D126" i="13" s="1"/>
  <c r="F123" i="13"/>
  <c r="E123" i="13"/>
  <c r="G123" i="13"/>
  <c r="I123" i="13"/>
  <c r="Q126" i="13"/>
  <c r="P126" i="13"/>
  <c r="O126" i="13"/>
  <c r="R126" i="13" s="1"/>
  <c r="M129" i="13"/>
  <c r="N129" i="13" s="1"/>
  <c r="L127" i="13"/>
  <c r="S127" i="13" s="1"/>
  <c r="E126" i="14"/>
  <c r="G126" i="14"/>
  <c r="F126" i="14"/>
  <c r="H126" i="14"/>
  <c r="E125" i="17"/>
  <c r="D127" i="14"/>
  <c r="C128" i="14" s="1"/>
  <c r="B127" i="14"/>
  <c r="B126" i="17"/>
  <c r="F126" i="17" s="1"/>
  <c r="D126" i="17"/>
  <c r="C127" i="17" s="1"/>
  <c r="B130" i="16"/>
  <c r="D130" i="16"/>
  <c r="C131" i="16" s="1"/>
  <c r="E129" i="16"/>
  <c r="F129" i="16"/>
  <c r="G129" i="16"/>
  <c r="H129" i="16"/>
  <c r="K128" i="16"/>
  <c r="L128" i="16"/>
  <c r="H124" i="13" l="1"/>
  <c r="J124" i="13"/>
  <c r="C127" i="13"/>
  <c r="D127" i="13" s="1"/>
  <c r="B125" i="13"/>
  <c r="F124" i="13"/>
  <c r="E124" i="13"/>
  <c r="G124" i="13"/>
  <c r="I124" i="13"/>
  <c r="O127" i="13"/>
  <c r="R127" i="13" s="1"/>
  <c r="P127" i="13"/>
  <c r="Q127" i="13"/>
  <c r="M130" i="13"/>
  <c r="N130" i="13" s="1"/>
  <c r="L128" i="13"/>
  <c r="S128" i="13" s="1"/>
  <c r="E130" i="16"/>
  <c r="F130" i="16"/>
  <c r="G130" i="16"/>
  <c r="H130" i="16"/>
  <c r="G127" i="14"/>
  <c r="E127" i="14"/>
  <c r="F127" i="14"/>
  <c r="H127" i="14"/>
  <c r="E126" i="17"/>
  <c r="D128" i="14"/>
  <c r="C129" i="14" s="1"/>
  <c r="B128" i="14"/>
  <c r="B131" i="16"/>
  <c r="D131" i="16"/>
  <c r="C132" i="16" s="1"/>
  <c r="B127" i="17"/>
  <c r="F127" i="17" s="1"/>
  <c r="D127" i="17"/>
  <c r="C128" i="17" s="1"/>
  <c r="L129" i="16"/>
  <c r="K129" i="16"/>
  <c r="J125" i="13" l="1"/>
  <c r="H125" i="13"/>
  <c r="G125" i="13"/>
  <c r="F125" i="13"/>
  <c r="E125" i="13"/>
  <c r="I125" i="13"/>
  <c r="C128" i="13"/>
  <c r="D128" i="13" s="1"/>
  <c r="B126" i="13"/>
  <c r="P128" i="13"/>
  <c r="O128" i="13"/>
  <c r="R128" i="13" s="1"/>
  <c r="Q128" i="13"/>
  <c r="M131" i="13"/>
  <c r="N131" i="13" s="1"/>
  <c r="L129" i="13"/>
  <c r="S129" i="13" s="1"/>
  <c r="B129" i="14"/>
  <c r="D129" i="14"/>
  <c r="C130" i="14" s="1"/>
  <c r="E127" i="17"/>
  <c r="B132" i="16"/>
  <c r="D132" i="16"/>
  <c r="C133" i="16" s="1"/>
  <c r="G131" i="16"/>
  <c r="H131" i="16"/>
  <c r="F131" i="16"/>
  <c r="E131" i="16"/>
  <c r="E128" i="14"/>
  <c r="H128" i="14"/>
  <c r="G128" i="14"/>
  <c r="F128" i="14"/>
  <c r="B128" i="17"/>
  <c r="F128" i="17" s="1"/>
  <c r="D128" i="17"/>
  <c r="C129" i="17" s="1"/>
  <c r="K130" i="16"/>
  <c r="L130" i="16"/>
  <c r="J126" i="13" l="1"/>
  <c r="H126" i="13"/>
  <c r="G126" i="13"/>
  <c r="E126" i="13"/>
  <c r="F126" i="13"/>
  <c r="I126" i="13"/>
  <c r="B127" i="13"/>
  <c r="C129" i="13"/>
  <c r="D129" i="13" s="1"/>
  <c r="Q129" i="13"/>
  <c r="O129" i="13"/>
  <c r="R129" i="13" s="1"/>
  <c r="P129" i="13"/>
  <c r="L130" i="13"/>
  <c r="S130" i="13" s="1"/>
  <c r="M132" i="13"/>
  <c r="N132" i="13" s="1"/>
  <c r="B130" i="14"/>
  <c r="D130" i="14"/>
  <c r="C131" i="14" s="1"/>
  <c r="B133" i="16"/>
  <c r="D133" i="16"/>
  <c r="C134" i="16" s="1"/>
  <c r="E129" i="14"/>
  <c r="G129" i="14"/>
  <c r="F129" i="14"/>
  <c r="H129" i="14"/>
  <c r="G132" i="16"/>
  <c r="H132" i="16"/>
  <c r="F132" i="16"/>
  <c r="E132" i="16"/>
  <c r="D129" i="17"/>
  <c r="C130" i="17" s="1"/>
  <c r="B129" i="17"/>
  <c r="F129" i="17" s="1"/>
  <c r="E128" i="17"/>
  <c r="L131" i="16"/>
  <c r="K131" i="16"/>
  <c r="J127" i="13" l="1"/>
  <c r="H127" i="13"/>
  <c r="C130" i="13"/>
  <c r="D130" i="13" s="1"/>
  <c r="B128" i="13"/>
  <c r="G127" i="13"/>
  <c r="E127" i="13"/>
  <c r="F127" i="13"/>
  <c r="I127" i="13"/>
  <c r="Q130" i="13"/>
  <c r="O130" i="13"/>
  <c r="P130" i="13"/>
  <c r="R130" i="13" s="1"/>
  <c r="M133" i="13"/>
  <c r="N133" i="13" s="1"/>
  <c r="L131" i="13"/>
  <c r="S131" i="13" s="1"/>
  <c r="E129" i="17"/>
  <c r="B130" i="17"/>
  <c r="F130" i="17" s="1"/>
  <c r="D130" i="17"/>
  <c r="C131" i="17" s="1"/>
  <c r="G133" i="16"/>
  <c r="H133" i="16"/>
  <c r="F133" i="16"/>
  <c r="E133" i="16"/>
  <c r="B131" i="14"/>
  <c r="D131" i="14"/>
  <c r="C132" i="14" s="1"/>
  <c r="E130" i="14"/>
  <c r="F130" i="14"/>
  <c r="G130" i="14"/>
  <c r="H130" i="14"/>
  <c r="B134" i="16"/>
  <c r="D134" i="16"/>
  <c r="C135" i="16" s="1"/>
  <c r="K132" i="16"/>
  <c r="L132" i="16"/>
  <c r="H128" i="13" l="1"/>
  <c r="J128" i="13"/>
  <c r="G128" i="13"/>
  <c r="E128" i="13"/>
  <c r="F128" i="13"/>
  <c r="I128" i="13"/>
  <c r="C131" i="13"/>
  <c r="D131" i="13" s="1"/>
  <c r="B129" i="13"/>
  <c r="Q131" i="13"/>
  <c r="P131" i="13"/>
  <c r="O131" i="13"/>
  <c r="R131" i="13" s="1"/>
  <c r="L132" i="13"/>
  <c r="S132" i="13" s="1"/>
  <c r="M134" i="13"/>
  <c r="N134" i="13" s="1"/>
  <c r="B132" i="14"/>
  <c r="D132" i="14"/>
  <c r="C133" i="14" s="1"/>
  <c r="D131" i="17"/>
  <c r="C132" i="17" s="1"/>
  <c r="B131" i="17"/>
  <c r="F131" i="17" s="1"/>
  <c r="B135" i="16"/>
  <c r="D135" i="16"/>
  <c r="C136" i="16" s="1"/>
  <c r="F131" i="14"/>
  <c r="E131" i="14"/>
  <c r="G131" i="14"/>
  <c r="H131" i="14"/>
  <c r="E130" i="17"/>
  <c r="G134" i="16"/>
  <c r="H134" i="16"/>
  <c r="F134" i="16"/>
  <c r="E134" i="16"/>
  <c r="K133" i="16"/>
  <c r="L133" i="16"/>
  <c r="J129" i="13" l="1"/>
  <c r="H129" i="13"/>
  <c r="F129" i="13"/>
  <c r="G129" i="13"/>
  <c r="E129" i="13"/>
  <c r="I129" i="13"/>
  <c r="C132" i="13"/>
  <c r="D132" i="13" s="1"/>
  <c r="B130" i="13"/>
  <c r="M135" i="13"/>
  <c r="N135" i="13" s="1"/>
  <c r="L133" i="13"/>
  <c r="S133" i="13" s="1"/>
  <c r="P132" i="13"/>
  <c r="Q132" i="13"/>
  <c r="O132" i="13"/>
  <c r="R132" i="13" s="1"/>
  <c r="B136" i="16"/>
  <c r="D136" i="16"/>
  <c r="C137" i="16" s="1"/>
  <c r="E131" i="17"/>
  <c r="B132" i="17"/>
  <c r="F132" i="17" s="1"/>
  <c r="D132" i="17"/>
  <c r="C133" i="17" s="1"/>
  <c r="B133" i="14"/>
  <c r="D133" i="14"/>
  <c r="C134" i="14" s="1"/>
  <c r="G135" i="16"/>
  <c r="H135" i="16"/>
  <c r="F135" i="16"/>
  <c r="E135" i="16"/>
  <c r="E132" i="14"/>
  <c r="H132" i="14"/>
  <c r="F132" i="14"/>
  <c r="G132" i="14"/>
  <c r="L134" i="16"/>
  <c r="K134" i="16"/>
  <c r="J130" i="13" l="1"/>
  <c r="H130" i="13"/>
  <c r="F130" i="13"/>
  <c r="G130" i="13"/>
  <c r="E130" i="13"/>
  <c r="I130" i="13"/>
  <c r="B131" i="13"/>
  <c r="C133" i="13"/>
  <c r="D133" i="13" s="1"/>
  <c r="Q133" i="13"/>
  <c r="P133" i="13"/>
  <c r="O133" i="13"/>
  <c r="M136" i="13"/>
  <c r="N136" i="13" s="1"/>
  <c r="L134" i="13"/>
  <c r="S134" i="13" s="1"/>
  <c r="D134" i="14"/>
  <c r="C135" i="14" s="1"/>
  <c r="B134" i="14"/>
  <c r="H133" i="14"/>
  <c r="E133" i="14"/>
  <c r="F133" i="14"/>
  <c r="G133" i="14"/>
  <c r="D133" i="17"/>
  <c r="C134" i="17" s="1"/>
  <c r="B133" i="17"/>
  <c r="F133" i="17" s="1"/>
  <c r="B137" i="16"/>
  <c r="D137" i="16"/>
  <c r="C138" i="16" s="1"/>
  <c r="E132" i="17"/>
  <c r="H136" i="16"/>
  <c r="G136" i="16"/>
  <c r="E136" i="16"/>
  <c r="F136" i="16"/>
  <c r="K135" i="16"/>
  <c r="L135" i="16"/>
  <c r="J131" i="13" l="1"/>
  <c r="H131" i="13"/>
  <c r="B132" i="13"/>
  <c r="C134" i="13"/>
  <c r="D134" i="13" s="1"/>
  <c r="F131" i="13"/>
  <c r="G131" i="13"/>
  <c r="E131" i="13"/>
  <c r="I131" i="13"/>
  <c r="R133" i="13"/>
  <c r="L135" i="13"/>
  <c r="S135" i="13" s="1"/>
  <c r="M137" i="13"/>
  <c r="N137" i="13" s="1"/>
  <c r="P134" i="13"/>
  <c r="Q134" i="13"/>
  <c r="O134" i="13"/>
  <c r="R134" i="13" s="1"/>
  <c r="B138" i="16"/>
  <c r="D138" i="16"/>
  <c r="C139" i="16" s="1"/>
  <c r="E133" i="17"/>
  <c r="G137" i="16"/>
  <c r="H137" i="16"/>
  <c r="F137" i="16"/>
  <c r="E137" i="16"/>
  <c r="B134" i="17"/>
  <c r="F134" i="17" s="1"/>
  <c r="D134" i="17"/>
  <c r="C135" i="17" s="1"/>
  <c r="G134" i="14"/>
  <c r="E134" i="14"/>
  <c r="H134" i="14"/>
  <c r="F134" i="14"/>
  <c r="B135" i="14"/>
  <c r="D135" i="14"/>
  <c r="C136" i="14" s="1"/>
  <c r="K136" i="16"/>
  <c r="L136" i="16"/>
  <c r="J132" i="13" l="1"/>
  <c r="H132" i="13"/>
  <c r="B133" i="13"/>
  <c r="C135" i="13"/>
  <c r="D135" i="13" s="1"/>
  <c r="F132" i="13"/>
  <c r="G132" i="13"/>
  <c r="E132" i="13"/>
  <c r="I132" i="13"/>
  <c r="L136" i="13"/>
  <c r="S136" i="13" s="1"/>
  <c r="M138" i="13"/>
  <c r="N138" i="13" s="1"/>
  <c r="O135" i="13"/>
  <c r="P135" i="13"/>
  <c r="Q135" i="13"/>
  <c r="D136" i="14"/>
  <c r="C137" i="14" s="1"/>
  <c r="B136" i="14"/>
  <c r="F135" i="14"/>
  <c r="G135" i="14"/>
  <c r="E135" i="14"/>
  <c r="H135" i="14"/>
  <c r="F138" i="16"/>
  <c r="E138" i="16"/>
  <c r="H138" i="16"/>
  <c r="G138" i="16"/>
  <c r="D135" i="17"/>
  <c r="C136" i="17" s="1"/>
  <c r="B135" i="17"/>
  <c r="F135" i="17" s="1"/>
  <c r="E134" i="17"/>
  <c r="B139" i="16"/>
  <c r="D139" i="16"/>
  <c r="C140" i="16" s="1"/>
  <c r="K137" i="16"/>
  <c r="L137" i="16"/>
  <c r="J133" i="13" l="1"/>
  <c r="H133" i="13"/>
  <c r="C136" i="13"/>
  <c r="D136" i="13" s="1"/>
  <c r="B134" i="13"/>
  <c r="G133" i="13"/>
  <c r="F133" i="13"/>
  <c r="E133" i="13"/>
  <c r="I133" i="13"/>
  <c r="R135" i="13"/>
  <c r="L137" i="13"/>
  <c r="S137" i="13" s="1"/>
  <c r="O136" i="13"/>
  <c r="Q136" i="13"/>
  <c r="P136" i="13"/>
  <c r="B140" i="16"/>
  <c r="D140" i="16"/>
  <c r="C141" i="16" s="1"/>
  <c r="E135" i="17"/>
  <c r="E139" i="16"/>
  <c r="H139" i="16"/>
  <c r="F139" i="16"/>
  <c r="G139" i="16"/>
  <c r="B136" i="17"/>
  <c r="F136" i="17" s="1"/>
  <c r="D136" i="17"/>
  <c r="C137" i="17" s="1"/>
  <c r="F136" i="14"/>
  <c r="H136" i="14"/>
  <c r="E136" i="14"/>
  <c r="G136" i="14"/>
  <c r="B137" i="14"/>
  <c r="D137" i="14"/>
  <c r="C138" i="14" s="1"/>
  <c r="K138" i="16"/>
  <c r="L138" i="16"/>
  <c r="J134" i="13" l="1"/>
  <c r="H134" i="13"/>
  <c r="E134" i="13"/>
  <c r="G134" i="13"/>
  <c r="F134" i="13"/>
  <c r="I134" i="13"/>
  <c r="B135" i="13"/>
  <c r="C137" i="13"/>
  <c r="D137" i="13" s="1"/>
  <c r="R136" i="13"/>
  <c r="L138" i="13"/>
  <c r="S138" i="13" s="1"/>
  <c r="Q137" i="13"/>
  <c r="O137" i="13"/>
  <c r="R137" i="13" s="1"/>
  <c r="P137" i="13"/>
  <c r="D138" i="14"/>
  <c r="B138" i="14"/>
  <c r="B137" i="17"/>
  <c r="F137" i="17" s="1"/>
  <c r="D137" i="17"/>
  <c r="C138" i="17" s="1"/>
  <c r="H137" i="14"/>
  <c r="E137" i="14"/>
  <c r="F137" i="14"/>
  <c r="G137" i="14"/>
  <c r="B141" i="16"/>
  <c r="D141" i="16"/>
  <c r="E136" i="17"/>
  <c r="G140" i="16"/>
  <c r="E140" i="16"/>
  <c r="H140" i="16"/>
  <c r="F140" i="16"/>
  <c r="L139" i="16"/>
  <c r="K139" i="16"/>
  <c r="J135" i="13" l="1"/>
  <c r="H135" i="13"/>
  <c r="C138" i="13"/>
  <c r="D138" i="13" s="1"/>
  <c r="B136" i="13"/>
  <c r="G135" i="13"/>
  <c r="E135" i="13"/>
  <c r="F135" i="13"/>
  <c r="I135" i="13"/>
  <c r="O138" i="13"/>
  <c r="Q138" i="13"/>
  <c r="P138" i="13"/>
  <c r="E141" i="16"/>
  <c r="H141" i="16"/>
  <c r="F141" i="16"/>
  <c r="G141" i="16"/>
  <c r="AH1" i="16"/>
  <c r="B138" i="17"/>
  <c r="F138" i="17" s="1"/>
  <c r="D138" i="17"/>
  <c r="E137" i="17"/>
  <c r="H138" i="14"/>
  <c r="F138" i="14"/>
  <c r="E138" i="14"/>
  <c r="G138" i="14"/>
  <c r="AI1" i="14"/>
  <c r="L140" i="16"/>
  <c r="K140" i="16"/>
  <c r="H136" i="13" l="1"/>
  <c r="J136" i="13"/>
  <c r="E136" i="13"/>
  <c r="G136" i="13"/>
  <c r="F136" i="13"/>
  <c r="I136" i="13"/>
  <c r="B137" i="13"/>
  <c r="R138" i="13"/>
  <c r="E138" i="17"/>
  <c r="L141" i="16"/>
  <c r="K141" i="16"/>
  <c r="J137" i="13" l="1"/>
  <c r="H137" i="13"/>
  <c r="B138" i="13"/>
  <c r="G137" i="13"/>
  <c r="F137" i="13"/>
  <c r="E137" i="13"/>
  <c r="I137" i="13"/>
  <c r="J138" i="13" l="1"/>
  <c r="H138" i="13"/>
  <c r="G138" i="13"/>
  <c r="E138" i="13"/>
  <c r="F138" i="13"/>
  <c r="I138" i="13"/>
  <c r="K15" i="1" l="1"/>
  <c r="L15" i="1" s="1"/>
  <c r="I29" i="16"/>
  <c r="J25" i="13"/>
  <c r="J26" i="13"/>
  <c r="J25" i="14"/>
  <c r="J26" i="14"/>
  <c r="H26" i="13"/>
  <c r="J29" i="16"/>
  <c r="J28" i="16"/>
  <c r="AB9" i="21"/>
  <c r="I25" i="14"/>
  <c r="I28" i="16"/>
  <c r="S22" i="13"/>
  <c r="H25" i="13"/>
  <c r="I26" i="14"/>
  <c r="K26" i="14" s="1"/>
  <c r="K25" i="14"/>
  <c r="K29" i="16"/>
  <c r="L29" i="16"/>
  <c r="K28" i="16"/>
  <c r="L28" i="16"/>
  <c r="I25" i="13" l="1"/>
  <c r="AC9" i="21"/>
  <c r="I26" i="13"/>
  <c r="K16" i="1"/>
  <c r="L16" i="1" s="1"/>
  <c r="H27" i="13"/>
  <c r="I27" i="14"/>
  <c r="I30" i="16"/>
  <c r="I28" i="14"/>
  <c r="I31" i="16"/>
  <c r="S23" i="13"/>
  <c r="J27" i="13"/>
  <c r="J28" i="13"/>
  <c r="AB10" i="21"/>
  <c r="J27" i="14"/>
  <c r="J28" i="14"/>
  <c r="K28" i="14" s="1"/>
  <c r="H28" i="13"/>
  <c r="J31" i="16"/>
  <c r="J30" i="16"/>
  <c r="K27" i="14"/>
  <c r="L31" i="16"/>
  <c r="K31" i="16"/>
  <c r="K30" i="16"/>
  <c r="L30" i="16"/>
  <c r="I28" i="13" l="1"/>
  <c r="I27" i="13"/>
  <c r="AF12" i="21"/>
  <c r="AC10" i="21"/>
  <c r="K17" i="1"/>
  <c r="K18" i="1" s="1"/>
  <c r="L18" i="1" s="1"/>
  <c r="L17" i="1" l="1"/>
  <c r="AF13" i="21"/>
  <c r="K19" i="1"/>
  <c r="J34" i="16"/>
  <c r="J35" i="16"/>
  <c r="H32" i="13"/>
  <c r="J31" i="14"/>
  <c r="J32" i="14"/>
  <c r="AB12" i="21"/>
  <c r="J32" i="13"/>
  <c r="J31" i="13"/>
  <c r="F20" i="17"/>
  <c r="I32" i="14"/>
  <c r="K32" i="14" s="1"/>
  <c r="I35" i="16"/>
  <c r="S25" i="13"/>
  <c r="H29" i="13"/>
  <c r="I29" i="14"/>
  <c r="I32" i="16"/>
  <c r="I30" i="14"/>
  <c r="I33" i="16"/>
  <c r="S24" i="13"/>
  <c r="I34" i="16"/>
  <c r="I31" i="14"/>
  <c r="K31" i="14" s="1"/>
  <c r="J29" i="13"/>
  <c r="J30" i="13"/>
  <c r="AB11" i="21"/>
  <c r="J29" i="14"/>
  <c r="J30" i="14"/>
  <c r="K30" i="14" s="1"/>
  <c r="H30" i="13"/>
  <c r="H31" i="13"/>
  <c r="J32" i="16"/>
  <c r="J33" i="16"/>
  <c r="F19" i="17"/>
  <c r="K34" i="16"/>
  <c r="L34" i="16"/>
  <c r="L35" i="16"/>
  <c r="K35" i="16"/>
  <c r="K29" i="14"/>
  <c r="K32" i="16"/>
  <c r="L32" i="16"/>
  <c r="L33" i="16"/>
  <c r="K33" i="16"/>
  <c r="I31" i="13" l="1"/>
  <c r="I30" i="13"/>
  <c r="AC11" i="21"/>
  <c r="AC12" i="21" s="1"/>
  <c r="I29" i="13"/>
  <c r="I32" i="13"/>
  <c r="L19" i="1"/>
  <c r="K20" i="1"/>
  <c r="K21" i="1" s="1"/>
  <c r="L21" i="1" s="1"/>
  <c r="I33" i="14"/>
  <c r="I36" i="16"/>
  <c r="H33" i="13"/>
  <c r="F21" i="17"/>
  <c r="I34" i="14"/>
  <c r="S26" i="13"/>
  <c r="I37" i="16"/>
  <c r="J33" i="13"/>
  <c r="J34" i="13"/>
  <c r="AB13" i="21"/>
  <c r="J33" i="14"/>
  <c r="J34" i="14"/>
  <c r="K34" i="14" s="1"/>
  <c r="H34" i="13"/>
  <c r="J37" i="16"/>
  <c r="J36" i="16"/>
  <c r="K33" i="14"/>
  <c r="K37" i="16"/>
  <c r="L37" i="16"/>
  <c r="K36" i="16"/>
  <c r="L36" i="16"/>
  <c r="I34" i="13" l="1"/>
  <c r="I33" i="13"/>
  <c r="AF14" i="21"/>
  <c r="AC13" i="21"/>
  <c r="L20" i="1"/>
  <c r="K22" i="1"/>
  <c r="H35" i="13"/>
  <c r="I38" i="16"/>
  <c r="I35" i="14"/>
  <c r="J40" i="16"/>
  <c r="J41" i="16"/>
  <c r="H38" i="13"/>
  <c r="J37" i="14"/>
  <c r="J38" i="14"/>
  <c r="AB15" i="21"/>
  <c r="J38" i="13"/>
  <c r="J37" i="13"/>
  <c r="F23" i="17"/>
  <c r="I38" i="14"/>
  <c r="K38" i="14" s="1"/>
  <c r="S28" i="13"/>
  <c r="I41" i="16"/>
  <c r="S27" i="13"/>
  <c r="I36" i="14"/>
  <c r="I39" i="16"/>
  <c r="F22" i="17"/>
  <c r="I40" i="16"/>
  <c r="I37" i="14"/>
  <c r="K37" i="14" s="1"/>
  <c r="J35" i="13"/>
  <c r="J36" i="13"/>
  <c r="AB14" i="21"/>
  <c r="J36" i="14"/>
  <c r="K36" i="14" s="1"/>
  <c r="J35" i="14"/>
  <c r="H37" i="13"/>
  <c r="H36" i="13"/>
  <c r="J39" i="16"/>
  <c r="J38" i="16"/>
  <c r="K40" i="16"/>
  <c r="L40" i="16"/>
  <c r="L41" i="16"/>
  <c r="K41" i="16"/>
  <c r="K35" i="14"/>
  <c r="L39" i="16"/>
  <c r="K39" i="16"/>
  <c r="K38" i="16"/>
  <c r="L38" i="16"/>
  <c r="F6" i="16" l="1"/>
  <c r="F5" i="16"/>
  <c r="F3" i="14"/>
  <c r="F5" i="14" s="1"/>
  <c r="AH2" i="16"/>
  <c r="I36" i="13"/>
  <c r="I37" i="13"/>
  <c r="AI2" i="14"/>
  <c r="I7" i="13"/>
  <c r="I38" i="13"/>
  <c r="F7" i="14"/>
  <c r="F11" i="16"/>
  <c r="I35" i="13"/>
  <c r="AC14" i="21"/>
  <c r="AC15" i="21" s="1"/>
  <c r="L22" i="1"/>
  <c r="K23" i="1"/>
  <c r="F24" i="17"/>
  <c r="AB16" i="21"/>
  <c r="L23" i="1" l="1"/>
  <c r="K24" i="1"/>
  <c r="I6" i="13"/>
  <c r="I8" i="13" s="1"/>
  <c r="C2" i="21" s="1"/>
  <c r="AC16" i="21"/>
  <c r="AF15" i="21"/>
  <c r="F7" i="16"/>
  <c r="F9" i="16" s="1"/>
  <c r="F25" i="17"/>
  <c r="AB17" i="21"/>
  <c r="AC17" i="21" l="1"/>
  <c r="L24" i="1"/>
  <c r="K25" i="1"/>
  <c r="F26" i="17"/>
  <c r="AB18" i="21"/>
  <c r="L25" i="1" l="1"/>
  <c r="K26" i="1"/>
  <c r="AF16" i="21"/>
  <c r="AC18" i="21"/>
  <c r="F27" i="17"/>
  <c r="AB19" i="21"/>
  <c r="L26" i="1" l="1"/>
  <c r="K27" i="1"/>
  <c r="AC19" i="21"/>
  <c r="F28" i="17"/>
  <c r="AB20" i="21"/>
  <c r="F11" i="17"/>
  <c r="F10" i="17" l="1"/>
  <c r="AC20" i="21"/>
  <c r="L27" i="1"/>
  <c r="K28" i="1"/>
  <c r="F12" i="17"/>
  <c r="AB21" i="21"/>
  <c r="L28" i="1" l="1"/>
  <c r="K29" i="1"/>
  <c r="AF17" i="21"/>
  <c r="AC21" i="21"/>
  <c r="AB22" i="21"/>
  <c r="L29" i="1" l="1"/>
  <c r="K30" i="1"/>
  <c r="AC22" i="21"/>
  <c r="AB23" i="21"/>
  <c r="AC23" i="21" l="1"/>
  <c r="L30" i="1"/>
  <c r="K31" i="1"/>
  <c r="AB24" i="21"/>
  <c r="L31" i="1" l="1"/>
  <c r="K32" i="1"/>
  <c r="AC24" i="21"/>
  <c r="AB25" i="21"/>
  <c r="L32" i="1" l="1"/>
  <c r="K33" i="1"/>
  <c r="AC25" i="21"/>
  <c r="AB26" i="21"/>
  <c r="L33" i="1" l="1"/>
  <c r="K34" i="1"/>
  <c r="AF18" i="21"/>
  <c r="AC26" i="21"/>
  <c r="AB27" i="21"/>
  <c r="AC27" i="21" l="1"/>
  <c r="L34" i="1"/>
  <c r="K35" i="1"/>
  <c r="AB28" i="21"/>
  <c r="L35" i="1" l="1"/>
  <c r="K36" i="1"/>
  <c r="AC28" i="21"/>
  <c r="AB29" i="21"/>
  <c r="L36" i="1" l="1"/>
  <c r="K37" i="1"/>
  <c r="AC29" i="21"/>
  <c r="AB30" i="21"/>
  <c r="AC30" i="21" l="1"/>
  <c r="L37" i="1"/>
  <c r="K38" i="1"/>
  <c r="AB31" i="21"/>
  <c r="L38" i="1" l="1"/>
  <c r="K39" i="1"/>
  <c r="AF19" i="21"/>
  <c r="AC31" i="21"/>
  <c r="AB32" i="21"/>
  <c r="AC32" i="21" l="1"/>
  <c r="L39" i="1"/>
  <c r="K40" i="1"/>
  <c r="AB33" i="21"/>
  <c r="L40" i="1" l="1"/>
  <c r="K41" i="1"/>
  <c r="L41" i="1" s="1"/>
  <c r="AC33" i="21"/>
  <c r="AB34" i="21"/>
  <c r="AB35" i="21"/>
  <c r="AC34" i="21" l="1"/>
  <c r="AC35" i="21" s="1"/>
  <c r="AF20" i="2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</author>
  </authors>
  <commentList>
    <comment ref="E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Si nominal &gt; 0, traiter un swap payeur pour couvrir
Si nominal &lt; 0, traiter un swap receveur...</t>
        </r>
      </text>
    </comment>
  </commentList>
</comments>
</file>

<file path=xl/sharedStrings.xml><?xml version="1.0" encoding="utf-8"?>
<sst xmlns="http://schemas.openxmlformats.org/spreadsheetml/2006/main" count="329" uniqueCount="175">
  <si>
    <t>Currency</t>
  </si>
  <si>
    <t>EUR</t>
  </si>
  <si>
    <t>DEPOSIT</t>
  </si>
  <si>
    <t>3M</t>
  </si>
  <si>
    <t>6M</t>
  </si>
  <si>
    <t>SWAP</t>
  </si>
  <si>
    <t>2Y</t>
  </si>
  <si>
    <t>3Y</t>
  </si>
  <si>
    <t>5Y</t>
  </si>
  <si>
    <t>7Y</t>
  </si>
  <si>
    <t>10Y</t>
  </si>
  <si>
    <t>15Y</t>
  </si>
  <si>
    <t>20Y</t>
  </si>
  <si>
    <t>30Y</t>
  </si>
  <si>
    <t>type</t>
  </si>
  <si>
    <t>value</t>
  </si>
  <si>
    <t>maturity</t>
  </si>
  <si>
    <t>interp rate</t>
  </si>
  <si>
    <t>DF</t>
  </si>
  <si>
    <t>ZC rate</t>
  </si>
  <si>
    <t>Shift (BP)</t>
  </si>
  <si>
    <t>market rate</t>
  </si>
  <si>
    <t>As of date</t>
  </si>
  <si>
    <t>A</t>
  </si>
  <si>
    <t>S</t>
  </si>
  <si>
    <t>Q</t>
  </si>
  <si>
    <t>M</t>
  </si>
  <si>
    <t>ACT/360</t>
  </si>
  <si>
    <t>ACT/365</t>
  </si>
  <si>
    <t>30/360</t>
  </si>
  <si>
    <t>Frequency</t>
  </si>
  <si>
    <t>JJ</t>
  </si>
  <si>
    <t>1Y</t>
  </si>
  <si>
    <t>12Y</t>
  </si>
  <si>
    <t>25Y</t>
  </si>
  <si>
    <t>J+2</t>
  </si>
  <si>
    <t>Maturity (date)</t>
  </si>
  <si>
    <t>Mat (days)</t>
  </si>
  <si>
    <t>funding size</t>
  </si>
  <si>
    <t>Notional</t>
  </si>
  <si>
    <t>fixed size</t>
  </si>
  <si>
    <t>Start date</t>
  </si>
  <si>
    <t>End date</t>
  </si>
  <si>
    <t>Convention</t>
  </si>
  <si>
    <t>margin (bp)</t>
  </si>
  <si>
    <t>Fixed rate</t>
  </si>
  <si>
    <t>start</t>
  </si>
  <si>
    <t>end</t>
  </si>
  <si>
    <t>margin</t>
  </si>
  <si>
    <t>fixed rate</t>
  </si>
  <si>
    <t>Schedule Jambe Fixe</t>
  </si>
  <si>
    <t>Fwd Rate</t>
  </si>
  <si>
    <t>Cash Flow</t>
  </si>
  <si>
    <t>Exp. Cash Flow</t>
  </si>
  <si>
    <t>Disc. Fact</t>
  </si>
  <si>
    <t>fixing</t>
  </si>
  <si>
    <t>per. intérêt</t>
  </si>
  <si>
    <t>Swap type</t>
  </si>
  <si>
    <t>PAYEUR</t>
  </si>
  <si>
    <t>Schedule Jambe Variable</t>
  </si>
  <si>
    <t>PV Swap</t>
  </si>
  <si>
    <t>PV variable</t>
  </si>
  <si>
    <t>PV fixe</t>
  </si>
  <si>
    <t>Swap pricing</t>
  </si>
  <si>
    <t>Strike</t>
  </si>
  <si>
    <t>CAP schedule</t>
  </si>
  <si>
    <t>Type</t>
  </si>
  <si>
    <t>Product defintion</t>
  </si>
  <si>
    <t>EURIBOR 12M</t>
  </si>
  <si>
    <t>EURIBOR 6M</t>
  </si>
  <si>
    <t>EURIBOR 3M</t>
  </si>
  <si>
    <t>EURIBOR 1M</t>
  </si>
  <si>
    <t>Rate</t>
  </si>
  <si>
    <t>PRICE</t>
  </si>
  <si>
    <t>BP / YEAR</t>
  </si>
  <si>
    <t>strike</t>
  </si>
  <si>
    <t xml:space="preserve">PV </t>
  </si>
  <si>
    <t>ATM strike</t>
  </si>
  <si>
    <t>Strike floor</t>
  </si>
  <si>
    <t>Strike cap</t>
  </si>
  <si>
    <t>PV cap</t>
  </si>
  <si>
    <t>strike cap</t>
  </si>
  <si>
    <t>strike floor</t>
  </si>
  <si>
    <t>PV floor</t>
  </si>
  <si>
    <t>Floor price</t>
  </si>
  <si>
    <t>Cap price</t>
  </si>
  <si>
    <t xml:space="preserve">  &lt;&lt; Je suis payeur du variable EURIBOR. Prix à payer pour floorer et capper l'EURIBOR</t>
  </si>
  <si>
    <t>Schedule</t>
  </si>
  <si>
    <t>Fixed freq</t>
  </si>
  <si>
    <t>Underlying swap</t>
  </si>
  <si>
    <t>Swaption</t>
  </si>
  <si>
    <t>Maturité (Y)</t>
  </si>
  <si>
    <t>Tenor (Y)</t>
  </si>
  <si>
    <t>level</t>
  </si>
  <si>
    <t>Fixed Conv</t>
  </si>
  <si>
    <t>pay / rec</t>
  </si>
  <si>
    <t>PAYEUSE</t>
  </si>
  <si>
    <t>Swaprate</t>
  </si>
  <si>
    <t>vol</t>
  </si>
  <si>
    <t>CAP</t>
  </si>
  <si>
    <t>MATURITY</t>
  </si>
  <si>
    <t>TYPE</t>
  </si>
  <si>
    <t>SENSI</t>
  </si>
  <si>
    <t>PV port.</t>
  </si>
  <si>
    <t xml:space="preserve">  &lt;&lt; mettre ici la PV du portefeuille dont on souhaite calculer les sensis</t>
  </si>
  <si>
    <t>Level</t>
  </si>
  <si>
    <t>as of date</t>
  </si>
  <si>
    <t>mat courbe</t>
  </si>
  <si>
    <t>shift</t>
  </si>
  <si>
    <t>Sensi  Nom=1</t>
  </si>
  <si>
    <t>cvg</t>
  </si>
  <si>
    <t>,</t>
  </si>
  <si>
    <t>NOMINAL SWAP</t>
  </si>
  <si>
    <t>-</t>
  </si>
  <si>
    <t>1Mo</t>
  </si>
  <si>
    <t>3Mo</t>
  </si>
  <si>
    <t>6Mo</t>
  </si>
  <si>
    <t>9Mo</t>
  </si>
  <si>
    <t>Cap norm vol</t>
  </si>
  <si>
    <t>Floor norm vol</t>
  </si>
  <si>
    <t>Norm vol</t>
  </si>
  <si>
    <t>EURIBOR CURVE</t>
  </si>
  <si>
    <t>ATM</t>
  </si>
  <si>
    <t>-1.50%</t>
  </si>
  <si>
    <t>-1.00%</t>
  </si>
  <si>
    <t>-0.50%</t>
  </si>
  <si>
    <t>0.00%</t>
  </si>
  <si>
    <t>1.00%</t>
  </si>
  <si>
    <t>1.50%</t>
  </si>
  <si>
    <t>2.00%</t>
  </si>
  <si>
    <t>2.50%</t>
  </si>
  <si>
    <t>3.00%</t>
  </si>
  <si>
    <t>3.50%</t>
  </si>
  <si>
    <t>4.00%</t>
  </si>
  <si>
    <t>5.00%</t>
  </si>
  <si>
    <t>6.00%</t>
  </si>
  <si>
    <t>7.00%</t>
  </si>
  <si>
    <t>8.00%</t>
  </si>
  <si>
    <t>9.00%</t>
  </si>
  <si>
    <t>10.00%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</si>
  <si>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</si>
  <si>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</si>
  <si>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</si>
  <si>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</si>
  <si>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</si>
  <si>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</si>
  <si>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</si>
  <si>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</si>
  <si>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</si>
  <si>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</si>
  <si>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</si>
  <si>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</si>
  <si>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</si>
  <si>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</si>
  <si>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</si>
  <si>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CAP &amp; FLOOR NORMAL VOL</t>
  </si>
  <si>
    <t>Jambe variable</t>
  </si>
  <si>
    <t>Jambe fixe</t>
  </si>
  <si>
    <t>Nominal</t>
  </si>
  <si>
    <t>ZC CURVE BOOTSTRAP</t>
  </si>
  <si>
    <t>4Y</t>
  </si>
  <si>
    <t>1y / 1y</t>
  </si>
  <si>
    <t>1y / 5y</t>
  </si>
  <si>
    <t>1y / 10y</t>
  </si>
  <si>
    <t>2y / 5y</t>
  </si>
  <si>
    <t>2y / 10y</t>
  </si>
  <si>
    <t>5y / 5y</t>
  </si>
  <si>
    <t>5y / 10y</t>
  </si>
  <si>
    <t>5y / 30y</t>
  </si>
  <si>
    <t>10y / 10y</t>
  </si>
  <si>
    <t>10y / 20y</t>
  </si>
  <si>
    <t>15y / 15y</t>
  </si>
  <si>
    <t>SWAPTION SMILED VOL</t>
  </si>
  <si>
    <t>ATM SWAPTIONS NORMAL VOL</t>
  </si>
  <si>
    <t>Float freq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</si>
</sst>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44" formatCode="_-* #,##0.00\ &quot;€&quot;_-;\-* #,##0.00\ &quot;€&quot;_-;_-* &quot;-&quot;??\ &quot;€&quot;_-;_-@_-"/>
    <numFmt numFmtId="164" formatCode="0.0000"/>
    <numFmt numFmtId="165" formatCode="0.000%"/>
    <numFmt numFmtId="166" formatCode="0.0000%"/>
    <numFmt numFmtId="167" formatCode="#,##0\ &quot;€&quot;"/>
    <numFmt numFmtId="168" formatCode="_-* #,##0\ &quot;€&quot;_-;\-* #,##0\ &quot;€&quot;_-;_-* &quot;-&quot;??\ &quot;€&quot;_-;_-@_-"/>
    <numFmt numFmtId="169" formatCode="#,##0.0"/>
    <numFmt numFmtId="170" formatCode="0.00000%"/>
    <numFmt numFmtId="171" formatCode="0.0%"/>
    <numFmt numFmtId="172" formatCode="dd/mm/yy;@"/>
  </numFmts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10"/>
      <color indexed="48"/>
      <name val="Arial"/>
      <family val="2"/>
    </font>
    <font>
      <b/>
      <i/>
      <sz val="10"/>
      <name val="Arial"/>
      <family val="2"/>
    </font>
    <font>
      <sz val="10"/>
      <color indexed="10"/>
      <name val="Arial"/>
      <family val="2"/>
    </font>
    <font>
      <sz val="10"/>
      <color indexed="55"/>
      <name val="Arial"/>
      <family val="2"/>
    </font>
    <font>
      <sz val="12"/>
      <color indexed="10"/>
      <name val="Arial"/>
      <family val="2"/>
    </font>
    <font>
      <sz val="14"/>
      <color indexed="10"/>
      <name val="Arial"/>
      <family val="2"/>
    </font>
    <font>
      <b/>
      <sz val="9"/>
      <color indexed="81"/>
      <name val="Tahoma"/>
      <family val="2"/>
    </font>
    <font>
      <b/>
      <sz val="9"/>
      <name val="Arial"/>
      <family val="2"/>
    </font>
    <font>
      <i/>
      <sz val="9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Arial"/>
      <family val="2"/>
    </font>
    <font>
      <sz val="10"/>
      <color theme="5" tint="-0.499984740745262"/>
      <name val="Arial"/>
      <family val="2"/>
    </font>
    <font>
      <b/>
      <sz val="8"/>
      <color rgb="FF000000"/>
      <name val="Arial"/>
      <family val="2"/>
    </font>
    <font>
      <sz val="10"/>
      <color rgb="FFFF0000"/>
      <name val="Arial"/>
      <family val="2"/>
    </font>
    <font>
      <b/>
      <sz val="11"/>
      <color indexed="9"/>
      <name val="Calibri"/>
      <family val="2"/>
    </font>
    <font>
      <b/>
      <u/>
      <sz val="11"/>
      <color theme="1"/>
      <name val="Calibri"/>
      <family val="2"/>
      <scheme val="minor"/>
    </font>
    <font>
      <b/>
      <sz val="10"/>
      <color rgb="FFFF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4F81BD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6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0" fillId="9" borderId="0"/>
    <xf numFmtId="0" fontId="1" fillId="0" borderId="0"/>
    <xf numFmtId="9" fontId="1" fillId="0" borderId="0" applyFont="0" applyFill="0" applyBorder="0" applyAlignment="0" applyProtection="0"/>
  </cellStyleXfs>
  <cellXfs count="106">
    <xf numFmtId="0" fontId="0" fillId="0" borderId="0" xfId="0"/>
    <xf numFmtId="0" fontId="0" fillId="0" borderId="0" xfId="0" applyAlignment="1">
      <alignment horizontal="center"/>
    </xf>
    <xf numFmtId="0" fontId="3" fillId="0" borderId="1" xfId="0" applyFont="1" applyBorder="1" applyAlignment="1">
      <alignment horizontal="center"/>
    </xf>
    <xf numFmtId="10" fontId="0" fillId="0" borderId="0" xfId="2" applyNumberFormat="1" applyFont="1" applyAlignment="1">
      <alignment horizontal="center"/>
    </xf>
    <xf numFmtId="0" fontId="0" fillId="0" borderId="1" xfId="0" applyBorder="1"/>
    <xf numFmtId="0" fontId="3" fillId="0" borderId="1" xfId="0" applyFont="1" applyBorder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14" fontId="0" fillId="0" borderId="0" xfId="0" applyNumberFormat="1"/>
    <xf numFmtId="10" fontId="2" fillId="0" borderId="0" xfId="2" applyNumberFormat="1" applyAlignment="1">
      <alignment horizontal="center"/>
    </xf>
    <xf numFmtId="0" fontId="7" fillId="0" borderId="1" xfId="0" applyFont="1" applyBorder="1"/>
    <xf numFmtId="0" fontId="5" fillId="0" borderId="0" xfId="0" applyFont="1"/>
    <xf numFmtId="10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6" fillId="0" borderId="0" xfId="0" applyFont="1" applyAlignment="1">
      <alignment horizontal="center"/>
    </xf>
    <xf numFmtId="15" fontId="0" fillId="0" borderId="0" xfId="0" applyNumberFormat="1"/>
    <xf numFmtId="165" fontId="0" fillId="0" borderId="0" xfId="2" applyNumberFormat="1" applyFont="1" applyAlignment="1">
      <alignment horizontal="center"/>
    </xf>
    <xf numFmtId="164" fontId="0" fillId="0" borderId="0" xfId="2" applyNumberFormat="1" applyFont="1" applyAlignment="1">
      <alignment horizontal="center"/>
    </xf>
    <xf numFmtId="15" fontId="0" fillId="0" borderId="0" xfId="0" applyNumberFormat="1" applyAlignment="1">
      <alignment horizontal="center"/>
    </xf>
    <xf numFmtId="0" fontId="9" fillId="0" borderId="0" xfId="0" applyFont="1"/>
    <xf numFmtId="15" fontId="9" fillId="0" borderId="0" xfId="0" applyNumberFormat="1" applyFont="1"/>
    <xf numFmtId="15" fontId="6" fillId="0" borderId="0" xfId="0" applyNumberFormat="1" applyFont="1" applyAlignment="1">
      <alignment horizontal="center"/>
    </xf>
    <xf numFmtId="15" fontId="8" fillId="0" borderId="0" xfId="0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0" fontId="7" fillId="0" borderId="1" xfId="0" applyFont="1" applyBorder="1" applyAlignment="1">
      <alignment horizontal="center"/>
    </xf>
    <xf numFmtId="166" fontId="2" fillId="0" borderId="0" xfId="2" applyNumberFormat="1" applyAlignment="1">
      <alignment horizontal="center"/>
    </xf>
    <xf numFmtId="0" fontId="7" fillId="0" borderId="0" xfId="0" applyFont="1" applyAlignment="1">
      <alignment horizontal="center"/>
    </xf>
    <xf numFmtId="166" fontId="0" fillId="0" borderId="0" xfId="2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0" fillId="0" borderId="0" xfId="2" applyNumberFormat="1" applyFont="1" applyAlignment="1">
      <alignment horizontal="center"/>
    </xf>
    <xf numFmtId="6" fontId="6" fillId="0" borderId="1" xfId="0" applyNumberFormat="1" applyFont="1" applyBorder="1"/>
    <xf numFmtId="6" fontId="6" fillId="0" borderId="1" xfId="0" applyNumberFormat="1" applyFont="1" applyBorder="1" applyAlignment="1">
      <alignment horizontal="center"/>
    </xf>
    <xf numFmtId="167" fontId="10" fillId="0" borderId="0" xfId="0" applyNumberFormat="1" applyFont="1"/>
    <xf numFmtId="167" fontId="11" fillId="0" borderId="2" xfId="0" applyNumberFormat="1" applyFont="1" applyBorder="1"/>
    <xf numFmtId="0" fontId="3" fillId="0" borderId="2" xfId="0" applyFont="1" applyBorder="1"/>
    <xf numFmtId="167" fontId="2" fillId="0" borderId="0" xfId="2" applyNumberFormat="1" applyAlignment="1">
      <alignment horizontal="center"/>
    </xf>
    <xf numFmtId="0" fontId="3" fillId="0" borderId="0" xfId="0" applyFont="1"/>
    <xf numFmtId="169" fontId="11" fillId="0" borderId="2" xfId="0" applyNumberFormat="1" applyFont="1" applyBorder="1"/>
    <xf numFmtId="0" fontId="7" fillId="0" borderId="2" xfId="0" applyFont="1" applyBorder="1"/>
    <xf numFmtId="6" fontId="6" fillId="0" borderId="0" xfId="0" applyNumberFormat="1" applyFont="1" applyAlignment="1">
      <alignment horizontal="center"/>
    </xf>
    <xf numFmtId="166" fontId="8" fillId="0" borderId="0" xfId="2" applyNumberFormat="1" applyFont="1"/>
    <xf numFmtId="167" fontId="8" fillId="0" borderId="0" xfId="0" applyNumberFormat="1" applyFont="1"/>
    <xf numFmtId="10" fontId="0" fillId="0" borderId="0" xfId="2" applyNumberFormat="1" applyFont="1"/>
    <xf numFmtId="168" fontId="0" fillId="0" borderId="0" xfId="1" applyNumberFormat="1" applyFont="1"/>
    <xf numFmtId="167" fontId="0" fillId="0" borderId="0" xfId="0" applyNumberFormat="1"/>
    <xf numFmtId="10" fontId="3" fillId="0" borderId="0" xfId="2" applyNumberFormat="1" applyFont="1"/>
    <xf numFmtId="165" fontId="6" fillId="0" borderId="0" xfId="0" applyNumberFormat="1" applyFont="1" applyAlignment="1">
      <alignment horizontal="center"/>
    </xf>
    <xf numFmtId="166" fontId="4" fillId="0" borderId="0" xfId="2" applyNumberFormat="1" applyFont="1" applyAlignment="1">
      <alignment horizontal="center"/>
    </xf>
    <xf numFmtId="166" fontId="4" fillId="2" borderId="0" xfId="2" applyNumberFormat="1" applyFont="1" applyFill="1" applyAlignment="1">
      <alignment horizontal="center"/>
    </xf>
    <xf numFmtId="0" fontId="7" fillId="0" borderId="0" xfId="0" applyFont="1"/>
    <xf numFmtId="0" fontId="0" fillId="4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13" fillId="8" borderId="3" xfId="0" applyFont="1" applyFill="1" applyBorder="1" applyAlignment="1">
      <alignment horizontal="center"/>
    </xf>
    <xf numFmtId="0" fontId="13" fillId="8" borderId="4" xfId="0" applyFont="1" applyFill="1" applyBorder="1" applyAlignment="1">
      <alignment horizontal="center"/>
    </xf>
    <xf numFmtId="0" fontId="13" fillId="8" borderId="5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 vertical="center"/>
    </xf>
    <xf numFmtId="167" fontId="16" fillId="6" borderId="8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vertical="center"/>
    </xf>
    <xf numFmtId="167" fontId="17" fillId="7" borderId="10" xfId="0" applyNumberFormat="1" applyFont="1" applyFill="1" applyBorder="1" applyAlignment="1">
      <alignment horizontal="center"/>
    </xf>
    <xf numFmtId="167" fontId="17" fillId="7" borderId="11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3" fillId="8" borderId="13" xfId="0" applyFont="1" applyFill="1" applyBorder="1" applyAlignment="1">
      <alignment horizontal="center"/>
    </xf>
    <xf numFmtId="167" fontId="17" fillId="7" borderId="9" xfId="0" applyNumberFormat="1" applyFont="1" applyFill="1" applyBorder="1" applyAlignment="1">
      <alignment horizontal="center"/>
    </xf>
    <xf numFmtId="167" fontId="17" fillId="7" borderId="14" xfId="0" applyNumberFormat="1" applyFont="1" applyFill="1" applyBorder="1" applyAlignment="1">
      <alignment horizontal="center"/>
    </xf>
    <xf numFmtId="10" fontId="0" fillId="0" borderId="0" xfId="0" applyNumberFormat="1"/>
    <xf numFmtId="0" fontId="4" fillId="0" borderId="0" xfId="0" applyFont="1" applyAlignment="1">
      <alignment horizontal="center"/>
    </xf>
    <xf numFmtId="10" fontId="0" fillId="4" borderId="0" xfId="0" applyNumberFormat="1" applyFill="1" applyAlignment="1">
      <alignment horizontal="center"/>
    </xf>
    <xf numFmtId="165" fontId="10" fillId="0" borderId="0" xfId="2" applyNumberFormat="1" applyFont="1"/>
    <xf numFmtId="10" fontId="19" fillId="0" borderId="0" xfId="2" applyNumberFormat="1" applyFont="1" applyBorder="1" applyAlignment="1">
      <alignment horizontal="center"/>
    </xf>
    <xf numFmtId="0" fontId="1" fillId="0" borderId="0" xfId="4"/>
    <xf numFmtId="0" fontId="21" fillId="0" borderId="0" xfId="4" applyFont="1"/>
    <xf numFmtId="165" fontId="0" fillId="0" borderId="9" xfId="5" applyNumberFormat="1" applyFont="1" applyBorder="1" applyAlignment="1">
      <alignment horizontal="center"/>
    </xf>
    <xf numFmtId="165" fontId="0" fillId="0" borderId="17" xfId="5" applyNumberFormat="1" applyFont="1" applyBorder="1" applyAlignment="1">
      <alignment horizontal="center"/>
    </xf>
    <xf numFmtId="165" fontId="0" fillId="0" borderId="0" xfId="5" applyNumberFormat="1" applyFont="1"/>
    <xf numFmtId="170" fontId="0" fillId="0" borderId="0" xfId="5" applyNumberFormat="1" applyFont="1"/>
    <xf numFmtId="0" fontId="1" fillId="7" borderId="15" xfId="4" applyFill="1" applyBorder="1"/>
    <xf numFmtId="0" fontId="15" fillId="7" borderId="15" xfId="4" applyFont="1" applyFill="1" applyBorder="1" applyAlignment="1">
      <alignment horizontal="center"/>
    </xf>
    <xf numFmtId="0" fontId="15" fillId="7" borderId="16" xfId="4" applyFont="1" applyFill="1" applyBorder="1" applyAlignment="1">
      <alignment horizontal="center"/>
    </xf>
    <xf numFmtId="0" fontId="15" fillId="7" borderId="8" xfId="4" applyFont="1" applyFill="1" applyBorder="1" applyAlignment="1">
      <alignment horizontal="center"/>
    </xf>
    <xf numFmtId="0" fontId="15" fillId="7" borderId="9" xfId="4" applyFont="1" applyFill="1" applyBorder="1" applyAlignment="1">
      <alignment horizontal="center"/>
    </xf>
    <xf numFmtId="0" fontId="15" fillId="7" borderId="17" xfId="4" applyFont="1" applyFill="1" applyBorder="1" applyAlignment="1">
      <alignment horizontal="center"/>
    </xf>
    <xf numFmtId="10" fontId="0" fillId="0" borderId="0" xfId="5" applyNumberFormat="1" applyFont="1" applyBorder="1" applyAlignment="1">
      <alignment horizontal="center"/>
    </xf>
    <xf numFmtId="10" fontId="0" fillId="0" borderId="7" xfId="5" applyNumberFormat="1" applyFont="1" applyBorder="1" applyAlignment="1">
      <alignment horizontal="center"/>
    </xf>
    <xf numFmtId="10" fontId="0" fillId="0" borderId="1" xfId="5" applyNumberFormat="1" applyFont="1" applyBorder="1" applyAlignment="1">
      <alignment horizontal="center"/>
    </xf>
    <xf numFmtId="10" fontId="0" fillId="0" borderId="18" xfId="5" applyNumberFormat="1" applyFont="1" applyBorder="1" applyAlignment="1">
      <alignment horizontal="center"/>
    </xf>
    <xf numFmtId="0" fontId="1" fillId="7" borderId="15" xfId="4" applyFill="1" applyBorder="1" applyAlignment="1">
      <alignment horizontal="center"/>
    </xf>
    <xf numFmtId="10" fontId="1" fillId="0" borderId="0" xfId="2" applyNumberFormat="1" applyFont="1" applyBorder="1" applyAlignment="1">
      <alignment horizontal="center"/>
    </xf>
    <xf numFmtId="10" fontId="1" fillId="0" borderId="7" xfId="2" applyNumberFormat="1" applyFont="1" applyBorder="1" applyAlignment="1">
      <alignment horizontal="center"/>
    </xf>
    <xf numFmtId="10" fontId="1" fillId="0" borderId="1" xfId="2" applyNumberFormat="1" applyFont="1" applyBorder="1" applyAlignment="1">
      <alignment horizontal="center"/>
    </xf>
    <xf numFmtId="10" fontId="1" fillId="0" borderId="18" xfId="2" applyNumberFormat="1" applyFont="1" applyBorder="1" applyAlignment="1">
      <alignment horizontal="center"/>
    </xf>
    <xf numFmtId="15" fontId="22" fillId="0" borderId="1" xfId="0" applyNumberFormat="1" applyFont="1" applyBorder="1"/>
    <xf numFmtId="15" fontId="22" fillId="0" borderId="1" xfId="0" applyNumberFormat="1" applyFont="1" applyBorder="1" applyAlignment="1">
      <alignment horizontal="center"/>
    </xf>
    <xf numFmtId="0" fontId="19" fillId="0" borderId="0" xfId="0" applyFont="1"/>
    <xf numFmtId="172" fontId="0" fillId="0" borderId="0" xfId="0" applyNumberFormat="1" applyAlignment="1">
      <alignment horizontal="center"/>
    </xf>
    <xf numFmtId="171" fontId="0" fillId="0" borderId="0" xfId="2" applyNumberFormat="1" applyFont="1"/>
    <xf numFmtId="166" fontId="0" fillId="0" borderId="0" xfId="0" applyNumberFormat="1"/>
    <xf numFmtId="14" fontId="3" fillId="0" borderId="0" xfId="0" applyNumberFormat="1" applyFont="1" applyAlignment="1">
      <alignment horizontal="center"/>
    </xf>
    <xf numFmtId="10" fontId="1" fillId="0" borderId="19" xfId="2" applyNumberFormat="1" applyFont="1" applyBorder="1" applyAlignment="1">
      <alignment horizontal="center"/>
    </xf>
    <xf numFmtId="10" fontId="1" fillId="0" borderId="20" xfId="2" applyNumberFormat="1" applyFont="1" applyBorder="1" applyAlignment="1">
      <alignment horizontal="center"/>
    </xf>
    <xf numFmtId="10" fontId="1" fillId="0" borderId="21" xfId="2" applyNumberFormat="1" applyFont="1" applyBorder="1" applyAlignment="1">
      <alignment horizontal="center"/>
    </xf>
    <xf numFmtId="10" fontId="1" fillId="0" borderId="22" xfId="2" applyNumberFormat="1" applyFont="1" applyBorder="1" applyAlignment="1">
      <alignment horizontal="center"/>
    </xf>
    <xf numFmtId="10" fontId="1" fillId="0" borderId="23" xfId="2" applyNumberFormat="1" applyFont="1" applyBorder="1" applyAlignment="1">
      <alignment horizontal="center"/>
    </xf>
  </cellXfs>
  <cellStyles count="6">
    <cellStyle name="blp_column_header" xfId="3" xr:uid="{00000000-0005-0000-0000-000000000000}"/>
    <cellStyle name="Euro" xfId="1" xr:uid="{00000000-0005-0000-0000-000001000000}"/>
    <cellStyle name="Normal" xfId="0" builtinId="0"/>
    <cellStyle name="Normal 2" xfId="4" xr:uid="{7E343C03-199E-4BF3-B36F-3A4CB3911C65}"/>
    <cellStyle name="Pourcentage" xfId="2" builtinId="5"/>
    <cellStyle name="Pourcentage 2" xfId="5" xr:uid="{0E16E1DE-FD05-4D61-A794-04A67C8125F7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'Market vols'!$AE$24:$AE$48</c:f>
              <c:numCache>
                <c:formatCode>General</c:formatCode>
                <c:ptCount val="25"/>
                <c:pt idx="0">
                  <c:v>10950</c:v>
                </c:pt>
                <c:pt idx="1">
                  <c:v>11000</c:v>
                </c:pt>
                <c:pt idx="2">
                  <c:v>11050</c:v>
                </c:pt>
                <c:pt idx="3">
                  <c:v>11100</c:v>
                </c:pt>
                <c:pt idx="4">
                  <c:v>11150</c:v>
                </c:pt>
                <c:pt idx="5">
                  <c:v>11200</c:v>
                </c:pt>
                <c:pt idx="6">
                  <c:v>11250</c:v>
                </c:pt>
                <c:pt idx="7">
                  <c:v>11300</c:v>
                </c:pt>
                <c:pt idx="8">
                  <c:v>11350</c:v>
                </c:pt>
                <c:pt idx="9">
                  <c:v>11400</c:v>
                </c:pt>
                <c:pt idx="10">
                  <c:v>11450</c:v>
                </c:pt>
                <c:pt idx="11">
                  <c:v>11500</c:v>
                </c:pt>
                <c:pt idx="12">
                  <c:v>11550</c:v>
                </c:pt>
                <c:pt idx="13">
                  <c:v>11600</c:v>
                </c:pt>
                <c:pt idx="14">
                  <c:v>11650</c:v>
                </c:pt>
                <c:pt idx="15">
                  <c:v>11700</c:v>
                </c:pt>
                <c:pt idx="16">
                  <c:v>11750</c:v>
                </c:pt>
                <c:pt idx="17">
                  <c:v>11800</c:v>
                </c:pt>
                <c:pt idx="18">
                  <c:v>11850</c:v>
                </c:pt>
                <c:pt idx="19">
                  <c:v>11900</c:v>
                </c:pt>
                <c:pt idx="20">
                  <c:v>11950</c:v>
                </c:pt>
                <c:pt idx="21">
                  <c:v>12000</c:v>
                </c:pt>
                <c:pt idx="22">
                  <c:v>12050</c:v>
                </c:pt>
                <c:pt idx="23">
                  <c:v>12100</c:v>
                </c:pt>
                <c:pt idx="24">
                  <c:v>12150</c:v>
                </c:pt>
              </c:numCache>
            </c:numRef>
          </c:xVal>
          <c:yVal>
            <c:numRef>
              <c:f>'Market vols'!$AF$24:$AF$48</c:f>
              <c:numCache>
                <c:formatCode>0.000%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BC-4BC4-B203-ACB92A407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1650703"/>
        <c:axId val="544617280"/>
      </c:scatterChart>
      <c:valAx>
        <c:axId val="14116507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4617280"/>
        <c:crosses val="autoZero"/>
        <c:crossBetween val="midCat"/>
      </c:valAx>
      <c:valAx>
        <c:axId val="54461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116507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300959</xdr:colOff>
      <xdr:row>3</xdr:row>
      <xdr:rowOff>160085</xdr:rowOff>
    </xdr:from>
    <xdr:to>
      <xdr:col>35</xdr:col>
      <xdr:colOff>377799</xdr:colOff>
      <xdr:row>18</xdr:row>
      <xdr:rowOff>117823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272143</xdr:colOff>
          <xdr:row>5</xdr:row>
          <xdr:rowOff>114300</xdr:rowOff>
        </xdr:from>
        <xdr:to>
          <xdr:col>7</xdr:col>
          <xdr:colOff>5443</xdr:colOff>
          <xdr:row>7</xdr:row>
          <xdr:rowOff>108857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Calc. Sensis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2:S73"/>
  <sheetViews>
    <sheetView showGridLines="0" zoomScale="115" zoomScaleNormal="115" workbookViewId="0"/>
  </sheetViews>
  <sheetFormatPr baseColWidth="10" defaultRowHeight="12.45" x14ac:dyDescent="0.3"/>
  <cols>
    <col min="1" max="1" width="3.4609375" customWidth="1"/>
    <col min="4" max="4" width="13.69140625" customWidth="1"/>
    <col min="8" max="8" width="14" customWidth="1"/>
    <col min="9" max="9" width="12.53515625" customWidth="1"/>
    <col min="13" max="13" width="13.07421875" bestFit="1" customWidth="1"/>
    <col min="14" max="14" width="13.4609375" bestFit="1" customWidth="1"/>
    <col min="15" max="15" width="13.69140625" customWidth="1"/>
  </cols>
  <sheetData>
    <row r="2" spans="2:19" x14ac:dyDescent="0.3">
      <c r="B2" s="5" t="s">
        <v>121</v>
      </c>
      <c r="C2" s="4"/>
      <c r="D2" s="94">
        <v>45296</v>
      </c>
      <c r="H2" s="5" t="s">
        <v>159</v>
      </c>
      <c r="I2" s="4"/>
      <c r="J2" s="4"/>
    </row>
    <row r="4" spans="2:19" x14ac:dyDescent="0.3">
      <c r="B4" s="6" t="s">
        <v>0</v>
      </c>
      <c r="C4" s="7" t="s">
        <v>1</v>
      </c>
      <c r="D4" s="6" t="s">
        <v>20</v>
      </c>
      <c r="E4" s="17">
        <v>0</v>
      </c>
      <c r="H4" s="1" t="s">
        <v>35</v>
      </c>
      <c r="I4" s="18">
        <f>D2+2</f>
        <v>45298</v>
      </c>
    </row>
    <row r="5" spans="2:19" x14ac:dyDescent="0.3">
      <c r="H5" s="1"/>
    </row>
    <row r="7" spans="2:19" x14ac:dyDescent="0.3">
      <c r="B7" s="2" t="s">
        <v>16</v>
      </c>
      <c r="C7" s="2" t="s">
        <v>14</v>
      </c>
      <c r="D7" s="2" t="s">
        <v>21</v>
      </c>
      <c r="E7" s="2" t="s">
        <v>15</v>
      </c>
    </row>
    <row r="8" spans="2:19" x14ac:dyDescent="0.3">
      <c r="B8" s="15" t="s">
        <v>31</v>
      </c>
      <c r="C8" s="1" t="s">
        <v>2</v>
      </c>
      <c r="D8" s="14">
        <v>3.9E-2</v>
      </c>
      <c r="E8" s="72">
        <f>D8+$E$4/10000</f>
        <v>3.9E-2</v>
      </c>
      <c r="F8" s="98"/>
      <c r="H8" s="2" t="s">
        <v>36</v>
      </c>
      <c r="I8" s="2" t="s">
        <v>37</v>
      </c>
      <c r="J8" s="2" t="s">
        <v>17</v>
      </c>
      <c r="K8" s="2" t="s">
        <v>18</v>
      </c>
      <c r="L8" s="2" t="s">
        <v>19</v>
      </c>
    </row>
    <row r="9" spans="2:19" x14ac:dyDescent="0.3">
      <c r="B9" s="15" t="s">
        <v>3</v>
      </c>
      <c r="C9" s="1" t="s">
        <v>2</v>
      </c>
      <c r="D9" s="14">
        <v>3.9399999999999998E-2</v>
      </c>
      <c r="E9" s="72">
        <f t="shared" ref="E9:E13" si="0">D9+$E$4/10000</f>
        <v>3.9399999999999998E-2</v>
      </c>
      <c r="F9" s="98"/>
      <c r="H9" s="100">
        <f>I4</f>
        <v>45298</v>
      </c>
      <c r="I9" s="1">
        <f>H9-$D$2</f>
        <v>2</v>
      </c>
      <c r="J9" s="51">
        <f t="shared" ref="J9:J14" si="1">E8</f>
        <v>3.9E-2</v>
      </c>
      <c r="K9" s="8">
        <f>1/(1+J9*2/360)</f>
        <v>0.9997833802676086</v>
      </c>
      <c r="L9" s="19">
        <f t="shared" ref="L9:L41" si="2">(1/K9)^(365/(H9-$D$2))-1</f>
        <v>4.0329389420754813E-2</v>
      </c>
    </row>
    <row r="10" spans="2:19" x14ac:dyDescent="0.3">
      <c r="B10" s="15" t="s">
        <v>4</v>
      </c>
      <c r="C10" s="1" t="s">
        <v>2</v>
      </c>
      <c r="D10" s="14">
        <v>3.9100000000000003E-2</v>
      </c>
      <c r="E10" s="72">
        <f t="shared" si="0"/>
        <v>3.9100000000000003E-2</v>
      </c>
      <c r="F10" s="98"/>
      <c r="G10" s="16"/>
      <c r="H10" s="100">
        <f>DATE(YEAR(H9),MONTH(H9)+3,DAY(H9))</f>
        <v>45389</v>
      </c>
      <c r="I10" s="1">
        <f t="shared" ref="I10:I41" si="3">H10-$D$2</f>
        <v>93</v>
      </c>
      <c r="J10" s="51">
        <f t="shared" si="1"/>
        <v>3.9399999999999998E-2</v>
      </c>
      <c r="K10" s="20">
        <f>K9/(1+J10*(H10-I4)/360)</f>
        <v>0.98992428435338464</v>
      </c>
      <c r="L10" s="19">
        <f t="shared" si="2"/>
        <v>4.0545446245698002E-2</v>
      </c>
    </row>
    <row r="11" spans="2:19" x14ac:dyDescent="0.3">
      <c r="B11" s="15" t="s">
        <v>32</v>
      </c>
      <c r="C11" s="1" t="s">
        <v>5</v>
      </c>
      <c r="D11" s="14">
        <v>3.5700000000000003E-2</v>
      </c>
      <c r="E11" s="72">
        <f t="shared" si="0"/>
        <v>3.5700000000000003E-2</v>
      </c>
      <c r="F11" s="98"/>
      <c r="G11" s="45"/>
      <c r="H11" s="100">
        <f>DATE(YEAR(H9),MONTH(H9)+6,DAY(H9))</f>
        <v>45480</v>
      </c>
      <c r="I11" s="1">
        <f t="shared" si="3"/>
        <v>184</v>
      </c>
      <c r="J11" s="51">
        <f t="shared" si="1"/>
        <v>3.9100000000000003E-2</v>
      </c>
      <c r="K11" s="20">
        <f>K9/(1+J11*(H11-I4)/360)</f>
        <v>0.98040352590362145</v>
      </c>
      <c r="L11" s="19">
        <f t="shared" si="2"/>
        <v>4.0040216410526464E-2</v>
      </c>
      <c r="M11" s="16"/>
      <c r="N11" s="16"/>
    </row>
    <row r="12" spans="2:19" x14ac:dyDescent="0.3">
      <c r="B12" s="15" t="s">
        <v>6</v>
      </c>
      <c r="C12" s="1" t="s">
        <v>5</v>
      </c>
      <c r="D12" s="14">
        <v>2.9700000000000001E-2</v>
      </c>
      <c r="E12" s="72">
        <f t="shared" si="0"/>
        <v>2.9700000000000001E-2</v>
      </c>
      <c r="F12" s="98"/>
      <c r="G12" s="45"/>
      <c r="H12" s="100">
        <f>DATE(YEAR(H9),MONTH(H9)+12,DAY(H9))</f>
        <v>45664</v>
      </c>
      <c r="I12" s="1">
        <f t="shared" si="3"/>
        <v>368</v>
      </c>
      <c r="J12" s="51">
        <f t="shared" si="1"/>
        <v>3.5700000000000003E-2</v>
      </c>
      <c r="K12" s="8">
        <f>$K$9/(1+J12)</f>
        <v>0.96532140607087824</v>
      </c>
      <c r="L12" s="19">
        <f t="shared" si="2"/>
        <v>3.5626384011653967E-2</v>
      </c>
      <c r="M12" s="45"/>
      <c r="N12" s="45"/>
      <c r="Q12" s="45"/>
      <c r="R12" s="99"/>
      <c r="S12" s="48"/>
    </row>
    <row r="13" spans="2:19" x14ac:dyDescent="0.3">
      <c r="B13" s="15" t="s">
        <v>7</v>
      </c>
      <c r="C13" s="1" t="s">
        <v>5</v>
      </c>
      <c r="D13" s="14">
        <v>2.7300000000000001E-2</v>
      </c>
      <c r="E13" s="72">
        <f t="shared" si="0"/>
        <v>2.7300000000000001E-2</v>
      </c>
      <c r="F13" s="98"/>
      <c r="G13" s="45"/>
      <c r="H13" s="100">
        <f t="shared" ref="H13:H41" si="4">DATE(YEAR(H12),MONTH(H12)+12,DAY(H12))</f>
        <v>46029</v>
      </c>
      <c r="I13" s="1">
        <f t="shared" si="3"/>
        <v>733</v>
      </c>
      <c r="J13" s="51">
        <f t="shared" si="1"/>
        <v>2.9700000000000001E-2</v>
      </c>
      <c r="K13" s="8">
        <f>($K$9-J13*SUM($K$12:K12))/(1+J13)</f>
        <v>0.94310317034796876</v>
      </c>
      <c r="L13" s="19">
        <f t="shared" si="2"/>
        <v>2.9599530726136081E-2</v>
      </c>
      <c r="M13" s="45"/>
      <c r="N13" s="45"/>
      <c r="Q13" s="45"/>
      <c r="R13" s="99"/>
      <c r="S13" s="48"/>
    </row>
    <row r="14" spans="2:19" x14ac:dyDescent="0.3">
      <c r="B14" s="15" t="s">
        <v>160</v>
      </c>
      <c r="C14" s="1" t="s">
        <v>5</v>
      </c>
      <c r="D14" s="14">
        <v>2.63E-2</v>
      </c>
      <c r="E14" s="72">
        <f t="shared" ref="E14:E22" si="5">D14+$E$4/10000</f>
        <v>2.63E-2</v>
      </c>
      <c r="F14" s="98"/>
      <c r="G14" s="45"/>
      <c r="H14" s="100">
        <f t="shared" si="4"/>
        <v>46394</v>
      </c>
      <c r="I14" s="1">
        <f t="shared" si="3"/>
        <v>1098</v>
      </c>
      <c r="J14" s="51">
        <f t="shared" si="1"/>
        <v>2.7300000000000001E-2</v>
      </c>
      <c r="K14" s="8">
        <f>($K$9-J14*SUM($K$12:K13))/(1+J14)</f>
        <v>0.92249916220322592</v>
      </c>
      <c r="L14" s="19">
        <f t="shared" si="2"/>
        <v>2.7178923030913404E-2</v>
      </c>
      <c r="M14" s="45"/>
      <c r="N14" s="45"/>
      <c r="Q14" s="45"/>
      <c r="R14" s="99"/>
      <c r="S14" s="48"/>
    </row>
    <row r="15" spans="2:19" x14ac:dyDescent="0.3">
      <c r="B15" s="15" t="s">
        <v>8</v>
      </c>
      <c r="C15" s="1" t="s">
        <v>5</v>
      </c>
      <c r="D15" s="14">
        <v>2.5899999999999999E-2</v>
      </c>
      <c r="E15" s="72">
        <f t="shared" si="5"/>
        <v>2.5899999999999999E-2</v>
      </c>
      <c r="F15" s="98"/>
      <c r="G15" s="45"/>
      <c r="H15" s="100">
        <f t="shared" si="4"/>
        <v>46759</v>
      </c>
      <c r="I15" s="1">
        <f t="shared" si="3"/>
        <v>1463</v>
      </c>
      <c r="J15" s="51">
        <f>E14</f>
        <v>2.63E-2</v>
      </c>
      <c r="K15" s="8">
        <f>($K$9-J15*SUM($K$12:K14))/(1+J15)</f>
        <v>0.90161754452094711</v>
      </c>
      <c r="L15" s="19">
        <f t="shared" si="2"/>
        <v>2.6174820156571688E-2</v>
      </c>
      <c r="M15" s="45"/>
      <c r="N15" s="45"/>
      <c r="Q15" s="45"/>
      <c r="R15" s="99"/>
      <c r="S15" s="45"/>
    </row>
    <row r="16" spans="2:19" x14ac:dyDescent="0.3">
      <c r="B16" s="15" t="s">
        <v>9</v>
      </c>
      <c r="C16" s="1" t="s">
        <v>5</v>
      </c>
      <c r="D16" s="14">
        <v>2.58E-2</v>
      </c>
      <c r="E16" s="72">
        <f t="shared" si="5"/>
        <v>2.58E-2</v>
      </c>
      <c r="F16" s="98"/>
      <c r="G16" s="45"/>
      <c r="H16" s="100">
        <f t="shared" si="4"/>
        <v>47125</v>
      </c>
      <c r="I16" s="1">
        <f t="shared" si="3"/>
        <v>1829</v>
      </c>
      <c r="J16" s="51">
        <f>E15</f>
        <v>2.5899999999999999E-2</v>
      </c>
      <c r="K16" s="8">
        <f>($K$9-J16*SUM($K$12:K15))/(1+J16)</f>
        <v>0.88031051860240217</v>
      </c>
      <c r="L16" s="19">
        <f t="shared" si="2"/>
        <v>2.5766722239989992E-2</v>
      </c>
      <c r="M16" s="45"/>
      <c r="N16" s="45"/>
      <c r="Q16" s="45"/>
      <c r="R16" s="99"/>
      <c r="S16" s="48"/>
    </row>
    <row r="17" spans="2:19" x14ac:dyDescent="0.3">
      <c r="B17" s="15" t="s">
        <v>10</v>
      </c>
      <c r="C17" s="1" t="s">
        <v>5</v>
      </c>
      <c r="D17" s="14">
        <v>2.6200000000000001E-2</v>
      </c>
      <c r="E17" s="72">
        <f t="shared" si="5"/>
        <v>2.6200000000000001E-2</v>
      </c>
      <c r="F17" s="98"/>
      <c r="G17" s="45"/>
      <c r="H17" s="63">
        <f t="shared" si="4"/>
        <v>47490</v>
      </c>
      <c r="I17" s="1">
        <f t="shared" si="3"/>
        <v>2194</v>
      </c>
      <c r="J17" s="50">
        <f>(J16+J18)/2</f>
        <v>2.5849999999999998E-2</v>
      </c>
      <c r="K17" s="8">
        <f>($K$9-J17*SUM($K$12:K16))/(1+J17)</f>
        <v>0.85835274279133345</v>
      </c>
      <c r="L17" s="19">
        <f t="shared" si="2"/>
        <v>2.5735871929184473E-2</v>
      </c>
      <c r="M17" s="45"/>
      <c r="N17" s="45"/>
      <c r="Q17" s="45"/>
      <c r="R17" s="99"/>
      <c r="S17" s="45"/>
    </row>
    <row r="18" spans="2:19" x14ac:dyDescent="0.3">
      <c r="B18" s="15" t="s">
        <v>33</v>
      </c>
      <c r="C18" s="1" t="s">
        <v>5</v>
      </c>
      <c r="D18" s="14">
        <v>2.6600000000000002E-2</v>
      </c>
      <c r="E18" s="72">
        <f t="shared" si="5"/>
        <v>2.6600000000000002E-2</v>
      </c>
      <c r="F18" s="98"/>
      <c r="G18" s="45"/>
      <c r="H18" s="100">
        <f t="shared" si="4"/>
        <v>47855</v>
      </c>
      <c r="I18" s="1">
        <f t="shared" si="3"/>
        <v>2559</v>
      </c>
      <c r="J18" s="51">
        <f>E16</f>
        <v>2.58E-2</v>
      </c>
      <c r="K18" s="8">
        <f>($K$9-J18*SUM($K$12:K17))/(1+J18)</f>
        <v>0.83703090565272009</v>
      </c>
      <c r="L18" s="19">
        <f t="shared" si="2"/>
        <v>2.5698398751513363E-2</v>
      </c>
      <c r="M18" s="45"/>
      <c r="N18" s="45"/>
      <c r="Q18" s="45"/>
      <c r="R18" s="99"/>
      <c r="S18" s="48"/>
    </row>
    <row r="19" spans="2:19" x14ac:dyDescent="0.3">
      <c r="B19" s="15" t="s">
        <v>11</v>
      </c>
      <c r="C19" s="1" t="s">
        <v>5</v>
      </c>
      <c r="D19" s="14">
        <v>2.6800000000000001E-2</v>
      </c>
      <c r="E19" s="72">
        <f t="shared" si="5"/>
        <v>2.6800000000000001E-2</v>
      </c>
      <c r="F19" s="98"/>
      <c r="G19" s="45"/>
      <c r="H19" s="63">
        <f t="shared" si="4"/>
        <v>48220</v>
      </c>
      <c r="I19" s="1">
        <f t="shared" si="3"/>
        <v>2924</v>
      </c>
      <c r="J19" s="50">
        <f>(2/3)*J18+(1/3)*J21</f>
        <v>2.5933333333333333E-2</v>
      </c>
      <c r="K19" s="8">
        <f>($K$9-J19*SUM($K$12:K18))/(1+J19)</f>
        <v>0.81505277236275397</v>
      </c>
      <c r="L19" s="19">
        <f t="shared" si="2"/>
        <v>2.5856457946619393E-2</v>
      </c>
      <c r="M19" s="45"/>
      <c r="N19" s="45"/>
      <c r="Q19" s="45"/>
      <c r="R19" s="99"/>
      <c r="S19" s="45"/>
    </row>
    <row r="20" spans="2:19" x14ac:dyDescent="0.3">
      <c r="B20" s="15" t="s">
        <v>12</v>
      </c>
      <c r="C20" s="1" t="s">
        <v>5</v>
      </c>
      <c r="D20" s="14">
        <v>2.6200000000000001E-2</v>
      </c>
      <c r="E20" s="72">
        <f t="shared" si="5"/>
        <v>2.6200000000000001E-2</v>
      </c>
      <c r="F20" s="98"/>
      <c r="G20" s="45"/>
      <c r="H20" s="63">
        <f t="shared" si="4"/>
        <v>48586</v>
      </c>
      <c r="I20" s="1">
        <f t="shared" si="3"/>
        <v>3290</v>
      </c>
      <c r="J20" s="50">
        <f>(2/3)*J21+(1/3)*J18</f>
        <v>2.6066666666666665E-2</v>
      </c>
      <c r="K20" s="8">
        <f>($K$9-J20*SUM($K$12:K19))/(1+J20)</f>
        <v>0.79342115580509431</v>
      </c>
      <c r="L20" s="19">
        <f t="shared" si="2"/>
        <v>2.6004527219662954E-2</v>
      </c>
      <c r="M20" s="45"/>
      <c r="N20" s="45"/>
      <c r="Q20" s="45"/>
      <c r="R20" s="99"/>
      <c r="S20" s="45"/>
    </row>
    <row r="21" spans="2:19" x14ac:dyDescent="0.3">
      <c r="B21" s="15" t="s">
        <v>34</v>
      </c>
      <c r="C21" s="1" t="s">
        <v>5</v>
      </c>
      <c r="D21" s="14">
        <v>2.5250000000000002E-2</v>
      </c>
      <c r="E21" s="72">
        <f t="shared" si="5"/>
        <v>2.5250000000000002E-2</v>
      </c>
      <c r="F21" s="98"/>
      <c r="G21" s="45"/>
      <c r="H21" s="100">
        <f t="shared" si="4"/>
        <v>48951</v>
      </c>
      <c r="I21" s="1">
        <f t="shared" si="3"/>
        <v>3655</v>
      </c>
      <c r="J21" s="51">
        <f>E17</f>
        <v>2.6200000000000001E-2</v>
      </c>
      <c r="K21" s="8">
        <f>($K$9-J21*SUM($K$12:K20))/(1+J21)</f>
        <v>0.77213564076656271</v>
      </c>
      <c r="L21" s="19">
        <f t="shared" si="2"/>
        <v>2.6160460605507252E-2</v>
      </c>
      <c r="M21" s="45"/>
      <c r="N21" s="45"/>
      <c r="Q21" s="45"/>
      <c r="R21" s="99"/>
      <c r="S21" s="48"/>
    </row>
    <row r="22" spans="2:19" x14ac:dyDescent="0.3">
      <c r="B22" s="15" t="s">
        <v>13</v>
      </c>
      <c r="C22" s="1" t="s">
        <v>5</v>
      </c>
      <c r="D22" s="14">
        <v>2.4400000000000002E-2</v>
      </c>
      <c r="E22" s="72">
        <f t="shared" si="5"/>
        <v>2.4400000000000002E-2</v>
      </c>
      <c r="H22" s="63">
        <f t="shared" si="4"/>
        <v>49316</v>
      </c>
      <c r="I22" s="1">
        <f t="shared" si="3"/>
        <v>4020</v>
      </c>
      <c r="J22" s="50">
        <f>(J21+J23)/2</f>
        <v>2.64E-2</v>
      </c>
      <c r="K22" s="8">
        <f>($K$9-J22*SUM($K$12:K21))/(1+J22)</f>
        <v>0.75058249392316645</v>
      </c>
      <c r="L22" s="19">
        <f t="shared" si="2"/>
        <v>2.6392161125175173E-2</v>
      </c>
      <c r="M22" s="45"/>
      <c r="N22" s="45"/>
      <c r="Q22" s="45"/>
      <c r="R22" s="99"/>
      <c r="S22" s="45"/>
    </row>
    <row r="23" spans="2:19" x14ac:dyDescent="0.3">
      <c r="B23" s="1"/>
      <c r="C23" s="1"/>
      <c r="D23" s="3"/>
      <c r="E23" s="3"/>
      <c r="H23" s="100">
        <f t="shared" si="4"/>
        <v>49681</v>
      </c>
      <c r="I23" s="1">
        <f t="shared" si="3"/>
        <v>4385</v>
      </c>
      <c r="J23" s="51">
        <f>E18</f>
        <v>2.6600000000000002E-2</v>
      </c>
      <c r="K23" s="8">
        <f>($K$9-J23*SUM($K$12:K22))/(1+J23)</f>
        <v>0.72929535205587093</v>
      </c>
      <c r="L23" s="19">
        <f t="shared" si="2"/>
        <v>2.6624645374088374E-2</v>
      </c>
      <c r="M23" s="45"/>
      <c r="N23" s="45"/>
      <c r="Q23" s="45"/>
      <c r="R23" s="99"/>
      <c r="S23" s="48"/>
    </row>
    <row r="24" spans="2:19" x14ac:dyDescent="0.3">
      <c r="B24" s="1"/>
      <c r="C24" s="1"/>
      <c r="D24" s="3"/>
      <c r="E24" s="3"/>
      <c r="H24" s="63">
        <f t="shared" si="4"/>
        <v>50047</v>
      </c>
      <c r="I24" s="1">
        <f t="shared" si="3"/>
        <v>4751</v>
      </c>
      <c r="J24" s="50">
        <f>(2/3)*J23+(1/3)*J26</f>
        <v>2.6666666666666665E-2</v>
      </c>
      <c r="K24" s="8">
        <f>($K$9-J24*SUM($K$12:K23))/(1+J24)</f>
        <v>0.70969230895928304</v>
      </c>
      <c r="L24" s="19">
        <f t="shared" si="2"/>
        <v>2.6695546947206106E-2</v>
      </c>
      <c r="M24" s="45"/>
      <c r="N24" s="45"/>
      <c r="Q24" s="45"/>
      <c r="R24" s="99"/>
      <c r="S24" s="45"/>
    </row>
    <row r="25" spans="2:19" x14ac:dyDescent="0.3">
      <c r="F25" s="16"/>
      <c r="H25" s="63">
        <f t="shared" si="4"/>
        <v>50412</v>
      </c>
      <c r="I25" s="1">
        <f t="shared" si="3"/>
        <v>5116</v>
      </c>
      <c r="J25" s="50">
        <f>(2/3)*J26+(1/3)*J23</f>
        <v>2.6733333333333331E-2</v>
      </c>
      <c r="K25" s="8">
        <f>($K$9-J25*SUM($K$12:K24))/(1+J25)</f>
        <v>0.6905075137468466</v>
      </c>
      <c r="L25" s="19">
        <f t="shared" si="2"/>
        <v>2.6773136802582975E-2</v>
      </c>
      <c r="M25" s="45"/>
      <c r="N25" s="45"/>
      <c r="Q25" s="45"/>
      <c r="R25" s="99"/>
      <c r="S25" s="45"/>
    </row>
    <row r="26" spans="2:19" x14ac:dyDescent="0.3">
      <c r="F26" s="68"/>
      <c r="H26" s="100">
        <f t="shared" si="4"/>
        <v>50777</v>
      </c>
      <c r="I26" s="1">
        <f t="shared" si="3"/>
        <v>5481</v>
      </c>
      <c r="J26" s="51">
        <f>E19</f>
        <v>2.6800000000000001E-2</v>
      </c>
      <c r="K26" s="8">
        <f>($K$9-J26*SUM($K$12:K25))/(1+J26)</f>
        <v>0.67173378674944106</v>
      </c>
      <c r="L26" s="19">
        <f t="shared" si="2"/>
        <v>2.6851344530091303E-2</v>
      </c>
      <c r="M26" s="45"/>
      <c r="N26" s="45"/>
      <c r="Q26" s="45"/>
      <c r="R26" s="99"/>
      <c r="S26" s="48"/>
    </row>
    <row r="27" spans="2:19" x14ac:dyDescent="0.3">
      <c r="F27" s="68"/>
      <c r="H27" s="63">
        <f t="shared" si="4"/>
        <v>51142</v>
      </c>
      <c r="I27" s="1">
        <f t="shared" si="3"/>
        <v>5846</v>
      </c>
      <c r="J27" s="50">
        <f>(4/5)*J26+(1/5)*J31</f>
        <v>2.6680000000000002E-2</v>
      </c>
      <c r="K27" s="8">
        <f>($K$9-J27*SUM($K$12:K26))/(1+J27)</f>
        <v>0.65570836631315288</v>
      </c>
      <c r="L27" s="19">
        <f t="shared" si="2"/>
        <v>2.6700615405669037E-2</v>
      </c>
      <c r="M27" s="45"/>
      <c r="N27" s="45"/>
      <c r="Q27" s="45"/>
      <c r="R27" s="99"/>
      <c r="S27" s="45"/>
    </row>
    <row r="28" spans="2:19" x14ac:dyDescent="0.3">
      <c r="F28" s="68"/>
      <c r="H28" s="63">
        <f t="shared" si="4"/>
        <v>51508</v>
      </c>
      <c r="I28" s="1">
        <f t="shared" si="3"/>
        <v>6212</v>
      </c>
      <c r="J28" s="50">
        <f>(3/5)*J26+(2/5)*J31</f>
        <v>2.656E-2</v>
      </c>
      <c r="K28" s="8">
        <f>($K$9-J28*SUM($K$12:K27))/(1+J28)</f>
        <v>0.64025086706481626</v>
      </c>
      <c r="L28" s="19">
        <f t="shared" si="2"/>
        <v>2.6545798921272734E-2</v>
      </c>
      <c r="M28" s="45"/>
      <c r="N28" s="45"/>
      <c r="Q28" s="45"/>
      <c r="R28" s="99"/>
      <c r="S28" s="45"/>
    </row>
    <row r="29" spans="2:19" x14ac:dyDescent="0.3">
      <c r="F29" s="68"/>
      <c r="H29" s="63">
        <f t="shared" si="4"/>
        <v>51873</v>
      </c>
      <c r="I29" s="1">
        <f t="shared" si="3"/>
        <v>6577</v>
      </c>
      <c r="J29" s="50">
        <f>(2/5)*J26+(3/5)*J31</f>
        <v>2.6440000000000002E-2</v>
      </c>
      <c r="K29" s="8">
        <f>($K$9-J29*SUM($K$12:K28))/(1+J29)</f>
        <v>0.62534123860115387</v>
      </c>
      <c r="L29" s="19">
        <f t="shared" si="2"/>
        <v>2.6395582368986537E-2</v>
      </c>
      <c r="M29" s="45"/>
      <c r="N29" s="45"/>
      <c r="Q29" s="45"/>
      <c r="R29" s="99"/>
      <c r="S29" s="45"/>
    </row>
    <row r="30" spans="2:19" x14ac:dyDescent="0.3">
      <c r="F30" s="68"/>
      <c r="H30" s="63">
        <f t="shared" si="4"/>
        <v>52238</v>
      </c>
      <c r="I30" s="1">
        <f t="shared" si="3"/>
        <v>6942</v>
      </c>
      <c r="J30" s="50">
        <f>(1/5)*J26+(4/5)*J31</f>
        <v>2.6320000000000003E-2</v>
      </c>
      <c r="K30" s="8">
        <f>($K$9-J30*SUM($K$12:K29))/(1+J30)</f>
        <v>0.61096020094584391</v>
      </c>
      <c r="L30" s="19">
        <f t="shared" si="2"/>
        <v>2.6245158566849502E-2</v>
      </c>
      <c r="M30" s="45"/>
      <c r="N30" s="45"/>
      <c r="Q30" s="45"/>
      <c r="R30" s="99"/>
      <c r="S30" s="45"/>
    </row>
    <row r="31" spans="2:19" x14ac:dyDescent="0.3">
      <c r="F31" s="68"/>
      <c r="H31" s="100">
        <f t="shared" si="4"/>
        <v>52603</v>
      </c>
      <c r="I31" s="1">
        <f t="shared" si="3"/>
        <v>7307</v>
      </c>
      <c r="J31" s="51">
        <f>E20</f>
        <v>2.6200000000000001E-2</v>
      </c>
      <c r="K31" s="8">
        <f>($K$9-J31*SUM($K$12:K30))/(1+J31)</f>
        <v>0.59708921360703759</v>
      </c>
      <c r="L31" s="19">
        <f t="shared" si="2"/>
        <v>2.6094385205068793E-2</v>
      </c>
      <c r="M31" s="45"/>
      <c r="N31" s="45"/>
      <c r="Q31" s="45"/>
      <c r="R31" s="99"/>
      <c r="S31" s="48"/>
    </row>
    <row r="32" spans="2:19" x14ac:dyDescent="0.3">
      <c r="F32" s="68"/>
      <c r="H32" s="63">
        <f t="shared" si="4"/>
        <v>52969</v>
      </c>
      <c r="I32" s="1">
        <f t="shared" si="3"/>
        <v>7673</v>
      </c>
      <c r="J32" s="50">
        <f>(4/5)*J31+(1/5)*J36</f>
        <v>2.6010000000000005E-2</v>
      </c>
      <c r="K32" s="8">
        <f>($K$9-J32*SUM($K$12:K31))/(1+J32)</f>
        <v>0.58479889554258202</v>
      </c>
      <c r="L32" s="19">
        <f t="shared" si="2"/>
        <v>2.5848809360294878E-2</v>
      </c>
      <c r="M32" s="45"/>
      <c r="N32" s="45"/>
      <c r="Q32" s="45"/>
      <c r="R32" s="99"/>
      <c r="S32" s="45"/>
    </row>
    <row r="33" spans="6:19" x14ac:dyDescent="0.3">
      <c r="F33" s="68"/>
      <c r="H33" s="63">
        <f t="shared" si="4"/>
        <v>53334</v>
      </c>
      <c r="I33" s="1">
        <f t="shared" si="3"/>
        <v>8038</v>
      </c>
      <c r="J33" s="50">
        <f>(3/5)*J31+(2/5)*J36</f>
        <v>2.5820000000000003E-2</v>
      </c>
      <c r="K33" s="8">
        <f>($K$9-J33*SUM($K$12:K32))/(1+J33)</f>
        <v>0.57303455629773481</v>
      </c>
      <c r="L33" s="19">
        <f t="shared" si="2"/>
        <v>2.5606681406755261E-2</v>
      </c>
      <c r="M33" s="45"/>
      <c r="N33" s="45"/>
      <c r="Q33" s="45"/>
      <c r="R33" s="99"/>
      <c r="S33" s="45"/>
    </row>
    <row r="34" spans="6:19" x14ac:dyDescent="0.3">
      <c r="F34" s="68"/>
      <c r="H34" s="63">
        <f t="shared" si="4"/>
        <v>53699</v>
      </c>
      <c r="I34" s="1">
        <f t="shared" si="3"/>
        <v>8403</v>
      </c>
      <c r="J34" s="50">
        <f>(2/5)*J31+(3/5)*J36</f>
        <v>2.563E-2</v>
      </c>
      <c r="K34" s="8">
        <f>($K$9-J34*SUM($K$12:K33))/(1+J34)</f>
        <v>0.56177651381316052</v>
      </c>
      <c r="L34" s="19">
        <f t="shared" si="2"/>
        <v>2.5364255466962637E-2</v>
      </c>
      <c r="M34" s="45"/>
      <c r="N34" s="45"/>
      <c r="Q34" s="45"/>
      <c r="R34" s="99"/>
      <c r="S34" s="45"/>
    </row>
    <row r="35" spans="6:19" x14ac:dyDescent="0.3">
      <c r="F35" s="68"/>
      <c r="H35" s="63">
        <f t="shared" si="4"/>
        <v>54064</v>
      </c>
      <c r="I35" s="1">
        <f t="shared" si="3"/>
        <v>8768</v>
      </c>
      <c r="J35" s="50">
        <f>(1/5)*J31+(4/5)*J36</f>
        <v>2.5440000000000004E-2</v>
      </c>
      <c r="K35" s="8">
        <f>($K$9-J35*SUM($K$12:K34))/(1+J35)</f>
        <v>0.55100594955847426</v>
      </c>
      <c r="L35" s="19">
        <f t="shared" si="2"/>
        <v>2.5121434053739566E-2</v>
      </c>
      <c r="M35" s="45"/>
      <c r="N35" s="45"/>
      <c r="Q35" s="45"/>
      <c r="R35" s="99"/>
      <c r="S35" s="45"/>
    </row>
    <row r="36" spans="6:19" x14ac:dyDescent="0.3">
      <c r="F36" s="68"/>
      <c r="H36" s="100">
        <f t="shared" si="4"/>
        <v>54430</v>
      </c>
      <c r="I36" s="1">
        <f t="shared" si="3"/>
        <v>9134</v>
      </c>
      <c r="J36" s="51">
        <f>E21</f>
        <v>2.5250000000000002E-2</v>
      </c>
      <c r="K36" s="8">
        <f>($K$9-J36*SUM($K$12:K35))/(1+J36)</f>
        <v>0.5407048698278194</v>
      </c>
      <c r="L36" s="19">
        <f t="shared" si="2"/>
        <v>2.4875388086506911E-2</v>
      </c>
      <c r="M36" s="45"/>
      <c r="N36" s="45"/>
      <c r="Q36" s="45"/>
      <c r="R36" s="99"/>
      <c r="S36" s="48"/>
    </row>
    <row r="37" spans="6:19" x14ac:dyDescent="0.3">
      <c r="H37" s="63">
        <f t="shared" si="4"/>
        <v>54795</v>
      </c>
      <c r="I37" s="1">
        <f t="shared" si="3"/>
        <v>9499</v>
      </c>
      <c r="J37" s="50">
        <f>(4/5)*J36+(1/5)*J41</f>
        <v>2.5080000000000005E-2</v>
      </c>
      <c r="K37" s="8">
        <f>($K$9-J37*SUM($K$12:K36))/(1+J37)</f>
        <v>0.53049098162354291</v>
      </c>
      <c r="L37" s="19">
        <f t="shared" si="2"/>
        <v>2.4658800549530513E-2</v>
      </c>
      <c r="M37" s="45"/>
      <c r="N37" s="45"/>
      <c r="Q37" s="45"/>
      <c r="R37" s="99"/>
      <c r="S37" s="45"/>
    </row>
    <row r="38" spans="6:19" x14ac:dyDescent="0.3">
      <c r="H38" s="63">
        <f t="shared" si="4"/>
        <v>55160</v>
      </c>
      <c r="I38" s="1">
        <f t="shared" si="3"/>
        <v>9864</v>
      </c>
      <c r="J38" s="50">
        <f>(3/5)*J36+(2/5)*J41</f>
        <v>2.4910000000000002E-2</v>
      </c>
      <c r="K38" s="8">
        <f>($K$9-J38*SUM($K$12:K37))/(1+J38)</f>
        <v>0.52070132080403275</v>
      </c>
      <c r="L38" s="19">
        <f t="shared" si="2"/>
        <v>2.4441440832603911E-2</v>
      </c>
      <c r="M38" s="45"/>
      <c r="N38" s="45"/>
      <c r="Q38" s="45"/>
      <c r="R38" s="99"/>
      <c r="S38" s="45"/>
    </row>
    <row r="39" spans="6:19" x14ac:dyDescent="0.3">
      <c r="H39" s="63">
        <f t="shared" si="4"/>
        <v>55525</v>
      </c>
      <c r="I39" s="1">
        <f t="shared" si="3"/>
        <v>10229</v>
      </c>
      <c r="J39" s="50">
        <f>(2/5)*J36+(3/5)*J41</f>
        <v>2.4740000000000002E-2</v>
      </c>
      <c r="K39" s="8">
        <f>($K$9-J39*SUM($K$12:K38))/(1+J39)</f>
        <v>0.51132077318177049</v>
      </c>
      <c r="L39" s="19">
        <f t="shared" si="2"/>
        <v>2.4223301574393341E-2</v>
      </c>
      <c r="M39" s="45"/>
      <c r="N39" s="45"/>
      <c r="Q39" s="45"/>
      <c r="R39" s="99"/>
      <c r="S39" s="45"/>
    </row>
    <row r="40" spans="6:19" x14ac:dyDescent="0.3">
      <c r="H40" s="63">
        <f t="shared" si="4"/>
        <v>55891</v>
      </c>
      <c r="I40" s="1">
        <f t="shared" si="3"/>
        <v>10595</v>
      </c>
      <c r="J40" s="50">
        <f>(1/5)*J36+(4/5)*J41</f>
        <v>2.4570000000000002E-2</v>
      </c>
      <c r="K40" s="8">
        <f>($K$9-J40*SUM($K$12:K39))/(1+J40)</f>
        <v>0.50233485854501525</v>
      </c>
      <c r="L40" s="19">
        <f t="shared" si="2"/>
        <v>2.4002091683020144E-2</v>
      </c>
      <c r="M40" s="45"/>
      <c r="N40" s="45"/>
      <c r="Q40" s="45"/>
      <c r="R40" s="99"/>
      <c r="S40" s="45"/>
    </row>
    <row r="41" spans="6:19" x14ac:dyDescent="0.3">
      <c r="H41" s="100">
        <f t="shared" si="4"/>
        <v>56256</v>
      </c>
      <c r="I41" s="1">
        <f t="shared" si="3"/>
        <v>10960</v>
      </c>
      <c r="J41" s="51">
        <f>E22</f>
        <v>2.4400000000000002E-2</v>
      </c>
      <c r="K41" s="8">
        <f>($K$9-J41*SUM($K$12:K40))/(1+J41)</f>
        <v>0.49372970354223311</v>
      </c>
      <c r="L41" s="19">
        <f t="shared" si="2"/>
        <v>2.3782502420048202E-2</v>
      </c>
      <c r="M41" s="45"/>
      <c r="N41" s="45"/>
      <c r="Q41" s="45"/>
      <c r="R41" s="99"/>
      <c r="S41" s="48"/>
    </row>
    <row r="42" spans="6:19" x14ac:dyDescent="0.3">
      <c r="N42" s="9"/>
    </row>
    <row r="43" spans="6:19" x14ac:dyDescent="0.3">
      <c r="N43" s="9"/>
    </row>
    <row r="44" spans="6:19" x14ac:dyDescent="0.3">
      <c r="N44" s="9"/>
    </row>
    <row r="45" spans="6:19" x14ac:dyDescent="0.3">
      <c r="N45" s="9"/>
    </row>
    <row r="46" spans="6:19" x14ac:dyDescent="0.3">
      <c r="N46" s="9"/>
    </row>
    <row r="47" spans="6:19" x14ac:dyDescent="0.3">
      <c r="N47" s="9"/>
    </row>
    <row r="48" spans="6:19" x14ac:dyDescent="0.3">
      <c r="N48" s="9"/>
    </row>
    <row r="49" spans="14:14" x14ac:dyDescent="0.3">
      <c r="N49" s="9"/>
    </row>
    <row r="50" spans="14:14" x14ac:dyDescent="0.3">
      <c r="N50" s="9"/>
    </row>
    <row r="51" spans="14:14" x14ac:dyDescent="0.3">
      <c r="N51" s="9"/>
    </row>
    <row r="52" spans="14:14" x14ac:dyDescent="0.3">
      <c r="N52" s="9"/>
    </row>
    <row r="53" spans="14:14" x14ac:dyDescent="0.3">
      <c r="N53" s="9"/>
    </row>
    <row r="54" spans="14:14" x14ac:dyDescent="0.3">
      <c r="N54" s="9"/>
    </row>
    <row r="55" spans="14:14" x14ac:dyDescent="0.3">
      <c r="N55" s="9"/>
    </row>
    <row r="56" spans="14:14" x14ac:dyDescent="0.3">
      <c r="N56" s="9"/>
    </row>
    <row r="57" spans="14:14" x14ac:dyDescent="0.3">
      <c r="N57" s="9"/>
    </row>
    <row r="58" spans="14:14" x14ac:dyDescent="0.3">
      <c r="N58" s="9"/>
    </row>
    <row r="59" spans="14:14" x14ac:dyDescent="0.3">
      <c r="N59" s="9"/>
    </row>
    <row r="60" spans="14:14" x14ac:dyDescent="0.3">
      <c r="N60" s="9"/>
    </row>
    <row r="61" spans="14:14" x14ac:dyDescent="0.3">
      <c r="N61" s="9"/>
    </row>
    <row r="62" spans="14:14" x14ac:dyDescent="0.3">
      <c r="N62" s="9"/>
    </row>
    <row r="63" spans="14:14" x14ac:dyDescent="0.3">
      <c r="N63" s="9"/>
    </row>
    <row r="64" spans="14:14" x14ac:dyDescent="0.3">
      <c r="N64" s="9"/>
    </row>
    <row r="65" spans="14:14" x14ac:dyDescent="0.3">
      <c r="N65" s="9"/>
    </row>
    <row r="66" spans="14:14" x14ac:dyDescent="0.3">
      <c r="N66" s="9"/>
    </row>
    <row r="67" spans="14:14" x14ac:dyDescent="0.3">
      <c r="N67" s="9"/>
    </row>
    <row r="68" spans="14:14" x14ac:dyDescent="0.3">
      <c r="N68" s="9"/>
    </row>
    <row r="69" spans="14:14" x14ac:dyDescent="0.3">
      <c r="N69" s="9"/>
    </row>
    <row r="70" spans="14:14" x14ac:dyDescent="0.3">
      <c r="N70" s="9"/>
    </row>
    <row r="71" spans="14:14" x14ac:dyDescent="0.3">
      <c r="N71" s="9"/>
    </row>
    <row r="72" spans="14:14" x14ac:dyDescent="0.3">
      <c r="N72" s="9"/>
    </row>
    <row r="73" spans="14:14" x14ac:dyDescent="0.3">
      <c r="N73" s="9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5F493-C0DE-4D70-BBC5-43D858A8F6EC}">
  <sheetPr codeName="Feuil2"/>
  <dimension ref="B2:AF60"/>
  <sheetViews>
    <sheetView showGridLines="0" zoomScale="85" zoomScaleNormal="85" workbookViewId="0">
      <selection activeCell="B49" sqref="B49"/>
    </sheetView>
  </sheetViews>
  <sheetFormatPr baseColWidth="10" defaultRowHeight="14.6" x14ac:dyDescent="0.4"/>
  <cols>
    <col min="1" max="1" width="4.69140625" style="73" customWidth="1"/>
    <col min="2" max="8" width="11.07421875" style="73"/>
    <col min="9" max="9" width="11.84375" style="73" bestFit="1" customWidth="1"/>
    <col min="10" max="21" width="11.07421875" style="73"/>
    <col min="22" max="22" width="13.765625" style="73" bestFit="1" customWidth="1"/>
    <col min="23" max="24" width="19.15234375" style="73" bestFit="1" customWidth="1"/>
    <col min="25" max="16384" width="11.07421875" style="73"/>
  </cols>
  <sheetData>
    <row r="2" spans="2:20" x14ac:dyDescent="0.4">
      <c r="B2" s="74" t="s">
        <v>155</v>
      </c>
    </row>
    <row r="4" spans="2:20" x14ac:dyDescent="0.4">
      <c r="B4" s="79"/>
      <c r="C4" s="80" t="s">
        <v>122</v>
      </c>
      <c r="D4" s="81" t="s">
        <v>123</v>
      </c>
      <c r="E4" s="81" t="s">
        <v>124</v>
      </c>
      <c r="F4" s="81" t="s">
        <v>125</v>
      </c>
      <c r="G4" s="81" t="s">
        <v>126</v>
      </c>
      <c r="H4" s="81" t="s">
        <v>127</v>
      </c>
      <c r="I4" s="81" t="s">
        <v>128</v>
      </c>
      <c r="J4" s="81" t="s">
        <v>129</v>
      </c>
      <c r="K4" s="81" t="s">
        <v>130</v>
      </c>
      <c r="L4" s="81" t="s">
        <v>131</v>
      </c>
      <c r="M4" s="81" t="s">
        <v>132</v>
      </c>
      <c r="N4" s="81" t="s">
        <v>133</v>
      </c>
      <c r="O4" s="81" t="s">
        <v>134</v>
      </c>
      <c r="P4" s="81" t="s">
        <v>135</v>
      </c>
      <c r="Q4" s="81" t="s">
        <v>136</v>
      </c>
      <c r="R4" s="81" t="s">
        <v>137</v>
      </c>
      <c r="S4" s="81" t="s">
        <v>138</v>
      </c>
      <c r="T4" s="82" t="s">
        <v>139</v>
      </c>
    </row>
    <row r="5" spans="2:20" x14ac:dyDescent="0.4">
      <c r="B5" s="83" t="s">
        <v>140</v>
      </c>
      <c r="C5" s="75">
        <v>6.0569999999999999E-3</v>
      </c>
      <c r="D5" s="85">
        <v>2.5718999999999999E-2</v>
      </c>
      <c r="E5" s="85">
        <v>2.35E-2</v>
      </c>
      <c r="F5" s="85">
        <v>2.1343999999999998E-2</v>
      </c>
      <c r="G5" s="85">
        <v>1.9269000000000001E-2</v>
      </c>
      <c r="H5" s="85">
        <v>1.541E-2</v>
      </c>
      <c r="I5" s="85">
        <v>1.3618999999999999E-2</v>
      </c>
      <c r="J5" s="85">
        <v>1.1886000000000001E-2</v>
      </c>
      <c r="K5" s="85">
        <v>1.0177E-2</v>
      </c>
      <c r="L5" s="85">
        <v>8.4729999999999996E-3</v>
      </c>
      <c r="M5" s="85">
        <v>6.8690000000000001E-3</v>
      </c>
      <c r="N5" s="85">
        <v>6.0099999999999997E-3</v>
      </c>
      <c r="O5" s="85">
        <v>8.3219999999999995E-3</v>
      </c>
      <c r="P5" s="85">
        <v>1.1415999999999999E-2</v>
      </c>
      <c r="Q5" s="85">
        <v>1.4384000000000001E-2</v>
      </c>
      <c r="R5" s="85">
        <v>1.7236000000000001E-2</v>
      </c>
      <c r="S5" s="85">
        <v>0.02</v>
      </c>
      <c r="T5" s="86">
        <v>2.2695E-2</v>
      </c>
    </row>
    <row r="6" spans="2:20" x14ac:dyDescent="0.4">
      <c r="B6" s="83" t="s">
        <v>141</v>
      </c>
      <c r="C6" s="75">
        <v>9.1739999999999999E-3</v>
      </c>
      <c r="D6" s="85">
        <v>1.9116000000000001E-2</v>
      </c>
      <c r="E6" s="85">
        <v>1.7827000000000003E-2</v>
      </c>
      <c r="F6" s="85">
        <v>1.6635E-2</v>
      </c>
      <c r="G6" s="85">
        <v>1.5531E-2</v>
      </c>
      <c r="H6" s="85">
        <v>1.3521E-2</v>
      </c>
      <c r="I6" s="85">
        <v>1.2591E-2</v>
      </c>
      <c r="J6" s="85">
        <v>1.1708E-2</v>
      </c>
      <c r="K6" s="85">
        <v>1.0870999999999999E-2</v>
      </c>
      <c r="L6" s="85">
        <v>1.0062999999999999E-2</v>
      </c>
      <c r="M6" s="85">
        <v>9.2610000000000001E-3</v>
      </c>
      <c r="N6" s="85">
        <v>8.8629999999999994E-3</v>
      </c>
      <c r="O6" s="85">
        <v>1.1488E-2</v>
      </c>
      <c r="P6" s="85">
        <v>1.4352E-2</v>
      </c>
      <c r="Q6" s="85">
        <v>1.6941999999999999E-2</v>
      </c>
      <c r="R6" s="85">
        <v>1.9374000000000002E-2</v>
      </c>
      <c r="S6" s="85">
        <v>2.1703E-2</v>
      </c>
      <c r="T6" s="86">
        <v>2.3956999999999999E-2</v>
      </c>
    </row>
    <row r="7" spans="2:20" x14ac:dyDescent="0.4">
      <c r="B7" s="83" t="s">
        <v>142</v>
      </c>
      <c r="C7" s="75">
        <v>1.0500000000000001E-2</v>
      </c>
      <c r="D7" s="85">
        <v>1.6684999999999998E-2</v>
      </c>
      <c r="E7" s="85">
        <v>1.5774E-2</v>
      </c>
      <c r="F7" s="85">
        <v>1.4940999999999999E-2</v>
      </c>
      <c r="G7" s="85">
        <v>1.4174000000000001E-2</v>
      </c>
      <c r="H7" s="85">
        <v>1.2799E-2</v>
      </c>
      <c r="I7" s="85">
        <v>1.2189E-2</v>
      </c>
      <c r="J7" s="85">
        <v>1.1642E-2</v>
      </c>
      <c r="K7" s="85">
        <v>1.1169E-2</v>
      </c>
      <c r="L7" s="85">
        <v>1.0759999999999999E-2</v>
      </c>
      <c r="M7" s="85">
        <v>1.0394E-2</v>
      </c>
      <c r="N7" s="85">
        <v>1.0352E-2</v>
      </c>
      <c r="O7" s="85">
        <v>1.2546999999999999E-2</v>
      </c>
      <c r="P7" s="85">
        <v>1.4822E-2</v>
      </c>
      <c r="Q7" s="85">
        <v>1.6899000000000001E-2</v>
      </c>
      <c r="R7" s="85">
        <v>1.8872E-2</v>
      </c>
      <c r="S7" s="85">
        <v>2.078E-2</v>
      </c>
      <c r="T7" s="86">
        <v>2.2640999999999998E-2</v>
      </c>
    </row>
    <row r="8" spans="2:20" x14ac:dyDescent="0.4">
      <c r="B8" s="83" t="s">
        <v>143</v>
      </c>
      <c r="C8" s="75">
        <v>1.0737E-2</v>
      </c>
      <c r="D8" s="85">
        <v>1.5350999999999998E-2</v>
      </c>
      <c r="E8" s="85">
        <v>1.4593E-2</v>
      </c>
      <c r="F8" s="85">
        <v>1.3904E-2</v>
      </c>
      <c r="G8" s="85">
        <v>1.3274000000000001E-2</v>
      </c>
      <c r="H8" s="85">
        <v>1.2173999999999999E-2</v>
      </c>
      <c r="I8" s="85">
        <v>1.171E-2</v>
      </c>
      <c r="J8" s="85">
        <v>1.1320999999999999E-2</v>
      </c>
      <c r="K8" s="85">
        <v>1.1023E-2</v>
      </c>
      <c r="L8" s="85">
        <v>1.0814000000000001E-2</v>
      </c>
      <c r="M8" s="85">
        <v>1.068E-2</v>
      </c>
      <c r="N8" s="85">
        <v>1.0817E-2</v>
      </c>
      <c r="O8" s="85">
        <v>1.2694E-2</v>
      </c>
      <c r="P8" s="85">
        <v>1.4618000000000001E-2</v>
      </c>
      <c r="Q8" s="85">
        <v>1.6414999999999999E-2</v>
      </c>
      <c r="R8" s="85">
        <v>1.8149999999999999E-2</v>
      </c>
      <c r="S8" s="85">
        <v>1.9844999999999998E-2</v>
      </c>
      <c r="T8" s="86">
        <v>2.1509E-2</v>
      </c>
    </row>
    <row r="9" spans="2:20" x14ac:dyDescent="0.4">
      <c r="B9" s="83" t="s">
        <v>144</v>
      </c>
      <c r="C9" s="75">
        <v>1.0749E-2</v>
      </c>
      <c r="D9" s="85">
        <v>1.4493000000000001E-2</v>
      </c>
      <c r="E9" s="85">
        <v>1.3831E-2</v>
      </c>
      <c r="F9" s="85">
        <v>1.3235E-2</v>
      </c>
      <c r="G9" s="85">
        <v>1.2695E-2</v>
      </c>
      <c r="H9" s="85">
        <v>1.1773E-2</v>
      </c>
      <c r="I9" s="85">
        <v>1.1398E-2</v>
      </c>
      <c r="J9" s="85">
        <v>1.1096999999999999E-2</v>
      </c>
      <c r="K9" s="85">
        <v>1.0887000000000001E-2</v>
      </c>
      <c r="L9" s="85">
        <v>1.0772E-2</v>
      </c>
      <c r="M9" s="85">
        <v>1.0744E-2</v>
      </c>
      <c r="N9" s="85">
        <v>1.0948999999999999E-2</v>
      </c>
      <c r="O9" s="85">
        <v>1.2555999999999999E-2</v>
      </c>
      <c r="P9" s="85">
        <v>1.4200000000000001E-2</v>
      </c>
      <c r="Q9" s="85">
        <v>1.5765000000000001E-2</v>
      </c>
      <c r="R9" s="85">
        <v>1.7297E-2</v>
      </c>
      <c r="S9" s="85">
        <v>1.8807000000000001E-2</v>
      </c>
      <c r="T9" s="86">
        <v>2.0296999999999999E-2</v>
      </c>
    </row>
    <row r="10" spans="2:20" x14ac:dyDescent="0.4">
      <c r="B10" s="83" t="s">
        <v>145</v>
      </c>
      <c r="C10" s="75">
        <v>1.0717000000000001E-2</v>
      </c>
      <c r="D10" s="85">
        <v>1.3784000000000001E-2</v>
      </c>
      <c r="E10" s="85">
        <v>1.3191999999999999E-2</v>
      </c>
      <c r="F10" s="85">
        <v>1.2671E-2</v>
      </c>
      <c r="G10" s="85">
        <v>1.2212000000000001E-2</v>
      </c>
      <c r="H10" s="85">
        <v>1.1455E-2</v>
      </c>
      <c r="I10" s="85">
        <v>1.1158E-2</v>
      </c>
      <c r="J10" s="85">
        <v>1.0929000000000001E-2</v>
      </c>
      <c r="K10" s="85">
        <v>1.078E-2</v>
      </c>
      <c r="L10" s="85">
        <v>1.0718999999999999E-2</v>
      </c>
      <c r="M10" s="85">
        <v>1.0740999999999999E-2</v>
      </c>
      <c r="N10" s="85">
        <v>1.0959999999999999E-2</v>
      </c>
      <c r="O10" s="85">
        <v>1.2323000000000001E-2</v>
      </c>
      <c r="P10" s="85">
        <v>1.3705999999999999E-2</v>
      </c>
      <c r="Q10" s="85">
        <v>1.5040000000000001E-2</v>
      </c>
      <c r="R10" s="85">
        <v>1.6362000000000002E-2</v>
      </c>
      <c r="S10" s="85">
        <v>1.7676000000000001E-2</v>
      </c>
      <c r="T10" s="86">
        <v>1.8983E-2</v>
      </c>
    </row>
    <row r="11" spans="2:20" x14ac:dyDescent="0.4">
      <c r="B11" s="83" t="s">
        <v>146</v>
      </c>
      <c r="C11" s="75">
        <v>1.0551999999999999E-2</v>
      </c>
      <c r="D11" s="85">
        <v>1.3294E-2</v>
      </c>
      <c r="E11" s="85">
        <v>1.2739E-2</v>
      </c>
      <c r="F11" s="85">
        <v>1.2254000000000001E-2</v>
      </c>
      <c r="G11" s="85">
        <v>1.1829000000000001E-2</v>
      </c>
      <c r="H11" s="85">
        <v>1.1141E-2</v>
      </c>
      <c r="I11" s="85">
        <v>1.0879E-2</v>
      </c>
      <c r="J11" s="85">
        <v>1.0684000000000001E-2</v>
      </c>
      <c r="K11" s="85">
        <v>1.0569E-2</v>
      </c>
      <c r="L11" s="85">
        <v>1.0540000000000001E-2</v>
      </c>
      <c r="M11" s="85">
        <v>1.0596E-2</v>
      </c>
      <c r="N11" s="85">
        <v>1.0825E-2</v>
      </c>
      <c r="O11" s="85">
        <v>1.204E-2</v>
      </c>
      <c r="P11" s="85">
        <v>1.3287999999999999E-2</v>
      </c>
      <c r="Q11" s="85">
        <v>1.4515999999999999E-2</v>
      </c>
      <c r="R11" s="85">
        <v>1.5747000000000001E-2</v>
      </c>
      <c r="S11" s="85">
        <v>1.6980000000000002E-2</v>
      </c>
      <c r="T11" s="86">
        <v>1.8208999999999999E-2</v>
      </c>
    </row>
    <row r="12" spans="2:20" x14ac:dyDescent="0.4">
      <c r="B12" s="83" t="s">
        <v>147</v>
      </c>
      <c r="C12" s="75">
        <v>1.0465E-2</v>
      </c>
      <c r="D12" s="85">
        <v>1.2840000000000001E-2</v>
      </c>
      <c r="E12" s="85">
        <v>1.2366250000000001E-2</v>
      </c>
      <c r="F12" s="85">
        <v>1.1882999999999999E-2</v>
      </c>
      <c r="G12" s="85">
        <v>1.1506000000000001E-2</v>
      </c>
      <c r="H12" s="85">
        <v>1.0915000000000001E-2</v>
      </c>
      <c r="I12" s="85">
        <v>1.0697E-2</v>
      </c>
      <c r="J12" s="85">
        <v>1.0540000000000001E-2</v>
      </c>
      <c r="K12" s="85">
        <v>1.0454000000000001E-2</v>
      </c>
      <c r="L12" s="85">
        <v>1.0444999999999999E-2</v>
      </c>
      <c r="M12" s="85">
        <v>1.0514000000000001E-2</v>
      </c>
      <c r="N12" s="85">
        <v>1.073E-2</v>
      </c>
      <c r="O12" s="85">
        <v>1.1784999999999999E-2</v>
      </c>
      <c r="P12" s="85">
        <v>1.286E-2</v>
      </c>
      <c r="Q12" s="85">
        <v>1.3927999999999999E-2</v>
      </c>
      <c r="R12" s="85">
        <v>1.5009999999999999E-2</v>
      </c>
      <c r="S12" s="85">
        <v>1.6101000000000001E-2</v>
      </c>
      <c r="T12" s="86">
        <v>1.7197999999999998E-2</v>
      </c>
    </row>
    <row r="13" spans="2:20" x14ac:dyDescent="0.4">
      <c r="B13" s="83" t="s">
        <v>148</v>
      </c>
      <c r="C13" s="75">
        <v>1.0319E-2</v>
      </c>
      <c r="D13" s="85">
        <v>1.2498E-2</v>
      </c>
      <c r="E13" s="85">
        <v>1.2003E-2</v>
      </c>
      <c r="F13" s="85">
        <v>1.1584000000000001E-2</v>
      </c>
      <c r="G13" s="85">
        <v>1.1231E-2</v>
      </c>
      <c r="H13" s="85">
        <v>1.0689000000000001E-2</v>
      </c>
      <c r="I13" s="85">
        <v>1.0495000000000001E-2</v>
      </c>
      <c r="J13" s="85">
        <v>1.0357999999999999E-2</v>
      </c>
      <c r="K13" s="85">
        <v>1.0289E-2</v>
      </c>
      <c r="L13" s="85">
        <v>1.0293E-2</v>
      </c>
      <c r="M13" s="85">
        <v>1.0369E-2</v>
      </c>
      <c r="N13" s="85">
        <v>1.0576E-2</v>
      </c>
      <c r="O13" s="85">
        <v>1.1516999999999999E-2</v>
      </c>
      <c r="P13" s="85">
        <v>1.2482999999999999E-2</v>
      </c>
      <c r="Q13" s="85">
        <v>1.3459E-2</v>
      </c>
      <c r="R13" s="85">
        <v>1.4456E-2</v>
      </c>
      <c r="S13" s="85">
        <v>1.5469999999999999E-2</v>
      </c>
      <c r="T13" s="86">
        <v>1.6490999999999999E-2</v>
      </c>
    </row>
    <row r="14" spans="2:20" x14ac:dyDescent="0.4">
      <c r="B14" s="83" t="s">
        <v>149</v>
      </c>
      <c r="C14" s="75">
        <v>1.0154999999999999E-2</v>
      </c>
      <c r="D14" s="85">
        <v>1.2241E-2</v>
      </c>
      <c r="E14" s="85">
        <v>1.1756000000000001E-2</v>
      </c>
      <c r="F14" s="85">
        <v>1.1346E-2</v>
      </c>
      <c r="G14" s="85">
        <v>1.1002E-2</v>
      </c>
      <c r="H14" s="85">
        <v>1.0482E-2</v>
      </c>
      <c r="I14" s="85">
        <v>1.0298999999999999E-2</v>
      </c>
      <c r="J14" s="85">
        <v>1.0173999999999999E-2</v>
      </c>
      <c r="K14" s="85">
        <v>1.0114E-2</v>
      </c>
      <c r="L14" s="85">
        <v>1.0123E-2</v>
      </c>
      <c r="M14" s="85">
        <v>1.0201999999999999E-2</v>
      </c>
      <c r="N14" s="85">
        <v>1.04E-2</v>
      </c>
      <c r="O14" s="85">
        <v>1.1258000000000001E-2</v>
      </c>
      <c r="P14" s="85">
        <v>1.2151E-2</v>
      </c>
      <c r="Q14" s="85">
        <v>1.3068999999999999E-2</v>
      </c>
      <c r="R14" s="85">
        <v>1.4016999999999998E-2</v>
      </c>
      <c r="S14" s="85">
        <v>1.4985E-2</v>
      </c>
      <c r="T14" s="86">
        <v>1.5963999999999999E-2</v>
      </c>
    </row>
    <row r="15" spans="2:20" x14ac:dyDescent="0.4">
      <c r="B15" s="83" t="s">
        <v>150</v>
      </c>
      <c r="C15" s="75">
        <v>9.8810000000000009E-3</v>
      </c>
      <c r="D15" s="85">
        <v>1.1783E-2</v>
      </c>
      <c r="E15" s="85">
        <v>1.1317000000000001E-2</v>
      </c>
      <c r="F15" s="85">
        <v>1.0925000000000001E-2</v>
      </c>
      <c r="G15" s="85">
        <v>1.0601000000000001E-2</v>
      </c>
      <c r="H15" s="85">
        <v>1.0126000000000001E-2</v>
      </c>
      <c r="I15" s="85">
        <v>9.9659999999999992E-3</v>
      </c>
      <c r="J15" s="85">
        <v>9.861E-3</v>
      </c>
      <c r="K15" s="85">
        <v>9.8169999999999993E-3</v>
      </c>
      <c r="L15" s="85">
        <v>9.8379999999999995E-3</v>
      </c>
      <c r="M15" s="85">
        <v>9.9209999999999993E-3</v>
      </c>
      <c r="N15" s="85">
        <v>1.0104E-2</v>
      </c>
      <c r="O15" s="85">
        <v>1.0840000000000001E-2</v>
      </c>
      <c r="P15" s="85">
        <v>1.1625E-2</v>
      </c>
      <c r="Q15" s="85">
        <v>1.2452E-2</v>
      </c>
      <c r="R15" s="85">
        <v>1.3318E-2</v>
      </c>
      <c r="S15" s="85">
        <v>1.4208000000000002E-2</v>
      </c>
      <c r="T15" s="86">
        <v>1.5112E-2</v>
      </c>
    </row>
    <row r="16" spans="2:20" x14ac:dyDescent="0.4">
      <c r="B16" s="83" t="s">
        <v>151</v>
      </c>
      <c r="C16" s="75">
        <v>9.4800000000000006E-3</v>
      </c>
      <c r="D16" s="85">
        <v>1.1115E-2</v>
      </c>
      <c r="E16" s="85">
        <v>1.068E-2</v>
      </c>
      <c r="F16" s="85">
        <v>1.0320000000000001E-2</v>
      </c>
      <c r="G16" s="85">
        <v>1.0026999999999999E-2</v>
      </c>
      <c r="H16" s="85">
        <v>9.6159999999999995E-3</v>
      </c>
      <c r="I16" s="85">
        <v>9.4879999999999999E-3</v>
      </c>
      <c r="J16" s="85">
        <v>9.4109999999999992E-3</v>
      </c>
      <c r="K16" s="85">
        <v>9.3889999999999998E-3</v>
      </c>
      <c r="L16" s="85">
        <v>9.4230000000000008E-3</v>
      </c>
      <c r="M16" s="85">
        <v>9.5119999999999996E-3</v>
      </c>
      <c r="N16" s="85">
        <v>9.6810000000000004E-3</v>
      </c>
      <c r="O16" s="85">
        <v>1.0303E-2</v>
      </c>
      <c r="P16" s="85">
        <v>1.0985E-2</v>
      </c>
      <c r="Q16" s="85">
        <v>1.1723000000000001E-2</v>
      </c>
      <c r="R16" s="85">
        <v>1.2504000000000001E-2</v>
      </c>
      <c r="S16" s="85">
        <v>1.3311000000000002E-2</v>
      </c>
      <c r="T16" s="86">
        <v>1.4131999999999999E-2</v>
      </c>
    </row>
    <row r="17" spans="2:32" x14ac:dyDescent="0.4">
      <c r="B17" s="83" t="s">
        <v>152</v>
      </c>
      <c r="C17" s="75">
        <v>9.0329999999999994E-3</v>
      </c>
      <c r="D17" s="85">
        <v>9.9159999999999995E-3</v>
      </c>
      <c r="E17" s="85">
        <v>9.5879999999999993E-3</v>
      </c>
      <c r="F17" s="85">
        <v>9.3329999999999993E-3</v>
      </c>
      <c r="G17" s="85">
        <v>9.1420000000000008E-3</v>
      </c>
      <c r="H17" s="85">
        <v>8.9200000000000008E-3</v>
      </c>
      <c r="I17" s="85">
        <v>8.8730000000000007E-3</v>
      </c>
      <c r="J17" s="85">
        <v>8.8650000000000014E-3</v>
      </c>
      <c r="K17" s="85">
        <v>8.8979999999999997E-3</v>
      </c>
      <c r="L17" s="85">
        <v>8.9700000000000005E-3</v>
      </c>
      <c r="M17" s="85">
        <v>9.0819999999999998E-3</v>
      </c>
      <c r="N17" s="85">
        <v>9.2510000000000005E-3</v>
      </c>
      <c r="O17" s="85">
        <v>9.7870000000000006E-3</v>
      </c>
      <c r="P17" s="85">
        <v>1.0376999999999999E-2</v>
      </c>
      <c r="Q17" s="85">
        <v>1.1017000000000001E-2</v>
      </c>
      <c r="R17" s="85">
        <v>1.1693E-2</v>
      </c>
      <c r="S17" s="85">
        <v>1.2390999999999999E-2</v>
      </c>
      <c r="T17" s="86">
        <v>1.3099000000000001E-2</v>
      </c>
    </row>
    <row r="18" spans="2:32" x14ac:dyDescent="0.4">
      <c r="B18" s="83" t="s">
        <v>153</v>
      </c>
      <c r="C18" s="75">
        <v>8.6909999999999991E-3</v>
      </c>
      <c r="D18" s="85">
        <v>8.8950000000000001E-3</v>
      </c>
      <c r="E18" s="85">
        <v>8.6829999999999997E-3</v>
      </c>
      <c r="F18" s="85">
        <v>8.5379999999999987E-3</v>
      </c>
      <c r="G18" s="85">
        <v>8.4480000000000006E-3</v>
      </c>
      <c r="H18" s="85">
        <v>8.395999999999999E-3</v>
      </c>
      <c r="I18" s="85">
        <v>8.4180000000000001E-3</v>
      </c>
      <c r="J18" s="85">
        <v>8.4670000000000006E-3</v>
      </c>
      <c r="K18" s="85">
        <v>8.5430000000000002E-3</v>
      </c>
      <c r="L18" s="85">
        <v>8.6459999999999992E-3</v>
      </c>
      <c r="M18" s="85">
        <v>8.7760000000000008E-3</v>
      </c>
      <c r="N18" s="85">
        <v>8.9480000000000011E-3</v>
      </c>
      <c r="O18" s="85">
        <v>9.4400000000000005E-3</v>
      </c>
      <c r="P18" s="85">
        <v>9.9760000000000005E-3</v>
      </c>
      <c r="Q18" s="85">
        <v>1.0553E-2</v>
      </c>
      <c r="R18" s="85">
        <v>1.1159000000000001E-2</v>
      </c>
      <c r="S18" s="85">
        <v>1.1780000000000001E-2</v>
      </c>
      <c r="T18" s="86">
        <v>1.2409999999999999E-2</v>
      </c>
    </row>
    <row r="19" spans="2:32" x14ac:dyDescent="0.4">
      <c r="B19" s="84" t="s">
        <v>154</v>
      </c>
      <c r="C19" s="76">
        <v>8.395999999999999E-3</v>
      </c>
      <c r="D19" s="87">
        <v>8.1499999999999993E-3</v>
      </c>
      <c r="E19" s="87">
        <v>8.0200000000000011E-3</v>
      </c>
      <c r="F19" s="87">
        <v>7.9489999999999995E-3</v>
      </c>
      <c r="G19" s="87">
        <v>7.927E-3</v>
      </c>
      <c r="H19" s="87">
        <v>7.9889999999999996E-3</v>
      </c>
      <c r="I19" s="87">
        <v>8.0569999999999999E-3</v>
      </c>
      <c r="J19" s="87">
        <v>8.1449999999999995E-3</v>
      </c>
      <c r="K19" s="87">
        <v>8.2500000000000004E-3</v>
      </c>
      <c r="L19" s="87">
        <v>8.3750000000000005E-3</v>
      </c>
      <c r="M19" s="87">
        <v>8.5180000000000013E-3</v>
      </c>
      <c r="N19" s="87">
        <v>8.6920000000000001E-3</v>
      </c>
      <c r="O19" s="87">
        <v>9.1560000000000009E-3</v>
      </c>
      <c r="P19" s="87">
        <v>9.6550000000000004E-3</v>
      </c>
      <c r="Q19" s="87">
        <v>1.0187999999999999E-2</v>
      </c>
      <c r="R19" s="87">
        <v>1.0743000000000001E-2</v>
      </c>
      <c r="S19" s="87">
        <v>1.1309999999999999E-2</v>
      </c>
      <c r="T19" s="88">
        <v>1.1882999999999999E-2</v>
      </c>
    </row>
    <row r="23" spans="2:32" x14ac:dyDescent="0.4">
      <c r="B23" s="74" t="s">
        <v>173</v>
      </c>
      <c r="E23" s="77"/>
      <c r="G23" s="77"/>
      <c r="H23" s="77"/>
      <c r="I23" s="77"/>
      <c r="J23" s="77"/>
      <c r="L23" s="78"/>
    </row>
    <row r="24" spans="2:32" x14ac:dyDescent="0.4">
      <c r="AE24" s="73">
        <v>10950</v>
      </c>
      <c r="AF24" s="77"/>
    </row>
    <row r="25" spans="2:32" x14ac:dyDescent="0.4">
      <c r="B25" s="89"/>
      <c r="C25" s="81" t="s">
        <v>140</v>
      </c>
      <c r="D25" s="81" t="s">
        <v>141</v>
      </c>
      <c r="E25" s="81" t="s">
        <v>142</v>
      </c>
      <c r="F25" s="81" t="s">
        <v>143</v>
      </c>
      <c r="G25" s="81" t="s">
        <v>144</v>
      </c>
      <c r="H25" s="81" t="s">
        <v>146</v>
      </c>
      <c r="I25" s="81" t="s">
        <v>149</v>
      </c>
      <c r="J25" s="81" t="s">
        <v>150</v>
      </c>
      <c r="K25" s="81" t="s">
        <v>151</v>
      </c>
      <c r="L25" s="81" t="s">
        <v>152</v>
      </c>
      <c r="M25" s="81" t="s">
        <v>153</v>
      </c>
      <c r="N25" s="82" t="s">
        <v>154</v>
      </c>
      <c r="AE25" s="73">
        <v>11000</v>
      </c>
      <c r="AF25" s="77"/>
    </row>
    <row r="26" spans="2:32" x14ac:dyDescent="0.4">
      <c r="B26" s="83" t="s">
        <v>114</v>
      </c>
      <c r="C26" s="90">
        <v>9.724E-3</v>
      </c>
      <c r="D26" s="90">
        <v>1.2591E-2</v>
      </c>
      <c r="E26" s="90">
        <v>1.2849000000000001E-2</v>
      </c>
      <c r="F26" s="90">
        <v>1.2692E-2</v>
      </c>
      <c r="G26" s="90">
        <v>1.2572E-2</v>
      </c>
      <c r="H26" s="90">
        <v>1.1757E-2</v>
      </c>
      <c r="I26" s="90">
        <v>1.1191E-2</v>
      </c>
      <c r="J26" s="90">
        <v>1.0931E-2</v>
      </c>
      <c r="K26" s="90">
        <v>1.0493000000000001E-2</v>
      </c>
      <c r="L26" s="90">
        <v>9.9860000000000001E-3</v>
      </c>
      <c r="M26" s="90">
        <v>9.8110000000000003E-3</v>
      </c>
      <c r="N26" s="91">
        <v>9.4260000000000004E-3</v>
      </c>
      <c r="AE26" s="73">
        <v>11050</v>
      </c>
      <c r="AF26" s="77"/>
    </row>
    <row r="27" spans="2:32" x14ac:dyDescent="0.4">
      <c r="B27" s="83" t="s">
        <v>115</v>
      </c>
      <c r="C27" s="90">
        <v>1.1252E-2</v>
      </c>
      <c r="D27" s="90">
        <v>1.3122E-2</v>
      </c>
      <c r="E27" s="90">
        <v>1.272E-2</v>
      </c>
      <c r="F27" s="90">
        <v>1.2583E-2</v>
      </c>
      <c r="G27" s="90">
        <v>1.2491E-2</v>
      </c>
      <c r="H27" s="90">
        <v>1.1948E-2</v>
      </c>
      <c r="I27" s="90">
        <v>1.1408E-2</v>
      </c>
      <c r="J27" s="90">
        <v>1.1198999999999999E-2</v>
      </c>
      <c r="K27" s="90">
        <v>1.0856999999999999E-2</v>
      </c>
      <c r="L27" s="90">
        <v>1.0371999999999999E-2</v>
      </c>
      <c r="M27" s="90">
        <v>1.0014E-2</v>
      </c>
      <c r="N27" s="91">
        <v>9.7710000000000002E-3</v>
      </c>
      <c r="AE27" s="73">
        <v>11100</v>
      </c>
      <c r="AF27" s="77"/>
    </row>
    <row r="28" spans="2:32" x14ac:dyDescent="0.4">
      <c r="B28" s="83" t="s">
        <v>116</v>
      </c>
      <c r="C28" s="90">
        <v>1.2742E-2</v>
      </c>
      <c r="D28" s="90">
        <v>1.321E-2</v>
      </c>
      <c r="E28" s="90">
        <v>1.2756999999999999E-2</v>
      </c>
      <c r="F28" s="90">
        <v>1.2648000000000001E-2</v>
      </c>
      <c r="G28" s="90">
        <v>1.2284999999999999E-2</v>
      </c>
      <c r="H28" s="90">
        <v>1.1724999999999999E-2</v>
      </c>
      <c r="I28" s="90">
        <v>1.1191E-2</v>
      </c>
      <c r="J28" s="90">
        <v>1.0971999999999999E-2</v>
      </c>
      <c r="K28" s="90">
        <v>1.0621999999999999E-2</v>
      </c>
      <c r="L28" s="90">
        <v>1.0167000000000001E-2</v>
      </c>
      <c r="M28" s="90">
        <v>9.8139999999999998E-3</v>
      </c>
      <c r="N28" s="91">
        <v>9.6019999999999994E-3</v>
      </c>
      <c r="AE28" s="73">
        <v>11150</v>
      </c>
      <c r="AF28" s="77"/>
    </row>
    <row r="29" spans="2:32" x14ac:dyDescent="0.4">
      <c r="B29" s="83" t="s">
        <v>117</v>
      </c>
      <c r="C29" s="90">
        <v>1.316E-2</v>
      </c>
      <c r="D29" s="90">
        <v>1.3013999999999998E-2</v>
      </c>
      <c r="E29" s="90">
        <v>1.2591E-2</v>
      </c>
      <c r="F29" s="90">
        <v>1.2416E-2</v>
      </c>
      <c r="G29" s="90">
        <v>1.2012E-2</v>
      </c>
      <c r="H29" s="90">
        <v>1.1447000000000001E-2</v>
      </c>
      <c r="I29" s="90">
        <v>1.089E-2</v>
      </c>
      <c r="J29" s="90">
        <v>1.0676E-2</v>
      </c>
      <c r="K29" s="90">
        <v>1.0337000000000001E-2</v>
      </c>
      <c r="L29" s="90">
        <v>9.8739999999999991E-3</v>
      </c>
      <c r="M29" s="90">
        <v>9.5420000000000001E-3</v>
      </c>
      <c r="N29" s="91">
        <v>9.3670000000000003E-3</v>
      </c>
      <c r="AE29" s="73">
        <v>11200</v>
      </c>
      <c r="AF29" s="77"/>
    </row>
    <row r="30" spans="2:32" x14ac:dyDescent="0.4">
      <c r="B30" s="83" t="s">
        <v>140</v>
      </c>
      <c r="C30" s="90">
        <v>1.3371000000000001E-2</v>
      </c>
      <c r="D30" s="90">
        <v>1.2815E-2</v>
      </c>
      <c r="E30" s="90">
        <v>1.2496999999999999E-2</v>
      </c>
      <c r="F30" s="90">
        <v>1.2134000000000001E-2</v>
      </c>
      <c r="G30" s="90">
        <v>1.1689E-2</v>
      </c>
      <c r="H30" s="90">
        <v>1.1174E-2</v>
      </c>
      <c r="I30" s="90">
        <v>1.0651000000000001E-2</v>
      </c>
      <c r="J30" s="90">
        <v>1.0440999999999999E-2</v>
      </c>
      <c r="K30" s="90">
        <v>1.0108000000000001E-2</v>
      </c>
      <c r="L30" s="90">
        <v>9.6469999999999993E-3</v>
      </c>
      <c r="M30" s="90">
        <v>9.3139999999999994E-3</v>
      </c>
      <c r="N30" s="91">
        <v>9.1659999999999988E-3</v>
      </c>
      <c r="AE30" s="73">
        <v>11250</v>
      </c>
      <c r="AF30" s="77"/>
    </row>
    <row r="31" spans="2:32" x14ac:dyDescent="0.4">
      <c r="B31" s="83" t="s">
        <v>141</v>
      </c>
      <c r="C31" s="90">
        <v>1.2307999999999999E-2</v>
      </c>
      <c r="D31" s="90">
        <v>1.1953E-2</v>
      </c>
      <c r="E31" s="90">
        <v>1.1625E-2</v>
      </c>
      <c r="F31" s="90">
        <v>1.1408E-2</v>
      </c>
      <c r="G31" s="90">
        <v>1.1129E-2</v>
      </c>
      <c r="H31" s="90">
        <v>1.0636E-2</v>
      </c>
      <c r="I31" s="90">
        <v>1.0133E-2</v>
      </c>
      <c r="J31" s="90">
        <v>9.92E-3</v>
      </c>
      <c r="K31" s="90">
        <v>9.5760000000000012E-3</v>
      </c>
      <c r="L31" s="90">
        <v>9.1529999999999997E-3</v>
      </c>
      <c r="M31" s="90">
        <v>8.8519999999999988E-3</v>
      </c>
      <c r="N31" s="91">
        <v>8.7260000000000011E-3</v>
      </c>
      <c r="AE31" s="73">
        <v>11300</v>
      </c>
      <c r="AF31" s="77"/>
    </row>
    <row r="32" spans="2:32" x14ac:dyDescent="0.4">
      <c r="B32" s="83" t="s">
        <v>142</v>
      </c>
      <c r="C32" s="90">
        <v>1.583E-3</v>
      </c>
      <c r="D32" s="90">
        <v>1.1285E-2</v>
      </c>
      <c r="E32" s="90">
        <v>1.1098E-2</v>
      </c>
      <c r="F32" s="90">
        <v>1.0853E-2</v>
      </c>
      <c r="G32" s="90">
        <v>1.056E-2</v>
      </c>
      <c r="H32" s="90">
        <v>1.0107E-2</v>
      </c>
      <c r="I32" s="90">
        <v>9.637999999999999E-3</v>
      </c>
      <c r="J32" s="90">
        <v>9.4389999999999995E-3</v>
      </c>
      <c r="K32" s="90">
        <v>9.1109999999999993E-3</v>
      </c>
      <c r="L32" s="90">
        <v>8.7209999999999996E-3</v>
      </c>
      <c r="M32" s="90">
        <v>8.43E-3</v>
      </c>
      <c r="N32" s="91">
        <v>8.3060000000000009E-3</v>
      </c>
      <c r="AE32" s="73">
        <v>11350</v>
      </c>
      <c r="AF32" s="77"/>
    </row>
    <row r="33" spans="2:32" x14ac:dyDescent="0.4">
      <c r="B33" s="83" t="s">
        <v>143</v>
      </c>
      <c r="C33" s="90">
        <v>1.1063E-2</v>
      </c>
      <c r="D33" s="90">
        <v>1.0740000000000001E-2</v>
      </c>
      <c r="E33" s="90">
        <v>1.0520999999999999E-2</v>
      </c>
      <c r="F33" s="90">
        <v>1.0283E-2</v>
      </c>
      <c r="G33" s="90">
        <v>9.9989999999999992E-3</v>
      </c>
      <c r="H33" s="90">
        <v>9.6469999999999993E-3</v>
      </c>
      <c r="I33" s="90">
        <v>9.2399999999999999E-3</v>
      </c>
      <c r="J33" s="90">
        <v>9.0419999999999997E-3</v>
      </c>
      <c r="K33" s="90">
        <v>8.7170000000000008E-3</v>
      </c>
      <c r="L33" s="90">
        <v>8.3359999999999997E-3</v>
      </c>
      <c r="M33" s="90">
        <v>8.0800000000000004E-3</v>
      </c>
      <c r="N33" s="91">
        <v>7.951999999999999E-3</v>
      </c>
      <c r="AE33" s="73">
        <v>11400</v>
      </c>
      <c r="AF33" s="77"/>
    </row>
    <row r="34" spans="2:32" x14ac:dyDescent="0.4">
      <c r="B34" s="83" t="s">
        <v>144</v>
      </c>
      <c r="C34" s="90">
        <v>1.0562E-2</v>
      </c>
      <c r="D34" s="90">
        <v>1.0246999999999999E-2</v>
      </c>
      <c r="E34" s="90">
        <v>1.0029000000000001E-2</v>
      </c>
      <c r="F34" s="90">
        <v>9.8099999999999993E-3</v>
      </c>
      <c r="G34" s="90">
        <v>9.5940000000000001E-3</v>
      </c>
      <c r="H34" s="90">
        <v>9.2949999999999994E-3</v>
      </c>
      <c r="I34" s="90">
        <v>8.8970000000000004E-3</v>
      </c>
      <c r="J34" s="90">
        <v>8.6999999999999994E-3</v>
      </c>
      <c r="K34" s="90">
        <v>8.379000000000001E-3</v>
      </c>
      <c r="L34" s="90">
        <v>8.0230000000000006E-3</v>
      </c>
      <c r="M34" s="90">
        <v>7.7799999999999996E-3</v>
      </c>
      <c r="N34" s="91">
        <v>7.659E-3</v>
      </c>
      <c r="AE34" s="73">
        <v>11450</v>
      </c>
      <c r="AF34" s="77"/>
    </row>
    <row r="35" spans="2:32" x14ac:dyDescent="0.4">
      <c r="B35" s="83" t="s">
        <v>145</v>
      </c>
      <c r="C35" s="90">
        <v>9.9799999999999993E-3</v>
      </c>
      <c r="D35" s="90">
        <v>9.7989999999999987E-3</v>
      </c>
      <c r="E35" s="90">
        <v>9.6069999999999992E-3</v>
      </c>
      <c r="F35" s="90">
        <v>9.4209999999999988E-3</v>
      </c>
      <c r="G35" s="90">
        <v>9.2379999999999997E-3</v>
      </c>
      <c r="H35" s="90">
        <v>8.9629999999999987E-3</v>
      </c>
      <c r="I35" s="90">
        <v>8.5920000000000007E-3</v>
      </c>
      <c r="J35" s="90">
        <v>8.3879999999999996E-3</v>
      </c>
      <c r="K35" s="90">
        <v>8.0890000000000007E-3</v>
      </c>
      <c r="L35" s="90">
        <v>7.7510000000000009E-3</v>
      </c>
      <c r="M35" s="90">
        <v>7.529000000000001E-3</v>
      </c>
      <c r="N35" s="91">
        <v>7.4060000000000003E-3</v>
      </c>
      <c r="AE35" s="73">
        <v>11500</v>
      </c>
      <c r="AF35" s="77"/>
    </row>
    <row r="36" spans="2:32" x14ac:dyDescent="0.4">
      <c r="B36" s="83" t="s">
        <v>146</v>
      </c>
      <c r="C36" s="90">
        <v>9.6530000000000001E-3</v>
      </c>
      <c r="D36" s="90">
        <v>9.4299999999999991E-3</v>
      </c>
      <c r="E36" s="90">
        <v>9.2230000000000003E-3</v>
      </c>
      <c r="F36" s="90">
        <v>9.0469999999999995E-3</v>
      </c>
      <c r="G36" s="90">
        <v>8.8690000000000001E-3</v>
      </c>
      <c r="H36" s="90">
        <v>8.6189999999999999E-3</v>
      </c>
      <c r="I36" s="90">
        <v>8.2000000000000007E-3</v>
      </c>
      <c r="J36" s="90">
        <v>8.0950999999999992E-3</v>
      </c>
      <c r="K36" s="90">
        <v>7.7879999999999998E-3</v>
      </c>
      <c r="L36" s="90">
        <v>7.4760000000000009E-3</v>
      </c>
      <c r="M36" s="90">
        <v>7.2560000000000003E-3</v>
      </c>
      <c r="N36" s="91">
        <v>7.1450000000000003E-3</v>
      </c>
      <c r="AE36" s="73">
        <v>11550</v>
      </c>
      <c r="AF36" s="77"/>
    </row>
    <row r="37" spans="2:32" x14ac:dyDescent="0.4">
      <c r="B37" s="83" t="s">
        <v>147</v>
      </c>
      <c r="C37" s="90">
        <v>9.3810000000000004E-3</v>
      </c>
      <c r="D37" s="90">
        <v>9.0829999999999991E-3</v>
      </c>
      <c r="E37" s="90">
        <v>8.881E-3</v>
      </c>
      <c r="F37" s="90">
        <v>8.7270000000000004E-3</v>
      </c>
      <c r="G37" s="90">
        <v>8.5719999999999998E-3</v>
      </c>
      <c r="H37" s="90">
        <v>8.3349999999999987E-3</v>
      </c>
      <c r="I37" s="90">
        <v>8.0020000000000004E-3</v>
      </c>
      <c r="J37" s="90">
        <v>7.8129999999999988E-3</v>
      </c>
      <c r="K37" s="90">
        <v>7.5079999999999999E-3</v>
      </c>
      <c r="L37" s="90">
        <v>7.2180000000000005E-3</v>
      </c>
      <c r="M37" s="90">
        <v>7.0090000000000005E-3</v>
      </c>
      <c r="N37" s="91">
        <v>6.9150000000000001E-3</v>
      </c>
      <c r="AE37" s="73">
        <v>11600</v>
      </c>
      <c r="AF37" s="77"/>
    </row>
    <row r="38" spans="2:32" x14ac:dyDescent="0.4">
      <c r="B38" s="83" t="s">
        <v>148</v>
      </c>
      <c r="C38" s="90">
        <v>9.0469999999999995E-3</v>
      </c>
      <c r="D38" s="90">
        <v>8.7599999999999987E-3</v>
      </c>
      <c r="E38" s="90">
        <v>8.5749999999999993E-3</v>
      </c>
      <c r="F38" s="90">
        <v>8.4250000000000002E-3</v>
      </c>
      <c r="G38" s="90">
        <v>8.2699999999999996E-3</v>
      </c>
      <c r="H38" s="90">
        <v>8.038E-3</v>
      </c>
      <c r="I38" s="90">
        <v>7.7209999999999996E-3</v>
      </c>
      <c r="J38" s="90">
        <v>7.5319999999999996E-3</v>
      </c>
      <c r="K38" s="90">
        <v>7.2299999999999994E-3</v>
      </c>
      <c r="L38" s="90">
        <v>6.9610000000000002E-3</v>
      </c>
      <c r="M38" s="90">
        <v>6.7599999999999995E-3</v>
      </c>
      <c r="N38" s="91">
        <v>6.6790000000000009E-3</v>
      </c>
      <c r="AE38" s="73">
        <v>11650</v>
      </c>
      <c r="AF38" s="77"/>
    </row>
    <row r="39" spans="2:32" x14ac:dyDescent="0.4">
      <c r="B39" s="83" t="s">
        <v>149</v>
      </c>
      <c r="C39" s="90">
        <v>8.7329999999999994E-3</v>
      </c>
      <c r="D39" s="90">
        <v>8.5559999999999994E-3</v>
      </c>
      <c r="E39" s="90">
        <v>8.3140000000000002E-3</v>
      </c>
      <c r="F39" s="90">
        <v>8.1419999999999999E-3</v>
      </c>
      <c r="G39" s="90">
        <v>7.9640000000000006E-3</v>
      </c>
      <c r="H39" s="90">
        <v>7.7540000000000005E-3</v>
      </c>
      <c r="I39" s="90">
        <v>7.4400000000000004E-3</v>
      </c>
      <c r="J39" s="90">
        <v>7.2489999999999994E-3</v>
      </c>
      <c r="K39" s="90">
        <v>6.9439999999999997E-3</v>
      </c>
      <c r="L39" s="90">
        <v>6.6989999999999992E-3</v>
      </c>
      <c r="M39" s="90">
        <v>6.5069999999999989E-3</v>
      </c>
      <c r="N39" s="91">
        <v>6.4379999999999993E-3</v>
      </c>
      <c r="AE39" s="73">
        <v>11700</v>
      </c>
      <c r="AF39" s="77"/>
    </row>
    <row r="40" spans="2:32" x14ac:dyDescent="0.4">
      <c r="B40" s="83" t="s">
        <v>150</v>
      </c>
      <c r="C40" s="90">
        <v>8.2799999999999992E-3</v>
      </c>
      <c r="D40" s="90">
        <v>8.1129999999999987E-3</v>
      </c>
      <c r="E40" s="90">
        <v>7.8900000000000012E-3</v>
      </c>
      <c r="F40" s="90">
        <v>7.7250000000000001E-3</v>
      </c>
      <c r="G40" s="90">
        <v>7.5560000000000002E-3</v>
      </c>
      <c r="H40" s="90">
        <v>7.3480000000000004E-3</v>
      </c>
      <c r="I40" s="90">
        <v>7.0379999999999991E-3</v>
      </c>
      <c r="J40" s="90">
        <v>6.8669999999999998E-3</v>
      </c>
      <c r="K40" s="90">
        <v>6.594E-3</v>
      </c>
      <c r="L40" s="90">
        <v>6.3759999999999997E-3</v>
      </c>
      <c r="M40" s="90">
        <v>6.2040000000000003E-3</v>
      </c>
      <c r="N40" s="91">
        <v>6.1520000000000004E-3</v>
      </c>
      <c r="AE40" s="73">
        <v>11750</v>
      </c>
      <c r="AF40" s="77"/>
    </row>
    <row r="41" spans="2:32" x14ac:dyDescent="0.4">
      <c r="B41" s="83" t="s">
        <v>151</v>
      </c>
      <c r="C41" s="90">
        <v>7.6159999999999995E-3</v>
      </c>
      <c r="D41" s="90">
        <v>7.4760000000000009E-3</v>
      </c>
      <c r="E41" s="90">
        <v>7.2700000000000004E-3</v>
      </c>
      <c r="F41" s="90">
        <v>7.1480000000000007E-3</v>
      </c>
      <c r="G41" s="90">
        <v>6.993000000000001E-3</v>
      </c>
      <c r="H41" s="90">
        <v>6.7530000000000003E-3</v>
      </c>
      <c r="I41" s="90">
        <v>6.4480000000000006E-3</v>
      </c>
      <c r="J41" s="90">
        <v>6.3080000000000002E-3</v>
      </c>
      <c r="K41" s="90">
        <v>6.0889999999999998E-3</v>
      </c>
      <c r="L41" s="90">
        <v>5.9090000000000002E-3</v>
      </c>
      <c r="M41" s="90">
        <v>5.751E-3</v>
      </c>
      <c r="N41" s="91">
        <v>5.7340000000000004E-3</v>
      </c>
      <c r="AE41" s="73">
        <v>11800</v>
      </c>
      <c r="AF41" s="77"/>
    </row>
    <row r="42" spans="2:32" x14ac:dyDescent="0.4">
      <c r="B42" s="83" t="s">
        <v>152</v>
      </c>
      <c r="C42" s="90">
        <v>6.8890000000000002E-3</v>
      </c>
      <c r="D42" s="90">
        <v>6.7060000000000002E-3</v>
      </c>
      <c r="E42" s="90">
        <v>6.5400000000000007E-3</v>
      </c>
      <c r="F42" s="90">
        <v>6.398E-3</v>
      </c>
      <c r="G42" s="90">
        <v>6.2509999999999996E-3</v>
      </c>
      <c r="H42" s="90">
        <v>6.0810000000000005E-3</v>
      </c>
      <c r="I42" s="90">
        <v>5.7819999999999998E-3</v>
      </c>
      <c r="J42" s="90">
        <v>5.6639999999999998E-3</v>
      </c>
      <c r="K42" s="90">
        <v>5.4780000000000002E-3</v>
      </c>
      <c r="L42" s="90">
        <v>5.3379999999999999E-3</v>
      </c>
      <c r="M42" s="90">
        <v>5.2500000000000003E-3</v>
      </c>
      <c r="N42" s="91">
        <v>5.228E-3</v>
      </c>
      <c r="AE42" s="73">
        <v>11850</v>
      </c>
      <c r="AF42" s="77"/>
    </row>
    <row r="43" spans="2:32" x14ac:dyDescent="0.4">
      <c r="B43" s="83" t="s">
        <v>153</v>
      </c>
      <c r="C43" s="90">
        <v>6.7040000000000008E-3</v>
      </c>
      <c r="D43" s="90">
        <v>6.5340000000000007E-3</v>
      </c>
      <c r="E43" s="90">
        <v>6.3689999999999997E-3</v>
      </c>
      <c r="F43" s="90">
        <v>6.2179999999999996E-3</v>
      </c>
      <c r="G43" s="90">
        <v>6.0889999999999998E-3</v>
      </c>
      <c r="H43" s="90">
        <v>5.9220000000000002E-3</v>
      </c>
      <c r="I43" s="90">
        <v>5.5659999999999998E-3</v>
      </c>
      <c r="J43" s="90">
        <v>5.457E-3</v>
      </c>
      <c r="K43" s="90">
        <v>5.287E-3</v>
      </c>
      <c r="L43" s="90">
        <v>5.2009999999999999E-3</v>
      </c>
      <c r="M43" s="90">
        <v>5.1320000000000003E-3</v>
      </c>
      <c r="N43" s="91">
        <v>5.1149999999999998E-3</v>
      </c>
      <c r="AE43" s="73">
        <v>11900</v>
      </c>
      <c r="AF43" s="77"/>
    </row>
    <row r="44" spans="2:32" x14ac:dyDescent="0.4">
      <c r="B44" s="84" t="s">
        <v>154</v>
      </c>
      <c r="C44" s="92">
        <v>6.4050000000000001E-3</v>
      </c>
      <c r="D44" s="92">
        <v>6.2969999999999996E-3</v>
      </c>
      <c r="E44" s="92">
        <v>6.1799999999999997E-3</v>
      </c>
      <c r="F44" s="92">
        <v>6.0229999999999997E-3</v>
      </c>
      <c r="G44" s="92">
        <v>5.855E-3</v>
      </c>
      <c r="H44" s="92">
        <v>5.6439999999999997E-3</v>
      </c>
      <c r="I44" s="92">
        <v>5.2459999999999998E-3</v>
      </c>
      <c r="J44" s="92">
        <v>5.156E-3</v>
      </c>
      <c r="K44" s="92">
        <v>5.0169999999999998E-3</v>
      </c>
      <c r="L44" s="92">
        <v>4.9150000000000001E-3</v>
      </c>
      <c r="M44" s="92">
        <v>4.8390000000000004E-3</v>
      </c>
      <c r="N44" s="93">
        <v>4.8250000000000003E-3</v>
      </c>
      <c r="AE44" s="73">
        <v>11950</v>
      </c>
      <c r="AF44" s="77"/>
    </row>
    <row r="45" spans="2:32" x14ac:dyDescent="0.4">
      <c r="AE45" s="73">
        <v>12000</v>
      </c>
      <c r="AF45" s="77"/>
    </row>
    <row r="46" spans="2:32" x14ac:dyDescent="0.4">
      <c r="AE46" s="73">
        <v>12050</v>
      </c>
      <c r="AF46" s="77"/>
    </row>
    <row r="47" spans="2:32" x14ac:dyDescent="0.4">
      <c r="B47" s="74" t="s">
        <v>172</v>
      </c>
      <c r="AE47" s="73">
        <v>12100</v>
      </c>
      <c r="AF47" s="77"/>
    </row>
    <row r="48" spans="2:32" x14ac:dyDescent="0.4">
      <c r="AE48" s="73">
        <v>12150</v>
      </c>
      <c r="AF48" s="77"/>
    </row>
    <row r="49" spans="2:19" x14ac:dyDescent="0.4">
      <c r="B49" s="89"/>
      <c r="C49" s="81" t="s">
        <v>123</v>
      </c>
      <c r="D49" s="81" t="s">
        <v>124</v>
      </c>
      <c r="E49" s="81" t="s">
        <v>125</v>
      </c>
      <c r="F49" s="81" t="s">
        <v>126</v>
      </c>
      <c r="G49" s="81" t="s">
        <v>127</v>
      </c>
      <c r="H49" s="81" t="s">
        <v>128</v>
      </c>
      <c r="I49" s="81" t="s">
        <v>129</v>
      </c>
      <c r="J49" s="81" t="s">
        <v>130</v>
      </c>
      <c r="K49" s="81" t="s">
        <v>131</v>
      </c>
      <c r="L49" s="81" t="s">
        <v>132</v>
      </c>
      <c r="M49" s="81" t="s">
        <v>133</v>
      </c>
      <c r="N49" s="81" t="s">
        <v>134</v>
      </c>
      <c r="O49" s="81" t="s">
        <v>135</v>
      </c>
      <c r="P49" s="81" t="s">
        <v>136</v>
      </c>
      <c r="Q49" s="81" t="s">
        <v>137</v>
      </c>
      <c r="R49" s="81" t="s">
        <v>138</v>
      </c>
      <c r="S49" s="82" t="s">
        <v>139</v>
      </c>
    </row>
    <row r="50" spans="2:19" x14ac:dyDescent="0.4">
      <c r="B50" s="83" t="s">
        <v>161</v>
      </c>
      <c r="C50" s="101">
        <v>1.042922271283462E-2</v>
      </c>
      <c r="D50" s="102">
        <v>1.1229833404832759E-2</v>
      </c>
      <c r="E50" s="102">
        <v>1.1993437926221607E-2</v>
      </c>
      <c r="F50" s="102">
        <v>1.2641800652639944E-2</v>
      </c>
      <c r="G50" s="102">
        <v>1.3421076892239536E-2</v>
      </c>
      <c r="H50" s="102">
        <v>1.3571242347714566E-2</v>
      </c>
      <c r="I50" s="102">
        <v>1.3627251710620358E-2</v>
      </c>
      <c r="J50" s="102">
        <v>1.3623278743482688E-2</v>
      </c>
      <c r="K50" s="102">
        <v>1.3533993571801585E-2</v>
      </c>
      <c r="L50" s="102">
        <v>1.3251191909387982E-2</v>
      </c>
      <c r="M50" s="102">
        <v>1.309933807099318E-2</v>
      </c>
      <c r="N50" s="102">
        <v>1.6053229160305511E-2</v>
      </c>
      <c r="O50" s="102">
        <v>1.8881976999150014E-2</v>
      </c>
      <c r="P50" s="102">
        <v>2.1261504951334068E-2</v>
      </c>
      <c r="Q50" s="102">
        <v>2.3398451962525355E-2</v>
      </c>
      <c r="R50" s="102">
        <v>2.538176148834104E-2</v>
      </c>
      <c r="S50" s="103">
        <v>2.7255768185448042E-2</v>
      </c>
    </row>
    <row r="51" spans="2:19" x14ac:dyDescent="0.4">
      <c r="B51" s="83" t="s">
        <v>162</v>
      </c>
      <c r="C51" s="104">
        <v>1.0651374157292821E-2</v>
      </c>
      <c r="D51" s="90">
        <v>1.0803592174713305E-2</v>
      </c>
      <c r="E51" s="90">
        <v>1.096671373714503E-2</v>
      </c>
      <c r="F51" s="90">
        <v>1.1119391667273267E-2</v>
      </c>
      <c r="G51" s="90">
        <v>1.1365201799164415E-2</v>
      </c>
      <c r="H51" s="90">
        <v>1.1475235718077339E-2</v>
      </c>
      <c r="I51" s="90">
        <v>1.1606579776629749E-2</v>
      </c>
      <c r="J51" s="90">
        <v>1.1778369626696619E-2</v>
      </c>
      <c r="K51" s="90">
        <v>1.1998838734705865E-2</v>
      </c>
      <c r="L51" s="90">
        <v>1.2244180793548193E-2</v>
      </c>
      <c r="M51" s="90">
        <v>1.2580519384460828E-2</v>
      </c>
      <c r="N51" s="90">
        <v>1.381700277323311E-2</v>
      </c>
      <c r="O51" s="90">
        <v>1.4856626730997404E-2</v>
      </c>
      <c r="P51" s="90">
        <v>1.5777007767027076E-2</v>
      </c>
      <c r="Q51" s="90">
        <v>1.6653419030954391E-2</v>
      </c>
      <c r="R51" s="90">
        <v>1.7502384592125209E-2</v>
      </c>
      <c r="S51" s="91">
        <v>1.8333474233098026E-2</v>
      </c>
    </row>
    <row r="52" spans="2:19" x14ac:dyDescent="0.4">
      <c r="B52" s="83" t="s">
        <v>163</v>
      </c>
      <c r="C52" s="104">
        <v>1.0375706922918322E-2</v>
      </c>
      <c r="D52" s="90">
        <v>1.0304787765789599E-2</v>
      </c>
      <c r="E52" s="90">
        <v>1.0283582038727195E-2</v>
      </c>
      <c r="F52" s="90">
        <v>1.0293055704263955E-2</v>
      </c>
      <c r="G52" s="90">
        <v>1.037138722098729E-2</v>
      </c>
      <c r="H52" s="90">
        <v>1.0436602762589293E-2</v>
      </c>
      <c r="I52" s="90">
        <v>1.0530112963404309E-2</v>
      </c>
      <c r="J52" s="90">
        <v>1.0661110544007936E-2</v>
      </c>
      <c r="K52" s="90">
        <v>1.0833508114760958E-2</v>
      </c>
      <c r="L52" s="90">
        <v>1.1037815838730277E-2</v>
      </c>
      <c r="M52" s="90">
        <v>1.1279802711366187E-2</v>
      </c>
      <c r="N52" s="90">
        <v>1.1869964087874576E-2</v>
      </c>
      <c r="O52" s="90">
        <v>1.2358270581011349E-2</v>
      </c>
      <c r="P52" s="90">
        <v>1.2841200890087858E-2</v>
      </c>
      <c r="Q52" s="90">
        <v>1.3337227882332214E-2</v>
      </c>
      <c r="R52" s="90">
        <v>1.3837596134677051E-2</v>
      </c>
      <c r="S52" s="91">
        <v>1.4335933853209451E-2</v>
      </c>
    </row>
    <row r="53" spans="2:19" x14ac:dyDescent="0.4">
      <c r="B53" s="83" t="s">
        <v>164</v>
      </c>
      <c r="C53" s="104">
        <v>1.0787939563038983E-2</v>
      </c>
      <c r="D53" s="90">
        <v>1.0786536576600132E-2</v>
      </c>
      <c r="E53" s="90">
        <v>1.0678576115156393E-2</v>
      </c>
      <c r="F53" s="90">
        <v>1.0680118024075593E-2</v>
      </c>
      <c r="G53" s="90">
        <v>1.0768996631006073E-2</v>
      </c>
      <c r="H53" s="90">
        <v>1.0859109911110706E-2</v>
      </c>
      <c r="I53" s="90">
        <v>1.0992117243524634E-2</v>
      </c>
      <c r="J53" s="90">
        <v>1.1180178013270519E-2</v>
      </c>
      <c r="K53" s="90">
        <v>1.1434829442506258E-2</v>
      </c>
      <c r="L53" s="90">
        <v>1.1761875055121891E-2</v>
      </c>
      <c r="M53" s="90">
        <v>1.2136638714290975E-2</v>
      </c>
      <c r="N53" s="90">
        <v>1.267101701675279E-2</v>
      </c>
      <c r="O53" s="90">
        <v>1.302746139579181E-2</v>
      </c>
      <c r="P53" s="90">
        <v>1.3374449558695755E-2</v>
      </c>
      <c r="Q53" s="90">
        <v>1.3735037273995611E-2</v>
      </c>
      <c r="R53" s="90">
        <v>1.4096041853477995E-2</v>
      </c>
      <c r="S53" s="91">
        <v>1.4456313810899514E-2</v>
      </c>
    </row>
    <row r="54" spans="2:19" x14ac:dyDescent="0.4">
      <c r="B54" s="83" t="s">
        <v>165</v>
      </c>
      <c r="C54" s="104">
        <v>1.0014205168483177E-2</v>
      </c>
      <c r="D54" s="90">
        <v>9.8464493614514679E-3</v>
      </c>
      <c r="E54" s="90">
        <v>9.738042495672259E-3</v>
      </c>
      <c r="F54" s="90">
        <v>9.6765284877777316E-3</v>
      </c>
      <c r="G54" s="90">
        <v>9.67697725751482E-3</v>
      </c>
      <c r="H54" s="90">
        <v>9.732753919797596E-3</v>
      </c>
      <c r="I54" s="90">
        <v>9.8304308803803028E-3</v>
      </c>
      <c r="J54" s="90">
        <v>9.9764251885107423E-3</v>
      </c>
      <c r="K54" s="90">
        <v>1.017789861953422E-2</v>
      </c>
      <c r="L54" s="90">
        <v>1.0436329608657199E-2</v>
      </c>
      <c r="M54" s="90">
        <v>1.072207656029652E-2</v>
      </c>
      <c r="N54" s="90">
        <v>1.1049601302048916E-2</v>
      </c>
      <c r="O54" s="90">
        <v>1.1277858756773718E-2</v>
      </c>
      <c r="P54" s="90">
        <v>1.1550055994393833E-2</v>
      </c>
      <c r="Q54" s="90">
        <v>1.1863758540088533E-2</v>
      </c>
      <c r="R54" s="90">
        <v>1.2199355539825497E-2</v>
      </c>
      <c r="S54" s="91">
        <v>1.2544841149627384E-2</v>
      </c>
    </row>
    <row r="55" spans="2:19" x14ac:dyDescent="0.4">
      <c r="B55" s="83" t="s">
        <v>166</v>
      </c>
      <c r="C55" s="104">
        <v>9.7637294842776324E-3</v>
      </c>
      <c r="D55" s="90">
        <v>9.5189682994005868E-3</v>
      </c>
      <c r="E55" s="90">
        <v>9.3686247768077161E-3</v>
      </c>
      <c r="F55" s="90">
        <v>9.2911974721753519E-3</v>
      </c>
      <c r="G55" s="90">
        <v>9.2965717490763548E-3</v>
      </c>
      <c r="H55" s="90">
        <v>9.3525119256675799E-3</v>
      </c>
      <c r="I55" s="90">
        <v>9.4396501989264959E-3</v>
      </c>
      <c r="J55" s="90">
        <v>9.5551650471109965E-3</v>
      </c>
      <c r="K55" s="90">
        <v>9.7047890180701583E-3</v>
      </c>
      <c r="L55" s="90">
        <v>9.9014955258751019E-3</v>
      </c>
      <c r="M55" s="90">
        <v>1.0088005905344446E-2</v>
      </c>
      <c r="N55" s="90">
        <v>1.0050848295994735E-2</v>
      </c>
      <c r="O55" s="90">
        <v>9.9367570013195617E-3</v>
      </c>
      <c r="P55" s="90">
        <v>9.898573692080687E-3</v>
      </c>
      <c r="Q55" s="90">
        <v>9.9128414706957744E-3</v>
      </c>
      <c r="R55" s="90">
        <v>9.9522088649453798E-3</v>
      </c>
      <c r="S55" s="91">
        <v>1.0001634019915107E-2</v>
      </c>
    </row>
    <row r="56" spans="2:19" x14ac:dyDescent="0.4">
      <c r="B56" s="83" t="s">
        <v>167</v>
      </c>
      <c r="C56" s="104">
        <v>9.2820211595829785E-3</v>
      </c>
      <c r="D56" s="90">
        <v>9.0043705569755571E-3</v>
      </c>
      <c r="E56" s="90">
        <v>8.8136284233879449E-3</v>
      </c>
      <c r="F56" s="90">
        <v>8.6954468548742832E-3</v>
      </c>
      <c r="G56" s="90">
        <v>8.6386487407892048E-3</v>
      </c>
      <c r="H56" s="90">
        <v>8.6763315880437446E-3</v>
      </c>
      <c r="I56" s="90">
        <v>8.7452461878638112E-3</v>
      </c>
      <c r="J56" s="90">
        <v>8.8422809545689682E-3</v>
      </c>
      <c r="K56" s="90">
        <v>8.9671414060824867E-3</v>
      </c>
      <c r="L56" s="90">
        <v>9.124099472405077E-3</v>
      </c>
      <c r="M56" s="90">
        <v>9.2665901643042767E-3</v>
      </c>
      <c r="N56" s="90">
        <v>9.252468329532311E-3</v>
      </c>
      <c r="O56" s="90">
        <v>9.2497837511870875E-3</v>
      </c>
      <c r="P56" s="90">
        <v>9.3509173584807696E-3</v>
      </c>
      <c r="Q56" s="90">
        <v>9.5160720761062068E-3</v>
      </c>
      <c r="R56" s="90">
        <v>9.7141556035480955E-3</v>
      </c>
      <c r="S56" s="91">
        <v>9.9274092443178939E-3</v>
      </c>
    </row>
    <row r="57" spans="2:19" x14ac:dyDescent="0.4">
      <c r="B57" s="83" t="s">
        <v>168</v>
      </c>
      <c r="C57" s="104">
        <v>5.4706966267843793E-3</v>
      </c>
      <c r="D57" s="90">
        <v>5.9790475895178273E-3</v>
      </c>
      <c r="E57" s="90">
        <v>6.327591444189846E-3</v>
      </c>
      <c r="F57" s="90">
        <v>6.6295058787949274E-3</v>
      </c>
      <c r="G57" s="90">
        <v>7.1677215322117375E-3</v>
      </c>
      <c r="H57" s="90">
        <v>7.4114937528028573E-3</v>
      </c>
      <c r="I57" s="90">
        <v>7.6397421645440543E-3</v>
      </c>
      <c r="J57" s="90">
        <v>7.8496841160713548E-3</v>
      </c>
      <c r="K57" s="90">
        <v>8.0497587484753448E-3</v>
      </c>
      <c r="L57" s="90">
        <v>8.2423980353865233E-3</v>
      </c>
      <c r="M57" s="90">
        <v>8.4096291630088894E-3</v>
      </c>
      <c r="N57" s="90">
        <v>8.5653483384458707E-3</v>
      </c>
      <c r="O57" s="90">
        <v>8.7245033653450803E-3</v>
      </c>
      <c r="P57" s="90">
        <v>8.9249054184356129E-3</v>
      </c>
      <c r="Q57" s="90">
        <v>9.1429806217466318E-3</v>
      </c>
      <c r="R57" s="90">
        <v>9.3652264692669247E-3</v>
      </c>
      <c r="S57" s="91">
        <v>9.5855383540486283E-3</v>
      </c>
    </row>
    <row r="58" spans="2:19" x14ac:dyDescent="0.4">
      <c r="B58" s="83" t="s">
        <v>169</v>
      </c>
      <c r="C58" s="104">
        <v>6.3812564258436443E-3</v>
      </c>
      <c r="D58" s="90">
        <v>6.3713352985057961E-3</v>
      </c>
      <c r="E58" s="90">
        <v>6.4178265891757522E-3</v>
      </c>
      <c r="F58" s="90">
        <v>6.5082772765584114E-3</v>
      </c>
      <c r="G58" s="90">
        <v>6.7865806310474178E-3</v>
      </c>
      <c r="H58" s="90">
        <v>6.9487352077892322E-3</v>
      </c>
      <c r="I58" s="90">
        <v>7.1129752815278953E-3</v>
      </c>
      <c r="J58" s="90">
        <v>7.2784794495590029E-3</v>
      </c>
      <c r="K58" s="90">
        <v>7.4384820178636036E-3</v>
      </c>
      <c r="L58" s="90">
        <v>7.5975007651399142E-3</v>
      </c>
      <c r="M58" s="90">
        <v>7.7327892844155097E-3</v>
      </c>
      <c r="N58" s="90">
        <v>7.8484260646691506E-3</v>
      </c>
      <c r="O58" s="90">
        <v>8.0262164947216622E-3</v>
      </c>
      <c r="P58" s="90">
        <v>8.279800944996845E-3</v>
      </c>
      <c r="Q58" s="90">
        <v>8.5714238870258589E-3</v>
      </c>
      <c r="R58" s="90">
        <v>8.8822607007956137E-3</v>
      </c>
      <c r="S58" s="91">
        <v>9.1955035635676152E-3</v>
      </c>
    </row>
    <row r="59" spans="2:19" x14ac:dyDescent="0.4">
      <c r="B59" s="83" t="s">
        <v>170</v>
      </c>
      <c r="C59" s="104">
        <v>3.7974384124110656E-3</v>
      </c>
      <c r="D59" s="90">
        <v>4.4940674120471386E-3</v>
      </c>
      <c r="E59" s="90">
        <v>4.9673331110353788E-3</v>
      </c>
      <c r="F59" s="90">
        <v>5.3640829804498212E-3</v>
      </c>
      <c r="G59" s="90">
        <v>6.035508977995584E-3</v>
      </c>
      <c r="H59" s="90">
        <v>6.3262392095866761E-3</v>
      </c>
      <c r="I59" s="90">
        <v>6.5897651559484434E-3</v>
      </c>
      <c r="J59" s="90">
        <v>6.8233138833114423E-3</v>
      </c>
      <c r="K59" s="90">
        <v>7.0360011810766399E-3</v>
      </c>
      <c r="L59" s="90">
        <v>7.2276236627643823E-3</v>
      </c>
      <c r="M59" s="90">
        <v>7.3900349774250005E-3</v>
      </c>
      <c r="N59" s="90">
        <v>7.5939733490586556E-3</v>
      </c>
      <c r="O59" s="90">
        <v>7.821439956351461E-3</v>
      </c>
      <c r="P59" s="90">
        <v>8.0814883500243424E-3</v>
      </c>
      <c r="Q59" s="90">
        <v>8.3505154095093459E-3</v>
      </c>
      <c r="R59" s="90">
        <v>8.6184808703473111E-3</v>
      </c>
      <c r="S59" s="91">
        <v>8.8815144375820106E-3</v>
      </c>
    </row>
    <row r="60" spans="2:19" x14ac:dyDescent="0.4">
      <c r="B60" s="84" t="s">
        <v>171</v>
      </c>
      <c r="C60" s="105">
        <v>2.8354258123488296E-3</v>
      </c>
      <c r="D60" s="92">
        <v>3.6490316344262351E-3</v>
      </c>
      <c r="E60" s="92">
        <v>4.2066773466730868E-3</v>
      </c>
      <c r="F60" s="92">
        <v>4.6700180892876751E-3</v>
      </c>
      <c r="G60" s="92">
        <v>5.4377849396133647E-3</v>
      </c>
      <c r="H60" s="92">
        <v>5.7626942688544566E-3</v>
      </c>
      <c r="I60" s="92">
        <v>6.0534135519528806E-3</v>
      </c>
      <c r="J60" s="92">
        <v>6.3068314788103418E-3</v>
      </c>
      <c r="K60" s="92">
        <v>6.5325667465499799E-3</v>
      </c>
      <c r="L60" s="92">
        <v>6.7333858248559975E-3</v>
      </c>
      <c r="M60" s="92">
        <v>6.903345987350375E-3</v>
      </c>
      <c r="N60" s="92">
        <v>7.1327300419881104E-3</v>
      </c>
      <c r="O60" s="92">
        <v>7.3770293743541651E-3</v>
      </c>
      <c r="P60" s="92">
        <v>7.6420833939632301E-3</v>
      </c>
      <c r="Q60" s="92">
        <v>7.9065531291877475E-3</v>
      </c>
      <c r="R60" s="92">
        <v>8.1644324397144551E-3</v>
      </c>
      <c r="S60" s="93">
        <v>8.4130841983899342E-3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AK139"/>
  <sheetViews>
    <sheetView showGridLines="0" tabSelected="1" zoomScale="115" zoomScaleNormal="115" workbookViewId="0"/>
  </sheetViews>
  <sheetFormatPr baseColWidth="10" defaultRowHeight="12.45" x14ac:dyDescent="0.3"/>
  <cols>
    <col min="1" max="1" width="5" customWidth="1"/>
    <col min="6" max="6" width="12.69140625" bestFit="1" customWidth="1"/>
    <col min="8" max="8" width="13.84375" customWidth="1"/>
    <col min="9" max="9" width="18.69140625" customWidth="1"/>
    <col min="12" max="12" width="11.23046875" bestFit="1" customWidth="1"/>
    <col min="16" max="16" width="12.69140625" bestFit="1" customWidth="1"/>
    <col min="18" max="18" width="15.3046875" bestFit="1" customWidth="1"/>
  </cols>
  <sheetData>
    <row r="1" spans="2:37" x14ac:dyDescent="0.3">
      <c r="AB1" s="22" t="s">
        <v>23</v>
      </c>
      <c r="AC1" s="22">
        <v>12</v>
      </c>
      <c r="AD1" s="22"/>
      <c r="AE1" s="22" t="s">
        <v>27</v>
      </c>
      <c r="AF1" s="22" t="s">
        <v>174</v>
      </c>
      <c r="AG1" s="22">
        <f>VLOOKUP($C$8,$AB$1:$AC$4,2,FALSE)</f>
        <v>6</v>
      </c>
      <c r="AH1" s="22"/>
      <c r="AI1" s="22"/>
      <c r="AJ1" s="22"/>
      <c r="AK1" s="23"/>
    </row>
    <row r="2" spans="2:37" x14ac:dyDescent="0.3">
      <c r="B2" s="12" t="s">
        <v>22</v>
      </c>
      <c r="C2" s="94">
        <f>'Courbe des taux'!D2</f>
        <v>45296</v>
      </c>
      <c r="E2" s="12" t="s">
        <v>158</v>
      </c>
      <c r="F2" s="33">
        <v>100000000</v>
      </c>
      <c r="H2" s="12" t="s">
        <v>57</v>
      </c>
      <c r="I2" s="34" t="s">
        <v>58</v>
      </c>
      <c r="AB2" s="22" t="s">
        <v>24</v>
      </c>
      <c r="AC2" s="22">
        <v>6</v>
      </c>
      <c r="AD2" s="22"/>
      <c r="AE2" s="22" t="s">
        <v>28</v>
      </c>
      <c r="AF2" s="22" t="s">
        <v>88</v>
      </c>
      <c r="AG2" s="22">
        <f>VLOOKUP($F$8,$AB$1:$AC$4,2,FALSE)</f>
        <v>12</v>
      </c>
      <c r="AH2" s="22"/>
      <c r="AI2" s="22"/>
      <c r="AJ2" s="22"/>
      <c r="AK2" s="23"/>
    </row>
    <row r="3" spans="2:37" x14ac:dyDescent="0.3">
      <c r="P3" s="18"/>
      <c r="AB3" s="22" t="s">
        <v>25</v>
      </c>
      <c r="AC3" s="22">
        <v>3</v>
      </c>
      <c r="AD3" s="22"/>
      <c r="AE3" s="22" t="s">
        <v>29</v>
      </c>
      <c r="AG3" s="22"/>
      <c r="AH3" s="22"/>
      <c r="AI3" s="22"/>
      <c r="AJ3" s="22"/>
      <c r="AK3" s="23"/>
    </row>
    <row r="4" spans="2:37" x14ac:dyDescent="0.3">
      <c r="AB4" s="22" t="s">
        <v>26</v>
      </c>
      <c r="AC4" s="22">
        <v>1</v>
      </c>
      <c r="AD4" s="22"/>
      <c r="AE4" s="22"/>
    </row>
    <row r="5" spans="2:37" x14ac:dyDescent="0.3">
      <c r="B5" s="12" t="s">
        <v>156</v>
      </c>
      <c r="C5" s="12"/>
      <c r="E5" s="12" t="s">
        <v>157</v>
      </c>
      <c r="F5" s="12"/>
      <c r="H5" s="12" t="s">
        <v>63</v>
      </c>
      <c r="I5" s="4"/>
      <c r="AB5" s="22"/>
      <c r="AC5" s="22"/>
      <c r="AD5" s="22"/>
      <c r="AE5" s="22"/>
    </row>
    <row r="6" spans="2:37" ht="15" x14ac:dyDescent="0.35">
      <c r="B6" t="s">
        <v>41</v>
      </c>
      <c r="C6" s="24">
        <f>C2+2</f>
        <v>45298</v>
      </c>
      <c r="E6" t="s">
        <v>41</v>
      </c>
      <c r="F6" s="25">
        <f>C6</f>
        <v>45298</v>
      </c>
      <c r="H6" s="16" t="s">
        <v>61</v>
      </c>
      <c r="I6" s="35">
        <f>SUMPRODUCT(I19:I138,J19:J138)</f>
        <v>22764773.950104494</v>
      </c>
    </row>
    <row r="7" spans="2:37" ht="15" x14ac:dyDescent="0.35">
      <c r="B7" t="s">
        <v>42</v>
      </c>
      <c r="C7" s="24">
        <v>48951</v>
      </c>
      <c r="E7" t="s">
        <v>42</v>
      </c>
      <c r="F7" s="25">
        <f>C7</f>
        <v>48951</v>
      </c>
      <c r="H7" s="16" t="s">
        <v>62</v>
      </c>
      <c r="I7" s="35">
        <f>SUMPRODUCT(R19:R138,S19:S138)</f>
        <v>22764773.950104583</v>
      </c>
    </row>
    <row r="8" spans="2:37" ht="18" thickBot="1" x14ac:dyDescent="0.45">
      <c r="B8" t="s">
        <v>30</v>
      </c>
      <c r="C8" s="17" t="s">
        <v>24</v>
      </c>
      <c r="E8" t="s">
        <v>30</v>
      </c>
      <c r="F8" s="17" t="s">
        <v>23</v>
      </c>
      <c r="H8" s="37" t="s">
        <v>60</v>
      </c>
      <c r="I8" s="36">
        <f>IF(I2="PAYEUR",I6-I7,I7-I6)</f>
        <v>-8.9406967163085938E-8</v>
      </c>
    </row>
    <row r="9" spans="2:37" x14ac:dyDescent="0.3">
      <c r="B9" t="s">
        <v>43</v>
      </c>
      <c r="C9" s="17" t="s">
        <v>27</v>
      </c>
      <c r="E9" t="s">
        <v>43</v>
      </c>
      <c r="F9" s="17" t="s">
        <v>29</v>
      </c>
      <c r="H9" s="16"/>
      <c r="I9" s="46"/>
    </row>
    <row r="10" spans="2:37" x14ac:dyDescent="0.3">
      <c r="B10" t="s">
        <v>44</v>
      </c>
      <c r="C10" s="17">
        <v>0</v>
      </c>
      <c r="E10" t="s">
        <v>45</v>
      </c>
      <c r="F10" s="14">
        <v>2.6200000000000001E-2</v>
      </c>
      <c r="I10" s="47"/>
    </row>
    <row r="11" spans="2:37" x14ac:dyDescent="0.3">
      <c r="I11" s="47"/>
    </row>
    <row r="12" spans="2:37" x14ac:dyDescent="0.3">
      <c r="I12" s="47"/>
    </row>
    <row r="13" spans="2:37" x14ac:dyDescent="0.3">
      <c r="I13" s="48"/>
    </row>
    <row r="14" spans="2:37" x14ac:dyDescent="0.3">
      <c r="I14" s="45"/>
    </row>
    <row r="16" spans="2:37" ht="12.9" x14ac:dyDescent="0.35">
      <c r="B16" s="13" t="s">
        <v>59</v>
      </c>
      <c r="L16" s="13" t="s">
        <v>50</v>
      </c>
    </row>
    <row r="18" spans="1:19" x14ac:dyDescent="0.3">
      <c r="A18" s="16"/>
      <c r="B18" s="27" t="s">
        <v>55</v>
      </c>
      <c r="C18" s="27" t="s">
        <v>46</v>
      </c>
      <c r="D18" s="27" t="s">
        <v>47</v>
      </c>
      <c r="E18" s="27" t="s">
        <v>56</v>
      </c>
      <c r="F18" s="27" t="s">
        <v>158</v>
      </c>
      <c r="G18" s="27" t="s">
        <v>48</v>
      </c>
      <c r="H18" s="27" t="s">
        <v>51</v>
      </c>
      <c r="I18" s="27" t="s">
        <v>53</v>
      </c>
      <c r="J18" s="27" t="s">
        <v>54</v>
      </c>
      <c r="K18" s="29"/>
      <c r="L18" s="27" t="s">
        <v>55</v>
      </c>
      <c r="M18" s="27" t="s">
        <v>46</v>
      </c>
      <c r="N18" s="27" t="s">
        <v>47</v>
      </c>
      <c r="O18" s="27" t="s">
        <v>56</v>
      </c>
      <c r="P18" s="27" t="s">
        <v>158</v>
      </c>
      <c r="Q18" s="27" t="s">
        <v>49</v>
      </c>
      <c r="R18" s="27" t="s">
        <v>52</v>
      </c>
      <c r="S18" s="27" t="s">
        <v>54</v>
      </c>
    </row>
    <row r="19" spans="1:19" x14ac:dyDescent="0.3">
      <c r="B19" s="97">
        <f t="shared" ref="B19:B50" si="0">IF(C19="","",C19-2)</f>
        <v>45296</v>
      </c>
      <c r="C19" s="97">
        <f>C6</f>
        <v>45298</v>
      </c>
      <c r="D19" s="97">
        <f>IF(C19="","",IF(DATE(YEAR(C19),MONTH(C19)+$AG$1,DAY(C19))&lt;=$C$7,DATE(YEAR(C19),MONTH(C19)+$AG$1,DAY(C19)),$C$7))</f>
        <v>45480</v>
      </c>
      <c r="E19" s="8">
        <f t="shared" ref="E19:E50" si="1">IF(B19="","",IF($C$9="30/360",DAYS360(C19,D19)/360,IF($C$9="ACT/360",(D19-C19)/360,IF($C$9="ACT/365",(D19-C19)/365))))</f>
        <v>0.50555555555555554</v>
      </c>
      <c r="F19" s="31">
        <f t="shared" ref="F19:F50" si="2">IF(B19="","",$F$2)</f>
        <v>100000000</v>
      </c>
      <c r="G19" s="11">
        <f t="shared" ref="G19:G50" si="3">IF(B19="","",$C$10/10000)</f>
        <v>0</v>
      </c>
      <c r="H19" s="30">
        <f t="shared" ref="H19:H50" si="4">IF(B19="","",(DF(C19-$C$2,Maturities,ZcRates)/DF(D19-$C$2,Maturities,ZcRates)-1)/E19)</f>
        <v>3.9100000000000093E-2</v>
      </c>
      <c r="I19" s="32">
        <f>IF(B19="","",E19*(H19+G19)*F19)</f>
        <v>1976722.2222222269</v>
      </c>
      <c r="J19" s="8">
        <f t="shared" ref="J19:J50" si="5">IF(B19="","",DF(D19-$C$2,Maturities,ZcRates))</f>
        <v>0.98040352590362145</v>
      </c>
      <c r="L19" s="97">
        <f t="shared" ref="L19:L28" si="6">IF(M19="","",M19-2)</f>
        <v>45296</v>
      </c>
      <c r="M19" s="97">
        <f>F6</f>
        <v>45298</v>
      </c>
      <c r="N19" s="97">
        <f>IF(M19="","",IF(DATE(YEAR(M19),MONTH(M19)+$AG$2,DAY(M19))&lt;=$F$7,DATE(YEAR(M19),MONTH(M19)+$AG$2,DAY(M19)),$F$7))</f>
        <v>45664</v>
      </c>
      <c r="O19" s="8">
        <f t="shared" ref="O19:O28" si="7">IF(L19="","",IF($F$9="30/360",DAYS360(M19,N19)/360,IF($F$9="ACT/360",(N19-M19)/360,IF($F$9="ACT/365",(N19-M19)/365))))</f>
        <v>1</v>
      </c>
      <c r="P19" s="31">
        <f t="shared" ref="P19:P28" si="8">IF(L19="","",$F$2)</f>
        <v>100000000</v>
      </c>
      <c r="Q19" s="11">
        <f t="shared" ref="Q19:Q28" si="9">IF(L19="","",$F$10)</f>
        <v>2.6200000000000001E-2</v>
      </c>
      <c r="R19" s="31">
        <f t="shared" ref="R19:R28" si="10">IF(L19="","",O19*P19*Q19)</f>
        <v>2620000</v>
      </c>
      <c r="S19" s="8">
        <f t="shared" ref="S19:S50" si="11">IF(L19="","",DF(N19-$C$2,Maturities,ZcRates))</f>
        <v>0.96532140607087813</v>
      </c>
    </row>
    <row r="20" spans="1:19" x14ac:dyDescent="0.3">
      <c r="B20" s="97">
        <f t="shared" si="0"/>
        <v>45478</v>
      </c>
      <c r="C20" s="97">
        <f>IF(OR(D19&gt;=$C$7,D19=""),"",D19)</f>
        <v>45480</v>
      </c>
      <c r="D20" s="97">
        <f t="shared" ref="D20:D83" si="12">IF(C20="","",IF(DATE(YEAR(C20),MONTH(C20)+$AG$1,DAY(C20))&lt;=$C$7,DATE(YEAR(C20),MONTH(C20)+$AG$1,DAY(C20)),$C$7))</f>
        <v>45664</v>
      </c>
      <c r="E20" s="8">
        <f t="shared" si="1"/>
        <v>0.51111111111111107</v>
      </c>
      <c r="F20" s="31">
        <f t="shared" si="2"/>
        <v>100000000</v>
      </c>
      <c r="G20" s="11">
        <f t="shared" si="3"/>
        <v>0</v>
      </c>
      <c r="H20" s="30">
        <f t="shared" si="4"/>
        <v>3.0568570363564588E-2</v>
      </c>
      <c r="I20" s="32">
        <f t="shared" ref="I20:I83" si="13">IF(B20="","",E20*(H20+G20)*F20)</f>
        <v>1562393.5963599677</v>
      </c>
      <c r="J20" s="8">
        <f t="shared" si="5"/>
        <v>0.96532140607087813</v>
      </c>
      <c r="L20" s="97">
        <f t="shared" si="6"/>
        <v>45662</v>
      </c>
      <c r="M20" s="97">
        <f>IF(OR(N19&gt;=$F$7,N19=""),"",N19)</f>
        <v>45664</v>
      </c>
      <c r="N20" s="97">
        <f t="shared" ref="N20:N83" si="14">IF(M20="","",IF(DATE(YEAR(M20),MONTH(M20)+$AG$2,DAY(M20))&lt;=$F$7,DATE(YEAR(M20),MONTH(M20)+$AG$2,DAY(M20)),$F$7))</f>
        <v>46029</v>
      </c>
      <c r="O20" s="8">
        <f t="shared" si="7"/>
        <v>1</v>
      </c>
      <c r="P20" s="31">
        <f t="shared" si="8"/>
        <v>100000000</v>
      </c>
      <c r="Q20" s="11">
        <f t="shared" si="9"/>
        <v>2.6200000000000001E-2</v>
      </c>
      <c r="R20" s="31">
        <f t="shared" si="10"/>
        <v>2620000</v>
      </c>
      <c r="S20" s="8">
        <f t="shared" si="11"/>
        <v>0.94310317034796876</v>
      </c>
    </row>
    <row r="21" spans="1:19" x14ac:dyDescent="0.3">
      <c r="B21" s="97">
        <f t="shared" si="0"/>
        <v>45662</v>
      </c>
      <c r="C21" s="97">
        <f t="shared" ref="C21:C84" si="15">IF(OR(D20&gt;=$C$7,D20=""),"",D20)</f>
        <v>45664</v>
      </c>
      <c r="D21" s="97">
        <f t="shared" si="12"/>
        <v>45845</v>
      </c>
      <c r="E21" s="8">
        <f t="shared" si="1"/>
        <v>0.50277777777777777</v>
      </c>
      <c r="F21" s="31">
        <f t="shared" si="2"/>
        <v>100000000</v>
      </c>
      <c r="G21" s="11">
        <f t="shared" si="3"/>
        <v>0</v>
      </c>
      <c r="H21" s="30">
        <f t="shared" si="4"/>
        <v>2.6050249369767787E-2</v>
      </c>
      <c r="I21" s="32">
        <f t="shared" si="13"/>
        <v>1309748.6488688802</v>
      </c>
      <c r="J21" s="8">
        <f t="shared" si="5"/>
        <v>0.9528415763981426</v>
      </c>
      <c r="L21" s="97">
        <f t="shared" si="6"/>
        <v>46027</v>
      </c>
      <c r="M21" s="97">
        <f t="shared" ref="M21:M84" si="16">IF(OR(N20&gt;=$F$7,N20=""),"",N20)</f>
        <v>46029</v>
      </c>
      <c r="N21" s="97">
        <f t="shared" si="14"/>
        <v>46394</v>
      </c>
      <c r="O21" s="8">
        <f t="shared" si="7"/>
        <v>1</v>
      </c>
      <c r="P21" s="31">
        <f t="shared" si="8"/>
        <v>100000000</v>
      </c>
      <c r="Q21" s="11">
        <f t="shared" si="9"/>
        <v>2.6200000000000001E-2</v>
      </c>
      <c r="R21" s="31">
        <f t="shared" si="10"/>
        <v>2620000</v>
      </c>
      <c r="S21" s="8">
        <f t="shared" si="11"/>
        <v>0.92249916220322581</v>
      </c>
    </row>
    <row r="22" spans="1:19" x14ac:dyDescent="0.3">
      <c r="B22" s="97">
        <f t="shared" si="0"/>
        <v>45843</v>
      </c>
      <c r="C22" s="97">
        <f t="shared" si="15"/>
        <v>45845</v>
      </c>
      <c r="D22" s="97">
        <f t="shared" si="12"/>
        <v>46029</v>
      </c>
      <c r="E22" s="8">
        <f t="shared" si="1"/>
        <v>0.51111111111111107</v>
      </c>
      <c r="F22" s="31">
        <f t="shared" si="2"/>
        <v>100000000</v>
      </c>
      <c r="G22" s="11">
        <f t="shared" si="3"/>
        <v>0</v>
      </c>
      <c r="H22" s="30">
        <f t="shared" si="4"/>
        <v>2.0202883142269978E-2</v>
      </c>
      <c r="I22" s="32">
        <f t="shared" si="13"/>
        <v>1032591.8050493543</v>
      </c>
      <c r="J22" s="8">
        <f t="shared" si="5"/>
        <v>0.94310317034796876</v>
      </c>
      <c r="L22" s="97">
        <f t="shared" si="6"/>
        <v>46392</v>
      </c>
      <c r="M22" s="97">
        <f t="shared" si="16"/>
        <v>46394</v>
      </c>
      <c r="N22" s="97">
        <f t="shared" si="14"/>
        <v>46759</v>
      </c>
      <c r="O22" s="8">
        <f t="shared" si="7"/>
        <v>1</v>
      </c>
      <c r="P22" s="31">
        <f t="shared" si="8"/>
        <v>100000000</v>
      </c>
      <c r="Q22" s="11">
        <f t="shared" si="9"/>
        <v>2.6200000000000001E-2</v>
      </c>
      <c r="R22" s="31">
        <f t="shared" si="10"/>
        <v>2620000</v>
      </c>
      <c r="S22" s="8">
        <f t="shared" si="11"/>
        <v>0.901617544520947</v>
      </c>
    </row>
    <row r="23" spans="1:19" x14ac:dyDescent="0.3">
      <c r="B23" s="97">
        <f t="shared" si="0"/>
        <v>46027</v>
      </c>
      <c r="C23" s="97">
        <f t="shared" si="15"/>
        <v>46029</v>
      </c>
      <c r="D23" s="97">
        <f t="shared" si="12"/>
        <v>46210</v>
      </c>
      <c r="E23" s="8">
        <f t="shared" si="1"/>
        <v>0.50277777777777777</v>
      </c>
      <c r="F23" s="31">
        <f t="shared" si="2"/>
        <v>100000000</v>
      </c>
      <c r="G23" s="11">
        <f t="shared" si="3"/>
        <v>0</v>
      </c>
      <c r="H23" s="30">
        <f t="shared" si="4"/>
        <v>2.3093422932798934E-2</v>
      </c>
      <c r="I23" s="32">
        <f t="shared" si="13"/>
        <v>1161085.9863435018</v>
      </c>
      <c r="J23" s="8">
        <f t="shared" si="5"/>
        <v>0.93227861400705547</v>
      </c>
      <c r="L23" s="97">
        <f t="shared" si="6"/>
        <v>46757</v>
      </c>
      <c r="M23" s="97">
        <f t="shared" si="16"/>
        <v>46759</v>
      </c>
      <c r="N23" s="97">
        <f t="shared" si="14"/>
        <v>47125</v>
      </c>
      <c r="O23" s="8">
        <f t="shared" si="7"/>
        <v>1</v>
      </c>
      <c r="P23" s="31">
        <f t="shared" si="8"/>
        <v>100000000</v>
      </c>
      <c r="Q23" s="11">
        <f t="shared" si="9"/>
        <v>2.6200000000000001E-2</v>
      </c>
      <c r="R23" s="31">
        <f t="shared" si="10"/>
        <v>2620000</v>
      </c>
      <c r="S23" s="8">
        <f t="shared" si="11"/>
        <v>0.8803105186024025</v>
      </c>
    </row>
    <row r="24" spans="1:19" x14ac:dyDescent="0.3">
      <c r="B24" s="97">
        <f t="shared" si="0"/>
        <v>46208</v>
      </c>
      <c r="C24" s="97">
        <f t="shared" si="15"/>
        <v>46210</v>
      </c>
      <c r="D24" s="97">
        <f t="shared" si="12"/>
        <v>46394</v>
      </c>
      <c r="E24" s="8">
        <f t="shared" si="1"/>
        <v>0.51111111111111107</v>
      </c>
      <c r="F24" s="31">
        <f t="shared" si="2"/>
        <v>100000000</v>
      </c>
      <c r="G24" s="11">
        <f t="shared" si="3"/>
        <v>0</v>
      </c>
      <c r="H24" s="30">
        <f t="shared" si="4"/>
        <v>2.0741167943473828E-2</v>
      </c>
      <c r="I24" s="32">
        <f t="shared" si="13"/>
        <v>1060104.1393331068</v>
      </c>
      <c r="J24" s="8">
        <f t="shared" si="5"/>
        <v>0.92249916220322581</v>
      </c>
      <c r="L24" s="97">
        <f t="shared" si="6"/>
        <v>47123</v>
      </c>
      <c r="M24" s="97">
        <f t="shared" si="16"/>
        <v>47125</v>
      </c>
      <c r="N24" s="97">
        <f t="shared" si="14"/>
        <v>47490</v>
      </c>
      <c r="O24" s="8">
        <f t="shared" si="7"/>
        <v>1</v>
      </c>
      <c r="P24" s="31">
        <f t="shared" si="8"/>
        <v>100000000</v>
      </c>
      <c r="Q24" s="11">
        <f t="shared" si="9"/>
        <v>2.6200000000000001E-2</v>
      </c>
      <c r="R24" s="31">
        <f t="shared" si="10"/>
        <v>2620000</v>
      </c>
      <c r="S24" s="8">
        <f t="shared" si="11"/>
        <v>0.85835274279133356</v>
      </c>
    </row>
    <row r="25" spans="1:19" x14ac:dyDescent="0.3">
      <c r="B25" s="97">
        <f t="shared" si="0"/>
        <v>46392</v>
      </c>
      <c r="C25" s="97">
        <f t="shared" si="15"/>
        <v>46394</v>
      </c>
      <c r="D25" s="97">
        <f t="shared" si="12"/>
        <v>46575</v>
      </c>
      <c r="E25" s="8">
        <f t="shared" si="1"/>
        <v>0.50277777777777777</v>
      </c>
      <c r="F25" s="31">
        <f t="shared" si="2"/>
        <v>100000000</v>
      </c>
      <c r="G25" s="11">
        <f t="shared" si="3"/>
        <v>0</v>
      </c>
      <c r="H25" s="30">
        <f t="shared" si="4"/>
        <v>2.3203814901961245E-2</v>
      </c>
      <c r="I25" s="32">
        <f t="shared" si="13"/>
        <v>1166636.2492374959</v>
      </c>
      <c r="J25" s="8">
        <f t="shared" si="5"/>
        <v>0.91186106052841986</v>
      </c>
      <c r="L25" s="97">
        <f t="shared" si="6"/>
        <v>47488</v>
      </c>
      <c r="M25" s="97">
        <f t="shared" si="16"/>
        <v>47490</v>
      </c>
      <c r="N25" s="97">
        <f t="shared" si="14"/>
        <v>47855</v>
      </c>
      <c r="O25" s="8">
        <f t="shared" si="7"/>
        <v>1</v>
      </c>
      <c r="P25" s="31">
        <f t="shared" si="8"/>
        <v>100000000</v>
      </c>
      <c r="Q25" s="11">
        <f t="shared" si="9"/>
        <v>2.6200000000000001E-2</v>
      </c>
      <c r="R25" s="31">
        <f t="shared" si="10"/>
        <v>2620000</v>
      </c>
      <c r="S25" s="8">
        <f t="shared" si="11"/>
        <v>0.83703090565271954</v>
      </c>
    </row>
    <row r="26" spans="1:19" x14ac:dyDescent="0.3">
      <c r="B26" s="97">
        <f t="shared" si="0"/>
        <v>46573</v>
      </c>
      <c r="C26" s="97">
        <f t="shared" si="15"/>
        <v>46575</v>
      </c>
      <c r="D26" s="97">
        <f t="shared" si="12"/>
        <v>46759</v>
      </c>
      <c r="E26" s="8">
        <f t="shared" si="1"/>
        <v>0.51111111111111107</v>
      </c>
      <c r="F26" s="31">
        <f t="shared" si="2"/>
        <v>100000000</v>
      </c>
      <c r="G26" s="11">
        <f t="shared" si="3"/>
        <v>0</v>
      </c>
      <c r="H26" s="30">
        <f t="shared" si="4"/>
        <v>2.2228562294004627E-2</v>
      </c>
      <c r="I26" s="32">
        <f t="shared" si="13"/>
        <v>1136126.5172491253</v>
      </c>
      <c r="J26" s="8">
        <f t="shared" si="5"/>
        <v>0.901617544520947</v>
      </c>
      <c r="L26" s="97">
        <f t="shared" si="6"/>
        <v>47853</v>
      </c>
      <c r="M26" s="97">
        <f t="shared" si="16"/>
        <v>47855</v>
      </c>
      <c r="N26" s="97">
        <f t="shared" si="14"/>
        <v>48220</v>
      </c>
      <c r="O26" s="8">
        <f t="shared" si="7"/>
        <v>1</v>
      </c>
      <c r="P26" s="31">
        <f t="shared" si="8"/>
        <v>100000000</v>
      </c>
      <c r="Q26" s="11">
        <f t="shared" si="9"/>
        <v>2.6200000000000001E-2</v>
      </c>
      <c r="R26" s="31">
        <f t="shared" si="10"/>
        <v>2620000</v>
      </c>
      <c r="S26" s="8">
        <f t="shared" si="11"/>
        <v>0.81505277236275409</v>
      </c>
    </row>
    <row r="27" spans="1:19" x14ac:dyDescent="0.3">
      <c r="B27" s="97">
        <f t="shared" si="0"/>
        <v>46757</v>
      </c>
      <c r="C27" s="97">
        <f t="shared" si="15"/>
        <v>46759</v>
      </c>
      <c r="D27" s="97">
        <f t="shared" si="12"/>
        <v>46941</v>
      </c>
      <c r="E27" s="8">
        <f t="shared" si="1"/>
        <v>0.50555555555555554</v>
      </c>
      <c r="F27" s="31">
        <f t="shared" si="2"/>
        <v>100000000</v>
      </c>
      <c r="G27" s="11">
        <f t="shared" si="3"/>
        <v>0</v>
      </c>
      <c r="H27" s="30">
        <f t="shared" si="4"/>
        <v>2.3863866748272386E-2</v>
      </c>
      <c r="I27" s="32">
        <f t="shared" si="13"/>
        <v>1206451.0411626594</v>
      </c>
      <c r="J27" s="8">
        <f t="shared" si="5"/>
        <v>0.89086963849195866</v>
      </c>
      <c r="L27" s="97">
        <f t="shared" si="6"/>
        <v>48218</v>
      </c>
      <c r="M27" s="97">
        <f t="shared" si="16"/>
        <v>48220</v>
      </c>
      <c r="N27" s="97">
        <f t="shared" si="14"/>
        <v>48586</v>
      </c>
      <c r="O27" s="8">
        <f t="shared" si="7"/>
        <v>1</v>
      </c>
      <c r="P27" s="31">
        <f t="shared" si="8"/>
        <v>100000000</v>
      </c>
      <c r="Q27" s="11">
        <f t="shared" si="9"/>
        <v>2.6200000000000001E-2</v>
      </c>
      <c r="R27" s="31">
        <f t="shared" si="10"/>
        <v>2620000</v>
      </c>
      <c r="S27" s="8">
        <f t="shared" si="11"/>
        <v>0.79342115580509442</v>
      </c>
    </row>
    <row r="28" spans="1:19" x14ac:dyDescent="0.3">
      <c r="B28" s="97">
        <f t="shared" si="0"/>
        <v>46939</v>
      </c>
      <c r="C28" s="97">
        <f t="shared" si="15"/>
        <v>46941</v>
      </c>
      <c r="D28" s="97">
        <f t="shared" si="12"/>
        <v>47125</v>
      </c>
      <c r="E28" s="8">
        <f t="shared" si="1"/>
        <v>0.51111111111111107</v>
      </c>
      <c r="F28" s="31">
        <f t="shared" si="2"/>
        <v>100000000</v>
      </c>
      <c r="G28" s="11">
        <f t="shared" si="3"/>
        <v>0</v>
      </c>
      <c r="H28" s="30">
        <f t="shared" si="4"/>
        <v>2.3468023127566306E-2</v>
      </c>
      <c r="I28" s="32">
        <f t="shared" si="13"/>
        <v>1199476.7376311666</v>
      </c>
      <c r="J28" s="8">
        <f t="shared" si="5"/>
        <v>0.8803105186024025</v>
      </c>
      <c r="L28" s="97">
        <f t="shared" si="6"/>
        <v>48584</v>
      </c>
      <c r="M28" s="97">
        <f t="shared" si="16"/>
        <v>48586</v>
      </c>
      <c r="N28" s="97">
        <f t="shared" si="14"/>
        <v>48951</v>
      </c>
      <c r="O28" s="8">
        <f t="shared" si="7"/>
        <v>1</v>
      </c>
      <c r="P28" s="31">
        <f t="shared" si="8"/>
        <v>100000000</v>
      </c>
      <c r="Q28" s="11">
        <f t="shared" si="9"/>
        <v>2.6200000000000001E-2</v>
      </c>
      <c r="R28" s="31">
        <f t="shared" si="10"/>
        <v>2620000</v>
      </c>
      <c r="S28" s="8">
        <f t="shared" si="11"/>
        <v>0.7721356407665636</v>
      </c>
    </row>
    <row r="29" spans="1:19" x14ac:dyDescent="0.3">
      <c r="B29" s="97">
        <f t="shared" si="0"/>
        <v>47123</v>
      </c>
      <c r="C29" s="97">
        <f t="shared" si="15"/>
        <v>47125</v>
      </c>
      <c r="D29" s="97">
        <f t="shared" si="12"/>
        <v>47306</v>
      </c>
      <c r="E29" s="8">
        <f t="shared" si="1"/>
        <v>0.50277777777777777</v>
      </c>
      <c r="F29" s="31">
        <f t="shared" si="2"/>
        <v>100000000</v>
      </c>
      <c r="G29" s="11">
        <f t="shared" si="3"/>
        <v>0</v>
      </c>
      <c r="H29" s="30">
        <f t="shared" si="4"/>
        <v>2.5085379076717238E-2</v>
      </c>
      <c r="I29" s="32">
        <f t="shared" si="13"/>
        <v>1261237.1146905054</v>
      </c>
      <c r="J29" s="8">
        <f t="shared" si="5"/>
        <v>0.86934600414307117</v>
      </c>
      <c r="K29" s="21"/>
      <c r="L29" s="97" t="str">
        <f t="shared" ref="L29:L92" si="17">IF(M29="","",M29-2)</f>
        <v/>
      </c>
      <c r="M29" s="97" t="str">
        <f t="shared" si="16"/>
        <v/>
      </c>
      <c r="N29" s="97" t="str">
        <f t="shared" si="14"/>
        <v/>
      </c>
      <c r="O29" s="8" t="str">
        <f t="shared" ref="O29:O92" si="18">IF(L29="","",IF($F$9="30/360",DAYS360(M29,N29)/360,IF($F$9="ACT/360",(N29-M29)/360,IF($F$9="ACT/365",(N29-M29)/365))))</f>
        <v/>
      </c>
      <c r="P29" s="31" t="str">
        <f t="shared" ref="P29:P92" si="19">IF(L29="","",$F$2)</f>
        <v/>
      </c>
      <c r="Q29" s="11" t="str">
        <f t="shared" ref="Q29:Q92" si="20">IF(L29="","",$F$10)</f>
        <v/>
      </c>
      <c r="R29" s="31" t="str">
        <f t="shared" ref="R29:R92" si="21">IF(L29="","",O29*P29*Q29)</f>
        <v/>
      </c>
      <c r="S29" s="8" t="str">
        <f t="shared" si="11"/>
        <v/>
      </c>
    </row>
    <row r="30" spans="1:19" x14ac:dyDescent="0.3">
      <c r="B30" s="97">
        <f t="shared" si="0"/>
        <v>47304</v>
      </c>
      <c r="C30" s="97">
        <f t="shared" si="15"/>
        <v>47306</v>
      </c>
      <c r="D30" s="97">
        <f t="shared" si="12"/>
        <v>47490</v>
      </c>
      <c r="E30" s="8">
        <f t="shared" si="1"/>
        <v>0.51111111111111107</v>
      </c>
      <c r="F30" s="31">
        <f t="shared" si="2"/>
        <v>100000000</v>
      </c>
      <c r="G30" s="11">
        <f t="shared" si="3"/>
        <v>0</v>
      </c>
      <c r="H30" s="30">
        <f t="shared" si="4"/>
        <v>2.5057943833990501E-2</v>
      </c>
      <c r="I30" s="32">
        <f t="shared" si="13"/>
        <v>1280739.3515150701</v>
      </c>
      <c r="J30" s="8">
        <f t="shared" si="5"/>
        <v>0.85835274279133356</v>
      </c>
      <c r="K30" s="21"/>
      <c r="L30" s="97" t="str">
        <f t="shared" si="17"/>
        <v/>
      </c>
      <c r="M30" s="97" t="str">
        <f t="shared" si="16"/>
        <v/>
      </c>
      <c r="N30" s="97" t="str">
        <f t="shared" si="14"/>
        <v/>
      </c>
      <c r="O30" s="8" t="str">
        <f t="shared" si="18"/>
        <v/>
      </c>
      <c r="P30" s="31" t="str">
        <f t="shared" si="19"/>
        <v/>
      </c>
      <c r="Q30" s="11" t="str">
        <f t="shared" si="20"/>
        <v/>
      </c>
      <c r="R30" s="31" t="str">
        <f t="shared" si="21"/>
        <v/>
      </c>
      <c r="S30" s="8" t="str">
        <f t="shared" si="11"/>
        <v/>
      </c>
    </row>
    <row r="31" spans="1:19" x14ac:dyDescent="0.3">
      <c r="B31" s="97">
        <f t="shared" si="0"/>
        <v>47488</v>
      </c>
      <c r="C31" s="97">
        <f t="shared" si="15"/>
        <v>47490</v>
      </c>
      <c r="D31" s="97">
        <f t="shared" si="12"/>
        <v>47671</v>
      </c>
      <c r="E31" s="8">
        <f t="shared" si="1"/>
        <v>0.50277777777777777</v>
      </c>
      <c r="F31" s="31">
        <f t="shared" si="2"/>
        <v>100000000</v>
      </c>
      <c r="G31" s="11">
        <f t="shared" si="3"/>
        <v>0</v>
      </c>
      <c r="H31" s="30">
        <f t="shared" si="4"/>
        <v>2.498333954551564E-2</v>
      </c>
      <c r="I31" s="32">
        <f t="shared" si="13"/>
        <v>1256106.793816203</v>
      </c>
      <c r="J31" s="8">
        <f t="shared" si="5"/>
        <v>0.84770466687916735</v>
      </c>
      <c r="K31" s="21"/>
      <c r="L31" s="97" t="str">
        <f t="shared" si="17"/>
        <v/>
      </c>
      <c r="M31" s="97" t="str">
        <f t="shared" si="16"/>
        <v/>
      </c>
      <c r="N31" s="97" t="str">
        <f t="shared" si="14"/>
        <v/>
      </c>
      <c r="O31" s="8" t="str">
        <f t="shared" si="18"/>
        <v/>
      </c>
      <c r="P31" s="31" t="str">
        <f t="shared" si="19"/>
        <v/>
      </c>
      <c r="Q31" s="11" t="str">
        <f t="shared" si="20"/>
        <v/>
      </c>
      <c r="R31" s="31" t="str">
        <f t="shared" si="21"/>
        <v/>
      </c>
      <c r="S31" s="8" t="str">
        <f t="shared" si="11"/>
        <v/>
      </c>
    </row>
    <row r="32" spans="1:19" x14ac:dyDescent="0.3">
      <c r="B32" s="97">
        <f t="shared" si="0"/>
        <v>47669</v>
      </c>
      <c r="C32" s="97">
        <f t="shared" si="15"/>
        <v>47671</v>
      </c>
      <c r="D32" s="97">
        <f t="shared" si="12"/>
        <v>47855</v>
      </c>
      <c r="E32" s="8">
        <f t="shared" si="1"/>
        <v>0.51111111111111107</v>
      </c>
      <c r="F32" s="31">
        <f t="shared" si="2"/>
        <v>100000000</v>
      </c>
      <c r="G32" s="11">
        <f t="shared" si="3"/>
        <v>0</v>
      </c>
      <c r="H32" s="30">
        <f t="shared" si="4"/>
        <v>2.4949432257280312E-2</v>
      </c>
      <c r="I32" s="32">
        <f t="shared" si="13"/>
        <v>1275193.2042609937</v>
      </c>
      <c r="J32" s="8">
        <f t="shared" si="5"/>
        <v>0.83703090565271954</v>
      </c>
      <c r="K32" s="21"/>
      <c r="L32" s="97" t="str">
        <f t="shared" si="17"/>
        <v/>
      </c>
      <c r="M32" s="97" t="str">
        <f t="shared" si="16"/>
        <v/>
      </c>
      <c r="N32" s="97" t="str">
        <f t="shared" si="14"/>
        <v/>
      </c>
      <c r="O32" s="8" t="str">
        <f t="shared" si="18"/>
        <v/>
      </c>
      <c r="P32" s="31" t="str">
        <f t="shared" si="19"/>
        <v/>
      </c>
      <c r="Q32" s="11" t="str">
        <f t="shared" si="20"/>
        <v/>
      </c>
      <c r="R32" s="31" t="str">
        <f t="shared" si="21"/>
        <v/>
      </c>
      <c r="S32" s="8" t="str">
        <f t="shared" si="11"/>
        <v/>
      </c>
    </row>
    <row r="33" spans="2:19" x14ac:dyDescent="0.3">
      <c r="B33" s="97">
        <f t="shared" si="0"/>
        <v>47853</v>
      </c>
      <c r="C33" s="97">
        <f t="shared" si="15"/>
        <v>47855</v>
      </c>
      <c r="D33" s="97">
        <f t="shared" si="12"/>
        <v>48036</v>
      </c>
      <c r="E33" s="8">
        <f t="shared" si="1"/>
        <v>0.50277777777777777</v>
      </c>
      <c r="F33" s="31">
        <f t="shared" si="2"/>
        <v>100000000</v>
      </c>
      <c r="G33" s="11">
        <f t="shared" si="3"/>
        <v>0</v>
      </c>
      <c r="H33" s="30">
        <f t="shared" si="4"/>
        <v>2.6339955396473217E-2</v>
      </c>
      <c r="I33" s="32">
        <f t="shared" si="13"/>
        <v>1324314.4241004589</v>
      </c>
      <c r="J33" s="8">
        <f t="shared" si="5"/>
        <v>0.82609086516910879</v>
      </c>
      <c r="K33" s="21"/>
      <c r="L33" s="97" t="str">
        <f t="shared" si="17"/>
        <v/>
      </c>
      <c r="M33" s="97" t="str">
        <f t="shared" si="16"/>
        <v/>
      </c>
      <c r="N33" s="97" t="str">
        <f t="shared" si="14"/>
        <v/>
      </c>
      <c r="O33" s="8" t="str">
        <f t="shared" si="18"/>
        <v/>
      </c>
      <c r="P33" s="31" t="str">
        <f t="shared" si="19"/>
        <v/>
      </c>
      <c r="Q33" s="11" t="str">
        <f t="shared" si="20"/>
        <v/>
      </c>
      <c r="R33" s="31" t="str">
        <f t="shared" si="21"/>
        <v/>
      </c>
      <c r="S33" s="8" t="str">
        <f t="shared" si="11"/>
        <v/>
      </c>
    </row>
    <row r="34" spans="2:19" x14ac:dyDescent="0.3">
      <c r="B34" s="97">
        <f t="shared" si="0"/>
        <v>48034</v>
      </c>
      <c r="C34" s="97">
        <f t="shared" si="15"/>
        <v>48036</v>
      </c>
      <c r="D34" s="97">
        <f t="shared" si="12"/>
        <v>48220</v>
      </c>
      <c r="E34" s="8">
        <f t="shared" si="1"/>
        <v>0.51111111111111107</v>
      </c>
      <c r="F34" s="31">
        <f t="shared" si="2"/>
        <v>100000000</v>
      </c>
      <c r="G34" s="11">
        <f t="shared" si="3"/>
        <v>0</v>
      </c>
      <c r="H34" s="30">
        <f t="shared" si="4"/>
        <v>2.6496773296736123E-2</v>
      </c>
      <c r="I34" s="32">
        <f t="shared" si="13"/>
        <v>1354279.5240554018</v>
      </c>
      <c r="J34" s="8">
        <f t="shared" si="5"/>
        <v>0.81505277236275409</v>
      </c>
      <c r="K34" s="21"/>
      <c r="L34" s="97" t="str">
        <f t="shared" si="17"/>
        <v/>
      </c>
      <c r="M34" s="97" t="str">
        <f t="shared" si="16"/>
        <v/>
      </c>
      <c r="N34" s="97" t="str">
        <f t="shared" si="14"/>
        <v/>
      </c>
      <c r="O34" s="8" t="str">
        <f t="shared" si="18"/>
        <v/>
      </c>
      <c r="P34" s="31" t="str">
        <f t="shared" si="19"/>
        <v/>
      </c>
      <c r="Q34" s="11" t="str">
        <f t="shared" si="20"/>
        <v/>
      </c>
      <c r="R34" s="31" t="str">
        <f t="shared" si="21"/>
        <v/>
      </c>
      <c r="S34" s="8" t="str">
        <f t="shared" si="11"/>
        <v/>
      </c>
    </row>
    <row r="35" spans="2:19" x14ac:dyDescent="0.3">
      <c r="B35" s="97">
        <f t="shared" si="0"/>
        <v>48218</v>
      </c>
      <c r="C35" s="97">
        <f t="shared" si="15"/>
        <v>48220</v>
      </c>
      <c r="D35" s="97">
        <f t="shared" si="12"/>
        <v>48402</v>
      </c>
      <c r="E35" s="8">
        <f t="shared" si="1"/>
        <v>0.50555555555555554</v>
      </c>
      <c r="F35" s="31">
        <f t="shared" si="2"/>
        <v>100000000</v>
      </c>
      <c r="G35" s="11">
        <f t="shared" si="3"/>
        <v>0</v>
      </c>
      <c r="H35" s="30">
        <f t="shared" si="4"/>
        <v>2.6562985087297947E-2</v>
      </c>
      <c r="I35" s="32">
        <f t="shared" si="13"/>
        <v>1342906.4683022851</v>
      </c>
      <c r="J35" s="8">
        <f t="shared" si="5"/>
        <v>0.80425241466474395</v>
      </c>
      <c r="K35" s="21"/>
      <c r="L35" s="97" t="str">
        <f t="shared" si="17"/>
        <v/>
      </c>
      <c r="M35" s="97" t="str">
        <f t="shared" si="16"/>
        <v/>
      </c>
      <c r="N35" s="97" t="str">
        <f t="shared" si="14"/>
        <v/>
      </c>
      <c r="O35" s="8" t="str">
        <f t="shared" si="18"/>
        <v/>
      </c>
      <c r="P35" s="31" t="str">
        <f t="shared" si="19"/>
        <v/>
      </c>
      <c r="Q35" s="11" t="str">
        <f t="shared" si="20"/>
        <v/>
      </c>
      <c r="R35" s="31" t="str">
        <f t="shared" si="21"/>
        <v/>
      </c>
      <c r="S35" s="8" t="str">
        <f t="shared" si="11"/>
        <v/>
      </c>
    </row>
    <row r="36" spans="2:19" x14ac:dyDescent="0.3">
      <c r="B36" s="97">
        <f t="shared" si="0"/>
        <v>48400</v>
      </c>
      <c r="C36" s="97">
        <f t="shared" si="15"/>
        <v>48402</v>
      </c>
      <c r="D36" s="97">
        <f t="shared" si="12"/>
        <v>48586</v>
      </c>
      <c r="E36" s="8">
        <f t="shared" si="1"/>
        <v>0.51111111111111107</v>
      </c>
      <c r="F36" s="31">
        <f t="shared" si="2"/>
        <v>100000000</v>
      </c>
      <c r="G36" s="11">
        <f t="shared" si="3"/>
        <v>0</v>
      </c>
      <c r="H36" s="30">
        <f t="shared" si="4"/>
        <v>2.6709135830327305E-2</v>
      </c>
      <c r="I36" s="32">
        <f t="shared" si="13"/>
        <v>1365133.6091056177</v>
      </c>
      <c r="J36" s="8">
        <f t="shared" si="5"/>
        <v>0.79342115580509442</v>
      </c>
      <c r="K36" s="21"/>
      <c r="L36" s="97" t="str">
        <f t="shared" si="17"/>
        <v/>
      </c>
      <c r="M36" s="97" t="str">
        <f t="shared" si="16"/>
        <v/>
      </c>
      <c r="N36" s="97" t="str">
        <f t="shared" si="14"/>
        <v/>
      </c>
      <c r="O36" s="8" t="str">
        <f t="shared" si="18"/>
        <v/>
      </c>
      <c r="P36" s="31" t="str">
        <f t="shared" si="19"/>
        <v/>
      </c>
      <c r="Q36" s="11" t="str">
        <f t="shared" si="20"/>
        <v/>
      </c>
      <c r="R36" s="31" t="str">
        <f t="shared" si="21"/>
        <v/>
      </c>
      <c r="S36" s="8" t="str">
        <f t="shared" si="11"/>
        <v/>
      </c>
    </row>
    <row r="37" spans="2:19" x14ac:dyDescent="0.3">
      <c r="B37" s="97">
        <f t="shared" si="0"/>
        <v>48584</v>
      </c>
      <c r="C37" s="97">
        <f t="shared" si="15"/>
        <v>48586</v>
      </c>
      <c r="D37" s="97">
        <f t="shared" si="12"/>
        <v>48767</v>
      </c>
      <c r="E37" s="8">
        <f t="shared" si="1"/>
        <v>0.50277777777777777</v>
      </c>
      <c r="F37" s="31">
        <f t="shared" si="2"/>
        <v>100000000</v>
      </c>
      <c r="G37" s="11">
        <f t="shared" si="3"/>
        <v>0</v>
      </c>
      <c r="H37" s="30">
        <f t="shared" si="4"/>
        <v>2.6926550676594104E-2</v>
      </c>
      <c r="I37" s="32">
        <f t="shared" si="13"/>
        <v>1353807.1312398703</v>
      </c>
      <c r="J37" s="8">
        <f t="shared" si="5"/>
        <v>0.78282323897090333</v>
      </c>
      <c r="K37" s="21"/>
      <c r="L37" s="97" t="str">
        <f t="shared" si="17"/>
        <v/>
      </c>
      <c r="M37" s="97" t="str">
        <f t="shared" si="16"/>
        <v/>
      </c>
      <c r="N37" s="97" t="str">
        <f t="shared" si="14"/>
        <v/>
      </c>
      <c r="O37" s="8" t="str">
        <f t="shared" si="18"/>
        <v/>
      </c>
      <c r="P37" s="31" t="str">
        <f t="shared" si="19"/>
        <v/>
      </c>
      <c r="Q37" s="11" t="str">
        <f t="shared" si="20"/>
        <v/>
      </c>
      <c r="R37" s="31" t="str">
        <f t="shared" si="21"/>
        <v/>
      </c>
      <c r="S37" s="8" t="str">
        <f t="shared" si="11"/>
        <v/>
      </c>
    </row>
    <row r="38" spans="2:19" x14ac:dyDescent="0.3">
      <c r="B38" s="97">
        <f t="shared" si="0"/>
        <v>48765</v>
      </c>
      <c r="C38" s="97">
        <f t="shared" si="15"/>
        <v>48767</v>
      </c>
      <c r="D38" s="97">
        <f t="shared" si="12"/>
        <v>48951</v>
      </c>
      <c r="E38" s="8">
        <f t="shared" si="1"/>
        <v>0.51111111111111107</v>
      </c>
      <c r="F38" s="31">
        <f t="shared" si="2"/>
        <v>100000000</v>
      </c>
      <c r="G38" s="11">
        <f t="shared" si="3"/>
        <v>0</v>
      </c>
      <c r="H38" s="30">
        <f t="shared" si="4"/>
        <v>2.7081405289260424E-2</v>
      </c>
      <c r="I38" s="32">
        <f t="shared" si="13"/>
        <v>1384160.7147844215</v>
      </c>
      <c r="J38" s="8">
        <f t="shared" si="5"/>
        <v>0.7721356407665636</v>
      </c>
      <c r="K38" s="21"/>
      <c r="L38" s="97" t="str">
        <f t="shared" si="17"/>
        <v/>
      </c>
      <c r="M38" s="97" t="str">
        <f t="shared" si="16"/>
        <v/>
      </c>
      <c r="N38" s="97" t="str">
        <f t="shared" si="14"/>
        <v/>
      </c>
      <c r="O38" s="8" t="str">
        <f t="shared" si="18"/>
        <v/>
      </c>
      <c r="P38" s="31" t="str">
        <f t="shared" si="19"/>
        <v/>
      </c>
      <c r="Q38" s="11" t="str">
        <f t="shared" si="20"/>
        <v/>
      </c>
      <c r="R38" s="31" t="str">
        <f t="shared" si="21"/>
        <v/>
      </c>
      <c r="S38" s="8" t="str">
        <f t="shared" si="11"/>
        <v/>
      </c>
    </row>
    <row r="39" spans="2:19" x14ac:dyDescent="0.3">
      <c r="B39" s="97" t="str">
        <f t="shared" si="0"/>
        <v/>
      </c>
      <c r="C39" s="97" t="str">
        <f t="shared" si="15"/>
        <v/>
      </c>
      <c r="D39" s="97" t="str">
        <f t="shared" si="12"/>
        <v/>
      </c>
      <c r="E39" s="8" t="str">
        <f t="shared" si="1"/>
        <v/>
      </c>
      <c r="F39" s="31" t="str">
        <f t="shared" si="2"/>
        <v/>
      </c>
      <c r="G39" s="11" t="str">
        <f t="shared" si="3"/>
        <v/>
      </c>
      <c r="H39" s="30" t="str">
        <f t="shared" si="4"/>
        <v/>
      </c>
      <c r="I39" s="32" t="str">
        <f t="shared" si="13"/>
        <v/>
      </c>
      <c r="J39" s="8" t="str">
        <f t="shared" si="5"/>
        <v/>
      </c>
      <c r="K39" s="21"/>
      <c r="L39" s="97" t="str">
        <f t="shared" si="17"/>
        <v/>
      </c>
      <c r="M39" s="97" t="str">
        <f t="shared" si="16"/>
        <v/>
      </c>
      <c r="N39" s="97" t="str">
        <f t="shared" si="14"/>
        <v/>
      </c>
      <c r="O39" s="8" t="str">
        <f t="shared" si="18"/>
        <v/>
      </c>
      <c r="P39" s="31" t="str">
        <f t="shared" si="19"/>
        <v/>
      </c>
      <c r="Q39" s="11" t="str">
        <f t="shared" si="20"/>
        <v/>
      </c>
      <c r="R39" s="31" t="str">
        <f t="shared" si="21"/>
        <v/>
      </c>
      <c r="S39" s="8" t="str">
        <f t="shared" si="11"/>
        <v/>
      </c>
    </row>
    <row r="40" spans="2:19" x14ac:dyDescent="0.3">
      <c r="B40" s="97" t="str">
        <f t="shared" si="0"/>
        <v/>
      </c>
      <c r="C40" s="97" t="str">
        <f t="shared" si="15"/>
        <v/>
      </c>
      <c r="D40" s="97" t="str">
        <f t="shared" si="12"/>
        <v/>
      </c>
      <c r="E40" s="8" t="str">
        <f t="shared" si="1"/>
        <v/>
      </c>
      <c r="F40" s="31" t="str">
        <f t="shared" si="2"/>
        <v/>
      </c>
      <c r="G40" s="11" t="str">
        <f t="shared" si="3"/>
        <v/>
      </c>
      <c r="H40" s="30" t="str">
        <f t="shared" si="4"/>
        <v/>
      </c>
      <c r="I40" s="32" t="str">
        <f t="shared" si="13"/>
        <v/>
      </c>
      <c r="J40" s="8" t="str">
        <f t="shared" si="5"/>
        <v/>
      </c>
      <c r="K40" s="21"/>
      <c r="L40" s="97" t="str">
        <f t="shared" si="17"/>
        <v/>
      </c>
      <c r="M40" s="97" t="str">
        <f t="shared" si="16"/>
        <v/>
      </c>
      <c r="N40" s="97" t="str">
        <f t="shared" si="14"/>
        <v/>
      </c>
      <c r="O40" s="8" t="str">
        <f t="shared" si="18"/>
        <v/>
      </c>
      <c r="P40" s="31" t="str">
        <f t="shared" si="19"/>
        <v/>
      </c>
      <c r="Q40" s="11" t="str">
        <f t="shared" si="20"/>
        <v/>
      </c>
      <c r="R40" s="31" t="str">
        <f t="shared" si="21"/>
        <v/>
      </c>
      <c r="S40" s="8" t="str">
        <f t="shared" si="11"/>
        <v/>
      </c>
    </row>
    <row r="41" spans="2:19" x14ac:dyDescent="0.3">
      <c r="B41" s="97" t="str">
        <f t="shared" si="0"/>
        <v/>
      </c>
      <c r="C41" s="97" t="str">
        <f t="shared" si="15"/>
        <v/>
      </c>
      <c r="D41" s="97" t="str">
        <f t="shared" si="12"/>
        <v/>
      </c>
      <c r="E41" s="8" t="str">
        <f t="shared" si="1"/>
        <v/>
      </c>
      <c r="F41" s="31" t="str">
        <f t="shared" si="2"/>
        <v/>
      </c>
      <c r="G41" s="11" t="str">
        <f t="shared" si="3"/>
        <v/>
      </c>
      <c r="H41" s="30" t="str">
        <f t="shared" si="4"/>
        <v/>
      </c>
      <c r="I41" s="32" t="str">
        <f t="shared" si="13"/>
        <v/>
      </c>
      <c r="J41" s="8" t="str">
        <f t="shared" si="5"/>
        <v/>
      </c>
      <c r="K41" s="21"/>
      <c r="L41" s="97" t="str">
        <f t="shared" si="17"/>
        <v/>
      </c>
      <c r="M41" s="97" t="str">
        <f t="shared" si="16"/>
        <v/>
      </c>
      <c r="N41" s="97" t="str">
        <f t="shared" si="14"/>
        <v/>
      </c>
      <c r="O41" s="8" t="str">
        <f t="shared" si="18"/>
        <v/>
      </c>
      <c r="P41" s="31" t="str">
        <f t="shared" si="19"/>
        <v/>
      </c>
      <c r="Q41" s="11" t="str">
        <f t="shared" si="20"/>
        <v/>
      </c>
      <c r="R41" s="31" t="str">
        <f t="shared" si="21"/>
        <v/>
      </c>
      <c r="S41" s="8" t="str">
        <f t="shared" si="11"/>
        <v/>
      </c>
    </row>
    <row r="42" spans="2:19" x14ac:dyDescent="0.3">
      <c r="B42" s="97" t="str">
        <f t="shared" si="0"/>
        <v/>
      </c>
      <c r="C42" s="97" t="str">
        <f t="shared" si="15"/>
        <v/>
      </c>
      <c r="D42" s="97" t="str">
        <f t="shared" si="12"/>
        <v/>
      </c>
      <c r="E42" s="8" t="str">
        <f t="shared" si="1"/>
        <v/>
      </c>
      <c r="F42" s="31" t="str">
        <f t="shared" si="2"/>
        <v/>
      </c>
      <c r="G42" s="11" t="str">
        <f t="shared" si="3"/>
        <v/>
      </c>
      <c r="H42" s="30" t="str">
        <f t="shared" si="4"/>
        <v/>
      </c>
      <c r="I42" s="32" t="str">
        <f t="shared" si="13"/>
        <v/>
      </c>
      <c r="J42" s="8" t="str">
        <f t="shared" si="5"/>
        <v/>
      </c>
      <c r="K42" s="21"/>
      <c r="L42" s="97" t="str">
        <f t="shared" si="17"/>
        <v/>
      </c>
      <c r="M42" s="97" t="str">
        <f t="shared" si="16"/>
        <v/>
      </c>
      <c r="N42" s="97" t="str">
        <f t="shared" si="14"/>
        <v/>
      </c>
      <c r="O42" s="8" t="str">
        <f t="shared" si="18"/>
        <v/>
      </c>
      <c r="P42" s="31" t="str">
        <f t="shared" si="19"/>
        <v/>
      </c>
      <c r="Q42" s="11" t="str">
        <f t="shared" si="20"/>
        <v/>
      </c>
      <c r="R42" s="31" t="str">
        <f t="shared" si="21"/>
        <v/>
      </c>
      <c r="S42" s="8" t="str">
        <f t="shared" si="11"/>
        <v/>
      </c>
    </row>
    <row r="43" spans="2:19" x14ac:dyDescent="0.3">
      <c r="B43" s="97" t="str">
        <f t="shared" si="0"/>
        <v/>
      </c>
      <c r="C43" s="97" t="str">
        <f t="shared" si="15"/>
        <v/>
      </c>
      <c r="D43" s="97" t="str">
        <f t="shared" si="12"/>
        <v/>
      </c>
      <c r="E43" s="8" t="str">
        <f t="shared" si="1"/>
        <v/>
      </c>
      <c r="F43" s="31" t="str">
        <f t="shared" si="2"/>
        <v/>
      </c>
      <c r="G43" s="11" t="str">
        <f t="shared" si="3"/>
        <v/>
      </c>
      <c r="H43" s="30" t="str">
        <f t="shared" si="4"/>
        <v/>
      </c>
      <c r="I43" s="32" t="str">
        <f t="shared" si="13"/>
        <v/>
      </c>
      <c r="J43" s="8" t="str">
        <f t="shared" si="5"/>
        <v/>
      </c>
      <c r="K43" s="21"/>
      <c r="L43" s="97" t="str">
        <f t="shared" si="17"/>
        <v/>
      </c>
      <c r="M43" s="97" t="str">
        <f t="shared" si="16"/>
        <v/>
      </c>
      <c r="N43" s="97" t="str">
        <f t="shared" si="14"/>
        <v/>
      </c>
      <c r="O43" s="8" t="str">
        <f t="shared" si="18"/>
        <v/>
      </c>
      <c r="P43" s="31" t="str">
        <f t="shared" si="19"/>
        <v/>
      </c>
      <c r="Q43" s="11" t="str">
        <f t="shared" si="20"/>
        <v/>
      </c>
      <c r="R43" s="31" t="str">
        <f t="shared" si="21"/>
        <v/>
      </c>
      <c r="S43" s="8" t="str">
        <f t="shared" si="11"/>
        <v/>
      </c>
    </row>
    <row r="44" spans="2:19" x14ac:dyDescent="0.3">
      <c r="B44" s="97" t="str">
        <f t="shared" si="0"/>
        <v/>
      </c>
      <c r="C44" s="97" t="str">
        <f t="shared" si="15"/>
        <v/>
      </c>
      <c r="D44" s="97" t="str">
        <f t="shared" si="12"/>
        <v/>
      </c>
      <c r="E44" s="8" t="str">
        <f t="shared" si="1"/>
        <v/>
      </c>
      <c r="F44" s="31" t="str">
        <f t="shared" si="2"/>
        <v/>
      </c>
      <c r="G44" s="11" t="str">
        <f t="shared" si="3"/>
        <v/>
      </c>
      <c r="H44" s="30" t="str">
        <f t="shared" si="4"/>
        <v/>
      </c>
      <c r="I44" s="32" t="str">
        <f t="shared" si="13"/>
        <v/>
      </c>
      <c r="J44" s="8" t="str">
        <f t="shared" si="5"/>
        <v/>
      </c>
      <c r="K44" s="21"/>
      <c r="L44" s="97" t="str">
        <f t="shared" si="17"/>
        <v/>
      </c>
      <c r="M44" s="97" t="str">
        <f t="shared" si="16"/>
        <v/>
      </c>
      <c r="N44" s="97" t="str">
        <f t="shared" si="14"/>
        <v/>
      </c>
      <c r="O44" s="8" t="str">
        <f t="shared" si="18"/>
        <v/>
      </c>
      <c r="P44" s="31" t="str">
        <f t="shared" si="19"/>
        <v/>
      </c>
      <c r="Q44" s="11" t="str">
        <f t="shared" si="20"/>
        <v/>
      </c>
      <c r="R44" s="31" t="str">
        <f t="shared" si="21"/>
        <v/>
      </c>
      <c r="S44" s="8" t="str">
        <f t="shared" si="11"/>
        <v/>
      </c>
    </row>
    <row r="45" spans="2:19" x14ac:dyDescent="0.3">
      <c r="B45" s="97" t="str">
        <f t="shared" si="0"/>
        <v/>
      </c>
      <c r="C45" s="97" t="str">
        <f t="shared" si="15"/>
        <v/>
      </c>
      <c r="D45" s="97" t="str">
        <f t="shared" si="12"/>
        <v/>
      </c>
      <c r="E45" s="8" t="str">
        <f t="shared" si="1"/>
        <v/>
      </c>
      <c r="F45" s="31" t="str">
        <f t="shared" si="2"/>
        <v/>
      </c>
      <c r="G45" s="11" t="str">
        <f t="shared" si="3"/>
        <v/>
      </c>
      <c r="H45" s="30" t="str">
        <f t="shared" si="4"/>
        <v/>
      </c>
      <c r="I45" s="32" t="str">
        <f t="shared" si="13"/>
        <v/>
      </c>
      <c r="J45" s="8" t="str">
        <f t="shared" si="5"/>
        <v/>
      </c>
      <c r="K45" s="21"/>
      <c r="L45" s="97" t="str">
        <f t="shared" si="17"/>
        <v/>
      </c>
      <c r="M45" s="97" t="str">
        <f t="shared" si="16"/>
        <v/>
      </c>
      <c r="N45" s="97" t="str">
        <f t="shared" si="14"/>
        <v/>
      </c>
      <c r="O45" s="8" t="str">
        <f t="shared" si="18"/>
        <v/>
      </c>
      <c r="P45" s="31" t="str">
        <f t="shared" si="19"/>
        <v/>
      </c>
      <c r="Q45" s="11" t="str">
        <f t="shared" si="20"/>
        <v/>
      </c>
      <c r="R45" s="31" t="str">
        <f t="shared" si="21"/>
        <v/>
      </c>
      <c r="S45" s="8" t="str">
        <f t="shared" si="11"/>
        <v/>
      </c>
    </row>
    <row r="46" spans="2:19" x14ac:dyDescent="0.3">
      <c r="B46" s="97" t="str">
        <f t="shared" si="0"/>
        <v/>
      </c>
      <c r="C46" s="97" t="str">
        <f t="shared" si="15"/>
        <v/>
      </c>
      <c r="D46" s="97" t="str">
        <f t="shared" si="12"/>
        <v/>
      </c>
      <c r="E46" s="8" t="str">
        <f t="shared" si="1"/>
        <v/>
      </c>
      <c r="F46" s="31" t="str">
        <f t="shared" si="2"/>
        <v/>
      </c>
      <c r="G46" s="11" t="str">
        <f t="shared" si="3"/>
        <v/>
      </c>
      <c r="H46" s="30" t="str">
        <f t="shared" si="4"/>
        <v/>
      </c>
      <c r="I46" s="32" t="str">
        <f t="shared" si="13"/>
        <v/>
      </c>
      <c r="J46" s="8" t="str">
        <f t="shared" si="5"/>
        <v/>
      </c>
      <c r="K46" s="21"/>
      <c r="L46" s="97" t="str">
        <f t="shared" si="17"/>
        <v/>
      </c>
      <c r="M46" s="97" t="str">
        <f t="shared" si="16"/>
        <v/>
      </c>
      <c r="N46" s="97" t="str">
        <f t="shared" si="14"/>
        <v/>
      </c>
      <c r="O46" s="8" t="str">
        <f t="shared" si="18"/>
        <v/>
      </c>
      <c r="P46" s="31" t="str">
        <f t="shared" si="19"/>
        <v/>
      </c>
      <c r="Q46" s="11" t="str">
        <f t="shared" si="20"/>
        <v/>
      </c>
      <c r="R46" s="31" t="str">
        <f t="shared" si="21"/>
        <v/>
      </c>
      <c r="S46" s="8" t="str">
        <f t="shared" si="11"/>
        <v/>
      </c>
    </row>
    <row r="47" spans="2:19" x14ac:dyDescent="0.3">
      <c r="B47" s="97" t="str">
        <f t="shared" si="0"/>
        <v/>
      </c>
      <c r="C47" s="97" t="str">
        <f t="shared" si="15"/>
        <v/>
      </c>
      <c r="D47" s="97" t="str">
        <f t="shared" si="12"/>
        <v/>
      </c>
      <c r="E47" s="8" t="str">
        <f t="shared" si="1"/>
        <v/>
      </c>
      <c r="F47" s="31" t="str">
        <f t="shared" si="2"/>
        <v/>
      </c>
      <c r="G47" s="11" t="str">
        <f t="shared" si="3"/>
        <v/>
      </c>
      <c r="H47" s="30" t="str">
        <f t="shared" si="4"/>
        <v/>
      </c>
      <c r="I47" s="32" t="str">
        <f t="shared" si="13"/>
        <v/>
      </c>
      <c r="J47" s="8" t="str">
        <f t="shared" si="5"/>
        <v/>
      </c>
      <c r="K47" s="21"/>
      <c r="L47" s="97" t="str">
        <f t="shared" si="17"/>
        <v/>
      </c>
      <c r="M47" s="97" t="str">
        <f t="shared" si="16"/>
        <v/>
      </c>
      <c r="N47" s="97" t="str">
        <f t="shared" si="14"/>
        <v/>
      </c>
      <c r="O47" s="8" t="str">
        <f t="shared" si="18"/>
        <v/>
      </c>
      <c r="P47" s="31" t="str">
        <f t="shared" si="19"/>
        <v/>
      </c>
      <c r="Q47" s="11" t="str">
        <f t="shared" si="20"/>
        <v/>
      </c>
      <c r="R47" s="31" t="str">
        <f t="shared" si="21"/>
        <v/>
      </c>
      <c r="S47" s="8" t="str">
        <f t="shared" si="11"/>
        <v/>
      </c>
    </row>
    <row r="48" spans="2:19" x14ac:dyDescent="0.3">
      <c r="B48" s="97" t="str">
        <f t="shared" si="0"/>
        <v/>
      </c>
      <c r="C48" s="97" t="str">
        <f t="shared" si="15"/>
        <v/>
      </c>
      <c r="D48" s="97" t="str">
        <f t="shared" si="12"/>
        <v/>
      </c>
      <c r="E48" s="8" t="str">
        <f t="shared" si="1"/>
        <v/>
      </c>
      <c r="F48" s="31" t="str">
        <f t="shared" si="2"/>
        <v/>
      </c>
      <c r="G48" s="11" t="str">
        <f t="shared" si="3"/>
        <v/>
      </c>
      <c r="H48" s="30" t="str">
        <f t="shared" si="4"/>
        <v/>
      </c>
      <c r="I48" s="32" t="str">
        <f t="shared" si="13"/>
        <v/>
      </c>
      <c r="J48" s="8" t="str">
        <f t="shared" si="5"/>
        <v/>
      </c>
      <c r="K48" s="21"/>
      <c r="L48" s="97" t="str">
        <f t="shared" si="17"/>
        <v/>
      </c>
      <c r="M48" s="97" t="str">
        <f t="shared" si="16"/>
        <v/>
      </c>
      <c r="N48" s="97" t="str">
        <f t="shared" si="14"/>
        <v/>
      </c>
      <c r="O48" s="8" t="str">
        <f t="shared" si="18"/>
        <v/>
      </c>
      <c r="P48" s="31" t="str">
        <f t="shared" si="19"/>
        <v/>
      </c>
      <c r="Q48" s="11" t="str">
        <f t="shared" si="20"/>
        <v/>
      </c>
      <c r="R48" s="31" t="str">
        <f t="shared" si="21"/>
        <v/>
      </c>
      <c r="S48" s="8" t="str">
        <f t="shared" si="11"/>
        <v/>
      </c>
    </row>
    <row r="49" spans="2:19" x14ac:dyDescent="0.3">
      <c r="B49" s="97" t="str">
        <f t="shared" si="0"/>
        <v/>
      </c>
      <c r="C49" s="97" t="str">
        <f t="shared" si="15"/>
        <v/>
      </c>
      <c r="D49" s="97" t="str">
        <f t="shared" si="12"/>
        <v/>
      </c>
      <c r="E49" s="8" t="str">
        <f t="shared" si="1"/>
        <v/>
      </c>
      <c r="F49" s="31" t="str">
        <f t="shared" si="2"/>
        <v/>
      </c>
      <c r="G49" s="11" t="str">
        <f t="shared" si="3"/>
        <v/>
      </c>
      <c r="H49" s="30" t="str">
        <f t="shared" si="4"/>
        <v/>
      </c>
      <c r="I49" s="32" t="str">
        <f t="shared" si="13"/>
        <v/>
      </c>
      <c r="J49" s="8" t="str">
        <f t="shared" si="5"/>
        <v/>
      </c>
      <c r="K49" s="21"/>
      <c r="L49" s="97" t="str">
        <f t="shared" si="17"/>
        <v/>
      </c>
      <c r="M49" s="97" t="str">
        <f t="shared" si="16"/>
        <v/>
      </c>
      <c r="N49" s="97" t="str">
        <f t="shared" si="14"/>
        <v/>
      </c>
      <c r="O49" s="8" t="str">
        <f t="shared" si="18"/>
        <v/>
      </c>
      <c r="P49" s="31" t="str">
        <f t="shared" si="19"/>
        <v/>
      </c>
      <c r="Q49" s="11" t="str">
        <f t="shared" si="20"/>
        <v/>
      </c>
      <c r="R49" s="31" t="str">
        <f t="shared" si="21"/>
        <v/>
      </c>
      <c r="S49" s="8" t="str">
        <f t="shared" si="11"/>
        <v/>
      </c>
    </row>
    <row r="50" spans="2:19" x14ac:dyDescent="0.3">
      <c r="B50" s="97" t="str">
        <f t="shared" si="0"/>
        <v/>
      </c>
      <c r="C50" s="97" t="str">
        <f t="shared" si="15"/>
        <v/>
      </c>
      <c r="D50" s="97" t="str">
        <f t="shared" si="12"/>
        <v/>
      </c>
      <c r="E50" s="8" t="str">
        <f t="shared" si="1"/>
        <v/>
      </c>
      <c r="F50" s="31" t="str">
        <f t="shared" si="2"/>
        <v/>
      </c>
      <c r="G50" s="11" t="str">
        <f t="shared" si="3"/>
        <v/>
      </c>
      <c r="H50" s="30" t="str">
        <f t="shared" si="4"/>
        <v/>
      </c>
      <c r="I50" s="32" t="str">
        <f t="shared" si="13"/>
        <v/>
      </c>
      <c r="J50" s="8" t="str">
        <f t="shared" si="5"/>
        <v/>
      </c>
      <c r="K50" s="21"/>
      <c r="L50" s="97" t="str">
        <f t="shared" si="17"/>
        <v/>
      </c>
      <c r="M50" s="97" t="str">
        <f t="shared" si="16"/>
        <v/>
      </c>
      <c r="N50" s="97" t="str">
        <f t="shared" si="14"/>
        <v/>
      </c>
      <c r="O50" s="8" t="str">
        <f t="shared" si="18"/>
        <v/>
      </c>
      <c r="P50" s="31" t="str">
        <f t="shared" si="19"/>
        <v/>
      </c>
      <c r="Q50" s="11" t="str">
        <f t="shared" si="20"/>
        <v/>
      </c>
      <c r="R50" s="31" t="str">
        <f t="shared" si="21"/>
        <v/>
      </c>
      <c r="S50" s="8" t="str">
        <f t="shared" si="11"/>
        <v/>
      </c>
    </row>
    <row r="51" spans="2:19" x14ac:dyDescent="0.3">
      <c r="B51" s="97" t="str">
        <f t="shared" ref="B51:B82" si="22">IF(C51="","",C51-2)</f>
        <v/>
      </c>
      <c r="C51" s="97" t="str">
        <f t="shared" si="15"/>
        <v/>
      </c>
      <c r="D51" s="97" t="str">
        <f t="shared" si="12"/>
        <v/>
      </c>
      <c r="E51" s="8" t="str">
        <f t="shared" ref="E51:E82" si="23">IF(B51="","",IF($C$9="30/360",DAYS360(C51,D51)/360,IF($C$9="ACT/360",(D51-C51)/360,IF($C$9="ACT/365",(D51-C51)/365))))</f>
        <v/>
      </c>
      <c r="F51" s="31" t="str">
        <f t="shared" ref="F51:F82" si="24">IF(B51="","",$F$2)</f>
        <v/>
      </c>
      <c r="G51" s="11" t="str">
        <f t="shared" ref="G51:G82" si="25">IF(B51="","",$C$10/10000)</f>
        <v/>
      </c>
      <c r="H51" s="30" t="str">
        <f t="shared" ref="H51:H82" si="26">IF(B51="","",(DF(C51-$C$2,Maturities,ZcRates)/DF(D51-$C$2,Maturities,ZcRates)-1)/E51)</f>
        <v/>
      </c>
      <c r="I51" s="32" t="str">
        <f t="shared" si="13"/>
        <v/>
      </c>
      <c r="J51" s="8" t="str">
        <f t="shared" ref="J51:J82" si="27">IF(B51="","",DF(D51-$C$2,Maturities,ZcRates))</f>
        <v/>
      </c>
      <c r="K51" s="21"/>
      <c r="L51" s="97" t="str">
        <f t="shared" si="17"/>
        <v/>
      </c>
      <c r="M51" s="97" t="str">
        <f t="shared" si="16"/>
        <v/>
      </c>
      <c r="N51" s="97" t="str">
        <f t="shared" si="14"/>
        <v/>
      </c>
      <c r="O51" s="8" t="str">
        <f t="shared" si="18"/>
        <v/>
      </c>
      <c r="P51" s="31" t="str">
        <f t="shared" si="19"/>
        <v/>
      </c>
      <c r="Q51" s="11" t="str">
        <f t="shared" si="20"/>
        <v/>
      </c>
      <c r="R51" s="31" t="str">
        <f t="shared" si="21"/>
        <v/>
      </c>
      <c r="S51" s="8" t="str">
        <f t="shared" ref="S51:S82" si="28">IF(L51="","",DF(N51-$C$2,Maturities,ZcRates))</f>
        <v/>
      </c>
    </row>
    <row r="52" spans="2:19" x14ac:dyDescent="0.3">
      <c r="B52" s="97" t="str">
        <f t="shared" si="22"/>
        <v/>
      </c>
      <c r="C52" s="97" t="str">
        <f t="shared" si="15"/>
        <v/>
      </c>
      <c r="D52" s="97" t="str">
        <f t="shared" si="12"/>
        <v/>
      </c>
      <c r="E52" s="8" t="str">
        <f t="shared" si="23"/>
        <v/>
      </c>
      <c r="F52" s="31" t="str">
        <f t="shared" si="24"/>
        <v/>
      </c>
      <c r="G52" s="11" t="str">
        <f t="shared" si="25"/>
        <v/>
      </c>
      <c r="H52" s="30" t="str">
        <f t="shared" si="26"/>
        <v/>
      </c>
      <c r="I52" s="32" t="str">
        <f t="shared" si="13"/>
        <v/>
      </c>
      <c r="J52" s="8" t="str">
        <f t="shared" si="27"/>
        <v/>
      </c>
      <c r="K52" s="21"/>
      <c r="L52" s="97" t="str">
        <f t="shared" si="17"/>
        <v/>
      </c>
      <c r="M52" s="97" t="str">
        <f t="shared" si="16"/>
        <v/>
      </c>
      <c r="N52" s="97" t="str">
        <f t="shared" si="14"/>
        <v/>
      </c>
      <c r="O52" s="8" t="str">
        <f t="shared" si="18"/>
        <v/>
      </c>
      <c r="P52" s="31" t="str">
        <f t="shared" si="19"/>
        <v/>
      </c>
      <c r="Q52" s="11" t="str">
        <f t="shared" si="20"/>
        <v/>
      </c>
      <c r="R52" s="31" t="str">
        <f t="shared" si="21"/>
        <v/>
      </c>
      <c r="S52" s="8" t="str">
        <f t="shared" si="28"/>
        <v/>
      </c>
    </row>
    <row r="53" spans="2:19" x14ac:dyDescent="0.3">
      <c r="B53" s="97" t="str">
        <f t="shared" si="22"/>
        <v/>
      </c>
      <c r="C53" s="97" t="str">
        <f t="shared" si="15"/>
        <v/>
      </c>
      <c r="D53" s="97" t="str">
        <f t="shared" si="12"/>
        <v/>
      </c>
      <c r="E53" s="8" t="str">
        <f t="shared" si="23"/>
        <v/>
      </c>
      <c r="F53" s="31" t="str">
        <f t="shared" si="24"/>
        <v/>
      </c>
      <c r="G53" s="11" t="str">
        <f t="shared" si="25"/>
        <v/>
      </c>
      <c r="H53" s="30" t="str">
        <f t="shared" si="26"/>
        <v/>
      </c>
      <c r="I53" s="32" t="str">
        <f t="shared" si="13"/>
        <v/>
      </c>
      <c r="J53" s="8" t="str">
        <f t="shared" si="27"/>
        <v/>
      </c>
      <c r="K53" s="21"/>
      <c r="L53" s="97" t="str">
        <f t="shared" si="17"/>
        <v/>
      </c>
      <c r="M53" s="97" t="str">
        <f t="shared" si="16"/>
        <v/>
      </c>
      <c r="N53" s="97" t="str">
        <f t="shared" si="14"/>
        <v/>
      </c>
      <c r="O53" s="8" t="str">
        <f t="shared" si="18"/>
        <v/>
      </c>
      <c r="P53" s="31" t="str">
        <f t="shared" si="19"/>
        <v/>
      </c>
      <c r="Q53" s="11" t="str">
        <f t="shared" si="20"/>
        <v/>
      </c>
      <c r="R53" s="31" t="str">
        <f t="shared" si="21"/>
        <v/>
      </c>
      <c r="S53" s="8" t="str">
        <f t="shared" si="28"/>
        <v/>
      </c>
    </row>
    <row r="54" spans="2:19" x14ac:dyDescent="0.3">
      <c r="B54" s="97" t="str">
        <f t="shared" si="22"/>
        <v/>
      </c>
      <c r="C54" s="97" t="str">
        <f t="shared" si="15"/>
        <v/>
      </c>
      <c r="D54" s="97" t="str">
        <f t="shared" si="12"/>
        <v/>
      </c>
      <c r="E54" s="8" t="str">
        <f t="shared" si="23"/>
        <v/>
      </c>
      <c r="F54" s="31" t="str">
        <f t="shared" si="24"/>
        <v/>
      </c>
      <c r="G54" s="11" t="str">
        <f t="shared" si="25"/>
        <v/>
      </c>
      <c r="H54" s="30" t="str">
        <f t="shared" si="26"/>
        <v/>
      </c>
      <c r="I54" s="32" t="str">
        <f t="shared" si="13"/>
        <v/>
      </c>
      <c r="J54" s="8" t="str">
        <f t="shared" si="27"/>
        <v/>
      </c>
      <c r="K54" s="21"/>
      <c r="L54" s="97" t="str">
        <f t="shared" si="17"/>
        <v/>
      </c>
      <c r="M54" s="97" t="str">
        <f t="shared" si="16"/>
        <v/>
      </c>
      <c r="N54" s="97" t="str">
        <f t="shared" si="14"/>
        <v/>
      </c>
      <c r="O54" s="8" t="str">
        <f t="shared" si="18"/>
        <v/>
      </c>
      <c r="P54" s="31" t="str">
        <f t="shared" si="19"/>
        <v/>
      </c>
      <c r="Q54" s="11" t="str">
        <f t="shared" si="20"/>
        <v/>
      </c>
      <c r="R54" s="31" t="str">
        <f t="shared" si="21"/>
        <v/>
      </c>
      <c r="S54" s="8" t="str">
        <f t="shared" si="28"/>
        <v/>
      </c>
    </row>
    <row r="55" spans="2:19" x14ac:dyDescent="0.3">
      <c r="B55" s="97" t="str">
        <f t="shared" si="22"/>
        <v/>
      </c>
      <c r="C55" s="97" t="str">
        <f t="shared" si="15"/>
        <v/>
      </c>
      <c r="D55" s="97" t="str">
        <f t="shared" si="12"/>
        <v/>
      </c>
      <c r="E55" s="8" t="str">
        <f t="shared" si="23"/>
        <v/>
      </c>
      <c r="F55" s="31" t="str">
        <f t="shared" si="24"/>
        <v/>
      </c>
      <c r="G55" s="11" t="str">
        <f t="shared" si="25"/>
        <v/>
      </c>
      <c r="H55" s="30" t="str">
        <f t="shared" si="26"/>
        <v/>
      </c>
      <c r="I55" s="32" t="str">
        <f t="shared" si="13"/>
        <v/>
      </c>
      <c r="J55" s="8" t="str">
        <f t="shared" si="27"/>
        <v/>
      </c>
      <c r="K55" s="21"/>
      <c r="L55" s="97" t="str">
        <f t="shared" si="17"/>
        <v/>
      </c>
      <c r="M55" s="97" t="str">
        <f t="shared" si="16"/>
        <v/>
      </c>
      <c r="N55" s="97" t="str">
        <f t="shared" si="14"/>
        <v/>
      </c>
      <c r="O55" s="8" t="str">
        <f t="shared" si="18"/>
        <v/>
      </c>
      <c r="P55" s="31" t="str">
        <f t="shared" si="19"/>
        <v/>
      </c>
      <c r="Q55" s="11" t="str">
        <f t="shared" si="20"/>
        <v/>
      </c>
      <c r="R55" s="31" t="str">
        <f t="shared" si="21"/>
        <v/>
      </c>
      <c r="S55" s="8" t="str">
        <f t="shared" si="28"/>
        <v/>
      </c>
    </row>
    <row r="56" spans="2:19" x14ac:dyDescent="0.3">
      <c r="B56" s="97" t="str">
        <f t="shared" si="22"/>
        <v/>
      </c>
      <c r="C56" s="97" t="str">
        <f t="shared" si="15"/>
        <v/>
      </c>
      <c r="D56" s="97" t="str">
        <f t="shared" si="12"/>
        <v/>
      </c>
      <c r="E56" s="8" t="str">
        <f t="shared" si="23"/>
        <v/>
      </c>
      <c r="F56" s="31" t="str">
        <f t="shared" si="24"/>
        <v/>
      </c>
      <c r="G56" s="11" t="str">
        <f t="shared" si="25"/>
        <v/>
      </c>
      <c r="H56" s="30" t="str">
        <f t="shared" si="26"/>
        <v/>
      </c>
      <c r="I56" s="32" t="str">
        <f t="shared" si="13"/>
        <v/>
      </c>
      <c r="J56" s="8" t="str">
        <f t="shared" si="27"/>
        <v/>
      </c>
      <c r="K56" s="21"/>
      <c r="L56" s="97" t="str">
        <f t="shared" si="17"/>
        <v/>
      </c>
      <c r="M56" s="97" t="str">
        <f t="shared" si="16"/>
        <v/>
      </c>
      <c r="N56" s="97" t="str">
        <f t="shared" si="14"/>
        <v/>
      </c>
      <c r="O56" s="8" t="str">
        <f t="shared" si="18"/>
        <v/>
      </c>
      <c r="P56" s="31" t="str">
        <f t="shared" si="19"/>
        <v/>
      </c>
      <c r="Q56" s="11" t="str">
        <f t="shared" si="20"/>
        <v/>
      </c>
      <c r="R56" s="31" t="str">
        <f t="shared" si="21"/>
        <v/>
      </c>
      <c r="S56" s="8" t="str">
        <f t="shared" si="28"/>
        <v/>
      </c>
    </row>
    <row r="57" spans="2:19" x14ac:dyDescent="0.3">
      <c r="B57" s="97" t="str">
        <f t="shared" si="22"/>
        <v/>
      </c>
      <c r="C57" s="97" t="str">
        <f t="shared" si="15"/>
        <v/>
      </c>
      <c r="D57" s="97" t="str">
        <f t="shared" si="12"/>
        <v/>
      </c>
      <c r="E57" s="8" t="str">
        <f t="shared" si="23"/>
        <v/>
      </c>
      <c r="F57" s="31" t="str">
        <f t="shared" si="24"/>
        <v/>
      </c>
      <c r="G57" s="11" t="str">
        <f t="shared" si="25"/>
        <v/>
      </c>
      <c r="H57" s="30" t="str">
        <f t="shared" si="26"/>
        <v/>
      </c>
      <c r="I57" s="32" t="str">
        <f t="shared" si="13"/>
        <v/>
      </c>
      <c r="J57" s="8" t="str">
        <f t="shared" si="27"/>
        <v/>
      </c>
      <c r="K57" s="21"/>
      <c r="L57" s="97" t="str">
        <f t="shared" si="17"/>
        <v/>
      </c>
      <c r="M57" s="97" t="str">
        <f t="shared" si="16"/>
        <v/>
      </c>
      <c r="N57" s="97" t="str">
        <f t="shared" si="14"/>
        <v/>
      </c>
      <c r="O57" s="8" t="str">
        <f t="shared" si="18"/>
        <v/>
      </c>
      <c r="P57" s="31" t="str">
        <f t="shared" si="19"/>
        <v/>
      </c>
      <c r="Q57" s="11" t="str">
        <f t="shared" si="20"/>
        <v/>
      </c>
      <c r="R57" s="31" t="str">
        <f t="shared" si="21"/>
        <v/>
      </c>
      <c r="S57" s="8" t="str">
        <f t="shared" si="28"/>
        <v/>
      </c>
    </row>
    <row r="58" spans="2:19" x14ac:dyDescent="0.3">
      <c r="B58" s="97" t="str">
        <f t="shared" si="22"/>
        <v/>
      </c>
      <c r="C58" s="97" t="str">
        <f t="shared" si="15"/>
        <v/>
      </c>
      <c r="D58" s="97" t="str">
        <f t="shared" si="12"/>
        <v/>
      </c>
      <c r="E58" s="8" t="str">
        <f t="shared" si="23"/>
        <v/>
      </c>
      <c r="F58" s="31" t="str">
        <f t="shared" si="24"/>
        <v/>
      </c>
      <c r="G58" s="11" t="str">
        <f t="shared" si="25"/>
        <v/>
      </c>
      <c r="H58" s="30" t="str">
        <f t="shared" si="26"/>
        <v/>
      </c>
      <c r="I58" s="32" t="str">
        <f t="shared" si="13"/>
        <v/>
      </c>
      <c r="J58" s="8" t="str">
        <f t="shared" si="27"/>
        <v/>
      </c>
      <c r="K58" s="21"/>
      <c r="L58" s="97" t="str">
        <f t="shared" si="17"/>
        <v/>
      </c>
      <c r="M58" s="97" t="str">
        <f t="shared" si="16"/>
        <v/>
      </c>
      <c r="N58" s="97" t="str">
        <f t="shared" si="14"/>
        <v/>
      </c>
      <c r="O58" s="8" t="str">
        <f t="shared" si="18"/>
        <v/>
      </c>
      <c r="P58" s="31" t="str">
        <f t="shared" si="19"/>
        <v/>
      </c>
      <c r="Q58" s="11" t="str">
        <f t="shared" si="20"/>
        <v/>
      </c>
      <c r="R58" s="31" t="str">
        <f t="shared" si="21"/>
        <v/>
      </c>
      <c r="S58" s="8" t="str">
        <f t="shared" si="28"/>
        <v/>
      </c>
    </row>
    <row r="59" spans="2:19" x14ac:dyDescent="0.3">
      <c r="B59" s="97" t="str">
        <f t="shared" si="22"/>
        <v/>
      </c>
      <c r="C59" s="97" t="str">
        <f t="shared" si="15"/>
        <v/>
      </c>
      <c r="D59" s="97" t="str">
        <f t="shared" si="12"/>
        <v/>
      </c>
      <c r="E59" s="8" t="str">
        <f t="shared" si="23"/>
        <v/>
      </c>
      <c r="F59" s="31" t="str">
        <f t="shared" si="24"/>
        <v/>
      </c>
      <c r="G59" s="11" t="str">
        <f t="shared" si="25"/>
        <v/>
      </c>
      <c r="H59" s="30" t="str">
        <f t="shared" si="26"/>
        <v/>
      </c>
      <c r="I59" s="32" t="str">
        <f t="shared" si="13"/>
        <v/>
      </c>
      <c r="J59" s="8" t="str">
        <f t="shared" si="27"/>
        <v/>
      </c>
      <c r="K59" s="21"/>
      <c r="L59" s="97" t="str">
        <f t="shared" si="17"/>
        <v/>
      </c>
      <c r="M59" s="97" t="str">
        <f t="shared" si="16"/>
        <v/>
      </c>
      <c r="N59" s="97" t="str">
        <f t="shared" si="14"/>
        <v/>
      </c>
      <c r="O59" s="8" t="str">
        <f t="shared" si="18"/>
        <v/>
      </c>
      <c r="P59" s="31" t="str">
        <f t="shared" si="19"/>
        <v/>
      </c>
      <c r="Q59" s="11" t="str">
        <f t="shared" si="20"/>
        <v/>
      </c>
      <c r="R59" s="31" t="str">
        <f t="shared" si="21"/>
        <v/>
      </c>
      <c r="S59" s="8" t="str">
        <f t="shared" si="28"/>
        <v/>
      </c>
    </row>
    <row r="60" spans="2:19" x14ac:dyDescent="0.3">
      <c r="B60" s="97" t="str">
        <f t="shared" si="22"/>
        <v/>
      </c>
      <c r="C60" s="97" t="str">
        <f t="shared" si="15"/>
        <v/>
      </c>
      <c r="D60" s="97" t="str">
        <f t="shared" si="12"/>
        <v/>
      </c>
      <c r="E60" s="8" t="str">
        <f t="shared" si="23"/>
        <v/>
      </c>
      <c r="F60" s="31" t="str">
        <f t="shared" si="24"/>
        <v/>
      </c>
      <c r="G60" s="11" t="str">
        <f t="shared" si="25"/>
        <v/>
      </c>
      <c r="H60" s="30" t="str">
        <f t="shared" si="26"/>
        <v/>
      </c>
      <c r="I60" s="32" t="str">
        <f t="shared" si="13"/>
        <v/>
      </c>
      <c r="J60" s="8" t="str">
        <f t="shared" si="27"/>
        <v/>
      </c>
      <c r="K60" s="21"/>
      <c r="L60" s="97" t="str">
        <f t="shared" si="17"/>
        <v/>
      </c>
      <c r="M60" s="97" t="str">
        <f t="shared" si="16"/>
        <v/>
      </c>
      <c r="N60" s="97" t="str">
        <f t="shared" si="14"/>
        <v/>
      </c>
      <c r="O60" s="8" t="str">
        <f t="shared" si="18"/>
        <v/>
      </c>
      <c r="P60" s="31" t="str">
        <f t="shared" si="19"/>
        <v/>
      </c>
      <c r="Q60" s="11" t="str">
        <f t="shared" si="20"/>
        <v/>
      </c>
      <c r="R60" s="31" t="str">
        <f t="shared" si="21"/>
        <v/>
      </c>
      <c r="S60" s="8" t="str">
        <f t="shared" si="28"/>
        <v/>
      </c>
    </row>
    <row r="61" spans="2:19" x14ac:dyDescent="0.3">
      <c r="B61" s="97" t="str">
        <f t="shared" si="22"/>
        <v/>
      </c>
      <c r="C61" s="97" t="str">
        <f t="shared" si="15"/>
        <v/>
      </c>
      <c r="D61" s="97" t="str">
        <f t="shared" si="12"/>
        <v/>
      </c>
      <c r="E61" s="8" t="str">
        <f t="shared" si="23"/>
        <v/>
      </c>
      <c r="F61" s="31" t="str">
        <f t="shared" si="24"/>
        <v/>
      </c>
      <c r="G61" s="11" t="str">
        <f t="shared" si="25"/>
        <v/>
      </c>
      <c r="H61" s="30" t="str">
        <f t="shared" si="26"/>
        <v/>
      </c>
      <c r="I61" s="32" t="str">
        <f t="shared" si="13"/>
        <v/>
      </c>
      <c r="J61" s="8" t="str">
        <f t="shared" si="27"/>
        <v/>
      </c>
      <c r="K61" s="21"/>
      <c r="L61" s="97" t="str">
        <f t="shared" si="17"/>
        <v/>
      </c>
      <c r="M61" s="97" t="str">
        <f t="shared" si="16"/>
        <v/>
      </c>
      <c r="N61" s="97" t="str">
        <f t="shared" si="14"/>
        <v/>
      </c>
      <c r="O61" s="8" t="str">
        <f t="shared" si="18"/>
        <v/>
      </c>
      <c r="P61" s="31" t="str">
        <f t="shared" si="19"/>
        <v/>
      </c>
      <c r="Q61" s="11" t="str">
        <f t="shared" si="20"/>
        <v/>
      </c>
      <c r="R61" s="31" t="str">
        <f t="shared" si="21"/>
        <v/>
      </c>
      <c r="S61" s="8" t="str">
        <f t="shared" si="28"/>
        <v/>
      </c>
    </row>
    <row r="62" spans="2:19" x14ac:dyDescent="0.3">
      <c r="B62" s="97" t="str">
        <f t="shared" si="22"/>
        <v/>
      </c>
      <c r="C62" s="97" t="str">
        <f t="shared" si="15"/>
        <v/>
      </c>
      <c r="D62" s="97" t="str">
        <f t="shared" si="12"/>
        <v/>
      </c>
      <c r="E62" s="8" t="str">
        <f t="shared" si="23"/>
        <v/>
      </c>
      <c r="F62" s="31" t="str">
        <f t="shared" si="24"/>
        <v/>
      </c>
      <c r="G62" s="11" t="str">
        <f t="shared" si="25"/>
        <v/>
      </c>
      <c r="H62" s="30" t="str">
        <f t="shared" si="26"/>
        <v/>
      </c>
      <c r="I62" s="32" t="str">
        <f t="shared" si="13"/>
        <v/>
      </c>
      <c r="J62" s="8" t="str">
        <f t="shared" si="27"/>
        <v/>
      </c>
      <c r="K62" s="21"/>
      <c r="L62" s="97" t="str">
        <f t="shared" si="17"/>
        <v/>
      </c>
      <c r="M62" s="97" t="str">
        <f t="shared" si="16"/>
        <v/>
      </c>
      <c r="N62" s="97" t="str">
        <f t="shared" si="14"/>
        <v/>
      </c>
      <c r="O62" s="8" t="str">
        <f t="shared" si="18"/>
        <v/>
      </c>
      <c r="P62" s="31" t="str">
        <f t="shared" si="19"/>
        <v/>
      </c>
      <c r="Q62" s="11" t="str">
        <f t="shared" si="20"/>
        <v/>
      </c>
      <c r="R62" s="31" t="str">
        <f t="shared" si="21"/>
        <v/>
      </c>
      <c r="S62" s="8" t="str">
        <f t="shared" si="28"/>
        <v/>
      </c>
    </row>
    <row r="63" spans="2:19" x14ac:dyDescent="0.3">
      <c r="B63" s="97" t="str">
        <f t="shared" si="22"/>
        <v/>
      </c>
      <c r="C63" s="97" t="str">
        <f t="shared" si="15"/>
        <v/>
      </c>
      <c r="D63" s="97" t="str">
        <f t="shared" si="12"/>
        <v/>
      </c>
      <c r="E63" s="8" t="str">
        <f t="shared" si="23"/>
        <v/>
      </c>
      <c r="F63" s="31" t="str">
        <f t="shared" si="24"/>
        <v/>
      </c>
      <c r="G63" s="11" t="str">
        <f t="shared" si="25"/>
        <v/>
      </c>
      <c r="H63" s="30" t="str">
        <f t="shared" si="26"/>
        <v/>
      </c>
      <c r="I63" s="32" t="str">
        <f t="shared" si="13"/>
        <v/>
      </c>
      <c r="J63" s="8" t="str">
        <f t="shared" si="27"/>
        <v/>
      </c>
      <c r="K63" s="21"/>
      <c r="L63" s="97" t="str">
        <f t="shared" si="17"/>
        <v/>
      </c>
      <c r="M63" s="97" t="str">
        <f t="shared" si="16"/>
        <v/>
      </c>
      <c r="N63" s="97" t="str">
        <f t="shared" si="14"/>
        <v/>
      </c>
      <c r="O63" s="8" t="str">
        <f t="shared" si="18"/>
        <v/>
      </c>
      <c r="P63" s="31" t="str">
        <f t="shared" si="19"/>
        <v/>
      </c>
      <c r="Q63" s="11" t="str">
        <f t="shared" si="20"/>
        <v/>
      </c>
      <c r="R63" s="31" t="str">
        <f t="shared" si="21"/>
        <v/>
      </c>
      <c r="S63" s="8" t="str">
        <f t="shared" si="28"/>
        <v/>
      </c>
    </row>
    <row r="64" spans="2:19" x14ac:dyDescent="0.3">
      <c r="B64" s="97" t="str">
        <f t="shared" si="22"/>
        <v/>
      </c>
      <c r="C64" s="97" t="str">
        <f t="shared" si="15"/>
        <v/>
      </c>
      <c r="D64" s="97" t="str">
        <f t="shared" si="12"/>
        <v/>
      </c>
      <c r="E64" s="8" t="str">
        <f t="shared" si="23"/>
        <v/>
      </c>
      <c r="F64" s="31" t="str">
        <f t="shared" si="24"/>
        <v/>
      </c>
      <c r="G64" s="11" t="str">
        <f t="shared" si="25"/>
        <v/>
      </c>
      <c r="H64" s="30" t="str">
        <f t="shared" si="26"/>
        <v/>
      </c>
      <c r="I64" s="32" t="str">
        <f t="shared" si="13"/>
        <v/>
      </c>
      <c r="J64" s="8" t="str">
        <f t="shared" si="27"/>
        <v/>
      </c>
      <c r="K64" s="21"/>
      <c r="L64" s="97" t="str">
        <f t="shared" si="17"/>
        <v/>
      </c>
      <c r="M64" s="97" t="str">
        <f t="shared" si="16"/>
        <v/>
      </c>
      <c r="N64" s="97" t="str">
        <f t="shared" si="14"/>
        <v/>
      </c>
      <c r="O64" s="8" t="str">
        <f t="shared" si="18"/>
        <v/>
      </c>
      <c r="P64" s="31" t="str">
        <f t="shared" si="19"/>
        <v/>
      </c>
      <c r="Q64" s="11" t="str">
        <f t="shared" si="20"/>
        <v/>
      </c>
      <c r="R64" s="31" t="str">
        <f t="shared" si="21"/>
        <v/>
      </c>
      <c r="S64" s="8" t="str">
        <f t="shared" si="28"/>
        <v/>
      </c>
    </row>
    <row r="65" spans="2:19" x14ac:dyDescent="0.3">
      <c r="B65" s="97" t="str">
        <f t="shared" si="22"/>
        <v/>
      </c>
      <c r="C65" s="97" t="str">
        <f t="shared" si="15"/>
        <v/>
      </c>
      <c r="D65" s="97" t="str">
        <f t="shared" si="12"/>
        <v/>
      </c>
      <c r="E65" s="8" t="str">
        <f t="shared" si="23"/>
        <v/>
      </c>
      <c r="F65" s="31" t="str">
        <f t="shared" si="24"/>
        <v/>
      </c>
      <c r="G65" s="11" t="str">
        <f t="shared" si="25"/>
        <v/>
      </c>
      <c r="H65" s="30" t="str">
        <f t="shared" si="26"/>
        <v/>
      </c>
      <c r="I65" s="32" t="str">
        <f t="shared" si="13"/>
        <v/>
      </c>
      <c r="J65" s="8" t="str">
        <f t="shared" si="27"/>
        <v/>
      </c>
      <c r="K65" s="21"/>
      <c r="L65" s="97" t="str">
        <f t="shared" si="17"/>
        <v/>
      </c>
      <c r="M65" s="97" t="str">
        <f t="shared" si="16"/>
        <v/>
      </c>
      <c r="N65" s="97" t="str">
        <f t="shared" si="14"/>
        <v/>
      </c>
      <c r="O65" s="8" t="str">
        <f t="shared" si="18"/>
        <v/>
      </c>
      <c r="P65" s="31" t="str">
        <f t="shared" si="19"/>
        <v/>
      </c>
      <c r="Q65" s="11" t="str">
        <f t="shared" si="20"/>
        <v/>
      </c>
      <c r="R65" s="31" t="str">
        <f t="shared" si="21"/>
        <v/>
      </c>
      <c r="S65" s="8" t="str">
        <f t="shared" si="28"/>
        <v/>
      </c>
    </row>
    <row r="66" spans="2:19" x14ac:dyDescent="0.3">
      <c r="B66" s="97" t="str">
        <f t="shared" si="22"/>
        <v/>
      </c>
      <c r="C66" s="97" t="str">
        <f t="shared" si="15"/>
        <v/>
      </c>
      <c r="D66" s="97" t="str">
        <f t="shared" si="12"/>
        <v/>
      </c>
      <c r="E66" s="8" t="str">
        <f t="shared" si="23"/>
        <v/>
      </c>
      <c r="F66" s="31" t="str">
        <f t="shared" si="24"/>
        <v/>
      </c>
      <c r="G66" s="11" t="str">
        <f t="shared" si="25"/>
        <v/>
      </c>
      <c r="H66" s="30" t="str">
        <f t="shared" si="26"/>
        <v/>
      </c>
      <c r="I66" s="32" t="str">
        <f t="shared" si="13"/>
        <v/>
      </c>
      <c r="J66" s="8" t="str">
        <f t="shared" si="27"/>
        <v/>
      </c>
      <c r="K66" s="21"/>
      <c r="L66" s="97" t="str">
        <f t="shared" si="17"/>
        <v/>
      </c>
      <c r="M66" s="97" t="str">
        <f t="shared" si="16"/>
        <v/>
      </c>
      <c r="N66" s="97" t="str">
        <f t="shared" si="14"/>
        <v/>
      </c>
      <c r="O66" s="8" t="str">
        <f t="shared" si="18"/>
        <v/>
      </c>
      <c r="P66" s="31" t="str">
        <f t="shared" si="19"/>
        <v/>
      </c>
      <c r="Q66" s="11" t="str">
        <f t="shared" si="20"/>
        <v/>
      </c>
      <c r="R66" s="31" t="str">
        <f t="shared" si="21"/>
        <v/>
      </c>
      <c r="S66" s="8" t="str">
        <f t="shared" si="28"/>
        <v/>
      </c>
    </row>
    <row r="67" spans="2:19" x14ac:dyDescent="0.3">
      <c r="B67" s="97" t="str">
        <f t="shared" si="22"/>
        <v/>
      </c>
      <c r="C67" s="97" t="str">
        <f t="shared" si="15"/>
        <v/>
      </c>
      <c r="D67" s="97" t="str">
        <f t="shared" si="12"/>
        <v/>
      </c>
      <c r="E67" s="8" t="str">
        <f t="shared" si="23"/>
        <v/>
      </c>
      <c r="F67" s="31" t="str">
        <f t="shared" si="24"/>
        <v/>
      </c>
      <c r="G67" s="11" t="str">
        <f t="shared" si="25"/>
        <v/>
      </c>
      <c r="H67" s="30" t="str">
        <f t="shared" si="26"/>
        <v/>
      </c>
      <c r="I67" s="32" t="str">
        <f t="shared" si="13"/>
        <v/>
      </c>
      <c r="J67" s="8" t="str">
        <f t="shared" si="27"/>
        <v/>
      </c>
      <c r="K67" s="21"/>
      <c r="L67" s="97" t="str">
        <f t="shared" si="17"/>
        <v/>
      </c>
      <c r="M67" s="97" t="str">
        <f t="shared" si="16"/>
        <v/>
      </c>
      <c r="N67" s="97" t="str">
        <f t="shared" si="14"/>
        <v/>
      </c>
      <c r="O67" s="8" t="str">
        <f t="shared" si="18"/>
        <v/>
      </c>
      <c r="P67" s="31" t="str">
        <f t="shared" si="19"/>
        <v/>
      </c>
      <c r="Q67" s="11" t="str">
        <f t="shared" si="20"/>
        <v/>
      </c>
      <c r="R67" s="31" t="str">
        <f t="shared" si="21"/>
        <v/>
      </c>
      <c r="S67" s="8" t="str">
        <f t="shared" si="28"/>
        <v/>
      </c>
    </row>
    <row r="68" spans="2:19" x14ac:dyDescent="0.3">
      <c r="B68" s="97" t="str">
        <f t="shared" si="22"/>
        <v/>
      </c>
      <c r="C68" s="97" t="str">
        <f t="shared" si="15"/>
        <v/>
      </c>
      <c r="D68" s="97" t="str">
        <f t="shared" si="12"/>
        <v/>
      </c>
      <c r="E68" s="8" t="str">
        <f t="shared" si="23"/>
        <v/>
      </c>
      <c r="F68" s="31" t="str">
        <f t="shared" si="24"/>
        <v/>
      </c>
      <c r="G68" s="11" t="str">
        <f t="shared" si="25"/>
        <v/>
      </c>
      <c r="H68" s="30" t="str">
        <f t="shared" si="26"/>
        <v/>
      </c>
      <c r="I68" s="32" t="str">
        <f t="shared" si="13"/>
        <v/>
      </c>
      <c r="J68" s="8" t="str">
        <f t="shared" si="27"/>
        <v/>
      </c>
      <c r="K68" s="21"/>
      <c r="L68" s="97" t="str">
        <f t="shared" si="17"/>
        <v/>
      </c>
      <c r="M68" s="97" t="str">
        <f t="shared" si="16"/>
        <v/>
      </c>
      <c r="N68" s="97" t="str">
        <f t="shared" si="14"/>
        <v/>
      </c>
      <c r="O68" s="8" t="str">
        <f t="shared" si="18"/>
        <v/>
      </c>
      <c r="P68" s="31" t="str">
        <f t="shared" si="19"/>
        <v/>
      </c>
      <c r="Q68" s="11" t="str">
        <f t="shared" si="20"/>
        <v/>
      </c>
      <c r="R68" s="31" t="str">
        <f t="shared" si="21"/>
        <v/>
      </c>
      <c r="S68" s="8" t="str">
        <f t="shared" si="28"/>
        <v/>
      </c>
    </row>
    <row r="69" spans="2:19" x14ac:dyDescent="0.3">
      <c r="B69" s="97" t="str">
        <f t="shared" si="22"/>
        <v/>
      </c>
      <c r="C69" s="97" t="str">
        <f t="shared" si="15"/>
        <v/>
      </c>
      <c r="D69" s="97" t="str">
        <f t="shared" si="12"/>
        <v/>
      </c>
      <c r="E69" s="8" t="str">
        <f t="shared" si="23"/>
        <v/>
      </c>
      <c r="F69" s="31" t="str">
        <f t="shared" si="24"/>
        <v/>
      </c>
      <c r="G69" s="11" t="str">
        <f t="shared" si="25"/>
        <v/>
      </c>
      <c r="H69" s="30" t="str">
        <f t="shared" si="26"/>
        <v/>
      </c>
      <c r="I69" s="32" t="str">
        <f t="shared" si="13"/>
        <v/>
      </c>
      <c r="J69" s="8" t="str">
        <f t="shared" si="27"/>
        <v/>
      </c>
      <c r="K69" s="21"/>
      <c r="L69" s="97" t="str">
        <f t="shared" si="17"/>
        <v/>
      </c>
      <c r="M69" s="97" t="str">
        <f t="shared" si="16"/>
        <v/>
      </c>
      <c r="N69" s="97" t="str">
        <f t="shared" si="14"/>
        <v/>
      </c>
      <c r="O69" s="8" t="str">
        <f t="shared" si="18"/>
        <v/>
      </c>
      <c r="P69" s="31" t="str">
        <f t="shared" si="19"/>
        <v/>
      </c>
      <c r="Q69" s="11" t="str">
        <f t="shared" si="20"/>
        <v/>
      </c>
      <c r="R69" s="31" t="str">
        <f t="shared" si="21"/>
        <v/>
      </c>
      <c r="S69" s="8" t="str">
        <f t="shared" si="28"/>
        <v/>
      </c>
    </row>
    <row r="70" spans="2:19" x14ac:dyDescent="0.3">
      <c r="B70" s="97" t="str">
        <f t="shared" si="22"/>
        <v/>
      </c>
      <c r="C70" s="97" t="str">
        <f t="shared" si="15"/>
        <v/>
      </c>
      <c r="D70" s="97" t="str">
        <f t="shared" si="12"/>
        <v/>
      </c>
      <c r="E70" s="8" t="str">
        <f t="shared" si="23"/>
        <v/>
      </c>
      <c r="F70" s="31" t="str">
        <f t="shared" si="24"/>
        <v/>
      </c>
      <c r="G70" s="11" t="str">
        <f t="shared" si="25"/>
        <v/>
      </c>
      <c r="H70" s="30" t="str">
        <f t="shared" si="26"/>
        <v/>
      </c>
      <c r="I70" s="32" t="str">
        <f t="shared" si="13"/>
        <v/>
      </c>
      <c r="J70" s="8" t="str">
        <f t="shared" si="27"/>
        <v/>
      </c>
      <c r="K70" s="21"/>
      <c r="L70" s="97" t="str">
        <f t="shared" si="17"/>
        <v/>
      </c>
      <c r="M70" s="97" t="str">
        <f t="shared" si="16"/>
        <v/>
      </c>
      <c r="N70" s="97" t="str">
        <f t="shared" si="14"/>
        <v/>
      </c>
      <c r="O70" s="8" t="str">
        <f t="shared" si="18"/>
        <v/>
      </c>
      <c r="P70" s="31" t="str">
        <f t="shared" si="19"/>
        <v/>
      </c>
      <c r="Q70" s="11" t="str">
        <f t="shared" si="20"/>
        <v/>
      </c>
      <c r="R70" s="31" t="str">
        <f t="shared" si="21"/>
        <v/>
      </c>
      <c r="S70" s="8" t="str">
        <f t="shared" si="28"/>
        <v/>
      </c>
    </row>
    <row r="71" spans="2:19" x14ac:dyDescent="0.3">
      <c r="B71" s="97" t="str">
        <f t="shared" si="22"/>
        <v/>
      </c>
      <c r="C71" s="97" t="str">
        <f t="shared" si="15"/>
        <v/>
      </c>
      <c r="D71" s="97" t="str">
        <f t="shared" si="12"/>
        <v/>
      </c>
      <c r="E71" s="8" t="str">
        <f t="shared" si="23"/>
        <v/>
      </c>
      <c r="F71" s="31" t="str">
        <f t="shared" si="24"/>
        <v/>
      </c>
      <c r="G71" s="11" t="str">
        <f t="shared" si="25"/>
        <v/>
      </c>
      <c r="H71" s="30" t="str">
        <f t="shared" si="26"/>
        <v/>
      </c>
      <c r="I71" s="32" t="str">
        <f t="shared" si="13"/>
        <v/>
      </c>
      <c r="J71" s="8" t="str">
        <f t="shared" si="27"/>
        <v/>
      </c>
      <c r="K71" s="21"/>
      <c r="L71" s="97" t="str">
        <f t="shared" si="17"/>
        <v/>
      </c>
      <c r="M71" s="97" t="str">
        <f t="shared" si="16"/>
        <v/>
      </c>
      <c r="N71" s="97" t="str">
        <f t="shared" si="14"/>
        <v/>
      </c>
      <c r="O71" s="8" t="str">
        <f t="shared" si="18"/>
        <v/>
      </c>
      <c r="P71" s="31" t="str">
        <f t="shared" si="19"/>
        <v/>
      </c>
      <c r="Q71" s="11" t="str">
        <f t="shared" si="20"/>
        <v/>
      </c>
      <c r="R71" s="31" t="str">
        <f t="shared" si="21"/>
        <v/>
      </c>
      <c r="S71" s="8" t="str">
        <f t="shared" si="28"/>
        <v/>
      </c>
    </row>
    <row r="72" spans="2:19" x14ac:dyDescent="0.3">
      <c r="B72" s="97" t="str">
        <f t="shared" si="22"/>
        <v/>
      </c>
      <c r="C72" s="97" t="str">
        <f t="shared" si="15"/>
        <v/>
      </c>
      <c r="D72" s="97" t="str">
        <f t="shared" si="12"/>
        <v/>
      </c>
      <c r="E72" s="8" t="str">
        <f t="shared" si="23"/>
        <v/>
      </c>
      <c r="F72" s="31" t="str">
        <f t="shared" si="24"/>
        <v/>
      </c>
      <c r="G72" s="11" t="str">
        <f t="shared" si="25"/>
        <v/>
      </c>
      <c r="H72" s="30" t="str">
        <f t="shared" si="26"/>
        <v/>
      </c>
      <c r="I72" s="32" t="str">
        <f t="shared" si="13"/>
        <v/>
      </c>
      <c r="J72" s="8" t="str">
        <f t="shared" si="27"/>
        <v/>
      </c>
      <c r="K72" s="21"/>
      <c r="L72" s="97" t="str">
        <f t="shared" si="17"/>
        <v/>
      </c>
      <c r="M72" s="97" t="str">
        <f t="shared" si="16"/>
        <v/>
      </c>
      <c r="N72" s="97" t="str">
        <f t="shared" si="14"/>
        <v/>
      </c>
      <c r="O72" s="8" t="str">
        <f t="shared" si="18"/>
        <v/>
      </c>
      <c r="P72" s="31" t="str">
        <f t="shared" si="19"/>
        <v/>
      </c>
      <c r="Q72" s="11" t="str">
        <f t="shared" si="20"/>
        <v/>
      </c>
      <c r="R72" s="31" t="str">
        <f t="shared" si="21"/>
        <v/>
      </c>
      <c r="S72" s="8" t="str">
        <f t="shared" si="28"/>
        <v/>
      </c>
    </row>
    <row r="73" spans="2:19" x14ac:dyDescent="0.3">
      <c r="B73" s="97" t="str">
        <f t="shared" si="22"/>
        <v/>
      </c>
      <c r="C73" s="97" t="str">
        <f t="shared" si="15"/>
        <v/>
      </c>
      <c r="D73" s="97" t="str">
        <f t="shared" si="12"/>
        <v/>
      </c>
      <c r="E73" s="8" t="str">
        <f t="shared" si="23"/>
        <v/>
      </c>
      <c r="F73" s="31" t="str">
        <f t="shared" si="24"/>
        <v/>
      </c>
      <c r="G73" s="11" t="str">
        <f t="shared" si="25"/>
        <v/>
      </c>
      <c r="H73" s="30" t="str">
        <f t="shared" si="26"/>
        <v/>
      </c>
      <c r="I73" s="32" t="str">
        <f t="shared" si="13"/>
        <v/>
      </c>
      <c r="J73" s="8" t="str">
        <f t="shared" si="27"/>
        <v/>
      </c>
      <c r="K73" s="21"/>
      <c r="L73" s="97" t="str">
        <f t="shared" si="17"/>
        <v/>
      </c>
      <c r="M73" s="97" t="str">
        <f t="shared" si="16"/>
        <v/>
      </c>
      <c r="N73" s="97" t="str">
        <f t="shared" si="14"/>
        <v/>
      </c>
      <c r="O73" s="8" t="str">
        <f t="shared" si="18"/>
        <v/>
      </c>
      <c r="P73" s="31" t="str">
        <f t="shared" si="19"/>
        <v/>
      </c>
      <c r="Q73" s="11" t="str">
        <f t="shared" si="20"/>
        <v/>
      </c>
      <c r="R73" s="31" t="str">
        <f t="shared" si="21"/>
        <v/>
      </c>
      <c r="S73" s="8" t="str">
        <f t="shared" si="28"/>
        <v/>
      </c>
    </row>
    <row r="74" spans="2:19" x14ac:dyDescent="0.3">
      <c r="B74" s="97" t="str">
        <f t="shared" si="22"/>
        <v/>
      </c>
      <c r="C74" s="97" t="str">
        <f t="shared" si="15"/>
        <v/>
      </c>
      <c r="D74" s="97" t="str">
        <f t="shared" si="12"/>
        <v/>
      </c>
      <c r="E74" s="8" t="str">
        <f t="shared" si="23"/>
        <v/>
      </c>
      <c r="F74" s="31" t="str">
        <f t="shared" si="24"/>
        <v/>
      </c>
      <c r="G74" s="11" t="str">
        <f t="shared" si="25"/>
        <v/>
      </c>
      <c r="H74" s="30" t="str">
        <f t="shared" si="26"/>
        <v/>
      </c>
      <c r="I74" s="32" t="str">
        <f t="shared" si="13"/>
        <v/>
      </c>
      <c r="J74" s="8" t="str">
        <f t="shared" si="27"/>
        <v/>
      </c>
      <c r="K74" s="21"/>
      <c r="L74" s="97" t="str">
        <f t="shared" si="17"/>
        <v/>
      </c>
      <c r="M74" s="97" t="str">
        <f t="shared" si="16"/>
        <v/>
      </c>
      <c r="N74" s="97" t="str">
        <f t="shared" si="14"/>
        <v/>
      </c>
      <c r="O74" s="8" t="str">
        <f t="shared" si="18"/>
        <v/>
      </c>
      <c r="P74" s="31" t="str">
        <f t="shared" si="19"/>
        <v/>
      </c>
      <c r="Q74" s="11" t="str">
        <f t="shared" si="20"/>
        <v/>
      </c>
      <c r="R74" s="31" t="str">
        <f t="shared" si="21"/>
        <v/>
      </c>
      <c r="S74" s="8" t="str">
        <f t="shared" si="28"/>
        <v/>
      </c>
    </row>
    <row r="75" spans="2:19" x14ac:dyDescent="0.3">
      <c r="B75" s="97" t="str">
        <f t="shared" si="22"/>
        <v/>
      </c>
      <c r="C75" s="97" t="str">
        <f t="shared" si="15"/>
        <v/>
      </c>
      <c r="D75" s="97" t="str">
        <f t="shared" si="12"/>
        <v/>
      </c>
      <c r="E75" s="8" t="str">
        <f t="shared" si="23"/>
        <v/>
      </c>
      <c r="F75" s="31" t="str">
        <f t="shared" si="24"/>
        <v/>
      </c>
      <c r="G75" s="11" t="str">
        <f t="shared" si="25"/>
        <v/>
      </c>
      <c r="H75" s="30" t="str">
        <f t="shared" si="26"/>
        <v/>
      </c>
      <c r="I75" s="32" t="str">
        <f t="shared" si="13"/>
        <v/>
      </c>
      <c r="J75" s="8" t="str">
        <f t="shared" si="27"/>
        <v/>
      </c>
      <c r="K75" s="21"/>
      <c r="L75" s="97" t="str">
        <f t="shared" si="17"/>
        <v/>
      </c>
      <c r="M75" s="97" t="str">
        <f t="shared" si="16"/>
        <v/>
      </c>
      <c r="N75" s="97" t="str">
        <f t="shared" si="14"/>
        <v/>
      </c>
      <c r="O75" s="8" t="str">
        <f t="shared" si="18"/>
        <v/>
      </c>
      <c r="P75" s="31" t="str">
        <f t="shared" si="19"/>
        <v/>
      </c>
      <c r="Q75" s="11" t="str">
        <f t="shared" si="20"/>
        <v/>
      </c>
      <c r="R75" s="31" t="str">
        <f t="shared" si="21"/>
        <v/>
      </c>
      <c r="S75" s="8" t="str">
        <f t="shared" si="28"/>
        <v/>
      </c>
    </row>
    <row r="76" spans="2:19" x14ac:dyDescent="0.3">
      <c r="B76" s="97" t="str">
        <f t="shared" si="22"/>
        <v/>
      </c>
      <c r="C76" s="97" t="str">
        <f t="shared" si="15"/>
        <v/>
      </c>
      <c r="D76" s="97" t="str">
        <f t="shared" si="12"/>
        <v/>
      </c>
      <c r="E76" s="8" t="str">
        <f t="shared" si="23"/>
        <v/>
      </c>
      <c r="F76" s="31" t="str">
        <f t="shared" si="24"/>
        <v/>
      </c>
      <c r="G76" s="11" t="str">
        <f t="shared" si="25"/>
        <v/>
      </c>
      <c r="H76" s="30" t="str">
        <f t="shared" si="26"/>
        <v/>
      </c>
      <c r="I76" s="32" t="str">
        <f t="shared" si="13"/>
        <v/>
      </c>
      <c r="J76" s="8" t="str">
        <f t="shared" si="27"/>
        <v/>
      </c>
      <c r="K76" s="21"/>
      <c r="L76" s="97" t="str">
        <f t="shared" si="17"/>
        <v/>
      </c>
      <c r="M76" s="97" t="str">
        <f t="shared" si="16"/>
        <v/>
      </c>
      <c r="N76" s="97" t="str">
        <f t="shared" si="14"/>
        <v/>
      </c>
      <c r="O76" s="8" t="str">
        <f t="shared" si="18"/>
        <v/>
      </c>
      <c r="P76" s="31" t="str">
        <f t="shared" si="19"/>
        <v/>
      </c>
      <c r="Q76" s="11" t="str">
        <f t="shared" si="20"/>
        <v/>
      </c>
      <c r="R76" s="31" t="str">
        <f t="shared" si="21"/>
        <v/>
      </c>
      <c r="S76" s="8" t="str">
        <f t="shared" si="28"/>
        <v/>
      </c>
    </row>
    <row r="77" spans="2:19" x14ac:dyDescent="0.3">
      <c r="B77" s="97" t="str">
        <f t="shared" si="22"/>
        <v/>
      </c>
      <c r="C77" s="97" t="str">
        <f t="shared" si="15"/>
        <v/>
      </c>
      <c r="D77" s="97" t="str">
        <f t="shared" si="12"/>
        <v/>
      </c>
      <c r="E77" s="8" t="str">
        <f t="shared" si="23"/>
        <v/>
      </c>
      <c r="F77" s="31" t="str">
        <f t="shared" si="24"/>
        <v/>
      </c>
      <c r="G77" s="11" t="str">
        <f t="shared" si="25"/>
        <v/>
      </c>
      <c r="H77" s="30" t="str">
        <f t="shared" si="26"/>
        <v/>
      </c>
      <c r="I77" s="32" t="str">
        <f t="shared" si="13"/>
        <v/>
      </c>
      <c r="J77" s="8" t="str">
        <f t="shared" si="27"/>
        <v/>
      </c>
      <c r="K77" s="21"/>
      <c r="L77" s="97" t="str">
        <f t="shared" si="17"/>
        <v/>
      </c>
      <c r="M77" s="97" t="str">
        <f t="shared" si="16"/>
        <v/>
      </c>
      <c r="N77" s="97" t="str">
        <f t="shared" si="14"/>
        <v/>
      </c>
      <c r="O77" s="8" t="str">
        <f t="shared" si="18"/>
        <v/>
      </c>
      <c r="P77" s="31" t="str">
        <f t="shared" si="19"/>
        <v/>
      </c>
      <c r="Q77" s="11" t="str">
        <f t="shared" si="20"/>
        <v/>
      </c>
      <c r="R77" s="31" t="str">
        <f t="shared" si="21"/>
        <v/>
      </c>
      <c r="S77" s="8" t="str">
        <f t="shared" si="28"/>
        <v/>
      </c>
    </row>
    <row r="78" spans="2:19" x14ac:dyDescent="0.3">
      <c r="B78" s="97" t="str">
        <f t="shared" si="22"/>
        <v/>
      </c>
      <c r="C78" s="97" t="str">
        <f t="shared" si="15"/>
        <v/>
      </c>
      <c r="D78" s="97" t="str">
        <f t="shared" si="12"/>
        <v/>
      </c>
      <c r="E78" s="8" t="str">
        <f t="shared" si="23"/>
        <v/>
      </c>
      <c r="F78" s="31" t="str">
        <f t="shared" si="24"/>
        <v/>
      </c>
      <c r="G78" s="11" t="str">
        <f t="shared" si="25"/>
        <v/>
      </c>
      <c r="H78" s="30" t="str">
        <f t="shared" si="26"/>
        <v/>
      </c>
      <c r="I78" s="32" t="str">
        <f t="shared" si="13"/>
        <v/>
      </c>
      <c r="J78" s="8" t="str">
        <f t="shared" si="27"/>
        <v/>
      </c>
      <c r="K78" s="21"/>
      <c r="L78" s="97" t="str">
        <f t="shared" si="17"/>
        <v/>
      </c>
      <c r="M78" s="97" t="str">
        <f t="shared" si="16"/>
        <v/>
      </c>
      <c r="N78" s="97" t="str">
        <f t="shared" si="14"/>
        <v/>
      </c>
      <c r="O78" s="8" t="str">
        <f t="shared" si="18"/>
        <v/>
      </c>
      <c r="P78" s="31" t="str">
        <f t="shared" si="19"/>
        <v/>
      </c>
      <c r="Q78" s="11" t="str">
        <f t="shared" si="20"/>
        <v/>
      </c>
      <c r="R78" s="31" t="str">
        <f t="shared" si="21"/>
        <v/>
      </c>
      <c r="S78" s="8" t="str">
        <f t="shared" si="28"/>
        <v/>
      </c>
    </row>
    <row r="79" spans="2:19" x14ac:dyDescent="0.3">
      <c r="B79" s="97" t="str">
        <f t="shared" si="22"/>
        <v/>
      </c>
      <c r="C79" s="97" t="str">
        <f t="shared" si="15"/>
        <v/>
      </c>
      <c r="D79" s="97" t="str">
        <f t="shared" si="12"/>
        <v/>
      </c>
      <c r="E79" s="8" t="str">
        <f t="shared" si="23"/>
        <v/>
      </c>
      <c r="F79" s="31" t="str">
        <f t="shared" si="24"/>
        <v/>
      </c>
      <c r="G79" s="11" t="str">
        <f t="shared" si="25"/>
        <v/>
      </c>
      <c r="H79" s="30" t="str">
        <f t="shared" si="26"/>
        <v/>
      </c>
      <c r="I79" s="32" t="str">
        <f t="shared" si="13"/>
        <v/>
      </c>
      <c r="J79" s="8" t="str">
        <f t="shared" si="27"/>
        <v/>
      </c>
      <c r="K79" s="21"/>
      <c r="L79" s="97" t="str">
        <f t="shared" si="17"/>
        <v/>
      </c>
      <c r="M79" s="97" t="str">
        <f t="shared" si="16"/>
        <v/>
      </c>
      <c r="N79" s="97" t="str">
        <f t="shared" si="14"/>
        <v/>
      </c>
      <c r="O79" s="8" t="str">
        <f t="shared" si="18"/>
        <v/>
      </c>
      <c r="P79" s="31" t="str">
        <f t="shared" si="19"/>
        <v/>
      </c>
      <c r="Q79" s="11" t="str">
        <f t="shared" si="20"/>
        <v/>
      </c>
      <c r="R79" s="31" t="str">
        <f t="shared" si="21"/>
        <v/>
      </c>
      <c r="S79" s="8" t="str">
        <f t="shared" si="28"/>
        <v/>
      </c>
    </row>
    <row r="80" spans="2:19" x14ac:dyDescent="0.3">
      <c r="B80" s="97" t="str">
        <f t="shared" si="22"/>
        <v/>
      </c>
      <c r="C80" s="97" t="str">
        <f t="shared" si="15"/>
        <v/>
      </c>
      <c r="D80" s="97" t="str">
        <f t="shared" si="12"/>
        <v/>
      </c>
      <c r="E80" s="8" t="str">
        <f t="shared" si="23"/>
        <v/>
      </c>
      <c r="F80" s="31" t="str">
        <f t="shared" si="24"/>
        <v/>
      </c>
      <c r="G80" s="11" t="str">
        <f t="shared" si="25"/>
        <v/>
      </c>
      <c r="H80" s="30" t="str">
        <f t="shared" si="26"/>
        <v/>
      </c>
      <c r="I80" s="32" t="str">
        <f t="shared" si="13"/>
        <v/>
      </c>
      <c r="J80" s="8" t="str">
        <f t="shared" si="27"/>
        <v/>
      </c>
      <c r="K80" s="21"/>
      <c r="L80" s="97" t="str">
        <f t="shared" si="17"/>
        <v/>
      </c>
      <c r="M80" s="97" t="str">
        <f t="shared" si="16"/>
        <v/>
      </c>
      <c r="N80" s="97" t="str">
        <f t="shared" si="14"/>
        <v/>
      </c>
      <c r="O80" s="8" t="str">
        <f t="shared" si="18"/>
        <v/>
      </c>
      <c r="P80" s="31" t="str">
        <f t="shared" si="19"/>
        <v/>
      </c>
      <c r="Q80" s="11" t="str">
        <f t="shared" si="20"/>
        <v/>
      </c>
      <c r="R80" s="31" t="str">
        <f t="shared" si="21"/>
        <v/>
      </c>
      <c r="S80" s="8" t="str">
        <f t="shared" si="28"/>
        <v/>
      </c>
    </row>
    <row r="81" spans="2:19" x14ac:dyDescent="0.3">
      <c r="B81" s="97" t="str">
        <f t="shared" si="22"/>
        <v/>
      </c>
      <c r="C81" s="97" t="str">
        <f t="shared" si="15"/>
        <v/>
      </c>
      <c r="D81" s="97" t="str">
        <f t="shared" si="12"/>
        <v/>
      </c>
      <c r="E81" s="8" t="str">
        <f t="shared" si="23"/>
        <v/>
      </c>
      <c r="F81" s="31" t="str">
        <f t="shared" si="24"/>
        <v/>
      </c>
      <c r="G81" s="11" t="str">
        <f t="shared" si="25"/>
        <v/>
      </c>
      <c r="H81" s="30" t="str">
        <f t="shared" si="26"/>
        <v/>
      </c>
      <c r="I81" s="32" t="str">
        <f t="shared" si="13"/>
        <v/>
      </c>
      <c r="J81" s="8" t="str">
        <f t="shared" si="27"/>
        <v/>
      </c>
      <c r="K81" s="21"/>
      <c r="L81" s="97" t="str">
        <f t="shared" si="17"/>
        <v/>
      </c>
      <c r="M81" s="97" t="str">
        <f t="shared" si="16"/>
        <v/>
      </c>
      <c r="N81" s="97" t="str">
        <f t="shared" si="14"/>
        <v/>
      </c>
      <c r="O81" s="8" t="str">
        <f t="shared" si="18"/>
        <v/>
      </c>
      <c r="P81" s="31" t="str">
        <f t="shared" si="19"/>
        <v/>
      </c>
      <c r="Q81" s="11" t="str">
        <f t="shared" si="20"/>
        <v/>
      </c>
      <c r="R81" s="31" t="str">
        <f t="shared" si="21"/>
        <v/>
      </c>
      <c r="S81" s="8" t="str">
        <f t="shared" si="28"/>
        <v/>
      </c>
    </row>
    <row r="82" spans="2:19" x14ac:dyDescent="0.3">
      <c r="B82" s="97" t="str">
        <f t="shared" si="22"/>
        <v/>
      </c>
      <c r="C82" s="97" t="str">
        <f t="shared" si="15"/>
        <v/>
      </c>
      <c r="D82" s="97" t="str">
        <f t="shared" si="12"/>
        <v/>
      </c>
      <c r="E82" s="8" t="str">
        <f t="shared" si="23"/>
        <v/>
      </c>
      <c r="F82" s="31" t="str">
        <f t="shared" si="24"/>
        <v/>
      </c>
      <c r="G82" s="11" t="str">
        <f t="shared" si="25"/>
        <v/>
      </c>
      <c r="H82" s="30" t="str">
        <f t="shared" si="26"/>
        <v/>
      </c>
      <c r="I82" s="32" t="str">
        <f t="shared" si="13"/>
        <v/>
      </c>
      <c r="J82" s="8" t="str">
        <f t="shared" si="27"/>
        <v/>
      </c>
      <c r="K82" s="21"/>
      <c r="L82" s="97" t="str">
        <f t="shared" si="17"/>
        <v/>
      </c>
      <c r="M82" s="97" t="str">
        <f t="shared" si="16"/>
        <v/>
      </c>
      <c r="N82" s="97" t="str">
        <f t="shared" si="14"/>
        <v/>
      </c>
      <c r="O82" s="8" t="str">
        <f t="shared" si="18"/>
        <v/>
      </c>
      <c r="P82" s="31" t="str">
        <f t="shared" si="19"/>
        <v/>
      </c>
      <c r="Q82" s="11" t="str">
        <f t="shared" si="20"/>
        <v/>
      </c>
      <c r="R82" s="31" t="str">
        <f t="shared" si="21"/>
        <v/>
      </c>
      <c r="S82" s="8" t="str">
        <f t="shared" si="28"/>
        <v/>
      </c>
    </row>
    <row r="83" spans="2:19" x14ac:dyDescent="0.3">
      <c r="B83" s="97" t="str">
        <f t="shared" ref="B83:B114" si="29">IF(C83="","",C83-2)</f>
        <v/>
      </c>
      <c r="C83" s="97" t="str">
        <f t="shared" si="15"/>
        <v/>
      </c>
      <c r="D83" s="97" t="str">
        <f t="shared" si="12"/>
        <v/>
      </c>
      <c r="E83" s="8" t="str">
        <f t="shared" ref="E83:E114" si="30">IF(B83="","",IF($C$9="30/360",DAYS360(C83,D83)/360,IF($C$9="ACT/360",(D83-C83)/360,IF($C$9="ACT/365",(D83-C83)/365))))</f>
        <v/>
      </c>
      <c r="F83" s="31" t="str">
        <f t="shared" ref="F83:F114" si="31">IF(B83="","",$F$2)</f>
        <v/>
      </c>
      <c r="G83" s="11" t="str">
        <f t="shared" ref="G83:G114" si="32">IF(B83="","",$C$10/10000)</f>
        <v/>
      </c>
      <c r="H83" s="30" t="str">
        <f t="shared" ref="H83:H114" si="33">IF(B83="","",(DF(C83-$C$2,Maturities,ZcRates)/DF(D83-$C$2,Maturities,ZcRates)-1)/E83)</f>
        <v/>
      </c>
      <c r="I83" s="32" t="str">
        <f t="shared" si="13"/>
        <v/>
      </c>
      <c r="J83" s="8" t="str">
        <f t="shared" ref="J83:J114" si="34">IF(B83="","",DF(D83-$C$2,Maturities,ZcRates))</f>
        <v/>
      </c>
      <c r="K83" s="21"/>
      <c r="L83" s="97" t="str">
        <f t="shared" si="17"/>
        <v/>
      </c>
      <c r="M83" s="97" t="str">
        <f t="shared" si="16"/>
        <v/>
      </c>
      <c r="N83" s="97" t="str">
        <f t="shared" si="14"/>
        <v/>
      </c>
      <c r="O83" s="8" t="str">
        <f t="shared" si="18"/>
        <v/>
      </c>
      <c r="P83" s="31" t="str">
        <f t="shared" si="19"/>
        <v/>
      </c>
      <c r="Q83" s="11" t="str">
        <f t="shared" si="20"/>
        <v/>
      </c>
      <c r="R83" s="31" t="str">
        <f t="shared" si="21"/>
        <v/>
      </c>
      <c r="S83" s="8" t="str">
        <f t="shared" ref="S83:S114" si="35">IF(L83="","",DF(N83-$C$2,Maturities,ZcRates))</f>
        <v/>
      </c>
    </row>
    <row r="84" spans="2:19" x14ac:dyDescent="0.3">
      <c r="B84" s="97" t="str">
        <f t="shared" si="29"/>
        <v/>
      </c>
      <c r="C84" s="97" t="str">
        <f t="shared" si="15"/>
        <v/>
      </c>
      <c r="D84" s="97" t="str">
        <f t="shared" ref="D84:D138" si="36">IF(C84="","",IF(DATE(YEAR(C84),MONTH(C84)+$AG$1,DAY(C84))&lt;=$C$7,DATE(YEAR(C84),MONTH(C84)+$AG$1,DAY(C84)),$C$7))</f>
        <v/>
      </c>
      <c r="E84" s="8" t="str">
        <f t="shared" si="30"/>
        <v/>
      </c>
      <c r="F84" s="31" t="str">
        <f t="shared" si="31"/>
        <v/>
      </c>
      <c r="G84" s="11" t="str">
        <f t="shared" si="32"/>
        <v/>
      </c>
      <c r="H84" s="30" t="str">
        <f t="shared" si="33"/>
        <v/>
      </c>
      <c r="I84" s="32" t="str">
        <f t="shared" ref="I84:I138" si="37">IF(B84="","",E84*(H84+G84)*F84)</f>
        <v/>
      </c>
      <c r="J84" s="8" t="str">
        <f t="shared" si="34"/>
        <v/>
      </c>
      <c r="K84" s="21"/>
      <c r="L84" s="97" t="str">
        <f t="shared" si="17"/>
        <v/>
      </c>
      <c r="M84" s="97" t="str">
        <f t="shared" si="16"/>
        <v/>
      </c>
      <c r="N84" s="97" t="str">
        <f t="shared" ref="N84:N138" si="38">IF(M84="","",IF(DATE(YEAR(M84),MONTH(M84)+$AG$2,DAY(M84))&lt;=$F$7,DATE(YEAR(M84),MONTH(M84)+$AG$2,DAY(M84)),$F$7))</f>
        <v/>
      </c>
      <c r="O84" s="8" t="str">
        <f t="shared" si="18"/>
        <v/>
      </c>
      <c r="P84" s="31" t="str">
        <f t="shared" si="19"/>
        <v/>
      </c>
      <c r="Q84" s="11" t="str">
        <f t="shared" si="20"/>
        <v/>
      </c>
      <c r="R84" s="31" t="str">
        <f t="shared" si="21"/>
        <v/>
      </c>
      <c r="S84" s="8" t="str">
        <f t="shared" si="35"/>
        <v/>
      </c>
    </row>
    <row r="85" spans="2:19" x14ac:dyDescent="0.3">
      <c r="B85" s="97" t="str">
        <f t="shared" si="29"/>
        <v/>
      </c>
      <c r="C85" s="97" t="str">
        <f t="shared" ref="C85:C138" si="39">IF(OR(D84&gt;=$C$7,D84=""),"",D84)</f>
        <v/>
      </c>
      <c r="D85" s="97" t="str">
        <f t="shared" si="36"/>
        <v/>
      </c>
      <c r="E85" s="8" t="str">
        <f t="shared" si="30"/>
        <v/>
      </c>
      <c r="F85" s="31" t="str">
        <f t="shared" si="31"/>
        <v/>
      </c>
      <c r="G85" s="11" t="str">
        <f t="shared" si="32"/>
        <v/>
      </c>
      <c r="H85" s="30" t="str">
        <f t="shared" si="33"/>
        <v/>
      </c>
      <c r="I85" s="32" t="str">
        <f t="shared" si="37"/>
        <v/>
      </c>
      <c r="J85" s="8" t="str">
        <f t="shared" si="34"/>
        <v/>
      </c>
      <c r="K85" s="21"/>
      <c r="L85" s="97" t="str">
        <f t="shared" si="17"/>
        <v/>
      </c>
      <c r="M85" s="97" t="str">
        <f t="shared" ref="M85:M138" si="40">IF(OR(N84&gt;=$F$7,N84=""),"",N84)</f>
        <v/>
      </c>
      <c r="N85" s="97" t="str">
        <f t="shared" si="38"/>
        <v/>
      </c>
      <c r="O85" s="8" t="str">
        <f t="shared" si="18"/>
        <v/>
      </c>
      <c r="P85" s="31" t="str">
        <f t="shared" si="19"/>
        <v/>
      </c>
      <c r="Q85" s="11" t="str">
        <f t="shared" si="20"/>
        <v/>
      </c>
      <c r="R85" s="31" t="str">
        <f t="shared" si="21"/>
        <v/>
      </c>
      <c r="S85" s="8" t="str">
        <f t="shared" si="35"/>
        <v/>
      </c>
    </row>
    <row r="86" spans="2:19" x14ac:dyDescent="0.3">
      <c r="B86" s="97" t="str">
        <f t="shared" si="29"/>
        <v/>
      </c>
      <c r="C86" s="97" t="str">
        <f t="shared" si="39"/>
        <v/>
      </c>
      <c r="D86" s="97" t="str">
        <f t="shared" si="36"/>
        <v/>
      </c>
      <c r="E86" s="8" t="str">
        <f t="shared" si="30"/>
        <v/>
      </c>
      <c r="F86" s="31" t="str">
        <f t="shared" si="31"/>
        <v/>
      </c>
      <c r="G86" s="11" t="str">
        <f t="shared" si="32"/>
        <v/>
      </c>
      <c r="H86" s="30" t="str">
        <f t="shared" si="33"/>
        <v/>
      </c>
      <c r="I86" s="32" t="str">
        <f t="shared" si="37"/>
        <v/>
      </c>
      <c r="J86" s="8" t="str">
        <f t="shared" si="34"/>
        <v/>
      </c>
      <c r="K86" s="21"/>
      <c r="L86" s="97" t="str">
        <f t="shared" si="17"/>
        <v/>
      </c>
      <c r="M86" s="97" t="str">
        <f t="shared" si="40"/>
        <v/>
      </c>
      <c r="N86" s="97" t="str">
        <f t="shared" si="38"/>
        <v/>
      </c>
      <c r="O86" s="8" t="str">
        <f t="shared" si="18"/>
        <v/>
      </c>
      <c r="P86" s="31" t="str">
        <f t="shared" si="19"/>
        <v/>
      </c>
      <c r="Q86" s="11" t="str">
        <f t="shared" si="20"/>
        <v/>
      </c>
      <c r="R86" s="31" t="str">
        <f t="shared" si="21"/>
        <v/>
      </c>
      <c r="S86" s="8" t="str">
        <f t="shared" si="35"/>
        <v/>
      </c>
    </row>
    <row r="87" spans="2:19" x14ac:dyDescent="0.3">
      <c r="B87" s="97" t="str">
        <f t="shared" si="29"/>
        <v/>
      </c>
      <c r="C87" s="97" t="str">
        <f t="shared" si="39"/>
        <v/>
      </c>
      <c r="D87" s="97" t="str">
        <f t="shared" si="36"/>
        <v/>
      </c>
      <c r="E87" s="8" t="str">
        <f t="shared" si="30"/>
        <v/>
      </c>
      <c r="F87" s="31" t="str">
        <f t="shared" si="31"/>
        <v/>
      </c>
      <c r="G87" s="11" t="str">
        <f t="shared" si="32"/>
        <v/>
      </c>
      <c r="H87" s="30" t="str">
        <f t="shared" si="33"/>
        <v/>
      </c>
      <c r="I87" s="32" t="str">
        <f t="shared" si="37"/>
        <v/>
      </c>
      <c r="J87" s="8" t="str">
        <f t="shared" si="34"/>
        <v/>
      </c>
      <c r="K87" s="21"/>
      <c r="L87" s="97" t="str">
        <f t="shared" si="17"/>
        <v/>
      </c>
      <c r="M87" s="97" t="str">
        <f t="shared" si="40"/>
        <v/>
      </c>
      <c r="N87" s="97" t="str">
        <f t="shared" si="38"/>
        <v/>
      </c>
      <c r="O87" s="8" t="str">
        <f t="shared" si="18"/>
        <v/>
      </c>
      <c r="P87" s="31" t="str">
        <f t="shared" si="19"/>
        <v/>
      </c>
      <c r="Q87" s="11" t="str">
        <f t="shared" si="20"/>
        <v/>
      </c>
      <c r="R87" s="31" t="str">
        <f t="shared" si="21"/>
        <v/>
      </c>
      <c r="S87" s="8" t="str">
        <f t="shared" si="35"/>
        <v/>
      </c>
    </row>
    <row r="88" spans="2:19" x14ac:dyDescent="0.3">
      <c r="B88" s="97" t="str">
        <f t="shared" si="29"/>
        <v/>
      </c>
      <c r="C88" s="97" t="str">
        <f t="shared" si="39"/>
        <v/>
      </c>
      <c r="D88" s="97" t="str">
        <f t="shared" si="36"/>
        <v/>
      </c>
      <c r="E88" s="8" t="str">
        <f t="shared" si="30"/>
        <v/>
      </c>
      <c r="F88" s="31" t="str">
        <f t="shared" si="31"/>
        <v/>
      </c>
      <c r="G88" s="11" t="str">
        <f t="shared" si="32"/>
        <v/>
      </c>
      <c r="H88" s="30" t="str">
        <f t="shared" si="33"/>
        <v/>
      </c>
      <c r="I88" s="32" t="str">
        <f t="shared" si="37"/>
        <v/>
      </c>
      <c r="J88" s="8" t="str">
        <f t="shared" si="34"/>
        <v/>
      </c>
      <c r="K88" s="21"/>
      <c r="L88" s="97" t="str">
        <f t="shared" si="17"/>
        <v/>
      </c>
      <c r="M88" s="97" t="str">
        <f t="shared" si="40"/>
        <v/>
      </c>
      <c r="N88" s="97" t="str">
        <f t="shared" si="38"/>
        <v/>
      </c>
      <c r="O88" s="8" t="str">
        <f t="shared" si="18"/>
        <v/>
      </c>
      <c r="P88" s="31" t="str">
        <f t="shared" si="19"/>
        <v/>
      </c>
      <c r="Q88" s="11" t="str">
        <f t="shared" si="20"/>
        <v/>
      </c>
      <c r="R88" s="31" t="str">
        <f t="shared" si="21"/>
        <v/>
      </c>
      <c r="S88" s="8" t="str">
        <f t="shared" si="35"/>
        <v/>
      </c>
    </row>
    <row r="89" spans="2:19" x14ac:dyDescent="0.3">
      <c r="B89" s="97" t="str">
        <f t="shared" si="29"/>
        <v/>
      </c>
      <c r="C89" s="97" t="str">
        <f t="shared" si="39"/>
        <v/>
      </c>
      <c r="D89" s="97" t="str">
        <f t="shared" si="36"/>
        <v/>
      </c>
      <c r="E89" s="8" t="str">
        <f t="shared" si="30"/>
        <v/>
      </c>
      <c r="F89" s="31" t="str">
        <f t="shared" si="31"/>
        <v/>
      </c>
      <c r="G89" s="11" t="str">
        <f t="shared" si="32"/>
        <v/>
      </c>
      <c r="H89" s="30" t="str">
        <f t="shared" si="33"/>
        <v/>
      </c>
      <c r="I89" s="32" t="str">
        <f t="shared" si="37"/>
        <v/>
      </c>
      <c r="J89" s="8" t="str">
        <f t="shared" si="34"/>
        <v/>
      </c>
      <c r="K89" s="21"/>
      <c r="L89" s="97" t="str">
        <f t="shared" si="17"/>
        <v/>
      </c>
      <c r="M89" s="97" t="str">
        <f t="shared" si="40"/>
        <v/>
      </c>
      <c r="N89" s="97" t="str">
        <f t="shared" si="38"/>
        <v/>
      </c>
      <c r="O89" s="8" t="str">
        <f t="shared" si="18"/>
        <v/>
      </c>
      <c r="P89" s="31" t="str">
        <f t="shared" si="19"/>
        <v/>
      </c>
      <c r="Q89" s="11" t="str">
        <f t="shared" si="20"/>
        <v/>
      </c>
      <c r="R89" s="31" t="str">
        <f t="shared" si="21"/>
        <v/>
      </c>
      <c r="S89" s="8" t="str">
        <f t="shared" si="35"/>
        <v/>
      </c>
    </row>
    <row r="90" spans="2:19" x14ac:dyDescent="0.3">
      <c r="B90" s="97" t="str">
        <f t="shared" si="29"/>
        <v/>
      </c>
      <c r="C90" s="97" t="str">
        <f t="shared" si="39"/>
        <v/>
      </c>
      <c r="D90" s="97" t="str">
        <f t="shared" si="36"/>
        <v/>
      </c>
      <c r="E90" s="8" t="str">
        <f t="shared" si="30"/>
        <v/>
      </c>
      <c r="F90" s="31" t="str">
        <f t="shared" si="31"/>
        <v/>
      </c>
      <c r="G90" s="11" t="str">
        <f t="shared" si="32"/>
        <v/>
      </c>
      <c r="H90" s="30" t="str">
        <f t="shared" si="33"/>
        <v/>
      </c>
      <c r="I90" s="32" t="str">
        <f t="shared" si="37"/>
        <v/>
      </c>
      <c r="J90" s="8" t="str">
        <f t="shared" si="34"/>
        <v/>
      </c>
      <c r="K90" s="21"/>
      <c r="L90" s="97" t="str">
        <f t="shared" si="17"/>
        <v/>
      </c>
      <c r="M90" s="97" t="str">
        <f t="shared" si="40"/>
        <v/>
      </c>
      <c r="N90" s="97" t="str">
        <f t="shared" si="38"/>
        <v/>
      </c>
      <c r="O90" s="8" t="str">
        <f t="shared" si="18"/>
        <v/>
      </c>
      <c r="P90" s="31" t="str">
        <f t="shared" si="19"/>
        <v/>
      </c>
      <c r="Q90" s="11" t="str">
        <f t="shared" si="20"/>
        <v/>
      </c>
      <c r="R90" s="31" t="str">
        <f t="shared" si="21"/>
        <v/>
      </c>
      <c r="S90" s="8" t="str">
        <f t="shared" si="35"/>
        <v/>
      </c>
    </row>
    <row r="91" spans="2:19" x14ac:dyDescent="0.3">
      <c r="B91" s="97" t="str">
        <f t="shared" si="29"/>
        <v/>
      </c>
      <c r="C91" s="97" t="str">
        <f t="shared" si="39"/>
        <v/>
      </c>
      <c r="D91" s="97" t="str">
        <f t="shared" si="36"/>
        <v/>
      </c>
      <c r="E91" s="8" t="str">
        <f t="shared" si="30"/>
        <v/>
      </c>
      <c r="F91" s="31" t="str">
        <f t="shared" si="31"/>
        <v/>
      </c>
      <c r="G91" s="11" t="str">
        <f t="shared" si="32"/>
        <v/>
      </c>
      <c r="H91" s="30" t="str">
        <f t="shared" si="33"/>
        <v/>
      </c>
      <c r="I91" s="32" t="str">
        <f t="shared" si="37"/>
        <v/>
      </c>
      <c r="J91" s="8" t="str">
        <f t="shared" si="34"/>
        <v/>
      </c>
      <c r="K91" s="21"/>
      <c r="L91" s="97" t="str">
        <f t="shared" si="17"/>
        <v/>
      </c>
      <c r="M91" s="97" t="str">
        <f t="shared" si="40"/>
        <v/>
      </c>
      <c r="N91" s="97" t="str">
        <f t="shared" si="38"/>
        <v/>
      </c>
      <c r="O91" s="8" t="str">
        <f t="shared" si="18"/>
        <v/>
      </c>
      <c r="P91" s="31" t="str">
        <f t="shared" si="19"/>
        <v/>
      </c>
      <c r="Q91" s="11" t="str">
        <f t="shared" si="20"/>
        <v/>
      </c>
      <c r="R91" s="31" t="str">
        <f t="shared" si="21"/>
        <v/>
      </c>
      <c r="S91" s="8" t="str">
        <f t="shared" si="35"/>
        <v/>
      </c>
    </row>
    <row r="92" spans="2:19" x14ac:dyDescent="0.3">
      <c r="B92" s="97" t="str">
        <f t="shared" si="29"/>
        <v/>
      </c>
      <c r="C92" s="97" t="str">
        <f t="shared" si="39"/>
        <v/>
      </c>
      <c r="D92" s="97" t="str">
        <f t="shared" si="36"/>
        <v/>
      </c>
      <c r="E92" s="8" t="str">
        <f t="shared" si="30"/>
        <v/>
      </c>
      <c r="F92" s="31" t="str">
        <f t="shared" si="31"/>
        <v/>
      </c>
      <c r="G92" s="11" t="str">
        <f t="shared" si="32"/>
        <v/>
      </c>
      <c r="H92" s="30" t="str">
        <f t="shared" si="33"/>
        <v/>
      </c>
      <c r="I92" s="32" t="str">
        <f t="shared" si="37"/>
        <v/>
      </c>
      <c r="J92" s="8" t="str">
        <f t="shared" si="34"/>
        <v/>
      </c>
      <c r="K92" s="21"/>
      <c r="L92" s="97" t="str">
        <f t="shared" si="17"/>
        <v/>
      </c>
      <c r="M92" s="97" t="str">
        <f t="shared" si="40"/>
        <v/>
      </c>
      <c r="N92" s="97" t="str">
        <f t="shared" si="38"/>
        <v/>
      </c>
      <c r="O92" s="8" t="str">
        <f t="shared" si="18"/>
        <v/>
      </c>
      <c r="P92" s="31" t="str">
        <f t="shared" si="19"/>
        <v/>
      </c>
      <c r="Q92" s="11" t="str">
        <f t="shared" si="20"/>
        <v/>
      </c>
      <c r="R92" s="31" t="str">
        <f t="shared" si="21"/>
        <v/>
      </c>
      <c r="S92" s="8" t="str">
        <f t="shared" si="35"/>
        <v/>
      </c>
    </row>
    <row r="93" spans="2:19" x14ac:dyDescent="0.3">
      <c r="B93" s="97" t="str">
        <f t="shared" si="29"/>
        <v/>
      </c>
      <c r="C93" s="97" t="str">
        <f t="shared" si="39"/>
        <v/>
      </c>
      <c r="D93" s="97" t="str">
        <f t="shared" si="36"/>
        <v/>
      </c>
      <c r="E93" s="8" t="str">
        <f t="shared" si="30"/>
        <v/>
      </c>
      <c r="F93" s="31" t="str">
        <f t="shared" si="31"/>
        <v/>
      </c>
      <c r="G93" s="11" t="str">
        <f t="shared" si="32"/>
        <v/>
      </c>
      <c r="H93" s="30" t="str">
        <f t="shared" si="33"/>
        <v/>
      </c>
      <c r="I93" s="32" t="str">
        <f t="shared" si="37"/>
        <v/>
      </c>
      <c r="J93" s="8" t="str">
        <f t="shared" si="34"/>
        <v/>
      </c>
      <c r="K93" s="21"/>
      <c r="L93" s="97" t="str">
        <f t="shared" ref="L93:L138" si="41">IF(M93="","",M93-2)</f>
        <v/>
      </c>
      <c r="M93" s="97" t="str">
        <f t="shared" si="40"/>
        <v/>
      </c>
      <c r="N93" s="97" t="str">
        <f t="shared" si="38"/>
        <v/>
      </c>
      <c r="O93" s="8" t="str">
        <f t="shared" ref="O93:O138" si="42">IF(L93="","",IF($F$9="30/360",DAYS360(M93,N93)/360,IF($F$9="ACT/360",(N93-M93)/360,IF($F$9="ACT/365",(N93-M93)/365))))</f>
        <v/>
      </c>
      <c r="P93" s="31" t="str">
        <f t="shared" ref="P93:P138" si="43">IF(L93="","",$F$2)</f>
        <v/>
      </c>
      <c r="Q93" s="11" t="str">
        <f t="shared" ref="Q93:Q138" si="44">IF(L93="","",$F$10)</f>
        <v/>
      </c>
      <c r="R93" s="31" t="str">
        <f t="shared" ref="R93:R138" si="45">IF(L93="","",O93*P93*Q93)</f>
        <v/>
      </c>
      <c r="S93" s="8" t="str">
        <f t="shared" si="35"/>
        <v/>
      </c>
    </row>
    <row r="94" spans="2:19" x14ac:dyDescent="0.3">
      <c r="B94" s="97" t="str">
        <f t="shared" si="29"/>
        <v/>
      </c>
      <c r="C94" s="97" t="str">
        <f t="shared" si="39"/>
        <v/>
      </c>
      <c r="D94" s="97" t="str">
        <f t="shared" si="36"/>
        <v/>
      </c>
      <c r="E94" s="8" t="str">
        <f t="shared" si="30"/>
        <v/>
      </c>
      <c r="F94" s="31" t="str">
        <f t="shared" si="31"/>
        <v/>
      </c>
      <c r="G94" s="11" t="str">
        <f t="shared" si="32"/>
        <v/>
      </c>
      <c r="H94" s="30" t="str">
        <f t="shared" si="33"/>
        <v/>
      </c>
      <c r="I94" s="32" t="str">
        <f t="shared" si="37"/>
        <v/>
      </c>
      <c r="J94" s="8" t="str">
        <f t="shared" si="34"/>
        <v/>
      </c>
      <c r="K94" s="21"/>
      <c r="L94" s="97" t="str">
        <f t="shared" si="41"/>
        <v/>
      </c>
      <c r="M94" s="97" t="str">
        <f t="shared" si="40"/>
        <v/>
      </c>
      <c r="N94" s="97" t="str">
        <f t="shared" si="38"/>
        <v/>
      </c>
      <c r="O94" s="8" t="str">
        <f t="shared" si="42"/>
        <v/>
      </c>
      <c r="P94" s="31" t="str">
        <f t="shared" si="43"/>
        <v/>
      </c>
      <c r="Q94" s="11" t="str">
        <f t="shared" si="44"/>
        <v/>
      </c>
      <c r="R94" s="31" t="str">
        <f t="shared" si="45"/>
        <v/>
      </c>
      <c r="S94" s="8" t="str">
        <f t="shared" si="35"/>
        <v/>
      </c>
    </row>
    <row r="95" spans="2:19" x14ac:dyDescent="0.3">
      <c r="B95" s="97" t="str">
        <f t="shared" si="29"/>
        <v/>
      </c>
      <c r="C95" s="97" t="str">
        <f t="shared" si="39"/>
        <v/>
      </c>
      <c r="D95" s="97" t="str">
        <f t="shared" si="36"/>
        <v/>
      </c>
      <c r="E95" s="8" t="str">
        <f t="shared" si="30"/>
        <v/>
      </c>
      <c r="F95" s="31" t="str">
        <f t="shared" si="31"/>
        <v/>
      </c>
      <c r="G95" s="11" t="str">
        <f t="shared" si="32"/>
        <v/>
      </c>
      <c r="H95" s="30" t="str">
        <f t="shared" si="33"/>
        <v/>
      </c>
      <c r="I95" s="32" t="str">
        <f t="shared" si="37"/>
        <v/>
      </c>
      <c r="J95" s="8" t="str">
        <f t="shared" si="34"/>
        <v/>
      </c>
      <c r="K95" s="21"/>
      <c r="L95" s="97" t="str">
        <f t="shared" si="41"/>
        <v/>
      </c>
      <c r="M95" s="97" t="str">
        <f t="shared" si="40"/>
        <v/>
      </c>
      <c r="N95" s="97" t="str">
        <f t="shared" si="38"/>
        <v/>
      </c>
      <c r="O95" s="8" t="str">
        <f t="shared" si="42"/>
        <v/>
      </c>
      <c r="P95" s="31" t="str">
        <f t="shared" si="43"/>
        <v/>
      </c>
      <c r="Q95" s="11" t="str">
        <f t="shared" si="44"/>
        <v/>
      </c>
      <c r="R95" s="31" t="str">
        <f t="shared" si="45"/>
        <v/>
      </c>
      <c r="S95" s="8" t="str">
        <f t="shared" si="35"/>
        <v/>
      </c>
    </row>
    <row r="96" spans="2:19" x14ac:dyDescent="0.3">
      <c r="B96" s="97" t="str">
        <f t="shared" si="29"/>
        <v/>
      </c>
      <c r="C96" s="97" t="str">
        <f t="shared" si="39"/>
        <v/>
      </c>
      <c r="D96" s="97" t="str">
        <f t="shared" si="36"/>
        <v/>
      </c>
      <c r="E96" s="8" t="str">
        <f t="shared" si="30"/>
        <v/>
      </c>
      <c r="F96" s="31" t="str">
        <f t="shared" si="31"/>
        <v/>
      </c>
      <c r="G96" s="11" t="str">
        <f t="shared" si="32"/>
        <v/>
      </c>
      <c r="H96" s="30" t="str">
        <f t="shared" si="33"/>
        <v/>
      </c>
      <c r="I96" s="32" t="str">
        <f t="shared" si="37"/>
        <v/>
      </c>
      <c r="J96" s="8" t="str">
        <f t="shared" si="34"/>
        <v/>
      </c>
      <c r="K96" s="21"/>
      <c r="L96" s="97" t="str">
        <f t="shared" si="41"/>
        <v/>
      </c>
      <c r="M96" s="97" t="str">
        <f t="shared" si="40"/>
        <v/>
      </c>
      <c r="N96" s="97" t="str">
        <f t="shared" si="38"/>
        <v/>
      </c>
      <c r="O96" s="8" t="str">
        <f t="shared" si="42"/>
        <v/>
      </c>
      <c r="P96" s="31" t="str">
        <f t="shared" si="43"/>
        <v/>
      </c>
      <c r="Q96" s="11" t="str">
        <f t="shared" si="44"/>
        <v/>
      </c>
      <c r="R96" s="31" t="str">
        <f t="shared" si="45"/>
        <v/>
      </c>
      <c r="S96" s="8" t="str">
        <f t="shared" si="35"/>
        <v/>
      </c>
    </row>
    <row r="97" spans="2:19" x14ac:dyDescent="0.3">
      <c r="B97" s="97" t="str">
        <f t="shared" si="29"/>
        <v/>
      </c>
      <c r="C97" s="97" t="str">
        <f t="shared" si="39"/>
        <v/>
      </c>
      <c r="D97" s="97" t="str">
        <f t="shared" si="36"/>
        <v/>
      </c>
      <c r="E97" s="8" t="str">
        <f t="shared" si="30"/>
        <v/>
      </c>
      <c r="F97" s="31" t="str">
        <f t="shared" si="31"/>
        <v/>
      </c>
      <c r="G97" s="11" t="str">
        <f t="shared" si="32"/>
        <v/>
      </c>
      <c r="H97" s="30" t="str">
        <f t="shared" si="33"/>
        <v/>
      </c>
      <c r="I97" s="32" t="str">
        <f t="shared" si="37"/>
        <v/>
      </c>
      <c r="J97" s="8" t="str">
        <f t="shared" si="34"/>
        <v/>
      </c>
      <c r="K97" s="21"/>
      <c r="L97" s="97" t="str">
        <f t="shared" si="41"/>
        <v/>
      </c>
      <c r="M97" s="97" t="str">
        <f t="shared" si="40"/>
        <v/>
      </c>
      <c r="N97" s="97" t="str">
        <f t="shared" si="38"/>
        <v/>
      </c>
      <c r="O97" s="8" t="str">
        <f t="shared" si="42"/>
        <v/>
      </c>
      <c r="P97" s="31" t="str">
        <f t="shared" si="43"/>
        <v/>
      </c>
      <c r="Q97" s="11" t="str">
        <f t="shared" si="44"/>
        <v/>
      </c>
      <c r="R97" s="31" t="str">
        <f t="shared" si="45"/>
        <v/>
      </c>
      <c r="S97" s="8" t="str">
        <f t="shared" si="35"/>
        <v/>
      </c>
    </row>
    <row r="98" spans="2:19" x14ac:dyDescent="0.3">
      <c r="B98" s="97" t="str">
        <f t="shared" si="29"/>
        <v/>
      </c>
      <c r="C98" s="97" t="str">
        <f t="shared" si="39"/>
        <v/>
      </c>
      <c r="D98" s="97" t="str">
        <f t="shared" si="36"/>
        <v/>
      </c>
      <c r="E98" s="8" t="str">
        <f t="shared" si="30"/>
        <v/>
      </c>
      <c r="F98" s="31" t="str">
        <f t="shared" si="31"/>
        <v/>
      </c>
      <c r="G98" s="11" t="str">
        <f t="shared" si="32"/>
        <v/>
      </c>
      <c r="H98" s="30" t="str">
        <f t="shared" si="33"/>
        <v/>
      </c>
      <c r="I98" s="32" t="str">
        <f t="shared" si="37"/>
        <v/>
      </c>
      <c r="J98" s="8" t="str">
        <f t="shared" si="34"/>
        <v/>
      </c>
      <c r="K98" s="21"/>
      <c r="L98" s="97" t="str">
        <f t="shared" si="41"/>
        <v/>
      </c>
      <c r="M98" s="97" t="str">
        <f t="shared" si="40"/>
        <v/>
      </c>
      <c r="N98" s="97" t="str">
        <f t="shared" si="38"/>
        <v/>
      </c>
      <c r="O98" s="8" t="str">
        <f t="shared" si="42"/>
        <v/>
      </c>
      <c r="P98" s="31" t="str">
        <f t="shared" si="43"/>
        <v/>
      </c>
      <c r="Q98" s="11" t="str">
        <f t="shared" si="44"/>
        <v/>
      </c>
      <c r="R98" s="31" t="str">
        <f t="shared" si="45"/>
        <v/>
      </c>
      <c r="S98" s="8" t="str">
        <f t="shared" si="35"/>
        <v/>
      </c>
    </row>
    <row r="99" spans="2:19" x14ac:dyDescent="0.3">
      <c r="B99" s="97" t="str">
        <f t="shared" si="29"/>
        <v/>
      </c>
      <c r="C99" s="97" t="str">
        <f t="shared" si="39"/>
        <v/>
      </c>
      <c r="D99" s="97" t="str">
        <f t="shared" si="36"/>
        <v/>
      </c>
      <c r="E99" s="8" t="str">
        <f t="shared" si="30"/>
        <v/>
      </c>
      <c r="F99" s="31" t="str">
        <f t="shared" si="31"/>
        <v/>
      </c>
      <c r="G99" s="11" t="str">
        <f t="shared" si="32"/>
        <v/>
      </c>
      <c r="H99" s="30" t="str">
        <f t="shared" si="33"/>
        <v/>
      </c>
      <c r="I99" s="32" t="str">
        <f t="shared" si="37"/>
        <v/>
      </c>
      <c r="J99" s="8" t="str">
        <f t="shared" si="34"/>
        <v/>
      </c>
      <c r="K99" s="21"/>
      <c r="L99" s="97" t="str">
        <f t="shared" si="41"/>
        <v/>
      </c>
      <c r="M99" s="97" t="str">
        <f t="shared" si="40"/>
        <v/>
      </c>
      <c r="N99" s="97" t="str">
        <f t="shared" si="38"/>
        <v/>
      </c>
      <c r="O99" s="8" t="str">
        <f t="shared" si="42"/>
        <v/>
      </c>
      <c r="P99" s="31" t="str">
        <f t="shared" si="43"/>
        <v/>
      </c>
      <c r="Q99" s="11" t="str">
        <f t="shared" si="44"/>
        <v/>
      </c>
      <c r="R99" s="31" t="str">
        <f t="shared" si="45"/>
        <v/>
      </c>
      <c r="S99" s="8" t="str">
        <f t="shared" si="35"/>
        <v/>
      </c>
    </row>
    <row r="100" spans="2:19" x14ac:dyDescent="0.3">
      <c r="B100" s="97" t="str">
        <f t="shared" si="29"/>
        <v/>
      </c>
      <c r="C100" s="97" t="str">
        <f t="shared" si="39"/>
        <v/>
      </c>
      <c r="D100" s="97" t="str">
        <f t="shared" si="36"/>
        <v/>
      </c>
      <c r="E100" s="8" t="str">
        <f t="shared" si="30"/>
        <v/>
      </c>
      <c r="F100" s="31" t="str">
        <f t="shared" si="31"/>
        <v/>
      </c>
      <c r="G100" s="11" t="str">
        <f t="shared" si="32"/>
        <v/>
      </c>
      <c r="H100" s="30" t="str">
        <f t="shared" si="33"/>
        <v/>
      </c>
      <c r="I100" s="32" t="str">
        <f t="shared" si="37"/>
        <v/>
      </c>
      <c r="J100" s="8" t="str">
        <f t="shared" si="34"/>
        <v/>
      </c>
      <c r="K100" s="21"/>
      <c r="L100" s="97" t="str">
        <f t="shared" si="41"/>
        <v/>
      </c>
      <c r="M100" s="97" t="str">
        <f t="shared" si="40"/>
        <v/>
      </c>
      <c r="N100" s="97" t="str">
        <f t="shared" si="38"/>
        <v/>
      </c>
      <c r="O100" s="8" t="str">
        <f t="shared" si="42"/>
        <v/>
      </c>
      <c r="P100" s="31" t="str">
        <f t="shared" si="43"/>
        <v/>
      </c>
      <c r="Q100" s="11" t="str">
        <f t="shared" si="44"/>
        <v/>
      </c>
      <c r="R100" s="31" t="str">
        <f t="shared" si="45"/>
        <v/>
      </c>
      <c r="S100" s="8" t="str">
        <f t="shared" si="35"/>
        <v/>
      </c>
    </row>
    <row r="101" spans="2:19" x14ac:dyDescent="0.3">
      <c r="B101" s="97" t="str">
        <f t="shared" si="29"/>
        <v/>
      </c>
      <c r="C101" s="97" t="str">
        <f t="shared" si="39"/>
        <v/>
      </c>
      <c r="D101" s="97" t="str">
        <f t="shared" si="36"/>
        <v/>
      </c>
      <c r="E101" s="8" t="str">
        <f t="shared" si="30"/>
        <v/>
      </c>
      <c r="F101" s="31" t="str">
        <f t="shared" si="31"/>
        <v/>
      </c>
      <c r="G101" s="11" t="str">
        <f t="shared" si="32"/>
        <v/>
      </c>
      <c r="H101" s="30" t="str">
        <f t="shared" si="33"/>
        <v/>
      </c>
      <c r="I101" s="32" t="str">
        <f t="shared" si="37"/>
        <v/>
      </c>
      <c r="J101" s="8" t="str">
        <f t="shared" si="34"/>
        <v/>
      </c>
      <c r="K101" s="21"/>
      <c r="L101" s="97" t="str">
        <f t="shared" si="41"/>
        <v/>
      </c>
      <c r="M101" s="97" t="str">
        <f t="shared" si="40"/>
        <v/>
      </c>
      <c r="N101" s="97" t="str">
        <f t="shared" si="38"/>
        <v/>
      </c>
      <c r="O101" s="8" t="str">
        <f t="shared" si="42"/>
        <v/>
      </c>
      <c r="P101" s="31" t="str">
        <f t="shared" si="43"/>
        <v/>
      </c>
      <c r="Q101" s="11" t="str">
        <f t="shared" si="44"/>
        <v/>
      </c>
      <c r="R101" s="31" t="str">
        <f t="shared" si="45"/>
        <v/>
      </c>
      <c r="S101" s="8" t="str">
        <f t="shared" si="35"/>
        <v/>
      </c>
    </row>
    <row r="102" spans="2:19" x14ac:dyDescent="0.3">
      <c r="B102" s="97" t="str">
        <f t="shared" si="29"/>
        <v/>
      </c>
      <c r="C102" s="97" t="str">
        <f t="shared" si="39"/>
        <v/>
      </c>
      <c r="D102" s="97" t="str">
        <f t="shared" si="36"/>
        <v/>
      </c>
      <c r="E102" s="8" t="str">
        <f t="shared" si="30"/>
        <v/>
      </c>
      <c r="F102" s="31" t="str">
        <f t="shared" si="31"/>
        <v/>
      </c>
      <c r="G102" s="11" t="str">
        <f t="shared" si="32"/>
        <v/>
      </c>
      <c r="H102" s="30" t="str">
        <f t="shared" si="33"/>
        <v/>
      </c>
      <c r="I102" s="32" t="str">
        <f t="shared" si="37"/>
        <v/>
      </c>
      <c r="J102" s="8" t="str">
        <f t="shared" si="34"/>
        <v/>
      </c>
      <c r="K102" s="21"/>
      <c r="L102" s="97" t="str">
        <f t="shared" si="41"/>
        <v/>
      </c>
      <c r="M102" s="97" t="str">
        <f t="shared" si="40"/>
        <v/>
      </c>
      <c r="N102" s="97" t="str">
        <f t="shared" si="38"/>
        <v/>
      </c>
      <c r="O102" s="8" t="str">
        <f t="shared" si="42"/>
        <v/>
      </c>
      <c r="P102" s="31" t="str">
        <f t="shared" si="43"/>
        <v/>
      </c>
      <c r="Q102" s="11" t="str">
        <f t="shared" si="44"/>
        <v/>
      </c>
      <c r="R102" s="31" t="str">
        <f t="shared" si="45"/>
        <v/>
      </c>
      <c r="S102" s="8" t="str">
        <f t="shared" si="35"/>
        <v/>
      </c>
    </row>
    <row r="103" spans="2:19" x14ac:dyDescent="0.3">
      <c r="B103" s="97" t="str">
        <f t="shared" si="29"/>
        <v/>
      </c>
      <c r="C103" s="97" t="str">
        <f t="shared" si="39"/>
        <v/>
      </c>
      <c r="D103" s="97" t="str">
        <f t="shared" si="36"/>
        <v/>
      </c>
      <c r="E103" s="8" t="str">
        <f t="shared" si="30"/>
        <v/>
      </c>
      <c r="F103" s="31" t="str">
        <f t="shared" si="31"/>
        <v/>
      </c>
      <c r="G103" s="11" t="str">
        <f t="shared" si="32"/>
        <v/>
      </c>
      <c r="H103" s="30" t="str">
        <f t="shared" si="33"/>
        <v/>
      </c>
      <c r="I103" s="32" t="str">
        <f t="shared" si="37"/>
        <v/>
      </c>
      <c r="J103" s="8" t="str">
        <f t="shared" si="34"/>
        <v/>
      </c>
      <c r="K103" s="21"/>
      <c r="L103" s="97" t="str">
        <f t="shared" si="41"/>
        <v/>
      </c>
      <c r="M103" s="97" t="str">
        <f t="shared" si="40"/>
        <v/>
      </c>
      <c r="N103" s="97" t="str">
        <f t="shared" si="38"/>
        <v/>
      </c>
      <c r="O103" s="8" t="str">
        <f t="shared" si="42"/>
        <v/>
      </c>
      <c r="P103" s="31" t="str">
        <f t="shared" si="43"/>
        <v/>
      </c>
      <c r="Q103" s="11" t="str">
        <f t="shared" si="44"/>
        <v/>
      </c>
      <c r="R103" s="31" t="str">
        <f t="shared" si="45"/>
        <v/>
      </c>
      <c r="S103" s="8" t="str">
        <f t="shared" si="35"/>
        <v/>
      </c>
    </row>
    <row r="104" spans="2:19" x14ac:dyDescent="0.3">
      <c r="B104" s="97" t="str">
        <f t="shared" si="29"/>
        <v/>
      </c>
      <c r="C104" s="97" t="str">
        <f t="shared" si="39"/>
        <v/>
      </c>
      <c r="D104" s="97" t="str">
        <f t="shared" si="36"/>
        <v/>
      </c>
      <c r="E104" s="8" t="str">
        <f t="shared" si="30"/>
        <v/>
      </c>
      <c r="F104" s="31" t="str">
        <f t="shared" si="31"/>
        <v/>
      </c>
      <c r="G104" s="11" t="str">
        <f t="shared" si="32"/>
        <v/>
      </c>
      <c r="H104" s="30" t="str">
        <f t="shared" si="33"/>
        <v/>
      </c>
      <c r="I104" s="32" t="str">
        <f t="shared" si="37"/>
        <v/>
      </c>
      <c r="J104" s="8" t="str">
        <f t="shared" si="34"/>
        <v/>
      </c>
      <c r="K104" s="21"/>
      <c r="L104" s="97" t="str">
        <f t="shared" si="41"/>
        <v/>
      </c>
      <c r="M104" s="97" t="str">
        <f t="shared" si="40"/>
        <v/>
      </c>
      <c r="N104" s="97" t="str">
        <f t="shared" si="38"/>
        <v/>
      </c>
      <c r="O104" s="8" t="str">
        <f t="shared" si="42"/>
        <v/>
      </c>
      <c r="P104" s="31" t="str">
        <f t="shared" si="43"/>
        <v/>
      </c>
      <c r="Q104" s="11" t="str">
        <f t="shared" si="44"/>
        <v/>
      </c>
      <c r="R104" s="31" t="str">
        <f t="shared" si="45"/>
        <v/>
      </c>
      <c r="S104" s="8" t="str">
        <f t="shared" si="35"/>
        <v/>
      </c>
    </row>
    <row r="105" spans="2:19" x14ac:dyDescent="0.3">
      <c r="B105" s="97" t="str">
        <f t="shared" si="29"/>
        <v/>
      </c>
      <c r="C105" s="97" t="str">
        <f t="shared" si="39"/>
        <v/>
      </c>
      <c r="D105" s="97" t="str">
        <f t="shared" si="36"/>
        <v/>
      </c>
      <c r="E105" s="8" t="str">
        <f t="shared" si="30"/>
        <v/>
      </c>
      <c r="F105" s="31" t="str">
        <f t="shared" si="31"/>
        <v/>
      </c>
      <c r="G105" s="11" t="str">
        <f t="shared" si="32"/>
        <v/>
      </c>
      <c r="H105" s="30" t="str">
        <f t="shared" si="33"/>
        <v/>
      </c>
      <c r="I105" s="32" t="str">
        <f t="shared" si="37"/>
        <v/>
      </c>
      <c r="J105" s="8" t="str">
        <f t="shared" si="34"/>
        <v/>
      </c>
      <c r="K105" s="21"/>
      <c r="L105" s="97" t="str">
        <f t="shared" si="41"/>
        <v/>
      </c>
      <c r="M105" s="97" t="str">
        <f t="shared" si="40"/>
        <v/>
      </c>
      <c r="N105" s="97" t="str">
        <f t="shared" si="38"/>
        <v/>
      </c>
      <c r="O105" s="8" t="str">
        <f t="shared" si="42"/>
        <v/>
      </c>
      <c r="P105" s="31" t="str">
        <f t="shared" si="43"/>
        <v/>
      </c>
      <c r="Q105" s="11" t="str">
        <f t="shared" si="44"/>
        <v/>
      </c>
      <c r="R105" s="31" t="str">
        <f t="shared" si="45"/>
        <v/>
      </c>
      <c r="S105" s="8" t="str">
        <f t="shared" si="35"/>
        <v/>
      </c>
    </row>
    <row r="106" spans="2:19" x14ac:dyDescent="0.3">
      <c r="B106" s="97" t="str">
        <f t="shared" si="29"/>
        <v/>
      </c>
      <c r="C106" s="97" t="str">
        <f t="shared" si="39"/>
        <v/>
      </c>
      <c r="D106" s="97" t="str">
        <f t="shared" si="36"/>
        <v/>
      </c>
      <c r="E106" s="8" t="str">
        <f t="shared" si="30"/>
        <v/>
      </c>
      <c r="F106" s="31" t="str">
        <f t="shared" si="31"/>
        <v/>
      </c>
      <c r="G106" s="11" t="str">
        <f t="shared" si="32"/>
        <v/>
      </c>
      <c r="H106" s="30" t="str">
        <f t="shared" si="33"/>
        <v/>
      </c>
      <c r="I106" s="32" t="str">
        <f t="shared" si="37"/>
        <v/>
      </c>
      <c r="J106" s="8" t="str">
        <f t="shared" si="34"/>
        <v/>
      </c>
      <c r="K106" s="21"/>
      <c r="L106" s="97" t="str">
        <f t="shared" si="41"/>
        <v/>
      </c>
      <c r="M106" s="97" t="str">
        <f t="shared" si="40"/>
        <v/>
      </c>
      <c r="N106" s="97" t="str">
        <f t="shared" si="38"/>
        <v/>
      </c>
      <c r="O106" s="8" t="str">
        <f t="shared" si="42"/>
        <v/>
      </c>
      <c r="P106" s="31" t="str">
        <f t="shared" si="43"/>
        <v/>
      </c>
      <c r="Q106" s="11" t="str">
        <f t="shared" si="44"/>
        <v/>
      </c>
      <c r="R106" s="31" t="str">
        <f t="shared" si="45"/>
        <v/>
      </c>
      <c r="S106" s="8" t="str">
        <f t="shared" si="35"/>
        <v/>
      </c>
    </row>
    <row r="107" spans="2:19" x14ac:dyDescent="0.3">
      <c r="B107" s="97" t="str">
        <f t="shared" si="29"/>
        <v/>
      </c>
      <c r="C107" s="97" t="str">
        <f t="shared" si="39"/>
        <v/>
      </c>
      <c r="D107" s="97" t="str">
        <f t="shared" si="36"/>
        <v/>
      </c>
      <c r="E107" s="8" t="str">
        <f t="shared" si="30"/>
        <v/>
      </c>
      <c r="F107" s="31" t="str">
        <f t="shared" si="31"/>
        <v/>
      </c>
      <c r="G107" s="11" t="str">
        <f t="shared" si="32"/>
        <v/>
      </c>
      <c r="H107" s="30" t="str">
        <f t="shared" si="33"/>
        <v/>
      </c>
      <c r="I107" s="32" t="str">
        <f t="shared" si="37"/>
        <v/>
      </c>
      <c r="J107" s="8" t="str">
        <f t="shared" si="34"/>
        <v/>
      </c>
      <c r="K107" s="21"/>
      <c r="L107" s="97" t="str">
        <f t="shared" si="41"/>
        <v/>
      </c>
      <c r="M107" s="97" t="str">
        <f t="shared" si="40"/>
        <v/>
      </c>
      <c r="N107" s="97" t="str">
        <f t="shared" si="38"/>
        <v/>
      </c>
      <c r="O107" s="8" t="str">
        <f t="shared" si="42"/>
        <v/>
      </c>
      <c r="P107" s="31" t="str">
        <f t="shared" si="43"/>
        <v/>
      </c>
      <c r="Q107" s="11" t="str">
        <f t="shared" si="44"/>
        <v/>
      </c>
      <c r="R107" s="31" t="str">
        <f t="shared" si="45"/>
        <v/>
      </c>
      <c r="S107" s="8" t="str">
        <f t="shared" si="35"/>
        <v/>
      </c>
    </row>
    <row r="108" spans="2:19" x14ac:dyDescent="0.3">
      <c r="B108" s="97" t="str">
        <f t="shared" si="29"/>
        <v/>
      </c>
      <c r="C108" s="97" t="str">
        <f t="shared" si="39"/>
        <v/>
      </c>
      <c r="D108" s="97" t="str">
        <f t="shared" si="36"/>
        <v/>
      </c>
      <c r="E108" s="8" t="str">
        <f t="shared" si="30"/>
        <v/>
      </c>
      <c r="F108" s="31" t="str">
        <f t="shared" si="31"/>
        <v/>
      </c>
      <c r="G108" s="11" t="str">
        <f t="shared" si="32"/>
        <v/>
      </c>
      <c r="H108" s="30" t="str">
        <f t="shared" si="33"/>
        <v/>
      </c>
      <c r="I108" s="32" t="str">
        <f t="shared" si="37"/>
        <v/>
      </c>
      <c r="J108" s="8" t="str">
        <f t="shared" si="34"/>
        <v/>
      </c>
      <c r="K108" s="21"/>
      <c r="L108" s="97" t="str">
        <f t="shared" si="41"/>
        <v/>
      </c>
      <c r="M108" s="97" t="str">
        <f t="shared" si="40"/>
        <v/>
      </c>
      <c r="N108" s="97" t="str">
        <f t="shared" si="38"/>
        <v/>
      </c>
      <c r="O108" s="8" t="str">
        <f t="shared" si="42"/>
        <v/>
      </c>
      <c r="P108" s="31" t="str">
        <f t="shared" si="43"/>
        <v/>
      </c>
      <c r="Q108" s="11" t="str">
        <f t="shared" si="44"/>
        <v/>
      </c>
      <c r="R108" s="31" t="str">
        <f t="shared" si="45"/>
        <v/>
      </c>
      <c r="S108" s="8" t="str">
        <f t="shared" si="35"/>
        <v/>
      </c>
    </row>
    <row r="109" spans="2:19" x14ac:dyDescent="0.3">
      <c r="B109" s="97" t="str">
        <f t="shared" si="29"/>
        <v/>
      </c>
      <c r="C109" s="97" t="str">
        <f t="shared" si="39"/>
        <v/>
      </c>
      <c r="D109" s="97" t="str">
        <f t="shared" si="36"/>
        <v/>
      </c>
      <c r="E109" s="8" t="str">
        <f t="shared" si="30"/>
        <v/>
      </c>
      <c r="F109" s="31" t="str">
        <f t="shared" si="31"/>
        <v/>
      </c>
      <c r="G109" s="11" t="str">
        <f t="shared" si="32"/>
        <v/>
      </c>
      <c r="H109" s="30" t="str">
        <f t="shared" si="33"/>
        <v/>
      </c>
      <c r="I109" s="32" t="str">
        <f t="shared" si="37"/>
        <v/>
      </c>
      <c r="J109" s="8" t="str">
        <f t="shared" si="34"/>
        <v/>
      </c>
      <c r="K109" s="21"/>
      <c r="L109" s="97" t="str">
        <f t="shared" si="41"/>
        <v/>
      </c>
      <c r="M109" s="97" t="str">
        <f t="shared" si="40"/>
        <v/>
      </c>
      <c r="N109" s="97" t="str">
        <f t="shared" si="38"/>
        <v/>
      </c>
      <c r="O109" s="8" t="str">
        <f t="shared" si="42"/>
        <v/>
      </c>
      <c r="P109" s="31" t="str">
        <f t="shared" si="43"/>
        <v/>
      </c>
      <c r="Q109" s="11" t="str">
        <f t="shared" si="44"/>
        <v/>
      </c>
      <c r="R109" s="31" t="str">
        <f t="shared" si="45"/>
        <v/>
      </c>
      <c r="S109" s="8" t="str">
        <f t="shared" si="35"/>
        <v/>
      </c>
    </row>
    <row r="110" spans="2:19" x14ac:dyDescent="0.3">
      <c r="B110" s="97" t="str">
        <f t="shared" si="29"/>
        <v/>
      </c>
      <c r="C110" s="97" t="str">
        <f t="shared" si="39"/>
        <v/>
      </c>
      <c r="D110" s="97" t="str">
        <f t="shared" si="36"/>
        <v/>
      </c>
      <c r="E110" s="8" t="str">
        <f t="shared" si="30"/>
        <v/>
      </c>
      <c r="F110" s="31" t="str">
        <f t="shared" si="31"/>
        <v/>
      </c>
      <c r="G110" s="11" t="str">
        <f t="shared" si="32"/>
        <v/>
      </c>
      <c r="H110" s="30" t="str">
        <f t="shared" si="33"/>
        <v/>
      </c>
      <c r="I110" s="32" t="str">
        <f t="shared" si="37"/>
        <v/>
      </c>
      <c r="J110" s="8" t="str">
        <f t="shared" si="34"/>
        <v/>
      </c>
      <c r="K110" s="21"/>
      <c r="L110" s="97" t="str">
        <f t="shared" si="41"/>
        <v/>
      </c>
      <c r="M110" s="97" t="str">
        <f t="shared" si="40"/>
        <v/>
      </c>
      <c r="N110" s="97" t="str">
        <f t="shared" si="38"/>
        <v/>
      </c>
      <c r="O110" s="8" t="str">
        <f t="shared" si="42"/>
        <v/>
      </c>
      <c r="P110" s="31" t="str">
        <f t="shared" si="43"/>
        <v/>
      </c>
      <c r="Q110" s="11" t="str">
        <f t="shared" si="44"/>
        <v/>
      </c>
      <c r="R110" s="31" t="str">
        <f t="shared" si="45"/>
        <v/>
      </c>
      <c r="S110" s="8" t="str">
        <f t="shared" si="35"/>
        <v/>
      </c>
    </row>
    <row r="111" spans="2:19" x14ac:dyDescent="0.3">
      <c r="B111" s="97" t="str">
        <f t="shared" si="29"/>
        <v/>
      </c>
      <c r="C111" s="97" t="str">
        <f t="shared" si="39"/>
        <v/>
      </c>
      <c r="D111" s="97" t="str">
        <f t="shared" si="36"/>
        <v/>
      </c>
      <c r="E111" s="8" t="str">
        <f t="shared" si="30"/>
        <v/>
      </c>
      <c r="F111" s="31" t="str">
        <f t="shared" si="31"/>
        <v/>
      </c>
      <c r="G111" s="11" t="str">
        <f t="shared" si="32"/>
        <v/>
      </c>
      <c r="H111" s="30" t="str">
        <f t="shared" si="33"/>
        <v/>
      </c>
      <c r="I111" s="32" t="str">
        <f t="shared" si="37"/>
        <v/>
      </c>
      <c r="J111" s="8" t="str">
        <f t="shared" si="34"/>
        <v/>
      </c>
      <c r="K111" s="21"/>
      <c r="L111" s="97" t="str">
        <f t="shared" si="41"/>
        <v/>
      </c>
      <c r="M111" s="97" t="str">
        <f t="shared" si="40"/>
        <v/>
      </c>
      <c r="N111" s="97" t="str">
        <f t="shared" si="38"/>
        <v/>
      </c>
      <c r="O111" s="8" t="str">
        <f t="shared" si="42"/>
        <v/>
      </c>
      <c r="P111" s="31" t="str">
        <f t="shared" si="43"/>
        <v/>
      </c>
      <c r="Q111" s="11" t="str">
        <f t="shared" si="44"/>
        <v/>
      </c>
      <c r="R111" s="31" t="str">
        <f t="shared" si="45"/>
        <v/>
      </c>
      <c r="S111" s="8" t="str">
        <f t="shared" si="35"/>
        <v/>
      </c>
    </row>
    <row r="112" spans="2:19" x14ac:dyDescent="0.3">
      <c r="B112" s="97" t="str">
        <f t="shared" si="29"/>
        <v/>
      </c>
      <c r="C112" s="97" t="str">
        <f t="shared" si="39"/>
        <v/>
      </c>
      <c r="D112" s="97" t="str">
        <f t="shared" si="36"/>
        <v/>
      </c>
      <c r="E112" s="8" t="str">
        <f t="shared" si="30"/>
        <v/>
      </c>
      <c r="F112" s="31" t="str">
        <f t="shared" si="31"/>
        <v/>
      </c>
      <c r="G112" s="11" t="str">
        <f t="shared" si="32"/>
        <v/>
      </c>
      <c r="H112" s="30" t="str">
        <f t="shared" si="33"/>
        <v/>
      </c>
      <c r="I112" s="32" t="str">
        <f t="shared" si="37"/>
        <v/>
      </c>
      <c r="J112" s="8" t="str">
        <f t="shared" si="34"/>
        <v/>
      </c>
      <c r="K112" s="21"/>
      <c r="L112" s="97" t="str">
        <f t="shared" si="41"/>
        <v/>
      </c>
      <c r="M112" s="97" t="str">
        <f t="shared" si="40"/>
        <v/>
      </c>
      <c r="N112" s="97" t="str">
        <f t="shared" si="38"/>
        <v/>
      </c>
      <c r="O112" s="8" t="str">
        <f t="shared" si="42"/>
        <v/>
      </c>
      <c r="P112" s="31" t="str">
        <f t="shared" si="43"/>
        <v/>
      </c>
      <c r="Q112" s="11" t="str">
        <f t="shared" si="44"/>
        <v/>
      </c>
      <c r="R112" s="31" t="str">
        <f t="shared" si="45"/>
        <v/>
      </c>
      <c r="S112" s="8" t="str">
        <f t="shared" si="35"/>
        <v/>
      </c>
    </row>
    <row r="113" spans="2:19" x14ac:dyDescent="0.3">
      <c r="B113" s="97" t="str">
        <f t="shared" si="29"/>
        <v/>
      </c>
      <c r="C113" s="97" t="str">
        <f t="shared" si="39"/>
        <v/>
      </c>
      <c r="D113" s="97" t="str">
        <f t="shared" si="36"/>
        <v/>
      </c>
      <c r="E113" s="8" t="str">
        <f t="shared" si="30"/>
        <v/>
      </c>
      <c r="F113" s="31" t="str">
        <f t="shared" si="31"/>
        <v/>
      </c>
      <c r="G113" s="11" t="str">
        <f t="shared" si="32"/>
        <v/>
      </c>
      <c r="H113" s="30" t="str">
        <f t="shared" si="33"/>
        <v/>
      </c>
      <c r="I113" s="32" t="str">
        <f t="shared" si="37"/>
        <v/>
      </c>
      <c r="J113" s="8" t="str">
        <f t="shared" si="34"/>
        <v/>
      </c>
      <c r="K113" s="21"/>
      <c r="L113" s="97" t="str">
        <f t="shared" si="41"/>
        <v/>
      </c>
      <c r="M113" s="97" t="str">
        <f t="shared" si="40"/>
        <v/>
      </c>
      <c r="N113" s="97" t="str">
        <f t="shared" si="38"/>
        <v/>
      </c>
      <c r="O113" s="8" t="str">
        <f t="shared" si="42"/>
        <v/>
      </c>
      <c r="P113" s="31" t="str">
        <f t="shared" si="43"/>
        <v/>
      </c>
      <c r="Q113" s="11" t="str">
        <f t="shared" si="44"/>
        <v/>
      </c>
      <c r="R113" s="31" t="str">
        <f t="shared" si="45"/>
        <v/>
      </c>
      <c r="S113" s="8" t="str">
        <f t="shared" si="35"/>
        <v/>
      </c>
    </row>
    <row r="114" spans="2:19" x14ac:dyDescent="0.3">
      <c r="B114" s="97" t="str">
        <f t="shared" si="29"/>
        <v/>
      </c>
      <c r="C114" s="97" t="str">
        <f t="shared" si="39"/>
        <v/>
      </c>
      <c r="D114" s="97" t="str">
        <f t="shared" si="36"/>
        <v/>
      </c>
      <c r="E114" s="8" t="str">
        <f t="shared" si="30"/>
        <v/>
      </c>
      <c r="F114" s="31" t="str">
        <f t="shared" si="31"/>
        <v/>
      </c>
      <c r="G114" s="11" t="str">
        <f t="shared" si="32"/>
        <v/>
      </c>
      <c r="H114" s="30" t="str">
        <f t="shared" si="33"/>
        <v/>
      </c>
      <c r="I114" s="32" t="str">
        <f t="shared" si="37"/>
        <v/>
      </c>
      <c r="J114" s="8" t="str">
        <f t="shared" si="34"/>
        <v/>
      </c>
      <c r="K114" s="21"/>
      <c r="L114" s="97" t="str">
        <f t="shared" si="41"/>
        <v/>
      </c>
      <c r="M114" s="97" t="str">
        <f t="shared" si="40"/>
        <v/>
      </c>
      <c r="N114" s="97" t="str">
        <f t="shared" si="38"/>
        <v/>
      </c>
      <c r="O114" s="8" t="str">
        <f t="shared" si="42"/>
        <v/>
      </c>
      <c r="P114" s="31" t="str">
        <f t="shared" si="43"/>
        <v/>
      </c>
      <c r="Q114" s="11" t="str">
        <f t="shared" si="44"/>
        <v/>
      </c>
      <c r="R114" s="31" t="str">
        <f t="shared" si="45"/>
        <v/>
      </c>
      <c r="S114" s="8" t="str">
        <f t="shared" si="35"/>
        <v/>
      </c>
    </row>
    <row r="115" spans="2:19" x14ac:dyDescent="0.3">
      <c r="B115" s="97" t="str">
        <f t="shared" ref="B115:B138" si="46">IF(C115="","",C115-2)</f>
        <v/>
      </c>
      <c r="C115" s="97" t="str">
        <f t="shared" si="39"/>
        <v/>
      </c>
      <c r="D115" s="97" t="str">
        <f t="shared" si="36"/>
        <v/>
      </c>
      <c r="E115" s="8" t="str">
        <f t="shared" ref="E115:E138" si="47">IF(B115="","",IF($C$9="30/360",DAYS360(C115,D115)/360,IF($C$9="ACT/360",(D115-C115)/360,IF($C$9="ACT/365",(D115-C115)/365))))</f>
        <v/>
      </c>
      <c r="F115" s="31" t="str">
        <f t="shared" ref="F115:F138" si="48">IF(B115="","",$F$2)</f>
        <v/>
      </c>
      <c r="G115" s="11" t="str">
        <f t="shared" ref="G115:G138" si="49">IF(B115="","",$C$10/10000)</f>
        <v/>
      </c>
      <c r="H115" s="30" t="str">
        <f t="shared" ref="H115:H138" si="50">IF(B115="","",(DF(C115-$C$2,Maturities,ZcRates)/DF(D115-$C$2,Maturities,ZcRates)-1)/E115)</f>
        <v/>
      </c>
      <c r="I115" s="32" t="str">
        <f t="shared" si="37"/>
        <v/>
      </c>
      <c r="J115" s="8" t="str">
        <f t="shared" ref="J115:J138" si="51">IF(B115="","",DF(D115-$C$2,Maturities,ZcRates))</f>
        <v/>
      </c>
      <c r="K115" s="21"/>
      <c r="L115" s="97" t="str">
        <f t="shared" si="41"/>
        <v/>
      </c>
      <c r="M115" s="97" t="str">
        <f t="shared" si="40"/>
        <v/>
      </c>
      <c r="N115" s="97" t="str">
        <f t="shared" si="38"/>
        <v/>
      </c>
      <c r="O115" s="8" t="str">
        <f t="shared" si="42"/>
        <v/>
      </c>
      <c r="P115" s="31" t="str">
        <f t="shared" si="43"/>
        <v/>
      </c>
      <c r="Q115" s="11" t="str">
        <f t="shared" si="44"/>
        <v/>
      </c>
      <c r="R115" s="31" t="str">
        <f t="shared" si="45"/>
        <v/>
      </c>
      <c r="S115" s="8" t="str">
        <f t="shared" ref="S115:S138" si="52">IF(L115="","",DF(N115-$C$2,Maturities,ZcRates))</f>
        <v/>
      </c>
    </row>
    <row r="116" spans="2:19" x14ac:dyDescent="0.3">
      <c r="B116" s="97" t="str">
        <f t="shared" si="46"/>
        <v/>
      </c>
      <c r="C116" s="97" t="str">
        <f t="shared" si="39"/>
        <v/>
      </c>
      <c r="D116" s="97" t="str">
        <f t="shared" si="36"/>
        <v/>
      </c>
      <c r="E116" s="8" t="str">
        <f t="shared" si="47"/>
        <v/>
      </c>
      <c r="F116" s="31" t="str">
        <f t="shared" si="48"/>
        <v/>
      </c>
      <c r="G116" s="11" t="str">
        <f t="shared" si="49"/>
        <v/>
      </c>
      <c r="H116" s="30" t="str">
        <f t="shared" si="50"/>
        <v/>
      </c>
      <c r="I116" s="32" t="str">
        <f t="shared" si="37"/>
        <v/>
      </c>
      <c r="J116" s="8" t="str">
        <f t="shared" si="51"/>
        <v/>
      </c>
      <c r="K116" s="21"/>
      <c r="L116" s="97" t="str">
        <f t="shared" si="41"/>
        <v/>
      </c>
      <c r="M116" s="97" t="str">
        <f t="shared" si="40"/>
        <v/>
      </c>
      <c r="N116" s="97" t="str">
        <f t="shared" si="38"/>
        <v/>
      </c>
      <c r="O116" s="8" t="str">
        <f t="shared" si="42"/>
        <v/>
      </c>
      <c r="P116" s="31" t="str">
        <f t="shared" si="43"/>
        <v/>
      </c>
      <c r="Q116" s="11" t="str">
        <f t="shared" si="44"/>
        <v/>
      </c>
      <c r="R116" s="31" t="str">
        <f t="shared" si="45"/>
        <v/>
      </c>
      <c r="S116" s="8" t="str">
        <f t="shared" si="52"/>
        <v/>
      </c>
    </row>
    <row r="117" spans="2:19" x14ac:dyDescent="0.3">
      <c r="B117" s="97" t="str">
        <f t="shared" si="46"/>
        <v/>
      </c>
      <c r="C117" s="97" t="str">
        <f t="shared" si="39"/>
        <v/>
      </c>
      <c r="D117" s="97" t="str">
        <f t="shared" si="36"/>
        <v/>
      </c>
      <c r="E117" s="8" t="str">
        <f t="shared" si="47"/>
        <v/>
      </c>
      <c r="F117" s="31" t="str">
        <f t="shared" si="48"/>
        <v/>
      </c>
      <c r="G117" s="11" t="str">
        <f t="shared" si="49"/>
        <v/>
      </c>
      <c r="H117" s="30" t="str">
        <f t="shared" si="50"/>
        <v/>
      </c>
      <c r="I117" s="32" t="str">
        <f t="shared" si="37"/>
        <v/>
      </c>
      <c r="J117" s="8" t="str">
        <f t="shared" si="51"/>
        <v/>
      </c>
      <c r="K117" s="21"/>
      <c r="L117" s="97" t="str">
        <f t="shared" si="41"/>
        <v/>
      </c>
      <c r="M117" s="97" t="str">
        <f t="shared" si="40"/>
        <v/>
      </c>
      <c r="N117" s="97" t="str">
        <f t="shared" si="38"/>
        <v/>
      </c>
      <c r="O117" s="8" t="str">
        <f t="shared" si="42"/>
        <v/>
      </c>
      <c r="P117" s="31" t="str">
        <f t="shared" si="43"/>
        <v/>
      </c>
      <c r="Q117" s="11" t="str">
        <f t="shared" si="44"/>
        <v/>
      </c>
      <c r="R117" s="31" t="str">
        <f t="shared" si="45"/>
        <v/>
      </c>
      <c r="S117" s="8" t="str">
        <f t="shared" si="52"/>
        <v/>
      </c>
    </row>
    <row r="118" spans="2:19" x14ac:dyDescent="0.3">
      <c r="B118" s="97" t="str">
        <f t="shared" si="46"/>
        <v/>
      </c>
      <c r="C118" s="97" t="str">
        <f t="shared" si="39"/>
        <v/>
      </c>
      <c r="D118" s="97" t="str">
        <f t="shared" si="36"/>
        <v/>
      </c>
      <c r="E118" s="8" t="str">
        <f t="shared" si="47"/>
        <v/>
      </c>
      <c r="F118" s="31" t="str">
        <f t="shared" si="48"/>
        <v/>
      </c>
      <c r="G118" s="11" t="str">
        <f t="shared" si="49"/>
        <v/>
      </c>
      <c r="H118" s="30" t="str">
        <f t="shared" si="50"/>
        <v/>
      </c>
      <c r="I118" s="32" t="str">
        <f t="shared" si="37"/>
        <v/>
      </c>
      <c r="J118" s="8" t="str">
        <f t="shared" si="51"/>
        <v/>
      </c>
      <c r="K118" s="21"/>
      <c r="L118" s="97" t="str">
        <f t="shared" si="41"/>
        <v/>
      </c>
      <c r="M118" s="97" t="str">
        <f t="shared" si="40"/>
        <v/>
      </c>
      <c r="N118" s="97" t="str">
        <f t="shared" si="38"/>
        <v/>
      </c>
      <c r="O118" s="8" t="str">
        <f t="shared" si="42"/>
        <v/>
      </c>
      <c r="P118" s="31" t="str">
        <f t="shared" si="43"/>
        <v/>
      </c>
      <c r="Q118" s="11" t="str">
        <f t="shared" si="44"/>
        <v/>
      </c>
      <c r="R118" s="31" t="str">
        <f t="shared" si="45"/>
        <v/>
      </c>
      <c r="S118" s="8" t="str">
        <f t="shared" si="52"/>
        <v/>
      </c>
    </row>
    <row r="119" spans="2:19" x14ac:dyDescent="0.3">
      <c r="B119" s="97" t="str">
        <f t="shared" si="46"/>
        <v/>
      </c>
      <c r="C119" s="97" t="str">
        <f t="shared" si="39"/>
        <v/>
      </c>
      <c r="D119" s="97" t="str">
        <f t="shared" si="36"/>
        <v/>
      </c>
      <c r="E119" s="8" t="str">
        <f t="shared" si="47"/>
        <v/>
      </c>
      <c r="F119" s="31" t="str">
        <f t="shared" si="48"/>
        <v/>
      </c>
      <c r="G119" s="11" t="str">
        <f t="shared" si="49"/>
        <v/>
      </c>
      <c r="H119" s="30" t="str">
        <f t="shared" si="50"/>
        <v/>
      </c>
      <c r="I119" s="32" t="str">
        <f t="shared" si="37"/>
        <v/>
      </c>
      <c r="J119" s="8" t="str">
        <f t="shared" si="51"/>
        <v/>
      </c>
      <c r="K119" s="21"/>
      <c r="L119" s="97" t="str">
        <f t="shared" si="41"/>
        <v/>
      </c>
      <c r="M119" s="97" t="str">
        <f t="shared" si="40"/>
        <v/>
      </c>
      <c r="N119" s="97" t="str">
        <f t="shared" si="38"/>
        <v/>
      </c>
      <c r="O119" s="8" t="str">
        <f t="shared" si="42"/>
        <v/>
      </c>
      <c r="P119" s="31" t="str">
        <f t="shared" si="43"/>
        <v/>
      </c>
      <c r="Q119" s="11" t="str">
        <f t="shared" si="44"/>
        <v/>
      </c>
      <c r="R119" s="31" t="str">
        <f t="shared" si="45"/>
        <v/>
      </c>
      <c r="S119" s="8" t="str">
        <f t="shared" si="52"/>
        <v/>
      </c>
    </row>
    <row r="120" spans="2:19" x14ac:dyDescent="0.3">
      <c r="B120" s="97" t="str">
        <f t="shared" si="46"/>
        <v/>
      </c>
      <c r="C120" s="97" t="str">
        <f t="shared" si="39"/>
        <v/>
      </c>
      <c r="D120" s="97" t="str">
        <f t="shared" si="36"/>
        <v/>
      </c>
      <c r="E120" s="8" t="str">
        <f t="shared" si="47"/>
        <v/>
      </c>
      <c r="F120" s="31" t="str">
        <f t="shared" si="48"/>
        <v/>
      </c>
      <c r="G120" s="11" t="str">
        <f t="shared" si="49"/>
        <v/>
      </c>
      <c r="H120" s="30" t="str">
        <f t="shared" si="50"/>
        <v/>
      </c>
      <c r="I120" s="32" t="str">
        <f t="shared" si="37"/>
        <v/>
      </c>
      <c r="J120" s="8" t="str">
        <f t="shared" si="51"/>
        <v/>
      </c>
      <c r="K120" s="21"/>
      <c r="L120" s="97" t="str">
        <f t="shared" si="41"/>
        <v/>
      </c>
      <c r="M120" s="97" t="str">
        <f t="shared" si="40"/>
        <v/>
      </c>
      <c r="N120" s="97" t="str">
        <f t="shared" si="38"/>
        <v/>
      </c>
      <c r="O120" s="8" t="str">
        <f t="shared" si="42"/>
        <v/>
      </c>
      <c r="P120" s="31" t="str">
        <f t="shared" si="43"/>
        <v/>
      </c>
      <c r="Q120" s="11" t="str">
        <f t="shared" si="44"/>
        <v/>
      </c>
      <c r="R120" s="31" t="str">
        <f t="shared" si="45"/>
        <v/>
      </c>
      <c r="S120" s="8" t="str">
        <f t="shared" si="52"/>
        <v/>
      </c>
    </row>
    <row r="121" spans="2:19" x14ac:dyDescent="0.3">
      <c r="B121" s="97" t="str">
        <f t="shared" si="46"/>
        <v/>
      </c>
      <c r="C121" s="97" t="str">
        <f t="shared" si="39"/>
        <v/>
      </c>
      <c r="D121" s="97" t="str">
        <f t="shared" si="36"/>
        <v/>
      </c>
      <c r="E121" s="8" t="str">
        <f t="shared" si="47"/>
        <v/>
      </c>
      <c r="F121" s="31" t="str">
        <f t="shared" si="48"/>
        <v/>
      </c>
      <c r="G121" s="11" t="str">
        <f t="shared" si="49"/>
        <v/>
      </c>
      <c r="H121" s="30" t="str">
        <f t="shared" si="50"/>
        <v/>
      </c>
      <c r="I121" s="32" t="str">
        <f t="shared" si="37"/>
        <v/>
      </c>
      <c r="J121" s="8" t="str">
        <f t="shared" si="51"/>
        <v/>
      </c>
      <c r="K121" s="21"/>
      <c r="L121" s="97" t="str">
        <f t="shared" si="41"/>
        <v/>
      </c>
      <c r="M121" s="97" t="str">
        <f t="shared" si="40"/>
        <v/>
      </c>
      <c r="N121" s="97" t="str">
        <f t="shared" si="38"/>
        <v/>
      </c>
      <c r="O121" s="8" t="str">
        <f t="shared" si="42"/>
        <v/>
      </c>
      <c r="P121" s="31" t="str">
        <f t="shared" si="43"/>
        <v/>
      </c>
      <c r="Q121" s="11" t="str">
        <f t="shared" si="44"/>
        <v/>
      </c>
      <c r="R121" s="31" t="str">
        <f t="shared" si="45"/>
        <v/>
      </c>
      <c r="S121" s="8" t="str">
        <f t="shared" si="52"/>
        <v/>
      </c>
    </row>
    <row r="122" spans="2:19" x14ac:dyDescent="0.3">
      <c r="B122" s="97" t="str">
        <f t="shared" si="46"/>
        <v/>
      </c>
      <c r="C122" s="97" t="str">
        <f t="shared" si="39"/>
        <v/>
      </c>
      <c r="D122" s="97" t="str">
        <f t="shared" si="36"/>
        <v/>
      </c>
      <c r="E122" s="8" t="str">
        <f t="shared" si="47"/>
        <v/>
      </c>
      <c r="F122" s="31" t="str">
        <f t="shared" si="48"/>
        <v/>
      </c>
      <c r="G122" s="11" t="str">
        <f t="shared" si="49"/>
        <v/>
      </c>
      <c r="H122" s="30" t="str">
        <f t="shared" si="50"/>
        <v/>
      </c>
      <c r="I122" s="32" t="str">
        <f t="shared" si="37"/>
        <v/>
      </c>
      <c r="J122" s="8" t="str">
        <f t="shared" si="51"/>
        <v/>
      </c>
      <c r="K122" s="21"/>
      <c r="L122" s="97" t="str">
        <f t="shared" si="41"/>
        <v/>
      </c>
      <c r="M122" s="97" t="str">
        <f t="shared" si="40"/>
        <v/>
      </c>
      <c r="N122" s="97" t="str">
        <f t="shared" si="38"/>
        <v/>
      </c>
      <c r="O122" s="8" t="str">
        <f t="shared" si="42"/>
        <v/>
      </c>
      <c r="P122" s="31" t="str">
        <f t="shared" si="43"/>
        <v/>
      </c>
      <c r="Q122" s="11" t="str">
        <f t="shared" si="44"/>
        <v/>
      </c>
      <c r="R122" s="31" t="str">
        <f t="shared" si="45"/>
        <v/>
      </c>
      <c r="S122" s="8" t="str">
        <f t="shared" si="52"/>
        <v/>
      </c>
    </row>
    <row r="123" spans="2:19" x14ac:dyDescent="0.3">
      <c r="B123" s="97" t="str">
        <f t="shared" si="46"/>
        <v/>
      </c>
      <c r="C123" s="97" t="str">
        <f t="shared" si="39"/>
        <v/>
      </c>
      <c r="D123" s="97" t="str">
        <f t="shared" si="36"/>
        <v/>
      </c>
      <c r="E123" s="8" t="str">
        <f t="shared" si="47"/>
        <v/>
      </c>
      <c r="F123" s="31" t="str">
        <f t="shared" si="48"/>
        <v/>
      </c>
      <c r="G123" s="11" t="str">
        <f t="shared" si="49"/>
        <v/>
      </c>
      <c r="H123" s="30" t="str">
        <f t="shared" si="50"/>
        <v/>
      </c>
      <c r="I123" s="32" t="str">
        <f t="shared" si="37"/>
        <v/>
      </c>
      <c r="J123" s="8" t="str">
        <f t="shared" si="51"/>
        <v/>
      </c>
      <c r="K123" s="21"/>
      <c r="L123" s="97" t="str">
        <f t="shared" si="41"/>
        <v/>
      </c>
      <c r="M123" s="97" t="str">
        <f t="shared" si="40"/>
        <v/>
      </c>
      <c r="N123" s="97" t="str">
        <f t="shared" si="38"/>
        <v/>
      </c>
      <c r="O123" s="8" t="str">
        <f t="shared" si="42"/>
        <v/>
      </c>
      <c r="P123" s="31" t="str">
        <f t="shared" si="43"/>
        <v/>
      </c>
      <c r="Q123" s="11" t="str">
        <f t="shared" si="44"/>
        <v/>
      </c>
      <c r="R123" s="31" t="str">
        <f t="shared" si="45"/>
        <v/>
      </c>
      <c r="S123" s="8" t="str">
        <f t="shared" si="52"/>
        <v/>
      </c>
    </row>
    <row r="124" spans="2:19" x14ac:dyDescent="0.3">
      <c r="B124" s="97" t="str">
        <f t="shared" si="46"/>
        <v/>
      </c>
      <c r="C124" s="97" t="str">
        <f t="shared" si="39"/>
        <v/>
      </c>
      <c r="D124" s="97" t="str">
        <f t="shared" si="36"/>
        <v/>
      </c>
      <c r="E124" s="8" t="str">
        <f t="shared" si="47"/>
        <v/>
      </c>
      <c r="F124" s="31" t="str">
        <f t="shared" si="48"/>
        <v/>
      </c>
      <c r="G124" s="11" t="str">
        <f t="shared" si="49"/>
        <v/>
      </c>
      <c r="H124" s="30" t="str">
        <f t="shared" si="50"/>
        <v/>
      </c>
      <c r="I124" s="32" t="str">
        <f t="shared" si="37"/>
        <v/>
      </c>
      <c r="J124" s="8" t="str">
        <f t="shared" si="51"/>
        <v/>
      </c>
      <c r="K124" s="21"/>
      <c r="L124" s="97" t="str">
        <f t="shared" si="41"/>
        <v/>
      </c>
      <c r="M124" s="97" t="str">
        <f t="shared" si="40"/>
        <v/>
      </c>
      <c r="N124" s="97" t="str">
        <f t="shared" si="38"/>
        <v/>
      </c>
      <c r="O124" s="8" t="str">
        <f t="shared" si="42"/>
        <v/>
      </c>
      <c r="P124" s="31" t="str">
        <f t="shared" si="43"/>
        <v/>
      </c>
      <c r="Q124" s="11" t="str">
        <f t="shared" si="44"/>
        <v/>
      </c>
      <c r="R124" s="31" t="str">
        <f t="shared" si="45"/>
        <v/>
      </c>
      <c r="S124" s="8" t="str">
        <f t="shared" si="52"/>
        <v/>
      </c>
    </row>
    <row r="125" spans="2:19" x14ac:dyDescent="0.3">
      <c r="B125" s="97" t="str">
        <f t="shared" si="46"/>
        <v/>
      </c>
      <c r="C125" s="97" t="str">
        <f t="shared" si="39"/>
        <v/>
      </c>
      <c r="D125" s="97" t="str">
        <f t="shared" si="36"/>
        <v/>
      </c>
      <c r="E125" s="8" t="str">
        <f t="shared" si="47"/>
        <v/>
      </c>
      <c r="F125" s="31" t="str">
        <f t="shared" si="48"/>
        <v/>
      </c>
      <c r="G125" s="11" t="str">
        <f t="shared" si="49"/>
        <v/>
      </c>
      <c r="H125" s="30" t="str">
        <f t="shared" si="50"/>
        <v/>
      </c>
      <c r="I125" s="32" t="str">
        <f t="shared" si="37"/>
        <v/>
      </c>
      <c r="J125" s="8" t="str">
        <f t="shared" si="51"/>
        <v/>
      </c>
      <c r="K125" s="21"/>
      <c r="L125" s="97" t="str">
        <f t="shared" si="41"/>
        <v/>
      </c>
      <c r="M125" s="97" t="str">
        <f t="shared" si="40"/>
        <v/>
      </c>
      <c r="N125" s="97" t="str">
        <f t="shared" si="38"/>
        <v/>
      </c>
      <c r="O125" s="8" t="str">
        <f t="shared" si="42"/>
        <v/>
      </c>
      <c r="P125" s="31" t="str">
        <f t="shared" si="43"/>
        <v/>
      </c>
      <c r="Q125" s="11" t="str">
        <f t="shared" si="44"/>
        <v/>
      </c>
      <c r="R125" s="31" t="str">
        <f t="shared" si="45"/>
        <v/>
      </c>
      <c r="S125" s="8" t="str">
        <f t="shared" si="52"/>
        <v/>
      </c>
    </row>
    <row r="126" spans="2:19" x14ac:dyDescent="0.3">
      <c r="B126" s="97" t="str">
        <f t="shared" si="46"/>
        <v/>
      </c>
      <c r="C126" s="97" t="str">
        <f t="shared" si="39"/>
        <v/>
      </c>
      <c r="D126" s="97" t="str">
        <f t="shared" si="36"/>
        <v/>
      </c>
      <c r="E126" s="8" t="str">
        <f t="shared" si="47"/>
        <v/>
      </c>
      <c r="F126" s="31" t="str">
        <f t="shared" si="48"/>
        <v/>
      </c>
      <c r="G126" s="11" t="str">
        <f t="shared" si="49"/>
        <v/>
      </c>
      <c r="H126" s="30" t="str">
        <f t="shared" si="50"/>
        <v/>
      </c>
      <c r="I126" s="32" t="str">
        <f t="shared" si="37"/>
        <v/>
      </c>
      <c r="J126" s="8" t="str">
        <f t="shared" si="51"/>
        <v/>
      </c>
      <c r="K126" s="21"/>
      <c r="L126" s="97" t="str">
        <f t="shared" si="41"/>
        <v/>
      </c>
      <c r="M126" s="97" t="str">
        <f t="shared" si="40"/>
        <v/>
      </c>
      <c r="N126" s="97" t="str">
        <f t="shared" si="38"/>
        <v/>
      </c>
      <c r="O126" s="8" t="str">
        <f t="shared" si="42"/>
        <v/>
      </c>
      <c r="P126" s="31" t="str">
        <f t="shared" si="43"/>
        <v/>
      </c>
      <c r="Q126" s="11" t="str">
        <f t="shared" si="44"/>
        <v/>
      </c>
      <c r="R126" s="31" t="str">
        <f t="shared" si="45"/>
        <v/>
      </c>
      <c r="S126" s="8" t="str">
        <f t="shared" si="52"/>
        <v/>
      </c>
    </row>
    <row r="127" spans="2:19" x14ac:dyDescent="0.3">
      <c r="B127" s="97" t="str">
        <f t="shared" si="46"/>
        <v/>
      </c>
      <c r="C127" s="97" t="str">
        <f t="shared" si="39"/>
        <v/>
      </c>
      <c r="D127" s="97" t="str">
        <f t="shared" si="36"/>
        <v/>
      </c>
      <c r="E127" s="8" t="str">
        <f t="shared" si="47"/>
        <v/>
      </c>
      <c r="F127" s="31" t="str">
        <f t="shared" si="48"/>
        <v/>
      </c>
      <c r="G127" s="11" t="str">
        <f t="shared" si="49"/>
        <v/>
      </c>
      <c r="H127" s="30" t="str">
        <f t="shared" si="50"/>
        <v/>
      </c>
      <c r="I127" s="32" t="str">
        <f t="shared" si="37"/>
        <v/>
      </c>
      <c r="J127" s="8" t="str">
        <f t="shared" si="51"/>
        <v/>
      </c>
      <c r="K127" s="21"/>
      <c r="L127" s="97" t="str">
        <f t="shared" si="41"/>
        <v/>
      </c>
      <c r="M127" s="97" t="str">
        <f t="shared" si="40"/>
        <v/>
      </c>
      <c r="N127" s="97" t="str">
        <f t="shared" si="38"/>
        <v/>
      </c>
      <c r="O127" s="8" t="str">
        <f t="shared" si="42"/>
        <v/>
      </c>
      <c r="P127" s="31" t="str">
        <f t="shared" si="43"/>
        <v/>
      </c>
      <c r="Q127" s="11" t="str">
        <f t="shared" si="44"/>
        <v/>
      </c>
      <c r="R127" s="31" t="str">
        <f t="shared" si="45"/>
        <v/>
      </c>
      <c r="S127" s="8" t="str">
        <f t="shared" si="52"/>
        <v/>
      </c>
    </row>
    <row r="128" spans="2:19" x14ac:dyDescent="0.3">
      <c r="B128" s="97" t="str">
        <f t="shared" si="46"/>
        <v/>
      </c>
      <c r="C128" s="97" t="str">
        <f t="shared" si="39"/>
        <v/>
      </c>
      <c r="D128" s="97" t="str">
        <f t="shared" si="36"/>
        <v/>
      </c>
      <c r="E128" s="8" t="str">
        <f t="shared" si="47"/>
        <v/>
      </c>
      <c r="F128" s="31" t="str">
        <f t="shared" si="48"/>
        <v/>
      </c>
      <c r="G128" s="11" t="str">
        <f t="shared" si="49"/>
        <v/>
      </c>
      <c r="H128" s="30" t="str">
        <f t="shared" si="50"/>
        <v/>
      </c>
      <c r="I128" s="32" t="str">
        <f t="shared" si="37"/>
        <v/>
      </c>
      <c r="J128" s="8" t="str">
        <f t="shared" si="51"/>
        <v/>
      </c>
      <c r="K128" s="21"/>
      <c r="L128" s="97" t="str">
        <f t="shared" si="41"/>
        <v/>
      </c>
      <c r="M128" s="97" t="str">
        <f t="shared" si="40"/>
        <v/>
      </c>
      <c r="N128" s="97" t="str">
        <f t="shared" si="38"/>
        <v/>
      </c>
      <c r="O128" s="8" t="str">
        <f t="shared" si="42"/>
        <v/>
      </c>
      <c r="P128" s="31" t="str">
        <f t="shared" si="43"/>
        <v/>
      </c>
      <c r="Q128" s="11" t="str">
        <f t="shared" si="44"/>
        <v/>
      </c>
      <c r="R128" s="31" t="str">
        <f t="shared" si="45"/>
        <v/>
      </c>
      <c r="S128" s="8" t="str">
        <f t="shared" si="52"/>
        <v/>
      </c>
    </row>
    <row r="129" spans="2:19" x14ac:dyDescent="0.3">
      <c r="B129" s="97" t="str">
        <f t="shared" si="46"/>
        <v/>
      </c>
      <c r="C129" s="97" t="str">
        <f t="shared" si="39"/>
        <v/>
      </c>
      <c r="D129" s="97" t="str">
        <f t="shared" si="36"/>
        <v/>
      </c>
      <c r="E129" s="8" t="str">
        <f t="shared" si="47"/>
        <v/>
      </c>
      <c r="F129" s="31" t="str">
        <f t="shared" si="48"/>
        <v/>
      </c>
      <c r="G129" s="11" t="str">
        <f t="shared" si="49"/>
        <v/>
      </c>
      <c r="H129" s="30" t="str">
        <f t="shared" si="50"/>
        <v/>
      </c>
      <c r="I129" s="32" t="str">
        <f t="shared" si="37"/>
        <v/>
      </c>
      <c r="J129" s="8" t="str">
        <f t="shared" si="51"/>
        <v/>
      </c>
      <c r="K129" s="21"/>
      <c r="L129" s="97" t="str">
        <f t="shared" si="41"/>
        <v/>
      </c>
      <c r="M129" s="97" t="str">
        <f t="shared" si="40"/>
        <v/>
      </c>
      <c r="N129" s="97" t="str">
        <f t="shared" si="38"/>
        <v/>
      </c>
      <c r="O129" s="8" t="str">
        <f t="shared" si="42"/>
        <v/>
      </c>
      <c r="P129" s="31" t="str">
        <f t="shared" si="43"/>
        <v/>
      </c>
      <c r="Q129" s="11" t="str">
        <f t="shared" si="44"/>
        <v/>
      </c>
      <c r="R129" s="31" t="str">
        <f t="shared" si="45"/>
        <v/>
      </c>
      <c r="S129" s="8" t="str">
        <f t="shared" si="52"/>
        <v/>
      </c>
    </row>
    <row r="130" spans="2:19" x14ac:dyDescent="0.3">
      <c r="B130" s="97" t="str">
        <f t="shared" si="46"/>
        <v/>
      </c>
      <c r="C130" s="97" t="str">
        <f t="shared" si="39"/>
        <v/>
      </c>
      <c r="D130" s="97" t="str">
        <f t="shared" si="36"/>
        <v/>
      </c>
      <c r="E130" s="8" t="str">
        <f t="shared" si="47"/>
        <v/>
      </c>
      <c r="F130" s="31" t="str">
        <f t="shared" si="48"/>
        <v/>
      </c>
      <c r="G130" s="11" t="str">
        <f t="shared" si="49"/>
        <v/>
      </c>
      <c r="H130" s="30" t="str">
        <f t="shared" si="50"/>
        <v/>
      </c>
      <c r="I130" s="32" t="str">
        <f t="shared" si="37"/>
        <v/>
      </c>
      <c r="J130" s="8" t="str">
        <f t="shared" si="51"/>
        <v/>
      </c>
      <c r="K130" s="21"/>
      <c r="L130" s="97" t="str">
        <f t="shared" si="41"/>
        <v/>
      </c>
      <c r="M130" s="97" t="str">
        <f t="shared" si="40"/>
        <v/>
      </c>
      <c r="N130" s="97" t="str">
        <f t="shared" si="38"/>
        <v/>
      </c>
      <c r="O130" s="8" t="str">
        <f t="shared" si="42"/>
        <v/>
      </c>
      <c r="P130" s="31" t="str">
        <f t="shared" si="43"/>
        <v/>
      </c>
      <c r="Q130" s="11" t="str">
        <f t="shared" si="44"/>
        <v/>
      </c>
      <c r="R130" s="31" t="str">
        <f t="shared" si="45"/>
        <v/>
      </c>
      <c r="S130" s="8" t="str">
        <f t="shared" si="52"/>
        <v/>
      </c>
    </row>
    <row r="131" spans="2:19" x14ac:dyDescent="0.3">
      <c r="B131" s="97" t="str">
        <f t="shared" si="46"/>
        <v/>
      </c>
      <c r="C131" s="97" t="str">
        <f t="shared" si="39"/>
        <v/>
      </c>
      <c r="D131" s="97" t="str">
        <f t="shared" si="36"/>
        <v/>
      </c>
      <c r="E131" s="8" t="str">
        <f t="shared" si="47"/>
        <v/>
      </c>
      <c r="F131" s="31" t="str">
        <f t="shared" si="48"/>
        <v/>
      </c>
      <c r="G131" s="11" t="str">
        <f t="shared" si="49"/>
        <v/>
      </c>
      <c r="H131" s="30" t="str">
        <f t="shared" si="50"/>
        <v/>
      </c>
      <c r="I131" s="32" t="str">
        <f t="shared" si="37"/>
        <v/>
      </c>
      <c r="J131" s="8" t="str">
        <f t="shared" si="51"/>
        <v/>
      </c>
      <c r="K131" s="21"/>
      <c r="L131" s="97" t="str">
        <f t="shared" si="41"/>
        <v/>
      </c>
      <c r="M131" s="97" t="str">
        <f t="shared" si="40"/>
        <v/>
      </c>
      <c r="N131" s="97" t="str">
        <f t="shared" si="38"/>
        <v/>
      </c>
      <c r="O131" s="8" t="str">
        <f t="shared" si="42"/>
        <v/>
      </c>
      <c r="P131" s="31" t="str">
        <f t="shared" si="43"/>
        <v/>
      </c>
      <c r="Q131" s="11" t="str">
        <f t="shared" si="44"/>
        <v/>
      </c>
      <c r="R131" s="31" t="str">
        <f t="shared" si="45"/>
        <v/>
      </c>
      <c r="S131" s="8" t="str">
        <f t="shared" si="52"/>
        <v/>
      </c>
    </row>
    <row r="132" spans="2:19" x14ac:dyDescent="0.3">
      <c r="B132" s="97" t="str">
        <f t="shared" si="46"/>
        <v/>
      </c>
      <c r="C132" s="97" t="str">
        <f t="shared" si="39"/>
        <v/>
      </c>
      <c r="D132" s="97" t="str">
        <f t="shared" si="36"/>
        <v/>
      </c>
      <c r="E132" s="8" t="str">
        <f t="shared" si="47"/>
        <v/>
      </c>
      <c r="F132" s="31" t="str">
        <f t="shared" si="48"/>
        <v/>
      </c>
      <c r="G132" s="11" t="str">
        <f t="shared" si="49"/>
        <v/>
      </c>
      <c r="H132" s="30" t="str">
        <f t="shared" si="50"/>
        <v/>
      </c>
      <c r="I132" s="32" t="str">
        <f t="shared" si="37"/>
        <v/>
      </c>
      <c r="J132" s="8" t="str">
        <f t="shared" si="51"/>
        <v/>
      </c>
      <c r="K132" s="21"/>
      <c r="L132" s="97" t="str">
        <f t="shared" si="41"/>
        <v/>
      </c>
      <c r="M132" s="97" t="str">
        <f t="shared" si="40"/>
        <v/>
      </c>
      <c r="N132" s="97" t="str">
        <f t="shared" si="38"/>
        <v/>
      </c>
      <c r="O132" s="8" t="str">
        <f t="shared" si="42"/>
        <v/>
      </c>
      <c r="P132" s="31" t="str">
        <f t="shared" si="43"/>
        <v/>
      </c>
      <c r="Q132" s="11" t="str">
        <f t="shared" si="44"/>
        <v/>
      </c>
      <c r="R132" s="31" t="str">
        <f t="shared" si="45"/>
        <v/>
      </c>
      <c r="S132" s="8" t="str">
        <f t="shared" si="52"/>
        <v/>
      </c>
    </row>
    <row r="133" spans="2:19" x14ac:dyDescent="0.3">
      <c r="B133" s="97" t="str">
        <f t="shared" si="46"/>
        <v/>
      </c>
      <c r="C133" s="97" t="str">
        <f t="shared" si="39"/>
        <v/>
      </c>
      <c r="D133" s="97" t="str">
        <f t="shared" si="36"/>
        <v/>
      </c>
      <c r="E133" s="8" t="str">
        <f t="shared" si="47"/>
        <v/>
      </c>
      <c r="F133" s="31" t="str">
        <f t="shared" si="48"/>
        <v/>
      </c>
      <c r="G133" s="11" t="str">
        <f t="shared" si="49"/>
        <v/>
      </c>
      <c r="H133" s="30" t="str">
        <f t="shared" si="50"/>
        <v/>
      </c>
      <c r="I133" s="32" t="str">
        <f t="shared" si="37"/>
        <v/>
      </c>
      <c r="J133" s="8" t="str">
        <f t="shared" si="51"/>
        <v/>
      </c>
      <c r="K133" s="21"/>
      <c r="L133" s="97" t="str">
        <f t="shared" si="41"/>
        <v/>
      </c>
      <c r="M133" s="97" t="str">
        <f t="shared" si="40"/>
        <v/>
      </c>
      <c r="N133" s="97" t="str">
        <f t="shared" si="38"/>
        <v/>
      </c>
      <c r="O133" s="8" t="str">
        <f t="shared" si="42"/>
        <v/>
      </c>
      <c r="P133" s="31" t="str">
        <f t="shared" si="43"/>
        <v/>
      </c>
      <c r="Q133" s="11" t="str">
        <f t="shared" si="44"/>
        <v/>
      </c>
      <c r="R133" s="31" t="str">
        <f t="shared" si="45"/>
        <v/>
      </c>
      <c r="S133" s="8" t="str">
        <f t="shared" si="52"/>
        <v/>
      </c>
    </row>
    <row r="134" spans="2:19" x14ac:dyDescent="0.3">
      <c r="B134" s="97" t="str">
        <f t="shared" si="46"/>
        <v/>
      </c>
      <c r="C134" s="97" t="str">
        <f t="shared" si="39"/>
        <v/>
      </c>
      <c r="D134" s="97" t="str">
        <f t="shared" si="36"/>
        <v/>
      </c>
      <c r="E134" s="8" t="str">
        <f t="shared" si="47"/>
        <v/>
      </c>
      <c r="F134" s="31" t="str">
        <f t="shared" si="48"/>
        <v/>
      </c>
      <c r="G134" s="11" t="str">
        <f t="shared" si="49"/>
        <v/>
      </c>
      <c r="H134" s="30" t="str">
        <f t="shared" si="50"/>
        <v/>
      </c>
      <c r="I134" s="32" t="str">
        <f t="shared" si="37"/>
        <v/>
      </c>
      <c r="J134" s="8" t="str">
        <f t="shared" si="51"/>
        <v/>
      </c>
      <c r="K134" s="21"/>
      <c r="L134" s="97" t="str">
        <f t="shared" si="41"/>
        <v/>
      </c>
      <c r="M134" s="97" t="str">
        <f t="shared" si="40"/>
        <v/>
      </c>
      <c r="N134" s="97" t="str">
        <f t="shared" si="38"/>
        <v/>
      </c>
      <c r="O134" s="8" t="str">
        <f t="shared" si="42"/>
        <v/>
      </c>
      <c r="P134" s="31" t="str">
        <f t="shared" si="43"/>
        <v/>
      </c>
      <c r="Q134" s="11" t="str">
        <f t="shared" si="44"/>
        <v/>
      </c>
      <c r="R134" s="31" t="str">
        <f t="shared" si="45"/>
        <v/>
      </c>
      <c r="S134" s="8" t="str">
        <f t="shared" si="52"/>
        <v/>
      </c>
    </row>
    <row r="135" spans="2:19" x14ac:dyDescent="0.3">
      <c r="B135" s="97" t="str">
        <f t="shared" si="46"/>
        <v/>
      </c>
      <c r="C135" s="97" t="str">
        <f t="shared" si="39"/>
        <v/>
      </c>
      <c r="D135" s="97" t="str">
        <f t="shared" si="36"/>
        <v/>
      </c>
      <c r="E135" s="8" t="str">
        <f t="shared" si="47"/>
        <v/>
      </c>
      <c r="F135" s="31" t="str">
        <f t="shared" si="48"/>
        <v/>
      </c>
      <c r="G135" s="11" t="str">
        <f t="shared" si="49"/>
        <v/>
      </c>
      <c r="H135" s="30" t="str">
        <f t="shared" si="50"/>
        <v/>
      </c>
      <c r="I135" s="32" t="str">
        <f t="shared" si="37"/>
        <v/>
      </c>
      <c r="J135" s="8" t="str">
        <f t="shared" si="51"/>
        <v/>
      </c>
      <c r="K135" s="21"/>
      <c r="L135" s="97" t="str">
        <f t="shared" si="41"/>
        <v/>
      </c>
      <c r="M135" s="97" t="str">
        <f t="shared" si="40"/>
        <v/>
      </c>
      <c r="N135" s="97" t="str">
        <f t="shared" si="38"/>
        <v/>
      </c>
      <c r="O135" s="8" t="str">
        <f t="shared" si="42"/>
        <v/>
      </c>
      <c r="P135" s="31" t="str">
        <f t="shared" si="43"/>
        <v/>
      </c>
      <c r="Q135" s="11" t="str">
        <f t="shared" si="44"/>
        <v/>
      </c>
      <c r="R135" s="31" t="str">
        <f t="shared" si="45"/>
        <v/>
      </c>
      <c r="S135" s="8" t="str">
        <f t="shared" si="52"/>
        <v/>
      </c>
    </row>
    <row r="136" spans="2:19" x14ac:dyDescent="0.3">
      <c r="B136" s="97" t="str">
        <f t="shared" si="46"/>
        <v/>
      </c>
      <c r="C136" s="97" t="str">
        <f t="shared" si="39"/>
        <v/>
      </c>
      <c r="D136" s="97" t="str">
        <f t="shared" si="36"/>
        <v/>
      </c>
      <c r="E136" s="8" t="str">
        <f t="shared" si="47"/>
        <v/>
      </c>
      <c r="F136" s="31" t="str">
        <f t="shared" si="48"/>
        <v/>
      </c>
      <c r="G136" s="11" t="str">
        <f t="shared" si="49"/>
        <v/>
      </c>
      <c r="H136" s="30" t="str">
        <f t="shared" si="50"/>
        <v/>
      </c>
      <c r="I136" s="32" t="str">
        <f t="shared" si="37"/>
        <v/>
      </c>
      <c r="J136" s="8" t="str">
        <f t="shared" si="51"/>
        <v/>
      </c>
      <c r="K136" s="21"/>
      <c r="L136" s="97" t="str">
        <f t="shared" si="41"/>
        <v/>
      </c>
      <c r="M136" s="97" t="str">
        <f t="shared" si="40"/>
        <v/>
      </c>
      <c r="N136" s="97" t="str">
        <f t="shared" si="38"/>
        <v/>
      </c>
      <c r="O136" s="8" t="str">
        <f t="shared" si="42"/>
        <v/>
      </c>
      <c r="P136" s="31" t="str">
        <f t="shared" si="43"/>
        <v/>
      </c>
      <c r="Q136" s="11" t="str">
        <f t="shared" si="44"/>
        <v/>
      </c>
      <c r="R136" s="31" t="str">
        <f t="shared" si="45"/>
        <v/>
      </c>
      <c r="S136" s="8" t="str">
        <f t="shared" si="52"/>
        <v/>
      </c>
    </row>
    <row r="137" spans="2:19" x14ac:dyDescent="0.3">
      <c r="B137" s="97" t="str">
        <f t="shared" si="46"/>
        <v/>
      </c>
      <c r="C137" s="97" t="str">
        <f t="shared" si="39"/>
        <v/>
      </c>
      <c r="D137" s="97" t="str">
        <f t="shared" si="36"/>
        <v/>
      </c>
      <c r="E137" s="8" t="str">
        <f t="shared" si="47"/>
        <v/>
      </c>
      <c r="F137" s="31" t="str">
        <f t="shared" si="48"/>
        <v/>
      </c>
      <c r="G137" s="11" t="str">
        <f t="shared" si="49"/>
        <v/>
      </c>
      <c r="H137" s="30" t="str">
        <f t="shared" si="50"/>
        <v/>
      </c>
      <c r="I137" s="32" t="str">
        <f t="shared" si="37"/>
        <v/>
      </c>
      <c r="J137" s="8" t="str">
        <f t="shared" si="51"/>
        <v/>
      </c>
      <c r="K137" s="21"/>
      <c r="L137" s="97" t="str">
        <f t="shared" si="41"/>
        <v/>
      </c>
      <c r="M137" s="97" t="str">
        <f t="shared" si="40"/>
        <v/>
      </c>
      <c r="N137" s="97" t="str">
        <f t="shared" si="38"/>
        <v/>
      </c>
      <c r="O137" s="8" t="str">
        <f t="shared" si="42"/>
        <v/>
      </c>
      <c r="P137" s="31" t="str">
        <f t="shared" si="43"/>
        <v/>
      </c>
      <c r="Q137" s="11" t="str">
        <f t="shared" si="44"/>
        <v/>
      </c>
      <c r="R137" s="31" t="str">
        <f t="shared" si="45"/>
        <v/>
      </c>
      <c r="S137" s="8" t="str">
        <f t="shared" si="52"/>
        <v/>
      </c>
    </row>
    <row r="138" spans="2:19" x14ac:dyDescent="0.3">
      <c r="B138" s="97" t="str">
        <f t="shared" si="46"/>
        <v/>
      </c>
      <c r="C138" s="97" t="str">
        <f t="shared" si="39"/>
        <v/>
      </c>
      <c r="D138" s="97" t="str">
        <f t="shared" si="36"/>
        <v/>
      </c>
      <c r="E138" s="8" t="str">
        <f t="shared" si="47"/>
        <v/>
      </c>
      <c r="F138" s="31" t="str">
        <f t="shared" si="48"/>
        <v/>
      </c>
      <c r="G138" s="11" t="str">
        <f t="shared" si="49"/>
        <v/>
      </c>
      <c r="H138" s="30" t="str">
        <f t="shared" si="50"/>
        <v/>
      </c>
      <c r="I138" s="32" t="str">
        <f t="shared" si="37"/>
        <v/>
      </c>
      <c r="J138" s="8" t="str">
        <f t="shared" si="51"/>
        <v/>
      </c>
      <c r="K138" s="21"/>
      <c r="L138" s="97" t="str">
        <f t="shared" si="41"/>
        <v/>
      </c>
      <c r="M138" s="97" t="str">
        <f t="shared" si="40"/>
        <v/>
      </c>
      <c r="N138" s="97" t="str">
        <f t="shared" si="38"/>
        <v/>
      </c>
      <c r="O138" s="8" t="str">
        <f t="shared" si="42"/>
        <v/>
      </c>
      <c r="P138" s="31" t="str">
        <f t="shared" si="43"/>
        <v/>
      </c>
      <c r="Q138" s="11" t="str">
        <f t="shared" si="44"/>
        <v/>
      </c>
      <c r="R138" s="31" t="str">
        <f t="shared" si="45"/>
        <v/>
      </c>
      <c r="S138" s="8" t="str">
        <f t="shared" si="52"/>
        <v/>
      </c>
    </row>
    <row r="139" spans="2:19" x14ac:dyDescent="0.3">
      <c r="R139" s="10"/>
    </row>
  </sheetData>
  <phoneticPr fontId="0" type="noConversion"/>
  <dataValidations count="3">
    <dataValidation type="list" allowBlank="1" showInputMessage="1" showErrorMessage="1" sqref="C8 F8" xr:uid="{00000000-0002-0000-0200-000000000000}">
      <formula1>$AB$1:$AB$4</formula1>
    </dataValidation>
    <dataValidation type="list" allowBlank="1" showInputMessage="1" showErrorMessage="1" sqref="C9 F9" xr:uid="{00000000-0002-0000-0200-000001000000}">
      <formula1>$AE$1:$AE$3</formula1>
    </dataValidation>
    <dataValidation type="list" allowBlank="1" showInputMessage="1" showErrorMessage="1" sqref="I2" xr:uid="{00000000-0002-0000-0200-000002000000}">
      <formula1>"PAYEUR,RECEVEUR"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3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B1:AL252"/>
  <sheetViews>
    <sheetView showGridLines="0" zoomScaleNormal="100" workbookViewId="0"/>
  </sheetViews>
  <sheetFormatPr baseColWidth="10" defaultRowHeight="12.45" x14ac:dyDescent="0.3"/>
  <cols>
    <col min="1" max="1" width="5" customWidth="1"/>
    <col min="3" max="3" width="16.53515625" customWidth="1"/>
    <col min="6" max="6" width="19.84375" customWidth="1"/>
    <col min="9" max="9" width="13.84375" customWidth="1"/>
    <col min="10" max="10" width="16.3046875" customWidth="1"/>
    <col min="11" max="11" width="11.69140625" bestFit="1" customWidth="1"/>
    <col min="17" max="17" width="12.69140625" bestFit="1" customWidth="1"/>
    <col min="19" max="19" width="15.3046875" bestFit="1" customWidth="1"/>
  </cols>
  <sheetData>
    <row r="1" spans="2:38" x14ac:dyDescent="0.3">
      <c r="AC1" s="22" t="s">
        <v>68</v>
      </c>
      <c r="AD1" s="22">
        <v>12</v>
      </c>
      <c r="AE1" s="22"/>
      <c r="AF1" s="22" t="s">
        <v>27</v>
      </c>
      <c r="AH1" s="22" t="s">
        <v>38</v>
      </c>
      <c r="AI1" s="22">
        <f>COUNT(B19:B138)</f>
        <v>20</v>
      </c>
      <c r="AK1" s="22"/>
      <c r="AL1" s="23"/>
    </row>
    <row r="2" spans="2:38" x14ac:dyDescent="0.3">
      <c r="B2" s="12" t="s">
        <v>22</v>
      </c>
      <c r="C2" s="95">
        <f>'Courbe des taux'!D2</f>
        <v>45296</v>
      </c>
      <c r="AC2" s="22" t="s">
        <v>69</v>
      </c>
      <c r="AD2" s="22">
        <v>6</v>
      </c>
      <c r="AE2" s="22"/>
      <c r="AF2" s="22" t="s">
        <v>28</v>
      </c>
      <c r="AH2" s="22" t="s">
        <v>40</v>
      </c>
      <c r="AI2" s="22">
        <f>COUNT(J19:J138)</f>
        <v>20</v>
      </c>
      <c r="AK2" s="22"/>
      <c r="AL2" s="23"/>
    </row>
    <row r="3" spans="2:38" ht="18" thickBot="1" x14ac:dyDescent="0.45">
      <c r="E3" s="41" t="s">
        <v>73</v>
      </c>
      <c r="F3" s="36">
        <f>SUM(K19:K138)</f>
        <v>2840107.2968616239</v>
      </c>
      <c r="Q3" s="18"/>
      <c r="AC3" s="22" t="s">
        <v>70</v>
      </c>
      <c r="AD3" s="22">
        <v>3</v>
      </c>
      <c r="AE3" s="22"/>
      <c r="AF3" s="22" t="s">
        <v>29</v>
      </c>
      <c r="AH3" s="22"/>
      <c r="AI3" s="22"/>
      <c r="AK3" s="22"/>
      <c r="AL3" s="23"/>
    </row>
    <row r="4" spans="2:38" x14ac:dyDescent="0.3">
      <c r="AC4" s="22" t="s">
        <v>71</v>
      </c>
      <c r="AD4" s="22">
        <v>1</v>
      </c>
      <c r="AE4" s="22"/>
      <c r="AF4" s="22"/>
    </row>
    <row r="5" spans="2:38" ht="18" thickBot="1" x14ac:dyDescent="0.45">
      <c r="B5" s="12" t="s">
        <v>67</v>
      </c>
      <c r="C5" s="12"/>
      <c r="E5" s="41" t="s">
        <v>74</v>
      </c>
      <c r="F5" s="40">
        <f>F3/SUMPRODUCT(E19:E138,F19:F138,J19:J138)*10000</f>
        <v>32.011765651164261</v>
      </c>
      <c r="AC5" s="22"/>
      <c r="AD5" s="22"/>
      <c r="AE5" s="22"/>
      <c r="AF5" s="22"/>
    </row>
    <row r="6" spans="2:38" x14ac:dyDescent="0.3">
      <c r="B6" s="16" t="s">
        <v>158</v>
      </c>
      <c r="C6" s="42">
        <v>100000000</v>
      </c>
    </row>
    <row r="7" spans="2:38" ht="12.9" x14ac:dyDescent="0.35">
      <c r="B7" t="s">
        <v>66</v>
      </c>
      <c r="C7" s="17" t="s">
        <v>99</v>
      </c>
      <c r="E7" s="13" t="s">
        <v>77</v>
      </c>
      <c r="F7" s="43">
        <f>SUMPRODUCT(E19:E138,I19:I138,J19:J138)/SUMPRODUCT(E19:E138,J19:J138)</f>
        <v>2.5658911182607314E-2</v>
      </c>
    </row>
    <row r="8" spans="2:38" x14ac:dyDescent="0.3">
      <c r="B8" t="s">
        <v>41</v>
      </c>
      <c r="C8" s="24">
        <f>C2+2</f>
        <v>45298</v>
      </c>
    </row>
    <row r="9" spans="2:38" x14ac:dyDescent="0.3">
      <c r="B9" t="s">
        <v>42</v>
      </c>
      <c r="C9" s="24">
        <v>48951</v>
      </c>
    </row>
    <row r="10" spans="2:38" x14ac:dyDescent="0.3">
      <c r="B10" t="s">
        <v>72</v>
      </c>
      <c r="C10" s="17" t="s">
        <v>69</v>
      </c>
    </row>
    <row r="11" spans="2:38" x14ac:dyDescent="0.3">
      <c r="B11" t="s">
        <v>43</v>
      </c>
      <c r="C11" s="17" t="s">
        <v>27</v>
      </c>
    </row>
    <row r="12" spans="2:38" x14ac:dyDescent="0.3">
      <c r="B12" t="s">
        <v>64</v>
      </c>
      <c r="C12" s="14">
        <v>0.04</v>
      </c>
    </row>
    <row r="13" spans="2:38" x14ac:dyDescent="0.3">
      <c r="B13" s="16" t="s">
        <v>118</v>
      </c>
      <c r="C13" s="14">
        <v>1.04E-2</v>
      </c>
      <c r="E13" s="39"/>
    </row>
    <row r="16" spans="2:38" ht="12.9" x14ac:dyDescent="0.35">
      <c r="B16" s="13" t="s">
        <v>65</v>
      </c>
      <c r="M16" s="13"/>
    </row>
    <row r="18" spans="2:13" x14ac:dyDescent="0.3">
      <c r="B18" s="27" t="s">
        <v>55</v>
      </c>
      <c r="C18" s="27" t="s">
        <v>46</v>
      </c>
      <c r="D18" s="27" t="s">
        <v>47</v>
      </c>
      <c r="E18" s="27" t="s">
        <v>56</v>
      </c>
      <c r="F18" s="27" t="s">
        <v>158</v>
      </c>
      <c r="G18" s="27" t="s">
        <v>75</v>
      </c>
      <c r="H18" s="27" t="s">
        <v>98</v>
      </c>
      <c r="I18" s="27" t="s">
        <v>51</v>
      </c>
      <c r="J18" s="27" t="s">
        <v>54</v>
      </c>
      <c r="K18" s="27" t="s">
        <v>76</v>
      </c>
      <c r="M18" s="29"/>
    </row>
    <row r="19" spans="2:13" x14ac:dyDescent="0.3">
      <c r="B19" s="97">
        <f t="shared" ref="B19:B50" si="0">IF(C19="","",C19-2)</f>
        <v>45296</v>
      </c>
      <c r="C19" s="97">
        <f>C8</f>
        <v>45298</v>
      </c>
      <c r="D19" s="97">
        <f t="shared" ref="D19:D50" si="1">IF(C19="","",DATE(YEAR(C19),MONTH(C19)+VLOOKUP($C$10,$AC$1:$AD$4,2,FALSE),DAY(C19)))</f>
        <v>45480</v>
      </c>
      <c r="E19" s="8">
        <f t="shared" ref="E19:E50" si="2">IF(B19="","",IF($C$11="30/360",DAYS360(C19,D19)/360,IF($C$11="ACT/360",(D19-C19)/360,IF($C$11="ACT/365",(D19-C19)/365))))</f>
        <v>0.50555555555555554</v>
      </c>
      <c r="F19" s="31">
        <f t="shared" ref="F19:F50" si="3">IF(B19="","",$C$6)</f>
        <v>100000000</v>
      </c>
      <c r="G19" s="11">
        <f t="shared" ref="G19:G50" si="4">IF(B19="","",$C$12)</f>
        <v>0.04</v>
      </c>
      <c r="H19" s="11">
        <f>IF(B19="","",$C$13)</f>
        <v>1.04E-2</v>
      </c>
      <c r="I19" s="28">
        <f t="shared" ref="I19:I50" si="5">IF(B19="","",(DF(C19-$C$2,Maturities,ZcRates)/DF(D19-$C$2,Maturities,ZcRates)-1)/E19)</f>
        <v>3.9100000000000093E-2</v>
      </c>
      <c r="J19" s="8">
        <f t="shared" ref="J19:J50" si="6">IF(B19="","",DF(D19-$C$2,Maturities,ZcRates))</f>
        <v>0.98040352590362145</v>
      </c>
      <c r="K19" s="38">
        <f>IF(B19="","",IF($C$7="CAP",E19*F19*J19*NORMcall((B19-$C$2)/365,G19,I19,H19),E19*F19*J19*Normput((B19-$C$2)/365,G19,I19,H19)))</f>
        <v>0</v>
      </c>
    </row>
    <row r="20" spans="2:13" x14ac:dyDescent="0.3">
      <c r="B20" s="97">
        <f t="shared" si="0"/>
        <v>45478</v>
      </c>
      <c r="C20" s="97">
        <f t="shared" ref="C20:C51" si="7">IF(OR(D19=$C$9,D19=""),"",D19)</f>
        <v>45480</v>
      </c>
      <c r="D20" s="97">
        <f t="shared" si="1"/>
        <v>45664</v>
      </c>
      <c r="E20" s="8">
        <f t="shared" si="2"/>
        <v>0.51111111111111107</v>
      </c>
      <c r="F20" s="31">
        <f t="shared" si="3"/>
        <v>100000000</v>
      </c>
      <c r="G20" s="11">
        <f t="shared" si="4"/>
        <v>0.04</v>
      </c>
      <c r="H20" s="11">
        <f t="shared" ref="H20:H83" si="8">IF(B20="","",$C$13)</f>
        <v>1.04E-2</v>
      </c>
      <c r="I20" s="28">
        <f t="shared" si="5"/>
        <v>3.0568570363564588E-2</v>
      </c>
      <c r="J20" s="8">
        <f t="shared" si="6"/>
        <v>0.96532140607087813</v>
      </c>
      <c r="K20" s="38">
        <f>IF(B20="","",IF($C$7="CAP",E20*F20*J20*NORMcall((B20-$C$2)/365,G20,I20,H20),E20*F20*J20*Normput((B20-$C$2)/365,G20,I20,H20)))</f>
        <v>17055.959310389997</v>
      </c>
    </row>
    <row r="21" spans="2:13" x14ac:dyDescent="0.3">
      <c r="B21" s="97">
        <f t="shared" si="0"/>
        <v>45662</v>
      </c>
      <c r="C21" s="97">
        <f t="shared" si="7"/>
        <v>45664</v>
      </c>
      <c r="D21" s="97">
        <f t="shared" si="1"/>
        <v>45845</v>
      </c>
      <c r="E21" s="8">
        <f t="shared" si="2"/>
        <v>0.50277777777777777</v>
      </c>
      <c r="F21" s="31">
        <f t="shared" si="3"/>
        <v>100000000</v>
      </c>
      <c r="G21" s="11">
        <f t="shared" si="4"/>
        <v>0.04</v>
      </c>
      <c r="H21" s="11">
        <f t="shared" si="8"/>
        <v>1.04E-2</v>
      </c>
      <c r="I21" s="28">
        <f t="shared" si="5"/>
        <v>2.6050249369767787E-2</v>
      </c>
      <c r="J21" s="8">
        <f t="shared" si="6"/>
        <v>0.9528415763981426</v>
      </c>
      <c r="K21" s="38">
        <f>IF(B21="","",IF($C$7="CAP",E21*F21*J21*NORMcall((B21-$C$2)/365,G21,I21,H21),E21*F21*J21*Normput((B21-$C$2)/365,G21,I21,H21)))</f>
        <v>20872.890569618703</v>
      </c>
    </row>
    <row r="22" spans="2:13" x14ac:dyDescent="0.3">
      <c r="B22" s="97">
        <f t="shared" si="0"/>
        <v>45843</v>
      </c>
      <c r="C22" s="97">
        <f t="shared" si="7"/>
        <v>45845</v>
      </c>
      <c r="D22" s="97">
        <f t="shared" si="1"/>
        <v>46029</v>
      </c>
      <c r="E22" s="8">
        <f t="shared" si="2"/>
        <v>0.51111111111111107</v>
      </c>
      <c r="F22" s="31">
        <f t="shared" si="3"/>
        <v>100000000</v>
      </c>
      <c r="G22" s="11">
        <f t="shared" si="4"/>
        <v>0.04</v>
      </c>
      <c r="H22" s="11">
        <f t="shared" si="8"/>
        <v>1.04E-2</v>
      </c>
      <c r="I22" s="28">
        <f t="shared" si="5"/>
        <v>2.0202883142269978E-2</v>
      </c>
      <c r="J22" s="8">
        <f t="shared" si="6"/>
        <v>0.94310317034796876</v>
      </c>
      <c r="K22" s="38">
        <f>IF(B22="","",IF($C$7="CAP",E22*F22*J22*NORMcall((B22-$C$2)/365,G22,I22,H22),E22*F22*J22*Normput((B22-$C$2)/365,G22,I22,H22)))</f>
        <v>15848.706475927487</v>
      </c>
    </row>
    <row r="23" spans="2:13" x14ac:dyDescent="0.3">
      <c r="B23" s="97">
        <f t="shared" si="0"/>
        <v>46027</v>
      </c>
      <c r="C23" s="97">
        <f t="shared" si="7"/>
        <v>46029</v>
      </c>
      <c r="D23" s="97">
        <f t="shared" si="1"/>
        <v>46210</v>
      </c>
      <c r="E23" s="8">
        <f t="shared" si="2"/>
        <v>0.50277777777777777</v>
      </c>
      <c r="F23" s="31">
        <f t="shared" si="3"/>
        <v>100000000</v>
      </c>
      <c r="G23" s="11">
        <f t="shared" si="4"/>
        <v>0.04</v>
      </c>
      <c r="H23" s="11">
        <f t="shared" si="8"/>
        <v>1.04E-2</v>
      </c>
      <c r="I23" s="28">
        <f t="shared" si="5"/>
        <v>2.3093422932798934E-2</v>
      </c>
      <c r="J23" s="8">
        <f t="shared" si="6"/>
        <v>0.93227861400705547</v>
      </c>
      <c r="K23" s="38">
        <f>IF(B23="","",IF($C$7="CAP",E23*F23*J23*NORMcall((B23-$C$2)/365,G23,I23,H23),E23*F23*J23*Normput((B23-$C$2)/365,G23,I23,H23)))</f>
        <v>42954.878539133053</v>
      </c>
    </row>
    <row r="24" spans="2:13" x14ac:dyDescent="0.3">
      <c r="B24" s="97">
        <f t="shared" si="0"/>
        <v>46208</v>
      </c>
      <c r="C24" s="97">
        <f t="shared" si="7"/>
        <v>46210</v>
      </c>
      <c r="D24" s="97">
        <f t="shared" si="1"/>
        <v>46394</v>
      </c>
      <c r="E24" s="8">
        <f t="shared" si="2"/>
        <v>0.51111111111111107</v>
      </c>
      <c r="F24" s="31">
        <f t="shared" si="3"/>
        <v>100000000</v>
      </c>
      <c r="G24" s="11">
        <f t="shared" si="4"/>
        <v>0.04</v>
      </c>
      <c r="H24" s="11">
        <f t="shared" si="8"/>
        <v>1.04E-2</v>
      </c>
      <c r="I24" s="28">
        <f t="shared" si="5"/>
        <v>2.0741167943473828E-2</v>
      </c>
      <c r="J24" s="8">
        <f t="shared" si="6"/>
        <v>0.92249916220322581</v>
      </c>
      <c r="K24" s="38">
        <f>IF(B24="","",IF($C$7="CAP",E24*F24*J24*NORMcall((B24-$C$2)/365,G24,I24,H24),E24*F24*J24*Normput((B24-$C$2)/365,G24,I24,H24)))</f>
        <v>46088.762775514166</v>
      </c>
    </row>
    <row r="25" spans="2:13" x14ac:dyDescent="0.3">
      <c r="B25" s="97">
        <f t="shared" si="0"/>
        <v>46392</v>
      </c>
      <c r="C25" s="97">
        <f t="shared" si="7"/>
        <v>46394</v>
      </c>
      <c r="D25" s="97">
        <f t="shared" si="1"/>
        <v>46575</v>
      </c>
      <c r="E25" s="8">
        <f t="shared" si="2"/>
        <v>0.50277777777777777</v>
      </c>
      <c r="F25" s="31">
        <f t="shared" si="3"/>
        <v>100000000</v>
      </c>
      <c r="G25" s="11">
        <f t="shared" si="4"/>
        <v>0.04</v>
      </c>
      <c r="H25" s="11">
        <f t="shared" si="8"/>
        <v>1.04E-2</v>
      </c>
      <c r="I25" s="28">
        <f t="shared" si="5"/>
        <v>2.3203814901961245E-2</v>
      </c>
      <c r="J25" s="8">
        <f t="shared" si="6"/>
        <v>0.91186106052841986</v>
      </c>
      <c r="K25" s="38">
        <f>IF(B25="","",IF($C$7="CAP",E25*F25*J25*NORMcall((B25-$C$2)/365,G25,I25,H25),E25*F25*J25*Normput((B25-$C$2)/365,G25,I25,H25)))</f>
        <v>78222.744057042961</v>
      </c>
    </row>
    <row r="26" spans="2:13" x14ac:dyDescent="0.3">
      <c r="B26" s="97">
        <f t="shared" si="0"/>
        <v>46573</v>
      </c>
      <c r="C26" s="97">
        <f t="shared" si="7"/>
        <v>46575</v>
      </c>
      <c r="D26" s="97">
        <f t="shared" si="1"/>
        <v>46759</v>
      </c>
      <c r="E26" s="8">
        <f t="shared" si="2"/>
        <v>0.51111111111111107</v>
      </c>
      <c r="F26" s="31">
        <f t="shared" si="3"/>
        <v>100000000</v>
      </c>
      <c r="G26" s="11">
        <f t="shared" si="4"/>
        <v>0.04</v>
      </c>
      <c r="H26" s="11">
        <f t="shared" si="8"/>
        <v>1.04E-2</v>
      </c>
      <c r="I26" s="28">
        <f t="shared" si="5"/>
        <v>2.2228562294004627E-2</v>
      </c>
      <c r="J26" s="8">
        <f t="shared" si="6"/>
        <v>0.901617544520947</v>
      </c>
      <c r="K26" s="38">
        <f>IF(B26="","",IF($C$7="CAP",E26*F26*J26*NORMcall((B26-$C$2)/365,G26,I26,H26),E26*F26*J26*Normput((B26-$C$2)/365,G26,I26,H26)))</f>
        <v>87813.636858300117</v>
      </c>
    </row>
    <row r="27" spans="2:13" x14ac:dyDescent="0.3">
      <c r="B27" s="97">
        <f t="shared" si="0"/>
        <v>46757</v>
      </c>
      <c r="C27" s="97">
        <f t="shared" si="7"/>
        <v>46759</v>
      </c>
      <c r="D27" s="97">
        <f t="shared" si="1"/>
        <v>46941</v>
      </c>
      <c r="E27" s="8">
        <f t="shared" si="2"/>
        <v>0.50555555555555554</v>
      </c>
      <c r="F27" s="31">
        <f t="shared" si="3"/>
        <v>100000000</v>
      </c>
      <c r="G27" s="11">
        <f t="shared" si="4"/>
        <v>0.04</v>
      </c>
      <c r="H27" s="11">
        <f t="shared" si="8"/>
        <v>1.04E-2</v>
      </c>
      <c r="I27" s="28">
        <f t="shared" si="5"/>
        <v>2.3863866748272386E-2</v>
      </c>
      <c r="J27" s="8">
        <f t="shared" si="6"/>
        <v>0.89086963849195866</v>
      </c>
      <c r="K27" s="38">
        <f>IF(B27="","",IF($C$7="CAP",E27*F27*J27*NORMcall((B27-$C$2)/365,G27,I27,H27),E27*F27*J27*Normput((B27-$C$2)/365,G27,I27,H27)))</f>
        <v>117592.5798106258</v>
      </c>
    </row>
    <row r="28" spans="2:13" x14ac:dyDescent="0.3">
      <c r="B28" s="97">
        <f t="shared" si="0"/>
        <v>46939</v>
      </c>
      <c r="C28" s="97">
        <f t="shared" si="7"/>
        <v>46941</v>
      </c>
      <c r="D28" s="97">
        <f t="shared" si="1"/>
        <v>47125</v>
      </c>
      <c r="E28" s="8">
        <f t="shared" si="2"/>
        <v>0.51111111111111107</v>
      </c>
      <c r="F28" s="31">
        <f t="shared" si="3"/>
        <v>100000000</v>
      </c>
      <c r="G28" s="11">
        <f t="shared" si="4"/>
        <v>0.04</v>
      </c>
      <c r="H28" s="11">
        <f t="shared" si="8"/>
        <v>1.04E-2</v>
      </c>
      <c r="I28" s="28">
        <f t="shared" si="5"/>
        <v>2.3468023127566306E-2</v>
      </c>
      <c r="J28" s="8">
        <f t="shared" si="6"/>
        <v>0.8803105186024025</v>
      </c>
      <c r="K28" s="38">
        <f>IF(B28="","",IF($C$7="CAP",E28*F28*J28*NORMcall((B28-$C$2)/365,G28,I28,H28),E28*F28*J28*Normput((B28-$C$2)/365,G28,I28,H28)))</f>
        <v>130392.85877167791</v>
      </c>
    </row>
    <row r="29" spans="2:13" x14ac:dyDescent="0.3">
      <c r="B29" s="97">
        <f t="shared" si="0"/>
        <v>47123</v>
      </c>
      <c r="C29" s="97">
        <f t="shared" si="7"/>
        <v>47125</v>
      </c>
      <c r="D29" s="97">
        <f t="shared" si="1"/>
        <v>47306</v>
      </c>
      <c r="E29" s="8">
        <f t="shared" si="2"/>
        <v>0.50277777777777777</v>
      </c>
      <c r="F29" s="31">
        <f t="shared" si="3"/>
        <v>100000000</v>
      </c>
      <c r="G29" s="11">
        <f t="shared" si="4"/>
        <v>0.04</v>
      </c>
      <c r="H29" s="11">
        <f t="shared" si="8"/>
        <v>1.04E-2</v>
      </c>
      <c r="I29" s="28">
        <f t="shared" si="5"/>
        <v>2.5085379076717238E-2</v>
      </c>
      <c r="J29" s="8">
        <f t="shared" si="6"/>
        <v>0.86934600414307117</v>
      </c>
      <c r="K29" s="38">
        <f>IF(B29="","",IF($C$7="CAP",E29*F29*J29*NORMcall((B29-$C$2)/365,G29,I29,H29),E29*F29*J29*Normput((B29-$C$2)/365,G29,I29,H29)))</f>
        <v>160389.35550532088</v>
      </c>
      <c r="M29" s="21"/>
    </row>
    <row r="30" spans="2:13" x14ac:dyDescent="0.3">
      <c r="B30" s="97">
        <f t="shared" si="0"/>
        <v>47304</v>
      </c>
      <c r="C30" s="97">
        <f t="shared" si="7"/>
        <v>47306</v>
      </c>
      <c r="D30" s="97">
        <f t="shared" si="1"/>
        <v>47490</v>
      </c>
      <c r="E30" s="8">
        <f t="shared" si="2"/>
        <v>0.51111111111111107</v>
      </c>
      <c r="F30" s="31">
        <f t="shared" si="3"/>
        <v>100000000</v>
      </c>
      <c r="G30" s="11">
        <f t="shared" si="4"/>
        <v>0.04</v>
      </c>
      <c r="H30" s="11">
        <f t="shared" si="8"/>
        <v>1.04E-2</v>
      </c>
      <c r="I30" s="28">
        <f t="shared" si="5"/>
        <v>2.5057943833990501E-2</v>
      </c>
      <c r="J30" s="8">
        <f t="shared" si="6"/>
        <v>0.85835274279133356</v>
      </c>
      <c r="K30" s="38">
        <f>IF(B30="","",IF($C$7="CAP",E30*F30*J30*NORMcall((B30-$C$2)/365,G30,I30,H30),E30*F30*J30*Normput((B30-$C$2)/365,G30,I30,H30)))</f>
        <v>176851.91655269943</v>
      </c>
      <c r="M30" s="21"/>
    </row>
    <row r="31" spans="2:13" x14ac:dyDescent="0.3">
      <c r="B31" s="97">
        <f t="shared" si="0"/>
        <v>47488</v>
      </c>
      <c r="C31" s="97">
        <f t="shared" si="7"/>
        <v>47490</v>
      </c>
      <c r="D31" s="97">
        <f t="shared" si="1"/>
        <v>47671</v>
      </c>
      <c r="E31" s="8">
        <f t="shared" si="2"/>
        <v>0.50277777777777777</v>
      </c>
      <c r="F31" s="31">
        <f t="shared" si="3"/>
        <v>100000000</v>
      </c>
      <c r="G31" s="11">
        <f t="shared" si="4"/>
        <v>0.04</v>
      </c>
      <c r="H31" s="11">
        <f t="shared" si="8"/>
        <v>1.04E-2</v>
      </c>
      <c r="I31" s="28">
        <f t="shared" si="5"/>
        <v>2.498333954551564E-2</v>
      </c>
      <c r="J31" s="8">
        <f t="shared" si="6"/>
        <v>0.84770466687916735</v>
      </c>
      <c r="K31" s="38">
        <f>IF(B31="","",IF($C$7="CAP",E31*F31*J31*NORMcall((B31-$C$2)/365,G31,I31,H31),E31*F31*J31*Normput((B31-$C$2)/365,G31,I31,H31)))</f>
        <v>186457.06097848431</v>
      </c>
      <c r="M31" s="21"/>
    </row>
    <row r="32" spans="2:13" x14ac:dyDescent="0.3">
      <c r="B32" s="97">
        <f t="shared" si="0"/>
        <v>47669</v>
      </c>
      <c r="C32" s="97">
        <f t="shared" si="7"/>
        <v>47671</v>
      </c>
      <c r="D32" s="97">
        <f t="shared" si="1"/>
        <v>47855</v>
      </c>
      <c r="E32" s="8">
        <f t="shared" si="2"/>
        <v>0.51111111111111107</v>
      </c>
      <c r="F32" s="31">
        <f t="shared" si="3"/>
        <v>100000000</v>
      </c>
      <c r="G32" s="11">
        <f t="shared" si="4"/>
        <v>0.04</v>
      </c>
      <c r="H32" s="11">
        <f t="shared" si="8"/>
        <v>1.04E-2</v>
      </c>
      <c r="I32" s="28">
        <f t="shared" si="5"/>
        <v>2.4949432257280312E-2</v>
      </c>
      <c r="J32" s="8">
        <f t="shared" si="6"/>
        <v>0.83703090565271954</v>
      </c>
      <c r="K32" s="38">
        <f>IF(B32="","",IF($C$7="CAP",E32*F32*J32*NORMcall((B32-$C$2)/365,G32,I32,H32),E32*F32*J32*Normput((B32-$C$2)/365,G32,I32,H32)))</f>
        <v>201645.01730474411</v>
      </c>
      <c r="M32" s="21"/>
    </row>
    <row r="33" spans="2:30" x14ac:dyDescent="0.3">
      <c r="B33" s="97">
        <f t="shared" si="0"/>
        <v>47853</v>
      </c>
      <c r="C33" s="97">
        <f t="shared" si="7"/>
        <v>47855</v>
      </c>
      <c r="D33" s="97">
        <f t="shared" si="1"/>
        <v>48036</v>
      </c>
      <c r="E33" s="8">
        <f t="shared" si="2"/>
        <v>0.50277777777777777</v>
      </c>
      <c r="F33" s="31">
        <f t="shared" si="3"/>
        <v>100000000</v>
      </c>
      <c r="G33" s="11">
        <f t="shared" si="4"/>
        <v>0.04</v>
      </c>
      <c r="H33" s="11">
        <f t="shared" si="8"/>
        <v>1.04E-2</v>
      </c>
      <c r="I33" s="28">
        <f t="shared" si="5"/>
        <v>2.6339955396473217E-2</v>
      </c>
      <c r="J33" s="8">
        <f t="shared" si="6"/>
        <v>0.82609086516910879</v>
      </c>
      <c r="K33" s="38">
        <f>IF(B33="","",IF($C$7="CAP",E33*F33*J33*NORMcall((B33-$C$2)/365,G33,I33,H33),E33*F33*J33*Normput((B33-$C$2)/365,G33,I33,H33)))</f>
        <v>227464.60956607061</v>
      </c>
      <c r="M33" s="21"/>
    </row>
    <row r="34" spans="2:30" x14ac:dyDescent="0.3">
      <c r="B34" s="97">
        <f t="shared" si="0"/>
        <v>48034</v>
      </c>
      <c r="C34" s="97">
        <f t="shared" si="7"/>
        <v>48036</v>
      </c>
      <c r="D34" s="97">
        <f t="shared" si="1"/>
        <v>48220</v>
      </c>
      <c r="E34" s="8">
        <f t="shared" si="2"/>
        <v>0.51111111111111107</v>
      </c>
      <c r="F34" s="31">
        <f t="shared" si="3"/>
        <v>100000000</v>
      </c>
      <c r="G34" s="11">
        <f t="shared" si="4"/>
        <v>0.04</v>
      </c>
      <c r="H34" s="11">
        <f t="shared" si="8"/>
        <v>1.04E-2</v>
      </c>
      <c r="I34" s="28">
        <f t="shared" si="5"/>
        <v>2.6496773296736123E-2</v>
      </c>
      <c r="J34" s="8">
        <f t="shared" si="6"/>
        <v>0.81505277236275409</v>
      </c>
      <c r="K34" s="38">
        <f>IF(B34="","",IF($C$7="CAP",E34*F34*J34*NORMcall((B34-$C$2)/365,G34,I34,H34),E34*F34*J34*Normput((B34-$C$2)/365,G34,I34,H34)))</f>
        <v>244343.39383790409</v>
      </c>
      <c r="M34" s="21"/>
    </row>
    <row r="35" spans="2:30" x14ac:dyDescent="0.3">
      <c r="B35" s="97">
        <f t="shared" si="0"/>
        <v>48218</v>
      </c>
      <c r="C35" s="97">
        <f t="shared" si="7"/>
        <v>48220</v>
      </c>
      <c r="D35" s="97">
        <f t="shared" si="1"/>
        <v>48402</v>
      </c>
      <c r="E35" s="8">
        <f t="shared" si="2"/>
        <v>0.50555555555555554</v>
      </c>
      <c r="F35" s="31">
        <f t="shared" si="3"/>
        <v>100000000</v>
      </c>
      <c r="G35" s="11">
        <f t="shared" si="4"/>
        <v>0.04</v>
      </c>
      <c r="H35" s="11">
        <f t="shared" si="8"/>
        <v>1.04E-2</v>
      </c>
      <c r="I35" s="28">
        <f t="shared" si="5"/>
        <v>2.6562985087297947E-2</v>
      </c>
      <c r="J35" s="8">
        <f t="shared" si="6"/>
        <v>0.80425241466474395</v>
      </c>
      <c r="K35" s="38">
        <f>IF(B35="","",IF($C$7="CAP",E35*F35*J35*NORMcall((B35-$C$2)/365,G35,I35,H35),E35*F35*J35*Normput((B35-$C$2)/365,G35,I35,H35)))</f>
        <v>253054.40446184837</v>
      </c>
      <c r="M35" s="21"/>
    </row>
    <row r="36" spans="2:30" x14ac:dyDescent="0.3">
      <c r="B36" s="97">
        <f t="shared" si="0"/>
        <v>48400</v>
      </c>
      <c r="C36" s="97">
        <f t="shared" si="7"/>
        <v>48402</v>
      </c>
      <c r="D36" s="97">
        <f t="shared" si="1"/>
        <v>48586</v>
      </c>
      <c r="E36" s="8">
        <f t="shared" si="2"/>
        <v>0.51111111111111107</v>
      </c>
      <c r="F36" s="31">
        <f t="shared" si="3"/>
        <v>100000000</v>
      </c>
      <c r="G36" s="11">
        <f t="shared" si="4"/>
        <v>0.04</v>
      </c>
      <c r="H36" s="11">
        <f t="shared" si="8"/>
        <v>1.04E-2</v>
      </c>
      <c r="I36" s="28">
        <f t="shared" si="5"/>
        <v>2.6709135830327305E-2</v>
      </c>
      <c r="J36" s="8">
        <f t="shared" si="6"/>
        <v>0.79342115580509442</v>
      </c>
      <c r="K36" s="38">
        <f>IF(B36="","",IF($C$7="CAP",E36*F36*J36*NORMcall((B36-$C$2)/365,G36,I36,H36),E36*F36*J36*Normput((B36-$C$2)/365,G36,I36,H36)))</f>
        <v>267541.05726672488</v>
      </c>
      <c r="M36" s="21"/>
    </row>
    <row r="37" spans="2:30" x14ac:dyDescent="0.3">
      <c r="B37" s="97">
        <f t="shared" si="0"/>
        <v>48584</v>
      </c>
      <c r="C37" s="97">
        <f t="shared" si="7"/>
        <v>48586</v>
      </c>
      <c r="D37" s="97">
        <f t="shared" si="1"/>
        <v>48767</v>
      </c>
      <c r="E37" s="8">
        <f t="shared" si="2"/>
        <v>0.50277777777777777</v>
      </c>
      <c r="F37" s="31">
        <f t="shared" si="3"/>
        <v>100000000</v>
      </c>
      <c r="G37" s="11">
        <f t="shared" si="4"/>
        <v>0.04</v>
      </c>
      <c r="H37" s="11">
        <f t="shared" si="8"/>
        <v>1.04E-2</v>
      </c>
      <c r="I37" s="28">
        <f t="shared" si="5"/>
        <v>2.6926550676594104E-2</v>
      </c>
      <c r="J37" s="8">
        <f t="shared" si="6"/>
        <v>0.78282323897090333</v>
      </c>
      <c r="K37" s="38">
        <f>IF(B37="","",IF($C$7="CAP",E37*F37*J37*NORMcall((B37-$C$2)/365,G37,I37,H37),E37*F37*J37*Normput((B37-$C$2)/365,G37,I37,H37)))</f>
        <v>275214.31519677804</v>
      </c>
      <c r="M37" s="21"/>
    </row>
    <row r="38" spans="2:30" x14ac:dyDescent="0.3">
      <c r="B38" s="97">
        <f t="shared" si="0"/>
        <v>48765</v>
      </c>
      <c r="C38" s="97">
        <f t="shared" si="7"/>
        <v>48767</v>
      </c>
      <c r="D38" s="97">
        <f t="shared" si="1"/>
        <v>48951</v>
      </c>
      <c r="E38" s="8">
        <f t="shared" si="2"/>
        <v>0.51111111111111107</v>
      </c>
      <c r="F38" s="31">
        <f t="shared" si="3"/>
        <v>100000000</v>
      </c>
      <c r="G38" s="11">
        <f t="shared" si="4"/>
        <v>0.04</v>
      </c>
      <c r="H38" s="11">
        <f t="shared" si="8"/>
        <v>1.04E-2</v>
      </c>
      <c r="I38" s="28">
        <f t="shared" si="5"/>
        <v>2.7081405289260424E-2</v>
      </c>
      <c r="J38" s="8">
        <f t="shared" si="6"/>
        <v>0.7721356407665636</v>
      </c>
      <c r="K38" s="38">
        <f>IF(B38="","",IF($C$7="CAP",E38*F38*J38*NORMcall((B38-$C$2)/365,G38,I38,H38),E38*F38*J38*Normput((B38-$C$2)/365,G38,I38,H38)))</f>
        <v>290303.14902281889</v>
      </c>
      <c r="M38" s="21"/>
    </row>
    <row r="39" spans="2:30" x14ac:dyDescent="0.3">
      <c r="B39" s="97" t="str">
        <f t="shared" si="0"/>
        <v/>
      </c>
      <c r="C39" s="97" t="str">
        <f t="shared" si="7"/>
        <v/>
      </c>
      <c r="D39" s="97" t="str">
        <f t="shared" si="1"/>
        <v/>
      </c>
      <c r="E39" s="8" t="str">
        <f t="shared" si="2"/>
        <v/>
      </c>
      <c r="F39" s="31" t="str">
        <f t="shared" si="3"/>
        <v/>
      </c>
      <c r="G39" s="11" t="str">
        <f t="shared" si="4"/>
        <v/>
      </c>
      <c r="H39" s="11" t="str">
        <f t="shared" si="8"/>
        <v/>
      </c>
      <c r="I39" s="28" t="str">
        <f t="shared" si="5"/>
        <v/>
      </c>
      <c r="J39" s="8" t="str">
        <f t="shared" si="6"/>
        <v/>
      </c>
      <c r="K39" s="38" t="str">
        <f>IF(B39="","",IF($C$7="CAP",E39*F39*J39*NORMcall((B39-$C$2)/365,G39,I39,H39),E39*F39*J39*Normput((B39-$C$2)/365,G39,I39,H39)))</f>
        <v/>
      </c>
      <c r="M39" s="21"/>
      <c r="V39" s="21" t="str">
        <f t="shared" ref="V39:V70" si="9">IF(T39="","",W39-2)</f>
        <v/>
      </c>
      <c r="W39" s="21" t="str">
        <f t="shared" ref="W39:W70" si="10">IF(T39="","",T39+$K$8)</f>
        <v/>
      </c>
      <c r="X39" s="21" t="str">
        <f t="shared" ref="X39:X70" si="11">IF(T39="","",$C$9)</f>
        <v/>
      </c>
      <c r="Y39" s="1" t="str">
        <f t="shared" ref="Y39:Y70" si="12">IF(T39="","","RECEIVER")</f>
        <v/>
      </c>
      <c r="Z39" s="1" t="str">
        <f t="shared" ref="Z39:Z70" si="13">IF(T39="","","ABS")</f>
        <v/>
      </c>
      <c r="AA39" s="26" t="str">
        <f t="shared" ref="AA39:AA70" si="14">IF(T39="","",$F$10)</f>
        <v/>
      </c>
      <c r="AB39" s="11" t="str">
        <f t="shared" ref="AB39:AB70" si="15">IF(T39="","",$AA$16)</f>
        <v/>
      </c>
      <c r="AC39" s="28" t="str">
        <f>IF(V39="","",_xll.EpBsStandardSwaptionPrice($C$2,$O$2,W39,X39,Y39,Z39,AA39,AB39))</f>
        <v/>
      </c>
      <c r="AD39" s="28" t="str">
        <f>IF(V39="","",_xll.EpLgm1fStandardSwaptionPrice($C$2,$O$3,$O$2,W39,X39,Y39,Z39,AA39))</f>
        <v/>
      </c>
    </row>
    <row r="40" spans="2:30" x14ac:dyDescent="0.3">
      <c r="B40" s="97" t="str">
        <f t="shared" si="0"/>
        <v/>
      </c>
      <c r="C40" s="97" t="str">
        <f t="shared" si="7"/>
        <v/>
      </c>
      <c r="D40" s="97" t="str">
        <f t="shared" si="1"/>
        <v/>
      </c>
      <c r="E40" s="8" t="str">
        <f t="shared" si="2"/>
        <v/>
      </c>
      <c r="F40" s="31" t="str">
        <f t="shared" si="3"/>
        <v/>
      </c>
      <c r="G40" s="11" t="str">
        <f t="shared" si="4"/>
        <v/>
      </c>
      <c r="H40" s="11" t="str">
        <f t="shared" si="8"/>
        <v/>
      </c>
      <c r="I40" s="28" t="str">
        <f t="shared" si="5"/>
        <v/>
      </c>
      <c r="J40" s="8" t="str">
        <f t="shared" si="6"/>
        <v/>
      </c>
      <c r="K40" s="38" t="str">
        <f>IF(B40="","",IF($C$7="CAP",E40*F40*J40*NORMcall((B40-$C$2)/365,G40,I40,H40),E40*F40*J40*Normput((B40-$C$2)/365,G40,I40,H40)))</f>
        <v/>
      </c>
      <c r="M40" s="21"/>
      <c r="V40" s="21" t="str">
        <f t="shared" si="9"/>
        <v/>
      </c>
      <c r="W40" s="21" t="str">
        <f t="shared" si="10"/>
        <v/>
      </c>
      <c r="X40" s="21" t="str">
        <f t="shared" si="11"/>
        <v/>
      </c>
      <c r="Y40" s="1" t="str">
        <f t="shared" si="12"/>
        <v/>
      </c>
      <c r="Z40" s="1" t="str">
        <f t="shared" si="13"/>
        <v/>
      </c>
      <c r="AA40" s="26" t="str">
        <f t="shared" si="14"/>
        <v/>
      </c>
      <c r="AB40" s="11" t="str">
        <f t="shared" si="15"/>
        <v/>
      </c>
      <c r="AC40" s="28" t="str">
        <f>IF(V40="","",_xll.EpBsStandardSwaptionPrice($C$2,$O$2,W40,X40,Y40,Z40,AA40,AB40))</f>
        <v/>
      </c>
      <c r="AD40" s="28" t="str">
        <f>IF(V40="","",_xll.EpLgm1fStandardSwaptionPrice($C$2,$O$3,$O$2,W40,X40,Y40,Z40,AA40))</f>
        <v/>
      </c>
    </row>
    <row r="41" spans="2:30" x14ac:dyDescent="0.3">
      <c r="B41" s="97" t="str">
        <f t="shared" si="0"/>
        <v/>
      </c>
      <c r="C41" s="97" t="str">
        <f t="shared" si="7"/>
        <v/>
      </c>
      <c r="D41" s="97" t="str">
        <f t="shared" si="1"/>
        <v/>
      </c>
      <c r="E41" s="8" t="str">
        <f t="shared" si="2"/>
        <v/>
      </c>
      <c r="F41" s="31" t="str">
        <f t="shared" si="3"/>
        <v/>
      </c>
      <c r="G41" s="11" t="str">
        <f t="shared" si="4"/>
        <v/>
      </c>
      <c r="H41" s="11" t="str">
        <f t="shared" si="8"/>
        <v/>
      </c>
      <c r="I41" s="28" t="str">
        <f t="shared" si="5"/>
        <v/>
      </c>
      <c r="J41" s="8" t="str">
        <f t="shared" si="6"/>
        <v/>
      </c>
      <c r="K41" s="38" t="str">
        <f>IF(B41="","",IF($C$7="CAP",E41*F41*J41*NORMcall((B41-$C$2)/365,G41,I41,H41),E41*F41*J41*Normput((B41-$C$2)/365,G41,I41,H41)))</f>
        <v/>
      </c>
      <c r="M41" s="21"/>
      <c r="V41" s="21" t="str">
        <f t="shared" si="9"/>
        <v/>
      </c>
      <c r="W41" s="21" t="str">
        <f t="shared" si="10"/>
        <v/>
      </c>
      <c r="X41" s="21" t="str">
        <f t="shared" si="11"/>
        <v/>
      </c>
      <c r="Y41" s="1" t="str">
        <f t="shared" si="12"/>
        <v/>
      </c>
      <c r="Z41" s="1" t="str">
        <f t="shared" si="13"/>
        <v/>
      </c>
      <c r="AA41" s="26" t="str">
        <f t="shared" si="14"/>
        <v/>
      </c>
      <c r="AB41" s="11" t="str">
        <f t="shared" si="15"/>
        <v/>
      </c>
      <c r="AC41" s="28" t="str">
        <f>IF(V41="","",_xll.EpBsStandardSwaptionPrice($C$2,$O$2,W41,X41,Y41,Z41,AA41,AB41))</f>
        <v/>
      </c>
      <c r="AD41" s="28" t="str">
        <f>IF(V41="","",_xll.EpLgm1fStandardSwaptionPrice($C$2,$O$3,$O$2,W41,X41,Y41,Z41,AA41))</f>
        <v/>
      </c>
    </row>
    <row r="42" spans="2:30" x14ac:dyDescent="0.3">
      <c r="B42" s="97" t="str">
        <f t="shared" si="0"/>
        <v/>
      </c>
      <c r="C42" s="97" t="str">
        <f t="shared" si="7"/>
        <v/>
      </c>
      <c r="D42" s="97" t="str">
        <f t="shared" si="1"/>
        <v/>
      </c>
      <c r="E42" s="8" t="str">
        <f t="shared" si="2"/>
        <v/>
      </c>
      <c r="F42" s="31" t="str">
        <f t="shared" si="3"/>
        <v/>
      </c>
      <c r="G42" s="11" t="str">
        <f t="shared" si="4"/>
        <v/>
      </c>
      <c r="H42" s="11" t="str">
        <f t="shared" si="8"/>
        <v/>
      </c>
      <c r="I42" s="28" t="str">
        <f t="shared" si="5"/>
        <v/>
      </c>
      <c r="J42" s="8" t="str">
        <f t="shared" si="6"/>
        <v/>
      </c>
      <c r="K42" s="38" t="str">
        <f>IF(B42="","",IF($C$7="CAP",E42*F42*J42*NORMcall((B42-$C$2)/365,G42,I42,H42),E42*F42*J42*Normput((B42-$C$2)/365,G42,I42,H42)))</f>
        <v/>
      </c>
      <c r="M42" s="21"/>
      <c r="V42" s="21" t="str">
        <f t="shared" si="9"/>
        <v/>
      </c>
      <c r="W42" s="21" t="str">
        <f t="shared" si="10"/>
        <v/>
      </c>
      <c r="X42" s="21" t="str">
        <f t="shared" si="11"/>
        <v/>
      </c>
      <c r="Y42" s="1" t="str">
        <f t="shared" si="12"/>
        <v/>
      </c>
      <c r="Z42" s="1" t="str">
        <f t="shared" si="13"/>
        <v/>
      </c>
      <c r="AA42" s="26" t="str">
        <f t="shared" si="14"/>
        <v/>
      </c>
      <c r="AB42" s="11" t="str">
        <f t="shared" si="15"/>
        <v/>
      </c>
      <c r="AC42" s="28" t="str">
        <f>IF(V42="","",_xll.EpBsStandardSwaptionPrice($C$2,$O$2,W42,X42,Y42,Z42,AA42,AB42))</f>
        <v/>
      </c>
      <c r="AD42" s="28" t="str">
        <f>IF(V42="","",_xll.EpLgm1fStandardSwaptionPrice($C$2,$O$3,$O$2,W42,X42,Y42,Z42,AA42))</f>
        <v/>
      </c>
    </row>
    <row r="43" spans="2:30" x14ac:dyDescent="0.3">
      <c r="B43" s="97" t="str">
        <f t="shared" si="0"/>
        <v/>
      </c>
      <c r="C43" s="97" t="str">
        <f t="shared" si="7"/>
        <v/>
      </c>
      <c r="D43" s="97" t="str">
        <f t="shared" si="1"/>
        <v/>
      </c>
      <c r="E43" s="8" t="str">
        <f t="shared" si="2"/>
        <v/>
      </c>
      <c r="F43" s="31" t="str">
        <f t="shared" si="3"/>
        <v/>
      </c>
      <c r="G43" s="11" t="str">
        <f t="shared" si="4"/>
        <v/>
      </c>
      <c r="H43" s="11" t="str">
        <f t="shared" si="8"/>
        <v/>
      </c>
      <c r="I43" s="28" t="str">
        <f t="shared" si="5"/>
        <v/>
      </c>
      <c r="J43" s="8" t="str">
        <f t="shared" si="6"/>
        <v/>
      </c>
      <c r="K43" s="38" t="str">
        <f>IF(B43="","",IF($C$7="CAP",E43*F43*J43*NORMcall((B43-$C$2)/365,G43,I43,H43),E43*F43*J43*Normput((B43-$C$2)/365,G43,I43,H43)))</f>
        <v/>
      </c>
      <c r="M43" s="21"/>
      <c r="V43" s="21" t="str">
        <f t="shared" si="9"/>
        <v/>
      </c>
      <c r="W43" s="21" t="str">
        <f t="shared" si="10"/>
        <v/>
      </c>
      <c r="X43" s="21" t="str">
        <f t="shared" si="11"/>
        <v/>
      </c>
      <c r="Y43" s="1" t="str">
        <f t="shared" si="12"/>
        <v/>
      </c>
      <c r="Z43" s="1" t="str">
        <f t="shared" si="13"/>
        <v/>
      </c>
      <c r="AA43" s="26" t="str">
        <f t="shared" si="14"/>
        <v/>
      </c>
      <c r="AB43" s="11" t="str">
        <f t="shared" si="15"/>
        <v/>
      </c>
      <c r="AC43" s="28" t="str">
        <f>IF(V43="","",_xll.EpBsStandardSwaptionPrice($C$2,$O$2,W43,X43,Y43,Z43,AA43,AB43))</f>
        <v/>
      </c>
      <c r="AD43" s="28" t="str">
        <f>IF(V43="","",_xll.EpLgm1fStandardSwaptionPrice($C$2,$O$3,$O$2,W43,X43,Y43,Z43,AA43))</f>
        <v/>
      </c>
    </row>
    <row r="44" spans="2:30" x14ac:dyDescent="0.3">
      <c r="B44" s="97" t="str">
        <f t="shared" si="0"/>
        <v/>
      </c>
      <c r="C44" s="97" t="str">
        <f t="shared" si="7"/>
        <v/>
      </c>
      <c r="D44" s="97" t="str">
        <f t="shared" si="1"/>
        <v/>
      </c>
      <c r="E44" s="8" t="str">
        <f t="shared" si="2"/>
        <v/>
      </c>
      <c r="F44" s="31" t="str">
        <f t="shared" si="3"/>
        <v/>
      </c>
      <c r="G44" s="11" t="str">
        <f t="shared" si="4"/>
        <v/>
      </c>
      <c r="H44" s="11" t="str">
        <f t="shared" si="8"/>
        <v/>
      </c>
      <c r="I44" s="28" t="str">
        <f t="shared" si="5"/>
        <v/>
      </c>
      <c r="J44" s="8" t="str">
        <f t="shared" si="6"/>
        <v/>
      </c>
      <c r="K44" s="38" t="str">
        <f>IF(B44="","",IF($C$7="CAP",E44*F44*J44*NORMcall((B44-$C$2)/365,G44,I44,H44),E44*F44*J44*Normput((B44-$C$2)/365,G44,I44,H44)))</f>
        <v/>
      </c>
      <c r="M44" s="21"/>
      <c r="V44" s="21" t="str">
        <f t="shared" si="9"/>
        <v/>
      </c>
      <c r="W44" s="21" t="str">
        <f t="shared" si="10"/>
        <v/>
      </c>
      <c r="X44" s="21" t="str">
        <f t="shared" si="11"/>
        <v/>
      </c>
      <c r="Y44" s="1" t="str">
        <f t="shared" si="12"/>
        <v/>
      </c>
      <c r="Z44" s="1" t="str">
        <f t="shared" si="13"/>
        <v/>
      </c>
      <c r="AA44" s="26" t="str">
        <f t="shared" si="14"/>
        <v/>
      </c>
      <c r="AB44" s="11" t="str">
        <f t="shared" si="15"/>
        <v/>
      </c>
      <c r="AC44" s="28" t="str">
        <f>IF(V44="","",_xll.EpBsStandardSwaptionPrice($C$2,$O$2,W44,X44,Y44,Z44,AA44,AB44))</f>
        <v/>
      </c>
      <c r="AD44" s="28" t="str">
        <f>IF(V44="","",_xll.EpLgm1fStandardSwaptionPrice($C$2,$O$3,$O$2,W44,X44,Y44,Z44,AA44))</f>
        <v/>
      </c>
    </row>
    <row r="45" spans="2:30" x14ac:dyDescent="0.3">
      <c r="B45" s="97" t="str">
        <f t="shared" si="0"/>
        <v/>
      </c>
      <c r="C45" s="97" t="str">
        <f t="shared" si="7"/>
        <v/>
      </c>
      <c r="D45" s="97" t="str">
        <f t="shared" si="1"/>
        <v/>
      </c>
      <c r="E45" s="8" t="str">
        <f t="shared" si="2"/>
        <v/>
      </c>
      <c r="F45" s="31" t="str">
        <f t="shared" si="3"/>
        <v/>
      </c>
      <c r="G45" s="11" t="str">
        <f t="shared" si="4"/>
        <v/>
      </c>
      <c r="H45" s="11" t="str">
        <f t="shared" si="8"/>
        <v/>
      </c>
      <c r="I45" s="28" t="str">
        <f t="shared" si="5"/>
        <v/>
      </c>
      <c r="J45" s="8" t="str">
        <f t="shared" si="6"/>
        <v/>
      </c>
      <c r="K45" s="38" t="str">
        <f>IF(B45="","",IF($C$7="CAP",E45*F45*J45*NORMcall((B45-$C$2)/365,G45,I45,H45),E45*F45*J45*Normput((B45-$C$2)/365,G45,I45,H45)))</f>
        <v/>
      </c>
      <c r="M45" s="21"/>
      <c r="V45" s="21" t="str">
        <f t="shared" si="9"/>
        <v/>
      </c>
      <c r="W45" s="21" t="str">
        <f t="shared" si="10"/>
        <v/>
      </c>
      <c r="X45" s="21" t="str">
        <f t="shared" si="11"/>
        <v/>
      </c>
      <c r="Y45" s="1" t="str">
        <f t="shared" si="12"/>
        <v/>
      </c>
      <c r="Z45" s="1" t="str">
        <f t="shared" si="13"/>
        <v/>
      </c>
      <c r="AA45" s="26" t="str">
        <f t="shared" si="14"/>
        <v/>
      </c>
      <c r="AB45" s="11" t="str">
        <f t="shared" si="15"/>
        <v/>
      </c>
      <c r="AC45" s="28" t="str">
        <f>IF(V45="","",_xll.EpBsStandardSwaptionPrice($C$2,$O$2,W45,X45,Y45,Z45,AA45,AB45))</f>
        <v/>
      </c>
      <c r="AD45" s="28" t="str">
        <f>IF(V45="","",_xll.EpLgm1fStandardSwaptionPrice($C$2,$O$3,$O$2,W45,X45,Y45,Z45,AA45))</f>
        <v/>
      </c>
    </row>
    <row r="46" spans="2:30" x14ac:dyDescent="0.3">
      <c r="B46" s="97" t="str">
        <f t="shared" si="0"/>
        <v/>
      </c>
      <c r="C46" s="97" t="str">
        <f t="shared" si="7"/>
        <v/>
      </c>
      <c r="D46" s="97" t="str">
        <f t="shared" si="1"/>
        <v/>
      </c>
      <c r="E46" s="8" t="str">
        <f t="shared" si="2"/>
        <v/>
      </c>
      <c r="F46" s="31" t="str">
        <f t="shared" si="3"/>
        <v/>
      </c>
      <c r="G46" s="11" t="str">
        <f t="shared" si="4"/>
        <v/>
      </c>
      <c r="H46" s="11" t="str">
        <f t="shared" si="8"/>
        <v/>
      </c>
      <c r="I46" s="28" t="str">
        <f t="shared" si="5"/>
        <v/>
      </c>
      <c r="J46" s="8" t="str">
        <f t="shared" si="6"/>
        <v/>
      </c>
      <c r="K46" s="38" t="str">
        <f>IF(B46="","",IF($C$7="CAP",E46*F46*J46*NORMcall((B46-$C$2)/365,G46,I46,H46),E46*F46*J46*Normput((B46-$C$2)/365,G46,I46,H46)))</f>
        <v/>
      </c>
      <c r="M46" s="21"/>
      <c r="V46" s="21" t="str">
        <f t="shared" si="9"/>
        <v/>
      </c>
      <c r="W46" s="21" t="str">
        <f t="shared" si="10"/>
        <v/>
      </c>
      <c r="X46" s="21" t="str">
        <f t="shared" si="11"/>
        <v/>
      </c>
      <c r="Y46" s="1" t="str">
        <f t="shared" si="12"/>
        <v/>
      </c>
      <c r="Z46" s="1" t="str">
        <f t="shared" si="13"/>
        <v/>
      </c>
      <c r="AA46" s="26" t="str">
        <f t="shared" si="14"/>
        <v/>
      </c>
      <c r="AB46" s="11" t="str">
        <f t="shared" si="15"/>
        <v/>
      </c>
      <c r="AC46" s="28" t="str">
        <f>IF(V46="","",_xll.EpBsStandardSwaptionPrice($C$2,$O$2,W46,X46,Y46,Z46,AA46,AB46))</f>
        <v/>
      </c>
      <c r="AD46" s="28" t="str">
        <f>IF(V46="","",_xll.EpLgm1fStandardSwaptionPrice($C$2,$O$3,$O$2,W46,X46,Y46,Z46,AA46))</f>
        <v/>
      </c>
    </row>
    <row r="47" spans="2:30" x14ac:dyDescent="0.3">
      <c r="B47" s="97" t="str">
        <f t="shared" si="0"/>
        <v/>
      </c>
      <c r="C47" s="97" t="str">
        <f t="shared" si="7"/>
        <v/>
      </c>
      <c r="D47" s="97" t="str">
        <f t="shared" si="1"/>
        <v/>
      </c>
      <c r="E47" s="8" t="str">
        <f t="shared" si="2"/>
        <v/>
      </c>
      <c r="F47" s="31" t="str">
        <f t="shared" si="3"/>
        <v/>
      </c>
      <c r="G47" s="11" t="str">
        <f t="shared" si="4"/>
        <v/>
      </c>
      <c r="H47" s="11" t="str">
        <f t="shared" si="8"/>
        <v/>
      </c>
      <c r="I47" s="28" t="str">
        <f t="shared" si="5"/>
        <v/>
      </c>
      <c r="J47" s="8" t="str">
        <f t="shared" si="6"/>
        <v/>
      </c>
      <c r="K47" s="38" t="str">
        <f>IF(B47="","",IF($C$7="CAP",E47*F47*J47*NORMcall((B47-$C$2)/365,G47,I47,H47),E47*F47*J47*Normput((B47-$C$2)/365,G47,I47,H47)))</f>
        <v/>
      </c>
      <c r="M47" s="21"/>
      <c r="V47" s="21" t="str">
        <f t="shared" si="9"/>
        <v/>
      </c>
      <c r="W47" s="21" t="str">
        <f t="shared" si="10"/>
        <v/>
      </c>
      <c r="X47" s="21" t="str">
        <f t="shared" si="11"/>
        <v/>
      </c>
      <c r="Y47" s="1" t="str">
        <f t="shared" si="12"/>
        <v/>
      </c>
      <c r="Z47" s="1" t="str">
        <f t="shared" si="13"/>
        <v/>
      </c>
      <c r="AA47" s="26" t="str">
        <f t="shared" si="14"/>
        <v/>
      </c>
      <c r="AB47" s="11" t="str">
        <f t="shared" si="15"/>
        <v/>
      </c>
      <c r="AC47" s="28" t="str">
        <f>IF(V47="","",_xll.EpBsStandardSwaptionPrice($C$2,$O$2,W47,X47,Y47,Z47,AA47,AB47))</f>
        <v/>
      </c>
      <c r="AD47" s="28" t="str">
        <f>IF(V47="","",_xll.EpLgm1fStandardSwaptionPrice($C$2,$O$3,$O$2,W47,X47,Y47,Z47,AA47))</f>
        <v/>
      </c>
    </row>
    <row r="48" spans="2:30" x14ac:dyDescent="0.3">
      <c r="B48" s="97" t="str">
        <f t="shared" si="0"/>
        <v/>
      </c>
      <c r="C48" s="97" t="str">
        <f t="shared" si="7"/>
        <v/>
      </c>
      <c r="D48" s="97" t="str">
        <f t="shared" si="1"/>
        <v/>
      </c>
      <c r="E48" s="8" t="str">
        <f t="shared" si="2"/>
        <v/>
      </c>
      <c r="F48" s="31" t="str">
        <f t="shared" si="3"/>
        <v/>
      </c>
      <c r="G48" s="11" t="str">
        <f t="shared" si="4"/>
        <v/>
      </c>
      <c r="H48" s="11" t="str">
        <f t="shared" si="8"/>
        <v/>
      </c>
      <c r="I48" s="28" t="str">
        <f t="shared" si="5"/>
        <v/>
      </c>
      <c r="J48" s="8" t="str">
        <f t="shared" si="6"/>
        <v/>
      </c>
      <c r="K48" s="38" t="str">
        <f>IF(B48="","",IF($C$7="CAP",E48*F48*J48*NORMcall((B48-$C$2)/365,G48,I48,H48),E48*F48*J48*Normput((B48-$C$2)/365,G48,I48,H48)))</f>
        <v/>
      </c>
      <c r="M48" s="21"/>
      <c r="V48" s="21" t="str">
        <f t="shared" si="9"/>
        <v/>
      </c>
      <c r="W48" s="21" t="str">
        <f t="shared" si="10"/>
        <v/>
      </c>
      <c r="X48" s="21" t="str">
        <f t="shared" si="11"/>
        <v/>
      </c>
      <c r="Y48" s="1" t="str">
        <f t="shared" si="12"/>
        <v/>
      </c>
      <c r="Z48" s="1" t="str">
        <f t="shared" si="13"/>
        <v/>
      </c>
      <c r="AA48" s="26" t="str">
        <f t="shared" si="14"/>
        <v/>
      </c>
      <c r="AB48" s="11" t="str">
        <f t="shared" si="15"/>
        <v/>
      </c>
      <c r="AC48" s="28" t="str">
        <f>IF(V48="","",_xll.EpBsStandardSwaptionPrice($C$2,$O$2,W48,X48,Y48,Z48,AA48,AB48))</f>
        <v/>
      </c>
      <c r="AD48" s="28" t="str">
        <f>IF(V48="","",_xll.EpLgm1fStandardSwaptionPrice($C$2,$O$3,$O$2,W48,X48,Y48,Z48,AA48))</f>
        <v/>
      </c>
    </row>
    <row r="49" spans="2:30" x14ac:dyDescent="0.3">
      <c r="B49" s="97" t="str">
        <f t="shared" si="0"/>
        <v/>
      </c>
      <c r="C49" s="97" t="str">
        <f t="shared" si="7"/>
        <v/>
      </c>
      <c r="D49" s="97" t="str">
        <f t="shared" si="1"/>
        <v/>
      </c>
      <c r="E49" s="8" t="str">
        <f t="shared" si="2"/>
        <v/>
      </c>
      <c r="F49" s="31" t="str">
        <f t="shared" si="3"/>
        <v/>
      </c>
      <c r="G49" s="11" t="str">
        <f t="shared" si="4"/>
        <v/>
      </c>
      <c r="H49" s="11" t="str">
        <f t="shared" si="8"/>
        <v/>
      </c>
      <c r="I49" s="28" t="str">
        <f t="shared" si="5"/>
        <v/>
      </c>
      <c r="J49" s="8" t="str">
        <f t="shared" si="6"/>
        <v/>
      </c>
      <c r="K49" s="38" t="str">
        <f>IF(B49="","",IF($C$7="CAP",E49*F49*J49*NORMcall((B49-$C$2)/365,G49,I49,H49),E49*F49*J49*Normput((B49-$C$2)/365,G49,I49,H49)))</f>
        <v/>
      </c>
      <c r="M49" s="21"/>
      <c r="V49" s="21" t="str">
        <f t="shared" si="9"/>
        <v/>
      </c>
      <c r="W49" s="21" t="str">
        <f t="shared" si="10"/>
        <v/>
      </c>
      <c r="X49" s="21" t="str">
        <f t="shared" si="11"/>
        <v/>
      </c>
      <c r="Y49" s="1" t="str">
        <f t="shared" si="12"/>
        <v/>
      </c>
      <c r="Z49" s="1" t="str">
        <f t="shared" si="13"/>
        <v/>
      </c>
      <c r="AA49" s="26" t="str">
        <f t="shared" si="14"/>
        <v/>
      </c>
      <c r="AB49" s="11" t="str">
        <f t="shared" si="15"/>
        <v/>
      </c>
      <c r="AC49" s="28" t="str">
        <f>IF(V49="","",_xll.EpBsStandardSwaptionPrice($C$2,$O$2,W49,X49,Y49,Z49,AA49,AB49))</f>
        <v/>
      </c>
      <c r="AD49" s="28" t="str">
        <f>IF(V49="","",_xll.EpLgm1fStandardSwaptionPrice($C$2,$O$3,$O$2,W49,X49,Y49,Z49,AA49))</f>
        <v/>
      </c>
    </row>
    <row r="50" spans="2:30" x14ac:dyDescent="0.3">
      <c r="B50" s="97" t="str">
        <f t="shared" si="0"/>
        <v/>
      </c>
      <c r="C50" s="97" t="str">
        <f t="shared" si="7"/>
        <v/>
      </c>
      <c r="D50" s="97" t="str">
        <f t="shared" si="1"/>
        <v/>
      </c>
      <c r="E50" s="8" t="str">
        <f t="shared" si="2"/>
        <v/>
      </c>
      <c r="F50" s="31" t="str">
        <f t="shared" si="3"/>
        <v/>
      </c>
      <c r="G50" s="11" t="str">
        <f t="shared" si="4"/>
        <v/>
      </c>
      <c r="H50" s="11" t="str">
        <f t="shared" si="8"/>
        <v/>
      </c>
      <c r="I50" s="28" t="str">
        <f t="shared" si="5"/>
        <v/>
      </c>
      <c r="J50" s="8" t="str">
        <f t="shared" si="6"/>
        <v/>
      </c>
      <c r="K50" s="38" t="str">
        <f>IF(B50="","",IF($C$7="CAP",E50*F50*J50*NORMcall((B50-$C$2)/365,G50,I50,H50),E50*F50*J50*Normput((B50-$C$2)/365,G50,I50,H50)))</f>
        <v/>
      </c>
      <c r="M50" s="21"/>
      <c r="V50" s="21" t="str">
        <f t="shared" si="9"/>
        <v/>
      </c>
      <c r="W50" s="21" t="str">
        <f t="shared" si="10"/>
        <v/>
      </c>
      <c r="X50" s="21" t="str">
        <f t="shared" si="11"/>
        <v/>
      </c>
      <c r="Y50" s="1" t="str">
        <f t="shared" si="12"/>
        <v/>
      </c>
      <c r="Z50" s="1" t="str">
        <f t="shared" si="13"/>
        <v/>
      </c>
      <c r="AA50" s="26" t="str">
        <f t="shared" si="14"/>
        <v/>
      </c>
      <c r="AB50" s="11" t="str">
        <f t="shared" si="15"/>
        <v/>
      </c>
      <c r="AC50" s="28" t="str">
        <f>IF(V50="","",_xll.EpBsStandardSwaptionPrice($C$2,$O$2,W50,X50,Y50,Z50,AA50,AB50))</f>
        <v/>
      </c>
      <c r="AD50" s="28" t="str">
        <f>IF(V50="","",_xll.EpLgm1fStandardSwaptionPrice($C$2,$O$3,$O$2,W50,X50,Y50,Z50,AA50))</f>
        <v/>
      </c>
    </row>
    <row r="51" spans="2:30" x14ac:dyDescent="0.3">
      <c r="B51" s="97" t="str">
        <f t="shared" ref="B51:B82" si="16">IF(C51="","",C51-2)</f>
        <v/>
      </c>
      <c r="C51" s="97" t="str">
        <f t="shared" si="7"/>
        <v/>
      </c>
      <c r="D51" s="97" t="str">
        <f t="shared" ref="D51:D82" si="17">IF(C51="","",DATE(YEAR(C51),MONTH(C51)+VLOOKUP($C$10,$AC$1:$AD$4,2,FALSE),DAY(C51)))</f>
        <v/>
      </c>
      <c r="E51" s="8" t="str">
        <f t="shared" ref="E51:E82" si="18">IF(B51="","",IF($C$11="30/360",DAYS360(C51,D51)/360,IF($C$11="ACT/360",(D51-C51)/360,IF($C$11="ACT/365",(D51-C51)/365))))</f>
        <v/>
      </c>
      <c r="F51" s="31" t="str">
        <f t="shared" ref="F51:F82" si="19">IF(B51="","",$C$6)</f>
        <v/>
      </c>
      <c r="G51" s="11" t="str">
        <f t="shared" ref="G51:G82" si="20">IF(B51="","",$C$12)</f>
        <v/>
      </c>
      <c r="H51" s="11" t="str">
        <f t="shared" si="8"/>
        <v/>
      </c>
      <c r="I51" s="28" t="str">
        <f t="shared" ref="I51:I82" si="21">IF(B51="","",(DF(C51-$C$2,Maturities,ZcRates)/DF(D51-$C$2,Maturities,ZcRates)-1)/E51)</f>
        <v/>
      </c>
      <c r="J51" s="8" t="str">
        <f t="shared" ref="J51:J82" si="22">IF(B51="","",DF(D51-$C$2,Maturities,ZcRates))</f>
        <v/>
      </c>
      <c r="K51" s="38" t="str">
        <f>IF(B51="","",IF($C$7="CAP",E51*F51*J51*NORMcall((B51-$C$2)/365,G51,I51,H51),E51*F51*J51*Normput((B51-$C$2)/365,G51,I51,H51)))</f>
        <v/>
      </c>
      <c r="M51" s="21"/>
      <c r="V51" s="21" t="str">
        <f t="shared" si="9"/>
        <v/>
      </c>
      <c r="W51" s="21" t="str">
        <f t="shared" si="10"/>
        <v/>
      </c>
      <c r="X51" s="21" t="str">
        <f t="shared" si="11"/>
        <v/>
      </c>
      <c r="Y51" s="1" t="str">
        <f t="shared" si="12"/>
        <v/>
      </c>
      <c r="Z51" s="1" t="str">
        <f t="shared" si="13"/>
        <v/>
      </c>
      <c r="AA51" s="26" t="str">
        <f t="shared" si="14"/>
        <v/>
      </c>
      <c r="AB51" s="11" t="str">
        <f t="shared" si="15"/>
        <v/>
      </c>
      <c r="AC51" s="28" t="str">
        <f>IF(V51="","",_xll.EpBsStandardSwaptionPrice($C$2,$O$2,W51,X51,Y51,Z51,AA51,AB51))</f>
        <v/>
      </c>
      <c r="AD51" s="28" t="str">
        <f>IF(V51="","",_xll.EpLgm1fStandardSwaptionPrice($C$2,$O$3,$O$2,W51,X51,Y51,Z51,AA51))</f>
        <v/>
      </c>
    </row>
    <row r="52" spans="2:30" x14ac:dyDescent="0.3">
      <c r="B52" s="97" t="str">
        <f t="shared" si="16"/>
        <v/>
      </c>
      <c r="C52" s="97" t="str">
        <f t="shared" ref="C52:C83" si="23">IF(OR(D51=$C$9,D51=""),"",D51)</f>
        <v/>
      </c>
      <c r="D52" s="97" t="str">
        <f t="shared" si="17"/>
        <v/>
      </c>
      <c r="E52" s="8" t="str">
        <f t="shared" si="18"/>
        <v/>
      </c>
      <c r="F52" s="31" t="str">
        <f t="shared" si="19"/>
        <v/>
      </c>
      <c r="G52" s="11" t="str">
        <f t="shared" si="20"/>
        <v/>
      </c>
      <c r="H52" s="11" t="str">
        <f t="shared" si="8"/>
        <v/>
      </c>
      <c r="I52" s="28" t="str">
        <f t="shared" si="21"/>
        <v/>
      </c>
      <c r="J52" s="8" t="str">
        <f t="shared" si="22"/>
        <v/>
      </c>
      <c r="K52" s="38" t="str">
        <f>IF(B52="","",IF($C$7="CAP",E52*F52*J52*NORMcall((B52-$C$2)/365,G52,I52,H52),E52*F52*J52*Normput((B52-$C$2)/365,G52,I52,H52)))</f>
        <v/>
      </c>
      <c r="M52" s="21"/>
      <c r="V52" s="21" t="str">
        <f t="shared" si="9"/>
        <v/>
      </c>
      <c r="W52" s="21" t="str">
        <f t="shared" si="10"/>
        <v/>
      </c>
      <c r="X52" s="21" t="str">
        <f t="shared" si="11"/>
        <v/>
      </c>
      <c r="Y52" s="1" t="str">
        <f t="shared" si="12"/>
        <v/>
      </c>
      <c r="Z52" s="1" t="str">
        <f t="shared" si="13"/>
        <v/>
      </c>
      <c r="AA52" s="26" t="str">
        <f t="shared" si="14"/>
        <v/>
      </c>
      <c r="AB52" s="11" t="str">
        <f t="shared" si="15"/>
        <v/>
      </c>
      <c r="AC52" s="28" t="str">
        <f>IF(V52="","",_xll.EpBsStandardSwaptionPrice($C$2,$O$2,W52,X52,Y52,Z52,AA52,AB52))</f>
        <v/>
      </c>
      <c r="AD52" s="28" t="str">
        <f>IF(V52="","",_xll.EpLgm1fStandardSwaptionPrice($C$2,$O$3,$O$2,W52,X52,Y52,Z52,AA52))</f>
        <v/>
      </c>
    </row>
    <row r="53" spans="2:30" x14ac:dyDescent="0.3">
      <c r="B53" s="97" t="str">
        <f t="shared" si="16"/>
        <v/>
      </c>
      <c r="C53" s="97" t="str">
        <f t="shared" si="23"/>
        <v/>
      </c>
      <c r="D53" s="97" t="str">
        <f t="shared" si="17"/>
        <v/>
      </c>
      <c r="E53" s="8" t="str">
        <f t="shared" si="18"/>
        <v/>
      </c>
      <c r="F53" s="31" t="str">
        <f t="shared" si="19"/>
        <v/>
      </c>
      <c r="G53" s="11" t="str">
        <f t="shared" si="20"/>
        <v/>
      </c>
      <c r="H53" s="11" t="str">
        <f t="shared" si="8"/>
        <v/>
      </c>
      <c r="I53" s="28" t="str">
        <f t="shared" si="21"/>
        <v/>
      </c>
      <c r="J53" s="8" t="str">
        <f t="shared" si="22"/>
        <v/>
      </c>
      <c r="K53" s="38" t="str">
        <f>IF(B53="","",IF($C$7="CAP",E53*F53*J53*NORMcall((B53-$C$2)/365,G53,I53,H53),E53*F53*J53*Normput((B53-$C$2)/365,G53,I53,H53)))</f>
        <v/>
      </c>
      <c r="M53" s="21"/>
      <c r="V53" s="21" t="str">
        <f t="shared" si="9"/>
        <v/>
      </c>
      <c r="W53" s="21" t="str">
        <f t="shared" si="10"/>
        <v/>
      </c>
      <c r="X53" s="21" t="str">
        <f t="shared" si="11"/>
        <v/>
      </c>
      <c r="Y53" s="1" t="str">
        <f t="shared" si="12"/>
        <v/>
      </c>
      <c r="Z53" s="1" t="str">
        <f t="shared" si="13"/>
        <v/>
      </c>
      <c r="AA53" s="26" t="str">
        <f t="shared" si="14"/>
        <v/>
      </c>
      <c r="AB53" s="11" t="str">
        <f t="shared" si="15"/>
        <v/>
      </c>
      <c r="AC53" s="28" t="str">
        <f>IF(V53="","",_xll.EpBsStandardSwaptionPrice($C$2,$O$2,W53,X53,Y53,Z53,AA53,AB53))</f>
        <v/>
      </c>
      <c r="AD53" s="28" t="str">
        <f>IF(V53="","",_xll.EpLgm1fStandardSwaptionPrice($C$2,$O$3,$O$2,W53,X53,Y53,Z53,AA53))</f>
        <v/>
      </c>
    </row>
    <row r="54" spans="2:30" x14ac:dyDescent="0.3">
      <c r="B54" s="97" t="str">
        <f t="shared" si="16"/>
        <v/>
      </c>
      <c r="C54" s="97" t="str">
        <f t="shared" si="23"/>
        <v/>
      </c>
      <c r="D54" s="97" t="str">
        <f t="shared" si="17"/>
        <v/>
      </c>
      <c r="E54" s="8" t="str">
        <f t="shared" si="18"/>
        <v/>
      </c>
      <c r="F54" s="31" t="str">
        <f t="shared" si="19"/>
        <v/>
      </c>
      <c r="G54" s="11" t="str">
        <f t="shared" si="20"/>
        <v/>
      </c>
      <c r="H54" s="11" t="str">
        <f t="shared" si="8"/>
        <v/>
      </c>
      <c r="I54" s="28" t="str">
        <f t="shared" si="21"/>
        <v/>
      </c>
      <c r="J54" s="8" t="str">
        <f t="shared" si="22"/>
        <v/>
      </c>
      <c r="K54" s="38" t="str">
        <f>IF(B54="","",IF($C$7="CAP",E54*F54*J54*NORMcall((B54-$C$2)/365,G54,I54,H54),E54*F54*J54*Normput((B54-$C$2)/365,G54,I54,H54)))</f>
        <v/>
      </c>
      <c r="M54" s="21"/>
      <c r="V54" s="21" t="str">
        <f t="shared" si="9"/>
        <v/>
      </c>
      <c r="W54" s="21" t="str">
        <f t="shared" si="10"/>
        <v/>
      </c>
      <c r="X54" s="21" t="str">
        <f t="shared" si="11"/>
        <v/>
      </c>
      <c r="Y54" s="1" t="str">
        <f t="shared" si="12"/>
        <v/>
      </c>
      <c r="Z54" s="1" t="str">
        <f t="shared" si="13"/>
        <v/>
      </c>
      <c r="AA54" s="26" t="str">
        <f t="shared" si="14"/>
        <v/>
      </c>
      <c r="AB54" s="11" t="str">
        <f t="shared" si="15"/>
        <v/>
      </c>
      <c r="AC54" s="28" t="str">
        <f>IF(V54="","",_xll.EpBsStandardSwaptionPrice($C$2,$O$2,W54,X54,Y54,Z54,AA54,AB54))</f>
        <v/>
      </c>
      <c r="AD54" s="28" t="str">
        <f>IF(V54="","",_xll.EpLgm1fStandardSwaptionPrice($C$2,$O$3,$O$2,W54,X54,Y54,Z54,AA54))</f>
        <v/>
      </c>
    </row>
    <row r="55" spans="2:30" x14ac:dyDescent="0.3">
      <c r="B55" s="97" t="str">
        <f t="shared" si="16"/>
        <v/>
      </c>
      <c r="C55" s="97" t="str">
        <f t="shared" si="23"/>
        <v/>
      </c>
      <c r="D55" s="97" t="str">
        <f t="shared" si="17"/>
        <v/>
      </c>
      <c r="E55" s="8" t="str">
        <f t="shared" si="18"/>
        <v/>
      </c>
      <c r="F55" s="31" t="str">
        <f t="shared" si="19"/>
        <v/>
      </c>
      <c r="G55" s="11" t="str">
        <f t="shared" si="20"/>
        <v/>
      </c>
      <c r="H55" s="11" t="str">
        <f t="shared" si="8"/>
        <v/>
      </c>
      <c r="I55" s="28" t="str">
        <f t="shared" si="21"/>
        <v/>
      </c>
      <c r="J55" s="8" t="str">
        <f t="shared" si="22"/>
        <v/>
      </c>
      <c r="K55" s="38" t="str">
        <f>IF(B55="","",IF($C$7="CAP",E55*F55*J55*NORMcall((B55-$C$2)/365,G55,I55,H55),E55*F55*J55*Normput((B55-$C$2)/365,G55,I55,H55)))</f>
        <v/>
      </c>
      <c r="M55" s="21"/>
      <c r="V55" s="21" t="str">
        <f t="shared" si="9"/>
        <v/>
      </c>
      <c r="W55" s="21" t="str">
        <f t="shared" si="10"/>
        <v/>
      </c>
      <c r="X55" s="21" t="str">
        <f t="shared" si="11"/>
        <v/>
      </c>
      <c r="Y55" s="1" t="str">
        <f t="shared" si="12"/>
        <v/>
      </c>
      <c r="Z55" s="1" t="str">
        <f t="shared" si="13"/>
        <v/>
      </c>
      <c r="AA55" s="26" t="str">
        <f t="shared" si="14"/>
        <v/>
      </c>
      <c r="AB55" s="11" t="str">
        <f t="shared" si="15"/>
        <v/>
      </c>
      <c r="AC55" s="28" t="str">
        <f>IF(V55="","",_xll.EpBsStandardSwaptionPrice($C$2,$O$2,W55,X55,Y55,Z55,AA55,AB55))</f>
        <v/>
      </c>
      <c r="AD55" s="28" t="str">
        <f>IF(V55="","",_xll.EpLgm1fStandardSwaptionPrice($C$2,$O$3,$O$2,W55,X55,Y55,Z55,AA55))</f>
        <v/>
      </c>
    </row>
    <row r="56" spans="2:30" x14ac:dyDescent="0.3">
      <c r="B56" s="97" t="str">
        <f t="shared" si="16"/>
        <v/>
      </c>
      <c r="C56" s="97" t="str">
        <f t="shared" si="23"/>
        <v/>
      </c>
      <c r="D56" s="97" t="str">
        <f t="shared" si="17"/>
        <v/>
      </c>
      <c r="E56" s="8" t="str">
        <f t="shared" si="18"/>
        <v/>
      </c>
      <c r="F56" s="31" t="str">
        <f t="shared" si="19"/>
        <v/>
      </c>
      <c r="G56" s="11" t="str">
        <f t="shared" si="20"/>
        <v/>
      </c>
      <c r="H56" s="11" t="str">
        <f t="shared" si="8"/>
        <v/>
      </c>
      <c r="I56" s="28" t="str">
        <f t="shared" si="21"/>
        <v/>
      </c>
      <c r="J56" s="8" t="str">
        <f t="shared" si="22"/>
        <v/>
      </c>
      <c r="K56" s="38" t="str">
        <f>IF(B56="","",IF($C$7="CAP",E56*F56*J56*NORMcall((B56-$C$2)/365,G56,I56,H56),E56*F56*J56*Normput((B56-$C$2)/365,G56,I56,H56)))</f>
        <v/>
      </c>
      <c r="M56" s="21"/>
      <c r="V56" s="21" t="str">
        <f t="shared" si="9"/>
        <v/>
      </c>
      <c r="W56" s="21" t="str">
        <f t="shared" si="10"/>
        <v/>
      </c>
      <c r="X56" s="21" t="str">
        <f t="shared" si="11"/>
        <v/>
      </c>
      <c r="Y56" s="1" t="str">
        <f t="shared" si="12"/>
        <v/>
      </c>
      <c r="Z56" s="1" t="str">
        <f t="shared" si="13"/>
        <v/>
      </c>
      <c r="AA56" s="26" t="str">
        <f t="shared" si="14"/>
        <v/>
      </c>
      <c r="AB56" s="11" t="str">
        <f t="shared" si="15"/>
        <v/>
      </c>
      <c r="AC56" s="28" t="str">
        <f>IF(V56="","",_xll.EpBsStandardSwaptionPrice($C$2,$O$2,W56,X56,Y56,Z56,AA56,AB56))</f>
        <v/>
      </c>
      <c r="AD56" s="28" t="str">
        <f>IF(V56="","",_xll.EpLgm1fStandardSwaptionPrice($C$2,$O$3,$O$2,W56,X56,Y56,Z56,AA56))</f>
        <v/>
      </c>
    </row>
    <row r="57" spans="2:30" x14ac:dyDescent="0.3">
      <c r="B57" s="97" t="str">
        <f t="shared" si="16"/>
        <v/>
      </c>
      <c r="C57" s="97" t="str">
        <f t="shared" si="23"/>
        <v/>
      </c>
      <c r="D57" s="97" t="str">
        <f t="shared" si="17"/>
        <v/>
      </c>
      <c r="E57" s="8" t="str">
        <f t="shared" si="18"/>
        <v/>
      </c>
      <c r="F57" s="31" t="str">
        <f t="shared" si="19"/>
        <v/>
      </c>
      <c r="G57" s="11" t="str">
        <f t="shared" si="20"/>
        <v/>
      </c>
      <c r="H57" s="11" t="str">
        <f t="shared" si="8"/>
        <v/>
      </c>
      <c r="I57" s="28" t="str">
        <f t="shared" si="21"/>
        <v/>
      </c>
      <c r="J57" s="8" t="str">
        <f t="shared" si="22"/>
        <v/>
      </c>
      <c r="K57" s="38" t="str">
        <f>IF(B57="","",IF($C$7="CAP",E57*F57*J57*NORMcall((B57-$C$2)/365,G57,I57,H57),E57*F57*J57*Normput((B57-$C$2)/365,G57,I57,H57)))</f>
        <v/>
      </c>
      <c r="M57" s="21"/>
      <c r="V57" s="21" t="str">
        <f t="shared" si="9"/>
        <v/>
      </c>
      <c r="W57" s="21" t="str">
        <f t="shared" si="10"/>
        <v/>
      </c>
      <c r="X57" s="21" t="str">
        <f t="shared" si="11"/>
        <v/>
      </c>
      <c r="Y57" s="1" t="str">
        <f t="shared" si="12"/>
        <v/>
      </c>
      <c r="Z57" s="1" t="str">
        <f t="shared" si="13"/>
        <v/>
      </c>
      <c r="AA57" s="26" t="str">
        <f t="shared" si="14"/>
        <v/>
      </c>
      <c r="AB57" s="11" t="str">
        <f t="shared" si="15"/>
        <v/>
      </c>
      <c r="AC57" s="28" t="str">
        <f>IF(V57="","",_xll.EpBsStandardSwaptionPrice($C$2,$O$2,W57,X57,Y57,Z57,AA57,AB57))</f>
        <v/>
      </c>
      <c r="AD57" s="28" t="str">
        <f>IF(V57="","",_xll.EpLgm1fStandardSwaptionPrice($C$2,$O$3,$O$2,W57,X57,Y57,Z57,AA57))</f>
        <v/>
      </c>
    </row>
    <row r="58" spans="2:30" x14ac:dyDescent="0.3">
      <c r="B58" s="97" t="str">
        <f t="shared" si="16"/>
        <v/>
      </c>
      <c r="C58" s="97" t="str">
        <f t="shared" si="23"/>
        <v/>
      </c>
      <c r="D58" s="97" t="str">
        <f t="shared" si="17"/>
        <v/>
      </c>
      <c r="E58" s="8" t="str">
        <f t="shared" si="18"/>
        <v/>
      </c>
      <c r="F58" s="31" t="str">
        <f t="shared" si="19"/>
        <v/>
      </c>
      <c r="G58" s="11" t="str">
        <f t="shared" si="20"/>
        <v/>
      </c>
      <c r="H58" s="11" t="str">
        <f t="shared" si="8"/>
        <v/>
      </c>
      <c r="I58" s="28" t="str">
        <f t="shared" si="21"/>
        <v/>
      </c>
      <c r="J58" s="8" t="str">
        <f t="shared" si="22"/>
        <v/>
      </c>
      <c r="K58" s="38" t="str">
        <f>IF(B58="","",IF($C$7="CAP",E58*F58*J58*NORMcall((B58-$C$2)/365,G58,I58,H58),E58*F58*J58*Normput((B58-$C$2)/365,G58,I58,H58)))</f>
        <v/>
      </c>
      <c r="M58" s="21"/>
      <c r="V58" s="21" t="str">
        <f t="shared" si="9"/>
        <v/>
      </c>
      <c r="W58" s="21" t="str">
        <f t="shared" si="10"/>
        <v/>
      </c>
      <c r="X58" s="21" t="str">
        <f t="shared" si="11"/>
        <v/>
      </c>
      <c r="Y58" s="1" t="str">
        <f t="shared" si="12"/>
        <v/>
      </c>
      <c r="Z58" s="1" t="str">
        <f t="shared" si="13"/>
        <v/>
      </c>
      <c r="AA58" s="26" t="str">
        <f t="shared" si="14"/>
        <v/>
      </c>
      <c r="AB58" s="11" t="str">
        <f t="shared" si="15"/>
        <v/>
      </c>
      <c r="AC58" s="28" t="str">
        <f>IF(V58="","",_xll.EpBsStandardSwaptionPrice($C$2,$O$2,W58,X58,Y58,Z58,AA58,AB58))</f>
        <v/>
      </c>
      <c r="AD58" s="28" t="str">
        <f>IF(V58="","",_xll.EpLgm1fStandardSwaptionPrice($C$2,$O$3,$O$2,W58,X58,Y58,Z58,AA58))</f>
        <v/>
      </c>
    </row>
    <row r="59" spans="2:30" x14ac:dyDescent="0.3">
      <c r="B59" s="97" t="str">
        <f t="shared" si="16"/>
        <v/>
      </c>
      <c r="C59" s="97" t="str">
        <f t="shared" si="23"/>
        <v/>
      </c>
      <c r="D59" s="97" t="str">
        <f t="shared" si="17"/>
        <v/>
      </c>
      <c r="E59" s="8" t="str">
        <f t="shared" si="18"/>
        <v/>
      </c>
      <c r="F59" s="31" t="str">
        <f t="shared" si="19"/>
        <v/>
      </c>
      <c r="G59" s="11" t="str">
        <f t="shared" si="20"/>
        <v/>
      </c>
      <c r="H59" s="11" t="str">
        <f t="shared" si="8"/>
        <v/>
      </c>
      <c r="I59" s="28" t="str">
        <f t="shared" si="21"/>
        <v/>
      </c>
      <c r="J59" s="8" t="str">
        <f t="shared" si="22"/>
        <v/>
      </c>
      <c r="K59" s="38" t="str">
        <f>IF(B59="","",IF($C$7="CAP",E59*F59*J59*NORMcall((B59-$C$2)/365,G59,I59,H59),E59*F59*J59*Normput((B59-$C$2)/365,G59,I59,H59)))</f>
        <v/>
      </c>
      <c r="M59" s="21"/>
      <c r="V59" s="21" t="str">
        <f t="shared" si="9"/>
        <v/>
      </c>
      <c r="W59" s="21" t="str">
        <f t="shared" si="10"/>
        <v/>
      </c>
      <c r="X59" s="21" t="str">
        <f t="shared" si="11"/>
        <v/>
      </c>
      <c r="Y59" s="1" t="str">
        <f t="shared" si="12"/>
        <v/>
      </c>
      <c r="Z59" s="1" t="str">
        <f t="shared" si="13"/>
        <v/>
      </c>
      <c r="AA59" s="26" t="str">
        <f t="shared" si="14"/>
        <v/>
      </c>
      <c r="AB59" s="11" t="str">
        <f t="shared" si="15"/>
        <v/>
      </c>
      <c r="AC59" s="28" t="str">
        <f>IF(V59="","",_xll.EpBsStandardSwaptionPrice($C$2,$O$2,W59,X59,Y59,Z59,AA59,AB59))</f>
        <v/>
      </c>
      <c r="AD59" s="28" t="str">
        <f>IF(V59="","",_xll.EpLgm1fStandardSwaptionPrice($C$2,$O$3,$O$2,W59,X59,Y59,Z59,AA59))</f>
        <v/>
      </c>
    </row>
    <row r="60" spans="2:30" x14ac:dyDescent="0.3">
      <c r="B60" s="97" t="str">
        <f t="shared" si="16"/>
        <v/>
      </c>
      <c r="C60" s="97" t="str">
        <f t="shared" si="23"/>
        <v/>
      </c>
      <c r="D60" s="97" t="str">
        <f t="shared" si="17"/>
        <v/>
      </c>
      <c r="E60" s="8" t="str">
        <f t="shared" si="18"/>
        <v/>
      </c>
      <c r="F60" s="31" t="str">
        <f t="shared" si="19"/>
        <v/>
      </c>
      <c r="G60" s="11" t="str">
        <f t="shared" si="20"/>
        <v/>
      </c>
      <c r="H60" s="11" t="str">
        <f t="shared" si="8"/>
        <v/>
      </c>
      <c r="I60" s="28" t="str">
        <f t="shared" si="21"/>
        <v/>
      </c>
      <c r="J60" s="8" t="str">
        <f t="shared" si="22"/>
        <v/>
      </c>
      <c r="K60" s="38" t="str">
        <f>IF(B60="","",IF($C$7="CAP",E60*F60*J60*NORMcall((B60-$C$2)/365,G60,I60,H60),E60*F60*J60*Normput((B60-$C$2)/365,G60,I60,H60)))</f>
        <v/>
      </c>
      <c r="M60" s="21"/>
      <c r="V60" s="21" t="str">
        <f t="shared" si="9"/>
        <v/>
      </c>
      <c r="W60" s="21" t="str">
        <f t="shared" si="10"/>
        <v/>
      </c>
      <c r="X60" s="21" t="str">
        <f t="shared" si="11"/>
        <v/>
      </c>
      <c r="Y60" s="1" t="str">
        <f t="shared" si="12"/>
        <v/>
      </c>
      <c r="Z60" s="1" t="str">
        <f t="shared" si="13"/>
        <v/>
      </c>
      <c r="AA60" s="26" t="str">
        <f t="shared" si="14"/>
        <v/>
      </c>
      <c r="AB60" s="11" t="str">
        <f t="shared" si="15"/>
        <v/>
      </c>
      <c r="AC60" s="28" t="str">
        <f>IF(V60="","",_xll.EpBsStandardSwaptionPrice($C$2,$O$2,W60,X60,Y60,Z60,AA60,AB60))</f>
        <v/>
      </c>
      <c r="AD60" s="28" t="str">
        <f>IF(V60="","",_xll.EpLgm1fStandardSwaptionPrice($C$2,$O$3,$O$2,W60,X60,Y60,Z60,AA60))</f>
        <v/>
      </c>
    </row>
    <row r="61" spans="2:30" x14ac:dyDescent="0.3">
      <c r="B61" s="97" t="str">
        <f t="shared" si="16"/>
        <v/>
      </c>
      <c r="C61" s="97" t="str">
        <f t="shared" si="23"/>
        <v/>
      </c>
      <c r="D61" s="97" t="str">
        <f t="shared" si="17"/>
        <v/>
      </c>
      <c r="E61" s="8" t="str">
        <f t="shared" si="18"/>
        <v/>
      </c>
      <c r="F61" s="31" t="str">
        <f t="shared" si="19"/>
        <v/>
      </c>
      <c r="G61" s="11" t="str">
        <f t="shared" si="20"/>
        <v/>
      </c>
      <c r="H61" s="11" t="str">
        <f t="shared" si="8"/>
        <v/>
      </c>
      <c r="I61" s="28" t="str">
        <f t="shared" si="21"/>
        <v/>
      </c>
      <c r="J61" s="8" t="str">
        <f t="shared" si="22"/>
        <v/>
      </c>
      <c r="K61" s="38" t="str">
        <f>IF(B61="","",IF($C$7="CAP",E61*F61*J61*NORMcall((B61-$C$2)/365,G61,I61,H61),E61*F61*J61*Normput((B61-$C$2)/365,G61,I61,H61)))</f>
        <v/>
      </c>
      <c r="M61" s="21"/>
      <c r="V61" s="21" t="str">
        <f t="shared" si="9"/>
        <v/>
      </c>
      <c r="W61" s="21" t="str">
        <f t="shared" si="10"/>
        <v/>
      </c>
      <c r="X61" s="21" t="str">
        <f t="shared" si="11"/>
        <v/>
      </c>
      <c r="Y61" s="1" t="str">
        <f t="shared" si="12"/>
        <v/>
      </c>
      <c r="Z61" s="1" t="str">
        <f t="shared" si="13"/>
        <v/>
      </c>
      <c r="AA61" s="26" t="str">
        <f t="shared" si="14"/>
        <v/>
      </c>
      <c r="AB61" s="11" t="str">
        <f t="shared" si="15"/>
        <v/>
      </c>
      <c r="AC61" s="28" t="str">
        <f>IF(V61="","",_xll.EpBsStandardSwaptionPrice($C$2,$O$2,W61,X61,Y61,Z61,AA61,AB61))</f>
        <v/>
      </c>
      <c r="AD61" s="28" t="str">
        <f>IF(V61="","",_xll.EpLgm1fStandardSwaptionPrice($C$2,$O$3,$O$2,W61,X61,Y61,Z61,AA61))</f>
        <v/>
      </c>
    </row>
    <row r="62" spans="2:30" x14ac:dyDescent="0.3">
      <c r="B62" s="97" t="str">
        <f t="shared" si="16"/>
        <v/>
      </c>
      <c r="C62" s="97" t="str">
        <f t="shared" si="23"/>
        <v/>
      </c>
      <c r="D62" s="97" t="str">
        <f t="shared" si="17"/>
        <v/>
      </c>
      <c r="E62" s="8" t="str">
        <f t="shared" si="18"/>
        <v/>
      </c>
      <c r="F62" s="31" t="str">
        <f t="shared" si="19"/>
        <v/>
      </c>
      <c r="G62" s="11" t="str">
        <f t="shared" si="20"/>
        <v/>
      </c>
      <c r="H62" s="11" t="str">
        <f t="shared" si="8"/>
        <v/>
      </c>
      <c r="I62" s="28" t="str">
        <f t="shared" si="21"/>
        <v/>
      </c>
      <c r="J62" s="8" t="str">
        <f t="shared" si="22"/>
        <v/>
      </c>
      <c r="K62" s="38" t="str">
        <f>IF(B62="","",IF($C$7="CAP",E62*F62*J62*NORMcall((B62-$C$2)/365,G62,I62,H62),E62*F62*J62*Normput((B62-$C$2)/365,G62,I62,H62)))</f>
        <v/>
      </c>
      <c r="M62" s="21"/>
      <c r="V62" s="21" t="str">
        <f t="shared" si="9"/>
        <v/>
      </c>
      <c r="W62" s="21" t="str">
        <f t="shared" si="10"/>
        <v/>
      </c>
      <c r="X62" s="21" t="str">
        <f t="shared" si="11"/>
        <v/>
      </c>
      <c r="Y62" s="1" t="str">
        <f t="shared" si="12"/>
        <v/>
      </c>
      <c r="Z62" s="1" t="str">
        <f t="shared" si="13"/>
        <v/>
      </c>
      <c r="AA62" s="26" t="str">
        <f t="shared" si="14"/>
        <v/>
      </c>
      <c r="AB62" s="11" t="str">
        <f t="shared" si="15"/>
        <v/>
      </c>
      <c r="AC62" s="28" t="str">
        <f>IF(V62="","",_xll.EpBsStandardSwaptionPrice($C$2,$O$2,W62,X62,Y62,Z62,AA62,AB62))</f>
        <v/>
      </c>
      <c r="AD62" s="28" t="str">
        <f>IF(V62="","",_xll.EpLgm1fStandardSwaptionPrice($C$2,$O$3,$O$2,W62,X62,Y62,Z62,AA62))</f>
        <v/>
      </c>
    </row>
    <row r="63" spans="2:30" x14ac:dyDescent="0.3">
      <c r="B63" s="97" t="str">
        <f t="shared" si="16"/>
        <v/>
      </c>
      <c r="C63" s="97" t="str">
        <f t="shared" si="23"/>
        <v/>
      </c>
      <c r="D63" s="97" t="str">
        <f t="shared" si="17"/>
        <v/>
      </c>
      <c r="E63" s="8" t="str">
        <f t="shared" si="18"/>
        <v/>
      </c>
      <c r="F63" s="31" t="str">
        <f t="shared" si="19"/>
        <v/>
      </c>
      <c r="G63" s="11" t="str">
        <f t="shared" si="20"/>
        <v/>
      </c>
      <c r="H63" s="11" t="str">
        <f t="shared" si="8"/>
        <v/>
      </c>
      <c r="I63" s="28" t="str">
        <f t="shared" si="21"/>
        <v/>
      </c>
      <c r="J63" s="8" t="str">
        <f t="shared" si="22"/>
        <v/>
      </c>
      <c r="K63" s="38" t="str">
        <f>IF(B63="","",IF($C$7="CAP",E63*F63*J63*NORMcall((B63-$C$2)/365,G63,I63,H63),E63*F63*J63*Normput((B63-$C$2)/365,G63,I63,H63)))</f>
        <v/>
      </c>
      <c r="M63" s="21"/>
      <c r="V63" s="21" t="str">
        <f t="shared" si="9"/>
        <v/>
      </c>
      <c r="W63" s="21" t="str">
        <f t="shared" si="10"/>
        <v/>
      </c>
      <c r="X63" s="21" t="str">
        <f t="shared" si="11"/>
        <v/>
      </c>
      <c r="Y63" s="1" t="str">
        <f t="shared" si="12"/>
        <v/>
      </c>
      <c r="Z63" s="1" t="str">
        <f t="shared" si="13"/>
        <v/>
      </c>
      <c r="AA63" s="26" t="str">
        <f t="shared" si="14"/>
        <v/>
      </c>
      <c r="AB63" s="11" t="str">
        <f t="shared" si="15"/>
        <v/>
      </c>
      <c r="AC63" s="28" t="str">
        <f>IF(V63="","",_xll.EpBsStandardSwaptionPrice($C$2,$O$2,W63,X63,Y63,Z63,AA63,AB63))</f>
        <v/>
      </c>
      <c r="AD63" s="28" t="str">
        <f>IF(V63="","",_xll.EpLgm1fStandardSwaptionPrice($C$2,$O$3,$O$2,W63,X63,Y63,Z63,AA63))</f>
        <v/>
      </c>
    </row>
    <row r="64" spans="2:30" x14ac:dyDescent="0.3">
      <c r="B64" s="97" t="str">
        <f t="shared" si="16"/>
        <v/>
      </c>
      <c r="C64" s="97" t="str">
        <f t="shared" si="23"/>
        <v/>
      </c>
      <c r="D64" s="97" t="str">
        <f t="shared" si="17"/>
        <v/>
      </c>
      <c r="E64" s="8" t="str">
        <f t="shared" si="18"/>
        <v/>
      </c>
      <c r="F64" s="31" t="str">
        <f t="shared" si="19"/>
        <v/>
      </c>
      <c r="G64" s="11" t="str">
        <f t="shared" si="20"/>
        <v/>
      </c>
      <c r="H64" s="11" t="str">
        <f t="shared" si="8"/>
        <v/>
      </c>
      <c r="I64" s="28" t="str">
        <f t="shared" si="21"/>
        <v/>
      </c>
      <c r="J64" s="8" t="str">
        <f t="shared" si="22"/>
        <v/>
      </c>
      <c r="K64" s="38" t="str">
        <f>IF(B64="","",IF($C$7="CAP",E64*F64*J64*NORMcall((B64-$C$2)/365,G64,I64,H64),E64*F64*J64*Normput((B64-$C$2)/365,G64,I64,H64)))</f>
        <v/>
      </c>
      <c r="M64" s="21"/>
      <c r="V64" s="21" t="str">
        <f t="shared" si="9"/>
        <v/>
      </c>
      <c r="W64" s="21" t="str">
        <f t="shared" si="10"/>
        <v/>
      </c>
      <c r="X64" s="21" t="str">
        <f t="shared" si="11"/>
        <v/>
      </c>
      <c r="Y64" s="1" t="str">
        <f t="shared" si="12"/>
        <v/>
      </c>
      <c r="Z64" s="1" t="str">
        <f t="shared" si="13"/>
        <v/>
      </c>
      <c r="AA64" s="26" t="str">
        <f t="shared" si="14"/>
        <v/>
      </c>
      <c r="AB64" s="11" t="str">
        <f t="shared" si="15"/>
        <v/>
      </c>
      <c r="AC64" s="28" t="str">
        <f>IF(V64="","",_xll.EpBsStandardSwaptionPrice($C$2,$O$2,W64,X64,Y64,Z64,AA64,AB64))</f>
        <v/>
      </c>
      <c r="AD64" s="28" t="str">
        <f>IF(V64="","",_xll.EpLgm1fStandardSwaptionPrice($C$2,$O$3,$O$2,W64,X64,Y64,Z64,AA64))</f>
        <v/>
      </c>
    </row>
    <row r="65" spans="2:30" x14ac:dyDescent="0.3">
      <c r="B65" s="97" t="str">
        <f t="shared" si="16"/>
        <v/>
      </c>
      <c r="C65" s="97" t="str">
        <f t="shared" si="23"/>
        <v/>
      </c>
      <c r="D65" s="97" t="str">
        <f t="shared" si="17"/>
        <v/>
      </c>
      <c r="E65" s="8" t="str">
        <f t="shared" si="18"/>
        <v/>
      </c>
      <c r="F65" s="31" t="str">
        <f t="shared" si="19"/>
        <v/>
      </c>
      <c r="G65" s="11" t="str">
        <f t="shared" si="20"/>
        <v/>
      </c>
      <c r="H65" s="11" t="str">
        <f t="shared" si="8"/>
        <v/>
      </c>
      <c r="I65" s="28" t="str">
        <f t="shared" si="21"/>
        <v/>
      </c>
      <c r="J65" s="8" t="str">
        <f t="shared" si="22"/>
        <v/>
      </c>
      <c r="K65" s="38" t="str">
        <f>IF(B65="","",IF($C$7="CAP",E65*F65*J65*NORMcall((B65-$C$2)/365,G65,I65,H65),E65*F65*J65*Normput((B65-$C$2)/365,G65,I65,H65)))</f>
        <v/>
      </c>
      <c r="M65" s="21"/>
      <c r="V65" s="21" t="str">
        <f t="shared" si="9"/>
        <v/>
      </c>
      <c r="W65" s="21" t="str">
        <f t="shared" si="10"/>
        <v/>
      </c>
      <c r="X65" s="21" t="str">
        <f t="shared" si="11"/>
        <v/>
      </c>
      <c r="Y65" s="1" t="str">
        <f t="shared" si="12"/>
        <v/>
      </c>
      <c r="Z65" s="1" t="str">
        <f t="shared" si="13"/>
        <v/>
      </c>
      <c r="AA65" s="26" t="str">
        <f t="shared" si="14"/>
        <v/>
      </c>
      <c r="AB65" s="11" t="str">
        <f t="shared" si="15"/>
        <v/>
      </c>
      <c r="AC65" s="28" t="str">
        <f>IF(V65="","",_xll.EpBsStandardSwaptionPrice($C$2,$O$2,W65,X65,Y65,Z65,AA65,AB65))</f>
        <v/>
      </c>
      <c r="AD65" s="28" t="str">
        <f>IF(V65="","",_xll.EpLgm1fStandardSwaptionPrice($C$2,$O$3,$O$2,W65,X65,Y65,Z65,AA65))</f>
        <v/>
      </c>
    </row>
    <row r="66" spans="2:30" x14ac:dyDescent="0.3">
      <c r="B66" s="97" t="str">
        <f t="shared" si="16"/>
        <v/>
      </c>
      <c r="C66" s="97" t="str">
        <f t="shared" si="23"/>
        <v/>
      </c>
      <c r="D66" s="97" t="str">
        <f t="shared" si="17"/>
        <v/>
      </c>
      <c r="E66" s="8" t="str">
        <f t="shared" si="18"/>
        <v/>
      </c>
      <c r="F66" s="31" t="str">
        <f t="shared" si="19"/>
        <v/>
      </c>
      <c r="G66" s="11" t="str">
        <f t="shared" si="20"/>
        <v/>
      </c>
      <c r="H66" s="11" t="str">
        <f t="shared" si="8"/>
        <v/>
      </c>
      <c r="I66" s="28" t="str">
        <f t="shared" si="21"/>
        <v/>
      </c>
      <c r="J66" s="8" t="str">
        <f t="shared" si="22"/>
        <v/>
      </c>
      <c r="K66" s="38" t="str">
        <f>IF(B66="","",IF($C$7="CAP",E66*F66*J66*NORMcall((B66-$C$2)/365,G66,I66,H66),E66*F66*J66*Normput((B66-$C$2)/365,G66,I66,H66)))</f>
        <v/>
      </c>
      <c r="M66" s="21"/>
      <c r="V66" s="21" t="str">
        <f t="shared" si="9"/>
        <v/>
      </c>
      <c r="W66" s="21" t="str">
        <f t="shared" si="10"/>
        <v/>
      </c>
      <c r="X66" s="21" t="str">
        <f t="shared" si="11"/>
        <v/>
      </c>
      <c r="Y66" s="1" t="str">
        <f t="shared" si="12"/>
        <v/>
      </c>
      <c r="Z66" s="1" t="str">
        <f t="shared" si="13"/>
        <v/>
      </c>
      <c r="AA66" s="26" t="str">
        <f t="shared" si="14"/>
        <v/>
      </c>
      <c r="AB66" s="11" t="str">
        <f t="shared" si="15"/>
        <v/>
      </c>
      <c r="AC66" s="28" t="str">
        <f>IF(V66="","",_xll.EpBsStandardSwaptionPrice($C$2,$O$2,W66,X66,Y66,Z66,AA66,AB66))</f>
        <v/>
      </c>
      <c r="AD66" s="28" t="str">
        <f>IF(V66="","",_xll.EpLgm1fStandardSwaptionPrice($C$2,$O$3,$O$2,W66,X66,Y66,Z66,AA66))</f>
        <v/>
      </c>
    </row>
    <row r="67" spans="2:30" x14ac:dyDescent="0.3">
      <c r="B67" s="97" t="str">
        <f t="shared" si="16"/>
        <v/>
      </c>
      <c r="C67" s="97" t="str">
        <f t="shared" si="23"/>
        <v/>
      </c>
      <c r="D67" s="97" t="str">
        <f t="shared" si="17"/>
        <v/>
      </c>
      <c r="E67" s="8" t="str">
        <f t="shared" si="18"/>
        <v/>
      </c>
      <c r="F67" s="31" t="str">
        <f t="shared" si="19"/>
        <v/>
      </c>
      <c r="G67" s="11" t="str">
        <f t="shared" si="20"/>
        <v/>
      </c>
      <c r="H67" s="11" t="str">
        <f t="shared" si="8"/>
        <v/>
      </c>
      <c r="I67" s="28" t="str">
        <f t="shared" si="21"/>
        <v/>
      </c>
      <c r="J67" s="8" t="str">
        <f t="shared" si="22"/>
        <v/>
      </c>
      <c r="K67" s="38" t="str">
        <f>IF(B67="","",IF($C$7="CAP",E67*F67*J67*NORMcall((B67-$C$2)/365,G67,I67,H67),E67*F67*J67*Normput((B67-$C$2)/365,G67,I67,H67)))</f>
        <v/>
      </c>
      <c r="M67" s="21"/>
      <c r="V67" s="21" t="str">
        <f t="shared" si="9"/>
        <v/>
      </c>
      <c r="W67" s="21" t="str">
        <f t="shared" si="10"/>
        <v/>
      </c>
      <c r="X67" s="21" t="str">
        <f t="shared" si="11"/>
        <v/>
      </c>
      <c r="Y67" s="1" t="str">
        <f t="shared" si="12"/>
        <v/>
      </c>
      <c r="Z67" s="1" t="str">
        <f t="shared" si="13"/>
        <v/>
      </c>
      <c r="AA67" s="26" t="str">
        <f t="shared" si="14"/>
        <v/>
      </c>
      <c r="AB67" s="11" t="str">
        <f t="shared" si="15"/>
        <v/>
      </c>
      <c r="AC67" s="28" t="str">
        <f>IF(V67="","",_xll.EpBsStandardSwaptionPrice($C$2,$O$2,W67,X67,Y67,Z67,AA67,AB67))</f>
        <v/>
      </c>
      <c r="AD67" s="28" t="str">
        <f>IF(V67="","",_xll.EpLgm1fStandardSwaptionPrice($C$2,$O$3,$O$2,W67,X67,Y67,Z67,AA67))</f>
        <v/>
      </c>
    </row>
    <row r="68" spans="2:30" x14ac:dyDescent="0.3">
      <c r="B68" s="97" t="str">
        <f t="shared" si="16"/>
        <v/>
      </c>
      <c r="C68" s="97" t="str">
        <f t="shared" si="23"/>
        <v/>
      </c>
      <c r="D68" s="97" t="str">
        <f t="shared" si="17"/>
        <v/>
      </c>
      <c r="E68" s="8" t="str">
        <f t="shared" si="18"/>
        <v/>
      </c>
      <c r="F68" s="31" t="str">
        <f t="shared" si="19"/>
        <v/>
      </c>
      <c r="G68" s="11" t="str">
        <f t="shared" si="20"/>
        <v/>
      </c>
      <c r="H68" s="11" t="str">
        <f t="shared" si="8"/>
        <v/>
      </c>
      <c r="I68" s="28" t="str">
        <f t="shared" si="21"/>
        <v/>
      </c>
      <c r="J68" s="8" t="str">
        <f t="shared" si="22"/>
        <v/>
      </c>
      <c r="K68" s="38" t="str">
        <f>IF(B68="","",IF($C$7="CAP",E68*F68*J68*NORMcall((B68-$C$2)/365,G68,I68,H68),E68*F68*J68*Normput((B68-$C$2)/365,G68,I68,H68)))</f>
        <v/>
      </c>
      <c r="M68" s="21"/>
      <c r="V68" s="21" t="str">
        <f t="shared" si="9"/>
        <v/>
      </c>
      <c r="W68" s="21" t="str">
        <f t="shared" si="10"/>
        <v/>
      </c>
      <c r="X68" s="21" t="str">
        <f t="shared" si="11"/>
        <v/>
      </c>
      <c r="Y68" s="1" t="str">
        <f t="shared" si="12"/>
        <v/>
      </c>
      <c r="Z68" s="1" t="str">
        <f t="shared" si="13"/>
        <v/>
      </c>
      <c r="AA68" s="26" t="str">
        <f t="shared" si="14"/>
        <v/>
      </c>
      <c r="AB68" s="11" t="str">
        <f t="shared" si="15"/>
        <v/>
      </c>
      <c r="AC68" s="28" t="str">
        <f>IF(V68="","",_xll.EpBsStandardSwaptionPrice($C$2,$O$2,W68,X68,Y68,Z68,AA68,AB68))</f>
        <v/>
      </c>
      <c r="AD68" s="28" t="str">
        <f>IF(V68="","",_xll.EpLgm1fStandardSwaptionPrice($C$2,$O$3,$O$2,W68,X68,Y68,Z68,AA68))</f>
        <v/>
      </c>
    </row>
    <row r="69" spans="2:30" x14ac:dyDescent="0.3">
      <c r="B69" s="97" t="str">
        <f t="shared" si="16"/>
        <v/>
      </c>
      <c r="C69" s="97" t="str">
        <f t="shared" si="23"/>
        <v/>
      </c>
      <c r="D69" s="97" t="str">
        <f t="shared" si="17"/>
        <v/>
      </c>
      <c r="E69" s="8" t="str">
        <f t="shared" si="18"/>
        <v/>
      </c>
      <c r="F69" s="31" t="str">
        <f t="shared" si="19"/>
        <v/>
      </c>
      <c r="G69" s="11" t="str">
        <f t="shared" si="20"/>
        <v/>
      </c>
      <c r="H69" s="11" t="str">
        <f t="shared" si="8"/>
        <v/>
      </c>
      <c r="I69" s="28" t="str">
        <f t="shared" si="21"/>
        <v/>
      </c>
      <c r="J69" s="8" t="str">
        <f t="shared" si="22"/>
        <v/>
      </c>
      <c r="K69" s="38" t="str">
        <f>IF(B69="","",IF($C$7="CAP",E69*F69*J69*NORMcall((B69-$C$2)/365,G69,I69,H69),E69*F69*J69*Normput((B69-$C$2)/365,G69,I69,H69)))</f>
        <v/>
      </c>
      <c r="M69" s="21"/>
      <c r="V69" s="21" t="str">
        <f t="shared" si="9"/>
        <v/>
      </c>
      <c r="W69" s="21" t="str">
        <f t="shared" si="10"/>
        <v/>
      </c>
      <c r="X69" s="21" t="str">
        <f t="shared" si="11"/>
        <v/>
      </c>
      <c r="Y69" s="1" t="str">
        <f t="shared" si="12"/>
        <v/>
      </c>
      <c r="Z69" s="1" t="str">
        <f t="shared" si="13"/>
        <v/>
      </c>
      <c r="AA69" s="26" t="str">
        <f t="shared" si="14"/>
        <v/>
      </c>
      <c r="AB69" s="11" t="str">
        <f t="shared" si="15"/>
        <v/>
      </c>
      <c r="AC69" s="28" t="str">
        <f>IF(V69="","",_xll.EpBsStandardSwaptionPrice($C$2,$O$2,W69,X69,Y69,Z69,AA69,AB69))</f>
        <v/>
      </c>
      <c r="AD69" s="28" t="str">
        <f>IF(V69="","",_xll.EpLgm1fStandardSwaptionPrice($C$2,$O$3,$O$2,W69,X69,Y69,Z69,AA69))</f>
        <v/>
      </c>
    </row>
    <row r="70" spans="2:30" x14ac:dyDescent="0.3">
      <c r="B70" s="97" t="str">
        <f t="shared" si="16"/>
        <v/>
      </c>
      <c r="C70" s="97" t="str">
        <f t="shared" si="23"/>
        <v/>
      </c>
      <c r="D70" s="97" t="str">
        <f t="shared" si="17"/>
        <v/>
      </c>
      <c r="E70" s="8" t="str">
        <f t="shared" si="18"/>
        <v/>
      </c>
      <c r="F70" s="31" t="str">
        <f t="shared" si="19"/>
        <v/>
      </c>
      <c r="G70" s="11" t="str">
        <f t="shared" si="20"/>
        <v/>
      </c>
      <c r="H70" s="11" t="str">
        <f t="shared" si="8"/>
        <v/>
      </c>
      <c r="I70" s="28" t="str">
        <f t="shared" si="21"/>
        <v/>
      </c>
      <c r="J70" s="8" t="str">
        <f t="shared" si="22"/>
        <v/>
      </c>
      <c r="K70" s="38" t="str">
        <f>IF(B70="","",IF($C$7="CAP",E70*F70*J70*NORMcall((B70-$C$2)/365,G70,I70,H70),E70*F70*J70*Normput((B70-$C$2)/365,G70,I70,H70)))</f>
        <v/>
      </c>
      <c r="M70" s="21"/>
      <c r="V70" s="21" t="str">
        <f t="shared" si="9"/>
        <v/>
      </c>
      <c r="W70" s="21" t="str">
        <f t="shared" si="10"/>
        <v/>
      </c>
      <c r="X70" s="21" t="str">
        <f t="shared" si="11"/>
        <v/>
      </c>
      <c r="Y70" s="1" t="str">
        <f t="shared" si="12"/>
        <v/>
      </c>
      <c r="Z70" s="1" t="str">
        <f t="shared" si="13"/>
        <v/>
      </c>
      <c r="AA70" s="26" t="str">
        <f t="shared" si="14"/>
        <v/>
      </c>
      <c r="AB70" s="11" t="str">
        <f t="shared" si="15"/>
        <v/>
      </c>
      <c r="AC70" s="28" t="str">
        <f>IF(V70="","",_xll.EpBsStandardSwaptionPrice($C$2,$O$2,W70,X70,Y70,Z70,AA70,AB70))</f>
        <v/>
      </c>
      <c r="AD70" s="28" t="str">
        <f>IF(V70="","",_xll.EpLgm1fStandardSwaptionPrice($C$2,$O$3,$O$2,W70,X70,Y70,Z70,AA70))</f>
        <v/>
      </c>
    </row>
    <row r="71" spans="2:30" x14ac:dyDescent="0.3">
      <c r="B71" s="97" t="str">
        <f t="shared" si="16"/>
        <v/>
      </c>
      <c r="C71" s="97" t="str">
        <f t="shared" si="23"/>
        <v/>
      </c>
      <c r="D71" s="97" t="str">
        <f t="shared" si="17"/>
        <v/>
      </c>
      <c r="E71" s="8" t="str">
        <f t="shared" si="18"/>
        <v/>
      </c>
      <c r="F71" s="31" t="str">
        <f t="shared" si="19"/>
        <v/>
      </c>
      <c r="G71" s="11" t="str">
        <f t="shared" si="20"/>
        <v/>
      </c>
      <c r="H71" s="11" t="str">
        <f t="shared" si="8"/>
        <v/>
      </c>
      <c r="I71" s="28" t="str">
        <f t="shared" si="21"/>
        <v/>
      </c>
      <c r="J71" s="8" t="str">
        <f t="shared" si="22"/>
        <v/>
      </c>
      <c r="K71" s="38" t="str">
        <f>IF(B71="","",IF($C$7="CAP",E71*F71*J71*NORMcall((B71-$C$2)/365,G71,I71,H71),E71*F71*J71*Normput((B71-$C$2)/365,G71,I71,H71)))</f>
        <v/>
      </c>
      <c r="M71" s="21"/>
      <c r="V71" s="21" t="str">
        <f t="shared" ref="V71:V102" si="24">IF(T71="","",W71-2)</f>
        <v/>
      </c>
      <c r="W71" s="21" t="str">
        <f t="shared" ref="W71:W102" si="25">IF(T71="","",T71+$K$8)</f>
        <v/>
      </c>
      <c r="X71" s="21" t="str">
        <f t="shared" ref="X71:X102" si="26">IF(T71="","",$C$9)</f>
        <v/>
      </c>
      <c r="Y71" s="1" t="str">
        <f t="shared" ref="Y71:Y102" si="27">IF(T71="","","RECEIVER")</f>
        <v/>
      </c>
      <c r="Z71" s="1" t="str">
        <f t="shared" ref="Z71:Z102" si="28">IF(T71="","","ABS")</f>
        <v/>
      </c>
      <c r="AA71" s="26" t="str">
        <f t="shared" ref="AA71:AA102" si="29">IF(T71="","",$F$10)</f>
        <v/>
      </c>
      <c r="AB71" s="11" t="str">
        <f t="shared" ref="AB71:AB102" si="30">IF(T71="","",$AA$16)</f>
        <v/>
      </c>
      <c r="AC71" s="28" t="str">
        <f>IF(V71="","",_xll.EpBsStandardSwaptionPrice($C$2,$O$2,W71,X71,Y71,Z71,AA71,AB71))</f>
        <v/>
      </c>
      <c r="AD71" s="28" t="str">
        <f>IF(V71="","",_xll.EpLgm1fStandardSwaptionPrice($C$2,$O$3,$O$2,W71,X71,Y71,Z71,AA71))</f>
        <v/>
      </c>
    </row>
    <row r="72" spans="2:30" x14ac:dyDescent="0.3">
      <c r="B72" s="97" t="str">
        <f t="shared" si="16"/>
        <v/>
      </c>
      <c r="C72" s="97" t="str">
        <f t="shared" si="23"/>
        <v/>
      </c>
      <c r="D72" s="97" t="str">
        <f t="shared" si="17"/>
        <v/>
      </c>
      <c r="E72" s="8" t="str">
        <f t="shared" si="18"/>
        <v/>
      </c>
      <c r="F72" s="31" t="str">
        <f t="shared" si="19"/>
        <v/>
      </c>
      <c r="G72" s="11" t="str">
        <f t="shared" si="20"/>
        <v/>
      </c>
      <c r="H72" s="11" t="str">
        <f t="shared" si="8"/>
        <v/>
      </c>
      <c r="I72" s="28" t="str">
        <f t="shared" si="21"/>
        <v/>
      </c>
      <c r="J72" s="8" t="str">
        <f t="shared" si="22"/>
        <v/>
      </c>
      <c r="K72" s="38" t="str">
        <f>IF(B72="","",IF($C$7="CAP",E72*F72*J72*NORMcall((B72-$C$2)/365,G72,I72,H72),E72*F72*J72*Normput((B72-$C$2)/365,G72,I72,H72)))</f>
        <v/>
      </c>
      <c r="M72" s="21"/>
      <c r="V72" s="21" t="str">
        <f t="shared" si="24"/>
        <v/>
      </c>
      <c r="W72" s="21" t="str">
        <f t="shared" si="25"/>
        <v/>
      </c>
      <c r="X72" s="21" t="str">
        <f t="shared" si="26"/>
        <v/>
      </c>
      <c r="Y72" s="1" t="str">
        <f t="shared" si="27"/>
        <v/>
      </c>
      <c r="Z72" s="1" t="str">
        <f t="shared" si="28"/>
        <v/>
      </c>
      <c r="AA72" s="26" t="str">
        <f t="shared" si="29"/>
        <v/>
      </c>
      <c r="AB72" s="11" t="str">
        <f t="shared" si="30"/>
        <v/>
      </c>
      <c r="AC72" s="28" t="str">
        <f>IF(V72="","",_xll.EpBsStandardSwaptionPrice($C$2,$O$2,W72,X72,Y72,Z72,AA72,AB72))</f>
        <v/>
      </c>
      <c r="AD72" s="28" t="str">
        <f>IF(V72="","",_xll.EpLgm1fStandardSwaptionPrice($C$2,$O$3,$O$2,W72,X72,Y72,Z72,AA72))</f>
        <v/>
      </c>
    </row>
    <row r="73" spans="2:30" x14ac:dyDescent="0.3">
      <c r="B73" s="97" t="str">
        <f t="shared" si="16"/>
        <v/>
      </c>
      <c r="C73" s="97" t="str">
        <f t="shared" si="23"/>
        <v/>
      </c>
      <c r="D73" s="97" t="str">
        <f t="shared" si="17"/>
        <v/>
      </c>
      <c r="E73" s="8" t="str">
        <f t="shared" si="18"/>
        <v/>
      </c>
      <c r="F73" s="31" t="str">
        <f t="shared" si="19"/>
        <v/>
      </c>
      <c r="G73" s="11" t="str">
        <f t="shared" si="20"/>
        <v/>
      </c>
      <c r="H73" s="11" t="str">
        <f t="shared" si="8"/>
        <v/>
      </c>
      <c r="I73" s="28" t="str">
        <f t="shared" si="21"/>
        <v/>
      </c>
      <c r="J73" s="8" t="str">
        <f t="shared" si="22"/>
        <v/>
      </c>
      <c r="K73" s="38" t="str">
        <f>IF(B73="","",IF($C$7="CAP",E73*F73*J73*NORMcall((B73-$C$2)/365,G73,I73,H73),E73*F73*J73*Normput((B73-$C$2)/365,G73,I73,H73)))</f>
        <v/>
      </c>
      <c r="M73" s="21"/>
      <c r="V73" s="21" t="str">
        <f t="shared" si="24"/>
        <v/>
      </c>
      <c r="W73" s="21" t="str">
        <f t="shared" si="25"/>
        <v/>
      </c>
      <c r="X73" s="21" t="str">
        <f t="shared" si="26"/>
        <v/>
      </c>
      <c r="Y73" s="1" t="str">
        <f t="shared" si="27"/>
        <v/>
      </c>
      <c r="Z73" s="1" t="str">
        <f t="shared" si="28"/>
        <v/>
      </c>
      <c r="AA73" s="26" t="str">
        <f t="shared" si="29"/>
        <v/>
      </c>
      <c r="AB73" s="11" t="str">
        <f t="shared" si="30"/>
        <v/>
      </c>
      <c r="AC73" s="28" t="str">
        <f>IF(V73="","",_xll.EpBsStandardSwaptionPrice($C$2,$O$2,W73,X73,Y73,Z73,AA73,AB73))</f>
        <v/>
      </c>
      <c r="AD73" s="28" t="str">
        <f>IF(V73="","",_xll.EpLgm1fStandardSwaptionPrice($C$2,$O$3,$O$2,W73,X73,Y73,Z73,AA73))</f>
        <v/>
      </c>
    </row>
    <row r="74" spans="2:30" x14ac:dyDescent="0.3">
      <c r="B74" s="97" t="str">
        <f t="shared" si="16"/>
        <v/>
      </c>
      <c r="C74" s="97" t="str">
        <f t="shared" si="23"/>
        <v/>
      </c>
      <c r="D74" s="97" t="str">
        <f t="shared" si="17"/>
        <v/>
      </c>
      <c r="E74" s="8" t="str">
        <f t="shared" si="18"/>
        <v/>
      </c>
      <c r="F74" s="31" t="str">
        <f t="shared" si="19"/>
        <v/>
      </c>
      <c r="G74" s="11" t="str">
        <f t="shared" si="20"/>
        <v/>
      </c>
      <c r="H74" s="11" t="str">
        <f t="shared" si="8"/>
        <v/>
      </c>
      <c r="I74" s="28" t="str">
        <f t="shared" si="21"/>
        <v/>
      </c>
      <c r="J74" s="8" t="str">
        <f t="shared" si="22"/>
        <v/>
      </c>
      <c r="K74" s="38" t="str">
        <f>IF(B74="","",IF($C$7="CAP",E74*F74*J74*NORMcall((B74-$C$2)/365,G74,I74,H74),E74*F74*J74*Normput((B74-$C$2)/365,G74,I74,H74)))</f>
        <v/>
      </c>
      <c r="M74" s="21"/>
      <c r="V74" s="21" t="str">
        <f t="shared" si="24"/>
        <v/>
      </c>
      <c r="W74" s="21" t="str">
        <f t="shared" si="25"/>
        <v/>
      </c>
      <c r="X74" s="21" t="str">
        <f t="shared" si="26"/>
        <v/>
      </c>
      <c r="Y74" s="1" t="str">
        <f t="shared" si="27"/>
        <v/>
      </c>
      <c r="Z74" s="1" t="str">
        <f t="shared" si="28"/>
        <v/>
      </c>
      <c r="AA74" s="26" t="str">
        <f t="shared" si="29"/>
        <v/>
      </c>
      <c r="AB74" s="11" t="str">
        <f t="shared" si="30"/>
        <v/>
      </c>
      <c r="AC74" s="28" t="str">
        <f>IF(V74="","",_xll.EpBsStandardSwaptionPrice($C$2,$O$2,W74,X74,Y74,Z74,AA74,AB74))</f>
        <v/>
      </c>
      <c r="AD74" s="28" t="str">
        <f>IF(V74="","",_xll.EpLgm1fStandardSwaptionPrice($C$2,$O$3,$O$2,W74,X74,Y74,Z74,AA74))</f>
        <v/>
      </c>
    </row>
    <row r="75" spans="2:30" x14ac:dyDescent="0.3">
      <c r="B75" s="97" t="str">
        <f t="shared" si="16"/>
        <v/>
      </c>
      <c r="C75" s="97" t="str">
        <f t="shared" si="23"/>
        <v/>
      </c>
      <c r="D75" s="97" t="str">
        <f t="shared" si="17"/>
        <v/>
      </c>
      <c r="E75" s="8" t="str">
        <f t="shared" si="18"/>
        <v/>
      </c>
      <c r="F75" s="31" t="str">
        <f t="shared" si="19"/>
        <v/>
      </c>
      <c r="G75" s="11" t="str">
        <f t="shared" si="20"/>
        <v/>
      </c>
      <c r="H75" s="11" t="str">
        <f t="shared" si="8"/>
        <v/>
      </c>
      <c r="I75" s="28" t="str">
        <f t="shared" si="21"/>
        <v/>
      </c>
      <c r="J75" s="8" t="str">
        <f t="shared" si="22"/>
        <v/>
      </c>
      <c r="K75" s="38" t="str">
        <f>IF(B75="","",IF($C$7="CAP",E75*F75*J75*NORMcall((B75-$C$2)/365,G75,I75,H75),E75*F75*J75*Normput((B75-$C$2)/365,G75,I75,H75)))</f>
        <v/>
      </c>
      <c r="M75" s="21"/>
      <c r="V75" s="21" t="str">
        <f t="shared" si="24"/>
        <v/>
      </c>
      <c r="W75" s="21" t="str">
        <f t="shared" si="25"/>
        <v/>
      </c>
      <c r="X75" s="21" t="str">
        <f t="shared" si="26"/>
        <v/>
      </c>
      <c r="Y75" s="1" t="str">
        <f t="shared" si="27"/>
        <v/>
      </c>
      <c r="Z75" s="1" t="str">
        <f t="shared" si="28"/>
        <v/>
      </c>
      <c r="AA75" s="26" t="str">
        <f t="shared" si="29"/>
        <v/>
      </c>
      <c r="AB75" s="11" t="str">
        <f t="shared" si="30"/>
        <v/>
      </c>
      <c r="AC75" s="28" t="str">
        <f>IF(V75="","",_xll.EpBsStandardSwaptionPrice($C$2,$O$2,W75,X75,Y75,Z75,AA75,AB75))</f>
        <v/>
      </c>
      <c r="AD75" s="28" t="str">
        <f>IF(V75="","",_xll.EpLgm1fStandardSwaptionPrice($C$2,$O$3,$O$2,W75,X75,Y75,Z75,AA75))</f>
        <v/>
      </c>
    </row>
    <row r="76" spans="2:30" x14ac:dyDescent="0.3">
      <c r="B76" s="97" t="str">
        <f t="shared" si="16"/>
        <v/>
      </c>
      <c r="C76" s="97" t="str">
        <f t="shared" si="23"/>
        <v/>
      </c>
      <c r="D76" s="97" t="str">
        <f t="shared" si="17"/>
        <v/>
      </c>
      <c r="E76" s="8" t="str">
        <f t="shared" si="18"/>
        <v/>
      </c>
      <c r="F76" s="31" t="str">
        <f t="shared" si="19"/>
        <v/>
      </c>
      <c r="G76" s="11" t="str">
        <f t="shared" si="20"/>
        <v/>
      </c>
      <c r="H76" s="11" t="str">
        <f t="shared" si="8"/>
        <v/>
      </c>
      <c r="I76" s="28" t="str">
        <f t="shared" si="21"/>
        <v/>
      </c>
      <c r="J76" s="8" t="str">
        <f t="shared" si="22"/>
        <v/>
      </c>
      <c r="K76" s="38" t="str">
        <f>IF(B76="","",IF($C$7="CAP",E76*F76*J76*NORMcall((B76-$C$2)/365,G76,I76,H76),E76*F76*J76*Normput((B76-$C$2)/365,G76,I76,H76)))</f>
        <v/>
      </c>
      <c r="M76" s="21"/>
      <c r="V76" s="21" t="str">
        <f t="shared" si="24"/>
        <v/>
      </c>
      <c r="W76" s="21" t="str">
        <f t="shared" si="25"/>
        <v/>
      </c>
      <c r="X76" s="21" t="str">
        <f t="shared" si="26"/>
        <v/>
      </c>
      <c r="Y76" s="1" t="str">
        <f t="shared" si="27"/>
        <v/>
      </c>
      <c r="Z76" s="1" t="str">
        <f t="shared" si="28"/>
        <v/>
      </c>
      <c r="AA76" s="26" t="str">
        <f t="shared" si="29"/>
        <v/>
      </c>
      <c r="AB76" s="11" t="str">
        <f t="shared" si="30"/>
        <v/>
      </c>
      <c r="AC76" s="28" t="str">
        <f>IF(V76="","",_xll.EpBsStandardSwaptionPrice($C$2,$O$2,W76,X76,Y76,Z76,AA76,AB76))</f>
        <v/>
      </c>
      <c r="AD76" s="28" t="str">
        <f>IF(V76="","",_xll.EpLgm1fStandardSwaptionPrice($C$2,$O$3,$O$2,W76,X76,Y76,Z76,AA76))</f>
        <v/>
      </c>
    </row>
    <row r="77" spans="2:30" x14ac:dyDescent="0.3">
      <c r="B77" s="97" t="str">
        <f t="shared" si="16"/>
        <v/>
      </c>
      <c r="C77" s="97" t="str">
        <f t="shared" si="23"/>
        <v/>
      </c>
      <c r="D77" s="97" t="str">
        <f t="shared" si="17"/>
        <v/>
      </c>
      <c r="E77" s="8" t="str">
        <f t="shared" si="18"/>
        <v/>
      </c>
      <c r="F77" s="31" t="str">
        <f t="shared" si="19"/>
        <v/>
      </c>
      <c r="G77" s="11" t="str">
        <f t="shared" si="20"/>
        <v/>
      </c>
      <c r="H77" s="11" t="str">
        <f t="shared" si="8"/>
        <v/>
      </c>
      <c r="I77" s="28" t="str">
        <f t="shared" si="21"/>
        <v/>
      </c>
      <c r="J77" s="8" t="str">
        <f t="shared" si="22"/>
        <v/>
      </c>
      <c r="K77" s="38" t="str">
        <f>IF(B77="","",IF($C$7="CAP",E77*F77*J77*NORMcall((B77-$C$2)/365,G77,I77,H77),E77*F77*J77*Normput((B77-$C$2)/365,G77,I77,H77)))</f>
        <v/>
      </c>
      <c r="M77" s="21"/>
      <c r="V77" s="21" t="str">
        <f t="shared" si="24"/>
        <v/>
      </c>
      <c r="W77" s="21" t="str">
        <f t="shared" si="25"/>
        <v/>
      </c>
      <c r="X77" s="21" t="str">
        <f t="shared" si="26"/>
        <v/>
      </c>
      <c r="Y77" s="1" t="str">
        <f t="shared" si="27"/>
        <v/>
      </c>
      <c r="Z77" s="1" t="str">
        <f t="shared" si="28"/>
        <v/>
      </c>
      <c r="AA77" s="26" t="str">
        <f t="shared" si="29"/>
        <v/>
      </c>
      <c r="AB77" s="11" t="str">
        <f t="shared" si="30"/>
        <v/>
      </c>
      <c r="AC77" s="28" t="str">
        <f>IF(V77="","",_xll.EpBsStandardSwaptionPrice($C$2,$O$2,W77,X77,Y77,Z77,AA77,AB77))</f>
        <v/>
      </c>
      <c r="AD77" s="28" t="str">
        <f>IF(V77="","",_xll.EpLgm1fStandardSwaptionPrice($C$2,$O$3,$O$2,W77,X77,Y77,Z77,AA77))</f>
        <v/>
      </c>
    </row>
    <row r="78" spans="2:30" x14ac:dyDescent="0.3">
      <c r="B78" s="97" t="str">
        <f t="shared" si="16"/>
        <v/>
      </c>
      <c r="C78" s="97" t="str">
        <f t="shared" si="23"/>
        <v/>
      </c>
      <c r="D78" s="97" t="str">
        <f t="shared" si="17"/>
        <v/>
      </c>
      <c r="E78" s="8" t="str">
        <f t="shared" si="18"/>
        <v/>
      </c>
      <c r="F78" s="31" t="str">
        <f t="shared" si="19"/>
        <v/>
      </c>
      <c r="G78" s="11" t="str">
        <f t="shared" si="20"/>
        <v/>
      </c>
      <c r="H78" s="11" t="str">
        <f t="shared" si="8"/>
        <v/>
      </c>
      <c r="I78" s="28" t="str">
        <f t="shared" si="21"/>
        <v/>
      </c>
      <c r="J78" s="8" t="str">
        <f t="shared" si="22"/>
        <v/>
      </c>
      <c r="K78" s="38" t="str">
        <f>IF(B78="","",IF($C$7="CAP",E78*F78*J78*NORMcall((B78-$C$2)/365,G78,I78,H78),E78*F78*J78*Normput((B78-$C$2)/365,G78,I78,H78)))</f>
        <v/>
      </c>
      <c r="M78" s="21"/>
      <c r="V78" s="21" t="str">
        <f t="shared" si="24"/>
        <v/>
      </c>
      <c r="W78" s="21" t="str">
        <f t="shared" si="25"/>
        <v/>
      </c>
      <c r="X78" s="21" t="str">
        <f t="shared" si="26"/>
        <v/>
      </c>
      <c r="Y78" s="1" t="str">
        <f t="shared" si="27"/>
        <v/>
      </c>
      <c r="Z78" s="1" t="str">
        <f t="shared" si="28"/>
        <v/>
      </c>
      <c r="AA78" s="26" t="str">
        <f t="shared" si="29"/>
        <v/>
      </c>
      <c r="AB78" s="11" t="str">
        <f t="shared" si="30"/>
        <v/>
      </c>
      <c r="AC78" s="28" t="str">
        <f>IF(V78="","",_xll.EpBsStandardSwaptionPrice($C$2,$O$2,W78,X78,Y78,Z78,AA78,AB78))</f>
        <v/>
      </c>
      <c r="AD78" s="28" t="str">
        <f>IF(V78="","",_xll.EpLgm1fStandardSwaptionPrice($C$2,$O$3,$O$2,W78,X78,Y78,Z78,AA78))</f>
        <v/>
      </c>
    </row>
    <row r="79" spans="2:30" x14ac:dyDescent="0.3">
      <c r="B79" s="97" t="str">
        <f t="shared" si="16"/>
        <v/>
      </c>
      <c r="C79" s="97" t="str">
        <f t="shared" si="23"/>
        <v/>
      </c>
      <c r="D79" s="97" t="str">
        <f t="shared" si="17"/>
        <v/>
      </c>
      <c r="E79" s="8" t="str">
        <f t="shared" si="18"/>
        <v/>
      </c>
      <c r="F79" s="31" t="str">
        <f t="shared" si="19"/>
        <v/>
      </c>
      <c r="G79" s="11" t="str">
        <f t="shared" si="20"/>
        <v/>
      </c>
      <c r="H79" s="11" t="str">
        <f t="shared" si="8"/>
        <v/>
      </c>
      <c r="I79" s="28" t="str">
        <f t="shared" si="21"/>
        <v/>
      </c>
      <c r="J79" s="8" t="str">
        <f t="shared" si="22"/>
        <v/>
      </c>
      <c r="K79" s="38" t="str">
        <f>IF(B79="","",IF($C$7="CAP",E79*F79*J79*NORMcall((B79-$C$2)/365,G79,I79,H79),E79*F79*J79*Normput((B79-$C$2)/365,G79,I79,H79)))</f>
        <v/>
      </c>
      <c r="M79" s="21"/>
      <c r="V79" s="21" t="str">
        <f t="shared" si="24"/>
        <v/>
      </c>
      <c r="W79" s="21" t="str">
        <f t="shared" si="25"/>
        <v/>
      </c>
      <c r="X79" s="21" t="str">
        <f t="shared" si="26"/>
        <v/>
      </c>
      <c r="Y79" s="1" t="str">
        <f t="shared" si="27"/>
        <v/>
      </c>
      <c r="Z79" s="1" t="str">
        <f t="shared" si="28"/>
        <v/>
      </c>
      <c r="AA79" s="26" t="str">
        <f t="shared" si="29"/>
        <v/>
      </c>
      <c r="AB79" s="11" t="str">
        <f t="shared" si="30"/>
        <v/>
      </c>
      <c r="AC79" s="28" t="str">
        <f>IF(V79="","",_xll.EpBsStandardSwaptionPrice($C$2,$O$2,W79,X79,Y79,Z79,AA79,AB79))</f>
        <v/>
      </c>
      <c r="AD79" s="28" t="str">
        <f>IF(V79="","",_xll.EpLgm1fStandardSwaptionPrice($C$2,$O$3,$O$2,W79,X79,Y79,Z79,AA79))</f>
        <v/>
      </c>
    </row>
    <row r="80" spans="2:30" x14ac:dyDescent="0.3">
      <c r="B80" s="97" t="str">
        <f t="shared" si="16"/>
        <v/>
      </c>
      <c r="C80" s="97" t="str">
        <f t="shared" si="23"/>
        <v/>
      </c>
      <c r="D80" s="97" t="str">
        <f t="shared" si="17"/>
        <v/>
      </c>
      <c r="E80" s="8" t="str">
        <f t="shared" si="18"/>
        <v/>
      </c>
      <c r="F80" s="31" t="str">
        <f t="shared" si="19"/>
        <v/>
      </c>
      <c r="G80" s="11" t="str">
        <f t="shared" si="20"/>
        <v/>
      </c>
      <c r="H80" s="11" t="str">
        <f t="shared" si="8"/>
        <v/>
      </c>
      <c r="I80" s="28" t="str">
        <f t="shared" si="21"/>
        <v/>
      </c>
      <c r="J80" s="8" t="str">
        <f t="shared" si="22"/>
        <v/>
      </c>
      <c r="K80" s="38" t="str">
        <f>IF(B80="","",IF($C$7="CAP",E80*F80*J80*NORMcall((B80-$C$2)/365,G80,I80,H80),E80*F80*J80*Normput((B80-$C$2)/365,G80,I80,H80)))</f>
        <v/>
      </c>
      <c r="M80" s="21"/>
      <c r="V80" s="21" t="str">
        <f t="shared" si="24"/>
        <v/>
      </c>
      <c r="W80" s="21" t="str">
        <f t="shared" si="25"/>
        <v/>
      </c>
      <c r="X80" s="21" t="str">
        <f t="shared" si="26"/>
        <v/>
      </c>
      <c r="Y80" s="1" t="str">
        <f t="shared" si="27"/>
        <v/>
      </c>
      <c r="Z80" s="1" t="str">
        <f t="shared" si="28"/>
        <v/>
      </c>
      <c r="AA80" s="26" t="str">
        <f t="shared" si="29"/>
        <v/>
      </c>
      <c r="AB80" s="11" t="str">
        <f t="shared" si="30"/>
        <v/>
      </c>
      <c r="AC80" s="28" t="str">
        <f>IF(V80="","",_xll.EpBsStandardSwaptionPrice($C$2,$O$2,W80,X80,Y80,Z80,AA80,AB80))</f>
        <v/>
      </c>
      <c r="AD80" s="28" t="str">
        <f>IF(V80="","",_xll.EpLgm1fStandardSwaptionPrice($C$2,$O$3,$O$2,W80,X80,Y80,Z80,AA80))</f>
        <v/>
      </c>
    </row>
    <row r="81" spans="2:30" x14ac:dyDescent="0.3">
      <c r="B81" s="97" t="str">
        <f t="shared" si="16"/>
        <v/>
      </c>
      <c r="C81" s="97" t="str">
        <f t="shared" si="23"/>
        <v/>
      </c>
      <c r="D81" s="97" t="str">
        <f t="shared" si="17"/>
        <v/>
      </c>
      <c r="E81" s="8" t="str">
        <f t="shared" si="18"/>
        <v/>
      </c>
      <c r="F81" s="31" t="str">
        <f t="shared" si="19"/>
        <v/>
      </c>
      <c r="G81" s="11" t="str">
        <f t="shared" si="20"/>
        <v/>
      </c>
      <c r="H81" s="11" t="str">
        <f t="shared" si="8"/>
        <v/>
      </c>
      <c r="I81" s="28" t="str">
        <f t="shared" si="21"/>
        <v/>
      </c>
      <c r="J81" s="8" t="str">
        <f t="shared" si="22"/>
        <v/>
      </c>
      <c r="K81" s="38" t="str">
        <f>IF(B81="","",IF($C$7="CAP",E81*F81*J81*NORMcall((B81-$C$2)/365,G81,I81,H81),E81*F81*J81*Normput((B81-$C$2)/365,G81,I81,H81)))</f>
        <v/>
      </c>
      <c r="M81" s="21"/>
      <c r="V81" s="21" t="str">
        <f t="shared" si="24"/>
        <v/>
      </c>
      <c r="W81" s="21" t="str">
        <f t="shared" si="25"/>
        <v/>
      </c>
      <c r="X81" s="21" t="str">
        <f t="shared" si="26"/>
        <v/>
      </c>
      <c r="Y81" s="1" t="str">
        <f t="shared" si="27"/>
        <v/>
      </c>
      <c r="Z81" s="1" t="str">
        <f t="shared" si="28"/>
        <v/>
      </c>
      <c r="AA81" s="26" t="str">
        <f t="shared" si="29"/>
        <v/>
      </c>
      <c r="AB81" s="11" t="str">
        <f t="shared" si="30"/>
        <v/>
      </c>
      <c r="AC81" s="28" t="str">
        <f>IF(V81="","",_xll.EpBsStandardSwaptionPrice($C$2,$O$2,W81,X81,Y81,Z81,AA81,AB81))</f>
        <v/>
      </c>
      <c r="AD81" s="28" t="str">
        <f>IF(V81="","",_xll.EpLgm1fStandardSwaptionPrice($C$2,$O$3,$O$2,W81,X81,Y81,Z81,AA81))</f>
        <v/>
      </c>
    </row>
    <row r="82" spans="2:30" x14ac:dyDescent="0.3">
      <c r="B82" s="97" t="str">
        <f t="shared" si="16"/>
        <v/>
      </c>
      <c r="C82" s="97" t="str">
        <f t="shared" si="23"/>
        <v/>
      </c>
      <c r="D82" s="97" t="str">
        <f t="shared" si="17"/>
        <v/>
      </c>
      <c r="E82" s="8" t="str">
        <f t="shared" si="18"/>
        <v/>
      </c>
      <c r="F82" s="31" t="str">
        <f t="shared" si="19"/>
        <v/>
      </c>
      <c r="G82" s="11" t="str">
        <f t="shared" si="20"/>
        <v/>
      </c>
      <c r="H82" s="11" t="str">
        <f t="shared" si="8"/>
        <v/>
      </c>
      <c r="I82" s="28" t="str">
        <f t="shared" si="21"/>
        <v/>
      </c>
      <c r="J82" s="8" t="str">
        <f t="shared" si="22"/>
        <v/>
      </c>
      <c r="K82" s="38" t="str">
        <f>IF(B82="","",IF($C$7="CAP",E82*F82*J82*NORMcall((B82-$C$2)/365,G82,I82,H82),E82*F82*J82*Normput((B82-$C$2)/365,G82,I82,H82)))</f>
        <v/>
      </c>
      <c r="M82" s="21"/>
      <c r="V82" s="21" t="str">
        <f t="shared" si="24"/>
        <v/>
      </c>
      <c r="W82" s="21" t="str">
        <f t="shared" si="25"/>
        <v/>
      </c>
      <c r="X82" s="21" t="str">
        <f t="shared" si="26"/>
        <v/>
      </c>
      <c r="Y82" s="1" t="str">
        <f t="shared" si="27"/>
        <v/>
      </c>
      <c r="Z82" s="1" t="str">
        <f t="shared" si="28"/>
        <v/>
      </c>
      <c r="AA82" s="26" t="str">
        <f t="shared" si="29"/>
        <v/>
      </c>
      <c r="AB82" s="11" t="str">
        <f t="shared" si="30"/>
        <v/>
      </c>
      <c r="AC82" s="28" t="str">
        <f>IF(V82="","",_xll.EpBsStandardSwaptionPrice($C$2,$O$2,W82,X82,Y82,Z82,AA82,AB82))</f>
        <v/>
      </c>
      <c r="AD82" s="28" t="str">
        <f>IF(V82="","",_xll.EpLgm1fStandardSwaptionPrice($C$2,$O$3,$O$2,W82,X82,Y82,Z82,AA82))</f>
        <v/>
      </c>
    </row>
    <row r="83" spans="2:30" x14ac:dyDescent="0.3">
      <c r="B83" s="97" t="str">
        <f t="shared" ref="B83:B114" si="31">IF(C83="","",C83-2)</f>
        <v/>
      </c>
      <c r="C83" s="97" t="str">
        <f t="shared" si="23"/>
        <v/>
      </c>
      <c r="D83" s="97" t="str">
        <f t="shared" ref="D83:D114" si="32">IF(C83="","",DATE(YEAR(C83),MONTH(C83)+VLOOKUP($C$10,$AC$1:$AD$4,2,FALSE),DAY(C83)))</f>
        <v/>
      </c>
      <c r="E83" s="8" t="str">
        <f t="shared" ref="E83:E114" si="33">IF(B83="","",IF($C$11="30/360",DAYS360(C83,D83)/360,IF($C$11="ACT/360",(D83-C83)/360,IF($C$11="ACT/365",(D83-C83)/365))))</f>
        <v/>
      </c>
      <c r="F83" s="31" t="str">
        <f t="shared" ref="F83:F114" si="34">IF(B83="","",$C$6)</f>
        <v/>
      </c>
      <c r="G83" s="11" t="str">
        <f t="shared" ref="G83:G114" si="35">IF(B83="","",$C$12)</f>
        <v/>
      </c>
      <c r="H83" s="11" t="str">
        <f t="shared" si="8"/>
        <v/>
      </c>
      <c r="I83" s="28" t="str">
        <f t="shared" ref="I83:I114" si="36">IF(B83="","",(DF(C83-$C$2,Maturities,ZcRates)/DF(D83-$C$2,Maturities,ZcRates)-1)/E83)</f>
        <v/>
      </c>
      <c r="J83" s="8" t="str">
        <f t="shared" ref="J83:J114" si="37">IF(B83="","",DF(D83-$C$2,Maturities,ZcRates))</f>
        <v/>
      </c>
      <c r="K83" s="38" t="str">
        <f>IF(B83="","",IF($C$7="CAP",E83*F83*J83*NORMcall((B83-$C$2)/365,G83,I83,H83),E83*F83*J83*Normput((B83-$C$2)/365,G83,I83,H83)))</f>
        <v/>
      </c>
      <c r="M83" s="21"/>
      <c r="V83" s="21" t="str">
        <f t="shared" si="24"/>
        <v/>
      </c>
      <c r="W83" s="21" t="str">
        <f t="shared" si="25"/>
        <v/>
      </c>
      <c r="X83" s="21" t="str">
        <f t="shared" si="26"/>
        <v/>
      </c>
      <c r="Y83" s="1" t="str">
        <f t="shared" si="27"/>
        <v/>
      </c>
      <c r="Z83" s="1" t="str">
        <f t="shared" si="28"/>
        <v/>
      </c>
      <c r="AA83" s="26" t="str">
        <f t="shared" si="29"/>
        <v/>
      </c>
      <c r="AB83" s="11" t="str">
        <f t="shared" si="30"/>
        <v/>
      </c>
      <c r="AC83" s="28" t="str">
        <f>IF(V83="","",_xll.EpBsStandardSwaptionPrice($C$2,$O$2,W83,X83,Y83,Z83,AA83,AB83))</f>
        <v/>
      </c>
      <c r="AD83" s="28" t="str">
        <f>IF(V83="","",_xll.EpLgm1fStandardSwaptionPrice($C$2,$O$3,$O$2,W83,X83,Y83,Z83,AA83))</f>
        <v/>
      </c>
    </row>
    <row r="84" spans="2:30" x14ac:dyDescent="0.3">
      <c r="B84" s="97" t="str">
        <f t="shared" si="31"/>
        <v/>
      </c>
      <c r="C84" s="97" t="str">
        <f t="shared" ref="C84:C115" si="38">IF(OR(D83=$C$9,D83=""),"",D83)</f>
        <v/>
      </c>
      <c r="D84" s="97" t="str">
        <f t="shared" si="32"/>
        <v/>
      </c>
      <c r="E84" s="8" t="str">
        <f t="shared" si="33"/>
        <v/>
      </c>
      <c r="F84" s="31" t="str">
        <f t="shared" si="34"/>
        <v/>
      </c>
      <c r="G84" s="11" t="str">
        <f t="shared" si="35"/>
        <v/>
      </c>
      <c r="H84" s="11" t="str">
        <f t="shared" ref="H84:H138" si="39">IF(B84="","",$C$13)</f>
        <v/>
      </c>
      <c r="I84" s="28" t="str">
        <f t="shared" si="36"/>
        <v/>
      </c>
      <c r="J84" s="8" t="str">
        <f t="shared" si="37"/>
        <v/>
      </c>
      <c r="K84" s="38" t="str">
        <f>IF(B84="","",IF($C$7="CAP",E84*F84*J84*NORMcall((B84-$C$2)/365,G84,I84,H84),E84*F84*J84*Normput((B84-$C$2)/365,G84,I84,H84)))</f>
        <v/>
      </c>
      <c r="M84" s="21"/>
      <c r="V84" s="21" t="str">
        <f t="shared" si="24"/>
        <v/>
      </c>
      <c r="W84" s="21" t="str">
        <f t="shared" si="25"/>
        <v/>
      </c>
      <c r="X84" s="21" t="str">
        <f t="shared" si="26"/>
        <v/>
      </c>
      <c r="Y84" s="1" t="str">
        <f t="shared" si="27"/>
        <v/>
      </c>
      <c r="Z84" s="1" t="str">
        <f t="shared" si="28"/>
        <v/>
      </c>
      <c r="AA84" s="26" t="str">
        <f t="shared" si="29"/>
        <v/>
      </c>
      <c r="AB84" s="11" t="str">
        <f t="shared" si="30"/>
        <v/>
      </c>
      <c r="AC84" s="28" t="str">
        <f>IF(V84="","",_xll.EpBsStandardSwaptionPrice($C$2,$O$2,W84,X84,Y84,Z84,AA84,AB84))</f>
        <v/>
      </c>
      <c r="AD84" s="28" t="str">
        <f>IF(V84="","",_xll.EpLgm1fStandardSwaptionPrice($C$2,$O$3,$O$2,W84,X84,Y84,Z84,AA84))</f>
        <v/>
      </c>
    </row>
    <row r="85" spans="2:30" x14ac:dyDescent="0.3">
      <c r="B85" s="97" t="str">
        <f t="shared" si="31"/>
        <v/>
      </c>
      <c r="C85" s="97" t="str">
        <f t="shared" si="38"/>
        <v/>
      </c>
      <c r="D85" s="97" t="str">
        <f t="shared" si="32"/>
        <v/>
      </c>
      <c r="E85" s="8" t="str">
        <f t="shared" si="33"/>
        <v/>
      </c>
      <c r="F85" s="31" t="str">
        <f t="shared" si="34"/>
        <v/>
      </c>
      <c r="G85" s="11" t="str">
        <f t="shared" si="35"/>
        <v/>
      </c>
      <c r="H85" s="11" t="str">
        <f t="shared" si="39"/>
        <v/>
      </c>
      <c r="I85" s="28" t="str">
        <f t="shared" si="36"/>
        <v/>
      </c>
      <c r="J85" s="8" t="str">
        <f t="shared" si="37"/>
        <v/>
      </c>
      <c r="K85" s="38" t="str">
        <f>IF(B85="","",IF($C$7="CAP",E85*F85*J85*NORMcall((B85-$C$2)/365,G85,I85,H85),E85*F85*J85*Normput((B85-$C$2)/365,G85,I85,H85)))</f>
        <v/>
      </c>
      <c r="M85" s="21"/>
      <c r="V85" s="21" t="str">
        <f t="shared" si="24"/>
        <v/>
      </c>
      <c r="W85" s="21" t="str">
        <f t="shared" si="25"/>
        <v/>
      </c>
      <c r="X85" s="21" t="str">
        <f t="shared" si="26"/>
        <v/>
      </c>
      <c r="Y85" s="1" t="str">
        <f t="shared" si="27"/>
        <v/>
      </c>
      <c r="Z85" s="1" t="str">
        <f t="shared" si="28"/>
        <v/>
      </c>
      <c r="AA85" s="26" t="str">
        <f t="shared" si="29"/>
        <v/>
      </c>
      <c r="AB85" s="11" t="str">
        <f t="shared" si="30"/>
        <v/>
      </c>
      <c r="AC85" s="28" t="str">
        <f>IF(V85="","",_xll.EpBsStandardSwaptionPrice($C$2,$O$2,W85,X85,Y85,Z85,AA85,AB85))</f>
        <v/>
      </c>
      <c r="AD85" s="28" t="str">
        <f>IF(V85="","",_xll.EpLgm1fStandardSwaptionPrice($C$2,$O$3,$O$2,W85,X85,Y85,Z85,AA85))</f>
        <v/>
      </c>
    </row>
    <row r="86" spans="2:30" x14ac:dyDescent="0.3">
      <c r="B86" s="97" t="str">
        <f t="shared" si="31"/>
        <v/>
      </c>
      <c r="C86" s="97" t="str">
        <f t="shared" si="38"/>
        <v/>
      </c>
      <c r="D86" s="97" t="str">
        <f t="shared" si="32"/>
        <v/>
      </c>
      <c r="E86" s="8" t="str">
        <f t="shared" si="33"/>
        <v/>
      </c>
      <c r="F86" s="31" t="str">
        <f t="shared" si="34"/>
        <v/>
      </c>
      <c r="G86" s="11" t="str">
        <f t="shared" si="35"/>
        <v/>
      </c>
      <c r="H86" s="11" t="str">
        <f t="shared" si="39"/>
        <v/>
      </c>
      <c r="I86" s="28" t="str">
        <f t="shared" si="36"/>
        <v/>
      </c>
      <c r="J86" s="8" t="str">
        <f t="shared" si="37"/>
        <v/>
      </c>
      <c r="K86" s="38" t="str">
        <f>IF(B86="","",IF($C$7="CAP",E86*F86*J86*NORMcall((B86-$C$2)/365,G86,I86,H86),E86*F86*J86*Normput((B86-$C$2)/365,G86,I86,H86)))</f>
        <v/>
      </c>
      <c r="M86" s="21"/>
      <c r="V86" s="21" t="str">
        <f t="shared" si="24"/>
        <v/>
      </c>
      <c r="W86" s="21" t="str">
        <f t="shared" si="25"/>
        <v/>
      </c>
      <c r="X86" s="21" t="str">
        <f t="shared" si="26"/>
        <v/>
      </c>
      <c r="Y86" s="1" t="str">
        <f t="shared" si="27"/>
        <v/>
      </c>
      <c r="Z86" s="1" t="str">
        <f t="shared" si="28"/>
        <v/>
      </c>
      <c r="AA86" s="26" t="str">
        <f t="shared" si="29"/>
        <v/>
      </c>
      <c r="AB86" s="11" t="str">
        <f t="shared" si="30"/>
        <v/>
      </c>
      <c r="AC86" s="28" t="str">
        <f>IF(V86="","",_xll.EpBsStandardSwaptionPrice($C$2,$O$2,W86,X86,Y86,Z86,AA86,AB86))</f>
        <v/>
      </c>
      <c r="AD86" s="28" t="str">
        <f>IF(V86="","",_xll.EpLgm1fStandardSwaptionPrice($C$2,$O$3,$O$2,W86,X86,Y86,Z86,AA86))</f>
        <v/>
      </c>
    </row>
    <row r="87" spans="2:30" x14ac:dyDescent="0.3">
      <c r="B87" s="97" t="str">
        <f t="shared" si="31"/>
        <v/>
      </c>
      <c r="C87" s="97" t="str">
        <f t="shared" si="38"/>
        <v/>
      </c>
      <c r="D87" s="97" t="str">
        <f t="shared" si="32"/>
        <v/>
      </c>
      <c r="E87" s="8" t="str">
        <f t="shared" si="33"/>
        <v/>
      </c>
      <c r="F87" s="31" t="str">
        <f t="shared" si="34"/>
        <v/>
      </c>
      <c r="G87" s="11" t="str">
        <f t="shared" si="35"/>
        <v/>
      </c>
      <c r="H87" s="11" t="str">
        <f t="shared" si="39"/>
        <v/>
      </c>
      <c r="I87" s="28" t="str">
        <f t="shared" si="36"/>
        <v/>
      </c>
      <c r="J87" s="8" t="str">
        <f t="shared" si="37"/>
        <v/>
      </c>
      <c r="K87" s="38" t="str">
        <f>IF(B87="","",IF($C$7="CAP",E87*F87*J87*NORMcall((B87-$C$2)/365,G87,I87,H87),E87*F87*J87*Normput((B87-$C$2)/365,G87,I87,H87)))</f>
        <v/>
      </c>
      <c r="M87" s="21"/>
      <c r="V87" s="21" t="str">
        <f t="shared" si="24"/>
        <v/>
      </c>
      <c r="W87" s="21" t="str">
        <f t="shared" si="25"/>
        <v/>
      </c>
      <c r="X87" s="21" t="str">
        <f t="shared" si="26"/>
        <v/>
      </c>
      <c r="Y87" s="1" t="str">
        <f t="shared" si="27"/>
        <v/>
      </c>
      <c r="Z87" s="1" t="str">
        <f t="shared" si="28"/>
        <v/>
      </c>
      <c r="AA87" s="26" t="str">
        <f t="shared" si="29"/>
        <v/>
      </c>
      <c r="AB87" s="11" t="str">
        <f t="shared" si="30"/>
        <v/>
      </c>
      <c r="AC87" s="28" t="str">
        <f>IF(V87="","",_xll.EpBsStandardSwaptionPrice($C$2,$O$2,W87,X87,Y87,Z87,AA87,AB87))</f>
        <v/>
      </c>
      <c r="AD87" s="28" t="str">
        <f>IF(V87="","",_xll.EpLgm1fStandardSwaptionPrice($C$2,$O$3,$O$2,W87,X87,Y87,Z87,AA87))</f>
        <v/>
      </c>
    </row>
    <row r="88" spans="2:30" x14ac:dyDescent="0.3">
      <c r="B88" s="97" t="str">
        <f t="shared" si="31"/>
        <v/>
      </c>
      <c r="C88" s="97" t="str">
        <f t="shared" si="38"/>
        <v/>
      </c>
      <c r="D88" s="97" t="str">
        <f t="shared" si="32"/>
        <v/>
      </c>
      <c r="E88" s="8" t="str">
        <f t="shared" si="33"/>
        <v/>
      </c>
      <c r="F88" s="31" t="str">
        <f t="shared" si="34"/>
        <v/>
      </c>
      <c r="G88" s="11" t="str">
        <f t="shared" si="35"/>
        <v/>
      </c>
      <c r="H88" s="11" t="str">
        <f t="shared" si="39"/>
        <v/>
      </c>
      <c r="I88" s="28" t="str">
        <f t="shared" si="36"/>
        <v/>
      </c>
      <c r="J88" s="8" t="str">
        <f t="shared" si="37"/>
        <v/>
      </c>
      <c r="K88" s="38" t="str">
        <f>IF(B88="","",IF($C$7="CAP",E88*F88*J88*NORMcall((B88-$C$2)/365,G88,I88,H88),E88*F88*J88*Normput((B88-$C$2)/365,G88,I88,H88)))</f>
        <v/>
      </c>
      <c r="M88" s="21"/>
      <c r="V88" s="21" t="str">
        <f t="shared" si="24"/>
        <v/>
      </c>
      <c r="W88" s="21" t="str">
        <f t="shared" si="25"/>
        <v/>
      </c>
      <c r="X88" s="21" t="str">
        <f t="shared" si="26"/>
        <v/>
      </c>
      <c r="Y88" s="1" t="str">
        <f t="shared" si="27"/>
        <v/>
      </c>
      <c r="Z88" s="1" t="str">
        <f t="shared" si="28"/>
        <v/>
      </c>
      <c r="AA88" s="26" t="str">
        <f t="shared" si="29"/>
        <v/>
      </c>
      <c r="AB88" s="11" t="str">
        <f t="shared" si="30"/>
        <v/>
      </c>
      <c r="AC88" s="28" t="str">
        <f>IF(V88="","",_xll.EpBsStandardSwaptionPrice($C$2,$O$2,W88,X88,Y88,Z88,AA88,AB88))</f>
        <v/>
      </c>
      <c r="AD88" s="28" t="str">
        <f>IF(V88="","",_xll.EpLgm1fStandardSwaptionPrice($C$2,$O$3,$O$2,W88,X88,Y88,Z88,AA88))</f>
        <v/>
      </c>
    </row>
    <row r="89" spans="2:30" x14ac:dyDescent="0.3">
      <c r="B89" s="97" t="str">
        <f t="shared" si="31"/>
        <v/>
      </c>
      <c r="C89" s="97" t="str">
        <f t="shared" si="38"/>
        <v/>
      </c>
      <c r="D89" s="97" t="str">
        <f t="shared" si="32"/>
        <v/>
      </c>
      <c r="E89" s="8" t="str">
        <f t="shared" si="33"/>
        <v/>
      </c>
      <c r="F89" s="31" t="str">
        <f t="shared" si="34"/>
        <v/>
      </c>
      <c r="G89" s="11" t="str">
        <f t="shared" si="35"/>
        <v/>
      </c>
      <c r="H89" s="11" t="str">
        <f t="shared" si="39"/>
        <v/>
      </c>
      <c r="I89" s="28" t="str">
        <f t="shared" si="36"/>
        <v/>
      </c>
      <c r="J89" s="8" t="str">
        <f t="shared" si="37"/>
        <v/>
      </c>
      <c r="K89" s="38" t="str">
        <f>IF(B89="","",IF($C$7="CAP",E89*F89*J89*NORMcall((B89-$C$2)/365,G89,I89,H89),E89*F89*J89*Normput((B89-$C$2)/365,G89,I89,H89)))</f>
        <v/>
      </c>
      <c r="M89" s="21"/>
      <c r="V89" s="21" t="str">
        <f t="shared" si="24"/>
        <v/>
      </c>
      <c r="W89" s="21" t="str">
        <f t="shared" si="25"/>
        <v/>
      </c>
      <c r="X89" s="21" t="str">
        <f t="shared" si="26"/>
        <v/>
      </c>
      <c r="Y89" s="1" t="str">
        <f t="shared" si="27"/>
        <v/>
      </c>
      <c r="Z89" s="1" t="str">
        <f t="shared" si="28"/>
        <v/>
      </c>
      <c r="AA89" s="26" t="str">
        <f t="shared" si="29"/>
        <v/>
      </c>
      <c r="AB89" s="11" t="str">
        <f t="shared" si="30"/>
        <v/>
      </c>
      <c r="AC89" s="28" t="str">
        <f>IF(V89="","",_xll.EpBsStandardSwaptionPrice($C$2,$O$2,W89,X89,Y89,Z89,AA89,AB89))</f>
        <v/>
      </c>
      <c r="AD89" s="28" t="str">
        <f>IF(V89="","",_xll.EpLgm1fStandardSwaptionPrice($C$2,$O$3,$O$2,W89,X89,Y89,Z89,AA89))</f>
        <v/>
      </c>
    </row>
    <row r="90" spans="2:30" x14ac:dyDescent="0.3">
      <c r="B90" s="97" t="str">
        <f t="shared" si="31"/>
        <v/>
      </c>
      <c r="C90" s="97" t="str">
        <f t="shared" si="38"/>
        <v/>
      </c>
      <c r="D90" s="97" t="str">
        <f t="shared" si="32"/>
        <v/>
      </c>
      <c r="E90" s="8" t="str">
        <f t="shared" si="33"/>
        <v/>
      </c>
      <c r="F90" s="31" t="str">
        <f t="shared" si="34"/>
        <v/>
      </c>
      <c r="G90" s="11" t="str">
        <f t="shared" si="35"/>
        <v/>
      </c>
      <c r="H90" s="11" t="str">
        <f t="shared" si="39"/>
        <v/>
      </c>
      <c r="I90" s="28" t="str">
        <f t="shared" si="36"/>
        <v/>
      </c>
      <c r="J90" s="8" t="str">
        <f t="shared" si="37"/>
        <v/>
      </c>
      <c r="K90" s="38" t="str">
        <f>IF(B90="","",IF($C$7="CAP",E90*F90*J90*NORMcall((B90-$C$2)/365,G90,I90,H90),E90*F90*J90*Normput((B90-$C$2)/365,G90,I90,H90)))</f>
        <v/>
      </c>
      <c r="M90" s="21"/>
      <c r="V90" s="21" t="str">
        <f t="shared" si="24"/>
        <v/>
      </c>
      <c r="W90" s="21" t="str">
        <f t="shared" si="25"/>
        <v/>
      </c>
      <c r="X90" s="21" t="str">
        <f t="shared" si="26"/>
        <v/>
      </c>
      <c r="Y90" s="1" t="str">
        <f t="shared" si="27"/>
        <v/>
      </c>
      <c r="Z90" s="1" t="str">
        <f t="shared" si="28"/>
        <v/>
      </c>
      <c r="AA90" s="26" t="str">
        <f t="shared" si="29"/>
        <v/>
      </c>
      <c r="AB90" s="11" t="str">
        <f t="shared" si="30"/>
        <v/>
      </c>
      <c r="AC90" s="28" t="str">
        <f>IF(V90="","",_xll.EpBsStandardSwaptionPrice($C$2,$O$2,W90,X90,Y90,Z90,AA90,AB90))</f>
        <v/>
      </c>
      <c r="AD90" s="28" t="str">
        <f>IF(V90="","",_xll.EpLgm1fStandardSwaptionPrice($C$2,$O$3,$O$2,W90,X90,Y90,Z90,AA90))</f>
        <v/>
      </c>
    </row>
    <row r="91" spans="2:30" x14ac:dyDescent="0.3">
      <c r="B91" s="97" t="str">
        <f t="shared" si="31"/>
        <v/>
      </c>
      <c r="C91" s="97" t="str">
        <f t="shared" si="38"/>
        <v/>
      </c>
      <c r="D91" s="97" t="str">
        <f t="shared" si="32"/>
        <v/>
      </c>
      <c r="E91" s="8" t="str">
        <f t="shared" si="33"/>
        <v/>
      </c>
      <c r="F91" s="31" t="str">
        <f t="shared" si="34"/>
        <v/>
      </c>
      <c r="G91" s="11" t="str">
        <f t="shared" si="35"/>
        <v/>
      </c>
      <c r="H91" s="11" t="str">
        <f t="shared" si="39"/>
        <v/>
      </c>
      <c r="I91" s="28" t="str">
        <f t="shared" si="36"/>
        <v/>
      </c>
      <c r="J91" s="8" t="str">
        <f t="shared" si="37"/>
        <v/>
      </c>
      <c r="K91" s="38" t="str">
        <f>IF(B91="","",IF($C$7="CAP",E91*F91*J91*NORMcall((B91-$C$2)/365,G91,I91,H91),E91*F91*J91*Normput((B91-$C$2)/365,G91,I91,H91)))</f>
        <v/>
      </c>
      <c r="M91" s="21"/>
      <c r="V91" s="21" t="str">
        <f t="shared" si="24"/>
        <v/>
      </c>
      <c r="W91" s="21" t="str">
        <f t="shared" si="25"/>
        <v/>
      </c>
      <c r="X91" s="21" t="str">
        <f t="shared" si="26"/>
        <v/>
      </c>
      <c r="Y91" s="1" t="str">
        <f t="shared" si="27"/>
        <v/>
      </c>
      <c r="Z91" s="1" t="str">
        <f t="shared" si="28"/>
        <v/>
      </c>
      <c r="AA91" s="26" t="str">
        <f t="shared" si="29"/>
        <v/>
      </c>
      <c r="AB91" s="11" t="str">
        <f t="shared" si="30"/>
        <v/>
      </c>
      <c r="AC91" s="28" t="str">
        <f>IF(V91="","",_xll.EpBsStandardSwaptionPrice($C$2,$O$2,W91,X91,Y91,Z91,AA91,AB91))</f>
        <v/>
      </c>
      <c r="AD91" s="28" t="str">
        <f>IF(V91="","",_xll.EpLgm1fStandardSwaptionPrice($C$2,$O$3,$O$2,W91,X91,Y91,Z91,AA91))</f>
        <v/>
      </c>
    </row>
    <row r="92" spans="2:30" x14ac:dyDescent="0.3">
      <c r="B92" s="97" t="str">
        <f t="shared" si="31"/>
        <v/>
      </c>
      <c r="C92" s="97" t="str">
        <f t="shared" si="38"/>
        <v/>
      </c>
      <c r="D92" s="97" t="str">
        <f t="shared" si="32"/>
        <v/>
      </c>
      <c r="E92" s="8" t="str">
        <f t="shared" si="33"/>
        <v/>
      </c>
      <c r="F92" s="31" t="str">
        <f t="shared" si="34"/>
        <v/>
      </c>
      <c r="G92" s="11" t="str">
        <f t="shared" si="35"/>
        <v/>
      </c>
      <c r="H92" s="11" t="str">
        <f t="shared" si="39"/>
        <v/>
      </c>
      <c r="I92" s="28" t="str">
        <f t="shared" si="36"/>
        <v/>
      </c>
      <c r="J92" s="8" t="str">
        <f t="shared" si="37"/>
        <v/>
      </c>
      <c r="K92" s="38" t="str">
        <f>IF(B92="","",IF($C$7="CAP",E92*F92*J92*NORMcall((B92-$C$2)/365,G92,I92,H92),E92*F92*J92*Normput((B92-$C$2)/365,G92,I92,H92)))</f>
        <v/>
      </c>
      <c r="M92" s="21"/>
      <c r="V92" s="21" t="str">
        <f t="shared" si="24"/>
        <v/>
      </c>
      <c r="W92" s="21" t="str">
        <f t="shared" si="25"/>
        <v/>
      </c>
      <c r="X92" s="21" t="str">
        <f t="shared" si="26"/>
        <v/>
      </c>
      <c r="Y92" s="1" t="str">
        <f t="shared" si="27"/>
        <v/>
      </c>
      <c r="Z92" s="1" t="str">
        <f t="shared" si="28"/>
        <v/>
      </c>
      <c r="AA92" s="26" t="str">
        <f t="shared" si="29"/>
        <v/>
      </c>
      <c r="AB92" s="11" t="str">
        <f t="shared" si="30"/>
        <v/>
      </c>
      <c r="AC92" s="28" t="str">
        <f>IF(V92="","",_xll.EpBsStandardSwaptionPrice($C$2,$O$2,W92,X92,Y92,Z92,AA92,AB92))</f>
        <v/>
      </c>
      <c r="AD92" s="28" t="str">
        <f>IF(V92="","",_xll.EpLgm1fStandardSwaptionPrice($C$2,$O$3,$O$2,W92,X92,Y92,Z92,AA92))</f>
        <v/>
      </c>
    </row>
    <row r="93" spans="2:30" x14ac:dyDescent="0.3">
      <c r="B93" s="97" t="str">
        <f t="shared" si="31"/>
        <v/>
      </c>
      <c r="C93" s="97" t="str">
        <f t="shared" si="38"/>
        <v/>
      </c>
      <c r="D93" s="97" t="str">
        <f t="shared" si="32"/>
        <v/>
      </c>
      <c r="E93" s="8" t="str">
        <f t="shared" si="33"/>
        <v/>
      </c>
      <c r="F93" s="31" t="str">
        <f t="shared" si="34"/>
        <v/>
      </c>
      <c r="G93" s="11" t="str">
        <f t="shared" si="35"/>
        <v/>
      </c>
      <c r="H93" s="11" t="str">
        <f t="shared" si="39"/>
        <v/>
      </c>
      <c r="I93" s="28" t="str">
        <f t="shared" si="36"/>
        <v/>
      </c>
      <c r="J93" s="8" t="str">
        <f t="shared" si="37"/>
        <v/>
      </c>
      <c r="K93" s="38" t="str">
        <f>IF(B93="","",IF($C$7="CAP",E93*F93*J93*NORMcall((B93-$C$2)/365,G93,I93,H93),E93*F93*J93*Normput((B93-$C$2)/365,G93,I93,H93)))</f>
        <v/>
      </c>
      <c r="M93" s="21"/>
      <c r="V93" s="21" t="str">
        <f t="shared" si="24"/>
        <v/>
      </c>
      <c r="W93" s="21" t="str">
        <f t="shared" si="25"/>
        <v/>
      </c>
      <c r="X93" s="21" t="str">
        <f t="shared" si="26"/>
        <v/>
      </c>
      <c r="Y93" s="1" t="str">
        <f t="shared" si="27"/>
        <v/>
      </c>
      <c r="Z93" s="1" t="str">
        <f t="shared" si="28"/>
        <v/>
      </c>
      <c r="AA93" s="26" t="str">
        <f t="shared" si="29"/>
        <v/>
      </c>
      <c r="AB93" s="11" t="str">
        <f t="shared" si="30"/>
        <v/>
      </c>
      <c r="AC93" s="28" t="str">
        <f>IF(V93="","",_xll.EpBsStandardSwaptionPrice($C$2,$O$2,W93,X93,Y93,Z93,AA93,AB93))</f>
        <v/>
      </c>
      <c r="AD93" s="28" t="str">
        <f>IF(V93="","",_xll.EpLgm1fStandardSwaptionPrice($C$2,$O$3,$O$2,W93,X93,Y93,Z93,AA93))</f>
        <v/>
      </c>
    </row>
    <row r="94" spans="2:30" x14ac:dyDescent="0.3">
      <c r="B94" s="97" t="str">
        <f t="shared" si="31"/>
        <v/>
      </c>
      <c r="C94" s="97" t="str">
        <f t="shared" si="38"/>
        <v/>
      </c>
      <c r="D94" s="97" t="str">
        <f t="shared" si="32"/>
        <v/>
      </c>
      <c r="E94" s="8" t="str">
        <f t="shared" si="33"/>
        <v/>
      </c>
      <c r="F94" s="31" t="str">
        <f t="shared" si="34"/>
        <v/>
      </c>
      <c r="G94" s="11" t="str">
        <f t="shared" si="35"/>
        <v/>
      </c>
      <c r="H94" s="11" t="str">
        <f t="shared" si="39"/>
        <v/>
      </c>
      <c r="I94" s="28" t="str">
        <f t="shared" si="36"/>
        <v/>
      </c>
      <c r="J94" s="8" t="str">
        <f t="shared" si="37"/>
        <v/>
      </c>
      <c r="K94" s="38" t="str">
        <f>IF(B94="","",IF($C$7="CAP",E94*F94*J94*NORMcall((B94-$C$2)/365,G94,I94,H94),E94*F94*J94*Normput((B94-$C$2)/365,G94,I94,H94)))</f>
        <v/>
      </c>
      <c r="M94" s="21"/>
      <c r="V94" s="21" t="str">
        <f t="shared" si="24"/>
        <v/>
      </c>
      <c r="W94" s="21" t="str">
        <f t="shared" si="25"/>
        <v/>
      </c>
      <c r="X94" s="21" t="str">
        <f t="shared" si="26"/>
        <v/>
      </c>
      <c r="Y94" s="1" t="str">
        <f t="shared" si="27"/>
        <v/>
      </c>
      <c r="Z94" s="1" t="str">
        <f t="shared" si="28"/>
        <v/>
      </c>
      <c r="AA94" s="26" t="str">
        <f t="shared" si="29"/>
        <v/>
      </c>
      <c r="AB94" s="11" t="str">
        <f t="shared" si="30"/>
        <v/>
      </c>
      <c r="AC94" s="28" t="str">
        <f>IF(V94="","",_xll.EpBsStandardSwaptionPrice($C$2,$O$2,W94,X94,Y94,Z94,AA94,AB94))</f>
        <v/>
      </c>
      <c r="AD94" s="28" t="str">
        <f>IF(V94="","",_xll.EpLgm1fStandardSwaptionPrice($C$2,$O$3,$O$2,W94,X94,Y94,Z94,AA94))</f>
        <v/>
      </c>
    </row>
    <row r="95" spans="2:30" x14ac:dyDescent="0.3">
      <c r="B95" s="97" t="str">
        <f t="shared" si="31"/>
        <v/>
      </c>
      <c r="C95" s="97" t="str">
        <f t="shared" si="38"/>
        <v/>
      </c>
      <c r="D95" s="97" t="str">
        <f t="shared" si="32"/>
        <v/>
      </c>
      <c r="E95" s="8" t="str">
        <f t="shared" si="33"/>
        <v/>
      </c>
      <c r="F95" s="31" t="str">
        <f t="shared" si="34"/>
        <v/>
      </c>
      <c r="G95" s="11" t="str">
        <f t="shared" si="35"/>
        <v/>
      </c>
      <c r="H95" s="11" t="str">
        <f t="shared" si="39"/>
        <v/>
      </c>
      <c r="I95" s="28" t="str">
        <f t="shared" si="36"/>
        <v/>
      </c>
      <c r="J95" s="8" t="str">
        <f t="shared" si="37"/>
        <v/>
      </c>
      <c r="K95" s="38" t="str">
        <f>IF(B95="","",IF($C$7="CAP",E95*F95*J95*NORMcall((B95-$C$2)/365,G95,I95,H95),E95*F95*J95*Normput((B95-$C$2)/365,G95,I95,H95)))</f>
        <v/>
      </c>
      <c r="M95" s="21"/>
      <c r="V95" s="21" t="str">
        <f t="shared" si="24"/>
        <v/>
      </c>
      <c r="W95" s="21" t="str">
        <f t="shared" si="25"/>
        <v/>
      </c>
      <c r="X95" s="21" t="str">
        <f t="shared" si="26"/>
        <v/>
      </c>
      <c r="Y95" s="1" t="str">
        <f t="shared" si="27"/>
        <v/>
      </c>
      <c r="Z95" s="1" t="str">
        <f t="shared" si="28"/>
        <v/>
      </c>
      <c r="AA95" s="26" t="str">
        <f t="shared" si="29"/>
        <v/>
      </c>
      <c r="AB95" s="11" t="str">
        <f t="shared" si="30"/>
        <v/>
      </c>
      <c r="AC95" s="28" t="str">
        <f>IF(V95="","",_xll.EpBsStandardSwaptionPrice($C$2,$O$2,W95,X95,Y95,Z95,AA95,AB95))</f>
        <v/>
      </c>
      <c r="AD95" s="28" t="str">
        <f>IF(V95="","",_xll.EpLgm1fStandardSwaptionPrice($C$2,$O$3,$O$2,W95,X95,Y95,Z95,AA95))</f>
        <v/>
      </c>
    </row>
    <row r="96" spans="2:30" x14ac:dyDescent="0.3">
      <c r="B96" s="97" t="str">
        <f t="shared" si="31"/>
        <v/>
      </c>
      <c r="C96" s="97" t="str">
        <f t="shared" si="38"/>
        <v/>
      </c>
      <c r="D96" s="97" t="str">
        <f t="shared" si="32"/>
        <v/>
      </c>
      <c r="E96" s="8" t="str">
        <f t="shared" si="33"/>
        <v/>
      </c>
      <c r="F96" s="31" t="str">
        <f t="shared" si="34"/>
        <v/>
      </c>
      <c r="G96" s="11" t="str">
        <f t="shared" si="35"/>
        <v/>
      </c>
      <c r="H96" s="11" t="str">
        <f t="shared" si="39"/>
        <v/>
      </c>
      <c r="I96" s="28" t="str">
        <f t="shared" si="36"/>
        <v/>
      </c>
      <c r="J96" s="8" t="str">
        <f t="shared" si="37"/>
        <v/>
      </c>
      <c r="K96" s="38" t="str">
        <f>IF(B96="","",IF($C$7="CAP",E96*F96*J96*NORMcall((B96-$C$2)/365,G96,I96,H96),E96*F96*J96*Normput((B96-$C$2)/365,G96,I96,H96)))</f>
        <v/>
      </c>
      <c r="M96" s="21"/>
      <c r="V96" s="21" t="str">
        <f t="shared" si="24"/>
        <v/>
      </c>
      <c r="W96" s="21" t="str">
        <f t="shared" si="25"/>
        <v/>
      </c>
      <c r="X96" s="21" t="str">
        <f t="shared" si="26"/>
        <v/>
      </c>
      <c r="Y96" s="1" t="str">
        <f t="shared" si="27"/>
        <v/>
      </c>
      <c r="Z96" s="1" t="str">
        <f t="shared" si="28"/>
        <v/>
      </c>
      <c r="AA96" s="26" t="str">
        <f t="shared" si="29"/>
        <v/>
      </c>
      <c r="AB96" s="11" t="str">
        <f t="shared" si="30"/>
        <v/>
      </c>
      <c r="AC96" s="28" t="str">
        <f>IF(V96="","",_xll.EpBsStandardSwaptionPrice($C$2,$O$2,W96,X96,Y96,Z96,AA96,AB96))</f>
        <v/>
      </c>
      <c r="AD96" s="28" t="str">
        <f>IF(V96="","",_xll.EpLgm1fStandardSwaptionPrice($C$2,$O$3,$O$2,W96,X96,Y96,Z96,AA96))</f>
        <v/>
      </c>
    </row>
    <row r="97" spans="2:30" x14ac:dyDescent="0.3">
      <c r="B97" s="97" t="str">
        <f t="shared" si="31"/>
        <v/>
      </c>
      <c r="C97" s="97" t="str">
        <f t="shared" si="38"/>
        <v/>
      </c>
      <c r="D97" s="97" t="str">
        <f t="shared" si="32"/>
        <v/>
      </c>
      <c r="E97" s="8" t="str">
        <f t="shared" si="33"/>
        <v/>
      </c>
      <c r="F97" s="31" t="str">
        <f t="shared" si="34"/>
        <v/>
      </c>
      <c r="G97" s="11" t="str">
        <f t="shared" si="35"/>
        <v/>
      </c>
      <c r="H97" s="11" t="str">
        <f t="shared" si="39"/>
        <v/>
      </c>
      <c r="I97" s="28" t="str">
        <f t="shared" si="36"/>
        <v/>
      </c>
      <c r="J97" s="8" t="str">
        <f t="shared" si="37"/>
        <v/>
      </c>
      <c r="K97" s="38" t="str">
        <f>IF(B97="","",IF($C$7="CAP",E97*F97*J97*NORMcall((B97-$C$2)/365,G97,I97,H97),E97*F97*J97*Normput((B97-$C$2)/365,G97,I97,H97)))</f>
        <v/>
      </c>
      <c r="M97" s="21"/>
      <c r="V97" s="21" t="str">
        <f t="shared" si="24"/>
        <v/>
      </c>
      <c r="W97" s="21" t="str">
        <f t="shared" si="25"/>
        <v/>
      </c>
      <c r="X97" s="21" t="str">
        <f t="shared" si="26"/>
        <v/>
      </c>
      <c r="Y97" s="1" t="str">
        <f t="shared" si="27"/>
        <v/>
      </c>
      <c r="Z97" s="1" t="str">
        <f t="shared" si="28"/>
        <v/>
      </c>
      <c r="AA97" s="26" t="str">
        <f t="shared" si="29"/>
        <v/>
      </c>
      <c r="AB97" s="11" t="str">
        <f t="shared" si="30"/>
        <v/>
      </c>
      <c r="AC97" s="28" t="str">
        <f>IF(V97="","",_xll.EpBsStandardSwaptionPrice($C$2,$O$2,W97,X97,Y97,Z97,AA97,AB97))</f>
        <v/>
      </c>
      <c r="AD97" s="28" t="str">
        <f>IF(V97="","",_xll.EpLgm1fStandardSwaptionPrice($C$2,$O$3,$O$2,W97,X97,Y97,Z97,AA97))</f>
        <v/>
      </c>
    </row>
    <row r="98" spans="2:30" x14ac:dyDescent="0.3">
      <c r="B98" s="97" t="str">
        <f t="shared" si="31"/>
        <v/>
      </c>
      <c r="C98" s="97" t="str">
        <f t="shared" si="38"/>
        <v/>
      </c>
      <c r="D98" s="97" t="str">
        <f t="shared" si="32"/>
        <v/>
      </c>
      <c r="E98" s="8" t="str">
        <f t="shared" si="33"/>
        <v/>
      </c>
      <c r="F98" s="31" t="str">
        <f t="shared" si="34"/>
        <v/>
      </c>
      <c r="G98" s="11" t="str">
        <f t="shared" si="35"/>
        <v/>
      </c>
      <c r="H98" s="11" t="str">
        <f t="shared" si="39"/>
        <v/>
      </c>
      <c r="I98" s="28" t="str">
        <f t="shared" si="36"/>
        <v/>
      </c>
      <c r="J98" s="8" t="str">
        <f t="shared" si="37"/>
        <v/>
      </c>
      <c r="K98" s="38" t="str">
        <f>IF(B98="","",IF($C$7="CAP",E98*F98*J98*NORMcall((B98-$C$2)/365,G98,I98,H98),E98*F98*J98*Normput((B98-$C$2)/365,G98,I98,H98)))</f>
        <v/>
      </c>
      <c r="M98" s="21"/>
      <c r="V98" s="21" t="str">
        <f t="shared" si="24"/>
        <v/>
      </c>
      <c r="W98" s="21" t="str">
        <f t="shared" si="25"/>
        <v/>
      </c>
      <c r="X98" s="21" t="str">
        <f t="shared" si="26"/>
        <v/>
      </c>
      <c r="Y98" s="1" t="str">
        <f t="shared" si="27"/>
        <v/>
      </c>
      <c r="Z98" s="1" t="str">
        <f t="shared" si="28"/>
        <v/>
      </c>
      <c r="AA98" s="26" t="str">
        <f t="shared" si="29"/>
        <v/>
      </c>
      <c r="AB98" s="11" t="str">
        <f t="shared" si="30"/>
        <v/>
      </c>
      <c r="AC98" s="28" t="str">
        <f>IF(V98="","",_xll.EpBsStandardSwaptionPrice($C$2,$O$2,W98,X98,Y98,Z98,AA98,AB98))</f>
        <v/>
      </c>
      <c r="AD98" s="28" t="str">
        <f>IF(V98="","",_xll.EpLgm1fStandardSwaptionPrice($C$2,$O$3,$O$2,W98,X98,Y98,Z98,AA98))</f>
        <v/>
      </c>
    </row>
    <row r="99" spans="2:30" x14ac:dyDescent="0.3">
      <c r="B99" s="97" t="str">
        <f t="shared" si="31"/>
        <v/>
      </c>
      <c r="C99" s="97" t="str">
        <f t="shared" si="38"/>
        <v/>
      </c>
      <c r="D99" s="97" t="str">
        <f t="shared" si="32"/>
        <v/>
      </c>
      <c r="E99" s="8" t="str">
        <f t="shared" si="33"/>
        <v/>
      </c>
      <c r="F99" s="31" t="str">
        <f t="shared" si="34"/>
        <v/>
      </c>
      <c r="G99" s="11" t="str">
        <f t="shared" si="35"/>
        <v/>
      </c>
      <c r="H99" s="11" t="str">
        <f t="shared" si="39"/>
        <v/>
      </c>
      <c r="I99" s="28" t="str">
        <f t="shared" si="36"/>
        <v/>
      </c>
      <c r="J99" s="8" t="str">
        <f t="shared" si="37"/>
        <v/>
      </c>
      <c r="K99" s="38" t="str">
        <f>IF(B99="","",IF($C$7="CAP",E99*F99*J99*NORMcall((B99-$C$2)/365,G99,I99,H99),E99*F99*J99*Normput((B99-$C$2)/365,G99,I99,H99)))</f>
        <v/>
      </c>
      <c r="M99" s="21"/>
      <c r="V99" s="21" t="str">
        <f t="shared" si="24"/>
        <v/>
      </c>
      <c r="W99" s="21" t="str">
        <f t="shared" si="25"/>
        <v/>
      </c>
      <c r="X99" s="21" t="str">
        <f t="shared" si="26"/>
        <v/>
      </c>
      <c r="Y99" s="1" t="str">
        <f t="shared" si="27"/>
        <v/>
      </c>
      <c r="Z99" s="1" t="str">
        <f t="shared" si="28"/>
        <v/>
      </c>
      <c r="AA99" s="26" t="str">
        <f t="shared" si="29"/>
        <v/>
      </c>
      <c r="AB99" s="11" t="str">
        <f t="shared" si="30"/>
        <v/>
      </c>
      <c r="AC99" s="28" t="str">
        <f>IF(V99="","",_xll.EpBsStandardSwaptionPrice($C$2,$O$2,W99,X99,Y99,Z99,AA99,AB99))</f>
        <v/>
      </c>
      <c r="AD99" s="28" t="str">
        <f>IF(V99="","",_xll.EpLgm1fStandardSwaptionPrice($C$2,$O$3,$O$2,W99,X99,Y99,Z99,AA99))</f>
        <v/>
      </c>
    </row>
    <row r="100" spans="2:30" x14ac:dyDescent="0.3">
      <c r="B100" s="97" t="str">
        <f t="shared" si="31"/>
        <v/>
      </c>
      <c r="C100" s="97" t="str">
        <f t="shared" si="38"/>
        <v/>
      </c>
      <c r="D100" s="97" t="str">
        <f t="shared" si="32"/>
        <v/>
      </c>
      <c r="E100" s="8" t="str">
        <f t="shared" si="33"/>
        <v/>
      </c>
      <c r="F100" s="31" t="str">
        <f t="shared" si="34"/>
        <v/>
      </c>
      <c r="G100" s="11" t="str">
        <f t="shared" si="35"/>
        <v/>
      </c>
      <c r="H100" s="11" t="str">
        <f t="shared" si="39"/>
        <v/>
      </c>
      <c r="I100" s="28" t="str">
        <f t="shared" si="36"/>
        <v/>
      </c>
      <c r="J100" s="8" t="str">
        <f t="shared" si="37"/>
        <v/>
      </c>
      <c r="K100" s="38" t="str">
        <f>IF(B100="","",IF($C$7="CAP",E100*F100*J100*NORMcall((B100-$C$2)/365,G100,I100,H100),E100*F100*J100*Normput((B100-$C$2)/365,G100,I100,H100)))</f>
        <v/>
      </c>
      <c r="M100" s="21"/>
      <c r="V100" s="21" t="str">
        <f t="shared" si="24"/>
        <v/>
      </c>
      <c r="W100" s="21" t="str">
        <f t="shared" si="25"/>
        <v/>
      </c>
      <c r="X100" s="21" t="str">
        <f t="shared" si="26"/>
        <v/>
      </c>
      <c r="Y100" s="1" t="str">
        <f t="shared" si="27"/>
        <v/>
      </c>
      <c r="Z100" s="1" t="str">
        <f t="shared" si="28"/>
        <v/>
      </c>
      <c r="AA100" s="26" t="str">
        <f t="shared" si="29"/>
        <v/>
      </c>
      <c r="AB100" s="11" t="str">
        <f t="shared" si="30"/>
        <v/>
      </c>
      <c r="AC100" s="28" t="str">
        <f>IF(V100="","",_xll.EpBsStandardSwaptionPrice($C$2,$O$2,W100,X100,Y100,Z100,AA100,AB100))</f>
        <v/>
      </c>
      <c r="AD100" s="28" t="str">
        <f>IF(V100="","",_xll.EpLgm1fStandardSwaptionPrice($C$2,$O$3,$O$2,W100,X100,Y100,Z100,AA100))</f>
        <v/>
      </c>
    </row>
    <row r="101" spans="2:30" x14ac:dyDescent="0.3">
      <c r="B101" s="97" t="str">
        <f t="shared" si="31"/>
        <v/>
      </c>
      <c r="C101" s="97" t="str">
        <f t="shared" si="38"/>
        <v/>
      </c>
      <c r="D101" s="97" t="str">
        <f t="shared" si="32"/>
        <v/>
      </c>
      <c r="E101" s="8" t="str">
        <f t="shared" si="33"/>
        <v/>
      </c>
      <c r="F101" s="31" t="str">
        <f t="shared" si="34"/>
        <v/>
      </c>
      <c r="G101" s="11" t="str">
        <f t="shared" si="35"/>
        <v/>
      </c>
      <c r="H101" s="11" t="str">
        <f t="shared" si="39"/>
        <v/>
      </c>
      <c r="I101" s="28" t="str">
        <f t="shared" si="36"/>
        <v/>
      </c>
      <c r="J101" s="8" t="str">
        <f t="shared" si="37"/>
        <v/>
      </c>
      <c r="K101" s="38" t="str">
        <f>IF(B101="","",IF($C$7="CAP",E101*F101*J101*NORMcall((B101-$C$2)/365,G101,I101,H101),E101*F101*J101*Normput((B101-$C$2)/365,G101,I101,H101)))</f>
        <v/>
      </c>
      <c r="M101" s="21"/>
      <c r="V101" s="21" t="str">
        <f t="shared" si="24"/>
        <v/>
      </c>
      <c r="W101" s="21" t="str">
        <f t="shared" si="25"/>
        <v/>
      </c>
      <c r="X101" s="21" t="str">
        <f t="shared" si="26"/>
        <v/>
      </c>
      <c r="Y101" s="1" t="str">
        <f t="shared" si="27"/>
        <v/>
      </c>
      <c r="Z101" s="1" t="str">
        <f t="shared" si="28"/>
        <v/>
      </c>
      <c r="AA101" s="26" t="str">
        <f t="shared" si="29"/>
        <v/>
      </c>
      <c r="AB101" s="11" t="str">
        <f t="shared" si="30"/>
        <v/>
      </c>
      <c r="AC101" s="28" t="str">
        <f>IF(V101="","",_xll.EpBsStandardSwaptionPrice($C$2,$O$2,W101,X101,Y101,Z101,AA101,AB101))</f>
        <v/>
      </c>
      <c r="AD101" s="28" t="str">
        <f>IF(V101="","",_xll.EpLgm1fStandardSwaptionPrice($C$2,$O$3,$O$2,W101,X101,Y101,Z101,AA101))</f>
        <v/>
      </c>
    </row>
    <row r="102" spans="2:30" x14ac:dyDescent="0.3">
      <c r="B102" s="97" t="str">
        <f t="shared" si="31"/>
        <v/>
      </c>
      <c r="C102" s="97" t="str">
        <f t="shared" si="38"/>
        <v/>
      </c>
      <c r="D102" s="97" t="str">
        <f t="shared" si="32"/>
        <v/>
      </c>
      <c r="E102" s="8" t="str">
        <f t="shared" si="33"/>
        <v/>
      </c>
      <c r="F102" s="31" t="str">
        <f t="shared" si="34"/>
        <v/>
      </c>
      <c r="G102" s="11" t="str">
        <f t="shared" si="35"/>
        <v/>
      </c>
      <c r="H102" s="11" t="str">
        <f t="shared" si="39"/>
        <v/>
      </c>
      <c r="I102" s="28" t="str">
        <f t="shared" si="36"/>
        <v/>
      </c>
      <c r="J102" s="8" t="str">
        <f t="shared" si="37"/>
        <v/>
      </c>
      <c r="K102" s="38" t="str">
        <f>IF(B102="","",IF($C$7="CAP",E102*F102*J102*NORMcall((B102-$C$2)/365,G102,I102,H102),E102*F102*J102*Normput((B102-$C$2)/365,G102,I102,H102)))</f>
        <v/>
      </c>
      <c r="M102" s="21"/>
      <c r="V102" s="21" t="str">
        <f t="shared" si="24"/>
        <v/>
      </c>
      <c r="W102" s="21" t="str">
        <f t="shared" si="25"/>
        <v/>
      </c>
      <c r="X102" s="21" t="str">
        <f t="shared" si="26"/>
        <v/>
      </c>
      <c r="Y102" s="1" t="str">
        <f t="shared" si="27"/>
        <v/>
      </c>
      <c r="Z102" s="1" t="str">
        <f t="shared" si="28"/>
        <v/>
      </c>
      <c r="AA102" s="26" t="str">
        <f t="shared" si="29"/>
        <v/>
      </c>
      <c r="AB102" s="11" t="str">
        <f t="shared" si="30"/>
        <v/>
      </c>
      <c r="AC102" s="28" t="str">
        <f>IF(V102="","",_xll.EpBsStandardSwaptionPrice($C$2,$O$2,W102,X102,Y102,Z102,AA102,AB102))</f>
        <v/>
      </c>
      <c r="AD102" s="28" t="str">
        <f>IF(V102="","",_xll.EpLgm1fStandardSwaptionPrice($C$2,$O$3,$O$2,W102,X102,Y102,Z102,AA102))</f>
        <v/>
      </c>
    </row>
    <row r="103" spans="2:30" x14ac:dyDescent="0.3">
      <c r="B103" s="97" t="str">
        <f t="shared" si="31"/>
        <v/>
      </c>
      <c r="C103" s="97" t="str">
        <f t="shared" si="38"/>
        <v/>
      </c>
      <c r="D103" s="97" t="str">
        <f t="shared" si="32"/>
        <v/>
      </c>
      <c r="E103" s="8" t="str">
        <f t="shared" si="33"/>
        <v/>
      </c>
      <c r="F103" s="31" t="str">
        <f t="shared" si="34"/>
        <v/>
      </c>
      <c r="G103" s="11" t="str">
        <f t="shared" si="35"/>
        <v/>
      </c>
      <c r="H103" s="11" t="str">
        <f t="shared" si="39"/>
        <v/>
      </c>
      <c r="I103" s="28" t="str">
        <f t="shared" si="36"/>
        <v/>
      </c>
      <c r="J103" s="8" t="str">
        <f t="shared" si="37"/>
        <v/>
      </c>
      <c r="K103" s="38" t="str">
        <f>IF(B103="","",IF($C$7="CAP",E103*F103*J103*NORMcall((B103-$C$2)/365,G103,I103,H103),E103*F103*J103*Normput((B103-$C$2)/365,G103,I103,H103)))</f>
        <v/>
      </c>
      <c r="M103" s="21"/>
      <c r="V103" s="21" t="str">
        <f t="shared" ref="V103:V134" si="40">IF(T103="","",W103-2)</f>
        <v/>
      </c>
      <c r="W103" s="21" t="str">
        <f t="shared" ref="W103:W138" si="41">IF(T103="","",T103+$K$8)</f>
        <v/>
      </c>
      <c r="X103" s="21" t="str">
        <f t="shared" ref="X103:X138" si="42">IF(T103="","",$C$9)</f>
        <v/>
      </c>
      <c r="Y103" s="1" t="str">
        <f t="shared" ref="Y103:Y138" si="43">IF(T103="","","RECEIVER")</f>
        <v/>
      </c>
      <c r="Z103" s="1" t="str">
        <f t="shared" ref="Z103:Z138" si="44">IF(T103="","","ABS")</f>
        <v/>
      </c>
      <c r="AA103" s="26" t="str">
        <f t="shared" ref="AA103:AA138" si="45">IF(T103="","",$F$10)</f>
        <v/>
      </c>
      <c r="AB103" s="11" t="str">
        <f t="shared" ref="AB103:AB138" si="46">IF(T103="","",$AA$16)</f>
        <v/>
      </c>
      <c r="AC103" s="28" t="str">
        <f>IF(V103="","",_xll.EpBsStandardSwaptionPrice($C$2,$O$2,W103,X103,Y103,Z103,AA103,AB103))</f>
        <v/>
      </c>
      <c r="AD103" s="28" t="str">
        <f>IF(V103="","",_xll.EpLgm1fStandardSwaptionPrice($C$2,$O$3,$O$2,W103,X103,Y103,Z103,AA103))</f>
        <v/>
      </c>
    </row>
    <row r="104" spans="2:30" x14ac:dyDescent="0.3">
      <c r="B104" s="97" t="str">
        <f t="shared" si="31"/>
        <v/>
      </c>
      <c r="C104" s="97" t="str">
        <f t="shared" si="38"/>
        <v/>
      </c>
      <c r="D104" s="97" t="str">
        <f t="shared" si="32"/>
        <v/>
      </c>
      <c r="E104" s="8" t="str">
        <f t="shared" si="33"/>
        <v/>
      </c>
      <c r="F104" s="31" t="str">
        <f t="shared" si="34"/>
        <v/>
      </c>
      <c r="G104" s="11" t="str">
        <f t="shared" si="35"/>
        <v/>
      </c>
      <c r="H104" s="11" t="str">
        <f t="shared" si="39"/>
        <v/>
      </c>
      <c r="I104" s="28" t="str">
        <f t="shared" si="36"/>
        <v/>
      </c>
      <c r="J104" s="8" t="str">
        <f t="shared" si="37"/>
        <v/>
      </c>
      <c r="K104" s="38" t="str">
        <f>IF(B104="","",IF($C$7="CAP",E104*F104*J104*NORMcall((B104-$C$2)/365,G104,I104,H104),E104*F104*J104*Normput((B104-$C$2)/365,G104,I104,H104)))</f>
        <v/>
      </c>
      <c r="M104" s="21"/>
      <c r="V104" s="21" t="str">
        <f t="shared" si="40"/>
        <v/>
      </c>
      <c r="W104" s="21" t="str">
        <f t="shared" si="41"/>
        <v/>
      </c>
      <c r="X104" s="21" t="str">
        <f t="shared" si="42"/>
        <v/>
      </c>
      <c r="Y104" s="1" t="str">
        <f t="shared" si="43"/>
        <v/>
      </c>
      <c r="Z104" s="1" t="str">
        <f t="shared" si="44"/>
        <v/>
      </c>
      <c r="AA104" s="26" t="str">
        <f t="shared" si="45"/>
        <v/>
      </c>
      <c r="AB104" s="11" t="str">
        <f t="shared" si="46"/>
        <v/>
      </c>
      <c r="AC104" s="28" t="str">
        <f>IF(V104="","",_xll.EpBsStandardSwaptionPrice($C$2,$O$2,W104,X104,Y104,Z104,AA104,AB104))</f>
        <v/>
      </c>
      <c r="AD104" s="28" t="str">
        <f>IF(V104="","",_xll.EpLgm1fStandardSwaptionPrice($C$2,$O$3,$O$2,W104,X104,Y104,Z104,AA104))</f>
        <v/>
      </c>
    </row>
    <row r="105" spans="2:30" x14ac:dyDescent="0.3">
      <c r="B105" s="97" t="str">
        <f t="shared" si="31"/>
        <v/>
      </c>
      <c r="C105" s="97" t="str">
        <f t="shared" si="38"/>
        <v/>
      </c>
      <c r="D105" s="97" t="str">
        <f t="shared" si="32"/>
        <v/>
      </c>
      <c r="E105" s="8" t="str">
        <f t="shared" si="33"/>
        <v/>
      </c>
      <c r="F105" s="31" t="str">
        <f t="shared" si="34"/>
        <v/>
      </c>
      <c r="G105" s="11" t="str">
        <f t="shared" si="35"/>
        <v/>
      </c>
      <c r="H105" s="11" t="str">
        <f t="shared" si="39"/>
        <v/>
      </c>
      <c r="I105" s="28" t="str">
        <f t="shared" si="36"/>
        <v/>
      </c>
      <c r="J105" s="8" t="str">
        <f t="shared" si="37"/>
        <v/>
      </c>
      <c r="K105" s="38" t="str">
        <f>IF(B105="","",IF($C$7="CAP",E105*F105*J105*NORMcall((B105-$C$2)/365,G105,I105,H105),E105*F105*J105*Normput((B105-$C$2)/365,G105,I105,H105)))</f>
        <v/>
      </c>
      <c r="M105" s="21"/>
      <c r="V105" s="21" t="str">
        <f t="shared" si="40"/>
        <v/>
      </c>
      <c r="W105" s="21" t="str">
        <f t="shared" si="41"/>
        <v/>
      </c>
      <c r="X105" s="21" t="str">
        <f t="shared" si="42"/>
        <v/>
      </c>
      <c r="Y105" s="1" t="str">
        <f t="shared" si="43"/>
        <v/>
      </c>
      <c r="Z105" s="1" t="str">
        <f t="shared" si="44"/>
        <v/>
      </c>
      <c r="AA105" s="26" t="str">
        <f t="shared" si="45"/>
        <v/>
      </c>
      <c r="AB105" s="11" t="str">
        <f t="shared" si="46"/>
        <v/>
      </c>
      <c r="AC105" s="28" t="str">
        <f>IF(V105="","",_xll.EpBsStandardSwaptionPrice($C$2,$O$2,W105,X105,Y105,Z105,AA105,AB105))</f>
        <v/>
      </c>
      <c r="AD105" s="28" t="str">
        <f>IF(V105="","",_xll.EpLgm1fStandardSwaptionPrice($C$2,$O$3,$O$2,W105,X105,Y105,Z105,AA105))</f>
        <v/>
      </c>
    </row>
    <row r="106" spans="2:30" x14ac:dyDescent="0.3">
      <c r="B106" s="97" t="str">
        <f t="shared" si="31"/>
        <v/>
      </c>
      <c r="C106" s="97" t="str">
        <f t="shared" si="38"/>
        <v/>
      </c>
      <c r="D106" s="97" t="str">
        <f t="shared" si="32"/>
        <v/>
      </c>
      <c r="E106" s="8" t="str">
        <f t="shared" si="33"/>
        <v/>
      </c>
      <c r="F106" s="31" t="str">
        <f t="shared" si="34"/>
        <v/>
      </c>
      <c r="G106" s="11" t="str">
        <f t="shared" si="35"/>
        <v/>
      </c>
      <c r="H106" s="11" t="str">
        <f t="shared" si="39"/>
        <v/>
      </c>
      <c r="I106" s="28" t="str">
        <f t="shared" si="36"/>
        <v/>
      </c>
      <c r="J106" s="8" t="str">
        <f t="shared" si="37"/>
        <v/>
      </c>
      <c r="K106" s="38" t="str">
        <f>IF(B106="","",IF($C$7="CAP",E106*F106*J106*NORMcall((B106-$C$2)/365,G106,I106,H106),E106*F106*J106*Normput((B106-$C$2)/365,G106,I106,H106)))</f>
        <v/>
      </c>
      <c r="M106" s="21"/>
      <c r="V106" s="21" t="str">
        <f t="shared" si="40"/>
        <v/>
      </c>
      <c r="W106" s="21" t="str">
        <f t="shared" si="41"/>
        <v/>
      </c>
      <c r="X106" s="21" t="str">
        <f t="shared" si="42"/>
        <v/>
      </c>
      <c r="Y106" s="1" t="str">
        <f t="shared" si="43"/>
        <v/>
      </c>
      <c r="Z106" s="1" t="str">
        <f t="shared" si="44"/>
        <v/>
      </c>
      <c r="AA106" s="26" t="str">
        <f t="shared" si="45"/>
        <v/>
      </c>
      <c r="AB106" s="11" t="str">
        <f t="shared" si="46"/>
        <v/>
      </c>
      <c r="AC106" s="28" t="str">
        <f>IF(V106="","",_xll.EpBsStandardSwaptionPrice($C$2,$O$2,W106,X106,Y106,Z106,AA106,AB106))</f>
        <v/>
      </c>
      <c r="AD106" s="28" t="str">
        <f>IF(V106="","",_xll.EpLgm1fStandardSwaptionPrice($C$2,$O$3,$O$2,W106,X106,Y106,Z106,AA106))</f>
        <v/>
      </c>
    </row>
    <row r="107" spans="2:30" x14ac:dyDescent="0.3">
      <c r="B107" s="97" t="str">
        <f t="shared" si="31"/>
        <v/>
      </c>
      <c r="C107" s="97" t="str">
        <f t="shared" si="38"/>
        <v/>
      </c>
      <c r="D107" s="97" t="str">
        <f t="shared" si="32"/>
        <v/>
      </c>
      <c r="E107" s="8" t="str">
        <f t="shared" si="33"/>
        <v/>
      </c>
      <c r="F107" s="31" t="str">
        <f t="shared" si="34"/>
        <v/>
      </c>
      <c r="G107" s="11" t="str">
        <f t="shared" si="35"/>
        <v/>
      </c>
      <c r="H107" s="11" t="str">
        <f t="shared" si="39"/>
        <v/>
      </c>
      <c r="I107" s="28" t="str">
        <f t="shared" si="36"/>
        <v/>
      </c>
      <c r="J107" s="8" t="str">
        <f t="shared" si="37"/>
        <v/>
      </c>
      <c r="K107" s="38" t="str">
        <f>IF(B107="","",IF($C$7="CAP",E107*F107*J107*NORMcall((B107-$C$2)/365,G107,I107,H107),E107*F107*J107*Normput((B107-$C$2)/365,G107,I107,H107)))</f>
        <v/>
      </c>
      <c r="M107" s="21"/>
      <c r="V107" s="21" t="str">
        <f t="shared" si="40"/>
        <v/>
      </c>
      <c r="W107" s="21" t="str">
        <f t="shared" si="41"/>
        <v/>
      </c>
      <c r="X107" s="21" t="str">
        <f t="shared" si="42"/>
        <v/>
      </c>
      <c r="Y107" s="1" t="str">
        <f t="shared" si="43"/>
        <v/>
      </c>
      <c r="Z107" s="1" t="str">
        <f t="shared" si="44"/>
        <v/>
      </c>
      <c r="AA107" s="26" t="str">
        <f t="shared" si="45"/>
        <v/>
      </c>
      <c r="AB107" s="11" t="str">
        <f t="shared" si="46"/>
        <v/>
      </c>
      <c r="AC107" s="28" t="str">
        <f>IF(V107="","",_xll.EpBsStandardSwaptionPrice($C$2,$O$2,W107,X107,Y107,Z107,AA107,AB107))</f>
        <v/>
      </c>
      <c r="AD107" s="28" t="str">
        <f>IF(V107="","",_xll.EpLgm1fStandardSwaptionPrice($C$2,$O$3,$O$2,W107,X107,Y107,Z107,AA107))</f>
        <v/>
      </c>
    </row>
    <row r="108" spans="2:30" x14ac:dyDescent="0.3">
      <c r="B108" s="97" t="str">
        <f t="shared" si="31"/>
        <v/>
      </c>
      <c r="C108" s="97" t="str">
        <f t="shared" si="38"/>
        <v/>
      </c>
      <c r="D108" s="97" t="str">
        <f t="shared" si="32"/>
        <v/>
      </c>
      <c r="E108" s="8" t="str">
        <f t="shared" si="33"/>
        <v/>
      </c>
      <c r="F108" s="31" t="str">
        <f t="shared" si="34"/>
        <v/>
      </c>
      <c r="G108" s="11" t="str">
        <f t="shared" si="35"/>
        <v/>
      </c>
      <c r="H108" s="11" t="str">
        <f t="shared" si="39"/>
        <v/>
      </c>
      <c r="I108" s="28" t="str">
        <f t="shared" si="36"/>
        <v/>
      </c>
      <c r="J108" s="8" t="str">
        <f t="shared" si="37"/>
        <v/>
      </c>
      <c r="K108" s="38" t="str">
        <f>IF(B108="","",IF($C$7="CAP",E108*F108*J108*NORMcall((B108-$C$2)/365,G108,I108,H108),E108*F108*J108*Normput((B108-$C$2)/365,G108,I108,H108)))</f>
        <v/>
      </c>
      <c r="M108" s="21"/>
      <c r="V108" s="21" t="str">
        <f t="shared" si="40"/>
        <v/>
      </c>
      <c r="W108" s="21" t="str">
        <f t="shared" si="41"/>
        <v/>
      </c>
      <c r="X108" s="21" t="str">
        <f t="shared" si="42"/>
        <v/>
      </c>
      <c r="Y108" s="1" t="str">
        <f t="shared" si="43"/>
        <v/>
      </c>
      <c r="Z108" s="1" t="str">
        <f t="shared" si="44"/>
        <v/>
      </c>
      <c r="AA108" s="26" t="str">
        <f t="shared" si="45"/>
        <v/>
      </c>
      <c r="AB108" s="11" t="str">
        <f t="shared" si="46"/>
        <v/>
      </c>
      <c r="AC108" s="28" t="str">
        <f>IF(V108="","",_xll.EpBsStandardSwaptionPrice($C$2,$O$2,W108,X108,Y108,Z108,AA108,AB108))</f>
        <v/>
      </c>
      <c r="AD108" s="28" t="str">
        <f>IF(V108="","",_xll.EpLgm1fStandardSwaptionPrice($C$2,$O$3,$O$2,W108,X108,Y108,Z108,AA108))</f>
        <v/>
      </c>
    </row>
    <row r="109" spans="2:30" x14ac:dyDescent="0.3">
      <c r="B109" s="97" t="str">
        <f t="shared" si="31"/>
        <v/>
      </c>
      <c r="C109" s="97" t="str">
        <f t="shared" si="38"/>
        <v/>
      </c>
      <c r="D109" s="97" t="str">
        <f t="shared" si="32"/>
        <v/>
      </c>
      <c r="E109" s="8" t="str">
        <f t="shared" si="33"/>
        <v/>
      </c>
      <c r="F109" s="31" t="str">
        <f t="shared" si="34"/>
        <v/>
      </c>
      <c r="G109" s="11" t="str">
        <f t="shared" si="35"/>
        <v/>
      </c>
      <c r="H109" s="11" t="str">
        <f t="shared" si="39"/>
        <v/>
      </c>
      <c r="I109" s="28" t="str">
        <f t="shared" si="36"/>
        <v/>
      </c>
      <c r="J109" s="8" t="str">
        <f t="shared" si="37"/>
        <v/>
      </c>
      <c r="K109" s="38" t="str">
        <f>IF(B109="","",IF($C$7="CAP",E109*F109*J109*NORMcall((B109-$C$2)/365,G109,I109,H109),E109*F109*J109*Normput((B109-$C$2)/365,G109,I109,H109)))</f>
        <v/>
      </c>
      <c r="M109" s="21"/>
      <c r="V109" s="21" t="str">
        <f t="shared" si="40"/>
        <v/>
      </c>
      <c r="W109" s="21" t="str">
        <f t="shared" si="41"/>
        <v/>
      </c>
      <c r="X109" s="21" t="str">
        <f t="shared" si="42"/>
        <v/>
      </c>
      <c r="Y109" s="1" t="str">
        <f t="shared" si="43"/>
        <v/>
      </c>
      <c r="Z109" s="1" t="str">
        <f t="shared" si="44"/>
        <v/>
      </c>
      <c r="AA109" s="26" t="str">
        <f t="shared" si="45"/>
        <v/>
      </c>
      <c r="AB109" s="11" t="str">
        <f t="shared" si="46"/>
        <v/>
      </c>
      <c r="AC109" s="28" t="str">
        <f>IF(V109="","",_xll.EpBsStandardSwaptionPrice($C$2,$O$2,W109,X109,Y109,Z109,AA109,AB109))</f>
        <v/>
      </c>
      <c r="AD109" s="28" t="str">
        <f>IF(V109="","",_xll.EpLgm1fStandardSwaptionPrice($C$2,$O$3,$O$2,W109,X109,Y109,Z109,AA109))</f>
        <v/>
      </c>
    </row>
    <row r="110" spans="2:30" x14ac:dyDescent="0.3">
      <c r="B110" s="97" t="str">
        <f t="shared" si="31"/>
        <v/>
      </c>
      <c r="C110" s="97" t="str">
        <f t="shared" si="38"/>
        <v/>
      </c>
      <c r="D110" s="97" t="str">
        <f t="shared" si="32"/>
        <v/>
      </c>
      <c r="E110" s="8" t="str">
        <f t="shared" si="33"/>
        <v/>
      </c>
      <c r="F110" s="31" t="str">
        <f t="shared" si="34"/>
        <v/>
      </c>
      <c r="G110" s="11" t="str">
        <f t="shared" si="35"/>
        <v/>
      </c>
      <c r="H110" s="11" t="str">
        <f t="shared" si="39"/>
        <v/>
      </c>
      <c r="I110" s="28" t="str">
        <f t="shared" si="36"/>
        <v/>
      </c>
      <c r="J110" s="8" t="str">
        <f t="shared" si="37"/>
        <v/>
      </c>
      <c r="K110" s="38" t="str">
        <f>IF(B110="","",IF($C$7="CAP",E110*F110*J110*NORMcall((B110-$C$2)/365,G110,I110,H110),E110*F110*J110*Normput((B110-$C$2)/365,G110,I110,H110)))</f>
        <v/>
      </c>
      <c r="M110" s="21"/>
      <c r="V110" s="21" t="str">
        <f t="shared" si="40"/>
        <v/>
      </c>
      <c r="W110" s="21" t="str">
        <f t="shared" si="41"/>
        <v/>
      </c>
      <c r="X110" s="21" t="str">
        <f t="shared" si="42"/>
        <v/>
      </c>
      <c r="Y110" s="1" t="str">
        <f t="shared" si="43"/>
        <v/>
      </c>
      <c r="Z110" s="1" t="str">
        <f t="shared" si="44"/>
        <v/>
      </c>
      <c r="AA110" s="26" t="str">
        <f t="shared" si="45"/>
        <v/>
      </c>
      <c r="AB110" s="11" t="str">
        <f t="shared" si="46"/>
        <v/>
      </c>
      <c r="AC110" s="28" t="str">
        <f>IF(V110="","",_xll.EpBsStandardSwaptionPrice($C$2,$O$2,W110,X110,Y110,Z110,AA110,AB110))</f>
        <v/>
      </c>
      <c r="AD110" s="28" t="str">
        <f>IF(V110="","",_xll.EpLgm1fStandardSwaptionPrice($C$2,$O$3,$O$2,W110,X110,Y110,Z110,AA110))</f>
        <v/>
      </c>
    </row>
    <row r="111" spans="2:30" x14ac:dyDescent="0.3">
      <c r="B111" s="97" t="str">
        <f t="shared" si="31"/>
        <v/>
      </c>
      <c r="C111" s="97" t="str">
        <f t="shared" si="38"/>
        <v/>
      </c>
      <c r="D111" s="97" t="str">
        <f t="shared" si="32"/>
        <v/>
      </c>
      <c r="E111" s="8" t="str">
        <f t="shared" si="33"/>
        <v/>
      </c>
      <c r="F111" s="31" t="str">
        <f t="shared" si="34"/>
        <v/>
      </c>
      <c r="G111" s="11" t="str">
        <f t="shared" si="35"/>
        <v/>
      </c>
      <c r="H111" s="11" t="str">
        <f t="shared" si="39"/>
        <v/>
      </c>
      <c r="I111" s="28" t="str">
        <f t="shared" si="36"/>
        <v/>
      </c>
      <c r="J111" s="8" t="str">
        <f t="shared" si="37"/>
        <v/>
      </c>
      <c r="K111" s="38" t="str">
        <f>IF(B111="","",IF($C$7="CAP",E111*F111*J111*NORMcall((B111-$C$2)/365,G111,I111,H111),E111*F111*J111*Normput((B111-$C$2)/365,G111,I111,H111)))</f>
        <v/>
      </c>
      <c r="M111" s="21"/>
      <c r="V111" s="21" t="str">
        <f t="shared" si="40"/>
        <v/>
      </c>
      <c r="W111" s="21" t="str">
        <f t="shared" si="41"/>
        <v/>
      </c>
      <c r="X111" s="21" t="str">
        <f t="shared" si="42"/>
        <v/>
      </c>
      <c r="Y111" s="1" t="str">
        <f t="shared" si="43"/>
        <v/>
      </c>
      <c r="Z111" s="1" t="str">
        <f t="shared" si="44"/>
        <v/>
      </c>
      <c r="AA111" s="26" t="str">
        <f t="shared" si="45"/>
        <v/>
      </c>
      <c r="AB111" s="11" t="str">
        <f t="shared" si="46"/>
        <v/>
      </c>
      <c r="AC111" s="28" t="str">
        <f>IF(V111="","",_xll.EpBsStandardSwaptionPrice($C$2,$O$2,W111,X111,Y111,Z111,AA111,AB111))</f>
        <v/>
      </c>
      <c r="AD111" s="28" t="str">
        <f>IF(V111="","",_xll.EpLgm1fStandardSwaptionPrice($C$2,$O$3,$O$2,W111,X111,Y111,Z111,AA111))</f>
        <v/>
      </c>
    </row>
    <row r="112" spans="2:30" x14ac:dyDescent="0.3">
      <c r="B112" s="97" t="str">
        <f t="shared" si="31"/>
        <v/>
      </c>
      <c r="C112" s="97" t="str">
        <f t="shared" si="38"/>
        <v/>
      </c>
      <c r="D112" s="97" t="str">
        <f t="shared" si="32"/>
        <v/>
      </c>
      <c r="E112" s="8" t="str">
        <f t="shared" si="33"/>
        <v/>
      </c>
      <c r="F112" s="31" t="str">
        <f t="shared" si="34"/>
        <v/>
      </c>
      <c r="G112" s="11" t="str">
        <f t="shared" si="35"/>
        <v/>
      </c>
      <c r="H112" s="11" t="str">
        <f t="shared" si="39"/>
        <v/>
      </c>
      <c r="I112" s="28" t="str">
        <f t="shared" si="36"/>
        <v/>
      </c>
      <c r="J112" s="8" t="str">
        <f t="shared" si="37"/>
        <v/>
      </c>
      <c r="K112" s="38" t="str">
        <f>IF(B112="","",IF($C$7="CAP",E112*F112*J112*NORMcall((B112-$C$2)/365,G112,I112,H112),E112*F112*J112*Normput((B112-$C$2)/365,G112,I112,H112)))</f>
        <v/>
      </c>
      <c r="M112" s="21"/>
      <c r="V112" s="21" t="str">
        <f t="shared" si="40"/>
        <v/>
      </c>
      <c r="W112" s="21" t="str">
        <f t="shared" si="41"/>
        <v/>
      </c>
      <c r="X112" s="21" t="str">
        <f t="shared" si="42"/>
        <v/>
      </c>
      <c r="Y112" s="1" t="str">
        <f t="shared" si="43"/>
        <v/>
      </c>
      <c r="Z112" s="1" t="str">
        <f t="shared" si="44"/>
        <v/>
      </c>
      <c r="AA112" s="26" t="str">
        <f t="shared" si="45"/>
        <v/>
      </c>
      <c r="AB112" s="11" t="str">
        <f t="shared" si="46"/>
        <v/>
      </c>
      <c r="AC112" s="28" t="str">
        <f>IF(V112="","",_xll.EpBsStandardSwaptionPrice($C$2,$O$2,W112,X112,Y112,Z112,AA112,AB112))</f>
        <v/>
      </c>
      <c r="AD112" s="28" t="str">
        <f>IF(V112="","",_xll.EpLgm1fStandardSwaptionPrice($C$2,$O$3,$O$2,W112,X112,Y112,Z112,AA112))</f>
        <v/>
      </c>
    </row>
    <row r="113" spans="2:30" x14ac:dyDescent="0.3">
      <c r="B113" s="97" t="str">
        <f t="shared" si="31"/>
        <v/>
      </c>
      <c r="C113" s="97" t="str">
        <f t="shared" si="38"/>
        <v/>
      </c>
      <c r="D113" s="97" t="str">
        <f t="shared" si="32"/>
        <v/>
      </c>
      <c r="E113" s="8" t="str">
        <f t="shared" si="33"/>
        <v/>
      </c>
      <c r="F113" s="31" t="str">
        <f t="shared" si="34"/>
        <v/>
      </c>
      <c r="G113" s="11" t="str">
        <f t="shared" si="35"/>
        <v/>
      </c>
      <c r="H113" s="11" t="str">
        <f t="shared" si="39"/>
        <v/>
      </c>
      <c r="I113" s="28" t="str">
        <f t="shared" si="36"/>
        <v/>
      </c>
      <c r="J113" s="8" t="str">
        <f t="shared" si="37"/>
        <v/>
      </c>
      <c r="K113" s="38" t="str">
        <f>IF(B113="","",IF($C$7="CAP",E113*F113*J113*NORMcall((B113-$C$2)/365,G113,I113,H113),E113*F113*J113*Normput((B113-$C$2)/365,G113,I113,H113)))</f>
        <v/>
      </c>
      <c r="M113" s="21"/>
      <c r="V113" s="21" t="str">
        <f t="shared" si="40"/>
        <v/>
      </c>
      <c r="W113" s="21" t="str">
        <f t="shared" si="41"/>
        <v/>
      </c>
      <c r="X113" s="21" t="str">
        <f t="shared" si="42"/>
        <v/>
      </c>
      <c r="Y113" s="1" t="str">
        <f t="shared" si="43"/>
        <v/>
      </c>
      <c r="Z113" s="1" t="str">
        <f t="shared" si="44"/>
        <v/>
      </c>
      <c r="AA113" s="26" t="str">
        <f t="shared" si="45"/>
        <v/>
      </c>
      <c r="AB113" s="11" t="str">
        <f t="shared" si="46"/>
        <v/>
      </c>
      <c r="AC113" s="28" t="str">
        <f>IF(V113="","",_xll.EpBsStandardSwaptionPrice($C$2,$O$2,W113,X113,Y113,Z113,AA113,AB113))</f>
        <v/>
      </c>
      <c r="AD113" s="28" t="str">
        <f>IF(V113="","",_xll.EpLgm1fStandardSwaptionPrice($C$2,$O$3,$O$2,W113,X113,Y113,Z113,AA113))</f>
        <v/>
      </c>
    </row>
    <row r="114" spans="2:30" x14ac:dyDescent="0.3">
      <c r="B114" s="97" t="str">
        <f t="shared" si="31"/>
        <v/>
      </c>
      <c r="C114" s="97" t="str">
        <f t="shared" si="38"/>
        <v/>
      </c>
      <c r="D114" s="97" t="str">
        <f t="shared" si="32"/>
        <v/>
      </c>
      <c r="E114" s="8" t="str">
        <f t="shared" si="33"/>
        <v/>
      </c>
      <c r="F114" s="31" t="str">
        <f t="shared" si="34"/>
        <v/>
      </c>
      <c r="G114" s="11" t="str">
        <f t="shared" si="35"/>
        <v/>
      </c>
      <c r="H114" s="11" t="str">
        <f t="shared" si="39"/>
        <v/>
      </c>
      <c r="I114" s="28" t="str">
        <f t="shared" si="36"/>
        <v/>
      </c>
      <c r="J114" s="8" t="str">
        <f t="shared" si="37"/>
        <v/>
      </c>
      <c r="K114" s="38" t="str">
        <f>IF(B114="","",IF($C$7="CAP",E114*F114*J114*NORMcall((B114-$C$2)/365,G114,I114,H114),E114*F114*J114*Normput((B114-$C$2)/365,G114,I114,H114)))</f>
        <v/>
      </c>
      <c r="M114" s="21"/>
      <c r="V114" s="21" t="str">
        <f t="shared" si="40"/>
        <v/>
      </c>
      <c r="W114" s="21" t="str">
        <f t="shared" si="41"/>
        <v/>
      </c>
      <c r="X114" s="21" t="str">
        <f t="shared" si="42"/>
        <v/>
      </c>
      <c r="Y114" s="1" t="str">
        <f t="shared" si="43"/>
        <v/>
      </c>
      <c r="Z114" s="1" t="str">
        <f t="shared" si="44"/>
        <v/>
      </c>
      <c r="AA114" s="26" t="str">
        <f t="shared" si="45"/>
        <v/>
      </c>
      <c r="AB114" s="11" t="str">
        <f t="shared" si="46"/>
        <v/>
      </c>
      <c r="AC114" s="28" t="str">
        <f>IF(V114="","",_xll.EpBsStandardSwaptionPrice($C$2,$O$2,W114,X114,Y114,Z114,AA114,AB114))</f>
        <v/>
      </c>
      <c r="AD114" s="28" t="str">
        <f>IF(V114="","",_xll.EpLgm1fStandardSwaptionPrice($C$2,$O$3,$O$2,W114,X114,Y114,Z114,AA114))</f>
        <v/>
      </c>
    </row>
    <row r="115" spans="2:30" x14ac:dyDescent="0.3">
      <c r="B115" s="97" t="str">
        <f t="shared" ref="B115:B138" si="47">IF(C115="","",C115-2)</f>
        <v/>
      </c>
      <c r="C115" s="97" t="str">
        <f t="shared" si="38"/>
        <v/>
      </c>
      <c r="D115" s="97" t="str">
        <f t="shared" ref="D115:D138" si="48">IF(C115="","",DATE(YEAR(C115),MONTH(C115)+VLOOKUP($C$10,$AC$1:$AD$4,2,FALSE),DAY(C115)))</f>
        <v/>
      </c>
      <c r="E115" s="8" t="str">
        <f t="shared" ref="E115:E138" si="49">IF(B115="","",IF($C$11="30/360",DAYS360(C115,D115)/360,IF($C$11="ACT/360",(D115-C115)/360,IF($C$11="ACT/365",(D115-C115)/365))))</f>
        <v/>
      </c>
      <c r="F115" s="31" t="str">
        <f t="shared" ref="F115:F138" si="50">IF(B115="","",$C$6)</f>
        <v/>
      </c>
      <c r="G115" s="11" t="str">
        <f t="shared" ref="G115:G138" si="51">IF(B115="","",$C$12)</f>
        <v/>
      </c>
      <c r="H115" s="11" t="str">
        <f t="shared" si="39"/>
        <v/>
      </c>
      <c r="I115" s="28" t="str">
        <f t="shared" ref="I115:I138" si="52">IF(B115="","",(DF(C115-$C$2,Maturities,ZcRates)/DF(D115-$C$2,Maturities,ZcRates)-1)/E115)</f>
        <v/>
      </c>
      <c r="J115" s="8" t="str">
        <f t="shared" ref="J115:J138" si="53">IF(B115="","",DF(D115-$C$2,Maturities,ZcRates))</f>
        <v/>
      </c>
      <c r="K115" s="38" t="str">
        <f>IF(B115="","",IF($C$7="CAP",E115*F115*J115*NORMcall((B115-$C$2)/365,G115,I115,H115),E115*F115*J115*Normput((B115-$C$2)/365,G115,I115,H115)))</f>
        <v/>
      </c>
      <c r="M115" s="21"/>
      <c r="V115" s="21" t="str">
        <f t="shared" si="40"/>
        <v/>
      </c>
      <c r="W115" s="21" t="str">
        <f t="shared" si="41"/>
        <v/>
      </c>
      <c r="X115" s="21" t="str">
        <f t="shared" si="42"/>
        <v/>
      </c>
      <c r="Y115" s="1" t="str">
        <f t="shared" si="43"/>
        <v/>
      </c>
      <c r="Z115" s="1" t="str">
        <f t="shared" si="44"/>
        <v/>
      </c>
      <c r="AA115" s="26" t="str">
        <f t="shared" si="45"/>
        <v/>
      </c>
      <c r="AB115" s="11" t="str">
        <f t="shared" si="46"/>
        <v/>
      </c>
      <c r="AC115" s="28" t="str">
        <f>IF(V115="","",_xll.EpBsStandardSwaptionPrice($C$2,$O$2,W115,X115,Y115,Z115,AA115,AB115))</f>
        <v/>
      </c>
      <c r="AD115" s="28" t="str">
        <f>IF(V115="","",_xll.EpLgm1fStandardSwaptionPrice($C$2,$O$3,$O$2,W115,X115,Y115,Z115,AA115))</f>
        <v/>
      </c>
    </row>
    <row r="116" spans="2:30" x14ac:dyDescent="0.3">
      <c r="B116" s="97" t="str">
        <f t="shared" si="47"/>
        <v/>
      </c>
      <c r="C116" s="97" t="str">
        <f t="shared" ref="C116:C138" si="54">IF(OR(D115=$C$9,D115=""),"",D115)</f>
        <v/>
      </c>
      <c r="D116" s="97" t="str">
        <f t="shared" si="48"/>
        <v/>
      </c>
      <c r="E116" s="8" t="str">
        <f t="shared" si="49"/>
        <v/>
      </c>
      <c r="F116" s="31" t="str">
        <f t="shared" si="50"/>
        <v/>
      </c>
      <c r="G116" s="11" t="str">
        <f t="shared" si="51"/>
        <v/>
      </c>
      <c r="H116" s="11" t="str">
        <f t="shared" si="39"/>
        <v/>
      </c>
      <c r="I116" s="28" t="str">
        <f t="shared" si="52"/>
        <v/>
      </c>
      <c r="J116" s="8" t="str">
        <f t="shared" si="53"/>
        <v/>
      </c>
      <c r="K116" s="38" t="str">
        <f>IF(B116="","",IF($C$7="CAP",E116*F116*J116*NORMcall((B116-$C$2)/365,G116,I116,H116),E116*F116*J116*Normput((B116-$C$2)/365,G116,I116,H116)))</f>
        <v/>
      </c>
      <c r="M116" s="21"/>
      <c r="V116" s="21" t="str">
        <f t="shared" si="40"/>
        <v/>
      </c>
      <c r="W116" s="21" t="str">
        <f t="shared" si="41"/>
        <v/>
      </c>
      <c r="X116" s="21" t="str">
        <f t="shared" si="42"/>
        <v/>
      </c>
      <c r="Y116" s="1" t="str">
        <f t="shared" si="43"/>
        <v/>
      </c>
      <c r="Z116" s="1" t="str">
        <f t="shared" si="44"/>
        <v/>
      </c>
      <c r="AA116" s="26" t="str">
        <f t="shared" si="45"/>
        <v/>
      </c>
      <c r="AB116" s="11" t="str">
        <f t="shared" si="46"/>
        <v/>
      </c>
      <c r="AC116" s="28" t="str">
        <f>IF(V116="","",_xll.EpBsStandardSwaptionPrice($C$2,$O$2,W116,X116,Y116,Z116,AA116,AB116))</f>
        <v/>
      </c>
      <c r="AD116" s="28" t="str">
        <f>IF(V116="","",_xll.EpLgm1fStandardSwaptionPrice($C$2,$O$3,$O$2,W116,X116,Y116,Z116,AA116))</f>
        <v/>
      </c>
    </row>
    <row r="117" spans="2:30" x14ac:dyDescent="0.3">
      <c r="B117" s="97" t="str">
        <f t="shared" si="47"/>
        <v/>
      </c>
      <c r="C117" s="97" t="str">
        <f t="shared" si="54"/>
        <v/>
      </c>
      <c r="D117" s="97" t="str">
        <f t="shared" si="48"/>
        <v/>
      </c>
      <c r="E117" s="8" t="str">
        <f t="shared" si="49"/>
        <v/>
      </c>
      <c r="F117" s="31" t="str">
        <f t="shared" si="50"/>
        <v/>
      </c>
      <c r="G117" s="11" t="str">
        <f t="shared" si="51"/>
        <v/>
      </c>
      <c r="H117" s="11" t="str">
        <f t="shared" si="39"/>
        <v/>
      </c>
      <c r="I117" s="28" t="str">
        <f t="shared" si="52"/>
        <v/>
      </c>
      <c r="J117" s="8" t="str">
        <f t="shared" si="53"/>
        <v/>
      </c>
      <c r="K117" s="38" t="str">
        <f>IF(B117="","",IF($C$7="CAP",E117*F117*J117*NORMcall((B117-$C$2)/365,G117,I117,H117),E117*F117*J117*Normput((B117-$C$2)/365,G117,I117,H117)))</f>
        <v/>
      </c>
      <c r="M117" s="21"/>
      <c r="V117" s="21" t="str">
        <f t="shared" si="40"/>
        <v/>
      </c>
      <c r="W117" s="21" t="str">
        <f t="shared" si="41"/>
        <v/>
      </c>
      <c r="X117" s="21" t="str">
        <f t="shared" si="42"/>
        <v/>
      </c>
      <c r="Y117" s="1" t="str">
        <f t="shared" si="43"/>
        <v/>
      </c>
      <c r="Z117" s="1" t="str">
        <f t="shared" si="44"/>
        <v/>
      </c>
      <c r="AA117" s="26" t="str">
        <f t="shared" si="45"/>
        <v/>
      </c>
      <c r="AB117" s="11" t="str">
        <f t="shared" si="46"/>
        <v/>
      </c>
      <c r="AC117" s="28" t="str">
        <f>IF(V117="","",_xll.EpBsStandardSwaptionPrice($C$2,$O$2,W117,X117,Y117,Z117,AA117,AB117))</f>
        <v/>
      </c>
      <c r="AD117" s="28" t="str">
        <f>IF(V117="","",_xll.EpLgm1fStandardSwaptionPrice($C$2,$O$3,$O$2,W117,X117,Y117,Z117,AA117))</f>
        <v/>
      </c>
    </row>
    <row r="118" spans="2:30" x14ac:dyDescent="0.3">
      <c r="B118" s="97" t="str">
        <f t="shared" si="47"/>
        <v/>
      </c>
      <c r="C118" s="97" t="str">
        <f t="shared" si="54"/>
        <v/>
      </c>
      <c r="D118" s="97" t="str">
        <f t="shared" si="48"/>
        <v/>
      </c>
      <c r="E118" s="8" t="str">
        <f t="shared" si="49"/>
        <v/>
      </c>
      <c r="F118" s="31" t="str">
        <f t="shared" si="50"/>
        <v/>
      </c>
      <c r="G118" s="11" t="str">
        <f t="shared" si="51"/>
        <v/>
      </c>
      <c r="H118" s="11" t="str">
        <f t="shared" si="39"/>
        <v/>
      </c>
      <c r="I118" s="28" t="str">
        <f t="shared" si="52"/>
        <v/>
      </c>
      <c r="J118" s="8" t="str">
        <f t="shared" si="53"/>
        <v/>
      </c>
      <c r="K118" s="38" t="str">
        <f>IF(B118="","",IF($C$7="CAP",E118*F118*J118*NORMcall((B118-$C$2)/365,G118,I118,H118),E118*F118*J118*Normput((B118-$C$2)/365,G118,I118,H118)))</f>
        <v/>
      </c>
      <c r="M118" s="21"/>
      <c r="V118" s="21" t="str">
        <f t="shared" si="40"/>
        <v/>
      </c>
      <c r="W118" s="21" t="str">
        <f t="shared" si="41"/>
        <v/>
      </c>
      <c r="X118" s="21" t="str">
        <f t="shared" si="42"/>
        <v/>
      </c>
      <c r="Y118" s="1" t="str">
        <f t="shared" si="43"/>
        <v/>
      </c>
      <c r="Z118" s="1" t="str">
        <f t="shared" si="44"/>
        <v/>
      </c>
      <c r="AA118" s="26" t="str">
        <f t="shared" si="45"/>
        <v/>
      </c>
      <c r="AB118" s="11" t="str">
        <f t="shared" si="46"/>
        <v/>
      </c>
      <c r="AC118" s="28" t="str">
        <f>IF(V118="","",_xll.EpBsStandardSwaptionPrice($C$2,$O$2,W118,X118,Y118,Z118,AA118,AB118))</f>
        <v/>
      </c>
      <c r="AD118" s="28" t="str">
        <f>IF(V118="","",_xll.EpLgm1fStandardSwaptionPrice($C$2,$O$3,$O$2,W118,X118,Y118,Z118,AA118))</f>
        <v/>
      </c>
    </row>
    <row r="119" spans="2:30" x14ac:dyDescent="0.3">
      <c r="B119" s="97" t="str">
        <f t="shared" si="47"/>
        <v/>
      </c>
      <c r="C119" s="97" t="str">
        <f t="shared" si="54"/>
        <v/>
      </c>
      <c r="D119" s="97" t="str">
        <f t="shared" si="48"/>
        <v/>
      </c>
      <c r="E119" s="8" t="str">
        <f t="shared" si="49"/>
        <v/>
      </c>
      <c r="F119" s="31" t="str">
        <f t="shared" si="50"/>
        <v/>
      </c>
      <c r="G119" s="11" t="str">
        <f t="shared" si="51"/>
        <v/>
      </c>
      <c r="H119" s="11" t="str">
        <f t="shared" si="39"/>
        <v/>
      </c>
      <c r="I119" s="28" t="str">
        <f t="shared" si="52"/>
        <v/>
      </c>
      <c r="J119" s="8" t="str">
        <f t="shared" si="53"/>
        <v/>
      </c>
      <c r="K119" s="38" t="str">
        <f>IF(B119="","",IF($C$7="CAP",E119*F119*J119*NORMcall((B119-$C$2)/365,G119,I119,H119),E119*F119*J119*Normput((B119-$C$2)/365,G119,I119,H119)))</f>
        <v/>
      </c>
      <c r="M119" s="21"/>
      <c r="V119" s="21" t="str">
        <f t="shared" si="40"/>
        <v/>
      </c>
      <c r="W119" s="21" t="str">
        <f t="shared" si="41"/>
        <v/>
      </c>
      <c r="X119" s="21" t="str">
        <f t="shared" si="42"/>
        <v/>
      </c>
      <c r="Y119" s="1" t="str">
        <f t="shared" si="43"/>
        <v/>
      </c>
      <c r="Z119" s="1" t="str">
        <f t="shared" si="44"/>
        <v/>
      </c>
      <c r="AA119" s="26" t="str">
        <f t="shared" si="45"/>
        <v/>
      </c>
      <c r="AB119" s="11" t="str">
        <f t="shared" si="46"/>
        <v/>
      </c>
      <c r="AC119" s="28" t="str">
        <f>IF(V119="","",_xll.EpBsStandardSwaptionPrice($C$2,$O$2,W119,X119,Y119,Z119,AA119,AB119))</f>
        <v/>
      </c>
      <c r="AD119" s="28" t="str">
        <f>IF(V119="","",_xll.EpLgm1fStandardSwaptionPrice($C$2,$O$3,$O$2,W119,X119,Y119,Z119,AA119))</f>
        <v/>
      </c>
    </row>
    <row r="120" spans="2:30" x14ac:dyDescent="0.3">
      <c r="B120" s="97" t="str">
        <f t="shared" si="47"/>
        <v/>
      </c>
      <c r="C120" s="97" t="str">
        <f t="shared" si="54"/>
        <v/>
      </c>
      <c r="D120" s="97" t="str">
        <f t="shared" si="48"/>
        <v/>
      </c>
      <c r="E120" s="8" t="str">
        <f t="shared" si="49"/>
        <v/>
      </c>
      <c r="F120" s="31" t="str">
        <f t="shared" si="50"/>
        <v/>
      </c>
      <c r="G120" s="11" t="str">
        <f t="shared" si="51"/>
        <v/>
      </c>
      <c r="H120" s="11" t="str">
        <f t="shared" si="39"/>
        <v/>
      </c>
      <c r="I120" s="28" t="str">
        <f t="shared" si="52"/>
        <v/>
      </c>
      <c r="J120" s="8" t="str">
        <f t="shared" si="53"/>
        <v/>
      </c>
      <c r="K120" s="38" t="str">
        <f>IF(B120="","",IF($C$7="CAP",E120*F120*J120*NORMcall((B120-$C$2)/365,G120,I120,H120),E120*F120*J120*Normput((B120-$C$2)/365,G120,I120,H120)))</f>
        <v/>
      </c>
      <c r="M120" s="21"/>
      <c r="V120" s="21" t="str">
        <f t="shared" si="40"/>
        <v/>
      </c>
      <c r="W120" s="21" t="str">
        <f t="shared" si="41"/>
        <v/>
      </c>
      <c r="X120" s="21" t="str">
        <f t="shared" si="42"/>
        <v/>
      </c>
      <c r="Y120" s="1" t="str">
        <f t="shared" si="43"/>
        <v/>
      </c>
      <c r="Z120" s="1" t="str">
        <f t="shared" si="44"/>
        <v/>
      </c>
      <c r="AA120" s="26" t="str">
        <f t="shared" si="45"/>
        <v/>
      </c>
      <c r="AB120" s="11" t="str">
        <f t="shared" si="46"/>
        <v/>
      </c>
      <c r="AC120" s="28" t="str">
        <f>IF(V120="","",_xll.EpBsStandardSwaptionPrice($C$2,$O$2,W120,X120,Y120,Z120,AA120,AB120))</f>
        <v/>
      </c>
      <c r="AD120" s="28" t="str">
        <f>IF(V120="","",_xll.EpLgm1fStandardSwaptionPrice($C$2,$O$3,$O$2,W120,X120,Y120,Z120,AA120))</f>
        <v/>
      </c>
    </row>
    <row r="121" spans="2:30" x14ac:dyDescent="0.3">
      <c r="B121" s="97" t="str">
        <f t="shared" si="47"/>
        <v/>
      </c>
      <c r="C121" s="97" t="str">
        <f t="shared" si="54"/>
        <v/>
      </c>
      <c r="D121" s="97" t="str">
        <f t="shared" si="48"/>
        <v/>
      </c>
      <c r="E121" s="8" t="str">
        <f t="shared" si="49"/>
        <v/>
      </c>
      <c r="F121" s="31" t="str">
        <f t="shared" si="50"/>
        <v/>
      </c>
      <c r="G121" s="11" t="str">
        <f t="shared" si="51"/>
        <v/>
      </c>
      <c r="H121" s="11" t="str">
        <f t="shared" si="39"/>
        <v/>
      </c>
      <c r="I121" s="28" t="str">
        <f t="shared" si="52"/>
        <v/>
      </c>
      <c r="J121" s="8" t="str">
        <f t="shared" si="53"/>
        <v/>
      </c>
      <c r="K121" s="38" t="str">
        <f>IF(B121="","",IF($C$7="CAP",E121*F121*J121*NORMcall((B121-$C$2)/365,G121,I121,H121),E121*F121*J121*Normput((B121-$C$2)/365,G121,I121,H121)))</f>
        <v/>
      </c>
      <c r="M121" s="21"/>
      <c r="V121" s="21" t="str">
        <f t="shared" si="40"/>
        <v/>
      </c>
      <c r="W121" s="21" t="str">
        <f t="shared" si="41"/>
        <v/>
      </c>
      <c r="X121" s="21" t="str">
        <f t="shared" si="42"/>
        <v/>
      </c>
      <c r="Y121" s="1" t="str">
        <f t="shared" si="43"/>
        <v/>
      </c>
      <c r="Z121" s="1" t="str">
        <f t="shared" si="44"/>
        <v/>
      </c>
      <c r="AA121" s="26" t="str">
        <f t="shared" si="45"/>
        <v/>
      </c>
      <c r="AB121" s="11" t="str">
        <f t="shared" si="46"/>
        <v/>
      </c>
      <c r="AC121" s="28" t="str">
        <f>IF(V121="","",_xll.EpBsStandardSwaptionPrice($C$2,$O$2,W121,X121,Y121,Z121,AA121,AB121))</f>
        <v/>
      </c>
      <c r="AD121" s="28" t="str">
        <f>IF(V121="","",_xll.EpLgm1fStandardSwaptionPrice($C$2,$O$3,$O$2,W121,X121,Y121,Z121,AA121))</f>
        <v/>
      </c>
    </row>
    <row r="122" spans="2:30" x14ac:dyDescent="0.3">
      <c r="B122" s="97" t="str">
        <f t="shared" si="47"/>
        <v/>
      </c>
      <c r="C122" s="97" t="str">
        <f t="shared" si="54"/>
        <v/>
      </c>
      <c r="D122" s="97" t="str">
        <f t="shared" si="48"/>
        <v/>
      </c>
      <c r="E122" s="8" t="str">
        <f t="shared" si="49"/>
        <v/>
      </c>
      <c r="F122" s="31" t="str">
        <f t="shared" si="50"/>
        <v/>
      </c>
      <c r="G122" s="11" t="str">
        <f t="shared" si="51"/>
        <v/>
      </c>
      <c r="H122" s="11" t="str">
        <f t="shared" si="39"/>
        <v/>
      </c>
      <c r="I122" s="28" t="str">
        <f t="shared" si="52"/>
        <v/>
      </c>
      <c r="J122" s="8" t="str">
        <f t="shared" si="53"/>
        <v/>
      </c>
      <c r="K122" s="38" t="str">
        <f>IF(B122="","",IF($C$7="CAP",E122*F122*J122*NORMcall((B122-$C$2)/365,G122,I122,H122),E122*F122*J122*Normput((B122-$C$2)/365,G122,I122,H122)))</f>
        <v/>
      </c>
      <c r="M122" s="21"/>
      <c r="V122" s="21" t="str">
        <f t="shared" si="40"/>
        <v/>
      </c>
      <c r="W122" s="21" t="str">
        <f t="shared" si="41"/>
        <v/>
      </c>
      <c r="X122" s="21" t="str">
        <f t="shared" si="42"/>
        <v/>
      </c>
      <c r="Y122" s="1" t="str">
        <f t="shared" si="43"/>
        <v/>
      </c>
      <c r="Z122" s="1" t="str">
        <f t="shared" si="44"/>
        <v/>
      </c>
      <c r="AA122" s="26" t="str">
        <f t="shared" si="45"/>
        <v/>
      </c>
      <c r="AB122" s="11" t="str">
        <f t="shared" si="46"/>
        <v/>
      </c>
      <c r="AC122" s="28" t="str">
        <f>IF(V122="","",_xll.EpBsStandardSwaptionPrice($C$2,$O$2,W122,X122,Y122,Z122,AA122,AB122))</f>
        <v/>
      </c>
      <c r="AD122" s="28" t="str">
        <f>IF(V122="","",_xll.EpLgm1fStandardSwaptionPrice($C$2,$O$3,$O$2,W122,X122,Y122,Z122,AA122))</f>
        <v/>
      </c>
    </row>
    <row r="123" spans="2:30" x14ac:dyDescent="0.3">
      <c r="B123" s="97" t="str">
        <f t="shared" si="47"/>
        <v/>
      </c>
      <c r="C123" s="97" t="str">
        <f t="shared" si="54"/>
        <v/>
      </c>
      <c r="D123" s="97" t="str">
        <f t="shared" si="48"/>
        <v/>
      </c>
      <c r="E123" s="8" t="str">
        <f t="shared" si="49"/>
        <v/>
      </c>
      <c r="F123" s="31" t="str">
        <f t="shared" si="50"/>
        <v/>
      </c>
      <c r="G123" s="11" t="str">
        <f t="shared" si="51"/>
        <v/>
      </c>
      <c r="H123" s="11" t="str">
        <f t="shared" si="39"/>
        <v/>
      </c>
      <c r="I123" s="28" t="str">
        <f t="shared" si="52"/>
        <v/>
      </c>
      <c r="J123" s="8" t="str">
        <f t="shared" si="53"/>
        <v/>
      </c>
      <c r="K123" s="38" t="str">
        <f>IF(B123="","",IF($C$7="CAP",E123*F123*J123*NORMcall((B123-$C$2)/365,G123,I123,H123),E123*F123*J123*Normput((B123-$C$2)/365,G123,I123,H123)))</f>
        <v/>
      </c>
      <c r="M123" s="21"/>
      <c r="V123" s="21" t="str">
        <f t="shared" si="40"/>
        <v/>
      </c>
      <c r="W123" s="21" t="str">
        <f t="shared" si="41"/>
        <v/>
      </c>
      <c r="X123" s="21" t="str">
        <f t="shared" si="42"/>
        <v/>
      </c>
      <c r="Y123" s="1" t="str">
        <f t="shared" si="43"/>
        <v/>
      </c>
      <c r="Z123" s="1" t="str">
        <f t="shared" si="44"/>
        <v/>
      </c>
      <c r="AA123" s="26" t="str">
        <f t="shared" si="45"/>
        <v/>
      </c>
      <c r="AB123" s="11" t="str">
        <f t="shared" si="46"/>
        <v/>
      </c>
      <c r="AC123" s="28" t="str">
        <f>IF(V123="","",_xll.EpBsStandardSwaptionPrice($C$2,$O$2,W123,X123,Y123,Z123,AA123,AB123))</f>
        <v/>
      </c>
      <c r="AD123" s="28" t="str">
        <f>IF(V123="","",_xll.EpLgm1fStandardSwaptionPrice($C$2,$O$3,$O$2,W123,X123,Y123,Z123,AA123))</f>
        <v/>
      </c>
    </row>
    <row r="124" spans="2:30" x14ac:dyDescent="0.3">
      <c r="B124" s="97" t="str">
        <f t="shared" si="47"/>
        <v/>
      </c>
      <c r="C124" s="97" t="str">
        <f t="shared" si="54"/>
        <v/>
      </c>
      <c r="D124" s="97" t="str">
        <f t="shared" si="48"/>
        <v/>
      </c>
      <c r="E124" s="8" t="str">
        <f t="shared" si="49"/>
        <v/>
      </c>
      <c r="F124" s="31" t="str">
        <f t="shared" si="50"/>
        <v/>
      </c>
      <c r="G124" s="11" t="str">
        <f t="shared" si="51"/>
        <v/>
      </c>
      <c r="H124" s="11" t="str">
        <f t="shared" si="39"/>
        <v/>
      </c>
      <c r="I124" s="28" t="str">
        <f t="shared" si="52"/>
        <v/>
      </c>
      <c r="J124" s="8" t="str">
        <f t="shared" si="53"/>
        <v/>
      </c>
      <c r="K124" s="38" t="str">
        <f>IF(B124="","",IF($C$7="CAP",E124*F124*J124*NORMcall((B124-$C$2)/365,G124,I124,H124),E124*F124*J124*Normput((B124-$C$2)/365,G124,I124,H124)))</f>
        <v/>
      </c>
      <c r="M124" s="21"/>
      <c r="V124" s="21" t="str">
        <f t="shared" si="40"/>
        <v/>
      </c>
      <c r="W124" s="21" t="str">
        <f t="shared" si="41"/>
        <v/>
      </c>
      <c r="X124" s="21" t="str">
        <f t="shared" si="42"/>
        <v/>
      </c>
      <c r="Y124" s="1" t="str">
        <f t="shared" si="43"/>
        <v/>
      </c>
      <c r="Z124" s="1" t="str">
        <f t="shared" si="44"/>
        <v/>
      </c>
      <c r="AA124" s="26" t="str">
        <f t="shared" si="45"/>
        <v/>
      </c>
      <c r="AB124" s="11" t="str">
        <f t="shared" si="46"/>
        <v/>
      </c>
      <c r="AC124" s="28" t="str">
        <f>IF(V124="","",_xll.EpBsStandardSwaptionPrice($C$2,$O$2,W124,X124,Y124,Z124,AA124,AB124))</f>
        <v/>
      </c>
      <c r="AD124" s="28" t="str">
        <f>IF(V124="","",_xll.EpLgm1fStandardSwaptionPrice($C$2,$O$3,$O$2,W124,X124,Y124,Z124,AA124))</f>
        <v/>
      </c>
    </row>
    <row r="125" spans="2:30" x14ac:dyDescent="0.3">
      <c r="B125" s="97" t="str">
        <f t="shared" si="47"/>
        <v/>
      </c>
      <c r="C125" s="97" t="str">
        <f t="shared" si="54"/>
        <v/>
      </c>
      <c r="D125" s="97" t="str">
        <f t="shared" si="48"/>
        <v/>
      </c>
      <c r="E125" s="8" t="str">
        <f t="shared" si="49"/>
        <v/>
      </c>
      <c r="F125" s="31" t="str">
        <f t="shared" si="50"/>
        <v/>
      </c>
      <c r="G125" s="11" t="str">
        <f t="shared" si="51"/>
        <v/>
      </c>
      <c r="H125" s="11" t="str">
        <f t="shared" si="39"/>
        <v/>
      </c>
      <c r="I125" s="28" t="str">
        <f t="shared" si="52"/>
        <v/>
      </c>
      <c r="J125" s="8" t="str">
        <f t="shared" si="53"/>
        <v/>
      </c>
      <c r="K125" s="38" t="str">
        <f>IF(B125="","",IF($C$7="CAP",E125*F125*J125*NORMcall((B125-$C$2)/365,G125,I125,H125),E125*F125*J125*Normput((B125-$C$2)/365,G125,I125,H125)))</f>
        <v/>
      </c>
      <c r="M125" s="21"/>
      <c r="V125" s="21" t="str">
        <f t="shared" si="40"/>
        <v/>
      </c>
      <c r="W125" s="21" t="str">
        <f t="shared" si="41"/>
        <v/>
      </c>
      <c r="X125" s="21" t="str">
        <f t="shared" si="42"/>
        <v/>
      </c>
      <c r="Y125" s="1" t="str">
        <f t="shared" si="43"/>
        <v/>
      </c>
      <c r="Z125" s="1" t="str">
        <f t="shared" si="44"/>
        <v/>
      </c>
      <c r="AA125" s="26" t="str">
        <f t="shared" si="45"/>
        <v/>
      </c>
      <c r="AB125" s="11" t="str">
        <f t="shared" si="46"/>
        <v/>
      </c>
      <c r="AC125" s="28" t="str">
        <f>IF(V125="","",_xll.EpBsStandardSwaptionPrice($C$2,$O$2,W125,X125,Y125,Z125,AA125,AB125))</f>
        <v/>
      </c>
      <c r="AD125" s="28" t="str">
        <f>IF(V125="","",_xll.EpLgm1fStandardSwaptionPrice($C$2,$O$3,$O$2,W125,X125,Y125,Z125,AA125))</f>
        <v/>
      </c>
    </row>
    <row r="126" spans="2:30" x14ac:dyDescent="0.3">
      <c r="B126" s="97" t="str">
        <f t="shared" si="47"/>
        <v/>
      </c>
      <c r="C126" s="97" t="str">
        <f t="shared" si="54"/>
        <v/>
      </c>
      <c r="D126" s="97" t="str">
        <f t="shared" si="48"/>
        <v/>
      </c>
      <c r="E126" s="8" t="str">
        <f t="shared" si="49"/>
        <v/>
      </c>
      <c r="F126" s="31" t="str">
        <f t="shared" si="50"/>
        <v/>
      </c>
      <c r="G126" s="11" t="str">
        <f t="shared" si="51"/>
        <v/>
      </c>
      <c r="H126" s="11" t="str">
        <f t="shared" si="39"/>
        <v/>
      </c>
      <c r="I126" s="28" t="str">
        <f t="shared" si="52"/>
        <v/>
      </c>
      <c r="J126" s="8" t="str">
        <f t="shared" si="53"/>
        <v/>
      </c>
      <c r="K126" s="38" t="str">
        <f>IF(B126="","",IF($C$7="CAP",E126*F126*J126*NORMcall((B126-$C$2)/365,G126,I126,H126),E126*F126*J126*Normput((B126-$C$2)/365,G126,I126,H126)))</f>
        <v/>
      </c>
      <c r="M126" s="21"/>
      <c r="V126" s="21" t="str">
        <f t="shared" si="40"/>
        <v/>
      </c>
      <c r="W126" s="21" t="str">
        <f t="shared" si="41"/>
        <v/>
      </c>
      <c r="X126" s="21" t="str">
        <f t="shared" si="42"/>
        <v/>
      </c>
      <c r="Y126" s="1" t="str">
        <f t="shared" si="43"/>
        <v/>
      </c>
      <c r="Z126" s="1" t="str">
        <f t="shared" si="44"/>
        <v/>
      </c>
      <c r="AA126" s="26" t="str">
        <f t="shared" si="45"/>
        <v/>
      </c>
      <c r="AB126" s="11" t="str">
        <f t="shared" si="46"/>
        <v/>
      </c>
      <c r="AC126" s="28" t="str">
        <f>IF(V126="","",_xll.EpBsStandardSwaptionPrice($C$2,$O$2,W126,X126,Y126,Z126,AA126,AB126))</f>
        <v/>
      </c>
      <c r="AD126" s="28" t="str">
        <f>IF(V126="","",_xll.EpLgm1fStandardSwaptionPrice($C$2,$O$3,$O$2,W126,X126,Y126,Z126,AA126))</f>
        <v/>
      </c>
    </row>
    <row r="127" spans="2:30" x14ac:dyDescent="0.3">
      <c r="B127" s="97" t="str">
        <f t="shared" si="47"/>
        <v/>
      </c>
      <c r="C127" s="97" t="str">
        <f t="shared" si="54"/>
        <v/>
      </c>
      <c r="D127" s="97" t="str">
        <f t="shared" si="48"/>
        <v/>
      </c>
      <c r="E127" s="8" t="str">
        <f t="shared" si="49"/>
        <v/>
      </c>
      <c r="F127" s="31" t="str">
        <f t="shared" si="50"/>
        <v/>
      </c>
      <c r="G127" s="11" t="str">
        <f t="shared" si="51"/>
        <v/>
      </c>
      <c r="H127" s="11" t="str">
        <f t="shared" si="39"/>
        <v/>
      </c>
      <c r="I127" s="28" t="str">
        <f t="shared" si="52"/>
        <v/>
      </c>
      <c r="J127" s="8" t="str">
        <f t="shared" si="53"/>
        <v/>
      </c>
      <c r="K127" s="38" t="str">
        <f>IF(B127="","",IF($C$7="CAP",E127*F127*J127*NORMcall((B127-$C$2)/365,G127,I127,H127),E127*F127*J127*Normput((B127-$C$2)/365,G127,I127,H127)))</f>
        <v/>
      </c>
      <c r="M127" s="21"/>
      <c r="V127" s="21" t="str">
        <f t="shared" si="40"/>
        <v/>
      </c>
      <c r="W127" s="21" t="str">
        <f t="shared" si="41"/>
        <v/>
      </c>
      <c r="X127" s="21" t="str">
        <f t="shared" si="42"/>
        <v/>
      </c>
      <c r="Y127" s="1" t="str">
        <f t="shared" si="43"/>
        <v/>
      </c>
      <c r="Z127" s="1" t="str">
        <f t="shared" si="44"/>
        <v/>
      </c>
      <c r="AA127" s="26" t="str">
        <f t="shared" si="45"/>
        <v/>
      </c>
      <c r="AB127" s="11" t="str">
        <f t="shared" si="46"/>
        <v/>
      </c>
      <c r="AC127" s="28" t="str">
        <f>IF(V127="","",_xll.EpBsStandardSwaptionPrice($C$2,$O$2,W127,X127,Y127,Z127,AA127,AB127))</f>
        <v/>
      </c>
      <c r="AD127" s="28" t="str">
        <f>IF(V127="","",_xll.EpLgm1fStandardSwaptionPrice($C$2,$O$3,$O$2,W127,X127,Y127,Z127,AA127))</f>
        <v/>
      </c>
    </row>
    <row r="128" spans="2:30" x14ac:dyDescent="0.3">
      <c r="B128" s="97" t="str">
        <f t="shared" si="47"/>
        <v/>
      </c>
      <c r="C128" s="97" t="str">
        <f t="shared" si="54"/>
        <v/>
      </c>
      <c r="D128" s="97" t="str">
        <f t="shared" si="48"/>
        <v/>
      </c>
      <c r="E128" s="8" t="str">
        <f t="shared" si="49"/>
        <v/>
      </c>
      <c r="F128" s="31" t="str">
        <f t="shared" si="50"/>
        <v/>
      </c>
      <c r="G128" s="11" t="str">
        <f t="shared" si="51"/>
        <v/>
      </c>
      <c r="H128" s="11" t="str">
        <f t="shared" si="39"/>
        <v/>
      </c>
      <c r="I128" s="28" t="str">
        <f t="shared" si="52"/>
        <v/>
      </c>
      <c r="J128" s="8" t="str">
        <f t="shared" si="53"/>
        <v/>
      </c>
      <c r="K128" s="38" t="str">
        <f>IF(B128="","",IF($C$7="CAP",E128*F128*J128*NORMcall((B128-$C$2)/365,G128,I128,H128),E128*F128*J128*Normput((B128-$C$2)/365,G128,I128,H128)))</f>
        <v/>
      </c>
      <c r="M128" s="21"/>
      <c r="V128" s="21" t="str">
        <f t="shared" si="40"/>
        <v/>
      </c>
      <c r="W128" s="21" t="str">
        <f t="shared" si="41"/>
        <v/>
      </c>
      <c r="X128" s="21" t="str">
        <f t="shared" si="42"/>
        <v/>
      </c>
      <c r="Y128" s="1" t="str">
        <f t="shared" si="43"/>
        <v/>
      </c>
      <c r="Z128" s="1" t="str">
        <f t="shared" si="44"/>
        <v/>
      </c>
      <c r="AA128" s="26" t="str">
        <f t="shared" si="45"/>
        <v/>
      </c>
      <c r="AB128" s="11" t="str">
        <f t="shared" si="46"/>
        <v/>
      </c>
      <c r="AC128" s="28" t="str">
        <f>IF(V128="","",_xll.EpBsStandardSwaptionPrice($C$2,$O$2,W128,X128,Y128,Z128,AA128,AB128))</f>
        <v/>
      </c>
      <c r="AD128" s="28" t="str">
        <f>IF(V128="","",_xll.EpLgm1fStandardSwaptionPrice($C$2,$O$3,$O$2,W128,X128,Y128,Z128,AA128))</f>
        <v/>
      </c>
    </row>
    <row r="129" spans="2:30" x14ac:dyDescent="0.3">
      <c r="B129" s="97" t="str">
        <f t="shared" si="47"/>
        <v/>
      </c>
      <c r="C129" s="97" t="str">
        <f t="shared" si="54"/>
        <v/>
      </c>
      <c r="D129" s="97" t="str">
        <f t="shared" si="48"/>
        <v/>
      </c>
      <c r="E129" s="8" t="str">
        <f t="shared" si="49"/>
        <v/>
      </c>
      <c r="F129" s="31" t="str">
        <f t="shared" si="50"/>
        <v/>
      </c>
      <c r="G129" s="11" t="str">
        <f t="shared" si="51"/>
        <v/>
      </c>
      <c r="H129" s="11" t="str">
        <f t="shared" si="39"/>
        <v/>
      </c>
      <c r="I129" s="28" t="str">
        <f t="shared" si="52"/>
        <v/>
      </c>
      <c r="J129" s="8" t="str">
        <f t="shared" si="53"/>
        <v/>
      </c>
      <c r="K129" s="38" t="str">
        <f>IF(B129="","",IF($C$7="CAP",E129*F129*J129*NORMcall((B129-$C$2)/365,G129,I129,H129),E129*F129*J129*Normput((B129-$C$2)/365,G129,I129,H129)))</f>
        <v/>
      </c>
      <c r="M129" s="21"/>
      <c r="V129" s="21" t="str">
        <f t="shared" si="40"/>
        <v/>
      </c>
      <c r="W129" s="21" t="str">
        <f t="shared" si="41"/>
        <v/>
      </c>
      <c r="X129" s="21" t="str">
        <f t="shared" si="42"/>
        <v/>
      </c>
      <c r="Y129" s="1" t="str">
        <f t="shared" si="43"/>
        <v/>
      </c>
      <c r="Z129" s="1" t="str">
        <f t="shared" si="44"/>
        <v/>
      </c>
      <c r="AA129" s="26" t="str">
        <f t="shared" si="45"/>
        <v/>
      </c>
      <c r="AB129" s="11" t="str">
        <f t="shared" si="46"/>
        <v/>
      </c>
      <c r="AC129" s="28" t="str">
        <f>IF(V129="","",_xll.EpBsStandardSwaptionPrice($C$2,$O$2,W129,X129,Y129,Z129,AA129,AB129))</f>
        <v/>
      </c>
      <c r="AD129" s="28" t="str">
        <f>IF(V129="","",_xll.EpLgm1fStandardSwaptionPrice($C$2,$O$3,$O$2,W129,X129,Y129,Z129,AA129))</f>
        <v/>
      </c>
    </row>
    <row r="130" spans="2:30" x14ac:dyDescent="0.3">
      <c r="B130" s="97" t="str">
        <f t="shared" si="47"/>
        <v/>
      </c>
      <c r="C130" s="97" t="str">
        <f t="shared" si="54"/>
        <v/>
      </c>
      <c r="D130" s="97" t="str">
        <f t="shared" si="48"/>
        <v/>
      </c>
      <c r="E130" s="8" t="str">
        <f t="shared" si="49"/>
        <v/>
      </c>
      <c r="F130" s="31" t="str">
        <f t="shared" si="50"/>
        <v/>
      </c>
      <c r="G130" s="11" t="str">
        <f t="shared" si="51"/>
        <v/>
      </c>
      <c r="H130" s="11" t="str">
        <f t="shared" si="39"/>
        <v/>
      </c>
      <c r="I130" s="28" t="str">
        <f t="shared" si="52"/>
        <v/>
      </c>
      <c r="J130" s="8" t="str">
        <f t="shared" si="53"/>
        <v/>
      </c>
      <c r="K130" s="38" t="str">
        <f>IF(B130="","",IF($C$7="CAP",E130*F130*J130*NORMcall((B130-$C$2)/365,G130,I130,H130),E130*F130*J130*Normput((B130-$C$2)/365,G130,I130,H130)))</f>
        <v/>
      </c>
      <c r="M130" s="21"/>
      <c r="V130" s="21" t="str">
        <f t="shared" si="40"/>
        <v/>
      </c>
      <c r="W130" s="21" t="str">
        <f t="shared" si="41"/>
        <v/>
      </c>
      <c r="X130" s="21" t="str">
        <f t="shared" si="42"/>
        <v/>
      </c>
      <c r="Y130" s="1" t="str">
        <f t="shared" si="43"/>
        <v/>
      </c>
      <c r="Z130" s="1" t="str">
        <f t="shared" si="44"/>
        <v/>
      </c>
      <c r="AA130" s="26" t="str">
        <f t="shared" si="45"/>
        <v/>
      </c>
      <c r="AB130" s="11" t="str">
        <f t="shared" si="46"/>
        <v/>
      </c>
      <c r="AC130" s="28" t="str">
        <f>IF(V130="","",_xll.EpBsStandardSwaptionPrice($C$2,$O$2,W130,X130,Y130,Z130,AA130,AB130))</f>
        <v/>
      </c>
      <c r="AD130" s="28" t="str">
        <f>IF(V130="","",_xll.EpLgm1fStandardSwaptionPrice($C$2,$O$3,$O$2,W130,X130,Y130,Z130,AA130))</f>
        <v/>
      </c>
    </row>
    <row r="131" spans="2:30" x14ac:dyDescent="0.3">
      <c r="B131" s="97" t="str">
        <f t="shared" si="47"/>
        <v/>
      </c>
      <c r="C131" s="97" t="str">
        <f t="shared" si="54"/>
        <v/>
      </c>
      <c r="D131" s="97" t="str">
        <f t="shared" si="48"/>
        <v/>
      </c>
      <c r="E131" s="8" t="str">
        <f t="shared" si="49"/>
        <v/>
      </c>
      <c r="F131" s="31" t="str">
        <f t="shared" si="50"/>
        <v/>
      </c>
      <c r="G131" s="11" t="str">
        <f t="shared" si="51"/>
        <v/>
      </c>
      <c r="H131" s="11" t="str">
        <f t="shared" si="39"/>
        <v/>
      </c>
      <c r="I131" s="28" t="str">
        <f t="shared" si="52"/>
        <v/>
      </c>
      <c r="J131" s="8" t="str">
        <f t="shared" si="53"/>
        <v/>
      </c>
      <c r="K131" s="38" t="str">
        <f>IF(B131="","",IF($C$7="CAP",E131*F131*J131*NORMcall((B131-$C$2)/365,G131,I131,H131),E131*F131*J131*Normput((B131-$C$2)/365,G131,I131,H131)))</f>
        <v/>
      </c>
      <c r="M131" s="21"/>
      <c r="V131" s="21" t="str">
        <f t="shared" si="40"/>
        <v/>
      </c>
      <c r="W131" s="21" t="str">
        <f t="shared" si="41"/>
        <v/>
      </c>
      <c r="X131" s="21" t="str">
        <f t="shared" si="42"/>
        <v/>
      </c>
      <c r="Y131" s="1" t="str">
        <f t="shared" si="43"/>
        <v/>
      </c>
      <c r="Z131" s="1" t="str">
        <f t="shared" si="44"/>
        <v/>
      </c>
      <c r="AA131" s="26" t="str">
        <f t="shared" si="45"/>
        <v/>
      </c>
      <c r="AB131" s="11" t="str">
        <f t="shared" si="46"/>
        <v/>
      </c>
      <c r="AC131" s="28" t="str">
        <f>IF(V131="","",_xll.EpBsStandardSwaptionPrice($C$2,$O$2,W131,X131,Y131,Z131,AA131,AB131))</f>
        <v/>
      </c>
      <c r="AD131" s="28" t="str">
        <f>IF(V131="","",_xll.EpLgm1fStandardSwaptionPrice($C$2,$O$3,$O$2,W131,X131,Y131,Z131,AA131))</f>
        <v/>
      </c>
    </row>
    <row r="132" spans="2:30" x14ac:dyDescent="0.3">
      <c r="B132" s="97" t="str">
        <f t="shared" si="47"/>
        <v/>
      </c>
      <c r="C132" s="97" t="str">
        <f t="shared" si="54"/>
        <v/>
      </c>
      <c r="D132" s="97" t="str">
        <f t="shared" si="48"/>
        <v/>
      </c>
      <c r="E132" s="8" t="str">
        <f t="shared" si="49"/>
        <v/>
      </c>
      <c r="F132" s="31" t="str">
        <f t="shared" si="50"/>
        <v/>
      </c>
      <c r="G132" s="11" t="str">
        <f t="shared" si="51"/>
        <v/>
      </c>
      <c r="H132" s="11" t="str">
        <f t="shared" si="39"/>
        <v/>
      </c>
      <c r="I132" s="28" t="str">
        <f t="shared" si="52"/>
        <v/>
      </c>
      <c r="J132" s="8" t="str">
        <f t="shared" si="53"/>
        <v/>
      </c>
      <c r="K132" s="38" t="str">
        <f>IF(B132="","",IF($C$7="CAP",E132*F132*J132*NORMcall((B132-$C$2)/365,G132,I132,H132),E132*F132*J132*Normput((B132-$C$2)/365,G132,I132,H132)))</f>
        <v/>
      </c>
      <c r="M132" s="21"/>
      <c r="V132" s="21" t="str">
        <f t="shared" si="40"/>
        <v/>
      </c>
      <c r="W132" s="21" t="str">
        <f t="shared" si="41"/>
        <v/>
      </c>
      <c r="X132" s="21" t="str">
        <f t="shared" si="42"/>
        <v/>
      </c>
      <c r="Y132" s="1" t="str">
        <f t="shared" si="43"/>
        <v/>
      </c>
      <c r="Z132" s="1" t="str">
        <f t="shared" si="44"/>
        <v/>
      </c>
      <c r="AA132" s="26" t="str">
        <f t="shared" si="45"/>
        <v/>
      </c>
      <c r="AB132" s="11" t="str">
        <f t="shared" si="46"/>
        <v/>
      </c>
      <c r="AC132" s="28" t="str">
        <f>IF(V132="","",_xll.EpBsStandardSwaptionPrice($C$2,$O$2,W132,X132,Y132,Z132,AA132,AB132))</f>
        <v/>
      </c>
      <c r="AD132" s="28" t="str">
        <f>IF(V132="","",_xll.EpLgm1fStandardSwaptionPrice($C$2,$O$3,$O$2,W132,X132,Y132,Z132,AA132))</f>
        <v/>
      </c>
    </row>
    <row r="133" spans="2:30" x14ac:dyDescent="0.3">
      <c r="B133" s="97" t="str">
        <f t="shared" si="47"/>
        <v/>
      </c>
      <c r="C133" s="97" t="str">
        <f t="shared" si="54"/>
        <v/>
      </c>
      <c r="D133" s="97" t="str">
        <f t="shared" si="48"/>
        <v/>
      </c>
      <c r="E133" s="8" t="str">
        <f t="shared" si="49"/>
        <v/>
      </c>
      <c r="F133" s="31" t="str">
        <f t="shared" si="50"/>
        <v/>
      </c>
      <c r="G133" s="11" t="str">
        <f t="shared" si="51"/>
        <v/>
      </c>
      <c r="H133" s="11" t="str">
        <f t="shared" si="39"/>
        <v/>
      </c>
      <c r="I133" s="28" t="str">
        <f t="shared" si="52"/>
        <v/>
      </c>
      <c r="J133" s="8" t="str">
        <f t="shared" si="53"/>
        <v/>
      </c>
      <c r="K133" s="38" t="str">
        <f>IF(B133="","",IF($C$7="CAP",E133*F133*J133*NORMcall((B133-$C$2)/365,G133,I133,H133),E133*F133*J133*Normput((B133-$C$2)/365,G133,I133,H133)))</f>
        <v/>
      </c>
      <c r="M133" s="21"/>
      <c r="V133" s="21" t="str">
        <f t="shared" si="40"/>
        <v/>
      </c>
      <c r="W133" s="21" t="str">
        <f t="shared" si="41"/>
        <v/>
      </c>
      <c r="X133" s="21" t="str">
        <f t="shared" si="42"/>
        <v/>
      </c>
      <c r="Y133" s="1" t="str">
        <f t="shared" si="43"/>
        <v/>
      </c>
      <c r="Z133" s="1" t="str">
        <f t="shared" si="44"/>
        <v/>
      </c>
      <c r="AA133" s="26" t="str">
        <f t="shared" si="45"/>
        <v/>
      </c>
      <c r="AB133" s="11" t="str">
        <f t="shared" si="46"/>
        <v/>
      </c>
      <c r="AC133" s="28" t="str">
        <f>IF(V133="","",_xll.EpBsStandardSwaptionPrice($C$2,$O$2,W133,X133,Y133,Z133,AA133,AB133))</f>
        <v/>
      </c>
      <c r="AD133" s="28" t="str">
        <f>IF(V133="","",_xll.EpLgm1fStandardSwaptionPrice($C$2,$O$3,$O$2,W133,X133,Y133,Z133,AA133))</f>
        <v/>
      </c>
    </row>
    <row r="134" spans="2:30" x14ac:dyDescent="0.3">
      <c r="B134" s="97" t="str">
        <f t="shared" si="47"/>
        <v/>
      </c>
      <c r="C134" s="97" t="str">
        <f t="shared" si="54"/>
        <v/>
      </c>
      <c r="D134" s="97" t="str">
        <f t="shared" si="48"/>
        <v/>
      </c>
      <c r="E134" s="8" t="str">
        <f t="shared" si="49"/>
        <v/>
      </c>
      <c r="F134" s="31" t="str">
        <f t="shared" si="50"/>
        <v/>
      </c>
      <c r="G134" s="11" t="str">
        <f t="shared" si="51"/>
        <v/>
      </c>
      <c r="H134" s="11" t="str">
        <f t="shared" si="39"/>
        <v/>
      </c>
      <c r="I134" s="28" t="str">
        <f t="shared" si="52"/>
        <v/>
      </c>
      <c r="J134" s="8" t="str">
        <f t="shared" si="53"/>
        <v/>
      </c>
      <c r="K134" s="38" t="str">
        <f>IF(B134="","",IF($C$7="CAP",E134*F134*J134*NORMcall((B134-$C$2)/365,G134,I134,H134),E134*F134*J134*Normput((B134-$C$2)/365,G134,I134,H134)))</f>
        <v/>
      </c>
      <c r="M134" s="21"/>
      <c r="V134" s="21" t="str">
        <f t="shared" si="40"/>
        <v/>
      </c>
      <c r="W134" s="21" t="str">
        <f t="shared" si="41"/>
        <v/>
      </c>
      <c r="X134" s="21" t="str">
        <f t="shared" si="42"/>
        <v/>
      </c>
      <c r="Y134" s="1" t="str">
        <f t="shared" si="43"/>
        <v/>
      </c>
      <c r="Z134" s="1" t="str">
        <f t="shared" si="44"/>
        <v/>
      </c>
      <c r="AA134" s="26" t="str">
        <f t="shared" si="45"/>
        <v/>
      </c>
      <c r="AB134" s="11" t="str">
        <f t="shared" si="46"/>
        <v/>
      </c>
      <c r="AC134" s="28" t="str">
        <f>IF(V134="","",_xll.EpBsStandardSwaptionPrice($C$2,$O$2,W134,X134,Y134,Z134,AA134,AB134))</f>
        <v/>
      </c>
      <c r="AD134" s="28" t="str">
        <f>IF(V134="","",_xll.EpLgm1fStandardSwaptionPrice($C$2,$O$3,$O$2,W134,X134,Y134,Z134,AA134))</f>
        <v/>
      </c>
    </row>
    <row r="135" spans="2:30" x14ac:dyDescent="0.3">
      <c r="B135" s="97" t="str">
        <f t="shared" si="47"/>
        <v/>
      </c>
      <c r="C135" s="97" t="str">
        <f t="shared" si="54"/>
        <v/>
      </c>
      <c r="D135" s="97" t="str">
        <f t="shared" si="48"/>
        <v/>
      </c>
      <c r="E135" s="8" t="str">
        <f t="shared" si="49"/>
        <v/>
      </c>
      <c r="F135" s="31" t="str">
        <f t="shared" si="50"/>
        <v/>
      </c>
      <c r="G135" s="11" t="str">
        <f t="shared" si="51"/>
        <v/>
      </c>
      <c r="H135" s="11" t="str">
        <f t="shared" si="39"/>
        <v/>
      </c>
      <c r="I135" s="28" t="str">
        <f t="shared" si="52"/>
        <v/>
      </c>
      <c r="J135" s="8" t="str">
        <f t="shared" si="53"/>
        <v/>
      </c>
      <c r="K135" s="38" t="str">
        <f>IF(B135="","",IF($C$7="CAP",E135*F135*J135*NORMcall((B135-$C$2)/365,G135,I135,H135),E135*F135*J135*Normput((B135-$C$2)/365,G135,I135,H135)))</f>
        <v/>
      </c>
      <c r="M135" s="21"/>
      <c r="V135" s="21" t="str">
        <f>IF(T135="","",W135-2)</f>
        <v/>
      </c>
      <c r="W135" s="21" t="str">
        <f t="shared" si="41"/>
        <v/>
      </c>
      <c r="X135" s="21" t="str">
        <f t="shared" si="42"/>
        <v/>
      </c>
      <c r="Y135" s="1" t="str">
        <f t="shared" si="43"/>
        <v/>
      </c>
      <c r="Z135" s="1" t="str">
        <f t="shared" si="44"/>
        <v/>
      </c>
      <c r="AA135" s="26" t="str">
        <f t="shared" si="45"/>
        <v/>
      </c>
      <c r="AB135" s="11" t="str">
        <f t="shared" si="46"/>
        <v/>
      </c>
      <c r="AC135" s="28" t="str">
        <f>IF(V135="","",_xll.EpBsStandardSwaptionPrice($C$2,$O$2,W135,X135,Y135,Z135,AA135,AB135))</f>
        <v/>
      </c>
      <c r="AD135" s="28" t="str">
        <f>IF(V135="","",_xll.EpLgm1fStandardSwaptionPrice($C$2,$O$3,$O$2,W135,X135,Y135,Z135,AA135))</f>
        <v/>
      </c>
    </row>
    <row r="136" spans="2:30" x14ac:dyDescent="0.3">
      <c r="B136" s="97" t="str">
        <f t="shared" si="47"/>
        <v/>
      </c>
      <c r="C136" s="97" t="str">
        <f t="shared" si="54"/>
        <v/>
      </c>
      <c r="D136" s="97" t="str">
        <f t="shared" si="48"/>
        <v/>
      </c>
      <c r="E136" s="8" t="str">
        <f t="shared" si="49"/>
        <v/>
      </c>
      <c r="F136" s="31" t="str">
        <f t="shared" si="50"/>
        <v/>
      </c>
      <c r="G136" s="11" t="str">
        <f t="shared" si="51"/>
        <v/>
      </c>
      <c r="H136" s="11" t="str">
        <f t="shared" si="39"/>
        <v/>
      </c>
      <c r="I136" s="28" t="str">
        <f t="shared" si="52"/>
        <v/>
      </c>
      <c r="J136" s="8" t="str">
        <f t="shared" si="53"/>
        <v/>
      </c>
      <c r="K136" s="38" t="str">
        <f>IF(B136="","",IF($C$7="CAP",E136*F136*J136*NORMcall((B136-$C$2)/365,G136,I136,H136),E136*F136*J136*Normput((B136-$C$2)/365,G136,I136,H136)))</f>
        <v/>
      </c>
      <c r="M136" s="21"/>
      <c r="V136" s="21" t="str">
        <f>IF(T136="","",W136-2)</f>
        <v/>
      </c>
      <c r="W136" s="21" t="str">
        <f t="shared" si="41"/>
        <v/>
      </c>
      <c r="X136" s="21" t="str">
        <f t="shared" si="42"/>
        <v/>
      </c>
      <c r="Y136" s="1" t="str">
        <f t="shared" si="43"/>
        <v/>
      </c>
      <c r="Z136" s="1" t="str">
        <f t="shared" si="44"/>
        <v/>
      </c>
      <c r="AA136" s="26" t="str">
        <f t="shared" si="45"/>
        <v/>
      </c>
      <c r="AB136" s="11" t="str">
        <f t="shared" si="46"/>
        <v/>
      </c>
      <c r="AC136" s="28" t="str">
        <f>IF(V136="","",_xll.EpBsStandardSwaptionPrice($C$2,$O$2,W136,X136,Y136,Z136,AA136,AB136))</f>
        <v/>
      </c>
      <c r="AD136" s="28" t="str">
        <f>IF(V136="","",_xll.EpLgm1fStandardSwaptionPrice($C$2,$O$3,$O$2,W136,X136,Y136,Z136,AA136))</f>
        <v/>
      </c>
    </row>
    <row r="137" spans="2:30" x14ac:dyDescent="0.3">
      <c r="B137" s="97" t="str">
        <f t="shared" si="47"/>
        <v/>
      </c>
      <c r="C137" s="97" t="str">
        <f t="shared" si="54"/>
        <v/>
      </c>
      <c r="D137" s="97" t="str">
        <f t="shared" si="48"/>
        <v/>
      </c>
      <c r="E137" s="8" t="str">
        <f t="shared" si="49"/>
        <v/>
      </c>
      <c r="F137" s="31" t="str">
        <f t="shared" si="50"/>
        <v/>
      </c>
      <c r="G137" s="11" t="str">
        <f t="shared" si="51"/>
        <v/>
      </c>
      <c r="H137" s="11" t="str">
        <f t="shared" si="39"/>
        <v/>
      </c>
      <c r="I137" s="28" t="str">
        <f t="shared" si="52"/>
        <v/>
      </c>
      <c r="J137" s="8" t="str">
        <f t="shared" si="53"/>
        <v/>
      </c>
      <c r="K137" s="38" t="str">
        <f>IF(B137="","",IF($C$7="CAP",E137*F137*J137*NORMcall((B137-$C$2)/365,G137,I137,H137),E137*F137*J137*Normput((B137-$C$2)/365,G137,I137,H137)))</f>
        <v/>
      </c>
      <c r="M137" s="21"/>
      <c r="V137" s="21" t="str">
        <f>IF(T137="","",W137-2)</f>
        <v/>
      </c>
      <c r="W137" s="21" t="str">
        <f t="shared" si="41"/>
        <v/>
      </c>
      <c r="X137" s="21" t="str">
        <f t="shared" si="42"/>
        <v/>
      </c>
      <c r="Y137" s="1" t="str">
        <f t="shared" si="43"/>
        <v/>
      </c>
      <c r="Z137" s="1" t="str">
        <f t="shared" si="44"/>
        <v/>
      </c>
      <c r="AA137" s="26" t="str">
        <f t="shared" si="45"/>
        <v/>
      </c>
      <c r="AB137" s="11" t="str">
        <f t="shared" si="46"/>
        <v/>
      </c>
      <c r="AC137" s="28" t="str">
        <f>IF(V137="","",_xll.EpBsStandardSwaptionPrice($C$2,$O$2,W137,X137,Y137,Z137,AA137,AB137))</f>
        <v/>
      </c>
      <c r="AD137" s="28" t="str">
        <f>IF(V137="","",_xll.EpLgm1fStandardSwaptionPrice($C$2,$O$3,$O$2,W137,X137,Y137,Z137,AA137))</f>
        <v/>
      </c>
    </row>
    <row r="138" spans="2:30" x14ac:dyDescent="0.3">
      <c r="B138" s="97" t="str">
        <f t="shared" si="47"/>
        <v/>
      </c>
      <c r="C138" s="97" t="str">
        <f t="shared" si="54"/>
        <v/>
      </c>
      <c r="D138" s="97" t="str">
        <f t="shared" si="48"/>
        <v/>
      </c>
      <c r="E138" s="8" t="str">
        <f t="shared" si="49"/>
        <v/>
      </c>
      <c r="F138" s="31" t="str">
        <f t="shared" si="50"/>
        <v/>
      </c>
      <c r="G138" s="11" t="str">
        <f t="shared" si="51"/>
        <v/>
      </c>
      <c r="H138" s="11" t="str">
        <f t="shared" si="39"/>
        <v/>
      </c>
      <c r="I138" s="28" t="str">
        <f t="shared" si="52"/>
        <v/>
      </c>
      <c r="J138" s="8" t="str">
        <f t="shared" si="53"/>
        <v/>
      </c>
      <c r="K138" s="38" t="str">
        <f>IF(B138="","",IF($C$7="CAP",E138*F138*J138*NORMcall((B138-$C$2)/365,G138,I138,H138),E138*F138*J138*Normput((B138-$C$2)/365,G138,I138,H138)))</f>
        <v/>
      </c>
      <c r="M138" s="21"/>
      <c r="V138" s="21" t="str">
        <f>IF(T138="","",W138-2)</f>
        <v/>
      </c>
      <c r="W138" s="21" t="str">
        <f t="shared" si="41"/>
        <v/>
      </c>
      <c r="X138" s="21" t="str">
        <f t="shared" si="42"/>
        <v/>
      </c>
      <c r="Y138" s="1" t="str">
        <f t="shared" si="43"/>
        <v/>
      </c>
      <c r="Z138" s="1" t="str">
        <f t="shared" si="44"/>
        <v/>
      </c>
      <c r="AA138" s="26" t="str">
        <f t="shared" si="45"/>
        <v/>
      </c>
      <c r="AB138" s="11" t="str">
        <f t="shared" si="46"/>
        <v/>
      </c>
      <c r="AC138" s="28" t="str">
        <f>IF(V138="","",_xll.EpBsStandardSwaptionPrice($C$2,$O$2,W138,X138,Y138,Z138,AA138,AB138))</f>
        <v/>
      </c>
      <c r="AD138" s="28" t="str">
        <f>IF(V138="","",_xll.EpLgm1fStandardSwaptionPrice($C$2,$O$3,$O$2,W138,X138,Y138,Z138,AA138))</f>
        <v/>
      </c>
    </row>
    <row r="139" spans="2:30" x14ac:dyDescent="0.3">
      <c r="S139" s="10"/>
      <c r="U139" s="1"/>
      <c r="V139" s="1"/>
      <c r="W139" s="1"/>
      <c r="X139" s="1"/>
      <c r="Y139" s="1"/>
      <c r="Z139" s="1"/>
      <c r="AA139" s="1"/>
      <c r="AB139" s="28" t="str">
        <f>IF(U139="","",_xll.EpBsStandardSwaptionPrice($C$2,$O$2,V139,W139,X139,Y139,Z139,AA139))</f>
        <v/>
      </c>
      <c r="AC139" s="28" t="str">
        <f>IF(U139="","",_xll.EpLgm1fStandardSwaptionPrice($C$2,$O$3,$O$2,V139,W139,X139,Y139,Z139))</f>
        <v/>
      </c>
    </row>
    <row r="140" spans="2:30" x14ac:dyDescent="0.3">
      <c r="AB140" t="str">
        <f>IF(U140="","",_xll.EpBsStandardSwaptionPrice($C$2,$O$2,V140,W140,X140,Y140,Z140,AA140))</f>
        <v/>
      </c>
      <c r="AC140" t="str">
        <f>IF(U140="","",_xll.EpLgm1fStandardSwaptionPrice($C$2,$O$3,$O$2,V140,W140,X140,Y140,Z140))</f>
        <v/>
      </c>
    </row>
    <row r="141" spans="2:30" x14ac:dyDescent="0.3">
      <c r="AB141" t="str">
        <f>IF(U141="","",_xll.EpBsStandardSwaptionPrice($C$2,$O$2,V141,W141,X141,Y141,Z141,AA141))</f>
        <v/>
      </c>
      <c r="AC141" t="str">
        <f>IF(U141="","",_xll.EpLgm1fStandardSwaptionPrice($C$2,$O$3,$O$2,V141,W141,X141,Y141,Z141))</f>
        <v/>
      </c>
    </row>
    <row r="142" spans="2:30" x14ac:dyDescent="0.3">
      <c r="AB142" t="str">
        <f>IF(U142="","",_xll.EpBsStandardSwaptionPrice($C$2,$O$2,V142,W142,X142,Y142,Z142,AA142))</f>
        <v/>
      </c>
      <c r="AC142" t="str">
        <f>IF(U142="","",_xll.EpLgm1fStandardSwaptionPrice($C$2,$O$3,$O$2,V142,W142,X142,Y142,Z142))</f>
        <v/>
      </c>
    </row>
    <row r="143" spans="2:30" x14ac:dyDescent="0.3">
      <c r="AB143" t="str">
        <f>IF(U143="","",_xll.EpBsStandardSwaptionPrice($C$2,$O$2,V143,W143,X143,Y143,Z143,AA143))</f>
        <v/>
      </c>
      <c r="AC143" t="str">
        <f>IF(U143="","",_xll.EpLgm1fStandardSwaptionPrice($C$2,$O$3,$O$2,V143,W143,X143,Y143,Z143))</f>
        <v/>
      </c>
    </row>
    <row r="144" spans="2:30" x14ac:dyDescent="0.3">
      <c r="AB144" t="str">
        <f>IF(U144="","",_xll.EpBsStandardSwaptionPrice($C$2,$O$2,V144,W144,X144,Y144,Z144,AA144))</f>
        <v/>
      </c>
      <c r="AC144" t="str">
        <f>IF(U144="","",_xll.EpLgm1fStandardSwaptionPrice($C$2,$O$3,$O$2,V144,W144,X144,Y144,Z144))</f>
        <v/>
      </c>
    </row>
    <row r="145" spans="28:29" x14ac:dyDescent="0.3">
      <c r="AB145" t="str">
        <f>IF(U145="","",_xll.EpBsStandardSwaptionPrice($C$2,$O$2,V145,W145,X145,Y145,Z145,AA145))</f>
        <v/>
      </c>
      <c r="AC145" t="str">
        <f>IF(U145="","",_xll.EpLgm1fStandardSwaptionPrice($C$2,$O$3,$O$2,V145,W145,X145,Y145,Z145))</f>
        <v/>
      </c>
    </row>
    <row r="146" spans="28:29" x14ac:dyDescent="0.3">
      <c r="AB146" t="str">
        <f>IF(U146="","",_xll.EpBsStandardSwaptionPrice($C$2,$O$2,V146,W146,X146,Y146,Z146,AA146))</f>
        <v/>
      </c>
      <c r="AC146" t="str">
        <f>IF(U146="","",_xll.EpLgm1fStandardSwaptionPrice($C$2,$O$3,$O$2,V146,W146,X146,Y146,Z146))</f>
        <v/>
      </c>
    </row>
    <row r="147" spans="28:29" x14ac:dyDescent="0.3">
      <c r="AB147" t="str">
        <f>IF(U147="","",_xll.EpBsStandardSwaptionPrice($C$2,$O$2,V147,W147,X147,Y147,Z147,AA147))</f>
        <v/>
      </c>
      <c r="AC147" t="str">
        <f>IF(U147="","",_xll.EpLgm1fStandardSwaptionPrice($C$2,$O$3,$O$2,V147,W147,X147,Y147,Z147))</f>
        <v/>
      </c>
    </row>
    <row r="148" spans="28:29" x14ac:dyDescent="0.3">
      <c r="AB148" t="str">
        <f>IF(U148="","",_xll.EpBsStandardSwaptionPrice($C$2,$O$2,V148,W148,X148,Y148,Z148,AA148))</f>
        <v/>
      </c>
      <c r="AC148" t="str">
        <f>IF(U148="","",_xll.EpLgm1fStandardSwaptionPrice($C$2,$O$3,$O$2,V148,W148,X148,Y148,Z148))</f>
        <v/>
      </c>
    </row>
    <row r="149" spans="28:29" x14ac:dyDescent="0.3">
      <c r="AB149" t="str">
        <f>IF(U149="","",_xll.EpBsStandardSwaptionPrice($C$2,$O$2,V149,W149,X149,Y149,Z149,AA149))</f>
        <v/>
      </c>
      <c r="AC149" t="str">
        <f>IF(U149="","",_xll.EpLgm1fStandardSwaptionPrice($C$2,$O$3,$O$2,V149,W149,X149,Y149,Z149))</f>
        <v/>
      </c>
    </row>
    <row r="150" spans="28:29" x14ac:dyDescent="0.3">
      <c r="AB150" t="str">
        <f>IF(U150="","",_xll.EpBsStandardSwaptionPrice($C$2,$O$2,V150,W150,X150,Y150,Z150,AA150))</f>
        <v/>
      </c>
      <c r="AC150" t="str">
        <f>IF(U150="","",_xll.EpLgm1fStandardSwaptionPrice($C$2,$O$3,$O$2,V150,W150,X150,Y150,Z150))</f>
        <v/>
      </c>
    </row>
    <row r="151" spans="28:29" x14ac:dyDescent="0.3">
      <c r="AB151" t="str">
        <f>IF(U151="","",_xll.EpBsStandardSwaptionPrice($C$2,$O$2,V151,W151,X151,Y151,Z151,AA151))</f>
        <v/>
      </c>
      <c r="AC151" t="str">
        <f>IF(U151="","",_xll.EpLgm1fStandardSwaptionPrice($C$2,$O$3,$O$2,V151,W151,X151,Y151,Z151))</f>
        <v/>
      </c>
    </row>
    <row r="152" spans="28:29" x14ac:dyDescent="0.3">
      <c r="AB152" t="str">
        <f>IF(U152="","",_xll.EpBsStandardSwaptionPrice($C$2,$O$2,V152,W152,X152,Y152,Z152,AA152))</f>
        <v/>
      </c>
      <c r="AC152" t="str">
        <f>IF(U152="","",_xll.EpLgm1fStandardSwaptionPrice($C$2,$O$3,$O$2,V152,W152,X152,Y152,Z152))</f>
        <v/>
      </c>
    </row>
    <row r="153" spans="28:29" x14ac:dyDescent="0.3">
      <c r="AB153" t="str">
        <f>IF(U153="","",_xll.EpBsStandardSwaptionPrice($C$2,$O$2,V153,W153,X153,Y153,Z153,AA153))</f>
        <v/>
      </c>
      <c r="AC153" t="str">
        <f>IF(U153="","",_xll.EpLgm1fStandardSwaptionPrice($C$2,$O$3,$O$2,V153,W153,X153,Y153,Z153))</f>
        <v/>
      </c>
    </row>
    <row r="154" spans="28:29" x14ac:dyDescent="0.3">
      <c r="AB154" t="str">
        <f>IF(U154="","",_xll.EpBsStandardSwaptionPrice($C$2,$O$2,V154,W154,X154,Y154,Z154,AA154))</f>
        <v/>
      </c>
      <c r="AC154" t="str">
        <f>IF(U154="","",_xll.EpLgm1fStandardSwaptionPrice($C$2,$O$3,$O$2,V154,W154,X154,Y154,Z154))</f>
        <v/>
      </c>
    </row>
    <row r="155" spans="28:29" x14ac:dyDescent="0.3">
      <c r="AB155" t="str">
        <f>IF(U155="","",_xll.EpBsStandardSwaptionPrice($C$2,$O$2,V155,W155,X155,Y155,Z155,AA155))</f>
        <v/>
      </c>
      <c r="AC155" t="str">
        <f>IF(U155="","",_xll.EpLgm1fStandardSwaptionPrice($C$2,$O$3,$O$2,V155,W155,X155,Y155,Z155))</f>
        <v/>
      </c>
    </row>
    <row r="156" spans="28:29" x14ac:dyDescent="0.3">
      <c r="AB156" t="str">
        <f>IF(U156="","",_xll.EpBsStandardSwaptionPrice($C$2,$O$2,V156,W156,X156,Y156,Z156,AA156))</f>
        <v/>
      </c>
      <c r="AC156" t="str">
        <f>IF(U156="","",_xll.EpLgm1fStandardSwaptionPrice($C$2,$O$3,$O$2,V156,W156,X156,Y156,Z156))</f>
        <v/>
      </c>
    </row>
    <row r="157" spans="28:29" x14ac:dyDescent="0.3">
      <c r="AB157" t="str">
        <f>IF(U157="","",_xll.EpBsStandardSwaptionPrice($C$2,$O$2,V157,W157,X157,Y157,Z157,AA157))</f>
        <v/>
      </c>
      <c r="AC157" t="str">
        <f>IF(U157="","",_xll.EpLgm1fStandardSwaptionPrice($C$2,$O$3,$O$2,V157,W157,X157,Y157,Z157))</f>
        <v/>
      </c>
    </row>
    <row r="158" spans="28:29" x14ac:dyDescent="0.3">
      <c r="AB158" t="str">
        <f>IF(U158="","",_xll.EpBsStandardSwaptionPrice($C$2,$O$2,V158,W158,X158,Y158,Z158,AA158))</f>
        <v/>
      </c>
      <c r="AC158" t="str">
        <f>IF(U158="","",_xll.EpLgm1fStandardSwaptionPrice($C$2,$O$3,$O$2,V158,W158,X158,Y158,Z158))</f>
        <v/>
      </c>
    </row>
    <row r="159" spans="28:29" x14ac:dyDescent="0.3">
      <c r="AB159" t="str">
        <f>IF(U159="","",_xll.EpBsStandardSwaptionPrice($C$2,$O$2,V159,W159,X159,Y159,Z159,AA159))</f>
        <v/>
      </c>
      <c r="AC159" t="str">
        <f>IF(U159="","",_xll.EpLgm1fStandardSwaptionPrice($C$2,$O$3,$O$2,V159,W159,X159,Y159,Z159))</f>
        <v/>
      </c>
    </row>
    <row r="160" spans="28:29" x14ac:dyDescent="0.3">
      <c r="AB160" t="str">
        <f>IF(U160="","",_xll.EpBsStandardSwaptionPrice($C$2,$O$2,V160,W160,X160,Y160,Z160,AA160))</f>
        <v/>
      </c>
      <c r="AC160" t="str">
        <f>IF(U160="","",_xll.EpLgm1fStandardSwaptionPrice($C$2,$O$3,$O$2,V160,W160,X160,Y160,Z160))</f>
        <v/>
      </c>
    </row>
    <row r="161" spans="28:29" x14ac:dyDescent="0.3">
      <c r="AB161" t="str">
        <f>IF(U161="","",_xll.EpBsStandardSwaptionPrice($C$2,$O$2,V161,W161,X161,Y161,Z161,AA161))</f>
        <v/>
      </c>
      <c r="AC161" t="str">
        <f>IF(U161="","",_xll.EpLgm1fStandardSwaptionPrice($C$2,$O$3,$O$2,V161,W161,X161,Y161,Z161))</f>
        <v/>
      </c>
    </row>
    <row r="162" spans="28:29" x14ac:dyDescent="0.3">
      <c r="AB162" t="str">
        <f>IF(U162="","",_xll.EpBsStandardSwaptionPrice($C$2,$O$2,V162,W162,X162,Y162,Z162,AA162))</f>
        <v/>
      </c>
      <c r="AC162" t="str">
        <f>IF(U162="","",_xll.EpLgm1fStandardSwaptionPrice($C$2,$O$3,$O$2,V162,W162,X162,Y162,Z162))</f>
        <v/>
      </c>
    </row>
    <row r="163" spans="28:29" x14ac:dyDescent="0.3">
      <c r="AB163" t="str">
        <f>IF(U163="","",_xll.EpBsStandardSwaptionPrice($C$2,$O$2,V163,W163,X163,Y163,Z163,AA163))</f>
        <v/>
      </c>
      <c r="AC163" t="str">
        <f>IF(U163="","",_xll.EpLgm1fStandardSwaptionPrice($C$2,$O$3,$O$2,V163,W163,X163,Y163,Z163))</f>
        <v/>
      </c>
    </row>
    <row r="164" spans="28:29" x14ac:dyDescent="0.3">
      <c r="AB164" t="str">
        <f>IF(U164="","",_xll.EpBsStandardSwaptionPrice($C$2,$O$2,V164,W164,X164,Y164,Z164,AA164))</f>
        <v/>
      </c>
      <c r="AC164" t="str">
        <f>IF(U164="","",_xll.EpLgm1fStandardSwaptionPrice($C$2,$O$3,$O$2,V164,W164,X164,Y164,Z164))</f>
        <v/>
      </c>
    </row>
    <row r="165" spans="28:29" x14ac:dyDescent="0.3">
      <c r="AB165" t="str">
        <f>IF(U165="","",_xll.EpBsStandardSwaptionPrice($C$2,$O$2,V165,W165,X165,Y165,Z165,AA165))</f>
        <v/>
      </c>
      <c r="AC165" t="str">
        <f>IF(U165="","",_xll.EpLgm1fStandardSwaptionPrice($C$2,$O$3,$O$2,V165,W165,X165,Y165,Z165))</f>
        <v/>
      </c>
    </row>
    <row r="166" spans="28:29" x14ac:dyDescent="0.3">
      <c r="AB166" t="str">
        <f>IF(U166="","",_xll.EpBsStandardSwaptionPrice($C$2,$O$2,V166,W166,X166,Y166,Z166,AA166))</f>
        <v/>
      </c>
      <c r="AC166" t="str">
        <f>IF(U166="","",_xll.EpLgm1fStandardSwaptionPrice($C$2,$O$3,$O$2,V166,W166,X166,Y166,Z166))</f>
        <v/>
      </c>
    </row>
    <row r="167" spans="28:29" x14ac:dyDescent="0.3">
      <c r="AB167" t="str">
        <f>IF(U167="","",_xll.EpBsStandardSwaptionPrice($C$2,$O$2,V167,W167,X167,Y167,Z167,AA167))</f>
        <v/>
      </c>
      <c r="AC167" t="str">
        <f>IF(U167="","",_xll.EpLgm1fStandardSwaptionPrice($C$2,$O$3,$O$2,V167,W167,X167,Y167,Z167))</f>
        <v/>
      </c>
    </row>
    <row r="168" spans="28:29" x14ac:dyDescent="0.3">
      <c r="AB168" t="str">
        <f>IF(U168="","",_xll.EpBsStandardSwaptionPrice($C$2,$O$2,V168,W168,X168,Y168,Z168,AA168))</f>
        <v/>
      </c>
      <c r="AC168" t="str">
        <f>IF(U168="","",_xll.EpLgm1fStandardSwaptionPrice($C$2,$O$3,$O$2,V168,W168,X168,Y168,Z168))</f>
        <v/>
      </c>
    </row>
    <row r="169" spans="28:29" x14ac:dyDescent="0.3">
      <c r="AB169" t="str">
        <f>IF(U169="","",_xll.EpBsStandardSwaptionPrice($C$2,$O$2,V169,W169,X169,Y169,Z169,AA169))</f>
        <v/>
      </c>
      <c r="AC169" t="str">
        <f>IF(U169="","",_xll.EpLgm1fStandardSwaptionPrice($C$2,$O$3,$O$2,V169,W169,X169,Y169,Z169))</f>
        <v/>
      </c>
    </row>
    <row r="170" spans="28:29" x14ac:dyDescent="0.3">
      <c r="AB170" t="str">
        <f>IF(U170="","",_xll.EpBsStandardSwaptionPrice($C$2,$O$2,V170,W170,X170,Y170,Z170,AA170))</f>
        <v/>
      </c>
      <c r="AC170" t="str">
        <f>IF(U170="","",_xll.EpLgm1fStandardSwaptionPrice($C$2,$O$3,$O$2,V170,W170,X170,Y170,Z170))</f>
        <v/>
      </c>
    </row>
    <row r="171" spans="28:29" x14ac:dyDescent="0.3">
      <c r="AB171" t="str">
        <f>IF(U171="","",_xll.EpBsStandardSwaptionPrice($C$2,$O$2,V171,W171,X171,Y171,Z171,AA171))</f>
        <v/>
      </c>
      <c r="AC171" t="str">
        <f>IF(U171="","",_xll.EpLgm1fStandardSwaptionPrice($C$2,$O$3,$O$2,V171,W171,X171,Y171,Z171))</f>
        <v/>
      </c>
    </row>
    <row r="172" spans="28:29" x14ac:dyDescent="0.3">
      <c r="AB172" t="str">
        <f>IF(U172="","",_xll.EpBsStandardSwaptionPrice($C$2,$O$2,V172,W172,X172,Y172,Z172,AA172))</f>
        <v/>
      </c>
      <c r="AC172" t="str">
        <f>IF(U172="","",_xll.EpLgm1fStandardSwaptionPrice($C$2,$O$3,$O$2,V172,W172,X172,Y172,Z172))</f>
        <v/>
      </c>
    </row>
    <row r="173" spans="28:29" x14ac:dyDescent="0.3">
      <c r="AB173" t="str">
        <f>IF(U173="","",_xll.EpBsStandardSwaptionPrice($C$2,$O$2,V173,W173,X173,Y173,Z173,AA173))</f>
        <v/>
      </c>
      <c r="AC173" t="str">
        <f>IF(U173="","",_xll.EpLgm1fStandardSwaptionPrice($C$2,$O$3,$O$2,V173,W173,X173,Y173,Z173))</f>
        <v/>
      </c>
    </row>
    <row r="174" spans="28:29" x14ac:dyDescent="0.3">
      <c r="AB174" t="str">
        <f>IF(U174="","",_xll.EpBsStandardSwaptionPrice($C$2,$O$2,V174,W174,X174,Y174,Z174,AA174))</f>
        <v/>
      </c>
      <c r="AC174" t="str">
        <f>IF(U174="","",_xll.EpLgm1fStandardSwaptionPrice($C$2,$O$3,$O$2,V174,W174,X174,Y174,Z174))</f>
        <v/>
      </c>
    </row>
    <row r="175" spans="28:29" x14ac:dyDescent="0.3">
      <c r="AB175" t="str">
        <f>IF(U175="","",_xll.EpBsStandardSwaptionPrice($C$2,$O$2,V175,W175,X175,Y175,Z175,AA175))</f>
        <v/>
      </c>
      <c r="AC175" t="str">
        <f>IF(U175="","",_xll.EpLgm1fStandardSwaptionPrice($C$2,$O$3,$O$2,V175,W175,X175,Y175,Z175))</f>
        <v/>
      </c>
    </row>
    <row r="176" spans="28:29" x14ac:dyDescent="0.3">
      <c r="AB176" t="str">
        <f>IF(U176="","",_xll.EpBsStandardSwaptionPrice($C$2,$O$2,V176,W176,X176,Y176,Z176,AA176))</f>
        <v/>
      </c>
      <c r="AC176" t="str">
        <f>IF(U176="","",_xll.EpLgm1fStandardSwaptionPrice($C$2,$O$3,$O$2,V176,W176,X176,Y176,Z176))</f>
        <v/>
      </c>
    </row>
    <row r="177" spans="28:29" x14ac:dyDescent="0.3">
      <c r="AB177" t="str">
        <f>IF(U177="","",_xll.EpBsStandardSwaptionPrice($C$2,$O$2,V177,W177,X177,Y177,Z177,AA177))</f>
        <v/>
      </c>
      <c r="AC177" t="str">
        <f>IF(U177="","",_xll.EpLgm1fStandardSwaptionPrice($C$2,$O$3,$O$2,V177,W177,X177,Y177,Z177))</f>
        <v/>
      </c>
    </row>
    <row r="178" spans="28:29" x14ac:dyDescent="0.3">
      <c r="AB178" t="str">
        <f>IF(U178="","",_xll.EpBsStandardSwaptionPrice($C$2,$O$2,V178,W178,X178,Y178,Z178,AA178))</f>
        <v/>
      </c>
      <c r="AC178" t="str">
        <f>IF(U178="","",_xll.EpLgm1fStandardSwaptionPrice($C$2,$O$3,$O$2,V178,W178,X178,Y178,Z178))</f>
        <v/>
      </c>
    </row>
    <row r="179" spans="28:29" x14ac:dyDescent="0.3">
      <c r="AB179" t="str">
        <f>IF(U179="","",_xll.EpBsStandardSwaptionPrice($C$2,$O$2,V179,W179,X179,Y179,Z179,AA179))</f>
        <v/>
      </c>
      <c r="AC179" t="str">
        <f>IF(U179="","",_xll.EpLgm1fStandardSwaptionPrice($C$2,$O$3,$O$2,V179,W179,X179,Y179,Z179))</f>
        <v/>
      </c>
    </row>
    <row r="180" spans="28:29" x14ac:dyDescent="0.3">
      <c r="AB180" t="str">
        <f>IF(U180="","",_xll.EpBsStandardSwaptionPrice($C$2,$O$2,V180,W180,X180,Y180,Z180,AA180))</f>
        <v/>
      </c>
      <c r="AC180" t="str">
        <f>IF(U180="","",_xll.EpLgm1fStandardSwaptionPrice($C$2,$O$3,$O$2,V180,W180,X180,Y180,Z180))</f>
        <v/>
      </c>
    </row>
    <row r="181" spans="28:29" x14ac:dyDescent="0.3">
      <c r="AB181" t="str">
        <f>IF(U181="","",_xll.EpBsStandardSwaptionPrice($C$2,$O$2,V181,W181,X181,Y181,Z181,AA181))</f>
        <v/>
      </c>
      <c r="AC181" t="str">
        <f>IF(U181="","",_xll.EpLgm1fStandardSwaptionPrice($C$2,$O$3,$O$2,V181,W181,X181,Y181,Z181))</f>
        <v/>
      </c>
    </row>
    <row r="182" spans="28:29" x14ac:dyDescent="0.3">
      <c r="AB182" t="str">
        <f>IF(U182="","",_xll.EpBsStandardSwaptionPrice($C$2,$O$2,V182,W182,X182,Y182,Z182,AA182))</f>
        <v/>
      </c>
      <c r="AC182" t="str">
        <f>IF(U182="","",_xll.EpLgm1fStandardSwaptionPrice($C$2,$O$3,$O$2,V182,W182,X182,Y182,Z182))</f>
        <v/>
      </c>
    </row>
    <row r="183" spans="28:29" x14ac:dyDescent="0.3">
      <c r="AB183" t="str">
        <f>IF(U183="","",_xll.EpBsStandardSwaptionPrice($C$2,$O$2,V183,W183,X183,Y183,Z183,AA183))</f>
        <v/>
      </c>
      <c r="AC183" t="str">
        <f>IF(U183="","",_xll.EpLgm1fStandardSwaptionPrice($C$2,$O$3,$O$2,V183,W183,X183,Y183,Z183))</f>
        <v/>
      </c>
    </row>
    <row r="184" spans="28:29" x14ac:dyDescent="0.3">
      <c r="AB184" t="str">
        <f>IF(U184="","",_xll.EpBsStandardSwaptionPrice($C$2,$O$2,V184,W184,X184,Y184,Z184,AA184))</f>
        <v/>
      </c>
      <c r="AC184" t="str">
        <f>IF(U184="","",_xll.EpLgm1fStandardSwaptionPrice($C$2,$O$3,$O$2,V184,W184,X184,Y184,Z184))</f>
        <v/>
      </c>
    </row>
    <row r="185" spans="28:29" x14ac:dyDescent="0.3">
      <c r="AB185" t="str">
        <f>IF(U185="","",_xll.EpBsStandardSwaptionPrice($C$2,$O$2,V185,W185,X185,Y185,Z185,AA185))</f>
        <v/>
      </c>
      <c r="AC185" t="str">
        <f>IF(U185="","",_xll.EpLgm1fStandardSwaptionPrice($C$2,$O$3,$O$2,V185,W185,X185,Y185,Z185))</f>
        <v/>
      </c>
    </row>
    <row r="186" spans="28:29" x14ac:dyDescent="0.3">
      <c r="AB186" t="str">
        <f>IF(U186="","",_xll.EpBsStandardSwaptionPrice($C$2,$O$2,V186,W186,X186,Y186,Z186,AA186))</f>
        <v/>
      </c>
      <c r="AC186" t="str">
        <f>IF(U186="","",_xll.EpLgm1fStandardSwaptionPrice($C$2,$O$3,$O$2,V186,W186,X186,Y186,Z186))</f>
        <v/>
      </c>
    </row>
    <row r="187" spans="28:29" x14ac:dyDescent="0.3">
      <c r="AB187" t="str">
        <f>IF(U187="","",_xll.EpBsStandardSwaptionPrice($C$2,$O$2,V187,W187,X187,Y187,Z187,AA187))</f>
        <v/>
      </c>
      <c r="AC187" t="str">
        <f>IF(U187="","",_xll.EpLgm1fStandardSwaptionPrice($C$2,$O$3,$O$2,V187,W187,X187,Y187,Z187))</f>
        <v/>
      </c>
    </row>
    <row r="188" spans="28:29" x14ac:dyDescent="0.3">
      <c r="AB188" t="str">
        <f>IF(U188="","",_xll.EpBsStandardSwaptionPrice($C$2,$O$2,V188,W188,X188,Y188,Z188,AA188))</f>
        <v/>
      </c>
      <c r="AC188" t="str">
        <f>IF(U188="","",_xll.EpLgm1fStandardSwaptionPrice($C$2,$O$3,$O$2,V188,W188,X188,Y188,Z188))</f>
        <v/>
      </c>
    </row>
    <row r="189" spans="28:29" x14ac:dyDescent="0.3">
      <c r="AB189" t="str">
        <f>IF(U189="","",_xll.EpBsStandardSwaptionPrice($C$2,$O$2,V189,W189,X189,Y189,Z189,AA189))</f>
        <v/>
      </c>
      <c r="AC189" t="str">
        <f>IF(U189="","",_xll.EpLgm1fStandardSwaptionPrice($C$2,$O$3,$O$2,V189,W189,X189,Y189,Z189))</f>
        <v/>
      </c>
    </row>
    <row r="190" spans="28:29" x14ac:dyDescent="0.3">
      <c r="AB190" t="str">
        <f>IF(U190="","",_xll.EpBsStandardSwaptionPrice($C$2,$O$2,V190,W190,X190,Y190,Z190,AA190))</f>
        <v/>
      </c>
      <c r="AC190" t="str">
        <f>IF(U190="","",_xll.EpLgm1fStandardSwaptionPrice($C$2,$O$3,$O$2,V190,W190,X190,Y190,Z190))</f>
        <v/>
      </c>
    </row>
    <row r="191" spans="28:29" x14ac:dyDescent="0.3">
      <c r="AB191" t="str">
        <f>IF(U191="","",_xll.EpBsStandardSwaptionPrice($C$2,$O$2,V191,W191,X191,Y191,Z191,AA191))</f>
        <v/>
      </c>
      <c r="AC191" t="str">
        <f>IF(U191="","",_xll.EpLgm1fStandardSwaptionPrice($C$2,$O$3,$O$2,V191,W191,X191,Y191,Z191))</f>
        <v/>
      </c>
    </row>
    <row r="192" spans="28:29" x14ac:dyDescent="0.3">
      <c r="AB192" t="str">
        <f>IF(U192="","",_xll.EpBsStandardSwaptionPrice($C$2,$O$2,V192,W192,X192,Y192,Z192,AA192))</f>
        <v/>
      </c>
      <c r="AC192" t="str">
        <f>IF(U192="","",_xll.EpLgm1fStandardSwaptionPrice($C$2,$O$3,$O$2,V192,W192,X192,Y192,Z192))</f>
        <v/>
      </c>
    </row>
    <row r="193" spans="28:29" x14ac:dyDescent="0.3">
      <c r="AB193" t="str">
        <f>IF(U193="","",_xll.EpBsStandardSwaptionPrice($C$2,$O$2,V193,W193,X193,Y193,Z193,AA193))</f>
        <v/>
      </c>
      <c r="AC193" t="str">
        <f>IF(U193="","",_xll.EpLgm1fStandardSwaptionPrice($C$2,$O$3,$O$2,V193,W193,X193,Y193,Z193))</f>
        <v/>
      </c>
    </row>
    <row r="194" spans="28:29" x14ac:dyDescent="0.3">
      <c r="AB194" t="str">
        <f>IF(U194="","",_xll.EpBsStandardSwaptionPrice($C$2,$O$2,V194,W194,X194,Y194,Z194,AA194))</f>
        <v/>
      </c>
      <c r="AC194" t="str">
        <f>IF(U194="","",_xll.EpLgm1fStandardSwaptionPrice($C$2,$O$3,$O$2,V194,W194,X194,Y194,Z194))</f>
        <v/>
      </c>
    </row>
    <row r="195" spans="28:29" x14ac:dyDescent="0.3">
      <c r="AB195" t="str">
        <f>IF(U195="","",_xll.EpBsStandardSwaptionPrice($C$2,$O$2,V195,W195,X195,Y195,Z195,AA195))</f>
        <v/>
      </c>
      <c r="AC195" t="str">
        <f>IF(U195="","",_xll.EpLgm1fStandardSwaptionPrice($C$2,$O$3,$O$2,V195,W195,X195,Y195,Z195))</f>
        <v/>
      </c>
    </row>
    <row r="196" spans="28:29" x14ac:dyDescent="0.3">
      <c r="AB196" t="str">
        <f>IF(U196="","",_xll.EpBsStandardSwaptionPrice($C$2,$O$2,V196,W196,X196,Y196,Z196,AA196))</f>
        <v/>
      </c>
      <c r="AC196" t="str">
        <f>IF(U196="","",_xll.EpLgm1fStandardSwaptionPrice($C$2,$O$3,$O$2,V196,W196,X196,Y196,Z196))</f>
        <v/>
      </c>
    </row>
    <row r="197" spans="28:29" x14ac:dyDescent="0.3">
      <c r="AB197" t="str">
        <f>IF(U197="","",_xll.EpBsStandardSwaptionPrice($C$2,$O$2,V197,W197,X197,Y197,Z197,AA197))</f>
        <v/>
      </c>
      <c r="AC197" t="str">
        <f>IF(U197="","",_xll.EpLgm1fStandardSwaptionPrice($C$2,$O$3,$O$2,V197,W197,X197,Y197,Z197))</f>
        <v/>
      </c>
    </row>
    <row r="198" spans="28:29" x14ac:dyDescent="0.3">
      <c r="AB198" t="str">
        <f>IF(U198="","",_xll.EpBsStandardSwaptionPrice($C$2,$O$2,V198,W198,X198,Y198,Z198,AA198))</f>
        <v/>
      </c>
      <c r="AC198" t="str">
        <f>IF(U198="","",_xll.EpLgm1fStandardSwaptionPrice($C$2,$O$3,$O$2,V198,W198,X198,Y198,Z198))</f>
        <v/>
      </c>
    </row>
    <row r="199" spans="28:29" x14ac:dyDescent="0.3">
      <c r="AB199" t="str">
        <f>IF(U199="","",_xll.EpBsStandardSwaptionPrice($C$2,$O$2,V199,W199,X199,Y199,Z199,AA199))</f>
        <v/>
      </c>
      <c r="AC199" t="str">
        <f>IF(U199="","",_xll.EpLgm1fStandardSwaptionPrice($C$2,$O$3,$O$2,V199,W199,X199,Y199,Z199))</f>
        <v/>
      </c>
    </row>
    <row r="200" spans="28:29" x14ac:dyDescent="0.3">
      <c r="AB200" t="str">
        <f>IF(U200="","",_xll.EpBsStandardSwaptionPrice($C$2,$O$2,V200,W200,X200,Y200,Z200,AA200))</f>
        <v/>
      </c>
      <c r="AC200" t="str">
        <f>IF(U200="","",_xll.EpLgm1fStandardSwaptionPrice($C$2,$O$3,$O$2,V200,W200,X200,Y200,Z200))</f>
        <v/>
      </c>
    </row>
    <row r="201" spans="28:29" x14ac:dyDescent="0.3">
      <c r="AB201" t="str">
        <f>IF(U201="","",_xll.EpBsStandardSwaptionPrice($C$2,$O$2,V201,W201,X201,Y201,Z201,AA201))</f>
        <v/>
      </c>
      <c r="AC201" t="str">
        <f>IF(U201="","",_xll.EpLgm1fStandardSwaptionPrice($C$2,$O$3,$O$2,V201,W201,X201,Y201,Z201))</f>
        <v/>
      </c>
    </row>
    <row r="202" spans="28:29" x14ac:dyDescent="0.3">
      <c r="AB202" t="str">
        <f>IF(U202="","",_xll.EpBsStandardSwaptionPrice($C$2,$O$2,V202,W202,X202,Y202,Z202,AA202))</f>
        <v/>
      </c>
      <c r="AC202" t="str">
        <f>IF(U202="","",_xll.EpLgm1fStandardSwaptionPrice($C$2,$O$3,$O$2,V202,W202,X202,Y202,Z202))</f>
        <v/>
      </c>
    </row>
    <row r="203" spans="28:29" x14ac:dyDescent="0.3">
      <c r="AB203" t="str">
        <f>IF(U203="","",_xll.EpBsStandardSwaptionPrice($C$2,$O$2,V203,W203,X203,Y203,Z203,AA203))</f>
        <v/>
      </c>
      <c r="AC203" t="str">
        <f>IF(U203="","",_xll.EpLgm1fStandardSwaptionPrice($C$2,$O$3,$O$2,V203,W203,X203,Y203,Z203))</f>
        <v/>
      </c>
    </row>
    <row r="204" spans="28:29" x14ac:dyDescent="0.3">
      <c r="AB204" t="str">
        <f>IF(U204="","",_xll.EpBsStandardSwaptionPrice($C$2,$O$2,V204,W204,X204,Y204,Z204,AA204))</f>
        <v/>
      </c>
      <c r="AC204" t="str">
        <f>IF(U204="","",_xll.EpLgm1fStandardSwaptionPrice($C$2,$O$3,$O$2,V204,W204,X204,Y204,Z204))</f>
        <v/>
      </c>
    </row>
    <row r="205" spans="28:29" x14ac:dyDescent="0.3">
      <c r="AB205" t="str">
        <f>IF(U205="","",_xll.EpBsStandardSwaptionPrice($C$2,$O$2,V205,W205,X205,Y205,Z205,AA205))</f>
        <v/>
      </c>
      <c r="AC205" t="str">
        <f>IF(U205="","",_xll.EpLgm1fStandardSwaptionPrice($C$2,$O$3,$O$2,V205,W205,X205,Y205,Z205))</f>
        <v/>
      </c>
    </row>
    <row r="206" spans="28:29" x14ac:dyDescent="0.3">
      <c r="AB206" t="str">
        <f>IF(U206="","",_xll.EpBsStandardSwaptionPrice($C$2,$O$2,V206,W206,X206,Y206,Z206,AA206))</f>
        <v/>
      </c>
      <c r="AC206" t="str">
        <f>IF(U206="","",_xll.EpLgm1fStandardSwaptionPrice($C$2,$O$3,$O$2,V206,W206,X206,Y206,Z206))</f>
        <v/>
      </c>
    </row>
    <row r="207" spans="28:29" x14ac:dyDescent="0.3">
      <c r="AB207" t="str">
        <f>IF(U207="","",_xll.EpBsStandardSwaptionPrice($C$2,$O$2,V207,W207,X207,Y207,Z207,AA207))</f>
        <v/>
      </c>
      <c r="AC207" t="str">
        <f>IF(U207="","",_xll.EpLgm1fStandardSwaptionPrice($C$2,$O$3,$O$2,V207,W207,X207,Y207,Z207))</f>
        <v/>
      </c>
    </row>
    <row r="208" spans="28:29" x14ac:dyDescent="0.3">
      <c r="AB208" t="str">
        <f>IF(U208="","",_xll.EpBsStandardSwaptionPrice($C$2,$O$2,V208,W208,X208,Y208,Z208,AA208))</f>
        <v/>
      </c>
      <c r="AC208" t="str">
        <f>IF(U208="","",_xll.EpLgm1fStandardSwaptionPrice($C$2,$O$3,$O$2,V208,W208,X208,Y208,Z208))</f>
        <v/>
      </c>
    </row>
    <row r="209" spans="28:29" x14ac:dyDescent="0.3">
      <c r="AB209" t="str">
        <f>IF(U209="","",_xll.EpBsStandardSwaptionPrice($C$2,$O$2,V209,W209,X209,Y209,Z209,AA209))</f>
        <v/>
      </c>
      <c r="AC209" t="str">
        <f>IF(U209="","",_xll.EpLgm1fStandardSwaptionPrice($C$2,$O$3,$O$2,V209,W209,X209,Y209,Z209))</f>
        <v/>
      </c>
    </row>
    <row r="210" spans="28:29" x14ac:dyDescent="0.3">
      <c r="AB210" t="str">
        <f>IF(U210="","",_xll.EpBsStandardSwaptionPrice($C$2,$O$2,V210,W210,X210,Y210,Z210,AA210))</f>
        <v/>
      </c>
      <c r="AC210" t="str">
        <f>IF(U210="","",_xll.EpLgm1fStandardSwaptionPrice($C$2,$O$3,$O$2,V210,W210,X210,Y210,Z210))</f>
        <v/>
      </c>
    </row>
    <row r="211" spans="28:29" x14ac:dyDescent="0.3">
      <c r="AB211" t="str">
        <f>IF(U211="","",_xll.EpBsStandardSwaptionPrice($C$2,$O$2,V211,W211,X211,Y211,Z211,AA211))</f>
        <v/>
      </c>
      <c r="AC211" t="str">
        <f>IF(U211="","",_xll.EpLgm1fStandardSwaptionPrice($C$2,$O$3,$O$2,V211,W211,X211,Y211,Z211))</f>
        <v/>
      </c>
    </row>
    <row r="212" spans="28:29" x14ac:dyDescent="0.3">
      <c r="AB212" t="str">
        <f>IF(U212="","",_xll.EpBsStandardSwaptionPrice($C$2,$O$2,V212,W212,X212,Y212,Z212,AA212))</f>
        <v/>
      </c>
      <c r="AC212" t="str">
        <f>IF(U212="","",_xll.EpLgm1fStandardSwaptionPrice($C$2,$O$3,$O$2,V212,W212,X212,Y212,Z212))</f>
        <v/>
      </c>
    </row>
    <row r="213" spans="28:29" x14ac:dyDescent="0.3">
      <c r="AB213" t="str">
        <f>IF(U213="","",_xll.EpBsStandardSwaptionPrice($C$2,$O$2,V213,W213,X213,Y213,Z213,AA213))</f>
        <v/>
      </c>
      <c r="AC213" t="str">
        <f>IF(U213="","",_xll.EpLgm1fStandardSwaptionPrice($C$2,$O$3,$O$2,V213,W213,X213,Y213,Z213))</f>
        <v/>
      </c>
    </row>
    <row r="214" spans="28:29" x14ac:dyDescent="0.3">
      <c r="AB214" t="str">
        <f>IF(U214="","",_xll.EpBsStandardSwaptionPrice($C$2,$O$2,V214,W214,X214,Y214,Z214,AA214))</f>
        <v/>
      </c>
      <c r="AC214" t="str">
        <f>IF(U214="","",_xll.EpLgm1fStandardSwaptionPrice($C$2,$O$3,$O$2,V214,W214,X214,Y214,Z214))</f>
        <v/>
      </c>
    </row>
    <row r="215" spans="28:29" x14ac:dyDescent="0.3">
      <c r="AB215" t="str">
        <f>IF(U215="","",_xll.EpBsStandardSwaptionPrice($C$2,$O$2,V215,W215,X215,Y215,Z215,AA215))</f>
        <v/>
      </c>
      <c r="AC215" t="str">
        <f>IF(U215="","",_xll.EpLgm1fStandardSwaptionPrice($C$2,$O$3,$O$2,V215,W215,X215,Y215,Z215))</f>
        <v/>
      </c>
    </row>
    <row r="216" spans="28:29" x14ac:dyDescent="0.3">
      <c r="AB216" t="str">
        <f>IF(U216="","",_xll.EpBsStandardSwaptionPrice($C$2,$O$2,V216,W216,X216,Y216,Z216,AA216))</f>
        <v/>
      </c>
      <c r="AC216" t="str">
        <f>IF(U216="","",_xll.EpLgm1fStandardSwaptionPrice($C$2,$O$3,$O$2,V216,W216,X216,Y216,Z216))</f>
        <v/>
      </c>
    </row>
    <row r="217" spans="28:29" x14ac:dyDescent="0.3">
      <c r="AB217" t="str">
        <f>IF(U217="","",_xll.EpBsStandardSwaptionPrice($C$2,$O$2,V217,W217,X217,Y217,Z217,AA217))</f>
        <v/>
      </c>
      <c r="AC217" t="str">
        <f>IF(U217="","",_xll.EpLgm1fStandardSwaptionPrice($C$2,$O$3,$O$2,V217,W217,X217,Y217,Z217))</f>
        <v/>
      </c>
    </row>
    <row r="218" spans="28:29" x14ac:dyDescent="0.3">
      <c r="AB218" t="str">
        <f>IF(U218="","",_xll.EpBsStandardSwaptionPrice($C$2,$O$2,V218,W218,X218,Y218,Z218,AA218))</f>
        <v/>
      </c>
      <c r="AC218" t="str">
        <f>IF(U218="","",_xll.EpLgm1fStandardSwaptionPrice($C$2,$O$3,$O$2,V218,W218,X218,Y218,Z218))</f>
        <v/>
      </c>
    </row>
    <row r="219" spans="28:29" x14ac:dyDescent="0.3">
      <c r="AB219" t="str">
        <f>IF(U219="","",_xll.EpBsStandardSwaptionPrice($C$2,$O$2,V219,W219,X219,Y219,Z219,AA219))</f>
        <v/>
      </c>
      <c r="AC219" t="str">
        <f>IF(U219="","",_xll.EpLgm1fStandardSwaptionPrice($C$2,$O$3,$O$2,V219,W219,X219,Y219,Z219))</f>
        <v/>
      </c>
    </row>
    <row r="220" spans="28:29" x14ac:dyDescent="0.3">
      <c r="AB220" t="str">
        <f>IF(U220="","",_xll.EpBsStandardSwaptionPrice($C$2,$O$2,V220,W220,X220,Y220,Z220,AA220))</f>
        <v/>
      </c>
      <c r="AC220" t="str">
        <f>IF(U220="","",_xll.EpLgm1fStandardSwaptionPrice($C$2,$O$3,$O$2,V220,W220,X220,Y220,Z220))</f>
        <v/>
      </c>
    </row>
    <row r="221" spans="28:29" x14ac:dyDescent="0.3">
      <c r="AB221" t="str">
        <f>IF(U221="","",_xll.EpBsStandardSwaptionPrice($C$2,$O$2,V221,W221,X221,Y221,Z221,AA221))</f>
        <v/>
      </c>
      <c r="AC221" t="str">
        <f>IF(U221="","",_xll.EpLgm1fStandardSwaptionPrice($C$2,$O$3,$O$2,V221,W221,X221,Y221,Z221))</f>
        <v/>
      </c>
    </row>
    <row r="222" spans="28:29" x14ac:dyDescent="0.3">
      <c r="AB222" t="str">
        <f>IF(U222="","",_xll.EpBsStandardSwaptionPrice($C$2,$O$2,V222,W222,X222,Y222,Z222,AA222))</f>
        <v/>
      </c>
      <c r="AC222" t="str">
        <f>IF(U222="","",_xll.EpLgm1fStandardSwaptionPrice($C$2,$O$3,$O$2,V222,W222,X222,Y222,Z222))</f>
        <v/>
      </c>
    </row>
    <row r="223" spans="28:29" x14ac:dyDescent="0.3">
      <c r="AB223" t="str">
        <f>IF(U223="","",_xll.EpBsStandardSwaptionPrice($C$2,$O$2,V223,W223,X223,Y223,Z223,AA223))</f>
        <v/>
      </c>
      <c r="AC223" t="str">
        <f>IF(U223="","",_xll.EpLgm1fStandardSwaptionPrice($C$2,$O$3,$O$2,V223,W223,X223,Y223,Z223))</f>
        <v/>
      </c>
    </row>
    <row r="224" spans="28:29" x14ac:dyDescent="0.3">
      <c r="AB224" t="str">
        <f>IF(U224="","",_xll.EpBsStandardSwaptionPrice($C$2,$O$2,V224,W224,X224,Y224,Z224,AA224))</f>
        <v/>
      </c>
      <c r="AC224" t="str">
        <f>IF(U224="","",_xll.EpLgm1fStandardSwaptionPrice($C$2,$O$3,$O$2,V224,W224,X224,Y224,Z224))</f>
        <v/>
      </c>
    </row>
    <row r="225" spans="28:29" x14ac:dyDescent="0.3">
      <c r="AB225" t="str">
        <f>IF(U225="","",_xll.EpBsStandardSwaptionPrice($C$2,$O$2,V225,W225,X225,Y225,Z225,AA225))</f>
        <v/>
      </c>
      <c r="AC225" t="str">
        <f>IF(U225="","",_xll.EpLgm1fStandardSwaptionPrice($C$2,$O$3,$O$2,V225,W225,X225,Y225,Z225))</f>
        <v/>
      </c>
    </row>
    <row r="226" spans="28:29" x14ac:dyDescent="0.3">
      <c r="AB226" t="str">
        <f>IF(U226="","",_xll.EpBsStandardSwaptionPrice($C$2,$O$2,V226,W226,X226,Y226,Z226,AA226))</f>
        <v/>
      </c>
      <c r="AC226" t="str">
        <f>IF(U226="","",_xll.EpLgm1fStandardSwaptionPrice($C$2,$O$3,$O$2,V226,W226,X226,Y226,Z226))</f>
        <v/>
      </c>
    </row>
    <row r="227" spans="28:29" x14ac:dyDescent="0.3">
      <c r="AB227" t="str">
        <f>IF(U227="","",_xll.EpBsStandardSwaptionPrice($C$2,$O$2,V227,W227,X227,Y227,Z227,AA227))</f>
        <v/>
      </c>
      <c r="AC227" t="str">
        <f>IF(U227="","",_xll.EpLgm1fStandardSwaptionPrice($C$2,$O$3,$O$2,V227,W227,X227,Y227,Z227))</f>
        <v/>
      </c>
    </row>
    <row r="228" spans="28:29" x14ac:dyDescent="0.3">
      <c r="AB228" t="str">
        <f>IF(U228="","",_xll.EpBsStandardSwaptionPrice($C$2,$O$2,V228,W228,X228,Y228,Z228,AA228))</f>
        <v/>
      </c>
      <c r="AC228" t="str">
        <f>IF(U228="","",_xll.EpLgm1fStandardSwaptionPrice($C$2,$O$3,$O$2,V228,W228,X228,Y228,Z228))</f>
        <v/>
      </c>
    </row>
    <row r="229" spans="28:29" x14ac:dyDescent="0.3">
      <c r="AB229" t="str">
        <f>IF(U229="","",_xll.EpBsStandardSwaptionPrice($C$2,$O$2,V229,W229,X229,Y229,Z229,AA229))</f>
        <v/>
      </c>
      <c r="AC229" t="str">
        <f>IF(U229="","",_xll.EpLgm1fStandardSwaptionPrice($C$2,$O$3,$O$2,V229,W229,X229,Y229,Z229))</f>
        <v/>
      </c>
    </row>
    <row r="230" spans="28:29" x14ac:dyDescent="0.3">
      <c r="AB230" t="str">
        <f>IF(U230="","",_xll.EpBsStandardSwaptionPrice($C$2,$O$2,V230,W230,X230,Y230,Z230,AA230))</f>
        <v/>
      </c>
      <c r="AC230" t="str">
        <f>IF(U230="","",_xll.EpLgm1fStandardSwaptionPrice($C$2,$O$3,$O$2,V230,W230,X230,Y230,Z230))</f>
        <v/>
      </c>
    </row>
    <row r="231" spans="28:29" x14ac:dyDescent="0.3">
      <c r="AB231" t="str">
        <f>IF(U231="","",_xll.EpBsStandardSwaptionPrice($C$2,$O$2,V231,W231,X231,Y231,Z231,AA231))</f>
        <v/>
      </c>
      <c r="AC231" t="str">
        <f>IF(U231="","",_xll.EpLgm1fStandardSwaptionPrice($C$2,$O$3,$O$2,V231,W231,X231,Y231,Z231))</f>
        <v/>
      </c>
    </row>
    <row r="232" spans="28:29" x14ac:dyDescent="0.3">
      <c r="AB232" t="str">
        <f>IF(U232="","",_xll.EpBsStandardSwaptionPrice($C$2,$O$2,V232,W232,X232,Y232,Z232,AA232))</f>
        <v/>
      </c>
      <c r="AC232" t="str">
        <f>IF(U232="","",_xll.EpLgm1fStandardSwaptionPrice($C$2,$O$3,$O$2,V232,W232,X232,Y232,Z232))</f>
        <v/>
      </c>
    </row>
    <row r="233" spans="28:29" x14ac:dyDescent="0.3">
      <c r="AB233" t="str">
        <f>IF(U233="","",_xll.EpBsStandardSwaptionPrice($C$2,$O$2,V233,W233,X233,Y233,Z233,AA233))</f>
        <v/>
      </c>
      <c r="AC233" t="str">
        <f>IF(U233="","",_xll.EpLgm1fStandardSwaptionPrice($C$2,$O$3,$O$2,V233,W233,X233,Y233,Z233))</f>
        <v/>
      </c>
    </row>
    <row r="234" spans="28:29" x14ac:dyDescent="0.3">
      <c r="AB234" t="str">
        <f>IF(U234="","",_xll.EpBsStandardSwaptionPrice($C$2,$O$2,V234,W234,X234,Y234,Z234,AA234))</f>
        <v/>
      </c>
      <c r="AC234" t="str">
        <f>IF(U234="","",_xll.EpLgm1fStandardSwaptionPrice($C$2,$O$3,$O$2,V234,W234,X234,Y234,Z234))</f>
        <v/>
      </c>
    </row>
    <row r="235" spans="28:29" x14ac:dyDescent="0.3">
      <c r="AB235" t="str">
        <f>IF(U235="","",_xll.EpBsStandardSwaptionPrice($C$2,$O$2,V235,W235,X235,Y235,Z235,AA235))</f>
        <v/>
      </c>
      <c r="AC235" t="str">
        <f>IF(U235="","",_xll.EpLgm1fStandardSwaptionPrice($C$2,$O$3,$O$2,V235,W235,X235,Y235,Z235))</f>
        <v/>
      </c>
    </row>
    <row r="236" spans="28:29" x14ac:dyDescent="0.3">
      <c r="AB236" t="str">
        <f>IF(U236="","",_xll.EpBsStandardSwaptionPrice($C$2,$O$2,V236,W236,X236,Y236,Z236,AA236))</f>
        <v/>
      </c>
      <c r="AC236" t="str">
        <f>IF(U236="","",_xll.EpLgm1fStandardSwaptionPrice($C$2,$O$3,$O$2,V236,W236,X236,Y236,Z236))</f>
        <v/>
      </c>
    </row>
    <row r="237" spans="28:29" x14ac:dyDescent="0.3">
      <c r="AB237" t="str">
        <f>IF(U237="","",_xll.EpBsStandardSwaptionPrice($C$2,$O$2,V237,W237,X237,Y237,Z237,AA237))</f>
        <v/>
      </c>
      <c r="AC237" t="str">
        <f>IF(U237="","",_xll.EpLgm1fStandardSwaptionPrice($C$2,$O$3,$O$2,V237,W237,X237,Y237,Z237))</f>
        <v/>
      </c>
    </row>
    <row r="238" spans="28:29" x14ac:dyDescent="0.3">
      <c r="AB238" t="str">
        <f>IF(U238="","",_xll.EpBsStandardSwaptionPrice($C$2,$O$2,V238,W238,X238,Y238,Z238,AA238))</f>
        <v/>
      </c>
      <c r="AC238" t="str">
        <f>IF(U238="","",_xll.EpLgm1fStandardSwaptionPrice($C$2,$O$3,$O$2,V238,W238,X238,Y238,Z238))</f>
        <v/>
      </c>
    </row>
    <row r="239" spans="28:29" x14ac:dyDescent="0.3">
      <c r="AB239" t="str">
        <f>IF(U239="","",_xll.EpBsStandardSwaptionPrice($C$2,$O$2,V239,W239,X239,Y239,Z239,AA239))</f>
        <v/>
      </c>
      <c r="AC239" t="str">
        <f>IF(U239="","",_xll.EpLgm1fStandardSwaptionPrice($C$2,$O$3,$O$2,V239,W239,X239,Y239,Z239))</f>
        <v/>
      </c>
    </row>
    <row r="240" spans="28:29" x14ac:dyDescent="0.3">
      <c r="AB240" t="str">
        <f>IF(U240="","",_xll.EpBsStandardSwaptionPrice($C$2,$O$2,V240,W240,X240,Y240,Z240,AA240))</f>
        <v/>
      </c>
      <c r="AC240" t="str">
        <f>IF(U240="","",_xll.EpLgm1fStandardSwaptionPrice($C$2,$O$3,$O$2,V240,W240,X240,Y240,Z240))</f>
        <v/>
      </c>
    </row>
    <row r="241" spans="28:29" x14ac:dyDescent="0.3">
      <c r="AB241" t="str">
        <f>IF(U241="","",_xll.EpBsStandardSwaptionPrice($C$2,$O$2,V241,W241,X241,Y241,Z241,AA241))</f>
        <v/>
      </c>
      <c r="AC241" t="str">
        <f>IF(U241="","",_xll.EpLgm1fStandardSwaptionPrice($C$2,$O$3,$O$2,V241,W241,X241,Y241,Z241))</f>
        <v/>
      </c>
    </row>
    <row r="242" spans="28:29" x14ac:dyDescent="0.3">
      <c r="AB242" t="str">
        <f>IF(U242="","",_xll.EpBsStandardSwaptionPrice($C$2,$O$2,V242,W242,X242,Y242,Z242,AA242))</f>
        <v/>
      </c>
      <c r="AC242" t="str">
        <f>IF(U242="","",_xll.EpLgm1fStandardSwaptionPrice($C$2,$O$3,$O$2,V242,W242,X242,Y242,Z242))</f>
        <v/>
      </c>
    </row>
    <row r="243" spans="28:29" x14ac:dyDescent="0.3">
      <c r="AB243" t="str">
        <f>IF(U243="","",_xll.EpBsStandardSwaptionPrice($C$2,$O$2,V243,W243,X243,Y243,Z243,AA243))</f>
        <v/>
      </c>
      <c r="AC243" t="str">
        <f>IF(U243="","",_xll.EpLgm1fStandardSwaptionPrice($C$2,$O$3,$O$2,V243,W243,X243,Y243,Z243))</f>
        <v/>
      </c>
    </row>
    <row r="244" spans="28:29" x14ac:dyDescent="0.3">
      <c r="AB244" t="str">
        <f>IF(U244="","",_xll.EpBsStandardSwaptionPrice($C$2,$O$2,V244,W244,X244,Y244,Z244,AA244))</f>
        <v/>
      </c>
      <c r="AC244" t="str">
        <f>IF(U244="","",_xll.EpLgm1fStandardSwaptionPrice($C$2,$O$3,$O$2,V244,W244,X244,Y244,Z244))</f>
        <v/>
      </c>
    </row>
    <row r="245" spans="28:29" x14ac:dyDescent="0.3">
      <c r="AB245" t="str">
        <f>IF(U245="","",_xll.EpBsStandardSwaptionPrice($C$2,$O$2,V245,W245,X245,Y245,Z245,AA245))</f>
        <v/>
      </c>
      <c r="AC245" t="str">
        <f>IF(U245="","",_xll.EpLgm1fStandardSwaptionPrice($C$2,$O$3,$O$2,V245,W245,X245,Y245,Z245))</f>
        <v/>
      </c>
    </row>
    <row r="246" spans="28:29" x14ac:dyDescent="0.3">
      <c r="AB246" t="str">
        <f>IF(U246="","",_xll.EpBsStandardSwaptionPrice($C$2,$O$2,V246,W246,X246,Y246,Z246,AA246))</f>
        <v/>
      </c>
      <c r="AC246" t="str">
        <f>IF(U246="","",_xll.EpLgm1fStandardSwaptionPrice($C$2,$O$3,$O$2,V246,W246,X246,Y246,Z246))</f>
        <v/>
      </c>
    </row>
    <row r="247" spans="28:29" x14ac:dyDescent="0.3">
      <c r="AB247" t="str">
        <f>IF(U247="","",_xll.EpBsStandardSwaptionPrice($C$2,$O$2,V247,W247,X247,Y247,Z247,AA247))</f>
        <v/>
      </c>
      <c r="AC247" t="str">
        <f>IF(U247="","",_xll.EpLgm1fStandardSwaptionPrice($C$2,$O$3,$O$2,V247,W247,X247,Y247,Z247))</f>
        <v/>
      </c>
    </row>
    <row r="248" spans="28:29" x14ac:dyDescent="0.3">
      <c r="AB248" t="str">
        <f>IF(U248="","",_xll.EpBsStandardSwaptionPrice($C$2,$O$2,V248,W248,X248,Y248,Z248,AA248))</f>
        <v/>
      </c>
      <c r="AC248" t="str">
        <f>IF(U248="","",_xll.EpLgm1fStandardSwaptionPrice($C$2,$O$3,$O$2,V248,W248,X248,Y248,Z248))</f>
        <v/>
      </c>
    </row>
    <row r="249" spans="28:29" x14ac:dyDescent="0.3">
      <c r="AB249" t="str">
        <f>IF(U249="","",_xll.EpBsStandardSwaptionPrice($C$2,$O$2,V249,W249,X249,Y249,Z249,AA249))</f>
        <v/>
      </c>
      <c r="AC249" t="str">
        <f>IF(U249="","",_xll.EpLgm1fStandardSwaptionPrice($C$2,$O$3,$O$2,V249,W249,X249,Y249,Z249))</f>
        <v/>
      </c>
    </row>
    <row r="250" spans="28:29" x14ac:dyDescent="0.3">
      <c r="AB250" t="str">
        <f>IF(U250="","",_xll.EpBsStandardSwaptionPrice($C$2,$O$2,V250,W250,X250,Y250,Z250,AA250))</f>
        <v/>
      </c>
      <c r="AC250" t="str">
        <f>IF(U250="","",_xll.EpLgm1fStandardSwaptionPrice($C$2,$O$3,$O$2,V250,W250,X250,Y250,Z250))</f>
        <v/>
      </c>
    </row>
    <row r="251" spans="28:29" x14ac:dyDescent="0.3">
      <c r="AB251" t="str">
        <f>IF(U251="","",_xll.EpBsStandardSwaptionPrice($C$2,$O$2,V251,W251,X251,Y251,Z251,AA251))</f>
        <v/>
      </c>
      <c r="AC251" t="str">
        <f>IF(U251="","",_xll.EpLgm1fStandardSwaptionPrice($C$2,$O$3,$O$2,V251,W251,X251,Y251,Z251))</f>
        <v/>
      </c>
    </row>
    <row r="252" spans="28:29" x14ac:dyDescent="0.3">
      <c r="AB252" t="str">
        <f>IF(U252="","",_xll.EpBsStandardSwaptionPrice($C$2,$O$2,V252,W252,X252,Y252,Z252,AA252))</f>
        <v/>
      </c>
      <c r="AC252" t="str">
        <f>IF(U252="","",_xll.EpLgm1fStandardSwaptionPrice($C$2,$O$3,$O$2,V252,W252,X252,Y252,Z252))</f>
        <v/>
      </c>
    </row>
  </sheetData>
  <phoneticPr fontId="0" type="noConversion"/>
  <dataValidations count="3">
    <dataValidation type="list" allowBlank="1" showInputMessage="1" showErrorMessage="1" sqref="C10" xr:uid="{00000000-0002-0000-0300-000000000000}">
      <formula1>$AC$1:$AC$4</formula1>
    </dataValidation>
    <dataValidation type="list" allowBlank="1" showInputMessage="1" showErrorMessage="1" sqref="C11" xr:uid="{00000000-0002-0000-0300-000001000000}">
      <formula1>$AF$1:$AF$3</formula1>
    </dataValidation>
    <dataValidation type="list" allowBlank="1" showInputMessage="1" showErrorMessage="1" sqref="C7" xr:uid="{00000000-0002-0000-0300-000002000000}">
      <formula1>"CAP,FLOOR"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3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B1:AK65536"/>
  <sheetViews>
    <sheetView showGridLines="0" workbookViewId="0"/>
  </sheetViews>
  <sheetFormatPr baseColWidth="10" defaultRowHeight="12.45" x14ac:dyDescent="0.3"/>
  <cols>
    <col min="1" max="1" width="5" customWidth="1"/>
    <col min="3" max="3" width="16.53515625" customWidth="1"/>
    <col min="6" max="6" width="18.84375" customWidth="1"/>
    <col min="8" max="8" width="13.84375" customWidth="1"/>
    <col min="9" max="9" width="16.3046875" customWidth="1"/>
    <col min="10" max="10" width="11.69140625" bestFit="1" customWidth="1"/>
    <col min="11" max="11" width="11.53515625" bestFit="1" customWidth="1"/>
    <col min="16" max="16" width="12.69140625" bestFit="1" customWidth="1"/>
    <col min="18" max="18" width="15.3046875" bestFit="1" customWidth="1"/>
  </cols>
  <sheetData>
    <row r="1" spans="2:37" x14ac:dyDescent="0.3">
      <c r="AB1" s="22" t="s">
        <v>68</v>
      </c>
      <c r="AC1" s="22">
        <v>12</v>
      </c>
      <c r="AD1" s="22"/>
      <c r="AE1" s="22" t="s">
        <v>27</v>
      </c>
      <c r="AG1" s="22" t="s">
        <v>38</v>
      </c>
      <c r="AH1" s="22">
        <f>COUNT(B22:B141)</f>
        <v>20</v>
      </c>
      <c r="AJ1" s="22"/>
      <c r="AK1" s="23"/>
    </row>
    <row r="2" spans="2:37" x14ac:dyDescent="0.3">
      <c r="B2" s="12" t="s">
        <v>22</v>
      </c>
      <c r="C2" s="95">
        <f>'Courbe des taux'!D2</f>
        <v>45296</v>
      </c>
      <c r="AB2" s="22" t="s">
        <v>69</v>
      </c>
      <c r="AC2" s="22">
        <v>6</v>
      </c>
      <c r="AD2" s="22"/>
      <c r="AE2" s="22" t="s">
        <v>28</v>
      </c>
      <c r="AG2" s="22" t="s">
        <v>40</v>
      </c>
      <c r="AH2" s="22">
        <f>COUNT(J22:J141)</f>
        <v>20</v>
      </c>
      <c r="AJ2" s="22"/>
      <c r="AK2" s="23"/>
    </row>
    <row r="3" spans="2:37" x14ac:dyDescent="0.3">
      <c r="P3" s="18"/>
      <c r="AB3" s="22" t="s">
        <v>70</v>
      </c>
      <c r="AC3" s="22">
        <v>3</v>
      </c>
      <c r="AD3" s="22"/>
      <c r="AE3" s="22" t="s">
        <v>29</v>
      </c>
      <c r="AG3" s="22"/>
      <c r="AH3" s="22"/>
      <c r="AJ3" s="22"/>
      <c r="AK3" s="23"/>
    </row>
    <row r="4" spans="2:37" x14ac:dyDescent="0.3">
      <c r="AB4" s="22" t="s">
        <v>71</v>
      </c>
      <c r="AC4" s="22">
        <v>1</v>
      </c>
      <c r="AD4" s="22"/>
      <c r="AE4" s="22"/>
    </row>
    <row r="5" spans="2:37" ht="12.9" x14ac:dyDescent="0.35">
      <c r="B5" s="12" t="s">
        <v>67</v>
      </c>
      <c r="C5" s="12"/>
      <c r="E5" s="13" t="s">
        <v>84</v>
      </c>
      <c r="F5" s="44">
        <f>SUM(K22:K141)</f>
        <v>3948711.5088951932</v>
      </c>
      <c r="AB5" s="22"/>
      <c r="AC5" s="22"/>
      <c r="AD5" s="22"/>
      <c r="AE5" s="22"/>
    </row>
    <row r="6" spans="2:37" ht="12.9" x14ac:dyDescent="0.35">
      <c r="B6" t="s">
        <v>39</v>
      </c>
      <c r="C6" s="42">
        <v>100000000</v>
      </c>
      <c r="E6" s="13" t="s">
        <v>85</v>
      </c>
      <c r="F6" s="44">
        <f>SUM(L22:L141)</f>
        <v>4012070.3772170455</v>
      </c>
    </row>
    <row r="7" spans="2:37" ht="18" thickBot="1" x14ac:dyDescent="0.45">
      <c r="B7" t="s">
        <v>41</v>
      </c>
      <c r="C7" s="24">
        <f>C2+2</f>
        <v>45298</v>
      </c>
      <c r="E7" s="41" t="s">
        <v>73</v>
      </c>
      <c r="F7" s="36">
        <f>F6-F5</f>
        <v>63358.868321852293</v>
      </c>
      <c r="G7" s="13" t="s">
        <v>86</v>
      </c>
    </row>
    <row r="8" spans="2:37" x14ac:dyDescent="0.3">
      <c r="B8" t="s">
        <v>42</v>
      </c>
      <c r="C8" s="24">
        <v>48951</v>
      </c>
    </row>
    <row r="9" spans="2:37" ht="18" thickBot="1" x14ac:dyDescent="0.45">
      <c r="B9" t="s">
        <v>72</v>
      </c>
      <c r="C9" s="17" t="s">
        <v>69</v>
      </c>
      <c r="E9" s="41" t="s">
        <v>74</v>
      </c>
      <c r="F9" s="40">
        <f>F7/SUMPRODUCT(E22:E141,F22:F141,J22:J141)*10000</f>
        <v>0.71413824642588142</v>
      </c>
    </row>
    <row r="10" spans="2:37" x14ac:dyDescent="0.3">
      <c r="B10" t="s">
        <v>43</v>
      </c>
      <c r="C10" s="17" t="s">
        <v>27</v>
      </c>
    </row>
    <row r="11" spans="2:37" ht="12.9" x14ac:dyDescent="0.35">
      <c r="B11" t="s">
        <v>78</v>
      </c>
      <c r="C11" s="14">
        <v>1.4999999999999999E-2</v>
      </c>
      <c r="E11" s="13" t="s">
        <v>77</v>
      </c>
      <c r="F11" s="43">
        <f>SUMPRODUCT(E22:E141,I22:I141,J22:J141)/SUMPRODUCT(E22:E141,J22:J141)</f>
        <v>2.5658911182607314E-2</v>
      </c>
    </row>
    <row r="12" spans="2:37" x14ac:dyDescent="0.3">
      <c r="B12" t="s">
        <v>79</v>
      </c>
      <c r="C12" s="14">
        <v>3.5000000000000003E-2</v>
      </c>
    </row>
    <row r="13" spans="2:37" x14ac:dyDescent="0.3">
      <c r="B13" s="16" t="s">
        <v>119</v>
      </c>
      <c r="C13" s="14">
        <v>1.03E-2</v>
      </c>
      <c r="E13" s="39"/>
    </row>
    <row r="14" spans="2:37" x14ac:dyDescent="0.3">
      <c r="B14" s="16" t="s">
        <v>118</v>
      </c>
      <c r="C14" s="14">
        <v>1.0200000000000001E-2</v>
      </c>
    </row>
    <row r="19" spans="2:14" ht="12.9" x14ac:dyDescent="0.35">
      <c r="B19" s="13" t="s">
        <v>65</v>
      </c>
      <c r="L19" s="13"/>
    </row>
    <row r="21" spans="2:14" x14ac:dyDescent="0.3">
      <c r="B21" s="27" t="s">
        <v>55</v>
      </c>
      <c r="C21" s="27" t="s">
        <v>46</v>
      </c>
      <c r="D21" s="27" t="s">
        <v>47</v>
      </c>
      <c r="E21" s="27" t="s">
        <v>56</v>
      </c>
      <c r="F21" s="27" t="s">
        <v>158</v>
      </c>
      <c r="G21" s="27" t="s">
        <v>82</v>
      </c>
      <c r="H21" s="27" t="s">
        <v>81</v>
      </c>
      <c r="I21" s="27" t="s">
        <v>51</v>
      </c>
      <c r="J21" s="27" t="s">
        <v>54</v>
      </c>
      <c r="K21" s="27" t="s">
        <v>83</v>
      </c>
      <c r="L21" s="27" t="s">
        <v>80</v>
      </c>
      <c r="N21" s="29"/>
    </row>
    <row r="22" spans="2:14" x14ac:dyDescent="0.3">
      <c r="B22" s="97">
        <f t="shared" ref="B22:B53" si="0">IF(C22="","",C22-2)</f>
        <v>45296</v>
      </c>
      <c r="C22" s="97">
        <f>C7</f>
        <v>45298</v>
      </c>
      <c r="D22" s="97">
        <f t="shared" ref="D22:D53" si="1">IF(C22="","",DATE(YEAR(C22),MONTH(C22)+VLOOKUP($C$9,$AB$1:$AC$4,2,FALSE),DAY(C22)))</f>
        <v>45480</v>
      </c>
      <c r="E22" s="8">
        <f t="shared" ref="E22:E53" si="2">IF(B22="","",IF($C$10="30/360",DAYS360(C22,D22)/360,IF($C$10="ACT/360",(D22-C22)/360,IF($C$10="ACT/365",(D22-C22)/365))))</f>
        <v>0.50555555555555554</v>
      </c>
      <c r="F22" s="31">
        <f t="shared" ref="F22:F53" si="3">IF(B22="","",$C$6)</f>
        <v>100000000</v>
      </c>
      <c r="G22" s="11">
        <f t="shared" ref="G22:G53" si="4">IF(B22="","",$C$11)</f>
        <v>1.4999999999999999E-2</v>
      </c>
      <c r="H22" s="11">
        <f>IF(B22="","",$C$12)</f>
        <v>3.5000000000000003E-2</v>
      </c>
      <c r="I22" s="28">
        <f t="shared" ref="I22:I53" si="5">IF(B22="","",(DF(C22-$C$2,Maturities,ZcRates)/DF(D22-$C$2,Maturities,ZcRates)-1)/E22)</f>
        <v>3.9100000000000093E-2</v>
      </c>
      <c r="J22" s="8">
        <f t="shared" ref="J22:J53" si="6">IF(B22="","",DF(D22-$C$2,Maturities,ZcRates))</f>
        <v>0.98040352590362145</v>
      </c>
      <c r="K22" s="38">
        <f>IF(B22="","",E22*F22*J22*Normput((B22-$C$2)/365,G22,I22,$C$13))</f>
        <v>0</v>
      </c>
      <c r="L22" s="38">
        <f>IF(B22="","",E22*F22*J22*NORMcall((B22-$C$2)/365,H22,I22,$C$14))</f>
        <v>203215.86417480506</v>
      </c>
    </row>
    <row r="23" spans="2:14" x14ac:dyDescent="0.3">
      <c r="B23" s="97">
        <f t="shared" si="0"/>
        <v>45478</v>
      </c>
      <c r="C23" s="97">
        <f t="shared" ref="C23:C54" si="7">IF(OR(D22=$C$8,D22=""),"",D22)</f>
        <v>45480</v>
      </c>
      <c r="D23" s="97">
        <f t="shared" si="1"/>
        <v>45664</v>
      </c>
      <c r="E23" s="8">
        <f t="shared" si="2"/>
        <v>0.51111111111111107</v>
      </c>
      <c r="F23" s="31">
        <f t="shared" si="3"/>
        <v>100000000</v>
      </c>
      <c r="G23" s="11">
        <f t="shared" si="4"/>
        <v>1.4999999999999999E-2</v>
      </c>
      <c r="H23" s="11">
        <f t="shared" ref="H23:H86" si="8">IF(B23="","",$C$12)</f>
        <v>3.5000000000000003E-2</v>
      </c>
      <c r="I23" s="28">
        <f t="shared" si="5"/>
        <v>3.0568570363564588E-2</v>
      </c>
      <c r="J23" s="8">
        <f t="shared" si="6"/>
        <v>0.96532140607087813</v>
      </c>
      <c r="K23" s="38">
        <f>IF(B23="","",E23*F23*J23*Normput((B23-$C$2)/365,G23,I23,$C$13))</f>
        <v>2073.9096335431209</v>
      </c>
      <c r="L23" s="38">
        <f>IF(B23="","",E23*F23*J23*NORMcall((B23-$C$2)/365,H23,I23,$C$14))</f>
        <v>58467.743572251326</v>
      </c>
    </row>
    <row r="24" spans="2:14" x14ac:dyDescent="0.3">
      <c r="B24" s="97">
        <f t="shared" si="0"/>
        <v>45662</v>
      </c>
      <c r="C24" s="97">
        <f t="shared" si="7"/>
        <v>45664</v>
      </c>
      <c r="D24" s="97">
        <f t="shared" si="1"/>
        <v>45845</v>
      </c>
      <c r="E24" s="8">
        <f t="shared" si="2"/>
        <v>0.50277777777777777</v>
      </c>
      <c r="F24" s="31">
        <f t="shared" si="3"/>
        <v>100000000</v>
      </c>
      <c r="G24" s="11">
        <f t="shared" si="4"/>
        <v>1.4999999999999999E-2</v>
      </c>
      <c r="H24" s="11">
        <f t="shared" si="8"/>
        <v>3.5000000000000003E-2</v>
      </c>
      <c r="I24" s="28">
        <f t="shared" si="5"/>
        <v>2.6050249369767787E-2</v>
      </c>
      <c r="J24" s="8">
        <f t="shared" si="6"/>
        <v>0.9528415763981426</v>
      </c>
      <c r="K24" s="38">
        <f>IF(B24="","",E24*F24*J24*Normput((B24-$C$2)/365,G24,I24,$C$13))</f>
        <v>35869.49847360923</v>
      </c>
      <c r="L24" s="38">
        <f>IF(B24="","",E24*F24*J24*NORMcall((B24-$C$2)/365,H24,I24,$C$14))</f>
        <v>51320.886661225188</v>
      </c>
    </row>
    <row r="25" spans="2:14" x14ac:dyDescent="0.3">
      <c r="B25" s="97">
        <f t="shared" si="0"/>
        <v>45843</v>
      </c>
      <c r="C25" s="97">
        <f t="shared" si="7"/>
        <v>45845</v>
      </c>
      <c r="D25" s="97">
        <f t="shared" si="1"/>
        <v>46029</v>
      </c>
      <c r="E25" s="8">
        <f t="shared" si="2"/>
        <v>0.51111111111111107</v>
      </c>
      <c r="F25" s="31">
        <f t="shared" si="3"/>
        <v>100000000</v>
      </c>
      <c r="G25" s="11">
        <f t="shared" si="4"/>
        <v>1.4999999999999999E-2</v>
      </c>
      <c r="H25" s="11">
        <f t="shared" si="8"/>
        <v>3.5000000000000003E-2</v>
      </c>
      <c r="I25" s="28">
        <f t="shared" si="5"/>
        <v>2.0202883142269978E-2</v>
      </c>
      <c r="J25" s="8">
        <f t="shared" si="6"/>
        <v>0.94310317034796876</v>
      </c>
      <c r="K25" s="38">
        <f>IF(B25="","",E25*F25*J25*Normput((B25-$C$2)/365,G25,I25,$C$13))</f>
        <v>137433.07800563329</v>
      </c>
      <c r="L25" s="38">
        <f>IF(B25="","",E25*F25*J25*NORMcall((B25-$C$2)/365,H25,I25,$C$14))</f>
        <v>34817.80636958863</v>
      </c>
    </row>
    <row r="26" spans="2:14" x14ac:dyDescent="0.3">
      <c r="B26" s="97">
        <f t="shared" si="0"/>
        <v>46027</v>
      </c>
      <c r="C26" s="97">
        <f t="shared" si="7"/>
        <v>46029</v>
      </c>
      <c r="D26" s="97">
        <f t="shared" si="1"/>
        <v>46210</v>
      </c>
      <c r="E26" s="8">
        <f t="shared" si="2"/>
        <v>0.50277777777777777</v>
      </c>
      <c r="F26" s="31">
        <f t="shared" si="3"/>
        <v>100000000</v>
      </c>
      <c r="G26" s="11">
        <f t="shared" si="4"/>
        <v>1.4999999999999999E-2</v>
      </c>
      <c r="H26" s="11">
        <f t="shared" si="8"/>
        <v>3.5000000000000003E-2</v>
      </c>
      <c r="I26" s="28">
        <f t="shared" si="5"/>
        <v>2.3093422932798934E-2</v>
      </c>
      <c r="J26" s="8">
        <f t="shared" si="6"/>
        <v>0.93227861400705547</v>
      </c>
      <c r="K26" s="38">
        <f>IF(B26="","",E26*F26*J26*Normput((B26-$C$2)/365,G26,I26,$C$13))</f>
        <v>123860.12017025334</v>
      </c>
      <c r="L26" s="38">
        <f>IF(B26="","",E26*F26*J26*NORMcall((B26-$C$2)/365,H26,I26,$C$14))</f>
        <v>77830.824159297961</v>
      </c>
    </row>
    <row r="27" spans="2:14" x14ac:dyDescent="0.3">
      <c r="B27" s="97">
        <f t="shared" si="0"/>
        <v>46208</v>
      </c>
      <c r="C27" s="97">
        <f t="shared" si="7"/>
        <v>46210</v>
      </c>
      <c r="D27" s="97">
        <f t="shared" si="1"/>
        <v>46394</v>
      </c>
      <c r="E27" s="8">
        <f t="shared" si="2"/>
        <v>0.51111111111111107</v>
      </c>
      <c r="F27" s="31">
        <f t="shared" si="3"/>
        <v>100000000</v>
      </c>
      <c r="G27" s="11">
        <f t="shared" si="4"/>
        <v>1.4999999999999999E-2</v>
      </c>
      <c r="H27" s="11">
        <f t="shared" si="8"/>
        <v>3.5000000000000003E-2</v>
      </c>
      <c r="I27" s="28">
        <f t="shared" si="5"/>
        <v>2.0741167943473828E-2</v>
      </c>
      <c r="J27" s="8">
        <f t="shared" si="6"/>
        <v>0.92249916220322581</v>
      </c>
      <c r="K27" s="38">
        <f>IF(B27="","",E27*F27*J27*Normput((B27-$C$2)/365,G27,I27,$C$13))</f>
        <v>189749.97025549875</v>
      </c>
      <c r="L27" s="38">
        <f>IF(B27="","",E27*F27*J27*NORMcall((B27-$C$2)/365,H27,I27,$C$14))</f>
        <v>78560.745942353489</v>
      </c>
    </row>
    <row r="28" spans="2:14" x14ac:dyDescent="0.3">
      <c r="B28" s="97">
        <f t="shared" si="0"/>
        <v>46392</v>
      </c>
      <c r="C28" s="97">
        <f t="shared" si="7"/>
        <v>46394</v>
      </c>
      <c r="D28" s="97">
        <f t="shared" si="1"/>
        <v>46575</v>
      </c>
      <c r="E28" s="8">
        <f t="shared" si="2"/>
        <v>0.50277777777777777</v>
      </c>
      <c r="F28" s="31">
        <f t="shared" si="3"/>
        <v>100000000</v>
      </c>
      <c r="G28" s="11">
        <f t="shared" si="4"/>
        <v>1.4999999999999999E-2</v>
      </c>
      <c r="H28" s="11">
        <f t="shared" si="8"/>
        <v>3.5000000000000003E-2</v>
      </c>
      <c r="I28" s="28">
        <f t="shared" si="5"/>
        <v>2.3203814901961245E-2</v>
      </c>
      <c r="J28" s="8">
        <f t="shared" si="6"/>
        <v>0.91186106052841986</v>
      </c>
      <c r="K28" s="38">
        <f>IF(B28="","",E28*F28*J28*Normput((B28-$C$2)/365,G28,I28,$C$13))</f>
        <v>172277.85626926474</v>
      </c>
      <c r="L28" s="38">
        <f>IF(B28="","",E28*F28*J28*NORMcall((B28-$C$2)/365,H28,I28,$C$14))</f>
        <v>122308.47427911987</v>
      </c>
    </row>
    <row r="29" spans="2:14" x14ac:dyDescent="0.3">
      <c r="B29" s="97">
        <f t="shared" si="0"/>
        <v>46573</v>
      </c>
      <c r="C29" s="97">
        <f t="shared" si="7"/>
        <v>46575</v>
      </c>
      <c r="D29" s="97">
        <f t="shared" si="1"/>
        <v>46759</v>
      </c>
      <c r="E29" s="8">
        <f t="shared" si="2"/>
        <v>0.51111111111111107</v>
      </c>
      <c r="F29" s="31">
        <f t="shared" si="3"/>
        <v>100000000</v>
      </c>
      <c r="G29" s="11">
        <f t="shared" si="4"/>
        <v>1.4999999999999999E-2</v>
      </c>
      <c r="H29" s="11">
        <f t="shared" si="8"/>
        <v>3.5000000000000003E-2</v>
      </c>
      <c r="I29" s="28">
        <f t="shared" si="5"/>
        <v>2.2228562294004627E-2</v>
      </c>
      <c r="J29" s="8">
        <f t="shared" si="6"/>
        <v>0.901617544520947</v>
      </c>
      <c r="K29" s="38">
        <f>IF(B29="","",E29*F29*J29*Normput((B29-$C$2)/365,G29,I29,$C$13))</f>
        <v>212274.71700130054</v>
      </c>
      <c r="L29" s="38">
        <f>IF(B29="","",E29*F29*J29*NORMcall((B29-$C$2)/365,H29,I29,$C$14))</f>
        <v>132256.74900724387</v>
      </c>
    </row>
    <row r="30" spans="2:14" x14ac:dyDescent="0.3">
      <c r="B30" s="97">
        <f t="shared" si="0"/>
        <v>46757</v>
      </c>
      <c r="C30" s="97">
        <f t="shared" si="7"/>
        <v>46759</v>
      </c>
      <c r="D30" s="97">
        <f t="shared" si="1"/>
        <v>46941</v>
      </c>
      <c r="E30" s="8">
        <f t="shared" si="2"/>
        <v>0.50555555555555554</v>
      </c>
      <c r="F30" s="31">
        <f t="shared" si="3"/>
        <v>100000000</v>
      </c>
      <c r="G30" s="11">
        <f t="shared" si="4"/>
        <v>1.4999999999999999E-2</v>
      </c>
      <c r="H30" s="11">
        <f t="shared" si="8"/>
        <v>3.5000000000000003E-2</v>
      </c>
      <c r="I30" s="28">
        <f t="shared" si="5"/>
        <v>2.3863866748272386E-2</v>
      </c>
      <c r="J30" s="8">
        <f t="shared" si="6"/>
        <v>0.89086963849195866</v>
      </c>
      <c r="K30" s="38">
        <f>IF(B30="","",E30*F30*J30*Normput((B30-$C$2)/365,G30,I30,$C$13))</f>
        <v>204388.76538940347</v>
      </c>
      <c r="L30" s="38">
        <f>IF(B30="","",E30*F30*J30*NORMcall((B30-$C$2)/365,H30,I30,$C$14))</f>
        <v>169169.75006255743</v>
      </c>
    </row>
    <row r="31" spans="2:14" x14ac:dyDescent="0.3">
      <c r="B31" s="97">
        <f t="shared" si="0"/>
        <v>46939</v>
      </c>
      <c r="C31" s="97">
        <f t="shared" si="7"/>
        <v>46941</v>
      </c>
      <c r="D31" s="97">
        <f t="shared" si="1"/>
        <v>47125</v>
      </c>
      <c r="E31" s="8">
        <f t="shared" si="2"/>
        <v>0.51111111111111107</v>
      </c>
      <c r="F31" s="31">
        <f t="shared" si="3"/>
        <v>100000000</v>
      </c>
      <c r="G31" s="11">
        <f t="shared" si="4"/>
        <v>1.4999999999999999E-2</v>
      </c>
      <c r="H31" s="11">
        <f t="shared" si="8"/>
        <v>3.5000000000000003E-2</v>
      </c>
      <c r="I31" s="28">
        <f t="shared" si="5"/>
        <v>2.3468023127566306E-2</v>
      </c>
      <c r="J31" s="8">
        <f t="shared" si="6"/>
        <v>0.8803105186024025</v>
      </c>
      <c r="K31" s="38">
        <f>IF(B31="","",E31*F31*J31*Normput((B31-$C$2)/365,G31,I31,$C$13))</f>
        <v>230840.48987029371</v>
      </c>
      <c r="L31" s="38">
        <f>IF(B31="","",E31*F31*J31*NORMcall((B31-$C$2)/365,H31,I31,$C$14))</f>
        <v>182899.62394226663</v>
      </c>
    </row>
    <row r="32" spans="2:14" x14ac:dyDescent="0.3">
      <c r="B32" s="97">
        <f t="shared" si="0"/>
        <v>47123</v>
      </c>
      <c r="C32" s="97">
        <f t="shared" si="7"/>
        <v>47125</v>
      </c>
      <c r="D32" s="97">
        <f t="shared" si="1"/>
        <v>47306</v>
      </c>
      <c r="E32" s="8">
        <f t="shared" si="2"/>
        <v>0.50277777777777777</v>
      </c>
      <c r="F32" s="31">
        <f t="shared" si="3"/>
        <v>100000000</v>
      </c>
      <c r="G32" s="11">
        <f t="shared" si="4"/>
        <v>1.4999999999999999E-2</v>
      </c>
      <c r="H32" s="11">
        <f t="shared" si="8"/>
        <v>3.5000000000000003E-2</v>
      </c>
      <c r="I32" s="28">
        <f t="shared" si="5"/>
        <v>2.5085379076717238E-2</v>
      </c>
      <c r="J32" s="8">
        <f t="shared" si="6"/>
        <v>0.86934600414307117</v>
      </c>
      <c r="K32" s="38">
        <f>IF(B32="","",E32*F32*J32*Normput((B32-$C$2)/365,G32,I32,$C$13))</f>
        <v>219297.61832787588</v>
      </c>
      <c r="L32" s="38">
        <f>IF(B32="","",E32*F32*J32*NORMcall((B32-$C$2)/365,H32,I32,$C$14))</f>
        <v>218223.62632823919</v>
      </c>
      <c r="N32" s="21"/>
    </row>
    <row r="33" spans="2:31" x14ac:dyDescent="0.3">
      <c r="B33" s="97">
        <f t="shared" si="0"/>
        <v>47304</v>
      </c>
      <c r="C33" s="97">
        <f t="shared" si="7"/>
        <v>47306</v>
      </c>
      <c r="D33" s="97">
        <f t="shared" si="1"/>
        <v>47490</v>
      </c>
      <c r="E33" s="8">
        <f t="shared" si="2"/>
        <v>0.51111111111111107</v>
      </c>
      <c r="F33" s="31">
        <f t="shared" si="3"/>
        <v>100000000</v>
      </c>
      <c r="G33" s="11">
        <f t="shared" si="4"/>
        <v>1.4999999999999999E-2</v>
      </c>
      <c r="H33" s="11">
        <f t="shared" si="8"/>
        <v>3.5000000000000003E-2</v>
      </c>
      <c r="I33" s="28">
        <f t="shared" si="5"/>
        <v>2.5057943833990501E-2</v>
      </c>
      <c r="J33" s="8">
        <f t="shared" si="6"/>
        <v>0.85835274279133356</v>
      </c>
      <c r="K33" s="38">
        <f>IF(B33="","",E33*F33*J33*Normput((B33-$C$2)/365,G33,I33,$C$13))</f>
        <v>238324.32547406969</v>
      </c>
      <c r="L33" s="38">
        <f>IF(B33="","",E33*F33*J33*NORMcall((B33-$C$2)/365,H33,I33,$C$14))</f>
        <v>236281.51497526173</v>
      </c>
      <c r="N33" s="21"/>
    </row>
    <row r="34" spans="2:31" x14ac:dyDescent="0.3">
      <c r="B34" s="97">
        <f t="shared" si="0"/>
        <v>47488</v>
      </c>
      <c r="C34" s="97">
        <f t="shared" si="7"/>
        <v>47490</v>
      </c>
      <c r="D34" s="97">
        <f t="shared" si="1"/>
        <v>47671</v>
      </c>
      <c r="E34" s="8">
        <f t="shared" si="2"/>
        <v>0.50277777777777777</v>
      </c>
      <c r="F34" s="31">
        <f t="shared" si="3"/>
        <v>100000000</v>
      </c>
      <c r="G34" s="11">
        <f t="shared" si="4"/>
        <v>1.4999999999999999E-2</v>
      </c>
      <c r="H34" s="11">
        <f t="shared" si="8"/>
        <v>3.5000000000000003E-2</v>
      </c>
      <c r="I34" s="28">
        <f t="shared" si="5"/>
        <v>2.498333954551564E-2</v>
      </c>
      <c r="J34" s="8">
        <f t="shared" si="6"/>
        <v>0.84770466687916735</v>
      </c>
      <c r="K34" s="38">
        <f>IF(B34="","",E34*F34*J34*Normput((B34-$C$2)/365,G34,I34,$C$13))</f>
        <v>249572.15009904336</v>
      </c>
      <c r="L34" s="38">
        <f>IF(B34="","",E34*F34*J34*NORMcall((B34-$C$2)/365,H34,I34,$C$14))</f>
        <v>245232.45521527083</v>
      </c>
      <c r="N34" s="21"/>
    </row>
    <row r="35" spans="2:31" x14ac:dyDescent="0.3">
      <c r="B35" s="97">
        <f t="shared" si="0"/>
        <v>47669</v>
      </c>
      <c r="C35" s="97">
        <f t="shared" si="7"/>
        <v>47671</v>
      </c>
      <c r="D35" s="97">
        <f t="shared" si="1"/>
        <v>47855</v>
      </c>
      <c r="E35" s="8">
        <f t="shared" si="2"/>
        <v>0.51111111111111107</v>
      </c>
      <c r="F35" s="31">
        <f t="shared" si="3"/>
        <v>100000000</v>
      </c>
      <c r="G35" s="11">
        <f t="shared" si="4"/>
        <v>1.4999999999999999E-2</v>
      </c>
      <c r="H35" s="11">
        <f t="shared" si="8"/>
        <v>3.5000000000000003E-2</v>
      </c>
      <c r="I35" s="28">
        <f t="shared" si="5"/>
        <v>2.4949432257280312E-2</v>
      </c>
      <c r="J35" s="8">
        <f t="shared" si="6"/>
        <v>0.83703090565271954</v>
      </c>
      <c r="K35" s="38">
        <f>IF(B35="","",E35*F35*J35*Normput((B35-$C$2)/365,G35,I35,$C$13))</f>
        <v>267196.09427580499</v>
      </c>
      <c r="L35" s="38">
        <f>IF(B35="","",E35*F35*J35*NORMcall((B35-$C$2)/365,H35,I35,$C$14))</f>
        <v>261632.81429679386</v>
      </c>
      <c r="N35" s="21"/>
    </row>
    <row r="36" spans="2:31" x14ac:dyDescent="0.3">
      <c r="B36" s="97">
        <f t="shared" si="0"/>
        <v>47853</v>
      </c>
      <c r="C36" s="97">
        <f t="shared" si="7"/>
        <v>47855</v>
      </c>
      <c r="D36" s="97">
        <f t="shared" si="1"/>
        <v>48036</v>
      </c>
      <c r="E36" s="8">
        <f t="shared" si="2"/>
        <v>0.50277777777777777</v>
      </c>
      <c r="F36" s="31">
        <f t="shared" si="3"/>
        <v>100000000</v>
      </c>
      <c r="G36" s="11">
        <f t="shared" si="4"/>
        <v>1.4999999999999999E-2</v>
      </c>
      <c r="H36" s="11">
        <f t="shared" si="8"/>
        <v>3.5000000000000003E-2</v>
      </c>
      <c r="I36" s="28">
        <f t="shared" si="5"/>
        <v>2.6339955396473217E-2</v>
      </c>
      <c r="J36" s="8">
        <f t="shared" si="6"/>
        <v>0.82609086516910879</v>
      </c>
      <c r="K36" s="38">
        <f>IF(B36="","",E36*F36*J36*Normput((B36-$C$2)/365,G36,I36,$C$13))</f>
        <v>254749.65633513793</v>
      </c>
      <c r="L36" s="38">
        <f>IF(B36="","",E36*F36*J36*NORMcall((B36-$C$2)/365,H36,I36,$C$14))</f>
        <v>290311.34388405562</v>
      </c>
      <c r="N36" s="21"/>
    </row>
    <row r="37" spans="2:31" x14ac:dyDescent="0.3">
      <c r="B37" s="97">
        <f t="shared" si="0"/>
        <v>48034</v>
      </c>
      <c r="C37" s="97">
        <f t="shared" si="7"/>
        <v>48036</v>
      </c>
      <c r="D37" s="97">
        <f t="shared" si="1"/>
        <v>48220</v>
      </c>
      <c r="E37" s="8">
        <f t="shared" si="2"/>
        <v>0.51111111111111107</v>
      </c>
      <c r="F37" s="31">
        <f t="shared" si="3"/>
        <v>100000000</v>
      </c>
      <c r="G37" s="11">
        <f t="shared" si="4"/>
        <v>1.4999999999999999E-2</v>
      </c>
      <c r="H37" s="11">
        <f t="shared" si="8"/>
        <v>3.5000000000000003E-2</v>
      </c>
      <c r="I37" s="28">
        <f t="shared" si="5"/>
        <v>2.6496773296736123E-2</v>
      </c>
      <c r="J37" s="8">
        <f t="shared" si="6"/>
        <v>0.81505277236275409</v>
      </c>
      <c r="K37" s="38">
        <f>IF(B37="","",E37*F37*J37*Normput((B37-$C$2)/365,G37,I37,$C$13))</f>
        <v>267769.39081305551</v>
      </c>
      <c r="L37" s="38">
        <f>IF(B37="","",E37*F37*J37*NORMcall((B37-$C$2)/365,H37,I37,$C$14))</f>
        <v>308509.32892301772</v>
      </c>
      <c r="N37" s="21"/>
    </row>
    <row r="38" spans="2:31" x14ac:dyDescent="0.3">
      <c r="B38" s="97">
        <f t="shared" si="0"/>
        <v>48218</v>
      </c>
      <c r="C38" s="97">
        <f t="shared" si="7"/>
        <v>48220</v>
      </c>
      <c r="D38" s="97">
        <f t="shared" si="1"/>
        <v>48402</v>
      </c>
      <c r="E38" s="8">
        <f t="shared" si="2"/>
        <v>0.50555555555555554</v>
      </c>
      <c r="F38" s="31">
        <f t="shared" si="3"/>
        <v>100000000</v>
      </c>
      <c r="G38" s="11">
        <f t="shared" si="4"/>
        <v>1.4999999999999999E-2</v>
      </c>
      <c r="H38" s="11">
        <f t="shared" si="8"/>
        <v>3.5000000000000003E-2</v>
      </c>
      <c r="I38" s="28">
        <f t="shared" si="5"/>
        <v>2.6562985087297947E-2</v>
      </c>
      <c r="J38" s="8">
        <f t="shared" si="6"/>
        <v>0.80425241466474395</v>
      </c>
      <c r="K38" s="38">
        <f>IF(B38="","",E38*F38*J38*Normput((B38-$C$2)/365,G38,I38,$C$13))</f>
        <v>274374.55253859231</v>
      </c>
      <c r="L38" s="38">
        <f>IF(B38="","",E38*F38*J38*NORMcall((B38-$C$2)/365,H38,I38,$C$14))</f>
        <v>316469.61421818013</v>
      </c>
      <c r="N38" s="21"/>
    </row>
    <row r="39" spans="2:31" x14ac:dyDescent="0.3">
      <c r="B39" s="97">
        <f t="shared" si="0"/>
        <v>48400</v>
      </c>
      <c r="C39" s="97">
        <f t="shared" si="7"/>
        <v>48402</v>
      </c>
      <c r="D39" s="97">
        <f t="shared" si="1"/>
        <v>48586</v>
      </c>
      <c r="E39" s="8">
        <f t="shared" si="2"/>
        <v>0.51111111111111107</v>
      </c>
      <c r="F39" s="31">
        <f t="shared" si="3"/>
        <v>100000000</v>
      </c>
      <c r="G39" s="11">
        <f t="shared" si="4"/>
        <v>1.4999999999999999E-2</v>
      </c>
      <c r="H39" s="11">
        <f t="shared" si="8"/>
        <v>3.5000000000000003E-2</v>
      </c>
      <c r="I39" s="28">
        <f t="shared" si="5"/>
        <v>2.6709135830327305E-2</v>
      </c>
      <c r="J39" s="8">
        <f t="shared" si="6"/>
        <v>0.79342115580509442</v>
      </c>
      <c r="K39" s="38">
        <f>IF(B39="","",E39*F39*J39*Normput((B39-$C$2)/365,G39,I39,$C$13))</f>
        <v>284982.22175989469</v>
      </c>
      <c r="L39" s="38">
        <f>IF(B39="","",E39*F39*J39*NORMcall((B39-$C$2)/365,H39,I39,$C$14))</f>
        <v>331685.0310660731</v>
      </c>
      <c r="N39" s="21"/>
    </row>
    <row r="40" spans="2:31" x14ac:dyDescent="0.3">
      <c r="B40" s="97">
        <f t="shared" si="0"/>
        <v>48584</v>
      </c>
      <c r="C40" s="97">
        <f t="shared" si="7"/>
        <v>48586</v>
      </c>
      <c r="D40" s="97">
        <f t="shared" si="1"/>
        <v>48767</v>
      </c>
      <c r="E40" s="8">
        <f t="shared" si="2"/>
        <v>0.50277777777777777</v>
      </c>
      <c r="F40" s="31">
        <f t="shared" si="3"/>
        <v>100000000</v>
      </c>
      <c r="G40" s="11">
        <f t="shared" si="4"/>
        <v>1.4999999999999999E-2</v>
      </c>
      <c r="H40" s="11">
        <f t="shared" si="8"/>
        <v>3.5000000000000003E-2</v>
      </c>
      <c r="I40" s="28">
        <f t="shared" si="5"/>
        <v>2.6926550676594104E-2</v>
      </c>
      <c r="J40" s="8">
        <f t="shared" si="6"/>
        <v>0.78282323897090333</v>
      </c>
      <c r="K40" s="38">
        <f>IF(B40="","",E40*F40*J40*Normput((B40-$C$2)/365,G40,I40,$C$13))</f>
        <v>286383.60977699747</v>
      </c>
      <c r="L40" s="38">
        <f>IF(B40="","",E40*F40*J40*NORMcall((B40-$C$2)/365,H40,I40,$C$14))</f>
        <v>338434.25215062336</v>
      </c>
      <c r="N40" s="21"/>
    </row>
    <row r="41" spans="2:31" x14ac:dyDescent="0.3">
      <c r="B41" s="97">
        <f t="shared" si="0"/>
        <v>48765</v>
      </c>
      <c r="C41" s="97">
        <f t="shared" si="7"/>
        <v>48767</v>
      </c>
      <c r="D41" s="97">
        <f t="shared" si="1"/>
        <v>48951</v>
      </c>
      <c r="E41" s="8">
        <f t="shared" si="2"/>
        <v>0.51111111111111107</v>
      </c>
      <c r="F41" s="31">
        <f t="shared" si="3"/>
        <v>100000000</v>
      </c>
      <c r="G41" s="11">
        <f t="shared" si="4"/>
        <v>1.4999999999999999E-2</v>
      </c>
      <c r="H41" s="11">
        <f t="shared" si="8"/>
        <v>3.5000000000000003E-2</v>
      </c>
      <c r="I41" s="28">
        <f t="shared" si="5"/>
        <v>2.7081405289260424E-2</v>
      </c>
      <c r="J41" s="8">
        <f t="shared" si="6"/>
        <v>0.7721356407665636</v>
      </c>
      <c r="K41" s="38">
        <f>IF(B41="","",E41*F41*J41*Normput((B41-$C$2)/365,G41,I41,$C$13))</f>
        <v>297293.48442592076</v>
      </c>
      <c r="L41" s="38">
        <f>IF(B41="","",E41*F41*J41*NORMcall((B41-$C$2)/365,H41,I41,$C$14))</f>
        <v>354441.9279888203</v>
      </c>
      <c r="N41" s="21"/>
    </row>
    <row r="42" spans="2:31" x14ac:dyDescent="0.3">
      <c r="B42" s="97" t="str">
        <f t="shared" si="0"/>
        <v/>
      </c>
      <c r="C42" s="97" t="str">
        <f t="shared" si="7"/>
        <v/>
      </c>
      <c r="D42" s="97" t="str">
        <f t="shared" si="1"/>
        <v/>
      </c>
      <c r="E42" s="8" t="str">
        <f t="shared" si="2"/>
        <v/>
      </c>
      <c r="F42" s="31" t="str">
        <f t="shared" si="3"/>
        <v/>
      </c>
      <c r="G42" s="11" t="str">
        <f t="shared" si="4"/>
        <v/>
      </c>
      <c r="H42" s="11" t="str">
        <f t="shared" si="8"/>
        <v/>
      </c>
      <c r="I42" s="28" t="str">
        <f t="shared" si="5"/>
        <v/>
      </c>
      <c r="J42" s="8" t="str">
        <f t="shared" si="6"/>
        <v/>
      </c>
      <c r="K42" s="38" t="str">
        <f>IF(B42="","",E42*F42*J42*Normput((B42-$C$2)/365,G42,I42,$C$13))</f>
        <v/>
      </c>
      <c r="L42" s="38" t="str">
        <f>IF(B42="","",E42*F42*J42*NORMcall((B42-$C$2)/365,H42,I42,$C$14))</f>
        <v/>
      </c>
      <c r="N42" s="21"/>
      <c r="W42" s="21" t="str">
        <f t="shared" ref="W42:W73" si="9">IF(U42="","",X42-2)</f>
        <v/>
      </c>
      <c r="X42" s="21" t="str">
        <f t="shared" ref="X42:X73" si="10">IF(U42="","",U42+$J$8)</f>
        <v/>
      </c>
      <c r="Y42" s="21" t="str">
        <f t="shared" ref="Y42:Y73" si="11">IF(U42="","",$C$8)</f>
        <v/>
      </c>
      <c r="Z42" s="1" t="str">
        <f t="shared" ref="Z42:Z73" si="12">IF(U42="","","RECEIVER")</f>
        <v/>
      </c>
      <c r="AA42" s="1" t="str">
        <f t="shared" ref="AA42:AA73" si="13">IF(U42="","","ABS")</f>
        <v/>
      </c>
      <c r="AB42" s="26" t="str">
        <f>IF(U42="","",#REF!)</f>
        <v/>
      </c>
      <c r="AC42" s="11" t="str">
        <f t="shared" ref="AC42:AC73" si="14">IF(U42="","",$Z$19)</f>
        <v/>
      </c>
      <c r="AD42" s="28" t="str">
        <f>IF(W42="","",_xll.EpBsStandardSwaptionPrice($C$2,$N$2,X42,Y42,Z42,AA42,AB42,AC42))</f>
        <v/>
      </c>
      <c r="AE42" s="28" t="str">
        <f>IF(W42="","",_xll.EpLgm1fStandardSwaptionPrice($C$2,$N$3,$N$2,X42,Y42,Z42,AA42,AB42))</f>
        <v/>
      </c>
    </row>
    <row r="43" spans="2:31" x14ac:dyDescent="0.3">
      <c r="B43" s="97" t="str">
        <f t="shared" si="0"/>
        <v/>
      </c>
      <c r="C43" s="97" t="str">
        <f t="shared" si="7"/>
        <v/>
      </c>
      <c r="D43" s="97" t="str">
        <f t="shared" si="1"/>
        <v/>
      </c>
      <c r="E43" s="8" t="str">
        <f t="shared" si="2"/>
        <v/>
      </c>
      <c r="F43" s="31" t="str">
        <f t="shared" si="3"/>
        <v/>
      </c>
      <c r="G43" s="11" t="str">
        <f t="shared" si="4"/>
        <v/>
      </c>
      <c r="H43" s="11" t="str">
        <f t="shared" si="8"/>
        <v/>
      </c>
      <c r="I43" s="28" t="str">
        <f t="shared" si="5"/>
        <v/>
      </c>
      <c r="J43" s="8" t="str">
        <f t="shared" si="6"/>
        <v/>
      </c>
      <c r="K43" s="38" t="str">
        <f>IF(B43="","",E43*F43*J43*Normput((B43-$C$2)/365,G43,I43,$C$13))</f>
        <v/>
      </c>
      <c r="L43" s="38" t="str">
        <f>IF(B43="","",E43*F43*J43*NORMcall((B43-$C$2)/365,H43,I43,$C$14))</f>
        <v/>
      </c>
      <c r="N43" s="21"/>
      <c r="W43" s="21" t="str">
        <f t="shared" si="9"/>
        <v/>
      </c>
      <c r="X43" s="21" t="str">
        <f t="shared" si="10"/>
        <v/>
      </c>
      <c r="Y43" s="21" t="str">
        <f t="shared" si="11"/>
        <v/>
      </c>
      <c r="Z43" s="1" t="str">
        <f t="shared" si="12"/>
        <v/>
      </c>
      <c r="AA43" s="1" t="str">
        <f t="shared" si="13"/>
        <v/>
      </c>
      <c r="AB43" s="26" t="str">
        <f>IF(U43="","",#REF!)</f>
        <v/>
      </c>
      <c r="AC43" s="11" t="str">
        <f t="shared" si="14"/>
        <v/>
      </c>
      <c r="AD43" s="28" t="str">
        <f>IF(W43="","",_xll.EpBsStandardSwaptionPrice($C$2,$N$2,X43,Y43,Z43,AA43,AB43,AC43))</f>
        <v/>
      </c>
      <c r="AE43" s="28" t="str">
        <f>IF(W43="","",_xll.EpLgm1fStandardSwaptionPrice($C$2,$N$3,$N$2,X43,Y43,Z43,AA43,AB43))</f>
        <v/>
      </c>
    </row>
    <row r="44" spans="2:31" x14ac:dyDescent="0.3">
      <c r="B44" s="97" t="str">
        <f t="shared" si="0"/>
        <v/>
      </c>
      <c r="C44" s="97" t="str">
        <f t="shared" si="7"/>
        <v/>
      </c>
      <c r="D44" s="97" t="str">
        <f t="shared" si="1"/>
        <v/>
      </c>
      <c r="E44" s="8" t="str">
        <f t="shared" si="2"/>
        <v/>
      </c>
      <c r="F44" s="31" t="str">
        <f t="shared" si="3"/>
        <v/>
      </c>
      <c r="G44" s="11" t="str">
        <f t="shared" si="4"/>
        <v/>
      </c>
      <c r="H44" s="11" t="str">
        <f t="shared" si="8"/>
        <v/>
      </c>
      <c r="I44" s="28" t="str">
        <f t="shared" si="5"/>
        <v/>
      </c>
      <c r="J44" s="8" t="str">
        <f t="shared" si="6"/>
        <v/>
      </c>
      <c r="K44" s="38" t="str">
        <f>IF(B44="","",E44*F44*J44*Normput((B44-$C$2)/365,G44,I44,$C$13))</f>
        <v/>
      </c>
      <c r="L44" s="38" t="str">
        <f>IF(B44="","",E44*F44*J44*NORMcall((B44-$C$2)/365,H44,I44,$C$14))</f>
        <v/>
      </c>
      <c r="N44" s="21"/>
      <c r="W44" s="21" t="str">
        <f t="shared" si="9"/>
        <v/>
      </c>
      <c r="X44" s="21" t="str">
        <f t="shared" si="10"/>
        <v/>
      </c>
      <c r="Y44" s="21" t="str">
        <f t="shared" si="11"/>
        <v/>
      </c>
      <c r="Z44" s="1" t="str">
        <f t="shared" si="12"/>
        <v/>
      </c>
      <c r="AA44" s="1" t="str">
        <f t="shared" si="13"/>
        <v/>
      </c>
      <c r="AB44" s="26" t="str">
        <f>IF(U44="","",#REF!)</f>
        <v/>
      </c>
      <c r="AC44" s="11" t="str">
        <f t="shared" si="14"/>
        <v/>
      </c>
      <c r="AD44" s="28" t="str">
        <f>IF(W44="","",_xll.EpBsStandardSwaptionPrice($C$2,$N$2,X44,Y44,Z44,AA44,AB44,AC44))</f>
        <v/>
      </c>
      <c r="AE44" s="28" t="str">
        <f>IF(W44="","",_xll.EpLgm1fStandardSwaptionPrice($C$2,$N$3,$N$2,X44,Y44,Z44,AA44,AB44))</f>
        <v/>
      </c>
    </row>
    <row r="45" spans="2:31" x14ac:dyDescent="0.3">
      <c r="B45" s="97" t="str">
        <f t="shared" si="0"/>
        <v/>
      </c>
      <c r="C45" s="97" t="str">
        <f t="shared" si="7"/>
        <v/>
      </c>
      <c r="D45" s="97" t="str">
        <f t="shared" si="1"/>
        <v/>
      </c>
      <c r="E45" s="8" t="str">
        <f t="shared" si="2"/>
        <v/>
      </c>
      <c r="F45" s="31" t="str">
        <f t="shared" si="3"/>
        <v/>
      </c>
      <c r="G45" s="11" t="str">
        <f t="shared" si="4"/>
        <v/>
      </c>
      <c r="H45" s="11" t="str">
        <f t="shared" si="8"/>
        <v/>
      </c>
      <c r="I45" s="28" t="str">
        <f t="shared" si="5"/>
        <v/>
      </c>
      <c r="J45" s="8" t="str">
        <f t="shared" si="6"/>
        <v/>
      </c>
      <c r="K45" s="38" t="str">
        <f>IF(B45="","",E45*F45*J45*Normput((B45-$C$2)/365,G45,I45,$C$13))</f>
        <v/>
      </c>
      <c r="L45" s="38" t="str">
        <f>IF(B45="","",E45*F45*J45*NORMcall((B45-$C$2)/365,H45,I45,$C$14))</f>
        <v/>
      </c>
      <c r="N45" s="21"/>
      <c r="W45" s="21" t="str">
        <f t="shared" si="9"/>
        <v/>
      </c>
      <c r="X45" s="21" t="str">
        <f t="shared" si="10"/>
        <v/>
      </c>
      <c r="Y45" s="21" t="str">
        <f t="shared" si="11"/>
        <v/>
      </c>
      <c r="Z45" s="1" t="str">
        <f t="shared" si="12"/>
        <v/>
      </c>
      <c r="AA45" s="1" t="str">
        <f t="shared" si="13"/>
        <v/>
      </c>
      <c r="AB45" s="26" t="str">
        <f>IF(U45="","",#REF!)</f>
        <v/>
      </c>
      <c r="AC45" s="11" t="str">
        <f t="shared" si="14"/>
        <v/>
      </c>
      <c r="AD45" s="28" t="str">
        <f>IF(W45="","",_xll.EpBsStandardSwaptionPrice($C$2,$N$2,X45,Y45,Z45,AA45,AB45,AC45))</f>
        <v/>
      </c>
      <c r="AE45" s="28" t="str">
        <f>IF(W45="","",_xll.EpLgm1fStandardSwaptionPrice($C$2,$N$3,$N$2,X45,Y45,Z45,AA45,AB45))</f>
        <v/>
      </c>
    </row>
    <row r="46" spans="2:31" x14ac:dyDescent="0.3">
      <c r="B46" s="97" t="str">
        <f t="shared" si="0"/>
        <v/>
      </c>
      <c r="C46" s="97" t="str">
        <f t="shared" si="7"/>
        <v/>
      </c>
      <c r="D46" s="97" t="str">
        <f t="shared" si="1"/>
        <v/>
      </c>
      <c r="E46" s="8" t="str">
        <f t="shared" si="2"/>
        <v/>
      </c>
      <c r="F46" s="31" t="str">
        <f t="shared" si="3"/>
        <v/>
      </c>
      <c r="G46" s="11" t="str">
        <f t="shared" si="4"/>
        <v/>
      </c>
      <c r="H46" s="11" t="str">
        <f t="shared" si="8"/>
        <v/>
      </c>
      <c r="I46" s="28" t="str">
        <f t="shared" si="5"/>
        <v/>
      </c>
      <c r="J46" s="8" t="str">
        <f t="shared" si="6"/>
        <v/>
      </c>
      <c r="K46" s="38" t="str">
        <f>IF(B46="","",E46*F46*J46*Normput((B46-$C$2)/365,G46,I46,$C$13))</f>
        <v/>
      </c>
      <c r="L46" s="38" t="str">
        <f>IF(B46="","",E46*F46*J46*NORMcall((B46-$C$2)/365,H46,I46,$C$14))</f>
        <v/>
      </c>
      <c r="N46" s="21"/>
      <c r="W46" s="21" t="str">
        <f t="shared" si="9"/>
        <v/>
      </c>
      <c r="X46" s="21" t="str">
        <f t="shared" si="10"/>
        <v/>
      </c>
      <c r="Y46" s="21" t="str">
        <f t="shared" si="11"/>
        <v/>
      </c>
      <c r="Z46" s="1" t="str">
        <f t="shared" si="12"/>
        <v/>
      </c>
      <c r="AA46" s="1" t="str">
        <f t="shared" si="13"/>
        <v/>
      </c>
      <c r="AB46" s="26" t="str">
        <f>IF(U46="","",#REF!)</f>
        <v/>
      </c>
      <c r="AC46" s="11" t="str">
        <f t="shared" si="14"/>
        <v/>
      </c>
      <c r="AD46" s="28" t="str">
        <f>IF(W46="","",_xll.EpBsStandardSwaptionPrice($C$2,$N$2,X46,Y46,Z46,AA46,AB46,AC46))</f>
        <v/>
      </c>
      <c r="AE46" s="28" t="str">
        <f>IF(W46="","",_xll.EpLgm1fStandardSwaptionPrice($C$2,$N$3,$N$2,X46,Y46,Z46,AA46,AB46))</f>
        <v/>
      </c>
    </row>
    <row r="47" spans="2:31" x14ac:dyDescent="0.3">
      <c r="B47" s="97" t="str">
        <f t="shared" si="0"/>
        <v/>
      </c>
      <c r="C47" s="97" t="str">
        <f t="shared" si="7"/>
        <v/>
      </c>
      <c r="D47" s="97" t="str">
        <f t="shared" si="1"/>
        <v/>
      </c>
      <c r="E47" s="8" t="str">
        <f t="shared" si="2"/>
        <v/>
      </c>
      <c r="F47" s="31" t="str">
        <f t="shared" si="3"/>
        <v/>
      </c>
      <c r="G47" s="11" t="str">
        <f t="shared" si="4"/>
        <v/>
      </c>
      <c r="H47" s="11" t="str">
        <f t="shared" si="8"/>
        <v/>
      </c>
      <c r="I47" s="28" t="str">
        <f t="shared" si="5"/>
        <v/>
      </c>
      <c r="J47" s="8" t="str">
        <f t="shared" si="6"/>
        <v/>
      </c>
      <c r="K47" s="38" t="str">
        <f>IF(B47="","",E47*F47*J47*Normput((B47-$C$2)/365,G47,I47,$C$13))</f>
        <v/>
      </c>
      <c r="L47" s="38" t="str">
        <f>IF(B47="","",E47*F47*J47*NORMcall((B47-$C$2)/365,H47,I47,$C$14))</f>
        <v/>
      </c>
      <c r="N47" s="21"/>
      <c r="W47" s="21" t="str">
        <f t="shared" si="9"/>
        <v/>
      </c>
      <c r="X47" s="21" t="str">
        <f t="shared" si="10"/>
        <v/>
      </c>
      <c r="Y47" s="21" t="str">
        <f t="shared" si="11"/>
        <v/>
      </c>
      <c r="Z47" s="1" t="str">
        <f t="shared" si="12"/>
        <v/>
      </c>
      <c r="AA47" s="1" t="str">
        <f t="shared" si="13"/>
        <v/>
      </c>
      <c r="AB47" s="26" t="str">
        <f>IF(U47="","",#REF!)</f>
        <v/>
      </c>
      <c r="AC47" s="11" t="str">
        <f t="shared" si="14"/>
        <v/>
      </c>
      <c r="AD47" s="28" t="str">
        <f>IF(W47="","",_xll.EpBsStandardSwaptionPrice($C$2,$N$2,X47,Y47,Z47,AA47,AB47,AC47))</f>
        <v/>
      </c>
      <c r="AE47" s="28" t="str">
        <f>IF(W47="","",_xll.EpLgm1fStandardSwaptionPrice($C$2,$N$3,$N$2,X47,Y47,Z47,AA47,AB47))</f>
        <v/>
      </c>
    </row>
    <row r="48" spans="2:31" x14ac:dyDescent="0.3">
      <c r="B48" s="97" t="str">
        <f t="shared" si="0"/>
        <v/>
      </c>
      <c r="C48" s="97" t="str">
        <f t="shared" si="7"/>
        <v/>
      </c>
      <c r="D48" s="97" t="str">
        <f t="shared" si="1"/>
        <v/>
      </c>
      <c r="E48" s="8" t="str">
        <f t="shared" si="2"/>
        <v/>
      </c>
      <c r="F48" s="31" t="str">
        <f t="shared" si="3"/>
        <v/>
      </c>
      <c r="G48" s="11" t="str">
        <f t="shared" si="4"/>
        <v/>
      </c>
      <c r="H48" s="11" t="str">
        <f t="shared" si="8"/>
        <v/>
      </c>
      <c r="I48" s="28" t="str">
        <f t="shared" si="5"/>
        <v/>
      </c>
      <c r="J48" s="8" t="str">
        <f t="shared" si="6"/>
        <v/>
      </c>
      <c r="K48" s="38" t="str">
        <f>IF(B48="","",E48*F48*J48*Normput((B48-$C$2)/365,G48,I48,$C$13))</f>
        <v/>
      </c>
      <c r="L48" s="38" t="str">
        <f>IF(B48="","",E48*F48*J48*NORMcall((B48-$C$2)/365,H48,I48,$C$14))</f>
        <v/>
      </c>
      <c r="N48" s="21"/>
      <c r="W48" s="21" t="str">
        <f t="shared" si="9"/>
        <v/>
      </c>
      <c r="X48" s="21" t="str">
        <f t="shared" si="10"/>
        <v/>
      </c>
      <c r="Y48" s="21" t="str">
        <f t="shared" si="11"/>
        <v/>
      </c>
      <c r="Z48" s="1" t="str">
        <f t="shared" si="12"/>
        <v/>
      </c>
      <c r="AA48" s="1" t="str">
        <f t="shared" si="13"/>
        <v/>
      </c>
      <c r="AB48" s="26" t="str">
        <f>IF(U48="","",#REF!)</f>
        <v/>
      </c>
      <c r="AC48" s="11" t="str">
        <f t="shared" si="14"/>
        <v/>
      </c>
      <c r="AD48" s="28" t="str">
        <f>IF(W48="","",_xll.EpBsStandardSwaptionPrice($C$2,$N$2,X48,Y48,Z48,AA48,AB48,AC48))</f>
        <v/>
      </c>
      <c r="AE48" s="28" t="str">
        <f>IF(W48="","",_xll.EpLgm1fStandardSwaptionPrice($C$2,$N$3,$N$2,X48,Y48,Z48,AA48,AB48))</f>
        <v/>
      </c>
    </row>
    <row r="49" spans="2:31" x14ac:dyDescent="0.3">
      <c r="B49" s="97" t="str">
        <f t="shared" si="0"/>
        <v/>
      </c>
      <c r="C49" s="97" t="str">
        <f t="shared" si="7"/>
        <v/>
      </c>
      <c r="D49" s="97" t="str">
        <f t="shared" si="1"/>
        <v/>
      </c>
      <c r="E49" s="8" t="str">
        <f t="shared" si="2"/>
        <v/>
      </c>
      <c r="F49" s="31" t="str">
        <f t="shared" si="3"/>
        <v/>
      </c>
      <c r="G49" s="11" t="str">
        <f t="shared" si="4"/>
        <v/>
      </c>
      <c r="H49" s="11" t="str">
        <f t="shared" si="8"/>
        <v/>
      </c>
      <c r="I49" s="28" t="str">
        <f t="shared" si="5"/>
        <v/>
      </c>
      <c r="J49" s="8" t="str">
        <f t="shared" si="6"/>
        <v/>
      </c>
      <c r="K49" s="38" t="str">
        <f>IF(B49="","",E49*F49*J49*Normput((B49-$C$2)/365,G49,I49,$C$13))</f>
        <v/>
      </c>
      <c r="L49" s="38" t="str">
        <f>IF(B49="","",E49*F49*J49*NORMcall((B49-$C$2)/365,H49,I49,$C$14))</f>
        <v/>
      </c>
      <c r="N49" s="21"/>
      <c r="W49" s="21" t="str">
        <f t="shared" si="9"/>
        <v/>
      </c>
      <c r="X49" s="21" t="str">
        <f t="shared" si="10"/>
        <v/>
      </c>
      <c r="Y49" s="21" t="str">
        <f t="shared" si="11"/>
        <v/>
      </c>
      <c r="Z49" s="1" t="str">
        <f t="shared" si="12"/>
        <v/>
      </c>
      <c r="AA49" s="1" t="str">
        <f t="shared" si="13"/>
        <v/>
      </c>
      <c r="AB49" s="26" t="str">
        <f>IF(U49="","",#REF!)</f>
        <v/>
      </c>
      <c r="AC49" s="11" t="str">
        <f t="shared" si="14"/>
        <v/>
      </c>
      <c r="AD49" s="28" t="str">
        <f>IF(W49="","",_xll.EpBsStandardSwaptionPrice($C$2,$N$2,X49,Y49,Z49,AA49,AB49,AC49))</f>
        <v/>
      </c>
      <c r="AE49" s="28" t="str">
        <f>IF(W49="","",_xll.EpLgm1fStandardSwaptionPrice($C$2,$N$3,$N$2,X49,Y49,Z49,AA49,AB49))</f>
        <v/>
      </c>
    </row>
    <row r="50" spans="2:31" x14ac:dyDescent="0.3">
      <c r="B50" s="97" t="str">
        <f t="shared" si="0"/>
        <v/>
      </c>
      <c r="C50" s="97" t="str">
        <f t="shared" si="7"/>
        <v/>
      </c>
      <c r="D50" s="97" t="str">
        <f t="shared" si="1"/>
        <v/>
      </c>
      <c r="E50" s="8" t="str">
        <f t="shared" si="2"/>
        <v/>
      </c>
      <c r="F50" s="31" t="str">
        <f t="shared" si="3"/>
        <v/>
      </c>
      <c r="G50" s="11" t="str">
        <f t="shared" si="4"/>
        <v/>
      </c>
      <c r="H50" s="11" t="str">
        <f t="shared" si="8"/>
        <v/>
      </c>
      <c r="I50" s="28" t="str">
        <f t="shared" si="5"/>
        <v/>
      </c>
      <c r="J50" s="8" t="str">
        <f t="shared" si="6"/>
        <v/>
      </c>
      <c r="K50" s="38" t="str">
        <f>IF(B50="","",E50*F50*J50*Normput((B50-$C$2)/365,G50,I50,$C$13))</f>
        <v/>
      </c>
      <c r="L50" s="38" t="str">
        <f>IF(B50="","",E50*F50*J50*NORMcall((B50-$C$2)/365,H50,I50,$C$14))</f>
        <v/>
      </c>
      <c r="N50" s="21"/>
      <c r="W50" s="21" t="str">
        <f t="shared" si="9"/>
        <v/>
      </c>
      <c r="X50" s="21" t="str">
        <f t="shared" si="10"/>
        <v/>
      </c>
      <c r="Y50" s="21" t="str">
        <f t="shared" si="11"/>
        <v/>
      </c>
      <c r="Z50" s="1" t="str">
        <f t="shared" si="12"/>
        <v/>
      </c>
      <c r="AA50" s="1" t="str">
        <f t="shared" si="13"/>
        <v/>
      </c>
      <c r="AB50" s="26" t="str">
        <f>IF(U50="","",#REF!)</f>
        <v/>
      </c>
      <c r="AC50" s="11" t="str">
        <f t="shared" si="14"/>
        <v/>
      </c>
      <c r="AD50" s="28" t="str">
        <f>IF(W50="","",_xll.EpBsStandardSwaptionPrice($C$2,$N$2,X50,Y50,Z50,AA50,AB50,AC50))</f>
        <v/>
      </c>
      <c r="AE50" s="28" t="str">
        <f>IF(W50="","",_xll.EpLgm1fStandardSwaptionPrice($C$2,$N$3,$N$2,X50,Y50,Z50,AA50,AB50))</f>
        <v/>
      </c>
    </row>
    <row r="51" spans="2:31" x14ac:dyDescent="0.3">
      <c r="B51" s="97" t="str">
        <f t="shared" si="0"/>
        <v/>
      </c>
      <c r="C51" s="97" t="str">
        <f t="shared" si="7"/>
        <v/>
      </c>
      <c r="D51" s="97" t="str">
        <f t="shared" si="1"/>
        <v/>
      </c>
      <c r="E51" s="8" t="str">
        <f t="shared" si="2"/>
        <v/>
      </c>
      <c r="F51" s="31" t="str">
        <f t="shared" si="3"/>
        <v/>
      </c>
      <c r="G51" s="11" t="str">
        <f t="shared" si="4"/>
        <v/>
      </c>
      <c r="H51" s="11" t="str">
        <f t="shared" si="8"/>
        <v/>
      </c>
      <c r="I51" s="28" t="str">
        <f t="shared" si="5"/>
        <v/>
      </c>
      <c r="J51" s="8" t="str">
        <f t="shared" si="6"/>
        <v/>
      </c>
      <c r="K51" s="38" t="str">
        <f>IF(B51="","",E51*F51*J51*Normput((B51-$C$2)/365,G51,I51,$C$13))</f>
        <v/>
      </c>
      <c r="L51" s="38" t="str">
        <f>IF(B51="","",E51*F51*J51*NORMcall((B51-$C$2)/365,H51,I51,$C$14))</f>
        <v/>
      </c>
      <c r="N51" s="21"/>
      <c r="W51" s="21" t="str">
        <f t="shared" si="9"/>
        <v/>
      </c>
      <c r="X51" s="21" t="str">
        <f t="shared" si="10"/>
        <v/>
      </c>
      <c r="Y51" s="21" t="str">
        <f t="shared" si="11"/>
        <v/>
      </c>
      <c r="Z51" s="1" t="str">
        <f t="shared" si="12"/>
        <v/>
      </c>
      <c r="AA51" s="1" t="str">
        <f t="shared" si="13"/>
        <v/>
      </c>
      <c r="AB51" s="26" t="str">
        <f>IF(U51="","",#REF!)</f>
        <v/>
      </c>
      <c r="AC51" s="11" t="str">
        <f t="shared" si="14"/>
        <v/>
      </c>
      <c r="AD51" s="28" t="str">
        <f>IF(W51="","",_xll.EpBsStandardSwaptionPrice($C$2,$N$2,X51,Y51,Z51,AA51,AB51,AC51))</f>
        <v/>
      </c>
      <c r="AE51" s="28" t="str">
        <f>IF(W51="","",_xll.EpLgm1fStandardSwaptionPrice($C$2,$N$3,$N$2,X51,Y51,Z51,AA51,AB51))</f>
        <v/>
      </c>
    </row>
    <row r="52" spans="2:31" x14ac:dyDescent="0.3">
      <c r="B52" s="97" t="str">
        <f t="shared" si="0"/>
        <v/>
      </c>
      <c r="C52" s="97" t="str">
        <f t="shared" si="7"/>
        <v/>
      </c>
      <c r="D52" s="97" t="str">
        <f t="shared" si="1"/>
        <v/>
      </c>
      <c r="E52" s="8" t="str">
        <f t="shared" si="2"/>
        <v/>
      </c>
      <c r="F52" s="31" t="str">
        <f t="shared" si="3"/>
        <v/>
      </c>
      <c r="G52" s="11" t="str">
        <f t="shared" si="4"/>
        <v/>
      </c>
      <c r="H52" s="11" t="str">
        <f t="shared" si="8"/>
        <v/>
      </c>
      <c r="I52" s="28" t="str">
        <f t="shared" si="5"/>
        <v/>
      </c>
      <c r="J52" s="8" t="str">
        <f t="shared" si="6"/>
        <v/>
      </c>
      <c r="K52" s="38" t="str">
        <f>IF(B52="","",E52*F52*J52*Normput((B52-$C$2)/365,G52,I52,$C$13))</f>
        <v/>
      </c>
      <c r="L52" s="38" t="str">
        <f>IF(B52="","",E52*F52*J52*NORMcall((B52-$C$2)/365,H52,I52,$C$14))</f>
        <v/>
      </c>
      <c r="N52" s="21"/>
      <c r="W52" s="21" t="str">
        <f t="shared" si="9"/>
        <v/>
      </c>
      <c r="X52" s="21" t="str">
        <f t="shared" si="10"/>
        <v/>
      </c>
      <c r="Y52" s="21" t="str">
        <f t="shared" si="11"/>
        <v/>
      </c>
      <c r="Z52" s="1" t="str">
        <f t="shared" si="12"/>
        <v/>
      </c>
      <c r="AA52" s="1" t="str">
        <f t="shared" si="13"/>
        <v/>
      </c>
      <c r="AB52" s="26" t="str">
        <f>IF(U52="","",#REF!)</f>
        <v/>
      </c>
      <c r="AC52" s="11" t="str">
        <f t="shared" si="14"/>
        <v/>
      </c>
      <c r="AD52" s="28" t="str">
        <f>IF(W52="","",_xll.EpBsStandardSwaptionPrice($C$2,$N$2,X52,Y52,Z52,AA52,AB52,AC52))</f>
        <v/>
      </c>
      <c r="AE52" s="28" t="str">
        <f>IF(W52="","",_xll.EpLgm1fStandardSwaptionPrice($C$2,$N$3,$N$2,X52,Y52,Z52,AA52,AB52))</f>
        <v/>
      </c>
    </row>
    <row r="53" spans="2:31" x14ac:dyDescent="0.3">
      <c r="B53" s="97" t="str">
        <f t="shared" si="0"/>
        <v/>
      </c>
      <c r="C53" s="97" t="str">
        <f t="shared" si="7"/>
        <v/>
      </c>
      <c r="D53" s="97" t="str">
        <f t="shared" si="1"/>
        <v/>
      </c>
      <c r="E53" s="8" t="str">
        <f t="shared" si="2"/>
        <v/>
      </c>
      <c r="F53" s="31" t="str">
        <f t="shared" si="3"/>
        <v/>
      </c>
      <c r="G53" s="11" t="str">
        <f t="shared" si="4"/>
        <v/>
      </c>
      <c r="H53" s="11" t="str">
        <f t="shared" si="8"/>
        <v/>
      </c>
      <c r="I53" s="28" t="str">
        <f t="shared" si="5"/>
        <v/>
      </c>
      <c r="J53" s="8" t="str">
        <f t="shared" si="6"/>
        <v/>
      </c>
      <c r="K53" s="38" t="str">
        <f>IF(B53="","",E53*F53*J53*Normput((B53-$C$2)/365,G53,I53,$C$13))</f>
        <v/>
      </c>
      <c r="L53" s="38" t="str">
        <f>IF(B53="","",E53*F53*J53*NORMcall((B53-$C$2)/365,H53,I53,$C$14))</f>
        <v/>
      </c>
      <c r="N53" s="21"/>
      <c r="W53" s="21" t="str">
        <f t="shared" si="9"/>
        <v/>
      </c>
      <c r="X53" s="21" t="str">
        <f t="shared" si="10"/>
        <v/>
      </c>
      <c r="Y53" s="21" t="str">
        <f t="shared" si="11"/>
        <v/>
      </c>
      <c r="Z53" s="1" t="str">
        <f t="shared" si="12"/>
        <v/>
      </c>
      <c r="AA53" s="1" t="str">
        <f t="shared" si="13"/>
        <v/>
      </c>
      <c r="AB53" s="26" t="str">
        <f>IF(U53="","",#REF!)</f>
        <v/>
      </c>
      <c r="AC53" s="11" t="str">
        <f t="shared" si="14"/>
        <v/>
      </c>
      <c r="AD53" s="28" t="str">
        <f>IF(W53="","",_xll.EpBsStandardSwaptionPrice($C$2,$N$2,X53,Y53,Z53,AA53,AB53,AC53))</f>
        <v/>
      </c>
      <c r="AE53" s="28" t="str">
        <f>IF(W53="","",_xll.EpLgm1fStandardSwaptionPrice($C$2,$N$3,$N$2,X53,Y53,Z53,AA53,AB53))</f>
        <v/>
      </c>
    </row>
    <row r="54" spans="2:31" x14ac:dyDescent="0.3">
      <c r="B54" s="97" t="str">
        <f t="shared" ref="B54:B85" si="15">IF(C54="","",C54-2)</f>
        <v/>
      </c>
      <c r="C54" s="97" t="str">
        <f t="shared" si="7"/>
        <v/>
      </c>
      <c r="D54" s="97" t="str">
        <f t="shared" ref="D54:D85" si="16">IF(C54="","",DATE(YEAR(C54),MONTH(C54)+VLOOKUP($C$9,$AB$1:$AC$4,2,FALSE),DAY(C54)))</f>
        <v/>
      </c>
      <c r="E54" s="8" t="str">
        <f t="shared" ref="E54:E85" si="17">IF(B54="","",IF($C$10="30/360",DAYS360(C54,D54)/360,IF($C$10="ACT/360",(D54-C54)/360,IF($C$10="ACT/365",(D54-C54)/365))))</f>
        <v/>
      </c>
      <c r="F54" s="31" t="str">
        <f t="shared" ref="F54:F85" si="18">IF(B54="","",$C$6)</f>
        <v/>
      </c>
      <c r="G54" s="11" t="str">
        <f t="shared" ref="G54:G85" si="19">IF(B54="","",$C$11)</f>
        <v/>
      </c>
      <c r="H54" s="11" t="str">
        <f t="shared" si="8"/>
        <v/>
      </c>
      <c r="I54" s="28" t="str">
        <f t="shared" ref="I54:I85" si="20">IF(B54="","",(DF(C54-$C$2,Maturities,ZcRates)/DF(D54-$C$2,Maturities,ZcRates)-1)/E54)</f>
        <v/>
      </c>
      <c r="J54" s="8" t="str">
        <f t="shared" ref="J54:J85" si="21">IF(B54="","",DF(D54-$C$2,Maturities,ZcRates))</f>
        <v/>
      </c>
      <c r="K54" s="38" t="str">
        <f>IF(B54="","",E54*F54*J54*Normput((B54-$C$2)/365,G54,I54,$C$13))</f>
        <v/>
      </c>
      <c r="L54" s="38" t="str">
        <f>IF(B54="","",E54*F54*J54*NORMcall((B54-$C$2)/365,H54,I54,$C$14))</f>
        <v/>
      </c>
      <c r="N54" s="21"/>
      <c r="W54" s="21" t="str">
        <f t="shared" si="9"/>
        <v/>
      </c>
      <c r="X54" s="21" t="str">
        <f t="shared" si="10"/>
        <v/>
      </c>
      <c r="Y54" s="21" t="str">
        <f t="shared" si="11"/>
        <v/>
      </c>
      <c r="Z54" s="1" t="str">
        <f t="shared" si="12"/>
        <v/>
      </c>
      <c r="AA54" s="1" t="str">
        <f t="shared" si="13"/>
        <v/>
      </c>
      <c r="AB54" s="26" t="str">
        <f>IF(U54="","",#REF!)</f>
        <v/>
      </c>
      <c r="AC54" s="11" t="str">
        <f t="shared" si="14"/>
        <v/>
      </c>
      <c r="AD54" s="28" t="str">
        <f>IF(W54="","",_xll.EpBsStandardSwaptionPrice($C$2,$N$2,X54,Y54,Z54,AA54,AB54,AC54))</f>
        <v/>
      </c>
      <c r="AE54" s="28" t="str">
        <f>IF(W54="","",_xll.EpLgm1fStandardSwaptionPrice($C$2,$N$3,$N$2,X54,Y54,Z54,AA54,AB54))</f>
        <v/>
      </c>
    </row>
    <row r="55" spans="2:31" x14ac:dyDescent="0.3">
      <c r="B55" s="97" t="str">
        <f t="shared" si="15"/>
        <v/>
      </c>
      <c r="C55" s="97" t="str">
        <f t="shared" ref="C55:C86" si="22">IF(OR(D54=$C$8,D54=""),"",D54)</f>
        <v/>
      </c>
      <c r="D55" s="97" t="str">
        <f t="shared" si="16"/>
        <v/>
      </c>
      <c r="E55" s="8" t="str">
        <f t="shared" si="17"/>
        <v/>
      </c>
      <c r="F55" s="31" t="str">
        <f t="shared" si="18"/>
        <v/>
      </c>
      <c r="G55" s="11" t="str">
        <f t="shared" si="19"/>
        <v/>
      </c>
      <c r="H55" s="11" t="str">
        <f t="shared" si="8"/>
        <v/>
      </c>
      <c r="I55" s="28" t="str">
        <f t="shared" si="20"/>
        <v/>
      </c>
      <c r="J55" s="8" t="str">
        <f t="shared" si="21"/>
        <v/>
      </c>
      <c r="K55" s="38" t="str">
        <f>IF(B55="","",E55*F55*J55*Normput((B55-$C$2)/365,G55,I55,$C$13))</f>
        <v/>
      </c>
      <c r="L55" s="38" t="str">
        <f>IF(B55="","",E55*F55*J55*NORMcall((B55-$C$2)/365,H55,I55,$C$14))</f>
        <v/>
      </c>
      <c r="N55" s="21"/>
      <c r="W55" s="21" t="str">
        <f t="shared" si="9"/>
        <v/>
      </c>
      <c r="X55" s="21" t="str">
        <f t="shared" si="10"/>
        <v/>
      </c>
      <c r="Y55" s="21" t="str">
        <f t="shared" si="11"/>
        <v/>
      </c>
      <c r="Z55" s="1" t="str">
        <f t="shared" si="12"/>
        <v/>
      </c>
      <c r="AA55" s="1" t="str">
        <f t="shared" si="13"/>
        <v/>
      </c>
      <c r="AB55" s="26" t="str">
        <f>IF(U55="","",#REF!)</f>
        <v/>
      </c>
      <c r="AC55" s="11" t="str">
        <f t="shared" si="14"/>
        <v/>
      </c>
      <c r="AD55" s="28" t="str">
        <f>IF(W55="","",_xll.EpBsStandardSwaptionPrice($C$2,$N$2,X55,Y55,Z55,AA55,AB55,AC55))</f>
        <v/>
      </c>
      <c r="AE55" s="28" t="str">
        <f>IF(W55="","",_xll.EpLgm1fStandardSwaptionPrice($C$2,$N$3,$N$2,X55,Y55,Z55,AA55,AB55))</f>
        <v/>
      </c>
    </row>
    <row r="56" spans="2:31" x14ac:dyDescent="0.3">
      <c r="B56" s="97" t="str">
        <f t="shared" si="15"/>
        <v/>
      </c>
      <c r="C56" s="97" t="str">
        <f t="shared" si="22"/>
        <v/>
      </c>
      <c r="D56" s="97" t="str">
        <f t="shared" si="16"/>
        <v/>
      </c>
      <c r="E56" s="8" t="str">
        <f t="shared" si="17"/>
        <v/>
      </c>
      <c r="F56" s="31" t="str">
        <f t="shared" si="18"/>
        <v/>
      </c>
      <c r="G56" s="11" t="str">
        <f t="shared" si="19"/>
        <v/>
      </c>
      <c r="H56" s="11" t="str">
        <f t="shared" si="8"/>
        <v/>
      </c>
      <c r="I56" s="28" t="str">
        <f t="shared" si="20"/>
        <v/>
      </c>
      <c r="J56" s="8" t="str">
        <f t="shared" si="21"/>
        <v/>
      </c>
      <c r="K56" s="38" t="str">
        <f>IF(B56="","",E56*F56*J56*Normput((B56-$C$2)/365,G56,I56,$C$13))</f>
        <v/>
      </c>
      <c r="L56" s="38" t="str">
        <f>IF(B56="","",E56*F56*J56*NORMcall((B56-$C$2)/365,H56,I56,$C$14))</f>
        <v/>
      </c>
      <c r="N56" s="21"/>
      <c r="W56" s="21" t="str">
        <f t="shared" si="9"/>
        <v/>
      </c>
      <c r="X56" s="21" t="str">
        <f t="shared" si="10"/>
        <v/>
      </c>
      <c r="Y56" s="21" t="str">
        <f t="shared" si="11"/>
        <v/>
      </c>
      <c r="Z56" s="1" t="str">
        <f t="shared" si="12"/>
        <v/>
      </c>
      <c r="AA56" s="1" t="str">
        <f t="shared" si="13"/>
        <v/>
      </c>
      <c r="AB56" s="26" t="str">
        <f>IF(U56="","",#REF!)</f>
        <v/>
      </c>
      <c r="AC56" s="11" t="str">
        <f t="shared" si="14"/>
        <v/>
      </c>
      <c r="AD56" s="28" t="str">
        <f>IF(W56="","",_xll.EpBsStandardSwaptionPrice($C$2,$N$2,X56,Y56,Z56,AA56,AB56,AC56))</f>
        <v/>
      </c>
      <c r="AE56" s="28" t="str">
        <f>IF(W56="","",_xll.EpLgm1fStandardSwaptionPrice($C$2,$N$3,$N$2,X56,Y56,Z56,AA56,AB56))</f>
        <v/>
      </c>
    </row>
    <row r="57" spans="2:31" x14ac:dyDescent="0.3">
      <c r="B57" s="97" t="str">
        <f t="shared" si="15"/>
        <v/>
      </c>
      <c r="C57" s="97" t="str">
        <f t="shared" si="22"/>
        <v/>
      </c>
      <c r="D57" s="97" t="str">
        <f t="shared" si="16"/>
        <v/>
      </c>
      <c r="E57" s="8" t="str">
        <f t="shared" si="17"/>
        <v/>
      </c>
      <c r="F57" s="31" t="str">
        <f t="shared" si="18"/>
        <v/>
      </c>
      <c r="G57" s="11" t="str">
        <f t="shared" si="19"/>
        <v/>
      </c>
      <c r="H57" s="11" t="str">
        <f t="shared" si="8"/>
        <v/>
      </c>
      <c r="I57" s="28" t="str">
        <f t="shared" si="20"/>
        <v/>
      </c>
      <c r="J57" s="8" t="str">
        <f t="shared" si="21"/>
        <v/>
      </c>
      <c r="K57" s="38" t="str">
        <f>IF(B57="","",E57*F57*J57*Normput((B57-$C$2)/365,G57,I57,$C$13))</f>
        <v/>
      </c>
      <c r="L57" s="38" t="str">
        <f>IF(B57="","",E57*F57*J57*NORMcall((B57-$C$2)/365,H57,I57,$C$14))</f>
        <v/>
      </c>
      <c r="N57" s="21"/>
      <c r="W57" s="21" t="str">
        <f t="shared" si="9"/>
        <v/>
      </c>
      <c r="X57" s="21" t="str">
        <f t="shared" si="10"/>
        <v/>
      </c>
      <c r="Y57" s="21" t="str">
        <f t="shared" si="11"/>
        <v/>
      </c>
      <c r="Z57" s="1" t="str">
        <f t="shared" si="12"/>
        <v/>
      </c>
      <c r="AA57" s="1" t="str">
        <f t="shared" si="13"/>
        <v/>
      </c>
      <c r="AB57" s="26" t="str">
        <f>IF(U57="","",#REF!)</f>
        <v/>
      </c>
      <c r="AC57" s="11" t="str">
        <f t="shared" si="14"/>
        <v/>
      </c>
      <c r="AD57" s="28" t="str">
        <f>IF(W57="","",_xll.EpBsStandardSwaptionPrice($C$2,$N$2,X57,Y57,Z57,AA57,AB57,AC57))</f>
        <v/>
      </c>
      <c r="AE57" s="28" t="str">
        <f>IF(W57="","",_xll.EpLgm1fStandardSwaptionPrice($C$2,$N$3,$N$2,X57,Y57,Z57,AA57,AB57))</f>
        <v/>
      </c>
    </row>
    <row r="58" spans="2:31" x14ac:dyDescent="0.3">
      <c r="B58" s="97" t="str">
        <f t="shared" si="15"/>
        <v/>
      </c>
      <c r="C58" s="97" t="str">
        <f t="shared" si="22"/>
        <v/>
      </c>
      <c r="D58" s="97" t="str">
        <f t="shared" si="16"/>
        <v/>
      </c>
      <c r="E58" s="8" t="str">
        <f t="shared" si="17"/>
        <v/>
      </c>
      <c r="F58" s="31" t="str">
        <f t="shared" si="18"/>
        <v/>
      </c>
      <c r="G58" s="11" t="str">
        <f t="shared" si="19"/>
        <v/>
      </c>
      <c r="H58" s="11" t="str">
        <f t="shared" si="8"/>
        <v/>
      </c>
      <c r="I58" s="28" t="str">
        <f t="shared" si="20"/>
        <v/>
      </c>
      <c r="J58" s="8" t="str">
        <f t="shared" si="21"/>
        <v/>
      </c>
      <c r="K58" s="38" t="str">
        <f>IF(B58="","",E58*F58*J58*Normput((B58-$C$2)/365,G58,I58,$C$13))</f>
        <v/>
      </c>
      <c r="L58" s="38" t="str">
        <f>IF(B58="","",E58*F58*J58*NORMcall((B58-$C$2)/365,H58,I58,$C$14))</f>
        <v/>
      </c>
      <c r="N58" s="21"/>
      <c r="W58" s="21" t="str">
        <f t="shared" si="9"/>
        <v/>
      </c>
      <c r="X58" s="21" t="str">
        <f t="shared" si="10"/>
        <v/>
      </c>
      <c r="Y58" s="21" t="str">
        <f t="shared" si="11"/>
        <v/>
      </c>
      <c r="Z58" s="1" t="str">
        <f t="shared" si="12"/>
        <v/>
      </c>
      <c r="AA58" s="1" t="str">
        <f t="shared" si="13"/>
        <v/>
      </c>
      <c r="AB58" s="26" t="str">
        <f>IF(U58="","",#REF!)</f>
        <v/>
      </c>
      <c r="AC58" s="11" t="str">
        <f t="shared" si="14"/>
        <v/>
      </c>
      <c r="AD58" s="28" t="str">
        <f>IF(W58="","",_xll.EpBsStandardSwaptionPrice($C$2,$N$2,X58,Y58,Z58,AA58,AB58,AC58))</f>
        <v/>
      </c>
      <c r="AE58" s="28" t="str">
        <f>IF(W58="","",_xll.EpLgm1fStandardSwaptionPrice($C$2,$N$3,$N$2,X58,Y58,Z58,AA58,AB58))</f>
        <v/>
      </c>
    </row>
    <row r="59" spans="2:31" x14ac:dyDescent="0.3">
      <c r="B59" s="97" t="str">
        <f t="shared" si="15"/>
        <v/>
      </c>
      <c r="C59" s="97" t="str">
        <f t="shared" si="22"/>
        <v/>
      </c>
      <c r="D59" s="97" t="str">
        <f t="shared" si="16"/>
        <v/>
      </c>
      <c r="E59" s="8" t="str">
        <f t="shared" si="17"/>
        <v/>
      </c>
      <c r="F59" s="31" t="str">
        <f t="shared" si="18"/>
        <v/>
      </c>
      <c r="G59" s="11" t="str">
        <f t="shared" si="19"/>
        <v/>
      </c>
      <c r="H59" s="11" t="str">
        <f t="shared" si="8"/>
        <v/>
      </c>
      <c r="I59" s="28" t="str">
        <f t="shared" si="20"/>
        <v/>
      </c>
      <c r="J59" s="8" t="str">
        <f t="shared" si="21"/>
        <v/>
      </c>
      <c r="K59" s="38" t="str">
        <f>IF(B59="","",E59*F59*J59*Normput((B59-$C$2)/365,G59,I59,$C$13))</f>
        <v/>
      </c>
      <c r="L59" s="38" t="str">
        <f>IF(B59="","",E59*F59*J59*NORMcall((B59-$C$2)/365,H59,I59,$C$14))</f>
        <v/>
      </c>
      <c r="N59" s="21"/>
      <c r="W59" s="21" t="str">
        <f t="shared" si="9"/>
        <v/>
      </c>
      <c r="X59" s="21" t="str">
        <f t="shared" si="10"/>
        <v/>
      </c>
      <c r="Y59" s="21" t="str">
        <f t="shared" si="11"/>
        <v/>
      </c>
      <c r="Z59" s="1" t="str">
        <f t="shared" si="12"/>
        <v/>
      </c>
      <c r="AA59" s="1" t="str">
        <f t="shared" si="13"/>
        <v/>
      </c>
      <c r="AB59" s="26" t="str">
        <f>IF(U59="","",#REF!)</f>
        <v/>
      </c>
      <c r="AC59" s="11" t="str">
        <f t="shared" si="14"/>
        <v/>
      </c>
      <c r="AD59" s="28" t="str">
        <f>IF(W59="","",_xll.EpBsStandardSwaptionPrice($C$2,$N$2,X59,Y59,Z59,AA59,AB59,AC59))</f>
        <v/>
      </c>
      <c r="AE59" s="28" t="str">
        <f>IF(W59="","",_xll.EpLgm1fStandardSwaptionPrice($C$2,$N$3,$N$2,X59,Y59,Z59,AA59,AB59))</f>
        <v/>
      </c>
    </row>
    <row r="60" spans="2:31" x14ac:dyDescent="0.3">
      <c r="B60" s="97" t="str">
        <f t="shared" si="15"/>
        <v/>
      </c>
      <c r="C60" s="97" t="str">
        <f t="shared" si="22"/>
        <v/>
      </c>
      <c r="D60" s="97" t="str">
        <f t="shared" si="16"/>
        <v/>
      </c>
      <c r="E60" s="8" t="str">
        <f t="shared" si="17"/>
        <v/>
      </c>
      <c r="F60" s="31" t="str">
        <f t="shared" si="18"/>
        <v/>
      </c>
      <c r="G60" s="11" t="str">
        <f t="shared" si="19"/>
        <v/>
      </c>
      <c r="H60" s="11" t="str">
        <f t="shared" si="8"/>
        <v/>
      </c>
      <c r="I60" s="28" t="str">
        <f t="shared" si="20"/>
        <v/>
      </c>
      <c r="J60" s="8" t="str">
        <f t="shared" si="21"/>
        <v/>
      </c>
      <c r="K60" s="38" t="str">
        <f>IF(B60="","",E60*F60*J60*Normput((B60-$C$2)/365,G60,I60,$C$13))</f>
        <v/>
      </c>
      <c r="L60" s="38" t="str">
        <f>IF(B60="","",E60*F60*J60*NORMcall((B60-$C$2)/365,H60,I60,$C$14))</f>
        <v/>
      </c>
      <c r="N60" s="21"/>
      <c r="W60" s="21" t="str">
        <f t="shared" si="9"/>
        <v/>
      </c>
      <c r="X60" s="21" t="str">
        <f t="shared" si="10"/>
        <v/>
      </c>
      <c r="Y60" s="21" t="str">
        <f t="shared" si="11"/>
        <v/>
      </c>
      <c r="Z60" s="1" t="str">
        <f t="shared" si="12"/>
        <v/>
      </c>
      <c r="AA60" s="1" t="str">
        <f t="shared" si="13"/>
        <v/>
      </c>
      <c r="AB60" s="26" t="str">
        <f>IF(U60="","",#REF!)</f>
        <v/>
      </c>
      <c r="AC60" s="11" t="str">
        <f t="shared" si="14"/>
        <v/>
      </c>
      <c r="AD60" s="28" t="str">
        <f>IF(W60="","",_xll.EpBsStandardSwaptionPrice($C$2,$N$2,X60,Y60,Z60,AA60,AB60,AC60))</f>
        <v/>
      </c>
      <c r="AE60" s="28" t="str">
        <f>IF(W60="","",_xll.EpLgm1fStandardSwaptionPrice($C$2,$N$3,$N$2,X60,Y60,Z60,AA60,AB60))</f>
        <v/>
      </c>
    </row>
    <row r="61" spans="2:31" x14ac:dyDescent="0.3">
      <c r="B61" s="97" t="str">
        <f t="shared" si="15"/>
        <v/>
      </c>
      <c r="C61" s="97" t="str">
        <f t="shared" si="22"/>
        <v/>
      </c>
      <c r="D61" s="97" t="str">
        <f t="shared" si="16"/>
        <v/>
      </c>
      <c r="E61" s="8" t="str">
        <f t="shared" si="17"/>
        <v/>
      </c>
      <c r="F61" s="31" t="str">
        <f t="shared" si="18"/>
        <v/>
      </c>
      <c r="G61" s="11" t="str">
        <f t="shared" si="19"/>
        <v/>
      </c>
      <c r="H61" s="11" t="str">
        <f t="shared" si="8"/>
        <v/>
      </c>
      <c r="I61" s="28" t="str">
        <f t="shared" si="20"/>
        <v/>
      </c>
      <c r="J61" s="8" t="str">
        <f t="shared" si="21"/>
        <v/>
      </c>
      <c r="K61" s="38" t="str">
        <f>IF(B61="","",E61*F61*J61*Normput((B61-$C$2)/365,G61,I61,$C$13))</f>
        <v/>
      </c>
      <c r="L61" s="38" t="str">
        <f>IF(B61="","",E61*F61*J61*NORMcall((B61-$C$2)/365,H61,I61,$C$14))</f>
        <v/>
      </c>
      <c r="N61" s="21"/>
      <c r="W61" s="21" t="str">
        <f t="shared" si="9"/>
        <v/>
      </c>
      <c r="X61" s="21" t="str">
        <f t="shared" si="10"/>
        <v/>
      </c>
      <c r="Y61" s="21" t="str">
        <f t="shared" si="11"/>
        <v/>
      </c>
      <c r="Z61" s="1" t="str">
        <f t="shared" si="12"/>
        <v/>
      </c>
      <c r="AA61" s="1" t="str">
        <f t="shared" si="13"/>
        <v/>
      </c>
      <c r="AB61" s="26" t="str">
        <f>IF(U61="","",#REF!)</f>
        <v/>
      </c>
      <c r="AC61" s="11" t="str">
        <f t="shared" si="14"/>
        <v/>
      </c>
      <c r="AD61" s="28" t="str">
        <f>IF(W61="","",_xll.EpBsStandardSwaptionPrice($C$2,$N$2,X61,Y61,Z61,AA61,AB61,AC61))</f>
        <v/>
      </c>
      <c r="AE61" s="28" t="str">
        <f>IF(W61="","",_xll.EpLgm1fStandardSwaptionPrice($C$2,$N$3,$N$2,X61,Y61,Z61,AA61,AB61))</f>
        <v/>
      </c>
    </row>
    <row r="62" spans="2:31" x14ac:dyDescent="0.3">
      <c r="B62" s="97" t="str">
        <f t="shared" si="15"/>
        <v/>
      </c>
      <c r="C62" s="97" t="str">
        <f t="shared" si="22"/>
        <v/>
      </c>
      <c r="D62" s="97" t="str">
        <f t="shared" si="16"/>
        <v/>
      </c>
      <c r="E62" s="8" t="str">
        <f t="shared" si="17"/>
        <v/>
      </c>
      <c r="F62" s="31" t="str">
        <f t="shared" si="18"/>
        <v/>
      </c>
      <c r="G62" s="11" t="str">
        <f t="shared" si="19"/>
        <v/>
      </c>
      <c r="H62" s="11" t="str">
        <f t="shared" si="8"/>
        <v/>
      </c>
      <c r="I62" s="28" t="str">
        <f t="shared" si="20"/>
        <v/>
      </c>
      <c r="J62" s="8" t="str">
        <f t="shared" si="21"/>
        <v/>
      </c>
      <c r="K62" s="38" t="str">
        <f>IF(B62="","",E62*F62*J62*Normput((B62-$C$2)/365,G62,I62,$C$13))</f>
        <v/>
      </c>
      <c r="L62" s="38" t="str">
        <f>IF(B62="","",E62*F62*J62*NORMcall((B62-$C$2)/365,H62,I62,$C$14))</f>
        <v/>
      </c>
      <c r="N62" s="21"/>
      <c r="W62" s="21" t="str">
        <f t="shared" si="9"/>
        <v/>
      </c>
      <c r="X62" s="21" t="str">
        <f t="shared" si="10"/>
        <v/>
      </c>
      <c r="Y62" s="21" t="str">
        <f t="shared" si="11"/>
        <v/>
      </c>
      <c r="Z62" s="1" t="str">
        <f t="shared" si="12"/>
        <v/>
      </c>
      <c r="AA62" s="1" t="str">
        <f t="shared" si="13"/>
        <v/>
      </c>
      <c r="AB62" s="26" t="str">
        <f>IF(U62="","",#REF!)</f>
        <v/>
      </c>
      <c r="AC62" s="11" t="str">
        <f t="shared" si="14"/>
        <v/>
      </c>
      <c r="AD62" s="28" t="str">
        <f>IF(W62="","",_xll.EpBsStandardSwaptionPrice($C$2,$N$2,X62,Y62,Z62,AA62,AB62,AC62))</f>
        <v/>
      </c>
      <c r="AE62" s="28" t="str">
        <f>IF(W62="","",_xll.EpLgm1fStandardSwaptionPrice($C$2,$N$3,$N$2,X62,Y62,Z62,AA62,AB62))</f>
        <v/>
      </c>
    </row>
    <row r="63" spans="2:31" x14ac:dyDescent="0.3">
      <c r="B63" s="97" t="str">
        <f t="shared" si="15"/>
        <v/>
      </c>
      <c r="C63" s="97" t="str">
        <f t="shared" si="22"/>
        <v/>
      </c>
      <c r="D63" s="97" t="str">
        <f t="shared" si="16"/>
        <v/>
      </c>
      <c r="E63" s="8" t="str">
        <f t="shared" si="17"/>
        <v/>
      </c>
      <c r="F63" s="31" t="str">
        <f t="shared" si="18"/>
        <v/>
      </c>
      <c r="G63" s="11" t="str">
        <f t="shared" si="19"/>
        <v/>
      </c>
      <c r="H63" s="11" t="str">
        <f t="shared" si="8"/>
        <v/>
      </c>
      <c r="I63" s="28" t="str">
        <f t="shared" si="20"/>
        <v/>
      </c>
      <c r="J63" s="8" t="str">
        <f t="shared" si="21"/>
        <v/>
      </c>
      <c r="K63" s="38" t="str">
        <f>IF(B63="","",E63*F63*J63*Normput((B63-$C$2)/365,G63,I63,$C$13))</f>
        <v/>
      </c>
      <c r="L63" s="38" t="str">
        <f>IF(B63="","",E63*F63*J63*NORMcall((B63-$C$2)/365,H63,I63,$C$14))</f>
        <v/>
      </c>
      <c r="N63" s="21"/>
      <c r="W63" s="21" t="str">
        <f t="shared" si="9"/>
        <v/>
      </c>
      <c r="X63" s="21" t="str">
        <f t="shared" si="10"/>
        <v/>
      </c>
      <c r="Y63" s="21" t="str">
        <f t="shared" si="11"/>
        <v/>
      </c>
      <c r="Z63" s="1" t="str">
        <f t="shared" si="12"/>
        <v/>
      </c>
      <c r="AA63" s="1" t="str">
        <f t="shared" si="13"/>
        <v/>
      </c>
      <c r="AB63" s="26" t="str">
        <f>IF(U63="","",#REF!)</f>
        <v/>
      </c>
      <c r="AC63" s="11" t="str">
        <f t="shared" si="14"/>
        <v/>
      </c>
      <c r="AD63" s="28" t="str">
        <f>IF(W63="","",_xll.EpBsStandardSwaptionPrice($C$2,$N$2,X63,Y63,Z63,AA63,AB63,AC63))</f>
        <v/>
      </c>
      <c r="AE63" s="28" t="str">
        <f>IF(W63="","",_xll.EpLgm1fStandardSwaptionPrice($C$2,$N$3,$N$2,X63,Y63,Z63,AA63,AB63))</f>
        <v/>
      </c>
    </row>
    <row r="64" spans="2:31" x14ac:dyDescent="0.3">
      <c r="B64" s="97" t="str">
        <f t="shared" si="15"/>
        <v/>
      </c>
      <c r="C64" s="97" t="str">
        <f t="shared" si="22"/>
        <v/>
      </c>
      <c r="D64" s="97" t="str">
        <f t="shared" si="16"/>
        <v/>
      </c>
      <c r="E64" s="8" t="str">
        <f t="shared" si="17"/>
        <v/>
      </c>
      <c r="F64" s="31" t="str">
        <f t="shared" si="18"/>
        <v/>
      </c>
      <c r="G64" s="11" t="str">
        <f t="shared" si="19"/>
        <v/>
      </c>
      <c r="H64" s="11" t="str">
        <f t="shared" si="8"/>
        <v/>
      </c>
      <c r="I64" s="28" t="str">
        <f t="shared" si="20"/>
        <v/>
      </c>
      <c r="J64" s="8" t="str">
        <f t="shared" si="21"/>
        <v/>
      </c>
      <c r="K64" s="38" t="str">
        <f>IF(B64="","",E64*F64*J64*Normput((B64-$C$2)/365,G64,I64,$C$13))</f>
        <v/>
      </c>
      <c r="L64" s="38" t="str">
        <f>IF(B64="","",E64*F64*J64*NORMcall((B64-$C$2)/365,H64,I64,$C$14))</f>
        <v/>
      </c>
      <c r="N64" s="21"/>
      <c r="W64" s="21" t="str">
        <f t="shared" si="9"/>
        <v/>
      </c>
      <c r="X64" s="21" t="str">
        <f t="shared" si="10"/>
        <v/>
      </c>
      <c r="Y64" s="21" t="str">
        <f t="shared" si="11"/>
        <v/>
      </c>
      <c r="Z64" s="1" t="str">
        <f t="shared" si="12"/>
        <v/>
      </c>
      <c r="AA64" s="1" t="str">
        <f t="shared" si="13"/>
        <v/>
      </c>
      <c r="AB64" s="26" t="str">
        <f>IF(U64="","",#REF!)</f>
        <v/>
      </c>
      <c r="AC64" s="11" t="str">
        <f t="shared" si="14"/>
        <v/>
      </c>
      <c r="AD64" s="28" t="str">
        <f>IF(W64="","",_xll.EpBsStandardSwaptionPrice($C$2,$N$2,X64,Y64,Z64,AA64,AB64,AC64))</f>
        <v/>
      </c>
      <c r="AE64" s="28" t="str">
        <f>IF(W64="","",_xll.EpLgm1fStandardSwaptionPrice($C$2,$N$3,$N$2,X64,Y64,Z64,AA64,AB64))</f>
        <v/>
      </c>
    </row>
    <row r="65" spans="2:31" x14ac:dyDescent="0.3">
      <c r="B65" s="97" t="str">
        <f t="shared" si="15"/>
        <v/>
      </c>
      <c r="C65" s="97" t="str">
        <f t="shared" si="22"/>
        <v/>
      </c>
      <c r="D65" s="97" t="str">
        <f t="shared" si="16"/>
        <v/>
      </c>
      <c r="E65" s="8" t="str">
        <f t="shared" si="17"/>
        <v/>
      </c>
      <c r="F65" s="31" t="str">
        <f t="shared" si="18"/>
        <v/>
      </c>
      <c r="G65" s="11" t="str">
        <f t="shared" si="19"/>
        <v/>
      </c>
      <c r="H65" s="11" t="str">
        <f t="shared" si="8"/>
        <v/>
      </c>
      <c r="I65" s="28" t="str">
        <f t="shared" si="20"/>
        <v/>
      </c>
      <c r="J65" s="8" t="str">
        <f t="shared" si="21"/>
        <v/>
      </c>
      <c r="K65" s="38" t="str">
        <f>IF(B65="","",E65*F65*J65*Normput((B65-$C$2)/365,G65,I65,$C$13))</f>
        <v/>
      </c>
      <c r="L65" s="38" t="str">
        <f>IF(B65="","",E65*F65*J65*NORMcall((B65-$C$2)/365,H65,I65,$C$14))</f>
        <v/>
      </c>
      <c r="N65" s="21"/>
      <c r="W65" s="21" t="str">
        <f t="shared" si="9"/>
        <v/>
      </c>
      <c r="X65" s="21" t="str">
        <f t="shared" si="10"/>
        <v/>
      </c>
      <c r="Y65" s="21" t="str">
        <f t="shared" si="11"/>
        <v/>
      </c>
      <c r="Z65" s="1" t="str">
        <f t="shared" si="12"/>
        <v/>
      </c>
      <c r="AA65" s="1" t="str">
        <f t="shared" si="13"/>
        <v/>
      </c>
      <c r="AB65" s="26" t="str">
        <f>IF(U65="","",#REF!)</f>
        <v/>
      </c>
      <c r="AC65" s="11" t="str">
        <f t="shared" si="14"/>
        <v/>
      </c>
      <c r="AD65" s="28" t="str">
        <f>IF(W65="","",_xll.EpBsStandardSwaptionPrice($C$2,$N$2,X65,Y65,Z65,AA65,AB65,AC65))</f>
        <v/>
      </c>
      <c r="AE65" s="28" t="str">
        <f>IF(W65="","",_xll.EpLgm1fStandardSwaptionPrice($C$2,$N$3,$N$2,X65,Y65,Z65,AA65,AB65))</f>
        <v/>
      </c>
    </row>
    <row r="66" spans="2:31" x14ac:dyDescent="0.3">
      <c r="B66" s="97" t="str">
        <f t="shared" si="15"/>
        <v/>
      </c>
      <c r="C66" s="97" t="str">
        <f t="shared" si="22"/>
        <v/>
      </c>
      <c r="D66" s="97" t="str">
        <f t="shared" si="16"/>
        <v/>
      </c>
      <c r="E66" s="8" t="str">
        <f t="shared" si="17"/>
        <v/>
      </c>
      <c r="F66" s="31" t="str">
        <f t="shared" si="18"/>
        <v/>
      </c>
      <c r="G66" s="11" t="str">
        <f t="shared" si="19"/>
        <v/>
      </c>
      <c r="H66" s="11" t="str">
        <f t="shared" si="8"/>
        <v/>
      </c>
      <c r="I66" s="28" t="str">
        <f t="shared" si="20"/>
        <v/>
      </c>
      <c r="J66" s="8" t="str">
        <f t="shared" si="21"/>
        <v/>
      </c>
      <c r="K66" s="38" t="str">
        <f>IF(B66="","",E66*F66*J66*Normput((B66-$C$2)/365,G66,I66,$C$13))</f>
        <v/>
      </c>
      <c r="L66" s="38" t="str">
        <f>IF(B66="","",E66*F66*J66*NORMcall((B66-$C$2)/365,H66,I66,$C$14))</f>
        <v/>
      </c>
      <c r="N66" s="21"/>
      <c r="W66" s="21" t="str">
        <f t="shared" si="9"/>
        <v/>
      </c>
      <c r="X66" s="21" t="str">
        <f t="shared" si="10"/>
        <v/>
      </c>
      <c r="Y66" s="21" t="str">
        <f t="shared" si="11"/>
        <v/>
      </c>
      <c r="Z66" s="1" t="str">
        <f t="shared" si="12"/>
        <v/>
      </c>
      <c r="AA66" s="1" t="str">
        <f t="shared" si="13"/>
        <v/>
      </c>
      <c r="AB66" s="26" t="str">
        <f>IF(U66="","",#REF!)</f>
        <v/>
      </c>
      <c r="AC66" s="11" t="str">
        <f t="shared" si="14"/>
        <v/>
      </c>
      <c r="AD66" s="28" t="str">
        <f>IF(W66="","",_xll.EpBsStandardSwaptionPrice($C$2,$N$2,X66,Y66,Z66,AA66,AB66,AC66))</f>
        <v/>
      </c>
      <c r="AE66" s="28" t="str">
        <f>IF(W66="","",_xll.EpLgm1fStandardSwaptionPrice($C$2,$N$3,$N$2,X66,Y66,Z66,AA66,AB66))</f>
        <v/>
      </c>
    </row>
    <row r="67" spans="2:31" x14ac:dyDescent="0.3">
      <c r="B67" s="97" t="str">
        <f t="shared" si="15"/>
        <v/>
      </c>
      <c r="C67" s="97" t="str">
        <f t="shared" si="22"/>
        <v/>
      </c>
      <c r="D67" s="97" t="str">
        <f t="shared" si="16"/>
        <v/>
      </c>
      <c r="E67" s="8" t="str">
        <f t="shared" si="17"/>
        <v/>
      </c>
      <c r="F67" s="31" t="str">
        <f t="shared" si="18"/>
        <v/>
      </c>
      <c r="G67" s="11" t="str">
        <f t="shared" si="19"/>
        <v/>
      </c>
      <c r="H67" s="11" t="str">
        <f t="shared" si="8"/>
        <v/>
      </c>
      <c r="I67" s="28" t="str">
        <f t="shared" si="20"/>
        <v/>
      </c>
      <c r="J67" s="8" t="str">
        <f t="shared" si="21"/>
        <v/>
      </c>
      <c r="K67" s="38" t="str">
        <f>IF(B67="","",E67*F67*J67*Normput((B67-$C$2)/365,G67,I67,$C$13))</f>
        <v/>
      </c>
      <c r="L67" s="38" t="str">
        <f>IF(B67="","",E67*F67*J67*NORMcall((B67-$C$2)/365,H67,I67,$C$14))</f>
        <v/>
      </c>
      <c r="N67" s="21"/>
      <c r="W67" s="21" t="str">
        <f t="shared" si="9"/>
        <v/>
      </c>
      <c r="X67" s="21" t="str">
        <f t="shared" si="10"/>
        <v/>
      </c>
      <c r="Y67" s="21" t="str">
        <f t="shared" si="11"/>
        <v/>
      </c>
      <c r="Z67" s="1" t="str">
        <f t="shared" si="12"/>
        <v/>
      </c>
      <c r="AA67" s="1" t="str">
        <f t="shared" si="13"/>
        <v/>
      </c>
      <c r="AB67" s="26" t="str">
        <f>IF(U67="","",#REF!)</f>
        <v/>
      </c>
      <c r="AC67" s="11" t="str">
        <f t="shared" si="14"/>
        <v/>
      </c>
      <c r="AD67" s="28" t="str">
        <f>IF(W67="","",_xll.EpBsStandardSwaptionPrice($C$2,$N$2,X67,Y67,Z67,AA67,AB67,AC67))</f>
        <v/>
      </c>
      <c r="AE67" s="28" t="str">
        <f>IF(W67="","",_xll.EpLgm1fStandardSwaptionPrice($C$2,$N$3,$N$2,X67,Y67,Z67,AA67,AB67))</f>
        <v/>
      </c>
    </row>
    <row r="68" spans="2:31" x14ac:dyDescent="0.3">
      <c r="B68" s="97" t="str">
        <f t="shared" si="15"/>
        <v/>
      </c>
      <c r="C68" s="97" t="str">
        <f t="shared" si="22"/>
        <v/>
      </c>
      <c r="D68" s="97" t="str">
        <f t="shared" si="16"/>
        <v/>
      </c>
      <c r="E68" s="8" t="str">
        <f t="shared" si="17"/>
        <v/>
      </c>
      <c r="F68" s="31" t="str">
        <f t="shared" si="18"/>
        <v/>
      </c>
      <c r="G68" s="11" t="str">
        <f t="shared" si="19"/>
        <v/>
      </c>
      <c r="H68" s="11" t="str">
        <f t="shared" si="8"/>
        <v/>
      </c>
      <c r="I68" s="28" t="str">
        <f t="shared" si="20"/>
        <v/>
      </c>
      <c r="J68" s="8" t="str">
        <f t="shared" si="21"/>
        <v/>
      </c>
      <c r="K68" s="38" t="str">
        <f>IF(B68="","",E68*F68*J68*Normput((B68-$C$2)/365,G68,I68,$C$13))</f>
        <v/>
      </c>
      <c r="L68" s="38" t="str">
        <f>IF(B68="","",E68*F68*J68*NORMcall((B68-$C$2)/365,H68,I68,$C$14))</f>
        <v/>
      </c>
      <c r="N68" s="21"/>
      <c r="W68" s="21" t="str">
        <f t="shared" si="9"/>
        <v/>
      </c>
      <c r="X68" s="21" t="str">
        <f t="shared" si="10"/>
        <v/>
      </c>
      <c r="Y68" s="21" t="str">
        <f t="shared" si="11"/>
        <v/>
      </c>
      <c r="Z68" s="1" t="str">
        <f t="shared" si="12"/>
        <v/>
      </c>
      <c r="AA68" s="1" t="str">
        <f t="shared" si="13"/>
        <v/>
      </c>
      <c r="AB68" s="26" t="str">
        <f>IF(U68="","",#REF!)</f>
        <v/>
      </c>
      <c r="AC68" s="11" t="str">
        <f t="shared" si="14"/>
        <v/>
      </c>
      <c r="AD68" s="28" t="str">
        <f>IF(W68="","",_xll.EpBsStandardSwaptionPrice($C$2,$N$2,X68,Y68,Z68,AA68,AB68,AC68))</f>
        <v/>
      </c>
      <c r="AE68" s="28" t="str">
        <f>IF(W68="","",_xll.EpLgm1fStandardSwaptionPrice($C$2,$N$3,$N$2,X68,Y68,Z68,AA68,AB68))</f>
        <v/>
      </c>
    </row>
    <row r="69" spans="2:31" x14ac:dyDescent="0.3">
      <c r="B69" s="97" t="str">
        <f t="shared" si="15"/>
        <v/>
      </c>
      <c r="C69" s="97" t="str">
        <f t="shared" si="22"/>
        <v/>
      </c>
      <c r="D69" s="97" t="str">
        <f t="shared" si="16"/>
        <v/>
      </c>
      <c r="E69" s="8" t="str">
        <f t="shared" si="17"/>
        <v/>
      </c>
      <c r="F69" s="31" t="str">
        <f t="shared" si="18"/>
        <v/>
      </c>
      <c r="G69" s="11" t="str">
        <f t="shared" si="19"/>
        <v/>
      </c>
      <c r="H69" s="11" t="str">
        <f t="shared" si="8"/>
        <v/>
      </c>
      <c r="I69" s="28" t="str">
        <f t="shared" si="20"/>
        <v/>
      </c>
      <c r="J69" s="8" t="str">
        <f t="shared" si="21"/>
        <v/>
      </c>
      <c r="K69" s="38" t="str">
        <f>IF(B69="","",E69*F69*J69*Normput((B69-$C$2)/365,G69,I69,$C$13))</f>
        <v/>
      </c>
      <c r="L69" s="38" t="str">
        <f>IF(B69="","",E69*F69*J69*NORMcall((B69-$C$2)/365,H69,I69,$C$14))</f>
        <v/>
      </c>
      <c r="N69" s="21"/>
      <c r="W69" s="21" t="str">
        <f t="shared" si="9"/>
        <v/>
      </c>
      <c r="X69" s="21" t="str">
        <f t="shared" si="10"/>
        <v/>
      </c>
      <c r="Y69" s="21" t="str">
        <f t="shared" si="11"/>
        <v/>
      </c>
      <c r="Z69" s="1" t="str">
        <f t="shared" si="12"/>
        <v/>
      </c>
      <c r="AA69" s="1" t="str">
        <f t="shared" si="13"/>
        <v/>
      </c>
      <c r="AB69" s="26" t="str">
        <f>IF(U69="","",#REF!)</f>
        <v/>
      </c>
      <c r="AC69" s="11" t="str">
        <f t="shared" si="14"/>
        <v/>
      </c>
      <c r="AD69" s="28" t="str">
        <f>IF(W69="","",_xll.EpBsStandardSwaptionPrice($C$2,$N$2,X69,Y69,Z69,AA69,AB69,AC69))</f>
        <v/>
      </c>
      <c r="AE69" s="28" t="str">
        <f>IF(W69="","",_xll.EpLgm1fStandardSwaptionPrice($C$2,$N$3,$N$2,X69,Y69,Z69,AA69,AB69))</f>
        <v/>
      </c>
    </row>
    <row r="70" spans="2:31" x14ac:dyDescent="0.3">
      <c r="B70" s="97" t="str">
        <f t="shared" si="15"/>
        <v/>
      </c>
      <c r="C70" s="97" t="str">
        <f t="shared" si="22"/>
        <v/>
      </c>
      <c r="D70" s="97" t="str">
        <f t="shared" si="16"/>
        <v/>
      </c>
      <c r="E70" s="8" t="str">
        <f t="shared" si="17"/>
        <v/>
      </c>
      <c r="F70" s="31" t="str">
        <f t="shared" si="18"/>
        <v/>
      </c>
      <c r="G70" s="11" t="str">
        <f t="shared" si="19"/>
        <v/>
      </c>
      <c r="H70" s="11" t="str">
        <f t="shared" si="8"/>
        <v/>
      </c>
      <c r="I70" s="28" t="str">
        <f t="shared" si="20"/>
        <v/>
      </c>
      <c r="J70" s="8" t="str">
        <f t="shared" si="21"/>
        <v/>
      </c>
      <c r="K70" s="38" t="str">
        <f>IF(B70="","",E70*F70*J70*Normput((B70-$C$2)/365,G70,I70,$C$13))</f>
        <v/>
      </c>
      <c r="L70" s="38" t="str">
        <f>IF(B70="","",E70*F70*J70*NORMcall((B70-$C$2)/365,H70,I70,$C$14))</f>
        <v/>
      </c>
      <c r="N70" s="21"/>
      <c r="W70" s="21" t="str">
        <f t="shared" si="9"/>
        <v/>
      </c>
      <c r="X70" s="21" t="str">
        <f t="shared" si="10"/>
        <v/>
      </c>
      <c r="Y70" s="21" t="str">
        <f t="shared" si="11"/>
        <v/>
      </c>
      <c r="Z70" s="1" t="str">
        <f t="shared" si="12"/>
        <v/>
      </c>
      <c r="AA70" s="1" t="str">
        <f t="shared" si="13"/>
        <v/>
      </c>
      <c r="AB70" s="26" t="str">
        <f>IF(U70="","",#REF!)</f>
        <v/>
      </c>
      <c r="AC70" s="11" t="str">
        <f t="shared" si="14"/>
        <v/>
      </c>
      <c r="AD70" s="28" t="str">
        <f>IF(W70="","",_xll.EpBsStandardSwaptionPrice($C$2,$N$2,X70,Y70,Z70,AA70,AB70,AC70))</f>
        <v/>
      </c>
      <c r="AE70" s="28" t="str">
        <f>IF(W70="","",_xll.EpLgm1fStandardSwaptionPrice($C$2,$N$3,$N$2,X70,Y70,Z70,AA70,AB70))</f>
        <v/>
      </c>
    </row>
    <row r="71" spans="2:31" x14ac:dyDescent="0.3">
      <c r="B71" s="97" t="str">
        <f t="shared" si="15"/>
        <v/>
      </c>
      <c r="C71" s="97" t="str">
        <f t="shared" si="22"/>
        <v/>
      </c>
      <c r="D71" s="97" t="str">
        <f t="shared" si="16"/>
        <v/>
      </c>
      <c r="E71" s="8" t="str">
        <f t="shared" si="17"/>
        <v/>
      </c>
      <c r="F71" s="31" t="str">
        <f t="shared" si="18"/>
        <v/>
      </c>
      <c r="G71" s="11" t="str">
        <f t="shared" si="19"/>
        <v/>
      </c>
      <c r="H71" s="11" t="str">
        <f t="shared" si="8"/>
        <v/>
      </c>
      <c r="I71" s="28" t="str">
        <f t="shared" si="20"/>
        <v/>
      </c>
      <c r="J71" s="8" t="str">
        <f t="shared" si="21"/>
        <v/>
      </c>
      <c r="K71" s="38" t="str">
        <f>IF(B71="","",E71*F71*J71*Normput((B71-$C$2)/365,G71,I71,$C$13))</f>
        <v/>
      </c>
      <c r="L71" s="38" t="str">
        <f>IF(B71="","",E71*F71*J71*NORMcall((B71-$C$2)/365,H71,I71,$C$14))</f>
        <v/>
      </c>
      <c r="N71" s="21"/>
      <c r="W71" s="21" t="str">
        <f t="shared" si="9"/>
        <v/>
      </c>
      <c r="X71" s="21" t="str">
        <f t="shared" si="10"/>
        <v/>
      </c>
      <c r="Y71" s="21" t="str">
        <f t="shared" si="11"/>
        <v/>
      </c>
      <c r="Z71" s="1" t="str">
        <f t="shared" si="12"/>
        <v/>
      </c>
      <c r="AA71" s="1" t="str">
        <f t="shared" si="13"/>
        <v/>
      </c>
      <c r="AB71" s="26" t="str">
        <f>IF(U71="","",#REF!)</f>
        <v/>
      </c>
      <c r="AC71" s="11" t="str">
        <f t="shared" si="14"/>
        <v/>
      </c>
      <c r="AD71" s="28" t="str">
        <f>IF(W71="","",_xll.EpBsStandardSwaptionPrice($C$2,$N$2,X71,Y71,Z71,AA71,AB71,AC71))</f>
        <v/>
      </c>
      <c r="AE71" s="28" t="str">
        <f>IF(W71="","",_xll.EpLgm1fStandardSwaptionPrice($C$2,$N$3,$N$2,X71,Y71,Z71,AA71,AB71))</f>
        <v/>
      </c>
    </row>
    <row r="72" spans="2:31" x14ac:dyDescent="0.3">
      <c r="B72" s="97" t="str">
        <f t="shared" si="15"/>
        <v/>
      </c>
      <c r="C72" s="97" t="str">
        <f t="shared" si="22"/>
        <v/>
      </c>
      <c r="D72" s="97" t="str">
        <f t="shared" si="16"/>
        <v/>
      </c>
      <c r="E72" s="8" t="str">
        <f t="shared" si="17"/>
        <v/>
      </c>
      <c r="F72" s="31" t="str">
        <f t="shared" si="18"/>
        <v/>
      </c>
      <c r="G72" s="11" t="str">
        <f t="shared" si="19"/>
        <v/>
      </c>
      <c r="H72" s="11" t="str">
        <f t="shared" si="8"/>
        <v/>
      </c>
      <c r="I72" s="28" t="str">
        <f t="shared" si="20"/>
        <v/>
      </c>
      <c r="J72" s="8" t="str">
        <f t="shared" si="21"/>
        <v/>
      </c>
      <c r="K72" s="38" t="str">
        <f>IF(B72="","",E72*F72*J72*Normput((B72-$C$2)/365,G72,I72,$C$13))</f>
        <v/>
      </c>
      <c r="L72" s="38" t="str">
        <f>IF(B72="","",E72*F72*J72*NORMcall((B72-$C$2)/365,H72,I72,$C$14))</f>
        <v/>
      </c>
      <c r="N72" s="21"/>
      <c r="W72" s="21" t="str">
        <f t="shared" si="9"/>
        <v/>
      </c>
      <c r="X72" s="21" t="str">
        <f t="shared" si="10"/>
        <v/>
      </c>
      <c r="Y72" s="21" t="str">
        <f t="shared" si="11"/>
        <v/>
      </c>
      <c r="Z72" s="1" t="str">
        <f t="shared" si="12"/>
        <v/>
      </c>
      <c r="AA72" s="1" t="str">
        <f t="shared" si="13"/>
        <v/>
      </c>
      <c r="AB72" s="26" t="str">
        <f>IF(U72="","",#REF!)</f>
        <v/>
      </c>
      <c r="AC72" s="11" t="str">
        <f t="shared" si="14"/>
        <v/>
      </c>
      <c r="AD72" s="28" t="str">
        <f>IF(W72="","",_xll.EpBsStandardSwaptionPrice($C$2,$N$2,X72,Y72,Z72,AA72,AB72,AC72))</f>
        <v/>
      </c>
      <c r="AE72" s="28" t="str">
        <f>IF(W72="","",_xll.EpLgm1fStandardSwaptionPrice($C$2,$N$3,$N$2,X72,Y72,Z72,AA72,AB72))</f>
        <v/>
      </c>
    </row>
    <row r="73" spans="2:31" x14ac:dyDescent="0.3">
      <c r="B73" s="97" t="str">
        <f t="shared" si="15"/>
        <v/>
      </c>
      <c r="C73" s="97" t="str">
        <f t="shared" si="22"/>
        <v/>
      </c>
      <c r="D73" s="97" t="str">
        <f t="shared" si="16"/>
        <v/>
      </c>
      <c r="E73" s="8" t="str">
        <f t="shared" si="17"/>
        <v/>
      </c>
      <c r="F73" s="31" t="str">
        <f t="shared" si="18"/>
        <v/>
      </c>
      <c r="G73" s="11" t="str">
        <f t="shared" si="19"/>
        <v/>
      </c>
      <c r="H73" s="11" t="str">
        <f t="shared" si="8"/>
        <v/>
      </c>
      <c r="I73" s="28" t="str">
        <f t="shared" si="20"/>
        <v/>
      </c>
      <c r="J73" s="8" t="str">
        <f t="shared" si="21"/>
        <v/>
      </c>
      <c r="K73" s="38" t="str">
        <f>IF(B73="","",E73*F73*J73*Normput((B73-$C$2)/365,G73,I73,$C$13))</f>
        <v/>
      </c>
      <c r="L73" s="38" t="str">
        <f>IF(B73="","",E73*F73*J73*NORMcall((B73-$C$2)/365,H73,I73,$C$14))</f>
        <v/>
      </c>
      <c r="N73" s="21"/>
      <c r="W73" s="21" t="str">
        <f t="shared" si="9"/>
        <v/>
      </c>
      <c r="X73" s="21" t="str">
        <f t="shared" si="10"/>
        <v/>
      </c>
      <c r="Y73" s="21" t="str">
        <f t="shared" si="11"/>
        <v/>
      </c>
      <c r="Z73" s="1" t="str">
        <f t="shared" si="12"/>
        <v/>
      </c>
      <c r="AA73" s="1" t="str">
        <f t="shared" si="13"/>
        <v/>
      </c>
      <c r="AB73" s="26" t="str">
        <f>IF(U73="","",#REF!)</f>
        <v/>
      </c>
      <c r="AC73" s="11" t="str">
        <f t="shared" si="14"/>
        <v/>
      </c>
      <c r="AD73" s="28" t="str">
        <f>IF(W73="","",_xll.EpBsStandardSwaptionPrice($C$2,$N$2,X73,Y73,Z73,AA73,AB73,AC73))</f>
        <v/>
      </c>
      <c r="AE73" s="28" t="str">
        <f>IF(W73="","",_xll.EpLgm1fStandardSwaptionPrice($C$2,$N$3,$N$2,X73,Y73,Z73,AA73,AB73))</f>
        <v/>
      </c>
    </row>
    <row r="74" spans="2:31" x14ac:dyDescent="0.3">
      <c r="B74" s="97" t="str">
        <f t="shared" si="15"/>
        <v/>
      </c>
      <c r="C74" s="97" t="str">
        <f t="shared" si="22"/>
        <v/>
      </c>
      <c r="D74" s="97" t="str">
        <f t="shared" si="16"/>
        <v/>
      </c>
      <c r="E74" s="8" t="str">
        <f t="shared" si="17"/>
        <v/>
      </c>
      <c r="F74" s="31" t="str">
        <f t="shared" si="18"/>
        <v/>
      </c>
      <c r="G74" s="11" t="str">
        <f t="shared" si="19"/>
        <v/>
      </c>
      <c r="H74" s="11" t="str">
        <f t="shared" si="8"/>
        <v/>
      </c>
      <c r="I74" s="28" t="str">
        <f t="shared" si="20"/>
        <v/>
      </c>
      <c r="J74" s="8" t="str">
        <f t="shared" si="21"/>
        <v/>
      </c>
      <c r="K74" s="38" t="str">
        <f>IF(B74="","",E74*F74*J74*Normput((B74-$C$2)/365,G74,I74,$C$13))</f>
        <v/>
      </c>
      <c r="L74" s="38" t="str">
        <f>IF(B74="","",E74*F74*J74*NORMcall((B74-$C$2)/365,H74,I74,$C$14))</f>
        <v/>
      </c>
      <c r="N74" s="21"/>
      <c r="W74" s="21" t="str">
        <f t="shared" ref="W74:W105" si="23">IF(U74="","",X74-2)</f>
        <v/>
      </c>
      <c r="X74" s="21" t="str">
        <f t="shared" ref="X74:X105" si="24">IF(U74="","",U74+$J$8)</f>
        <v/>
      </c>
      <c r="Y74" s="21" t="str">
        <f t="shared" ref="Y74:Y105" si="25">IF(U74="","",$C$8)</f>
        <v/>
      </c>
      <c r="Z74" s="1" t="str">
        <f t="shared" ref="Z74:Z105" si="26">IF(U74="","","RECEIVER")</f>
        <v/>
      </c>
      <c r="AA74" s="1" t="str">
        <f t="shared" ref="AA74:AA105" si="27">IF(U74="","","ABS")</f>
        <v/>
      </c>
      <c r="AB74" s="26" t="str">
        <f>IF(U74="","",#REF!)</f>
        <v/>
      </c>
      <c r="AC74" s="11" t="str">
        <f t="shared" ref="AC74:AC105" si="28">IF(U74="","",$Z$19)</f>
        <v/>
      </c>
      <c r="AD74" s="28" t="str">
        <f>IF(W74="","",_xll.EpBsStandardSwaptionPrice($C$2,$N$2,X74,Y74,Z74,AA74,AB74,AC74))</f>
        <v/>
      </c>
      <c r="AE74" s="28" t="str">
        <f>IF(W74="","",_xll.EpLgm1fStandardSwaptionPrice($C$2,$N$3,$N$2,X74,Y74,Z74,AA74,AB74))</f>
        <v/>
      </c>
    </row>
    <row r="75" spans="2:31" x14ac:dyDescent="0.3">
      <c r="B75" s="97" t="str">
        <f t="shared" si="15"/>
        <v/>
      </c>
      <c r="C75" s="97" t="str">
        <f t="shared" si="22"/>
        <v/>
      </c>
      <c r="D75" s="97" t="str">
        <f t="shared" si="16"/>
        <v/>
      </c>
      <c r="E75" s="8" t="str">
        <f t="shared" si="17"/>
        <v/>
      </c>
      <c r="F75" s="31" t="str">
        <f t="shared" si="18"/>
        <v/>
      </c>
      <c r="G75" s="11" t="str">
        <f t="shared" si="19"/>
        <v/>
      </c>
      <c r="H75" s="11" t="str">
        <f t="shared" si="8"/>
        <v/>
      </c>
      <c r="I75" s="28" t="str">
        <f t="shared" si="20"/>
        <v/>
      </c>
      <c r="J75" s="8" t="str">
        <f t="shared" si="21"/>
        <v/>
      </c>
      <c r="K75" s="38" t="str">
        <f>IF(B75="","",E75*F75*J75*Normput((B75-$C$2)/365,G75,I75,$C$13))</f>
        <v/>
      </c>
      <c r="L75" s="38" t="str">
        <f>IF(B75="","",E75*F75*J75*NORMcall((B75-$C$2)/365,H75,I75,$C$14))</f>
        <v/>
      </c>
      <c r="N75" s="21"/>
      <c r="W75" s="21" t="str">
        <f t="shared" si="23"/>
        <v/>
      </c>
      <c r="X75" s="21" t="str">
        <f t="shared" si="24"/>
        <v/>
      </c>
      <c r="Y75" s="21" t="str">
        <f t="shared" si="25"/>
        <v/>
      </c>
      <c r="Z75" s="1" t="str">
        <f t="shared" si="26"/>
        <v/>
      </c>
      <c r="AA75" s="1" t="str">
        <f t="shared" si="27"/>
        <v/>
      </c>
      <c r="AB75" s="26" t="str">
        <f>IF(U75="","",#REF!)</f>
        <v/>
      </c>
      <c r="AC75" s="11" t="str">
        <f t="shared" si="28"/>
        <v/>
      </c>
      <c r="AD75" s="28" t="str">
        <f>IF(W75="","",_xll.EpBsStandardSwaptionPrice($C$2,$N$2,X75,Y75,Z75,AA75,AB75,AC75))</f>
        <v/>
      </c>
      <c r="AE75" s="28" t="str">
        <f>IF(W75="","",_xll.EpLgm1fStandardSwaptionPrice($C$2,$N$3,$N$2,X75,Y75,Z75,AA75,AB75))</f>
        <v/>
      </c>
    </row>
    <row r="76" spans="2:31" x14ac:dyDescent="0.3">
      <c r="B76" s="97" t="str">
        <f t="shared" si="15"/>
        <v/>
      </c>
      <c r="C76" s="97" t="str">
        <f t="shared" si="22"/>
        <v/>
      </c>
      <c r="D76" s="97" t="str">
        <f t="shared" si="16"/>
        <v/>
      </c>
      <c r="E76" s="8" t="str">
        <f t="shared" si="17"/>
        <v/>
      </c>
      <c r="F76" s="31" t="str">
        <f t="shared" si="18"/>
        <v/>
      </c>
      <c r="G76" s="11" t="str">
        <f t="shared" si="19"/>
        <v/>
      </c>
      <c r="H76" s="11" t="str">
        <f t="shared" si="8"/>
        <v/>
      </c>
      <c r="I76" s="28" t="str">
        <f t="shared" si="20"/>
        <v/>
      </c>
      <c r="J76" s="8" t="str">
        <f t="shared" si="21"/>
        <v/>
      </c>
      <c r="K76" s="38" t="str">
        <f>IF(B76="","",E76*F76*J76*Normput((B76-$C$2)/365,G76,I76,$C$13))</f>
        <v/>
      </c>
      <c r="L76" s="38" t="str">
        <f>IF(B76="","",E76*F76*J76*NORMcall((B76-$C$2)/365,H76,I76,$C$14))</f>
        <v/>
      </c>
      <c r="N76" s="21"/>
      <c r="W76" s="21" t="str">
        <f t="shared" si="23"/>
        <v/>
      </c>
      <c r="X76" s="21" t="str">
        <f t="shared" si="24"/>
        <v/>
      </c>
      <c r="Y76" s="21" t="str">
        <f t="shared" si="25"/>
        <v/>
      </c>
      <c r="Z76" s="1" t="str">
        <f t="shared" si="26"/>
        <v/>
      </c>
      <c r="AA76" s="1" t="str">
        <f t="shared" si="27"/>
        <v/>
      </c>
      <c r="AB76" s="26" t="str">
        <f>IF(U76="","",#REF!)</f>
        <v/>
      </c>
      <c r="AC76" s="11" t="str">
        <f t="shared" si="28"/>
        <v/>
      </c>
      <c r="AD76" s="28" t="str">
        <f>IF(W76="","",_xll.EpBsStandardSwaptionPrice($C$2,$N$2,X76,Y76,Z76,AA76,AB76,AC76))</f>
        <v/>
      </c>
      <c r="AE76" s="28" t="str">
        <f>IF(W76="","",_xll.EpLgm1fStandardSwaptionPrice($C$2,$N$3,$N$2,X76,Y76,Z76,AA76,AB76))</f>
        <v/>
      </c>
    </row>
    <row r="77" spans="2:31" x14ac:dyDescent="0.3">
      <c r="B77" s="97" t="str">
        <f t="shared" si="15"/>
        <v/>
      </c>
      <c r="C77" s="97" t="str">
        <f t="shared" si="22"/>
        <v/>
      </c>
      <c r="D77" s="97" t="str">
        <f t="shared" si="16"/>
        <v/>
      </c>
      <c r="E77" s="8" t="str">
        <f t="shared" si="17"/>
        <v/>
      </c>
      <c r="F77" s="31" t="str">
        <f t="shared" si="18"/>
        <v/>
      </c>
      <c r="G77" s="11" t="str">
        <f t="shared" si="19"/>
        <v/>
      </c>
      <c r="H77" s="11" t="str">
        <f t="shared" si="8"/>
        <v/>
      </c>
      <c r="I77" s="28" t="str">
        <f t="shared" si="20"/>
        <v/>
      </c>
      <c r="J77" s="8" t="str">
        <f t="shared" si="21"/>
        <v/>
      </c>
      <c r="K77" s="38" t="str">
        <f>IF(B77="","",E77*F77*J77*Normput((B77-$C$2)/365,G77,I77,$C$13))</f>
        <v/>
      </c>
      <c r="L77" s="38" t="str">
        <f>IF(B77="","",E77*F77*J77*NORMcall((B77-$C$2)/365,H77,I77,$C$14))</f>
        <v/>
      </c>
      <c r="N77" s="21"/>
      <c r="W77" s="21" t="str">
        <f t="shared" si="23"/>
        <v/>
      </c>
      <c r="X77" s="21" t="str">
        <f t="shared" si="24"/>
        <v/>
      </c>
      <c r="Y77" s="21" t="str">
        <f t="shared" si="25"/>
        <v/>
      </c>
      <c r="Z77" s="1" t="str">
        <f t="shared" si="26"/>
        <v/>
      </c>
      <c r="AA77" s="1" t="str">
        <f t="shared" si="27"/>
        <v/>
      </c>
      <c r="AB77" s="26" t="str">
        <f>IF(U77="","",#REF!)</f>
        <v/>
      </c>
      <c r="AC77" s="11" t="str">
        <f t="shared" si="28"/>
        <v/>
      </c>
      <c r="AD77" s="28" t="str">
        <f>IF(W77="","",_xll.EpBsStandardSwaptionPrice($C$2,$N$2,X77,Y77,Z77,AA77,AB77,AC77))</f>
        <v/>
      </c>
      <c r="AE77" s="28" t="str">
        <f>IF(W77="","",_xll.EpLgm1fStandardSwaptionPrice($C$2,$N$3,$N$2,X77,Y77,Z77,AA77,AB77))</f>
        <v/>
      </c>
    </row>
    <row r="78" spans="2:31" x14ac:dyDescent="0.3">
      <c r="B78" s="97" t="str">
        <f t="shared" si="15"/>
        <v/>
      </c>
      <c r="C78" s="97" t="str">
        <f t="shared" si="22"/>
        <v/>
      </c>
      <c r="D78" s="97" t="str">
        <f t="shared" si="16"/>
        <v/>
      </c>
      <c r="E78" s="8" t="str">
        <f t="shared" si="17"/>
        <v/>
      </c>
      <c r="F78" s="31" t="str">
        <f t="shared" si="18"/>
        <v/>
      </c>
      <c r="G78" s="11" t="str">
        <f t="shared" si="19"/>
        <v/>
      </c>
      <c r="H78" s="11" t="str">
        <f t="shared" si="8"/>
        <v/>
      </c>
      <c r="I78" s="28" t="str">
        <f t="shared" si="20"/>
        <v/>
      </c>
      <c r="J78" s="8" t="str">
        <f t="shared" si="21"/>
        <v/>
      </c>
      <c r="K78" s="38" t="str">
        <f>IF(B78="","",E78*F78*J78*Normput((B78-$C$2)/365,G78,I78,$C$13))</f>
        <v/>
      </c>
      <c r="L78" s="38" t="str">
        <f>IF(B78="","",E78*F78*J78*NORMcall((B78-$C$2)/365,H78,I78,$C$14))</f>
        <v/>
      </c>
      <c r="N78" s="21"/>
      <c r="W78" s="21" t="str">
        <f t="shared" si="23"/>
        <v/>
      </c>
      <c r="X78" s="21" t="str">
        <f t="shared" si="24"/>
        <v/>
      </c>
      <c r="Y78" s="21" t="str">
        <f t="shared" si="25"/>
        <v/>
      </c>
      <c r="Z78" s="1" t="str">
        <f t="shared" si="26"/>
        <v/>
      </c>
      <c r="AA78" s="1" t="str">
        <f t="shared" si="27"/>
        <v/>
      </c>
      <c r="AB78" s="26" t="str">
        <f>IF(U78="","",#REF!)</f>
        <v/>
      </c>
      <c r="AC78" s="11" t="str">
        <f t="shared" si="28"/>
        <v/>
      </c>
      <c r="AD78" s="28" t="str">
        <f>IF(W78="","",_xll.EpBsStandardSwaptionPrice($C$2,$N$2,X78,Y78,Z78,AA78,AB78,AC78))</f>
        <v/>
      </c>
      <c r="AE78" s="28" t="str">
        <f>IF(W78="","",_xll.EpLgm1fStandardSwaptionPrice($C$2,$N$3,$N$2,X78,Y78,Z78,AA78,AB78))</f>
        <v/>
      </c>
    </row>
    <row r="79" spans="2:31" x14ac:dyDescent="0.3">
      <c r="B79" s="97" t="str">
        <f t="shared" si="15"/>
        <v/>
      </c>
      <c r="C79" s="97" t="str">
        <f t="shared" si="22"/>
        <v/>
      </c>
      <c r="D79" s="97" t="str">
        <f t="shared" si="16"/>
        <v/>
      </c>
      <c r="E79" s="8" t="str">
        <f t="shared" si="17"/>
        <v/>
      </c>
      <c r="F79" s="31" t="str">
        <f t="shared" si="18"/>
        <v/>
      </c>
      <c r="G79" s="11" t="str">
        <f t="shared" si="19"/>
        <v/>
      </c>
      <c r="H79" s="11" t="str">
        <f t="shared" si="8"/>
        <v/>
      </c>
      <c r="I79" s="28" t="str">
        <f t="shared" si="20"/>
        <v/>
      </c>
      <c r="J79" s="8" t="str">
        <f t="shared" si="21"/>
        <v/>
      </c>
      <c r="K79" s="38" t="str">
        <f>IF(B79="","",E79*F79*J79*Normput((B79-$C$2)/365,G79,I79,$C$13))</f>
        <v/>
      </c>
      <c r="L79" s="38" t="str">
        <f>IF(B79="","",E79*F79*J79*NORMcall((B79-$C$2)/365,H79,I79,$C$14))</f>
        <v/>
      </c>
      <c r="N79" s="21"/>
      <c r="W79" s="21" t="str">
        <f t="shared" si="23"/>
        <v/>
      </c>
      <c r="X79" s="21" t="str">
        <f t="shared" si="24"/>
        <v/>
      </c>
      <c r="Y79" s="21" t="str">
        <f t="shared" si="25"/>
        <v/>
      </c>
      <c r="Z79" s="1" t="str">
        <f t="shared" si="26"/>
        <v/>
      </c>
      <c r="AA79" s="1" t="str">
        <f t="shared" si="27"/>
        <v/>
      </c>
      <c r="AB79" s="26" t="str">
        <f>IF(U79="","",#REF!)</f>
        <v/>
      </c>
      <c r="AC79" s="11" t="str">
        <f t="shared" si="28"/>
        <v/>
      </c>
      <c r="AD79" s="28" t="str">
        <f>IF(W79="","",_xll.EpBsStandardSwaptionPrice($C$2,$N$2,X79,Y79,Z79,AA79,AB79,AC79))</f>
        <v/>
      </c>
      <c r="AE79" s="28" t="str">
        <f>IF(W79="","",_xll.EpLgm1fStandardSwaptionPrice($C$2,$N$3,$N$2,X79,Y79,Z79,AA79,AB79))</f>
        <v/>
      </c>
    </row>
    <row r="80" spans="2:31" x14ac:dyDescent="0.3">
      <c r="B80" s="97" t="str">
        <f t="shared" si="15"/>
        <v/>
      </c>
      <c r="C80" s="97" t="str">
        <f t="shared" si="22"/>
        <v/>
      </c>
      <c r="D80" s="97" t="str">
        <f t="shared" si="16"/>
        <v/>
      </c>
      <c r="E80" s="8" t="str">
        <f t="shared" si="17"/>
        <v/>
      </c>
      <c r="F80" s="31" t="str">
        <f t="shared" si="18"/>
        <v/>
      </c>
      <c r="G80" s="11" t="str">
        <f t="shared" si="19"/>
        <v/>
      </c>
      <c r="H80" s="11" t="str">
        <f t="shared" si="8"/>
        <v/>
      </c>
      <c r="I80" s="28" t="str">
        <f t="shared" si="20"/>
        <v/>
      </c>
      <c r="J80" s="8" t="str">
        <f t="shared" si="21"/>
        <v/>
      </c>
      <c r="K80" s="38" t="str">
        <f>IF(B80="","",E80*F80*J80*Normput((B80-$C$2)/365,G80,I80,$C$13))</f>
        <v/>
      </c>
      <c r="L80" s="38" t="str">
        <f>IF(B80="","",E80*F80*J80*NORMcall((B80-$C$2)/365,H80,I80,$C$14))</f>
        <v/>
      </c>
      <c r="N80" s="21"/>
      <c r="W80" s="21" t="str">
        <f t="shared" si="23"/>
        <v/>
      </c>
      <c r="X80" s="21" t="str">
        <f t="shared" si="24"/>
        <v/>
      </c>
      <c r="Y80" s="21" t="str">
        <f t="shared" si="25"/>
        <v/>
      </c>
      <c r="Z80" s="1" t="str">
        <f t="shared" si="26"/>
        <v/>
      </c>
      <c r="AA80" s="1" t="str">
        <f t="shared" si="27"/>
        <v/>
      </c>
      <c r="AB80" s="26" t="str">
        <f>IF(U80="","",#REF!)</f>
        <v/>
      </c>
      <c r="AC80" s="11" t="str">
        <f t="shared" si="28"/>
        <v/>
      </c>
      <c r="AD80" s="28" t="str">
        <f>IF(W80="","",_xll.EpBsStandardSwaptionPrice($C$2,$N$2,X80,Y80,Z80,AA80,AB80,AC80))</f>
        <v/>
      </c>
      <c r="AE80" s="28" t="str">
        <f>IF(W80="","",_xll.EpLgm1fStandardSwaptionPrice($C$2,$N$3,$N$2,X80,Y80,Z80,AA80,AB80))</f>
        <v/>
      </c>
    </row>
    <row r="81" spans="2:31" x14ac:dyDescent="0.3">
      <c r="B81" s="97" t="str">
        <f t="shared" si="15"/>
        <v/>
      </c>
      <c r="C81" s="97" t="str">
        <f t="shared" si="22"/>
        <v/>
      </c>
      <c r="D81" s="97" t="str">
        <f t="shared" si="16"/>
        <v/>
      </c>
      <c r="E81" s="8" t="str">
        <f t="shared" si="17"/>
        <v/>
      </c>
      <c r="F81" s="31" t="str">
        <f t="shared" si="18"/>
        <v/>
      </c>
      <c r="G81" s="11" t="str">
        <f t="shared" si="19"/>
        <v/>
      </c>
      <c r="H81" s="11" t="str">
        <f t="shared" si="8"/>
        <v/>
      </c>
      <c r="I81" s="28" t="str">
        <f t="shared" si="20"/>
        <v/>
      </c>
      <c r="J81" s="8" t="str">
        <f t="shared" si="21"/>
        <v/>
      </c>
      <c r="K81" s="38" t="str">
        <f>IF(B81="","",E81*F81*J81*Normput((B81-$C$2)/365,G81,I81,$C$13))</f>
        <v/>
      </c>
      <c r="L81" s="38" t="str">
        <f>IF(B81="","",E81*F81*J81*NORMcall((B81-$C$2)/365,H81,I81,$C$14))</f>
        <v/>
      </c>
      <c r="N81" s="21"/>
      <c r="W81" s="21" t="str">
        <f t="shared" si="23"/>
        <v/>
      </c>
      <c r="X81" s="21" t="str">
        <f t="shared" si="24"/>
        <v/>
      </c>
      <c r="Y81" s="21" t="str">
        <f t="shared" si="25"/>
        <v/>
      </c>
      <c r="Z81" s="1" t="str">
        <f t="shared" si="26"/>
        <v/>
      </c>
      <c r="AA81" s="1" t="str">
        <f t="shared" si="27"/>
        <v/>
      </c>
      <c r="AB81" s="26" t="str">
        <f>IF(U81="","",#REF!)</f>
        <v/>
      </c>
      <c r="AC81" s="11" t="str">
        <f t="shared" si="28"/>
        <v/>
      </c>
      <c r="AD81" s="28" t="str">
        <f>IF(W81="","",_xll.EpBsStandardSwaptionPrice($C$2,$N$2,X81,Y81,Z81,AA81,AB81,AC81))</f>
        <v/>
      </c>
      <c r="AE81" s="28" t="str">
        <f>IF(W81="","",_xll.EpLgm1fStandardSwaptionPrice($C$2,$N$3,$N$2,X81,Y81,Z81,AA81,AB81))</f>
        <v/>
      </c>
    </row>
    <row r="82" spans="2:31" x14ac:dyDescent="0.3">
      <c r="B82" s="97" t="str">
        <f t="shared" si="15"/>
        <v/>
      </c>
      <c r="C82" s="97" t="str">
        <f t="shared" si="22"/>
        <v/>
      </c>
      <c r="D82" s="97" t="str">
        <f t="shared" si="16"/>
        <v/>
      </c>
      <c r="E82" s="8" t="str">
        <f t="shared" si="17"/>
        <v/>
      </c>
      <c r="F82" s="31" t="str">
        <f t="shared" si="18"/>
        <v/>
      </c>
      <c r="G82" s="11" t="str">
        <f t="shared" si="19"/>
        <v/>
      </c>
      <c r="H82" s="11" t="str">
        <f t="shared" si="8"/>
        <v/>
      </c>
      <c r="I82" s="28" t="str">
        <f t="shared" si="20"/>
        <v/>
      </c>
      <c r="J82" s="8" t="str">
        <f t="shared" si="21"/>
        <v/>
      </c>
      <c r="K82" s="38" t="str">
        <f>IF(B82="","",E82*F82*J82*Normput((B82-$C$2)/365,G82,I82,$C$13))</f>
        <v/>
      </c>
      <c r="L82" s="38" t="str">
        <f>IF(B82="","",E82*F82*J82*NORMcall((B82-$C$2)/365,H82,I82,$C$14))</f>
        <v/>
      </c>
      <c r="N82" s="21"/>
      <c r="W82" s="21" t="str">
        <f t="shared" si="23"/>
        <v/>
      </c>
      <c r="X82" s="21" t="str">
        <f t="shared" si="24"/>
        <v/>
      </c>
      <c r="Y82" s="21" t="str">
        <f t="shared" si="25"/>
        <v/>
      </c>
      <c r="Z82" s="1" t="str">
        <f t="shared" si="26"/>
        <v/>
      </c>
      <c r="AA82" s="1" t="str">
        <f t="shared" si="27"/>
        <v/>
      </c>
      <c r="AB82" s="26" t="str">
        <f>IF(U82="","",#REF!)</f>
        <v/>
      </c>
      <c r="AC82" s="11" t="str">
        <f t="shared" si="28"/>
        <v/>
      </c>
      <c r="AD82" s="28" t="str">
        <f>IF(W82="","",_xll.EpBsStandardSwaptionPrice($C$2,$N$2,X82,Y82,Z82,AA82,AB82,AC82))</f>
        <v/>
      </c>
      <c r="AE82" s="28" t="str">
        <f>IF(W82="","",_xll.EpLgm1fStandardSwaptionPrice($C$2,$N$3,$N$2,X82,Y82,Z82,AA82,AB82))</f>
        <v/>
      </c>
    </row>
    <row r="83" spans="2:31" x14ac:dyDescent="0.3">
      <c r="B83" s="97" t="str">
        <f t="shared" si="15"/>
        <v/>
      </c>
      <c r="C83" s="97" t="str">
        <f t="shared" si="22"/>
        <v/>
      </c>
      <c r="D83" s="97" t="str">
        <f t="shared" si="16"/>
        <v/>
      </c>
      <c r="E83" s="8" t="str">
        <f t="shared" si="17"/>
        <v/>
      </c>
      <c r="F83" s="31" t="str">
        <f t="shared" si="18"/>
        <v/>
      </c>
      <c r="G83" s="11" t="str">
        <f t="shared" si="19"/>
        <v/>
      </c>
      <c r="H83" s="11" t="str">
        <f t="shared" si="8"/>
        <v/>
      </c>
      <c r="I83" s="28" t="str">
        <f t="shared" si="20"/>
        <v/>
      </c>
      <c r="J83" s="8" t="str">
        <f t="shared" si="21"/>
        <v/>
      </c>
      <c r="K83" s="38" t="str">
        <f>IF(B83="","",E83*F83*J83*Normput((B83-$C$2)/365,G83,I83,$C$13))</f>
        <v/>
      </c>
      <c r="L83" s="38" t="str">
        <f>IF(B83="","",E83*F83*J83*NORMcall((B83-$C$2)/365,H83,I83,$C$14))</f>
        <v/>
      </c>
      <c r="N83" s="21"/>
      <c r="W83" s="21" t="str">
        <f t="shared" si="23"/>
        <v/>
      </c>
      <c r="X83" s="21" t="str">
        <f t="shared" si="24"/>
        <v/>
      </c>
      <c r="Y83" s="21" t="str">
        <f t="shared" si="25"/>
        <v/>
      </c>
      <c r="Z83" s="1" t="str">
        <f t="shared" si="26"/>
        <v/>
      </c>
      <c r="AA83" s="1" t="str">
        <f t="shared" si="27"/>
        <v/>
      </c>
      <c r="AB83" s="26" t="str">
        <f>IF(U83="","",#REF!)</f>
        <v/>
      </c>
      <c r="AC83" s="11" t="str">
        <f t="shared" si="28"/>
        <v/>
      </c>
      <c r="AD83" s="28" t="str">
        <f>IF(W83="","",_xll.EpBsStandardSwaptionPrice($C$2,$N$2,X83,Y83,Z83,AA83,AB83,AC83))</f>
        <v/>
      </c>
      <c r="AE83" s="28" t="str">
        <f>IF(W83="","",_xll.EpLgm1fStandardSwaptionPrice($C$2,$N$3,$N$2,X83,Y83,Z83,AA83,AB83))</f>
        <v/>
      </c>
    </row>
    <row r="84" spans="2:31" x14ac:dyDescent="0.3">
      <c r="B84" s="97" t="str">
        <f t="shared" si="15"/>
        <v/>
      </c>
      <c r="C84" s="97" t="str">
        <f t="shared" si="22"/>
        <v/>
      </c>
      <c r="D84" s="97" t="str">
        <f t="shared" si="16"/>
        <v/>
      </c>
      <c r="E84" s="8" t="str">
        <f t="shared" si="17"/>
        <v/>
      </c>
      <c r="F84" s="31" t="str">
        <f t="shared" si="18"/>
        <v/>
      </c>
      <c r="G84" s="11" t="str">
        <f t="shared" si="19"/>
        <v/>
      </c>
      <c r="H84" s="11" t="str">
        <f t="shared" si="8"/>
        <v/>
      </c>
      <c r="I84" s="28" t="str">
        <f t="shared" si="20"/>
        <v/>
      </c>
      <c r="J84" s="8" t="str">
        <f t="shared" si="21"/>
        <v/>
      </c>
      <c r="K84" s="38" t="str">
        <f>IF(B84="","",E84*F84*J84*Normput((B84-$C$2)/365,G84,I84,$C$13))</f>
        <v/>
      </c>
      <c r="L84" s="38" t="str">
        <f>IF(B84="","",E84*F84*J84*NORMcall((B84-$C$2)/365,H84,I84,$C$14))</f>
        <v/>
      </c>
      <c r="N84" s="21"/>
      <c r="W84" s="21" t="str">
        <f t="shared" si="23"/>
        <v/>
      </c>
      <c r="X84" s="21" t="str">
        <f t="shared" si="24"/>
        <v/>
      </c>
      <c r="Y84" s="21" t="str">
        <f t="shared" si="25"/>
        <v/>
      </c>
      <c r="Z84" s="1" t="str">
        <f t="shared" si="26"/>
        <v/>
      </c>
      <c r="AA84" s="1" t="str">
        <f t="shared" si="27"/>
        <v/>
      </c>
      <c r="AB84" s="26" t="str">
        <f>IF(U84="","",#REF!)</f>
        <v/>
      </c>
      <c r="AC84" s="11" t="str">
        <f t="shared" si="28"/>
        <v/>
      </c>
      <c r="AD84" s="28" t="str">
        <f>IF(W84="","",_xll.EpBsStandardSwaptionPrice($C$2,$N$2,X84,Y84,Z84,AA84,AB84,AC84))</f>
        <v/>
      </c>
      <c r="AE84" s="28" t="str">
        <f>IF(W84="","",_xll.EpLgm1fStandardSwaptionPrice($C$2,$N$3,$N$2,X84,Y84,Z84,AA84,AB84))</f>
        <v/>
      </c>
    </row>
    <row r="85" spans="2:31" x14ac:dyDescent="0.3">
      <c r="B85" s="97" t="str">
        <f t="shared" si="15"/>
        <v/>
      </c>
      <c r="C85" s="97" t="str">
        <f t="shared" si="22"/>
        <v/>
      </c>
      <c r="D85" s="97" t="str">
        <f t="shared" si="16"/>
        <v/>
      </c>
      <c r="E85" s="8" t="str">
        <f t="shared" si="17"/>
        <v/>
      </c>
      <c r="F85" s="31" t="str">
        <f t="shared" si="18"/>
        <v/>
      </c>
      <c r="G85" s="11" t="str">
        <f t="shared" si="19"/>
        <v/>
      </c>
      <c r="H85" s="11" t="str">
        <f t="shared" si="8"/>
        <v/>
      </c>
      <c r="I85" s="28" t="str">
        <f t="shared" si="20"/>
        <v/>
      </c>
      <c r="J85" s="8" t="str">
        <f t="shared" si="21"/>
        <v/>
      </c>
      <c r="K85" s="38" t="str">
        <f>IF(B85="","",E85*F85*J85*Normput((B85-$C$2)/365,G85,I85,$C$13))</f>
        <v/>
      </c>
      <c r="L85" s="38" t="str">
        <f>IF(B85="","",E85*F85*J85*NORMcall((B85-$C$2)/365,H85,I85,$C$14))</f>
        <v/>
      </c>
      <c r="N85" s="21"/>
      <c r="W85" s="21" t="str">
        <f t="shared" si="23"/>
        <v/>
      </c>
      <c r="X85" s="21" t="str">
        <f t="shared" si="24"/>
        <v/>
      </c>
      <c r="Y85" s="21" t="str">
        <f t="shared" si="25"/>
        <v/>
      </c>
      <c r="Z85" s="1" t="str">
        <f t="shared" si="26"/>
        <v/>
      </c>
      <c r="AA85" s="1" t="str">
        <f t="shared" si="27"/>
        <v/>
      </c>
      <c r="AB85" s="26" t="str">
        <f>IF(U85="","",#REF!)</f>
        <v/>
      </c>
      <c r="AC85" s="11" t="str">
        <f t="shared" si="28"/>
        <v/>
      </c>
      <c r="AD85" s="28" t="str">
        <f>IF(W85="","",_xll.EpBsStandardSwaptionPrice($C$2,$N$2,X85,Y85,Z85,AA85,AB85,AC85))</f>
        <v/>
      </c>
      <c r="AE85" s="28" t="str">
        <f>IF(W85="","",_xll.EpLgm1fStandardSwaptionPrice($C$2,$N$3,$N$2,X85,Y85,Z85,AA85,AB85))</f>
        <v/>
      </c>
    </row>
    <row r="86" spans="2:31" x14ac:dyDescent="0.3">
      <c r="B86" s="97" t="str">
        <f t="shared" ref="B86:B117" si="29">IF(C86="","",C86-2)</f>
        <v/>
      </c>
      <c r="C86" s="97" t="str">
        <f t="shared" si="22"/>
        <v/>
      </c>
      <c r="D86" s="97" t="str">
        <f t="shared" ref="D86:D117" si="30">IF(C86="","",DATE(YEAR(C86),MONTH(C86)+VLOOKUP($C$9,$AB$1:$AC$4,2,FALSE),DAY(C86)))</f>
        <v/>
      </c>
      <c r="E86" s="8" t="str">
        <f t="shared" ref="E86:E117" si="31">IF(B86="","",IF($C$10="30/360",DAYS360(C86,D86)/360,IF($C$10="ACT/360",(D86-C86)/360,IF($C$10="ACT/365",(D86-C86)/365))))</f>
        <v/>
      </c>
      <c r="F86" s="31" t="str">
        <f t="shared" ref="F86:F117" si="32">IF(B86="","",$C$6)</f>
        <v/>
      </c>
      <c r="G86" s="11" t="str">
        <f t="shared" ref="G86:G117" si="33">IF(B86="","",$C$11)</f>
        <v/>
      </c>
      <c r="H86" s="11" t="str">
        <f t="shared" si="8"/>
        <v/>
      </c>
      <c r="I86" s="28" t="str">
        <f t="shared" ref="I86:I117" si="34">IF(B86="","",(DF(C86-$C$2,Maturities,ZcRates)/DF(D86-$C$2,Maturities,ZcRates)-1)/E86)</f>
        <v/>
      </c>
      <c r="J86" s="8" t="str">
        <f t="shared" ref="J86:J117" si="35">IF(B86="","",DF(D86-$C$2,Maturities,ZcRates))</f>
        <v/>
      </c>
      <c r="K86" s="38" t="str">
        <f>IF(B86="","",E86*F86*J86*Normput((B86-$C$2)/365,G86,I86,$C$13))</f>
        <v/>
      </c>
      <c r="L86" s="38" t="str">
        <f>IF(B86="","",E86*F86*J86*NORMcall((B86-$C$2)/365,H86,I86,$C$14))</f>
        <v/>
      </c>
      <c r="N86" s="21"/>
      <c r="W86" s="21" t="str">
        <f t="shared" si="23"/>
        <v/>
      </c>
      <c r="X86" s="21" t="str">
        <f t="shared" si="24"/>
        <v/>
      </c>
      <c r="Y86" s="21" t="str">
        <f t="shared" si="25"/>
        <v/>
      </c>
      <c r="Z86" s="1" t="str">
        <f t="shared" si="26"/>
        <v/>
      </c>
      <c r="AA86" s="1" t="str">
        <f t="shared" si="27"/>
        <v/>
      </c>
      <c r="AB86" s="26" t="str">
        <f>IF(U86="","",#REF!)</f>
        <v/>
      </c>
      <c r="AC86" s="11" t="str">
        <f t="shared" si="28"/>
        <v/>
      </c>
      <c r="AD86" s="28" t="str">
        <f>IF(W86="","",_xll.EpBsStandardSwaptionPrice($C$2,$N$2,X86,Y86,Z86,AA86,AB86,AC86))</f>
        <v/>
      </c>
      <c r="AE86" s="28" t="str">
        <f>IF(W86="","",_xll.EpLgm1fStandardSwaptionPrice($C$2,$N$3,$N$2,X86,Y86,Z86,AA86,AB86))</f>
        <v/>
      </c>
    </row>
    <row r="87" spans="2:31" x14ac:dyDescent="0.3">
      <c r="B87" s="97" t="str">
        <f t="shared" si="29"/>
        <v/>
      </c>
      <c r="C87" s="97" t="str">
        <f t="shared" ref="C87:C118" si="36">IF(OR(D86=$C$8,D86=""),"",D86)</f>
        <v/>
      </c>
      <c r="D87" s="97" t="str">
        <f t="shared" si="30"/>
        <v/>
      </c>
      <c r="E87" s="8" t="str">
        <f t="shared" si="31"/>
        <v/>
      </c>
      <c r="F87" s="31" t="str">
        <f t="shared" si="32"/>
        <v/>
      </c>
      <c r="G87" s="11" t="str">
        <f t="shared" si="33"/>
        <v/>
      </c>
      <c r="H87" s="11" t="str">
        <f t="shared" ref="H87:H150" si="37">IF(B87="","",$C$12)</f>
        <v/>
      </c>
      <c r="I87" s="28" t="str">
        <f t="shared" si="34"/>
        <v/>
      </c>
      <c r="J87" s="8" t="str">
        <f t="shared" si="35"/>
        <v/>
      </c>
      <c r="K87" s="38" t="str">
        <f>IF(B87="","",E87*F87*J87*Normput((B87-$C$2)/365,G87,I87,$C$13))</f>
        <v/>
      </c>
      <c r="L87" s="38" t="str">
        <f>IF(B87="","",E87*F87*J87*NORMcall((B87-$C$2)/365,H87,I87,$C$14))</f>
        <v/>
      </c>
      <c r="N87" s="21"/>
      <c r="W87" s="21" t="str">
        <f t="shared" si="23"/>
        <v/>
      </c>
      <c r="X87" s="21" t="str">
        <f t="shared" si="24"/>
        <v/>
      </c>
      <c r="Y87" s="21" t="str">
        <f t="shared" si="25"/>
        <v/>
      </c>
      <c r="Z87" s="1" t="str">
        <f t="shared" si="26"/>
        <v/>
      </c>
      <c r="AA87" s="1" t="str">
        <f t="shared" si="27"/>
        <v/>
      </c>
      <c r="AB87" s="26" t="str">
        <f>IF(U87="","",#REF!)</f>
        <v/>
      </c>
      <c r="AC87" s="11" t="str">
        <f t="shared" si="28"/>
        <v/>
      </c>
      <c r="AD87" s="28" t="str">
        <f>IF(W87="","",_xll.EpBsStandardSwaptionPrice($C$2,$N$2,X87,Y87,Z87,AA87,AB87,AC87))</f>
        <v/>
      </c>
      <c r="AE87" s="28" t="str">
        <f>IF(W87="","",_xll.EpLgm1fStandardSwaptionPrice($C$2,$N$3,$N$2,X87,Y87,Z87,AA87,AB87))</f>
        <v/>
      </c>
    </row>
    <row r="88" spans="2:31" x14ac:dyDescent="0.3">
      <c r="B88" s="97" t="str">
        <f t="shared" si="29"/>
        <v/>
      </c>
      <c r="C88" s="97" t="str">
        <f t="shared" si="36"/>
        <v/>
      </c>
      <c r="D88" s="97" t="str">
        <f t="shared" si="30"/>
        <v/>
      </c>
      <c r="E88" s="8" t="str">
        <f t="shared" si="31"/>
        <v/>
      </c>
      <c r="F88" s="31" t="str">
        <f t="shared" si="32"/>
        <v/>
      </c>
      <c r="G88" s="11" t="str">
        <f t="shared" si="33"/>
        <v/>
      </c>
      <c r="H88" s="11" t="str">
        <f t="shared" si="37"/>
        <v/>
      </c>
      <c r="I88" s="28" t="str">
        <f t="shared" si="34"/>
        <v/>
      </c>
      <c r="J88" s="8" t="str">
        <f t="shared" si="35"/>
        <v/>
      </c>
      <c r="K88" s="38" t="str">
        <f>IF(B88="","",E88*F88*J88*Normput((B88-$C$2)/365,G88,I88,$C$13))</f>
        <v/>
      </c>
      <c r="L88" s="38" t="str">
        <f>IF(B88="","",E88*F88*J88*NORMcall((B88-$C$2)/365,H88,I88,$C$14))</f>
        <v/>
      </c>
      <c r="N88" s="21"/>
      <c r="W88" s="21" t="str">
        <f t="shared" si="23"/>
        <v/>
      </c>
      <c r="X88" s="21" t="str">
        <f t="shared" si="24"/>
        <v/>
      </c>
      <c r="Y88" s="21" t="str">
        <f t="shared" si="25"/>
        <v/>
      </c>
      <c r="Z88" s="1" t="str">
        <f t="shared" si="26"/>
        <v/>
      </c>
      <c r="AA88" s="1" t="str">
        <f t="shared" si="27"/>
        <v/>
      </c>
      <c r="AB88" s="26" t="str">
        <f>IF(U88="","",#REF!)</f>
        <v/>
      </c>
      <c r="AC88" s="11" t="str">
        <f t="shared" si="28"/>
        <v/>
      </c>
      <c r="AD88" s="28" t="str">
        <f>IF(W88="","",_xll.EpBsStandardSwaptionPrice($C$2,$N$2,X88,Y88,Z88,AA88,AB88,AC88))</f>
        <v/>
      </c>
      <c r="AE88" s="28" t="str">
        <f>IF(W88="","",_xll.EpLgm1fStandardSwaptionPrice($C$2,$N$3,$N$2,X88,Y88,Z88,AA88,AB88))</f>
        <v/>
      </c>
    </row>
    <row r="89" spans="2:31" x14ac:dyDescent="0.3">
      <c r="B89" s="97" t="str">
        <f t="shared" si="29"/>
        <v/>
      </c>
      <c r="C89" s="97" t="str">
        <f t="shared" si="36"/>
        <v/>
      </c>
      <c r="D89" s="97" t="str">
        <f t="shared" si="30"/>
        <v/>
      </c>
      <c r="E89" s="8" t="str">
        <f t="shared" si="31"/>
        <v/>
      </c>
      <c r="F89" s="31" t="str">
        <f t="shared" si="32"/>
        <v/>
      </c>
      <c r="G89" s="11" t="str">
        <f t="shared" si="33"/>
        <v/>
      </c>
      <c r="H89" s="11" t="str">
        <f t="shared" si="37"/>
        <v/>
      </c>
      <c r="I89" s="28" t="str">
        <f t="shared" si="34"/>
        <v/>
      </c>
      <c r="J89" s="8" t="str">
        <f t="shared" si="35"/>
        <v/>
      </c>
      <c r="K89" s="38" t="str">
        <f>IF(B89="","",E89*F89*J89*Normput((B89-$C$2)/365,G89,I89,$C$13))</f>
        <v/>
      </c>
      <c r="L89" s="38" t="str">
        <f>IF(B89="","",E89*F89*J89*NORMcall((B89-$C$2)/365,H89,I89,$C$14))</f>
        <v/>
      </c>
      <c r="N89" s="21"/>
      <c r="W89" s="21" t="str">
        <f t="shared" si="23"/>
        <v/>
      </c>
      <c r="X89" s="21" t="str">
        <f t="shared" si="24"/>
        <v/>
      </c>
      <c r="Y89" s="21" t="str">
        <f t="shared" si="25"/>
        <v/>
      </c>
      <c r="Z89" s="1" t="str">
        <f t="shared" si="26"/>
        <v/>
      </c>
      <c r="AA89" s="1" t="str">
        <f t="shared" si="27"/>
        <v/>
      </c>
      <c r="AB89" s="26" t="str">
        <f>IF(U89="","",#REF!)</f>
        <v/>
      </c>
      <c r="AC89" s="11" t="str">
        <f t="shared" si="28"/>
        <v/>
      </c>
      <c r="AD89" s="28" t="str">
        <f>IF(W89="","",_xll.EpBsStandardSwaptionPrice($C$2,$N$2,X89,Y89,Z89,AA89,AB89,AC89))</f>
        <v/>
      </c>
      <c r="AE89" s="28" t="str">
        <f>IF(W89="","",_xll.EpLgm1fStandardSwaptionPrice($C$2,$N$3,$N$2,X89,Y89,Z89,AA89,AB89))</f>
        <v/>
      </c>
    </row>
    <row r="90" spans="2:31" x14ac:dyDescent="0.3">
      <c r="B90" s="97" t="str">
        <f t="shared" si="29"/>
        <v/>
      </c>
      <c r="C90" s="97" t="str">
        <f t="shared" si="36"/>
        <v/>
      </c>
      <c r="D90" s="97" t="str">
        <f t="shared" si="30"/>
        <v/>
      </c>
      <c r="E90" s="8" t="str">
        <f t="shared" si="31"/>
        <v/>
      </c>
      <c r="F90" s="31" t="str">
        <f t="shared" si="32"/>
        <v/>
      </c>
      <c r="G90" s="11" t="str">
        <f t="shared" si="33"/>
        <v/>
      </c>
      <c r="H90" s="11" t="str">
        <f t="shared" si="37"/>
        <v/>
      </c>
      <c r="I90" s="28" t="str">
        <f t="shared" si="34"/>
        <v/>
      </c>
      <c r="J90" s="8" t="str">
        <f t="shared" si="35"/>
        <v/>
      </c>
      <c r="K90" s="38" t="str">
        <f>IF(B90="","",E90*F90*J90*Normput((B90-$C$2)/365,G90,I90,$C$13))</f>
        <v/>
      </c>
      <c r="L90" s="38" t="str">
        <f>IF(B90="","",E90*F90*J90*NORMcall((B90-$C$2)/365,H90,I90,$C$14))</f>
        <v/>
      </c>
      <c r="N90" s="21"/>
      <c r="W90" s="21" t="str">
        <f t="shared" si="23"/>
        <v/>
      </c>
      <c r="X90" s="21" t="str">
        <f t="shared" si="24"/>
        <v/>
      </c>
      <c r="Y90" s="21" t="str">
        <f t="shared" si="25"/>
        <v/>
      </c>
      <c r="Z90" s="1" t="str">
        <f t="shared" si="26"/>
        <v/>
      </c>
      <c r="AA90" s="1" t="str">
        <f t="shared" si="27"/>
        <v/>
      </c>
      <c r="AB90" s="26" t="str">
        <f>IF(U90="","",#REF!)</f>
        <v/>
      </c>
      <c r="AC90" s="11" t="str">
        <f t="shared" si="28"/>
        <v/>
      </c>
      <c r="AD90" s="28" t="str">
        <f>IF(W90="","",_xll.EpBsStandardSwaptionPrice($C$2,$N$2,X90,Y90,Z90,AA90,AB90,AC90))</f>
        <v/>
      </c>
      <c r="AE90" s="28" t="str">
        <f>IF(W90="","",_xll.EpLgm1fStandardSwaptionPrice($C$2,$N$3,$N$2,X90,Y90,Z90,AA90,AB90))</f>
        <v/>
      </c>
    </row>
    <row r="91" spans="2:31" x14ac:dyDescent="0.3">
      <c r="B91" s="97" t="str">
        <f t="shared" si="29"/>
        <v/>
      </c>
      <c r="C91" s="97" t="str">
        <f t="shared" si="36"/>
        <v/>
      </c>
      <c r="D91" s="97" t="str">
        <f t="shared" si="30"/>
        <v/>
      </c>
      <c r="E91" s="8" t="str">
        <f t="shared" si="31"/>
        <v/>
      </c>
      <c r="F91" s="31" t="str">
        <f t="shared" si="32"/>
        <v/>
      </c>
      <c r="G91" s="11" t="str">
        <f t="shared" si="33"/>
        <v/>
      </c>
      <c r="H91" s="11" t="str">
        <f t="shared" si="37"/>
        <v/>
      </c>
      <c r="I91" s="28" t="str">
        <f t="shared" si="34"/>
        <v/>
      </c>
      <c r="J91" s="8" t="str">
        <f t="shared" si="35"/>
        <v/>
      </c>
      <c r="K91" s="38" t="str">
        <f>IF(B91="","",E91*F91*J91*Normput((B91-$C$2)/365,G91,I91,$C$13))</f>
        <v/>
      </c>
      <c r="L91" s="38" t="str">
        <f>IF(B91="","",E91*F91*J91*NORMcall((B91-$C$2)/365,H91,I91,$C$14))</f>
        <v/>
      </c>
      <c r="N91" s="21"/>
      <c r="W91" s="21" t="str">
        <f t="shared" si="23"/>
        <v/>
      </c>
      <c r="X91" s="21" t="str">
        <f t="shared" si="24"/>
        <v/>
      </c>
      <c r="Y91" s="21" t="str">
        <f t="shared" si="25"/>
        <v/>
      </c>
      <c r="Z91" s="1" t="str">
        <f t="shared" si="26"/>
        <v/>
      </c>
      <c r="AA91" s="1" t="str">
        <f t="shared" si="27"/>
        <v/>
      </c>
      <c r="AB91" s="26" t="str">
        <f>IF(U91="","",#REF!)</f>
        <v/>
      </c>
      <c r="AC91" s="11" t="str">
        <f t="shared" si="28"/>
        <v/>
      </c>
      <c r="AD91" s="28" t="str">
        <f>IF(W91="","",_xll.EpBsStandardSwaptionPrice($C$2,$N$2,X91,Y91,Z91,AA91,AB91,AC91))</f>
        <v/>
      </c>
      <c r="AE91" s="28" t="str">
        <f>IF(W91="","",_xll.EpLgm1fStandardSwaptionPrice($C$2,$N$3,$N$2,X91,Y91,Z91,AA91,AB91))</f>
        <v/>
      </c>
    </row>
    <row r="92" spans="2:31" x14ac:dyDescent="0.3">
      <c r="B92" s="97" t="str">
        <f t="shared" si="29"/>
        <v/>
      </c>
      <c r="C92" s="97" t="str">
        <f t="shared" si="36"/>
        <v/>
      </c>
      <c r="D92" s="97" t="str">
        <f t="shared" si="30"/>
        <v/>
      </c>
      <c r="E92" s="8" t="str">
        <f t="shared" si="31"/>
        <v/>
      </c>
      <c r="F92" s="31" t="str">
        <f t="shared" si="32"/>
        <v/>
      </c>
      <c r="G92" s="11" t="str">
        <f t="shared" si="33"/>
        <v/>
      </c>
      <c r="H92" s="11" t="str">
        <f t="shared" si="37"/>
        <v/>
      </c>
      <c r="I92" s="28" t="str">
        <f t="shared" si="34"/>
        <v/>
      </c>
      <c r="J92" s="8" t="str">
        <f t="shared" si="35"/>
        <v/>
      </c>
      <c r="K92" s="38" t="str">
        <f>IF(B92="","",E92*F92*J92*Normput((B92-$C$2)/365,G92,I92,$C$13))</f>
        <v/>
      </c>
      <c r="L92" s="38" t="str">
        <f>IF(B92="","",E92*F92*J92*NORMcall((B92-$C$2)/365,H92,I92,$C$14))</f>
        <v/>
      </c>
      <c r="N92" s="21"/>
      <c r="W92" s="21" t="str">
        <f t="shared" si="23"/>
        <v/>
      </c>
      <c r="X92" s="21" t="str">
        <f t="shared" si="24"/>
        <v/>
      </c>
      <c r="Y92" s="21" t="str">
        <f t="shared" si="25"/>
        <v/>
      </c>
      <c r="Z92" s="1" t="str">
        <f t="shared" si="26"/>
        <v/>
      </c>
      <c r="AA92" s="1" t="str">
        <f t="shared" si="27"/>
        <v/>
      </c>
      <c r="AB92" s="26" t="str">
        <f>IF(U92="","",#REF!)</f>
        <v/>
      </c>
      <c r="AC92" s="11" t="str">
        <f t="shared" si="28"/>
        <v/>
      </c>
      <c r="AD92" s="28" t="str">
        <f>IF(W92="","",_xll.EpBsStandardSwaptionPrice($C$2,$N$2,X92,Y92,Z92,AA92,AB92,AC92))</f>
        <v/>
      </c>
      <c r="AE92" s="28" t="str">
        <f>IF(W92="","",_xll.EpLgm1fStandardSwaptionPrice($C$2,$N$3,$N$2,X92,Y92,Z92,AA92,AB92))</f>
        <v/>
      </c>
    </row>
    <row r="93" spans="2:31" x14ac:dyDescent="0.3">
      <c r="B93" s="97" t="str">
        <f t="shared" si="29"/>
        <v/>
      </c>
      <c r="C93" s="97" t="str">
        <f t="shared" si="36"/>
        <v/>
      </c>
      <c r="D93" s="97" t="str">
        <f t="shared" si="30"/>
        <v/>
      </c>
      <c r="E93" s="8" t="str">
        <f t="shared" si="31"/>
        <v/>
      </c>
      <c r="F93" s="31" t="str">
        <f t="shared" si="32"/>
        <v/>
      </c>
      <c r="G93" s="11" t="str">
        <f t="shared" si="33"/>
        <v/>
      </c>
      <c r="H93" s="11" t="str">
        <f t="shared" si="37"/>
        <v/>
      </c>
      <c r="I93" s="28" t="str">
        <f t="shared" si="34"/>
        <v/>
      </c>
      <c r="J93" s="8" t="str">
        <f t="shared" si="35"/>
        <v/>
      </c>
      <c r="K93" s="38" t="str">
        <f>IF(B93="","",E93*F93*J93*Normput((B93-$C$2)/365,G93,I93,$C$13))</f>
        <v/>
      </c>
      <c r="L93" s="38" t="str">
        <f>IF(B93="","",E93*F93*J93*NORMcall((B93-$C$2)/365,H93,I93,$C$14))</f>
        <v/>
      </c>
      <c r="N93" s="21"/>
      <c r="W93" s="21" t="str">
        <f t="shared" si="23"/>
        <v/>
      </c>
      <c r="X93" s="21" t="str">
        <f t="shared" si="24"/>
        <v/>
      </c>
      <c r="Y93" s="21" t="str">
        <f t="shared" si="25"/>
        <v/>
      </c>
      <c r="Z93" s="1" t="str">
        <f t="shared" si="26"/>
        <v/>
      </c>
      <c r="AA93" s="1" t="str">
        <f t="shared" si="27"/>
        <v/>
      </c>
      <c r="AB93" s="26" t="str">
        <f>IF(U93="","",#REF!)</f>
        <v/>
      </c>
      <c r="AC93" s="11" t="str">
        <f t="shared" si="28"/>
        <v/>
      </c>
      <c r="AD93" s="28" t="str">
        <f>IF(W93="","",_xll.EpBsStandardSwaptionPrice($C$2,$N$2,X93,Y93,Z93,AA93,AB93,AC93))</f>
        <v/>
      </c>
      <c r="AE93" s="28" t="str">
        <f>IF(W93="","",_xll.EpLgm1fStandardSwaptionPrice($C$2,$N$3,$N$2,X93,Y93,Z93,AA93,AB93))</f>
        <v/>
      </c>
    </row>
    <row r="94" spans="2:31" x14ac:dyDescent="0.3">
      <c r="B94" s="97" t="str">
        <f t="shared" si="29"/>
        <v/>
      </c>
      <c r="C94" s="97" t="str">
        <f t="shared" si="36"/>
        <v/>
      </c>
      <c r="D94" s="97" t="str">
        <f t="shared" si="30"/>
        <v/>
      </c>
      <c r="E94" s="8" t="str">
        <f t="shared" si="31"/>
        <v/>
      </c>
      <c r="F94" s="31" t="str">
        <f t="shared" si="32"/>
        <v/>
      </c>
      <c r="G94" s="11" t="str">
        <f t="shared" si="33"/>
        <v/>
      </c>
      <c r="H94" s="11" t="str">
        <f t="shared" si="37"/>
        <v/>
      </c>
      <c r="I94" s="28" t="str">
        <f t="shared" si="34"/>
        <v/>
      </c>
      <c r="J94" s="8" t="str">
        <f t="shared" si="35"/>
        <v/>
      </c>
      <c r="K94" s="38" t="str">
        <f>IF(B94="","",E94*F94*J94*Normput((B94-$C$2)/365,G94,I94,$C$13))</f>
        <v/>
      </c>
      <c r="L94" s="38" t="str">
        <f>IF(B94="","",E94*F94*J94*NORMcall((B94-$C$2)/365,H94,I94,$C$14))</f>
        <v/>
      </c>
      <c r="N94" s="21"/>
      <c r="W94" s="21" t="str">
        <f t="shared" si="23"/>
        <v/>
      </c>
      <c r="X94" s="21" t="str">
        <f t="shared" si="24"/>
        <v/>
      </c>
      <c r="Y94" s="21" t="str">
        <f t="shared" si="25"/>
        <v/>
      </c>
      <c r="Z94" s="1" t="str">
        <f t="shared" si="26"/>
        <v/>
      </c>
      <c r="AA94" s="1" t="str">
        <f t="shared" si="27"/>
        <v/>
      </c>
      <c r="AB94" s="26" t="str">
        <f>IF(U94="","",#REF!)</f>
        <v/>
      </c>
      <c r="AC94" s="11" t="str">
        <f t="shared" si="28"/>
        <v/>
      </c>
      <c r="AD94" s="28" t="str">
        <f>IF(W94="","",_xll.EpBsStandardSwaptionPrice($C$2,$N$2,X94,Y94,Z94,AA94,AB94,AC94))</f>
        <v/>
      </c>
      <c r="AE94" s="28" t="str">
        <f>IF(W94="","",_xll.EpLgm1fStandardSwaptionPrice($C$2,$N$3,$N$2,X94,Y94,Z94,AA94,AB94))</f>
        <v/>
      </c>
    </row>
    <row r="95" spans="2:31" x14ac:dyDescent="0.3">
      <c r="B95" s="97" t="str">
        <f t="shared" si="29"/>
        <v/>
      </c>
      <c r="C95" s="97" t="str">
        <f t="shared" si="36"/>
        <v/>
      </c>
      <c r="D95" s="97" t="str">
        <f t="shared" si="30"/>
        <v/>
      </c>
      <c r="E95" s="8" t="str">
        <f t="shared" si="31"/>
        <v/>
      </c>
      <c r="F95" s="31" t="str">
        <f t="shared" si="32"/>
        <v/>
      </c>
      <c r="G95" s="11" t="str">
        <f t="shared" si="33"/>
        <v/>
      </c>
      <c r="H95" s="11" t="str">
        <f t="shared" si="37"/>
        <v/>
      </c>
      <c r="I95" s="28" t="str">
        <f t="shared" si="34"/>
        <v/>
      </c>
      <c r="J95" s="8" t="str">
        <f t="shared" si="35"/>
        <v/>
      </c>
      <c r="K95" s="38" t="str">
        <f>IF(B95="","",E95*F95*J95*Normput((B95-$C$2)/365,G95,I95,$C$13))</f>
        <v/>
      </c>
      <c r="L95" s="38" t="str">
        <f>IF(B95="","",E95*F95*J95*NORMcall((B95-$C$2)/365,H95,I95,$C$14))</f>
        <v/>
      </c>
      <c r="N95" s="21"/>
      <c r="W95" s="21" t="str">
        <f t="shared" si="23"/>
        <v/>
      </c>
      <c r="X95" s="21" t="str">
        <f t="shared" si="24"/>
        <v/>
      </c>
      <c r="Y95" s="21" t="str">
        <f t="shared" si="25"/>
        <v/>
      </c>
      <c r="Z95" s="1" t="str">
        <f t="shared" si="26"/>
        <v/>
      </c>
      <c r="AA95" s="1" t="str">
        <f t="shared" si="27"/>
        <v/>
      </c>
      <c r="AB95" s="26" t="str">
        <f>IF(U95="","",#REF!)</f>
        <v/>
      </c>
      <c r="AC95" s="11" t="str">
        <f t="shared" si="28"/>
        <v/>
      </c>
      <c r="AD95" s="28" t="str">
        <f>IF(W95="","",_xll.EpBsStandardSwaptionPrice($C$2,$N$2,X95,Y95,Z95,AA95,AB95,AC95))</f>
        <v/>
      </c>
      <c r="AE95" s="28" t="str">
        <f>IF(W95="","",_xll.EpLgm1fStandardSwaptionPrice($C$2,$N$3,$N$2,X95,Y95,Z95,AA95,AB95))</f>
        <v/>
      </c>
    </row>
    <row r="96" spans="2:31" x14ac:dyDescent="0.3">
      <c r="B96" s="97" t="str">
        <f t="shared" si="29"/>
        <v/>
      </c>
      <c r="C96" s="97" t="str">
        <f t="shared" si="36"/>
        <v/>
      </c>
      <c r="D96" s="97" t="str">
        <f t="shared" si="30"/>
        <v/>
      </c>
      <c r="E96" s="8" t="str">
        <f t="shared" si="31"/>
        <v/>
      </c>
      <c r="F96" s="31" t="str">
        <f t="shared" si="32"/>
        <v/>
      </c>
      <c r="G96" s="11" t="str">
        <f t="shared" si="33"/>
        <v/>
      </c>
      <c r="H96" s="11" t="str">
        <f t="shared" si="37"/>
        <v/>
      </c>
      <c r="I96" s="28" t="str">
        <f t="shared" si="34"/>
        <v/>
      </c>
      <c r="J96" s="8" t="str">
        <f t="shared" si="35"/>
        <v/>
      </c>
      <c r="K96" s="38" t="str">
        <f>IF(B96="","",E96*F96*J96*Normput((B96-$C$2)/365,G96,I96,$C$13))</f>
        <v/>
      </c>
      <c r="L96" s="38" t="str">
        <f>IF(B96="","",E96*F96*J96*NORMcall((B96-$C$2)/365,H96,I96,$C$14))</f>
        <v/>
      </c>
      <c r="N96" s="21"/>
      <c r="W96" s="21" t="str">
        <f t="shared" si="23"/>
        <v/>
      </c>
      <c r="X96" s="21" t="str">
        <f t="shared" si="24"/>
        <v/>
      </c>
      <c r="Y96" s="21" t="str">
        <f t="shared" si="25"/>
        <v/>
      </c>
      <c r="Z96" s="1" t="str">
        <f t="shared" si="26"/>
        <v/>
      </c>
      <c r="AA96" s="1" t="str">
        <f t="shared" si="27"/>
        <v/>
      </c>
      <c r="AB96" s="26" t="str">
        <f>IF(U96="","",#REF!)</f>
        <v/>
      </c>
      <c r="AC96" s="11" t="str">
        <f t="shared" si="28"/>
        <v/>
      </c>
      <c r="AD96" s="28" t="str">
        <f>IF(W96="","",_xll.EpBsStandardSwaptionPrice($C$2,$N$2,X96,Y96,Z96,AA96,AB96,AC96))</f>
        <v/>
      </c>
      <c r="AE96" s="28" t="str">
        <f>IF(W96="","",_xll.EpLgm1fStandardSwaptionPrice($C$2,$N$3,$N$2,X96,Y96,Z96,AA96,AB96))</f>
        <v/>
      </c>
    </row>
    <row r="97" spans="2:31" x14ac:dyDescent="0.3">
      <c r="B97" s="97" t="str">
        <f t="shared" si="29"/>
        <v/>
      </c>
      <c r="C97" s="97" t="str">
        <f t="shared" si="36"/>
        <v/>
      </c>
      <c r="D97" s="97" t="str">
        <f t="shared" si="30"/>
        <v/>
      </c>
      <c r="E97" s="8" t="str">
        <f t="shared" si="31"/>
        <v/>
      </c>
      <c r="F97" s="31" t="str">
        <f t="shared" si="32"/>
        <v/>
      </c>
      <c r="G97" s="11" t="str">
        <f t="shared" si="33"/>
        <v/>
      </c>
      <c r="H97" s="11" t="str">
        <f t="shared" si="37"/>
        <v/>
      </c>
      <c r="I97" s="28" t="str">
        <f t="shared" si="34"/>
        <v/>
      </c>
      <c r="J97" s="8" t="str">
        <f t="shared" si="35"/>
        <v/>
      </c>
      <c r="K97" s="38" t="str">
        <f>IF(B97="","",E97*F97*J97*Normput((B97-$C$2)/365,G97,I97,$C$13))</f>
        <v/>
      </c>
      <c r="L97" s="38" t="str">
        <f>IF(B97="","",E97*F97*J97*NORMcall((B97-$C$2)/365,H97,I97,$C$14))</f>
        <v/>
      </c>
      <c r="N97" s="21"/>
      <c r="W97" s="21" t="str">
        <f t="shared" si="23"/>
        <v/>
      </c>
      <c r="X97" s="21" t="str">
        <f t="shared" si="24"/>
        <v/>
      </c>
      <c r="Y97" s="21" t="str">
        <f t="shared" si="25"/>
        <v/>
      </c>
      <c r="Z97" s="1" t="str">
        <f t="shared" si="26"/>
        <v/>
      </c>
      <c r="AA97" s="1" t="str">
        <f t="shared" si="27"/>
        <v/>
      </c>
      <c r="AB97" s="26" t="str">
        <f>IF(U97="","",#REF!)</f>
        <v/>
      </c>
      <c r="AC97" s="11" t="str">
        <f t="shared" si="28"/>
        <v/>
      </c>
      <c r="AD97" s="28" t="str">
        <f>IF(W97="","",_xll.EpBsStandardSwaptionPrice($C$2,$N$2,X97,Y97,Z97,AA97,AB97,AC97))</f>
        <v/>
      </c>
      <c r="AE97" s="28" t="str">
        <f>IF(W97="","",_xll.EpLgm1fStandardSwaptionPrice($C$2,$N$3,$N$2,X97,Y97,Z97,AA97,AB97))</f>
        <v/>
      </c>
    </row>
    <row r="98" spans="2:31" x14ac:dyDescent="0.3">
      <c r="B98" s="97" t="str">
        <f t="shared" si="29"/>
        <v/>
      </c>
      <c r="C98" s="97" t="str">
        <f t="shared" si="36"/>
        <v/>
      </c>
      <c r="D98" s="97" t="str">
        <f t="shared" si="30"/>
        <v/>
      </c>
      <c r="E98" s="8" t="str">
        <f t="shared" si="31"/>
        <v/>
      </c>
      <c r="F98" s="31" t="str">
        <f t="shared" si="32"/>
        <v/>
      </c>
      <c r="G98" s="11" t="str">
        <f t="shared" si="33"/>
        <v/>
      </c>
      <c r="H98" s="11" t="str">
        <f t="shared" si="37"/>
        <v/>
      </c>
      <c r="I98" s="28" t="str">
        <f t="shared" si="34"/>
        <v/>
      </c>
      <c r="J98" s="8" t="str">
        <f t="shared" si="35"/>
        <v/>
      </c>
      <c r="K98" s="38" t="str">
        <f>IF(B98="","",E98*F98*J98*Normput((B98-$C$2)/365,G98,I98,$C$13))</f>
        <v/>
      </c>
      <c r="L98" s="38" t="str">
        <f>IF(B98="","",E98*F98*J98*NORMcall((B98-$C$2)/365,H98,I98,$C$14))</f>
        <v/>
      </c>
      <c r="N98" s="21"/>
      <c r="W98" s="21" t="str">
        <f t="shared" si="23"/>
        <v/>
      </c>
      <c r="X98" s="21" t="str">
        <f t="shared" si="24"/>
        <v/>
      </c>
      <c r="Y98" s="21" t="str">
        <f t="shared" si="25"/>
        <v/>
      </c>
      <c r="Z98" s="1" t="str">
        <f t="shared" si="26"/>
        <v/>
      </c>
      <c r="AA98" s="1" t="str">
        <f t="shared" si="27"/>
        <v/>
      </c>
      <c r="AB98" s="26" t="str">
        <f>IF(U98="","",#REF!)</f>
        <v/>
      </c>
      <c r="AC98" s="11" t="str">
        <f t="shared" si="28"/>
        <v/>
      </c>
      <c r="AD98" s="28" t="str">
        <f>IF(W98="","",_xll.EpBsStandardSwaptionPrice($C$2,$N$2,X98,Y98,Z98,AA98,AB98,AC98))</f>
        <v/>
      </c>
      <c r="AE98" s="28" t="str">
        <f>IF(W98="","",_xll.EpLgm1fStandardSwaptionPrice($C$2,$N$3,$N$2,X98,Y98,Z98,AA98,AB98))</f>
        <v/>
      </c>
    </row>
    <row r="99" spans="2:31" x14ac:dyDescent="0.3">
      <c r="B99" s="97" t="str">
        <f t="shared" si="29"/>
        <v/>
      </c>
      <c r="C99" s="97" t="str">
        <f t="shared" si="36"/>
        <v/>
      </c>
      <c r="D99" s="97" t="str">
        <f t="shared" si="30"/>
        <v/>
      </c>
      <c r="E99" s="8" t="str">
        <f t="shared" si="31"/>
        <v/>
      </c>
      <c r="F99" s="31" t="str">
        <f t="shared" si="32"/>
        <v/>
      </c>
      <c r="G99" s="11" t="str">
        <f t="shared" si="33"/>
        <v/>
      </c>
      <c r="H99" s="11" t="str">
        <f t="shared" si="37"/>
        <v/>
      </c>
      <c r="I99" s="28" t="str">
        <f t="shared" si="34"/>
        <v/>
      </c>
      <c r="J99" s="8" t="str">
        <f t="shared" si="35"/>
        <v/>
      </c>
      <c r="K99" s="38" t="str">
        <f>IF(B99="","",E99*F99*J99*Normput((B99-$C$2)/365,G99,I99,$C$13))</f>
        <v/>
      </c>
      <c r="L99" s="38" t="str">
        <f>IF(B99="","",E99*F99*J99*NORMcall((B99-$C$2)/365,H99,I99,$C$14))</f>
        <v/>
      </c>
      <c r="N99" s="21"/>
      <c r="W99" s="21" t="str">
        <f t="shared" si="23"/>
        <v/>
      </c>
      <c r="X99" s="21" t="str">
        <f t="shared" si="24"/>
        <v/>
      </c>
      <c r="Y99" s="21" t="str">
        <f t="shared" si="25"/>
        <v/>
      </c>
      <c r="Z99" s="1" t="str">
        <f t="shared" si="26"/>
        <v/>
      </c>
      <c r="AA99" s="1" t="str">
        <f t="shared" si="27"/>
        <v/>
      </c>
      <c r="AB99" s="26" t="str">
        <f>IF(U99="","",#REF!)</f>
        <v/>
      </c>
      <c r="AC99" s="11" t="str">
        <f t="shared" si="28"/>
        <v/>
      </c>
      <c r="AD99" s="28" t="str">
        <f>IF(W99="","",_xll.EpBsStandardSwaptionPrice($C$2,$N$2,X99,Y99,Z99,AA99,AB99,AC99))</f>
        <v/>
      </c>
      <c r="AE99" s="28" t="str">
        <f>IF(W99="","",_xll.EpLgm1fStandardSwaptionPrice($C$2,$N$3,$N$2,X99,Y99,Z99,AA99,AB99))</f>
        <v/>
      </c>
    </row>
    <row r="100" spans="2:31" x14ac:dyDescent="0.3">
      <c r="B100" s="97" t="str">
        <f t="shared" si="29"/>
        <v/>
      </c>
      <c r="C100" s="97" t="str">
        <f t="shared" si="36"/>
        <v/>
      </c>
      <c r="D100" s="97" t="str">
        <f t="shared" si="30"/>
        <v/>
      </c>
      <c r="E100" s="8" t="str">
        <f t="shared" si="31"/>
        <v/>
      </c>
      <c r="F100" s="31" t="str">
        <f t="shared" si="32"/>
        <v/>
      </c>
      <c r="G100" s="11" t="str">
        <f t="shared" si="33"/>
        <v/>
      </c>
      <c r="H100" s="11" t="str">
        <f t="shared" si="37"/>
        <v/>
      </c>
      <c r="I100" s="28" t="str">
        <f t="shared" si="34"/>
        <v/>
      </c>
      <c r="J100" s="8" t="str">
        <f t="shared" si="35"/>
        <v/>
      </c>
      <c r="K100" s="38" t="str">
        <f>IF(B100="","",E100*F100*J100*Normput((B100-$C$2)/365,G100,I100,$C$13))</f>
        <v/>
      </c>
      <c r="L100" s="38" t="str">
        <f>IF(B100="","",E100*F100*J100*NORMcall((B100-$C$2)/365,H100,I100,$C$14))</f>
        <v/>
      </c>
      <c r="N100" s="21"/>
      <c r="W100" s="21" t="str">
        <f t="shared" si="23"/>
        <v/>
      </c>
      <c r="X100" s="21" t="str">
        <f t="shared" si="24"/>
        <v/>
      </c>
      <c r="Y100" s="21" t="str">
        <f t="shared" si="25"/>
        <v/>
      </c>
      <c r="Z100" s="1" t="str">
        <f t="shared" si="26"/>
        <v/>
      </c>
      <c r="AA100" s="1" t="str">
        <f t="shared" si="27"/>
        <v/>
      </c>
      <c r="AB100" s="26" t="str">
        <f>IF(U100="","",#REF!)</f>
        <v/>
      </c>
      <c r="AC100" s="11" t="str">
        <f t="shared" si="28"/>
        <v/>
      </c>
      <c r="AD100" s="28" t="str">
        <f>IF(W100="","",_xll.EpBsStandardSwaptionPrice($C$2,$N$2,X100,Y100,Z100,AA100,AB100,AC100))</f>
        <v/>
      </c>
      <c r="AE100" s="28" t="str">
        <f>IF(W100="","",_xll.EpLgm1fStandardSwaptionPrice($C$2,$N$3,$N$2,X100,Y100,Z100,AA100,AB100))</f>
        <v/>
      </c>
    </row>
    <row r="101" spans="2:31" x14ac:dyDescent="0.3">
      <c r="B101" s="97" t="str">
        <f t="shared" si="29"/>
        <v/>
      </c>
      <c r="C101" s="97" t="str">
        <f t="shared" si="36"/>
        <v/>
      </c>
      <c r="D101" s="97" t="str">
        <f t="shared" si="30"/>
        <v/>
      </c>
      <c r="E101" s="8" t="str">
        <f t="shared" si="31"/>
        <v/>
      </c>
      <c r="F101" s="31" t="str">
        <f t="shared" si="32"/>
        <v/>
      </c>
      <c r="G101" s="11" t="str">
        <f t="shared" si="33"/>
        <v/>
      </c>
      <c r="H101" s="11" t="str">
        <f t="shared" si="37"/>
        <v/>
      </c>
      <c r="I101" s="28" t="str">
        <f t="shared" si="34"/>
        <v/>
      </c>
      <c r="J101" s="8" t="str">
        <f t="shared" si="35"/>
        <v/>
      </c>
      <c r="K101" s="38" t="str">
        <f>IF(B101="","",E101*F101*J101*Normput((B101-$C$2)/365,G101,I101,$C$13))</f>
        <v/>
      </c>
      <c r="L101" s="38" t="str">
        <f>IF(B101="","",E101*F101*J101*NORMcall((B101-$C$2)/365,H101,I101,$C$14))</f>
        <v/>
      </c>
      <c r="N101" s="21"/>
      <c r="W101" s="21" t="str">
        <f t="shared" si="23"/>
        <v/>
      </c>
      <c r="X101" s="21" t="str">
        <f t="shared" si="24"/>
        <v/>
      </c>
      <c r="Y101" s="21" t="str">
        <f t="shared" si="25"/>
        <v/>
      </c>
      <c r="Z101" s="1" t="str">
        <f t="shared" si="26"/>
        <v/>
      </c>
      <c r="AA101" s="1" t="str">
        <f t="shared" si="27"/>
        <v/>
      </c>
      <c r="AB101" s="26" t="str">
        <f>IF(U101="","",#REF!)</f>
        <v/>
      </c>
      <c r="AC101" s="11" t="str">
        <f t="shared" si="28"/>
        <v/>
      </c>
      <c r="AD101" s="28" t="str">
        <f>IF(W101="","",_xll.EpBsStandardSwaptionPrice($C$2,$N$2,X101,Y101,Z101,AA101,AB101,AC101))</f>
        <v/>
      </c>
      <c r="AE101" s="28" t="str">
        <f>IF(W101="","",_xll.EpLgm1fStandardSwaptionPrice($C$2,$N$3,$N$2,X101,Y101,Z101,AA101,AB101))</f>
        <v/>
      </c>
    </row>
    <row r="102" spans="2:31" x14ac:dyDescent="0.3">
      <c r="B102" s="97" t="str">
        <f t="shared" si="29"/>
        <v/>
      </c>
      <c r="C102" s="97" t="str">
        <f t="shared" si="36"/>
        <v/>
      </c>
      <c r="D102" s="97" t="str">
        <f t="shared" si="30"/>
        <v/>
      </c>
      <c r="E102" s="8" t="str">
        <f t="shared" si="31"/>
        <v/>
      </c>
      <c r="F102" s="31" t="str">
        <f t="shared" si="32"/>
        <v/>
      </c>
      <c r="G102" s="11" t="str">
        <f t="shared" si="33"/>
        <v/>
      </c>
      <c r="H102" s="11" t="str">
        <f t="shared" si="37"/>
        <v/>
      </c>
      <c r="I102" s="28" t="str">
        <f t="shared" si="34"/>
        <v/>
      </c>
      <c r="J102" s="8" t="str">
        <f t="shared" si="35"/>
        <v/>
      </c>
      <c r="K102" s="38" t="str">
        <f>IF(B102="","",E102*F102*J102*Normput((B102-$C$2)/365,G102,I102,$C$13))</f>
        <v/>
      </c>
      <c r="L102" s="38" t="str">
        <f>IF(B102="","",E102*F102*J102*NORMcall((B102-$C$2)/365,H102,I102,$C$14))</f>
        <v/>
      </c>
      <c r="N102" s="21"/>
      <c r="W102" s="21" t="str">
        <f t="shared" si="23"/>
        <v/>
      </c>
      <c r="X102" s="21" t="str">
        <f t="shared" si="24"/>
        <v/>
      </c>
      <c r="Y102" s="21" t="str">
        <f t="shared" si="25"/>
        <v/>
      </c>
      <c r="Z102" s="1" t="str">
        <f t="shared" si="26"/>
        <v/>
      </c>
      <c r="AA102" s="1" t="str">
        <f t="shared" si="27"/>
        <v/>
      </c>
      <c r="AB102" s="26" t="str">
        <f>IF(U102="","",#REF!)</f>
        <v/>
      </c>
      <c r="AC102" s="11" t="str">
        <f t="shared" si="28"/>
        <v/>
      </c>
      <c r="AD102" s="28" t="str">
        <f>IF(W102="","",_xll.EpBsStandardSwaptionPrice($C$2,$N$2,X102,Y102,Z102,AA102,AB102,AC102))</f>
        <v/>
      </c>
      <c r="AE102" s="28" t="str">
        <f>IF(W102="","",_xll.EpLgm1fStandardSwaptionPrice($C$2,$N$3,$N$2,X102,Y102,Z102,AA102,AB102))</f>
        <v/>
      </c>
    </row>
    <row r="103" spans="2:31" x14ac:dyDescent="0.3">
      <c r="B103" s="97" t="str">
        <f t="shared" si="29"/>
        <v/>
      </c>
      <c r="C103" s="97" t="str">
        <f t="shared" si="36"/>
        <v/>
      </c>
      <c r="D103" s="97" t="str">
        <f t="shared" si="30"/>
        <v/>
      </c>
      <c r="E103" s="8" t="str">
        <f t="shared" si="31"/>
        <v/>
      </c>
      <c r="F103" s="31" t="str">
        <f t="shared" si="32"/>
        <v/>
      </c>
      <c r="G103" s="11" t="str">
        <f t="shared" si="33"/>
        <v/>
      </c>
      <c r="H103" s="11" t="str">
        <f t="shared" si="37"/>
        <v/>
      </c>
      <c r="I103" s="28" t="str">
        <f t="shared" si="34"/>
        <v/>
      </c>
      <c r="J103" s="8" t="str">
        <f t="shared" si="35"/>
        <v/>
      </c>
      <c r="K103" s="38" t="str">
        <f>IF(B103="","",E103*F103*J103*Normput((B103-$C$2)/365,G103,I103,$C$13))</f>
        <v/>
      </c>
      <c r="L103" s="38" t="str">
        <f>IF(B103="","",E103*F103*J103*NORMcall((B103-$C$2)/365,H103,I103,$C$14))</f>
        <v/>
      </c>
      <c r="N103" s="21"/>
      <c r="W103" s="21" t="str">
        <f t="shared" si="23"/>
        <v/>
      </c>
      <c r="X103" s="21" t="str">
        <f t="shared" si="24"/>
        <v/>
      </c>
      <c r="Y103" s="21" t="str">
        <f t="shared" si="25"/>
        <v/>
      </c>
      <c r="Z103" s="1" t="str">
        <f t="shared" si="26"/>
        <v/>
      </c>
      <c r="AA103" s="1" t="str">
        <f t="shared" si="27"/>
        <v/>
      </c>
      <c r="AB103" s="26" t="str">
        <f>IF(U103="","",#REF!)</f>
        <v/>
      </c>
      <c r="AC103" s="11" t="str">
        <f t="shared" si="28"/>
        <v/>
      </c>
      <c r="AD103" s="28" t="str">
        <f>IF(W103="","",_xll.EpBsStandardSwaptionPrice($C$2,$N$2,X103,Y103,Z103,AA103,AB103,AC103))</f>
        <v/>
      </c>
      <c r="AE103" s="28" t="str">
        <f>IF(W103="","",_xll.EpLgm1fStandardSwaptionPrice($C$2,$N$3,$N$2,X103,Y103,Z103,AA103,AB103))</f>
        <v/>
      </c>
    </row>
    <row r="104" spans="2:31" x14ac:dyDescent="0.3">
      <c r="B104" s="97" t="str">
        <f t="shared" si="29"/>
        <v/>
      </c>
      <c r="C104" s="97" t="str">
        <f t="shared" si="36"/>
        <v/>
      </c>
      <c r="D104" s="97" t="str">
        <f t="shared" si="30"/>
        <v/>
      </c>
      <c r="E104" s="8" t="str">
        <f t="shared" si="31"/>
        <v/>
      </c>
      <c r="F104" s="31" t="str">
        <f t="shared" si="32"/>
        <v/>
      </c>
      <c r="G104" s="11" t="str">
        <f t="shared" si="33"/>
        <v/>
      </c>
      <c r="H104" s="11" t="str">
        <f t="shared" si="37"/>
        <v/>
      </c>
      <c r="I104" s="28" t="str">
        <f t="shared" si="34"/>
        <v/>
      </c>
      <c r="J104" s="8" t="str">
        <f t="shared" si="35"/>
        <v/>
      </c>
      <c r="K104" s="38" t="str">
        <f>IF(B104="","",E104*F104*J104*Normput((B104-$C$2)/365,G104,I104,$C$13))</f>
        <v/>
      </c>
      <c r="L104" s="38" t="str">
        <f>IF(B104="","",E104*F104*J104*NORMcall((B104-$C$2)/365,H104,I104,$C$14))</f>
        <v/>
      </c>
      <c r="N104" s="21"/>
      <c r="W104" s="21" t="str">
        <f t="shared" si="23"/>
        <v/>
      </c>
      <c r="X104" s="21" t="str">
        <f t="shared" si="24"/>
        <v/>
      </c>
      <c r="Y104" s="21" t="str">
        <f t="shared" si="25"/>
        <v/>
      </c>
      <c r="Z104" s="1" t="str">
        <f t="shared" si="26"/>
        <v/>
      </c>
      <c r="AA104" s="1" t="str">
        <f t="shared" si="27"/>
        <v/>
      </c>
      <c r="AB104" s="26" t="str">
        <f>IF(U104="","",#REF!)</f>
        <v/>
      </c>
      <c r="AC104" s="11" t="str">
        <f t="shared" si="28"/>
        <v/>
      </c>
      <c r="AD104" s="28" t="str">
        <f>IF(W104="","",_xll.EpBsStandardSwaptionPrice($C$2,$N$2,X104,Y104,Z104,AA104,AB104,AC104))</f>
        <v/>
      </c>
      <c r="AE104" s="28" t="str">
        <f>IF(W104="","",_xll.EpLgm1fStandardSwaptionPrice($C$2,$N$3,$N$2,X104,Y104,Z104,AA104,AB104))</f>
        <v/>
      </c>
    </row>
    <row r="105" spans="2:31" x14ac:dyDescent="0.3">
      <c r="B105" s="97" t="str">
        <f t="shared" si="29"/>
        <v/>
      </c>
      <c r="C105" s="97" t="str">
        <f t="shared" si="36"/>
        <v/>
      </c>
      <c r="D105" s="97" t="str">
        <f t="shared" si="30"/>
        <v/>
      </c>
      <c r="E105" s="8" t="str">
        <f t="shared" si="31"/>
        <v/>
      </c>
      <c r="F105" s="31" t="str">
        <f t="shared" si="32"/>
        <v/>
      </c>
      <c r="G105" s="11" t="str">
        <f t="shared" si="33"/>
        <v/>
      </c>
      <c r="H105" s="11" t="str">
        <f t="shared" si="37"/>
        <v/>
      </c>
      <c r="I105" s="28" t="str">
        <f t="shared" si="34"/>
        <v/>
      </c>
      <c r="J105" s="8" t="str">
        <f t="shared" si="35"/>
        <v/>
      </c>
      <c r="K105" s="38" t="str">
        <f>IF(B105="","",E105*F105*J105*Normput((B105-$C$2)/365,G105,I105,$C$13))</f>
        <v/>
      </c>
      <c r="L105" s="38" t="str">
        <f>IF(B105="","",E105*F105*J105*NORMcall((B105-$C$2)/365,H105,I105,$C$14))</f>
        <v/>
      </c>
      <c r="N105" s="21"/>
      <c r="W105" s="21" t="str">
        <f t="shared" si="23"/>
        <v/>
      </c>
      <c r="X105" s="21" t="str">
        <f t="shared" si="24"/>
        <v/>
      </c>
      <c r="Y105" s="21" t="str">
        <f t="shared" si="25"/>
        <v/>
      </c>
      <c r="Z105" s="1" t="str">
        <f t="shared" si="26"/>
        <v/>
      </c>
      <c r="AA105" s="1" t="str">
        <f t="shared" si="27"/>
        <v/>
      </c>
      <c r="AB105" s="26" t="str">
        <f>IF(U105="","",#REF!)</f>
        <v/>
      </c>
      <c r="AC105" s="11" t="str">
        <f t="shared" si="28"/>
        <v/>
      </c>
      <c r="AD105" s="28" t="str">
        <f>IF(W105="","",_xll.EpBsStandardSwaptionPrice($C$2,$N$2,X105,Y105,Z105,AA105,AB105,AC105))</f>
        <v/>
      </c>
      <c r="AE105" s="28" t="str">
        <f>IF(W105="","",_xll.EpLgm1fStandardSwaptionPrice($C$2,$N$3,$N$2,X105,Y105,Z105,AA105,AB105))</f>
        <v/>
      </c>
    </row>
    <row r="106" spans="2:31" x14ac:dyDescent="0.3">
      <c r="B106" s="97" t="str">
        <f t="shared" si="29"/>
        <v/>
      </c>
      <c r="C106" s="97" t="str">
        <f t="shared" si="36"/>
        <v/>
      </c>
      <c r="D106" s="97" t="str">
        <f t="shared" si="30"/>
        <v/>
      </c>
      <c r="E106" s="8" t="str">
        <f t="shared" si="31"/>
        <v/>
      </c>
      <c r="F106" s="31" t="str">
        <f t="shared" si="32"/>
        <v/>
      </c>
      <c r="G106" s="11" t="str">
        <f t="shared" si="33"/>
        <v/>
      </c>
      <c r="H106" s="11" t="str">
        <f t="shared" si="37"/>
        <v/>
      </c>
      <c r="I106" s="28" t="str">
        <f t="shared" si="34"/>
        <v/>
      </c>
      <c r="J106" s="8" t="str">
        <f t="shared" si="35"/>
        <v/>
      </c>
      <c r="K106" s="38" t="str">
        <f>IF(B106="","",E106*F106*J106*Normput((B106-$C$2)/365,G106,I106,$C$13))</f>
        <v/>
      </c>
      <c r="L106" s="38" t="str">
        <f>IF(B106="","",E106*F106*J106*NORMcall((B106-$C$2)/365,H106,I106,$C$14))</f>
        <v/>
      </c>
      <c r="N106" s="21"/>
      <c r="W106" s="21" t="str">
        <f t="shared" ref="W106:W137" si="38">IF(U106="","",X106-2)</f>
        <v/>
      </c>
      <c r="X106" s="21" t="str">
        <f t="shared" ref="X106:X141" si="39">IF(U106="","",U106+$J$8)</f>
        <v/>
      </c>
      <c r="Y106" s="21" t="str">
        <f t="shared" ref="Y106:Y141" si="40">IF(U106="","",$C$8)</f>
        <v/>
      </c>
      <c r="Z106" s="1" t="str">
        <f t="shared" ref="Z106:Z141" si="41">IF(U106="","","RECEIVER")</f>
        <v/>
      </c>
      <c r="AA106" s="1" t="str">
        <f t="shared" ref="AA106:AA141" si="42">IF(U106="","","ABS")</f>
        <v/>
      </c>
      <c r="AB106" s="26" t="str">
        <f>IF(U106="","",#REF!)</f>
        <v/>
      </c>
      <c r="AC106" s="11" t="str">
        <f t="shared" ref="AC106:AC141" si="43">IF(U106="","",$Z$19)</f>
        <v/>
      </c>
      <c r="AD106" s="28" t="str">
        <f>IF(W106="","",_xll.EpBsStandardSwaptionPrice($C$2,$N$2,X106,Y106,Z106,AA106,AB106,AC106))</f>
        <v/>
      </c>
      <c r="AE106" s="28" t="str">
        <f>IF(W106="","",_xll.EpLgm1fStandardSwaptionPrice($C$2,$N$3,$N$2,X106,Y106,Z106,AA106,AB106))</f>
        <v/>
      </c>
    </row>
    <row r="107" spans="2:31" x14ac:dyDescent="0.3">
      <c r="B107" s="97" t="str">
        <f t="shared" si="29"/>
        <v/>
      </c>
      <c r="C107" s="97" t="str">
        <f t="shared" si="36"/>
        <v/>
      </c>
      <c r="D107" s="97" t="str">
        <f t="shared" si="30"/>
        <v/>
      </c>
      <c r="E107" s="8" t="str">
        <f t="shared" si="31"/>
        <v/>
      </c>
      <c r="F107" s="31" t="str">
        <f t="shared" si="32"/>
        <v/>
      </c>
      <c r="G107" s="11" t="str">
        <f t="shared" si="33"/>
        <v/>
      </c>
      <c r="H107" s="11" t="str">
        <f t="shared" si="37"/>
        <v/>
      </c>
      <c r="I107" s="28" t="str">
        <f t="shared" si="34"/>
        <v/>
      </c>
      <c r="J107" s="8" t="str">
        <f t="shared" si="35"/>
        <v/>
      </c>
      <c r="K107" s="38" t="str">
        <f>IF(B107="","",E107*F107*J107*Normput((B107-$C$2)/365,G107,I107,$C$13))</f>
        <v/>
      </c>
      <c r="L107" s="38" t="str">
        <f>IF(B107="","",E107*F107*J107*NORMcall((B107-$C$2)/365,H107,I107,$C$14))</f>
        <v/>
      </c>
      <c r="N107" s="21"/>
      <c r="W107" s="21" t="str">
        <f t="shared" si="38"/>
        <v/>
      </c>
      <c r="X107" s="21" t="str">
        <f t="shared" si="39"/>
        <v/>
      </c>
      <c r="Y107" s="21" t="str">
        <f t="shared" si="40"/>
        <v/>
      </c>
      <c r="Z107" s="1" t="str">
        <f t="shared" si="41"/>
        <v/>
      </c>
      <c r="AA107" s="1" t="str">
        <f t="shared" si="42"/>
        <v/>
      </c>
      <c r="AB107" s="26" t="str">
        <f>IF(U107="","",#REF!)</f>
        <v/>
      </c>
      <c r="AC107" s="11" t="str">
        <f t="shared" si="43"/>
        <v/>
      </c>
      <c r="AD107" s="28" t="str">
        <f>IF(W107="","",_xll.EpBsStandardSwaptionPrice($C$2,$N$2,X107,Y107,Z107,AA107,AB107,AC107))</f>
        <v/>
      </c>
      <c r="AE107" s="28" t="str">
        <f>IF(W107="","",_xll.EpLgm1fStandardSwaptionPrice($C$2,$N$3,$N$2,X107,Y107,Z107,AA107,AB107))</f>
        <v/>
      </c>
    </row>
    <row r="108" spans="2:31" x14ac:dyDescent="0.3">
      <c r="B108" s="97" t="str">
        <f t="shared" si="29"/>
        <v/>
      </c>
      <c r="C108" s="97" t="str">
        <f t="shared" si="36"/>
        <v/>
      </c>
      <c r="D108" s="97" t="str">
        <f t="shared" si="30"/>
        <v/>
      </c>
      <c r="E108" s="8" t="str">
        <f t="shared" si="31"/>
        <v/>
      </c>
      <c r="F108" s="31" t="str">
        <f t="shared" si="32"/>
        <v/>
      </c>
      <c r="G108" s="11" t="str">
        <f t="shared" si="33"/>
        <v/>
      </c>
      <c r="H108" s="11" t="str">
        <f t="shared" si="37"/>
        <v/>
      </c>
      <c r="I108" s="28" t="str">
        <f t="shared" si="34"/>
        <v/>
      </c>
      <c r="J108" s="8" t="str">
        <f t="shared" si="35"/>
        <v/>
      </c>
      <c r="K108" s="38" t="str">
        <f>IF(B108="","",E108*F108*J108*Normput((B108-$C$2)/365,G108,I108,$C$13))</f>
        <v/>
      </c>
      <c r="L108" s="38" t="str">
        <f>IF(B108="","",E108*F108*J108*NORMcall((B108-$C$2)/365,H108,I108,$C$14))</f>
        <v/>
      </c>
      <c r="N108" s="21"/>
      <c r="W108" s="21" t="str">
        <f t="shared" si="38"/>
        <v/>
      </c>
      <c r="X108" s="21" t="str">
        <f t="shared" si="39"/>
        <v/>
      </c>
      <c r="Y108" s="21" t="str">
        <f t="shared" si="40"/>
        <v/>
      </c>
      <c r="Z108" s="1" t="str">
        <f t="shared" si="41"/>
        <v/>
      </c>
      <c r="AA108" s="1" t="str">
        <f t="shared" si="42"/>
        <v/>
      </c>
      <c r="AB108" s="26" t="str">
        <f>IF(U108="","",#REF!)</f>
        <v/>
      </c>
      <c r="AC108" s="11" t="str">
        <f t="shared" si="43"/>
        <v/>
      </c>
      <c r="AD108" s="28" t="str">
        <f>IF(W108="","",_xll.EpBsStandardSwaptionPrice($C$2,$N$2,X108,Y108,Z108,AA108,AB108,AC108))</f>
        <v/>
      </c>
      <c r="AE108" s="28" t="str">
        <f>IF(W108="","",_xll.EpLgm1fStandardSwaptionPrice($C$2,$N$3,$N$2,X108,Y108,Z108,AA108,AB108))</f>
        <v/>
      </c>
    </row>
    <row r="109" spans="2:31" x14ac:dyDescent="0.3">
      <c r="B109" s="97" t="str">
        <f t="shared" si="29"/>
        <v/>
      </c>
      <c r="C109" s="97" t="str">
        <f t="shared" si="36"/>
        <v/>
      </c>
      <c r="D109" s="97" t="str">
        <f t="shared" si="30"/>
        <v/>
      </c>
      <c r="E109" s="8" t="str">
        <f t="shared" si="31"/>
        <v/>
      </c>
      <c r="F109" s="31" t="str">
        <f t="shared" si="32"/>
        <v/>
      </c>
      <c r="G109" s="11" t="str">
        <f t="shared" si="33"/>
        <v/>
      </c>
      <c r="H109" s="11" t="str">
        <f t="shared" si="37"/>
        <v/>
      </c>
      <c r="I109" s="28" t="str">
        <f t="shared" si="34"/>
        <v/>
      </c>
      <c r="J109" s="8" t="str">
        <f t="shared" si="35"/>
        <v/>
      </c>
      <c r="K109" s="38" t="str">
        <f>IF(B109="","",E109*F109*J109*Normput((B109-$C$2)/365,G109,I109,$C$13))</f>
        <v/>
      </c>
      <c r="L109" s="38" t="str">
        <f>IF(B109="","",E109*F109*J109*NORMcall((B109-$C$2)/365,H109,I109,$C$14))</f>
        <v/>
      </c>
      <c r="N109" s="21"/>
      <c r="W109" s="21" t="str">
        <f t="shared" si="38"/>
        <v/>
      </c>
      <c r="X109" s="21" t="str">
        <f t="shared" si="39"/>
        <v/>
      </c>
      <c r="Y109" s="21" t="str">
        <f t="shared" si="40"/>
        <v/>
      </c>
      <c r="Z109" s="1" t="str">
        <f t="shared" si="41"/>
        <v/>
      </c>
      <c r="AA109" s="1" t="str">
        <f t="shared" si="42"/>
        <v/>
      </c>
      <c r="AB109" s="26" t="str">
        <f>IF(U109="","",#REF!)</f>
        <v/>
      </c>
      <c r="AC109" s="11" t="str">
        <f t="shared" si="43"/>
        <v/>
      </c>
      <c r="AD109" s="28" t="str">
        <f>IF(W109="","",_xll.EpBsStandardSwaptionPrice($C$2,$N$2,X109,Y109,Z109,AA109,AB109,AC109))</f>
        <v/>
      </c>
      <c r="AE109" s="28" t="str">
        <f>IF(W109="","",_xll.EpLgm1fStandardSwaptionPrice($C$2,$N$3,$N$2,X109,Y109,Z109,AA109,AB109))</f>
        <v/>
      </c>
    </row>
    <row r="110" spans="2:31" x14ac:dyDescent="0.3">
      <c r="B110" s="97" t="str">
        <f t="shared" si="29"/>
        <v/>
      </c>
      <c r="C110" s="97" t="str">
        <f t="shared" si="36"/>
        <v/>
      </c>
      <c r="D110" s="97" t="str">
        <f t="shared" si="30"/>
        <v/>
      </c>
      <c r="E110" s="8" t="str">
        <f t="shared" si="31"/>
        <v/>
      </c>
      <c r="F110" s="31" t="str">
        <f t="shared" si="32"/>
        <v/>
      </c>
      <c r="G110" s="11" t="str">
        <f t="shared" si="33"/>
        <v/>
      </c>
      <c r="H110" s="11" t="str">
        <f t="shared" si="37"/>
        <v/>
      </c>
      <c r="I110" s="28" t="str">
        <f t="shared" si="34"/>
        <v/>
      </c>
      <c r="J110" s="8" t="str">
        <f t="shared" si="35"/>
        <v/>
      </c>
      <c r="K110" s="38" t="str">
        <f>IF(B110="","",E110*F110*J110*Normput((B110-$C$2)/365,G110,I110,$C$13))</f>
        <v/>
      </c>
      <c r="L110" s="38" t="str">
        <f>IF(B110="","",E110*F110*J110*NORMcall((B110-$C$2)/365,H110,I110,$C$14))</f>
        <v/>
      </c>
      <c r="N110" s="21"/>
      <c r="W110" s="21" t="str">
        <f t="shared" si="38"/>
        <v/>
      </c>
      <c r="X110" s="21" t="str">
        <f t="shared" si="39"/>
        <v/>
      </c>
      <c r="Y110" s="21" t="str">
        <f t="shared" si="40"/>
        <v/>
      </c>
      <c r="Z110" s="1" t="str">
        <f t="shared" si="41"/>
        <v/>
      </c>
      <c r="AA110" s="1" t="str">
        <f t="shared" si="42"/>
        <v/>
      </c>
      <c r="AB110" s="26" t="str">
        <f>IF(U110="","",#REF!)</f>
        <v/>
      </c>
      <c r="AC110" s="11" t="str">
        <f t="shared" si="43"/>
        <v/>
      </c>
      <c r="AD110" s="28" t="str">
        <f>IF(W110="","",_xll.EpBsStandardSwaptionPrice($C$2,$N$2,X110,Y110,Z110,AA110,AB110,AC110))</f>
        <v/>
      </c>
      <c r="AE110" s="28" t="str">
        <f>IF(W110="","",_xll.EpLgm1fStandardSwaptionPrice($C$2,$N$3,$N$2,X110,Y110,Z110,AA110,AB110))</f>
        <v/>
      </c>
    </row>
    <row r="111" spans="2:31" x14ac:dyDescent="0.3">
      <c r="B111" s="97" t="str">
        <f t="shared" si="29"/>
        <v/>
      </c>
      <c r="C111" s="97" t="str">
        <f t="shared" si="36"/>
        <v/>
      </c>
      <c r="D111" s="97" t="str">
        <f t="shared" si="30"/>
        <v/>
      </c>
      <c r="E111" s="8" t="str">
        <f t="shared" si="31"/>
        <v/>
      </c>
      <c r="F111" s="31" t="str">
        <f t="shared" si="32"/>
        <v/>
      </c>
      <c r="G111" s="11" t="str">
        <f t="shared" si="33"/>
        <v/>
      </c>
      <c r="H111" s="11" t="str">
        <f t="shared" si="37"/>
        <v/>
      </c>
      <c r="I111" s="28" t="str">
        <f t="shared" si="34"/>
        <v/>
      </c>
      <c r="J111" s="8" t="str">
        <f t="shared" si="35"/>
        <v/>
      </c>
      <c r="K111" s="38" t="str">
        <f>IF(B111="","",E111*F111*J111*Normput((B111-$C$2)/365,G111,I111,$C$13))</f>
        <v/>
      </c>
      <c r="L111" s="38" t="str">
        <f>IF(B111="","",E111*F111*J111*NORMcall((B111-$C$2)/365,H111,I111,$C$14))</f>
        <v/>
      </c>
      <c r="N111" s="21"/>
      <c r="W111" s="21" t="str">
        <f t="shared" si="38"/>
        <v/>
      </c>
      <c r="X111" s="21" t="str">
        <f t="shared" si="39"/>
        <v/>
      </c>
      <c r="Y111" s="21" t="str">
        <f t="shared" si="40"/>
        <v/>
      </c>
      <c r="Z111" s="1" t="str">
        <f t="shared" si="41"/>
        <v/>
      </c>
      <c r="AA111" s="1" t="str">
        <f t="shared" si="42"/>
        <v/>
      </c>
      <c r="AB111" s="26" t="str">
        <f>IF(U111="","",#REF!)</f>
        <v/>
      </c>
      <c r="AC111" s="11" t="str">
        <f t="shared" si="43"/>
        <v/>
      </c>
      <c r="AD111" s="28" t="str">
        <f>IF(W111="","",_xll.EpBsStandardSwaptionPrice($C$2,$N$2,X111,Y111,Z111,AA111,AB111,AC111))</f>
        <v/>
      </c>
      <c r="AE111" s="28" t="str">
        <f>IF(W111="","",_xll.EpLgm1fStandardSwaptionPrice($C$2,$N$3,$N$2,X111,Y111,Z111,AA111,AB111))</f>
        <v/>
      </c>
    </row>
    <row r="112" spans="2:31" x14ac:dyDescent="0.3">
      <c r="B112" s="97" t="str">
        <f t="shared" si="29"/>
        <v/>
      </c>
      <c r="C112" s="97" t="str">
        <f t="shared" si="36"/>
        <v/>
      </c>
      <c r="D112" s="97" t="str">
        <f t="shared" si="30"/>
        <v/>
      </c>
      <c r="E112" s="8" t="str">
        <f t="shared" si="31"/>
        <v/>
      </c>
      <c r="F112" s="31" t="str">
        <f t="shared" si="32"/>
        <v/>
      </c>
      <c r="G112" s="11" t="str">
        <f t="shared" si="33"/>
        <v/>
      </c>
      <c r="H112" s="11" t="str">
        <f t="shared" si="37"/>
        <v/>
      </c>
      <c r="I112" s="28" t="str">
        <f t="shared" si="34"/>
        <v/>
      </c>
      <c r="J112" s="8" t="str">
        <f t="shared" si="35"/>
        <v/>
      </c>
      <c r="K112" s="38" t="str">
        <f>IF(B112="","",E112*F112*J112*Normput((B112-$C$2)/365,G112,I112,$C$13))</f>
        <v/>
      </c>
      <c r="L112" s="38" t="str">
        <f>IF(B112="","",E112*F112*J112*NORMcall((B112-$C$2)/365,H112,I112,$C$14))</f>
        <v/>
      </c>
      <c r="N112" s="21"/>
      <c r="W112" s="21" t="str">
        <f t="shared" si="38"/>
        <v/>
      </c>
      <c r="X112" s="21" t="str">
        <f t="shared" si="39"/>
        <v/>
      </c>
      <c r="Y112" s="21" t="str">
        <f t="shared" si="40"/>
        <v/>
      </c>
      <c r="Z112" s="1" t="str">
        <f t="shared" si="41"/>
        <v/>
      </c>
      <c r="AA112" s="1" t="str">
        <f t="shared" si="42"/>
        <v/>
      </c>
      <c r="AB112" s="26" t="str">
        <f>IF(U112="","",#REF!)</f>
        <v/>
      </c>
      <c r="AC112" s="11" t="str">
        <f t="shared" si="43"/>
        <v/>
      </c>
      <c r="AD112" s="28" t="str">
        <f>IF(W112="","",_xll.EpBsStandardSwaptionPrice($C$2,$N$2,X112,Y112,Z112,AA112,AB112,AC112))</f>
        <v/>
      </c>
      <c r="AE112" s="28" t="str">
        <f>IF(W112="","",_xll.EpLgm1fStandardSwaptionPrice($C$2,$N$3,$N$2,X112,Y112,Z112,AA112,AB112))</f>
        <v/>
      </c>
    </row>
    <row r="113" spans="2:31" x14ac:dyDescent="0.3">
      <c r="B113" s="97" t="str">
        <f t="shared" si="29"/>
        <v/>
      </c>
      <c r="C113" s="97" t="str">
        <f t="shared" si="36"/>
        <v/>
      </c>
      <c r="D113" s="97" t="str">
        <f t="shared" si="30"/>
        <v/>
      </c>
      <c r="E113" s="8" t="str">
        <f t="shared" si="31"/>
        <v/>
      </c>
      <c r="F113" s="31" t="str">
        <f t="shared" si="32"/>
        <v/>
      </c>
      <c r="G113" s="11" t="str">
        <f t="shared" si="33"/>
        <v/>
      </c>
      <c r="H113" s="11" t="str">
        <f t="shared" si="37"/>
        <v/>
      </c>
      <c r="I113" s="28" t="str">
        <f t="shared" si="34"/>
        <v/>
      </c>
      <c r="J113" s="8" t="str">
        <f t="shared" si="35"/>
        <v/>
      </c>
      <c r="K113" s="38" t="str">
        <f>IF(B113="","",E113*F113*J113*Normput((B113-$C$2)/365,G113,I113,$C$13))</f>
        <v/>
      </c>
      <c r="L113" s="38" t="str">
        <f>IF(B113="","",E113*F113*J113*NORMcall((B113-$C$2)/365,H113,I113,$C$14))</f>
        <v/>
      </c>
      <c r="N113" s="21"/>
      <c r="W113" s="21" t="str">
        <f t="shared" si="38"/>
        <v/>
      </c>
      <c r="X113" s="21" t="str">
        <f t="shared" si="39"/>
        <v/>
      </c>
      <c r="Y113" s="21" t="str">
        <f t="shared" si="40"/>
        <v/>
      </c>
      <c r="Z113" s="1" t="str">
        <f t="shared" si="41"/>
        <v/>
      </c>
      <c r="AA113" s="1" t="str">
        <f t="shared" si="42"/>
        <v/>
      </c>
      <c r="AB113" s="26" t="str">
        <f>IF(U113="","",#REF!)</f>
        <v/>
      </c>
      <c r="AC113" s="11" t="str">
        <f t="shared" si="43"/>
        <v/>
      </c>
      <c r="AD113" s="28" t="str">
        <f>IF(W113="","",_xll.EpBsStandardSwaptionPrice($C$2,$N$2,X113,Y113,Z113,AA113,AB113,AC113))</f>
        <v/>
      </c>
      <c r="AE113" s="28" t="str">
        <f>IF(W113="","",_xll.EpLgm1fStandardSwaptionPrice($C$2,$N$3,$N$2,X113,Y113,Z113,AA113,AB113))</f>
        <v/>
      </c>
    </row>
    <row r="114" spans="2:31" x14ac:dyDescent="0.3">
      <c r="B114" s="97" t="str">
        <f t="shared" si="29"/>
        <v/>
      </c>
      <c r="C114" s="97" t="str">
        <f t="shared" si="36"/>
        <v/>
      </c>
      <c r="D114" s="97" t="str">
        <f t="shared" si="30"/>
        <v/>
      </c>
      <c r="E114" s="8" t="str">
        <f t="shared" si="31"/>
        <v/>
      </c>
      <c r="F114" s="31" t="str">
        <f t="shared" si="32"/>
        <v/>
      </c>
      <c r="G114" s="11" t="str">
        <f t="shared" si="33"/>
        <v/>
      </c>
      <c r="H114" s="11" t="str">
        <f t="shared" si="37"/>
        <v/>
      </c>
      <c r="I114" s="28" t="str">
        <f t="shared" si="34"/>
        <v/>
      </c>
      <c r="J114" s="8" t="str">
        <f t="shared" si="35"/>
        <v/>
      </c>
      <c r="K114" s="38" t="str">
        <f>IF(B114="","",E114*F114*J114*Normput((B114-$C$2)/365,G114,I114,$C$13))</f>
        <v/>
      </c>
      <c r="L114" s="38" t="str">
        <f>IF(B114="","",E114*F114*J114*NORMcall((B114-$C$2)/365,H114,I114,$C$14))</f>
        <v/>
      </c>
      <c r="N114" s="21"/>
      <c r="W114" s="21" t="str">
        <f t="shared" si="38"/>
        <v/>
      </c>
      <c r="X114" s="21" t="str">
        <f t="shared" si="39"/>
        <v/>
      </c>
      <c r="Y114" s="21" t="str">
        <f t="shared" si="40"/>
        <v/>
      </c>
      <c r="Z114" s="1" t="str">
        <f t="shared" si="41"/>
        <v/>
      </c>
      <c r="AA114" s="1" t="str">
        <f t="shared" si="42"/>
        <v/>
      </c>
      <c r="AB114" s="26" t="str">
        <f>IF(U114="","",#REF!)</f>
        <v/>
      </c>
      <c r="AC114" s="11" t="str">
        <f t="shared" si="43"/>
        <v/>
      </c>
      <c r="AD114" s="28" t="str">
        <f>IF(W114="","",_xll.EpBsStandardSwaptionPrice($C$2,$N$2,X114,Y114,Z114,AA114,AB114,AC114))</f>
        <v/>
      </c>
      <c r="AE114" s="28" t="str">
        <f>IF(W114="","",_xll.EpLgm1fStandardSwaptionPrice($C$2,$N$3,$N$2,X114,Y114,Z114,AA114,AB114))</f>
        <v/>
      </c>
    </row>
    <row r="115" spans="2:31" x14ac:dyDescent="0.3">
      <c r="B115" s="97" t="str">
        <f t="shared" si="29"/>
        <v/>
      </c>
      <c r="C115" s="97" t="str">
        <f t="shared" si="36"/>
        <v/>
      </c>
      <c r="D115" s="97" t="str">
        <f t="shared" si="30"/>
        <v/>
      </c>
      <c r="E115" s="8" t="str">
        <f t="shared" si="31"/>
        <v/>
      </c>
      <c r="F115" s="31" t="str">
        <f t="shared" si="32"/>
        <v/>
      </c>
      <c r="G115" s="11" t="str">
        <f t="shared" si="33"/>
        <v/>
      </c>
      <c r="H115" s="11" t="str">
        <f t="shared" si="37"/>
        <v/>
      </c>
      <c r="I115" s="28" t="str">
        <f t="shared" si="34"/>
        <v/>
      </c>
      <c r="J115" s="8" t="str">
        <f t="shared" si="35"/>
        <v/>
      </c>
      <c r="K115" s="38" t="str">
        <f>IF(B115="","",E115*F115*J115*Normput((B115-$C$2)/365,G115,I115,$C$13))</f>
        <v/>
      </c>
      <c r="L115" s="38" t="str">
        <f>IF(B115="","",E115*F115*J115*NORMcall((B115-$C$2)/365,H115,I115,$C$14))</f>
        <v/>
      </c>
      <c r="N115" s="21"/>
      <c r="W115" s="21" t="str">
        <f t="shared" si="38"/>
        <v/>
      </c>
      <c r="X115" s="21" t="str">
        <f t="shared" si="39"/>
        <v/>
      </c>
      <c r="Y115" s="21" t="str">
        <f t="shared" si="40"/>
        <v/>
      </c>
      <c r="Z115" s="1" t="str">
        <f t="shared" si="41"/>
        <v/>
      </c>
      <c r="AA115" s="1" t="str">
        <f t="shared" si="42"/>
        <v/>
      </c>
      <c r="AB115" s="26" t="str">
        <f>IF(U115="","",#REF!)</f>
        <v/>
      </c>
      <c r="AC115" s="11" t="str">
        <f t="shared" si="43"/>
        <v/>
      </c>
      <c r="AD115" s="28" t="str">
        <f>IF(W115="","",_xll.EpBsStandardSwaptionPrice($C$2,$N$2,X115,Y115,Z115,AA115,AB115,AC115))</f>
        <v/>
      </c>
      <c r="AE115" s="28" t="str">
        <f>IF(W115="","",_xll.EpLgm1fStandardSwaptionPrice($C$2,$N$3,$N$2,X115,Y115,Z115,AA115,AB115))</f>
        <v/>
      </c>
    </row>
    <row r="116" spans="2:31" x14ac:dyDescent="0.3">
      <c r="B116" s="97" t="str">
        <f t="shared" si="29"/>
        <v/>
      </c>
      <c r="C116" s="97" t="str">
        <f t="shared" si="36"/>
        <v/>
      </c>
      <c r="D116" s="97" t="str">
        <f t="shared" si="30"/>
        <v/>
      </c>
      <c r="E116" s="8" t="str">
        <f t="shared" si="31"/>
        <v/>
      </c>
      <c r="F116" s="31" t="str">
        <f t="shared" si="32"/>
        <v/>
      </c>
      <c r="G116" s="11" t="str">
        <f t="shared" si="33"/>
        <v/>
      </c>
      <c r="H116" s="11" t="str">
        <f t="shared" si="37"/>
        <v/>
      </c>
      <c r="I116" s="28" t="str">
        <f t="shared" si="34"/>
        <v/>
      </c>
      <c r="J116" s="8" t="str">
        <f t="shared" si="35"/>
        <v/>
      </c>
      <c r="K116" s="38" t="str">
        <f>IF(B116="","",E116*F116*J116*Normput((B116-$C$2)/365,G116,I116,$C$13))</f>
        <v/>
      </c>
      <c r="L116" s="38" t="str">
        <f>IF(B116="","",E116*F116*J116*NORMcall((B116-$C$2)/365,H116,I116,$C$14))</f>
        <v/>
      </c>
      <c r="N116" s="21"/>
      <c r="W116" s="21" t="str">
        <f t="shared" si="38"/>
        <v/>
      </c>
      <c r="X116" s="21" t="str">
        <f t="shared" si="39"/>
        <v/>
      </c>
      <c r="Y116" s="21" t="str">
        <f t="shared" si="40"/>
        <v/>
      </c>
      <c r="Z116" s="1" t="str">
        <f t="shared" si="41"/>
        <v/>
      </c>
      <c r="AA116" s="1" t="str">
        <f t="shared" si="42"/>
        <v/>
      </c>
      <c r="AB116" s="26" t="str">
        <f>IF(U116="","",#REF!)</f>
        <v/>
      </c>
      <c r="AC116" s="11" t="str">
        <f t="shared" si="43"/>
        <v/>
      </c>
      <c r="AD116" s="28" t="str">
        <f>IF(W116="","",_xll.EpBsStandardSwaptionPrice($C$2,$N$2,X116,Y116,Z116,AA116,AB116,AC116))</f>
        <v/>
      </c>
      <c r="AE116" s="28" t="str">
        <f>IF(W116="","",_xll.EpLgm1fStandardSwaptionPrice($C$2,$N$3,$N$2,X116,Y116,Z116,AA116,AB116))</f>
        <v/>
      </c>
    </row>
    <row r="117" spans="2:31" x14ac:dyDescent="0.3">
      <c r="B117" s="97" t="str">
        <f t="shared" si="29"/>
        <v/>
      </c>
      <c r="C117" s="97" t="str">
        <f t="shared" si="36"/>
        <v/>
      </c>
      <c r="D117" s="97" t="str">
        <f t="shared" si="30"/>
        <v/>
      </c>
      <c r="E117" s="8" t="str">
        <f t="shared" si="31"/>
        <v/>
      </c>
      <c r="F117" s="31" t="str">
        <f t="shared" si="32"/>
        <v/>
      </c>
      <c r="G117" s="11" t="str">
        <f t="shared" si="33"/>
        <v/>
      </c>
      <c r="H117" s="11" t="str">
        <f t="shared" si="37"/>
        <v/>
      </c>
      <c r="I117" s="28" t="str">
        <f t="shared" si="34"/>
        <v/>
      </c>
      <c r="J117" s="8" t="str">
        <f t="shared" si="35"/>
        <v/>
      </c>
      <c r="K117" s="38" t="str">
        <f>IF(B117="","",E117*F117*J117*Normput((B117-$C$2)/365,G117,I117,$C$13))</f>
        <v/>
      </c>
      <c r="L117" s="38" t="str">
        <f>IF(B117="","",E117*F117*J117*NORMcall((B117-$C$2)/365,H117,I117,$C$14))</f>
        <v/>
      </c>
      <c r="N117" s="21"/>
      <c r="W117" s="21" t="str">
        <f t="shared" si="38"/>
        <v/>
      </c>
      <c r="X117" s="21" t="str">
        <f t="shared" si="39"/>
        <v/>
      </c>
      <c r="Y117" s="21" t="str">
        <f t="shared" si="40"/>
        <v/>
      </c>
      <c r="Z117" s="1" t="str">
        <f t="shared" si="41"/>
        <v/>
      </c>
      <c r="AA117" s="1" t="str">
        <f t="shared" si="42"/>
        <v/>
      </c>
      <c r="AB117" s="26" t="str">
        <f>IF(U117="","",#REF!)</f>
        <v/>
      </c>
      <c r="AC117" s="11" t="str">
        <f t="shared" si="43"/>
        <v/>
      </c>
      <c r="AD117" s="28" t="str">
        <f>IF(W117="","",_xll.EpBsStandardSwaptionPrice($C$2,$N$2,X117,Y117,Z117,AA117,AB117,AC117))</f>
        <v/>
      </c>
      <c r="AE117" s="28" t="str">
        <f>IF(W117="","",_xll.EpLgm1fStandardSwaptionPrice($C$2,$N$3,$N$2,X117,Y117,Z117,AA117,AB117))</f>
        <v/>
      </c>
    </row>
    <row r="118" spans="2:31" x14ac:dyDescent="0.3">
      <c r="B118" s="97" t="str">
        <f t="shared" ref="B118:B141" si="44">IF(C118="","",C118-2)</f>
        <v/>
      </c>
      <c r="C118" s="97" t="str">
        <f t="shared" si="36"/>
        <v/>
      </c>
      <c r="D118" s="97" t="str">
        <f t="shared" ref="D118:D141" si="45">IF(C118="","",DATE(YEAR(C118),MONTH(C118)+VLOOKUP($C$9,$AB$1:$AC$4,2,FALSE),DAY(C118)))</f>
        <v/>
      </c>
      <c r="E118" s="8" t="str">
        <f t="shared" ref="E118:E141" si="46">IF(B118="","",IF($C$10="30/360",DAYS360(C118,D118)/360,IF($C$10="ACT/360",(D118-C118)/360,IF($C$10="ACT/365",(D118-C118)/365))))</f>
        <v/>
      </c>
      <c r="F118" s="31" t="str">
        <f t="shared" ref="F118:F141" si="47">IF(B118="","",$C$6)</f>
        <v/>
      </c>
      <c r="G118" s="11" t="str">
        <f t="shared" ref="G118:G141" si="48">IF(B118="","",$C$11)</f>
        <v/>
      </c>
      <c r="H118" s="11" t="str">
        <f t="shared" si="37"/>
        <v/>
      </c>
      <c r="I118" s="28" t="str">
        <f t="shared" ref="I118:I141" si="49">IF(B118="","",(DF(C118-$C$2,Maturities,ZcRates)/DF(D118-$C$2,Maturities,ZcRates)-1)/E118)</f>
        <v/>
      </c>
      <c r="J118" s="8" t="str">
        <f t="shared" ref="J118:J141" si="50">IF(B118="","",DF(D118-$C$2,Maturities,ZcRates))</f>
        <v/>
      </c>
      <c r="K118" s="38" t="str">
        <f>IF(B118="","",E118*F118*J118*Normput((B118-$C$2)/365,G118,I118,$C$13))</f>
        <v/>
      </c>
      <c r="L118" s="38" t="str">
        <f>IF(B118="","",E118*F118*J118*NORMcall((B118-$C$2)/365,H118,I118,$C$14))</f>
        <v/>
      </c>
      <c r="N118" s="21"/>
      <c r="W118" s="21" t="str">
        <f t="shared" si="38"/>
        <v/>
      </c>
      <c r="X118" s="21" t="str">
        <f t="shared" si="39"/>
        <v/>
      </c>
      <c r="Y118" s="21" t="str">
        <f t="shared" si="40"/>
        <v/>
      </c>
      <c r="Z118" s="1" t="str">
        <f t="shared" si="41"/>
        <v/>
      </c>
      <c r="AA118" s="1" t="str">
        <f t="shared" si="42"/>
        <v/>
      </c>
      <c r="AB118" s="26" t="str">
        <f>IF(U118="","",#REF!)</f>
        <v/>
      </c>
      <c r="AC118" s="11" t="str">
        <f t="shared" si="43"/>
        <v/>
      </c>
      <c r="AD118" s="28" t="str">
        <f>IF(W118="","",_xll.EpBsStandardSwaptionPrice($C$2,$N$2,X118,Y118,Z118,AA118,AB118,AC118))</f>
        <v/>
      </c>
      <c r="AE118" s="28" t="str">
        <f>IF(W118="","",_xll.EpLgm1fStandardSwaptionPrice($C$2,$N$3,$N$2,X118,Y118,Z118,AA118,AB118))</f>
        <v/>
      </c>
    </row>
    <row r="119" spans="2:31" x14ac:dyDescent="0.3">
      <c r="B119" s="97" t="str">
        <f t="shared" si="44"/>
        <v/>
      </c>
      <c r="C119" s="97" t="str">
        <f t="shared" ref="C119:C141" si="51">IF(OR(D118=$C$8,D118=""),"",D118)</f>
        <v/>
      </c>
      <c r="D119" s="97" t="str">
        <f t="shared" si="45"/>
        <v/>
      </c>
      <c r="E119" s="8" t="str">
        <f t="shared" si="46"/>
        <v/>
      </c>
      <c r="F119" s="31" t="str">
        <f t="shared" si="47"/>
        <v/>
      </c>
      <c r="G119" s="11" t="str">
        <f t="shared" si="48"/>
        <v/>
      </c>
      <c r="H119" s="11" t="str">
        <f t="shared" si="37"/>
        <v/>
      </c>
      <c r="I119" s="28" t="str">
        <f t="shared" si="49"/>
        <v/>
      </c>
      <c r="J119" s="8" t="str">
        <f t="shared" si="50"/>
        <v/>
      </c>
      <c r="K119" s="38" t="str">
        <f>IF(B119="","",E119*F119*J119*Normput((B119-$C$2)/365,G119,I119,$C$13))</f>
        <v/>
      </c>
      <c r="L119" s="38" t="str">
        <f>IF(B119="","",E119*F119*J119*NORMcall((B119-$C$2)/365,H119,I119,$C$14))</f>
        <v/>
      </c>
      <c r="N119" s="21"/>
      <c r="W119" s="21" t="str">
        <f t="shared" si="38"/>
        <v/>
      </c>
      <c r="X119" s="21" t="str">
        <f t="shared" si="39"/>
        <v/>
      </c>
      <c r="Y119" s="21" t="str">
        <f t="shared" si="40"/>
        <v/>
      </c>
      <c r="Z119" s="1" t="str">
        <f t="shared" si="41"/>
        <v/>
      </c>
      <c r="AA119" s="1" t="str">
        <f t="shared" si="42"/>
        <v/>
      </c>
      <c r="AB119" s="26" t="str">
        <f>IF(U119="","",#REF!)</f>
        <v/>
      </c>
      <c r="AC119" s="11" t="str">
        <f t="shared" si="43"/>
        <v/>
      </c>
      <c r="AD119" s="28" t="str">
        <f>IF(W119="","",_xll.EpBsStandardSwaptionPrice($C$2,$N$2,X119,Y119,Z119,AA119,AB119,AC119))</f>
        <v/>
      </c>
      <c r="AE119" s="28" t="str">
        <f>IF(W119="","",_xll.EpLgm1fStandardSwaptionPrice($C$2,$N$3,$N$2,X119,Y119,Z119,AA119,AB119))</f>
        <v/>
      </c>
    </row>
    <row r="120" spans="2:31" x14ac:dyDescent="0.3">
      <c r="B120" s="97" t="str">
        <f t="shared" si="44"/>
        <v/>
      </c>
      <c r="C120" s="97" t="str">
        <f t="shared" si="51"/>
        <v/>
      </c>
      <c r="D120" s="97" t="str">
        <f t="shared" si="45"/>
        <v/>
      </c>
      <c r="E120" s="8" t="str">
        <f t="shared" si="46"/>
        <v/>
      </c>
      <c r="F120" s="31" t="str">
        <f t="shared" si="47"/>
        <v/>
      </c>
      <c r="G120" s="11" t="str">
        <f t="shared" si="48"/>
        <v/>
      </c>
      <c r="H120" s="11" t="str">
        <f t="shared" si="37"/>
        <v/>
      </c>
      <c r="I120" s="28" t="str">
        <f t="shared" si="49"/>
        <v/>
      </c>
      <c r="J120" s="8" t="str">
        <f t="shared" si="50"/>
        <v/>
      </c>
      <c r="K120" s="38" t="str">
        <f>IF(B120="","",E120*F120*J120*Normput((B120-$C$2)/365,G120,I120,$C$13))</f>
        <v/>
      </c>
      <c r="L120" s="38" t="str">
        <f>IF(B120="","",E120*F120*J120*NORMcall((B120-$C$2)/365,H120,I120,$C$14))</f>
        <v/>
      </c>
      <c r="N120" s="21"/>
      <c r="W120" s="21" t="str">
        <f t="shared" si="38"/>
        <v/>
      </c>
      <c r="X120" s="21" t="str">
        <f t="shared" si="39"/>
        <v/>
      </c>
      <c r="Y120" s="21" t="str">
        <f t="shared" si="40"/>
        <v/>
      </c>
      <c r="Z120" s="1" t="str">
        <f t="shared" si="41"/>
        <v/>
      </c>
      <c r="AA120" s="1" t="str">
        <f t="shared" si="42"/>
        <v/>
      </c>
      <c r="AB120" s="26" t="str">
        <f>IF(U120="","",#REF!)</f>
        <v/>
      </c>
      <c r="AC120" s="11" t="str">
        <f t="shared" si="43"/>
        <v/>
      </c>
      <c r="AD120" s="28" t="str">
        <f>IF(W120="","",_xll.EpBsStandardSwaptionPrice($C$2,$N$2,X120,Y120,Z120,AA120,AB120,AC120))</f>
        <v/>
      </c>
      <c r="AE120" s="28" t="str">
        <f>IF(W120="","",_xll.EpLgm1fStandardSwaptionPrice($C$2,$N$3,$N$2,X120,Y120,Z120,AA120,AB120))</f>
        <v/>
      </c>
    </row>
    <row r="121" spans="2:31" x14ac:dyDescent="0.3">
      <c r="B121" s="97" t="str">
        <f t="shared" si="44"/>
        <v/>
      </c>
      <c r="C121" s="97" t="str">
        <f t="shared" si="51"/>
        <v/>
      </c>
      <c r="D121" s="97" t="str">
        <f t="shared" si="45"/>
        <v/>
      </c>
      <c r="E121" s="8" t="str">
        <f t="shared" si="46"/>
        <v/>
      </c>
      <c r="F121" s="31" t="str">
        <f t="shared" si="47"/>
        <v/>
      </c>
      <c r="G121" s="11" t="str">
        <f t="shared" si="48"/>
        <v/>
      </c>
      <c r="H121" s="11" t="str">
        <f t="shared" si="37"/>
        <v/>
      </c>
      <c r="I121" s="28" t="str">
        <f t="shared" si="49"/>
        <v/>
      </c>
      <c r="J121" s="8" t="str">
        <f t="shared" si="50"/>
        <v/>
      </c>
      <c r="K121" s="38" t="str">
        <f>IF(B121="","",E121*F121*J121*Normput((B121-$C$2)/365,G121,I121,$C$13))</f>
        <v/>
      </c>
      <c r="L121" s="38" t="str">
        <f>IF(B121="","",E121*F121*J121*NORMcall((B121-$C$2)/365,H121,I121,$C$14))</f>
        <v/>
      </c>
      <c r="N121" s="21"/>
      <c r="W121" s="21" t="str">
        <f t="shared" si="38"/>
        <v/>
      </c>
      <c r="X121" s="21" t="str">
        <f t="shared" si="39"/>
        <v/>
      </c>
      <c r="Y121" s="21" t="str">
        <f t="shared" si="40"/>
        <v/>
      </c>
      <c r="Z121" s="1" t="str">
        <f t="shared" si="41"/>
        <v/>
      </c>
      <c r="AA121" s="1" t="str">
        <f t="shared" si="42"/>
        <v/>
      </c>
      <c r="AB121" s="26" t="str">
        <f>IF(U121="","",#REF!)</f>
        <v/>
      </c>
      <c r="AC121" s="11" t="str">
        <f t="shared" si="43"/>
        <v/>
      </c>
      <c r="AD121" s="28" t="str">
        <f>IF(W121="","",_xll.EpBsStandardSwaptionPrice($C$2,$N$2,X121,Y121,Z121,AA121,AB121,AC121))</f>
        <v/>
      </c>
      <c r="AE121" s="28" t="str">
        <f>IF(W121="","",_xll.EpLgm1fStandardSwaptionPrice($C$2,$N$3,$N$2,X121,Y121,Z121,AA121,AB121))</f>
        <v/>
      </c>
    </row>
    <row r="122" spans="2:31" x14ac:dyDescent="0.3">
      <c r="B122" s="97" t="str">
        <f t="shared" si="44"/>
        <v/>
      </c>
      <c r="C122" s="97" t="str">
        <f t="shared" si="51"/>
        <v/>
      </c>
      <c r="D122" s="97" t="str">
        <f t="shared" si="45"/>
        <v/>
      </c>
      <c r="E122" s="8" t="str">
        <f t="shared" si="46"/>
        <v/>
      </c>
      <c r="F122" s="31" t="str">
        <f t="shared" si="47"/>
        <v/>
      </c>
      <c r="G122" s="11" t="str">
        <f t="shared" si="48"/>
        <v/>
      </c>
      <c r="H122" s="11" t="str">
        <f t="shared" si="37"/>
        <v/>
      </c>
      <c r="I122" s="28" t="str">
        <f t="shared" si="49"/>
        <v/>
      </c>
      <c r="J122" s="8" t="str">
        <f t="shared" si="50"/>
        <v/>
      </c>
      <c r="K122" s="38" t="str">
        <f>IF(B122="","",E122*F122*J122*Normput((B122-$C$2)/365,G122,I122,$C$13))</f>
        <v/>
      </c>
      <c r="L122" s="38" t="str">
        <f>IF(B122="","",E122*F122*J122*NORMcall((B122-$C$2)/365,H122,I122,$C$14))</f>
        <v/>
      </c>
      <c r="N122" s="21"/>
      <c r="W122" s="21" t="str">
        <f t="shared" si="38"/>
        <v/>
      </c>
      <c r="X122" s="21" t="str">
        <f t="shared" si="39"/>
        <v/>
      </c>
      <c r="Y122" s="21" t="str">
        <f t="shared" si="40"/>
        <v/>
      </c>
      <c r="Z122" s="1" t="str">
        <f t="shared" si="41"/>
        <v/>
      </c>
      <c r="AA122" s="1" t="str">
        <f t="shared" si="42"/>
        <v/>
      </c>
      <c r="AB122" s="26" t="str">
        <f>IF(U122="","",#REF!)</f>
        <v/>
      </c>
      <c r="AC122" s="11" t="str">
        <f t="shared" si="43"/>
        <v/>
      </c>
      <c r="AD122" s="28" t="str">
        <f>IF(W122="","",_xll.EpBsStandardSwaptionPrice($C$2,$N$2,X122,Y122,Z122,AA122,AB122,AC122))</f>
        <v/>
      </c>
      <c r="AE122" s="28" t="str">
        <f>IF(W122="","",_xll.EpLgm1fStandardSwaptionPrice($C$2,$N$3,$N$2,X122,Y122,Z122,AA122,AB122))</f>
        <v/>
      </c>
    </row>
    <row r="123" spans="2:31" x14ac:dyDescent="0.3">
      <c r="B123" s="97" t="str">
        <f t="shared" si="44"/>
        <v/>
      </c>
      <c r="C123" s="97" t="str">
        <f t="shared" si="51"/>
        <v/>
      </c>
      <c r="D123" s="97" t="str">
        <f t="shared" si="45"/>
        <v/>
      </c>
      <c r="E123" s="8" t="str">
        <f t="shared" si="46"/>
        <v/>
      </c>
      <c r="F123" s="31" t="str">
        <f t="shared" si="47"/>
        <v/>
      </c>
      <c r="G123" s="11" t="str">
        <f t="shared" si="48"/>
        <v/>
      </c>
      <c r="H123" s="11" t="str">
        <f t="shared" si="37"/>
        <v/>
      </c>
      <c r="I123" s="28" t="str">
        <f t="shared" si="49"/>
        <v/>
      </c>
      <c r="J123" s="8" t="str">
        <f t="shared" si="50"/>
        <v/>
      </c>
      <c r="K123" s="38" t="str">
        <f>IF(B123="","",E123*F123*J123*Normput((B123-$C$2)/365,G123,I123,$C$13))</f>
        <v/>
      </c>
      <c r="L123" s="38" t="str">
        <f>IF(B123="","",E123*F123*J123*NORMcall((B123-$C$2)/365,H123,I123,$C$14))</f>
        <v/>
      </c>
      <c r="N123" s="21"/>
      <c r="W123" s="21" t="str">
        <f t="shared" si="38"/>
        <v/>
      </c>
      <c r="X123" s="21" t="str">
        <f t="shared" si="39"/>
        <v/>
      </c>
      <c r="Y123" s="21" t="str">
        <f t="shared" si="40"/>
        <v/>
      </c>
      <c r="Z123" s="1" t="str">
        <f t="shared" si="41"/>
        <v/>
      </c>
      <c r="AA123" s="1" t="str">
        <f t="shared" si="42"/>
        <v/>
      </c>
      <c r="AB123" s="26" t="str">
        <f>IF(U123="","",#REF!)</f>
        <v/>
      </c>
      <c r="AC123" s="11" t="str">
        <f t="shared" si="43"/>
        <v/>
      </c>
      <c r="AD123" s="28" t="str">
        <f>IF(W123="","",_xll.EpBsStandardSwaptionPrice($C$2,$N$2,X123,Y123,Z123,AA123,AB123,AC123))</f>
        <v/>
      </c>
      <c r="AE123" s="28" t="str">
        <f>IF(W123="","",_xll.EpLgm1fStandardSwaptionPrice($C$2,$N$3,$N$2,X123,Y123,Z123,AA123,AB123))</f>
        <v/>
      </c>
    </row>
    <row r="124" spans="2:31" x14ac:dyDescent="0.3">
      <c r="B124" s="97" t="str">
        <f t="shared" si="44"/>
        <v/>
      </c>
      <c r="C124" s="97" t="str">
        <f t="shared" si="51"/>
        <v/>
      </c>
      <c r="D124" s="97" t="str">
        <f t="shared" si="45"/>
        <v/>
      </c>
      <c r="E124" s="8" t="str">
        <f t="shared" si="46"/>
        <v/>
      </c>
      <c r="F124" s="31" t="str">
        <f t="shared" si="47"/>
        <v/>
      </c>
      <c r="G124" s="11" t="str">
        <f t="shared" si="48"/>
        <v/>
      </c>
      <c r="H124" s="11" t="str">
        <f t="shared" si="37"/>
        <v/>
      </c>
      <c r="I124" s="28" t="str">
        <f t="shared" si="49"/>
        <v/>
      </c>
      <c r="J124" s="8" t="str">
        <f t="shared" si="50"/>
        <v/>
      </c>
      <c r="K124" s="38" t="str">
        <f>IF(B124="","",E124*F124*J124*Normput((B124-$C$2)/365,G124,I124,$C$13))</f>
        <v/>
      </c>
      <c r="L124" s="38" t="str">
        <f>IF(B124="","",E124*F124*J124*NORMcall((B124-$C$2)/365,H124,I124,$C$14))</f>
        <v/>
      </c>
      <c r="N124" s="21"/>
      <c r="W124" s="21" t="str">
        <f t="shared" si="38"/>
        <v/>
      </c>
      <c r="X124" s="21" t="str">
        <f t="shared" si="39"/>
        <v/>
      </c>
      <c r="Y124" s="21" t="str">
        <f t="shared" si="40"/>
        <v/>
      </c>
      <c r="Z124" s="1" t="str">
        <f t="shared" si="41"/>
        <v/>
      </c>
      <c r="AA124" s="1" t="str">
        <f t="shared" si="42"/>
        <v/>
      </c>
      <c r="AB124" s="26" t="str">
        <f>IF(U124="","",#REF!)</f>
        <v/>
      </c>
      <c r="AC124" s="11" t="str">
        <f t="shared" si="43"/>
        <v/>
      </c>
      <c r="AD124" s="28" t="str">
        <f>IF(W124="","",_xll.EpBsStandardSwaptionPrice($C$2,$N$2,X124,Y124,Z124,AA124,AB124,AC124))</f>
        <v/>
      </c>
      <c r="AE124" s="28" t="str">
        <f>IF(W124="","",_xll.EpLgm1fStandardSwaptionPrice($C$2,$N$3,$N$2,X124,Y124,Z124,AA124,AB124))</f>
        <v/>
      </c>
    </row>
    <row r="125" spans="2:31" x14ac:dyDescent="0.3">
      <c r="B125" s="97" t="str">
        <f t="shared" si="44"/>
        <v/>
      </c>
      <c r="C125" s="97" t="str">
        <f t="shared" si="51"/>
        <v/>
      </c>
      <c r="D125" s="97" t="str">
        <f t="shared" si="45"/>
        <v/>
      </c>
      <c r="E125" s="8" t="str">
        <f t="shared" si="46"/>
        <v/>
      </c>
      <c r="F125" s="31" t="str">
        <f t="shared" si="47"/>
        <v/>
      </c>
      <c r="G125" s="11" t="str">
        <f t="shared" si="48"/>
        <v/>
      </c>
      <c r="H125" s="11" t="str">
        <f t="shared" si="37"/>
        <v/>
      </c>
      <c r="I125" s="28" t="str">
        <f t="shared" si="49"/>
        <v/>
      </c>
      <c r="J125" s="8" t="str">
        <f t="shared" si="50"/>
        <v/>
      </c>
      <c r="K125" s="38" t="str">
        <f>IF(B125="","",E125*F125*J125*Normput((B125-$C$2)/365,G125,I125,$C$13))</f>
        <v/>
      </c>
      <c r="L125" s="38" t="str">
        <f>IF(B125="","",E125*F125*J125*NORMcall((B125-$C$2)/365,H125,I125,$C$14))</f>
        <v/>
      </c>
      <c r="N125" s="21"/>
      <c r="W125" s="21" t="str">
        <f t="shared" si="38"/>
        <v/>
      </c>
      <c r="X125" s="21" t="str">
        <f t="shared" si="39"/>
        <v/>
      </c>
      <c r="Y125" s="21" t="str">
        <f t="shared" si="40"/>
        <v/>
      </c>
      <c r="Z125" s="1" t="str">
        <f t="shared" si="41"/>
        <v/>
      </c>
      <c r="AA125" s="1" t="str">
        <f t="shared" si="42"/>
        <v/>
      </c>
      <c r="AB125" s="26" t="str">
        <f>IF(U125="","",#REF!)</f>
        <v/>
      </c>
      <c r="AC125" s="11" t="str">
        <f t="shared" si="43"/>
        <v/>
      </c>
      <c r="AD125" s="28" t="str">
        <f>IF(W125="","",_xll.EpBsStandardSwaptionPrice($C$2,$N$2,X125,Y125,Z125,AA125,AB125,AC125))</f>
        <v/>
      </c>
      <c r="AE125" s="28" t="str">
        <f>IF(W125="","",_xll.EpLgm1fStandardSwaptionPrice($C$2,$N$3,$N$2,X125,Y125,Z125,AA125,AB125))</f>
        <v/>
      </c>
    </row>
    <row r="126" spans="2:31" x14ac:dyDescent="0.3">
      <c r="B126" s="97" t="str">
        <f t="shared" si="44"/>
        <v/>
      </c>
      <c r="C126" s="97" t="str">
        <f t="shared" si="51"/>
        <v/>
      </c>
      <c r="D126" s="97" t="str">
        <f t="shared" si="45"/>
        <v/>
      </c>
      <c r="E126" s="8" t="str">
        <f t="shared" si="46"/>
        <v/>
      </c>
      <c r="F126" s="31" t="str">
        <f t="shared" si="47"/>
        <v/>
      </c>
      <c r="G126" s="11" t="str">
        <f t="shared" si="48"/>
        <v/>
      </c>
      <c r="H126" s="11" t="str">
        <f t="shared" si="37"/>
        <v/>
      </c>
      <c r="I126" s="28" t="str">
        <f t="shared" si="49"/>
        <v/>
      </c>
      <c r="J126" s="8" t="str">
        <f t="shared" si="50"/>
        <v/>
      </c>
      <c r="K126" s="38" t="str">
        <f>IF(B126="","",E126*F126*J126*Normput((B126-$C$2)/365,G126,I126,$C$13))</f>
        <v/>
      </c>
      <c r="L126" s="38" t="str">
        <f>IF(B126="","",E126*F126*J126*NORMcall((B126-$C$2)/365,H126,I126,$C$14))</f>
        <v/>
      </c>
      <c r="N126" s="21"/>
      <c r="W126" s="21" t="str">
        <f t="shared" si="38"/>
        <v/>
      </c>
      <c r="X126" s="21" t="str">
        <f t="shared" si="39"/>
        <v/>
      </c>
      <c r="Y126" s="21" t="str">
        <f t="shared" si="40"/>
        <v/>
      </c>
      <c r="Z126" s="1" t="str">
        <f t="shared" si="41"/>
        <v/>
      </c>
      <c r="AA126" s="1" t="str">
        <f t="shared" si="42"/>
        <v/>
      </c>
      <c r="AB126" s="26" t="str">
        <f>IF(U126="","",#REF!)</f>
        <v/>
      </c>
      <c r="AC126" s="11" t="str">
        <f t="shared" si="43"/>
        <v/>
      </c>
      <c r="AD126" s="28" t="str">
        <f>IF(W126="","",_xll.EpBsStandardSwaptionPrice($C$2,$N$2,X126,Y126,Z126,AA126,AB126,AC126))</f>
        <v/>
      </c>
      <c r="AE126" s="28" t="str">
        <f>IF(W126="","",_xll.EpLgm1fStandardSwaptionPrice($C$2,$N$3,$N$2,X126,Y126,Z126,AA126,AB126))</f>
        <v/>
      </c>
    </row>
    <row r="127" spans="2:31" x14ac:dyDescent="0.3">
      <c r="B127" s="97" t="str">
        <f t="shared" si="44"/>
        <v/>
      </c>
      <c r="C127" s="97" t="str">
        <f t="shared" si="51"/>
        <v/>
      </c>
      <c r="D127" s="97" t="str">
        <f t="shared" si="45"/>
        <v/>
      </c>
      <c r="E127" s="8" t="str">
        <f t="shared" si="46"/>
        <v/>
      </c>
      <c r="F127" s="31" t="str">
        <f t="shared" si="47"/>
        <v/>
      </c>
      <c r="G127" s="11" t="str">
        <f t="shared" si="48"/>
        <v/>
      </c>
      <c r="H127" s="11" t="str">
        <f t="shared" si="37"/>
        <v/>
      </c>
      <c r="I127" s="28" t="str">
        <f t="shared" si="49"/>
        <v/>
      </c>
      <c r="J127" s="8" t="str">
        <f t="shared" si="50"/>
        <v/>
      </c>
      <c r="K127" s="38" t="str">
        <f>IF(B127="","",E127*F127*J127*Normput((B127-$C$2)/365,G127,I127,$C$13))</f>
        <v/>
      </c>
      <c r="L127" s="38" t="str">
        <f>IF(B127="","",E127*F127*J127*NORMcall((B127-$C$2)/365,H127,I127,$C$14))</f>
        <v/>
      </c>
      <c r="N127" s="21"/>
      <c r="W127" s="21" t="str">
        <f t="shared" si="38"/>
        <v/>
      </c>
      <c r="X127" s="21" t="str">
        <f t="shared" si="39"/>
        <v/>
      </c>
      <c r="Y127" s="21" t="str">
        <f t="shared" si="40"/>
        <v/>
      </c>
      <c r="Z127" s="1" t="str">
        <f t="shared" si="41"/>
        <v/>
      </c>
      <c r="AA127" s="1" t="str">
        <f t="shared" si="42"/>
        <v/>
      </c>
      <c r="AB127" s="26" t="str">
        <f>IF(U127="","",#REF!)</f>
        <v/>
      </c>
      <c r="AC127" s="11" t="str">
        <f t="shared" si="43"/>
        <v/>
      </c>
      <c r="AD127" s="28" t="str">
        <f>IF(W127="","",_xll.EpBsStandardSwaptionPrice($C$2,$N$2,X127,Y127,Z127,AA127,AB127,AC127))</f>
        <v/>
      </c>
      <c r="AE127" s="28" t="str">
        <f>IF(W127="","",_xll.EpLgm1fStandardSwaptionPrice($C$2,$N$3,$N$2,X127,Y127,Z127,AA127,AB127))</f>
        <v/>
      </c>
    </row>
    <row r="128" spans="2:31" x14ac:dyDescent="0.3">
      <c r="B128" s="97" t="str">
        <f t="shared" si="44"/>
        <v/>
      </c>
      <c r="C128" s="97" t="str">
        <f t="shared" si="51"/>
        <v/>
      </c>
      <c r="D128" s="97" t="str">
        <f t="shared" si="45"/>
        <v/>
      </c>
      <c r="E128" s="8" t="str">
        <f t="shared" si="46"/>
        <v/>
      </c>
      <c r="F128" s="31" t="str">
        <f t="shared" si="47"/>
        <v/>
      </c>
      <c r="G128" s="11" t="str">
        <f t="shared" si="48"/>
        <v/>
      </c>
      <c r="H128" s="11" t="str">
        <f t="shared" si="37"/>
        <v/>
      </c>
      <c r="I128" s="28" t="str">
        <f t="shared" si="49"/>
        <v/>
      </c>
      <c r="J128" s="8" t="str">
        <f t="shared" si="50"/>
        <v/>
      </c>
      <c r="K128" s="38" t="str">
        <f>IF(B128="","",E128*F128*J128*Normput((B128-$C$2)/365,G128,I128,$C$13))</f>
        <v/>
      </c>
      <c r="L128" s="38" t="str">
        <f>IF(B128="","",E128*F128*J128*NORMcall((B128-$C$2)/365,H128,I128,$C$14))</f>
        <v/>
      </c>
      <c r="N128" s="21"/>
      <c r="W128" s="21" t="str">
        <f t="shared" si="38"/>
        <v/>
      </c>
      <c r="X128" s="21" t="str">
        <f t="shared" si="39"/>
        <v/>
      </c>
      <c r="Y128" s="21" t="str">
        <f t="shared" si="40"/>
        <v/>
      </c>
      <c r="Z128" s="1" t="str">
        <f t="shared" si="41"/>
        <v/>
      </c>
      <c r="AA128" s="1" t="str">
        <f t="shared" si="42"/>
        <v/>
      </c>
      <c r="AB128" s="26" t="str">
        <f>IF(U128="","",#REF!)</f>
        <v/>
      </c>
      <c r="AC128" s="11" t="str">
        <f t="shared" si="43"/>
        <v/>
      </c>
      <c r="AD128" s="28" t="str">
        <f>IF(W128="","",_xll.EpBsStandardSwaptionPrice($C$2,$N$2,X128,Y128,Z128,AA128,AB128,AC128))</f>
        <v/>
      </c>
      <c r="AE128" s="28" t="str">
        <f>IF(W128="","",_xll.EpLgm1fStandardSwaptionPrice($C$2,$N$3,$N$2,X128,Y128,Z128,AA128,AB128))</f>
        <v/>
      </c>
    </row>
    <row r="129" spans="2:31" x14ac:dyDescent="0.3">
      <c r="B129" s="97" t="str">
        <f t="shared" si="44"/>
        <v/>
      </c>
      <c r="C129" s="97" t="str">
        <f t="shared" si="51"/>
        <v/>
      </c>
      <c r="D129" s="97" t="str">
        <f t="shared" si="45"/>
        <v/>
      </c>
      <c r="E129" s="8" t="str">
        <f t="shared" si="46"/>
        <v/>
      </c>
      <c r="F129" s="31" t="str">
        <f t="shared" si="47"/>
        <v/>
      </c>
      <c r="G129" s="11" t="str">
        <f t="shared" si="48"/>
        <v/>
      </c>
      <c r="H129" s="11" t="str">
        <f t="shared" si="37"/>
        <v/>
      </c>
      <c r="I129" s="28" t="str">
        <f t="shared" si="49"/>
        <v/>
      </c>
      <c r="J129" s="8" t="str">
        <f t="shared" si="50"/>
        <v/>
      </c>
      <c r="K129" s="38" t="str">
        <f>IF(B129="","",E129*F129*J129*Normput((B129-$C$2)/365,G129,I129,$C$13))</f>
        <v/>
      </c>
      <c r="L129" s="38" t="str">
        <f>IF(B129="","",E129*F129*J129*NORMcall((B129-$C$2)/365,H129,I129,$C$14))</f>
        <v/>
      </c>
      <c r="N129" s="21"/>
      <c r="W129" s="21" t="str">
        <f t="shared" si="38"/>
        <v/>
      </c>
      <c r="X129" s="21" t="str">
        <f t="shared" si="39"/>
        <v/>
      </c>
      <c r="Y129" s="21" t="str">
        <f t="shared" si="40"/>
        <v/>
      </c>
      <c r="Z129" s="1" t="str">
        <f t="shared" si="41"/>
        <v/>
      </c>
      <c r="AA129" s="1" t="str">
        <f t="shared" si="42"/>
        <v/>
      </c>
      <c r="AB129" s="26" t="str">
        <f>IF(U129="","",#REF!)</f>
        <v/>
      </c>
      <c r="AC129" s="11" t="str">
        <f t="shared" si="43"/>
        <v/>
      </c>
      <c r="AD129" s="28" t="str">
        <f>IF(W129="","",_xll.EpBsStandardSwaptionPrice($C$2,$N$2,X129,Y129,Z129,AA129,AB129,AC129))</f>
        <v/>
      </c>
      <c r="AE129" s="28" t="str">
        <f>IF(W129="","",_xll.EpLgm1fStandardSwaptionPrice($C$2,$N$3,$N$2,X129,Y129,Z129,AA129,AB129))</f>
        <v/>
      </c>
    </row>
    <row r="130" spans="2:31" x14ac:dyDescent="0.3">
      <c r="B130" s="97" t="str">
        <f t="shared" si="44"/>
        <v/>
      </c>
      <c r="C130" s="97" t="str">
        <f t="shared" si="51"/>
        <v/>
      </c>
      <c r="D130" s="97" t="str">
        <f t="shared" si="45"/>
        <v/>
      </c>
      <c r="E130" s="8" t="str">
        <f t="shared" si="46"/>
        <v/>
      </c>
      <c r="F130" s="31" t="str">
        <f t="shared" si="47"/>
        <v/>
      </c>
      <c r="G130" s="11" t="str">
        <f t="shared" si="48"/>
        <v/>
      </c>
      <c r="H130" s="11" t="str">
        <f t="shared" si="37"/>
        <v/>
      </c>
      <c r="I130" s="28" t="str">
        <f t="shared" si="49"/>
        <v/>
      </c>
      <c r="J130" s="8" t="str">
        <f t="shared" si="50"/>
        <v/>
      </c>
      <c r="K130" s="38" t="str">
        <f>IF(B130="","",E130*F130*J130*Normput((B130-$C$2)/365,G130,I130,$C$13))</f>
        <v/>
      </c>
      <c r="L130" s="38" t="str">
        <f>IF(B130="","",E130*F130*J130*NORMcall((B130-$C$2)/365,H130,I130,$C$14))</f>
        <v/>
      </c>
      <c r="N130" s="21"/>
      <c r="W130" s="21" t="str">
        <f t="shared" si="38"/>
        <v/>
      </c>
      <c r="X130" s="21" t="str">
        <f t="shared" si="39"/>
        <v/>
      </c>
      <c r="Y130" s="21" t="str">
        <f t="shared" si="40"/>
        <v/>
      </c>
      <c r="Z130" s="1" t="str">
        <f t="shared" si="41"/>
        <v/>
      </c>
      <c r="AA130" s="1" t="str">
        <f t="shared" si="42"/>
        <v/>
      </c>
      <c r="AB130" s="26" t="str">
        <f>IF(U130="","",#REF!)</f>
        <v/>
      </c>
      <c r="AC130" s="11" t="str">
        <f t="shared" si="43"/>
        <v/>
      </c>
      <c r="AD130" s="28" t="str">
        <f>IF(W130="","",_xll.EpBsStandardSwaptionPrice($C$2,$N$2,X130,Y130,Z130,AA130,AB130,AC130))</f>
        <v/>
      </c>
      <c r="AE130" s="28" t="str">
        <f>IF(W130="","",_xll.EpLgm1fStandardSwaptionPrice($C$2,$N$3,$N$2,X130,Y130,Z130,AA130,AB130))</f>
        <v/>
      </c>
    </row>
    <row r="131" spans="2:31" x14ac:dyDescent="0.3">
      <c r="B131" s="97" t="str">
        <f t="shared" si="44"/>
        <v/>
      </c>
      <c r="C131" s="97" t="str">
        <f t="shared" si="51"/>
        <v/>
      </c>
      <c r="D131" s="97" t="str">
        <f t="shared" si="45"/>
        <v/>
      </c>
      <c r="E131" s="8" t="str">
        <f t="shared" si="46"/>
        <v/>
      </c>
      <c r="F131" s="31" t="str">
        <f t="shared" si="47"/>
        <v/>
      </c>
      <c r="G131" s="11" t="str">
        <f t="shared" si="48"/>
        <v/>
      </c>
      <c r="H131" s="11" t="str">
        <f t="shared" si="37"/>
        <v/>
      </c>
      <c r="I131" s="28" t="str">
        <f t="shared" si="49"/>
        <v/>
      </c>
      <c r="J131" s="8" t="str">
        <f t="shared" si="50"/>
        <v/>
      </c>
      <c r="K131" s="38" t="str">
        <f>IF(B131="","",E131*F131*J131*Normput((B131-$C$2)/365,G131,I131,$C$13))</f>
        <v/>
      </c>
      <c r="L131" s="38" t="str">
        <f>IF(B131="","",E131*F131*J131*NORMcall((B131-$C$2)/365,H131,I131,$C$14))</f>
        <v/>
      </c>
      <c r="N131" s="21"/>
      <c r="W131" s="21" t="str">
        <f t="shared" si="38"/>
        <v/>
      </c>
      <c r="X131" s="21" t="str">
        <f t="shared" si="39"/>
        <v/>
      </c>
      <c r="Y131" s="21" t="str">
        <f t="shared" si="40"/>
        <v/>
      </c>
      <c r="Z131" s="1" t="str">
        <f t="shared" si="41"/>
        <v/>
      </c>
      <c r="AA131" s="1" t="str">
        <f t="shared" si="42"/>
        <v/>
      </c>
      <c r="AB131" s="26" t="str">
        <f>IF(U131="","",#REF!)</f>
        <v/>
      </c>
      <c r="AC131" s="11" t="str">
        <f t="shared" si="43"/>
        <v/>
      </c>
      <c r="AD131" s="28" t="str">
        <f>IF(W131="","",_xll.EpBsStandardSwaptionPrice($C$2,$N$2,X131,Y131,Z131,AA131,AB131,AC131))</f>
        <v/>
      </c>
      <c r="AE131" s="28" t="str">
        <f>IF(W131="","",_xll.EpLgm1fStandardSwaptionPrice($C$2,$N$3,$N$2,X131,Y131,Z131,AA131,AB131))</f>
        <v/>
      </c>
    </row>
    <row r="132" spans="2:31" x14ac:dyDescent="0.3">
      <c r="B132" s="97" t="str">
        <f t="shared" si="44"/>
        <v/>
      </c>
      <c r="C132" s="97" t="str">
        <f t="shared" si="51"/>
        <v/>
      </c>
      <c r="D132" s="97" t="str">
        <f t="shared" si="45"/>
        <v/>
      </c>
      <c r="E132" s="8" t="str">
        <f t="shared" si="46"/>
        <v/>
      </c>
      <c r="F132" s="31" t="str">
        <f t="shared" si="47"/>
        <v/>
      </c>
      <c r="G132" s="11" t="str">
        <f t="shared" si="48"/>
        <v/>
      </c>
      <c r="H132" s="11" t="str">
        <f t="shared" si="37"/>
        <v/>
      </c>
      <c r="I132" s="28" t="str">
        <f t="shared" si="49"/>
        <v/>
      </c>
      <c r="J132" s="8" t="str">
        <f t="shared" si="50"/>
        <v/>
      </c>
      <c r="K132" s="38" t="str">
        <f>IF(B132="","",E132*F132*J132*Normput((B132-$C$2)/365,G132,I132,$C$13))</f>
        <v/>
      </c>
      <c r="L132" s="38" t="str">
        <f>IF(B132="","",E132*F132*J132*NORMcall((B132-$C$2)/365,H132,I132,$C$14))</f>
        <v/>
      </c>
      <c r="N132" s="21"/>
      <c r="W132" s="21" t="str">
        <f t="shared" si="38"/>
        <v/>
      </c>
      <c r="X132" s="21" t="str">
        <f t="shared" si="39"/>
        <v/>
      </c>
      <c r="Y132" s="21" t="str">
        <f t="shared" si="40"/>
        <v/>
      </c>
      <c r="Z132" s="1" t="str">
        <f t="shared" si="41"/>
        <v/>
      </c>
      <c r="AA132" s="1" t="str">
        <f t="shared" si="42"/>
        <v/>
      </c>
      <c r="AB132" s="26" t="str">
        <f>IF(U132="","",#REF!)</f>
        <v/>
      </c>
      <c r="AC132" s="11" t="str">
        <f t="shared" si="43"/>
        <v/>
      </c>
      <c r="AD132" s="28" t="str">
        <f>IF(W132="","",_xll.EpBsStandardSwaptionPrice($C$2,$N$2,X132,Y132,Z132,AA132,AB132,AC132))</f>
        <v/>
      </c>
      <c r="AE132" s="28" t="str">
        <f>IF(W132="","",_xll.EpLgm1fStandardSwaptionPrice($C$2,$N$3,$N$2,X132,Y132,Z132,AA132,AB132))</f>
        <v/>
      </c>
    </row>
    <row r="133" spans="2:31" x14ac:dyDescent="0.3">
      <c r="B133" s="97" t="str">
        <f t="shared" si="44"/>
        <v/>
      </c>
      <c r="C133" s="97" t="str">
        <f t="shared" si="51"/>
        <v/>
      </c>
      <c r="D133" s="97" t="str">
        <f t="shared" si="45"/>
        <v/>
      </c>
      <c r="E133" s="8" t="str">
        <f t="shared" si="46"/>
        <v/>
      </c>
      <c r="F133" s="31" t="str">
        <f t="shared" si="47"/>
        <v/>
      </c>
      <c r="G133" s="11" t="str">
        <f t="shared" si="48"/>
        <v/>
      </c>
      <c r="H133" s="11" t="str">
        <f t="shared" si="37"/>
        <v/>
      </c>
      <c r="I133" s="28" t="str">
        <f t="shared" si="49"/>
        <v/>
      </c>
      <c r="J133" s="8" t="str">
        <f t="shared" si="50"/>
        <v/>
      </c>
      <c r="K133" s="38" t="str">
        <f>IF(B133="","",E133*F133*J133*Normput((B133-$C$2)/365,G133,I133,$C$13))</f>
        <v/>
      </c>
      <c r="L133" s="38" t="str">
        <f>IF(B133="","",E133*F133*J133*NORMcall((B133-$C$2)/365,H133,I133,$C$14))</f>
        <v/>
      </c>
      <c r="N133" s="21"/>
      <c r="W133" s="21" t="str">
        <f t="shared" si="38"/>
        <v/>
      </c>
      <c r="X133" s="21" t="str">
        <f t="shared" si="39"/>
        <v/>
      </c>
      <c r="Y133" s="21" t="str">
        <f t="shared" si="40"/>
        <v/>
      </c>
      <c r="Z133" s="1" t="str">
        <f t="shared" si="41"/>
        <v/>
      </c>
      <c r="AA133" s="1" t="str">
        <f t="shared" si="42"/>
        <v/>
      </c>
      <c r="AB133" s="26" t="str">
        <f>IF(U133="","",#REF!)</f>
        <v/>
      </c>
      <c r="AC133" s="11" t="str">
        <f t="shared" si="43"/>
        <v/>
      </c>
      <c r="AD133" s="28" t="str">
        <f>IF(W133="","",_xll.EpBsStandardSwaptionPrice($C$2,$N$2,X133,Y133,Z133,AA133,AB133,AC133))</f>
        <v/>
      </c>
      <c r="AE133" s="28" t="str">
        <f>IF(W133="","",_xll.EpLgm1fStandardSwaptionPrice($C$2,$N$3,$N$2,X133,Y133,Z133,AA133,AB133))</f>
        <v/>
      </c>
    </row>
    <row r="134" spans="2:31" x14ac:dyDescent="0.3">
      <c r="B134" s="97" t="str">
        <f t="shared" si="44"/>
        <v/>
      </c>
      <c r="C134" s="97" t="str">
        <f t="shared" si="51"/>
        <v/>
      </c>
      <c r="D134" s="97" t="str">
        <f t="shared" si="45"/>
        <v/>
      </c>
      <c r="E134" s="8" t="str">
        <f t="shared" si="46"/>
        <v/>
      </c>
      <c r="F134" s="31" t="str">
        <f t="shared" si="47"/>
        <v/>
      </c>
      <c r="G134" s="11" t="str">
        <f t="shared" si="48"/>
        <v/>
      </c>
      <c r="H134" s="11" t="str">
        <f t="shared" si="37"/>
        <v/>
      </c>
      <c r="I134" s="28" t="str">
        <f t="shared" si="49"/>
        <v/>
      </c>
      <c r="J134" s="8" t="str">
        <f t="shared" si="50"/>
        <v/>
      </c>
      <c r="K134" s="38" t="str">
        <f>IF(B134="","",E134*F134*J134*Normput((B134-$C$2)/365,G134,I134,$C$13))</f>
        <v/>
      </c>
      <c r="L134" s="38" t="str">
        <f>IF(B134="","",E134*F134*J134*NORMcall((B134-$C$2)/365,H134,I134,$C$14))</f>
        <v/>
      </c>
      <c r="N134" s="21"/>
      <c r="W134" s="21" t="str">
        <f t="shared" si="38"/>
        <v/>
      </c>
      <c r="X134" s="21" t="str">
        <f t="shared" si="39"/>
        <v/>
      </c>
      <c r="Y134" s="21" t="str">
        <f t="shared" si="40"/>
        <v/>
      </c>
      <c r="Z134" s="1" t="str">
        <f t="shared" si="41"/>
        <v/>
      </c>
      <c r="AA134" s="1" t="str">
        <f t="shared" si="42"/>
        <v/>
      </c>
      <c r="AB134" s="26" t="str">
        <f>IF(U134="","",#REF!)</f>
        <v/>
      </c>
      <c r="AC134" s="11" t="str">
        <f t="shared" si="43"/>
        <v/>
      </c>
      <c r="AD134" s="28" t="str">
        <f>IF(W134="","",_xll.EpBsStandardSwaptionPrice($C$2,$N$2,X134,Y134,Z134,AA134,AB134,AC134))</f>
        <v/>
      </c>
      <c r="AE134" s="28" t="str">
        <f>IF(W134="","",_xll.EpLgm1fStandardSwaptionPrice($C$2,$N$3,$N$2,X134,Y134,Z134,AA134,AB134))</f>
        <v/>
      </c>
    </row>
    <row r="135" spans="2:31" x14ac:dyDescent="0.3">
      <c r="B135" s="97" t="str">
        <f t="shared" si="44"/>
        <v/>
      </c>
      <c r="C135" s="97" t="str">
        <f t="shared" si="51"/>
        <v/>
      </c>
      <c r="D135" s="97" t="str">
        <f t="shared" si="45"/>
        <v/>
      </c>
      <c r="E135" s="8" t="str">
        <f t="shared" si="46"/>
        <v/>
      </c>
      <c r="F135" s="31" t="str">
        <f t="shared" si="47"/>
        <v/>
      </c>
      <c r="G135" s="11" t="str">
        <f t="shared" si="48"/>
        <v/>
      </c>
      <c r="H135" s="11" t="str">
        <f t="shared" si="37"/>
        <v/>
      </c>
      <c r="I135" s="28" t="str">
        <f t="shared" si="49"/>
        <v/>
      </c>
      <c r="J135" s="8" t="str">
        <f t="shared" si="50"/>
        <v/>
      </c>
      <c r="K135" s="38" t="str">
        <f>IF(B135="","",E135*F135*J135*Normput((B135-$C$2)/365,G135,I135,$C$13))</f>
        <v/>
      </c>
      <c r="L135" s="38" t="str">
        <f>IF(B135="","",E135*F135*J135*NORMcall((B135-$C$2)/365,H135,I135,$C$14))</f>
        <v/>
      </c>
      <c r="N135" s="21"/>
      <c r="W135" s="21" t="str">
        <f t="shared" si="38"/>
        <v/>
      </c>
      <c r="X135" s="21" t="str">
        <f t="shared" si="39"/>
        <v/>
      </c>
      <c r="Y135" s="21" t="str">
        <f t="shared" si="40"/>
        <v/>
      </c>
      <c r="Z135" s="1" t="str">
        <f t="shared" si="41"/>
        <v/>
      </c>
      <c r="AA135" s="1" t="str">
        <f t="shared" si="42"/>
        <v/>
      </c>
      <c r="AB135" s="26" t="str">
        <f>IF(U135="","",#REF!)</f>
        <v/>
      </c>
      <c r="AC135" s="11" t="str">
        <f t="shared" si="43"/>
        <v/>
      </c>
      <c r="AD135" s="28" t="str">
        <f>IF(W135="","",_xll.EpBsStandardSwaptionPrice($C$2,$N$2,X135,Y135,Z135,AA135,AB135,AC135))</f>
        <v/>
      </c>
      <c r="AE135" s="28" t="str">
        <f>IF(W135="","",_xll.EpLgm1fStandardSwaptionPrice($C$2,$N$3,$N$2,X135,Y135,Z135,AA135,AB135))</f>
        <v/>
      </c>
    </row>
    <row r="136" spans="2:31" x14ac:dyDescent="0.3">
      <c r="B136" s="97" t="str">
        <f t="shared" si="44"/>
        <v/>
      </c>
      <c r="C136" s="97" t="str">
        <f t="shared" si="51"/>
        <v/>
      </c>
      <c r="D136" s="97" t="str">
        <f t="shared" si="45"/>
        <v/>
      </c>
      <c r="E136" s="8" t="str">
        <f t="shared" si="46"/>
        <v/>
      </c>
      <c r="F136" s="31" t="str">
        <f t="shared" si="47"/>
        <v/>
      </c>
      <c r="G136" s="11" t="str">
        <f t="shared" si="48"/>
        <v/>
      </c>
      <c r="H136" s="11" t="str">
        <f t="shared" si="37"/>
        <v/>
      </c>
      <c r="I136" s="28" t="str">
        <f t="shared" si="49"/>
        <v/>
      </c>
      <c r="J136" s="8" t="str">
        <f t="shared" si="50"/>
        <v/>
      </c>
      <c r="K136" s="38" t="str">
        <f>IF(B136="","",E136*F136*J136*Normput((B136-$C$2)/365,G136,I136,$C$13))</f>
        <v/>
      </c>
      <c r="L136" s="38" t="str">
        <f>IF(B136="","",E136*F136*J136*NORMcall((B136-$C$2)/365,H136,I136,$C$14))</f>
        <v/>
      </c>
      <c r="N136" s="21"/>
      <c r="W136" s="21" t="str">
        <f t="shared" si="38"/>
        <v/>
      </c>
      <c r="X136" s="21" t="str">
        <f t="shared" si="39"/>
        <v/>
      </c>
      <c r="Y136" s="21" t="str">
        <f t="shared" si="40"/>
        <v/>
      </c>
      <c r="Z136" s="1" t="str">
        <f t="shared" si="41"/>
        <v/>
      </c>
      <c r="AA136" s="1" t="str">
        <f t="shared" si="42"/>
        <v/>
      </c>
      <c r="AB136" s="26" t="str">
        <f>IF(U136="","",#REF!)</f>
        <v/>
      </c>
      <c r="AC136" s="11" t="str">
        <f t="shared" si="43"/>
        <v/>
      </c>
      <c r="AD136" s="28" t="str">
        <f>IF(W136="","",_xll.EpBsStandardSwaptionPrice($C$2,$N$2,X136,Y136,Z136,AA136,AB136,AC136))</f>
        <v/>
      </c>
      <c r="AE136" s="28" t="str">
        <f>IF(W136="","",_xll.EpLgm1fStandardSwaptionPrice($C$2,$N$3,$N$2,X136,Y136,Z136,AA136,AB136))</f>
        <v/>
      </c>
    </row>
    <row r="137" spans="2:31" x14ac:dyDescent="0.3">
      <c r="B137" s="97" t="str">
        <f t="shared" si="44"/>
        <v/>
      </c>
      <c r="C137" s="97" t="str">
        <f t="shared" si="51"/>
        <v/>
      </c>
      <c r="D137" s="97" t="str">
        <f t="shared" si="45"/>
        <v/>
      </c>
      <c r="E137" s="8" t="str">
        <f t="shared" si="46"/>
        <v/>
      </c>
      <c r="F137" s="31" t="str">
        <f t="shared" si="47"/>
        <v/>
      </c>
      <c r="G137" s="11" t="str">
        <f t="shared" si="48"/>
        <v/>
      </c>
      <c r="H137" s="11" t="str">
        <f t="shared" si="37"/>
        <v/>
      </c>
      <c r="I137" s="28" t="str">
        <f t="shared" si="49"/>
        <v/>
      </c>
      <c r="J137" s="8" t="str">
        <f t="shared" si="50"/>
        <v/>
      </c>
      <c r="K137" s="38" t="str">
        <f>IF(B137="","",E137*F137*J137*Normput((B137-$C$2)/365,G137,I137,$C$13))</f>
        <v/>
      </c>
      <c r="L137" s="38" t="str">
        <f>IF(B137="","",E137*F137*J137*NORMcall((B137-$C$2)/365,H137,I137,$C$14))</f>
        <v/>
      </c>
      <c r="N137" s="21"/>
      <c r="W137" s="21" t="str">
        <f t="shared" si="38"/>
        <v/>
      </c>
      <c r="X137" s="21" t="str">
        <f t="shared" si="39"/>
        <v/>
      </c>
      <c r="Y137" s="21" t="str">
        <f t="shared" si="40"/>
        <v/>
      </c>
      <c r="Z137" s="1" t="str">
        <f t="shared" si="41"/>
        <v/>
      </c>
      <c r="AA137" s="1" t="str">
        <f t="shared" si="42"/>
        <v/>
      </c>
      <c r="AB137" s="26" t="str">
        <f>IF(U137="","",#REF!)</f>
        <v/>
      </c>
      <c r="AC137" s="11" t="str">
        <f t="shared" si="43"/>
        <v/>
      </c>
      <c r="AD137" s="28" t="str">
        <f>IF(W137="","",_xll.EpBsStandardSwaptionPrice($C$2,$N$2,X137,Y137,Z137,AA137,AB137,AC137))</f>
        <v/>
      </c>
      <c r="AE137" s="28" t="str">
        <f>IF(W137="","",_xll.EpLgm1fStandardSwaptionPrice($C$2,$N$3,$N$2,X137,Y137,Z137,AA137,AB137))</f>
        <v/>
      </c>
    </row>
    <row r="138" spans="2:31" x14ac:dyDescent="0.3">
      <c r="B138" s="97" t="str">
        <f t="shared" si="44"/>
        <v/>
      </c>
      <c r="C138" s="97" t="str">
        <f t="shared" si="51"/>
        <v/>
      </c>
      <c r="D138" s="97" t="str">
        <f t="shared" si="45"/>
        <v/>
      </c>
      <c r="E138" s="8" t="str">
        <f t="shared" si="46"/>
        <v/>
      </c>
      <c r="F138" s="31" t="str">
        <f t="shared" si="47"/>
        <v/>
      </c>
      <c r="G138" s="11" t="str">
        <f t="shared" si="48"/>
        <v/>
      </c>
      <c r="H138" s="11" t="str">
        <f t="shared" si="37"/>
        <v/>
      </c>
      <c r="I138" s="28" t="str">
        <f t="shared" si="49"/>
        <v/>
      </c>
      <c r="J138" s="8" t="str">
        <f t="shared" si="50"/>
        <v/>
      </c>
      <c r="K138" s="38" t="str">
        <f>IF(B138="","",E138*F138*J138*Normput((B138-$C$2)/365,G138,I138,$C$13))</f>
        <v/>
      </c>
      <c r="L138" s="38" t="str">
        <f>IF(B138="","",E138*F138*J138*NORMcall((B138-$C$2)/365,H138,I138,$C$14))</f>
        <v/>
      </c>
      <c r="N138" s="21"/>
      <c r="W138" s="21" t="str">
        <f>IF(U138="","",X138-2)</f>
        <v/>
      </c>
      <c r="X138" s="21" t="str">
        <f t="shared" si="39"/>
        <v/>
      </c>
      <c r="Y138" s="21" t="str">
        <f t="shared" si="40"/>
        <v/>
      </c>
      <c r="Z138" s="1" t="str">
        <f t="shared" si="41"/>
        <v/>
      </c>
      <c r="AA138" s="1" t="str">
        <f t="shared" si="42"/>
        <v/>
      </c>
      <c r="AB138" s="26" t="str">
        <f>IF(U138="","",#REF!)</f>
        <v/>
      </c>
      <c r="AC138" s="11" t="str">
        <f t="shared" si="43"/>
        <v/>
      </c>
      <c r="AD138" s="28" t="str">
        <f>IF(W138="","",_xll.EpBsStandardSwaptionPrice($C$2,$N$2,X138,Y138,Z138,AA138,AB138,AC138))</f>
        <v/>
      </c>
      <c r="AE138" s="28" t="str">
        <f>IF(W138="","",_xll.EpLgm1fStandardSwaptionPrice($C$2,$N$3,$N$2,X138,Y138,Z138,AA138,AB138))</f>
        <v/>
      </c>
    </row>
    <row r="139" spans="2:31" x14ac:dyDescent="0.3">
      <c r="B139" s="97" t="str">
        <f t="shared" si="44"/>
        <v/>
      </c>
      <c r="C139" s="97" t="str">
        <f t="shared" si="51"/>
        <v/>
      </c>
      <c r="D139" s="97" t="str">
        <f t="shared" si="45"/>
        <v/>
      </c>
      <c r="E139" s="8" t="str">
        <f t="shared" si="46"/>
        <v/>
      </c>
      <c r="F139" s="31" t="str">
        <f t="shared" si="47"/>
        <v/>
      </c>
      <c r="G139" s="11" t="str">
        <f t="shared" si="48"/>
        <v/>
      </c>
      <c r="H139" s="11" t="str">
        <f t="shared" si="37"/>
        <v/>
      </c>
      <c r="I139" s="28" t="str">
        <f t="shared" si="49"/>
        <v/>
      </c>
      <c r="J139" s="8" t="str">
        <f t="shared" si="50"/>
        <v/>
      </c>
      <c r="K139" s="38" t="str">
        <f>IF(B139="","",E139*F139*J139*Normput((B139-$C$2)/365,G139,I139,$C$13))</f>
        <v/>
      </c>
      <c r="L139" s="38" t="str">
        <f>IF(B139="","",E139*F139*J139*NORMcall((B139-$C$2)/365,H139,I139,$C$14))</f>
        <v/>
      </c>
      <c r="N139" s="21"/>
      <c r="W139" s="21" t="str">
        <f>IF(U139="","",X139-2)</f>
        <v/>
      </c>
      <c r="X139" s="21" t="str">
        <f t="shared" si="39"/>
        <v/>
      </c>
      <c r="Y139" s="21" t="str">
        <f t="shared" si="40"/>
        <v/>
      </c>
      <c r="Z139" s="1" t="str">
        <f t="shared" si="41"/>
        <v/>
      </c>
      <c r="AA139" s="1" t="str">
        <f t="shared" si="42"/>
        <v/>
      </c>
      <c r="AB139" s="26" t="str">
        <f>IF(U139="","",#REF!)</f>
        <v/>
      </c>
      <c r="AC139" s="11" t="str">
        <f t="shared" si="43"/>
        <v/>
      </c>
      <c r="AD139" s="28" t="str">
        <f>IF(W139="","",_xll.EpBsStandardSwaptionPrice($C$2,$N$2,X139,Y139,Z139,AA139,AB139,AC139))</f>
        <v/>
      </c>
      <c r="AE139" s="28" t="str">
        <f>IF(W139="","",_xll.EpLgm1fStandardSwaptionPrice($C$2,$N$3,$N$2,X139,Y139,Z139,AA139,AB139))</f>
        <v/>
      </c>
    </row>
    <row r="140" spans="2:31" x14ac:dyDescent="0.3">
      <c r="B140" s="97" t="str">
        <f t="shared" si="44"/>
        <v/>
      </c>
      <c r="C140" s="97" t="str">
        <f t="shared" si="51"/>
        <v/>
      </c>
      <c r="D140" s="97" t="str">
        <f t="shared" si="45"/>
        <v/>
      </c>
      <c r="E140" s="8" t="str">
        <f t="shared" si="46"/>
        <v/>
      </c>
      <c r="F140" s="31" t="str">
        <f t="shared" si="47"/>
        <v/>
      </c>
      <c r="G140" s="11" t="str">
        <f t="shared" si="48"/>
        <v/>
      </c>
      <c r="H140" s="11" t="str">
        <f t="shared" si="37"/>
        <v/>
      </c>
      <c r="I140" s="28" t="str">
        <f t="shared" si="49"/>
        <v/>
      </c>
      <c r="J140" s="8" t="str">
        <f t="shared" si="50"/>
        <v/>
      </c>
      <c r="K140" s="38" t="str">
        <f>IF(B140="","",E140*F140*J140*Normput((B140-$C$2)/365,G140,I140,$C$13))</f>
        <v/>
      </c>
      <c r="L140" s="38" t="str">
        <f>IF(B140="","",E140*F140*J140*NORMcall((B140-$C$2)/365,H140,I140,$C$14))</f>
        <v/>
      </c>
      <c r="N140" s="21"/>
      <c r="W140" s="21" t="str">
        <f>IF(U140="","",X140-2)</f>
        <v/>
      </c>
      <c r="X140" s="21" t="str">
        <f t="shared" si="39"/>
        <v/>
      </c>
      <c r="Y140" s="21" t="str">
        <f t="shared" si="40"/>
        <v/>
      </c>
      <c r="Z140" s="1" t="str">
        <f t="shared" si="41"/>
        <v/>
      </c>
      <c r="AA140" s="1" t="str">
        <f t="shared" si="42"/>
        <v/>
      </c>
      <c r="AB140" s="26" t="str">
        <f>IF(U140="","",#REF!)</f>
        <v/>
      </c>
      <c r="AC140" s="11" t="str">
        <f t="shared" si="43"/>
        <v/>
      </c>
      <c r="AD140" s="28" t="str">
        <f>IF(W140="","",_xll.EpBsStandardSwaptionPrice($C$2,$N$2,X140,Y140,Z140,AA140,AB140,AC140))</f>
        <v/>
      </c>
      <c r="AE140" s="28" t="str">
        <f>IF(W140="","",_xll.EpLgm1fStandardSwaptionPrice($C$2,$N$3,$N$2,X140,Y140,Z140,AA140,AB140))</f>
        <v/>
      </c>
    </row>
    <row r="141" spans="2:31" x14ac:dyDescent="0.3">
      <c r="B141" s="97" t="str">
        <f t="shared" si="44"/>
        <v/>
      </c>
      <c r="C141" s="97" t="str">
        <f t="shared" si="51"/>
        <v/>
      </c>
      <c r="D141" s="97" t="str">
        <f t="shared" si="45"/>
        <v/>
      </c>
      <c r="E141" s="8" t="str">
        <f t="shared" si="46"/>
        <v/>
      </c>
      <c r="F141" s="31" t="str">
        <f t="shared" si="47"/>
        <v/>
      </c>
      <c r="G141" s="11" t="str">
        <f t="shared" si="48"/>
        <v/>
      </c>
      <c r="H141" s="11" t="str">
        <f t="shared" si="37"/>
        <v/>
      </c>
      <c r="I141" s="28" t="str">
        <f t="shared" si="49"/>
        <v/>
      </c>
      <c r="J141" s="8" t="str">
        <f t="shared" si="50"/>
        <v/>
      </c>
      <c r="K141" s="38" t="str">
        <f>IF(B141="","",E141*F141*J141*Normput((B141-$C$2)/365,G141,I141,$C$13))</f>
        <v/>
      </c>
      <c r="L141" s="38" t="str">
        <f>IF(B141="","",E141*F141*J141*NORMcall((B141-$C$2)/365,H141,I141,$C$14))</f>
        <v/>
      </c>
      <c r="N141" s="21"/>
      <c r="W141" s="21" t="str">
        <f>IF(U141="","",X141-2)</f>
        <v/>
      </c>
      <c r="X141" s="21" t="str">
        <f t="shared" si="39"/>
        <v/>
      </c>
      <c r="Y141" s="21" t="str">
        <f t="shared" si="40"/>
        <v/>
      </c>
      <c r="Z141" s="1" t="str">
        <f t="shared" si="41"/>
        <v/>
      </c>
      <c r="AA141" s="1" t="str">
        <f t="shared" si="42"/>
        <v/>
      </c>
      <c r="AB141" s="26" t="str">
        <f>IF(U141="","",#REF!)</f>
        <v/>
      </c>
      <c r="AC141" s="11" t="str">
        <f t="shared" si="43"/>
        <v/>
      </c>
      <c r="AD141" s="28" t="str">
        <f>IF(W141="","",_xll.EpBsStandardSwaptionPrice($C$2,$N$2,X141,Y141,Z141,AA141,AB141,AC141))</f>
        <v/>
      </c>
      <c r="AE141" s="28" t="str">
        <f>IF(W141="","",_xll.EpLgm1fStandardSwaptionPrice($C$2,$N$3,$N$2,X141,Y141,Z141,AA141,AB141))</f>
        <v/>
      </c>
    </row>
    <row r="142" spans="2:31" x14ac:dyDescent="0.3">
      <c r="H142" t="str">
        <f t="shared" si="37"/>
        <v/>
      </c>
      <c r="R142" s="10"/>
      <c r="T142" s="1"/>
      <c r="U142" s="1"/>
      <c r="V142" s="1"/>
      <c r="W142" s="1"/>
      <c r="X142" s="1"/>
      <c r="Y142" s="1"/>
      <c r="Z142" s="1"/>
      <c r="AA142" s="28" t="str">
        <f>IF(T142="","",_xll.EpBsStandardSwaptionPrice($C$2,$N$2,U142,V142,W142,X142,Y142,Z142))</f>
        <v/>
      </c>
      <c r="AB142" s="28" t="str">
        <f>IF(T142="","",_xll.EpLgm1fStandardSwaptionPrice($C$2,$N$3,$N$2,U142,V142,W142,X142,Y142))</f>
        <v/>
      </c>
    </row>
    <row r="143" spans="2:31" x14ac:dyDescent="0.3">
      <c r="H143" t="str">
        <f t="shared" si="37"/>
        <v/>
      </c>
      <c r="AA143" t="str">
        <f>IF(T143="","",_xll.EpBsStandardSwaptionPrice($C$2,$N$2,U143,V143,W143,X143,Y143,Z143))</f>
        <v/>
      </c>
      <c r="AB143" t="str">
        <f>IF(T143="","",_xll.EpLgm1fStandardSwaptionPrice($C$2,$N$3,$N$2,U143,V143,W143,X143,Y143))</f>
        <v/>
      </c>
    </row>
    <row r="144" spans="2:31" x14ac:dyDescent="0.3">
      <c r="H144" t="str">
        <f t="shared" si="37"/>
        <v/>
      </c>
      <c r="AA144" t="str">
        <f>IF(T144="","",_xll.EpBsStandardSwaptionPrice($C$2,$N$2,U144,V144,W144,X144,Y144,Z144))</f>
        <v/>
      </c>
      <c r="AB144" t="str">
        <f>IF(T144="","",_xll.EpLgm1fStandardSwaptionPrice($C$2,$N$3,$N$2,U144,V144,W144,X144,Y144))</f>
        <v/>
      </c>
    </row>
    <row r="145" spans="8:28" x14ac:dyDescent="0.3">
      <c r="H145" t="str">
        <f t="shared" si="37"/>
        <v/>
      </c>
      <c r="AA145" t="str">
        <f>IF(T145="","",_xll.EpBsStandardSwaptionPrice($C$2,$N$2,U145,V145,W145,X145,Y145,Z145))</f>
        <v/>
      </c>
      <c r="AB145" t="str">
        <f>IF(T145="","",_xll.EpLgm1fStandardSwaptionPrice($C$2,$N$3,$N$2,U145,V145,W145,X145,Y145))</f>
        <v/>
      </c>
    </row>
    <row r="146" spans="8:28" x14ac:dyDescent="0.3">
      <c r="H146" t="str">
        <f t="shared" si="37"/>
        <v/>
      </c>
      <c r="AA146" t="str">
        <f>IF(T146="","",_xll.EpBsStandardSwaptionPrice($C$2,$N$2,U146,V146,W146,X146,Y146,Z146))</f>
        <v/>
      </c>
      <c r="AB146" t="str">
        <f>IF(T146="","",_xll.EpLgm1fStandardSwaptionPrice($C$2,$N$3,$N$2,U146,V146,W146,X146,Y146))</f>
        <v/>
      </c>
    </row>
    <row r="147" spans="8:28" x14ac:dyDescent="0.3">
      <c r="H147" t="str">
        <f t="shared" si="37"/>
        <v/>
      </c>
      <c r="AA147" t="str">
        <f>IF(T147="","",_xll.EpBsStandardSwaptionPrice($C$2,$N$2,U147,V147,W147,X147,Y147,Z147))</f>
        <v/>
      </c>
      <c r="AB147" t="str">
        <f>IF(T147="","",_xll.EpLgm1fStandardSwaptionPrice($C$2,$N$3,$N$2,U147,V147,W147,X147,Y147))</f>
        <v/>
      </c>
    </row>
    <row r="148" spans="8:28" x14ac:dyDescent="0.3">
      <c r="H148" t="str">
        <f t="shared" si="37"/>
        <v/>
      </c>
      <c r="AA148" t="str">
        <f>IF(T148="","",_xll.EpBsStandardSwaptionPrice($C$2,$N$2,U148,V148,W148,X148,Y148,Z148))</f>
        <v/>
      </c>
      <c r="AB148" t="str">
        <f>IF(T148="","",_xll.EpLgm1fStandardSwaptionPrice($C$2,$N$3,$N$2,U148,V148,W148,X148,Y148))</f>
        <v/>
      </c>
    </row>
    <row r="149" spans="8:28" x14ac:dyDescent="0.3">
      <c r="H149" t="str">
        <f t="shared" si="37"/>
        <v/>
      </c>
      <c r="AA149" t="str">
        <f>IF(T149="","",_xll.EpBsStandardSwaptionPrice($C$2,$N$2,U149,V149,W149,X149,Y149,Z149))</f>
        <v/>
      </c>
      <c r="AB149" t="str">
        <f>IF(T149="","",_xll.EpLgm1fStandardSwaptionPrice($C$2,$N$3,$N$2,U149,V149,W149,X149,Y149))</f>
        <v/>
      </c>
    </row>
    <row r="150" spans="8:28" x14ac:dyDescent="0.3">
      <c r="H150" t="str">
        <f t="shared" si="37"/>
        <v/>
      </c>
      <c r="AA150" t="str">
        <f>IF(T150="","",_xll.EpBsStandardSwaptionPrice($C$2,$N$2,U150,V150,W150,X150,Y150,Z150))</f>
        <v/>
      </c>
      <c r="AB150" t="str">
        <f>IF(T150="","",_xll.EpLgm1fStandardSwaptionPrice($C$2,$N$3,$N$2,U150,V150,W150,X150,Y150))</f>
        <v/>
      </c>
    </row>
    <row r="151" spans="8:28" x14ac:dyDescent="0.3">
      <c r="H151" t="str">
        <f t="shared" ref="H151:H214" si="52">IF(B151="","",$C$12)</f>
        <v/>
      </c>
      <c r="AA151" t="str">
        <f>IF(T151="","",_xll.EpBsStandardSwaptionPrice($C$2,$N$2,U151,V151,W151,X151,Y151,Z151))</f>
        <v/>
      </c>
      <c r="AB151" t="str">
        <f>IF(T151="","",_xll.EpLgm1fStandardSwaptionPrice($C$2,$N$3,$N$2,U151,V151,W151,X151,Y151))</f>
        <v/>
      </c>
    </row>
    <row r="152" spans="8:28" x14ac:dyDescent="0.3">
      <c r="H152" t="str">
        <f t="shared" si="52"/>
        <v/>
      </c>
      <c r="AA152" t="str">
        <f>IF(T152="","",_xll.EpBsStandardSwaptionPrice($C$2,$N$2,U152,V152,W152,X152,Y152,Z152))</f>
        <v/>
      </c>
      <c r="AB152" t="str">
        <f>IF(T152="","",_xll.EpLgm1fStandardSwaptionPrice($C$2,$N$3,$N$2,U152,V152,W152,X152,Y152))</f>
        <v/>
      </c>
    </row>
    <row r="153" spans="8:28" x14ac:dyDescent="0.3">
      <c r="H153" t="str">
        <f t="shared" si="52"/>
        <v/>
      </c>
      <c r="AA153" t="str">
        <f>IF(T153="","",_xll.EpBsStandardSwaptionPrice($C$2,$N$2,U153,V153,W153,X153,Y153,Z153))</f>
        <v/>
      </c>
      <c r="AB153" t="str">
        <f>IF(T153="","",_xll.EpLgm1fStandardSwaptionPrice($C$2,$N$3,$N$2,U153,V153,W153,X153,Y153))</f>
        <v/>
      </c>
    </row>
    <row r="154" spans="8:28" x14ac:dyDescent="0.3">
      <c r="H154" t="str">
        <f t="shared" si="52"/>
        <v/>
      </c>
      <c r="AA154" t="str">
        <f>IF(T154="","",_xll.EpBsStandardSwaptionPrice($C$2,$N$2,U154,V154,W154,X154,Y154,Z154))</f>
        <v/>
      </c>
      <c r="AB154" t="str">
        <f>IF(T154="","",_xll.EpLgm1fStandardSwaptionPrice($C$2,$N$3,$N$2,U154,V154,W154,X154,Y154))</f>
        <v/>
      </c>
    </row>
    <row r="155" spans="8:28" x14ac:dyDescent="0.3">
      <c r="H155" t="str">
        <f t="shared" si="52"/>
        <v/>
      </c>
      <c r="AA155" t="str">
        <f>IF(T155="","",_xll.EpBsStandardSwaptionPrice($C$2,$N$2,U155,V155,W155,X155,Y155,Z155))</f>
        <v/>
      </c>
      <c r="AB155" t="str">
        <f>IF(T155="","",_xll.EpLgm1fStandardSwaptionPrice($C$2,$N$3,$N$2,U155,V155,W155,X155,Y155))</f>
        <v/>
      </c>
    </row>
    <row r="156" spans="8:28" x14ac:dyDescent="0.3">
      <c r="H156" t="str">
        <f t="shared" si="52"/>
        <v/>
      </c>
      <c r="AA156" t="str">
        <f>IF(T156="","",_xll.EpBsStandardSwaptionPrice($C$2,$N$2,U156,V156,W156,X156,Y156,Z156))</f>
        <v/>
      </c>
      <c r="AB156" t="str">
        <f>IF(T156="","",_xll.EpLgm1fStandardSwaptionPrice($C$2,$N$3,$N$2,U156,V156,W156,X156,Y156))</f>
        <v/>
      </c>
    </row>
    <row r="157" spans="8:28" x14ac:dyDescent="0.3">
      <c r="H157" t="str">
        <f t="shared" si="52"/>
        <v/>
      </c>
      <c r="AA157" t="str">
        <f>IF(T157="","",_xll.EpBsStandardSwaptionPrice($C$2,$N$2,U157,V157,W157,X157,Y157,Z157))</f>
        <v/>
      </c>
      <c r="AB157" t="str">
        <f>IF(T157="","",_xll.EpLgm1fStandardSwaptionPrice($C$2,$N$3,$N$2,U157,V157,W157,X157,Y157))</f>
        <v/>
      </c>
    </row>
    <row r="158" spans="8:28" x14ac:dyDescent="0.3">
      <c r="H158" t="str">
        <f t="shared" si="52"/>
        <v/>
      </c>
      <c r="AA158" t="str">
        <f>IF(T158="","",_xll.EpBsStandardSwaptionPrice($C$2,$N$2,U158,V158,W158,X158,Y158,Z158))</f>
        <v/>
      </c>
      <c r="AB158" t="str">
        <f>IF(T158="","",_xll.EpLgm1fStandardSwaptionPrice($C$2,$N$3,$N$2,U158,V158,W158,X158,Y158))</f>
        <v/>
      </c>
    </row>
    <row r="159" spans="8:28" x14ac:dyDescent="0.3">
      <c r="H159" t="str">
        <f t="shared" si="52"/>
        <v/>
      </c>
      <c r="AA159" t="str">
        <f>IF(T159="","",_xll.EpBsStandardSwaptionPrice($C$2,$N$2,U159,V159,W159,X159,Y159,Z159))</f>
        <v/>
      </c>
      <c r="AB159" t="str">
        <f>IF(T159="","",_xll.EpLgm1fStandardSwaptionPrice($C$2,$N$3,$N$2,U159,V159,W159,X159,Y159))</f>
        <v/>
      </c>
    </row>
    <row r="160" spans="8:28" x14ac:dyDescent="0.3">
      <c r="H160" t="str">
        <f t="shared" si="52"/>
        <v/>
      </c>
      <c r="AA160" t="str">
        <f>IF(T160="","",_xll.EpBsStandardSwaptionPrice($C$2,$N$2,U160,V160,W160,X160,Y160,Z160))</f>
        <v/>
      </c>
      <c r="AB160" t="str">
        <f>IF(T160="","",_xll.EpLgm1fStandardSwaptionPrice($C$2,$N$3,$N$2,U160,V160,W160,X160,Y160))</f>
        <v/>
      </c>
    </row>
    <row r="161" spans="8:28" x14ac:dyDescent="0.3">
      <c r="H161" t="str">
        <f t="shared" si="52"/>
        <v/>
      </c>
      <c r="AA161" t="str">
        <f>IF(T161="","",_xll.EpBsStandardSwaptionPrice($C$2,$N$2,U161,V161,W161,X161,Y161,Z161))</f>
        <v/>
      </c>
      <c r="AB161" t="str">
        <f>IF(T161="","",_xll.EpLgm1fStandardSwaptionPrice($C$2,$N$3,$N$2,U161,V161,W161,X161,Y161))</f>
        <v/>
      </c>
    </row>
    <row r="162" spans="8:28" x14ac:dyDescent="0.3">
      <c r="H162" t="str">
        <f t="shared" si="52"/>
        <v/>
      </c>
      <c r="AA162" t="str">
        <f>IF(T162="","",_xll.EpBsStandardSwaptionPrice($C$2,$N$2,U162,V162,W162,X162,Y162,Z162))</f>
        <v/>
      </c>
      <c r="AB162" t="str">
        <f>IF(T162="","",_xll.EpLgm1fStandardSwaptionPrice($C$2,$N$3,$N$2,U162,V162,W162,X162,Y162))</f>
        <v/>
      </c>
    </row>
    <row r="163" spans="8:28" x14ac:dyDescent="0.3">
      <c r="H163" t="str">
        <f t="shared" si="52"/>
        <v/>
      </c>
      <c r="AA163" t="str">
        <f>IF(T163="","",_xll.EpBsStandardSwaptionPrice($C$2,$N$2,U163,V163,W163,X163,Y163,Z163))</f>
        <v/>
      </c>
      <c r="AB163" t="str">
        <f>IF(T163="","",_xll.EpLgm1fStandardSwaptionPrice($C$2,$N$3,$N$2,U163,V163,W163,X163,Y163))</f>
        <v/>
      </c>
    </row>
    <row r="164" spans="8:28" x14ac:dyDescent="0.3">
      <c r="H164" t="str">
        <f t="shared" si="52"/>
        <v/>
      </c>
      <c r="AA164" t="str">
        <f>IF(T164="","",_xll.EpBsStandardSwaptionPrice($C$2,$N$2,U164,V164,W164,X164,Y164,Z164))</f>
        <v/>
      </c>
      <c r="AB164" t="str">
        <f>IF(T164="","",_xll.EpLgm1fStandardSwaptionPrice($C$2,$N$3,$N$2,U164,V164,W164,X164,Y164))</f>
        <v/>
      </c>
    </row>
    <row r="165" spans="8:28" x14ac:dyDescent="0.3">
      <c r="H165" t="str">
        <f t="shared" si="52"/>
        <v/>
      </c>
      <c r="AA165" t="str">
        <f>IF(T165="","",_xll.EpBsStandardSwaptionPrice($C$2,$N$2,U165,V165,W165,X165,Y165,Z165))</f>
        <v/>
      </c>
      <c r="AB165" t="str">
        <f>IF(T165="","",_xll.EpLgm1fStandardSwaptionPrice($C$2,$N$3,$N$2,U165,V165,W165,X165,Y165))</f>
        <v/>
      </c>
    </row>
    <row r="166" spans="8:28" x14ac:dyDescent="0.3">
      <c r="H166" t="str">
        <f t="shared" si="52"/>
        <v/>
      </c>
      <c r="AA166" t="str">
        <f>IF(T166="","",_xll.EpBsStandardSwaptionPrice($C$2,$N$2,U166,V166,W166,X166,Y166,Z166))</f>
        <v/>
      </c>
      <c r="AB166" t="str">
        <f>IF(T166="","",_xll.EpLgm1fStandardSwaptionPrice($C$2,$N$3,$N$2,U166,V166,W166,X166,Y166))</f>
        <v/>
      </c>
    </row>
    <row r="167" spans="8:28" x14ac:dyDescent="0.3">
      <c r="H167" t="str">
        <f t="shared" si="52"/>
        <v/>
      </c>
      <c r="AA167" t="str">
        <f>IF(T167="","",_xll.EpBsStandardSwaptionPrice($C$2,$N$2,U167,V167,W167,X167,Y167,Z167))</f>
        <v/>
      </c>
      <c r="AB167" t="str">
        <f>IF(T167="","",_xll.EpLgm1fStandardSwaptionPrice($C$2,$N$3,$N$2,U167,V167,W167,X167,Y167))</f>
        <v/>
      </c>
    </row>
    <row r="168" spans="8:28" x14ac:dyDescent="0.3">
      <c r="H168" t="str">
        <f t="shared" si="52"/>
        <v/>
      </c>
      <c r="AA168" t="str">
        <f>IF(T168="","",_xll.EpBsStandardSwaptionPrice($C$2,$N$2,U168,V168,W168,X168,Y168,Z168))</f>
        <v/>
      </c>
      <c r="AB168" t="str">
        <f>IF(T168="","",_xll.EpLgm1fStandardSwaptionPrice($C$2,$N$3,$N$2,U168,V168,W168,X168,Y168))</f>
        <v/>
      </c>
    </row>
    <row r="169" spans="8:28" x14ac:dyDescent="0.3">
      <c r="H169" t="str">
        <f t="shared" si="52"/>
        <v/>
      </c>
      <c r="AA169" t="str">
        <f>IF(T169="","",_xll.EpBsStandardSwaptionPrice($C$2,$N$2,U169,V169,W169,X169,Y169,Z169))</f>
        <v/>
      </c>
      <c r="AB169" t="str">
        <f>IF(T169="","",_xll.EpLgm1fStandardSwaptionPrice($C$2,$N$3,$N$2,U169,V169,W169,X169,Y169))</f>
        <v/>
      </c>
    </row>
    <row r="170" spans="8:28" x14ac:dyDescent="0.3">
      <c r="H170" t="str">
        <f t="shared" si="52"/>
        <v/>
      </c>
      <c r="AA170" t="str">
        <f>IF(T170="","",_xll.EpBsStandardSwaptionPrice($C$2,$N$2,U170,V170,W170,X170,Y170,Z170))</f>
        <v/>
      </c>
      <c r="AB170" t="str">
        <f>IF(T170="","",_xll.EpLgm1fStandardSwaptionPrice($C$2,$N$3,$N$2,U170,V170,W170,X170,Y170))</f>
        <v/>
      </c>
    </row>
    <row r="171" spans="8:28" x14ac:dyDescent="0.3">
      <c r="H171" t="str">
        <f t="shared" si="52"/>
        <v/>
      </c>
      <c r="AA171" t="str">
        <f>IF(T171="","",_xll.EpBsStandardSwaptionPrice($C$2,$N$2,U171,V171,W171,X171,Y171,Z171))</f>
        <v/>
      </c>
      <c r="AB171" t="str">
        <f>IF(T171="","",_xll.EpLgm1fStandardSwaptionPrice($C$2,$N$3,$N$2,U171,V171,W171,X171,Y171))</f>
        <v/>
      </c>
    </row>
    <row r="172" spans="8:28" x14ac:dyDescent="0.3">
      <c r="H172" t="str">
        <f t="shared" si="52"/>
        <v/>
      </c>
      <c r="AA172" t="str">
        <f>IF(T172="","",_xll.EpBsStandardSwaptionPrice($C$2,$N$2,U172,V172,W172,X172,Y172,Z172))</f>
        <v/>
      </c>
      <c r="AB172" t="str">
        <f>IF(T172="","",_xll.EpLgm1fStandardSwaptionPrice($C$2,$N$3,$N$2,U172,V172,W172,X172,Y172))</f>
        <v/>
      </c>
    </row>
    <row r="173" spans="8:28" x14ac:dyDescent="0.3">
      <c r="H173" t="str">
        <f t="shared" si="52"/>
        <v/>
      </c>
      <c r="AA173" t="str">
        <f>IF(T173="","",_xll.EpBsStandardSwaptionPrice($C$2,$N$2,U173,V173,W173,X173,Y173,Z173))</f>
        <v/>
      </c>
      <c r="AB173" t="str">
        <f>IF(T173="","",_xll.EpLgm1fStandardSwaptionPrice($C$2,$N$3,$N$2,U173,V173,W173,X173,Y173))</f>
        <v/>
      </c>
    </row>
    <row r="174" spans="8:28" x14ac:dyDescent="0.3">
      <c r="H174" t="str">
        <f t="shared" si="52"/>
        <v/>
      </c>
      <c r="AA174" t="str">
        <f>IF(T174="","",_xll.EpBsStandardSwaptionPrice($C$2,$N$2,U174,V174,W174,X174,Y174,Z174))</f>
        <v/>
      </c>
      <c r="AB174" t="str">
        <f>IF(T174="","",_xll.EpLgm1fStandardSwaptionPrice($C$2,$N$3,$N$2,U174,V174,W174,X174,Y174))</f>
        <v/>
      </c>
    </row>
    <row r="175" spans="8:28" x14ac:dyDescent="0.3">
      <c r="H175" t="str">
        <f t="shared" si="52"/>
        <v/>
      </c>
      <c r="AA175" t="str">
        <f>IF(T175="","",_xll.EpBsStandardSwaptionPrice($C$2,$N$2,U175,V175,W175,X175,Y175,Z175))</f>
        <v/>
      </c>
      <c r="AB175" t="str">
        <f>IF(T175="","",_xll.EpLgm1fStandardSwaptionPrice($C$2,$N$3,$N$2,U175,V175,W175,X175,Y175))</f>
        <v/>
      </c>
    </row>
    <row r="176" spans="8:28" x14ac:dyDescent="0.3">
      <c r="H176" t="str">
        <f t="shared" si="52"/>
        <v/>
      </c>
      <c r="AA176" t="str">
        <f>IF(T176="","",_xll.EpBsStandardSwaptionPrice($C$2,$N$2,U176,V176,W176,X176,Y176,Z176))</f>
        <v/>
      </c>
      <c r="AB176" t="str">
        <f>IF(T176="","",_xll.EpLgm1fStandardSwaptionPrice($C$2,$N$3,$N$2,U176,V176,W176,X176,Y176))</f>
        <v/>
      </c>
    </row>
    <row r="177" spans="8:28" x14ac:dyDescent="0.3">
      <c r="H177" t="str">
        <f t="shared" si="52"/>
        <v/>
      </c>
      <c r="AA177" t="str">
        <f>IF(T177="","",_xll.EpBsStandardSwaptionPrice($C$2,$N$2,U177,V177,W177,X177,Y177,Z177))</f>
        <v/>
      </c>
      <c r="AB177" t="str">
        <f>IF(T177="","",_xll.EpLgm1fStandardSwaptionPrice($C$2,$N$3,$N$2,U177,V177,W177,X177,Y177))</f>
        <v/>
      </c>
    </row>
    <row r="178" spans="8:28" x14ac:dyDescent="0.3">
      <c r="H178" t="str">
        <f t="shared" si="52"/>
        <v/>
      </c>
      <c r="AA178" t="str">
        <f>IF(T178="","",_xll.EpBsStandardSwaptionPrice($C$2,$N$2,U178,V178,W178,X178,Y178,Z178))</f>
        <v/>
      </c>
      <c r="AB178" t="str">
        <f>IF(T178="","",_xll.EpLgm1fStandardSwaptionPrice($C$2,$N$3,$N$2,U178,V178,W178,X178,Y178))</f>
        <v/>
      </c>
    </row>
    <row r="179" spans="8:28" x14ac:dyDescent="0.3">
      <c r="H179" t="str">
        <f t="shared" si="52"/>
        <v/>
      </c>
      <c r="AA179" t="str">
        <f>IF(T179="","",_xll.EpBsStandardSwaptionPrice($C$2,$N$2,U179,V179,W179,X179,Y179,Z179))</f>
        <v/>
      </c>
      <c r="AB179" t="str">
        <f>IF(T179="","",_xll.EpLgm1fStandardSwaptionPrice($C$2,$N$3,$N$2,U179,V179,W179,X179,Y179))</f>
        <v/>
      </c>
    </row>
    <row r="180" spans="8:28" x14ac:dyDescent="0.3">
      <c r="H180" t="str">
        <f t="shared" si="52"/>
        <v/>
      </c>
      <c r="AA180" t="str">
        <f>IF(T180="","",_xll.EpBsStandardSwaptionPrice($C$2,$N$2,U180,V180,W180,X180,Y180,Z180))</f>
        <v/>
      </c>
      <c r="AB180" t="str">
        <f>IF(T180="","",_xll.EpLgm1fStandardSwaptionPrice($C$2,$N$3,$N$2,U180,V180,W180,X180,Y180))</f>
        <v/>
      </c>
    </row>
    <row r="181" spans="8:28" x14ac:dyDescent="0.3">
      <c r="H181" t="str">
        <f t="shared" si="52"/>
        <v/>
      </c>
      <c r="AA181" t="str">
        <f>IF(T181="","",_xll.EpBsStandardSwaptionPrice($C$2,$N$2,U181,V181,W181,X181,Y181,Z181))</f>
        <v/>
      </c>
      <c r="AB181" t="str">
        <f>IF(T181="","",_xll.EpLgm1fStandardSwaptionPrice($C$2,$N$3,$N$2,U181,V181,W181,X181,Y181))</f>
        <v/>
      </c>
    </row>
    <row r="182" spans="8:28" x14ac:dyDescent="0.3">
      <c r="H182" t="str">
        <f t="shared" si="52"/>
        <v/>
      </c>
      <c r="AA182" t="str">
        <f>IF(T182="","",_xll.EpBsStandardSwaptionPrice($C$2,$N$2,U182,V182,W182,X182,Y182,Z182))</f>
        <v/>
      </c>
      <c r="AB182" t="str">
        <f>IF(T182="","",_xll.EpLgm1fStandardSwaptionPrice($C$2,$N$3,$N$2,U182,V182,W182,X182,Y182))</f>
        <v/>
      </c>
    </row>
    <row r="183" spans="8:28" x14ac:dyDescent="0.3">
      <c r="H183" t="str">
        <f t="shared" si="52"/>
        <v/>
      </c>
      <c r="AA183" t="str">
        <f>IF(T183="","",_xll.EpBsStandardSwaptionPrice($C$2,$N$2,U183,V183,W183,X183,Y183,Z183))</f>
        <v/>
      </c>
      <c r="AB183" t="str">
        <f>IF(T183="","",_xll.EpLgm1fStandardSwaptionPrice($C$2,$N$3,$N$2,U183,V183,W183,X183,Y183))</f>
        <v/>
      </c>
    </row>
    <row r="184" spans="8:28" x14ac:dyDescent="0.3">
      <c r="H184" t="str">
        <f t="shared" si="52"/>
        <v/>
      </c>
      <c r="AA184" t="str">
        <f>IF(T184="","",_xll.EpBsStandardSwaptionPrice($C$2,$N$2,U184,V184,W184,X184,Y184,Z184))</f>
        <v/>
      </c>
      <c r="AB184" t="str">
        <f>IF(T184="","",_xll.EpLgm1fStandardSwaptionPrice($C$2,$N$3,$N$2,U184,V184,W184,X184,Y184))</f>
        <v/>
      </c>
    </row>
    <row r="185" spans="8:28" x14ac:dyDescent="0.3">
      <c r="H185" t="str">
        <f t="shared" si="52"/>
        <v/>
      </c>
      <c r="AA185" t="str">
        <f>IF(T185="","",_xll.EpBsStandardSwaptionPrice($C$2,$N$2,U185,V185,W185,X185,Y185,Z185))</f>
        <v/>
      </c>
      <c r="AB185" t="str">
        <f>IF(T185="","",_xll.EpLgm1fStandardSwaptionPrice($C$2,$N$3,$N$2,U185,V185,W185,X185,Y185))</f>
        <v/>
      </c>
    </row>
    <row r="186" spans="8:28" x14ac:dyDescent="0.3">
      <c r="H186" t="str">
        <f t="shared" si="52"/>
        <v/>
      </c>
      <c r="AA186" t="str">
        <f>IF(T186="","",_xll.EpBsStandardSwaptionPrice($C$2,$N$2,U186,V186,W186,X186,Y186,Z186))</f>
        <v/>
      </c>
      <c r="AB186" t="str">
        <f>IF(T186="","",_xll.EpLgm1fStandardSwaptionPrice($C$2,$N$3,$N$2,U186,V186,W186,X186,Y186))</f>
        <v/>
      </c>
    </row>
    <row r="187" spans="8:28" x14ac:dyDescent="0.3">
      <c r="H187" t="str">
        <f t="shared" si="52"/>
        <v/>
      </c>
      <c r="AA187" t="str">
        <f>IF(T187="","",_xll.EpBsStandardSwaptionPrice($C$2,$N$2,U187,V187,W187,X187,Y187,Z187))</f>
        <v/>
      </c>
      <c r="AB187" t="str">
        <f>IF(T187="","",_xll.EpLgm1fStandardSwaptionPrice($C$2,$N$3,$N$2,U187,V187,W187,X187,Y187))</f>
        <v/>
      </c>
    </row>
    <row r="188" spans="8:28" x14ac:dyDescent="0.3">
      <c r="H188" t="str">
        <f t="shared" si="52"/>
        <v/>
      </c>
      <c r="AA188" t="str">
        <f>IF(T188="","",_xll.EpBsStandardSwaptionPrice($C$2,$N$2,U188,V188,W188,X188,Y188,Z188))</f>
        <v/>
      </c>
      <c r="AB188" t="str">
        <f>IF(T188="","",_xll.EpLgm1fStandardSwaptionPrice($C$2,$N$3,$N$2,U188,V188,W188,X188,Y188))</f>
        <v/>
      </c>
    </row>
    <row r="189" spans="8:28" x14ac:dyDescent="0.3">
      <c r="H189" t="str">
        <f t="shared" si="52"/>
        <v/>
      </c>
      <c r="AA189" t="str">
        <f>IF(T189="","",_xll.EpBsStandardSwaptionPrice($C$2,$N$2,U189,V189,W189,X189,Y189,Z189))</f>
        <v/>
      </c>
      <c r="AB189" t="str">
        <f>IF(T189="","",_xll.EpLgm1fStandardSwaptionPrice($C$2,$N$3,$N$2,U189,V189,W189,X189,Y189))</f>
        <v/>
      </c>
    </row>
    <row r="190" spans="8:28" x14ac:dyDescent="0.3">
      <c r="H190" t="str">
        <f t="shared" si="52"/>
        <v/>
      </c>
      <c r="AA190" t="str">
        <f>IF(T190="","",_xll.EpBsStandardSwaptionPrice($C$2,$N$2,U190,V190,W190,X190,Y190,Z190))</f>
        <v/>
      </c>
      <c r="AB190" t="str">
        <f>IF(T190="","",_xll.EpLgm1fStandardSwaptionPrice($C$2,$N$3,$N$2,U190,V190,W190,X190,Y190))</f>
        <v/>
      </c>
    </row>
    <row r="191" spans="8:28" x14ac:dyDescent="0.3">
      <c r="H191" t="str">
        <f t="shared" si="52"/>
        <v/>
      </c>
      <c r="AA191" t="str">
        <f>IF(T191="","",_xll.EpBsStandardSwaptionPrice($C$2,$N$2,U191,V191,W191,X191,Y191,Z191))</f>
        <v/>
      </c>
      <c r="AB191" t="str">
        <f>IF(T191="","",_xll.EpLgm1fStandardSwaptionPrice($C$2,$N$3,$N$2,U191,V191,W191,X191,Y191))</f>
        <v/>
      </c>
    </row>
    <row r="192" spans="8:28" x14ac:dyDescent="0.3">
      <c r="H192" t="str">
        <f t="shared" si="52"/>
        <v/>
      </c>
      <c r="AA192" t="str">
        <f>IF(T192="","",_xll.EpBsStandardSwaptionPrice($C$2,$N$2,U192,V192,W192,X192,Y192,Z192))</f>
        <v/>
      </c>
      <c r="AB192" t="str">
        <f>IF(T192="","",_xll.EpLgm1fStandardSwaptionPrice($C$2,$N$3,$N$2,U192,V192,W192,X192,Y192))</f>
        <v/>
      </c>
    </row>
    <row r="193" spans="8:28" x14ac:dyDescent="0.3">
      <c r="H193" t="str">
        <f t="shared" si="52"/>
        <v/>
      </c>
      <c r="AA193" t="str">
        <f>IF(T193="","",_xll.EpBsStandardSwaptionPrice($C$2,$N$2,U193,V193,W193,X193,Y193,Z193))</f>
        <v/>
      </c>
      <c r="AB193" t="str">
        <f>IF(T193="","",_xll.EpLgm1fStandardSwaptionPrice($C$2,$N$3,$N$2,U193,V193,W193,X193,Y193))</f>
        <v/>
      </c>
    </row>
    <row r="194" spans="8:28" x14ac:dyDescent="0.3">
      <c r="H194" t="str">
        <f t="shared" si="52"/>
        <v/>
      </c>
      <c r="AA194" t="str">
        <f>IF(T194="","",_xll.EpBsStandardSwaptionPrice($C$2,$N$2,U194,V194,W194,X194,Y194,Z194))</f>
        <v/>
      </c>
      <c r="AB194" t="str">
        <f>IF(T194="","",_xll.EpLgm1fStandardSwaptionPrice($C$2,$N$3,$N$2,U194,V194,W194,X194,Y194))</f>
        <v/>
      </c>
    </row>
    <row r="195" spans="8:28" x14ac:dyDescent="0.3">
      <c r="H195" t="str">
        <f t="shared" si="52"/>
        <v/>
      </c>
      <c r="AA195" t="str">
        <f>IF(T195="","",_xll.EpBsStandardSwaptionPrice($C$2,$N$2,U195,V195,W195,X195,Y195,Z195))</f>
        <v/>
      </c>
      <c r="AB195" t="str">
        <f>IF(T195="","",_xll.EpLgm1fStandardSwaptionPrice($C$2,$N$3,$N$2,U195,V195,W195,X195,Y195))</f>
        <v/>
      </c>
    </row>
    <row r="196" spans="8:28" x14ac:dyDescent="0.3">
      <c r="H196" t="str">
        <f t="shared" si="52"/>
        <v/>
      </c>
      <c r="AA196" t="str">
        <f>IF(T196="","",_xll.EpBsStandardSwaptionPrice($C$2,$N$2,U196,V196,W196,X196,Y196,Z196))</f>
        <v/>
      </c>
      <c r="AB196" t="str">
        <f>IF(T196="","",_xll.EpLgm1fStandardSwaptionPrice($C$2,$N$3,$N$2,U196,V196,W196,X196,Y196))</f>
        <v/>
      </c>
    </row>
    <row r="197" spans="8:28" x14ac:dyDescent="0.3">
      <c r="H197" t="str">
        <f t="shared" si="52"/>
        <v/>
      </c>
      <c r="AA197" t="str">
        <f>IF(T197="","",_xll.EpBsStandardSwaptionPrice($C$2,$N$2,U197,V197,W197,X197,Y197,Z197))</f>
        <v/>
      </c>
      <c r="AB197" t="str">
        <f>IF(T197="","",_xll.EpLgm1fStandardSwaptionPrice($C$2,$N$3,$N$2,U197,V197,W197,X197,Y197))</f>
        <v/>
      </c>
    </row>
    <row r="198" spans="8:28" x14ac:dyDescent="0.3">
      <c r="H198" t="str">
        <f t="shared" si="52"/>
        <v/>
      </c>
      <c r="AA198" t="str">
        <f>IF(T198="","",_xll.EpBsStandardSwaptionPrice($C$2,$N$2,U198,V198,W198,X198,Y198,Z198))</f>
        <v/>
      </c>
      <c r="AB198" t="str">
        <f>IF(T198="","",_xll.EpLgm1fStandardSwaptionPrice($C$2,$N$3,$N$2,U198,V198,W198,X198,Y198))</f>
        <v/>
      </c>
    </row>
    <row r="199" spans="8:28" x14ac:dyDescent="0.3">
      <c r="H199" t="str">
        <f t="shared" si="52"/>
        <v/>
      </c>
      <c r="AA199" t="str">
        <f>IF(T199="","",_xll.EpBsStandardSwaptionPrice($C$2,$N$2,U199,V199,W199,X199,Y199,Z199))</f>
        <v/>
      </c>
      <c r="AB199" t="str">
        <f>IF(T199="","",_xll.EpLgm1fStandardSwaptionPrice($C$2,$N$3,$N$2,U199,V199,W199,X199,Y199))</f>
        <v/>
      </c>
    </row>
    <row r="200" spans="8:28" x14ac:dyDescent="0.3">
      <c r="H200" t="str">
        <f t="shared" si="52"/>
        <v/>
      </c>
      <c r="AA200" t="str">
        <f>IF(T200="","",_xll.EpBsStandardSwaptionPrice($C$2,$N$2,U200,V200,W200,X200,Y200,Z200))</f>
        <v/>
      </c>
      <c r="AB200" t="str">
        <f>IF(T200="","",_xll.EpLgm1fStandardSwaptionPrice($C$2,$N$3,$N$2,U200,V200,W200,X200,Y200))</f>
        <v/>
      </c>
    </row>
    <row r="201" spans="8:28" x14ac:dyDescent="0.3">
      <c r="H201" t="str">
        <f t="shared" si="52"/>
        <v/>
      </c>
      <c r="AA201" t="str">
        <f>IF(T201="","",_xll.EpBsStandardSwaptionPrice($C$2,$N$2,U201,V201,W201,X201,Y201,Z201))</f>
        <v/>
      </c>
      <c r="AB201" t="str">
        <f>IF(T201="","",_xll.EpLgm1fStandardSwaptionPrice($C$2,$N$3,$N$2,U201,V201,W201,X201,Y201))</f>
        <v/>
      </c>
    </row>
    <row r="202" spans="8:28" x14ac:dyDescent="0.3">
      <c r="H202" t="str">
        <f t="shared" si="52"/>
        <v/>
      </c>
      <c r="AA202" t="str">
        <f>IF(T202="","",_xll.EpBsStandardSwaptionPrice($C$2,$N$2,U202,V202,W202,X202,Y202,Z202))</f>
        <v/>
      </c>
      <c r="AB202" t="str">
        <f>IF(T202="","",_xll.EpLgm1fStandardSwaptionPrice($C$2,$N$3,$N$2,U202,V202,W202,X202,Y202))</f>
        <v/>
      </c>
    </row>
    <row r="203" spans="8:28" x14ac:dyDescent="0.3">
      <c r="H203" t="str">
        <f t="shared" si="52"/>
        <v/>
      </c>
      <c r="AA203" t="str">
        <f>IF(T203="","",_xll.EpBsStandardSwaptionPrice($C$2,$N$2,U203,V203,W203,X203,Y203,Z203))</f>
        <v/>
      </c>
      <c r="AB203" t="str">
        <f>IF(T203="","",_xll.EpLgm1fStandardSwaptionPrice($C$2,$N$3,$N$2,U203,V203,W203,X203,Y203))</f>
        <v/>
      </c>
    </row>
    <row r="204" spans="8:28" x14ac:dyDescent="0.3">
      <c r="H204" t="str">
        <f t="shared" si="52"/>
        <v/>
      </c>
      <c r="AA204" t="str">
        <f>IF(T204="","",_xll.EpBsStandardSwaptionPrice($C$2,$N$2,U204,V204,W204,X204,Y204,Z204))</f>
        <v/>
      </c>
      <c r="AB204" t="str">
        <f>IF(T204="","",_xll.EpLgm1fStandardSwaptionPrice($C$2,$N$3,$N$2,U204,V204,W204,X204,Y204))</f>
        <v/>
      </c>
    </row>
    <row r="205" spans="8:28" x14ac:dyDescent="0.3">
      <c r="H205" t="str">
        <f t="shared" si="52"/>
        <v/>
      </c>
      <c r="AA205" t="str">
        <f>IF(T205="","",_xll.EpBsStandardSwaptionPrice($C$2,$N$2,U205,V205,W205,X205,Y205,Z205))</f>
        <v/>
      </c>
      <c r="AB205" t="str">
        <f>IF(T205="","",_xll.EpLgm1fStandardSwaptionPrice($C$2,$N$3,$N$2,U205,V205,W205,X205,Y205))</f>
        <v/>
      </c>
    </row>
    <row r="206" spans="8:28" x14ac:dyDescent="0.3">
      <c r="H206" t="str">
        <f t="shared" si="52"/>
        <v/>
      </c>
      <c r="AA206" t="str">
        <f>IF(T206="","",_xll.EpBsStandardSwaptionPrice($C$2,$N$2,U206,V206,W206,X206,Y206,Z206))</f>
        <v/>
      </c>
      <c r="AB206" t="str">
        <f>IF(T206="","",_xll.EpLgm1fStandardSwaptionPrice($C$2,$N$3,$N$2,U206,V206,W206,X206,Y206))</f>
        <v/>
      </c>
    </row>
    <row r="207" spans="8:28" x14ac:dyDescent="0.3">
      <c r="H207" t="str">
        <f t="shared" si="52"/>
        <v/>
      </c>
      <c r="AA207" t="str">
        <f>IF(T207="","",_xll.EpBsStandardSwaptionPrice($C$2,$N$2,U207,V207,W207,X207,Y207,Z207))</f>
        <v/>
      </c>
      <c r="AB207" t="str">
        <f>IF(T207="","",_xll.EpLgm1fStandardSwaptionPrice($C$2,$N$3,$N$2,U207,V207,W207,X207,Y207))</f>
        <v/>
      </c>
    </row>
    <row r="208" spans="8:28" x14ac:dyDescent="0.3">
      <c r="H208" t="str">
        <f t="shared" si="52"/>
        <v/>
      </c>
      <c r="AA208" t="str">
        <f>IF(T208="","",_xll.EpBsStandardSwaptionPrice($C$2,$N$2,U208,V208,W208,X208,Y208,Z208))</f>
        <v/>
      </c>
      <c r="AB208" t="str">
        <f>IF(T208="","",_xll.EpLgm1fStandardSwaptionPrice($C$2,$N$3,$N$2,U208,V208,W208,X208,Y208))</f>
        <v/>
      </c>
    </row>
    <row r="209" spans="8:28" x14ac:dyDescent="0.3">
      <c r="H209" t="str">
        <f t="shared" si="52"/>
        <v/>
      </c>
      <c r="AA209" t="str">
        <f>IF(T209="","",_xll.EpBsStandardSwaptionPrice($C$2,$N$2,U209,V209,W209,X209,Y209,Z209))</f>
        <v/>
      </c>
      <c r="AB209" t="str">
        <f>IF(T209="","",_xll.EpLgm1fStandardSwaptionPrice($C$2,$N$3,$N$2,U209,V209,W209,X209,Y209))</f>
        <v/>
      </c>
    </row>
    <row r="210" spans="8:28" x14ac:dyDescent="0.3">
      <c r="H210" t="str">
        <f t="shared" si="52"/>
        <v/>
      </c>
      <c r="AA210" t="str">
        <f>IF(T210="","",_xll.EpBsStandardSwaptionPrice($C$2,$N$2,U210,V210,W210,X210,Y210,Z210))</f>
        <v/>
      </c>
      <c r="AB210" t="str">
        <f>IF(T210="","",_xll.EpLgm1fStandardSwaptionPrice($C$2,$N$3,$N$2,U210,V210,W210,X210,Y210))</f>
        <v/>
      </c>
    </row>
    <row r="211" spans="8:28" x14ac:dyDescent="0.3">
      <c r="H211" t="str">
        <f t="shared" si="52"/>
        <v/>
      </c>
      <c r="AA211" t="str">
        <f>IF(T211="","",_xll.EpBsStandardSwaptionPrice($C$2,$N$2,U211,V211,W211,X211,Y211,Z211))</f>
        <v/>
      </c>
      <c r="AB211" t="str">
        <f>IF(T211="","",_xll.EpLgm1fStandardSwaptionPrice($C$2,$N$3,$N$2,U211,V211,W211,X211,Y211))</f>
        <v/>
      </c>
    </row>
    <row r="212" spans="8:28" x14ac:dyDescent="0.3">
      <c r="H212" t="str">
        <f t="shared" si="52"/>
        <v/>
      </c>
      <c r="AA212" t="str">
        <f>IF(T212="","",_xll.EpBsStandardSwaptionPrice($C$2,$N$2,U212,V212,W212,X212,Y212,Z212))</f>
        <v/>
      </c>
      <c r="AB212" t="str">
        <f>IF(T212="","",_xll.EpLgm1fStandardSwaptionPrice($C$2,$N$3,$N$2,U212,V212,W212,X212,Y212))</f>
        <v/>
      </c>
    </row>
    <row r="213" spans="8:28" x14ac:dyDescent="0.3">
      <c r="H213" t="str">
        <f t="shared" si="52"/>
        <v/>
      </c>
      <c r="AA213" t="str">
        <f>IF(T213="","",_xll.EpBsStandardSwaptionPrice($C$2,$N$2,U213,V213,W213,X213,Y213,Z213))</f>
        <v/>
      </c>
      <c r="AB213" t="str">
        <f>IF(T213="","",_xll.EpLgm1fStandardSwaptionPrice($C$2,$N$3,$N$2,U213,V213,W213,X213,Y213))</f>
        <v/>
      </c>
    </row>
    <row r="214" spans="8:28" x14ac:dyDescent="0.3">
      <c r="H214" t="str">
        <f t="shared" si="52"/>
        <v/>
      </c>
      <c r="AA214" t="str">
        <f>IF(T214="","",_xll.EpBsStandardSwaptionPrice($C$2,$N$2,U214,V214,W214,X214,Y214,Z214))</f>
        <v/>
      </c>
      <c r="AB214" t="str">
        <f>IF(T214="","",_xll.EpLgm1fStandardSwaptionPrice($C$2,$N$3,$N$2,U214,V214,W214,X214,Y214))</f>
        <v/>
      </c>
    </row>
    <row r="215" spans="8:28" x14ac:dyDescent="0.3">
      <c r="H215" t="str">
        <f t="shared" ref="H215:H278" si="53">IF(B215="","",$C$12)</f>
        <v/>
      </c>
      <c r="AA215" t="str">
        <f>IF(T215="","",_xll.EpBsStandardSwaptionPrice($C$2,$N$2,U215,V215,W215,X215,Y215,Z215))</f>
        <v/>
      </c>
      <c r="AB215" t="str">
        <f>IF(T215="","",_xll.EpLgm1fStandardSwaptionPrice($C$2,$N$3,$N$2,U215,V215,W215,X215,Y215))</f>
        <v/>
      </c>
    </row>
    <row r="216" spans="8:28" x14ac:dyDescent="0.3">
      <c r="H216" t="str">
        <f t="shared" si="53"/>
        <v/>
      </c>
      <c r="AA216" t="str">
        <f>IF(T216="","",_xll.EpBsStandardSwaptionPrice($C$2,$N$2,U216,V216,W216,X216,Y216,Z216))</f>
        <v/>
      </c>
      <c r="AB216" t="str">
        <f>IF(T216="","",_xll.EpLgm1fStandardSwaptionPrice($C$2,$N$3,$N$2,U216,V216,W216,X216,Y216))</f>
        <v/>
      </c>
    </row>
    <row r="217" spans="8:28" x14ac:dyDescent="0.3">
      <c r="H217" t="str">
        <f t="shared" si="53"/>
        <v/>
      </c>
      <c r="AA217" t="str">
        <f>IF(T217="","",_xll.EpBsStandardSwaptionPrice($C$2,$N$2,U217,V217,W217,X217,Y217,Z217))</f>
        <v/>
      </c>
      <c r="AB217" t="str">
        <f>IF(T217="","",_xll.EpLgm1fStandardSwaptionPrice($C$2,$N$3,$N$2,U217,V217,W217,X217,Y217))</f>
        <v/>
      </c>
    </row>
    <row r="218" spans="8:28" x14ac:dyDescent="0.3">
      <c r="H218" t="str">
        <f t="shared" si="53"/>
        <v/>
      </c>
      <c r="AA218" t="str">
        <f>IF(T218="","",_xll.EpBsStandardSwaptionPrice($C$2,$N$2,U218,V218,W218,X218,Y218,Z218))</f>
        <v/>
      </c>
      <c r="AB218" t="str">
        <f>IF(T218="","",_xll.EpLgm1fStandardSwaptionPrice($C$2,$N$3,$N$2,U218,V218,W218,X218,Y218))</f>
        <v/>
      </c>
    </row>
    <row r="219" spans="8:28" x14ac:dyDescent="0.3">
      <c r="H219" t="str">
        <f t="shared" si="53"/>
        <v/>
      </c>
      <c r="AA219" t="str">
        <f>IF(T219="","",_xll.EpBsStandardSwaptionPrice($C$2,$N$2,U219,V219,W219,X219,Y219,Z219))</f>
        <v/>
      </c>
      <c r="AB219" t="str">
        <f>IF(T219="","",_xll.EpLgm1fStandardSwaptionPrice($C$2,$N$3,$N$2,U219,V219,W219,X219,Y219))</f>
        <v/>
      </c>
    </row>
    <row r="220" spans="8:28" x14ac:dyDescent="0.3">
      <c r="H220" t="str">
        <f t="shared" si="53"/>
        <v/>
      </c>
      <c r="AA220" t="str">
        <f>IF(T220="","",_xll.EpBsStandardSwaptionPrice($C$2,$N$2,U220,V220,W220,X220,Y220,Z220))</f>
        <v/>
      </c>
      <c r="AB220" t="str">
        <f>IF(T220="","",_xll.EpLgm1fStandardSwaptionPrice($C$2,$N$3,$N$2,U220,V220,W220,X220,Y220))</f>
        <v/>
      </c>
    </row>
    <row r="221" spans="8:28" x14ac:dyDescent="0.3">
      <c r="H221" t="str">
        <f t="shared" si="53"/>
        <v/>
      </c>
      <c r="AA221" t="str">
        <f>IF(T221="","",_xll.EpBsStandardSwaptionPrice($C$2,$N$2,U221,V221,W221,X221,Y221,Z221))</f>
        <v/>
      </c>
      <c r="AB221" t="str">
        <f>IF(T221="","",_xll.EpLgm1fStandardSwaptionPrice($C$2,$N$3,$N$2,U221,V221,W221,X221,Y221))</f>
        <v/>
      </c>
    </row>
    <row r="222" spans="8:28" x14ac:dyDescent="0.3">
      <c r="H222" t="str">
        <f t="shared" si="53"/>
        <v/>
      </c>
      <c r="AA222" t="str">
        <f>IF(T222="","",_xll.EpBsStandardSwaptionPrice($C$2,$N$2,U222,V222,W222,X222,Y222,Z222))</f>
        <v/>
      </c>
      <c r="AB222" t="str">
        <f>IF(T222="","",_xll.EpLgm1fStandardSwaptionPrice($C$2,$N$3,$N$2,U222,V222,W222,X222,Y222))</f>
        <v/>
      </c>
    </row>
    <row r="223" spans="8:28" x14ac:dyDescent="0.3">
      <c r="H223" t="str">
        <f t="shared" si="53"/>
        <v/>
      </c>
      <c r="AA223" t="str">
        <f>IF(T223="","",_xll.EpBsStandardSwaptionPrice($C$2,$N$2,U223,V223,W223,X223,Y223,Z223))</f>
        <v/>
      </c>
      <c r="AB223" t="str">
        <f>IF(T223="","",_xll.EpLgm1fStandardSwaptionPrice($C$2,$N$3,$N$2,U223,V223,W223,X223,Y223))</f>
        <v/>
      </c>
    </row>
    <row r="224" spans="8:28" x14ac:dyDescent="0.3">
      <c r="H224" t="str">
        <f t="shared" si="53"/>
        <v/>
      </c>
      <c r="AA224" t="str">
        <f>IF(T224="","",_xll.EpBsStandardSwaptionPrice($C$2,$N$2,U224,V224,W224,X224,Y224,Z224))</f>
        <v/>
      </c>
      <c r="AB224" t="str">
        <f>IF(T224="","",_xll.EpLgm1fStandardSwaptionPrice($C$2,$N$3,$N$2,U224,V224,W224,X224,Y224))</f>
        <v/>
      </c>
    </row>
    <row r="225" spans="8:28" x14ac:dyDescent="0.3">
      <c r="H225" t="str">
        <f t="shared" si="53"/>
        <v/>
      </c>
      <c r="AA225" t="str">
        <f>IF(T225="","",_xll.EpBsStandardSwaptionPrice($C$2,$N$2,U225,V225,W225,X225,Y225,Z225))</f>
        <v/>
      </c>
      <c r="AB225" t="str">
        <f>IF(T225="","",_xll.EpLgm1fStandardSwaptionPrice($C$2,$N$3,$N$2,U225,V225,W225,X225,Y225))</f>
        <v/>
      </c>
    </row>
    <row r="226" spans="8:28" x14ac:dyDescent="0.3">
      <c r="H226" t="str">
        <f t="shared" si="53"/>
        <v/>
      </c>
      <c r="AA226" t="str">
        <f>IF(T226="","",_xll.EpBsStandardSwaptionPrice($C$2,$N$2,U226,V226,W226,X226,Y226,Z226))</f>
        <v/>
      </c>
      <c r="AB226" t="str">
        <f>IF(T226="","",_xll.EpLgm1fStandardSwaptionPrice($C$2,$N$3,$N$2,U226,V226,W226,X226,Y226))</f>
        <v/>
      </c>
    </row>
    <row r="227" spans="8:28" x14ac:dyDescent="0.3">
      <c r="H227" t="str">
        <f t="shared" si="53"/>
        <v/>
      </c>
      <c r="AA227" t="str">
        <f>IF(T227="","",_xll.EpBsStandardSwaptionPrice($C$2,$N$2,U227,V227,W227,X227,Y227,Z227))</f>
        <v/>
      </c>
      <c r="AB227" t="str">
        <f>IF(T227="","",_xll.EpLgm1fStandardSwaptionPrice($C$2,$N$3,$N$2,U227,V227,W227,X227,Y227))</f>
        <v/>
      </c>
    </row>
    <row r="228" spans="8:28" x14ac:dyDescent="0.3">
      <c r="H228" t="str">
        <f t="shared" si="53"/>
        <v/>
      </c>
      <c r="AA228" t="str">
        <f>IF(T228="","",_xll.EpBsStandardSwaptionPrice($C$2,$N$2,U228,V228,W228,X228,Y228,Z228))</f>
        <v/>
      </c>
      <c r="AB228" t="str">
        <f>IF(T228="","",_xll.EpLgm1fStandardSwaptionPrice($C$2,$N$3,$N$2,U228,V228,W228,X228,Y228))</f>
        <v/>
      </c>
    </row>
    <row r="229" spans="8:28" x14ac:dyDescent="0.3">
      <c r="H229" t="str">
        <f t="shared" si="53"/>
        <v/>
      </c>
      <c r="AA229" t="str">
        <f>IF(T229="","",_xll.EpBsStandardSwaptionPrice($C$2,$N$2,U229,V229,W229,X229,Y229,Z229))</f>
        <v/>
      </c>
      <c r="AB229" t="str">
        <f>IF(T229="","",_xll.EpLgm1fStandardSwaptionPrice($C$2,$N$3,$N$2,U229,V229,W229,X229,Y229))</f>
        <v/>
      </c>
    </row>
    <row r="230" spans="8:28" x14ac:dyDescent="0.3">
      <c r="H230" t="str">
        <f t="shared" si="53"/>
        <v/>
      </c>
      <c r="AA230" t="str">
        <f>IF(T230="","",_xll.EpBsStandardSwaptionPrice($C$2,$N$2,U230,V230,W230,X230,Y230,Z230))</f>
        <v/>
      </c>
      <c r="AB230" t="str">
        <f>IF(T230="","",_xll.EpLgm1fStandardSwaptionPrice($C$2,$N$3,$N$2,U230,V230,W230,X230,Y230))</f>
        <v/>
      </c>
    </row>
    <row r="231" spans="8:28" x14ac:dyDescent="0.3">
      <c r="H231" t="str">
        <f t="shared" si="53"/>
        <v/>
      </c>
      <c r="AA231" t="str">
        <f>IF(T231="","",_xll.EpBsStandardSwaptionPrice($C$2,$N$2,U231,V231,W231,X231,Y231,Z231))</f>
        <v/>
      </c>
      <c r="AB231" t="str">
        <f>IF(T231="","",_xll.EpLgm1fStandardSwaptionPrice($C$2,$N$3,$N$2,U231,V231,W231,X231,Y231))</f>
        <v/>
      </c>
    </row>
    <row r="232" spans="8:28" x14ac:dyDescent="0.3">
      <c r="H232" t="str">
        <f t="shared" si="53"/>
        <v/>
      </c>
      <c r="AA232" t="str">
        <f>IF(T232="","",_xll.EpBsStandardSwaptionPrice($C$2,$N$2,U232,V232,W232,X232,Y232,Z232))</f>
        <v/>
      </c>
      <c r="AB232" t="str">
        <f>IF(T232="","",_xll.EpLgm1fStandardSwaptionPrice($C$2,$N$3,$N$2,U232,V232,W232,X232,Y232))</f>
        <v/>
      </c>
    </row>
    <row r="233" spans="8:28" x14ac:dyDescent="0.3">
      <c r="H233" t="str">
        <f t="shared" si="53"/>
        <v/>
      </c>
      <c r="AA233" t="str">
        <f>IF(T233="","",_xll.EpBsStandardSwaptionPrice($C$2,$N$2,U233,V233,W233,X233,Y233,Z233))</f>
        <v/>
      </c>
      <c r="AB233" t="str">
        <f>IF(T233="","",_xll.EpLgm1fStandardSwaptionPrice($C$2,$N$3,$N$2,U233,V233,W233,X233,Y233))</f>
        <v/>
      </c>
    </row>
    <row r="234" spans="8:28" x14ac:dyDescent="0.3">
      <c r="H234" t="str">
        <f t="shared" si="53"/>
        <v/>
      </c>
      <c r="AA234" t="str">
        <f>IF(T234="","",_xll.EpBsStandardSwaptionPrice($C$2,$N$2,U234,V234,W234,X234,Y234,Z234))</f>
        <v/>
      </c>
      <c r="AB234" t="str">
        <f>IF(T234="","",_xll.EpLgm1fStandardSwaptionPrice($C$2,$N$3,$N$2,U234,V234,W234,X234,Y234))</f>
        <v/>
      </c>
    </row>
    <row r="235" spans="8:28" x14ac:dyDescent="0.3">
      <c r="H235" t="str">
        <f t="shared" si="53"/>
        <v/>
      </c>
      <c r="AA235" t="str">
        <f>IF(T235="","",_xll.EpBsStandardSwaptionPrice($C$2,$N$2,U235,V235,W235,X235,Y235,Z235))</f>
        <v/>
      </c>
      <c r="AB235" t="str">
        <f>IF(T235="","",_xll.EpLgm1fStandardSwaptionPrice($C$2,$N$3,$N$2,U235,V235,W235,X235,Y235))</f>
        <v/>
      </c>
    </row>
    <row r="236" spans="8:28" x14ac:dyDescent="0.3">
      <c r="H236" t="str">
        <f t="shared" si="53"/>
        <v/>
      </c>
      <c r="AA236" t="str">
        <f>IF(T236="","",_xll.EpBsStandardSwaptionPrice($C$2,$N$2,U236,V236,W236,X236,Y236,Z236))</f>
        <v/>
      </c>
      <c r="AB236" t="str">
        <f>IF(T236="","",_xll.EpLgm1fStandardSwaptionPrice($C$2,$N$3,$N$2,U236,V236,W236,X236,Y236))</f>
        <v/>
      </c>
    </row>
    <row r="237" spans="8:28" x14ac:dyDescent="0.3">
      <c r="H237" t="str">
        <f t="shared" si="53"/>
        <v/>
      </c>
      <c r="AA237" t="str">
        <f>IF(T237="","",_xll.EpBsStandardSwaptionPrice($C$2,$N$2,U237,V237,W237,X237,Y237,Z237))</f>
        <v/>
      </c>
      <c r="AB237" t="str">
        <f>IF(T237="","",_xll.EpLgm1fStandardSwaptionPrice($C$2,$N$3,$N$2,U237,V237,W237,X237,Y237))</f>
        <v/>
      </c>
    </row>
    <row r="238" spans="8:28" x14ac:dyDescent="0.3">
      <c r="H238" t="str">
        <f t="shared" si="53"/>
        <v/>
      </c>
      <c r="AA238" t="str">
        <f>IF(T238="","",_xll.EpBsStandardSwaptionPrice($C$2,$N$2,U238,V238,W238,X238,Y238,Z238))</f>
        <v/>
      </c>
      <c r="AB238" t="str">
        <f>IF(T238="","",_xll.EpLgm1fStandardSwaptionPrice($C$2,$N$3,$N$2,U238,V238,W238,X238,Y238))</f>
        <v/>
      </c>
    </row>
    <row r="239" spans="8:28" x14ac:dyDescent="0.3">
      <c r="H239" t="str">
        <f t="shared" si="53"/>
        <v/>
      </c>
      <c r="AA239" t="str">
        <f>IF(T239="","",_xll.EpBsStandardSwaptionPrice($C$2,$N$2,U239,V239,W239,X239,Y239,Z239))</f>
        <v/>
      </c>
      <c r="AB239" t="str">
        <f>IF(T239="","",_xll.EpLgm1fStandardSwaptionPrice($C$2,$N$3,$N$2,U239,V239,W239,X239,Y239))</f>
        <v/>
      </c>
    </row>
    <row r="240" spans="8:28" x14ac:dyDescent="0.3">
      <c r="H240" t="str">
        <f t="shared" si="53"/>
        <v/>
      </c>
      <c r="AA240" t="str">
        <f>IF(T240="","",_xll.EpBsStandardSwaptionPrice($C$2,$N$2,U240,V240,W240,X240,Y240,Z240))</f>
        <v/>
      </c>
      <c r="AB240" t="str">
        <f>IF(T240="","",_xll.EpLgm1fStandardSwaptionPrice($C$2,$N$3,$N$2,U240,V240,W240,X240,Y240))</f>
        <v/>
      </c>
    </row>
    <row r="241" spans="8:28" x14ac:dyDescent="0.3">
      <c r="H241" t="str">
        <f t="shared" si="53"/>
        <v/>
      </c>
      <c r="AA241" t="str">
        <f>IF(T241="","",_xll.EpBsStandardSwaptionPrice($C$2,$N$2,U241,V241,W241,X241,Y241,Z241))</f>
        <v/>
      </c>
      <c r="AB241" t="str">
        <f>IF(T241="","",_xll.EpLgm1fStandardSwaptionPrice($C$2,$N$3,$N$2,U241,V241,W241,X241,Y241))</f>
        <v/>
      </c>
    </row>
    <row r="242" spans="8:28" x14ac:dyDescent="0.3">
      <c r="H242" t="str">
        <f t="shared" si="53"/>
        <v/>
      </c>
      <c r="AA242" t="str">
        <f>IF(T242="","",_xll.EpBsStandardSwaptionPrice($C$2,$N$2,U242,V242,W242,X242,Y242,Z242))</f>
        <v/>
      </c>
      <c r="AB242" t="str">
        <f>IF(T242="","",_xll.EpLgm1fStandardSwaptionPrice($C$2,$N$3,$N$2,U242,V242,W242,X242,Y242))</f>
        <v/>
      </c>
    </row>
    <row r="243" spans="8:28" x14ac:dyDescent="0.3">
      <c r="H243" t="str">
        <f t="shared" si="53"/>
        <v/>
      </c>
      <c r="AA243" t="str">
        <f>IF(T243="","",_xll.EpBsStandardSwaptionPrice($C$2,$N$2,U243,V243,W243,X243,Y243,Z243))</f>
        <v/>
      </c>
      <c r="AB243" t="str">
        <f>IF(T243="","",_xll.EpLgm1fStandardSwaptionPrice($C$2,$N$3,$N$2,U243,V243,W243,X243,Y243))</f>
        <v/>
      </c>
    </row>
    <row r="244" spans="8:28" x14ac:dyDescent="0.3">
      <c r="H244" t="str">
        <f t="shared" si="53"/>
        <v/>
      </c>
      <c r="AA244" t="str">
        <f>IF(T244="","",_xll.EpBsStandardSwaptionPrice($C$2,$N$2,U244,V244,W244,X244,Y244,Z244))</f>
        <v/>
      </c>
      <c r="AB244" t="str">
        <f>IF(T244="","",_xll.EpLgm1fStandardSwaptionPrice($C$2,$N$3,$N$2,U244,V244,W244,X244,Y244))</f>
        <v/>
      </c>
    </row>
    <row r="245" spans="8:28" x14ac:dyDescent="0.3">
      <c r="H245" t="str">
        <f t="shared" si="53"/>
        <v/>
      </c>
      <c r="AA245" t="str">
        <f>IF(T245="","",_xll.EpBsStandardSwaptionPrice($C$2,$N$2,U245,V245,W245,X245,Y245,Z245))</f>
        <v/>
      </c>
      <c r="AB245" t="str">
        <f>IF(T245="","",_xll.EpLgm1fStandardSwaptionPrice($C$2,$N$3,$N$2,U245,V245,W245,X245,Y245))</f>
        <v/>
      </c>
    </row>
    <row r="246" spans="8:28" x14ac:dyDescent="0.3">
      <c r="H246" t="str">
        <f t="shared" si="53"/>
        <v/>
      </c>
      <c r="AA246" t="str">
        <f>IF(T246="","",_xll.EpBsStandardSwaptionPrice($C$2,$N$2,U246,V246,W246,X246,Y246,Z246))</f>
        <v/>
      </c>
      <c r="AB246" t="str">
        <f>IF(T246="","",_xll.EpLgm1fStandardSwaptionPrice($C$2,$N$3,$N$2,U246,V246,W246,X246,Y246))</f>
        <v/>
      </c>
    </row>
    <row r="247" spans="8:28" x14ac:dyDescent="0.3">
      <c r="H247" t="str">
        <f t="shared" si="53"/>
        <v/>
      </c>
      <c r="AA247" t="str">
        <f>IF(T247="","",_xll.EpBsStandardSwaptionPrice($C$2,$N$2,U247,V247,W247,X247,Y247,Z247))</f>
        <v/>
      </c>
      <c r="AB247" t="str">
        <f>IF(T247="","",_xll.EpLgm1fStandardSwaptionPrice($C$2,$N$3,$N$2,U247,V247,W247,X247,Y247))</f>
        <v/>
      </c>
    </row>
    <row r="248" spans="8:28" x14ac:dyDescent="0.3">
      <c r="H248" t="str">
        <f t="shared" si="53"/>
        <v/>
      </c>
      <c r="AA248" t="str">
        <f>IF(T248="","",_xll.EpBsStandardSwaptionPrice($C$2,$N$2,U248,V248,W248,X248,Y248,Z248))</f>
        <v/>
      </c>
      <c r="AB248" t="str">
        <f>IF(T248="","",_xll.EpLgm1fStandardSwaptionPrice($C$2,$N$3,$N$2,U248,V248,W248,X248,Y248))</f>
        <v/>
      </c>
    </row>
    <row r="249" spans="8:28" x14ac:dyDescent="0.3">
      <c r="H249" t="str">
        <f t="shared" si="53"/>
        <v/>
      </c>
      <c r="AA249" t="str">
        <f>IF(T249="","",_xll.EpBsStandardSwaptionPrice($C$2,$N$2,U249,V249,W249,X249,Y249,Z249))</f>
        <v/>
      </c>
      <c r="AB249" t="str">
        <f>IF(T249="","",_xll.EpLgm1fStandardSwaptionPrice($C$2,$N$3,$N$2,U249,V249,W249,X249,Y249))</f>
        <v/>
      </c>
    </row>
    <row r="250" spans="8:28" x14ac:dyDescent="0.3">
      <c r="H250" t="str">
        <f t="shared" si="53"/>
        <v/>
      </c>
      <c r="AA250" t="str">
        <f>IF(T250="","",_xll.EpBsStandardSwaptionPrice($C$2,$N$2,U250,V250,W250,X250,Y250,Z250))</f>
        <v/>
      </c>
      <c r="AB250" t="str">
        <f>IF(T250="","",_xll.EpLgm1fStandardSwaptionPrice($C$2,$N$3,$N$2,U250,V250,W250,X250,Y250))</f>
        <v/>
      </c>
    </row>
    <row r="251" spans="8:28" x14ac:dyDescent="0.3">
      <c r="H251" t="str">
        <f t="shared" si="53"/>
        <v/>
      </c>
      <c r="AA251" t="str">
        <f>IF(T251="","",_xll.EpBsStandardSwaptionPrice($C$2,$N$2,U251,V251,W251,X251,Y251,Z251))</f>
        <v/>
      </c>
      <c r="AB251" t="str">
        <f>IF(T251="","",_xll.EpLgm1fStandardSwaptionPrice($C$2,$N$3,$N$2,U251,V251,W251,X251,Y251))</f>
        <v/>
      </c>
    </row>
    <row r="252" spans="8:28" x14ac:dyDescent="0.3">
      <c r="H252" t="str">
        <f t="shared" si="53"/>
        <v/>
      </c>
      <c r="AA252" t="str">
        <f>IF(T252="","",_xll.EpBsStandardSwaptionPrice($C$2,$N$2,U252,V252,W252,X252,Y252,Z252))</f>
        <v/>
      </c>
      <c r="AB252" t="str">
        <f>IF(T252="","",_xll.EpLgm1fStandardSwaptionPrice($C$2,$N$3,$N$2,U252,V252,W252,X252,Y252))</f>
        <v/>
      </c>
    </row>
    <row r="253" spans="8:28" x14ac:dyDescent="0.3">
      <c r="H253" t="str">
        <f t="shared" si="53"/>
        <v/>
      </c>
      <c r="AA253" t="str">
        <f>IF(T253="","",_xll.EpBsStandardSwaptionPrice($C$2,$N$2,U253,V253,W253,X253,Y253,Z253))</f>
        <v/>
      </c>
      <c r="AB253" t="str">
        <f>IF(T253="","",_xll.EpLgm1fStandardSwaptionPrice($C$2,$N$3,$N$2,U253,V253,W253,X253,Y253))</f>
        <v/>
      </c>
    </row>
    <row r="254" spans="8:28" x14ac:dyDescent="0.3">
      <c r="H254" t="str">
        <f t="shared" si="53"/>
        <v/>
      </c>
      <c r="AA254" t="str">
        <f>IF(T254="","",_xll.EpBsStandardSwaptionPrice($C$2,$N$2,U254,V254,W254,X254,Y254,Z254))</f>
        <v/>
      </c>
      <c r="AB254" t="str">
        <f>IF(T254="","",_xll.EpLgm1fStandardSwaptionPrice($C$2,$N$3,$N$2,U254,V254,W254,X254,Y254))</f>
        <v/>
      </c>
    </row>
    <row r="255" spans="8:28" x14ac:dyDescent="0.3">
      <c r="H255" t="str">
        <f t="shared" si="53"/>
        <v/>
      </c>
      <c r="AA255" t="str">
        <f>IF(T255="","",_xll.EpBsStandardSwaptionPrice($C$2,$N$2,U255,V255,W255,X255,Y255,Z255))</f>
        <v/>
      </c>
      <c r="AB255" t="str">
        <f>IF(T255="","",_xll.EpLgm1fStandardSwaptionPrice($C$2,$N$3,$N$2,U255,V255,W255,X255,Y255))</f>
        <v/>
      </c>
    </row>
    <row r="256" spans="8:28" x14ac:dyDescent="0.3">
      <c r="H256" t="str">
        <f t="shared" si="53"/>
        <v/>
      </c>
    </row>
    <row r="257" spans="8:8" x14ac:dyDescent="0.3">
      <c r="H257" t="str">
        <f t="shared" si="53"/>
        <v/>
      </c>
    </row>
    <row r="258" spans="8:8" x14ac:dyDescent="0.3">
      <c r="H258" t="str">
        <f t="shared" si="53"/>
        <v/>
      </c>
    </row>
    <row r="259" spans="8:8" x14ac:dyDescent="0.3">
      <c r="H259" t="str">
        <f t="shared" si="53"/>
        <v/>
      </c>
    </row>
    <row r="260" spans="8:8" x14ac:dyDescent="0.3">
      <c r="H260" t="str">
        <f t="shared" si="53"/>
        <v/>
      </c>
    </row>
    <row r="261" spans="8:8" x14ac:dyDescent="0.3">
      <c r="H261" t="str">
        <f t="shared" si="53"/>
        <v/>
      </c>
    </row>
    <row r="262" spans="8:8" x14ac:dyDescent="0.3">
      <c r="H262" t="str">
        <f t="shared" si="53"/>
        <v/>
      </c>
    </row>
    <row r="263" spans="8:8" x14ac:dyDescent="0.3">
      <c r="H263" t="str">
        <f t="shared" si="53"/>
        <v/>
      </c>
    </row>
    <row r="264" spans="8:8" x14ac:dyDescent="0.3">
      <c r="H264" t="str">
        <f t="shared" si="53"/>
        <v/>
      </c>
    </row>
    <row r="265" spans="8:8" x14ac:dyDescent="0.3">
      <c r="H265" t="str">
        <f t="shared" si="53"/>
        <v/>
      </c>
    </row>
    <row r="266" spans="8:8" x14ac:dyDescent="0.3">
      <c r="H266" t="str">
        <f t="shared" si="53"/>
        <v/>
      </c>
    </row>
    <row r="267" spans="8:8" x14ac:dyDescent="0.3">
      <c r="H267" t="str">
        <f t="shared" si="53"/>
        <v/>
      </c>
    </row>
    <row r="268" spans="8:8" x14ac:dyDescent="0.3">
      <c r="H268" t="str">
        <f t="shared" si="53"/>
        <v/>
      </c>
    </row>
    <row r="269" spans="8:8" x14ac:dyDescent="0.3">
      <c r="H269" t="str">
        <f t="shared" si="53"/>
        <v/>
      </c>
    </row>
    <row r="270" spans="8:8" x14ac:dyDescent="0.3">
      <c r="H270" t="str">
        <f t="shared" si="53"/>
        <v/>
      </c>
    </row>
    <row r="271" spans="8:8" x14ac:dyDescent="0.3">
      <c r="H271" t="str">
        <f t="shared" si="53"/>
        <v/>
      </c>
    </row>
    <row r="272" spans="8:8" x14ac:dyDescent="0.3">
      <c r="H272" t="str">
        <f t="shared" si="53"/>
        <v/>
      </c>
    </row>
    <row r="273" spans="8:8" x14ac:dyDescent="0.3">
      <c r="H273" t="str">
        <f t="shared" si="53"/>
        <v/>
      </c>
    </row>
    <row r="274" spans="8:8" x14ac:dyDescent="0.3">
      <c r="H274" t="str">
        <f t="shared" si="53"/>
        <v/>
      </c>
    </row>
    <row r="275" spans="8:8" x14ac:dyDescent="0.3">
      <c r="H275" t="str">
        <f t="shared" si="53"/>
        <v/>
      </c>
    </row>
    <row r="276" spans="8:8" x14ac:dyDescent="0.3">
      <c r="H276" t="str">
        <f t="shared" si="53"/>
        <v/>
      </c>
    </row>
    <row r="277" spans="8:8" x14ac:dyDescent="0.3">
      <c r="H277" t="str">
        <f t="shared" si="53"/>
        <v/>
      </c>
    </row>
    <row r="278" spans="8:8" x14ac:dyDescent="0.3">
      <c r="H278" t="str">
        <f t="shared" si="53"/>
        <v/>
      </c>
    </row>
    <row r="279" spans="8:8" x14ac:dyDescent="0.3">
      <c r="H279" t="str">
        <f t="shared" ref="H279:H342" si="54">IF(B279="","",$C$12)</f>
        <v/>
      </c>
    </row>
    <row r="280" spans="8:8" x14ac:dyDescent="0.3">
      <c r="H280" t="str">
        <f t="shared" si="54"/>
        <v/>
      </c>
    </row>
    <row r="281" spans="8:8" x14ac:dyDescent="0.3">
      <c r="H281" t="str">
        <f t="shared" si="54"/>
        <v/>
      </c>
    </row>
    <row r="282" spans="8:8" x14ac:dyDescent="0.3">
      <c r="H282" t="str">
        <f t="shared" si="54"/>
        <v/>
      </c>
    </row>
    <row r="283" spans="8:8" x14ac:dyDescent="0.3">
      <c r="H283" t="str">
        <f t="shared" si="54"/>
        <v/>
      </c>
    </row>
    <row r="284" spans="8:8" x14ac:dyDescent="0.3">
      <c r="H284" t="str">
        <f t="shared" si="54"/>
        <v/>
      </c>
    </row>
    <row r="285" spans="8:8" x14ac:dyDescent="0.3">
      <c r="H285" t="str">
        <f t="shared" si="54"/>
        <v/>
      </c>
    </row>
    <row r="286" spans="8:8" x14ac:dyDescent="0.3">
      <c r="H286" t="str">
        <f t="shared" si="54"/>
        <v/>
      </c>
    </row>
    <row r="287" spans="8:8" x14ac:dyDescent="0.3">
      <c r="H287" t="str">
        <f t="shared" si="54"/>
        <v/>
      </c>
    </row>
    <row r="288" spans="8:8" x14ac:dyDescent="0.3">
      <c r="H288" t="str">
        <f t="shared" si="54"/>
        <v/>
      </c>
    </row>
    <row r="289" spans="8:8" x14ac:dyDescent="0.3">
      <c r="H289" t="str">
        <f t="shared" si="54"/>
        <v/>
      </c>
    </row>
    <row r="290" spans="8:8" x14ac:dyDescent="0.3">
      <c r="H290" t="str">
        <f t="shared" si="54"/>
        <v/>
      </c>
    </row>
    <row r="291" spans="8:8" x14ac:dyDescent="0.3">
      <c r="H291" t="str">
        <f t="shared" si="54"/>
        <v/>
      </c>
    </row>
    <row r="292" spans="8:8" x14ac:dyDescent="0.3">
      <c r="H292" t="str">
        <f t="shared" si="54"/>
        <v/>
      </c>
    </row>
    <row r="293" spans="8:8" x14ac:dyDescent="0.3">
      <c r="H293" t="str">
        <f t="shared" si="54"/>
        <v/>
      </c>
    </row>
    <row r="294" spans="8:8" x14ac:dyDescent="0.3">
      <c r="H294" t="str">
        <f t="shared" si="54"/>
        <v/>
      </c>
    </row>
    <row r="295" spans="8:8" x14ac:dyDescent="0.3">
      <c r="H295" t="str">
        <f t="shared" si="54"/>
        <v/>
      </c>
    </row>
    <row r="296" spans="8:8" x14ac:dyDescent="0.3">
      <c r="H296" t="str">
        <f t="shared" si="54"/>
        <v/>
      </c>
    </row>
    <row r="297" spans="8:8" x14ac:dyDescent="0.3">
      <c r="H297" t="str">
        <f t="shared" si="54"/>
        <v/>
      </c>
    </row>
    <row r="298" spans="8:8" x14ac:dyDescent="0.3">
      <c r="H298" t="str">
        <f t="shared" si="54"/>
        <v/>
      </c>
    </row>
    <row r="299" spans="8:8" x14ac:dyDescent="0.3">
      <c r="H299" t="str">
        <f t="shared" si="54"/>
        <v/>
      </c>
    </row>
    <row r="300" spans="8:8" x14ac:dyDescent="0.3">
      <c r="H300" t="str">
        <f t="shared" si="54"/>
        <v/>
      </c>
    </row>
    <row r="301" spans="8:8" x14ac:dyDescent="0.3">
      <c r="H301" t="str">
        <f t="shared" si="54"/>
        <v/>
      </c>
    </row>
    <row r="302" spans="8:8" x14ac:dyDescent="0.3">
      <c r="H302" t="str">
        <f t="shared" si="54"/>
        <v/>
      </c>
    </row>
    <row r="303" spans="8:8" x14ac:dyDescent="0.3">
      <c r="H303" t="str">
        <f t="shared" si="54"/>
        <v/>
      </c>
    </row>
    <row r="304" spans="8:8" x14ac:dyDescent="0.3">
      <c r="H304" t="str">
        <f t="shared" si="54"/>
        <v/>
      </c>
    </row>
    <row r="305" spans="8:8" x14ac:dyDescent="0.3">
      <c r="H305" t="str">
        <f t="shared" si="54"/>
        <v/>
      </c>
    </row>
    <row r="306" spans="8:8" x14ac:dyDescent="0.3">
      <c r="H306" t="str">
        <f t="shared" si="54"/>
        <v/>
      </c>
    </row>
    <row r="307" spans="8:8" x14ac:dyDescent="0.3">
      <c r="H307" t="str">
        <f t="shared" si="54"/>
        <v/>
      </c>
    </row>
    <row r="308" spans="8:8" x14ac:dyDescent="0.3">
      <c r="H308" t="str">
        <f t="shared" si="54"/>
        <v/>
      </c>
    </row>
    <row r="309" spans="8:8" x14ac:dyDescent="0.3">
      <c r="H309" t="str">
        <f t="shared" si="54"/>
        <v/>
      </c>
    </row>
    <row r="310" spans="8:8" x14ac:dyDescent="0.3">
      <c r="H310" t="str">
        <f t="shared" si="54"/>
        <v/>
      </c>
    </row>
    <row r="311" spans="8:8" x14ac:dyDescent="0.3">
      <c r="H311" t="str">
        <f t="shared" si="54"/>
        <v/>
      </c>
    </row>
    <row r="312" spans="8:8" x14ac:dyDescent="0.3">
      <c r="H312" t="str">
        <f t="shared" si="54"/>
        <v/>
      </c>
    </row>
    <row r="313" spans="8:8" x14ac:dyDescent="0.3">
      <c r="H313" t="str">
        <f t="shared" si="54"/>
        <v/>
      </c>
    </row>
    <row r="314" spans="8:8" x14ac:dyDescent="0.3">
      <c r="H314" t="str">
        <f t="shared" si="54"/>
        <v/>
      </c>
    </row>
    <row r="315" spans="8:8" x14ac:dyDescent="0.3">
      <c r="H315" t="str">
        <f t="shared" si="54"/>
        <v/>
      </c>
    </row>
    <row r="316" spans="8:8" x14ac:dyDescent="0.3">
      <c r="H316" t="str">
        <f t="shared" si="54"/>
        <v/>
      </c>
    </row>
    <row r="317" spans="8:8" x14ac:dyDescent="0.3">
      <c r="H317" t="str">
        <f t="shared" si="54"/>
        <v/>
      </c>
    </row>
    <row r="318" spans="8:8" x14ac:dyDescent="0.3">
      <c r="H318" t="str">
        <f t="shared" si="54"/>
        <v/>
      </c>
    </row>
    <row r="319" spans="8:8" x14ac:dyDescent="0.3">
      <c r="H319" t="str">
        <f t="shared" si="54"/>
        <v/>
      </c>
    </row>
    <row r="320" spans="8:8" x14ac:dyDescent="0.3">
      <c r="H320" t="str">
        <f t="shared" si="54"/>
        <v/>
      </c>
    </row>
    <row r="321" spans="8:8" x14ac:dyDescent="0.3">
      <c r="H321" t="str">
        <f t="shared" si="54"/>
        <v/>
      </c>
    </row>
    <row r="322" spans="8:8" x14ac:dyDescent="0.3">
      <c r="H322" t="str">
        <f t="shared" si="54"/>
        <v/>
      </c>
    </row>
    <row r="323" spans="8:8" x14ac:dyDescent="0.3">
      <c r="H323" t="str">
        <f t="shared" si="54"/>
        <v/>
      </c>
    </row>
    <row r="324" spans="8:8" x14ac:dyDescent="0.3">
      <c r="H324" t="str">
        <f t="shared" si="54"/>
        <v/>
      </c>
    </row>
    <row r="325" spans="8:8" x14ac:dyDescent="0.3">
      <c r="H325" t="str">
        <f t="shared" si="54"/>
        <v/>
      </c>
    </row>
    <row r="326" spans="8:8" x14ac:dyDescent="0.3">
      <c r="H326" t="str">
        <f t="shared" si="54"/>
        <v/>
      </c>
    </row>
    <row r="327" spans="8:8" x14ac:dyDescent="0.3">
      <c r="H327" t="str">
        <f t="shared" si="54"/>
        <v/>
      </c>
    </row>
    <row r="328" spans="8:8" x14ac:dyDescent="0.3">
      <c r="H328" t="str">
        <f t="shared" si="54"/>
        <v/>
      </c>
    </row>
    <row r="329" spans="8:8" x14ac:dyDescent="0.3">
      <c r="H329" t="str">
        <f t="shared" si="54"/>
        <v/>
      </c>
    </row>
    <row r="330" spans="8:8" x14ac:dyDescent="0.3">
      <c r="H330" t="str">
        <f t="shared" si="54"/>
        <v/>
      </c>
    </row>
    <row r="331" spans="8:8" x14ac:dyDescent="0.3">
      <c r="H331" t="str">
        <f t="shared" si="54"/>
        <v/>
      </c>
    </row>
    <row r="332" spans="8:8" x14ac:dyDescent="0.3">
      <c r="H332" t="str">
        <f t="shared" si="54"/>
        <v/>
      </c>
    </row>
    <row r="333" spans="8:8" x14ac:dyDescent="0.3">
      <c r="H333" t="str">
        <f t="shared" si="54"/>
        <v/>
      </c>
    </row>
    <row r="334" spans="8:8" x14ac:dyDescent="0.3">
      <c r="H334" t="str">
        <f t="shared" si="54"/>
        <v/>
      </c>
    </row>
    <row r="335" spans="8:8" x14ac:dyDescent="0.3">
      <c r="H335" t="str">
        <f t="shared" si="54"/>
        <v/>
      </c>
    </row>
    <row r="336" spans="8:8" x14ac:dyDescent="0.3">
      <c r="H336" t="str">
        <f t="shared" si="54"/>
        <v/>
      </c>
    </row>
    <row r="337" spans="8:8" x14ac:dyDescent="0.3">
      <c r="H337" t="str">
        <f t="shared" si="54"/>
        <v/>
      </c>
    </row>
    <row r="338" spans="8:8" x14ac:dyDescent="0.3">
      <c r="H338" t="str">
        <f t="shared" si="54"/>
        <v/>
      </c>
    </row>
    <row r="339" spans="8:8" x14ac:dyDescent="0.3">
      <c r="H339" t="str">
        <f t="shared" si="54"/>
        <v/>
      </c>
    </row>
    <row r="340" spans="8:8" x14ac:dyDescent="0.3">
      <c r="H340" t="str">
        <f t="shared" si="54"/>
        <v/>
      </c>
    </row>
    <row r="341" spans="8:8" x14ac:dyDescent="0.3">
      <c r="H341" t="str">
        <f t="shared" si="54"/>
        <v/>
      </c>
    </row>
    <row r="342" spans="8:8" x14ac:dyDescent="0.3">
      <c r="H342" t="str">
        <f t="shared" si="54"/>
        <v/>
      </c>
    </row>
    <row r="343" spans="8:8" x14ac:dyDescent="0.3">
      <c r="H343" t="str">
        <f t="shared" ref="H343:H406" si="55">IF(B343="","",$C$12)</f>
        <v/>
      </c>
    </row>
    <row r="344" spans="8:8" x14ac:dyDescent="0.3">
      <c r="H344" t="str">
        <f t="shared" si="55"/>
        <v/>
      </c>
    </row>
    <row r="345" spans="8:8" x14ac:dyDescent="0.3">
      <c r="H345" t="str">
        <f t="shared" si="55"/>
        <v/>
      </c>
    </row>
    <row r="346" spans="8:8" x14ac:dyDescent="0.3">
      <c r="H346" t="str">
        <f t="shared" si="55"/>
        <v/>
      </c>
    </row>
    <row r="347" spans="8:8" x14ac:dyDescent="0.3">
      <c r="H347" t="str">
        <f t="shared" si="55"/>
        <v/>
      </c>
    </row>
    <row r="348" spans="8:8" x14ac:dyDescent="0.3">
      <c r="H348" t="str">
        <f t="shared" si="55"/>
        <v/>
      </c>
    </row>
    <row r="349" spans="8:8" x14ac:dyDescent="0.3">
      <c r="H349" t="str">
        <f t="shared" si="55"/>
        <v/>
      </c>
    </row>
    <row r="350" spans="8:8" x14ac:dyDescent="0.3">
      <c r="H350" t="str">
        <f t="shared" si="55"/>
        <v/>
      </c>
    </row>
    <row r="351" spans="8:8" x14ac:dyDescent="0.3">
      <c r="H351" t="str">
        <f t="shared" si="55"/>
        <v/>
      </c>
    </row>
    <row r="352" spans="8:8" x14ac:dyDescent="0.3">
      <c r="H352" t="str">
        <f t="shared" si="55"/>
        <v/>
      </c>
    </row>
    <row r="353" spans="8:8" x14ac:dyDescent="0.3">
      <c r="H353" t="str">
        <f t="shared" si="55"/>
        <v/>
      </c>
    </row>
    <row r="354" spans="8:8" x14ac:dyDescent="0.3">
      <c r="H354" t="str">
        <f t="shared" si="55"/>
        <v/>
      </c>
    </row>
    <row r="355" spans="8:8" x14ac:dyDescent="0.3">
      <c r="H355" t="str">
        <f t="shared" si="55"/>
        <v/>
      </c>
    </row>
    <row r="356" spans="8:8" x14ac:dyDescent="0.3">
      <c r="H356" t="str">
        <f t="shared" si="55"/>
        <v/>
      </c>
    </row>
    <row r="357" spans="8:8" x14ac:dyDescent="0.3">
      <c r="H357" t="str">
        <f t="shared" si="55"/>
        <v/>
      </c>
    </row>
    <row r="358" spans="8:8" x14ac:dyDescent="0.3">
      <c r="H358" t="str">
        <f t="shared" si="55"/>
        <v/>
      </c>
    </row>
    <row r="359" spans="8:8" x14ac:dyDescent="0.3">
      <c r="H359" t="str">
        <f t="shared" si="55"/>
        <v/>
      </c>
    </row>
    <row r="360" spans="8:8" x14ac:dyDescent="0.3">
      <c r="H360" t="str">
        <f t="shared" si="55"/>
        <v/>
      </c>
    </row>
    <row r="361" spans="8:8" x14ac:dyDescent="0.3">
      <c r="H361" t="str">
        <f t="shared" si="55"/>
        <v/>
      </c>
    </row>
    <row r="362" spans="8:8" x14ac:dyDescent="0.3">
      <c r="H362" t="str">
        <f t="shared" si="55"/>
        <v/>
      </c>
    </row>
    <row r="363" spans="8:8" x14ac:dyDescent="0.3">
      <c r="H363" t="str">
        <f t="shared" si="55"/>
        <v/>
      </c>
    </row>
    <row r="364" spans="8:8" x14ac:dyDescent="0.3">
      <c r="H364" t="str">
        <f t="shared" si="55"/>
        <v/>
      </c>
    </row>
    <row r="365" spans="8:8" x14ac:dyDescent="0.3">
      <c r="H365" t="str">
        <f t="shared" si="55"/>
        <v/>
      </c>
    </row>
    <row r="366" spans="8:8" x14ac:dyDescent="0.3">
      <c r="H366" t="str">
        <f t="shared" si="55"/>
        <v/>
      </c>
    </row>
    <row r="367" spans="8:8" x14ac:dyDescent="0.3">
      <c r="H367" t="str">
        <f t="shared" si="55"/>
        <v/>
      </c>
    </row>
    <row r="368" spans="8:8" x14ac:dyDescent="0.3">
      <c r="H368" t="str">
        <f t="shared" si="55"/>
        <v/>
      </c>
    </row>
    <row r="369" spans="8:8" x14ac:dyDescent="0.3">
      <c r="H369" t="str">
        <f t="shared" si="55"/>
        <v/>
      </c>
    </row>
    <row r="370" spans="8:8" x14ac:dyDescent="0.3">
      <c r="H370" t="str">
        <f t="shared" si="55"/>
        <v/>
      </c>
    </row>
    <row r="371" spans="8:8" x14ac:dyDescent="0.3">
      <c r="H371" t="str">
        <f t="shared" si="55"/>
        <v/>
      </c>
    </row>
    <row r="372" spans="8:8" x14ac:dyDescent="0.3">
      <c r="H372" t="str">
        <f t="shared" si="55"/>
        <v/>
      </c>
    </row>
    <row r="373" spans="8:8" x14ac:dyDescent="0.3">
      <c r="H373" t="str">
        <f t="shared" si="55"/>
        <v/>
      </c>
    </row>
    <row r="374" spans="8:8" x14ac:dyDescent="0.3">
      <c r="H374" t="str">
        <f t="shared" si="55"/>
        <v/>
      </c>
    </row>
    <row r="375" spans="8:8" x14ac:dyDescent="0.3">
      <c r="H375" t="str">
        <f t="shared" si="55"/>
        <v/>
      </c>
    </row>
    <row r="376" spans="8:8" x14ac:dyDescent="0.3">
      <c r="H376" t="str">
        <f t="shared" si="55"/>
        <v/>
      </c>
    </row>
    <row r="377" spans="8:8" x14ac:dyDescent="0.3">
      <c r="H377" t="str">
        <f t="shared" si="55"/>
        <v/>
      </c>
    </row>
    <row r="378" spans="8:8" x14ac:dyDescent="0.3">
      <c r="H378" t="str">
        <f t="shared" si="55"/>
        <v/>
      </c>
    </row>
    <row r="379" spans="8:8" x14ac:dyDescent="0.3">
      <c r="H379" t="str">
        <f t="shared" si="55"/>
        <v/>
      </c>
    </row>
    <row r="380" spans="8:8" x14ac:dyDescent="0.3">
      <c r="H380" t="str">
        <f t="shared" si="55"/>
        <v/>
      </c>
    </row>
    <row r="381" spans="8:8" x14ac:dyDescent="0.3">
      <c r="H381" t="str">
        <f t="shared" si="55"/>
        <v/>
      </c>
    </row>
    <row r="382" spans="8:8" x14ac:dyDescent="0.3">
      <c r="H382" t="str">
        <f t="shared" si="55"/>
        <v/>
      </c>
    </row>
    <row r="383" spans="8:8" x14ac:dyDescent="0.3">
      <c r="H383" t="str">
        <f t="shared" si="55"/>
        <v/>
      </c>
    </row>
    <row r="384" spans="8:8" x14ac:dyDescent="0.3">
      <c r="H384" t="str">
        <f t="shared" si="55"/>
        <v/>
      </c>
    </row>
    <row r="385" spans="8:8" x14ac:dyDescent="0.3">
      <c r="H385" t="str">
        <f t="shared" si="55"/>
        <v/>
      </c>
    </row>
    <row r="386" spans="8:8" x14ac:dyDescent="0.3">
      <c r="H386" t="str">
        <f t="shared" si="55"/>
        <v/>
      </c>
    </row>
    <row r="387" spans="8:8" x14ac:dyDescent="0.3">
      <c r="H387" t="str">
        <f t="shared" si="55"/>
        <v/>
      </c>
    </row>
    <row r="388" spans="8:8" x14ac:dyDescent="0.3">
      <c r="H388" t="str">
        <f t="shared" si="55"/>
        <v/>
      </c>
    </row>
    <row r="389" spans="8:8" x14ac:dyDescent="0.3">
      <c r="H389" t="str">
        <f t="shared" si="55"/>
        <v/>
      </c>
    </row>
    <row r="390" spans="8:8" x14ac:dyDescent="0.3">
      <c r="H390" t="str">
        <f t="shared" si="55"/>
        <v/>
      </c>
    </row>
    <row r="391" spans="8:8" x14ac:dyDescent="0.3">
      <c r="H391" t="str">
        <f t="shared" si="55"/>
        <v/>
      </c>
    </row>
    <row r="392" spans="8:8" x14ac:dyDescent="0.3">
      <c r="H392" t="str">
        <f t="shared" si="55"/>
        <v/>
      </c>
    </row>
    <row r="393" spans="8:8" x14ac:dyDescent="0.3">
      <c r="H393" t="str">
        <f t="shared" si="55"/>
        <v/>
      </c>
    </row>
    <row r="394" spans="8:8" x14ac:dyDescent="0.3">
      <c r="H394" t="str">
        <f t="shared" si="55"/>
        <v/>
      </c>
    </row>
    <row r="395" spans="8:8" x14ac:dyDescent="0.3">
      <c r="H395" t="str">
        <f t="shared" si="55"/>
        <v/>
      </c>
    </row>
    <row r="396" spans="8:8" x14ac:dyDescent="0.3">
      <c r="H396" t="str">
        <f t="shared" si="55"/>
        <v/>
      </c>
    </row>
    <row r="397" spans="8:8" x14ac:dyDescent="0.3">
      <c r="H397" t="str">
        <f t="shared" si="55"/>
        <v/>
      </c>
    </row>
    <row r="398" spans="8:8" x14ac:dyDescent="0.3">
      <c r="H398" t="str">
        <f t="shared" si="55"/>
        <v/>
      </c>
    </row>
    <row r="399" spans="8:8" x14ac:dyDescent="0.3">
      <c r="H399" t="str">
        <f t="shared" si="55"/>
        <v/>
      </c>
    </row>
    <row r="400" spans="8:8" x14ac:dyDescent="0.3">
      <c r="H400" t="str">
        <f t="shared" si="55"/>
        <v/>
      </c>
    </row>
    <row r="401" spans="8:8" x14ac:dyDescent="0.3">
      <c r="H401" t="str">
        <f t="shared" si="55"/>
        <v/>
      </c>
    </row>
    <row r="402" spans="8:8" x14ac:dyDescent="0.3">
      <c r="H402" t="str">
        <f t="shared" si="55"/>
        <v/>
      </c>
    </row>
    <row r="403" spans="8:8" x14ac:dyDescent="0.3">
      <c r="H403" t="str">
        <f t="shared" si="55"/>
        <v/>
      </c>
    </row>
    <row r="404" spans="8:8" x14ac:dyDescent="0.3">
      <c r="H404" t="str">
        <f t="shared" si="55"/>
        <v/>
      </c>
    </row>
    <row r="405" spans="8:8" x14ac:dyDescent="0.3">
      <c r="H405" t="str">
        <f t="shared" si="55"/>
        <v/>
      </c>
    </row>
    <row r="406" spans="8:8" x14ac:dyDescent="0.3">
      <c r="H406" t="str">
        <f t="shared" si="55"/>
        <v/>
      </c>
    </row>
    <row r="407" spans="8:8" x14ac:dyDescent="0.3">
      <c r="H407" t="str">
        <f t="shared" ref="H407:H470" si="56">IF(B407="","",$C$12)</f>
        <v/>
      </c>
    </row>
    <row r="408" spans="8:8" x14ac:dyDescent="0.3">
      <c r="H408" t="str">
        <f t="shared" si="56"/>
        <v/>
      </c>
    </row>
    <row r="409" spans="8:8" x14ac:dyDescent="0.3">
      <c r="H409" t="str">
        <f t="shared" si="56"/>
        <v/>
      </c>
    </row>
    <row r="410" spans="8:8" x14ac:dyDescent="0.3">
      <c r="H410" t="str">
        <f t="shared" si="56"/>
        <v/>
      </c>
    </row>
    <row r="411" spans="8:8" x14ac:dyDescent="0.3">
      <c r="H411" t="str">
        <f t="shared" si="56"/>
        <v/>
      </c>
    </row>
    <row r="412" spans="8:8" x14ac:dyDescent="0.3">
      <c r="H412" t="str">
        <f t="shared" si="56"/>
        <v/>
      </c>
    </row>
    <row r="413" spans="8:8" x14ac:dyDescent="0.3">
      <c r="H413" t="str">
        <f t="shared" si="56"/>
        <v/>
      </c>
    </row>
    <row r="414" spans="8:8" x14ac:dyDescent="0.3">
      <c r="H414" t="str">
        <f t="shared" si="56"/>
        <v/>
      </c>
    </row>
    <row r="415" spans="8:8" x14ac:dyDescent="0.3">
      <c r="H415" t="str">
        <f t="shared" si="56"/>
        <v/>
      </c>
    </row>
    <row r="416" spans="8:8" x14ac:dyDescent="0.3">
      <c r="H416" t="str">
        <f t="shared" si="56"/>
        <v/>
      </c>
    </row>
    <row r="417" spans="8:8" x14ac:dyDescent="0.3">
      <c r="H417" t="str">
        <f t="shared" si="56"/>
        <v/>
      </c>
    </row>
    <row r="418" spans="8:8" x14ac:dyDescent="0.3">
      <c r="H418" t="str">
        <f t="shared" si="56"/>
        <v/>
      </c>
    </row>
    <row r="419" spans="8:8" x14ac:dyDescent="0.3">
      <c r="H419" t="str">
        <f t="shared" si="56"/>
        <v/>
      </c>
    </row>
    <row r="420" spans="8:8" x14ac:dyDescent="0.3">
      <c r="H420" t="str">
        <f t="shared" si="56"/>
        <v/>
      </c>
    </row>
    <row r="421" spans="8:8" x14ac:dyDescent="0.3">
      <c r="H421" t="str">
        <f t="shared" si="56"/>
        <v/>
      </c>
    </row>
    <row r="422" spans="8:8" x14ac:dyDescent="0.3">
      <c r="H422" t="str">
        <f t="shared" si="56"/>
        <v/>
      </c>
    </row>
    <row r="423" spans="8:8" x14ac:dyDescent="0.3">
      <c r="H423" t="str">
        <f t="shared" si="56"/>
        <v/>
      </c>
    </row>
    <row r="424" spans="8:8" x14ac:dyDescent="0.3">
      <c r="H424" t="str">
        <f t="shared" si="56"/>
        <v/>
      </c>
    </row>
    <row r="425" spans="8:8" x14ac:dyDescent="0.3">
      <c r="H425" t="str">
        <f t="shared" si="56"/>
        <v/>
      </c>
    </row>
    <row r="426" spans="8:8" x14ac:dyDescent="0.3">
      <c r="H426" t="str">
        <f t="shared" si="56"/>
        <v/>
      </c>
    </row>
    <row r="427" spans="8:8" x14ac:dyDescent="0.3">
      <c r="H427" t="str">
        <f t="shared" si="56"/>
        <v/>
      </c>
    </row>
    <row r="428" spans="8:8" x14ac:dyDescent="0.3">
      <c r="H428" t="str">
        <f t="shared" si="56"/>
        <v/>
      </c>
    </row>
    <row r="429" spans="8:8" x14ac:dyDescent="0.3">
      <c r="H429" t="str">
        <f t="shared" si="56"/>
        <v/>
      </c>
    </row>
    <row r="430" spans="8:8" x14ac:dyDescent="0.3">
      <c r="H430" t="str">
        <f t="shared" si="56"/>
        <v/>
      </c>
    </row>
    <row r="431" spans="8:8" x14ac:dyDescent="0.3">
      <c r="H431" t="str">
        <f t="shared" si="56"/>
        <v/>
      </c>
    </row>
    <row r="432" spans="8:8" x14ac:dyDescent="0.3">
      <c r="H432" t="str">
        <f t="shared" si="56"/>
        <v/>
      </c>
    </row>
    <row r="433" spans="8:8" x14ac:dyDescent="0.3">
      <c r="H433" t="str">
        <f t="shared" si="56"/>
        <v/>
      </c>
    </row>
    <row r="434" spans="8:8" x14ac:dyDescent="0.3">
      <c r="H434" t="str">
        <f t="shared" si="56"/>
        <v/>
      </c>
    </row>
    <row r="435" spans="8:8" x14ac:dyDescent="0.3">
      <c r="H435" t="str">
        <f t="shared" si="56"/>
        <v/>
      </c>
    </row>
    <row r="436" spans="8:8" x14ac:dyDescent="0.3">
      <c r="H436" t="str">
        <f t="shared" si="56"/>
        <v/>
      </c>
    </row>
    <row r="437" spans="8:8" x14ac:dyDescent="0.3">
      <c r="H437" t="str">
        <f t="shared" si="56"/>
        <v/>
      </c>
    </row>
    <row r="438" spans="8:8" x14ac:dyDescent="0.3">
      <c r="H438" t="str">
        <f t="shared" si="56"/>
        <v/>
      </c>
    </row>
    <row r="439" spans="8:8" x14ac:dyDescent="0.3">
      <c r="H439" t="str">
        <f t="shared" si="56"/>
        <v/>
      </c>
    </row>
    <row r="440" spans="8:8" x14ac:dyDescent="0.3">
      <c r="H440" t="str">
        <f t="shared" si="56"/>
        <v/>
      </c>
    </row>
    <row r="441" spans="8:8" x14ac:dyDescent="0.3">
      <c r="H441" t="str">
        <f t="shared" si="56"/>
        <v/>
      </c>
    </row>
    <row r="442" spans="8:8" x14ac:dyDescent="0.3">
      <c r="H442" t="str">
        <f t="shared" si="56"/>
        <v/>
      </c>
    </row>
    <row r="443" spans="8:8" x14ac:dyDescent="0.3">
      <c r="H443" t="str">
        <f t="shared" si="56"/>
        <v/>
      </c>
    </row>
    <row r="444" spans="8:8" x14ac:dyDescent="0.3">
      <c r="H444" t="str">
        <f t="shared" si="56"/>
        <v/>
      </c>
    </row>
    <row r="445" spans="8:8" x14ac:dyDescent="0.3">
      <c r="H445" t="str">
        <f t="shared" si="56"/>
        <v/>
      </c>
    </row>
    <row r="446" spans="8:8" x14ac:dyDescent="0.3">
      <c r="H446" t="str">
        <f t="shared" si="56"/>
        <v/>
      </c>
    </row>
    <row r="447" spans="8:8" x14ac:dyDescent="0.3">
      <c r="H447" t="str">
        <f t="shared" si="56"/>
        <v/>
      </c>
    </row>
    <row r="448" spans="8:8" x14ac:dyDescent="0.3">
      <c r="H448" t="str">
        <f t="shared" si="56"/>
        <v/>
      </c>
    </row>
    <row r="449" spans="8:8" x14ac:dyDescent="0.3">
      <c r="H449" t="str">
        <f t="shared" si="56"/>
        <v/>
      </c>
    </row>
    <row r="450" spans="8:8" x14ac:dyDescent="0.3">
      <c r="H450" t="str">
        <f t="shared" si="56"/>
        <v/>
      </c>
    </row>
    <row r="451" spans="8:8" x14ac:dyDescent="0.3">
      <c r="H451" t="str">
        <f t="shared" si="56"/>
        <v/>
      </c>
    </row>
    <row r="452" spans="8:8" x14ac:dyDescent="0.3">
      <c r="H452" t="str">
        <f t="shared" si="56"/>
        <v/>
      </c>
    </row>
    <row r="453" spans="8:8" x14ac:dyDescent="0.3">
      <c r="H453" t="str">
        <f t="shared" si="56"/>
        <v/>
      </c>
    </row>
    <row r="454" spans="8:8" x14ac:dyDescent="0.3">
      <c r="H454" t="str">
        <f t="shared" si="56"/>
        <v/>
      </c>
    </row>
    <row r="455" spans="8:8" x14ac:dyDescent="0.3">
      <c r="H455" t="str">
        <f t="shared" si="56"/>
        <v/>
      </c>
    </row>
    <row r="456" spans="8:8" x14ac:dyDescent="0.3">
      <c r="H456" t="str">
        <f t="shared" si="56"/>
        <v/>
      </c>
    </row>
    <row r="457" spans="8:8" x14ac:dyDescent="0.3">
      <c r="H457" t="str">
        <f t="shared" si="56"/>
        <v/>
      </c>
    </row>
    <row r="458" spans="8:8" x14ac:dyDescent="0.3">
      <c r="H458" t="str">
        <f t="shared" si="56"/>
        <v/>
      </c>
    </row>
    <row r="459" spans="8:8" x14ac:dyDescent="0.3">
      <c r="H459" t="str">
        <f t="shared" si="56"/>
        <v/>
      </c>
    </row>
    <row r="460" spans="8:8" x14ac:dyDescent="0.3">
      <c r="H460" t="str">
        <f t="shared" si="56"/>
        <v/>
      </c>
    </row>
    <row r="461" spans="8:8" x14ac:dyDescent="0.3">
      <c r="H461" t="str">
        <f t="shared" si="56"/>
        <v/>
      </c>
    </row>
    <row r="462" spans="8:8" x14ac:dyDescent="0.3">
      <c r="H462" t="str">
        <f t="shared" si="56"/>
        <v/>
      </c>
    </row>
    <row r="463" spans="8:8" x14ac:dyDescent="0.3">
      <c r="H463" t="str">
        <f t="shared" si="56"/>
        <v/>
      </c>
    </row>
    <row r="464" spans="8:8" x14ac:dyDescent="0.3">
      <c r="H464" t="str">
        <f t="shared" si="56"/>
        <v/>
      </c>
    </row>
    <row r="465" spans="8:8" x14ac:dyDescent="0.3">
      <c r="H465" t="str">
        <f t="shared" si="56"/>
        <v/>
      </c>
    </row>
    <row r="466" spans="8:8" x14ac:dyDescent="0.3">
      <c r="H466" t="str">
        <f t="shared" si="56"/>
        <v/>
      </c>
    </row>
    <row r="467" spans="8:8" x14ac:dyDescent="0.3">
      <c r="H467" t="str">
        <f t="shared" si="56"/>
        <v/>
      </c>
    </row>
    <row r="468" spans="8:8" x14ac:dyDescent="0.3">
      <c r="H468" t="str">
        <f t="shared" si="56"/>
        <v/>
      </c>
    </row>
    <row r="469" spans="8:8" x14ac:dyDescent="0.3">
      <c r="H469" t="str">
        <f t="shared" si="56"/>
        <v/>
      </c>
    </row>
    <row r="470" spans="8:8" x14ac:dyDescent="0.3">
      <c r="H470" t="str">
        <f t="shared" si="56"/>
        <v/>
      </c>
    </row>
    <row r="471" spans="8:8" x14ac:dyDescent="0.3">
      <c r="H471" t="str">
        <f t="shared" ref="H471:H534" si="57">IF(B471="","",$C$12)</f>
        <v/>
      </c>
    </row>
    <row r="472" spans="8:8" x14ac:dyDescent="0.3">
      <c r="H472" t="str">
        <f t="shared" si="57"/>
        <v/>
      </c>
    </row>
    <row r="473" spans="8:8" x14ac:dyDescent="0.3">
      <c r="H473" t="str">
        <f t="shared" si="57"/>
        <v/>
      </c>
    </row>
    <row r="474" spans="8:8" x14ac:dyDescent="0.3">
      <c r="H474" t="str">
        <f t="shared" si="57"/>
        <v/>
      </c>
    </row>
    <row r="475" spans="8:8" x14ac:dyDescent="0.3">
      <c r="H475" t="str">
        <f t="shared" si="57"/>
        <v/>
      </c>
    </row>
    <row r="476" spans="8:8" x14ac:dyDescent="0.3">
      <c r="H476" t="str">
        <f t="shared" si="57"/>
        <v/>
      </c>
    </row>
    <row r="477" spans="8:8" x14ac:dyDescent="0.3">
      <c r="H477" t="str">
        <f t="shared" si="57"/>
        <v/>
      </c>
    </row>
    <row r="478" spans="8:8" x14ac:dyDescent="0.3">
      <c r="H478" t="str">
        <f t="shared" si="57"/>
        <v/>
      </c>
    </row>
    <row r="479" spans="8:8" x14ac:dyDescent="0.3">
      <c r="H479" t="str">
        <f t="shared" si="57"/>
        <v/>
      </c>
    </row>
    <row r="480" spans="8:8" x14ac:dyDescent="0.3">
      <c r="H480" t="str">
        <f t="shared" si="57"/>
        <v/>
      </c>
    </row>
    <row r="481" spans="8:8" x14ac:dyDescent="0.3">
      <c r="H481" t="str">
        <f t="shared" si="57"/>
        <v/>
      </c>
    </row>
    <row r="482" spans="8:8" x14ac:dyDescent="0.3">
      <c r="H482" t="str">
        <f t="shared" si="57"/>
        <v/>
      </c>
    </row>
    <row r="483" spans="8:8" x14ac:dyDescent="0.3">
      <c r="H483" t="str">
        <f t="shared" si="57"/>
        <v/>
      </c>
    </row>
    <row r="484" spans="8:8" x14ac:dyDescent="0.3">
      <c r="H484" t="str">
        <f t="shared" si="57"/>
        <v/>
      </c>
    </row>
    <row r="485" spans="8:8" x14ac:dyDescent="0.3">
      <c r="H485" t="str">
        <f t="shared" si="57"/>
        <v/>
      </c>
    </row>
    <row r="486" spans="8:8" x14ac:dyDescent="0.3">
      <c r="H486" t="str">
        <f t="shared" si="57"/>
        <v/>
      </c>
    </row>
    <row r="487" spans="8:8" x14ac:dyDescent="0.3">
      <c r="H487" t="str">
        <f t="shared" si="57"/>
        <v/>
      </c>
    </row>
    <row r="488" spans="8:8" x14ac:dyDescent="0.3">
      <c r="H488" t="str">
        <f t="shared" si="57"/>
        <v/>
      </c>
    </row>
    <row r="489" spans="8:8" x14ac:dyDescent="0.3">
      <c r="H489" t="str">
        <f t="shared" si="57"/>
        <v/>
      </c>
    </row>
    <row r="490" spans="8:8" x14ac:dyDescent="0.3">
      <c r="H490" t="str">
        <f t="shared" si="57"/>
        <v/>
      </c>
    </row>
    <row r="491" spans="8:8" x14ac:dyDescent="0.3">
      <c r="H491" t="str">
        <f t="shared" si="57"/>
        <v/>
      </c>
    </row>
    <row r="492" spans="8:8" x14ac:dyDescent="0.3">
      <c r="H492" t="str">
        <f t="shared" si="57"/>
        <v/>
      </c>
    </row>
    <row r="493" spans="8:8" x14ac:dyDescent="0.3">
      <c r="H493" t="str">
        <f t="shared" si="57"/>
        <v/>
      </c>
    </row>
    <row r="494" spans="8:8" x14ac:dyDescent="0.3">
      <c r="H494" t="str">
        <f t="shared" si="57"/>
        <v/>
      </c>
    </row>
    <row r="495" spans="8:8" x14ac:dyDescent="0.3">
      <c r="H495" t="str">
        <f t="shared" si="57"/>
        <v/>
      </c>
    </row>
    <row r="496" spans="8:8" x14ac:dyDescent="0.3">
      <c r="H496" t="str">
        <f t="shared" si="57"/>
        <v/>
      </c>
    </row>
    <row r="497" spans="8:8" x14ac:dyDescent="0.3">
      <c r="H497" t="str">
        <f t="shared" si="57"/>
        <v/>
      </c>
    </row>
    <row r="498" spans="8:8" x14ac:dyDescent="0.3">
      <c r="H498" t="str">
        <f t="shared" si="57"/>
        <v/>
      </c>
    </row>
    <row r="499" spans="8:8" x14ac:dyDescent="0.3">
      <c r="H499" t="str">
        <f t="shared" si="57"/>
        <v/>
      </c>
    </row>
    <row r="500" spans="8:8" x14ac:dyDescent="0.3">
      <c r="H500" t="str">
        <f t="shared" si="57"/>
        <v/>
      </c>
    </row>
    <row r="501" spans="8:8" x14ac:dyDescent="0.3">
      <c r="H501" t="str">
        <f t="shared" si="57"/>
        <v/>
      </c>
    </row>
    <row r="502" spans="8:8" x14ac:dyDescent="0.3">
      <c r="H502" t="str">
        <f t="shared" si="57"/>
        <v/>
      </c>
    </row>
    <row r="503" spans="8:8" x14ac:dyDescent="0.3">
      <c r="H503" t="str">
        <f t="shared" si="57"/>
        <v/>
      </c>
    </row>
    <row r="504" spans="8:8" x14ac:dyDescent="0.3">
      <c r="H504" t="str">
        <f t="shared" si="57"/>
        <v/>
      </c>
    </row>
    <row r="505" spans="8:8" x14ac:dyDescent="0.3">
      <c r="H505" t="str">
        <f t="shared" si="57"/>
        <v/>
      </c>
    </row>
    <row r="506" spans="8:8" x14ac:dyDescent="0.3">
      <c r="H506" t="str">
        <f t="shared" si="57"/>
        <v/>
      </c>
    </row>
    <row r="507" spans="8:8" x14ac:dyDescent="0.3">
      <c r="H507" t="str">
        <f t="shared" si="57"/>
        <v/>
      </c>
    </row>
    <row r="508" spans="8:8" x14ac:dyDescent="0.3">
      <c r="H508" t="str">
        <f t="shared" si="57"/>
        <v/>
      </c>
    </row>
    <row r="509" spans="8:8" x14ac:dyDescent="0.3">
      <c r="H509" t="str">
        <f t="shared" si="57"/>
        <v/>
      </c>
    </row>
    <row r="510" spans="8:8" x14ac:dyDescent="0.3">
      <c r="H510" t="str">
        <f t="shared" si="57"/>
        <v/>
      </c>
    </row>
    <row r="511" spans="8:8" x14ac:dyDescent="0.3">
      <c r="H511" t="str">
        <f t="shared" si="57"/>
        <v/>
      </c>
    </row>
    <row r="512" spans="8:8" x14ac:dyDescent="0.3">
      <c r="H512" t="str">
        <f t="shared" si="57"/>
        <v/>
      </c>
    </row>
    <row r="513" spans="8:8" x14ac:dyDescent="0.3">
      <c r="H513" t="str">
        <f t="shared" si="57"/>
        <v/>
      </c>
    </row>
    <row r="514" spans="8:8" x14ac:dyDescent="0.3">
      <c r="H514" t="str">
        <f t="shared" si="57"/>
        <v/>
      </c>
    </row>
    <row r="515" spans="8:8" x14ac:dyDescent="0.3">
      <c r="H515" t="str">
        <f t="shared" si="57"/>
        <v/>
      </c>
    </row>
    <row r="516" spans="8:8" x14ac:dyDescent="0.3">
      <c r="H516" t="str">
        <f t="shared" si="57"/>
        <v/>
      </c>
    </row>
    <row r="517" spans="8:8" x14ac:dyDescent="0.3">
      <c r="H517" t="str">
        <f t="shared" si="57"/>
        <v/>
      </c>
    </row>
    <row r="518" spans="8:8" x14ac:dyDescent="0.3">
      <c r="H518" t="str">
        <f t="shared" si="57"/>
        <v/>
      </c>
    </row>
    <row r="519" spans="8:8" x14ac:dyDescent="0.3">
      <c r="H519" t="str">
        <f t="shared" si="57"/>
        <v/>
      </c>
    </row>
    <row r="520" spans="8:8" x14ac:dyDescent="0.3">
      <c r="H520" t="str">
        <f t="shared" si="57"/>
        <v/>
      </c>
    </row>
    <row r="521" spans="8:8" x14ac:dyDescent="0.3">
      <c r="H521" t="str">
        <f t="shared" si="57"/>
        <v/>
      </c>
    </row>
    <row r="522" spans="8:8" x14ac:dyDescent="0.3">
      <c r="H522" t="str">
        <f t="shared" si="57"/>
        <v/>
      </c>
    </row>
    <row r="523" spans="8:8" x14ac:dyDescent="0.3">
      <c r="H523" t="str">
        <f t="shared" si="57"/>
        <v/>
      </c>
    </row>
    <row r="524" spans="8:8" x14ac:dyDescent="0.3">
      <c r="H524" t="str">
        <f t="shared" si="57"/>
        <v/>
      </c>
    </row>
    <row r="525" spans="8:8" x14ac:dyDescent="0.3">
      <c r="H525" t="str">
        <f t="shared" si="57"/>
        <v/>
      </c>
    </row>
    <row r="526" spans="8:8" x14ac:dyDescent="0.3">
      <c r="H526" t="str">
        <f t="shared" si="57"/>
        <v/>
      </c>
    </row>
    <row r="527" spans="8:8" x14ac:dyDescent="0.3">
      <c r="H527" t="str">
        <f t="shared" si="57"/>
        <v/>
      </c>
    </row>
    <row r="528" spans="8:8" x14ac:dyDescent="0.3">
      <c r="H528" t="str">
        <f t="shared" si="57"/>
        <v/>
      </c>
    </row>
    <row r="529" spans="8:8" x14ac:dyDescent="0.3">
      <c r="H529" t="str">
        <f t="shared" si="57"/>
        <v/>
      </c>
    </row>
    <row r="530" spans="8:8" x14ac:dyDescent="0.3">
      <c r="H530" t="str">
        <f t="shared" si="57"/>
        <v/>
      </c>
    </row>
    <row r="531" spans="8:8" x14ac:dyDescent="0.3">
      <c r="H531" t="str">
        <f t="shared" si="57"/>
        <v/>
      </c>
    </row>
    <row r="532" spans="8:8" x14ac:dyDescent="0.3">
      <c r="H532" t="str">
        <f t="shared" si="57"/>
        <v/>
      </c>
    </row>
    <row r="533" spans="8:8" x14ac:dyDescent="0.3">
      <c r="H533" t="str">
        <f t="shared" si="57"/>
        <v/>
      </c>
    </row>
    <row r="534" spans="8:8" x14ac:dyDescent="0.3">
      <c r="H534" t="str">
        <f t="shared" si="57"/>
        <v/>
      </c>
    </row>
    <row r="535" spans="8:8" x14ac:dyDescent="0.3">
      <c r="H535" t="str">
        <f t="shared" ref="H535:H598" si="58">IF(B535="","",$C$12)</f>
        <v/>
      </c>
    </row>
    <row r="536" spans="8:8" x14ac:dyDescent="0.3">
      <c r="H536" t="str">
        <f t="shared" si="58"/>
        <v/>
      </c>
    </row>
    <row r="537" spans="8:8" x14ac:dyDescent="0.3">
      <c r="H537" t="str">
        <f t="shared" si="58"/>
        <v/>
      </c>
    </row>
    <row r="538" spans="8:8" x14ac:dyDescent="0.3">
      <c r="H538" t="str">
        <f t="shared" si="58"/>
        <v/>
      </c>
    </row>
    <row r="539" spans="8:8" x14ac:dyDescent="0.3">
      <c r="H539" t="str">
        <f t="shared" si="58"/>
        <v/>
      </c>
    </row>
    <row r="540" spans="8:8" x14ac:dyDescent="0.3">
      <c r="H540" t="str">
        <f t="shared" si="58"/>
        <v/>
      </c>
    </row>
    <row r="541" spans="8:8" x14ac:dyDescent="0.3">
      <c r="H541" t="str">
        <f t="shared" si="58"/>
        <v/>
      </c>
    </row>
    <row r="542" spans="8:8" x14ac:dyDescent="0.3">
      <c r="H542" t="str">
        <f t="shared" si="58"/>
        <v/>
      </c>
    </row>
    <row r="543" spans="8:8" x14ac:dyDescent="0.3">
      <c r="H543" t="str">
        <f t="shared" si="58"/>
        <v/>
      </c>
    </row>
    <row r="544" spans="8:8" x14ac:dyDescent="0.3">
      <c r="H544" t="str">
        <f t="shared" si="58"/>
        <v/>
      </c>
    </row>
    <row r="545" spans="8:8" x14ac:dyDescent="0.3">
      <c r="H545" t="str">
        <f t="shared" si="58"/>
        <v/>
      </c>
    </row>
    <row r="546" spans="8:8" x14ac:dyDescent="0.3">
      <c r="H546" t="str">
        <f t="shared" si="58"/>
        <v/>
      </c>
    </row>
    <row r="547" spans="8:8" x14ac:dyDescent="0.3">
      <c r="H547" t="str">
        <f t="shared" si="58"/>
        <v/>
      </c>
    </row>
    <row r="548" spans="8:8" x14ac:dyDescent="0.3">
      <c r="H548" t="str">
        <f t="shared" si="58"/>
        <v/>
      </c>
    </row>
    <row r="549" spans="8:8" x14ac:dyDescent="0.3">
      <c r="H549" t="str">
        <f t="shared" si="58"/>
        <v/>
      </c>
    </row>
    <row r="550" spans="8:8" x14ac:dyDescent="0.3">
      <c r="H550" t="str">
        <f t="shared" si="58"/>
        <v/>
      </c>
    </row>
    <row r="551" spans="8:8" x14ac:dyDescent="0.3">
      <c r="H551" t="str">
        <f t="shared" si="58"/>
        <v/>
      </c>
    </row>
    <row r="552" spans="8:8" x14ac:dyDescent="0.3">
      <c r="H552" t="str">
        <f t="shared" si="58"/>
        <v/>
      </c>
    </row>
    <row r="553" spans="8:8" x14ac:dyDescent="0.3">
      <c r="H553" t="str">
        <f t="shared" si="58"/>
        <v/>
      </c>
    </row>
    <row r="554" spans="8:8" x14ac:dyDescent="0.3">
      <c r="H554" t="str">
        <f t="shared" si="58"/>
        <v/>
      </c>
    </row>
    <row r="555" spans="8:8" x14ac:dyDescent="0.3">
      <c r="H555" t="str">
        <f t="shared" si="58"/>
        <v/>
      </c>
    </row>
    <row r="556" spans="8:8" x14ac:dyDescent="0.3">
      <c r="H556" t="str">
        <f t="shared" si="58"/>
        <v/>
      </c>
    </row>
    <row r="557" spans="8:8" x14ac:dyDescent="0.3">
      <c r="H557" t="str">
        <f t="shared" si="58"/>
        <v/>
      </c>
    </row>
    <row r="558" spans="8:8" x14ac:dyDescent="0.3">
      <c r="H558" t="str">
        <f t="shared" si="58"/>
        <v/>
      </c>
    </row>
    <row r="559" spans="8:8" x14ac:dyDescent="0.3">
      <c r="H559" t="str">
        <f t="shared" si="58"/>
        <v/>
      </c>
    </row>
    <row r="560" spans="8:8" x14ac:dyDescent="0.3">
      <c r="H560" t="str">
        <f t="shared" si="58"/>
        <v/>
      </c>
    </row>
    <row r="561" spans="8:8" x14ac:dyDescent="0.3">
      <c r="H561" t="str">
        <f t="shared" si="58"/>
        <v/>
      </c>
    </row>
    <row r="562" spans="8:8" x14ac:dyDescent="0.3">
      <c r="H562" t="str">
        <f t="shared" si="58"/>
        <v/>
      </c>
    </row>
    <row r="563" spans="8:8" x14ac:dyDescent="0.3">
      <c r="H563" t="str">
        <f t="shared" si="58"/>
        <v/>
      </c>
    </row>
    <row r="564" spans="8:8" x14ac:dyDescent="0.3">
      <c r="H564" t="str">
        <f t="shared" si="58"/>
        <v/>
      </c>
    </row>
    <row r="565" spans="8:8" x14ac:dyDescent="0.3">
      <c r="H565" t="str">
        <f t="shared" si="58"/>
        <v/>
      </c>
    </row>
    <row r="566" spans="8:8" x14ac:dyDescent="0.3">
      <c r="H566" t="str">
        <f t="shared" si="58"/>
        <v/>
      </c>
    </row>
    <row r="567" spans="8:8" x14ac:dyDescent="0.3">
      <c r="H567" t="str">
        <f t="shared" si="58"/>
        <v/>
      </c>
    </row>
    <row r="568" spans="8:8" x14ac:dyDescent="0.3">
      <c r="H568" t="str">
        <f t="shared" si="58"/>
        <v/>
      </c>
    </row>
    <row r="569" spans="8:8" x14ac:dyDescent="0.3">
      <c r="H569" t="str">
        <f t="shared" si="58"/>
        <v/>
      </c>
    </row>
    <row r="570" spans="8:8" x14ac:dyDescent="0.3">
      <c r="H570" t="str">
        <f t="shared" si="58"/>
        <v/>
      </c>
    </row>
    <row r="571" spans="8:8" x14ac:dyDescent="0.3">
      <c r="H571" t="str">
        <f t="shared" si="58"/>
        <v/>
      </c>
    </row>
    <row r="572" spans="8:8" x14ac:dyDescent="0.3">
      <c r="H572" t="str">
        <f t="shared" si="58"/>
        <v/>
      </c>
    </row>
    <row r="573" spans="8:8" x14ac:dyDescent="0.3">
      <c r="H573" t="str">
        <f t="shared" si="58"/>
        <v/>
      </c>
    </row>
    <row r="574" spans="8:8" x14ac:dyDescent="0.3">
      <c r="H574" t="str">
        <f t="shared" si="58"/>
        <v/>
      </c>
    </row>
    <row r="575" spans="8:8" x14ac:dyDescent="0.3">
      <c r="H575" t="str">
        <f t="shared" si="58"/>
        <v/>
      </c>
    </row>
    <row r="576" spans="8:8" x14ac:dyDescent="0.3">
      <c r="H576" t="str">
        <f t="shared" si="58"/>
        <v/>
      </c>
    </row>
    <row r="577" spans="8:8" x14ac:dyDescent="0.3">
      <c r="H577" t="str">
        <f t="shared" si="58"/>
        <v/>
      </c>
    </row>
    <row r="578" spans="8:8" x14ac:dyDescent="0.3">
      <c r="H578" t="str">
        <f t="shared" si="58"/>
        <v/>
      </c>
    </row>
    <row r="579" spans="8:8" x14ac:dyDescent="0.3">
      <c r="H579" t="str">
        <f t="shared" si="58"/>
        <v/>
      </c>
    </row>
    <row r="580" spans="8:8" x14ac:dyDescent="0.3">
      <c r="H580" t="str">
        <f t="shared" si="58"/>
        <v/>
      </c>
    </row>
    <row r="581" spans="8:8" x14ac:dyDescent="0.3">
      <c r="H581" t="str">
        <f t="shared" si="58"/>
        <v/>
      </c>
    </row>
    <row r="582" spans="8:8" x14ac:dyDescent="0.3">
      <c r="H582" t="str">
        <f t="shared" si="58"/>
        <v/>
      </c>
    </row>
    <row r="583" spans="8:8" x14ac:dyDescent="0.3">
      <c r="H583" t="str">
        <f t="shared" si="58"/>
        <v/>
      </c>
    </row>
    <row r="584" spans="8:8" x14ac:dyDescent="0.3">
      <c r="H584" t="str">
        <f t="shared" si="58"/>
        <v/>
      </c>
    </row>
    <row r="585" spans="8:8" x14ac:dyDescent="0.3">
      <c r="H585" t="str">
        <f t="shared" si="58"/>
        <v/>
      </c>
    </row>
    <row r="586" spans="8:8" x14ac:dyDescent="0.3">
      <c r="H586" t="str">
        <f t="shared" si="58"/>
        <v/>
      </c>
    </row>
    <row r="587" spans="8:8" x14ac:dyDescent="0.3">
      <c r="H587" t="str">
        <f t="shared" si="58"/>
        <v/>
      </c>
    </row>
    <row r="588" spans="8:8" x14ac:dyDescent="0.3">
      <c r="H588" t="str">
        <f t="shared" si="58"/>
        <v/>
      </c>
    </row>
    <row r="589" spans="8:8" x14ac:dyDescent="0.3">
      <c r="H589" t="str">
        <f t="shared" si="58"/>
        <v/>
      </c>
    </row>
    <row r="590" spans="8:8" x14ac:dyDescent="0.3">
      <c r="H590" t="str">
        <f t="shared" si="58"/>
        <v/>
      </c>
    </row>
    <row r="591" spans="8:8" x14ac:dyDescent="0.3">
      <c r="H591" t="str">
        <f t="shared" si="58"/>
        <v/>
      </c>
    </row>
    <row r="592" spans="8:8" x14ac:dyDescent="0.3">
      <c r="H592" t="str">
        <f t="shared" si="58"/>
        <v/>
      </c>
    </row>
    <row r="593" spans="8:8" x14ac:dyDescent="0.3">
      <c r="H593" t="str">
        <f t="shared" si="58"/>
        <v/>
      </c>
    </row>
    <row r="594" spans="8:8" x14ac:dyDescent="0.3">
      <c r="H594" t="str">
        <f t="shared" si="58"/>
        <v/>
      </c>
    </row>
    <row r="595" spans="8:8" x14ac:dyDescent="0.3">
      <c r="H595" t="str">
        <f t="shared" si="58"/>
        <v/>
      </c>
    </row>
    <row r="596" spans="8:8" x14ac:dyDescent="0.3">
      <c r="H596" t="str">
        <f t="shared" si="58"/>
        <v/>
      </c>
    </row>
    <row r="597" spans="8:8" x14ac:dyDescent="0.3">
      <c r="H597" t="str">
        <f t="shared" si="58"/>
        <v/>
      </c>
    </row>
    <row r="598" spans="8:8" x14ac:dyDescent="0.3">
      <c r="H598" t="str">
        <f t="shared" si="58"/>
        <v/>
      </c>
    </row>
    <row r="599" spans="8:8" x14ac:dyDescent="0.3">
      <c r="H599" t="str">
        <f t="shared" ref="H599:H662" si="59">IF(B599="","",$C$12)</f>
        <v/>
      </c>
    </row>
    <row r="600" spans="8:8" x14ac:dyDescent="0.3">
      <c r="H600" t="str">
        <f t="shared" si="59"/>
        <v/>
      </c>
    </row>
    <row r="601" spans="8:8" x14ac:dyDescent="0.3">
      <c r="H601" t="str">
        <f t="shared" si="59"/>
        <v/>
      </c>
    </row>
    <row r="602" spans="8:8" x14ac:dyDescent="0.3">
      <c r="H602" t="str">
        <f t="shared" si="59"/>
        <v/>
      </c>
    </row>
    <row r="603" spans="8:8" x14ac:dyDescent="0.3">
      <c r="H603" t="str">
        <f t="shared" si="59"/>
        <v/>
      </c>
    </row>
    <row r="604" spans="8:8" x14ac:dyDescent="0.3">
      <c r="H604" t="str">
        <f t="shared" si="59"/>
        <v/>
      </c>
    </row>
    <row r="605" spans="8:8" x14ac:dyDescent="0.3">
      <c r="H605" t="str">
        <f t="shared" si="59"/>
        <v/>
      </c>
    </row>
    <row r="606" spans="8:8" x14ac:dyDescent="0.3">
      <c r="H606" t="str">
        <f t="shared" si="59"/>
        <v/>
      </c>
    </row>
    <row r="607" spans="8:8" x14ac:dyDescent="0.3">
      <c r="H607" t="str">
        <f t="shared" si="59"/>
        <v/>
      </c>
    </row>
    <row r="608" spans="8:8" x14ac:dyDescent="0.3">
      <c r="H608" t="str">
        <f t="shared" si="59"/>
        <v/>
      </c>
    </row>
    <row r="609" spans="8:8" x14ac:dyDescent="0.3">
      <c r="H609" t="str">
        <f t="shared" si="59"/>
        <v/>
      </c>
    </row>
    <row r="610" spans="8:8" x14ac:dyDescent="0.3">
      <c r="H610" t="str">
        <f t="shared" si="59"/>
        <v/>
      </c>
    </row>
    <row r="611" spans="8:8" x14ac:dyDescent="0.3">
      <c r="H611" t="str">
        <f t="shared" si="59"/>
        <v/>
      </c>
    </row>
    <row r="612" spans="8:8" x14ac:dyDescent="0.3">
      <c r="H612" t="str">
        <f t="shared" si="59"/>
        <v/>
      </c>
    </row>
    <row r="613" spans="8:8" x14ac:dyDescent="0.3">
      <c r="H613" t="str">
        <f t="shared" si="59"/>
        <v/>
      </c>
    </row>
    <row r="614" spans="8:8" x14ac:dyDescent="0.3">
      <c r="H614" t="str">
        <f t="shared" si="59"/>
        <v/>
      </c>
    </row>
    <row r="615" spans="8:8" x14ac:dyDescent="0.3">
      <c r="H615" t="str">
        <f t="shared" si="59"/>
        <v/>
      </c>
    </row>
    <row r="616" spans="8:8" x14ac:dyDescent="0.3">
      <c r="H616" t="str">
        <f t="shared" si="59"/>
        <v/>
      </c>
    </row>
    <row r="617" spans="8:8" x14ac:dyDescent="0.3">
      <c r="H617" t="str">
        <f t="shared" si="59"/>
        <v/>
      </c>
    </row>
    <row r="618" spans="8:8" x14ac:dyDescent="0.3">
      <c r="H618" t="str">
        <f t="shared" si="59"/>
        <v/>
      </c>
    </row>
    <row r="619" spans="8:8" x14ac:dyDescent="0.3">
      <c r="H619" t="str">
        <f t="shared" si="59"/>
        <v/>
      </c>
    </row>
    <row r="620" spans="8:8" x14ac:dyDescent="0.3">
      <c r="H620" t="str">
        <f t="shared" si="59"/>
        <v/>
      </c>
    </row>
    <row r="621" spans="8:8" x14ac:dyDescent="0.3">
      <c r="H621" t="str">
        <f t="shared" si="59"/>
        <v/>
      </c>
    </row>
    <row r="622" spans="8:8" x14ac:dyDescent="0.3">
      <c r="H622" t="str">
        <f t="shared" si="59"/>
        <v/>
      </c>
    </row>
    <row r="623" spans="8:8" x14ac:dyDescent="0.3">
      <c r="H623" t="str">
        <f t="shared" si="59"/>
        <v/>
      </c>
    </row>
    <row r="624" spans="8:8" x14ac:dyDescent="0.3">
      <c r="H624" t="str">
        <f t="shared" si="59"/>
        <v/>
      </c>
    </row>
    <row r="625" spans="8:8" x14ac:dyDescent="0.3">
      <c r="H625" t="str">
        <f t="shared" si="59"/>
        <v/>
      </c>
    </row>
    <row r="626" spans="8:8" x14ac:dyDescent="0.3">
      <c r="H626" t="str">
        <f t="shared" si="59"/>
        <v/>
      </c>
    </row>
    <row r="627" spans="8:8" x14ac:dyDescent="0.3">
      <c r="H627" t="str">
        <f t="shared" si="59"/>
        <v/>
      </c>
    </row>
    <row r="628" spans="8:8" x14ac:dyDescent="0.3">
      <c r="H628" t="str">
        <f t="shared" si="59"/>
        <v/>
      </c>
    </row>
    <row r="629" spans="8:8" x14ac:dyDescent="0.3">
      <c r="H629" t="str">
        <f t="shared" si="59"/>
        <v/>
      </c>
    </row>
    <row r="630" spans="8:8" x14ac:dyDescent="0.3">
      <c r="H630" t="str">
        <f t="shared" si="59"/>
        <v/>
      </c>
    </row>
    <row r="631" spans="8:8" x14ac:dyDescent="0.3">
      <c r="H631" t="str">
        <f t="shared" si="59"/>
        <v/>
      </c>
    </row>
    <row r="632" spans="8:8" x14ac:dyDescent="0.3">
      <c r="H632" t="str">
        <f t="shared" si="59"/>
        <v/>
      </c>
    </row>
    <row r="633" spans="8:8" x14ac:dyDescent="0.3">
      <c r="H633" t="str">
        <f t="shared" si="59"/>
        <v/>
      </c>
    </row>
    <row r="634" spans="8:8" x14ac:dyDescent="0.3">
      <c r="H634" t="str">
        <f t="shared" si="59"/>
        <v/>
      </c>
    </row>
    <row r="635" spans="8:8" x14ac:dyDescent="0.3">
      <c r="H635" t="str">
        <f t="shared" si="59"/>
        <v/>
      </c>
    </row>
    <row r="636" spans="8:8" x14ac:dyDescent="0.3">
      <c r="H636" t="str">
        <f t="shared" si="59"/>
        <v/>
      </c>
    </row>
    <row r="637" spans="8:8" x14ac:dyDescent="0.3">
      <c r="H637" t="str">
        <f t="shared" si="59"/>
        <v/>
      </c>
    </row>
    <row r="638" spans="8:8" x14ac:dyDescent="0.3">
      <c r="H638" t="str">
        <f t="shared" si="59"/>
        <v/>
      </c>
    </row>
    <row r="639" spans="8:8" x14ac:dyDescent="0.3">
      <c r="H639" t="str">
        <f t="shared" si="59"/>
        <v/>
      </c>
    </row>
    <row r="640" spans="8:8" x14ac:dyDescent="0.3">
      <c r="H640" t="str">
        <f t="shared" si="59"/>
        <v/>
      </c>
    </row>
    <row r="641" spans="8:8" x14ac:dyDescent="0.3">
      <c r="H641" t="str">
        <f t="shared" si="59"/>
        <v/>
      </c>
    </row>
    <row r="642" spans="8:8" x14ac:dyDescent="0.3">
      <c r="H642" t="str">
        <f t="shared" si="59"/>
        <v/>
      </c>
    </row>
    <row r="643" spans="8:8" x14ac:dyDescent="0.3">
      <c r="H643" t="str">
        <f t="shared" si="59"/>
        <v/>
      </c>
    </row>
    <row r="644" spans="8:8" x14ac:dyDescent="0.3">
      <c r="H644" t="str">
        <f t="shared" si="59"/>
        <v/>
      </c>
    </row>
    <row r="645" spans="8:8" x14ac:dyDescent="0.3">
      <c r="H645" t="str">
        <f t="shared" si="59"/>
        <v/>
      </c>
    </row>
    <row r="646" spans="8:8" x14ac:dyDescent="0.3">
      <c r="H646" t="str">
        <f t="shared" si="59"/>
        <v/>
      </c>
    </row>
    <row r="647" spans="8:8" x14ac:dyDescent="0.3">
      <c r="H647" t="str">
        <f t="shared" si="59"/>
        <v/>
      </c>
    </row>
    <row r="648" spans="8:8" x14ac:dyDescent="0.3">
      <c r="H648" t="str">
        <f t="shared" si="59"/>
        <v/>
      </c>
    </row>
    <row r="649" spans="8:8" x14ac:dyDescent="0.3">
      <c r="H649" t="str">
        <f t="shared" si="59"/>
        <v/>
      </c>
    </row>
    <row r="650" spans="8:8" x14ac:dyDescent="0.3">
      <c r="H650" t="str">
        <f t="shared" si="59"/>
        <v/>
      </c>
    </row>
    <row r="651" spans="8:8" x14ac:dyDescent="0.3">
      <c r="H651" t="str">
        <f t="shared" si="59"/>
        <v/>
      </c>
    </row>
    <row r="652" spans="8:8" x14ac:dyDescent="0.3">
      <c r="H652" t="str">
        <f t="shared" si="59"/>
        <v/>
      </c>
    </row>
    <row r="653" spans="8:8" x14ac:dyDescent="0.3">
      <c r="H653" t="str">
        <f t="shared" si="59"/>
        <v/>
      </c>
    </row>
    <row r="654" spans="8:8" x14ac:dyDescent="0.3">
      <c r="H654" t="str">
        <f t="shared" si="59"/>
        <v/>
      </c>
    </row>
    <row r="655" spans="8:8" x14ac:dyDescent="0.3">
      <c r="H655" t="str">
        <f t="shared" si="59"/>
        <v/>
      </c>
    </row>
    <row r="656" spans="8:8" x14ac:dyDescent="0.3">
      <c r="H656" t="str">
        <f t="shared" si="59"/>
        <v/>
      </c>
    </row>
    <row r="657" spans="8:8" x14ac:dyDescent="0.3">
      <c r="H657" t="str">
        <f t="shared" si="59"/>
        <v/>
      </c>
    </row>
    <row r="658" spans="8:8" x14ac:dyDescent="0.3">
      <c r="H658" t="str">
        <f t="shared" si="59"/>
        <v/>
      </c>
    </row>
    <row r="659" spans="8:8" x14ac:dyDescent="0.3">
      <c r="H659" t="str">
        <f t="shared" si="59"/>
        <v/>
      </c>
    </row>
    <row r="660" spans="8:8" x14ac:dyDescent="0.3">
      <c r="H660" t="str">
        <f t="shared" si="59"/>
        <v/>
      </c>
    </row>
    <row r="661" spans="8:8" x14ac:dyDescent="0.3">
      <c r="H661" t="str">
        <f t="shared" si="59"/>
        <v/>
      </c>
    </row>
    <row r="662" spans="8:8" x14ac:dyDescent="0.3">
      <c r="H662" t="str">
        <f t="shared" si="59"/>
        <v/>
      </c>
    </row>
    <row r="663" spans="8:8" x14ac:dyDescent="0.3">
      <c r="H663" t="str">
        <f t="shared" ref="H663:H726" si="60">IF(B663="","",$C$12)</f>
        <v/>
      </c>
    </row>
    <row r="664" spans="8:8" x14ac:dyDescent="0.3">
      <c r="H664" t="str">
        <f t="shared" si="60"/>
        <v/>
      </c>
    </row>
    <row r="665" spans="8:8" x14ac:dyDescent="0.3">
      <c r="H665" t="str">
        <f t="shared" si="60"/>
        <v/>
      </c>
    </row>
    <row r="666" spans="8:8" x14ac:dyDescent="0.3">
      <c r="H666" t="str">
        <f t="shared" si="60"/>
        <v/>
      </c>
    </row>
    <row r="667" spans="8:8" x14ac:dyDescent="0.3">
      <c r="H667" t="str">
        <f t="shared" si="60"/>
        <v/>
      </c>
    </row>
    <row r="668" spans="8:8" x14ac:dyDescent="0.3">
      <c r="H668" t="str">
        <f t="shared" si="60"/>
        <v/>
      </c>
    </row>
    <row r="669" spans="8:8" x14ac:dyDescent="0.3">
      <c r="H669" t="str">
        <f t="shared" si="60"/>
        <v/>
      </c>
    </row>
    <row r="670" spans="8:8" x14ac:dyDescent="0.3">
      <c r="H670" t="str">
        <f t="shared" si="60"/>
        <v/>
      </c>
    </row>
    <row r="671" spans="8:8" x14ac:dyDescent="0.3">
      <c r="H671" t="str">
        <f t="shared" si="60"/>
        <v/>
      </c>
    </row>
    <row r="672" spans="8:8" x14ac:dyDescent="0.3">
      <c r="H672" t="str">
        <f t="shared" si="60"/>
        <v/>
      </c>
    </row>
    <row r="673" spans="8:8" x14ac:dyDescent="0.3">
      <c r="H673" t="str">
        <f t="shared" si="60"/>
        <v/>
      </c>
    </row>
    <row r="674" spans="8:8" x14ac:dyDescent="0.3">
      <c r="H674" t="str">
        <f t="shared" si="60"/>
        <v/>
      </c>
    </row>
    <row r="675" spans="8:8" x14ac:dyDescent="0.3">
      <c r="H675" t="str">
        <f t="shared" si="60"/>
        <v/>
      </c>
    </row>
    <row r="676" spans="8:8" x14ac:dyDescent="0.3">
      <c r="H676" t="str">
        <f t="shared" si="60"/>
        <v/>
      </c>
    </row>
    <row r="677" spans="8:8" x14ac:dyDescent="0.3">
      <c r="H677" t="str">
        <f t="shared" si="60"/>
        <v/>
      </c>
    </row>
    <row r="678" spans="8:8" x14ac:dyDescent="0.3">
      <c r="H678" t="str">
        <f t="shared" si="60"/>
        <v/>
      </c>
    </row>
    <row r="679" spans="8:8" x14ac:dyDescent="0.3">
      <c r="H679" t="str">
        <f t="shared" si="60"/>
        <v/>
      </c>
    </row>
    <row r="680" spans="8:8" x14ac:dyDescent="0.3">
      <c r="H680" t="str">
        <f t="shared" si="60"/>
        <v/>
      </c>
    </row>
    <row r="681" spans="8:8" x14ac:dyDescent="0.3">
      <c r="H681" t="str">
        <f t="shared" si="60"/>
        <v/>
      </c>
    </row>
    <row r="682" spans="8:8" x14ac:dyDescent="0.3">
      <c r="H682" t="str">
        <f t="shared" si="60"/>
        <v/>
      </c>
    </row>
    <row r="683" spans="8:8" x14ac:dyDescent="0.3">
      <c r="H683" t="str">
        <f t="shared" si="60"/>
        <v/>
      </c>
    </row>
    <row r="684" spans="8:8" x14ac:dyDescent="0.3">
      <c r="H684" t="str">
        <f t="shared" si="60"/>
        <v/>
      </c>
    </row>
    <row r="685" spans="8:8" x14ac:dyDescent="0.3">
      <c r="H685" t="str">
        <f t="shared" si="60"/>
        <v/>
      </c>
    </row>
    <row r="686" spans="8:8" x14ac:dyDescent="0.3">
      <c r="H686" t="str">
        <f t="shared" si="60"/>
        <v/>
      </c>
    </row>
    <row r="687" spans="8:8" x14ac:dyDescent="0.3">
      <c r="H687" t="str">
        <f t="shared" si="60"/>
        <v/>
      </c>
    </row>
    <row r="688" spans="8:8" x14ac:dyDescent="0.3">
      <c r="H688" t="str">
        <f t="shared" si="60"/>
        <v/>
      </c>
    </row>
    <row r="689" spans="8:8" x14ac:dyDescent="0.3">
      <c r="H689" t="str">
        <f t="shared" si="60"/>
        <v/>
      </c>
    </row>
    <row r="690" spans="8:8" x14ac:dyDescent="0.3">
      <c r="H690" t="str">
        <f t="shared" si="60"/>
        <v/>
      </c>
    </row>
    <row r="691" spans="8:8" x14ac:dyDescent="0.3">
      <c r="H691" t="str">
        <f t="shared" si="60"/>
        <v/>
      </c>
    </row>
    <row r="692" spans="8:8" x14ac:dyDescent="0.3">
      <c r="H692" t="str">
        <f t="shared" si="60"/>
        <v/>
      </c>
    </row>
    <row r="693" spans="8:8" x14ac:dyDescent="0.3">
      <c r="H693" t="str">
        <f t="shared" si="60"/>
        <v/>
      </c>
    </row>
    <row r="694" spans="8:8" x14ac:dyDescent="0.3">
      <c r="H694" t="str">
        <f t="shared" si="60"/>
        <v/>
      </c>
    </row>
    <row r="695" spans="8:8" x14ac:dyDescent="0.3">
      <c r="H695" t="str">
        <f t="shared" si="60"/>
        <v/>
      </c>
    </row>
    <row r="696" spans="8:8" x14ac:dyDescent="0.3">
      <c r="H696" t="str">
        <f t="shared" si="60"/>
        <v/>
      </c>
    </row>
    <row r="697" spans="8:8" x14ac:dyDescent="0.3">
      <c r="H697" t="str">
        <f t="shared" si="60"/>
        <v/>
      </c>
    </row>
    <row r="698" spans="8:8" x14ac:dyDescent="0.3">
      <c r="H698" t="str">
        <f t="shared" si="60"/>
        <v/>
      </c>
    </row>
    <row r="699" spans="8:8" x14ac:dyDescent="0.3">
      <c r="H699" t="str">
        <f t="shared" si="60"/>
        <v/>
      </c>
    </row>
    <row r="700" spans="8:8" x14ac:dyDescent="0.3">
      <c r="H700" t="str">
        <f t="shared" si="60"/>
        <v/>
      </c>
    </row>
    <row r="701" spans="8:8" x14ac:dyDescent="0.3">
      <c r="H701" t="str">
        <f t="shared" si="60"/>
        <v/>
      </c>
    </row>
    <row r="702" spans="8:8" x14ac:dyDescent="0.3">
      <c r="H702" t="str">
        <f t="shared" si="60"/>
        <v/>
      </c>
    </row>
    <row r="703" spans="8:8" x14ac:dyDescent="0.3">
      <c r="H703" t="str">
        <f t="shared" si="60"/>
        <v/>
      </c>
    </row>
    <row r="704" spans="8:8" x14ac:dyDescent="0.3">
      <c r="H704" t="str">
        <f t="shared" si="60"/>
        <v/>
      </c>
    </row>
    <row r="705" spans="8:8" x14ac:dyDescent="0.3">
      <c r="H705" t="str">
        <f t="shared" si="60"/>
        <v/>
      </c>
    </row>
    <row r="706" spans="8:8" x14ac:dyDescent="0.3">
      <c r="H706" t="str">
        <f t="shared" si="60"/>
        <v/>
      </c>
    </row>
    <row r="707" spans="8:8" x14ac:dyDescent="0.3">
      <c r="H707" t="str">
        <f t="shared" si="60"/>
        <v/>
      </c>
    </row>
    <row r="708" spans="8:8" x14ac:dyDescent="0.3">
      <c r="H708" t="str">
        <f t="shared" si="60"/>
        <v/>
      </c>
    </row>
    <row r="709" spans="8:8" x14ac:dyDescent="0.3">
      <c r="H709" t="str">
        <f t="shared" si="60"/>
        <v/>
      </c>
    </row>
    <row r="710" spans="8:8" x14ac:dyDescent="0.3">
      <c r="H710" t="str">
        <f t="shared" si="60"/>
        <v/>
      </c>
    </row>
    <row r="711" spans="8:8" x14ac:dyDescent="0.3">
      <c r="H711" t="str">
        <f t="shared" si="60"/>
        <v/>
      </c>
    </row>
    <row r="712" spans="8:8" x14ac:dyDescent="0.3">
      <c r="H712" t="str">
        <f t="shared" si="60"/>
        <v/>
      </c>
    </row>
    <row r="713" spans="8:8" x14ac:dyDescent="0.3">
      <c r="H713" t="str">
        <f t="shared" si="60"/>
        <v/>
      </c>
    </row>
    <row r="714" spans="8:8" x14ac:dyDescent="0.3">
      <c r="H714" t="str">
        <f t="shared" si="60"/>
        <v/>
      </c>
    </row>
    <row r="715" spans="8:8" x14ac:dyDescent="0.3">
      <c r="H715" t="str">
        <f t="shared" si="60"/>
        <v/>
      </c>
    </row>
    <row r="716" spans="8:8" x14ac:dyDescent="0.3">
      <c r="H716" t="str">
        <f t="shared" si="60"/>
        <v/>
      </c>
    </row>
    <row r="717" spans="8:8" x14ac:dyDescent="0.3">
      <c r="H717" t="str">
        <f t="shared" si="60"/>
        <v/>
      </c>
    </row>
    <row r="718" spans="8:8" x14ac:dyDescent="0.3">
      <c r="H718" t="str">
        <f t="shared" si="60"/>
        <v/>
      </c>
    </row>
    <row r="719" spans="8:8" x14ac:dyDescent="0.3">
      <c r="H719" t="str">
        <f t="shared" si="60"/>
        <v/>
      </c>
    </row>
    <row r="720" spans="8:8" x14ac:dyDescent="0.3">
      <c r="H720" t="str">
        <f t="shared" si="60"/>
        <v/>
      </c>
    </row>
    <row r="721" spans="8:8" x14ac:dyDescent="0.3">
      <c r="H721" t="str">
        <f t="shared" si="60"/>
        <v/>
      </c>
    </row>
    <row r="722" spans="8:8" x14ac:dyDescent="0.3">
      <c r="H722" t="str">
        <f t="shared" si="60"/>
        <v/>
      </c>
    </row>
    <row r="723" spans="8:8" x14ac:dyDescent="0.3">
      <c r="H723" t="str">
        <f t="shared" si="60"/>
        <v/>
      </c>
    </row>
    <row r="724" spans="8:8" x14ac:dyDescent="0.3">
      <c r="H724" t="str">
        <f t="shared" si="60"/>
        <v/>
      </c>
    </row>
    <row r="725" spans="8:8" x14ac:dyDescent="0.3">
      <c r="H725" t="str">
        <f t="shared" si="60"/>
        <v/>
      </c>
    </row>
    <row r="726" spans="8:8" x14ac:dyDescent="0.3">
      <c r="H726" t="str">
        <f t="shared" si="60"/>
        <v/>
      </c>
    </row>
    <row r="727" spans="8:8" x14ac:dyDescent="0.3">
      <c r="H727" t="str">
        <f t="shared" ref="H727:H790" si="61">IF(B727="","",$C$12)</f>
        <v/>
      </c>
    </row>
    <row r="728" spans="8:8" x14ac:dyDescent="0.3">
      <c r="H728" t="str">
        <f t="shared" si="61"/>
        <v/>
      </c>
    </row>
    <row r="729" spans="8:8" x14ac:dyDescent="0.3">
      <c r="H729" t="str">
        <f t="shared" si="61"/>
        <v/>
      </c>
    </row>
    <row r="730" spans="8:8" x14ac:dyDescent="0.3">
      <c r="H730" t="str">
        <f t="shared" si="61"/>
        <v/>
      </c>
    </row>
    <row r="731" spans="8:8" x14ac:dyDescent="0.3">
      <c r="H731" t="str">
        <f t="shared" si="61"/>
        <v/>
      </c>
    </row>
    <row r="732" spans="8:8" x14ac:dyDescent="0.3">
      <c r="H732" t="str">
        <f t="shared" si="61"/>
        <v/>
      </c>
    </row>
    <row r="733" spans="8:8" x14ac:dyDescent="0.3">
      <c r="H733" t="str">
        <f t="shared" si="61"/>
        <v/>
      </c>
    </row>
    <row r="734" spans="8:8" x14ac:dyDescent="0.3">
      <c r="H734" t="str">
        <f t="shared" si="61"/>
        <v/>
      </c>
    </row>
    <row r="735" spans="8:8" x14ac:dyDescent="0.3">
      <c r="H735" t="str">
        <f t="shared" si="61"/>
        <v/>
      </c>
    </row>
    <row r="736" spans="8:8" x14ac:dyDescent="0.3">
      <c r="H736" t="str">
        <f t="shared" si="61"/>
        <v/>
      </c>
    </row>
    <row r="737" spans="8:8" x14ac:dyDescent="0.3">
      <c r="H737" t="str">
        <f t="shared" si="61"/>
        <v/>
      </c>
    </row>
    <row r="738" spans="8:8" x14ac:dyDescent="0.3">
      <c r="H738" t="str">
        <f t="shared" si="61"/>
        <v/>
      </c>
    </row>
    <row r="739" spans="8:8" x14ac:dyDescent="0.3">
      <c r="H739" t="str">
        <f t="shared" si="61"/>
        <v/>
      </c>
    </row>
    <row r="740" spans="8:8" x14ac:dyDescent="0.3">
      <c r="H740" t="str">
        <f t="shared" si="61"/>
        <v/>
      </c>
    </row>
    <row r="741" spans="8:8" x14ac:dyDescent="0.3">
      <c r="H741" t="str">
        <f t="shared" si="61"/>
        <v/>
      </c>
    </row>
    <row r="742" spans="8:8" x14ac:dyDescent="0.3">
      <c r="H742" t="str">
        <f t="shared" si="61"/>
        <v/>
      </c>
    </row>
    <row r="743" spans="8:8" x14ac:dyDescent="0.3">
      <c r="H743" t="str">
        <f t="shared" si="61"/>
        <v/>
      </c>
    </row>
    <row r="744" spans="8:8" x14ac:dyDescent="0.3">
      <c r="H744" t="str">
        <f t="shared" si="61"/>
        <v/>
      </c>
    </row>
    <row r="745" spans="8:8" x14ac:dyDescent="0.3">
      <c r="H745" t="str">
        <f t="shared" si="61"/>
        <v/>
      </c>
    </row>
    <row r="746" spans="8:8" x14ac:dyDescent="0.3">
      <c r="H746" t="str">
        <f t="shared" si="61"/>
        <v/>
      </c>
    </row>
    <row r="747" spans="8:8" x14ac:dyDescent="0.3">
      <c r="H747" t="str">
        <f t="shared" si="61"/>
        <v/>
      </c>
    </row>
    <row r="748" spans="8:8" x14ac:dyDescent="0.3">
      <c r="H748" t="str">
        <f t="shared" si="61"/>
        <v/>
      </c>
    </row>
    <row r="749" spans="8:8" x14ac:dyDescent="0.3">
      <c r="H749" t="str">
        <f t="shared" si="61"/>
        <v/>
      </c>
    </row>
    <row r="750" spans="8:8" x14ac:dyDescent="0.3">
      <c r="H750" t="str">
        <f t="shared" si="61"/>
        <v/>
      </c>
    </row>
    <row r="751" spans="8:8" x14ac:dyDescent="0.3">
      <c r="H751" t="str">
        <f t="shared" si="61"/>
        <v/>
      </c>
    </row>
    <row r="752" spans="8:8" x14ac:dyDescent="0.3">
      <c r="H752" t="str">
        <f t="shared" si="61"/>
        <v/>
      </c>
    </row>
    <row r="753" spans="8:8" x14ac:dyDescent="0.3">
      <c r="H753" t="str">
        <f t="shared" si="61"/>
        <v/>
      </c>
    </row>
    <row r="754" spans="8:8" x14ac:dyDescent="0.3">
      <c r="H754" t="str">
        <f t="shared" si="61"/>
        <v/>
      </c>
    </row>
    <row r="755" spans="8:8" x14ac:dyDescent="0.3">
      <c r="H755" t="str">
        <f t="shared" si="61"/>
        <v/>
      </c>
    </row>
    <row r="756" spans="8:8" x14ac:dyDescent="0.3">
      <c r="H756" t="str">
        <f t="shared" si="61"/>
        <v/>
      </c>
    </row>
    <row r="757" spans="8:8" x14ac:dyDescent="0.3">
      <c r="H757" t="str">
        <f t="shared" si="61"/>
        <v/>
      </c>
    </row>
    <row r="758" spans="8:8" x14ac:dyDescent="0.3">
      <c r="H758" t="str">
        <f t="shared" si="61"/>
        <v/>
      </c>
    </row>
    <row r="759" spans="8:8" x14ac:dyDescent="0.3">
      <c r="H759" t="str">
        <f t="shared" si="61"/>
        <v/>
      </c>
    </row>
    <row r="760" spans="8:8" x14ac:dyDescent="0.3">
      <c r="H760" t="str">
        <f t="shared" si="61"/>
        <v/>
      </c>
    </row>
    <row r="761" spans="8:8" x14ac:dyDescent="0.3">
      <c r="H761" t="str">
        <f t="shared" si="61"/>
        <v/>
      </c>
    </row>
    <row r="762" spans="8:8" x14ac:dyDescent="0.3">
      <c r="H762" t="str">
        <f t="shared" si="61"/>
        <v/>
      </c>
    </row>
    <row r="763" spans="8:8" x14ac:dyDescent="0.3">
      <c r="H763" t="str">
        <f t="shared" si="61"/>
        <v/>
      </c>
    </row>
    <row r="764" spans="8:8" x14ac:dyDescent="0.3">
      <c r="H764" t="str">
        <f t="shared" si="61"/>
        <v/>
      </c>
    </row>
    <row r="765" spans="8:8" x14ac:dyDescent="0.3">
      <c r="H765" t="str">
        <f t="shared" si="61"/>
        <v/>
      </c>
    </row>
    <row r="766" spans="8:8" x14ac:dyDescent="0.3">
      <c r="H766" t="str">
        <f t="shared" si="61"/>
        <v/>
      </c>
    </row>
    <row r="767" spans="8:8" x14ac:dyDescent="0.3">
      <c r="H767" t="str">
        <f t="shared" si="61"/>
        <v/>
      </c>
    </row>
    <row r="768" spans="8:8" x14ac:dyDescent="0.3">
      <c r="H768" t="str">
        <f t="shared" si="61"/>
        <v/>
      </c>
    </row>
    <row r="769" spans="8:8" x14ac:dyDescent="0.3">
      <c r="H769" t="str">
        <f t="shared" si="61"/>
        <v/>
      </c>
    </row>
    <row r="770" spans="8:8" x14ac:dyDescent="0.3">
      <c r="H770" t="str">
        <f t="shared" si="61"/>
        <v/>
      </c>
    </row>
    <row r="771" spans="8:8" x14ac:dyDescent="0.3">
      <c r="H771" t="str">
        <f t="shared" si="61"/>
        <v/>
      </c>
    </row>
    <row r="772" spans="8:8" x14ac:dyDescent="0.3">
      <c r="H772" t="str">
        <f t="shared" si="61"/>
        <v/>
      </c>
    </row>
    <row r="773" spans="8:8" x14ac:dyDescent="0.3">
      <c r="H773" t="str">
        <f t="shared" si="61"/>
        <v/>
      </c>
    </row>
    <row r="774" spans="8:8" x14ac:dyDescent="0.3">
      <c r="H774" t="str">
        <f t="shared" si="61"/>
        <v/>
      </c>
    </row>
    <row r="775" spans="8:8" x14ac:dyDescent="0.3">
      <c r="H775" t="str">
        <f t="shared" si="61"/>
        <v/>
      </c>
    </row>
    <row r="776" spans="8:8" x14ac:dyDescent="0.3">
      <c r="H776" t="str">
        <f t="shared" si="61"/>
        <v/>
      </c>
    </row>
    <row r="777" spans="8:8" x14ac:dyDescent="0.3">
      <c r="H777" t="str">
        <f t="shared" si="61"/>
        <v/>
      </c>
    </row>
    <row r="778" spans="8:8" x14ac:dyDescent="0.3">
      <c r="H778" t="str">
        <f t="shared" si="61"/>
        <v/>
      </c>
    </row>
    <row r="779" spans="8:8" x14ac:dyDescent="0.3">
      <c r="H779" t="str">
        <f t="shared" si="61"/>
        <v/>
      </c>
    </row>
    <row r="780" spans="8:8" x14ac:dyDescent="0.3">
      <c r="H780" t="str">
        <f t="shared" si="61"/>
        <v/>
      </c>
    </row>
    <row r="781" spans="8:8" x14ac:dyDescent="0.3">
      <c r="H781" t="str">
        <f t="shared" si="61"/>
        <v/>
      </c>
    </row>
    <row r="782" spans="8:8" x14ac:dyDescent="0.3">
      <c r="H782" t="str">
        <f t="shared" si="61"/>
        <v/>
      </c>
    </row>
    <row r="783" spans="8:8" x14ac:dyDescent="0.3">
      <c r="H783" t="str">
        <f t="shared" si="61"/>
        <v/>
      </c>
    </row>
    <row r="784" spans="8:8" x14ac:dyDescent="0.3">
      <c r="H784" t="str">
        <f t="shared" si="61"/>
        <v/>
      </c>
    </row>
    <row r="785" spans="8:8" x14ac:dyDescent="0.3">
      <c r="H785" t="str">
        <f t="shared" si="61"/>
        <v/>
      </c>
    </row>
    <row r="786" spans="8:8" x14ac:dyDescent="0.3">
      <c r="H786" t="str">
        <f t="shared" si="61"/>
        <v/>
      </c>
    </row>
    <row r="787" spans="8:8" x14ac:dyDescent="0.3">
      <c r="H787" t="str">
        <f t="shared" si="61"/>
        <v/>
      </c>
    </row>
    <row r="788" spans="8:8" x14ac:dyDescent="0.3">
      <c r="H788" t="str">
        <f t="shared" si="61"/>
        <v/>
      </c>
    </row>
    <row r="789" spans="8:8" x14ac:dyDescent="0.3">
      <c r="H789" t="str">
        <f t="shared" si="61"/>
        <v/>
      </c>
    </row>
    <row r="790" spans="8:8" x14ac:dyDescent="0.3">
      <c r="H790" t="str">
        <f t="shared" si="61"/>
        <v/>
      </c>
    </row>
    <row r="791" spans="8:8" x14ac:dyDescent="0.3">
      <c r="H791" t="str">
        <f t="shared" ref="H791:H854" si="62">IF(B791="","",$C$12)</f>
        <v/>
      </c>
    </row>
    <row r="792" spans="8:8" x14ac:dyDescent="0.3">
      <c r="H792" t="str">
        <f t="shared" si="62"/>
        <v/>
      </c>
    </row>
    <row r="793" spans="8:8" x14ac:dyDescent="0.3">
      <c r="H793" t="str">
        <f t="shared" si="62"/>
        <v/>
      </c>
    </row>
    <row r="794" spans="8:8" x14ac:dyDescent="0.3">
      <c r="H794" t="str">
        <f t="shared" si="62"/>
        <v/>
      </c>
    </row>
    <row r="795" spans="8:8" x14ac:dyDescent="0.3">
      <c r="H795" t="str">
        <f t="shared" si="62"/>
        <v/>
      </c>
    </row>
    <row r="796" spans="8:8" x14ac:dyDescent="0.3">
      <c r="H796" t="str">
        <f t="shared" si="62"/>
        <v/>
      </c>
    </row>
    <row r="797" spans="8:8" x14ac:dyDescent="0.3">
      <c r="H797" t="str">
        <f t="shared" si="62"/>
        <v/>
      </c>
    </row>
    <row r="798" spans="8:8" x14ac:dyDescent="0.3">
      <c r="H798" t="str">
        <f t="shared" si="62"/>
        <v/>
      </c>
    </row>
    <row r="799" spans="8:8" x14ac:dyDescent="0.3">
      <c r="H799" t="str">
        <f t="shared" si="62"/>
        <v/>
      </c>
    </row>
    <row r="800" spans="8:8" x14ac:dyDescent="0.3">
      <c r="H800" t="str">
        <f t="shared" si="62"/>
        <v/>
      </c>
    </row>
    <row r="801" spans="8:8" x14ac:dyDescent="0.3">
      <c r="H801" t="str">
        <f t="shared" si="62"/>
        <v/>
      </c>
    </row>
    <row r="802" spans="8:8" x14ac:dyDescent="0.3">
      <c r="H802" t="str">
        <f t="shared" si="62"/>
        <v/>
      </c>
    </row>
    <row r="803" spans="8:8" x14ac:dyDescent="0.3">
      <c r="H803" t="str">
        <f t="shared" si="62"/>
        <v/>
      </c>
    </row>
    <row r="804" spans="8:8" x14ac:dyDescent="0.3">
      <c r="H804" t="str">
        <f t="shared" si="62"/>
        <v/>
      </c>
    </row>
    <row r="805" spans="8:8" x14ac:dyDescent="0.3">
      <c r="H805" t="str">
        <f t="shared" si="62"/>
        <v/>
      </c>
    </row>
    <row r="806" spans="8:8" x14ac:dyDescent="0.3">
      <c r="H806" t="str">
        <f t="shared" si="62"/>
        <v/>
      </c>
    </row>
    <row r="807" spans="8:8" x14ac:dyDescent="0.3">
      <c r="H807" t="str">
        <f t="shared" si="62"/>
        <v/>
      </c>
    </row>
    <row r="808" spans="8:8" x14ac:dyDescent="0.3">
      <c r="H808" t="str">
        <f t="shared" si="62"/>
        <v/>
      </c>
    </row>
    <row r="809" spans="8:8" x14ac:dyDescent="0.3">
      <c r="H809" t="str">
        <f t="shared" si="62"/>
        <v/>
      </c>
    </row>
    <row r="810" spans="8:8" x14ac:dyDescent="0.3">
      <c r="H810" t="str">
        <f t="shared" si="62"/>
        <v/>
      </c>
    </row>
    <row r="811" spans="8:8" x14ac:dyDescent="0.3">
      <c r="H811" t="str">
        <f t="shared" si="62"/>
        <v/>
      </c>
    </row>
    <row r="812" spans="8:8" x14ac:dyDescent="0.3">
      <c r="H812" t="str">
        <f t="shared" si="62"/>
        <v/>
      </c>
    </row>
    <row r="813" spans="8:8" x14ac:dyDescent="0.3">
      <c r="H813" t="str">
        <f t="shared" si="62"/>
        <v/>
      </c>
    </row>
    <row r="814" spans="8:8" x14ac:dyDescent="0.3">
      <c r="H814" t="str">
        <f t="shared" si="62"/>
        <v/>
      </c>
    </row>
    <row r="815" spans="8:8" x14ac:dyDescent="0.3">
      <c r="H815" t="str">
        <f t="shared" si="62"/>
        <v/>
      </c>
    </row>
    <row r="816" spans="8:8" x14ac:dyDescent="0.3">
      <c r="H816" t="str">
        <f t="shared" si="62"/>
        <v/>
      </c>
    </row>
    <row r="817" spans="8:8" x14ac:dyDescent="0.3">
      <c r="H817" t="str">
        <f t="shared" si="62"/>
        <v/>
      </c>
    </row>
    <row r="818" spans="8:8" x14ac:dyDescent="0.3">
      <c r="H818" t="str">
        <f t="shared" si="62"/>
        <v/>
      </c>
    </row>
    <row r="819" spans="8:8" x14ac:dyDescent="0.3">
      <c r="H819" t="str">
        <f t="shared" si="62"/>
        <v/>
      </c>
    </row>
    <row r="820" spans="8:8" x14ac:dyDescent="0.3">
      <c r="H820" t="str">
        <f t="shared" si="62"/>
        <v/>
      </c>
    </row>
    <row r="821" spans="8:8" x14ac:dyDescent="0.3">
      <c r="H821" t="str">
        <f t="shared" si="62"/>
        <v/>
      </c>
    </row>
    <row r="822" spans="8:8" x14ac:dyDescent="0.3">
      <c r="H822" t="str">
        <f t="shared" si="62"/>
        <v/>
      </c>
    </row>
    <row r="823" spans="8:8" x14ac:dyDescent="0.3">
      <c r="H823" t="str">
        <f t="shared" si="62"/>
        <v/>
      </c>
    </row>
    <row r="824" spans="8:8" x14ac:dyDescent="0.3">
      <c r="H824" t="str">
        <f t="shared" si="62"/>
        <v/>
      </c>
    </row>
    <row r="825" spans="8:8" x14ac:dyDescent="0.3">
      <c r="H825" t="str">
        <f t="shared" si="62"/>
        <v/>
      </c>
    </row>
    <row r="826" spans="8:8" x14ac:dyDescent="0.3">
      <c r="H826" t="str">
        <f t="shared" si="62"/>
        <v/>
      </c>
    </row>
    <row r="827" spans="8:8" x14ac:dyDescent="0.3">
      <c r="H827" t="str">
        <f t="shared" si="62"/>
        <v/>
      </c>
    </row>
    <row r="828" spans="8:8" x14ac:dyDescent="0.3">
      <c r="H828" t="str">
        <f t="shared" si="62"/>
        <v/>
      </c>
    </row>
    <row r="829" spans="8:8" x14ac:dyDescent="0.3">
      <c r="H829" t="str">
        <f t="shared" si="62"/>
        <v/>
      </c>
    </row>
    <row r="830" spans="8:8" x14ac:dyDescent="0.3">
      <c r="H830" t="str">
        <f t="shared" si="62"/>
        <v/>
      </c>
    </row>
    <row r="831" spans="8:8" x14ac:dyDescent="0.3">
      <c r="H831" t="str">
        <f t="shared" si="62"/>
        <v/>
      </c>
    </row>
    <row r="832" spans="8:8" x14ac:dyDescent="0.3">
      <c r="H832" t="str">
        <f t="shared" si="62"/>
        <v/>
      </c>
    </row>
    <row r="833" spans="8:8" x14ac:dyDescent="0.3">
      <c r="H833" t="str">
        <f t="shared" si="62"/>
        <v/>
      </c>
    </row>
    <row r="834" spans="8:8" x14ac:dyDescent="0.3">
      <c r="H834" t="str">
        <f t="shared" si="62"/>
        <v/>
      </c>
    </row>
    <row r="835" spans="8:8" x14ac:dyDescent="0.3">
      <c r="H835" t="str">
        <f t="shared" si="62"/>
        <v/>
      </c>
    </row>
    <row r="836" spans="8:8" x14ac:dyDescent="0.3">
      <c r="H836" t="str">
        <f t="shared" si="62"/>
        <v/>
      </c>
    </row>
    <row r="837" spans="8:8" x14ac:dyDescent="0.3">
      <c r="H837" t="str">
        <f t="shared" si="62"/>
        <v/>
      </c>
    </row>
    <row r="838" spans="8:8" x14ac:dyDescent="0.3">
      <c r="H838" t="str">
        <f t="shared" si="62"/>
        <v/>
      </c>
    </row>
    <row r="839" spans="8:8" x14ac:dyDescent="0.3">
      <c r="H839" t="str">
        <f t="shared" si="62"/>
        <v/>
      </c>
    </row>
    <row r="840" spans="8:8" x14ac:dyDescent="0.3">
      <c r="H840" t="str">
        <f t="shared" si="62"/>
        <v/>
      </c>
    </row>
    <row r="841" spans="8:8" x14ac:dyDescent="0.3">
      <c r="H841" t="str">
        <f t="shared" si="62"/>
        <v/>
      </c>
    </row>
    <row r="842" spans="8:8" x14ac:dyDescent="0.3">
      <c r="H842" t="str">
        <f t="shared" si="62"/>
        <v/>
      </c>
    </row>
    <row r="843" spans="8:8" x14ac:dyDescent="0.3">
      <c r="H843" t="str">
        <f t="shared" si="62"/>
        <v/>
      </c>
    </row>
    <row r="844" spans="8:8" x14ac:dyDescent="0.3">
      <c r="H844" t="str">
        <f t="shared" si="62"/>
        <v/>
      </c>
    </row>
    <row r="845" spans="8:8" x14ac:dyDescent="0.3">
      <c r="H845" t="str">
        <f t="shared" si="62"/>
        <v/>
      </c>
    </row>
    <row r="846" spans="8:8" x14ac:dyDescent="0.3">
      <c r="H846" t="str">
        <f t="shared" si="62"/>
        <v/>
      </c>
    </row>
    <row r="847" spans="8:8" x14ac:dyDescent="0.3">
      <c r="H847" t="str">
        <f t="shared" si="62"/>
        <v/>
      </c>
    </row>
    <row r="848" spans="8:8" x14ac:dyDescent="0.3">
      <c r="H848" t="str">
        <f t="shared" si="62"/>
        <v/>
      </c>
    </row>
    <row r="849" spans="8:8" x14ac:dyDescent="0.3">
      <c r="H849" t="str">
        <f t="shared" si="62"/>
        <v/>
      </c>
    </row>
    <row r="850" spans="8:8" x14ac:dyDescent="0.3">
      <c r="H850" t="str">
        <f t="shared" si="62"/>
        <v/>
      </c>
    </row>
    <row r="851" spans="8:8" x14ac:dyDescent="0.3">
      <c r="H851" t="str">
        <f t="shared" si="62"/>
        <v/>
      </c>
    </row>
    <row r="852" spans="8:8" x14ac:dyDescent="0.3">
      <c r="H852" t="str">
        <f t="shared" si="62"/>
        <v/>
      </c>
    </row>
    <row r="853" spans="8:8" x14ac:dyDescent="0.3">
      <c r="H853" t="str">
        <f t="shared" si="62"/>
        <v/>
      </c>
    </row>
    <row r="854" spans="8:8" x14ac:dyDescent="0.3">
      <c r="H854" t="str">
        <f t="shared" si="62"/>
        <v/>
      </c>
    </row>
    <row r="855" spans="8:8" x14ac:dyDescent="0.3">
      <c r="H855" t="str">
        <f t="shared" ref="H855:H918" si="63">IF(B855="","",$C$12)</f>
        <v/>
      </c>
    </row>
    <row r="856" spans="8:8" x14ac:dyDescent="0.3">
      <c r="H856" t="str">
        <f t="shared" si="63"/>
        <v/>
      </c>
    </row>
    <row r="857" spans="8:8" x14ac:dyDescent="0.3">
      <c r="H857" t="str">
        <f t="shared" si="63"/>
        <v/>
      </c>
    </row>
    <row r="858" spans="8:8" x14ac:dyDescent="0.3">
      <c r="H858" t="str">
        <f t="shared" si="63"/>
        <v/>
      </c>
    </row>
    <row r="859" spans="8:8" x14ac:dyDescent="0.3">
      <c r="H859" t="str">
        <f t="shared" si="63"/>
        <v/>
      </c>
    </row>
    <row r="860" spans="8:8" x14ac:dyDescent="0.3">
      <c r="H860" t="str">
        <f t="shared" si="63"/>
        <v/>
      </c>
    </row>
    <row r="861" spans="8:8" x14ac:dyDescent="0.3">
      <c r="H861" t="str">
        <f t="shared" si="63"/>
        <v/>
      </c>
    </row>
    <row r="862" spans="8:8" x14ac:dyDescent="0.3">
      <c r="H862" t="str">
        <f t="shared" si="63"/>
        <v/>
      </c>
    </row>
    <row r="863" spans="8:8" x14ac:dyDescent="0.3">
      <c r="H863" t="str">
        <f t="shared" si="63"/>
        <v/>
      </c>
    </row>
    <row r="864" spans="8:8" x14ac:dyDescent="0.3">
      <c r="H864" t="str">
        <f t="shared" si="63"/>
        <v/>
      </c>
    </row>
    <row r="865" spans="8:8" x14ac:dyDescent="0.3">
      <c r="H865" t="str">
        <f t="shared" si="63"/>
        <v/>
      </c>
    </row>
    <row r="866" spans="8:8" x14ac:dyDescent="0.3">
      <c r="H866" t="str">
        <f t="shared" si="63"/>
        <v/>
      </c>
    </row>
    <row r="867" spans="8:8" x14ac:dyDescent="0.3">
      <c r="H867" t="str">
        <f t="shared" si="63"/>
        <v/>
      </c>
    </row>
    <row r="868" spans="8:8" x14ac:dyDescent="0.3">
      <c r="H868" t="str">
        <f t="shared" si="63"/>
        <v/>
      </c>
    </row>
    <row r="869" spans="8:8" x14ac:dyDescent="0.3">
      <c r="H869" t="str">
        <f t="shared" si="63"/>
        <v/>
      </c>
    </row>
    <row r="870" spans="8:8" x14ac:dyDescent="0.3">
      <c r="H870" t="str">
        <f t="shared" si="63"/>
        <v/>
      </c>
    </row>
    <row r="871" spans="8:8" x14ac:dyDescent="0.3">
      <c r="H871" t="str">
        <f t="shared" si="63"/>
        <v/>
      </c>
    </row>
    <row r="872" spans="8:8" x14ac:dyDescent="0.3">
      <c r="H872" t="str">
        <f t="shared" si="63"/>
        <v/>
      </c>
    </row>
    <row r="873" spans="8:8" x14ac:dyDescent="0.3">
      <c r="H873" t="str">
        <f t="shared" si="63"/>
        <v/>
      </c>
    </row>
    <row r="874" spans="8:8" x14ac:dyDescent="0.3">
      <c r="H874" t="str">
        <f t="shared" si="63"/>
        <v/>
      </c>
    </row>
    <row r="875" spans="8:8" x14ac:dyDescent="0.3">
      <c r="H875" t="str">
        <f t="shared" si="63"/>
        <v/>
      </c>
    </row>
    <row r="876" spans="8:8" x14ac:dyDescent="0.3">
      <c r="H876" t="str">
        <f t="shared" si="63"/>
        <v/>
      </c>
    </row>
    <row r="877" spans="8:8" x14ac:dyDescent="0.3">
      <c r="H877" t="str">
        <f t="shared" si="63"/>
        <v/>
      </c>
    </row>
    <row r="878" spans="8:8" x14ac:dyDescent="0.3">
      <c r="H878" t="str">
        <f t="shared" si="63"/>
        <v/>
      </c>
    </row>
    <row r="879" spans="8:8" x14ac:dyDescent="0.3">
      <c r="H879" t="str">
        <f t="shared" si="63"/>
        <v/>
      </c>
    </row>
    <row r="880" spans="8:8" x14ac:dyDescent="0.3">
      <c r="H880" t="str">
        <f t="shared" si="63"/>
        <v/>
      </c>
    </row>
    <row r="881" spans="8:8" x14ac:dyDescent="0.3">
      <c r="H881" t="str">
        <f t="shared" si="63"/>
        <v/>
      </c>
    </row>
    <row r="882" spans="8:8" x14ac:dyDescent="0.3">
      <c r="H882" t="str">
        <f t="shared" si="63"/>
        <v/>
      </c>
    </row>
    <row r="883" spans="8:8" x14ac:dyDescent="0.3">
      <c r="H883" t="str">
        <f t="shared" si="63"/>
        <v/>
      </c>
    </row>
    <row r="884" spans="8:8" x14ac:dyDescent="0.3">
      <c r="H884" t="str">
        <f t="shared" si="63"/>
        <v/>
      </c>
    </row>
    <row r="885" spans="8:8" x14ac:dyDescent="0.3">
      <c r="H885" t="str">
        <f t="shared" si="63"/>
        <v/>
      </c>
    </row>
    <row r="886" spans="8:8" x14ac:dyDescent="0.3">
      <c r="H886" t="str">
        <f t="shared" si="63"/>
        <v/>
      </c>
    </row>
    <row r="887" spans="8:8" x14ac:dyDescent="0.3">
      <c r="H887" t="str">
        <f t="shared" si="63"/>
        <v/>
      </c>
    </row>
    <row r="888" spans="8:8" x14ac:dyDescent="0.3">
      <c r="H888" t="str">
        <f t="shared" si="63"/>
        <v/>
      </c>
    </row>
    <row r="889" spans="8:8" x14ac:dyDescent="0.3">
      <c r="H889" t="str">
        <f t="shared" si="63"/>
        <v/>
      </c>
    </row>
    <row r="890" spans="8:8" x14ac:dyDescent="0.3">
      <c r="H890" t="str">
        <f t="shared" si="63"/>
        <v/>
      </c>
    </row>
    <row r="891" spans="8:8" x14ac:dyDescent="0.3">
      <c r="H891" t="str">
        <f t="shared" si="63"/>
        <v/>
      </c>
    </row>
    <row r="892" spans="8:8" x14ac:dyDescent="0.3">
      <c r="H892" t="str">
        <f t="shared" si="63"/>
        <v/>
      </c>
    </row>
    <row r="893" spans="8:8" x14ac:dyDescent="0.3">
      <c r="H893" t="str">
        <f t="shared" si="63"/>
        <v/>
      </c>
    </row>
    <row r="894" spans="8:8" x14ac:dyDescent="0.3">
      <c r="H894" t="str">
        <f t="shared" si="63"/>
        <v/>
      </c>
    </row>
    <row r="895" spans="8:8" x14ac:dyDescent="0.3">
      <c r="H895" t="str">
        <f t="shared" si="63"/>
        <v/>
      </c>
    </row>
    <row r="896" spans="8:8" x14ac:dyDescent="0.3">
      <c r="H896" t="str">
        <f t="shared" si="63"/>
        <v/>
      </c>
    </row>
    <row r="897" spans="8:8" x14ac:dyDescent="0.3">
      <c r="H897" t="str">
        <f t="shared" si="63"/>
        <v/>
      </c>
    </row>
    <row r="898" spans="8:8" x14ac:dyDescent="0.3">
      <c r="H898" t="str">
        <f t="shared" si="63"/>
        <v/>
      </c>
    </row>
    <row r="899" spans="8:8" x14ac:dyDescent="0.3">
      <c r="H899" t="str">
        <f t="shared" si="63"/>
        <v/>
      </c>
    </row>
    <row r="900" spans="8:8" x14ac:dyDescent="0.3">
      <c r="H900" t="str">
        <f t="shared" si="63"/>
        <v/>
      </c>
    </row>
    <row r="901" spans="8:8" x14ac:dyDescent="0.3">
      <c r="H901" t="str">
        <f t="shared" si="63"/>
        <v/>
      </c>
    </row>
    <row r="902" spans="8:8" x14ac:dyDescent="0.3">
      <c r="H902" t="str">
        <f t="shared" si="63"/>
        <v/>
      </c>
    </row>
    <row r="903" spans="8:8" x14ac:dyDescent="0.3">
      <c r="H903" t="str">
        <f t="shared" si="63"/>
        <v/>
      </c>
    </row>
    <row r="904" spans="8:8" x14ac:dyDescent="0.3">
      <c r="H904" t="str">
        <f t="shared" si="63"/>
        <v/>
      </c>
    </row>
    <row r="905" spans="8:8" x14ac:dyDescent="0.3">
      <c r="H905" t="str">
        <f t="shared" si="63"/>
        <v/>
      </c>
    </row>
    <row r="906" spans="8:8" x14ac:dyDescent="0.3">
      <c r="H906" t="str">
        <f t="shared" si="63"/>
        <v/>
      </c>
    </row>
    <row r="907" spans="8:8" x14ac:dyDescent="0.3">
      <c r="H907" t="str">
        <f t="shared" si="63"/>
        <v/>
      </c>
    </row>
    <row r="908" spans="8:8" x14ac:dyDescent="0.3">
      <c r="H908" t="str">
        <f t="shared" si="63"/>
        <v/>
      </c>
    </row>
    <row r="909" spans="8:8" x14ac:dyDescent="0.3">
      <c r="H909" t="str">
        <f t="shared" si="63"/>
        <v/>
      </c>
    </row>
    <row r="910" spans="8:8" x14ac:dyDescent="0.3">
      <c r="H910" t="str">
        <f t="shared" si="63"/>
        <v/>
      </c>
    </row>
    <row r="911" spans="8:8" x14ac:dyDescent="0.3">
      <c r="H911" t="str">
        <f t="shared" si="63"/>
        <v/>
      </c>
    </row>
    <row r="912" spans="8:8" x14ac:dyDescent="0.3">
      <c r="H912" t="str">
        <f t="shared" si="63"/>
        <v/>
      </c>
    </row>
    <row r="913" spans="8:8" x14ac:dyDescent="0.3">
      <c r="H913" t="str">
        <f t="shared" si="63"/>
        <v/>
      </c>
    </row>
    <row r="914" spans="8:8" x14ac:dyDescent="0.3">
      <c r="H914" t="str">
        <f t="shared" si="63"/>
        <v/>
      </c>
    </row>
    <row r="915" spans="8:8" x14ac:dyDescent="0.3">
      <c r="H915" t="str">
        <f t="shared" si="63"/>
        <v/>
      </c>
    </row>
    <row r="916" spans="8:8" x14ac:dyDescent="0.3">
      <c r="H916" t="str">
        <f t="shared" si="63"/>
        <v/>
      </c>
    </row>
    <row r="917" spans="8:8" x14ac:dyDescent="0.3">
      <c r="H917" t="str">
        <f t="shared" si="63"/>
        <v/>
      </c>
    </row>
    <row r="918" spans="8:8" x14ac:dyDescent="0.3">
      <c r="H918" t="str">
        <f t="shared" si="63"/>
        <v/>
      </c>
    </row>
    <row r="919" spans="8:8" x14ac:dyDescent="0.3">
      <c r="H919" t="str">
        <f t="shared" ref="H919:H982" si="64">IF(B919="","",$C$12)</f>
        <v/>
      </c>
    </row>
    <row r="920" spans="8:8" x14ac:dyDescent="0.3">
      <c r="H920" t="str">
        <f t="shared" si="64"/>
        <v/>
      </c>
    </row>
    <row r="921" spans="8:8" x14ac:dyDescent="0.3">
      <c r="H921" t="str">
        <f t="shared" si="64"/>
        <v/>
      </c>
    </row>
    <row r="922" spans="8:8" x14ac:dyDescent="0.3">
      <c r="H922" t="str">
        <f t="shared" si="64"/>
        <v/>
      </c>
    </row>
    <row r="923" spans="8:8" x14ac:dyDescent="0.3">
      <c r="H923" t="str">
        <f t="shared" si="64"/>
        <v/>
      </c>
    </row>
    <row r="924" spans="8:8" x14ac:dyDescent="0.3">
      <c r="H924" t="str">
        <f t="shared" si="64"/>
        <v/>
      </c>
    </row>
    <row r="925" spans="8:8" x14ac:dyDescent="0.3">
      <c r="H925" t="str">
        <f t="shared" si="64"/>
        <v/>
      </c>
    </row>
    <row r="926" spans="8:8" x14ac:dyDescent="0.3">
      <c r="H926" t="str">
        <f t="shared" si="64"/>
        <v/>
      </c>
    </row>
    <row r="927" spans="8:8" x14ac:dyDescent="0.3">
      <c r="H927" t="str">
        <f t="shared" si="64"/>
        <v/>
      </c>
    </row>
    <row r="928" spans="8:8" x14ac:dyDescent="0.3">
      <c r="H928" t="str">
        <f t="shared" si="64"/>
        <v/>
      </c>
    </row>
    <row r="929" spans="8:8" x14ac:dyDescent="0.3">
      <c r="H929" t="str">
        <f t="shared" si="64"/>
        <v/>
      </c>
    </row>
    <row r="930" spans="8:8" x14ac:dyDescent="0.3">
      <c r="H930" t="str">
        <f t="shared" si="64"/>
        <v/>
      </c>
    </row>
    <row r="931" spans="8:8" x14ac:dyDescent="0.3">
      <c r="H931" t="str">
        <f t="shared" si="64"/>
        <v/>
      </c>
    </row>
    <row r="932" spans="8:8" x14ac:dyDescent="0.3">
      <c r="H932" t="str">
        <f t="shared" si="64"/>
        <v/>
      </c>
    </row>
    <row r="933" spans="8:8" x14ac:dyDescent="0.3">
      <c r="H933" t="str">
        <f t="shared" si="64"/>
        <v/>
      </c>
    </row>
    <row r="934" spans="8:8" x14ac:dyDescent="0.3">
      <c r="H934" t="str">
        <f t="shared" si="64"/>
        <v/>
      </c>
    </row>
    <row r="935" spans="8:8" x14ac:dyDescent="0.3">
      <c r="H935" t="str">
        <f t="shared" si="64"/>
        <v/>
      </c>
    </row>
    <row r="936" spans="8:8" x14ac:dyDescent="0.3">
      <c r="H936" t="str">
        <f t="shared" si="64"/>
        <v/>
      </c>
    </row>
    <row r="937" spans="8:8" x14ac:dyDescent="0.3">
      <c r="H937" t="str">
        <f t="shared" si="64"/>
        <v/>
      </c>
    </row>
    <row r="938" spans="8:8" x14ac:dyDescent="0.3">
      <c r="H938" t="str">
        <f t="shared" si="64"/>
        <v/>
      </c>
    </row>
    <row r="939" spans="8:8" x14ac:dyDescent="0.3">
      <c r="H939" t="str">
        <f t="shared" si="64"/>
        <v/>
      </c>
    </row>
    <row r="940" spans="8:8" x14ac:dyDescent="0.3">
      <c r="H940" t="str">
        <f t="shared" si="64"/>
        <v/>
      </c>
    </row>
    <row r="941" spans="8:8" x14ac:dyDescent="0.3">
      <c r="H941" t="str">
        <f t="shared" si="64"/>
        <v/>
      </c>
    </row>
    <row r="942" spans="8:8" x14ac:dyDescent="0.3">
      <c r="H942" t="str">
        <f t="shared" si="64"/>
        <v/>
      </c>
    </row>
    <row r="943" spans="8:8" x14ac:dyDescent="0.3">
      <c r="H943" t="str">
        <f t="shared" si="64"/>
        <v/>
      </c>
    </row>
    <row r="944" spans="8:8" x14ac:dyDescent="0.3">
      <c r="H944" t="str">
        <f t="shared" si="64"/>
        <v/>
      </c>
    </row>
    <row r="945" spans="8:8" x14ac:dyDescent="0.3">
      <c r="H945" t="str">
        <f t="shared" si="64"/>
        <v/>
      </c>
    </row>
    <row r="946" spans="8:8" x14ac:dyDescent="0.3">
      <c r="H946" t="str">
        <f t="shared" si="64"/>
        <v/>
      </c>
    </row>
    <row r="947" spans="8:8" x14ac:dyDescent="0.3">
      <c r="H947" t="str">
        <f t="shared" si="64"/>
        <v/>
      </c>
    </row>
    <row r="948" spans="8:8" x14ac:dyDescent="0.3">
      <c r="H948" t="str">
        <f t="shared" si="64"/>
        <v/>
      </c>
    </row>
    <row r="949" spans="8:8" x14ac:dyDescent="0.3">
      <c r="H949" t="str">
        <f t="shared" si="64"/>
        <v/>
      </c>
    </row>
    <row r="950" spans="8:8" x14ac:dyDescent="0.3">
      <c r="H950" t="str">
        <f t="shared" si="64"/>
        <v/>
      </c>
    </row>
    <row r="951" spans="8:8" x14ac:dyDescent="0.3">
      <c r="H951" t="str">
        <f t="shared" si="64"/>
        <v/>
      </c>
    </row>
    <row r="952" spans="8:8" x14ac:dyDescent="0.3">
      <c r="H952" t="str">
        <f t="shared" si="64"/>
        <v/>
      </c>
    </row>
    <row r="953" spans="8:8" x14ac:dyDescent="0.3">
      <c r="H953" t="str">
        <f t="shared" si="64"/>
        <v/>
      </c>
    </row>
    <row r="954" spans="8:8" x14ac:dyDescent="0.3">
      <c r="H954" t="str">
        <f t="shared" si="64"/>
        <v/>
      </c>
    </row>
    <row r="955" spans="8:8" x14ac:dyDescent="0.3">
      <c r="H955" t="str">
        <f t="shared" si="64"/>
        <v/>
      </c>
    </row>
    <row r="956" spans="8:8" x14ac:dyDescent="0.3">
      <c r="H956" t="str">
        <f t="shared" si="64"/>
        <v/>
      </c>
    </row>
    <row r="957" spans="8:8" x14ac:dyDescent="0.3">
      <c r="H957" t="str">
        <f t="shared" si="64"/>
        <v/>
      </c>
    </row>
    <row r="958" spans="8:8" x14ac:dyDescent="0.3">
      <c r="H958" t="str">
        <f t="shared" si="64"/>
        <v/>
      </c>
    </row>
    <row r="959" spans="8:8" x14ac:dyDescent="0.3">
      <c r="H959" t="str">
        <f t="shared" si="64"/>
        <v/>
      </c>
    </row>
    <row r="960" spans="8:8" x14ac:dyDescent="0.3">
      <c r="H960" t="str">
        <f t="shared" si="64"/>
        <v/>
      </c>
    </row>
    <row r="961" spans="8:8" x14ac:dyDescent="0.3">
      <c r="H961" t="str">
        <f t="shared" si="64"/>
        <v/>
      </c>
    </row>
    <row r="962" spans="8:8" x14ac:dyDescent="0.3">
      <c r="H962" t="str">
        <f t="shared" si="64"/>
        <v/>
      </c>
    </row>
    <row r="963" spans="8:8" x14ac:dyDescent="0.3">
      <c r="H963" t="str">
        <f t="shared" si="64"/>
        <v/>
      </c>
    </row>
    <row r="964" spans="8:8" x14ac:dyDescent="0.3">
      <c r="H964" t="str">
        <f t="shared" si="64"/>
        <v/>
      </c>
    </row>
    <row r="965" spans="8:8" x14ac:dyDescent="0.3">
      <c r="H965" t="str">
        <f t="shared" si="64"/>
        <v/>
      </c>
    </row>
    <row r="966" spans="8:8" x14ac:dyDescent="0.3">
      <c r="H966" t="str">
        <f t="shared" si="64"/>
        <v/>
      </c>
    </row>
    <row r="967" spans="8:8" x14ac:dyDescent="0.3">
      <c r="H967" t="str">
        <f t="shared" si="64"/>
        <v/>
      </c>
    </row>
    <row r="968" spans="8:8" x14ac:dyDescent="0.3">
      <c r="H968" t="str">
        <f t="shared" si="64"/>
        <v/>
      </c>
    </row>
    <row r="969" spans="8:8" x14ac:dyDescent="0.3">
      <c r="H969" t="str">
        <f t="shared" si="64"/>
        <v/>
      </c>
    </row>
    <row r="970" spans="8:8" x14ac:dyDescent="0.3">
      <c r="H970" t="str">
        <f t="shared" si="64"/>
        <v/>
      </c>
    </row>
    <row r="971" spans="8:8" x14ac:dyDescent="0.3">
      <c r="H971" t="str">
        <f t="shared" si="64"/>
        <v/>
      </c>
    </row>
    <row r="972" spans="8:8" x14ac:dyDescent="0.3">
      <c r="H972" t="str">
        <f t="shared" si="64"/>
        <v/>
      </c>
    </row>
    <row r="973" spans="8:8" x14ac:dyDescent="0.3">
      <c r="H973" t="str">
        <f t="shared" si="64"/>
        <v/>
      </c>
    </row>
    <row r="974" spans="8:8" x14ac:dyDescent="0.3">
      <c r="H974" t="str">
        <f t="shared" si="64"/>
        <v/>
      </c>
    </row>
    <row r="975" spans="8:8" x14ac:dyDescent="0.3">
      <c r="H975" t="str">
        <f t="shared" si="64"/>
        <v/>
      </c>
    </row>
    <row r="976" spans="8:8" x14ac:dyDescent="0.3">
      <c r="H976" t="str">
        <f t="shared" si="64"/>
        <v/>
      </c>
    </row>
    <row r="977" spans="8:8" x14ac:dyDescent="0.3">
      <c r="H977" t="str">
        <f t="shared" si="64"/>
        <v/>
      </c>
    </row>
    <row r="978" spans="8:8" x14ac:dyDescent="0.3">
      <c r="H978" t="str">
        <f t="shared" si="64"/>
        <v/>
      </c>
    </row>
    <row r="979" spans="8:8" x14ac:dyDescent="0.3">
      <c r="H979" t="str">
        <f t="shared" si="64"/>
        <v/>
      </c>
    </row>
    <row r="980" spans="8:8" x14ac:dyDescent="0.3">
      <c r="H980" t="str">
        <f t="shared" si="64"/>
        <v/>
      </c>
    </row>
    <row r="981" spans="8:8" x14ac:dyDescent="0.3">
      <c r="H981" t="str">
        <f t="shared" si="64"/>
        <v/>
      </c>
    </row>
    <row r="982" spans="8:8" x14ac:dyDescent="0.3">
      <c r="H982" t="str">
        <f t="shared" si="64"/>
        <v/>
      </c>
    </row>
    <row r="983" spans="8:8" x14ac:dyDescent="0.3">
      <c r="H983" t="str">
        <f t="shared" ref="H983:H1046" si="65">IF(B983="","",$C$12)</f>
        <v/>
      </c>
    </row>
    <row r="984" spans="8:8" x14ac:dyDescent="0.3">
      <c r="H984" t="str">
        <f t="shared" si="65"/>
        <v/>
      </c>
    </row>
    <row r="985" spans="8:8" x14ac:dyDescent="0.3">
      <c r="H985" t="str">
        <f t="shared" si="65"/>
        <v/>
      </c>
    </row>
    <row r="986" spans="8:8" x14ac:dyDescent="0.3">
      <c r="H986" t="str">
        <f t="shared" si="65"/>
        <v/>
      </c>
    </row>
    <row r="987" spans="8:8" x14ac:dyDescent="0.3">
      <c r="H987" t="str">
        <f t="shared" si="65"/>
        <v/>
      </c>
    </row>
    <row r="988" spans="8:8" x14ac:dyDescent="0.3">
      <c r="H988" t="str">
        <f t="shared" si="65"/>
        <v/>
      </c>
    </row>
    <row r="989" spans="8:8" x14ac:dyDescent="0.3">
      <c r="H989" t="str">
        <f t="shared" si="65"/>
        <v/>
      </c>
    </row>
    <row r="990" spans="8:8" x14ac:dyDescent="0.3">
      <c r="H990" t="str">
        <f t="shared" si="65"/>
        <v/>
      </c>
    </row>
    <row r="991" spans="8:8" x14ac:dyDescent="0.3">
      <c r="H991" t="str">
        <f t="shared" si="65"/>
        <v/>
      </c>
    </row>
    <row r="992" spans="8:8" x14ac:dyDescent="0.3">
      <c r="H992" t="str">
        <f t="shared" si="65"/>
        <v/>
      </c>
    </row>
    <row r="993" spans="8:8" x14ac:dyDescent="0.3">
      <c r="H993" t="str">
        <f t="shared" si="65"/>
        <v/>
      </c>
    </row>
    <row r="994" spans="8:8" x14ac:dyDescent="0.3">
      <c r="H994" t="str">
        <f t="shared" si="65"/>
        <v/>
      </c>
    </row>
    <row r="995" spans="8:8" x14ac:dyDescent="0.3">
      <c r="H995" t="str">
        <f t="shared" si="65"/>
        <v/>
      </c>
    </row>
    <row r="996" spans="8:8" x14ac:dyDescent="0.3">
      <c r="H996" t="str">
        <f t="shared" si="65"/>
        <v/>
      </c>
    </row>
    <row r="997" spans="8:8" x14ac:dyDescent="0.3">
      <c r="H997" t="str">
        <f t="shared" si="65"/>
        <v/>
      </c>
    </row>
    <row r="998" spans="8:8" x14ac:dyDescent="0.3">
      <c r="H998" t="str">
        <f t="shared" si="65"/>
        <v/>
      </c>
    </row>
    <row r="999" spans="8:8" x14ac:dyDescent="0.3">
      <c r="H999" t="str">
        <f t="shared" si="65"/>
        <v/>
      </c>
    </row>
    <row r="1000" spans="8:8" x14ac:dyDescent="0.3">
      <c r="H1000" t="str">
        <f t="shared" si="65"/>
        <v/>
      </c>
    </row>
    <row r="1001" spans="8:8" x14ac:dyDescent="0.3">
      <c r="H1001" t="str">
        <f t="shared" si="65"/>
        <v/>
      </c>
    </row>
    <row r="1002" spans="8:8" x14ac:dyDescent="0.3">
      <c r="H1002" t="str">
        <f t="shared" si="65"/>
        <v/>
      </c>
    </row>
    <row r="1003" spans="8:8" x14ac:dyDescent="0.3">
      <c r="H1003" t="str">
        <f t="shared" si="65"/>
        <v/>
      </c>
    </row>
    <row r="1004" spans="8:8" x14ac:dyDescent="0.3">
      <c r="H1004" t="str">
        <f t="shared" si="65"/>
        <v/>
      </c>
    </row>
    <row r="1005" spans="8:8" x14ac:dyDescent="0.3">
      <c r="H1005" t="str">
        <f t="shared" si="65"/>
        <v/>
      </c>
    </row>
    <row r="1006" spans="8:8" x14ac:dyDescent="0.3">
      <c r="H1006" t="str">
        <f t="shared" si="65"/>
        <v/>
      </c>
    </row>
    <row r="1007" spans="8:8" x14ac:dyDescent="0.3">
      <c r="H1007" t="str">
        <f t="shared" si="65"/>
        <v/>
      </c>
    </row>
    <row r="1008" spans="8:8" x14ac:dyDescent="0.3">
      <c r="H1008" t="str">
        <f t="shared" si="65"/>
        <v/>
      </c>
    </row>
    <row r="1009" spans="8:8" x14ac:dyDescent="0.3">
      <c r="H1009" t="str">
        <f t="shared" si="65"/>
        <v/>
      </c>
    </row>
    <row r="1010" spans="8:8" x14ac:dyDescent="0.3">
      <c r="H1010" t="str">
        <f t="shared" si="65"/>
        <v/>
      </c>
    </row>
    <row r="1011" spans="8:8" x14ac:dyDescent="0.3">
      <c r="H1011" t="str">
        <f t="shared" si="65"/>
        <v/>
      </c>
    </row>
    <row r="1012" spans="8:8" x14ac:dyDescent="0.3">
      <c r="H1012" t="str">
        <f t="shared" si="65"/>
        <v/>
      </c>
    </row>
    <row r="1013" spans="8:8" x14ac:dyDescent="0.3">
      <c r="H1013" t="str">
        <f t="shared" si="65"/>
        <v/>
      </c>
    </row>
    <row r="1014" spans="8:8" x14ac:dyDescent="0.3">
      <c r="H1014" t="str">
        <f t="shared" si="65"/>
        <v/>
      </c>
    </row>
    <row r="1015" spans="8:8" x14ac:dyDescent="0.3">
      <c r="H1015" t="str">
        <f t="shared" si="65"/>
        <v/>
      </c>
    </row>
    <row r="1016" spans="8:8" x14ac:dyDescent="0.3">
      <c r="H1016" t="str">
        <f t="shared" si="65"/>
        <v/>
      </c>
    </row>
    <row r="1017" spans="8:8" x14ac:dyDescent="0.3">
      <c r="H1017" t="str">
        <f t="shared" si="65"/>
        <v/>
      </c>
    </row>
    <row r="1018" spans="8:8" x14ac:dyDescent="0.3">
      <c r="H1018" t="str">
        <f t="shared" si="65"/>
        <v/>
      </c>
    </row>
    <row r="1019" spans="8:8" x14ac:dyDescent="0.3">
      <c r="H1019" t="str">
        <f t="shared" si="65"/>
        <v/>
      </c>
    </row>
    <row r="1020" spans="8:8" x14ac:dyDescent="0.3">
      <c r="H1020" t="str">
        <f t="shared" si="65"/>
        <v/>
      </c>
    </row>
    <row r="1021" spans="8:8" x14ac:dyDescent="0.3">
      <c r="H1021" t="str">
        <f t="shared" si="65"/>
        <v/>
      </c>
    </row>
    <row r="1022" spans="8:8" x14ac:dyDescent="0.3">
      <c r="H1022" t="str">
        <f t="shared" si="65"/>
        <v/>
      </c>
    </row>
    <row r="1023" spans="8:8" x14ac:dyDescent="0.3">
      <c r="H1023" t="str">
        <f t="shared" si="65"/>
        <v/>
      </c>
    </row>
    <row r="1024" spans="8:8" x14ac:dyDescent="0.3">
      <c r="H1024" t="str">
        <f t="shared" si="65"/>
        <v/>
      </c>
    </row>
    <row r="1025" spans="8:8" x14ac:dyDescent="0.3">
      <c r="H1025" t="str">
        <f t="shared" si="65"/>
        <v/>
      </c>
    </row>
    <row r="1026" spans="8:8" x14ac:dyDescent="0.3">
      <c r="H1026" t="str">
        <f t="shared" si="65"/>
        <v/>
      </c>
    </row>
    <row r="1027" spans="8:8" x14ac:dyDescent="0.3">
      <c r="H1027" t="str">
        <f t="shared" si="65"/>
        <v/>
      </c>
    </row>
    <row r="1028" spans="8:8" x14ac:dyDescent="0.3">
      <c r="H1028" t="str">
        <f t="shared" si="65"/>
        <v/>
      </c>
    </row>
    <row r="1029" spans="8:8" x14ac:dyDescent="0.3">
      <c r="H1029" t="str">
        <f t="shared" si="65"/>
        <v/>
      </c>
    </row>
    <row r="1030" spans="8:8" x14ac:dyDescent="0.3">
      <c r="H1030" t="str">
        <f t="shared" si="65"/>
        <v/>
      </c>
    </row>
    <row r="1031" spans="8:8" x14ac:dyDescent="0.3">
      <c r="H1031" t="str">
        <f t="shared" si="65"/>
        <v/>
      </c>
    </row>
    <row r="1032" spans="8:8" x14ac:dyDescent="0.3">
      <c r="H1032" t="str">
        <f t="shared" si="65"/>
        <v/>
      </c>
    </row>
    <row r="1033" spans="8:8" x14ac:dyDescent="0.3">
      <c r="H1033" t="str">
        <f t="shared" si="65"/>
        <v/>
      </c>
    </row>
    <row r="1034" spans="8:8" x14ac:dyDescent="0.3">
      <c r="H1034" t="str">
        <f t="shared" si="65"/>
        <v/>
      </c>
    </row>
    <row r="1035" spans="8:8" x14ac:dyDescent="0.3">
      <c r="H1035" t="str">
        <f t="shared" si="65"/>
        <v/>
      </c>
    </row>
    <row r="1036" spans="8:8" x14ac:dyDescent="0.3">
      <c r="H1036" t="str">
        <f t="shared" si="65"/>
        <v/>
      </c>
    </row>
    <row r="1037" spans="8:8" x14ac:dyDescent="0.3">
      <c r="H1037" t="str">
        <f t="shared" si="65"/>
        <v/>
      </c>
    </row>
    <row r="1038" spans="8:8" x14ac:dyDescent="0.3">
      <c r="H1038" t="str">
        <f t="shared" si="65"/>
        <v/>
      </c>
    </row>
    <row r="1039" spans="8:8" x14ac:dyDescent="0.3">
      <c r="H1039" t="str">
        <f t="shared" si="65"/>
        <v/>
      </c>
    </row>
    <row r="1040" spans="8:8" x14ac:dyDescent="0.3">
      <c r="H1040" t="str">
        <f t="shared" si="65"/>
        <v/>
      </c>
    </row>
    <row r="1041" spans="8:8" x14ac:dyDescent="0.3">
      <c r="H1041" t="str">
        <f t="shared" si="65"/>
        <v/>
      </c>
    </row>
    <row r="1042" spans="8:8" x14ac:dyDescent="0.3">
      <c r="H1042" t="str">
        <f t="shared" si="65"/>
        <v/>
      </c>
    </row>
    <row r="1043" spans="8:8" x14ac:dyDescent="0.3">
      <c r="H1043" t="str">
        <f t="shared" si="65"/>
        <v/>
      </c>
    </row>
    <row r="1044" spans="8:8" x14ac:dyDescent="0.3">
      <c r="H1044" t="str">
        <f t="shared" si="65"/>
        <v/>
      </c>
    </row>
    <row r="1045" spans="8:8" x14ac:dyDescent="0.3">
      <c r="H1045" t="str">
        <f t="shared" si="65"/>
        <v/>
      </c>
    </row>
    <row r="1046" spans="8:8" x14ac:dyDescent="0.3">
      <c r="H1046" t="str">
        <f t="shared" si="65"/>
        <v/>
      </c>
    </row>
    <row r="1047" spans="8:8" x14ac:dyDescent="0.3">
      <c r="H1047" t="str">
        <f t="shared" ref="H1047:H1110" si="66">IF(B1047="","",$C$12)</f>
        <v/>
      </c>
    </row>
    <row r="1048" spans="8:8" x14ac:dyDescent="0.3">
      <c r="H1048" t="str">
        <f t="shared" si="66"/>
        <v/>
      </c>
    </row>
    <row r="1049" spans="8:8" x14ac:dyDescent="0.3">
      <c r="H1049" t="str">
        <f t="shared" si="66"/>
        <v/>
      </c>
    </row>
    <row r="1050" spans="8:8" x14ac:dyDescent="0.3">
      <c r="H1050" t="str">
        <f t="shared" si="66"/>
        <v/>
      </c>
    </row>
    <row r="1051" spans="8:8" x14ac:dyDescent="0.3">
      <c r="H1051" t="str">
        <f t="shared" si="66"/>
        <v/>
      </c>
    </row>
    <row r="1052" spans="8:8" x14ac:dyDescent="0.3">
      <c r="H1052" t="str">
        <f t="shared" si="66"/>
        <v/>
      </c>
    </row>
    <row r="1053" spans="8:8" x14ac:dyDescent="0.3">
      <c r="H1053" t="str">
        <f t="shared" si="66"/>
        <v/>
      </c>
    </row>
    <row r="1054" spans="8:8" x14ac:dyDescent="0.3">
      <c r="H1054" t="str">
        <f t="shared" si="66"/>
        <v/>
      </c>
    </row>
    <row r="1055" spans="8:8" x14ac:dyDescent="0.3">
      <c r="H1055" t="str">
        <f t="shared" si="66"/>
        <v/>
      </c>
    </row>
    <row r="1056" spans="8:8" x14ac:dyDescent="0.3">
      <c r="H1056" t="str">
        <f t="shared" si="66"/>
        <v/>
      </c>
    </row>
    <row r="1057" spans="8:8" x14ac:dyDescent="0.3">
      <c r="H1057" t="str">
        <f t="shared" si="66"/>
        <v/>
      </c>
    </row>
    <row r="1058" spans="8:8" x14ac:dyDescent="0.3">
      <c r="H1058" t="str">
        <f t="shared" si="66"/>
        <v/>
      </c>
    </row>
    <row r="1059" spans="8:8" x14ac:dyDescent="0.3">
      <c r="H1059" t="str">
        <f t="shared" si="66"/>
        <v/>
      </c>
    </row>
    <row r="1060" spans="8:8" x14ac:dyDescent="0.3">
      <c r="H1060" t="str">
        <f t="shared" si="66"/>
        <v/>
      </c>
    </row>
    <row r="1061" spans="8:8" x14ac:dyDescent="0.3">
      <c r="H1061" t="str">
        <f t="shared" si="66"/>
        <v/>
      </c>
    </row>
    <row r="1062" spans="8:8" x14ac:dyDescent="0.3">
      <c r="H1062" t="str">
        <f t="shared" si="66"/>
        <v/>
      </c>
    </row>
    <row r="1063" spans="8:8" x14ac:dyDescent="0.3">
      <c r="H1063" t="str">
        <f t="shared" si="66"/>
        <v/>
      </c>
    </row>
    <row r="1064" spans="8:8" x14ac:dyDescent="0.3">
      <c r="H1064" t="str">
        <f t="shared" si="66"/>
        <v/>
      </c>
    </row>
    <row r="1065" spans="8:8" x14ac:dyDescent="0.3">
      <c r="H1065" t="str">
        <f t="shared" si="66"/>
        <v/>
      </c>
    </row>
    <row r="1066" spans="8:8" x14ac:dyDescent="0.3">
      <c r="H1066" t="str">
        <f t="shared" si="66"/>
        <v/>
      </c>
    </row>
    <row r="1067" spans="8:8" x14ac:dyDescent="0.3">
      <c r="H1067" t="str">
        <f t="shared" si="66"/>
        <v/>
      </c>
    </row>
    <row r="1068" spans="8:8" x14ac:dyDescent="0.3">
      <c r="H1068" t="str">
        <f t="shared" si="66"/>
        <v/>
      </c>
    </row>
    <row r="1069" spans="8:8" x14ac:dyDescent="0.3">
      <c r="H1069" t="str">
        <f t="shared" si="66"/>
        <v/>
      </c>
    </row>
    <row r="1070" spans="8:8" x14ac:dyDescent="0.3">
      <c r="H1070" t="str">
        <f t="shared" si="66"/>
        <v/>
      </c>
    </row>
    <row r="1071" spans="8:8" x14ac:dyDescent="0.3">
      <c r="H1071" t="str">
        <f t="shared" si="66"/>
        <v/>
      </c>
    </row>
    <row r="1072" spans="8:8" x14ac:dyDescent="0.3">
      <c r="H1072" t="str">
        <f t="shared" si="66"/>
        <v/>
      </c>
    </row>
    <row r="1073" spans="8:8" x14ac:dyDescent="0.3">
      <c r="H1073" t="str">
        <f t="shared" si="66"/>
        <v/>
      </c>
    </row>
    <row r="1074" spans="8:8" x14ac:dyDescent="0.3">
      <c r="H1074" t="str">
        <f t="shared" si="66"/>
        <v/>
      </c>
    </row>
    <row r="1075" spans="8:8" x14ac:dyDescent="0.3">
      <c r="H1075" t="str">
        <f t="shared" si="66"/>
        <v/>
      </c>
    </row>
    <row r="1076" spans="8:8" x14ac:dyDescent="0.3">
      <c r="H1076" t="str">
        <f t="shared" si="66"/>
        <v/>
      </c>
    </row>
    <row r="1077" spans="8:8" x14ac:dyDescent="0.3">
      <c r="H1077" t="str">
        <f t="shared" si="66"/>
        <v/>
      </c>
    </row>
    <row r="1078" spans="8:8" x14ac:dyDescent="0.3">
      <c r="H1078" t="str">
        <f t="shared" si="66"/>
        <v/>
      </c>
    </row>
    <row r="1079" spans="8:8" x14ac:dyDescent="0.3">
      <c r="H1079" t="str">
        <f t="shared" si="66"/>
        <v/>
      </c>
    </row>
    <row r="1080" spans="8:8" x14ac:dyDescent="0.3">
      <c r="H1080" t="str">
        <f t="shared" si="66"/>
        <v/>
      </c>
    </row>
    <row r="1081" spans="8:8" x14ac:dyDescent="0.3">
      <c r="H1081" t="str">
        <f t="shared" si="66"/>
        <v/>
      </c>
    </row>
    <row r="1082" spans="8:8" x14ac:dyDescent="0.3">
      <c r="H1082" t="str">
        <f t="shared" si="66"/>
        <v/>
      </c>
    </row>
    <row r="1083" spans="8:8" x14ac:dyDescent="0.3">
      <c r="H1083" t="str">
        <f t="shared" si="66"/>
        <v/>
      </c>
    </row>
    <row r="1084" spans="8:8" x14ac:dyDescent="0.3">
      <c r="H1084" t="str">
        <f t="shared" si="66"/>
        <v/>
      </c>
    </row>
    <row r="1085" spans="8:8" x14ac:dyDescent="0.3">
      <c r="H1085" t="str">
        <f t="shared" si="66"/>
        <v/>
      </c>
    </row>
    <row r="1086" spans="8:8" x14ac:dyDescent="0.3">
      <c r="H1086" t="str">
        <f t="shared" si="66"/>
        <v/>
      </c>
    </row>
    <row r="1087" spans="8:8" x14ac:dyDescent="0.3">
      <c r="H1087" t="str">
        <f t="shared" si="66"/>
        <v/>
      </c>
    </row>
    <row r="1088" spans="8:8" x14ac:dyDescent="0.3">
      <c r="H1088" t="str">
        <f t="shared" si="66"/>
        <v/>
      </c>
    </row>
    <row r="1089" spans="8:8" x14ac:dyDescent="0.3">
      <c r="H1089" t="str">
        <f t="shared" si="66"/>
        <v/>
      </c>
    </row>
    <row r="1090" spans="8:8" x14ac:dyDescent="0.3">
      <c r="H1090" t="str">
        <f t="shared" si="66"/>
        <v/>
      </c>
    </row>
    <row r="1091" spans="8:8" x14ac:dyDescent="0.3">
      <c r="H1091" t="str">
        <f t="shared" si="66"/>
        <v/>
      </c>
    </row>
    <row r="1092" spans="8:8" x14ac:dyDescent="0.3">
      <c r="H1092" t="str">
        <f t="shared" si="66"/>
        <v/>
      </c>
    </row>
    <row r="1093" spans="8:8" x14ac:dyDescent="0.3">
      <c r="H1093" t="str">
        <f t="shared" si="66"/>
        <v/>
      </c>
    </row>
    <row r="1094" spans="8:8" x14ac:dyDescent="0.3">
      <c r="H1094" t="str">
        <f t="shared" si="66"/>
        <v/>
      </c>
    </row>
    <row r="1095" spans="8:8" x14ac:dyDescent="0.3">
      <c r="H1095" t="str">
        <f t="shared" si="66"/>
        <v/>
      </c>
    </row>
    <row r="1096" spans="8:8" x14ac:dyDescent="0.3">
      <c r="H1096" t="str">
        <f t="shared" si="66"/>
        <v/>
      </c>
    </row>
    <row r="1097" spans="8:8" x14ac:dyDescent="0.3">
      <c r="H1097" t="str">
        <f t="shared" si="66"/>
        <v/>
      </c>
    </row>
    <row r="1098" spans="8:8" x14ac:dyDescent="0.3">
      <c r="H1098" t="str">
        <f t="shared" si="66"/>
        <v/>
      </c>
    </row>
    <row r="1099" spans="8:8" x14ac:dyDescent="0.3">
      <c r="H1099" t="str">
        <f t="shared" si="66"/>
        <v/>
      </c>
    </row>
    <row r="1100" spans="8:8" x14ac:dyDescent="0.3">
      <c r="H1100" t="str">
        <f t="shared" si="66"/>
        <v/>
      </c>
    </row>
    <row r="1101" spans="8:8" x14ac:dyDescent="0.3">
      <c r="H1101" t="str">
        <f t="shared" si="66"/>
        <v/>
      </c>
    </row>
    <row r="1102" spans="8:8" x14ac:dyDescent="0.3">
      <c r="H1102" t="str">
        <f t="shared" si="66"/>
        <v/>
      </c>
    </row>
    <row r="1103" spans="8:8" x14ac:dyDescent="0.3">
      <c r="H1103" t="str">
        <f t="shared" si="66"/>
        <v/>
      </c>
    </row>
    <row r="1104" spans="8:8" x14ac:dyDescent="0.3">
      <c r="H1104" t="str">
        <f t="shared" si="66"/>
        <v/>
      </c>
    </row>
    <row r="1105" spans="8:8" x14ac:dyDescent="0.3">
      <c r="H1105" t="str">
        <f t="shared" si="66"/>
        <v/>
      </c>
    </row>
    <row r="1106" spans="8:8" x14ac:dyDescent="0.3">
      <c r="H1106" t="str">
        <f t="shared" si="66"/>
        <v/>
      </c>
    </row>
    <row r="1107" spans="8:8" x14ac:dyDescent="0.3">
      <c r="H1107" t="str">
        <f t="shared" si="66"/>
        <v/>
      </c>
    </row>
    <row r="1108" spans="8:8" x14ac:dyDescent="0.3">
      <c r="H1108" t="str">
        <f t="shared" si="66"/>
        <v/>
      </c>
    </row>
    <row r="1109" spans="8:8" x14ac:dyDescent="0.3">
      <c r="H1109" t="str">
        <f t="shared" si="66"/>
        <v/>
      </c>
    </row>
    <row r="1110" spans="8:8" x14ac:dyDescent="0.3">
      <c r="H1110" t="str">
        <f t="shared" si="66"/>
        <v/>
      </c>
    </row>
    <row r="1111" spans="8:8" x14ac:dyDescent="0.3">
      <c r="H1111" t="str">
        <f t="shared" ref="H1111:H1174" si="67">IF(B1111="","",$C$12)</f>
        <v/>
      </c>
    </row>
    <row r="1112" spans="8:8" x14ac:dyDescent="0.3">
      <c r="H1112" t="str">
        <f t="shared" si="67"/>
        <v/>
      </c>
    </row>
    <row r="1113" spans="8:8" x14ac:dyDescent="0.3">
      <c r="H1113" t="str">
        <f t="shared" si="67"/>
        <v/>
      </c>
    </row>
    <row r="1114" spans="8:8" x14ac:dyDescent="0.3">
      <c r="H1114" t="str">
        <f t="shared" si="67"/>
        <v/>
      </c>
    </row>
    <row r="1115" spans="8:8" x14ac:dyDescent="0.3">
      <c r="H1115" t="str">
        <f t="shared" si="67"/>
        <v/>
      </c>
    </row>
    <row r="1116" spans="8:8" x14ac:dyDescent="0.3">
      <c r="H1116" t="str">
        <f t="shared" si="67"/>
        <v/>
      </c>
    </row>
    <row r="1117" spans="8:8" x14ac:dyDescent="0.3">
      <c r="H1117" t="str">
        <f t="shared" si="67"/>
        <v/>
      </c>
    </row>
    <row r="1118" spans="8:8" x14ac:dyDescent="0.3">
      <c r="H1118" t="str">
        <f t="shared" si="67"/>
        <v/>
      </c>
    </row>
    <row r="1119" spans="8:8" x14ac:dyDescent="0.3">
      <c r="H1119" t="str">
        <f t="shared" si="67"/>
        <v/>
      </c>
    </row>
    <row r="1120" spans="8:8" x14ac:dyDescent="0.3">
      <c r="H1120" t="str">
        <f t="shared" si="67"/>
        <v/>
      </c>
    </row>
    <row r="1121" spans="8:8" x14ac:dyDescent="0.3">
      <c r="H1121" t="str">
        <f t="shared" si="67"/>
        <v/>
      </c>
    </row>
    <row r="1122" spans="8:8" x14ac:dyDescent="0.3">
      <c r="H1122" t="str">
        <f t="shared" si="67"/>
        <v/>
      </c>
    </row>
    <row r="1123" spans="8:8" x14ac:dyDescent="0.3">
      <c r="H1123" t="str">
        <f t="shared" si="67"/>
        <v/>
      </c>
    </row>
    <row r="1124" spans="8:8" x14ac:dyDescent="0.3">
      <c r="H1124" t="str">
        <f t="shared" si="67"/>
        <v/>
      </c>
    </row>
    <row r="1125" spans="8:8" x14ac:dyDescent="0.3">
      <c r="H1125" t="str">
        <f t="shared" si="67"/>
        <v/>
      </c>
    </row>
    <row r="1126" spans="8:8" x14ac:dyDescent="0.3">
      <c r="H1126" t="str">
        <f t="shared" si="67"/>
        <v/>
      </c>
    </row>
    <row r="1127" spans="8:8" x14ac:dyDescent="0.3">
      <c r="H1127" t="str">
        <f t="shared" si="67"/>
        <v/>
      </c>
    </row>
    <row r="1128" spans="8:8" x14ac:dyDescent="0.3">
      <c r="H1128" t="str">
        <f t="shared" si="67"/>
        <v/>
      </c>
    </row>
    <row r="1129" spans="8:8" x14ac:dyDescent="0.3">
      <c r="H1129" t="str">
        <f t="shared" si="67"/>
        <v/>
      </c>
    </row>
    <row r="1130" spans="8:8" x14ac:dyDescent="0.3">
      <c r="H1130" t="str">
        <f t="shared" si="67"/>
        <v/>
      </c>
    </row>
    <row r="1131" spans="8:8" x14ac:dyDescent="0.3">
      <c r="H1131" t="str">
        <f t="shared" si="67"/>
        <v/>
      </c>
    </row>
    <row r="1132" spans="8:8" x14ac:dyDescent="0.3">
      <c r="H1132" t="str">
        <f t="shared" si="67"/>
        <v/>
      </c>
    </row>
    <row r="1133" spans="8:8" x14ac:dyDescent="0.3">
      <c r="H1133" t="str">
        <f t="shared" si="67"/>
        <v/>
      </c>
    </row>
    <row r="1134" spans="8:8" x14ac:dyDescent="0.3">
      <c r="H1134" t="str">
        <f t="shared" si="67"/>
        <v/>
      </c>
    </row>
    <row r="1135" spans="8:8" x14ac:dyDescent="0.3">
      <c r="H1135" t="str">
        <f t="shared" si="67"/>
        <v/>
      </c>
    </row>
    <row r="1136" spans="8:8" x14ac:dyDescent="0.3">
      <c r="H1136" t="str">
        <f t="shared" si="67"/>
        <v/>
      </c>
    </row>
    <row r="1137" spans="8:8" x14ac:dyDescent="0.3">
      <c r="H1137" t="str">
        <f t="shared" si="67"/>
        <v/>
      </c>
    </row>
    <row r="1138" spans="8:8" x14ac:dyDescent="0.3">
      <c r="H1138" t="str">
        <f t="shared" si="67"/>
        <v/>
      </c>
    </row>
    <row r="1139" spans="8:8" x14ac:dyDescent="0.3">
      <c r="H1139" t="str">
        <f t="shared" si="67"/>
        <v/>
      </c>
    </row>
    <row r="1140" spans="8:8" x14ac:dyDescent="0.3">
      <c r="H1140" t="str">
        <f t="shared" si="67"/>
        <v/>
      </c>
    </row>
    <row r="1141" spans="8:8" x14ac:dyDescent="0.3">
      <c r="H1141" t="str">
        <f t="shared" si="67"/>
        <v/>
      </c>
    </row>
    <row r="1142" spans="8:8" x14ac:dyDescent="0.3">
      <c r="H1142" t="str">
        <f t="shared" si="67"/>
        <v/>
      </c>
    </row>
    <row r="1143" spans="8:8" x14ac:dyDescent="0.3">
      <c r="H1143" t="str">
        <f t="shared" si="67"/>
        <v/>
      </c>
    </row>
    <row r="1144" spans="8:8" x14ac:dyDescent="0.3">
      <c r="H1144" t="str">
        <f t="shared" si="67"/>
        <v/>
      </c>
    </row>
    <row r="1145" spans="8:8" x14ac:dyDescent="0.3">
      <c r="H1145" t="str">
        <f t="shared" si="67"/>
        <v/>
      </c>
    </row>
    <row r="1146" spans="8:8" x14ac:dyDescent="0.3">
      <c r="H1146" t="str">
        <f t="shared" si="67"/>
        <v/>
      </c>
    </row>
    <row r="1147" spans="8:8" x14ac:dyDescent="0.3">
      <c r="H1147" t="str">
        <f t="shared" si="67"/>
        <v/>
      </c>
    </row>
    <row r="1148" spans="8:8" x14ac:dyDescent="0.3">
      <c r="H1148" t="str">
        <f t="shared" si="67"/>
        <v/>
      </c>
    </row>
    <row r="1149" spans="8:8" x14ac:dyDescent="0.3">
      <c r="H1149" t="str">
        <f t="shared" si="67"/>
        <v/>
      </c>
    </row>
    <row r="1150" spans="8:8" x14ac:dyDescent="0.3">
      <c r="H1150" t="str">
        <f t="shared" si="67"/>
        <v/>
      </c>
    </row>
    <row r="1151" spans="8:8" x14ac:dyDescent="0.3">
      <c r="H1151" t="str">
        <f t="shared" si="67"/>
        <v/>
      </c>
    </row>
    <row r="1152" spans="8:8" x14ac:dyDescent="0.3">
      <c r="H1152" t="str">
        <f t="shared" si="67"/>
        <v/>
      </c>
    </row>
    <row r="1153" spans="8:8" x14ac:dyDescent="0.3">
      <c r="H1153" t="str">
        <f t="shared" si="67"/>
        <v/>
      </c>
    </row>
    <row r="1154" spans="8:8" x14ac:dyDescent="0.3">
      <c r="H1154" t="str">
        <f t="shared" si="67"/>
        <v/>
      </c>
    </row>
    <row r="1155" spans="8:8" x14ac:dyDescent="0.3">
      <c r="H1155" t="str">
        <f t="shared" si="67"/>
        <v/>
      </c>
    </row>
    <row r="1156" spans="8:8" x14ac:dyDescent="0.3">
      <c r="H1156" t="str">
        <f t="shared" si="67"/>
        <v/>
      </c>
    </row>
    <row r="1157" spans="8:8" x14ac:dyDescent="0.3">
      <c r="H1157" t="str">
        <f t="shared" si="67"/>
        <v/>
      </c>
    </row>
    <row r="1158" spans="8:8" x14ac:dyDescent="0.3">
      <c r="H1158" t="str">
        <f t="shared" si="67"/>
        <v/>
      </c>
    </row>
    <row r="1159" spans="8:8" x14ac:dyDescent="0.3">
      <c r="H1159" t="str">
        <f t="shared" si="67"/>
        <v/>
      </c>
    </row>
    <row r="1160" spans="8:8" x14ac:dyDescent="0.3">
      <c r="H1160" t="str">
        <f t="shared" si="67"/>
        <v/>
      </c>
    </row>
    <row r="1161" spans="8:8" x14ac:dyDescent="0.3">
      <c r="H1161" t="str">
        <f t="shared" si="67"/>
        <v/>
      </c>
    </row>
    <row r="1162" spans="8:8" x14ac:dyDescent="0.3">
      <c r="H1162" t="str">
        <f t="shared" si="67"/>
        <v/>
      </c>
    </row>
    <row r="1163" spans="8:8" x14ac:dyDescent="0.3">
      <c r="H1163" t="str">
        <f t="shared" si="67"/>
        <v/>
      </c>
    </row>
    <row r="1164" spans="8:8" x14ac:dyDescent="0.3">
      <c r="H1164" t="str">
        <f t="shared" si="67"/>
        <v/>
      </c>
    </row>
    <row r="1165" spans="8:8" x14ac:dyDescent="0.3">
      <c r="H1165" t="str">
        <f t="shared" si="67"/>
        <v/>
      </c>
    </row>
    <row r="1166" spans="8:8" x14ac:dyDescent="0.3">
      <c r="H1166" t="str">
        <f t="shared" si="67"/>
        <v/>
      </c>
    </row>
    <row r="1167" spans="8:8" x14ac:dyDescent="0.3">
      <c r="H1167" t="str">
        <f t="shared" si="67"/>
        <v/>
      </c>
    </row>
    <row r="1168" spans="8:8" x14ac:dyDescent="0.3">
      <c r="H1168" t="str">
        <f t="shared" si="67"/>
        <v/>
      </c>
    </row>
    <row r="1169" spans="8:8" x14ac:dyDescent="0.3">
      <c r="H1169" t="str">
        <f t="shared" si="67"/>
        <v/>
      </c>
    </row>
    <row r="1170" spans="8:8" x14ac:dyDescent="0.3">
      <c r="H1170" t="str">
        <f t="shared" si="67"/>
        <v/>
      </c>
    </row>
    <row r="1171" spans="8:8" x14ac:dyDescent="0.3">
      <c r="H1171" t="str">
        <f t="shared" si="67"/>
        <v/>
      </c>
    </row>
    <row r="1172" spans="8:8" x14ac:dyDescent="0.3">
      <c r="H1172" t="str">
        <f t="shared" si="67"/>
        <v/>
      </c>
    </row>
    <row r="1173" spans="8:8" x14ac:dyDescent="0.3">
      <c r="H1173" t="str">
        <f t="shared" si="67"/>
        <v/>
      </c>
    </row>
    <row r="1174" spans="8:8" x14ac:dyDescent="0.3">
      <c r="H1174" t="str">
        <f t="shared" si="67"/>
        <v/>
      </c>
    </row>
    <row r="1175" spans="8:8" x14ac:dyDescent="0.3">
      <c r="H1175" t="str">
        <f t="shared" ref="H1175:H1238" si="68">IF(B1175="","",$C$12)</f>
        <v/>
      </c>
    </row>
    <row r="1176" spans="8:8" x14ac:dyDescent="0.3">
      <c r="H1176" t="str">
        <f t="shared" si="68"/>
        <v/>
      </c>
    </row>
    <row r="1177" spans="8:8" x14ac:dyDescent="0.3">
      <c r="H1177" t="str">
        <f t="shared" si="68"/>
        <v/>
      </c>
    </row>
    <row r="1178" spans="8:8" x14ac:dyDescent="0.3">
      <c r="H1178" t="str">
        <f t="shared" si="68"/>
        <v/>
      </c>
    </row>
    <row r="1179" spans="8:8" x14ac:dyDescent="0.3">
      <c r="H1179" t="str">
        <f t="shared" si="68"/>
        <v/>
      </c>
    </row>
    <row r="1180" spans="8:8" x14ac:dyDescent="0.3">
      <c r="H1180" t="str">
        <f t="shared" si="68"/>
        <v/>
      </c>
    </row>
    <row r="1181" spans="8:8" x14ac:dyDescent="0.3">
      <c r="H1181" t="str">
        <f t="shared" si="68"/>
        <v/>
      </c>
    </row>
    <row r="1182" spans="8:8" x14ac:dyDescent="0.3">
      <c r="H1182" t="str">
        <f t="shared" si="68"/>
        <v/>
      </c>
    </row>
    <row r="1183" spans="8:8" x14ac:dyDescent="0.3">
      <c r="H1183" t="str">
        <f t="shared" si="68"/>
        <v/>
      </c>
    </row>
    <row r="1184" spans="8:8" x14ac:dyDescent="0.3">
      <c r="H1184" t="str">
        <f t="shared" si="68"/>
        <v/>
      </c>
    </row>
    <row r="1185" spans="8:8" x14ac:dyDescent="0.3">
      <c r="H1185" t="str">
        <f t="shared" si="68"/>
        <v/>
      </c>
    </row>
    <row r="1186" spans="8:8" x14ac:dyDescent="0.3">
      <c r="H1186" t="str">
        <f t="shared" si="68"/>
        <v/>
      </c>
    </row>
    <row r="1187" spans="8:8" x14ac:dyDescent="0.3">
      <c r="H1187" t="str">
        <f t="shared" si="68"/>
        <v/>
      </c>
    </row>
    <row r="1188" spans="8:8" x14ac:dyDescent="0.3">
      <c r="H1188" t="str">
        <f t="shared" si="68"/>
        <v/>
      </c>
    </row>
    <row r="1189" spans="8:8" x14ac:dyDescent="0.3">
      <c r="H1189" t="str">
        <f t="shared" si="68"/>
        <v/>
      </c>
    </row>
    <row r="1190" spans="8:8" x14ac:dyDescent="0.3">
      <c r="H1190" t="str">
        <f t="shared" si="68"/>
        <v/>
      </c>
    </row>
    <row r="1191" spans="8:8" x14ac:dyDescent="0.3">
      <c r="H1191" t="str">
        <f t="shared" si="68"/>
        <v/>
      </c>
    </row>
    <row r="1192" spans="8:8" x14ac:dyDescent="0.3">
      <c r="H1192" t="str">
        <f t="shared" si="68"/>
        <v/>
      </c>
    </row>
    <row r="1193" spans="8:8" x14ac:dyDescent="0.3">
      <c r="H1193" t="str">
        <f t="shared" si="68"/>
        <v/>
      </c>
    </row>
    <row r="1194" spans="8:8" x14ac:dyDescent="0.3">
      <c r="H1194" t="str">
        <f t="shared" si="68"/>
        <v/>
      </c>
    </row>
    <row r="1195" spans="8:8" x14ac:dyDescent="0.3">
      <c r="H1195" t="str">
        <f t="shared" si="68"/>
        <v/>
      </c>
    </row>
    <row r="1196" spans="8:8" x14ac:dyDescent="0.3">
      <c r="H1196" t="str">
        <f t="shared" si="68"/>
        <v/>
      </c>
    </row>
    <row r="1197" spans="8:8" x14ac:dyDescent="0.3">
      <c r="H1197" t="str">
        <f t="shared" si="68"/>
        <v/>
      </c>
    </row>
    <row r="1198" spans="8:8" x14ac:dyDescent="0.3">
      <c r="H1198" t="str">
        <f t="shared" si="68"/>
        <v/>
      </c>
    </row>
    <row r="1199" spans="8:8" x14ac:dyDescent="0.3">
      <c r="H1199" t="str">
        <f t="shared" si="68"/>
        <v/>
      </c>
    </row>
    <row r="1200" spans="8:8" x14ac:dyDescent="0.3">
      <c r="H1200" t="str">
        <f t="shared" si="68"/>
        <v/>
      </c>
    </row>
    <row r="1201" spans="8:8" x14ac:dyDescent="0.3">
      <c r="H1201" t="str">
        <f t="shared" si="68"/>
        <v/>
      </c>
    </row>
    <row r="1202" spans="8:8" x14ac:dyDescent="0.3">
      <c r="H1202" t="str">
        <f t="shared" si="68"/>
        <v/>
      </c>
    </row>
    <row r="1203" spans="8:8" x14ac:dyDescent="0.3">
      <c r="H1203" t="str">
        <f t="shared" si="68"/>
        <v/>
      </c>
    </row>
    <row r="1204" spans="8:8" x14ac:dyDescent="0.3">
      <c r="H1204" t="str">
        <f t="shared" si="68"/>
        <v/>
      </c>
    </row>
    <row r="1205" spans="8:8" x14ac:dyDescent="0.3">
      <c r="H1205" t="str">
        <f t="shared" si="68"/>
        <v/>
      </c>
    </row>
    <row r="1206" spans="8:8" x14ac:dyDescent="0.3">
      <c r="H1206" t="str">
        <f t="shared" si="68"/>
        <v/>
      </c>
    </row>
    <row r="1207" spans="8:8" x14ac:dyDescent="0.3">
      <c r="H1207" t="str">
        <f t="shared" si="68"/>
        <v/>
      </c>
    </row>
    <row r="1208" spans="8:8" x14ac:dyDescent="0.3">
      <c r="H1208" t="str">
        <f t="shared" si="68"/>
        <v/>
      </c>
    </row>
    <row r="1209" spans="8:8" x14ac:dyDescent="0.3">
      <c r="H1209" t="str">
        <f t="shared" si="68"/>
        <v/>
      </c>
    </row>
    <row r="1210" spans="8:8" x14ac:dyDescent="0.3">
      <c r="H1210" t="str">
        <f t="shared" si="68"/>
        <v/>
      </c>
    </row>
    <row r="1211" spans="8:8" x14ac:dyDescent="0.3">
      <c r="H1211" t="str">
        <f t="shared" si="68"/>
        <v/>
      </c>
    </row>
    <row r="1212" spans="8:8" x14ac:dyDescent="0.3">
      <c r="H1212" t="str">
        <f t="shared" si="68"/>
        <v/>
      </c>
    </row>
    <row r="1213" spans="8:8" x14ac:dyDescent="0.3">
      <c r="H1213" t="str">
        <f t="shared" si="68"/>
        <v/>
      </c>
    </row>
    <row r="1214" spans="8:8" x14ac:dyDescent="0.3">
      <c r="H1214" t="str">
        <f t="shared" si="68"/>
        <v/>
      </c>
    </row>
    <row r="1215" spans="8:8" x14ac:dyDescent="0.3">
      <c r="H1215" t="str">
        <f t="shared" si="68"/>
        <v/>
      </c>
    </row>
    <row r="1216" spans="8:8" x14ac:dyDescent="0.3">
      <c r="H1216" t="str">
        <f t="shared" si="68"/>
        <v/>
      </c>
    </row>
    <row r="1217" spans="8:8" x14ac:dyDescent="0.3">
      <c r="H1217" t="str">
        <f t="shared" si="68"/>
        <v/>
      </c>
    </row>
    <row r="1218" spans="8:8" x14ac:dyDescent="0.3">
      <c r="H1218" t="str">
        <f t="shared" si="68"/>
        <v/>
      </c>
    </row>
    <row r="1219" spans="8:8" x14ac:dyDescent="0.3">
      <c r="H1219" t="str">
        <f t="shared" si="68"/>
        <v/>
      </c>
    </row>
    <row r="1220" spans="8:8" x14ac:dyDescent="0.3">
      <c r="H1220" t="str">
        <f t="shared" si="68"/>
        <v/>
      </c>
    </row>
    <row r="1221" spans="8:8" x14ac:dyDescent="0.3">
      <c r="H1221" t="str">
        <f t="shared" si="68"/>
        <v/>
      </c>
    </row>
    <row r="1222" spans="8:8" x14ac:dyDescent="0.3">
      <c r="H1222" t="str">
        <f t="shared" si="68"/>
        <v/>
      </c>
    </row>
    <row r="1223" spans="8:8" x14ac:dyDescent="0.3">
      <c r="H1223" t="str">
        <f t="shared" si="68"/>
        <v/>
      </c>
    </row>
    <row r="1224" spans="8:8" x14ac:dyDescent="0.3">
      <c r="H1224" t="str">
        <f t="shared" si="68"/>
        <v/>
      </c>
    </row>
    <row r="1225" spans="8:8" x14ac:dyDescent="0.3">
      <c r="H1225" t="str">
        <f t="shared" si="68"/>
        <v/>
      </c>
    </row>
    <row r="1226" spans="8:8" x14ac:dyDescent="0.3">
      <c r="H1226" t="str">
        <f t="shared" si="68"/>
        <v/>
      </c>
    </row>
    <row r="1227" spans="8:8" x14ac:dyDescent="0.3">
      <c r="H1227" t="str">
        <f t="shared" si="68"/>
        <v/>
      </c>
    </row>
    <row r="1228" spans="8:8" x14ac:dyDescent="0.3">
      <c r="H1228" t="str">
        <f t="shared" si="68"/>
        <v/>
      </c>
    </row>
    <row r="1229" spans="8:8" x14ac:dyDescent="0.3">
      <c r="H1229" t="str">
        <f t="shared" si="68"/>
        <v/>
      </c>
    </row>
    <row r="1230" spans="8:8" x14ac:dyDescent="0.3">
      <c r="H1230" t="str">
        <f t="shared" si="68"/>
        <v/>
      </c>
    </row>
    <row r="1231" spans="8:8" x14ac:dyDescent="0.3">
      <c r="H1231" t="str">
        <f t="shared" si="68"/>
        <v/>
      </c>
    </row>
    <row r="1232" spans="8:8" x14ac:dyDescent="0.3">
      <c r="H1232" t="str">
        <f t="shared" si="68"/>
        <v/>
      </c>
    </row>
    <row r="1233" spans="8:8" x14ac:dyDescent="0.3">
      <c r="H1233" t="str">
        <f t="shared" si="68"/>
        <v/>
      </c>
    </row>
    <row r="1234" spans="8:8" x14ac:dyDescent="0.3">
      <c r="H1234" t="str">
        <f t="shared" si="68"/>
        <v/>
      </c>
    </row>
    <row r="1235" spans="8:8" x14ac:dyDescent="0.3">
      <c r="H1235" t="str">
        <f t="shared" si="68"/>
        <v/>
      </c>
    </row>
    <row r="1236" spans="8:8" x14ac:dyDescent="0.3">
      <c r="H1236" t="str">
        <f t="shared" si="68"/>
        <v/>
      </c>
    </row>
    <row r="1237" spans="8:8" x14ac:dyDescent="0.3">
      <c r="H1237" t="str">
        <f t="shared" si="68"/>
        <v/>
      </c>
    </row>
    <row r="1238" spans="8:8" x14ac:dyDescent="0.3">
      <c r="H1238" t="str">
        <f t="shared" si="68"/>
        <v/>
      </c>
    </row>
    <row r="1239" spans="8:8" x14ac:dyDescent="0.3">
      <c r="H1239" t="str">
        <f t="shared" ref="H1239:H1302" si="69">IF(B1239="","",$C$12)</f>
        <v/>
      </c>
    </row>
    <row r="1240" spans="8:8" x14ac:dyDescent="0.3">
      <c r="H1240" t="str">
        <f t="shared" si="69"/>
        <v/>
      </c>
    </row>
    <row r="1241" spans="8:8" x14ac:dyDescent="0.3">
      <c r="H1241" t="str">
        <f t="shared" si="69"/>
        <v/>
      </c>
    </row>
    <row r="1242" spans="8:8" x14ac:dyDescent="0.3">
      <c r="H1242" t="str">
        <f t="shared" si="69"/>
        <v/>
      </c>
    </row>
    <row r="1243" spans="8:8" x14ac:dyDescent="0.3">
      <c r="H1243" t="str">
        <f t="shared" si="69"/>
        <v/>
      </c>
    </row>
    <row r="1244" spans="8:8" x14ac:dyDescent="0.3">
      <c r="H1244" t="str">
        <f t="shared" si="69"/>
        <v/>
      </c>
    </row>
    <row r="1245" spans="8:8" x14ac:dyDescent="0.3">
      <c r="H1245" t="str">
        <f t="shared" si="69"/>
        <v/>
      </c>
    </row>
    <row r="1246" spans="8:8" x14ac:dyDescent="0.3">
      <c r="H1246" t="str">
        <f t="shared" si="69"/>
        <v/>
      </c>
    </row>
    <row r="1247" spans="8:8" x14ac:dyDescent="0.3">
      <c r="H1247" t="str">
        <f t="shared" si="69"/>
        <v/>
      </c>
    </row>
    <row r="1248" spans="8:8" x14ac:dyDescent="0.3">
      <c r="H1248" t="str">
        <f t="shared" si="69"/>
        <v/>
      </c>
    </row>
    <row r="1249" spans="8:8" x14ac:dyDescent="0.3">
      <c r="H1249" t="str">
        <f t="shared" si="69"/>
        <v/>
      </c>
    </row>
    <row r="1250" spans="8:8" x14ac:dyDescent="0.3">
      <c r="H1250" t="str">
        <f t="shared" si="69"/>
        <v/>
      </c>
    </row>
    <row r="1251" spans="8:8" x14ac:dyDescent="0.3">
      <c r="H1251" t="str">
        <f t="shared" si="69"/>
        <v/>
      </c>
    </row>
    <row r="1252" spans="8:8" x14ac:dyDescent="0.3">
      <c r="H1252" t="str">
        <f t="shared" si="69"/>
        <v/>
      </c>
    </row>
    <row r="1253" spans="8:8" x14ac:dyDescent="0.3">
      <c r="H1253" t="str">
        <f t="shared" si="69"/>
        <v/>
      </c>
    </row>
    <row r="1254" spans="8:8" x14ac:dyDescent="0.3">
      <c r="H1254" t="str">
        <f t="shared" si="69"/>
        <v/>
      </c>
    </row>
    <row r="1255" spans="8:8" x14ac:dyDescent="0.3">
      <c r="H1255" t="str">
        <f t="shared" si="69"/>
        <v/>
      </c>
    </row>
    <row r="1256" spans="8:8" x14ac:dyDescent="0.3">
      <c r="H1256" t="str">
        <f t="shared" si="69"/>
        <v/>
      </c>
    </row>
    <row r="1257" spans="8:8" x14ac:dyDescent="0.3">
      <c r="H1257" t="str">
        <f t="shared" si="69"/>
        <v/>
      </c>
    </row>
    <row r="1258" spans="8:8" x14ac:dyDescent="0.3">
      <c r="H1258" t="str">
        <f t="shared" si="69"/>
        <v/>
      </c>
    </row>
    <row r="1259" spans="8:8" x14ac:dyDescent="0.3">
      <c r="H1259" t="str">
        <f t="shared" si="69"/>
        <v/>
      </c>
    </row>
    <row r="1260" spans="8:8" x14ac:dyDescent="0.3">
      <c r="H1260" t="str">
        <f t="shared" si="69"/>
        <v/>
      </c>
    </row>
    <row r="1261" spans="8:8" x14ac:dyDescent="0.3">
      <c r="H1261" t="str">
        <f t="shared" si="69"/>
        <v/>
      </c>
    </row>
    <row r="1262" spans="8:8" x14ac:dyDescent="0.3">
      <c r="H1262" t="str">
        <f t="shared" si="69"/>
        <v/>
      </c>
    </row>
    <row r="1263" spans="8:8" x14ac:dyDescent="0.3">
      <c r="H1263" t="str">
        <f t="shared" si="69"/>
        <v/>
      </c>
    </row>
    <row r="1264" spans="8:8" x14ac:dyDescent="0.3">
      <c r="H1264" t="str">
        <f t="shared" si="69"/>
        <v/>
      </c>
    </row>
    <row r="1265" spans="8:8" x14ac:dyDescent="0.3">
      <c r="H1265" t="str">
        <f t="shared" si="69"/>
        <v/>
      </c>
    </row>
    <row r="1266" spans="8:8" x14ac:dyDescent="0.3">
      <c r="H1266" t="str">
        <f t="shared" si="69"/>
        <v/>
      </c>
    </row>
    <row r="1267" spans="8:8" x14ac:dyDescent="0.3">
      <c r="H1267" t="str">
        <f t="shared" si="69"/>
        <v/>
      </c>
    </row>
    <row r="1268" spans="8:8" x14ac:dyDescent="0.3">
      <c r="H1268" t="str">
        <f t="shared" si="69"/>
        <v/>
      </c>
    </row>
    <row r="1269" spans="8:8" x14ac:dyDescent="0.3">
      <c r="H1269" t="str">
        <f t="shared" si="69"/>
        <v/>
      </c>
    </row>
    <row r="1270" spans="8:8" x14ac:dyDescent="0.3">
      <c r="H1270" t="str">
        <f t="shared" si="69"/>
        <v/>
      </c>
    </row>
    <row r="1271" spans="8:8" x14ac:dyDescent="0.3">
      <c r="H1271" t="str">
        <f t="shared" si="69"/>
        <v/>
      </c>
    </row>
    <row r="1272" spans="8:8" x14ac:dyDescent="0.3">
      <c r="H1272" t="str">
        <f t="shared" si="69"/>
        <v/>
      </c>
    </row>
    <row r="1273" spans="8:8" x14ac:dyDescent="0.3">
      <c r="H1273" t="str">
        <f t="shared" si="69"/>
        <v/>
      </c>
    </row>
    <row r="1274" spans="8:8" x14ac:dyDescent="0.3">
      <c r="H1274" t="str">
        <f t="shared" si="69"/>
        <v/>
      </c>
    </row>
    <row r="1275" spans="8:8" x14ac:dyDescent="0.3">
      <c r="H1275" t="str">
        <f t="shared" si="69"/>
        <v/>
      </c>
    </row>
    <row r="1276" spans="8:8" x14ac:dyDescent="0.3">
      <c r="H1276" t="str">
        <f t="shared" si="69"/>
        <v/>
      </c>
    </row>
    <row r="1277" spans="8:8" x14ac:dyDescent="0.3">
      <c r="H1277" t="str">
        <f t="shared" si="69"/>
        <v/>
      </c>
    </row>
    <row r="1278" spans="8:8" x14ac:dyDescent="0.3">
      <c r="H1278" t="str">
        <f t="shared" si="69"/>
        <v/>
      </c>
    </row>
    <row r="1279" spans="8:8" x14ac:dyDescent="0.3">
      <c r="H1279" t="str">
        <f t="shared" si="69"/>
        <v/>
      </c>
    </row>
    <row r="1280" spans="8:8" x14ac:dyDescent="0.3">
      <c r="H1280" t="str">
        <f t="shared" si="69"/>
        <v/>
      </c>
    </row>
    <row r="1281" spans="8:8" x14ac:dyDescent="0.3">
      <c r="H1281" t="str">
        <f t="shared" si="69"/>
        <v/>
      </c>
    </row>
    <row r="1282" spans="8:8" x14ac:dyDescent="0.3">
      <c r="H1282" t="str">
        <f t="shared" si="69"/>
        <v/>
      </c>
    </row>
    <row r="1283" spans="8:8" x14ac:dyDescent="0.3">
      <c r="H1283" t="str">
        <f t="shared" si="69"/>
        <v/>
      </c>
    </row>
    <row r="1284" spans="8:8" x14ac:dyDescent="0.3">
      <c r="H1284" t="str">
        <f t="shared" si="69"/>
        <v/>
      </c>
    </row>
    <row r="1285" spans="8:8" x14ac:dyDescent="0.3">
      <c r="H1285" t="str">
        <f t="shared" si="69"/>
        <v/>
      </c>
    </row>
    <row r="1286" spans="8:8" x14ac:dyDescent="0.3">
      <c r="H1286" t="str">
        <f t="shared" si="69"/>
        <v/>
      </c>
    </row>
    <row r="1287" spans="8:8" x14ac:dyDescent="0.3">
      <c r="H1287" t="str">
        <f t="shared" si="69"/>
        <v/>
      </c>
    </row>
    <row r="1288" spans="8:8" x14ac:dyDescent="0.3">
      <c r="H1288" t="str">
        <f t="shared" si="69"/>
        <v/>
      </c>
    </row>
    <row r="1289" spans="8:8" x14ac:dyDescent="0.3">
      <c r="H1289" t="str">
        <f t="shared" si="69"/>
        <v/>
      </c>
    </row>
    <row r="1290" spans="8:8" x14ac:dyDescent="0.3">
      <c r="H1290" t="str">
        <f t="shared" si="69"/>
        <v/>
      </c>
    </row>
    <row r="1291" spans="8:8" x14ac:dyDescent="0.3">
      <c r="H1291" t="str">
        <f t="shared" si="69"/>
        <v/>
      </c>
    </row>
    <row r="1292" spans="8:8" x14ac:dyDescent="0.3">
      <c r="H1292" t="str">
        <f t="shared" si="69"/>
        <v/>
      </c>
    </row>
    <row r="1293" spans="8:8" x14ac:dyDescent="0.3">
      <c r="H1293" t="str">
        <f t="shared" si="69"/>
        <v/>
      </c>
    </row>
    <row r="1294" spans="8:8" x14ac:dyDescent="0.3">
      <c r="H1294" t="str">
        <f t="shared" si="69"/>
        <v/>
      </c>
    </row>
    <row r="1295" spans="8:8" x14ac:dyDescent="0.3">
      <c r="H1295" t="str">
        <f t="shared" si="69"/>
        <v/>
      </c>
    </row>
    <row r="1296" spans="8:8" x14ac:dyDescent="0.3">
      <c r="H1296" t="str">
        <f t="shared" si="69"/>
        <v/>
      </c>
    </row>
    <row r="1297" spans="8:8" x14ac:dyDescent="0.3">
      <c r="H1297" t="str">
        <f t="shared" si="69"/>
        <v/>
      </c>
    </row>
    <row r="1298" spans="8:8" x14ac:dyDescent="0.3">
      <c r="H1298" t="str">
        <f t="shared" si="69"/>
        <v/>
      </c>
    </row>
    <row r="1299" spans="8:8" x14ac:dyDescent="0.3">
      <c r="H1299" t="str">
        <f t="shared" si="69"/>
        <v/>
      </c>
    </row>
    <row r="1300" spans="8:8" x14ac:dyDescent="0.3">
      <c r="H1300" t="str">
        <f t="shared" si="69"/>
        <v/>
      </c>
    </row>
    <row r="1301" spans="8:8" x14ac:dyDescent="0.3">
      <c r="H1301" t="str">
        <f t="shared" si="69"/>
        <v/>
      </c>
    </row>
    <row r="1302" spans="8:8" x14ac:dyDescent="0.3">
      <c r="H1302" t="str">
        <f t="shared" si="69"/>
        <v/>
      </c>
    </row>
    <row r="1303" spans="8:8" x14ac:dyDescent="0.3">
      <c r="H1303" t="str">
        <f t="shared" ref="H1303:H1366" si="70">IF(B1303="","",$C$12)</f>
        <v/>
      </c>
    </row>
    <row r="1304" spans="8:8" x14ac:dyDescent="0.3">
      <c r="H1304" t="str">
        <f t="shared" si="70"/>
        <v/>
      </c>
    </row>
    <row r="1305" spans="8:8" x14ac:dyDescent="0.3">
      <c r="H1305" t="str">
        <f t="shared" si="70"/>
        <v/>
      </c>
    </row>
    <row r="1306" spans="8:8" x14ac:dyDescent="0.3">
      <c r="H1306" t="str">
        <f t="shared" si="70"/>
        <v/>
      </c>
    </row>
    <row r="1307" spans="8:8" x14ac:dyDescent="0.3">
      <c r="H1307" t="str">
        <f t="shared" si="70"/>
        <v/>
      </c>
    </row>
    <row r="1308" spans="8:8" x14ac:dyDescent="0.3">
      <c r="H1308" t="str">
        <f t="shared" si="70"/>
        <v/>
      </c>
    </row>
    <row r="1309" spans="8:8" x14ac:dyDescent="0.3">
      <c r="H1309" t="str">
        <f t="shared" si="70"/>
        <v/>
      </c>
    </row>
    <row r="1310" spans="8:8" x14ac:dyDescent="0.3">
      <c r="H1310" t="str">
        <f t="shared" si="70"/>
        <v/>
      </c>
    </row>
    <row r="1311" spans="8:8" x14ac:dyDescent="0.3">
      <c r="H1311" t="str">
        <f t="shared" si="70"/>
        <v/>
      </c>
    </row>
    <row r="1312" spans="8:8" x14ac:dyDescent="0.3">
      <c r="H1312" t="str">
        <f t="shared" si="70"/>
        <v/>
      </c>
    </row>
    <row r="1313" spans="8:8" x14ac:dyDescent="0.3">
      <c r="H1313" t="str">
        <f t="shared" si="70"/>
        <v/>
      </c>
    </row>
    <row r="1314" spans="8:8" x14ac:dyDescent="0.3">
      <c r="H1314" t="str">
        <f t="shared" si="70"/>
        <v/>
      </c>
    </row>
    <row r="1315" spans="8:8" x14ac:dyDescent="0.3">
      <c r="H1315" t="str">
        <f t="shared" si="70"/>
        <v/>
      </c>
    </row>
    <row r="1316" spans="8:8" x14ac:dyDescent="0.3">
      <c r="H1316" t="str">
        <f t="shared" si="70"/>
        <v/>
      </c>
    </row>
    <row r="1317" spans="8:8" x14ac:dyDescent="0.3">
      <c r="H1317" t="str">
        <f t="shared" si="70"/>
        <v/>
      </c>
    </row>
    <row r="1318" spans="8:8" x14ac:dyDescent="0.3">
      <c r="H1318" t="str">
        <f t="shared" si="70"/>
        <v/>
      </c>
    </row>
    <row r="1319" spans="8:8" x14ac:dyDescent="0.3">
      <c r="H1319" t="str">
        <f t="shared" si="70"/>
        <v/>
      </c>
    </row>
    <row r="1320" spans="8:8" x14ac:dyDescent="0.3">
      <c r="H1320" t="str">
        <f t="shared" si="70"/>
        <v/>
      </c>
    </row>
    <row r="1321" spans="8:8" x14ac:dyDescent="0.3">
      <c r="H1321" t="str">
        <f t="shared" si="70"/>
        <v/>
      </c>
    </row>
    <row r="1322" spans="8:8" x14ac:dyDescent="0.3">
      <c r="H1322" t="str">
        <f t="shared" si="70"/>
        <v/>
      </c>
    </row>
    <row r="1323" spans="8:8" x14ac:dyDescent="0.3">
      <c r="H1323" t="str">
        <f t="shared" si="70"/>
        <v/>
      </c>
    </row>
    <row r="1324" spans="8:8" x14ac:dyDescent="0.3">
      <c r="H1324" t="str">
        <f t="shared" si="70"/>
        <v/>
      </c>
    </row>
    <row r="1325" spans="8:8" x14ac:dyDescent="0.3">
      <c r="H1325" t="str">
        <f t="shared" si="70"/>
        <v/>
      </c>
    </row>
    <row r="1326" spans="8:8" x14ac:dyDescent="0.3">
      <c r="H1326" t="str">
        <f t="shared" si="70"/>
        <v/>
      </c>
    </row>
    <row r="1327" spans="8:8" x14ac:dyDescent="0.3">
      <c r="H1327" t="str">
        <f t="shared" si="70"/>
        <v/>
      </c>
    </row>
    <row r="1328" spans="8:8" x14ac:dyDescent="0.3">
      <c r="H1328" t="str">
        <f t="shared" si="70"/>
        <v/>
      </c>
    </row>
    <row r="1329" spans="8:8" x14ac:dyDescent="0.3">
      <c r="H1329" t="str">
        <f t="shared" si="70"/>
        <v/>
      </c>
    </row>
    <row r="1330" spans="8:8" x14ac:dyDescent="0.3">
      <c r="H1330" t="str">
        <f t="shared" si="70"/>
        <v/>
      </c>
    </row>
    <row r="1331" spans="8:8" x14ac:dyDescent="0.3">
      <c r="H1331" t="str">
        <f t="shared" si="70"/>
        <v/>
      </c>
    </row>
    <row r="1332" spans="8:8" x14ac:dyDescent="0.3">
      <c r="H1332" t="str">
        <f t="shared" si="70"/>
        <v/>
      </c>
    </row>
    <row r="1333" spans="8:8" x14ac:dyDescent="0.3">
      <c r="H1333" t="str">
        <f t="shared" si="70"/>
        <v/>
      </c>
    </row>
    <row r="1334" spans="8:8" x14ac:dyDescent="0.3">
      <c r="H1334" t="str">
        <f t="shared" si="70"/>
        <v/>
      </c>
    </row>
    <row r="1335" spans="8:8" x14ac:dyDescent="0.3">
      <c r="H1335" t="str">
        <f t="shared" si="70"/>
        <v/>
      </c>
    </row>
    <row r="1336" spans="8:8" x14ac:dyDescent="0.3">
      <c r="H1336" t="str">
        <f t="shared" si="70"/>
        <v/>
      </c>
    </row>
    <row r="1337" spans="8:8" x14ac:dyDescent="0.3">
      <c r="H1337" t="str">
        <f t="shared" si="70"/>
        <v/>
      </c>
    </row>
    <row r="1338" spans="8:8" x14ac:dyDescent="0.3">
      <c r="H1338" t="str">
        <f t="shared" si="70"/>
        <v/>
      </c>
    </row>
    <row r="1339" spans="8:8" x14ac:dyDescent="0.3">
      <c r="H1339" t="str">
        <f t="shared" si="70"/>
        <v/>
      </c>
    </row>
    <row r="1340" spans="8:8" x14ac:dyDescent="0.3">
      <c r="H1340" t="str">
        <f t="shared" si="70"/>
        <v/>
      </c>
    </row>
    <row r="1341" spans="8:8" x14ac:dyDescent="0.3">
      <c r="H1341" t="str">
        <f t="shared" si="70"/>
        <v/>
      </c>
    </row>
    <row r="1342" spans="8:8" x14ac:dyDescent="0.3">
      <c r="H1342" t="str">
        <f t="shared" si="70"/>
        <v/>
      </c>
    </row>
    <row r="1343" spans="8:8" x14ac:dyDescent="0.3">
      <c r="H1343" t="str">
        <f t="shared" si="70"/>
        <v/>
      </c>
    </row>
    <row r="1344" spans="8:8" x14ac:dyDescent="0.3">
      <c r="H1344" t="str">
        <f t="shared" si="70"/>
        <v/>
      </c>
    </row>
    <row r="1345" spans="8:8" x14ac:dyDescent="0.3">
      <c r="H1345" t="str">
        <f t="shared" si="70"/>
        <v/>
      </c>
    </row>
    <row r="1346" spans="8:8" x14ac:dyDescent="0.3">
      <c r="H1346" t="str">
        <f t="shared" si="70"/>
        <v/>
      </c>
    </row>
    <row r="1347" spans="8:8" x14ac:dyDescent="0.3">
      <c r="H1347" t="str">
        <f t="shared" si="70"/>
        <v/>
      </c>
    </row>
    <row r="1348" spans="8:8" x14ac:dyDescent="0.3">
      <c r="H1348" t="str">
        <f t="shared" si="70"/>
        <v/>
      </c>
    </row>
    <row r="1349" spans="8:8" x14ac:dyDescent="0.3">
      <c r="H1349" t="str">
        <f t="shared" si="70"/>
        <v/>
      </c>
    </row>
    <row r="1350" spans="8:8" x14ac:dyDescent="0.3">
      <c r="H1350" t="str">
        <f t="shared" si="70"/>
        <v/>
      </c>
    </row>
    <row r="1351" spans="8:8" x14ac:dyDescent="0.3">
      <c r="H1351" t="str">
        <f t="shared" si="70"/>
        <v/>
      </c>
    </row>
    <row r="1352" spans="8:8" x14ac:dyDescent="0.3">
      <c r="H1352" t="str">
        <f t="shared" si="70"/>
        <v/>
      </c>
    </row>
    <row r="1353" spans="8:8" x14ac:dyDescent="0.3">
      <c r="H1353" t="str">
        <f t="shared" si="70"/>
        <v/>
      </c>
    </row>
    <row r="1354" spans="8:8" x14ac:dyDescent="0.3">
      <c r="H1354" t="str">
        <f t="shared" si="70"/>
        <v/>
      </c>
    </row>
    <row r="1355" spans="8:8" x14ac:dyDescent="0.3">
      <c r="H1355" t="str">
        <f t="shared" si="70"/>
        <v/>
      </c>
    </row>
    <row r="1356" spans="8:8" x14ac:dyDescent="0.3">
      <c r="H1356" t="str">
        <f t="shared" si="70"/>
        <v/>
      </c>
    </row>
    <row r="1357" spans="8:8" x14ac:dyDescent="0.3">
      <c r="H1357" t="str">
        <f t="shared" si="70"/>
        <v/>
      </c>
    </row>
    <row r="1358" spans="8:8" x14ac:dyDescent="0.3">
      <c r="H1358" t="str">
        <f t="shared" si="70"/>
        <v/>
      </c>
    </row>
    <row r="1359" spans="8:8" x14ac:dyDescent="0.3">
      <c r="H1359" t="str">
        <f t="shared" si="70"/>
        <v/>
      </c>
    </row>
    <row r="1360" spans="8:8" x14ac:dyDescent="0.3">
      <c r="H1360" t="str">
        <f t="shared" si="70"/>
        <v/>
      </c>
    </row>
    <row r="1361" spans="8:8" x14ac:dyDescent="0.3">
      <c r="H1361" t="str">
        <f t="shared" si="70"/>
        <v/>
      </c>
    </row>
    <row r="1362" spans="8:8" x14ac:dyDescent="0.3">
      <c r="H1362" t="str">
        <f t="shared" si="70"/>
        <v/>
      </c>
    </row>
    <row r="1363" spans="8:8" x14ac:dyDescent="0.3">
      <c r="H1363" t="str">
        <f t="shared" si="70"/>
        <v/>
      </c>
    </row>
    <row r="1364" spans="8:8" x14ac:dyDescent="0.3">
      <c r="H1364" t="str">
        <f t="shared" si="70"/>
        <v/>
      </c>
    </row>
    <row r="1365" spans="8:8" x14ac:dyDescent="0.3">
      <c r="H1365" t="str">
        <f t="shared" si="70"/>
        <v/>
      </c>
    </row>
    <row r="1366" spans="8:8" x14ac:dyDescent="0.3">
      <c r="H1366" t="str">
        <f t="shared" si="70"/>
        <v/>
      </c>
    </row>
    <row r="1367" spans="8:8" x14ac:dyDescent="0.3">
      <c r="H1367" t="str">
        <f t="shared" ref="H1367:H1430" si="71">IF(B1367="","",$C$12)</f>
        <v/>
      </c>
    </row>
    <row r="1368" spans="8:8" x14ac:dyDescent="0.3">
      <c r="H1368" t="str">
        <f t="shared" si="71"/>
        <v/>
      </c>
    </row>
    <row r="1369" spans="8:8" x14ac:dyDescent="0.3">
      <c r="H1369" t="str">
        <f t="shared" si="71"/>
        <v/>
      </c>
    </row>
    <row r="1370" spans="8:8" x14ac:dyDescent="0.3">
      <c r="H1370" t="str">
        <f t="shared" si="71"/>
        <v/>
      </c>
    </row>
    <row r="1371" spans="8:8" x14ac:dyDescent="0.3">
      <c r="H1371" t="str">
        <f t="shared" si="71"/>
        <v/>
      </c>
    </row>
    <row r="1372" spans="8:8" x14ac:dyDescent="0.3">
      <c r="H1372" t="str">
        <f t="shared" si="71"/>
        <v/>
      </c>
    </row>
    <row r="1373" spans="8:8" x14ac:dyDescent="0.3">
      <c r="H1373" t="str">
        <f t="shared" si="71"/>
        <v/>
      </c>
    </row>
    <row r="1374" spans="8:8" x14ac:dyDescent="0.3">
      <c r="H1374" t="str">
        <f t="shared" si="71"/>
        <v/>
      </c>
    </row>
    <row r="1375" spans="8:8" x14ac:dyDescent="0.3">
      <c r="H1375" t="str">
        <f t="shared" si="71"/>
        <v/>
      </c>
    </row>
    <row r="1376" spans="8:8" x14ac:dyDescent="0.3">
      <c r="H1376" t="str">
        <f t="shared" si="71"/>
        <v/>
      </c>
    </row>
    <row r="1377" spans="8:8" x14ac:dyDescent="0.3">
      <c r="H1377" t="str">
        <f t="shared" si="71"/>
        <v/>
      </c>
    </row>
    <row r="1378" spans="8:8" x14ac:dyDescent="0.3">
      <c r="H1378" t="str">
        <f t="shared" si="71"/>
        <v/>
      </c>
    </row>
    <row r="1379" spans="8:8" x14ac:dyDescent="0.3">
      <c r="H1379" t="str">
        <f t="shared" si="71"/>
        <v/>
      </c>
    </row>
    <row r="1380" spans="8:8" x14ac:dyDescent="0.3">
      <c r="H1380" t="str">
        <f t="shared" si="71"/>
        <v/>
      </c>
    </row>
    <row r="1381" spans="8:8" x14ac:dyDescent="0.3">
      <c r="H1381" t="str">
        <f t="shared" si="71"/>
        <v/>
      </c>
    </row>
    <row r="1382" spans="8:8" x14ac:dyDescent="0.3">
      <c r="H1382" t="str">
        <f t="shared" si="71"/>
        <v/>
      </c>
    </row>
    <row r="1383" spans="8:8" x14ac:dyDescent="0.3">
      <c r="H1383" t="str">
        <f t="shared" si="71"/>
        <v/>
      </c>
    </row>
    <row r="1384" spans="8:8" x14ac:dyDescent="0.3">
      <c r="H1384" t="str">
        <f t="shared" si="71"/>
        <v/>
      </c>
    </row>
    <row r="1385" spans="8:8" x14ac:dyDescent="0.3">
      <c r="H1385" t="str">
        <f t="shared" si="71"/>
        <v/>
      </c>
    </row>
    <row r="1386" spans="8:8" x14ac:dyDescent="0.3">
      <c r="H1386" t="str">
        <f t="shared" si="71"/>
        <v/>
      </c>
    </row>
    <row r="1387" spans="8:8" x14ac:dyDescent="0.3">
      <c r="H1387" t="str">
        <f t="shared" si="71"/>
        <v/>
      </c>
    </row>
    <row r="1388" spans="8:8" x14ac:dyDescent="0.3">
      <c r="H1388" t="str">
        <f t="shared" si="71"/>
        <v/>
      </c>
    </row>
    <row r="1389" spans="8:8" x14ac:dyDescent="0.3">
      <c r="H1389" t="str">
        <f t="shared" si="71"/>
        <v/>
      </c>
    </row>
    <row r="1390" spans="8:8" x14ac:dyDescent="0.3">
      <c r="H1390" t="str">
        <f t="shared" si="71"/>
        <v/>
      </c>
    </row>
    <row r="1391" spans="8:8" x14ac:dyDescent="0.3">
      <c r="H1391" t="str">
        <f t="shared" si="71"/>
        <v/>
      </c>
    </row>
    <row r="1392" spans="8:8" x14ac:dyDescent="0.3">
      <c r="H1392" t="str">
        <f t="shared" si="71"/>
        <v/>
      </c>
    </row>
    <row r="1393" spans="8:8" x14ac:dyDescent="0.3">
      <c r="H1393" t="str">
        <f t="shared" si="71"/>
        <v/>
      </c>
    </row>
    <row r="1394" spans="8:8" x14ac:dyDescent="0.3">
      <c r="H1394" t="str">
        <f t="shared" si="71"/>
        <v/>
      </c>
    </row>
    <row r="1395" spans="8:8" x14ac:dyDescent="0.3">
      <c r="H1395" t="str">
        <f t="shared" si="71"/>
        <v/>
      </c>
    </row>
    <row r="1396" spans="8:8" x14ac:dyDescent="0.3">
      <c r="H1396" t="str">
        <f t="shared" si="71"/>
        <v/>
      </c>
    </row>
    <row r="1397" spans="8:8" x14ac:dyDescent="0.3">
      <c r="H1397" t="str">
        <f t="shared" si="71"/>
        <v/>
      </c>
    </row>
    <row r="1398" spans="8:8" x14ac:dyDescent="0.3">
      <c r="H1398" t="str">
        <f t="shared" si="71"/>
        <v/>
      </c>
    </row>
    <row r="1399" spans="8:8" x14ac:dyDescent="0.3">
      <c r="H1399" t="str">
        <f t="shared" si="71"/>
        <v/>
      </c>
    </row>
    <row r="1400" spans="8:8" x14ac:dyDescent="0.3">
      <c r="H1400" t="str">
        <f t="shared" si="71"/>
        <v/>
      </c>
    </row>
    <row r="1401" spans="8:8" x14ac:dyDescent="0.3">
      <c r="H1401" t="str">
        <f t="shared" si="71"/>
        <v/>
      </c>
    </row>
    <row r="1402" spans="8:8" x14ac:dyDescent="0.3">
      <c r="H1402" t="str">
        <f t="shared" si="71"/>
        <v/>
      </c>
    </row>
    <row r="1403" spans="8:8" x14ac:dyDescent="0.3">
      <c r="H1403" t="str">
        <f t="shared" si="71"/>
        <v/>
      </c>
    </row>
    <row r="1404" spans="8:8" x14ac:dyDescent="0.3">
      <c r="H1404" t="str">
        <f t="shared" si="71"/>
        <v/>
      </c>
    </row>
    <row r="1405" spans="8:8" x14ac:dyDescent="0.3">
      <c r="H1405" t="str">
        <f t="shared" si="71"/>
        <v/>
      </c>
    </row>
    <row r="1406" spans="8:8" x14ac:dyDescent="0.3">
      <c r="H1406" t="str">
        <f t="shared" si="71"/>
        <v/>
      </c>
    </row>
    <row r="1407" spans="8:8" x14ac:dyDescent="0.3">
      <c r="H1407" t="str">
        <f t="shared" si="71"/>
        <v/>
      </c>
    </row>
    <row r="1408" spans="8:8" x14ac:dyDescent="0.3">
      <c r="H1408" t="str">
        <f t="shared" si="71"/>
        <v/>
      </c>
    </row>
    <row r="1409" spans="8:8" x14ac:dyDescent="0.3">
      <c r="H1409" t="str">
        <f t="shared" si="71"/>
        <v/>
      </c>
    </row>
    <row r="1410" spans="8:8" x14ac:dyDescent="0.3">
      <c r="H1410" t="str">
        <f t="shared" si="71"/>
        <v/>
      </c>
    </row>
    <row r="1411" spans="8:8" x14ac:dyDescent="0.3">
      <c r="H1411" t="str">
        <f t="shared" si="71"/>
        <v/>
      </c>
    </row>
    <row r="1412" spans="8:8" x14ac:dyDescent="0.3">
      <c r="H1412" t="str">
        <f t="shared" si="71"/>
        <v/>
      </c>
    </row>
    <row r="1413" spans="8:8" x14ac:dyDescent="0.3">
      <c r="H1413" t="str">
        <f t="shared" si="71"/>
        <v/>
      </c>
    </row>
    <row r="1414" spans="8:8" x14ac:dyDescent="0.3">
      <c r="H1414" t="str">
        <f t="shared" si="71"/>
        <v/>
      </c>
    </row>
    <row r="1415" spans="8:8" x14ac:dyDescent="0.3">
      <c r="H1415" t="str">
        <f t="shared" si="71"/>
        <v/>
      </c>
    </row>
    <row r="1416" spans="8:8" x14ac:dyDescent="0.3">
      <c r="H1416" t="str">
        <f t="shared" si="71"/>
        <v/>
      </c>
    </row>
    <row r="1417" spans="8:8" x14ac:dyDescent="0.3">
      <c r="H1417" t="str">
        <f t="shared" si="71"/>
        <v/>
      </c>
    </row>
    <row r="1418" spans="8:8" x14ac:dyDescent="0.3">
      <c r="H1418" t="str">
        <f t="shared" si="71"/>
        <v/>
      </c>
    </row>
    <row r="1419" spans="8:8" x14ac:dyDescent="0.3">
      <c r="H1419" t="str">
        <f t="shared" si="71"/>
        <v/>
      </c>
    </row>
    <row r="1420" spans="8:8" x14ac:dyDescent="0.3">
      <c r="H1420" t="str">
        <f t="shared" si="71"/>
        <v/>
      </c>
    </row>
    <row r="1421" spans="8:8" x14ac:dyDescent="0.3">
      <c r="H1421" t="str">
        <f t="shared" si="71"/>
        <v/>
      </c>
    </row>
    <row r="1422" spans="8:8" x14ac:dyDescent="0.3">
      <c r="H1422" t="str">
        <f t="shared" si="71"/>
        <v/>
      </c>
    </row>
    <row r="1423" spans="8:8" x14ac:dyDescent="0.3">
      <c r="H1423" t="str">
        <f t="shared" si="71"/>
        <v/>
      </c>
    </row>
    <row r="1424" spans="8:8" x14ac:dyDescent="0.3">
      <c r="H1424" t="str">
        <f t="shared" si="71"/>
        <v/>
      </c>
    </row>
    <row r="1425" spans="8:8" x14ac:dyDescent="0.3">
      <c r="H1425" t="str">
        <f t="shared" si="71"/>
        <v/>
      </c>
    </row>
    <row r="1426" spans="8:8" x14ac:dyDescent="0.3">
      <c r="H1426" t="str">
        <f t="shared" si="71"/>
        <v/>
      </c>
    </row>
    <row r="1427" spans="8:8" x14ac:dyDescent="0.3">
      <c r="H1427" t="str">
        <f t="shared" si="71"/>
        <v/>
      </c>
    </row>
    <row r="1428" spans="8:8" x14ac:dyDescent="0.3">
      <c r="H1428" t="str">
        <f t="shared" si="71"/>
        <v/>
      </c>
    </row>
    <row r="1429" spans="8:8" x14ac:dyDescent="0.3">
      <c r="H1429" t="str">
        <f t="shared" si="71"/>
        <v/>
      </c>
    </row>
    <row r="1430" spans="8:8" x14ac:dyDescent="0.3">
      <c r="H1430" t="str">
        <f t="shared" si="71"/>
        <v/>
      </c>
    </row>
    <row r="1431" spans="8:8" x14ac:dyDescent="0.3">
      <c r="H1431" t="str">
        <f t="shared" ref="H1431:H1494" si="72">IF(B1431="","",$C$12)</f>
        <v/>
      </c>
    </row>
    <row r="1432" spans="8:8" x14ac:dyDescent="0.3">
      <c r="H1432" t="str">
        <f t="shared" si="72"/>
        <v/>
      </c>
    </row>
    <row r="1433" spans="8:8" x14ac:dyDescent="0.3">
      <c r="H1433" t="str">
        <f t="shared" si="72"/>
        <v/>
      </c>
    </row>
    <row r="1434" spans="8:8" x14ac:dyDescent="0.3">
      <c r="H1434" t="str">
        <f t="shared" si="72"/>
        <v/>
      </c>
    </row>
    <row r="1435" spans="8:8" x14ac:dyDescent="0.3">
      <c r="H1435" t="str">
        <f t="shared" si="72"/>
        <v/>
      </c>
    </row>
    <row r="1436" spans="8:8" x14ac:dyDescent="0.3">
      <c r="H1436" t="str">
        <f t="shared" si="72"/>
        <v/>
      </c>
    </row>
    <row r="1437" spans="8:8" x14ac:dyDescent="0.3">
      <c r="H1437" t="str">
        <f t="shared" si="72"/>
        <v/>
      </c>
    </row>
    <row r="1438" spans="8:8" x14ac:dyDescent="0.3">
      <c r="H1438" t="str">
        <f t="shared" si="72"/>
        <v/>
      </c>
    </row>
    <row r="1439" spans="8:8" x14ac:dyDescent="0.3">
      <c r="H1439" t="str">
        <f t="shared" si="72"/>
        <v/>
      </c>
    </row>
    <row r="1440" spans="8:8" x14ac:dyDescent="0.3">
      <c r="H1440" t="str">
        <f t="shared" si="72"/>
        <v/>
      </c>
    </row>
    <row r="1441" spans="8:8" x14ac:dyDescent="0.3">
      <c r="H1441" t="str">
        <f t="shared" si="72"/>
        <v/>
      </c>
    </row>
    <row r="1442" spans="8:8" x14ac:dyDescent="0.3">
      <c r="H1442" t="str">
        <f t="shared" si="72"/>
        <v/>
      </c>
    </row>
    <row r="1443" spans="8:8" x14ac:dyDescent="0.3">
      <c r="H1443" t="str">
        <f t="shared" si="72"/>
        <v/>
      </c>
    </row>
    <row r="1444" spans="8:8" x14ac:dyDescent="0.3">
      <c r="H1444" t="str">
        <f t="shared" si="72"/>
        <v/>
      </c>
    </row>
    <row r="1445" spans="8:8" x14ac:dyDescent="0.3">
      <c r="H1445" t="str">
        <f t="shared" si="72"/>
        <v/>
      </c>
    </row>
    <row r="1446" spans="8:8" x14ac:dyDescent="0.3">
      <c r="H1446" t="str">
        <f t="shared" si="72"/>
        <v/>
      </c>
    </row>
    <row r="1447" spans="8:8" x14ac:dyDescent="0.3">
      <c r="H1447" t="str">
        <f t="shared" si="72"/>
        <v/>
      </c>
    </row>
    <row r="1448" spans="8:8" x14ac:dyDescent="0.3">
      <c r="H1448" t="str">
        <f t="shared" si="72"/>
        <v/>
      </c>
    </row>
    <row r="1449" spans="8:8" x14ac:dyDescent="0.3">
      <c r="H1449" t="str">
        <f t="shared" si="72"/>
        <v/>
      </c>
    </row>
    <row r="1450" spans="8:8" x14ac:dyDescent="0.3">
      <c r="H1450" t="str">
        <f t="shared" si="72"/>
        <v/>
      </c>
    </row>
    <row r="1451" spans="8:8" x14ac:dyDescent="0.3">
      <c r="H1451" t="str">
        <f t="shared" si="72"/>
        <v/>
      </c>
    </row>
    <row r="1452" spans="8:8" x14ac:dyDescent="0.3">
      <c r="H1452" t="str">
        <f t="shared" si="72"/>
        <v/>
      </c>
    </row>
    <row r="1453" spans="8:8" x14ac:dyDescent="0.3">
      <c r="H1453" t="str">
        <f t="shared" si="72"/>
        <v/>
      </c>
    </row>
    <row r="1454" spans="8:8" x14ac:dyDescent="0.3">
      <c r="H1454" t="str">
        <f t="shared" si="72"/>
        <v/>
      </c>
    </row>
    <row r="1455" spans="8:8" x14ac:dyDescent="0.3">
      <c r="H1455" t="str">
        <f t="shared" si="72"/>
        <v/>
      </c>
    </row>
    <row r="1456" spans="8:8" x14ac:dyDescent="0.3">
      <c r="H1456" t="str">
        <f t="shared" si="72"/>
        <v/>
      </c>
    </row>
    <row r="1457" spans="8:8" x14ac:dyDescent="0.3">
      <c r="H1457" t="str">
        <f t="shared" si="72"/>
        <v/>
      </c>
    </row>
    <row r="1458" spans="8:8" x14ac:dyDescent="0.3">
      <c r="H1458" t="str">
        <f t="shared" si="72"/>
        <v/>
      </c>
    </row>
    <row r="1459" spans="8:8" x14ac:dyDescent="0.3">
      <c r="H1459" t="str">
        <f t="shared" si="72"/>
        <v/>
      </c>
    </row>
    <row r="1460" spans="8:8" x14ac:dyDescent="0.3">
      <c r="H1460" t="str">
        <f t="shared" si="72"/>
        <v/>
      </c>
    </row>
    <row r="1461" spans="8:8" x14ac:dyDescent="0.3">
      <c r="H1461" t="str">
        <f t="shared" si="72"/>
        <v/>
      </c>
    </row>
    <row r="1462" spans="8:8" x14ac:dyDescent="0.3">
      <c r="H1462" t="str">
        <f t="shared" si="72"/>
        <v/>
      </c>
    </row>
    <row r="1463" spans="8:8" x14ac:dyDescent="0.3">
      <c r="H1463" t="str">
        <f t="shared" si="72"/>
        <v/>
      </c>
    </row>
    <row r="1464" spans="8:8" x14ac:dyDescent="0.3">
      <c r="H1464" t="str">
        <f t="shared" si="72"/>
        <v/>
      </c>
    </row>
    <row r="1465" spans="8:8" x14ac:dyDescent="0.3">
      <c r="H1465" t="str">
        <f t="shared" si="72"/>
        <v/>
      </c>
    </row>
    <row r="1466" spans="8:8" x14ac:dyDescent="0.3">
      <c r="H1466" t="str">
        <f t="shared" si="72"/>
        <v/>
      </c>
    </row>
    <row r="1467" spans="8:8" x14ac:dyDescent="0.3">
      <c r="H1467" t="str">
        <f t="shared" si="72"/>
        <v/>
      </c>
    </row>
    <row r="1468" spans="8:8" x14ac:dyDescent="0.3">
      <c r="H1468" t="str">
        <f t="shared" si="72"/>
        <v/>
      </c>
    </row>
    <row r="1469" spans="8:8" x14ac:dyDescent="0.3">
      <c r="H1469" t="str">
        <f t="shared" si="72"/>
        <v/>
      </c>
    </row>
    <row r="1470" spans="8:8" x14ac:dyDescent="0.3">
      <c r="H1470" t="str">
        <f t="shared" si="72"/>
        <v/>
      </c>
    </row>
    <row r="1471" spans="8:8" x14ac:dyDescent="0.3">
      <c r="H1471" t="str">
        <f t="shared" si="72"/>
        <v/>
      </c>
    </row>
    <row r="1472" spans="8:8" x14ac:dyDescent="0.3">
      <c r="H1472" t="str">
        <f t="shared" si="72"/>
        <v/>
      </c>
    </row>
    <row r="1473" spans="8:8" x14ac:dyDescent="0.3">
      <c r="H1473" t="str">
        <f t="shared" si="72"/>
        <v/>
      </c>
    </row>
    <row r="1474" spans="8:8" x14ac:dyDescent="0.3">
      <c r="H1474" t="str">
        <f t="shared" si="72"/>
        <v/>
      </c>
    </row>
    <row r="1475" spans="8:8" x14ac:dyDescent="0.3">
      <c r="H1475" t="str">
        <f t="shared" si="72"/>
        <v/>
      </c>
    </row>
    <row r="1476" spans="8:8" x14ac:dyDescent="0.3">
      <c r="H1476" t="str">
        <f t="shared" si="72"/>
        <v/>
      </c>
    </row>
    <row r="1477" spans="8:8" x14ac:dyDescent="0.3">
      <c r="H1477" t="str">
        <f t="shared" si="72"/>
        <v/>
      </c>
    </row>
    <row r="1478" spans="8:8" x14ac:dyDescent="0.3">
      <c r="H1478" t="str">
        <f t="shared" si="72"/>
        <v/>
      </c>
    </row>
    <row r="1479" spans="8:8" x14ac:dyDescent="0.3">
      <c r="H1479" t="str">
        <f t="shared" si="72"/>
        <v/>
      </c>
    </row>
    <row r="1480" spans="8:8" x14ac:dyDescent="0.3">
      <c r="H1480" t="str">
        <f t="shared" si="72"/>
        <v/>
      </c>
    </row>
    <row r="1481" spans="8:8" x14ac:dyDescent="0.3">
      <c r="H1481" t="str">
        <f t="shared" si="72"/>
        <v/>
      </c>
    </row>
    <row r="1482" spans="8:8" x14ac:dyDescent="0.3">
      <c r="H1482" t="str">
        <f t="shared" si="72"/>
        <v/>
      </c>
    </row>
    <row r="1483" spans="8:8" x14ac:dyDescent="0.3">
      <c r="H1483" t="str">
        <f t="shared" si="72"/>
        <v/>
      </c>
    </row>
    <row r="1484" spans="8:8" x14ac:dyDescent="0.3">
      <c r="H1484" t="str">
        <f t="shared" si="72"/>
        <v/>
      </c>
    </row>
    <row r="1485" spans="8:8" x14ac:dyDescent="0.3">
      <c r="H1485" t="str">
        <f t="shared" si="72"/>
        <v/>
      </c>
    </row>
    <row r="1486" spans="8:8" x14ac:dyDescent="0.3">
      <c r="H1486" t="str">
        <f t="shared" si="72"/>
        <v/>
      </c>
    </row>
    <row r="1487" spans="8:8" x14ac:dyDescent="0.3">
      <c r="H1487" t="str">
        <f t="shared" si="72"/>
        <v/>
      </c>
    </row>
    <row r="1488" spans="8:8" x14ac:dyDescent="0.3">
      <c r="H1488" t="str">
        <f t="shared" si="72"/>
        <v/>
      </c>
    </row>
    <row r="1489" spans="8:8" x14ac:dyDescent="0.3">
      <c r="H1489" t="str">
        <f t="shared" si="72"/>
        <v/>
      </c>
    </row>
    <row r="1490" spans="8:8" x14ac:dyDescent="0.3">
      <c r="H1490" t="str">
        <f t="shared" si="72"/>
        <v/>
      </c>
    </row>
    <row r="1491" spans="8:8" x14ac:dyDescent="0.3">
      <c r="H1491" t="str">
        <f t="shared" si="72"/>
        <v/>
      </c>
    </row>
    <row r="1492" spans="8:8" x14ac:dyDescent="0.3">
      <c r="H1492" t="str">
        <f t="shared" si="72"/>
        <v/>
      </c>
    </row>
    <row r="1493" spans="8:8" x14ac:dyDescent="0.3">
      <c r="H1493" t="str">
        <f t="shared" si="72"/>
        <v/>
      </c>
    </row>
    <row r="1494" spans="8:8" x14ac:dyDescent="0.3">
      <c r="H1494" t="str">
        <f t="shared" si="72"/>
        <v/>
      </c>
    </row>
    <row r="1495" spans="8:8" x14ac:dyDescent="0.3">
      <c r="H1495" t="str">
        <f t="shared" ref="H1495:H1558" si="73">IF(B1495="","",$C$12)</f>
        <v/>
      </c>
    </row>
    <row r="1496" spans="8:8" x14ac:dyDescent="0.3">
      <c r="H1496" t="str">
        <f t="shared" si="73"/>
        <v/>
      </c>
    </row>
    <row r="1497" spans="8:8" x14ac:dyDescent="0.3">
      <c r="H1497" t="str">
        <f t="shared" si="73"/>
        <v/>
      </c>
    </row>
    <row r="1498" spans="8:8" x14ac:dyDescent="0.3">
      <c r="H1498" t="str">
        <f t="shared" si="73"/>
        <v/>
      </c>
    </row>
    <row r="1499" spans="8:8" x14ac:dyDescent="0.3">
      <c r="H1499" t="str">
        <f t="shared" si="73"/>
        <v/>
      </c>
    </row>
    <row r="1500" spans="8:8" x14ac:dyDescent="0.3">
      <c r="H1500" t="str">
        <f t="shared" si="73"/>
        <v/>
      </c>
    </row>
    <row r="1501" spans="8:8" x14ac:dyDescent="0.3">
      <c r="H1501" t="str">
        <f t="shared" si="73"/>
        <v/>
      </c>
    </row>
    <row r="1502" spans="8:8" x14ac:dyDescent="0.3">
      <c r="H1502" t="str">
        <f t="shared" si="73"/>
        <v/>
      </c>
    </row>
    <row r="1503" spans="8:8" x14ac:dyDescent="0.3">
      <c r="H1503" t="str">
        <f t="shared" si="73"/>
        <v/>
      </c>
    </row>
    <row r="1504" spans="8:8" x14ac:dyDescent="0.3">
      <c r="H1504" t="str">
        <f t="shared" si="73"/>
        <v/>
      </c>
    </row>
    <row r="1505" spans="8:8" x14ac:dyDescent="0.3">
      <c r="H1505" t="str">
        <f t="shared" si="73"/>
        <v/>
      </c>
    </row>
    <row r="1506" spans="8:8" x14ac:dyDescent="0.3">
      <c r="H1506" t="str">
        <f t="shared" si="73"/>
        <v/>
      </c>
    </row>
    <row r="1507" spans="8:8" x14ac:dyDescent="0.3">
      <c r="H1507" t="str">
        <f t="shared" si="73"/>
        <v/>
      </c>
    </row>
    <row r="1508" spans="8:8" x14ac:dyDescent="0.3">
      <c r="H1508" t="str">
        <f t="shared" si="73"/>
        <v/>
      </c>
    </row>
    <row r="1509" spans="8:8" x14ac:dyDescent="0.3">
      <c r="H1509" t="str">
        <f t="shared" si="73"/>
        <v/>
      </c>
    </row>
    <row r="1510" spans="8:8" x14ac:dyDescent="0.3">
      <c r="H1510" t="str">
        <f t="shared" si="73"/>
        <v/>
      </c>
    </row>
    <row r="1511" spans="8:8" x14ac:dyDescent="0.3">
      <c r="H1511" t="str">
        <f t="shared" si="73"/>
        <v/>
      </c>
    </row>
    <row r="1512" spans="8:8" x14ac:dyDescent="0.3">
      <c r="H1512" t="str">
        <f t="shared" si="73"/>
        <v/>
      </c>
    </row>
    <row r="1513" spans="8:8" x14ac:dyDescent="0.3">
      <c r="H1513" t="str">
        <f t="shared" si="73"/>
        <v/>
      </c>
    </row>
    <row r="1514" spans="8:8" x14ac:dyDescent="0.3">
      <c r="H1514" t="str">
        <f t="shared" si="73"/>
        <v/>
      </c>
    </row>
    <row r="1515" spans="8:8" x14ac:dyDescent="0.3">
      <c r="H1515" t="str">
        <f t="shared" si="73"/>
        <v/>
      </c>
    </row>
    <row r="1516" spans="8:8" x14ac:dyDescent="0.3">
      <c r="H1516" t="str">
        <f t="shared" si="73"/>
        <v/>
      </c>
    </row>
    <row r="1517" spans="8:8" x14ac:dyDescent="0.3">
      <c r="H1517" t="str">
        <f t="shared" si="73"/>
        <v/>
      </c>
    </row>
    <row r="1518" spans="8:8" x14ac:dyDescent="0.3">
      <c r="H1518" t="str">
        <f t="shared" si="73"/>
        <v/>
      </c>
    </row>
    <row r="1519" spans="8:8" x14ac:dyDescent="0.3">
      <c r="H1519" t="str">
        <f t="shared" si="73"/>
        <v/>
      </c>
    </row>
    <row r="1520" spans="8:8" x14ac:dyDescent="0.3">
      <c r="H1520" t="str">
        <f t="shared" si="73"/>
        <v/>
      </c>
    </row>
    <row r="1521" spans="8:8" x14ac:dyDescent="0.3">
      <c r="H1521" t="str">
        <f t="shared" si="73"/>
        <v/>
      </c>
    </row>
    <row r="1522" spans="8:8" x14ac:dyDescent="0.3">
      <c r="H1522" t="str">
        <f t="shared" si="73"/>
        <v/>
      </c>
    </row>
    <row r="1523" spans="8:8" x14ac:dyDescent="0.3">
      <c r="H1523" t="str">
        <f t="shared" si="73"/>
        <v/>
      </c>
    </row>
    <row r="1524" spans="8:8" x14ac:dyDescent="0.3">
      <c r="H1524" t="str">
        <f t="shared" si="73"/>
        <v/>
      </c>
    </row>
    <row r="1525" spans="8:8" x14ac:dyDescent="0.3">
      <c r="H1525" t="str">
        <f t="shared" si="73"/>
        <v/>
      </c>
    </row>
    <row r="1526" spans="8:8" x14ac:dyDescent="0.3">
      <c r="H1526" t="str">
        <f t="shared" si="73"/>
        <v/>
      </c>
    </row>
    <row r="1527" spans="8:8" x14ac:dyDescent="0.3">
      <c r="H1527" t="str">
        <f t="shared" si="73"/>
        <v/>
      </c>
    </row>
    <row r="1528" spans="8:8" x14ac:dyDescent="0.3">
      <c r="H1528" t="str">
        <f t="shared" si="73"/>
        <v/>
      </c>
    </row>
    <row r="1529" spans="8:8" x14ac:dyDescent="0.3">
      <c r="H1529" t="str">
        <f t="shared" si="73"/>
        <v/>
      </c>
    </row>
    <row r="1530" spans="8:8" x14ac:dyDescent="0.3">
      <c r="H1530" t="str">
        <f t="shared" si="73"/>
        <v/>
      </c>
    </row>
    <row r="1531" spans="8:8" x14ac:dyDescent="0.3">
      <c r="H1531" t="str">
        <f t="shared" si="73"/>
        <v/>
      </c>
    </row>
    <row r="1532" spans="8:8" x14ac:dyDescent="0.3">
      <c r="H1532" t="str">
        <f t="shared" si="73"/>
        <v/>
      </c>
    </row>
    <row r="1533" spans="8:8" x14ac:dyDescent="0.3">
      <c r="H1533" t="str">
        <f t="shared" si="73"/>
        <v/>
      </c>
    </row>
    <row r="1534" spans="8:8" x14ac:dyDescent="0.3">
      <c r="H1534" t="str">
        <f t="shared" si="73"/>
        <v/>
      </c>
    </row>
    <row r="1535" spans="8:8" x14ac:dyDescent="0.3">
      <c r="H1535" t="str">
        <f t="shared" si="73"/>
        <v/>
      </c>
    </row>
    <row r="1536" spans="8:8" x14ac:dyDescent="0.3">
      <c r="H1536" t="str">
        <f t="shared" si="73"/>
        <v/>
      </c>
    </row>
    <row r="1537" spans="8:8" x14ac:dyDescent="0.3">
      <c r="H1537" t="str">
        <f t="shared" si="73"/>
        <v/>
      </c>
    </row>
    <row r="1538" spans="8:8" x14ac:dyDescent="0.3">
      <c r="H1538" t="str">
        <f t="shared" si="73"/>
        <v/>
      </c>
    </row>
    <row r="1539" spans="8:8" x14ac:dyDescent="0.3">
      <c r="H1539" t="str">
        <f t="shared" si="73"/>
        <v/>
      </c>
    </row>
    <row r="1540" spans="8:8" x14ac:dyDescent="0.3">
      <c r="H1540" t="str">
        <f t="shared" si="73"/>
        <v/>
      </c>
    </row>
    <row r="1541" spans="8:8" x14ac:dyDescent="0.3">
      <c r="H1541" t="str">
        <f t="shared" si="73"/>
        <v/>
      </c>
    </row>
    <row r="1542" spans="8:8" x14ac:dyDescent="0.3">
      <c r="H1542" t="str">
        <f t="shared" si="73"/>
        <v/>
      </c>
    </row>
    <row r="1543" spans="8:8" x14ac:dyDescent="0.3">
      <c r="H1543" t="str">
        <f t="shared" si="73"/>
        <v/>
      </c>
    </row>
    <row r="1544" spans="8:8" x14ac:dyDescent="0.3">
      <c r="H1544" t="str">
        <f t="shared" si="73"/>
        <v/>
      </c>
    </row>
    <row r="1545" spans="8:8" x14ac:dyDescent="0.3">
      <c r="H1545" t="str">
        <f t="shared" si="73"/>
        <v/>
      </c>
    </row>
    <row r="1546" spans="8:8" x14ac:dyDescent="0.3">
      <c r="H1546" t="str">
        <f t="shared" si="73"/>
        <v/>
      </c>
    </row>
    <row r="1547" spans="8:8" x14ac:dyDescent="0.3">
      <c r="H1547" t="str">
        <f t="shared" si="73"/>
        <v/>
      </c>
    </row>
    <row r="1548" spans="8:8" x14ac:dyDescent="0.3">
      <c r="H1548" t="str">
        <f t="shared" si="73"/>
        <v/>
      </c>
    </row>
    <row r="1549" spans="8:8" x14ac:dyDescent="0.3">
      <c r="H1549" t="str">
        <f t="shared" si="73"/>
        <v/>
      </c>
    </row>
    <row r="1550" spans="8:8" x14ac:dyDescent="0.3">
      <c r="H1550" t="str">
        <f t="shared" si="73"/>
        <v/>
      </c>
    </row>
    <row r="1551" spans="8:8" x14ac:dyDescent="0.3">
      <c r="H1551" t="str">
        <f t="shared" si="73"/>
        <v/>
      </c>
    </row>
    <row r="1552" spans="8:8" x14ac:dyDescent="0.3">
      <c r="H1552" t="str">
        <f t="shared" si="73"/>
        <v/>
      </c>
    </row>
    <row r="1553" spans="8:8" x14ac:dyDescent="0.3">
      <c r="H1553" t="str">
        <f t="shared" si="73"/>
        <v/>
      </c>
    </row>
    <row r="1554" spans="8:8" x14ac:dyDescent="0.3">
      <c r="H1554" t="str">
        <f t="shared" si="73"/>
        <v/>
      </c>
    </row>
    <row r="1555" spans="8:8" x14ac:dyDescent="0.3">
      <c r="H1555" t="str">
        <f t="shared" si="73"/>
        <v/>
      </c>
    </row>
    <row r="1556" spans="8:8" x14ac:dyDescent="0.3">
      <c r="H1556" t="str">
        <f t="shared" si="73"/>
        <v/>
      </c>
    </row>
    <row r="1557" spans="8:8" x14ac:dyDescent="0.3">
      <c r="H1557" t="str">
        <f t="shared" si="73"/>
        <v/>
      </c>
    </row>
    <row r="1558" spans="8:8" x14ac:dyDescent="0.3">
      <c r="H1558" t="str">
        <f t="shared" si="73"/>
        <v/>
      </c>
    </row>
    <row r="1559" spans="8:8" x14ac:dyDescent="0.3">
      <c r="H1559" t="str">
        <f t="shared" ref="H1559:H1622" si="74">IF(B1559="","",$C$12)</f>
        <v/>
      </c>
    </row>
    <row r="1560" spans="8:8" x14ac:dyDescent="0.3">
      <c r="H1560" t="str">
        <f t="shared" si="74"/>
        <v/>
      </c>
    </row>
    <row r="1561" spans="8:8" x14ac:dyDescent="0.3">
      <c r="H1561" t="str">
        <f t="shared" si="74"/>
        <v/>
      </c>
    </row>
    <row r="1562" spans="8:8" x14ac:dyDescent="0.3">
      <c r="H1562" t="str">
        <f t="shared" si="74"/>
        <v/>
      </c>
    </row>
    <row r="1563" spans="8:8" x14ac:dyDescent="0.3">
      <c r="H1563" t="str">
        <f t="shared" si="74"/>
        <v/>
      </c>
    </row>
    <row r="1564" spans="8:8" x14ac:dyDescent="0.3">
      <c r="H1564" t="str">
        <f t="shared" si="74"/>
        <v/>
      </c>
    </row>
    <row r="1565" spans="8:8" x14ac:dyDescent="0.3">
      <c r="H1565" t="str">
        <f t="shared" si="74"/>
        <v/>
      </c>
    </row>
    <row r="1566" spans="8:8" x14ac:dyDescent="0.3">
      <c r="H1566" t="str">
        <f t="shared" si="74"/>
        <v/>
      </c>
    </row>
    <row r="1567" spans="8:8" x14ac:dyDescent="0.3">
      <c r="H1567" t="str">
        <f t="shared" si="74"/>
        <v/>
      </c>
    </row>
    <row r="1568" spans="8:8" x14ac:dyDescent="0.3">
      <c r="H1568" t="str">
        <f t="shared" si="74"/>
        <v/>
      </c>
    </row>
    <row r="1569" spans="8:8" x14ac:dyDescent="0.3">
      <c r="H1569" t="str">
        <f t="shared" si="74"/>
        <v/>
      </c>
    </row>
    <row r="1570" spans="8:8" x14ac:dyDescent="0.3">
      <c r="H1570" t="str">
        <f t="shared" si="74"/>
        <v/>
      </c>
    </row>
    <row r="1571" spans="8:8" x14ac:dyDescent="0.3">
      <c r="H1571" t="str">
        <f t="shared" si="74"/>
        <v/>
      </c>
    </row>
    <row r="1572" spans="8:8" x14ac:dyDescent="0.3">
      <c r="H1572" t="str">
        <f t="shared" si="74"/>
        <v/>
      </c>
    </row>
    <row r="1573" spans="8:8" x14ac:dyDescent="0.3">
      <c r="H1573" t="str">
        <f t="shared" si="74"/>
        <v/>
      </c>
    </row>
    <row r="1574" spans="8:8" x14ac:dyDescent="0.3">
      <c r="H1574" t="str">
        <f t="shared" si="74"/>
        <v/>
      </c>
    </row>
    <row r="1575" spans="8:8" x14ac:dyDescent="0.3">
      <c r="H1575" t="str">
        <f t="shared" si="74"/>
        <v/>
      </c>
    </row>
    <row r="1576" spans="8:8" x14ac:dyDescent="0.3">
      <c r="H1576" t="str">
        <f t="shared" si="74"/>
        <v/>
      </c>
    </row>
    <row r="1577" spans="8:8" x14ac:dyDescent="0.3">
      <c r="H1577" t="str">
        <f t="shared" si="74"/>
        <v/>
      </c>
    </row>
    <row r="1578" spans="8:8" x14ac:dyDescent="0.3">
      <c r="H1578" t="str">
        <f t="shared" si="74"/>
        <v/>
      </c>
    </row>
    <row r="1579" spans="8:8" x14ac:dyDescent="0.3">
      <c r="H1579" t="str">
        <f t="shared" si="74"/>
        <v/>
      </c>
    </row>
    <row r="1580" spans="8:8" x14ac:dyDescent="0.3">
      <c r="H1580" t="str">
        <f t="shared" si="74"/>
        <v/>
      </c>
    </row>
    <row r="1581" spans="8:8" x14ac:dyDescent="0.3">
      <c r="H1581" t="str">
        <f t="shared" si="74"/>
        <v/>
      </c>
    </row>
    <row r="1582" spans="8:8" x14ac:dyDescent="0.3">
      <c r="H1582" t="str">
        <f t="shared" si="74"/>
        <v/>
      </c>
    </row>
    <row r="1583" spans="8:8" x14ac:dyDescent="0.3">
      <c r="H1583" t="str">
        <f t="shared" si="74"/>
        <v/>
      </c>
    </row>
    <row r="1584" spans="8:8" x14ac:dyDescent="0.3">
      <c r="H1584" t="str">
        <f t="shared" si="74"/>
        <v/>
      </c>
    </row>
    <row r="1585" spans="8:8" x14ac:dyDescent="0.3">
      <c r="H1585" t="str">
        <f t="shared" si="74"/>
        <v/>
      </c>
    </row>
    <row r="1586" spans="8:8" x14ac:dyDescent="0.3">
      <c r="H1586" t="str">
        <f t="shared" si="74"/>
        <v/>
      </c>
    </row>
    <row r="1587" spans="8:8" x14ac:dyDescent="0.3">
      <c r="H1587" t="str">
        <f t="shared" si="74"/>
        <v/>
      </c>
    </row>
    <row r="1588" spans="8:8" x14ac:dyDescent="0.3">
      <c r="H1588" t="str">
        <f t="shared" si="74"/>
        <v/>
      </c>
    </row>
    <row r="1589" spans="8:8" x14ac:dyDescent="0.3">
      <c r="H1589" t="str">
        <f t="shared" si="74"/>
        <v/>
      </c>
    </row>
    <row r="1590" spans="8:8" x14ac:dyDescent="0.3">
      <c r="H1590" t="str">
        <f t="shared" si="74"/>
        <v/>
      </c>
    </row>
    <row r="1591" spans="8:8" x14ac:dyDescent="0.3">
      <c r="H1591" t="str">
        <f t="shared" si="74"/>
        <v/>
      </c>
    </row>
    <row r="1592" spans="8:8" x14ac:dyDescent="0.3">
      <c r="H1592" t="str">
        <f t="shared" si="74"/>
        <v/>
      </c>
    </row>
    <row r="1593" spans="8:8" x14ac:dyDescent="0.3">
      <c r="H1593" t="str">
        <f t="shared" si="74"/>
        <v/>
      </c>
    </row>
    <row r="1594" spans="8:8" x14ac:dyDescent="0.3">
      <c r="H1594" t="str">
        <f t="shared" si="74"/>
        <v/>
      </c>
    </row>
    <row r="1595" spans="8:8" x14ac:dyDescent="0.3">
      <c r="H1595" t="str">
        <f t="shared" si="74"/>
        <v/>
      </c>
    </row>
    <row r="1596" spans="8:8" x14ac:dyDescent="0.3">
      <c r="H1596" t="str">
        <f t="shared" si="74"/>
        <v/>
      </c>
    </row>
    <row r="1597" spans="8:8" x14ac:dyDescent="0.3">
      <c r="H1597" t="str">
        <f t="shared" si="74"/>
        <v/>
      </c>
    </row>
    <row r="1598" spans="8:8" x14ac:dyDescent="0.3">
      <c r="H1598" t="str">
        <f t="shared" si="74"/>
        <v/>
      </c>
    </row>
    <row r="1599" spans="8:8" x14ac:dyDescent="0.3">
      <c r="H1599" t="str">
        <f t="shared" si="74"/>
        <v/>
      </c>
    </row>
    <row r="1600" spans="8:8" x14ac:dyDescent="0.3">
      <c r="H1600" t="str">
        <f t="shared" si="74"/>
        <v/>
      </c>
    </row>
    <row r="1601" spans="8:8" x14ac:dyDescent="0.3">
      <c r="H1601" t="str">
        <f t="shared" si="74"/>
        <v/>
      </c>
    </row>
    <row r="1602" spans="8:8" x14ac:dyDescent="0.3">
      <c r="H1602" t="str">
        <f t="shared" si="74"/>
        <v/>
      </c>
    </row>
    <row r="1603" spans="8:8" x14ac:dyDescent="0.3">
      <c r="H1603" t="str">
        <f t="shared" si="74"/>
        <v/>
      </c>
    </row>
    <row r="1604" spans="8:8" x14ac:dyDescent="0.3">
      <c r="H1604" t="str">
        <f t="shared" si="74"/>
        <v/>
      </c>
    </row>
    <row r="1605" spans="8:8" x14ac:dyDescent="0.3">
      <c r="H1605" t="str">
        <f t="shared" si="74"/>
        <v/>
      </c>
    </row>
    <row r="1606" spans="8:8" x14ac:dyDescent="0.3">
      <c r="H1606" t="str">
        <f t="shared" si="74"/>
        <v/>
      </c>
    </row>
    <row r="1607" spans="8:8" x14ac:dyDescent="0.3">
      <c r="H1607" t="str">
        <f t="shared" si="74"/>
        <v/>
      </c>
    </row>
    <row r="1608" spans="8:8" x14ac:dyDescent="0.3">
      <c r="H1608" t="str">
        <f t="shared" si="74"/>
        <v/>
      </c>
    </row>
    <row r="1609" spans="8:8" x14ac:dyDescent="0.3">
      <c r="H1609" t="str">
        <f t="shared" si="74"/>
        <v/>
      </c>
    </row>
    <row r="1610" spans="8:8" x14ac:dyDescent="0.3">
      <c r="H1610" t="str">
        <f t="shared" si="74"/>
        <v/>
      </c>
    </row>
    <row r="1611" spans="8:8" x14ac:dyDescent="0.3">
      <c r="H1611" t="str">
        <f t="shared" si="74"/>
        <v/>
      </c>
    </row>
    <row r="1612" spans="8:8" x14ac:dyDescent="0.3">
      <c r="H1612" t="str">
        <f t="shared" si="74"/>
        <v/>
      </c>
    </row>
    <row r="1613" spans="8:8" x14ac:dyDescent="0.3">
      <c r="H1613" t="str">
        <f t="shared" si="74"/>
        <v/>
      </c>
    </row>
    <row r="1614" spans="8:8" x14ac:dyDescent="0.3">
      <c r="H1614" t="str">
        <f t="shared" si="74"/>
        <v/>
      </c>
    </row>
    <row r="1615" spans="8:8" x14ac:dyDescent="0.3">
      <c r="H1615" t="str">
        <f t="shared" si="74"/>
        <v/>
      </c>
    </row>
    <row r="1616" spans="8:8" x14ac:dyDescent="0.3">
      <c r="H1616" t="str">
        <f t="shared" si="74"/>
        <v/>
      </c>
    </row>
    <row r="1617" spans="8:8" x14ac:dyDescent="0.3">
      <c r="H1617" t="str">
        <f t="shared" si="74"/>
        <v/>
      </c>
    </row>
    <row r="1618" spans="8:8" x14ac:dyDescent="0.3">
      <c r="H1618" t="str">
        <f t="shared" si="74"/>
        <v/>
      </c>
    </row>
    <row r="1619" spans="8:8" x14ac:dyDescent="0.3">
      <c r="H1619" t="str">
        <f t="shared" si="74"/>
        <v/>
      </c>
    </row>
    <row r="1620" spans="8:8" x14ac:dyDescent="0.3">
      <c r="H1620" t="str">
        <f t="shared" si="74"/>
        <v/>
      </c>
    </row>
    <row r="1621" spans="8:8" x14ac:dyDescent="0.3">
      <c r="H1621" t="str">
        <f t="shared" si="74"/>
        <v/>
      </c>
    </row>
    <row r="1622" spans="8:8" x14ac:dyDescent="0.3">
      <c r="H1622" t="str">
        <f t="shared" si="74"/>
        <v/>
      </c>
    </row>
    <row r="1623" spans="8:8" x14ac:dyDescent="0.3">
      <c r="H1623" t="str">
        <f t="shared" ref="H1623:H1686" si="75">IF(B1623="","",$C$12)</f>
        <v/>
      </c>
    </row>
    <row r="1624" spans="8:8" x14ac:dyDescent="0.3">
      <c r="H1624" t="str">
        <f t="shared" si="75"/>
        <v/>
      </c>
    </row>
    <row r="1625" spans="8:8" x14ac:dyDescent="0.3">
      <c r="H1625" t="str">
        <f t="shared" si="75"/>
        <v/>
      </c>
    </row>
    <row r="1626" spans="8:8" x14ac:dyDescent="0.3">
      <c r="H1626" t="str">
        <f t="shared" si="75"/>
        <v/>
      </c>
    </row>
    <row r="1627" spans="8:8" x14ac:dyDescent="0.3">
      <c r="H1627" t="str">
        <f t="shared" si="75"/>
        <v/>
      </c>
    </row>
    <row r="1628" spans="8:8" x14ac:dyDescent="0.3">
      <c r="H1628" t="str">
        <f t="shared" si="75"/>
        <v/>
      </c>
    </row>
    <row r="1629" spans="8:8" x14ac:dyDescent="0.3">
      <c r="H1629" t="str">
        <f t="shared" si="75"/>
        <v/>
      </c>
    </row>
    <row r="1630" spans="8:8" x14ac:dyDescent="0.3">
      <c r="H1630" t="str">
        <f t="shared" si="75"/>
        <v/>
      </c>
    </row>
    <row r="1631" spans="8:8" x14ac:dyDescent="0.3">
      <c r="H1631" t="str">
        <f t="shared" si="75"/>
        <v/>
      </c>
    </row>
    <row r="1632" spans="8:8" x14ac:dyDescent="0.3">
      <c r="H1632" t="str">
        <f t="shared" si="75"/>
        <v/>
      </c>
    </row>
    <row r="1633" spans="8:8" x14ac:dyDescent="0.3">
      <c r="H1633" t="str">
        <f t="shared" si="75"/>
        <v/>
      </c>
    </row>
    <row r="1634" spans="8:8" x14ac:dyDescent="0.3">
      <c r="H1634" t="str">
        <f t="shared" si="75"/>
        <v/>
      </c>
    </row>
    <row r="1635" spans="8:8" x14ac:dyDescent="0.3">
      <c r="H1635" t="str">
        <f t="shared" si="75"/>
        <v/>
      </c>
    </row>
    <row r="1636" spans="8:8" x14ac:dyDescent="0.3">
      <c r="H1636" t="str">
        <f t="shared" si="75"/>
        <v/>
      </c>
    </row>
    <row r="1637" spans="8:8" x14ac:dyDescent="0.3">
      <c r="H1637" t="str">
        <f t="shared" si="75"/>
        <v/>
      </c>
    </row>
    <row r="1638" spans="8:8" x14ac:dyDescent="0.3">
      <c r="H1638" t="str">
        <f t="shared" si="75"/>
        <v/>
      </c>
    </row>
    <row r="1639" spans="8:8" x14ac:dyDescent="0.3">
      <c r="H1639" t="str">
        <f t="shared" si="75"/>
        <v/>
      </c>
    </row>
    <row r="1640" spans="8:8" x14ac:dyDescent="0.3">
      <c r="H1640" t="str">
        <f t="shared" si="75"/>
        <v/>
      </c>
    </row>
    <row r="1641" spans="8:8" x14ac:dyDescent="0.3">
      <c r="H1641" t="str">
        <f t="shared" si="75"/>
        <v/>
      </c>
    </row>
    <row r="1642" spans="8:8" x14ac:dyDescent="0.3">
      <c r="H1642" t="str">
        <f t="shared" si="75"/>
        <v/>
      </c>
    </row>
    <row r="1643" spans="8:8" x14ac:dyDescent="0.3">
      <c r="H1643" t="str">
        <f t="shared" si="75"/>
        <v/>
      </c>
    </row>
    <row r="1644" spans="8:8" x14ac:dyDescent="0.3">
      <c r="H1644" t="str">
        <f t="shared" si="75"/>
        <v/>
      </c>
    </row>
    <row r="1645" spans="8:8" x14ac:dyDescent="0.3">
      <c r="H1645" t="str">
        <f t="shared" si="75"/>
        <v/>
      </c>
    </row>
    <row r="1646" spans="8:8" x14ac:dyDescent="0.3">
      <c r="H1646" t="str">
        <f t="shared" si="75"/>
        <v/>
      </c>
    </row>
    <row r="1647" spans="8:8" x14ac:dyDescent="0.3">
      <c r="H1647" t="str">
        <f t="shared" si="75"/>
        <v/>
      </c>
    </row>
    <row r="1648" spans="8:8" x14ac:dyDescent="0.3">
      <c r="H1648" t="str">
        <f t="shared" si="75"/>
        <v/>
      </c>
    </row>
    <row r="1649" spans="8:8" x14ac:dyDescent="0.3">
      <c r="H1649" t="str">
        <f t="shared" si="75"/>
        <v/>
      </c>
    </row>
    <row r="1650" spans="8:8" x14ac:dyDescent="0.3">
      <c r="H1650" t="str">
        <f t="shared" si="75"/>
        <v/>
      </c>
    </row>
    <row r="1651" spans="8:8" x14ac:dyDescent="0.3">
      <c r="H1651" t="str">
        <f t="shared" si="75"/>
        <v/>
      </c>
    </row>
    <row r="1652" spans="8:8" x14ac:dyDescent="0.3">
      <c r="H1652" t="str">
        <f t="shared" si="75"/>
        <v/>
      </c>
    </row>
    <row r="1653" spans="8:8" x14ac:dyDescent="0.3">
      <c r="H1653" t="str">
        <f t="shared" si="75"/>
        <v/>
      </c>
    </row>
    <row r="1654" spans="8:8" x14ac:dyDescent="0.3">
      <c r="H1654" t="str">
        <f t="shared" si="75"/>
        <v/>
      </c>
    </row>
    <row r="1655" spans="8:8" x14ac:dyDescent="0.3">
      <c r="H1655" t="str">
        <f t="shared" si="75"/>
        <v/>
      </c>
    </row>
    <row r="1656" spans="8:8" x14ac:dyDescent="0.3">
      <c r="H1656" t="str">
        <f t="shared" si="75"/>
        <v/>
      </c>
    </row>
    <row r="1657" spans="8:8" x14ac:dyDescent="0.3">
      <c r="H1657" t="str">
        <f t="shared" si="75"/>
        <v/>
      </c>
    </row>
    <row r="1658" spans="8:8" x14ac:dyDescent="0.3">
      <c r="H1658" t="str">
        <f t="shared" si="75"/>
        <v/>
      </c>
    </row>
    <row r="1659" spans="8:8" x14ac:dyDescent="0.3">
      <c r="H1659" t="str">
        <f t="shared" si="75"/>
        <v/>
      </c>
    </row>
    <row r="1660" spans="8:8" x14ac:dyDescent="0.3">
      <c r="H1660" t="str">
        <f t="shared" si="75"/>
        <v/>
      </c>
    </row>
    <row r="1661" spans="8:8" x14ac:dyDescent="0.3">
      <c r="H1661" t="str">
        <f t="shared" si="75"/>
        <v/>
      </c>
    </row>
    <row r="1662" spans="8:8" x14ac:dyDescent="0.3">
      <c r="H1662" t="str">
        <f t="shared" si="75"/>
        <v/>
      </c>
    </row>
    <row r="1663" spans="8:8" x14ac:dyDescent="0.3">
      <c r="H1663" t="str">
        <f t="shared" si="75"/>
        <v/>
      </c>
    </row>
    <row r="1664" spans="8:8" x14ac:dyDescent="0.3">
      <c r="H1664" t="str">
        <f t="shared" si="75"/>
        <v/>
      </c>
    </row>
    <row r="1665" spans="8:8" x14ac:dyDescent="0.3">
      <c r="H1665" t="str">
        <f t="shared" si="75"/>
        <v/>
      </c>
    </row>
    <row r="1666" spans="8:8" x14ac:dyDescent="0.3">
      <c r="H1666" t="str">
        <f t="shared" si="75"/>
        <v/>
      </c>
    </row>
    <row r="1667" spans="8:8" x14ac:dyDescent="0.3">
      <c r="H1667" t="str">
        <f t="shared" si="75"/>
        <v/>
      </c>
    </row>
    <row r="1668" spans="8:8" x14ac:dyDescent="0.3">
      <c r="H1668" t="str">
        <f t="shared" si="75"/>
        <v/>
      </c>
    </row>
    <row r="1669" spans="8:8" x14ac:dyDescent="0.3">
      <c r="H1669" t="str">
        <f t="shared" si="75"/>
        <v/>
      </c>
    </row>
    <row r="1670" spans="8:8" x14ac:dyDescent="0.3">
      <c r="H1670" t="str">
        <f t="shared" si="75"/>
        <v/>
      </c>
    </row>
    <row r="1671" spans="8:8" x14ac:dyDescent="0.3">
      <c r="H1671" t="str">
        <f t="shared" si="75"/>
        <v/>
      </c>
    </row>
    <row r="1672" spans="8:8" x14ac:dyDescent="0.3">
      <c r="H1672" t="str">
        <f t="shared" si="75"/>
        <v/>
      </c>
    </row>
    <row r="1673" spans="8:8" x14ac:dyDescent="0.3">
      <c r="H1673" t="str">
        <f t="shared" si="75"/>
        <v/>
      </c>
    </row>
    <row r="1674" spans="8:8" x14ac:dyDescent="0.3">
      <c r="H1674" t="str">
        <f t="shared" si="75"/>
        <v/>
      </c>
    </row>
    <row r="1675" spans="8:8" x14ac:dyDescent="0.3">
      <c r="H1675" t="str">
        <f t="shared" si="75"/>
        <v/>
      </c>
    </row>
    <row r="1676" spans="8:8" x14ac:dyDescent="0.3">
      <c r="H1676" t="str">
        <f t="shared" si="75"/>
        <v/>
      </c>
    </row>
    <row r="1677" spans="8:8" x14ac:dyDescent="0.3">
      <c r="H1677" t="str">
        <f t="shared" si="75"/>
        <v/>
      </c>
    </row>
    <row r="1678" spans="8:8" x14ac:dyDescent="0.3">
      <c r="H1678" t="str">
        <f t="shared" si="75"/>
        <v/>
      </c>
    </row>
    <row r="1679" spans="8:8" x14ac:dyDescent="0.3">
      <c r="H1679" t="str">
        <f t="shared" si="75"/>
        <v/>
      </c>
    </row>
    <row r="1680" spans="8:8" x14ac:dyDescent="0.3">
      <c r="H1680" t="str">
        <f t="shared" si="75"/>
        <v/>
      </c>
    </row>
    <row r="1681" spans="8:8" x14ac:dyDescent="0.3">
      <c r="H1681" t="str">
        <f t="shared" si="75"/>
        <v/>
      </c>
    </row>
    <row r="1682" spans="8:8" x14ac:dyDescent="0.3">
      <c r="H1682" t="str">
        <f t="shared" si="75"/>
        <v/>
      </c>
    </row>
    <row r="1683" spans="8:8" x14ac:dyDescent="0.3">
      <c r="H1683" t="str">
        <f t="shared" si="75"/>
        <v/>
      </c>
    </row>
    <row r="1684" spans="8:8" x14ac:dyDescent="0.3">
      <c r="H1684" t="str">
        <f t="shared" si="75"/>
        <v/>
      </c>
    </row>
    <row r="1685" spans="8:8" x14ac:dyDescent="0.3">
      <c r="H1685" t="str">
        <f t="shared" si="75"/>
        <v/>
      </c>
    </row>
    <row r="1686" spans="8:8" x14ac:dyDescent="0.3">
      <c r="H1686" t="str">
        <f t="shared" si="75"/>
        <v/>
      </c>
    </row>
    <row r="1687" spans="8:8" x14ac:dyDescent="0.3">
      <c r="H1687" t="str">
        <f t="shared" ref="H1687:H1750" si="76">IF(B1687="","",$C$12)</f>
        <v/>
      </c>
    </row>
    <row r="1688" spans="8:8" x14ac:dyDescent="0.3">
      <c r="H1688" t="str">
        <f t="shared" si="76"/>
        <v/>
      </c>
    </row>
    <row r="1689" spans="8:8" x14ac:dyDescent="0.3">
      <c r="H1689" t="str">
        <f t="shared" si="76"/>
        <v/>
      </c>
    </row>
    <row r="1690" spans="8:8" x14ac:dyDescent="0.3">
      <c r="H1690" t="str">
        <f t="shared" si="76"/>
        <v/>
      </c>
    </row>
    <row r="1691" spans="8:8" x14ac:dyDescent="0.3">
      <c r="H1691" t="str">
        <f t="shared" si="76"/>
        <v/>
      </c>
    </row>
    <row r="1692" spans="8:8" x14ac:dyDescent="0.3">
      <c r="H1692" t="str">
        <f t="shared" si="76"/>
        <v/>
      </c>
    </row>
    <row r="1693" spans="8:8" x14ac:dyDescent="0.3">
      <c r="H1693" t="str">
        <f t="shared" si="76"/>
        <v/>
      </c>
    </row>
    <row r="1694" spans="8:8" x14ac:dyDescent="0.3">
      <c r="H1694" t="str">
        <f t="shared" si="76"/>
        <v/>
      </c>
    </row>
    <row r="1695" spans="8:8" x14ac:dyDescent="0.3">
      <c r="H1695" t="str">
        <f t="shared" si="76"/>
        <v/>
      </c>
    </row>
    <row r="1696" spans="8:8" x14ac:dyDescent="0.3">
      <c r="H1696" t="str">
        <f t="shared" si="76"/>
        <v/>
      </c>
    </row>
    <row r="1697" spans="8:8" x14ac:dyDescent="0.3">
      <c r="H1697" t="str">
        <f t="shared" si="76"/>
        <v/>
      </c>
    </row>
    <row r="1698" spans="8:8" x14ac:dyDescent="0.3">
      <c r="H1698" t="str">
        <f t="shared" si="76"/>
        <v/>
      </c>
    </row>
    <row r="1699" spans="8:8" x14ac:dyDescent="0.3">
      <c r="H1699" t="str">
        <f t="shared" si="76"/>
        <v/>
      </c>
    </row>
    <row r="1700" spans="8:8" x14ac:dyDescent="0.3">
      <c r="H1700" t="str">
        <f t="shared" si="76"/>
        <v/>
      </c>
    </row>
    <row r="1701" spans="8:8" x14ac:dyDescent="0.3">
      <c r="H1701" t="str">
        <f t="shared" si="76"/>
        <v/>
      </c>
    </row>
    <row r="1702" spans="8:8" x14ac:dyDescent="0.3">
      <c r="H1702" t="str">
        <f t="shared" si="76"/>
        <v/>
      </c>
    </row>
    <row r="1703" spans="8:8" x14ac:dyDescent="0.3">
      <c r="H1703" t="str">
        <f t="shared" si="76"/>
        <v/>
      </c>
    </row>
    <row r="1704" spans="8:8" x14ac:dyDescent="0.3">
      <c r="H1704" t="str">
        <f t="shared" si="76"/>
        <v/>
      </c>
    </row>
    <row r="1705" spans="8:8" x14ac:dyDescent="0.3">
      <c r="H1705" t="str">
        <f t="shared" si="76"/>
        <v/>
      </c>
    </row>
    <row r="1706" spans="8:8" x14ac:dyDescent="0.3">
      <c r="H1706" t="str">
        <f t="shared" si="76"/>
        <v/>
      </c>
    </row>
    <row r="1707" spans="8:8" x14ac:dyDescent="0.3">
      <c r="H1707" t="str">
        <f t="shared" si="76"/>
        <v/>
      </c>
    </row>
    <row r="1708" spans="8:8" x14ac:dyDescent="0.3">
      <c r="H1708" t="str">
        <f t="shared" si="76"/>
        <v/>
      </c>
    </row>
    <row r="1709" spans="8:8" x14ac:dyDescent="0.3">
      <c r="H1709" t="str">
        <f t="shared" si="76"/>
        <v/>
      </c>
    </row>
    <row r="1710" spans="8:8" x14ac:dyDescent="0.3">
      <c r="H1710" t="str">
        <f t="shared" si="76"/>
        <v/>
      </c>
    </row>
    <row r="1711" spans="8:8" x14ac:dyDescent="0.3">
      <c r="H1711" t="str">
        <f t="shared" si="76"/>
        <v/>
      </c>
    </row>
    <row r="1712" spans="8:8" x14ac:dyDescent="0.3">
      <c r="H1712" t="str">
        <f t="shared" si="76"/>
        <v/>
      </c>
    </row>
    <row r="1713" spans="8:8" x14ac:dyDescent="0.3">
      <c r="H1713" t="str">
        <f t="shared" si="76"/>
        <v/>
      </c>
    </row>
    <row r="1714" spans="8:8" x14ac:dyDescent="0.3">
      <c r="H1714" t="str">
        <f t="shared" si="76"/>
        <v/>
      </c>
    </row>
    <row r="1715" spans="8:8" x14ac:dyDescent="0.3">
      <c r="H1715" t="str">
        <f t="shared" si="76"/>
        <v/>
      </c>
    </row>
    <row r="1716" spans="8:8" x14ac:dyDescent="0.3">
      <c r="H1716" t="str">
        <f t="shared" si="76"/>
        <v/>
      </c>
    </row>
    <row r="1717" spans="8:8" x14ac:dyDescent="0.3">
      <c r="H1717" t="str">
        <f t="shared" si="76"/>
        <v/>
      </c>
    </row>
    <row r="1718" spans="8:8" x14ac:dyDescent="0.3">
      <c r="H1718" t="str">
        <f t="shared" si="76"/>
        <v/>
      </c>
    </row>
    <row r="1719" spans="8:8" x14ac:dyDescent="0.3">
      <c r="H1719" t="str">
        <f t="shared" si="76"/>
        <v/>
      </c>
    </row>
    <row r="1720" spans="8:8" x14ac:dyDescent="0.3">
      <c r="H1720" t="str">
        <f t="shared" si="76"/>
        <v/>
      </c>
    </row>
    <row r="1721" spans="8:8" x14ac:dyDescent="0.3">
      <c r="H1721" t="str">
        <f t="shared" si="76"/>
        <v/>
      </c>
    </row>
    <row r="1722" spans="8:8" x14ac:dyDescent="0.3">
      <c r="H1722" t="str">
        <f t="shared" si="76"/>
        <v/>
      </c>
    </row>
    <row r="1723" spans="8:8" x14ac:dyDescent="0.3">
      <c r="H1723" t="str">
        <f t="shared" si="76"/>
        <v/>
      </c>
    </row>
    <row r="1724" spans="8:8" x14ac:dyDescent="0.3">
      <c r="H1724" t="str">
        <f t="shared" si="76"/>
        <v/>
      </c>
    </row>
    <row r="1725" spans="8:8" x14ac:dyDescent="0.3">
      <c r="H1725" t="str">
        <f t="shared" si="76"/>
        <v/>
      </c>
    </row>
    <row r="1726" spans="8:8" x14ac:dyDescent="0.3">
      <c r="H1726" t="str">
        <f t="shared" si="76"/>
        <v/>
      </c>
    </row>
    <row r="1727" spans="8:8" x14ac:dyDescent="0.3">
      <c r="H1727" t="str">
        <f t="shared" si="76"/>
        <v/>
      </c>
    </row>
    <row r="1728" spans="8:8" x14ac:dyDescent="0.3">
      <c r="H1728" t="str">
        <f t="shared" si="76"/>
        <v/>
      </c>
    </row>
    <row r="1729" spans="8:8" x14ac:dyDescent="0.3">
      <c r="H1729" t="str">
        <f t="shared" si="76"/>
        <v/>
      </c>
    </row>
    <row r="1730" spans="8:8" x14ac:dyDescent="0.3">
      <c r="H1730" t="str">
        <f t="shared" si="76"/>
        <v/>
      </c>
    </row>
    <row r="1731" spans="8:8" x14ac:dyDescent="0.3">
      <c r="H1731" t="str">
        <f t="shared" si="76"/>
        <v/>
      </c>
    </row>
    <row r="1732" spans="8:8" x14ac:dyDescent="0.3">
      <c r="H1732" t="str">
        <f t="shared" si="76"/>
        <v/>
      </c>
    </row>
    <row r="1733" spans="8:8" x14ac:dyDescent="0.3">
      <c r="H1733" t="str">
        <f t="shared" si="76"/>
        <v/>
      </c>
    </row>
    <row r="1734" spans="8:8" x14ac:dyDescent="0.3">
      <c r="H1734" t="str">
        <f t="shared" si="76"/>
        <v/>
      </c>
    </row>
    <row r="1735" spans="8:8" x14ac:dyDescent="0.3">
      <c r="H1735" t="str">
        <f t="shared" si="76"/>
        <v/>
      </c>
    </row>
    <row r="1736" spans="8:8" x14ac:dyDescent="0.3">
      <c r="H1736" t="str">
        <f t="shared" si="76"/>
        <v/>
      </c>
    </row>
    <row r="1737" spans="8:8" x14ac:dyDescent="0.3">
      <c r="H1737" t="str">
        <f t="shared" si="76"/>
        <v/>
      </c>
    </row>
    <row r="1738" spans="8:8" x14ac:dyDescent="0.3">
      <c r="H1738" t="str">
        <f t="shared" si="76"/>
        <v/>
      </c>
    </row>
    <row r="1739" spans="8:8" x14ac:dyDescent="0.3">
      <c r="H1739" t="str">
        <f t="shared" si="76"/>
        <v/>
      </c>
    </row>
    <row r="1740" spans="8:8" x14ac:dyDescent="0.3">
      <c r="H1740" t="str">
        <f t="shared" si="76"/>
        <v/>
      </c>
    </row>
    <row r="1741" spans="8:8" x14ac:dyDescent="0.3">
      <c r="H1741" t="str">
        <f t="shared" si="76"/>
        <v/>
      </c>
    </row>
    <row r="1742" spans="8:8" x14ac:dyDescent="0.3">
      <c r="H1742" t="str">
        <f t="shared" si="76"/>
        <v/>
      </c>
    </row>
    <row r="1743" spans="8:8" x14ac:dyDescent="0.3">
      <c r="H1743" t="str">
        <f t="shared" si="76"/>
        <v/>
      </c>
    </row>
    <row r="1744" spans="8:8" x14ac:dyDescent="0.3">
      <c r="H1744" t="str">
        <f t="shared" si="76"/>
        <v/>
      </c>
    </row>
    <row r="1745" spans="8:8" x14ac:dyDescent="0.3">
      <c r="H1745" t="str">
        <f t="shared" si="76"/>
        <v/>
      </c>
    </row>
    <row r="1746" spans="8:8" x14ac:dyDescent="0.3">
      <c r="H1746" t="str">
        <f t="shared" si="76"/>
        <v/>
      </c>
    </row>
    <row r="1747" spans="8:8" x14ac:dyDescent="0.3">
      <c r="H1747" t="str">
        <f t="shared" si="76"/>
        <v/>
      </c>
    </row>
    <row r="1748" spans="8:8" x14ac:dyDescent="0.3">
      <c r="H1748" t="str">
        <f t="shared" si="76"/>
        <v/>
      </c>
    </row>
    <row r="1749" spans="8:8" x14ac:dyDescent="0.3">
      <c r="H1749" t="str">
        <f t="shared" si="76"/>
        <v/>
      </c>
    </row>
    <row r="1750" spans="8:8" x14ac:dyDescent="0.3">
      <c r="H1750" t="str">
        <f t="shared" si="76"/>
        <v/>
      </c>
    </row>
    <row r="1751" spans="8:8" x14ac:dyDescent="0.3">
      <c r="H1751" t="str">
        <f t="shared" ref="H1751:H1814" si="77">IF(B1751="","",$C$12)</f>
        <v/>
      </c>
    </row>
    <row r="1752" spans="8:8" x14ac:dyDescent="0.3">
      <c r="H1752" t="str">
        <f t="shared" si="77"/>
        <v/>
      </c>
    </row>
    <row r="1753" spans="8:8" x14ac:dyDescent="0.3">
      <c r="H1753" t="str">
        <f t="shared" si="77"/>
        <v/>
      </c>
    </row>
    <row r="1754" spans="8:8" x14ac:dyDescent="0.3">
      <c r="H1754" t="str">
        <f t="shared" si="77"/>
        <v/>
      </c>
    </row>
    <row r="1755" spans="8:8" x14ac:dyDescent="0.3">
      <c r="H1755" t="str">
        <f t="shared" si="77"/>
        <v/>
      </c>
    </row>
    <row r="1756" spans="8:8" x14ac:dyDescent="0.3">
      <c r="H1756" t="str">
        <f t="shared" si="77"/>
        <v/>
      </c>
    </row>
    <row r="1757" spans="8:8" x14ac:dyDescent="0.3">
      <c r="H1757" t="str">
        <f t="shared" si="77"/>
        <v/>
      </c>
    </row>
    <row r="1758" spans="8:8" x14ac:dyDescent="0.3">
      <c r="H1758" t="str">
        <f t="shared" si="77"/>
        <v/>
      </c>
    </row>
    <row r="1759" spans="8:8" x14ac:dyDescent="0.3">
      <c r="H1759" t="str">
        <f t="shared" si="77"/>
        <v/>
      </c>
    </row>
    <row r="1760" spans="8:8" x14ac:dyDescent="0.3">
      <c r="H1760" t="str">
        <f t="shared" si="77"/>
        <v/>
      </c>
    </row>
    <row r="1761" spans="8:8" x14ac:dyDescent="0.3">
      <c r="H1761" t="str">
        <f t="shared" si="77"/>
        <v/>
      </c>
    </row>
    <row r="1762" spans="8:8" x14ac:dyDescent="0.3">
      <c r="H1762" t="str">
        <f t="shared" si="77"/>
        <v/>
      </c>
    </row>
    <row r="1763" spans="8:8" x14ac:dyDescent="0.3">
      <c r="H1763" t="str">
        <f t="shared" si="77"/>
        <v/>
      </c>
    </row>
    <row r="1764" spans="8:8" x14ac:dyDescent="0.3">
      <c r="H1764" t="str">
        <f t="shared" si="77"/>
        <v/>
      </c>
    </row>
    <row r="1765" spans="8:8" x14ac:dyDescent="0.3">
      <c r="H1765" t="str">
        <f t="shared" si="77"/>
        <v/>
      </c>
    </row>
    <row r="1766" spans="8:8" x14ac:dyDescent="0.3">
      <c r="H1766" t="str">
        <f t="shared" si="77"/>
        <v/>
      </c>
    </row>
    <row r="1767" spans="8:8" x14ac:dyDescent="0.3">
      <c r="H1767" t="str">
        <f t="shared" si="77"/>
        <v/>
      </c>
    </row>
    <row r="1768" spans="8:8" x14ac:dyDescent="0.3">
      <c r="H1768" t="str">
        <f t="shared" si="77"/>
        <v/>
      </c>
    </row>
    <row r="1769" spans="8:8" x14ac:dyDescent="0.3">
      <c r="H1769" t="str">
        <f t="shared" si="77"/>
        <v/>
      </c>
    </row>
    <row r="1770" spans="8:8" x14ac:dyDescent="0.3">
      <c r="H1770" t="str">
        <f t="shared" si="77"/>
        <v/>
      </c>
    </row>
    <row r="1771" spans="8:8" x14ac:dyDescent="0.3">
      <c r="H1771" t="str">
        <f t="shared" si="77"/>
        <v/>
      </c>
    </row>
    <row r="1772" spans="8:8" x14ac:dyDescent="0.3">
      <c r="H1772" t="str">
        <f t="shared" si="77"/>
        <v/>
      </c>
    </row>
    <row r="1773" spans="8:8" x14ac:dyDescent="0.3">
      <c r="H1773" t="str">
        <f t="shared" si="77"/>
        <v/>
      </c>
    </row>
    <row r="1774" spans="8:8" x14ac:dyDescent="0.3">
      <c r="H1774" t="str">
        <f t="shared" si="77"/>
        <v/>
      </c>
    </row>
    <row r="1775" spans="8:8" x14ac:dyDescent="0.3">
      <c r="H1775" t="str">
        <f t="shared" si="77"/>
        <v/>
      </c>
    </row>
    <row r="1776" spans="8:8" x14ac:dyDescent="0.3">
      <c r="H1776" t="str">
        <f t="shared" si="77"/>
        <v/>
      </c>
    </row>
    <row r="1777" spans="8:8" x14ac:dyDescent="0.3">
      <c r="H1777" t="str">
        <f t="shared" si="77"/>
        <v/>
      </c>
    </row>
    <row r="1778" spans="8:8" x14ac:dyDescent="0.3">
      <c r="H1778" t="str">
        <f t="shared" si="77"/>
        <v/>
      </c>
    </row>
    <row r="1779" spans="8:8" x14ac:dyDescent="0.3">
      <c r="H1779" t="str">
        <f t="shared" si="77"/>
        <v/>
      </c>
    </row>
    <row r="1780" spans="8:8" x14ac:dyDescent="0.3">
      <c r="H1780" t="str">
        <f t="shared" si="77"/>
        <v/>
      </c>
    </row>
    <row r="1781" spans="8:8" x14ac:dyDescent="0.3">
      <c r="H1781" t="str">
        <f t="shared" si="77"/>
        <v/>
      </c>
    </row>
    <row r="1782" spans="8:8" x14ac:dyDescent="0.3">
      <c r="H1782" t="str">
        <f t="shared" si="77"/>
        <v/>
      </c>
    </row>
    <row r="1783" spans="8:8" x14ac:dyDescent="0.3">
      <c r="H1783" t="str">
        <f t="shared" si="77"/>
        <v/>
      </c>
    </row>
    <row r="1784" spans="8:8" x14ac:dyDescent="0.3">
      <c r="H1784" t="str">
        <f t="shared" si="77"/>
        <v/>
      </c>
    </row>
    <row r="1785" spans="8:8" x14ac:dyDescent="0.3">
      <c r="H1785" t="str">
        <f t="shared" si="77"/>
        <v/>
      </c>
    </row>
    <row r="1786" spans="8:8" x14ac:dyDescent="0.3">
      <c r="H1786" t="str">
        <f t="shared" si="77"/>
        <v/>
      </c>
    </row>
    <row r="1787" spans="8:8" x14ac:dyDescent="0.3">
      <c r="H1787" t="str">
        <f t="shared" si="77"/>
        <v/>
      </c>
    </row>
    <row r="1788" spans="8:8" x14ac:dyDescent="0.3">
      <c r="H1788" t="str">
        <f t="shared" si="77"/>
        <v/>
      </c>
    </row>
    <row r="1789" spans="8:8" x14ac:dyDescent="0.3">
      <c r="H1789" t="str">
        <f t="shared" si="77"/>
        <v/>
      </c>
    </row>
    <row r="1790" spans="8:8" x14ac:dyDescent="0.3">
      <c r="H1790" t="str">
        <f t="shared" si="77"/>
        <v/>
      </c>
    </row>
    <row r="1791" spans="8:8" x14ac:dyDescent="0.3">
      <c r="H1791" t="str">
        <f t="shared" si="77"/>
        <v/>
      </c>
    </row>
    <row r="1792" spans="8:8" x14ac:dyDescent="0.3">
      <c r="H1792" t="str">
        <f t="shared" si="77"/>
        <v/>
      </c>
    </row>
    <row r="1793" spans="8:8" x14ac:dyDescent="0.3">
      <c r="H1793" t="str">
        <f t="shared" si="77"/>
        <v/>
      </c>
    </row>
    <row r="1794" spans="8:8" x14ac:dyDescent="0.3">
      <c r="H1794" t="str">
        <f t="shared" si="77"/>
        <v/>
      </c>
    </row>
    <row r="1795" spans="8:8" x14ac:dyDescent="0.3">
      <c r="H1795" t="str">
        <f t="shared" si="77"/>
        <v/>
      </c>
    </row>
    <row r="1796" spans="8:8" x14ac:dyDescent="0.3">
      <c r="H1796" t="str">
        <f t="shared" si="77"/>
        <v/>
      </c>
    </row>
    <row r="1797" spans="8:8" x14ac:dyDescent="0.3">
      <c r="H1797" t="str">
        <f t="shared" si="77"/>
        <v/>
      </c>
    </row>
    <row r="1798" spans="8:8" x14ac:dyDescent="0.3">
      <c r="H1798" t="str">
        <f t="shared" si="77"/>
        <v/>
      </c>
    </row>
    <row r="1799" spans="8:8" x14ac:dyDescent="0.3">
      <c r="H1799" t="str">
        <f t="shared" si="77"/>
        <v/>
      </c>
    </row>
    <row r="1800" spans="8:8" x14ac:dyDescent="0.3">
      <c r="H1800" t="str">
        <f t="shared" si="77"/>
        <v/>
      </c>
    </row>
    <row r="1801" spans="8:8" x14ac:dyDescent="0.3">
      <c r="H1801" t="str">
        <f t="shared" si="77"/>
        <v/>
      </c>
    </row>
    <row r="1802" spans="8:8" x14ac:dyDescent="0.3">
      <c r="H1802" t="str">
        <f t="shared" si="77"/>
        <v/>
      </c>
    </row>
    <row r="1803" spans="8:8" x14ac:dyDescent="0.3">
      <c r="H1803" t="str">
        <f t="shared" si="77"/>
        <v/>
      </c>
    </row>
    <row r="1804" spans="8:8" x14ac:dyDescent="0.3">
      <c r="H1804" t="str">
        <f t="shared" si="77"/>
        <v/>
      </c>
    </row>
    <row r="1805" spans="8:8" x14ac:dyDescent="0.3">
      <c r="H1805" t="str">
        <f t="shared" si="77"/>
        <v/>
      </c>
    </row>
    <row r="1806" spans="8:8" x14ac:dyDescent="0.3">
      <c r="H1806" t="str">
        <f t="shared" si="77"/>
        <v/>
      </c>
    </row>
    <row r="1807" spans="8:8" x14ac:dyDescent="0.3">
      <c r="H1807" t="str">
        <f t="shared" si="77"/>
        <v/>
      </c>
    </row>
    <row r="1808" spans="8:8" x14ac:dyDescent="0.3">
      <c r="H1808" t="str">
        <f t="shared" si="77"/>
        <v/>
      </c>
    </row>
    <row r="1809" spans="8:8" x14ac:dyDescent="0.3">
      <c r="H1809" t="str">
        <f t="shared" si="77"/>
        <v/>
      </c>
    </row>
    <row r="1810" spans="8:8" x14ac:dyDescent="0.3">
      <c r="H1810" t="str">
        <f t="shared" si="77"/>
        <v/>
      </c>
    </row>
    <row r="1811" spans="8:8" x14ac:dyDescent="0.3">
      <c r="H1811" t="str">
        <f t="shared" si="77"/>
        <v/>
      </c>
    </row>
    <row r="1812" spans="8:8" x14ac:dyDescent="0.3">
      <c r="H1812" t="str">
        <f t="shared" si="77"/>
        <v/>
      </c>
    </row>
    <row r="1813" spans="8:8" x14ac:dyDescent="0.3">
      <c r="H1813" t="str">
        <f t="shared" si="77"/>
        <v/>
      </c>
    </row>
    <row r="1814" spans="8:8" x14ac:dyDescent="0.3">
      <c r="H1814" t="str">
        <f t="shared" si="77"/>
        <v/>
      </c>
    </row>
    <row r="1815" spans="8:8" x14ac:dyDescent="0.3">
      <c r="H1815" t="str">
        <f t="shared" ref="H1815:H1878" si="78">IF(B1815="","",$C$12)</f>
        <v/>
      </c>
    </row>
    <row r="1816" spans="8:8" x14ac:dyDescent="0.3">
      <c r="H1816" t="str">
        <f t="shared" si="78"/>
        <v/>
      </c>
    </row>
    <row r="1817" spans="8:8" x14ac:dyDescent="0.3">
      <c r="H1817" t="str">
        <f t="shared" si="78"/>
        <v/>
      </c>
    </row>
    <row r="1818" spans="8:8" x14ac:dyDescent="0.3">
      <c r="H1818" t="str">
        <f t="shared" si="78"/>
        <v/>
      </c>
    </row>
    <row r="1819" spans="8:8" x14ac:dyDescent="0.3">
      <c r="H1819" t="str">
        <f t="shared" si="78"/>
        <v/>
      </c>
    </row>
    <row r="1820" spans="8:8" x14ac:dyDescent="0.3">
      <c r="H1820" t="str">
        <f t="shared" si="78"/>
        <v/>
      </c>
    </row>
    <row r="1821" spans="8:8" x14ac:dyDescent="0.3">
      <c r="H1821" t="str">
        <f t="shared" si="78"/>
        <v/>
      </c>
    </row>
    <row r="1822" spans="8:8" x14ac:dyDescent="0.3">
      <c r="H1822" t="str">
        <f t="shared" si="78"/>
        <v/>
      </c>
    </row>
    <row r="1823" spans="8:8" x14ac:dyDescent="0.3">
      <c r="H1823" t="str">
        <f t="shared" si="78"/>
        <v/>
      </c>
    </row>
    <row r="1824" spans="8:8" x14ac:dyDescent="0.3">
      <c r="H1824" t="str">
        <f t="shared" si="78"/>
        <v/>
      </c>
    </row>
    <row r="1825" spans="8:8" x14ac:dyDescent="0.3">
      <c r="H1825" t="str">
        <f t="shared" si="78"/>
        <v/>
      </c>
    </row>
    <row r="1826" spans="8:8" x14ac:dyDescent="0.3">
      <c r="H1826" t="str">
        <f t="shared" si="78"/>
        <v/>
      </c>
    </row>
    <row r="1827" spans="8:8" x14ac:dyDescent="0.3">
      <c r="H1827" t="str">
        <f t="shared" si="78"/>
        <v/>
      </c>
    </row>
    <row r="1828" spans="8:8" x14ac:dyDescent="0.3">
      <c r="H1828" t="str">
        <f t="shared" si="78"/>
        <v/>
      </c>
    </row>
    <row r="1829" spans="8:8" x14ac:dyDescent="0.3">
      <c r="H1829" t="str">
        <f t="shared" si="78"/>
        <v/>
      </c>
    </row>
    <row r="1830" spans="8:8" x14ac:dyDescent="0.3">
      <c r="H1830" t="str">
        <f t="shared" si="78"/>
        <v/>
      </c>
    </row>
    <row r="1831" spans="8:8" x14ac:dyDescent="0.3">
      <c r="H1831" t="str">
        <f t="shared" si="78"/>
        <v/>
      </c>
    </row>
    <row r="1832" spans="8:8" x14ac:dyDescent="0.3">
      <c r="H1832" t="str">
        <f t="shared" si="78"/>
        <v/>
      </c>
    </row>
    <row r="1833" spans="8:8" x14ac:dyDescent="0.3">
      <c r="H1833" t="str">
        <f t="shared" si="78"/>
        <v/>
      </c>
    </row>
    <row r="1834" spans="8:8" x14ac:dyDescent="0.3">
      <c r="H1834" t="str">
        <f t="shared" si="78"/>
        <v/>
      </c>
    </row>
    <row r="1835" spans="8:8" x14ac:dyDescent="0.3">
      <c r="H1835" t="str">
        <f t="shared" si="78"/>
        <v/>
      </c>
    </row>
    <row r="1836" spans="8:8" x14ac:dyDescent="0.3">
      <c r="H1836" t="str">
        <f t="shared" si="78"/>
        <v/>
      </c>
    </row>
    <row r="1837" spans="8:8" x14ac:dyDescent="0.3">
      <c r="H1837" t="str">
        <f t="shared" si="78"/>
        <v/>
      </c>
    </row>
    <row r="1838" spans="8:8" x14ac:dyDescent="0.3">
      <c r="H1838" t="str">
        <f t="shared" si="78"/>
        <v/>
      </c>
    </row>
    <row r="1839" spans="8:8" x14ac:dyDescent="0.3">
      <c r="H1839" t="str">
        <f t="shared" si="78"/>
        <v/>
      </c>
    </row>
    <row r="1840" spans="8:8" x14ac:dyDescent="0.3">
      <c r="H1840" t="str">
        <f t="shared" si="78"/>
        <v/>
      </c>
    </row>
    <row r="1841" spans="8:8" x14ac:dyDescent="0.3">
      <c r="H1841" t="str">
        <f t="shared" si="78"/>
        <v/>
      </c>
    </row>
    <row r="1842" spans="8:8" x14ac:dyDescent="0.3">
      <c r="H1842" t="str">
        <f t="shared" si="78"/>
        <v/>
      </c>
    </row>
    <row r="1843" spans="8:8" x14ac:dyDescent="0.3">
      <c r="H1843" t="str">
        <f t="shared" si="78"/>
        <v/>
      </c>
    </row>
    <row r="1844" spans="8:8" x14ac:dyDescent="0.3">
      <c r="H1844" t="str">
        <f t="shared" si="78"/>
        <v/>
      </c>
    </row>
    <row r="1845" spans="8:8" x14ac:dyDescent="0.3">
      <c r="H1845" t="str">
        <f t="shared" si="78"/>
        <v/>
      </c>
    </row>
    <row r="1846" spans="8:8" x14ac:dyDescent="0.3">
      <c r="H1846" t="str">
        <f t="shared" si="78"/>
        <v/>
      </c>
    </row>
    <row r="1847" spans="8:8" x14ac:dyDescent="0.3">
      <c r="H1847" t="str">
        <f t="shared" si="78"/>
        <v/>
      </c>
    </row>
    <row r="1848" spans="8:8" x14ac:dyDescent="0.3">
      <c r="H1848" t="str">
        <f t="shared" si="78"/>
        <v/>
      </c>
    </row>
    <row r="1849" spans="8:8" x14ac:dyDescent="0.3">
      <c r="H1849" t="str">
        <f t="shared" si="78"/>
        <v/>
      </c>
    </row>
    <row r="1850" spans="8:8" x14ac:dyDescent="0.3">
      <c r="H1850" t="str">
        <f t="shared" si="78"/>
        <v/>
      </c>
    </row>
    <row r="1851" spans="8:8" x14ac:dyDescent="0.3">
      <c r="H1851" t="str">
        <f t="shared" si="78"/>
        <v/>
      </c>
    </row>
    <row r="1852" spans="8:8" x14ac:dyDescent="0.3">
      <c r="H1852" t="str">
        <f t="shared" si="78"/>
        <v/>
      </c>
    </row>
    <row r="1853" spans="8:8" x14ac:dyDescent="0.3">
      <c r="H1853" t="str">
        <f t="shared" si="78"/>
        <v/>
      </c>
    </row>
    <row r="1854" spans="8:8" x14ac:dyDescent="0.3">
      <c r="H1854" t="str">
        <f t="shared" si="78"/>
        <v/>
      </c>
    </row>
    <row r="1855" spans="8:8" x14ac:dyDescent="0.3">
      <c r="H1855" t="str">
        <f t="shared" si="78"/>
        <v/>
      </c>
    </row>
    <row r="1856" spans="8:8" x14ac:dyDescent="0.3">
      <c r="H1856" t="str">
        <f t="shared" si="78"/>
        <v/>
      </c>
    </row>
    <row r="1857" spans="8:8" x14ac:dyDescent="0.3">
      <c r="H1857" t="str">
        <f t="shared" si="78"/>
        <v/>
      </c>
    </row>
    <row r="1858" spans="8:8" x14ac:dyDescent="0.3">
      <c r="H1858" t="str">
        <f t="shared" si="78"/>
        <v/>
      </c>
    </row>
    <row r="1859" spans="8:8" x14ac:dyDescent="0.3">
      <c r="H1859" t="str">
        <f t="shared" si="78"/>
        <v/>
      </c>
    </row>
    <row r="1860" spans="8:8" x14ac:dyDescent="0.3">
      <c r="H1860" t="str">
        <f t="shared" si="78"/>
        <v/>
      </c>
    </row>
    <row r="1861" spans="8:8" x14ac:dyDescent="0.3">
      <c r="H1861" t="str">
        <f t="shared" si="78"/>
        <v/>
      </c>
    </row>
    <row r="1862" spans="8:8" x14ac:dyDescent="0.3">
      <c r="H1862" t="str">
        <f t="shared" si="78"/>
        <v/>
      </c>
    </row>
    <row r="1863" spans="8:8" x14ac:dyDescent="0.3">
      <c r="H1863" t="str">
        <f t="shared" si="78"/>
        <v/>
      </c>
    </row>
    <row r="1864" spans="8:8" x14ac:dyDescent="0.3">
      <c r="H1864" t="str">
        <f t="shared" si="78"/>
        <v/>
      </c>
    </row>
    <row r="1865" spans="8:8" x14ac:dyDescent="0.3">
      <c r="H1865" t="str">
        <f t="shared" si="78"/>
        <v/>
      </c>
    </row>
    <row r="1866" spans="8:8" x14ac:dyDescent="0.3">
      <c r="H1866" t="str">
        <f t="shared" si="78"/>
        <v/>
      </c>
    </row>
    <row r="1867" spans="8:8" x14ac:dyDescent="0.3">
      <c r="H1867" t="str">
        <f t="shared" si="78"/>
        <v/>
      </c>
    </row>
    <row r="1868" spans="8:8" x14ac:dyDescent="0.3">
      <c r="H1868" t="str">
        <f t="shared" si="78"/>
        <v/>
      </c>
    </row>
    <row r="1869" spans="8:8" x14ac:dyDescent="0.3">
      <c r="H1869" t="str">
        <f t="shared" si="78"/>
        <v/>
      </c>
    </row>
    <row r="1870" spans="8:8" x14ac:dyDescent="0.3">
      <c r="H1870" t="str">
        <f t="shared" si="78"/>
        <v/>
      </c>
    </row>
    <row r="1871" spans="8:8" x14ac:dyDescent="0.3">
      <c r="H1871" t="str">
        <f t="shared" si="78"/>
        <v/>
      </c>
    </row>
    <row r="1872" spans="8:8" x14ac:dyDescent="0.3">
      <c r="H1872" t="str">
        <f t="shared" si="78"/>
        <v/>
      </c>
    </row>
    <row r="1873" spans="8:8" x14ac:dyDescent="0.3">
      <c r="H1873" t="str">
        <f t="shared" si="78"/>
        <v/>
      </c>
    </row>
    <row r="1874" spans="8:8" x14ac:dyDescent="0.3">
      <c r="H1874" t="str">
        <f t="shared" si="78"/>
        <v/>
      </c>
    </row>
    <row r="1875" spans="8:8" x14ac:dyDescent="0.3">
      <c r="H1875" t="str">
        <f t="shared" si="78"/>
        <v/>
      </c>
    </row>
    <row r="1876" spans="8:8" x14ac:dyDescent="0.3">
      <c r="H1876" t="str">
        <f t="shared" si="78"/>
        <v/>
      </c>
    </row>
    <row r="1877" spans="8:8" x14ac:dyDescent="0.3">
      <c r="H1877" t="str">
        <f t="shared" si="78"/>
        <v/>
      </c>
    </row>
    <row r="1878" spans="8:8" x14ac:dyDescent="0.3">
      <c r="H1878" t="str">
        <f t="shared" si="78"/>
        <v/>
      </c>
    </row>
    <row r="1879" spans="8:8" x14ac:dyDescent="0.3">
      <c r="H1879" t="str">
        <f t="shared" ref="H1879:H1942" si="79">IF(B1879="","",$C$12)</f>
        <v/>
      </c>
    </row>
    <row r="1880" spans="8:8" x14ac:dyDescent="0.3">
      <c r="H1880" t="str">
        <f t="shared" si="79"/>
        <v/>
      </c>
    </row>
    <row r="1881" spans="8:8" x14ac:dyDescent="0.3">
      <c r="H1881" t="str">
        <f t="shared" si="79"/>
        <v/>
      </c>
    </row>
    <row r="1882" spans="8:8" x14ac:dyDescent="0.3">
      <c r="H1882" t="str">
        <f t="shared" si="79"/>
        <v/>
      </c>
    </row>
    <row r="1883" spans="8:8" x14ac:dyDescent="0.3">
      <c r="H1883" t="str">
        <f t="shared" si="79"/>
        <v/>
      </c>
    </row>
    <row r="1884" spans="8:8" x14ac:dyDescent="0.3">
      <c r="H1884" t="str">
        <f t="shared" si="79"/>
        <v/>
      </c>
    </row>
    <row r="1885" spans="8:8" x14ac:dyDescent="0.3">
      <c r="H1885" t="str">
        <f t="shared" si="79"/>
        <v/>
      </c>
    </row>
    <row r="1886" spans="8:8" x14ac:dyDescent="0.3">
      <c r="H1886" t="str">
        <f t="shared" si="79"/>
        <v/>
      </c>
    </row>
    <row r="1887" spans="8:8" x14ac:dyDescent="0.3">
      <c r="H1887" t="str">
        <f t="shared" si="79"/>
        <v/>
      </c>
    </row>
    <row r="1888" spans="8:8" x14ac:dyDescent="0.3">
      <c r="H1888" t="str">
        <f t="shared" si="79"/>
        <v/>
      </c>
    </row>
    <row r="1889" spans="8:8" x14ac:dyDescent="0.3">
      <c r="H1889" t="str">
        <f t="shared" si="79"/>
        <v/>
      </c>
    </row>
    <row r="1890" spans="8:8" x14ac:dyDescent="0.3">
      <c r="H1890" t="str">
        <f t="shared" si="79"/>
        <v/>
      </c>
    </row>
    <row r="1891" spans="8:8" x14ac:dyDescent="0.3">
      <c r="H1891" t="str">
        <f t="shared" si="79"/>
        <v/>
      </c>
    </row>
    <row r="1892" spans="8:8" x14ac:dyDescent="0.3">
      <c r="H1892" t="str">
        <f t="shared" si="79"/>
        <v/>
      </c>
    </row>
    <row r="1893" spans="8:8" x14ac:dyDescent="0.3">
      <c r="H1893" t="str">
        <f t="shared" si="79"/>
        <v/>
      </c>
    </row>
    <row r="1894" spans="8:8" x14ac:dyDescent="0.3">
      <c r="H1894" t="str">
        <f t="shared" si="79"/>
        <v/>
      </c>
    </row>
    <row r="1895" spans="8:8" x14ac:dyDescent="0.3">
      <c r="H1895" t="str">
        <f t="shared" si="79"/>
        <v/>
      </c>
    </row>
    <row r="1896" spans="8:8" x14ac:dyDescent="0.3">
      <c r="H1896" t="str">
        <f t="shared" si="79"/>
        <v/>
      </c>
    </row>
    <row r="1897" spans="8:8" x14ac:dyDescent="0.3">
      <c r="H1897" t="str">
        <f t="shared" si="79"/>
        <v/>
      </c>
    </row>
    <row r="1898" spans="8:8" x14ac:dyDescent="0.3">
      <c r="H1898" t="str">
        <f t="shared" si="79"/>
        <v/>
      </c>
    </row>
    <row r="1899" spans="8:8" x14ac:dyDescent="0.3">
      <c r="H1899" t="str">
        <f t="shared" si="79"/>
        <v/>
      </c>
    </row>
    <row r="1900" spans="8:8" x14ac:dyDescent="0.3">
      <c r="H1900" t="str">
        <f t="shared" si="79"/>
        <v/>
      </c>
    </row>
    <row r="1901" spans="8:8" x14ac:dyDescent="0.3">
      <c r="H1901" t="str">
        <f t="shared" si="79"/>
        <v/>
      </c>
    </row>
    <row r="1902" spans="8:8" x14ac:dyDescent="0.3">
      <c r="H1902" t="str">
        <f t="shared" si="79"/>
        <v/>
      </c>
    </row>
    <row r="1903" spans="8:8" x14ac:dyDescent="0.3">
      <c r="H1903" t="str">
        <f t="shared" si="79"/>
        <v/>
      </c>
    </row>
    <row r="1904" spans="8:8" x14ac:dyDescent="0.3">
      <c r="H1904" t="str">
        <f t="shared" si="79"/>
        <v/>
      </c>
    </row>
    <row r="1905" spans="8:8" x14ac:dyDescent="0.3">
      <c r="H1905" t="str">
        <f t="shared" si="79"/>
        <v/>
      </c>
    </row>
    <row r="1906" spans="8:8" x14ac:dyDescent="0.3">
      <c r="H1906" t="str">
        <f t="shared" si="79"/>
        <v/>
      </c>
    </row>
    <row r="1907" spans="8:8" x14ac:dyDescent="0.3">
      <c r="H1907" t="str">
        <f t="shared" si="79"/>
        <v/>
      </c>
    </row>
    <row r="1908" spans="8:8" x14ac:dyDescent="0.3">
      <c r="H1908" t="str">
        <f t="shared" si="79"/>
        <v/>
      </c>
    </row>
    <row r="1909" spans="8:8" x14ac:dyDescent="0.3">
      <c r="H1909" t="str">
        <f t="shared" si="79"/>
        <v/>
      </c>
    </row>
    <row r="1910" spans="8:8" x14ac:dyDescent="0.3">
      <c r="H1910" t="str">
        <f t="shared" si="79"/>
        <v/>
      </c>
    </row>
    <row r="1911" spans="8:8" x14ac:dyDescent="0.3">
      <c r="H1911" t="str">
        <f t="shared" si="79"/>
        <v/>
      </c>
    </row>
    <row r="1912" spans="8:8" x14ac:dyDescent="0.3">
      <c r="H1912" t="str">
        <f t="shared" si="79"/>
        <v/>
      </c>
    </row>
    <row r="1913" spans="8:8" x14ac:dyDescent="0.3">
      <c r="H1913" t="str">
        <f t="shared" si="79"/>
        <v/>
      </c>
    </row>
    <row r="1914" spans="8:8" x14ac:dyDescent="0.3">
      <c r="H1914" t="str">
        <f t="shared" si="79"/>
        <v/>
      </c>
    </row>
    <row r="1915" spans="8:8" x14ac:dyDescent="0.3">
      <c r="H1915" t="str">
        <f t="shared" si="79"/>
        <v/>
      </c>
    </row>
    <row r="1916" spans="8:8" x14ac:dyDescent="0.3">
      <c r="H1916" t="str">
        <f t="shared" si="79"/>
        <v/>
      </c>
    </row>
    <row r="1917" spans="8:8" x14ac:dyDescent="0.3">
      <c r="H1917" t="str">
        <f t="shared" si="79"/>
        <v/>
      </c>
    </row>
    <row r="1918" spans="8:8" x14ac:dyDescent="0.3">
      <c r="H1918" t="str">
        <f t="shared" si="79"/>
        <v/>
      </c>
    </row>
    <row r="1919" spans="8:8" x14ac:dyDescent="0.3">
      <c r="H1919" t="str">
        <f t="shared" si="79"/>
        <v/>
      </c>
    </row>
    <row r="1920" spans="8:8" x14ac:dyDescent="0.3">
      <c r="H1920" t="str">
        <f t="shared" si="79"/>
        <v/>
      </c>
    </row>
    <row r="1921" spans="8:8" x14ac:dyDescent="0.3">
      <c r="H1921" t="str">
        <f t="shared" si="79"/>
        <v/>
      </c>
    </row>
    <row r="1922" spans="8:8" x14ac:dyDescent="0.3">
      <c r="H1922" t="str">
        <f t="shared" si="79"/>
        <v/>
      </c>
    </row>
    <row r="1923" spans="8:8" x14ac:dyDescent="0.3">
      <c r="H1923" t="str">
        <f t="shared" si="79"/>
        <v/>
      </c>
    </row>
    <row r="1924" spans="8:8" x14ac:dyDescent="0.3">
      <c r="H1924" t="str">
        <f t="shared" si="79"/>
        <v/>
      </c>
    </row>
    <row r="1925" spans="8:8" x14ac:dyDescent="0.3">
      <c r="H1925" t="str">
        <f t="shared" si="79"/>
        <v/>
      </c>
    </row>
    <row r="1926" spans="8:8" x14ac:dyDescent="0.3">
      <c r="H1926" t="str">
        <f t="shared" si="79"/>
        <v/>
      </c>
    </row>
    <row r="1927" spans="8:8" x14ac:dyDescent="0.3">
      <c r="H1927" t="str">
        <f t="shared" si="79"/>
        <v/>
      </c>
    </row>
    <row r="1928" spans="8:8" x14ac:dyDescent="0.3">
      <c r="H1928" t="str">
        <f t="shared" si="79"/>
        <v/>
      </c>
    </row>
    <row r="1929" spans="8:8" x14ac:dyDescent="0.3">
      <c r="H1929" t="str">
        <f t="shared" si="79"/>
        <v/>
      </c>
    </row>
    <row r="1930" spans="8:8" x14ac:dyDescent="0.3">
      <c r="H1930" t="str">
        <f t="shared" si="79"/>
        <v/>
      </c>
    </row>
    <row r="1931" spans="8:8" x14ac:dyDescent="0.3">
      <c r="H1931" t="str">
        <f t="shared" si="79"/>
        <v/>
      </c>
    </row>
    <row r="1932" spans="8:8" x14ac:dyDescent="0.3">
      <c r="H1932" t="str">
        <f t="shared" si="79"/>
        <v/>
      </c>
    </row>
    <row r="1933" spans="8:8" x14ac:dyDescent="0.3">
      <c r="H1933" t="str">
        <f t="shared" si="79"/>
        <v/>
      </c>
    </row>
    <row r="1934" spans="8:8" x14ac:dyDescent="0.3">
      <c r="H1934" t="str">
        <f t="shared" si="79"/>
        <v/>
      </c>
    </row>
    <row r="1935" spans="8:8" x14ac:dyDescent="0.3">
      <c r="H1935" t="str">
        <f t="shared" si="79"/>
        <v/>
      </c>
    </row>
    <row r="1936" spans="8:8" x14ac:dyDescent="0.3">
      <c r="H1936" t="str">
        <f t="shared" si="79"/>
        <v/>
      </c>
    </row>
    <row r="1937" spans="8:8" x14ac:dyDescent="0.3">
      <c r="H1937" t="str">
        <f t="shared" si="79"/>
        <v/>
      </c>
    </row>
    <row r="1938" spans="8:8" x14ac:dyDescent="0.3">
      <c r="H1938" t="str">
        <f t="shared" si="79"/>
        <v/>
      </c>
    </row>
    <row r="1939" spans="8:8" x14ac:dyDescent="0.3">
      <c r="H1939" t="str">
        <f t="shared" si="79"/>
        <v/>
      </c>
    </row>
    <row r="1940" spans="8:8" x14ac:dyDescent="0.3">
      <c r="H1940" t="str">
        <f t="shared" si="79"/>
        <v/>
      </c>
    </row>
    <row r="1941" spans="8:8" x14ac:dyDescent="0.3">
      <c r="H1941" t="str">
        <f t="shared" si="79"/>
        <v/>
      </c>
    </row>
    <row r="1942" spans="8:8" x14ac:dyDescent="0.3">
      <c r="H1942" t="str">
        <f t="shared" si="79"/>
        <v/>
      </c>
    </row>
    <row r="1943" spans="8:8" x14ac:dyDescent="0.3">
      <c r="H1943" t="str">
        <f t="shared" ref="H1943:H2006" si="80">IF(B1943="","",$C$12)</f>
        <v/>
      </c>
    </row>
    <row r="1944" spans="8:8" x14ac:dyDescent="0.3">
      <c r="H1944" t="str">
        <f t="shared" si="80"/>
        <v/>
      </c>
    </row>
    <row r="1945" spans="8:8" x14ac:dyDescent="0.3">
      <c r="H1945" t="str">
        <f t="shared" si="80"/>
        <v/>
      </c>
    </row>
    <row r="1946" spans="8:8" x14ac:dyDescent="0.3">
      <c r="H1946" t="str">
        <f t="shared" si="80"/>
        <v/>
      </c>
    </row>
    <row r="1947" spans="8:8" x14ac:dyDescent="0.3">
      <c r="H1947" t="str">
        <f t="shared" si="80"/>
        <v/>
      </c>
    </row>
    <row r="1948" spans="8:8" x14ac:dyDescent="0.3">
      <c r="H1948" t="str">
        <f t="shared" si="80"/>
        <v/>
      </c>
    </row>
    <row r="1949" spans="8:8" x14ac:dyDescent="0.3">
      <c r="H1949" t="str">
        <f t="shared" si="80"/>
        <v/>
      </c>
    </row>
    <row r="1950" spans="8:8" x14ac:dyDescent="0.3">
      <c r="H1950" t="str">
        <f t="shared" si="80"/>
        <v/>
      </c>
    </row>
    <row r="1951" spans="8:8" x14ac:dyDescent="0.3">
      <c r="H1951" t="str">
        <f t="shared" si="80"/>
        <v/>
      </c>
    </row>
    <row r="1952" spans="8:8" x14ac:dyDescent="0.3">
      <c r="H1952" t="str">
        <f t="shared" si="80"/>
        <v/>
      </c>
    </row>
    <row r="1953" spans="8:8" x14ac:dyDescent="0.3">
      <c r="H1953" t="str">
        <f t="shared" si="80"/>
        <v/>
      </c>
    </row>
    <row r="1954" spans="8:8" x14ac:dyDescent="0.3">
      <c r="H1954" t="str">
        <f t="shared" si="80"/>
        <v/>
      </c>
    </row>
    <row r="1955" spans="8:8" x14ac:dyDescent="0.3">
      <c r="H1955" t="str">
        <f t="shared" si="80"/>
        <v/>
      </c>
    </row>
    <row r="1956" spans="8:8" x14ac:dyDescent="0.3">
      <c r="H1956" t="str">
        <f t="shared" si="80"/>
        <v/>
      </c>
    </row>
    <row r="1957" spans="8:8" x14ac:dyDescent="0.3">
      <c r="H1957" t="str">
        <f t="shared" si="80"/>
        <v/>
      </c>
    </row>
    <row r="1958" spans="8:8" x14ac:dyDescent="0.3">
      <c r="H1958" t="str">
        <f t="shared" si="80"/>
        <v/>
      </c>
    </row>
    <row r="1959" spans="8:8" x14ac:dyDescent="0.3">
      <c r="H1959" t="str">
        <f t="shared" si="80"/>
        <v/>
      </c>
    </row>
    <row r="1960" spans="8:8" x14ac:dyDescent="0.3">
      <c r="H1960" t="str">
        <f t="shared" si="80"/>
        <v/>
      </c>
    </row>
    <row r="1961" spans="8:8" x14ac:dyDescent="0.3">
      <c r="H1961" t="str">
        <f t="shared" si="80"/>
        <v/>
      </c>
    </row>
    <row r="1962" spans="8:8" x14ac:dyDescent="0.3">
      <c r="H1962" t="str">
        <f t="shared" si="80"/>
        <v/>
      </c>
    </row>
    <row r="1963" spans="8:8" x14ac:dyDescent="0.3">
      <c r="H1963" t="str">
        <f t="shared" si="80"/>
        <v/>
      </c>
    </row>
    <row r="1964" spans="8:8" x14ac:dyDescent="0.3">
      <c r="H1964" t="str">
        <f t="shared" si="80"/>
        <v/>
      </c>
    </row>
    <row r="1965" spans="8:8" x14ac:dyDescent="0.3">
      <c r="H1965" t="str">
        <f t="shared" si="80"/>
        <v/>
      </c>
    </row>
    <row r="1966" spans="8:8" x14ac:dyDescent="0.3">
      <c r="H1966" t="str">
        <f t="shared" si="80"/>
        <v/>
      </c>
    </row>
    <row r="1967" spans="8:8" x14ac:dyDescent="0.3">
      <c r="H1967" t="str">
        <f t="shared" si="80"/>
        <v/>
      </c>
    </row>
    <row r="1968" spans="8:8" x14ac:dyDescent="0.3">
      <c r="H1968" t="str">
        <f t="shared" si="80"/>
        <v/>
      </c>
    </row>
    <row r="1969" spans="8:8" x14ac:dyDescent="0.3">
      <c r="H1969" t="str">
        <f t="shared" si="80"/>
        <v/>
      </c>
    </row>
    <row r="1970" spans="8:8" x14ac:dyDescent="0.3">
      <c r="H1970" t="str">
        <f t="shared" si="80"/>
        <v/>
      </c>
    </row>
    <row r="1971" spans="8:8" x14ac:dyDescent="0.3">
      <c r="H1971" t="str">
        <f t="shared" si="80"/>
        <v/>
      </c>
    </row>
    <row r="1972" spans="8:8" x14ac:dyDescent="0.3">
      <c r="H1972" t="str">
        <f t="shared" si="80"/>
        <v/>
      </c>
    </row>
    <row r="1973" spans="8:8" x14ac:dyDescent="0.3">
      <c r="H1973" t="str">
        <f t="shared" si="80"/>
        <v/>
      </c>
    </row>
    <row r="1974" spans="8:8" x14ac:dyDescent="0.3">
      <c r="H1974" t="str">
        <f t="shared" si="80"/>
        <v/>
      </c>
    </row>
    <row r="1975" spans="8:8" x14ac:dyDescent="0.3">
      <c r="H1975" t="str">
        <f t="shared" si="80"/>
        <v/>
      </c>
    </row>
    <row r="1976" spans="8:8" x14ac:dyDescent="0.3">
      <c r="H1976" t="str">
        <f t="shared" si="80"/>
        <v/>
      </c>
    </row>
    <row r="1977" spans="8:8" x14ac:dyDescent="0.3">
      <c r="H1977" t="str">
        <f t="shared" si="80"/>
        <v/>
      </c>
    </row>
    <row r="1978" spans="8:8" x14ac:dyDescent="0.3">
      <c r="H1978" t="str">
        <f t="shared" si="80"/>
        <v/>
      </c>
    </row>
    <row r="1979" spans="8:8" x14ac:dyDescent="0.3">
      <c r="H1979" t="str">
        <f t="shared" si="80"/>
        <v/>
      </c>
    </row>
    <row r="1980" spans="8:8" x14ac:dyDescent="0.3">
      <c r="H1980" t="str">
        <f t="shared" si="80"/>
        <v/>
      </c>
    </row>
    <row r="1981" spans="8:8" x14ac:dyDescent="0.3">
      <c r="H1981" t="str">
        <f t="shared" si="80"/>
        <v/>
      </c>
    </row>
    <row r="1982" spans="8:8" x14ac:dyDescent="0.3">
      <c r="H1982" t="str">
        <f t="shared" si="80"/>
        <v/>
      </c>
    </row>
    <row r="1983" spans="8:8" x14ac:dyDescent="0.3">
      <c r="H1983" t="str">
        <f t="shared" si="80"/>
        <v/>
      </c>
    </row>
    <row r="1984" spans="8:8" x14ac:dyDescent="0.3">
      <c r="H1984" t="str">
        <f t="shared" si="80"/>
        <v/>
      </c>
    </row>
    <row r="1985" spans="8:8" x14ac:dyDescent="0.3">
      <c r="H1985" t="str">
        <f t="shared" si="80"/>
        <v/>
      </c>
    </row>
    <row r="1986" spans="8:8" x14ac:dyDescent="0.3">
      <c r="H1986" t="str">
        <f t="shared" si="80"/>
        <v/>
      </c>
    </row>
    <row r="1987" spans="8:8" x14ac:dyDescent="0.3">
      <c r="H1987" t="str">
        <f t="shared" si="80"/>
        <v/>
      </c>
    </row>
    <row r="1988" spans="8:8" x14ac:dyDescent="0.3">
      <c r="H1988" t="str">
        <f t="shared" si="80"/>
        <v/>
      </c>
    </row>
    <row r="1989" spans="8:8" x14ac:dyDescent="0.3">
      <c r="H1989" t="str">
        <f t="shared" si="80"/>
        <v/>
      </c>
    </row>
    <row r="1990" spans="8:8" x14ac:dyDescent="0.3">
      <c r="H1990" t="str">
        <f t="shared" si="80"/>
        <v/>
      </c>
    </row>
    <row r="1991" spans="8:8" x14ac:dyDescent="0.3">
      <c r="H1991" t="str">
        <f t="shared" si="80"/>
        <v/>
      </c>
    </row>
    <row r="1992" spans="8:8" x14ac:dyDescent="0.3">
      <c r="H1992" t="str">
        <f t="shared" si="80"/>
        <v/>
      </c>
    </row>
    <row r="1993" spans="8:8" x14ac:dyDescent="0.3">
      <c r="H1993" t="str">
        <f t="shared" si="80"/>
        <v/>
      </c>
    </row>
    <row r="1994" spans="8:8" x14ac:dyDescent="0.3">
      <c r="H1994" t="str">
        <f t="shared" si="80"/>
        <v/>
      </c>
    </row>
    <row r="1995" spans="8:8" x14ac:dyDescent="0.3">
      <c r="H1995" t="str">
        <f t="shared" si="80"/>
        <v/>
      </c>
    </row>
    <row r="1996" spans="8:8" x14ac:dyDescent="0.3">
      <c r="H1996" t="str">
        <f t="shared" si="80"/>
        <v/>
      </c>
    </row>
    <row r="1997" spans="8:8" x14ac:dyDescent="0.3">
      <c r="H1997" t="str">
        <f t="shared" si="80"/>
        <v/>
      </c>
    </row>
    <row r="1998" spans="8:8" x14ac:dyDescent="0.3">
      <c r="H1998" t="str">
        <f t="shared" si="80"/>
        <v/>
      </c>
    </row>
    <row r="1999" spans="8:8" x14ac:dyDescent="0.3">
      <c r="H1999" t="str">
        <f t="shared" si="80"/>
        <v/>
      </c>
    </row>
    <row r="2000" spans="8:8" x14ac:dyDescent="0.3">
      <c r="H2000" t="str">
        <f t="shared" si="80"/>
        <v/>
      </c>
    </row>
    <row r="2001" spans="8:8" x14ac:dyDescent="0.3">
      <c r="H2001" t="str">
        <f t="shared" si="80"/>
        <v/>
      </c>
    </row>
    <row r="2002" spans="8:8" x14ac:dyDescent="0.3">
      <c r="H2002" t="str">
        <f t="shared" si="80"/>
        <v/>
      </c>
    </row>
    <row r="2003" spans="8:8" x14ac:dyDescent="0.3">
      <c r="H2003" t="str">
        <f t="shared" si="80"/>
        <v/>
      </c>
    </row>
    <row r="2004" spans="8:8" x14ac:dyDescent="0.3">
      <c r="H2004" t="str">
        <f t="shared" si="80"/>
        <v/>
      </c>
    </row>
    <row r="2005" spans="8:8" x14ac:dyDescent="0.3">
      <c r="H2005" t="str">
        <f t="shared" si="80"/>
        <v/>
      </c>
    </row>
    <row r="2006" spans="8:8" x14ac:dyDescent="0.3">
      <c r="H2006" t="str">
        <f t="shared" si="80"/>
        <v/>
      </c>
    </row>
    <row r="2007" spans="8:8" x14ac:dyDescent="0.3">
      <c r="H2007" t="str">
        <f t="shared" ref="H2007:H2070" si="81">IF(B2007="","",$C$12)</f>
        <v/>
      </c>
    </row>
    <row r="2008" spans="8:8" x14ac:dyDescent="0.3">
      <c r="H2008" t="str">
        <f t="shared" si="81"/>
        <v/>
      </c>
    </row>
    <row r="2009" spans="8:8" x14ac:dyDescent="0.3">
      <c r="H2009" t="str">
        <f t="shared" si="81"/>
        <v/>
      </c>
    </row>
    <row r="2010" spans="8:8" x14ac:dyDescent="0.3">
      <c r="H2010" t="str">
        <f t="shared" si="81"/>
        <v/>
      </c>
    </row>
    <row r="2011" spans="8:8" x14ac:dyDescent="0.3">
      <c r="H2011" t="str">
        <f t="shared" si="81"/>
        <v/>
      </c>
    </row>
    <row r="2012" spans="8:8" x14ac:dyDescent="0.3">
      <c r="H2012" t="str">
        <f t="shared" si="81"/>
        <v/>
      </c>
    </row>
    <row r="2013" spans="8:8" x14ac:dyDescent="0.3">
      <c r="H2013" t="str">
        <f t="shared" si="81"/>
        <v/>
      </c>
    </row>
    <row r="2014" spans="8:8" x14ac:dyDescent="0.3">
      <c r="H2014" t="str">
        <f t="shared" si="81"/>
        <v/>
      </c>
    </row>
    <row r="2015" spans="8:8" x14ac:dyDescent="0.3">
      <c r="H2015" t="str">
        <f t="shared" si="81"/>
        <v/>
      </c>
    </row>
    <row r="2016" spans="8:8" x14ac:dyDescent="0.3">
      <c r="H2016" t="str">
        <f t="shared" si="81"/>
        <v/>
      </c>
    </row>
    <row r="2017" spans="8:8" x14ac:dyDescent="0.3">
      <c r="H2017" t="str">
        <f t="shared" si="81"/>
        <v/>
      </c>
    </row>
    <row r="2018" spans="8:8" x14ac:dyDescent="0.3">
      <c r="H2018" t="str">
        <f t="shared" si="81"/>
        <v/>
      </c>
    </row>
    <row r="2019" spans="8:8" x14ac:dyDescent="0.3">
      <c r="H2019" t="str">
        <f t="shared" si="81"/>
        <v/>
      </c>
    </row>
    <row r="2020" spans="8:8" x14ac:dyDescent="0.3">
      <c r="H2020" t="str">
        <f t="shared" si="81"/>
        <v/>
      </c>
    </row>
    <row r="2021" spans="8:8" x14ac:dyDescent="0.3">
      <c r="H2021" t="str">
        <f t="shared" si="81"/>
        <v/>
      </c>
    </row>
    <row r="2022" spans="8:8" x14ac:dyDescent="0.3">
      <c r="H2022" t="str">
        <f t="shared" si="81"/>
        <v/>
      </c>
    </row>
    <row r="2023" spans="8:8" x14ac:dyDescent="0.3">
      <c r="H2023" t="str">
        <f t="shared" si="81"/>
        <v/>
      </c>
    </row>
    <row r="2024" spans="8:8" x14ac:dyDescent="0.3">
      <c r="H2024" t="str">
        <f t="shared" si="81"/>
        <v/>
      </c>
    </row>
    <row r="2025" spans="8:8" x14ac:dyDescent="0.3">
      <c r="H2025" t="str">
        <f t="shared" si="81"/>
        <v/>
      </c>
    </row>
    <row r="2026" spans="8:8" x14ac:dyDescent="0.3">
      <c r="H2026" t="str">
        <f t="shared" si="81"/>
        <v/>
      </c>
    </row>
    <row r="2027" spans="8:8" x14ac:dyDescent="0.3">
      <c r="H2027" t="str">
        <f t="shared" si="81"/>
        <v/>
      </c>
    </row>
    <row r="2028" spans="8:8" x14ac:dyDescent="0.3">
      <c r="H2028" t="str">
        <f t="shared" si="81"/>
        <v/>
      </c>
    </row>
    <row r="2029" spans="8:8" x14ac:dyDescent="0.3">
      <c r="H2029" t="str">
        <f t="shared" si="81"/>
        <v/>
      </c>
    </row>
    <row r="2030" spans="8:8" x14ac:dyDescent="0.3">
      <c r="H2030" t="str">
        <f t="shared" si="81"/>
        <v/>
      </c>
    </row>
    <row r="2031" spans="8:8" x14ac:dyDescent="0.3">
      <c r="H2031" t="str">
        <f t="shared" si="81"/>
        <v/>
      </c>
    </row>
    <row r="2032" spans="8:8" x14ac:dyDescent="0.3">
      <c r="H2032" t="str">
        <f t="shared" si="81"/>
        <v/>
      </c>
    </row>
    <row r="2033" spans="8:8" x14ac:dyDescent="0.3">
      <c r="H2033" t="str">
        <f t="shared" si="81"/>
        <v/>
      </c>
    </row>
    <row r="2034" spans="8:8" x14ac:dyDescent="0.3">
      <c r="H2034" t="str">
        <f t="shared" si="81"/>
        <v/>
      </c>
    </row>
    <row r="2035" spans="8:8" x14ac:dyDescent="0.3">
      <c r="H2035" t="str">
        <f t="shared" si="81"/>
        <v/>
      </c>
    </row>
    <row r="2036" spans="8:8" x14ac:dyDescent="0.3">
      <c r="H2036" t="str">
        <f t="shared" si="81"/>
        <v/>
      </c>
    </row>
    <row r="2037" spans="8:8" x14ac:dyDescent="0.3">
      <c r="H2037" t="str">
        <f t="shared" si="81"/>
        <v/>
      </c>
    </row>
    <row r="2038" spans="8:8" x14ac:dyDescent="0.3">
      <c r="H2038" t="str">
        <f t="shared" si="81"/>
        <v/>
      </c>
    </row>
    <row r="2039" spans="8:8" x14ac:dyDescent="0.3">
      <c r="H2039" t="str">
        <f t="shared" si="81"/>
        <v/>
      </c>
    </row>
    <row r="2040" spans="8:8" x14ac:dyDescent="0.3">
      <c r="H2040" t="str">
        <f t="shared" si="81"/>
        <v/>
      </c>
    </row>
    <row r="2041" spans="8:8" x14ac:dyDescent="0.3">
      <c r="H2041" t="str">
        <f t="shared" si="81"/>
        <v/>
      </c>
    </row>
    <row r="2042" spans="8:8" x14ac:dyDescent="0.3">
      <c r="H2042" t="str">
        <f t="shared" si="81"/>
        <v/>
      </c>
    </row>
    <row r="2043" spans="8:8" x14ac:dyDescent="0.3">
      <c r="H2043" t="str">
        <f t="shared" si="81"/>
        <v/>
      </c>
    </row>
    <row r="2044" spans="8:8" x14ac:dyDescent="0.3">
      <c r="H2044" t="str">
        <f t="shared" si="81"/>
        <v/>
      </c>
    </row>
    <row r="2045" spans="8:8" x14ac:dyDescent="0.3">
      <c r="H2045" t="str">
        <f t="shared" si="81"/>
        <v/>
      </c>
    </row>
    <row r="2046" spans="8:8" x14ac:dyDescent="0.3">
      <c r="H2046" t="str">
        <f t="shared" si="81"/>
        <v/>
      </c>
    </row>
    <row r="2047" spans="8:8" x14ac:dyDescent="0.3">
      <c r="H2047" t="str">
        <f t="shared" si="81"/>
        <v/>
      </c>
    </row>
    <row r="2048" spans="8:8" x14ac:dyDescent="0.3">
      <c r="H2048" t="str">
        <f t="shared" si="81"/>
        <v/>
      </c>
    </row>
    <row r="2049" spans="8:8" x14ac:dyDescent="0.3">
      <c r="H2049" t="str">
        <f t="shared" si="81"/>
        <v/>
      </c>
    </row>
    <row r="2050" spans="8:8" x14ac:dyDescent="0.3">
      <c r="H2050" t="str">
        <f t="shared" si="81"/>
        <v/>
      </c>
    </row>
    <row r="2051" spans="8:8" x14ac:dyDescent="0.3">
      <c r="H2051" t="str">
        <f t="shared" si="81"/>
        <v/>
      </c>
    </row>
    <row r="2052" spans="8:8" x14ac:dyDescent="0.3">
      <c r="H2052" t="str">
        <f t="shared" si="81"/>
        <v/>
      </c>
    </row>
    <row r="2053" spans="8:8" x14ac:dyDescent="0.3">
      <c r="H2053" t="str">
        <f t="shared" si="81"/>
        <v/>
      </c>
    </row>
    <row r="2054" spans="8:8" x14ac:dyDescent="0.3">
      <c r="H2054" t="str">
        <f t="shared" si="81"/>
        <v/>
      </c>
    </row>
    <row r="2055" spans="8:8" x14ac:dyDescent="0.3">
      <c r="H2055" t="str">
        <f t="shared" si="81"/>
        <v/>
      </c>
    </row>
    <row r="2056" spans="8:8" x14ac:dyDescent="0.3">
      <c r="H2056" t="str">
        <f t="shared" si="81"/>
        <v/>
      </c>
    </row>
    <row r="2057" spans="8:8" x14ac:dyDescent="0.3">
      <c r="H2057" t="str">
        <f t="shared" si="81"/>
        <v/>
      </c>
    </row>
    <row r="2058" spans="8:8" x14ac:dyDescent="0.3">
      <c r="H2058" t="str">
        <f t="shared" si="81"/>
        <v/>
      </c>
    </row>
    <row r="2059" spans="8:8" x14ac:dyDescent="0.3">
      <c r="H2059" t="str">
        <f t="shared" si="81"/>
        <v/>
      </c>
    </row>
    <row r="2060" spans="8:8" x14ac:dyDescent="0.3">
      <c r="H2060" t="str">
        <f t="shared" si="81"/>
        <v/>
      </c>
    </row>
    <row r="2061" spans="8:8" x14ac:dyDescent="0.3">
      <c r="H2061" t="str">
        <f t="shared" si="81"/>
        <v/>
      </c>
    </row>
    <row r="2062" spans="8:8" x14ac:dyDescent="0.3">
      <c r="H2062" t="str">
        <f t="shared" si="81"/>
        <v/>
      </c>
    </row>
    <row r="2063" spans="8:8" x14ac:dyDescent="0.3">
      <c r="H2063" t="str">
        <f t="shared" si="81"/>
        <v/>
      </c>
    </row>
    <row r="2064" spans="8:8" x14ac:dyDescent="0.3">
      <c r="H2064" t="str">
        <f t="shared" si="81"/>
        <v/>
      </c>
    </row>
    <row r="2065" spans="8:8" x14ac:dyDescent="0.3">
      <c r="H2065" t="str">
        <f t="shared" si="81"/>
        <v/>
      </c>
    </row>
    <row r="2066" spans="8:8" x14ac:dyDescent="0.3">
      <c r="H2066" t="str">
        <f t="shared" si="81"/>
        <v/>
      </c>
    </row>
    <row r="2067" spans="8:8" x14ac:dyDescent="0.3">
      <c r="H2067" t="str">
        <f t="shared" si="81"/>
        <v/>
      </c>
    </row>
    <row r="2068" spans="8:8" x14ac:dyDescent="0.3">
      <c r="H2068" t="str">
        <f t="shared" si="81"/>
        <v/>
      </c>
    </row>
    <row r="2069" spans="8:8" x14ac:dyDescent="0.3">
      <c r="H2069" t="str">
        <f t="shared" si="81"/>
        <v/>
      </c>
    </row>
    <row r="2070" spans="8:8" x14ac:dyDescent="0.3">
      <c r="H2070" t="str">
        <f t="shared" si="81"/>
        <v/>
      </c>
    </row>
    <row r="2071" spans="8:8" x14ac:dyDescent="0.3">
      <c r="H2071" t="str">
        <f t="shared" ref="H2071:H2134" si="82">IF(B2071="","",$C$12)</f>
        <v/>
      </c>
    </row>
    <row r="2072" spans="8:8" x14ac:dyDescent="0.3">
      <c r="H2072" t="str">
        <f t="shared" si="82"/>
        <v/>
      </c>
    </row>
    <row r="2073" spans="8:8" x14ac:dyDescent="0.3">
      <c r="H2073" t="str">
        <f t="shared" si="82"/>
        <v/>
      </c>
    </row>
    <row r="2074" spans="8:8" x14ac:dyDescent="0.3">
      <c r="H2074" t="str">
        <f t="shared" si="82"/>
        <v/>
      </c>
    </row>
    <row r="2075" spans="8:8" x14ac:dyDescent="0.3">
      <c r="H2075" t="str">
        <f t="shared" si="82"/>
        <v/>
      </c>
    </row>
    <row r="2076" spans="8:8" x14ac:dyDescent="0.3">
      <c r="H2076" t="str">
        <f t="shared" si="82"/>
        <v/>
      </c>
    </row>
    <row r="2077" spans="8:8" x14ac:dyDescent="0.3">
      <c r="H2077" t="str">
        <f t="shared" si="82"/>
        <v/>
      </c>
    </row>
    <row r="2078" spans="8:8" x14ac:dyDescent="0.3">
      <c r="H2078" t="str">
        <f t="shared" si="82"/>
        <v/>
      </c>
    </row>
    <row r="2079" spans="8:8" x14ac:dyDescent="0.3">
      <c r="H2079" t="str">
        <f t="shared" si="82"/>
        <v/>
      </c>
    </row>
    <row r="2080" spans="8:8" x14ac:dyDescent="0.3">
      <c r="H2080" t="str">
        <f t="shared" si="82"/>
        <v/>
      </c>
    </row>
    <row r="2081" spans="8:8" x14ac:dyDescent="0.3">
      <c r="H2081" t="str">
        <f t="shared" si="82"/>
        <v/>
      </c>
    </row>
    <row r="2082" spans="8:8" x14ac:dyDescent="0.3">
      <c r="H2082" t="str">
        <f t="shared" si="82"/>
        <v/>
      </c>
    </row>
    <row r="2083" spans="8:8" x14ac:dyDescent="0.3">
      <c r="H2083" t="str">
        <f t="shared" si="82"/>
        <v/>
      </c>
    </row>
    <row r="2084" spans="8:8" x14ac:dyDescent="0.3">
      <c r="H2084" t="str">
        <f t="shared" si="82"/>
        <v/>
      </c>
    </row>
    <row r="2085" spans="8:8" x14ac:dyDescent="0.3">
      <c r="H2085" t="str">
        <f t="shared" si="82"/>
        <v/>
      </c>
    </row>
    <row r="2086" spans="8:8" x14ac:dyDescent="0.3">
      <c r="H2086" t="str">
        <f t="shared" si="82"/>
        <v/>
      </c>
    </row>
    <row r="2087" spans="8:8" x14ac:dyDescent="0.3">
      <c r="H2087" t="str">
        <f t="shared" si="82"/>
        <v/>
      </c>
    </row>
    <row r="2088" spans="8:8" x14ac:dyDescent="0.3">
      <c r="H2088" t="str">
        <f t="shared" si="82"/>
        <v/>
      </c>
    </row>
    <row r="2089" spans="8:8" x14ac:dyDescent="0.3">
      <c r="H2089" t="str">
        <f t="shared" si="82"/>
        <v/>
      </c>
    </row>
    <row r="2090" spans="8:8" x14ac:dyDescent="0.3">
      <c r="H2090" t="str">
        <f t="shared" si="82"/>
        <v/>
      </c>
    </row>
    <row r="2091" spans="8:8" x14ac:dyDescent="0.3">
      <c r="H2091" t="str">
        <f t="shared" si="82"/>
        <v/>
      </c>
    </row>
    <row r="2092" spans="8:8" x14ac:dyDescent="0.3">
      <c r="H2092" t="str">
        <f t="shared" si="82"/>
        <v/>
      </c>
    </row>
    <row r="2093" spans="8:8" x14ac:dyDescent="0.3">
      <c r="H2093" t="str">
        <f t="shared" si="82"/>
        <v/>
      </c>
    </row>
    <row r="2094" spans="8:8" x14ac:dyDescent="0.3">
      <c r="H2094" t="str">
        <f t="shared" si="82"/>
        <v/>
      </c>
    </row>
    <row r="2095" spans="8:8" x14ac:dyDescent="0.3">
      <c r="H2095" t="str">
        <f t="shared" si="82"/>
        <v/>
      </c>
    </row>
    <row r="2096" spans="8:8" x14ac:dyDescent="0.3">
      <c r="H2096" t="str">
        <f t="shared" si="82"/>
        <v/>
      </c>
    </row>
    <row r="2097" spans="8:8" x14ac:dyDescent="0.3">
      <c r="H2097" t="str">
        <f t="shared" si="82"/>
        <v/>
      </c>
    </row>
    <row r="2098" spans="8:8" x14ac:dyDescent="0.3">
      <c r="H2098" t="str">
        <f t="shared" si="82"/>
        <v/>
      </c>
    </row>
    <row r="2099" spans="8:8" x14ac:dyDescent="0.3">
      <c r="H2099" t="str">
        <f t="shared" si="82"/>
        <v/>
      </c>
    </row>
    <row r="2100" spans="8:8" x14ac:dyDescent="0.3">
      <c r="H2100" t="str">
        <f t="shared" si="82"/>
        <v/>
      </c>
    </row>
    <row r="2101" spans="8:8" x14ac:dyDescent="0.3">
      <c r="H2101" t="str">
        <f t="shared" si="82"/>
        <v/>
      </c>
    </row>
    <row r="2102" spans="8:8" x14ac:dyDescent="0.3">
      <c r="H2102" t="str">
        <f t="shared" si="82"/>
        <v/>
      </c>
    </row>
    <row r="2103" spans="8:8" x14ac:dyDescent="0.3">
      <c r="H2103" t="str">
        <f t="shared" si="82"/>
        <v/>
      </c>
    </row>
    <row r="2104" spans="8:8" x14ac:dyDescent="0.3">
      <c r="H2104" t="str">
        <f t="shared" si="82"/>
        <v/>
      </c>
    </row>
    <row r="2105" spans="8:8" x14ac:dyDescent="0.3">
      <c r="H2105" t="str">
        <f t="shared" si="82"/>
        <v/>
      </c>
    </row>
    <row r="2106" spans="8:8" x14ac:dyDescent="0.3">
      <c r="H2106" t="str">
        <f t="shared" si="82"/>
        <v/>
      </c>
    </row>
    <row r="2107" spans="8:8" x14ac:dyDescent="0.3">
      <c r="H2107" t="str">
        <f t="shared" si="82"/>
        <v/>
      </c>
    </row>
    <row r="2108" spans="8:8" x14ac:dyDescent="0.3">
      <c r="H2108" t="str">
        <f t="shared" si="82"/>
        <v/>
      </c>
    </row>
    <row r="2109" spans="8:8" x14ac:dyDescent="0.3">
      <c r="H2109" t="str">
        <f t="shared" si="82"/>
        <v/>
      </c>
    </row>
    <row r="2110" spans="8:8" x14ac:dyDescent="0.3">
      <c r="H2110" t="str">
        <f t="shared" si="82"/>
        <v/>
      </c>
    </row>
    <row r="2111" spans="8:8" x14ac:dyDescent="0.3">
      <c r="H2111" t="str">
        <f t="shared" si="82"/>
        <v/>
      </c>
    </row>
    <row r="2112" spans="8:8" x14ac:dyDescent="0.3">
      <c r="H2112" t="str">
        <f t="shared" si="82"/>
        <v/>
      </c>
    </row>
    <row r="2113" spans="8:8" x14ac:dyDescent="0.3">
      <c r="H2113" t="str">
        <f t="shared" si="82"/>
        <v/>
      </c>
    </row>
    <row r="2114" spans="8:8" x14ac:dyDescent="0.3">
      <c r="H2114" t="str">
        <f t="shared" si="82"/>
        <v/>
      </c>
    </row>
    <row r="2115" spans="8:8" x14ac:dyDescent="0.3">
      <c r="H2115" t="str">
        <f t="shared" si="82"/>
        <v/>
      </c>
    </row>
    <row r="2116" spans="8:8" x14ac:dyDescent="0.3">
      <c r="H2116" t="str">
        <f t="shared" si="82"/>
        <v/>
      </c>
    </row>
    <row r="2117" spans="8:8" x14ac:dyDescent="0.3">
      <c r="H2117" t="str">
        <f t="shared" si="82"/>
        <v/>
      </c>
    </row>
    <row r="2118" spans="8:8" x14ac:dyDescent="0.3">
      <c r="H2118" t="str">
        <f t="shared" si="82"/>
        <v/>
      </c>
    </row>
    <row r="2119" spans="8:8" x14ac:dyDescent="0.3">
      <c r="H2119" t="str">
        <f t="shared" si="82"/>
        <v/>
      </c>
    </row>
    <row r="2120" spans="8:8" x14ac:dyDescent="0.3">
      <c r="H2120" t="str">
        <f t="shared" si="82"/>
        <v/>
      </c>
    </row>
    <row r="2121" spans="8:8" x14ac:dyDescent="0.3">
      <c r="H2121" t="str">
        <f t="shared" si="82"/>
        <v/>
      </c>
    </row>
    <row r="2122" spans="8:8" x14ac:dyDescent="0.3">
      <c r="H2122" t="str">
        <f t="shared" si="82"/>
        <v/>
      </c>
    </row>
    <row r="2123" spans="8:8" x14ac:dyDescent="0.3">
      <c r="H2123" t="str">
        <f t="shared" si="82"/>
        <v/>
      </c>
    </row>
    <row r="2124" spans="8:8" x14ac:dyDescent="0.3">
      <c r="H2124" t="str">
        <f t="shared" si="82"/>
        <v/>
      </c>
    </row>
    <row r="2125" spans="8:8" x14ac:dyDescent="0.3">
      <c r="H2125" t="str">
        <f t="shared" si="82"/>
        <v/>
      </c>
    </row>
    <row r="2126" spans="8:8" x14ac:dyDescent="0.3">
      <c r="H2126" t="str">
        <f t="shared" si="82"/>
        <v/>
      </c>
    </row>
    <row r="2127" spans="8:8" x14ac:dyDescent="0.3">
      <c r="H2127" t="str">
        <f t="shared" si="82"/>
        <v/>
      </c>
    </row>
    <row r="2128" spans="8:8" x14ac:dyDescent="0.3">
      <c r="H2128" t="str">
        <f t="shared" si="82"/>
        <v/>
      </c>
    </row>
    <row r="2129" spans="8:8" x14ac:dyDescent="0.3">
      <c r="H2129" t="str">
        <f t="shared" si="82"/>
        <v/>
      </c>
    </row>
    <row r="2130" spans="8:8" x14ac:dyDescent="0.3">
      <c r="H2130" t="str">
        <f t="shared" si="82"/>
        <v/>
      </c>
    </row>
    <row r="2131" spans="8:8" x14ac:dyDescent="0.3">
      <c r="H2131" t="str">
        <f t="shared" si="82"/>
        <v/>
      </c>
    </row>
    <row r="2132" spans="8:8" x14ac:dyDescent="0.3">
      <c r="H2132" t="str">
        <f t="shared" si="82"/>
        <v/>
      </c>
    </row>
    <row r="2133" spans="8:8" x14ac:dyDescent="0.3">
      <c r="H2133" t="str">
        <f t="shared" si="82"/>
        <v/>
      </c>
    </row>
    <row r="2134" spans="8:8" x14ac:dyDescent="0.3">
      <c r="H2134" t="str">
        <f t="shared" si="82"/>
        <v/>
      </c>
    </row>
    <row r="2135" spans="8:8" x14ac:dyDescent="0.3">
      <c r="H2135" t="str">
        <f t="shared" ref="H2135:H2198" si="83">IF(B2135="","",$C$12)</f>
        <v/>
      </c>
    </row>
    <row r="2136" spans="8:8" x14ac:dyDescent="0.3">
      <c r="H2136" t="str">
        <f t="shared" si="83"/>
        <v/>
      </c>
    </row>
    <row r="2137" spans="8:8" x14ac:dyDescent="0.3">
      <c r="H2137" t="str">
        <f t="shared" si="83"/>
        <v/>
      </c>
    </row>
    <row r="2138" spans="8:8" x14ac:dyDescent="0.3">
      <c r="H2138" t="str">
        <f t="shared" si="83"/>
        <v/>
      </c>
    </row>
    <row r="2139" spans="8:8" x14ac:dyDescent="0.3">
      <c r="H2139" t="str">
        <f t="shared" si="83"/>
        <v/>
      </c>
    </row>
    <row r="2140" spans="8:8" x14ac:dyDescent="0.3">
      <c r="H2140" t="str">
        <f t="shared" si="83"/>
        <v/>
      </c>
    </row>
    <row r="2141" spans="8:8" x14ac:dyDescent="0.3">
      <c r="H2141" t="str">
        <f t="shared" si="83"/>
        <v/>
      </c>
    </row>
    <row r="2142" spans="8:8" x14ac:dyDescent="0.3">
      <c r="H2142" t="str">
        <f t="shared" si="83"/>
        <v/>
      </c>
    </row>
    <row r="2143" spans="8:8" x14ac:dyDescent="0.3">
      <c r="H2143" t="str">
        <f t="shared" si="83"/>
        <v/>
      </c>
    </row>
    <row r="2144" spans="8:8" x14ac:dyDescent="0.3">
      <c r="H2144" t="str">
        <f t="shared" si="83"/>
        <v/>
      </c>
    </row>
    <row r="2145" spans="8:8" x14ac:dyDescent="0.3">
      <c r="H2145" t="str">
        <f t="shared" si="83"/>
        <v/>
      </c>
    </row>
    <row r="2146" spans="8:8" x14ac:dyDescent="0.3">
      <c r="H2146" t="str">
        <f t="shared" si="83"/>
        <v/>
      </c>
    </row>
    <row r="2147" spans="8:8" x14ac:dyDescent="0.3">
      <c r="H2147" t="str">
        <f t="shared" si="83"/>
        <v/>
      </c>
    </row>
    <row r="2148" spans="8:8" x14ac:dyDescent="0.3">
      <c r="H2148" t="str">
        <f t="shared" si="83"/>
        <v/>
      </c>
    </row>
    <row r="2149" spans="8:8" x14ac:dyDescent="0.3">
      <c r="H2149" t="str">
        <f t="shared" si="83"/>
        <v/>
      </c>
    </row>
    <row r="2150" spans="8:8" x14ac:dyDescent="0.3">
      <c r="H2150" t="str">
        <f t="shared" si="83"/>
        <v/>
      </c>
    </row>
    <row r="2151" spans="8:8" x14ac:dyDescent="0.3">
      <c r="H2151" t="str">
        <f t="shared" si="83"/>
        <v/>
      </c>
    </row>
    <row r="2152" spans="8:8" x14ac:dyDescent="0.3">
      <c r="H2152" t="str">
        <f t="shared" si="83"/>
        <v/>
      </c>
    </row>
    <row r="2153" spans="8:8" x14ac:dyDescent="0.3">
      <c r="H2153" t="str">
        <f t="shared" si="83"/>
        <v/>
      </c>
    </row>
    <row r="2154" spans="8:8" x14ac:dyDescent="0.3">
      <c r="H2154" t="str">
        <f t="shared" si="83"/>
        <v/>
      </c>
    </row>
    <row r="2155" spans="8:8" x14ac:dyDescent="0.3">
      <c r="H2155" t="str">
        <f t="shared" si="83"/>
        <v/>
      </c>
    </row>
    <row r="2156" spans="8:8" x14ac:dyDescent="0.3">
      <c r="H2156" t="str">
        <f t="shared" si="83"/>
        <v/>
      </c>
    </row>
    <row r="2157" spans="8:8" x14ac:dyDescent="0.3">
      <c r="H2157" t="str">
        <f t="shared" si="83"/>
        <v/>
      </c>
    </row>
    <row r="2158" spans="8:8" x14ac:dyDescent="0.3">
      <c r="H2158" t="str">
        <f t="shared" si="83"/>
        <v/>
      </c>
    </row>
    <row r="2159" spans="8:8" x14ac:dyDescent="0.3">
      <c r="H2159" t="str">
        <f t="shared" si="83"/>
        <v/>
      </c>
    </row>
    <row r="2160" spans="8:8" x14ac:dyDescent="0.3">
      <c r="H2160" t="str">
        <f t="shared" si="83"/>
        <v/>
      </c>
    </row>
    <row r="2161" spans="8:8" x14ac:dyDescent="0.3">
      <c r="H2161" t="str">
        <f t="shared" si="83"/>
        <v/>
      </c>
    </row>
    <row r="2162" spans="8:8" x14ac:dyDescent="0.3">
      <c r="H2162" t="str">
        <f t="shared" si="83"/>
        <v/>
      </c>
    </row>
    <row r="2163" spans="8:8" x14ac:dyDescent="0.3">
      <c r="H2163" t="str">
        <f t="shared" si="83"/>
        <v/>
      </c>
    </row>
    <row r="2164" spans="8:8" x14ac:dyDescent="0.3">
      <c r="H2164" t="str">
        <f t="shared" si="83"/>
        <v/>
      </c>
    </row>
    <row r="2165" spans="8:8" x14ac:dyDescent="0.3">
      <c r="H2165" t="str">
        <f t="shared" si="83"/>
        <v/>
      </c>
    </row>
    <row r="2166" spans="8:8" x14ac:dyDescent="0.3">
      <c r="H2166" t="str">
        <f t="shared" si="83"/>
        <v/>
      </c>
    </row>
    <row r="2167" spans="8:8" x14ac:dyDescent="0.3">
      <c r="H2167" t="str">
        <f t="shared" si="83"/>
        <v/>
      </c>
    </row>
    <row r="2168" spans="8:8" x14ac:dyDescent="0.3">
      <c r="H2168" t="str">
        <f t="shared" si="83"/>
        <v/>
      </c>
    </row>
    <row r="2169" spans="8:8" x14ac:dyDescent="0.3">
      <c r="H2169" t="str">
        <f t="shared" si="83"/>
        <v/>
      </c>
    </row>
    <row r="2170" spans="8:8" x14ac:dyDescent="0.3">
      <c r="H2170" t="str">
        <f t="shared" si="83"/>
        <v/>
      </c>
    </row>
    <row r="2171" spans="8:8" x14ac:dyDescent="0.3">
      <c r="H2171" t="str">
        <f t="shared" si="83"/>
        <v/>
      </c>
    </row>
    <row r="2172" spans="8:8" x14ac:dyDescent="0.3">
      <c r="H2172" t="str">
        <f t="shared" si="83"/>
        <v/>
      </c>
    </row>
    <row r="2173" spans="8:8" x14ac:dyDescent="0.3">
      <c r="H2173" t="str">
        <f t="shared" si="83"/>
        <v/>
      </c>
    </row>
    <row r="2174" spans="8:8" x14ac:dyDescent="0.3">
      <c r="H2174" t="str">
        <f t="shared" si="83"/>
        <v/>
      </c>
    </row>
    <row r="2175" spans="8:8" x14ac:dyDescent="0.3">
      <c r="H2175" t="str">
        <f t="shared" si="83"/>
        <v/>
      </c>
    </row>
    <row r="2176" spans="8:8" x14ac:dyDescent="0.3">
      <c r="H2176" t="str">
        <f t="shared" si="83"/>
        <v/>
      </c>
    </row>
    <row r="2177" spans="8:8" x14ac:dyDescent="0.3">
      <c r="H2177" t="str">
        <f t="shared" si="83"/>
        <v/>
      </c>
    </row>
    <row r="2178" spans="8:8" x14ac:dyDescent="0.3">
      <c r="H2178" t="str">
        <f t="shared" si="83"/>
        <v/>
      </c>
    </row>
    <row r="2179" spans="8:8" x14ac:dyDescent="0.3">
      <c r="H2179" t="str">
        <f t="shared" si="83"/>
        <v/>
      </c>
    </row>
    <row r="2180" spans="8:8" x14ac:dyDescent="0.3">
      <c r="H2180" t="str">
        <f t="shared" si="83"/>
        <v/>
      </c>
    </row>
    <row r="2181" spans="8:8" x14ac:dyDescent="0.3">
      <c r="H2181" t="str">
        <f t="shared" si="83"/>
        <v/>
      </c>
    </row>
    <row r="2182" spans="8:8" x14ac:dyDescent="0.3">
      <c r="H2182" t="str">
        <f t="shared" si="83"/>
        <v/>
      </c>
    </row>
    <row r="2183" spans="8:8" x14ac:dyDescent="0.3">
      <c r="H2183" t="str">
        <f t="shared" si="83"/>
        <v/>
      </c>
    </row>
    <row r="2184" spans="8:8" x14ac:dyDescent="0.3">
      <c r="H2184" t="str">
        <f t="shared" si="83"/>
        <v/>
      </c>
    </row>
    <row r="2185" spans="8:8" x14ac:dyDescent="0.3">
      <c r="H2185" t="str">
        <f t="shared" si="83"/>
        <v/>
      </c>
    </row>
    <row r="2186" spans="8:8" x14ac:dyDescent="0.3">
      <c r="H2186" t="str">
        <f t="shared" si="83"/>
        <v/>
      </c>
    </row>
    <row r="2187" spans="8:8" x14ac:dyDescent="0.3">
      <c r="H2187" t="str">
        <f t="shared" si="83"/>
        <v/>
      </c>
    </row>
    <row r="2188" spans="8:8" x14ac:dyDescent="0.3">
      <c r="H2188" t="str">
        <f t="shared" si="83"/>
        <v/>
      </c>
    </row>
    <row r="2189" spans="8:8" x14ac:dyDescent="0.3">
      <c r="H2189" t="str">
        <f t="shared" si="83"/>
        <v/>
      </c>
    </row>
    <row r="2190" spans="8:8" x14ac:dyDescent="0.3">
      <c r="H2190" t="str">
        <f t="shared" si="83"/>
        <v/>
      </c>
    </row>
    <row r="2191" spans="8:8" x14ac:dyDescent="0.3">
      <c r="H2191" t="str">
        <f t="shared" si="83"/>
        <v/>
      </c>
    </row>
    <row r="2192" spans="8:8" x14ac:dyDescent="0.3">
      <c r="H2192" t="str">
        <f t="shared" si="83"/>
        <v/>
      </c>
    </row>
    <row r="2193" spans="8:8" x14ac:dyDescent="0.3">
      <c r="H2193" t="str">
        <f t="shared" si="83"/>
        <v/>
      </c>
    </row>
    <row r="2194" spans="8:8" x14ac:dyDescent="0.3">
      <c r="H2194" t="str">
        <f t="shared" si="83"/>
        <v/>
      </c>
    </row>
    <row r="2195" spans="8:8" x14ac:dyDescent="0.3">
      <c r="H2195" t="str">
        <f t="shared" si="83"/>
        <v/>
      </c>
    </row>
    <row r="2196" spans="8:8" x14ac:dyDescent="0.3">
      <c r="H2196" t="str">
        <f t="shared" si="83"/>
        <v/>
      </c>
    </row>
    <row r="2197" spans="8:8" x14ac:dyDescent="0.3">
      <c r="H2197" t="str">
        <f t="shared" si="83"/>
        <v/>
      </c>
    </row>
    <row r="2198" spans="8:8" x14ac:dyDescent="0.3">
      <c r="H2198" t="str">
        <f t="shared" si="83"/>
        <v/>
      </c>
    </row>
    <row r="2199" spans="8:8" x14ac:dyDescent="0.3">
      <c r="H2199" t="str">
        <f t="shared" ref="H2199:H2262" si="84">IF(B2199="","",$C$12)</f>
        <v/>
      </c>
    </row>
    <row r="2200" spans="8:8" x14ac:dyDescent="0.3">
      <c r="H2200" t="str">
        <f t="shared" si="84"/>
        <v/>
      </c>
    </row>
    <row r="2201" spans="8:8" x14ac:dyDescent="0.3">
      <c r="H2201" t="str">
        <f t="shared" si="84"/>
        <v/>
      </c>
    </row>
    <row r="2202" spans="8:8" x14ac:dyDescent="0.3">
      <c r="H2202" t="str">
        <f t="shared" si="84"/>
        <v/>
      </c>
    </row>
    <row r="2203" spans="8:8" x14ac:dyDescent="0.3">
      <c r="H2203" t="str">
        <f t="shared" si="84"/>
        <v/>
      </c>
    </row>
    <row r="2204" spans="8:8" x14ac:dyDescent="0.3">
      <c r="H2204" t="str">
        <f t="shared" si="84"/>
        <v/>
      </c>
    </row>
    <row r="2205" spans="8:8" x14ac:dyDescent="0.3">
      <c r="H2205" t="str">
        <f t="shared" si="84"/>
        <v/>
      </c>
    </row>
    <row r="2206" spans="8:8" x14ac:dyDescent="0.3">
      <c r="H2206" t="str">
        <f t="shared" si="84"/>
        <v/>
      </c>
    </row>
    <row r="2207" spans="8:8" x14ac:dyDescent="0.3">
      <c r="H2207" t="str">
        <f t="shared" si="84"/>
        <v/>
      </c>
    </row>
    <row r="2208" spans="8:8" x14ac:dyDescent="0.3">
      <c r="H2208" t="str">
        <f t="shared" si="84"/>
        <v/>
      </c>
    </row>
    <row r="2209" spans="8:8" x14ac:dyDescent="0.3">
      <c r="H2209" t="str">
        <f t="shared" si="84"/>
        <v/>
      </c>
    </row>
    <row r="2210" spans="8:8" x14ac:dyDescent="0.3">
      <c r="H2210" t="str">
        <f t="shared" si="84"/>
        <v/>
      </c>
    </row>
    <row r="2211" spans="8:8" x14ac:dyDescent="0.3">
      <c r="H2211" t="str">
        <f t="shared" si="84"/>
        <v/>
      </c>
    </row>
    <row r="2212" spans="8:8" x14ac:dyDescent="0.3">
      <c r="H2212" t="str">
        <f t="shared" si="84"/>
        <v/>
      </c>
    </row>
    <row r="2213" spans="8:8" x14ac:dyDescent="0.3">
      <c r="H2213" t="str">
        <f t="shared" si="84"/>
        <v/>
      </c>
    </row>
    <row r="2214" spans="8:8" x14ac:dyDescent="0.3">
      <c r="H2214" t="str">
        <f t="shared" si="84"/>
        <v/>
      </c>
    </row>
    <row r="2215" spans="8:8" x14ac:dyDescent="0.3">
      <c r="H2215" t="str">
        <f t="shared" si="84"/>
        <v/>
      </c>
    </row>
    <row r="2216" spans="8:8" x14ac:dyDescent="0.3">
      <c r="H2216" t="str">
        <f t="shared" si="84"/>
        <v/>
      </c>
    </row>
    <row r="2217" spans="8:8" x14ac:dyDescent="0.3">
      <c r="H2217" t="str">
        <f t="shared" si="84"/>
        <v/>
      </c>
    </row>
    <row r="2218" spans="8:8" x14ac:dyDescent="0.3">
      <c r="H2218" t="str">
        <f t="shared" si="84"/>
        <v/>
      </c>
    </row>
    <row r="2219" spans="8:8" x14ac:dyDescent="0.3">
      <c r="H2219" t="str">
        <f t="shared" si="84"/>
        <v/>
      </c>
    </row>
    <row r="2220" spans="8:8" x14ac:dyDescent="0.3">
      <c r="H2220" t="str">
        <f t="shared" si="84"/>
        <v/>
      </c>
    </row>
    <row r="2221" spans="8:8" x14ac:dyDescent="0.3">
      <c r="H2221" t="str">
        <f t="shared" si="84"/>
        <v/>
      </c>
    </row>
    <row r="2222" spans="8:8" x14ac:dyDescent="0.3">
      <c r="H2222" t="str">
        <f t="shared" si="84"/>
        <v/>
      </c>
    </row>
    <row r="2223" spans="8:8" x14ac:dyDescent="0.3">
      <c r="H2223" t="str">
        <f t="shared" si="84"/>
        <v/>
      </c>
    </row>
    <row r="2224" spans="8:8" x14ac:dyDescent="0.3">
      <c r="H2224" t="str">
        <f t="shared" si="84"/>
        <v/>
      </c>
    </row>
    <row r="2225" spans="8:8" x14ac:dyDescent="0.3">
      <c r="H2225" t="str">
        <f t="shared" si="84"/>
        <v/>
      </c>
    </row>
    <row r="2226" spans="8:8" x14ac:dyDescent="0.3">
      <c r="H2226" t="str">
        <f t="shared" si="84"/>
        <v/>
      </c>
    </row>
    <row r="2227" spans="8:8" x14ac:dyDescent="0.3">
      <c r="H2227" t="str">
        <f t="shared" si="84"/>
        <v/>
      </c>
    </row>
    <row r="2228" spans="8:8" x14ac:dyDescent="0.3">
      <c r="H2228" t="str">
        <f t="shared" si="84"/>
        <v/>
      </c>
    </row>
    <row r="2229" spans="8:8" x14ac:dyDescent="0.3">
      <c r="H2229" t="str">
        <f t="shared" si="84"/>
        <v/>
      </c>
    </row>
    <row r="2230" spans="8:8" x14ac:dyDescent="0.3">
      <c r="H2230" t="str">
        <f t="shared" si="84"/>
        <v/>
      </c>
    </row>
    <row r="2231" spans="8:8" x14ac:dyDescent="0.3">
      <c r="H2231" t="str">
        <f t="shared" si="84"/>
        <v/>
      </c>
    </row>
    <row r="2232" spans="8:8" x14ac:dyDescent="0.3">
      <c r="H2232" t="str">
        <f t="shared" si="84"/>
        <v/>
      </c>
    </row>
    <row r="2233" spans="8:8" x14ac:dyDescent="0.3">
      <c r="H2233" t="str">
        <f t="shared" si="84"/>
        <v/>
      </c>
    </row>
    <row r="2234" spans="8:8" x14ac:dyDescent="0.3">
      <c r="H2234" t="str">
        <f t="shared" si="84"/>
        <v/>
      </c>
    </row>
    <row r="2235" spans="8:8" x14ac:dyDescent="0.3">
      <c r="H2235" t="str">
        <f t="shared" si="84"/>
        <v/>
      </c>
    </row>
    <row r="2236" spans="8:8" x14ac:dyDescent="0.3">
      <c r="H2236" t="str">
        <f t="shared" si="84"/>
        <v/>
      </c>
    </row>
    <row r="2237" spans="8:8" x14ac:dyDescent="0.3">
      <c r="H2237" t="str">
        <f t="shared" si="84"/>
        <v/>
      </c>
    </row>
    <row r="2238" spans="8:8" x14ac:dyDescent="0.3">
      <c r="H2238" t="str">
        <f t="shared" si="84"/>
        <v/>
      </c>
    </row>
    <row r="2239" spans="8:8" x14ac:dyDescent="0.3">
      <c r="H2239" t="str">
        <f t="shared" si="84"/>
        <v/>
      </c>
    </row>
    <row r="2240" spans="8:8" x14ac:dyDescent="0.3">
      <c r="H2240" t="str">
        <f t="shared" si="84"/>
        <v/>
      </c>
    </row>
    <row r="2241" spans="8:8" x14ac:dyDescent="0.3">
      <c r="H2241" t="str">
        <f t="shared" si="84"/>
        <v/>
      </c>
    </row>
    <row r="2242" spans="8:8" x14ac:dyDescent="0.3">
      <c r="H2242" t="str">
        <f t="shared" si="84"/>
        <v/>
      </c>
    </row>
    <row r="2243" spans="8:8" x14ac:dyDescent="0.3">
      <c r="H2243" t="str">
        <f t="shared" si="84"/>
        <v/>
      </c>
    </row>
    <row r="2244" spans="8:8" x14ac:dyDescent="0.3">
      <c r="H2244" t="str">
        <f t="shared" si="84"/>
        <v/>
      </c>
    </row>
    <row r="2245" spans="8:8" x14ac:dyDescent="0.3">
      <c r="H2245" t="str">
        <f t="shared" si="84"/>
        <v/>
      </c>
    </row>
    <row r="2246" spans="8:8" x14ac:dyDescent="0.3">
      <c r="H2246" t="str">
        <f t="shared" si="84"/>
        <v/>
      </c>
    </row>
    <row r="2247" spans="8:8" x14ac:dyDescent="0.3">
      <c r="H2247" t="str">
        <f t="shared" si="84"/>
        <v/>
      </c>
    </row>
    <row r="2248" spans="8:8" x14ac:dyDescent="0.3">
      <c r="H2248" t="str">
        <f t="shared" si="84"/>
        <v/>
      </c>
    </row>
    <row r="2249" spans="8:8" x14ac:dyDescent="0.3">
      <c r="H2249" t="str">
        <f t="shared" si="84"/>
        <v/>
      </c>
    </row>
    <row r="2250" spans="8:8" x14ac:dyDescent="0.3">
      <c r="H2250" t="str">
        <f t="shared" si="84"/>
        <v/>
      </c>
    </row>
    <row r="2251" spans="8:8" x14ac:dyDescent="0.3">
      <c r="H2251" t="str">
        <f t="shared" si="84"/>
        <v/>
      </c>
    </row>
    <row r="2252" spans="8:8" x14ac:dyDescent="0.3">
      <c r="H2252" t="str">
        <f t="shared" si="84"/>
        <v/>
      </c>
    </row>
    <row r="2253" spans="8:8" x14ac:dyDescent="0.3">
      <c r="H2253" t="str">
        <f t="shared" si="84"/>
        <v/>
      </c>
    </row>
    <row r="2254" spans="8:8" x14ac:dyDescent="0.3">
      <c r="H2254" t="str">
        <f t="shared" si="84"/>
        <v/>
      </c>
    </row>
    <row r="2255" spans="8:8" x14ac:dyDescent="0.3">
      <c r="H2255" t="str">
        <f t="shared" si="84"/>
        <v/>
      </c>
    </row>
    <row r="2256" spans="8:8" x14ac:dyDescent="0.3">
      <c r="H2256" t="str">
        <f t="shared" si="84"/>
        <v/>
      </c>
    </row>
    <row r="2257" spans="8:8" x14ac:dyDescent="0.3">
      <c r="H2257" t="str">
        <f t="shared" si="84"/>
        <v/>
      </c>
    </row>
    <row r="2258" spans="8:8" x14ac:dyDescent="0.3">
      <c r="H2258" t="str">
        <f t="shared" si="84"/>
        <v/>
      </c>
    </row>
    <row r="2259" spans="8:8" x14ac:dyDescent="0.3">
      <c r="H2259" t="str">
        <f t="shared" si="84"/>
        <v/>
      </c>
    </row>
    <row r="2260" spans="8:8" x14ac:dyDescent="0.3">
      <c r="H2260" t="str">
        <f t="shared" si="84"/>
        <v/>
      </c>
    </row>
    <row r="2261" spans="8:8" x14ac:dyDescent="0.3">
      <c r="H2261" t="str">
        <f t="shared" si="84"/>
        <v/>
      </c>
    </row>
    <row r="2262" spans="8:8" x14ac:dyDescent="0.3">
      <c r="H2262" t="str">
        <f t="shared" si="84"/>
        <v/>
      </c>
    </row>
    <row r="2263" spans="8:8" x14ac:dyDescent="0.3">
      <c r="H2263" t="str">
        <f t="shared" ref="H2263:H2326" si="85">IF(B2263="","",$C$12)</f>
        <v/>
      </c>
    </row>
    <row r="2264" spans="8:8" x14ac:dyDescent="0.3">
      <c r="H2264" t="str">
        <f t="shared" si="85"/>
        <v/>
      </c>
    </row>
    <row r="2265" spans="8:8" x14ac:dyDescent="0.3">
      <c r="H2265" t="str">
        <f t="shared" si="85"/>
        <v/>
      </c>
    </row>
    <row r="2266" spans="8:8" x14ac:dyDescent="0.3">
      <c r="H2266" t="str">
        <f t="shared" si="85"/>
        <v/>
      </c>
    </row>
    <row r="2267" spans="8:8" x14ac:dyDescent="0.3">
      <c r="H2267" t="str">
        <f t="shared" si="85"/>
        <v/>
      </c>
    </row>
    <row r="2268" spans="8:8" x14ac:dyDescent="0.3">
      <c r="H2268" t="str">
        <f t="shared" si="85"/>
        <v/>
      </c>
    </row>
    <row r="2269" spans="8:8" x14ac:dyDescent="0.3">
      <c r="H2269" t="str">
        <f t="shared" si="85"/>
        <v/>
      </c>
    </row>
    <row r="2270" spans="8:8" x14ac:dyDescent="0.3">
      <c r="H2270" t="str">
        <f t="shared" si="85"/>
        <v/>
      </c>
    </row>
    <row r="2271" spans="8:8" x14ac:dyDescent="0.3">
      <c r="H2271" t="str">
        <f t="shared" si="85"/>
        <v/>
      </c>
    </row>
    <row r="2272" spans="8:8" x14ac:dyDescent="0.3">
      <c r="H2272" t="str">
        <f t="shared" si="85"/>
        <v/>
      </c>
    </row>
    <row r="2273" spans="8:8" x14ac:dyDescent="0.3">
      <c r="H2273" t="str">
        <f t="shared" si="85"/>
        <v/>
      </c>
    </row>
    <row r="2274" spans="8:8" x14ac:dyDescent="0.3">
      <c r="H2274" t="str">
        <f t="shared" si="85"/>
        <v/>
      </c>
    </row>
    <row r="2275" spans="8:8" x14ac:dyDescent="0.3">
      <c r="H2275" t="str">
        <f t="shared" si="85"/>
        <v/>
      </c>
    </row>
    <row r="2276" spans="8:8" x14ac:dyDescent="0.3">
      <c r="H2276" t="str">
        <f t="shared" si="85"/>
        <v/>
      </c>
    </row>
    <row r="2277" spans="8:8" x14ac:dyDescent="0.3">
      <c r="H2277" t="str">
        <f t="shared" si="85"/>
        <v/>
      </c>
    </row>
    <row r="2278" spans="8:8" x14ac:dyDescent="0.3">
      <c r="H2278" t="str">
        <f t="shared" si="85"/>
        <v/>
      </c>
    </row>
    <row r="2279" spans="8:8" x14ac:dyDescent="0.3">
      <c r="H2279" t="str">
        <f t="shared" si="85"/>
        <v/>
      </c>
    </row>
    <row r="2280" spans="8:8" x14ac:dyDescent="0.3">
      <c r="H2280" t="str">
        <f t="shared" si="85"/>
        <v/>
      </c>
    </row>
    <row r="2281" spans="8:8" x14ac:dyDescent="0.3">
      <c r="H2281" t="str">
        <f t="shared" si="85"/>
        <v/>
      </c>
    </row>
    <row r="2282" spans="8:8" x14ac:dyDescent="0.3">
      <c r="H2282" t="str">
        <f t="shared" si="85"/>
        <v/>
      </c>
    </row>
    <row r="2283" spans="8:8" x14ac:dyDescent="0.3">
      <c r="H2283" t="str">
        <f t="shared" si="85"/>
        <v/>
      </c>
    </row>
    <row r="2284" spans="8:8" x14ac:dyDescent="0.3">
      <c r="H2284" t="str">
        <f t="shared" si="85"/>
        <v/>
      </c>
    </row>
    <row r="2285" spans="8:8" x14ac:dyDescent="0.3">
      <c r="H2285" t="str">
        <f t="shared" si="85"/>
        <v/>
      </c>
    </row>
    <row r="2286" spans="8:8" x14ac:dyDescent="0.3">
      <c r="H2286" t="str">
        <f t="shared" si="85"/>
        <v/>
      </c>
    </row>
    <row r="2287" spans="8:8" x14ac:dyDescent="0.3">
      <c r="H2287" t="str">
        <f t="shared" si="85"/>
        <v/>
      </c>
    </row>
    <row r="2288" spans="8:8" x14ac:dyDescent="0.3">
      <c r="H2288" t="str">
        <f t="shared" si="85"/>
        <v/>
      </c>
    </row>
    <row r="2289" spans="8:8" x14ac:dyDescent="0.3">
      <c r="H2289" t="str">
        <f t="shared" si="85"/>
        <v/>
      </c>
    </row>
    <row r="2290" spans="8:8" x14ac:dyDescent="0.3">
      <c r="H2290" t="str">
        <f t="shared" si="85"/>
        <v/>
      </c>
    </row>
    <row r="2291" spans="8:8" x14ac:dyDescent="0.3">
      <c r="H2291" t="str">
        <f t="shared" si="85"/>
        <v/>
      </c>
    </row>
    <row r="2292" spans="8:8" x14ac:dyDescent="0.3">
      <c r="H2292" t="str">
        <f t="shared" si="85"/>
        <v/>
      </c>
    </row>
    <row r="2293" spans="8:8" x14ac:dyDescent="0.3">
      <c r="H2293" t="str">
        <f t="shared" si="85"/>
        <v/>
      </c>
    </row>
    <row r="2294" spans="8:8" x14ac:dyDescent="0.3">
      <c r="H2294" t="str">
        <f t="shared" si="85"/>
        <v/>
      </c>
    </row>
    <row r="2295" spans="8:8" x14ac:dyDescent="0.3">
      <c r="H2295" t="str">
        <f t="shared" si="85"/>
        <v/>
      </c>
    </row>
    <row r="2296" spans="8:8" x14ac:dyDescent="0.3">
      <c r="H2296" t="str">
        <f t="shared" si="85"/>
        <v/>
      </c>
    </row>
    <row r="2297" spans="8:8" x14ac:dyDescent="0.3">
      <c r="H2297" t="str">
        <f t="shared" si="85"/>
        <v/>
      </c>
    </row>
    <row r="2298" spans="8:8" x14ac:dyDescent="0.3">
      <c r="H2298" t="str">
        <f t="shared" si="85"/>
        <v/>
      </c>
    </row>
    <row r="2299" spans="8:8" x14ac:dyDescent="0.3">
      <c r="H2299" t="str">
        <f t="shared" si="85"/>
        <v/>
      </c>
    </row>
    <row r="2300" spans="8:8" x14ac:dyDescent="0.3">
      <c r="H2300" t="str">
        <f t="shared" si="85"/>
        <v/>
      </c>
    </row>
    <row r="2301" spans="8:8" x14ac:dyDescent="0.3">
      <c r="H2301" t="str">
        <f t="shared" si="85"/>
        <v/>
      </c>
    </row>
    <row r="2302" spans="8:8" x14ac:dyDescent="0.3">
      <c r="H2302" t="str">
        <f t="shared" si="85"/>
        <v/>
      </c>
    </row>
    <row r="2303" spans="8:8" x14ac:dyDescent="0.3">
      <c r="H2303" t="str">
        <f t="shared" si="85"/>
        <v/>
      </c>
    </row>
    <row r="2304" spans="8:8" x14ac:dyDescent="0.3">
      <c r="H2304" t="str">
        <f t="shared" si="85"/>
        <v/>
      </c>
    </row>
    <row r="2305" spans="8:8" x14ac:dyDescent="0.3">
      <c r="H2305" t="str">
        <f t="shared" si="85"/>
        <v/>
      </c>
    </row>
    <row r="2306" spans="8:8" x14ac:dyDescent="0.3">
      <c r="H2306" t="str">
        <f t="shared" si="85"/>
        <v/>
      </c>
    </row>
    <row r="2307" spans="8:8" x14ac:dyDescent="0.3">
      <c r="H2307" t="str">
        <f t="shared" si="85"/>
        <v/>
      </c>
    </row>
    <row r="2308" spans="8:8" x14ac:dyDescent="0.3">
      <c r="H2308" t="str">
        <f t="shared" si="85"/>
        <v/>
      </c>
    </row>
    <row r="2309" spans="8:8" x14ac:dyDescent="0.3">
      <c r="H2309" t="str">
        <f t="shared" si="85"/>
        <v/>
      </c>
    </row>
    <row r="2310" spans="8:8" x14ac:dyDescent="0.3">
      <c r="H2310" t="str">
        <f t="shared" si="85"/>
        <v/>
      </c>
    </row>
    <row r="2311" spans="8:8" x14ac:dyDescent="0.3">
      <c r="H2311" t="str">
        <f t="shared" si="85"/>
        <v/>
      </c>
    </row>
    <row r="2312" spans="8:8" x14ac:dyDescent="0.3">
      <c r="H2312" t="str">
        <f t="shared" si="85"/>
        <v/>
      </c>
    </row>
    <row r="2313" spans="8:8" x14ac:dyDescent="0.3">
      <c r="H2313" t="str">
        <f t="shared" si="85"/>
        <v/>
      </c>
    </row>
    <row r="2314" spans="8:8" x14ac:dyDescent="0.3">
      <c r="H2314" t="str">
        <f t="shared" si="85"/>
        <v/>
      </c>
    </row>
    <row r="2315" spans="8:8" x14ac:dyDescent="0.3">
      <c r="H2315" t="str">
        <f t="shared" si="85"/>
        <v/>
      </c>
    </row>
    <row r="2316" spans="8:8" x14ac:dyDescent="0.3">
      <c r="H2316" t="str">
        <f t="shared" si="85"/>
        <v/>
      </c>
    </row>
    <row r="2317" spans="8:8" x14ac:dyDescent="0.3">
      <c r="H2317" t="str">
        <f t="shared" si="85"/>
        <v/>
      </c>
    </row>
    <row r="2318" spans="8:8" x14ac:dyDescent="0.3">
      <c r="H2318" t="str">
        <f t="shared" si="85"/>
        <v/>
      </c>
    </row>
    <row r="2319" spans="8:8" x14ac:dyDescent="0.3">
      <c r="H2319" t="str">
        <f t="shared" si="85"/>
        <v/>
      </c>
    </row>
    <row r="2320" spans="8:8" x14ac:dyDescent="0.3">
      <c r="H2320" t="str">
        <f t="shared" si="85"/>
        <v/>
      </c>
    </row>
    <row r="2321" spans="8:8" x14ac:dyDescent="0.3">
      <c r="H2321" t="str">
        <f t="shared" si="85"/>
        <v/>
      </c>
    </row>
    <row r="2322" spans="8:8" x14ac:dyDescent="0.3">
      <c r="H2322" t="str">
        <f t="shared" si="85"/>
        <v/>
      </c>
    </row>
    <row r="2323" spans="8:8" x14ac:dyDescent="0.3">
      <c r="H2323" t="str">
        <f t="shared" si="85"/>
        <v/>
      </c>
    </row>
    <row r="2324" spans="8:8" x14ac:dyDescent="0.3">
      <c r="H2324" t="str">
        <f t="shared" si="85"/>
        <v/>
      </c>
    </row>
    <row r="2325" spans="8:8" x14ac:dyDescent="0.3">
      <c r="H2325" t="str">
        <f t="shared" si="85"/>
        <v/>
      </c>
    </row>
    <row r="2326" spans="8:8" x14ac:dyDescent="0.3">
      <c r="H2326" t="str">
        <f t="shared" si="85"/>
        <v/>
      </c>
    </row>
    <row r="2327" spans="8:8" x14ac:dyDescent="0.3">
      <c r="H2327" t="str">
        <f t="shared" ref="H2327:H2390" si="86">IF(B2327="","",$C$12)</f>
        <v/>
      </c>
    </row>
    <row r="2328" spans="8:8" x14ac:dyDescent="0.3">
      <c r="H2328" t="str">
        <f t="shared" si="86"/>
        <v/>
      </c>
    </row>
    <row r="2329" spans="8:8" x14ac:dyDescent="0.3">
      <c r="H2329" t="str">
        <f t="shared" si="86"/>
        <v/>
      </c>
    </row>
    <row r="2330" spans="8:8" x14ac:dyDescent="0.3">
      <c r="H2330" t="str">
        <f t="shared" si="86"/>
        <v/>
      </c>
    </row>
    <row r="2331" spans="8:8" x14ac:dyDescent="0.3">
      <c r="H2331" t="str">
        <f t="shared" si="86"/>
        <v/>
      </c>
    </row>
    <row r="2332" spans="8:8" x14ac:dyDescent="0.3">
      <c r="H2332" t="str">
        <f t="shared" si="86"/>
        <v/>
      </c>
    </row>
    <row r="2333" spans="8:8" x14ac:dyDescent="0.3">
      <c r="H2333" t="str">
        <f t="shared" si="86"/>
        <v/>
      </c>
    </row>
    <row r="2334" spans="8:8" x14ac:dyDescent="0.3">
      <c r="H2334" t="str">
        <f t="shared" si="86"/>
        <v/>
      </c>
    </row>
    <row r="2335" spans="8:8" x14ac:dyDescent="0.3">
      <c r="H2335" t="str">
        <f t="shared" si="86"/>
        <v/>
      </c>
    </row>
    <row r="2336" spans="8:8" x14ac:dyDescent="0.3">
      <c r="H2336" t="str">
        <f t="shared" si="86"/>
        <v/>
      </c>
    </row>
    <row r="2337" spans="8:8" x14ac:dyDescent="0.3">
      <c r="H2337" t="str">
        <f t="shared" si="86"/>
        <v/>
      </c>
    </row>
    <row r="2338" spans="8:8" x14ac:dyDescent="0.3">
      <c r="H2338" t="str">
        <f t="shared" si="86"/>
        <v/>
      </c>
    </row>
    <row r="2339" spans="8:8" x14ac:dyDescent="0.3">
      <c r="H2339" t="str">
        <f t="shared" si="86"/>
        <v/>
      </c>
    </row>
    <row r="2340" spans="8:8" x14ac:dyDescent="0.3">
      <c r="H2340" t="str">
        <f t="shared" si="86"/>
        <v/>
      </c>
    </row>
    <row r="2341" spans="8:8" x14ac:dyDescent="0.3">
      <c r="H2341" t="str">
        <f t="shared" si="86"/>
        <v/>
      </c>
    </row>
    <row r="2342" spans="8:8" x14ac:dyDescent="0.3">
      <c r="H2342" t="str">
        <f t="shared" si="86"/>
        <v/>
      </c>
    </row>
    <row r="2343" spans="8:8" x14ac:dyDescent="0.3">
      <c r="H2343" t="str">
        <f t="shared" si="86"/>
        <v/>
      </c>
    </row>
    <row r="2344" spans="8:8" x14ac:dyDescent="0.3">
      <c r="H2344" t="str">
        <f t="shared" si="86"/>
        <v/>
      </c>
    </row>
    <row r="2345" spans="8:8" x14ac:dyDescent="0.3">
      <c r="H2345" t="str">
        <f t="shared" si="86"/>
        <v/>
      </c>
    </row>
    <row r="2346" spans="8:8" x14ac:dyDescent="0.3">
      <c r="H2346" t="str">
        <f t="shared" si="86"/>
        <v/>
      </c>
    </row>
    <row r="2347" spans="8:8" x14ac:dyDescent="0.3">
      <c r="H2347" t="str">
        <f t="shared" si="86"/>
        <v/>
      </c>
    </row>
    <row r="2348" spans="8:8" x14ac:dyDescent="0.3">
      <c r="H2348" t="str">
        <f t="shared" si="86"/>
        <v/>
      </c>
    </row>
    <row r="2349" spans="8:8" x14ac:dyDescent="0.3">
      <c r="H2349" t="str">
        <f t="shared" si="86"/>
        <v/>
      </c>
    </row>
    <row r="2350" spans="8:8" x14ac:dyDescent="0.3">
      <c r="H2350" t="str">
        <f t="shared" si="86"/>
        <v/>
      </c>
    </row>
    <row r="2351" spans="8:8" x14ac:dyDescent="0.3">
      <c r="H2351" t="str">
        <f t="shared" si="86"/>
        <v/>
      </c>
    </row>
    <row r="2352" spans="8:8" x14ac:dyDescent="0.3">
      <c r="H2352" t="str">
        <f t="shared" si="86"/>
        <v/>
      </c>
    </row>
    <row r="2353" spans="8:8" x14ac:dyDescent="0.3">
      <c r="H2353" t="str">
        <f t="shared" si="86"/>
        <v/>
      </c>
    </row>
    <row r="2354" spans="8:8" x14ac:dyDescent="0.3">
      <c r="H2354" t="str">
        <f t="shared" si="86"/>
        <v/>
      </c>
    </row>
    <row r="2355" spans="8:8" x14ac:dyDescent="0.3">
      <c r="H2355" t="str">
        <f t="shared" si="86"/>
        <v/>
      </c>
    </row>
    <row r="2356" spans="8:8" x14ac:dyDescent="0.3">
      <c r="H2356" t="str">
        <f t="shared" si="86"/>
        <v/>
      </c>
    </row>
    <row r="2357" spans="8:8" x14ac:dyDescent="0.3">
      <c r="H2357" t="str">
        <f t="shared" si="86"/>
        <v/>
      </c>
    </row>
    <row r="2358" spans="8:8" x14ac:dyDescent="0.3">
      <c r="H2358" t="str">
        <f t="shared" si="86"/>
        <v/>
      </c>
    </row>
    <row r="2359" spans="8:8" x14ac:dyDescent="0.3">
      <c r="H2359" t="str">
        <f t="shared" si="86"/>
        <v/>
      </c>
    </row>
    <row r="2360" spans="8:8" x14ac:dyDescent="0.3">
      <c r="H2360" t="str">
        <f t="shared" si="86"/>
        <v/>
      </c>
    </row>
    <row r="2361" spans="8:8" x14ac:dyDescent="0.3">
      <c r="H2361" t="str">
        <f t="shared" si="86"/>
        <v/>
      </c>
    </row>
    <row r="2362" spans="8:8" x14ac:dyDescent="0.3">
      <c r="H2362" t="str">
        <f t="shared" si="86"/>
        <v/>
      </c>
    </row>
    <row r="2363" spans="8:8" x14ac:dyDescent="0.3">
      <c r="H2363" t="str">
        <f t="shared" si="86"/>
        <v/>
      </c>
    </row>
    <row r="2364" spans="8:8" x14ac:dyDescent="0.3">
      <c r="H2364" t="str">
        <f t="shared" si="86"/>
        <v/>
      </c>
    </row>
    <row r="2365" spans="8:8" x14ac:dyDescent="0.3">
      <c r="H2365" t="str">
        <f t="shared" si="86"/>
        <v/>
      </c>
    </row>
    <row r="2366" spans="8:8" x14ac:dyDescent="0.3">
      <c r="H2366" t="str">
        <f t="shared" si="86"/>
        <v/>
      </c>
    </row>
    <row r="2367" spans="8:8" x14ac:dyDescent="0.3">
      <c r="H2367" t="str">
        <f t="shared" si="86"/>
        <v/>
      </c>
    </row>
    <row r="2368" spans="8:8" x14ac:dyDescent="0.3">
      <c r="H2368" t="str">
        <f t="shared" si="86"/>
        <v/>
      </c>
    </row>
    <row r="2369" spans="8:8" x14ac:dyDescent="0.3">
      <c r="H2369" t="str">
        <f t="shared" si="86"/>
        <v/>
      </c>
    </row>
    <row r="2370" spans="8:8" x14ac:dyDescent="0.3">
      <c r="H2370" t="str">
        <f t="shared" si="86"/>
        <v/>
      </c>
    </row>
    <row r="2371" spans="8:8" x14ac:dyDescent="0.3">
      <c r="H2371" t="str">
        <f t="shared" si="86"/>
        <v/>
      </c>
    </row>
    <row r="2372" spans="8:8" x14ac:dyDescent="0.3">
      <c r="H2372" t="str">
        <f t="shared" si="86"/>
        <v/>
      </c>
    </row>
    <row r="2373" spans="8:8" x14ac:dyDescent="0.3">
      <c r="H2373" t="str">
        <f t="shared" si="86"/>
        <v/>
      </c>
    </row>
    <row r="2374" spans="8:8" x14ac:dyDescent="0.3">
      <c r="H2374" t="str">
        <f t="shared" si="86"/>
        <v/>
      </c>
    </row>
    <row r="2375" spans="8:8" x14ac:dyDescent="0.3">
      <c r="H2375" t="str">
        <f t="shared" si="86"/>
        <v/>
      </c>
    </row>
    <row r="2376" spans="8:8" x14ac:dyDescent="0.3">
      <c r="H2376" t="str">
        <f t="shared" si="86"/>
        <v/>
      </c>
    </row>
    <row r="2377" spans="8:8" x14ac:dyDescent="0.3">
      <c r="H2377" t="str">
        <f t="shared" si="86"/>
        <v/>
      </c>
    </row>
    <row r="2378" spans="8:8" x14ac:dyDescent="0.3">
      <c r="H2378" t="str">
        <f t="shared" si="86"/>
        <v/>
      </c>
    </row>
    <row r="2379" spans="8:8" x14ac:dyDescent="0.3">
      <c r="H2379" t="str">
        <f t="shared" si="86"/>
        <v/>
      </c>
    </row>
    <row r="2380" spans="8:8" x14ac:dyDescent="0.3">
      <c r="H2380" t="str">
        <f t="shared" si="86"/>
        <v/>
      </c>
    </row>
    <row r="2381" spans="8:8" x14ac:dyDescent="0.3">
      <c r="H2381" t="str">
        <f t="shared" si="86"/>
        <v/>
      </c>
    </row>
    <row r="2382" spans="8:8" x14ac:dyDescent="0.3">
      <c r="H2382" t="str">
        <f t="shared" si="86"/>
        <v/>
      </c>
    </row>
    <row r="2383" spans="8:8" x14ac:dyDescent="0.3">
      <c r="H2383" t="str">
        <f t="shared" si="86"/>
        <v/>
      </c>
    </row>
    <row r="2384" spans="8:8" x14ac:dyDescent="0.3">
      <c r="H2384" t="str">
        <f t="shared" si="86"/>
        <v/>
      </c>
    </row>
    <row r="2385" spans="8:8" x14ac:dyDescent="0.3">
      <c r="H2385" t="str">
        <f t="shared" si="86"/>
        <v/>
      </c>
    </row>
    <row r="2386" spans="8:8" x14ac:dyDescent="0.3">
      <c r="H2386" t="str">
        <f t="shared" si="86"/>
        <v/>
      </c>
    </row>
    <row r="2387" spans="8:8" x14ac:dyDescent="0.3">
      <c r="H2387" t="str">
        <f t="shared" si="86"/>
        <v/>
      </c>
    </row>
    <row r="2388" spans="8:8" x14ac:dyDescent="0.3">
      <c r="H2388" t="str">
        <f t="shared" si="86"/>
        <v/>
      </c>
    </row>
    <row r="2389" spans="8:8" x14ac:dyDescent="0.3">
      <c r="H2389" t="str">
        <f t="shared" si="86"/>
        <v/>
      </c>
    </row>
    <row r="2390" spans="8:8" x14ac:dyDescent="0.3">
      <c r="H2390" t="str">
        <f t="shared" si="86"/>
        <v/>
      </c>
    </row>
    <row r="2391" spans="8:8" x14ac:dyDescent="0.3">
      <c r="H2391" t="str">
        <f t="shared" ref="H2391:H2454" si="87">IF(B2391="","",$C$12)</f>
        <v/>
      </c>
    </row>
    <row r="2392" spans="8:8" x14ac:dyDescent="0.3">
      <c r="H2392" t="str">
        <f t="shared" si="87"/>
        <v/>
      </c>
    </row>
    <row r="2393" spans="8:8" x14ac:dyDescent="0.3">
      <c r="H2393" t="str">
        <f t="shared" si="87"/>
        <v/>
      </c>
    </row>
    <row r="2394" spans="8:8" x14ac:dyDescent="0.3">
      <c r="H2394" t="str">
        <f t="shared" si="87"/>
        <v/>
      </c>
    </row>
    <row r="2395" spans="8:8" x14ac:dyDescent="0.3">
      <c r="H2395" t="str">
        <f t="shared" si="87"/>
        <v/>
      </c>
    </row>
    <row r="2396" spans="8:8" x14ac:dyDescent="0.3">
      <c r="H2396" t="str">
        <f t="shared" si="87"/>
        <v/>
      </c>
    </row>
    <row r="2397" spans="8:8" x14ac:dyDescent="0.3">
      <c r="H2397" t="str">
        <f t="shared" si="87"/>
        <v/>
      </c>
    </row>
    <row r="2398" spans="8:8" x14ac:dyDescent="0.3">
      <c r="H2398" t="str">
        <f t="shared" si="87"/>
        <v/>
      </c>
    </row>
    <row r="2399" spans="8:8" x14ac:dyDescent="0.3">
      <c r="H2399" t="str">
        <f t="shared" si="87"/>
        <v/>
      </c>
    </row>
    <row r="2400" spans="8:8" x14ac:dyDescent="0.3">
      <c r="H2400" t="str">
        <f t="shared" si="87"/>
        <v/>
      </c>
    </row>
    <row r="2401" spans="8:8" x14ac:dyDescent="0.3">
      <c r="H2401" t="str">
        <f t="shared" si="87"/>
        <v/>
      </c>
    </row>
    <row r="2402" spans="8:8" x14ac:dyDescent="0.3">
      <c r="H2402" t="str">
        <f t="shared" si="87"/>
        <v/>
      </c>
    </row>
    <row r="2403" spans="8:8" x14ac:dyDescent="0.3">
      <c r="H2403" t="str">
        <f t="shared" si="87"/>
        <v/>
      </c>
    </row>
    <row r="2404" spans="8:8" x14ac:dyDescent="0.3">
      <c r="H2404" t="str">
        <f t="shared" si="87"/>
        <v/>
      </c>
    </row>
    <row r="2405" spans="8:8" x14ac:dyDescent="0.3">
      <c r="H2405" t="str">
        <f t="shared" si="87"/>
        <v/>
      </c>
    </row>
    <row r="2406" spans="8:8" x14ac:dyDescent="0.3">
      <c r="H2406" t="str">
        <f t="shared" si="87"/>
        <v/>
      </c>
    </row>
    <row r="2407" spans="8:8" x14ac:dyDescent="0.3">
      <c r="H2407" t="str">
        <f t="shared" si="87"/>
        <v/>
      </c>
    </row>
    <row r="2408" spans="8:8" x14ac:dyDescent="0.3">
      <c r="H2408" t="str">
        <f t="shared" si="87"/>
        <v/>
      </c>
    </row>
    <row r="2409" spans="8:8" x14ac:dyDescent="0.3">
      <c r="H2409" t="str">
        <f t="shared" si="87"/>
        <v/>
      </c>
    </row>
    <row r="2410" spans="8:8" x14ac:dyDescent="0.3">
      <c r="H2410" t="str">
        <f t="shared" si="87"/>
        <v/>
      </c>
    </row>
    <row r="2411" spans="8:8" x14ac:dyDescent="0.3">
      <c r="H2411" t="str">
        <f t="shared" si="87"/>
        <v/>
      </c>
    </row>
    <row r="2412" spans="8:8" x14ac:dyDescent="0.3">
      <c r="H2412" t="str">
        <f t="shared" si="87"/>
        <v/>
      </c>
    </row>
    <row r="2413" spans="8:8" x14ac:dyDescent="0.3">
      <c r="H2413" t="str">
        <f t="shared" si="87"/>
        <v/>
      </c>
    </row>
    <row r="2414" spans="8:8" x14ac:dyDescent="0.3">
      <c r="H2414" t="str">
        <f t="shared" si="87"/>
        <v/>
      </c>
    </row>
    <row r="2415" spans="8:8" x14ac:dyDescent="0.3">
      <c r="H2415" t="str">
        <f t="shared" si="87"/>
        <v/>
      </c>
    </row>
    <row r="2416" spans="8:8" x14ac:dyDescent="0.3">
      <c r="H2416" t="str">
        <f t="shared" si="87"/>
        <v/>
      </c>
    </row>
    <row r="2417" spans="8:8" x14ac:dyDescent="0.3">
      <c r="H2417" t="str">
        <f t="shared" si="87"/>
        <v/>
      </c>
    </row>
    <row r="2418" spans="8:8" x14ac:dyDescent="0.3">
      <c r="H2418" t="str">
        <f t="shared" si="87"/>
        <v/>
      </c>
    </row>
    <row r="2419" spans="8:8" x14ac:dyDescent="0.3">
      <c r="H2419" t="str">
        <f t="shared" si="87"/>
        <v/>
      </c>
    </row>
    <row r="2420" spans="8:8" x14ac:dyDescent="0.3">
      <c r="H2420" t="str">
        <f t="shared" si="87"/>
        <v/>
      </c>
    </row>
    <row r="2421" spans="8:8" x14ac:dyDescent="0.3">
      <c r="H2421" t="str">
        <f t="shared" si="87"/>
        <v/>
      </c>
    </row>
    <row r="2422" spans="8:8" x14ac:dyDescent="0.3">
      <c r="H2422" t="str">
        <f t="shared" si="87"/>
        <v/>
      </c>
    </row>
    <row r="2423" spans="8:8" x14ac:dyDescent="0.3">
      <c r="H2423" t="str">
        <f t="shared" si="87"/>
        <v/>
      </c>
    </row>
    <row r="2424" spans="8:8" x14ac:dyDescent="0.3">
      <c r="H2424" t="str">
        <f t="shared" si="87"/>
        <v/>
      </c>
    </row>
    <row r="2425" spans="8:8" x14ac:dyDescent="0.3">
      <c r="H2425" t="str">
        <f t="shared" si="87"/>
        <v/>
      </c>
    </row>
    <row r="2426" spans="8:8" x14ac:dyDescent="0.3">
      <c r="H2426" t="str">
        <f t="shared" si="87"/>
        <v/>
      </c>
    </row>
    <row r="2427" spans="8:8" x14ac:dyDescent="0.3">
      <c r="H2427" t="str">
        <f t="shared" si="87"/>
        <v/>
      </c>
    </row>
    <row r="2428" spans="8:8" x14ac:dyDescent="0.3">
      <c r="H2428" t="str">
        <f t="shared" si="87"/>
        <v/>
      </c>
    </row>
    <row r="2429" spans="8:8" x14ac:dyDescent="0.3">
      <c r="H2429" t="str">
        <f t="shared" si="87"/>
        <v/>
      </c>
    </row>
    <row r="2430" spans="8:8" x14ac:dyDescent="0.3">
      <c r="H2430" t="str">
        <f t="shared" si="87"/>
        <v/>
      </c>
    </row>
    <row r="2431" spans="8:8" x14ac:dyDescent="0.3">
      <c r="H2431" t="str">
        <f t="shared" si="87"/>
        <v/>
      </c>
    </row>
    <row r="2432" spans="8:8" x14ac:dyDescent="0.3">
      <c r="H2432" t="str">
        <f t="shared" si="87"/>
        <v/>
      </c>
    </row>
    <row r="2433" spans="8:8" x14ac:dyDescent="0.3">
      <c r="H2433" t="str">
        <f t="shared" si="87"/>
        <v/>
      </c>
    </row>
    <row r="2434" spans="8:8" x14ac:dyDescent="0.3">
      <c r="H2434" t="str">
        <f t="shared" si="87"/>
        <v/>
      </c>
    </row>
    <row r="2435" spans="8:8" x14ac:dyDescent="0.3">
      <c r="H2435" t="str">
        <f t="shared" si="87"/>
        <v/>
      </c>
    </row>
    <row r="2436" spans="8:8" x14ac:dyDescent="0.3">
      <c r="H2436" t="str">
        <f t="shared" si="87"/>
        <v/>
      </c>
    </row>
    <row r="2437" spans="8:8" x14ac:dyDescent="0.3">
      <c r="H2437" t="str">
        <f t="shared" si="87"/>
        <v/>
      </c>
    </row>
    <row r="2438" spans="8:8" x14ac:dyDescent="0.3">
      <c r="H2438" t="str">
        <f t="shared" si="87"/>
        <v/>
      </c>
    </row>
    <row r="2439" spans="8:8" x14ac:dyDescent="0.3">
      <c r="H2439" t="str">
        <f t="shared" si="87"/>
        <v/>
      </c>
    </row>
    <row r="2440" spans="8:8" x14ac:dyDescent="0.3">
      <c r="H2440" t="str">
        <f t="shared" si="87"/>
        <v/>
      </c>
    </row>
    <row r="2441" spans="8:8" x14ac:dyDescent="0.3">
      <c r="H2441" t="str">
        <f t="shared" si="87"/>
        <v/>
      </c>
    </row>
    <row r="2442" spans="8:8" x14ac:dyDescent="0.3">
      <c r="H2442" t="str">
        <f t="shared" si="87"/>
        <v/>
      </c>
    </row>
    <row r="2443" spans="8:8" x14ac:dyDescent="0.3">
      <c r="H2443" t="str">
        <f t="shared" si="87"/>
        <v/>
      </c>
    </row>
    <row r="2444" spans="8:8" x14ac:dyDescent="0.3">
      <c r="H2444" t="str">
        <f t="shared" si="87"/>
        <v/>
      </c>
    </row>
    <row r="2445" spans="8:8" x14ac:dyDescent="0.3">
      <c r="H2445" t="str">
        <f t="shared" si="87"/>
        <v/>
      </c>
    </row>
    <row r="2446" spans="8:8" x14ac:dyDescent="0.3">
      <c r="H2446" t="str">
        <f t="shared" si="87"/>
        <v/>
      </c>
    </row>
    <row r="2447" spans="8:8" x14ac:dyDescent="0.3">
      <c r="H2447" t="str">
        <f t="shared" si="87"/>
        <v/>
      </c>
    </row>
    <row r="2448" spans="8:8" x14ac:dyDescent="0.3">
      <c r="H2448" t="str">
        <f t="shared" si="87"/>
        <v/>
      </c>
    </row>
    <row r="2449" spans="8:8" x14ac:dyDescent="0.3">
      <c r="H2449" t="str">
        <f t="shared" si="87"/>
        <v/>
      </c>
    </row>
    <row r="2450" spans="8:8" x14ac:dyDescent="0.3">
      <c r="H2450" t="str">
        <f t="shared" si="87"/>
        <v/>
      </c>
    </row>
    <row r="2451" spans="8:8" x14ac:dyDescent="0.3">
      <c r="H2451" t="str">
        <f t="shared" si="87"/>
        <v/>
      </c>
    </row>
    <row r="2452" spans="8:8" x14ac:dyDescent="0.3">
      <c r="H2452" t="str">
        <f t="shared" si="87"/>
        <v/>
      </c>
    </row>
    <row r="2453" spans="8:8" x14ac:dyDescent="0.3">
      <c r="H2453" t="str">
        <f t="shared" si="87"/>
        <v/>
      </c>
    </row>
    <row r="2454" spans="8:8" x14ac:dyDescent="0.3">
      <c r="H2454" t="str">
        <f t="shared" si="87"/>
        <v/>
      </c>
    </row>
    <row r="2455" spans="8:8" x14ac:dyDescent="0.3">
      <c r="H2455" t="str">
        <f t="shared" ref="H2455:H2518" si="88">IF(B2455="","",$C$12)</f>
        <v/>
      </c>
    </row>
    <row r="2456" spans="8:8" x14ac:dyDescent="0.3">
      <c r="H2456" t="str">
        <f t="shared" si="88"/>
        <v/>
      </c>
    </row>
    <row r="2457" spans="8:8" x14ac:dyDescent="0.3">
      <c r="H2457" t="str">
        <f t="shared" si="88"/>
        <v/>
      </c>
    </row>
    <row r="2458" spans="8:8" x14ac:dyDescent="0.3">
      <c r="H2458" t="str">
        <f t="shared" si="88"/>
        <v/>
      </c>
    </row>
    <row r="2459" spans="8:8" x14ac:dyDescent="0.3">
      <c r="H2459" t="str">
        <f t="shared" si="88"/>
        <v/>
      </c>
    </row>
    <row r="2460" spans="8:8" x14ac:dyDescent="0.3">
      <c r="H2460" t="str">
        <f t="shared" si="88"/>
        <v/>
      </c>
    </row>
    <row r="2461" spans="8:8" x14ac:dyDescent="0.3">
      <c r="H2461" t="str">
        <f t="shared" si="88"/>
        <v/>
      </c>
    </row>
    <row r="2462" spans="8:8" x14ac:dyDescent="0.3">
      <c r="H2462" t="str">
        <f t="shared" si="88"/>
        <v/>
      </c>
    </row>
    <row r="2463" spans="8:8" x14ac:dyDescent="0.3">
      <c r="H2463" t="str">
        <f t="shared" si="88"/>
        <v/>
      </c>
    </row>
    <row r="2464" spans="8:8" x14ac:dyDescent="0.3">
      <c r="H2464" t="str">
        <f t="shared" si="88"/>
        <v/>
      </c>
    </row>
    <row r="2465" spans="8:8" x14ac:dyDescent="0.3">
      <c r="H2465" t="str">
        <f t="shared" si="88"/>
        <v/>
      </c>
    </row>
    <row r="2466" spans="8:8" x14ac:dyDescent="0.3">
      <c r="H2466" t="str">
        <f t="shared" si="88"/>
        <v/>
      </c>
    </row>
    <row r="2467" spans="8:8" x14ac:dyDescent="0.3">
      <c r="H2467" t="str">
        <f t="shared" si="88"/>
        <v/>
      </c>
    </row>
    <row r="2468" spans="8:8" x14ac:dyDescent="0.3">
      <c r="H2468" t="str">
        <f t="shared" si="88"/>
        <v/>
      </c>
    </row>
    <row r="2469" spans="8:8" x14ac:dyDescent="0.3">
      <c r="H2469" t="str">
        <f t="shared" si="88"/>
        <v/>
      </c>
    </row>
    <row r="2470" spans="8:8" x14ac:dyDescent="0.3">
      <c r="H2470" t="str">
        <f t="shared" si="88"/>
        <v/>
      </c>
    </row>
    <row r="2471" spans="8:8" x14ac:dyDescent="0.3">
      <c r="H2471" t="str">
        <f t="shared" si="88"/>
        <v/>
      </c>
    </row>
    <row r="2472" spans="8:8" x14ac:dyDescent="0.3">
      <c r="H2472" t="str">
        <f t="shared" si="88"/>
        <v/>
      </c>
    </row>
    <row r="2473" spans="8:8" x14ac:dyDescent="0.3">
      <c r="H2473" t="str">
        <f t="shared" si="88"/>
        <v/>
      </c>
    </row>
    <row r="2474" spans="8:8" x14ac:dyDescent="0.3">
      <c r="H2474" t="str">
        <f t="shared" si="88"/>
        <v/>
      </c>
    </row>
    <row r="2475" spans="8:8" x14ac:dyDescent="0.3">
      <c r="H2475" t="str">
        <f t="shared" si="88"/>
        <v/>
      </c>
    </row>
    <row r="2476" spans="8:8" x14ac:dyDescent="0.3">
      <c r="H2476" t="str">
        <f t="shared" si="88"/>
        <v/>
      </c>
    </row>
    <row r="2477" spans="8:8" x14ac:dyDescent="0.3">
      <c r="H2477" t="str">
        <f t="shared" si="88"/>
        <v/>
      </c>
    </row>
    <row r="2478" spans="8:8" x14ac:dyDescent="0.3">
      <c r="H2478" t="str">
        <f t="shared" si="88"/>
        <v/>
      </c>
    </row>
    <row r="2479" spans="8:8" x14ac:dyDescent="0.3">
      <c r="H2479" t="str">
        <f t="shared" si="88"/>
        <v/>
      </c>
    </row>
    <row r="2480" spans="8:8" x14ac:dyDescent="0.3">
      <c r="H2480" t="str">
        <f t="shared" si="88"/>
        <v/>
      </c>
    </row>
    <row r="2481" spans="8:8" x14ac:dyDescent="0.3">
      <c r="H2481" t="str">
        <f t="shared" si="88"/>
        <v/>
      </c>
    </row>
    <row r="2482" spans="8:8" x14ac:dyDescent="0.3">
      <c r="H2482" t="str">
        <f t="shared" si="88"/>
        <v/>
      </c>
    </row>
    <row r="2483" spans="8:8" x14ac:dyDescent="0.3">
      <c r="H2483" t="str">
        <f t="shared" si="88"/>
        <v/>
      </c>
    </row>
    <row r="2484" spans="8:8" x14ac:dyDescent="0.3">
      <c r="H2484" t="str">
        <f t="shared" si="88"/>
        <v/>
      </c>
    </row>
    <row r="2485" spans="8:8" x14ac:dyDescent="0.3">
      <c r="H2485" t="str">
        <f t="shared" si="88"/>
        <v/>
      </c>
    </row>
    <row r="2486" spans="8:8" x14ac:dyDescent="0.3">
      <c r="H2486" t="str">
        <f t="shared" si="88"/>
        <v/>
      </c>
    </row>
    <row r="2487" spans="8:8" x14ac:dyDescent="0.3">
      <c r="H2487" t="str">
        <f t="shared" si="88"/>
        <v/>
      </c>
    </row>
    <row r="2488" spans="8:8" x14ac:dyDescent="0.3">
      <c r="H2488" t="str">
        <f t="shared" si="88"/>
        <v/>
      </c>
    </row>
    <row r="2489" spans="8:8" x14ac:dyDescent="0.3">
      <c r="H2489" t="str">
        <f t="shared" si="88"/>
        <v/>
      </c>
    </row>
    <row r="2490" spans="8:8" x14ac:dyDescent="0.3">
      <c r="H2490" t="str">
        <f t="shared" si="88"/>
        <v/>
      </c>
    </row>
    <row r="2491" spans="8:8" x14ac:dyDescent="0.3">
      <c r="H2491" t="str">
        <f t="shared" si="88"/>
        <v/>
      </c>
    </row>
    <row r="2492" spans="8:8" x14ac:dyDescent="0.3">
      <c r="H2492" t="str">
        <f t="shared" si="88"/>
        <v/>
      </c>
    </row>
    <row r="2493" spans="8:8" x14ac:dyDescent="0.3">
      <c r="H2493" t="str">
        <f t="shared" si="88"/>
        <v/>
      </c>
    </row>
    <row r="2494" spans="8:8" x14ac:dyDescent="0.3">
      <c r="H2494" t="str">
        <f t="shared" si="88"/>
        <v/>
      </c>
    </row>
    <row r="2495" spans="8:8" x14ac:dyDescent="0.3">
      <c r="H2495" t="str">
        <f t="shared" si="88"/>
        <v/>
      </c>
    </row>
    <row r="2496" spans="8:8" x14ac:dyDescent="0.3">
      <c r="H2496" t="str">
        <f t="shared" si="88"/>
        <v/>
      </c>
    </row>
    <row r="2497" spans="8:8" x14ac:dyDescent="0.3">
      <c r="H2497" t="str">
        <f t="shared" si="88"/>
        <v/>
      </c>
    </row>
    <row r="2498" spans="8:8" x14ac:dyDescent="0.3">
      <c r="H2498" t="str">
        <f t="shared" si="88"/>
        <v/>
      </c>
    </row>
    <row r="2499" spans="8:8" x14ac:dyDescent="0.3">
      <c r="H2499" t="str">
        <f t="shared" si="88"/>
        <v/>
      </c>
    </row>
    <row r="2500" spans="8:8" x14ac:dyDescent="0.3">
      <c r="H2500" t="str">
        <f t="shared" si="88"/>
        <v/>
      </c>
    </row>
    <row r="2501" spans="8:8" x14ac:dyDescent="0.3">
      <c r="H2501" t="str">
        <f t="shared" si="88"/>
        <v/>
      </c>
    </row>
    <row r="2502" spans="8:8" x14ac:dyDescent="0.3">
      <c r="H2502" t="str">
        <f t="shared" si="88"/>
        <v/>
      </c>
    </row>
    <row r="2503" spans="8:8" x14ac:dyDescent="0.3">
      <c r="H2503" t="str">
        <f t="shared" si="88"/>
        <v/>
      </c>
    </row>
    <row r="2504" spans="8:8" x14ac:dyDescent="0.3">
      <c r="H2504" t="str">
        <f t="shared" si="88"/>
        <v/>
      </c>
    </row>
    <row r="2505" spans="8:8" x14ac:dyDescent="0.3">
      <c r="H2505" t="str">
        <f t="shared" si="88"/>
        <v/>
      </c>
    </row>
    <row r="2506" spans="8:8" x14ac:dyDescent="0.3">
      <c r="H2506" t="str">
        <f t="shared" si="88"/>
        <v/>
      </c>
    </row>
    <row r="2507" spans="8:8" x14ac:dyDescent="0.3">
      <c r="H2507" t="str">
        <f t="shared" si="88"/>
        <v/>
      </c>
    </row>
    <row r="2508" spans="8:8" x14ac:dyDescent="0.3">
      <c r="H2508" t="str">
        <f t="shared" si="88"/>
        <v/>
      </c>
    </row>
    <row r="2509" spans="8:8" x14ac:dyDescent="0.3">
      <c r="H2509" t="str">
        <f t="shared" si="88"/>
        <v/>
      </c>
    </row>
    <row r="2510" spans="8:8" x14ac:dyDescent="0.3">
      <c r="H2510" t="str">
        <f t="shared" si="88"/>
        <v/>
      </c>
    </row>
    <row r="2511" spans="8:8" x14ac:dyDescent="0.3">
      <c r="H2511" t="str">
        <f t="shared" si="88"/>
        <v/>
      </c>
    </row>
    <row r="2512" spans="8:8" x14ac:dyDescent="0.3">
      <c r="H2512" t="str">
        <f t="shared" si="88"/>
        <v/>
      </c>
    </row>
    <row r="2513" spans="8:8" x14ac:dyDescent="0.3">
      <c r="H2513" t="str">
        <f t="shared" si="88"/>
        <v/>
      </c>
    </row>
    <row r="2514" spans="8:8" x14ac:dyDescent="0.3">
      <c r="H2514" t="str">
        <f t="shared" si="88"/>
        <v/>
      </c>
    </row>
    <row r="2515" spans="8:8" x14ac:dyDescent="0.3">
      <c r="H2515" t="str">
        <f t="shared" si="88"/>
        <v/>
      </c>
    </row>
    <row r="2516" spans="8:8" x14ac:dyDescent="0.3">
      <c r="H2516" t="str">
        <f t="shared" si="88"/>
        <v/>
      </c>
    </row>
    <row r="2517" spans="8:8" x14ac:dyDescent="0.3">
      <c r="H2517" t="str">
        <f t="shared" si="88"/>
        <v/>
      </c>
    </row>
    <row r="2518" spans="8:8" x14ac:dyDescent="0.3">
      <c r="H2518" t="str">
        <f t="shared" si="88"/>
        <v/>
      </c>
    </row>
    <row r="2519" spans="8:8" x14ac:dyDescent="0.3">
      <c r="H2519" t="str">
        <f t="shared" ref="H2519:H2582" si="89">IF(B2519="","",$C$12)</f>
        <v/>
      </c>
    </row>
    <row r="2520" spans="8:8" x14ac:dyDescent="0.3">
      <c r="H2520" t="str">
        <f t="shared" si="89"/>
        <v/>
      </c>
    </row>
    <row r="2521" spans="8:8" x14ac:dyDescent="0.3">
      <c r="H2521" t="str">
        <f t="shared" si="89"/>
        <v/>
      </c>
    </row>
    <row r="2522" spans="8:8" x14ac:dyDescent="0.3">
      <c r="H2522" t="str">
        <f t="shared" si="89"/>
        <v/>
      </c>
    </row>
    <row r="2523" spans="8:8" x14ac:dyDescent="0.3">
      <c r="H2523" t="str">
        <f t="shared" si="89"/>
        <v/>
      </c>
    </row>
    <row r="2524" spans="8:8" x14ac:dyDescent="0.3">
      <c r="H2524" t="str">
        <f t="shared" si="89"/>
        <v/>
      </c>
    </row>
    <row r="2525" spans="8:8" x14ac:dyDescent="0.3">
      <c r="H2525" t="str">
        <f t="shared" si="89"/>
        <v/>
      </c>
    </row>
    <row r="2526" spans="8:8" x14ac:dyDescent="0.3">
      <c r="H2526" t="str">
        <f t="shared" si="89"/>
        <v/>
      </c>
    </row>
    <row r="2527" spans="8:8" x14ac:dyDescent="0.3">
      <c r="H2527" t="str">
        <f t="shared" si="89"/>
        <v/>
      </c>
    </row>
    <row r="2528" spans="8:8" x14ac:dyDescent="0.3">
      <c r="H2528" t="str">
        <f t="shared" si="89"/>
        <v/>
      </c>
    </row>
    <row r="2529" spans="8:8" x14ac:dyDescent="0.3">
      <c r="H2529" t="str">
        <f t="shared" si="89"/>
        <v/>
      </c>
    </row>
    <row r="2530" spans="8:8" x14ac:dyDescent="0.3">
      <c r="H2530" t="str">
        <f t="shared" si="89"/>
        <v/>
      </c>
    </row>
    <row r="2531" spans="8:8" x14ac:dyDescent="0.3">
      <c r="H2531" t="str">
        <f t="shared" si="89"/>
        <v/>
      </c>
    </row>
    <row r="2532" spans="8:8" x14ac:dyDescent="0.3">
      <c r="H2532" t="str">
        <f t="shared" si="89"/>
        <v/>
      </c>
    </row>
    <row r="2533" spans="8:8" x14ac:dyDescent="0.3">
      <c r="H2533" t="str">
        <f t="shared" si="89"/>
        <v/>
      </c>
    </row>
    <row r="2534" spans="8:8" x14ac:dyDescent="0.3">
      <c r="H2534" t="str">
        <f t="shared" si="89"/>
        <v/>
      </c>
    </row>
    <row r="2535" spans="8:8" x14ac:dyDescent="0.3">
      <c r="H2535" t="str">
        <f t="shared" si="89"/>
        <v/>
      </c>
    </row>
    <row r="2536" spans="8:8" x14ac:dyDescent="0.3">
      <c r="H2536" t="str">
        <f t="shared" si="89"/>
        <v/>
      </c>
    </row>
    <row r="2537" spans="8:8" x14ac:dyDescent="0.3">
      <c r="H2537" t="str">
        <f t="shared" si="89"/>
        <v/>
      </c>
    </row>
    <row r="2538" spans="8:8" x14ac:dyDescent="0.3">
      <c r="H2538" t="str">
        <f t="shared" si="89"/>
        <v/>
      </c>
    </row>
    <row r="2539" spans="8:8" x14ac:dyDescent="0.3">
      <c r="H2539" t="str">
        <f t="shared" si="89"/>
        <v/>
      </c>
    </row>
    <row r="2540" spans="8:8" x14ac:dyDescent="0.3">
      <c r="H2540" t="str">
        <f t="shared" si="89"/>
        <v/>
      </c>
    </row>
    <row r="2541" spans="8:8" x14ac:dyDescent="0.3">
      <c r="H2541" t="str">
        <f t="shared" si="89"/>
        <v/>
      </c>
    </row>
    <row r="2542" spans="8:8" x14ac:dyDescent="0.3">
      <c r="H2542" t="str">
        <f t="shared" si="89"/>
        <v/>
      </c>
    </row>
    <row r="2543" spans="8:8" x14ac:dyDescent="0.3">
      <c r="H2543" t="str">
        <f t="shared" si="89"/>
        <v/>
      </c>
    </row>
    <row r="2544" spans="8:8" x14ac:dyDescent="0.3">
      <c r="H2544" t="str">
        <f t="shared" si="89"/>
        <v/>
      </c>
    </row>
    <row r="2545" spans="8:8" x14ac:dyDescent="0.3">
      <c r="H2545" t="str">
        <f t="shared" si="89"/>
        <v/>
      </c>
    </row>
    <row r="2546" spans="8:8" x14ac:dyDescent="0.3">
      <c r="H2546" t="str">
        <f t="shared" si="89"/>
        <v/>
      </c>
    </row>
    <row r="2547" spans="8:8" x14ac:dyDescent="0.3">
      <c r="H2547" t="str">
        <f t="shared" si="89"/>
        <v/>
      </c>
    </row>
    <row r="2548" spans="8:8" x14ac:dyDescent="0.3">
      <c r="H2548" t="str">
        <f t="shared" si="89"/>
        <v/>
      </c>
    </row>
    <row r="2549" spans="8:8" x14ac:dyDescent="0.3">
      <c r="H2549" t="str">
        <f t="shared" si="89"/>
        <v/>
      </c>
    </row>
    <row r="2550" spans="8:8" x14ac:dyDescent="0.3">
      <c r="H2550" t="str">
        <f t="shared" si="89"/>
        <v/>
      </c>
    </row>
    <row r="2551" spans="8:8" x14ac:dyDescent="0.3">
      <c r="H2551" t="str">
        <f t="shared" si="89"/>
        <v/>
      </c>
    </row>
    <row r="2552" spans="8:8" x14ac:dyDescent="0.3">
      <c r="H2552" t="str">
        <f t="shared" si="89"/>
        <v/>
      </c>
    </row>
    <row r="2553" spans="8:8" x14ac:dyDescent="0.3">
      <c r="H2553" t="str">
        <f t="shared" si="89"/>
        <v/>
      </c>
    </row>
    <row r="2554" spans="8:8" x14ac:dyDescent="0.3">
      <c r="H2554" t="str">
        <f t="shared" si="89"/>
        <v/>
      </c>
    </row>
    <row r="2555" spans="8:8" x14ac:dyDescent="0.3">
      <c r="H2555" t="str">
        <f t="shared" si="89"/>
        <v/>
      </c>
    </row>
    <row r="2556" spans="8:8" x14ac:dyDescent="0.3">
      <c r="H2556" t="str">
        <f t="shared" si="89"/>
        <v/>
      </c>
    </row>
    <row r="2557" spans="8:8" x14ac:dyDescent="0.3">
      <c r="H2557" t="str">
        <f t="shared" si="89"/>
        <v/>
      </c>
    </row>
    <row r="2558" spans="8:8" x14ac:dyDescent="0.3">
      <c r="H2558" t="str">
        <f t="shared" si="89"/>
        <v/>
      </c>
    </row>
    <row r="2559" spans="8:8" x14ac:dyDescent="0.3">
      <c r="H2559" t="str">
        <f t="shared" si="89"/>
        <v/>
      </c>
    </row>
    <row r="2560" spans="8:8" x14ac:dyDescent="0.3">
      <c r="H2560" t="str">
        <f t="shared" si="89"/>
        <v/>
      </c>
    </row>
    <row r="2561" spans="8:8" x14ac:dyDescent="0.3">
      <c r="H2561" t="str">
        <f t="shared" si="89"/>
        <v/>
      </c>
    </row>
    <row r="2562" spans="8:8" x14ac:dyDescent="0.3">
      <c r="H2562" t="str">
        <f t="shared" si="89"/>
        <v/>
      </c>
    </row>
    <row r="2563" spans="8:8" x14ac:dyDescent="0.3">
      <c r="H2563" t="str">
        <f t="shared" si="89"/>
        <v/>
      </c>
    </row>
    <row r="2564" spans="8:8" x14ac:dyDescent="0.3">
      <c r="H2564" t="str">
        <f t="shared" si="89"/>
        <v/>
      </c>
    </row>
    <row r="2565" spans="8:8" x14ac:dyDescent="0.3">
      <c r="H2565" t="str">
        <f t="shared" si="89"/>
        <v/>
      </c>
    </row>
    <row r="2566" spans="8:8" x14ac:dyDescent="0.3">
      <c r="H2566" t="str">
        <f t="shared" si="89"/>
        <v/>
      </c>
    </row>
    <row r="2567" spans="8:8" x14ac:dyDescent="0.3">
      <c r="H2567" t="str">
        <f t="shared" si="89"/>
        <v/>
      </c>
    </row>
    <row r="2568" spans="8:8" x14ac:dyDescent="0.3">
      <c r="H2568" t="str">
        <f t="shared" si="89"/>
        <v/>
      </c>
    </row>
    <row r="2569" spans="8:8" x14ac:dyDescent="0.3">
      <c r="H2569" t="str">
        <f t="shared" si="89"/>
        <v/>
      </c>
    </row>
    <row r="2570" spans="8:8" x14ac:dyDescent="0.3">
      <c r="H2570" t="str">
        <f t="shared" si="89"/>
        <v/>
      </c>
    </row>
    <row r="2571" spans="8:8" x14ac:dyDescent="0.3">
      <c r="H2571" t="str">
        <f t="shared" si="89"/>
        <v/>
      </c>
    </row>
    <row r="2572" spans="8:8" x14ac:dyDescent="0.3">
      <c r="H2572" t="str">
        <f t="shared" si="89"/>
        <v/>
      </c>
    </row>
    <row r="2573" spans="8:8" x14ac:dyDescent="0.3">
      <c r="H2573" t="str">
        <f t="shared" si="89"/>
        <v/>
      </c>
    </row>
    <row r="2574" spans="8:8" x14ac:dyDescent="0.3">
      <c r="H2574" t="str">
        <f t="shared" si="89"/>
        <v/>
      </c>
    </row>
    <row r="2575" spans="8:8" x14ac:dyDescent="0.3">
      <c r="H2575" t="str">
        <f t="shared" si="89"/>
        <v/>
      </c>
    </row>
    <row r="2576" spans="8:8" x14ac:dyDescent="0.3">
      <c r="H2576" t="str">
        <f t="shared" si="89"/>
        <v/>
      </c>
    </row>
    <row r="2577" spans="8:8" x14ac:dyDescent="0.3">
      <c r="H2577" t="str">
        <f t="shared" si="89"/>
        <v/>
      </c>
    </row>
    <row r="2578" spans="8:8" x14ac:dyDescent="0.3">
      <c r="H2578" t="str">
        <f t="shared" si="89"/>
        <v/>
      </c>
    </row>
    <row r="2579" spans="8:8" x14ac:dyDescent="0.3">
      <c r="H2579" t="str">
        <f t="shared" si="89"/>
        <v/>
      </c>
    </row>
    <row r="2580" spans="8:8" x14ac:dyDescent="0.3">
      <c r="H2580" t="str">
        <f t="shared" si="89"/>
        <v/>
      </c>
    </row>
    <row r="2581" spans="8:8" x14ac:dyDescent="0.3">
      <c r="H2581" t="str">
        <f t="shared" si="89"/>
        <v/>
      </c>
    </row>
    <row r="2582" spans="8:8" x14ac:dyDescent="0.3">
      <c r="H2582" t="str">
        <f t="shared" si="89"/>
        <v/>
      </c>
    </row>
    <row r="2583" spans="8:8" x14ac:dyDescent="0.3">
      <c r="H2583" t="str">
        <f t="shared" ref="H2583:H2646" si="90">IF(B2583="","",$C$12)</f>
        <v/>
      </c>
    </row>
    <row r="2584" spans="8:8" x14ac:dyDescent="0.3">
      <c r="H2584" t="str">
        <f t="shared" si="90"/>
        <v/>
      </c>
    </row>
    <row r="2585" spans="8:8" x14ac:dyDescent="0.3">
      <c r="H2585" t="str">
        <f t="shared" si="90"/>
        <v/>
      </c>
    </row>
    <row r="2586" spans="8:8" x14ac:dyDescent="0.3">
      <c r="H2586" t="str">
        <f t="shared" si="90"/>
        <v/>
      </c>
    </row>
    <row r="2587" spans="8:8" x14ac:dyDescent="0.3">
      <c r="H2587" t="str">
        <f t="shared" si="90"/>
        <v/>
      </c>
    </row>
    <row r="2588" spans="8:8" x14ac:dyDescent="0.3">
      <c r="H2588" t="str">
        <f t="shared" si="90"/>
        <v/>
      </c>
    </row>
    <row r="2589" spans="8:8" x14ac:dyDescent="0.3">
      <c r="H2589" t="str">
        <f t="shared" si="90"/>
        <v/>
      </c>
    </row>
    <row r="2590" spans="8:8" x14ac:dyDescent="0.3">
      <c r="H2590" t="str">
        <f t="shared" si="90"/>
        <v/>
      </c>
    </row>
    <row r="2591" spans="8:8" x14ac:dyDescent="0.3">
      <c r="H2591" t="str">
        <f t="shared" si="90"/>
        <v/>
      </c>
    </row>
    <row r="2592" spans="8:8" x14ac:dyDescent="0.3">
      <c r="H2592" t="str">
        <f t="shared" si="90"/>
        <v/>
      </c>
    </row>
    <row r="2593" spans="8:8" x14ac:dyDescent="0.3">
      <c r="H2593" t="str">
        <f t="shared" si="90"/>
        <v/>
      </c>
    </row>
    <row r="2594" spans="8:8" x14ac:dyDescent="0.3">
      <c r="H2594" t="str">
        <f t="shared" si="90"/>
        <v/>
      </c>
    </row>
    <row r="2595" spans="8:8" x14ac:dyDescent="0.3">
      <c r="H2595" t="str">
        <f t="shared" si="90"/>
        <v/>
      </c>
    </row>
    <row r="2596" spans="8:8" x14ac:dyDescent="0.3">
      <c r="H2596" t="str">
        <f t="shared" si="90"/>
        <v/>
      </c>
    </row>
    <row r="2597" spans="8:8" x14ac:dyDescent="0.3">
      <c r="H2597" t="str">
        <f t="shared" si="90"/>
        <v/>
      </c>
    </row>
    <row r="2598" spans="8:8" x14ac:dyDescent="0.3">
      <c r="H2598" t="str">
        <f t="shared" si="90"/>
        <v/>
      </c>
    </row>
    <row r="2599" spans="8:8" x14ac:dyDescent="0.3">
      <c r="H2599" t="str">
        <f t="shared" si="90"/>
        <v/>
      </c>
    </row>
    <row r="2600" spans="8:8" x14ac:dyDescent="0.3">
      <c r="H2600" t="str">
        <f t="shared" si="90"/>
        <v/>
      </c>
    </row>
    <row r="2601" spans="8:8" x14ac:dyDescent="0.3">
      <c r="H2601" t="str">
        <f t="shared" si="90"/>
        <v/>
      </c>
    </row>
    <row r="2602" spans="8:8" x14ac:dyDescent="0.3">
      <c r="H2602" t="str">
        <f t="shared" si="90"/>
        <v/>
      </c>
    </row>
    <row r="2603" spans="8:8" x14ac:dyDescent="0.3">
      <c r="H2603" t="str">
        <f t="shared" si="90"/>
        <v/>
      </c>
    </row>
    <row r="2604" spans="8:8" x14ac:dyDescent="0.3">
      <c r="H2604" t="str">
        <f t="shared" si="90"/>
        <v/>
      </c>
    </row>
    <row r="2605" spans="8:8" x14ac:dyDescent="0.3">
      <c r="H2605" t="str">
        <f t="shared" si="90"/>
        <v/>
      </c>
    </row>
    <row r="2606" spans="8:8" x14ac:dyDescent="0.3">
      <c r="H2606" t="str">
        <f t="shared" si="90"/>
        <v/>
      </c>
    </row>
    <row r="2607" spans="8:8" x14ac:dyDescent="0.3">
      <c r="H2607" t="str">
        <f t="shared" si="90"/>
        <v/>
      </c>
    </row>
    <row r="2608" spans="8:8" x14ac:dyDescent="0.3">
      <c r="H2608" t="str">
        <f t="shared" si="90"/>
        <v/>
      </c>
    </row>
    <row r="2609" spans="8:8" x14ac:dyDescent="0.3">
      <c r="H2609" t="str">
        <f t="shared" si="90"/>
        <v/>
      </c>
    </row>
    <row r="2610" spans="8:8" x14ac:dyDescent="0.3">
      <c r="H2610" t="str">
        <f t="shared" si="90"/>
        <v/>
      </c>
    </row>
    <row r="2611" spans="8:8" x14ac:dyDescent="0.3">
      <c r="H2611" t="str">
        <f t="shared" si="90"/>
        <v/>
      </c>
    </row>
    <row r="2612" spans="8:8" x14ac:dyDescent="0.3">
      <c r="H2612" t="str">
        <f t="shared" si="90"/>
        <v/>
      </c>
    </row>
    <row r="2613" spans="8:8" x14ac:dyDescent="0.3">
      <c r="H2613" t="str">
        <f t="shared" si="90"/>
        <v/>
      </c>
    </row>
    <row r="2614" spans="8:8" x14ac:dyDescent="0.3">
      <c r="H2614" t="str">
        <f t="shared" si="90"/>
        <v/>
      </c>
    </row>
    <row r="2615" spans="8:8" x14ac:dyDescent="0.3">
      <c r="H2615" t="str">
        <f t="shared" si="90"/>
        <v/>
      </c>
    </row>
    <row r="2616" spans="8:8" x14ac:dyDescent="0.3">
      <c r="H2616" t="str">
        <f t="shared" si="90"/>
        <v/>
      </c>
    </row>
    <row r="2617" spans="8:8" x14ac:dyDescent="0.3">
      <c r="H2617" t="str">
        <f t="shared" si="90"/>
        <v/>
      </c>
    </row>
    <row r="2618" spans="8:8" x14ac:dyDescent="0.3">
      <c r="H2618" t="str">
        <f t="shared" si="90"/>
        <v/>
      </c>
    </row>
    <row r="2619" spans="8:8" x14ac:dyDescent="0.3">
      <c r="H2619" t="str">
        <f t="shared" si="90"/>
        <v/>
      </c>
    </row>
    <row r="2620" spans="8:8" x14ac:dyDescent="0.3">
      <c r="H2620" t="str">
        <f t="shared" si="90"/>
        <v/>
      </c>
    </row>
    <row r="2621" spans="8:8" x14ac:dyDescent="0.3">
      <c r="H2621" t="str">
        <f t="shared" si="90"/>
        <v/>
      </c>
    </row>
    <row r="2622" spans="8:8" x14ac:dyDescent="0.3">
      <c r="H2622" t="str">
        <f t="shared" si="90"/>
        <v/>
      </c>
    </row>
    <row r="2623" spans="8:8" x14ac:dyDescent="0.3">
      <c r="H2623" t="str">
        <f t="shared" si="90"/>
        <v/>
      </c>
    </row>
    <row r="2624" spans="8:8" x14ac:dyDescent="0.3">
      <c r="H2624" t="str">
        <f t="shared" si="90"/>
        <v/>
      </c>
    </row>
    <row r="2625" spans="8:8" x14ac:dyDescent="0.3">
      <c r="H2625" t="str">
        <f t="shared" si="90"/>
        <v/>
      </c>
    </row>
    <row r="2626" spans="8:8" x14ac:dyDescent="0.3">
      <c r="H2626" t="str">
        <f t="shared" si="90"/>
        <v/>
      </c>
    </row>
    <row r="2627" spans="8:8" x14ac:dyDescent="0.3">
      <c r="H2627" t="str">
        <f t="shared" si="90"/>
        <v/>
      </c>
    </row>
    <row r="2628" spans="8:8" x14ac:dyDescent="0.3">
      <c r="H2628" t="str">
        <f t="shared" si="90"/>
        <v/>
      </c>
    </row>
    <row r="2629" spans="8:8" x14ac:dyDescent="0.3">
      <c r="H2629" t="str">
        <f t="shared" si="90"/>
        <v/>
      </c>
    </row>
    <row r="2630" spans="8:8" x14ac:dyDescent="0.3">
      <c r="H2630" t="str">
        <f t="shared" si="90"/>
        <v/>
      </c>
    </row>
    <row r="2631" spans="8:8" x14ac:dyDescent="0.3">
      <c r="H2631" t="str">
        <f t="shared" si="90"/>
        <v/>
      </c>
    </row>
    <row r="2632" spans="8:8" x14ac:dyDescent="0.3">
      <c r="H2632" t="str">
        <f t="shared" si="90"/>
        <v/>
      </c>
    </row>
    <row r="2633" spans="8:8" x14ac:dyDescent="0.3">
      <c r="H2633" t="str">
        <f t="shared" si="90"/>
        <v/>
      </c>
    </row>
    <row r="2634" spans="8:8" x14ac:dyDescent="0.3">
      <c r="H2634" t="str">
        <f t="shared" si="90"/>
        <v/>
      </c>
    </row>
    <row r="2635" spans="8:8" x14ac:dyDescent="0.3">
      <c r="H2635" t="str">
        <f t="shared" si="90"/>
        <v/>
      </c>
    </row>
    <row r="2636" spans="8:8" x14ac:dyDescent="0.3">
      <c r="H2636" t="str">
        <f t="shared" si="90"/>
        <v/>
      </c>
    </row>
    <row r="2637" spans="8:8" x14ac:dyDescent="0.3">
      <c r="H2637" t="str">
        <f t="shared" si="90"/>
        <v/>
      </c>
    </row>
    <row r="2638" spans="8:8" x14ac:dyDescent="0.3">
      <c r="H2638" t="str">
        <f t="shared" si="90"/>
        <v/>
      </c>
    </row>
    <row r="2639" spans="8:8" x14ac:dyDescent="0.3">
      <c r="H2639" t="str">
        <f t="shared" si="90"/>
        <v/>
      </c>
    </row>
    <row r="2640" spans="8:8" x14ac:dyDescent="0.3">
      <c r="H2640" t="str">
        <f t="shared" si="90"/>
        <v/>
      </c>
    </row>
    <row r="2641" spans="8:8" x14ac:dyDescent="0.3">
      <c r="H2641" t="str">
        <f t="shared" si="90"/>
        <v/>
      </c>
    </row>
    <row r="2642" spans="8:8" x14ac:dyDescent="0.3">
      <c r="H2642" t="str">
        <f t="shared" si="90"/>
        <v/>
      </c>
    </row>
    <row r="2643" spans="8:8" x14ac:dyDescent="0.3">
      <c r="H2643" t="str">
        <f t="shared" si="90"/>
        <v/>
      </c>
    </row>
    <row r="2644" spans="8:8" x14ac:dyDescent="0.3">
      <c r="H2644" t="str">
        <f t="shared" si="90"/>
        <v/>
      </c>
    </row>
    <row r="2645" spans="8:8" x14ac:dyDescent="0.3">
      <c r="H2645" t="str">
        <f t="shared" si="90"/>
        <v/>
      </c>
    </row>
    <row r="2646" spans="8:8" x14ac:dyDescent="0.3">
      <c r="H2646" t="str">
        <f t="shared" si="90"/>
        <v/>
      </c>
    </row>
    <row r="2647" spans="8:8" x14ac:dyDescent="0.3">
      <c r="H2647" t="str">
        <f t="shared" ref="H2647:H2710" si="91">IF(B2647="","",$C$12)</f>
        <v/>
      </c>
    </row>
    <row r="2648" spans="8:8" x14ac:dyDescent="0.3">
      <c r="H2648" t="str">
        <f t="shared" si="91"/>
        <v/>
      </c>
    </row>
    <row r="2649" spans="8:8" x14ac:dyDescent="0.3">
      <c r="H2649" t="str">
        <f t="shared" si="91"/>
        <v/>
      </c>
    </row>
    <row r="2650" spans="8:8" x14ac:dyDescent="0.3">
      <c r="H2650" t="str">
        <f t="shared" si="91"/>
        <v/>
      </c>
    </row>
    <row r="2651" spans="8:8" x14ac:dyDescent="0.3">
      <c r="H2651" t="str">
        <f t="shared" si="91"/>
        <v/>
      </c>
    </row>
    <row r="2652" spans="8:8" x14ac:dyDescent="0.3">
      <c r="H2652" t="str">
        <f t="shared" si="91"/>
        <v/>
      </c>
    </row>
    <row r="2653" spans="8:8" x14ac:dyDescent="0.3">
      <c r="H2653" t="str">
        <f t="shared" si="91"/>
        <v/>
      </c>
    </row>
    <row r="2654" spans="8:8" x14ac:dyDescent="0.3">
      <c r="H2654" t="str">
        <f t="shared" si="91"/>
        <v/>
      </c>
    </row>
    <row r="2655" spans="8:8" x14ac:dyDescent="0.3">
      <c r="H2655" t="str">
        <f t="shared" si="91"/>
        <v/>
      </c>
    </row>
    <row r="2656" spans="8:8" x14ac:dyDescent="0.3">
      <c r="H2656" t="str">
        <f t="shared" si="91"/>
        <v/>
      </c>
    </row>
    <row r="2657" spans="8:8" x14ac:dyDescent="0.3">
      <c r="H2657" t="str">
        <f t="shared" si="91"/>
        <v/>
      </c>
    </row>
    <row r="2658" spans="8:8" x14ac:dyDescent="0.3">
      <c r="H2658" t="str">
        <f t="shared" si="91"/>
        <v/>
      </c>
    </row>
    <row r="2659" spans="8:8" x14ac:dyDescent="0.3">
      <c r="H2659" t="str">
        <f t="shared" si="91"/>
        <v/>
      </c>
    </row>
    <row r="2660" spans="8:8" x14ac:dyDescent="0.3">
      <c r="H2660" t="str">
        <f t="shared" si="91"/>
        <v/>
      </c>
    </row>
    <row r="2661" spans="8:8" x14ac:dyDescent="0.3">
      <c r="H2661" t="str">
        <f t="shared" si="91"/>
        <v/>
      </c>
    </row>
    <row r="2662" spans="8:8" x14ac:dyDescent="0.3">
      <c r="H2662" t="str">
        <f t="shared" si="91"/>
        <v/>
      </c>
    </row>
    <row r="2663" spans="8:8" x14ac:dyDescent="0.3">
      <c r="H2663" t="str">
        <f t="shared" si="91"/>
        <v/>
      </c>
    </row>
    <row r="2664" spans="8:8" x14ac:dyDescent="0.3">
      <c r="H2664" t="str">
        <f t="shared" si="91"/>
        <v/>
      </c>
    </row>
    <row r="2665" spans="8:8" x14ac:dyDescent="0.3">
      <c r="H2665" t="str">
        <f t="shared" si="91"/>
        <v/>
      </c>
    </row>
    <row r="2666" spans="8:8" x14ac:dyDescent="0.3">
      <c r="H2666" t="str">
        <f t="shared" si="91"/>
        <v/>
      </c>
    </row>
    <row r="2667" spans="8:8" x14ac:dyDescent="0.3">
      <c r="H2667" t="str">
        <f t="shared" si="91"/>
        <v/>
      </c>
    </row>
    <row r="2668" spans="8:8" x14ac:dyDescent="0.3">
      <c r="H2668" t="str">
        <f t="shared" si="91"/>
        <v/>
      </c>
    </row>
    <row r="2669" spans="8:8" x14ac:dyDescent="0.3">
      <c r="H2669" t="str">
        <f t="shared" si="91"/>
        <v/>
      </c>
    </row>
    <row r="2670" spans="8:8" x14ac:dyDescent="0.3">
      <c r="H2670" t="str">
        <f t="shared" si="91"/>
        <v/>
      </c>
    </row>
    <row r="2671" spans="8:8" x14ac:dyDescent="0.3">
      <c r="H2671" t="str">
        <f t="shared" si="91"/>
        <v/>
      </c>
    </row>
    <row r="2672" spans="8:8" x14ac:dyDescent="0.3">
      <c r="H2672" t="str">
        <f t="shared" si="91"/>
        <v/>
      </c>
    </row>
    <row r="2673" spans="8:8" x14ac:dyDescent="0.3">
      <c r="H2673" t="str">
        <f t="shared" si="91"/>
        <v/>
      </c>
    </row>
    <row r="2674" spans="8:8" x14ac:dyDescent="0.3">
      <c r="H2674" t="str">
        <f t="shared" si="91"/>
        <v/>
      </c>
    </row>
    <row r="2675" spans="8:8" x14ac:dyDescent="0.3">
      <c r="H2675" t="str">
        <f t="shared" si="91"/>
        <v/>
      </c>
    </row>
    <row r="2676" spans="8:8" x14ac:dyDescent="0.3">
      <c r="H2676" t="str">
        <f t="shared" si="91"/>
        <v/>
      </c>
    </row>
    <row r="2677" spans="8:8" x14ac:dyDescent="0.3">
      <c r="H2677" t="str">
        <f t="shared" si="91"/>
        <v/>
      </c>
    </row>
    <row r="2678" spans="8:8" x14ac:dyDescent="0.3">
      <c r="H2678" t="str">
        <f t="shared" si="91"/>
        <v/>
      </c>
    </row>
    <row r="2679" spans="8:8" x14ac:dyDescent="0.3">
      <c r="H2679" t="str">
        <f t="shared" si="91"/>
        <v/>
      </c>
    </row>
    <row r="2680" spans="8:8" x14ac:dyDescent="0.3">
      <c r="H2680" t="str">
        <f t="shared" si="91"/>
        <v/>
      </c>
    </row>
    <row r="2681" spans="8:8" x14ac:dyDescent="0.3">
      <c r="H2681" t="str">
        <f t="shared" si="91"/>
        <v/>
      </c>
    </row>
    <row r="2682" spans="8:8" x14ac:dyDescent="0.3">
      <c r="H2682" t="str">
        <f t="shared" si="91"/>
        <v/>
      </c>
    </row>
    <row r="2683" spans="8:8" x14ac:dyDescent="0.3">
      <c r="H2683" t="str">
        <f t="shared" si="91"/>
        <v/>
      </c>
    </row>
    <row r="2684" spans="8:8" x14ac:dyDescent="0.3">
      <c r="H2684" t="str">
        <f t="shared" si="91"/>
        <v/>
      </c>
    </row>
    <row r="2685" spans="8:8" x14ac:dyDescent="0.3">
      <c r="H2685" t="str">
        <f t="shared" si="91"/>
        <v/>
      </c>
    </row>
    <row r="2686" spans="8:8" x14ac:dyDescent="0.3">
      <c r="H2686" t="str">
        <f t="shared" si="91"/>
        <v/>
      </c>
    </row>
    <row r="2687" spans="8:8" x14ac:dyDescent="0.3">
      <c r="H2687" t="str">
        <f t="shared" si="91"/>
        <v/>
      </c>
    </row>
    <row r="2688" spans="8:8" x14ac:dyDescent="0.3">
      <c r="H2688" t="str">
        <f t="shared" si="91"/>
        <v/>
      </c>
    </row>
    <row r="2689" spans="8:8" x14ac:dyDescent="0.3">
      <c r="H2689" t="str">
        <f t="shared" si="91"/>
        <v/>
      </c>
    </row>
    <row r="2690" spans="8:8" x14ac:dyDescent="0.3">
      <c r="H2690" t="str">
        <f t="shared" si="91"/>
        <v/>
      </c>
    </row>
    <row r="2691" spans="8:8" x14ac:dyDescent="0.3">
      <c r="H2691" t="str">
        <f t="shared" si="91"/>
        <v/>
      </c>
    </row>
    <row r="2692" spans="8:8" x14ac:dyDescent="0.3">
      <c r="H2692" t="str">
        <f t="shared" si="91"/>
        <v/>
      </c>
    </row>
    <row r="2693" spans="8:8" x14ac:dyDescent="0.3">
      <c r="H2693" t="str">
        <f t="shared" si="91"/>
        <v/>
      </c>
    </row>
    <row r="2694" spans="8:8" x14ac:dyDescent="0.3">
      <c r="H2694" t="str">
        <f t="shared" si="91"/>
        <v/>
      </c>
    </row>
    <row r="2695" spans="8:8" x14ac:dyDescent="0.3">
      <c r="H2695" t="str">
        <f t="shared" si="91"/>
        <v/>
      </c>
    </row>
    <row r="2696" spans="8:8" x14ac:dyDescent="0.3">
      <c r="H2696" t="str">
        <f t="shared" si="91"/>
        <v/>
      </c>
    </row>
    <row r="2697" spans="8:8" x14ac:dyDescent="0.3">
      <c r="H2697" t="str">
        <f t="shared" si="91"/>
        <v/>
      </c>
    </row>
    <row r="2698" spans="8:8" x14ac:dyDescent="0.3">
      <c r="H2698" t="str">
        <f t="shared" si="91"/>
        <v/>
      </c>
    </row>
    <row r="2699" spans="8:8" x14ac:dyDescent="0.3">
      <c r="H2699" t="str">
        <f t="shared" si="91"/>
        <v/>
      </c>
    </row>
    <row r="2700" spans="8:8" x14ac:dyDescent="0.3">
      <c r="H2700" t="str">
        <f t="shared" si="91"/>
        <v/>
      </c>
    </row>
    <row r="2701" spans="8:8" x14ac:dyDescent="0.3">
      <c r="H2701" t="str">
        <f t="shared" si="91"/>
        <v/>
      </c>
    </row>
    <row r="2702" spans="8:8" x14ac:dyDescent="0.3">
      <c r="H2702" t="str">
        <f t="shared" si="91"/>
        <v/>
      </c>
    </row>
    <row r="2703" spans="8:8" x14ac:dyDescent="0.3">
      <c r="H2703" t="str">
        <f t="shared" si="91"/>
        <v/>
      </c>
    </row>
    <row r="2704" spans="8:8" x14ac:dyDescent="0.3">
      <c r="H2704" t="str">
        <f t="shared" si="91"/>
        <v/>
      </c>
    </row>
    <row r="2705" spans="8:8" x14ac:dyDescent="0.3">
      <c r="H2705" t="str">
        <f t="shared" si="91"/>
        <v/>
      </c>
    </row>
    <row r="2706" spans="8:8" x14ac:dyDescent="0.3">
      <c r="H2706" t="str">
        <f t="shared" si="91"/>
        <v/>
      </c>
    </row>
    <row r="2707" spans="8:8" x14ac:dyDescent="0.3">
      <c r="H2707" t="str">
        <f t="shared" si="91"/>
        <v/>
      </c>
    </row>
    <row r="2708" spans="8:8" x14ac:dyDescent="0.3">
      <c r="H2708" t="str">
        <f t="shared" si="91"/>
        <v/>
      </c>
    </row>
    <row r="2709" spans="8:8" x14ac:dyDescent="0.3">
      <c r="H2709" t="str">
        <f t="shared" si="91"/>
        <v/>
      </c>
    </row>
    <row r="2710" spans="8:8" x14ac:dyDescent="0.3">
      <c r="H2710" t="str">
        <f t="shared" si="91"/>
        <v/>
      </c>
    </row>
    <row r="2711" spans="8:8" x14ac:dyDescent="0.3">
      <c r="H2711" t="str">
        <f t="shared" ref="H2711:H2774" si="92">IF(B2711="","",$C$12)</f>
        <v/>
      </c>
    </row>
    <row r="2712" spans="8:8" x14ac:dyDescent="0.3">
      <c r="H2712" t="str">
        <f t="shared" si="92"/>
        <v/>
      </c>
    </row>
    <row r="2713" spans="8:8" x14ac:dyDescent="0.3">
      <c r="H2713" t="str">
        <f t="shared" si="92"/>
        <v/>
      </c>
    </row>
    <row r="2714" spans="8:8" x14ac:dyDescent="0.3">
      <c r="H2714" t="str">
        <f t="shared" si="92"/>
        <v/>
      </c>
    </row>
    <row r="2715" spans="8:8" x14ac:dyDescent="0.3">
      <c r="H2715" t="str">
        <f t="shared" si="92"/>
        <v/>
      </c>
    </row>
    <row r="2716" spans="8:8" x14ac:dyDescent="0.3">
      <c r="H2716" t="str">
        <f t="shared" si="92"/>
        <v/>
      </c>
    </row>
    <row r="2717" spans="8:8" x14ac:dyDescent="0.3">
      <c r="H2717" t="str">
        <f t="shared" si="92"/>
        <v/>
      </c>
    </row>
    <row r="2718" spans="8:8" x14ac:dyDescent="0.3">
      <c r="H2718" t="str">
        <f t="shared" si="92"/>
        <v/>
      </c>
    </row>
    <row r="2719" spans="8:8" x14ac:dyDescent="0.3">
      <c r="H2719" t="str">
        <f t="shared" si="92"/>
        <v/>
      </c>
    </row>
    <row r="2720" spans="8:8" x14ac:dyDescent="0.3">
      <c r="H2720" t="str">
        <f t="shared" si="92"/>
        <v/>
      </c>
    </row>
    <row r="2721" spans="8:8" x14ac:dyDescent="0.3">
      <c r="H2721" t="str">
        <f t="shared" si="92"/>
        <v/>
      </c>
    </row>
    <row r="2722" spans="8:8" x14ac:dyDescent="0.3">
      <c r="H2722" t="str">
        <f t="shared" si="92"/>
        <v/>
      </c>
    </row>
    <row r="2723" spans="8:8" x14ac:dyDescent="0.3">
      <c r="H2723" t="str">
        <f t="shared" si="92"/>
        <v/>
      </c>
    </row>
    <row r="2724" spans="8:8" x14ac:dyDescent="0.3">
      <c r="H2724" t="str">
        <f t="shared" si="92"/>
        <v/>
      </c>
    </row>
    <row r="2725" spans="8:8" x14ac:dyDescent="0.3">
      <c r="H2725" t="str">
        <f t="shared" si="92"/>
        <v/>
      </c>
    </row>
    <row r="2726" spans="8:8" x14ac:dyDescent="0.3">
      <c r="H2726" t="str">
        <f t="shared" si="92"/>
        <v/>
      </c>
    </row>
    <row r="2727" spans="8:8" x14ac:dyDescent="0.3">
      <c r="H2727" t="str">
        <f t="shared" si="92"/>
        <v/>
      </c>
    </row>
    <row r="2728" spans="8:8" x14ac:dyDescent="0.3">
      <c r="H2728" t="str">
        <f t="shared" si="92"/>
        <v/>
      </c>
    </row>
    <row r="2729" spans="8:8" x14ac:dyDescent="0.3">
      <c r="H2729" t="str">
        <f t="shared" si="92"/>
        <v/>
      </c>
    </row>
    <row r="2730" spans="8:8" x14ac:dyDescent="0.3">
      <c r="H2730" t="str">
        <f t="shared" si="92"/>
        <v/>
      </c>
    </row>
    <row r="2731" spans="8:8" x14ac:dyDescent="0.3">
      <c r="H2731" t="str">
        <f t="shared" si="92"/>
        <v/>
      </c>
    </row>
    <row r="2732" spans="8:8" x14ac:dyDescent="0.3">
      <c r="H2732" t="str">
        <f t="shared" si="92"/>
        <v/>
      </c>
    </row>
    <row r="2733" spans="8:8" x14ac:dyDescent="0.3">
      <c r="H2733" t="str">
        <f t="shared" si="92"/>
        <v/>
      </c>
    </row>
    <row r="2734" spans="8:8" x14ac:dyDescent="0.3">
      <c r="H2734" t="str">
        <f t="shared" si="92"/>
        <v/>
      </c>
    </row>
    <row r="2735" spans="8:8" x14ac:dyDescent="0.3">
      <c r="H2735" t="str">
        <f t="shared" si="92"/>
        <v/>
      </c>
    </row>
    <row r="2736" spans="8:8" x14ac:dyDescent="0.3">
      <c r="H2736" t="str">
        <f t="shared" si="92"/>
        <v/>
      </c>
    </row>
    <row r="2737" spans="8:8" x14ac:dyDescent="0.3">
      <c r="H2737" t="str">
        <f t="shared" si="92"/>
        <v/>
      </c>
    </row>
    <row r="2738" spans="8:8" x14ac:dyDescent="0.3">
      <c r="H2738" t="str">
        <f t="shared" si="92"/>
        <v/>
      </c>
    </row>
    <row r="2739" spans="8:8" x14ac:dyDescent="0.3">
      <c r="H2739" t="str">
        <f t="shared" si="92"/>
        <v/>
      </c>
    </row>
    <row r="2740" spans="8:8" x14ac:dyDescent="0.3">
      <c r="H2740" t="str">
        <f t="shared" si="92"/>
        <v/>
      </c>
    </row>
    <row r="2741" spans="8:8" x14ac:dyDescent="0.3">
      <c r="H2741" t="str">
        <f t="shared" si="92"/>
        <v/>
      </c>
    </row>
    <row r="2742" spans="8:8" x14ac:dyDescent="0.3">
      <c r="H2742" t="str">
        <f t="shared" si="92"/>
        <v/>
      </c>
    </row>
    <row r="2743" spans="8:8" x14ac:dyDescent="0.3">
      <c r="H2743" t="str">
        <f t="shared" si="92"/>
        <v/>
      </c>
    </row>
    <row r="2744" spans="8:8" x14ac:dyDescent="0.3">
      <c r="H2744" t="str">
        <f t="shared" si="92"/>
        <v/>
      </c>
    </row>
    <row r="2745" spans="8:8" x14ac:dyDescent="0.3">
      <c r="H2745" t="str">
        <f t="shared" si="92"/>
        <v/>
      </c>
    </row>
    <row r="2746" spans="8:8" x14ac:dyDescent="0.3">
      <c r="H2746" t="str">
        <f t="shared" si="92"/>
        <v/>
      </c>
    </row>
    <row r="2747" spans="8:8" x14ac:dyDescent="0.3">
      <c r="H2747" t="str">
        <f t="shared" si="92"/>
        <v/>
      </c>
    </row>
    <row r="2748" spans="8:8" x14ac:dyDescent="0.3">
      <c r="H2748" t="str">
        <f t="shared" si="92"/>
        <v/>
      </c>
    </row>
    <row r="2749" spans="8:8" x14ac:dyDescent="0.3">
      <c r="H2749" t="str">
        <f t="shared" si="92"/>
        <v/>
      </c>
    </row>
    <row r="2750" spans="8:8" x14ac:dyDescent="0.3">
      <c r="H2750" t="str">
        <f t="shared" si="92"/>
        <v/>
      </c>
    </row>
    <row r="2751" spans="8:8" x14ac:dyDescent="0.3">
      <c r="H2751" t="str">
        <f t="shared" si="92"/>
        <v/>
      </c>
    </row>
    <row r="2752" spans="8:8" x14ac:dyDescent="0.3">
      <c r="H2752" t="str">
        <f t="shared" si="92"/>
        <v/>
      </c>
    </row>
    <row r="2753" spans="8:8" x14ac:dyDescent="0.3">
      <c r="H2753" t="str">
        <f t="shared" si="92"/>
        <v/>
      </c>
    </row>
    <row r="2754" spans="8:8" x14ac:dyDescent="0.3">
      <c r="H2754" t="str">
        <f t="shared" si="92"/>
        <v/>
      </c>
    </row>
    <row r="2755" spans="8:8" x14ac:dyDescent="0.3">
      <c r="H2755" t="str">
        <f t="shared" si="92"/>
        <v/>
      </c>
    </row>
    <row r="2756" spans="8:8" x14ac:dyDescent="0.3">
      <c r="H2756" t="str">
        <f t="shared" si="92"/>
        <v/>
      </c>
    </row>
    <row r="2757" spans="8:8" x14ac:dyDescent="0.3">
      <c r="H2757" t="str">
        <f t="shared" si="92"/>
        <v/>
      </c>
    </row>
    <row r="2758" spans="8:8" x14ac:dyDescent="0.3">
      <c r="H2758" t="str">
        <f t="shared" si="92"/>
        <v/>
      </c>
    </row>
    <row r="2759" spans="8:8" x14ac:dyDescent="0.3">
      <c r="H2759" t="str">
        <f t="shared" si="92"/>
        <v/>
      </c>
    </row>
    <row r="2760" spans="8:8" x14ac:dyDescent="0.3">
      <c r="H2760" t="str">
        <f t="shared" si="92"/>
        <v/>
      </c>
    </row>
    <row r="2761" spans="8:8" x14ac:dyDescent="0.3">
      <c r="H2761" t="str">
        <f t="shared" si="92"/>
        <v/>
      </c>
    </row>
    <row r="2762" spans="8:8" x14ac:dyDescent="0.3">
      <c r="H2762" t="str">
        <f t="shared" si="92"/>
        <v/>
      </c>
    </row>
    <row r="2763" spans="8:8" x14ac:dyDescent="0.3">
      <c r="H2763" t="str">
        <f t="shared" si="92"/>
        <v/>
      </c>
    </row>
    <row r="2764" spans="8:8" x14ac:dyDescent="0.3">
      <c r="H2764" t="str">
        <f t="shared" si="92"/>
        <v/>
      </c>
    </row>
    <row r="2765" spans="8:8" x14ac:dyDescent="0.3">
      <c r="H2765" t="str">
        <f t="shared" si="92"/>
        <v/>
      </c>
    </row>
    <row r="2766" spans="8:8" x14ac:dyDescent="0.3">
      <c r="H2766" t="str">
        <f t="shared" si="92"/>
        <v/>
      </c>
    </row>
    <row r="2767" spans="8:8" x14ac:dyDescent="0.3">
      <c r="H2767" t="str">
        <f t="shared" si="92"/>
        <v/>
      </c>
    </row>
    <row r="2768" spans="8:8" x14ac:dyDescent="0.3">
      <c r="H2768" t="str">
        <f t="shared" si="92"/>
        <v/>
      </c>
    </row>
    <row r="2769" spans="8:8" x14ac:dyDescent="0.3">
      <c r="H2769" t="str">
        <f t="shared" si="92"/>
        <v/>
      </c>
    </row>
    <row r="2770" spans="8:8" x14ac:dyDescent="0.3">
      <c r="H2770" t="str">
        <f t="shared" si="92"/>
        <v/>
      </c>
    </row>
    <row r="2771" spans="8:8" x14ac:dyDescent="0.3">
      <c r="H2771" t="str">
        <f t="shared" si="92"/>
        <v/>
      </c>
    </row>
    <row r="2772" spans="8:8" x14ac:dyDescent="0.3">
      <c r="H2772" t="str">
        <f t="shared" si="92"/>
        <v/>
      </c>
    </row>
    <row r="2773" spans="8:8" x14ac:dyDescent="0.3">
      <c r="H2773" t="str">
        <f t="shared" si="92"/>
        <v/>
      </c>
    </row>
    <row r="2774" spans="8:8" x14ac:dyDescent="0.3">
      <c r="H2774" t="str">
        <f t="shared" si="92"/>
        <v/>
      </c>
    </row>
    <row r="2775" spans="8:8" x14ac:dyDescent="0.3">
      <c r="H2775" t="str">
        <f t="shared" ref="H2775:H2838" si="93">IF(B2775="","",$C$12)</f>
        <v/>
      </c>
    </row>
    <row r="2776" spans="8:8" x14ac:dyDescent="0.3">
      <c r="H2776" t="str">
        <f t="shared" si="93"/>
        <v/>
      </c>
    </row>
    <row r="2777" spans="8:8" x14ac:dyDescent="0.3">
      <c r="H2777" t="str">
        <f t="shared" si="93"/>
        <v/>
      </c>
    </row>
    <row r="2778" spans="8:8" x14ac:dyDescent="0.3">
      <c r="H2778" t="str">
        <f t="shared" si="93"/>
        <v/>
      </c>
    </row>
    <row r="2779" spans="8:8" x14ac:dyDescent="0.3">
      <c r="H2779" t="str">
        <f t="shared" si="93"/>
        <v/>
      </c>
    </row>
    <row r="2780" spans="8:8" x14ac:dyDescent="0.3">
      <c r="H2780" t="str">
        <f t="shared" si="93"/>
        <v/>
      </c>
    </row>
    <row r="2781" spans="8:8" x14ac:dyDescent="0.3">
      <c r="H2781" t="str">
        <f t="shared" si="93"/>
        <v/>
      </c>
    </row>
    <row r="2782" spans="8:8" x14ac:dyDescent="0.3">
      <c r="H2782" t="str">
        <f t="shared" si="93"/>
        <v/>
      </c>
    </row>
    <row r="2783" spans="8:8" x14ac:dyDescent="0.3">
      <c r="H2783" t="str">
        <f t="shared" si="93"/>
        <v/>
      </c>
    </row>
    <row r="2784" spans="8:8" x14ac:dyDescent="0.3">
      <c r="H2784" t="str">
        <f t="shared" si="93"/>
        <v/>
      </c>
    </row>
    <row r="2785" spans="8:8" x14ac:dyDescent="0.3">
      <c r="H2785" t="str">
        <f t="shared" si="93"/>
        <v/>
      </c>
    </row>
    <row r="2786" spans="8:8" x14ac:dyDescent="0.3">
      <c r="H2786" t="str">
        <f t="shared" si="93"/>
        <v/>
      </c>
    </row>
    <row r="2787" spans="8:8" x14ac:dyDescent="0.3">
      <c r="H2787" t="str">
        <f t="shared" si="93"/>
        <v/>
      </c>
    </row>
    <row r="2788" spans="8:8" x14ac:dyDescent="0.3">
      <c r="H2788" t="str">
        <f t="shared" si="93"/>
        <v/>
      </c>
    </row>
    <row r="2789" spans="8:8" x14ac:dyDescent="0.3">
      <c r="H2789" t="str">
        <f t="shared" si="93"/>
        <v/>
      </c>
    </row>
    <row r="2790" spans="8:8" x14ac:dyDescent="0.3">
      <c r="H2790" t="str">
        <f t="shared" si="93"/>
        <v/>
      </c>
    </row>
    <row r="2791" spans="8:8" x14ac:dyDescent="0.3">
      <c r="H2791" t="str">
        <f t="shared" si="93"/>
        <v/>
      </c>
    </row>
    <row r="2792" spans="8:8" x14ac:dyDescent="0.3">
      <c r="H2792" t="str">
        <f t="shared" si="93"/>
        <v/>
      </c>
    </row>
    <row r="2793" spans="8:8" x14ac:dyDescent="0.3">
      <c r="H2793" t="str">
        <f t="shared" si="93"/>
        <v/>
      </c>
    </row>
    <row r="2794" spans="8:8" x14ac:dyDescent="0.3">
      <c r="H2794" t="str">
        <f t="shared" si="93"/>
        <v/>
      </c>
    </row>
    <row r="2795" spans="8:8" x14ac:dyDescent="0.3">
      <c r="H2795" t="str">
        <f t="shared" si="93"/>
        <v/>
      </c>
    </row>
    <row r="2796" spans="8:8" x14ac:dyDescent="0.3">
      <c r="H2796" t="str">
        <f t="shared" si="93"/>
        <v/>
      </c>
    </row>
    <row r="2797" spans="8:8" x14ac:dyDescent="0.3">
      <c r="H2797" t="str">
        <f t="shared" si="93"/>
        <v/>
      </c>
    </row>
    <row r="2798" spans="8:8" x14ac:dyDescent="0.3">
      <c r="H2798" t="str">
        <f t="shared" si="93"/>
        <v/>
      </c>
    </row>
    <row r="2799" spans="8:8" x14ac:dyDescent="0.3">
      <c r="H2799" t="str">
        <f t="shared" si="93"/>
        <v/>
      </c>
    </row>
    <row r="2800" spans="8:8" x14ac:dyDescent="0.3">
      <c r="H2800" t="str">
        <f t="shared" si="93"/>
        <v/>
      </c>
    </row>
    <row r="2801" spans="8:8" x14ac:dyDescent="0.3">
      <c r="H2801" t="str">
        <f t="shared" si="93"/>
        <v/>
      </c>
    </row>
    <row r="2802" spans="8:8" x14ac:dyDescent="0.3">
      <c r="H2802" t="str">
        <f t="shared" si="93"/>
        <v/>
      </c>
    </row>
    <row r="2803" spans="8:8" x14ac:dyDescent="0.3">
      <c r="H2803" t="str">
        <f t="shared" si="93"/>
        <v/>
      </c>
    </row>
    <row r="2804" spans="8:8" x14ac:dyDescent="0.3">
      <c r="H2804" t="str">
        <f t="shared" si="93"/>
        <v/>
      </c>
    </row>
    <row r="2805" spans="8:8" x14ac:dyDescent="0.3">
      <c r="H2805" t="str">
        <f t="shared" si="93"/>
        <v/>
      </c>
    </row>
    <row r="2806" spans="8:8" x14ac:dyDescent="0.3">
      <c r="H2806" t="str">
        <f t="shared" si="93"/>
        <v/>
      </c>
    </row>
    <row r="2807" spans="8:8" x14ac:dyDescent="0.3">
      <c r="H2807" t="str">
        <f t="shared" si="93"/>
        <v/>
      </c>
    </row>
    <row r="2808" spans="8:8" x14ac:dyDescent="0.3">
      <c r="H2808" t="str">
        <f t="shared" si="93"/>
        <v/>
      </c>
    </row>
    <row r="2809" spans="8:8" x14ac:dyDescent="0.3">
      <c r="H2809" t="str">
        <f t="shared" si="93"/>
        <v/>
      </c>
    </row>
    <row r="2810" spans="8:8" x14ac:dyDescent="0.3">
      <c r="H2810" t="str">
        <f t="shared" si="93"/>
        <v/>
      </c>
    </row>
    <row r="2811" spans="8:8" x14ac:dyDescent="0.3">
      <c r="H2811" t="str">
        <f t="shared" si="93"/>
        <v/>
      </c>
    </row>
    <row r="2812" spans="8:8" x14ac:dyDescent="0.3">
      <c r="H2812" t="str">
        <f t="shared" si="93"/>
        <v/>
      </c>
    </row>
    <row r="2813" spans="8:8" x14ac:dyDescent="0.3">
      <c r="H2813" t="str">
        <f t="shared" si="93"/>
        <v/>
      </c>
    </row>
    <row r="2814" spans="8:8" x14ac:dyDescent="0.3">
      <c r="H2814" t="str">
        <f t="shared" si="93"/>
        <v/>
      </c>
    </row>
    <row r="2815" spans="8:8" x14ac:dyDescent="0.3">
      <c r="H2815" t="str">
        <f t="shared" si="93"/>
        <v/>
      </c>
    </row>
    <row r="2816" spans="8:8" x14ac:dyDescent="0.3">
      <c r="H2816" t="str">
        <f t="shared" si="93"/>
        <v/>
      </c>
    </row>
    <row r="2817" spans="8:8" x14ac:dyDescent="0.3">
      <c r="H2817" t="str">
        <f t="shared" si="93"/>
        <v/>
      </c>
    </row>
    <row r="2818" spans="8:8" x14ac:dyDescent="0.3">
      <c r="H2818" t="str">
        <f t="shared" si="93"/>
        <v/>
      </c>
    </row>
    <row r="2819" spans="8:8" x14ac:dyDescent="0.3">
      <c r="H2819" t="str">
        <f t="shared" si="93"/>
        <v/>
      </c>
    </row>
    <row r="2820" spans="8:8" x14ac:dyDescent="0.3">
      <c r="H2820" t="str">
        <f t="shared" si="93"/>
        <v/>
      </c>
    </row>
    <row r="2821" spans="8:8" x14ac:dyDescent="0.3">
      <c r="H2821" t="str">
        <f t="shared" si="93"/>
        <v/>
      </c>
    </row>
    <row r="2822" spans="8:8" x14ac:dyDescent="0.3">
      <c r="H2822" t="str">
        <f t="shared" si="93"/>
        <v/>
      </c>
    </row>
    <row r="2823" spans="8:8" x14ac:dyDescent="0.3">
      <c r="H2823" t="str">
        <f t="shared" si="93"/>
        <v/>
      </c>
    </row>
    <row r="2824" spans="8:8" x14ac:dyDescent="0.3">
      <c r="H2824" t="str">
        <f t="shared" si="93"/>
        <v/>
      </c>
    </row>
    <row r="2825" spans="8:8" x14ac:dyDescent="0.3">
      <c r="H2825" t="str">
        <f t="shared" si="93"/>
        <v/>
      </c>
    </row>
    <row r="2826" spans="8:8" x14ac:dyDescent="0.3">
      <c r="H2826" t="str">
        <f t="shared" si="93"/>
        <v/>
      </c>
    </row>
    <row r="2827" spans="8:8" x14ac:dyDescent="0.3">
      <c r="H2827" t="str">
        <f t="shared" si="93"/>
        <v/>
      </c>
    </row>
    <row r="2828" spans="8:8" x14ac:dyDescent="0.3">
      <c r="H2828" t="str">
        <f t="shared" si="93"/>
        <v/>
      </c>
    </row>
    <row r="2829" spans="8:8" x14ac:dyDescent="0.3">
      <c r="H2829" t="str">
        <f t="shared" si="93"/>
        <v/>
      </c>
    </row>
    <row r="2830" spans="8:8" x14ac:dyDescent="0.3">
      <c r="H2830" t="str">
        <f t="shared" si="93"/>
        <v/>
      </c>
    </row>
    <row r="2831" spans="8:8" x14ac:dyDescent="0.3">
      <c r="H2831" t="str">
        <f t="shared" si="93"/>
        <v/>
      </c>
    </row>
    <row r="2832" spans="8:8" x14ac:dyDescent="0.3">
      <c r="H2832" t="str">
        <f t="shared" si="93"/>
        <v/>
      </c>
    </row>
    <row r="2833" spans="8:8" x14ac:dyDescent="0.3">
      <c r="H2833" t="str">
        <f t="shared" si="93"/>
        <v/>
      </c>
    </row>
    <row r="2834" spans="8:8" x14ac:dyDescent="0.3">
      <c r="H2834" t="str">
        <f t="shared" si="93"/>
        <v/>
      </c>
    </row>
    <row r="2835" spans="8:8" x14ac:dyDescent="0.3">
      <c r="H2835" t="str">
        <f t="shared" si="93"/>
        <v/>
      </c>
    </row>
    <row r="2836" spans="8:8" x14ac:dyDescent="0.3">
      <c r="H2836" t="str">
        <f t="shared" si="93"/>
        <v/>
      </c>
    </row>
    <row r="2837" spans="8:8" x14ac:dyDescent="0.3">
      <c r="H2837" t="str">
        <f t="shared" si="93"/>
        <v/>
      </c>
    </row>
    <row r="2838" spans="8:8" x14ac:dyDescent="0.3">
      <c r="H2838" t="str">
        <f t="shared" si="93"/>
        <v/>
      </c>
    </row>
    <row r="2839" spans="8:8" x14ac:dyDescent="0.3">
      <c r="H2839" t="str">
        <f t="shared" ref="H2839:H2902" si="94">IF(B2839="","",$C$12)</f>
        <v/>
      </c>
    </row>
    <row r="2840" spans="8:8" x14ac:dyDescent="0.3">
      <c r="H2840" t="str">
        <f t="shared" si="94"/>
        <v/>
      </c>
    </row>
    <row r="2841" spans="8:8" x14ac:dyDescent="0.3">
      <c r="H2841" t="str">
        <f t="shared" si="94"/>
        <v/>
      </c>
    </row>
    <row r="2842" spans="8:8" x14ac:dyDescent="0.3">
      <c r="H2842" t="str">
        <f t="shared" si="94"/>
        <v/>
      </c>
    </row>
    <row r="2843" spans="8:8" x14ac:dyDescent="0.3">
      <c r="H2843" t="str">
        <f t="shared" si="94"/>
        <v/>
      </c>
    </row>
    <row r="2844" spans="8:8" x14ac:dyDescent="0.3">
      <c r="H2844" t="str">
        <f t="shared" si="94"/>
        <v/>
      </c>
    </row>
    <row r="2845" spans="8:8" x14ac:dyDescent="0.3">
      <c r="H2845" t="str">
        <f t="shared" si="94"/>
        <v/>
      </c>
    </row>
    <row r="2846" spans="8:8" x14ac:dyDescent="0.3">
      <c r="H2846" t="str">
        <f t="shared" si="94"/>
        <v/>
      </c>
    </row>
    <row r="2847" spans="8:8" x14ac:dyDescent="0.3">
      <c r="H2847" t="str">
        <f t="shared" si="94"/>
        <v/>
      </c>
    </row>
    <row r="2848" spans="8:8" x14ac:dyDescent="0.3">
      <c r="H2848" t="str">
        <f t="shared" si="94"/>
        <v/>
      </c>
    </row>
    <row r="2849" spans="8:8" x14ac:dyDescent="0.3">
      <c r="H2849" t="str">
        <f t="shared" si="94"/>
        <v/>
      </c>
    </row>
    <row r="2850" spans="8:8" x14ac:dyDescent="0.3">
      <c r="H2850" t="str">
        <f t="shared" si="94"/>
        <v/>
      </c>
    </row>
    <row r="2851" spans="8:8" x14ac:dyDescent="0.3">
      <c r="H2851" t="str">
        <f t="shared" si="94"/>
        <v/>
      </c>
    </row>
    <row r="2852" spans="8:8" x14ac:dyDescent="0.3">
      <c r="H2852" t="str">
        <f t="shared" si="94"/>
        <v/>
      </c>
    </row>
    <row r="2853" spans="8:8" x14ac:dyDescent="0.3">
      <c r="H2853" t="str">
        <f t="shared" si="94"/>
        <v/>
      </c>
    </row>
    <row r="2854" spans="8:8" x14ac:dyDescent="0.3">
      <c r="H2854" t="str">
        <f t="shared" si="94"/>
        <v/>
      </c>
    </row>
    <row r="2855" spans="8:8" x14ac:dyDescent="0.3">
      <c r="H2855" t="str">
        <f t="shared" si="94"/>
        <v/>
      </c>
    </row>
    <row r="2856" spans="8:8" x14ac:dyDescent="0.3">
      <c r="H2856" t="str">
        <f t="shared" si="94"/>
        <v/>
      </c>
    </row>
    <row r="2857" spans="8:8" x14ac:dyDescent="0.3">
      <c r="H2857" t="str">
        <f t="shared" si="94"/>
        <v/>
      </c>
    </row>
    <row r="2858" spans="8:8" x14ac:dyDescent="0.3">
      <c r="H2858" t="str">
        <f t="shared" si="94"/>
        <v/>
      </c>
    </row>
    <row r="2859" spans="8:8" x14ac:dyDescent="0.3">
      <c r="H2859" t="str">
        <f t="shared" si="94"/>
        <v/>
      </c>
    </row>
    <row r="2860" spans="8:8" x14ac:dyDescent="0.3">
      <c r="H2860" t="str">
        <f t="shared" si="94"/>
        <v/>
      </c>
    </row>
    <row r="2861" spans="8:8" x14ac:dyDescent="0.3">
      <c r="H2861" t="str">
        <f t="shared" si="94"/>
        <v/>
      </c>
    </row>
    <row r="2862" spans="8:8" x14ac:dyDescent="0.3">
      <c r="H2862" t="str">
        <f t="shared" si="94"/>
        <v/>
      </c>
    </row>
    <row r="2863" spans="8:8" x14ac:dyDescent="0.3">
      <c r="H2863" t="str">
        <f t="shared" si="94"/>
        <v/>
      </c>
    </row>
    <row r="2864" spans="8:8" x14ac:dyDescent="0.3">
      <c r="H2864" t="str">
        <f t="shared" si="94"/>
        <v/>
      </c>
    </row>
    <row r="2865" spans="8:8" x14ac:dyDescent="0.3">
      <c r="H2865" t="str">
        <f t="shared" si="94"/>
        <v/>
      </c>
    </row>
    <row r="2866" spans="8:8" x14ac:dyDescent="0.3">
      <c r="H2866" t="str">
        <f t="shared" si="94"/>
        <v/>
      </c>
    </row>
    <row r="2867" spans="8:8" x14ac:dyDescent="0.3">
      <c r="H2867" t="str">
        <f t="shared" si="94"/>
        <v/>
      </c>
    </row>
    <row r="2868" spans="8:8" x14ac:dyDescent="0.3">
      <c r="H2868" t="str">
        <f t="shared" si="94"/>
        <v/>
      </c>
    </row>
    <row r="2869" spans="8:8" x14ac:dyDescent="0.3">
      <c r="H2869" t="str">
        <f t="shared" si="94"/>
        <v/>
      </c>
    </row>
    <row r="2870" spans="8:8" x14ac:dyDescent="0.3">
      <c r="H2870" t="str">
        <f t="shared" si="94"/>
        <v/>
      </c>
    </row>
    <row r="2871" spans="8:8" x14ac:dyDescent="0.3">
      <c r="H2871" t="str">
        <f t="shared" si="94"/>
        <v/>
      </c>
    </row>
    <row r="2872" spans="8:8" x14ac:dyDescent="0.3">
      <c r="H2872" t="str">
        <f t="shared" si="94"/>
        <v/>
      </c>
    </row>
    <row r="2873" spans="8:8" x14ac:dyDescent="0.3">
      <c r="H2873" t="str">
        <f t="shared" si="94"/>
        <v/>
      </c>
    </row>
    <row r="2874" spans="8:8" x14ac:dyDescent="0.3">
      <c r="H2874" t="str">
        <f t="shared" si="94"/>
        <v/>
      </c>
    </row>
    <row r="2875" spans="8:8" x14ac:dyDescent="0.3">
      <c r="H2875" t="str">
        <f t="shared" si="94"/>
        <v/>
      </c>
    </row>
    <row r="2876" spans="8:8" x14ac:dyDescent="0.3">
      <c r="H2876" t="str">
        <f t="shared" si="94"/>
        <v/>
      </c>
    </row>
    <row r="2877" spans="8:8" x14ac:dyDescent="0.3">
      <c r="H2877" t="str">
        <f t="shared" si="94"/>
        <v/>
      </c>
    </row>
    <row r="2878" spans="8:8" x14ac:dyDescent="0.3">
      <c r="H2878" t="str">
        <f t="shared" si="94"/>
        <v/>
      </c>
    </row>
    <row r="2879" spans="8:8" x14ac:dyDescent="0.3">
      <c r="H2879" t="str">
        <f t="shared" si="94"/>
        <v/>
      </c>
    </row>
    <row r="2880" spans="8:8" x14ac:dyDescent="0.3">
      <c r="H2880" t="str">
        <f t="shared" si="94"/>
        <v/>
      </c>
    </row>
    <row r="2881" spans="8:8" x14ac:dyDescent="0.3">
      <c r="H2881" t="str">
        <f t="shared" si="94"/>
        <v/>
      </c>
    </row>
    <row r="2882" spans="8:8" x14ac:dyDescent="0.3">
      <c r="H2882" t="str">
        <f t="shared" si="94"/>
        <v/>
      </c>
    </row>
    <row r="2883" spans="8:8" x14ac:dyDescent="0.3">
      <c r="H2883" t="str">
        <f t="shared" si="94"/>
        <v/>
      </c>
    </row>
    <row r="2884" spans="8:8" x14ac:dyDescent="0.3">
      <c r="H2884" t="str">
        <f t="shared" si="94"/>
        <v/>
      </c>
    </row>
    <row r="2885" spans="8:8" x14ac:dyDescent="0.3">
      <c r="H2885" t="str">
        <f t="shared" si="94"/>
        <v/>
      </c>
    </row>
    <row r="2886" spans="8:8" x14ac:dyDescent="0.3">
      <c r="H2886" t="str">
        <f t="shared" si="94"/>
        <v/>
      </c>
    </row>
    <row r="2887" spans="8:8" x14ac:dyDescent="0.3">
      <c r="H2887" t="str">
        <f t="shared" si="94"/>
        <v/>
      </c>
    </row>
    <row r="2888" spans="8:8" x14ac:dyDescent="0.3">
      <c r="H2888" t="str">
        <f t="shared" si="94"/>
        <v/>
      </c>
    </row>
    <row r="2889" spans="8:8" x14ac:dyDescent="0.3">
      <c r="H2889" t="str">
        <f t="shared" si="94"/>
        <v/>
      </c>
    </row>
    <row r="2890" spans="8:8" x14ac:dyDescent="0.3">
      <c r="H2890" t="str">
        <f t="shared" si="94"/>
        <v/>
      </c>
    </row>
    <row r="2891" spans="8:8" x14ac:dyDescent="0.3">
      <c r="H2891" t="str">
        <f t="shared" si="94"/>
        <v/>
      </c>
    </row>
    <row r="2892" spans="8:8" x14ac:dyDescent="0.3">
      <c r="H2892" t="str">
        <f t="shared" si="94"/>
        <v/>
      </c>
    </row>
    <row r="2893" spans="8:8" x14ac:dyDescent="0.3">
      <c r="H2893" t="str">
        <f t="shared" si="94"/>
        <v/>
      </c>
    </row>
    <row r="2894" spans="8:8" x14ac:dyDescent="0.3">
      <c r="H2894" t="str">
        <f t="shared" si="94"/>
        <v/>
      </c>
    </row>
    <row r="2895" spans="8:8" x14ac:dyDescent="0.3">
      <c r="H2895" t="str">
        <f t="shared" si="94"/>
        <v/>
      </c>
    </row>
    <row r="2896" spans="8:8" x14ac:dyDescent="0.3">
      <c r="H2896" t="str">
        <f t="shared" si="94"/>
        <v/>
      </c>
    </row>
    <row r="2897" spans="8:8" x14ac:dyDescent="0.3">
      <c r="H2897" t="str">
        <f t="shared" si="94"/>
        <v/>
      </c>
    </row>
    <row r="2898" spans="8:8" x14ac:dyDescent="0.3">
      <c r="H2898" t="str">
        <f t="shared" si="94"/>
        <v/>
      </c>
    </row>
    <row r="2899" spans="8:8" x14ac:dyDescent="0.3">
      <c r="H2899" t="str">
        <f t="shared" si="94"/>
        <v/>
      </c>
    </row>
    <row r="2900" spans="8:8" x14ac:dyDescent="0.3">
      <c r="H2900" t="str">
        <f t="shared" si="94"/>
        <v/>
      </c>
    </row>
    <row r="2901" spans="8:8" x14ac:dyDescent="0.3">
      <c r="H2901" t="str">
        <f t="shared" si="94"/>
        <v/>
      </c>
    </row>
    <row r="2902" spans="8:8" x14ac:dyDescent="0.3">
      <c r="H2902" t="str">
        <f t="shared" si="94"/>
        <v/>
      </c>
    </row>
    <row r="2903" spans="8:8" x14ac:dyDescent="0.3">
      <c r="H2903" t="str">
        <f t="shared" ref="H2903:H2966" si="95">IF(B2903="","",$C$12)</f>
        <v/>
      </c>
    </row>
    <row r="2904" spans="8:8" x14ac:dyDescent="0.3">
      <c r="H2904" t="str">
        <f t="shared" si="95"/>
        <v/>
      </c>
    </row>
    <row r="2905" spans="8:8" x14ac:dyDescent="0.3">
      <c r="H2905" t="str">
        <f t="shared" si="95"/>
        <v/>
      </c>
    </row>
    <row r="2906" spans="8:8" x14ac:dyDescent="0.3">
      <c r="H2906" t="str">
        <f t="shared" si="95"/>
        <v/>
      </c>
    </row>
    <row r="2907" spans="8:8" x14ac:dyDescent="0.3">
      <c r="H2907" t="str">
        <f t="shared" si="95"/>
        <v/>
      </c>
    </row>
    <row r="2908" spans="8:8" x14ac:dyDescent="0.3">
      <c r="H2908" t="str">
        <f t="shared" si="95"/>
        <v/>
      </c>
    </row>
    <row r="2909" spans="8:8" x14ac:dyDescent="0.3">
      <c r="H2909" t="str">
        <f t="shared" si="95"/>
        <v/>
      </c>
    </row>
    <row r="2910" spans="8:8" x14ac:dyDescent="0.3">
      <c r="H2910" t="str">
        <f t="shared" si="95"/>
        <v/>
      </c>
    </row>
    <row r="2911" spans="8:8" x14ac:dyDescent="0.3">
      <c r="H2911" t="str">
        <f t="shared" si="95"/>
        <v/>
      </c>
    </row>
    <row r="2912" spans="8:8" x14ac:dyDescent="0.3">
      <c r="H2912" t="str">
        <f t="shared" si="95"/>
        <v/>
      </c>
    </row>
    <row r="2913" spans="8:8" x14ac:dyDescent="0.3">
      <c r="H2913" t="str">
        <f t="shared" si="95"/>
        <v/>
      </c>
    </row>
    <row r="2914" spans="8:8" x14ac:dyDescent="0.3">
      <c r="H2914" t="str">
        <f t="shared" si="95"/>
        <v/>
      </c>
    </row>
    <row r="2915" spans="8:8" x14ac:dyDescent="0.3">
      <c r="H2915" t="str">
        <f t="shared" si="95"/>
        <v/>
      </c>
    </row>
    <row r="2916" spans="8:8" x14ac:dyDescent="0.3">
      <c r="H2916" t="str">
        <f t="shared" si="95"/>
        <v/>
      </c>
    </row>
    <row r="2917" spans="8:8" x14ac:dyDescent="0.3">
      <c r="H2917" t="str">
        <f t="shared" si="95"/>
        <v/>
      </c>
    </row>
    <row r="2918" spans="8:8" x14ac:dyDescent="0.3">
      <c r="H2918" t="str">
        <f t="shared" si="95"/>
        <v/>
      </c>
    </row>
    <row r="2919" spans="8:8" x14ac:dyDescent="0.3">
      <c r="H2919" t="str">
        <f t="shared" si="95"/>
        <v/>
      </c>
    </row>
    <row r="2920" spans="8:8" x14ac:dyDescent="0.3">
      <c r="H2920" t="str">
        <f t="shared" si="95"/>
        <v/>
      </c>
    </row>
    <row r="2921" spans="8:8" x14ac:dyDescent="0.3">
      <c r="H2921" t="str">
        <f t="shared" si="95"/>
        <v/>
      </c>
    </row>
    <row r="2922" spans="8:8" x14ac:dyDescent="0.3">
      <c r="H2922" t="str">
        <f t="shared" si="95"/>
        <v/>
      </c>
    </row>
    <row r="2923" spans="8:8" x14ac:dyDescent="0.3">
      <c r="H2923" t="str">
        <f t="shared" si="95"/>
        <v/>
      </c>
    </row>
    <row r="2924" spans="8:8" x14ac:dyDescent="0.3">
      <c r="H2924" t="str">
        <f t="shared" si="95"/>
        <v/>
      </c>
    </row>
    <row r="2925" spans="8:8" x14ac:dyDescent="0.3">
      <c r="H2925" t="str">
        <f t="shared" si="95"/>
        <v/>
      </c>
    </row>
    <row r="2926" spans="8:8" x14ac:dyDescent="0.3">
      <c r="H2926" t="str">
        <f t="shared" si="95"/>
        <v/>
      </c>
    </row>
    <row r="2927" spans="8:8" x14ac:dyDescent="0.3">
      <c r="H2927" t="str">
        <f t="shared" si="95"/>
        <v/>
      </c>
    </row>
    <row r="2928" spans="8:8" x14ac:dyDescent="0.3">
      <c r="H2928" t="str">
        <f t="shared" si="95"/>
        <v/>
      </c>
    </row>
    <row r="2929" spans="8:8" x14ac:dyDescent="0.3">
      <c r="H2929" t="str">
        <f t="shared" si="95"/>
        <v/>
      </c>
    </row>
    <row r="2930" spans="8:8" x14ac:dyDescent="0.3">
      <c r="H2930" t="str">
        <f t="shared" si="95"/>
        <v/>
      </c>
    </row>
    <row r="2931" spans="8:8" x14ac:dyDescent="0.3">
      <c r="H2931" t="str">
        <f t="shared" si="95"/>
        <v/>
      </c>
    </row>
    <row r="2932" spans="8:8" x14ac:dyDescent="0.3">
      <c r="H2932" t="str">
        <f t="shared" si="95"/>
        <v/>
      </c>
    </row>
    <row r="2933" spans="8:8" x14ac:dyDescent="0.3">
      <c r="H2933" t="str">
        <f t="shared" si="95"/>
        <v/>
      </c>
    </row>
    <row r="2934" spans="8:8" x14ac:dyDescent="0.3">
      <c r="H2934" t="str">
        <f t="shared" si="95"/>
        <v/>
      </c>
    </row>
    <row r="2935" spans="8:8" x14ac:dyDescent="0.3">
      <c r="H2935" t="str">
        <f t="shared" si="95"/>
        <v/>
      </c>
    </row>
    <row r="2936" spans="8:8" x14ac:dyDescent="0.3">
      <c r="H2936" t="str">
        <f t="shared" si="95"/>
        <v/>
      </c>
    </row>
    <row r="2937" spans="8:8" x14ac:dyDescent="0.3">
      <c r="H2937" t="str">
        <f t="shared" si="95"/>
        <v/>
      </c>
    </row>
    <row r="2938" spans="8:8" x14ac:dyDescent="0.3">
      <c r="H2938" t="str">
        <f t="shared" si="95"/>
        <v/>
      </c>
    </row>
    <row r="2939" spans="8:8" x14ac:dyDescent="0.3">
      <c r="H2939" t="str">
        <f t="shared" si="95"/>
        <v/>
      </c>
    </row>
    <row r="2940" spans="8:8" x14ac:dyDescent="0.3">
      <c r="H2940" t="str">
        <f t="shared" si="95"/>
        <v/>
      </c>
    </row>
    <row r="2941" spans="8:8" x14ac:dyDescent="0.3">
      <c r="H2941" t="str">
        <f t="shared" si="95"/>
        <v/>
      </c>
    </row>
    <row r="2942" spans="8:8" x14ac:dyDescent="0.3">
      <c r="H2942" t="str">
        <f t="shared" si="95"/>
        <v/>
      </c>
    </row>
    <row r="2943" spans="8:8" x14ac:dyDescent="0.3">
      <c r="H2943" t="str">
        <f t="shared" si="95"/>
        <v/>
      </c>
    </row>
    <row r="2944" spans="8:8" x14ac:dyDescent="0.3">
      <c r="H2944" t="str">
        <f t="shared" si="95"/>
        <v/>
      </c>
    </row>
    <row r="2945" spans="8:8" x14ac:dyDescent="0.3">
      <c r="H2945" t="str">
        <f t="shared" si="95"/>
        <v/>
      </c>
    </row>
    <row r="2946" spans="8:8" x14ac:dyDescent="0.3">
      <c r="H2946" t="str">
        <f t="shared" si="95"/>
        <v/>
      </c>
    </row>
    <row r="2947" spans="8:8" x14ac:dyDescent="0.3">
      <c r="H2947" t="str">
        <f t="shared" si="95"/>
        <v/>
      </c>
    </row>
    <row r="2948" spans="8:8" x14ac:dyDescent="0.3">
      <c r="H2948" t="str">
        <f t="shared" si="95"/>
        <v/>
      </c>
    </row>
    <row r="2949" spans="8:8" x14ac:dyDescent="0.3">
      <c r="H2949" t="str">
        <f t="shared" si="95"/>
        <v/>
      </c>
    </row>
    <row r="2950" spans="8:8" x14ac:dyDescent="0.3">
      <c r="H2950" t="str">
        <f t="shared" si="95"/>
        <v/>
      </c>
    </row>
    <row r="2951" spans="8:8" x14ac:dyDescent="0.3">
      <c r="H2951" t="str">
        <f t="shared" si="95"/>
        <v/>
      </c>
    </row>
    <row r="2952" spans="8:8" x14ac:dyDescent="0.3">
      <c r="H2952" t="str">
        <f t="shared" si="95"/>
        <v/>
      </c>
    </row>
    <row r="2953" spans="8:8" x14ac:dyDescent="0.3">
      <c r="H2953" t="str">
        <f t="shared" si="95"/>
        <v/>
      </c>
    </row>
    <row r="2954" spans="8:8" x14ac:dyDescent="0.3">
      <c r="H2954" t="str">
        <f t="shared" si="95"/>
        <v/>
      </c>
    </row>
    <row r="2955" spans="8:8" x14ac:dyDescent="0.3">
      <c r="H2955" t="str">
        <f t="shared" si="95"/>
        <v/>
      </c>
    </row>
    <row r="2956" spans="8:8" x14ac:dyDescent="0.3">
      <c r="H2956" t="str">
        <f t="shared" si="95"/>
        <v/>
      </c>
    </row>
    <row r="2957" spans="8:8" x14ac:dyDescent="0.3">
      <c r="H2957" t="str">
        <f t="shared" si="95"/>
        <v/>
      </c>
    </row>
    <row r="2958" spans="8:8" x14ac:dyDescent="0.3">
      <c r="H2958" t="str">
        <f t="shared" si="95"/>
        <v/>
      </c>
    </row>
    <row r="2959" spans="8:8" x14ac:dyDescent="0.3">
      <c r="H2959" t="str">
        <f t="shared" si="95"/>
        <v/>
      </c>
    </row>
    <row r="2960" spans="8:8" x14ac:dyDescent="0.3">
      <c r="H2960" t="str">
        <f t="shared" si="95"/>
        <v/>
      </c>
    </row>
    <row r="2961" spans="8:8" x14ac:dyDescent="0.3">
      <c r="H2961" t="str">
        <f t="shared" si="95"/>
        <v/>
      </c>
    </row>
    <row r="2962" spans="8:8" x14ac:dyDescent="0.3">
      <c r="H2962" t="str">
        <f t="shared" si="95"/>
        <v/>
      </c>
    </row>
    <row r="2963" spans="8:8" x14ac:dyDescent="0.3">
      <c r="H2963" t="str">
        <f t="shared" si="95"/>
        <v/>
      </c>
    </row>
    <row r="2964" spans="8:8" x14ac:dyDescent="0.3">
      <c r="H2964" t="str">
        <f t="shared" si="95"/>
        <v/>
      </c>
    </row>
    <row r="2965" spans="8:8" x14ac:dyDescent="0.3">
      <c r="H2965" t="str">
        <f t="shared" si="95"/>
        <v/>
      </c>
    </row>
    <row r="2966" spans="8:8" x14ac:dyDescent="0.3">
      <c r="H2966" t="str">
        <f t="shared" si="95"/>
        <v/>
      </c>
    </row>
    <row r="2967" spans="8:8" x14ac:dyDescent="0.3">
      <c r="H2967" t="str">
        <f t="shared" ref="H2967:H3030" si="96">IF(B2967="","",$C$12)</f>
        <v/>
      </c>
    </row>
    <row r="2968" spans="8:8" x14ac:dyDescent="0.3">
      <c r="H2968" t="str">
        <f t="shared" si="96"/>
        <v/>
      </c>
    </row>
    <row r="2969" spans="8:8" x14ac:dyDescent="0.3">
      <c r="H2969" t="str">
        <f t="shared" si="96"/>
        <v/>
      </c>
    </row>
    <row r="2970" spans="8:8" x14ac:dyDescent="0.3">
      <c r="H2970" t="str">
        <f t="shared" si="96"/>
        <v/>
      </c>
    </row>
    <row r="2971" spans="8:8" x14ac:dyDescent="0.3">
      <c r="H2971" t="str">
        <f t="shared" si="96"/>
        <v/>
      </c>
    </row>
    <row r="2972" spans="8:8" x14ac:dyDescent="0.3">
      <c r="H2972" t="str">
        <f t="shared" si="96"/>
        <v/>
      </c>
    </row>
    <row r="2973" spans="8:8" x14ac:dyDescent="0.3">
      <c r="H2973" t="str">
        <f t="shared" si="96"/>
        <v/>
      </c>
    </row>
    <row r="2974" spans="8:8" x14ac:dyDescent="0.3">
      <c r="H2974" t="str">
        <f t="shared" si="96"/>
        <v/>
      </c>
    </row>
    <row r="2975" spans="8:8" x14ac:dyDescent="0.3">
      <c r="H2975" t="str">
        <f t="shared" si="96"/>
        <v/>
      </c>
    </row>
    <row r="2976" spans="8:8" x14ac:dyDescent="0.3">
      <c r="H2976" t="str">
        <f t="shared" si="96"/>
        <v/>
      </c>
    </row>
    <row r="2977" spans="8:8" x14ac:dyDescent="0.3">
      <c r="H2977" t="str">
        <f t="shared" si="96"/>
        <v/>
      </c>
    </row>
    <row r="2978" spans="8:8" x14ac:dyDescent="0.3">
      <c r="H2978" t="str">
        <f t="shared" si="96"/>
        <v/>
      </c>
    </row>
    <row r="2979" spans="8:8" x14ac:dyDescent="0.3">
      <c r="H2979" t="str">
        <f t="shared" si="96"/>
        <v/>
      </c>
    </row>
    <row r="2980" spans="8:8" x14ac:dyDescent="0.3">
      <c r="H2980" t="str">
        <f t="shared" si="96"/>
        <v/>
      </c>
    </row>
    <row r="2981" spans="8:8" x14ac:dyDescent="0.3">
      <c r="H2981" t="str">
        <f t="shared" si="96"/>
        <v/>
      </c>
    </row>
    <row r="2982" spans="8:8" x14ac:dyDescent="0.3">
      <c r="H2982" t="str">
        <f t="shared" si="96"/>
        <v/>
      </c>
    </row>
    <row r="2983" spans="8:8" x14ac:dyDescent="0.3">
      <c r="H2983" t="str">
        <f t="shared" si="96"/>
        <v/>
      </c>
    </row>
    <row r="2984" spans="8:8" x14ac:dyDescent="0.3">
      <c r="H2984" t="str">
        <f t="shared" si="96"/>
        <v/>
      </c>
    </row>
    <row r="2985" spans="8:8" x14ac:dyDescent="0.3">
      <c r="H2985" t="str">
        <f t="shared" si="96"/>
        <v/>
      </c>
    </row>
    <row r="2986" spans="8:8" x14ac:dyDescent="0.3">
      <c r="H2986" t="str">
        <f t="shared" si="96"/>
        <v/>
      </c>
    </row>
    <row r="2987" spans="8:8" x14ac:dyDescent="0.3">
      <c r="H2987" t="str">
        <f t="shared" si="96"/>
        <v/>
      </c>
    </row>
    <row r="2988" spans="8:8" x14ac:dyDescent="0.3">
      <c r="H2988" t="str">
        <f t="shared" si="96"/>
        <v/>
      </c>
    </row>
    <row r="2989" spans="8:8" x14ac:dyDescent="0.3">
      <c r="H2989" t="str">
        <f t="shared" si="96"/>
        <v/>
      </c>
    </row>
    <row r="2990" spans="8:8" x14ac:dyDescent="0.3">
      <c r="H2990" t="str">
        <f t="shared" si="96"/>
        <v/>
      </c>
    </row>
    <row r="2991" spans="8:8" x14ac:dyDescent="0.3">
      <c r="H2991" t="str">
        <f t="shared" si="96"/>
        <v/>
      </c>
    </row>
    <row r="2992" spans="8:8" x14ac:dyDescent="0.3">
      <c r="H2992" t="str">
        <f t="shared" si="96"/>
        <v/>
      </c>
    </row>
    <row r="2993" spans="8:8" x14ac:dyDescent="0.3">
      <c r="H2993" t="str">
        <f t="shared" si="96"/>
        <v/>
      </c>
    </row>
    <row r="2994" spans="8:8" x14ac:dyDescent="0.3">
      <c r="H2994" t="str">
        <f t="shared" si="96"/>
        <v/>
      </c>
    </row>
    <row r="2995" spans="8:8" x14ac:dyDescent="0.3">
      <c r="H2995" t="str">
        <f t="shared" si="96"/>
        <v/>
      </c>
    </row>
    <row r="2996" spans="8:8" x14ac:dyDescent="0.3">
      <c r="H2996" t="str">
        <f t="shared" si="96"/>
        <v/>
      </c>
    </row>
    <row r="2997" spans="8:8" x14ac:dyDescent="0.3">
      <c r="H2997" t="str">
        <f t="shared" si="96"/>
        <v/>
      </c>
    </row>
    <row r="2998" spans="8:8" x14ac:dyDescent="0.3">
      <c r="H2998" t="str">
        <f t="shared" si="96"/>
        <v/>
      </c>
    </row>
    <row r="2999" spans="8:8" x14ac:dyDescent="0.3">
      <c r="H2999" t="str">
        <f t="shared" si="96"/>
        <v/>
      </c>
    </row>
    <row r="3000" spans="8:8" x14ac:dyDescent="0.3">
      <c r="H3000" t="str">
        <f t="shared" si="96"/>
        <v/>
      </c>
    </row>
    <row r="3001" spans="8:8" x14ac:dyDescent="0.3">
      <c r="H3001" t="str">
        <f t="shared" si="96"/>
        <v/>
      </c>
    </row>
    <row r="3002" spans="8:8" x14ac:dyDescent="0.3">
      <c r="H3002" t="str">
        <f t="shared" si="96"/>
        <v/>
      </c>
    </row>
    <row r="3003" spans="8:8" x14ac:dyDescent="0.3">
      <c r="H3003" t="str">
        <f t="shared" si="96"/>
        <v/>
      </c>
    </row>
    <row r="3004" spans="8:8" x14ac:dyDescent="0.3">
      <c r="H3004" t="str">
        <f t="shared" si="96"/>
        <v/>
      </c>
    </row>
    <row r="3005" spans="8:8" x14ac:dyDescent="0.3">
      <c r="H3005" t="str">
        <f t="shared" si="96"/>
        <v/>
      </c>
    </row>
    <row r="3006" spans="8:8" x14ac:dyDescent="0.3">
      <c r="H3006" t="str">
        <f t="shared" si="96"/>
        <v/>
      </c>
    </row>
    <row r="3007" spans="8:8" x14ac:dyDescent="0.3">
      <c r="H3007" t="str">
        <f t="shared" si="96"/>
        <v/>
      </c>
    </row>
    <row r="3008" spans="8:8" x14ac:dyDescent="0.3">
      <c r="H3008" t="str">
        <f t="shared" si="96"/>
        <v/>
      </c>
    </row>
    <row r="3009" spans="8:8" x14ac:dyDescent="0.3">
      <c r="H3009" t="str">
        <f t="shared" si="96"/>
        <v/>
      </c>
    </row>
    <row r="3010" spans="8:8" x14ac:dyDescent="0.3">
      <c r="H3010" t="str">
        <f t="shared" si="96"/>
        <v/>
      </c>
    </row>
    <row r="3011" spans="8:8" x14ac:dyDescent="0.3">
      <c r="H3011" t="str">
        <f t="shared" si="96"/>
        <v/>
      </c>
    </row>
    <row r="3012" spans="8:8" x14ac:dyDescent="0.3">
      <c r="H3012" t="str">
        <f t="shared" si="96"/>
        <v/>
      </c>
    </row>
    <row r="3013" spans="8:8" x14ac:dyDescent="0.3">
      <c r="H3013" t="str">
        <f t="shared" si="96"/>
        <v/>
      </c>
    </row>
    <row r="3014" spans="8:8" x14ac:dyDescent="0.3">
      <c r="H3014" t="str">
        <f t="shared" si="96"/>
        <v/>
      </c>
    </row>
    <row r="3015" spans="8:8" x14ac:dyDescent="0.3">
      <c r="H3015" t="str">
        <f t="shared" si="96"/>
        <v/>
      </c>
    </row>
    <row r="3016" spans="8:8" x14ac:dyDescent="0.3">
      <c r="H3016" t="str">
        <f t="shared" si="96"/>
        <v/>
      </c>
    </row>
    <row r="3017" spans="8:8" x14ac:dyDescent="0.3">
      <c r="H3017" t="str">
        <f t="shared" si="96"/>
        <v/>
      </c>
    </row>
    <row r="3018" spans="8:8" x14ac:dyDescent="0.3">
      <c r="H3018" t="str">
        <f t="shared" si="96"/>
        <v/>
      </c>
    </row>
    <row r="3019" spans="8:8" x14ac:dyDescent="0.3">
      <c r="H3019" t="str">
        <f t="shared" si="96"/>
        <v/>
      </c>
    </row>
    <row r="3020" spans="8:8" x14ac:dyDescent="0.3">
      <c r="H3020" t="str">
        <f t="shared" si="96"/>
        <v/>
      </c>
    </row>
    <row r="3021" spans="8:8" x14ac:dyDescent="0.3">
      <c r="H3021" t="str">
        <f t="shared" si="96"/>
        <v/>
      </c>
    </row>
    <row r="3022" spans="8:8" x14ac:dyDescent="0.3">
      <c r="H3022" t="str">
        <f t="shared" si="96"/>
        <v/>
      </c>
    </row>
    <row r="3023" spans="8:8" x14ac:dyDescent="0.3">
      <c r="H3023" t="str">
        <f t="shared" si="96"/>
        <v/>
      </c>
    </row>
    <row r="3024" spans="8:8" x14ac:dyDescent="0.3">
      <c r="H3024" t="str">
        <f t="shared" si="96"/>
        <v/>
      </c>
    </row>
    <row r="3025" spans="8:8" x14ac:dyDescent="0.3">
      <c r="H3025" t="str">
        <f t="shared" si="96"/>
        <v/>
      </c>
    </row>
    <row r="3026" spans="8:8" x14ac:dyDescent="0.3">
      <c r="H3026" t="str">
        <f t="shared" si="96"/>
        <v/>
      </c>
    </row>
    <row r="3027" spans="8:8" x14ac:dyDescent="0.3">
      <c r="H3027" t="str">
        <f t="shared" si="96"/>
        <v/>
      </c>
    </row>
    <row r="3028" spans="8:8" x14ac:dyDescent="0.3">
      <c r="H3028" t="str">
        <f t="shared" si="96"/>
        <v/>
      </c>
    </row>
    <row r="3029" spans="8:8" x14ac:dyDescent="0.3">
      <c r="H3029" t="str">
        <f t="shared" si="96"/>
        <v/>
      </c>
    </row>
    <row r="3030" spans="8:8" x14ac:dyDescent="0.3">
      <c r="H3030" t="str">
        <f t="shared" si="96"/>
        <v/>
      </c>
    </row>
    <row r="3031" spans="8:8" x14ac:dyDescent="0.3">
      <c r="H3031" t="str">
        <f t="shared" ref="H3031:H3094" si="97">IF(B3031="","",$C$12)</f>
        <v/>
      </c>
    </row>
    <row r="3032" spans="8:8" x14ac:dyDescent="0.3">
      <c r="H3032" t="str">
        <f t="shared" si="97"/>
        <v/>
      </c>
    </row>
    <row r="3033" spans="8:8" x14ac:dyDescent="0.3">
      <c r="H3033" t="str">
        <f t="shared" si="97"/>
        <v/>
      </c>
    </row>
    <row r="3034" spans="8:8" x14ac:dyDescent="0.3">
      <c r="H3034" t="str">
        <f t="shared" si="97"/>
        <v/>
      </c>
    </row>
    <row r="3035" spans="8:8" x14ac:dyDescent="0.3">
      <c r="H3035" t="str">
        <f t="shared" si="97"/>
        <v/>
      </c>
    </row>
    <row r="3036" spans="8:8" x14ac:dyDescent="0.3">
      <c r="H3036" t="str">
        <f t="shared" si="97"/>
        <v/>
      </c>
    </row>
    <row r="3037" spans="8:8" x14ac:dyDescent="0.3">
      <c r="H3037" t="str">
        <f t="shared" si="97"/>
        <v/>
      </c>
    </row>
    <row r="3038" spans="8:8" x14ac:dyDescent="0.3">
      <c r="H3038" t="str">
        <f t="shared" si="97"/>
        <v/>
      </c>
    </row>
    <row r="3039" spans="8:8" x14ac:dyDescent="0.3">
      <c r="H3039" t="str">
        <f t="shared" si="97"/>
        <v/>
      </c>
    </row>
    <row r="3040" spans="8:8" x14ac:dyDescent="0.3">
      <c r="H3040" t="str">
        <f t="shared" si="97"/>
        <v/>
      </c>
    </row>
    <row r="3041" spans="8:8" x14ac:dyDescent="0.3">
      <c r="H3041" t="str">
        <f t="shared" si="97"/>
        <v/>
      </c>
    </row>
    <row r="3042" spans="8:8" x14ac:dyDescent="0.3">
      <c r="H3042" t="str">
        <f t="shared" si="97"/>
        <v/>
      </c>
    </row>
    <row r="3043" spans="8:8" x14ac:dyDescent="0.3">
      <c r="H3043" t="str">
        <f t="shared" si="97"/>
        <v/>
      </c>
    </row>
    <row r="3044" spans="8:8" x14ac:dyDescent="0.3">
      <c r="H3044" t="str">
        <f t="shared" si="97"/>
        <v/>
      </c>
    </row>
    <row r="3045" spans="8:8" x14ac:dyDescent="0.3">
      <c r="H3045" t="str">
        <f t="shared" si="97"/>
        <v/>
      </c>
    </row>
    <row r="3046" spans="8:8" x14ac:dyDescent="0.3">
      <c r="H3046" t="str">
        <f t="shared" si="97"/>
        <v/>
      </c>
    </row>
    <row r="3047" spans="8:8" x14ac:dyDescent="0.3">
      <c r="H3047" t="str">
        <f t="shared" si="97"/>
        <v/>
      </c>
    </row>
    <row r="3048" spans="8:8" x14ac:dyDescent="0.3">
      <c r="H3048" t="str">
        <f t="shared" si="97"/>
        <v/>
      </c>
    </row>
    <row r="3049" spans="8:8" x14ac:dyDescent="0.3">
      <c r="H3049" t="str">
        <f t="shared" si="97"/>
        <v/>
      </c>
    </row>
    <row r="3050" spans="8:8" x14ac:dyDescent="0.3">
      <c r="H3050" t="str">
        <f t="shared" si="97"/>
        <v/>
      </c>
    </row>
    <row r="3051" spans="8:8" x14ac:dyDescent="0.3">
      <c r="H3051" t="str">
        <f t="shared" si="97"/>
        <v/>
      </c>
    </row>
    <row r="3052" spans="8:8" x14ac:dyDescent="0.3">
      <c r="H3052" t="str">
        <f t="shared" si="97"/>
        <v/>
      </c>
    </row>
    <row r="3053" spans="8:8" x14ac:dyDescent="0.3">
      <c r="H3053" t="str">
        <f t="shared" si="97"/>
        <v/>
      </c>
    </row>
    <row r="3054" spans="8:8" x14ac:dyDescent="0.3">
      <c r="H3054" t="str">
        <f t="shared" si="97"/>
        <v/>
      </c>
    </row>
    <row r="3055" spans="8:8" x14ac:dyDescent="0.3">
      <c r="H3055" t="str">
        <f t="shared" si="97"/>
        <v/>
      </c>
    </row>
    <row r="3056" spans="8:8" x14ac:dyDescent="0.3">
      <c r="H3056" t="str">
        <f t="shared" si="97"/>
        <v/>
      </c>
    </row>
    <row r="3057" spans="8:8" x14ac:dyDescent="0.3">
      <c r="H3057" t="str">
        <f t="shared" si="97"/>
        <v/>
      </c>
    </row>
    <row r="3058" spans="8:8" x14ac:dyDescent="0.3">
      <c r="H3058" t="str">
        <f t="shared" si="97"/>
        <v/>
      </c>
    </row>
    <row r="3059" spans="8:8" x14ac:dyDescent="0.3">
      <c r="H3059" t="str">
        <f t="shared" si="97"/>
        <v/>
      </c>
    </row>
    <row r="3060" spans="8:8" x14ac:dyDescent="0.3">
      <c r="H3060" t="str">
        <f t="shared" si="97"/>
        <v/>
      </c>
    </row>
    <row r="3061" spans="8:8" x14ac:dyDescent="0.3">
      <c r="H3061" t="str">
        <f t="shared" si="97"/>
        <v/>
      </c>
    </row>
    <row r="3062" spans="8:8" x14ac:dyDescent="0.3">
      <c r="H3062" t="str">
        <f t="shared" si="97"/>
        <v/>
      </c>
    </row>
    <row r="3063" spans="8:8" x14ac:dyDescent="0.3">
      <c r="H3063" t="str">
        <f t="shared" si="97"/>
        <v/>
      </c>
    </row>
    <row r="3064" spans="8:8" x14ac:dyDescent="0.3">
      <c r="H3064" t="str">
        <f t="shared" si="97"/>
        <v/>
      </c>
    </row>
    <row r="3065" spans="8:8" x14ac:dyDescent="0.3">
      <c r="H3065" t="str">
        <f t="shared" si="97"/>
        <v/>
      </c>
    </row>
    <row r="3066" spans="8:8" x14ac:dyDescent="0.3">
      <c r="H3066" t="str">
        <f t="shared" si="97"/>
        <v/>
      </c>
    </row>
    <row r="3067" spans="8:8" x14ac:dyDescent="0.3">
      <c r="H3067" t="str">
        <f t="shared" si="97"/>
        <v/>
      </c>
    </row>
    <row r="3068" spans="8:8" x14ac:dyDescent="0.3">
      <c r="H3068" t="str">
        <f t="shared" si="97"/>
        <v/>
      </c>
    </row>
    <row r="3069" spans="8:8" x14ac:dyDescent="0.3">
      <c r="H3069" t="str">
        <f t="shared" si="97"/>
        <v/>
      </c>
    </row>
    <row r="3070" spans="8:8" x14ac:dyDescent="0.3">
      <c r="H3070" t="str">
        <f t="shared" si="97"/>
        <v/>
      </c>
    </row>
    <row r="3071" spans="8:8" x14ac:dyDescent="0.3">
      <c r="H3071" t="str">
        <f t="shared" si="97"/>
        <v/>
      </c>
    </row>
    <row r="3072" spans="8:8" x14ac:dyDescent="0.3">
      <c r="H3072" t="str">
        <f t="shared" si="97"/>
        <v/>
      </c>
    </row>
    <row r="3073" spans="8:8" x14ac:dyDescent="0.3">
      <c r="H3073" t="str">
        <f t="shared" si="97"/>
        <v/>
      </c>
    </row>
    <row r="3074" spans="8:8" x14ac:dyDescent="0.3">
      <c r="H3074" t="str">
        <f t="shared" si="97"/>
        <v/>
      </c>
    </row>
    <row r="3075" spans="8:8" x14ac:dyDescent="0.3">
      <c r="H3075" t="str">
        <f t="shared" si="97"/>
        <v/>
      </c>
    </row>
    <row r="3076" spans="8:8" x14ac:dyDescent="0.3">
      <c r="H3076" t="str">
        <f t="shared" si="97"/>
        <v/>
      </c>
    </row>
    <row r="3077" spans="8:8" x14ac:dyDescent="0.3">
      <c r="H3077" t="str">
        <f t="shared" si="97"/>
        <v/>
      </c>
    </row>
    <row r="3078" spans="8:8" x14ac:dyDescent="0.3">
      <c r="H3078" t="str">
        <f t="shared" si="97"/>
        <v/>
      </c>
    </row>
    <row r="3079" spans="8:8" x14ac:dyDescent="0.3">
      <c r="H3079" t="str">
        <f t="shared" si="97"/>
        <v/>
      </c>
    </row>
    <row r="3080" spans="8:8" x14ac:dyDescent="0.3">
      <c r="H3080" t="str">
        <f t="shared" si="97"/>
        <v/>
      </c>
    </row>
    <row r="3081" spans="8:8" x14ac:dyDescent="0.3">
      <c r="H3081" t="str">
        <f t="shared" si="97"/>
        <v/>
      </c>
    </row>
    <row r="3082" spans="8:8" x14ac:dyDescent="0.3">
      <c r="H3082" t="str">
        <f t="shared" si="97"/>
        <v/>
      </c>
    </row>
    <row r="3083" spans="8:8" x14ac:dyDescent="0.3">
      <c r="H3083" t="str">
        <f t="shared" si="97"/>
        <v/>
      </c>
    </row>
    <row r="3084" spans="8:8" x14ac:dyDescent="0.3">
      <c r="H3084" t="str">
        <f t="shared" si="97"/>
        <v/>
      </c>
    </row>
    <row r="3085" spans="8:8" x14ac:dyDescent="0.3">
      <c r="H3085" t="str">
        <f t="shared" si="97"/>
        <v/>
      </c>
    </row>
    <row r="3086" spans="8:8" x14ac:dyDescent="0.3">
      <c r="H3086" t="str">
        <f t="shared" si="97"/>
        <v/>
      </c>
    </row>
    <row r="3087" spans="8:8" x14ac:dyDescent="0.3">
      <c r="H3087" t="str">
        <f t="shared" si="97"/>
        <v/>
      </c>
    </row>
    <row r="3088" spans="8:8" x14ac:dyDescent="0.3">
      <c r="H3088" t="str">
        <f t="shared" si="97"/>
        <v/>
      </c>
    </row>
    <row r="3089" spans="8:8" x14ac:dyDescent="0.3">
      <c r="H3089" t="str">
        <f t="shared" si="97"/>
        <v/>
      </c>
    </row>
    <row r="3090" spans="8:8" x14ac:dyDescent="0.3">
      <c r="H3090" t="str">
        <f t="shared" si="97"/>
        <v/>
      </c>
    </row>
    <row r="3091" spans="8:8" x14ac:dyDescent="0.3">
      <c r="H3091" t="str">
        <f t="shared" si="97"/>
        <v/>
      </c>
    </row>
    <row r="3092" spans="8:8" x14ac:dyDescent="0.3">
      <c r="H3092" t="str">
        <f t="shared" si="97"/>
        <v/>
      </c>
    </row>
    <row r="3093" spans="8:8" x14ac:dyDescent="0.3">
      <c r="H3093" t="str">
        <f t="shared" si="97"/>
        <v/>
      </c>
    </row>
    <row r="3094" spans="8:8" x14ac:dyDescent="0.3">
      <c r="H3094" t="str">
        <f t="shared" si="97"/>
        <v/>
      </c>
    </row>
    <row r="3095" spans="8:8" x14ac:dyDescent="0.3">
      <c r="H3095" t="str">
        <f t="shared" ref="H3095:H3158" si="98">IF(B3095="","",$C$12)</f>
        <v/>
      </c>
    </row>
    <row r="3096" spans="8:8" x14ac:dyDescent="0.3">
      <c r="H3096" t="str">
        <f t="shared" si="98"/>
        <v/>
      </c>
    </row>
    <row r="3097" spans="8:8" x14ac:dyDescent="0.3">
      <c r="H3097" t="str">
        <f t="shared" si="98"/>
        <v/>
      </c>
    </row>
    <row r="3098" spans="8:8" x14ac:dyDescent="0.3">
      <c r="H3098" t="str">
        <f t="shared" si="98"/>
        <v/>
      </c>
    </row>
    <row r="3099" spans="8:8" x14ac:dyDescent="0.3">
      <c r="H3099" t="str">
        <f t="shared" si="98"/>
        <v/>
      </c>
    </row>
    <row r="3100" spans="8:8" x14ac:dyDescent="0.3">
      <c r="H3100" t="str">
        <f t="shared" si="98"/>
        <v/>
      </c>
    </row>
    <row r="3101" spans="8:8" x14ac:dyDescent="0.3">
      <c r="H3101" t="str">
        <f t="shared" si="98"/>
        <v/>
      </c>
    </row>
    <row r="3102" spans="8:8" x14ac:dyDescent="0.3">
      <c r="H3102" t="str">
        <f t="shared" si="98"/>
        <v/>
      </c>
    </row>
    <row r="3103" spans="8:8" x14ac:dyDescent="0.3">
      <c r="H3103" t="str">
        <f t="shared" si="98"/>
        <v/>
      </c>
    </row>
    <row r="3104" spans="8:8" x14ac:dyDescent="0.3">
      <c r="H3104" t="str">
        <f t="shared" si="98"/>
        <v/>
      </c>
    </row>
    <row r="3105" spans="8:8" x14ac:dyDescent="0.3">
      <c r="H3105" t="str">
        <f t="shared" si="98"/>
        <v/>
      </c>
    </row>
    <row r="3106" spans="8:8" x14ac:dyDescent="0.3">
      <c r="H3106" t="str">
        <f t="shared" si="98"/>
        <v/>
      </c>
    </row>
    <row r="3107" spans="8:8" x14ac:dyDescent="0.3">
      <c r="H3107" t="str">
        <f t="shared" si="98"/>
        <v/>
      </c>
    </row>
    <row r="3108" spans="8:8" x14ac:dyDescent="0.3">
      <c r="H3108" t="str">
        <f t="shared" si="98"/>
        <v/>
      </c>
    </row>
    <row r="3109" spans="8:8" x14ac:dyDescent="0.3">
      <c r="H3109" t="str">
        <f t="shared" si="98"/>
        <v/>
      </c>
    </row>
    <row r="3110" spans="8:8" x14ac:dyDescent="0.3">
      <c r="H3110" t="str">
        <f t="shared" si="98"/>
        <v/>
      </c>
    </row>
    <row r="3111" spans="8:8" x14ac:dyDescent="0.3">
      <c r="H3111" t="str">
        <f t="shared" si="98"/>
        <v/>
      </c>
    </row>
    <row r="3112" spans="8:8" x14ac:dyDescent="0.3">
      <c r="H3112" t="str">
        <f t="shared" si="98"/>
        <v/>
      </c>
    </row>
    <row r="3113" spans="8:8" x14ac:dyDescent="0.3">
      <c r="H3113" t="str">
        <f t="shared" si="98"/>
        <v/>
      </c>
    </row>
    <row r="3114" spans="8:8" x14ac:dyDescent="0.3">
      <c r="H3114" t="str">
        <f t="shared" si="98"/>
        <v/>
      </c>
    </row>
    <row r="3115" spans="8:8" x14ac:dyDescent="0.3">
      <c r="H3115" t="str">
        <f t="shared" si="98"/>
        <v/>
      </c>
    </row>
    <row r="3116" spans="8:8" x14ac:dyDescent="0.3">
      <c r="H3116" t="str">
        <f t="shared" si="98"/>
        <v/>
      </c>
    </row>
    <row r="3117" spans="8:8" x14ac:dyDescent="0.3">
      <c r="H3117" t="str">
        <f t="shared" si="98"/>
        <v/>
      </c>
    </row>
    <row r="3118" spans="8:8" x14ac:dyDescent="0.3">
      <c r="H3118" t="str">
        <f t="shared" si="98"/>
        <v/>
      </c>
    </row>
    <row r="3119" spans="8:8" x14ac:dyDescent="0.3">
      <c r="H3119" t="str">
        <f t="shared" si="98"/>
        <v/>
      </c>
    </row>
    <row r="3120" spans="8:8" x14ac:dyDescent="0.3">
      <c r="H3120" t="str">
        <f t="shared" si="98"/>
        <v/>
      </c>
    </row>
    <row r="3121" spans="8:8" x14ac:dyDescent="0.3">
      <c r="H3121" t="str">
        <f t="shared" si="98"/>
        <v/>
      </c>
    </row>
    <row r="3122" spans="8:8" x14ac:dyDescent="0.3">
      <c r="H3122" t="str">
        <f t="shared" si="98"/>
        <v/>
      </c>
    </row>
    <row r="3123" spans="8:8" x14ac:dyDescent="0.3">
      <c r="H3123" t="str">
        <f t="shared" si="98"/>
        <v/>
      </c>
    </row>
    <row r="3124" spans="8:8" x14ac:dyDescent="0.3">
      <c r="H3124" t="str">
        <f t="shared" si="98"/>
        <v/>
      </c>
    </row>
    <row r="3125" spans="8:8" x14ac:dyDescent="0.3">
      <c r="H3125" t="str">
        <f t="shared" si="98"/>
        <v/>
      </c>
    </row>
    <row r="3126" spans="8:8" x14ac:dyDescent="0.3">
      <c r="H3126" t="str">
        <f t="shared" si="98"/>
        <v/>
      </c>
    </row>
    <row r="3127" spans="8:8" x14ac:dyDescent="0.3">
      <c r="H3127" t="str">
        <f t="shared" si="98"/>
        <v/>
      </c>
    </row>
    <row r="3128" spans="8:8" x14ac:dyDescent="0.3">
      <c r="H3128" t="str">
        <f t="shared" si="98"/>
        <v/>
      </c>
    </row>
    <row r="3129" spans="8:8" x14ac:dyDescent="0.3">
      <c r="H3129" t="str">
        <f t="shared" si="98"/>
        <v/>
      </c>
    </row>
    <row r="3130" spans="8:8" x14ac:dyDescent="0.3">
      <c r="H3130" t="str">
        <f t="shared" si="98"/>
        <v/>
      </c>
    </row>
    <row r="3131" spans="8:8" x14ac:dyDescent="0.3">
      <c r="H3131" t="str">
        <f t="shared" si="98"/>
        <v/>
      </c>
    </row>
    <row r="3132" spans="8:8" x14ac:dyDescent="0.3">
      <c r="H3132" t="str">
        <f t="shared" si="98"/>
        <v/>
      </c>
    </row>
    <row r="3133" spans="8:8" x14ac:dyDescent="0.3">
      <c r="H3133" t="str">
        <f t="shared" si="98"/>
        <v/>
      </c>
    </row>
    <row r="3134" spans="8:8" x14ac:dyDescent="0.3">
      <c r="H3134" t="str">
        <f t="shared" si="98"/>
        <v/>
      </c>
    </row>
    <row r="3135" spans="8:8" x14ac:dyDescent="0.3">
      <c r="H3135" t="str">
        <f t="shared" si="98"/>
        <v/>
      </c>
    </row>
    <row r="3136" spans="8:8" x14ac:dyDescent="0.3">
      <c r="H3136" t="str">
        <f t="shared" si="98"/>
        <v/>
      </c>
    </row>
    <row r="3137" spans="8:8" x14ac:dyDescent="0.3">
      <c r="H3137" t="str">
        <f t="shared" si="98"/>
        <v/>
      </c>
    </row>
    <row r="3138" spans="8:8" x14ac:dyDescent="0.3">
      <c r="H3138" t="str">
        <f t="shared" si="98"/>
        <v/>
      </c>
    </row>
    <row r="3139" spans="8:8" x14ac:dyDescent="0.3">
      <c r="H3139" t="str">
        <f t="shared" si="98"/>
        <v/>
      </c>
    </row>
    <row r="3140" spans="8:8" x14ac:dyDescent="0.3">
      <c r="H3140" t="str">
        <f t="shared" si="98"/>
        <v/>
      </c>
    </row>
    <row r="3141" spans="8:8" x14ac:dyDescent="0.3">
      <c r="H3141" t="str">
        <f t="shared" si="98"/>
        <v/>
      </c>
    </row>
    <row r="3142" spans="8:8" x14ac:dyDescent="0.3">
      <c r="H3142" t="str">
        <f t="shared" si="98"/>
        <v/>
      </c>
    </row>
    <row r="3143" spans="8:8" x14ac:dyDescent="0.3">
      <c r="H3143" t="str">
        <f t="shared" si="98"/>
        <v/>
      </c>
    </row>
    <row r="3144" spans="8:8" x14ac:dyDescent="0.3">
      <c r="H3144" t="str">
        <f t="shared" si="98"/>
        <v/>
      </c>
    </row>
    <row r="3145" spans="8:8" x14ac:dyDescent="0.3">
      <c r="H3145" t="str">
        <f t="shared" si="98"/>
        <v/>
      </c>
    </row>
    <row r="3146" spans="8:8" x14ac:dyDescent="0.3">
      <c r="H3146" t="str">
        <f t="shared" si="98"/>
        <v/>
      </c>
    </row>
    <row r="3147" spans="8:8" x14ac:dyDescent="0.3">
      <c r="H3147" t="str">
        <f t="shared" si="98"/>
        <v/>
      </c>
    </row>
    <row r="3148" spans="8:8" x14ac:dyDescent="0.3">
      <c r="H3148" t="str">
        <f t="shared" si="98"/>
        <v/>
      </c>
    </row>
    <row r="3149" spans="8:8" x14ac:dyDescent="0.3">
      <c r="H3149" t="str">
        <f t="shared" si="98"/>
        <v/>
      </c>
    </row>
    <row r="3150" spans="8:8" x14ac:dyDescent="0.3">
      <c r="H3150" t="str">
        <f t="shared" si="98"/>
        <v/>
      </c>
    </row>
    <row r="3151" spans="8:8" x14ac:dyDescent="0.3">
      <c r="H3151" t="str">
        <f t="shared" si="98"/>
        <v/>
      </c>
    </row>
    <row r="3152" spans="8:8" x14ac:dyDescent="0.3">
      <c r="H3152" t="str">
        <f t="shared" si="98"/>
        <v/>
      </c>
    </row>
    <row r="3153" spans="8:8" x14ac:dyDescent="0.3">
      <c r="H3153" t="str">
        <f t="shared" si="98"/>
        <v/>
      </c>
    </row>
    <row r="3154" spans="8:8" x14ac:dyDescent="0.3">
      <c r="H3154" t="str">
        <f t="shared" si="98"/>
        <v/>
      </c>
    </row>
    <row r="3155" spans="8:8" x14ac:dyDescent="0.3">
      <c r="H3155" t="str">
        <f t="shared" si="98"/>
        <v/>
      </c>
    </row>
    <row r="3156" spans="8:8" x14ac:dyDescent="0.3">
      <c r="H3156" t="str">
        <f t="shared" si="98"/>
        <v/>
      </c>
    </row>
    <row r="3157" spans="8:8" x14ac:dyDescent="0.3">
      <c r="H3157" t="str">
        <f t="shared" si="98"/>
        <v/>
      </c>
    </row>
    <row r="3158" spans="8:8" x14ac:dyDescent="0.3">
      <c r="H3158" t="str">
        <f t="shared" si="98"/>
        <v/>
      </c>
    </row>
    <row r="3159" spans="8:8" x14ac:dyDescent="0.3">
      <c r="H3159" t="str">
        <f t="shared" ref="H3159:H3222" si="99">IF(B3159="","",$C$12)</f>
        <v/>
      </c>
    </row>
    <row r="3160" spans="8:8" x14ac:dyDescent="0.3">
      <c r="H3160" t="str">
        <f t="shared" si="99"/>
        <v/>
      </c>
    </row>
    <row r="3161" spans="8:8" x14ac:dyDescent="0.3">
      <c r="H3161" t="str">
        <f t="shared" si="99"/>
        <v/>
      </c>
    </row>
    <row r="3162" spans="8:8" x14ac:dyDescent="0.3">
      <c r="H3162" t="str">
        <f t="shared" si="99"/>
        <v/>
      </c>
    </row>
    <row r="3163" spans="8:8" x14ac:dyDescent="0.3">
      <c r="H3163" t="str">
        <f t="shared" si="99"/>
        <v/>
      </c>
    </row>
    <row r="3164" spans="8:8" x14ac:dyDescent="0.3">
      <c r="H3164" t="str">
        <f t="shared" si="99"/>
        <v/>
      </c>
    </row>
    <row r="3165" spans="8:8" x14ac:dyDescent="0.3">
      <c r="H3165" t="str">
        <f t="shared" si="99"/>
        <v/>
      </c>
    </row>
    <row r="3166" spans="8:8" x14ac:dyDescent="0.3">
      <c r="H3166" t="str">
        <f t="shared" si="99"/>
        <v/>
      </c>
    </row>
    <row r="3167" spans="8:8" x14ac:dyDescent="0.3">
      <c r="H3167" t="str">
        <f t="shared" si="99"/>
        <v/>
      </c>
    </row>
    <row r="3168" spans="8:8" x14ac:dyDescent="0.3">
      <c r="H3168" t="str">
        <f t="shared" si="99"/>
        <v/>
      </c>
    </row>
    <row r="3169" spans="8:8" x14ac:dyDescent="0.3">
      <c r="H3169" t="str">
        <f t="shared" si="99"/>
        <v/>
      </c>
    </row>
    <row r="3170" spans="8:8" x14ac:dyDescent="0.3">
      <c r="H3170" t="str">
        <f t="shared" si="99"/>
        <v/>
      </c>
    </row>
    <row r="3171" spans="8:8" x14ac:dyDescent="0.3">
      <c r="H3171" t="str">
        <f t="shared" si="99"/>
        <v/>
      </c>
    </row>
    <row r="3172" spans="8:8" x14ac:dyDescent="0.3">
      <c r="H3172" t="str">
        <f t="shared" si="99"/>
        <v/>
      </c>
    </row>
    <row r="3173" spans="8:8" x14ac:dyDescent="0.3">
      <c r="H3173" t="str">
        <f t="shared" si="99"/>
        <v/>
      </c>
    </row>
    <row r="3174" spans="8:8" x14ac:dyDescent="0.3">
      <c r="H3174" t="str">
        <f t="shared" si="99"/>
        <v/>
      </c>
    </row>
    <row r="3175" spans="8:8" x14ac:dyDescent="0.3">
      <c r="H3175" t="str">
        <f t="shared" si="99"/>
        <v/>
      </c>
    </row>
    <row r="3176" spans="8:8" x14ac:dyDescent="0.3">
      <c r="H3176" t="str">
        <f t="shared" si="99"/>
        <v/>
      </c>
    </row>
    <row r="3177" spans="8:8" x14ac:dyDescent="0.3">
      <c r="H3177" t="str">
        <f t="shared" si="99"/>
        <v/>
      </c>
    </row>
    <row r="3178" spans="8:8" x14ac:dyDescent="0.3">
      <c r="H3178" t="str">
        <f t="shared" si="99"/>
        <v/>
      </c>
    </row>
    <row r="3179" spans="8:8" x14ac:dyDescent="0.3">
      <c r="H3179" t="str">
        <f t="shared" si="99"/>
        <v/>
      </c>
    </row>
    <row r="3180" spans="8:8" x14ac:dyDescent="0.3">
      <c r="H3180" t="str">
        <f t="shared" si="99"/>
        <v/>
      </c>
    </row>
    <row r="3181" spans="8:8" x14ac:dyDescent="0.3">
      <c r="H3181" t="str">
        <f t="shared" si="99"/>
        <v/>
      </c>
    </row>
    <row r="3182" spans="8:8" x14ac:dyDescent="0.3">
      <c r="H3182" t="str">
        <f t="shared" si="99"/>
        <v/>
      </c>
    </row>
    <row r="3183" spans="8:8" x14ac:dyDescent="0.3">
      <c r="H3183" t="str">
        <f t="shared" si="99"/>
        <v/>
      </c>
    </row>
    <row r="3184" spans="8:8" x14ac:dyDescent="0.3">
      <c r="H3184" t="str">
        <f t="shared" si="99"/>
        <v/>
      </c>
    </row>
    <row r="3185" spans="8:8" x14ac:dyDescent="0.3">
      <c r="H3185" t="str">
        <f t="shared" si="99"/>
        <v/>
      </c>
    </row>
    <row r="3186" spans="8:8" x14ac:dyDescent="0.3">
      <c r="H3186" t="str">
        <f t="shared" si="99"/>
        <v/>
      </c>
    </row>
    <row r="3187" spans="8:8" x14ac:dyDescent="0.3">
      <c r="H3187" t="str">
        <f t="shared" si="99"/>
        <v/>
      </c>
    </row>
    <row r="3188" spans="8:8" x14ac:dyDescent="0.3">
      <c r="H3188" t="str">
        <f t="shared" si="99"/>
        <v/>
      </c>
    </row>
    <row r="3189" spans="8:8" x14ac:dyDescent="0.3">
      <c r="H3189" t="str">
        <f t="shared" si="99"/>
        <v/>
      </c>
    </row>
    <row r="3190" spans="8:8" x14ac:dyDescent="0.3">
      <c r="H3190" t="str">
        <f t="shared" si="99"/>
        <v/>
      </c>
    </row>
    <row r="3191" spans="8:8" x14ac:dyDescent="0.3">
      <c r="H3191" t="str">
        <f t="shared" si="99"/>
        <v/>
      </c>
    </row>
    <row r="3192" spans="8:8" x14ac:dyDescent="0.3">
      <c r="H3192" t="str">
        <f t="shared" si="99"/>
        <v/>
      </c>
    </row>
    <row r="3193" spans="8:8" x14ac:dyDescent="0.3">
      <c r="H3193" t="str">
        <f t="shared" si="99"/>
        <v/>
      </c>
    </row>
    <row r="3194" spans="8:8" x14ac:dyDescent="0.3">
      <c r="H3194" t="str">
        <f t="shared" si="99"/>
        <v/>
      </c>
    </row>
    <row r="3195" spans="8:8" x14ac:dyDescent="0.3">
      <c r="H3195" t="str">
        <f t="shared" si="99"/>
        <v/>
      </c>
    </row>
    <row r="3196" spans="8:8" x14ac:dyDescent="0.3">
      <c r="H3196" t="str">
        <f t="shared" si="99"/>
        <v/>
      </c>
    </row>
    <row r="3197" spans="8:8" x14ac:dyDescent="0.3">
      <c r="H3197" t="str">
        <f t="shared" si="99"/>
        <v/>
      </c>
    </row>
    <row r="3198" spans="8:8" x14ac:dyDescent="0.3">
      <c r="H3198" t="str">
        <f t="shared" si="99"/>
        <v/>
      </c>
    </row>
    <row r="3199" spans="8:8" x14ac:dyDescent="0.3">
      <c r="H3199" t="str">
        <f t="shared" si="99"/>
        <v/>
      </c>
    </row>
    <row r="3200" spans="8:8" x14ac:dyDescent="0.3">
      <c r="H3200" t="str">
        <f t="shared" si="99"/>
        <v/>
      </c>
    </row>
    <row r="3201" spans="8:8" x14ac:dyDescent="0.3">
      <c r="H3201" t="str">
        <f t="shared" si="99"/>
        <v/>
      </c>
    </row>
    <row r="3202" spans="8:8" x14ac:dyDescent="0.3">
      <c r="H3202" t="str">
        <f t="shared" si="99"/>
        <v/>
      </c>
    </row>
    <row r="3203" spans="8:8" x14ac:dyDescent="0.3">
      <c r="H3203" t="str">
        <f t="shared" si="99"/>
        <v/>
      </c>
    </row>
    <row r="3204" spans="8:8" x14ac:dyDescent="0.3">
      <c r="H3204" t="str">
        <f t="shared" si="99"/>
        <v/>
      </c>
    </row>
    <row r="3205" spans="8:8" x14ac:dyDescent="0.3">
      <c r="H3205" t="str">
        <f t="shared" si="99"/>
        <v/>
      </c>
    </row>
    <row r="3206" spans="8:8" x14ac:dyDescent="0.3">
      <c r="H3206" t="str">
        <f t="shared" si="99"/>
        <v/>
      </c>
    </row>
    <row r="3207" spans="8:8" x14ac:dyDescent="0.3">
      <c r="H3207" t="str">
        <f t="shared" si="99"/>
        <v/>
      </c>
    </row>
    <row r="3208" spans="8:8" x14ac:dyDescent="0.3">
      <c r="H3208" t="str">
        <f t="shared" si="99"/>
        <v/>
      </c>
    </row>
    <row r="3209" spans="8:8" x14ac:dyDescent="0.3">
      <c r="H3209" t="str">
        <f t="shared" si="99"/>
        <v/>
      </c>
    </row>
    <row r="3210" spans="8:8" x14ac:dyDescent="0.3">
      <c r="H3210" t="str">
        <f t="shared" si="99"/>
        <v/>
      </c>
    </row>
    <row r="3211" spans="8:8" x14ac:dyDescent="0.3">
      <c r="H3211" t="str">
        <f t="shared" si="99"/>
        <v/>
      </c>
    </row>
    <row r="3212" spans="8:8" x14ac:dyDescent="0.3">
      <c r="H3212" t="str">
        <f t="shared" si="99"/>
        <v/>
      </c>
    </row>
    <row r="3213" spans="8:8" x14ac:dyDescent="0.3">
      <c r="H3213" t="str">
        <f t="shared" si="99"/>
        <v/>
      </c>
    </row>
    <row r="3214" spans="8:8" x14ac:dyDescent="0.3">
      <c r="H3214" t="str">
        <f t="shared" si="99"/>
        <v/>
      </c>
    </row>
    <row r="3215" spans="8:8" x14ac:dyDescent="0.3">
      <c r="H3215" t="str">
        <f t="shared" si="99"/>
        <v/>
      </c>
    </row>
    <row r="3216" spans="8:8" x14ac:dyDescent="0.3">
      <c r="H3216" t="str">
        <f t="shared" si="99"/>
        <v/>
      </c>
    </row>
    <row r="3217" spans="8:8" x14ac:dyDescent="0.3">
      <c r="H3217" t="str">
        <f t="shared" si="99"/>
        <v/>
      </c>
    </row>
    <row r="3218" spans="8:8" x14ac:dyDescent="0.3">
      <c r="H3218" t="str">
        <f t="shared" si="99"/>
        <v/>
      </c>
    </row>
    <row r="3219" spans="8:8" x14ac:dyDescent="0.3">
      <c r="H3219" t="str">
        <f t="shared" si="99"/>
        <v/>
      </c>
    </row>
    <row r="3220" spans="8:8" x14ac:dyDescent="0.3">
      <c r="H3220" t="str">
        <f t="shared" si="99"/>
        <v/>
      </c>
    </row>
    <row r="3221" spans="8:8" x14ac:dyDescent="0.3">
      <c r="H3221" t="str">
        <f t="shared" si="99"/>
        <v/>
      </c>
    </row>
    <row r="3222" spans="8:8" x14ac:dyDescent="0.3">
      <c r="H3222" t="str">
        <f t="shared" si="99"/>
        <v/>
      </c>
    </row>
    <row r="3223" spans="8:8" x14ac:dyDescent="0.3">
      <c r="H3223" t="str">
        <f t="shared" ref="H3223:H3286" si="100">IF(B3223="","",$C$12)</f>
        <v/>
      </c>
    </row>
    <row r="3224" spans="8:8" x14ac:dyDescent="0.3">
      <c r="H3224" t="str">
        <f t="shared" si="100"/>
        <v/>
      </c>
    </row>
    <row r="3225" spans="8:8" x14ac:dyDescent="0.3">
      <c r="H3225" t="str">
        <f t="shared" si="100"/>
        <v/>
      </c>
    </row>
    <row r="3226" spans="8:8" x14ac:dyDescent="0.3">
      <c r="H3226" t="str">
        <f t="shared" si="100"/>
        <v/>
      </c>
    </row>
    <row r="3227" spans="8:8" x14ac:dyDescent="0.3">
      <c r="H3227" t="str">
        <f t="shared" si="100"/>
        <v/>
      </c>
    </row>
    <row r="3228" spans="8:8" x14ac:dyDescent="0.3">
      <c r="H3228" t="str">
        <f t="shared" si="100"/>
        <v/>
      </c>
    </row>
    <row r="3229" spans="8:8" x14ac:dyDescent="0.3">
      <c r="H3229" t="str">
        <f t="shared" si="100"/>
        <v/>
      </c>
    </row>
    <row r="3230" spans="8:8" x14ac:dyDescent="0.3">
      <c r="H3230" t="str">
        <f t="shared" si="100"/>
        <v/>
      </c>
    </row>
    <row r="3231" spans="8:8" x14ac:dyDescent="0.3">
      <c r="H3231" t="str">
        <f t="shared" si="100"/>
        <v/>
      </c>
    </row>
    <row r="3232" spans="8:8" x14ac:dyDescent="0.3">
      <c r="H3232" t="str">
        <f t="shared" si="100"/>
        <v/>
      </c>
    </row>
    <row r="3233" spans="8:8" x14ac:dyDescent="0.3">
      <c r="H3233" t="str">
        <f t="shared" si="100"/>
        <v/>
      </c>
    </row>
    <row r="3234" spans="8:8" x14ac:dyDescent="0.3">
      <c r="H3234" t="str">
        <f t="shared" si="100"/>
        <v/>
      </c>
    </row>
    <row r="3235" spans="8:8" x14ac:dyDescent="0.3">
      <c r="H3235" t="str">
        <f t="shared" si="100"/>
        <v/>
      </c>
    </row>
    <row r="3236" spans="8:8" x14ac:dyDescent="0.3">
      <c r="H3236" t="str">
        <f t="shared" si="100"/>
        <v/>
      </c>
    </row>
    <row r="3237" spans="8:8" x14ac:dyDescent="0.3">
      <c r="H3237" t="str">
        <f t="shared" si="100"/>
        <v/>
      </c>
    </row>
    <row r="3238" spans="8:8" x14ac:dyDescent="0.3">
      <c r="H3238" t="str">
        <f t="shared" si="100"/>
        <v/>
      </c>
    </row>
    <row r="3239" spans="8:8" x14ac:dyDescent="0.3">
      <c r="H3239" t="str">
        <f t="shared" si="100"/>
        <v/>
      </c>
    </row>
    <row r="3240" spans="8:8" x14ac:dyDescent="0.3">
      <c r="H3240" t="str">
        <f t="shared" si="100"/>
        <v/>
      </c>
    </row>
    <row r="3241" spans="8:8" x14ac:dyDescent="0.3">
      <c r="H3241" t="str">
        <f t="shared" si="100"/>
        <v/>
      </c>
    </row>
    <row r="3242" spans="8:8" x14ac:dyDescent="0.3">
      <c r="H3242" t="str">
        <f t="shared" si="100"/>
        <v/>
      </c>
    </row>
    <row r="3243" spans="8:8" x14ac:dyDescent="0.3">
      <c r="H3243" t="str">
        <f t="shared" si="100"/>
        <v/>
      </c>
    </row>
    <row r="3244" spans="8:8" x14ac:dyDescent="0.3">
      <c r="H3244" t="str">
        <f t="shared" si="100"/>
        <v/>
      </c>
    </row>
    <row r="3245" spans="8:8" x14ac:dyDescent="0.3">
      <c r="H3245" t="str">
        <f t="shared" si="100"/>
        <v/>
      </c>
    </row>
    <row r="3246" spans="8:8" x14ac:dyDescent="0.3">
      <c r="H3246" t="str">
        <f t="shared" si="100"/>
        <v/>
      </c>
    </row>
    <row r="3247" spans="8:8" x14ac:dyDescent="0.3">
      <c r="H3247" t="str">
        <f t="shared" si="100"/>
        <v/>
      </c>
    </row>
    <row r="3248" spans="8:8" x14ac:dyDescent="0.3">
      <c r="H3248" t="str">
        <f t="shared" si="100"/>
        <v/>
      </c>
    </row>
    <row r="3249" spans="8:8" x14ac:dyDescent="0.3">
      <c r="H3249" t="str">
        <f t="shared" si="100"/>
        <v/>
      </c>
    </row>
    <row r="3250" spans="8:8" x14ac:dyDescent="0.3">
      <c r="H3250" t="str">
        <f t="shared" si="100"/>
        <v/>
      </c>
    </row>
    <row r="3251" spans="8:8" x14ac:dyDescent="0.3">
      <c r="H3251" t="str">
        <f t="shared" si="100"/>
        <v/>
      </c>
    </row>
    <row r="3252" spans="8:8" x14ac:dyDescent="0.3">
      <c r="H3252" t="str">
        <f t="shared" si="100"/>
        <v/>
      </c>
    </row>
    <row r="3253" spans="8:8" x14ac:dyDescent="0.3">
      <c r="H3253" t="str">
        <f t="shared" si="100"/>
        <v/>
      </c>
    </row>
    <row r="3254" spans="8:8" x14ac:dyDescent="0.3">
      <c r="H3254" t="str">
        <f t="shared" si="100"/>
        <v/>
      </c>
    </row>
    <row r="3255" spans="8:8" x14ac:dyDescent="0.3">
      <c r="H3255" t="str">
        <f t="shared" si="100"/>
        <v/>
      </c>
    </row>
    <row r="3256" spans="8:8" x14ac:dyDescent="0.3">
      <c r="H3256" t="str">
        <f t="shared" si="100"/>
        <v/>
      </c>
    </row>
    <row r="3257" spans="8:8" x14ac:dyDescent="0.3">
      <c r="H3257" t="str">
        <f t="shared" si="100"/>
        <v/>
      </c>
    </row>
    <row r="3258" spans="8:8" x14ac:dyDescent="0.3">
      <c r="H3258" t="str">
        <f t="shared" si="100"/>
        <v/>
      </c>
    </row>
    <row r="3259" spans="8:8" x14ac:dyDescent="0.3">
      <c r="H3259" t="str">
        <f t="shared" si="100"/>
        <v/>
      </c>
    </row>
    <row r="3260" spans="8:8" x14ac:dyDescent="0.3">
      <c r="H3260" t="str">
        <f t="shared" si="100"/>
        <v/>
      </c>
    </row>
    <row r="3261" spans="8:8" x14ac:dyDescent="0.3">
      <c r="H3261" t="str">
        <f t="shared" si="100"/>
        <v/>
      </c>
    </row>
    <row r="3262" spans="8:8" x14ac:dyDescent="0.3">
      <c r="H3262" t="str">
        <f t="shared" si="100"/>
        <v/>
      </c>
    </row>
    <row r="3263" spans="8:8" x14ac:dyDescent="0.3">
      <c r="H3263" t="str">
        <f t="shared" si="100"/>
        <v/>
      </c>
    </row>
    <row r="3264" spans="8:8" x14ac:dyDescent="0.3">
      <c r="H3264" t="str">
        <f t="shared" si="100"/>
        <v/>
      </c>
    </row>
    <row r="3265" spans="8:8" x14ac:dyDescent="0.3">
      <c r="H3265" t="str">
        <f t="shared" si="100"/>
        <v/>
      </c>
    </row>
    <row r="3266" spans="8:8" x14ac:dyDescent="0.3">
      <c r="H3266" t="str">
        <f t="shared" si="100"/>
        <v/>
      </c>
    </row>
    <row r="3267" spans="8:8" x14ac:dyDescent="0.3">
      <c r="H3267" t="str">
        <f t="shared" si="100"/>
        <v/>
      </c>
    </row>
    <row r="3268" spans="8:8" x14ac:dyDescent="0.3">
      <c r="H3268" t="str">
        <f t="shared" si="100"/>
        <v/>
      </c>
    </row>
    <row r="3269" spans="8:8" x14ac:dyDescent="0.3">
      <c r="H3269" t="str">
        <f t="shared" si="100"/>
        <v/>
      </c>
    </row>
    <row r="3270" spans="8:8" x14ac:dyDescent="0.3">
      <c r="H3270" t="str">
        <f t="shared" si="100"/>
        <v/>
      </c>
    </row>
    <row r="3271" spans="8:8" x14ac:dyDescent="0.3">
      <c r="H3271" t="str">
        <f t="shared" si="100"/>
        <v/>
      </c>
    </row>
    <row r="3272" spans="8:8" x14ac:dyDescent="0.3">
      <c r="H3272" t="str">
        <f t="shared" si="100"/>
        <v/>
      </c>
    </row>
    <row r="3273" spans="8:8" x14ac:dyDescent="0.3">
      <c r="H3273" t="str">
        <f t="shared" si="100"/>
        <v/>
      </c>
    </row>
    <row r="3274" spans="8:8" x14ac:dyDescent="0.3">
      <c r="H3274" t="str">
        <f t="shared" si="100"/>
        <v/>
      </c>
    </row>
    <row r="3275" spans="8:8" x14ac:dyDescent="0.3">
      <c r="H3275" t="str">
        <f t="shared" si="100"/>
        <v/>
      </c>
    </row>
    <row r="3276" spans="8:8" x14ac:dyDescent="0.3">
      <c r="H3276" t="str">
        <f t="shared" si="100"/>
        <v/>
      </c>
    </row>
    <row r="3277" spans="8:8" x14ac:dyDescent="0.3">
      <c r="H3277" t="str">
        <f t="shared" si="100"/>
        <v/>
      </c>
    </row>
    <row r="3278" spans="8:8" x14ac:dyDescent="0.3">
      <c r="H3278" t="str">
        <f t="shared" si="100"/>
        <v/>
      </c>
    </row>
    <row r="3279" spans="8:8" x14ac:dyDescent="0.3">
      <c r="H3279" t="str">
        <f t="shared" si="100"/>
        <v/>
      </c>
    </row>
    <row r="3280" spans="8:8" x14ac:dyDescent="0.3">
      <c r="H3280" t="str">
        <f t="shared" si="100"/>
        <v/>
      </c>
    </row>
    <row r="3281" spans="8:8" x14ac:dyDescent="0.3">
      <c r="H3281" t="str">
        <f t="shared" si="100"/>
        <v/>
      </c>
    </row>
    <row r="3282" spans="8:8" x14ac:dyDescent="0.3">
      <c r="H3282" t="str">
        <f t="shared" si="100"/>
        <v/>
      </c>
    </row>
    <row r="3283" spans="8:8" x14ac:dyDescent="0.3">
      <c r="H3283" t="str">
        <f t="shared" si="100"/>
        <v/>
      </c>
    </row>
    <row r="3284" spans="8:8" x14ac:dyDescent="0.3">
      <c r="H3284" t="str">
        <f t="shared" si="100"/>
        <v/>
      </c>
    </row>
    <row r="3285" spans="8:8" x14ac:dyDescent="0.3">
      <c r="H3285" t="str">
        <f t="shared" si="100"/>
        <v/>
      </c>
    </row>
    <row r="3286" spans="8:8" x14ac:dyDescent="0.3">
      <c r="H3286" t="str">
        <f t="shared" si="100"/>
        <v/>
      </c>
    </row>
    <row r="3287" spans="8:8" x14ac:dyDescent="0.3">
      <c r="H3287" t="str">
        <f t="shared" ref="H3287:H3350" si="101">IF(B3287="","",$C$12)</f>
        <v/>
      </c>
    </row>
    <row r="3288" spans="8:8" x14ac:dyDescent="0.3">
      <c r="H3288" t="str">
        <f t="shared" si="101"/>
        <v/>
      </c>
    </row>
    <row r="3289" spans="8:8" x14ac:dyDescent="0.3">
      <c r="H3289" t="str">
        <f t="shared" si="101"/>
        <v/>
      </c>
    </row>
    <row r="3290" spans="8:8" x14ac:dyDescent="0.3">
      <c r="H3290" t="str">
        <f t="shared" si="101"/>
        <v/>
      </c>
    </row>
    <row r="3291" spans="8:8" x14ac:dyDescent="0.3">
      <c r="H3291" t="str">
        <f t="shared" si="101"/>
        <v/>
      </c>
    </row>
    <row r="3292" spans="8:8" x14ac:dyDescent="0.3">
      <c r="H3292" t="str">
        <f t="shared" si="101"/>
        <v/>
      </c>
    </row>
    <row r="3293" spans="8:8" x14ac:dyDescent="0.3">
      <c r="H3293" t="str">
        <f t="shared" si="101"/>
        <v/>
      </c>
    </row>
    <row r="3294" spans="8:8" x14ac:dyDescent="0.3">
      <c r="H3294" t="str">
        <f t="shared" si="101"/>
        <v/>
      </c>
    </row>
    <row r="3295" spans="8:8" x14ac:dyDescent="0.3">
      <c r="H3295" t="str">
        <f t="shared" si="101"/>
        <v/>
      </c>
    </row>
    <row r="3296" spans="8:8" x14ac:dyDescent="0.3">
      <c r="H3296" t="str">
        <f t="shared" si="101"/>
        <v/>
      </c>
    </row>
    <row r="3297" spans="8:8" x14ac:dyDescent="0.3">
      <c r="H3297" t="str">
        <f t="shared" si="101"/>
        <v/>
      </c>
    </row>
    <row r="3298" spans="8:8" x14ac:dyDescent="0.3">
      <c r="H3298" t="str">
        <f t="shared" si="101"/>
        <v/>
      </c>
    </row>
    <row r="3299" spans="8:8" x14ac:dyDescent="0.3">
      <c r="H3299" t="str">
        <f t="shared" si="101"/>
        <v/>
      </c>
    </row>
    <row r="3300" spans="8:8" x14ac:dyDescent="0.3">
      <c r="H3300" t="str">
        <f t="shared" si="101"/>
        <v/>
      </c>
    </row>
    <row r="3301" spans="8:8" x14ac:dyDescent="0.3">
      <c r="H3301" t="str">
        <f t="shared" si="101"/>
        <v/>
      </c>
    </row>
    <row r="3302" spans="8:8" x14ac:dyDescent="0.3">
      <c r="H3302" t="str">
        <f t="shared" si="101"/>
        <v/>
      </c>
    </row>
    <row r="3303" spans="8:8" x14ac:dyDescent="0.3">
      <c r="H3303" t="str">
        <f t="shared" si="101"/>
        <v/>
      </c>
    </row>
    <row r="3304" spans="8:8" x14ac:dyDescent="0.3">
      <c r="H3304" t="str">
        <f t="shared" si="101"/>
        <v/>
      </c>
    </row>
    <row r="3305" spans="8:8" x14ac:dyDescent="0.3">
      <c r="H3305" t="str">
        <f t="shared" si="101"/>
        <v/>
      </c>
    </row>
    <row r="3306" spans="8:8" x14ac:dyDescent="0.3">
      <c r="H3306" t="str">
        <f t="shared" si="101"/>
        <v/>
      </c>
    </row>
    <row r="3307" spans="8:8" x14ac:dyDescent="0.3">
      <c r="H3307" t="str">
        <f t="shared" si="101"/>
        <v/>
      </c>
    </row>
    <row r="3308" spans="8:8" x14ac:dyDescent="0.3">
      <c r="H3308" t="str">
        <f t="shared" si="101"/>
        <v/>
      </c>
    </row>
    <row r="3309" spans="8:8" x14ac:dyDescent="0.3">
      <c r="H3309" t="str">
        <f t="shared" si="101"/>
        <v/>
      </c>
    </row>
    <row r="3310" spans="8:8" x14ac:dyDescent="0.3">
      <c r="H3310" t="str">
        <f t="shared" si="101"/>
        <v/>
      </c>
    </row>
    <row r="3311" spans="8:8" x14ac:dyDescent="0.3">
      <c r="H3311" t="str">
        <f t="shared" si="101"/>
        <v/>
      </c>
    </row>
    <row r="3312" spans="8:8" x14ac:dyDescent="0.3">
      <c r="H3312" t="str">
        <f t="shared" si="101"/>
        <v/>
      </c>
    </row>
    <row r="3313" spans="8:8" x14ac:dyDescent="0.3">
      <c r="H3313" t="str">
        <f t="shared" si="101"/>
        <v/>
      </c>
    </row>
    <row r="3314" spans="8:8" x14ac:dyDescent="0.3">
      <c r="H3314" t="str">
        <f t="shared" si="101"/>
        <v/>
      </c>
    </row>
    <row r="3315" spans="8:8" x14ac:dyDescent="0.3">
      <c r="H3315" t="str">
        <f t="shared" si="101"/>
        <v/>
      </c>
    </row>
    <row r="3316" spans="8:8" x14ac:dyDescent="0.3">
      <c r="H3316" t="str">
        <f t="shared" si="101"/>
        <v/>
      </c>
    </row>
    <row r="3317" spans="8:8" x14ac:dyDescent="0.3">
      <c r="H3317" t="str">
        <f t="shared" si="101"/>
        <v/>
      </c>
    </row>
    <row r="3318" spans="8:8" x14ac:dyDescent="0.3">
      <c r="H3318" t="str">
        <f t="shared" si="101"/>
        <v/>
      </c>
    </row>
    <row r="3319" spans="8:8" x14ac:dyDescent="0.3">
      <c r="H3319" t="str">
        <f t="shared" si="101"/>
        <v/>
      </c>
    </row>
    <row r="3320" spans="8:8" x14ac:dyDescent="0.3">
      <c r="H3320" t="str">
        <f t="shared" si="101"/>
        <v/>
      </c>
    </row>
    <row r="3321" spans="8:8" x14ac:dyDescent="0.3">
      <c r="H3321" t="str">
        <f t="shared" si="101"/>
        <v/>
      </c>
    </row>
    <row r="3322" spans="8:8" x14ac:dyDescent="0.3">
      <c r="H3322" t="str">
        <f t="shared" si="101"/>
        <v/>
      </c>
    </row>
    <row r="3323" spans="8:8" x14ac:dyDescent="0.3">
      <c r="H3323" t="str">
        <f t="shared" si="101"/>
        <v/>
      </c>
    </row>
    <row r="3324" spans="8:8" x14ac:dyDescent="0.3">
      <c r="H3324" t="str">
        <f t="shared" si="101"/>
        <v/>
      </c>
    </row>
    <row r="3325" spans="8:8" x14ac:dyDescent="0.3">
      <c r="H3325" t="str">
        <f t="shared" si="101"/>
        <v/>
      </c>
    </row>
    <row r="3326" spans="8:8" x14ac:dyDescent="0.3">
      <c r="H3326" t="str">
        <f t="shared" si="101"/>
        <v/>
      </c>
    </row>
    <row r="3327" spans="8:8" x14ac:dyDescent="0.3">
      <c r="H3327" t="str">
        <f t="shared" si="101"/>
        <v/>
      </c>
    </row>
    <row r="3328" spans="8:8" x14ac:dyDescent="0.3">
      <c r="H3328" t="str">
        <f t="shared" si="101"/>
        <v/>
      </c>
    </row>
    <row r="3329" spans="8:8" x14ac:dyDescent="0.3">
      <c r="H3329" t="str">
        <f t="shared" si="101"/>
        <v/>
      </c>
    </row>
    <row r="3330" spans="8:8" x14ac:dyDescent="0.3">
      <c r="H3330" t="str">
        <f t="shared" si="101"/>
        <v/>
      </c>
    </row>
    <row r="3331" spans="8:8" x14ac:dyDescent="0.3">
      <c r="H3331" t="str">
        <f t="shared" si="101"/>
        <v/>
      </c>
    </row>
    <row r="3332" spans="8:8" x14ac:dyDescent="0.3">
      <c r="H3332" t="str">
        <f t="shared" si="101"/>
        <v/>
      </c>
    </row>
    <row r="3333" spans="8:8" x14ac:dyDescent="0.3">
      <c r="H3333" t="str">
        <f t="shared" si="101"/>
        <v/>
      </c>
    </row>
    <row r="3334" spans="8:8" x14ac:dyDescent="0.3">
      <c r="H3334" t="str">
        <f t="shared" si="101"/>
        <v/>
      </c>
    </row>
    <row r="3335" spans="8:8" x14ac:dyDescent="0.3">
      <c r="H3335" t="str">
        <f t="shared" si="101"/>
        <v/>
      </c>
    </row>
    <row r="3336" spans="8:8" x14ac:dyDescent="0.3">
      <c r="H3336" t="str">
        <f t="shared" si="101"/>
        <v/>
      </c>
    </row>
    <row r="3337" spans="8:8" x14ac:dyDescent="0.3">
      <c r="H3337" t="str">
        <f t="shared" si="101"/>
        <v/>
      </c>
    </row>
    <row r="3338" spans="8:8" x14ac:dyDescent="0.3">
      <c r="H3338" t="str">
        <f t="shared" si="101"/>
        <v/>
      </c>
    </row>
    <row r="3339" spans="8:8" x14ac:dyDescent="0.3">
      <c r="H3339" t="str">
        <f t="shared" si="101"/>
        <v/>
      </c>
    </row>
    <row r="3340" spans="8:8" x14ac:dyDescent="0.3">
      <c r="H3340" t="str">
        <f t="shared" si="101"/>
        <v/>
      </c>
    </row>
    <row r="3341" spans="8:8" x14ac:dyDescent="0.3">
      <c r="H3341" t="str">
        <f t="shared" si="101"/>
        <v/>
      </c>
    </row>
    <row r="3342" spans="8:8" x14ac:dyDescent="0.3">
      <c r="H3342" t="str">
        <f t="shared" si="101"/>
        <v/>
      </c>
    </row>
    <row r="3343" spans="8:8" x14ac:dyDescent="0.3">
      <c r="H3343" t="str">
        <f t="shared" si="101"/>
        <v/>
      </c>
    </row>
    <row r="3344" spans="8:8" x14ac:dyDescent="0.3">
      <c r="H3344" t="str">
        <f t="shared" si="101"/>
        <v/>
      </c>
    </row>
    <row r="3345" spans="8:8" x14ac:dyDescent="0.3">
      <c r="H3345" t="str">
        <f t="shared" si="101"/>
        <v/>
      </c>
    </row>
    <row r="3346" spans="8:8" x14ac:dyDescent="0.3">
      <c r="H3346" t="str">
        <f t="shared" si="101"/>
        <v/>
      </c>
    </row>
    <row r="3347" spans="8:8" x14ac:dyDescent="0.3">
      <c r="H3347" t="str">
        <f t="shared" si="101"/>
        <v/>
      </c>
    </row>
    <row r="3348" spans="8:8" x14ac:dyDescent="0.3">
      <c r="H3348" t="str">
        <f t="shared" si="101"/>
        <v/>
      </c>
    </row>
    <row r="3349" spans="8:8" x14ac:dyDescent="0.3">
      <c r="H3349" t="str">
        <f t="shared" si="101"/>
        <v/>
      </c>
    </row>
    <row r="3350" spans="8:8" x14ac:dyDescent="0.3">
      <c r="H3350" t="str">
        <f t="shared" si="101"/>
        <v/>
      </c>
    </row>
    <row r="3351" spans="8:8" x14ac:dyDescent="0.3">
      <c r="H3351" t="str">
        <f t="shared" ref="H3351:H3414" si="102">IF(B3351="","",$C$12)</f>
        <v/>
      </c>
    </row>
    <row r="3352" spans="8:8" x14ac:dyDescent="0.3">
      <c r="H3352" t="str">
        <f t="shared" si="102"/>
        <v/>
      </c>
    </row>
    <row r="3353" spans="8:8" x14ac:dyDescent="0.3">
      <c r="H3353" t="str">
        <f t="shared" si="102"/>
        <v/>
      </c>
    </row>
    <row r="3354" spans="8:8" x14ac:dyDescent="0.3">
      <c r="H3354" t="str">
        <f t="shared" si="102"/>
        <v/>
      </c>
    </row>
    <row r="3355" spans="8:8" x14ac:dyDescent="0.3">
      <c r="H3355" t="str">
        <f t="shared" si="102"/>
        <v/>
      </c>
    </row>
    <row r="3356" spans="8:8" x14ac:dyDescent="0.3">
      <c r="H3356" t="str">
        <f t="shared" si="102"/>
        <v/>
      </c>
    </row>
    <row r="3357" spans="8:8" x14ac:dyDescent="0.3">
      <c r="H3357" t="str">
        <f t="shared" si="102"/>
        <v/>
      </c>
    </row>
    <row r="3358" spans="8:8" x14ac:dyDescent="0.3">
      <c r="H3358" t="str">
        <f t="shared" si="102"/>
        <v/>
      </c>
    </row>
    <row r="3359" spans="8:8" x14ac:dyDescent="0.3">
      <c r="H3359" t="str">
        <f t="shared" si="102"/>
        <v/>
      </c>
    </row>
    <row r="3360" spans="8:8" x14ac:dyDescent="0.3">
      <c r="H3360" t="str">
        <f t="shared" si="102"/>
        <v/>
      </c>
    </row>
    <row r="3361" spans="8:8" x14ac:dyDescent="0.3">
      <c r="H3361" t="str">
        <f t="shared" si="102"/>
        <v/>
      </c>
    </row>
    <row r="3362" spans="8:8" x14ac:dyDescent="0.3">
      <c r="H3362" t="str">
        <f t="shared" si="102"/>
        <v/>
      </c>
    </row>
    <row r="3363" spans="8:8" x14ac:dyDescent="0.3">
      <c r="H3363" t="str">
        <f t="shared" si="102"/>
        <v/>
      </c>
    </row>
    <row r="3364" spans="8:8" x14ac:dyDescent="0.3">
      <c r="H3364" t="str">
        <f t="shared" si="102"/>
        <v/>
      </c>
    </row>
    <row r="3365" spans="8:8" x14ac:dyDescent="0.3">
      <c r="H3365" t="str">
        <f t="shared" si="102"/>
        <v/>
      </c>
    </row>
    <row r="3366" spans="8:8" x14ac:dyDescent="0.3">
      <c r="H3366" t="str">
        <f t="shared" si="102"/>
        <v/>
      </c>
    </row>
    <row r="3367" spans="8:8" x14ac:dyDescent="0.3">
      <c r="H3367" t="str">
        <f t="shared" si="102"/>
        <v/>
      </c>
    </row>
    <row r="3368" spans="8:8" x14ac:dyDescent="0.3">
      <c r="H3368" t="str">
        <f t="shared" si="102"/>
        <v/>
      </c>
    </row>
    <row r="3369" spans="8:8" x14ac:dyDescent="0.3">
      <c r="H3369" t="str">
        <f t="shared" si="102"/>
        <v/>
      </c>
    </row>
    <row r="3370" spans="8:8" x14ac:dyDescent="0.3">
      <c r="H3370" t="str">
        <f t="shared" si="102"/>
        <v/>
      </c>
    </row>
    <row r="3371" spans="8:8" x14ac:dyDescent="0.3">
      <c r="H3371" t="str">
        <f t="shared" si="102"/>
        <v/>
      </c>
    </row>
    <row r="3372" spans="8:8" x14ac:dyDescent="0.3">
      <c r="H3372" t="str">
        <f t="shared" si="102"/>
        <v/>
      </c>
    </row>
    <row r="3373" spans="8:8" x14ac:dyDescent="0.3">
      <c r="H3373" t="str">
        <f t="shared" si="102"/>
        <v/>
      </c>
    </row>
    <row r="3374" spans="8:8" x14ac:dyDescent="0.3">
      <c r="H3374" t="str">
        <f t="shared" si="102"/>
        <v/>
      </c>
    </row>
    <row r="3375" spans="8:8" x14ac:dyDescent="0.3">
      <c r="H3375" t="str">
        <f t="shared" si="102"/>
        <v/>
      </c>
    </row>
    <row r="3376" spans="8:8" x14ac:dyDescent="0.3">
      <c r="H3376" t="str">
        <f t="shared" si="102"/>
        <v/>
      </c>
    </row>
    <row r="3377" spans="8:8" x14ac:dyDescent="0.3">
      <c r="H3377" t="str">
        <f t="shared" si="102"/>
        <v/>
      </c>
    </row>
    <row r="3378" spans="8:8" x14ac:dyDescent="0.3">
      <c r="H3378" t="str">
        <f t="shared" si="102"/>
        <v/>
      </c>
    </row>
    <row r="3379" spans="8:8" x14ac:dyDescent="0.3">
      <c r="H3379" t="str">
        <f t="shared" si="102"/>
        <v/>
      </c>
    </row>
    <row r="3380" spans="8:8" x14ac:dyDescent="0.3">
      <c r="H3380" t="str">
        <f t="shared" si="102"/>
        <v/>
      </c>
    </row>
    <row r="3381" spans="8:8" x14ac:dyDescent="0.3">
      <c r="H3381" t="str">
        <f t="shared" si="102"/>
        <v/>
      </c>
    </row>
    <row r="3382" spans="8:8" x14ac:dyDescent="0.3">
      <c r="H3382" t="str">
        <f t="shared" si="102"/>
        <v/>
      </c>
    </row>
    <row r="3383" spans="8:8" x14ac:dyDescent="0.3">
      <c r="H3383" t="str">
        <f t="shared" si="102"/>
        <v/>
      </c>
    </row>
    <row r="3384" spans="8:8" x14ac:dyDescent="0.3">
      <c r="H3384" t="str">
        <f t="shared" si="102"/>
        <v/>
      </c>
    </row>
    <row r="3385" spans="8:8" x14ac:dyDescent="0.3">
      <c r="H3385" t="str">
        <f t="shared" si="102"/>
        <v/>
      </c>
    </row>
    <row r="3386" spans="8:8" x14ac:dyDescent="0.3">
      <c r="H3386" t="str">
        <f t="shared" si="102"/>
        <v/>
      </c>
    </row>
    <row r="3387" spans="8:8" x14ac:dyDescent="0.3">
      <c r="H3387" t="str">
        <f t="shared" si="102"/>
        <v/>
      </c>
    </row>
    <row r="3388" spans="8:8" x14ac:dyDescent="0.3">
      <c r="H3388" t="str">
        <f t="shared" si="102"/>
        <v/>
      </c>
    </row>
    <row r="3389" spans="8:8" x14ac:dyDescent="0.3">
      <c r="H3389" t="str">
        <f t="shared" si="102"/>
        <v/>
      </c>
    </row>
    <row r="3390" spans="8:8" x14ac:dyDescent="0.3">
      <c r="H3390" t="str">
        <f t="shared" si="102"/>
        <v/>
      </c>
    </row>
    <row r="3391" spans="8:8" x14ac:dyDescent="0.3">
      <c r="H3391" t="str">
        <f t="shared" si="102"/>
        <v/>
      </c>
    </row>
    <row r="3392" spans="8:8" x14ac:dyDescent="0.3">
      <c r="H3392" t="str">
        <f t="shared" si="102"/>
        <v/>
      </c>
    </row>
    <row r="3393" spans="8:8" x14ac:dyDescent="0.3">
      <c r="H3393" t="str">
        <f t="shared" si="102"/>
        <v/>
      </c>
    </row>
    <row r="3394" spans="8:8" x14ac:dyDescent="0.3">
      <c r="H3394" t="str">
        <f t="shared" si="102"/>
        <v/>
      </c>
    </row>
    <row r="3395" spans="8:8" x14ac:dyDescent="0.3">
      <c r="H3395" t="str">
        <f t="shared" si="102"/>
        <v/>
      </c>
    </row>
    <row r="3396" spans="8:8" x14ac:dyDescent="0.3">
      <c r="H3396" t="str">
        <f t="shared" si="102"/>
        <v/>
      </c>
    </row>
    <row r="3397" spans="8:8" x14ac:dyDescent="0.3">
      <c r="H3397" t="str">
        <f t="shared" si="102"/>
        <v/>
      </c>
    </row>
    <row r="3398" spans="8:8" x14ac:dyDescent="0.3">
      <c r="H3398" t="str">
        <f t="shared" si="102"/>
        <v/>
      </c>
    </row>
    <row r="3399" spans="8:8" x14ac:dyDescent="0.3">
      <c r="H3399" t="str">
        <f t="shared" si="102"/>
        <v/>
      </c>
    </row>
    <row r="3400" spans="8:8" x14ac:dyDescent="0.3">
      <c r="H3400" t="str">
        <f t="shared" si="102"/>
        <v/>
      </c>
    </row>
    <row r="3401" spans="8:8" x14ac:dyDescent="0.3">
      <c r="H3401" t="str">
        <f t="shared" si="102"/>
        <v/>
      </c>
    </row>
    <row r="3402" spans="8:8" x14ac:dyDescent="0.3">
      <c r="H3402" t="str">
        <f t="shared" si="102"/>
        <v/>
      </c>
    </row>
    <row r="3403" spans="8:8" x14ac:dyDescent="0.3">
      <c r="H3403" t="str">
        <f t="shared" si="102"/>
        <v/>
      </c>
    </row>
    <row r="3404" spans="8:8" x14ac:dyDescent="0.3">
      <c r="H3404" t="str">
        <f t="shared" si="102"/>
        <v/>
      </c>
    </row>
    <row r="3405" spans="8:8" x14ac:dyDescent="0.3">
      <c r="H3405" t="str">
        <f t="shared" si="102"/>
        <v/>
      </c>
    </row>
    <row r="3406" spans="8:8" x14ac:dyDescent="0.3">
      <c r="H3406" t="str">
        <f t="shared" si="102"/>
        <v/>
      </c>
    </row>
    <row r="3407" spans="8:8" x14ac:dyDescent="0.3">
      <c r="H3407" t="str">
        <f t="shared" si="102"/>
        <v/>
      </c>
    </row>
    <row r="3408" spans="8:8" x14ac:dyDescent="0.3">
      <c r="H3408" t="str">
        <f t="shared" si="102"/>
        <v/>
      </c>
    </row>
    <row r="3409" spans="8:8" x14ac:dyDescent="0.3">
      <c r="H3409" t="str">
        <f t="shared" si="102"/>
        <v/>
      </c>
    </row>
    <row r="3410" spans="8:8" x14ac:dyDescent="0.3">
      <c r="H3410" t="str">
        <f t="shared" si="102"/>
        <v/>
      </c>
    </row>
    <row r="3411" spans="8:8" x14ac:dyDescent="0.3">
      <c r="H3411" t="str">
        <f t="shared" si="102"/>
        <v/>
      </c>
    </row>
    <row r="3412" spans="8:8" x14ac:dyDescent="0.3">
      <c r="H3412" t="str">
        <f t="shared" si="102"/>
        <v/>
      </c>
    </row>
    <row r="3413" spans="8:8" x14ac:dyDescent="0.3">
      <c r="H3413" t="str">
        <f t="shared" si="102"/>
        <v/>
      </c>
    </row>
    <row r="3414" spans="8:8" x14ac:dyDescent="0.3">
      <c r="H3414" t="str">
        <f t="shared" si="102"/>
        <v/>
      </c>
    </row>
    <row r="3415" spans="8:8" x14ac:dyDescent="0.3">
      <c r="H3415" t="str">
        <f t="shared" ref="H3415:H3478" si="103">IF(B3415="","",$C$12)</f>
        <v/>
      </c>
    </row>
    <row r="3416" spans="8:8" x14ac:dyDescent="0.3">
      <c r="H3416" t="str">
        <f t="shared" si="103"/>
        <v/>
      </c>
    </row>
    <row r="3417" spans="8:8" x14ac:dyDescent="0.3">
      <c r="H3417" t="str">
        <f t="shared" si="103"/>
        <v/>
      </c>
    </row>
    <row r="3418" spans="8:8" x14ac:dyDescent="0.3">
      <c r="H3418" t="str">
        <f t="shared" si="103"/>
        <v/>
      </c>
    </row>
    <row r="3419" spans="8:8" x14ac:dyDescent="0.3">
      <c r="H3419" t="str">
        <f t="shared" si="103"/>
        <v/>
      </c>
    </row>
    <row r="3420" spans="8:8" x14ac:dyDescent="0.3">
      <c r="H3420" t="str">
        <f t="shared" si="103"/>
        <v/>
      </c>
    </row>
    <row r="3421" spans="8:8" x14ac:dyDescent="0.3">
      <c r="H3421" t="str">
        <f t="shared" si="103"/>
        <v/>
      </c>
    </row>
    <row r="3422" spans="8:8" x14ac:dyDescent="0.3">
      <c r="H3422" t="str">
        <f t="shared" si="103"/>
        <v/>
      </c>
    </row>
    <row r="3423" spans="8:8" x14ac:dyDescent="0.3">
      <c r="H3423" t="str">
        <f t="shared" si="103"/>
        <v/>
      </c>
    </row>
    <row r="3424" spans="8:8" x14ac:dyDescent="0.3">
      <c r="H3424" t="str">
        <f t="shared" si="103"/>
        <v/>
      </c>
    </row>
    <row r="3425" spans="8:8" x14ac:dyDescent="0.3">
      <c r="H3425" t="str">
        <f t="shared" si="103"/>
        <v/>
      </c>
    </row>
    <row r="3426" spans="8:8" x14ac:dyDescent="0.3">
      <c r="H3426" t="str">
        <f t="shared" si="103"/>
        <v/>
      </c>
    </row>
    <row r="3427" spans="8:8" x14ac:dyDescent="0.3">
      <c r="H3427" t="str">
        <f t="shared" si="103"/>
        <v/>
      </c>
    </row>
    <row r="3428" spans="8:8" x14ac:dyDescent="0.3">
      <c r="H3428" t="str">
        <f t="shared" si="103"/>
        <v/>
      </c>
    </row>
    <row r="3429" spans="8:8" x14ac:dyDescent="0.3">
      <c r="H3429" t="str">
        <f t="shared" si="103"/>
        <v/>
      </c>
    </row>
    <row r="3430" spans="8:8" x14ac:dyDescent="0.3">
      <c r="H3430" t="str">
        <f t="shared" si="103"/>
        <v/>
      </c>
    </row>
    <row r="3431" spans="8:8" x14ac:dyDescent="0.3">
      <c r="H3431" t="str">
        <f t="shared" si="103"/>
        <v/>
      </c>
    </row>
    <row r="3432" spans="8:8" x14ac:dyDescent="0.3">
      <c r="H3432" t="str">
        <f t="shared" si="103"/>
        <v/>
      </c>
    </row>
    <row r="3433" spans="8:8" x14ac:dyDescent="0.3">
      <c r="H3433" t="str">
        <f t="shared" si="103"/>
        <v/>
      </c>
    </row>
    <row r="3434" spans="8:8" x14ac:dyDescent="0.3">
      <c r="H3434" t="str">
        <f t="shared" si="103"/>
        <v/>
      </c>
    </row>
    <row r="3435" spans="8:8" x14ac:dyDescent="0.3">
      <c r="H3435" t="str">
        <f t="shared" si="103"/>
        <v/>
      </c>
    </row>
    <row r="3436" spans="8:8" x14ac:dyDescent="0.3">
      <c r="H3436" t="str">
        <f t="shared" si="103"/>
        <v/>
      </c>
    </row>
    <row r="3437" spans="8:8" x14ac:dyDescent="0.3">
      <c r="H3437" t="str">
        <f t="shared" si="103"/>
        <v/>
      </c>
    </row>
    <row r="3438" spans="8:8" x14ac:dyDescent="0.3">
      <c r="H3438" t="str">
        <f t="shared" si="103"/>
        <v/>
      </c>
    </row>
    <row r="3439" spans="8:8" x14ac:dyDescent="0.3">
      <c r="H3439" t="str">
        <f t="shared" si="103"/>
        <v/>
      </c>
    </row>
    <row r="3440" spans="8:8" x14ac:dyDescent="0.3">
      <c r="H3440" t="str">
        <f t="shared" si="103"/>
        <v/>
      </c>
    </row>
    <row r="3441" spans="8:8" x14ac:dyDescent="0.3">
      <c r="H3441" t="str">
        <f t="shared" si="103"/>
        <v/>
      </c>
    </row>
    <row r="3442" spans="8:8" x14ac:dyDescent="0.3">
      <c r="H3442" t="str">
        <f t="shared" si="103"/>
        <v/>
      </c>
    </row>
    <row r="3443" spans="8:8" x14ac:dyDescent="0.3">
      <c r="H3443" t="str">
        <f t="shared" si="103"/>
        <v/>
      </c>
    </row>
    <row r="3444" spans="8:8" x14ac:dyDescent="0.3">
      <c r="H3444" t="str">
        <f t="shared" si="103"/>
        <v/>
      </c>
    </row>
    <row r="3445" spans="8:8" x14ac:dyDescent="0.3">
      <c r="H3445" t="str">
        <f t="shared" si="103"/>
        <v/>
      </c>
    </row>
    <row r="3446" spans="8:8" x14ac:dyDescent="0.3">
      <c r="H3446" t="str">
        <f t="shared" si="103"/>
        <v/>
      </c>
    </row>
    <row r="3447" spans="8:8" x14ac:dyDescent="0.3">
      <c r="H3447" t="str">
        <f t="shared" si="103"/>
        <v/>
      </c>
    </row>
    <row r="3448" spans="8:8" x14ac:dyDescent="0.3">
      <c r="H3448" t="str">
        <f t="shared" si="103"/>
        <v/>
      </c>
    </row>
    <row r="3449" spans="8:8" x14ac:dyDescent="0.3">
      <c r="H3449" t="str">
        <f t="shared" si="103"/>
        <v/>
      </c>
    </row>
    <row r="3450" spans="8:8" x14ac:dyDescent="0.3">
      <c r="H3450" t="str">
        <f t="shared" si="103"/>
        <v/>
      </c>
    </row>
    <row r="3451" spans="8:8" x14ac:dyDescent="0.3">
      <c r="H3451" t="str">
        <f t="shared" si="103"/>
        <v/>
      </c>
    </row>
    <row r="3452" spans="8:8" x14ac:dyDescent="0.3">
      <c r="H3452" t="str">
        <f t="shared" si="103"/>
        <v/>
      </c>
    </row>
    <row r="3453" spans="8:8" x14ac:dyDescent="0.3">
      <c r="H3453" t="str">
        <f t="shared" si="103"/>
        <v/>
      </c>
    </row>
    <row r="3454" spans="8:8" x14ac:dyDescent="0.3">
      <c r="H3454" t="str">
        <f t="shared" si="103"/>
        <v/>
      </c>
    </row>
    <row r="3455" spans="8:8" x14ac:dyDescent="0.3">
      <c r="H3455" t="str">
        <f t="shared" si="103"/>
        <v/>
      </c>
    </row>
    <row r="3456" spans="8:8" x14ac:dyDescent="0.3">
      <c r="H3456" t="str">
        <f t="shared" si="103"/>
        <v/>
      </c>
    </row>
    <row r="3457" spans="8:8" x14ac:dyDescent="0.3">
      <c r="H3457" t="str">
        <f t="shared" si="103"/>
        <v/>
      </c>
    </row>
    <row r="3458" spans="8:8" x14ac:dyDescent="0.3">
      <c r="H3458" t="str">
        <f t="shared" si="103"/>
        <v/>
      </c>
    </row>
    <row r="3459" spans="8:8" x14ac:dyDescent="0.3">
      <c r="H3459" t="str">
        <f t="shared" si="103"/>
        <v/>
      </c>
    </row>
    <row r="3460" spans="8:8" x14ac:dyDescent="0.3">
      <c r="H3460" t="str">
        <f t="shared" si="103"/>
        <v/>
      </c>
    </row>
    <row r="3461" spans="8:8" x14ac:dyDescent="0.3">
      <c r="H3461" t="str">
        <f t="shared" si="103"/>
        <v/>
      </c>
    </row>
    <row r="3462" spans="8:8" x14ac:dyDescent="0.3">
      <c r="H3462" t="str">
        <f t="shared" si="103"/>
        <v/>
      </c>
    </row>
    <row r="3463" spans="8:8" x14ac:dyDescent="0.3">
      <c r="H3463" t="str">
        <f t="shared" si="103"/>
        <v/>
      </c>
    </row>
    <row r="3464" spans="8:8" x14ac:dyDescent="0.3">
      <c r="H3464" t="str">
        <f t="shared" si="103"/>
        <v/>
      </c>
    </row>
    <row r="3465" spans="8:8" x14ac:dyDescent="0.3">
      <c r="H3465" t="str">
        <f t="shared" si="103"/>
        <v/>
      </c>
    </row>
    <row r="3466" spans="8:8" x14ac:dyDescent="0.3">
      <c r="H3466" t="str">
        <f t="shared" si="103"/>
        <v/>
      </c>
    </row>
    <row r="3467" spans="8:8" x14ac:dyDescent="0.3">
      <c r="H3467" t="str">
        <f t="shared" si="103"/>
        <v/>
      </c>
    </row>
    <row r="3468" spans="8:8" x14ac:dyDescent="0.3">
      <c r="H3468" t="str">
        <f t="shared" si="103"/>
        <v/>
      </c>
    </row>
    <row r="3469" spans="8:8" x14ac:dyDescent="0.3">
      <c r="H3469" t="str">
        <f t="shared" si="103"/>
        <v/>
      </c>
    </row>
    <row r="3470" spans="8:8" x14ac:dyDescent="0.3">
      <c r="H3470" t="str">
        <f t="shared" si="103"/>
        <v/>
      </c>
    </row>
    <row r="3471" spans="8:8" x14ac:dyDescent="0.3">
      <c r="H3471" t="str">
        <f t="shared" si="103"/>
        <v/>
      </c>
    </row>
    <row r="3472" spans="8:8" x14ac:dyDescent="0.3">
      <c r="H3472" t="str">
        <f t="shared" si="103"/>
        <v/>
      </c>
    </row>
    <row r="3473" spans="8:8" x14ac:dyDescent="0.3">
      <c r="H3473" t="str">
        <f t="shared" si="103"/>
        <v/>
      </c>
    </row>
    <row r="3474" spans="8:8" x14ac:dyDescent="0.3">
      <c r="H3474" t="str">
        <f t="shared" si="103"/>
        <v/>
      </c>
    </row>
    <row r="3475" spans="8:8" x14ac:dyDescent="0.3">
      <c r="H3475" t="str">
        <f t="shared" si="103"/>
        <v/>
      </c>
    </row>
    <row r="3476" spans="8:8" x14ac:dyDescent="0.3">
      <c r="H3476" t="str">
        <f t="shared" si="103"/>
        <v/>
      </c>
    </row>
    <row r="3477" spans="8:8" x14ac:dyDescent="0.3">
      <c r="H3477" t="str">
        <f t="shared" si="103"/>
        <v/>
      </c>
    </row>
    <row r="3478" spans="8:8" x14ac:dyDescent="0.3">
      <c r="H3478" t="str">
        <f t="shared" si="103"/>
        <v/>
      </c>
    </row>
    <row r="3479" spans="8:8" x14ac:dyDescent="0.3">
      <c r="H3479" t="str">
        <f t="shared" ref="H3479:H3542" si="104">IF(B3479="","",$C$12)</f>
        <v/>
      </c>
    </row>
    <row r="3480" spans="8:8" x14ac:dyDescent="0.3">
      <c r="H3480" t="str">
        <f t="shared" si="104"/>
        <v/>
      </c>
    </row>
    <row r="3481" spans="8:8" x14ac:dyDescent="0.3">
      <c r="H3481" t="str">
        <f t="shared" si="104"/>
        <v/>
      </c>
    </row>
    <row r="3482" spans="8:8" x14ac:dyDescent="0.3">
      <c r="H3482" t="str">
        <f t="shared" si="104"/>
        <v/>
      </c>
    </row>
    <row r="3483" spans="8:8" x14ac:dyDescent="0.3">
      <c r="H3483" t="str">
        <f t="shared" si="104"/>
        <v/>
      </c>
    </row>
    <row r="3484" spans="8:8" x14ac:dyDescent="0.3">
      <c r="H3484" t="str">
        <f t="shared" si="104"/>
        <v/>
      </c>
    </row>
    <row r="3485" spans="8:8" x14ac:dyDescent="0.3">
      <c r="H3485" t="str">
        <f t="shared" si="104"/>
        <v/>
      </c>
    </row>
    <row r="3486" spans="8:8" x14ac:dyDescent="0.3">
      <c r="H3486" t="str">
        <f t="shared" si="104"/>
        <v/>
      </c>
    </row>
    <row r="3487" spans="8:8" x14ac:dyDescent="0.3">
      <c r="H3487" t="str">
        <f t="shared" si="104"/>
        <v/>
      </c>
    </row>
    <row r="3488" spans="8:8" x14ac:dyDescent="0.3">
      <c r="H3488" t="str">
        <f t="shared" si="104"/>
        <v/>
      </c>
    </row>
    <row r="3489" spans="8:8" x14ac:dyDescent="0.3">
      <c r="H3489" t="str">
        <f t="shared" si="104"/>
        <v/>
      </c>
    </row>
    <row r="3490" spans="8:8" x14ac:dyDescent="0.3">
      <c r="H3490" t="str">
        <f t="shared" si="104"/>
        <v/>
      </c>
    </row>
    <row r="3491" spans="8:8" x14ac:dyDescent="0.3">
      <c r="H3491" t="str">
        <f t="shared" si="104"/>
        <v/>
      </c>
    </row>
    <row r="3492" spans="8:8" x14ac:dyDescent="0.3">
      <c r="H3492" t="str">
        <f t="shared" si="104"/>
        <v/>
      </c>
    </row>
    <row r="3493" spans="8:8" x14ac:dyDescent="0.3">
      <c r="H3493" t="str">
        <f t="shared" si="104"/>
        <v/>
      </c>
    </row>
    <row r="3494" spans="8:8" x14ac:dyDescent="0.3">
      <c r="H3494" t="str">
        <f t="shared" si="104"/>
        <v/>
      </c>
    </row>
    <row r="3495" spans="8:8" x14ac:dyDescent="0.3">
      <c r="H3495" t="str">
        <f t="shared" si="104"/>
        <v/>
      </c>
    </row>
    <row r="3496" spans="8:8" x14ac:dyDescent="0.3">
      <c r="H3496" t="str">
        <f t="shared" si="104"/>
        <v/>
      </c>
    </row>
    <row r="3497" spans="8:8" x14ac:dyDescent="0.3">
      <c r="H3497" t="str">
        <f t="shared" si="104"/>
        <v/>
      </c>
    </row>
    <row r="3498" spans="8:8" x14ac:dyDescent="0.3">
      <c r="H3498" t="str">
        <f t="shared" si="104"/>
        <v/>
      </c>
    </row>
    <row r="3499" spans="8:8" x14ac:dyDescent="0.3">
      <c r="H3499" t="str">
        <f t="shared" si="104"/>
        <v/>
      </c>
    </row>
    <row r="3500" spans="8:8" x14ac:dyDescent="0.3">
      <c r="H3500" t="str">
        <f t="shared" si="104"/>
        <v/>
      </c>
    </row>
    <row r="3501" spans="8:8" x14ac:dyDescent="0.3">
      <c r="H3501" t="str">
        <f t="shared" si="104"/>
        <v/>
      </c>
    </row>
    <row r="3502" spans="8:8" x14ac:dyDescent="0.3">
      <c r="H3502" t="str">
        <f t="shared" si="104"/>
        <v/>
      </c>
    </row>
    <row r="3503" spans="8:8" x14ac:dyDescent="0.3">
      <c r="H3503" t="str">
        <f t="shared" si="104"/>
        <v/>
      </c>
    </row>
    <row r="3504" spans="8:8" x14ac:dyDescent="0.3">
      <c r="H3504" t="str">
        <f t="shared" si="104"/>
        <v/>
      </c>
    </row>
    <row r="3505" spans="8:8" x14ac:dyDescent="0.3">
      <c r="H3505" t="str">
        <f t="shared" si="104"/>
        <v/>
      </c>
    </row>
    <row r="3506" spans="8:8" x14ac:dyDescent="0.3">
      <c r="H3506" t="str">
        <f t="shared" si="104"/>
        <v/>
      </c>
    </row>
    <row r="3507" spans="8:8" x14ac:dyDescent="0.3">
      <c r="H3507" t="str">
        <f t="shared" si="104"/>
        <v/>
      </c>
    </row>
    <row r="3508" spans="8:8" x14ac:dyDescent="0.3">
      <c r="H3508" t="str">
        <f t="shared" si="104"/>
        <v/>
      </c>
    </row>
    <row r="3509" spans="8:8" x14ac:dyDescent="0.3">
      <c r="H3509" t="str">
        <f t="shared" si="104"/>
        <v/>
      </c>
    </row>
    <row r="3510" spans="8:8" x14ac:dyDescent="0.3">
      <c r="H3510" t="str">
        <f t="shared" si="104"/>
        <v/>
      </c>
    </row>
    <row r="3511" spans="8:8" x14ac:dyDescent="0.3">
      <c r="H3511" t="str">
        <f t="shared" si="104"/>
        <v/>
      </c>
    </row>
    <row r="3512" spans="8:8" x14ac:dyDescent="0.3">
      <c r="H3512" t="str">
        <f t="shared" si="104"/>
        <v/>
      </c>
    </row>
    <row r="3513" spans="8:8" x14ac:dyDescent="0.3">
      <c r="H3513" t="str">
        <f t="shared" si="104"/>
        <v/>
      </c>
    </row>
    <row r="3514" spans="8:8" x14ac:dyDescent="0.3">
      <c r="H3514" t="str">
        <f t="shared" si="104"/>
        <v/>
      </c>
    </row>
    <row r="3515" spans="8:8" x14ac:dyDescent="0.3">
      <c r="H3515" t="str">
        <f t="shared" si="104"/>
        <v/>
      </c>
    </row>
    <row r="3516" spans="8:8" x14ac:dyDescent="0.3">
      <c r="H3516" t="str">
        <f t="shared" si="104"/>
        <v/>
      </c>
    </row>
    <row r="3517" spans="8:8" x14ac:dyDescent="0.3">
      <c r="H3517" t="str">
        <f t="shared" si="104"/>
        <v/>
      </c>
    </row>
    <row r="3518" spans="8:8" x14ac:dyDescent="0.3">
      <c r="H3518" t="str">
        <f t="shared" si="104"/>
        <v/>
      </c>
    </row>
    <row r="3519" spans="8:8" x14ac:dyDescent="0.3">
      <c r="H3519" t="str">
        <f t="shared" si="104"/>
        <v/>
      </c>
    </row>
    <row r="3520" spans="8:8" x14ac:dyDescent="0.3">
      <c r="H3520" t="str">
        <f t="shared" si="104"/>
        <v/>
      </c>
    </row>
    <row r="3521" spans="8:8" x14ac:dyDescent="0.3">
      <c r="H3521" t="str">
        <f t="shared" si="104"/>
        <v/>
      </c>
    </row>
    <row r="3522" spans="8:8" x14ac:dyDescent="0.3">
      <c r="H3522" t="str">
        <f t="shared" si="104"/>
        <v/>
      </c>
    </row>
    <row r="3523" spans="8:8" x14ac:dyDescent="0.3">
      <c r="H3523" t="str">
        <f t="shared" si="104"/>
        <v/>
      </c>
    </row>
    <row r="3524" spans="8:8" x14ac:dyDescent="0.3">
      <c r="H3524" t="str">
        <f t="shared" si="104"/>
        <v/>
      </c>
    </row>
    <row r="3525" spans="8:8" x14ac:dyDescent="0.3">
      <c r="H3525" t="str">
        <f t="shared" si="104"/>
        <v/>
      </c>
    </row>
    <row r="3526" spans="8:8" x14ac:dyDescent="0.3">
      <c r="H3526" t="str">
        <f t="shared" si="104"/>
        <v/>
      </c>
    </row>
    <row r="3527" spans="8:8" x14ac:dyDescent="0.3">
      <c r="H3527" t="str">
        <f t="shared" si="104"/>
        <v/>
      </c>
    </row>
    <row r="3528" spans="8:8" x14ac:dyDescent="0.3">
      <c r="H3528" t="str">
        <f t="shared" si="104"/>
        <v/>
      </c>
    </row>
    <row r="3529" spans="8:8" x14ac:dyDescent="0.3">
      <c r="H3529" t="str">
        <f t="shared" si="104"/>
        <v/>
      </c>
    </row>
    <row r="3530" spans="8:8" x14ac:dyDescent="0.3">
      <c r="H3530" t="str">
        <f t="shared" si="104"/>
        <v/>
      </c>
    </row>
    <row r="3531" spans="8:8" x14ac:dyDescent="0.3">
      <c r="H3531" t="str">
        <f t="shared" si="104"/>
        <v/>
      </c>
    </row>
    <row r="3532" spans="8:8" x14ac:dyDescent="0.3">
      <c r="H3532" t="str">
        <f t="shared" si="104"/>
        <v/>
      </c>
    </row>
    <row r="3533" spans="8:8" x14ac:dyDescent="0.3">
      <c r="H3533" t="str">
        <f t="shared" si="104"/>
        <v/>
      </c>
    </row>
    <row r="3534" spans="8:8" x14ac:dyDescent="0.3">
      <c r="H3534" t="str">
        <f t="shared" si="104"/>
        <v/>
      </c>
    </row>
    <row r="3535" spans="8:8" x14ac:dyDescent="0.3">
      <c r="H3535" t="str">
        <f t="shared" si="104"/>
        <v/>
      </c>
    </row>
    <row r="3536" spans="8:8" x14ac:dyDescent="0.3">
      <c r="H3536" t="str">
        <f t="shared" si="104"/>
        <v/>
      </c>
    </row>
    <row r="3537" spans="8:8" x14ac:dyDescent="0.3">
      <c r="H3537" t="str">
        <f t="shared" si="104"/>
        <v/>
      </c>
    </row>
    <row r="3538" spans="8:8" x14ac:dyDescent="0.3">
      <c r="H3538" t="str">
        <f t="shared" si="104"/>
        <v/>
      </c>
    </row>
    <row r="3539" spans="8:8" x14ac:dyDescent="0.3">
      <c r="H3539" t="str">
        <f t="shared" si="104"/>
        <v/>
      </c>
    </row>
    <row r="3540" spans="8:8" x14ac:dyDescent="0.3">
      <c r="H3540" t="str">
        <f t="shared" si="104"/>
        <v/>
      </c>
    </row>
    <row r="3541" spans="8:8" x14ac:dyDescent="0.3">
      <c r="H3541" t="str">
        <f t="shared" si="104"/>
        <v/>
      </c>
    </row>
    <row r="3542" spans="8:8" x14ac:dyDescent="0.3">
      <c r="H3542" t="str">
        <f t="shared" si="104"/>
        <v/>
      </c>
    </row>
    <row r="3543" spans="8:8" x14ac:dyDescent="0.3">
      <c r="H3543" t="str">
        <f t="shared" ref="H3543:H3606" si="105">IF(B3543="","",$C$12)</f>
        <v/>
      </c>
    </row>
    <row r="3544" spans="8:8" x14ac:dyDescent="0.3">
      <c r="H3544" t="str">
        <f t="shared" si="105"/>
        <v/>
      </c>
    </row>
    <row r="3545" spans="8:8" x14ac:dyDescent="0.3">
      <c r="H3545" t="str">
        <f t="shared" si="105"/>
        <v/>
      </c>
    </row>
    <row r="3546" spans="8:8" x14ac:dyDescent="0.3">
      <c r="H3546" t="str">
        <f t="shared" si="105"/>
        <v/>
      </c>
    </row>
    <row r="3547" spans="8:8" x14ac:dyDescent="0.3">
      <c r="H3547" t="str">
        <f t="shared" si="105"/>
        <v/>
      </c>
    </row>
    <row r="3548" spans="8:8" x14ac:dyDescent="0.3">
      <c r="H3548" t="str">
        <f t="shared" si="105"/>
        <v/>
      </c>
    </row>
    <row r="3549" spans="8:8" x14ac:dyDescent="0.3">
      <c r="H3549" t="str">
        <f t="shared" si="105"/>
        <v/>
      </c>
    </row>
    <row r="3550" spans="8:8" x14ac:dyDescent="0.3">
      <c r="H3550" t="str">
        <f t="shared" si="105"/>
        <v/>
      </c>
    </row>
    <row r="3551" spans="8:8" x14ac:dyDescent="0.3">
      <c r="H3551" t="str">
        <f t="shared" si="105"/>
        <v/>
      </c>
    </row>
    <row r="3552" spans="8:8" x14ac:dyDescent="0.3">
      <c r="H3552" t="str">
        <f t="shared" si="105"/>
        <v/>
      </c>
    </row>
    <row r="3553" spans="8:8" x14ac:dyDescent="0.3">
      <c r="H3553" t="str">
        <f t="shared" si="105"/>
        <v/>
      </c>
    </row>
    <row r="3554" spans="8:8" x14ac:dyDescent="0.3">
      <c r="H3554" t="str">
        <f t="shared" si="105"/>
        <v/>
      </c>
    </row>
    <row r="3555" spans="8:8" x14ac:dyDescent="0.3">
      <c r="H3555" t="str">
        <f t="shared" si="105"/>
        <v/>
      </c>
    </row>
    <row r="3556" spans="8:8" x14ac:dyDescent="0.3">
      <c r="H3556" t="str">
        <f t="shared" si="105"/>
        <v/>
      </c>
    </row>
    <row r="3557" spans="8:8" x14ac:dyDescent="0.3">
      <c r="H3557" t="str">
        <f t="shared" si="105"/>
        <v/>
      </c>
    </row>
    <row r="3558" spans="8:8" x14ac:dyDescent="0.3">
      <c r="H3558" t="str">
        <f t="shared" si="105"/>
        <v/>
      </c>
    </row>
    <row r="3559" spans="8:8" x14ac:dyDescent="0.3">
      <c r="H3559" t="str">
        <f t="shared" si="105"/>
        <v/>
      </c>
    </row>
    <row r="3560" spans="8:8" x14ac:dyDescent="0.3">
      <c r="H3560" t="str">
        <f t="shared" si="105"/>
        <v/>
      </c>
    </row>
    <row r="3561" spans="8:8" x14ac:dyDescent="0.3">
      <c r="H3561" t="str">
        <f t="shared" si="105"/>
        <v/>
      </c>
    </row>
    <row r="3562" spans="8:8" x14ac:dyDescent="0.3">
      <c r="H3562" t="str">
        <f t="shared" si="105"/>
        <v/>
      </c>
    </row>
    <row r="3563" spans="8:8" x14ac:dyDescent="0.3">
      <c r="H3563" t="str">
        <f t="shared" si="105"/>
        <v/>
      </c>
    </row>
    <row r="3564" spans="8:8" x14ac:dyDescent="0.3">
      <c r="H3564" t="str">
        <f t="shared" si="105"/>
        <v/>
      </c>
    </row>
    <row r="3565" spans="8:8" x14ac:dyDescent="0.3">
      <c r="H3565" t="str">
        <f t="shared" si="105"/>
        <v/>
      </c>
    </row>
    <row r="3566" spans="8:8" x14ac:dyDescent="0.3">
      <c r="H3566" t="str">
        <f t="shared" si="105"/>
        <v/>
      </c>
    </row>
    <row r="3567" spans="8:8" x14ac:dyDescent="0.3">
      <c r="H3567" t="str">
        <f t="shared" si="105"/>
        <v/>
      </c>
    </row>
    <row r="3568" spans="8:8" x14ac:dyDescent="0.3">
      <c r="H3568" t="str">
        <f t="shared" si="105"/>
        <v/>
      </c>
    </row>
    <row r="3569" spans="8:8" x14ac:dyDescent="0.3">
      <c r="H3569" t="str">
        <f t="shared" si="105"/>
        <v/>
      </c>
    </row>
    <row r="3570" spans="8:8" x14ac:dyDescent="0.3">
      <c r="H3570" t="str">
        <f t="shared" si="105"/>
        <v/>
      </c>
    </row>
    <row r="3571" spans="8:8" x14ac:dyDescent="0.3">
      <c r="H3571" t="str">
        <f t="shared" si="105"/>
        <v/>
      </c>
    </row>
    <row r="3572" spans="8:8" x14ac:dyDescent="0.3">
      <c r="H3572" t="str">
        <f t="shared" si="105"/>
        <v/>
      </c>
    </row>
    <row r="3573" spans="8:8" x14ac:dyDescent="0.3">
      <c r="H3573" t="str">
        <f t="shared" si="105"/>
        <v/>
      </c>
    </row>
    <row r="3574" spans="8:8" x14ac:dyDescent="0.3">
      <c r="H3574" t="str">
        <f t="shared" si="105"/>
        <v/>
      </c>
    </row>
    <row r="3575" spans="8:8" x14ac:dyDescent="0.3">
      <c r="H3575" t="str">
        <f t="shared" si="105"/>
        <v/>
      </c>
    </row>
    <row r="3576" spans="8:8" x14ac:dyDescent="0.3">
      <c r="H3576" t="str">
        <f t="shared" si="105"/>
        <v/>
      </c>
    </row>
    <row r="3577" spans="8:8" x14ac:dyDescent="0.3">
      <c r="H3577" t="str">
        <f t="shared" si="105"/>
        <v/>
      </c>
    </row>
    <row r="3578" spans="8:8" x14ac:dyDescent="0.3">
      <c r="H3578" t="str">
        <f t="shared" si="105"/>
        <v/>
      </c>
    </row>
    <row r="3579" spans="8:8" x14ac:dyDescent="0.3">
      <c r="H3579" t="str">
        <f t="shared" si="105"/>
        <v/>
      </c>
    </row>
    <row r="3580" spans="8:8" x14ac:dyDescent="0.3">
      <c r="H3580" t="str">
        <f t="shared" si="105"/>
        <v/>
      </c>
    </row>
    <row r="3581" spans="8:8" x14ac:dyDescent="0.3">
      <c r="H3581" t="str">
        <f t="shared" si="105"/>
        <v/>
      </c>
    </row>
    <row r="3582" spans="8:8" x14ac:dyDescent="0.3">
      <c r="H3582" t="str">
        <f t="shared" si="105"/>
        <v/>
      </c>
    </row>
    <row r="3583" spans="8:8" x14ac:dyDescent="0.3">
      <c r="H3583" t="str">
        <f t="shared" si="105"/>
        <v/>
      </c>
    </row>
    <row r="3584" spans="8:8" x14ac:dyDescent="0.3">
      <c r="H3584" t="str">
        <f t="shared" si="105"/>
        <v/>
      </c>
    </row>
    <row r="3585" spans="8:8" x14ac:dyDescent="0.3">
      <c r="H3585" t="str">
        <f t="shared" si="105"/>
        <v/>
      </c>
    </row>
    <row r="3586" spans="8:8" x14ac:dyDescent="0.3">
      <c r="H3586" t="str">
        <f t="shared" si="105"/>
        <v/>
      </c>
    </row>
    <row r="3587" spans="8:8" x14ac:dyDescent="0.3">
      <c r="H3587" t="str">
        <f t="shared" si="105"/>
        <v/>
      </c>
    </row>
    <row r="3588" spans="8:8" x14ac:dyDescent="0.3">
      <c r="H3588" t="str">
        <f t="shared" si="105"/>
        <v/>
      </c>
    </row>
    <row r="3589" spans="8:8" x14ac:dyDescent="0.3">
      <c r="H3589" t="str">
        <f t="shared" si="105"/>
        <v/>
      </c>
    </row>
    <row r="3590" spans="8:8" x14ac:dyDescent="0.3">
      <c r="H3590" t="str">
        <f t="shared" si="105"/>
        <v/>
      </c>
    </row>
    <row r="3591" spans="8:8" x14ac:dyDescent="0.3">
      <c r="H3591" t="str">
        <f t="shared" si="105"/>
        <v/>
      </c>
    </row>
    <row r="3592" spans="8:8" x14ac:dyDescent="0.3">
      <c r="H3592" t="str">
        <f t="shared" si="105"/>
        <v/>
      </c>
    </row>
    <row r="3593" spans="8:8" x14ac:dyDescent="0.3">
      <c r="H3593" t="str">
        <f t="shared" si="105"/>
        <v/>
      </c>
    </row>
    <row r="3594" spans="8:8" x14ac:dyDescent="0.3">
      <c r="H3594" t="str">
        <f t="shared" si="105"/>
        <v/>
      </c>
    </row>
    <row r="3595" spans="8:8" x14ac:dyDescent="0.3">
      <c r="H3595" t="str">
        <f t="shared" si="105"/>
        <v/>
      </c>
    </row>
    <row r="3596" spans="8:8" x14ac:dyDescent="0.3">
      <c r="H3596" t="str">
        <f t="shared" si="105"/>
        <v/>
      </c>
    </row>
    <row r="3597" spans="8:8" x14ac:dyDescent="0.3">
      <c r="H3597" t="str">
        <f t="shared" si="105"/>
        <v/>
      </c>
    </row>
    <row r="3598" spans="8:8" x14ac:dyDescent="0.3">
      <c r="H3598" t="str">
        <f t="shared" si="105"/>
        <v/>
      </c>
    </row>
    <row r="3599" spans="8:8" x14ac:dyDescent="0.3">
      <c r="H3599" t="str">
        <f t="shared" si="105"/>
        <v/>
      </c>
    </row>
    <row r="3600" spans="8:8" x14ac:dyDescent="0.3">
      <c r="H3600" t="str">
        <f t="shared" si="105"/>
        <v/>
      </c>
    </row>
    <row r="3601" spans="8:8" x14ac:dyDescent="0.3">
      <c r="H3601" t="str">
        <f t="shared" si="105"/>
        <v/>
      </c>
    </row>
    <row r="3602" spans="8:8" x14ac:dyDescent="0.3">
      <c r="H3602" t="str">
        <f t="shared" si="105"/>
        <v/>
      </c>
    </row>
    <row r="3603" spans="8:8" x14ac:dyDescent="0.3">
      <c r="H3603" t="str">
        <f t="shared" si="105"/>
        <v/>
      </c>
    </row>
    <row r="3604" spans="8:8" x14ac:dyDescent="0.3">
      <c r="H3604" t="str">
        <f t="shared" si="105"/>
        <v/>
      </c>
    </row>
    <row r="3605" spans="8:8" x14ac:dyDescent="0.3">
      <c r="H3605" t="str">
        <f t="shared" si="105"/>
        <v/>
      </c>
    </row>
    <row r="3606" spans="8:8" x14ac:dyDescent="0.3">
      <c r="H3606" t="str">
        <f t="shared" si="105"/>
        <v/>
      </c>
    </row>
    <row r="3607" spans="8:8" x14ac:dyDescent="0.3">
      <c r="H3607" t="str">
        <f t="shared" ref="H3607:H3670" si="106">IF(B3607="","",$C$12)</f>
        <v/>
      </c>
    </row>
    <row r="3608" spans="8:8" x14ac:dyDescent="0.3">
      <c r="H3608" t="str">
        <f t="shared" si="106"/>
        <v/>
      </c>
    </row>
    <row r="3609" spans="8:8" x14ac:dyDescent="0.3">
      <c r="H3609" t="str">
        <f t="shared" si="106"/>
        <v/>
      </c>
    </row>
    <row r="3610" spans="8:8" x14ac:dyDescent="0.3">
      <c r="H3610" t="str">
        <f t="shared" si="106"/>
        <v/>
      </c>
    </row>
    <row r="3611" spans="8:8" x14ac:dyDescent="0.3">
      <c r="H3611" t="str">
        <f t="shared" si="106"/>
        <v/>
      </c>
    </row>
    <row r="3612" spans="8:8" x14ac:dyDescent="0.3">
      <c r="H3612" t="str">
        <f t="shared" si="106"/>
        <v/>
      </c>
    </row>
    <row r="3613" spans="8:8" x14ac:dyDescent="0.3">
      <c r="H3613" t="str">
        <f t="shared" si="106"/>
        <v/>
      </c>
    </row>
    <row r="3614" spans="8:8" x14ac:dyDescent="0.3">
      <c r="H3614" t="str">
        <f t="shared" si="106"/>
        <v/>
      </c>
    </row>
    <row r="3615" spans="8:8" x14ac:dyDescent="0.3">
      <c r="H3615" t="str">
        <f t="shared" si="106"/>
        <v/>
      </c>
    </row>
    <row r="3616" spans="8:8" x14ac:dyDescent="0.3">
      <c r="H3616" t="str">
        <f t="shared" si="106"/>
        <v/>
      </c>
    </row>
    <row r="3617" spans="8:8" x14ac:dyDescent="0.3">
      <c r="H3617" t="str">
        <f t="shared" si="106"/>
        <v/>
      </c>
    </row>
    <row r="3618" spans="8:8" x14ac:dyDescent="0.3">
      <c r="H3618" t="str">
        <f t="shared" si="106"/>
        <v/>
      </c>
    </row>
    <row r="3619" spans="8:8" x14ac:dyDescent="0.3">
      <c r="H3619" t="str">
        <f t="shared" si="106"/>
        <v/>
      </c>
    </row>
    <row r="3620" spans="8:8" x14ac:dyDescent="0.3">
      <c r="H3620" t="str">
        <f t="shared" si="106"/>
        <v/>
      </c>
    </row>
    <row r="3621" spans="8:8" x14ac:dyDescent="0.3">
      <c r="H3621" t="str">
        <f t="shared" si="106"/>
        <v/>
      </c>
    </row>
    <row r="3622" spans="8:8" x14ac:dyDescent="0.3">
      <c r="H3622" t="str">
        <f t="shared" si="106"/>
        <v/>
      </c>
    </row>
    <row r="3623" spans="8:8" x14ac:dyDescent="0.3">
      <c r="H3623" t="str">
        <f t="shared" si="106"/>
        <v/>
      </c>
    </row>
    <row r="3624" spans="8:8" x14ac:dyDescent="0.3">
      <c r="H3624" t="str">
        <f t="shared" si="106"/>
        <v/>
      </c>
    </row>
    <row r="3625" spans="8:8" x14ac:dyDescent="0.3">
      <c r="H3625" t="str">
        <f t="shared" si="106"/>
        <v/>
      </c>
    </row>
    <row r="3626" spans="8:8" x14ac:dyDescent="0.3">
      <c r="H3626" t="str">
        <f t="shared" si="106"/>
        <v/>
      </c>
    </row>
    <row r="3627" spans="8:8" x14ac:dyDescent="0.3">
      <c r="H3627" t="str">
        <f t="shared" si="106"/>
        <v/>
      </c>
    </row>
    <row r="3628" spans="8:8" x14ac:dyDescent="0.3">
      <c r="H3628" t="str">
        <f t="shared" si="106"/>
        <v/>
      </c>
    </row>
    <row r="3629" spans="8:8" x14ac:dyDescent="0.3">
      <c r="H3629" t="str">
        <f t="shared" si="106"/>
        <v/>
      </c>
    </row>
    <row r="3630" spans="8:8" x14ac:dyDescent="0.3">
      <c r="H3630" t="str">
        <f t="shared" si="106"/>
        <v/>
      </c>
    </row>
    <row r="3631" spans="8:8" x14ac:dyDescent="0.3">
      <c r="H3631" t="str">
        <f t="shared" si="106"/>
        <v/>
      </c>
    </row>
    <row r="3632" spans="8:8" x14ac:dyDescent="0.3">
      <c r="H3632" t="str">
        <f t="shared" si="106"/>
        <v/>
      </c>
    </row>
    <row r="3633" spans="8:8" x14ac:dyDescent="0.3">
      <c r="H3633" t="str">
        <f t="shared" si="106"/>
        <v/>
      </c>
    </row>
    <row r="3634" spans="8:8" x14ac:dyDescent="0.3">
      <c r="H3634" t="str">
        <f t="shared" si="106"/>
        <v/>
      </c>
    </row>
    <row r="3635" spans="8:8" x14ac:dyDescent="0.3">
      <c r="H3635" t="str">
        <f t="shared" si="106"/>
        <v/>
      </c>
    </row>
    <row r="3636" spans="8:8" x14ac:dyDescent="0.3">
      <c r="H3636" t="str">
        <f t="shared" si="106"/>
        <v/>
      </c>
    </row>
    <row r="3637" spans="8:8" x14ac:dyDescent="0.3">
      <c r="H3637" t="str">
        <f t="shared" si="106"/>
        <v/>
      </c>
    </row>
    <row r="3638" spans="8:8" x14ac:dyDescent="0.3">
      <c r="H3638" t="str">
        <f t="shared" si="106"/>
        <v/>
      </c>
    </row>
    <row r="3639" spans="8:8" x14ac:dyDescent="0.3">
      <c r="H3639" t="str">
        <f t="shared" si="106"/>
        <v/>
      </c>
    </row>
    <row r="3640" spans="8:8" x14ac:dyDescent="0.3">
      <c r="H3640" t="str">
        <f t="shared" si="106"/>
        <v/>
      </c>
    </row>
    <row r="3641" spans="8:8" x14ac:dyDescent="0.3">
      <c r="H3641" t="str">
        <f t="shared" si="106"/>
        <v/>
      </c>
    </row>
    <row r="3642" spans="8:8" x14ac:dyDescent="0.3">
      <c r="H3642" t="str">
        <f t="shared" si="106"/>
        <v/>
      </c>
    </row>
    <row r="3643" spans="8:8" x14ac:dyDescent="0.3">
      <c r="H3643" t="str">
        <f t="shared" si="106"/>
        <v/>
      </c>
    </row>
    <row r="3644" spans="8:8" x14ac:dyDescent="0.3">
      <c r="H3644" t="str">
        <f t="shared" si="106"/>
        <v/>
      </c>
    </row>
    <row r="3645" spans="8:8" x14ac:dyDescent="0.3">
      <c r="H3645" t="str">
        <f t="shared" si="106"/>
        <v/>
      </c>
    </row>
    <row r="3646" spans="8:8" x14ac:dyDescent="0.3">
      <c r="H3646" t="str">
        <f t="shared" si="106"/>
        <v/>
      </c>
    </row>
    <row r="3647" spans="8:8" x14ac:dyDescent="0.3">
      <c r="H3647" t="str">
        <f t="shared" si="106"/>
        <v/>
      </c>
    </row>
    <row r="3648" spans="8:8" x14ac:dyDescent="0.3">
      <c r="H3648" t="str">
        <f t="shared" si="106"/>
        <v/>
      </c>
    </row>
    <row r="3649" spans="8:8" x14ac:dyDescent="0.3">
      <c r="H3649" t="str">
        <f t="shared" si="106"/>
        <v/>
      </c>
    </row>
    <row r="3650" spans="8:8" x14ac:dyDescent="0.3">
      <c r="H3650" t="str">
        <f t="shared" si="106"/>
        <v/>
      </c>
    </row>
    <row r="3651" spans="8:8" x14ac:dyDescent="0.3">
      <c r="H3651" t="str">
        <f t="shared" si="106"/>
        <v/>
      </c>
    </row>
    <row r="3652" spans="8:8" x14ac:dyDescent="0.3">
      <c r="H3652" t="str">
        <f t="shared" si="106"/>
        <v/>
      </c>
    </row>
    <row r="3653" spans="8:8" x14ac:dyDescent="0.3">
      <c r="H3653" t="str">
        <f t="shared" si="106"/>
        <v/>
      </c>
    </row>
    <row r="3654" spans="8:8" x14ac:dyDescent="0.3">
      <c r="H3654" t="str">
        <f t="shared" si="106"/>
        <v/>
      </c>
    </row>
    <row r="3655" spans="8:8" x14ac:dyDescent="0.3">
      <c r="H3655" t="str">
        <f t="shared" si="106"/>
        <v/>
      </c>
    </row>
    <row r="3656" spans="8:8" x14ac:dyDescent="0.3">
      <c r="H3656" t="str">
        <f t="shared" si="106"/>
        <v/>
      </c>
    </row>
    <row r="3657" spans="8:8" x14ac:dyDescent="0.3">
      <c r="H3657" t="str">
        <f t="shared" si="106"/>
        <v/>
      </c>
    </row>
    <row r="3658" spans="8:8" x14ac:dyDescent="0.3">
      <c r="H3658" t="str">
        <f t="shared" si="106"/>
        <v/>
      </c>
    </row>
    <row r="3659" spans="8:8" x14ac:dyDescent="0.3">
      <c r="H3659" t="str">
        <f t="shared" si="106"/>
        <v/>
      </c>
    </row>
    <row r="3660" spans="8:8" x14ac:dyDescent="0.3">
      <c r="H3660" t="str">
        <f t="shared" si="106"/>
        <v/>
      </c>
    </row>
    <row r="3661" spans="8:8" x14ac:dyDescent="0.3">
      <c r="H3661" t="str">
        <f t="shared" si="106"/>
        <v/>
      </c>
    </row>
    <row r="3662" spans="8:8" x14ac:dyDescent="0.3">
      <c r="H3662" t="str">
        <f t="shared" si="106"/>
        <v/>
      </c>
    </row>
    <row r="3663" spans="8:8" x14ac:dyDescent="0.3">
      <c r="H3663" t="str">
        <f t="shared" si="106"/>
        <v/>
      </c>
    </row>
    <row r="3664" spans="8:8" x14ac:dyDescent="0.3">
      <c r="H3664" t="str">
        <f t="shared" si="106"/>
        <v/>
      </c>
    </row>
    <row r="3665" spans="8:8" x14ac:dyDescent="0.3">
      <c r="H3665" t="str">
        <f t="shared" si="106"/>
        <v/>
      </c>
    </row>
    <row r="3666" spans="8:8" x14ac:dyDescent="0.3">
      <c r="H3666" t="str">
        <f t="shared" si="106"/>
        <v/>
      </c>
    </row>
    <row r="3667" spans="8:8" x14ac:dyDescent="0.3">
      <c r="H3667" t="str">
        <f t="shared" si="106"/>
        <v/>
      </c>
    </row>
    <row r="3668" spans="8:8" x14ac:dyDescent="0.3">
      <c r="H3668" t="str">
        <f t="shared" si="106"/>
        <v/>
      </c>
    </row>
    <row r="3669" spans="8:8" x14ac:dyDescent="0.3">
      <c r="H3669" t="str">
        <f t="shared" si="106"/>
        <v/>
      </c>
    </row>
    <row r="3670" spans="8:8" x14ac:dyDescent="0.3">
      <c r="H3670" t="str">
        <f t="shared" si="106"/>
        <v/>
      </c>
    </row>
    <row r="3671" spans="8:8" x14ac:dyDescent="0.3">
      <c r="H3671" t="str">
        <f t="shared" ref="H3671:H3734" si="107">IF(B3671="","",$C$12)</f>
        <v/>
      </c>
    </row>
    <row r="3672" spans="8:8" x14ac:dyDescent="0.3">
      <c r="H3672" t="str">
        <f t="shared" si="107"/>
        <v/>
      </c>
    </row>
    <row r="3673" spans="8:8" x14ac:dyDescent="0.3">
      <c r="H3673" t="str">
        <f t="shared" si="107"/>
        <v/>
      </c>
    </row>
    <row r="3674" spans="8:8" x14ac:dyDescent="0.3">
      <c r="H3674" t="str">
        <f t="shared" si="107"/>
        <v/>
      </c>
    </row>
    <row r="3675" spans="8:8" x14ac:dyDescent="0.3">
      <c r="H3675" t="str">
        <f t="shared" si="107"/>
        <v/>
      </c>
    </row>
    <row r="3676" spans="8:8" x14ac:dyDescent="0.3">
      <c r="H3676" t="str">
        <f t="shared" si="107"/>
        <v/>
      </c>
    </row>
    <row r="3677" spans="8:8" x14ac:dyDescent="0.3">
      <c r="H3677" t="str">
        <f t="shared" si="107"/>
        <v/>
      </c>
    </row>
    <row r="3678" spans="8:8" x14ac:dyDescent="0.3">
      <c r="H3678" t="str">
        <f t="shared" si="107"/>
        <v/>
      </c>
    </row>
    <row r="3679" spans="8:8" x14ac:dyDescent="0.3">
      <c r="H3679" t="str">
        <f t="shared" si="107"/>
        <v/>
      </c>
    </row>
    <row r="3680" spans="8:8" x14ac:dyDescent="0.3">
      <c r="H3680" t="str">
        <f t="shared" si="107"/>
        <v/>
      </c>
    </row>
    <row r="3681" spans="8:8" x14ac:dyDescent="0.3">
      <c r="H3681" t="str">
        <f t="shared" si="107"/>
        <v/>
      </c>
    </row>
    <row r="3682" spans="8:8" x14ac:dyDescent="0.3">
      <c r="H3682" t="str">
        <f t="shared" si="107"/>
        <v/>
      </c>
    </row>
    <row r="3683" spans="8:8" x14ac:dyDescent="0.3">
      <c r="H3683" t="str">
        <f t="shared" si="107"/>
        <v/>
      </c>
    </row>
    <row r="3684" spans="8:8" x14ac:dyDescent="0.3">
      <c r="H3684" t="str">
        <f t="shared" si="107"/>
        <v/>
      </c>
    </row>
    <row r="3685" spans="8:8" x14ac:dyDescent="0.3">
      <c r="H3685" t="str">
        <f t="shared" si="107"/>
        <v/>
      </c>
    </row>
    <row r="3686" spans="8:8" x14ac:dyDescent="0.3">
      <c r="H3686" t="str">
        <f t="shared" si="107"/>
        <v/>
      </c>
    </row>
    <row r="3687" spans="8:8" x14ac:dyDescent="0.3">
      <c r="H3687" t="str">
        <f t="shared" si="107"/>
        <v/>
      </c>
    </row>
    <row r="3688" spans="8:8" x14ac:dyDescent="0.3">
      <c r="H3688" t="str">
        <f t="shared" si="107"/>
        <v/>
      </c>
    </row>
    <row r="3689" spans="8:8" x14ac:dyDescent="0.3">
      <c r="H3689" t="str">
        <f t="shared" si="107"/>
        <v/>
      </c>
    </row>
    <row r="3690" spans="8:8" x14ac:dyDescent="0.3">
      <c r="H3690" t="str">
        <f t="shared" si="107"/>
        <v/>
      </c>
    </row>
    <row r="3691" spans="8:8" x14ac:dyDescent="0.3">
      <c r="H3691" t="str">
        <f t="shared" si="107"/>
        <v/>
      </c>
    </row>
    <row r="3692" spans="8:8" x14ac:dyDescent="0.3">
      <c r="H3692" t="str">
        <f t="shared" si="107"/>
        <v/>
      </c>
    </row>
    <row r="3693" spans="8:8" x14ac:dyDescent="0.3">
      <c r="H3693" t="str">
        <f t="shared" si="107"/>
        <v/>
      </c>
    </row>
    <row r="3694" spans="8:8" x14ac:dyDescent="0.3">
      <c r="H3694" t="str">
        <f t="shared" si="107"/>
        <v/>
      </c>
    </row>
    <row r="3695" spans="8:8" x14ac:dyDescent="0.3">
      <c r="H3695" t="str">
        <f t="shared" si="107"/>
        <v/>
      </c>
    </row>
    <row r="3696" spans="8:8" x14ac:dyDescent="0.3">
      <c r="H3696" t="str">
        <f t="shared" si="107"/>
        <v/>
      </c>
    </row>
    <row r="3697" spans="8:8" x14ac:dyDescent="0.3">
      <c r="H3697" t="str">
        <f t="shared" si="107"/>
        <v/>
      </c>
    </row>
    <row r="3698" spans="8:8" x14ac:dyDescent="0.3">
      <c r="H3698" t="str">
        <f t="shared" si="107"/>
        <v/>
      </c>
    </row>
    <row r="3699" spans="8:8" x14ac:dyDescent="0.3">
      <c r="H3699" t="str">
        <f t="shared" si="107"/>
        <v/>
      </c>
    </row>
    <row r="3700" spans="8:8" x14ac:dyDescent="0.3">
      <c r="H3700" t="str">
        <f t="shared" si="107"/>
        <v/>
      </c>
    </row>
    <row r="3701" spans="8:8" x14ac:dyDescent="0.3">
      <c r="H3701" t="str">
        <f t="shared" si="107"/>
        <v/>
      </c>
    </row>
    <row r="3702" spans="8:8" x14ac:dyDescent="0.3">
      <c r="H3702" t="str">
        <f t="shared" si="107"/>
        <v/>
      </c>
    </row>
    <row r="3703" spans="8:8" x14ac:dyDescent="0.3">
      <c r="H3703" t="str">
        <f t="shared" si="107"/>
        <v/>
      </c>
    </row>
    <row r="3704" spans="8:8" x14ac:dyDescent="0.3">
      <c r="H3704" t="str">
        <f t="shared" si="107"/>
        <v/>
      </c>
    </row>
    <row r="3705" spans="8:8" x14ac:dyDescent="0.3">
      <c r="H3705" t="str">
        <f t="shared" si="107"/>
        <v/>
      </c>
    </row>
    <row r="3706" spans="8:8" x14ac:dyDescent="0.3">
      <c r="H3706" t="str">
        <f t="shared" si="107"/>
        <v/>
      </c>
    </row>
    <row r="3707" spans="8:8" x14ac:dyDescent="0.3">
      <c r="H3707" t="str">
        <f t="shared" si="107"/>
        <v/>
      </c>
    </row>
    <row r="3708" spans="8:8" x14ac:dyDescent="0.3">
      <c r="H3708" t="str">
        <f t="shared" si="107"/>
        <v/>
      </c>
    </row>
    <row r="3709" spans="8:8" x14ac:dyDescent="0.3">
      <c r="H3709" t="str">
        <f t="shared" si="107"/>
        <v/>
      </c>
    </row>
    <row r="3710" spans="8:8" x14ac:dyDescent="0.3">
      <c r="H3710" t="str">
        <f t="shared" si="107"/>
        <v/>
      </c>
    </row>
    <row r="3711" spans="8:8" x14ac:dyDescent="0.3">
      <c r="H3711" t="str">
        <f t="shared" si="107"/>
        <v/>
      </c>
    </row>
    <row r="3712" spans="8:8" x14ac:dyDescent="0.3">
      <c r="H3712" t="str">
        <f t="shared" si="107"/>
        <v/>
      </c>
    </row>
    <row r="3713" spans="8:8" x14ac:dyDescent="0.3">
      <c r="H3713" t="str">
        <f t="shared" si="107"/>
        <v/>
      </c>
    </row>
    <row r="3714" spans="8:8" x14ac:dyDescent="0.3">
      <c r="H3714" t="str">
        <f t="shared" si="107"/>
        <v/>
      </c>
    </row>
    <row r="3715" spans="8:8" x14ac:dyDescent="0.3">
      <c r="H3715" t="str">
        <f t="shared" si="107"/>
        <v/>
      </c>
    </row>
    <row r="3716" spans="8:8" x14ac:dyDescent="0.3">
      <c r="H3716" t="str">
        <f t="shared" si="107"/>
        <v/>
      </c>
    </row>
    <row r="3717" spans="8:8" x14ac:dyDescent="0.3">
      <c r="H3717" t="str">
        <f t="shared" si="107"/>
        <v/>
      </c>
    </row>
    <row r="3718" spans="8:8" x14ac:dyDescent="0.3">
      <c r="H3718" t="str">
        <f t="shared" si="107"/>
        <v/>
      </c>
    </row>
    <row r="3719" spans="8:8" x14ac:dyDescent="0.3">
      <c r="H3719" t="str">
        <f t="shared" si="107"/>
        <v/>
      </c>
    </row>
    <row r="3720" spans="8:8" x14ac:dyDescent="0.3">
      <c r="H3720" t="str">
        <f t="shared" si="107"/>
        <v/>
      </c>
    </row>
    <row r="3721" spans="8:8" x14ac:dyDescent="0.3">
      <c r="H3721" t="str">
        <f t="shared" si="107"/>
        <v/>
      </c>
    </row>
    <row r="3722" spans="8:8" x14ac:dyDescent="0.3">
      <c r="H3722" t="str">
        <f t="shared" si="107"/>
        <v/>
      </c>
    </row>
    <row r="3723" spans="8:8" x14ac:dyDescent="0.3">
      <c r="H3723" t="str">
        <f t="shared" si="107"/>
        <v/>
      </c>
    </row>
    <row r="3724" spans="8:8" x14ac:dyDescent="0.3">
      <c r="H3724" t="str">
        <f t="shared" si="107"/>
        <v/>
      </c>
    </row>
    <row r="3725" spans="8:8" x14ac:dyDescent="0.3">
      <c r="H3725" t="str">
        <f t="shared" si="107"/>
        <v/>
      </c>
    </row>
    <row r="3726" spans="8:8" x14ac:dyDescent="0.3">
      <c r="H3726" t="str">
        <f t="shared" si="107"/>
        <v/>
      </c>
    </row>
    <row r="3727" spans="8:8" x14ac:dyDescent="0.3">
      <c r="H3727" t="str">
        <f t="shared" si="107"/>
        <v/>
      </c>
    </row>
    <row r="3728" spans="8:8" x14ac:dyDescent="0.3">
      <c r="H3728" t="str">
        <f t="shared" si="107"/>
        <v/>
      </c>
    </row>
    <row r="3729" spans="8:8" x14ac:dyDescent="0.3">
      <c r="H3729" t="str">
        <f t="shared" si="107"/>
        <v/>
      </c>
    </row>
    <row r="3730" spans="8:8" x14ac:dyDescent="0.3">
      <c r="H3730" t="str">
        <f t="shared" si="107"/>
        <v/>
      </c>
    </row>
    <row r="3731" spans="8:8" x14ac:dyDescent="0.3">
      <c r="H3731" t="str">
        <f t="shared" si="107"/>
        <v/>
      </c>
    </row>
    <row r="3732" spans="8:8" x14ac:dyDescent="0.3">
      <c r="H3732" t="str">
        <f t="shared" si="107"/>
        <v/>
      </c>
    </row>
    <row r="3733" spans="8:8" x14ac:dyDescent="0.3">
      <c r="H3733" t="str">
        <f t="shared" si="107"/>
        <v/>
      </c>
    </row>
    <row r="3734" spans="8:8" x14ac:dyDescent="0.3">
      <c r="H3734" t="str">
        <f t="shared" si="107"/>
        <v/>
      </c>
    </row>
    <row r="3735" spans="8:8" x14ac:dyDescent="0.3">
      <c r="H3735" t="str">
        <f t="shared" ref="H3735:H3798" si="108">IF(B3735="","",$C$12)</f>
        <v/>
      </c>
    </row>
    <row r="3736" spans="8:8" x14ac:dyDescent="0.3">
      <c r="H3736" t="str">
        <f t="shared" si="108"/>
        <v/>
      </c>
    </row>
    <row r="3737" spans="8:8" x14ac:dyDescent="0.3">
      <c r="H3737" t="str">
        <f t="shared" si="108"/>
        <v/>
      </c>
    </row>
    <row r="3738" spans="8:8" x14ac:dyDescent="0.3">
      <c r="H3738" t="str">
        <f t="shared" si="108"/>
        <v/>
      </c>
    </row>
    <row r="3739" spans="8:8" x14ac:dyDescent="0.3">
      <c r="H3739" t="str">
        <f t="shared" si="108"/>
        <v/>
      </c>
    </row>
    <row r="3740" spans="8:8" x14ac:dyDescent="0.3">
      <c r="H3740" t="str">
        <f t="shared" si="108"/>
        <v/>
      </c>
    </row>
    <row r="3741" spans="8:8" x14ac:dyDescent="0.3">
      <c r="H3741" t="str">
        <f t="shared" si="108"/>
        <v/>
      </c>
    </row>
    <row r="3742" spans="8:8" x14ac:dyDescent="0.3">
      <c r="H3742" t="str">
        <f t="shared" si="108"/>
        <v/>
      </c>
    </row>
    <row r="3743" spans="8:8" x14ac:dyDescent="0.3">
      <c r="H3743" t="str">
        <f t="shared" si="108"/>
        <v/>
      </c>
    </row>
    <row r="3744" spans="8:8" x14ac:dyDescent="0.3">
      <c r="H3744" t="str">
        <f t="shared" si="108"/>
        <v/>
      </c>
    </row>
    <row r="3745" spans="8:8" x14ac:dyDescent="0.3">
      <c r="H3745" t="str">
        <f t="shared" si="108"/>
        <v/>
      </c>
    </row>
    <row r="3746" spans="8:8" x14ac:dyDescent="0.3">
      <c r="H3746" t="str">
        <f t="shared" si="108"/>
        <v/>
      </c>
    </row>
    <row r="3747" spans="8:8" x14ac:dyDescent="0.3">
      <c r="H3747" t="str">
        <f t="shared" si="108"/>
        <v/>
      </c>
    </row>
    <row r="3748" spans="8:8" x14ac:dyDescent="0.3">
      <c r="H3748" t="str">
        <f t="shared" si="108"/>
        <v/>
      </c>
    </row>
    <row r="3749" spans="8:8" x14ac:dyDescent="0.3">
      <c r="H3749" t="str">
        <f t="shared" si="108"/>
        <v/>
      </c>
    </row>
    <row r="3750" spans="8:8" x14ac:dyDescent="0.3">
      <c r="H3750" t="str">
        <f t="shared" si="108"/>
        <v/>
      </c>
    </row>
    <row r="3751" spans="8:8" x14ac:dyDescent="0.3">
      <c r="H3751" t="str">
        <f t="shared" si="108"/>
        <v/>
      </c>
    </row>
    <row r="3752" spans="8:8" x14ac:dyDescent="0.3">
      <c r="H3752" t="str">
        <f t="shared" si="108"/>
        <v/>
      </c>
    </row>
    <row r="3753" spans="8:8" x14ac:dyDescent="0.3">
      <c r="H3753" t="str">
        <f t="shared" si="108"/>
        <v/>
      </c>
    </row>
    <row r="3754" spans="8:8" x14ac:dyDescent="0.3">
      <c r="H3754" t="str">
        <f t="shared" si="108"/>
        <v/>
      </c>
    </row>
    <row r="3755" spans="8:8" x14ac:dyDescent="0.3">
      <c r="H3755" t="str">
        <f t="shared" si="108"/>
        <v/>
      </c>
    </row>
    <row r="3756" spans="8:8" x14ac:dyDescent="0.3">
      <c r="H3756" t="str">
        <f t="shared" si="108"/>
        <v/>
      </c>
    </row>
    <row r="3757" spans="8:8" x14ac:dyDescent="0.3">
      <c r="H3757" t="str">
        <f t="shared" si="108"/>
        <v/>
      </c>
    </row>
    <row r="3758" spans="8:8" x14ac:dyDescent="0.3">
      <c r="H3758" t="str">
        <f t="shared" si="108"/>
        <v/>
      </c>
    </row>
    <row r="3759" spans="8:8" x14ac:dyDescent="0.3">
      <c r="H3759" t="str">
        <f t="shared" si="108"/>
        <v/>
      </c>
    </row>
    <row r="3760" spans="8:8" x14ac:dyDescent="0.3">
      <c r="H3760" t="str">
        <f t="shared" si="108"/>
        <v/>
      </c>
    </row>
    <row r="3761" spans="8:8" x14ac:dyDescent="0.3">
      <c r="H3761" t="str">
        <f t="shared" si="108"/>
        <v/>
      </c>
    </row>
    <row r="3762" spans="8:8" x14ac:dyDescent="0.3">
      <c r="H3762" t="str">
        <f t="shared" si="108"/>
        <v/>
      </c>
    </row>
    <row r="3763" spans="8:8" x14ac:dyDescent="0.3">
      <c r="H3763" t="str">
        <f t="shared" si="108"/>
        <v/>
      </c>
    </row>
    <row r="3764" spans="8:8" x14ac:dyDescent="0.3">
      <c r="H3764" t="str">
        <f t="shared" si="108"/>
        <v/>
      </c>
    </row>
    <row r="3765" spans="8:8" x14ac:dyDescent="0.3">
      <c r="H3765" t="str">
        <f t="shared" si="108"/>
        <v/>
      </c>
    </row>
    <row r="3766" spans="8:8" x14ac:dyDescent="0.3">
      <c r="H3766" t="str">
        <f t="shared" si="108"/>
        <v/>
      </c>
    </row>
    <row r="3767" spans="8:8" x14ac:dyDescent="0.3">
      <c r="H3767" t="str">
        <f t="shared" si="108"/>
        <v/>
      </c>
    </row>
    <row r="3768" spans="8:8" x14ac:dyDescent="0.3">
      <c r="H3768" t="str">
        <f t="shared" si="108"/>
        <v/>
      </c>
    </row>
    <row r="3769" spans="8:8" x14ac:dyDescent="0.3">
      <c r="H3769" t="str">
        <f t="shared" si="108"/>
        <v/>
      </c>
    </row>
    <row r="3770" spans="8:8" x14ac:dyDescent="0.3">
      <c r="H3770" t="str">
        <f t="shared" si="108"/>
        <v/>
      </c>
    </row>
    <row r="3771" spans="8:8" x14ac:dyDescent="0.3">
      <c r="H3771" t="str">
        <f t="shared" si="108"/>
        <v/>
      </c>
    </row>
    <row r="3772" spans="8:8" x14ac:dyDescent="0.3">
      <c r="H3772" t="str">
        <f t="shared" si="108"/>
        <v/>
      </c>
    </row>
    <row r="3773" spans="8:8" x14ac:dyDescent="0.3">
      <c r="H3773" t="str">
        <f t="shared" si="108"/>
        <v/>
      </c>
    </row>
    <row r="3774" spans="8:8" x14ac:dyDescent="0.3">
      <c r="H3774" t="str">
        <f t="shared" si="108"/>
        <v/>
      </c>
    </row>
    <row r="3775" spans="8:8" x14ac:dyDescent="0.3">
      <c r="H3775" t="str">
        <f t="shared" si="108"/>
        <v/>
      </c>
    </row>
    <row r="3776" spans="8:8" x14ac:dyDescent="0.3">
      <c r="H3776" t="str">
        <f t="shared" si="108"/>
        <v/>
      </c>
    </row>
    <row r="3777" spans="8:8" x14ac:dyDescent="0.3">
      <c r="H3777" t="str">
        <f t="shared" si="108"/>
        <v/>
      </c>
    </row>
    <row r="3778" spans="8:8" x14ac:dyDescent="0.3">
      <c r="H3778" t="str">
        <f t="shared" si="108"/>
        <v/>
      </c>
    </row>
    <row r="3779" spans="8:8" x14ac:dyDescent="0.3">
      <c r="H3779" t="str">
        <f t="shared" si="108"/>
        <v/>
      </c>
    </row>
    <row r="3780" spans="8:8" x14ac:dyDescent="0.3">
      <c r="H3780" t="str">
        <f t="shared" si="108"/>
        <v/>
      </c>
    </row>
    <row r="3781" spans="8:8" x14ac:dyDescent="0.3">
      <c r="H3781" t="str">
        <f t="shared" si="108"/>
        <v/>
      </c>
    </row>
    <row r="3782" spans="8:8" x14ac:dyDescent="0.3">
      <c r="H3782" t="str">
        <f t="shared" si="108"/>
        <v/>
      </c>
    </row>
    <row r="3783" spans="8:8" x14ac:dyDescent="0.3">
      <c r="H3783" t="str">
        <f t="shared" si="108"/>
        <v/>
      </c>
    </row>
    <row r="3784" spans="8:8" x14ac:dyDescent="0.3">
      <c r="H3784" t="str">
        <f t="shared" si="108"/>
        <v/>
      </c>
    </row>
    <row r="3785" spans="8:8" x14ac:dyDescent="0.3">
      <c r="H3785" t="str">
        <f t="shared" si="108"/>
        <v/>
      </c>
    </row>
    <row r="3786" spans="8:8" x14ac:dyDescent="0.3">
      <c r="H3786" t="str">
        <f t="shared" si="108"/>
        <v/>
      </c>
    </row>
    <row r="3787" spans="8:8" x14ac:dyDescent="0.3">
      <c r="H3787" t="str">
        <f t="shared" si="108"/>
        <v/>
      </c>
    </row>
    <row r="3788" spans="8:8" x14ac:dyDescent="0.3">
      <c r="H3788" t="str">
        <f t="shared" si="108"/>
        <v/>
      </c>
    </row>
    <row r="3789" spans="8:8" x14ac:dyDescent="0.3">
      <c r="H3789" t="str">
        <f t="shared" si="108"/>
        <v/>
      </c>
    </row>
    <row r="3790" spans="8:8" x14ac:dyDescent="0.3">
      <c r="H3790" t="str">
        <f t="shared" si="108"/>
        <v/>
      </c>
    </row>
    <row r="3791" spans="8:8" x14ac:dyDescent="0.3">
      <c r="H3791" t="str">
        <f t="shared" si="108"/>
        <v/>
      </c>
    </row>
    <row r="3792" spans="8:8" x14ac:dyDescent="0.3">
      <c r="H3792" t="str">
        <f t="shared" si="108"/>
        <v/>
      </c>
    </row>
    <row r="3793" spans="8:8" x14ac:dyDescent="0.3">
      <c r="H3793" t="str">
        <f t="shared" si="108"/>
        <v/>
      </c>
    </row>
    <row r="3794" spans="8:8" x14ac:dyDescent="0.3">
      <c r="H3794" t="str">
        <f t="shared" si="108"/>
        <v/>
      </c>
    </row>
    <row r="3795" spans="8:8" x14ac:dyDescent="0.3">
      <c r="H3795" t="str">
        <f t="shared" si="108"/>
        <v/>
      </c>
    </row>
    <row r="3796" spans="8:8" x14ac:dyDescent="0.3">
      <c r="H3796" t="str">
        <f t="shared" si="108"/>
        <v/>
      </c>
    </row>
    <row r="3797" spans="8:8" x14ac:dyDescent="0.3">
      <c r="H3797" t="str">
        <f t="shared" si="108"/>
        <v/>
      </c>
    </row>
    <row r="3798" spans="8:8" x14ac:dyDescent="0.3">
      <c r="H3798" t="str">
        <f t="shared" si="108"/>
        <v/>
      </c>
    </row>
    <row r="3799" spans="8:8" x14ac:dyDescent="0.3">
      <c r="H3799" t="str">
        <f t="shared" ref="H3799:H3862" si="109">IF(B3799="","",$C$12)</f>
        <v/>
      </c>
    </row>
    <row r="3800" spans="8:8" x14ac:dyDescent="0.3">
      <c r="H3800" t="str">
        <f t="shared" si="109"/>
        <v/>
      </c>
    </row>
    <row r="3801" spans="8:8" x14ac:dyDescent="0.3">
      <c r="H3801" t="str">
        <f t="shared" si="109"/>
        <v/>
      </c>
    </row>
    <row r="3802" spans="8:8" x14ac:dyDescent="0.3">
      <c r="H3802" t="str">
        <f t="shared" si="109"/>
        <v/>
      </c>
    </row>
    <row r="3803" spans="8:8" x14ac:dyDescent="0.3">
      <c r="H3803" t="str">
        <f t="shared" si="109"/>
        <v/>
      </c>
    </row>
    <row r="3804" spans="8:8" x14ac:dyDescent="0.3">
      <c r="H3804" t="str">
        <f t="shared" si="109"/>
        <v/>
      </c>
    </row>
    <row r="3805" spans="8:8" x14ac:dyDescent="0.3">
      <c r="H3805" t="str">
        <f t="shared" si="109"/>
        <v/>
      </c>
    </row>
    <row r="3806" spans="8:8" x14ac:dyDescent="0.3">
      <c r="H3806" t="str">
        <f t="shared" si="109"/>
        <v/>
      </c>
    </row>
    <row r="3807" spans="8:8" x14ac:dyDescent="0.3">
      <c r="H3807" t="str">
        <f t="shared" si="109"/>
        <v/>
      </c>
    </row>
    <row r="3808" spans="8:8" x14ac:dyDescent="0.3">
      <c r="H3808" t="str">
        <f t="shared" si="109"/>
        <v/>
      </c>
    </row>
    <row r="3809" spans="8:8" x14ac:dyDescent="0.3">
      <c r="H3809" t="str">
        <f t="shared" si="109"/>
        <v/>
      </c>
    </row>
    <row r="3810" spans="8:8" x14ac:dyDescent="0.3">
      <c r="H3810" t="str">
        <f t="shared" si="109"/>
        <v/>
      </c>
    </row>
    <row r="3811" spans="8:8" x14ac:dyDescent="0.3">
      <c r="H3811" t="str">
        <f t="shared" si="109"/>
        <v/>
      </c>
    </row>
    <row r="3812" spans="8:8" x14ac:dyDescent="0.3">
      <c r="H3812" t="str">
        <f t="shared" si="109"/>
        <v/>
      </c>
    </row>
    <row r="3813" spans="8:8" x14ac:dyDescent="0.3">
      <c r="H3813" t="str">
        <f t="shared" si="109"/>
        <v/>
      </c>
    </row>
    <row r="3814" spans="8:8" x14ac:dyDescent="0.3">
      <c r="H3814" t="str">
        <f t="shared" si="109"/>
        <v/>
      </c>
    </row>
    <row r="3815" spans="8:8" x14ac:dyDescent="0.3">
      <c r="H3815" t="str">
        <f t="shared" si="109"/>
        <v/>
      </c>
    </row>
    <row r="3816" spans="8:8" x14ac:dyDescent="0.3">
      <c r="H3816" t="str">
        <f t="shared" si="109"/>
        <v/>
      </c>
    </row>
    <row r="3817" spans="8:8" x14ac:dyDescent="0.3">
      <c r="H3817" t="str">
        <f t="shared" si="109"/>
        <v/>
      </c>
    </row>
    <row r="3818" spans="8:8" x14ac:dyDescent="0.3">
      <c r="H3818" t="str">
        <f t="shared" si="109"/>
        <v/>
      </c>
    </row>
    <row r="3819" spans="8:8" x14ac:dyDescent="0.3">
      <c r="H3819" t="str">
        <f t="shared" si="109"/>
        <v/>
      </c>
    </row>
    <row r="3820" spans="8:8" x14ac:dyDescent="0.3">
      <c r="H3820" t="str">
        <f t="shared" si="109"/>
        <v/>
      </c>
    </row>
    <row r="3821" spans="8:8" x14ac:dyDescent="0.3">
      <c r="H3821" t="str">
        <f t="shared" si="109"/>
        <v/>
      </c>
    </row>
    <row r="3822" spans="8:8" x14ac:dyDescent="0.3">
      <c r="H3822" t="str">
        <f t="shared" si="109"/>
        <v/>
      </c>
    </row>
    <row r="3823" spans="8:8" x14ac:dyDescent="0.3">
      <c r="H3823" t="str">
        <f t="shared" si="109"/>
        <v/>
      </c>
    </row>
    <row r="3824" spans="8:8" x14ac:dyDescent="0.3">
      <c r="H3824" t="str">
        <f t="shared" si="109"/>
        <v/>
      </c>
    </row>
    <row r="3825" spans="8:8" x14ac:dyDescent="0.3">
      <c r="H3825" t="str">
        <f t="shared" si="109"/>
        <v/>
      </c>
    </row>
    <row r="3826" spans="8:8" x14ac:dyDescent="0.3">
      <c r="H3826" t="str">
        <f t="shared" si="109"/>
        <v/>
      </c>
    </row>
    <row r="3827" spans="8:8" x14ac:dyDescent="0.3">
      <c r="H3827" t="str">
        <f t="shared" si="109"/>
        <v/>
      </c>
    </row>
    <row r="3828" spans="8:8" x14ac:dyDescent="0.3">
      <c r="H3828" t="str">
        <f t="shared" si="109"/>
        <v/>
      </c>
    </row>
    <row r="3829" spans="8:8" x14ac:dyDescent="0.3">
      <c r="H3829" t="str">
        <f t="shared" si="109"/>
        <v/>
      </c>
    </row>
    <row r="3830" spans="8:8" x14ac:dyDescent="0.3">
      <c r="H3830" t="str">
        <f t="shared" si="109"/>
        <v/>
      </c>
    </row>
    <row r="3831" spans="8:8" x14ac:dyDescent="0.3">
      <c r="H3831" t="str">
        <f t="shared" si="109"/>
        <v/>
      </c>
    </row>
    <row r="3832" spans="8:8" x14ac:dyDescent="0.3">
      <c r="H3832" t="str">
        <f t="shared" si="109"/>
        <v/>
      </c>
    </row>
    <row r="3833" spans="8:8" x14ac:dyDescent="0.3">
      <c r="H3833" t="str">
        <f t="shared" si="109"/>
        <v/>
      </c>
    </row>
    <row r="3834" spans="8:8" x14ac:dyDescent="0.3">
      <c r="H3834" t="str">
        <f t="shared" si="109"/>
        <v/>
      </c>
    </row>
    <row r="3835" spans="8:8" x14ac:dyDescent="0.3">
      <c r="H3835" t="str">
        <f t="shared" si="109"/>
        <v/>
      </c>
    </row>
    <row r="3836" spans="8:8" x14ac:dyDescent="0.3">
      <c r="H3836" t="str">
        <f t="shared" si="109"/>
        <v/>
      </c>
    </row>
    <row r="3837" spans="8:8" x14ac:dyDescent="0.3">
      <c r="H3837" t="str">
        <f t="shared" si="109"/>
        <v/>
      </c>
    </row>
    <row r="3838" spans="8:8" x14ac:dyDescent="0.3">
      <c r="H3838" t="str">
        <f t="shared" si="109"/>
        <v/>
      </c>
    </row>
    <row r="3839" spans="8:8" x14ac:dyDescent="0.3">
      <c r="H3839" t="str">
        <f t="shared" si="109"/>
        <v/>
      </c>
    </row>
    <row r="3840" spans="8:8" x14ac:dyDescent="0.3">
      <c r="H3840" t="str">
        <f t="shared" si="109"/>
        <v/>
      </c>
    </row>
    <row r="3841" spans="8:8" x14ac:dyDescent="0.3">
      <c r="H3841" t="str">
        <f t="shared" si="109"/>
        <v/>
      </c>
    </row>
    <row r="3842" spans="8:8" x14ac:dyDescent="0.3">
      <c r="H3842" t="str">
        <f t="shared" si="109"/>
        <v/>
      </c>
    </row>
    <row r="3843" spans="8:8" x14ac:dyDescent="0.3">
      <c r="H3843" t="str">
        <f t="shared" si="109"/>
        <v/>
      </c>
    </row>
    <row r="3844" spans="8:8" x14ac:dyDescent="0.3">
      <c r="H3844" t="str">
        <f t="shared" si="109"/>
        <v/>
      </c>
    </row>
    <row r="3845" spans="8:8" x14ac:dyDescent="0.3">
      <c r="H3845" t="str">
        <f t="shared" si="109"/>
        <v/>
      </c>
    </row>
    <row r="3846" spans="8:8" x14ac:dyDescent="0.3">
      <c r="H3846" t="str">
        <f t="shared" si="109"/>
        <v/>
      </c>
    </row>
    <row r="3847" spans="8:8" x14ac:dyDescent="0.3">
      <c r="H3847" t="str">
        <f t="shared" si="109"/>
        <v/>
      </c>
    </row>
    <row r="3848" spans="8:8" x14ac:dyDescent="0.3">
      <c r="H3848" t="str">
        <f t="shared" si="109"/>
        <v/>
      </c>
    </row>
    <row r="3849" spans="8:8" x14ac:dyDescent="0.3">
      <c r="H3849" t="str">
        <f t="shared" si="109"/>
        <v/>
      </c>
    </row>
    <row r="3850" spans="8:8" x14ac:dyDescent="0.3">
      <c r="H3850" t="str">
        <f t="shared" si="109"/>
        <v/>
      </c>
    </row>
    <row r="3851" spans="8:8" x14ac:dyDescent="0.3">
      <c r="H3851" t="str">
        <f t="shared" si="109"/>
        <v/>
      </c>
    </row>
    <row r="3852" spans="8:8" x14ac:dyDescent="0.3">
      <c r="H3852" t="str">
        <f t="shared" si="109"/>
        <v/>
      </c>
    </row>
    <row r="3853" spans="8:8" x14ac:dyDescent="0.3">
      <c r="H3853" t="str">
        <f t="shared" si="109"/>
        <v/>
      </c>
    </row>
    <row r="3854" spans="8:8" x14ac:dyDescent="0.3">
      <c r="H3854" t="str">
        <f t="shared" si="109"/>
        <v/>
      </c>
    </row>
    <row r="3855" spans="8:8" x14ac:dyDescent="0.3">
      <c r="H3855" t="str">
        <f t="shared" si="109"/>
        <v/>
      </c>
    </row>
    <row r="3856" spans="8:8" x14ac:dyDescent="0.3">
      <c r="H3856" t="str">
        <f t="shared" si="109"/>
        <v/>
      </c>
    </row>
    <row r="3857" spans="8:8" x14ac:dyDescent="0.3">
      <c r="H3857" t="str">
        <f t="shared" si="109"/>
        <v/>
      </c>
    </row>
    <row r="3858" spans="8:8" x14ac:dyDescent="0.3">
      <c r="H3858" t="str">
        <f t="shared" si="109"/>
        <v/>
      </c>
    </row>
    <row r="3859" spans="8:8" x14ac:dyDescent="0.3">
      <c r="H3859" t="str">
        <f t="shared" si="109"/>
        <v/>
      </c>
    </row>
    <row r="3860" spans="8:8" x14ac:dyDescent="0.3">
      <c r="H3860" t="str">
        <f t="shared" si="109"/>
        <v/>
      </c>
    </row>
    <row r="3861" spans="8:8" x14ac:dyDescent="0.3">
      <c r="H3861" t="str">
        <f t="shared" si="109"/>
        <v/>
      </c>
    </row>
    <row r="3862" spans="8:8" x14ac:dyDescent="0.3">
      <c r="H3862" t="str">
        <f t="shared" si="109"/>
        <v/>
      </c>
    </row>
    <row r="3863" spans="8:8" x14ac:dyDescent="0.3">
      <c r="H3863" t="str">
        <f t="shared" ref="H3863:H3926" si="110">IF(B3863="","",$C$12)</f>
        <v/>
      </c>
    </row>
    <row r="3864" spans="8:8" x14ac:dyDescent="0.3">
      <c r="H3864" t="str">
        <f t="shared" si="110"/>
        <v/>
      </c>
    </row>
    <row r="3865" spans="8:8" x14ac:dyDescent="0.3">
      <c r="H3865" t="str">
        <f t="shared" si="110"/>
        <v/>
      </c>
    </row>
    <row r="3866" spans="8:8" x14ac:dyDescent="0.3">
      <c r="H3866" t="str">
        <f t="shared" si="110"/>
        <v/>
      </c>
    </row>
    <row r="3867" spans="8:8" x14ac:dyDescent="0.3">
      <c r="H3867" t="str">
        <f t="shared" si="110"/>
        <v/>
      </c>
    </row>
    <row r="3868" spans="8:8" x14ac:dyDescent="0.3">
      <c r="H3868" t="str">
        <f t="shared" si="110"/>
        <v/>
      </c>
    </row>
    <row r="3869" spans="8:8" x14ac:dyDescent="0.3">
      <c r="H3869" t="str">
        <f t="shared" si="110"/>
        <v/>
      </c>
    </row>
    <row r="3870" spans="8:8" x14ac:dyDescent="0.3">
      <c r="H3870" t="str">
        <f t="shared" si="110"/>
        <v/>
      </c>
    </row>
    <row r="3871" spans="8:8" x14ac:dyDescent="0.3">
      <c r="H3871" t="str">
        <f t="shared" si="110"/>
        <v/>
      </c>
    </row>
    <row r="3872" spans="8:8" x14ac:dyDescent="0.3">
      <c r="H3872" t="str">
        <f t="shared" si="110"/>
        <v/>
      </c>
    </row>
    <row r="3873" spans="8:8" x14ac:dyDescent="0.3">
      <c r="H3873" t="str">
        <f t="shared" si="110"/>
        <v/>
      </c>
    </row>
    <row r="3874" spans="8:8" x14ac:dyDescent="0.3">
      <c r="H3874" t="str">
        <f t="shared" si="110"/>
        <v/>
      </c>
    </row>
    <row r="3875" spans="8:8" x14ac:dyDescent="0.3">
      <c r="H3875" t="str">
        <f t="shared" si="110"/>
        <v/>
      </c>
    </row>
    <row r="3876" spans="8:8" x14ac:dyDescent="0.3">
      <c r="H3876" t="str">
        <f t="shared" si="110"/>
        <v/>
      </c>
    </row>
    <row r="3877" spans="8:8" x14ac:dyDescent="0.3">
      <c r="H3877" t="str">
        <f t="shared" si="110"/>
        <v/>
      </c>
    </row>
    <row r="3878" spans="8:8" x14ac:dyDescent="0.3">
      <c r="H3878" t="str">
        <f t="shared" si="110"/>
        <v/>
      </c>
    </row>
    <row r="3879" spans="8:8" x14ac:dyDescent="0.3">
      <c r="H3879" t="str">
        <f t="shared" si="110"/>
        <v/>
      </c>
    </row>
    <row r="3880" spans="8:8" x14ac:dyDescent="0.3">
      <c r="H3880" t="str">
        <f t="shared" si="110"/>
        <v/>
      </c>
    </row>
    <row r="3881" spans="8:8" x14ac:dyDescent="0.3">
      <c r="H3881" t="str">
        <f t="shared" si="110"/>
        <v/>
      </c>
    </row>
    <row r="3882" spans="8:8" x14ac:dyDescent="0.3">
      <c r="H3882" t="str">
        <f t="shared" si="110"/>
        <v/>
      </c>
    </row>
    <row r="3883" spans="8:8" x14ac:dyDescent="0.3">
      <c r="H3883" t="str">
        <f t="shared" si="110"/>
        <v/>
      </c>
    </row>
    <row r="3884" spans="8:8" x14ac:dyDescent="0.3">
      <c r="H3884" t="str">
        <f t="shared" si="110"/>
        <v/>
      </c>
    </row>
    <row r="3885" spans="8:8" x14ac:dyDescent="0.3">
      <c r="H3885" t="str">
        <f t="shared" si="110"/>
        <v/>
      </c>
    </row>
    <row r="3886" spans="8:8" x14ac:dyDescent="0.3">
      <c r="H3886" t="str">
        <f t="shared" si="110"/>
        <v/>
      </c>
    </row>
    <row r="3887" spans="8:8" x14ac:dyDescent="0.3">
      <c r="H3887" t="str">
        <f t="shared" si="110"/>
        <v/>
      </c>
    </row>
    <row r="3888" spans="8:8" x14ac:dyDescent="0.3">
      <c r="H3888" t="str">
        <f t="shared" si="110"/>
        <v/>
      </c>
    </row>
    <row r="3889" spans="8:8" x14ac:dyDescent="0.3">
      <c r="H3889" t="str">
        <f t="shared" si="110"/>
        <v/>
      </c>
    </row>
    <row r="3890" spans="8:8" x14ac:dyDescent="0.3">
      <c r="H3890" t="str">
        <f t="shared" si="110"/>
        <v/>
      </c>
    </row>
    <row r="3891" spans="8:8" x14ac:dyDescent="0.3">
      <c r="H3891" t="str">
        <f t="shared" si="110"/>
        <v/>
      </c>
    </row>
    <row r="3892" spans="8:8" x14ac:dyDescent="0.3">
      <c r="H3892" t="str">
        <f t="shared" si="110"/>
        <v/>
      </c>
    </row>
    <row r="3893" spans="8:8" x14ac:dyDescent="0.3">
      <c r="H3893" t="str">
        <f t="shared" si="110"/>
        <v/>
      </c>
    </row>
    <row r="3894" spans="8:8" x14ac:dyDescent="0.3">
      <c r="H3894" t="str">
        <f t="shared" si="110"/>
        <v/>
      </c>
    </row>
    <row r="3895" spans="8:8" x14ac:dyDescent="0.3">
      <c r="H3895" t="str">
        <f t="shared" si="110"/>
        <v/>
      </c>
    </row>
    <row r="3896" spans="8:8" x14ac:dyDescent="0.3">
      <c r="H3896" t="str">
        <f t="shared" si="110"/>
        <v/>
      </c>
    </row>
    <row r="3897" spans="8:8" x14ac:dyDescent="0.3">
      <c r="H3897" t="str">
        <f t="shared" si="110"/>
        <v/>
      </c>
    </row>
    <row r="3898" spans="8:8" x14ac:dyDescent="0.3">
      <c r="H3898" t="str">
        <f t="shared" si="110"/>
        <v/>
      </c>
    </row>
    <row r="3899" spans="8:8" x14ac:dyDescent="0.3">
      <c r="H3899" t="str">
        <f t="shared" si="110"/>
        <v/>
      </c>
    </row>
    <row r="3900" spans="8:8" x14ac:dyDescent="0.3">
      <c r="H3900" t="str">
        <f t="shared" si="110"/>
        <v/>
      </c>
    </row>
    <row r="3901" spans="8:8" x14ac:dyDescent="0.3">
      <c r="H3901" t="str">
        <f t="shared" si="110"/>
        <v/>
      </c>
    </row>
    <row r="3902" spans="8:8" x14ac:dyDescent="0.3">
      <c r="H3902" t="str">
        <f t="shared" si="110"/>
        <v/>
      </c>
    </row>
    <row r="3903" spans="8:8" x14ac:dyDescent="0.3">
      <c r="H3903" t="str">
        <f t="shared" si="110"/>
        <v/>
      </c>
    </row>
    <row r="3904" spans="8:8" x14ac:dyDescent="0.3">
      <c r="H3904" t="str">
        <f t="shared" si="110"/>
        <v/>
      </c>
    </row>
    <row r="3905" spans="8:8" x14ac:dyDescent="0.3">
      <c r="H3905" t="str">
        <f t="shared" si="110"/>
        <v/>
      </c>
    </row>
    <row r="3906" spans="8:8" x14ac:dyDescent="0.3">
      <c r="H3906" t="str">
        <f t="shared" si="110"/>
        <v/>
      </c>
    </row>
    <row r="3907" spans="8:8" x14ac:dyDescent="0.3">
      <c r="H3907" t="str">
        <f t="shared" si="110"/>
        <v/>
      </c>
    </row>
    <row r="3908" spans="8:8" x14ac:dyDescent="0.3">
      <c r="H3908" t="str">
        <f t="shared" si="110"/>
        <v/>
      </c>
    </row>
    <row r="3909" spans="8:8" x14ac:dyDescent="0.3">
      <c r="H3909" t="str">
        <f t="shared" si="110"/>
        <v/>
      </c>
    </row>
    <row r="3910" spans="8:8" x14ac:dyDescent="0.3">
      <c r="H3910" t="str">
        <f t="shared" si="110"/>
        <v/>
      </c>
    </row>
    <row r="3911" spans="8:8" x14ac:dyDescent="0.3">
      <c r="H3911" t="str">
        <f t="shared" si="110"/>
        <v/>
      </c>
    </row>
    <row r="3912" spans="8:8" x14ac:dyDescent="0.3">
      <c r="H3912" t="str">
        <f t="shared" si="110"/>
        <v/>
      </c>
    </row>
    <row r="3913" spans="8:8" x14ac:dyDescent="0.3">
      <c r="H3913" t="str">
        <f t="shared" si="110"/>
        <v/>
      </c>
    </row>
    <row r="3914" spans="8:8" x14ac:dyDescent="0.3">
      <c r="H3914" t="str">
        <f t="shared" si="110"/>
        <v/>
      </c>
    </row>
    <row r="3915" spans="8:8" x14ac:dyDescent="0.3">
      <c r="H3915" t="str">
        <f t="shared" si="110"/>
        <v/>
      </c>
    </row>
    <row r="3916" spans="8:8" x14ac:dyDescent="0.3">
      <c r="H3916" t="str">
        <f t="shared" si="110"/>
        <v/>
      </c>
    </row>
    <row r="3917" spans="8:8" x14ac:dyDescent="0.3">
      <c r="H3917" t="str">
        <f t="shared" si="110"/>
        <v/>
      </c>
    </row>
    <row r="3918" spans="8:8" x14ac:dyDescent="0.3">
      <c r="H3918" t="str">
        <f t="shared" si="110"/>
        <v/>
      </c>
    </row>
    <row r="3919" spans="8:8" x14ac:dyDescent="0.3">
      <c r="H3919" t="str">
        <f t="shared" si="110"/>
        <v/>
      </c>
    </row>
    <row r="3920" spans="8:8" x14ac:dyDescent="0.3">
      <c r="H3920" t="str">
        <f t="shared" si="110"/>
        <v/>
      </c>
    </row>
    <row r="3921" spans="8:8" x14ac:dyDescent="0.3">
      <c r="H3921" t="str">
        <f t="shared" si="110"/>
        <v/>
      </c>
    </row>
    <row r="3922" spans="8:8" x14ac:dyDescent="0.3">
      <c r="H3922" t="str">
        <f t="shared" si="110"/>
        <v/>
      </c>
    </row>
    <row r="3923" spans="8:8" x14ac:dyDescent="0.3">
      <c r="H3923" t="str">
        <f t="shared" si="110"/>
        <v/>
      </c>
    </row>
    <row r="3924" spans="8:8" x14ac:dyDescent="0.3">
      <c r="H3924" t="str">
        <f t="shared" si="110"/>
        <v/>
      </c>
    </row>
    <row r="3925" spans="8:8" x14ac:dyDescent="0.3">
      <c r="H3925" t="str">
        <f t="shared" si="110"/>
        <v/>
      </c>
    </row>
    <row r="3926" spans="8:8" x14ac:dyDescent="0.3">
      <c r="H3926" t="str">
        <f t="shared" si="110"/>
        <v/>
      </c>
    </row>
    <row r="3927" spans="8:8" x14ac:dyDescent="0.3">
      <c r="H3927" t="str">
        <f t="shared" ref="H3927:H3990" si="111">IF(B3927="","",$C$12)</f>
        <v/>
      </c>
    </row>
    <row r="3928" spans="8:8" x14ac:dyDescent="0.3">
      <c r="H3928" t="str">
        <f t="shared" si="111"/>
        <v/>
      </c>
    </row>
    <row r="3929" spans="8:8" x14ac:dyDescent="0.3">
      <c r="H3929" t="str">
        <f t="shared" si="111"/>
        <v/>
      </c>
    </row>
    <row r="3930" spans="8:8" x14ac:dyDescent="0.3">
      <c r="H3930" t="str">
        <f t="shared" si="111"/>
        <v/>
      </c>
    </row>
    <row r="3931" spans="8:8" x14ac:dyDescent="0.3">
      <c r="H3931" t="str">
        <f t="shared" si="111"/>
        <v/>
      </c>
    </row>
    <row r="3932" spans="8:8" x14ac:dyDescent="0.3">
      <c r="H3932" t="str">
        <f t="shared" si="111"/>
        <v/>
      </c>
    </row>
    <row r="3933" spans="8:8" x14ac:dyDescent="0.3">
      <c r="H3933" t="str">
        <f t="shared" si="111"/>
        <v/>
      </c>
    </row>
    <row r="3934" spans="8:8" x14ac:dyDescent="0.3">
      <c r="H3934" t="str">
        <f t="shared" si="111"/>
        <v/>
      </c>
    </row>
    <row r="3935" spans="8:8" x14ac:dyDescent="0.3">
      <c r="H3935" t="str">
        <f t="shared" si="111"/>
        <v/>
      </c>
    </row>
    <row r="3936" spans="8:8" x14ac:dyDescent="0.3">
      <c r="H3936" t="str">
        <f t="shared" si="111"/>
        <v/>
      </c>
    </row>
    <row r="3937" spans="8:8" x14ac:dyDescent="0.3">
      <c r="H3937" t="str">
        <f t="shared" si="111"/>
        <v/>
      </c>
    </row>
    <row r="3938" spans="8:8" x14ac:dyDescent="0.3">
      <c r="H3938" t="str">
        <f t="shared" si="111"/>
        <v/>
      </c>
    </row>
    <row r="3939" spans="8:8" x14ac:dyDescent="0.3">
      <c r="H3939" t="str">
        <f t="shared" si="111"/>
        <v/>
      </c>
    </row>
    <row r="3940" spans="8:8" x14ac:dyDescent="0.3">
      <c r="H3940" t="str">
        <f t="shared" si="111"/>
        <v/>
      </c>
    </row>
    <row r="3941" spans="8:8" x14ac:dyDescent="0.3">
      <c r="H3941" t="str">
        <f t="shared" si="111"/>
        <v/>
      </c>
    </row>
    <row r="3942" spans="8:8" x14ac:dyDescent="0.3">
      <c r="H3942" t="str">
        <f t="shared" si="111"/>
        <v/>
      </c>
    </row>
    <row r="3943" spans="8:8" x14ac:dyDescent="0.3">
      <c r="H3943" t="str">
        <f t="shared" si="111"/>
        <v/>
      </c>
    </row>
    <row r="3944" spans="8:8" x14ac:dyDescent="0.3">
      <c r="H3944" t="str">
        <f t="shared" si="111"/>
        <v/>
      </c>
    </row>
    <row r="3945" spans="8:8" x14ac:dyDescent="0.3">
      <c r="H3945" t="str">
        <f t="shared" si="111"/>
        <v/>
      </c>
    </row>
    <row r="3946" spans="8:8" x14ac:dyDescent="0.3">
      <c r="H3946" t="str">
        <f t="shared" si="111"/>
        <v/>
      </c>
    </row>
    <row r="3947" spans="8:8" x14ac:dyDescent="0.3">
      <c r="H3947" t="str">
        <f t="shared" si="111"/>
        <v/>
      </c>
    </row>
    <row r="3948" spans="8:8" x14ac:dyDescent="0.3">
      <c r="H3948" t="str">
        <f t="shared" si="111"/>
        <v/>
      </c>
    </row>
    <row r="3949" spans="8:8" x14ac:dyDescent="0.3">
      <c r="H3949" t="str">
        <f t="shared" si="111"/>
        <v/>
      </c>
    </row>
    <row r="3950" spans="8:8" x14ac:dyDescent="0.3">
      <c r="H3950" t="str">
        <f t="shared" si="111"/>
        <v/>
      </c>
    </row>
    <row r="3951" spans="8:8" x14ac:dyDescent="0.3">
      <c r="H3951" t="str">
        <f t="shared" si="111"/>
        <v/>
      </c>
    </row>
    <row r="3952" spans="8:8" x14ac:dyDescent="0.3">
      <c r="H3952" t="str">
        <f t="shared" si="111"/>
        <v/>
      </c>
    </row>
    <row r="3953" spans="8:8" x14ac:dyDescent="0.3">
      <c r="H3953" t="str">
        <f t="shared" si="111"/>
        <v/>
      </c>
    </row>
    <row r="3954" spans="8:8" x14ac:dyDescent="0.3">
      <c r="H3954" t="str">
        <f t="shared" si="111"/>
        <v/>
      </c>
    </row>
    <row r="3955" spans="8:8" x14ac:dyDescent="0.3">
      <c r="H3955" t="str">
        <f t="shared" si="111"/>
        <v/>
      </c>
    </row>
    <row r="3956" spans="8:8" x14ac:dyDescent="0.3">
      <c r="H3956" t="str">
        <f t="shared" si="111"/>
        <v/>
      </c>
    </row>
    <row r="3957" spans="8:8" x14ac:dyDescent="0.3">
      <c r="H3957" t="str">
        <f t="shared" si="111"/>
        <v/>
      </c>
    </row>
    <row r="3958" spans="8:8" x14ac:dyDescent="0.3">
      <c r="H3958" t="str">
        <f t="shared" si="111"/>
        <v/>
      </c>
    </row>
    <row r="3959" spans="8:8" x14ac:dyDescent="0.3">
      <c r="H3959" t="str">
        <f t="shared" si="111"/>
        <v/>
      </c>
    </row>
    <row r="3960" spans="8:8" x14ac:dyDescent="0.3">
      <c r="H3960" t="str">
        <f t="shared" si="111"/>
        <v/>
      </c>
    </row>
    <row r="3961" spans="8:8" x14ac:dyDescent="0.3">
      <c r="H3961" t="str">
        <f t="shared" si="111"/>
        <v/>
      </c>
    </row>
    <row r="3962" spans="8:8" x14ac:dyDescent="0.3">
      <c r="H3962" t="str">
        <f t="shared" si="111"/>
        <v/>
      </c>
    </row>
    <row r="3963" spans="8:8" x14ac:dyDescent="0.3">
      <c r="H3963" t="str">
        <f t="shared" si="111"/>
        <v/>
      </c>
    </row>
    <row r="3964" spans="8:8" x14ac:dyDescent="0.3">
      <c r="H3964" t="str">
        <f t="shared" si="111"/>
        <v/>
      </c>
    </row>
    <row r="3965" spans="8:8" x14ac:dyDescent="0.3">
      <c r="H3965" t="str">
        <f t="shared" si="111"/>
        <v/>
      </c>
    </row>
    <row r="3966" spans="8:8" x14ac:dyDescent="0.3">
      <c r="H3966" t="str">
        <f t="shared" si="111"/>
        <v/>
      </c>
    </row>
    <row r="3967" spans="8:8" x14ac:dyDescent="0.3">
      <c r="H3967" t="str">
        <f t="shared" si="111"/>
        <v/>
      </c>
    </row>
    <row r="3968" spans="8:8" x14ac:dyDescent="0.3">
      <c r="H3968" t="str">
        <f t="shared" si="111"/>
        <v/>
      </c>
    </row>
    <row r="3969" spans="8:8" x14ac:dyDescent="0.3">
      <c r="H3969" t="str">
        <f t="shared" si="111"/>
        <v/>
      </c>
    </row>
    <row r="3970" spans="8:8" x14ac:dyDescent="0.3">
      <c r="H3970" t="str">
        <f t="shared" si="111"/>
        <v/>
      </c>
    </row>
    <row r="3971" spans="8:8" x14ac:dyDescent="0.3">
      <c r="H3971" t="str">
        <f t="shared" si="111"/>
        <v/>
      </c>
    </row>
    <row r="3972" spans="8:8" x14ac:dyDescent="0.3">
      <c r="H3972" t="str">
        <f t="shared" si="111"/>
        <v/>
      </c>
    </row>
    <row r="3973" spans="8:8" x14ac:dyDescent="0.3">
      <c r="H3973" t="str">
        <f t="shared" si="111"/>
        <v/>
      </c>
    </row>
    <row r="3974" spans="8:8" x14ac:dyDescent="0.3">
      <c r="H3974" t="str">
        <f t="shared" si="111"/>
        <v/>
      </c>
    </row>
    <row r="3975" spans="8:8" x14ac:dyDescent="0.3">
      <c r="H3975" t="str">
        <f t="shared" si="111"/>
        <v/>
      </c>
    </row>
    <row r="3976" spans="8:8" x14ac:dyDescent="0.3">
      <c r="H3976" t="str">
        <f t="shared" si="111"/>
        <v/>
      </c>
    </row>
    <row r="3977" spans="8:8" x14ac:dyDescent="0.3">
      <c r="H3977" t="str">
        <f t="shared" si="111"/>
        <v/>
      </c>
    </row>
    <row r="3978" spans="8:8" x14ac:dyDescent="0.3">
      <c r="H3978" t="str">
        <f t="shared" si="111"/>
        <v/>
      </c>
    </row>
    <row r="3979" spans="8:8" x14ac:dyDescent="0.3">
      <c r="H3979" t="str">
        <f t="shared" si="111"/>
        <v/>
      </c>
    </row>
    <row r="3980" spans="8:8" x14ac:dyDescent="0.3">
      <c r="H3980" t="str">
        <f t="shared" si="111"/>
        <v/>
      </c>
    </row>
    <row r="3981" spans="8:8" x14ac:dyDescent="0.3">
      <c r="H3981" t="str">
        <f t="shared" si="111"/>
        <v/>
      </c>
    </row>
    <row r="3982" spans="8:8" x14ac:dyDescent="0.3">
      <c r="H3982" t="str">
        <f t="shared" si="111"/>
        <v/>
      </c>
    </row>
    <row r="3983" spans="8:8" x14ac:dyDescent="0.3">
      <c r="H3983" t="str">
        <f t="shared" si="111"/>
        <v/>
      </c>
    </row>
    <row r="3984" spans="8:8" x14ac:dyDescent="0.3">
      <c r="H3984" t="str">
        <f t="shared" si="111"/>
        <v/>
      </c>
    </row>
    <row r="3985" spans="8:8" x14ac:dyDescent="0.3">
      <c r="H3985" t="str">
        <f t="shared" si="111"/>
        <v/>
      </c>
    </row>
    <row r="3986" spans="8:8" x14ac:dyDescent="0.3">
      <c r="H3986" t="str">
        <f t="shared" si="111"/>
        <v/>
      </c>
    </row>
    <row r="3987" spans="8:8" x14ac:dyDescent="0.3">
      <c r="H3987" t="str">
        <f t="shared" si="111"/>
        <v/>
      </c>
    </row>
    <row r="3988" spans="8:8" x14ac:dyDescent="0.3">
      <c r="H3988" t="str">
        <f t="shared" si="111"/>
        <v/>
      </c>
    </row>
    <row r="3989" spans="8:8" x14ac:dyDescent="0.3">
      <c r="H3989" t="str">
        <f t="shared" si="111"/>
        <v/>
      </c>
    </row>
    <row r="3990" spans="8:8" x14ac:dyDescent="0.3">
      <c r="H3990" t="str">
        <f t="shared" si="111"/>
        <v/>
      </c>
    </row>
    <row r="3991" spans="8:8" x14ac:dyDescent="0.3">
      <c r="H3991" t="str">
        <f t="shared" ref="H3991:H4054" si="112">IF(B3991="","",$C$12)</f>
        <v/>
      </c>
    </row>
    <row r="3992" spans="8:8" x14ac:dyDescent="0.3">
      <c r="H3992" t="str">
        <f t="shared" si="112"/>
        <v/>
      </c>
    </row>
    <row r="3993" spans="8:8" x14ac:dyDescent="0.3">
      <c r="H3993" t="str">
        <f t="shared" si="112"/>
        <v/>
      </c>
    </row>
    <row r="3994" spans="8:8" x14ac:dyDescent="0.3">
      <c r="H3994" t="str">
        <f t="shared" si="112"/>
        <v/>
      </c>
    </row>
    <row r="3995" spans="8:8" x14ac:dyDescent="0.3">
      <c r="H3995" t="str">
        <f t="shared" si="112"/>
        <v/>
      </c>
    </row>
    <row r="3996" spans="8:8" x14ac:dyDescent="0.3">
      <c r="H3996" t="str">
        <f t="shared" si="112"/>
        <v/>
      </c>
    </row>
    <row r="3997" spans="8:8" x14ac:dyDescent="0.3">
      <c r="H3997" t="str">
        <f t="shared" si="112"/>
        <v/>
      </c>
    </row>
    <row r="3998" spans="8:8" x14ac:dyDescent="0.3">
      <c r="H3998" t="str">
        <f t="shared" si="112"/>
        <v/>
      </c>
    </row>
    <row r="3999" spans="8:8" x14ac:dyDescent="0.3">
      <c r="H3999" t="str">
        <f t="shared" si="112"/>
        <v/>
      </c>
    </row>
    <row r="4000" spans="8:8" x14ac:dyDescent="0.3">
      <c r="H4000" t="str">
        <f t="shared" si="112"/>
        <v/>
      </c>
    </row>
    <row r="4001" spans="8:8" x14ac:dyDescent="0.3">
      <c r="H4001" t="str">
        <f t="shared" si="112"/>
        <v/>
      </c>
    </row>
    <row r="4002" spans="8:8" x14ac:dyDescent="0.3">
      <c r="H4002" t="str">
        <f t="shared" si="112"/>
        <v/>
      </c>
    </row>
    <row r="4003" spans="8:8" x14ac:dyDescent="0.3">
      <c r="H4003" t="str">
        <f t="shared" si="112"/>
        <v/>
      </c>
    </row>
    <row r="4004" spans="8:8" x14ac:dyDescent="0.3">
      <c r="H4004" t="str">
        <f t="shared" si="112"/>
        <v/>
      </c>
    </row>
    <row r="4005" spans="8:8" x14ac:dyDescent="0.3">
      <c r="H4005" t="str">
        <f t="shared" si="112"/>
        <v/>
      </c>
    </row>
    <row r="4006" spans="8:8" x14ac:dyDescent="0.3">
      <c r="H4006" t="str">
        <f t="shared" si="112"/>
        <v/>
      </c>
    </row>
    <row r="4007" spans="8:8" x14ac:dyDescent="0.3">
      <c r="H4007" t="str">
        <f t="shared" si="112"/>
        <v/>
      </c>
    </row>
    <row r="4008" spans="8:8" x14ac:dyDescent="0.3">
      <c r="H4008" t="str">
        <f t="shared" si="112"/>
        <v/>
      </c>
    </row>
    <row r="4009" spans="8:8" x14ac:dyDescent="0.3">
      <c r="H4009" t="str">
        <f t="shared" si="112"/>
        <v/>
      </c>
    </row>
    <row r="4010" spans="8:8" x14ac:dyDescent="0.3">
      <c r="H4010" t="str">
        <f t="shared" si="112"/>
        <v/>
      </c>
    </row>
    <row r="4011" spans="8:8" x14ac:dyDescent="0.3">
      <c r="H4011" t="str">
        <f t="shared" si="112"/>
        <v/>
      </c>
    </row>
    <row r="4012" spans="8:8" x14ac:dyDescent="0.3">
      <c r="H4012" t="str">
        <f t="shared" si="112"/>
        <v/>
      </c>
    </row>
    <row r="4013" spans="8:8" x14ac:dyDescent="0.3">
      <c r="H4013" t="str">
        <f t="shared" si="112"/>
        <v/>
      </c>
    </row>
    <row r="4014" spans="8:8" x14ac:dyDescent="0.3">
      <c r="H4014" t="str">
        <f t="shared" si="112"/>
        <v/>
      </c>
    </row>
    <row r="4015" spans="8:8" x14ac:dyDescent="0.3">
      <c r="H4015" t="str">
        <f t="shared" si="112"/>
        <v/>
      </c>
    </row>
    <row r="4016" spans="8:8" x14ac:dyDescent="0.3">
      <c r="H4016" t="str">
        <f t="shared" si="112"/>
        <v/>
      </c>
    </row>
    <row r="4017" spans="8:8" x14ac:dyDescent="0.3">
      <c r="H4017" t="str">
        <f t="shared" si="112"/>
        <v/>
      </c>
    </row>
    <row r="4018" spans="8:8" x14ac:dyDescent="0.3">
      <c r="H4018" t="str">
        <f t="shared" si="112"/>
        <v/>
      </c>
    </row>
    <row r="4019" spans="8:8" x14ac:dyDescent="0.3">
      <c r="H4019" t="str">
        <f t="shared" si="112"/>
        <v/>
      </c>
    </row>
    <row r="4020" spans="8:8" x14ac:dyDescent="0.3">
      <c r="H4020" t="str">
        <f t="shared" si="112"/>
        <v/>
      </c>
    </row>
    <row r="4021" spans="8:8" x14ac:dyDescent="0.3">
      <c r="H4021" t="str">
        <f t="shared" si="112"/>
        <v/>
      </c>
    </row>
    <row r="4022" spans="8:8" x14ac:dyDescent="0.3">
      <c r="H4022" t="str">
        <f t="shared" si="112"/>
        <v/>
      </c>
    </row>
    <row r="4023" spans="8:8" x14ac:dyDescent="0.3">
      <c r="H4023" t="str">
        <f t="shared" si="112"/>
        <v/>
      </c>
    </row>
    <row r="4024" spans="8:8" x14ac:dyDescent="0.3">
      <c r="H4024" t="str">
        <f t="shared" si="112"/>
        <v/>
      </c>
    </row>
    <row r="4025" spans="8:8" x14ac:dyDescent="0.3">
      <c r="H4025" t="str">
        <f t="shared" si="112"/>
        <v/>
      </c>
    </row>
    <row r="4026" spans="8:8" x14ac:dyDescent="0.3">
      <c r="H4026" t="str">
        <f t="shared" si="112"/>
        <v/>
      </c>
    </row>
    <row r="4027" spans="8:8" x14ac:dyDescent="0.3">
      <c r="H4027" t="str">
        <f t="shared" si="112"/>
        <v/>
      </c>
    </row>
    <row r="4028" spans="8:8" x14ac:dyDescent="0.3">
      <c r="H4028" t="str">
        <f t="shared" si="112"/>
        <v/>
      </c>
    </row>
    <row r="4029" spans="8:8" x14ac:dyDescent="0.3">
      <c r="H4029" t="str">
        <f t="shared" si="112"/>
        <v/>
      </c>
    </row>
    <row r="4030" spans="8:8" x14ac:dyDescent="0.3">
      <c r="H4030" t="str">
        <f t="shared" si="112"/>
        <v/>
      </c>
    </row>
    <row r="4031" spans="8:8" x14ac:dyDescent="0.3">
      <c r="H4031" t="str">
        <f t="shared" si="112"/>
        <v/>
      </c>
    </row>
    <row r="4032" spans="8:8" x14ac:dyDescent="0.3">
      <c r="H4032" t="str">
        <f t="shared" si="112"/>
        <v/>
      </c>
    </row>
    <row r="4033" spans="8:8" x14ac:dyDescent="0.3">
      <c r="H4033" t="str">
        <f t="shared" si="112"/>
        <v/>
      </c>
    </row>
    <row r="4034" spans="8:8" x14ac:dyDescent="0.3">
      <c r="H4034" t="str">
        <f t="shared" si="112"/>
        <v/>
      </c>
    </row>
    <row r="4035" spans="8:8" x14ac:dyDescent="0.3">
      <c r="H4035" t="str">
        <f t="shared" si="112"/>
        <v/>
      </c>
    </row>
    <row r="4036" spans="8:8" x14ac:dyDescent="0.3">
      <c r="H4036" t="str">
        <f t="shared" si="112"/>
        <v/>
      </c>
    </row>
    <row r="4037" spans="8:8" x14ac:dyDescent="0.3">
      <c r="H4037" t="str">
        <f t="shared" si="112"/>
        <v/>
      </c>
    </row>
    <row r="4038" spans="8:8" x14ac:dyDescent="0.3">
      <c r="H4038" t="str">
        <f t="shared" si="112"/>
        <v/>
      </c>
    </row>
    <row r="4039" spans="8:8" x14ac:dyDescent="0.3">
      <c r="H4039" t="str">
        <f t="shared" si="112"/>
        <v/>
      </c>
    </row>
    <row r="4040" spans="8:8" x14ac:dyDescent="0.3">
      <c r="H4040" t="str">
        <f t="shared" si="112"/>
        <v/>
      </c>
    </row>
    <row r="4041" spans="8:8" x14ac:dyDescent="0.3">
      <c r="H4041" t="str">
        <f t="shared" si="112"/>
        <v/>
      </c>
    </row>
    <row r="4042" spans="8:8" x14ac:dyDescent="0.3">
      <c r="H4042" t="str">
        <f t="shared" si="112"/>
        <v/>
      </c>
    </row>
    <row r="4043" spans="8:8" x14ac:dyDescent="0.3">
      <c r="H4043" t="str">
        <f t="shared" si="112"/>
        <v/>
      </c>
    </row>
    <row r="4044" spans="8:8" x14ac:dyDescent="0.3">
      <c r="H4044" t="str">
        <f t="shared" si="112"/>
        <v/>
      </c>
    </row>
    <row r="4045" spans="8:8" x14ac:dyDescent="0.3">
      <c r="H4045" t="str">
        <f t="shared" si="112"/>
        <v/>
      </c>
    </row>
    <row r="4046" spans="8:8" x14ac:dyDescent="0.3">
      <c r="H4046" t="str">
        <f t="shared" si="112"/>
        <v/>
      </c>
    </row>
    <row r="4047" spans="8:8" x14ac:dyDescent="0.3">
      <c r="H4047" t="str">
        <f t="shared" si="112"/>
        <v/>
      </c>
    </row>
    <row r="4048" spans="8:8" x14ac:dyDescent="0.3">
      <c r="H4048" t="str">
        <f t="shared" si="112"/>
        <v/>
      </c>
    </row>
    <row r="4049" spans="8:8" x14ac:dyDescent="0.3">
      <c r="H4049" t="str">
        <f t="shared" si="112"/>
        <v/>
      </c>
    </row>
    <row r="4050" spans="8:8" x14ac:dyDescent="0.3">
      <c r="H4050" t="str">
        <f t="shared" si="112"/>
        <v/>
      </c>
    </row>
    <row r="4051" spans="8:8" x14ac:dyDescent="0.3">
      <c r="H4051" t="str">
        <f t="shared" si="112"/>
        <v/>
      </c>
    </row>
    <row r="4052" spans="8:8" x14ac:dyDescent="0.3">
      <c r="H4052" t="str">
        <f t="shared" si="112"/>
        <v/>
      </c>
    </row>
    <row r="4053" spans="8:8" x14ac:dyDescent="0.3">
      <c r="H4053" t="str">
        <f t="shared" si="112"/>
        <v/>
      </c>
    </row>
    <row r="4054" spans="8:8" x14ac:dyDescent="0.3">
      <c r="H4054" t="str">
        <f t="shared" si="112"/>
        <v/>
      </c>
    </row>
    <row r="4055" spans="8:8" x14ac:dyDescent="0.3">
      <c r="H4055" t="str">
        <f t="shared" ref="H4055:H4118" si="113">IF(B4055="","",$C$12)</f>
        <v/>
      </c>
    </row>
    <row r="4056" spans="8:8" x14ac:dyDescent="0.3">
      <c r="H4056" t="str">
        <f t="shared" si="113"/>
        <v/>
      </c>
    </row>
    <row r="4057" spans="8:8" x14ac:dyDescent="0.3">
      <c r="H4057" t="str">
        <f t="shared" si="113"/>
        <v/>
      </c>
    </row>
    <row r="4058" spans="8:8" x14ac:dyDescent="0.3">
      <c r="H4058" t="str">
        <f t="shared" si="113"/>
        <v/>
      </c>
    </row>
    <row r="4059" spans="8:8" x14ac:dyDescent="0.3">
      <c r="H4059" t="str">
        <f t="shared" si="113"/>
        <v/>
      </c>
    </row>
    <row r="4060" spans="8:8" x14ac:dyDescent="0.3">
      <c r="H4060" t="str">
        <f t="shared" si="113"/>
        <v/>
      </c>
    </row>
    <row r="4061" spans="8:8" x14ac:dyDescent="0.3">
      <c r="H4061" t="str">
        <f t="shared" si="113"/>
        <v/>
      </c>
    </row>
    <row r="4062" spans="8:8" x14ac:dyDescent="0.3">
      <c r="H4062" t="str">
        <f t="shared" si="113"/>
        <v/>
      </c>
    </row>
    <row r="4063" spans="8:8" x14ac:dyDescent="0.3">
      <c r="H4063" t="str">
        <f t="shared" si="113"/>
        <v/>
      </c>
    </row>
    <row r="4064" spans="8:8" x14ac:dyDescent="0.3">
      <c r="H4064" t="str">
        <f t="shared" si="113"/>
        <v/>
      </c>
    </row>
    <row r="4065" spans="8:8" x14ac:dyDescent="0.3">
      <c r="H4065" t="str">
        <f t="shared" si="113"/>
        <v/>
      </c>
    </row>
    <row r="4066" spans="8:8" x14ac:dyDescent="0.3">
      <c r="H4066" t="str">
        <f t="shared" si="113"/>
        <v/>
      </c>
    </row>
    <row r="4067" spans="8:8" x14ac:dyDescent="0.3">
      <c r="H4067" t="str">
        <f t="shared" si="113"/>
        <v/>
      </c>
    </row>
    <row r="4068" spans="8:8" x14ac:dyDescent="0.3">
      <c r="H4068" t="str">
        <f t="shared" si="113"/>
        <v/>
      </c>
    </row>
    <row r="4069" spans="8:8" x14ac:dyDescent="0.3">
      <c r="H4069" t="str">
        <f t="shared" si="113"/>
        <v/>
      </c>
    </row>
    <row r="4070" spans="8:8" x14ac:dyDescent="0.3">
      <c r="H4070" t="str">
        <f t="shared" si="113"/>
        <v/>
      </c>
    </row>
    <row r="4071" spans="8:8" x14ac:dyDescent="0.3">
      <c r="H4071" t="str">
        <f t="shared" si="113"/>
        <v/>
      </c>
    </row>
    <row r="4072" spans="8:8" x14ac:dyDescent="0.3">
      <c r="H4072" t="str">
        <f t="shared" si="113"/>
        <v/>
      </c>
    </row>
    <row r="4073" spans="8:8" x14ac:dyDescent="0.3">
      <c r="H4073" t="str">
        <f t="shared" si="113"/>
        <v/>
      </c>
    </row>
    <row r="4074" spans="8:8" x14ac:dyDescent="0.3">
      <c r="H4074" t="str">
        <f t="shared" si="113"/>
        <v/>
      </c>
    </row>
    <row r="4075" spans="8:8" x14ac:dyDescent="0.3">
      <c r="H4075" t="str">
        <f t="shared" si="113"/>
        <v/>
      </c>
    </row>
    <row r="4076" spans="8:8" x14ac:dyDescent="0.3">
      <c r="H4076" t="str">
        <f t="shared" si="113"/>
        <v/>
      </c>
    </row>
    <row r="4077" spans="8:8" x14ac:dyDescent="0.3">
      <c r="H4077" t="str">
        <f t="shared" si="113"/>
        <v/>
      </c>
    </row>
    <row r="4078" spans="8:8" x14ac:dyDescent="0.3">
      <c r="H4078" t="str">
        <f t="shared" si="113"/>
        <v/>
      </c>
    </row>
    <row r="4079" spans="8:8" x14ac:dyDescent="0.3">
      <c r="H4079" t="str">
        <f t="shared" si="113"/>
        <v/>
      </c>
    </row>
    <row r="4080" spans="8:8" x14ac:dyDescent="0.3">
      <c r="H4080" t="str">
        <f t="shared" si="113"/>
        <v/>
      </c>
    </row>
    <row r="4081" spans="8:8" x14ac:dyDescent="0.3">
      <c r="H4081" t="str">
        <f t="shared" si="113"/>
        <v/>
      </c>
    </row>
    <row r="4082" spans="8:8" x14ac:dyDescent="0.3">
      <c r="H4082" t="str">
        <f t="shared" si="113"/>
        <v/>
      </c>
    </row>
    <row r="4083" spans="8:8" x14ac:dyDescent="0.3">
      <c r="H4083" t="str">
        <f t="shared" si="113"/>
        <v/>
      </c>
    </row>
    <row r="4084" spans="8:8" x14ac:dyDescent="0.3">
      <c r="H4084" t="str">
        <f t="shared" si="113"/>
        <v/>
      </c>
    </row>
    <row r="4085" spans="8:8" x14ac:dyDescent="0.3">
      <c r="H4085" t="str">
        <f t="shared" si="113"/>
        <v/>
      </c>
    </row>
    <row r="4086" spans="8:8" x14ac:dyDescent="0.3">
      <c r="H4086" t="str">
        <f t="shared" si="113"/>
        <v/>
      </c>
    </row>
    <row r="4087" spans="8:8" x14ac:dyDescent="0.3">
      <c r="H4087" t="str">
        <f t="shared" si="113"/>
        <v/>
      </c>
    </row>
    <row r="4088" spans="8:8" x14ac:dyDescent="0.3">
      <c r="H4088" t="str">
        <f t="shared" si="113"/>
        <v/>
      </c>
    </row>
    <row r="4089" spans="8:8" x14ac:dyDescent="0.3">
      <c r="H4089" t="str">
        <f t="shared" si="113"/>
        <v/>
      </c>
    </row>
    <row r="4090" spans="8:8" x14ac:dyDescent="0.3">
      <c r="H4090" t="str">
        <f t="shared" si="113"/>
        <v/>
      </c>
    </row>
    <row r="4091" spans="8:8" x14ac:dyDescent="0.3">
      <c r="H4091" t="str">
        <f t="shared" si="113"/>
        <v/>
      </c>
    </row>
    <row r="4092" spans="8:8" x14ac:dyDescent="0.3">
      <c r="H4092" t="str">
        <f t="shared" si="113"/>
        <v/>
      </c>
    </row>
    <row r="4093" spans="8:8" x14ac:dyDescent="0.3">
      <c r="H4093" t="str">
        <f t="shared" si="113"/>
        <v/>
      </c>
    </row>
    <row r="4094" spans="8:8" x14ac:dyDescent="0.3">
      <c r="H4094" t="str">
        <f t="shared" si="113"/>
        <v/>
      </c>
    </row>
    <row r="4095" spans="8:8" x14ac:dyDescent="0.3">
      <c r="H4095" t="str">
        <f t="shared" si="113"/>
        <v/>
      </c>
    </row>
    <row r="4096" spans="8:8" x14ac:dyDescent="0.3">
      <c r="H4096" t="str">
        <f t="shared" si="113"/>
        <v/>
      </c>
    </row>
    <row r="4097" spans="8:8" x14ac:dyDescent="0.3">
      <c r="H4097" t="str">
        <f t="shared" si="113"/>
        <v/>
      </c>
    </row>
    <row r="4098" spans="8:8" x14ac:dyDescent="0.3">
      <c r="H4098" t="str">
        <f t="shared" si="113"/>
        <v/>
      </c>
    </row>
    <row r="4099" spans="8:8" x14ac:dyDescent="0.3">
      <c r="H4099" t="str">
        <f t="shared" si="113"/>
        <v/>
      </c>
    </row>
    <row r="4100" spans="8:8" x14ac:dyDescent="0.3">
      <c r="H4100" t="str">
        <f t="shared" si="113"/>
        <v/>
      </c>
    </row>
    <row r="4101" spans="8:8" x14ac:dyDescent="0.3">
      <c r="H4101" t="str">
        <f t="shared" si="113"/>
        <v/>
      </c>
    </row>
    <row r="4102" spans="8:8" x14ac:dyDescent="0.3">
      <c r="H4102" t="str">
        <f t="shared" si="113"/>
        <v/>
      </c>
    </row>
    <row r="4103" spans="8:8" x14ac:dyDescent="0.3">
      <c r="H4103" t="str">
        <f t="shared" si="113"/>
        <v/>
      </c>
    </row>
    <row r="4104" spans="8:8" x14ac:dyDescent="0.3">
      <c r="H4104" t="str">
        <f t="shared" si="113"/>
        <v/>
      </c>
    </row>
    <row r="4105" spans="8:8" x14ac:dyDescent="0.3">
      <c r="H4105" t="str">
        <f t="shared" si="113"/>
        <v/>
      </c>
    </row>
    <row r="4106" spans="8:8" x14ac:dyDescent="0.3">
      <c r="H4106" t="str">
        <f t="shared" si="113"/>
        <v/>
      </c>
    </row>
    <row r="4107" spans="8:8" x14ac:dyDescent="0.3">
      <c r="H4107" t="str">
        <f t="shared" si="113"/>
        <v/>
      </c>
    </row>
    <row r="4108" spans="8:8" x14ac:dyDescent="0.3">
      <c r="H4108" t="str">
        <f t="shared" si="113"/>
        <v/>
      </c>
    </row>
    <row r="4109" spans="8:8" x14ac:dyDescent="0.3">
      <c r="H4109" t="str">
        <f t="shared" si="113"/>
        <v/>
      </c>
    </row>
    <row r="4110" spans="8:8" x14ac:dyDescent="0.3">
      <c r="H4110" t="str">
        <f t="shared" si="113"/>
        <v/>
      </c>
    </row>
    <row r="4111" spans="8:8" x14ac:dyDescent="0.3">
      <c r="H4111" t="str">
        <f t="shared" si="113"/>
        <v/>
      </c>
    </row>
    <row r="4112" spans="8:8" x14ac:dyDescent="0.3">
      <c r="H4112" t="str">
        <f t="shared" si="113"/>
        <v/>
      </c>
    </row>
    <row r="4113" spans="8:8" x14ac:dyDescent="0.3">
      <c r="H4113" t="str">
        <f t="shared" si="113"/>
        <v/>
      </c>
    </row>
    <row r="4114" spans="8:8" x14ac:dyDescent="0.3">
      <c r="H4114" t="str">
        <f t="shared" si="113"/>
        <v/>
      </c>
    </row>
    <row r="4115" spans="8:8" x14ac:dyDescent="0.3">
      <c r="H4115" t="str">
        <f t="shared" si="113"/>
        <v/>
      </c>
    </row>
    <row r="4116" spans="8:8" x14ac:dyDescent="0.3">
      <c r="H4116" t="str">
        <f t="shared" si="113"/>
        <v/>
      </c>
    </row>
    <row r="4117" spans="8:8" x14ac:dyDescent="0.3">
      <c r="H4117" t="str">
        <f t="shared" si="113"/>
        <v/>
      </c>
    </row>
    <row r="4118" spans="8:8" x14ac:dyDescent="0.3">
      <c r="H4118" t="str">
        <f t="shared" si="113"/>
        <v/>
      </c>
    </row>
    <row r="4119" spans="8:8" x14ac:dyDescent="0.3">
      <c r="H4119" t="str">
        <f t="shared" ref="H4119:H4182" si="114">IF(B4119="","",$C$12)</f>
        <v/>
      </c>
    </row>
    <row r="4120" spans="8:8" x14ac:dyDescent="0.3">
      <c r="H4120" t="str">
        <f t="shared" si="114"/>
        <v/>
      </c>
    </row>
    <row r="4121" spans="8:8" x14ac:dyDescent="0.3">
      <c r="H4121" t="str">
        <f t="shared" si="114"/>
        <v/>
      </c>
    </row>
    <row r="4122" spans="8:8" x14ac:dyDescent="0.3">
      <c r="H4122" t="str">
        <f t="shared" si="114"/>
        <v/>
      </c>
    </row>
    <row r="4123" spans="8:8" x14ac:dyDescent="0.3">
      <c r="H4123" t="str">
        <f t="shared" si="114"/>
        <v/>
      </c>
    </row>
    <row r="4124" spans="8:8" x14ac:dyDescent="0.3">
      <c r="H4124" t="str">
        <f t="shared" si="114"/>
        <v/>
      </c>
    </row>
    <row r="4125" spans="8:8" x14ac:dyDescent="0.3">
      <c r="H4125" t="str">
        <f t="shared" si="114"/>
        <v/>
      </c>
    </row>
    <row r="4126" spans="8:8" x14ac:dyDescent="0.3">
      <c r="H4126" t="str">
        <f t="shared" si="114"/>
        <v/>
      </c>
    </row>
    <row r="4127" spans="8:8" x14ac:dyDescent="0.3">
      <c r="H4127" t="str">
        <f t="shared" si="114"/>
        <v/>
      </c>
    </row>
    <row r="4128" spans="8:8" x14ac:dyDescent="0.3">
      <c r="H4128" t="str">
        <f t="shared" si="114"/>
        <v/>
      </c>
    </row>
    <row r="4129" spans="8:8" x14ac:dyDescent="0.3">
      <c r="H4129" t="str">
        <f t="shared" si="114"/>
        <v/>
      </c>
    </row>
    <row r="4130" spans="8:8" x14ac:dyDescent="0.3">
      <c r="H4130" t="str">
        <f t="shared" si="114"/>
        <v/>
      </c>
    </row>
    <row r="4131" spans="8:8" x14ac:dyDescent="0.3">
      <c r="H4131" t="str">
        <f t="shared" si="114"/>
        <v/>
      </c>
    </row>
    <row r="4132" spans="8:8" x14ac:dyDescent="0.3">
      <c r="H4132" t="str">
        <f t="shared" si="114"/>
        <v/>
      </c>
    </row>
    <row r="4133" spans="8:8" x14ac:dyDescent="0.3">
      <c r="H4133" t="str">
        <f t="shared" si="114"/>
        <v/>
      </c>
    </row>
    <row r="4134" spans="8:8" x14ac:dyDescent="0.3">
      <c r="H4134" t="str">
        <f t="shared" si="114"/>
        <v/>
      </c>
    </row>
    <row r="4135" spans="8:8" x14ac:dyDescent="0.3">
      <c r="H4135" t="str">
        <f t="shared" si="114"/>
        <v/>
      </c>
    </row>
    <row r="4136" spans="8:8" x14ac:dyDescent="0.3">
      <c r="H4136" t="str">
        <f t="shared" si="114"/>
        <v/>
      </c>
    </row>
    <row r="4137" spans="8:8" x14ac:dyDescent="0.3">
      <c r="H4137" t="str">
        <f t="shared" si="114"/>
        <v/>
      </c>
    </row>
    <row r="4138" spans="8:8" x14ac:dyDescent="0.3">
      <c r="H4138" t="str">
        <f t="shared" si="114"/>
        <v/>
      </c>
    </row>
    <row r="4139" spans="8:8" x14ac:dyDescent="0.3">
      <c r="H4139" t="str">
        <f t="shared" si="114"/>
        <v/>
      </c>
    </row>
    <row r="4140" spans="8:8" x14ac:dyDescent="0.3">
      <c r="H4140" t="str">
        <f t="shared" si="114"/>
        <v/>
      </c>
    </row>
    <row r="4141" spans="8:8" x14ac:dyDescent="0.3">
      <c r="H4141" t="str">
        <f t="shared" si="114"/>
        <v/>
      </c>
    </row>
    <row r="4142" spans="8:8" x14ac:dyDescent="0.3">
      <c r="H4142" t="str">
        <f t="shared" si="114"/>
        <v/>
      </c>
    </row>
    <row r="4143" spans="8:8" x14ac:dyDescent="0.3">
      <c r="H4143" t="str">
        <f t="shared" si="114"/>
        <v/>
      </c>
    </row>
    <row r="4144" spans="8:8" x14ac:dyDescent="0.3">
      <c r="H4144" t="str">
        <f t="shared" si="114"/>
        <v/>
      </c>
    </row>
    <row r="4145" spans="8:8" x14ac:dyDescent="0.3">
      <c r="H4145" t="str">
        <f t="shared" si="114"/>
        <v/>
      </c>
    </row>
    <row r="4146" spans="8:8" x14ac:dyDescent="0.3">
      <c r="H4146" t="str">
        <f t="shared" si="114"/>
        <v/>
      </c>
    </row>
    <row r="4147" spans="8:8" x14ac:dyDescent="0.3">
      <c r="H4147" t="str">
        <f t="shared" si="114"/>
        <v/>
      </c>
    </row>
    <row r="4148" spans="8:8" x14ac:dyDescent="0.3">
      <c r="H4148" t="str">
        <f t="shared" si="114"/>
        <v/>
      </c>
    </row>
    <row r="4149" spans="8:8" x14ac:dyDescent="0.3">
      <c r="H4149" t="str">
        <f t="shared" si="114"/>
        <v/>
      </c>
    </row>
    <row r="4150" spans="8:8" x14ac:dyDescent="0.3">
      <c r="H4150" t="str">
        <f t="shared" si="114"/>
        <v/>
      </c>
    </row>
    <row r="4151" spans="8:8" x14ac:dyDescent="0.3">
      <c r="H4151" t="str">
        <f t="shared" si="114"/>
        <v/>
      </c>
    </row>
    <row r="4152" spans="8:8" x14ac:dyDescent="0.3">
      <c r="H4152" t="str">
        <f t="shared" si="114"/>
        <v/>
      </c>
    </row>
    <row r="4153" spans="8:8" x14ac:dyDescent="0.3">
      <c r="H4153" t="str">
        <f t="shared" si="114"/>
        <v/>
      </c>
    </row>
    <row r="4154" spans="8:8" x14ac:dyDescent="0.3">
      <c r="H4154" t="str">
        <f t="shared" si="114"/>
        <v/>
      </c>
    </row>
    <row r="4155" spans="8:8" x14ac:dyDescent="0.3">
      <c r="H4155" t="str">
        <f t="shared" si="114"/>
        <v/>
      </c>
    </row>
    <row r="4156" spans="8:8" x14ac:dyDescent="0.3">
      <c r="H4156" t="str">
        <f t="shared" si="114"/>
        <v/>
      </c>
    </row>
    <row r="4157" spans="8:8" x14ac:dyDescent="0.3">
      <c r="H4157" t="str">
        <f t="shared" si="114"/>
        <v/>
      </c>
    </row>
    <row r="4158" spans="8:8" x14ac:dyDescent="0.3">
      <c r="H4158" t="str">
        <f t="shared" si="114"/>
        <v/>
      </c>
    </row>
    <row r="4159" spans="8:8" x14ac:dyDescent="0.3">
      <c r="H4159" t="str">
        <f t="shared" si="114"/>
        <v/>
      </c>
    </row>
    <row r="4160" spans="8:8" x14ac:dyDescent="0.3">
      <c r="H4160" t="str">
        <f t="shared" si="114"/>
        <v/>
      </c>
    </row>
    <row r="4161" spans="8:8" x14ac:dyDescent="0.3">
      <c r="H4161" t="str">
        <f t="shared" si="114"/>
        <v/>
      </c>
    </row>
    <row r="4162" spans="8:8" x14ac:dyDescent="0.3">
      <c r="H4162" t="str">
        <f t="shared" si="114"/>
        <v/>
      </c>
    </row>
    <row r="4163" spans="8:8" x14ac:dyDescent="0.3">
      <c r="H4163" t="str">
        <f t="shared" si="114"/>
        <v/>
      </c>
    </row>
    <row r="4164" spans="8:8" x14ac:dyDescent="0.3">
      <c r="H4164" t="str">
        <f t="shared" si="114"/>
        <v/>
      </c>
    </row>
    <row r="4165" spans="8:8" x14ac:dyDescent="0.3">
      <c r="H4165" t="str">
        <f t="shared" si="114"/>
        <v/>
      </c>
    </row>
    <row r="4166" spans="8:8" x14ac:dyDescent="0.3">
      <c r="H4166" t="str">
        <f t="shared" si="114"/>
        <v/>
      </c>
    </row>
    <row r="4167" spans="8:8" x14ac:dyDescent="0.3">
      <c r="H4167" t="str">
        <f t="shared" si="114"/>
        <v/>
      </c>
    </row>
    <row r="4168" spans="8:8" x14ac:dyDescent="0.3">
      <c r="H4168" t="str">
        <f t="shared" si="114"/>
        <v/>
      </c>
    </row>
    <row r="4169" spans="8:8" x14ac:dyDescent="0.3">
      <c r="H4169" t="str">
        <f t="shared" si="114"/>
        <v/>
      </c>
    </row>
    <row r="4170" spans="8:8" x14ac:dyDescent="0.3">
      <c r="H4170" t="str">
        <f t="shared" si="114"/>
        <v/>
      </c>
    </row>
    <row r="4171" spans="8:8" x14ac:dyDescent="0.3">
      <c r="H4171" t="str">
        <f t="shared" si="114"/>
        <v/>
      </c>
    </row>
    <row r="4172" spans="8:8" x14ac:dyDescent="0.3">
      <c r="H4172" t="str">
        <f t="shared" si="114"/>
        <v/>
      </c>
    </row>
    <row r="4173" spans="8:8" x14ac:dyDescent="0.3">
      <c r="H4173" t="str">
        <f t="shared" si="114"/>
        <v/>
      </c>
    </row>
    <row r="4174" spans="8:8" x14ac:dyDescent="0.3">
      <c r="H4174" t="str">
        <f t="shared" si="114"/>
        <v/>
      </c>
    </row>
    <row r="4175" spans="8:8" x14ac:dyDescent="0.3">
      <c r="H4175" t="str">
        <f t="shared" si="114"/>
        <v/>
      </c>
    </row>
    <row r="4176" spans="8:8" x14ac:dyDescent="0.3">
      <c r="H4176" t="str">
        <f t="shared" si="114"/>
        <v/>
      </c>
    </row>
    <row r="4177" spans="8:8" x14ac:dyDescent="0.3">
      <c r="H4177" t="str">
        <f t="shared" si="114"/>
        <v/>
      </c>
    </row>
    <row r="4178" spans="8:8" x14ac:dyDescent="0.3">
      <c r="H4178" t="str">
        <f t="shared" si="114"/>
        <v/>
      </c>
    </row>
    <row r="4179" spans="8:8" x14ac:dyDescent="0.3">
      <c r="H4179" t="str">
        <f t="shared" si="114"/>
        <v/>
      </c>
    </row>
    <row r="4180" spans="8:8" x14ac:dyDescent="0.3">
      <c r="H4180" t="str">
        <f t="shared" si="114"/>
        <v/>
      </c>
    </row>
    <row r="4181" spans="8:8" x14ac:dyDescent="0.3">
      <c r="H4181" t="str">
        <f t="shared" si="114"/>
        <v/>
      </c>
    </row>
    <row r="4182" spans="8:8" x14ac:dyDescent="0.3">
      <c r="H4182" t="str">
        <f t="shared" si="114"/>
        <v/>
      </c>
    </row>
    <row r="4183" spans="8:8" x14ac:dyDescent="0.3">
      <c r="H4183" t="str">
        <f t="shared" ref="H4183:H4246" si="115">IF(B4183="","",$C$12)</f>
        <v/>
      </c>
    </row>
    <row r="4184" spans="8:8" x14ac:dyDescent="0.3">
      <c r="H4184" t="str">
        <f t="shared" si="115"/>
        <v/>
      </c>
    </row>
    <row r="4185" spans="8:8" x14ac:dyDescent="0.3">
      <c r="H4185" t="str">
        <f t="shared" si="115"/>
        <v/>
      </c>
    </row>
    <row r="4186" spans="8:8" x14ac:dyDescent="0.3">
      <c r="H4186" t="str">
        <f t="shared" si="115"/>
        <v/>
      </c>
    </row>
    <row r="4187" spans="8:8" x14ac:dyDescent="0.3">
      <c r="H4187" t="str">
        <f t="shared" si="115"/>
        <v/>
      </c>
    </row>
    <row r="4188" spans="8:8" x14ac:dyDescent="0.3">
      <c r="H4188" t="str">
        <f t="shared" si="115"/>
        <v/>
      </c>
    </row>
    <row r="4189" spans="8:8" x14ac:dyDescent="0.3">
      <c r="H4189" t="str">
        <f t="shared" si="115"/>
        <v/>
      </c>
    </row>
    <row r="4190" spans="8:8" x14ac:dyDescent="0.3">
      <c r="H4190" t="str">
        <f t="shared" si="115"/>
        <v/>
      </c>
    </row>
    <row r="4191" spans="8:8" x14ac:dyDescent="0.3">
      <c r="H4191" t="str">
        <f t="shared" si="115"/>
        <v/>
      </c>
    </row>
    <row r="4192" spans="8:8" x14ac:dyDescent="0.3">
      <c r="H4192" t="str">
        <f t="shared" si="115"/>
        <v/>
      </c>
    </row>
    <row r="4193" spans="8:8" x14ac:dyDescent="0.3">
      <c r="H4193" t="str">
        <f t="shared" si="115"/>
        <v/>
      </c>
    </row>
    <row r="4194" spans="8:8" x14ac:dyDescent="0.3">
      <c r="H4194" t="str">
        <f t="shared" si="115"/>
        <v/>
      </c>
    </row>
    <row r="4195" spans="8:8" x14ac:dyDescent="0.3">
      <c r="H4195" t="str">
        <f t="shared" si="115"/>
        <v/>
      </c>
    </row>
    <row r="4196" spans="8:8" x14ac:dyDescent="0.3">
      <c r="H4196" t="str">
        <f t="shared" si="115"/>
        <v/>
      </c>
    </row>
    <row r="4197" spans="8:8" x14ac:dyDescent="0.3">
      <c r="H4197" t="str">
        <f t="shared" si="115"/>
        <v/>
      </c>
    </row>
    <row r="4198" spans="8:8" x14ac:dyDescent="0.3">
      <c r="H4198" t="str">
        <f t="shared" si="115"/>
        <v/>
      </c>
    </row>
    <row r="4199" spans="8:8" x14ac:dyDescent="0.3">
      <c r="H4199" t="str">
        <f t="shared" si="115"/>
        <v/>
      </c>
    </row>
    <row r="4200" spans="8:8" x14ac:dyDescent="0.3">
      <c r="H4200" t="str">
        <f t="shared" si="115"/>
        <v/>
      </c>
    </row>
    <row r="4201" spans="8:8" x14ac:dyDescent="0.3">
      <c r="H4201" t="str">
        <f t="shared" si="115"/>
        <v/>
      </c>
    </row>
    <row r="4202" spans="8:8" x14ac:dyDescent="0.3">
      <c r="H4202" t="str">
        <f t="shared" si="115"/>
        <v/>
      </c>
    </row>
    <row r="4203" spans="8:8" x14ac:dyDescent="0.3">
      <c r="H4203" t="str">
        <f t="shared" si="115"/>
        <v/>
      </c>
    </row>
    <row r="4204" spans="8:8" x14ac:dyDescent="0.3">
      <c r="H4204" t="str">
        <f t="shared" si="115"/>
        <v/>
      </c>
    </row>
    <row r="4205" spans="8:8" x14ac:dyDescent="0.3">
      <c r="H4205" t="str">
        <f t="shared" si="115"/>
        <v/>
      </c>
    </row>
    <row r="4206" spans="8:8" x14ac:dyDescent="0.3">
      <c r="H4206" t="str">
        <f t="shared" si="115"/>
        <v/>
      </c>
    </row>
    <row r="4207" spans="8:8" x14ac:dyDescent="0.3">
      <c r="H4207" t="str">
        <f t="shared" si="115"/>
        <v/>
      </c>
    </row>
    <row r="4208" spans="8:8" x14ac:dyDescent="0.3">
      <c r="H4208" t="str">
        <f t="shared" si="115"/>
        <v/>
      </c>
    </row>
    <row r="4209" spans="8:8" x14ac:dyDescent="0.3">
      <c r="H4209" t="str">
        <f t="shared" si="115"/>
        <v/>
      </c>
    </row>
    <row r="4210" spans="8:8" x14ac:dyDescent="0.3">
      <c r="H4210" t="str">
        <f t="shared" si="115"/>
        <v/>
      </c>
    </row>
    <row r="4211" spans="8:8" x14ac:dyDescent="0.3">
      <c r="H4211" t="str">
        <f t="shared" si="115"/>
        <v/>
      </c>
    </row>
    <row r="4212" spans="8:8" x14ac:dyDescent="0.3">
      <c r="H4212" t="str">
        <f t="shared" si="115"/>
        <v/>
      </c>
    </row>
    <row r="4213" spans="8:8" x14ac:dyDescent="0.3">
      <c r="H4213" t="str">
        <f t="shared" si="115"/>
        <v/>
      </c>
    </row>
    <row r="4214" spans="8:8" x14ac:dyDescent="0.3">
      <c r="H4214" t="str">
        <f t="shared" si="115"/>
        <v/>
      </c>
    </row>
    <row r="4215" spans="8:8" x14ac:dyDescent="0.3">
      <c r="H4215" t="str">
        <f t="shared" si="115"/>
        <v/>
      </c>
    </row>
    <row r="4216" spans="8:8" x14ac:dyDescent="0.3">
      <c r="H4216" t="str">
        <f t="shared" si="115"/>
        <v/>
      </c>
    </row>
    <row r="4217" spans="8:8" x14ac:dyDescent="0.3">
      <c r="H4217" t="str">
        <f t="shared" si="115"/>
        <v/>
      </c>
    </row>
    <row r="4218" spans="8:8" x14ac:dyDescent="0.3">
      <c r="H4218" t="str">
        <f t="shared" si="115"/>
        <v/>
      </c>
    </row>
    <row r="4219" spans="8:8" x14ac:dyDescent="0.3">
      <c r="H4219" t="str">
        <f t="shared" si="115"/>
        <v/>
      </c>
    </row>
    <row r="4220" spans="8:8" x14ac:dyDescent="0.3">
      <c r="H4220" t="str">
        <f t="shared" si="115"/>
        <v/>
      </c>
    </row>
    <row r="4221" spans="8:8" x14ac:dyDescent="0.3">
      <c r="H4221" t="str">
        <f t="shared" si="115"/>
        <v/>
      </c>
    </row>
    <row r="4222" spans="8:8" x14ac:dyDescent="0.3">
      <c r="H4222" t="str">
        <f t="shared" si="115"/>
        <v/>
      </c>
    </row>
    <row r="4223" spans="8:8" x14ac:dyDescent="0.3">
      <c r="H4223" t="str">
        <f t="shared" si="115"/>
        <v/>
      </c>
    </row>
    <row r="4224" spans="8:8" x14ac:dyDescent="0.3">
      <c r="H4224" t="str">
        <f t="shared" si="115"/>
        <v/>
      </c>
    </row>
    <row r="4225" spans="8:8" x14ac:dyDescent="0.3">
      <c r="H4225" t="str">
        <f t="shared" si="115"/>
        <v/>
      </c>
    </row>
    <row r="4226" spans="8:8" x14ac:dyDescent="0.3">
      <c r="H4226" t="str">
        <f t="shared" si="115"/>
        <v/>
      </c>
    </row>
    <row r="4227" spans="8:8" x14ac:dyDescent="0.3">
      <c r="H4227" t="str">
        <f t="shared" si="115"/>
        <v/>
      </c>
    </row>
    <row r="4228" spans="8:8" x14ac:dyDescent="0.3">
      <c r="H4228" t="str">
        <f t="shared" si="115"/>
        <v/>
      </c>
    </row>
    <row r="4229" spans="8:8" x14ac:dyDescent="0.3">
      <c r="H4229" t="str">
        <f t="shared" si="115"/>
        <v/>
      </c>
    </row>
    <row r="4230" spans="8:8" x14ac:dyDescent="0.3">
      <c r="H4230" t="str">
        <f t="shared" si="115"/>
        <v/>
      </c>
    </row>
    <row r="4231" spans="8:8" x14ac:dyDescent="0.3">
      <c r="H4231" t="str">
        <f t="shared" si="115"/>
        <v/>
      </c>
    </row>
    <row r="4232" spans="8:8" x14ac:dyDescent="0.3">
      <c r="H4232" t="str">
        <f t="shared" si="115"/>
        <v/>
      </c>
    </row>
    <row r="4233" spans="8:8" x14ac:dyDescent="0.3">
      <c r="H4233" t="str">
        <f t="shared" si="115"/>
        <v/>
      </c>
    </row>
    <row r="4234" spans="8:8" x14ac:dyDescent="0.3">
      <c r="H4234" t="str">
        <f t="shared" si="115"/>
        <v/>
      </c>
    </row>
    <row r="4235" spans="8:8" x14ac:dyDescent="0.3">
      <c r="H4235" t="str">
        <f t="shared" si="115"/>
        <v/>
      </c>
    </row>
    <row r="4236" spans="8:8" x14ac:dyDescent="0.3">
      <c r="H4236" t="str">
        <f t="shared" si="115"/>
        <v/>
      </c>
    </row>
    <row r="4237" spans="8:8" x14ac:dyDescent="0.3">
      <c r="H4237" t="str">
        <f t="shared" si="115"/>
        <v/>
      </c>
    </row>
    <row r="4238" spans="8:8" x14ac:dyDescent="0.3">
      <c r="H4238" t="str">
        <f t="shared" si="115"/>
        <v/>
      </c>
    </row>
    <row r="4239" spans="8:8" x14ac:dyDescent="0.3">
      <c r="H4239" t="str">
        <f t="shared" si="115"/>
        <v/>
      </c>
    </row>
    <row r="4240" spans="8:8" x14ac:dyDescent="0.3">
      <c r="H4240" t="str">
        <f t="shared" si="115"/>
        <v/>
      </c>
    </row>
    <row r="4241" spans="8:8" x14ac:dyDescent="0.3">
      <c r="H4241" t="str">
        <f t="shared" si="115"/>
        <v/>
      </c>
    </row>
    <row r="4242" spans="8:8" x14ac:dyDescent="0.3">
      <c r="H4242" t="str">
        <f t="shared" si="115"/>
        <v/>
      </c>
    </row>
    <row r="4243" spans="8:8" x14ac:dyDescent="0.3">
      <c r="H4243" t="str">
        <f t="shared" si="115"/>
        <v/>
      </c>
    </row>
    <row r="4244" spans="8:8" x14ac:dyDescent="0.3">
      <c r="H4244" t="str">
        <f t="shared" si="115"/>
        <v/>
      </c>
    </row>
    <row r="4245" spans="8:8" x14ac:dyDescent="0.3">
      <c r="H4245" t="str">
        <f t="shared" si="115"/>
        <v/>
      </c>
    </row>
    <row r="4246" spans="8:8" x14ac:dyDescent="0.3">
      <c r="H4246" t="str">
        <f t="shared" si="115"/>
        <v/>
      </c>
    </row>
    <row r="4247" spans="8:8" x14ac:dyDescent="0.3">
      <c r="H4247" t="str">
        <f t="shared" ref="H4247:H4310" si="116">IF(B4247="","",$C$12)</f>
        <v/>
      </c>
    </row>
    <row r="4248" spans="8:8" x14ac:dyDescent="0.3">
      <c r="H4248" t="str">
        <f t="shared" si="116"/>
        <v/>
      </c>
    </row>
    <row r="4249" spans="8:8" x14ac:dyDescent="0.3">
      <c r="H4249" t="str">
        <f t="shared" si="116"/>
        <v/>
      </c>
    </row>
    <row r="4250" spans="8:8" x14ac:dyDescent="0.3">
      <c r="H4250" t="str">
        <f t="shared" si="116"/>
        <v/>
      </c>
    </row>
    <row r="4251" spans="8:8" x14ac:dyDescent="0.3">
      <c r="H4251" t="str">
        <f t="shared" si="116"/>
        <v/>
      </c>
    </row>
    <row r="4252" spans="8:8" x14ac:dyDescent="0.3">
      <c r="H4252" t="str">
        <f t="shared" si="116"/>
        <v/>
      </c>
    </row>
    <row r="4253" spans="8:8" x14ac:dyDescent="0.3">
      <c r="H4253" t="str">
        <f t="shared" si="116"/>
        <v/>
      </c>
    </row>
    <row r="4254" spans="8:8" x14ac:dyDescent="0.3">
      <c r="H4254" t="str">
        <f t="shared" si="116"/>
        <v/>
      </c>
    </row>
    <row r="4255" spans="8:8" x14ac:dyDescent="0.3">
      <c r="H4255" t="str">
        <f t="shared" si="116"/>
        <v/>
      </c>
    </row>
    <row r="4256" spans="8:8" x14ac:dyDescent="0.3">
      <c r="H4256" t="str">
        <f t="shared" si="116"/>
        <v/>
      </c>
    </row>
    <row r="4257" spans="8:8" x14ac:dyDescent="0.3">
      <c r="H4257" t="str">
        <f t="shared" si="116"/>
        <v/>
      </c>
    </row>
    <row r="4258" spans="8:8" x14ac:dyDescent="0.3">
      <c r="H4258" t="str">
        <f t="shared" si="116"/>
        <v/>
      </c>
    </row>
    <row r="4259" spans="8:8" x14ac:dyDescent="0.3">
      <c r="H4259" t="str">
        <f t="shared" si="116"/>
        <v/>
      </c>
    </row>
    <row r="4260" spans="8:8" x14ac:dyDescent="0.3">
      <c r="H4260" t="str">
        <f t="shared" si="116"/>
        <v/>
      </c>
    </row>
    <row r="4261" spans="8:8" x14ac:dyDescent="0.3">
      <c r="H4261" t="str">
        <f t="shared" si="116"/>
        <v/>
      </c>
    </row>
    <row r="4262" spans="8:8" x14ac:dyDescent="0.3">
      <c r="H4262" t="str">
        <f t="shared" si="116"/>
        <v/>
      </c>
    </row>
    <row r="4263" spans="8:8" x14ac:dyDescent="0.3">
      <c r="H4263" t="str">
        <f t="shared" si="116"/>
        <v/>
      </c>
    </row>
    <row r="4264" spans="8:8" x14ac:dyDescent="0.3">
      <c r="H4264" t="str">
        <f t="shared" si="116"/>
        <v/>
      </c>
    </row>
    <row r="4265" spans="8:8" x14ac:dyDescent="0.3">
      <c r="H4265" t="str">
        <f t="shared" si="116"/>
        <v/>
      </c>
    </row>
    <row r="4266" spans="8:8" x14ac:dyDescent="0.3">
      <c r="H4266" t="str">
        <f t="shared" si="116"/>
        <v/>
      </c>
    </row>
    <row r="4267" spans="8:8" x14ac:dyDescent="0.3">
      <c r="H4267" t="str">
        <f t="shared" si="116"/>
        <v/>
      </c>
    </row>
    <row r="4268" spans="8:8" x14ac:dyDescent="0.3">
      <c r="H4268" t="str">
        <f t="shared" si="116"/>
        <v/>
      </c>
    </row>
    <row r="4269" spans="8:8" x14ac:dyDescent="0.3">
      <c r="H4269" t="str">
        <f t="shared" si="116"/>
        <v/>
      </c>
    </row>
    <row r="4270" spans="8:8" x14ac:dyDescent="0.3">
      <c r="H4270" t="str">
        <f t="shared" si="116"/>
        <v/>
      </c>
    </row>
    <row r="4271" spans="8:8" x14ac:dyDescent="0.3">
      <c r="H4271" t="str">
        <f t="shared" si="116"/>
        <v/>
      </c>
    </row>
    <row r="4272" spans="8:8" x14ac:dyDescent="0.3">
      <c r="H4272" t="str">
        <f t="shared" si="116"/>
        <v/>
      </c>
    </row>
    <row r="4273" spans="8:8" x14ac:dyDescent="0.3">
      <c r="H4273" t="str">
        <f t="shared" si="116"/>
        <v/>
      </c>
    </row>
    <row r="4274" spans="8:8" x14ac:dyDescent="0.3">
      <c r="H4274" t="str">
        <f t="shared" si="116"/>
        <v/>
      </c>
    </row>
    <row r="4275" spans="8:8" x14ac:dyDescent="0.3">
      <c r="H4275" t="str">
        <f t="shared" si="116"/>
        <v/>
      </c>
    </row>
    <row r="4276" spans="8:8" x14ac:dyDescent="0.3">
      <c r="H4276" t="str">
        <f t="shared" si="116"/>
        <v/>
      </c>
    </row>
    <row r="4277" spans="8:8" x14ac:dyDescent="0.3">
      <c r="H4277" t="str">
        <f t="shared" si="116"/>
        <v/>
      </c>
    </row>
    <row r="4278" spans="8:8" x14ac:dyDescent="0.3">
      <c r="H4278" t="str">
        <f t="shared" si="116"/>
        <v/>
      </c>
    </row>
    <row r="4279" spans="8:8" x14ac:dyDescent="0.3">
      <c r="H4279" t="str">
        <f t="shared" si="116"/>
        <v/>
      </c>
    </row>
    <row r="4280" spans="8:8" x14ac:dyDescent="0.3">
      <c r="H4280" t="str">
        <f t="shared" si="116"/>
        <v/>
      </c>
    </row>
    <row r="4281" spans="8:8" x14ac:dyDescent="0.3">
      <c r="H4281" t="str">
        <f t="shared" si="116"/>
        <v/>
      </c>
    </row>
    <row r="4282" spans="8:8" x14ac:dyDescent="0.3">
      <c r="H4282" t="str">
        <f t="shared" si="116"/>
        <v/>
      </c>
    </row>
    <row r="4283" spans="8:8" x14ac:dyDescent="0.3">
      <c r="H4283" t="str">
        <f t="shared" si="116"/>
        <v/>
      </c>
    </row>
    <row r="4284" spans="8:8" x14ac:dyDescent="0.3">
      <c r="H4284" t="str">
        <f t="shared" si="116"/>
        <v/>
      </c>
    </row>
    <row r="4285" spans="8:8" x14ac:dyDescent="0.3">
      <c r="H4285" t="str">
        <f t="shared" si="116"/>
        <v/>
      </c>
    </row>
    <row r="4286" spans="8:8" x14ac:dyDescent="0.3">
      <c r="H4286" t="str">
        <f t="shared" si="116"/>
        <v/>
      </c>
    </row>
    <row r="4287" spans="8:8" x14ac:dyDescent="0.3">
      <c r="H4287" t="str">
        <f t="shared" si="116"/>
        <v/>
      </c>
    </row>
    <row r="4288" spans="8:8" x14ac:dyDescent="0.3">
      <c r="H4288" t="str">
        <f t="shared" si="116"/>
        <v/>
      </c>
    </row>
    <row r="4289" spans="8:8" x14ac:dyDescent="0.3">
      <c r="H4289" t="str">
        <f t="shared" si="116"/>
        <v/>
      </c>
    </row>
    <row r="4290" spans="8:8" x14ac:dyDescent="0.3">
      <c r="H4290" t="str">
        <f t="shared" si="116"/>
        <v/>
      </c>
    </row>
    <row r="4291" spans="8:8" x14ac:dyDescent="0.3">
      <c r="H4291" t="str">
        <f t="shared" si="116"/>
        <v/>
      </c>
    </row>
    <row r="4292" spans="8:8" x14ac:dyDescent="0.3">
      <c r="H4292" t="str">
        <f t="shared" si="116"/>
        <v/>
      </c>
    </row>
    <row r="4293" spans="8:8" x14ac:dyDescent="0.3">
      <c r="H4293" t="str">
        <f t="shared" si="116"/>
        <v/>
      </c>
    </row>
    <row r="4294" spans="8:8" x14ac:dyDescent="0.3">
      <c r="H4294" t="str">
        <f t="shared" si="116"/>
        <v/>
      </c>
    </row>
    <row r="4295" spans="8:8" x14ac:dyDescent="0.3">
      <c r="H4295" t="str">
        <f t="shared" si="116"/>
        <v/>
      </c>
    </row>
    <row r="4296" spans="8:8" x14ac:dyDescent="0.3">
      <c r="H4296" t="str">
        <f t="shared" si="116"/>
        <v/>
      </c>
    </row>
    <row r="4297" spans="8:8" x14ac:dyDescent="0.3">
      <c r="H4297" t="str">
        <f t="shared" si="116"/>
        <v/>
      </c>
    </row>
    <row r="4298" spans="8:8" x14ac:dyDescent="0.3">
      <c r="H4298" t="str">
        <f t="shared" si="116"/>
        <v/>
      </c>
    </row>
    <row r="4299" spans="8:8" x14ac:dyDescent="0.3">
      <c r="H4299" t="str">
        <f t="shared" si="116"/>
        <v/>
      </c>
    </row>
    <row r="4300" spans="8:8" x14ac:dyDescent="0.3">
      <c r="H4300" t="str">
        <f t="shared" si="116"/>
        <v/>
      </c>
    </row>
    <row r="4301" spans="8:8" x14ac:dyDescent="0.3">
      <c r="H4301" t="str">
        <f t="shared" si="116"/>
        <v/>
      </c>
    </row>
    <row r="4302" spans="8:8" x14ac:dyDescent="0.3">
      <c r="H4302" t="str">
        <f t="shared" si="116"/>
        <v/>
      </c>
    </row>
    <row r="4303" spans="8:8" x14ac:dyDescent="0.3">
      <c r="H4303" t="str">
        <f t="shared" si="116"/>
        <v/>
      </c>
    </row>
    <row r="4304" spans="8:8" x14ac:dyDescent="0.3">
      <c r="H4304" t="str">
        <f t="shared" si="116"/>
        <v/>
      </c>
    </row>
    <row r="4305" spans="8:8" x14ac:dyDescent="0.3">
      <c r="H4305" t="str">
        <f t="shared" si="116"/>
        <v/>
      </c>
    </row>
    <row r="4306" spans="8:8" x14ac:dyDescent="0.3">
      <c r="H4306" t="str">
        <f t="shared" si="116"/>
        <v/>
      </c>
    </row>
    <row r="4307" spans="8:8" x14ac:dyDescent="0.3">
      <c r="H4307" t="str">
        <f t="shared" si="116"/>
        <v/>
      </c>
    </row>
    <row r="4308" spans="8:8" x14ac:dyDescent="0.3">
      <c r="H4308" t="str">
        <f t="shared" si="116"/>
        <v/>
      </c>
    </row>
    <row r="4309" spans="8:8" x14ac:dyDescent="0.3">
      <c r="H4309" t="str">
        <f t="shared" si="116"/>
        <v/>
      </c>
    </row>
    <row r="4310" spans="8:8" x14ac:dyDescent="0.3">
      <c r="H4310" t="str">
        <f t="shared" si="116"/>
        <v/>
      </c>
    </row>
    <row r="4311" spans="8:8" x14ac:dyDescent="0.3">
      <c r="H4311" t="str">
        <f t="shared" ref="H4311:H4374" si="117">IF(B4311="","",$C$12)</f>
        <v/>
      </c>
    </row>
    <row r="4312" spans="8:8" x14ac:dyDescent="0.3">
      <c r="H4312" t="str">
        <f t="shared" si="117"/>
        <v/>
      </c>
    </row>
    <row r="4313" spans="8:8" x14ac:dyDescent="0.3">
      <c r="H4313" t="str">
        <f t="shared" si="117"/>
        <v/>
      </c>
    </row>
    <row r="4314" spans="8:8" x14ac:dyDescent="0.3">
      <c r="H4314" t="str">
        <f t="shared" si="117"/>
        <v/>
      </c>
    </row>
    <row r="4315" spans="8:8" x14ac:dyDescent="0.3">
      <c r="H4315" t="str">
        <f t="shared" si="117"/>
        <v/>
      </c>
    </row>
    <row r="4316" spans="8:8" x14ac:dyDescent="0.3">
      <c r="H4316" t="str">
        <f t="shared" si="117"/>
        <v/>
      </c>
    </row>
    <row r="4317" spans="8:8" x14ac:dyDescent="0.3">
      <c r="H4317" t="str">
        <f t="shared" si="117"/>
        <v/>
      </c>
    </row>
    <row r="4318" spans="8:8" x14ac:dyDescent="0.3">
      <c r="H4318" t="str">
        <f t="shared" si="117"/>
        <v/>
      </c>
    </row>
    <row r="4319" spans="8:8" x14ac:dyDescent="0.3">
      <c r="H4319" t="str">
        <f t="shared" si="117"/>
        <v/>
      </c>
    </row>
    <row r="4320" spans="8:8" x14ac:dyDescent="0.3">
      <c r="H4320" t="str">
        <f t="shared" si="117"/>
        <v/>
      </c>
    </row>
    <row r="4321" spans="8:8" x14ac:dyDescent="0.3">
      <c r="H4321" t="str">
        <f t="shared" si="117"/>
        <v/>
      </c>
    </row>
    <row r="4322" spans="8:8" x14ac:dyDescent="0.3">
      <c r="H4322" t="str">
        <f t="shared" si="117"/>
        <v/>
      </c>
    </row>
    <row r="4323" spans="8:8" x14ac:dyDescent="0.3">
      <c r="H4323" t="str">
        <f t="shared" si="117"/>
        <v/>
      </c>
    </row>
    <row r="4324" spans="8:8" x14ac:dyDescent="0.3">
      <c r="H4324" t="str">
        <f t="shared" si="117"/>
        <v/>
      </c>
    </row>
    <row r="4325" spans="8:8" x14ac:dyDescent="0.3">
      <c r="H4325" t="str">
        <f t="shared" si="117"/>
        <v/>
      </c>
    </row>
    <row r="4326" spans="8:8" x14ac:dyDescent="0.3">
      <c r="H4326" t="str">
        <f t="shared" si="117"/>
        <v/>
      </c>
    </row>
    <row r="4327" spans="8:8" x14ac:dyDescent="0.3">
      <c r="H4327" t="str">
        <f t="shared" si="117"/>
        <v/>
      </c>
    </row>
    <row r="4328" spans="8:8" x14ac:dyDescent="0.3">
      <c r="H4328" t="str">
        <f t="shared" si="117"/>
        <v/>
      </c>
    </row>
    <row r="4329" spans="8:8" x14ac:dyDescent="0.3">
      <c r="H4329" t="str">
        <f t="shared" si="117"/>
        <v/>
      </c>
    </row>
    <row r="4330" spans="8:8" x14ac:dyDescent="0.3">
      <c r="H4330" t="str">
        <f t="shared" si="117"/>
        <v/>
      </c>
    </row>
    <row r="4331" spans="8:8" x14ac:dyDescent="0.3">
      <c r="H4331" t="str">
        <f t="shared" si="117"/>
        <v/>
      </c>
    </row>
    <row r="4332" spans="8:8" x14ac:dyDescent="0.3">
      <c r="H4332" t="str">
        <f t="shared" si="117"/>
        <v/>
      </c>
    </row>
    <row r="4333" spans="8:8" x14ac:dyDescent="0.3">
      <c r="H4333" t="str">
        <f t="shared" si="117"/>
        <v/>
      </c>
    </row>
    <row r="4334" spans="8:8" x14ac:dyDescent="0.3">
      <c r="H4334" t="str">
        <f t="shared" si="117"/>
        <v/>
      </c>
    </row>
    <row r="4335" spans="8:8" x14ac:dyDescent="0.3">
      <c r="H4335" t="str">
        <f t="shared" si="117"/>
        <v/>
      </c>
    </row>
    <row r="4336" spans="8:8" x14ac:dyDescent="0.3">
      <c r="H4336" t="str">
        <f t="shared" si="117"/>
        <v/>
      </c>
    </row>
    <row r="4337" spans="8:8" x14ac:dyDescent="0.3">
      <c r="H4337" t="str">
        <f t="shared" si="117"/>
        <v/>
      </c>
    </row>
    <row r="4338" spans="8:8" x14ac:dyDescent="0.3">
      <c r="H4338" t="str">
        <f t="shared" si="117"/>
        <v/>
      </c>
    </row>
    <row r="4339" spans="8:8" x14ac:dyDescent="0.3">
      <c r="H4339" t="str">
        <f t="shared" si="117"/>
        <v/>
      </c>
    </row>
    <row r="4340" spans="8:8" x14ac:dyDescent="0.3">
      <c r="H4340" t="str">
        <f t="shared" si="117"/>
        <v/>
      </c>
    </row>
    <row r="4341" spans="8:8" x14ac:dyDescent="0.3">
      <c r="H4341" t="str">
        <f t="shared" si="117"/>
        <v/>
      </c>
    </row>
    <row r="4342" spans="8:8" x14ac:dyDescent="0.3">
      <c r="H4342" t="str">
        <f t="shared" si="117"/>
        <v/>
      </c>
    </row>
    <row r="4343" spans="8:8" x14ac:dyDescent="0.3">
      <c r="H4343" t="str">
        <f t="shared" si="117"/>
        <v/>
      </c>
    </row>
    <row r="4344" spans="8:8" x14ac:dyDescent="0.3">
      <c r="H4344" t="str">
        <f t="shared" si="117"/>
        <v/>
      </c>
    </row>
    <row r="4345" spans="8:8" x14ac:dyDescent="0.3">
      <c r="H4345" t="str">
        <f t="shared" si="117"/>
        <v/>
      </c>
    </row>
    <row r="4346" spans="8:8" x14ac:dyDescent="0.3">
      <c r="H4346" t="str">
        <f t="shared" si="117"/>
        <v/>
      </c>
    </row>
    <row r="4347" spans="8:8" x14ac:dyDescent="0.3">
      <c r="H4347" t="str">
        <f t="shared" si="117"/>
        <v/>
      </c>
    </row>
    <row r="4348" spans="8:8" x14ac:dyDescent="0.3">
      <c r="H4348" t="str">
        <f t="shared" si="117"/>
        <v/>
      </c>
    </row>
    <row r="4349" spans="8:8" x14ac:dyDescent="0.3">
      <c r="H4349" t="str">
        <f t="shared" si="117"/>
        <v/>
      </c>
    </row>
    <row r="4350" spans="8:8" x14ac:dyDescent="0.3">
      <c r="H4350" t="str">
        <f t="shared" si="117"/>
        <v/>
      </c>
    </row>
    <row r="4351" spans="8:8" x14ac:dyDescent="0.3">
      <c r="H4351" t="str">
        <f t="shared" si="117"/>
        <v/>
      </c>
    </row>
    <row r="4352" spans="8:8" x14ac:dyDescent="0.3">
      <c r="H4352" t="str">
        <f t="shared" si="117"/>
        <v/>
      </c>
    </row>
    <row r="4353" spans="8:8" x14ac:dyDescent="0.3">
      <c r="H4353" t="str">
        <f t="shared" si="117"/>
        <v/>
      </c>
    </row>
    <row r="4354" spans="8:8" x14ac:dyDescent="0.3">
      <c r="H4354" t="str">
        <f t="shared" si="117"/>
        <v/>
      </c>
    </row>
    <row r="4355" spans="8:8" x14ac:dyDescent="0.3">
      <c r="H4355" t="str">
        <f t="shared" si="117"/>
        <v/>
      </c>
    </row>
    <row r="4356" spans="8:8" x14ac:dyDescent="0.3">
      <c r="H4356" t="str">
        <f t="shared" si="117"/>
        <v/>
      </c>
    </row>
    <row r="4357" spans="8:8" x14ac:dyDescent="0.3">
      <c r="H4357" t="str">
        <f t="shared" si="117"/>
        <v/>
      </c>
    </row>
    <row r="4358" spans="8:8" x14ac:dyDescent="0.3">
      <c r="H4358" t="str">
        <f t="shared" si="117"/>
        <v/>
      </c>
    </row>
    <row r="4359" spans="8:8" x14ac:dyDescent="0.3">
      <c r="H4359" t="str">
        <f t="shared" si="117"/>
        <v/>
      </c>
    </row>
    <row r="4360" spans="8:8" x14ac:dyDescent="0.3">
      <c r="H4360" t="str">
        <f t="shared" si="117"/>
        <v/>
      </c>
    </row>
    <row r="4361" spans="8:8" x14ac:dyDescent="0.3">
      <c r="H4361" t="str">
        <f t="shared" si="117"/>
        <v/>
      </c>
    </row>
    <row r="4362" spans="8:8" x14ac:dyDescent="0.3">
      <c r="H4362" t="str">
        <f t="shared" si="117"/>
        <v/>
      </c>
    </row>
    <row r="4363" spans="8:8" x14ac:dyDescent="0.3">
      <c r="H4363" t="str">
        <f t="shared" si="117"/>
        <v/>
      </c>
    </row>
    <row r="4364" spans="8:8" x14ac:dyDescent="0.3">
      <c r="H4364" t="str">
        <f t="shared" si="117"/>
        <v/>
      </c>
    </row>
    <row r="4365" spans="8:8" x14ac:dyDescent="0.3">
      <c r="H4365" t="str">
        <f t="shared" si="117"/>
        <v/>
      </c>
    </row>
    <row r="4366" spans="8:8" x14ac:dyDescent="0.3">
      <c r="H4366" t="str">
        <f t="shared" si="117"/>
        <v/>
      </c>
    </row>
    <row r="4367" spans="8:8" x14ac:dyDescent="0.3">
      <c r="H4367" t="str">
        <f t="shared" si="117"/>
        <v/>
      </c>
    </row>
    <row r="4368" spans="8:8" x14ac:dyDescent="0.3">
      <c r="H4368" t="str">
        <f t="shared" si="117"/>
        <v/>
      </c>
    </row>
    <row r="4369" spans="8:8" x14ac:dyDescent="0.3">
      <c r="H4369" t="str">
        <f t="shared" si="117"/>
        <v/>
      </c>
    </row>
    <row r="4370" spans="8:8" x14ac:dyDescent="0.3">
      <c r="H4370" t="str">
        <f t="shared" si="117"/>
        <v/>
      </c>
    </row>
    <row r="4371" spans="8:8" x14ac:dyDescent="0.3">
      <c r="H4371" t="str">
        <f t="shared" si="117"/>
        <v/>
      </c>
    </row>
    <row r="4372" spans="8:8" x14ac:dyDescent="0.3">
      <c r="H4372" t="str">
        <f t="shared" si="117"/>
        <v/>
      </c>
    </row>
    <row r="4373" spans="8:8" x14ac:dyDescent="0.3">
      <c r="H4373" t="str">
        <f t="shared" si="117"/>
        <v/>
      </c>
    </row>
    <row r="4374" spans="8:8" x14ac:dyDescent="0.3">
      <c r="H4374" t="str">
        <f t="shared" si="117"/>
        <v/>
      </c>
    </row>
    <row r="4375" spans="8:8" x14ac:dyDescent="0.3">
      <c r="H4375" t="str">
        <f t="shared" ref="H4375:H4438" si="118">IF(B4375="","",$C$12)</f>
        <v/>
      </c>
    </row>
    <row r="4376" spans="8:8" x14ac:dyDescent="0.3">
      <c r="H4376" t="str">
        <f t="shared" si="118"/>
        <v/>
      </c>
    </row>
    <row r="4377" spans="8:8" x14ac:dyDescent="0.3">
      <c r="H4377" t="str">
        <f t="shared" si="118"/>
        <v/>
      </c>
    </row>
    <row r="4378" spans="8:8" x14ac:dyDescent="0.3">
      <c r="H4378" t="str">
        <f t="shared" si="118"/>
        <v/>
      </c>
    </row>
    <row r="4379" spans="8:8" x14ac:dyDescent="0.3">
      <c r="H4379" t="str">
        <f t="shared" si="118"/>
        <v/>
      </c>
    </row>
    <row r="4380" spans="8:8" x14ac:dyDescent="0.3">
      <c r="H4380" t="str">
        <f t="shared" si="118"/>
        <v/>
      </c>
    </row>
    <row r="4381" spans="8:8" x14ac:dyDescent="0.3">
      <c r="H4381" t="str">
        <f t="shared" si="118"/>
        <v/>
      </c>
    </row>
    <row r="4382" spans="8:8" x14ac:dyDescent="0.3">
      <c r="H4382" t="str">
        <f t="shared" si="118"/>
        <v/>
      </c>
    </row>
    <row r="4383" spans="8:8" x14ac:dyDescent="0.3">
      <c r="H4383" t="str">
        <f t="shared" si="118"/>
        <v/>
      </c>
    </row>
    <row r="4384" spans="8:8" x14ac:dyDescent="0.3">
      <c r="H4384" t="str">
        <f t="shared" si="118"/>
        <v/>
      </c>
    </row>
    <row r="4385" spans="8:8" x14ac:dyDescent="0.3">
      <c r="H4385" t="str">
        <f t="shared" si="118"/>
        <v/>
      </c>
    </row>
    <row r="4386" spans="8:8" x14ac:dyDescent="0.3">
      <c r="H4386" t="str">
        <f t="shared" si="118"/>
        <v/>
      </c>
    </row>
    <row r="4387" spans="8:8" x14ac:dyDescent="0.3">
      <c r="H4387" t="str">
        <f t="shared" si="118"/>
        <v/>
      </c>
    </row>
    <row r="4388" spans="8:8" x14ac:dyDescent="0.3">
      <c r="H4388" t="str">
        <f t="shared" si="118"/>
        <v/>
      </c>
    </row>
    <row r="4389" spans="8:8" x14ac:dyDescent="0.3">
      <c r="H4389" t="str">
        <f t="shared" si="118"/>
        <v/>
      </c>
    </row>
    <row r="4390" spans="8:8" x14ac:dyDescent="0.3">
      <c r="H4390" t="str">
        <f t="shared" si="118"/>
        <v/>
      </c>
    </row>
    <row r="4391" spans="8:8" x14ac:dyDescent="0.3">
      <c r="H4391" t="str">
        <f t="shared" si="118"/>
        <v/>
      </c>
    </row>
    <row r="4392" spans="8:8" x14ac:dyDescent="0.3">
      <c r="H4392" t="str">
        <f t="shared" si="118"/>
        <v/>
      </c>
    </row>
    <row r="4393" spans="8:8" x14ac:dyDescent="0.3">
      <c r="H4393" t="str">
        <f t="shared" si="118"/>
        <v/>
      </c>
    </row>
    <row r="4394" spans="8:8" x14ac:dyDescent="0.3">
      <c r="H4394" t="str">
        <f t="shared" si="118"/>
        <v/>
      </c>
    </row>
    <row r="4395" spans="8:8" x14ac:dyDescent="0.3">
      <c r="H4395" t="str">
        <f t="shared" si="118"/>
        <v/>
      </c>
    </row>
    <row r="4396" spans="8:8" x14ac:dyDescent="0.3">
      <c r="H4396" t="str">
        <f t="shared" si="118"/>
        <v/>
      </c>
    </row>
    <row r="4397" spans="8:8" x14ac:dyDescent="0.3">
      <c r="H4397" t="str">
        <f t="shared" si="118"/>
        <v/>
      </c>
    </row>
    <row r="4398" spans="8:8" x14ac:dyDescent="0.3">
      <c r="H4398" t="str">
        <f t="shared" si="118"/>
        <v/>
      </c>
    </row>
    <row r="4399" spans="8:8" x14ac:dyDescent="0.3">
      <c r="H4399" t="str">
        <f t="shared" si="118"/>
        <v/>
      </c>
    </row>
    <row r="4400" spans="8:8" x14ac:dyDescent="0.3">
      <c r="H4400" t="str">
        <f t="shared" si="118"/>
        <v/>
      </c>
    </row>
    <row r="4401" spans="8:8" x14ac:dyDescent="0.3">
      <c r="H4401" t="str">
        <f t="shared" si="118"/>
        <v/>
      </c>
    </row>
    <row r="4402" spans="8:8" x14ac:dyDescent="0.3">
      <c r="H4402" t="str">
        <f t="shared" si="118"/>
        <v/>
      </c>
    </row>
    <row r="4403" spans="8:8" x14ac:dyDescent="0.3">
      <c r="H4403" t="str">
        <f t="shared" si="118"/>
        <v/>
      </c>
    </row>
    <row r="4404" spans="8:8" x14ac:dyDescent="0.3">
      <c r="H4404" t="str">
        <f t="shared" si="118"/>
        <v/>
      </c>
    </row>
    <row r="4405" spans="8:8" x14ac:dyDescent="0.3">
      <c r="H4405" t="str">
        <f t="shared" si="118"/>
        <v/>
      </c>
    </row>
    <row r="4406" spans="8:8" x14ac:dyDescent="0.3">
      <c r="H4406" t="str">
        <f t="shared" si="118"/>
        <v/>
      </c>
    </row>
    <row r="4407" spans="8:8" x14ac:dyDescent="0.3">
      <c r="H4407" t="str">
        <f t="shared" si="118"/>
        <v/>
      </c>
    </row>
    <row r="4408" spans="8:8" x14ac:dyDescent="0.3">
      <c r="H4408" t="str">
        <f t="shared" si="118"/>
        <v/>
      </c>
    </row>
    <row r="4409" spans="8:8" x14ac:dyDescent="0.3">
      <c r="H4409" t="str">
        <f t="shared" si="118"/>
        <v/>
      </c>
    </row>
    <row r="4410" spans="8:8" x14ac:dyDescent="0.3">
      <c r="H4410" t="str">
        <f t="shared" si="118"/>
        <v/>
      </c>
    </row>
    <row r="4411" spans="8:8" x14ac:dyDescent="0.3">
      <c r="H4411" t="str">
        <f t="shared" si="118"/>
        <v/>
      </c>
    </row>
    <row r="4412" spans="8:8" x14ac:dyDescent="0.3">
      <c r="H4412" t="str">
        <f t="shared" si="118"/>
        <v/>
      </c>
    </row>
    <row r="4413" spans="8:8" x14ac:dyDescent="0.3">
      <c r="H4413" t="str">
        <f t="shared" si="118"/>
        <v/>
      </c>
    </row>
    <row r="4414" spans="8:8" x14ac:dyDescent="0.3">
      <c r="H4414" t="str">
        <f t="shared" si="118"/>
        <v/>
      </c>
    </row>
    <row r="4415" spans="8:8" x14ac:dyDescent="0.3">
      <c r="H4415" t="str">
        <f t="shared" si="118"/>
        <v/>
      </c>
    </row>
    <row r="4416" spans="8:8" x14ac:dyDescent="0.3">
      <c r="H4416" t="str">
        <f t="shared" si="118"/>
        <v/>
      </c>
    </row>
    <row r="4417" spans="8:8" x14ac:dyDescent="0.3">
      <c r="H4417" t="str">
        <f t="shared" si="118"/>
        <v/>
      </c>
    </row>
    <row r="4418" spans="8:8" x14ac:dyDescent="0.3">
      <c r="H4418" t="str">
        <f t="shared" si="118"/>
        <v/>
      </c>
    </row>
    <row r="4419" spans="8:8" x14ac:dyDescent="0.3">
      <c r="H4419" t="str">
        <f t="shared" si="118"/>
        <v/>
      </c>
    </row>
    <row r="4420" spans="8:8" x14ac:dyDescent="0.3">
      <c r="H4420" t="str">
        <f t="shared" si="118"/>
        <v/>
      </c>
    </row>
    <row r="4421" spans="8:8" x14ac:dyDescent="0.3">
      <c r="H4421" t="str">
        <f t="shared" si="118"/>
        <v/>
      </c>
    </row>
    <row r="4422" spans="8:8" x14ac:dyDescent="0.3">
      <c r="H4422" t="str">
        <f t="shared" si="118"/>
        <v/>
      </c>
    </row>
    <row r="4423" spans="8:8" x14ac:dyDescent="0.3">
      <c r="H4423" t="str">
        <f t="shared" si="118"/>
        <v/>
      </c>
    </row>
    <row r="4424" spans="8:8" x14ac:dyDescent="0.3">
      <c r="H4424" t="str">
        <f t="shared" si="118"/>
        <v/>
      </c>
    </row>
    <row r="4425" spans="8:8" x14ac:dyDescent="0.3">
      <c r="H4425" t="str">
        <f t="shared" si="118"/>
        <v/>
      </c>
    </row>
    <row r="4426" spans="8:8" x14ac:dyDescent="0.3">
      <c r="H4426" t="str">
        <f t="shared" si="118"/>
        <v/>
      </c>
    </row>
    <row r="4427" spans="8:8" x14ac:dyDescent="0.3">
      <c r="H4427" t="str">
        <f t="shared" si="118"/>
        <v/>
      </c>
    </row>
    <row r="4428" spans="8:8" x14ac:dyDescent="0.3">
      <c r="H4428" t="str">
        <f t="shared" si="118"/>
        <v/>
      </c>
    </row>
    <row r="4429" spans="8:8" x14ac:dyDescent="0.3">
      <c r="H4429" t="str">
        <f t="shared" si="118"/>
        <v/>
      </c>
    </row>
    <row r="4430" spans="8:8" x14ac:dyDescent="0.3">
      <c r="H4430" t="str">
        <f t="shared" si="118"/>
        <v/>
      </c>
    </row>
    <row r="4431" spans="8:8" x14ac:dyDescent="0.3">
      <c r="H4431" t="str">
        <f t="shared" si="118"/>
        <v/>
      </c>
    </row>
    <row r="4432" spans="8:8" x14ac:dyDescent="0.3">
      <c r="H4432" t="str">
        <f t="shared" si="118"/>
        <v/>
      </c>
    </row>
    <row r="4433" spans="8:8" x14ac:dyDescent="0.3">
      <c r="H4433" t="str">
        <f t="shared" si="118"/>
        <v/>
      </c>
    </row>
    <row r="4434" spans="8:8" x14ac:dyDescent="0.3">
      <c r="H4434" t="str">
        <f t="shared" si="118"/>
        <v/>
      </c>
    </row>
    <row r="4435" spans="8:8" x14ac:dyDescent="0.3">
      <c r="H4435" t="str">
        <f t="shared" si="118"/>
        <v/>
      </c>
    </row>
    <row r="4436" spans="8:8" x14ac:dyDescent="0.3">
      <c r="H4436" t="str">
        <f t="shared" si="118"/>
        <v/>
      </c>
    </row>
    <row r="4437" spans="8:8" x14ac:dyDescent="0.3">
      <c r="H4437" t="str">
        <f t="shared" si="118"/>
        <v/>
      </c>
    </row>
    <row r="4438" spans="8:8" x14ac:dyDescent="0.3">
      <c r="H4438" t="str">
        <f t="shared" si="118"/>
        <v/>
      </c>
    </row>
    <row r="4439" spans="8:8" x14ac:dyDescent="0.3">
      <c r="H4439" t="str">
        <f t="shared" ref="H4439:H4502" si="119">IF(B4439="","",$C$12)</f>
        <v/>
      </c>
    </row>
    <row r="4440" spans="8:8" x14ac:dyDescent="0.3">
      <c r="H4440" t="str">
        <f t="shared" si="119"/>
        <v/>
      </c>
    </row>
    <row r="4441" spans="8:8" x14ac:dyDescent="0.3">
      <c r="H4441" t="str">
        <f t="shared" si="119"/>
        <v/>
      </c>
    </row>
    <row r="4442" spans="8:8" x14ac:dyDescent="0.3">
      <c r="H4442" t="str">
        <f t="shared" si="119"/>
        <v/>
      </c>
    </row>
    <row r="4443" spans="8:8" x14ac:dyDescent="0.3">
      <c r="H4443" t="str">
        <f t="shared" si="119"/>
        <v/>
      </c>
    </row>
    <row r="4444" spans="8:8" x14ac:dyDescent="0.3">
      <c r="H4444" t="str">
        <f t="shared" si="119"/>
        <v/>
      </c>
    </row>
    <row r="4445" spans="8:8" x14ac:dyDescent="0.3">
      <c r="H4445" t="str">
        <f t="shared" si="119"/>
        <v/>
      </c>
    </row>
    <row r="4446" spans="8:8" x14ac:dyDescent="0.3">
      <c r="H4446" t="str">
        <f t="shared" si="119"/>
        <v/>
      </c>
    </row>
    <row r="4447" spans="8:8" x14ac:dyDescent="0.3">
      <c r="H4447" t="str">
        <f t="shared" si="119"/>
        <v/>
      </c>
    </row>
    <row r="4448" spans="8:8" x14ac:dyDescent="0.3">
      <c r="H4448" t="str">
        <f t="shared" si="119"/>
        <v/>
      </c>
    </row>
    <row r="4449" spans="8:8" x14ac:dyDescent="0.3">
      <c r="H4449" t="str">
        <f t="shared" si="119"/>
        <v/>
      </c>
    </row>
    <row r="4450" spans="8:8" x14ac:dyDescent="0.3">
      <c r="H4450" t="str">
        <f t="shared" si="119"/>
        <v/>
      </c>
    </row>
    <row r="4451" spans="8:8" x14ac:dyDescent="0.3">
      <c r="H4451" t="str">
        <f t="shared" si="119"/>
        <v/>
      </c>
    </row>
    <row r="4452" spans="8:8" x14ac:dyDescent="0.3">
      <c r="H4452" t="str">
        <f t="shared" si="119"/>
        <v/>
      </c>
    </row>
    <row r="4453" spans="8:8" x14ac:dyDescent="0.3">
      <c r="H4453" t="str">
        <f t="shared" si="119"/>
        <v/>
      </c>
    </row>
    <row r="4454" spans="8:8" x14ac:dyDescent="0.3">
      <c r="H4454" t="str">
        <f t="shared" si="119"/>
        <v/>
      </c>
    </row>
    <row r="4455" spans="8:8" x14ac:dyDescent="0.3">
      <c r="H4455" t="str">
        <f t="shared" si="119"/>
        <v/>
      </c>
    </row>
    <row r="4456" spans="8:8" x14ac:dyDescent="0.3">
      <c r="H4456" t="str">
        <f t="shared" si="119"/>
        <v/>
      </c>
    </row>
    <row r="4457" spans="8:8" x14ac:dyDescent="0.3">
      <c r="H4457" t="str">
        <f t="shared" si="119"/>
        <v/>
      </c>
    </row>
    <row r="4458" spans="8:8" x14ac:dyDescent="0.3">
      <c r="H4458" t="str">
        <f t="shared" si="119"/>
        <v/>
      </c>
    </row>
    <row r="4459" spans="8:8" x14ac:dyDescent="0.3">
      <c r="H4459" t="str">
        <f t="shared" si="119"/>
        <v/>
      </c>
    </row>
    <row r="4460" spans="8:8" x14ac:dyDescent="0.3">
      <c r="H4460" t="str">
        <f t="shared" si="119"/>
        <v/>
      </c>
    </row>
    <row r="4461" spans="8:8" x14ac:dyDescent="0.3">
      <c r="H4461" t="str">
        <f t="shared" si="119"/>
        <v/>
      </c>
    </row>
    <row r="4462" spans="8:8" x14ac:dyDescent="0.3">
      <c r="H4462" t="str">
        <f t="shared" si="119"/>
        <v/>
      </c>
    </row>
    <row r="4463" spans="8:8" x14ac:dyDescent="0.3">
      <c r="H4463" t="str">
        <f t="shared" si="119"/>
        <v/>
      </c>
    </row>
    <row r="4464" spans="8:8" x14ac:dyDescent="0.3">
      <c r="H4464" t="str">
        <f t="shared" si="119"/>
        <v/>
      </c>
    </row>
    <row r="4465" spans="8:8" x14ac:dyDescent="0.3">
      <c r="H4465" t="str">
        <f t="shared" si="119"/>
        <v/>
      </c>
    </row>
    <row r="4466" spans="8:8" x14ac:dyDescent="0.3">
      <c r="H4466" t="str">
        <f t="shared" si="119"/>
        <v/>
      </c>
    </row>
    <row r="4467" spans="8:8" x14ac:dyDescent="0.3">
      <c r="H4467" t="str">
        <f t="shared" si="119"/>
        <v/>
      </c>
    </row>
    <row r="4468" spans="8:8" x14ac:dyDescent="0.3">
      <c r="H4468" t="str">
        <f t="shared" si="119"/>
        <v/>
      </c>
    </row>
    <row r="4469" spans="8:8" x14ac:dyDescent="0.3">
      <c r="H4469" t="str">
        <f t="shared" si="119"/>
        <v/>
      </c>
    </row>
    <row r="4470" spans="8:8" x14ac:dyDescent="0.3">
      <c r="H4470" t="str">
        <f t="shared" si="119"/>
        <v/>
      </c>
    </row>
    <row r="4471" spans="8:8" x14ac:dyDescent="0.3">
      <c r="H4471" t="str">
        <f t="shared" si="119"/>
        <v/>
      </c>
    </row>
    <row r="4472" spans="8:8" x14ac:dyDescent="0.3">
      <c r="H4472" t="str">
        <f t="shared" si="119"/>
        <v/>
      </c>
    </row>
    <row r="4473" spans="8:8" x14ac:dyDescent="0.3">
      <c r="H4473" t="str">
        <f t="shared" si="119"/>
        <v/>
      </c>
    </row>
    <row r="4474" spans="8:8" x14ac:dyDescent="0.3">
      <c r="H4474" t="str">
        <f t="shared" si="119"/>
        <v/>
      </c>
    </row>
    <row r="4475" spans="8:8" x14ac:dyDescent="0.3">
      <c r="H4475" t="str">
        <f t="shared" si="119"/>
        <v/>
      </c>
    </row>
    <row r="4476" spans="8:8" x14ac:dyDescent="0.3">
      <c r="H4476" t="str">
        <f t="shared" si="119"/>
        <v/>
      </c>
    </row>
    <row r="4477" spans="8:8" x14ac:dyDescent="0.3">
      <c r="H4477" t="str">
        <f t="shared" si="119"/>
        <v/>
      </c>
    </row>
    <row r="4478" spans="8:8" x14ac:dyDescent="0.3">
      <c r="H4478" t="str">
        <f t="shared" si="119"/>
        <v/>
      </c>
    </row>
    <row r="4479" spans="8:8" x14ac:dyDescent="0.3">
      <c r="H4479" t="str">
        <f t="shared" si="119"/>
        <v/>
      </c>
    </row>
    <row r="4480" spans="8:8" x14ac:dyDescent="0.3">
      <c r="H4480" t="str">
        <f t="shared" si="119"/>
        <v/>
      </c>
    </row>
    <row r="4481" spans="8:8" x14ac:dyDescent="0.3">
      <c r="H4481" t="str">
        <f t="shared" si="119"/>
        <v/>
      </c>
    </row>
    <row r="4482" spans="8:8" x14ac:dyDescent="0.3">
      <c r="H4482" t="str">
        <f t="shared" si="119"/>
        <v/>
      </c>
    </row>
    <row r="4483" spans="8:8" x14ac:dyDescent="0.3">
      <c r="H4483" t="str">
        <f t="shared" si="119"/>
        <v/>
      </c>
    </row>
    <row r="4484" spans="8:8" x14ac:dyDescent="0.3">
      <c r="H4484" t="str">
        <f t="shared" si="119"/>
        <v/>
      </c>
    </row>
    <row r="4485" spans="8:8" x14ac:dyDescent="0.3">
      <c r="H4485" t="str">
        <f t="shared" si="119"/>
        <v/>
      </c>
    </row>
    <row r="4486" spans="8:8" x14ac:dyDescent="0.3">
      <c r="H4486" t="str">
        <f t="shared" si="119"/>
        <v/>
      </c>
    </row>
    <row r="4487" spans="8:8" x14ac:dyDescent="0.3">
      <c r="H4487" t="str">
        <f t="shared" si="119"/>
        <v/>
      </c>
    </row>
    <row r="4488" spans="8:8" x14ac:dyDescent="0.3">
      <c r="H4488" t="str">
        <f t="shared" si="119"/>
        <v/>
      </c>
    </row>
    <row r="4489" spans="8:8" x14ac:dyDescent="0.3">
      <c r="H4489" t="str">
        <f t="shared" si="119"/>
        <v/>
      </c>
    </row>
    <row r="4490" spans="8:8" x14ac:dyDescent="0.3">
      <c r="H4490" t="str">
        <f t="shared" si="119"/>
        <v/>
      </c>
    </row>
    <row r="4491" spans="8:8" x14ac:dyDescent="0.3">
      <c r="H4491" t="str">
        <f t="shared" si="119"/>
        <v/>
      </c>
    </row>
    <row r="4492" spans="8:8" x14ac:dyDescent="0.3">
      <c r="H4492" t="str">
        <f t="shared" si="119"/>
        <v/>
      </c>
    </row>
    <row r="4493" spans="8:8" x14ac:dyDescent="0.3">
      <c r="H4493" t="str">
        <f t="shared" si="119"/>
        <v/>
      </c>
    </row>
    <row r="4494" spans="8:8" x14ac:dyDescent="0.3">
      <c r="H4494" t="str">
        <f t="shared" si="119"/>
        <v/>
      </c>
    </row>
    <row r="4495" spans="8:8" x14ac:dyDescent="0.3">
      <c r="H4495" t="str">
        <f t="shared" si="119"/>
        <v/>
      </c>
    </row>
    <row r="4496" spans="8:8" x14ac:dyDescent="0.3">
      <c r="H4496" t="str">
        <f t="shared" si="119"/>
        <v/>
      </c>
    </row>
    <row r="4497" spans="8:8" x14ac:dyDescent="0.3">
      <c r="H4497" t="str">
        <f t="shared" si="119"/>
        <v/>
      </c>
    </row>
    <row r="4498" spans="8:8" x14ac:dyDescent="0.3">
      <c r="H4498" t="str">
        <f t="shared" si="119"/>
        <v/>
      </c>
    </row>
    <row r="4499" spans="8:8" x14ac:dyDescent="0.3">
      <c r="H4499" t="str">
        <f t="shared" si="119"/>
        <v/>
      </c>
    </row>
    <row r="4500" spans="8:8" x14ac:dyDescent="0.3">
      <c r="H4500" t="str">
        <f t="shared" si="119"/>
        <v/>
      </c>
    </row>
    <row r="4501" spans="8:8" x14ac:dyDescent="0.3">
      <c r="H4501" t="str">
        <f t="shared" si="119"/>
        <v/>
      </c>
    </row>
    <row r="4502" spans="8:8" x14ac:dyDescent="0.3">
      <c r="H4502" t="str">
        <f t="shared" si="119"/>
        <v/>
      </c>
    </row>
    <row r="4503" spans="8:8" x14ac:dyDescent="0.3">
      <c r="H4503" t="str">
        <f t="shared" ref="H4503:H4566" si="120">IF(B4503="","",$C$12)</f>
        <v/>
      </c>
    </row>
    <row r="4504" spans="8:8" x14ac:dyDescent="0.3">
      <c r="H4504" t="str">
        <f t="shared" si="120"/>
        <v/>
      </c>
    </row>
    <row r="4505" spans="8:8" x14ac:dyDescent="0.3">
      <c r="H4505" t="str">
        <f t="shared" si="120"/>
        <v/>
      </c>
    </row>
    <row r="4506" spans="8:8" x14ac:dyDescent="0.3">
      <c r="H4506" t="str">
        <f t="shared" si="120"/>
        <v/>
      </c>
    </row>
    <row r="4507" spans="8:8" x14ac:dyDescent="0.3">
      <c r="H4507" t="str">
        <f t="shared" si="120"/>
        <v/>
      </c>
    </row>
    <row r="4508" spans="8:8" x14ac:dyDescent="0.3">
      <c r="H4508" t="str">
        <f t="shared" si="120"/>
        <v/>
      </c>
    </row>
    <row r="4509" spans="8:8" x14ac:dyDescent="0.3">
      <c r="H4509" t="str">
        <f t="shared" si="120"/>
        <v/>
      </c>
    </row>
    <row r="4510" spans="8:8" x14ac:dyDescent="0.3">
      <c r="H4510" t="str">
        <f t="shared" si="120"/>
        <v/>
      </c>
    </row>
    <row r="4511" spans="8:8" x14ac:dyDescent="0.3">
      <c r="H4511" t="str">
        <f t="shared" si="120"/>
        <v/>
      </c>
    </row>
    <row r="4512" spans="8:8" x14ac:dyDescent="0.3">
      <c r="H4512" t="str">
        <f t="shared" si="120"/>
        <v/>
      </c>
    </row>
    <row r="4513" spans="8:8" x14ac:dyDescent="0.3">
      <c r="H4513" t="str">
        <f t="shared" si="120"/>
        <v/>
      </c>
    </row>
    <row r="4514" spans="8:8" x14ac:dyDescent="0.3">
      <c r="H4514" t="str">
        <f t="shared" si="120"/>
        <v/>
      </c>
    </row>
    <row r="4515" spans="8:8" x14ac:dyDescent="0.3">
      <c r="H4515" t="str">
        <f t="shared" si="120"/>
        <v/>
      </c>
    </row>
    <row r="4516" spans="8:8" x14ac:dyDescent="0.3">
      <c r="H4516" t="str">
        <f t="shared" si="120"/>
        <v/>
      </c>
    </row>
    <row r="4517" spans="8:8" x14ac:dyDescent="0.3">
      <c r="H4517" t="str">
        <f t="shared" si="120"/>
        <v/>
      </c>
    </row>
    <row r="4518" spans="8:8" x14ac:dyDescent="0.3">
      <c r="H4518" t="str">
        <f t="shared" si="120"/>
        <v/>
      </c>
    </row>
    <row r="4519" spans="8:8" x14ac:dyDescent="0.3">
      <c r="H4519" t="str">
        <f t="shared" si="120"/>
        <v/>
      </c>
    </row>
    <row r="4520" spans="8:8" x14ac:dyDescent="0.3">
      <c r="H4520" t="str">
        <f t="shared" si="120"/>
        <v/>
      </c>
    </row>
    <row r="4521" spans="8:8" x14ac:dyDescent="0.3">
      <c r="H4521" t="str">
        <f t="shared" si="120"/>
        <v/>
      </c>
    </row>
    <row r="4522" spans="8:8" x14ac:dyDescent="0.3">
      <c r="H4522" t="str">
        <f t="shared" si="120"/>
        <v/>
      </c>
    </row>
    <row r="4523" spans="8:8" x14ac:dyDescent="0.3">
      <c r="H4523" t="str">
        <f t="shared" si="120"/>
        <v/>
      </c>
    </row>
    <row r="4524" spans="8:8" x14ac:dyDescent="0.3">
      <c r="H4524" t="str">
        <f t="shared" si="120"/>
        <v/>
      </c>
    </row>
    <row r="4525" spans="8:8" x14ac:dyDescent="0.3">
      <c r="H4525" t="str">
        <f t="shared" si="120"/>
        <v/>
      </c>
    </row>
    <row r="4526" spans="8:8" x14ac:dyDescent="0.3">
      <c r="H4526" t="str">
        <f t="shared" si="120"/>
        <v/>
      </c>
    </row>
    <row r="4527" spans="8:8" x14ac:dyDescent="0.3">
      <c r="H4527" t="str">
        <f t="shared" si="120"/>
        <v/>
      </c>
    </row>
    <row r="4528" spans="8:8" x14ac:dyDescent="0.3">
      <c r="H4528" t="str">
        <f t="shared" si="120"/>
        <v/>
      </c>
    </row>
    <row r="4529" spans="8:8" x14ac:dyDescent="0.3">
      <c r="H4529" t="str">
        <f t="shared" si="120"/>
        <v/>
      </c>
    </row>
    <row r="4530" spans="8:8" x14ac:dyDescent="0.3">
      <c r="H4530" t="str">
        <f t="shared" si="120"/>
        <v/>
      </c>
    </row>
    <row r="4531" spans="8:8" x14ac:dyDescent="0.3">
      <c r="H4531" t="str">
        <f t="shared" si="120"/>
        <v/>
      </c>
    </row>
    <row r="4532" spans="8:8" x14ac:dyDescent="0.3">
      <c r="H4532" t="str">
        <f t="shared" si="120"/>
        <v/>
      </c>
    </row>
    <row r="4533" spans="8:8" x14ac:dyDescent="0.3">
      <c r="H4533" t="str">
        <f t="shared" si="120"/>
        <v/>
      </c>
    </row>
    <row r="4534" spans="8:8" x14ac:dyDescent="0.3">
      <c r="H4534" t="str">
        <f t="shared" si="120"/>
        <v/>
      </c>
    </row>
    <row r="4535" spans="8:8" x14ac:dyDescent="0.3">
      <c r="H4535" t="str">
        <f t="shared" si="120"/>
        <v/>
      </c>
    </row>
    <row r="4536" spans="8:8" x14ac:dyDescent="0.3">
      <c r="H4536" t="str">
        <f t="shared" si="120"/>
        <v/>
      </c>
    </row>
    <row r="4537" spans="8:8" x14ac:dyDescent="0.3">
      <c r="H4537" t="str">
        <f t="shared" si="120"/>
        <v/>
      </c>
    </row>
    <row r="4538" spans="8:8" x14ac:dyDescent="0.3">
      <c r="H4538" t="str">
        <f t="shared" si="120"/>
        <v/>
      </c>
    </row>
    <row r="4539" spans="8:8" x14ac:dyDescent="0.3">
      <c r="H4539" t="str">
        <f t="shared" si="120"/>
        <v/>
      </c>
    </row>
    <row r="4540" spans="8:8" x14ac:dyDescent="0.3">
      <c r="H4540" t="str">
        <f t="shared" si="120"/>
        <v/>
      </c>
    </row>
    <row r="4541" spans="8:8" x14ac:dyDescent="0.3">
      <c r="H4541" t="str">
        <f t="shared" si="120"/>
        <v/>
      </c>
    </row>
    <row r="4542" spans="8:8" x14ac:dyDescent="0.3">
      <c r="H4542" t="str">
        <f t="shared" si="120"/>
        <v/>
      </c>
    </row>
    <row r="4543" spans="8:8" x14ac:dyDescent="0.3">
      <c r="H4543" t="str">
        <f t="shared" si="120"/>
        <v/>
      </c>
    </row>
    <row r="4544" spans="8:8" x14ac:dyDescent="0.3">
      <c r="H4544" t="str">
        <f t="shared" si="120"/>
        <v/>
      </c>
    </row>
    <row r="4545" spans="8:8" x14ac:dyDescent="0.3">
      <c r="H4545" t="str">
        <f t="shared" si="120"/>
        <v/>
      </c>
    </row>
    <row r="4546" spans="8:8" x14ac:dyDescent="0.3">
      <c r="H4546" t="str">
        <f t="shared" si="120"/>
        <v/>
      </c>
    </row>
    <row r="4547" spans="8:8" x14ac:dyDescent="0.3">
      <c r="H4547" t="str">
        <f t="shared" si="120"/>
        <v/>
      </c>
    </row>
    <row r="4548" spans="8:8" x14ac:dyDescent="0.3">
      <c r="H4548" t="str">
        <f t="shared" si="120"/>
        <v/>
      </c>
    </row>
    <row r="4549" spans="8:8" x14ac:dyDescent="0.3">
      <c r="H4549" t="str">
        <f t="shared" si="120"/>
        <v/>
      </c>
    </row>
    <row r="4550" spans="8:8" x14ac:dyDescent="0.3">
      <c r="H4550" t="str">
        <f t="shared" si="120"/>
        <v/>
      </c>
    </row>
    <row r="4551" spans="8:8" x14ac:dyDescent="0.3">
      <c r="H4551" t="str">
        <f t="shared" si="120"/>
        <v/>
      </c>
    </row>
    <row r="4552" spans="8:8" x14ac:dyDescent="0.3">
      <c r="H4552" t="str">
        <f t="shared" si="120"/>
        <v/>
      </c>
    </row>
    <row r="4553" spans="8:8" x14ac:dyDescent="0.3">
      <c r="H4553" t="str">
        <f t="shared" si="120"/>
        <v/>
      </c>
    </row>
    <row r="4554" spans="8:8" x14ac:dyDescent="0.3">
      <c r="H4554" t="str">
        <f t="shared" si="120"/>
        <v/>
      </c>
    </row>
    <row r="4555" spans="8:8" x14ac:dyDescent="0.3">
      <c r="H4555" t="str">
        <f t="shared" si="120"/>
        <v/>
      </c>
    </row>
    <row r="4556" spans="8:8" x14ac:dyDescent="0.3">
      <c r="H4556" t="str">
        <f t="shared" si="120"/>
        <v/>
      </c>
    </row>
    <row r="4557" spans="8:8" x14ac:dyDescent="0.3">
      <c r="H4557" t="str">
        <f t="shared" si="120"/>
        <v/>
      </c>
    </row>
    <row r="4558" spans="8:8" x14ac:dyDescent="0.3">
      <c r="H4558" t="str">
        <f t="shared" si="120"/>
        <v/>
      </c>
    </row>
    <row r="4559" spans="8:8" x14ac:dyDescent="0.3">
      <c r="H4559" t="str">
        <f t="shared" si="120"/>
        <v/>
      </c>
    </row>
    <row r="4560" spans="8:8" x14ac:dyDescent="0.3">
      <c r="H4560" t="str">
        <f t="shared" si="120"/>
        <v/>
      </c>
    </row>
    <row r="4561" spans="8:8" x14ac:dyDescent="0.3">
      <c r="H4561" t="str">
        <f t="shared" si="120"/>
        <v/>
      </c>
    </row>
    <row r="4562" spans="8:8" x14ac:dyDescent="0.3">
      <c r="H4562" t="str">
        <f t="shared" si="120"/>
        <v/>
      </c>
    </row>
    <row r="4563" spans="8:8" x14ac:dyDescent="0.3">
      <c r="H4563" t="str">
        <f t="shared" si="120"/>
        <v/>
      </c>
    </row>
    <row r="4564" spans="8:8" x14ac:dyDescent="0.3">
      <c r="H4564" t="str">
        <f t="shared" si="120"/>
        <v/>
      </c>
    </row>
    <row r="4565" spans="8:8" x14ac:dyDescent="0.3">
      <c r="H4565" t="str">
        <f t="shared" si="120"/>
        <v/>
      </c>
    </row>
    <row r="4566" spans="8:8" x14ac:dyDescent="0.3">
      <c r="H4566" t="str">
        <f t="shared" si="120"/>
        <v/>
      </c>
    </row>
    <row r="4567" spans="8:8" x14ac:dyDescent="0.3">
      <c r="H4567" t="str">
        <f t="shared" ref="H4567:H4630" si="121">IF(B4567="","",$C$12)</f>
        <v/>
      </c>
    </row>
    <row r="4568" spans="8:8" x14ac:dyDescent="0.3">
      <c r="H4568" t="str">
        <f t="shared" si="121"/>
        <v/>
      </c>
    </row>
    <row r="4569" spans="8:8" x14ac:dyDescent="0.3">
      <c r="H4569" t="str">
        <f t="shared" si="121"/>
        <v/>
      </c>
    </row>
    <row r="4570" spans="8:8" x14ac:dyDescent="0.3">
      <c r="H4570" t="str">
        <f t="shared" si="121"/>
        <v/>
      </c>
    </row>
    <row r="4571" spans="8:8" x14ac:dyDescent="0.3">
      <c r="H4571" t="str">
        <f t="shared" si="121"/>
        <v/>
      </c>
    </row>
    <row r="4572" spans="8:8" x14ac:dyDescent="0.3">
      <c r="H4572" t="str">
        <f t="shared" si="121"/>
        <v/>
      </c>
    </row>
    <row r="4573" spans="8:8" x14ac:dyDescent="0.3">
      <c r="H4573" t="str">
        <f t="shared" si="121"/>
        <v/>
      </c>
    </row>
    <row r="4574" spans="8:8" x14ac:dyDescent="0.3">
      <c r="H4574" t="str">
        <f t="shared" si="121"/>
        <v/>
      </c>
    </row>
    <row r="4575" spans="8:8" x14ac:dyDescent="0.3">
      <c r="H4575" t="str">
        <f t="shared" si="121"/>
        <v/>
      </c>
    </row>
    <row r="4576" spans="8:8" x14ac:dyDescent="0.3">
      <c r="H4576" t="str">
        <f t="shared" si="121"/>
        <v/>
      </c>
    </row>
    <row r="4577" spans="8:8" x14ac:dyDescent="0.3">
      <c r="H4577" t="str">
        <f t="shared" si="121"/>
        <v/>
      </c>
    </row>
    <row r="4578" spans="8:8" x14ac:dyDescent="0.3">
      <c r="H4578" t="str">
        <f t="shared" si="121"/>
        <v/>
      </c>
    </row>
    <row r="4579" spans="8:8" x14ac:dyDescent="0.3">
      <c r="H4579" t="str">
        <f t="shared" si="121"/>
        <v/>
      </c>
    </row>
    <row r="4580" spans="8:8" x14ac:dyDescent="0.3">
      <c r="H4580" t="str">
        <f t="shared" si="121"/>
        <v/>
      </c>
    </row>
    <row r="4581" spans="8:8" x14ac:dyDescent="0.3">
      <c r="H4581" t="str">
        <f t="shared" si="121"/>
        <v/>
      </c>
    </row>
    <row r="4582" spans="8:8" x14ac:dyDescent="0.3">
      <c r="H4582" t="str">
        <f t="shared" si="121"/>
        <v/>
      </c>
    </row>
    <row r="4583" spans="8:8" x14ac:dyDescent="0.3">
      <c r="H4583" t="str">
        <f t="shared" si="121"/>
        <v/>
      </c>
    </row>
    <row r="4584" spans="8:8" x14ac:dyDescent="0.3">
      <c r="H4584" t="str">
        <f t="shared" si="121"/>
        <v/>
      </c>
    </row>
    <row r="4585" spans="8:8" x14ac:dyDescent="0.3">
      <c r="H4585" t="str">
        <f t="shared" si="121"/>
        <v/>
      </c>
    </row>
    <row r="4586" spans="8:8" x14ac:dyDescent="0.3">
      <c r="H4586" t="str">
        <f t="shared" si="121"/>
        <v/>
      </c>
    </row>
    <row r="4587" spans="8:8" x14ac:dyDescent="0.3">
      <c r="H4587" t="str">
        <f t="shared" si="121"/>
        <v/>
      </c>
    </row>
    <row r="4588" spans="8:8" x14ac:dyDescent="0.3">
      <c r="H4588" t="str">
        <f t="shared" si="121"/>
        <v/>
      </c>
    </row>
    <row r="4589" spans="8:8" x14ac:dyDescent="0.3">
      <c r="H4589" t="str">
        <f t="shared" si="121"/>
        <v/>
      </c>
    </row>
    <row r="4590" spans="8:8" x14ac:dyDescent="0.3">
      <c r="H4590" t="str">
        <f t="shared" si="121"/>
        <v/>
      </c>
    </row>
    <row r="4591" spans="8:8" x14ac:dyDescent="0.3">
      <c r="H4591" t="str">
        <f t="shared" si="121"/>
        <v/>
      </c>
    </row>
    <row r="4592" spans="8:8" x14ac:dyDescent="0.3">
      <c r="H4592" t="str">
        <f t="shared" si="121"/>
        <v/>
      </c>
    </row>
    <row r="4593" spans="8:8" x14ac:dyDescent="0.3">
      <c r="H4593" t="str">
        <f t="shared" si="121"/>
        <v/>
      </c>
    </row>
    <row r="4594" spans="8:8" x14ac:dyDescent="0.3">
      <c r="H4594" t="str">
        <f t="shared" si="121"/>
        <v/>
      </c>
    </row>
    <row r="4595" spans="8:8" x14ac:dyDescent="0.3">
      <c r="H4595" t="str">
        <f t="shared" si="121"/>
        <v/>
      </c>
    </row>
    <row r="4596" spans="8:8" x14ac:dyDescent="0.3">
      <c r="H4596" t="str">
        <f t="shared" si="121"/>
        <v/>
      </c>
    </row>
    <row r="4597" spans="8:8" x14ac:dyDescent="0.3">
      <c r="H4597" t="str">
        <f t="shared" si="121"/>
        <v/>
      </c>
    </row>
    <row r="4598" spans="8:8" x14ac:dyDescent="0.3">
      <c r="H4598" t="str">
        <f t="shared" si="121"/>
        <v/>
      </c>
    </row>
    <row r="4599" spans="8:8" x14ac:dyDescent="0.3">
      <c r="H4599" t="str">
        <f t="shared" si="121"/>
        <v/>
      </c>
    </row>
    <row r="4600" spans="8:8" x14ac:dyDescent="0.3">
      <c r="H4600" t="str">
        <f t="shared" si="121"/>
        <v/>
      </c>
    </row>
    <row r="4601" spans="8:8" x14ac:dyDescent="0.3">
      <c r="H4601" t="str">
        <f t="shared" si="121"/>
        <v/>
      </c>
    </row>
    <row r="4602" spans="8:8" x14ac:dyDescent="0.3">
      <c r="H4602" t="str">
        <f t="shared" si="121"/>
        <v/>
      </c>
    </row>
    <row r="4603" spans="8:8" x14ac:dyDescent="0.3">
      <c r="H4603" t="str">
        <f t="shared" si="121"/>
        <v/>
      </c>
    </row>
    <row r="4604" spans="8:8" x14ac:dyDescent="0.3">
      <c r="H4604" t="str">
        <f t="shared" si="121"/>
        <v/>
      </c>
    </row>
    <row r="4605" spans="8:8" x14ac:dyDescent="0.3">
      <c r="H4605" t="str">
        <f t="shared" si="121"/>
        <v/>
      </c>
    </row>
    <row r="4606" spans="8:8" x14ac:dyDescent="0.3">
      <c r="H4606" t="str">
        <f t="shared" si="121"/>
        <v/>
      </c>
    </row>
    <row r="4607" spans="8:8" x14ac:dyDescent="0.3">
      <c r="H4607" t="str">
        <f t="shared" si="121"/>
        <v/>
      </c>
    </row>
    <row r="4608" spans="8:8" x14ac:dyDescent="0.3">
      <c r="H4608" t="str">
        <f t="shared" si="121"/>
        <v/>
      </c>
    </row>
    <row r="4609" spans="8:8" x14ac:dyDescent="0.3">
      <c r="H4609" t="str">
        <f t="shared" si="121"/>
        <v/>
      </c>
    </row>
    <row r="4610" spans="8:8" x14ac:dyDescent="0.3">
      <c r="H4610" t="str">
        <f t="shared" si="121"/>
        <v/>
      </c>
    </row>
    <row r="4611" spans="8:8" x14ac:dyDescent="0.3">
      <c r="H4611" t="str">
        <f t="shared" si="121"/>
        <v/>
      </c>
    </row>
    <row r="4612" spans="8:8" x14ac:dyDescent="0.3">
      <c r="H4612" t="str">
        <f t="shared" si="121"/>
        <v/>
      </c>
    </row>
    <row r="4613" spans="8:8" x14ac:dyDescent="0.3">
      <c r="H4613" t="str">
        <f t="shared" si="121"/>
        <v/>
      </c>
    </row>
    <row r="4614" spans="8:8" x14ac:dyDescent="0.3">
      <c r="H4614" t="str">
        <f t="shared" si="121"/>
        <v/>
      </c>
    </row>
    <row r="4615" spans="8:8" x14ac:dyDescent="0.3">
      <c r="H4615" t="str">
        <f t="shared" si="121"/>
        <v/>
      </c>
    </row>
    <row r="4616" spans="8:8" x14ac:dyDescent="0.3">
      <c r="H4616" t="str">
        <f t="shared" si="121"/>
        <v/>
      </c>
    </row>
    <row r="4617" spans="8:8" x14ac:dyDescent="0.3">
      <c r="H4617" t="str">
        <f t="shared" si="121"/>
        <v/>
      </c>
    </row>
    <row r="4618" spans="8:8" x14ac:dyDescent="0.3">
      <c r="H4618" t="str">
        <f t="shared" si="121"/>
        <v/>
      </c>
    </row>
    <row r="4619" spans="8:8" x14ac:dyDescent="0.3">
      <c r="H4619" t="str">
        <f t="shared" si="121"/>
        <v/>
      </c>
    </row>
    <row r="4620" spans="8:8" x14ac:dyDescent="0.3">
      <c r="H4620" t="str">
        <f t="shared" si="121"/>
        <v/>
      </c>
    </row>
    <row r="4621" spans="8:8" x14ac:dyDescent="0.3">
      <c r="H4621" t="str">
        <f t="shared" si="121"/>
        <v/>
      </c>
    </row>
    <row r="4622" spans="8:8" x14ac:dyDescent="0.3">
      <c r="H4622" t="str">
        <f t="shared" si="121"/>
        <v/>
      </c>
    </row>
    <row r="4623" spans="8:8" x14ac:dyDescent="0.3">
      <c r="H4623" t="str">
        <f t="shared" si="121"/>
        <v/>
      </c>
    </row>
    <row r="4624" spans="8:8" x14ac:dyDescent="0.3">
      <c r="H4624" t="str">
        <f t="shared" si="121"/>
        <v/>
      </c>
    </row>
    <row r="4625" spans="8:8" x14ac:dyDescent="0.3">
      <c r="H4625" t="str">
        <f t="shared" si="121"/>
        <v/>
      </c>
    </row>
    <row r="4626" spans="8:8" x14ac:dyDescent="0.3">
      <c r="H4626" t="str">
        <f t="shared" si="121"/>
        <v/>
      </c>
    </row>
    <row r="4627" spans="8:8" x14ac:dyDescent="0.3">
      <c r="H4627" t="str">
        <f t="shared" si="121"/>
        <v/>
      </c>
    </row>
    <row r="4628" spans="8:8" x14ac:dyDescent="0.3">
      <c r="H4628" t="str">
        <f t="shared" si="121"/>
        <v/>
      </c>
    </row>
    <row r="4629" spans="8:8" x14ac:dyDescent="0.3">
      <c r="H4629" t="str">
        <f t="shared" si="121"/>
        <v/>
      </c>
    </row>
    <row r="4630" spans="8:8" x14ac:dyDescent="0.3">
      <c r="H4630" t="str">
        <f t="shared" si="121"/>
        <v/>
      </c>
    </row>
    <row r="4631" spans="8:8" x14ac:dyDescent="0.3">
      <c r="H4631" t="str">
        <f t="shared" ref="H4631:H4694" si="122">IF(B4631="","",$C$12)</f>
        <v/>
      </c>
    </row>
    <row r="4632" spans="8:8" x14ac:dyDescent="0.3">
      <c r="H4632" t="str">
        <f t="shared" si="122"/>
        <v/>
      </c>
    </row>
    <row r="4633" spans="8:8" x14ac:dyDescent="0.3">
      <c r="H4633" t="str">
        <f t="shared" si="122"/>
        <v/>
      </c>
    </row>
    <row r="4634" spans="8:8" x14ac:dyDescent="0.3">
      <c r="H4634" t="str">
        <f t="shared" si="122"/>
        <v/>
      </c>
    </row>
    <row r="4635" spans="8:8" x14ac:dyDescent="0.3">
      <c r="H4635" t="str">
        <f t="shared" si="122"/>
        <v/>
      </c>
    </row>
    <row r="4636" spans="8:8" x14ac:dyDescent="0.3">
      <c r="H4636" t="str">
        <f t="shared" si="122"/>
        <v/>
      </c>
    </row>
    <row r="4637" spans="8:8" x14ac:dyDescent="0.3">
      <c r="H4637" t="str">
        <f t="shared" si="122"/>
        <v/>
      </c>
    </row>
    <row r="4638" spans="8:8" x14ac:dyDescent="0.3">
      <c r="H4638" t="str">
        <f t="shared" si="122"/>
        <v/>
      </c>
    </row>
    <row r="4639" spans="8:8" x14ac:dyDescent="0.3">
      <c r="H4639" t="str">
        <f t="shared" si="122"/>
        <v/>
      </c>
    </row>
    <row r="4640" spans="8:8" x14ac:dyDescent="0.3">
      <c r="H4640" t="str">
        <f t="shared" si="122"/>
        <v/>
      </c>
    </row>
    <row r="4641" spans="8:8" x14ac:dyDescent="0.3">
      <c r="H4641" t="str">
        <f t="shared" si="122"/>
        <v/>
      </c>
    </row>
    <row r="4642" spans="8:8" x14ac:dyDescent="0.3">
      <c r="H4642" t="str">
        <f t="shared" si="122"/>
        <v/>
      </c>
    </row>
    <row r="4643" spans="8:8" x14ac:dyDescent="0.3">
      <c r="H4643" t="str">
        <f t="shared" si="122"/>
        <v/>
      </c>
    </row>
    <row r="4644" spans="8:8" x14ac:dyDescent="0.3">
      <c r="H4644" t="str">
        <f t="shared" si="122"/>
        <v/>
      </c>
    </row>
    <row r="4645" spans="8:8" x14ac:dyDescent="0.3">
      <c r="H4645" t="str">
        <f t="shared" si="122"/>
        <v/>
      </c>
    </row>
    <row r="4646" spans="8:8" x14ac:dyDescent="0.3">
      <c r="H4646" t="str">
        <f t="shared" si="122"/>
        <v/>
      </c>
    </row>
    <row r="4647" spans="8:8" x14ac:dyDescent="0.3">
      <c r="H4647" t="str">
        <f t="shared" si="122"/>
        <v/>
      </c>
    </row>
    <row r="4648" spans="8:8" x14ac:dyDescent="0.3">
      <c r="H4648" t="str">
        <f t="shared" si="122"/>
        <v/>
      </c>
    </row>
    <row r="4649" spans="8:8" x14ac:dyDescent="0.3">
      <c r="H4649" t="str">
        <f t="shared" si="122"/>
        <v/>
      </c>
    </row>
    <row r="4650" spans="8:8" x14ac:dyDescent="0.3">
      <c r="H4650" t="str">
        <f t="shared" si="122"/>
        <v/>
      </c>
    </row>
    <row r="4651" spans="8:8" x14ac:dyDescent="0.3">
      <c r="H4651" t="str">
        <f t="shared" si="122"/>
        <v/>
      </c>
    </row>
    <row r="4652" spans="8:8" x14ac:dyDescent="0.3">
      <c r="H4652" t="str">
        <f t="shared" si="122"/>
        <v/>
      </c>
    </row>
    <row r="4653" spans="8:8" x14ac:dyDescent="0.3">
      <c r="H4653" t="str">
        <f t="shared" si="122"/>
        <v/>
      </c>
    </row>
    <row r="4654" spans="8:8" x14ac:dyDescent="0.3">
      <c r="H4654" t="str">
        <f t="shared" si="122"/>
        <v/>
      </c>
    </row>
    <row r="4655" spans="8:8" x14ac:dyDescent="0.3">
      <c r="H4655" t="str">
        <f t="shared" si="122"/>
        <v/>
      </c>
    </row>
    <row r="4656" spans="8:8" x14ac:dyDescent="0.3">
      <c r="H4656" t="str">
        <f t="shared" si="122"/>
        <v/>
      </c>
    </row>
    <row r="4657" spans="8:8" x14ac:dyDescent="0.3">
      <c r="H4657" t="str">
        <f t="shared" si="122"/>
        <v/>
      </c>
    </row>
    <row r="4658" spans="8:8" x14ac:dyDescent="0.3">
      <c r="H4658" t="str">
        <f t="shared" si="122"/>
        <v/>
      </c>
    </row>
    <row r="4659" spans="8:8" x14ac:dyDescent="0.3">
      <c r="H4659" t="str">
        <f t="shared" si="122"/>
        <v/>
      </c>
    </row>
    <row r="4660" spans="8:8" x14ac:dyDescent="0.3">
      <c r="H4660" t="str">
        <f t="shared" si="122"/>
        <v/>
      </c>
    </row>
    <row r="4661" spans="8:8" x14ac:dyDescent="0.3">
      <c r="H4661" t="str">
        <f t="shared" si="122"/>
        <v/>
      </c>
    </row>
    <row r="4662" spans="8:8" x14ac:dyDescent="0.3">
      <c r="H4662" t="str">
        <f t="shared" si="122"/>
        <v/>
      </c>
    </row>
    <row r="4663" spans="8:8" x14ac:dyDescent="0.3">
      <c r="H4663" t="str">
        <f t="shared" si="122"/>
        <v/>
      </c>
    </row>
    <row r="4664" spans="8:8" x14ac:dyDescent="0.3">
      <c r="H4664" t="str">
        <f t="shared" si="122"/>
        <v/>
      </c>
    </row>
    <row r="4665" spans="8:8" x14ac:dyDescent="0.3">
      <c r="H4665" t="str">
        <f t="shared" si="122"/>
        <v/>
      </c>
    </row>
    <row r="4666" spans="8:8" x14ac:dyDescent="0.3">
      <c r="H4666" t="str">
        <f t="shared" si="122"/>
        <v/>
      </c>
    </row>
    <row r="4667" spans="8:8" x14ac:dyDescent="0.3">
      <c r="H4667" t="str">
        <f t="shared" si="122"/>
        <v/>
      </c>
    </row>
    <row r="4668" spans="8:8" x14ac:dyDescent="0.3">
      <c r="H4668" t="str">
        <f t="shared" si="122"/>
        <v/>
      </c>
    </row>
    <row r="4669" spans="8:8" x14ac:dyDescent="0.3">
      <c r="H4669" t="str">
        <f t="shared" si="122"/>
        <v/>
      </c>
    </row>
    <row r="4670" spans="8:8" x14ac:dyDescent="0.3">
      <c r="H4670" t="str">
        <f t="shared" si="122"/>
        <v/>
      </c>
    </row>
    <row r="4671" spans="8:8" x14ac:dyDescent="0.3">
      <c r="H4671" t="str">
        <f t="shared" si="122"/>
        <v/>
      </c>
    </row>
    <row r="4672" spans="8:8" x14ac:dyDescent="0.3">
      <c r="H4672" t="str">
        <f t="shared" si="122"/>
        <v/>
      </c>
    </row>
    <row r="4673" spans="8:8" x14ac:dyDescent="0.3">
      <c r="H4673" t="str">
        <f t="shared" si="122"/>
        <v/>
      </c>
    </row>
    <row r="4674" spans="8:8" x14ac:dyDescent="0.3">
      <c r="H4674" t="str">
        <f t="shared" si="122"/>
        <v/>
      </c>
    </row>
    <row r="4675" spans="8:8" x14ac:dyDescent="0.3">
      <c r="H4675" t="str">
        <f t="shared" si="122"/>
        <v/>
      </c>
    </row>
    <row r="4676" spans="8:8" x14ac:dyDescent="0.3">
      <c r="H4676" t="str">
        <f t="shared" si="122"/>
        <v/>
      </c>
    </row>
    <row r="4677" spans="8:8" x14ac:dyDescent="0.3">
      <c r="H4677" t="str">
        <f t="shared" si="122"/>
        <v/>
      </c>
    </row>
    <row r="4678" spans="8:8" x14ac:dyDescent="0.3">
      <c r="H4678" t="str">
        <f t="shared" si="122"/>
        <v/>
      </c>
    </row>
    <row r="4679" spans="8:8" x14ac:dyDescent="0.3">
      <c r="H4679" t="str">
        <f t="shared" si="122"/>
        <v/>
      </c>
    </row>
    <row r="4680" spans="8:8" x14ac:dyDescent="0.3">
      <c r="H4680" t="str">
        <f t="shared" si="122"/>
        <v/>
      </c>
    </row>
    <row r="4681" spans="8:8" x14ac:dyDescent="0.3">
      <c r="H4681" t="str">
        <f t="shared" si="122"/>
        <v/>
      </c>
    </row>
    <row r="4682" spans="8:8" x14ac:dyDescent="0.3">
      <c r="H4682" t="str">
        <f t="shared" si="122"/>
        <v/>
      </c>
    </row>
    <row r="4683" spans="8:8" x14ac:dyDescent="0.3">
      <c r="H4683" t="str">
        <f t="shared" si="122"/>
        <v/>
      </c>
    </row>
    <row r="4684" spans="8:8" x14ac:dyDescent="0.3">
      <c r="H4684" t="str">
        <f t="shared" si="122"/>
        <v/>
      </c>
    </row>
    <row r="4685" spans="8:8" x14ac:dyDescent="0.3">
      <c r="H4685" t="str">
        <f t="shared" si="122"/>
        <v/>
      </c>
    </row>
    <row r="4686" spans="8:8" x14ac:dyDescent="0.3">
      <c r="H4686" t="str">
        <f t="shared" si="122"/>
        <v/>
      </c>
    </row>
    <row r="4687" spans="8:8" x14ac:dyDescent="0.3">
      <c r="H4687" t="str">
        <f t="shared" si="122"/>
        <v/>
      </c>
    </row>
    <row r="4688" spans="8:8" x14ac:dyDescent="0.3">
      <c r="H4688" t="str">
        <f t="shared" si="122"/>
        <v/>
      </c>
    </row>
    <row r="4689" spans="8:8" x14ac:dyDescent="0.3">
      <c r="H4689" t="str">
        <f t="shared" si="122"/>
        <v/>
      </c>
    </row>
    <row r="4690" spans="8:8" x14ac:dyDescent="0.3">
      <c r="H4690" t="str">
        <f t="shared" si="122"/>
        <v/>
      </c>
    </row>
    <row r="4691" spans="8:8" x14ac:dyDescent="0.3">
      <c r="H4691" t="str">
        <f t="shared" si="122"/>
        <v/>
      </c>
    </row>
    <row r="4692" spans="8:8" x14ac:dyDescent="0.3">
      <c r="H4692" t="str">
        <f t="shared" si="122"/>
        <v/>
      </c>
    </row>
    <row r="4693" spans="8:8" x14ac:dyDescent="0.3">
      <c r="H4693" t="str">
        <f t="shared" si="122"/>
        <v/>
      </c>
    </row>
    <row r="4694" spans="8:8" x14ac:dyDescent="0.3">
      <c r="H4694" t="str">
        <f t="shared" si="122"/>
        <v/>
      </c>
    </row>
    <row r="4695" spans="8:8" x14ac:dyDescent="0.3">
      <c r="H4695" t="str">
        <f t="shared" ref="H4695:H4758" si="123">IF(B4695="","",$C$12)</f>
        <v/>
      </c>
    </row>
    <row r="4696" spans="8:8" x14ac:dyDescent="0.3">
      <c r="H4696" t="str">
        <f t="shared" si="123"/>
        <v/>
      </c>
    </row>
    <row r="4697" spans="8:8" x14ac:dyDescent="0.3">
      <c r="H4697" t="str">
        <f t="shared" si="123"/>
        <v/>
      </c>
    </row>
    <row r="4698" spans="8:8" x14ac:dyDescent="0.3">
      <c r="H4698" t="str">
        <f t="shared" si="123"/>
        <v/>
      </c>
    </row>
    <row r="4699" spans="8:8" x14ac:dyDescent="0.3">
      <c r="H4699" t="str">
        <f t="shared" si="123"/>
        <v/>
      </c>
    </row>
    <row r="4700" spans="8:8" x14ac:dyDescent="0.3">
      <c r="H4700" t="str">
        <f t="shared" si="123"/>
        <v/>
      </c>
    </row>
    <row r="4701" spans="8:8" x14ac:dyDescent="0.3">
      <c r="H4701" t="str">
        <f t="shared" si="123"/>
        <v/>
      </c>
    </row>
    <row r="4702" spans="8:8" x14ac:dyDescent="0.3">
      <c r="H4702" t="str">
        <f t="shared" si="123"/>
        <v/>
      </c>
    </row>
    <row r="4703" spans="8:8" x14ac:dyDescent="0.3">
      <c r="H4703" t="str">
        <f t="shared" si="123"/>
        <v/>
      </c>
    </row>
    <row r="4704" spans="8:8" x14ac:dyDescent="0.3">
      <c r="H4704" t="str">
        <f t="shared" si="123"/>
        <v/>
      </c>
    </row>
    <row r="4705" spans="8:8" x14ac:dyDescent="0.3">
      <c r="H4705" t="str">
        <f t="shared" si="123"/>
        <v/>
      </c>
    </row>
    <row r="4706" spans="8:8" x14ac:dyDescent="0.3">
      <c r="H4706" t="str">
        <f t="shared" si="123"/>
        <v/>
      </c>
    </row>
    <row r="4707" spans="8:8" x14ac:dyDescent="0.3">
      <c r="H4707" t="str">
        <f t="shared" si="123"/>
        <v/>
      </c>
    </row>
    <row r="4708" spans="8:8" x14ac:dyDescent="0.3">
      <c r="H4708" t="str">
        <f t="shared" si="123"/>
        <v/>
      </c>
    </row>
    <row r="4709" spans="8:8" x14ac:dyDescent="0.3">
      <c r="H4709" t="str">
        <f t="shared" si="123"/>
        <v/>
      </c>
    </row>
    <row r="4710" spans="8:8" x14ac:dyDescent="0.3">
      <c r="H4710" t="str">
        <f t="shared" si="123"/>
        <v/>
      </c>
    </row>
    <row r="4711" spans="8:8" x14ac:dyDescent="0.3">
      <c r="H4711" t="str">
        <f t="shared" si="123"/>
        <v/>
      </c>
    </row>
    <row r="4712" spans="8:8" x14ac:dyDescent="0.3">
      <c r="H4712" t="str">
        <f t="shared" si="123"/>
        <v/>
      </c>
    </row>
    <row r="4713" spans="8:8" x14ac:dyDescent="0.3">
      <c r="H4713" t="str">
        <f t="shared" si="123"/>
        <v/>
      </c>
    </row>
    <row r="4714" spans="8:8" x14ac:dyDescent="0.3">
      <c r="H4714" t="str">
        <f t="shared" si="123"/>
        <v/>
      </c>
    </row>
    <row r="4715" spans="8:8" x14ac:dyDescent="0.3">
      <c r="H4715" t="str">
        <f t="shared" si="123"/>
        <v/>
      </c>
    </row>
    <row r="4716" spans="8:8" x14ac:dyDescent="0.3">
      <c r="H4716" t="str">
        <f t="shared" si="123"/>
        <v/>
      </c>
    </row>
    <row r="4717" spans="8:8" x14ac:dyDescent="0.3">
      <c r="H4717" t="str">
        <f t="shared" si="123"/>
        <v/>
      </c>
    </row>
    <row r="4718" spans="8:8" x14ac:dyDescent="0.3">
      <c r="H4718" t="str">
        <f t="shared" si="123"/>
        <v/>
      </c>
    </row>
    <row r="4719" spans="8:8" x14ac:dyDescent="0.3">
      <c r="H4719" t="str">
        <f t="shared" si="123"/>
        <v/>
      </c>
    </row>
    <row r="4720" spans="8:8" x14ac:dyDescent="0.3">
      <c r="H4720" t="str">
        <f t="shared" si="123"/>
        <v/>
      </c>
    </row>
    <row r="4721" spans="8:8" x14ac:dyDescent="0.3">
      <c r="H4721" t="str">
        <f t="shared" si="123"/>
        <v/>
      </c>
    </row>
    <row r="4722" spans="8:8" x14ac:dyDescent="0.3">
      <c r="H4722" t="str">
        <f t="shared" si="123"/>
        <v/>
      </c>
    </row>
    <row r="4723" spans="8:8" x14ac:dyDescent="0.3">
      <c r="H4723" t="str">
        <f t="shared" si="123"/>
        <v/>
      </c>
    </row>
    <row r="4724" spans="8:8" x14ac:dyDescent="0.3">
      <c r="H4724" t="str">
        <f t="shared" si="123"/>
        <v/>
      </c>
    </row>
    <row r="4725" spans="8:8" x14ac:dyDescent="0.3">
      <c r="H4725" t="str">
        <f t="shared" si="123"/>
        <v/>
      </c>
    </row>
    <row r="4726" spans="8:8" x14ac:dyDescent="0.3">
      <c r="H4726" t="str">
        <f t="shared" si="123"/>
        <v/>
      </c>
    </row>
    <row r="4727" spans="8:8" x14ac:dyDescent="0.3">
      <c r="H4727" t="str">
        <f t="shared" si="123"/>
        <v/>
      </c>
    </row>
    <row r="4728" spans="8:8" x14ac:dyDescent="0.3">
      <c r="H4728" t="str">
        <f t="shared" si="123"/>
        <v/>
      </c>
    </row>
    <row r="4729" spans="8:8" x14ac:dyDescent="0.3">
      <c r="H4729" t="str">
        <f t="shared" si="123"/>
        <v/>
      </c>
    </row>
    <row r="4730" spans="8:8" x14ac:dyDescent="0.3">
      <c r="H4730" t="str">
        <f t="shared" si="123"/>
        <v/>
      </c>
    </row>
    <row r="4731" spans="8:8" x14ac:dyDescent="0.3">
      <c r="H4731" t="str">
        <f t="shared" si="123"/>
        <v/>
      </c>
    </row>
    <row r="4732" spans="8:8" x14ac:dyDescent="0.3">
      <c r="H4732" t="str">
        <f t="shared" si="123"/>
        <v/>
      </c>
    </row>
    <row r="4733" spans="8:8" x14ac:dyDescent="0.3">
      <c r="H4733" t="str">
        <f t="shared" si="123"/>
        <v/>
      </c>
    </row>
    <row r="4734" spans="8:8" x14ac:dyDescent="0.3">
      <c r="H4734" t="str">
        <f t="shared" si="123"/>
        <v/>
      </c>
    </row>
    <row r="4735" spans="8:8" x14ac:dyDescent="0.3">
      <c r="H4735" t="str">
        <f t="shared" si="123"/>
        <v/>
      </c>
    </row>
    <row r="4736" spans="8:8" x14ac:dyDescent="0.3">
      <c r="H4736" t="str">
        <f t="shared" si="123"/>
        <v/>
      </c>
    </row>
    <row r="4737" spans="8:8" x14ac:dyDescent="0.3">
      <c r="H4737" t="str">
        <f t="shared" si="123"/>
        <v/>
      </c>
    </row>
    <row r="4738" spans="8:8" x14ac:dyDescent="0.3">
      <c r="H4738" t="str">
        <f t="shared" si="123"/>
        <v/>
      </c>
    </row>
    <row r="4739" spans="8:8" x14ac:dyDescent="0.3">
      <c r="H4739" t="str">
        <f t="shared" si="123"/>
        <v/>
      </c>
    </row>
    <row r="4740" spans="8:8" x14ac:dyDescent="0.3">
      <c r="H4740" t="str">
        <f t="shared" si="123"/>
        <v/>
      </c>
    </row>
    <row r="4741" spans="8:8" x14ac:dyDescent="0.3">
      <c r="H4741" t="str">
        <f t="shared" si="123"/>
        <v/>
      </c>
    </row>
    <row r="4742" spans="8:8" x14ac:dyDescent="0.3">
      <c r="H4742" t="str">
        <f t="shared" si="123"/>
        <v/>
      </c>
    </row>
    <row r="4743" spans="8:8" x14ac:dyDescent="0.3">
      <c r="H4743" t="str">
        <f t="shared" si="123"/>
        <v/>
      </c>
    </row>
    <row r="4744" spans="8:8" x14ac:dyDescent="0.3">
      <c r="H4744" t="str">
        <f t="shared" si="123"/>
        <v/>
      </c>
    </row>
    <row r="4745" spans="8:8" x14ac:dyDescent="0.3">
      <c r="H4745" t="str">
        <f t="shared" si="123"/>
        <v/>
      </c>
    </row>
    <row r="4746" spans="8:8" x14ac:dyDescent="0.3">
      <c r="H4746" t="str">
        <f t="shared" si="123"/>
        <v/>
      </c>
    </row>
    <row r="4747" spans="8:8" x14ac:dyDescent="0.3">
      <c r="H4747" t="str">
        <f t="shared" si="123"/>
        <v/>
      </c>
    </row>
    <row r="4748" spans="8:8" x14ac:dyDescent="0.3">
      <c r="H4748" t="str">
        <f t="shared" si="123"/>
        <v/>
      </c>
    </row>
    <row r="4749" spans="8:8" x14ac:dyDescent="0.3">
      <c r="H4749" t="str">
        <f t="shared" si="123"/>
        <v/>
      </c>
    </row>
    <row r="4750" spans="8:8" x14ac:dyDescent="0.3">
      <c r="H4750" t="str">
        <f t="shared" si="123"/>
        <v/>
      </c>
    </row>
    <row r="4751" spans="8:8" x14ac:dyDescent="0.3">
      <c r="H4751" t="str">
        <f t="shared" si="123"/>
        <v/>
      </c>
    </row>
    <row r="4752" spans="8:8" x14ac:dyDescent="0.3">
      <c r="H4752" t="str">
        <f t="shared" si="123"/>
        <v/>
      </c>
    </row>
    <row r="4753" spans="8:8" x14ac:dyDescent="0.3">
      <c r="H4753" t="str">
        <f t="shared" si="123"/>
        <v/>
      </c>
    </row>
    <row r="4754" spans="8:8" x14ac:dyDescent="0.3">
      <c r="H4754" t="str">
        <f t="shared" si="123"/>
        <v/>
      </c>
    </row>
    <row r="4755" spans="8:8" x14ac:dyDescent="0.3">
      <c r="H4755" t="str">
        <f t="shared" si="123"/>
        <v/>
      </c>
    </row>
    <row r="4756" spans="8:8" x14ac:dyDescent="0.3">
      <c r="H4756" t="str">
        <f t="shared" si="123"/>
        <v/>
      </c>
    </row>
    <row r="4757" spans="8:8" x14ac:dyDescent="0.3">
      <c r="H4757" t="str">
        <f t="shared" si="123"/>
        <v/>
      </c>
    </row>
    <row r="4758" spans="8:8" x14ac:dyDescent="0.3">
      <c r="H4758" t="str">
        <f t="shared" si="123"/>
        <v/>
      </c>
    </row>
    <row r="4759" spans="8:8" x14ac:dyDescent="0.3">
      <c r="H4759" t="str">
        <f t="shared" ref="H4759:H4822" si="124">IF(B4759="","",$C$12)</f>
        <v/>
      </c>
    </row>
    <row r="4760" spans="8:8" x14ac:dyDescent="0.3">
      <c r="H4760" t="str">
        <f t="shared" si="124"/>
        <v/>
      </c>
    </row>
    <row r="4761" spans="8:8" x14ac:dyDescent="0.3">
      <c r="H4761" t="str">
        <f t="shared" si="124"/>
        <v/>
      </c>
    </row>
    <row r="4762" spans="8:8" x14ac:dyDescent="0.3">
      <c r="H4762" t="str">
        <f t="shared" si="124"/>
        <v/>
      </c>
    </row>
    <row r="4763" spans="8:8" x14ac:dyDescent="0.3">
      <c r="H4763" t="str">
        <f t="shared" si="124"/>
        <v/>
      </c>
    </row>
    <row r="4764" spans="8:8" x14ac:dyDescent="0.3">
      <c r="H4764" t="str">
        <f t="shared" si="124"/>
        <v/>
      </c>
    </row>
    <row r="4765" spans="8:8" x14ac:dyDescent="0.3">
      <c r="H4765" t="str">
        <f t="shared" si="124"/>
        <v/>
      </c>
    </row>
    <row r="4766" spans="8:8" x14ac:dyDescent="0.3">
      <c r="H4766" t="str">
        <f t="shared" si="124"/>
        <v/>
      </c>
    </row>
    <row r="4767" spans="8:8" x14ac:dyDescent="0.3">
      <c r="H4767" t="str">
        <f t="shared" si="124"/>
        <v/>
      </c>
    </row>
    <row r="4768" spans="8:8" x14ac:dyDescent="0.3">
      <c r="H4768" t="str">
        <f t="shared" si="124"/>
        <v/>
      </c>
    </row>
    <row r="4769" spans="8:8" x14ac:dyDescent="0.3">
      <c r="H4769" t="str">
        <f t="shared" si="124"/>
        <v/>
      </c>
    </row>
    <row r="4770" spans="8:8" x14ac:dyDescent="0.3">
      <c r="H4770" t="str">
        <f t="shared" si="124"/>
        <v/>
      </c>
    </row>
    <row r="4771" spans="8:8" x14ac:dyDescent="0.3">
      <c r="H4771" t="str">
        <f t="shared" si="124"/>
        <v/>
      </c>
    </row>
    <row r="4772" spans="8:8" x14ac:dyDescent="0.3">
      <c r="H4772" t="str">
        <f t="shared" si="124"/>
        <v/>
      </c>
    </row>
    <row r="4773" spans="8:8" x14ac:dyDescent="0.3">
      <c r="H4773" t="str">
        <f t="shared" si="124"/>
        <v/>
      </c>
    </row>
    <row r="4774" spans="8:8" x14ac:dyDescent="0.3">
      <c r="H4774" t="str">
        <f t="shared" si="124"/>
        <v/>
      </c>
    </row>
    <row r="4775" spans="8:8" x14ac:dyDescent="0.3">
      <c r="H4775" t="str">
        <f t="shared" si="124"/>
        <v/>
      </c>
    </row>
    <row r="4776" spans="8:8" x14ac:dyDescent="0.3">
      <c r="H4776" t="str">
        <f t="shared" si="124"/>
        <v/>
      </c>
    </row>
    <row r="4777" spans="8:8" x14ac:dyDescent="0.3">
      <c r="H4777" t="str">
        <f t="shared" si="124"/>
        <v/>
      </c>
    </row>
    <row r="4778" spans="8:8" x14ac:dyDescent="0.3">
      <c r="H4778" t="str">
        <f t="shared" si="124"/>
        <v/>
      </c>
    </row>
    <row r="4779" spans="8:8" x14ac:dyDescent="0.3">
      <c r="H4779" t="str">
        <f t="shared" si="124"/>
        <v/>
      </c>
    </row>
    <row r="4780" spans="8:8" x14ac:dyDescent="0.3">
      <c r="H4780" t="str">
        <f t="shared" si="124"/>
        <v/>
      </c>
    </row>
    <row r="4781" spans="8:8" x14ac:dyDescent="0.3">
      <c r="H4781" t="str">
        <f t="shared" si="124"/>
        <v/>
      </c>
    </row>
    <row r="4782" spans="8:8" x14ac:dyDescent="0.3">
      <c r="H4782" t="str">
        <f t="shared" si="124"/>
        <v/>
      </c>
    </row>
    <row r="4783" spans="8:8" x14ac:dyDescent="0.3">
      <c r="H4783" t="str">
        <f t="shared" si="124"/>
        <v/>
      </c>
    </row>
    <row r="4784" spans="8:8" x14ac:dyDescent="0.3">
      <c r="H4784" t="str">
        <f t="shared" si="124"/>
        <v/>
      </c>
    </row>
    <row r="4785" spans="8:8" x14ac:dyDescent="0.3">
      <c r="H4785" t="str">
        <f t="shared" si="124"/>
        <v/>
      </c>
    </row>
    <row r="4786" spans="8:8" x14ac:dyDescent="0.3">
      <c r="H4786" t="str">
        <f t="shared" si="124"/>
        <v/>
      </c>
    </row>
    <row r="4787" spans="8:8" x14ac:dyDescent="0.3">
      <c r="H4787" t="str">
        <f t="shared" si="124"/>
        <v/>
      </c>
    </row>
    <row r="4788" spans="8:8" x14ac:dyDescent="0.3">
      <c r="H4788" t="str">
        <f t="shared" si="124"/>
        <v/>
      </c>
    </row>
    <row r="4789" spans="8:8" x14ac:dyDescent="0.3">
      <c r="H4789" t="str">
        <f t="shared" si="124"/>
        <v/>
      </c>
    </row>
    <row r="4790" spans="8:8" x14ac:dyDescent="0.3">
      <c r="H4790" t="str">
        <f t="shared" si="124"/>
        <v/>
      </c>
    </row>
    <row r="4791" spans="8:8" x14ac:dyDescent="0.3">
      <c r="H4791" t="str">
        <f t="shared" si="124"/>
        <v/>
      </c>
    </row>
    <row r="4792" spans="8:8" x14ac:dyDescent="0.3">
      <c r="H4792" t="str">
        <f t="shared" si="124"/>
        <v/>
      </c>
    </row>
    <row r="4793" spans="8:8" x14ac:dyDescent="0.3">
      <c r="H4793" t="str">
        <f t="shared" si="124"/>
        <v/>
      </c>
    </row>
    <row r="4794" spans="8:8" x14ac:dyDescent="0.3">
      <c r="H4794" t="str">
        <f t="shared" si="124"/>
        <v/>
      </c>
    </row>
    <row r="4795" spans="8:8" x14ac:dyDescent="0.3">
      <c r="H4795" t="str">
        <f t="shared" si="124"/>
        <v/>
      </c>
    </row>
    <row r="4796" spans="8:8" x14ac:dyDescent="0.3">
      <c r="H4796" t="str">
        <f t="shared" si="124"/>
        <v/>
      </c>
    </row>
    <row r="4797" spans="8:8" x14ac:dyDescent="0.3">
      <c r="H4797" t="str">
        <f t="shared" si="124"/>
        <v/>
      </c>
    </row>
    <row r="4798" spans="8:8" x14ac:dyDescent="0.3">
      <c r="H4798" t="str">
        <f t="shared" si="124"/>
        <v/>
      </c>
    </row>
    <row r="4799" spans="8:8" x14ac:dyDescent="0.3">
      <c r="H4799" t="str">
        <f t="shared" si="124"/>
        <v/>
      </c>
    </row>
    <row r="4800" spans="8:8" x14ac:dyDescent="0.3">
      <c r="H4800" t="str">
        <f t="shared" si="124"/>
        <v/>
      </c>
    </row>
    <row r="4801" spans="8:8" x14ac:dyDescent="0.3">
      <c r="H4801" t="str">
        <f t="shared" si="124"/>
        <v/>
      </c>
    </row>
    <row r="4802" spans="8:8" x14ac:dyDescent="0.3">
      <c r="H4802" t="str">
        <f t="shared" si="124"/>
        <v/>
      </c>
    </row>
    <row r="4803" spans="8:8" x14ac:dyDescent="0.3">
      <c r="H4803" t="str">
        <f t="shared" si="124"/>
        <v/>
      </c>
    </row>
    <row r="4804" spans="8:8" x14ac:dyDescent="0.3">
      <c r="H4804" t="str">
        <f t="shared" si="124"/>
        <v/>
      </c>
    </row>
    <row r="4805" spans="8:8" x14ac:dyDescent="0.3">
      <c r="H4805" t="str">
        <f t="shared" si="124"/>
        <v/>
      </c>
    </row>
    <row r="4806" spans="8:8" x14ac:dyDescent="0.3">
      <c r="H4806" t="str">
        <f t="shared" si="124"/>
        <v/>
      </c>
    </row>
    <row r="4807" spans="8:8" x14ac:dyDescent="0.3">
      <c r="H4807" t="str">
        <f t="shared" si="124"/>
        <v/>
      </c>
    </row>
    <row r="4808" spans="8:8" x14ac:dyDescent="0.3">
      <c r="H4808" t="str">
        <f t="shared" si="124"/>
        <v/>
      </c>
    </row>
    <row r="4809" spans="8:8" x14ac:dyDescent="0.3">
      <c r="H4809" t="str">
        <f t="shared" si="124"/>
        <v/>
      </c>
    </row>
    <row r="4810" spans="8:8" x14ac:dyDescent="0.3">
      <c r="H4810" t="str">
        <f t="shared" si="124"/>
        <v/>
      </c>
    </row>
    <row r="4811" spans="8:8" x14ac:dyDescent="0.3">
      <c r="H4811" t="str">
        <f t="shared" si="124"/>
        <v/>
      </c>
    </row>
    <row r="4812" spans="8:8" x14ac:dyDescent="0.3">
      <c r="H4812" t="str">
        <f t="shared" si="124"/>
        <v/>
      </c>
    </row>
    <row r="4813" spans="8:8" x14ac:dyDescent="0.3">
      <c r="H4813" t="str">
        <f t="shared" si="124"/>
        <v/>
      </c>
    </row>
    <row r="4814" spans="8:8" x14ac:dyDescent="0.3">
      <c r="H4814" t="str">
        <f t="shared" si="124"/>
        <v/>
      </c>
    </row>
    <row r="4815" spans="8:8" x14ac:dyDescent="0.3">
      <c r="H4815" t="str">
        <f t="shared" si="124"/>
        <v/>
      </c>
    </row>
    <row r="4816" spans="8:8" x14ac:dyDescent="0.3">
      <c r="H4816" t="str">
        <f t="shared" si="124"/>
        <v/>
      </c>
    </row>
    <row r="4817" spans="8:8" x14ac:dyDescent="0.3">
      <c r="H4817" t="str">
        <f t="shared" si="124"/>
        <v/>
      </c>
    </row>
    <row r="4818" spans="8:8" x14ac:dyDescent="0.3">
      <c r="H4818" t="str">
        <f t="shared" si="124"/>
        <v/>
      </c>
    </row>
    <row r="4819" spans="8:8" x14ac:dyDescent="0.3">
      <c r="H4819" t="str">
        <f t="shared" si="124"/>
        <v/>
      </c>
    </row>
    <row r="4820" spans="8:8" x14ac:dyDescent="0.3">
      <c r="H4820" t="str">
        <f t="shared" si="124"/>
        <v/>
      </c>
    </row>
    <row r="4821" spans="8:8" x14ac:dyDescent="0.3">
      <c r="H4821" t="str">
        <f t="shared" si="124"/>
        <v/>
      </c>
    </row>
    <row r="4822" spans="8:8" x14ac:dyDescent="0.3">
      <c r="H4822" t="str">
        <f t="shared" si="124"/>
        <v/>
      </c>
    </row>
    <row r="4823" spans="8:8" x14ac:dyDescent="0.3">
      <c r="H4823" t="str">
        <f t="shared" ref="H4823:H4886" si="125">IF(B4823="","",$C$12)</f>
        <v/>
      </c>
    </row>
    <row r="4824" spans="8:8" x14ac:dyDescent="0.3">
      <c r="H4824" t="str">
        <f t="shared" si="125"/>
        <v/>
      </c>
    </row>
    <row r="4825" spans="8:8" x14ac:dyDescent="0.3">
      <c r="H4825" t="str">
        <f t="shared" si="125"/>
        <v/>
      </c>
    </row>
    <row r="4826" spans="8:8" x14ac:dyDescent="0.3">
      <c r="H4826" t="str">
        <f t="shared" si="125"/>
        <v/>
      </c>
    </row>
    <row r="4827" spans="8:8" x14ac:dyDescent="0.3">
      <c r="H4827" t="str">
        <f t="shared" si="125"/>
        <v/>
      </c>
    </row>
    <row r="4828" spans="8:8" x14ac:dyDescent="0.3">
      <c r="H4828" t="str">
        <f t="shared" si="125"/>
        <v/>
      </c>
    </row>
    <row r="4829" spans="8:8" x14ac:dyDescent="0.3">
      <c r="H4829" t="str">
        <f t="shared" si="125"/>
        <v/>
      </c>
    </row>
    <row r="4830" spans="8:8" x14ac:dyDescent="0.3">
      <c r="H4830" t="str">
        <f t="shared" si="125"/>
        <v/>
      </c>
    </row>
    <row r="4831" spans="8:8" x14ac:dyDescent="0.3">
      <c r="H4831" t="str">
        <f t="shared" si="125"/>
        <v/>
      </c>
    </row>
    <row r="4832" spans="8:8" x14ac:dyDescent="0.3">
      <c r="H4832" t="str">
        <f t="shared" si="125"/>
        <v/>
      </c>
    </row>
    <row r="4833" spans="8:8" x14ac:dyDescent="0.3">
      <c r="H4833" t="str">
        <f t="shared" si="125"/>
        <v/>
      </c>
    </row>
    <row r="4834" spans="8:8" x14ac:dyDescent="0.3">
      <c r="H4834" t="str">
        <f t="shared" si="125"/>
        <v/>
      </c>
    </row>
    <row r="4835" spans="8:8" x14ac:dyDescent="0.3">
      <c r="H4835" t="str">
        <f t="shared" si="125"/>
        <v/>
      </c>
    </row>
    <row r="4836" spans="8:8" x14ac:dyDescent="0.3">
      <c r="H4836" t="str">
        <f t="shared" si="125"/>
        <v/>
      </c>
    </row>
    <row r="4837" spans="8:8" x14ac:dyDescent="0.3">
      <c r="H4837" t="str">
        <f t="shared" si="125"/>
        <v/>
      </c>
    </row>
    <row r="4838" spans="8:8" x14ac:dyDescent="0.3">
      <c r="H4838" t="str">
        <f t="shared" si="125"/>
        <v/>
      </c>
    </row>
    <row r="4839" spans="8:8" x14ac:dyDescent="0.3">
      <c r="H4839" t="str">
        <f t="shared" si="125"/>
        <v/>
      </c>
    </row>
    <row r="4840" spans="8:8" x14ac:dyDescent="0.3">
      <c r="H4840" t="str">
        <f t="shared" si="125"/>
        <v/>
      </c>
    </row>
    <row r="4841" spans="8:8" x14ac:dyDescent="0.3">
      <c r="H4841" t="str">
        <f t="shared" si="125"/>
        <v/>
      </c>
    </row>
    <row r="4842" spans="8:8" x14ac:dyDescent="0.3">
      <c r="H4842" t="str">
        <f t="shared" si="125"/>
        <v/>
      </c>
    </row>
    <row r="4843" spans="8:8" x14ac:dyDescent="0.3">
      <c r="H4843" t="str">
        <f t="shared" si="125"/>
        <v/>
      </c>
    </row>
    <row r="4844" spans="8:8" x14ac:dyDescent="0.3">
      <c r="H4844" t="str">
        <f t="shared" si="125"/>
        <v/>
      </c>
    </row>
    <row r="4845" spans="8:8" x14ac:dyDescent="0.3">
      <c r="H4845" t="str">
        <f t="shared" si="125"/>
        <v/>
      </c>
    </row>
    <row r="4846" spans="8:8" x14ac:dyDescent="0.3">
      <c r="H4846" t="str">
        <f t="shared" si="125"/>
        <v/>
      </c>
    </row>
    <row r="4847" spans="8:8" x14ac:dyDescent="0.3">
      <c r="H4847" t="str">
        <f t="shared" si="125"/>
        <v/>
      </c>
    </row>
    <row r="4848" spans="8:8" x14ac:dyDescent="0.3">
      <c r="H4848" t="str">
        <f t="shared" si="125"/>
        <v/>
      </c>
    </row>
    <row r="4849" spans="8:8" x14ac:dyDescent="0.3">
      <c r="H4849" t="str">
        <f t="shared" si="125"/>
        <v/>
      </c>
    </row>
    <row r="4850" spans="8:8" x14ac:dyDescent="0.3">
      <c r="H4850" t="str">
        <f t="shared" si="125"/>
        <v/>
      </c>
    </row>
    <row r="4851" spans="8:8" x14ac:dyDescent="0.3">
      <c r="H4851" t="str">
        <f t="shared" si="125"/>
        <v/>
      </c>
    </row>
    <row r="4852" spans="8:8" x14ac:dyDescent="0.3">
      <c r="H4852" t="str">
        <f t="shared" si="125"/>
        <v/>
      </c>
    </row>
    <row r="4853" spans="8:8" x14ac:dyDescent="0.3">
      <c r="H4853" t="str">
        <f t="shared" si="125"/>
        <v/>
      </c>
    </row>
    <row r="4854" spans="8:8" x14ac:dyDescent="0.3">
      <c r="H4854" t="str">
        <f t="shared" si="125"/>
        <v/>
      </c>
    </row>
    <row r="4855" spans="8:8" x14ac:dyDescent="0.3">
      <c r="H4855" t="str">
        <f t="shared" si="125"/>
        <v/>
      </c>
    </row>
    <row r="4856" spans="8:8" x14ac:dyDescent="0.3">
      <c r="H4856" t="str">
        <f t="shared" si="125"/>
        <v/>
      </c>
    </row>
    <row r="4857" spans="8:8" x14ac:dyDescent="0.3">
      <c r="H4857" t="str">
        <f t="shared" si="125"/>
        <v/>
      </c>
    </row>
    <row r="4858" spans="8:8" x14ac:dyDescent="0.3">
      <c r="H4858" t="str">
        <f t="shared" si="125"/>
        <v/>
      </c>
    </row>
    <row r="4859" spans="8:8" x14ac:dyDescent="0.3">
      <c r="H4859" t="str">
        <f t="shared" si="125"/>
        <v/>
      </c>
    </row>
    <row r="4860" spans="8:8" x14ac:dyDescent="0.3">
      <c r="H4860" t="str">
        <f t="shared" si="125"/>
        <v/>
      </c>
    </row>
    <row r="4861" spans="8:8" x14ac:dyDescent="0.3">
      <c r="H4861" t="str">
        <f t="shared" si="125"/>
        <v/>
      </c>
    </row>
    <row r="4862" spans="8:8" x14ac:dyDescent="0.3">
      <c r="H4862" t="str">
        <f t="shared" si="125"/>
        <v/>
      </c>
    </row>
    <row r="4863" spans="8:8" x14ac:dyDescent="0.3">
      <c r="H4863" t="str">
        <f t="shared" si="125"/>
        <v/>
      </c>
    </row>
    <row r="4864" spans="8:8" x14ac:dyDescent="0.3">
      <c r="H4864" t="str">
        <f t="shared" si="125"/>
        <v/>
      </c>
    </row>
    <row r="4865" spans="8:8" x14ac:dyDescent="0.3">
      <c r="H4865" t="str">
        <f t="shared" si="125"/>
        <v/>
      </c>
    </row>
    <row r="4866" spans="8:8" x14ac:dyDescent="0.3">
      <c r="H4866" t="str">
        <f t="shared" si="125"/>
        <v/>
      </c>
    </row>
    <row r="4867" spans="8:8" x14ac:dyDescent="0.3">
      <c r="H4867" t="str">
        <f t="shared" si="125"/>
        <v/>
      </c>
    </row>
    <row r="4868" spans="8:8" x14ac:dyDescent="0.3">
      <c r="H4868" t="str">
        <f t="shared" si="125"/>
        <v/>
      </c>
    </row>
    <row r="4869" spans="8:8" x14ac:dyDescent="0.3">
      <c r="H4869" t="str">
        <f t="shared" si="125"/>
        <v/>
      </c>
    </row>
    <row r="4870" spans="8:8" x14ac:dyDescent="0.3">
      <c r="H4870" t="str">
        <f t="shared" si="125"/>
        <v/>
      </c>
    </row>
    <row r="4871" spans="8:8" x14ac:dyDescent="0.3">
      <c r="H4871" t="str">
        <f t="shared" si="125"/>
        <v/>
      </c>
    </row>
    <row r="4872" spans="8:8" x14ac:dyDescent="0.3">
      <c r="H4872" t="str">
        <f t="shared" si="125"/>
        <v/>
      </c>
    </row>
    <row r="4873" spans="8:8" x14ac:dyDescent="0.3">
      <c r="H4873" t="str">
        <f t="shared" si="125"/>
        <v/>
      </c>
    </row>
    <row r="4874" spans="8:8" x14ac:dyDescent="0.3">
      <c r="H4874" t="str">
        <f t="shared" si="125"/>
        <v/>
      </c>
    </row>
    <row r="4875" spans="8:8" x14ac:dyDescent="0.3">
      <c r="H4875" t="str">
        <f t="shared" si="125"/>
        <v/>
      </c>
    </row>
    <row r="4876" spans="8:8" x14ac:dyDescent="0.3">
      <c r="H4876" t="str">
        <f t="shared" si="125"/>
        <v/>
      </c>
    </row>
    <row r="4877" spans="8:8" x14ac:dyDescent="0.3">
      <c r="H4877" t="str">
        <f t="shared" si="125"/>
        <v/>
      </c>
    </row>
    <row r="4878" spans="8:8" x14ac:dyDescent="0.3">
      <c r="H4878" t="str">
        <f t="shared" si="125"/>
        <v/>
      </c>
    </row>
    <row r="4879" spans="8:8" x14ac:dyDescent="0.3">
      <c r="H4879" t="str">
        <f t="shared" si="125"/>
        <v/>
      </c>
    </row>
    <row r="4880" spans="8:8" x14ac:dyDescent="0.3">
      <c r="H4880" t="str">
        <f t="shared" si="125"/>
        <v/>
      </c>
    </row>
    <row r="4881" spans="8:8" x14ac:dyDescent="0.3">
      <c r="H4881" t="str">
        <f t="shared" si="125"/>
        <v/>
      </c>
    </row>
    <row r="4882" spans="8:8" x14ac:dyDescent="0.3">
      <c r="H4882" t="str">
        <f t="shared" si="125"/>
        <v/>
      </c>
    </row>
    <row r="4883" spans="8:8" x14ac:dyDescent="0.3">
      <c r="H4883" t="str">
        <f t="shared" si="125"/>
        <v/>
      </c>
    </row>
    <row r="4884" spans="8:8" x14ac:dyDescent="0.3">
      <c r="H4884" t="str">
        <f t="shared" si="125"/>
        <v/>
      </c>
    </row>
    <row r="4885" spans="8:8" x14ac:dyDescent="0.3">
      <c r="H4885" t="str">
        <f t="shared" si="125"/>
        <v/>
      </c>
    </row>
    <row r="4886" spans="8:8" x14ac:dyDescent="0.3">
      <c r="H4886" t="str">
        <f t="shared" si="125"/>
        <v/>
      </c>
    </row>
    <row r="4887" spans="8:8" x14ac:dyDescent="0.3">
      <c r="H4887" t="str">
        <f t="shared" ref="H4887:H4950" si="126">IF(B4887="","",$C$12)</f>
        <v/>
      </c>
    </row>
    <row r="4888" spans="8:8" x14ac:dyDescent="0.3">
      <c r="H4888" t="str">
        <f t="shared" si="126"/>
        <v/>
      </c>
    </row>
    <row r="4889" spans="8:8" x14ac:dyDescent="0.3">
      <c r="H4889" t="str">
        <f t="shared" si="126"/>
        <v/>
      </c>
    </row>
    <row r="4890" spans="8:8" x14ac:dyDescent="0.3">
      <c r="H4890" t="str">
        <f t="shared" si="126"/>
        <v/>
      </c>
    </row>
    <row r="4891" spans="8:8" x14ac:dyDescent="0.3">
      <c r="H4891" t="str">
        <f t="shared" si="126"/>
        <v/>
      </c>
    </row>
    <row r="4892" spans="8:8" x14ac:dyDescent="0.3">
      <c r="H4892" t="str">
        <f t="shared" si="126"/>
        <v/>
      </c>
    </row>
    <row r="4893" spans="8:8" x14ac:dyDescent="0.3">
      <c r="H4893" t="str">
        <f t="shared" si="126"/>
        <v/>
      </c>
    </row>
    <row r="4894" spans="8:8" x14ac:dyDescent="0.3">
      <c r="H4894" t="str">
        <f t="shared" si="126"/>
        <v/>
      </c>
    </row>
    <row r="4895" spans="8:8" x14ac:dyDescent="0.3">
      <c r="H4895" t="str">
        <f t="shared" si="126"/>
        <v/>
      </c>
    </row>
    <row r="4896" spans="8:8" x14ac:dyDescent="0.3">
      <c r="H4896" t="str">
        <f t="shared" si="126"/>
        <v/>
      </c>
    </row>
    <row r="4897" spans="8:8" x14ac:dyDescent="0.3">
      <c r="H4897" t="str">
        <f t="shared" si="126"/>
        <v/>
      </c>
    </row>
    <row r="4898" spans="8:8" x14ac:dyDescent="0.3">
      <c r="H4898" t="str">
        <f t="shared" si="126"/>
        <v/>
      </c>
    </row>
    <row r="4899" spans="8:8" x14ac:dyDescent="0.3">
      <c r="H4899" t="str">
        <f t="shared" si="126"/>
        <v/>
      </c>
    </row>
    <row r="4900" spans="8:8" x14ac:dyDescent="0.3">
      <c r="H4900" t="str">
        <f t="shared" si="126"/>
        <v/>
      </c>
    </row>
    <row r="4901" spans="8:8" x14ac:dyDescent="0.3">
      <c r="H4901" t="str">
        <f t="shared" si="126"/>
        <v/>
      </c>
    </row>
    <row r="4902" spans="8:8" x14ac:dyDescent="0.3">
      <c r="H4902" t="str">
        <f t="shared" si="126"/>
        <v/>
      </c>
    </row>
    <row r="4903" spans="8:8" x14ac:dyDescent="0.3">
      <c r="H4903" t="str">
        <f t="shared" si="126"/>
        <v/>
      </c>
    </row>
    <row r="4904" spans="8:8" x14ac:dyDescent="0.3">
      <c r="H4904" t="str">
        <f t="shared" si="126"/>
        <v/>
      </c>
    </row>
    <row r="4905" spans="8:8" x14ac:dyDescent="0.3">
      <c r="H4905" t="str">
        <f t="shared" si="126"/>
        <v/>
      </c>
    </row>
    <row r="4906" spans="8:8" x14ac:dyDescent="0.3">
      <c r="H4906" t="str">
        <f t="shared" si="126"/>
        <v/>
      </c>
    </row>
    <row r="4907" spans="8:8" x14ac:dyDescent="0.3">
      <c r="H4907" t="str">
        <f t="shared" si="126"/>
        <v/>
      </c>
    </row>
    <row r="4908" spans="8:8" x14ac:dyDescent="0.3">
      <c r="H4908" t="str">
        <f t="shared" si="126"/>
        <v/>
      </c>
    </row>
    <row r="4909" spans="8:8" x14ac:dyDescent="0.3">
      <c r="H4909" t="str">
        <f t="shared" si="126"/>
        <v/>
      </c>
    </row>
    <row r="4910" spans="8:8" x14ac:dyDescent="0.3">
      <c r="H4910" t="str">
        <f t="shared" si="126"/>
        <v/>
      </c>
    </row>
    <row r="4911" spans="8:8" x14ac:dyDescent="0.3">
      <c r="H4911" t="str">
        <f t="shared" si="126"/>
        <v/>
      </c>
    </row>
    <row r="4912" spans="8:8" x14ac:dyDescent="0.3">
      <c r="H4912" t="str">
        <f t="shared" si="126"/>
        <v/>
      </c>
    </row>
    <row r="4913" spans="8:8" x14ac:dyDescent="0.3">
      <c r="H4913" t="str">
        <f t="shared" si="126"/>
        <v/>
      </c>
    </row>
    <row r="4914" spans="8:8" x14ac:dyDescent="0.3">
      <c r="H4914" t="str">
        <f t="shared" si="126"/>
        <v/>
      </c>
    </row>
    <row r="4915" spans="8:8" x14ac:dyDescent="0.3">
      <c r="H4915" t="str">
        <f t="shared" si="126"/>
        <v/>
      </c>
    </row>
    <row r="4916" spans="8:8" x14ac:dyDescent="0.3">
      <c r="H4916" t="str">
        <f t="shared" si="126"/>
        <v/>
      </c>
    </row>
    <row r="4917" spans="8:8" x14ac:dyDescent="0.3">
      <c r="H4917" t="str">
        <f t="shared" si="126"/>
        <v/>
      </c>
    </row>
    <row r="4918" spans="8:8" x14ac:dyDescent="0.3">
      <c r="H4918" t="str">
        <f t="shared" si="126"/>
        <v/>
      </c>
    </row>
    <row r="4919" spans="8:8" x14ac:dyDescent="0.3">
      <c r="H4919" t="str">
        <f t="shared" si="126"/>
        <v/>
      </c>
    </row>
    <row r="4920" spans="8:8" x14ac:dyDescent="0.3">
      <c r="H4920" t="str">
        <f t="shared" si="126"/>
        <v/>
      </c>
    </row>
    <row r="4921" spans="8:8" x14ac:dyDescent="0.3">
      <c r="H4921" t="str">
        <f t="shared" si="126"/>
        <v/>
      </c>
    </row>
    <row r="4922" spans="8:8" x14ac:dyDescent="0.3">
      <c r="H4922" t="str">
        <f t="shared" si="126"/>
        <v/>
      </c>
    </row>
    <row r="4923" spans="8:8" x14ac:dyDescent="0.3">
      <c r="H4923" t="str">
        <f t="shared" si="126"/>
        <v/>
      </c>
    </row>
    <row r="4924" spans="8:8" x14ac:dyDescent="0.3">
      <c r="H4924" t="str">
        <f t="shared" si="126"/>
        <v/>
      </c>
    </row>
    <row r="4925" spans="8:8" x14ac:dyDescent="0.3">
      <c r="H4925" t="str">
        <f t="shared" si="126"/>
        <v/>
      </c>
    </row>
    <row r="4926" spans="8:8" x14ac:dyDescent="0.3">
      <c r="H4926" t="str">
        <f t="shared" si="126"/>
        <v/>
      </c>
    </row>
    <row r="4927" spans="8:8" x14ac:dyDescent="0.3">
      <c r="H4927" t="str">
        <f t="shared" si="126"/>
        <v/>
      </c>
    </row>
    <row r="4928" spans="8:8" x14ac:dyDescent="0.3">
      <c r="H4928" t="str">
        <f t="shared" si="126"/>
        <v/>
      </c>
    </row>
    <row r="4929" spans="8:8" x14ac:dyDescent="0.3">
      <c r="H4929" t="str">
        <f t="shared" si="126"/>
        <v/>
      </c>
    </row>
    <row r="4930" spans="8:8" x14ac:dyDescent="0.3">
      <c r="H4930" t="str">
        <f t="shared" si="126"/>
        <v/>
      </c>
    </row>
    <row r="4931" spans="8:8" x14ac:dyDescent="0.3">
      <c r="H4931" t="str">
        <f t="shared" si="126"/>
        <v/>
      </c>
    </row>
    <row r="4932" spans="8:8" x14ac:dyDescent="0.3">
      <c r="H4932" t="str">
        <f t="shared" si="126"/>
        <v/>
      </c>
    </row>
    <row r="4933" spans="8:8" x14ac:dyDescent="0.3">
      <c r="H4933" t="str">
        <f t="shared" si="126"/>
        <v/>
      </c>
    </row>
    <row r="4934" spans="8:8" x14ac:dyDescent="0.3">
      <c r="H4934" t="str">
        <f t="shared" si="126"/>
        <v/>
      </c>
    </row>
    <row r="4935" spans="8:8" x14ac:dyDescent="0.3">
      <c r="H4935" t="str">
        <f t="shared" si="126"/>
        <v/>
      </c>
    </row>
    <row r="4936" spans="8:8" x14ac:dyDescent="0.3">
      <c r="H4936" t="str">
        <f t="shared" si="126"/>
        <v/>
      </c>
    </row>
    <row r="4937" spans="8:8" x14ac:dyDescent="0.3">
      <c r="H4937" t="str">
        <f t="shared" si="126"/>
        <v/>
      </c>
    </row>
    <row r="4938" spans="8:8" x14ac:dyDescent="0.3">
      <c r="H4938" t="str">
        <f t="shared" si="126"/>
        <v/>
      </c>
    </row>
    <row r="4939" spans="8:8" x14ac:dyDescent="0.3">
      <c r="H4939" t="str">
        <f t="shared" si="126"/>
        <v/>
      </c>
    </row>
    <row r="4940" spans="8:8" x14ac:dyDescent="0.3">
      <c r="H4940" t="str">
        <f t="shared" si="126"/>
        <v/>
      </c>
    </row>
    <row r="4941" spans="8:8" x14ac:dyDescent="0.3">
      <c r="H4941" t="str">
        <f t="shared" si="126"/>
        <v/>
      </c>
    </row>
    <row r="4942" spans="8:8" x14ac:dyDescent="0.3">
      <c r="H4942" t="str">
        <f t="shared" si="126"/>
        <v/>
      </c>
    </row>
    <row r="4943" spans="8:8" x14ac:dyDescent="0.3">
      <c r="H4943" t="str">
        <f t="shared" si="126"/>
        <v/>
      </c>
    </row>
    <row r="4944" spans="8:8" x14ac:dyDescent="0.3">
      <c r="H4944" t="str">
        <f t="shared" si="126"/>
        <v/>
      </c>
    </row>
    <row r="4945" spans="8:8" x14ac:dyDescent="0.3">
      <c r="H4945" t="str">
        <f t="shared" si="126"/>
        <v/>
      </c>
    </row>
    <row r="4946" spans="8:8" x14ac:dyDescent="0.3">
      <c r="H4946" t="str">
        <f t="shared" si="126"/>
        <v/>
      </c>
    </row>
    <row r="4947" spans="8:8" x14ac:dyDescent="0.3">
      <c r="H4947" t="str">
        <f t="shared" si="126"/>
        <v/>
      </c>
    </row>
    <row r="4948" spans="8:8" x14ac:dyDescent="0.3">
      <c r="H4948" t="str">
        <f t="shared" si="126"/>
        <v/>
      </c>
    </row>
    <row r="4949" spans="8:8" x14ac:dyDescent="0.3">
      <c r="H4949" t="str">
        <f t="shared" si="126"/>
        <v/>
      </c>
    </row>
    <row r="4950" spans="8:8" x14ac:dyDescent="0.3">
      <c r="H4950" t="str">
        <f t="shared" si="126"/>
        <v/>
      </c>
    </row>
    <row r="4951" spans="8:8" x14ac:dyDescent="0.3">
      <c r="H4951" t="str">
        <f t="shared" ref="H4951:H5014" si="127">IF(B4951="","",$C$12)</f>
        <v/>
      </c>
    </row>
    <row r="4952" spans="8:8" x14ac:dyDescent="0.3">
      <c r="H4952" t="str">
        <f t="shared" si="127"/>
        <v/>
      </c>
    </row>
    <row r="4953" spans="8:8" x14ac:dyDescent="0.3">
      <c r="H4953" t="str">
        <f t="shared" si="127"/>
        <v/>
      </c>
    </row>
    <row r="4954" spans="8:8" x14ac:dyDescent="0.3">
      <c r="H4954" t="str">
        <f t="shared" si="127"/>
        <v/>
      </c>
    </row>
    <row r="4955" spans="8:8" x14ac:dyDescent="0.3">
      <c r="H4955" t="str">
        <f t="shared" si="127"/>
        <v/>
      </c>
    </row>
    <row r="4956" spans="8:8" x14ac:dyDescent="0.3">
      <c r="H4956" t="str">
        <f t="shared" si="127"/>
        <v/>
      </c>
    </row>
    <row r="4957" spans="8:8" x14ac:dyDescent="0.3">
      <c r="H4957" t="str">
        <f t="shared" si="127"/>
        <v/>
      </c>
    </row>
    <row r="4958" spans="8:8" x14ac:dyDescent="0.3">
      <c r="H4958" t="str">
        <f t="shared" si="127"/>
        <v/>
      </c>
    </row>
    <row r="4959" spans="8:8" x14ac:dyDescent="0.3">
      <c r="H4959" t="str">
        <f t="shared" si="127"/>
        <v/>
      </c>
    </row>
    <row r="4960" spans="8:8" x14ac:dyDescent="0.3">
      <c r="H4960" t="str">
        <f t="shared" si="127"/>
        <v/>
      </c>
    </row>
    <row r="4961" spans="8:8" x14ac:dyDescent="0.3">
      <c r="H4961" t="str">
        <f t="shared" si="127"/>
        <v/>
      </c>
    </row>
    <row r="4962" spans="8:8" x14ac:dyDescent="0.3">
      <c r="H4962" t="str">
        <f t="shared" si="127"/>
        <v/>
      </c>
    </row>
    <row r="4963" spans="8:8" x14ac:dyDescent="0.3">
      <c r="H4963" t="str">
        <f t="shared" si="127"/>
        <v/>
      </c>
    </row>
    <row r="4964" spans="8:8" x14ac:dyDescent="0.3">
      <c r="H4964" t="str">
        <f t="shared" si="127"/>
        <v/>
      </c>
    </row>
    <row r="4965" spans="8:8" x14ac:dyDescent="0.3">
      <c r="H4965" t="str">
        <f t="shared" si="127"/>
        <v/>
      </c>
    </row>
    <row r="4966" spans="8:8" x14ac:dyDescent="0.3">
      <c r="H4966" t="str">
        <f t="shared" si="127"/>
        <v/>
      </c>
    </row>
    <row r="4967" spans="8:8" x14ac:dyDescent="0.3">
      <c r="H4967" t="str">
        <f t="shared" si="127"/>
        <v/>
      </c>
    </row>
    <row r="4968" spans="8:8" x14ac:dyDescent="0.3">
      <c r="H4968" t="str">
        <f t="shared" si="127"/>
        <v/>
      </c>
    </row>
    <row r="4969" spans="8:8" x14ac:dyDescent="0.3">
      <c r="H4969" t="str">
        <f t="shared" si="127"/>
        <v/>
      </c>
    </row>
    <row r="4970" spans="8:8" x14ac:dyDescent="0.3">
      <c r="H4970" t="str">
        <f t="shared" si="127"/>
        <v/>
      </c>
    </row>
    <row r="4971" spans="8:8" x14ac:dyDescent="0.3">
      <c r="H4971" t="str">
        <f t="shared" si="127"/>
        <v/>
      </c>
    </row>
    <row r="4972" spans="8:8" x14ac:dyDescent="0.3">
      <c r="H4972" t="str">
        <f t="shared" si="127"/>
        <v/>
      </c>
    </row>
    <row r="4973" spans="8:8" x14ac:dyDescent="0.3">
      <c r="H4973" t="str">
        <f t="shared" si="127"/>
        <v/>
      </c>
    </row>
    <row r="4974" spans="8:8" x14ac:dyDescent="0.3">
      <c r="H4974" t="str">
        <f t="shared" si="127"/>
        <v/>
      </c>
    </row>
    <row r="4975" spans="8:8" x14ac:dyDescent="0.3">
      <c r="H4975" t="str">
        <f t="shared" si="127"/>
        <v/>
      </c>
    </row>
    <row r="4976" spans="8:8" x14ac:dyDescent="0.3">
      <c r="H4976" t="str">
        <f t="shared" si="127"/>
        <v/>
      </c>
    </row>
    <row r="4977" spans="8:8" x14ac:dyDescent="0.3">
      <c r="H4977" t="str">
        <f t="shared" si="127"/>
        <v/>
      </c>
    </row>
    <row r="4978" spans="8:8" x14ac:dyDescent="0.3">
      <c r="H4978" t="str">
        <f t="shared" si="127"/>
        <v/>
      </c>
    </row>
    <row r="4979" spans="8:8" x14ac:dyDescent="0.3">
      <c r="H4979" t="str">
        <f t="shared" si="127"/>
        <v/>
      </c>
    </row>
    <row r="4980" spans="8:8" x14ac:dyDescent="0.3">
      <c r="H4980" t="str">
        <f t="shared" si="127"/>
        <v/>
      </c>
    </row>
    <row r="4981" spans="8:8" x14ac:dyDescent="0.3">
      <c r="H4981" t="str">
        <f t="shared" si="127"/>
        <v/>
      </c>
    </row>
    <row r="4982" spans="8:8" x14ac:dyDescent="0.3">
      <c r="H4982" t="str">
        <f t="shared" si="127"/>
        <v/>
      </c>
    </row>
    <row r="4983" spans="8:8" x14ac:dyDescent="0.3">
      <c r="H4983" t="str">
        <f t="shared" si="127"/>
        <v/>
      </c>
    </row>
    <row r="4984" spans="8:8" x14ac:dyDescent="0.3">
      <c r="H4984" t="str">
        <f t="shared" si="127"/>
        <v/>
      </c>
    </row>
    <row r="4985" spans="8:8" x14ac:dyDescent="0.3">
      <c r="H4985" t="str">
        <f t="shared" si="127"/>
        <v/>
      </c>
    </row>
    <row r="4986" spans="8:8" x14ac:dyDescent="0.3">
      <c r="H4986" t="str">
        <f t="shared" si="127"/>
        <v/>
      </c>
    </row>
    <row r="4987" spans="8:8" x14ac:dyDescent="0.3">
      <c r="H4987" t="str">
        <f t="shared" si="127"/>
        <v/>
      </c>
    </row>
    <row r="4988" spans="8:8" x14ac:dyDescent="0.3">
      <c r="H4988" t="str">
        <f t="shared" si="127"/>
        <v/>
      </c>
    </row>
    <row r="4989" spans="8:8" x14ac:dyDescent="0.3">
      <c r="H4989" t="str">
        <f t="shared" si="127"/>
        <v/>
      </c>
    </row>
    <row r="4990" spans="8:8" x14ac:dyDescent="0.3">
      <c r="H4990" t="str">
        <f t="shared" si="127"/>
        <v/>
      </c>
    </row>
    <row r="4991" spans="8:8" x14ac:dyDescent="0.3">
      <c r="H4991" t="str">
        <f t="shared" si="127"/>
        <v/>
      </c>
    </row>
    <row r="4992" spans="8:8" x14ac:dyDescent="0.3">
      <c r="H4992" t="str">
        <f t="shared" si="127"/>
        <v/>
      </c>
    </row>
    <row r="4993" spans="8:8" x14ac:dyDescent="0.3">
      <c r="H4993" t="str">
        <f t="shared" si="127"/>
        <v/>
      </c>
    </row>
    <row r="4994" spans="8:8" x14ac:dyDescent="0.3">
      <c r="H4994" t="str">
        <f t="shared" si="127"/>
        <v/>
      </c>
    </row>
    <row r="4995" spans="8:8" x14ac:dyDescent="0.3">
      <c r="H4995" t="str">
        <f t="shared" si="127"/>
        <v/>
      </c>
    </row>
    <row r="4996" spans="8:8" x14ac:dyDescent="0.3">
      <c r="H4996" t="str">
        <f t="shared" si="127"/>
        <v/>
      </c>
    </row>
    <row r="4997" spans="8:8" x14ac:dyDescent="0.3">
      <c r="H4997" t="str">
        <f t="shared" si="127"/>
        <v/>
      </c>
    </row>
    <row r="4998" spans="8:8" x14ac:dyDescent="0.3">
      <c r="H4998" t="str">
        <f t="shared" si="127"/>
        <v/>
      </c>
    </row>
    <row r="4999" spans="8:8" x14ac:dyDescent="0.3">
      <c r="H4999" t="str">
        <f t="shared" si="127"/>
        <v/>
      </c>
    </row>
    <row r="5000" spans="8:8" x14ac:dyDescent="0.3">
      <c r="H5000" t="str">
        <f t="shared" si="127"/>
        <v/>
      </c>
    </row>
    <row r="5001" spans="8:8" x14ac:dyDescent="0.3">
      <c r="H5001" t="str">
        <f t="shared" si="127"/>
        <v/>
      </c>
    </row>
    <row r="5002" spans="8:8" x14ac:dyDescent="0.3">
      <c r="H5002" t="str">
        <f t="shared" si="127"/>
        <v/>
      </c>
    </row>
    <row r="5003" spans="8:8" x14ac:dyDescent="0.3">
      <c r="H5003" t="str">
        <f t="shared" si="127"/>
        <v/>
      </c>
    </row>
    <row r="5004" spans="8:8" x14ac:dyDescent="0.3">
      <c r="H5004" t="str">
        <f t="shared" si="127"/>
        <v/>
      </c>
    </row>
    <row r="5005" spans="8:8" x14ac:dyDescent="0.3">
      <c r="H5005" t="str">
        <f t="shared" si="127"/>
        <v/>
      </c>
    </row>
    <row r="5006" spans="8:8" x14ac:dyDescent="0.3">
      <c r="H5006" t="str">
        <f t="shared" si="127"/>
        <v/>
      </c>
    </row>
    <row r="5007" spans="8:8" x14ac:dyDescent="0.3">
      <c r="H5007" t="str">
        <f t="shared" si="127"/>
        <v/>
      </c>
    </row>
    <row r="5008" spans="8:8" x14ac:dyDescent="0.3">
      <c r="H5008" t="str">
        <f t="shared" si="127"/>
        <v/>
      </c>
    </row>
    <row r="5009" spans="8:8" x14ac:dyDescent="0.3">
      <c r="H5009" t="str">
        <f t="shared" si="127"/>
        <v/>
      </c>
    </row>
    <row r="5010" spans="8:8" x14ac:dyDescent="0.3">
      <c r="H5010" t="str">
        <f t="shared" si="127"/>
        <v/>
      </c>
    </row>
    <row r="5011" spans="8:8" x14ac:dyDescent="0.3">
      <c r="H5011" t="str">
        <f t="shared" si="127"/>
        <v/>
      </c>
    </row>
    <row r="5012" spans="8:8" x14ac:dyDescent="0.3">
      <c r="H5012" t="str">
        <f t="shared" si="127"/>
        <v/>
      </c>
    </row>
    <row r="5013" spans="8:8" x14ac:dyDescent="0.3">
      <c r="H5013" t="str">
        <f t="shared" si="127"/>
        <v/>
      </c>
    </row>
    <row r="5014" spans="8:8" x14ac:dyDescent="0.3">
      <c r="H5014" t="str">
        <f t="shared" si="127"/>
        <v/>
      </c>
    </row>
    <row r="5015" spans="8:8" x14ac:dyDescent="0.3">
      <c r="H5015" t="str">
        <f t="shared" ref="H5015:H5078" si="128">IF(B5015="","",$C$12)</f>
        <v/>
      </c>
    </row>
    <row r="5016" spans="8:8" x14ac:dyDescent="0.3">
      <c r="H5016" t="str">
        <f t="shared" si="128"/>
        <v/>
      </c>
    </row>
    <row r="5017" spans="8:8" x14ac:dyDescent="0.3">
      <c r="H5017" t="str">
        <f t="shared" si="128"/>
        <v/>
      </c>
    </row>
    <row r="5018" spans="8:8" x14ac:dyDescent="0.3">
      <c r="H5018" t="str">
        <f t="shared" si="128"/>
        <v/>
      </c>
    </row>
    <row r="5019" spans="8:8" x14ac:dyDescent="0.3">
      <c r="H5019" t="str">
        <f t="shared" si="128"/>
        <v/>
      </c>
    </row>
    <row r="5020" spans="8:8" x14ac:dyDescent="0.3">
      <c r="H5020" t="str">
        <f t="shared" si="128"/>
        <v/>
      </c>
    </row>
    <row r="5021" spans="8:8" x14ac:dyDescent="0.3">
      <c r="H5021" t="str">
        <f t="shared" si="128"/>
        <v/>
      </c>
    </row>
    <row r="5022" spans="8:8" x14ac:dyDescent="0.3">
      <c r="H5022" t="str">
        <f t="shared" si="128"/>
        <v/>
      </c>
    </row>
    <row r="5023" spans="8:8" x14ac:dyDescent="0.3">
      <c r="H5023" t="str">
        <f t="shared" si="128"/>
        <v/>
      </c>
    </row>
    <row r="5024" spans="8:8" x14ac:dyDescent="0.3">
      <c r="H5024" t="str">
        <f t="shared" si="128"/>
        <v/>
      </c>
    </row>
    <row r="5025" spans="8:8" x14ac:dyDescent="0.3">
      <c r="H5025" t="str">
        <f t="shared" si="128"/>
        <v/>
      </c>
    </row>
    <row r="5026" spans="8:8" x14ac:dyDescent="0.3">
      <c r="H5026" t="str">
        <f t="shared" si="128"/>
        <v/>
      </c>
    </row>
    <row r="5027" spans="8:8" x14ac:dyDescent="0.3">
      <c r="H5027" t="str">
        <f t="shared" si="128"/>
        <v/>
      </c>
    </row>
    <row r="5028" spans="8:8" x14ac:dyDescent="0.3">
      <c r="H5028" t="str">
        <f t="shared" si="128"/>
        <v/>
      </c>
    </row>
    <row r="5029" spans="8:8" x14ac:dyDescent="0.3">
      <c r="H5029" t="str">
        <f t="shared" si="128"/>
        <v/>
      </c>
    </row>
    <row r="5030" spans="8:8" x14ac:dyDescent="0.3">
      <c r="H5030" t="str">
        <f t="shared" si="128"/>
        <v/>
      </c>
    </row>
    <row r="5031" spans="8:8" x14ac:dyDescent="0.3">
      <c r="H5031" t="str">
        <f t="shared" si="128"/>
        <v/>
      </c>
    </row>
    <row r="5032" spans="8:8" x14ac:dyDescent="0.3">
      <c r="H5032" t="str">
        <f t="shared" si="128"/>
        <v/>
      </c>
    </row>
    <row r="5033" spans="8:8" x14ac:dyDescent="0.3">
      <c r="H5033" t="str">
        <f t="shared" si="128"/>
        <v/>
      </c>
    </row>
    <row r="5034" spans="8:8" x14ac:dyDescent="0.3">
      <c r="H5034" t="str">
        <f t="shared" si="128"/>
        <v/>
      </c>
    </row>
    <row r="5035" spans="8:8" x14ac:dyDescent="0.3">
      <c r="H5035" t="str">
        <f t="shared" si="128"/>
        <v/>
      </c>
    </row>
    <row r="5036" spans="8:8" x14ac:dyDescent="0.3">
      <c r="H5036" t="str">
        <f t="shared" si="128"/>
        <v/>
      </c>
    </row>
    <row r="5037" spans="8:8" x14ac:dyDescent="0.3">
      <c r="H5037" t="str">
        <f t="shared" si="128"/>
        <v/>
      </c>
    </row>
    <row r="5038" spans="8:8" x14ac:dyDescent="0.3">
      <c r="H5038" t="str">
        <f t="shared" si="128"/>
        <v/>
      </c>
    </row>
    <row r="5039" spans="8:8" x14ac:dyDescent="0.3">
      <c r="H5039" t="str">
        <f t="shared" si="128"/>
        <v/>
      </c>
    </row>
    <row r="5040" spans="8:8" x14ac:dyDescent="0.3">
      <c r="H5040" t="str">
        <f t="shared" si="128"/>
        <v/>
      </c>
    </row>
    <row r="5041" spans="8:8" x14ac:dyDescent="0.3">
      <c r="H5041" t="str">
        <f t="shared" si="128"/>
        <v/>
      </c>
    </row>
    <row r="5042" spans="8:8" x14ac:dyDescent="0.3">
      <c r="H5042" t="str">
        <f t="shared" si="128"/>
        <v/>
      </c>
    </row>
    <row r="5043" spans="8:8" x14ac:dyDescent="0.3">
      <c r="H5043" t="str">
        <f t="shared" si="128"/>
        <v/>
      </c>
    </row>
    <row r="5044" spans="8:8" x14ac:dyDescent="0.3">
      <c r="H5044" t="str">
        <f t="shared" si="128"/>
        <v/>
      </c>
    </row>
    <row r="5045" spans="8:8" x14ac:dyDescent="0.3">
      <c r="H5045" t="str">
        <f t="shared" si="128"/>
        <v/>
      </c>
    </row>
    <row r="5046" spans="8:8" x14ac:dyDescent="0.3">
      <c r="H5046" t="str">
        <f t="shared" si="128"/>
        <v/>
      </c>
    </row>
    <row r="5047" spans="8:8" x14ac:dyDescent="0.3">
      <c r="H5047" t="str">
        <f t="shared" si="128"/>
        <v/>
      </c>
    </row>
    <row r="5048" spans="8:8" x14ac:dyDescent="0.3">
      <c r="H5048" t="str">
        <f t="shared" si="128"/>
        <v/>
      </c>
    </row>
    <row r="5049" spans="8:8" x14ac:dyDescent="0.3">
      <c r="H5049" t="str">
        <f t="shared" si="128"/>
        <v/>
      </c>
    </row>
    <row r="5050" spans="8:8" x14ac:dyDescent="0.3">
      <c r="H5050" t="str">
        <f t="shared" si="128"/>
        <v/>
      </c>
    </row>
    <row r="5051" spans="8:8" x14ac:dyDescent="0.3">
      <c r="H5051" t="str">
        <f t="shared" si="128"/>
        <v/>
      </c>
    </row>
    <row r="5052" spans="8:8" x14ac:dyDescent="0.3">
      <c r="H5052" t="str">
        <f t="shared" si="128"/>
        <v/>
      </c>
    </row>
    <row r="5053" spans="8:8" x14ac:dyDescent="0.3">
      <c r="H5053" t="str">
        <f t="shared" si="128"/>
        <v/>
      </c>
    </row>
    <row r="5054" spans="8:8" x14ac:dyDescent="0.3">
      <c r="H5054" t="str">
        <f t="shared" si="128"/>
        <v/>
      </c>
    </row>
    <row r="5055" spans="8:8" x14ac:dyDescent="0.3">
      <c r="H5055" t="str">
        <f t="shared" si="128"/>
        <v/>
      </c>
    </row>
    <row r="5056" spans="8:8" x14ac:dyDescent="0.3">
      <c r="H5056" t="str">
        <f t="shared" si="128"/>
        <v/>
      </c>
    </row>
    <row r="5057" spans="8:8" x14ac:dyDescent="0.3">
      <c r="H5057" t="str">
        <f t="shared" si="128"/>
        <v/>
      </c>
    </row>
    <row r="5058" spans="8:8" x14ac:dyDescent="0.3">
      <c r="H5058" t="str">
        <f t="shared" si="128"/>
        <v/>
      </c>
    </row>
    <row r="5059" spans="8:8" x14ac:dyDescent="0.3">
      <c r="H5059" t="str">
        <f t="shared" si="128"/>
        <v/>
      </c>
    </row>
    <row r="5060" spans="8:8" x14ac:dyDescent="0.3">
      <c r="H5060" t="str">
        <f t="shared" si="128"/>
        <v/>
      </c>
    </row>
    <row r="5061" spans="8:8" x14ac:dyDescent="0.3">
      <c r="H5061" t="str">
        <f t="shared" si="128"/>
        <v/>
      </c>
    </row>
    <row r="5062" spans="8:8" x14ac:dyDescent="0.3">
      <c r="H5062" t="str">
        <f t="shared" si="128"/>
        <v/>
      </c>
    </row>
    <row r="5063" spans="8:8" x14ac:dyDescent="0.3">
      <c r="H5063" t="str">
        <f t="shared" si="128"/>
        <v/>
      </c>
    </row>
    <row r="5064" spans="8:8" x14ac:dyDescent="0.3">
      <c r="H5064" t="str">
        <f t="shared" si="128"/>
        <v/>
      </c>
    </row>
    <row r="5065" spans="8:8" x14ac:dyDescent="0.3">
      <c r="H5065" t="str">
        <f t="shared" si="128"/>
        <v/>
      </c>
    </row>
    <row r="5066" spans="8:8" x14ac:dyDescent="0.3">
      <c r="H5066" t="str">
        <f t="shared" si="128"/>
        <v/>
      </c>
    </row>
    <row r="5067" spans="8:8" x14ac:dyDescent="0.3">
      <c r="H5067" t="str">
        <f t="shared" si="128"/>
        <v/>
      </c>
    </row>
    <row r="5068" spans="8:8" x14ac:dyDescent="0.3">
      <c r="H5068" t="str">
        <f t="shared" si="128"/>
        <v/>
      </c>
    </row>
    <row r="5069" spans="8:8" x14ac:dyDescent="0.3">
      <c r="H5069" t="str">
        <f t="shared" si="128"/>
        <v/>
      </c>
    </row>
    <row r="5070" spans="8:8" x14ac:dyDescent="0.3">
      <c r="H5070" t="str">
        <f t="shared" si="128"/>
        <v/>
      </c>
    </row>
    <row r="5071" spans="8:8" x14ac:dyDescent="0.3">
      <c r="H5071" t="str">
        <f t="shared" si="128"/>
        <v/>
      </c>
    </row>
    <row r="5072" spans="8:8" x14ac:dyDescent="0.3">
      <c r="H5072" t="str">
        <f t="shared" si="128"/>
        <v/>
      </c>
    </row>
    <row r="5073" spans="8:8" x14ac:dyDescent="0.3">
      <c r="H5073" t="str">
        <f t="shared" si="128"/>
        <v/>
      </c>
    </row>
    <row r="5074" spans="8:8" x14ac:dyDescent="0.3">
      <c r="H5074" t="str">
        <f t="shared" si="128"/>
        <v/>
      </c>
    </row>
    <row r="5075" spans="8:8" x14ac:dyDescent="0.3">
      <c r="H5075" t="str">
        <f t="shared" si="128"/>
        <v/>
      </c>
    </row>
    <row r="5076" spans="8:8" x14ac:dyDescent="0.3">
      <c r="H5076" t="str">
        <f t="shared" si="128"/>
        <v/>
      </c>
    </row>
    <row r="5077" spans="8:8" x14ac:dyDescent="0.3">
      <c r="H5077" t="str">
        <f t="shared" si="128"/>
        <v/>
      </c>
    </row>
    <row r="5078" spans="8:8" x14ac:dyDescent="0.3">
      <c r="H5078" t="str">
        <f t="shared" si="128"/>
        <v/>
      </c>
    </row>
    <row r="5079" spans="8:8" x14ac:dyDescent="0.3">
      <c r="H5079" t="str">
        <f t="shared" ref="H5079:H5142" si="129">IF(B5079="","",$C$12)</f>
        <v/>
      </c>
    </row>
    <row r="5080" spans="8:8" x14ac:dyDescent="0.3">
      <c r="H5080" t="str">
        <f t="shared" si="129"/>
        <v/>
      </c>
    </row>
    <row r="5081" spans="8:8" x14ac:dyDescent="0.3">
      <c r="H5081" t="str">
        <f t="shared" si="129"/>
        <v/>
      </c>
    </row>
    <row r="5082" spans="8:8" x14ac:dyDescent="0.3">
      <c r="H5082" t="str">
        <f t="shared" si="129"/>
        <v/>
      </c>
    </row>
    <row r="5083" spans="8:8" x14ac:dyDescent="0.3">
      <c r="H5083" t="str">
        <f t="shared" si="129"/>
        <v/>
      </c>
    </row>
    <row r="5084" spans="8:8" x14ac:dyDescent="0.3">
      <c r="H5084" t="str">
        <f t="shared" si="129"/>
        <v/>
      </c>
    </row>
    <row r="5085" spans="8:8" x14ac:dyDescent="0.3">
      <c r="H5085" t="str">
        <f t="shared" si="129"/>
        <v/>
      </c>
    </row>
    <row r="5086" spans="8:8" x14ac:dyDescent="0.3">
      <c r="H5086" t="str">
        <f t="shared" si="129"/>
        <v/>
      </c>
    </row>
    <row r="5087" spans="8:8" x14ac:dyDescent="0.3">
      <c r="H5087" t="str">
        <f t="shared" si="129"/>
        <v/>
      </c>
    </row>
    <row r="5088" spans="8:8" x14ac:dyDescent="0.3">
      <c r="H5088" t="str">
        <f t="shared" si="129"/>
        <v/>
      </c>
    </row>
    <row r="5089" spans="8:8" x14ac:dyDescent="0.3">
      <c r="H5089" t="str">
        <f t="shared" si="129"/>
        <v/>
      </c>
    </row>
    <row r="5090" spans="8:8" x14ac:dyDescent="0.3">
      <c r="H5090" t="str">
        <f t="shared" si="129"/>
        <v/>
      </c>
    </row>
    <row r="5091" spans="8:8" x14ac:dyDescent="0.3">
      <c r="H5091" t="str">
        <f t="shared" si="129"/>
        <v/>
      </c>
    </row>
    <row r="5092" spans="8:8" x14ac:dyDescent="0.3">
      <c r="H5092" t="str">
        <f t="shared" si="129"/>
        <v/>
      </c>
    </row>
    <row r="5093" spans="8:8" x14ac:dyDescent="0.3">
      <c r="H5093" t="str">
        <f t="shared" si="129"/>
        <v/>
      </c>
    </row>
    <row r="5094" spans="8:8" x14ac:dyDescent="0.3">
      <c r="H5094" t="str">
        <f t="shared" si="129"/>
        <v/>
      </c>
    </row>
    <row r="5095" spans="8:8" x14ac:dyDescent="0.3">
      <c r="H5095" t="str">
        <f t="shared" si="129"/>
        <v/>
      </c>
    </row>
    <row r="5096" spans="8:8" x14ac:dyDescent="0.3">
      <c r="H5096" t="str">
        <f t="shared" si="129"/>
        <v/>
      </c>
    </row>
    <row r="5097" spans="8:8" x14ac:dyDescent="0.3">
      <c r="H5097" t="str">
        <f t="shared" si="129"/>
        <v/>
      </c>
    </row>
    <row r="5098" spans="8:8" x14ac:dyDescent="0.3">
      <c r="H5098" t="str">
        <f t="shared" si="129"/>
        <v/>
      </c>
    </row>
    <row r="5099" spans="8:8" x14ac:dyDescent="0.3">
      <c r="H5099" t="str">
        <f t="shared" si="129"/>
        <v/>
      </c>
    </row>
    <row r="5100" spans="8:8" x14ac:dyDescent="0.3">
      <c r="H5100" t="str">
        <f t="shared" si="129"/>
        <v/>
      </c>
    </row>
    <row r="5101" spans="8:8" x14ac:dyDescent="0.3">
      <c r="H5101" t="str">
        <f t="shared" si="129"/>
        <v/>
      </c>
    </row>
    <row r="5102" spans="8:8" x14ac:dyDescent="0.3">
      <c r="H5102" t="str">
        <f t="shared" si="129"/>
        <v/>
      </c>
    </row>
    <row r="5103" spans="8:8" x14ac:dyDescent="0.3">
      <c r="H5103" t="str">
        <f t="shared" si="129"/>
        <v/>
      </c>
    </row>
    <row r="5104" spans="8:8" x14ac:dyDescent="0.3">
      <c r="H5104" t="str">
        <f t="shared" si="129"/>
        <v/>
      </c>
    </row>
    <row r="5105" spans="8:8" x14ac:dyDescent="0.3">
      <c r="H5105" t="str">
        <f t="shared" si="129"/>
        <v/>
      </c>
    </row>
    <row r="5106" spans="8:8" x14ac:dyDescent="0.3">
      <c r="H5106" t="str">
        <f t="shared" si="129"/>
        <v/>
      </c>
    </row>
    <row r="5107" spans="8:8" x14ac:dyDescent="0.3">
      <c r="H5107" t="str">
        <f t="shared" si="129"/>
        <v/>
      </c>
    </row>
    <row r="5108" spans="8:8" x14ac:dyDescent="0.3">
      <c r="H5108" t="str">
        <f t="shared" si="129"/>
        <v/>
      </c>
    </row>
    <row r="5109" spans="8:8" x14ac:dyDescent="0.3">
      <c r="H5109" t="str">
        <f t="shared" si="129"/>
        <v/>
      </c>
    </row>
    <row r="5110" spans="8:8" x14ac:dyDescent="0.3">
      <c r="H5110" t="str">
        <f t="shared" si="129"/>
        <v/>
      </c>
    </row>
    <row r="5111" spans="8:8" x14ac:dyDescent="0.3">
      <c r="H5111" t="str">
        <f t="shared" si="129"/>
        <v/>
      </c>
    </row>
    <row r="5112" spans="8:8" x14ac:dyDescent="0.3">
      <c r="H5112" t="str">
        <f t="shared" si="129"/>
        <v/>
      </c>
    </row>
    <row r="5113" spans="8:8" x14ac:dyDescent="0.3">
      <c r="H5113" t="str">
        <f t="shared" si="129"/>
        <v/>
      </c>
    </row>
    <row r="5114" spans="8:8" x14ac:dyDescent="0.3">
      <c r="H5114" t="str">
        <f t="shared" si="129"/>
        <v/>
      </c>
    </row>
    <row r="5115" spans="8:8" x14ac:dyDescent="0.3">
      <c r="H5115" t="str">
        <f t="shared" si="129"/>
        <v/>
      </c>
    </row>
    <row r="5116" spans="8:8" x14ac:dyDescent="0.3">
      <c r="H5116" t="str">
        <f t="shared" si="129"/>
        <v/>
      </c>
    </row>
    <row r="5117" spans="8:8" x14ac:dyDescent="0.3">
      <c r="H5117" t="str">
        <f t="shared" si="129"/>
        <v/>
      </c>
    </row>
    <row r="5118" spans="8:8" x14ac:dyDescent="0.3">
      <c r="H5118" t="str">
        <f t="shared" si="129"/>
        <v/>
      </c>
    </row>
    <row r="5119" spans="8:8" x14ac:dyDescent="0.3">
      <c r="H5119" t="str">
        <f t="shared" si="129"/>
        <v/>
      </c>
    </row>
    <row r="5120" spans="8:8" x14ac:dyDescent="0.3">
      <c r="H5120" t="str">
        <f t="shared" si="129"/>
        <v/>
      </c>
    </row>
    <row r="5121" spans="8:8" x14ac:dyDescent="0.3">
      <c r="H5121" t="str">
        <f t="shared" si="129"/>
        <v/>
      </c>
    </row>
    <row r="5122" spans="8:8" x14ac:dyDescent="0.3">
      <c r="H5122" t="str">
        <f t="shared" si="129"/>
        <v/>
      </c>
    </row>
    <row r="5123" spans="8:8" x14ac:dyDescent="0.3">
      <c r="H5123" t="str">
        <f t="shared" si="129"/>
        <v/>
      </c>
    </row>
    <row r="5124" spans="8:8" x14ac:dyDescent="0.3">
      <c r="H5124" t="str">
        <f t="shared" si="129"/>
        <v/>
      </c>
    </row>
    <row r="5125" spans="8:8" x14ac:dyDescent="0.3">
      <c r="H5125" t="str">
        <f t="shared" si="129"/>
        <v/>
      </c>
    </row>
    <row r="5126" spans="8:8" x14ac:dyDescent="0.3">
      <c r="H5126" t="str">
        <f t="shared" si="129"/>
        <v/>
      </c>
    </row>
    <row r="5127" spans="8:8" x14ac:dyDescent="0.3">
      <c r="H5127" t="str">
        <f t="shared" si="129"/>
        <v/>
      </c>
    </row>
    <row r="5128" spans="8:8" x14ac:dyDescent="0.3">
      <c r="H5128" t="str">
        <f t="shared" si="129"/>
        <v/>
      </c>
    </row>
    <row r="5129" spans="8:8" x14ac:dyDescent="0.3">
      <c r="H5129" t="str">
        <f t="shared" si="129"/>
        <v/>
      </c>
    </row>
    <row r="5130" spans="8:8" x14ac:dyDescent="0.3">
      <c r="H5130" t="str">
        <f t="shared" si="129"/>
        <v/>
      </c>
    </row>
    <row r="5131" spans="8:8" x14ac:dyDescent="0.3">
      <c r="H5131" t="str">
        <f t="shared" si="129"/>
        <v/>
      </c>
    </row>
    <row r="5132" spans="8:8" x14ac:dyDescent="0.3">
      <c r="H5132" t="str">
        <f t="shared" si="129"/>
        <v/>
      </c>
    </row>
    <row r="5133" spans="8:8" x14ac:dyDescent="0.3">
      <c r="H5133" t="str">
        <f t="shared" si="129"/>
        <v/>
      </c>
    </row>
    <row r="5134" spans="8:8" x14ac:dyDescent="0.3">
      <c r="H5134" t="str">
        <f t="shared" si="129"/>
        <v/>
      </c>
    </row>
    <row r="5135" spans="8:8" x14ac:dyDescent="0.3">
      <c r="H5135" t="str">
        <f t="shared" si="129"/>
        <v/>
      </c>
    </row>
    <row r="5136" spans="8:8" x14ac:dyDescent="0.3">
      <c r="H5136" t="str">
        <f t="shared" si="129"/>
        <v/>
      </c>
    </row>
    <row r="5137" spans="8:8" x14ac:dyDescent="0.3">
      <c r="H5137" t="str">
        <f t="shared" si="129"/>
        <v/>
      </c>
    </row>
    <row r="5138" spans="8:8" x14ac:dyDescent="0.3">
      <c r="H5138" t="str">
        <f t="shared" si="129"/>
        <v/>
      </c>
    </row>
    <row r="5139" spans="8:8" x14ac:dyDescent="0.3">
      <c r="H5139" t="str">
        <f t="shared" si="129"/>
        <v/>
      </c>
    </row>
    <row r="5140" spans="8:8" x14ac:dyDescent="0.3">
      <c r="H5140" t="str">
        <f t="shared" si="129"/>
        <v/>
      </c>
    </row>
    <row r="5141" spans="8:8" x14ac:dyDescent="0.3">
      <c r="H5141" t="str">
        <f t="shared" si="129"/>
        <v/>
      </c>
    </row>
    <row r="5142" spans="8:8" x14ac:dyDescent="0.3">
      <c r="H5142" t="str">
        <f t="shared" si="129"/>
        <v/>
      </c>
    </row>
    <row r="5143" spans="8:8" x14ac:dyDescent="0.3">
      <c r="H5143" t="str">
        <f t="shared" ref="H5143:H5206" si="130">IF(B5143="","",$C$12)</f>
        <v/>
      </c>
    </row>
    <row r="5144" spans="8:8" x14ac:dyDescent="0.3">
      <c r="H5144" t="str">
        <f t="shared" si="130"/>
        <v/>
      </c>
    </row>
    <row r="5145" spans="8:8" x14ac:dyDescent="0.3">
      <c r="H5145" t="str">
        <f t="shared" si="130"/>
        <v/>
      </c>
    </row>
    <row r="5146" spans="8:8" x14ac:dyDescent="0.3">
      <c r="H5146" t="str">
        <f t="shared" si="130"/>
        <v/>
      </c>
    </row>
    <row r="5147" spans="8:8" x14ac:dyDescent="0.3">
      <c r="H5147" t="str">
        <f t="shared" si="130"/>
        <v/>
      </c>
    </row>
    <row r="5148" spans="8:8" x14ac:dyDescent="0.3">
      <c r="H5148" t="str">
        <f t="shared" si="130"/>
        <v/>
      </c>
    </row>
    <row r="5149" spans="8:8" x14ac:dyDescent="0.3">
      <c r="H5149" t="str">
        <f t="shared" si="130"/>
        <v/>
      </c>
    </row>
    <row r="5150" spans="8:8" x14ac:dyDescent="0.3">
      <c r="H5150" t="str">
        <f t="shared" si="130"/>
        <v/>
      </c>
    </row>
    <row r="5151" spans="8:8" x14ac:dyDescent="0.3">
      <c r="H5151" t="str">
        <f t="shared" si="130"/>
        <v/>
      </c>
    </row>
    <row r="5152" spans="8:8" x14ac:dyDescent="0.3">
      <c r="H5152" t="str">
        <f t="shared" si="130"/>
        <v/>
      </c>
    </row>
    <row r="5153" spans="8:8" x14ac:dyDescent="0.3">
      <c r="H5153" t="str">
        <f t="shared" si="130"/>
        <v/>
      </c>
    </row>
    <row r="5154" spans="8:8" x14ac:dyDescent="0.3">
      <c r="H5154" t="str">
        <f t="shared" si="130"/>
        <v/>
      </c>
    </row>
    <row r="5155" spans="8:8" x14ac:dyDescent="0.3">
      <c r="H5155" t="str">
        <f t="shared" si="130"/>
        <v/>
      </c>
    </row>
    <row r="5156" spans="8:8" x14ac:dyDescent="0.3">
      <c r="H5156" t="str">
        <f t="shared" si="130"/>
        <v/>
      </c>
    </row>
    <row r="5157" spans="8:8" x14ac:dyDescent="0.3">
      <c r="H5157" t="str">
        <f t="shared" si="130"/>
        <v/>
      </c>
    </row>
    <row r="5158" spans="8:8" x14ac:dyDescent="0.3">
      <c r="H5158" t="str">
        <f t="shared" si="130"/>
        <v/>
      </c>
    </row>
    <row r="5159" spans="8:8" x14ac:dyDescent="0.3">
      <c r="H5159" t="str">
        <f t="shared" si="130"/>
        <v/>
      </c>
    </row>
    <row r="5160" spans="8:8" x14ac:dyDescent="0.3">
      <c r="H5160" t="str">
        <f t="shared" si="130"/>
        <v/>
      </c>
    </row>
    <row r="5161" spans="8:8" x14ac:dyDescent="0.3">
      <c r="H5161" t="str">
        <f t="shared" si="130"/>
        <v/>
      </c>
    </row>
    <row r="5162" spans="8:8" x14ac:dyDescent="0.3">
      <c r="H5162" t="str">
        <f t="shared" si="130"/>
        <v/>
      </c>
    </row>
    <row r="5163" spans="8:8" x14ac:dyDescent="0.3">
      <c r="H5163" t="str">
        <f t="shared" si="130"/>
        <v/>
      </c>
    </row>
    <row r="5164" spans="8:8" x14ac:dyDescent="0.3">
      <c r="H5164" t="str">
        <f t="shared" si="130"/>
        <v/>
      </c>
    </row>
    <row r="5165" spans="8:8" x14ac:dyDescent="0.3">
      <c r="H5165" t="str">
        <f t="shared" si="130"/>
        <v/>
      </c>
    </row>
    <row r="5166" spans="8:8" x14ac:dyDescent="0.3">
      <c r="H5166" t="str">
        <f t="shared" si="130"/>
        <v/>
      </c>
    </row>
    <row r="5167" spans="8:8" x14ac:dyDescent="0.3">
      <c r="H5167" t="str">
        <f t="shared" si="130"/>
        <v/>
      </c>
    </row>
    <row r="5168" spans="8:8" x14ac:dyDescent="0.3">
      <c r="H5168" t="str">
        <f t="shared" si="130"/>
        <v/>
      </c>
    </row>
    <row r="5169" spans="8:8" x14ac:dyDescent="0.3">
      <c r="H5169" t="str">
        <f t="shared" si="130"/>
        <v/>
      </c>
    </row>
    <row r="5170" spans="8:8" x14ac:dyDescent="0.3">
      <c r="H5170" t="str">
        <f t="shared" si="130"/>
        <v/>
      </c>
    </row>
    <row r="5171" spans="8:8" x14ac:dyDescent="0.3">
      <c r="H5171" t="str">
        <f t="shared" si="130"/>
        <v/>
      </c>
    </row>
    <row r="5172" spans="8:8" x14ac:dyDescent="0.3">
      <c r="H5172" t="str">
        <f t="shared" si="130"/>
        <v/>
      </c>
    </row>
    <row r="5173" spans="8:8" x14ac:dyDescent="0.3">
      <c r="H5173" t="str">
        <f t="shared" si="130"/>
        <v/>
      </c>
    </row>
    <row r="5174" spans="8:8" x14ac:dyDescent="0.3">
      <c r="H5174" t="str">
        <f t="shared" si="130"/>
        <v/>
      </c>
    </row>
    <row r="5175" spans="8:8" x14ac:dyDescent="0.3">
      <c r="H5175" t="str">
        <f t="shared" si="130"/>
        <v/>
      </c>
    </row>
    <row r="5176" spans="8:8" x14ac:dyDescent="0.3">
      <c r="H5176" t="str">
        <f t="shared" si="130"/>
        <v/>
      </c>
    </row>
    <row r="5177" spans="8:8" x14ac:dyDescent="0.3">
      <c r="H5177" t="str">
        <f t="shared" si="130"/>
        <v/>
      </c>
    </row>
    <row r="5178" spans="8:8" x14ac:dyDescent="0.3">
      <c r="H5178" t="str">
        <f t="shared" si="130"/>
        <v/>
      </c>
    </row>
    <row r="5179" spans="8:8" x14ac:dyDescent="0.3">
      <c r="H5179" t="str">
        <f t="shared" si="130"/>
        <v/>
      </c>
    </row>
    <row r="5180" spans="8:8" x14ac:dyDescent="0.3">
      <c r="H5180" t="str">
        <f t="shared" si="130"/>
        <v/>
      </c>
    </row>
    <row r="5181" spans="8:8" x14ac:dyDescent="0.3">
      <c r="H5181" t="str">
        <f t="shared" si="130"/>
        <v/>
      </c>
    </row>
    <row r="5182" spans="8:8" x14ac:dyDescent="0.3">
      <c r="H5182" t="str">
        <f t="shared" si="130"/>
        <v/>
      </c>
    </row>
    <row r="5183" spans="8:8" x14ac:dyDescent="0.3">
      <c r="H5183" t="str">
        <f t="shared" si="130"/>
        <v/>
      </c>
    </row>
    <row r="5184" spans="8:8" x14ac:dyDescent="0.3">
      <c r="H5184" t="str">
        <f t="shared" si="130"/>
        <v/>
      </c>
    </row>
    <row r="5185" spans="8:8" x14ac:dyDescent="0.3">
      <c r="H5185" t="str">
        <f t="shared" si="130"/>
        <v/>
      </c>
    </row>
    <row r="5186" spans="8:8" x14ac:dyDescent="0.3">
      <c r="H5186" t="str">
        <f t="shared" si="130"/>
        <v/>
      </c>
    </row>
    <row r="5187" spans="8:8" x14ac:dyDescent="0.3">
      <c r="H5187" t="str">
        <f t="shared" si="130"/>
        <v/>
      </c>
    </row>
    <row r="5188" spans="8:8" x14ac:dyDescent="0.3">
      <c r="H5188" t="str">
        <f t="shared" si="130"/>
        <v/>
      </c>
    </row>
    <row r="5189" spans="8:8" x14ac:dyDescent="0.3">
      <c r="H5189" t="str">
        <f t="shared" si="130"/>
        <v/>
      </c>
    </row>
    <row r="5190" spans="8:8" x14ac:dyDescent="0.3">
      <c r="H5190" t="str">
        <f t="shared" si="130"/>
        <v/>
      </c>
    </row>
    <row r="5191" spans="8:8" x14ac:dyDescent="0.3">
      <c r="H5191" t="str">
        <f t="shared" si="130"/>
        <v/>
      </c>
    </row>
    <row r="5192" spans="8:8" x14ac:dyDescent="0.3">
      <c r="H5192" t="str">
        <f t="shared" si="130"/>
        <v/>
      </c>
    </row>
    <row r="5193" spans="8:8" x14ac:dyDescent="0.3">
      <c r="H5193" t="str">
        <f t="shared" si="130"/>
        <v/>
      </c>
    </row>
    <row r="5194" spans="8:8" x14ac:dyDescent="0.3">
      <c r="H5194" t="str">
        <f t="shared" si="130"/>
        <v/>
      </c>
    </row>
    <row r="5195" spans="8:8" x14ac:dyDescent="0.3">
      <c r="H5195" t="str">
        <f t="shared" si="130"/>
        <v/>
      </c>
    </row>
    <row r="5196" spans="8:8" x14ac:dyDescent="0.3">
      <c r="H5196" t="str">
        <f t="shared" si="130"/>
        <v/>
      </c>
    </row>
    <row r="5197" spans="8:8" x14ac:dyDescent="0.3">
      <c r="H5197" t="str">
        <f t="shared" si="130"/>
        <v/>
      </c>
    </row>
    <row r="5198" spans="8:8" x14ac:dyDescent="0.3">
      <c r="H5198" t="str">
        <f t="shared" si="130"/>
        <v/>
      </c>
    </row>
    <row r="5199" spans="8:8" x14ac:dyDescent="0.3">
      <c r="H5199" t="str">
        <f t="shared" si="130"/>
        <v/>
      </c>
    </row>
    <row r="5200" spans="8:8" x14ac:dyDescent="0.3">
      <c r="H5200" t="str">
        <f t="shared" si="130"/>
        <v/>
      </c>
    </row>
    <row r="5201" spans="8:8" x14ac:dyDescent="0.3">
      <c r="H5201" t="str">
        <f t="shared" si="130"/>
        <v/>
      </c>
    </row>
    <row r="5202" spans="8:8" x14ac:dyDescent="0.3">
      <c r="H5202" t="str">
        <f t="shared" si="130"/>
        <v/>
      </c>
    </row>
    <row r="5203" spans="8:8" x14ac:dyDescent="0.3">
      <c r="H5203" t="str">
        <f t="shared" si="130"/>
        <v/>
      </c>
    </row>
    <row r="5204" spans="8:8" x14ac:dyDescent="0.3">
      <c r="H5204" t="str">
        <f t="shared" si="130"/>
        <v/>
      </c>
    </row>
    <row r="5205" spans="8:8" x14ac:dyDescent="0.3">
      <c r="H5205" t="str">
        <f t="shared" si="130"/>
        <v/>
      </c>
    </row>
    <row r="5206" spans="8:8" x14ac:dyDescent="0.3">
      <c r="H5206" t="str">
        <f t="shared" si="130"/>
        <v/>
      </c>
    </row>
    <row r="5207" spans="8:8" x14ac:dyDescent="0.3">
      <c r="H5207" t="str">
        <f t="shared" ref="H5207:H5270" si="131">IF(B5207="","",$C$12)</f>
        <v/>
      </c>
    </row>
    <row r="5208" spans="8:8" x14ac:dyDescent="0.3">
      <c r="H5208" t="str">
        <f t="shared" si="131"/>
        <v/>
      </c>
    </row>
    <row r="5209" spans="8:8" x14ac:dyDescent="0.3">
      <c r="H5209" t="str">
        <f t="shared" si="131"/>
        <v/>
      </c>
    </row>
    <row r="5210" spans="8:8" x14ac:dyDescent="0.3">
      <c r="H5210" t="str">
        <f t="shared" si="131"/>
        <v/>
      </c>
    </row>
    <row r="5211" spans="8:8" x14ac:dyDescent="0.3">
      <c r="H5211" t="str">
        <f t="shared" si="131"/>
        <v/>
      </c>
    </row>
    <row r="5212" spans="8:8" x14ac:dyDescent="0.3">
      <c r="H5212" t="str">
        <f t="shared" si="131"/>
        <v/>
      </c>
    </row>
    <row r="5213" spans="8:8" x14ac:dyDescent="0.3">
      <c r="H5213" t="str">
        <f t="shared" si="131"/>
        <v/>
      </c>
    </row>
    <row r="5214" spans="8:8" x14ac:dyDescent="0.3">
      <c r="H5214" t="str">
        <f t="shared" si="131"/>
        <v/>
      </c>
    </row>
    <row r="5215" spans="8:8" x14ac:dyDescent="0.3">
      <c r="H5215" t="str">
        <f t="shared" si="131"/>
        <v/>
      </c>
    </row>
    <row r="5216" spans="8:8" x14ac:dyDescent="0.3">
      <c r="H5216" t="str">
        <f t="shared" si="131"/>
        <v/>
      </c>
    </row>
    <row r="5217" spans="8:8" x14ac:dyDescent="0.3">
      <c r="H5217" t="str">
        <f t="shared" si="131"/>
        <v/>
      </c>
    </row>
    <row r="5218" spans="8:8" x14ac:dyDescent="0.3">
      <c r="H5218" t="str">
        <f t="shared" si="131"/>
        <v/>
      </c>
    </row>
    <row r="5219" spans="8:8" x14ac:dyDescent="0.3">
      <c r="H5219" t="str">
        <f t="shared" si="131"/>
        <v/>
      </c>
    </row>
    <row r="5220" spans="8:8" x14ac:dyDescent="0.3">
      <c r="H5220" t="str">
        <f t="shared" si="131"/>
        <v/>
      </c>
    </row>
    <row r="5221" spans="8:8" x14ac:dyDescent="0.3">
      <c r="H5221" t="str">
        <f t="shared" si="131"/>
        <v/>
      </c>
    </row>
    <row r="5222" spans="8:8" x14ac:dyDescent="0.3">
      <c r="H5222" t="str">
        <f t="shared" si="131"/>
        <v/>
      </c>
    </row>
    <row r="5223" spans="8:8" x14ac:dyDescent="0.3">
      <c r="H5223" t="str">
        <f t="shared" si="131"/>
        <v/>
      </c>
    </row>
    <row r="5224" spans="8:8" x14ac:dyDescent="0.3">
      <c r="H5224" t="str">
        <f t="shared" si="131"/>
        <v/>
      </c>
    </row>
    <row r="5225" spans="8:8" x14ac:dyDescent="0.3">
      <c r="H5225" t="str">
        <f t="shared" si="131"/>
        <v/>
      </c>
    </row>
    <row r="5226" spans="8:8" x14ac:dyDescent="0.3">
      <c r="H5226" t="str">
        <f t="shared" si="131"/>
        <v/>
      </c>
    </row>
    <row r="5227" spans="8:8" x14ac:dyDescent="0.3">
      <c r="H5227" t="str">
        <f t="shared" si="131"/>
        <v/>
      </c>
    </row>
    <row r="5228" spans="8:8" x14ac:dyDescent="0.3">
      <c r="H5228" t="str">
        <f t="shared" si="131"/>
        <v/>
      </c>
    </row>
    <row r="5229" spans="8:8" x14ac:dyDescent="0.3">
      <c r="H5229" t="str">
        <f t="shared" si="131"/>
        <v/>
      </c>
    </row>
    <row r="5230" spans="8:8" x14ac:dyDescent="0.3">
      <c r="H5230" t="str">
        <f t="shared" si="131"/>
        <v/>
      </c>
    </row>
    <row r="5231" spans="8:8" x14ac:dyDescent="0.3">
      <c r="H5231" t="str">
        <f t="shared" si="131"/>
        <v/>
      </c>
    </row>
    <row r="5232" spans="8:8" x14ac:dyDescent="0.3">
      <c r="H5232" t="str">
        <f t="shared" si="131"/>
        <v/>
      </c>
    </row>
    <row r="5233" spans="8:8" x14ac:dyDescent="0.3">
      <c r="H5233" t="str">
        <f t="shared" si="131"/>
        <v/>
      </c>
    </row>
    <row r="5234" spans="8:8" x14ac:dyDescent="0.3">
      <c r="H5234" t="str">
        <f t="shared" si="131"/>
        <v/>
      </c>
    </row>
    <row r="5235" spans="8:8" x14ac:dyDescent="0.3">
      <c r="H5235" t="str">
        <f t="shared" si="131"/>
        <v/>
      </c>
    </row>
    <row r="5236" spans="8:8" x14ac:dyDescent="0.3">
      <c r="H5236" t="str">
        <f t="shared" si="131"/>
        <v/>
      </c>
    </row>
    <row r="5237" spans="8:8" x14ac:dyDescent="0.3">
      <c r="H5237" t="str">
        <f t="shared" si="131"/>
        <v/>
      </c>
    </row>
    <row r="5238" spans="8:8" x14ac:dyDescent="0.3">
      <c r="H5238" t="str">
        <f t="shared" si="131"/>
        <v/>
      </c>
    </row>
    <row r="5239" spans="8:8" x14ac:dyDescent="0.3">
      <c r="H5239" t="str">
        <f t="shared" si="131"/>
        <v/>
      </c>
    </row>
    <row r="5240" spans="8:8" x14ac:dyDescent="0.3">
      <c r="H5240" t="str">
        <f t="shared" si="131"/>
        <v/>
      </c>
    </row>
    <row r="5241" spans="8:8" x14ac:dyDescent="0.3">
      <c r="H5241" t="str">
        <f t="shared" si="131"/>
        <v/>
      </c>
    </row>
    <row r="5242" spans="8:8" x14ac:dyDescent="0.3">
      <c r="H5242" t="str">
        <f t="shared" si="131"/>
        <v/>
      </c>
    </row>
    <row r="5243" spans="8:8" x14ac:dyDescent="0.3">
      <c r="H5243" t="str">
        <f t="shared" si="131"/>
        <v/>
      </c>
    </row>
    <row r="5244" spans="8:8" x14ac:dyDescent="0.3">
      <c r="H5244" t="str">
        <f t="shared" si="131"/>
        <v/>
      </c>
    </row>
    <row r="5245" spans="8:8" x14ac:dyDescent="0.3">
      <c r="H5245" t="str">
        <f t="shared" si="131"/>
        <v/>
      </c>
    </row>
    <row r="5246" spans="8:8" x14ac:dyDescent="0.3">
      <c r="H5246" t="str">
        <f t="shared" si="131"/>
        <v/>
      </c>
    </row>
    <row r="5247" spans="8:8" x14ac:dyDescent="0.3">
      <c r="H5247" t="str">
        <f t="shared" si="131"/>
        <v/>
      </c>
    </row>
    <row r="5248" spans="8:8" x14ac:dyDescent="0.3">
      <c r="H5248" t="str">
        <f t="shared" si="131"/>
        <v/>
      </c>
    </row>
    <row r="5249" spans="8:8" x14ac:dyDescent="0.3">
      <c r="H5249" t="str">
        <f t="shared" si="131"/>
        <v/>
      </c>
    </row>
    <row r="5250" spans="8:8" x14ac:dyDescent="0.3">
      <c r="H5250" t="str">
        <f t="shared" si="131"/>
        <v/>
      </c>
    </row>
    <row r="5251" spans="8:8" x14ac:dyDescent="0.3">
      <c r="H5251" t="str">
        <f t="shared" si="131"/>
        <v/>
      </c>
    </row>
    <row r="5252" spans="8:8" x14ac:dyDescent="0.3">
      <c r="H5252" t="str">
        <f t="shared" si="131"/>
        <v/>
      </c>
    </row>
    <row r="5253" spans="8:8" x14ac:dyDescent="0.3">
      <c r="H5253" t="str">
        <f t="shared" si="131"/>
        <v/>
      </c>
    </row>
    <row r="5254" spans="8:8" x14ac:dyDescent="0.3">
      <c r="H5254" t="str">
        <f t="shared" si="131"/>
        <v/>
      </c>
    </row>
    <row r="5255" spans="8:8" x14ac:dyDescent="0.3">
      <c r="H5255" t="str">
        <f t="shared" si="131"/>
        <v/>
      </c>
    </row>
    <row r="5256" spans="8:8" x14ac:dyDescent="0.3">
      <c r="H5256" t="str">
        <f t="shared" si="131"/>
        <v/>
      </c>
    </row>
    <row r="5257" spans="8:8" x14ac:dyDescent="0.3">
      <c r="H5257" t="str">
        <f t="shared" si="131"/>
        <v/>
      </c>
    </row>
    <row r="5258" spans="8:8" x14ac:dyDescent="0.3">
      <c r="H5258" t="str">
        <f t="shared" si="131"/>
        <v/>
      </c>
    </row>
    <row r="5259" spans="8:8" x14ac:dyDescent="0.3">
      <c r="H5259" t="str">
        <f t="shared" si="131"/>
        <v/>
      </c>
    </row>
    <row r="5260" spans="8:8" x14ac:dyDescent="0.3">
      <c r="H5260" t="str">
        <f t="shared" si="131"/>
        <v/>
      </c>
    </row>
    <row r="5261" spans="8:8" x14ac:dyDescent="0.3">
      <c r="H5261" t="str">
        <f t="shared" si="131"/>
        <v/>
      </c>
    </row>
    <row r="5262" spans="8:8" x14ac:dyDescent="0.3">
      <c r="H5262" t="str">
        <f t="shared" si="131"/>
        <v/>
      </c>
    </row>
    <row r="5263" spans="8:8" x14ac:dyDescent="0.3">
      <c r="H5263" t="str">
        <f t="shared" si="131"/>
        <v/>
      </c>
    </row>
    <row r="5264" spans="8:8" x14ac:dyDescent="0.3">
      <c r="H5264" t="str">
        <f t="shared" si="131"/>
        <v/>
      </c>
    </row>
    <row r="5265" spans="8:8" x14ac:dyDescent="0.3">
      <c r="H5265" t="str">
        <f t="shared" si="131"/>
        <v/>
      </c>
    </row>
    <row r="5266" spans="8:8" x14ac:dyDescent="0.3">
      <c r="H5266" t="str">
        <f t="shared" si="131"/>
        <v/>
      </c>
    </row>
    <row r="5267" spans="8:8" x14ac:dyDescent="0.3">
      <c r="H5267" t="str">
        <f t="shared" si="131"/>
        <v/>
      </c>
    </row>
    <row r="5268" spans="8:8" x14ac:dyDescent="0.3">
      <c r="H5268" t="str">
        <f t="shared" si="131"/>
        <v/>
      </c>
    </row>
    <row r="5269" spans="8:8" x14ac:dyDescent="0.3">
      <c r="H5269" t="str">
        <f t="shared" si="131"/>
        <v/>
      </c>
    </row>
    <row r="5270" spans="8:8" x14ac:dyDescent="0.3">
      <c r="H5270" t="str">
        <f t="shared" si="131"/>
        <v/>
      </c>
    </row>
    <row r="5271" spans="8:8" x14ac:dyDescent="0.3">
      <c r="H5271" t="str">
        <f t="shared" ref="H5271:H5334" si="132">IF(B5271="","",$C$12)</f>
        <v/>
      </c>
    </row>
    <row r="5272" spans="8:8" x14ac:dyDescent="0.3">
      <c r="H5272" t="str">
        <f t="shared" si="132"/>
        <v/>
      </c>
    </row>
    <row r="5273" spans="8:8" x14ac:dyDescent="0.3">
      <c r="H5273" t="str">
        <f t="shared" si="132"/>
        <v/>
      </c>
    </row>
    <row r="5274" spans="8:8" x14ac:dyDescent="0.3">
      <c r="H5274" t="str">
        <f t="shared" si="132"/>
        <v/>
      </c>
    </row>
    <row r="5275" spans="8:8" x14ac:dyDescent="0.3">
      <c r="H5275" t="str">
        <f t="shared" si="132"/>
        <v/>
      </c>
    </row>
    <row r="5276" spans="8:8" x14ac:dyDescent="0.3">
      <c r="H5276" t="str">
        <f t="shared" si="132"/>
        <v/>
      </c>
    </row>
    <row r="5277" spans="8:8" x14ac:dyDescent="0.3">
      <c r="H5277" t="str">
        <f t="shared" si="132"/>
        <v/>
      </c>
    </row>
    <row r="5278" spans="8:8" x14ac:dyDescent="0.3">
      <c r="H5278" t="str">
        <f t="shared" si="132"/>
        <v/>
      </c>
    </row>
    <row r="5279" spans="8:8" x14ac:dyDescent="0.3">
      <c r="H5279" t="str">
        <f t="shared" si="132"/>
        <v/>
      </c>
    </row>
    <row r="5280" spans="8:8" x14ac:dyDescent="0.3">
      <c r="H5280" t="str">
        <f t="shared" si="132"/>
        <v/>
      </c>
    </row>
    <row r="5281" spans="8:8" x14ac:dyDescent="0.3">
      <c r="H5281" t="str">
        <f t="shared" si="132"/>
        <v/>
      </c>
    </row>
    <row r="5282" spans="8:8" x14ac:dyDescent="0.3">
      <c r="H5282" t="str">
        <f t="shared" si="132"/>
        <v/>
      </c>
    </row>
    <row r="5283" spans="8:8" x14ac:dyDescent="0.3">
      <c r="H5283" t="str">
        <f t="shared" si="132"/>
        <v/>
      </c>
    </row>
    <row r="5284" spans="8:8" x14ac:dyDescent="0.3">
      <c r="H5284" t="str">
        <f t="shared" si="132"/>
        <v/>
      </c>
    </row>
    <row r="5285" spans="8:8" x14ac:dyDescent="0.3">
      <c r="H5285" t="str">
        <f t="shared" si="132"/>
        <v/>
      </c>
    </row>
    <row r="5286" spans="8:8" x14ac:dyDescent="0.3">
      <c r="H5286" t="str">
        <f t="shared" si="132"/>
        <v/>
      </c>
    </row>
    <row r="5287" spans="8:8" x14ac:dyDescent="0.3">
      <c r="H5287" t="str">
        <f t="shared" si="132"/>
        <v/>
      </c>
    </row>
    <row r="5288" spans="8:8" x14ac:dyDescent="0.3">
      <c r="H5288" t="str">
        <f t="shared" si="132"/>
        <v/>
      </c>
    </row>
    <row r="5289" spans="8:8" x14ac:dyDescent="0.3">
      <c r="H5289" t="str">
        <f t="shared" si="132"/>
        <v/>
      </c>
    </row>
    <row r="5290" spans="8:8" x14ac:dyDescent="0.3">
      <c r="H5290" t="str">
        <f t="shared" si="132"/>
        <v/>
      </c>
    </row>
    <row r="5291" spans="8:8" x14ac:dyDescent="0.3">
      <c r="H5291" t="str">
        <f t="shared" si="132"/>
        <v/>
      </c>
    </row>
    <row r="5292" spans="8:8" x14ac:dyDescent="0.3">
      <c r="H5292" t="str">
        <f t="shared" si="132"/>
        <v/>
      </c>
    </row>
    <row r="5293" spans="8:8" x14ac:dyDescent="0.3">
      <c r="H5293" t="str">
        <f t="shared" si="132"/>
        <v/>
      </c>
    </row>
    <row r="5294" spans="8:8" x14ac:dyDescent="0.3">
      <c r="H5294" t="str">
        <f t="shared" si="132"/>
        <v/>
      </c>
    </row>
    <row r="5295" spans="8:8" x14ac:dyDescent="0.3">
      <c r="H5295" t="str">
        <f t="shared" si="132"/>
        <v/>
      </c>
    </row>
    <row r="5296" spans="8:8" x14ac:dyDescent="0.3">
      <c r="H5296" t="str">
        <f t="shared" si="132"/>
        <v/>
      </c>
    </row>
    <row r="5297" spans="8:8" x14ac:dyDescent="0.3">
      <c r="H5297" t="str">
        <f t="shared" si="132"/>
        <v/>
      </c>
    </row>
    <row r="5298" spans="8:8" x14ac:dyDescent="0.3">
      <c r="H5298" t="str">
        <f t="shared" si="132"/>
        <v/>
      </c>
    </row>
    <row r="5299" spans="8:8" x14ac:dyDescent="0.3">
      <c r="H5299" t="str">
        <f t="shared" si="132"/>
        <v/>
      </c>
    </row>
    <row r="5300" spans="8:8" x14ac:dyDescent="0.3">
      <c r="H5300" t="str">
        <f t="shared" si="132"/>
        <v/>
      </c>
    </row>
    <row r="5301" spans="8:8" x14ac:dyDescent="0.3">
      <c r="H5301" t="str">
        <f t="shared" si="132"/>
        <v/>
      </c>
    </row>
    <row r="5302" spans="8:8" x14ac:dyDescent="0.3">
      <c r="H5302" t="str">
        <f t="shared" si="132"/>
        <v/>
      </c>
    </row>
    <row r="5303" spans="8:8" x14ac:dyDescent="0.3">
      <c r="H5303" t="str">
        <f t="shared" si="132"/>
        <v/>
      </c>
    </row>
    <row r="5304" spans="8:8" x14ac:dyDescent="0.3">
      <c r="H5304" t="str">
        <f t="shared" si="132"/>
        <v/>
      </c>
    </row>
    <row r="5305" spans="8:8" x14ac:dyDescent="0.3">
      <c r="H5305" t="str">
        <f t="shared" si="132"/>
        <v/>
      </c>
    </row>
    <row r="5306" spans="8:8" x14ac:dyDescent="0.3">
      <c r="H5306" t="str">
        <f t="shared" si="132"/>
        <v/>
      </c>
    </row>
    <row r="5307" spans="8:8" x14ac:dyDescent="0.3">
      <c r="H5307" t="str">
        <f t="shared" si="132"/>
        <v/>
      </c>
    </row>
    <row r="5308" spans="8:8" x14ac:dyDescent="0.3">
      <c r="H5308" t="str">
        <f t="shared" si="132"/>
        <v/>
      </c>
    </row>
    <row r="5309" spans="8:8" x14ac:dyDescent="0.3">
      <c r="H5309" t="str">
        <f t="shared" si="132"/>
        <v/>
      </c>
    </row>
    <row r="5310" spans="8:8" x14ac:dyDescent="0.3">
      <c r="H5310" t="str">
        <f t="shared" si="132"/>
        <v/>
      </c>
    </row>
    <row r="5311" spans="8:8" x14ac:dyDescent="0.3">
      <c r="H5311" t="str">
        <f t="shared" si="132"/>
        <v/>
      </c>
    </row>
    <row r="5312" spans="8:8" x14ac:dyDescent="0.3">
      <c r="H5312" t="str">
        <f t="shared" si="132"/>
        <v/>
      </c>
    </row>
    <row r="5313" spans="8:8" x14ac:dyDescent="0.3">
      <c r="H5313" t="str">
        <f t="shared" si="132"/>
        <v/>
      </c>
    </row>
    <row r="5314" spans="8:8" x14ac:dyDescent="0.3">
      <c r="H5314" t="str">
        <f t="shared" si="132"/>
        <v/>
      </c>
    </row>
    <row r="5315" spans="8:8" x14ac:dyDescent="0.3">
      <c r="H5315" t="str">
        <f t="shared" si="132"/>
        <v/>
      </c>
    </row>
    <row r="5316" spans="8:8" x14ac:dyDescent="0.3">
      <c r="H5316" t="str">
        <f t="shared" si="132"/>
        <v/>
      </c>
    </row>
    <row r="5317" spans="8:8" x14ac:dyDescent="0.3">
      <c r="H5317" t="str">
        <f t="shared" si="132"/>
        <v/>
      </c>
    </row>
    <row r="5318" spans="8:8" x14ac:dyDescent="0.3">
      <c r="H5318" t="str">
        <f t="shared" si="132"/>
        <v/>
      </c>
    </row>
    <row r="5319" spans="8:8" x14ac:dyDescent="0.3">
      <c r="H5319" t="str">
        <f t="shared" si="132"/>
        <v/>
      </c>
    </row>
    <row r="5320" spans="8:8" x14ac:dyDescent="0.3">
      <c r="H5320" t="str">
        <f t="shared" si="132"/>
        <v/>
      </c>
    </row>
    <row r="5321" spans="8:8" x14ac:dyDescent="0.3">
      <c r="H5321" t="str">
        <f t="shared" si="132"/>
        <v/>
      </c>
    </row>
    <row r="5322" spans="8:8" x14ac:dyDescent="0.3">
      <c r="H5322" t="str">
        <f t="shared" si="132"/>
        <v/>
      </c>
    </row>
    <row r="5323" spans="8:8" x14ac:dyDescent="0.3">
      <c r="H5323" t="str">
        <f t="shared" si="132"/>
        <v/>
      </c>
    </row>
    <row r="5324" spans="8:8" x14ac:dyDescent="0.3">
      <c r="H5324" t="str">
        <f t="shared" si="132"/>
        <v/>
      </c>
    </row>
    <row r="5325" spans="8:8" x14ac:dyDescent="0.3">
      <c r="H5325" t="str">
        <f t="shared" si="132"/>
        <v/>
      </c>
    </row>
    <row r="5326" spans="8:8" x14ac:dyDescent="0.3">
      <c r="H5326" t="str">
        <f t="shared" si="132"/>
        <v/>
      </c>
    </row>
    <row r="5327" spans="8:8" x14ac:dyDescent="0.3">
      <c r="H5327" t="str">
        <f t="shared" si="132"/>
        <v/>
      </c>
    </row>
    <row r="5328" spans="8:8" x14ac:dyDescent="0.3">
      <c r="H5328" t="str">
        <f t="shared" si="132"/>
        <v/>
      </c>
    </row>
    <row r="5329" spans="8:8" x14ac:dyDescent="0.3">
      <c r="H5329" t="str">
        <f t="shared" si="132"/>
        <v/>
      </c>
    </row>
    <row r="5330" spans="8:8" x14ac:dyDescent="0.3">
      <c r="H5330" t="str">
        <f t="shared" si="132"/>
        <v/>
      </c>
    </row>
    <row r="5331" spans="8:8" x14ac:dyDescent="0.3">
      <c r="H5331" t="str">
        <f t="shared" si="132"/>
        <v/>
      </c>
    </row>
    <row r="5332" spans="8:8" x14ac:dyDescent="0.3">
      <c r="H5332" t="str">
        <f t="shared" si="132"/>
        <v/>
      </c>
    </row>
    <row r="5333" spans="8:8" x14ac:dyDescent="0.3">
      <c r="H5333" t="str">
        <f t="shared" si="132"/>
        <v/>
      </c>
    </row>
    <row r="5334" spans="8:8" x14ac:dyDescent="0.3">
      <c r="H5334" t="str">
        <f t="shared" si="132"/>
        <v/>
      </c>
    </row>
    <row r="5335" spans="8:8" x14ac:dyDescent="0.3">
      <c r="H5335" t="str">
        <f t="shared" ref="H5335:H5398" si="133">IF(B5335="","",$C$12)</f>
        <v/>
      </c>
    </row>
    <row r="5336" spans="8:8" x14ac:dyDescent="0.3">
      <c r="H5336" t="str">
        <f t="shared" si="133"/>
        <v/>
      </c>
    </row>
    <row r="5337" spans="8:8" x14ac:dyDescent="0.3">
      <c r="H5337" t="str">
        <f t="shared" si="133"/>
        <v/>
      </c>
    </row>
    <row r="5338" spans="8:8" x14ac:dyDescent="0.3">
      <c r="H5338" t="str">
        <f t="shared" si="133"/>
        <v/>
      </c>
    </row>
    <row r="5339" spans="8:8" x14ac:dyDescent="0.3">
      <c r="H5339" t="str">
        <f t="shared" si="133"/>
        <v/>
      </c>
    </row>
    <row r="5340" spans="8:8" x14ac:dyDescent="0.3">
      <c r="H5340" t="str">
        <f t="shared" si="133"/>
        <v/>
      </c>
    </row>
    <row r="5341" spans="8:8" x14ac:dyDescent="0.3">
      <c r="H5341" t="str">
        <f t="shared" si="133"/>
        <v/>
      </c>
    </row>
    <row r="5342" spans="8:8" x14ac:dyDescent="0.3">
      <c r="H5342" t="str">
        <f t="shared" si="133"/>
        <v/>
      </c>
    </row>
    <row r="5343" spans="8:8" x14ac:dyDescent="0.3">
      <c r="H5343" t="str">
        <f t="shared" si="133"/>
        <v/>
      </c>
    </row>
    <row r="5344" spans="8:8" x14ac:dyDescent="0.3">
      <c r="H5344" t="str">
        <f t="shared" si="133"/>
        <v/>
      </c>
    </row>
    <row r="5345" spans="8:8" x14ac:dyDescent="0.3">
      <c r="H5345" t="str">
        <f t="shared" si="133"/>
        <v/>
      </c>
    </row>
    <row r="5346" spans="8:8" x14ac:dyDescent="0.3">
      <c r="H5346" t="str">
        <f t="shared" si="133"/>
        <v/>
      </c>
    </row>
    <row r="5347" spans="8:8" x14ac:dyDescent="0.3">
      <c r="H5347" t="str">
        <f t="shared" si="133"/>
        <v/>
      </c>
    </row>
    <row r="5348" spans="8:8" x14ac:dyDescent="0.3">
      <c r="H5348" t="str">
        <f t="shared" si="133"/>
        <v/>
      </c>
    </row>
    <row r="5349" spans="8:8" x14ac:dyDescent="0.3">
      <c r="H5349" t="str">
        <f t="shared" si="133"/>
        <v/>
      </c>
    </row>
    <row r="5350" spans="8:8" x14ac:dyDescent="0.3">
      <c r="H5350" t="str">
        <f t="shared" si="133"/>
        <v/>
      </c>
    </row>
    <row r="5351" spans="8:8" x14ac:dyDescent="0.3">
      <c r="H5351" t="str">
        <f t="shared" si="133"/>
        <v/>
      </c>
    </row>
    <row r="5352" spans="8:8" x14ac:dyDescent="0.3">
      <c r="H5352" t="str">
        <f t="shared" si="133"/>
        <v/>
      </c>
    </row>
    <row r="5353" spans="8:8" x14ac:dyDescent="0.3">
      <c r="H5353" t="str">
        <f t="shared" si="133"/>
        <v/>
      </c>
    </row>
    <row r="5354" spans="8:8" x14ac:dyDescent="0.3">
      <c r="H5354" t="str">
        <f t="shared" si="133"/>
        <v/>
      </c>
    </row>
    <row r="5355" spans="8:8" x14ac:dyDescent="0.3">
      <c r="H5355" t="str">
        <f t="shared" si="133"/>
        <v/>
      </c>
    </row>
    <row r="5356" spans="8:8" x14ac:dyDescent="0.3">
      <c r="H5356" t="str">
        <f t="shared" si="133"/>
        <v/>
      </c>
    </row>
    <row r="5357" spans="8:8" x14ac:dyDescent="0.3">
      <c r="H5357" t="str">
        <f t="shared" si="133"/>
        <v/>
      </c>
    </row>
    <row r="5358" spans="8:8" x14ac:dyDescent="0.3">
      <c r="H5358" t="str">
        <f t="shared" si="133"/>
        <v/>
      </c>
    </row>
    <row r="5359" spans="8:8" x14ac:dyDescent="0.3">
      <c r="H5359" t="str">
        <f t="shared" si="133"/>
        <v/>
      </c>
    </row>
    <row r="5360" spans="8:8" x14ac:dyDescent="0.3">
      <c r="H5360" t="str">
        <f t="shared" si="133"/>
        <v/>
      </c>
    </row>
    <row r="5361" spans="8:8" x14ac:dyDescent="0.3">
      <c r="H5361" t="str">
        <f t="shared" si="133"/>
        <v/>
      </c>
    </row>
    <row r="5362" spans="8:8" x14ac:dyDescent="0.3">
      <c r="H5362" t="str">
        <f t="shared" si="133"/>
        <v/>
      </c>
    </row>
    <row r="5363" spans="8:8" x14ac:dyDescent="0.3">
      <c r="H5363" t="str">
        <f t="shared" si="133"/>
        <v/>
      </c>
    </row>
    <row r="5364" spans="8:8" x14ac:dyDescent="0.3">
      <c r="H5364" t="str">
        <f t="shared" si="133"/>
        <v/>
      </c>
    </row>
    <row r="5365" spans="8:8" x14ac:dyDescent="0.3">
      <c r="H5365" t="str">
        <f t="shared" si="133"/>
        <v/>
      </c>
    </row>
    <row r="5366" spans="8:8" x14ac:dyDescent="0.3">
      <c r="H5366" t="str">
        <f t="shared" si="133"/>
        <v/>
      </c>
    </row>
    <row r="5367" spans="8:8" x14ac:dyDescent="0.3">
      <c r="H5367" t="str">
        <f t="shared" si="133"/>
        <v/>
      </c>
    </row>
    <row r="5368" spans="8:8" x14ac:dyDescent="0.3">
      <c r="H5368" t="str">
        <f t="shared" si="133"/>
        <v/>
      </c>
    </row>
    <row r="5369" spans="8:8" x14ac:dyDescent="0.3">
      <c r="H5369" t="str">
        <f t="shared" si="133"/>
        <v/>
      </c>
    </row>
    <row r="5370" spans="8:8" x14ac:dyDescent="0.3">
      <c r="H5370" t="str">
        <f t="shared" si="133"/>
        <v/>
      </c>
    </row>
    <row r="5371" spans="8:8" x14ac:dyDescent="0.3">
      <c r="H5371" t="str">
        <f t="shared" si="133"/>
        <v/>
      </c>
    </row>
    <row r="5372" spans="8:8" x14ac:dyDescent="0.3">
      <c r="H5372" t="str">
        <f t="shared" si="133"/>
        <v/>
      </c>
    </row>
    <row r="5373" spans="8:8" x14ac:dyDescent="0.3">
      <c r="H5373" t="str">
        <f t="shared" si="133"/>
        <v/>
      </c>
    </row>
    <row r="5374" spans="8:8" x14ac:dyDescent="0.3">
      <c r="H5374" t="str">
        <f t="shared" si="133"/>
        <v/>
      </c>
    </row>
    <row r="5375" spans="8:8" x14ac:dyDescent="0.3">
      <c r="H5375" t="str">
        <f t="shared" si="133"/>
        <v/>
      </c>
    </row>
    <row r="5376" spans="8:8" x14ac:dyDescent="0.3">
      <c r="H5376" t="str">
        <f t="shared" si="133"/>
        <v/>
      </c>
    </row>
    <row r="5377" spans="8:8" x14ac:dyDescent="0.3">
      <c r="H5377" t="str">
        <f t="shared" si="133"/>
        <v/>
      </c>
    </row>
    <row r="5378" spans="8:8" x14ac:dyDescent="0.3">
      <c r="H5378" t="str">
        <f t="shared" si="133"/>
        <v/>
      </c>
    </row>
    <row r="5379" spans="8:8" x14ac:dyDescent="0.3">
      <c r="H5379" t="str">
        <f t="shared" si="133"/>
        <v/>
      </c>
    </row>
    <row r="5380" spans="8:8" x14ac:dyDescent="0.3">
      <c r="H5380" t="str">
        <f t="shared" si="133"/>
        <v/>
      </c>
    </row>
    <row r="5381" spans="8:8" x14ac:dyDescent="0.3">
      <c r="H5381" t="str">
        <f t="shared" si="133"/>
        <v/>
      </c>
    </row>
    <row r="5382" spans="8:8" x14ac:dyDescent="0.3">
      <c r="H5382" t="str">
        <f t="shared" si="133"/>
        <v/>
      </c>
    </row>
    <row r="5383" spans="8:8" x14ac:dyDescent="0.3">
      <c r="H5383" t="str">
        <f t="shared" si="133"/>
        <v/>
      </c>
    </row>
    <row r="5384" spans="8:8" x14ac:dyDescent="0.3">
      <c r="H5384" t="str">
        <f t="shared" si="133"/>
        <v/>
      </c>
    </row>
    <row r="5385" spans="8:8" x14ac:dyDescent="0.3">
      <c r="H5385" t="str">
        <f t="shared" si="133"/>
        <v/>
      </c>
    </row>
    <row r="5386" spans="8:8" x14ac:dyDescent="0.3">
      <c r="H5386" t="str">
        <f t="shared" si="133"/>
        <v/>
      </c>
    </row>
    <row r="5387" spans="8:8" x14ac:dyDescent="0.3">
      <c r="H5387" t="str">
        <f t="shared" si="133"/>
        <v/>
      </c>
    </row>
    <row r="5388" spans="8:8" x14ac:dyDescent="0.3">
      <c r="H5388" t="str">
        <f t="shared" si="133"/>
        <v/>
      </c>
    </row>
    <row r="5389" spans="8:8" x14ac:dyDescent="0.3">
      <c r="H5389" t="str">
        <f t="shared" si="133"/>
        <v/>
      </c>
    </row>
    <row r="5390" spans="8:8" x14ac:dyDescent="0.3">
      <c r="H5390" t="str">
        <f t="shared" si="133"/>
        <v/>
      </c>
    </row>
    <row r="5391" spans="8:8" x14ac:dyDescent="0.3">
      <c r="H5391" t="str">
        <f t="shared" si="133"/>
        <v/>
      </c>
    </row>
    <row r="5392" spans="8:8" x14ac:dyDescent="0.3">
      <c r="H5392" t="str">
        <f t="shared" si="133"/>
        <v/>
      </c>
    </row>
    <row r="5393" spans="8:8" x14ac:dyDescent="0.3">
      <c r="H5393" t="str">
        <f t="shared" si="133"/>
        <v/>
      </c>
    </row>
    <row r="5394" spans="8:8" x14ac:dyDescent="0.3">
      <c r="H5394" t="str">
        <f t="shared" si="133"/>
        <v/>
      </c>
    </row>
    <row r="5395" spans="8:8" x14ac:dyDescent="0.3">
      <c r="H5395" t="str">
        <f t="shared" si="133"/>
        <v/>
      </c>
    </row>
    <row r="5396" spans="8:8" x14ac:dyDescent="0.3">
      <c r="H5396" t="str">
        <f t="shared" si="133"/>
        <v/>
      </c>
    </row>
    <row r="5397" spans="8:8" x14ac:dyDescent="0.3">
      <c r="H5397" t="str">
        <f t="shared" si="133"/>
        <v/>
      </c>
    </row>
    <row r="5398" spans="8:8" x14ac:dyDescent="0.3">
      <c r="H5398" t="str">
        <f t="shared" si="133"/>
        <v/>
      </c>
    </row>
    <row r="5399" spans="8:8" x14ac:dyDescent="0.3">
      <c r="H5399" t="str">
        <f t="shared" ref="H5399:H5462" si="134">IF(B5399="","",$C$12)</f>
        <v/>
      </c>
    </row>
    <row r="5400" spans="8:8" x14ac:dyDescent="0.3">
      <c r="H5400" t="str">
        <f t="shared" si="134"/>
        <v/>
      </c>
    </row>
    <row r="5401" spans="8:8" x14ac:dyDescent="0.3">
      <c r="H5401" t="str">
        <f t="shared" si="134"/>
        <v/>
      </c>
    </row>
    <row r="5402" spans="8:8" x14ac:dyDescent="0.3">
      <c r="H5402" t="str">
        <f t="shared" si="134"/>
        <v/>
      </c>
    </row>
    <row r="5403" spans="8:8" x14ac:dyDescent="0.3">
      <c r="H5403" t="str">
        <f t="shared" si="134"/>
        <v/>
      </c>
    </row>
    <row r="5404" spans="8:8" x14ac:dyDescent="0.3">
      <c r="H5404" t="str">
        <f t="shared" si="134"/>
        <v/>
      </c>
    </row>
    <row r="5405" spans="8:8" x14ac:dyDescent="0.3">
      <c r="H5405" t="str">
        <f t="shared" si="134"/>
        <v/>
      </c>
    </row>
    <row r="5406" spans="8:8" x14ac:dyDescent="0.3">
      <c r="H5406" t="str">
        <f t="shared" si="134"/>
        <v/>
      </c>
    </row>
    <row r="5407" spans="8:8" x14ac:dyDescent="0.3">
      <c r="H5407" t="str">
        <f t="shared" si="134"/>
        <v/>
      </c>
    </row>
    <row r="5408" spans="8:8" x14ac:dyDescent="0.3">
      <c r="H5408" t="str">
        <f t="shared" si="134"/>
        <v/>
      </c>
    </row>
    <row r="5409" spans="8:8" x14ac:dyDescent="0.3">
      <c r="H5409" t="str">
        <f t="shared" si="134"/>
        <v/>
      </c>
    </row>
    <row r="5410" spans="8:8" x14ac:dyDescent="0.3">
      <c r="H5410" t="str">
        <f t="shared" si="134"/>
        <v/>
      </c>
    </row>
    <row r="5411" spans="8:8" x14ac:dyDescent="0.3">
      <c r="H5411" t="str">
        <f t="shared" si="134"/>
        <v/>
      </c>
    </row>
    <row r="5412" spans="8:8" x14ac:dyDescent="0.3">
      <c r="H5412" t="str">
        <f t="shared" si="134"/>
        <v/>
      </c>
    </row>
    <row r="5413" spans="8:8" x14ac:dyDescent="0.3">
      <c r="H5413" t="str">
        <f t="shared" si="134"/>
        <v/>
      </c>
    </row>
    <row r="5414" spans="8:8" x14ac:dyDescent="0.3">
      <c r="H5414" t="str">
        <f t="shared" si="134"/>
        <v/>
      </c>
    </row>
    <row r="5415" spans="8:8" x14ac:dyDescent="0.3">
      <c r="H5415" t="str">
        <f t="shared" si="134"/>
        <v/>
      </c>
    </row>
    <row r="5416" spans="8:8" x14ac:dyDescent="0.3">
      <c r="H5416" t="str">
        <f t="shared" si="134"/>
        <v/>
      </c>
    </row>
    <row r="5417" spans="8:8" x14ac:dyDescent="0.3">
      <c r="H5417" t="str">
        <f t="shared" si="134"/>
        <v/>
      </c>
    </row>
    <row r="5418" spans="8:8" x14ac:dyDescent="0.3">
      <c r="H5418" t="str">
        <f t="shared" si="134"/>
        <v/>
      </c>
    </row>
    <row r="5419" spans="8:8" x14ac:dyDescent="0.3">
      <c r="H5419" t="str">
        <f t="shared" si="134"/>
        <v/>
      </c>
    </row>
    <row r="5420" spans="8:8" x14ac:dyDescent="0.3">
      <c r="H5420" t="str">
        <f t="shared" si="134"/>
        <v/>
      </c>
    </row>
    <row r="5421" spans="8:8" x14ac:dyDescent="0.3">
      <c r="H5421" t="str">
        <f t="shared" si="134"/>
        <v/>
      </c>
    </row>
    <row r="5422" spans="8:8" x14ac:dyDescent="0.3">
      <c r="H5422" t="str">
        <f t="shared" si="134"/>
        <v/>
      </c>
    </row>
    <row r="5423" spans="8:8" x14ac:dyDescent="0.3">
      <c r="H5423" t="str">
        <f t="shared" si="134"/>
        <v/>
      </c>
    </row>
    <row r="5424" spans="8:8" x14ac:dyDescent="0.3">
      <c r="H5424" t="str">
        <f t="shared" si="134"/>
        <v/>
      </c>
    </row>
    <row r="5425" spans="8:8" x14ac:dyDescent="0.3">
      <c r="H5425" t="str">
        <f t="shared" si="134"/>
        <v/>
      </c>
    </row>
    <row r="5426" spans="8:8" x14ac:dyDescent="0.3">
      <c r="H5426" t="str">
        <f t="shared" si="134"/>
        <v/>
      </c>
    </row>
    <row r="5427" spans="8:8" x14ac:dyDescent="0.3">
      <c r="H5427" t="str">
        <f t="shared" si="134"/>
        <v/>
      </c>
    </row>
    <row r="5428" spans="8:8" x14ac:dyDescent="0.3">
      <c r="H5428" t="str">
        <f t="shared" si="134"/>
        <v/>
      </c>
    </row>
    <row r="5429" spans="8:8" x14ac:dyDescent="0.3">
      <c r="H5429" t="str">
        <f t="shared" si="134"/>
        <v/>
      </c>
    </row>
    <row r="5430" spans="8:8" x14ac:dyDescent="0.3">
      <c r="H5430" t="str">
        <f t="shared" si="134"/>
        <v/>
      </c>
    </row>
    <row r="5431" spans="8:8" x14ac:dyDescent="0.3">
      <c r="H5431" t="str">
        <f t="shared" si="134"/>
        <v/>
      </c>
    </row>
    <row r="5432" spans="8:8" x14ac:dyDescent="0.3">
      <c r="H5432" t="str">
        <f t="shared" si="134"/>
        <v/>
      </c>
    </row>
    <row r="5433" spans="8:8" x14ac:dyDescent="0.3">
      <c r="H5433" t="str">
        <f t="shared" si="134"/>
        <v/>
      </c>
    </row>
    <row r="5434" spans="8:8" x14ac:dyDescent="0.3">
      <c r="H5434" t="str">
        <f t="shared" si="134"/>
        <v/>
      </c>
    </row>
    <row r="5435" spans="8:8" x14ac:dyDescent="0.3">
      <c r="H5435" t="str">
        <f t="shared" si="134"/>
        <v/>
      </c>
    </row>
    <row r="5436" spans="8:8" x14ac:dyDescent="0.3">
      <c r="H5436" t="str">
        <f t="shared" si="134"/>
        <v/>
      </c>
    </row>
    <row r="5437" spans="8:8" x14ac:dyDescent="0.3">
      <c r="H5437" t="str">
        <f t="shared" si="134"/>
        <v/>
      </c>
    </row>
    <row r="5438" spans="8:8" x14ac:dyDescent="0.3">
      <c r="H5438" t="str">
        <f t="shared" si="134"/>
        <v/>
      </c>
    </row>
    <row r="5439" spans="8:8" x14ac:dyDescent="0.3">
      <c r="H5439" t="str">
        <f t="shared" si="134"/>
        <v/>
      </c>
    </row>
    <row r="5440" spans="8:8" x14ac:dyDescent="0.3">
      <c r="H5440" t="str">
        <f t="shared" si="134"/>
        <v/>
      </c>
    </row>
    <row r="5441" spans="8:8" x14ac:dyDescent="0.3">
      <c r="H5441" t="str">
        <f t="shared" si="134"/>
        <v/>
      </c>
    </row>
    <row r="5442" spans="8:8" x14ac:dyDescent="0.3">
      <c r="H5442" t="str">
        <f t="shared" si="134"/>
        <v/>
      </c>
    </row>
    <row r="5443" spans="8:8" x14ac:dyDescent="0.3">
      <c r="H5443" t="str">
        <f t="shared" si="134"/>
        <v/>
      </c>
    </row>
    <row r="5444" spans="8:8" x14ac:dyDescent="0.3">
      <c r="H5444" t="str">
        <f t="shared" si="134"/>
        <v/>
      </c>
    </row>
    <row r="5445" spans="8:8" x14ac:dyDescent="0.3">
      <c r="H5445" t="str">
        <f t="shared" si="134"/>
        <v/>
      </c>
    </row>
    <row r="5446" spans="8:8" x14ac:dyDescent="0.3">
      <c r="H5446" t="str">
        <f t="shared" si="134"/>
        <v/>
      </c>
    </row>
    <row r="5447" spans="8:8" x14ac:dyDescent="0.3">
      <c r="H5447" t="str">
        <f t="shared" si="134"/>
        <v/>
      </c>
    </row>
    <row r="5448" spans="8:8" x14ac:dyDescent="0.3">
      <c r="H5448" t="str">
        <f t="shared" si="134"/>
        <v/>
      </c>
    </row>
    <row r="5449" spans="8:8" x14ac:dyDescent="0.3">
      <c r="H5449" t="str">
        <f t="shared" si="134"/>
        <v/>
      </c>
    </row>
    <row r="5450" spans="8:8" x14ac:dyDescent="0.3">
      <c r="H5450" t="str">
        <f t="shared" si="134"/>
        <v/>
      </c>
    </row>
    <row r="5451" spans="8:8" x14ac:dyDescent="0.3">
      <c r="H5451" t="str">
        <f t="shared" si="134"/>
        <v/>
      </c>
    </row>
    <row r="5452" spans="8:8" x14ac:dyDescent="0.3">
      <c r="H5452" t="str">
        <f t="shared" si="134"/>
        <v/>
      </c>
    </row>
    <row r="5453" spans="8:8" x14ac:dyDescent="0.3">
      <c r="H5453" t="str">
        <f t="shared" si="134"/>
        <v/>
      </c>
    </row>
    <row r="5454" spans="8:8" x14ac:dyDescent="0.3">
      <c r="H5454" t="str">
        <f t="shared" si="134"/>
        <v/>
      </c>
    </row>
    <row r="5455" spans="8:8" x14ac:dyDescent="0.3">
      <c r="H5455" t="str">
        <f t="shared" si="134"/>
        <v/>
      </c>
    </row>
    <row r="5456" spans="8:8" x14ac:dyDescent="0.3">
      <c r="H5456" t="str">
        <f t="shared" si="134"/>
        <v/>
      </c>
    </row>
    <row r="5457" spans="8:8" x14ac:dyDescent="0.3">
      <c r="H5457" t="str">
        <f t="shared" si="134"/>
        <v/>
      </c>
    </row>
    <row r="5458" spans="8:8" x14ac:dyDescent="0.3">
      <c r="H5458" t="str">
        <f t="shared" si="134"/>
        <v/>
      </c>
    </row>
    <row r="5459" spans="8:8" x14ac:dyDescent="0.3">
      <c r="H5459" t="str">
        <f t="shared" si="134"/>
        <v/>
      </c>
    </row>
    <row r="5460" spans="8:8" x14ac:dyDescent="0.3">
      <c r="H5460" t="str">
        <f t="shared" si="134"/>
        <v/>
      </c>
    </row>
    <row r="5461" spans="8:8" x14ac:dyDescent="0.3">
      <c r="H5461" t="str">
        <f t="shared" si="134"/>
        <v/>
      </c>
    </row>
    <row r="5462" spans="8:8" x14ac:dyDescent="0.3">
      <c r="H5462" t="str">
        <f t="shared" si="134"/>
        <v/>
      </c>
    </row>
    <row r="5463" spans="8:8" x14ac:dyDescent="0.3">
      <c r="H5463" t="str">
        <f t="shared" ref="H5463:H5526" si="135">IF(B5463="","",$C$12)</f>
        <v/>
      </c>
    </row>
    <row r="5464" spans="8:8" x14ac:dyDescent="0.3">
      <c r="H5464" t="str">
        <f t="shared" si="135"/>
        <v/>
      </c>
    </row>
    <row r="5465" spans="8:8" x14ac:dyDescent="0.3">
      <c r="H5465" t="str">
        <f t="shared" si="135"/>
        <v/>
      </c>
    </row>
    <row r="5466" spans="8:8" x14ac:dyDescent="0.3">
      <c r="H5466" t="str">
        <f t="shared" si="135"/>
        <v/>
      </c>
    </row>
    <row r="5467" spans="8:8" x14ac:dyDescent="0.3">
      <c r="H5467" t="str">
        <f t="shared" si="135"/>
        <v/>
      </c>
    </row>
    <row r="5468" spans="8:8" x14ac:dyDescent="0.3">
      <c r="H5468" t="str">
        <f t="shared" si="135"/>
        <v/>
      </c>
    </row>
    <row r="5469" spans="8:8" x14ac:dyDescent="0.3">
      <c r="H5469" t="str">
        <f t="shared" si="135"/>
        <v/>
      </c>
    </row>
    <row r="5470" spans="8:8" x14ac:dyDescent="0.3">
      <c r="H5470" t="str">
        <f t="shared" si="135"/>
        <v/>
      </c>
    </row>
    <row r="5471" spans="8:8" x14ac:dyDescent="0.3">
      <c r="H5471" t="str">
        <f t="shared" si="135"/>
        <v/>
      </c>
    </row>
    <row r="5472" spans="8:8" x14ac:dyDescent="0.3">
      <c r="H5472" t="str">
        <f t="shared" si="135"/>
        <v/>
      </c>
    </row>
    <row r="5473" spans="8:8" x14ac:dyDescent="0.3">
      <c r="H5473" t="str">
        <f t="shared" si="135"/>
        <v/>
      </c>
    </row>
    <row r="5474" spans="8:8" x14ac:dyDescent="0.3">
      <c r="H5474" t="str">
        <f t="shared" si="135"/>
        <v/>
      </c>
    </row>
    <row r="5475" spans="8:8" x14ac:dyDescent="0.3">
      <c r="H5475" t="str">
        <f t="shared" si="135"/>
        <v/>
      </c>
    </row>
    <row r="5476" spans="8:8" x14ac:dyDescent="0.3">
      <c r="H5476" t="str">
        <f t="shared" si="135"/>
        <v/>
      </c>
    </row>
    <row r="5477" spans="8:8" x14ac:dyDescent="0.3">
      <c r="H5477" t="str">
        <f t="shared" si="135"/>
        <v/>
      </c>
    </row>
    <row r="5478" spans="8:8" x14ac:dyDescent="0.3">
      <c r="H5478" t="str">
        <f t="shared" si="135"/>
        <v/>
      </c>
    </row>
    <row r="5479" spans="8:8" x14ac:dyDescent="0.3">
      <c r="H5479" t="str">
        <f t="shared" si="135"/>
        <v/>
      </c>
    </row>
    <row r="5480" spans="8:8" x14ac:dyDescent="0.3">
      <c r="H5480" t="str">
        <f t="shared" si="135"/>
        <v/>
      </c>
    </row>
    <row r="5481" spans="8:8" x14ac:dyDescent="0.3">
      <c r="H5481" t="str">
        <f t="shared" si="135"/>
        <v/>
      </c>
    </row>
    <row r="5482" spans="8:8" x14ac:dyDescent="0.3">
      <c r="H5482" t="str">
        <f t="shared" si="135"/>
        <v/>
      </c>
    </row>
    <row r="5483" spans="8:8" x14ac:dyDescent="0.3">
      <c r="H5483" t="str">
        <f t="shared" si="135"/>
        <v/>
      </c>
    </row>
    <row r="5484" spans="8:8" x14ac:dyDescent="0.3">
      <c r="H5484" t="str">
        <f t="shared" si="135"/>
        <v/>
      </c>
    </row>
    <row r="5485" spans="8:8" x14ac:dyDescent="0.3">
      <c r="H5485" t="str">
        <f t="shared" si="135"/>
        <v/>
      </c>
    </row>
    <row r="5486" spans="8:8" x14ac:dyDescent="0.3">
      <c r="H5486" t="str">
        <f t="shared" si="135"/>
        <v/>
      </c>
    </row>
    <row r="5487" spans="8:8" x14ac:dyDescent="0.3">
      <c r="H5487" t="str">
        <f t="shared" si="135"/>
        <v/>
      </c>
    </row>
    <row r="5488" spans="8:8" x14ac:dyDescent="0.3">
      <c r="H5488" t="str">
        <f t="shared" si="135"/>
        <v/>
      </c>
    </row>
    <row r="5489" spans="8:8" x14ac:dyDescent="0.3">
      <c r="H5489" t="str">
        <f t="shared" si="135"/>
        <v/>
      </c>
    </row>
    <row r="5490" spans="8:8" x14ac:dyDescent="0.3">
      <c r="H5490" t="str">
        <f t="shared" si="135"/>
        <v/>
      </c>
    </row>
    <row r="5491" spans="8:8" x14ac:dyDescent="0.3">
      <c r="H5491" t="str">
        <f t="shared" si="135"/>
        <v/>
      </c>
    </row>
    <row r="5492" spans="8:8" x14ac:dyDescent="0.3">
      <c r="H5492" t="str">
        <f t="shared" si="135"/>
        <v/>
      </c>
    </row>
    <row r="5493" spans="8:8" x14ac:dyDescent="0.3">
      <c r="H5493" t="str">
        <f t="shared" si="135"/>
        <v/>
      </c>
    </row>
    <row r="5494" spans="8:8" x14ac:dyDescent="0.3">
      <c r="H5494" t="str">
        <f t="shared" si="135"/>
        <v/>
      </c>
    </row>
    <row r="5495" spans="8:8" x14ac:dyDescent="0.3">
      <c r="H5495" t="str">
        <f t="shared" si="135"/>
        <v/>
      </c>
    </row>
    <row r="5496" spans="8:8" x14ac:dyDescent="0.3">
      <c r="H5496" t="str">
        <f t="shared" si="135"/>
        <v/>
      </c>
    </row>
    <row r="5497" spans="8:8" x14ac:dyDescent="0.3">
      <c r="H5497" t="str">
        <f t="shared" si="135"/>
        <v/>
      </c>
    </row>
    <row r="5498" spans="8:8" x14ac:dyDescent="0.3">
      <c r="H5498" t="str">
        <f t="shared" si="135"/>
        <v/>
      </c>
    </row>
    <row r="5499" spans="8:8" x14ac:dyDescent="0.3">
      <c r="H5499" t="str">
        <f t="shared" si="135"/>
        <v/>
      </c>
    </row>
    <row r="5500" spans="8:8" x14ac:dyDescent="0.3">
      <c r="H5500" t="str">
        <f t="shared" si="135"/>
        <v/>
      </c>
    </row>
    <row r="5501" spans="8:8" x14ac:dyDescent="0.3">
      <c r="H5501" t="str">
        <f t="shared" si="135"/>
        <v/>
      </c>
    </row>
    <row r="5502" spans="8:8" x14ac:dyDescent="0.3">
      <c r="H5502" t="str">
        <f t="shared" si="135"/>
        <v/>
      </c>
    </row>
    <row r="5503" spans="8:8" x14ac:dyDescent="0.3">
      <c r="H5503" t="str">
        <f t="shared" si="135"/>
        <v/>
      </c>
    </row>
    <row r="5504" spans="8:8" x14ac:dyDescent="0.3">
      <c r="H5504" t="str">
        <f t="shared" si="135"/>
        <v/>
      </c>
    </row>
    <row r="5505" spans="8:8" x14ac:dyDescent="0.3">
      <c r="H5505" t="str">
        <f t="shared" si="135"/>
        <v/>
      </c>
    </row>
    <row r="5506" spans="8:8" x14ac:dyDescent="0.3">
      <c r="H5506" t="str">
        <f t="shared" si="135"/>
        <v/>
      </c>
    </row>
    <row r="5507" spans="8:8" x14ac:dyDescent="0.3">
      <c r="H5507" t="str">
        <f t="shared" si="135"/>
        <v/>
      </c>
    </row>
    <row r="5508" spans="8:8" x14ac:dyDescent="0.3">
      <c r="H5508" t="str">
        <f t="shared" si="135"/>
        <v/>
      </c>
    </row>
    <row r="5509" spans="8:8" x14ac:dyDescent="0.3">
      <c r="H5509" t="str">
        <f t="shared" si="135"/>
        <v/>
      </c>
    </row>
    <row r="5510" spans="8:8" x14ac:dyDescent="0.3">
      <c r="H5510" t="str">
        <f t="shared" si="135"/>
        <v/>
      </c>
    </row>
    <row r="5511" spans="8:8" x14ac:dyDescent="0.3">
      <c r="H5511" t="str">
        <f t="shared" si="135"/>
        <v/>
      </c>
    </row>
    <row r="5512" spans="8:8" x14ac:dyDescent="0.3">
      <c r="H5512" t="str">
        <f t="shared" si="135"/>
        <v/>
      </c>
    </row>
    <row r="5513" spans="8:8" x14ac:dyDescent="0.3">
      <c r="H5513" t="str">
        <f t="shared" si="135"/>
        <v/>
      </c>
    </row>
    <row r="5514" spans="8:8" x14ac:dyDescent="0.3">
      <c r="H5514" t="str">
        <f t="shared" si="135"/>
        <v/>
      </c>
    </row>
    <row r="5515" spans="8:8" x14ac:dyDescent="0.3">
      <c r="H5515" t="str">
        <f t="shared" si="135"/>
        <v/>
      </c>
    </row>
    <row r="5516" spans="8:8" x14ac:dyDescent="0.3">
      <c r="H5516" t="str">
        <f t="shared" si="135"/>
        <v/>
      </c>
    </row>
    <row r="5517" spans="8:8" x14ac:dyDescent="0.3">
      <c r="H5517" t="str">
        <f t="shared" si="135"/>
        <v/>
      </c>
    </row>
    <row r="5518" spans="8:8" x14ac:dyDescent="0.3">
      <c r="H5518" t="str">
        <f t="shared" si="135"/>
        <v/>
      </c>
    </row>
    <row r="5519" spans="8:8" x14ac:dyDescent="0.3">
      <c r="H5519" t="str">
        <f t="shared" si="135"/>
        <v/>
      </c>
    </row>
    <row r="5520" spans="8:8" x14ac:dyDescent="0.3">
      <c r="H5520" t="str">
        <f t="shared" si="135"/>
        <v/>
      </c>
    </row>
    <row r="5521" spans="8:8" x14ac:dyDescent="0.3">
      <c r="H5521" t="str">
        <f t="shared" si="135"/>
        <v/>
      </c>
    </row>
    <row r="5522" spans="8:8" x14ac:dyDescent="0.3">
      <c r="H5522" t="str">
        <f t="shared" si="135"/>
        <v/>
      </c>
    </row>
    <row r="5523" spans="8:8" x14ac:dyDescent="0.3">
      <c r="H5523" t="str">
        <f t="shared" si="135"/>
        <v/>
      </c>
    </row>
    <row r="5524" spans="8:8" x14ac:dyDescent="0.3">
      <c r="H5524" t="str">
        <f t="shared" si="135"/>
        <v/>
      </c>
    </row>
    <row r="5525" spans="8:8" x14ac:dyDescent="0.3">
      <c r="H5525" t="str">
        <f t="shared" si="135"/>
        <v/>
      </c>
    </row>
    <row r="5526" spans="8:8" x14ac:dyDescent="0.3">
      <c r="H5526" t="str">
        <f t="shared" si="135"/>
        <v/>
      </c>
    </row>
    <row r="5527" spans="8:8" x14ac:dyDescent="0.3">
      <c r="H5527" t="str">
        <f t="shared" ref="H5527:H5590" si="136">IF(B5527="","",$C$12)</f>
        <v/>
      </c>
    </row>
    <row r="5528" spans="8:8" x14ac:dyDescent="0.3">
      <c r="H5528" t="str">
        <f t="shared" si="136"/>
        <v/>
      </c>
    </row>
    <row r="5529" spans="8:8" x14ac:dyDescent="0.3">
      <c r="H5529" t="str">
        <f t="shared" si="136"/>
        <v/>
      </c>
    </row>
    <row r="5530" spans="8:8" x14ac:dyDescent="0.3">
      <c r="H5530" t="str">
        <f t="shared" si="136"/>
        <v/>
      </c>
    </row>
    <row r="5531" spans="8:8" x14ac:dyDescent="0.3">
      <c r="H5531" t="str">
        <f t="shared" si="136"/>
        <v/>
      </c>
    </row>
    <row r="5532" spans="8:8" x14ac:dyDescent="0.3">
      <c r="H5532" t="str">
        <f t="shared" si="136"/>
        <v/>
      </c>
    </row>
    <row r="5533" spans="8:8" x14ac:dyDescent="0.3">
      <c r="H5533" t="str">
        <f t="shared" si="136"/>
        <v/>
      </c>
    </row>
    <row r="5534" spans="8:8" x14ac:dyDescent="0.3">
      <c r="H5534" t="str">
        <f t="shared" si="136"/>
        <v/>
      </c>
    </row>
    <row r="5535" spans="8:8" x14ac:dyDescent="0.3">
      <c r="H5535" t="str">
        <f t="shared" si="136"/>
        <v/>
      </c>
    </row>
    <row r="5536" spans="8:8" x14ac:dyDescent="0.3">
      <c r="H5536" t="str">
        <f t="shared" si="136"/>
        <v/>
      </c>
    </row>
    <row r="5537" spans="8:8" x14ac:dyDescent="0.3">
      <c r="H5537" t="str">
        <f t="shared" si="136"/>
        <v/>
      </c>
    </row>
    <row r="5538" spans="8:8" x14ac:dyDescent="0.3">
      <c r="H5538" t="str">
        <f t="shared" si="136"/>
        <v/>
      </c>
    </row>
    <row r="5539" spans="8:8" x14ac:dyDescent="0.3">
      <c r="H5539" t="str">
        <f t="shared" si="136"/>
        <v/>
      </c>
    </row>
    <row r="5540" spans="8:8" x14ac:dyDescent="0.3">
      <c r="H5540" t="str">
        <f t="shared" si="136"/>
        <v/>
      </c>
    </row>
    <row r="5541" spans="8:8" x14ac:dyDescent="0.3">
      <c r="H5541" t="str">
        <f t="shared" si="136"/>
        <v/>
      </c>
    </row>
    <row r="5542" spans="8:8" x14ac:dyDescent="0.3">
      <c r="H5542" t="str">
        <f t="shared" si="136"/>
        <v/>
      </c>
    </row>
    <row r="5543" spans="8:8" x14ac:dyDescent="0.3">
      <c r="H5543" t="str">
        <f t="shared" si="136"/>
        <v/>
      </c>
    </row>
    <row r="5544" spans="8:8" x14ac:dyDescent="0.3">
      <c r="H5544" t="str">
        <f t="shared" si="136"/>
        <v/>
      </c>
    </row>
    <row r="5545" spans="8:8" x14ac:dyDescent="0.3">
      <c r="H5545" t="str">
        <f t="shared" si="136"/>
        <v/>
      </c>
    </row>
    <row r="5546" spans="8:8" x14ac:dyDescent="0.3">
      <c r="H5546" t="str">
        <f t="shared" si="136"/>
        <v/>
      </c>
    </row>
    <row r="5547" spans="8:8" x14ac:dyDescent="0.3">
      <c r="H5547" t="str">
        <f t="shared" si="136"/>
        <v/>
      </c>
    </row>
    <row r="5548" spans="8:8" x14ac:dyDescent="0.3">
      <c r="H5548" t="str">
        <f t="shared" si="136"/>
        <v/>
      </c>
    </row>
    <row r="5549" spans="8:8" x14ac:dyDescent="0.3">
      <c r="H5549" t="str">
        <f t="shared" si="136"/>
        <v/>
      </c>
    </row>
    <row r="5550" spans="8:8" x14ac:dyDescent="0.3">
      <c r="H5550" t="str">
        <f t="shared" si="136"/>
        <v/>
      </c>
    </row>
    <row r="5551" spans="8:8" x14ac:dyDescent="0.3">
      <c r="H5551" t="str">
        <f t="shared" si="136"/>
        <v/>
      </c>
    </row>
    <row r="5552" spans="8:8" x14ac:dyDescent="0.3">
      <c r="H5552" t="str">
        <f t="shared" si="136"/>
        <v/>
      </c>
    </row>
    <row r="5553" spans="8:8" x14ac:dyDescent="0.3">
      <c r="H5553" t="str">
        <f t="shared" si="136"/>
        <v/>
      </c>
    </row>
    <row r="5554" spans="8:8" x14ac:dyDescent="0.3">
      <c r="H5554" t="str">
        <f t="shared" si="136"/>
        <v/>
      </c>
    </row>
    <row r="5555" spans="8:8" x14ac:dyDescent="0.3">
      <c r="H5555" t="str">
        <f t="shared" si="136"/>
        <v/>
      </c>
    </row>
    <row r="5556" spans="8:8" x14ac:dyDescent="0.3">
      <c r="H5556" t="str">
        <f t="shared" si="136"/>
        <v/>
      </c>
    </row>
    <row r="5557" spans="8:8" x14ac:dyDescent="0.3">
      <c r="H5557" t="str">
        <f t="shared" si="136"/>
        <v/>
      </c>
    </row>
    <row r="5558" spans="8:8" x14ac:dyDescent="0.3">
      <c r="H5558" t="str">
        <f t="shared" si="136"/>
        <v/>
      </c>
    </row>
    <row r="5559" spans="8:8" x14ac:dyDescent="0.3">
      <c r="H5559" t="str">
        <f t="shared" si="136"/>
        <v/>
      </c>
    </row>
    <row r="5560" spans="8:8" x14ac:dyDescent="0.3">
      <c r="H5560" t="str">
        <f t="shared" si="136"/>
        <v/>
      </c>
    </row>
    <row r="5561" spans="8:8" x14ac:dyDescent="0.3">
      <c r="H5561" t="str">
        <f t="shared" si="136"/>
        <v/>
      </c>
    </row>
    <row r="5562" spans="8:8" x14ac:dyDescent="0.3">
      <c r="H5562" t="str">
        <f t="shared" si="136"/>
        <v/>
      </c>
    </row>
    <row r="5563" spans="8:8" x14ac:dyDescent="0.3">
      <c r="H5563" t="str">
        <f t="shared" si="136"/>
        <v/>
      </c>
    </row>
    <row r="5564" spans="8:8" x14ac:dyDescent="0.3">
      <c r="H5564" t="str">
        <f t="shared" si="136"/>
        <v/>
      </c>
    </row>
    <row r="5565" spans="8:8" x14ac:dyDescent="0.3">
      <c r="H5565" t="str">
        <f t="shared" si="136"/>
        <v/>
      </c>
    </row>
    <row r="5566" spans="8:8" x14ac:dyDescent="0.3">
      <c r="H5566" t="str">
        <f t="shared" si="136"/>
        <v/>
      </c>
    </row>
    <row r="5567" spans="8:8" x14ac:dyDescent="0.3">
      <c r="H5567" t="str">
        <f t="shared" si="136"/>
        <v/>
      </c>
    </row>
    <row r="5568" spans="8:8" x14ac:dyDescent="0.3">
      <c r="H5568" t="str">
        <f t="shared" si="136"/>
        <v/>
      </c>
    </row>
    <row r="5569" spans="8:8" x14ac:dyDescent="0.3">
      <c r="H5569" t="str">
        <f t="shared" si="136"/>
        <v/>
      </c>
    </row>
    <row r="5570" spans="8:8" x14ac:dyDescent="0.3">
      <c r="H5570" t="str">
        <f t="shared" si="136"/>
        <v/>
      </c>
    </row>
    <row r="5571" spans="8:8" x14ac:dyDescent="0.3">
      <c r="H5571" t="str">
        <f t="shared" si="136"/>
        <v/>
      </c>
    </row>
    <row r="5572" spans="8:8" x14ac:dyDescent="0.3">
      <c r="H5572" t="str">
        <f t="shared" si="136"/>
        <v/>
      </c>
    </row>
    <row r="5573" spans="8:8" x14ac:dyDescent="0.3">
      <c r="H5573" t="str">
        <f t="shared" si="136"/>
        <v/>
      </c>
    </row>
    <row r="5574" spans="8:8" x14ac:dyDescent="0.3">
      <c r="H5574" t="str">
        <f t="shared" si="136"/>
        <v/>
      </c>
    </row>
    <row r="5575" spans="8:8" x14ac:dyDescent="0.3">
      <c r="H5575" t="str">
        <f t="shared" si="136"/>
        <v/>
      </c>
    </row>
    <row r="5576" spans="8:8" x14ac:dyDescent="0.3">
      <c r="H5576" t="str">
        <f t="shared" si="136"/>
        <v/>
      </c>
    </row>
    <row r="5577" spans="8:8" x14ac:dyDescent="0.3">
      <c r="H5577" t="str">
        <f t="shared" si="136"/>
        <v/>
      </c>
    </row>
    <row r="5578" spans="8:8" x14ac:dyDescent="0.3">
      <c r="H5578" t="str">
        <f t="shared" si="136"/>
        <v/>
      </c>
    </row>
    <row r="5579" spans="8:8" x14ac:dyDescent="0.3">
      <c r="H5579" t="str">
        <f t="shared" si="136"/>
        <v/>
      </c>
    </row>
    <row r="5580" spans="8:8" x14ac:dyDescent="0.3">
      <c r="H5580" t="str">
        <f t="shared" si="136"/>
        <v/>
      </c>
    </row>
    <row r="5581" spans="8:8" x14ac:dyDescent="0.3">
      <c r="H5581" t="str">
        <f t="shared" si="136"/>
        <v/>
      </c>
    </row>
    <row r="5582" spans="8:8" x14ac:dyDescent="0.3">
      <c r="H5582" t="str">
        <f t="shared" si="136"/>
        <v/>
      </c>
    </row>
    <row r="5583" spans="8:8" x14ac:dyDescent="0.3">
      <c r="H5583" t="str">
        <f t="shared" si="136"/>
        <v/>
      </c>
    </row>
    <row r="5584" spans="8:8" x14ac:dyDescent="0.3">
      <c r="H5584" t="str">
        <f t="shared" si="136"/>
        <v/>
      </c>
    </row>
    <row r="5585" spans="8:8" x14ac:dyDescent="0.3">
      <c r="H5585" t="str">
        <f t="shared" si="136"/>
        <v/>
      </c>
    </row>
    <row r="5586" spans="8:8" x14ac:dyDescent="0.3">
      <c r="H5586" t="str">
        <f t="shared" si="136"/>
        <v/>
      </c>
    </row>
    <row r="5587" spans="8:8" x14ac:dyDescent="0.3">
      <c r="H5587" t="str">
        <f t="shared" si="136"/>
        <v/>
      </c>
    </row>
    <row r="5588" spans="8:8" x14ac:dyDescent="0.3">
      <c r="H5588" t="str">
        <f t="shared" si="136"/>
        <v/>
      </c>
    </row>
    <row r="5589" spans="8:8" x14ac:dyDescent="0.3">
      <c r="H5589" t="str">
        <f t="shared" si="136"/>
        <v/>
      </c>
    </row>
    <row r="5590" spans="8:8" x14ac:dyDescent="0.3">
      <c r="H5590" t="str">
        <f t="shared" si="136"/>
        <v/>
      </c>
    </row>
    <row r="5591" spans="8:8" x14ac:dyDescent="0.3">
      <c r="H5591" t="str">
        <f t="shared" ref="H5591:H5654" si="137">IF(B5591="","",$C$12)</f>
        <v/>
      </c>
    </row>
    <row r="5592" spans="8:8" x14ac:dyDescent="0.3">
      <c r="H5592" t="str">
        <f t="shared" si="137"/>
        <v/>
      </c>
    </row>
    <row r="5593" spans="8:8" x14ac:dyDescent="0.3">
      <c r="H5593" t="str">
        <f t="shared" si="137"/>
        <v/>
      </c>
    </row>
    <row r="5594" spans="8:8" x14ac:dyDescent="0.3">
      <c r="H5594" t="str">
        <f t="shared" si="137"/>
        <v/>
      </c>
    </row>
    <row r="5595" spans="8:8" x14ac:dyDescent="0.3">
      <c r="H5595" t="str">
        <f t="shared" si="137"/>
        <v/>
      </c>
    </row>
    <row r="5596" spans="8:8" x14ac:dyDescent="0.3">
      <c r="H5596" t="str">
        <f t="shared" si="137"/>
        <v/>
      </c>
    </row>
    <row r="5597" spans="8:8" x14ac:dyDescent="0.3">
      <c r="H5597" t="str">
        <f t="shared" si="137"/>
        <v/>
      </c>
    </row>
    <row r="5598" spans="8:8" x14ac:dyDescent="0.3">
      <c r="H5598" t="str">
        <f t="shared" si="137"/>
        <v/>
      </c>
    </row>
    <row r="5599" spans="8:8" x14ac:dyDescent="0.3">
      <c r="H5599" t="str">
        <f t="shared" si="137"/>
        <v/>
      </c>
    </row>
    <row r="5600" spans="8:8" x14ac:dyDescent="0.3">
      <c r="H5600" t="str">
        <f t="shared" si="137"/>
        <v/>
      </c>
    </row>
    <row r="5601" spans="8:8" x14ac:dyDescent="0.3">
      <c r="H5601" t="str">
        <f t="shared" si="137"/>
        <v/>
      </c>
    </row>
    <row r="5602" spans="8:8" x14ac:dyDescent="0.3">
      <c r="H5602" t="str">
        <f t="shared" si="137"/>
        <v/>
      </c>
    </row>
    <row r="5603" spans="8:8" x14ac:dyDescent="0.3">
      <c r="H5603" t="str">
        <f t="shared" si="137"/>
        <v/>
      </c>
    </row>
    <row r="5604" spans="8:8" x14ac:dyDescent="0.3">
      <c r="H5604" t="str">
        <f t="shared" si="137"/>
        <v/>
      </c>
    </row>
    <row r="5605" spans="8:8" x14ac:dyDescent="0.3">
      <c r="H5605" t="str">
        <f t="shared" si="137"/>
        <v/>
      </c>
    </row>
    <row r="5606" spans="8:8" x14ac:dyDescent="0.3">
      <c r="H5606" t="str">
        <f t="shared" si="137"/>
        <v/>
      </c>
    </row>
    <row r="5607" spans="8:8" x14ac:dyDescent="0.3">
      <c r="H5607" t="str">
        <f t="shared" si="137"/>
        <v/>
      </c>
    </row>
    <row r="5608" spans="8:8" x14ac:dyDescent="0.3">
      <c r="H5608" t="str">
        <f t="shared" si="137"/>
        <v/>
      </c>
    </row>
    <row r="5609" spans="8:8" x14ac:dyDescent="0.3">
      <c r="H5609" t="str">
        <f t="shared" si="137"/>
        <v/>
      </c>
    </row>
    <row r="5610" spans="8:8" x14ac:dyDescent="0.3">
      <c r="H5610" t="str">
        <f t="shared" si="137"/>
        <v/>
      </c>
    </row>
    <row r="5611" spans="8:8" x14ac:dyDescent="0.3">
      <c r="H5611" t="str">
        <f t="shared" si="137"/>
        <v/>
      </c>
    </row>
    <row r="5612" spans="8:8" x14ac:dyDescent="0.3">
      <c r="H5612" t="str">
        <f t="shared" si="137"/>
        <v/>
      </c>
    </row>
    <row r="5613" spans="8:8" x14ac:dyDescent="0.3">
      <c r="H5613" t="str">
        <f t="shared" si="137"/>
        <v/>
      </c>
    </row>
    <row r="5614" spans="8:8" x14ac:dyDescent="0.3">
      <c r="H5614" t="str">
        <f t="shared" si="137"/>
        <v/>
      </c>
    </row>
    <row r="5615" spans="8:8" x14ac:dyDescent="0.3">
      <c r="H5615" t="str">
        <f t="shared" si="137"/>
        <v/>
      </c>
    </row>
    <row r="5616" spans="8:8" x14ac:dyDescent="0.3">
      <c r="H5616" t="str">
        <f t="shared" si="137"/>
        <v/>
      </c>
    </row>
    <row r="5617" spans="8:8" x14ac:dyDescent="0.3">
      <c r="H5617" t="str">
        <f t="shared" si="137"/>
        <v/>
      </c>
    </row>
    <row r="5618" spans="8:8" x14ac:dyDescent="0.3">
      <c r="H5618" t="str">
        <f t="shared" si="137"/>
        <v/>
      </c>
    </row>
    <row r="5619" spans="8:8" x14ac:dyDescent="0.3">
      <c r="H5619" t="str">
        <f t="shared" si="137"/>
        <v/>
      </c>
    </row>
    <row r="5620" spans="8:8" x14ac:dyDescent="0.3">
      <c r="H5620" t="str">
        <f t="shared" si="137"/>
        <v/>
      </c>
    </row>
    <row r="5621" spans="8:8" x14ac:dyDescent="0.3">
      <c r="H5621" t="str">
        <f t="shared" si="137"/>
        <v/>
      </c>
    </row>
    <row r="5622" spans="8:8" x14ac:dyDescent="0.3">
      <c r="H5622" t="str">
        <f t="shared" si="137"/>
        <v/>
      </c>
    </row>
    <row r="5623" spans="8:8" x14ac:dyDescent="0.3">
      <c r="H5623" t="str">
        <f t="shared" si="137"/>
        <v/>
      </c>
    </row>
    <row r="5624" spans="8:8" x14ac:dyDescent="0.3">
      <c r="H5624" t="str">
        <f t="shared" si="137"/>
        <v/>
      </c>
    </row>
    <row r="5625" spans="8:8" x14ac:dyDescent="0.3">
      <c r="H5625" t="str">
        <f t="shared" si="137"/>
        <v/>
      </c>
    </row>
    <row r="5626" spans="8:8" x14ac:dyDescent="0.3">
      <c r="H5626" t="str">
        <f t="shared" si="137"/>
        <v/>
      </c>
    </row>
    <row r="5627" spans="8:8" x14ac:dyDescent="0.3">
      <c r="H5627" t="str">
        <f t="shared" si="137"/>
        <v/>
      </c>
    </row>
    <row r="5628" spans="8:8" x14ac:dyDescent="0.3">
      <c r="H5628" t="str">
        <f t="shared" si="137"/>
        <v/>
      </c>
    </row>
    <row r="5629" spans="8:8" x14ac:dyDescent="0.3">
      <c r="H5629" t="str">
        <f t="shared" si="137"/>
        <v/>
      </c>
    </row>
    <row r="5630" spans="8:8" x14ac:dyDescent="0.3">
      <c r="H5630" t="str">
        <f t="shared" si="137"/>
        <v/>
      </c>
    </row>
    <row r="5631" spans="8:8" x14ac:dyDescent="0.3">
      <c r="H5631" t="str">
        <f t="shared" si="137"/>
        <v/>
      </c>
    </row>
    <row r="5632" spans="8:8" x14ac:dyDescent="0.3">
      <c r="H5632" t="str">
        <f t="shared" si="137"/>
        <v/>
      </c>
    </row>
    <row r="5633" spans="8:8" x14ac:dyDescent="0.3">
      <c r="H5633" t="str">
        <f t="shared" si="137"/>
        <v/>
      </c>
    </row>
    <row r="5634" spans="8:8" x14ac:dyDescent="0.3">
      <c r="H5634" t="str">
        <f t="shared" si="137"/>
        <v/>
      </c>
    </row>
    <row r="5635" spans="8:8" x14ac:dyDescent="0.3">
      <c r="H5635" t="str">
        <f t="shared" si="137"/>
        <v/>
      </c>
    </row>
    <row r="5636" spans="8:8" x14ac:dyDescent="0.3">
      <c r="H5636" t="str">
        <f t="shared" si="137"/>
        <v/>
      </c>
    </row>
    <row r="5637" spans="8:8" x14ac:dyDescent="0.3">
      <c r="H5637" t="str">
        <f t="shared" si="137"/>
        <v/>
      </c>
    </row>
    <row r="5638" spans="8:8" x14ac:dyDescent="0.3">
      <c r="H5638" t="str">
        <f t="shared" si="137"/>
        <v/>
      </c>
    </row>
    <row r="5639" spans="8:8" x14ac:dyDescent="0.3">
      <c r="H5639" t="str">
        <f t="shared" si="137"/>
        <v/>
      </c>
    </row>
    <row r="5640" spans="8:8" x14ac:dyDescent="0.3">
      <c r="H5640" t="str">
        <f t="shared" si="137"/>
        <v/>
      </c>
    </row>
    <row r="5641" spans="8:8" x14ac:dyDescent="0.3">
      <c r="H5641" t="str">
        <f t="shared" si="137"/>
        <v/>
      </c>
    </row>
    <row r="5642" spans="8:8" x14ac:dyDescent="0.3">
      <c r="H5642" t="str">
        <f t="shared" si="137"/>
        <v/>
      </c>
    </row>
    <row r="5643" spans="8:8" x14ac:dyDescent="0.3">
      <c r="H5643" t="str">
        <f t="shared" si="137"/>
        <v/>
      </c>
    </row>
    <row r="5644" spans="8:8" x14ac:dyDescent="0.3">
      <c r="H5644" t="str">
        <f t="shared" si="137"/>
        <v/>
      </c>
    </row>
    <row r="5645" spans="8:8" x14ac:dyDescent="0.3">
      <c r="H5645" t="str">
        <f t="shared" si="137"/>
        <v/>
      </c>
    </row>
    <row r="5646" spans="8:8" x14ac:dyDescent="0.3">
      <c r="H5646" t="str">
        <f t="shared" si="137"/>
        <v/>
      </c>
    </row>
    <row r="5647" spans="8:8" x14ac:dyDescent="0.3">
      <c r="H5647" t="str">
        <f t="shared" si="137"/>
        <v/>
      </c>
    </row>
    <row r="5648" spans="8:8" x14ac:dyDescent="0.3">
      <c r="H5648" t="str">
        <f t="shared" si="137"/>
        <v/>
      </c>
    </row>
    <row r="5649" spans="8:8" x14ac:dyDescent="0.3">
      <c r="H5649" t="str">
        <f t="shared" si="137"/>
        <v/>
      </c>
    </row>
    <row r="5650" spans="8:8" x14ac:dyDescent="0.3">
      <c r="H5650" t="str">
        <f t="shared" si="137"/>
        <v/>
      </c>
    </row>
    <row r="5651" spans="8:8" x14ac:dyDescent="0.3">
      <c r="H5651" t="str">
        <f t="shared" si="137"/>
        <v/>
      </c>
    </row>
    <row r="5652" spans="8:8" x14ac:dyDescent="0.3">
      <c r="H5652" t="str">
        <f t="shared" si="137"/>
        <v/>
      </c>
    </row>
    <row r="5653" spans="8:8" x14ac:dyDescent="0.3">
      <c r="H5653" t="str">
        <f t="shared" si="137"/>
        <v/>
      </c>
    </row>
    <row r="5654" spans="8:8" x14ac:dyDescent="0.3">
      <c r="H5654" t="str">
        <f t="shared" si="137"/>
        <v/>
      </c>
    </row>
    <row r="5655" spans="8:8" x14ac:dyDescent="0.3">
      <c r="H5655" t="str">
        <f t="shared" ref="H5655:H5718" si="138">IF(B5655="","",$C$12)</f>
        <v/>
      </c>
    </row>
    <row r="5656" spans="8:8" x14ac:dyDescent="0.3">
      <c r="H5656" t="str">
        <f t="shared" si="138"/>
        <v/>
      </c>
    </row>
    <row r="5657" spans="8:8" x14ac:dyDescent="0.3">
      <c r="H5657" t="str">
        <f t="shared" si="138"/>
        <v/>
      </c>
    </row>
    <row r="5658" spans="8:8" x14ac:dyDescent="0.3">
      <c r="H5658" t="str">
        <f t="shared" si="138"/>
        <v/>
      </c>
    </row>
    <row r="5659" spans="8:8" x14ac:dyDescent="0.3">
      <c r="H5659" t="str">
        <f t="shared" si="138"/>
        <v/>
      </c>
    </row>
    <row r="5660" spans="8:8" x14ac:dyDescent="0.3">
      <c r="H5660" t="str">
        <f t="shared" si="138"/>
        <v/>
      </c>
    </row>
    <row r="5661" spans="8:8" x14ac:dyDescent="0.3">
      <c r="H5661" t="str">
        <f t="shared" si="138"/>
        <v/>
      </c>
    </row>
    <row r="5662" spans="8:8" x14ac:dyDescent="0.3">
      <c r="H5662" t="str">
        <f t="shared" si="138"/>
        <v/>
      </c>
    </row>
    <row r="5663" spans="8:8" x14ac:dyDescent="0.3">
      <c r="H5663" t="str">
        <f t="shared" si="138"/>
        <v/>
      </c>
    </row>
    <row r="5664" spans="8:8" x14ac:dyDescent="0.3">
      <c r="H5664" t="str">
        <f t="shared" si="138"/>
        <v/>
      </c>
    </row>
    <row r="5665" spans="8:8" x14ac:dyDescent="0.3">
      <c r="H5665" t="str">
        <f t="shared" si="138"/>
        <v/>
      </c>
    </row>
    <row r="5666" spans="8:8" x14ac:dyDescent="0.3">
      <c r="H5666" t="str">
        <f t="shared" si="138"/>
        <v/>
      </c>
    </row>
    <row r="5667" spans="8:8" x14ac:dyDescent="0.3">
      <c r="H5667" t="str">
        <f t="shared" si="138"/>
        <v/>
      </c>
    </row>
    <row r="5668" spans="8:8" x14ac:dyDescent="0.3">
      <c r="H5668" t="str">
        <f t="shared" si="138"/>
        <v/>
      </c>
    </row>
    <row r="5669" spans="8:8" x14ac:dyDescent="0.3">
      <c r="H5669" t="str">
        <f t="shared" si="138"/>
        <v/>
      </c>
    </row>
    <row r="5670" spans="8:8" x14ac:dyDescent="0.3">
      <c r="H5670" t="str">
        <f t="shared" si="138"/>
        <v/>
      </c>
    </row>
    <row r="5671" spans="8:8" x14ac:dyDescent="0.3">
      <c r="H5671" t="str">
        <f t="shared" si="138"/>
        <v/>
      </c>
    </row>
    <row r="5672" spans="8:8" x14ac:dyDescent="0.3">
      <c r="H5672" t="str">
        <f t="shared" si="138"/>
        <v/>
      </c>
    </row>
    <row r="5673" spans="8:8" x14ac:dyDescent="0.3">
      <c r="H5673" t="str">
        <f t="shared" si="138"/>
        <v/>
      </c>
    </row>
    <row r="5674" spans="8:8" x14ac:dyDescent="0.3">
      <c r="H5674" t="str">
        <f t="shared" si="138"/>
        <v/>
      </c>
    </row>
    <row r="5675" spans="8:8" x14ac:dyDescent="0.3">
      <c r="H5675" t="str">
        <f t="shared" si="138"/>
        <v/>
      </c>
    </row>
    <row r="5676" spans="8:8" x14ac:dyDescent="0.3">
      <c r="H5676" t="str">
        <f t="shared" si="138"/>
        <v/>
      </c>
    </row>
    <row r="5677" spans="8:8" x14ac:dyDescent="0.3">
      <c r="H5677" t="str">
        <f t="shared" si="138"/>
        <v/>
      </c>
    </row>
    <row r="5678" spans="8:8" x14ac:dyDescent="0.3">
      <c r="H5678" t="str">
        <f t="shared" si="138"/>
        <v/>
      </c>
    </row>
    <row r="5679" spans="8:8" x14ac:dyDescent="0.3">
      <c r="H5679" t="str">
        <f t="shared" si="138"/>
        <v/>
      </c>
    </row>
    <row r="5680" spans="8:8" x14ac:dyDescent="0.3">
      <c r="H5680" t="str">
        <f t="shared" si="138"/>
        <v/>
      </c>
    </row>
    <row r="5681" spans="8:8" x14ac:dyDescent="0.3">
      <c r="H5681" t="str">
        <f t="shared" si="138"/>
        <v/>
      </c>
    </row>
    <row r="5682" spans="8:8" x14ac:dyDescent="0.3">
      <c r="H5682" t="str">
        <f t="shared" si="138"/>
        <v/>
      </c>
    </row>
    <row r="5683" spans="8:8" x14ac:dyDescent="0.3">
      <c r="H5683" t="str">
        <f t="shared" si="138"/>
        <v/>
      </c>
    </row>
    <row r="5684" spans="8:8" x14ac:dyDescent="0.3">
      <c r="H5684" t="str">
        <f t="shared" si="138"/>
        <v/>
      </c>
    </row>
    <row r="5685" spans="8:8" x14ac:dyDescent="0.3">
      <c r="H5685" t="str">
        <f t="shared" si="138"/>
        <v/>
      </c>
    </row>
    <row r="5686" spans="8:8" x14ac:dyDescent="0.3">
      <c r="H5686" t="str">
        <f t="shared" si="138"/>
        <v/>
      </c>
    </row>
    <row r="5687" spans="8:8" x14ac:dyDescent="0.3">
      <c r="H5687" t="str">
        <f t="shared" si="138"/>
        <v/>
      </c>
    </row>
    <row r="5688" spans="8:8" x14ac:dyDescent="0.3">
      <c r="H5688" t="str">
        <f t="shared" si="138"/>
        <v/>
      </c>
    </row>
    <row r="5689" spans="8:8" x14ac:dyDescent="0.3">
      <c r="H5689" t="str">
        <f t="shared" si="138"/>
        <v/>
      </c>
    </row>
    <row r="5690" spans="8:8" x14ac:dyDescent="0.3">
      <c r="H5690" t="str">
        <f t="shared" si="138"/>
        <v/>
      </c>
    </row>
    <row r="5691" spans="8:8" x14ac:dyDescent="0.3">
      <c r="H5691" t="str">
        <f t="shared" si="138"/>
        <v/>
      </c>
    </row>
    <row r="5692" spans="8:8" x14ac:dyDescent="0.3">
      <c r="H5692" t="str">
        <f t="shared" si="138"/>
        <v/>
      </c>
    </row>
    <row r="5693" spans="8:8" x14ac:dyDescent="0.3">
      <c r="H5693" t="str">
        <f t="shared" si="138"/>
        <v/>
      </c>
    </row>
    <row r="5694" spans="8:8" x14ac:dyDescent="0.3">
      <c r="H5694" t="str">
        <f t="shared" si="138"/>
        <v/>
      </c>
    </row>
    <row r="5695" spans="8:8" x14ac:dyDescent="0.3">
      <c r="H5695" t="str">
        <f t="shared" si="138"/>
        <v/>
      </c>
    </row>
    <row r="5696" spans="8:8" x14ac:dyDescent="0.3">
      <c r="H5696" t="str">
        <f t="shared" si="138"/>
        <v/>
      </c>
    </row>
    <row r="5697" spans="8:8" x14ac:dyDescent="0.3">
      <c r="H5697" t="str">
        <f t="shared" si="138"/>
        <v/>
      </c>
    </row>
    <row r="5698" spans="8:8" x14ac:dyDescent="0.3">
      <c r="H5698" t="str">
        <f t="shared" si="138"/>
        <v/>
      </c>
    </row>
    <row r="5699" spans="8:8" x14ac:dyDescent="0.3">
      <c r="H5699" t="str">
        <f t="shared" si="138"/>
        <v/>
      </c>
    </row>
    <row r="5700" spans="8:8" x14ac:dyDescent="0.3">
      <c r="H5700" t="str">
        <f t="shared" si="138"/>
        <v/>
      </c>
    </row>
    <row r="5701" spans="8:8" x14ac:dyDescent="0.3">
      <c r="H5701" t="str">
        <f t="shared" si="138"/>
        <v/>
      </c>
    </row>
    <row r="5702" spans="8:8" x14ac:dyDescent="0.3">
      <c r="H5702" t="str">
        <f t="shared" si="138"/>
        <v/>
      </c>
    </row>
    <row r="5703" spans="8:8" x14ac:dyDescent="0.3">
      <c r="H5703" t="str">
        <f t="shared" si="138"/>
        <v/>
      </c>
    </row>
    <row r="5704" spans="8:8" x14ac:dyDescent="0.3">
      <c r="H5704" t="str">
        <f t="shared" si="138"/>
        <v/>
      </c>
    </row>
    <row r="5705" spans="8:8" x14ac:dyDescent="0.3">
      <c r="H5705" t="str">
        <f t="shared" si="138"/>
        <v/>
      </c>
    </row>
    <row r="5706" spans="8:8" x14ac:dyDescent="0.3">
      <c r="H5706" t="str">
        <f t="shared" si="138"/>
        <v/>
      </c>
    </row>
    <row r="5707" spans="8:8" x14ac:dyDescent="0.3">
      <c r="H5707" t="str">
        <f t="shared" si="138"/>
        <v/>
      </c>
    </row>
    <row r="5708" spans="8:8" x14ac:dyDescent="0.3">
      <c r="H5708" t="str">
        <f t="shared" si="138"/>
        <v/>
      </c>
    </row>
    <row r="5709" spans="8:8" x14ac:dyDescent="0.3">
      <c r="H5709" t="str">
        <f t="shared" si="138"/>
        <v/>
      </c>
    </row>
    <row r="5710" spans="8:8" x14ac:dyDescent="0.3">
      <c r="H5710" t="str">
        <f t="shared" si="138"/>
        <v/>
      </c>
    </row>
    <row r="5711" spans="8:8" x14ac:dyDescent="0.3">
      <c r="H5711" t="str">
        <f t="shared" si="138"/>
        <v/>
      </c>
    </row>
    <row r="5712" spans="8:8" x14ac:dyDescent="0.3">
      <c r="H5712" t="str">
        <f t="shared" si="138"/>
        <v/>
      </c>
    </row>
    <row r="5713" spans="8:8" x14ac:dyDescent="0.3">
      <c r="H5713" t="str">
        <f t="shared" si="138"/>
        <v/>
      </c>
    </row>
    <row r="5714" spans="8:8" x14ac:dyDescent="0.3">
      <c r="H5714" t="str">
        <f t="shared" si="138"/>
        <v/>
      </c>
    </row>
    <row r="5715" spans="8:8" x14ac:dyDescent="0.3">
      <c r="H5715" t="str">
        <f t="shared" si="138"/>
        <v/>
      </c>
    </row>
    <row r="5716" spans="8:8" x14ac:dyDescent="0.3">
      <c r="H5716" t="str">
        <f t="shared" si="138"/>
        <v/>
      </c>
    </row>
    <row r="5717" spans="8:8" x14ac:dyDescent="0.3">
      <c r="H5717" t="str">
        <f t="shared" si="138"/>
        <v/>
      </c>
    </row>
    <row r="5718" spans="8:8" x14ac:dyDescent="0.3">
      <c r="H5718" t="str">
        <f t="shared" si="138"/>
        <v/>
      </c>
    </row>
    <row r="5719" spans="8:8" x14ac:dyDescent="0.3">
      <c r="H5719" t="str">
        <f t="shared" ref="H5719:H5782" si="139">IF(B5719="","",$C$12)</f>
        <v/>
      </c>
    </row>
    <row r="5720" spans="8:8" x14ac:dyDescent="0.3">
      <c r="H5720" t="str">
        <f t="shared" si="139"/>
        <v/>
      </c>
    </row>
    <row r="5721" spans="8:8" x14ac:dyDescent="0.3">
      <c r="H5721" t="str">
        <f t="shared" si="139"/>
        <v/>
      </c>
    </row>
    <row r="5722" spans="8:8" x14ac:dyDescent="0.3">
      <c r="H5722" t="str">
        <f t="shared" si="139"/>
        <v/>
      </c>
    </row>
    <row r="5723" spans="8:8" x14ac:dyDescent="0.3">
      <c r="H5723" t="str">
        <f t="shared" si="139"/>
        <v/>
      </c>
    </row>
    <row r="5724" spans="8:8" x14ac:dyDescent="0.3">
      <c r="H5724" t="str">
        <f t="shared" si="139"/>
        <v/>
      </c>
    </row>
    <row r="5725" spans="8:8" x14ac:dyDescent="0.3">
      <c r="H5725" t="str">
        <f t="shared" si="139"/>
        <v/>
      </c>
    </row>
    <row r="5726" spans="8:8" x14ac:dyDescent="0.3">
      <c r="H5726" t="str">
        <f t="shared" si="139"/>
        <v/>
      </c>
    </row>
    <row r="5727" spans="8:8" x14ac:dyDescent="0.3">
      <c r="H5727" t="str">
        <f t="shared" si="139"/>
        <v/>
      </c>
    </row>
    <row r="5728" spans="8:8" x14ac:dyDescent="0.3">
      <c r="H5728" t="str">
        <f t="shared" si="139"/>
        <v/>
      </c>
    </row>
    <row r="5729" spans="8:8" x14ac:dyDescent="0.3">
      <c r="H5729" t="str">
        <f t="shared" si="139"/>
        <v/>
      </c>
    </row>
    <row r="5730" spans="8:8" x14ac:dyDescent="0.3">
      <c r="H5730" t="str">
        <f t="shared" si="139"/>
        <v/>
      </c>
    </row>
    <row r="5731" spans="8:8" x14ac:dyDescent="0.3">
      <c r="H5731" t="str">
        <f t="shared" si="139"/>
        <v/>
      </c>
    </row>
    <row r="5732" spans="8:8" x14ac:dyDescent="0.3">
      <c r="H5732" t="str">
        <f t="shared" si="139"/>
        <v/>
      </c>
    </row>
    <row r="5733" spans="8:8" x14ac:dyDescent="0.3">
      <c r="H5733" t="str">
        <f t="shared" si="139"/>
        <v/>
      </c>
    </row>
    <row r="5734" spans="8:8" x14ac:dyDescent="0.3">
      <c r="H5734" t="str">
        <f t="shared" si="139"/>
        <v/>
      </c>
    </row>
    <row r="5735" spans="8:8" x14ac:dyDescent="0.3">
      <c r="H5735" t="str">
        <f t="shared" si="139"/>
        <v/>
      </c>
    </row>
    <row r="5736" spans="8:8" x14ac:dyDescent="0.3">
      <c r="H5736" t="str">
        <f t="shared" si="139"/>
        <v/>
      </c>
    </row>
    <row r="5737" spans="8:8" x14ac:dyDescent="0.3">
      <c r="H5737" t="str">
        <f t="shared" si="139"/>
        <v/>
      </c>
    </row>
    <row r="5738" spans="8:8" x14ac:dyDescent="0.3">
      <c r="H5738" t="str">
        <f t="shared" si="139"/>
        <v/>
      </c>
    </row>
    <row r="5739" spans="8:8" x14ac:dyDescent="0.3">
      <c r="H5739" t="str">
        <f t="shared" si="139"/>
        <v/>
      </c>
    </row>
    <row r="5740" spans="8:8" x14ac:dyDescent="0.3">
      <c r="H5740" t="str">
        <f t="shared" si="139"/>
        <v/>
      </c>
    </row>
    <row r="5741" spans="8:8" x14ac:dyDescent="0.3">
      <c r="H5741" t="str">
        <f t="shared" si="139"/>
        <v/>
      </c>
    </row>
    <row r="5742" spans="8:8" x14ac:dyDescent="0.3">
      <c r="H5742" t="str">
        <f t="shared" si="139"/>
        <v/>
      </c>
    </row>
    <row r="5743" spans="8:8" x14ac:dyDescent="0.3">
      <c r="H5743" t="str">
        <f t="shared" si="139"/>
        <v/>
      </c>
    </row>
    <row r="5744" spans="8:8" x14ac:dyDescent="0.3">
      <c r="H5744" t="str">
        <f t="shared" si="139"/>
        <v/>
      </c>
    </row>
    <row r="5745" spans="8:8" x14ac:dyDescent="0.3">
      <c r="H5745" t="str">
        <f t="shared" si="139"/>
        <v/>
      </c>
    </row>
    <row r="5746" spans="8:8" x14ac:dyDescent="0.3">
      <c r="H5746" t="str">
        <f t="shared" si="139"/>
        <v/>
      </c>
    </row>
    <row r="5747" spans="8:8" x14ac:dyDescent="0.3">
      <c r="H5747" t="str">
        <f t="shared" si="139"/>
        <v/>
      </c>
    </row>
    <row r="5748" spans="8:8" x14ac:dyDescent="0.3">
      <c r="H5748" t="str">
        <f t="shared" si="139"/>
        <v/>
      </c>
    </row>
    <row r="5749" spans="8:8" x14ac:dyDescent="0.3">
      <c r="H5749" t="str">
        <f t="shared" si="139"/>
        <v/>
      </c>
    </row>
    <row r="5750" spans="8:8" x14ac:dyDescent="0.3">
      <c r="H5750" t="str">
        <f t="shared" si="139"/>
        <v/>
      </c>
    </row>
    <row r="5751" spans="8:8" x14ac:dyDescent="0.3">
      <c r="H5751" t="str">
        <f t="shared" si="139"/>
        <v/>
      </c>
    </row>
    <row r="5752" spans="8:8" x14ac:dyDescent="0.3">
      <c r="H5752" t="str">
        <f t="shared" si="139"/>
        <v/>
      </c>
    </row>
    <row r="5753" spans="8:8" x14ac:dyDescent="0.3">
      <c r="H5753" t="str">
        <f t="shared" si="139"/>
        <v/>
      </c>
    </row>
    <row r="5754" spans="8:8" x14ac:dyDescent="0.3">
      <c r="H5754" t="str">
        <f t="shared" si="139"/>
        <v/>
      </c>
    </row>
    <row r="5755" spans="8:8" x14ac:dyDescent="0.3">
      <c r="H5755" t="str">
        <f t="shared" si="139"/>
        <v/>
      </c>
    </row>
    <row r="5756" spans="8:8" x14ac:dyDescent="0.3">
      <c r="H5756" t="str">
        <f t="shared" si="139"/>
        <v/>
      </c>
    </row>
    <row r="5757" spans="8:8" x14ac:dyDescent="0.3">
      <c r="H5757" t="str">
        <f t="shared" si="139"/>
        <v/>
      </c>
    </row>
    <row r="5758" spans="8:8" x14ac:dyDescent="0.3">
      <c r="H5758" t="str">
        <f t="shared" si="139"/>
        <v/>
      </c>
    </row>
    <row r="5759" spans="8:8" x14ac:dyDescent="0.3">
      <c r="H5759" t="str">
        <f t="shared" si="139"/>
        <v/>
      </c>
    </row>
    <row r="5760" spans="8:8" x14ac:dyDescent="0.3">
      <c r="H5760" t="str">
        <f t="shared" si="139"/>
        <v/>
      </c>
    </row>
    <row r="5761" spans="8:8" x14ac:dyDescent="0.3">
      <c r="H5761" t="str">
        <f t="shared" si="139"/>
        <v/>
      </c>
    </row>
    <row r="5762" spans="8:8" x14ac:dyDescent="0.3">
      <c r="H5762" t="str">
        <f t="shared" si="139"/>
        <v/>
      </c>
    </row>
    <row r="5763" spans="8:8" x14ac:dyDescent="0.3">
      <c r="H5763" t="str">
        <f t="shared" si="139"/>
        <v/>
      </c>
    </row>
    <row r="5764" spans="8:8" x14ac:dyDescent="0.3">
      <c r="H5764" t="str">
        <f t="shared" si="139"/>
        <v/>
      </c>
    </row>
    <row r="5765" spans="8:8" x14ac:dyDescent="0.3">
      <c r="H5765" t="str">
        <f t="shared" si="139"/>
        <v/>
      </c>
    </row>
    <row r="5766" spans="8:8" x14ac:dyDescent="0.3">
      <c r="H5766" t="str">
        <f t="shared" si="139"/>
        <v/>
      </c>
    </row>
    <row r="5767" spans="8:8" x14ac:dyDescent="0.3">
      <c r="H5767" t="str">
        <f t="shared" si="139"/>
        <v/>
      </c>
    </row>
    <row r="5768" spans="8:8" x14ac:dyDescent="0.3">
      <c r="H5768" t="str">
        <f t="shared" si="139"/>
        <v/>
      </c>
    </row>
    <row r="5769" spans="8:8" x14ac:dyDescent="0.3">
      <c r="H5769" t="str">
        <f t="shared" si="139"/>
        <v/>
      </c>
    </row>
    <row r="5770" spans="8:8" x14ac:dyDescent="0.3">
      <c r="H5770" t="str">
        <f t="shared" si="139"/>
        <v/>
      </c>
    </row>
    <row r="5771" spans="8:8" x14ac:dyDescent="0.3">
      <c r="H5771" t="str">
        <f t="shared" si="139"/>
        <v/>
      </c>
    </row>
    <row r="5772" spans="8:8" x14ac:dyDescent="0.3">
      <c r="H5772" t="str">
        <f t="shared" si="139"/>
        <v/>
      </c>
    </row>
    <row r="5773" spans="8:8" x14ac:dyDescent="0.3">
      <c r="H5773" t="str">
        <f t="shared" si="139"/>
        <v/>
      </c>
    </row>
    <row r="5774" spans="8:8" x14ac:dyDescent="0.3">
      <c r="H5774" t="str">
        <f t="shared" si="139"/>
        <v/>
      </c>
    </row>
    <row r="5775" spans="8:8" x14ac:dyDescent="0.3">
      <c r="H5775" t="str">
        <f t="shared" si="139"/>
        <v/>
      </c>
    </row>
    <row r="5776" spans="8:8" x14ac:dyDescent="0.3">
      <c r="H5776" t="str">
        <f t="shared" si="139"/>
        <v/>
      </c>
    </row>
    <row r="5777" spans="8:8" x14ac:dyDescent="0.3">
      <c r="H5777" t="str">
        <f t="shared" si="139"/>
        <v/>
      </c>
    </row>
    <row r="5778" spans="8:8" x14ac:dyDescent="0.3">
      <c r="H5778" t="str">
        <f t="shared" si="139"/>
        <v/>
      </c>
    </row>
    <row r="5779" spans="8:8" x14ac:dyDescent="0.3">
      <c r="H5779" t="str">
        <f t="shared" si="139"/>
        <v/>
      </c>
    </row>
    <row r="5780" spans="8:8" x14ac:dyDescent="0.3">
      <c r="H5780" t="str">
        <f t="shared" si="139"/>
        <v/>
      </c>
    </row>
    <row r="5781" spans="8:8" x14ac:dyDescent="0.3">
      <c r="H5781" t="str">
        <f t="shared" si="139"/>
        <v/>
      </c>
    </row>
    <row r="5782" spans="8:8" x14ac:dyDescent="0.3">
      <c r="H5782" t="str">
        <f t="shared" si="139"/>
        <v/>
      </c>
    </row>
    <row r="5783" spans="8:8" x14ac:dyDescent="0.3">
      <c r="H5783" t="str">
        <f t="shared" ref="H5783:H5846" si="140">IF(B5783="","",$C$12)</f>
        <v/>
      </c>
    </row>
    <row r="5784" spans="8:8" x14ac:dyDescent="0.3">
      <c r="H5784" t="str">
        <f t="shared" si="140"/>
        <v/>
      </c>
    </row>
    <row r="5785" spans="8:8" x14ac:dyDescent="0.3">
      <c r="H5785" t="str">
        <f t="shared" si="140"/>
        <v/>
      </c>
    </row>
    <row r="5786" spans="8:8" x14ac:dyDescent="0.3">
      <c r="H5786" t="str">
        <f t="shared" si="140"/>
        <v/>
      </c>
    </row>
    <row r="5787" spans="8:8" x14ac:dyDescent="0.3">
      <c r="H5787" t="str">
        <f t="shared" si="140"/>
        <v/>
      </c>
    </row>
    <row r="5788" spans="8:8" x14ac:dyDescent="0.3">
      <c r="H5788" t="str">
        <f t="shared" si="140"/>
        <v/>
      </c>
    </row>
    <row r="5789" spans="8:8" x14ac:dyDescent="0.3">
      <c r="H5789" t="str">
        <f t="shared" si="140"/>
        <v/>
      </c>
    </row>
    <row r="5790" spans="8:8" x14ac:dyDescent="0.3">
      <c r="H5790" t="str">
        <f t="shared" si="140"/>
        <v/>
      </c>
    </row>
    <row r="5791" spans="8:8" x14ac:dyDescent="0.3">
      <c r="H5791" t="str">
        <f t="shared" si="140"/>
        <v/>
      </c>
    </row>
    <row r="5792" spans="8:8" x14ac:dyDescent="0.3">
      <c r="H5792" t="str">
        <f t="shared" si="140"/>
        <v/>
      </c>
    </row>
    <row r="5793" spans="8:8" x14ac:dyDescent="0.3">
      <c r="H5793" t="str">
        <f t="shared" si="140"/>
        <v/>
      </c>
    </row>
    <row r="5794" spans="8:8" x14ac:dyDescent="0.3">
      <c r="H5794" t="str">
        <f t="shared" si="140"/>
        <v/>
      </c>
    </row>
    <row r="5795" spans="8:8" x14ac:dyDescent="0.3">
      <c r="H5795" t="str">
        <f t="shared" si="140"/>
        <v/>
      </c>
    </row>
    <row r="5796" spans="8:8" x14ac:dyDescent="0.3">
      <c r="H5796" t="str">
        <f t="shared" si="140"/>
        <v/>
      </c>
    </row>
    <row r="5797" spans="8:8" x14ac:dyDescent="0.3">
      <c r="H5797" t="str">
        <f t="shared" si="140"/>
        <v/>
      </c>
    </row>
    <row r="5798" spans="8:8" x14ac:dyDescent="0.3">
      <c r="H5798" t="str">
        <f t="shared" si="140"/>
        <v/>
      </c>
    </row>
    <row r="5799" spans="8:8" x14ac:dyDescent="0.3">
      <c r="H5799" t="str">
        <f t="shared" si="140"/>
        <v/>
      </c>
    </row>
    <row r="5800" spans="8:8" x14ac:dyDescent="0.3">
      <c r="H5800" t="str">
        <f t="shared" si="140"/>
        <v/>
      </c>
    </row>
    <row r="5801" spans="8:8" x14ac:dyDescent="0.3">
      <c r="H5801" t="str">
        <f t="shared" si="140"/>
        <v/>
      </c>
    </row>
    <row r="5802" spans="8:8" x14ac:dyDescent="0.3">
      <c r="H5802" t="str">
        <f t="shared" si="140"/>
        <v/>
      </c>
    </row>
    <row r="5803" spans="8:8" x14ac:dyDescent="0.3">
      <c r="H5803" t="str">
        <f t="shared" si="140"/>
        <v/>
      </c>
    </row>
    <row r="5804" spans="8:8" x14ac:dyDescent="0.3">
      <c r="H5804" t="str">
        <f t="shared" si="140"/>
        <v/>
      </c>
    </row>
    <row r="5805" spans="8:8" x14ac:dyDescent="0.3">
      <c r="H5805" t="str">
        <f t="shared" si="140"/>
        <v/>
      </c>
    </row>
    <row r="5806" spans="8:8" x14ac:dyDescent="0.3">
      <c r="H5806" t="str">
        <f t="shared" si="140"/>
        <v/>
      </c>
    </row>
    <row r="5807" spans="8:8" x14ac:dyDescent="0.3">
      <c r="H5807" t="str">
        <f t="shared" si="140"/>
        <v/>
      </c>
    </row>
    <row r="5808" spans="8:8" x14ac:dyDescent="0.3">
      <c r="H5808" t="str">
        <f t="shared" si="140"/>
        <v/>
      </c>
    </row>
    <row r="5809" spans="8:8" x14ac:dyDescent="0.3">
      <c r="H5809" t="str">
        <f t="shared" si="140"/>
        <v/>
      </c>
    </row>
    <row r="5810" spans="8:8" x14ac:dyDescent="0.3">
      <c r="H5810" t="str">
        <f t="shared" si="140"/>
        <v/>
      </c>
    </row>
    <row r="5811" spans="8:8" x14ac:dyDescent="0.3">
      <c r="H5811" t="str">
        <f t="shared" si="140"/>
        <v/>
      </c>
    </row>
    <row r="5812" spans="8:8" x14ac:dyDescent="0.3">
      <c r="H5812" t="str">
        <f t="shared" si="140"/>
        <v/>
      </c>
    </row>
    <row r="5813" spans="8:8" x14ac:dyDescent="0.3">
      <c r="H5813" t="str">
        <f t="shared" si="140"/>
        <v/>
      </c>
    </row>
    <row r="5814" spans="8:8" x14ac:dyDescent="0.3">
      <c r="H5814" t="str">
        <f t="shared" si="140"/>
        <v/>
      </c>
    </row>
    <row r="5815" spans="8:8" x14ac:dyDescent="0.3">
      <c r="H5815" t="str">
        <f t="shared" si="140"/>
        <v/>
      </c>
    </row>
    <row r="5816" spans="8:8" x14ac:dyDescent="0.3">
      <c r="H5816" t="str">
        <f t="shared" si="140"/>
        <v/>
      </c>
    </row>
    <row r="5817" spans="8:8" x14ac:dyDescent="0.3">
      <c r="H5817" t="str">
        <f t="shared" si="140"/>
        <v/>
      </c>
    </row>
    <row r="5818" spans="8:8" x14ac:dyDescent="0.3">
      <c r="H5818" t="str">
        <f t="shared" si="140"/>
        <v/>
      </c>
    </row>
    <row r="5819" spans="8:8" x14ac:dyDescent="0.3">
      <c r="H5819" t="str">
        <f t="shared" si="140"/>
        <v/>
      </c>
    </row>
    <row r="5820" spans="8:8" x14ac:dyDescent="0.3">
      <c r="H5820" t="str">
        <f t="shared" si="140"/>
        <v/>
      </c>
    </row>
    <row r="5821" spans="8:8" x14ac:dyDescent="0.3">
      <c r="H5821" t="str">
        <f t="shared" si="140"/>
        <v/>
      </c>
    </row>
    <row r="5822" spans="8:8" x14ac:dyDescent="0.3">
      <c r="H5822" t="str">
        <f t="shared" si="140"/>
        <v/>
      </c>
    </row>
    <row r="5823" spans="8:8" x14ac:dyDescent="0.3">
      <c r="H5823" t="str">
        <f t="shared" si="140"/>
        <v/>
      </c>
    </row>
    <row r="5824" spans="8:8" x14ac:dyDescent="0.3">
      <c r="H5824" t="str">
        <f t="shared" si="140"/>
        <v/>
      </c>
    </row>
    <row r="5825" spans="8:8" x14ac:dyDescent="0.3">
      <c r="H5825" t="str">
        <f t="shared" si="140"/>
        <v/>
      </c>
    </row>
    <row r="5826" spans="8:8" x14ac:dyDescent="0.3">
      <c r="H5826" t="str">
        <f t="shared" si="140"/>
        <v/>
      </c>
    </row>
    <row r="5827" spans="8:8" x14ac:dyDescent="0.3">
      <c r="H5827" t="str">
        <f t="shared" si="140"/>
        <v/>
      </c>
    </row>
    <row r="5828" spans="8:8" x14ac:dyDescent="0.3">
      <c r="H5828" t="str">
        <f t="shared" si="140"/>
        <v/>
      </c>
    </row>
    <row r="5829" spans="8:8" x14ac:dyDescent="0.3">
      <c r="H5829" t="str">
        <f t="shared" si="140"/>
        <v/>
      </c>
    </row>
    <row r="5830" spans="8:8" x14ac:dyDescent="0.3">
      <c r="H5830" t="str">
        <f t="shared" si="140"/>
        <v/>
      </c>
    </row>
    <row r="5831" spans="8:8" x14ac:dyDescent="0.3">
      <c r="H5831" t="str">
        <f t="shared" si="140"/>
        <v/>
      </c>
    </row>
    <row r="5832" spans="8:8" x14ac:dyDescent="0.3">
      <c r="H5832" t="str">
        <f t="shared" si="140"/>
        <v/>
      </c>
    </row>
    <row r="5833" spans="8:8" x14ac:dyDescent="0.3">
      <c r="H5833" t="str">
        <f t="shared" si="140"/>
        <v/>
      </c>
    </row>
    <row r="5834" spans="8:8" x14ac:dyDescent="0.3">
      <c r="H5834" t="str">
        <f t="shared" si="140"/>
        <v/>
      </c>
    </row>
    <row r="5835" spans="8:8" x14ac:dyDescent="0.3">
      <c r="H5835" t="str">
        <f t="shared" si="140"/>
        <v/>
      </c>
    </row>
    <row r="5836" spans="8:8" x14ac:dyDescent="0.3">
      <c r="H5836" t="str">
        <f t="shared" si="140"/>
        <v/>
      </c>
    </row>
    <row r="5837" spans="8:8" x14ac:dyDescent="0.3">
      <c r="H5837" t="str">
        <f t="shared" si="140"/>
        <v/>
      </c>
    </row>
    <row r="5838" spans="8:8" x14ac:dyDescent="0.3">
      <c r="H5838" t="str">
        <f t="shared" si="140"/>
        <v/>
      </c>
    </row>
    <row r="5839" spans="8:8" x14ac:dyDescent="0.3">
      <c r="H5839" t="str">
        <f t="shared" si="140"/>
        <v/>
      </c>
    </row>
    <row r="5840" spans="8:8" x14ac:dyDescent="0.3">
      <c r="H5840" t="str">
        <f t="shared" si="140"/>
        <v/>
      </c>
    </row>
    <row r="5841" spans="8:8" x14ac:dyDescent="0.3">
      <c r="H5841" t="str">
        <f t="shared" si="140"/>
        <v/>
      </c>
    </row>
    <row r="5842" spans="8:8" x14ac:dyDescent="0.3">
      <c r="H5842" t="str">
        <f t="shared" si="140"/>
        <v/>
      </c>
    </row>
    <row r="5843" spans="8:8" x14ac:dyDescent="0.3">
      <c r="H5843" t="str">
        <f t="shared" si="140"/>
        <v/>
      </c>
    </row>
    <row r="5844" spans="8:8" x14ac:dyDescent="0.3">
      <c r="H5844" t="str">
        <f t="shared" si="140"/>
        <v/>
      </c>
    </row>
    <row r="5845" spans="8:8" x14ac:dyDescent="0.3">
      <c r="H5845" t="str">
        <f t="shared" si="140"/>
        <v/>
      </c>
    </row>
    <row r="5846" spans="8:8" x14ac:dyDescent="0.3">
      <c r="H5846" t="str">
        <f t="shared" si="140"/>
        <v/>
      </c>
    </row>
    <row r="5847" spans="8:8" x14ac:dyDescent="0.3">
      <c r="H5847" t="str">
        <f t="shared" ref="H5847:H5910" si="141">IF(B5847="","",$C$12)</f>
        <v/>
      </c>
    </row>
    <row r="5848" spans="8:8" x14ac:dyDescent="0.3">
      <c r="H5848" t="str">
        <f t="shared" si="141"/>
        <v/>
      </c>
    </row>
    <row r="5849" spans="8:8" x14ac:dyDescent="0.3">
      <c r="H5849" t="str">
        <f t="shared" si="141"/>
        <v/>
      </c>
    </row>
    <row r="5850" spans="8:8" x14ac:dyDescent="0.3">
      <c r="H5850" t="str">
        <f t="shared" si="141"/>
        <v/>
      </c>
    </row>
    <row r="5851" spans="8:8" x14ac:dyDescent="0.3">
      <c r="H5851" t="str">
        <f t="shared" si="141"/>
        <v/>
      </c>
    </row>
    <row r="5852" spans="8:8" x14ac:dyDescent="0.3">
      <c r="H5852" t="str">
        <f t="shared" si="141"/>
        <v/>
      </c>
    </row>
    <row r="5853" spans="8:8" x14ac:dyDescent="0.3">
      <c r="H5853" t="str">
        <f t="shared" si="141"/>
        <v/>
      </c>
    </row>
    <row r="5854" spans="8:8" x14ac:dyDescent="0.3">
      <c r="H5854" t="str">
        <f t="shared" si="141"/>
        <v/>
      </c>
    </row>
    <row r="5855" spans="8:8" x14ac:dyDescent="0.3">
      <c r="H5855" t="str">
        <f t="shared" si="141"/>
        <v/>
      </c>
    </row>
    <row r="5856" spans="8:8" x14ac:dyDescent="0.3">
      <c r="H5856" t="str">
        <f t="shared" si="141"/>
        <v/>
      </c>
    </row>
    <row r="5857" spans="8:8" x14ac:dyDescent="0.3">
      <c r="H5857" t="str">
        <f t="shared" si="141"/>
        <v/>
      </c>
    </row>
    <row r="5858" spans="8:8" x14ac:dyDescent="0.3">
      <c r="H5858" t="str">
        <f t="shared" si="141"/>
        <v/>
      </c>
    </row>
    <row r="5859" spans="8:8" x14ac:dyDescent="0.3">
      <c r="H5859" t="str">
        <f t="shared" si="141"/>
        <v/>
      </c>
    </row>
    <row r="5860" spans="8:8" x14ac:dyDescent="0.3">
      <c r="H5860" t="str">
        <f t="shared" si="141"/>
        <v/>
      </c>
    </row>
    <row r="5861" spans="8:8" x14ac:dyDescent="0.3">
      <c r="H5861" t="str">
        <f t="shared" si="141"/>
        <v/>
      </c>
    </row>
    <row r="5862" spans="8:8" x14ac:dyDescent="0.3">
      <c r="H5862" t="str">
        <f t="shared" si="141"/>
        <v/>
      </c>
    </row>
    <row r="5863" spans="8:8" x14ac:dyDescent="0.3">
      <c r="H5863" t="str">
        <f t="shared" si="141"/>
        <v/>
      </c>
    </row>
    <row r="5864" spans="8:8" x14ac:dyDescent="0.3">
      <c r="H5864" t="str">
        <f t="shared" si="141"/>
        <v/>
      </c>
    </row>
    <row r="5865" spans="8:8" x14ac:dyDescent="0.3">
      <c r="H5865" t="str">
        <f t="shared" si="141"/>
        <v/>
      </c>
    </row>
    <row r="5866" spans="8:8" x14ac:dyDescent="0.3">
      <c r="H5866" t="str">
        <f t="shared" si="141"/>
        <v/>
      </c>
    </row>
    <row r="5867" spans="8:8" x14ac:dyDescent="0.3">
      <c r="H5867" t="str">
        <f t="shared" si="141"/>
        <v/>
      </c>
    </row>
    <row r="5868" spans="8:8" x14ac:dyDescent="0.3">
      <c r="H5868" t="str">
        <f t="shared" si="141"/>
        <v/>
      </c>
    </row>
    <row r="5869" spans="8:8" x14ac:dyDescent="0.3">
      <c r="H5869" t="str">
        <f t="shared" si="141"/>
        <v/>
      </c>
    </row>
    <row r="5870" spans="8:8" x14ac:dyDescent="0.3">
      <c r="H5870" t="str">
        <f t="shared" si="141"/>
        <v/>
      </c>
    </row>
    <row r="5871" spans="8:8" x14ac:dyDescent="0.3">
      <c r="H5871" t="str">
        <f t="shared" si="141"/>
        <v/>
      </c>
    </row>
    <row r="5872" spans="8:8" x14ac:dyDescent="0.3">
      <c r="H5872" t="str">
        <f t="shared" si="141"/>
        <v/>
      </c>
    </row>
    <row r="5873" spans="8:8" x14ac:dyDescent="0.3">
      <c r="H5873" t="str">
        <f t="shared" si="141"/>
        <v/>
      </c>
    </row>
    <row r="5874" spans="8:8" x14ac:dyDescent="0.3">
      <c r="H5874" t="str">
        <f t="shared" si="141"/>
        <v/>
      </c>
    </row>
    <row r="5875" spans="8:8" x14ac:dyDescent="0.3">
      <c r="H5875" t="str">
        <f t="shared" si="141"/>
        <v/>
      </c>
    </row>
    <row r="5876" spans="8:8" x14ac:dyDescent="0.3">
      <c r="H5876" t="str">
        <f t="shared" si="141"/>
        <v/>
      </c>
    </row>
    <row r="5877" spans="8:8" x14ac:dyDescent="0.3">
      <c r="H5877" t="str">
        <f t="shared" si="141"/>
        <v/>
      </c>
    </row>
    <row r="5878" spans="8:8" x14ac:dyDescent="0.3">
      <c r="H5878" t="str">
        <f t="shared" si="141"/>
        <v/>
      </c>
    </row>
    <row r="5879" spans="8:8" x14ac:dyDescent="0.3">
      <c r="H5879" t="str">
        <f t="shared" si="141"/>
        <v/>
      </c>
    </row>
    <row r="5880" spans="8:8" x14ac:dyDescent="0.3">
      <c r="H5880" t="str">
        <f t="shared" si="141"/>
        <v/>
      </c>
    </row>
    <row r="5881" spans="8:8" x14ac:dyDescent="0.3">
      <c r="H5881" t="str">
        <f t="shared" si="141"/>
        <v/>
      </c>
    </row>
    <row r="5882" spans="8:8" x14ac:dyDescent="0.3">
      <c r="H5882" t="str">
        <f t="shared" si="141"/>
        <v/>
      </c>
    </row>
    <row r="5883" spans="8:8" x14ac:dyDescent="0.3">
      <c r="H5883" t="str">
        <f t="shared" si="141"/>
        <v/>
      </c>
    </row>
    <row r="5884" spans="8:8" x14ac:dyDescent="0.3">
      <c r="H5884" t="str">
        <f t="shared" si="141"/>
        <v/>
      </c>
    </row>
    <row r="5885" spans="8:8" x14ac:dyDescent="0.3">
      <c r="H5885" t="str">
        <f t="shared" si="141"/>
        <v/>
      </c>
    </row>
    <row r="5886" spans="8:8" x14ac:dyDescent="0.3">
      <c r="H5886" t="str">
        <f t="shared" si="141"/>
        <v/>
      </c>
    </row>
    <row r="5887" spans="8:8" x14ac:dyDescent="0.3">
      <c r="H5887" t="str">
        <f t="shared" si="141"/>
        <v/>
      </c>
    </row>
    <row r="5888" spans="8:8" x14ac:dyDescent="0.3">
      <c r="H5888" t="str">
        <f t="shared" si="141"/>
        <v/>
      </c>
    </row>
    <row r="5889" spans="8:8" x14ac:dyDescent="0.3">
      <c r="H5889" t="str">
        <f t="shared" si="141"/>
        <v/>
      </c>
    </row>
    <row r="5890" spans="8:8" x14ac:dyDescent="0.3">
      <c r="H5890" t="str">
        <f t="shared" si="141"/>
        <v/>
      </c>
    </row>
    <row r="5891" spans="8:8" x14ac:dyDescent="0.3">
      <c r="H5891" t="str">
        <f t="shared" si="141"/>
        <v/>
      </c>
    </row>
    <row r="5892" spans="8:8" x14ac:dyDescent="0.3">
      <c r="H5892" t="str">
        <f t="shared" si="141"/>
        <v/>
      </c>
    </row>
    <row r="5893" spans="8:8" x14ac:dyDescent="0.3">
      <c r="H5893" t="str">
        <f t="shared" si="141"/>
        <v/>
      </c>
    </row>
    <row r="5894" spans="8:8" x14ac:dyDescent="0.3">
      <c r="H5894" t="str">
        <f t="shared" si="141"/>
        <v/>
      </c>
    </row>
    <row r="5895" spans="8:8" x14ac:dyDescent="0.3">
      <c r="H5895" t="str">
        <f t="shared" si="141"/>
        <v/>
      </c>
    </row>
    <row r="5896" spans="8:8" x14ac:dyDescent="0.3">
      <c r="H5896" t="str">
        <f t="shared" si="141"/>
        <v/>
      </c>
    </row>
    <row r="5897" spans="8:8" x14ac:dyDescent="0.3">
      <c r="H5897" t="str">
        <f t="shared" si="141"/>
        <v/>
      </c>
    </row>
    <row r="5898" spans="8:8" x14ac:dyDescent="0.3">
      <c r="H5898" t="str">
        <f t="shared" si="141"/>
        <v/>
      </c>
    </row>
    <row r="5899" spans="8:8" x14ac:dyDescent="0.3">
      <c r="H5899" t="str">
        <f t="shared" si="141"/>
        <v/>
      </c>
    </row>
    <row r="5900" spans="8:8" x14ac:dyDescent="0.3">
      <c r="H5900" t="str">
        <f t="shared" si="141"/>
        <v/>
      </c>
    </row>
    <row r="5901" spans="8:8" x14ac:dyDescent="0.3">
      <c r="H5901" t="str">
        <f t="shared" si="141"/>
        <v/>
      </c>
    </row>
    <row r="5902" spans="8:8" x14ac:dyDescent="0.3">
      <c r="H5902" t="str">
        <f t="shared" si="141"/>
        <v/>
      </c>
    </row>
    <row r="5903" spans="8:8" x14ac:dyDescent="0.3">
      <c r="H5903" t="str">
        <f t="shared" si="141"/>
        <v/>
      </c>
    </row>
    <row r="5904" spans="8:8" x14ac:dyDescent="0.3">
      <c r="H5904" t="str">
        <f t="shared" si="141"/>
        <v/>
      </c>
    </row>
    <row r="5905" spans="8:8" x14ac:dyDescent="0.3">
      <c r="H5905" t="str">
        <f t="shared" si="141"/>
        <v/>
      </c>
    </row>
    <row r="5906" spans="8:8" x14ac:dyDescent="0.3">
      <c r="H5906" t="str">
        <f t="shared" si="141"/>
        <v/>
      </c>
    </row>
    <row r="5907" spans="8:8" x14ac:dyDescent="0.3">
      <c r="H5907" t="str">
        <f t="shared" si="141"/>
        <v/>
      </c>
    </row>
    <row r="5908" spans="8:8" x14ac:dyDescent="0.3">
      <c r="H5908" t="str">
        <f t="shared" si="141"/>
        <v/>
      </c>
    </row>
    <row r="5909" spans="8:8" x14ac:dyDescent="0.3">
      <c r="H5909" t="str">
        <f t="shared" si="141"/>
        <v/>
      </c>
    </row>
    <row r="5910" spans="8:8" x14ac:dyDescent="0.3">
      <c r="H5910" t="str">
        <f t="shared" si="141"/>
        <v/>
      </c>
    </row>
    <row r="5911" spans="8:8" x14ac:dyDescent="0.3">
      <c r="H5911" t="str">
        <f t="shared" ref="H5911:H5974" si="142">IF(B5911="","",$C$12)</f>
        <v/>
      </c>
    </row>
    <row r="5912" spans="8:8" x14ac:dyDescent="0.3">
      <c r="H5912" t="str">
        <f t="shared" si="142"/>
        <v/>
      </c>
    </row>
    <row r="5913" spans="8:8" x14ac:dyDescent="0.3">
      <c r="H5913" t="str">
        <f t="shared" si="142"/>
        <v/>
      </c>
    </row>
    <row r="5914" spans="8:8" x14ac:dyDescent="0.3">
      <c r="H5914" t="str">
        <f t="shared" si="142"/>
        <v/>
      </c>
    </row>
    <row r="5915" spans="8:8" x14ac:dyDescent="0.3">
      <c r="H5915" t="str">
        <f t="shared" si="142"/>
        <v/>
      </c>
    </row>
    <row r="5916" spans="8:8" x14ac:dyDescent="0.3">
      <c r="H5916" t="str">
        <f t="shared" si="142"/>
        <v/>
      </c>
    </row>
    <row r="5917" spans="8:8" x14ac:dyDescent="0.3">
      <c r="H5917" t="str">
        <f t="shared" si="142"/>
        <v/>
      </c>
    </row>
    <row r="5918" spans="8:8" x14ac:dyDescent="0.3">
      <c r="H5918" t="str">
        <f t="shared" si="142"/>
        <v/>
      </c>
    </row>
    <row r="5919" spans="8:8" x14ac:dyDescent="0.3">
      <c r="H5919" t="str">
        <f t="shared" si="142"/>
        <v/>
      </c>
    </row>
    <row r="5920" spans="8:8" x14ac:dyDescent="0.3">
      <c r="H5920" t="str">
        <f t="shared" si="142"/>
        <v/>
      </c>
    </row>
    <row r="5921" spans="8:8" x14ac:dyDescent="0.3">
      <c r="H5921" t="str">
        <f t="shared" si="142"/>
        <v/>
      </c>
    </row>
    <row r="5922" spans="8:8" x14ac:dyDescent="0.3">
      <c r="H5922" t="str">
        <f t="shared" si="142"/>
        <v/>
      </c>
    </row>
    <row r="5923" spans="8:8" x14ac:dyDescent="0.3">
      <c r="H5923" t="str">
        <f t="shared" si="142"/>
        <v/>
      </c>
    </row>
    <row r="5924" spans="8:8" x14ac:dyDescent="0.3">
      <c r="H5924" t="str">
        <f t="shared" si="142"/>
        <v/>
      </c>
    </row>
    <row r="5925" spans="8:8" x14ac:dyDescent="0.3">
      <c r="H5925" t="str">
        <f t="shared" si="142"/>
        <v/>
      </c>
    </row>
    <row r="5926" spans="8:8" x14ac:dyDescent="0.3">
      <c r="H5926" t="str">
        <f t="shared" si="142"/>
        <v/>
      </c>
    </row>
    <row r="5927" spans="8:8" x14ac:dyDescent="0.3">
      <c r="H5927" t="str">
        <f t="shared" si="142"/>
        <v/>
      </c>
    </row>
    <row r="5928" spans="8:8" x14ac:dyDescent="0.3">
      <c r="H5928" t="str">
        <f t="shared" si="142"/>
        <v/>
      </c>
    </row>
    <row r="5929" spans="8:8" x14ac:dyDescent="0.3">
      <c r="H5929" t="str">
        <f t="shared" si="142"/>
        <v/>
      </c>
    </row>
    <row r="5930" spans="8:8" x14ac:dyDescent="0.3">
      <c r="H5930" t="str">
        <f t="shared" si="142"/>
        <v/>
      </c>
    </row>
    <row r="5931" spans="8:8" x14ac:dyDescent="0.3">
      <c r="H5931" t="str">
        <f t="shared" si="142"/>
        <v/>
      </c>
    </row>
    <row r="5932" spans="8:8" x14ac:dyDescent="0.3">
      <c r="H5932" t="str">
        <f t="shared" si="142"/>
        <v/>
      </c>
    </row>
    <row r="5933" spans="8:8" x14ac:dyDescent="0.3">
      <c r="H5933" t="str">
        <f t="shared" si="142"/>
        <v/>
      </c>
    </row>
    <row r="5934" spans="8:8" x14ac:dyDescent="0.3">
      <c r="H5934" t="str">
        <f t="shared" si="142"/>
        <v/>
      </c>
    </row>
    <row r="5935" spans="8:8" x14ac:dyDescent="0.3">
      <c r="H5935" t="str">
        <f t="shared" si="142"/>
        <v/>
      </c>
    </row>
    <row r="5936" spans="8:8" x14ac:dyDescent="0.3">
      <c r="H5936" t="str">
        <f t="shared" si="142"/>
        <v/>
      </c>
    </row>
    <row r="5937" spans="8:8" x14ac:dyDescent="0.3">
      <c r="H5937" t="str">
        <f t="shared" si="142"/>
        <v/>
      </c>
    </row>
    <row r="5938" spans="8:8" x14ac:dyDescent="0.3">
      <c r="H5938" t="str">
        <f t="shared" si="142"/>
        <v/>
      </c>
    </row>
    <row r="5939" spans="8:8" x14ac:dyDescent="0.3">
      <c r="H5939" t="str">
        <f t="shared" si="142"/>
        <v/>
      </c>
    </row>
    <row r="5940" spans="8:8" x14ac:dyDescent="0.3">
      <c r="H5940" t="str">
        <f t="shared" si="142"/>
        <v/>
      </c>
    </row>
    <row r="5941" spans="8:8" x14ac:dyDescent="0.3">
      <c r="H5941" t="str">
        <f t="shared" si="142"/>
        <v/>
      </c>
    </row>
    <row r="5942" spans="8:8" x14ac:dyDescent="0.3">
      <c r="H5942" t="str">
        <f t="shared" si="142"/>
        <v/>
      </c>
    </row>
    <row r="5943" spans="8:8" x14ac:dyDescent="0.3">
      <c r="H5943" t="str">
        <f t="shared" si="142"/>
        <v/>
      </c>
    </row>
    <row r="5944" spans="8:8" x14ac:dyDescent="0.3">
      <c r="H5944" t="str">
        <f t="shared" si="142"/>
        <v/>
      </c>
    </row>
    <row r="5945" spans="8:8" x14ac:dyDescent="0.3">
      <c r="H5945" t="str">
        <f t="shared" si="142"/>
        <v/>
      </c>
    </row>
    <row r="5946" spans="8:8" x14ac:dyDescent="0.3">
      <c r="H5946" t="str">
        <f t="shared" si="142"/>
        <v/>
      </c>
    </row>
    <row r="5947" spans="8:8" x14ac:dyDescent="0.3">
      <c r="H5947" t="str">
        <f t="shared" si="142"/>
        <v/>
      </c>
    </row>
    <row r="5948" spans="8:8" x14ac:dyDescent="0.3">
      <c r="H5948" t="str">
        <f t="shared" si="142"/>
        <v/>
      </c>
    </row>
    <row r="5949" spans="8:8" x14ac:dyDescent="0.3">
      <c r="H5949" t="str">
        <f t="shared" si="142"/>
        <v/>
      </c>
    </row>
    <row r="5950" spans="8:8" x14ac:dyDescent="0.3">
      <c r="H5950" t="str">
        <f t="shared" si="142"/>
        <v/>
      </c>
    </row>
    <row r="5951" spans="8:8" x14ac:dyDescent="0.3">
      <c r="H5951" t="str">
        <f t="shared" si="142"/>
        <v/>
      </c>
    </row>
    <row r="5952" spans="8:8" x14ac:dyDescent="0.3">
      <c r="H5952" t="str">
        <f t="shared" si="142"/>
        <v/>
      </c>
    </row>
    <row r="5953" spans="8:8" x14ac:dyDescent="0.3">
      <c r="H5953" t="str">
        <f t="shared" si="142"/>
        <v/>
      </c>
    </row>
    <row r="5954" spans="8:8" x14ac:dyDescent="0.3">
      <c r="H5954" t="str">
        <f t="shared" si="142"/>
        <v/>
      </c>
    </row>
    <row r="5955" spans="8:8" x14ac:dyDescent="0.3">
      <c r="H5955" t="str">
        <f t="shared" si="142"/>
        <v/>
      </c>
    </row>
    <row r="5956" spans="8:8" x14ac:dyDescent="0.3">
      <c r="H5956" t="str">
        <f t="shared" si="142"/>
        <v/>
      </c>
    </row>
    <row r="5957" spans="8:8" x14ac:dyDescent="0.3">
      <c r="H5957" t="str">
        <f t="shared" si="142"/>
        <v/>
      </c>
    </row>
    <row r="5958" spans="8:8" x14ac:dyDescent="0.3">
      <c r="H5958" t="str">
        <f t="shared" si="142"/>
        <v/>
      </c>
    </row>
    <row r="5959" spans="8:8" x14ac:dyDescent="0.3">
      <c r="H5959" t="str">
        <f t="shared" si="142"/>
        <v/>
      </c>
    </row>
    <row r="5960" spans="8:8" x14ac:dyDescent="0.3">
      <c r="H5960" t="str">
        <f t="shared" si="142"/>
        <v/>
      </c>
    </row>
    <row r="5961" spans="8:8" x14ac:dyDescent="0.3">
      <c r="H5961" t="str">
        <f t="shared" si="142"/>
        <v/>
      </c>
    </row>
    <row r="5962" spans="8:8" x14ac:dyDescent="0.3">
      <c r="H5962" t="str">
        <f t="shared" si="142"/>
        <v/>
      </c>
    </row>
    <row r="5963" spans="8:8" x14ac:dyDescent="0.3">
      <c r="H5963" t="str">
        <f t="shared" si="142"/>
        <v/>
      </c>
    </row>
    <row r="5964" spans="8:8" x14ac:dyDescent="0.3">
      <c r="H5964" t="str">
        <f t="shared" si="142"/>
        <v/>
      </c>
    </row>
    <row r="5965" spans="8:8" x14ac:dyDescent="0.3">
      <c r="H5965" t="str">
        <f t="shared" si="142"/>
        <v/>
      </c>
    </row>
    <row r="5966" spans="8:8" x14ac:dyDescent="0.3">
      <c r="H5966" t="str">
        <f t="shared" si="142"/>
        <v/>
      </c>
    </row>
    <row r="5967" spans="8:8" x14ac:dyDescent="0.3">
      <c r="H5967" t="str">
        <f t="shared" si="142"/>
        <v/>
      </c>
    </row>
    <row r="5968" spans="8:8" x14ac:dyDescent="0.3">
      <c r="H5968" t="str">
        <f t="shared" si="142"/>
        <v/>
      </c>
    </row>
    <row r="5969" spans="8:8" x14ac:dyDescent="0.3">
      <c r="H5969" t="str">
        <f t="shared" si="142"/>
        <v/>
      </c>
    </row>
    <row r="5970" spans="8:8" x14ac:dyDescent="0.3">
      <c r="H5970" t="str">
        <f t="shared" si="142"/>
        <v/>
      </c>
    </row>
    <row r="5971" spans="8:8" x14ac:dyDescent="0.3">
      <c r="H5971" t="str">
        <f t="shared" si="142"/>
        <v/>
      </c>
    </row>
    <row r="5972" spans="8:8" x14ac:dyDescent="0.3">
      <c r="H5972" t="str">
        <f t="shared" si="142"/>
        <v/>
      </c>
    </row>
    <row r="5973" spans="8:8" x14ac:dyDescent="0.3">
      <c r="H5973" t="str">
        <f t="shared" si="142"/>
        <v/>
      </c>
    </row>
    <row r="5974" spans="8:8" x14ac:dyDescent="0.3">
      <c r="H5974" t="str">
        <f t="shared" si="142"/>
        <v/>
      </c>
    </row>
    <row r="5975" spans="8:8" x14ac:dyDescent="0.3">
      <c r="H5975" t="str">
        <f t="shared" ref="H5975:H6038" si="143">IF(B5975="","",$C$12)</f>
        <v/>
      </c>
    </row>
    <row r="5976" spans="8:8" x14ac:dyDescent="0.3">
      <c r="H5976" t="str">
        <f t="shared" si="143"/>
        <v/>
      </c>
    </row>
    <row r="5977" spans="8:8" x14ac:dyDescent="0.3">
      <c r="H5977" t="str">
        <f t="shared" si="143"/>
        <v/>
      </c>
    </row>
    <row r="5978" spans="8:8" x14ac:dyDescent="0.3">
      <c r="H5978" t="str">
        <f t="shared" si="143"/>
        <v/>
      </c>
    </row>
    <row r="5979" spans="8:8" x14ac:dyDescent="0.3">
      <c r="H5979" t="str">
        <f t="shared" si="143"/>
        <v/>
      </c>
    </row>
    <row r="5980" spans="8:8" x14ac:dyDescent="0.3">
      <c r="H5980" t="str">
        <f t="shared" si="143"/>
        <v/>
      </c>
    </row>
    <row r="5981" spans="8:8" x14ac:dyDescent="0.3">
      <c r="H5981" t="str">
        <f t="shared" si="143"/>
        <v/>
      </c>
    </row>
    <row r="5982" spans="8:8" x14ac:dyDescent="0.3">
      <c r="H5982" t="str">
        <f t="shared" si="143"/>
        <v/>
      </c>
    </row>
    <row r="5983" spans="8:8" x14ac:dyDescent="0.3">
      <c r="H5983" t="str">
        <f t="shared" si="143"/>
        <v/>
      </c>
    </row>
    <row r="5984" spans="8:8" x14ac:dyDescent="0.3">
      <c r="H5984" t="str">
        <f t="shared" si="143"/>
        <v/>
      </c>
    </row>
    <row r="5985" spans="8:8" x14ac:dyDescent="0.3">
      <c r="H5985" t="str">
        <f t="shared" si="143"/>
        <v/>
      </c>
    </row>
    <row r="5986" spans="8:8" x14ac:dyDescent="0.3">
      <c r="H5986" t="str">
        <f t="shared" si="143"/>
        <v/>
      </c>
    </row>
    <row r="5987" spans="8:8" x14ac:dyDescent="0.3">
      <c r="H5987" t="str">
        <f t="shared" si="143"/>
        <v/>
      </c>
    </row>
    <row r="5988" spans="8:8" x14ac:dyDescent="0.3">
      <c r="H5988" t="str">
        <f t="shared" si="143"/>
        <v/>
      </c>
    </row>
    <row r="5989" spans="8:8" x14ac:dyDescent="0.3">
      <c r="H5989" t="str">
        <f t="shared" si="143"/>
        <v/>
      </c>
    </row>
    <row r="5990" spans="8:8" x14ac:dyDescent="0.3">
      <c r="H5990" t="str">
        <f t="shared" si="143"/>
        <v/>
      </c>
    </row>
    <row r="5991" spans="8:8" x14ac:dyDescent="0.3">
      <c r="H5991" t="str">
        <f t="shared" si="143"/>
        <v/>
      </c>
    </row>
    <row r="5992" spans="8:8" x14ac:dyDescent="0.3">
      <c r="H5992" t="str">
        <f t="shared" si="143"/>
        <v/>
      </c>
    </row>
    <row r="5993" spans="8:8" x14ac:dyDescent="0.3">
      <c r="H5993" t="str">
        <f t="shared" si="143"/>
        <v/>
      </c>
    </row>
    <row r="5994" spans="8:8" x14ac:dyDescent="0.3">
      <c r="H5994" t="str">
        <f t="shared" si="143"/>
        <v/>
      </c>
    </row>
    <row r="5995" spans="8:8" x14ac:dyDescent="0.3">
      <c r="H5995" t="str">
        <f t="shared" si="143"/>
        <v/>
      </c>
    </row>
    <row r="5996" spans="8:8" x14ac:dyDescent="0.3">
      <c r="H5996" t="str">
        <f t="shared" si="143"/>
        <v/>
      </c>
    </row>
    <row r="5997" spans="8:8" x14ac:dyDescent="0.3">
      <c r="H5997" t="str">
        <f t="shared" si="143"/>
        <v/>
      </c>
    </row>
    <row r="5998" spans="8:8" x14ac:dyDescent="0.3">
      <c r="H5998" t="str">
        <f t="shared" si="143"/>
        <v/>
      </c>
    </row>
    <row r="5999" spans="8:8" x14ac:dyDescent="0.3">
      <c r="H5999" t="str">
        <f t="shared" si="143"/>
        <v/>
      </c>
    </row>
    <row r="6000" spans="8:8" x14ac:dyDescent="0.3">
      <c r="H6000" t="str">
        <f t="shared" si="143"/>
        <v/>
      </c>
    </row>
    <row r="6001" spans="8:8" x14ac:dyDescent="0.3">
      <c r="H6001" t="str">
        <f t="shared" si="143"/>
        <v/>
      </c>
    </row>
    <row r="6002" spans="8:8" x14ac:dyDescent="0.3">
      <c r="H6002" t="str">
        <f t="shared" si="143"/>
        <v/>
      </c>
    </row>
    <row r="6003" spans="8:8" x14ac:dyDescent="0.3">
      <c r="H6003" t="str">
        <f t="shared" si="143"/>
        <v/>
      </c>
    </row>
    <row r="6004" spans="8:8" x14ac:dyDescent="0.3">
      <c r="H6004" t="str">
        <f t="shared" si="143"/>
        <v/>
      </c>
    </row>
    <row r="6005" spans="8:8" x14ac:dyDescent="0.3">
      <c r="H6005" t="str">
        <f t="shared" si="143"/>
        <v/>
      </c>
    </row>
    <row r="6006" spans="8:8" x14ac:dyDescent="0.3">
      <c r="H6006" t="str">
        <f t="shared" si="143"/>
        <v/>
      </c>
    </row>
    <row r="6007" spans="8:8" x14ac:dyDescent="0.3">
      <c r="H6007" t="str">
        <f t="shared" si="143"/>
        <v/>
      </c>
    </row>
    <row r="6008" spans="8:8" x14ac:dyDescent="0.3">
      <c r="H6008" t="str">
        <f t="shared" si="143"/>
        <v/>
      </c>
    </row>
    <row r="6009" spans="8:8" x14ac:dyDescent="0.3">
      <c r="H6009" t="str">
        <f t="shared" si="143"/>
        <v/>
      </c>
    </row>
    <row r="6010" spans="8:8" x14ac:dyDescent="0.3">
      <c r="H6010" t="str">
        <f t="shared" si="143"/>
        <v/>
      </c>
    </row>
    <row r="6011" spans="8:8" x14ac:dyDescent="0.3">
      <c r="H6011" t="str">
        <f t="shared" si="143"/>
        <v/>
      </c>
    </row>
    <row r="6012" spans="8:8" x14ac:dyDescent="0.3">
      <c r="H6012" t="str">
        <f t="shared" si="143"/>
        <v/>
      </c>
    </row>
    <row r="6013" spans="8:8" x14ac:dyDescent="0.3">
      <c r="H6013" t="str">
        <f t="shared" si="143"/>
        <v/>
      </c>
    </row>
    <row r="6014" spans="8:8" x14ac:dyDescent="0.3">
      <c r="H6014" t="str">
        <f t="shared" si="143"/>
        <v/>
      </c>
    </row>
    <row r="6015" spans="8:8" x14ac:dyDescent="0.3">
      <c r="H6015" t="str">
        <f t="shared" si="143"/>
        <v/>
      </c>
    </row>
    <row r="6016" spans="8:8" x14ac:dyDescent="0.3">
      <c r="H6016" t="str">
        <f t="shared" si="143"/>
        <v/>
      </c>
    </row>
    <row r="6017" spans="8:8" x14ac:dyDescent="0.3">
      <c r="H6017" t="str">
        <f t="shared" si="143"/>
        <v/>
      </c>
    </row>
    <row r="6018" spans="8:8" x14ac:dyDescent="0.3">
      <c r="H6018" t="str">
        <f t="shared" si="143"/>
        <v/>
      </c>
    </row>
    <row r="6019" spans="8:8" x14ac:dyDescent="0.3">
      <c r="H6019" t="str">
        <f t="shared" si="143"/>
        <v/>
      </c>
    </row>
    <row r="6020" spans="8:8" x14ac:dyDescent="0.3">
      <c r="H6020" t="str">
        <f t="shared" si="143"/>
        <v/>
      </c>
    </row>
    <row r="6021" spans="8:8" x14ac:dyDescent="0.3">
      <c r="H6021" t="str">
        <f t="shared" si="143"/>
        <v/>
      </c>
    </row>
    <row r="6022" spans="8:8" x14ac:dyDescent="0.3">
      <c r="H6022" t="str">
        <f t="shared" si="143"/>
        <v/>
      </c>
    </row>
    <row r="6023" spans="8:8" x14ac:dyDescent="0.3">
      <c r="H6023" t="str">
        <f t="shared" si="143"/>
        <v/>
      </c>
    </row>
    <row r="6024" spans="8:8" x14ac:dyDescent="0.3">
      <c r="H6024" t="str">
        <f t="shared" si="143"/>
        <v/>
      </c>
    </row>
    <row r="6025" spans="8:8" x14ac:dyDescent="0.3">
      <c r="H6025" t="str">
        <f t="shared" si="143"/>
        <v/>
      </c>
    </row>
    <row r="6026" spans="8:8" x14ac:dyDescent="0.3">
      <c r="H6026" t="str">
        <f t="shared" si="143"/>
        <v/>
      </c>
    </row>
    <row r="6027" spans="8:8" x14ac:dyDescent="0.3">
      <c r="H6027" t="str">
        <f t="shared" si="143"/>
        <v/>
      </c>
    </row>
    <row r="6028" spans="8:8" x14ac:dyDescent="0.3">
      <c r="H6028" t="str">
        <f t="shared" si="143"/>
        <v/>
      </c>
    </row>
    <row r="6029" spans="8:8" x14ac:dyDescent="0.3">
      <c r="H6029" t="str">
        <f t="shared" si="143"/>
        <v/>
      </c>
    </row>
    <row r="6030" spans="8:8" x14ac:dyDescent="0.3">
      <c r="H6030" t="str">
        <f t="shared" si="143"/>
        <v/>
      </c>
    </row>
    <row r="6031" spans="8:8" x14ac:dyDescent="0.3">
      <c r="H6031" t="str">
        <f t="shared" si="143"/>
        <v/>
      </c>
    </row>
    <row r="6032" spans="8:8" x14ac:dyDescent="0.3">
      <c r="H6032" t="str">
        <f t="shared" si="143"/>
        <v/>
      </c>
    </row>
    <row r="6033" spans="8:8" x14ac:dyDescent="0.3">
      <c r="H6033" t="str">
        <f t="shared" si="143"/>
        <v/>
      </c>
    </row>
    <row r="6034" spans="8:8" x14ac:dyDescent="0.3">
      <c r="H6034" t="str">
        <f t="shared" si="143"/>
        <v/>
      </c>
    </row>
    <row r="6035" spans="8:8" x14ac:dyDescent="0.3">
      <c r="H6035" t="str">
        <f t="shared" si="143"/>
        <v/>
      </c>
    </row>
    <row r="6036" spans="8:8" x14ac:dyDescent="0.3">
      <c r="H6036" t="str">
        <f t="shared" si="143"/>
        <v/>
      </c>
    </row>
    <row r="6037" spans="8:8" x14ac:dyDescent="0.3">
      <c r="H6037" t="str">
        <f t="shared" si="143"/>
        <v/>
      </c>
    </row>
    <row r="6038" spans="8:8" x14ac:dyDescent="0.3">
      <c r="H6038" t="str">
        <f t="shared" si="143"/>
        <v/>
      </c>
    </row>
    <row r="6039" spans="8:8" x14ac:dyDescent="0.3">
      <c r="H6039" t="str">
        <f t="shared" ref="H6039:H6102" si="144">IF(B6039="","",$C$12)</f>
        <v/>
      </c>
    </row>
    <row r="6040" spans="8:8" x14ac:dyDescent="0.3">
      <c r="H6040" t="str">
        <f t="shared" si="144"/>
        <v/>
      </c>
    </row>
    <row r="6041" spans="8:8" x14ac:dyDescent="0.3">
      <c r="H6041" t="str">
        <f t="shared" si="144"/>
        <v/>
      </c>
    </row>
    <row r="6042" spans="8:8" x14ac:dyDescent="0.3">
      <c r="H6042" t="str">
        <f t="shared" si="144"/>
        <v/>
      </c>
    </row>
    <row r="6043" spans="8:8" x14ac:dyDescent="0.3">
      <c r="H6043" t="str">
        <f t="shared" si="144"/>
        <v/>
      </c>
    </row>
    <row r="6044" spans="8:8" x14ac:dyDescent="0.3">
      <c r="H6044" t="str">
        <f t="shared" si="144"/>
        <v/>
      </c>
    </row>
    <row r="6045" spans="8:8" x14ac:dyDescent="0.3">
      <c r="H6045" t="str">
        <f t="shared" si="144"/>
        <v/>
      </c>
    </row>
    <row r="6046" spans="8:8" x14ac:dyDescent="0.3">
      <c r="H6046" t="str">
        <f t="shared" si="144"/>
        <v/>
      </c>
    </row>
    <row r="6047" spans="8:8" x14ac:dyDescent="0.3">
      <c r="H6047" t="str">
        <f t="shared" si="144"/>
        <v/>
      </c>
    </row>
    <row r="6048" spans="8:8" x14ac:dyDescent="0.3">
      <c r="H6048" t="str">
        <f t="shared" si="144"/>
        <v/>
      </c>
    </row>
    <row r="6049" spans="8:8" x14ac:dyDescent="0.3">
      <c r="H6049" t="str">
        <f t="shared" si="144"/>
        <v/>
      </c>
    </row>
    <row r="6050" spans="8:8" x14ac:dyDescent="0.3">
      <c r="H6050" t="str">
        <f t="shared" si="144"/>
        <v/>
      </c>
    </row>
    <row r="6051" spans="8:8" x14ac:dyDescent="0.3">
      <c r="H6051" t="str">
        <f t="shared" si="144"/>
        <v/>
      </c>
    </row>
    <row r="6052" spans="8:8" x14ac:dyDescent="0.3">
      <c r="H6052" t="str">
        <f t="shared" si="144"/>
        <v/>
      </c>
    </row>
    <row r="6053" spans="8:8" x14ac:dyDescent="0.3">
      <c r="H6053" t="str">
        <f t="shared" si="144"/>
        <v/>
      </c>
    </row>
    <row r="6054" spans="8:8" x14ac:dyDescent="0.3">
      <c r="H6054" t="str">
        <f t="shared" si="144"/>
        <v/>
      </c>
    </row>
    <row r="6055" spans="8:8" x14ac:dyDescent="0.3">
      <c r="H6055" t="str">
        <f t="shared" si="144"/>
        <v/>
      </c>
    </row>
    <row r="6056" spans="8:8" x14ac:dyDescent="0.3">
      <c r="H6056" t="str">
        <f t="shared" si="144"/>
        <v/>
      </c>
    </row>
    <row r="6057" spans="8:8" x14ac:dyDescent="0.3">
      <c r="H6057" t="str">
        <f t="shared" si="144"/>
        <v/>
      </c>
    </row>
    <row r="6058" spans="8:8" x14ac:dyDescent="0.3">
      <c r="H6058" t="str">
        <f t="shared" si="144"/>
        <v/>
      </c>
    </row>
    <row r="6059" spans="8:8" x14ac:dyDescent="0.3">
      <c r="H6059" t="str">
        <f t="shared" si="144"/>
        <v/>
      </c>
    </row>
    <row r="6060" spans="8:8" x14ac:dyDescent="0.3">
      <c r="H6060" t="str">
        <f t="shared" si="144"/>
        <v/>
      </c>
    </row>
    <row r="6061" spans="8:8" x14ac:dyDescent="0.3">
      <c r="H6061" t="str">
        <f t="shared" si="144"/>
        <v/>
      </c>
    </row>
    <row r="6062" spans="8:8" x14ac:dyDescent="0.3">
      <c r="H6062" t="str">
        <f t="shared" si="144"/>
        <v/>
      </c>
    </row>
    <row r="6063" spans="8:8" x14ac:dyDescent="0.3">
      <c r="H6063" t="str">
        <f t="shared" si="144"/>
        <v/>
      </c>
    </row>
    <row r="6064" spans="8:8" x14ac:dyDescent="0.3">
      <c r="H6064" t="str">
        <f t="shared" si="144"/>
        <v/>
      </c>
    </row>
    <row r="6065" spans="8:8" x14ac:dyDescent="0.3">
      <c r="H6065" t="str">
        <f t="shared" si="144"/>
        <v/>
      </c>
    </row>
    <row r="6066" spans="8:8" x14ac:dyDescent="0.3">
      <c r="H6066" t="str">
        <f t="shared" si="144"/>
        <v/>
      </c>
    </row>
    <row r="6067" spans="8:8" x14ac:dyDescent="0.3">
      <c r="H6067" t="str">
        <f t="shared" si="144"/>
        <v/>
      </c>
    </row>
    <row r="6068" spans="8:8" x14ac:dyDescent="0.3">
      <c r="H6068" t="str">
        <f t="shared" si="144"/>
        <v/>
      </c>
    </row>
    <row r="6069" spans="8:8" x14ac:dyDescent="0.3">
      <c r="H6069" t="str">
        <f t="shared" si="144"/>
        <v/>
      </c>
    </row>
    <row r="6070" spans="8:8" x14ac:dyDescent="0.3">
      <c r="H6070" t="str">
        <f t="shared" si="144"/>
        <v/>
      </c>
    </row>
    <row r="6071" spans="8:8" x14ac:dyDescent="0.3">
      <c r="H6071" t="str">
        <f t="shared" si="144"/>
        <v/>
      </c>
    </row>
    <row r="6072" spans="8:8" x14ac:dyDescent="0.3">
      <c r="H6072" t="str">
        <f t="shared" si="144"/>
        <v/>
      </c>
    </row>
    <row r="6073" spans="8:8" x14ac:dyDescent="0.3">
      <c r="H6073" t="str">
        <f t="shared" si="144"/>
        <v/>
      </c>
    </row>
    <row r="6074" spans="8:8" x14ac:dyDescent="0.3">
      <c r="H6074" t="str">
        <f t="shared" si="144"/>
        <v/>
      </c>
    </row>
    <row r="6075" spans="8:8" x14ac:dyDescent="0.3">
      <c r="H6075" t="str">
        <f t="shared" si="144"/>
        <v/>
      </c>
    </row>
    <row r="6076" spans="8:8" x14ac:dyDescent="0.3">
      <c r="H6076" t="str">
        <f t="shared" si="144"/>
        <v/>
      </c>
    </row>
    <row r="6077" spans="8:8" x14ac:dyDescent="0.3">
      <c r="H6077" t="str">
        <f t="shared" si="144"/>
        <v/>
      </c>
    </row>
    <row r="6078" spans="8:8" x14ac:dyDescent="0.3">
      <c r="H6078" t="str">
        <f t="shared" si="144"/>
        <v/>
      </c>
    </row>
    <row r="6079" spans="8:8" x14ac:dyDescent="0.3">
      <c r="H6079" t="str">
        <f t="shared" si="144"/>
        <v/>
      </c>
    </row>
    <row r="6080" spans="8:8" x14ac:dyDescent="0.3">
      <c r="H6080" t="str">
        <f t="shared" si="144"/>
        <v/>
      </c>
    </row>
    <row r="6081" spans="8:8" x14ac:dyDescent="0.3">
      <c r="H6081" t="str">
        <f t="shared" si="144"/>
        <v/>
      </c>
    </row>
    <row r="6082" spans="8:8" x14ac:dyDescent="0.3">
      <c r="H6082" t="str">
        <f t="shared" si="144"/>
        <v/>
      </c>
    </row>
    <row r="6083" spans="8:8" x14ac:dyDescent="0.3">
      <c r="H6083" t="str">
        <f t="shared" si="144"/>
        <v/>
      </c>
    </row>
    <row r="6084" spans="8:8" x14ac:dyDescent="0.3">
      <c r="H6084" t="str">
        <f t="shared" si="144"/>
        <v/>
      </c>
    </row>
    <row r="6085" spans="8:8" x14ac:dyDescent="0.3">
      <c r="H6085" t="str">
        <f t="shared" si="144"/>
        <v/>
      </c>
    </row>
    <row r="6086" spans="8:8" x14ac:dyDescent="0.3">
      <c r="H6086" t="str">
        <f t="shared" si="144"/>
        <v/>
      </c>
    </row>
    <row r="6087" spans="8:8" x14ac:dyDescent="0.3">
      <c r="H6087" t="str">
        <f t="shared" si="144"/>
        <v/>
      </c>
    </row>
    <row r="6088" spans="8:8" x14ac:dyDescent="0.3">
      <c r="H6088" t="str">
        <f t="shared" si="144"/>
        <v/>
      </c>
    </row>
    <row r="6089" spans="8:8" x14ac:dyDescent="0.3">
      <c r="H6089" t="str">
        <f t="shared" si="144"/>
        <v/>
      </c>
    </row>
    <row r="6090" spans="8:8" x14ac:dyDescent="0.3">
      <c r="H6090" t="str">
        <f t="shared" si="144"/>
        <v/>
      </c>
    </row>
    <row r="6091" spans="8:8" x14ac:dyDescent="0.3">
      <c r="H6091" t="str">
        <f t="shared" si="144"/>
        <v/>
      </c>
    </row>
    <row r="6092" spans="8:8" x14ac:dyDescent="0.3">
      <c r="H6092" t="str">
        <f t="shared" si="144"/>
        <v/>
      </c>
    </row>
    <row r="6093" spans="8:8" x14ac:dyDescent="0.3">
      <c r="H6093" t="str">
        <f t="shared" si="144"/>
        <v/>
      </c>
    </row>
    <row r="6094" spans="8:8" x14ac:dyDescent="0.3">
      <c r="H6094" t="str">
        <f t="shared" si="144"/>
        <v/>
      </c>
    </row>
    <row r="6095" spans="8:8" x14ac:dyDescent="0.3">
      <c r="H6095" t="str">
        <f t="shared" si="144"/>
        <v/>
      </c>
    </row>
    <row r="6096" spans="8:8" x14ac:dyDescent="0.3">
      <c r="H6096" t="str">
        <f t="shared" si="144"/>
        <v/>
      </c>
    </row>
    <row r="6097" spans="8:8" x14ac:dyDescent="0.3">
      <c r="H6097" t="str">
        <f t="shared" si="144"/>
        <v/>
      </c>
    </row>
    <row r="6098" spans="8:8" x14ac:dyDescent="0.3">
      <c r="H6098" t="str">
        <f t="shared" si="144"/>
        <v/>
      </c>
    </row>
    <row r="6099" spans="8:8" x14ac:dyDescent="0.3">
      <c r="H6099" t="str">
        <f t="shared" si="144"/>
        <v/>
      </c>
    </row>
    <row r="6100" spans="8:8" x14ac:dyDescent="0.3">
      <c r="H6100" t="str">
        <f t="shared" si="144"/>
        <v/>
      </c>
    </row>
    <row r="6101" spans="8:8" x14ac:dyDescent="0.3">
      <c r="H6101" t="str">
        <f t="shared" si="144"/>
        <v/>
      </c>
    </row>
    <row r="6102" spans="8:8" x14ac:dyDescent="0.3">
      <c r="H6102" t="str">
        <f t="shared" si="144"/>
        <v/>
      </c>
    </row>
    <row r="6103" spans="8:8" x14ac:dyDescent="0.3">
      <c r="H6103" t="str">
        <f t="shared" ref="H6103:H6166" si="145">IF(B6103="","",$C$12)</f>
        <v/>
      </c>
    </row>
    <row r="6104" spans="8:8" x14ac:dyDescent="0.3">
      <c r="H6104" t="str">
        <f t="shared" si="145"/>
        <v/>
      </c>
    </row>
    <row r="6105" spans="8:8" x14ac:dyDescent="0.3">
      <c r="H6105" t="str">
        <f t="shared" si="145"/>
        <v/>
      </c>
    </row>
    <row r="6106" spans="8:8" x14ac:dyDescent="0.3">
      <c r="H6106" t="str">
        <f t="shared" si="145"/>
        <v/>
      </c>
    </row>
    <row r="6107" spans="8:8" x14ac:dyDescent="0.3">
      <c r="H6107" t="str">
        <f t="shared" si="145"/>
        <v/>
      </c>
    </row>
    <row r="6108" spans="8:8" x14ac:dyDescent="0.3">
      <c r="H6108" t="str">
        <f t="shared" si="145"/>
        <v/>
      </c>
    </row>
    <row r="6109" spans="8:8" x14ac:dyDescent="0.3">
      <c r="H6109" t="str">
        <f t="shared" si="145"/>
        <v/>
      </c>
    </row>
    <row r="6110" spans="8:8" x14ac:dyDescent="0.3">
      <c r="H6110" t="str">
        <f t="shared" si="145"/>
        <v/>
      </c>
    </row>
    <row r="6111" spans="8:8" x14ac:dyDescent="0.3">
      <c r="H6111" t="str">
        <f t="shared" si="145"/>
        <v/>
      </c>
    </row>
    <row r="6112" spans="8:8" x14ac:dyDescent="0.3">
      <c r="H6112" t="str">
        <f t="shared" si="145"/>
        <v/>
      </c>
    </row>
    <row r="6113" spans="8:8" x14ac:dyDescent="0.3">
      <c r="H6113" t="str">
        <f t="shared" si="145"/>
        <v/>
      </c>
    </row>
    <row r="6114" spans="8:8" x14ac:dyDescent="0.3">
      <c r="H6114" t="str">
        <f t="shared" si="145"/>
        <v/>
      </c>
    </row>
    <row r="6115" spans="8:8" x14ac:dyDescent="0.3">
      <c r="H6115" t="str">
        <f t="shared" si="145"/>
        <v/>
      </c>
    </row>
    <row r="6116" spans="8:8" x14ac:dyDescent="0.3">
      <c r="H6116" t="str">
        <f t="shared" si="145"/>
        <v/>
      </c>
    </row>
    <row r="6117" spans="8:8" x14ac:dyDescent="0.3">
      <c r="H6117" t="str">
        <f t="shared" si="145"/>
        <v/>
      </c>
    </row>
    <row r="6118" spans="8:8" x14ac:dyDescent="0.3">
      <c r="H6118" t="str">
        <f t="shared" si="145"/>
        <v/>
      </c>
    </row>
    <row r="6119" spans="8:8" x14ac:dyDescent="0.3">
      <c r="H6119" t="str">
        <f t="shared" si="145"/>
        <v/>
      </c>
    </row>
    <row r="6120" spans="8:8" x14ac:dyDescent="0.3">
      <c r="H6120" t="str">
        <f t="shared" si="145"/>
        <v/>
      </c>
    </row>
    <row r="6121" spans="8:8" x14ac:dyDescent="0.3">
      <c r="H6121" t="str">
        <f t="shared" si="145"/>
        <v/>
      </c>
    </row>
    <row r="6122" spans="8:8" x14ac:dyDescent="0.3">
      <c r="H6122" t="str">
        <f t="shared" si="145"/>
        <v/>
      </c>
    </row>
    <row r="6123" spans="8:8" x14ac:dyDescent="0.3">
      <c r="H6123" t="str">
        <f t="shared" si="145"/>
        <v/>
      </c>
    </row>
    <row r="6124" spans="8:8" x14ac:dyDescent="0.3">
      <c r="H6124" t="str">
        <f t="shared" si="145"/>
        <v/>
      </c>
    </row>
    <row r="6125" spans="8:8" x14ac:dyDescent="0.3">
      <c r="H6125" t="str">
        <f t="shared" si="145"/>
        <v/>
      </c>
    </row>
    <row r="6126" spans="8:8" x14ac:dyDescent="0.3">
      <c r="H6126" t="str">
        <f t="shared" si="145"/>
        <v/>
      </c>
    </row>
    <row r="6127" spans="8:8" x14ac:dyDescent="0.3">
      <c r="H6127" t="str">
        <f t="shared" si="145"/>
        <v/>
      </c>
    </row>
    <row r="6128" spans="8:8" x14ac:dyDescent="0.3">
      <c r="H6128" t="str">
        <f t="shared" si="145"/>
        <v/>
      </c>
    </row>
    <row r="6129" spans="8:8" x14ac:dyDescent="0.3">
      <c r="H6129" t="str">
        <f t="shared" si="145"/>
        <v/>
      </c>
    </row>
    <row r="6130" spans="8:8" x14ac:dyDescent="0.3">
      <c r="H6130" t="str">
        <f t="shared" si="145"/>
        <v/>
      </c>
    </row>
    <row r="6131" spans="8:8" x14ac:dyDescent="0.3">
      <c r="H6131" t="str">
        <f t="shared" si="145"/>
        <v/>
      </c>
    </row>
    <row r="6132" spans="8:8" x14ac:dyDescent="0.3">
      <c r="H6132" t="str">
        <f t="shared" si="145"/>
        <v/>
      </c>
    </row>
    <row r="6133" spans="8:8" x14ac:dyDescent="0.3">
      <c r="H6133" t="str">
        <f t="shared" si="145"/>
        <v/>
      </c>
    </row>
    <row r="6134" spans="8:8" x14ac:dyDescent="0.3">
      <c r="H6134" t="str">
        <f t="shared" si="145"/>
        <v/>
      </c>
    </row>
    <row r="6135" spans="8:8" x14ac:dyDescent="0.3">
      <c r="H6135" t="str">
        <f t="shared" si="145"/>
        <v/>
      </c>
    </row>
    <row r="6136" spans="8:8" x14ac:dyDescent="0.3">
      <c r="H6136" t="str">
        <f t="shared" si="145"/>
        <v/>
      </c>
    </row>
    <row r="6137" spans="8:8" x14ac:dyDescent="0.3">
      <c r="H6137" t="str">
        <f t="shared" si="145"/>
        <v/>
      </c>
    </row>
    <row r="6138" spans="8:8" x14ac:dyDescent="0.3">
      <c r="H6138" t="str">
        <f t="shared" si="145"/>
        <v/>
      </c>
    </row>
    <row r="6139" spans="8:8" x14ac:dyDescent="0.3">
      <c r="H6139" t="str">
        <f t="shared" si="145"/>
        <v/>
      </c>
    </row>
    <row r="6140" spans="8:8" x14ac:dyDescent="0.3">
      <c r="H6140" t="str">
        <f t="shared" si="145"/>
        <v/>
      </c>
    </row>
    <row r="6141" spans="8:8" x14ac:dyDescent="0.3">
      <c r="H6141" t="str">
        <f t="shared" si="145"/>
        <v/>
      </c>
    </row>
    <row r="6142" spans="8:8" x14ac:dyDescent="0.3">
      <c r="H6142" t="str">
        <f t="shared" si="145"/>
        <v/>
      </c>
    </row>
    <row r="6143" spans="8:8" x14ac:dyDescent="0.3">
      <c r="H6143" t="str">
        <f t="shared" si="145"/>
        <v/>
      </c>
    </row>
    <row r="6144" spans="8:8" x14ac:dyDescent="0.3">
      <c r="H6144" t="str">
        <f t="shared" si="145"/>
        <v/>
      </c>
    </row>
    <row r="6145" spans="8:8" x14ac:dyDescent="0.3">
      <c r="H6145" t="str">
        <f t="shared" si="145"/>
        <v/>
      </c>
    </row>
    <row r="6146" spans="8:8" x14ac:dyDescent="0.3">
      <c r="H6146" t="str">
        <f t="shared" si="145"/>
        <v/>
      </c>
    </row>
    <row r="6147" spans="8:8" x14ac:dyDescent="0.3">
      <c r="H6147" t="str">
        <f t="shared" si="145"/>
        <v/>
      </c>
    </row>
    <row r="6148" spans="8:8" x14ac:dyDescent="0.3">
      <c r="H6148" t="str">
        <f t="shared" si="145"/>
        <v/>
      </c>
    </row>
    <row r="6149" spans="8:8" x14ac:dyDescent="0.3">
      <c r="H6149" t="str">
        <f t="shared" si="145"/>
        <v/>
      </c>
    </row>
    <row r="6150" spans="8:8" x14ac:dyDescent="0.3">
      <c r="H6150" t="str">
        <f t="shared" si="145"/>
        <v/>
      </c>
    </row>
    <row r="6151" spans="8:8" x14ac:dyDescent="0.3">
      <c r="H6151" t="str">
        <f t="shared" si="145"/>
        <v/>
      </c>
    </row>
    <row r="6152" spans="8:8" x14ac:dyDescent="0.3">
      <c r="H6152" t="str">
        <f t="shared" si="145"/>
        <v/>
      </c>
    </row>
    <row r="6153" spans="8:8" x14ac:dyDescent="0.3">
      <c r="H6153" t="str">
        <f t="shared" si="145"/>
        <v/>
      </c>
    </row>
    <row r="6154" spans="8:8" x14ac:dyDescent="0.3">
      <c r="H6154" t="str">
        <f t="shared" si="145"/>
        <v/>
      </c>
    </row>
    <row r="6155" spans="8:8" x14ac:dyDescent="0.3">
      <c r="H6155" t="str">
        <f t="shared" si="145"/>
        <v/>
      </c>
    </row>
    <row r="6156" spans="8:8" x14ac:dyDescent="0.3">
      <c r="H6156" t="str">
        <f t="shared" si="145"/>
        <v/>
      </c>
    </row>
    <row r="6157" spans="8:8" x14ac:dyDescent="0.3">
      <c r="H6157" t="str">
        <f t="shared" si="145"/>
        <v/>
      </c>
    </row>
    <row r="6158" spans="8:8" x14ac:dyDescent="0.3">
      <c r="H6158" t="str">
        <f t="shared" si="145"/>
        <v/>
      </c>
    </row>
    <row r="6159" spans="8:8" x14ac:dyDescent="0.3">
      <c r="H6159" t="str">
        <f t="shared" si="145"/>
        <v/>
      </c>
    </row>
    <row r="6160" spans="8:8" x14ac:dyDescent="0.3">
      <c r="H6160" t="str">
        <f t="shared" si="145"/>
        <v/>
      </c>
    </row>
    <row r="6161" spans="8:8" x14ac:dyDescent="0.3">
      <c r="H6161" t="str">
        <f t="shared" si="145"/>
        <v/>
      </c>
    </row>
    <row r="6162" spans="8:8" x14ac:dyDescent="0.3">
      <c r="H6162" t="str">
        <f t="shared" si="145"/>
        <v/>
      </c>
    </row>
    <row r="6163" spans="8:8" x14ac:dyDescent="0.3">
      <c r="H6163" t="str">
        <f t="shared" si="145"/>
        <v/>
      </c>
    </row>
    <row r="6164" spans="8:8" x14ac:dyDescent="0.3">
      <c r="H6164" t="str">
        <f t="shared" si="145"/>
        <v/>
      </c>
    </row>
    <row r="6165" spans="8:8" x14ac:dyDescent="0.3">
      <c r="H6165" t="str">
        <f t="shared" si="145"/>
        <v/>
      </c>
    </row>
    <row r="6166" spans="8:8" x14ac:dyDescent="0.3">
      <c r="H6166" t="str">
        <f t="shared" si="145"/>
        <v/>
      </c>
    </row>
    <row r="6167" spans="8:8" x14ac:dyDescent="0.3">
      <c r="H6167" t="str">
        <f t="shared" ref="H6167:H6230" si="146">IF(B6167="","",$C$12)</f>
        <v/>
      </c>
    </row>
    <row r="6168" spans="8:8" x14ac:dyDescent="0.3">
      <c r="H6168" t="str">
        <f t="shared" si="146"/>
        <v/>
      </c>
    </row>
    <row r="6169" spans="8:8" x14ac:dyDescent="0.3">
      <c r="H6169" t="str">
        <f t="shared" si="146"/>
        <v/>
      </c>
    </row>
    <row r="6170" spans="8:8" x14ac:dyDescent="0.3">
      <c r="H6170" t="str">
        <f t="shared" si="146"/>
        <v/>
      </c>
    </row>
    <row r="6171" spans="8:8" x14ac:dyDescent="0.3">
      <c r="H6171" t="str">
        <f t="shared" si="146"/>
        <v/>
      </c>
    </row>
    <row r="6172" spans="8:8" x14ac:dyDescent="0.3">
      <c r="H6172" t="str">
        <f t="shared" si="146"/>
        <v/>
      </c>
    </row>
    <row r="6173" spans="8:8" x14ac:dyDescent="0.3">
      <c r="H6173" t="str">
        <f t="shared" si="146"/>
        <v/>
      </c>
    </row>
    <row r="6174" spans="8:8" x14ac:dyDescent="0.3">
      <c r="H6174" t="str">
        <f t="shared" si="146"/>
        <v/>
      </c>
    </row>
    <row r="6175" spans="8:8" x14ac:dyDescent="0.3">
      <c r="H6175" t="str">
        <f t="shared" si="146"/>
        <v/>
      </c>
    </row>
    <row r="6176" spans="8:8" x14ac:dyDescent="0.3">
      <c r="H6176" t="str">
        <f t="shared" si="146"/>
        <v/>
      </c>
    </row>
    <row r="6177" spans="8:8" x14ac:dyDescent="0.3">
      <c r="H6177" t="str">
        <f t="shared" si="146"/>
        <v/>
      </c>
    </row>
    <row r="6178" spans="8:8" x14ac:dyDescent="0.3">
      <c r="H6178" t="str">
        <f t="shared" si="146"/>
        <v/>
      </c>
    </row>
    <row r="6179" spans="8:8" x14ac:dyDescent="0.3">
      <c r="H6179" t="str">
        <f t="shared" si="146"/>
        <v/>
      </c>
    </row>
    <row r="6180" spans="8:8" x14ac:dyDescent="0.3">
      <c r="H6180" t="str">
        <f t="shared" si="146"/>
        <v/>
      </c>
    </row>
    <row r="6181" spans="8:8" x14ac:dyDescent="0.3">
      <c r="H6181" t="str">
        <f t="shared" si="146"/>
        <v/>
      </c>
    </row>
    <row r="6182" spans="8:8" x14ac:dyDescent="0.3">
      <c r="H6182" t="str">
        <f t="shared" si="146"/>
        <v/>
      </c>
    </row>
    <row r="6183" spans="8:8" x14ac:dyDescent="0.3">
      <c r="H6183" t="str">
        <f t="shared" si="146"/>
        <v/>
      </c>
    </row>
    <row r="6184" spans="8:8" x14ac:dyDescent="0.3">
      <c r="H6184" t="str">
        <f t="shared" si="146"/>
        <v/>
      </c>
    </row>
    <row r="6185" spans="8:8" x14ac:dyDescent="0.3">
      <c r="H6185" t="str">
        <f t="shared" si="146"/>
        <v/>
      </c>
    </row>
    <row r="6186" spans="8:8" x14ac:dyDescent="0.3">
      <c r="H6186" t="str">
        <f t="shared" si="146"/>
        <v/>
      </c>
    </row>
    <row r="6187" spans="8:8" x14ac:dyDescent="0.3">
      <c r="H6187" t="str">
        <f t="shared" si="146"/>
        <v/>
      </c>
    </row>
    <row r="6188" spans="8:8" x14ac:dyDescent="0.3">
      <c r="H6188" t="str">
        <f t="shared" si="146"/>
        <v/>
      </c>
    </row>
    <row r="6189" spans="8:8" x14ac:dyDescent="0.3">
      <c r="H6189" t="str">
        <f t="shared" si="146"/>
        <v/>
      </c>
    </row>
    <row r="6190" spans="8:8" x14ac:dyDescent="0.3">
      <c r="H6190" t="str">
        <f t="shared" si="146"/>
        <v/>
      </c>
    </row>
    <row r="6191" spans="8:8" x14ac:dyDescent="0.3">
      <c r="H6191" t="str">
        <f t="shared" si="146"/>
        <v/>
      </c>
    </row>
    <row r="6192" spans="8:8" x14ac:dyDescent="0.3">
      <c r="H6192" t="str">
        <f t="shared" si="146"/>
        <v/>
      </c>
    </row>
    <row r="6193" spans="8:8" x14ac:dyDescent="0.3">
      <c r="H6193" t="str">
        <f t="shared" si="146"/>
        <v/>
      </c>
    </row>
    <row r="6194" spans="8:8" x14ac:dyDescent="0.3">
      <c r="H6194" t="str">
        <f t="shared" si="146"/>
        <v/>
      </c>
    </row>
    <row r="6195" spans="8:8" x14ac:dyDescent="0.3">
      <c r="H6195" t="str">
        <f t="shared" si="146"/>
        <v/>
      </c>
    </row>
    <row r="6196" spans="8:8" x14ac:dyDescent="0.3">
      <c r="H6196" t="str">
        <f t="shared" si="146"/>
        <v/>
      </c>
    </row>
    <row r="6197" spans="8:8" x14ac:dyDescent="0.3">
      <c r="H6197" t="str">
        <f t="shared" si="146"/>
        <v/>
      </c>
    </row>
    <row r="6198" spans="8:8" x14ac:dyDescent="0.3">
      <c r="H6198" t="str">
        <f t="shared" si="146"/>
        <v/>
      </c>
    </row>
    <row r="6199" spans="8:8" x14ac:dyDescent="0.3">
      <c r="H6199" t="str">
        <f t="shared" si="146"/>
        <v/>
      </c>
    </row>
    <row r="6200" spans="8:8" x14ac:dyDescent="0.3">
      <c r="H6200" t="str">
        <f t="shared" si="146"/>
        <v/>
      </c>
    </row>
    <row r="6201" spans="8:8" x14ac:dyDescent="0.3">
      <c r="H6201" t="str">
        <f t="shared" si="146"/>
        <v/>
      </c>
    </row>
    <row r="6202" spans="8:8" x14ac:dyDescent="0.3">
      <c r="H6202" t="str">
        <f t="shared" si="146"/>
        <v/>
      </c>
    </row>
    <row r="6203" spans="8:8" x14ac:dyDescent="0.3">
      <c r="H6203" t="str">
        <f t="shared" si="146"/>
        <v/>
      </c>
    </row>
    <row r="6204" spans="8:8" x14ac:dyDescent="0.3">
      <c r="H6204" t="str">
        <f t="shared" si="146"/>
        <v/>
      </c>
    </row>
    <row r="6205" spans="8:8" x14ac:dyDescent="0.3">
      <c r="H6205" t="str">
        <f t="shared" si="146"/>
        <v/>
      </c>
    </row>
    <row r="6206" spans="8:8" x14ac:dyDescent="0.3">
      <c r="H6206" t="str">
        <f t="shared" si="146"/>
        <v/>
      </c>
    </row>
    <row r="6207" spans="8:8" x14ac:dyDescent="0.3">
      <c r="H6207" t="str">
        <f t="shared" si="146"/>
        <v/>
      </c>
    </row>
    <row r="6208" spans="8:8" x14ac:dyDescent="0.3">
      <c r="H6208" t="str">
        <f t="shared" si="146"/>
        <v/>
      </c>
    </row>
    <row r="6209" spans="8:8" x14ac:dyDescent="0.3">
      <c r="H6209" t="str">
        <f t="shared" si="146"/>
        <v/>
      </c>
    </row>
    <row r="6210" spans="8:8" x14ac:dyDescent="0.3">
      <c r="H6210" t="str">
        <f t="shared" si="146"/>
        <v/>
      </c>
    </row>
    <row r="6211" spans="8:8" x14ac:dyDescent="0.3">
      <c r="H6211" t="str">
        <f t="shared" si="146"/>
        <v/>
      </c>
    </row>
    <row r="6212" spans="8:8" x14ac:dyDescent="0.3">
      <c r="H6212" t="str">
        <f t="shared" si="146"/>
        <v/>
      </c>
    </row>
    <row r="6213" spans="8:8" x14ac:dyDescent="0.3">
      <c r="H6213" t="str">
        <f t="shared" si="146"/>
        <v/>
      </c>
    </row>
    <row r="6214" spans="8:8" x14ac:dyDescent="0.3">
      <c r="H6214" t="str">
        <f t="shared" si="146"/>
        <v/>
      </c>
    </row>
    <row r="6215" spans="8:8" x14ac:dyDescent="0.3">
      <c r="H6215" t="str">
        <f t="shared" si="146"/>
        <v/>
      </c>
    </row>
    <row r="6216" spans="8:8" x14ac:dyDescent="0.3">
      <c r="H6216" t="str">
        <f t="shared" si="146"/>
        <v/>
      </c>
    </row>
    <row r="6217" spans="8:8" x14ac:dyDescent="0.3">
      <c r="H6217" t="str">
        <f t="shared" si="146"/>
        <v/>
      </c>
    </row>
    <row r="6218" spans="8:8" x14ac:dyDescent="0.3">
      <c r="H6218" t="str">
        <f t="shared" si="146"/>
        <v/>
      </c>
    </row>
    <row r="6219" spans="8:8" x14ac:dyDescent="0.3">
      <c r="H6219" t="str">
        <f t="shared" si="146"/>
        <v/>
      </c>
    </row>
    <row r="6220" spans="8:8" x14ac:dyDescent="0.3">
      <c r="H6220" t="str">
        <f t="shared" si="146"/>
        <v/>
      </c>
    </row>
    <row r="6221" spans="8:8" x14ac:dyDescent="0.3">
      <c r="H6221" t="str">
        <f t="shared" si="146"/>
        <v/>
      </c>
    </row>
    <row r="6222" spans="8:8" x14ac:dyDescent="0.3">
      <c r="H6222" t="str">
        <f t="shared" si="146"/>
        <v/>
      </c>
    </row>
    <row r="6223" spans="8:8" x14ac:dyDescent="0.3">
      <c r="H6223" t="str">
        <f t="shared" si="146"/>
        <v/>
      </c>
    </row>
    <row r="6224" spans="8:8" x14ac:dyDescent="0.3">
      <c r="H6224" t="str">
        <f t="shared" si="146"/>
        <v/>
      </c>
    </row>
    <row r="6225" spans="8:8" x14ac:dyDescent="0.3">
      <c r="H6225" t="str">
        <f t="shared" si="146"/>
        <v/>
      </c>
    </row>
    <row r="6226" spans="8:8" x14ac:dyDescent="0.3">
      <c r="H6226" t="str">
        <f t="shared" si="146"/>
        <v/>
      </c>
    </row>
    <row r="6227" spans="8:8" x14ac:dyDescent="0.3">
      <c r="H6227" t="str">
        <f t="shared" si="146"/>
        <v/>
      </c>
    </row>
    <row r="6228" spans="8:8" x14ac:dyDescent="0.3">
      <c r="H6228" t="str">
        <f t="shared" si="146"/>
        <v/>
      </c>
    </row>
    <row r="6229" spans="8:8" x14ac:dyDescent="0.3">
      <c r="H6229" t="str">
        <f t="shared" si="146"/>
        <v/>
      </c>
    </row>
    <row r="6230" spans="8:8" x14ac:dyDescent="0.3">
      <c r="H6230" t="str">
        <f t="shared" si="146"/>
        <v/>
      </c>
    </row>
    <row r="6231" spans="8:8" x14ac:dyDescent="0.3">
      <c r="H6231" t="str">
        <f t="shared" ref="H6231:H6294" si="147">IF(B6231="","",$C$12)</f>
        <v/>
      </c>
    </row>
    <row r="6232" spans="8:8" x14ac:dyDescent="0.3">
      <c r="H6232" t="str">
        <f t="shared" si="147"/>
        <v/>
      </c>
    </row>
    <row r="6233" spans="8:8" x14ac:dyDescent="0.3">
      <c r="H6233" t="str">
        <f t="shared" si="147"/>
        <v/>
      </c>
    </row>
    <row r="6234" spans="8:8" x14ac:dyDescent="0.3">
      <c r="H6234" t="str">
        <f t="shared" si="147"/>
        <v/>
      </c>
    </row>
    <row r="6235" spans="8:8" x14ac:dyDescent="0.3">
      <c r="H6235" t="str">
        <f t="shared" si="147"/>
        <v/>
      </c>
    </row>
    <row r="6236" spans="8:8" x14ac:dyDescent="0.3">
      <c r="H6236" t="str">
        <f t="shared" si="147"/>
        <v/>
      </c>
    </row>
    <row r="6237" spans="8:8" x14ac:dyDescent="0.3">
      <c r="H6237" t="str">
        <f t="shared" si="147"/>
        <v/>
      </c>
    </row>
    <row r="6238" spans="8:8" x14ac:dyDescent="0.3">
      <c r="H6238" t="str">
        <f t="shared" si="147"/>
        <v/>
      </c>
    </row>
    <row r="6239" spans="8:8" x14ac:dyDescent="0.3">
      <c r="H6239" t="str">
        <f t="shared" si="147"/>
        <v/>
      </c>
    </row>
    <row r="6240" spans="8:8" x14ac:dyDescent="0.3">
      <c r="H6240" t="str">
        <f t="shared" si="147"/>
        <v/>
      </c>
    </row>
    <row r="6241" spans="8:8" x14ac:dyDescent="0.3">
      <c r="H6241" t="str">
        <f t="shared" si="147"/>
        <v/>
      </c>
    </row>
    <row r="6242" spans="8:8" x14ac:dyDescent="0.3">
      <c r="H6242" t="str">
        <f t="shared" si="147"/>
        <v/>
      </c>
    </row>
    <row r="6243" spans="8:8" x14ac:dyDescent="0.3">
      <c r="H6243" t="str">
        <f t="shared" si="147"/>
        <v/>
      </c>
    </row>
    <row r="6244" spans="8:8" x14ac:dyDescent="0.3">
      <c r="H6244" t="str">
        <f t="shared" si="147"/>
        <v/>
      </c>
    </row>
    <row r="6245" spans="8:8" x14ac:dyDescent="0.3">
      <c r="H6245" t="str">
        <f t="shared" si="147"/>
        <v/>
      </c>
    </row>
    <row r="6246" spans="8:8" x14ac:dyDescent="0.3">
      <c r="H6246" t="str">
        <f t="shared" si="147"/>
        <v/>
      </c>
    </row>
    <row r="6247" spans="8:8" x14ac:dyDescent="0.3">
      <c r="H6247" t="str">
        <f t="shared" si="147"/>
        <v/>
      </c>
    </row>
    <row r="6248" spans="8:8" x14ac:dyDescent="0.3">
      <c r="H6248" t="str">
        <f t="shared" si="147"/>
        <v/>
      </c>
    </row>
    <row r="6249" spans="8:8" x14ac:dyDescent="0.3">
      <c r="H6249" t="str">
        <f t="shared" si="147"/>
        <v/>
      </c>
    </row>
    <row r="6250" spans="8:8" x14ac:dyDescent="0.3">
      <c r="H6250" t="str">
        <f t="shared" si="147"/>
        <v/>
      </c>
    </row>
    <row r="6251" spans="8:8" x14ac:dyDescent="0.3">
      <c r="H6251" t="str">
        <f t="shared" si="147"/>
        <v/>
      </c>
    </row>
    <row r="6252" spans="8:8" x14ac:dyDescent="0.3">
      <c r="H6252" t="str">
        <f t="shared" si="147"/>
        <v/>
      </c>
    </row>
    <row r="6253" spans="8:8" x14ac:dyDescent="0.3">
      <c r="H6253" t="str">
        <f t="shared" si="147"/>
        <v/>
      </c>
    </row>
    <row r="6254" spans="8:8" x14ac:dyDescent="0.3">
      <c r="H6254" t="str">
        <f t="shared" si="147"/>
        <v/>
      </c>
    </row>
    <row r="6255" spans="8:8" x14ac:dyDescent="0.3">
      <c r="H6255" t="str">
        <f t="shared" si="147"/>
        <v/>
      </c>
    </row>
    <row r="6256" spans="8:8" x14ac:dyDescent="0.3">
      <c r="H6256" t="str">
        <f t="shared" si="147"/>
        <v/>
      </c>
    </row>
    <row r="6257" spans="8:8" x14ac:dyDescent="0.3">
      <c r="H6257" t="str">
        <f t="shared" si="147"/>
        <v/>
      </c>
    </row>
    <row r="6258" spans="8:8" x14ac:dyDescent="0.3">
      <c r="H6258" t="str">
        <f t="shared" si="147"/>
        <v/>
      </c>
    </row>
    <row r="6259" spans="8:8" x14ac:dyDescent="0.3">
      <c r="H6259" t="str">
        <f t="shared" si="147"/>
        <v/>
      </c>
    </row>
    <row r="6260" spans="8:8" x14ac:dyDescent="0.3">
      <c r="H6260" t="str">
        <f t="shared" si="147"/>
        <v/>
      </c>
    </row>
    <row r="6261" spans="8:8" x14ac:dyDescent="0.3">
      <c r="H6261" t="str">
        <f t="shared" si="147"/>
        <v/>
      </c>
    </row>
    <row r="6262" spans="8:8" x14ac:dyDescent="0.3">
      <c r="H6262" t="str">
        <f t="shared" si="147"/>
        <v/>
      </c>
    </row>
    <row r="6263" spans="8:8" x14ac:dyDescent="0.3">
      <c r="H6263" t="str">
        <f t="shared" si="147"/>
        <v/>
      </c>
    </row>
    <row r="6264" spans="8:8" x14ac:dyDescent="0.3">
      <c r="H6264" t="str">
        <f t="shared" si="147"/>
        <v/>
      </c>
    </row>
    <row r="6265" spans="8:8" x14ac:dyDescent="0.3">
      <c r="H6265" t="str">
        <f t="shared" si="147"/>
        <v/>
      </c>
    </row>
    <row r="6266" spans="8:8" x14ac:dyDescent="0.3">
      <c r="H6266" t="str">
        <f t="shared" si="147"/>
        <v/>
      </c>
    </row>
    <row r="6267" spans="8:8" x14ac:dyDescent="0.3">
      <c r="H6267" t="str">
        <f t="shared" si="147"/>
        <v/>
      </c>
    </row>
    <row r="6268" spans="8:8" x14ac:dyDescent="0.3">
      <c r="H6268" t="str">
        <f t="shared" si="147"/>
        <v/>
      </c>
    </row>
    <row r="6269" spans="8:8" x14ac:dyDescent="0.3">
      <c r="H6269" t="str">
        <f t="shared" si="147"/>
        <v/>
      </c>
    </row>
    <row r="6270" spans="8:8" x14ac:dyDescent="0.3">
      <c r="H6270" t="str">
        <f t="shared" si="147"/>
        <v/>
      </c>
    </row>
    <row r="6271" spans="8:8" x14ac:dyDescent="0.3">
      <c r="H6271" t="str">
        <f t="shared" si="147"/>
        <v/>
      </c>
    </row>
    <row r="6272" spans="8:8" x14ac:dyDescent="0.3">
      <c r="H6272" t="str">
        <f t="shared" si="147"/>
        <v/>
      </c>
    </row>
    <row r="6273" spans="8:8" x14ac:dyDescent="0.3">
      <c r="H6273" t="str">
        <f t="shared" si="147"/>
        <v/>
      </c>
    </row>
    <row r="6274" spans="8:8" x14ac:dyDescent="0.3">
      <c r="H6274" t="str">
        <f t="shared" si="147"/>
        <v/>
      </c>
    </row>
    <row r="6275" spans="8:8" x14ac:dyDescent="0.3">
      <c r="H6275" t="str">
        <f t="shared" si="147"/>
        <v/>
      </c>
    </row>
    <row r="6276" spans="8:8" x14ac:dyDescent="0.3">
      <c r="H6276" t="str">
        <f t="shared" si="147"/>
        <v/>
      </c>
    </row>
    <row r="6277" spans="8:8" x14ac:dyDescent="0.3">
      <c r="H6277" t="str">
        <f t="shared" si="147"/>
        <v/>
      </c>
    </row>
    <row r="6278" spans="8:8" x14ac:dyDescent="0.3">
      <c r="H6278" t="str">
        <f t="shared" si="147"/>
        <v/>
      </c>
    </row>
    <row r="6279" spans="8:8" x14ac:dyDescent="0.3">
      <c r="H6279" t="str">
        <f t="shared" si="147"/>
        <v/>
      </c>
    </row>
    <row r="6280" spans="8:8" x14ac:dyDescent="0.3">
      <c r="H6280" t="str">
        <f t="shared" si="147"/>
        <v/>
      </c>
    </row>
    <row r="6281" spans="8:8" x14ac:dyDescent="0.3">
      <c r="H6281" t="str">
        <f t="shared" si="147"/>
        <v/>
      </c>
    </row>
    <row r="6282" spans="8:8" x14ac:dyDescent="0.3">
      <c r="H6282" t="str">
        <f t="shared" si="147"/>
        <v/>
      </c>
    </row>
    <row r="6283" spans="8:8" x14ac:dyDescent="0.3">
      <c r="H6283" t="str">
        <f t="shared" si="147"/>
        <v/>
      </c>
    </row>
    <row r="6284" spans="8:8" x14ac:dyDescent="0.3">
      <c r="H6284" t="str">
        <f t="shared" si="147"/>
        <v/>
      </c>
    </row>
    <row r="6285" spans="8:8" x14ac:dyDescent="0.3">
      <c r="H6285" t="str">
        <f t="shared" si="147"/>
        <v/>
      </c>
    </row>
    <row r="6286" spans="8:8" x14ac:dyDescent="0.3">
      <c r="H6286" t="str">
        <f t="shared" si="147"/>
        <v/>
      </c>
    </row>
    <row r="6287" spans="8:8" x14ac:dyDescent="0.3">
      <c r="H6287" t="str">
        <f t="shared" si="147"/>
        <v/>
      </c>
    </row>
    <row r="6288" spans="8:8" x14ac:dyDescent="0.3">
      <c r="H6288" t="str">
        <f t="shared" si="147"/>
        <v/>
      </c>
    </row>
    <row r="6289" spans="8:8" x14ac:dyDescent="0.3">
      <c r="H6289" t="str">
        <f t="shared" si="147"/>
        <v/>
      </c>
    </row>
    <row r="6290" spans="8:8" x14ac:dyDescent="0.3">
      <c r="H6290" t="str">
        <f t="shared" si="147"/>
        <v/>
      </c>
    </row>
    <row r="6291" spans="8:8" x14ac:dyDescent="0.3">
      <c r="H6291" t="str">
        <f t="shared" si="147"/>
        <v/>
      </c>
    </row>
    <row r="6292" spans="8:8" x14ac:dyDescent="0.3">
      <c r="H6292" t="str">
        <f t="shared" si="147"/>
        <v/>
      </c>
    </row>
    <row r="6293" spans="8:8" x14ac:dyDescent="0.3">
      <c r="H6293" t="str">
        <f t="shared" si="147"/>
        <v/>
      </c>
    </row>
    <row r="6294" spans="8:8" x14ac:dyDescent="0.3">
      <c r="H6294" t="str">
        <f t="shared" si="147"/>
        <v/>
      </c>
    </row>
    <row r="6295" spans="8:8" x14ac:dyDescent="0.3">
      <c r="H6295" t="str">
        <f t="shared" ref="H6295:H6358" si="148">IF(B6295="","",$C$12)</f>
        <v/>
      </c>
    </row>
    <row r="6296" spans="8:8" x14ac:dyDescent="0.3">
      <c r="H6296" t="str">
        <f t="shared" si="148"/>
        <v/>
      </c>
    </row>
    <row r="6297" spans="8:8" x14ac:dyDescent="0.3">
      <c r="H6297" t="str">
        <f t="shared" si="148"/>
        <v/>
      </c>
    </row>
    <row r="6298" spans="8:8" x14ac:dyDescent="0.3">
      <c r="H6298" t="str">
        <f t="shared" si="148"/>
        <v/>
      </c>
    </row>
    <row r="6299" spans="8:8" x14ac:dyDescent="0.3">
      <c r="H6299" t="str">
        <f t="shared" si="148"/>
        <v/>
      </c>
    </row>
    <row r="6300" spans="8:8" x14ac:dyDescent="0.3">
      <c r="H6300" t="str">
        <f t="shared" si="148"/>
        <v/>
      </c>
    </row>
    <row r="6301" spans="8:8" x14ac:dyDescent="0.3">
      <c r="H6301" t="str">
        <f t="shared" si="148"/>
        <v/>
      </c>
    </row>
    <row r="6302" spans="8:8" x14ac:dyDescent="0.3">
      <c r="H6302" t="str">
        <f t="shared" si="148"/>
        <v/>
      </c>
    </row>
    <row r="6303" spans="8:8" x14ac:dyDescent="0.3">
      <c r="H6303" t="str">
        <f t="shared" si="148"/>
        <v/>
      </c>
    </row>
    <row r="6304" spans="8:8" x14ac:dyDescent="0.3">
      <c r="H6304" t="str">
        <f t="shared" si="148"/>
        <v/>
      </c>
    </row>
    <row r="6305" spans="8:8" x14ac:dyDescent="0.3">
      <c r="H6305" t="str">
        <f t="shared" si="148"/>
        <v/>
      </c>
    </row>
    <row r="6306" spans="8:8" x14ac:dyDescent="0.3">
      <c r="H6306" t="str">
        <f t="shared" si="148"/>
        <v/>
      </c>
    </row>
    <row r="6307" spans="8:8" x14ac:dyDescent="0.3">
      <c r="H6307" t="str">
        <f t="shared" si="148"/>
        <v/>
      </c>
    </row>
    <row r="6308" spans="8:8" x14ac:dyDescent="0.3">
      <c r="H6308" t="str">
        <f t="shared" si="148"/>
        <v/>
      </c>
    </row>
    <row r="6309" spans="8:8" x14ac:dyDescent="0.3">
      <c r="H6309" t="str">
        <f t="shared" si="148"/>
        <v/>
      </c>
    </row>
    <row r="6310" spans="8:8" x14ac:dyDescent="0.3">
      <c r="H6310" t="str">
        <f t="shared" si="148"/>
        <v/>
      </c>
    </row>
    <row r="6311" spans="8:8" x14ac:dyDescent="0.3">
      <c r="H6311" t="str">
        <f t="shared" si="148"/>
        <v/>
      </c>
    </row>
    <row r="6312" spans="8:8" x14ac:dyDescent="0.3">
      <c r="H6312" t="str">
        <f t="shared" si="148"/>
        <v/>
      </c>
    </row>
    <row r="6313" spans="8:8" x14ac:dyDescent="0.3">
      <c r="H6313" t="str">
        <f t="shared" si="148"/>
        <v/>
      </c>
    </row>
    <row r="6314" spans="8:8" x14ac:dyDescent="0.3">
      <c r="H6314" t="str">
        <f t="shared" si="148"/>
        <v/>
      </c>
    </row>
    <row r="6315" spans="8:8" x14ac:dyDescent="0.3">
      <c r="H6315" t="str">
        <f t="shared" si="148"/>
        <v/>
      </c>
    </row>
    <row r="6316" spans="8:8" x14ac:dyDescent="0.3">
      <c r="H6316" t="str">
        <f t="shared" si="148"/>
        <v/>
      </c>
    </row>
    <row r="6317" spans="8:8" x14ac:dyDescent="0.3">
      <c r="H6317" t="str">
        <f t="shared" si="148"/>
        <v/>
      </c>
    </row>
    <row r="6318" spans="8:8" x14ac:dyDescent="0.3">
      <c r="H6318" t="str">
        <f t="shared" si="148"/>
        <v/>
      </c>
    </row>
    <row r="6319" spans="8:8" x14ac:dyDescent="0.3">
      <c r="H6319" t="str">
        <f t="shared" si="148"/>
        <v/>
      </c>
    </row>
    <row r="6320" spans="8:8" x14ac:dyDescent="0.3">
      <c r="H6320" t="str">
        <f t="shared" si="148"/>
        <v/>
      </c>
    </row>
    <row r="6321" spans="8:8" x14ac:dyDescent="0.3">
      <c r="H6321" t="str">
        <f t="shared" si="148"/>
        <v/>
      </c>
    </row>
    <row r="6322" spans="8:8" x14ac:dyDescent="0.3">
      <c r="H6322" t="str">
        <f t="shared" si="148"/>
        <v/>
      </c>
    </row>
    <row r="6323" spans="8:8" x14ac:dyDescent="0.3">
      <c r="H6323" t="str">
        <f t="shared" si="148"/>
        <v/>
      </c>
    </row>
    <row r="6324" spans="8:8" x14ac:dyDescent="0.3">
      <c r="H6324" t="str">
        <f t="shared" si="148"/>
        <v/>
      </c>
    </row>
    <row r="6325" spans="8:8" x14ac:dyDescent="0.3">
      <c r="H6325" t="str">
        <f t="shared" si="148"/>
        <v/>
      </c>
    </row>
    <row r="6326" spans="8:8" x14ac:dyDescent="0.3">
      <c r="H6326" t="str">
        <f t="shared" si="148"/>
        <v/>
      </c>
    </row>
    <row r="6327" spans="8:8" x14ac:dyDescent="0.3">
      <c r="H6327" t="str">
        <f t="shared" si="148"/>
        <v/>
      </c>
    </row>
    <row r="6328" spans="8:8" x14ac:dyDescent="0.3">
      <c r="H6328" t="str">
        <f t="shared" si="148"/>
        <v/>
      </c>
    </row>
    <row r="6329" spans="8:8" x14ac:dyDescent="0.3">
      <c r="H6329" t="str">
        <f t="shared" si="148"/>
        <v/>
      </c>
    </row>
    <row r="6330" spans="8:8" x14ac:dyDescent="0.3">
      <c r="H6330" t="str">
        <f t="shared" si="148"/>
        <v/>
      </c>
    </row>
    <row r="6331" spans="8:8" x14ac:dyDescent="0.3">
      <c r="H6331" t="str">
        <f t="shared" si="148"/>
        <v/>
      </c>
    </row>
    <row r="6332" spans="8:8" x14ac:dyDescent="0.3">
      <c r="H6332" t="str">
        <f t="shared" si="148"/>
        <v/>
      </c>
    </row>
    <row r="6333" spans="8:8" x14ac:dyDescent="0.3">
      <c r="H6333" t="str">
        <f t="shared" si="148"/>
        <v/>
      </c>
    </row>
    <row r="6334" spans="8:8" x14ac:dyDescent="0.3">
      <c r="H6334" t="str">
        <f t="shared" si="148"/>
        <v/>
      </c>
    </row>
    <row r="6335" spans="8:8" x14ac:dyDescent="0.3">
      <c r="H6335" t="str">
        <f t="shared" si="148"/>
        <v/>
      </c>
    </row>
    <row r="6336" spans="8:8" x14ac:dyDescent="0.3">
      <c r="H6336" t="str">
        <f t="shared" si="148"/>
        <v/>
      </c>
    </row>
    <row r="6337" spans="8:8" x14ac:dyDescent="0.3">
      <c r="H6337" t="str">
        <f t="shared" si="148"/>
        <v/>
      </c>
    </row>
    <row r="6338" spans="8:8" x14ac:dyDescent="0.3">
      <c r="H6338" t="str">
        <f t="shared" si="148"/>
        <v/>
      </c>
    </row>
    <row r="6339" spans="8:8" x14ac:dyDescent="0.3">
      <c r="H6339" t="str">
        <f t="shared" si="148"/>
        <v/>
      </c>
    </row>
    <row r="6340" spans="8:8" x14ac:dyDescent="0.3">
      <c r="H6340" t="str">
        <f t="shared" si="148"/>
        <v/>
      </c>
    </row>
    <row r="6341" spans="8:8" x14ac:dyDescent="0.3">
      <c r="H6341" t="str">
        <f t="shared" si="148"/>
        <v/>
      </c>
    </row>
    <row r="6342" spans="8:8" x14ac:dyDescent="0.3">
      <c r="H6342" t="str">
        <f t="shared" si="148"/>
        <v/>
      </c>
    </row>
    <row r="6343" spans="8:8" x14ac:dyDescent="0.3">
      <c r="H6343" t="str">
        <f t="shared" si="148"/>
        <v/>
      </c>
    </row>
    <row r="6344" spans="8:8" x14ac:dyDescent="0.3">
      <c r="H6344" t="str">
        <f t="shared" si="148"/>
        <v/>
      </c>
    </row>
    <row r="6345" spans="8:8" x14ac:dyDescent="0.3">
      <c r="H6345" t="str">
        <f t="shared" si="148"/>
        <v/>
      </c>
    </row>
    <row r="6346" spans="8:8" x14ac:dyDescent="0.3">
      <c r="H6346" t="str">
        <f t="shared" si="148"/>
        <v/>
      </c>
    </row>
    <row r="6347" spans="8:8" x14ac:dyDescent="0.3">
      <c r="H6347" t="str">
        <f t="shared" si="148"/>
        <v/>
      </c>
    </row>
    <row r="6348" spans="8:8" x14ac:dyDescent="0.3">
      <c r="H6348" t="str">
        <f t="shared" si="148"/>
        <v/>
      </c>
    </row>
    <row r="6349" spans="8:8" x14ac:dyDescent="0.3">
      <c r="H6349" t="str">
        <f t="shared" si="148"/>
        <v/>
      </c>
    </row>
    <row r="6350" spans="8:8" x14ac:dyDescent="0.3">
      <c r="H6350" t="str">
        <f t="shared" si="148"/>
        <v/>
      </c>
    </row>
    <row r="6351" spans="8:8" x14ac:dyDescent="0.3">
      <c r="H6351" t="str">
        <f t="shared" si="148"/>
        <v/>
      </c>
    </row>
    <row r="6352" spans="8:8" x14ac:dyDescent="0.3">
      <c r="H6352" t="str">
        <f t="shared" si="148"/>
        <v/>
      </c>
    </row>
    <row r="6353" spans="8:8" x14ac:dyDescent="0.3">
      <c r="H6353" t="str">
        <f t="shared" si="148"/>
        <v/>
      </c>
    </row>
    <row r="6354" spans="8:8" x14ac:dyDescent="0.3">
      <c r="H6354" t="str">
        <f t="shared" si="148"/>
        <v/>
      </c>
    </row>
    <row r="6355" spans="8:8" x14ac:dyDescent="0.3">
      <c r="H6355" t="str">
        <f t="shared" si="148"/>
        <v/>
      </c>
    </row>
    <row r="6356" spans="8:8" x14ac:dyDescent="0.3">
      <c r="H6356" t="str">
        <f t="shared" si="148"/>
        <v/>
      </c>
    </row>
    <row r="6357" spans="8:8" x14ac:dyDescent="0.3">
      <c r="H6357" t="str">
        <f t="shared" si="148"/>
        <v/>
      </c>
    </row>
    <row r="6358" spans="8:8" x14ac:dyDescent="0.3">
      <c r="H6358" t="str">
        <f t="shared" si="148"/>
        <v/>
      </c>
    </row>
    <row r="6359" spans="8:8" x14ac:dyDescent="0.3">
      <c r="H6359" t="str">
        <f t="shared" ref="H6359:H6422" si="149">IF(B6359="","",$C$12)</f>
        <v/>
      </c>
    </row>
    <row r="6360" spans="8:8" x14ac:dyDescent="0.3">
      <c r="H6360" t="str">
        <f t="shared" si="149"/>
        <v/>
      </c>
    </row>
    <row r="6361" spans="8:8" x14ac:dyDescent="0.3">
      <c r="H6361" t="str">
        <f t="shared" si="149"/>
        <v/>
      </c>
    </row>
    <row r="6362" spans="8:8" x14ac:dyDescent="0.3">
      <c r="H6362" t="str">
        <f t="shared" si="149"/>
        <v/>
      </c>
    </row>
    <row r="6363" spans="8:8" x14ac:dyDescent="0.3">
      <c r="H6363" t="str">
        <f t="shared" si="149"/>
        <v/>
      </c>
    </row>
    <row r="6364" spans="8:8" x14ac:dyDescent="0.3">
      <c r="H6364" t="str">
        <f t="shared" si="149"/>
        <v/>
      </c>
    </row>
    <row r="6365" spans="8:8" x14ac:dyDescent="0.3">
      <c r="H6365" t="str">
        <f t="shared" si="149"/>
        <v/>
      </c>
    </row>
    <row r="6366" spans="8:8" x14ac:dyDescent="0.3">
      <c r="H6366" t="str">
        <f t="shared" si="149"/>
        <v/>
      </c>
    </row>
    <row r="6367" spans="8:8" x14ac:dyDescent="0.3">
      <c r="H6367" t="str">
        <f t="shared" si="149"/>
        <v/>
      </c>
    </row>
    <row r="6368" spans="8:8" x14ac:dyDescent="0.3">
      <c r="H6368" t="str">
        <f t="shared" si="149"/>
        <v/>
      </c>
    </row>
    <row r="6369" spans="8:8" x14ac:dyDescent="0.3">
      <c r="H6369" t="str">
        <f t="shared" si="149"/>
        <v/>
      </c>
    </row>
    <row r="6370" spans="8:8" x14ac:dyDescent="0.3">
      <c r="H6370" t="str">
        <f t="shared" si="149"/>
        <v/>
      </c>
    </row>
    <row r="6371" spans="8:8" x14ac:dyDescent="0.3">
      <c r="H6371" t="str">
        <f t="shared" si="149"/>
        <v/>
      </c>
    </row>
    <row r="6372" spans="8:8" x14ac:dyDescent="0.3">
      <c r="H6372" t="str">
        <f t="shared" si="149"/>
        <v/>
      </c>
    </row>
    <row r="6373" spans="8:8" x14ac:dyDescent="0.3">
      <c r="H6373" t="str">
        <f t="shared" si="149"/>
        <v/>
      </c>
    </row>
    <row r="6374" spans="8:8" x14ac:dyDescent="0.3">
      <c r="H6374" t="str">
        <f t="shared" si="149"/>
        <v/>
      </c>
    </row>
    <row r="6375" spans="8:8" x14ac:dyDescent="0.3">
      <c r="H6375" t="str">
        <f t="shared" si="149"/>
        <v/>
      </c>
    </row>
    <row r="6376" spans="8:8" x14ac:dyDescent="0.3">
      <c r="H6376" t="str">
        <f t="shared" si="149"/>
        <v/>
      </c>
    </row>
    <row r="6377" spans="8:8" x14ac:dyDescent="0.3">
      <c r="H6377" t="str">
        <f t="shared" si="149"/>
        <v/>
      </c>
    </row>
    <row r="6378" spans="8:8" x14ac:dyDescent="0.3">
      <c r="H6378" t="str">
        <f t="shared" si="149"/>
        <v/>
      </c>
    </row>
    <row r="6379" spans="8:8" x14ac:dyDescent="0.3">
      <c r="H6379" t="str">
        <f t="shared" si="149"/>
        <v/>
      </c>
    </row>
    <row r="6380" spans="8:8" x14ac:dyDescent="0.3">
      <c r="H6380" t="str">
        <f t="shared" si="149"/>
        <v/>
      </c>
    </row>
    <row r="6381" spans="8:8" x14ac:dyDescent="0.3">
      <c r="H6381" t="str">
        <f t="shared" si="149"/>
        <v/>
      </c>
    </row>
    <row r="6382" spans="8:8" x14ac:dyDescent="0.3">
      <c r="H6382" t="str">
        <f t="shared" si="149"/>
        <v/>
      </c>
    </row>
    <row r="6383" spans="8:8" x14ac:dyDescent="0.3">
      <c r="H6383" t="str">
        <f t="shared" si="149"/>
        <v/>
      </c>
    </row>
    <row r="6384" spans="8:8" x14ac:dyDescent="0.3">
      <c r="H6384" t="str">
        <f t="shared" si="149"/>
        <v/>
      </c>
    </row>
    <row r="6385" spans="8:8" x14ac:dyDescent="0.3">
      <c r="H6385" t="str">
        <f t="shared" si="149"/>
        <v/>
      </c>
    </row>
    <row r="6386" spans="8:8" x14ac:dyDescent="0.3">
      <c r="H6386" t="str">
        <f t="shared" si="149"/>
        <v/>
      </c>
    </row>
    <row r="6387" spans="8:8" x14ac:dyDescent="0.3">
      <c r="H6387" t="str">
        <f t="shared" si="149"/>
        <v/>
      </c>
    </row>
    <row r="6388" spans="8:8" x14ac:dyDescent="0.3">
      <c r="H6388" t="str">
        <f t="shared" si="149"/>
        <v/>
      </c>
    </row>
    <row r="6389" spans="8:8" x14ac:dyDescent="0.3">
      <c r="H6389" t="str">
        <f t="shared" si="149"/>
        <v/>
      </c>
    </row>
    <row r="6390" spans="8:8" x14ac:dyDescent="0.3">
      <c r="H6390" t="str">
        <f t="shared" si="149"/>
        <v/>
      </c>
    </row>
    <row r="6391" spans="8:8" x14ac:dyDescent="0.3">
      <c r="H6391" t="str">
        <f t="shared" si="149"/>
        <v/>
      </c>
    </row>
    <row r="6392" spans="8:8" x14ac:dyDescent="0.3">
      <c r="H6392" t="str">
        <f t="shared" si="149"/>
        <v/>
      </c>
    </row>
    <row r="6393" spans="8:8" x14ac:dyDescent="0.3">
      <c r="H6393" t="str">
        <f t="shared" si="149"/>
        <v/>
      </c>
    </row>
    <row r="6394" spans="8:8" x14ac:dyDescent="0.3">
      <c r="H6394" t="str">
        <f t="shared" si="149"/>
        <v/>
      </c>
    </row>
    <row r="6395" spans="8:8" x14ac:dyDescent="0.3">
      <c r="H6395" t="str">
        <f t="shared" si="149"/>
        <v/>
      </c>
    </row>
    <row r="6396" spans="8:8" x14ac:dyDescent="0.3">
      <c r="H6396" t="str">
        <f t="shared" si="149"/>
        <v/>
      </c>
    </row>
    <row r="6397" spans="8:8" x14ac:dyDescent="0.3">
      <c r="H6397" t="str">
        <f t="shared" si="149"/>
        <v/>
      </c>
    </row>
    <row r="6398" spans="8:8" x14ac:dyDescent="0.3">
      <c r="H6398" t="str">
        <f t="shared" si="149"/>
        <v/>
      </c>
    </row>
    <row r="6399" spans="8:8" x14ac:dyDescent="0.3">
      <c r="H6399" t="str">
        <f t="shared" si="149"/>
        <v/>
      </c>
    </row>
    <row r="6400" spans="8:8" x14ac:dyDescent="0.3">
      <c r="H6400" t="str">
        <f t="shared" si="149"/>
        <v/>
      </c>
    </row>
    <row r="6401" spans="8:8" x14ac:dyDescent="0.3">
      <c r="H6401" t="str">
        <f t="shared" si="149"/>
        <v/>
      </c>
    </row>
    <row r="6402" spans="8:8" x14ac:dyDescent="0.3">
      <c r="H6402" t="str">
        <f t="shared" si="149"/>
        <v/>
      </c>
    </row>
    <row r="6403" spans="8:8" x14ac:dyDescent="0.3">
      <c r="H6403" t="str">
        <f t="shared" si="149"/>
        <v/>
      </c>
    </row>
    <row r="6404" spans="8:8" x14ac:dyDescent="0.3">
      <c r="H6404" t="str">
        <f t="shared" si="149"/>
        <v/>
      </c>
    </row>
    <row r="6405" spans="8:8" x14ac:dyDescent="0.3">
      <c r="H6405" t="str">
        <f t="shared" si="149"/>
        <v/>
      </c>
    </row>
    <row r="6406" spans="8:8" x14ac:dyDescent="0.3">
      <c r="H6406" t="str">
        <f t="shared" si="149"/>
        <v/>
      </c>
    </row>
    <row r="6407" spans="8:8" x14ac:dyDescent="0.3">
      <c r="H6407" t="str">
        <f t="shared" si="149"/>
        <v/>
      </c>
    </row>
    <row r="6408" spans="8:8" x14ac:dyDescent="0.3">
      <c r="H6408" t="str">
        <f t="shared" si="149"/>
        <v/>
      </c>
    </row>
    <row r="6409" spans="8:8" x14ac:dyDescent="0.3">
      <c r="H6409" t="str">
        <f t="shared" si="149"/>
        <v/>
      </c>
    </row>
    <row r="6410" spans="8:8" x14ac:dyDescent="0.3">
      <c r="H6410" t="str">
        <f t="shared" si="149"/>
        <v/>
      </c>
    </row>
    <row r="6411" spans="8:8" x14ac:dyDescent="0.3">
      <c r="H6411" t="str">
        <f t="shared" si="149"/>
        <v/>
      </c>
    </row>
    <row r="6412" spans="8:8" x14ac:dyDescent="0.3">
      <c r="H6412" t="str">
        <f t="shared" si="149"/>
        <v/>
      </c>
    </row>
    <row r="6413" spans="8:8" x14ac:dyDescent="0.3">
      <c r="H6413" t="str">
        <f t="shared" si="149"/>
        <v/>
      </c>
    </row>
    <row r="6414" spans="8:8" x14ac:dyDescent="0.3">
      <c r="H6414" t="str">
        <f t="shared" si="149"/>
        <v/>
      </c>
    </row>
    <row r="6415" spans="8:8" x14ac:dyDescent="0.3">
      <c r="H6415" t="str">
        <f t="shared" si="149"/>
        <v/>
      </c>
    </row>
    <row r="6416" spans="8:8" x14ac:dyDescent="0.3">
      <c r="H6416" t="str">
        <f t="shared" si="149"/>
        <v/>
      </c>
    </row>
    <row r="6417" spans="8:8" x14ac:dyDescent="0.3">
      <c r="H6417" t="str">
        <f t="shared" si="149"/>
        <v/>
      </c>
    </row>
    <row r="6418" spans="8:8" x14ac:dyDescent="0.3">
      <c r="H6418" t="str">
        <f t="shared" si="149"/>
        <v/>
      </c>
    </row>
    <row r="6419" spans="8:8" x14ac:dyDescent="0.3">
      <c r="H6419" t="str">
        <f t="shared" si="149"/>
        <v/>
      </c>
    </row>
    <row r="6420" spans="8:8" x14ac:dyDescent="0.3">
      <c r="H6420" t="str">
        <f t="shared" si="149"/>
        <v/>
      </c>
    </row>
    <row r="6421" spans="8:8" x14ac:dyDescent="0.3">
      <c r="H6421" t="str">
        <f t="shared" si="149"/>
        <v/>
      </c>
    </row>
    <row r="6422" spans="8:8" x14ac:dyDescent="0.3">
      <c r="H6422" t="str">
        <f t="shared" si="149"/>
        <v/>
      </c>
    </row>
    <row r="6423" spans="8:8" x14ac:dyDescent="0.3">
      <c r="H6423" t="str">
        <f t="shared" ref="H6423:H6486" si="150">IF(B6423="","",$C$12)</f>
        <v/>
      </c>
    </row>
    <row r="6424" spans="8:8" x14ac:dyDescent="0.3">
      <c r="H6424" t="str">
        <f t="shared" si="150"/>
        <v/>
      </c>
    </row>
    <row r="6425" spans="8:8" x14ac:dyDescent="0.3">
      <c r="H6425" t="str">
        <f t="shared" si="150"/>
        <v/>
      </c>
    </row>
    <row r="6426" spans="8:8" x14ac:dyDescent="0.3">
      <c r="H6426" t="str">
        <f t="shared" si="150"/>
        <v/>
      </c>
    </row>
    <row r="6427" spans="8:8" x14ac:dyDescent="0.3">
      <c r="H6427" t="str">
        <f t="shared" si="150"/>
        <v/>
      </c>
    </row>
    <row r="6428" spans="8:8" x14ac:dyDescent="0.3">
      <c r="H6428" t="str">
        <f t="shared" si="150"/>
        <v/>
      </c>
    </row>
    <row r="6429" spans="8:8" x14ac:dyDescent="0.3">
      <c r="H6429" t="str">
        <f t="shared" si="150"/>
        <v/>
      </c>
    </row>
    <row r="6430" spans="8:8" x14ac:dyDescent="0.3">
      <c r="H6430" t="str">
        <f t="shared" si="150"/>
        <v/>
      </c>
    </row>
    <row r="6431" spans="8:8" x14ac:dyDescent="0.3">
      <c r="H6431" t="str">
        <f t="shared" si="150"/>
        <v/>
      </c>
    </row>
    <row r="6432" spans="8:8" x14ac:dyDescent="0.3">
      <c r="H6432" t="str">
        <f t="shared" si="150"/>
        <v/>
      </c>
    </row>
    <row r="6433" spans="8:8" x14ac:dyDescent="0.3">
      <c r="H6433" t="str">
        <f t="shared" si="150"/>
        <v/>
      </c>
    </row>
    <row r="6434" spans="8:8" x14ac:dyDescent="0.3">
      <c r="H6434" t="str">
        <f t="shared" si="150"/>
        <v/>
      </c>
    </row>
    <row r="6435" spans="8:8" x14ac:dyDescent="0.3">
      <c r="H6435" t="str">
        <f t="shared" si="150"/>
        <v/>
      </c>
    </row>
    <row r="6436" spans="8:8" x14ac:dyDescent="0.3">
      <c r="H6436" t="str">
        <f t="shared" si="150"/>
        <v/>
      </c>
    </row>
    <row r="6437" spans="8:8" x14ac:dyDescent="0.3">
      <c r="H6437" t="str">
        <f t="shared" si="150"/>
        <v/>
      </c>
    </row>
    <row r="6438" spans="8:8" x14ac:dyDescent="0.3">
      <c r="H6438" t="str">
        <f t="shared" si="150"/>
        <v/>
      </c>
    </row>
    <row r="6439" spans="8:8" x14ac:dyDescent="0.3">
      <c r="H6439" t="str">
        <f t="shared" si="150"/>
        <v/>
      </c>
    </row>
    <row r="6440" spans="8:8" x14ac:dyDescent="0.3">
      <c r="H6440" t="str">
        <f t="shared" si="150"/>
        <v/>
      </c>
    </row>
    <row r="6441" spans="8:8" x14ac:dyDescent="0.3">
      <c r="H6441" t="str">
        <f t="shared" si="150"/>
        <v/>
      </c>
    </row>
    <row r="6442" spans="8:8" x14ac:dyDescent="0.3">
      <c r="H6442" t="str">
        <f t="shared" si="150"/>
        <v/>
      </c>
    </row>
    <row r="6443" spans="8:8" x14ac:dyDescent="0.3">
      <c r="H6443" t="str">
        <f t="shared" si="150"/>
        <v/>
      </c>
    </row>
    <row r="6444" spans="8:8" x14ac:dyDescent="0.3">
      <c r="H6444" t="str">
        <f t="shared" si="150"/>
        <v/>
      </c>
    </row>
    <row r="6445" spans="8:8" x14ac:dyDescent="0.3">
      <c r="H6445" t="str">
        <f t="shared" si="150"/>
        <v/>
      </c>
    </row>
    <row r="6446" spans="8:8" x14ac:dyDescent="0.3">
      <c r="H6446" t="str">
        <f t="shared" si="150"/>
        <v/>
      </c>
    </row>
    <row r="6447" spans="8:8" x14ac:dyDescent="0.3">
      <c r="H6447" t="str">
        <f t="shared" si="150"/>
        <v/>
      </c>
    </row>
    <row r="6448" spans="8:8" x14ac:dyDescent="0.3">
      <c r="H6448" t="str">
        <f t="shared" si="150"/>
        <v/>
      </c>
    </row>
    <row r="6449" spans="8:8" x14ac:dyDescent="0.3">
      <c r="H6449" t="str">
        <f t="shared" si="150"/>
        <v/>
      </c>
    </row>
    <row r="6450" spans="8:8" x14ac:dyDescent="0.3">
      <c r="H6450" t="str">
        <f t="shared" si="150"/>
        <v/>
      </c>
    </row>
    <row r="6451" spans="8:8" x14ac:dyDescent="0.3">
      <c r="H6451" t="str">
        <f t="shared" si="150"/>
        <v/>
      </c>
    </row>
    <row r="6452" spans="8:8" x14ac:dyDescent="0.3">
      <c r="H6452" t="str">
        <f t="shared" si="150"/>
        <v/>
      </c>
    </row>
    <row r="6453" spans="8:8" x14ac:dyDescent="0.3">
      <c r="H6453" t="str">
        <f t="shared" si="150"/>
        <v/>
      </c>
    </row>
    <row r="6454" spans="8:8" x14ac:dyDescent="0.3">
      <c r="H6454" t="str">
        <f t="shared" si="150"/>
        <v/>
      </c>
    </row>
    <row r="6455" spans="8:8" x14ac:dyDescent="0.3">
      <c r="H6455" t="str">
        <f t="shared" si="150"/>
        <v/>
      </c>
    </row>
    <row r="6456" spans="8:8" x14ac:dyDescent="0.3">
      <c r="H6456" t="str">
        <f t="shared" si="150"/>
        <v/>
      </c>
    </row>
    <row r="6457" spans="8:8" x14ac:dyDescent="0.3">
      <c r="H6457" t="str">
        <f t="shared" si="150"/>
        <v/>
      </c>
    </row>
    <row r="6458" spans="8:8" x14ac:dyDescent="0.3">
      <c r="H6458" t="str">
        <f t="shared" si="150"/>
        <v/>
      </c>
    </row>
    <row r="6459" spans="8:8" x14ac:dyDescent="0.3">
      <c r="H6459" t="str">
        <f t="shared" si="150"/>
        <v/>
      </c>
    </row>
    <row r="6460" spans="8:8" x14ac:dyDescent="0.3">
      <c r="H6460" t="str">
        <f t="shared" si="150"/>
        <v/>
      </c>
    </row>
    <row r="6461" spans="8:8" x14ac:dyDescent="0.3">
      <c r="H6461" t="str">
        <f t="shared" si="150"/>
        <v/>
      </c>
    </row>
    <row r="6462" spans="8:8" x14ac:dyDescent="0.3">
      <c r="H6462" t="str">
        <f t="shared" si="150"/>
        <v/>
      </c>
    </row>
    <row r="6463" spans="8:8" x14ac:dyDescent="0.3">
      <c r="H6463" t="str">
        <f t="shared" si="150"/>
        <v/>
      </c>
    </row>
    <row r="6464" spans="8:8" x14ac:dyDescent="0.3">
      <c r="H6464" t="str">
        <f t="shared" si="150"/>
        <v/>
      </c>
    </row>
    <row r="6465" spans="8:8" x14ac:dyDescent="0.3">
      <c r="H6465" t="str">
        <f t="shared" si="150"/>
        <v/>
      </c>
    </row>
    <row r="6466" spans="8:8" x14ac:dyDescent="0.3">
      <c r="H6466" t="str">
        <f t="shared" si="150"/>
        <v/>
      </c>
    </row>
    <row r="6467" spans="8:8" x14ac:dyDescent="0.3">
      <c r="H6467" t="str">
        <f t="shared" si="150"/>
        <v/>
      </c>
    </row>
    <row r="6468" spans="8:8" x14ac:dyDescent="0.3">
      <c r="H6468" t="str">
        <f t="shared" si="150"/>
        <v/>
      </c>
    </row>
    <row r="6469" spans="8:8" x14ac:dyDescent="0.3">
      <c r="H6469" t="str">
        <f t="shared" si="150"/>
        <v/>
      </c>
    </row>
    <row r="6470" spans="8:8" x14ac:dyDescent="0.3">
      <c r="H6470" t="str">
        <f t="shared" si="150"/>
        <v/>
      </c>
    </row>
    <row r="6471" spans="8:8" x14ac:dyDescent="0.3">
      <c r="H6471" t="str">
        <f t="shared" si="150"/>
        <v/>
      </c>
    </row>
    <row r="6472" spans="8:8" x14ac:dyDescent="0.3">
      <c r="H6472" t="str">
        <f t="shared" si="150"/>
        <v/>
      </c>
    </row>
    <row r="6473" spans="8:8" x14ac:dyDescent="0.3">
      <c r="H6473" t="str">
        <f t="shared" si="150"/>
        <v/>
      </c>
    </row>
    <row r="6474" spans="8:8" x14ac:dyDescent="0.3">
      <c r="H6474" t="str">
        <f t="shared" si="150"/>
        <v/>
      </c>
    </row>
    <row r="6475" spans="8:8" x14ac:dyDescent="0.3">
      <c r="H6475" t="str">
        <f t="shared" si="150"/>
        <v/>
      </c>
    </row>
    <row r="6476" spans="8:8" x14ac:dyDescent="0.3">
      <c r="H6476" t="str">
        <f t="shared" si="150"/>
        <v/>
      </c>
    </row>
    <row r="6477" spans="8:8" x14ac:dyDescent="0.3">
      <c r="H6477" t="str">
        <f t="shared" si="150"/>
        <v/>
      </c>
    </row>
    <row r="6478" spans="8:8" x14ac:dyDescent="0.3">
      <c r="H6478" t="str">
        <f t="shared" si="150"/>
        <v/>
      </c>
    </row>
    <row r="6479" spans="8:8" x14ac:dyDescent="0.3">
      <c r="H6479" t="str">
        <f t="shared" si="150"/>
        <v/>
      </c>
    </row>
    <row r="6480" spans="8:8" x14ac:dyDescent="0.3">
      <c r="H6480" t="str">
        <f t="shared" si="150"/>
        <v/>
      </c>
    </row>
    <row r="6481" spans="8:8" x14ac:dyDescent="0.3">
      <c r="H6481" t="str">
        <f t="shared" si="150"/>
        <v/>
      </c>
    </row>
    <row r="6482" spans="8:8" x14ac:dyDescent="0.3">
      <c r="H6482" t="str">
        <f t="shared" si="150"/>
        <v/>
      </c>
    </row>
    <row r="6483" spans="8:8" x14ac:dyDescent="0.3">
      <c r="H6483" t="str">
        <f t="shared" si="150"/>
        <v/>
      </c>
    </row>
    <row r="6484" spans="8:8" x14ac:dyDescent="0.3">
      <c r="H6484" t="str">
        <f t="shared" si="150"/>
        <v/>
      </c>
    </row>
    <row r="6485" spans="8:8" x14ac:dyDescent="0.3">
      <c r="H6485" t="str">
        <f t="shared" si="150"/>
        <v/>
      </c>
    </row>
    <row r="6486" spans="8:8" x14ac:dyDescent="0.3">
      <c r="H6486" t="str">
        <f t="shared" si="150"/>
        <v/>
      </c>
    </row>
    <row r="6487" spans="8:8" x14ac:dyDescent="0.3">
      <c r="H6487" t="str">
        <f t="shared" ref="H6487:H6550" si="151">IF(B6487="","",$C$12)</f>
        <v/>
      </c>
    </row>
    <row r="6488" spans="8:8" x14ac:dyDescent="0.3">
      <c r="H6488" t="str">
        <f t="shared" si="151"/>
        <v/>
      </c>
    </row>
    <row r="6489" spans="8:8" x14ac:dyDescent="0.3">
      <c r="H6489" t="str">
        <f t="shared" si="151"/>
        <v/>
      </c>
    </row>
    <row r="6490" spans="8:8" x14ac:dyDescent="0.3">
      <c r="H6490" t="str">
        <f t="shared" si="151"/>
        <v/>
      </c>
    </row>
    <row r="6491" spans="8:8" x14ac:dyDescent="0.3">
      <c r="H6491" t="str">
        <f t="shared" si="151"/>
        <v/>
      </c>
    </row>
    <row r="6492" spans="8:8" x14ac:dyDescent="0.3">
      <c r="H6492" t="str">
        <f t="shared" si="151"/>
        <v/>
      </c>
    </row>
    <row r="6493" spans="8:8" x14ac:dyDescent="0.3">
      <c r="H6493" t="str">
        <f t="shared" si="151"/>
        <v/>
      </c>
    </row>
    <row r="6494" spans="8:8" x14ac:dyDescent="0.3">
      <c r="H6494" t="str">
        <f t="shared" si="151"/>
        <v/>
      </c>
    </row>
    <row r="6495" spans="8:8" x14ac:dyDescent="0.3">
      <c r="H6495" t="str">
        <f t="shared" si="151"/>
        <v/>
      </c>
    </row>
    <row r="6496" spans="8:8" x14ac:dyDescent="0.3">
      <c r="H6496" t="str">
        <f t="shared" si="151"/>
        <v/>
      </c>
    </row>
    <row r="6497" spans="8:8" x14ac:dyDescent="0.3">
      <c r="H6497" t="str">
        <f t="shared" si="151"/>
        <v/>
      </c>
    </row>
    <row r="6498" spans="8:8" x14ac:dyDescent="0.3">
      <c r="H6498" t="str">
        <f t="shared" si="151"/>
        <v/>
      </c>
    </row>
    <row r="6499" spans="8:8" x14ac:dyDescent="0.3">
      <c r="H6499" t="str">
        <f t="shared" si="151"/>
        <v/>
      </c>
    </row>
    <row r="6500" spans="8:8" x14ac:dyDescent="0.3">
      <c r="H6500" t="str">
        <f t="shared" si="151"/>
        <v/>
      </c>
    </row>
    <row r="6501" spans="8:8" x14ac:dyDescent="0.3">
      <c r="H6501" t="str">
        <f t="shared" si="151"/>
        <v/>
      </c>
    </row>
    <row r="6502" spans="8:8" x14ac:dyDescent="0.3">
      <c r="H6502" t="str">
        <f t="shared" si="151"/>
        <v/>
      </c>
    </row>
    <row r="6503" spans="8:8" x14ac:dyDescent="0.3">
      <c r="H6503" t="str">
        <f t="shared" si="151"/>
        <v/>
      </c>
    </row>
    <row r="6504" spans="8:8" x14ac:dyDescent="0.3">
      <c r="H6504" t="str">
        <f t="shared" si="151"/>
        <v/>
      </c>
    </row>
    <row r="6505" spans="8:8" x14ac:dyDescent="0.3">
      <c r="H6505" t="str">
        <f t="shared" si="151"/>
        <v/>
      </c>
    </row>
    <row r="6506" spans="8:8" x14ac:dyDescent="0.3">
      <c r="H6506" t="str">
        <f t="shared" si="151"/>
        <v/>
      </c>
    </row>
    <row r="6507" spans="8:8" x14ac:dyDescent="0.3">
      <c r="H6507" t="str">
        <f t="shared" si="151"/>
        <v/>
      </c>
    </row>
    <row r="6508" spans="8:8" x14ac:dyDescent="0.3">
      <c r="H6508" t="str">
        <f t="shared" si="151"/>
        <v/>
      </c>
    </row>
    <row r="6509" spans="8:8" x14ac:dyDescent="0.3">
      <c r="H6509" t="str">
        <f t="shared" si="151"/>
        <v/>
      </c>
    </row>
    <row r="6510" spans="8:8" x14ac:dyDescent="0.3">
      <c r="H6510" t="str">
        <f t="shared" si="151"/>
        <v/>
      </c>
    </row>
    <row r="6511" spans="8:8" x14ac:dyDescent="0.3">
      <c r="H6511" t="str">
        <f t="shared" si="151"/>
        <v/>
      </c>
    </row>
    <row r="6512" spans="8:8" x14ac:dyDescent="0.3">
      <c r="H6512" t="str">
        <f t="shared" si="151"/>
        <v/>
      </c>
    </row>
    <row r="6513" spans="8:8" x14ac:dyDescent="0.3">
      <c r="H6513" t="str">
        <f t="shared" si="151"/>
        <v/>
      </c>
    </row>
    <row r="6514" spans="8:8" x14ac:dyDescent="0.3">
      <c r="H6514" t="str">
        <f t="shared" si="151"/>
        <v/>
      </c>
    </row>
    <row r="6515" spans="8:8" x14ac:dyDescent="0.3">
      <c r="H6515" t="str">
        <f t="shared" si="151"/>
        <v/>
      </c>
    </row>
    <row r="6516" spans="8:8" x14ac:dyDescent="0.3">
      <c r="H6516" t="str">
        <f t="shared" si="151"/>
        <v/>
      </c>
    </row>
    <row r="6517" spans="8:8" x14ac:dyDescent="0.3">
      <c r="H6517" t="str">
        <f t="shared" si="151"/>
        <v/>
      </c>
    </row>
    <row r="6518" spans="8:8" x14ac:dyDescent="0.3">
      <c r="H6518" t="str">
        <f t="shared" si="151"/>
        <v/>
      </c>
    </row>
    <row r="6519" spans="8:8" x14ac:dyDescent="0.3">
      <c r="H6519" t="str">
        <f t="shared" si="151"/>
        <v/>
      </c>
    </row>
    <row r="6520" spans="8:8" x14ac:dyDescent="0.3">
      <c r="H6520" t="str">
        <f t="shared" si="151"/>
        <v/>
      </c>
    </row>
    <row r="6521" spans="8:8" x14ac:dyDescent="0.3">
      <c r="H6521" t="str">
        <f t="shared" si="151"/>
        <v/>
      </c>
    </row>
    <row r="6522" spans="8:8" x14ac:dyDescent="0.3">
      <c r="H6522" t="str">
        <f t="shared" si="151"/>
        <v/>
      </c>
    </row>
    <row r="6523" spans="8:8" x14ac:dyDescent="0.3">
      <c r="H6523" t="str">
        <f t="shared" si="151"/>
        <v/>
      </c>
    </row>
    <row r="6524" spans="8:8" x14ac:dyDescent="0.3">
      <c r="H6524" t="str">
        <f t="shared" si="151"/>
        <v/>
      </c>
    </row>
    <row r="6525" spans="8:8" x14ac:dyDescent="0.3">
      <c r="H6525" t="str">
        <f t="shared" si="151"/>
        <v/>
      </c>
    </row>
    <row r="6526" spans="8:8" x14ac:dyDescent="0.3">
      <c r="H6526" t="str">
        <f t="shared" si="151"/>
        <v/>
      </c>
    </row>
    <row r="6527" spans="8:8" x14ac:dyDescent="0.3">
      <c r="H6527" t="str">
        <f t="shared" si="151"/>
        <v/>
      </c>
    </row>
    <row r="6528" spans="8:8" x14ac:dyDescent="0.3">
      <c r="H6528" t="str">
        <f t="shared" si="151"/>
        <v/>
      </c>
    </row>
    <row r="6529" spans="8:8" x14ac:dyDescent="0.3">
      <c r="H6529" t="str">
        <f t="shared" si="151"/>
        <v/>
      </c>
    </row>
    <row r="6530" spans="8:8" x14ac:dyDescent="0.3">
      <c r="H6530" t="str">
        <f t="shared" si="151"/>
        <v/>
      </c>
    </row>
    <row r="6531" spans="8:8" x14ac:dyDescent="0.3">
      <c r="H6531" t="str">
        <f t="shared" si="151"/>
        <v/>
      </c>
    </row>
    <row r="6532" spans="8:8" x14ac:dyDescent="0.3">
      <c r="H6532" t="str">
        <f t="shared" si="151"/>
        <v/>
      </c>
    </row>
    <row r="6533" spans="8:8" x14ac:dyDescent="0.3">
      <c r="H6533" t="str">
        <f t="shared" si="151"/>
        <v/>
      </c>
    </row>
    <row r="6534" spans="8:8" x14ac:dyDescent="0.3">
      <c r="H6534" t="str">
        <f t="shared" si="151"/>
        <v/>
      </c>
    </row>
    <row r="6535" spans="8:8" x14ac:dyDescent="0.3">
      <c r="H6535" t="str">
        <f t="shared" si="151"/>
        <v/>
      </c>
    </row>
    <row r="6536" spans="8:8" x14ac:dyDescent="0.3">
      <c r="H6536" t="str">
        <f t="shared" si="151"/>
        <v/>
      </c>
    </row>
    <row r="6537" spans="8:8" x14ac:dyDescent="0.3">
      <c r="H6537" t="str">
        <f t="shared" si="151"/>
        <v/>
      </c>
    </row>
    <row r="6538" spans="8:8" x14ac:dyDescent="0.3">
      <c r="H6538" t="str">
        <f t="shared" si="151"/>
        <v/>
      </c>
    </row>
    <row r="6539" spans="8:8" x14ac:dyDescent="0.3">
      <c r="H6539" t="str">
        <f t="shared" si="151"/>
        <v/>
      </c>
    </row>
    <row r="6540" spans="8:8" x14ac:dyDescent="0.3">
      <c r="H6540" t="str">
        <f t="shared" si="151"/>
        <v/>
      </c>
    </row>
    <row r="6541" spans="8:8" x14ac:dyDescent="0.3">
      <c r="H6541" t="str">
        <f t="shared" si="151"/>
        <v/>
      </c>
    </row>
    <row r="6542" spans="8:8" x14ac:dyDescent="0.3">
      <c r="H6542" t="str">
        <f t="shared" si="151"/>
        <v/>
      </c>
    </row>
    <row r="6543" spans="8:8" x14ac:dyDescent="0.3">
      <c r="H6543" t="str">
        <f t="shared" si="151"/>
        <v/>
      </c>
    </row>
    <row r="6544" spans="8:8" x14ac:dyDescent="0.3">
      <c r="H6544" t="str">
        <f t="shared" si="151"/>
        <v/>
      </c>
    </row>
    <row r="6545" spans="8:8" x14ac:dyDescent="0.3">
      <c r="H6545" t="str">
        <f t="shared" si="151"/>
        <v/>
      </c>
    </row>
    <row r="6546" spans="8:8" x14ac:dyDescent="0.3">
      <c r="H6546" t="str">
        <f t="shared" si="151"/>
        <v/>
      </c>
    </row>
    <row r="6547" spans="8:8" x14ac:dyDescent="0.3">
      <c r="H6547" t="str">
        <f t="shared" si="151"/>
        <v/>
      </c>
    </row>
    <row r="6548" spans="8:8" x14ac:dyDescent="0.3">
      <c r="H6548" t="str">
        <f t="shared" si="151"/>
        <v/>
      </c>
    </row>
    <row r="6549" spans="8:8" x14ac:dyDescent="0.3">
      <c r="H6549" t="str">
        <f t="shared" si="151"/>
        <v/>
      </c>
    </row>
    <row r="6550" spans="8:8" x14ac:dyDescent="0.3">
      <c r="H6550" t="str">
        <f t="shared" si="151"/>
        <v/>
      </c>
    </row>
    <row r="6551" spans="8:8" x14ac:dyDescent="0.3">
      <c r="H6551" t="str">
        <f t="shared" ref="H6551:H6614" si="152">IF(B6551="","",$C$12)</f>
        <v/>
      </c>
    </row>
    <row r="6552" spans="8:8" x14ac:dyDescent="0.3">
      <c r="H6552" t="str">
        <f t="shared" si="152"/>
        <v/>
      </c>
    </row>
    <row r="6553" spans="8:8" x14ac:dyDescent="0.3">
      <c r="H6553" t="str">
        <f t="shared" si="152"/>
        <v/>
      </c>
    </row>
    <row r="6554" spans="8:8" x14ac:dyDescent="0.3">
      <c r="H6554" t="str">
        <f t="shared" si="152"/>
        <v/>
      </c>
    </row>
    <row r="6555" spans="8:8" x14ac:dyDescent="0.3">
      <c r="H6555" t="str">
        <f t="shared" si="152"/>
        <v/>
      </c>
    </row>
    <row r="6556" spans="8:8" x14ac:dyDescent="0.3">
      <c r="H6556" t="str">
        <f t="shared" si="152"/>
        <v/>
      </c>
    </row>
    <row r="6557" spans="8:8" x14ac:dyDescent="0.3">
      <c r="H6557" t="str">
        <f t="shared" si="152"/>
        <v/>
      </c>
    </row>
    <row r="6558" spans="8:8" x14ac:dyDescent="0.3">
      <c r="H6558" t="str">
        <f t="shared" si="152"/>
        <v/>
      </c>
    </row>
    <row r="6559" spans="8:8" x14ac:dyDescent="0.3">
      <c r="H6559" t="str">
        <f t="shared" si="152"/>
        <v/>
      </c>
    </row>
    <row r="6560" spans="8:8" x14ac:dyDescent="0.3">
      <c r="H6560" t="str">
        <f t="shared" si="152"/>
        <v/>
      </c>
    </row>
    <row r="6561" spans="8:8" x14ac:dyDescent="0.3">
      <c r="H6561" t="str">
        <f t="shared" si="152"/>
        <v/>
      </c>
    </row>
    <row r="6562" spans="8:8" x14ac:dyDescent="0.3">
      <c r="H6562" t="str">
        <f t="shared" si="152"/>
        <v/>
      </c>
    </row>
    <row r="6563" spans="8:8" x14ac:dyDescent="0.3">
      <c r="H6563" t="str">
        <f t="shared" si="152"/>
        <v/>
      </c>
    </row>
    <row r="6564" spans="8:8" x14ac:dyDescent="0.3">
      <c r="H6564" t="str">
        <f t="shared" si="152"/>
        <v/>
      </c>
    </row>
    <row r="6565" spans="8:8" x14ac:dyDescent="0.3">
      <c r="H6565" t="str">
        <f t="shared" si="152"/>
        <v/>
      </c>
    </row>
    <row r="6566" spans="8:8" x14ac:dyDescent="0.3">
      <c r="H6566" t="str">
        <f t="shared" si="152"/>
        <v/>
      </c>
    </row>
    <row r="6567" spans="8:8" x14ac:dyDescent="0.3">
      <c r="H6567" t="str">
        <f t="shared" si="152"/>
        <v/>
      </c>
    </row>
    <row r="6568" spans="8:8" x14ac:dyDescent="0.3">
      <c r="H6568" t="str">
        <f t="shared" si="152"/>
        <v/>
      </c>
    </row>
    <row r="6569" spans="8:8" x14ac:dyDescent="0.3">
      <c r="H6569" t="str">
        <f t="shared" si="152"/>
        <v/>
      </c>
    </row>
    <row r="6570" spans="8:8" x14ac:dyDescent="0.3">
      <c r="H6570" t="str">
        <f t="shared" si="152"/>
        <v/>
      </c>
    </row>
    <row r="6571" spans="8:8" x14ac:dyDescent="0.3">
      <c r="H6571" t="str">
        <f t="shared" si="152"/>
        <v/>
      </c>
    </row>
    <row r="6572" spans="8:8" x14ac:dyDescent="0.3">
      <c r="H6572" t="str">
        <f t="shared" si="152"/>
        <v/>
      </c>
    </row>
    <row r="6573" spans="8:8" x14ac:dyDescent="0.3">
      <c r="H6573" t="str">
        <f t="shared" si="152"/>
        <v/>
      </c>
    </row>
    <row r="6574" spans="8:8" x14ac:dyDescent="0.3">
      <c r="H6574" t="str">
        <f t="shared" si="152"/>
        <v/>
      </c>
    </row>
    <row r="6575" spans="8:8" x14ac:dyDescent="0.3">
      <c r="H6575" t="str">
        <f t="shared" si="152"/>
        <v/>
      </c>
    </row>
    <row r="6576" spans="8:8" x14ac:dyDescent="0.3">
      <c r="H6576" t="str">
        <f t="shared" si="152"/>
        <v/>
      </c>
    </row>
    <row r="6577" spans="8:8" x14ac:dyDescent="0.3">
      <c r="H6577" t="str">
        <f t="shared" si="152"/>
        <v/>
      </c>
    </row>
    <row r="6578" spans="8:8" x14ac:dyDescent="0.3">
      <c r="H6578" t="str">
        <f t="shared" si="152"/>
        <v/>
      </c>
    </row>
    <row r="6579" spans="8:8" x14ac:dyDescent="0.3">
      <c r="H6579" t="str">
        <f t="shared" si="152"/>
        <v/>
      </c>
    </row>
    <row r="6580" spans="8:8" x14ac:dyDescent="0.3">
      <c r="H6580" t="str">
        <f t="shared" si="152"/>
        <v/>
      </c>
    </row>
    <row r="6581" spans="8:8" x14ac:dyDescent="0.3">
      <c r="H6581" t="str">
        <f t="shared" si="152"/>
        <v/>
      </c>
    </row>
    <row r="6582" spans="8:8" x14ac:dyDescent="0.3">
      <c r="H6582" t="str">
        <f t="shared" si="152"/>
        <v/>
      </c>
    </row>
    <row r="6583" spans="8:8" x14ac:dyDescent="0.3">
      <c r="H6583" t="str">
        <f t="shared" si="152"/>
        <v/>
      </c>
    </row>
    <row r="6584" spans="8:8" x14ac:dyDescent="0.3">
      <c r="H6584" t="str">
        <f t="shared" si="152"/>
        <v/>
      </c>
    </row>
    <row r="6585" spans="8:8" x14ac:dyDescent="0.3">
      <c r="H6585" t="str">
        <f t="shared" si="152"/>
        <v/>
      </c>
    </row>
    <row r="6586" spans="8:8" x14ac:dyDescent="0.3">
      <c r="H6586" t="str">
        <f t="shared" si="152"/>
        <v/>
      </c>
    </row>
    <row r="6587" spans="8:8" x14ac:dyDescent="0.3">
      <c r="H6587" t="str">
        <f t="shared" si="152"/>
        <v/>
      </c>
    </row>
    <row r="6588" spans="8:8" x14ac:dyDescent="0.3">
      <c r="H6588" t="str">
        <f t="shared" si="152"/>
        <v/>
      </c>
    </row>
    <row r="6589" spans="8:8" x14ac:dyDescent="0.3">
      <c r="H6589" t="str">
        <f t="shared" si="152"/>
        <v/>
      </c>
    </row>
    <row r="6590" spans="8:8" x14ac:dyDescent="0.3">
      <c r="H6590" t="str">
        <f t="shared" si="152"/>
        <v/>
      </c>
    </row>
    <row r="6591" spans="8:8" x14ac:dyDescent="0.3">
      <c r="H6591" t="str">
        <f t="shared" si="152"/>
        <v/>
      </c>
    </row>
    <row r="6592" spans="8:8" x14ac:dyDescent="0.3">
      <c r="H6592" t="str">
        <f t="shared" si="152"/>
        <v/>
      </c>
    </row>
    <row r="6593" spans="8:8" x14ac:dyDescent="0.3">
      <c r="H6593" t="str">
        <f t="shared" si="152"/>
        <v/>
      </c>
    </row>
    <row r="6594" spans="8:8" x14ac:dyDescent="0.3">
      <c r="H6594" t="str">
        <f t="shared" si="152"/>
        <v/>
      </c>
    </row>
    <row r="6595" spans="8:8" x14ac:dyDescent="0.3">
      <c r="H6595" t="str">
        <f t="shared" si="152"/>
        <v/>
      </c>
    </row>
    <row r="6596" spans="8:8" x14ac:dyDescent="0.3">
      <c r="H6596" t="str">
        <f t="shared" si="152"/>
        <v/>
      </c>
    </row>
    <row r="6597" spans="8:8" x14ac:dyDescent="0.3">
      <c r="H6597" t="str">
        <f t="shared" si="152"/>
        <v/>
      </c>
    </row>
    <row r="6598" spans="8:8" x14ac:dyDescent="0.3">
      <c r="H6598" t="str">
        <f t="shared" si="152"/>
        <v/>
      </c>
    </row>
    <row r="6599" spans="8:8" x14ac:dyDescent="0.3">
      <c r="H6599" t="str">
        <f t="shared" si="152"/>
        <v/>
      </c>
    </row>
    <row r="6600" spans="8:8" x14ac:dyDescent="0.3">
      <c r="H6600" t="str">
        <f t="shared" si="152"/>
        <v/>
      </c>
    </row>
    <row r="6601" spans="8:8" x14ac:dyDescent="0.3">
      <c r="H6601" t="str">
        <f t="shared" si="152"/>
        <v/>
      </c>
    </row>
    <row r="6602" spans="8:8" x14ac:dyDescent="0.3">
      <c r="H6602" t="str">
        <f t="shared" si="152"/>
        <v/>
      </c>
    </row>
    <row r="6603" spans="8:8" x14ac:dyDescent="0.3">
      <c r="H6603" t="str">
        <f t="shared" si="152"/>
        <v/>
      </c>
    </row>
    <row r="6604" spans="8:8" x14ac:dyDescent="0.3">
      <c r="H6604" t="str">
        <f t="shared" si="152"/>
        <v/>
      </c>
    </row>
    <row r="6605" spans="8:8" x14ac:dyDescent="0.3">
      <c r="H6605" t="str">
        <f t="shared" si="152"/>
        <v/>
      </c>
    </row>
    <row r="6606" spans="8:8" x14ac:dyDescent="0.3">
      <c r="H6606" t="str">
        <f t="shared" si="152"/>
        <v/>
      </c>
    </row>
    <row r="6607" spans="8:8" x14ac:dyDescent="0.3">
      <c r="H6607" t="str">
        <f t="shared" si="152"/>
        <v/>
      </c>
    </row>
    <row r="6608" spans="8:8" x14ac:dyDescent="0.3">
      <c r="H6608" t="str">
        <f t="shared" si="152"/>
        <v/>
      </c>
    </row>
    <row r="6609" spans="8:8" x14ac:dyDescent="0.3">
      <c r="H6609" t="str">
        <f t="shared" si="152"/>
        <v/>
      </c>
    </row>
    <row r="6610" spans="8:8" x14ac:dyDescent="0.3">
      <c r="H6610" t="str">
        <f t="shared" si="152"/>
        <v/>
      </c>
    </row>
    <row r="6611" spans="8:8" x14ac:dyDescent="0.3">
      <c r="H6611" t="str">
        <f t="shared" si="152"/>
        <v/>
      </c>
    </row>
    <row r="6612" spans="8:8" x14ac:dyDescent="0.3">
      <c r="H6612" t="str">
        <f t="shared" si="152"/>
        <v/>
      </c>
    </row>
    <row r="6613" spans="8:8" x14ac:dyDescent="0.3">
      <c r="H6613" t="str">
        <f t="shared" si="152"/>
        <v/>
      </c>
    </row>
    <row r="6614" spans="8:8" x14ac:dyDescent="0.3">
      <c r="H6614" t="str">
        <f t="shared" si="152"/>
        <v/>
      </c>
    </row>
    <row r="6615" spans="8:8" x14ac:dyDescent="0.3">
      <c r="H6615" t="str">
        <f t="shared" ref="H6615:H6678" si="153">IF(B6615="","",$C$12)</f>
        <v/>
      </c>
    </row>
    <row r="6616" spans="8:8" x14ac:dyDescent="0.3">
      <c r="H6616" t="str">
        <f t="shared" si="153"/>
        <v/>
      </c>
    </row>
    <row r="6617" spans="8:8" x14ac:dyDescent="0.3">
      <c r="H6617" t="str">
        <f t="shared" si="153"/>
        <v/>
      </c>
    </row>
    <row r="6618" spans="8:8" x14ac:dyDescent="0.3">
      <c r="H6618" t="str">
        <f t="shared" si="153"/>
        <v/>
      </c>
    </row>
    <row r="6619" spans="8:8" x14ac:dyDescent="0.3">
      <c r="H6619" t="str">
        <f t="shared" si="153"/>
        <v/>
      </c>
    </row>
    <row r="6620" spans="8:8" x14ac:dyDescent="0.3">
      <c r="H6620" t="str">
        <f t="shared" si="153"/>
        <v/>
      </c>
    </row>
    <row r="6621" spans="8:8" x14ac:dyDescent="0.3">
      <c r="H6621" t="str">
        <f t="shared" si="153"/>
        <v/>
      </c>
    </row>
    <row r="6622" spans="8:8" x14ac:dyDescent="0.3">
      <c r="H6622" t="str">
        <f t="shared" si="153"/>
        <v/>
      </c>
    </row>
    <row r="6623" spans="8:8" x14ac:dyDescent="0.3">
      <c r="H6623" t="str">
        <f t="shared" si="153"/>
        <v/>
      </c>
    </row>
    <row r="6624" spans="8:8" x14ac:dyDescent="0.3">
      <c r="H6624" t="str">
        <f t="shared" si="153"/>
        <v/>
      </c>
    </row>
    <row r="6625" spans="8:8" x14ac:dyDescent="0.3">
      <c r="H6625" t="str">
        <f t="shared" si="153"/>
        <v/>
      </c>
    </row>
    <row r="6626" spans="8:8" x14ac:dyDescent="0.3">
      <c r="H6626" t="str">
        <f t="shared" si="153"/>
        <v/>
      </c>
    </row>
    <row r="6627" spans="8:8" x14ac:dyDescent="0.3">
      <c r="H6627" t="str">
        <f t="shared" si="153"/>
        <v/>
      </c>
    </row>
    <row r="6628" spans="8:8" x14ac:dyDescent="0.3">
      <c r="H6628" t="str">
        <f t="shared" si="153"/>
        <v/>
      </c>
    </row>
    <row r="6629" spans="8:8" x14ac:dyDescent="0.3">
      <c r="H6629" t="str">
        <f t="shared" si="153"/>
        <v/>
      </c>
    </row>
    <row r="6630" spans="8:8" x14ac:dyDescent="0.3">
      <c r="H6630" t="str">
        <f t="shared" si="153"/>
        <v/>
      </c>
    </row>
    <row r="6631" spans="8:8" x14ac:dyDescent="0.3">
      <c r="H6631" t="str">
        <f t="shared" si="153"/>
        <v/>
      </c>
    </row>
    <row r="6632" spans="8:8" x14ac:dyDescent="0.3">
      <c r="H6632" t="str">
        <f t="shared" si="153"/>
        <v/>
      </c>
    </row>
    <row r="6633" spans="8:8" x14ac:dyDescent="0.3">
      <c r="H6633" t="str">
        <f t="shared" si="153"/>
        <v/>
      </c>
    </row>
    <row r="6634" spans="8:8" x14ac:dyDescent="0.3">
      <c r="H6634" t="str">
        <f t="shared" si="153"/>
        <v/>
      </c>
    </row>
    <row r="6635" spans="8:8" x14ac:dyDescent="0.3">
      <c r="H6635" t="str">
        <f t="shared" si="153"/>
        <v/>
      </c>
    </row>
    <row r="6636" spans="8:8" x14ac:dyDescent="0.3">
      <c r="H6636" t="str">
        <f t="shared" si="153"/>
        <v/>
      </c>
    </row>
    <row r="6637" spans="8:8" x14ac:dyDescent="0.3">
      <c r="H6637" t="str">
        <f t="shared" si="153"/>
        <v/>
      </c>
    </row>
    <row r="6638" spans="8:8" x14ac:dyDescent="0.3">
      <c r="H6638" t="str">
        <f t="shared" si="153"/>
        <v/>
      </c>
    </row>
    <row r="6639" spans="8:8" x14ac:dyDescent="0.3">
      <c r="H6639" t="str">
        <f t="shared" si="153"/>
        <v/>
      </c>
    </row>
    <row r="6640" spans="8:8" x14ac:dyDescent="0.3">
      <c r="H6640" t="str">
        <f t="shared" si="153"/>
        <v/>
      </c>
    </row>
    <row r="6641" spans="8:8" x14ac:dyDescent="0.3">
      <c r="H6641" t="str">
        <f t="shared" si="153"/>
        <v/>
      </c>
    </row>
    <row r="6642" spans="8:8" x14ac:dyDescent="0.3">
      <c r="H6642" t="str">
        <f t="shared" si="153"/>
        <v/>
      </c>
    </row>
    <row r="6643" spans="8:8" x14ac:dyDescent="0.3">
      <c r="H6643" t="str">
        <f t="shared" si="153"/>
        <v/>
      </c>
    </row>
    <row r="6644" spans="8:8" x14ac:dyDescent="0.3">
      <c r="H6644" t="str">
        <f t="shared" si="153"/>
        <v/>
      </c>
    </row>
    <row r="6645" spans="8:8" x14ac:dyDescent="0.3">
      <c r="H6645" t="str">
        <f t="shared" si="153"/>
        <v/>
      </c>
    </row>
    <row r="6646" spans="8:8" x14ac:dyDescent="0.3">
      <c r="H6646" t="str">
        <f t="shared" si="153"/>
        <v/>
      </c>
    </row>
    <row r="6647" spans="8:8" x14ac:dyDescent="0.3">
      <c r="H6647" t="str">
        <f t="shared" si="153"/>
        <v/>
      </c>
    </row>
    <row r="6648" spans="8:8" x14ac:dyDescent="0.3">
      <c r="H6648" t="str">
        <f t="shared" si="153"/>
        <v/>
      </c>
    </row>
    <row r="6649" spans="8:8" x14ac:dyDescent="0.3">
      <c r="H6649" t="str">
        <f t="shared" si="153"/>
        <v/>
      </c>
    </row>
    <row r="6650" spans="8:8" x14ac:dyDescent="0.3">
      <c r="H6650" t="str">
        <f t="shared" si="153"/>
        <v/>
      </c>
    </row>
    <row r="6651" spans="8:8" x14ac:dyDescent="0.3">
      <c r="H6651" t="str">
        <f t="shared" si="153"/>
        <v/>
      </c>
    </row>
    <row r="6652" spans="8:8" x14ac:dyDescent="0.3">
      <c r="H6652" t="str">
        <f t="shared" si="153"/>
        <v/>
      </c>
    </row>
    <row r="6653" spans="8:8" x14ac:dyDescent="0.3">
      <c r="H6653" t="str">
        <f t="shared" si="153"/>
        <v/>
      </c>
    </row>
    <row r="6654" spans="8:8" x14ac:dyDescent="0.3">
      <c r="H6654" t="str">
        <f t="shared" si="153"/>
        <v/>
      </c>
    </row>
    <row r="6655" spans="8:8" x14ac:dyDescent="0.3">
      <c r="H6655" t="str">
        <f t="shared" si="153"/>
        <v/>
      </c>
    </row>
    <row r="6656" spans="8:8" x14ac:dyDescent="0.3">
      <c r="H6656" t="str">
        <f t="shared" si="153"/>
        <v/>
      </c>
    </row>
    <row r="6657" spans="8:8" x14ac:dyDescent="0.3">
      <c r="H6657" t="str">
        <f t="shared" si="153"/>
        <v/>
      </c>
    </row>
    <row r="6658" spans="8:8" x14ac:dyDescent="0.3">
      <c r="H6658" t="str">
        <f t="shared" si="153"/>
        <v/>
      </c>
    </row>
    <row r="6659" spans="8:8" x14ac:dyDescent="0.3">
      <c r="H6659" t="str">
        <f t="shared" si="153"/>
        <v/>
      </c>
    </row>
    <row r="6660" spans="8:8" x14ac:dyDescent="0.3">
      <c r="H6660" t="str">
        <f t="shared" si="153"/>
        <v/>
      </c>
    </row>
    <row r="6661" spans="8:8" x14ac:dyDescent="0.3">
      <c r="H6661" t="str">
        <f t="shared" si="153"/>
        <v/>
      </c>
    </row>
    <row r="6662" spans="8:8" x14ac:dyDescent="0.3">
      <c r="H6662" t="str">
        <f t="shared" si="153"/>
        <v/>
      </c>
    </row>
    <row r="6663" spans="8:8" x14ac:dyDescent="0.3">
      <c r="H6663" t="str">
        <f t="shared" si="153"/>
        <v/>
      </c>
    </row>
    <row r="6664" spans="8:8" x14ac:dyDescent="0.3">
      <c r="H6664" t="str">
        <f t="shared" si="153"/>
        <v/>
      </c>
    </row>
    <row r="6665" spans="8:8" x14ac:dyDescent="0.3">
      <c r="H6665" t="str">
        <f t="shared" si="153"/>
        <v/>
      </c>
    </row>
    <row r="6666" spans="8:8" x14ac:dyDescent="0.3">
      <c r="H6666" t="str">
        <f t="shared" si="153"/>
        <v/>
      </c>
    </row>
    <row r="6667" spans="8:8" x14ac:dyDescent="0.3">
      <c r="H6667" t="str">
        <f t="shared" si="153"/>
        <v/>
      </c>
    </row>
    <row r="6668" spans="8:8" x14ac:dyDescent="0.3">
      <c r="H6668" t="str">
        <f t="shared" si="153"/>
        <v/>
      </c>
    </row>
    <row r="6669" spans="8:8" x14ac:dyDescent="0.3">
      <c r="H6669" t="str">
        <f t="shared" si="153"/>
        <v/>
      </c>
    </row>
    <row r="6670" spans="8:8" x14ac:dyDescent="0.3">
      <c r="H6670" t="str">
        <f t="shared" si="153"/>
        <v/>
      </c>
    </row>
    <row r="6671" spans="8:8" x14ac:dyDescent="0.3">
      <c r="H6671" t="str">
        <f t="shared" si="153"/>
        <v/>
      </c>
    </row>
    <row r="6672" spans="8:8" x14ac:dyDescent="0.3">
      <c r="H6672" t="str">
        <f t="shared" si="153"/>
        <v/>
      </c>
    </row>
    <row r="6673" spans="8:8" x14ac:dyDescent="0.3">
      <c r="H6673" t="str">
        <f t="shared" si="153"/>
        <v/>
      </c>
    </row>
    <row r="6674" spans="8:8" x14ac:dyDescent="0.3">
      <c r="H6674" t="str">
        <f t="shared" si="153"/>
        <v/>
      </c>
    </row>
    <row r="6675" spans="8:8" x14ac:dyDescent="0.3">
      <c r="H6675" t="str">
        <f t="shared" si="153"/>
        <v/>
      </c>
    </row>
    <row r="6676" spans="8:8" x14ac:dyDescent="0.3">
      <c r="H6676" t="str">
        <f t="shared" si="153"/>
        <v/>
      </c>
    </row>
    <row r="6677" spans="8:8" x14ac:dyDescent="0.3">
      <c r="H6677" t="str">
        <f t="shared" si="153"/>
        <v/>
      </c>
    </row>
    <row r="6678" spans="8:8" x14ac:dyDescent="0.3">
      <c r="H6678" t="str">
        <f t="shared" si="153"/>
        <v/>
      </c>
    </row>
    <row r="6679" spans="8:8" x14ac:dyDescent="0.3">
      <c r="H6679" t="str">
        <f t="shared" ref="H6679:H6742" si="154">IF(B6679="","",$C$12)</f>
        <v/>
      </c>
    </row>
    <row r="6680" spans="8:8" x14ac:dyDescent="0.3">
      <c r="H6680" t="str">
        <f t="shared" si="154"/>
        <v/>
      </c>
    </row>
    <row r="6681" spans="8:8" x14ac:dyDescent="0.3">
      <c r="H6681" t="str">
        <f t="shared" si="154"/>
        <v/>
      </c>
    </row>
    <row r="6682" spans="8:8" x14ac:dyDescent="0.3">
      <c r="H6682" t="str">
        <f t="shared" si="154"/>
        <v/>
      </c>
    </row>
    <row r="6683" spans="8:8" x14ac:dyDescent="0.3">
      <c r="H6683" t="str">
        <f t="shared" si="154"/>
        <v/>
      </c>
    </row>
    <row r="6684" spans="8:8" x14ac:dyDescent="0.3">
      <c r="H6684" t="str">
        <f t="shared" si="154"/>
        <v/>
      </c>
    </row>
    <row r="6685" spans="8:8" x14ac:dyDescent="0.3">
      <c r="H6685" t="str">
        <f t="shared" si="154"/>
        <v/>
      </c>
    </row>
    <row r="6686" spans="8:8" x14ac:dyDescent="0.3">
      <c r="H6686" t="str">
        <f t="shared" si="154"/>
        <v/>
      </c>
    </row>
    <row r="6687" spans="8:8" x14ac:dyDescent="0.3">
      <c r="H6687" t="str">
        <f t="shared" si="154"/>
        <v/>
      </c>
    </row>
    <row r="6688" spans="8:8" x14ac:dyDescent="0.3">
      <c r="H6688" t="str">
        <f t="shared" si="154"/>
        <v/>
      </c>
    </row>
    <row r="6689" spans="8:8" x14ac:dyDescent="0.3">
      <c r="H6689" t="str">
        <f t="shared" si="154"/>
        <v/>
      </c>
    </row>
    <row r="6690" spans="8:8" x14ac:dyDescent="0.3">
      <c r="H6690" t="str">
        <f t="shared" si="154"/>
        <v/>
      </c>
    </row>
    <row r="6691" spans="8:8" x14ac:dyDescent="0.3">
      <c r="H6691" t="str">
        <f t="shared" si="154"/>
        <v/>
      </c>
    </row>
    <row r="6692" spans="8:8" x14ac:dyDescent="0.3">
      <c r="H6692" t="str">
        <f t="shared" si="154"/>
        <v/>
      </c>
    </row>
    <row r="6693" spans="8:8" x14ac:dyDescent="0.3">
      <c r="H6693" t="str">
        <f t="shared" si="154"/>
        <v/>
      </c>
    </row>
    <row r="6694" spans="8:8" x14ac:dyDescent="0.3">
      <c r="H6694" t="str">
        <f t="shared" si="154"/>
        <v/>
      </c>
    </row>
    <row r="6695" spans="8:8" x14ac:dyDescent="0.3">
      <c r="H6695" t="str">
        <f t="shared" si="154"/>
        <v/>
      </c>
    </row>
    <row r="6696" spans="8:8" x14ac:dyDescent="0.3">
      <c r="H6696" t="str">
        <f t="shared" si="154"/>
        <v/>
      </c>
    </row>
    <row r="6697" spans="8:8" x14ac:dyDescent="0.3">
      <c r="H6697" t="str">
        <f t="shared" si="154"/>
        <v/>
      </c>
    </row>
    <row r="6698" spans="8:8" x14ac:dyDescent="0.3">
      <c r="H6698" t="str">
        <f t="shared" si="154"/>
        <v/>
      </c>
    </row>
    <row r="6699" spans="8:8" x14ac:dyDescent="0.3">
      <c r="H6699" t="str">
        <f t="shared" si="154"/>
        <v/>
      </c>
    </row>
    <row r="6700" spans="8:8" x14ac:dyDescent="0.3">
      <c r="H6700" t="str">
        <f t="shared" si="154"/>
        <v/>
      </c>
    </row>
    <row r="6701" spans="8:8" x14ac:dyDescent="0.3">
      <c r="H6701" t="str">
        <f t="shared" si="154"/>
        <v/>
      </c>
    </row>
    <row r="6702" spans="8:8" x14ac:dyDescent="0.3">
      <c r="H6702" t="str">
        <f t="shared" si="154"/>
        <v/>
      </c>
    </row>
    <row r="6703" spans="8:8" x14ac:dyDescent="0.3">
      <c r="H6703" t="str">
        <f t="shared" si="154"/>
        <v/>
      </c>
    </row>
    <row r="6704" spans="8:8" x14ac:dyDescent="0.3">
      <c r="H6704" t="str">
        <f t="shared" si="154"/>
        <v/>
      </c>
    </row>
    <row r="6705" spans="8:8" x14ac:dyDescent="0.3">
      <c r="H6705" t="str">
        <f t="shared" si="154"/>
        <v/>
      </c>
    </row>
    <row r="6706" spans="8:8" x14ac:dyDescent="0.3">
      <c r="H6706" t="str">
        <f t="shared" si="154"/>
        <v/>
      </c>
    </row>
    <row r="6707" spans="8:8" x14ac:dyDescent="0.3">
      <c r="H6707" t="str">
        <f t="shared" si="154"/>
        <v/>
      </c>
    </row>
    <row r="6708" spans="8:8" x14ac:dyDescent="0.3">
      <c r="H6708" t="str">
        <f t="shared" si="154"/>
        <v/>
      </c>
    </row>
    <row r="6709" spans="8:8" x14ac:dyDescent="0.3">
      <c r="H6709" t="str">
        <f t="shared" si="154"/>
        <v/>
      </c>
    </row>
    <row r="6710" spans="8:8" x14ac:dyDescent="0.3">
      <c r="H6710" t="str">
        <f t="shared" si="154"/>
        <v/>
      </c>
    </row>
    <row r="6711" spans="8:8" x14ac:dyDescent="0.3">
      <c r="H6711" t="str">
        <f t="shared" si="154"/>
        <v/>
      </c>
    </row>
    <row r="6712" spans="8:8" x14ac:dyDescent="0.3">
      <c r="H6712" t="str">
        <f t="shared" si="154"/>
        <v/>
      </c>
    </row>
    <row r="6713" spans="8:8" x14ac:dyDescent="0.3">
      <c r="H6713" t="str">
        <f t="shared" si="154"/>
        <v/>
      </c>
    </row>
    <row r="6714" spans="8:8" x14ac:dyDescent="0.3">
      <c r="H6714" t="str">
        <f t="shared" si="154"/>
        <v/>
      </c>
    </row>
    <row r="6715" spans="8:8" x14ac:dyDescent="0.3">
      <c r="H6715" t="str">
        <f t="shared" si="154"/>
        <v/>
      </c>
    </row>
    <row r="6716" spans="8:8" x14ac:dyDescent="0.3">
      <c r="H6716" t="str">
        <f t="shared" si="154"/>
        <v/>
      </c>
    </row>
    <row r="6717" spans="8:8" x14ac:dyDescent="0.3">
      <c r="H6717" t="str">
        <f t="shared" si="154"/>
        <v/>
      </c>
    </row>
    <row r="6718" spans="8:8" x14ac:dyDescent="0.3">
      <c r="H6718" t="str">
        <f t="shared" si="154"/>
        <v/>
      </c>
    </row>
    <row r="6719" spans="8:8" x14ac:dyDescent="0.3">
      <c r="H6719" t="str">
        <f t="shared" si="154"/>
        <v/>
      </c>
    </row>
    <row r="6720" spans="8:8" x14ac:dyDescent="0.3">
      <c r="H6720" t="str">
        <f t="shared" si="154"/>
        <v/>
      </c>
    </row>
    <row r="6721" spans="8:8" x14ac:dyDescent="0.3">
      <c r="H6721" t="str">
        <f t="shared" si="154"/>
        <v/>
      </c>
    </row>
    <row r="6722" spans="8:8" x14ac:dyDescent="0.3">
      <c r="H6722" t="str">
        <f t="shared" si="154"/>
        <v/>
      </c>
    </row>
    <row r="6723" spans="8:8" x14ac:dyDescent="0.3">
      <c r="H6723" t="str">
        <f t="shared" si="154"/>
        <v/>
      </c>
    </row>
    <row r="6724" spans="8:8" x14ac:dyDescent="0.3">
      <c r="H6724" t="str">
        <f t="shared" si="154"/>
        <v/>
      </c>
    </row>
    <row r="6725" spans="8:8" x14ac:dyDescent="0.3">
      <c r="H6725" t="str">
        <f t="shared" si="154"/>
        <v/>
      </c>
    </row>
    <row r="6726" spans="8:8" x14ac:dyDescent="0.3">
      <c r="H6726" t="str">
        <f t="shared" si="154"/>
        <v/>
      </c>
    </row>
    <row r="6727" spans="8:8" x14ac:dyDescent="0.3">
      <c r="H6727" t="str">
        <f t="shared" si="154"/>
        <v/>
      </c>
    </row>
    <row r="6728" spans="8:8" x14ac:dyDescent="0.3">
      <c r="H6728" t="str">
        <f t="shared" si="154"/>
        <v/>
      </c>
    </row>
    <row r="6729" spans="8:8" x14ac:dyDescent="0.3">
      <c r="H6729" t="str">
        <f t="shared" si="154"/>
        <v/>
      </c>
    </row>
    <row r="6730" spans="8:8" x14ac:dyDescent="0.3">
      <c r="H6730" t="str">
        <f t="shared" si="154"/>
        <v/>
      </c>
    </row>
    <row r="6731" spans="8:8" x14ac:dyDescent="0.3">
      <c r="H6731" t="str">
        <f t="shared" si="154"/>
        <v/>
      </c>
    </row>
    <row r="6732" spans="8:8" x14ac:dyDescent="0.3">
      <c r="H6732" t="str">
        <f t="shared" si="154"/>
        <v/>
      </c>
    </row>
    <row r="6733" spans="8:8" x14ac:dyDescent="0.3">
      <c r="H6733" t="str">
        <f t="shared" si="154"/>
        <v/>
      </c>
    </row>
    <row r="6734" spans="8:8" x14ac:dyDescent="0.3">
      <c r="H6734" t="str">
        <f t="shared" si="154"/>
        <v/>
      </c>
    </row>
    <row r="6735" spans="8:8" x14ac:dyDescent="0.3">
      <c r="H6735" t="str">
        <f t="shared" si="154"/>
        <v/>
      </c>
    </row>
    <row r="6736" spans="8:8" x14ac:dyDescent="0.3">
      <c r="H6736" t="str">
        <f t="shared" si="154"/>
        <v/>
      </c>
    </row>
    <row r="6737" spans="8:8" x14ac:dyDescent="0.3">
      <c r="H6737" t="str">
        <f t="shared" si="154"/>
        <v/>
      </c>
    </row>
    <row r="6738" spans="8:8" x14ac:dyDescent="0.3">
      <c r="H6738" t="str">
        <f t="shared" si="154"/>
        <v/>
      </c>
    </row>
    <row r="6739" spans="8:8" x14ac:dyDescent="0.3">
      <c r="H6739" t="str">
        <f t="shared" si="154"/>
        <v/>
      </c>
    </row>
    <row r="6740" spans="8:8" x14ac:dyDescent="0.3">
      <c r="H6740" t="str">
        <f t="shared" si="154"/>
        <v/>
      </c>
    </row>
    <row r="6741" spans="8:8" x14ac:dyDescent="0.3">
      <c r="H6741" t="str">
        <f t="shared" si="154"/>
        <v/>
      </c>
    </row>
    <row r="6742" spans="8:8" x14ac:dyDescent="0.3">
      <c r="H6742" t="str">
        <f t="shared" si="154"/>
        <v/>
      </c>
    </row>
    <row r="6743" spans="8:8" x14ac:dyDescent="0.3">
      <c r="H6743" t="str">
        <f t="shared" ref="H6743:H6806" si="155">IF(B6743="","",$C$12)</f>
        <v/>
      </c>
    </row>
    <row r="6744" spans="8:8" x14ac:dyDescent="0.3">
      <c r="H6744" t="str">
        <f t="shared" si="155"/>
        <v/>
      </c>
    </row>
    <row r="6745" spans="8:8" x14ac:dyDescent="0.3">
      <c r="H6745" t="str">
        <f t="shared" si="155"/>
        <v/>
      </c>
    </row>
    <row r="6746" spans="8:8" x14ac:dyDescent="0.3">
      <c r="H6746" t="str">
        <f t="shared" si="155"/>
        <v/>
      </c>
    </row>
    <row r="6747" spans="8:8" x14ac:dyDescent="0.3">
      <c r="H6747" t="str">
        <f t="shared" si="155"/>
        <v/>
      </c>
    </row>
    <row r="6748" spans="8:8" x14ac:dyDescent="0.3">
      <c r="H6748" t="str">
        <f t="shared" si="155"/>
        <v/>
      </c>
    </row>
    <row r="6749" spans="8:8" x14ac:dyDescent="0.3">
      <c r="H6749" t="str">
        <f t="shared" si="155"/>
        <v/>
      </c>
    </row>
    <row r="6750" spans="8:8" x14ac:dyDescent="0.3">
      <c r="H6750" t="str">
        <f t="shared" si="155"/>
        <v/>
      </c>
    </row>
    <row r="6751" spans="8:8" x14ac:dyDescent="0.3">
      <c r="H6751" t="str">
        <f t="shared" si="155"/>
        <v/>
      </c>
    </row>
    <row r="6752" spans="8:8" x14ac:dyDescent="0.3">
      <c r="H6752" t="str">
        <f t="shared" si="155"/>
        <v/>
      </c>
    </row>
    <row r="6753" spans="8:8" x14ac:dyDescent="0.3">
      <c r="H6753" t="str">
        <f t="shared" si="155"/>
        <v/>
      </c>
    </row>
    <row r="6754" spans="8:8" x14ac:dyDescent="0.3">
      <c r="H6754" t="str">
        <f t="shared" si="155"/>
        <v/>
      </c>
    </row>
    <row r="6755" spans="8:8" x14ac:dyDescent="0.3">
      <c r="H6755" t="str">
        <f t="shared" si="155"/>
        <v/>
      </c>
    </row>
    <row r="6756" spans="8:8" x14ac:dyDescent="0.3">
      <c r="H6756" t="str">
        <f t="shared" si="155"/>
        <v/>
      </c>
    </row>
    <row r="6757" spans="8:8" x14ac:dyDescent="0.3">
      <c r="H6757" t="str">
        <f t="shared" si="155"/>
        <v/>
      </c>
    </row>
    <row r="6758" spans="8:8" x14ac:dyDescent="0.3">
      <c r="H6758" t="str">
        <f t="shared" si="155"/>
        <v/>
      </c>
    </row>
    <row r="6759" spans="8:8" x14ac:dyDescent="0.3">
      <c r="H6759" t="str">
        <f t="shared" si="155"/>
        <v/>
      </c>
    </row>
    <row r="6760" spans="8:8" x14ac:dyDescent="0.3">
      <c r="H6760" t="str">
        <f t="shared" si="155"/>
        <v/>
      </c>
    </row>
    <row r="6761" spans="8:8" x14ac:dyDescent="0.3">
      <c r="H6761" t="str">
        <f t="shared" si="155"/>
        <v/>
      </c>
    </row>
    <row r="6762" spans="8:8" x14ac:dyDescent="0.3">
      <c r="H6762" t="str">
        <f t="shared" si="155"/>
        <v/>
      </c>
    </row>
    <row r="6763" spans="8:8" x14ac:dyDescent="0.3">
      <c r="H6763" t="str">
        <f t="shared" si="155"/>
        <v/>
      </c>
    </row>
    <row r="6764" spans="8:8" x14ac:dyDescent="0.3">
      <c r="H6764" t="str">
        <f t="shared" si="155"/>
        <v/>
      </c>
    </row>
    <row r="6765" spans="8:8" x14ac:dyDescent="0.3">
      <c r="H6765" t="str">
        <f t="shared" si="155"/>
        <v/>
      </c>
    </row>
    <row r="6766" spans="8:8" x14ac:dyDescent="0.3">
      <c r="H6766" t="str">
        <f t="shared" si="155"/>
        <v/>
      </c>
    </row>
    <row r="6767" spans="8:8" x14ac:dyDescent="0.3">
      <c r="H6767" t="str">
        <f t="shared" si="155"/>
        <v/>
      </c>
    </row>
    <row r="6768" spans="8:8" x14ac:dyDescent="0.3">
      <c r="H6768" t="str">
        <f t="shared" si="155"/>
        <v/>
      </c>
    </row>
    <row r="6769" spans="8:8" x14ac:dyDescent="0.3">
      <c r="H6769" t="str">
        <f t="shared" si="155"/>
        <v/>
      </c>
    </row>
    <row r="6770" spans="8:8" x14ac:dyDescent="0.3">
      <c r="H6770" t="str">
        <f t="shared" si="155"/>
        <v/>
      </c>
    </row>
    <row r="6771" spans="8:8" x14ac:dyDescent="0.3">
      <c r="H6771" t="str">
        <f t="shared" si="155"/>
        <v/>
      </c>
    </row>
    <row r="6772" spans="8:8" x14ac:dyDescent="0.3">
      <c r="H6772" t="str">
        <f t="shared" si="155"/>
        <v/>
      </c>
    </row>
    <row r="6773" spans="8:8" x14ac:dyDescent="0.3">
      <c r="H6773" t="str">
        <f t="shared" si="155"/>
        <v/>
      </c>
    </row>
    <row r="6774" spans="8:8" x14ac:dyDescent="0.3">
      <c r="H6774" t="str">
        <f t="shared" si="155"/>
        <v/>
      </c>
    </row>
    <row r="6775" spans="8:8" x14ac:dyDescent="0.3">
      <c r="H6775" t="str">
        <f t="shared" si="155"/>
        <v/>
      </c>
    </row>
    <row r="6776" spans="8:8" x14ac:dyDescent="0.3">
      <c r="H6776" t="str">
        <f t="shared" si="155"/>
        <v/>
      </c>
    </row>
    <row r="6777" spans="8:8" x14ac:dyDescent="0.3">
      <c r="H6777" t="str">
        <f t="shared" si="155"/>
        <v/>
      </c>
    </row>
    <row r="6778" spans="8:8" x14ac:dyDescent="0.3">
      <c r="H6778" t="str">
        <f t="shared" si="155"/>
        <v/>
      </c>
    </row>
    <row r="6779" spans="8:8" x14ac:dyDescent="0.3">
      <c r="H6779" t="str">
        <f t="shared" si="155"/>
        <v/>
      </c>
    </row>
    <row r="6780" spans="8:8" x14ac:dyDescent="0.3">
      <c r="H6780" t="str">
        <f t="shared" si="155"/>
        <v/>
      </c>
    </row>
    <row r="6781" spans="8:8" x14ac:dyDescent="0.3">
      <c r="H6781" t="str">
        <f t="shared" si="155"/>
        <v/>
      </c>
    </row>
    <row r="6782" spans="8:8" x14ac:dyDescent="0.3">
      <c r="H6782" t="str">
        <f t="shared" si="155"/>
        <v/>
      </c>
    </row>
    <row r="6783" spans="8:8" x14ac:dyDescent="0.3">
      <c r="H6783" t="str">
        <f t="shared" si="155"/>
        <v/>
      </c>
    </row>
    <row r="6784" spans="8:8" x14ac:dyDescent="0.3">
      <c r="H6784" t="str">
        <f t="shared" si="155"/>
        <v/>
      </c>
    </row>
    <row r="6785" spans="8:8" x14ac:dyDescent="0.3">
      <c r="H6785" t="str">
        <f t="shared" si="155"/>
        <v/>
      </c>
    </row>
    <row r="6786" spans="8:8" x14ac:dyDescent="0.3">
      <c r="H6786" t="str">
        <f t="shared" si="155"/>
        <v/>
      </c>
    </row>
    <row r="6787" spans="8:8" x14ac:dyDescent="0.3">
      <c r="H6787" t="str">
        <f t="shared" si="155"/>
        <v/>
      </c>
    </row>
    <row r="6788" spans="8:8" x14ac:dyDescent="0.3">
      <c r="H6788" t="str">
        <f t="shared" si="155"/>
        <v/>
      </c>
    </row>
    <row r="6789" spans="8:8" x14ac:dyDescent="0.3">
      <c r="H6789" t="str">
        <f t="shared" si="155"/>
        <v/>
      </c>
    </row>
    <row r="6790" spans="8:8" x14ac:dyDescent="0.3">
      <c r="H6790" t="str">
        <f t="shared" si="155"/>
        <v/>
      </c>
    </row>
    <row r="6791" spans="8:8" x14ac:dyDescent="0.3">
      <c r="H6791" t="str">
        <f t="shared" si="155"/>
        <v/>
      </c>
    </row>
    <row r="6792" spans="8:8" x14ac:dyDescent="0.3">
      <c r="H6792" t="str">
        <f t="shared" si="155"/>
        <v/>
      </c>
    </row>
    <row r="6793" spans="8:8" x14ac:dyDescent="0.3">
      <c r="H6793" t="str">
        <f t="shared" si="155"/>
        <v/>
      </c>
    </row>
    <row r="6794" spans="8:8" x14ac:dyDescent="0.3">
      <c r="H6794" t="str">
        <f t="shared" si="155"/>
        <v/>
      </c>
    </row>
    <row r="6795" spans="8:8" x14ac:dyDescent="0.3">
      <c r="H6795" t="str">
        <f t="shared" si="155"/>
        <v/>
      </c>
    </row>
    <row r="6796" spans="8:8" x14ac:dyDescent="0.3">
      <c r="H6796" t="str">
        <f t="shared" si="155"/>
        <v/>
      </c>
    </row>
    <row r="6797" spans="8:8" x14ac:dyDescent="0.3">
      <c r="H6797" t="str">
        <f t="shared" si="155"/>
        <v/>
      </c>
    </row>
    <row r="6798" spans="8:8" x14ac:dyDescent="0.3">
      <c r="H6798" t="str">
        <f t="shared" si="155"/>
        <v/>
      </c>
    </row>
    <row r="6799" spans="8:8" x14ac:dyDescent="0.3">
      <c r="H6799" t="str">
        <f t="shared" si="155"/>
        <v/>
      </c>
    </row>
    <row r="6800" spans="8:8" x14ac:dyDescent="0.3">
      <c r="H6800" t="str">
        <f t="shared" si="155"/>
        <v/>
      </c>
    </row>
    <row r="6801" spans="8:8" x14ac:dyDescent="0.3">
      <c r="H6801" t="str">
        <f t="shared" si="155"/>
        <v/>
      </c>
    </row>
    <row r="6802" spans="8:8" x14ac:dyDescent="0.3">
      <c r="H6802" t="str">
        <f t="shared" si="155"/>
        <v/>
      </c>
    </row>
    <row r="6803" spans="8:8" x14ac:dyDescent="0.3">
      <c r="H6803" t="str">
        <f t="shared" si="155"/>
        <v/>
      </c>
    </row>
    <row r="6804" spans="8:8" x14ac:dyDescent="0.3">
      <c r="H6804" t="str">
        <f t="shared" si="155"/>
        <v/>
      </c>
    </row>
    <row r="6805" spans="8:8" x14ac:dyDescent="0.3">
      <c r="H6805" t="str">
        <f t="shared" si="155"/>
        <v/>
      </c>
    </row>
    <row r="6806" spans="8:8" x14ac:dyDescent="0.3">
      <c r="H6806" t="str">
        <f t="shared" si="155"/>
        <v/>
      </c>
    </row>
    <row r="6807" spans="8:8" x14ac:dyDescent="0.3">
      <c r="H6807" t="str">
        <f t="shared" ref="H6807:H6870" si="156">IF(B6807="","",$C$12)</f>
        <v/>
      </c>
    </row>
    <row r="6808" spans="8:8" x14ac:dyDescent="0.3">
      <c r="H6808" t="str">
        <f t="shared" si="156"/>
        <v/>
      </c>
    </row>
    <row r="6809" spans="8:8" x14ac:dyDescent="0.3">
      <c r="H6809" t="str">
        <f t="shared" si="156"/>
        <v/>
      </c>
    </row>
    <row r="6810" spans="8:8" x14ac:dyDescent="0.3">
      <c r="H6810" t="str">
        <f t="shared" si="156"/>
        <v/>
      </c>
    </row>
    <row r="6811" spans="8:8" x14ac:dyDescent="0.3">
      <c r="H6811" t="str">
        <f t="shared" si="156"/>
        <v/>
      </c>
    </row>
    <row r="6812" spans="8:8" x14ac:dyDescent="0.3">
      <c r="H6812" t="str">
        <f t="shared" si="156"/>
        <v/>
      </c>
    </row>
    <row r="6813" spans="8:8" x14ac:dyDescent="0.3">
      <c r="H6813" t="str">
        <f t="shared" si="156"/>
        <v/>
      </c>
    </row>
    <row r="6814" spans="8:8" x14ac:dyDescent="0.3">
      <c r="H6814" t="str">
        <f t="shared" si="156"/>
        <v/>
      </c>
    </row>
    <row r="6815" spans="8:8" x14ac:dyDescent="0.3">
      <c r="H6815" t="str">
        <f t="shared" si="156"/>
        <v/>
      </c>
    </row>
    <row r="6816" spans="8:8" x14ac:dyDescent="0.3">
      <c r="H6816" t="str">
        <f t="shared" si="156"/>
        <v/>
      </c>
    </row>
    <row r="6817" spans="8:8" x14ac:dyDescent="0.3">
      <c r="H6817" t="str">
        <f t="shared" si="156"/>
        <v/>
      </c>
    </row>
    <row r="6818" spans="8:8" x14ac:dyDescent="0.3">
      <c r="H6818" t="str">
        <f t="shared" si="156"/>
        <v/>
      </c>
    </row>
    <row r="6819" spans="8:8" x14ac:dyDescent="0.3">
      <c r="H6819" t="str">
        <f t="shared" si="156"/>
        <v/>
      </c>
    </row>
    <row r="6820" spans="8:8" x14ac:dyDescent="0.3">
      <c r="H6820" t="str">
        <f t="shared" si="156"/>
        <v/>
      </c>
    </row>
    <row r="6821" spans="8:8" x14ac:dyDescent="0.3">
      <c r="H6821" t="str">
        <f t="shared" si="156"/>
        <v/>
      </c>
    </row>
    <row r="6822" spans="8:8" x14ac:dyDescent="0.3">
      <c r="H6822" t="str">
        <f t="shared" si="156"/>
        <v/>
      </c>
    </row>
    <row r="6823" spans="8:8" x14ac:dyDescent="0.3">
      <c r="H6823" t="str">
        <f t="shared" si="156"/>
        <v/>
      </c>
    </row>
    <row r="6824" spans="8:8" x14ac:dyDescent="0.3">
      <c r="H6824" t="str">
        <f t="shared" si="156"/>
        <v/>
      </c>
    </row>
    <row r="6825" spans="8:8" x14ac:dyDescent="0.3">
      <c r="H6825" t="str">
        <f t="shared" si="156"/>
        <v/>
      </c>
    </row>
    <row r="6826" spans="8:8" x14ac:dyDescent="0.3">
      <c r="H6826" t="str">
        <f t="shared" si="156"/>
        <v/>
      </c>
    </row>
    <row r="6827" spans="8:8" x14ac:dyDescent="0.3">
      <c r="H6827" t="str">
        <f t="shared" si="156"/>
        <v/>
      </c>
    </row>
    <row r="6828" spans="8:8" x14ac:dyDescent="0.3">
      <c r="H6828" t="str">
        <f t="shared" si="156"/>
        <v/>
      </c>
    </row>
    <row r="6829" spans="8:8" x14ac:dyDescent="0.3">
      <c r="H6829" t="str">
        <f t="shared" si="156"/>
        <v/>
      </c>
    </row>
    <row r="6830" spans="8:8" x14ac:dyDescent="0.3">
      <c r="H6830" t="str">
        <f t="shared" si="156"/>
        <v/>
      </c>
    </row>
    <row r="6831" spans="8:8" x14ac:dyDescent="0.3">
      <c r="H6831" t="str">
        <f t="shared" si="156"/>
        <v/>
      </c>
    </row>
    <row r="6832" spans="8:8" x14ac:dyDescent="0.3">
      <c r="H6832" t="str">
        <f t="shared" si="156"/>
        <v/>
      </c>
    </row>
    <row r="6833" spans="8:8" x14ac:dyDescent="0.3">
      <c r="H6833" t="str">
        <f t="shared" si="156"/>
        <v/>
      </c>
    </row>
    <row r="6834" spans="8:8" x14ac:dyDescent="0.3">
      <c r="H6834" t="str">
        <f t="shared" si="156"/>
        <v/>
      </c>
    </row>
    <row r="6835" spans="8:8" x14ac:dyDescent="0.3">
      <c r="H6835" t="str">
        <f t="shared" si="156"/>
        <v/>
      </c>
    </row>
    <row r="6836" spans="8:8" x14ac:dyDescent="0.3">
      <c r="H6836" t="str">
        <f t="shared" si="156"/>
        <v/>
      </c>
    </row>
    <row r="6837" spans="8:8" x14ac:dyDescent="0.3">
      <c r="H6837" t="str">
        <f t="shared" si="156"/>
        <v/>
      </c>
    </row>
    <row r="6838" spans="8:8" x14ac:dyDescent="0.3">
      <c r="H6838" t="str">
        <f t="shared" si="156"/>
        <v/>
      </c>
    </row>
    <row r="6839" spans="8:8" x14ac:dyDescent="0.3">
      <c r="H6839" t="str">
        <f t="shared" si="156"/>
        <v/>
      </c>
    </row>
    <row r="6840" spans="8:8" x14ac:dyDescent="0.3">
      <c r="H6840" t="str">
        <f t="shared" si="156"/>
        <v/>
      </c>
    </row>
    <row r="6841" spans="8:8" x14ac:dyDescent="0.3">
      <c r="H6841" t="str">
        <f t="shared" si="156"/>
        <v/>
      </c>
    </row>
    <row r="6842" spans="8:8" x14ac:dyDescent="0.3">
      <c r="H6842" t="str">
        <f t="shared" si="156"/>
        <v/>
      </c>
    </row>
    <row r="6843" spans="8:8" x14ac:dyDescent="0.3">
      <c r="H6843" t="str">
        <f t="shared" si="156"/>
        <v/>
      </c>
    </row>
    <row r="6844" spans="8:8" x14ac:dyDescent="0.3">
      <c r="H6844" t="str">
        <f t="shared" si="156"/>
        <v/>
      </c>
    </row>
    <row r="6845" spans="8:8" x14ac:dyDescent="0.3">
      <c r="H6845" t="str">
        <f t="shared" si="156"/>
        <v/>
      </c>
    </row>
    <row r="6846" spans="8:8" x14ac:dyDescent="0.3">
      <c r="H6846" t="str">
        <f t="shared" si="156"/>
        <v/>
      </c>
    </row>
    <row r="6847" spans="8:8" x14ac:dyDescent="0.3">
      <c r="H6847" t="str">
        <f t="shared" si="156"/>
        <v/>
      </c>
    </row>
    <row r="6848" spans="8:8" x14ac:dyDescent="0.3">
      <c r="H6848" t="str">
        <f t="shared" si="156"/>
        <v/>
      </c>
    </row>
    <row r="6849" spans="8:8" x14ac:dyDescent="0.3">
      <c r="H6849" t="str">
        <f t="shared" si="156"/>
        <v/>
      </c>
    </row>
    <row r="6850" spans="8:8" x14ac:dyDescent="0.3">
      <c r="H6850" t="str">
        <f t="shared" si="156"/>
        <v/>
      </c>
    </row>
    <row r="6851" spans="8:8" x14ac:dyDescent="0.3">
      <c r="H6851" t="str">
        <f t="shared" si="156"/>
        <v/>
      </c>
    </row>
    <row r="6852" spans="8:8" x14ac:dyDescent="0.3">
      <c r="H6852" t="str">
        <f t="shared" si="156"/>
        <v/>
      </c>
    </row>
    <row r="6853" spans="8:8" x14ac:dyDescent="0.3">
      <c r="H6853" t="str">
        <f t="shared" si="156"/>
        <v/>
      </c>
    </row>
    <row r="6854" spans="8:8" x14ac:dyDescent="0.3">
      <c r="H6854" t="str">
        <f t="shared" si="156"/>
        <v/>
      </c>
    </row>
    <row r="6855" spans="8:8" x14ac:dyDescent="0.3">
      <c r="H6855" t="str">
        <f t="shared" si="156"/>
        <v/>
      </c>
    </row>
    <row r="6856" spans="8:8" x14ac:dyDescent="0.3">
      <c r="H6856" t="str">
        <f t="shared" si="156"/>
        <v/>
      </c>
    </row>
    <row r="6857" spans="8:8" x14ac:dyDescent="0.3">
      <c r="H6857" t="str">
        <f t="shared" si="156"/>
        <v/>
      </c>
    </row>
    <row r="6858" spans="8:8" x14ac:dyDescent="0.3">
      <c r="H6858" t="str">
        <f t="shared" si="156"/>
        <v/>
      </c>
    </row>
    <row r="6859" spans="8:8" x14ac:dyDescent="0.3">
      <c r="H6859" t="str">
        <f t="shared" si="156"/>
        <v/>
      </c>
    </row>
    <row r="6860" spans="8:8" x14ac:dyDescent="0.3">
      <c r="H6860" t="str">
        <f t="shared" si="156"/>
        <v/>
      </c>
    </row>
    <row r="6861" spans="8:8" x14ac:dyDescent="0.3">
      <c r="H6861" t="str">
        <f t="shared" si="156"/>
        <v/>
      </c>
    </row>
    <row r="6862" spans="8:8" x14ac:dyDescent="0.3">
      <c r="H6862" t="str">
        <f t="shared" si="156"/>
        <v/>
      </c>
    </row>
    <row r="6863" spans="8:8" x14ac:dyDescent="0.3">
      <c r="H6863" t="str">
        <f t="shared" si="156"/>
        <v/>
      </c>
    </row>
    <row r="6864" spans="8:8" x14ac:dyDescent="0.3">
      <c r="H6864" t="str">
        <f t="shared" si="156"/>
        <v/>
      </c>
    </row>
    <row r="6865" spans="8:8" x14ac:dyDescent="0.3">
      <c r="H6865" t="str">
        <f t="shared" si="156"/>
        <v/>
      </c>
    </row>
    <row r="6866" spans="8:8" x14ac:dyDescent="0.3">
      <c r="H6866" t="str">
        <f t="shared" si="156"/>
        <v/>
      </c>
    </row>
    <row r="6867" spans="8:8" x14ac:dyDescent="0.3">
      <c r="H6867" t="str">
        <f t="shared" si="156"/>
        <v/>
      </c>
    </row>
    <row r="6868" spans="8:8" x14ac:dyDescent="0.3">
      <c r="H6868" t="str">
        <f t="shared" si="156"/>
        <v/>
      </c>
    </row>
    <row r="6869" spans="8:8" x14ac:dyDescent="0.3">
      <c r="H6869" t="str">
        <f t="shared" si="156"/>
        <v/>
      </c>
    </row>
    <row r="6870" spans="8:8" x14ac:dyDescent="0.3">
      <c r="H6870" t="str">
        <f t="shared" si="156"/>
        <v/>
      </c>
    </row>
    <row r="6871" spans="8:8" x14ac:dyDescent="0.3">
      <c r="H6871" t="str">
        <f t="shared" ref="H6871:H6934" si="157">IF(B6871="","",$C$12)</f>
        <v/>
      </c>
    </row>
    <row r="6872" spans="8:8" x14ac:dyDescent="0.3">
      <c r="H6872" t="str">
        <f t="shared" si="157"/>
        <v/>
      </c>
    </row>
    <row r="6873" spans="8:8" x14ac:dyDescent="0.3">
      <c r="H6873" t="str">
        <f t="shared" si="157"/>
        <v/>
      </c>
    </row>
    <row r="6874" spans="8:8" x14ac:dyDescent="0.3">
      <c r="H6874" t="str">
        <f t="shared" si="157"/>
        <v/>
      </c>
    </row>
    <row r="6875" spans="8:8" x14ac:dyDescent="0.3">
      <c r="H6875" t="str">
        <f t="shared" si="157"/>
        <v/>
      </c>
    </row>
    <row r="6876" spans="8:8" x14ac:dyDescent="0.3">
      <c r="H6876" t="str">
        <f t="shared" si="157"/>
        <v/>
      </c>
    </row>
    <row r="6877" spans="8:8" x14ac:dyDescent="0.3">
      <c r="H6877" t="str">
        <f t="shared" si="157"/>
        <v/>
      </c>
    </row>
    <row r="6878" spans="8:8" x14ac:dyDescent="0.3">
      <c r="H6878" t="str">
        <f t="shared" si="157"/>
        <v/>
      </c>
    </row>
    <row r="6879" spans="8:8" x14ac:dyDescent="0.3">
      <c r="H6879" t="str">
        <f t="shared" si="157"/>
        <v/>
      </c>
    </row>
    <row r="6880" spans="8:8" x14ac:dyDescent="0.3">
      <c r="H6880" t="str">
        <f t="shared" si="157"/>
        <v/>
      </c>
    </row>
    <row r="6881" spans="8:8" x14ac:dyDescent="0.3">
      <c r="H6881" t="str">
        <f t="shared" si="157"/>
        <v/>
      </c>
    </row>
    <row r="6882" spans="8:8" x14ac:dyDescent="0.3">
      <c r="H6882" t="str">
        <f t="shared" si="157"/>
        <v/>
      </c>
    </row>
    <row r="6883" spans="8:8" x14ac:dyDescent="0.3">
      <c r="H6883" t="str">
        <f t="shared" si="157"/>
        <v/>
      </c>
    </row>
    <row r="6884" spans="8:8" x14ac:dyDescent="0.3">
      <c r="H6884" t="str">
        <f t="shared" si="157"/>
        <v/>
      </c>
    </row>
    <row r="6885" spans="8:8" x14ac:dyDescent="0.3">
      <c r="H6885" t="str">
        <f t="shared" si="157"/>
        <v/>
      </c>
    </row>
    <row r="6886" spans="8:8" x14ac:dyDescent="0.3">
      <c r="H6886" t="str">
        <f t="shared" si="157"/>
        <v/>
      </c>
    </row>
    <row r="6887" spans="8:8" x14ac:dyDescent="0.3">
      <c r="H6887" t="str">
        <f t="shared" si="157"/>
        <v/>
      </c>
    </row>
    <row r="6888" spans="8:8" x14ac:dyDescent="0.3">
      <c r="H6888" t="str">
        <f t="shared" si="157"/>
        <v/>
      </c>
    </row>
    <row r="6889" spans="8:8" x14ac:dyDescent="0.3">
      <c r="H6889" t="str">
        <f t="shared" si="157"/>
        <v/>
      </c>
    </row>
    <row r="6890" spans="8:8" x14ac:dyDescent="0.3">
      <c r="H6890" t="str">
        <f t="shared" si="157"/>
        <v/>
      </c>
    </row>
    <row r="6891" spans="8:8" x14ac:dyDescent="0.3">
      <c r="H6891" t="str">
        <f t="shared" si="157"/>
        <v/>
      </c>
    </row>
    <row r="6892" spans="8:8" x14ac:dyDescent="0.3">
      <c r="H6892" t="str">
        <f t="shared" si="157"/>
        <v/>
      </c>
    </row>
    <row r="6893" spans="8:8" x14ac:dyDescent="0.3">
      <c r="H6893" t="str">
        <f t="shared" si="157"/>
        <v/>
      </c>
    </row>
    <row r="6894" spans="8:8" x14ac:dyDescent="0.3">
      <c r="H6894" t="str">
        <f t="shared" si="157"/>
        <v/>
      </c>
    </row>
    <row r="6895" spans="8:8" x14ac:dyDescent="0.3">
      <c r="H6895" t="str">
        <f t="shared" si="157"/>
        <v/>
      </c>
    </row>
    <row r="6896" spans="8:8" x14ac:dyDescent="0.3">
      <c r="H6896" t="str">
        <f t="shared" si="157"/>
        <v/>
      </c>
    </row>
    <row r="6897" spans="8:8" x14ac:dyDescent="0.3">
      <c r="H6897" t="str">
        <f t="shared" si="157"/>
        <v/>
      </c>
    </row>
    <row r="6898" spans="8:8" x14ac:dyDescent="0.3">
      <c r="H6898" t="str">
        <f t="shared" si="157"/>
        <v/>
      </c>
    </row>
    <row r="6899" spans="8:8" x14ac:dyDescent="0.3">
      <c r="H6899" t="str">
        <f t="shared" si="157"/>
        <v/>
      </c>
    </row>
    <row r="6900" spans="8:8" x14ac:dyDescent="0.3">
      <c r="H6900" t="str">
        <f t="shared" si="157"/>
        <v/>
      </c>
    </row>
    <row r="6901" spans="8:8" x14ac:dyDescent="0.3">
      <c r="H6901" t="str">
        <f t="shared" si="157"/>
        <v/>
      </c>
    </row>
    <row r="6902" spans="8:8" x14ac:dyDescent="0.3">
      <c r="H6902" t="str">
        <f t="shared" si="157"/>
        <v/>
      </c>
    </row>
    <row r="6903" spans="8:8" x14ac:dyDescent="0.3">
      <c r="H6903" t="str">
        <f t="shared" si="157"/>
        <v/>
      </c>
    </row>
    <row r="6904" spans="8:8" x14ac:dyDescent="0.3">
      <c r="H6904" t="str">
        <f t="shared" si="157"/>
        <v/>
      </c>
    </row>
    <row r="6905" spans="8:8" x14ac:dyDescent="0.3">
      <c r="H6905" t="str">
        <f t="shared" si="157"/>
        <v/>
      </c>
    </row>
    <row r="6906" spans="8:8" x14ac:dyDescent="0.3">
      <c r="H6906" t="str">
        <f t="shared" si="157"/>
        <v/>
      </c>
    </row>
    <row r="6907" spans="8:8" x14ac:dyDescent="0.3">
      <c r="H6907" t="str">
        <f t="shared" si="157"/>
        <v/>
      </c>
    </row>
    <row r="6908" spans="8:8" x14ac:dyDescent="0.3">
      <c r="H6908" t="str">
        <f t="shared" si="157"/>
        <v/>
      </c>
    </row>
    <row r="6909" spans="8:8" x14ac:dyDescent="0.3">
      <c r="H6909" t="str">
        <f t="shared" si="157"/>
        <v/>
      </c>
    </row>
    <row r="6910" spans="8:8" x14ac:dyDescent="0.3">
      <c r="H6910" t="str">
        <f t="shared" si="157"/>
        <v/>
      </c>
    </row>
    <row r="6911" spans="8:8" x14ac:dyDescent="0.3">
      <c r="H6911" t="str">
        <f t="shared" si="157"/>
        <v/>
      </c>
    </row>
    <row r="6912" spans="8:8" x14ac:dyDescent="0.3">
      <c r="H6912" t="str">
        <f t="shared" si="157"/>
        <v/>
      </c>
    </row>
    <row r="6913" spans="8:8" x14ac:dyDescent="0.3">
      <c r="H6913" t="str">
        <f t="shared" si="157"/>
        <v/>
      </c>
    </row>
    <row r="6914" spans="8:8" x14ac:dyDescent="0.3">
      <c r="H6914" t="str">
        <f t="shared" si="157"/>
        <v/>
      </c>
    </row>
    <row r="6915" spans="8:8" x14ac:dyDescent="0.3">
      <c r="H6915" t="str">
        <f t="shared" si="157"/>
        <v/>
      </c>
    </row>
    <row r="6916" spans="8:8" x14ac:dyDescent="0.3">
      <c r="H6916" t="str">
        <f t="shared" si="157"/>
        <v/>
      </c>
    </row>
    <row r="6917" spans="8:8" x14ac:dyDescent="0.3">
      <c r="H6917" t="str">
        <f t="shared" si="157"/>
        <v/>
      </c>
    </row>
    <row r="6918" spans="8:8" x14ac:dyDescent="0.3">
      <c r="H6918" t="str">
        <f t="shared" si="157"/>
        <v/>
      </c>
    </row>
    <row r="6919" spans="8:8" x14ac:dyDescent="0.3">
      <c r="H6919" t="str">
        <f t="shared" si="157"/>
        <v/>
      </c>
    </row>
    <row r="6920" spans="8:8" x14ac:dyDescent="0.3">
      <c r="H6920" t="str">
        <f t="shared" si="157"/>
        <v/>
      </c>
    </row>
    <row r="6921" spans="8:8" x14ac:dyDescent="0.3">
      <c r="H6921" t="str">
        <f t="shared" si="157"/>
        <v/>
      </c>
    </row>
    <row r="6922" spans="8:8" x14ac:dyDescent="0.3">
      <c r="H6922" t="str">
        <f t="shared" si="157"/>
        <v/>
      </c>
    </row>
    <row r="6923" spans="8:8" x14ac:dyDescent="0.3">
      <c r="H6923" t="str">
        <f t="shared" si="157"/>
        <v/>
      </c>
    </row>
    <row r="6924" spans="8:8" x14ac:dyDescent="0.3">
      <c r="H6924" t="str">
        <f t="shared" si="157"/>
        <v/>
      </c>
    </row>
    <row r="6925" spans="8:8" x14ac:dyDescent="0.3">
      <c r="H6925" t="str">
        <f t="shared" si="157"/>
        <v/>
      </c>
    </row>
    <row r="6926" spans="8:8" x14ac:dyDescent="0.3">
      <c r="H6926" t="str">
        <f t="shared" si="157"/>
        <v/>
      </c>
    </row>
    <row r="6927" spans="8:8" x14ac:dyDescent="0.3">
      <c r="H6927" t="str">
        <f t="shared" si="157"/>
        <v/>
      </c>
    </row>
    <row r="6928" spans="8:8" x14ac:dyDescent="0.3">
      <c r="H6928" t="str">
        <f t="shared" si="157"/>
        <v/>
      </c>
    </row>
    <row r="6929" spans="8:8" x14ac:dyDescent="0.3">
      <c r="H6929" t="str">
        <f t="shared" si="157"/>
        <v/>
      </c>
    </row>
    <row r="6930" spans="8:8" x14ac:dyDescent="0.3">
      <c r="H6930" t="str">
        <f t="shared" si="157"/>
        <v/>
      </c>
    </row>
    <row r="6931" spans="8:8" x14ac:dyDescent="0.3">
      <c r="H6931" t="str">
        <f t="shared" si="157"/>
        <v/>
      </c>
    </row>
    <row r="6932" spans="8:8" x14ac:dyDescent="0.3">
      <c r="H6932" t="str">
        <f t="shared" si="157"/>
        <v/>
      </c>
    </row>
    <row r="6933" spans="8:8" x14ac:dyDescent="0.3">
      <c r="H6933" t="str">
        <f t="shared" si="157"/>
        <v/>
      </c>
    </row>
    <row r="6934" spans="8:8" x14ac:dyDescent="0.3">
      <c r="H6934" t="str">
        <f t="shared" si="157"/>
        <v/>
      </c>
    </row>
    <row r="6935" spans="8:8" x14ac:dyDescent="0.3">
      <c r="H6935" t="str">
        <f t="shared" ref="H6935:H6998" si="158">IF(B6935="","",$C$12)</f>
        <v/>
      </c>
    </row>
    <row r="6936" spans="8:8" x14ac:dyDescent="0.3">
      <c r="H6936" t="str">
        <f t="shared" si="158"/>
        <v/>
      </c>
    </row>
    <row r="6937" spans="8:8" x14ac:dyDescent="0.3">
      <c r="H6937" t="str">
        <f t="shared" si="158"/>
        <v/>
      </c>
    </row>
    <row r="6938" spans="8:8" x14ac:dyDescent="0.3">
      <c r="H6938" t="str">
        <f t="shared" si="158"/>
        <v/>
      </c>
    </row>
    <row r="6939" spans="8:8" x14ac:dyDescent="0.3">
      <c r="H6939" t="str">
        <f t="shared" si="158"/>
        <v/>
      </c>
    </row>
    <row r="6940" spans="8:8" x14ac:dyDescent="0.3">
      <c r="H6940" t="str">
        <f t="shared" si="158"/>
        <v/>
      </c>
    </row>
    <row r="6941" spans="8:8" x14ac:dyDescent="0.3">
      <c r="H6941" t="str">
        <f t="shared" si="158"/>
        <v/>
      </c>
    </row>
    <row r="6942" spans="8:8" x14ac:dyDescent="0.3">
      <c r="H6942" t="str">
        <f t="shared" si="158"/>
        <v/>
      </c>
    </row>
    <row r="6943" spans="8:8" x14ac:dyDescent="0.3">
      <c r="H6943" t="str">
        <f t="shared" si="158"/>
        <v/>
      </c>
    </row>
    <row r="6944" spans="8:8" x14ac:dyDescent="0.3">
      <c r="H6944" t="str">
        <f t="shared" si="158"/>
        <v/>
      </c>
    </row>
    <row r="6945" spans="8:8" x14ac:dyDescent="0.3">
      <c r="H6945" t="str">
        <f t="shared" si="158"/>
        <v/>
      </c>
    </row>
    <row r="6946" spans="8:8" x14ac:dyDescent="0.3">
      <c r="H6946" t="str">
        <f t="shared" si="158"/>
        <v/>
      </c>
    </row>
    <row r="6947" spans="8:8" x14ac:dyDescent="0.3">
      <c r="H6947" t="str">
        <f t="shared" si="158"/>
        <v/>
      </c>
    </row>
    <row r="6948" spans="8:8" x14ac:dyDescent="0.3">
      <c r="H6948" t="str">
        <f t="shared" si="158"/>
        <v/>
      </c>
    </row>
    <row r="6949" spans="8:8" x14ac:dyDescent="0.3">
      <c r="H6949" t="str">
        <f t="shared" si="158"/>
        <v/>
      </c>
    </row>
    <row r="6950" spans="8:8" x14ac:dyDescent="0.3">
      <c r="H6950" t="str">
        <f t="shared" si="158"/>
        <v/>
      </c>
    </row>
    <row r="6951" spans="8:8" x14ac:dyDescent="0.3">
      <c r="H6951" t="str">
        <f t="shared" si="158"/>
        <v/>
      </c>
    </row>
    <row r="6952" spans="8:8" x14ac:dyDescent="0.3">
      <c r="H6952" t="str">
        <f t="shared" si="158"/>
        <v/>
      </c>
    </row>
    <row r="6953" spans="8:8" x14ac:dyDescent="0.3">
      <c r="H6953" t="str">
        <f t="shared" si="158"/>
        <v/>
      </c>
    </row>
    <row r="6954" spans="8:8" x14ac:dyDescent="0.3">
      <c r="H6954" t="str">
        <f t="shared" si="158"/>
        <v/>
      </c>
    </row>
    <row r="6955" spans="8:8" x14ac:dyDescent="0.3">
      <c r="H6955" t="str">
        <f t="shared" si="158"/>
        <v/>
      </c>
    </row>
    <row r="6956" spans="8:8" x14ac:dyDescent="0.3">
      <c r="H6956" t="str">
        <f t="shared" si="158"/>
        <v/>
      </c>
    </row>
    <row r="6957" spans="8:8" x14ac:dyDescent="0.3">
      <c r="H6957" t="str">
        <f t="shared" si="158"/>
        <v/>
      </c>
    </row>
    <row r="6958" spans="8:8" x14ac:dyDescent="0.3">
      <c r="H6958" t="str">
        <f t="shared" si="158"/>
        <v/>
      </c>
    </row>
    <row r="6959" spans="8:8" x14ac:dyDescent="0.3">
      <c r="H6959" t="str">
        <f t="shared" si="158"/>
        <v/>
      </c>
    </row>
    <row r="6960" spans="8:8" x14ac:dyDescent="0.3">
      <c r="H6960" t="str">
        <f t="shared" si="158"/>
        <v/>
      </c>
    </row>
    <row r="6961" spans="8:8" x14ac:dyDescent="0.3">
      <c r="H6961" t="str">
        <f t="shared" si="158"/>
        <v/>
      </c>
    </row>
    <row r="6962" spans="8:8" x14ac:dyDescent="0.3">
      <c r="H6962" t="str">
        <f t="shared" si="158"/>
        <v/>
      </c>
    </row>
    <row r="6963" spans="8:8" x14ac:dyDescent="0.3">
      <c r="H6963" t="str">
        <f t="shared" si="158"/>
        <v/>
      </c>
    </row>
    <row r="6964" spans="8:8" x14ac:dyDescent="0.3">
      <c r="H6964" t="str">
        <f t="shared" si="158"/>
        <v/>
      </c>
    </row>
    <row r="6965" spans="8:8" x14ac:dyDescent="0.3">
      <c r="H6965" t="str">
        <f t="shared" si="158"/>
        <v/>
      </c>
    </row>
    <row r="6966" spans="8:8" x14ac:dyDescent="0.3">
      <c r="H6966" t="str">
        <f t="shared" si="158"/>
        <v/>
      </c>
    </row>
    <row r="6967" spans="8:8" x14ac:dyDescent="0.3">
      <c r="H6967" t="str">
        <f t="shared" si="158"/>
        <v/>
      </c>
    </row>
    <row r="6968" spans="8:8" x14ac:dyDescent="0.3">
      <c r="H6968" t="str">
        <f t="shared" si="158"/>
        <v/>
      </c>
    </row>
    <row r="6969" spans="8:8" x14ac:dyDescent="0.3">
      <c r="H6969" t="str">
        <f t="shared" si="158"/>
        <v/>
      </c>
    </row>
    <row r="6970" spans="8:8" x14ac:dyDescent="0.3">
      <c r="H6970" t="str">
        <f t="shared" si="158"/>
        <v/>
      </c>
    </row>
    <row r="6971" spans="8:8" x14ac:dyDescent="0.3">
      <c r="H6971" t="str">
        <f t="shared" si="158"/>
        <v/>
      </c>
    </row>
    <row r="6972" spans="8:8" x14ac:dyDescent="0.3">
      <c r="H6972" t="str">
        <f t="shared" si="158"/>
        <v/>
      </c>
    </row>
    <row r="6973" spans="8:8" x14ac:dyDescent="0.3">
      <c r="H6973" t="str">
        <f t="shared" si="158"/>
        <v/>
      </c>
    </row>
    <row r="6974" spans="8:8" x14ac:dyDescent="0.3">
      <c r="H6974" t="str">
        <f t="shared" si="158"/>
        <v/>
      </c>
    </row>
    <row r="6975" spans="8:8" x14ac:dyDescent="0.3">
      <c r="H6975" t="str">
        <f t="shared" si="158"/>
        <v/>
      </c>
    </row>
    <row r="6976" spans="8:8" x14ac:dyDescent="0.3">
      <c r="H6976" t="str">
        <f t="shared" si="158"/>
        <v/>
      </c>
    </row>
    <row r="6977" spans="8:8" x14ac:dyDescent="0.3">
      <c r="H6977" t="str">
        <f t="shared" si="158"/>
        <v/>
      </c>
    </row>
    <row r="6978" spans="8:8" x14ac:dyDescent="0.3">
      <c r="H6978" t="str">
        <f t="shared" si="158"/>
        <v/>
      </c>
    </row>
    <row r="6979" spans="8:8" x14ac:dyDescent="0.3">
      <c r="H6979" t="str">
        <f t="shared" si="158"/>
        <v/>
      </c>
    </row>
    <row r="6980" spans="8:8" x14ac:dyDescent="0.3">
      <c r="H6980" t="str">
        <f t="shared" si="158"/>
        <v/>
      </c>
    </row>
    <row r="6981" spans="8:8" x14ac:dyDescent="0.3">
      <c r="H6981" t="str">
        <f t="shared" si="158"/>
        <v/>
      </c>
    </row>
    <row r="6982" spans="8:8" x14ac:dyDescent="0.3">
      <c r="H6982" t="str">
        <f t="shared" si="158"/>
        <v/>
      </c>
    </row>
    <row r="6983" spans="8:8" x14ac:dyDescent="0.3">
      <c r="H6983" t="str">
        <f t="shared" si="158"/>
        <v/>
      </c>
    </row>
    <row r="6984" spans="8:8" x14ac:dyDescent="0.3">
      <c r="H6984" t="str">
        <f t="shared" si="158"/>
        <v/>
      </c>
    </row>
    <row r="6985" spans="8:8" x14ac:dyDescent="0.3">
      <c r="H6985" t="str">
        <f t="shared" si="158"/>
        <v/>
      </c>
    </row>
    <row r="6986" spans="8:8" x14ac:dyDescent="0.3">
      <c r="H6986" t="str">
        <f t="shared" si="158"/>
        <v/>
      </c>
    </row>
    <row r="6987" spans="8:8" x14ac:dyDescent="0.3">
      <c r="H6987" t="str">
        <f t="shared" si="158"/>
        <v/>
      </c>
    </row>
    <row r="6988" spans="8:8" x14ac:dyDescent="0.3">
      <c r="H6988" t="str">
        <f t="shared" si="158"/>
        <v/>
      </c>
    </row>
    <row r="6989" spans="8:8" x14ac:dyDescent="0.3">
      <c r="H6989" t="str">
        <f t="shared" si="158"/>
        <v/>
      </c>
    </row>
    <row r="6990" spans="8:8" x14ac:dyDescent="0.3">
      <c r="H6990" t="str">
        <f t="shared" si="158"/>
        <v/>
      </c>
    </row>
    <row r="6991" spans="8:8" x14ac:dyDescent="0.3">
      <c r="H6991" t="str">
        <f t="shared" si="158"/>
        <v/>
      </c>
    </row>
    <row r="6992" spans="8:8" x14ac:dyDescent="0.3">
      <c r="H6992" t="str">
        <f t="shared" si="158"/>
        <v/>
      </c>
    </row>
    <row r="6993" spans="8:8" x14ac:dyDescent="0.3">
      <c r="H6993" t="str">
        <f t="shared" si="158"/>
        <v/>
      </c>
    </row>
    <row r="6994" spans="8:8" x14ac:dyDescent="0.3">
      <c r="H6994" t="str">
        <f t="shared" si="158"/>
        <v/>
      </c>
    </row>
    <row r="6995" spans="8:8" x14ac:dyDescent="0.3">
      <c r="H6995" t="str">
        <f t="shared" si="158"/>
        <v/>
      </c>
    </row>
    <row r="6996" spans="8:8" x14ac:dyDescent="0.3">
      <c r="H6996" t="str">
        <f t="shared" si="158"/>
        <v/>
      </c>
    </row>
    <row r="6997" spans="8:8" x14ac:dyDescent="0.3">
      <c r="H6997" t="str">
        <f t="shared" si="158"/>
        <v/>
      </c>
    </row>
    <row r="6998" spans="8:8" x14ac:dyDescent="0.3">
      <c r="H6998" t="str">
        <f t="shared" si="158"/>
        <v/>
      </c>
    </row>
    <row r="6999" spans="8:8" x14ac:dyDescent="0.3">
      <c r="H6999" t="str">
        <f t="shared" ref="H6999:H7062" si="159">IF(B6999="","",$C$12)</f>
        <v/>
      </c>
    </row>
    <row r="7000" spans="8:8" x14ac:dyDescent="0.3">
      <c r="H7000" t="str">
        <f t="shared" si="159"/>
        <v/>
      </c>
    </row>
    <row r="7001" spans="8:8" x14ac:dyDescent="0.3">
      <c r="H7001" t="str">
        <f t="shared" si="159"/>
        <v/>
      </c>
    </row>
    <row r="7002" spans="8:8" x14ac:dyDescent="0.3">
      <c r="H7002" t="str">
        <f t="shared" si="159"/>
        <v/>
      </c>
    </row>
    <row r="7003" spans="8:8" x14ac:dyDescent="0.3">
      <c r="H7003" t="str">
        <f t="shared" si="159"/>
        <v/>
      </c>
    </row>
    <row r="7004" spans="8:8" x14ac:dyDescent="0.3">
      <c r="H7004" t="str">
        <f t="shared" si="159"/>
        <v/>
      </c>
    </row>
    <row r="7005" spans="8:8" x14ac:dyDescent="0.3">
      <c r="H7005" t="str">
        <f t="shared" si="159"/>
        <v/>
      </c>
    </row>
    <row r="7006" spans="8:8" x14ac:dyDescent="0.3">
      <c r="H7006" t="str">
        <f t="shared" si="159"/>
        <v/>
      </c>
    </row>
    <row r="7007" spans="8:8" x14ac:dyDescent="0.3">
      <c r="H7007" t="str">
        <f t="shared" si="159"/>
        <v/>
      </c>
    </row>
    <row r="7008" spans="8:8" x14ac:dyDescent="0.3">
      <c r="H7008" t="str">
        <f t="shared" si="159"/>
        <v/>
      </c>
    </row>
    <row r="7009" spans="8:8" x14ac:dyDescent="0.3">
      <c r="H7009" t="str">
        <f t="shared" si="159"/>
        <v/>
      </c>
    </row>
    <row r="7010" spans="8:8" x14ac:dyDescent="0.3">
      <c r="H7010" t="str">
        <f t="shared" si="159"/>
        <v/>
      </c>
    </row>
    <row r="7011" spans="8:8" x14ac:dyDescent="0.3">
      <c r="H7011" t="str">
        <f t="shared" si="159"/>
        <v/>
      </c>
    </row>
    <row r="7012" spans="8:8" x14ac:dyDescent="0.3">
      <c r="H7012" t="str">
        <f t="shared" si="159"/>
        <v/>
      </c>
    </row>
    <row r="7013" spans="8:8" x14ac:dyDescent="0.3">
      <c r="H7013" t="str">
        <f t="shared" si="159"/>
        <v/>
      </c>
    </row>
    <row r="7014" spans="8:8" x14ac:dyDescent="0.3">
      <c r="H7014" t="str">
        <f t="shared" si="159"/>
        <v/>
      </c>
    </row>
    <row r="7015" spans="8:8" x14ac:dyDescent="0.3">
      <c r="H7015" t="str">
        <f t="shared" si="159"/>
        <v/>
      </c>
    </row>
    <row r="7016" spans="8:8" x14ac:dyDescent="0.3">
      <c r="H7016" t="str">
        <f t="shared" si="159"/>
        <v/>
      </c>
    </row>
    <row r="7017" spans="8:8" x14ac:dyDescent="0.3">
      <c r="H7017" t="str">
        <f t="shared" si="159"/>
        <v/>
      </c>
    </row>
    <row r="7018" spans="8:8" x14ac:dyDescent="0.3">
      <c r="H7018" t="str">
        <f t="shared" si="159"/>
        <v/>
      </c>
    </row>
    <row r="7019" spans="8:8" x14ac:dyDescent="0.3">
      <c r="H7019" t="str">
        <f t="shared" si="159"/>
        <v/>
      </c>
    </row>
    <row r="7020" spans="8:8" x14ac:dyDescent="0.3">
      <c r="H7020" t="str">
        <f t="shared" si="159"/>
        <v/>
      </c>
    </row>
    <row r="7021" spans="8:8" x14ac:dyDescent="0.3">
      <c r="H7021" t="str">
        <f t="shared" si="159"/>
        <v/>
      </c>
    </row>
    <row r="7022" spans="8:8" x14ac:dyDescent="0.3">
      <c r="H7022" t="str">
        <f t="shared" si="159"/>
        <v/>
      </c>
    </row>
    <row r="7023" spans="8:8" x14ac:dyDescent="0.3">
      <c r="H7023" t="str">
        <f t="shared" si="159"/>
        <v/>
      </c>
    </row>
    <row r="7024" spans="8:8" x14ac:dyDescent="0.3">
      <c r="H7024" t="str">
        <f t="shared" si="159"/>
        <v/>
      </c>
    </row>
    <row r="7025" spans="8:8" x14ac:dyDescent="0.3">
      <c r="H7025" t="str">
        <f t="shared" si="159"/>
        <v/>
      </c>
    </row>
    <row r="7026" spans="8:8" x14ac:dyDescent="0.3">
      <c r="H7026" t="str">
        <f t="shared" si="159"/>
        <v/>
      </c>
    </row>
    <row r="7027" spans="8:8" x14ac:dyDescent="0.3">
      <c r="H7027" t="str">
        <f t="shared" si="159"/>
        <v/>
      </c>
    </row>
    <row r="7028" spans="8:8" x14ac:dyDescent="0.3">
      <c r="H7028" t="str">
        <f t="shared" si="159"/>
        <v/>
      </c>
    </row>
    <row r="7029" spans="8:8" x14ac:dyDescent="0.3">
      <c r="H7029" t="str">
        <f t="shared" si="159"/>
        <v/>
      </c>
    </row>
    <row r="7030" spans="8:8" x14ac:dyDescent="0.3">
      <c r="H7030" t="str">
        <f t="shared" si="159"/>
        <v/>
      </c>
    </row>
    <row r="7031" spans="8:8" x14ac:dyDescent="0.3">
      <c r="H7031" t="str">
        <f t="shared" si="159"/>
        <v/>
      </c>
    </row>
    <row r="7032" spans="8:8" x14ac:dyDescent="0.3">
      <c r="H7032" t="str">
        <f t="shared" si="159"/>
        <v/>
      </c>
    </row>
    <row r="7033" spans="8:8" x14ac:dyDescent="0.3">
      <c r="H7033" t="str">
        <f t="shared" si="159"/>
        <v/>
      </c>
    </row>
    <row r="7034" spans="8:8" x14ac:dyDescent="0.3">
      <c r="H7034" t="str">
        <f t="shared" si="159"/>
        <v/>
      </c>
    </row>
    <row r="7035" spans="8:8" x14ac:dyDescent="0.3">
      <c r="H7035" t="str">
        <f t="shared" si="159"/>
        <v/>
      </c>
    </row>
    <row r="7036" spans="8:8" x14ac:dyDescent="0.3">
      <c r="H7036" t="str">
        <f t="shared" si="159"/>
        <v/>
      </c>
    </row>
    <row r="7037" spans="8:8" x14ac:dyDescent="0.3">
      <c r="H7037" t="str">
        <f t="shared" si="159"/>
        <v/>
      </c>
    </row>
    <row r="7038" spans="8:8" x14ac:dyDescent="0.3">
      <c r="H7038" t="str">
        <f t="shared" si="159"/>
        <v/>
      </c>
    </row>
    <row r="7039" spans="8:8" x14ac:dyDescent="0.3">
      <c r="H7039" t="str">
        <f t="shared" si="159"/>
        <v/>
      </c>
    </row>
    <row r="7040" spans="8:8" x14ac:dyDescent="0.3">
      <c r="H7040" t="str">
        <f t="shared" si="159"/>
        <v/>
      </c>
    </row>
    <row r="7041" spans="8:8" x14ac:dyDescent="0.3">
      <c r="H7041" t="str">
        <f t="shared" si="159"/>
        <v/>
      </c>
    </row>
    <row r="7042" spans="8:8" x14ac:dyDescent="0.3">
      <c r="H7042" t="str">
        <f t="shared" si="159"/>
        <v/>
      </c>
    </row>
    <row r="7043" spans="8:8" x14ac:dyDescent="0.3">
      <c r="H7043" t="str">
        <f t="shared" si="159"/>
        <v/>
      </c>
    </row>
    <row r="7044" spans="8:8" x14ac:dyDescent="0.3">
      <c r="H7044" t="str">
        <f t="shared" si="159"/>
        <v/>
      </c>
    </row>
    <row r="7045" spans="8:8" x14ac:dyDescent="0.3">
      <c r="H7045" t="str">
        <f t="shared" si="159"/>
        <v/>
      </c>
    </row>
    <row r="7046" spans="8:8" x14ac:dyDescent="0.3">
      <c r="H7046" t="str">
        <f t="shared" si="159"/>
        <v/>
      </c>
    </row>
    <row r="7047" spans="8:8" x14ac:dyDescent="0.3">
      <c r="H7047" t="str">
        <f t="shared" si="159"/>
        <v/>
      </c>
    </row>
    <row r="7048" spans="8:8" x14ac:dyDescent="0.3">
      <c r="H7048" t="str">
        <f t="shared" si="159"/>
        <v/>
      </c>
    </row>
    <row r="7049" spans="8:8" x14ac:dyDescent="0.3">
      <c r="H7049" t="str">
        <f t="shared" si="159"/>
        <v/>
      </c>
    </row>
    <row r="7050" spans="8:8" x14ac:dyDescent="0.3">
      <c r="H7050" t="str">
        <f t="shared" si="159"/>
        <v/>
      </c>
    </row>
    <row r="7051" spans="8:8" x14ac:dyDescent="0.3">
      <c r="H7051" t="str">
        <f t="shared" si="159"/>
        <v/>
      </c>
    </row>
    <row r="7052" spans="8:8" x14ac:dyDescent="0.3">
      <c r="H7052" t="str">
        <f t="shared" si="159"/>
        <v/>
      </c>
    </row>
    <row r="7053" spans="8:8" x14ac:dyDescent="0.3">
      <c r="H7053" t="str">
        <f t="shared" si="159"/>
        <v/>
      </c>
    </row>
    <row r="7054" spans="8:8" x14ac:dyDescent="0.3">
      <c r="H7054" t="str">
        <f t="shared" si="159"/>
        <v/>
      </c>
    </row>
    <row r="7055" spans="8:8" x14ac:dyDescent="0.3">
      <c r="H7055" t="str">
        <f t="shared" si="159"/>
        <v/>
      </c>
    </row>
    <row r="7056" spans="8:8" x14ac:dyDescent="0.3">
      <c r="H7056" t="str">
        <f t="shared" si="159"/>
        <v/>
      </c>
    </row>
    <row r="7057" spans="8:8" x14ac:dyDescent="0.3">
      <c r="H7057" t="str">
        <f t="shared" si="159"/>
        <v/>
      </c>
    </row>
    <row r="7058" spans="8:8" x14ac:dyDescent="0.3">
      <c r="H7058" t="str">
        <f t="shared" si="159"/>
        <v/>
      </c>
    </row>
    <row r="7059" spans="8:8" x14ac:dyDescent="0.3">
      <c r="H7059" t="str">
        <f t="shared" si="159"/>
        <v/>
      </c>
    </row>
    <row r="7060" spans="8:8" x14ac:dyDescent="0.3">
      <c r="H7060" t="str">
        <f t="shared" si="159"/>
        <v/>
      </c>
    </row>
    <row r="7061" spans="8:8" x14ac:dyDescent="0.3">
      <c r="H7061" t="str">
        <f t="shared" si="159"/>
        <v/>
      </c>
    </row>
    <row r="7062" spans="8:8" x14ac:dyDescent="0.3">
      <c r="H7062" t="str">
        <f t="shared" si="159"/>
        <v/>
      </c>
    </row>
    <row r="7063" spans="8:8" x14ac:dyDescent="0.3">
      <c r="H7063" t="str">
        <f t="shared" ref="H7063:H7126" si="160">IF(B7063="","",$C$12)</f>
        <v/>
      </c>
    </row>
    <row r="7064" spans="8:8" x14ac:dyDescent="0.3">
      <c r="H7064" t="str">
        <f t="shared" si="160"/>
        <v/>
      </c>
    </row>
    <row r="7065" spans="8:8" x14ac:dyDescent="0.3">
      <c r="H7065" t="str">
        <f t="shared" si="160"/>
        <v/>
      </c>
    </row>
    <row r="7066" spans="8:8" x14ac:dyDescent="0.3">
      <c r="H7066" t="str">
        <f t="shared" si="160"/>
        <v/>
      </c>
    </row>
    <row r="7067" spans="8:8" x14ac:dyDescent="0.3">
      <c r="H7067" t="str">
        <f t="shared" si="160"/>
        <v/>
      </c>
    </row>
    <row r="7068" spans="8:8" x14ac:dyDescent="0.3">
      <c r="H7068" t="str">
        <f t="shared" si="160"/>
        <v/>
      </c>
    </row>
    <row r="7069" spans="8:8" x14ac:dyDescent="0.3">
      <c r="H7069" t="str">
        <f t="shared" si="160"/>
        <v/>
      </c>
    </row>
    <row r="7070" spans="8:8" x14ac:dyDescent="0.3">
      <c r="H7070" t="str">
        <f t="shared" si="160"/>
        <v/>
      </c>
    </row>
    <row r="7071" spans="8:8" x14ac:dyDescent="0.3">
      <c r="H7071" t="str">
        <f t="shared" si="160"/>
        <v/>
      </c>
    </row>
    <row r="7072" spans="8:8" x14ac:dyDescent="0.3">
      <c r="H7072" t="str">
        <f t="shared" si="160"/>
        <v/>
      </c>
    </row>
    <row r="7073" spans="8:8" x14ac:dyDescent="0.3">
      <c r="H7073" t="str">
        <f t="shared" si="160"/>
        <v/>
      </c>
    </row>
    <row r="7074" spans="8:8" x14ac:dyDescent="0.3">
      <c r="H7074" t="str">
        <f t="shared" si="160"/>
        <v/>
      </c>
    </row>
    <row r="7075" spans="8:8" x14ac:dyDescent="0.3">
      <c r="H7075" t="str">
        <f t="shared" si="160"/>
        <v/>
      </c>
    </row>
    <row r="7076" spans="8:8" x14ac:dyDescent="0.3">
      <c r="H7076" t="str">
        <f t="shared" si="160"/>
        <v/>
      </c>
    </row>
    <row r="7077" spans="8:8" x14ac:dyDescent="0.3">
      <c r="H7077" t="str">
        <f t="shared" si="160"/>
        <v/>
      </c>
    </row>
    <row r="7078" spans="8:8" x14ac:dyDescent="0.3">
      <c r="H7078" t="str">
        <f t="shared" si="160"/>
        <v/>
      </c>
    </row>
    <row r="7079" spans="8:8" x14ac:dyDescent="0.3">
      <c r="H7079" t="str">
        <f t="shared" si="160"/>
        <v/>
      </c>
    </row>
    <row r="7080" spans="8:8" x14ac:dyDescent="0.3">
      <c r="H7080" t="str">
        <f t="shared" si="160"/>
        <v/>
      </c>
    </row>
    <row r="7081" spans="8:8" x14ac:dyDescent="0.3">
      <c r="H7081" t="str">
        <f t="shared" si="160"/>
        <v/>
      </c>
    </row>
    <row r="7082" spans="8:8" x14ac:dyDescent="0.3">
      <c r="H7082" t="str">
        <f t="shared" si="160"/>
        <v/>
      </c>
    </row>
    <row r="7083" spans="8:8" x14ac:dyDescent="0.3">
      <c r="H7083" t="str">
        <f t="shared" si="160"/>
        <v/>
      </c>
    </row>
    <row r="7084" spans="8:8" x14ac:dyDescent="0.3">
      <c r="H7084" t="str">
        <f t="shared" si="160"/>
        <v/>
      </c>
    </row>
    <row r="7085" spans="8:8" x14ac:dyDescent="0.3">
      <c r="H7085" t="str">
        <f t="shared" si="160"/>
        <v/>
      </c>
    </row>
    <row r="7086" spans="8:8" x14ac:dyDescent="0.3">
      <c r="H7086" t="str">
        <f t="shared" si="160"/>
        <v/>
      </c>
    </row>
    <row r="7087" spans="8:8" x14ac:dyDescent="0.3">
      <c r="H7087" t="str">
        <f t="shared" si="160"/>
        <v/>
      </c>
    </row>
    <row r="7088" spans="8:8" x14ac:dyDescent="0.3">
      <c r="H7088" t="str">
        <f t="shared" si="160"/>
        <v/>
      </c>
    </row>
    <row r="7089" spans="8:8" x14ac:dyDescent="0.3">
      <c r="H7089" t="str">
        <f t="shared" si="160"/>
        <v/>
      </c>
    </row>
    <row r="7090" spans="8:8" x14ac:dyDescent="0.3">
      <c r="H7090" t="str">
        <f t="shared" si="160"/>
        <v/>
      </c>
    </row>
    <row r="7091" spans="8:8" x14ac:dyDescent="0.3">
      <c r="H7091" t="str">
        <f t="shared" si="160"/>
        <v/>
      </c>
    </row>
    <row r="7092" spans="8:8" x14ac:dyDescent="0.3">
      <c r="H7092" t="str">
        <f t="shared" si="160"/>
        <v/>
      </c>
    </row>
    <row r="7093" spans="8:8" x14ac:dyDescent="0.3">
      <c r="H7093" t="str">
        <f t="shared" si="160"/>
        <v/>
      </c>
    </row>
    <row r="7094" spans="8:8" x14ac:dyDescent="0.3">
      <c r="H7094" t="str">
        <f t="shared" si="160"/>
        <v/>
      </c>
    </row>
    <row r="7095" spans="8:8" x14ac:dyDescent="0.3">
      <c r="H7095" t="str">
        <f t="shared" si="160"/>
        <v/>
      </c>
    </row>
    <row r="7096" spans="8:8" x14ac:dyDescent="0.3">
      <c r="H7096" t="str">
        <f t="shared" si="160"/>
        <v/>
      </c>
    </row>
    <row r="7097" spans="8:8" x14ac:dyDescent="0.3">
      <c r="H7097" t="str">
        <f t="shared" si="160"/>
        <v/>
      </c>
    </row>
    <row r="7098" spans="8:8" x14ac:dyDescent="0.3">
      <c r="H7098" t="str">
        <f t="shared" si="160"/>
        <v/>
      </c>
    </row>
    <row r="7099" spans="8:8" x14ac:dyDescent="0.3">
      <c r="H7099" t="str">
        <f t="shared" si="160"/>
        <v/>
      </c>
    </row>
    <row r="7100" spans="8:8" x14ac:dyDescent="0.3">
      <c r="H7100" t="str">
        <f t="shared" si="160"/>
        <v/>
      </c>
    </row>
    <row r="7101" spans="8:8" x14ac:dyDescent="0.3">
      <c r="H7101" t="str">
        <f t="shared" si="160"/>
        <v/>
      </c>
    </row>
    <row r="7102" spans="8:8" x14ac:dyDescent="0.3">
      <c r="H7102" t="str">
        <f t="shared" si="160"/>
        <v/>
      </c>
    </row>
    <row r="7103" spans="8:8" x14ac:dyDescent="0.3">
      <c r="H7103" t="str">
        <f t="shared" si="160"/>
        <v/>
      </c>
    </row>
    <row r="7104" spans="8:8" x14ac:dyDescent="0.3">
      <c r="H7104" t="str">
        <f t="shared" si="160"/>
        <v/>
      </c>
    </row>
    <row r="7105" spans="8:8" x14ac:dyDescent="0.3">
      <c r="H7105" t="str">
        <f t="shared" si="160"/>
        <v/>
      </c>
    </row>
    <row r="7106" spans="8:8" x14ac:dyDescent="0.3">
      <c r="H7106" t="str">
        <f t="shared" si="160"/>
        <v/>
      </c>
    </row>
    <row r="7107" spans="8:8" x14ac:dyDescent="0.3">
      <c r="H7107" t="str">
        <f t="shared" si="160"/>
        <v/>
      </c>
    </row>
    <row r="7108" spans="8:8" x14ac:dyDescent="0.3">
      <c r="H7108" t="str">
        <f t="shared" si="160"/>
        <v/>
      </c>
    </row>
    <row r="7109" spans="8:8" x14ac:dyDescent="0.3">
      <c r="H7109" t="str">
        <f t="shared" si="160"/>
        <v/>
      </c>
    </row>
    <row r="7110" spans="8:8" x14ac:dyDescent="0.3">
      <c r="H7110" t="str">
        <f t="shared" si="160"/>
        <v/>
      </c>
    </row>
    <row r="7111" spans="8:8" x14ac:dyDescent="0.3">
      <c r="H7111" t="str">
        <f t="shared" si="160"/>
        <v/>
      </c>
    </row>
    <row r="7112" spans="8:8" x14ac:dyDescent="0.3">
      <c r="H7112" t="str">
        <f t="shared" si="160"/>
        <v/>
      </c>
    </row>
    <row r="7113" spans="8:8" x14ac:dyDescent="0.3">
      <c r="H7113" t="str">
        <f t="shared" si="160"/>
        <v/>
      </c>
    </row>
    <row r="7114" spans="8:8" x14ac:dyDescent="0.3">
      <c r="H7114" t="str">
        <f t="shared" si="160"/>
        <v/>
      </c>
    </row>
    <row r="7115" spans="8:8" x14ac:dyDescent="0.3">
      <c r="H7115" t="str">
        <f t="shared" si="160"/>
        <v/>
      </c>
    </row>
    <row r="7116" spans="8:8" x14ac:dyDescent="0.3">
      <c r="H7116" t="str">
        <f t="shared" si="160"/>
        <v/>
      </c>
    </row>
    <row r="7117" spans="8:8" x14ac:dyDescent="0.3">
      <c r="H7117" t="str">
        <f t="shared" si="160"/>
        <v/>
      </c>
    </row>
    <row r="7118" spans="8:8" x14ac:dyDescent="0.3">
      <c r="H7118" t="str">
        <f t="shared" si="160"/>
        <v/>
      </c>
    </row>
    <row r="7119" spans="8:8" x14ac:dyDescent="0.3">
      <c r="H7119" t="str">
        <f t="shared" si="160"/>
        <v/>
      </c>
    </row>
    <row r="7120" spans="8:8" x14ac:dyDescent="0.3">
      <c r="H7120" t="str">
        <f t="shared" si="160"/>
        <v/>
      </c>
    </row>
    <row r="7121" spans="8:8" x14ac:dyDescent="0.3">
      <c r="H7121" t="str">
        <f t="shared" si="160"/>
        <v/>
      </c>
    </row>
    <row r="7122" spans="8:8" x14ac:dyDescent="0.3">
      <c r="H7122" t="str">
        <f t="shared" si="160"/>
        <v/>
      </c>
    </row>
    <row r="7123" spans="8:8" x14ac:dyDescent="0.3">
      <c r="H7123" t="str">
        <f t="shared" si="160"/>
        <v/>
      </c>
    </row>
    <row r="7124" spans="8:8" x14ac:dyDescent="0.3">
      <c r="H7124" t="str">
        <f t="shared" si="160"/>
        <v/>
      </c>
    </row>
    <row r="7125" spans="8:8" x14ac:dyDescent="0.3">
      <c r="H7125" t="str">
        <f t="shared" si="160"/>
        <v/>
      </c>
    </row>
    <row r="7126" spans="8:8" x14ac:dyDescent="0.3">
      <c r="H7126" t="str">
        <f t="shared" si="160"/>
        <v/>
      </c>
    </row>
    <row r="7127" spans="8:8" x14ac:dyDescent="0.3">
      <c r="H7127" t="str">
        <f t="shared" ref="H7127:H7190" si="161">IF(B7127="","",$C$12)</f>
        <v/>
      </c>
    </row>
    <row r="7128" spans="8:8" x14ac:dyDescent="0.3">
      <c r="H7128" t="str">
        <f t="shared" si="161"/>
        <v/>
      </c>
    </row>
    <row r="7129" spans="8:8" x14ac:dyDescent="0.3">
      <c r="H7129" t="str">
        <f t="shared" si="161"/>
        <v/>
      </c>
    </row>
    <row r="7130" spans="8:8" x14ac:dyDescent="0.3">
      <c r="H7130" t="str">
        <f t="shared" si="161"/>
        <v/>
      </c>
    </row>
    <row r="7131" spans="8:8" x14ac:dyDescent="0.3">
      <c r="H7131" t="str">
        <f t="shared" si="161"/>
        <v/>
      </c>
    </row>
    <row r="7132" spans="8:8" x14ac:dyDescent="0.3">
      <c r="H7132" t="str">
        <f t="shared" si="161"/>
        <v/>
      </c>
    </row>
    <row r="7133" spans="8:8" x14ac:dyDescent="0.3">
      <c r="H7133" t="str">
        <f t="shared" si="161"/>
        <v/>
      </c>
    </row>
    <row r="7134" spans="8:8" x14ac:dyDescent="0.3">
      <c r="H7134" t="str">
        <f t="shared" si="161"/>
        <v/>
      </c>
    </row>
    <row r="7135" spans="8:8" x14ac:dyDescent="0.3">
      <c r="H7135" t="str">
        <f t="shared" si="161"/>
        <v/>
      </c>
    </row>
    <row r="7136" spans="8:8" x14ac:dyDescent="0.3">
      <c r="H7136" t="str">
        <f t="shared" si="161"/>
        <v/>
      </c>
    </row>
    <row r="7137" spans="8:8" x14ac:dyDescent="0.3">
      <c r="H7137" t="str">
        <f t="shared" si="161"/>
        <v/>
      </c>
    </row>
    <row r="7138" spans="8:8" x14ac:dyDescent="0.3">
      <c r="H7138" t="str">
        <f t="shared" si="161"/>
        <v/>
      </c>
    </row>
    <row r="7139" spans="8:8" x14ac:dyDescent="0.3">
      <c r="H7139" t="str">
        <f t="shared" si="161"/>
        <v/>
      </c>
    </row>
    <row r="7140" spans="8:8" x14ac:dyDescent="0.3">
      <c r="H7140" t="str">
        <f t="shared" si="161"/>
        <v/>
      </c>
    </row>
    <row r="7141" spans="8:8" x14ac:dyDescent="0.3">
      <c r="H7141" t="str">
        <f t="shared" si="161"/>
        <v/>
      </c>
    </row>
    <row r="7142" spans="8:8" x14ac:dyDescent="0.3">
      <c r="H7142" t="str">
        <f t="shared" si="161"/>
        <v/>
      </c>
    </row>
    <row r="7143" spans="8:8" x14ac:dyDescent="0.3">
      <c r="H7143" t="str">
        <f t="shared" si="161"/>
        <v/>
      </c>
    </row>
    <row r="7144" spans="8:8" x14ac:dyDescent="0.3">
      <c r="H7144" t="str">
        <f t="shared" si="161"/>
        <v/>
      </c>
    </row>
    <row r="7145" spans="8:8" x14ac:dyDescent="0.3">
      <c r="H7145" t="str">
        <f t="shared" si="161"/>
        <v/>
      </c>
    </row>
    <row r="7146" spans="8:8" x14ac:dyDescent="0.3">
      <c r="H7146" t="str">
        <f t="shared" si="161"/>
        <v/>
      </c>
    </row>
    <row r="7147" spans="8:8" x14ac:dyDescent="0.3">
      <c r="H7147" t="str">
        <f t="shared" si="161"/>
        <v/>
      </c>
    </row>
    <row r="7148" spans="8:8" x14ac:dyDescent="0.3">
      <c r="H7148" t="str">
        <f t="shared" si="161"/>
        <v/>
      </c>
    </row>
    <row r="7149" spans="8:8" x14ac:dyDescent="0.3">
      <c r="H7149" t="str">
        <f t="shared" si="161"/>
        <v/>
      </c>
    </row>
    <row r="7150" spans="8:8" x14ac:dyDescent="0.3">
      <c r="H7150" t="str">
        <f t="shared" si="161"/>
        <v/>
      </c>
    </row>
    <row r="7151" spans="8:8" x14ac:dyDescent="0.3">
      <c r="H7151" t="str">
        <f t="shared" si="161"/>
        <v/>
      </c>
    </row>
    <row r="7152" spans="8:8" x14ac:dyDescent="0.3">
      <c r="H7152" t="str">
        <f t="shared" si="161"/>
        <v/>
      </c>
    </row>
    <row r="7153" spans="8:8" x14ac:dyDescent="0.3">
      <c r="H7153" t="str">
        <f t="shared" si="161"/>
        <v/>
      </c>
    </row>
    <row r="7154" spans="8:8" x14ac:dyDescent="0.3">
      <c r="H7154" t="str">
        <f t="shared" si="161"/>
        <v/>
      </c>
    </row>
    <row r="7155" spans="8:8" x14ac:dyDescent="0.3">
      <c r="H7155" t="str">
        <f t="shared" si="161"/>
        <v/>
      </c>
    </row>
    <row r="7156" spans="8:8" x14ac:dyDescent="0.3">
      <c r="H7156" t="str">
        <f t="shared" si="161"/>
        <v/>
      </c>
    </row>
    <row r="7157" spans="8:8" x14ac:dyDescent="0.3">
      <c r="H7157" t="str">
        <f t="shared" si="161"/>
        <v/>
      </c>
    </row>
    <row r="7158" spans="8:8" x14ac:dyDescent="0.3">
      <c r="H7158" t="str">
        <f t="shared" si="161"/>
        <v/>
      </c>
    </row>
    <row r="7159" spans="8:8" x14ac:dyDescent="0.3">
      <c r="H7159" t="str">
        <f t="shared" si="161"/>
        <v/>
      </c>
    </row>
    <row r="7160" spans="8:8" x14ac:dyDescent="0.3">
      <c r="H7160" t="str">
        <f t="shared" si="161"/>
        <v/>
      </c>
    </row>
    <row r="7161" spans="8:8" x14ac:dyDescent="0.3">
      <c r="H7161" t="str">
        <f t="shared" si="161"/>
        <v/>
      </c>
    </row>
    <row r="7162" spans="8:8" x14ac:dyDescent="0.3">
      <c r="H7162" t="str">
        <f t="shared" si="161"/>
        <v/>
      </c>
    </row>
    <row r="7163" spans="8:8" x14ac:dyDescent="0.3">
      <c r="H7163" t="str">
        <f t="shared" si="161"/>
        <v/>
      </c>
    </row>
    <row r="7164" spans="8:8" x14ac:dyDescent="0.3">
      <c r="H7164" t="str">
        <f t="shared" si="161"/>
        <v/>
      </c>
    </row>
    <row r="7165" spans="8:8" x14ac:dyDescent="0.3">
      <c r="H7165" t="str">
        <f t="shared" si="161"/>
        <v/>
      </c>
    </row>
    <row r="7166" spans="8:8" x14ac:dyDescent="0.3">
      <c r="H7166" t="str">
        <f t="shared" si="161"/>
        <v/>
      </c>
    </row>
    <row r="7167" spans="8:8" x14ac:dyDescent="0.3">
      <c r="H7167" t="str">
        <f t="shared" si="161"/>
        <v/>
      </c>
    </row>
    <row r="7168" spans="8:8" x14ac:dyDescent="0.3">
      <c r="H7168" t="str">
        <f t="shared" si="161"/>
        <v/>
      </c>
    </row>
    <row r="7169" spans="8:8" x14ac:dyDescent="0.3">
      <c r="H7169" t="str">
        <f t="shared" si="161"/>
        <v/>
      </c>
    </row>
    <row r="7170" spans="8:8" x14ac:dyDescent="0.3">
      <c r="H7170" t="str">
        <f t="shared" si="161"/>
        <v/>
      </c>
    </row>
    <row r="7171" spans="8:8" x14ac:dyDescent="0.3">
      <c r="H7171" t="str">
        <f t="shared" si="161"/>
        <v/>
      </c>
    </row>
    <row r="7172" spans="8:8" x14ac:dyDescent="0.3">
      <c r="H7172" t="str">
        <f t="shared" si="161"/>
        <v/>
      </c>
    </row>
    <row r="7173" spans="8:8" x14ac:dyDescent="0.3">
      <c r="H7173" t="str">
        <f t="shared" si="161"/>
        <v/>
      </c>
    </row>
    <row r="7174" spans="8:8" x14ac:dyDescent="0.3">
      <c r="H7174" t="str">
        <f t="shared" si="161"/>
        <v/>
      </c>
    </row>
    <row r="7175" spans="8:8" x14ac:dyDescent="0.3">
      <c r="H7175" t="str">
        <f t="shared" si="161"/>
        <v/>
      </c>
    </row>
    <row r="7176" spans="8:8" x14ac:dyDescent="0.3">
      <c r="H7176" t="str">
        <f t="shared" si="161"/>
        <v/>
      </c>
    </row>
    <row r="7177" spans="8:8" x14ac:dyDescent="0.3">
      <c r="H7177" t="str">
        <f t="shared" si="161"/>
        <v/>
      </c>
    </row>
    <row r="7178" spans="8:8" x14ac:dyDescent="0.3">
      <c r="H7178" t="str">
        <f t="shared" si="161"/>
        <v/>
      </c>
    </row>
    <row r="7179" spans="8:8" x14ac:dyDescent="0.3">
      <c r="H7179" t="str">
        <f t="shared" si="161"/>
        <v/>
      </c>
    </row>
    <row r="7180" spans="8:8" x14ac:dyDescent="0.3">
      <c r="H7180" t="str">
        <f t="shared" si="161"/>
        <v/>
      </c>
    </row>
    <row r="7181" spans="8:8" x14ac:dyDescent="0.3">
      <c r="H7181" t="str">
        <f t="shared" si="161"/>
        <v/>
      </c>
    </row>
    <row r="7182" spans="8:8" x14ac:dyDescent="0.3">
      <c r="H7182" t="str">
        <f t="shared" si="161"/>
        <v/>
      </c>
    </row>
    <row r="7183" spans="8:8" x14ac:dyDescent="0.3">
      <c r="H7183" t="str">
        <f t="shared" si="161"/>
        <v/>
      </c>
    </row>
    <row r="7184" spans="8:8" x14ac:dyDescent="0.3">
      <c r="H7184" t="str">
        <f t="shared" si="161"/>
        <v/>
      </c>
    </row>
    <row r="7185" spans="8:8" x14ac:dyDescent="0.3">
      <c r="H7185" t="str">
        <f t="shared" si="161"/>
        <v/>
      </c>
    </row>
    <row r="7186" spans="8:8" x14ac:dyDescent="0.3">
      <c r="H7186" t="str">
        <f t="shared" si="161"/>
        <v/>
      </c>
    </row>
    <row r="7187" spans="8:8" x14ac:dyDescent="0.3">
      <c r="H7187" t="str">
        <f t="shared" si="161"/>
        <v/>
      </c>
    </row>
    <row r="7188" spans="8:8" x14ac:dyDescent="0.3">
      <c r="H7188" t="str">
        <f t="shared" si="161"/>
        <v/>
      </c>
    </row>
    <row r="7189" spans="8:8" x14ac:dyDescent="0.3">
      <c r="H7189" t="str">
        <f t="shared" si="161"/>
        <v/>
      </c>
    </row>
    <row r="7190" spans="8:8" x14ac:dyDescent="0.3">
      <c r="H7190" t="str">
        <f t="shared" si="161"/>
        <v/>
      </c>
    </row>
    <row r="7191" spans="8:8" x14ac:dyDescent="0.3">
      <c r="H7191" t="str">
        <f t="shared" ref="H7191:H7254" si="162">IF(B7191="","",$C$12)</f>
        <v/>
      </c>
    </row>
    <row r="7192" spans="8:8" x14ac:dyDescent="0.3">
      <c r="H7192" t="str">
        <f t="shared" si="162"/>
        <v/>
      </c>
    </row>
    <row r="7193" spans="8:8" x14ac:dyDescent="0.3">
      <c r="H7193" t="str">
        <f t="shared" si="162"/>
        <v/>
      </c>
    </row>
    <row r="7194" spans="8:8" x14ac:dyDescent="0.3">
      <c r="H7194" t="str">
        <f t="shared" si="162"/>
        <v/>
      </c>
    </row>
    <row r="7195" spans="8:8" x14ac:dyDescent="0.3">
      <c r="H7195" t="str">
        <f t="shared" si="162"/>
        <v/>
      </c>
    </row>
    <row r="7196" spans="8:8" x14ac:dyDescent="0.3">
      <c r="H7196" t="str">
        <f t="shared" si="162"/>
        <v/>
      </c>
    </row>
    <row r="7197" spans="8:8" x14ac:dyDescent="0.3">
      <c r="H7197" t="str">
        <f t="shared" si="162"/>
        <v/>
      </c>
    </row>
    <row r="7198" spans="8:8" x14ac:dyDescent="0.3">
      <c r="H7198" t="str">
        <f t="shared" si="162"/>
        <v/>
      </c>
    </row>
    <row r="7199" spans="8:8" x14ac:dyDescent="0.3">
      <c r="H7199" t="str">
        <f t="shared" si="162"/>
        <v/>
      </c>
    </row>
    <row r="7200" spans="8:8" x14ac:dyDescent="0.3">
      <c r="H7200" t="str">
        <f t="shared" si="162"/>
        <v/>
      </c>
    </row>
    <row r="7201" spans="8:8" x14ac:dyDescent="0.3">
      <c r="H7201" t="str">
        <f t="shared" si="162"/>
        <v/>
      </c>
    </row>
    <row r="7202" spans="8:8" x14ac:dyDescent="0.3">
      <c r="H7202" t="str">
        <f t="shared" si="162"/>
        <v/>
      </c>
    </row>
    <row r="7203" spans="8:8" x14ac:dyDescent="0.3">
      <c r="H7203" t="str">
        <f t="shared" si="162"/>
        <v/>
      </c>
    </row>
    <row r="7204" spans="8:8" x14ac:dyDescent="0.3">
      <c r="H7204" t="str">
        <f t="shared" si="162"/>
        <v/>
      </c>
    </row>
    <row r="7205" spans="8:8" x14ac:dyDescent="0.3">
      <c r="H7205" t="str">
        <f t="shared" si="162"/>
        <v/>
      </c>
    </row>
    <row r="7206" spans="8:8" x14ac:dyDescent="0.3">
      <c r="H7206" t="str">
        <f t="shared" si="162"/>
        <v/>
      </c>
    </row>
    <row r="7207" spans="8:8" x14ac:dyDescent="0.3">
      <c r="H7207" t="str">
        <f t="shared" si="162"/>
        <v/>
      </c>
    </row>
    <row r="7208" spans="8:8" x14ac:dyDescent="0.3">
      <c r="H7208" t="str">
        <f t="shared" si="162"/>
        <v/>
      </c>
    </row>
    <row r="7209" spans="8:8" x14ac:dyDescent="0.3">
      <c r="H7209" t="str">
        <f t="shared" si="162"/>
        <v/>
      </c>
    </row>
    <row r="7210" spans="8:8" x14ac:dyDescent="0.3">
      <c r="H7210" t="str">
        <f t="shared" si="162"/>
        <v/>
      </c>
    </row>
    <row r="7211" spans="8:8" x14ac:dyDescent="0.3">
      <c r="H7211" t="str">
        <f t="shared" si="162"/>
        <v/>
      </c>
    </row>
    <row r="7212" spans="8:8" x14ac:dyDescent="0.3">
      <c r="H7212" t="str">
        <f t="shared" si="162"/>
        <v/>
      </c>
    </row>
    <row r="7213" spans="8:8" x14ac:dyDescent="0.3">
      <c r="H7213" t="str">
        <f t="shared" si="162"/>
        <v/>
      </c>
    </row>
    <row r="7214" spans="8:8" x14ac:dyDescent="0.3">
      <c r="H7214" t="str">
        <f t="shared" si="162"/>
        <v/>
      </c>
    </row>
    <row r="7215" spans="8:8" x14ac:dyDescent="0.3">
      <c r="H7215" t="str">
        <f t="shared" si="162"/>
        <v/>
      </c>
    </row>
    <row r="7216" spans="8:8" x14ac:dyDescent="0.3">
      <c r="H7216" t="str">
        <f t="shared" si="162"/>
        <v/>
      </c>
    </row>
    <row r="7217" spans="8:8" x14ac:dyDescent="0.3">
      <c r="H7217" t="str">
        <f t="shared" si="162"/>
        <v/>
      </c>
    </row>
    <row r="7218" spans="8:8" x14ac:dyDescent="0.3">
      <c r="H7218" t="str">
        <f t="shared" si="162"/>
        <v/>
      </c>
    </row>
    <row r="7219" spans="8:8" x14ac:dyDescent="0.3">
      <c r="H7219" t="str">
        <f t="shared" si="162"/>
        <v/>
      </c>
    </row>
    <row r="7220" spans="8:8" x14ac:dyDescent="0.3">
      <c r="H7220" t="str">
        <f t="shared" si="162"/>
        <v/>
      </c>
    </row>
    <row r="7221" spans="8:8" x14ac:dyDescent="0.3">
      <c r="H7221" t="str">
        <f t="shared" si="162"/>
        <v/>
      </c>
    </row>
    <row r="7222" spans="8:8" x14ac:dyDescent="0.3">
      <c r="H7222" t="str">
        <f t="shared" si="162"/>
        <v/>
      </c>
    </row>
    <row r="7223" spans="8:8" x14ac:dyDescent="0.3">
      <c r="H7223" t="str">
        <f t="shared" si="162"/>
        <v/>
      </c>
    </row>
    <row r="7224" spans="8:8" x14ac:dyDescent="0.3">
      <c r="H7224" t="str">
        <f t="shared" si="162"/>
        <v/>
      </c>
    </row>
    <row r="7225" spans="8:8" x14ac:dyDescent="0.3">
      <c r="H7225" t="str">
        <f t="shared" si="162"/>
        <v/>
      </c>
    </row>
    <row r="7226" spans="8:8" x14ac:dyDescent="0.3">
      <c r="H7226" t="str">
        <f t="shared" si="162"/>
        <v/>
      </c>
    </row>
    <row r="7227" spans="8:8" x14ac:dyDescent="0.3">
      <c r="H7227" t="str">
        <f t="shared" si="162"/>
        <v/>
      </c>
    </row>
    <row r="7228" spans="8:8" x14ac:dyDescent="0.3">
      <c r="H7228" t="str">
        <f t="shared" si="162"/>
        <v/>
      </c>
    </row>
    <row r="7229" spans="8:8" x14ac:dyDescent="0.3">
      <c r="H7229" t="str">
        <f t="shared" si="162"/>
        <v/>
      </c>
    </row>
    <row r="7230" spans="8:8" x14ac:dyDescent="0.3">
      <c r="H7230" t="str">
        <f t="shared" si="162"/>
        <v/>
      </c>
    </row>
    <row r="7231" spans="8:8" x14ac:dyDescent="0.3">
      <c r="H7231" t="str">
        <f t="shared" si="162"/>
        <v/>
      </c>
    </row>
    <row r="7232" spans="8:8" x14ac:dyDescent="0.3">
      <c r="H7232" t="str">
        <f t="shared" si="162"/>
        <v/>
      </c>
    </row>
    <row r="7233" spans="8:8" x14ac:dyDescent="0.3">
      <c r="H7233" t="str">
        <f t="shared" si="162"/>
        <v/>
      </c>
    </row>
    <row r="7234" spans="8:8" x14ac:dyDescent="0.3">
      <c r="H7234" t="str">
        <f t="shared" si="162"/>
        <v/>
      </c>
    </row>
    <row r="7235" spans="8:8" x14ac:dyDescent="0.3">
      <c r="H7235" t="str">
        <f t="shared" si="162"/>
        <v/>
      </c>
    </row>
    <row r="7236" spans="8:8" x14ac:dyDescent="0.3">
      <c r="H7236" t="str">
        <f t="shared" si="162"/>
        <v/>
      </c>
    </row>
    <row r="7237" spans="8:8" x14ac:dyDescent="0.3">
      <c r="H7237" t="str">
        <f t="shared" si="162"/>
        <v/>
      </c>
    </row>
    <row r="7238" spans="8:8" x14ac:dyDescent="0.3">
      <c r="H7238" t="str">
        <f t="shared" si="162"/>
        <v/>
      </c>
    </row>
    <row r="7239" spans="8:8" x14ac:dyDescent="0.3">
      <c r="H7239" t="str">
        <f t="shared" si="162"/>
        <v/>
      </c>
    </row>
    <row r="7240" spans="8:8" x14ac:dyDescent="0.3">
      <c r="H7240" t="str">
        <f t="shared" si="162"/>
        <v/>
      </c>
    </row>
    <row r="7241" spans="8:8" x14ac:dyDescent="0.3">
      <c r="H7241" t="str">
        <f t="shared" si="162"/>
        <v/>
      </c>
    </row>
    <row r="7242" spans="8:8" x14ac:dyDescent="0.3">
      <c r="H7242" t="str">
        <f t="shared" si="162"/>
        <v/>
      </c>
    </row>
    <row r="7243" spans="8:8" x14ac:dyDescent="0.3">
      <c r="H7243" t="str">
        <f t="shared" si="162"/>
        <v/>
      </c>
    </row>
    <row r="7244" spans="8:8" x14ac:dyDescent="0.3">
      <c r="H7244" t="str">
        <f t="shared" si="162"/>
        <v/>
      </c>
    </row>
    <row r="7245" spans="8:8" x14ac:dyDescent="0.3">
      <c r="H7245" t="str">
        <f t="shared" si="162"/>
        <v/>
      </c>
    </row>
    <row r="7246" spans="8:8" x14ac:dyDescent="0.3">
      <c r="H7246" t="str">
        <f t="shared" si="162"/>
        <v/>
      </c>
    </row>
    <row r="7247" spans="8:8" x14ac:dyDescent="0.3">
      <c r="H7247" t="str">
        <f t="shared" si="162"/>
        <v/>
      </c>
    </row>
    <row r="7248" spans="8:8" x14ac:dyDescent="0.3">
      <c r="H7248" t="str">
        <f t="shared" si="162"/>
        <v/>
      </c>
    </row>
    <row r="7249" spans="8:8" x14ac:dyDescent="0.3">
      <c r="H7249" t="str">
        <f t="shared" si="162"/>
        <v/>
      </c>
    </row>
    <row r="7250" spans="8:8" x14ac:dyDescent="0.3">
      <c r="H7250" t="str">
        <f t="shared" si="162"/>
        <v/>
      </c>
    </row>
    <row r="7251" spans="8:8" x14ac:dyDescent="0.3">
      <c r="H7251" t="str">
        <f t="shared" si="162"/>
        <v/>
      </c>
    </row>
    <row r="7252" spans="8:8" x14ac:dyDescent="0.3">
      <c r="H7252" t="str">
        <f t="shared" si="162"/>
        <v/>
      </c>
    </row>
    <row r="7253" spans="8:8" x14ac:dyDescent="0.3">
      <c r="H7253" t="str">
        <f t="shared" si="162"/>
        <v/>
      </c>
    </row>
    <row r="7254" spans="8:8" x14ac:dyDescent="0.3">
      <c r="H7254" t="str">
        <f t="shared" si="162"/>
        <v/>
      </c>
    </row>
    <row r="7255" spans="8:8" x14ac:dyDescent="0.3">
      <c r="H7255" t="str">
        <f t="shared" ref="H7255:H7318" si="163">IF(B7255="","",$C$12)</f>
        <v/>
      </c>
    </row>
    <row r="7256" spans="8:8" x14ac:dyDescent="0.3">
      <c r="H7256" t="str">
        <f t="shared" si="163"/>
        <v/>
      </c>
    </row>
    <row r="7257" spans="8:8" x14ac:dyDescent="0.3">
      <c r="H7257" t="str">
        <f t="shared" si="163"/>
        <v/>
      </c>
    </row>
    <row r="7258" spans="8:8" x14ac:dyDescent="0.3">
      <c r="H7258" t="str">
        <f t="shared" si="163"/>
        <v/>
      </c>
    </row>
    <row r="7259" spans="8:8" x14ac:dyDescent="0.3">
      <c r="H7259" t="str">
        <f t="shared" si="163"/>
        <v/>
      </c>
    </row>
    <row r="7260" spans="8:8" x14ac:dyDescent="0.3">
      <c r="H7260" t="str">
        <f t="shared" si="163"/>
        <v/>
      </c>
    </row>
    <row r="7261" spans="8:8" x14ac:dyDescent="0.3">
      <c r="H7261" t="str">
        <f t="shared" si="163"/>
        <v/>
      </c>
    </row>
    <row r="7262" spans="8:8" x14ac:dyDescent="0.3">
      <c r="H7262" t="str">
        <f t="shared" si="163"/>
        <v/>
      </c>
    </row>
    <row r="7263" spans="8:8" x14ac:dyDescent="0.3">
      <c r="H7263" t="str">
        <f t="shared" si="163"/>
        <v/>
      </c>
    </row>
    <row r="7264" spans="8:8" x14ac:dyDescent="0.3">
      <c r="H7264" t="str">
        <f t="shared" si="163"/>
        <v/>
      </c>
    </row>
    <row r="7265" spans="8:8" x14ac:dyDescent="0.3">
      <c r="H7265" t="str">
        <f t="shared" si="163"/>
        <v/>
      </c>
    </row>
    <row r="7266" spans="8:8" x14ac:dyDescent="0.3">
      <c r="H7266" t="str">
        <f t="shared" si="163"/>
        <v/>
      </c>
    </row>
    <row r="7267" spans="8:8" x14ac:dyDescent="0.3">
      <c r="H7267" t="str">
        <f t="shared" si="163"/>
        <v/>
      </c>
    </row>
    <row r="7268" spans="8:8" x14ac:dyDescent="0.3">
      <c r="H7268" t="str">
        <f t="shared" si="163"/>
        <v/>
      </c>
    </row>
    <row r="7269" spans="8:8" x14ac:dyDescent="0.3">
      <c r="H7269" t="str">
        <f t="shared" si="163"/>
        <v/>
      </c>
    </row>
    <row r="7270" spans="8:8" x14ac:dyDescent="0.3">
      <c r="H7270" t="str">
        <f t="shared" si="163"/>
        <v/>
      </c>
    </row>
    <row r="7271" spans="8:8" x14ac:dyDescent="0.3">
      <c r="H7271" t="str">
        <f t="shared" si="163"/>
        <v/>
      </c>
    </row>
    <row r="7272" spans="8:8" x14ac:dyDescent="0.3">
      <c r="H7272" t="str">
        <f t="shared" si="163"/>
        <v/>
      </c>
    </row>
    <row r="7273" spans="8:8" x14ac:dyDescent="0.3">
      <c r="H7273" t="str">
        <f t="shared" si="163"/>
        <v/>
      </c>
    </row>
    <row r="7274" spans="8:8" x14ac:dyDescent="0.3">
      <c r="H7274" t="str">
        <f t="shared" si="163"/>
        <v/>
      </c>
    </row>
    <row r="7275" spans="8:8" x14ac:dyDescent="0.3">
      <c r="H7275" t="str">
        <f t="shared" si="163"/>
        <v/>
      </c>
    </row>
    <row r="7276" spans="8:8" x14ac:dyDescent="0.3">
      <c r="H7276" t="str">
        <f t="shared" si="163"/>
        <v/>
      </c>
    </row>
    <row r="7277" spans="8:8" x14ac:dyDescent="0.3">
      <c r="H7277" t="str">
        <f t="shared" si="163"/>
        <v/>
      </c>
    </row>
    <row r="7278" spans="8:8" x14ac:dyDescent="0.3">
      <c r="H7278" t="str">
        <f t="shared" si="163"/>
        <v/>
      </c>
    </row>
    <row r="7279" spans="8:8" x14ac:dyDescent="0.3">
      <c r="H7279" t="str">
        <f t="shared" si="163"/>
        <v/>
      </c>
    </row>
    <row r="7280" spans="8:8" x14ac:dyDescent="0.3">
      <c r="H7280" t="str">
        <f t="shared" si="163"/>
        <v/>
      </c>
    </row>
    <row r="7281" spans="8:8" x14ac:dyDescent="0.3">
      <c r="H7281" t="str">
        <f t="shared" si="163"/>
        <v/>
      </c>
    </row>
    <row r="7282" spans="8:8" x14ac:dyDescent="0.3">
      <c r="H7282" t="str">
        <f t="shared" si="163"/>
        <v/>
      </c>
    </row>
    <row r="7283" spans="8:8" x14ac:dyDescent="0.3">
      <c r="H7283" t="str">
        <f t="shared" si="163"/>
        <v/>
      </c>
    </row>
    <row r="7284" spans="8:8" x14ac:dyDescent="0.3">
      <c r="H7284" t="str">
        <f t="shared" si="163"/>
        <v/>
      </c>
    </row>
    <row r="7285" spans="8:8" x14ac:dyDescent="0.3">
      <c r="H7285" t="str">
        <f t="shared" si="163"/>
        <v/>
      </c>
    </row>
    <row r="7286" spans="8:8" x14ac:dyDescent="0.3">
      <c r="H7286" t="str">
        <f t="shared" si="163"/>
        <v/>
      </c>
    </row>
    <row r="7287" spans="8:8" x14ac:dyDescent="0.3">
      <c r="H7287" t="str">
        <f t="shared" si="163"/>
        <v/>
      </c>
    </row>
    <row r="7288" spans="8:8" x14ac:dyDescent="0.3">
      <c r="H7288" t="str">
        <f t="shared" si="163"/>
        <v/>
      </c>
    </row>
    <row r="7289" spans="8:8" x14ac:dyDescent="0.3">
      <c r="H7289" t="str">
        <f t="shared" si="163"/>
        <v/>
      </c>
    </row>
    <row r="7290" spans="8:8" x14ac:dyDescent="0.3">
      <c r="H7290" t="str">
        <f t="shared" si="163"/>
        <v/>
      </c>
    </row>
    <row r="7291" spans="8:8" x14ac:dyDescent="0.3">
      <c r="H7291" t="str">
        <f t="shared" si="163"/>
        <v/>
      </c>
    </row>
    <row r="7292" spans="8:8" x14ac:dyDescent="0.3">
      <c r="H7292" t="str">
        <f t="shared" si="163"/>
        <v/>
      </c>
    </row>
    <row r="7293" spans="8:8" x14ac:dyDescent="0.3">
      <c r="H7293" t="str">
        <f t="shared" si="163"/>
        <v/>
      </c>
    </row>
    <row r="7294" spans="8:8" x14ac:dyDescent="0.3">
      <c r="H7294" t="str">
        <f t="shared" si="163"/>
        <v/>
      </c>
    </row>
    <row r="7295" spans="8:8" x14ac:dyDescent="0.3">
      <c r="H7295" t="str">
        <f t="shared" si="163"/>
        <v/>
      </c>
    </row>
    <row r="7296" spans="8:8" x14ac:dyDescent="0.3">
      <c r="H7296" t="str">
        <f t="shared" si="163"/>
        <v/>
      </c>
    </row>
    <row r="7297" spans="8:8" x14ac:dyDescent="0.3">
      <c r="H7297" t="str">
        <f t="shared" si="163"/>
        <v/>
      </c>
    </row>
    <row r="7298" spans="8:8" x14ac:dyDescent="0.3">
      <c r="H7298" t="str">
        <f t="shared" si="163"/>
        <v/>
      </c>
    </row>
    <row r="7299" spans="8:8" x14ac:dyDescent="0.3">
      <c r="H7299" t="str">
        <f t="shared" si="163"/>
        <v/>
      </c>
    </row>
    <row r="7300" spans="8:8" x14ac:dyDescent="0.3">
      <c r="H7300" t="str">
        <f t="shared" si="163"/>
        <v/>
      </c>
    </row>
    <row r="7301" spans="8:8" x14ac:dyDescent="0.3">
      <c r="H7301" t="str">
        <f t="shared" si="163"/>
        <v/>
      </c>
    </row>
    <row r="7302" spans="8:8" x14ac:dyDescent="0.3">
      <c r="H7302" t="str">
        <f t="shared" si="163"/>
        <v/>
      </c>
    </row>
    <row r="7303" spans="8:8" x14ac:dyDescent="0.3">
      <c r="H7303" t="str">
        <f t="shared" si="163"/>
        <v/>
      </c>
    </row>
    <row r="7304" spans="8:8" x14ac:dyDescent="0.3">
      <c r="H7304" t="str">
        <f t="shared" si="163"/>
        <v/>
      </c>
    </row>
    <row r="7305" spans="8:8" x14ac:dyDescent="0.3">
      <c r="H7305" t="str">
        <f t="shared" si="163"/>
        <v/>
      </c>
    </row>
    <row r="7306" spans="8:8" x14ac:dyDescent="0.3">
      <c r="H7306" t="str">
        <f t="shared" si="163"/>
        <v/>
      </c>
    </row>
    <row r="7307" spans="8:8" x14ac:dyDescent="0.3">
      <c r="H7307" t="str">
        <f t="shared" si="163"/>
        <v/>
      </c>
    </row>
    <row r="7308" spans="8:8" x14ac:dyDescent="0.3">
      <c r="H7308" t="str">
        <f t="shared" si="163"/>
        <v/>
      </c>
    </row>
    <row r="7309" spans="8:8" x14ac:dyDescent="0.3">
      <c r="H7309" t="str">
        <f t="shared" si="163"/>
        <v/>
      </c>
    </row>
    <row r="7310" spans="8:8" x14ac:dyDescent="0.3">
      <c r="H7310" t="str">
        <f t="shared" si="163"/>
        <v/>
      </c>
    </row>
    <row r="7311" spans="8:8" x14ac:dyDescent="0.3">
      <c r="H7311" t="str">
        <f t="shared" si="163"/>
        <v/>
      </c>
    </row>
    <row r="7312" spans="8:8" x14ac:dyDescent="0.3">
      <c r="H7312" t="str">
        <f t="shared" si="163"/>
        <v/>
      </c>
    </row>
    <row r="7313" spans="8:8" x14ac:dyDescent="0.3">
      <c r="H7313" t="str">
        <f t="shared" si="163"/>
        <v/>
      </c>
    </row>
    <row r="7314" spans="8:8" x14ac:dyDescent="0.3">
      <c r="H7314" t="str">
        <f t="shared" si="163"/>
        <v/>
      </c>
    </row>
    <row r="7315" spans="8:8" x14ac:dyDescent="0.3">
      <c r="H7315" t="str">
        <f t="shared" si="163"/>
        <v/>
      </c>
    </row>
    <row r="7316" spans="8:8" x14ac:dyDescent="0.3">
      <c r="H7316" t="str">
        <f t="shared" si="163"/>
        <v/>
      </c>
    </row>
    <row r="7317" spans="8:8" x14ac:dyDescent="0.3">
      <c r="H7317" t="str">
        <f t="shared" si="163"/>
        <v/>
      </c>
    </row>
    <row r="7318" spans="8:8" x14ac:dyDescent="0.3">
      <c r="H7318" t="str">
        <f t="shared" si="163"/>
        <v/>
      </c>
    </row>
    <row r="7319" spans="8:8" x14ac:dyDescent="0.3">
      <c r="H7319" t="str">
        <f t="shared" ref="H7319:H7382" si="164">IF(B7319="","",$C$12)</f>
        <v/>
      </c>
    </row>
    <row r="7320" spans="8:8" x14ac:dyDescent="0.3">
      <c r="H7320" t="str">
        <f t="shared" si="164"/>
        <v/>
      </c>
    </row>
    <row r="7321" spans="8:8" x14ac:dyDescent="0.3">
      <c r="H7321" t="str">
        <f t="shared" si="164"/>
        <v/>
      </c>
    </row>
    <row r="7322" spans="8:8" x14ac:dyDescent="0.3">
      <c r="H7322" t="str">
        <f t="shared" si="164"/>
        <v/>
      </c>
    </row>
    <row r="7323" spans="8:8" x14ac:dyDescent="0.3">
      <c r="H7323" t="str">
        <f t="shared" si="164"/>
        <v/>
      </c>
    </row>
    <row r="7324" spans="8:8" x14ac:dyDescent="0.3">
      <c r="H7324" t="str">
        <f t="shared" si="164"/>
        <v/>
      </c>
    </row>
    <row r="7325" spans="8:8" x14ac:dyDescent="0.3">
      <c r="H7325" t="str">
        <f t="shared" si="164"/>
        <v/>
      </c>
    </row>
    <row r="7326" spans="8:8" x14ac:dyDescent="0.3">
      <c r="H7326" t="str">
        <f t="shared" si="164"/>
        <v/>
      </c>
    </row>
    <row r="7327" spans="8:8" x14ac:dyDescent="0.3">
      <c r="H7327" t="str">
        <f t="shared" si="164"/>
        <v/>
      </c>
    </row>
    <row r="7328" spans="8:8" x14ac:dyDescent="0.3">
      <c r="H7328" t="str">
        <f t="shared" si="164"/>
        <v/>
      </c>
    </row>
    <row r="7329" spans="8:8" x14ac:dyDescent="0.3">
      <c r="H7329" t="str">
        <f t="shared" si="164"/>
        <v/>
      </c>
    </row>
    <row r="7330" spans="8:8" x14ac:dyDescent="0.3">
      <c r="H7330" t="str">
        <f t="shared" si="164"/>
        <v/>
      </c>
    </row>
    <row r="7331" spans="8:8" x14ac:dyDescent="0.3">
      <c r="H7331" t="str">
        <f t="shared" si="164"/>
        <v/>
      </c>
    </row>
    <row r="7332" spans="8:8" x14ac:dyDescent="0.3">
      <c r="H7332" t="str">
        <f t="shared" si="164"/>
        <v/>
      </c>
    </row>
    <row r="7333" spans="8:8" x14ac:dyDescent="0.3">
      <c r="H7333" t="str">
        <f t="shared" si="164"/>
        <v/>
      </c>
    </row>
    <row r="7334" spans="8:8" x14ac:dyDescent="0.3">
      <c r="H7334" t="str">
        <f t="shared" si="164"/>
        <v/>
      </c>
    </row>
    <row r="7335" spans="8:8" x14ac:dyDescent="0.3">
      <c r="H7335" t="str">
        <f t="shared" si="164"/>
        <v/>
      </c>
    </row>
    <row r="7336" spans="8:8" x14ac:dyDescent="0.3">
      <c r="H7336" t="str">
        <f t="shared" si="164"/>
        <v/>
      </c>
    </row>
    <row r="7337" spans="8:8" x14ac:dyDescent="0.3">
      <c r="H7337" t="str">
        <f t="shared" si="164"/>
        <v/>
      </c>
    </row>
    <row r="7338" spans="8:8" x14ac:dyDescent="0.3">
      <c r="H7338" t="str">
        <f t="shared" si="164"/>
        <v/>
      </c>
    </row>
    <row r="7339" spans="8:8" x14ac:dyDescent="0.3">
      <c r="H7339" t="str">
        <f t="shared" si="164"/>
        <v/>
      </c>
    </row>
    <row r="7340" spans="8:8" x14ac:dyDescent="0.3">
      <c r="H7340" t="str">
        <f t="shared" si="164"/>
        <v/>
      </c>
    </row>
    <row r="7341" spans="8:8" x14ac:dyDescent="0.3">
      <c r="H7341" t="str">
        <f t="shared" si="164"/>
        <v/>
      </c>
    </row>
    <row r="7342" spans="8:8" x14ac:dyDescent="0.3">
      <c r="H7342" t="str">
        <f t="shared" si="164"/>
        <v/>
      </c>
    </row>
    <row r="7343" spans="8:8" x14ac:dyDescent="0.3">
      <c r="H7343" t="str">
        <f t="shared" si="164"/>
        <v/>
      </c>
    </row>
    <row r="7344" spans="8:8" x14ac:dyDescent="0.3">
      <c r="H7344" t="str">
        <f t="shared" si="164"/>
        <v/>
      </c>
    </row>
    <row r="7345" spans="8:8" x14ac:dyDescent="0.3">
      <c r="H7345" t="str">
        <f t="shared" si="164"/>
        <v/>
      </c>
    </row>
    <row r="7346" spans="8:8" x14ac:dyDescent="0.3">
      <c r="H7346" t="str">
        <f t="shared" si="164"/>
        <v/>
      </c>
    </row>
    <row r="7347" spans="8:8" x14ac:dyDescent="0.3">
      <c r="H7347" t="str">
        <f t="shared" si="164"/>
        <v/>
      </c>
    </row>
    <row r="7348" spans="8:8" x14ac:dyDescent="0.3">
      <c r="H7348" t="str">
        <f t="shared" si="164"/>
        <v/>
      </c>
    </row>
    <row r="7349" spans="8:8" x14ac:dyDescent="0.3">
      <c r="H7349" t="str">
        <f t="shared" si="164"/>
        <v/>
      </c>
    </row>
    <row r="7350" spans="8:8" x14ac:dyDescent="0.3">
      <c r="H7350" t="str">
        <f t="shared" si="164"/>
        <v/>
      </c>
    </row>
    <row r="7351" spans="8:8" x14ac:dyDescent="0.3">
      <c r="H7351" t="str">
        <f t="shared" si="164"/>
        <v/>
      </c>
    </row>
    <row r="7352" spans="8:8" x14ac:dyDescent="0.3">
      <c r="H7352" t="str">
        <f t="shared" si="164"/>
        <v/>
      </c>
    </row>
    <row r="7353" spans="8:8" x14ac:dyDescent="0.3">
      <c r="H7353" t="str">
        <f t="shared" si="164"/>
        <v/>
      </c>
    </row>
    <row r="7354" spans="8:8" x14ac:dyDescent="0.3">
      <c r="H7354" t="str">
        <f t="shared" si="164"/>
        <v/>
      </c>
    </row>
    <row r="7355" spans="8:8" x14ac:dyDescent="0.3">
      <c r="H7355" t="str">
        <f t="shared" si="164"/>
        <v/>
      </c>
    </row>
    <row r="7356" spans="8:8" x14ac:dyDescent="0.3">
      <c r="H7356" t="str">
        <f t="shared" si="164"/>
        <v/>
      </c>
    </row>
    <row r="7357" spans="8:8" x14ac:dyDescent="0.3">
      <c r="H7357" t="str">
        <f t="shared" si="164"/>
        <v/>
      </c>
    </row>
    <row r="7358" spans="8:8" x14ac:dyDescent="0.3">
      <c r="H7358" t="str">
        <f t="shared" si="164"/>
        <v/>
      </c>
    </row>
    <row r="7359" spans="8:8" x14ac:dyDescent="0.3">
      <c r="H7359" t="str">
        <f t="shared" si="164"/>
        <v/>
      </c>
    </row>
    <row r="7360" spans="8:8" x14ac:dyDescent="0.3">
      <c r="H7360" t="str">
        <f t="shared" si="164"/>
        <v/>
      </c>
    </row>
    <row r="7361" spans="8:8" x14ac:dyDescent="0.3">
      <c r="H7361" t="str">
        <f t="shared" si="164"/>
        <v/>
      </c>
    </row>
    <row r="7362" spans="8:8" x14ac:dyDescent="0.3">
      <c r="H7362" t="str">
        <f t="shared" si="164"/>
        <v/>
      </c>
    </row>
    <row r="7363" spans="8:8" x14ac:dyDescent="0.3">
      <c r="H7363" t="str">
        <f t="shared" si="164"/>
        <v/>
      </c>
    </row>
    <row r="7364" spans="8:8" x14ac:dyDescent="0.3">
      <c r="H7364" t="str">
        <f t="shared" si="164"/>
        <v/>
      </c>
    </row>
    <row r="7365" spans="8:8" x14ac:dyDescent="0.3">
      <c r="H7365" t="str">
        <f t="shared" si="164"/>
        <v/>
      </c>
    </row>
    <row r="7366" spans="8:8" x14ac:dyDescent="0.3">
      <c r="H7366" t="str">
        <f t="shared" si="164"/>
        <v/>
      </c>
    </row>
    <row r="7367" spans="8:8" x14ac:dyDescent="0.3">
      <c r="H7367" t="str">
        <f t="shared" si="164"/>
        <v/>
      </c>
    </row>
    <row r="7368" spans="8:8" x14ac:dyDescent="0.3">
      <c r="H7368" t="str">
        <f t="shared" si="164"/>
        <v/>
      </c>
    </row>
    <row r="7369" spans="8:8" x14ac:dyDescent="0.3">
      <c r="H7369" t="str">
        <f t="shared" si="164"/>
        <v/>
      </c>
    </row>
    <row r="7370" spans="8:8" x14ac:dyDescent="0.3">
      <c r="H7370" t="str">
        <f t="shared" si="164"/>
        <v/>
      </c>
    </row>
    <row r="7371" spans="8:8" x14ac:dyDescent="0.3">
      <c r="H7371" t="str">
        <f t="shared" si="164"/>
        <v/>
      </c>
    </row>
    <row r="7372" spans="8:8" x14ac:dyDescent="0.3">
      <c r="H7372" t="str">
        <f t="shared" si="164"/>
        <v/>
      </c>
    </row>
    <row r="7373" spans="8:8" x14ac:dyDescent="0.3">
      <c r="H7373" t="str">
        <f t="shared" si="164"/>
        <v/>
      </c>
    </row>
    <row r="7374" spans="8:8" x14ac:dyDescent="0.3">
      <c r="H7374" t="str">
        <f t="shared" si="164"/>
        <v/>
      </c>
    </row>
    <row r="7375" spans="8:8" x14ac:dyDescent="0.3">
      <c r="H7375" t="str">
        <f t="shared" si="164"/>
        <v/>
      </c>
    </row>
    <row r="7376" spans="8:8" x14ac:dyDescent="0.3">
      <c r="H7376" t="str">
        <f t="shared" si="164"/>
        <v/>
      </c>
    </row>
    <row r="7377" spans="8:8" x14ac:dyDescent="0.3">
      <c r="H7377" t="str">
        <f t="shared" si="164"/>
        <v/>
      </c>
    </row>
    <row r="7378" spans="8:8" x14ac:dyDescent="0.3">
      <c r="H7378" t="str">
        <f t="shared" si="164"/>
        <v/>
      </c>
    </row>
    <row r="7379" spans="8:8" x14ac:dyDescent="0.3">
      <c r="H7379" t="str">
        <f t="shared" si="164"/>
        <v/>
      </c>
    </row>
    <row r="7380" spans="8:8" x14ac:dyDescent="0.3">
      <c r="H7380" t="str">
        <f t="shared" si="164"/>
        <v/>
      </c>
    </row>
    <row r="7381" spans="8:8" x14ac:dyDescent="0.3">
      <c r="H7381" t="str">
        <f t="shared" si="164"/>
        <v/>
      </c>
    </row>
    <row r="7382" spans="8:8" x14ac:dyDescent="0.3">
      <c r="H7382" t="str">
        <f t="shared" si="164"/>
        <v/>
      </c>
    </row>
    <row r="7383" spans="8:8" x14ac:dyDescent="0.3">
      <c r="H7383" t="str">
        <f t="shared" ref="H7383:H7446" si="165">IF(B7383="","",$C$12)</f>
        <v/>
      </c>
    </row>
    <row r="7384" spans="8:8" x14ac:dyDescent="0.3">
      <c r="H7384" t="str">
        <f t="shared" si="165"/>
        <v/>
      </c>
    </row>
    <row r="7385" spans="8:8" x14ac:dyDescent="0.3">
      <c r="H7385" t="str">
        <f t="shared" si="165"/>
        <v/>
      </c>
    </row>
    <row r="7386" spans="8:8" x14ac:dyDescent="0.3">
      <c r="H7386" t="str">
        <f t="shared" si="165"/>
        <v/>
      </c>
    </row>
    <row r="7387" spans="8:8" x14ac:dyDescent="0.3">
      <c r="H7387" t="str">
        <f t="shared" si="165"/>
        <v/>
      </c>
    </row>
    <row r="7388" spans="8:8" x14ac:dyDescent="0.3">
      <c r="H7388" t="str">
        <f t="shared" si="165"/>
        <v/>
      </c>
    </row>
    <row r="7389" spans="8:8" x14ac:dyDescent="0.3">
      <c r="H7389" t="str">
        <f t="shared" si="165"/>
        <v/>
      </c>
    </row>
    <row r="7390" spans="8:8" x14ac:dyDescent="0.3">
      <c r="H7390" t="str">
        <f t="shared" si="165"/>
        <v/>
      </c>
    </row>
    <row r="7391" spans="8:8" x14ac:dyDescent="0.3">
      <c r="H7391" t="str">
        <f t="shared" si="165"/>
        <v/>
      </c>
    </row>
    <row r="7392" spans="8:8" x14ac:dyDescent="0.3">
      <c r="H7392" t="str">
        <f t="shared" si="165"/>
        <v/>
      </c>
    </row>
    <row r="7393" spans="8:8" x14ac:dyDescent="0.3">
      <c r="H7393" t="str">
        <f t="shared" si="165"/>
        <v/>
      </c>
    </row>
    <row r="7394" spans="8:8" x14ac:dyDescent="0.3">
      <c r="H7394" t="str">
        <f t="shared" si="165"/>
        <v/>
      </c>
    </row>
    <row r="7395" spans="8:8" x14ac:dyDescent="0.3">
      <c r="H7395" t="str">
        <f t="shared" si="165"/>
        <v/>
      </c>
    </row>
    <row r="7396" spans="8:8" x14ac:dyDescent="0.3">
      <c r="H7396" t="str">
        <f t="shared" si="165"/>
        <v/>
      </c>
    </row>
    <row r="7397" spans="8:8" x14ac:dyDescent="0.3">
      <c r="H7397" t="str">
        <f t="shared" si="165"/>
        <v/>
      </c>
    </row>
    <row r="7398" spans="8:8" x14ac:dyDescent="0.3">
      <c r="H7398" t="str">
        <f t="shared" si="165"/>
        <v/>
      </c>
    </row>
    <row r="7399" spans="8:8" x14ac:dyDescent="0.3">
      <c r="H7399" t="str">
        <f t="shared" si="165"/>
        <v/>
      </c>
    </row>
    <row r="7400" spans="8:8" x14ac:dyDescent="0.3">
      <c r="H7400" t="str">
        <f t="shared" si="165"/>
        <v/>
      </c>
    </row>
    <row r="7401" spans="8:8" x14ac:dyDescent="0.3">
      <c r="H7401" t="str">
        <f t="shared" si="165"/>
        <v/>
      </c>
    </row>
    <row r="7402" spans="8:8" x14ac:dyDescent="0.3">
      <c r="H7402" t="str">
        <f t="shared" si="165"/>
        <v/>
      </c>
    </row>
    <row r="7403" spans="8:8" x14ac:dyDescent="0.3">
      <c r="H7403" t="str">
        <f t="shared" si="165"/>
        <v/>
      </c>
    </row>
    <row r="7404" spans="8:8" x14ac:dyDescent="0.3">
      <c r="H7404" t="str">
        <f t="shared" si="165"/>
        <v/>
      </c>
    </row>
    <row r="7405" spans="8:8" x14ac:dyDescent="0.3">
      <c r="H7405" t="str">
        <f t="shared" si="165"/>
        <v/>
      </c>
    </row>
    <row r="7406" spans="8:8" x14ac:dyDescent="0.3">
      <c r="H7406" t="str">
        <f t="shared" si="165"/>
        <v/>
      </c>
    </row>
    <row r="7407" spans="8:8" x14ac:dyDescent="0.3">
      <c r="H7407" t="str">
        <f t="shared" si="165"/>
        <v/>
      </c>
    </row>
    <row r="7408" spans="8:8" x14ac:dyDescent="0.3">
      <c r="H7408" t="str">
        <f t="shared" si="165"/>
        <v/>
      </c>
    </row>
    <row r="7409" spans="8:8" x14ac:dyDescent="0.3">
      <c r="H7409" t="str">
        <f t="shared" si="165"/>
        <v/>
      </c>
    </row>
    <row r="7410" spans="8:8" x14ac:dyDescent="0.3">
      <c r="H7410" t="str">
        <f t="shared" si="165"/>
        <v/>
      </c>
    </row>
    <row r="7411" spans="8:8" x14ac:dyDescent="0.3">
      <c r="H7411" t="str">
        <f t="shared" si="165"/>
        <v/>
      </c>
    </row>
    <row r="7412" spans="8:8" x14ac:dyDescent="0.3">
      <c r="H7412" t="str">
        <f t="shared" si="165"/>
        <v/>
      </c>
    </row>
    <row r="7413" spans="8:8" x14ac:dyDescent="0.3">
      <c r="H7413" t="str">
        <f t="shared" si="165"/>
        <v/>
      </c>
    </row>
    <row r="7414" spans="8:8" x14ac:dyDescent="0.3">
      <c r="H7414" t="str">
        <f t="shared" si="165"/>
        <v/>
      </c>
    </row>
    <row r="7415" spans="8:8" x14ac:dyDescent="0.3">
      <c r="H7415" t="str">
        <f t="shared" si="165"/>
        <v/>
      </c>
    </row>
    <row r="7416" spans="8:8" x14ac:dyDescent="0.3">
      <c r="H7416" t="str">
        <f t="shared" si="165"/>
        <v/>
      </c>
    </row>
    <row r="7417" spans="8:8" x14ac:dyDescent="0.3">
      <c r="H7417" t="str">
        <f t="shared" si="165"/>
        <v/>
      </c>
    </row>
    <row r="7418" spans="8:8" x14ac:dyDescent="0.3">
      <c r="H7418" t="str">
        <f t="shared" si="165"/>
        <v/>
      </c>
    </row>
    <row r="7419" spans="8:8" x14ac:dyDescent="0.3">
      <c r="H7419" t="str">
        <f t="shared" si="165"/>
        <v/>
      </c>
    </row>
    <row r="7420" spans="8:8" x14ac:dyDescent="0.3">
      <c r="H7420" t="str">
        <f t="shared" si="165"/>
        <v/>
      </c>
    </row>
    <row r="7421" spans="8:8" x14ac:dyDescent="0.3">
      <c r="H7421" t="str">
        <f t="shared" si="165"/>
        <v/>
      </c>
    </row>
    <row r="7422" spans="8:8" x14ac:dyDescent="0.3">
      <c r="H7422" t="str">
        <f t="shared" si="165"/>
        <v/>
      </c>
    </row>
    <row r="7423" spans="8:8" x14ac:dyDescent="0.3">
      <c r="H7423" t="str">
        <f t="shared" si="165"/>
        <v/>
      </c>
    </row>
    <row r="7424" spans="8:8" x14ac:dyDescent="0.3">
      <c r="H7424" t="str">
        <f t="shared" si="165"/>
        <v/>
      </c>
    </row>
    <row r="7425" spans="8:8" x14ac:dyDescent="0.3">
      <c r="H7425" t="str">
        <f t="shared" si="165"/>
        <v/>
      </c>
    </row>
    <row r="7426" spans="8:8" x14ac:dyDescent="0.3">
      <c r="H7426" t="str">
        <f t="shared" si="165"/>
        <v/>
      </c>
    </row>
    <row r="7427" spans="8:8" x14ac:dyDescent="0.3">
      <c r="H7427" t="str">
        <f t="shared" si="165"/>
        <v/>
      </c>
    </row>
    <row r="7428" spans="8:8" x14ac:dyDescent="0.3">
      <c r="H7428" t="str">
        <f t="shared" si="165"/>
        <v/>
      </c>
    </row>
    <row r="7429" spans="8:8" x14ac:dyDescent="0.3">
      <c r="H7429" t="str">
        <f t="shared" si="165"/>
        <v/>
      </c>
    </row>
    <row r="7430" spans="8:8" x14ac:dyDescent="0.3">
      <c r="H7430" t="str">
        <f t="shared" si="165"/>
        <v/>
      </c>
    </row>
    <row r="7431" spans="8:8" x14ac:dyDescent="0.3">
      <c r="H7431" t="str">
        <f t="shared" si="165"/>
        <v/>
      </c>
    </row>
    <row r="7432" spans="8:8" x14ac:dyDescent="0.3">
      <c r="H7432" t="str">
        <f t="shared" si="165"/>
        <v/>
      </c>
    </row>
    <row r="7433" spans="8:8" x14ac:dyDescent="0.3">
      <c r="H7433" t="str">
        <f t="shared" si="165"/>
        <v/>
      </c>
    </row>
    <row r="7434" spans="8:8" x14ac:dyDescent="0.3">
      <c r="H7434" t="str">
        <f t="shared" si="165"/>
        <v/>
      </c>
    </row>
    <row r="7435" spans="8:8" x14ac:dyDescent="0.3">
      <c r="H7435" t="str">
        <f t="shared" si="165"/>
        <v/>
      </c>
    </row>
    <row r="7436" spans="8:8" x14ac:dyDescent="0.3">
      <c r="H7436" t="str">
        <f t="shared" si="165"/>
        <v/>
      </c>
    </row>
    <row r="7437" spans="8:8" x14ac:dyDescent="0.3">
      <c r="H7437" t="str">
        <f t="shared" si="165"/>
        <v/>
      </c>
    </row>
    <row r="7438" spans="8:8" x14ac:dyDescent="0.3">
      <c r="H7438" t="str">
        <f t="shared" si="165"/>
        <v/>
      </c>
    </row>
    <row r="7439" spans="8:8" x14ac:dyDescent="0.3">
      <c r="H7439" t="str">
        <f t="shared" si="165"/>
        <v/>
      </c>
    </row>
    <row r="7440" spans="8:8" x14ac:dyDescent="0.3">
      <c r="H7440" t="str">
        <f t="shared" si="165"/>
        <v/>
      </c>
    </row>
    <row r="7441" spans="8:8" x14ac:dyDescent="0.3">
      <c r="H7441" t="str">
        <f t="shared" si="165"/>
        <v/>
      </c>
    </row>
    <row r="7442" spans="8:8" x14ac:dyDescent="0.3">
      <c r="H7442" t="str">
        <f t="shared" si="165"/>
        <v/>
      </c>
    </row>
    <row r="7443" spans="8:8" x14ac:dyDescent="0.3">
      <c r="H7443" t="str">
        <f t="shared" si="165"/>
        <v/>
      </c>
    </row>
    <row r="7444" spans="8:8" x14ac:dyDescent="0.3">
      <c r="H7444" t="str">
        <f t="shared" si="165"/>
        <v/>
      </c>
    </row>
    <row r="7445" spans="8:8" x14ac:dyDescent="0.3">
      <c r="H7445" t="str">
        <f t="shared" si="165"/>
        <v/>
      </c>
    </row>
    <row r="7446" spans="8:8" x14ac:dyDescent="0.3">
      <c r="H7446" t="str">
        <f t="shared" si="165"/>
        <v/>
      </c>
    </row>
    <row r="7447" spans="8:8" x14ac:dyDescent="0.3">
      <c r="H7447" t="str">
        <f t="shared" ref="H7447:H7510" si="166">IF(B7447="","",$C$12)</f>
        <v/>
      </c>
    </row>
    <row r="7448" spans="8:8" x14ac:dyDescent="0.3">
      <c r="H7448" t="str">
        <f t="shared" si="166"/>
        <v/>
      </c>
    </row>
    <row r="7449" spans="8:8" x14ac:dyDescent="0.3">
      <c r="H7449" t="str">
        <f t="shared" si="166"/>
        <v/>
      </c>
    </row>
    <row r="7450" spans="8:8" x14ac:dyDescent="0.3">
      <c r="H7450" t="str">
        <f t="shared" si="166"/>
        <v/>
      </c>
    </row>
    <row r="7451" spans="8:8" x14ac:dyDescent="0.3">
      <c r="H7451" t="str">
        <f t="shared" si="166"/>
        <v/>
      </c>
    </row>
    <row r="7452" spans="8:8" x14ac:dyDescent="0.3">
      <c r="H7452" t="str">
        <f t="shared" si="166"/>
        <v/>
      </c>
    </row>
    <row r="7453" spans="8:8" x14ac:dyDescent="0.3">
      <c r="H7453" t="str">
        <f t="shared" si="166"/>
        <v/>
      </c>
    </row>
    <row r="7454" spans="8:8" x14ac:dyDescent="0.3">
      <c r="H7454" t="str">
        <f t="shared" si="166"/>
        <v/>
      </c>
    </row>
    <row r="7455" spans="8:8" x14ac:dyDescent="0.3">
      <c r="H7455" t="str">
        <f t="shared" si="166"/>
        <v/>
      </c>
    </row>
    <row r="7456" spans="8:8" x14ac:dyDescent="0.3">
      <c r="H7456" t="str">
        <f t="shared" si="166"/>
        <v/>
      </c>
    </row>
    <row r="7457" spans="8:8" x14ac:dyDescent="0.3">
      <c r="H7457" t="str">
        <f t="shared" si="166"/>
        <v/>
      </c>
    </row>
    <row r="7458" spans="8:8" x14ac:dyDescent="0.3">
      <c r="H7458" t="str">
        <f t="shared" si="166"/>
        <v/>
      </c>
    </row>
    <row r="7459" spans="8:8" x14ac:dyDescent="0.3">
      <c r="H7459" t="str">
        <f t="shared" si="166"/>
        <v/>
      </c>
    </row>
    <row r="7460" spans="8:8" x14ac:dyDescent="0.3">
      <c r="H7460" t="str">
        <f t="shared" si="166"/>
        <v/>
      </c>
    </row>
    <row r="7461" spans="8:8" x14ac:dyDescent="0.3">
      <c r="H7461" t="str">
        <f t="shared" si="166"/>
        <v/>
      </c>
    </row>
    <row r="7462" spans="8:8" x14ac:dyDescent="0.3">
      <c r="H7462" t="str">
        <f t="shared" si="166"/>
        <v/>
      </c>
    </row>
    <row r="7463" spans="8:8" x14ac:dyDescent="0.3">
      <c r="H7463" t="str">
        <f t="shared" si="166"/>
        <v/>
      </c>
    </row>
    <row r="7464" spans="8:8" x14ac:dyDescent="0.3">
      <c r="H7464" t="str">
        <f t="shared" si="166"/>
        <v/>
      </c>
    </row>
    <row r="7465" spans="8:8" x14ac:dyDescent="0.3">
      <c r="H7465" t="str">
        <f t="shared" si="166"/>
        <v/>
      </c>
    </row>
    <row r="7466" spans="8:8" x14ac:dyDescent="0.3">
      <c r="H7466" t="str">
        <f t="shared" si="166"/>
        <v/>
      </c>
    </row>
    <row r="7467" spans="8:8" x14ac:dyDescent="0.3">
      <c r="H7467" t="str">
        <f t="shared" si="166"/>
        <v/>
      </c>
    </row>
    <row r="7468" spans="8:8" x14ac:dyDescent="0.3">
      <c r="H7468" t="str">
        <f t="shared" si="166"/>
        <v/>
      </c>
    </row>
    <row r="7469" spans="8:8" x14ac:dyDescent="0.3">
      <c r="H7469" t="str">
        <f t="shared" si="166"/>
        <v/>
      </c>
    </row>
    <row r="7470" spans="8:8" x14ac:dyDescent="0.3">
      <c r="H7470" t="str">
        <f t="shared" si="166"/>
        <v/>
      </c>
    </row>
    <row r="7471" spans="8:8" x14ac:dyDescent="0.3">
      <c r="H7471" t="str">
        <f t="shared" si="166"/>
        <v/>
      </c>
    </row>
    <row r="7472" spans="8:8" x14ac:dyDescent="0.3">
      <c r="H7472" t="str">
        <f t="shared" si="166"/>
        <v/>
      </c>
    </row>
    <row r="7473" spans="8:8" x14ac:dyDescent="0.3">
      <c r="H7473" t="str">
        <f t="shared" si="166"/>
        <v/>
      </c>
    </row>
    <row r="7474" spans="8:8" x14ac:dyDescent="0.3">
      <c r="H7474" t="str">
        <f t="shared" si="166"/>
        <v/>
      </c>
    </row>
    <row r="7475" spans="8:8" x14ac:dyDescent="0.3">
      <c r="H7475" t="str">
        <f t="shared" si="166"/>
        <v/>
      </c>
    </row>
    <row r="7476" spans="8:8" x14ac:dyDescent="0.3">
      <c r="H7476" t="str">
        <f t="shared" si="166"/>
        <v/>
      </c>
    </row>
    <row r="7477" spans="8:8" x14ac:dyDescent="0.3">
      <c r="H7477" t="str">
        <f t="shared" si="166"/>
        <v/>
      </c>
    </row>
    <row r="7478" spans="8:8" x14ac:dyDescent="0.3">
      <c r="H7478" t="str">
        <f t="shared" si="166"/>
        <v/>
      </c>
    </row>
    <row r="7479" spans="8:8" x14ac:dyDescent="0.3">
      <c r="H7479" t="str">
        <f t="shared" si="166"/>
        <v/>
      </c>
    </row>
    <row r="7480" spans="8:8" x14ac:dyDescent="0.3">
      <c r="H7480" t="str">
        <f t="shared" si="166"/>
        <v/>
      </c>
    </row>
    <row r="7481" spans="8:8" x14ac:dyDescent="0.3">
      <c r="H7481" t="str">
        <f t="shared" si="166"/>
        <v/>
      </c>
    </row>
    <row r="7482" spans="8:8" x14ac:dyDescent="0.3">
      <c r="H7482" t="str">
        <f t="shared" si="166"/>
        <v/>
      </c>
    </row>
    <row r="7483" spans="8:8" x14ac:dyDescent="0.3">
      <c r="H7483" t="str">
        <f t="shared" si="166"/>
        <v/>
      </c>
    </row>
    <row r="7484" spans="8:8" x14ac:dyDescent="0.3">
      <c r="H7484" t="str">
        <f t="shared" si="166"/>
        <v/>
      </c>
    </row>
    <row r="7485" spans="8:8" x14ac:dyDescent="0.3">
      <c r="H7485" t="str">
        <f t="shared" si="166"/>
        <v/>
      </c>
    </row>
    <row r="7486" spans="8:8" x14ac:dyDescent="0.3">
      <c r="H7486" t="str">
        <f t="shared" si="166"/>
        <v/>
      </c>
    </row>
    <row r="7487" spans="8:8" x14ac:dyDescent="0.3">
      <c r="H7487" t="str">
        <f t="shared" si="166"/>
        <v/>
      </c>
    </row>
    <row r="7488" spans="8:8" x14ac:dyDescent="0.3">
      <c r="H7488" t="str">
        <f t="shared" si="166"/>
        <v/>
      </c>
    </row>
    <row r="7489" spans="8:8" x14ac:dyDescent="0.3">
      <c r="H7489" t="str">
        <f t="shared" si="166"/>
        <v/>
      </c>
    </row>
    <row r="7490" spans="8:8" x14ac:dyDescent="0.3">
      <c r="H7490" t="str">
        <f t="shared" si="166"/>
        <v/>
      </c>
    </row>
    <row r="7491" spans="8:8" x14ac:dyDescent="0.3">
      <c r="H7491" t="str">
        <f t="shared" si="166"/>
        <v/>
      </c>
    </row>
    <row r="7492" spans="8:8" x14ac:dyDescent="0.3">
      <c r="H7492" t="str">
        <f t="shared" si="166"/>
        <v/>
      </c>
    </row>
    <row r="7493" spans="8:8" x14ac:dyDescent="0.3">
      <c r="H7493" t="str">
        <f t="shared" si="166"/>
        <v/>
      </c>
    </row>
    <row r="7494" spans="8:8" x14ac:dyDescent="0.3">
      <c r="H7494" t="str">
        <f t="shared" si="166"/>
        <v/>
      </c>
    </row>
    <row r="7495" spans="8:8" x14ac:dyDescent="0.3">
      <c r="H7495" t="str">
        <f t="shared" si="166"/>
        <v/>
      </c>
    </row>
    <row r="7496" spans="8:8" x14ac:dyDescent="0.3">
      <c r="H7496" t="str">
        <f t="shared" si="166"/>
        <v/>
      </c>
    </row>
    <row r="7497" spans="8:8" x14ac:dyDescent="0.3">
      <c r="H7497" t="str">
        <f t="shared" si="166"/>
        <v/>
      </c>
    </row>
    <row r="7498" spans="8:8" x14ac:dyDescent="0.3">
      <c r="H7498" t="str">
        <f t="shared" si="166"/>
        <v/>
      </c>
    </row>
    <row r="7499" spans="8:8" x14ac:dyDescent="0.3">
      <c r="H7499" t="str">
        <f t="shared" si="166"/>
        <v/>
      </c>
    </row>
    <row r="7500" spans="8:8" x14ac:dyDescent="0.3">
      <c r="H7500" t="str">
        <f t="shared" si="166"/>
        <v/>
      </c>
    </row>
    <row r="7501" spans="8:8" x14ac:dyDescent="0.3">
      <c r="H7501" t="str">
        <f t="shared" si="166"/>
        <v/>
      </c>
    </row>
    <row r="7502" spans="8:8" x14ac:dyDescent="0.3">
      <c r="H7502" t="str">
        <f t="shared" si="166"/>
        <v/>
      </c>
    </row>
    <row r="7503" spans="8:8" x14ac:dyDescent="0.3">
      <c r="H7503" t="str">
        <f t="shared" si="166"/>
        <v/>
      </c>
    </row>
    <row r="7504" spans="8:8" x14ac:dyDescent="0.3">
      <c r="H7504" t="str">
        <f t="shared" si="166"/>
        <v/>
      </c>
    </row>
    <row r="7505" spans="8:8" x14ac:dyDescent="0.3">
      <c r="H7505" t="str">
        <f t="shared" si="166"/>
        <v/>
      </c>
    </row>
    <row r="7506" spans="8:8" x14ac:dyDescent="0.3">
      <c r="H7506" t="str">
        <f t="shared" si="166"/>
        <v/>
      </c>
    </row>
    <row r="7507" spans="8:8" x14ac:dyDescent="0.3">
      <c r="H7507" t="str">
        <f t="shared" si="166"/>
        <v/>
      </c>
    </row>
    <row r="7508" spans="8:8" x14ac:dyDescent="0.3">
      <c r="H7508" t="str">
        <f t="shared" si="166"/>
        <v/>
      </c>
    </row>
    <row r="7509" spans="8:8" x14ac:dyDescent="0.3">
      <c r="H7509" t="str">
        <f t="shared" si="166"/>
        <v/>
      </c>
    </row>
    <row r="7510" spans="8:8" x14ac:dyDescent="0.3">
      <c r="H7510" t="str">
        <f t="shared" si="166"/>
        <v/>
      </c>
    </row>
    <row r="7511" spans="8:8" x14ac:dyDescent="0.3">
      <c r="H7511" t="str">
        <f t="shared" ref="H7511:H7574" si="167">IF(B7511="","",$C$12)</f>
        <v/>
      </c>
    </row>
    <row r="7512" spans="8:8" x14ac:dyDescent="0.3">
      <c r="H7512" t="str">
        <f t="shared" si="167"/>
        <v/>
      </c>
    </row>
    <row r="7513" spans="8:8" x14ac:dyDescent="0.3">
      <c r="H7513" t="str">
        <f t="shared" si="167"/>
        <v/>
      </c>
    </row>
    <row r="7514" spans="8:8" x14ac:dyDescent="0.3">
      <c r="H7514" t="str">
        <f t="shared" si="167"/>
        <v/>
      </c>
    </row>
    <row r="7515" spans="8:8" x14ac:dyDescent="0.3">
      <c r="H7515" t="str">
        <f t="shared" si="167"/>
        <v/>
      </c>
    </row>
    <row r="7516" spans="8:8" x14ac:dyDescent="0.3">
      <c r="H7516" t="str">
        <f t="shared" si="167"/>
        <v/>
      </c>
    </row>
    <row r="7517" spans="8:8" x14ac:dyDescent="0.3">
      <c r="H7517" t="str">
        <f t="shared" si="167"/>
        <v/>
      </c>
    </row>
    <row r="7518" spans="8:8" x14ac:dyDescent="0.3">
      <c r="H7518" t="str">
        <f t="shared" si="167"/>
        <v/>
      </c>
    </row>
    <row r="7519" spans="8:8" x14ac:dyDescent="0.3">
      <c r="H7519" t="str">
        <f t="shared" si="167"/>
        <v/>
      </c>
    </row>
    <row r="7520" spans="8:8" x14ac:dyDescent="0.3">
      <c r="H7520" t="str">
        <f t="shared" si="167"/>
        <v/>
      </c>
    </row>
    <row r="7521" spans="8:8" x14ac:dyDescent="0.3">
      <c r="H7521" t="str">
        <f t="shared" si="167"/>
        <v/>
      </c>
    </row>
    <row r="7522" spans="8:8" x14ac:dyDescent="0.3">
      <c r="H7522" t="str">
        <f t="shared" si="167"/>
        <v/>
      </c>
    </row>
    <row r="7523" spans="8:8" x14ac:dyDescent="0.3">
      <c r="H7523" t="str">
        <f t="shared" si="167"/>
        <v/>
      </c>
    </row>
    <row r="7524" spans="8:8" x14ac:dyDescent="0.3">
      <c r="H7524" t="str">
        <f t="shared" si="167"/>
        <v/>
      </c>
    </row>
    <row r="7525" spans="8:8" x14ac:dyDescent="0.3">
      <c r="H7525" t="str">
        <f t="shared" si="167"/>
        <v/>
      </c>
    </row>
    <row r="7526" spans="8:8" x14ac:dyDescent="0.3">
      <c r="H7526" t="str">
        <f t="shared" si="167"/>
        <v/>
      </c>
    </row>
    <row r="7527" spans="8:8" x14ac:dyDescent="0.3">
      <c r="H7527" t="str">
        <f t="shared" si="167"/>
        <v/>
      </c>
    </row>
    <row r="7528" spans="8:8" x14ac:dyDescent="0.3">
      <c r="H7528" t="str">
        <f t="shared" si="167"/>
        <v/>
      </c>
    </row>
    <row r="7529" spans="8:8" x14ac:dyDescent="0.3">
      <c r="H7529" t="str">
        <f t="shared" si="167"/>
        <v/>
      </c>
    </row>
    <row r="7530" spans="8:8" x14ac:dyDescent="0.3">
      <c r="H7530" t="str">
        <f t="shared" si="167"/>
        <v/>
      </c>
    </row>
    <row r="7531" spans="8:8" x14ac:dyDescent="0.3">
      <c r="H7531" t="str">
        <f t="shared" si="167"/>
        <v/>
      </c>
    </row>
    <row r="7532" spans="8:8" x14ac:dyDescent="0.3">
      <c r="H7532" t="str">
        <f t="shared" si="167"/>
        <v/>
      </c>
    </row>
    <row r="7533" spans="8:8" x14ac:dyDescent="0.3">
      <c r="H7533" t="str">
        <f t="shared" si="167"/>
        <v/>
      </c>
    </row>
    <row r="7534" spans="8:8" x14ac:dyDescent="0.3">
      <c r="H7534" t="str">
        <f t="shared" si="167"/>
        <v/>
      </c>
    </row>
    <row r="7535" spans="8:8" x14ac:dyDescent="0.3">
      <c r="H7535" t="str">
        <f t="shared" si="167"/>
        <v/>
      </c>
    </row>
    <row r="7536" spans="8:8" x14ac:dyDescent="0.3">
      <c r="H7536" t="str">
        <f t="shared" si="167"/>
        <v/>
      </c>
    </row>
    <row r="7537" spans="8:8" x14ac:dyDescent="0.3">
      <c r="H7537" t="str">
        <f t="shared" si="167"/>
        <v/>
      </c>
    </row>
    <row r="7538" spans="8:8" x14ac:dyDescent="0.3">
      <c r="H7538" t="str">
        <f t="shared" si="167"/>
        <v/>
      </c>
    </row>
    <row r="7539" spans="8:8" x14ac:dyDescent="0.3">
      <c r="H7539" t="str">
        <f t="shared" si="167"/>
        <v/>
      </c>
    </row>
    <row r="7540" spans="8:8" x14ac:dyDescent="0.3">
      <c r="H7540" t="str">
        <f t="shared" si="167"/>
        <v/>
      </c>
    </row>
    <row r="7541" spans="8:8" x14ac:dyDescent="0.3">
      <c r="H7541" t="str">
        <f t="shared" si="167"/>
        <v/>
      </c>
    </row>
    <row r="7542" spans="8:8" x14ac:dyDescent="0.3">
      <c r="H7542" t="str">
        <f t="shared" si="167"/>
        <v/>
      </c>
    </row>
    <row r="7543" spans="8:8" x14ac:dyDescent="0.3">
      <c r="H7543" t="str">
        <f t="shared" si="167"/>
        <v/>
      </c>
    </row>
    <row r="7544" spans="8:8" x14ac:dyDescent="0.3">
      <c r="H7544" t="str">
        <f t="shared" si="167"/>
        <v/>
      </c>
    </row>
    <row r="7545" spans="8:8" x14ac:dyDescent="0.3">
      <c r="H7545" t="str">
        <f t="shared" si="167"/>
        <v/>
      </c>
    </row>
    <row r="7546" spans="8:8" x14ac:dyDescent="0.3">
      <c r="H7546" t="str">
        <f t="shared" si="167"/>
        <v/>
      </c>
    </row>
    <row r="7547" spans="8:8" x14ac:dyDescent="0.3">
      <c r="H7547" t="str">
        <f t="shared" si="167"/>
        <v/>
      </c>
    </row>
    <row r="7548" spans="8:8" x14ac:dyDescent="0.3">
      <c r="H7548" t="str">
        <f t="shared" si="167"/>
        <v/>
      </c>
    </row>
    <row r="7549" spans="8:8" x14ac:dyDescent="0.3">
      <c r="H7549" t="str">
        <f t="shared" si="167"/>
        <v/>
      </c>
    </row>
    <row r="7550" spans="8:8" x14ac:dyDescent="0.3">
      <c r="H7550" t="str">
        <f t="shared" si="167"/>
        <v/>
      </c>
    </row>
    <row r="7551" spans="8:8" x14ac:dyDescent="0.3">
      <c r="H7551" t="str">
        <f t="shared" si="167"/>
        <v/>
      </c>
    </row>
    <row r="7552" spans="8:8" x14ac:dyDescent="0.3">
      <c r="H7552" t="str">
        <f t="shared" si="167"/>
        <v/>
      </c>
    </row>
    <row r="7553" spans="8:8" x14ac:dyDescent="0.3">
      <c r="H7553" t="str">
        <f t="shared" si="167"/>
        <v/>
      </c>
    </row>
    <row r="7554" spans="8:8" x14ac:dyDescent="0.3">
      <c r="H7554" t="str">
        <f t="shared" si="167"/>
        <v/>
      </c>
    </row>
    <row r="7555" spans="8:8" x14ac:dyDescent="0.3">
      <c r="H7555" t="str">
        <f t="shared" si="167"/>
        <v/>
      </c>
    </row>
    <row r="7556" spans="8:8" x14ac:dyDescent="0.3">
      <c r="H7556" t="str">
        <f t="shared" si="167"/>
        <v/>
      </c>
    </row>
    <row r="7557" spans="8:8" x14ac:dyDescent="0.3">
      <c r="H7557" t="str">
        <f t="shared" si="167"/>
        <v/>
      </c>
    </row>
    <row r="7558" spans="8:8" x14ac:dyDescent="0.3">
      <c r="H7558" t="str">
        <f t="shared" si="167"/>
        <v/>
      </c>
    </row>
    <row r="7559" spans="8:8" x14ac:dyDescent="0.3">
      <c r="H7559" t="str">
        <f t="shared" si="167"/>
        <v/>
      </c>
    </row>
    <row r="7560" spans="8:8" x14ac:dyDescent="0.3">
      <c r="H7560" t="str">
        <f t="shared" si="167"/>
        <v/>
      </c>
    </row>
    <row r="7561" spans="8:8" x14ac:dyDescent="0.3">
      <c r="H7561" t="str">
        <f t="shared" si="167"/>
        <v/>
      </c>
    </row>
    <row r="7562" spans="8:8" x14ac:dyDescent="0.3">
      <c r="H7562" t="str">
        <f t="shared" si="167"/>
        <v/>
      </c>
    </row>
    <row r="7563" spans="8:8" x14ac:dyDescent="0.3">
      <c r="H7563" t="str">
        <f t="shared" si="167"/>
        <v/>
      </c>
    </row>
    <row r="7564" spans="8:8" x14ac:dyDescent="0.3">
      <c r="H7564" t="str">
        <f t="shared" si="167"/>
        <v/>
      </c>
    </row>
    <row r="7565" spans="8:8" x14ac:dyDescent="0.3">
      <c r="H7565" t="str">
        <f t="shared" si="167"/>
        <v/>
      </c>
    </row>
    <row r="7566" spans="8:8" x14ac:dyDescent="0.3">
      <c r="H7566" t="str">
        <f t="shared" si="167"/>
        <v/>
      </c>
    </row>
    <row r="7567" spans="8:8" x14ac:dyDescent="0.3">
      <c r="H7567" t="str">
        <f t="shared" si="167"/>
        <v/>
      </c>
    </row>
    <row r="7568" spans="8:8" x14ac:dyDescent="0.3">
      <c r="H7568" t="str">
        <f t="shared" si="167"/>
        <v/>
      </c>
    </row>
    <row r="7569" spans="8:8" x14ac:dyDescent="0.3">
      <c r="H7569" t="str">
        <f t="shared" si="167"/>
        <v/>
      </c>
    </row>
    <row r="7570" spans="8:8" x14ac:dyDescent="0.3">
      <c r="H7570" t="str">
        <f t="shared" si="167"/>
        <v/>
      </c>
    </row>
    <row r="7571" spans="8:8" x14ac:dyDescent="0.3">
      <c r="H7571" t="str">
        <f t="shared" si="167"/>
        <v/>
      </c>
    </row>
    <row r="7572" spans="8:8" x14ac:dyDescent="0.3">
      <c r="H7572" t="str">
        <f t="shared" si="167"/>
        <v/>
      </c>
    </row>
    <row r="7573" spans="8:8" x14ac:dyDescent="0.3">
      <c r="H7573" t="str">
        <f t="shared" si="167"/>
        <v/>
      </c>
    </row>
    <row r="7574" spans="8:8" x14ac:dyDescent="0.3">
      <c r="H7574" t="str">
        <f t="shared" si="167"/>
        <v/>
      </c>
    </row>
    <row r="7575" spans="8:8" x14ac:dyDescent="0.3">
      <c r="H7575" t="str">
        <f t="shared" ref="H7575:H7638" si="168">IF(B7575="","",$C$12)</f>
        <v/>
      </c>
    </row>
    <row r="7576" spans="8:8" x14ac:dyDescent="0.3">
      <c r="H7576" t="str">
        <f t="shared" si="168"/>
        <v/>
      </c>
    </row>
    <row r="7577" spans="8:8" x14ac:dyDescent="0.3">
      <c r="H7577" t="str">
        <f t="shared" si="168"/>
        <v/>
      </c>
    </row>
    <row r="7578" spans="8:8" x14ac:dyDescent="0.3">
      <c r="H7578" t="str">
        <f t="shared" si="168"/>
        <v/>
      </c>
    </row>
    <row r="7579" spans="8:8" x14ac:dyDescent="0.3">
      <c r="H7579" t="str">
        <f t="shared" si="168"/>
        <v/>
      </c>
    </row>
    <row r="7580" spans="8:8" x14ac:dyDescent="0.3">
      <c r="H7580" t="str">
        <f t="shared" si="168"/>
        <v/>
      </c>
    </row>
    <row r="7581" spans="8:8" x14ac:dyDescent="0.3">
      <c r="H7581" t="str">
        <f t="shared" si="168"/>
        <v/>
      </c>
    </row>
    <row r="7582" spans="8:8" x14ac:dyDescent="0.3">
      <c r="H7582" t="str">
        <f t="shared" si="168"/>
        <v/>
      </c>
    </row>
    <row r="7583" spans="8:8" x14ac:dyDescent="0.3">
      <c r="H7583" t="str">
        <f t="shared" si="168"/>
        <v/>
      </c>
    </row>
    <row r="7584" spans="8:8" x14ac:dyDescent="0.3">
      <c r="H7584" t="str">
        <f t="shared" si="168"/>
        <v/>
      </c>
    </row>
    <row r="7585" spans="8:8" x14ac:dyDescent="0.3">
      <c r="H7585" t="str">
        <f t="shared" si="168"/>
        <v/>
      </c>
    </row>
    <row r="7586" spans="8:8" x14ac:dyDescent="0.3">
      <c r="H7586" t="str">
        <f t="shared" si="168"/>
        <v/>
      </c>
    </row>
    <row r="7587" spans="8:8" x14ac:dyDescent="0.3">
      <c r="H7587" t="str">
        <f t="shared" si="168"/>
        <v/>
      </c>
    </row>
    <row r="7588" spans="8:8" x14ac:dyDescent="0.3">
      <c r="H7588" t="str">
        <f t="shared" si="168"/>
        <v/>
      </c>
    </row>
    <row r="7589" spans="8:8" x14ac:dyDescent="0.3">
      <c r="H7589" t="str">
        <f t="shared" si="168"/>
        <v/>
      </c>
    </row>
    <row r="7590" spans="8:8" x14ac:dyDescent="0.3">
      <c r="H7590" t="str">
        <f t="shared" si="168"/>
        <v/>
      </c>
    </row>
    <row r="7591" spans="8:8" x14ac:dyDescent="0.3">
      <c r="H7591" t="str">
        <f t="shared" si="168"/>
        <v/>
      </c>
    </row>
    <row r="7592" spans="8:8" x14ac:dyDescent="0.3">
      <c r="H7592" t="str">
        <f t="shared" si="168"/>
        <v/>
      </c>
    </row>
    <row r="7593" spans="8:8" x14ac:dyDescent="0.3">
      <c r="H7593" t="str">
        <f t="shared" si="168"/>
        <v/>
      </c>
    </row>
    <row r="7594" spans="8:8" x14ac:dyDescent="0.3">
      <c r="H7594" t="str">
        <f t="shared" si="168"/>
        <v/>
      </c>
    </row>
    <row r="7595" spans="8:8" x14ac:dyDescent="0.3">
      <c r="H7595" t="str">
        <f t="shared" si="168"/>
        <v/>
      </c>
    </row>
    <row r="7596" spans="8:8" x14ac:dyDescent="0.3">
      <c r="H7596" t="str">
        <f t="shared" si="168"/>
        <v/>
      </c>
    </row>
    <row r="7597" spans="8:8" x14ac:dyDescent="0.3">
      <c r="H7597" t="str">
        <f t="shared" si="168"/>
        <v/>
      </c>
    </row>
    <row r="7598" spans="8:8" x14ac:dyDescent="0.3">
      <c r="H7598" t="str">
        <f t="shared" si="168"/>
        <v/>
      </c>
    </row>
    <row r="7599" spans="8:8" x14ac:dyDescent="0.3">
      <c r="H7599" t="str">
        <f t="shared" si="168"/>
        <v/>
      </c>
    </row>
    <row r="7600" spans="8:8" x14ac:dyDescent="0.3">
      <c r="H7600" t="str">
        <f t="shared" si="168"/>
        <v/>
      </c>
    </row>
    <row r="7601" spans="8:8" x14ac:dyDescent="0.3">
      <c r="H7601" t="str">
        <f t="shared" si="168"/>
        <v/>
      </c>
    </row>
    <row r="7602" spans="8:8" x14ac:dyDescent="0.3">
      <c r="H7602" t="str">
        <f t="shared" si="168"/>
        <v/>
      </c>
    </row>
    <row r="7603" spans="8:8" x14ac:dyDescent="0.3">
      <c r="H7603" t="str">
        <f t="shared" si="168"/>
        <v/>
      </c>
    </row>
    <row r="7604" spans="8:8" x14ac:dyDescent="0.3">
      <c r="H7604" t="str">
        <f t="shared" si="168"/>
        <v/>
      </c>
    </row>
    <row r="7605" spans="8:8" x14ac:dyDescent="0.3">
      <c r="H7605" t="str">
        <f t="shared" si="168"/>
        <v/>
      </c>
    </row>
    <row r="7606" spans="8:8" x14ac:dyDescent="0.3">
      <c r="H7606" t="str">
        <f t="shared" si="168"/>
        <v/>
      </c>
    </row>
    <row r="7607" spans="8:8" x14ac:dyDescent="0.3">
      <c r="H7607" t="str">
        <f t="shared" si="168"/>
        <v/>
      </c>
    </row>
    <row r="7608" spans="8:8" x14ac:dyDescent="0.3">
      <c r="H7608" t="str">
        <f t="shared" si="168"/>
        <v/>
      </c>
    </row>
    <row r="7609" spans="8:8" x14ac:dyDescent="0.3">
      <c r="H7609" t="str">
        <f t="shared" si="168"/>
        <v/>
      </c>
    </row>
    <row r="7610" spans="8:8" x14ac:dyDescent="0.3">
      <c r="H7610" t="str">
        <f t="shared" si="168"/>
        <v/>
      </c>
    </row>
    <row r="7611" spans="8:8" x14ac:dyDescent="0.3">
      <c r="H7611" t="str">
        <f t="shared" si="168"/>
        <v/>
      </c>
    </row>
    <row r="7612" spans="8:8" x14ac:dyDescent="0.3">
      <c r="H7612" t="str">
        <f t="shared" si="168"/>
        <v/>
      </c>
    </row>
    <row r="7613" spans="8:8" x14ac:dyDescent="0.3">
      <c r="H7613" t="str">
        <f t="shared" si="168"/>
        <v/>
      </c>
    </row>
    <row r="7614" spans="8:8" x14ac:dyDescent="0.3">
      <c r="H7614" t="str">
        <f t="shared" si="168"/>
        <v/>
      </c>
    </row>
    <row r="7615" spans="8:8" x14ac:dyDescent="0.3">
      <c r="H7615" t="str">
        <f t="shared" si="168"/>
        <v/>
      </c>
    </row>
    <row r="7616" spans="8:8" x14ac:dyDescent="0.3">
      <c r="H7616" t="str">
        <f t="shared" si="168"/>
        <v/>
      </c>
    </row>
    <row r="7617" spans="8:8" x14ac:dyDescent="0.3">
      <c r="H7617" t="str">
        <f t="shared" si="168"/>
        <v/>
      </c>
    </row>
    <row r="7618" spans="8:8" x14ac:dyDescent="0.3">
      <c r="H7618" t="str">
        <f t="shared" si="168"/>
        <v/>
      </c>
    </row>
    <row r="7619" spans="8:8" x14ac:dyDescent="0.3">
      <c r="H7619" t="str">
        <f t="shared" si="168"/>
        <v/>
      </c>
    </row>
    <row r="7620" spans="8:8" x14ac:dyDescent="0.3">
      <c r="H7620" t="str">
        <f t="shared" si="168"/>
        <v/>
      </c>
    </row>
    <row r="7621" spans="8:8" x14ac:dyDescent="0.3">
      <c r="H7621" t="str">
        <f t="shared" si="168"/>
        <v/>
      </c>
    </row>
    <row r="7622" spans="8:8" x14ac:dyDescent="0.3">
      <c r="H7622" t="str">
        <f t="shared" si="168"/>
        <v/>
      </c>
    </row>
    <row r="7623" spans="8:8" x14ac:dyDescent="0.3">
      <c r="H7623" t="str">
        <f t="shared" si="168"/>
        <v/>
      </c>
    </row>
    <row r="7624" spans="8:8" x14ac:dyDescent="0.3">
      <c r="H7624" t="str">
        <f t="shared" si="168"/>
        <v/>
      </c>
    </row>
    <row r="7625" spans="8:8" x14ac:dyDescent="0.3">
      <c r="H7625" t="str">
        <f t="shared" si="168"/>
        <v/>
      </c>
    </row>
    <row r="7626" spans="8:8" x14ac:dyDescent="0.3">
      <c r="H7626" t="str">
        <f t="shared" si="168"/>
        <v/>
      </c>
    </row>
    <row r="7627" spans="8:8" x14ac:dyDescent="0.3">
      <c r="H7627" t="str">
        <f t="shared" si="168"/>
        <v/>
      </c>
    </row>
    <row r="7628" spans="8:8" x14ac:dyDescent="0.3">
      <c r="H7628" t="str">
        <f t="shared" si="168"/>
        <v/>
      </c>
    </row>
    <row r="7629" spans="8:8" x14ac:dyDescent="0.3">
      <c r="H7629" t="str">
        <f t="shared" si="168"/>
        <v/>
      </c>
    </row>
    <row r="7630" spans="8:8" x14ac:dyDescent="0.3">
      <c r="H7630" t="str">
        <f t="shared" si="168"/>
        <v/>
      </c>
    </row>
    <row r="7631" spans="8:8" x14ac:dyDescent="0.3">
      <c r="H7631" t="str">
        <f t="shared" si="168"/>
        <v/>
      </c>
    </row>
    <row r="7632" spans="8:8" x14ac:dyDescent="0.3">
      <c r="H7632" t="str">
        <f t="shared" si="168"/>
        <v/>
      </c>
    </row>
    <row r="7633" spans="8:8" x14ac:dyDescent="0.3">
      <c r="H7633" t="str">
        <f t="shared" si="168"/>
        <v/>
      </c>
    </row>
    <row r="7634" spans="8:8" x14ac:dyDescent="0.3">
      <c r="H7634" t="str">
        <f t="shared" si="168"/>
        <v/>
      </c>
    </row>
    <row r="7635" spans="8:8" x14ac:dyDescent="0.3">
      <c r="H7635" t="str">
        <f t="shared" si="168"/>
        <v/>
      </c>
    </row>
    <row r="7636" spans="8:8" x14ac:dyDescent="0.3">
      <c r="H7636" t="str">
        <f t="shared" si="168"/>
        <v/>
      </c>
    </row>
    <row r="7637" spans="8:8" x14ac:dyDescent="0.3">
      <c r="H7637" t="str">
        <f t="shared" si="168"/>
        <v/>
      </c>
    </row>
    <row r="7638" spans="8:8" x14ac:dyDescent="0.3">
      <c r="H7638" t="str">
        <f t="shared" si="168"/>
        <v/>
      </c>
    </row>
    <row r="7639" spans="8:8" x14ac:dyDescent="0.3">
      <c r="H7639" t="str">
        <f t="shared" ref="H7639:H7702" si="169">IF(B7639="","",$C$12)</f>
        <v/>
      </c>
    </row>
    <row r="7640" spans="8:8" x14ac:dyDescent="0.3">
      <c r="H7640" t="str">
        <f t="shared" si="169"/>
        <v/>
      </c>
    </row>
    <row r="7641" spans="8:8" x14ac:dyDescent="0.3">
      <c r="H7641" t="str">
        <f t="shared" si="169"/>
        <v/>
      </c>
    </row>
    <row r="7642" spans="8:8" x14ac:dyDescent="0.3">
      <c r="H7642" t="str">
        <f t="shared" si="169"/>
        <v/>
      </c>
    </row>
    <row r="7643" spans="8:8" x14ac:dyDescent="0.3">
      <c r="H7643" t="str">
        <f t="shared" si="169"/>
        <v/>
      </c>
    </row>
    <row r="7644" spans="8:8" x14ac:dyDescent="0.3">
      <c r="H7644" t="str">
        <f t="shared" si="169"/>
        <v/>
      </c>
    </row>
    <row r="7645" spans="8:8" x14ac:dyDescent="0.3">
      <c r="H7645" t="str">
        <f t="shared" si="169"/>
        <v/>
      </c>
    </row>
    <row r="7646" spans="8:8" x14ac:dyDescent="0.3">
      <c r="H7646" t="str">
        <f t="shared" si="169"/>
        <v/>
      </c>
    </row>
    <row r="7647" spans="8:8" x14ac:dyDescent="0.3">
      <c r="H7647" t="str">
        <f t="shared" si="169"/>
        <v/>
      </c>
    </row>
    <row r="7648" spans="8:8" x14ac:dyDescent="0.3">
      <c r="H7648" t="str">
        <f t="shared" si="169"/>
        <v/>
      </c>
    </row>
    <row r="7649" spans="8:8" x14ac:dyDescent="0.3">
      <c r="H7649" t="str">
        <f t="shared" si="169"/>
        <v/>
      </c>
    </row>
    <row r="7650" spans="8:8" x14ac:dyDescent="0.3">
      <c r="H7650" t="str">
        <f t="shared" si="169"/>
        <v/>
      </c>
    </row>
    <row r="7651" spans="8:8" x14ac:dyDescent="0.3">
      <c r="H7651" t="str">
        <f t="shared" si="169"/>
        <v/>
      </c>
    </row>
    <row r="7652" spans="8:8" x14ac:dyDescent="0.3">
      <c r="H7652" t="str">
        <f t="shared" si="169"/>
        <v/>
      </c>
    </row>
    <row r="7653" spans="8:8" x14ac:dyDescent="0.3">
      <c r="H7653" t="str">
        <f t="shared" si="169"/>
        <v/>
      </c>
    </row>
    <row r="7654" spans="8:8" x14ac:dyDescent="0.3">
      <c r="H7654" t="str">
        <f t="shared" si="169"/>
        <v/>
      </c>
    </row>
    <row r="7655" spans="8:8" x14ac:dyDescent="0.3">
      <c r="H7655" t="str">
        <f t="shared" si="169"/>
        <v/>
      </c>
    </row>
    <row r="7656" spans="8:8" x14ac:dyDescent="0.3">
      <c r="H7656" t="str">
        <f t="shared" si="169"/>
        <v/>
      </c>
    </row>
    <row r="7657" spans="8:8" x14ac:dyDescent="0.3">
      <c r="H7657" t="str">
        <f t="shared" si="169"/>
        <v/>
      </c>
    </row>
    <row r="7658" spans="8:8" x14ac:dyDescent="0.3">
      <c r="H7658" t="str">
        <f t="shared" si="169"/>
        <v/>
      </c>
    </row>
    <row r="7659" spans="8:8" x14ac:dyDescent="0.3">
      <c r="H7659" t="str">
        <f t="shared" si="169"/>
        <v/>
      </c>
    </row>
    <row r="7660" spans="8:8" x14ac:dyDescent="0.3">
      <c r="H7660" t="str">
        <f t="shared" si="169"/>
        <v/>
      </c>
    </row>
    <row r="7661" spans="8:8" x14ac:dyDescent="0.3">
      <c r="H7661" t="str">
        <f t="shared" si="169"/>
        <v/>
      </c>
    </row>
    <row r="7662" spans="8:8" x14ac:dyDescent="0.3">
      <c r="H7662" t="str">
        <f t="shared" si="169"/>
        <v/>
      </c>
    </row>
    <row r="7663" spans="8:8" x14ac:dyDescent="0.3">
      <c r="H7663" t="str">
        <f t="shared" si="169"/>
        <v/>
      </c>
    </row>
    <row r="7664" spans="8:8" x14ac:dyDescent="0.3">
      <c r="H7664" t="str">
        <f t="shared" si="169"/>
        <v/>
      </c>
    </row>
    <row r="7665" spans="8:8" x14ac:dyDescent="0.3">
      <c r="H7665" t="str">
        <f t="shared" si="169"/>
        <v/>
      </c>
    </row>
    <row r="7666" spans="8:8" x14ac:dyDescent="0.3">
      <c r="H7666" t="str">
        <f t="shared" si="169"/>
        <v/>
      </c>
    </row>
    <row r="7667" spans="8:8" x14ac:dyDescent="0.3">
      <c r="H7667" t="str">
        <f t="shared" si="169"/>
        <v/>
      </c>
    </row>
    <row r="7668" spans="8:8" x14ac:dyDescent="0.3">
      <c r="H7668" t="str">
        <f t="shared" si="169"/>
        <v/>
      </c>
    </row>
    <row r="7669" spans="8:8" x14ac:dyDescent="0.3">
      <c r="H7669" t="str">
        <f t="shared" si="169"/>
        <v/>
      </c>
    </row>
    <row r="7670" spans="8:8" x14ac:dyDescent="0.3">
      <c r="H7670" t="str">
        <f t="shared" si="169"/>
        <v/>
      </c>
    </row>
    <row r="7671" spans="8:8" x14ac:dyDescent="0.3">
      <c r="H7671" t="str">
        <f t="shared" si="169"/>
        <v/>
      </c>
    </row>
    <row r="7672" spans="8:8" x14ac:dyDescent="0.3">
      <c r="H7672" t="str">
        <f t="shared" si="169"/>
        <v/>
      </c>
    </row>
    <row r="7673" spans="8:8" x14ac:dyDescent="0.3">
      <c r="H7673" t="str">
        <f t="shared" si="169"/>
        <v/>
      </c>
    </row>
    <row r="7674" spans="8:8" x14ac:dyDescent="0.3">
      <c r="H7674" t="str">
        <f t="shared" si="169"/>
        <v/>
      </c>
    </row>
    <row r="7675" spans="8:8" x14ac:dyDescent="0.3">
      <c r="H7675" t="str">
        <f t="shared" si="169"/>
        <v/>
      </c>
    </row>
    <row r="7676" spans="8:8" x14ac:dyDescent="0.3">
      <c r="H7676" t="str">
        <f t="shared" si="169"/>
        <v/>
      </c>
    </row>
    <row r="7677" spans="8:8" x14ac:dyDescent="0.3">
      <c r="H7677" t="str">
        <f t="shared" si="169"/>
        <v/>
      </c>
    </row>
    <row r="7678" spans="8:8" x14ac:dyDescent="0.3">
      <c r="H7678" t="str">
        <f t="shared" si="169"/>
        <v/>
      </c>
    </row>
    <row r="7679" spans="8:8" x14ac:dyDescent="0.3">
      <c r="H7679" t="str">
        <f t="shared" si="169"/>
        <v/>
      </c>
    </row>
    <row r="7680" spans="8:8" x14ac:dyDescent="0.3">
      <c r="H7680" t="str">
        <f t="shared" si="169"/>
        <v/>
      </c>
    </row>
    <row r="7681" spans="8:8" x14ac:dyDescent="0.3">
      <c r="H7681" t="str">
        <f t="shared" si="169"/>
        <v/>
      </c>
    </row>
    <row r="7682" spans="8:8" x14ac:dyDescent="0.3">
      <c r="H7682" t="str">
        <f t="shared" si="169"/>
        <v/>
      </c>
    </row>
    <row r="7683" spans="8:8" x14ac:dyDescent="0.3">
      <c r="H7683" t="str">
        <f t="shared" si="169"/>
        <v/>
      </c>
    </row>
    <row r="7684" spans="8:8" x14ac:dyDescent="0.3">
      <c r="H7684" t="str">
        <f t="shared" si="169"/>
        <v/>
      </c>
    </row>
    <row r="7685" spans="8:8" x14ac:dyDescent="0.3">
      <c r="H7685" t="str">
        <f t="shared" si="169"/>
        <v/>
      </c>
    </row>
    <row r="7686" spans="8:8" x14ac:dyDescent="0.3">
      <c r="H7686" t="str">
        <f t="shared" si="169"/>
        <v/>
      </c>
    </row>
    <row r="7687" spans="8:8" x14ac:dyDescent="0.3">
      <c r="H7687" t="str">
        <f t="shared" si="169"/>
        <v/>
      </c>
    </row>
    <row r="7688" spans="8:8" x14ac:dyDescent="0.3">
      <c r="H7688" t="str">
        <f t="shared" si="169"/>
        <v/>
      </c>
    </row>
    <row r="7689" spans="8:8" x14ac:dyDescent="0.3">
      <c r="H7689" t="str">
        <f t="shared" si="169"/>
        <v/>
      </c>
    </row>
    <row r="7690" spans="8:8" x14ac:dyDescent="0.3">
      <c r="H7690" t="str">
        <f t="shared" si="169"/>
        <v/>
      </c>
    </row>
    <row r="7691" spans="8:8" x14ac:dyDescent="0.3">
      <c r="H7691" t="str">
        <f t="shared" si="169"/>
        <v/>
      </c>
    </row>
    <row r="7692" spans="8:8" x14ac:dyDescent="0.3">
      <c r="H7692" t="str">
        <f t="shared" si="169"/>
        <v/>
      </c>
    </row>
    <row r="7693" spans="8:8" x14ac:dyDescent="0.3">
      <c r="H7693" t="str">
        <f t="shared" si="169"/>
        <v/>
      </c>
    </row>
    <row r="7694" spans="8:8" x14ac:dyDescent="0.3">
      <c r="H7694" t="str">
        <f t="shared" si="169"/>
        <v/>
      </c>
    </row>
    <row r="7695" spans="8:8" x14ac:dyDescent="0.3">
      <c r="H7695" t="str">
        <f t="shared" si="169"/>
        <v/>
      </c>
    </row>
    <row r="7696" spans="8:8" x14ac:dyDescent="0.3">
      <c r="H7696" t="str">
        <f t="shared" si="169"/>
        <v/>
      </c>
    </row>
    <row r="7697" spans="8:8" x14ac:dyDescent="0.3">
      <c r="H7697" t="str">
        <f t="shared" si="169"/>
        <v/>
      </c>
    </row>
    <row r="7698" spans="8:8" x14ac:dyDescent="0.3">
      <c r="H7698" t="str">
        <f t="shared" si="169"/>
        <v/>
      </c>
    </row>
    <row r="7699" spans="8:8" x14ac:dyDescent="0.3">
      <c r="H7699" t="str">
        <f t="shared" si="169"/>
        <v/>
      </c>
    </row>
    <row r="7700" spans="8:8" x14ac:dyDescent="0.3">
      <c r="H7700" t="str">
        <f t="shared" si="169"/>
        <v/>
      </c>
    </row>
    <row r="7701" spans="8:8" x14ac:dyDescent="0.3">
      <c r="H7701" t="str">
        <f t="shared" si="169"/>
        <v/>
      </c>
    </row>
    <row r="7702" spans="8:8" x14ac:dyDescent="0.3">
      <c r="H7702" t="str">
        <f t="shared" si="169"/>
        <v/>
      </c>
    </row>
    <row r="7703" spans="8:8" x14ac:dyDescent="0.3">
      <c r="H7703" t="str">
        <f t="shared" ref="H7703:H7766" si="170">IF(B7703="","",$C$12)</f>
        <v/>
      </c>
    </row>
    <row r="7704" spans="8:8" x14ac:dyDescent="0.3">
      <c r="H7704" t="str">
        <f t="shared" si="170"/>
        <v/>
      </c>
    </row>
    <row r="7705" spans="8:8" x14ac:dyDescent="0.3">
      <c r="H7705" t="str">
        <f t="shared" si="170"/>
        <v/>
      </c>
    </row>
    <row r="7706" spans="8:8" x14ac:dyDescent="0.3">
      <c r="H7706" t="str">
        <f t="shared" si="170"/>
        <v/>
      </c>
    </row>
    <row r="7707" spans="8:8" x14ac:dyDescent="0.3">
      <c r="H7707" t="str">
        <f t="shared" si="170"/>
        <v/>
      </c>
    </row>
    <row r="7708" spans="8:8" x14ac:dyDescent="0.3">
      <c r="H7708" t="str">
        <f t="shared" si="170"/>
        <v/>
      </c>
    </row>
    <row r="7709" spans="8:8" x14ac:dyDescent="0.3">
      <c r="H7709" t="str">
        <f t="shared" si="170"/>
        <v/>
      </c>
    </row>
    <row r="7710" spans="8:8" x14ac:dyDescent="0.3">
      <c r="H7710" t="str">
        <f t="shared" si="170"/>
        <v/>
      </c>
    </row>
    <row r="7711" spans="8:8" x14ac:dyDescent="0.3">
      <c r="H7711" t="str">
        <f t="shared" si="170"/>
        <v/>
      </c>
    </row>
    <row r="7712" spans="8:8" x14ac:dyDescent="0.3">
      <c r="H7712" t="str">
        <f t="shared" si="170"/>
        <v/>
      </c>
    </row>
    <row r="7713" spans="8:8" x14ac:dyDescent="0.3">
      <c r="H7713" t="str">
        <f t="shared" si="170"/>
        <v/>
      </c>
    </row>
    <row r="7714" spans="8:8" x14ac:dyDescent="0.3">
      <c r="H7714" t="str">
        <f t="shared" si="170"/>
        <v/>
      </c>
    </row>
    <row r="7715" spans="8:8" x14ac:dyDescent="0.3">
      <c r="H7715" t="str">
        <f t="shared" si="170"/>
        <v/>
      </c>
    </row>
    <row r="7716" spans="8:8" x14ac:dyDescent="0.3">
      <c r="H7716" t="str">
        <f t="shared" si="170"/>
        <v/>
      </c>
    </row>
    <row r="7717" spans="8:8" x14ac:dyDescent="0.3">
      <c r="H7717" t="str">
        <f t="shared" si="170"/>
        <v/>
      </c>
    </row>
    <row r="7718" spans="8:8" x14ac:dyDescent="0.3">
      <c r="H7718" t="str">
        <f t="shared" si="170"/>
        <v/>
      </c>
    </row>
    <row r="7719" spans="8:8" x14ac:dyDescent="0.3">
      <c r="H7719" t="str">
        <f t="shared" si="170"/>
        <v/>
      </c>
    </row>
    <row r="7720" spans="8:8" x14ac:dyDescent="0.3">
      <c r="H7720" t="str">
        <f t="shared" si="170"/>
        <v/>
      </c>
    </row>
    <row r="7721" spans="8:8" x14ac:dyDescent="0.3">
      <c r="H7721" t="str">
        <f t="shared" si="170"/>
        <v/>
      </c>
    </row>
    <row r="7722" spans="8:8" x14ac:dyDescent="0.3">
      <c r="H7722" t="str">
        <f t="shared" si="170"/>
        <v/>
      </c>
    </row>
    <row r="7723" spans="8:8" x14ac:dyDescent="0.3">
      <c r="H7723" t="str">
        <f t="shared" si="170"/>
        <v/>
      </c>
    </row>
    <row r="7724" spans="8:8" x14ac:dyDescent="0.3">
      <c r="H7724" t="str">
        <f t="shared" si="170"/>
        <v/>
      </c>
    </row>
    <row r="7725" spans="8:8" x14ac:dyDescent="0.3">
      <c r="H7725" t="str">
        <f t="shared" si="170"/>
        <v/>
      </c>
    </row>
    <row r="7726" spans="8:8" x14ac:dyDescent="0.3">
      <c r="H7726" t="str">
        <f t="shared" si="170"/>
        <v/>
      </c>
    </row>
    <row r="7727" spans="8:8" x14ac:dyDescent="0.3">
      <c r="H7727" t="str">
        <f t="shared" si="170"/>
        <v/>
      </c>
    </row>
    <row r="7728" spans="8:8" x14ac:dyDescent="0.3">
      <c r="H7728" t="str">
        <f t="shared" si="170"/>
        <v/>
      </c>
    </row>
    <row r="7729" spans="8:8" x14ac:dyDescent="0.3">
      <c r="H7729" t="str">
        <f t="shared" si="170"/>
        <v/>
      </c>
    </row>
    <row r="7730" spans="8:8" x14ac:dyDescent="0.3">
      <c r="H7730" t="str">
        <f t="shared" si="170"/>
        <v/>
      </c>
    </row>
    <row r="7731" spans="8:8" x14ac:dyDescent="0.3">
      <c r="H7731" t="str">
        <f t="shared" si="170"/>
        <v/>
      </c>
    </row>
    <row r="7732" spans="8:8" x14ac:dyDescent="0.3">
      <c r="H7732" t="str">
        <f t="shared" si="170"/>
        <v/>
      </c>
    </row>
    <row r="7733" spans="8:8" x14ac:dyDescent="0.3">
      <c r="H7733" t="str">
        <f t="shared" si="170"/>
        <v/>
      </c>
    </row>
    <row r="7734" spans="8:8" x14ac:dyDescent="0.3">
      <c r="H7734" t="str">
        <f t="shared" si="170"/>
        <v/>
      </c>
    </row>
    <row r="7735" spans="8:8" x14ac:dyDescent="0.3">
      <c r="H7735" t="str">
        <f t="shared" si="170"/>
        <v/>
      </c>
    </row>
    <row r="7736" spans="8:8" x14ac:dyDescent="0.3">
      <c r="H7736" t="str">
        <f t="shared" si="170"/>
        <v/>
      </c>
    </row>
    <row r="7737" spans="8:8" x14ac:dyDescent="0.3">
      <c r="H7737" t="str">
        <f t="shared" si="170"/>
        <v/>
      </c>
    </row>
    <row r="7738" spans="8:8" x14ac:dyDescent="0.3">
      <c r="H7738" t="str">
        <f t="shared" si="170"/>
        <v/>
      </c>
    </row>
    <row r="7739" spans="8:8" x14ac:dyDescent="0.3">
      <c r="H7739" t="str">
        <f t="shared" si="170"/>
        <v/>
      </c>
    </row>
    <row r="7740" spans="8:8" x14ac:dyDescent="0.3">
      <c r="H7740" t="str">
        <f t="shared" si="170"/>
        <v/>
      </c>
    </row>
    <row r="7741" spans="8:8" x14ac:dyDescent="0.3">
      <c r="H7741" t="str">
        <f t="shared" si="170"/>
        <v/>
      </c>
    </row>
    <row r="7742" spans="8:8" x14ac:dyDescent="0.3">
      <c r="H7742" t="str">
        <f t="shared" si="170"/>
        <v/>
      </c>
    </row>
    <row r="7743" spans="8:8" x14ac:dyDescent="0.3">
      <c r="H7743" t="str">
        <f t="shared" si="170"/>
        <v/>
      </c>
    </row>
    <row r="7744" spans="8:8" x14ac:dyDescent="0.3">
      <c r="H7744" t="str">
        <f t="shared" si="170"/>
        <v/>
      </c>
    </row>
    <row r="7745" spans="8:8" x14ac:dyDescent="0.3">
      <c r="H7745" t="str">
        <f t="shared" si="170"/>
        <v/>
      </c>
    </row>
    <row r="7746" spans="8:8" x14ac:dyDescent="0.3">
      <c r="H7746" t="str">
        <f t="shared" si="170"/>
        <v/>
      </c>
    </row>
    <row r="7747" spans="8:8" x14ac:dyDescent="0.3">
      <c r="H7747" t="str">
        <f t="shared" si="170"/>
        <v/>
      </c>
    </row>
    <row r="7748" spans="8:8" x14ac:dyDescent="0.3">
      <c r="H7748" t="str">
        <f t="shared" si="170"/>
        <v/>
      </c>
    </row>
    <row r="7749" spans="8:8" x14ac:dyDescent="0.3">
      <c r="H7749" t="str">
        <f t="shared" si="170"/>
        <v/>
      </c>
    </row>
    <row r="7750" spans="8:8" x14ac:dyDescent="0.3">
      <c r="H7750" t="str">
        <f t="shared" si="170"/>
        <v/>
      </c>
    </row>
    <row r="7751" spans="8:8" x14ac:dyDescent="0.3">
      <c r="H7751" t="str">
        <f t="shared" si="170"/>
        <v/>
      </c>
    </row>
    <row r="7752" spans="8:8" x14ac:dyDescent="0.3">
      <c r="H7752" t="str">
        <f t="shared" si="170"/>
        <v/>
      </c>
    </row>
    <row r="7753" spans="8:8" x14ac:dyDescent="0.3">
      <c r="H7753" t="str">
        <f t="shared" si="170"/>
        <v/>
      </c>
    </row>
    <row r="7754" spans="8:8" x14ac:dyDescent="0.3">
      <c r="H7754" t="str">
        <f t="shared" si="170"/>
        <v/>
      </c>
    </row>
    <row r="7755" spans="8:8" x14ac:dyDescent="0.3">
      <c r="H7755" t="str">
        <f t="shared" si="170"/>
        <v/>
      </c>
    </row>
    <row r="7756" spans="8:8" x14ac:dyDescent="0.3">
      <c r="H7756" t="str">
        <f t="shared" si="170"/>
        <v/>
      </c>
    </row>
    <row r="7757" spans="8:8" x14ac:dyDescent="0.3">
      <c r="H7757" t="str">
        <f t="shared" si="170"/>
        <v/>
      </c>
    </row>
    <row r="7758" spans="8:8" x14ac:dyDescent="0.3">
      <c r="H7758" t="str">
        <f t="shared" si="170"/>
        <v/>
      </c>
    </row>
    <row r="7759" spans="8:8" x14ac:dyDescent="0.3">
      <c r="H7759" t="str">
        <f t="shared" si="170"/>
        <v/>
      </c>
    </row>
    <row r="7760" spans="8:8" x14ac:dyDescent="0.3">
      <c r="H7760" t="str">
        <f t="shared" si="170"/>
        <v/>
      </c>
    </row>
    <row r="7761" spans="8:8" x14ac:dyDescent="0.3">
      <c r="H7761" t="str">
        <f t="shared" si="170"/>
        <v/>
      </c>
    </row>
    <row r="7762" spans="8:8" x14ac:dyDescent="0.3">
      <c r="H7762" t="str">
        <f t="shared" si="170"/>
        <v/>
      </c>
    </row>
    <row r="7763" spans="8:8" x14ac:dyDescent="0.3">
      <c r="H7763" t="str">
        <f t="shared" si="170"/>
        <v/>
      </c>
    </row>
    <row r="7764" spans="8:8" x14ac:dyDescent="0.3">
      <c r="H7764" t="str">
        <f t="shared" si="170"/>
        <v/>
      </c>
    </row>
    <row r="7765" spans="8:8" x14ac:dyDescent="0.3">
      <c r="H7765" t="str">
        <f t="shared" si="170"/>
        <v/>
      </c>
    </row>
    <row r="7766" spans="8:8" x14ac:dyDescent="0.3">
      <c r="H7766" t="str">
        <f t="shared" si="170"/>
        <v/>
      </c>
    </row>
    <row r="7767" spans="8:8" x14ac:dyDescent="0.3">
      <c r="H7767" t="str">
        <f t="shared" ref="H7767:H7830" si="171">IF(B7767="","",$C$12)</f>
        <v/>
      </c>
    </row>
    <row r="7768" spans="8:8" x14ac:dyDescent="0.3">
      <c r="H7768" t="str">
        <f t="shared" si="171"/>
        <v/>
      </c>
    </row>
    <row r="7769" spans="8:8" x14ac:dyDescent="0.3">
      <c r="H7769" t="str">
        <f t="shared" si="171"/>
        <v/>
      </c>
    </row>
    <row r="7770" spans="8:8" x14ac:dyDescent="0.3">
      <c r="H7770" t="str">
        <f t="shared" si="171"/>
        <v/>
      </c>
    </row>
    <row r="7771" spans="8:8" x14ac:dyDescent="0.3">
      <c r="H7771" t="str">
        <f t="shared" si="171"/>
        <v/>
      </c>
    </row>
    <row r="7772" spans="8:8" x14ac:dyDescent="0.3">
      <c r="H7772" t="str">
        <f t="shared" si="171"/>
        <v/>
      </c>
    </row>
    <row r="7773" spans="8:8" x14ac:dyDescent="0.3">
      <c r="H7773" t="str">
        <f t="shared" si="171"/>
        <v/>
      </c>
    </row>
    <row r="7774" spans="8:8" x14ac:dyDescent="0.3">
      <c r="H7774" t="str">
        <f t="shared" si="171"/>
        <v/>
      </c>
    </row>
    <row r="7775" spans="8:8" x14ac:dyDescent="0.3">
      <c r="H7775" t="str">
        <f t="shared" si="171"/>
        <v/>
      </c>
    </row>
    <row r="7776" spans="8:8" x14ac:dyDescent="0.3">
      <c r="H7776" t="str">
        <f t="shared" si="171"/>
        <v/>
      </c>
    </row>
    <row r="7777" spans="8:8" x14ac:dyDescent="0.3">
      <c r="H7777" t="str">
        <f t="shared" si="171"/>
        <v/>
      </c>
    </row>
    <row r="7778" spans="8:8" x14ac:dyDescent="0.3">
      <c r="H7778" t="str">
        <f t="shared" si="171"/>
        <v/>
      </c>
    </row>
    <row r="7779" spans="8:8" x14ac:dyDescent="0.3">
      <c r="H7779" t="str">
        <f t="shared" si="171"/>
        <v/>
      </c>
    </row>
    <row r="7780" spans="8:8" x14ac:dyDescent="0.3">
      <c r="H7780" t="str">
        <f t="shared" si="171"/>
        <v/>
      </c>
    </row>
    <row r="7781" spans="8:8" x14ac:dyDescent="0.3">
      <c r="H7781" t="str">
        <f t="shared" si="171"/>
        <v/>
      </c>
    </row>
    <row r="7782" spans="8:8" x14ac:dyDescent="0.3">
      <c r="H7782" t="str">
        <f t="shared" si="171"/>
        <v/>
      </c>
    </row>
    <row r="7783" spans="8:8" x14ac:dyDescent="0.3">
      <c r="H7783" t="str">
        <f t="shared" si="171"/>
        <v/>
      </c>
    </row>
    <row r="7784" spans="8:8" x14ac:dyDescent="0.3">
      <c r="H7784" t="str">
        <f t="shared" si="171"/>
        <v/>
      </c>
    </row>
    <row r="7785" spans="8:8" x14ac:dyDescent="0.3">
      <c r="H7785" t="str">
        <f t="shared" si="171"/>
        <v/>
      </c>
    </row>
    <row r="7786" spans="8:8" x14ac:dyDescent="0.3">
      <c r="H7786" t="str">
        <f t="shared" si="171"/>
        <v/>
      </c>
    </row>
    <row r="7787" spans="8:8" x14ac:dyDescent="0.3">
      <c r="H7787" t="str">
        <f t="shared" si="171"/>
        <v/>
      </c>
    </row>
    <row r="7788" spans="8:8" x14ac:dyDescent="0.3">
      <c r="H7788" t="str">
        <f t="shared" si="171"/>
        <v/>
      </c>
    </row>
    <row r="7789" spans="8:8" x14ac:dyDescent="0.3">
      <c r="H7789" t="str">
        <f t="shared" si="171"/>
        <v/>
      </c>
    </row>
    <row r="7790" spans="8:8" x14ac:dyDescent="0.3">
      <c r="H7790" t="str">
        <f t="shared" si="171"/>
        <v/>
      </c>
    </row>
    <row r="7791" spans="8:8" x14ac:dyDescent="0.3">
      <c r="H7791" t="str">
        <f t="shared" si="171"/>
        <v/>
      </c>
    </row>
    <row r="7792" spans="8:8" x14ac:dyDescent="0.3">
      <c r="H7792" t="str">
        <f t="shared" si="171"/>
        <v/>
      </c>
    </row>
    <row r="7793" spans="8:8" x14ac:dyDescent="0.3">
      <c r="H7793" t="str">
        <f t="shared" si="171"/>
        <v/>
      </c>
    </row>
    <row r="7794" spans="8:8" x14ac:dyDescent="0.3">
      <c r="H7794" t="str">
        <f t="shared" si="171"/>
        <v/>
      </c>
    </row>
    <row r="7795" spans="8:8" x14ac:dyDescent="0.3">
      <c r="H7795" t="str">
        <f t="shared" si="171"/>
        <v/>
      </c>
    </row>
    <row r="7796" spans="8:8" x14ac:dyDescent="0.3">
      <c r="H7796" t="str">
        <f t="shared" si="171"/>
        <v/>
      </c>
    </row>
    <row r="7797" spans="8:8" x14ac:dyDescent="0.3">
      <c r="H7797" t="str">
        <f t="shared" si="171"/>
        <v/>
      </c>
    </row>
    <row r="7798" spans="8:8" x14ac:dyDescent="0.3">
      <c r="H7798" t="str">
        <f t="shared" si="171"/>
        <v/>
      </c>
    </row>
    <row r="7799" spans="8:8" x14ac:dyDescent="0.3">
      <c r="H7799" t="str">
        <f t="shared" si="171"/>
        <v/>
      </c>
    </row>
    <row r="7800" spans="8:8" x14ac:dyDescent="0.3">
      <c r="H7800" t="str">
        <f t="shared" si="171"/>
        <v/>
      </c>
    </row>
    <row r="7801" spans="8:8" x14ac:dyDescent="0.3">
      <c r="H7801" t="str">
        <f t="shared" si="171"/>
        <v/>
      </c>
    </row>
    <row r="7802" spans="8:8" x14ac:dyDescent="0.3">
      <c r="H7802" t="str">
        <f t="shared" si="171"/>
        <v/>
      </c>
    </row>
    <row r="7803" spans="8:8" x14ac:dyDescent="0.3">
      <c r="H7803" t="str">
        <f t="shared" si="171"/>
        <v/>
      </c>
    </row>
    <row r="7804" spans="8:8" x14ac:dyDescent="0.3">
      <c r="H7804" t="str">
        <f t="shared" si="171"/>
        <v/>
      </c>
    </row>
    <row r="7805" spans="8:8" x14ac:dyDescent="0.3">
      <c r="H7805" t="str">
        <f t="shared" si="171"/>
        <v/>
      </c>
    </row>
    <row r="7806" spans="8:8" x14ac:dyDescent="0.3">
      <c r="H7806" t="str">
        <f t="shared" si="171"/>
        <v/>
      </c>
    </row>
    <row r="7807" spans="8:8" x14ac:dyDescent="0.3">
      <c r="H7807" t="str">
        <f t="shared" si="171"/>
        <v/>
      </c>
    </row>
    <row r="7808" spans="8:8" x14ac:dyDescent="0.3">
      <c r="H7808" t="str">
        <f t="shared" si="171"/>
        <v/>
      </c>
    </row>
    <row r="7809" spans="8:8" x14ac:dyDescent="0.3">
      <c r="H7809" t="str">
        <f t="shared" si="171"/>
        <v/>
      </c>
    </row>
    <row r="7810" spans="8:8" x14ac:dyDescent="0.3">
      <c r="H7810" t="str">
        <f t="shared" si="171"/>
        <v/>
      </c>
    </row>
    <row r="7811" spans="8:8" x14ac:dyDescent="0.3">
      <c r="H7811" t="str">
        <f t="shared" si="171"/>
        <v/>
      </c>
    </row>
    <row r="7812" spans="8:8" x14ac:dyDescent="0.3">
      <c r="H7812" t="str">
        <f t="shared" si="171"/>
        <v/>
      </c>
    </row>
    <row r="7813" spans="8:8" x14ac:dyDescent="0.3">
      <c r="H7813" t="str">
        <f t="shared" si="171"/>
        <v/>
      </c>
    </row>
    <row r="7814" spans="8:8" x14ac:dyDescent="0.3">
      <c r="H7814" t="str">
        <f t="shared" si="171"/>
        <v/>
      </c>
    </row>
    <row r="7815" spans="8:8" x14ac:dyDescent="0.3">
      <c r="H7815" t="str">
        <f t="shared" si="171"/>
        <v/>
      </c>
    </row>
    <row r="7816" spans="8:8" x14ac:dyDescent="0.3">
      <c r="H7816" t="str">
        <f t="shared" si="171"/>
        <v/>
      </c>
    </row>
    <row r="7817" spans="8:8" x14ac:dyDescent="0.3">
      <c r="H7817" t="str">
        <f t="shared" si="171"/>
        <v/>
      </c>
    </row>
    <row r="7818" spans="8:8" x14ac:dyDescent="0.3">
      <c r="H7818" t="str">
        <f t="shared" si="171"/>
        <v/>
      </c>
    </row>
    <row r="7819" spans="8:8" x14ac:dyDescent="0.3">
      <c r="H7819" t="str">
        <f t="shared" si="171"/>
        <v/>
      </c>
    </row>
    <row r="7820" spans="8:8" x14ac:dyDescent="0.3">
      <c r="H7820" t="str">
        <f t="shared" si="171"/>
        <v/>
      </c>
    </row>
    <row r="7821" spans="8:8" x14ac:dyDescent="0.3">
      <c r="H7821" t="str">
        <f t="shared" si="171"/>
        <v/>
      </c>
    </row>
    <row r="7822" spans="8:8" x14ac:dyDescent="0.3">
      <c r="H7822" t="str">
        <f t="shared" si="171"/>
        <v/>
      </c>
    </row>
    <row r="7823" spans="8:8" x14ac:dyDescent="0.3">
      <c r="H7823" t="str">
        <f t="shared" si="171"/>
        <v/>
      </c>
    </row>
    <row r="7824" spans="8:8" x14ac:dyDescent="0.3">
      <c r="H7824" t="str">
        <f t="shared" si="171"/>
        <v/>
      </c>
    </row>
    <row r="7825" spans="8:8" x14ac:dyDescent="0.3">
      <c r="H7825" t="str">
        <f t="shared" si="171"/>
        <v/>
      </c>
    </row>
    <row r="7826" spans="8:8" x14ac:dyDescent="0.3">
      <c r="H7826" t="str">
        <f t="shared" si="171"/>
        <v/>
      </c>
    </row>
    <row r="7827" spans="8:8" x14ac:dyDescent="0.3">
      <c r="H7827" t="str">
        <f t="shared" si="171"/>
        <v/>
      </c>
    </row>
    <row r="7828" spans="8:8" x14ac:dyDescent="0.3">
      <c r="H7828" t="str">
        <f t="shared" si="171"/>
        <v/>
      </c>
    </row>
    <row r="7829" spans="8:8" x14ac:dyDescent="0.3">
      <c r="H7829" t="str">
        <f t="shared" si="171"/>
        <v/>
      </c>
    </row>
    <row r="7830" spans="8:8" x14ac:dyDescent="0.3">
      <c r="H7830" t="str">
        <f t="shared" si="171"/>
        <v/>
      </c>
    </row>
    <row r="7831" spans="8:8" x14ac:dyDescent="0.3">
      <c r="H7831" t="str">
        <f t="shared" ref="H7831:H7894" si="172">IF(B7831="","",$C$12)</f>
        <v/>
      </c>
    </row>
    <row r="7832" spans="8:8" x14ac:dyDescent="0.3">
      <c r="H7832" t="str">
        <f t="shared" si="172"/>
        <v/>
      </c>
    </row>
    <row r="7833" spans="8:8" x14ac:dyDescent="0.3">
      <c r="H7833" t="str">
        <f t="shared" si="172"/>
        <v/>
      </c>
    </row>
    <row r="7834" spans="8:8" x14ac:dyDescent="0.3">
      <c r="H7834" t="str">
        <f t="shared" si="172"/>
        <v/>
      </c>
    </row>
    <row r="7835" spans="8:8" x14ac:dyDescent="0.3">
      <c r="H7835" t="str">
        <f t="shared" si="172"/>
        <v/>
      </c>
    </row>
    <row r="7836" spans="8:8" x14ac:dyDescent="0.3">
      <c r="H7836" t="str">
        <f t="shared" si="172"/>
        <v/>
      </c>
    </row>
    <row r="7837" spans="8:8" x14ac:dyDescent="0.3">
      <c r="H7837" t="str">
        <f t="shared" si="172"/>
        <v/>
      </c>
    </row>
    <row r="7838" spans="8:8" x14ac:dyDescent="0.3">
      <c r="H7838" t="str">
        <f t="shared" si="172"/>
        <v/>
      </c>
    </row>
    <row r="7839" spans="8:8" x14ac:dyDescent="0.3">
      <c r="H7839" t="str">
        <f t="shared" si="172"/>
        <v/>
      </c>
    </row>
    <row r="7840" spans="8:8" x14ac:dyDescent="0.3">
      <c r="H7840" t="str">
        <f t="shared" si="172"/>
        <v/>
      </c>
    </row>
    <row r="7841" spans="8:8" x14ac:dyDescent="0.3">
      <c r="H7841" t="str">
        <f t="shared" si="172"/>
        <v/>
      </c>
    </row>
    <row r="7842" spans="8:8" x14ac:dyDescent="0.3">
      <c r="H7842" t="str">
        <f t="shared" si="172"/>
        <v/>
      </c>
    </row>
    <row r="7843" spans="8:8" x14ac:dyDescent="0.3">
      <c r="H7843" t="str">
        <f t="shared" si="172"/>
        <v/>
      </c>
    </row>
    <row r="7844" spans="8:8" x14ac:dyDescent="0.3">
      <c r="H7844" t="str">
        <f t="shared" si="172"/>
        <v/>
      </c>
    </row>
    <row r="7845" spans="8:8" x14ac:dyDescent="0.3">
      <c r="H7845" t="str">
        <f t="shared" si="172"/>
        <v/>
      </c>
    </row>
    <row r="7846" spans="8:8" x14ac:dyDescent="0.3">
      <c r="H7846" t="str">
        <f t="shared" si="172"/>
        <v/>
      </c>
    </row>
    <row r="7847" spans="8:8" x14ac:dyDescent="0.3">
      <c r="H7847" t="str">
        <f t="shared" si="172"/>
        <v/>
      </c>
    </row>
    <row r="7848" spans="8:8" x14ac:dyDescent="0.3">
      <c r="H7848" t="str">
        <f t="shared" si="172"/>
        <v/>
      </c>
    </row>
    <row r="7849" spans="8:8" x14ac:dyDescent="0.3">
      <c r="H7849" t="str">
        <f t="shared" si="172"/>
        <v/>
      </c>
    </row>
    <row r="7850" spans="8:8" x14ac:dyDescent="0.3">
      <c r="H7850" t="str">
        <f t="shared" si="172"/>
        <v/>
      </c>
    </row>
    <row r="7851" spans="8:8" x14ac:dyDescent="0.3">
      <c r="H7851" t="str">
        <f t="shared" si="172"/>
        <v/>
      </c>
    </row>
    <row r="7852" spans="8:8" x14ac:dyDescent="0.3">
      <c r="H7852" t="str">
        <f t="shared" si="172"/>
        <v/>
      </c>
    </row>
    <row r="7853" spans="8:8" x14ac:dyDescent="0.3">
      <c r="H7853" t="str">
        <f t="shared" si="172"/>
        <v/>
      </c>
    </row>
    <row r="7854" spans="8:8" x14ac:dyDescent="0.3">
      <c r="H7854" t="str">
        <f t="shared" si="172"/>
        <v/>
      </c>
    </row>
    <row r="7855" spans="8:8" x14ac:dyDescent="0.3">
      <c r="H7855" t="str">
        <f t="shared" si="172"/>
        <v/>
      </c>
    </row>
    <row r="7856" spans="8:8" x14ac:dyDescent="0.3">
      <c r="H7856" t="str">
        <f t="shared" si="172"/>
        <v/>
      </c>
    </row>
    <row r="7857" spans="8:8" x14ac:dyDescent="0.3">
      <c r="H7857" t="str">
        <f t="shared" si="172"/>
        <v/>
      </c>
    </row>
    <row r="7858" spans="8:8" x14ac:dyDescent="0.3">
      <c r="H7858" t="str">
        <f t="shared" si="172"/>
        <v/>
      </c>
    </row>
    <row r="7859" spans="8:8" x14ac:dyDescent="0.3">
      <c r="H7859" t="str">
        <f t="shared" si="172"/>
        <v/>
      </c>
    </row>
    <row r="7860" spans="8:8" x14ac:dyDescent="0.3">
      <c r="H7860" t="str">
        <f t="shared" si="172"/>
        <v/>
      </c>
    </row>
    <row r="7861" spans="8:8" x14ac:dyDescent="0.3">
      <c r="H7861" t="str">
        <f t="shared" si="172"/>
        <v/>
      </c>
    </row>
    <row r="7862" spans="8:8" x14ac:dyDescent="0.3">
      <c r="H7862" t="str">
        <f t="shared" si="172"/>
        <v/>
      </c>
    </row>
    <row r="7863" spans="8:8" x14ac:dyDescent="0.3">
      <c r="H7863" t="str">
        <f t="shared" si="172"/>
        <v/>
      </c>
    </row>
    <row r="7864" spans="8:8" x14ac:dyDescent="0.3">
      <c r="H7864" t="str">
        <f t="shared" si="172"/>
        <v/>
      </c>
    </row>
    <row r="7865" spans="8:8" x14ac:dyDescent="0.3">
      <c r="H7865" t="str">
        <f t="shared" si="172"/>
        <v/>
      </c>
    </row>
    <row r="7866" spans="8:8" x14ac:dyDescent="0.3">
      <c r="H7866" t="str">
        <f t="shared" si="172"/>
        <v/>
      </c>
    </row>
    <row r="7867" spans="8:8" x14ac:dyDescent="0.3">
      <c r="H7867" t="str">
        <f t="shared" si="172"/>
        <v/>
      </c>
    </row>
    <row r="7868" spans="8:8" x14ac:dyDescent="0.3">
      <c r="H7868" t="str">
        <f t="shared" si="172"/>
        <v/>
      </c>
    </row>
    <row r="7869" spans="8:8" x14ac:dyDescent="0.3">
      <c r="H7869" t="str">
        <f t="shared" si="172"/>
        <v/>
      </c>
    </row>
    <row r="7870" spans="8:8" x14ac:dyDescent="0.3">
      <c r="H7870" t="str">
        <f t="shared" si="172"/>
        <v/>
      </c>
    </row>
    <row r="7871" spans="8:8" x14ac:dyDescent="0.3">
      <c r="H7871" t="str">
        <f t="shared" si="172"/>
        <v/>
      </c>
    </row>
    <row r="7872" spans="8:8" x14ac:dyDescent="0.3">
      <c r="H7872" t="str">
        <f t="shared" si="172"/>
        <v/>
      </c>
    </row>
    <row r="7873" spans="8:8" x14ac:dyDescent="0.3">
      <c r="H7873" t="str">
        <f t="shared" si="172"/>
        <v/>
      </c>
    </row>
    <row r="7874" spans="8:8" x14ac:dyDescent="0.3">
      <c r="H7874" t="str">
        <f t="shared" si="172"/>
        <v/>
      </c>
    </row>
    <row r="7875" spans="8:8" x14ac:dyDescent="0.3">
      <c r="H7875" t="str">
        <f t="shared" si="172"/>
        <v/>
      </c>
    </row>
    <row r="7876" spans="8:8" x14ac:dyDescent="0.3">
      <c r="H7876" t="str">
        <f t="shared" si="172"/>
        <v/>
      </c>
    </row>
    <row r="7877" spans="8:8" x14ac:dyDescent="0.3">
      <c r="H7877" t="str">
        <f t="shared" si="172"/>
        <v/>
      </c>
    </row>
    <row r="7878" spans="8:8" x14ac:dyDescent="0.3">
      <c r="H7878" t="str">
        <f t="shared" si="172"/>
        <v/>
      </c>
    </row>
    <row r="7879" spans="8:8" x14ac:dyDescent="0.3">
      <c r="H7879" t="str">
        <f t="shared" si="172"/>
        <v/>
      </c>
    </row>
    <row r="7880" spans="8:8" x14ac:dyDescent="0.3">
      <c r="H7880" t="str">
        <f t="shared" si="172"/>
        <v/>
      </c>
    </row>
    <row r="7881" spans="8:8" x14ac:dyDescent="0.3">
      <c r="H7881" t="str">
        <f t="shared" si="172"/>
        <v/>
      </c>
    </row>
    <row r="7882" spans="8:8" x14ac:dyDescent="0.3">
      <c r="H7882" t="str">
        <f t="shared" si="172"/>
        <v/>
      </c>
    </row>
    <row r="7883" spans="8:8" x14ac:dyDescent="0.3">
      <c r="H7883" t="str">
        <f t="shared" si="172"/>
        <v/>
      </c>
    </row>
    <row r="7884" spans="8:8" x14ac:dyDescent="0.3">
      <c r="H7884" t="str">
        <f t="shared" si="172"/>
        <v/>
      </c>
    </row>
    <row r="7885" spans="8:8" x14ac:dyDescent="0.3">
      <c r="H7885" t="str">
        <f t="shared" si="172"/>
        <v/>
      </c>
    </row>
    <row r="7886" spans="8:8" x14ac:dyDescent="0.3">
      <c r="H7886" t="str">
        <f t="shared" si="172"/>
        <v/>
      </c>
    </row>
    <row r="7887" spans="8:8" x14ac:dyDescent="0.3">
      <c r="H7887" t="str">
        <f t="shared" si="172"/>
        <v/>
      </c>
    </row>
    <row r="7888" spans="8:8" x14ac:dyDescent="0.3">
      <c r="H7888" t="str">
        <f t="shared" si="172"/>
        <v/>
      </c>
    </row>
    <row r="7889" spans="8:8" x14ac:dyDescent="0.3">
      <c r="H7889" t="str">
        <f t="shared" si="172"/>
        <v/>
      </c>
    </row>
    <row r="7890" spans="8:8" x14ac:dyDescent="0.3">
      <c r="H7890" t="str">
        <f t="shared" si="172"/>
        <v/>
      </c>
    </row>
    <row r="7891" spans="8:8" x14ac:dyDescent="0.3">
      <c r="H7891" t="str">
        <f t="shared" si="172"/>
        <v/>
      </c>
    </row>
    <row r="7892" spans="8:8" x14ac:dyDescent="0.3">
      <c r="H7892" t="str">
        <f t="shared" si="172"/>
        <v/>
      </c>
    </row>
    <row r="7893" spans="8:8" x14ac:dyDescent="0.3">
      <c r="H7893" t="str">
        <f t="shared" si="172"/>
        <v/>
      </c>
    </row>
    <row r="7894" spans="8:8" x14ac:dyDescent="0.3">
      <c r="H7894" t="str">
        <f t="shared" si="172"/>
        <v/>
      </c>
    </row>
    <row r="7895" spans="8:8" x14ac:dyDescent="0.3">
      <c r="H7895" t="str">
        <f t="shared" ref="H7895:H7958" si="173">IF(B7895="","",$C$12)</f>
        <v/>
      </c>
    </row>
    <row r="7896" spans="8:8" x14ac:dyDescent="0.3">
      <c r="H7896" t="str">
        <f t="shared" si="173"/>
        <v/>
      </c>
    </row>
    <row r="7897" spans="8:8" x14ac:dyDescent="0.3">
      <c r="H7897" t="str">
        <f t="shared" si="173"/>
        <v/>
      </c>
    </row>
    <row r="7898" spans="8:8" x14ac:dyDescent="0.3">
      <c r="H7898" t="str">
        <f t="shared" si="173"/>
        <v/>
      </c>
    </row>
    <row r="7899" spans="8:8" x14ac:dyDescent="0.3">
      <c r="H7899" t="str">
        <f t="shared" si="173"/>
        <v/>
      </c>
    </row>
    <row r="7900" spans="8:8" x14ac:dyDescent="0.3">
      <c r="H7900" t="str">
        <f t="shared" si="173"/>
        <v/>
      </c>
    </row>
    <row r="7901" spans="8:8" x14ac:dyDescent="0.3">
      <c r="H7901" t="str">
        <f t="shared" si="173"/>
        <v/>
      </c>
    </row>
    <row r="7902" spans="8:8" x14ac:dyDescent="0.3">
      <c r="H7902" t="str">
        <f t="shared" si="173"/>
        <v/>
      </c>
    </row>
    <row r="7903" spans="8:8" x14ac:dyDescent="0.3">
      <c r="H7903" t="str">
        <f t="shared" si="173"/>
        <v/>
      </c>
    </row>
    <row r="7904" spans="8:8" x14ac:dyDescent="0.3">
      <c r="H7904" t="str">
        <f t="shared" si="173"/>
        <v/>
      </c>
    </row>
    <row r="7905" spans="8:8" x14ac:dyDescent="0.3">
      <c r="H7905" t="str">
        <f t="shared" si="173"/>
        <v/>
      </c>
    </row>
    <row r="7906" spans="8:8" x14ac:dyDescent="0.3">
      <c r="H7906" t="str">
        <f t="shared" si="173"/>
        <v/>
      </c>
    </row>
    <row r="7907" spans="8:8" x14ac:dyDescent="0.3">
      <c r="H7907" t="str">
        <f t="shared" si="173"/>
        <v/>
      </c>
    </row>
    <row r="7908" spans="8:8" x14ac:dyDescent="0.3">
      <c r="H7908" t="str">
        <f t="shared" si="173"/>
        <v/>
      </c>
    </row>
    <row r="7909" spans="8:8" x14ac:dyDescent="0.3">
      <c r="H7909" t="str">
        <f t="shared" si="173"/>
        <v/>
      </c>
    </row>
    <row r="7910" spans="8:8" x14ac:dyDescent="0.3">
      <c r="H7910" t="str">
        <f t="shared" si="173"/>
        <v/>
      </c>
    </row>
    <row r="7911" spans="8:8" x14ac:dyDescent="0.3">
      <c r="H7911" t="str">
        <f t="shared" si="173"/>
        <v/>
      </c>
    </row>
    <row r="7912" spans="8:8" x14ac:dyDescent="0.3">
      <c r="H7912" t="str">
        <f t="shared" si="173"/>
        <v/>
      </c>
    </row>
    <row r="7913" spans="8:8" x14ac:dyDescent="0.3">
      <c r="H7913" t="str">
        <f t="shared" si="173"/>
        <v/>
      </c>
    </row>
    <row r="7914" spans="8:8" x14ac:dyDescent="0.3">
      <c r="H7914" t="str">
        <f t="shared" si="173"/>
        <v/>
      </c>
    </row>
    <row r="7915" spans="8:8" x14ac:dyDescent="0.3">
      <c r="H7915" t="str">
        <f t="shared" si="173"/>
        <v/>
      </c>
    </row>
    <row r="7916" spans="8:8" x14ac:dyDescent="0.3">
      <c r="H7916" t="str">
        <f t="shared" si="173"/>
        <v/>
      </c>
    </row>
    <row r="7917" spans="8:8" x14ac:dyDescent="0.3">
      <c r="H7917" t="str">
        <f t="shared" si="173"/>
        <v/>
      </c>
    </row>
    <row r="7918" spans="8:8" x14ac:dyDescent="0.3">
      <c r="H7918" t="str">
        <f t="shared" si="173"/>
        <v/>
      </c>
    </row>
    <row r="7919" spans="8:8" x14ac:dyDescent="0.3">
      <c r="H7919" t="str">
        <f t="shared" si="173"/>
        <v/>
      </c>
    </row>
    <row r="7920" spans="8:8" x14ac:dyDescent="0.3">
      <c r="H7920" t="str">
        <f t="shared" si="173"/>
        <v/>
      </c>
    </row>
    <row r="7921" spans="8:8" x14ac:dyDescent="0.3">
      <c r="H7921" t="str">
        <f t="shared" si="173"/>
        <v/>
      </c>
    </row>
    <row r="7922" spans="8:8" x14ac:dyDescent="0.3">
      <c r="H7922" t="str">
        <f t="shared" si="173"/>
        <v/>
      </c>
    </row>
    <row r="7923" spans="8:8" x14ac:dyDescent="0.3">
      <c r="H7923" t="str">
        <f t="shared" si="173"/>
        <v/>
      </c>
    </row>
    <row r="7924" spans="8:8" x14ac:dyDescent="0.3">
      <c r="H7924" t="str">
        <f t="shared" si="173"/>
        <v/>
      </c>
    </row>
    <row r="7925" spans="8:8" x14ac:dyDescent="0.3">
      <c r="H7925" t="str">
        <f t="shared" si="173"/>
        <v/>
      </c>
    </row>
    <row r="7926" spans="8:8" x14ac:dyDescent="0.3">
      <c r="H7926" t="str">
        <f t="shared" si="173"/>
        <v/>
      </c>
    </row>
    <row r="7927" spans="8:8" x14ac:dyDescent="0.3">
      <c r="H7927" t="str">
        <f t="shared" si="173"/>
        <v/>
      </c>
    </row>
    <row r="7928" spans="8:8" x14ac:dyDescent="0.3">
      <c r="H7928" t="str">
        <f t="shared" si="173"/>
        <v/>
      </c>
    </row>
    <row r="7929" spans="8:8" x14ac:dyDescent="0.3">
      <c r="H7929" t="str">
        <f t="shared" si="173"/>
        <v/>
      </c>
    </row>
    <row r="7930" spans="8:8" x14ac:dyDescent="0.3">
      <c r="H7930" t="str">
        <f t="shared" si="173"/>
        <v/>
      </c>
    </row>
    <row r="7931" spans="8:8" x14ac:dyDescent="0.3">
      <c r="H7931" t="str">
        <f t="shared" si="173"/>
        <v/>
      </c>
    </row>
    <row r="7932" spans="8:8" x14ac:dyDescent="0.3">
      <c r="H7932" t="str">
        <f t="shared" si="173"/>
        <v/>
      </c>
    </row>
    <row r="7933" spans="8:8" x14ac:dyDescent="0.3">
      <c r="H7933" t="str">
        <f t="shared" si="173"/>
        <v/>
      </c>
    </row>
    <row r="7934" spans="8:8" x14ac:dyDescent="0.3">
      <c r="H7934" t="str">
        <f t="shared" si="173"/>
        <v/>
      </c>
    </row>
    <row r="7935" spans="8:8" x14ac:dyDescent="0.3">
      <c r="H7935" t="str">
        <f t="shared" si="173"/>
        <v/>
      </c>
    </row>
    <row r="7936" spans="8:8" x14ac:dyDescent="0.3">
      <c r="H7936" t="str">
        <f t="shared" si="173"/>
        <v/>
      </c>
    </row>
    <row r="7937" spans="8:8" x14ac:dyDescent="0.3">
      <c r="H7937" t="str">
        <f t="shared" si="173"/>
        <v/>
      </c>
    </row>
    <row r="7938" spans="8:8" x14ac:dyDescent="0.3">
      <c r="H7938" t="str">
        <f t="shared" si="173"/>
        <v/>
      </c>
    </row>
    <row r="7939" spans="8:8" x14ac:dyDescent="0.3">
      <c r="H7939" t="str">
        <f t="shared" si="173"/>
        <v/>
      </c>
    </row>
    <row r="7940" spans="8:8" x14ac:dyDescent="0.3">
      <c r="H7940" t="str">
        <f t="shared" si="173"/>
        <v/>
      </c>
    </row>
    <row r="7941" spans="8:8" x14ac:dyDescent="0.3">
      <c r="H7941" t="str">
        <f t="shared" si="173"/>
        <v/>
      </c>
    </row>
    <row r="7942" spans="8:8" x14ac:dyDescent="0.3">
      <c r="H7942" t="str">
        <f t="shared" si="173"/>
        <v/>
      </c>
    </row>
    <row r="7943" spans="8:8" x14ac:dyDescent="0.3">
      <c r="H7943" t="str">
        <f t="shared" si="173"/>
        <v/>
      </c>
    </row>
    <row r="7944" spans="8:8" x14ac:dyDescent="0.3">
      <c r="H7944" t="str">
        <f t="shared" si="173"/>
        <v/>
      </c>
    </row>
    <row r="7945" spans="8:8" x14ac:dyDescent="0.3">
      <c r="H7945" t="str">
        <f t="shared" si="173"/>
        <v/>
      </c>
    </row>
    <row r="7946" spans="8:8" x14ac:dyDescent="0.3">
      <c r="H7946" t="str">
        <f t="shared" si="173"/>
        <v/>
      </c>
    </row>
    <row r="7947" spans="8:8" x14ac:dyDescent="0.3">
      <c r="H7947" t="str">
        <f t="shared" si="173"/>
        <v/>
      </c>
    </row>
    <row r="7948" spans="8:8" x14ac:dyDescent="0.3">
      <c r="H7948" t="str">
        <f t="shared" si="173"/>
        <v/>
      </c>
    </row>
    <row r="7949" spans="8:8" x14ac:dyDescent="0.3">
      <c r="H7949" t="str">
        <f t="shared" si="173"/>
        <v/>
      </c>
    </row>
    <row r="7950" spans="8:8" x14ac:dyDescent="0.3">
      <c r="H7950" t="str">
        <f t="shared" si="173"/>
        <v/>
      </c>
    </row>
    <row r="7951" spans="8:8" x14ac:dyDescent="0.3">
      <c r="H7951" t="str">
        <f t="shared" si="173"/>
        <v/>
      </c>
    </row>
    <row r="7952" spans="8:8" x14ac:dyDescent="0.3">
      <c r="H7952" t="str">
        <f t="shared" si="173"/>
        <v/>
      </c>
    </row>
    <row r="7953" spans="8:8" x14ac:dyDescent="0.3">
      <c r="H7953" t="str">
        <f t="shared" si="173"/>
        <v/>
      </c>
    </row>
    <row r="7954" spans="8:8" x14ac:dyDescent="0.3">
      <c r="H7954" t="str">
        <f t="shared" si="173"/>
        <v/>
      </c>
    </row>
    <row r="7955" spans="8:8" x14ac:dyDescent="0.3">
      <c r="H7955" t="str">
        <f t="shared" si="173"/>
        <v/>
      </c>
    </row>
    <row r="7956" spans="8:8" x14ac:dyDescent="0.3">
      <c r="H7956" t="str">
        <f t="shared" si="173"/>
        <v/>
      </c>
    </row>
    <row r="7957" spans="8:8" x14ac:dyDescent="0.3">
      <c r="H7957" t="str">
        <f t="shared" si="173"/>
        <v/>
      </c>
    </row>
    <row r="7958" spans="8:8" x14ac:dyDescent="0.3">
      <c r="H7958" t="str">
        <f t="shared" si="173"/>
        <v/>
      </c>
    </row>
    <row r="7959" spans="8:8" x14ac:dyDescent="0.3">
      <c r="H7959" t="str">
        <f t="shared" ref="H7959:H8022" si="174">IF(B7959="","",$C$12)</f>
        <v/>
      </c>
    </row>
    <row r="7960" spans="8:8" x14ac:dyDescent="0.3">
      <c r="H7960" t="str">
        <f t="shared" si="174"/>
        <v/>
      </c>
    </row>
    <row r="7961" spans="8:8" x14ac:dyDescent="0.3">
      <c r="H7961" t="str">
        <f t="shared" si="174"/>
        <v/>
      </c>
    </row>
    <row r="7962" spans="8:8" x14ac:dyDescent="0.3">
      <c r="H7962" t="str">
        <f t="shared" si="174"/>
        <v/>
      </c>
    </row>
    <row r="7963" spans="8:8" x14ac:dyDescent="0.3">
      <c r="H7963" t="str">
        <f t="shared" si="174"/>
        <v/>
      </c>
    </row>
    <row r="7964" spans="8:8" x14ac:dyDescent="0.3">
      <c r="H7964" t="str">
        <f t="shared" si="174"/>
        <v/>
      </c>
    </row>
    <row r="7965" spans="8:8" x14ac:dyDescent="0.3">
      <c r="H7965" t="str">
        <f t="shared" si="174"/>
        <v/>
      </c>
    </row>
    <row r="7966" spans="8:8" x14ac:dyDescent="0.3">
      <c r="H7966" t="str">
        <f t="shared" si="174"/>
        <v/>
      </c>
    </row>
    <row r="7967" spans="8:8" x14ac:dyDescent="0.3">
      <c r="H7967" t="str">
        <f t="shared" si="174"/>
        <v/>
      </c>
    </row>
    <row r="7968" spans="8:8" x14ac:dyDescent="0.3">
      <c r="H7968" t="str">
        <f t="shared" si="174"/>
        <v/>
      </c>
    </row>
    <row r="7969" spans="8:8" x14ac:dyDescent="0.3">
      <c r="H7969" t="str">
        <f t="shared" si="174"/>
        <v/>
      </c>
    </row>
    <row r="7970" spans="8:8" x14ac:dyDescent="0.3">
      <c r="H7970" t="str">
        <f t="shared" si="174"/>
        <v/>
      </c>
    </row>
    <row r="7971" spans="8:8" x14ac:dyDescent="0.3">
      <c r="H7971" t="str">
        <f t="shared" si="174"/>
        <v/>
      </c>
    </row>
    <row r="7972" spans="8:8" x14ac:dyDescent="0.3">
      <c r="H7972" t="str">
        <f t="shared" si="174"/>
        <v/>
      </c>
    </row>
    <row r="7973" spans="8:8" x14ac:dyDescent="0.3">
      <c r="H7973" t="str">
        <f t="shared" si="174"/>
        <v/>
      </c>
    </row>
    <row r="7974" spans="8:8" x14ac:dyDescent="0.3">
      <c r="H7974" t="str">
        <f t="shared" si="174"/>
        <v/>
      </c>
    </row>
    <row r="7975" spans="8:8" x14ac:dyDescent="0.3">
      <c r="H7975" t="str">
        <f t="shared" si="174"/>
        <v/>
      </c>
    </row>
    <row r="7976" spans="8:8" x14ac:dyDescent="0.3">
      <c r="H7976" t="str">
        <f t="shared" si="174"/>
        <v/>
      </c>
    </row>
    <row r="7977" spans="8:8" x14ac:dyDescent="0.3">
      <c r="H7977" t="str">
        <f t="shared" si="174"/>
        <v/>
      </c>
    </row>
    <row r="7978" spans="8:8" x14ac:dyDescent="0.3">
      <c r="H7978" t="str">
        <f t="shared" si="174"/>
        <v/>
      </c>
    </row>
    <row r="7979" spans="8:8" x14ac:dyDescent="0.3">
      <c r="H7979" t="str">
        <f t="shared" si="174"/>
        <v/>
      </c>
    </row>
    <row r="7980" spans="8:8" x14ac:dyDescent="0.3">
      <c r="H7980" t="str">
        <f t="shared" si="174"/>
        <v/>
      </c>
    </row>
    <row r="7981" spans="8:8" x14ac:dyDescent="0.3">
      <c r="H7981" t="str">
        <f t="shared" si="174"/>
        <v/>
      </c>
    </row>
    <row r="7982" spans="8:8" x14ac:dyDescent="0.3">
      <c r="H7982" t="str">
        <f t="shared" si="174"/>
        <v/>
      </c>
    </row>
    <row r="7983" spans="8:8" x14ac:dyDescent="0.3">
      <c r="H7983" t="str">
        <f t="shared" si="174"/>
        <v/>
      </c>
    </row>
    <row r="7984" spans="8:8" x14ac:dyDescent="0.3">
      <c r="H7984" t="str">
        <f t="shared" si="174"/>
        <v/>
      </c>
    </row>
    <row r="7985" spans="8:8" x14ac:dyDescent="0.3">
      <c r="H7985" t="str">
        <f t="shared" si="174"/>
        <v/>
      </c>
    </row>
    <row r="7986" spans="8:8" x14ac:dyDescent="0.3">
      <c r="H7986" t="str">
        <f t="shared" si="174"/>
        <v/>
      </c>
    </row>
    <row r="7987" spans="8:8" x14ac:dyDescent="0.3">
      <c r="H7987" t="str">
        <f t="shared" si="174"/>
        <v/>
      </c>
    </row>
    <row r="7988" spans="8:8" x14ac:dyDescent="0.3">
      <c r="H7988" t="str">
        <f t="shared" si="174"/>
        <v/>
      </c>
    </row>
    <row r="7989" spans="8:8" x14ac:dyDescent="0.3">
      <c r="H7989" t="str">
        <f t="shared" si="174"/>
        <v/>
      </c>
    </row>
    <row r="7990" spans="8:8" x14ac:dyDescent="0.3">
      <c r="H7990" t="str">
        <f t="shared" si="174"/>
        <v/>
      </c>
    </row>
    <row r="7991" spans="8:8" x14ac:dyDescent="0.3">
      <c r="H7991" t="str">
        <f t="shared" si="174"/>
        <v/>
      </c>
    </row>
    <row r="7992" spans="8:8" x14ac:dyDescent="0.3">
      <c r="H7992" t="str">
        <f t="shared" si="174"/>
        <v/>
      </c>
    </row>
    <row r="7993" spans="8:8" x14ac:dyDescent="0.3">
      <c r="H7993" t="str">
        <f t="shared" si="174"/>
        <v/>
      </c>
    </row>
    <row r="7994" spans="8:8" x14ac:dyDescent="0.3">
      <c r="H7994" t="str">
        <f t="shared" si="174"/>
        <v/>
      </c>
    </row>
    <row r="7995" spans="8:8" x14ac:dyDescent="0.3">
      <c r="H7995" t="str">
        <f t="shared" si="174"/>
        <v/>
      </c>
    </row>
    <row r="7996" spans="8:8" x14ac:dyDescent="0.3">
      <c r="H7996" t="str">
        <f t="shared" si="174"/>
        <v/>
      </c>
    </row>
    <row r="7997" spans="8:8" x14ac:dyDescent="0.3">
      <c r="H7997" t="str">
        <f t="shared" si="174"/>
        <v/>
      </c>
    </row>
    <row r="7998" spans="8:8" x14ac:dyDescent="0.3">
      <c r="H7998" t="str">
        <f t="shared" si="174"/>
        <v/>
      </c>
    </row>
    <row r="7999" spans="8:8" x14ac:dyDescent="0.3">
      <c r="H7999" t="str">
        <f t="shared" si="174"/>
        <v/>
      </c>
    </row>
    <row r="8000" spans="8:8" x14ac:dyDescent="0.3">
      <c r="H8000" t="str">
        <f t="shared" si="174"/>
        <v/>
      </c>
    </row>
    <row r="8001" spans="8:8" x14ac:dyDescent="0.3">
      <c r="H8001" t="str">
        <f t="shared" si="174"/>
        <v/>
      </c>
    </row>
    <row r="8002" spans="8:8" x14ac:dyDescent="0.3">
      <c r="H8002" t="str">
        <f t="shared" si="174"/>
        <v/>
      </c>
    </row>
    <row r="8003" spans="8:8" x14ac:dyDescent="0.3">
      <c r="H8003" t="str">
        <f t="shared" si="174"/>
        <v/>
      </c>
    </row>
    <row r="8004" spans="8:8" x14ac:dyDescent="0.3">
      <c r="H8004" t="str">
        <f t="shared" si="174"/>
        <v/>
      </c>
    </row>
    <row r="8005" spans="8:8" x14ac:dyDescent="0.3">
      <c r="H8005" t="str">
        <f t="shared" si="174"/>
        <v/>
      </c>
    </row>
    <row r="8006" spans="8:8" x14ac:dyDescent="0.3">
      <c r="H8006" t="str">
        <f t="shared" si="174"/>
        <v/>
      </c>
    </row>
    <row r="8007" spans="8:8" x14ac:dyDescent="0.3">
      <c r="H8007" t="str">
        <f t="shared" si="174"/>
        <v/>
      </c>
    </row>
    <row r="8008" spans="8:8" x14ac:dyDescent="0.3">
      <c r="H8008" t="str">
        <f t="shared" si="174"/>
        <v/>
      </c>
    </row>
    <row r="8009" spans="8:8" x14ac:dyDescent="0.3">
      <c r="H8009" t="str">
        <f t="shared" si="174"/>
        <v/>
      </c>
    </row>
    <row r="8010" spans="8:8" x14ac:dyDescent="0.3">
      <c r="H8010" t="str">
        <f t="shared" si="174"/>
        <v/>
      </c>
    </row>
    <row r="8011" spans="8:8" x14ac:dyDescent="0.3">
      <c r="H8011" t="str">
        <f t="shared" si="174"/>
        <v/>
      </c>
    </row>
    <row r="8012" spans="8:8" x14ac:dyDescent="0.3">
      <c r="H8012" t="str">
        <f t="shared" si="174"/>
        <v/>
      </c>
    </row>
    <row r="8013" spans="8:8" x14ac:dyDescent="0.3">
      <c r="H8013" t="str">
        <f t="shared" si="174"/>
        <v/>
      </c>
    </row>
    <row r="8014" spans="8:8" x14ac:dyDescent="0.3">
      <c r="H8014" t="str">
        <f t="shared" si="174"/>
        <v/>
      </c>
    </row>
    <row r="8015" spans="8:8" x14ac:dyDescent="0.3">
      <c r="H8015" t="str">
        <f t="shared" si="174"/>
        <v/>
      </c>
    </row>
    <row r="8016" spans="8:8" x14ac:dyDescent="0.3">
      <c r="H8016" t="str">
        <f t="shared" si="174"/>
        <v/>
      </c>
    </row>
    <row r="8017" spans="8:8" x14ac:dyDescent="0.3">
      <c r="H8017" t="str">
        <f t="shared" si="174"/>
        <v/>
      </c>
    </row>
    <row r="8018" spans="8:8" x14ac:dyDescent="0.3">
      <c r="H8018" t="str">
        <f t="shared" si="174"/>
        <v/>
      </c>
    </row>
    <row r="8019" spans="8:8" x14ac:dyDescent="0.3">
      <c r="H8019" t="str">
        <f t="shared" si="174"/>
        <v/>
      </c>
    </row>
    <row r="8020" spans="8:8" x14ac:dyDescent="0.3">
      <c r="H8020" t="str">
        <f t="shared" si="174"/>
        <v/>
      </c>
    </row>
    <row r="8021" spans="8:8" x14ac:dyDescent="0.3">
      <c r="H8021" t="str">
        <f t="shared" si="174"/>
        <v/>
      </c>
    </row>
    <row r="8022" spans="8:8" x14ac:dyDescent="0.3">
      <c r="H8022" t="str">
        <f t="shared" si="174"/>
        <v/>
      </c>
    </row>
    <row r="8023" spans="8:8" x14ac:dyDescent="0.3">
      <c r="H8023" t="str">
        <f t="shared" ref="H8023:H8086" si="175">IF(B8023="","",$C$12)</f>
        <v/>
      </c>
    </row>
    <row r="8024" spans="8:8" x14ac:dyDescent="0.3">
      <c r="H8024" t="str">
        <f t="shared" si="175"/>
        <v/>
      </c>
    </row>
    <row r="8025" spans="8:8" x14ac:dyDescent="0.3">
      <c r="H8025" t="str">
        <f t="shared" si="175"/>
        <v/>
      </c>
    </row>
    <row r="8026" spans="8:8" x14ac:dyDescent="0.3">
      <c r="H8026" t="str">
        <f t="shared" si="175"/>
        <v/>
      </c>
    </row>
    <row r="8027" spans="8:8" x14ac:dyDescent="0.3">
      <c r="H8027" t="str">
        <f t="shared" si="175"/>
        <v/>
      </c>
    </row>
    <row r="8028" spans="8:8" x14ac:dyDescent="0.3">
      <c r="H8028" t="str">
        <f t="shared" si="175"/>
        <v/>
      </c>
    </row>
    <row r="8029" spans="8:8" x14ac:dyDescent="0.3">
      <c r="H8029" t="str">
        <f t="shared" si="175"/>
        <v/>
      </c>
    </row>
    <row r="8030" spans="8:8" x14ac:dyDescent="0.3">
      <c r="H8030" t="str">
        <f t="shared" si="175"/>
        <v/>
      </c>
    </row>
    <row r="8031" spans="8:8" x14ac:dyDescent="0.3">
      <c r="H8031" t="str">
        <f t="shared" si="175"/>
        <v/>
      </c>
    </row>
    <row r="8032" spans="8:8" x14ac:dyDescent="0.3">
      <c r="H8032" t="str">
        <f t="shared" si="175"/>
        <v/>
      </c>
    </row>
    <row r="8033" spans="8:8" x14ac:dyDescent="0.3">
      <c r="H8033" t="str">
        <f t="shared" si="175"/>
        <v/>
      </c>
    </row>
    <row r="8034" spans="8:8" x14ac:dyDescent="0.3">
      <c r="H8034" t="str">
        <f t="shared" si="175"/>
        <v/>
      </c>
    </row>
    <row r="8035" spans="8:8" x14ac:dyDescent="0.3">
      <c r="H8035" t="str">
        <f t="shared" si="175"/>
        <v/>
      </c>
    </row>
    <row r="8036" spans="8:8" x14ac:dyDescent="0.3">
      <c r="H8036" t="str">
        <f t="shared" si="175"/>
        <v/>
      </c>
    </row>
    <row r="8037" spans="8:8" x14ac:dyDescent="0.3">
      <c r="H8037" t="str">
        <f t="shared" si="175"/>
        <v/>
      </c>
    </row>
    <row r="8038" spans="8:8" x14ac:dyDescent="0.3">
      <c r="H8038" t="str">
        <f t="shared" si="175"/>
        <v/>
      </c>
    </row>
    <row r="8039" spans="8:8" x14ac:dyDescent="0.3">
      <c r="H8039" t="str">
        <f t="shared" si="175"/>
        <v/>
      </c>
    </row>
    <row r="8040" spans="8:8" x14ac:dyDescent="0.3">
      <c r="H8040" t="str">
        <f t="shared" si="175"/>
        <v/>
      </c>
    </row>
    <row r="8041" spans="8:8" x14ac:dyDescent="0.3">
      <c r="H8041" t="str">
        <f t="shared" si="175"/>
        <v/>
      </c>
    </row>
    <row r="8042" spans="8:8" x14ac:dyDescent="0.3">
      <c r="H8042" t="str">
        <f t="shared" si="175"/>
        <v/>
      </c>
    </row>
    <row r="8043" spans="8:8" x14ac:dyDescent="0.3">
      <c r="H8043" t="str">
        <f t="shared" si="175"/>
        <v/>
      </c>
    </row>
    <row r="8044" spans="8:8" x14ac:dyDescent="0.3">
      <c r="H8044" t="str">
        <f t="shared" si="175"/>
        <v/>
      </c>
    </row>
    <row r="8045" spans="8:8" x14ac:dyDescent="0.3">
      <c r="H8045" t="str">
        <f t="shared" si="175"/>
        <v/>
      </c>
    </row>
    <row r="8046" spans="8:8" x14ac:dyDescent="0.3">
      <c r="H8046" t="str">
        <f t="shared" si="175"/>
        <v/>
      </c>
    </row>
    <row r="8047" spans="8:8" x14ac:dyDescent="0.3">
      <c r="H8047" t="str">
        <f t="shared" si="175"/>
        <v/>
      </c>
    </row>
    <row r="8048" spans="8:8" x14ac:dyDescent="0.3">
      <c r="H8048" t="str">
        <f t="shared" si="175"/>
        <v/>
      </c>
    </row>
    <row r="8049" spans="8:8" x14ac:dyDescent="0.3">
      <c r="H8049" t="str">
        <f t="shared" si="175"/>
        <v/>
      </c>
    </row>
    <row r="8050" spans="8:8" x14ac:dyDescent="0.3">
      <c r="H8050" t="str">
        <f t="shared" si="175"/>
        <v/>
      </c>
    </row>
    <row r="8051" spans="8:8" x14ac:dyDescent="0.3">
      <c r="H8051" t="str">
        <f t="shared" si="175"/>
        <v/>
      </c>
    </row>
    <row r="8052" spans="8:8" x14ac:dyDescent="0.3">
      <c r="H8052" t="str">
        <f t="shared" si="175"/>
        <v/>
      </c>
    </row>
    <row r="8053" spans="8:8" x14ac:dyDescent="0.3">
      <c r="H8053" t="str">
        <f t="shared" si="175"/>
        <v/>
      </c>
    </row>
    <row r="8054" spans="8:8" x14ac:dyDescent="0.3">
      <c r="H8054" t="str">
        <f t="shared" si="175"/>
        <v/>
      </c>
    </row>
    <row r="8055" spans="8:8" x14ac:dyDescent="0.3">
      <c r="H8055" t="str">
        <f t="shared" si="175"/>
        <v/>
      </c>
    </row>
    <row r="8056" spans="8:8" x14ac:dyDescent="0.3">
      <c r="H8056" t="str">
        <f t="shared" si="175"/>
        <v/>
      </c>
    </row>
    <row r="8057" spans="8:8" x14ac:dyDescent="0.3">
      <c r="H8057" t="str">
        <f t="shared" si="175"/>
        <v/>
      </c>
    </row>
    <row r="8058" spans="8:8" x14ac:dyDescent="0.3">
      <c r="H8058" t="str">
        <f t="shared" si="175"/>
        <v/>
      </c>
    </row>
    <row r="8059" spans="8:8" x14ac:dyDescent="0.3">
      <c r="H8059" t="str">
        <f t="shared" si="175"/>
        <v/>
      </c>
    </row>
    <row r="8060" spans="8:8" x14ac:dyDescent="0.3">
      <c r="H8060" t="str">
        <f t="shared" si="175"/>
        <v/>
      </c>
    </row>
    <row r="8061" spans="8:8" x14ac:dyDescent="0.3">
      <c r="H8061" t="str">
        <f t="shared" si="175"/>
        <v/>
      </c>
    </row>
    <row r="8062" spans="8:8" x14ac:dyDescent="0.3">
      <c r="H8062" t="str">
        <f t="shared" si="175"/>
        <v/>
      </c>
    </row>
    <row r="8063" spans="8:8" x14ac:dyDescent="0.3">
      <c r="H8063" t="str">
        <f t="shared" si="175"/>
        <v/>
      </c>
    </row>
    <row r="8064" spans="8:8" x14ac:dyDescent="0.3">
      <c r="H8064" t="str">
        <f t="shared" si="175"/>
        <v/>
      </c>
    </row>
    <row r="8065" spans="8:8" x14ac:dyDescent="0.3">
      <c r="H8065" t="str">
        <f t="shared" si="175"/>
        <v/>
      </c>
    </row>
    <row r="8066" spans="8:8" x14ac:dyDescent="0.3">
      <c r="H8066" t="str">
        <f t="shared" si="175"/>
        <v/>
      </c>
    </row>
    <row r="8067" spans="8:8" x14ac:dyDescent="0.3">
      <c r="H8067" t="str">
        <f t="shared" si="175"/>
        <v/>
      </c>
    </row>
    <row r="8068" spans="8:8" x14ac:dyDescent="0.3">
      <c r="H8068" t="str">
        <f t="shared" si="175"/>
        <v/>
      </c>
    </row>
    <row r="8069" spans="8:8" x14ac:dyDescent="0.3">
      <c r="H8069" t="str">
        <f t="shared" si="175"/>
        <v/>
      </c>
    </row>
    <row r="8070" spans="8:8" x14ac:dyDescent="0.3">
      <c r="H8070" t="str">
        <f t="shared" si="175"/>
        <v/>
      </c>
    </row>
    <row r="8071" spans="8:8" x14ac:dyDescent="0.3">
      <c r="H8071" t="str">
        <f t="shared" si="175"/>
        <v/>
      </c>
    </row>
    <row r="8072" spans="8:8" x14ac:dyDescent="0.3">
      <c r="H8072" t="str">
        <f t="shared" si="175"/>
        <v/>
      </c>
    </row>
    <row r="8073" spans="8:8" x14ac:dyDescent="0.3">
      <c r="H8073" t="str">
        <f t="shared" si="175"/>
        <v/>
      </c>
    </row>
    <row r="8074" spans="8:8" x14ac:dyDescent="0.3">
      <c r="H8074" t="str">
        <f t="shared" si="175"/>
        <v/>
      </c>
    </row>
    <row r="8075" spans="8:8" x14ac:dyDescent="0.3">
      <c r="H8075" t="str">
        <f t="shared" si="175"/>
        <v/>
      </c>
    </row>
    <row r="8076" spans="8:8" x14ac:dyDescent="0.3">
      <c r="H8076" t="str">
        <f t="shared" si="175"/>
        <v/>
      </c>
    </row>
    <row r="8077" spans="8:8" x14ac:dyDescent="0.3">
      <c r="H8077" t="str">
        <f t="shared" si="175"/>
        <v/>
      </c>
    </row>
    <row r="8078" spans="8:8" x14ac:dyDescent="0.3">
      <c r="H8078" t="str">
        <f t="shared" si="175"/>
        <v/>
      </c>
    </row>
    <row r="8079" spans="8:8" x14ac:dyDescent="0.3">
      <c r="H8079" t="str">
        <f t="shared" si="175"/>
        <v/>
      </c>
    </row>
    <row r="8080" spans="8:8" x14ac:dyDescent="0.3">
      <c r="H8080" t="str">
        <f t="shared" si="175"/>
        <v/>
      </c>
    </row>
    <row r="8081" spans="8:8" x14ac:dyDescent="0.3">
      <c r="H8081" t="str">
        <f t="shared" si="175"/>
        <v/>
      </c>
    </row>
    <row r="8082" spans="8:8" x14ac:dyDescent="0.3">
      <c r="H8082" t="str">
        <f t="shared" si="175"/>
        <v/>
      </c>
    </row>
    <row r="8083" spans="8:8" x14ac:dyDescent="0.3">
      <c r="H8083" t="str">
        <f t="shared" si="175"/>
        <v/>
      </c>
    </row>
    <row r="8084" spans="8:8" x14ac:dyDescent="0.3">
      <c r="H8084" t="str">
        <f t="shared" si="175"/>
        <v/>
      </c>
    </row>
    <row r="8085" spans="8:8" x14ac:dyDescent="0.3">
      <c r="H8085" t="str">
        <f t="shared" si="175"/>
        <v/>
      </c>
    </row>
    <row r="8086" spans="8:8" x14ac:dyDescent="0.3">
      <c r="H8086" t="str">
        <f t="shared" si="175"/>
        <v/>
      </c>
    </row>
    <row r="8087" spans="8:8" x14ac:dyDescent="0.3">
      <c r="H8087" t="str">
        <f t="shared" ref="H8087:H8150" si="176">IF(B8087="","",$C$12)</f>
        <v/>
      </c>
    </row>
    <row r="8088" spans="8:8" x14ac:dyDescent="0.3">
      <c r="H8088" t="str">
        <f t="shared" si="176"/>
        <v/>
      </c>
    </row>
    <row r="8089" spans="8:8" x14ac:dyDescent="0.3">
      <c r="H8089" t="str">
        <f t="shared" si="176"/>
        <v/>
      </c>
    </row>
    <row r="8090" spans="8:8" x14ac:dyDescent="0.3">
      <c r="H8090" t="str">
        <f t="shared" si="176"/>
        <v/>
      </c>
    </row>
    <row r="8091" spans="8:8" x14ac:dyDescent="0.3">
      <c r="H8091" t="str">
        <f t="shared" si="176"/>
        <v/>
      </c>
    </row>
    <row r="8092" spans="8:8" x14ac:dyDescent="0.3">
      <c r="H8092" t="str">
        <f t="shared" si="176"/>
        <v/>
      </c>
    </row>
    <row r="8093" spans="8:8" x14ac:dyDescent="0.3">
      <c r="H8093" t="str">
        <f t="shared" si="176"/>
        <v/>
      </c>
    </row>
    <row r="8094" spans="8:8" x14ac:dyDescent="0.3">
      <c r="H8094" t="str">
        <f t="shared" si="176"/>
        <v/>
      </c>
    </row>
    <row r="8095" spans="8:8" x14ac:dyDescent="0.3">
      <c r="H8095" t="str">
        <f t="shared" si="176"/>
        <v/>
      </c>
    </row>
    <row r="8096" spans="8:8" x14ac:dyDescent="0.3">
      <c r="H8096" t="str">
        <f t="shared" si="176"/>
        <v/>
      </c>
    </row>
    <row r="8097" spans="8:8" x14ac:dyDescent="0.3">
      <c r="H8097" t="str">
        <f t="shared" si="176"/>
        <v/>
      </c>
    </row>
    <row r="8098" spans="8:8" x14ac:dyDescent="0.3">
      <c r="H8098" t="str">
        <f t="shared" si="176"/>
        <v/>
      </c>
    </row>
    <row r="8099" spans="8:8" x14ac:dyDescent="0.3">
      <c r="H8099" t="str">
        <f t="shared" si="176"/>
        <v/>
      </c>
    </row>
    <row r="8100" spans="8:8" x14ac:dyDescent="0.3">
      <c r="H8100" t="str">
        <f t="shared" si="176"/>
        <v/>
      </c>
    </row>
    <row r="8101" spans="8:8" x14ac:dyDescent="0.3">
      <c r="H8101" t="str">
        <f t="shared" si="176"/>
        <v/>
      </c>
    </row>
    <row r="8102" spans="8:8" x14ac:dyDescent="0.3">
      <c r="H8102" t="str">
        <f t="shared" si="176"/>
        <v/>
      </c>
    </row>
    <row r="8103" spans="8:8" x14ac:dyDescent="0.3">
      <c r="H8103" t="str">
        <f t="shared" si="176"/>
        <v/>
      </c>
    </row>
    <row r="8104" spans="8:8" x14ac:dyDescent="0.3">
      <c r="H8104" t="str">
        <f t="shared" si="176"/>
        <v/>
      </c>
    </row>
    <row r="8105" spans="8:8" x14ac:dyDescent="0.3">
      <c r="H8105" t="str">
        <f t="shared" si="176"/>
        <v/>
      </c>
    </row>
    <row r="8106" spans="8:8" x14ac:dyDescent="0.3">
      <c r="H8106" t="str">
        <f t="shared" si="176"/>
        <v/>
      </c>
    </row>
    <row r="8107" spans="8:8" x14ac:dyDescent="0.3">
      <c r="H8107" t="str">
        <f t="shared" si="176"/>
        <v/>
      </c>
    </row>
    <row r="8108" spans="8:8" x14ac:dyDescent="0.3">
      <c r="H8108" t="str">
        <f t="shared" si="176"/>
        <v/>
      </c>
    </row>
    <row r="8109" spans="8:8" x14ac:dyDescent="0.3">
      <c r="H8109" t="str">
        <f t="shared" si="176"/>
        <v/>
      </c>
    </row>
    <row r="8110" spans="8:8" x14ac:dyDescent="0.3">
      <c r="H8110" t="str">
        <f t="shared" si="176"/>
        <v/>
      </c>
    </row>
    <row r="8111" spans="8:8" x14ac:dyDescent="0.3">
      <c r="H8111" t="str">
        <f t="shared" si="176"/>
        <v/>
      </c>
    </row>
    <row r="8112" spans="8:8" x14ac:dyDescent="0.3">
      <c r="H8112" t="str">
        <f t="shared" si="176"/>
        <v/>
      </c>
    </row>
    <row r="8113" spans="8:8" x14ac:dyDescent="0.3">
      <c r="H8113" t="str">
        <f t="shared" si="176"/>
        <v/>
      </c>
    </row>
    <row r="8114" spans="8:8" x14ac:dyDescent="0.3">
      <c r="H8114" t="str">
        <f t="shared" si="176"/>
        <v/>
      </c>
    </row>
    <row r="8115" spans="8:8" x14ac:dyDescent="0.3">
      <c r="H8115" t="str">
        <f t="shared" si="176"/>
        <v/>
      </c>
    </row>
    <row r="8116" spans="8:8" x14ac:dyDescent="0.3">
      <c r="H8116" t="str">
        <f t="shared" si="176"/>
        <v/>
      </c>
    </row>
    <row r="8117" spans="8:8" x14ac:dyDescent="0.3">
      <c r="H8117" t="str">
        <f t="shared" si="176"/>
        <v/>
      </c>
    </row>
    <row r="8118" spans="8:8" x14ac:dyDescent="0.3">
      <c r="H8118" t="str">
        <f t="shared" si="176"/>
        <v/>
      </c>
    </row>
    <row r="8119" spans="8:8" x14ac:dyDescent="0.3">
      <c r="H8119" t="str">
        <f t="shared" si="176"/>
        <v/>
      </c>
    </row>
    <row r="8120" spans="8:8" x14ac:dyDescent="0.3">
      <c r="H8120" t="str">
        <f t="shared" si="176"/>
        <v/>
      </c>
    </row>
    <row r="8121" spans="8:8" x14ac:dyDescent="0.3">
      <c r="H8121" t="str">
        <f t="shared" si="176"/>
        <v/>
      </c>
    </row>
    <row r="8122" spans="8:8" x14ac:dyDescent="0.3">
      <c r="H8122" t="str">
        <f t="shared" si="176"/>
        <v/>
      </c>
    </row>
    <row r="8123" spans="8:8" x14ac:dyDescent="0.3">
      <c r="H8123" t="str">
        <f t="shared" si="176"/>
        <v/>
      </c>
    </row>
    <row r="8124" spans="8:8" x14ac:dyDescent="0.3">
      <c r="H8124" t="str">
        <f t="shared" si="176"/>
        <v/>
      </c>
    </row>
    <row r="8125" spans="8:8" x14ac:dyDescent="0.3">
      <c r="H8125" t="str">
        <f t="shared" si="176"/>
        <v/>
      </c>
    </row>
    <row r="8126" spans="8:8" x14ac:dyDescent="0.3">
      <c r="H8126" t="str">
        <f t="shared" si="176"/>
        <v/>
      </c>
    </row>
    <row r="8127" spans="8:8" x14ac:dyDescent="0.3">
      <c r="H8127" t="str">
        <f t="shared" si="176"/>
        <v/>
      </c>
    </row>
    <row r="8128" spans="8:8" x14ac:dyDescent="0.3">
      <c r="H8128" t="str">
        <f t="shared" si="176"/>
        <v/>
      </c>
    </row>
    <row r="8129" spans="8:8" x14ac:dyDescent="0.3">
      <c r="H8129" t="str">
        <f t="shared" si="176"/>
        <v/>
      </c>
    </row>
    <row r="8130" spans="8:8" x14ac:dyDescent="0.3">
      <c r="H8130" t="str">
        <f t="shared" si="176"/>
        <v/>
      </c>
    </row>
    <row r="8131" spans="8:8" x14ac:dyDescent="0.3">
      <c r="H8131" t="str">
        <f t="shared" si="176"/>
        <v/>
      </c>
    </row>
    <row r="8132" spans="8:8" x14ac:dyDescent="0.3">
      <c r="H8132" t="str">
        <f t="shared" si="176"/>
        <v/>
      </c>
    </row>
    <row r="8133" spans="8:8" x14ac:dyDescent="0.3">
      <c r="H8133" t="str">
        <f t="shared" si="176"/>
        <v/>
      </c>
    </row>
    <row r="8134" spans="8:8" x14ac:dyDescent="0.3">
      <c r="H8134" t="str">
        <f t="shared" si="176"/>
        <v/>
      </c>
    </row>
    <row r="8135" spans="8:8" x14ac:dyDescent="0.3">
      <c r="H8135" t="str">
        <f t="shared" si="176"/>
        <v/>
      </c>
    </row>
    <row r="8136" spans="8:8" x14ac:dyDescent="0.3">
      <c r="H8136" t="str">
        <f t="shared" si="176"/>
        <v/>
      </c>
    </row>
    <row r="8137" spans="8:8" x14ac:dyDescent="0.3">
      <c r="H8137" t="str">
        <f t="shared" si="176"/>
        <v/>
      </c>
    </row>
    <row r="8138" spans="8:8" x14ac:dyDescent="0.3">
      <c r="H8138" t="str">
        <f t="shared" si="176"/>
        <v/>
      </c>
    </row>
    <row r="8139" spans="8:8" x14ac:dyDescent="0.3">
      <c r="H8139" t="str">
        <f t="shared" si="176"/>
        <v/>
      </c>
    </row>
    <row r="8140" spans="8:8" x14ac:dyDescent="0.3">
      <c r="H8140" t="str">
        <f t="shared" si="176"/>
        <v/>
      </c>
    </row>
    <row r="8141" spans="8:8" x14ac:dyDescent="0.3">
      <c r="H8141" t="str">
        <f t="shared" si="176"/>
        <v/>
      </c>
    </row>
    <row r="8142" spans="8:8" x14ac:dyDescent="0.3">
      <c r="H8142" t="str">
        <f t="shared" si="176"/>
        <v/>
      </c>
    </row>
    <row r="8143" spans="8:8" x14ac:dyDescent="0.3">
      <c r="H8143" t="str">
        <f t="shared" si="176"/>
        <v/>
      </c>
    </row>
    <row r="8144" spans="8:8" x14ac:dyDescent="0.3">
      <c r="H8144" t="str">
        <f t="shared" si="176"/>
        <v/>
      </c>
    </row>
    <row r="8145" spans="8:8" x14ac:dyDescent="0.3">
      <c r="H8145" t="str">
        <f t="shared" si="176"/>
        <v/>
      </c>
    </row>
    <row r="8146" spans="8:8" x14ac:dyDescent="0.3">
      <c r="H8146" t="str">
        <f t="shared" si="176"/>
        <v/>
      </c>
    </row>
    <row r="8147" spans="8:8" x14ac:dyDescent="0.3">
      <c r="H8147" t="str">
        <f t="shared" si="176"/>
        <v/>
      </c>
    </row>
    <row r="8148" spans="8:8" x14ac:dyDescent="0.3">
      <c r="H8148" t="str">
        <f t="shared" si="176"/>
        <v/>
      </c>
    </row>
    <row r="8149" spans="8:8" x14ac:dyDescent="0.3">
      <c r="H8149" t="str">
        <f t="shared" si="176"/>
        <v/>
      </c>
    </row>
    <row r="8150" spans="8:8" x14ac:dyDescent="0.3">
      <c r="H8150" t="str">
        <f t="shared" si="176"/>
        <v/>
      </c>
    </row>
    <row r="8151" spans="8:8" x14ac:dyDescent="0.3">
      <c r="H8151" t="str">
        <f t="shared" ref="H8151:H8214" si="177">IF(B8151="","",$C$12)</f>
        <v/>
      </c>
    </row>
    <row r="8152" spans="8:8" x14ac:dyDescent="0.3">
      <c r="H8152" t="str">
        <f t="shared" si="177"/>
        <v/>
      </c>
    </row>
    <row r="8153" spans="8:8" x14ac:dyDescent="0.3">
      <c r="H8153" t="str">
        <f t="shared" si="177"/>
        <v/>
      </c>
    </row>
    <row r="8154" spans="8:8" x14ac:dyDescent="0.3">
      <c r="H8154" t="str">
        <f t="shared" si="177"/>
        <v/>
      </c>
    </row>
    <row r="8155" spans="8:8" x14ac:dyDescent="0.3">
      <c r="H8155" t="str">
        <f t="shared" si="177"/>
        <v/>
      </c>
    </row>
    <row r="8156" spans="8:8" x14ac:dyDescent="0.3">
      <c r="H8156" t="str">
        <f t="shared" si="177"/>
        <v/>
      </c>
    </row>
    <row r="8157" spans="8:8" x14ac:dyDescent="0.3">
      <c r="H8157" t="str">
        <f t="shared" si="177"/>
        <v/>
      </c>
    </row>
    <row r="8158" spans="8:8" x14ac:dyDescent="0.3">
      <c r="H8158" t="str">
        <f t="shared" si="177"/>
        <v/>
      </c>
    </row>
    <row r="8159" spans="8:8" x14ac:dyDescent="0.3">
      <c r="H8159" t="str">
        <f t="shared" si="177"/>
        <v/>
      </c>
    </row>
    <row r="8160" spans="8:8" x14ac:dyDescent="0.3">
      <c r="H8160" t="str">
        <f t="shared" si="177"/>
        <v/>
      </c>
    </row>
    <row r="8161" spans="8:8" x14ac:dyDescent="0.3">
      <c r="H8161" t="str">
        <f t="shared" si="177"/>
        <v/>
      </c>
    </row>
    <row r="8162" spans="8:8" x14ac:dyDescent="0.3">
      <c r="H8162" t="str">
        <f t="shared" si="177"/>
        <v/>
      </c>
    </row>
    <row r="8163" spans="8:8" x14ac:dyDescent="0.3">
      <c r="H8163" t="str">
        <f t="shared" si="177"/>
        <v/>
      </c>
    </row>
    <row r="8164" spans="8:8" x14ac:dyDescent="0.3">
      <c r="H8164" t="str">
        <f t="shared" si="177"/>
        <v/>
      </c>
    </row>
    <row r="8165" spans="8:8" x14ac:dyDescent="0.3">
      <c r="H8165" t="str">
        <f t="shared" si="177"/>
        <v/>
      </c>
    </row>
    <row r="8166" spans="8:8" x14ac:dyDescent="0.3">
      <c r="H8166" t="str">
        <f t="shared" si="177"/>
        <v/>
      </c>
    </row>
    <row r="8167" spans="8:8" x14ac:dyDescent="0.3">
      <c r="H8167" t="str">
        <f t="shared" si="177"/>
        <v/>
      </c>
    </row>
    <row r="8168" spans="8:8" x14ac:dyDescent="0.3">
      <c r="H8168" t="str">
        <f t="shared" si="177"/>
        <v/>
      </c>
    </row>
    <row r="8169" spans="8:8" x14ac:dyDescent="0.3">
      <c r="H8169" t="str">
        <f t="shared" si="177"/>
        <v/>
      </c>
    </row>
    <row r="8170" spans="8:8" x14ac:dyDescent="0.3">
      <c r="H8170" t="str">
        <f t="shared" si="177"/>
        <v/>
      </c>
    </row>
    <row r="8171" spans="8:8" x14ac:dyDescent="0.3">
      <c r="H8171" t="str">
        <f t="shared" si="177"/>
        <v/>
      </c>
    </row>
    <row r="8172" spans="8:8" x14ac:dyDescent="0.3">
      <c r="H8172" t="str">
        <f t="shared" si="177"/>
        <v/>
      </c>
    </row>
    <row r="8173" spans="8:8" x14ac:dyDescent="0.3">
      <c r="H8173" t="str">
        <f t="shared" si="177"/>
        <v/>
      </c>
    </row>
    <row r="8174" spans="8:8" x14ac:dyDescent="0.3">
      <c r="H8174" t="str">
        <f t="shared" si="177"/>
        <v/>
      </c>
    </row>
    <row r="8175" spans="8:8" x14ac:dyDescent="0.3">
      <c r="H8175" t="str">
        <f t="shared" si="177"/>
        <v/>
      </c>
    </row>
    <row r="8176" spans="8:8" x14ac:dyDescent="0.3">
      <c r="H8176" t="str">
        <f t="shared" si="177"/>
        <v/>
      </c>
    </row>
    <row r="8177" spans="8:8" x14ac:dyDescent="0.3">
      <c r="H8177" t="str">
        <f t="shared" si="177"/>
        <v/>
      </c>
    </row>
    <row r="8178" spans="8:8" x14ac:dyDescent="0.3">
      <c r="H8178" t="str">
        <f t="shared" si="177"/>
        <v/>
      </c>
    </row>
    <row r="8179" spans="8:8" x14ac:dyDescent="0.3">
      <c r="H8179" t="str">
        <f t="shared" si="177"/>
        <v/>
      </c>
    </row>
    <row r="8180" spans="8:8" x14ac:dyDescent="0.3">
      <c r="H8180" t="str">
        <f t="shared" si="177"/>
        <v/>
      </c>
    </row>
    <row r="8181" spans="8:8" x14ac:dyDescent="0.3">
      <c r="H8181" t="str">
        <f t="shared" si="177"/>
        <v/>
      </c>
    </row>
    <row r="8182" spans="8:8" x14ac:dyDescent="0.3">
      <c r="H8182" t="str">
        <f t="shared" si="177"/>
        <v/>
      </c>
    </row>
    <row r="8183" spans="8:8" x14ac:dyDescent="0.3">
      <c r="H8183" t="str">
        <f t="shared" si="177"/>
        <v/>
      </c>
    </row>
    <row r="8184" spans="8:8" x14ac:dyDescent="0.3">
      <c r="H8184" t="str">
        <f t="shared" si="177"/>
        <v/>
      </c>
    </row>
    <row r="8185" spans="8:8" x14ac:dyDescent="0.3">
      <c r="H8185" t="str">
        <f t="shared" si="177"/>
        <v/>
      </c>
    </row>
    <row r="8186" spans="8:8" x14ac:dyDescent="0.3">
      <c r="H8186" t="str">
        <f t="shared" si="177"/>
        <v/>
      </c>
    </row>
    <row r="8187" spans="8:8" x14ac:dyDescent="0.3">
      <c r="H8187" t="str">
        <f t="shared" si="177"/>
        <v/>
      </c>
    </row>
    <row r="8188" spans="8:8" x14ac:dyDescent="0.3">
      <c r="H8188" t="str">
        <f t="shared" si="177"/>
        <v/>
      </c>
    </row>
    <row r="8189" spans="8:8" x14ac:dyDescent="0.3">
      <c r="H8189" t="str">
        <f t="shared" si="177"/>
        <v/>
      </c>
    </row>
    <row r="8190" spans="8:8" x14ac:dyDescent="0.3">
      <c r="H8190" t="str">
        <f t="shared" si="177"/>
        <v/>
      </c>
    </row>
    <row r="8191" spans="8:8" x14ac:dyDescent="0.3">
      <c r="H8191" t="str">
        <f t="shared" si="177"/>
        <v/>
      </c>
    </row>
    <row r="8192" spans="8:8" x14ac:dyDescent="0.3">
      <c r="H8192" t="str">
        <f t="shared" si="177"/>
        <v/>
      </c>
    </row>
    <row r="8193" spans="8:8" x14ac:dyDescent="0.3">
      <c r="H8193" t="str">
        <f t="shared" si="177"/>
        <v/>
      </c>
    </row>
    <row r="8194" spans="8:8" x14ac:dyDescent="0.3">
      <c r="H8194" t="str">
        <f t="shared" si="177"/>
        <v/>
      </c>
    </row>
    <row r="8195" spans="8:8" x14ac:dyDescent="0.3">
      <c r="H8195" t="str">
        <f t="shared" si="177"/>
        <v/>
      </c>
    </row>
    <row r="8196" spans="8:8" x14ac:dyDescent="0.3">
      <c r="H8196" t="str">
        <f t="shared" si="177"/>
        <v/>
      </c>
    </row>
    <row r="8197" spans="8:8" x14ac:dyDescent="0.3">
      <c r="H8197" t="str">
        <f t="shared" si="177"/>
        <v/>
      </c>
    </row>
    <row r="8198" spans="8:8" x14ac:dyDescent="0.3">
      <c r="H8198" t="str">
        <f t="shared" si="177"/>
        <v/>
      </c>
    </row>
    <row r="8199" spans="8:8" x14ac:dyDescent="0.3">
      <c r="H8199" t="str">
        <f t="shared" si="177"/>
        <v/>
      </c>
    </row>
    <row r="8200" spans="8:8" x14ac:dyDescent="0.3">
      <c r="H8200" t="str">
        <f t="shared" si="177"/>
        <v/>
      </c>
    </row>
    <row r="8201" spans="8:8" x14ac:dyDescent="0.3">
      <c r="H8201" t="str">
        <f t="shared" si="177"/>
        <v/>
      </c>
    </row>
    <row r="8202" spans="8:8" x14ac:dyDescent="0.3">
      <c r="H8202" t="str">
        <f t="shared" si="177"/>
        <v/>
      </c>
    </row>
    <row r="8203" spans="8:8" x14ac:dyDescent="0.3">
      <c r="H8203" t="str">
        <f t="shared" si="177"/>
        <v/>
      </c>
    </row>
    <row r="8204" spans="8:8" x14ac:dyDescent="0.3">
      <c r="H8204" t="str">
        <f t="shared" si="177"/>
        <v/>
      </c>
    </row>
    <row r="8205" spans="8:8" x14ac:dyDescent="0.3">
      <c r="H8205" t="str">
        <f t="shared" si="177"/>
        <v/>
      </c>
    </row>
    <row r="8206" spans="8:8" x14ac:dyDescent="0.3">
      <c r="H8206" t="str">
        <f t="shared" si="177"/>
        <v/>
      </c>
    </row>
    <row r="8207" spans="8:8" x14ac:dyDescent="0.3">
      <c r="H8207" t="str">
        <f t="shared" si="177"/>
        <v/>
      </c>
    </row>
    <row r="8208" spans="8:8" x14ac:dyDescent="0.3">
      <c r="H8208" t="str">
        <f t="shared" si="177"/>
        <v/>
      </c>
    </row>
    <row r="8209" spans="8:8" x14ac:dyDescent="0.3">
      <c r="H8209" t="str">
        <f t="shared" si="177"/>
        <v/>
      </c>
    </row>
    <row r="8210" spans="8:8" x14ac:dyDescent="0.3">
      <c r="H8210" t="str">
        <f t="shared" si="177"/>
        <v/>
      </c>
    </row>
    <row r="8211" spans="8:8" x14ac:dyDescent="0.3">
      <c r="H8211" t="str">
        <f t="shared" si="177"/>
        <v/>
      </c>
    </row>
    <row r="8212" spans="8:8" x14ac:dyDescent="0.3">
      <c r="H8212" t="str">
        <f t="shared" si="177"/>
        <v/>
      </c>
    </row>
    <row r="8213" spans="8:8" x14ac:dyDescent="0.3">
      <c r="H8213" t="str">
        <f t="shared" si="177"/>
        <v/>
      </c>
    </row>
    <row r="8214" spans="8:8" x14ac:dyDescent="0.3">
      <c r="H8214" t="str">
        <f t="shared" si="177"/>
        <v/>
      </c>
    </row>
    <row r="8215" spans="8:8" x14ac:dyDescent="0.3">
      <c r="H8215" t="str">
        <f t="shared" ref="H8215:H8278" si="178">IF(B8215="","",$C$12)</f>
        <v/>
      </c>
    </row>
    <row r="8216" spans="8:8" x14ac:dyDescent="0.3">
      <c r="H8216" t="str">
        <f t="shared" si="178"/>
        <v/>
      </c>
    </row>
    <row r="8217" spans="8:8" x14ac:dyDescent="0.3">
      <c r="H8217" t="str">
        <f t="shared" si="178"/>
        <v/>
      </c>
    </row>
    <row r="8218" spans="8:8" x14ac:dyDescent="0.3">
      <c r="H8218" t="str">
        <f t="shared" si="178"/>
        <v/>
      </c>
    </row>
    <row r="8219" spans="8:8" x14ac:dyDescent="0.3">
      <c r="H8219" t="str">
        <f t="shared" si="178"/>
        <v/>
      </c>
    </row>
    <row r="8220" spans="8:8" x14ac:dyDescent="0.3">
      <c r="H8220" t="str">
        <f t="shared" si="178"/>
        <v/>
      </c>
    </row>
    <row r="8221" spans="8:8" x14ac:dyDescent="0.3">
      <c r="H8221" t="str">
        <f t="shared" si="178"/>
        <v/>
      </c>
    </row>
    <row r="8222" spans="8:8" x14ac:dyDescent="0.3">
      <c r="H8222" t="str">
        <f t="shared" si="178"/>
        <v/>
      </c>
    </row>
    <row r="8223" spans="8:8" x14ac:dyDescent="0.3">
      <c r="H8223" t="str">
        <f t="shared" si="178"/>
        <v/>
      </c>
    </row>
    <row r="8224" spans="8:8" x14ac:dyDescent="0.3">
      <c r="H8224" t="str">
        <f t="shared" si="178"/>
        <v/>
      </c>
    </row>
    <row r="8225" spans="8:8" x14ac:dyDescent="0.3">
      <c r="H8225" t="str">
        <f t="shared" si="178"/>
        <v/>
      </c>
    </row>
    <row r="8226" spans="8:8" x14ac:dyDescent="0.3">
      <c r="H8226" t="str">
        <f t="shared" si="178"/>
        <v/>
      </c>
    </row>
    <row r="8227" spans="8:8" x14ac:dyDescent="0.3">
      <c r="H8227" t="str">
        <f t="shared" si="178"/>
        <v/>
      </c>
    </row>
    <row r="8228" spans="8:8" x14ac:dyDescent="0.3">
      <c r="H8228" t="str">
        <f t="shared" si="178"/>
        <v/>
      </c>
    </row>
    <row r="8229" spans="8:8" x14ac:dyDescent="0.3">
      <c r="H8229" t="str">
        <f t="shared" si="178"/>
        <v/>
      </c>
    </row>
    <row r="8230" spans="8:8" x14ac:dyDescent="0.3">
      <c r="H8230" t="str">
        <f t="shared" si="178"/>
        <v/>
      </c>
    </row>
    <row r="8231" spans="8:8" x14ac:dyDescent="0.3">
      <c r="H8231" t="str">
        <f t="shared" si="178"/>
        <v/>
      </c>
    </row>
    <row r="8232" spans="8:8" x14ac:dyDescent="0.3">
      <c r="H8232" t="str">
        <f t="shared" si="178"/>
        <v/>
      </c>
    </row>
    <row r="8233" spans="8:8" x14ac:dyDescent="0.3">
      <c r="H8233" t="str">
        <f t="shared" si="178"/>
        <v/>
      </c>
    </row>
    <row r="8234" spans="8:8" x14ac:dyDescent="0.3">
      <c r="H8234" t="str">
        <f t="shared" si="178"/>
        <v/>
      </c>
    </row>
    <row r="8235" spans="8:8" x14ac:dyDescent="0.3">
      <c r="H8235" t="str">
        <f t="shared" si="178"/>
        <v/>
      </c>
    </row>
    <row r="8236" spans="8:8" x14ac:dyDescent="0.3">
      <c r="H8236" t="str">
        <f t="shared" si="178"/>
        <v/>
      </c>
    </row>
    <row r="8237" spans="8:8" x14ac:dyDescent="0.3">
      <c r="H8237" t="str">
        <f t="shared" si="178"/>
        <v/>
      </c>
    </row>
    <row r="8238" spans="8:8" x14ac:dyDescent="0.3">
      <c r="H8238" t="str">
        <f t="shared" si="178"/>
        <v/>
      </c>
    </row>
    <row r="8239" spans="8:8" x14ac:dyDescent="0.3">
      <c r="H8239" t="str">
        <f t="shared" si="178"/>
        <v/>
      </c>
    </row>
    <row r="8240" spans="8:8" x14ac:dyDescent="0.3">
      <c r="H8240" t="str">
        <f t="shared" si="178"/>
        <v/>
      </c>
    </row>
    <row r="8241" spans="8:8" x14ac:dyDescent="0.3">
      <c r="H8241" t="str">
        <f t="shared" si="178"/>
        <v/>
      </c>
    </row>
    <row r="8242" spans="8:8" x14ac:dyDescent="0.3">
      <c r="H8242" t="str">
        <f t="shared" si="178"/>
        <v/>
      </c>
    </row>
    <row r="8243" spans="8:8" x14ac:dyDescent="0.3">
      <c r="H8243" t="str">
        <f t="shared" si="178"/>
        <v/>
      </c>
    </row>
    <row r="8244" spans="8:8" x14ac:dyDescent="0.3">
      <c r="H8244" t="str">
        <f t="shared" si="178"/>
        <v/>
      </c>
    </row>
    <row r="8245" spans="8:8" x14ac:dyDescent="0.3">
      <c r="H8245" t="str">
        <f t="shared" si="178"/>
        <v/>
      </c>
    </row>
    <row r="8246" spans="8:8" x14ac:dyDescent="0.3">
      <c r="H8246" t="str">
        <f t="shared" si="178"/>
        <v/>
      </c>
    </row>
    <row r="8247" spans="8:8" x14ac:dyDescent="0.3">
      <c r="H8247" t="str">
        <f t="shared" si="178"/>
        <v/>
      </c>
    </row>
    <row r="8248" spans="8:8" x14ac:dyDescent="0.3">
      <c r="H8248" t="str">
        <f t="shared" si="178"/>
        <v/>
      </c>
    </row>
    <row r="8249" spans="8:8" x14ac:dyDescent="0.3">
      <c r="H8249" t="str">
        <f t="shared" si="178"/>
        <v/>
      </c>
    </row>
    <row r="8250" spans="8:8" x14ac:dyDescent="0.3">
      <c r="H8250" t="str">
        <f t="shared" si="178"/>
        <v/>
      </c>
    </row>
    <row r="8251" spans="8:8" x14ac:dyDescent="0.3">
      <c r="H8251" t="str">
        <f t="shared" si="178"/>
        <v/>
      </c>
    </row>
    <row r="8252" spans="8:8" x14ac:dyDescent="0.3">
      <c r="H8252" t="str">
        <f t="shared" si="178"/>
        <v/>
      </c>
    </row>
    <row r="8253" spans="8:8" x14ac:dyDescent="0.3">
      <c r="H8253" t="str">
        <f t="shared" si="178"/>
        <v/>
      </c>
    </row>
    <row r="8254" spans="8:8" x14ac:dyDescent="0.3">
      <c r="H8254" t="str">
        <f t="shared" si="178"/>
        <v/>
      </c>
    </row>
    <row r="8255" spans="8:8" x14ac:dyDescent="0.3">
      <c r="H8255" t="str">
        <f t="shared" si="178"/>
        <v/>
      </c>
    </row>
    <row r="8256" spans="8:8" x14ac:dyDescent="0.3">
      <c r="H8256" t="str">
        <f t="shared" si="178"/>
        <v/>
      </c>
    </row>
    <row r="8257" spans="8:8" x14ac:dyDescent="0.3">
      <c r="H8257" t="str">
        <f t="shared" si="178"/>
        <v/>
      </c>
    </row>
    <row r="8258" spans="8:8" x14ac:dyDescent="0.3">
      <c r="H8258" t="str">
        <f t="shared" si="178"/>
        <v/>
      </c>
    </row>
    <row r="8259" spans="8:8" x14ac:dyDescent="0.3">
      <c r="H8259" t="str">
        <f t="shared" si="178"/>
        <v/>
      </c>
    </row>
    <row r="8260" spans="8:8" x14ac:dyDescent="0.3">
      <c r="H8260" t="str">
        <f t="shared" si="178"/>
        <v/>
      </c>
    </row>
    <row r="8261" spans="8:8" x14ac:dyDescent="0.3">
      <c r="H8261" t="str">
        <f t="shared" si="178"/>
        <v/>
      </c>
    </row>
    <row r="8262" spans="8:8" x14ac:dyDescent="0.3">
      <c r="H8262" t="str">
        <f t="shared" si="178"/>
        <v/>
      </c>
    </row>
    <row r="8263" spans="8:8" x14ac:dyDescent="0.3">
      <c r="H8263" t="str">
        <f t="shared" si="178"/>
        <v/>
      </c>
    </row>
    <row r="8264" spans="8:8" x14ac:dyDescent="0.3">
      <c r="H8264" t="str">
        <f t="shared" si="178"/>
        <v/>
      </c>
    </row>
    <row r="8265" spans="8:8" x14ac:dyDescent="0.3">
      <c r="H8265" t="str">
        <f t="shared" si="178"/>
        <v/>
      </c>
    </row>
    <row r="8266" spans="8:8" x14ac:dyDescent="0.3">
      <c r="H8266" t="str">
        <f t="shared" si="178"/>
        <v/>
      </c>
    </row>
    <row r="8267" spans="8:8" x14ac:dyDescent="0.3">
      <c r="H8267" t="str">
        <f t="shared" si="178"/>
        <v/>
      </c>
    </row>
    <row r="8268" spans="8:8" x14ac:dyDescent="0.3">
      <c r="H8268" t="str">
        <f t="shared" si="178"/>
        <v/>
      </c>
    </row>
    <row r="8269" spans="8:8" x14ac:dyDescent="0.3">
      <c r="H8269" t="str">
        <f t="shared" si="178"/>
        <v/>
      </c>
    </row>
    <row r="8270" spans="8:8" x14ac:dyDescent="0.3">
      <c r="H8270" t="str">
        <f t="shared" si="178"/>
        <v/>
      </c>
    </row>
    <row r="8271" spans="8:8" x14ac:dyDescent="0.3">
      <c r="H8271" t="str">
        <f t="shared" si="178"/>
        <v/>
      </c>
    </row>
    <row r="8272" spans="8:8" x14ac:dyDescent="0.3">
      <c r="H8272" t="str">
        <f t="shared" si="178"/>
        <v/>
      </c>
    </row>
    <row r="8273" spans="8:8" x14ac:dyDescent="0.3">
      <c r="H8273" t="str">
        <f t="shared" si="178"/>
        <v/>
      </c>
    </row>
    <row r="8274" spans="8:8" x14ac:dyDescent="0.3">
      <c r="H8274" t="str">
        <f t="shared" si="178"/>
        <v/>
      </c>
    </row>
    <row r="8275" spans="8:8" x14ac:dyDescent="0.3">
      <c r="H8275" t="str">
        <f t="shared" si="178"/>
        <v/>
      </c>
    </row>
    <row r="8276" spans="8:8" x14ac:dyDescent="0.3">
      <c r="H8276" t="str">
        <f t="shared" si="178"/>
        <v/>
      </c>
    </row>
    <row r="8277" spans="8:8" x14ac:dyDescent="0.3">
      <c r="H8277" t="str">
        <f t="shared" si="178"/>
        <v/>
      </c>
    </row>
    <row r="8278" spans="8:8" x14ac:dyDescent="0.3">
      <c r="H8278" t="str">
        <f t="shared" si="178"/>
        <v/>
      </c>
    </row>
    <row r="8279" spans="8:8" x14ac:dyDescent="0.3">
      <c r="H8279" t="str">
        <f t="shared" ref="H8279:H8342" si="179">IF(B8279="","",$C$12)</f>
        <v/>
      </c>
    </row>
    <row r="8280" spans="8:8" x14ac:dyDescent="0.3">
      <c r="H8280" t="str">
        <f t="shared" si="179"/>
        <v/>
      </c>
    </row>
    <row r="8281" spans="8:8" x14ac:dyDescent="0.3">
      <c r="H8281" t="str">
        <f t="shared" si="179"/>
        <v/>
      </c>
    </row>
    <row r="8282" spans="8:8" x14ac:dyDescent="0.3">
      <c r="H8282" t="str">
        <f t="shared" si="179"/>
        <v/>
      </c>
    </row>
    <row r="8283" spans="8:8" x14ac:dyDescent="0.3">
      <c r="H8283" t="str">
        <f t="shared" si="179"/>
        <v/>
      </c>
    </row>
    <row r="8284" spans="8:8" x14ac:dyDescent="0.3">
      <c r="H8284" t="str">
        <f t="shared" si="179"/>
        <v/>
      </c>
    </row>
    <row r="8285" spans="8:8" x14ac:dyDescent="0.3">
      <c r="H8285" t="str">
        <f t="shared" si="179"/>
        <v/>
      </c>
    </row>
    <row r="8286" spans="8:8" x14ac:dyDescent="0.3">
      <c r="H8286" t="str">
        <f t="shared" si="179"/>
        <v/>
      </c>
    </row>
    <row r="8287" spans="8:8" x14ac:dyDescent="0.3">
      <c r="H8287" t="str">
        <f t="shared" si="179"/>
        <v/>
      </c>
    </row>
    <row r="8288" spans="8:8" x14ac:dyDescent="0.3">
      <c r="H8288" t="str">
        <f t="shared" si="179"/>
        <v/>
      </c>
    </row>
    <row r="8289" spans="8:8" x14ac:dyDescent="0.3">
      <c r="H8289" t="str">
        <f t="shared" si="179"/>
        <v/>
      </c>
    </row>
    <row r="8290" spans="8:8" x14ac:dyDescent="0.3">
      <c r="H8290" t="str">
        <f t="shared" si="179"/>
        <v/>
      </c>
    </row>
    <row r="8291" spans="8:8" x14ac:dyDescent="0.3">
      <c r="H8291" t="str">
        <f t="shared" si="179"/>
        <v/>
      </c>
    </row>
    <row r="8292" spans="8:8" x14ac:dyDescent="0.3">
      <c r="H8292" t="str">
        <f t="shared" si="179"/>
        <v/>
      </c>
    </row>
    <row r="8293" spans="8:8" x14ac:dyDescent="0.3">
      <c r="H8293" t="str">
        <f t="shared" si="179"/>
        <v/>
      </c>
    </row>
    <row r="8294" spans="8:8" x14ac:dyDescent="0.3">
      <c r="H8294" t="str">
        <f t="shared" si="179"/>
        <v/>
      </c>
    </row>
    <row r="8295" spans="8:8" x14ac:dyDescent="0.3">
      <c r="H8295" t="str">
        <f t="shared" si="179"/>
        <v/>
      </c>
    </row>
    <row r="8296" spans="8:8" x14ac:dyDescent="0.3">
      <c r="H8296" t="str">
        <f t="shared" si="179"/>
        <v/>
      </c>
    </row>
    <row r="8297" spans="8:8" x14ac:dyDescent="0.3">
      <c r="H8297" t="str">
        <f t="shared" si="179"/>
        <v/>
      </c>
    </row>
    <row r="8298" spans="8:8" x14ac:dyDescent="0.3">
      <c r="H8298" t="str">
        <f t="shared" si="179"/>
        <v/>
      </c>
    </row>
    <row r="8299" spans="8:8" x14ac:dyDescent="0.3">
      <c r="H8299" t="str">
        <f t="shared" si="179"/>
        <v/>
      </c>
    </row>
    <row r="8300" spans="8:8" x14ac:dyDescent="0.3">
      <c r="H8300" t="str">
        <f t="shared" si="179"/>
        <v/>
      </c>
    </row>
    <row r="8301" spans="8:8" x14ac:dyDescent="0.3">
      <c r="H8301" t="str">
        <f t="shared" si="179"/>
        <v/>
      </c>
    </row>
    <row r="8302" spans="8:8" x14ac:dyDescent="0.3">
      <c r="H8302" t="str">
        <f t="shared" si="179"/>
        <v/>
      </c>
    </row>
    <row r="8303" spans="8:8" x14ac:dyDescent="0.3">
      <c r="H8303" t="str">
        <f t="shared" si="179"/>
        <v/>
      </c>
    </row>
    <row r="8304" spans="8:8" x14ac:dyDescent="0.3">
      <c r="H8304" t="str">
        <f t="shared" si="179"/>
        <v/>
      </c>
    </row>
    <row r="8305" spans="8:8" x14ac:dyDescent="0.3">
      <c r="H8305" t="str">
        <f t="shared" si="179"/>
        <v/>
      </c>
    </row>
    <row r="8306" spans="8:8" x14ac:dyDescent="0.3">
      <c r="H8306" t="str">
        <f t="shared" si="179"/>
        <v/>
      </c>
    </row>
    <row r="8307" spans="8:8" x14ac:dyDescent="0.3">
      <c r="H8307" t="str">
        <f t="shared" si="179"/>
        <v/>
      </c>
    </row>
    <row r="8308" spans="8:8" x14ac:dyDescent="0.3">
      <c r="H8308" t="str">
        <f t="shared" si="179"/>
        <v/>
      </c>
    </row>
    <row r="8309" spans="8:8" x14ac:dyDescent="0.3">
      <c r="H8309" t="str">
        <f t="shared" si="179"/>
        <v/>
      </c>
    </row>
    <row r="8310" spans="8:8" x14ac:dyDescent="0.3">
      <c r="H8310" t="str">
        <f t="shared" si="179"/>
        <v/>
      </c>
    </row>
    <row r="8311" spans="8:8" x14ac:dyDescent="0.3">
      <c r="H8311" t="str">
        <f t="shared" si="179"/>
        <v/>
      </c>
    </row>
    <row r="8312" spans="8:8" x14ac:dyDescent="0.3">
      <c r="H8312" t="str">
        <f t="shared" si="179"/>
        <v/>
      </c>
    </row>
    <row r="8313" spans="8:8" x14ac:dyDescent="0.3">
      <c r="H8313" t="str">
        <f t="shared" si="179"/>
        <v/>
      </c>
    </row>
    <row r="8314" spans="8:8" x14ac:dyDescent="0.3">
      <c r="H8314" t="str">
        <f t="shared" si="179"/>
        <v/>
      </c>
    </row>
    <row r="8315" spans="8:8" x14ac:dyDescent="0.3">
      <c r="H8315" t="str">
        <f t="shared" si="179"/>
        <v/>
      </c>
    </row>
    <row r="8316" spans="8:8" x14ac:dyDescent="0.3">
      <c r="H8316" t="str">
        <f t="shared" si="179"/>
        <v/>
      </c>
    </row>
    <row r="8317" spans="8:8" x14ac:dyDescent="0.3">
      <c r="H8317" t="str">
        <f t="shared" si="179"/>
        <v/>
      </c>
    </row>
    <row r="8318" spans="8:8" x14ac:dyDescent="0.3">
      <c r="H8318" t="str">
        <f t="shared" si="179"/>
        <v/>
      </c>
    </row>
    <row r="8319" spans="8:8" x14ac:dyDescent="0.3">
      <c r="H8319" t="str">
        <f t="shared" si="179"/>
        <v/>
      </c>
    </row>
    <row r="8320" spans="8:8" x14ac:dyDescent="0.3">
      <c r="H8320" t="str">
        <f t="shared" si="179"/>
        <v/>
      </c>
    </row>
    <row r="8321" spans="8:8" x14ac:dyDescent="0.3">
      <c r="H8321" t="str">
        <f t="shared" si="179"/>
        <v/>
      </c>
    </row>
    <row r="8322" spans="8:8" x14ac:dyDescent="0.3">
      <c r="H8322" t="str">
        <f t="shared" si="179"/>
        <v/>
      </c>
    </row>
    <row r="8323" spans="8:8" x14ac:dyDescent="0.3">
      <c r="H8323" t="str">
        <f t="shared" si="179"/>
        <v/>
      </c>
    </row>
    <row r="8324" spans="8:8" x14ac:dyDescent="0.3">
      <c r="H8324" t="str">
        <f t="shared" si="179"/>
        <v/>
      </c>
    </row>
    <row r="8325" spans="8:8" x14ac:dyDescent="0.3">
      <c r="H8325" t="str">
        <f t="shared" si="179"/>
        <v/>
      </c>
    </row>
    <row r="8326" spans="8:8" x14ac:dyDescent="0.3">
      <c r="H8326" t="str">
        <f t="shared" si="179"/>
        <v/>
      </c>
    </row>
    <row r="8327" spans="8:8" x14ac:dyDescent="0.3">
      <c r="H8327" t="str">
        <f t="shared" si="179"/>
        <v/>
      </c>
    </row>
    <row r="8328" spans="8:8" x14ac:dyDescent="0.3">
      <c r="H8328" t="str">
        <f t="shared" si="179"/>
        <v/>
      </c>
    </row>
    <row r="8329" spans="8:8" x14ac:dyDescent="0.3">
      <c r="H8329" t="str">
        <f t="shared" si="179"/>
        <v/>
      </c>
    </row>
    <row r="8330" spans="8:8" x14ac:dyDescent="0.3">
      <c r="H8330" t="str">
        <f t="shared" si="179"/>
        <v/>
      </c>
    </row>
    <row r="8331" spans="8:8" x14ac:dyDescent="0.3">
      <c r="H8331" t="str">
        <f t="shared" si="179"/>
        <v/>
      </c>
    </row>
    <row r="8332" spans="8:8" x14ac:dyDescent="0.3">
      <c r="H8332" t="str">
        <f t="shared" si="179"/>
        <v/>
      </c>
    </row>
    <row r="8333" spans="8:8" x14ac:dyDescent="0.3">
      <c r="H8333" t="str">
        <f t="shared" si="179"/>
        <v/>
      </c>
    </row>
    <row r="8334" spans="8:8" x14ac:dyDescent="0.3">
      <c r="H8334" t="str">
        <f t="shared" si="179"/>
        <v/>
      </c>
    </row>
    <row r="8335" spans="8:8" x14ac:dyDescent="0.3">
      <c r="H8335" t="str">
        <f t="shared" si="179"/>
        <v/>
      </c>
    </row>
    <row r="8336" spans="8:8" x14ac:dyDescent="0.3">
      <c r="H8336" t="str">
        <f t="shared" si="179"/>
        <v/>
      </c>
    </row>
    <row r="8337" spans="8:8" x14ac:dyDescent="0.3">
      <c r="H8337" t="str">
        <f t="shared" si="179"/>
        <v/>
      </c>
    </row>
    <row r="8338" spans="8:8" x14ac:dyDescent="0.3">
      <c r="H8338" t="str">
        <f t="shared" si="179"/>
        <v/>
      </c>
    </row>
    <row r="8339" spans="8:8" x14ac:dyDescent="0.3">
      <c r="H8339" t="str">
        <f t="shared" si="179"/>
        <v/>
      </c>
    </row>
    <row r="8340" spans="8:8" x14ac:dyDescent="0.3">
      <c r="H8340" t="str">
        <f t="shared" si="179"/>
        <v/>
      </c>
    </row>
    <row r="8341" spans="8:8" x14ac:dyDescent="0.3">
      <c r="H8341" t="str">
        <f t="shared" si="179"/>
        <v/>
      </c>
    </row>
    <row r="8342" spans="8:8" x14ac:dyDescent="0.3">
      <c r="H8342" t="str">
        <f t="shared" si="179"/>
        <v/>
      </c>
    </row>
    <row r="8343" spans="8:8" x14ac:dyDescent="0.3">
      <c r="H8343" t="str">
        <f t="shared" ref="H8343:H8406" si="180">IF(B8343="","",$C$12)</f>
        <v/>
      </c>
    </row>
    <row r="8344" spans="8:8" x14ac:dyDescent="0.3">
      <c r="H8344" t="str">
        <f t="shared" si="180"/>
        <v/>
      </c>
    </row>
    <row r="8345" spans="8:8" x14ac:dyDescent="0.3">
      <c r="H8345" t="str">
        <f t="shared" si="180"/>
        <v/>
      </c>
    </row>
    <row r="8346" spans="8:8" x14ac:dyDescent="0.3">
      <c r="H8346" t="str">
        <f t="shared" si="180"/>
        <v/>
      </c>
    </row>
    <row r="8347" spans="8:8" x14ac:dyDescent="0.3">
      <c r="H8347" t="str">
        <f t="shared" si="180"/>
        <v/>
      </c>
    </row>
    <row r="8348" spans="8:8" x14ac:dyDescent="0.3">
      <c r="H8348" t="str">
        <f t="shared" si="180"/>
        <v/>
      </c>
    </row>
    <row r="8349" spans="8:8" x14ac:dyDescent="0.3">
      <c r="H8349" t="str">
        <f t="shared" si="180"/>
        <v/>
      </c>
    </row>
    <row r="8350" spans="8:8" x14ac:dyDescent="0.3">
      <c r="H8350" t="str">
        <f t="shared" si="180"/>
        <v/>
      </c>
    </row>
    <row r="8351" spans="8:8" x14ac:dyDescent="0.3">
      <c r="H8351" t="str">
        <f t="shared" si="180"/>
        <v/>
      </c>
    </row>
    <row r="8352" spans="8:8" x14ac:dyDescent="0.3">
      <c r="H8352" t="str">
        <f t="shared" si="180"/>
        <v/>
      </c>
    </row>
    <row r="8353" spans="8:8" x14ac:dyDescent="0.3">
      <c r="H8353" t="str">
        <f t="shared" si="180"/>
        <v/>
      </c>
    </row>
    <row r="8354" spans="8:8" x14ac:dyDescent="0.3">
      <c r="H8354" t="str">
        <f t="shared" si="180"/>
        <v/>
      </c>
    </row>
    <row r="8355" spans="8:8" x14ac:dyDescent="0.3">
      <c r="H8355" t="str">
        <f t="shared" si="180"/>
        <v/>
      </c>
    </row>
    <row r="8356" spans="8:8" x14ac:dyDescent="0.3">
      <c r="H8356" t="str">
        <f t="shared" si="180"/>
        <v/>
      </c>
    </row>
    <row r="8357" spans="8:8" x14ac:dyDescent="0.3">
      <c r="H8357" t="str">
        <f t="shared" si="180"/>
        <v/>
      </c>
    </row>
    <row r="8358" spans="8:8" x14ac:dyDescent="0.3">
      <c r="H8358" t="str">
        <f t="shared" si="180"/>
        <v/>
      </c>
    </row>
    <row r="8359" spans="8:8" x14ac:dyDescent="0.3">
      <c r="H8359" t="str">
        <f t="shared" si="180"/>
        <v/>
      </c>
    </row>
    <row r="8360" spans="8:8" x14ac:dyDescent="0.3">
      <c r="H8360" t="str">
        <f t="shared" si="180"/>
        <v/>
      </c>
    </row>
    <row r="8361" spans="8:8" x14ac:dyDescent="0.3">
      <c r="H8361" t="str">
        <f t="shared" si="180"/>
        <v/>
      </c>
    </row>
    <row r="8362" spans="8:8" x14ac:dyDescent="0.3">
      <c r="H8362" t="str">
        <f t="shared" si="180"/>
        <v/>
      </c>
    </row>
    <row r="8363" spans="8:8" x14ac:dyDescent="0.3">
      <c r="H8363" t="str">
        <f t="shared" si="180"/>
        <v/>
      </c>
    </row>
    <row r="8364" spans="8:8" x14ac:dyDescent="0.3">
      <c r="H8364" t="str">
        <f t="shared" si="180"/>
        <v/>
      </c>
    </row>
    <row r="8365" spans="8:8" x14ac:dyDescent="0.3">
      <c r="H8365" t="str">
        <f t="shared" si="180"/>
        <v/>
      </c>
    </row>
    <row r="8366" spans="8:8" x14ac:dyDescent="0.3">
      <c r="H8366" t="str">
        <f t="shared" si="180"/>
        <v/>
      </c>
    </row>
    <row r="8367" spans="8:8" x14ac:dyDescent="0.3">
      <c r="H8367" t="str">
        <f t="shared" si="180"/>
        <v/>
      </c>
    </row>
    <row r="8368" spans="8:8" x14ac:dyDescent="0.3">
      <c r="H8368" t="str">
        <f t="shared" si="180"/>
        <v/>
      </c>
    </row>
    <row r="8369" spans="8:8" x14ac:dyDescent="0.3">
      <c r="H8369" t="str">
        <f t="shared" si="180"/>
        <v/>
      </c>
    </row>
    <row r="8370" spans="8:8" x14ac:dyDescent="0.3">
      <c r="H8370" t="str">
        <f t="shared" si="180"/>
        <v/>
      </c>
    </row>
    <row r="8371" spans="8:8" x14ac:dyDescent="0.3">
      <c r="H8371" t="str">
        <f t="shared" si="180"/>
        <v/>
      </c>
    </row>
    <row r="8372" spans="8:8" x14ac:dyDescent="0.3">
      <c r="H8372" t="str">
        <f t="shared" si="180"/>
        <v/>
      </c>
    </row>
    <row r="8373" spans="8:8" x14ac:dyDescent="0.3">
      <c r="H8373" t="str">
        <f t="shared" si="180"/>
        <v/>
      </c>
    </row>
    <row r="8374" spans="8:8" x14ac:dyDescent="0.3">
      <c r="H8374" t="str">
        <f t="shared" si="180"/>
        <v/>
      </c>
    </row>
    <row r="8375" spans="8:8" x14ac:dyDescent="0.3">
      <c r="H8375" t="str">
        <f t="shared" si="180"/>
        <v/>
      </c>
    </row>
    <row r="8376" spans="8:8" x14ac:dyDescent="0.3">
      <c r="H8376" t="str">
        <f t="shared" si="180"/>
        <v/>
      </c>
    </row>
    <row r="8377" spans="8:8" x14ac:dyDescent="0.3">
      <c r="H8377" t="str">
        <f t="shared" si="180"/>
        <v/>
      </c>
    </row>
    <row r="8378" spans="8:8" x14ac:dyDescent="0.3">
      <c r="H8378" t="str">
        <f t="shared" si="180"/>
        <v/>
      </c>
    </row>
    <row r="8379" spans="8:8" x14ac:dyDescent="0.3">
      <c r="H8379" t="str">
        <f t="shared" si="180"/>
        <v/>
      </c>
    </row>
    <row r="8380" spans="8:8" x14ac:dyDescent="0.3">
      <c r="H8380" t="str">
        <f t="shared" si="180"/>
        <v/>
      </c>
    </row>
    <row r="8381" spans="8:8" x14ac:dyDescent="0.3">
      <c r="H8381" t="str">
        <f t="shared" si="180"/>
        <v/>
      </c>
    </row>
    <row r="8382" spans="8:8" x14ac:dyDescent="0.3">
      <c r="H8382" t="str">
        <f t="shared" si="180"/>
        <v/>
      </c>
    </row>
    <row r="8383" spans="8:8" x14ac:dyDescent="0.3">
      <c r="H8383" t="str">
        <f t="shared" si="180"/>
        <v/>
      </c>
    </row>
    <row r="8384" spans="8:8" x14ac:dyDescent="0.3">
      <c r="H8384" t="str">
        <f t="shared" si="180"/>
        <v/>
      </c>
    </row>
    <row r="8385" spans="8:8" x14ac:dyDescent="0.3">
      <c r="H8385" t="str">
        <f t="shared" si="180"/>
        <v/>
      </c>
    </row>
    <row r="8386" spans="8:8" x14ac:dyDescent="0.3">
      <c r="H8386" t="str">
        <f t="shared" si="180"/>
        <v/>
      </c>
    </row>
    <row r="8387" spans="8:8" x14ac:dyDescent="0.3">
      <c r="H8387" t="str">
        <f t="shared" si="180"/>
        <v/>
      </c>
    </row>
    <row r="8388" spans="8:8" x14ac:dyDescent="0.3">
      <c r="H8388" t="str">
        <f t="shared" si="180"/>
        <v/>
      </c>
    </row>
    <row r="8389" spans="8:8" x14ac:dyDescent="0.3">
      <c r="H8389" t="str">
        <f t="shared" si="180"/>
        <v/>
      </c>
    </row>
    <row r="8390" spans="8:8" x14ac:dyDescent="0.3">
      <c r="H8390" t="str">
        <f t="shared" si="180"/>
        <v/>
      </c>
    </row>
    <row r="8391" spans="8:8" x14ac:dyDescent="0.3">
      <c r="H8391" t="str">
        <f t="shared" si="180"/>
        <v/>
      </c>
    </row>
    <row r="8392" spans="8:8" x14ac:dyDescent="0.3">
      <c r="H8392" t="str">
        <f t="shared" si="180"/>
        <v/>
      </c>
    </row>
    <row r="8393" spans="8:8" x14ac:dyDescent="0.3">
      <c r="H8393" t="str">
        <f t="shared" si="180"/>
        <v/>
      </c>
    </row>
    <row r="8394" spans="8:8" x14ac:dyDescent="0.3">
      <c r="H8394" t="str">
        <f t="shared" si="180"/>
        <v/>
      </c>
    </row>
    <row r="8395" spans="8:8" x14ac:dyDescent="0.3">
      <c r="H8395" t="str">
        <f t="shared" si="180"/>
        <v/>
      </c>
    </row>
    <row r="8396" spans="8:8" x14ac:dyDescent="0.3">
      <c r="H8396" t="str">
        <f t="shared" si="180"/>
        <v/>
      </c>
    </row>
    <row r="8397" spans="8:8" x14ac:dyDescent="0.3">
      <c r="H8397" t="str">
        <f t="shared" si="180"/>
        <v/>
      </c>
    </row>
    <row r="8398" spans="8:8" x14ac:dyDescent="0.3">
      <c r="H8398" t="str">
        <f t="shared" si="180"/>
        <v/>
      </c>
    </row>
    <row r="8399" spans="8:8" x14ac:dyDescent="0.3">
      <c r="H8399" t="str">
        <f t="shared" si="180"/>
        <v/>
      </c>
    </row>
    <row r="8400" spans="8:8" x14ac:dyDescent="0.3">
      <c r="H8400" t="str">
        <f t="shared" si="180"/>
        <v/>
      </c>
    </row>
    <row r="8401" spans="8:8" x14ac:dyDescent="0.3">
      <c r="H8401" t="str">
        <f t="shared" si="180"/>
        <v/>
      </c>
    </row>
    <row r="8402" spans="8:8" x14ac:dyDescent="0.3">
      <c r="H8402" t="str">
        <f t="shared" si="180"/>
        <v/>
      </c>
    </row>
    <row r="8403" spans="8:8" x14ac:dyDescent="0.3">
      <c r="H8403" t="str">
        <f t="shared" si="180"/>
        <v/>
      </c>
    </row>
    <row r="8404" spans="8:8" x14ac:dyDescent="0.3">
      <c r="H8404" t="str">
        <f t="shared" si="180"/>
        <v/>
      </c>
    </row>
    <row r="8405" spans="8:8" x14ac:dyDescent="0.3">
      <c r="H8405" t="str">
        <f t="shared" si="180"/>
        <v/>
      </c>
    </row>
    <row r="8406" spans="8:8" x14ac:dyDescent="0.3">
      <c r="H8406" t="str">
        <f t="shared" si="180"/>
        <v/>
      </c>
    </row>
    <row r="8407" spans="8:8" x14ac:dyDescent="0.3">
      <c r="H8407" t="str">
        <f t="shared" ref="H8407:H8470" si="181">IF(B8407="","",$C$12)</f>
        <v/>
      </c>
    </row>
    <row r="8408" spans="8:8" x14ac:dyDescent="0.3">
      <c r="H8408" t="str">
        <f t="shared" si="181"/>
        <v/>
      </c>
    </row>
    <row r="8409" spans="8:8" x14ac:dyDescent="0.3">
      <c r="H8409" t="str">
        <f t="shared" si="181"/>
        <v/>
      </c>
    </row>
    <row r="8410" spans="8:8" x14ac:dyDescent="0.3">
      <c r="H8410" t="str">
        <f t="shared" si="181"/>
        <v/>
      </c>
    </row>
    <row r="8411" spans="8:8" x14ac:dyDescent="0.3">
      <c r="H8411" t="str">
        <f t="shared" si="181"/>
        <v/>
      </c>
    </row>
    <row r="8412" spans="8:8" x14ac:dyDescent="0.3">
      <c r="H8412" t="str">
        <f t="shared" si="181"/>
        <v/>
      </c>
    </row>
    <row r="8413" spans="8:8" x14ac:dyDescent="0.3">
      <c r="H8413" t="str">
        <f t="shared" si="181"/>
        <v/>
      </c>
    </row>
    <row r="8414" spans="8:8" x14ac:dyDescent="0.3">
      <c r="H8414" t="str">
        <f t="shared" si="181"/>
        <v/>
      </c>
    </row>
    <row r="8415" spans="8:8" x14ac:dyDescent="0.3">
      <c r="H8415" t="str">
        <f t="shared" si="181"/>
        <v/>
      </c>
    </row>
    <row r="8416" spans="8:8" x14ac:dyDescent="0.3">
      <c r="H8416" t="str">
        <f t="shared" si="181"/>
        <v/>
      </c>
    </row>
    <row r="8417" spans="8:8" x14ac:dyDescent="0.3">
      <c r="H8417" t="str">
        <f t="shared" si="181"/>
        <v/>
      </c>
    </row>
    <row r="8418" spans="8:8" x14ac:dyDescent="0.3">
      <c r="H8418" t="str">
        <f t="shared" si="181"/>
        <v/>
      </c>
    </row>
    <row r="8419" spans="8:8" x14ac:dyDescent="0.3">
      <c r="H8419" t="str">
        <f t="shared" si="181"/>
        <v/>
      </c>
    </row>
    <row r="8420" spans="8:8" x14ac:dyDescent="0.3">
      <c r="H8420" t="str">
        <f t="shared" si="181"/>
        <v/>
      </c>
    </row>
    <row r="8421" spans="8:8" x14ac:dyDescent="0.3">
      <c r="H8421" t="str">
        <f t="shared" si="181"/>
        <v/>
      </c>
    </row>
    <row r="8422" spans="8:8" x14ac:dyDescent="0.3">
      <c r="H8422" t="str">
        <f t="shared" si="181"/>
        <v/>
      </c>
    </row>
    <row r="8423" spans="8:8" x14ac:dyDescent="0.3">
      <c r="H8423" t="str">
        <f t="shared" si="181"/>
        <v/>
      </c>
    </row>
    <row r="8424" spans="8:8" x14ac:dyDescent="0.3">
      <c r="H8424" t="str">
        <f t="shared" si="181"/>
        <v/>
      </c>
    </row>
    <row r="8425" spans="8:8" x14ac:dyDescent="0.3">
      <c r="H8425" t="str">
        <f t="shared" si="181"/>
        <v/>
      </c>
    </row>
    <row r="8426" spans="8:8" x14ac:dyDescent="0.3">
      <c r="H8426" t="str">
        <f t="shared" si="181"/>
        <v/>
      </c>
    </row>
    <row r="8427" spans="8:8" x14ac:dyDescent="0.3">
      <c r="H8427" t="str">
        <f t="shared" si="181"/>
        <v/>
      </c>
    </row>
    <row r="8428" spans="8:8" x14ac:dyDescent="0.3">
      <c r="H8428" t="str">
        <f t="shared" si="181"/>
        <v/>
      </c>
    </row>
    <row r="8429" spans="8:8" x14ac:dyDescent="0.3">
      <c r="H8429" t="str">
        <f t="shared" si="181"/>
        <v/>
      </c>
    </row>
    <row r="8430" spans="8:8" x14ac:dyDescent="0.3">
      <c r="H8430" t="str">
        <f t="shared" si="181"/>
        <v/>
      </c>
    </row>
    <row r="8431" spans="8:8" x14ac:dyDescent="0.3">
      <c r="H8431" t="str">
        <f t="shared" si="181"/>
        <v/>
      </c>
    </row>
    <row r="8432" spans="8:8" x14ac:dyDescent="0.3">
      <c r="H8432" t="str">
        <f t="shared" si="181"/>
        <v/>
      </c>
    </row>
    <row r="8433" spans="8:8" x14ac:dyDescent="0.3">
      <c r="H8433" t="str">
        <f t="shared" si="181"/>
        <v/>
      </c>
    </row>
    <row r="8434" spans="8:8" x14ac:dyDescent="0.3">
      <c r="H8434" t="str">
        <f t="shared" si="181"/>
        <v/>
      </c>
    </row>
    <row r="8435" spans="8:8" x14ac:dyDescent="0.3">
      <c r="H8435" t="str">
        <f t="shared" si="181"/>
        <v/>
      </c>
    </row>
    <row r="8436" spans="8:8" x14ac:dyDescent="0.3">
      <c r="H8436" t="str">
        <f t="shared" si="181"/>
        <v/>
      </c>
    </row>
    <row r="8437" spans="8:8" x14ac:dyDescent="0.3">
      <c r="H8437" t="str">
        <f t="shared" si="181"/>
        <v/>
      </c>
    </row>
    <row r="8438" spans="8:8" x14ac:dyDescent="0.3">
      <c r="H8438" t="str">
        <f t="shared" si="181"/>
        <v/>
      </c>
    </row>
    <row r="8439" spans="8:8" x14ac:dyDescent="0.3">
      <c r="H8439" t="str">
        <f t="shared" si="181"/>
        <v/>
      </c>
    </row>
    <row r="8440" spans="8:8" x14ac:dyDescent="0.3">
      <c r="H8440" t="str">
        <f t="shared" si="181"/>
        <v/>
      </c>
    </row>
    <row r="8441" spans="8:8" x14ac:dyDescent="0.3">
      <c r="H8441" t="str">
        <f t="shared" si="181"/>
        <v/>
      </c>
    </row>
    <row r="8442" spans="8:8" x14ac:dyDescent="0.3">
      <c r="H8442" t="str">
        <f t="shared" si="181"/>
        <v/>
      </c>
    </row>
    <row r="8443" spans="8:8" x14ac:dyDescent="0.3">
      <c r="H8443" t="str">
        <f t="shared" si="181"/>
        <v/>
      </c>
    </row>
    <row r="8444" spans="8:8" x14ac:dyDescent="0.3">
      <c r="H8444" t="str">
        <f t="shared" si="181"/>
        <v/>
      </c>
    </row>
    <row r="8445" spans="8:8" x14ac:dyDescent="0.3">
      <c r="H8445" t="str">
        <f t="shared" si="181"/>
        <v/>
      </c>
    </row>
    <row r="8446" spans="8:8" x14ac:dyDescent="0.3">
      <c r="H8446" t="str">
        <f t="shared" si="181"/>
        <v/>
      </c>
    </row>
    <row r="8447" spans="8:8" x14ac:dyDescent="0.3">
      <c r="H8447" t="str">
        <f t="shared" si="181"/>
        <v/>
      </c>
    </row>
    <row r="8448" spans="8:8" x14ac:dyDescent="0.3">
      <c r="H8448" t="str">
        <f t="shared" si="181"/>
        <v/>
      </c>
    </row>
    <row r="8449" spans="8:8" x14ac:dyDescent="0.3">
      <c r="H8449" t="str">
        <f t="shared" si="181"/>
        <v/>
      </c>
    </row>
    <row r="8450" spans="8:8" x14ac:dyDescent="0.3">
      <c r="H8450" t="str">
        <f t="shared" si="181"/>
        <v/>
      </c>
    </row>
    <row r="8451" spans="8:8" x14ac:dyDescent="0.3">
      <c r="H8451" t="str">
        <f t="shared" si="181"/>
        <v/>
      </c>
    </row>
    <row r="8452" spans="8:8" x14ac:dyDescent="0.3">
      <c r="H8452" t="str">
        <f t="shared" si="181"/>
        <v/>
      </c>
    </row>
    <row r="8453" spans="8:8" x14ac:dyDescent="0.3">
      <c r="H8453" t="str">
        <f t="shared" si="181"/>
        <v/>
      </c>
    </row>
    <row r="8454" spans="8:8" x14ac:dyDescent="0.3">
      <c r="H8454" t="str">
        <f t="shared" si="181"/>
        <v/>
      </c>
    </row>
    <row r="8455" spans="8:8" x14ac:dyDescent="0.3">
      <c r="H8455" t="str">
        <f t="shared" si="181"/>
        <v/>
      </c>
    </row>
    <row r="8456" spans="8:8" x14ac:dyDescent="0.3">
      <c r="H8456" t="str">
        <f t="shared" si="181"/>
        <v/>
      </c>
    </row>
    <row r="8457" spans="8:8" x14ac:dyDescent="0.3">
      <c r="H8457" t="str">
        <f t="shared" si="181"/>
        <v/>
      </c>
    </row>
    <row r="8458" spans="8:8" x14ac:dyDescent="0.3">
      <c r="H8458" t="str">
        <f t="shared" si="181"/>
        <v/>
      </c>
    </row>
    <row r="8459" spans="8:8" x14ac:dyDescent="0.3">
      <c r="H8459" t="str">
        <f t="shared" si="181"/>
        <v/>
      </c>
    </row>
    <row r="8460" spans="8:8" x14ac:dyDescent="0.3">
      <c r="H8460" t="str">
        <f t="shared" si="181"/>
        <v/>
      </c>
    </row>
    <row r="8461" spans="8:8" x14ac:dyDescent="0.3">
      <c r="H8461" t="str">
        <f t="shared" si="181"/>
        <v/>
      </c>
    </row>
    <row r="8462" spans="8:8" x14ac:dyDescent="0.3">
      <c r="H8462" t="str">
        <f t="shared" si="181"/>
        <v/>
      </c>
    </row>
    <row r="8463" spans="8:8" x14ac:dyDescent="0.3">
      <c r="H8463" t="str">
        <f t="shared" si="181"/>
        <v/>
      </c>
    </row>
    <row r="8464" spans="8:8" x14ac:dyDescent="0.3">
      <c r="H8464" t="str">
        <f t="shared" si="181"/>
        <v/>
      </c>
    </row>
    <row r="8465" spans="8:8" x14ac:dyDescent="0.3">
      <c r="H8465" t="str">
        <f t="shared" si="181"/>
        <v/>
      </c>
    </row>
    <row r="8466" spans="8:8" x14ac:dyDescent="0.3">
      <c r="H8466" t="str">
        <f t="shared" si="181"/>
        <v/>
      </c>
    </row>
    <row r="8467" spans="8:8" x14ac:dyDescent="0.3">
      <c r="H8467" t="str">
        <f t="shared" si="181"/>
        <v/>
      </c>
    </row>
    <row r="8468" spans="8:8" x14ac:dyDescent="0.3">
      <c r="H8468" t="str">
        <f t="shared" si="181"/>
        <v/>
      </c>
    </row>
    <row r="8469" spans="8:8" x14ac:dyDescent="0.3">
      <c r="H8469" t="str">
        <f t="shared" si="181"/>
        <v/>
      </c>
    </row>
    <row r="8470" spans="8:8" x14ac:dyDescent="0.3">
      <c r="H8470" t="str">
        <f t="shared" si="181"/>
        <v/>
      </c>
    </row>
    <row r="8471" spans="8:8" x14ac:dyDescent="0.3">
      <c r="H8471" t="str">
        <f t="shared" ref="H8471:H8534" si="182">IF(B8471="","",$C$12)</f>
        <v/>
      </c>
    </row>
    <row r="8472" spans="8:8" x14ac:dyDescent="0.3">
      <c r="H8472" t="str">
        <f t="shared" si="182"/>
        <v/>
      </c>
    </row>
    <row r="8473" spans="8:8" x14ac:dyDescent="0.3">
      <c r="H8473" t="str">
        <f t="shared" si="182"/>
        <v/>
      </c>
    </row>
    <row r="8474" spans="8:8" x14ac:dyDescent="0.3">
      <c r="H8474" t="str">
        <f t="shared" si="182"/>
        <v/>
      </c>
    </row>
    <row r="8475" spans="8:8" x14ac:dyDescent="0.3">
      <c r="H8475" t="str">
        <f t="shared" si="182"/>
        <v/>
      </c>
    </row>
    <row r="8476" spans="8:8" x14ac:dyDescent="0.3">
      <c r="H8476" t="str">
        <f t="shared" si="182"/>
        <v/>
      </c>
    </row>
    <row r="8477" spans="8:8" x14ac:dyDescent="0.3">
      <c r="H8477" t="str">
        <f t="shared" si="182"/>
        <v/>
      </c>
    </row>
    <row r="8478" spans="8:8" x14ac:dyDescent="0.3">
      <c r="H8478" t="str">
        <f t="shared" si="182"/>
        <v/>
      </c>
    </row>
    <row r="8479" spans="8:8" x14ac:dyDescent="0.3">
      <c r="H8479" t="str">
        <f t="shared" si="182"/>
        <v/>
      </c>
    </row>
    <row r="8480" spans="8:8" x14ac:dyDescent="0.3">
      <c r="H8480" t="str">
        <f t="shared" si="182"/>
        <v/>
      </c>
    </row>
    <row r="8481" spans="8:8" x14ac:dyDescent="0.3">
      <c r="H8481" t="str">
        <f t="shared" si="182"/>
        <v/>
      </c>
    </row>
    <row r="8482" spans="8:8" x14ac:dyDescent="0.3">
      <c r="H8482" t="str">
        <f t="shared" si="182"/>
        <v/>
      </c>
    </row>
    <row r="8483" spans="8:8" x14ac:dyDescent="0.3">
      <c r="H8483" t="str">
        <f t="shared" si="182"/>
        <v/>
      </c>
    </row>
    <row r="8484" spans="8:8" x14ac:dyDescent="0.3">
      <c r="H8484" t="str">
        <f t="shared" si="182"/>
        <v/>
      </c>
    </row>
    <row r="8485" spans="8:8" x14ac:dyDescent="0.3">
      <c r="H8485" t="str">
        <f t="shared" si="182"/>
        <v/>
      </c>
    </row>
    <row r="8486" spans="8:8" x14ac:dyDescent="0.3">
      <c r="H8486" t="str">
        <f t="shared" si="182"/>
        <v/>
      </c>
    </row>
    <row r="8487" spans="8:8" x14ac:dyDescent="0.3">
      <c r="H8487" t="str">
        <f t="shared" si="182"/>
        <v/>
      </c>
    </row>
    <row r="8488" spans="8:8" x14ac:dyDescent="0.3">
      <c r="H8488" t="str">
        <f t="shared" si="182"/>
        <v/>
      </c>
    </row>
    <row r="8489" spans="8:8" x14ac:dyDescent="0.3">
      <c r="H8489" t="str">
        <f t="shared" si="182"/>
        <v/>
      </c>
    </row>
    <row r="8490" spans="8:8" x14ac:dyDescent="0.3">
      <c r="H8490" t="str">
        <f t="shared" si="182"/>
        <v/>
      </c>
    </row>
    <row r="8491" spans="8:8" x14ac:dyDescent="0.3">
      <c r="H8491" t="str">
        <f t="shared" si="182"/>
        <v/>
      </c>
    </row>
    <row r="8492" spans="8:8" x14ac:dyDescent="0.3">
      <c r="H8492" t="str">
        <f t="shared" si="182"/>
        <v/>
      </c>
    </row>
    <row r="8493" spans="8:8" x14ac:dyDescent="0.3">
      <c r="H8493" t="str">
        <f t="shared" si="182"/>
        <v/>
      </c>
    </row>
    <row r="8494" spans="8:8" x14ac:dyDescent="0.3">
      <c r="H8494" t="str">
        <f t="shared" si="182"/>
        <v/>
      </c>
    </row>
    <row r="8495" spans="8:8" x14ac:dyDescent="0.3">
      <c r="H8495" t="str">
        <f t="shared" si="182"/>
        <v/>
      </c>
    </row>
    <row r="8496" spans="8:8" x14ac:dyDescent="0.3">
      <c r="H8496" t="str">
        <f t="shared" si="182"/>
        <v/>
      </c>
    </row>
    <row r="8497" spans="8:8" x14ac:dyDescent="0.3">
      <c r="H8497" t="str">
        <f t="shared" si="182"/>
        <v/>
      </c>
    </row>
    <row r="8498" spans="8:8" x14ac:dyDescent="0.3">
      <c r="H8498" t="str">
        <f t="shared" si="182"/>
        <v/>
      </c>
    </row>
    <row r="8499" spans="8:8" x14ac:dyDescent="0.3">
      <c r="H8499" t="str">
        <f t="shared" si="182"/>
        <v/>
      </c>
    </row>
    <row r="8500" spans="8:8" x14ac:dyDescent="0.3">
      <c r="H8500" t="str">
        <f t="shared" si="182"/>
        <v/>
      </c>
    </row>
    <row r="8501" spans="8:8" x14ac:dyDescent="0.3">
      <c r="H8501" t="str">
        <f t="shared" si="182"/>
        <v/>
      </c>
    </row>
    <row r="8502" spans="8:8" x14ac:dyDescent="0.3">
      <c r="H8502" t="str">
        <f t="shared" si="182"/>
        <v/>
      </c>
    </row>
    <row r="8503" spans="8:8" x14ac:dyDescent="0.3">
      <c r="H8503" t="str">
        <f t="shared" si="182"/>
        <v/>
      </c>
    </row>
    <row r="8504" spans="8:8" x14ac:dyDescent="0.3">
      <c r="H8504" t="str">
        <f t="shared" si="182"/>
        <v/>
      </c>
    </row>
    <row r="8505" spans="8:8" x14ac:dyDescent="0.3">
      <c r="H8505" t="str">
        <f t="shared" si="182"/>
        <v/>
      </c>
    </row>
    <row r="8506" spans="8:8" x14ac:dyDescent="0.3">
      <c r="H8506" t="str">
        <f t="shared" si="182"/>
        <v/>
      </c>
    </row>
    <row r="8507" spans="8:8" x14ac:dyDescent="0.3">
      <c r="H8507" t="str">
        <f t="shared" si="182"/>
        <v/>
      </c>
    </row>
    <row r="8508" spans="8:8" x14ac:dyDescent="0.3">
      <c r="H8508" t="str">
        <f t="shared" si="182"/>
        <v/>
      </c>
    </row>
    <row r="8509" spans="8:8" x14ac:dyDescent="0.3">
      <c r="H8509" t="str">
        <f t="shared" si="182"/>
        <v/>
      </c>
    </row>
    <row r="8510" spans="8:8" x14ac:dyDescent="0.3">
      <c r="H8510" t="str">
        <f t="shared" si="182"/>
        <v/>
      </c>
    </row>
    <row r="8511" spans="8:8" x14ac:dyDescent="0.3">
      <c r="H8511" t="str">
        <f t="shared" si="182"/>
        <v/>
      </c>
    </row>
    <row r="8512" spans="8:8" x14ac:dyDescent="0.3">
      <c r="H8512" t="str">
        <f t="shared" si="182"/>
        <v/>
      </c>
    </row>
    <row r="8513" spans="8:8" x14ac:dyDescent="0.3">
      <c r="H8513" t="str">
        <f t="shared" si="182"/>
        <v/>
      </c>
    </row>
    <row r="8514" spans="8:8" x14ac:dyDescent="0.3">
      <c r="H8514" t="str">
        <f t="shared" si="182"/>
        <v/>
      </c>
    </row>
    <row r="8515" spans="8:8" x14ac:dyDescent="0.3">
      <c r="H8515" t="str">
        <f t="shared" si="182"/>
        <v/>
      </c>
    </row>
    <row r="8516" spans="8:8" x14ac:dyDescent="0.3">
      <c r="H8516" t="str">
        <f t="shared" si="182"/>
        <v/>
      </c>
    </row>
    <row r="8517" spans="8:8" x14ac:dyDescent="0.3">
      <c r="H8517" t="str">
        <f t="shared" si="182"/>
        <v/>
      </c>
    </row>
    <row r="8518" spans="8:8" x14ac:dyDescent="0.3">
      <c r="H8518" t="str">
        <f t="shared" si="182"/>
        <v/>
      </c>
    </row>
    <row r="8519" spans="8:8" x14ac:dyDescent="0.3">
      <c r="H8519" t="str">
        <f t="shared" si="182"/>
        <v/>
      </c>
    </row>
    <row r="8520" spans="8:8" x14ac:dyDescent="0.3">
      <c r="H8520" t="str">
        <f t="shared" si="182"/>
        <v/>
      </c>
    </row>
    <row r="8521" spans="8:8" x14ac:dyDescent="0.3">
      <c r="H8521" t="str">
        <f t="shared" si="182"/>
        <v/>
      </c>
    </row>
    <row r="8522" spans="8:8" x14ac:dyDescent="0.3">
      <c r="H8522" t="str">
        <f t="shared" si="182"/>
        <v/>
      </c>
    </row>
    <row r="8523" spans="8:8" x14ac:dyDescent="0.3">
      <c r="H8523" t="str">
        <f t="shared" si="182"/>
        <v/>
      </c>
    </row>
    <row r="8524" spans="8:8" x14ac:dyDescent="0.3">
      <c r="H8524" t="str">
        <f t="shared" si="182"/>
        <v/>
      </c>
    </row>
    <row r="8525" spans="8:8" x14ac:dyDescent="0.3">
      <c r="H8525" t="str">
        <f t="shared" si="182"/>
        <v/>
      </c>
    </row>
    <row r="8526" spans="8:8" x14ac:dyDescent="0.3">
      <c r="H8526" t="str">
        <f t="shared" si="182"/>
        <v/>
      </c>
    </row>
    <row r="8527" spans="8:8" x14ac:dyDescent="0.3">
      <c r="H8527" t="str">
        <f t="shared" si="182"/>
        <v/>
      </c>
    </row>
    <row r="8528" spans="8:8" x14ac:dyDescent="0.3">
      <c r="H8528" t="str">
        <f t="shared" si="182"/>
        <v/>
      </c>
    </row>
    <row r="8529" spans="8:8" x14ac:dyDescent="0.3">
      <c r="H8529" t="str">
        <f t="shared" si="182"/>
        <v/>
      </c>
    </row>
    <row r="8530" spans="8:8" x14ac:dyDescent="0.3">
      <c r="H8530" t="str">
        <f t="shared" si="182"/>
        <v/>
      </c>
    </row>
    <row r="8531" spans="8:8" x14ac:dyDescent="0.3">
      <c r="H8531" t="str">
        <f t="shared" si="182"/>
        <v/>
      </c>
    </row>
    <row r="8532" spans="8:8" x14ac:dyDescent="0.3">
      <c r="H8532" t="str">
        <f t="shared" si="182"/>
        <v/>
      </c>
    </row>
    <row r="8533" spans="8:8" x14ac:dyDescent="0.3">
      <c r="H8533" t="str">
        <f t="shared" si="182"/>
        <v/>
      </c>
    </row>
    <row r="8534" spans="8:8" x14ac:dyDescent="0.3">
      <c r="H8534" t="str">
        <f t="shared" si="182"/>
        <v/>
      </c>
    </row>
    <row r="8535" spans="8:8" x14ac:dyDescent="0.3">
      <c r="H8535" t="str">
        <f t="shared" ref="H8535:H8598" si="183">IF(B8535="","",$C$12)</f>
        <v/>
      </c>
    </row>
    <row r="8536" spans="8:8" x14ac:dyDescent="0.3">
      <c r="H8536" t="str">
        <f t="shared" si="183"/>
        <v/>
      </c>
    </row>
    <row r="8537" spans="8:8" x14ac:dyDescent="0.3">
      <c r="H8537" t="str">
        <f t="shared" si="183"/>
        <v/>
      </c>
    </row>
    <row r="8538" spans="8:8" x14ac:dyDescent="0.3">
      <c r="H8538" t="str">
        <f t="shared" si="183"/>
        <v/>
      </c>
    </row>
    <row r="8539" spans="8:8" x14ac:dyDescent="0.3">
      <c r="H8539" t="str">
        <f t="shared" si="183"/>
        <v/>
      </c>
    </row>
    <row r="8540" spans="8:8" x14ac:dyDescent="0.3">
      <c r="H8540" t="str">
        <f t="shared" si="183"/>
        <v/>
      </c>
    </row>
    <row r="8541" spans="8:8" x14ac:dyDescent="0.3">
      <c r="H8541" t="str">
        <f t="shared" si="183"/>
        <v/>
      </c>
    </row>
    <row r="8542" spans="8:8" x14ac:dyDescent="0.3">
      <c r="H8542" t="str">
        <f t="shared" si="183"/>
        <v/>
      </c>
    </row>
    <row r="8543" spans="8:8" x14ac:dyDescent="0.3">
      <c r="H8543" t="str">
        <f t="shared" si="183"/>
        <v/>
      </c>
    </row>
    <row r="8544" spans="8:8" x14ac:dyDescent="0.3">
      <c r="H8544" t="str">
        <f t="shared" si="183"/>
        <v/>
      </c>
    </row>
    <row r="8545" spans="8:8" x14ac:dyDescent="0.3">
      <c r="H8545" t="str">
        <f t="shared" si="183"/>
        <v/>
      </c>
    </row>
    <row r="8546" spans="8:8" x14ac:dyDescent="0.3">
      <c r="H8546" t="str">
        <f t="shared" si="183"/>
        <v/>
      </c>
    </row>
    <row r="8547" spans="8:8" x14ac:dyDescent="0.3">
      <c r="H8547" t="str">
        <f t="shared" si="183"/>
        <v/>
      </c>
    </row>
    <row r="8548" spans="8:8" x14ac:dyDescent="0.3">
      <c r="H8548" t="str">
        <f t="shared" si="183"/>
        <v/>
      </c>
    </row>
    <row r="8549" spans="8:8" x14ac:dyDescent="0.3">
      <c r="H8549" t="str">
        <f t="shared" si="183"/>
        <v/>
      </c>
    </row>
    <row r="8550" spans="8:8" x14ac:dyDescent="0.3">
      <c r="H8550" t="str">
        <f t="shared" si="183"/>
        <v/>
      </c>
    </row>
    <row r="8551" spans="8:8" x14ac:dyDescent="0.3">
      <c r="H8551" t="str">
        <f t="shared" si="183"/>
        <v/>
      </c>
    </row>
    <row r="8552" spans="8:8" x14ac:dyDescent="0.3">
      <c r="H8552" t="str">
        <f t="shared" si="183"/>
        <v/>
      </c>
    </row>
    <row r="8553" spans="8:8" x14ac:dyDescent="0.3">
      <c r="H8553" t="str">
        <f t="shared" si="183"/>
        <v/>
      </c>
    </row>
    <row r="8554" spans="8:8" x14ac:dyDescent="0.3">
      <c r="H8554" t="str">
        <f t="shared" si="183"/>
        <v/>
      </c>
    </row>
    <row r="8555" spans="8:8" x14ac:dyDescent="0.3">
      <c r="H8555" t="str">
        <f t="shared" si="183"/>
        <v/>
      </c>
    </row>
    <row r="8556" spans="8:8" x14ac:dyDescent="0.3">
      <c r="H8556" t="str">
        <f t="shared" si="183"/>
        <v/>
      </c>
    </row>
    <row r="8557" spans="8:8" x14ac:dyDescent="0.3">
      <c r="H8557" t="str">
        <f t="shared" si="183"/>
        <v/>
      </c>
    </row>
    <row r="8558" spans="8:8" x14ac:dyDescent="0.3">
      <c r="H8558" t="str">
        <f t="shared" si="183"/>
        <v/>
      </c>
    </row>
    <row r="8559" spans="8:8" x14ac:dyDescent="0.3">
      <c r="H8559" t="str">
        <f t="shared" si="183"/>
        <v/>
      </c>
    </row>
    <row r="8560" spans="8:8" x14ac:dyDescent="0.3">
      <c r="H8560" t="str">
        <f t="shared" si="183"/>
        <v/>
      </c>
    </row>
    <row r="8561" spans="8:8" x14ac:dyDescent="0.3">
      <c r="H8561" t="str">
        <f t="shared" si="183"/>
        <v/>
      </c>
    </row>
    <row r="8562" spans="8:8" x14ac:dyDescent="0.3">
      <c r="H8562" t="str">
        <f t="shared" si="183"/>
        <v/>
      </c>
    </row>
    <row r="8563" spans="8:8" x14ac:dyDescent="0.3">
      <c r="H8563" t="str">
        <f t="shared" si="183"/>
        <v/>
      </c>
    </row>
    <row r="8564" spans="8:8" x14ac:dyDescent="0.3">
      <c r="H8564" t="str">
        <f t="shared" si="183"/>
        <v/>
      </c>
    </row>
    <row r="8565" spans="8:8" x14ac:dyDescent="0.3">
      <c r="H8565" t="str">
        <f t="shared" si="183"/>
        <v/>
      </c>
    </row>
    <row r="8566" spans="8:8" x14ac:dyDescent="0.3">
      <c r="H8566" t="str">
        <f t="shared" si="183"/>
        <v/>
      </c>
    </row>
    <row r="8567" spans="8:8" x14ac:dyDescent="0.3">
      <c r="H8567" t="str">
        <f t="shared" si="183"/>
        <v/>
      </c>
    </row>
    <row r="8568" spans="8:8" x14ac:dyDescent="0.3">
      <c r="H8568" t="str">
        <f t="shared" si="183"/>
        <v/>
      </c>
    </row>
    <row r="8569" spans="8:8" x14ac:dyDescent="0.3">
      <c r="H8569" t="str">
        <f t="shared" si="183"/>
        <v/>
      </c>
    </row>
    <row r="8570" spans="8:8" x14ac:dyDescent="0.3">
      <c r="H8570" t="str">
        <f t="shared" si="183"/>
        <v/>
      </c>
    </row>
    <row r="8571" spans="8:8" x14ac:dyDescent="0.3">
      <c r="H8571" t="str">
        <f t="shared" si="183"/>
        <v/>
      </c>
    </row>
    <row r="8572" spans="8:8" x14ac:dyDescent="0.3">
      <c r="H8572" t="str">
        <f t="shared" si="183"/>
        <v/>
      </c>
    </row>
    <row r="8573" spans="8:8" x14ac:dyDescent="0.3">
      <c r="H8573" t="str">
        <f t="shared" si="183"/>
        <v/>
      </c>
    </row>
    <row r="8574" spans="8:8" x14ac:dyDescent="0.3">
      <c r="H8574" t="str">
        <f t="shared" si="183"/>
        <v/>
      </c>
    </row>
    <row r="8575" spans="8:8" x14ac:dyDescent="0.3">
      <c r="H8575" t="str">
        <f t="shared" si="183"/>
        <v/>
      </c>
    </row>
    <row r="8576" spans="8:8" x14ac:dyDescent="0.3">
      <c r="H8576" t="str">
        <f t="shared" si="183"/>
        <v/>
      </c>
    </row>
    <row r="8577" spans="8:8" x14ac:dyDescent="0.3">
      <c r="H8577" t="str">
        <f t="shared" si="183"/>
        <v/>
      </c>
    </row>
    <row r="8578" spans="8:8" x14ac:dyDescent="0.3">
      <c r="H8578" t="str">
        <f t="shared" si="183"/>
        <v/>
      </c>
    </row>
    <row r="8579" spans="8:8" x14ac:dyDescent="0.3">
      <c r="H8579" t="str">
        <f t="shared" si="183"/>
        <v/>
      </c>
    </row>
    <row r="8580" spans="8:8" x14ac:dyDescent="0.3">
      <c r="H8580" t="str">
        <f t="shared" si="183"/>
        <v/>
      </c>
    </row>
    <row r="8581" spans="8:8" x14ac:dyDescent="0.3">
      <c r="H8581" t="str">
        <f t="shared" si="183"/>
        <v/>
      </c>
    </row>
    <row r="8582" spans="8:8" x14ac:dyDescent="0.3">
      <c r="H8582" t="str">
        <f t="shared" si="183"/>
        <v/>
      </c>
    </row>
    <row r="8583" spans="8:8" x14ac:dyDescent="0.3">
      <c r="H8583" t="str">
        <f t="shared" si="183"/>
        <v/>
      </c>
    </row>
    <row r="8584" spans="8:8" x14ac:dyDescent="0.3">
      <c r="H8584" t="str">
        <f t="shared" si="183"/>
        <v/>
      </c>
    </row>
    <row r="8585" spans="8:8" x14ac:dyDescent="0.3">
      <c r="H8585" t="str">
        <f t="shared" si="183"/>
        <v/>
      </c>
    </row>
    <row r="8586" spans="8:8" x14ac:dyDescent="0.3">
      <c r="H8586" t="str">
        <f t="shared" si="183"/>
        <v/>
      </c>
    </row>
    <row r="8587" spans="8:8" x14ac:dyDescent="0.3">
      <c r="H8587" t="str">
        <f t="shared" si="183"/>
        <v/>
      </c>
    </row>
    <row r="8588" spans="8:8" x14ac:dyDescent="0.3">
      <c r="H8588" t="str">
        <f t="shared" si="183"/>
        <v/>
      </c>
    </row>
    <row r="8589" spans="8:8" x14ac:dyDescent="0.3">
      <c r="H8589" t="str">
        <f t="shared" si="183"/>
        <v/>
      </c>
    </row>
    <row r="8590" spans="8:8" x14ac:dyDescent="0.3">
      <c r="H8590" t="str">
        <f t="shared" si="183"/>
        <v/>
      </c>
    </row>
    <row r="8591" spans="8:8" x14ac:dyDescent="0.3">
      <c r="H8591" t="str">
        <f t="shared" si="183"/>
        <v/>
      </c>
    </row>
    <row r="8592" spans="8:8" x14ac:dyDescent="0.3">
      <c r="H8592" t="str">
        <f t="shared" si="183"/>
        <v/>
      </c>
    </row>
    <row r="8593" spans="8:8" x14ac:dyDescent="0.3">
      <c r="H8593" t="str">
        <f t="shared" si="183"/>
        <v/>
      </c>
    </row>
    <row r="8594" spans="8:8" x14ac:dyDescent="0.3">
      <c r="H8594" t="str">
        <f t="shared" si="183"/>
        <v/>
      </c>
    </row>
    <row r="8595" spans="8:8" x14ac:dyDescent="0.3">
      <c r="H8595" t="str">
        <f t="shared" si="183"/>
        <v/>
      </c>
    </row>
    <row r="8596" spans="8:8" x14ac:dyDescent="0.3">
      <c r="H8596" t="str">
        <f t="shared" si="183"/>
        <v/>
      </c>
    </row>
    <row r="8597" spans="8:8" x14ac:dyDescent="0.3">
      <c r="H8597" t="str">
        <f t="shared" si="183"/>
        <v/>
      </c>
    </row>
    <row r="8598" spans="8:8" x14ac:dyDescent="0.3">
      <c r="H8598" t="str">
        <f t="shared" si="183"/>
        <v/>
      </c>
    </row>
    <row r="8599" spans="8:8" x14ac:dyDescent="0.3">
      <c r="H8599" t="str">
        <f t="shared" ref="H8599:H8662" si="184">IF(B8599="","",$C$12)</f>
        <v/>
      </c>
    </row>
    <row r="8600" spans="8:8" x14ac:dyDescent="0.3">
      <c r="H8600" t="str">
        <f t="shared" si="184"/>
        <v/>
      </c>
    </row>
    <row r="8601" spans="8:8" x14ac:dyDescent="0.3">
      <c r="H8601" t="str">
        <f t="shared" si="184"/>
        <v/>
      </c>
    </row>
    <row r="8602" spans="8:8" x14ac:dyDescent="0.3">
      <c r="H8602" t="str">
        <f t="shared" si="184"/>
        <v/>
      </c>
    </row>
    <row r="8603" spans="8:8" x14ac:dyDescent="0.3">
      <c r="H8603" t="str">
        <f t="shared" si="184"/>
        <v/>
      </c>
    </row>
    <row r="8604" spans="8:8" x14ac:dyDescent="0.3">
      <c r="H8604" t="str">
        <f t="shared" si="184"/>
        <v/>
      </c>
    </row>
    <row r="8605" spans="8:8" x14ac:dyDescent="0.3">
      <c r="H8605" t="str">
        <f t="shared" si="184"/>
        <v/>
      </c>
    </row>
    <row r="8606" spans="8:8" x14ac:dyDescent="0.3">
      <c r="H8606" t="str">
        <f t="shared" si="184"/>
        <v/>
      </c>
    </row>
    <row r="8607" spans="8:8" x14ac:dyDescent="0.3">
      <c r="H8607" t="str">
        <f t="shared" si="184"/>
        <v/>
      </c>
    </row>
    <row r="8608" spans="8:8" x14ac:dyDescent="0.3">
      <c r="H8608" t="str">
        <f t="shared" si="184"/>
        <v/>
      </c>
    </row>
    <row r="8609" spans="8:8" x14ac:dyDescent="0.3">
      <c r="H8609" t="str">
        <f t="shared" si="184"/>
        <v/>
      </c>
    </row>
    <row r="8610" spans="8:8" x14ac:dyDescent="0.3">
      <c r="H8610" t="str">
        <f t="shared" si="184"/>
        <v/>
      </c>
    </row>
    <row r="8611" spans="8:8" x14ac:dyDescent="0.3">
      <c r="H8611" t="str">
        <f t="shared" si="184"/>
        <v/>
      </c>
    </row>
    <row r="8612" spans="8:8" x14ac:dyDescent="0.3">
      <c r="H8612" t="str">
        <f t="shared" si="184"/>
        <v/>
      </c>
    </row>
    <row r="8613" spans="8:8" x14ac:dyDescent="0.3">
      <c r="H8613" t="str">
        <f t="shared" si="184"/>
        <v/>
      </c>
    </row>
    <row r="8614" spans="8:8" x14ac:dyDescent="0.3">
      <c r="H8614" t="str">
        <f t="shared" si="184"/>
        <v/>
      </c>
    </row>
    <row r="8615" spans="8:8" x14ac:dyDescent="0.3">
      <c r="H8615" t="str">
        <f t="shared" si="184"/>
        <v/>
      </c>
    </row>
    <row r="8616" spans="8:8" x14ac:dyDescent="0.3">
      <c r="H8616" t="str">
        <f t="shared" si="184"/>
        <v/>
      </c>
    </row>
    <row r="8617" spans="8:8" x14ac:dyDescent="0.3">
      <c r="H8617" t="str">
        <f t="shared" si="184"/>
        <v/>
      </c>
    </row>
    <row r="8618" spans="8:8" x14ac:dyDescent="0.3">
      <c r="H8618" t="str">
        <f t="shared" si="184"/>
        <v/>
      </c>
    </row>
    <row r="8619" spans="8:8" x14ac:dyDescent="0.3">
      <c r="H8619" t="str">
        <f t="shared" si="184"/>
        <v/>
      </c>
    </row>
    <row r="8620" spans="8:8" x14ac:dyDescent="0.3">
      <c r="H8620" t="str">
        <f t="shared" si="184"/>
        <v/>
      </c>
    </row>
    <row r="8621" spans="8:8" x14ac:dyDescent="0.3">
      <c r="H8621" t="str">
        <f t="shared" si="184"/>
        <v/>
      </c>
    </row>
    <row r="8622" spans="8:8" x14ac:dyDescent="0.3">
      <c r="H8622" t="str">
        <f t="shared" si="184"/>
        <v/>
      </c>
    </row>
    <row r="8623" spans="8:8" x14ac:dyDescent="0.3">
      <c r="H8623" t="str">
        <f t="shared" si="184"/>
        <v/>
      </c>
    </row>
    <row r="8624" spans="8:8" x14ac:dyDescent="0.3">
      <c r="H8624" t="str">
        <f t="shared" si="184"/>
        <v/>
      </c>
    </row>
    <row r="8625" spans="8:8" x14ac:dyDescent="0.3">
      <c r="H8625" t="str">
        <f t="shared" si="184"/>
        <v/>
      </c>
    </row>
    <row r="8626" spans="8:8" x14ac:dyDescent="0.3">
      <c r="H8626" t="str">
        <f t="shared" si="184"/>
        <v/>
      </c>
    </row>
    <row r="8627" spans="8:8" x14ac:dyDescent="0.3">
      <c r="H8627" t="str">
        <f t="shared" si="184"/>
        <v/>
      </c>
    </row>
    <row r="8628" spans="8:8" x14ac:dyDescent="0.3">
      <c r="H8628" t="str">
        <f t="shared" si="184"/>
        <v/>
      </c>
    </row>
    <row r="8629" spans="8:8" x14ac:dyDescent="0.3">
      <c r="H8629" t="str">
        <f t="shared" si="184"/>
        <v/>
      </c>
    </row>
    <row r="8630" spans="8:8" x14ac:dyDescent="0.3">
      <c r="H8630" t="str">
        <f t="shared" si="184"/>
        <v/>
      </c>
    </row>
    <row r="8631" spans="8:8" x14ac:dyDescent="0.3">
      <c r="H8631" t="str">
        <f t="shared" si="184"/>
        <v/>
      </c>
    </row>
    <row r="8632" spans="8:8" x14ac:dyDescent="0.3">
      <c r="H8632" t="str">
        <f t="shared" si="184"/>
        <v/>
      </c>
    </row>
    <row r="8633" spans="8:8" x14ac:dyDescent="0.3">
      <c r="H8633" t="str">
        <f t="shared" si="184"/>
        <v/>
      </c>
    </row>
    <row r="8634" spans="8:8" x14ac:dyDescent="0.3">
      <c r="H8634" t="str">
        <f t="shared" si="184"/>
        <v/>
      </c>
    </row>
    <row r="8635" spans="8:8" x14ac:dyDescent="0.3">
      <c r="H8635" t="str">
        <f t="shared" si="184"/>
        <v/>
      </c>
    </row>
    <row r="8636" spans="8:8" x14ac:dyDescent="0.3">
      <c r="H8636" t="str">
        <f t="shared" si="184"/>
        <v/>
      </c>
    </row>
    <row r="8637" spans="8:8" x14ac:dyDescent="0.3">
      <c r="H8637" t="str">
        <f t="shared" si="184"/>
        <v/>
      </c>
    </row>
    <row r="8638" spans="8:8" x14ac:dyDescent="0.3">
      <c r="H8638" t="str">
        <f t="shared" si="184"/>
        <v/>
      </c>
    </row>
    <row r="8639" spans="8:8" x14ac:dyDescent="0.3">
      <c r="H8639" t="str">
        <f t="shared" si="184"/>
        <v/>
      </c>
    </row>
    <row r="8640" spans="8:8" x14ac:dyDescent="0.3">
      <c r="H8640" t="str">
        <f t="shared" si="184"/>
        <v/>
      </c>
    </row>
    <row r="8641" spans="8:8" x14ac:dyDescent="0.3">
      <c r="H8641" t="str">
        <f t="shared" si="184"/>
        <v/>
      </c>
    </row>
    <row r="8642" spans="8:8" x14ac:dyDescent="0.3">
      <c r="H8642" t="str">
        <f t="shared" si="184"/>
        <v/>
      </c>
    </row>
    <row r="8643" spans="8:8" x14ac:dyDescent="0.3">
      <c r="H8643" t="str">
        <f t="shared" si="184"/>
        <v/>
      </c>
    </row>
    <row r="8644" spans="8:8" x14ac:dyDescent="0.3">
      <c r="H8644" t="str">
        <f t="shared" si="184"/>
        <v/>
      </c>
    </row>
    <row r="8645" spans="8:8" x14ac:dyDescent="0.3">
      <c r="H8645" t="str">
        <f t="shared" si="184"/>
        <v/>
      </c>
    </row>
    <row r="8646" spans="8:8" x14ac:dyDescent="0.3">
      <c r="H8646" t="str">
        <f t="shared" si="184"/>
        <v/>
      </c>
    </row>
    <row r="8647" spans="8:8" x14ac:dyDescent="0.3">
      <c r="H8647" t="str">
        <f t="shared" si="184"/>
        <v/>
      </c>
    </row>
    <row r="8648" spans="8:8" x14ac:dyDescent="0.3">
      <c r="H8648" t="str">
        <f t="shared" si="184"/>
        <v/>
      </c>
    </row>
    <row r="8649" spans="8:8" x14ac:dyDescent="0.3">
      <c r="H8649" t="str">
        <f t="shared" si="184"/>
        <v/>
      </c>
    </row>
    <row r="8650" spans="8:8" x14ac:dyDescent="0.3">
      <c r="H8650" t="str">
        <f t="shared" si="184"/>
        <v/>
      </c>
    </row>
    <row r="8651" spans="8:8" x14ac:dyDescent="0.3">
      <c r="H8651" t="str">
        <f t="shared" si="184"/>
        <v/>
      </c>
    </row>
    <row r="8652" spans="8:8" x14ac:dyDescent="0.3">
      <c r="H8652" t="str">
        <f t="shared" si="184"/>
        <v/>
      </c>
    </row>
    <row r="8653" spans="8:8" x14ac:dyDescent="0.3">
      <c r="H8653" t="str">
        <f t="shared" si="184"/>
        <v/>
      </c>
    </row>
    <row r="8654" spans="8:8" x14ac:dyDescent="0.3">
      <c r="H8654" t="str">
        <f t="shared" si="184"/>
        <v/>
      </c>
    </row>
    <row r="8655" spans="8:8" x14ac:dyDescent="0.3">
      <c r="H8655" t="str">
        <f t="shared" si="184"/>
        <v/>
      </c>
    </row>
    <row r="8656" spans="8:8" x14ac:dyDescent="0.3">
      <c r="H8656" t="str">
        <f t="shared" si="184"/>
        <v/>
      </c>
    </row>
    <row r="8657" spans="8:8" x14ac:dyDescent="0.3">
      <c r="H8657" t="str">
        <f t="shared" si="184"/>
        <v/>
      </c>
    </row>
    <row r="8658" spans="8:8" x14ac:dyDescent="0.3">
      <c r="H8658" t="str">
        <f t="shared" si="184"/>
        <v/>
      </c>
    </row>
    <row r="8659" spans="8:8" x14ac:dyDescent="0.3">
      <c r="H8659" t="str">
        <f t="shared" si="184"/>
        <v/>
      </c>
    </row>
    <row r="8660" spans="8:8" x14ac:dyDescent="0.3">
      <c r="H8660" t="str">
        <f t="shared" si="184"/>
        <v/>
      </c>
    </row>
    <row r="8661" spans="8:8" x14ac:dyDescent="0.3">
      <c r="H8661" t="str">
        <f t="shared" si="184"/>
        <v/>
      </c>
    </row>
    <row r="8662" spans="8:8" x14ac:dyDescent="0.3">
      <c r="H8662" t="str">
        <f t="shared" si="184"/>
        <v/>
      </c>
    </row>
    <row r="8663" spans="8:8" x14ac:dyDescent="0.3">
      <c r="H8663" t="str">
        <f t="shared" ref="H8663:H8726" si="185">IF(B8663="","",$C$12)</f>
        <v/>
      </c>
    </row>
    <row r="8664" spans="8:8" x14ac:dyDescent="0.3">
      <c r="H8664" t="str">
        <f t="shared" si="185"/>
        <v/>
      </c>
    </row>
    <row r="8665" spans="8:8" x14ac:dyDescent="0.3">
      <c r="H8665" t="str">
        <f t="shared" si="185"/>
        <v/>
      </c>
    </row>
    <row r="8666" spans="8:8" x14ac:dyDescent="0.3">
      <c r="H8666" t="str">
        <f t="shared" si="185"/>
        <v/>
      </c>
    </row>
    <row r="8667" spans="8:8" x14ac:dyDescent="0.3">
      <c r="H8667" t="str">
        <f t="shared" si="185"/>
        <v/>
      </c>
    </row>
    <row r="8668" spans="8:8" x14ac:dyDescent="0.3">
      <c r="H8668" t="str">
        <f t="shared" si="185"/>
        <v/>
      </c>
    </row>
    <row r="8669" spans="8:8" x14ac:dyDescent="0.3">
      <c r="H8669" t="str">
        <f t="shared" si="185"/>
        <v/>
      </c>
    </row>
    <row r="8670" spans="8:8" x14ac:dyDescent="0.3">
      <c r="H8670" t="str">
        <f t="shared" si="185"/>
        <v/>
      </c>
    </row>
    <row r="8671" spans="8:8" x14ac:dyDescent="0.3">
      <c r="H8671" t="str">
        <f t="shared" si="185"/>
        <v/>
      </c>
    </row>
    <row r="8672" spans="8:8" x14ac:dyDescent="0.3">
      <c r="H8672" t="str">
        <f t="shared" si="185"/>
        <v/>
      </c>
    </row>
    <row r="8673" spans="8:8" x14ac:dyDescent="0.3">
      <c r="H8673" t="str">
        <f t="shared" si="185"/>
        <v/>
      </c>
    </row>
    <row r="8674" spans="8:8" x14ac:dyDescent="0.3">
      <c r="H8674" t="str">
        <f t="shared" si="185"/>
        <v/>
      </c>
    </row>
    <row r="8675" spans="8:8" x14ac:dyDescent="0.3">
      <c r="H8675" t="str">
        <f t="shared" si="185"/>
        <v/>
      </c>
    </row>
    <row r="8676" spans="8:8" x14ac:dyDescent="0.3">
      <c r="H8676" t="str">
        <f t="shared" si="185"/>
        <v/>
      </c>
    </row>
    <row r="8677" spans="8:8" x14ac:dyDescent="0.3">
      <c r="H8677" t="str">
        <f t="shared" si="185"/>
        <v/>
      </c>
    </row>
    <row r="8678" spans="8:8" x14ac:dyDescent="0.3">
      <c r="H8678" t="str">
        <f t="shared" si="185"/>
        <v/>
      </c>
    </row>
    <row r="8679" spans="8:8" x14ac:dyDescent="0.3">
      <c r="H8679" t="str">
        <f t="shared" si="185"/>
        <v/>
      </c>
    </row>
    <row r="8680" spans="8:8" x14ac:dyDescent="0.3">
      <c r="H8680" t="str">
        <f t="shared" si="185"/>
        <v/>
      </c>
    </row>
    <row r="8681" spans="8:8" x14ac:dyDescent="0.3">
      <c r="H8681" t="str">
        <f t="shared" si="185"/>
        <v/>
      </c>
    </row>
    <row r="8682" spans="8:8" x14ac:dyDescent="0.3">
      <c r="H8682" t="str">
        <f t="shared" si="185"/>
        <v/>
      </c>
    </row>
    <row r="8683" spans="8:8" x14ac:dyDescent="0.3">
      <c r="H8683" t="str">
        <f t="shared" si="185"/>
        <v/>
      </c>
    </row>
    <row r="8684" spans="8:8" x14ac:dyDescent="0.3">
      <c r="H8684" t="str">
        <f t="shared" si="185"/>
        <v/>
      </c>
    </row>
    <row r="8685" spans="8:8" x14ac:dyDescent="0.3">
      <c r="H8685" t="str">
        <f t="shared" si="185"/>
        <v/>
      </c>
    </row>
    <row r="8686" spans="8:8" x14ac:dyDescent="0.3">
      <c r="H8686" t="str">
        <f t="shared" si="185"/>
        <v/>
      </c>
    </row>
    <row r="8687" spans="8:8" x14ac:dyDescent="0.3">
      <c r="H8687" t="str">
        <f t="shared" si="185"/>
        <v/>
      </c>
    </row>
    <row r="8688" spans="8:8" x14ac:dyDescent="0.3">
      <c r="H8688" t="str">
        <f t="shared" si="185"/>
        <v/>
      </c>
    </row>
    <row r="8689" spans="8:8" x14ac:dyDescent="0.3">
      <c r="H8689" t="str">
        <f t="shared" si="185"/>
        <v/>
      </c>
    </row>
    <row r="8690" spans="8:8" x14ac:dyDescent="0.3">
      <c r="H8690" t="str">
        <f t="shared" si="185"/>
        <v/>
      </c>
    </row>
    <row r="8691" spans="8:8" x14ac:dyDescent="0.3">
      <c r="H8691" t="str">
        <f t="shared" si="185"/>
        <v/>
      </c>
    </row>
    <row r="8692" spans="8:8" x14ac:dyDescent="0.3">
      <c r="H8692" t="str">
        <f t="shared" si="185"/>
        <v/>
      </c>
    </row>
    <row r="8693" spans="8:8" x14ac:dyDescent="0.3">
      <c r="H8693" t="str">
        <f t="shared" si="185"/>
        <v/>
      </c>
    </row>
    <row r="8694" spans="8:8" x14ac:dyDescent="0.3">
      <c r="H8694" t="str">
        <f t="shared" si="185"/>
        <v/>
      </c>
    </row>
    <row r="8695" spans="8:8" x14ac:dyDescent="0.3">
      <c r="H8695" t="str">
        <f t="shared" si="185"/>
        <v/>
      </c>
    </row>
    <row r="8696" spans="8:8" x14ac:dyDescent="0.3">
      <c r="H8696" t="str">
        <f t="shared" si="185"/>
        <v/>
      </c>
    </row>
    <row r="8697" spans="8:8" x14ac:dyDescent="0.3">
      <c r="H8697" t="str">
        <f t="shared" si="185"/>
        <v/>
      </c>
    </row>
    <row r="8698" spans="8:8" x14ac:dyDescent="0.3">
      <c r="H8698" t="str">
        <f t="shared" si="185"/>
        <v/>
      </c>
    </row>
    <row r="8699" spans="8:8" x14ac:dyDescent="0.3">
      <c r="H8699" t="str">
        <f t="shared" si="185"/>
        <v/>
      </c>
    </row>
    <row r="8700" spans="8:8" x14ac:dyDescent="0.3">
      <c r="H8700" t="str">
        <f t="shared" si="185"/>
        <v/>
      </c>
    </row>
    <row r="8701" spans="8:8" x14ac:dyDescent="0.3">
      <c r="H8701" t="str">
        <f t="shared" si="185"/>
        <v/>
      </c>
    </row>
    <row r="8702" spans="8:8" x14ac:dyDescent="0.3">
      <c r="H8702" t="str">
        <f t="shared" si="185"/>
        <v/>
      </c>
    </row>
    <row r="8703" spans="8:8" x14ac:dyDescent="0.3">
      <c r="H8703" t="str">
        <f t="shared" si="185"/>
        <v/>
      </c>
    </row>
    <row r="8704" spans="8:8" x14ac:dyDescent="0.3">
      <c r="H8704" t="str">
        <f t="shared" si="185"/>
        <v/>
      </c>
    </row>
    <row r="8705" spans="8:8" x14ac:dyDescent="0.3">
      <c r="H8705" t="str">
        <f t="shared" si="185"/>
        <v/>
      </c>
    </row>
    <row r="8706" spans="8:8" x14ac:dyDescent="0.3">
      <c r="H8706" t="str">
        <f t="shared" si="185"/>
        <v/>
      </c>
    </row>
    <row r="8707" spans="8:8" x14ac:dyDescent="0.3">
      <c r="H8707" t="str">
        <f t="shared" si="185"/>
        <v/>
      </c>
    </row>
    <row r="8708" spans="8:8" x14ac:dyDescent="0.3">
      <c r="H8708" t="str">
        <f t="shared" si="185"/>
        <v/>
      </c>
    </row>
    <row r="8709" spans="8:8" x14ac:dyDescent="0.3">
      <c r="H8709" t="str">
        <f t="shared" si="185"/>
        <v/>
      </c>
    </row>
    <row r="8710" spans="8:8" x14ac:dyDescent="0.3">
      <c r="H8710" t="str">
        <f t="shared" si="185"/>
        <v/>
      </c>
    </row>
    <row r="8711" spans="8:8" x14ac:dyDescent="0.3">
      <c r="H8711" t="str">
        <f t="shared" si="185"/>
        <v/>
      </c>
    </row>
    <row r="8712" spans="8:8" x14ac:dyDescent="0.3">
      <c r="H8712" t="str">
        <f t="shared" si="185"/>
        <v/>
      </c>
    </row>
    <row r="8713" spans="8:8" x14ac:dyDescent="0.3">
      <c r="H8713" t="str">
        <f t="shared" si="185"/>
        <v/>
      </c>
    </row>
    <row r="8714" spans="8:8" x14ac:dyDescent="0.3">
      <c r="H8714" t="str">
        <f t="shared" si="185"/>
        <v/>
      </c>
    </row>
    <row r="8715" spans="8:8" x14ac:dyDescent="0.3">
      <c r="H8715" t="str">
        <f t="shared" si="185"/>
        <v/>
      </c>
    </row>
    <row r="8716" spans="8:8" x14ac:dyDescent="0.3">
      <c r="H8716" t="str">
        <f t="shared" si="185"/>
        <v/>
      </c>
    </row>
    <row r="8717" spans="8:8" x14ac:dyDescent="0.3">
      <c r="H8717" t="str">
        <f t="shared" si="185"/>
        <v/>
      </c>
    </row>
    <row r="8718" spans="8:8" x14ac:dyDescent="0.3">
      <c r="H8718" t="str">
        <f t="shared" si="185"/>
        <v/>
      </c>
    </row>
    <row r="8719" spans="8:8" x14ac:dyDescent="0.3">
      <c r="H8719" t="str">
        <f t="shared" si="185"/>
        <v/>
      </c>
    </row>
    <row r="8720" spans="8:8" x14ac:dyDescent="0.3">
      <c r="H8720" t="str">
        <f t="shared" si="185"/>
        <v/>
      </c>
    </row>
    <row r="8721" spans="8:8" x14ac:dyDescent="0.3">
      <c r="H8721" t="str">
        <f t="shared" si="185"/>
        <v/>
      </c>
    </row>
    <row r="8722" spans="8:8" x14ac:dyDescent="0.3">
      <c r="H8722" t="str">
        <f t="shared" si="185"/>
        <v/>
      </c>
    </row>
    <row r="8723" spans="8:8" x14ac:dyDescent="0.3">
      <c r="H8723" t="str">
        <f t="shared" si="185"/>
        <v/>
      </c>
    </row>
    <row r="8724" spans="8:8" x14ac:dyDescent="0.3">
      <c r="H8724" t="str">
        <f t="shared" si="185"/>
        <v/>
      </c>
    </row>
    <row r="8725" spans="8:8" x14ac:dyDescent="0.3">
      <c r="H8725" t="str">
        <f t="shared" si="185"/>
        <v/>
      </c>
    </row>
    <row r="8726" spans="8:8" x14ac:dyDescent="0.3">
      <c r="H8726" t="str">
        <f t="shared" si="185"/>
        <v/>
      </c>
    </row>
    <row r="8727" spans="8:8" x14ac:dyDescent="0.3">
      <c r="H8727" t="str">
        <f t="shared" ref="H8727:H8790" si="186">IF(B8727="","",$C$12)</f>
        <v/>
      </c>
    </row>
    <row r="8728" spans="8:8" x14ac:dyDescent="0.3">
      <c r="H8728" t="str">
        <f t="shared" si="186"/>
        <v/>
      </c>
    </row>
    <row r="8729" spans="8:8" x14ac:dyDescent="0.3">
      <c r="H8729" t="str">
        <f t="shared" si="186"/>
        <v/>
      </c>
    </row>
    <row r="8730" spans="8:8" x14ac:dyDescent="0.3">
      <c r="H8730" t="str">
        <f t="shared" si="186"/>
        <v/>
      </c>
    </row>
    <row r="8731" spans="8:8" x14ac:dyDescent="0.3">
      <c r="H8731" t="str">
        <f t="shared" si="186"/>
        <v/>
      </c>
    </row>
    <row r="8732" spans="8:8" x14ac:dyDescent="0.3">
      <c r="H8732" t="str">
        <f t="shared" si="186"/>
        <v/>
      </c>
    </row>
    <row r="8733" spans="8:8" x14ac:dyDescent="0.3">
      <c r="H8733" t="str">
        <f t="shared" si="186"/>
        <v/>
      </c>
    </row>
    <row r="8734" spans="8:8" x14ac:dyDescent="0.3">
      <c r="H8734" t="str">
        <f t="shared" si="186"/>
        <v/>
      </c>
    </row>
    <row r="8735" spans="8:8" x14ac:dyDescent="0.3">
      <c r="H8735" t="str">
        <f t="shared" si="186"/>
        <v/>
      </c>
    </row>
    <row r="8736" spans="8:8" x14ac:dyDescent="0.3">
      <c r="H8736" t="str">
        <f t="shared" si="186"/>
        <v/>
      </c>
    </row>
    <row r="8737" spans="8:8" x14ac:dyDescent="0.3">
      <c r="H8737" t="str">
        <f t="shared" si="186"/>
        <v/>
      </c>
    </row>
    <row r="8738" spans="8:8" x14ac:dyDescent="0.3">
      <c r="H8738" t="str">
        <f t="shared" si="186"/>
        <v/>
      </c>
    </row>
    <row r="8739" spans="8:8" x14ac:dyDescent="0.3">
      <c r="H8739" t="str">
        <f t="shared" si="186"/>
        <v/>
      </c>
    </row>
    <row r="8740" spans="8:8" x14ac:dyDescent="0.3">
      <c r="H8740" t="str">
        <f t="shared" si="186"/>
        <v/>
      </c>
    </row>
    <row r="8741" spans="8:8" x14ac:dyDescent="0.3">
      <c r="H8741" t="str">
        <f t="shared" si="186"/>
        <v/>
      </c>
    </row>
    <row r="8742" spans="8:8" x14ac:dyDescent="0.3">
      <c r="H8742" t="str">
        <f t="shared" si="186"/>
        <v/>
      </c>
    </row>
    <row r="8743" spans="8:8" x14ac:dyDescent="0.3">
      <c r="H8743" t="str">
        <f t="shared" si="186"/>
        <v/>
      </c>
    </row>
    <row r="8744" spans="8:8" x14ac:dyDescent="0.3">
      <c r="H8744" t="str">
        <f t="shared" si="186"/>
        <v/>
      </c>
    </row>
    <row r="8745" spans="8:8" x14ac:dyDescent="0.3">
      <c r="H8745" t="str">
        <f t="shared" si="186"/>
        <v/>
      </c>
    </row>
    <row r="8746" spans="8:8" x14ac:dyDescent="0.3">
      <c r="H8746" t="str">
        <f t="shared" si="186"/>
        <v/>
      </c>
    </row>
    <row r="8747" spans="8:8" x14ac:dyDescent="0.3">
      <c r="H8747" t="str">
        <f t="shared" si="186"/>
        <v/>
      </c>
    </row>
    <row r="8748" spans="8:8" x14ac:dyDescent="0.3">
      <c r="H8748" t="str">
        <f t="shared" si="186"/>
        <v/>
      </c>
    </row>
    <row r="8749" spans="8:8" x14ac:dyDescent="0.3">
      <c r="H8749" t="str">
        <f t="shared" si="186"/>
        <v/>
      </c>
    </row>
    <row r="8750" spans="8:8" x14ac:dyDescent="0.3">
      <c r="H8750" t="str">
        <f t="shared" si="186"/>
        <v/>
      </c>
    </row>
    <row r="8751" spans="8:8" x14ac:dyDescent="0.3">
      <c r="H8751" t="str">
        <f t="shared" si="186"/>
        <v/>
      </c>
    </row>
    <row r="8752" spans="8:8" x14ac:dyDescent="0.3">
      <c r="H8752" t="str">
        <f t="shared" si="186"/>
        <v/>
      </c>
    </row>
    <row r="8753" spans="8:8" x14ac:dyDescent="0.3">
      <c r="H8753" t="str">
        <f t="shared" si="186"/>
        <v/>
      </c>
    </row>
    <row r="8754" spans="8:8" x14ac:dyDescent="0.3">
      <c r="H8754" t="str">
        <f t="shared" si="186"/>
        <v/>
      </c>
    </row>
    <row r="8755" spans="8:8" x14ac:dyDescent="0.3">
      <c r="H8755" t="str">
        <f t="shared" si="186"/>
        <v/>
      </c>
    </row>
    <row r="8756" spans="8:8" x14ac:dyDescent="0.3">
      <c r="H8756" t="str">
        <f t="shared" si="186"/>
        <v/>
      </c>
    </row>
    <row r="8757" spans="8:8" x14ac:dyDescent="0.3">
      <c r="H8757" t="str">
        <f t="shared" si="186"/>
        <v/>
      </c>
    </row>
    <row r="8758" spans="8:8" x14ac:dyDescent="0.3">
      <c r="H8758" t="str">
        <f t="shared" si="186"/>
        <v/>
      </c>
    </row>
    <row r="8759" spans="8:8" x14ac:dyDescent="0.3">
      <c r="H8759" t="str">
        <f t="shared" si="186"/>
        <v/>
      </c>
    </row>
    <row r="8760" spans="8:8" x14ac:dyDescent="0.3">
      <c r="H8760" t="str">
        <f t="shared" si="186"/>
        <v/>
      </c>
    </row>
    <row r="8761" spans="8:8" x14ac:dyDescent="0.3">
      <c r="H8761" t="str">
        <f t="shared" si="186"/>
        <v/>
      </c>
    </row>
    <row r="8762" spans="8:8" x14ac:dyDescent="0.3">
      <c r="H8762" t="str">
        <f t="shared" si="186"/>
        <v/>
      </c>
    </row>
    <row r="8763" spans="8:8" x14ac:dyDescent="0.3">
      <c r="H8763" t="str">
        <f t="shared" si="186"/>
        <v/>
      </c>
    </row>
    <row r="8764" spans="8:8" x14ac:dyDescent="0.3">
      <c r="H8764" t="str">
        <f t="shared" si="186"/>
        <v/>
      </c>
    </row>
    <row r="8765" spans="8:8" x14ac:dyDescent="0.3">
      <c r="H8765" t="str">
        <f t="shared" si="186"/>
        <v/>
      </c>
    </row>
    <row r="8766" spans="8:8" x14ac:dyDescent="0.3">
      <c r="H8766" t="str">
        <f t="shared" si="186"/>
        <v/>
      </c>
    </row>
    <row r="8767" spans="8:8" x14ac:dyDescent="0.3">
      <c r="H8767" t="str">
        <f t="shared" si="186"/>
        <v/>
      </c>
    </row>
    <row r="8768" spans="8:8" x14ac:dyDescent="0.3">
      <c r="H8768" t="str">
        <f t="shared" si="186"/>
        <v/>
      </c>
    </row>
    <row r="8769" spans="8:8" x14ac:dyDescent="0.3">
      <c r="H8769" t="str">
        <f t="shared" si="186"/>
        <v/>
      </c>
    </row>
    <row r="8770" spans="8:8" x14ac:dyDescent="0.3">
      <c r="H8770" t="str">
        <f t="shared" si="186"/>
        <v/>
      </c>
    </row>
    <row r="8771" spans="8:8" x14ac:dyDescent="0.3">
      <c r="H8771" t="str">
        <f t="shared" si="186"/>
        <v/>
      </c>
    </row>
    <row r="8772" spans="8:8" x14ac:dyDescent="0.3">
      <c r="H8772" t="str">
        <f t="shared" si="186"/>
        <v/>
      </c>
    </row>
    <row r="8773" spans="8:8" x14ac:dyDescent="0.3">
      <c r="H8773" t="str">
        <f t="shared" si="186"/>
        <v/>
      </c>
    </row>
    <row r="8774" spans="8:8" x14ac:dyDescent="0.3">
      <c r="H8774" t="str">
        <f t="shared" si="186"/>
        <v/>
      </c>
    </row>
    <row r="8775" spans="8:8" x14ac:dyDescent="0.3">
      <c r="H8775" t="str">
        <f t="shared" si="186"/>
        <v/>
      </c>
    </row>
    <row r="8776" spans="8:8" x14ac:dyDescent="0.3">
      <c r="H8776" t="str">
        <f t="shared" si="186"/>
        <v/>
      </c>
    </row>
    <row r="8777" spans="8:8" x14ac:dyDescent="0.3">
      <c r="H8777" t="str">
        <f t="shared" si="186"/>
        <v/>
      </c>
    </row>
    <row r="8778" spans="8:8" x14ac:dyDescent="0.3">
      <c r="H8778" t="str">
        <f t="shared" si="186"/>
        <v/>
      </c>
    </row>
    <row r="8779" spans="8:8" x14ac:dyDescent="0.3">
      <c r="H8779" t="str">
        <f t="shared" si="186"/>
        <v/>
      </c>
    </row>
    <row r="8780" spans="8:8" x14ac:dyDescent="0.3">
      <c r="H8780" t="str">
        <f t="shared" si="186"/>
        <v/>
      </c>
    </row>
    <row r="8781" spans="8:8" x14ac:dyDescent="0.3">
      <c r="H8781" t="str">
        <f t="shared" si="186"/>
        <v/>
      </c>
    </row>
    <row r="8782" spans="8:8" x14ac:dyDescent="0.3">
      <c r="H8782" t="str">
        <f t="shared" si="186"/>
        <v/>
      </c>
    </row>
    <row r="8783" spans="8:8" x14ac:dyDescent="0.3">
      <c r="H8783" t="str">
        <f t="shared" si="186"/>
        <v/>
      </c>
    </row>
    <row r="8784" spans="8:8" x14ac:dyDescent="0.3">
      <c r="H8784" t="str">
        <f t="shared" si="186"/>
        <v/>
      </c>
    </row>
    <row r="8785" spans="8:8" x14ac:dyDescent="0.3">
      <c r="H8785" t="str">
        <f t="shared" si="186"/>
        <v/>
      </c>
    </row>
    <row r="8786" spans="8:8" x14ac:dyDescent="0.3">
      <c r="H8786" t="str">
        <f t="shared" si="186"/>
        <v/>
      </c>
    </row>
    <row r="8787" spans="8:8" x14ac:dyDescent="0.3">
      <c r="H8787" t="str">
        <f t="shared" si="186"/>
        <v/>
      </c>
    </row>
    <row r="8788" spans="8:8" x14ac:dyDescent="0.3">
      <c r="H8788" t="str">
        <f t="shared" si="186"/>
        <v/>
      </c>
    </row>
    <row r="8789" spans="8:8" x14ac:dyDescent="0.3">
      <c r="H8789" t="str">
        <f t="shared" si="186"/>
        <v/>
      </c>
    </row>
    <row r="8790" spans="8:8" x14ac:dyDescent="0.3">
      <c r="H8790" t="str">
        <f t="shared" si="186"/>
        <v/>
      </c>
    </row>
    <row r="8791" spans="8:8" x14ac:dyDescent="0.3">
      <c r="H8791" t="str">
        <f t="shared" ref="H8791:H8854" si="187">IF(B8791="","",$C$12)</f>
        <v/>
      </c>
    </row>
    <row r="8792" spans="8:8" x14ac:dyDescent="0.3">
      <c r="H8792" t="str">
        <f t="shared" si="187"/>
        <v/>
      </c>
    </row>
    <row r="8793" spans="8:8" x14ac:dyDescent="0.3">
      <c r="H8793" t="str">
        <f t="shared" si="187"/>
        <v/>
      </c>
    </row>
    <row r="8794" spans="8:8" x14ac:dyDescent="0.3">
      <c r="H8794" t="str">
        <f t="shared" si="187"/>
        <v/>
      </c>
    </row>
    <row r="8795" spans="8:8" x14ac:dyDescent="0.3">
      <c r="H8795" t="str">
        <f t="shared" si="187"/>
        <v/>
      </c>
    </row>
    <row r="8796" spans="8:8" x14ac:dyDescent="0.3">
      <c r="H8796" t="str">
        <f t="shared" si="187"/>
        <v/>
      </c>
    </row>
    <row r="8797" spans="8:8" x14ac:dyDescent="0.3">
      <c r="H8797" t="str">
        <f t="shared" si="187"/>
        <v/>
      </c>
    </row>
    <row r="8798" spans="8:8" x14ac:dyDescent="0.3">
      <c r="H8798" t="str">
        <f t="shared" si="187"/>
        <v/>
      </c>
    </row>
    <row r="8799" spans="8:8" x14ac:dyDescent="0.3">
      <c r="H8799" t="str">
        <f t="shared" si="187"/>
        <v/>
      </c>
    </row>
    <row r="8800" spans="8:8" x14ac:dyDescent="0.3">
      <c r="H8800" t="str">
        <f t="shared" si="187"/>
        <v/>
      </c>
    </row>
    <row r="8801" spans="8:8" x14ac:dyDescent="0.3">
      <c r="H8801" t="str">
        <f t="shared" si="187"/>
        <v/>
      </c>
    </row>
    <row r="8802" spans="8:8" x14ac:dyDescent="0.3">
      <c r="H8802" t="str">
        <f t="shared" si="187"/>
        <v/>
      </c>
    </row>
    <row r="8803" spans="8:8" x14ac:dyDescent="0.3">
      <c r="H8803" t="str">
        <f t="shared" si="187"/>
        <v/>
      </c>
    </row>
    <row r="8804" spans="8:8" x14ac:dyDescent="0.3">
      <c r="H8804" t="str">
        <f t="shared" si="187"/>
        <v/>
      </c>
    </row>
    <row r="8805" spans="8:8" x14ac:dyDescent="0.3">
      <c r="H8805" t="str">
        <f t="shared" si="187"/>
        <v/>
      </c>
    </row>
    <row r="8806" spans="8:8" x14ac:dyDescent="0.3">
      <c r="H8806" t="str">
        <f t="shared" si="187"/>
        <v/>
      </c>
    </row>
    <row r="8807" spans="8:8" x14ac:dyDescent="0.3">
      <c r="H8807" t="str">
        <f t="shared" si="187"/>
        <v/>
      </c>
    </row>
    <row r="8808" spans="8:8" x14ac:dyDescent="0.3">
      <c r="H8808" t="str">
        <f t="shared" si="187"/>
        <v/>
      </c>
    </row>
    <row r="8809" spans="8:8" x14ac:dyDescent="0.3">
      <c r="H8809" t="str">
        <f t="shared" si="187"/>
        <v/>
      </c>
    </row>
    <row r="8810" spans="8:8" x14ac:dyDescent="0.3">
      <c r="H8810" t="str">
        <f t="shared" si="187"/>
        <v/>
      </c>
    </row>
    <row r="8811" spans="8:8" x14ac:dyDescent="0.3">
      <c r="H8811" t="str">
        <f t="shared" si="187"/>
        <v/>
      </c>
    </row>
    <row r="8812" spans="8:8" x14ac:dyDescent="0.3">
      <c r="H8812" t="str">
        <f t="shared" si="187"/>
        <v/>
      </c>
    </row>
    <row r="8813" spans="8:8" x14ac:dyDescent="0.3">
      <c r="H8813" t="str">
        <f t="shared" si="187"/>
        <v/>
      </c>
    </row>
    <row r="8814" spans="8:8" x14ac:dyDescent="0.3">
      <c r="H8814" t="str">
        <f t="shared" si="187"/>
        <v/>
      </c>
    </row>
    <row r="8815" spans="8:8" x14ac:dyDescent="0.3">
      <c r="H8815" t="str">
        <f t="shared" si="187"/>
        <v/>
      </c>
    </row>
    <row r="8816" spans="8:8" x14ac:dyDescent="0.3">
      <c r="H8816" t="str">
        <f t="shared" si="187"/>
        <v/>
      </c>
    </row>
    <row r="8817" spans="8:8" x14ac:dyDescent="0.3">
      <c r="H8817" t="str">
        <f t="shared" si="187"/>
        <v/>
      </c>
    </row>
    <row r="8818" spans="8:8" x14ac:dyDescent="0.3">
      <c r="H8818" t="str">
        <f t="shared" si="187"/>
        <v/>
      </c>
    </row>
    <row r="8819" spans="8:8" x14ac:dyDescent="0.3">
      <c r="H8819" t="str">
        <f t="shared" si="187"/>
        <v/>
      </c>
    </row>
    <row r="8820" spans="8:8" x14ac:dyDescent="0.3">
      <c r="H8820" t="str">
        <f t="shared" si="187"/>
        <v/>
      </c>
    </row>
    <row r="8821" spans="8:8" x14ac:dyDescent="0.3">
      <c r="H8821" t="str">
        <f t="shared" si="187"/>
        <v/>
      </c>
    </row>
    <row r="8822" spans="8:8" x14ac:dyDescent="0.3">
      <c r="H8822" t="str">
        <f t="shared" si="187"/>
        <v/>
      </c>
    </row>
    <row r="8823" spans="8:8" x14ac:dyDescent="0.3">
      <c r="H8823" t="str">
        <f t="shared" si="187"/>
        <v/>
      </c>
    </row>
    <row r="8824" spans="8:8" x14ac:dyDescent="0.3">
      <c r="H8824" t="str">
        <f t="shared" si="187"/>
        <v/>
      </c>
    </row>
    <row r="8825" spans="8:8" x14ac:dyDescent="0.3">
      <c r="H8825" t="str">
        <f t="shared" si="187"/>
        <v/>
      </c>
    </row>
    <row r="8826" spans="8:8" x14ac:dyDescent="0.3">
      <c r="H8826" t="str">
        <f t="shared" si="187"/>
        <v/>
      </c>
    </row>
    <row r="8827" spans="8:8" x14ac:dyDescent="0.3">
      <c r="H8827" t="str">
        <f t="shared" si="187"/>
        <v/>
      </c>
    </row>
    <row r="8828" spans="8:8" x14ac:dyDescent="0.3">
      <c r="H8828" t="str">
        <f t="shared" si="187"/>
        <v/>
      </c>
    </row>
    <row r="8829" spans="8:8" x14ac:dyDescent="0.3">
      <c r="H8829" t="str">
        <f t="shared" si="187"/>
        <v/>
      </c>
    </row>
    <row r="8830" spans="8:8" x14ac:dyDescent="0.3">
      <c r="H8830" t="str">
        <f t="shared" si="187"/>
        <v/>
      </c>
    </row>
    <row r="8831" spans="8:8" x14ac:dyDescent="0.3">
      <c r="H8831" t="str">
        <f t="shared" si="187"/>
        <v/>
      </c>
    </row>
    <row r="8832" spans="8:8" x14ac:dyDescent="0.3">
      <c r="H8832" t="str">
        <f t="shared" si="187"/>
        <v/>
      </c>
    </row>
    <row r="8833" spans="8:8" x14ac:dyDescent="0.3">
      <c r="H8833" t="str">
        <f t="shared" si="187"/>
        <v/>
      </c>
    </row>
    <row r="8834" spans="8:8" x14ac:dyDescent="0.3">
      <c r="H8834" t="str">
        <f t="shared" si="187"/>
        <v/>
      </c>
    </row>
    <row r="8835" spans="8:8" x14ac:dyDescent="0.3">
      <c r="H8835" t="str">
        <f t="shared" si="187"/>
        <v/>
      </c>
    </row>
    <row r="8836" spans="8:8" x14ac:dyDescent="0.3">
      <c r="H8836" t="str">
        <f t="shared" si="187"/>
        <v/>
      </c>
    </row>
    <row r="8837" spans="8:8" x14ac:dyDescent="0.3">
      <c r="H8837" t="str">
        <f t="shared" si="187"/>
        <v/>
      </c>
    </row>
    <row r="8838" spans="8:8" x14ac:dyDescent="0.3">
      <c r="H8838" t="str">
        <f t="shared" si="187"/>
        <v/>
      </c>
    </row>
    <row r="8839" spans="8:8" x14ac:dyDescent="0.3">
      <c r="H8839" t="str">
        <f t="shared" si="187"/>
        <v/>
      </c>
    </row>
    <row r="8840" spans="8:8" x14ac:dyDescent="0.3">
      <c r="H8840" t="str">
        <f t="shared" si="187"/>
        <v/>
      </c>
    </row>
    <row r="8841" spans="8:8" x14ac:dyDescent="0.3">
      <c r="H8841" t="str">
        <f t="shared" si="187"/>
        <v/>
      </c>
    </row>
    <row r="8842" spans="8:8" x14ac:dyDescent="0.3">
      <c r="H8842" t="str">
        <f t="shared" si="187"/>
        <v/>
      </c>
    </row>
    <row r="8843" spans="8:8" x14ac:dyDescent="0.3">
      <c r="H8843" t="str">
        <f t="shared" si="187"/>
        <v/>
      </c>
    </row>
    <row r="8844" spans="8:8" x14ac:dyDescent="0.3">
      <c r="H8844" t="str">
        <f t="shared" si="187"/>
        <v/>
      </c>
    </row>
    <row r="8845" spans="8:8" x14ac:dyDescent="0.3">
      <c r="H8845" t="str">
        <f t="shared" si="187"/>
        <v/>
      </c>
    </row>
    <row r="8846" spans="8:8" x14ac:dyDescent="0.3">
      <c r="H8846" t="str">
        <f t="shared" si="187"/>
        <v/>
      </c>
    </row>
    <row r="8847" spans="8:8" x14ac:dyDescent="0.3">
      <c r="H8847" t="str">
        <f t="shared" si="187"/>
        <v/>
      </c>
    </row>
    <row r="8848" spans="8:8" x14ac:dyDescent="0.3">
      <c r="H8848" t="str">
        <f t="shared" si="187"/>
        <v/>
      </c>
    </row>
    <row r="8849" spans="8:8" x14ac:dyDescent="0.3">
      <c r="H8849" t="str">
        <f t="shared" si="187"/>
        <v/>
      </c>
    </row>
    <row r="8850" spans="8:8" x14ac:dyDescent="0.3">
      <c r="H8850" t="str">
        <f t="shared" si="187"/>
        <v/>
      </c>
    </row>
    <row r="8851" spans="8:8" x14ac:dyDescent="0.3">
      <c r="H8851" t="str">
        <f t="shared" si="187"/>
        <v/>
      </c>
    </row>
    <row r="8852" spans="8:8" x14ac:dyDescent="0.3">
      <c r="H8852" t="str">
        <f t="shared" si="187"/>
        <v/>
      </c>
    </row>
    <row r="8853" spans="8:8" x14ac:dyDescent="0.3">
      <c r="H8853" t="str">
        <f t="shared" si="187"/>
        <v/>
      </c>
    </row>
    <row r="8854" spans="8:8" x14ac:dyDescent="0.3">
      <c r="H8854" t="str">
        <f t="shared" si="187"/>
        <v/>
      </c>
    </row>
    <row r="8855" spans="8:8" x14ac:dyDescent="0.3">
      <c r="H8855" t="str">
        <f t="shared" ref="H8855:H8918" si="188">IF(B8855="","",$C$12)</f>
        <v/>
      </c>
    </row>
    <row r="8856" spans="8:8" x14ac:dyDescent="0.3">
      <c r="H8856" t="str">
        <f t="shared" si="188"/>
        <v/>
      </c>
    </row>
    <row r="8857" spans="8:8" x14ac:dyDescent="0.3">
      <c r="H8857" t="str">
        <f t="shared" si="188"/>
        <v/>
      </c>
    </row>
    <row r="8858" spans="8:8" x14ac:dyDescent="0.3">
      <c r="H8858" t="str">
        <f t="shared" si="188"/>
        <v/>
      </c>
    </row>
    <row r="8859" spans="8:8" x14ac:dyDescent="0.3">
      <c r="H8859" t="str">
        <f t="shared" si="188"/>
        <v/>
      </c>
    </row>
    <row r="8860" spans="8:8" x14ac:dyDescent="0.3">
      <c r="H8860" t="str">
        <f t="shared" si="188"/>
        <v/>
      </c>
    </row>
    <row r="8861" spans="8:8" x14ac:dyDescent="0.3">
      <c r="H8861" t="str">
        <f t="shared" si="188"/>
        <v/>
      </c>
    </row>
    <row r="8862" spans="8:8" x14ac:dyDescent="0.3">
      <c r="H8862" t="str">
        <f t="shared" si="188"/>
        <v/>
      </c>
    </row>
    <row r="8863" spans="8:8" x14ac:dyDescent="0.3">
      <c r="H8863" t="str">
        <f t="shared" si="188"/>
        <v/>
      </c>
    </row>
    <row r="8864" spans="8:8" x14ac:dyDescent="0.3">
      <c r="H8864" t="str">
        <f t="shared" si="188"/>
        <v/>
      </c>
    </row>
    <row r="8865" spans="8:8" x14ac:dyDescent="0.3">
      <c r="H8865" t="str">
        <f t="shared" si="188"/>
        <v/>
      </c>
    </row>
    <row r="8866" spans="8:8" x14ac:dyDescent="0.3">
      <c r="H8866" t="str">
        <f t="shared" si="188"/>
        <v/>
      </c>
    </row>
    <row r="8867" spans="8:8" x14ac:dyDescent="0.3">
      <c r="H8867" t="str">
        <f t="shared" si="188"/>
        <v/>
      </c>
    </row>
    <row r="8868" spans="8:8" x14ac:dyDescent="0.3">
      <c r="H8868" t="str">
        <f t="shared" si="188"/>
        <v/>
      </c>
    </row>
    <row r="8869" spans="8:8" x14ac:dyDescent="0.3">
      <c r="H8869" t="str">
        <f t="shared" si="188"/>
        <v/>
      </c>
    </row>
    <row r="8870" spans="8:8" x14ac:dyDescent="0.3">
      <c r="H8870" t="str">
        <f t="shared" si="188"/>
        <v/>
      </c>
    </row>
    <row r="8871" spans="8:8" x14ac:dyDescent="0.3">
      <c r="H8871" t="str">
        <f t="shared" si="188"/>
        <v/>
      </c>
    </row>
    <row r="8872" spans="8:8" x14ac:dyDescent="0.3">
      <c r="H8872" t="str">
        <f t="shared" si="188"/>
        <v/>
      </c>
    </row>
    <row r="8873" spans="8:8" x14ac:dyDescent="0.3">
      <c r="H8873" t="str">
        <f t="shared" si="188"/>
        <v/>
      </c>
    </row>
    <row r="8874" spans="8:8" x14ac:dyDescent="0.3">
      <c r="H8874" t="str">
        <f t="shared" si="188"/>
        <v/>
      </c>
    </row>
    <row r="8875" spans="8:8" x14ac:dyDescent="0.3">
      <c r="H8875" t="str">
        <f t="shared" si="188"/>
        <v/>
      </c>
    </row>
    <row r="8876" spans="8:8" x14ac:dyDescent="0.3">
      <c r="H8876" t="str">
        <f t="shared" si="188"/>
        <v/>
      </c>
    </row>
    <row r="8877" spans="8:8" x14ac:dyDescent="0.3">
      <c r="H8877" t="str">
        <f t="shared" si="188"/>
        <v/>
      </c>
    </row>
    <row r="8878" spans="8:8" x14ac:dyDescent="0.3">
      <c r="H8878" t="str">
        <f t="shared" si="188"/>
        <v/>
      </c>
    </row>
    <row r="8879" spans="8:8" x14ac:dyDescent="0.3">
      <c r="H8879" t="str">
        <f t="shared" si="188"/>
        <v/>
      </c>
    </row>
    <row r="8880" spans="8:8" x14ac:dyDescent="0.3">
      <c r="H8880" t="str">
        <f t="shared" si="188"/>
        <v/>
      </c>
    </row>
    <row r="8881" spans="8:8" x14ac:dyDescent="0.3">
      <c r="H8881" t="str">
        <f t="shared" si="188"/>
        <v/>
      </c>
    </row>
    <row r="8882" spans="8:8" x14ac:dyDescent="0.3">
      <c r="H8882" t="str">
        <f t="shared" si="188"/>
        <v/>
      </c>
    </row>
    <row r="8883" spans="8:8" x14ac:dyDescent="0.3">
      <c r="H8883" t="str">
        <f t="shared" si="188"/>
        <v/>
      </c>
    </row>
    <row r="8884" spans="8:8" x14ac:dyDescent="0.3">
      <c r="H8884" t="str">
        <f t="shared" si="188"/>
        <v/>
      </c>
    </row>
    <row r="8885" spans="8:8" x14ac:dyDescent="0.3">
      <c r="H8885" t="str">
        <f t="shared" si="188"/>
        <v/>
      </c>
    </row>
    <row r="8886" spans="8:8" x14ac:dyDescent="0.3">
      <c r="H8886" t="str">
        <f t="shared" si="188"/>
        <v/>
      </c>
    </row>
    <row r="8887" spans="8:8" x14ac:dyDescent="0.3">
      <c r="H8887" t="str">
        <f t="shared" si="188"/>
        <v/>
      </c>
    </row>
    <row r="8888" spans="8:8" x14ac:dyDescent="0.3">
      <c r="H8888" t="str">
        <f t="shared" si="188"/>
        <v/>
      </c>
    </row>
    <row r="8889" spans="8:8" x14ac:dyDescent="0.3">
      <c r="H8889" t="str">
        <f t="shared" si="188"/>
        <v/>
      </c>
    </row>
    <row r="8890" spans="8:8" x14ac:dyDescent="0.3">
      <c r="H8890" t="str">
        <f t="shared" si="188"/>
        <v/>
      </c>
    </row>
    <row r="8891" spans="8:8" x14ac:dyDescent="0.3">
      <c r="H8891" t="str">
        <f t="shared" si="188"/>
        <v/>
      </c>
    </row>
    <row r="8892" spans="8:8" x14ac:dyDescent="0.3">
      <c r="H8892" t="str">
        <f t="shared" si="188"/>
        <v/>
      </c>
    </row>
    <row r="8893" spans="8:8" x14ac:dyDescent="0.3">
      <c r="H8893" t="str">
        <f t="shared" si="188"/>
        <v/>
      </c>
    </row>
    <row r="8894" spans="8:8" x14ac:dyDescent="0.3">
      <c r="H8894" t="str">
        <f t="shared" si="188"/>
        <v/>
      </c>
    </row>
    <row r="8895" spans="8:8" x14ac:dyDescent="0.3">
      <c r="H8895" t="str">
        <f t="shared" si="188"/>
        <v/>
      </c>
    </row>
    <row r="8896" spans="8:8" x14ac:dyDescent="0.3">
      <c r="H8896" t="str">
        <f t="shared" si="188"/>
        <v/>
      </c>
    </row>
    <row r="8897" spans="8:8" x14ac:dyDescent="0.3">
      <c r="H8897" t="str">
        <f t="shared" si="188"/>
        <v/>
      </c>
    </row>
    <row r="8898" spans="8:8" x14ac:dyDescent="0.3">
      <c r="H8898" t="str">
        <f t="shared" si="188"/>
        <v/>
      </c>
    </row>
    <row r="8899" spans="8:8" x14ac:dyDescent="0.3">
      <c r="H8899" t="str">
        <f t="shared" si="188"/>
        <v/>
      </c>
    </row>
    <row r="8900" spans="8:8" x14ac:dyDescent="0.3">
      <c r="H8900" t="str">
        <f t="shared" si="188"/>
        <v/>
      </c>
    </row>
    <row r="8901" spans="8:8" x14ac:dyDescent="0.3">
      <c r="H8901" t="str">
        <f t="shared" si="188"/>
        <v/>
      </c>
    </row>
    <row r="8902" spans="8:8" x14ac:dyDescent="0.3">
      <c r="H8902" t="str">
        <f t="shared" si="188"/>
        <v/>
      </c>
    </row>
    <row r="8903" spans="8:8" x14ac:dyDescent="0.3">
      <c r="H8903" t="str">
        <f t="shared" si="188"/>
        <v/>
      </c>
    </row>
    <row r="8904" spans="8:8" x14ac:dyDescent="0.3">
      <c r="H8904" t="str">
        <f t="shared" si="188"/>
        <v/>
      </c>
    </row>
    <row r="8905" spans="8:8" x14ac:dyDescent="0.3">
      <c r="H8905" t="str">
        <f t="shared" si="188"/>
        <v/>
      </c>
    </row>
    <row r="8906" spans="8:8" x14ac:dyDescent="0.3">
      <c r="H8906" t="str">
        <f t="shared" si="188"/>
        <v/>
      </c>
    </row>
    <row r="8907" spans="8:8" x14ac:dyDescent="0.3">
      <c r="H8907" t="str">
        <f t="shared" si="188"/>
        <v/>
      </c>
    </row>
    <row r="8908" spans="8:8" x14ac:dyDescent="0.3">
      <c r="H8908" t="str">
        <f t="shared" si="188"/>
        <v/>
      </c>
    </row>
    <row r="8909" spans="8:8" x14ac:dyDescent="0.3">
      <c r="H8909" t="str">
        <f t="shared" si="188"/>
        <v/>
      </c>
    </row>
    <row r="8910" spans="8:8" x14ac:dyDescent="0.3">
      <c r="H8910" t="str">
        <f t="shared" si="188"/>
        <v/>
      </c>
    </row>
    <row r="8911" spans="8:8" x14ac:dyDescent="0.3">
      <c r="H8911" t="str">
        <f t="shared" si="188"/>
        <v/>
      </c>
    </row>
    <row r="8912" spans="8:8" x14ac:dyDescent="0.3">
      <c r="H8912" t="str">
        <f t="shared" si="188"/>
        <v/>
      </c>
    </row>
    <row r="8913" spans="8:8" x14ac:dyDescent="0.3">
      <c r="H8913" t="str">
        <f t="shared" si="188"/>
        <v/>
      </c>
    </row>
    <row r="8914" spans="8:8" x14ac:dyDescent="0.3">
      <c r="H8914" t="str">
        <f t="shared" si="188"/>
        <v/>
      </c>
    </row>
    <row r="8915" spans="8:8" x14ac:dyDescent="0.3">
      <c r="H8915" t="str">
        <f t="shared" si="188"/>
        <v/>
      </c>
    </row>
    <row r="8916" spans="8:8" x14ac:dyDescent="0.3">
      <c r="H8916" t="str">
        <f t="shared" si="188"/>
        <v/>
      </c>
    </row>
    <row r="8917" spans="8:8" x14ac:dyDescent="0.3">
      <c r="H8917" t="str">
        <f t="shared" si="188"/>
        <v/>
      </c>
    </row>
    <row r="8918" spans="8:8" x14ac:dyDescent="0.3">
      <c r="H8918" t="str">
        <f t="shared" si="188"/>
        <v/>
      </c>
    </row>
    <row r="8919" spans="8:8" x14ac:dyDescent="0.3">
      <c r="H8919" t="str">
        <f t="shared" ref="H8919:H8982" si="189">IF(B8919="","",$C$12)</f>
        <v/>
      </c>
    </row>
    <row r="8920" spans="8:8" x14ac:dyDescent="0.3">
      <c r="H8920" t="str">
        <f t="shared" si="189"/>
        <v/>
      </c>
    </row>
    <row r="8921" spans="8:8" x14ac:dyDescent="0.3">
      <c r="H8921" t="str">
        <f t="shared" si="189"/>
        <v/>
      </c>
    </row>
    <row r="8922" spans="8:8" x14ac:dyDescent="0.3">
      <c r="H8922" t="str">
        <f t="shared" si="189"/>
        <v/>
      </c>
    </row>
    <row r="8923" spans="8:8" x14ac:dyDescent="0.3">
      <c r="H8923" t="str">
        <f t="shared" si="189"/>
        <v/>
      </c>
    </row>
    <row r="8924" spans="8:8" x14ac:dyDescent="0.3">
      <c r="H8924" t="str">
        <f t="shared" si="189"/>
        <v/>
      </c>
    </row>
    <row r="8925" spans="8:8" x14ac:dyDescent="0.3">
      <c r="H8925" t="str">
        <f t="shared" si="189"/>
        <v/>
      </c>
    </row>
    <row r="8926" spans="8:8" x14ac:dyDescent="0.3">
      <c r="H8926" t="str">
        <f t="shared" si="189"/>
        <v/>
      </c>
    </row>
    <row r="8927" spans="8:8" x14ac:dyDescent="0.3">
      <c r="H8927" t="str">
        <f t="shared" si="189"/>
        <v/>
      </c>
    </row>
    <row r="8928" spans="8:8" x14ac:dyDescent="0.3">
      <c r="H8928" t="str">
        <f t="shared" si="189"/>
        <v/>
      </c>
    </row>
    <row r="8929" spans="8:8" x14ac:dyDescent="0.3">
      <c r="H8929" t="str">
        <f t="shared" si="189"/>
        <v/>
      </c>
    </row>
    <row r="8930" spans="8:8" x14ac:dyDescent="0.3">
      <c r="H8930" t="str">
        <f t="shared" si="189"/>
        <v/>
      </c>
    </row>
    <row r="8931" spans="8:8" x14ac:dyDescent="0.3">
      <c r="H8931" t="str">
        <f t="shared" si="189"/>
        <v/>
      </c>
    </row>
    <row r="8932" spans="8:8" x14ac:dyDescent="0.3">
      <c r="H8932" t="str">
        <f t="shared" si="189"/>
        <v/>
      </c>
    </row>
    <row r="8933" spans="8:8" x14ac:dyDescent="0.3">
      <c r="H8933" t="str">
        <f t="shared" si="189"/>
        <v/>
      </c>
    </row>
    <row r="8934" spans="8:8" x14ac:dyDescent="0.3">
      <c r="H8934" t="str">
        <f t="shared" si="189"/>
        <v/>
      </c>
    </row>
    <row r="8935" spans="8:8" x14ac:dyDescent="0.3">
      <c r="H8935" t="str">
        <f t="shared" si="189"/>
        <v/>
      </c>
    </row>
    <row r="8936" spans="8:8" x14ac:dyDescent="0.3">
      <c r="H8936" t="str">
        <f t="shared" si="189"/>
        <v/>
      </c>
    </row>
    <row r="8937" spans="8:8" x14ac:dyDescent="0.3">
      <c r="H8937" t="str">
        <f t="shared" si="189"/>
        <v/>
      </c>
    </row>
    <row r="8938" spans="8:8" x14ac:dyDescent="0.3">
      <c r="H8938" t="str">
        <f t="shared" si="189"/>
        <v/>
      </c>
    </row>
    <row r="8939" spans="8:8" x14ac:dyDescent="0.3">
      <c r="H8939" t="str">
        <f t="shared" si="189"/>
        <v/>
      </c>
    </row>
    <row r="8940" spans="8:8" x14ac:dyDescent="0.3">
      <c r="H8940" t="str">
        <f t="shared" si="189"/>
        <v/>
      </c>
    </row>
    <row r="8941" spans="8:8" x14ac:dyDescent="0.3">
      <c r="H8941" t="str">
        <f t="shared" si="189"/>
        <v/>
      </c>
    </row>
    <row r="8942" spans="8:8" x14ac:dyDescent="0.3">
      <c r="H8942" t="str">
        <f t="shared" si="189"/>
        <v/>
      </c>
    </row>
    <row r="8943" spans="8:8" x14ac:dyDescent="0.3">
      <c r="H8943" t="str">
        <f t="shared" si="189"/>
        <v/>
      </c>
    </row>
    <row r="8944" spans="8:8" x14ac:dyDescent="0.3">
      <c r="H8944" t="str">
        <f t="shared" si="189"/>
        <v/>
      </c>
    </row>
    <row r="8945" spans="8:8" x14ac:dyDescent="0.3">
      <c r="H8945" t="str">
        <f t="shared" si="189"/>
        <v/>
      </c>
    </row>
    <row r="8946" spans="8:8" x14ac:dyDescent="0.3">
      <c r="H8946" t="str">
        <f t="shared" si="189"/>
        <v/>
      </c>
    </row>
    <row r="8947" spans="8:8" x14ac:dyDescent="0.3">
      <c r="H8947" t="str">
        <f t="shared" si="189"/>
        <v/>
      </c>
    </row>
    <row r="8948" spans="8:8" x14ac:dyDescent="0.3">
      <c r="H8948" t="str">
        <f t="shared" si="189"/>
        <v/>
      </c>
    </row>
    <row r="8949" spans="8:8" x14ac:dyDescent="0.3">
      <c r="H8949" t="str">
        <f t="shared" si="189"/>
        <v/>
      </c>
    </row>
    <row r="8950" spans="8:8" x14ac:dyDescent="0.3">
      <c r="H8950" t="str">
        <f t="shared" si="189"/>
        <v/>
      </c>
    </row>
    <row r="8951" spans="8:8" x14ac:dyDescent="0.3">
      <c r="H8951" t="str">
        <f t="shared" si="189"/>
        <v/>
      </c>
    </row>
    <row r="8952" spans="8:8" x14ac:dyDescent="0.3">
      <c r="H8952" t="str">
        <f t="shared" si="189"/>
        <v/>
      </c>
    </row>
    <row r="8953" spans="8:8" x14ac:dyDescent="0.3">
      <c r="H8953" t="str">
        <f t="shared" si="189"/>
        <v/>
      </c>
    </row>
    <row r="8954" spans="8:8" x14ac:dyDescent="0.3">
      <c r="H8954" t="str">
        <f t="shared" si="189"/>
        <v/>
      </c>
    </row>
    <row r="8955" spans="8:8" x14ac:dyDescent="0.3">
      <c r="H8955" t="str">
        <f t="shared" si="189"/>
        <v/>
      </c>
    </row>
    <row r="8956" spans="8:8" x14ac:dyDescent="0.3">
      <c r="H8956" t="str">
        <f t="shared" si="189"/>
        <v/>
      </c>
    </row>
    <row r="8957" spans="8:8" x14ac:dyDescent="0.3">
      <c r="H8957" t="str">
        <f t="shared" si="189"/>
        <v/>
      </c>
    </row>
    <row r="8958" spans="8:8" x14ac:dyDescent="0.3">
      <c r="H8958" t="str">
        <f t="shared" si="189"/>
        <v/>
      </c>
    </row>
    <row r="8959" spans="8:8" x14ac:dyDescent="0.3">
      <c r="H8959" t="str">
        <f t="shared" si="189"/>
        <v/>
      </c>
    </row>
    <row r="8960" spans="8:8" x14ac:dyDescent="0.3">
      <c r="H8960" t="str">
        <f t="shared" si="189"/>
        <v/>
      </c>
    </row>
    <row r="8961" spans="8:8" x14ac:dyDescent="0.3">
      <c r="H8961" t="str">
        <f t="shared" si="189"/>
        <v/>
      </c>
    </row>
    <row r="8962" spans="8:8" x14ac:dyDescent="0.3">
      <c r="H8962" t="str">
        <f t="shared" si="189"/>
        <v/>
      </c>
    </row>
    <row r="8963" spans="8:8" x14ac:dyDescent="0.3">
      <c r="H8963" t="str">
        <f t="shared" si="189"/>
        <v/>
      </c>
    </row>
    <row r="8964" spans="8:8" x14ac:dyDescent="0.3">
      <c r="H8964" t="str">
        <f t="shared" si="189"/>
        <v/>
      </c>
    </row>
    <row r="8965" spans="8:8" x14ac:dyDescent="0.3">
      <c r="H8965" t="str">
        <f t="shared" si="189"/>
        <v/>
      </c>
    </row>
    <row r="8966" spans="8:8" x14ac:dyDescent="0.3">
      <c r="H8966" t="str">
        <f t="shared" si="189"/>
        <v/>
      </c>
    </row>
    <row r="8967" spans="8:8" x14ac:dyDescent="0.3">
      <c r="H8967" t="str">
        <f t="shared" si="189"/>
        <v/>
      </c>
    </row>
    <row r="8968" spans="8:8" x14ac:dyDescent="0.3">
      <c r="H8968" t="str">
        <f t="shared" si="189"/>
        <v/>
      </c>
    </row>
    <row r="8969" spans="8:8" x14ac:dyDescent="0.3">
      <c r="H8969" t="str">
        <f t="shared" si="189"/>
        <v/>
      </c>
    </row>
    <row r="8970" spans="8:8" x14ac:dyDescent="0.3">
      <c r="H8970" t="str">
        <f t="shared" si="189"/>
        <v/>
      </c>
    </row>
    <row r="8971" spans="8:8" x14ac:dyDescent="0.3">
      <c r="H8971" t="str">
        <f t="shared" si="189"/>
        <v/>
      </c>
    </row>
    <row r="8972" spans="8:8" x14ac:dyDescent="0.3">
      <c r="H8972" t="str">
        <f t="shared" si="189"/>
        <v/>
      </c>
    </row>
    <row r="8973" spans="8:8" x14ac:dyDescent="0.3">
      <c r="H8973" t="str">
        <f t="shared" si="189"/>
        <v/>
      </c>
    </row>
    <row r="8974" spans="8:8" x14ac:dyDescent="0.3">
      <c r="H8974" t="str">
        <f t="shared" si="189"/>
        <v/>
      </c>
    </row>
    <row r="8975" spans="8:8" x14ac:dyDescent="0.3">
      <c r="H8975" t="str">
        <f t="shared" si="189"/>
        <v/>
      </c>
    </row>
    <row r="8976" spans="8:8" x14ac:dyDescent="0.3">
      <c r="H8976" t="str">
        <f t="shared" si="189"/>
        <v/>
      </c>
    </row>
    <row r="8977" spans="8:8" x14ac:dyDescent="0.3">
      <c r="H8977" t="str">
        <f t="shared" si="189"/>
        <v/>
      </c>
    </row>
    <row r="8978" spans="8:8" x14ac:dyDescent="0.3">
      <c r="H8978" t="str">
        <f t="shared" si="189"/>
        <v/>
      </c>
    </row>
    <row r="8979" spans="8:8" x14ac:dyDescent="0.3">
      <c r="H8979" t="str">
        <f t="shared" si="189"/>
        <v/>
      </c>
    </row>
    <row r="8980" spans="8:8" x14ac:dyDescent="0.3">
      <c r="H8980" t="str">
        <f t="shared" si="189"/>
        <v/>
      </c>
    </row>
    <row r="8981" spans="8:8" x14ac:dyDescent="0.3">
      <c r="H8981" t="str">
        <f t="shared" si="189"/>
        <v/>
      </c>
    </row>
    <row r="8982" spans="8:8" x14ac:dyDescent="0.3">
      <c r="H8982" t="str">
        <f t="shared" si="189"/>
        <v/>
      </c>
    </row>
    <row r="8983" spans="8:8" x14ac:dyDescent="0.3">
      <c r="H8983" t="str">
        <f t="shared" ref="H8983:H9046" si="190">IF(B8983="","",$C$12)</f>
        <v/>
      </c>
    </row>
    <row r="8984" spans="8:8" x14ac:dyDescent="0.3">
      <c r="H8984" t="str">
        <f t="shared" si="190"/>
        <v/>
      </c>
    </row>
    <row r="8985" spans="8:8" x14ac:dyDescent="0.3">
      <c r="H8985" t="str">
        <f t="shared" si="190"/>
        <v/>
      </c>
    </row>
    <row r="8986" spans="8:8" x14ac:dyDescent="0.3">
      <c r="H8986" t="str">
        <f t="shared" si="190"/>
        <v/>
      </c>
    </row>
    <row r="8987" spans="8:8" x14ac:dyDescent="0.3">
      <c r="H8987" t="str">
        <f t="shared" si="190"/>
        <v/>
      </c>
    </row>
    <row r="8988" spans="8:8" x14ac:dyDescent="0.3">
      <c r="H8988" t="str">
        <f t="shared" si="190"/>
        <v/>
      </c>
    </row>
    <row r="8989" spans="8:8" x14ac:dyDescent="0.3">
      <c r="H8989" t="str">
        <f t="shared" si="190"/>
        <v/>
      </c>
    </row>
    <row r="8990" spans="8:8" x14ac:dyDescent="0.3">
      <c r="H8990" t="str">
        <f t="shared" si="190"/>
        <v/>
      </c>
    </row>
    <row r="8991" spans="8:8" x14ac:dyDescent="0.3">
      <c r="H8991" t="str">
        <f t="shared" si="190"/>
        <v/>
      </c>
    </row>
    <row r="8992" spans="8:8" x14ac:dyDescent="0.3">
      <c r="H8992" t="str">
        <f t="shared" si="190"/>
        <v/>
      </c>
    </row>
    <row r="8993" spans="8:8" x14ac:dyDescent="0.3">
      <c r="H8993" t="str">
        <f t="shared" si="190"/>
        <v/>
      </c>
    </row>
    <row r="8994" spans="8:8" x14ac:dyDescent="0.3">
      <c r="H8994" t="str">
        <f t="shared" si="190"/>
        <v/>
      </c>
    </row>
    <row r="8995" spans="8:8" x14ac:dyDescent="0.3">
      <c r="H8995" t="str">
        <f t="shared" si="190"/>
        <v/>
      </c>
    </row>
    <row r="8996" spans="8:8" x14ac:dyDescent="0.3">
      <c r="H8996" t="str">
        <f t="shared" si="190"/>
        <v/>
      </c>
    </row>
    <row r="8997" spans="8:8" x14ac:dyDescent="0.3">
      <c r="H8997" t="str">
        <f t="shared" si="190"/>
        <v/>
      </c>
    </row>
    <row r="8998" spans="8:8" x14ac:dyDescent="0.3">
      <c r="H8998" t="str">
        <f t="shared" si="190"/>
        <v/>
      </c>
    </row>
    <row r="8999" spans="8:8" x14ac:dyDescent="0.3">
      <c r="H8999" t="str">
        <f t="shared" si="190"/>
        <v/>
      </c>
    </row>
    <row r="9000" spans="8:8" x14ac:dyDescent="0.3">
      <c r="H9000" t="str">
        <f t="shared" si="190"/>
        <v/>
      </c>
    </row>
    <row r="9001" spans="8:8" x14ac:dyDescent="0.3">
      <c r="H9001" t="str">
        <f t="shared" si="190"/>
        <v/>
      </c>
    </row>
    <row r="9002" spans="8:8" x14ac:dyDescent="0.3">
      <c r="H9002" t="str">
        <f t="shared" si="190"/>
        <v/>
      </c>
    </row>
    <row r="9003" spans="8:8" x14ac:dyDescent="0.3">
      <c r="H9003" t="str">
        <f t="shared" si="190"/>
        <v/>
      </c>
    </row>
    <row r="9004" spans="8:8" x14ac:dyDescent="0.3">
      <c r="H9004" t="str">
        <f t="shared" si="190"/>
        <v/>
      </c>
    </row>
    <row r="9005" spans="8:8" x14ac:dyDescent="0.3">
      <c r="H9005" t="str">
        <f t="shared" si="190"/>
        <v/>
      </c>
    </row>
    <row r="9006" spans="8:8" x14ac:dyDescent="0.3">
      <c r="H9006" t="str">
        <f t="shared" si="190"/>
        <v/>
      </c>
    </row>
    <row r="9007" spans="8:8" x14ac:dyDescent="0.3">
      <c r="H9007" t="str">
        <f t="shared" si="190"/>
        <v/>
      </c>
    </row>
    <row r="9008" spans="8:8" x14ac:dyDescent="0.3">
      <c r="H9008" t="str">
        <f t="shared" si="190"/>
        <v/>
      </c>
    </row>
    <row r="9009" spans="8:8" x14ac:dyDescent="0.3">
      <c r="H9009" t="str">
        <f t="shared" si="190"/>
        <v/>
      </c>
    </row>
    <row r="9010" spans="8:8" x14ac:dyDescent="0.3">
      <c r="H9010" t="str">
        <f t="shared" si="190"/>
        <v/>
      </c>
    </row>
    <row r="9011" spans="8:8" x14ac:dyDescent="0.3">
      <c r="H9011" t="str">
        <f t="shared" si="190"/>
        <v/>
      </c>
    </row>
    <row r="9012" spans="8:8" x14ac:dyDescent="0.3">
      <c r="H9012" t="str">
        <f t="shared" si="190"/>
        <v/>
      </c>
    </row>
    <row r="9013" spans="8:8" x14ac:dyDescent="0.3">
      <c r="H9013" t="str">
        <f t="shared" si="190"/>
        <v/>
      </c>
    </row>
    <row r="9014" spans="8:8" x14ac:dyDescent="0.3">
      <c r="H9014" t="str">
        <f t="shared" si="190"/>
        <v/>
      </c>
    </row>
    <row r="9015" spans="8:8" x14ac:dyDescent="0.3">
      <c r="H9015" t="str">
        <f t="shared" si="190"/>
        <v/>
      </c>
    </row>
    <row r="9016" spans="8:8" x14ac:dyDescent="0.3">
      <c r="H9016" t="str">
        <f t="shared" si="190"/>
        <v/>
      </c>
    </row>
    <row r="9017" spans="8:8" x14ac:dyDescent="0.3">
      <c r="H9017" t="str">
        <f t="shared" si="190"/>
        <v/>
      </c>
    </row>
    <row r="9018" spans="8:8" x14ac:dyDescent="0.3">
      <c r="H9018" t="str">
        <f t="shared" si="190"/>
        <v/>
      </c>
    </row>
    <row r="9019" spans="8:8" x14ac:dyDescent="0.3">
      <c r="H9019" t="str">
        <f t="shared" si="190"/>
        <v/>
      </c>
    </row>
    <row r="9020" spans="8:8" x14ac:dyDescent="0.3">
      <c r="H9020" t="str">
        <f t="shared" si="190"/>
        <v/>
      </c>
    </row>
    <row r="9021" spans="8:8" x14ac:dyDescent="0.3">
      <c r="H9021" t="str">
        <f t="shared" si="190"/>
        <v/>
      </c>
    </row>
    <row r="9022" spans="8:8" x14ac:dyDescent="0.3">
      <c r="H9022" t="str">
        <f t="shared" si="190"/>
        <v/>
      </c>
    </row>
    <row r="9023" spans="8:8" x14ac:dyDescent="0.3">
      <c r="H9023" t="str">
        <f t="shared" si="190"/>
        <v/>
      </c>
    </row>
    <row r="9024" spans="8:8" x14ac:dyDescent="0.3">
      <c r="H9024" t="str">
        <f t="shared" si="190"/>
        <v/>
      </c>
    </row>
    <row r="9025" spans="8:8" x14ac:dyDescent="0.3">
      <c r="H9025" t="str">
        <f t="shared" si="190"/>
        <v/>
      </c>
    </row>
    <row r="9026" spans="8:8" x14ac:dyDescent="0.3">
      <c r="H9026" t="str">
        <f t="shared" si="190"/>
        <v/>
      </c>
    </row>
    <row r="9027" spans="8:8" x14ac:dyDescent="0.3">
      <c r="H9027" t="str">
        <f t="shared" si="190"/>
        <v/>
      </c>
    </row>
    <row r="9028" spans="8:8" x14ac:dyDescent="0.3">
      <c r="H9028" t="str">
        <f t="shared" si="190"/>
        <v/>
      </c>
    </row>
    <row r="9029" spans="8:8" x14ac:dyDescent="0.3">
      <c r="H9029" t="str">
        <f t="shared" si="190"/>
        <v/>
      </c>
    </row>
    <row r="9030" spans="8:8" x14ac:dyDescent="0.3">
      <c r="H9030" t="str">
        <f t="shared" si="190"/>
        <v/>
      </c>
    </row>
    <row r="9031" spans="8:8" x14ac:dyDescent="0.3">
      <c r="H9031" t="str">
        <f t="shared" si="190"/>
        <v/>
      </c>
    </row>
    <row r="9032" spans="8:8" x14ac:dyDescent="0.3">
      <c r="H9032" t="str">
        <f t="shared" si="190"/>
        <v/>
      </c>
    </row>
    <row r="9033" spans="8:8" x14ac:dyDescent="0.3">
      <c r="H9033" t="str">
        <f t="shared" si="190"/>
        <v/>
      </c>
    </row>
    <row r="9034" spans="8:8" x14ac:dyDescent="0.3">
      <c r="H9034" t="str">
        <f t="shared" si="190"/>
        <v/>
      </c>
    </row>
    <row r="9035" spans="8:8" x14ac:dyDescent="0.3">
      <c r="H9035" t="str">
        <f t="shared" si="190"/>
        <v/>
      </c>
    </row>
    <row r="9036" spans="8:8" x14ac:dyDescent="0.3">
      <c r="H9036" t="str">
        <f t="shared" si="190"/>
        <v/>
      </c>
    </row>
    <row r="9037" spans="8:8" x14ac:dyDescent="0.3">
      <c r="H9037" t="str">
        <f t="shared" si="190"/>
        <v/>
      </c>
    </row>
    <row r="9038" spans="8:8" x14ac:dyDescent="0.3">
      <c r="H9038" t="str">
        <f t="shared" si="190"/>
        <v/>
      </c>
    </row>
    <row r="9039" spans="8:8" x14ac:dyDescent="0.3">
      <c r="H9039" t="str">
        <f t="shared" si="190"/>
        <v/>
      </c>
    </row>
    <row r="9040" spans="8:8" x14ac:dyDescent="0.3">
      <c r="H9040" t="str">
        <f t="shared" si="190"/>
        <v/>
      </c>
    </row>
    <row r="9041" spans="8:8" x14ac:dyDescent="0.3">
      <c r="H9041" t="str">
        <f t="shared" si="190"/>
        <v/>
      </c>
    </row>
    <row r="9042" spans="8:8" x14ac:dyDescent="0.3">
      <c r="H9042" t="str">
        <f t="shared" si="190"/>
        <v/>
      </c>
    </row>
    <row r="9043" spans="8:8" x14ac:dyDescent="0.3">
      <c r="H9043" t="str">
        <f t="shared" si="190"/>
        <v/>
      </c>
    </row>
    <row r="9044" spans="8:8" x14ac:dyDescent="0.3">
      <c r="H9044" t="str">
        <f t="shared" si="190"/>
        <v/>
      </c>
    </row>
    <row r="9045" spans="8:8" x14ac:dyDescent="0.3">
      <c r="H9045" t="str">
        <f t="shared" si="190"/>
        <v/>
      </c>
    </row>
    <row r="9046" spans="8:8" x14ac:dyDescent="0.3">
      <c r="H9046" t="str">
        <f t="shared" si="190"/>
        <v/>
      </c>
    </row>
    <row r="9047" spans="8:8" x14ac:dyDescent="0.3">
      <c r="H9047" t="str">
        <f t="shared" ref="H9047:H9110" si="191">IF(B9047="","",$C$12)</f>
        <v/>
      </c>
    </row>
    <row r="9048" spans="8:8" x14ac:dyDescent="0.3">
      <c r="H9048" t="str">
        <f t="shared" si="191"/>
        <v/>
      </c>
    </row>
    <row r="9049" spans="8:8" x14ac:dyDescent="0.3">
      <c r="H9049" t="str">
        <f t="shared" si="191"/>
        <v/>
      </c>
    </row>
    <row r="9050" spans="8:8" x14ac:dyDescent="0.3">
      <c r="H9050" t="str">
        <f t="shared" si="191"/>
        <v/>
      </c>
    </row>
    <row r="9051" spans="8:8" x14ac:dyDescent="0.3">
      <c r="H9051" t="str">
        <f t="shared" si="191"/>
        <v/>
      </c>
    </row>
    <row r="9052" spans="8:8" x14ac:dyDescent="0.3">
      <c r="H9052" t="str">
        <f t="shared" si="191"/>
        <v/>
      </c>
    </row>
    <row r="9053" spans="8:8" x14ac:dyDescent="0.3">
      <c r="H9053" t="str">
        <f t="shared" si="191"/>
        <v/>
      </c>
    </row>
    <row r="9054" spans="8:8" x14ac:dyDescent="0.3">
      <c r="H9054" t="str">
        <f t="shared" si="191"/>
        <v/>
      </c>
    </row>
    <row r="9055" spans="8:8" x14ac:dyDescent="0.3">
      <c r="H9055" t="str">
        <f t="shared" si="191"/>
        <v/>
      </c>
    </row>
    <row r="9056" spans="8:8" x14ac:dyDescent="0.3">
      <c r="H9056" t="str">
        <f t="shared" si="191"/>
        <v/>
      </c>
    </row>
    <row r="9057" spans="8:8" x14ac:dyDescent="0.3">
      <c r="H9057" t="str">
        <f t="shared" si="191"/>
        <v/>
      </c>
    </row>
    <row r="9058" spans="8:8" x14ac:dyDescent="0.3">
      <c r="H9058" t="str">
        <f t="shared" si="191"/>
        <v/>
      </c>
    </row>
    <row r="9059" spans="8:8" x14ac:dyDescent="0.3">
      <c r="H9059" t="str">
        <f t="shared" si="191"/>
        <v/>
      </c>
    </row>
    <row r="9060" spans="8:8" x14ac:dyDescent="0.3">
      <c r="H9060" t="str">
        <f t="shared" si="191"/>
        <v/>
      </c>
    </row>
    <row r="9061" spans="8:8" x14ac:dyDescent="0.3">
      <c r="H9061" t="str">
        <f t="shared" si="191"/>
        <v/>
      </c>
    </row>
    <row r="9062" spans="8:8" x14ac:dyDescent="0.3">
      <c r="H9062" t="str">
        <f t="shared" si="191"/>
        <v/>
      </c>
    </row>
    <row r="9063" spans="8:8" x14ac:dyDescent="0.3">
      <c r="H9063" t="str">
        <f t="shared" si="191"/>
        <v/>
      </c>
    </row>
    <row r="9064" spans="8:8" x14ac:dyDescent="0.3">
      <c r="H9064" t="str">
        <f t="shared" si="191"/>
        <v/>
      </c>
    </row>
    <row r="9065" spans="8:8" x14ac:dyDescent="0.3">
      <c r="H9065" t="str">
        <f t="shared" si="191"/>
        <v/>
      </c>
    </row>
    <row r="9066" spans="8:8" x14ac:dyDescent="0.3">
      <c r="H9066" t="str">
        <f t="shared" si="191"/>
        <v/>
      </c>
    </row>
    <row r="9067" spans="8:8" x14ac:dyDescent="0.3">
      <c r="H9067" t="str">
        <f t="shared" si="191"/>
        <v/>
      </c>
    </row>
    <row r="9068" spans="8:8" x14ac:dyDescent="0.3">
      <c r="H9068" t="str">
        <f t="shared" si="191"/>
        <v/>
      </c>
    </row>
    <row r="9069" spans="8:8" x14ac:dyDescent="0.3">
      <c r="H9069" t="str">
        <f t="shared" si="191"/>
        <v/>
      </c>
    </row>
    <row r="9070" spans="8:8" x14ac:dyDescent="0.3">
      <c r="H9070" t="str">
        <f t="shared" si="191"/>
        <v/>
      </c>
    </row>
    <row r="9071" spans="8:8" x14ac:dyDescent="0.3">
      <c r="H9071" t="str">
        <f t="shared" si="191"/>
        <v/>
      </c>
    </row>
    <row r="9072" spans="8:8" x14ac:dyDescent="0.3">
      <c r="H9072" t="str">
        <f t="shared" si="191"/>
        <v/>
      </c>
    </row>
    <row r="9073" spans="8:8" x14ac:dyDescent="0.3">
      <c r="H9073" t="str">
        <f t="shared" si="191"/>
        <v/>
      </c>
    </row>
    <row r="9074" spans="8:8" x14ac:dyDescent="0.3">
      <c r="H9074" t="str">
        <f t="shared" si="191"/>
        <v/>
      </c>
    </row>
    <row r="9075" spans="8:8" x14ac:dyDescent="0.3">
      <c r="H9075" t="str">
        <f t="shared" si="191"/>
        <v/>
      </c>
    </row>
    <row r="9076" spans="8:8" x14ac:dyDescent="0.3">
      <c r="H9076" t="str">
        <f t="shared" si="191"/>
        <v/>
      </c>
    </row>
    <row r="9077" spans="8:8" x14ac:dyDescent="0.3">
      <c r="H9077" t="str">
        <f t="shared" si="191"/>
        <v/>
      </c>
    </row>
    <row r="9078" spans="8:8" x14ac:dyDescent="0.3">
      <c r="H9078" t="str">
        <f t="shared" si="191"/>
        <v/>
      </c>
    </row>
    <row r="9079" spans="8:8" x14ac:dyDescent="0.3">
      <c r="H9079" t="str">
        <f t="shared" si="191"/>
        <v/>
      </c>
    </row>
    <row r="9080" spans="8:8" x14ac:dyDescent="0.3">
      <c r="H9080" t="str">
        <f t="shared" si="191"/>
        <v/>
      </c>
    </row>
    <row r="9081" spans="8:8" x14ac:dyDescent="0.3">
      <c r="H9081" t="str">
        <f t="shared" si="191"/>
        <v/>
      </c>
    </row>
    <row r="9082" spans="8:8" x14ac:dyDescent="0.3">
      <c r="H9082" t="str">
        <f t="shared" si="191"/>
        <v/>
      </c>
    </row>
    <row r="9083" spans="8:8" x14ac:dyDescent="0.3">
      <c r="H9083" t="str">
        <f t="shared" si="191"/>
        <v/>
      </c>
    </row>
    <row r="9084" spans="8:8" x14ac:dyDescent="0.3">
      <c r="H9084" t="str">
        <f t="shared" si="191"/>
        <v/>
      </c>
    </row>
    <row r="9085" spans="8:8" x14ac:dyDescent="0.3">
      <c r="H9085" t="str">
        <f t="shared" si="191"/>
        <v/>
      </c>
    </row>
    <row r="9086" spans="8:8" x14ac:dyDescent="0.3">
      <c r="H9086" t="str">
        <f t="shared" si="191"/>
        <v/>
      </c>
    </row>
    <row r="9087" spans="8:8" x14ac:dyDescent="0.3">
      <c r="H9087" t="str">
        <f t="shared" si="191"/>
        <v/>
      </c>
    </row>
    <row r="9088" spans="8:8" x14ac:dyDescent="0.3">
      <c r="H9088" t="str">
        <f t="shared" si="191"/>
        <v/>
      </c>
    </row>
    <row r="9089" spans="8:8" x14ac:dyDescent="0.3">
      <c r="H9089" t="str">
        <f t="shared" si="191"/>
        <v/>
      </c>
    </row>
    <row r="9090" spans="8:8" x14ac:dyDescent="0.3">
      <c r="H9090" t="str">
        <f t="shared" si="191"/>
        <v/>
      </c>
    </row>
    <row r="9091" spans="8:8" x14ac:dyDescent="0.3">
      <c r="H9091" t="str">
        <f t="shared" si="191"/>
        <v/>
      </c>
    </row>
    <row r="9092" spans="8:8" x14ac:dyDescent="0.3">
      <c r="H9092" t="str">
        <f t="shared" si="191"/>
        <v/>
      </c>
    </row>
    <row r="9093" spans="8:8" x14ac:dyDescent="0.3">
      <c r="H9093" t="str">
        <f t="shared" si="191"/>
        <v/>
      </c>
    </row>
    <row r="9094" spans="8:8" x14ac:dyDescent="0.3">
      <c r="H9094" t="str">
        <f t="shared" si="191"/>
        <v/>
      </c>
    </row>
    <row r="9095" spans="8:8" x14ac:dyDescent="0.3">
      <c r="H9095" t="str">
        <f t="shared" si="191"/>
        <v/>
      </c>
    </row>
    <row r="9096" spans="8:8" x14ac:dyDescent="0.3">
      <c r="H9096" t="str">
        <f t="shared" si="191"/>
        <v/>
      </c>
    </row>
    <row r="9097" spans="8:8" x14ac:dyDescent="0.3">
      <c r="H9097" t="str">
        <f t="shared" si="191"/>
        <v/>
      </c>
    </row>
    <row r="9098" spans="8:8" x14ac:dyDescent="0.3">
      <c r="H9098" t="str">
        <f t="shared" si="191"/>
        <v/>
      </c>
    </row>
    <row r="9099" spans="8:8" x14ac:dyDescent="0.3">
      <c r="H9099" t="str">
        <f t="shared" si="191"/>
        <v/>
      </c>
    </row>
    <row r="9100" spans="8:8" x14ac:dyDescent="0.3">
      <c r="H9100" t="str">
        <f t="shared" si="191"/>
        <v/>
      </c>
    </row>
    <row r="9101" spans="8:8" x14ac:dyDescent="0.3">
      <c r="H9101" t="str">
        <f t="shared" si="191"/>
        <v/>
      </c>
    </row>
    <row r="9102" spans="8:8" x14ac:dyDescent="0.3">
      <c r="H9102" t="str">
        <f t="shared" si="191"/>
        <v/>
      </c>
    </row>
    <row r="9103" spans="8:8" x14ac:dyDescent="0.3">
      <c r="H9103" t="str">
        <f t="shared" si="191"/>
        <v/>
      </c>
    </row>
    <row r="9104" spans="8:8" x14ac:dyDescent="0.3">
      <c r="H9104" t="str">
        <f t="shared" si="191"/>
        <v/>
      </c>
    </row>
    <row r="9105" spans="8:8" x14ac:dyDescent="0.3">
      <c r="H9105" t="str">
        <f t="shared" si="191"/>
        <v/>
      </c>
    </row>
    <row r="9106" spans="8:8" x14ac:dyDescent="0.3">
      <c r="H9106" t="str">
        <f t="shared" si="191"/>
        <v/>
      </c>
    </row>
    <row r="9107" spans="8:8" x14ac:dyDescent="0.3">
      <c r="H9107" t="str">
        <f t="shared" si="191"/>
        <v/>
      </c>
    </row>
    <row r="9108" spans="8:8" x14ac:dyDescent="0.3">
      <c r="H9108" t="str">
        <f t="shared" si="191"/>
        <v/>
      </c>
    </row>
    <row r="9109" spans="8:8" x14ac:dyDescent="0.3">
      <c r="H9109" t="str">
        <f t="shared" si="191"/>
        <v/>
      </c>
    </row>
    <row r="9110" spans="8:8" x14ac:dyDescent="0.3">
      <c r="H9110" t="str">
        <f t="shared" si="191"/>
        <v/>
      </c>
    </row>
    <row r="9111" spans="8:8" x14ac:dyDescent="0.3">
      <c r="H9111" t="str">
        <f t="shared" ref="H9111:H9174" si="192">IF(B9111="","",$C$12)</f>
        <v/>
      </c>
    </row>
    <row r="9112" spans="8:8" x14ac:dyDescent="0.3">
      <c r="H9112" t="str">
        <f t="shared" si="192"/>
        <v/>
      </c>
    </row>
    <row r="9113" spans="8:8" x14ac:dyDescent="0.3">
      <c r="H9113" t="str">
        <f t="shared" si="192"/>
        <v/>
      </c>
    </row>
    <row r="9114" spans="8:8" x14ac:dyDescent="0.3">
      <c r="H9114" t="str">
        <f t="shared" si="192"/>
        <v/>
      </c>
    </row>
    <row r="9115" spans="8:8" x14ac:dyDescent="0.3">
      <c r="H9115" t="str">
        <f t="shared" si="192"/>
        <v/>
      </c>
    </row>
    <row r="9116" spans="8:8" x14ac:dyDescent="0.3">
      <c r="H9116" t="str">
        <f t="shared" si="192"/>
        <v/>
      </c>
    </row>
    <row r="9117" spans="8:8" x14ac:dyDescent="0.3">
      <c r="H9117" t="str">
        <f t="shared" si="192"/>
        <v/>
      </c>
    </row>
    <row r="9118" spans="8:8" x14ac:dyDescent="0.3">
      <c r="H9118" t="str">
        <f t="shared" si="192"/>
        <v/>
      </c>
    </row>
    <row r="9119" spans="8:8" x14ac:dyDescent="0.3">
      <c r="H9119" t="str">
        <f t="shared" si="192"/>
        <v/>
      </c>
    </row>
    <row r="9120" spans="8:8" x14ac:dyDescent="0.3">
      <c r="H9120" t="str">
        <f t="shared" si="192"/>
        <v/>
      </c>
    </row>
    <row r="9121" spans="8:8" x14ac:dyDescent="0.3">
      <c r="H9121" t="str">
        <f t="shared" si="192"/>
        <v/>
      </c>
    </row>
    <row r="9122" spans="8:8" x14ac:dyDescent="0.3">
      <c r="H9122" t="str">
        <f t="shared" si="192"/>
        <v/>
      </c>
    </row>
    <row r="9123" spans="8:8" x14ac:dyDescent="0.3">
      <c r="H9123" t="str">
        <f t="shared" si="192"/>
        <v/>
      </c>
    </row>
    <row r="9124" spans="8:8" x14ac:dyDescent="0.3">
      <c r="H9124" t="str">
        <f t="shared" si="192"/>
        <v/>
      </c>
    </row>
    <row r="9125" spans="8:8" x14ac:dyDescent="0.3">
      <c r="H9125" t="str">
        <f t="shared" si="192"/>
        <v/>
      </c>
    </row>
    <row r="9126" spans="8:8" x14ac:dyDescent="0.3">
      <c r="H9126" t="str">
        <f t="shared" si="192"/>
        <v/>
      </c>
    </row>
    <row r="9127" spans="8:8" x14ac:dyDescent="0.3">
      <c r="H9127" t="str">
        <f t="shared" si="192"/>
        <v/>
      </c>
    </row>
    <row r="9128" spans="8:8" x14ac:dyDescent="0.3">
      <c r="H9128" t="str">
        <f t="shared" si="192"/>
        <v/>
      </c>
    </row>
    <row r="9129" spans="8:8" x14ac:dyDescent="0.3">
      <c r="H9129" t="str">
        <f t="shared" si="192"/>
        <v/>
      </c>
    </row>
    <row r="9130" spans="8:8" x14ac:dyDescent="0.3">
      <c r="H9130" t="str">
        <f t="shared" si="192"/>
        <v/>
      </c>
    </row>
    <row r="9131" spans="8:8" x14ac:dyDescent="0.3">
      <c r="H9131" t="str">
        <f t="shared" si="192"/>
        <v/>
      </c>
    </row>
    <row r="9132" spans="8:8" x14ac:dyDescent="0.3">
      <c r="H9132" t="str">
        <f t="shared" si="192"/>
        <v/>
      </c>
    </row>
    <row r="9133" spans="8:8" x14ac:dyDescent="0.3">
      <c r="H9133" t="str">
        <f t="shared" si="192"/>
        <v/>
      </c>
    </row>
    <row r="9134" spans="8:8" x14ac:dyDescent="0.3">
      <c r="H9134" t="str">
        <f t="shared" si="192"/>
        <v/>
      </c>
    </row>
    <row r="9135" spans="8:8" x14ac:dyDescent="0.3">
      <c r="H9135" t="str">
        <f t="shared" si="192"/>
        <v/>
      </c>
    </row>
    <row r="9136" spans="8:8" x14ac:dyDescent="0.3">
      <c r="H9136" t="str">
        <f t="shared" si="192"/>
        <v/>
      </c>
    </row>
    <row r="9137" spans="8:8" x14ac:dyDescent="0.3">
      <c r="H9137" t="str">
        <f t="shared" si="192"/>
        <v/>
      </c>
    </row>
    <row r="9138" spans="8:8" x14ac:dyDescent="0.3">
      <c r="H9138" t="str">
        <f t="shared" si="192"/>
        <v/>
      </c>
    </row>
    <row r="9139" spans="8:8" x14ac:dyDescent="0.3">
      <c r="H9139" t="str">
        <f t="shared" si="192"/>
        <v/>
      </c>
    </row>
    <row r="9140" spans="8:8" x14ac:dyDescent="0.3">
      <c r="H9140" t="str">
        <f t="shared" si="192"/>
        <v/>
      </c>
    </row>
    <row r="9141" spans="8:8" x14ac:dyDescent="0.3">
      <c r="H9141" t="str">
        <f t="shared" si="192"/>
        <v/>
      </c>
    </row>
    <row r="9142" spans="8:8" x14ac:dyDescent="0.3">
      <c r="H9142" t="str">
        <f t="shared" si="192"/>
        <v/>
      </c>
    </row>
    <row r="9143" spans="8:8" x14ac:dyDescent="0.3">
      <c r="H9143" t="str">
        <f t="shared" si="192"/>
        <v/>
      </c>
    </row>
    <row r="9144" spans="8:8" x14ac:dyDescent="0.3">
      <c r="H9144" t="str">
        <f t="shared" si="192"/>
        <v/>
      </c>
    </row>
    <row r="9145" spans="8:8" x14ac:dyDescent="0.3">
      <c r="H9145" t="str">
        <f t="shared" si="192"/>
        <v/>
      </c>
    </row>
    <row r="9146" spans="8:8" x14ac:dyDescent="0.3">
      <c r="H9146" t="str">
        <f t="shared" si="192"/>
        <v/>
      </c>
    </row>
    <row r="9147" spans="8:8" x14ac:dyDescent="0.3">
      <c r="H9147" t="str">
        <f t="shared" si="192"/>
        <v/>
      </c>
    </row>
    <row r="9148" spans="8:8" x14ac:dyDescent="0.3">
      <c r="H9148" t="str">
        <f t="shared" si="192"/>
        <v/>
      </c>
    </row>
    <row r="9149" spans="8:8" x14ac:dyDescent="0.3">
      <c r="H9149" t="str">
        <f t="shared" si="192"/>
        <v/>
      </c>
    </row>
    <row r="9150" spans="8:8" x14ac:dyDescent="0.3">
      <c r="H9150" t="str">
        <f t="shared" si="192"/>
        <v/>
      </c>
    </row>
    <row r="9151" spans="8:8" x14ac:dyDescent="0.3">
      <c r="H9151" t="str">
        <f t="shared" si="192"/>
        <v/>
      </c>
    </row>
    <row r="9152" spans="8:8" x14ac:dyDescent="0.3">
      <c r="H9152" t="str">
        <f t="shared" si="192"/>
        <v/>
      </c>
    </row>
    <row r="9153" spans="8:8" x14ac:dyDescent="0.3">
      <c r="H9153" t="str">
        <f t="shared" si="192"/>
        <v/>
      </c>
    </row>
    <row r="9154" spans="8:8" x14ac:dyDescent="0.3">
      <c r="H9154" t="str">
        <f t="shared" si="192"/>
        <v/>
      </c>
    </row>
    <row r="9155" spans="8:8" x14ac:dyDescent="0.3">
      <c r="H9155" t="str">
        <f t="shared" si="192"/>
        <v/>
      </c>
    </row>
    <row r="9156" spans="8:8" x14ac:dyDescent="0.3">
      <c r="H9156" t="str">
        <f t="shared" si="192"/>
        <v/>
      </c>
    </row>
    <row r="9157" spans="8:8" x14ac:dyDescent="0.3">
      <c r="H9157" t="str">
        <f t="shared" si="192"/>
        <v/>
      </c>
    </row>
    <row r="9158" spans="8:8" x14ac:dyDescent="0.3">
      <c r="H9158" t="str">
        <f t="shared" si="192"/>
        <v/>
      </c>
    </row>
    <row r="9159" spans="8:8" x14ac:dyDescent="0.3">
      <c r="H9159" t="str">
        <f t="shared" si="192"/>
        <v/>
      </c>
    </row>
    <row r="9160" spans="8:8" x14ac:dyDescent="0.3">
      <c r="H9160" t="str">
        <f t="shared" si="192"/>
        <v/>
      </c>
    </row>
    <row r="9161" spans="8:8" x14ac:dyDescent="0.3">
      <c r="H9161" t="str">
        <f t="shared" si="192"/>
        <v/>
      </c>
    </row>
    <row r="9162" spans="8:8" x14ac:dyDescent="0.3">
      <c r="H9162" t="str">
        <f t="shared" si="192"/>
        <v/>
      </c>
    </row>
    <row r="9163" spans="8:8" x14ac:dyDescent="0.3">
      <c r="H9163" t="str">
        <f t="shared" si="192"/>
        <v/>
      </c>
    </row>
    <row r="9164" spans="8:8" x14ac:dyDescent="0.3">
      <c r="H9164" t="str">
        <f t="shared" si="192"/>
        <v/>
      </c>
    </row>
    <row r="9165" spans="8:8" x14ac:dyDescent="0.3">
      <c r="H9165" t="str">
        <f t="shared" si="192"/>
        <v/>
      </c>
    </row>
    <row r="9166" spans="8:8" x14ac:dyDescent="0.3">
      <c r="H9166" t="str">
        <f t="shared" si="192"/>
        <v/>
      </c>
    </row>
    <row r="9167" spans="8:8" x14ac:dyDescent="0.3">
      <c r="H9167" t="str">
        <f t="shared" si="192"/>
        <v/>
      </c>
    </row>
    <row r="9168" spans="8:8" x14ac:dyDescent="0.3">
      <c r="H9168" t="str">
        <f t="shared" si="192"/>
        <v/>
      </c>
    </row>
    <row r="9169" spans="8:8" x14ac:dyDescent="0.3">
      <c r="H9169" t="str">
        <f t="shared" si="192"/>
        <v/>
      </c>
    </row>
    <row r="9170" spans="8:8" x14ac:dyDescent="0.3">
      <c r="H9170" t="str">
        <f t="shared" si="192"/>
        <v/>
      </c>
    </row>
    <row r="9171" spans="8:8" x14ac:dyDescent="0.3">
      <c r="H9171" t="str">
        <f t="shared" si="192"/>
        <v/>
      </c>
    </row>
    <row r="9172" spans="8:8" x14ac:dyDescent="0.3">
      <c r="H9172" t="str">
        <f t="shared" si="192"/>
        <v/>
      </c>
    </row>
    <row r="9173" spans="8:8" x14ac:dyDescent="0.3">
      <c r="H9173" t="str">
        <f t="shared" si="192"/>
        <v/>
      </c>
    </row>
    <row r="9174" spans="8:8" x14ac:dyDescent="0.3">
      <c r="H9174" t="str">
        <f t="shared" si="192"/>
        <v/>
      </c>
    </row>
    <row r="9175" spans="8:8" x14ac:dyDescent="0.3">
      <c r="H9175" t="str">
        <f t="shared" ref="H9175:H9238" si="193">IF(B9175="","",$C$12)</f>
        <v/>
      </c>
    </row>
    <row r="9176" spans="8:8" x14ac:dyDescent="0.3">
      <c r="H9176" t="str">
        <f t="shared" si="193"/>
        <v/>
      </c>
    </row>
    <row r="9177" spans="8:8" x14ac:dyDescent="0.3">
      <c r="H9177" t="str">
        <f t="shared" si="193"/>
        <v/>
      </c>
    </row>
    <row r="9178" spans="8:8" x14ac:dyDescent="0.3">
      <c r="H9178" t="str">
        <f t="shared" si="193"/>
        <v/>
      </c>
    </row>
    <row r="9179" spans="8:8" x14ac:dyDescent="0.3">
      <c r="H9179" t="str">
        <f t="shared" si="193"/>
        <v/>
      </c>
    </row>
    <row r="9180" spans="8:8" x14ac:dyDescent="0.3">
      <c r="H9180" t="str">
        <f t="shared" si="193"/>
        <v/>
      </c>
    </row>
    <row r="9181" spans="8:8" x14ac:dyDescent="0.3">
      <c r="H9181" t="str">
        <f t="shared" si="193"/>
        <v/>
      </c>
    </row>
    <row r="9182" spans="8:8" x14ac:dyDescent="0.3">
      <c r="H9182" t="str">
        <f t="shared" si="193"/>
        <v/>
      </c>
    </row>
    <row r="9183" spans="8:8" x14ac:dyDescent="0.3">
      <c r="H9183" t="str">
        <f t="shared" si="193"/>
        <v/>
      </c>
    </row>
    <row r="9184" spans="8:8" x14ac:dyDescent="0.3">
      <c r="H9184" t="str">
        <f t="shared" si="193"/>
        <v/>
      </c>
    </row>
    <row r="9185" spans="8:8" x14ac:dyDescent="0.3">
      <c r="H9185" t="str">
        <f t="shared" si="193"/>
        <v/>
      </c>
    </row>
    <row r="9186" spans="8:8" x14ac:dyDescent="0.3">
      <c r="H9186" t="str">
        <f t="shared" si="193"/>
        <v/>
      </c>
    </row>
    <row r="9187" spans="8:8" x14ac:dyDescent="0.3">
      <c r="H9187" t="str">
        <f t="shared" si="193"/>
        <v/>
      </c>
    </row>
    <row r="9188" spans="8:8" x14ac:dyDescent="0.3">
      <c r="H9188" t="str">
        <f t="shared" si="193"/>
        <v/>
      </c>
    </row>
    <row r="9189" spans="8:8" x14ac:dyDescent="0.3">
      <c r="H9189" t="str">
        <f t="shared" si="193"/>
        <v/>
      </c>
    </row>
    <row r="9190" spans="8:8" x14ac:dyDescent="0.3">
      <c r="H9190" t="str">
        <f t="shared" si="193"/>
        <v/>
      </c>
    </row>
    <row r="9191" spans="8:8" x14ac:dyDescent="0.3">
      <c r="H9191" t="str">
        <f t="shared" si="193"/>
        <v/>
      </c>
    </row>
    <row r="9192" spans="8:8" x14ac:dyDescent="0.3">
      <c r="H9192" t="str">
        <f t="shared" si="193"/>
        <v/>
      </c>
    </row>
    <row r="9193" spans="8:8" x14ac:dyDescent="0.3">
      <c r="H9193" t="str">
        <f t="shared" si="193"/>
        <v/>
      </c>
    </row>
    <row r="9194" spans="8:8" x14ac:dyDescent="0.3">
      <c r="H9194" t="str">
        <f t="shared" si="193"/>
        <v/>
      </c>
    </row>
    <row r="9195" spans="8:8" x14ac:dyDescent="0.3">
      <c r="H9195" t="str">
        <f t="shared" si="193"/>
        <v/>
      </c>
    </row>
    <row r="9196" spans="8:8" x14ac:dyDescent="0.3">
      <c r="H9196" t="str">
        <f t="shared" si="193"/>
        <v/>
      </c>
    </row>
    <row r="9197" spans="8:8" x14ac:dyDescent="0.3">
      <c r="H9197" t="str">
        <f t="shared" si="193"/>
        <v/>
      </c>
    </row>
    <row r="9198" spans="8:8" x14ac:dyDescent="0.3">
      <c r="H9198" t="str">
        <f t="shared" si="193"/>
        <v/>
      </c>
    </row>
    <row r="9199" spans="8:8" x14ac:dyDescent="0.3">
      <c r="H9199" t="str">
        <f t="shared" si="193"/>
        <v/>
      </c>
    </row>
    <row r="9200" spans="8:8" x14ac:dyDescent="0.3">
      <c r="H9200" t="str">
        <f t="shared" si="193"/>
        <v/>
      </c>
    </row>
    <row r="9201" spans="8:8" x14ac:dyDescent="0.3">
      <c r="H9201" t="str">
        <f t="shared" si="193"/>
        <v/>
      </c>
    </row>
    <row r="9202" spans="8:8" x14ac:dyDescent="0.3">
      <c r="H9202" t="str">
        <f t="shared" si="193"/>
        <v/>
      </c>
    </row>
    <row r="9203" spans="8:8" x14ac:dyDescent="0.3">
      <c r="H9203" t="str">
        <f t="shared" si="193"/>
        <v/>
      </c>
    </row>
    <row r="9204" spans="8:8" x14ac:dyDescent="0.3">
      <c r="H9204" t="str">
        <f t="shared" si="193"/>
        <v/>
      </c>
    </row>
    <row r="9205" spans="8:8" x14ac:dyDescent="0.3">
      <c r="H9205" t="str">
        <f t="shared" si="193"/>
        <v/>
      </c>
    </row>
    <row r="9206" spans="8:8" x14ac:dyDescent="0.3">
      <c r="H9206" t="str">
        <f t="shared" si="193"/>
        <v/>
      </c>
    </row>
    <row r="9207" spans="8:8" x14ac:dyDescent="0.3">
      <c r="H9207" t="str">
        <f t="shared" si="193"/>
        <v/>
      </c>
    </row>
    <row r="9208" spans="8:8" x14ac:dyDescent="0.3">
      <c r="H9208" t="str">
        <f t="shared" si="193"/>
        <v/>
      </c>
    </row>
    <row r="9209" spans="8:8" x14ac:dyDescent="0.3">
      <c r="H9209" t="str">
        <f t="shared" si="193"/>
        <v/>
      </c>
    </row>
    <row r="9210" spans="8:8" x14ac:dyDescent="0.3">
      <c r="H9210" t="str">
        <f t="shared" si="193"/>
        <v/>
      </c>
    </row>
    <row r="9211" spans="8:8" x14ac:dyDescent="0.3">
      <c r="H9211" t="str">
        <f t="shared" si="193"/>
        <v/>
      </c>
    </row>
    <row r="9212" spans="8:8" x14ac:dyDescent="0.3">
      <c r="H9212" t="str">
        <f t="shared" si="193"/>
        <v/>
      </c>
    </row>
    <row r="9213" spans="8:8" x14ac:dyDescent="0.3">
      <c r="H9213" t="str">
        <f t="shared" si="193"/>
        <v/>
      </c>
    </row>
    <row r="9214" spans="8:8" x14ac:dyDescent="0.3">
      <c r="H9214" t="str">
        <f t="shared" si="193"/>
        <v/>
      </c>
    </row>
    <row r="9215" spans="8:8" x14ac:dyDescent="0.3">
      <c r="H9215" t="str">
        <f t="shared" si="193"/>
        <v/>
      </c>
    </row>
    <row r="9216" spans="8:8" x14ac:dyDescent="0.3">
      <c r="H9216" t="str">
        <f t="shared" si="193"/>
        <v/>
      </c>
    </row>
    <row r="9217" spans="8:8" x14ac:dyDescent="0.3">
      <c r="H9217" t="str">
        <f t="shared" si="193"/>
        <v/>
      </c>
    </row>
    <row r="9218" spans="8:8" x14ac:dyDescent="0.3">
      <c r="H9218" t="str">
        <f t="shared" si="193"/>
        <v/>
      </c>
    </row>
    <row r="9219" spans="8:8" x14ac:dyDescent="0.3">
      <c r="H9219" t="str">
        <f t="shared" si="193"/>
        <v/>
      </c>
    </row>
    <row r="9220" spans="8:8" x14ac:dyDescent="0.3">
      <c r="H9220" t="str">
        <f t="shared" si="193"/>
        <v/>
      </c>
    </row>
    <row r="9221" spans="8:8" x14ac:dyDescent="0.3">
      <c r="H9221" t="str">
        <f t="shared" si="193"/>
        <v/>
      </c>
    </row>
    <row r="9222" spans="8:8" x14ac:dyDescent="0.3">
      <c r="H9222" t="str">
        <f t="shared" si="193"/>
        <v/>
      </c>
    </row>
    <row r="9223" spans="8:8" x14ac:dyDescent="0.3">
      <c r="H9223" t="str">
        <f t="shared" si="193"/>
        <v/>
      </c>
    </row>
    <row r="9224" spans="8:8" x14ac:dyDescent="0.3">
      <c r="H9224" t="str">
        <f t="shared" si="193"/>
        <v/>
      </c>
    </row>
    <row r="9225" spans="8:8" x14ac:dyDescent="0.3">
      <c r="H9225" t="str">
        <f t="shared" si="193"/>
        <v/>
      </c>
    </row>
    <row r="9226" spans="8:8" x14ac:dyDescent="0.3">
      <c r="H9226" t="str">
        <f t="shared" si="193"/>
        <v/>
      </c>
    </row>
    <row r="9227" spans="8:8" x14ac:dyDescent="0.3">
      <c r="H9227" t="str">
        <f t="shared" si="193"/>
        <v/>
      </c>
    </row>
    <row r="9228" spans="8:8" x14ac:dyDescent="0.3">
      <c r="H9228" t="str">
        <f t="shared" si="193"/>
        <v/>
      </c>
    </row>
    <row r="9229" spans="8:8" x14ac:dyDescent="0.3">
      <c r="H9229" t="str">
        <f t="shared" si="193"/>
        <v/>
      </c>
    </row>
    <row r="9230" spans="8:8" x14ac:dyDescent="0.3">
      <c r="H9230" t="str">
        <f t="shared" si="193"/>
        <v/>
      </c>
    </row>
    <row r="9231" spans="8:8" x14ac:dyDescent="0.3">
      <c r="H9231" t="str">
        <f t="shared" si="193"/>
        <v/>
      </c>
    </row>
    <row r="9232" spans="8:8" x14ac:dyDescent="0.3">
      <c r="H9232" t="str">
        <f t="shared" si="193"/>
        <v/>
      </c>
    </row>
    <row r="9233" spans="8:8" x14ac:dyDescent="0.3">
      <c r="H9233" t="str">
        <f t="shared" si="193"/>
        <v/>
      </c>
    </row>
    <row r="9234" spans="8:8" x14ac:dyDescent="0.3">
      <c r="H9234" t="str">
        <f t="shared" si="193"/>
        <v/>
      </c>
    </row>
    <row r="9235" spans="8:8" x14ac:dyDescent="0.3">
      <c r="H9235" t="str">
        <f t="shared" si="193"/>
        <v/>
      </c>
    </row>
    <row r="9236" spans="8:8" x14ac:dyDescent="0.3">
      <c r="H9236" t="str">
        <f t="shared" si="193"/>
        <v/>
      </c>
    </row>
    <row r="9237" spans="8:8" x14ac:dyDescent="0.3">
      <c r="H9237" t="str">
        <f t="shared" si="193"/>
        <v/>
      </c>
    </row>
    <row r="9238" spans="8:8" x14ac:dyDescent="0.3">
      <c r="H9238" t="str">
        <f t="shared" si="193"/>
        <v/>
      </c>
    </row>
    <row r="9239" spans="8:8" x14ac:dyDescent="0.3">
      <c r="H9239" t="str">
        <f t="shared" ref="H9239:H9302" si="194">IF(B9239="","",$C$12)</f>
        <v/>
      </c>
    </row>
    <row r="9240" spans="8:8" x14ac:dyDescent="0.3">
      <c r="H9240" t="str">
        <f t="shared" si="194"/>
        <v/>
      </c>
    </row>
    <row r="9241" spans="8:8" x14ac:dyDescent="0.3">
      <c r="H9241" t="str">
        <f t="shared" si="194"/>
        <v/>
      </c>
    </row>
    <row r="9242" spans="8:8" x14ac:dyDescent="0.3">
      <c r="H9242" t="str">
        <f t="shared" si="194"/>
        <v/>
      </c>
    </row>
    <row r="9243" spans="8:8" x14ac:dyDescent="0.3">
      <c r="H9243" t="str">
        <f t="shared" si="194"/>
        <v/>
      </c>
    </row>
    <row r="9244" spans="8:8" x14ac:dyDescent="0.3">
      <c r="H9244" t="str">
        <f t="shared" si="194"/>
        <v/>
      </c>
    </row>
    <row r="9245" spans="8:8" x14ac:dyDescent="0.3">
      <c r="H9245" t="str">
        <f t="shared" si="194"/>
        <v/>
      </c>
    </row>
    <row r="9246" spans="8:8" x14ac:dyDescent="0.3">
      <c r="H9246" t="str">
        <f t="shared" si="194"/>
        <v/>
      </c>
    </row>
    <row r="9247" spans="8:8" x14ac:dyDescent="0.3">
      <c r="H9247" t="str">
        <f t="shared" si="194"/>
        <v/>
      </c>
    </row>
    <row r="9248" spans="8:8" x14ac:dyDescent="0.3">
      <c r="H9248" t="str">
        <f t="shared" si="194"/>
        <v/>
      </c>
    </row>
    <row r="9249" spans="8:8" x14ac:dyDescent="0.3">
      <c r="H9249" t="str">
        <f t="shared" si="194"/>
        <v/>
      </c>
    </row>
    <row r="9250" spans="8:8" x14ac:dyDescent="0.3">
      <c r="H9250" t="str">
        <f t="shared" si="194"/>
        <v/>
      </c>
    </row>
    <row r="9251" spans="8:8" x14ac:dyDescent="0.3">
      <c r="H9251" t="str">
        <f t="shared" si="194"/>
        <v/>
      </c>
    </row>
    <row r="9252" spans="8:8" x14ac:dyDescent="0.3">
      <c r="H9252" t="str">
        <f t="shared" si="194"/>
        <v/>
      </c>
    </row>
    <row r="9253" spans="8:8" x14ac:dyDescent="0.3">
      <c r="H9253" t="str">
        <f t="shared" si="194"/>
        <v/>
      </c>
    </row>
    <row r="9254" spans="8:8" x14ac:dyDescent="0.3">
      <c r="H9254" t="str">
        <f t="shared" si="194"/>
        <v/>
      </c>
    </row>
    <row r="9255" spans="8:8" x14ac:dyDescent="0.3">
      <c r="H9255" t="str">
        <f t="shared" si="194"/>
        <v/>
      </c>
    </row>
    <row r="9256" spans="8:8" x14ac:dyDescent="0.3">
      <c r="H9256" t="str">
        <f t="shared" si="194"/>
        <v/>
      </c>
    </row>
    <row r="9257" spans="8:8" x14ac:dyDescent="0.3">
      <c r="H9257" t="str">
        <f t="shared" si="194"/>
        <v/>
      </c>
    </row>
    <row r="9258" spans="8:8" x14ac:dyDescent="0.3">
      <c r="H9258" t="str">
        <f t="shared" si="194"/>
        <v/>
      </c>
    </row>
    <row r="9259" spans="8:8" x14ac:dyDescent="0.3">
      <c r="H9259" t="str">
        <f t="shared" si="194"/>
        <v/>
      </c>
    </row>
    <row r="9260" spans="8:8" x14ac:dyDescent="0.3">
      <c r="H9260" t="str">
        <f t="shared" si="194"/>
        <v/>
      </c>
    </row>
    <row r="9261" spans="8:8" x14ac:dyDescent="0.3">
      <c r="H9261" t="str">
        <f t="shared" si="194"/>
        <v/>
      </c>
    </row>
    <row r="9262" spans="8:8" x14ac:dyDescent="0.3">
      <c r="H9262" t="str">
        <f t="shared" si="194"/>
        <v/>
      </c>
    </row>
    <row r="9263" spans="8:8" x14ac:dyDescent="0.3">
      <c r="H9263" t="str">
        <f t="shared" si="194"/>
        <v/>
      </c>
    </row>
    <row r="9264" spans="8:8" x14ac:dyDescent="0.3">
      <c r="H9264" t="str">
        <f t="shared" si="194"/>
        <v/>
      </c>
    </row>
    <row r="9265" spans="8:8" x14ac:dyDescent="0.3">
      <c r="H9265" t="str">
        <f t="shared" si="194"/>
        <v/>
      </c>
    </row>
    <row r="9266" spans="8:8" x14ac:dyDescent="0.3">
      <c r="H9266" t="str">
        <f t="shared" si="194"/>
        <v/>
      </c>
    </row>
    <row r="9267" spans="8:8" x14ac:dyDescent="0.3">
      <c r="H9267" t="str">
        <f t="shared" si="194"/>
        <v/>
      </c>
    </row>
    <row r="9268" spans="8:8" x14ac:dyDescent="0.3">
      <c r="H9268" t="str">
        <f t="shared" si="194"/>
        <v/>
      </c>
    </row>
    <row r="9269" spans="8:8" x14ac:dyDescent="0.3">
      <c r="H9269" t="str">
        <f t="shared" si="194"/>
        <v/>
      </c>
    </row>
    <row r="9270" spans="8:8" x14ac:dyDescent="0.3">
      <c r="H9270" t="str">
        <f t="shared" si="194"/>
        <v/>
      </c>
    </row>
    <row r="9271" spans="8:8" x14ac:dyDescent="0.3">
      <c r="H9271" t="str">
        <f t="shared" si="194"/>
        <v/>
      </c>
    </row>
    <row r="9272" spans="8:8" x14ac:dyDescent="0.3">
      <c r="H9272" t="str">
        <f t="shared" si="194"/>
        <v/>
      </c>
    </row>
    <row r="9273" spans="8:8" x14ac:dyDescent="0.3">
      <c r="H9273" t="str">
        <f t="shared" si="194"/>
        <v/>
      </c>
    </row>
    <row r="9274" spans="8:8" x14ac:dyDescent="0.3">
      <c r="H9274" t="str">
        <f t="shared" si="194"/>
        <v/>
      </c>
    </row>
    <row r="9275" spans="8:8" x14ac:dyDescent="0.3">
      <c r="H9275" t="str">
        <f t="shared" si="194"/>
        <v/>
      </c>
    </row>
    <row r="9276" spans="8:8" x14ac:dyDescent="0.3">
      <c r="H9276" t="str">
        <f t="shared" si="194"/>
        <v/>
      </c>
    </row>
    <row r="9277" spans="8:8" x14ac:dyDescent="0.3">
      <c r="H9277" t="str">
        <f t="shared" si="194"/>
        <v/>
      </c>
    </row>
    <row r="9278" spans="8:8" x14ac:dyDescent="0.3">
      <c r="H9278" t="str">
        <f t="shared" si="194"/>
        <v/>
      </c>
    </row>
    <row r="9279" spans="8:8" x14ac:dyDescent="0.3">
      <c r="H9279" t="str">
        <f t="shared" si="194"/>
        <v/>
      </c>
    </row>
    <row r="9280" spans="8:8" x14ac:dyDescent="0.3">
      <c r="H9280" t="str">
        <f t="shared" si="194"/>
        <v/>
      </c>
    </row>
    <row r="9281" spans="8:8" x14ac:dyDescent="0.3">
      <c r="H9281" t="str">
        <f t="shared" si="194"/>
        <v/>
      </c>
    </row>
    <row r="9282" spans="8:8" x14ac:dyDescent="0.3">
      <c r="H9282" t="str">
        <f t="shared" si="194"/>
        <v/>
      </c>
    </row>
    <row r="9283" spans="8:8" x14ac:dyDescent="0.3">
      <c r="H9283" t="str">
        <f t="shared" si="194"/>
        <v/>
      </c>
    </row>
    <row r="9284" spans="8:8" x14ac:dyDescent="0.3">
      <c r="H9284" t="str">
        <f t="shared" si="194"/>
        <v/>
      </c>
    </row>
    <row r="9285" spans="8:8" x14ac:dyDescent="0.3">
      <c r="H9285" t="str">
        <f t="shared" si="194"/>
        <v/>
      </c>
    </row>
    <row r="9286" spans="8:8" x14ac:dyDescent="0.3">
      <c r="H9286" t="str">
        <f t="shared" si="194"/>
        <v/>
      </c>
    </row>
    <row r="9287" spans="8:8" x14ac:dyDescent="0.3">
      <c r="H9287" t="str">
        <f t="shared" si="194"/>
        <v/>
      </c>
    </row>
    <row r="9288" spans="8:8" x14ac:dyDescent="0.3">
      <c r="H9288" t="str">
        <f t="shared" si="194"/>
        <v/>
      </c>
    </row>
    <row r="9289" spans="8:8" x14ac:dyDescent="0.3">
      <c r="H9289" t="str">
        <f t="shared" si="194"/>
        <v/>
      </c>
    </row>
    <row r="9290" spans="8:8" x14ac:dyDescent="0.3">
      <c r="H9290" t="str">
        <f t="shared" si="194"/>
        <v/>
      </c>
    </row>
    <row r="9291" spans="8:8" x14ac:dyDescent="0.3">
      <c r="H9291" t="str">
        <f t="shared" si="194"/>
        <v/>
      </c>
    </row>
    <row r="9292" spans="8:8" x14ac:dyDescent="0.3">
      <c r="H9292" t="str">
        <f t="shared" si="194"/>
        <v/>
      </c>
    </row>
    <row r="9293" spans="8:8" x14ac:dyDescent="0.3">
      <c r="H9293" t="str">
        <f t="shared" si="194"/>
        <v/>
      </c>
    </row>
    <row r="9294" spans="8:8" x14ac:dyDescent="0.3">
      <c r="H9294" t="str">
        <f t="shared" si="194"/>
        <v/>
      </c>
    </row>
    <row r="9295" spans="8:8" x14ac:dyDescent="0.3">
      <c r="H9295" t="str">
        <f t="shared" si="194"/>
        <v/>
      </c>
    </row>
    <row r="9296" spans="8:8" x14ac:dyDescent="0.3">
      <c r="H9296" t="str">
        <f t="shared" si="194"/>
        <v/>
      </c>
    </row>
    <row r="9297" spans="8:8" x14ac:dyDescent="0.3">
      <c r="H9297" t="str">
        <f t="shared" si="194"/>
        <v/>
      </c>
    </row>
    <row r="9298" spans="8:8" x14ac:dyDescent="0.3">
      <c r="H9298" t="str">
        <f t="shared" si="194"/>
        <v/>
      </c>
    </row>
    <row r="9299" spans="8:8" x14ac:dyDescent="0.3">
      <c r="H9299" t="str">
        <f t="shared" si="194"/>
        <v/>
      </c>
    </row>
    <row r="9300" spans="8:8" x14ac:dyDescent="0.3">
      <c r="H9300" t="str">
        <f t="shared" si="194"/>
        <v/>
      </c>
    </row>
    <row r="9301" spans="8:8" x14ac:dyDescent="0.3">
      <c r="H9301" t="str">
        <f t="shared" si="194"/>
        <v/>
      </c>
    </row>
    <row r="9302" spans="8:8" x14ac:dyDescent="0.3">
      <c r="H9302" t="str">
        <f t="shared" si="194"/>
        <v/>
      </c>
    </row>
    <row r="9303" spans="8:8" x14ac:dyDescent="0.3">
      <c r="H9303" t="str">
        <f t="shared" ref="H9303:H9366" si="195">IF(B9303="","",$C$12)</f>
        <v/>
      </c>
    </row>
    <row r="9304" spans="8:8" x14ac:dyDescent="0.3">
      <c r="H9304" t="str">
        <f t="shared" si="195"/>
        <v/>
      </c>
    </row>
    <row r="9305" spans="8:8" x14ac:dyDescent="0.3">
      <c r="H9305" t="str">
        <f t="shared" si="195"/>
        <v/>
      </c>
    </row>
    <row r="9306" spans="8:8" x14ac:dyDescent="0.3">
      <c r="H9306" t="str">
        <f t="shared" si="195"/>
        <v/>
      </c>
    </row>
    <row r="9307" spans="8:8" x14ac:dyDescent="0.3">
      <c r="H9307" t="str">
        <f t="shared" si="195"/>
        <v/>
      </c>
    </row>
    <row r="9308" spans="8:8" x14ac:dyDescent="0.3">
      <c r="H9308" t="str">
        <f t="shared" si="195"/>
        <v/>
      </c>
    </row>
    <row r="9309" spans="8:8" x14ac:dyDescent="0.3">
      <c r="H9309" t="str">
        <f t="shared" si="195"/>
        <v/>
      </c>
    </row>
    <row r="9310" spans="8:8" x14ac:dyDescent="0.3">
      <c r="H9310" t="str">
        <f t="shared" si="195"/>
        <v/>
      </c>
    </row>
    <row r="9311" spans="8:8" x14ac:dyDescent="0.3">
      <c r="H9311" t="str">
        <f t="shared" si="195"/>
        <v/>
      </c>
    </row>
    <row r="9312" spans="8:8" x14ac:dyDescent="0.3">
      <c r="H9312" t="str">
        <f t="shared" si="195"/>
        <v/>
      </c>
    </row>
    <row r="9313" spans="8:8" x14ac:dyDescent="0.3">
      <c r="H9313" t="str">
        <f t="shared" si="195"/>
        <v/>
      </c>
    </row>
    <row r="9314" spans="8:8" x14ac:dyDescent="0.3">
      <c r="H9314" t="str">
        <f t="shared" si="195"/>
        <v/>
      </c>
    </row>
    <row r="9315" spans="8:8" x14ac:dyDescent="0.3">
      <c r="H9315" t="str">
        <f t="shared" si="195"/>
        <v/>
      </c>
    </row>
    <row r="9316" spans="8:8" x14ac:dyDescent="0.3">
      <c r="H9316" t="str">
        <f t="shared" si="195"/>
        <v/>
      </c>
    </row>
    <row r="9317" spans="8:8" x14ac:dyDescent="0.3">
      <c r="H9317" t="str">
        <f t="shared" si="195"/>
        <v/>
      </c>
    </row>
    <row r="9318" spans="8:8" x14ac:dyDescent="0.3">
      <c r="H9318" t="str">
        <f t="shared" si="195"/>
        <v/>
      </c>
    </row>
    <row r="9319" spans="8:8" x14ac:dyDescent="0.3">
      <c r="H9319" t="str">
        <f t="shared" si="195"/>
        <v/>
      </c>
    </row>
    <row r="9320" spans="8:8" x14ac:dyDescent="0.3">
      <c r="H9320" t="str">
        <f t="shared" si="195"/>
        <v/>
      </c>
    </row>
    <row r="9321" spans="8:8" x14ac:dyDescent="0.3">
      <c r="H9321" t="str">
        <f t="shared" si="195"/>
        <v/>
      </c>
    </row>
    <row r="9322" spans="8:8" x14ac:dyDescent="0.3">
      <c r="H9322" t="str">
        <f t="shared" si="195"/>
        <v/>
      </c>
    </row>
    <row r="9323" spans="8:8" x14ac:dyDescent="0.3">
      <c r="H9323" t="str">
        <f t="shared" si="195"/>
        <v/>
      </c>
    </row>
    <row r="9324" spans="8:8" x14ac:dyDescent="0.3">
      <c r="H9324" t="str">
        <f t="shared" si="195"/>
        <v/>
      </c>
    </row>
    <row r="9325" spans="8:8" x14ac:dyDescent="0.3">
      <c r="H9325" t="str">
        <f t="shared" si="195"/>
        <v/>
      </c>
    </row>
    <row r="9326" spans="8:8" x14ac:dyDescent="0.3">
      <c r="H9326" t="str">
        <f t="shared" si="195"/>
        <v/>
      </c>
    </row>
    <row r="9327" spans="8:8" x14ac:dyDescent="0.3">
      <c r="H9327" t="str">
        <f t="shared" si="195"/>
        <v/>
      </c>
    </row>
    <row r="9328" spans="8:8" x14ac:dyDescent="0.3">
      <c r="H9328" t="str">
        <f t="shared" si="195"/>
        <v/>
      </c>
    </row>
    <row r="9329" spans="8:8" x14ac:dyDescent="0.3">
      <c r="H9329" t="str">
        <f t="shared" si="195"/>
        <v/>
      </c>
    </row>
    <row r="9330" spans="8:8" x14ac:dyDescent="0.3">
      <c r="H9330" t="str">
        <f t="shared" si="195"/>
        <v/>
      </c>
    </row>
    <row r="9331" spans="8:8" x14ac:dyDescent="0.3">
      <c r="H9331" t="str">
        <f t="shared" si="195"/>
        <v/>
      </c>
    </row>
    <row r="9332" spans="8:8" x14ac:dyDescent="0.3">
      <c r="H9332" t="str">
        <f t="shared" si="195"/>
        <v/>
      </c>
    </row>
    <row r="9333" spans="8:8" x14ac:dyDescent="0.3">
      <c r="H9333" t="str">
        <f t="shared" si="195"/>
        <v/>
      </c>
    </row>
    <row r="9334" spans="8:8" x14ac:dyDescent="0.3">
      <c r="H9334" t="str">
        <f t="shared" si="195"/>
        <v/>
      </c>
    </row>
    <row r="9335" spans="8:8" x14ac:dyDescent="0.3">
      <c r="H9335" t="str">
        <f t="shared" si="195"/>
        <v/>
      </c>
    </row>
    <row r="9336" spans="8:8" x14ac:dyDescent="0.3">
      <c r="H9336" t="str">
        <f t="shared" si="195"/>
        <v/>
      </c>
    </row>
    <row r="9337" spans="8:8" x14ac:dyDescent="0.3">
      <c r="H9337" t="str">
        <f t="shared" si="195"/>
        <v/>
      </c>
    </row>
    <row r="9338" spans="8:8" x14ac:dyDescent="0.3">
      <c r="H9338" t="str">
        <f t="shared" si="195"/>
        <v/>
      </c>
    </row>
    <row r="9339" spans="8:8" x14ac:dyDescent="0.3">
      <c r="H9339" t="str">
        <f t="shared" si="195"/>
        <v/>
      </c>
    </row>
    <row r="9340" spans="8:8" x14ac:dyDescent="0.3">
      <c r="H9340" t="str">
        <f t="shared" si="195"/>
        <v/>
      </c>
    </row>
    <row r="9341" spans="8:8" x14ac:dyDescent="0.3">
      <c r="H9341" t="str">
        <f t="shared" si="195"/>
        <v/>
      </c>
    </row>
    <row r="9342" spans="8:8" x14ac:dyDescent="0.3">
      <c r="H9342" t="str">
        <f t="shared" si="195"/>
        <v/>
      </c>
    </row>
    <row r="9343" spans="8:8" x14ac:dyDescent="0.3">
      <c r="H9343" t="str">
        <f t="shared" si="195"/>
        <v/>
      </c>
    </row>
    <row r="9344" spans="8:8" x14ac:dyDescent="0.3">
      <c r="H9344" t="str">
        <f t="shared" si="195"/>
        <v/>
      </c>
    </row>
    <row r="9345" spans="8:8" x14ac:dyDescent="0.3">
      <c r="H9345" t="str">
        <f t="shared" si="195"/>
        <v/>
      </c>
    </row>
    <row r="9346" spans="8:8" x14ac:dyDescent="0.3">
      <c r="H9346" t="str">
        <f t="shared" si="195"/>
        <v/>
      </c>
    </row>
    <row r="9347" spans="8:8" x14ac:dyDescent="0.3">
      <c r="H9347" t="str">
        <f t="shared" si="195"/>
        <v/>
      </c>
    </row>
    <row r="9348" spans="8:8" x14ac:dyDescent="0.3">
      <c r="H9348" t="str">
        <f t="shared" si="195"/>
        <v/>
      </c>
    </row>
    <row r="9349" spans="8:8" x14ac:dyDescent="0.3">
      <c r="H9349" t="str">
        <f t="shared" si="195"/>
        <v/>
      </c>
    </row>
    <row r="9350" spans="8:8" x14ac:dyDescent="0.3">
      <c r="H9350" t="str">
        <f t="shared" si="195"/>
        <v/>
      </c>
    </row>
    <row r="9351" spans="8:8" x14ac:dyDescent="0.3">
      <c r="H9351" t="str">
        <f t="shared" si="195"/>
        <v/>
      </c>
    </row>
    <row r="9352" spans="8:8" x14ac:dyDescent="0.3">
      <c r="H9352" t="str">
        <f t="shared" si="195"/>
        <v/>
      </c>
    </row>
    <row r="9353" spans="8:8" x14ac:dyDescent="0.3">
      <c r="H9353" t="str">
        <f t="shared" si="195"/>
        <v/>
      </c>
    </row>
    <row r="9354" spans="8:8" x14ac:dyDescent="0.3">
      <c r="H9354" t="str">
        <f t="shared" si="195"/>
        <v/>
      </c>
    </row>
    <row r="9355" spans="8:8" x14ac:dyDescent="0.3">
      <c r="H9355" t="str">
        <f t="shared" si="195"/>
        <v/>
      </c>
    </row>
    <row r="9356" spans="8:8" x14ac:dyDescent="0.3">
      <c r="H9356" t="str">
        <f t="shared" si="195"/>
        <v/>
      </c>
    </row>
    <row r="9357" spans="8:8" x14ac:dyDescent="0.3">
      <c r="H9357" t="str">
        <f t="shared" si="195"/>
        <v/>
      </c>
    </row>
    <row r="9358" spans="8:8" x14ac:dyDescent="0.3">
      <c r="H9358" t="str">
        <f t="shared" si="195"/>
        <v/>
      </c>
    </row>
    <row r="9359" spans="8:8" x14ac:dyDescent="0.3">
      <c r="H9359" t="str">
        <f t="shared" si="195"/>
        <v/>
      </c>
    </row>
    <row r="9360" spans="8:8" x14ac:dyDescent="0.3">
      <c r="H9360" t="str">
        <f t="shared" si="195"/>
        <v/>
      </c>
    </row>
    <row r="9361" spans="8:8" x14ac:dyDescent="0.3">
      <c r="H9361" t="str">
        <f t="shared" si="195"/>
        <v/>
      </c>
    </row>
    <row r="9362" spans="8:8" x14ac:dyDescent="0.3">
      <c r="H9362" t="str">
        <f t="shared" si="195"/>
        <v/>
      </c>
    </row>
    <row r="9363" spans="8:8" x14ac:dyDescent="0.3">
      <c r="H9363" t="str">
        <f t="shared" si="195"/>
        <v/>
      </c>
    </row>
    <row r="9364" spans="8:8" x14ac:dyDescent="0.3">
      <c r="H9364" t="str">
        <f t="shared" si="195"/>
        <v/>
      </c>
    </row>
    <row r="9365" spans="8:8" x14ac:dyDescent="0.3">
      <c r="H9365" t="str">
        <f t="shared" si="195"/>
        <v/>
      </c>
    </row>
    <row r="9366" spans="8:8" x14ac:dyDescent="0.3">
      <c r="H9366" t="str">
        <f t="shared" si="195"/>
        <v/>
      </c>
    </row>
    <row r="9367" spans="8:8" x14ac:dyDescent="0.3">
      <c r="H9367" t="str">
        <f t="shared" ref="H9367:H9430" si="196">IF(B9367="","",$C$12)</f>
        <v/>
      </c>
    </row>
    <row r="9368" spans="8:8" x14ac:dyDescent="0.3">
      <c r="H9368" t="str">
        <f t="shared" si="196"/>
        <v/>
      </c>
    </row>
    <row r="9369" spans="8:8" x14ac:dyDescent="0.3">
      <c r="H9369" t="str">
        <f t="shared" si="196"/>
        <v/>
      </c>
    </row>
    <row r="9370" spans="8:8" x14ac:dyDescent="0.3">
      <c r="H9370" t="str">
        <f t="shared" si="196"/>
        <v/>
      </c>
    </row>
    <row r="9371" spans="8:8" x14ac:dyDescent="0.3">
      <c r="H9371" t="str">
        <f t="shared" si="196"/>
        <v/>
      </c>
    </row>
    <row r="9372" spans="8:8" x14ac:dyDescent="0.3">
      <c r="H9372" t="str">
        <f t="shared" si="196"/>
        <v/>
      </c>
    </row>
    <row r="9373" spans="8:8" x14ac:dyDescent="0.3">
      <c r="H9373" t="str">
        <f t="shared" si="196"/>
        <v/>
      </c>
    </row>
    <row r="9374" spans="8:8" x14ac:dyDescent="0.3">
      <c r="H9374" t="str">
        <f t="shared" si="196"/>
        <v/>
      </c>
    </row>
    <row r="9375" spans="8:8" x14ac:dyDescent="0.3">
      <c r="H9375" t="str">
        <f t="shared" si="196"/>
        <v/>
      </c>
    </row>
    <row r="9376" spans="8:8" x14ac:dyDescent="0.3">
      <c r="H9376" t="str">
        <f t="shared" si="196"/>
        <v/>
      </c>
    </row>
    <row r="9377" spans="8:8" x14ac:dyDescent="0.3">
      <c r="H9377" t="str">
        <f t="shared" si="196"/>
        <v/>
      </c>
    </row>
    <row r="9378" spans="8:8" x14ac:dyDescent="0.3">
      <c r="H9378" t="str">
        <f t="shared" si="196"/>
        <v/>
      </c>
    </row>
    <row r="9379" spans="8:8" x14ac:dyDescent="0.3">
      <c r="H9379" t="str">
        <f t="shared" si="196"/>
        <v/>
      </c>
    </row>
    <row r="9380" spans="8:8" x14ac:dyDescent="0.3">
      <c r="H9380" t="str">
        <f t="shared" si="196"/>
        <v/>
      </c>
    </row>
    <row r="9381" spans="8:8" x14ac:dyDescent="0.3">
      <c r="H9381" t="str">
        <f t="shared" si="196"/>
        <v/>
      </c>
    </row>
    <row r="9382" spans="8:8" x14ac:dyDescent="0.3">
      <c r="H9382" t="str">
        <f t="shared" si="196"/>
        <v/>
      </c>
    </row>
    <row r="9383" spans="8:8" x14ac:dyDescent="0.3">
      <c r="H9383" t="str">
        <f t="shared" si="196"/>
        <v/>
      </c>
    </row>
    <row r="9384" spans="8:8" x14ac:dyDescent="0.3">
      <c r="H9384" t="str">
        <f t="shared" si="196"/>
        <v/>
      </c>
    </row>
    <row r="9385" spans="8:8" x14ac:dyDescent="0.3">
      <c r="H9385" t="str">
        <f t="shared" si="196"/>
        <v/>
      </c>
    </row>
    <row r="9386" spans="8:8" x14ac:dyDescent="0.3">
      <c r="H9386" t="str">
        <f t="shared" si="196"/>
        <v/>
      </c>
    </row>
    <row r="9387" spans="8:8" x14ac:dyDescent="0.3">
      <c r="H9387" t="str">
        <f t="shared" si="196"/>
        <v/>
      </c>
    </row>
    <row r="9388" spans="8:8" x14ac:dyDescent="0.3">
      <c r="H9388" t="str">
        <f t="shared" si="196"/>
        <v/>
      </c>
    </row>
    <row r="9389" spans="8:8" x14ac:dyDescent="0.3">
      <c r="H9389" t="str">
        <f t="shared" si="196"/>
        <v/>
      </c>
    </row>
    <row r="9390" spans="8:8" x14ac:dyDescent="0.3">
      <c r="H9390" t="str">
        <f t="shared" si="196"/>
        <v/>
      </c>
    </row>
    <row r="9391" spans="8:8" x14ac:dyDescent="0.3">
      <c r="H9391" t="str">
        <f t="shared" si="196"/>
        <v/>
      </c>
    </row>
    <row r="9392" spans="8:8" x14ac:dyDescent="0.3">
      <c r="H9392" t="str">
        <f t="shared" si="196"/>
        <v/>
      </c>
    </row>
    <row r="9393" spans="8:8" x14ac:dyDescent="0.3">
      <c r="H9393" t="str">
        <f t="shared" si="196"/>
        <v/>
      </c>
    </row>
    <row r="9394" spans="8:8" x14ac:dyDescent="0.3">
      <c r="H9394" t="str">
        <f t="shared" si="196"/>
        <v/>
      </c>
    </row>
    <row r="9395" spans="8:8" x14ac:dyDescent="0.3">
      <c r="H9395" t="str">
        <f t="shared" si="196"/>
        <v/>
      </c>
    </row>
    <row r="9396" spans="8:8" x14ac:dyDescent="0.3">
      <c r="H9396" t="str">
        <f t="shared" si="196"/>
        <v/>
      </c>
    </row>
    <row r="9397" spans="8:8" x14ac:dyDescent="0.3">
      <c r="H9397" t="str">
        <f t="shared" si="196"/>
        <v/>
      </c>
    </row>
    <row r="9398" spans="8:8" x14ac:dyDescent="0.3">
      <c r="H9398" t="str">
        <f t="shared" si="196"/>
        <v/>
      </c>
    </row>
    <row r="9399" spans="8:8" x14ac:dyDescent="0.3">
      <c r="H9399" t="str">
        <f t="shared" si="196"/>
        <v/>
      </c>
    </row>
    <row r="9400" spans="8:8" x14ac:dyDescent="0.3">
      <c r="H9400" t="str">
        <f t="shared" si="196"/>
        <v/>
      </c>
    </row>
    <row r="9401" spans="8:8" x14ac:dyDescent="0.3">
      <c r="H9401" t="str">
        <f t="shared" si="196"/>
        <v/>
      </c>
    </row>
    <row r="9402" spans="8:8" x14ac:dyDescent="0.3">
      <c r="H9402" t="str">
        <f t="shared" si="196"/>
        <v/>
      </c>
    </row>
    <row r="9403" spans="8:8" x14ac:dyDescent="0.3">
      <c r="H9403" t="str">
        <f t="shared" si="196"/>
        <v/>
      </c>
    </row>
    <row r="9404" spans="8:8" x14ac:dyDescent="0.3">
      <c r="H9404" t="str">
        <f t="shared" si="196"/>
        <v/>
      </c>
    </row>
    <row r="9405" spans="8:8" x14ac:dyDescent="0.3">
      <c r="H9405" t="str">
        <f t="shared" si="196"/>
        <v/>
      </c>
    </row>
    <row r="9406" spans="8:8" x14ac:dyDescent="0.3">
      <c r="H9406" t="str">
        <f t="shared" si="196"/>
        <v/>
      </c>
    </row>
    <row r="9407" spans="8:8" x14ac:dyDescent="0.3">
      <c r="H9407" t="str">
        <f t="shared" si="196"/>
        <v/>
      </c>
    </row>
    <row r="9408" spans="8:8" x14ac:dyDescent="0.3">
      <c r="H9408" t="str">
        <f t="shared" si="196"/>
        <v/>
      </c>
    </row>
    <row r="9409" spans="8:8" x14ac:dyDescent="0.3">
      <c r="H9409" t="str">
        <f t="shared" si="196"/>
        <v/>
      </c>
    </row>
    <row r="9410" spans="8:8" x14ac:dyDescent="0.3">
      <c r="H9410" t="str">
        <f t="shared" si="196"/>
        <v/>
      </c>
    </row>
    <row r="9411" spans="8:8" x14ac:dyDescent="0.3">
      <c r="H9411" t="str">
        <f t="shared" si="196"/>
        <v/>
      </c>
    </row>
    <row r="9412" spans="8:8" x14ac:dyDescent="0.3">
      <c r="H9412" t="str">
        <f t="shared" si="196"/>
        <v/>
      </c>
    </row>
    <row r="9413" spans="8:8" x14ac:dyDescent="0.3">
      <c r="H9413" t="str">
        <f t="shared" si="196"/>
        <v/>
      </c>
    </row>
    <row r="9414" spans="8:8" x14ac:dyDescent="0.3">
      <c r="H9414" t="str">
        <f t="shared" si="196"/>
        <v/>
      </c>
    </row>
    <row r="9415" spans="8:8" x14ac:dyDescent="0.3">
      <c r="H9415" t="str">
        <f t="shared" si="196"/>
        <v/>
      </c>
    </row>
    <row r="9416" spans="8:8" x14ac:dyDescent="0.3">
      <c r="H9416" t="str">
        <f t="shared" si="196"/>
        <v/>
      </c>
    </row>
    <row r="9417" spans="8:8" x14ac:dyDescent="0.3">
      <c r="H9417" t="str">
        <f t="shared" si="196"/>
        <v/>
      </c>
    </row>
    <row r="9418" spans="8:8" x14ac:dyDescent="0.3">
      <c r="H9418" t="str">
        <f t="shared" si="196"/>
        <v/>
      </c>
    </row>
    <row r="9419" spans="8:8" x14ac:dyDescent="0.3">
      <c r="H9419" t="str">
        <f t="shared" si="196"/>
        <v/>
      </c>
    </row>
    <row r="9420" spans="8:8" x14ac:dyDescent="0.3">
      <c r="H9420" t="str">
        <f t="shared" si="196"/>
        <v/>
      </c>
    </row>
    <row r="9421" spans="8:8" x14ac:dyDescent="0.3">
      <c r="H9421" t="str">
        <f t="shared" si="196"/>
        <v/>
      </c>
    </row>
    <row r="9422" spans="8:8" x14ac:dyDescent="0.3">
      <c r="H9422" t="str">
        <f t="shared" si="196"/>
        <v/>
      </c>
    </row>
    <row r="9423" spans="8:8" x14ac:dyDescent="0.3">
      <c r="H9423" t="str">
        <f t="shared" si="196"/>
        <v/>
      </c>
    </row>
    <row r="9424" spans="8:8" x14ac:dyDescent="0.3">
      <c r="H9424" t="str">
        <f t="shared" si="196"/>
        <v/>
      </c>
    </row>
    <row r="9425" spans="8:8" x14ac:dyDescent="0.3">
      <c r="H9425" t="str">
        <f t="shared" si="196"/>
        <v/>
      </c>
    </row>
    <row r="9426" spans="8:8" x14ac:dyDescent="0.3">
      <c r="H9426" t="str">
        <f t="shared" si="196"/>
        <v/>
      </c>
    </row>
    <row r="9427" spans="8:8" x14ac:dyDescent="0.3">
      <c r="H9427" t="str">
        <f t="shared" si="196"/>
        <v/>
      </c>
    </row>
    <row r="9428" spans="8:8" x14ac:dyDescent="0.3">
      <c r="H9428" t="str">
        <f t="shared" si="196"/>
        <v/>
      </c>
    </row>
    <row r="9429" spans="8:8" x14ac:dyDescent="0.3">
      <c r="H9429" t="str">
        <f t="shared" si="196"/>
        <v/>
      </c>
    </row>
    <row r="9430" spans="8:8" x14ac:dyDescent="0.3">
      <c r="H9430" t="str">
        <f t="shared" si="196"/>
        <v/>
      </c>
    </row>
    <row r="9431" spans="8:8" x14ac:dyDescent="0.3">
      <c r="H9431" t="str">
        <f t="shared" ref="H9431:H9494" si="197">IF(B9431="","",$C$12)</f>
        <v/>
      </c>
    </row>
    <row r="9432" spans="8:8" x14ac:dyDescent="0.3">
      <c r="H9432" t="str">
        <f t="shared" si="197"/>
        <v/>
      </c>
    </row>
    <row r="9433" spans="8:8" x14ac:dyDescent="0.3">
      <c r="H9433" t="str">
        <f t="shared" si="197"/>
        <v/>
      </c>
    </row>
    <row r="9434" spans="8:8" x14ac:dyDescent="0.3">
      <c r="H9434" t="str">
        <f t="shared" si="197"/>
        <v/>
      </c>
    </row>
    <row r="9435" spans="8:8" x14ac:dyDescent="0.3">
      <c r="H9435" t="str">
        <f t="shared" si="197"/>
        <v/>
      </c>
    </row>
    <row r="9436" spans="8:8" x14ac:dyDescent="0.3">
      <c r="H9436" t="str">
        <f t="shared" si="197"/>
        <v/>
      </c>
    </row>
    <row r="9437" spans="8:8" x14ac:dyDescent="0.3">
      <c r="H9437" t="str">
        <f t="shared" si="197"/>
        <v/>
      </c>
    </row>
    <row r="9438" spans="8:8" x14ac:dyDescent="0.3">
      <c r="H9438" t="str">
        <f t="shared" si="197"/>
        <v/>
      </c>
    </row>
    <row r="9439" spans="8:8" x14ac:dyDescent="0.3">
      <c r="H9439" t="str">
        <f t="shared" si="197"/>
        <v/>
      </c>
    </row>
    <row r="9440" spans="8:8" x14ac:dyDescent="0.3">
      <c r="H9440" t="str">
        <f t="shared" si="197"/>
        <v/>
      </c>
    </row>
    <row r="9441" spans="8:8" x14ac:dyDescent="0.3">
      <c r="H9441" t="str">
        <f t="shared" si="197"/>
        <v/>
      </c>
    </row>
    <row r="9442" spans="8:8" x14ac:dyDescent="0.3">
      <c r="H9442" t="str">
        <f t="shared" si="197"/>
        <v/>
      </c>
    </row>
    <row r="9443" spans="8:8" x14ac:dyDescent="0.3">
      <c r="H9443" t="str">
        <f t="shared" si="197"/>
        <v/>
      </c>
    </row>
    <row r="9444" spans="8:8" x14ac:dyDescent="0.3">
      <c r="H9444" t="str">
        <f t="shared" si="197"/>
        <v/>
      </c>
    </row>
    <row r="9445" spans="8:8" x14ac:dyDescent="0.3">
      <c r="H9445" t="str">
        <f t="shared" si="197"/>
        <v/>
      </c>
    </row>
    <row r="9446" spans="8:8" x14ac:dyDescent="0.3">
      <c r="H9446" t="str">
        <f t="shared" si="197"/>
        <v/>
      </c>
    </row>
    <row r="9447" spans="8:8" x14ac:dyDescent="0.3">
      <c r="H9447" t="str">
        <f t="shared" si="197"/>
        <v/>
      </c>
    </row>
    <row r="9448" spans="8:8" x14ac:dyDescent="0.3">
      <c r="H9448" t="str">
        <f t="shared" si="197"/>
        <v/>
      </c>
    </row>
    <row r="9449" spans="8:8" x14ac:dyDescent="0.3">
      <c r="H9449" t="str">
        <f t="shared" si="197"/>
        <v/>
      </c>
    </row>
    <row r="9450" spans="8:8" x14ac:dyDescent="0.3">
      <c r="H9450" t="str">
        <f t="shared" si="197"/>
        <v/>
      </c>
    </row>
    <row r="9451" spans="8:8" x14ac:dyDescent="0.3">
      <c r="H9451" t="str">
        <f t="shared" si="197"/>
        <v/>
      </c>
    </row>
    <row r="9452" spans="8:8" x14ac:dyDescent="0.3">
      <c r="H9452" t="str">
        <f t="shared" si="197"/>
        <v/>
      </c>
    </row>
    <row r="9453" spans="8:8" x14ac:dyDescent="0.3">
      <c r="H9453" t="str">
        <f t="shared" si="197"/>
        <v/>
      </c>
    </row>
    <row r="9454" spans="8:8" x14ac:dyDescent="0.3">
      <c r="H9454" t="str">
        <f t="shared" si="197"/>
        <v/>
      </c>
    </row>
    <row r="9455" spans="8:8" x14ac:dyDescent="0.3">
      <c r="H9455" t="str">
        <f t="shared" si="197"/>
        <v/>
      </c>
    </row>
    <row r="9456" spans="8:8" x14ac:dyDescent="0.3">
      <c r="H9456" t="str">
        <f t="shared" si="197"/>
        <v/>
      </c>
    </row>
    <row r="9457" spans="8:8" x14ac:dyDescent="0.3">
      <c r="H9457" t="str">
        <f t="shared" si="197"/>
        <v/>
      </c>
    </row>
    <row r="9458" spans="8:8" x14ac:dyDescent="0.3">
      <c r="H9458" t="str">
        <f t="shared" si="197"/>
        <v/>
      </c>
    </row>
    <row r="9459" spans="8:8" x14ac:dyDescent="0.3">
      <c r="H9459" t="str">
        <f t="shared" si="197"/>
        <v/>
      </c>
    </row>
    <row r="9460" spans="8:8" x14ac:dyDescent="0.3">
      <c r="H9460" t="str">
        <f t="shared" si="197"/>
        <v/>
      </c>
    </row>
    <row r="9461" spans="8:8" x14ac:dyDescent="0.3">
      <c r="H9461" t="str">
        <f t="shared" si="197"/>
        <v/>
      </c>
    </row>
    <row r="9462" spans="8:8" x14ac:dyDescent="0.3">
      <c r="H9462" t="str">
        <f t="shared" si="197"/>
        <v/>
      </c>
    </row>
    <row r="9463" spans="8:8" x14ac:dyDescent="0.3">
      <c r="H9463" t="str">
        <f t="shared" si="197"/>
        <v/>
      </c>
    </row>
    <row r="9464" spans="8:8" x14ac:dyDescent="0.3">
      <c r="H9464" t="str">
        <f t="shared" si="197"/>
        <v/>
      </c>
    </row>
    <row r="9465" spans="8:8" x14ac:dyDescent="0.3">
      <c r="H9465" t="str">
        <f t="shared" si="197"/>
        <v/>
      </c>
    </row>
    <row r="9466" spans="8:8" x14ac:dyDescent="0.3">
      <c r="H9466" t="str">
        <f t="shared" si="197"/>
        <v/>
      </c>
    </row>
    <row r="9467" spans="8:8" x14ac:dyDescent="0.3">
      <c r="H9467" t="str">
        <f t="shared" si="197"/>
        <v/>
      </c>
    </row>
    <row r="9468" spans="8:8" x14ac:dyDescent="0.3">
      <c r="H9468" t="str">
        <f t="shared" si="197"/>
        <v/>
      </c>
    </row>
    <row r="9469" spans="8:8" x14ac:dyDescent="0.3">
      <c r="H9469" t="str">
        <f t="shared" si="197"/>
        <v/>
      </c>
    </row>
    <row r="9470" spans="8:8" x14ac:dyDescent="0.3">
      <c r="H9470" t="str">
        <f t="shared" si="197"/>
        <v/>
      </c>
    </row>
    <row r="9471" spans="8:8" x14ac:dyDescent="0.3">
      <c r="H9471" t="str">
        <f t="shared" si="197"/>
        <v/>
      </c>
    </row>
    <row r="9472" spans="8:8" x14ac:dyDescent="0.3">
      <c r="H9472" t="str">
        <f t="shared" si="197"/>
        <v/>
      </c>
    </row>
    <row r="9473" spans="8:8" x14ac:dyDescent="0.3">
      <c r="H9473" t="str">
        <f t="shared" si="197"/>
        <v/>
      </c>
    </row>
    <row r="9474" spans="8:8" x14ac:dyDescent="0.3">
      <c r="H9474" t="str">
        <f t="shared" si="197"/>
        <v/>
      </c>
    </row>
    <row r="9475" spans="8:8" x14ac:dyDescent="0.3">
      <c r="H9475" t="str">
        <f t="shared" si="197"/>
        <v/>
      </c>
    </row>
    <row r="9476" spans="8:8" x14ac:dyDescent="0.3">
      <c r="H9476" t="str">
        <f t="shared" si="197"/>
        <v/>
      </c>
    </row>
    <row r="9477" spans="8:8" x14ac:dyDescent="0.3">
      <c r="H9477" t="str">
        <f t="shared" si="197"/>
        <v/>
      </c>
    </row>
    <row r="9478" spans="8:8" x14ac:dyDescent="0.3">
      <c r="H9478" t="str">
        <f t="shared" si="197"/>
        <v/>
      </c>
    </row>
    <row r="9479" spans="8:8" x14ac:dyDescent="0.3">
      <c r="H9479" t="str">
        <f t="shared" si="197"/>
        <v/>
      </c>
    </row>
    <row r="9480" spans="8:8" x14ac:dyDescent="0.3">
      <c r="H9480" t="str">
        <f t="shared" si="197"/>
        <v/>
      </c>
    </row>
    <row r="9481" spans="8:8" x14ac:dyDescent="0.3">
      <c r="H9481" t="str">
        <f t="shared" si="197"/>
        <v/>
      </c>
    </row>
    <row r="9482" spans="8:8" x14ac:dyDescent="0.3">
      <c r="H9482" t="str">
        <f t="shared" si="197"/>
        <v/>
      </c>
    </row>
    <row r="9483" spans="8:8" x14ac:dyDescent="0.3">
      <c r="H9483" t="str">
        <f t="shared" si="197"/>
        <v/>
      </c>
    </row>
    <row r="9484" spans="8:8" x14ac:dyDescent="0.3">
      <c r="H9484" t="str">
        <f t="shared" si="197"/>
        <v/>
      </c>
    </row>
    <row r="9485" spans="8:8" x14ac:dyDescent="0.3">
      <c r="H9485" t="str">
        <f t="shared" si="197"/>
        <v/>
      </c>
    </row>
    <row r="9486" spans="8:8" x14ac:dyDescent="0.3">
      <c r="H9486" t="str">
        <f t="shared" si="197"/>
        <v/>
      </c>
    </row>
    <row r="9487" spans="8:8" x14ac:dyDescent="0.3">
      <c r="H9487" t="str">
        <f t="shared" si="197"/>
        <v/>
      </c>
    </row>
    <row r="9488" spans="8:8" x14ac:dyDescent="0.3">
      <c r="H9488" t="str">
        <f t="shared" si="197"/>
        <v/>
      </c>
    </row>
    <row r="9489" spans="8:8" x14ac:dyDescent="0.3">
      <c r="H9489" t="str">
        <f t="shared" si="197"/>
        <v/>
      </c>
    </row>
    <row r="9490" spans="8:8" x14ac:dyDescent="0.3">
      <c r="H9490" t="str">
        <f t="shared" si="197"/>
        <v/>
      </c>
    </row>
    <row r="9491" spans="8:8" x14ac:dyDescent="0.3">
      <c r="H9491" t="str">
        <f t="shared" si="197"/>
        <v/>
      </c>
    </row>
    <row r="9492" spans="8:8" x14ac:dyDescent="0.3">
      <c r="H9492" t="str">
        <f t="shared" si="197"/>
        <v/>
      </c>
    </row>
    <row r="9493" spans="8:8" x14ac:dyDescent="0.3">
      <c r="H9493" t="str">
        <f t="shared" si="197"/>
        <v/>
      </c>
    </row>
    <row r="9494" spans="8:8" x14ac:dyDescent="0.3">
      <c r="H9494" t="str">
        <f t="shared" si="197"/>
        <v/>
      </c>
    </row>
    <row r="9495" spans="8:8" x14ac:dyDescent="0.3">
      <c r="H9495" t="str">
        <f t="shared" ref="H9495:H9558" si="198">IF(B9495="","",$C$12)</f>
        <v/>
      </c>
    </row>
    <row r="9496" spans="8:8" x14ac:dyDescent="0.3">
      <c r="H9496" t="str">
        <f t="shared" si="198"/>
        <v/>
      </c>
    </row>
    <row r="9497" spans="8:8" x14ac:dyDescent="0.3">
      <c r="H9497" t="str">
        <f t="shared" si="198"/>
        <v/>
      </c>
    </row>
    <row r="9498" spans="8:8" x14ac:dyDescent="0.3">
      <c r="H9498" t="str">
        <f t="shared" si="198"/>
        <v/>
      </c>
    </row>
    <row r="9499" spans="8:8" x14ac:dyDescent="0.3">
      <c r="H9499" t="str">
        <f t="shared" si="198"/>
        <v/>
      </c>
    </row>
    <row r="9500" spans="8:8" x14ac:dyDescent="0.3">
      <c r="H9500" t="str">
        <f t="shared" si="198"/>
        <v/>
      </c>
    </row>
    <row r="9501" spans="8:8" x14ac:dyDescent="0.3">
      <c r="H9501" t="str">
        <f t="shared" si="198"/>
        <v/>
      </c>
    </row>
    <row r="9502" spans="8:8" x14ac:dyDescent="0.3">
      <c r="H9502" t="str">
        <f t="shared" si="198"/>
        <v/>
      </c>
    </row>
    <row r="9503" spans="8:8" x14ac:dyDescent="0.3">
      <c r="H9503" t="str">
        <f t="shared" si="198"/>
        <v/>
      </c>
    </row>
    <row r="9504" spans="8:8" x14ac:dyDescent="0.3">
      <c r="H9504" t="str">
        <f t="shared" si="198"/>
        <v/>
      </c>
    </row>
    <row r="9505" spans="8:8" x14ac:dyDescent="0.3">
      <c r="H9505" t="str">
        <f t="shared" si="198"/>
        <v/>
      </c>
    </row>
    <row r="9506" spans="8:8" x14ac:dyDescent="0.3">
      <c r="H9506" t="str">
        <f t="shared" si="198"/>
        <v/>
      </c>
    </row>
    <row r="9507" spans="8:8" x14ac:dyDescent="0.3">
      <c r="H9507" t="str">
        <f t="shared" si="198"/>
        <v/>
      </c>
    </row>
    <row r="9508" spans="8:8" x14ac:dyDescent="0.3">
      <c r="H9508" t="str">
        <f t="shared" si="198"/>
        <v/>
      </c>
    </row>
    <row r="9509" spans="8:8" x14ac:dyDescent="0.3">
      <c r="H9509" t="str">
        <f t="shared" si="198"/>
        <v/>
      </c>
    </row>
    <row r="9510" spans="8:8" x14ac:dyDescent="0.3">
      <c r="H9510" t="str">
        <f t="shared" si="198"/>
        <v/>
      </c>
    </row>
    <row r="9511" spans="8:8" x14ac:dyDescent="0.3">
      <c r="H9511" t="str">
        <f t="shared" si="198"/>
        <v/>
      </c>
    </row>
    <row r="9512" spans="8:8" x14ac:dyDescent="0.3">
      <c r="H9512" t="str">
        <f t="shared" si="198"/>
        <v/>
      </c>
    </row>
    <row r="9513" spans="8:8" x14ac:dyDescent="0.3">
      <c r="H9513" t="str">
        <f t="shared" si="198"/>
        <v/>
      </c>
    </row>
    <row r="9514" spans="8:8" x14ac:dyDescent="0.3">
      <c r="H9514" t="str">
        <f t="shared" si="198"/>
        <v/>
      </c>
    </row>
    <row r="9515" spans="8:8" x14ac:dyDescent="0.3">
      <c r="H9515" t="str">
        <f t="shared" si="198"/>
        <v/>
      </c>
    </row>
    <row r="9516" spans="8:8" x14ac:dyDescent="0.3">
      <c r="H9516" t="str">
        <f t="shared" si="198"/>
        <v/>
      </c>
    </row>
    <row r="9517" spans="8:8" x14ac:dyDescent="0.3">
      <c r="H9517" t="str">
        <f t="shared" si="198"/>
        <v/>
      </c>
    </row>
    <row r="9518" spans="8:8" x14ac:dyDescent="0.3">
      <c r="H9518" t="str">
        <f t="shared" si="198"/>
        <v/>
      </c>
    </row>
    <row r="9519" spans="8:8" x14ac:dyDescent="0.3">
      <c r="H9519" t="str">
        <f t="shared" si="198"/>
        <v/>
      </c>
    </row>
    <row r="9520" spans="8:8" x14ac:dyDescent="0.3">
      <c r="H9520" t="str">
        <f t="shared" si="198"/>
        <v/>
      </c>
    </row>
    <row r="9521" spans="8:8" x14ac:dyDescent="0.3">
      <c r="H9521" t="str">
        <f t="shared" si="198"/>
        <v/>
      </c>
    </row>
    <row r="9522" spans="8:8" x14ac:dyDescent="0.3">
      <c r="H9522" t="str">
        <f t="shared" si="198"/>
        <v/>
      </c>
    </row>
    <row r="9523" spans="8:8" x14ac:dyDescent="0.3">
      <c r="H9523" t="str">
        <f t="shared" si="198"/>
        <v/>
      </c>
    </row>
    <row r="9524" spans="8:8" x14ac:dyDescent="0.3">
      <c r="H9524" t="str">
        <f t="shared" si="198"/>
        <v/>
      </c>
    </row>
    <row r="9525" spans="8:8" x14ac:dyDescent="0.3">
      <c r="H9525" t="str">
        <f t="shared" si="198"/>
        <v/>
      </c>
    </row>
    <row r="9526" spans="8:8" x14ac:dyDescent="0.3">
      <c r="H9526" t="str">
        <f t="shared" si="198"/>
        <v/>
      </c>
    </row>
    <row r="9527" spans="8:8" x14ac:dyDescent="0.3">
      <c r="H9527" t="str">
        <f t="shared" si="198"/>
        <v/>
      </c>
    </row>
    <row r="9528" spans="8:8" x14ac:dyDescent="0.3">
      <c r="H9528" t="str">
        <f t="shared" si="198"/>
        <v/>
      </c>
    </row>
    <row r="9529" spans="8:8" x14ac:dyDescent="0.3">
      <c r="H9529" t="str">
        <f t="shared" si="198"/>
        <v/>
      </c>
    </row>
    <row r="9530" spans="8:8" x14ac:dyDescent="0.3">
      <c r="H9530" t="str">
        <f t="shared" si="198"/>
        <v/>
      </c>
    </row>
    <row r="9531" spans="8:8" x14ac:dyDescent="0.3">
      <c r="H9531" t="str">
        <f t="shared" si="198"/>
        <v/>
      </c>
    </row>
    <row r="9532" spans="8:8" x14ac:dyDescent="0.3">
      <c r="H9532" t="str">
        <f t="shared" si="198"/>
        <v/>
      </c>
    </row>
    <row r="9533" spans="8:8" x14ac:dyDescent="0.3">
      <c r="H9533" t="str">
        <f t="shared" si="198"/>
        <v/>
      </c>
    </row>
    <row r="9534" spans="8:8" x14ac:dyDescent="0.3">
      <c r="H9534" t="str">
        <f t="shared" si="198"/>
        <v/>
      </c>
    </row>
    <row r="9535" spans="8:8" x14ac:dyDescent="0.3">
      <c r="H9535" t="str">
        <f t="shared" si="198"/>
        <v/>
      </c>
    </row>
    <row r="9536" spans="8:8" x14ac:dyDescent="0.3">
      <c r="H9536" t="str">
        <f t="shared" si="198"/>
        <v/>
      </c>
    </row>
    <row r="9537" spans="8:8" x14ac:dyDescent="0.3">
      <c r="H9537" t="str">
        <f t="shared" si="198"/>
        <v/>
      </c>
    </row>
    <row r="9538" spans="8:8" x14ac:dyDescent="0.3">
      <c r="H9538" t="str">
        <f t="shared" si="198"/>
        <v/>
      </c>
    </row>
    <row r="9539" spans="8:8" x14ac:dyDescent="0.3">
      <c r="H9539" t="str">
        <f t="shared" si="198"/>
        <v/>
      </c>
    </row>
    <row r="9540" spans="8:8" x14ac:dyDescent="0.3">
      <c r="H9540" t="str">
        <f t="shared" si="198"/>
        <v/>
      </c>
    </row>
    <row r="9541" spans="8:8" x14ac:dyDescent="0.3">
      <c r="H9541" t="str">
        <f t="shared" si="198"/>
        <v/>
      </c>
    </row>
    <row r="9542" spans="8:8" x14ac:dyDescent="0.3">
      <c r="H9542" t="str">
        <f t="shared" si="198"/>
        <v/>
      </c>
    </row>
    <row r="9543" spans="8:8" x14ac:dyDescent="0.3">
      <c r="H9543" t="str">
        <f t="shared" si="198"/>
        <v/>
      </c>
    </row>
    <row r="9544" spans="8:8" x14ac:dyDescent="0.3">
      <c r="H9544" t="str">
        <f t="shared" si="198"/>
        <v/>
      </c>
    </row>
    <row r="9545" spans="8:8" x14ac:dyDescent="0.3">
      <c r="H9545" t="str">
        <f t="shared" si="198"/>
        <v/>
      </c>
    </row>
    <row r="9546" spans="8:8" x14ac:dyDescent="0.3">
      <c r="H9546" t="str">
        <f t="shared" si="198"/>
        <v/>
      </c>
    </row>
    <row r="9547" spans="8:8" x14ac:dyDescent="0.3">
      <c r="H9547" t="str">
        <f t="shared" si="198"/>
        <v/>
      </c>
    </row>
    <row r="9548" spans="8:8" x14ac:dyDescent="0.3">
      <c r="H9548" t="str">
        <f t="shared" si="198"/>
        <v/>
      </c>
    </row>
    <row r="9549" spans="8:8" x14ac:dyDescent="0.3">
      <c r="H9549" t="str">
        <f t="shared" si="198"/>
        <v/>
      </c>
    </row>
    <row r="9550" spans="8:8" x14ac:dyDescent="0.3">
      <c r="H9550" t="str">
        <f t="shared" si="198"/>
        <v/>
      </c>
    </row>
    <row r="9551" spans="8:8" x14ac:dyDescent="0.3">
      <c r="H9551" t="str">
        <f t="shared" si="198"/>
        <v/>
      </c>
    </row>
    <row r="9552" spans="8:8" x14ac:dyDescent="0.3">
      <c r="H9552" t="str">
        <f t="shared" si="198"/>
        <v/>
      </c>
    </row>
    <row r="9553" spans="8:8" x14ac:dyDescent="0.3">
      <c r="H9553" t="str">
        <f t="shared" si="198"/>
        <v/>
      </c>
    </row>
    <row r="9554" spans="8:8" x14ac:dyDescent="0.3">
      <c r="H9554" t="str">
        <f t="shared" si="198"/>
        <v/>
      </c>
    </row>
    <row r="9555" spans="8:8" x14ac:dyDescent="0.3">
      <c r="H9555" t="str">
        <f t="shared" si="198"/>
        <v/>
      </c>
    </row>
    <row r="9556" spans="8:8" x14ac:dyDescent="0.3">
      <c r="H9556" t="str">
        <f t="shared" si="198"/>
        <v/>
      </c>
    </row>
    <row r="9557" spans="8:8" x14ac:dyDescent="0.3">
      <c r="H9557" t="str">
        <f t="shared" si="198"/>
        <v/>
      </c>
    </row>
    <row r="9558" spans="8:8" x14ac:dyDescent="0.3">
      <c r="H9558" t="str">
        <f t="shared" si="198"/>
        <v/>
      </c>
    </row>
    <row r="9559" spans="8:8" x14ac:dyDescent="0.3">
      <c r="H9559" t="str">
        <f t="shared" ref="H9559:H9622" si="199">IF(B9559="","",$C$12)</f>
        <v/>
      </c>
    </row>
    <row r="9560" spans="8:8" x14ac:dyDescent="0.3">
      <c r="H9560" t="str">
        <f t="shared" si="199"/>
        <v/>
      </c>
    </row>
    <row r="9561" spans="8:8" x14ac:dyDescent="0.3">
      <c r="H9561" t="str">
        <f t="shared" si="199"/>
        <v/>
      </c>
    </row>
    <row r="9562" spans="8:8" x14ac:dyDescent="0.3">
      <c r="H9562" t="str">
        <f t="shared" si="199"/>
        <v/>
      </c>
    </row>
    <row r="9563" spans="8:8" x14ac:dyDescent="0.3">
      <c r="H9563" t="str">
        <f t="shared" si="199"/>
        <v/>
      </c>
    </row>
    <row r="9564" spans="8:8" x14ac:dyDescent="0.3">
      <c r="H9564" t="str">
        <f t="shared" si="199"/>
        <v/>
      </c>
    </row>
    <row r="9565" spans="8:8" x14ac:dyDescent="0.3">
      <c r="H9565" t="str">
        <f t="shared" si="199"/>
        <v/>
      </c>
    </row>
    <row r="9566" spans="8:8" x14ac:dyDescent="0.3">
      <c r="H9566" t="str">
        <f t="shared" si="199"/>
        <v/>
      </c>
    </row>
    <row r="9567" spans="8:8" x14ac:dyDescent="0.3">
      <c r="H9567" t="str">
        <f t="shared" si="199"/>
        <v/>
      </c>
    </row>
    <row r="9568" spans="8:8" x14ac:dyDescent="0.3">
      <c r="H9568" t="str">
        <f t="shared" si="199"/>
        <v/>
      </c>
    </row>
    <row r="9569" spans="8:8" x14ac:dyDescent="0.3">
      <c r="H9569" t="str">
        <f t="shared" si="199"/>
        <v/>
      </c>
    </row>
    <row r="9570" spans="8:8" x14ac:dyDescent="0.3">
      <c r="H9570" t="str">
        <f t="shared" si="199"/>
        <v/>
      </c>
    </row>
    <row r="9571" spans="8:8" x14ac:dyDescent="0.3">
      <c r="H9571" t="str">
        <f t="shared" si="199"/>
        <v/>
      </c>
    </row>
    <row r="9572" spans="8:8" x14ac:dyDescent="0.3">
      <c r="H9572" t="str">
        <f t="shared" si="199"/>
        <v/>
      </c>
    </row>
    <row r="9573" spans="8:8" x14ac:dyDescent="0.3">
      <c r="H9573" t="str">
        <f t="shared" si="199"/>
        <v/>
      </c>
    </row>
    <row r="9574" spans="8:8" x14ac:dyDescent="0.3">
      <c r="H9574" t="str">
        <f t="shared" si="199"/>
        <v/>
      </c>
    </row>
    <row r="9575" spans="8:8" x14ac:dyDescent="0.3">
      <c r="H9575" t="str">
        <f t="shared" si="199"/>
        <v/>
      </c>
    </row>
    <row r="9576" spans="8:8" x14ac:dyDescent="0.3">
      <c r="H9576" t="str">
        <f t="shared" si="199"/>
        <v/>
      </c>
    </row>
    <row r="9577" spans="8:8" x14ac:dyDescent="0.3">
      <c r="H9577" t="str">
        <f t="shared" si="199"/>
        <v/>
      </c>
    </row>
    <row r="9578" spans="8:8" x14ac:dyDescent="0.3">
      <c r="H9578" t="str">
        <f t="shared" si="199"/>
        <v/>
      </c>
    </row>
    <row r="9579" spans="8:8" x14ac:dyDescent="0.3">
      <c r="H9579" t="str">
        <f t="shared" si="199"/>
        <v/>
      </c>
    </row>
    <row r="9580" spans="8:8" x14ac:dyDescent="0.3">
      <c r="H9580" t="str">
        <f t="shared" si="199"/>
        <v/>
      </c>
    </row>
    <row r="9581" spans="8:8" x14ac:dyDescent="0.3">
      <c r="H9581" t="str">
        <f t="shared" si="199"/>
        <v/>
      </c>
    </row>
    <row r="9582" spans="8:8" x14ac:dyDescent="0.3">
      <c r="H9582" t="str">
        <f t="shared" si="199"/>
        <v/>
      </c>
    </row>
    <row r="9583" spans="8:8" x14ac:dyDescent="0.3">
      <c r="H9583" t="str">
        <f t="shared" si="199"/>
        <v/>
      </c>
    </row>
    <row r="9584" spans="8:8" x14ac:dyDescent="0.3">
      <c r="H9584" t="str">
        <f t="shared" si="199"/>
        <v/>
      </c>
    </row>
    <row r="9585" spans="8:8" x14ac:dyDescent="0.3">
      <c r="H9585" t="str">
        <f t="shared" si="199"/>
        <v/>
      </c>
    </row>
    <row r="9586" spans="8:8" x14ac:dyDescent="0.3">
      <c r="H9586" t="str">
        <f t="shared" si="199"/>
        <v/>
      </c>
    </row>
    <row r="9587" spans="8:8" x14ac:dyDescent="0.3">
      <c r="H9587" t="str">
        <f t="shared" si="199"/>
        <v/>
      </c>
    </row>
    <row r="9588" spans="8:8" x14ac:dyDescent="0.3">
      <c r="H9588" t="str">
        <f t="shared" si="199"/>
        <v/>
      </c>
    </row>
    <row r="9589" spans="8:8" x14ac:dyDescent="0.3">
      <c r="H9589" t="str">
        <f t="shared" si="199"/>
        <v/>
      </c>
    </row>
    <row r="9590" spans="8:8" x14ac:dyDescent="0.3">
      <c r="H9590" t="str">
        <f t="shared" si="199"/>
        <v/>
      </c>
    </row>
    <row r="9591" spans="8:8" x14ac:dyDescent="0.3">
      <c r="H9591" t="str">
        <f t="shared" si="199"/>
        <v/>
      </c>
    </row>
    <row r="9592" spans="8:8" x14ac:dyDescent="0.3">
      <c r="H9592" t="str">
        <f t="shared" si="199"/>
        <v/>
      </c>
    </row>
    <row r="9593" spans="8:8" x14ac:dyDescent="0.3">
      <c r="H9593" t="str">
        <f t="shared" si="199"/>
        <v/>
      </c>
    </row>
    <row r="9594" spans="8:8" x14ac:dyDescent="0.3">
      <c r="H9594" t="str">
        <f t="shared" si="199"/>
        <v/>
      </c>
    </row>
    <row r="9595" spans="8:8" x14ac:dyDescent="0.3">
      <c r="H9595" t="str">
        <f t="shared" si="199"/>
        <v/>
      </c>
    </row>
    <row r="9596" spans="8:8" x14ac:dyDescent="0.3">
      <c r="H9596" t="str">
        <f t="shared" si="199"/>
        <v/>
      </c>
    </row>
    <row r="9597" spans="8:8" x14ac:dyDescent="0.3">
      <c r="H9597" t="str">
        <f t="shared" si="199"/>
        <v/>
      </c>
    </row>
    <row r="9598" spans="8:8" x14ac:dyDescent="0.3">
      <c r="H9598" t="str">
        <f t="shared" si="199"/>
        <v/>
      </c>
    </row>
    <row r="9599" spans="8:8" x14ac:dyDescent="0.3">
      <c r="H9599" t="str">
        <f t="shared" si="199"/>
        <v/>
      </c>
    </row>
    <row r="9600" spans="8:8" x14ac:dyDescent="0.3">
      <c r="H9600" t="str">
        <f t="shared" si="199"/>
        <v/>
      </c>
    </row>
    <row r="9601" spans="8:8" x14ac:dyDescent="0.3">
      <c r="H9601" t="str">
        <f t="shared" si="199"/>
        <v/>
      </c>
    </row>
    <row r="9602" spans="8:8" x14ac:dyDescent="0.3">
      <c r="H9602" t="str">
        <f t="shared" si="199"/>
        <v/>
      </c>
    </row>
    <row r="9603" spans="8:8" x14ac:dyDescent="0.3">
      <c r="H9603" t="str">
        <f t="shared" si="199"/>
        <v/>
      </c>
    </row>
    <row r="9604" spans="8:8" x14ac:dyDescent="0.3">
      <c r="H9604" t="str">
        <f t="shared" si="199"/>
        <v/>
      </c>
    </row>
    <row r="9605" spans="8:8" x14ac:dyDescent="0.3">
      <c r="H9605" t="str">
        <f t="shared" si="199"/>
        <v/>
      </c>
    </row>
    <row r="9606" spans="8:8" x14ac:dyDescent="0.3">
      <c r="H9606" t="str">
        <f t="shared" si="199"/>
        <v/>
      </c>
    </row>
    <row r="9607" spans="8:8" x14ac:dyDescent="0.3">
      <c r="H9607" t="str">
        <f t="shared" si="199"/>
        <v/>
      </c>
    </row>
    <row r="9608" spans="8:8" x14ac:dyDescent="0.3">
      <c r="H9608" t="str">
        <f t="shared" si="199"/>
        <v/>
      </c>
    </row>
    <row r="9609" spans="8:8" x14ac:dyDescent="0.3">
      <c r="H9609" t="str">
        <f t="shared" si="199"/>
        <v/>
      </c>
    </row>
    <row r="9610" spans="8:8" x14ac:dyDescent="0.3">
      <c r="H9610" t="str">
        <f t="shared" si="199"/>
        <v/>
      </c>
    </row>
    <row r="9611" spans="8:8" x14ac:dyDescent="0.3">
      <c r="H9611" t="str">
        <f t="shared" si="199"/>
        <v/>
      </c>
    </row>
    <row r="9612" spans="8:8" x14ac:dyDescent="0.3">
      <c r="H9612" t="str">
        <f t="shared" si="199"/>
        <v/>
      </c>
    </row>
    <row r="9613" spans="8:8" x14ac:dyDescent="0.3">
      <c r="H9613" t="str">
        <f t="shared" si="199"/>
        <v/>
      </c>
    </row>
    <row r="9614" spans="8:8" x14ac:dyDescent="0.3">
      <c r="H9614" t="str">
        <f t="shared" si="199"/>
        <v/>
      </c>
    </row>
    <row r="9615" spans="8:8" x14ac:dyDescent="0.3">
      <c r="H9615" t="str">
        <f t="shared" si="199"/>
        <v/>
      </c>
    </row>
    <row r="9616" spans="8:8" x14ac:dyDescent="0.3">
      <c r="H9616" t="str">
        <f t="shared" si="199"/>
        <v/>
      </c>
    </row>
    <row r="9617" spans="8:8" x14ac:dyDescent="0.3">
      <c r="H9617" t="str">
        <f t="shared" si="199"/>
        <v/>
      </c>
    </row>
    <row r="9618" spans="8:8" x14ac:dyDescent="0.3">
      <c r="H9618" t="str">
        <f t="shared" si="199"/>
        <v/>
      </c>
    </row>
    <row r="9619" spans="8:8" x14ac:dyDescent="0.3">
      <c r="H9619" t="str">
        <f t="shared" si="199"/>
        <v/>
      </c>
    </row>
    <row r="9620" spans="8:8" x14ac:dyDescent="0.3">
      <c r="H9620" t="str">
        <f t="shared" si="199"/>
        <v/>
      </c>
    </row>
    <row r="9621" spans="8:8" x14ac:dyDescent="0.3">
      <c r="H9621" t="str">
        <f t="shared" si="199"/>
        <v/>
      </c>
    </row>
    <row r="9622" spans="8:8" x14ac:dyDescent="0.3">
      <c r="H9622" t="str">
        <f t="shared" si="199"/>
        <v/>
      </c>
    </row>
    <row r="9623" spans="8:8" x14ac:dyDescent="0.3">
      <c r="H9623" t="str">
        <f t="shared" ref="H9623:H9686" si="200">IF(B9623="","",$C$12)</f>
        <v/>
      </c>
    </row>
    <row r="9624" spans="8:8" x14ac:dyDescent="0.3">
      <c r="H9624" t="str">
        <f t="shared" si="200"/>
        <v/>
      </c>
    </row>
    <row r="9625" spans="8:8" x14ac:dyDescent="0.3">
      <c r="H9625" t="str">
        <f t="shared" si="200"/>
        <v/>
      </c>
    </row>
    <row r="9626" spans="8:8" x14ac:dyDescent="0.3">
      <c r="H9626" t="str">
        <f t="shared" si="200"/>
        <v/>
      </c>
    </row>
    <row r="9627" spans="8:8" x14ac:dyDescent="0.3">
      <c r="H9627" t="str">
        <f t="shared" si="200"/>
        <v/>
      </c>
    </row>
    <row r="9628" spans="8:8" x14ac:dyDescent="0.3">
      <c r="H9628" t="str">
        <f t="shared" si="200"/>
        <v/>
      </c>
    </row>
    <row r="9629" spans="8:8" x14ac:dyDescent="0.3">
      <c r="H9629" t="str">
        <f t="shared" si="200"/>
        <v/>
      </c>
    </row>
    <row r="9630" spans="8:8" x14ac:dyDescent="0.3">
      <c r="H9630" t="str">
        <f t="shared" si="200"/>
        <v/>
      </c>
    </row>
    <row r="9631" spans="8:8" x14ac:dyDescent="0.3">
      <c r="H9631" t="str">
        <f t="shared" si="200"/>
        <v/>
      </c>
    </row>
    <row r="9632" spans="8:8" x14ac:dyDescent="0.3">
      <c r="H9632" t="str">
        <f t="shared" si="200"/>
        <v/>
      </c>
    </row>
    <row r="9633" spans="8:8" x14ac:dyDescent="0.3">
      <c r="H9633" t="str">
        <f t="shared" si="200"/>
        <v/>
      </c>
    </row>
    <row r="9634" spans="8:8" x14ac:dyDescent="0.3">
      <c r="H9634" t="str">
        <f t="shared" si="200"/>
        <v/>
      </c>
    </row>
    <row r="9635" spans="8:8" x14ac:dyDescent="0.3">
      <c r="H9635" t="str">
        <f t="shared" si="200"/>
        <v/>
      </c>
    </row>
    <row r="9636" spans="8:8" x14ac:dyDescent="0.3">
      <c r="H9636" t="str">
        <f t="shared" si="200"/>
        <v/>
      </c>
    </row>
    <row r="9637" spans="8:8" x14ac:dyDescent="0.3">
      <c r="H9637" t="str">
        <f t="shared" si="200"/>
        <v/>
      </c>
    </row>
    <row r="9638" spans="8:8" x14ac:dyDescent="0.3">
      <c r="H9638" t="str">
        <f t="shared" si="200"/>
        <v/>
      </c>
    </row>
    <row r="9639" spans="8:8" x14ac:dyDescent="0.3">
      <c r="H9639" t="str">
        <f t="shared" si="200"/>
        <v/>
      </c>
    </row>
    <row r="9640" spans="8:8" x14ac:dyDescent="0.3">
      <c r="H9640" t="str">
        <f t="shared" si="200"/>
        <v/>
      </c>
    </row>
    <row r="9641" spans="8:8" x14ac:dyDescent="0.3">
      <c r="H9641" t="str">
        <f t="shared" si="200"/>
        <v/>
      </c>
    </row>
    <row r="9642" spans="8:8" x14ac:dyDescent="0.3">
      <c r="H9642" t="str">
        <f t="shared" si="200"/>
        <v/>
      </c>
    </row>
    <row r="9643" spans="8:8" x14ac:dyDescent="0.3">
      <c r="H9643" t="str">
        <f t="shared" si="200"/>
        <v/>
      </c>
    </row>
    <row r="9644" spans="8:8" x14ac:dyDescent="0.3">
      <c r="H9644" t="str">
        <f t="shared" si="200"/>
        <v/>
      </c>
    </row>
    <row r="9645" spans="8:8" x14ac:dyDescent="0.3">
      <c r="H9645" t="str">
        <f t="shared" si="200"/>
        <v/>
      </c>
    </row>
    <row r="9646" spans="8:8" x14ac:dyDescent="0.3">
      <c r="H9646" t="str">
        <f t="shared" si="200"/>
        <v/>
      </c>
    </row>
    <row r="9647" spans="8:8" x14ac:dyDescent="0.3">
      <c r="H9647" t="str">
        <f t="shared" si="200"/>
        <v/>
      </c>
    </row>
    <row r="9648" spans="8:8" x14ac:dyDescent="0.3">
      <c r="H9648" t="str">
        <f t="shared" si="200"/>
        <v/>
      </c>
    </row>
    <row r="9649" spans="8:8" x14ac:dyDescent="0.3">
      <c r="H9649" t="str">
        <f t="shared" si="200"/>
        <v/>
      </c>
    </row>
    <row r="9650" spans="8:8" x14ac:dyDescent="0.3">
      <c r="H9650" t="str">
        <f t="shared" si="200"/>
        <v/>
      </c>
    </row>
    <row r="9651" spans="8:8" x14ac:dyDescent="0.3">
      <c r="H9651" t="str">
        <f t="shared" si="200"/>
        <v/>
      </c>
    </row>
    <row r="9652" spans="8:8" x14ac:dyDescent="0.3">
      <c r="H9652" t="str">
        <f t="shared" si="200"/>
        <v/>
      </c>
    </row>
    <row r="9653" spans="8:8" x14ac:dyDescent="0.3">
      <c r="H9653" t="str">
        <f t="shared" si="200"/>
        <v/>
      </c>
    </row>
    <row r="9654" spans="8:8" x14ac:dyDescent="0.3">
      <c r="H9654" t="str">
        <f t="shared" si="200"/>
        <v/>
      </c>
    </row>
    <row r="9655" spans="8:8" x14ac:dyDescent="0.3">
      <c r="H9655" t="str">
        <f t="shared" si="200"/>
        <v/>
      </c>
    </row>
    <row r="9656" spans="8:8" x14ac:dyDescent="0.3">
      <c r="H9656" t="str">
        <f t="shared" si="200"/>
        <v/>
      </c>
    </row>
    <row r="9657" spans="8:8" x14ac:dyDescent="0.3">
      <c r="H9657" t="str">
        <f t="shared" si="200"/>
        <v/>
      </c>
    </row>
    <row r="9658" spans="8:8" x14ac:dyDescent="0.3">
      <c r="H9658" t="str">
        <f t="shared" si="200"/>
        <v/>
      </c>
    </row>
    <row r="9659" spans="8:8" x14ac:dyDescent="0.3">
      <c r="H9659" t="str">
        <f t="shared" si="200"/>
        <v/>
      </c>
    </row>
    <row r="9660" spans="8:8" x14ac:dyDescent="0.3">
      <c r="H9660" t="str">
        <f t="shared" si="200"/>
        <v/>
      </c>
    </row>
    <row r="9661" spans="8:8" x14ac:dyDescent="0.3">
      <c r="H9661" t="str">
        <f t="shared" si="200"/>
        <v/>
      </c>
    </row>
    <row r="9662" spans="8:8" x14ac:dyDescent="0.3">
      <c r="H9662" t="str">
        <f t="shared" si="200"/>
        <v/>
      </c>
    </row>
    <row r="9663" spans="8:8" x14ac:dyDescent="0.3">
      <c r="H9663" t="str">
        <f t="shared" si="200"/>
        <v/>
      </c>
    </row>
    <row r="9664" spans="8:8" x14ac:dyDescent="0.3">
      <c r="H9664" t="str">
        <f t="shared" si="200"/>
        <v/>
      </c>
    </row>
    <row r="9665" spans="8:8" x14ac:dyDescent="0.3">
      <c r="H9665" t="str">
        <f t="shared" si="200"/>
        <v/>
      </c>
    </row>
    <row r="9666" spans="8:8" x14ac:dyDescent="0.3">
      <c r="H9666" t="str">
        <f t="shared" si="200"/>
        <v/>
      </c>
    </row>
    <row r="9667" spans="8:8" x14ac:dyDescent="0.3">
      <c r="H9667" t="str">
        <f t="shared" si="200"/>
        <v/>
      </c>
    </row>
    <row r="9668" spans="8:8" x14ac:dyDescent="0.3">
      <c r="H9668" t="str">
        <f t="shared" si="200"/>
        <v/>
      </c>
    </row>
    <row r="9669" spans="8:8" x14ac:dyDescent="0.3">
      <c r="H9669" t="str">
        <f t="shared" si="200"/>
        <v/>
      </c>
    </row>
    <row r="9670" spans="8:8" x14ac:dyDescent="0.3">
      <c r="H9670" t="str">
        <f t="shared" si="200"/>
        <v/>
      </c>
    </row>
    <row r="9671" spans="8:8" x14ac:dyDescent="0.3">
      <c r="H9671" t="str">
        <f t="shared" si="200"/>
        <v/>
      </c>
    </row>
    <row r="9672" spans="8:8" x14ac:dyDescent="0.3">
      <c r="H9672" t="str">
        <f t="shared" si="200"/>
        <v/>
      </c>
    </row>
    <row r="9673" spans="8:8" x14ac:dyDescent="0.3">
      <c r="H9673" t="str">
        <f t="shared" si="200"/>
        <v/>
      </c>
    </row>
    <row r="9674" spans="8:8" x14ac:dyDescent="0.3">
      <c r="H9674" t="str">
        <f t="shared" si="200"/>
        <v/>
      </c>
    </row>
    <row r="9675" spans="8:8" x14ac:dyDescent="0.3">
      <c r="H9675" t="str">
        <f t="shared" si="200"/>
        <v/>
      </c>
    </row>
    <row r="9676" spans="8:8" x14ac:dyDescent="0.3">
      <c r="H9676" t="str">
        <f t="shared" si="200"/>
        <v/>
      </c>
    </row>
    <row r="9677" spans="8:8" x14ac:dyDescent="0.3">
      <c r="H9677" t="str">
        <f t="shared" si="200"/>
        <v/>
      </c>
    </row>
    <row r="9678" spans="8:8" x14ac:dyDescent="0.3">
      <c r="H9678" t="str">
        <f t="shared" si="200"/>
        <v/>
      </c>
    </row>
    <row r="9679" spans="8:8" x14ac:dyDescent="0.3">
      <c r="H9679" t="str">
        <f t="shared" si="200"/>
        <v/>
      </c>
    </row>
    <row r="9680" spans="8:8" x14ac:dyDescent="0.3">
      <c r="H9680" t="str">
        <f t="shared" si="200"/>
        <v/>
      </c>
    </row>
    <row r="9681" spans="8:8" x14ac:dyDescent="0.3">
      <c r="H9681" t="str">
        <f t="shared" si="200"/>
        <v/>
      </c>
    </row>
    <row r="9682" spans="8:8" x14ac:dyDescent="0.3">
      <c r="H9682" t="str">
        <f t="shared" si="200"/>
        <v/>
      </c>
    </row>
    <row r="9683" spans="8:8" x14ac:dyDescent="0.3">
      <c r="H9683" t="str">
        <f t="shared" si="200"/>
        <v/>
      </c>
    </row>
    <row r="9684" spans="8:8" x14ac:dyDescent="0.3">
      <c r="H9684" t="str">
        <f t="shared" si="200"/>
        <v/>
      </c>
    </row>
    <row r="9685" spans="8:8" x14ac:dyDescent="0.3">
      <c r="H9685" t="str">
        <f t="shared" si="200"/>
        <v/>
      </c>
    </row>
    <row r="9686" spans="8:8" x14ac:dyDescent="0.3">
      <c r="H9686" t="str">
        <f t="shared" si="200"/>
        <v/>
      </c>
    </row>
    <row r="9687" spans="8:8" x14ac:dyDescent="0.3">
      <c r="H9687" t="str">
        <f t="shared" ref="H9687:H9750" si="201">IF(B9687="","",$C$12)</f>
        <v/>
      </c>
    </row>
    <row r="9688" spans="8:8" x14ac:dyDescent="0.3">
      <c r="H9688" t="str">
        <f t="shared" si="201"/>
        <v/>
      </c>
    </row>
    <row r="9689" spans="8:8" x14ac:dyDescent="0.3">
      <c r="H9689" t="str">
        <f t="shared" si="201"/>
        <v/>
      </c>
    </row>
    <row r="9690" spans="8:8" x14ac:dyDescent="0.3">
      <c r="H9690" t="str">
        <f t="shared" si="201"/>
        <v/>
      </c>
    </row>
    <row r="9691" spans="8:8" x14ac:dyDescent="0.3">
      <c r="H9691" t="str">
        <f t="shared" si="201"/>
        <v/>
      </c>
    </row>
    <row r="9692" spans="8:8" x14ac:dyDescent="0.3">
      <c r="H9692" t="str">
        <f t="shared" si="201"/>
        <v/>
      </c>
    </row>
    <row r="9693" spans="8:8" x14ac:dyDescent="0.3">
      <c r="H9693" t="str">
        <f t="shared" si="201"/>
        <v/>
      </c>
    </row>
    <row r="9694" spans="8:8" x14ac:dyDescent="0.3">
      <c r="H9694" t="str">
        <f t="shared" si="201"/>
        <v/>
      </c>
    </row>
    <row r="9695" spans="8:8" x14ac:dyDescent="0.3">
      <c r="H9695" t="str">
        <f t="shared" si="201"/>
        <v/>
      </c>
    </row>
    <row r="9696" spans="8:8" x14ac:dyDescent="0.3">
      <c r="H9696" t="str">
        <f t="shared" si="201"/>
        <v/>
      </c>
    </row>
    <row r="9697" spans="8:8" x14ac:dyDescent="0.3">
      <c r="H9697" t="str">
        <f t="shared" si="201"/>
        <v/>
      </c>
    </row>
    <row r="9698" spans="8:8" x14ac:dyDescent="0.3">
      <c r="H9698" t="str">
        <f t="shared" si="201"/>
        <v/>
      </c>
    </row>
    <row r="9699" spans="8:8" x14ac:dyDescent="0.3">
      <c r="H9699" t="str">
        <f t="shared" si="201"/>
        <v/>
      </c>
    </row>
    <row r="9700" spans="8:8" x14ac:dyDescent="0.3">
      <c r="H9700" t="str">
        <f t="shared" si="201"/>
        <v/>
      </c>
    </row>
    <row r="9701" spans="8:8" x14ac:dyDescent="0.3">
      <c r="H9701" t="str">
        <f t="shared" si="201"/>
        <v/>
      </c>
    </row>
    <row r="9702" spans="8:8" x14ac:dyDescent="0.3">
      <c r="H9702" t="str">
        <f t="shared" si="201"/>
        <v/>
      </c>
    </row>
    <row r="9703" spans="8:8" x14ac:dyDescent="0.3">
      <c r="H9703" t="str">
        <f t="shared" si="201"/>
        <v/>
      </c>
    </row>
    <row r="9704" spans="8:8" x14ac:dyDescent="0.3">
      <c r="H9704" t="str">
        <f t="shared" si="201"/>
        <v/>
      </c>
    </row>
    <row r="9705" spans="8:8" x14ac:dyDescent="0.3">
      <c r="H9705" t="str">
        <f t="shared" si="201"/>
        <v/>
      </c>
    </row>
    <row r="9706" spans="8:8" x14ac:dyDescent="0.3">
      <c r="H9706" t="str">
        <f t="shared" si="201"/>
        <v/>
      </c>
    </row>
    <row r="9707" spans="8:8" x14ac:dyDescent="0.3">
      <c r="H9707" t="str">
        <f t="shared" si="201"/>
        <v/>
      </c>
    </row>
    <row r="9708" spans="8:8" x14ac:dyDescent="0.3">
      <c r="H9708" t="str">
        <f t="shared" si="201"/>
        <v/>
      </c>
    </row>
    <row r="9709" spans="8:8" x14ac:dyDescent="0.3">
      <c r="H9709" t="str">
        <f t="shared" si="201"/>
        <v/>
      </c>
    </row>
    <row r="9710" spans="8:8" x14ac:dyDescent="0.3">
      <c r="H9710" t="str">
        <f t="shared" si="201"/>
        <v/>
      </c>
    </row>
    <row r="9711" spans="8:8" x14ac:dyDescent="0.3">
      <c r="H9711" t="str">
        <f t="shared" si="201"/>
        <v/>
      </c>
    </row>
    <row r="9712" spans="8:8" x14ac:dyDescent="0.3">
      <c r="H9712" t="str">
        <f t="shared" si="201"/>
        <v/>
      </c>
    </row>
    <row r="9713" spans="8:8" x14ac:dyDescent="0.3">
      <c r="H9713" t="str">
        <f t="shared" si="201"/>
        <v/>
      </c>
    </row>
    <row r="9714" spans="8:8" x14ac:dyDescent="0.3">
      <c r="H9714" t="str">
        <f t="shared" si="201"/>
        <v/>
      </c>
    </row>
    <row r="9715" spans="8:8" x14ac:dyDescent="0.3">
      <c r="H9715" t="str">
        <f t="shared" si="201"/>
        <v/>
      </c>
    </row>
    <row r="9716" spans="8:8" x14ac:dyDescent="0.3">
      <c r="H9716" t="str">
        <f t="shared" si="201"/>
        <v/>
      </c>
    </row>
    <row r="9717" spans="8:8" x14ac:dyDescent="0.3">
      <c r="H9717" t="str">
        <f t="shared" si="201"/>
        <v/>
      </c>
    </row>
    <row r="9718" spans="8:8" x14ac:dyDescent="0.3">
      <c r="H9718" t="str">
        <f t="shared" si="201"/>
        <v/>
      </c>
    </row>
    <row r="9719" spans="8:8" x14ac:dyDescent="0.3">
      <c r="H9719" t="str">
        <f t="shared" si="201"/>
        <v/>
      </c>
    </row>
    <row r="9720" spans="8:8" x14ac:dyDescent="0.3">
      <c r="H9720" t="str">
        <f t="shared" si="201"/>
        <v/>
      </c>
    </row>
    <row r="9721" spans="8:8" x14ac:dyDescent="0.3">
      <c r="H9721" t="str">
        <f t="shared" si="201"/>
        <v/>
      </c>
    </row>
    <row r="9722" spans="8:8" x14ac:dyDescent="0.3">
      <c r="H9722" t="str">
        <f t="shared" si="201"/>
        <v/>
      </c>
    </row>
    <row r="9723" spans="8:8" x14ac:dyDescent="0.3">
      <c r="H9723" t="str">
        <f t="shared" si="201"/>
        <v/>
      </c>
    </row>
    <row r="9724" spans="8:8" x14ac:dyDescent="0.3">
      <c r="H9724" t="str">
        <f t="shared" si="201"/>
        <v/>
      </c>
    </row>
    <row r="9725" spans="8:8" x14ac:dyDescent="0.3">
      <c r="H9725" t="str">
        <f t="shared" si="201"/>
        <v/>
      </c>
    </row>
    <row r="9726" spans="8:8" x14ac:dyDescent="0.3">
      <c r="H9726" t="str">
        <f t="shared" si="201"/>
        <v/>
      </c>
    </row>
    <row r="9727" spans="8:8" x14ac:dyDescent="0.3">
      <c r="H9727" t="str">
        <f t="shared" si="201"/>
        <v/>
      </c>
    </row>
    <row r="9728" spans="8:8" x14ac:dyDescent="0.3">
      <c r="H9728" t="str">
        <f t="shared" si="201"/>
        <v/>
      </c>
    </row>
    <row r="9729" spans="8:8" x14ac:dyDescent="0.3">
      <c r="H9729" t="str">
        <f t="shared" si="201"/>
        <v/>
      </c>
    </row>
    <row r="9730" spans="8:8" x14ac:dyDescent="0.3">
      <c r="H9730" t="str">
        <f t="shared" si="201"/>
        <v/>
      </c>
    </row>
    <row r="9731" spans="8:8" x14ac:dyDescent="0.3">
      <c r="H9731" t="str">
        <f t="shared" si="201"/>
        <v/>
      </c>
    </row>
    <row r="9732" spans="8:8" x14ac:dyDescent="0.3">
      <c r="H9732" t="str">
        <f t="shared" si="201"/>
        <v/>
      </c>
    </row>
    <row r="9733" spans="8:8" x14ac:dyDescent="0.3">
      <c r="H9733" t="str">
        <f t="shared" si="201"/>
        <v/>
      </c>
    </row>
    <row r="9734" spans="8:8" x14ac:dyDescent="0.3">
      <c r="H9734" t="str">
        <f t="shared" si="201"/>
        <v/>
      </c>
    </row>
    <row r="9735" spans="8:8" x14ac:dyDescent="0.3">
      <c r="H9735" t="str">
        <f t="shared" si="201"/>
        <v/>
      </c>
    </row>
    <row r="9736" spans="8:8" x14ac:dyDescent="0.3">
      <c r="H9736" t="str">
        <f t="shared" si="201"/>
        <v/>
      </c>
    </row>
    <row r="9737" spans="8:8" x14ac:dyDescent="0.3">
      <c r="H9737" t="str">
        <f t="shared" si="201"/>
        <v/>
      </c>
    </row>
    <row r="9738" spans="8:8" x14ac:dyDescent="0.3">
      <c r="H9738" t="str">
        <f t="shared" si="201"/>
        <v/>
      </c>
    </row>
    <row r="9739" spans="8:8" x14ac:dyDescent="0.3">
      <c r="H9739" t="str">
        <f t="shared" si="201"/>
        <v/>
      </c>
    </row>
    <row r="9740" spans="8:8" x14ac:dyDescent="0.3">
      <c r="H9740" t="str">
        <f t="shared" si="201"/>
        <v/>
      </c>
    </row>
    <row r="9741" spans="8:8" x14ac:dyDescent="0.3">
      <c r="H9741" t="str">
        <f t="shared" si="201"/>
        <v/>
      </c>
    </row>
    <row r="9742" spans="8:8" x14ac:dyDescent="0.3">
      <c r="H9742" t="str">
        <f t="shared" si="201"/>
        <v/>
      </c>
    </row>
    <row r="9743" spans="8:8" x14ac:dyDescent="0.3">
      <c r="H9743" t="str">
        <f t="shared" si="201"/>
        <v/>
      </c>
    </row>
    <row r="9744" spans="8:8" x14ac:dyDescent="0.3">
      <c r="H9744" t="str">
        <f t="shared" si="201"/>
        <v/>
      </c>
    </row>
    <row r="9745" spans="8:8" x14ac:dyDescent="0.3">
      <c r="H9745" t="str">
        <f t="shared" si="201"/>
        <v/>
      </c>
    </row>
    <row r="9746" spans="8:8" x14ac:dyDescent="0.3">
      <c r="H9746" t="str">
        <f t="shared" si="201"/>
        <v/>
      </c>
    </row>
    <row r="9747" spans="8:8" x14ac:dyDescent="0.3">
      <c r="H9747" t="str">
        <f t="shared" si="201"/>
        <v/>
      </c>
    </row>
    <row r="9748" spans="8:8" x14ac:dyDescent="0.3">
      <c r="H9748" t="str">
        <f t="shared" si="201"/>
        <v/>
      </c>
    </row>
    <row r="9749" spans="8:8" x14ac:dyDescent="0.3">
      <c r="H9749" t="str">
        <f t="shared" si="201"/>
        <v/>
      </c>
    </row>
    <row r="9750" spans="8:8" x14ac:dyDescent="0.3">
      <c r="H9750" t="str">
        <f t="shared" si="201"/>
        <v/>
      </c>
    </row>
    <row r="9751" spans="8:8" x14ac:dyDescent="0.3">
      <c r="H9751" t="str">
        <f t="shared" ref="H9751:H9814" si="202">IF(B9751="","",$C$12)</f>
        <v/>
      </c>
    </row>
    <row r="9752" spans="8:8" x14ac:dyDescent="0.3">
      <c r="H9752" t="str">
        <f t="shared" si="202"/>
        <v/>
      </c>
    </row>
    <row r="9753" spans="8:8" x14ac:dyDescent="0.3">
      <c r="H9753" t="str">
        <f t="shared" si="202"/>
        <v/>
      </c>
    </row>
    <row r="9754" spans="8:8" x14ac:dyDescent="0.3">
      <c r="H9754" t="str">
        <f t="shared" si="202"/>
        <v/>
      </c>
    </row>
    <row r="9755" spans="8:8" x14ac:dyDescent="0.3">
      <c r="H9755" t="str">
        <f t="shared" si="202"/>
        <v/>
      </c>
    </row>
    <row r="9756" spans="8:8" x14ac:dyDescent="0.3">
      <c r="H9756" t="str">
        <f t="shared" si="202"/>
        <v/>
      </c>
    </row>
    <row r="9757" spans="8:8" x14ac:dyDescent="0.3">
      <c r="H9757" t="str">
        <f t="shared" si="202"/>
        <v/>
      </c>
    </row>
    <row r="9758" spans="8:8" x14ac:dyDescent="0.3">
      <c r="H9758" t="str">
        <f t="shared" si="202"/>
        <v/>
      </c>
    </row>
    <row r="9759" spans="8:8" x14ac:dyDescent="0.3">
      <c r="H9759" t="str">
        <f t="shared" si="202"/>
        <v/>
      </c>
    </row>
    <row r="9760" spans="8:8" x14ac:dyDescent="0.3">
      <c r="H9760" t="str">
        <f t="shared" si="202"/>
        <v/>
      </c>
    </row>
    <row r="9761" spans="8:8" x14ac:dyDescent="0.3">
      <c r="H9761" t="str">
        <f t="shared" si="202"/>
        <v/>
      </c>
    </row>
    <row r="9762" spans="8:8" x14ac:dyDescent="0.3">
      <c r="H9762" t="str">
        <f t="shared" si="202"/>
        <v/>
      </c>
    </row>
    <row r="9763" spans="8:8" x14ac:dyDescent="0.3">
      <c r="H9763" t="str">
        <f t="shared" si="202"/>
        <v/>
      </c>
    </row>
    <row r="9764" spans="8:8" x14ac:dyDescent="0.3">
      <c r="H9764" t="str">
        <f t="shared" si="202"/>
        <v/>
      </c>
    </row>
    <row r="9765" spans="8:8" x14ac:dyDescent="0.3">
      <c r="H9765" t="str">
        <f t="shared" si="202"/>
        <v/>
      </c>
    </row>
    <row r="9766" spans="8:8" x14ac:dyDescent="0.3">
      <c r="H9766" t="str">
        <f t="shared" si="202"/>
        <v/>
      </c>
    </row>
    <row r="9767" spans="8:8" x14ac:dyDescent="0.3">
      <c r="H9767" t="str">
        <f t="shared" si="202"/>
        <v/>
      </c>
    </row>
    <row r="9768" spans="8:8" x14ac:dyDescent="0.3">
      <c r="H9768" t="str">
        <f t="shared" si="202"/>
        <v/>
      </c>
    </row>
    <row r="9769" spans="8:8" x14ac:dyDescent="0.3">
      <c r="H9769" t="str">
        <f t="shared" si="202"/>
        <v/>
      </c>
    </row>
    <row r="9770" spans="8:8" x14ac:dyDescent="0.3">
      <c r="H9770" t="str">
        <f t="shared" si="202"/>
        <v/>
      </c>
    </row>
    <row r="9771" spans="8:8" x14ac:dyDescent="0.3">
      <c r="H9771" t="str">
        <f t="shared" si="202"/>
        <v/>
      </c>
    </row>
    <row r="9772" spans="8:8" x14ac:dyDescent="0.3">
      <c r="H9772" t="str">
        <f t="shared" si="202"/>
        <v/>
      </c>
    </row>
    <row r="9773" spans="8:8" x14ac:dyDescent="0.3">
      <c r="H9773" t="str">
        <f t="shared" si="202"/>
        <v/>
      </c>
    </row>
    <row r="9774" spans="8:8" x14ac:dyDescent="0.3">
      <c r="H9774" t="str">
        <f t="shared" si="202"/>
        <v/>
      </c>
    </row>
    <row r="9775" spans="8:8" x14ac:dyDescent="0.3">
      <c r="H9775" t="str">
        <f t="shared" si="202"/>
        <v/>
      </c>
    </row>
    <row r="9776" spans="8:8" x14ac:dyDescent="0.3">
      <c r="H9776" t="str">
        <f t="shared" si="202"/>
        <v/>
      </c>
    </row>
    <row r="9777" spans="8:8" x14ac:dyDescent="0.3">
      <c r="H9777" t="str">
        <f t="shared" si="202"/>
        <v/>
      </c>
    </row>
    <row r="9778" spans="8:8" x14ac:dyDescent="0.3">
      <c r="H9778" t="str">
        <f t="shared" si="202"/>
        <v/>
      </c>
    </row>
    <row r="9779" spans="8:8" x14ac:dyDescent="0.3">
      <c r="H9779" t="str">
        <f t="shared" si="202"/>
        <v/>
      </c>
    </row>
    <row r="9780" spans="8:8" x14ac:dyDescent="0.3">
      <c r="H9780" t="str">
        <f t="shared" si="202"/>
        <v/>
      </c>
    </row>
    <row r="9781" spans="8:8" x14ac:dyDescent="0.3">
      <c r="H9781" t="str">
        <f t="shared" si="202"/>
        <v/>
      </c>
    </row>
    <row r="9782" spans="8:8" x14ac:dyDescent="0.3">
      <c r="H9782" t="str">
        <f t="shared" si="202"/>
        <v/>
      </c>
    </row>
    <row r="9783" spans="8:8" x14ac:dyDescent="0.3">
      <c r="H9783" t="str">
        <f t="shared" si="202"/>
        <v/>
      </c>
    </row>
    <row r="9784" spans="8:8" x14ac:dyDescent="0.3">
      <c r="H9784" t="str">
        <f t="shared" si="202"/>
        <v/>
      </c>
    </row>
    <row r="9785" spans="8:8" x14ac:dyDescent="0.3">
      <c r="H9785" t="str">
        <f t="shared" si="202"/>
        <v/>
      </c>
    </row>
    <row r="9786" spans="8:8" x14ac:dyDescent="0.3">
      <c r="H9786" t="str">
        <f t="shared" si="202"/>
        <v/>
      </c>
    </row>
    <row r="9787" spans="8:8" x14ac:dyDescent="0.3">
      <c r="H9787" t="str">
        <f t="shared" si="202"/>
        <v/>
      </c>
    </row>
    <row r="9788" spans="8:8" x14ac:dyDescent="0.3">
      <c r="H9788" t="str">
        <f t="shared" si="202"/>
        <v/>
      </c>
    </row>
    <row r="9789" spans="8:8" x14ac:dyDescent="0.3">
      <c r="H9789" t="str">
        <f t="shared" si="202"/>
        <v/>
      </c>
    </row>
    <row r="9790" spans="8:8" x14ac:dyDescent="0.3">
      <c r="H9790" t="str">
        <f t="shared" si="202"/>
        <v/>
      </c>
    </row>
    <row r="9791" spans="8:8" x14ac:dyDescent="0.3">
      <c r="H9791" t="str">
        <f t="shared" si="202"/>
        <v/>
      </c>
    </row>
    <row r="9792" spans="8:8" x14ac:dyDescent="0.3">
      <c r="H9792" t="str">
        <f t="shared" si="202"/>
        <v/>
      </c>
    </row>
    <row r="9793" spans="8:8" x14ac:dyDescent="0.3">
      <c r="H9793" t="str">
        <f t="shared" si="202"/>
        <v/>
      </c>
    </row>
    <row r="9794" spans="8:8" x14ac:dyDescent="0.3">
      <c r="H9794" t="str">
        <f t="shared" si="202"/>
        <v/>
      </c>
    </row>
    <row r="9795" spans="8:8" x14ac:dyDescent="0.3">
      <c r="H9795" t="str">
        <f t="shared" si="202"/>
        <v/>
      </c>
    </row>
    <row r="9796" spans="8:8" x14ac:dyDescent="0.3">
      <c r="H9796" t="str">
        <f t="shared" si="202"/>
        <v/>
      </c>
    </row>
    <row r="9797" spans="8:8" x14ac:dyDescent="0.3">
      <c r="H9797" t="str">
        <f t="shared" si="202"/>
        <v/>
      </c>
    </row>
    <row r="9798" spans="8:8" x14ac:dyDescent="0.3">
      <c r="H9798" t="str">
        <f t="shared" si="202"/>
        <v/>
      </c>
    </row>
    <row r="9799" spans="8:8" x14ac:dyDescent="0.3">
      <c r="H9799" t="str">
        <f t="shared" si="202"/>
        <v/>
      </c>
    </row>
    <row r="9800" spans="8:8" x14ac:dyDescent="0.3">
      <c r="H9800" t="str">
        <f t="shared" si="202"/>
        <v/>
      </c>
    </row>
    <row r="9801" spans="8:8" x14ac:dyDescent="0.3">
      <c r="H9801" t="str">
        <f t="shared" si="202"/>
        <v/>
      </c>
    </row>
    <row r="9802" spans="8:8" x14ac:dyDescent="0.3">
      <c r="H9802" t="str">
        <f t="shared" si="202"/>
        <v/>
      </c>
    </row>
    <row r="9803" spans="8:8" x14ac:dyDescent="0.3">
      <c r="H9803" t="str">
        <f t="shared" si="202"/>
        <v/>
      </c>
    </row>
    <row r="9804" spans="8:8" x14ac:dyDescent="0.3">
      <c r="H9804" t="str">
        <f t="shared" si="202"/>
        <v/>
      </c>
    </row>
    <row r="9805" spans="8:8" x14ac:dyDescent="0.3">
      <c r="H9805" t="str">
        <f t="shared" si="202"/>
        <v/>
      </c>
    </row>
    <row r="9806" spans="8:8" x14ac:dyDescent="0.3">
      <c r="H9806" t="str">
        <f t="shared" si="202"/>
        <v/>
      </c>
    </row>
    <row r="9807" spans="8:8" x14ac:dyDescent="0.3">
      <c r="H9807" t="str">
        <f t="shared" si="202"/>
        <v/>
      </c>
    </row>
    <row r="9808" spans="8:8" x14ac:dyDescent="0.3">
      <c r="H9808" t="str">
        <f t="shared" si="202"/>
        <v/>
      </c>
    </row>
    <row r="9809" spans="8:8" x14ac:dyDescent="0.3">
      <c r="H9809" t="str">
        <f t="shared" si="202"/>
        <v/>
      </c>
    </row>
    <row r="9810" spans="8:8" x14ac:dyDescent="0.3">
      <c r="H9810" t="str">
        <f t="shared" si="202"/>
        <v/>
      </c>
    </row>
    <row r="9811" spans="8:8" x14ac:dyDescent="0.3">
      <c r="H9811" t="str">
        <f t="shared" si="202"/>
        <v/>
      </c>
    </row>
    <row r="9812" spans="8:8" x14ac:dyDescent="0.3">
      <c r="H9812" t="str">
        <f t="shared" si="202"/>
        <v/>
      </c>
    </row>
    <row r="9813" spans="8:8" x14ac:dyDescent="0.3">
      <c r="H9813" t="str">
        <f t="shared" si="202"/>
        <v/>
      </c>
    </row>
    <row r="9814" spans="8:8" x14ac:dyDescent="0.3">
      <c r="H9814" t="str">
        <f t="shared" si="202"/>
        <v/>
      </c>
    </row>
    <row r="9815" spans="8:8" x14ac:dyDescent="0.3">
      <c r="H9815" t="str">
        <f t="shared" ref="H9815:H9878" si="203">IF(B9815="","",$C$12)</f>
        <v/>
      </c>
    </row>
    <row r="9816" spans="8:8" x14ac:dyDescent="0.3">
      <c r="H9816" t="str">
        <f t="shared" si="203"/>
        <v/>
      </c>
    </row>
    <row r="9817" spans="8:8" x14ac:dyDescent="0.3">
      <c r="H9817" t="str">
        <f t="shared" si="203"/>
        <v/>
      </c>
    </row>
    <row r="9818" spans="8:8" x14ac:dyDescent="0.3">
      <c r="H9818" t="str">
        <f t="shared" si="203"/>
        <v/>
      </c>
    </row>
    <row r="9819" spans="8:8" x14ac:dyDescent="0.3">
      <c r="H9819" t="str">
        <f t="shared" si="203"/>
        <v/>
      </c>
    </row>
    <row r="9820" spans="8:8" x14ac:dyDescent="0.3">
      <c r="H9820" t="str">
        <f t="shared" si="203"/>
        <v/>
      </c>
    </row>
    <row r="9821" spans="8:8" x14ac:dyDescent="0.3">
      <c r="H9821" t="str">
        <f t="shared" si="203"/>
        <v/>
      </c>
    </row>
    <row r="9822" spans="8:8" x14ac:dyDescent="0.3">
      <c r="H9822" t="str">
        <f t="shared" si="203"/>
        <v/>
      </c>
    </row>
    <row r="9823" spans="8:8" x14ac:dyDescent="0.3">
      <c r="H9823" t="str">
        <f t="shared" si="203"/>
        <v/>
      </c>
    </row>
    <row r="9824" spans="8:8" x14ac:dyDescent="0.3">
      <c r="H9824" t="str">
        <f t="shared" si="203"/>
        <v/>
      </c>
    </row>
    <row r="9825" spans="8:8" x14ac:dyDescent="0.3">
      <c r="H9825" t="str">
        <f t="shared" si="203"/>
        <v/>
      </c>
    </row>
    <row r="9826" spans="8:8" x14ac:dyDescent="0.3">
      <c r="H9826" t="str">
        <f t="shared" si="203"/>
        <v/>
      </c>
    </row>
    <row r="9827" spans="8:8" x14ac:dyDescent="0.3">
      <c r="H9827" t="str">
        <f t="shared" si="203"/>
        <v/>
      </c>
    </row>
    <row r="9828" spans="8:8" x14ac:dyDescent="0.3">
      <c r="H9828" t="str">
        <f t="shared" si="203"/>
        <v/>
      </c>
    </row>
    <row r="9829" spans="8:8" x14ac:dyDescent="0.3">
      <c r="H9829" t="str">
        <f t="shared" si="203"/>
        <v/>
      </c>
    </row>
    <row r="9830" spans="8:8" x14ac:dyDescent="0.3">
      <c r="H9830" t="str">
        <f t="shared" si="203"/>
        <v/>
      </c>
    </row>
    <row r="9831" spans="8:8" x14ac:dyDescent="0.3">
      <c r="H9831" t="str">
        <f t="shared" si="203"/>
        <v/>
      </c>
    </row>
    <row r="9832" spans="8:8" x14ac:dyDescent="0.3">
      <c r="H9832" t="str">
        <f t="shared" si="203"/>
        <v/>
      </c>
    </row>
    <row r="9833" spans="8:8" x14ac:dyDescent="0.3">
      <c r="H9833" t="str">
        <f t="shared" si="203"/>
        <v/>
      </c>
    </row>
    <row r="9834" spans="8:8" x14ac:dyDescent="0.3">
      <c r="H9834" t="str">
        <f t="shared" si="203"/>
        <v/>
      </c>
    </row>
    <row r="9835" spans="8:8" x14ac:dyDescent="0.3">
      <c r="H9835" t="str">
        <f t="shared" si="203"/>
        <v/>
      </c>
    </row>
    <row r="9836" spans="8:8" x14ac:dyDescent="0.3">
      <c r="H9836" t="str">
        <f t="shared" si="203"/>
        <v/>
      </c>
    </row>
    <row r="9837" spans="8:8" x14ac:dyDescent="0.3">
      <c r="H9837" t="str">
        <f t="shared" si="203"/>
        <v/>
      </c>
    </row>
    <row r="9838" spans="8:8" x14ac:dyDescent="0.3">
      <c r="H9838" t="str">
        <f t="shared" si="203"/>
        <v/>
      </c>
    </row>
    <row r="9839" spans="8:8" x14ac:dyDescent="0.3">
      <c r="H9839" t="str">
        <f t="shared" si="203"/>
        <v/>
      </c>
    </row>
    <row r="9840" spans="8:8" x14ac:dyDescent="0.3">
      <c r="H9840" t="str">
        <f t="shared" si="203"/>
        <v/>
      </c>
    </row>
    <row r="9841" spans="8:8" x14ac:dyDescent="0.3">
      <c r="H9841" t="str">
        <f t="shared" si="203"/>
        <v/>
      </c>
    </row>
    <row r="9842" spans="8:8" x14ac:dyDescent="0.3">
      <c r="H9842" t="str">
        <f t="shared" si="203"/>
        <v/>
      </c>
    </row>
    <row r="9843" spans="8:8" x14ac:dyDescent="0.3">
      <c r="H9843" t="str">
        <f t="shared" si="203"/>
        <v/>
      </c>
    </row>
    <row r="9844" spans="8:8" x14ac:dyDescent="0.3">
      <c r="H9844" t="str">
        <f t="shared" si="203"/>
        <v/>
      </c>
    </row>
    <row r="9845" spans="8:8" x14ac:dyDescent="0.3">
      <c r="H9845" t="str">
        <f t="shared" si="203"/>
        <v/>
      </c>
    </row>
    <row r="9846" spans="8:8" x14ac:dyDescent="0.3">
      <c r="H9846" t="str">
        <f t="shared" si="203"/>
        <v/>
      </c>
    </row>
    <row r="9847" spans="8:8" x14ac:dyDescent="0.3">
      <c r="H9847" t="str">
        <f t="shared" si="203"/>
        <v/>
      </c>
    </row>
    <row r="9848" spans="8:8" x14ac:dyDescent="0.3">
      <c r="H9848" t="str">
        <f t="shared" si="203"/>
        <v/>
      </c>
    </row>
    <row r="9849" spans="8:8" x14ac:dyDescent="0.3">
      <c r="H9849" t="str">
        <f t="shared" si="203"/>
        <v/>
      </c>
    </row>
    <row r="9850" spans="8:8" x14ac:dyDescent="0.3">
      <c r="H9850" t="str">
        <f t="shared" si="203"/>
        <v/>
      </c>
    </row>
    <row r="9851" spans="8:8" x14ac:dyDescent="0.3">
      <c r="H9851" t="str">
        <f t="shared" si="203"/>
        <v/>
      </c>
    </row>
    <row r="9852" spans="8:8" x14ac:dyDescent="0.3">
      <c r="H9852" t="str">
        <f t="shared" si="203"/>
        <v/>
      </c>
    </row>
    <row r="9853" spans="8:8" x14ac:dyDescent="0.3">
      <c r="H9853" t="str">
        <f t="shared" si="203"/>
        <v/>
      </c>
    </row>
    <row r="9854" spans="8:8" x14ac:dyDescent="0.3">
      <c r="H9854" t="str">
        <f t="shared" si="203"/>
        <v/>
      </c>
    </row>
    <row r="9855" spans="8:8" x14ac:dyDescent="0.3">
      <c r="H9855" t="str">
        <f t="shared" si="203"/>
        <v/>
      </c>
    </row>
    <row r="9856" spans="8:8" x14ac:dyDescent="0.3">
      <c r="H9856" t="str">
        <f t="shared" si="203"/>
        <v/>
      </c>
    </row>
    <row r="9857" spans="8:8" x14ac:dyDescent="0.3">
      <c r="H9857" t="str">
        <f t="shared" si="203"/>
        <v/>
      </c>
    </row>
    <row r="9858" spans="8:8" x14ac:dyDescent="0.3">
      <c r="H9858" t="str">
        <f t="shared" si="203"/>
        <v/>
      </c>
    </row>
    <row r="9859" spans="8:8" x14ac:dyDescent="0.3">
      <c r="H9859" t="str">
        <f t="shared" si="203"/>
        <v/>
      </c>
    </row>
    <row r="9860" spans="8:8" x14ac:dyDescent="0.3">
      <c r="H9860" t="str">
        <f t="shared" si="203"/>
        <v/>
      </c>
    </row>
    <row r="9861" spans="8:8" x14ac:dyDescent="0.3">
      <c r="H9861" t="str">
        <f t="shared" si="203"/>
        <v/>
      </c>
    </row>
    <row r="9862" spans="8:8" x14ac:dyDescent="0.3">
      <c r="H9862" t="str">
        <f t="shared" si="203"/>
        <v/>
      </c>
    </row>
    <row r="9863" spans="8:8" x14ac:dyDescent="0.3">
      <c r="H9863" t="str">
        <f t="shared" si="203"/>
        <v/>
      </c>
    </row>
    <row r="9864" spans="8:8" x14ac:dyDescent="0.3">
      <c r="H9864" t="str">
        <f t="shared" si="203"/>
        <v/>
      </c>
    </row>
    <row r="9865" spans="8:8" x14ac:dyDescent="0.3">
      <c r="H9865" t="str">
        <f t="shared" si="203"/>
        <v/>
      </c>
    </row>
    <row r="9866" spans="8:8" x14ac:dyDescent="0.3">
      <c r="H9866" t="str">
        <f t="shared" si="203"/>
        <v/>
      </c>
    </row>
    <row r="9867" spans="8:8" x14ac:dyDescent="0.3">
      <c r="H9867" t="str">
        <f t="shared" si="203"/>
        <v/>
      </c>
    </row>
    <row r="9868" spans="8:8" x14ac:dyDescent="0.3">
      <c r="H9868" t="str">
        <f t="shared" si="203"/>
        <v/>
      </c>
    </row>
    <row r="9869" spans="8:8" x14ac:dyDescent="0.3">
      <c r="H9869" t="str">
        <f t="shared" si="203"/>
        <v/>
      </c>
    </row>
    <row r="9870" spans="8:8" x14ac:dyDescent="0.3">
      <c r="H9870" t="str">
        <f t="shared" si="203"/>
        <v/>
      </c>
    </row>
    <row r="9871" spans="8:8" x14ac:dyDescent="0.3">
      <c r="H9871" t="str">
        <f t="shared" si="203"/>
        <v/>
      </c>
    </row>
    <row r="9872" spans="8:8" x14ac:dyDescent="0.3">
      <c r="H9872" t="str">
        <f t="shared" si="203"/>
        <v/>
      </c>
    </row>
    <row r="9873" spans="8:8" x14ac:dyDescent="0.3">
      <c r="H9873" t="str">
        <f t="shared" si="203"/>
        <v/>
      </c>
    </row>
    <row r="9874" spans="8:8" x14ac:dyDescent="0.3">
      <c r="H9874" t="str">
        <f t="shared" si="203"/>
        <v/>
      </c>
    </row>
    <row r="9875" spans="8:8" x14ac:dyDescent="0.3">
      <c r="H9875" t="str">
        <f t="shared" si="203"/>
        <v/>
      </c>
    </row>
    <row r="9876" spans="8:8" x14ac:dyDescent="0.3">
      <c r="H9876" t="str">
        <f t="shared" si="203"/>
        <v/>
      </c>
    </row>
    <row r="9877" spans="8:8" x14ac:dyDescent="0.3">
      <c r="H9877" t="str">
        <f t="shared" si="203"/>
        <v/>
      </c>
    </row>
    <row r="9878" spans="8:8" x14ac:dyDescent="0.3">
      <c r="H9878" t="str">
        <f t="shared" si="203"/>
        <v/>
      </c>
    </row>
    <row r="9879" spans="8:8" x14ac:dyDescent="0.3">
      <c r="H9879" t="str">
        <f t="shared" ref="H9879:H9942" si="204">IF(B9879="","",$C$12)</f>
        <v/>
      </c>
    </row>
    <row r="9880" spans="8:8" x14ac:dyDescent="0.3">
      <c r="H9880" t="str">
        <f t="shared" si="204"/>
        <v/>
      </c>
    </row>
    <row r="9881" spans="8:8" x14ac:dyDescent="0.3">
      <c r="H9881" t="str">
        <f t="shared" si="204"/>
        <v/>
      </c>
    </row>
    <row r="9882" spans="8:8" x14ac:dyDescent="0.3">
      <c r="H9882" t="str">
        <f t="shared" si="204"/>
        <v/>
      </c>
    </row>
    <row r="9883" spans="8:8" x14ac:dyDescent="0.3">
      <c r="H9883" t="str">
        <f t="shared" si="204"/>
        <v/>
      </c>
    </row>
    <row r="9884" spans="8:8" x14ac:dyDescent="0.3">
      <c r="H9884" t="str">
        <f t="shared" si="204"/>
        <v/>
      </c>
    </row>
    <row r="9885" spans="8:8" x14ac:dyDescent="0.3">
      <c r="H9885" t="str">
        <f t="shared" si="204"/>
        <v/>
      </c>
    </row>
    <row r="9886" spans="8:8" x14ac:dyDescent="0.3">
      <c r="H9886" t="str">
        <f t="shared" si="204"/>
        <v/>
      </c>
    </row>
    <row r="9887" spans="8:8" x14ac:dyDescent="0.3">
      <c r="H9887" t="str">
        <f t="shared" si="204"/>
        <v/>
      </c>
    </row>
    <row r="9888" spans="8:8" x14ac:dyDescent="0.3">
      <c r="H9888" t="str">
        <f t="shared" si="204"/>
        <v/>
      </c>
    </row>
    <row r="9889" spans="8:8" x14ac:dyDescent="0.3">
      <c r="H9889" t="str">
        <f t="shared" si="204"/>
        <v/>
      </c>
    </row>
    <row r="9890" spans="8:8" x14ac:dyDescent="0.3">
      <c r="H9890" t="str">
        <f t="shared" si="204"/>
        <v/>
      </c>
    </row>
    <row r="9891" spans="8:8" x14ac:dyDescent="0.3">
      <c r="H9891" t="str">
        <f t="shared" si="204"/>
        <v/>
      </c>
    </row>
    <row r="9892" spans="8:8" x14ac:dyDescent="0.3">
      <c r="H9892" t="str">
        <f t="shared" si="204"/>
        <v/>
      </c>
    </row>
    <row r="9893" spans="8:8" x14ac:dyDescent="0.3">
      <c r="H9893" t="str">
        <f t="shared" si="204"/>
        <v/>
      </c>
    </row>
    <row r="9894" spans="8:8" x14ac:dyDescent="0.3">
      <c r="H9894" t="str">
        <f t="shared" si="204"/>
        <v/>
      </c>
    </row>
    <row r="9895" spans="8:8" x14ac:dyDescent="0.3">
      <c r="H9895" t="str">
        <f t="shared" si="204"/>
        <v/>
      </c>
    </row>
    <row r="9896" spans="8:8" x14ac:dyDescent="0.3">
      <c r="H9896" t="str">
        <f t="shared" si="204"/>
        <v/>
      </c>
    </row>
    <row r="9897" spans="8:8" x14ac:dyDescent="0.3">
      <c r="H9897" t="str">
        <f t="shared" si="204"/>
        <v/>
      </c>
    </row>
    <row r="9898" spans="8:8" x14ac:dyDescent="0.3">
      <c r="H9898" t="str">
        <f t="shared" si="204"/>
        <v/>
      </c>
    </row>
    <row r="9899" spans="8:8" x14ac:dyDescent="0.3">
      <c r="H9899" t="str">
        <f t="shared" si="204"/>
        <v/>
      </c>
    </row>
    <row r="9900" spans="8:8" x14ac:dyDescent="0.3">
      <c r="H9900" t="str">
        <f t="shared" si="204"/>
        <v/>
      </c>
    </row>
    <row r="9901" spans="8:8" x14ac:dyDescent="0.3">
      <c r="H9901" t="str">
        <f t="shared" si="204"/>
        <v/>
      </c>
    </row>
    <row r="9902" spans="8:8" x14ac:dyDescent="0.3">
      <c r="H9902" t="str">
        <f t="shared" si="204"/>
        <v/>
      </c>
    </row>
    <row r="9903" spans="8:8" x14ac:dyDescent="0.3">
      <c r="H9903" t="str">
        <f t="shared" si="204"/>
        <v/>
      </c>
    </row>
    <row r="9904" spans="8:8" x14ac:dyDescent="0.3">
      <c r="H9904" t="str">
        <f t="shared" si="204"/>
        <v/>
      </c>
    </row>
    <row r="9905" spans="8:8" x14ac:dyDescent="0.3">
      <c r="H9905" t="str">
        <f t="shared" si="204"/>
        <v/>
      </c>
    </row>
    <row r="9906" spans="8:8" x14ac:dyDescent="0.3">
      <c r="H9906" t="str">
        <f t="shared" si="204"/>
        <v/>
      </c>
    </row>
    <row r="9907" spans="8:8" x14ac:dyDescent="0.3">
      <c r="H9907" t="str">
        <f t="shared" si="204"/>
        <v/>
      </c>
    </row>
    <row r="9908" spans="8:8" x14ac:dyDescent="0.3">
      <c r="H9908" t="str">
        <f t="shared" si="204"/>
        <v/>
      </c>
    </row>
    <row r="9909" spans="8:8" x14ac:dyDescent="0.3">
      <c r="H9909" t="str">
        <f t="shared" si="204"/>
        <v/>
      </c>
    </row>
    <row r="9910" spans="8:8" x14ac:dyDescent="0.3">
      <c r="H9910" t="str">
        <f t="shared" si="204"/>
        <v/>
      </c>
    </row>
    <row r="9911" spans="8:8" x14ac:dyDescent="0.3">
      <c r="H9911" t="str">
        <f t="shared" si="204"/>
        <v/>
      </c>
    </row>
    <row r="9912" spans="8:8" x14ac:dyDescent="0.3">
      <c r="H9912" t="str">
        <f t="shared" si="204"/>
        <v/>
      </c>
    </row>
    <row r="9913" spans="8:8" x14ac:dyDescent="0.3">
      <c r="H9913" t="str">
        <f t="shared" si="204"/>
        <v/>
      </c>
    </row>
    <row r="9914" spans="8:8" x14ac:dyDescent="0.3">
      <c r="H9914" t="str">
        <f t="shared" si="204"/>
        <v/>
      </c>
    </row>
    <row r="9915" spans="8:8" x14ac:dyDescent="0.3">
      <c r="H9915" t="str">
        <f t="shared" si="204"/>
        <v/>
      </c>
    </row>
    <row r="9916" spans="8:8" x14ac:dyDescent="0.3">
      <c r="H9916" t="str">
        <f t="shared" si="204"/>
        <v/>
      </c>
    </row>
    <row r="9917" spans="8:8" x14ac:dyDescent="0.3">
      <c r="H9917" t="str">
        <f t="shared" si="204"/>
        <v/>
      </c>
    </row>
    <row r="9918" spans="8:8" x14ac:dyDescent="0.3">
      <c r="H9918" t="str">
        <f t="shared" si="204"/>
        <v/>
      </c>
    </row>
    <row r="9919" spans="8:8" x14ac:dyDescent="0.3">
      <c r="H9919" t="str">
        <f t="shared" si="204"/>
        <v/>
      </c>
    </row>
    <row r="9920" spans="8:8" x14ac:dyDescent="0.3">
      <c r="H9920" t="str">
        <f t="shared" si="204"/>
        <v/>
      </c>
    </row>
    <row r="9921" spans="8:8" x14ac:dyDescent="0.3">
      <c r="H9921" t="str">
        <f t="shared" si="204"/>
        <v/>
      </c>
    </row>
    <row r="9922" spans="8:8" x14ac:dyDescent="0.3">
      <c r="H9922" t="str">
        <f t="shared" si="204"/>
        <v/>
      </c>
    </row>
    <row r="9923" spans="8:8" x14ac:dyDescent="0.3">
      <c r="H9923" t="str">
        <f t="shared" si="204"/>
        <v/>
      </c>
    </row>
    <row r="9924" spans="8:8" x14ac:dyDescent="0.3">
      <c r="H9924" t="str">
        <f t="shared" si="204"/>
        <v/>
      </c>
    </row>
    <row r="9925" spans="8:8" x14ac:dyDescent="0.3">
      <c r="H9925" t="str">
        <f t="shared" si="204"/>
        <v/>
      </c>
    </row>
    <row r="9926" spans="8:8" x14ac:dyDescent="0.3">
      <c r="H9926" t="str">
        <f t="shared" si="204"/>
        <v/>
      </c>
    </row>
    <row r="9927" spans="8:8" x14ac:dyDescent="0.3">
      <c r="H9927" t="str">
        <f t="shared" si="204"/>
        <v/>
      </c>
    </row>
    <row r="9928" spans="8:8" x14ac:dyDescent="0.3">
      <c r="H9928" t="str">
        <f t="shared" si="204"/>
        <v/>
      </c>
    </row>
    <row r="9929" spans="8:8" x14ac:dyDescent="0.3">
      <c r="H9929" t="str">
        <f t="shared" si="204"/>
        <v/>
      </c>
    </row>
    <row r="9930" spans="8:8" x14ac:dyDescent="0.3">
      <c r="H9930" t="str">
        <f t="shared" si="204"/>
        <v/>
      </c>
    </row>
    <row r="9931" spans="8:8" x14ac:dyDescent="0.3">
      <c r="H9931" t="str">
        <f t="shared" si="204"/>
        <v/>
      </c>
    </row>
    <row r="9932" spans="8:8" x14ac:dyDescent="0.3">
      <c r="H9932" t="str">
        <f t="shared" si="204"/>
        <v/>
      </c>
    </row>
    <row r="9933" spans="8:8" x14ac:dyDescent="0.3">
      <c r="H9933" t="str">
        <f t="shared" si="204"/>
        <v/>
      </c>
    </row>
    <row r="9934" spans="8:8" x14ac:dyDescent="0.3">
      <c r="H9934" t="str">
        <f t="shared" si="204"/>
        <v/>
      </c>
    </row>
    <row r="9935" spans="8:8" x14ac:dyDescent="0.3">
      <c r="H9935" t="str">
        <f t="shared" si="204"/>
        <v/>
      </c>
    </row>
    <row r="9936" spans="8:8" x14ac:dyDescent="0.3">
      <c r="H9936" t="str">
        <f t="shared" si="204"/>
        <v/>
      </c>
    </row>
    <row r="9937" spans="8:8" x14ac:dyDescent="0.3">
      <c r="H9937" t="str">
        <f t="shared" si="204"/>
        <v/>
      </c>
    </row>
    <row r="9938" spans="8:8" x14ac:dyDescent="0.3">
      <c r="H9938" t="str">
        <f t="shared" si="204"/>
        <v/>
      </c>
    </row>
    <row r="9939" spans="8:8" x14ac:dyDescent="0.3">
      <c r="H9939" t="str">
        <f t="shared" si="204"/>
        <v/>
      </c>
    </row>
    <row r="9940" spans="8:8" x14ac:dyDescent="0.3">
      <c r="H9940" t="str">
        <f t="shared" si="204"/>
        <v/>
      </c>
    </row>
    <row r="9941" spans="8:8" x14ac:dyDescent="0.3">
      <c r="H9941" t="str">
        <f t="shared" si="204"/>
        <v/>
      </c>
    </row>
    <row r="9942" spans="8:8" x14ac:dyDescent="0.3">
      <c r="H9942" t="str">
        <f t="shared" si="204"/>
        <v/>
      </c>
    </row>
    <row r="9943" spans="8:8" x14ac:dyDescent="0.3">
      <c r="H9943" t="str">
        <f t="shared" ref="H9943:H10006" si="205">IF(B9943="","",$C$12)</f>
        <v/>
      </c>
    </row>
    <row r="9944" spans="8:8" x14ac:dyDescent="0.3">
      <c r="H9944" t="str">
        <f t="shared" si="205"/>
        <v/>
      </c>
    </row>
    <row r="9945" spans="8:8" x14ac:dyDescent="0.3">
      <c r="H9945" t="str">
        <f t="shared" si="205"/>
        <v/>
      </c>
    </row>
    <row r="9946" spans="8:8" x14ac:dyDescent="0.3">
      <c r="H9946" t="str">
        <f t="shared" si="205"/>
        <v/>
      </c>
    </row>
    <row r="9947" spans="8:8" x14ac:dyDescent="0.3">
      <c r="H9947" t="str">
        <f t="shared" si="205"/>
        <v/>
      </c>
    </row>
    <row r="9948" spans="8:8" x14ac:dyDescent="0.3">
      <c r="H9948" t="str">
        <f t="shared" si="205"/>
        <v/>
      </c>
    </row>
    <row r="9949" spans="8:8" x14ac:dyDescent="0.3">
      <c r="H9949" t="str">
        <f t="shared" si="205"/>
        <v/>
      </c>
    </row>
    <row r="9950" spans="8:8" x14ac:dyDescent="0.3">
      <c r="H9950" t="str">
        <f t="shared" si="205"/>
        <v/>
      </c>
    </row>
    <row r="9951" spans="8:8" x14ac:dyDescent="0.3">
      <c r="H9951" t="str">
        <f t="shared" si="205"/>
        <v/>
      </c>
    </row>
    <row r="9952" spans="8:8" x14ac:dyDescent="0.3">
      <c r="H9952" t="str">
        <f t="shared" si="205"/>
        <v/>
      </c>
    </row>
    <row r="9953" spans="8:8" x14ac:dyDescent="0.3">
      <c r="H9953" t="str">
        <f t="shared" si="205"/>
        <v/>
      </c>
    </row>
    <row r="9954" spans="8:8" x14ac:dyDescent="0.3">
      <c r="H9954" t="str">
        <f t="shared" si="205"/>
        <v/>
      </c>
    </row>
    <row r="9955" spans="8:8" x14ac:dyDescent="0.3">
      <c r="H9955" t="str">
        <f t="shared" si="205"/>
        <v/>
      </c>
    </row>
    <row r="9956" spans="8:8" x14ac:dyDescent="0.3">
      <c r="H9956" t="str">
        <f t="shared" si="205"/>
        <v/>
      </c>
    </row>
    <row r="9957" spans="8:8" x14ac:dyDescent="0.3">
      <c r="H9957" t="str">
        <f t="shared" si="205"/>
        <v/>
      </c>
    </row>
    <row r="9958" spans="8:8" x14ac:dyDescent="0.3">
      <c r="H9958" t="str">
        <f t="shared" si="205"/>
        <v/>
      </c>
    </row>
    <row r="9959" spans="8:8" x14ac:dyDescent="0.3">
      <c r="H9959" t="str">
        <f t="shared" si="205"/>
        <v/>
      </c>
    </row>
    <row r="9960" spans="8:8" x14ac:dyDescent="0.3">
      <c r="H9960" t="str">
        <f t="shared" si="205"/>
        <v/>
      </c>
    </row>
    <row r="9961" spans="8:8" x14ac:dyDescent="0.3">
      <c r="H9961" t="str">
        <f t="shared" si="205"/>
        <v/>
      </c>
    </row>
    <row r="9962" spans="8:8" x14ac:dyDescent="0.3">
      <c r="H9962" t="str">
        <f t="shared" si="205"/>
        <v/>
      </c>
    </row>
    <row r="9963" spans="8:8" x14ac:dyDescent="0.3">
      <c r="H9963" t="str">
        <f t="shared" si="205"/>
        <v/>
      </c>
    </row>
    <row r="9964" spans="8:8" x14ac:dyDescent="0.3">
      <c r="H9964" t="str">
        <f t="shared" si="205"/>
        <v/>
      </c>
    </row>
    <row r="9965" spans="8:8" x14ac:dyDescent="0.3">
      <c r="H9965" t="str">
        <f t="shared" si="205"/>
        <v/>
      </c>
    </row>
    <row r="9966" spans="8:8" x14ac:dyDescent="0.3">
      <c r="H9966" t="str">
        <f t="shared" si="205"/>
        <v/>
      </c>
    </row>
    <row r="9967" spans="8:8" x14ac:dyDescent="0.3">
      <c r="H9967" t="str">
        <f t="shared" si="205"/>
        <v/>
      </c>
    </row>
    <row r="9968" spans="8:8" x14ac:dyDescent="0.3">
      <c r="H9968" t="str">
        <f t="shared" si="205"/>
        <v/>
      </c>
    </row>
    <row r="9969" spans="8:8" x14ac:dyDescent="0.3">
      <c r="H9969" t="str">
        <f t="shared" si="205"/>
        <v/>
      </c>
    </row>
    <row r="9970" spans="8:8" x14ac:dyDescent="0.3">
      <c r="H9970" t="str">
        <f t="shared" si="205"/>
        <v/>
      </c>
    </row>
    <row r="9971" spans="8:8" x14ac:dyDescent="0.3">
      <c r="H9971" t="str">
        <f t="shared" si="205"/>
        <v/>
      </c>
    </row>
    <row r="9972" spans="8:8" x14ac:dyDescent="0.3">
      <c r="H9972" t="str">
        <f t="shared" si="205"/>
        <v/>
      </c>
    </row>
    <row r="9973" spans="8:8" x14ac:dyDescent="0.3">
      <c r="H9973" t="str">
        <f t="shared" si="205"/>
        <v/>
      </c>
    </row>
    <row r="9974" spans="8:8" x14ac:dyDescent="0.3">
      <c r="H9974" t="str">
        <f t="shared" si="205"/>
        <v/>
      </c>
    </row>
    <row r="9975" spans="8:8" x14ac:dyDescent="0.3">
      <c r="H9975" t="str">
        <f t="shared" si="205"/>
        <v/>
      </c>
    </row>
    <row r="9976" spans="8:8" x14ac:dyDescent="0.3">
      <c r="H9976" t="str">
        <f t="shared" si="205"/>
        <v/>
      </c>
    </row>
    <row r="9977" spans="8:8" x14ac:dyDescent="0.3">
      <c r="H9977" t="str">
        <f t="shared" si="205"/>
        <v/>
      </c>
    </row>
    <row r="9978" spans="8:8" x14ac:dyDescent="0.3">
      <c r="H9978" t="str">
        <f t="shared" si="205"/>
        <v/>
      </c>
    </row>
    <row r="9979" spans="8:8" x14ac:dyDescent="0.3">
      <c r="H9979" t="str">
        <f t="shared" si="205"/>
        <v/>
      </c>
    </row>
    <row r="9980" spans="8:8" x14ac:dyDescent="0.3">
      <c r="H9980" t="str">
        <f t="shared" si="205"/>
        <v/>
      </c>
    </row>
    <row r="9981" spans="8:8" x14ac:dyDescent="0.3">
      <c r="H9981" t="str">
        <f t="shared" si="205"/>
        <v/>
      </c>
    </row>
    <row r="9982" spans="8:8" x14ac:dyDescent="0.3">
      <c r="H9982" t="str">
        <f t="shared" si="205"/>
        <v/>
      </c>
    </row>
    <row r="9983" spans="8:8" x14ac:dyDescent="0.3">
      <c r="H9983" t="str">
        <f t="shared" si="205"/>
        <v/>
      </c>
    </row>
    <row r="9984" spans="8:8" x14ac:dyDescent="0.3">
      <c r="H9984" t="str">
        <f t="shared" si="205"/>
        <v/>
      </c>
    </row>
    <row r="9985" spans="8:8" x14ac:dyDescent="0.3">
      <c r="H9985" t="str">
        <f t="shared" si="205"/>
        <v/>
      </c>
    </row>
    <row r="9986" spans="8:8" x14ac:dyDescent="0.3">
      <c r="H9986" t="str">
        <f t="shared" si="205"/>
        <v/>
      </c>
    </row>
    <row r="9987" spans="8:8" x14ac:dyDescent="0.3">
      <c r="H9987" t="str">
        <f t="shared" si="205"/>
        <v/>
      </c>
    </row>
    <row r="9988" spans="8:8" x14ac:dyDescent="0.3">
      <c r="H9988" t="str">
        <f t="shared" si="205"/>
        <v/>
      </c>
    </row>
    <row r="9989" spans="8:8" x14ac:dyDescent="0.3">
      <c r="H9989" t="str">
        <f t="shared" si="205"/>
        <v/>
      </c>
    </row>
    <row r="9990" spans="8:8" x14ac:dyDescent="0.3">
      <c r="H9990" t="str">
        <f t="shared" si="205"/>
        <v/>
      </c>
    </row>
    <row r="9991" spans="8:8" x14ac:dyDescent="0.3">
      <c r="H9991" t="str">
        <f t="shared" si="205"/>
        <v/>
      </c>
    </row>
    <row r="9992" spans="8:8" x14ac:dyDescent="0.3">
      <c r="H9992" t="str">
        <f t="shared" si="205"/>
        <v/>
      </c>
    </row>
    <row r="9993" spans="8:8" x14ac:dyDescent="0.3">
      <c r="H9993" t="str">
        <f t="shared" si="205"/>
        <v/>
      </c>
    </row>
    <row r="9994" spans="8:8" x14ac:dyDescent="0.3">
      <c r="H9994" t="str">
        <f t="shared" si="205"/>
        <v/>
      </c>
    </row>
    <row r="9995" spans="8:8" x14ac:dyDescent="0.3">
      <c r="H9995" t="str">
        <f t="shared" si="205"/>
        <v/>
      </c>
    </row>
    <row r="9996" spans="8:8" x14ac:dyDescent="0.3">
      <c r="H9996" t="str">
        <f t="shared" si="205"/>
        <v/>
      </c>
    </row>
    <row r="9997" spans="8:8" x14ac:dyDescent="0.3">
      <c r="H9997" t="str">
        <f t="shared" si="205"/>
        <v/>
      </c>
    </row>
    <row r="9998" spans="8:8" x14ac:dyDescent="0.3">
      <c r="H9998" t="str">
        <f t="shared" si="205"/>
        <v/>
      </c>
    </row>
    <row r="9999" spans="8:8" x14ac:dyDescent="0.3">
      <c r="H9999" t="str">
        <f t="shared" si="205"/>
        <v/>
      </c>
    </row>
    <row r="10000" spans="8:8" x14ac:dyDescent="0.3">
      <c r="H10000" t="str">
        <f t="shared" si="205"/>
        <v/>
      </c>
    </row>
    <row r="10001" spans="8:8" x14ac:dyDescent="0.3">
      <c r="H10001" t="str">
        <f t="shared" si="205"/>
        <v/>
      </c>
    </row>
    <row r="10002" spans="8:8" x14ac:dyDescent="0.3">
      <c r="H10002" t="str">
        <f t="shared" si="205"/>
        <v/>
      </c>
    </row>
    <row r="10003" spans="8:8" x14ac:dyDescent="0.3">
      <c r="H10003" t="str">
        <f t="shared" si="205"/>
        <v/>
      </c>
    </row>
    <row r="10004" spans="8:8" x14ac:dyDescent="0.3">
      <c r="H10004" t="str">
        <f t="shared" si="205"/>
        <v/>
      </c>
    </row>
    <row r="10005" spans="8:8" x14ac:dyDescent="0.3">
      <c r="H10005" t="str">
        <f t="shared" si="205"/>
        <v/>
      </c>
    </row>
    <row r="10006" spans="8:8" x14ac:dyDescent="0.3">
      <c r="H10006" t="str">
        <f t="shared" si="205"/>
        <v/>
      </c>
    </row>
    <row r="10007" spans="8:8" x14ac:dyDescent="0.3">
      <c r="H10007" t="str">
        <f t="shared" ref="H10007:H10070" si="206">IF(B10007="","",$C$12)</f>
        <v/>
      </c>
    </row>
    <row r="10008" spans="8:8" x14ac:dyDescent="0.3">
      <c r="H10008" t="str">
        <f t="shared" si="206"/>
        <v/>
      </c>
    </row>
    <row r="10009" spans="8:8" x14ac:dyDescent="0.3">
      <c r="H10009" t="str">
        <f t="shared" si="206"/>
        <v/>
      </c>
    </row>
    <row r="10010" spans="8:8" x14ac:dyDescent="0.3">
      <c r="H10010" t="str">
        <f t="shared" si="206"/>
        <v/>
      </c>
    </row>
    <row r="10011" spans="8:8" x14ac:dyDescent="0.3">
      <c r="H10011" t="str">
        <f t="shared" si="206"/>
        <v/>
      </c>
    </row>
    <row r="10012" spans="8:8" x14ac:dyDescent="0.3">
      <c r="H10012" t="str">
        <f t="shared" si="206"/>
        <v/>
      </c>
    </row>
    <row r="10013" spans="8:8" x14ac:dyDescent="0.3">
      <c r="H10013" t="str">
        <f t="shared" si="206"/>
        <v/>
      </c>
    </row>
    <row r="10014" spans="8:8" x14ac:dyDescent="0.3">
      <c r="H10014" t="str">
        <f t="shared" si="206"/>
        <v/>
      </c>
    </row>
    <row r="10015" spans="8:8" x14ac:dyDescent="0.3">
      <c r="H10015" t="str">
        <f t="shared" si="206"/>
        <v/>
      </c>
    </row>
    <row r="10016" spans="8:8" x14ac:dyDescent="0.3">
      <c r="H10016" t="str">
        <f t="shared" si="206"/>
        <v/>
      </c>
    </row>
    <row r="10017" spans="8:8" x14ac:dyDescent="0.3">
      <c r="H10017" t="str">
        <f t="shared" si="206"/>
        <v/>
      </c>
    </row>
    <row r="10018" spans="8:8" x14ac:dyDescent="0.3">
      <c r="H10018" t="str">
        <f t="shared" si="206"/>
        <v/>
      </c>
    </row>
    <row r="10019" spans="8:8" x14ac:dyDescent="0.3">
      <c r="H10019" t="str">
        <f t="shared" si="206"/>
        <v/>
      </c>
    </row>
    <row r="10020" spans="8:8" x14ac:dyDescent="0.3">
      <c r="H10020" t="str">
        <f t="shared" si="206"/>
        <v/>
      </c>
    </row>
    <row r="10021" spans="8:8" x14ac:dyDescent="0.3">
      <c r="H10021" t="str">
        <f t="shared" si="206"/>
        <v/>
      </c>
    </row>
    <row r="10022" spans="8:8" x14ac:dyDescent="0.3">
      <c r="H10022" t="str">
        <f t="shared" si="206"/>
        <v/>
      </c>
    </row>
    <row r="10023" spans="8:8" x14ac:dyDescent="0.3">
      <c r="H10023" t="str">
        <f t="shared" si="206"/>
        <v/>
      </c>
    </row>
    <row r="10024" spans="8:8" x14ac:dyDescent="0.3">
      <c r="H10024" t="str">
        <f t="shared" si="206"/>
        <v/>
      </c>
    </row>
    <row r="10025" spans="8:8" x14ac:dyDescent="0.3">
      <c r="H10025" t="str">
        <f t="shared" si="206"/>
        <v/>
      </c>
    </row>
    <row r="10026" spans="8:8" x14ac:dyDescent="0.3">
      <c r="H10026" t="str">
        <f t="shared" si="206"/>
        <v/>
      </c>
    </row>
    <row r="10027" spans="8:8" x14ac:dyDescent="0.3">
      <c r="H10027" t="str">
        <f t="shared" si="206"/>
        <v/>
      </c>
    </row>
    <row r="10028" spans="8:8" x14ac:dyDescent="0.3">
      <c r="H10028" t="str">
        <f t="shared" si="206"/>
        <v/>
      </c>
    </row>
    <row r="10029" spans="8:8" x14ac:dyDescent="0.3">
      <c r="H10029" t="str">
        <f t="shared" si="206"/>
        <v/>
      </c>
    </row>
    <row r="10030" spans="8:8" x14ac:dyDescent="0.3">
      <c r="H10030" t="str">
        <f t="shared" si="206"/>
        <v/>
      </c>
    </row>
    <row r="10031" spans="8:8" x14ac:dyDescent="0.3">
      <c r="H10031" t="str">
        <f t="shared" si="206"/>
        <v/>
      </c>
    </row>
    <row r="10032" spans="8:8" x14ac:dyDescent="0.3">
      <c r="H10032" t="str">
        <f t="shared" si="206"/>
        <v/>
      </c>
    </row>
    <row r="10033" spans="8:8" x14ac:dyDescent="0.3">
      <c r="H10033" t="str">
        <f t="shared" si="206"/>
        <v/>
      </c>
    </row>
    <row r="10034" spans="8:8" x14ac:dyDescent="0.3">
      <c r="H10034" t="str">
        <f t="shared" si="206"/>
        <v/>
      </c>
    </row>
    <row r="10035" spans="8:8" x14ac:dyDescent="0.3">
      <c r="H10035" t="str">
        <f t="shared" si="206"/>
        <v/>
      </c>
    </row>
    <row r="10036" spans="8:8" x14ac:dyDescent="0.3">
      <c r="H10036" t="str">
        <f t="shared" si="206"/>
        <v/>
      </c>
    </row>
    <row r="10037" spans="8:8" x14ac:dyDescent="0.3">
      <c r="H10037" t="str">
        <f t="shared" si="206"/>
        <v/>
      </c>
    </row>
    <row r="10038" spans="8:8" x14ac:dyDescent="0.3">
      <c r="H10038" t="str">
        <f t="shared" si="206"/>
        <v/>
      </c>
    </row>
    <row r="10039" spans="8:8" x14ac:dyDescent="0.3">
      <c r="H10039" t="str">
        <f t="shared" si="206"/>
        <v/>
      </c>
    </row>
    <row r="10040" spans="8:8" x14ac:dyDescent="0.3">
      <c r="H10040" t="str">
        <f t="shared" si="206"/>
        <v/>
      </c>
    </row>
    <row r="10041" spans="8:8" x14ac:dyDescent="0.3">
      <c r="H10041" t="str">
        <f t="shared" si="206"/>
        <v/>
      </c>
    </row>
    <row r="10042" spans="8:8" x14ac:dyDescent="0.3">
      <c r="H10042" t="str">
        <f t="shared" si="206"/>
        <v/>
      </c>
    </row>
    <row r="10043" spans="8:8" x14ac:dyDescent="0.3">
      <c r="H10043" t="str">
        <f t="shared" si="206"/>
        <v/>
      </c>
    </row>
    <row r="10044" spans="8:8" x14ac:dyDescent="0.3">
      <c r="H10044" t="str">
        <f t="shared" si="206"/>
        <v/>
      </c>
    </row>
    <row r="10045" spans="8:8" x14ac:dyDescent="0.3">
      <c r="H10045" t="str">
        <f t="shared" si="206"/>
        <v/>
      </c>
    </row>
    <row r="10046" spans="8:8" x14ac:dyDescent="0.3">
      <c r="H10046" t="str">
        <f t="shared" si="206"/>
        <v/>
      </c>
    </row>
    <row r="10047" spans="8:8" x14ac:dyDescent="0.3">
      <c r="H10047" t="str">
        <f t="shared" si="206"/>
        <v/>
      </c>
    </row>
    <row r="10048" spans="8:8" x14ac:dyDescent="0.3">
      <c r="H10048" t="str">
        <f t="shared" si="206"/>
        <v/>
      </c>
    </row>
    <row r="10049" spans="8:8" x14ac:dyDescent="0.3">
      <c r="H10049" t="str">
        <f t="shared" si="206"/>
        <v/>
      </c>
    </row>
    <row r="10050" spans="8:8" x14ac:dyDescent="0.3">
      <c r="H10050" t="str">
        <f t="shared" si="206"/>
        <v/>
      </c>
    </row>
    <row r="10051" spans="8:8" x14ac:dyDescent="0.3">
      <c r="H10051" t="str">
        <f t="shared" si="206"/>
        <v/>
      </c>
    </row>
    <row r="10052" spans="8:8" x14ac:dyDescent="0.3">
      <c r="H10052" t="str">
        <f t="shared" si="206"/>
        <v/>
      </c>
    </row>
    <row r="10053" spans="8:8" x14ac:dyDescent="0.3">
      <c r="H10053" t="str">
        <f t="shared" si="206"/>
        <v/>
      </c>
    </row>
    <row r="10054" spans="8:8" x14ac:dyDescent="0.3">
      <c r="H10054" t="str">
        <f t="shared" si="206"/>
        <v/>
      </c>
    </row>
    <row r="10055" spans="8:8" x14ac:dyDescent="0.3">
      <c r="H10055" t="str">
        <f t="shared" si="206"/>
        <v/>
      </c>
    </row>
    <row r="10056" spans="8:8" x14ac:dyDescent="0.3">
      <c r="H10056" t="str">
        <f t="shared" si="206"/>
        <v/>
      </c>
    </row>
    <row r="10057" spans="8:8" x14ac:dyDescent="0.3">
      <c r="H10057" t="str">
        <f t="shared" si="206"/>
        <v/>
      </c>
    </row>
    <row r="10058" spans="8:8" x14ac:dyDescent="0.3">
      <c r="H10058" t="str">
        <f t="shared" si="206"/>
        <v/>
      </c>
    </row>
    <row r="10059" spans="8:8" x14ac:dyDescent="0.3">
      <c r="H10059" t="str">
        <f t="shared" si="206"/>
        <v/>
      </c>
    </row>
    <row r="10060" spans="8:8" x14ac:dyDescent="0.3">
      <c r="H10060" t="str">
        <f t="shared" si="206"/>
        <v/>
      </c>
    </row>
    <row r="10061" spans="8:8" x14ac:dyDescent="0.3">
      <c r="H10061" t="str">
        <f t="shared" si="206"/>
        <v/>
      </c>
    </row>
    <row r="10062" spans="8:8" x14ac:dyDescent="0.3">
      <c r="H10062" t="str">
        <f t="shared" si="206"/>
        <v/>
      </c>
    </row>
    <row r="10063" spans="8:8" x14ac:dyDescent="0.3">
      <c r="H10063" t="str">
        <f t="shared" si="206"/>
        <v/>
      </c>
    </row>
    <row r="10064" spans="8:8" x14ac:dyDescent="0.3">
      <c r="H10064" t="str">
        <f t="shared" si="206"/>
        <v/>
      </c>
    </row>
    <row r="10065" spans="8:8" x14ac:dyDescent="0.3">
      <c r="H10065" t="str">
        <f t="shared" si="206"/>
        <v/>
      </c>
    </row>
    <row r="10066" spans="8:8" x14ac:dyDescent="0.3">
      <c r="H10066" t="str">
        <f t="shared" si="206"/>
        <v/>
      </c>
    </row>
    <row r="10067" spans="8:8" x14ac:dyDescent="0.3">
      <c r="H10067" t="str">
        <f t="shared" si="206"/>
        <v/>
      </c>
    </row>
    <row r="10068" spans="8:8" x14ac:dyDescent="0.3">
      <c r="H10068" t="str">
        <f t="shared" si="206"/>
        <v/>
      </c>
    </row>
    <row r="10069" spans="8:8" x14ac:dyDescent="0.3">
      <c r="H10069" t="str">
        <f t="shared" si="206"/>
        <v/>
      </c>
    </row>
    <row r="10070" spans="8:8" x14ac:dyDescent="0.3">
      <c r="H10070" t="str">
        <f t="shared" si="206"/>
        <v/>
      </c>
    </row>
    <row r="10071" spans="8:8" x14ac:dyDescent="0.3">
      <c r="H10071" t="str">
        <f t="shared" ref="H10071:H10134" si="207">IF(B10071="","",$C$12)</f>
        <v/>
      </c>
    </row>
    <row r="10072" spans="8:8" x14ac:dyDescent="0.3">
      <c r="H10072" t="str">
        <f t="shared" si="207"/>
        <v/>
      </c>
    </row>
    <row r="10073" spans="8:8" x14ac:dyDescent="0.3">
      <c r="H10073" t="str">
        <f t="shared" si="207"/>
        <v/>
      </c>
    </row>
    <row r="10074" spans="8:8" x14ac:dyDescent="0.3">
      <c r="H10074" t="str">
        <f t="shared" si="207"/>
        <v/>
      </c>
    </row>
    <row r="10075" spans="8:8" x14ac:dyDescent="0.3">
      <c r="H10075" t="str">
        <f t="shared" si="207"/>
        <v/>
      </c>
    </row>
    <row r="10076" spans="8:8" x14ac:dyDescent="0.3">
      <c r="H10076" t="str">
        <f t="shared" si="207"/>
        <v/>
      </c>
    </row>
    <row r="10077" spans="8:8" x14ac:dyDescent="0.3">
      <c r="H10077" t="str">
        <f t="shared" si="207"/>
        <v/>
      </c>
    </row>
    <row r="10078" spans="8:8" x14ac:dyDescent="0.3">
      <c r="H10078" t="str">
        <f t="shared" si="207"/>
        <v/>
      </c>
    </row>
    <row r="10079" spans="8:8" x14ac:dyDescent="0.3">
      <c r="H10079" t="str">
        <f t="shared" si="207"/>
        <v/>
      </c>
    </row>
    <row r="10080" spans="8:8" x14ac:dyDescent="0.3">
      <c r="H10080" t="str">
        <f t="shared" si="207"/>
        <v/>
      </c>
    </row>
    <row r="10081" spans="8:8" x14ac:dyDescent="0.3">
      <c r="H10081" t="str">
        <f t="shared" si="207"/>
        <v/>
      </c>
    </row>
    <row r="10082" spans="8:8" x14ac:dyDescent="0.3">
      <c r="H10082" t="str">
        <f t="shared" si="207"/>
        <v/>
      </c>
    </row>
    <row r="10083" spans="8:8" x14ac:dyDescent="0.3">
      <c r="H10083" t="str">
        <f t="shared" si="207"/>
        <v/>
      </c>
    </row>
    <row r="10084" spans="8:8" x14ac:dyDescent="0.3">
      <c r="H10084" t="str">
        <f t="shared" si="207"/>
        <v/>
      </c>
    </row>
    <row r="10085" spans="8:8" x14ac:dyDescent="0.3">
      <c r="H10085" t="str">
        <f t="shared" si="207"/>
        <v/>
      </c>
    </row>
    <row r="10086" spans="8:8" x14ac:dyDescent="0.3">
      <c r="H10086" t="str">
        <f t="shared" si="207"/>
        <v/>
      </c>
    </row>
    <row r="10087" spans="8:8" x14ac:dyDescent="0.3">
      <c r="H10087" t="str">
        <f t="shared" si="207"/>
        <v/>
      </c>
    </row>
    <row r="10088" spans="8:8" x14ac:dyDescent="0.3">
      <c r="H10088" t="str">
        <f t="shared" si="207"/>
        <v/>
      </c>
    </row>
    <row r="10089" spans="8:8" x14ac:dyDescent="0.3">
      <c r="H10089" t="str">
        <f t="shared" si="207"/>
        <v/>
      </c>
    </row>
    <row r="10090" spans="8:8" x14ac:dyDescent="0.3">
      <c r="H10090" t="str">
        <f t="shared" si="207"/>
        <v/>
      </c>
    </row>
    <row r="10091" spans="8:8" x14ac:dyDescent="0.3">
      <c r="H10091" t="str">
        <f t="shared" si="207"/>
        <v/>
      </c>
    </row>
    <row r="10092" spans="8:8" x14ac:dyDescent="0.3">
      <c r="H10092" t="str">
        <f t="shared" si="207"/>
        <v/>
      </c>
    </row>
    <row r="10093" spans="8:8" x14ac:dyDescent="0.3">
      <c r="H10093" t="str">
        <f t="shared" si="207"/>
        <v/>
      </c>
    </row>
    <row r="10094" spans="8:8" x14ac:dyDescent="0.3">
      <c r="H10094" t="str">
        <f t="shared" si="207"/>
        <v/>
      </c>
    </row>
    <row r="10095" spans="8:8" x14ac:dyDescent="0.3">
      <c r="H10095" t="str">
        <f t="shared" si="207"/>
        <v/>
      </c>
    </row>
    <row r="10096" spans="8:8" x14ac:dyDescent="0.3">
      <c r="H10096" t="str">
        <f t="shared" si="207"/>
        <v/>
      </c>
    </row>
    <row r="10097" spans="8:8" x14ac:dyDescent="0.3">
      <c r="H10097" t="str">
        <f t="shared" si="207"/>
        <v/>
      </c>
    </row>
    <row r="10098" spans="8:8" x14ac:dyDescent="0.3">
      <c r="H10098" t="str">
        <f t="shared" si="207"/>
        <v/>
      </c>
    </row>
    <row r="10099" spans="8:8" x14ac:dyDescent="0.3">
      <c r="H10099" t="str">
        <f t="shared" si="207"/>
        <v/>
      </c>
    </row>
    <row r="10100" spans="8:8" x14ac:dyDescent="0.3">
      <c r="H10100" t="str">
        <f t="shared" si="207"/>
        <v/>
      </c>
    </row>
    <row r="10101" spans="8:8" x14ac:dyDescent="0.3">
      <c r="H10101" t="str">
        <f t="shared" si="207"/>
        <v/>
      </c>
    </row>
    <row r="10102" spans="8:8" x14ac:dyDescent="0.3">
      <c r="H10102" t="str">
        <f t="shared" si="207"/>
        <v/>
      </c>
    </row>
    <row r="10103" spans="8:8" x14ac:dyDescent="0.3">
      <c r="H10103" t="str">
        <f t="shared" si="207"/>
        <v/>
      </c>
    </row>
    <row r="10104" spans="8:8" x14ac:dyDescent="0.3">
      <c r="H10104" t="str">
        <f t="shared" si="207"/>
        <v/>
      </c>
    </row>
    <row r="10105" spans="8:8" x14ac:dyDescent="0.3">
      <c r="H10105" t="str">
        <f t="shared" si="207"/>
        <v/>
      </c>
    </row>
    <row r="10106" spans="8:8" x14ac:dyDescent="0.3">
      <c r="H10106" t="str">
        <f t="shared" si="207"/>
        <v/>
      </c>
    </row>
    <row r="10107" spans="8:8" x14ac:dyDescent="0.3">
      <c r="H10107" t="str">
        <f t="shared" si="207"/>
        <v/>
      </c>
    </row>
    <row r="10108" spans="8:8" x14ac:dyDescent="0.3">
      <c r="H10108" t="str">
        <f t="shared" si="207"/>
        <v/>
      </c>
    </row>
    <row r="10109" spans="8:8" x14ac:dyDescent="0.3">
      <c r="H10109" t="str">
        <f t="shared" si="207"/>
        <v/>
      </c>
    </row>
    <row r="10110" spans="8:8" x14ac:dyDescent="0.3">
      <c r="H10110" t="str">
        <f t="shared" si="207"/>
        <v/>
      </c>
    </row>
    <row r="10111" spans="8:8" x14ac:dyDescent="0.3">
      <c r="H10111" t="str">
        <f t="shared" si="207"/>
        <v/>
      </c>
    </row>
    <row r="10112" spans="8:8" x14ac:dyDescent="0.3">
      <c r="H10112" t="str">
        <f t="shared" si="207"/>
        <v/>
      </c>
    </row>
    <row r="10113" spans="8:8" x14ac:dyDescent="0.3">
      <c r="H10113" t="str">
        <f t="shared" si="207"/>
        <v/>
      </c>
    </row>
    <row r="10114" spans="8:8" x14ac:dyDescent="0.3">
      <c r="H10114" t="str">
        <f t="shared" si="207"/>
        <v/>
      </c>
    </row>
    <row r="10115" spans="8:8" x14ac:dyDescent="0.3">
      <c r="H10115" t="str">
        <f t="shared" si="207"/>
        <v/>
      </c>
    </row>
    <row r="10116" spans="8:8" x14ac:dyDescent="0.3">
      <c r="H10116" t="str">
        <f t="shared" si="207"/>
        <v/>
      </c>
    </row>
    <row r="10117" spans="8:8" x14ac:dyDescent="0.3">
      <c r="H10117" t="str">
        <f t="shared" si="207"/>
        <v/>
      </c>
    </row>
    <row r="10118" spans="8:8" x14ac:dyDescent="0.3">
      <c r="H10118" t="str">
        <f t="shared" si="207"/>
        <v/>
      </c>
    </row>
    <row r="10119" spans="8:8" x14ac:dyDescent="0.3">
      <c r="H10119" t="str">
        <f t="shared" si="207"/>
        <v/>
      </c>
    </row>
    <row r="10120" spans="8:8" x14ac:dyDescent="0.3">
      <c r="H10120" t="str">
        <f t="shared" si="207"/>
        <v/>
      </c>
    </row>
    <row r="10121" spans="8:8" x14ac:dyDescent="0.3">
      <c r="H10121" t="str">
        <f t="shared" si="207"/>
        <v/>
      </c>
    </row>
    <row r="10122" spans="8:8" x14ac:dyDescent="0.3">
      <c r="H10122" t="str">
        <f t="shared" si="207"/>
        <v/>
      </c>
    </row>
    <row r="10123" spans="8:8" x14ac:dyDescent="0.3">
      <c r="H10123" t="str">
        <f t="shared" si="207"/>
        <v/>
      </c>
    </row>
    <row r="10124" spans="8:8" x14ac:dyDescent="0.3">
      <c r="H10124" t="str">
        <f t="shared" si="207"/>
        <v/>
      </c>
    </row>
    <row r="10125" spans="8:8" x14ac:dyDescent="0.3">
      <c r="H10125" t="str">
        <f t="shared" si="207"/>
        <v/>
      </c>
    </row>
    <row r="10126" spans="8:8" x14ac:dyDescent="0.3">
      <c r="H10126" t="str">
        <f t="shared" si="207"/>
        <v/>
      </c>
    </row>
    <row r="10127" spans="8:8" x14ac:dyDescent="0.3">
      <c r="H10127" t="str">
        <f t="shared" si="207"/>
        <v/>
      </c>
    </row>
    <row r="10128" spans="8:8" x14ac:dyDescent="0.3">
      <c r="H10128" t="str">
        <f t="shared" si="207"/>
        <v/>
      </c>
    </row>
    <row r="10129" spans="8:8" x14ac:dyDescent="0.3">
      <c r="H10129" t="str">
        <f t="shared" si="207"/>
        <v/>
      </c>
    </row>
    <row r="10130" spans="8:8" x14ac:dyDescent="0.3">
      <c r="H10130" t="str">
        <f t="shared" si="207"/>
        <v/>
      </c>
    </row>
    <row r="10131" spans="8:8" x14ac:dyDescent="0.3">
      <c r="H10131" t="str">
        <f t="shared" si="207"/>
        <v/>
      </c>
    </row>
    <row r="10132" spans="8:8" x14ac:dyDescent="0.3">
      <c r="H10132" t="str">
        <f t="shared" si="207"/>
        <v/>
      </c>
    </row>
    <row r="10133" spans="8:8" x14ac:dyDescent="0.3">
      <c r="H10133" t="str">
        <f t="shared" si="207"/>
        <v/>
      </c>
    </row>
    <row r="10134" spans="8:8" x14ac:dyDescent="0.3">
      <c r="H10134" t="str">
        <f t="shared" si="207"/>
        <v/>
      </c>
    </row>
    <row r="10135" spans="8:8" x14ac:dyDescent="0.3">
      <c r="H10135" t="str">
        <f t="shared" ref="H10135:H10198" si="208">IF(B10135="","",$C$12)</f>
        <v/>
      </c>
    </row>
    <row r="10136" spans="8:8" x14ac:dyDescent="0.3">
      <c r="H10136" t="str">
        <f t="shared" si="208"/>
        <v/>
      </c>
    </row>
    <row r="10137" spans="8:8" x14ac:dyDescent="0.3">
      <c r="H10137" t="str">
        <f t="shared" si="208"/>
        <v/>
      </c>
    </row>
    <row r="10138" spans="8:8" x14ac:dyDescent="0.3">
      <c r="H10138" t="str">
        <f t="shared" si="208"/>
        <v/>
      </c>
    </row>
    <row r="10139" spans="8:8" x14ac:dyDescent="0.3">
      <c r="H10139" t="str">
        <f t="shared" si="208"/>
        <v/>
      </c>
    </row>
    <row r="10140" spans="8:8" x14ac:dyDescent="0.3">
      <c r="H10140" t="str">
        <f t="shared" si="208"/>
        <v/>
      </c>
    </row>
    <row r="10141" spans="8:8" x14ac:dyDescent="0.3">
      <c r="H10141" t="str">
        <f t="shared" si="208"/>
        <v/>
      </c>
    </row>
    <row r="10142" spans="8:8" x14ac:dyDescent="0.3">
      <c r="H10142" t="str">
        <f t="shared" si="208"/>
        <v/>
      </c>
    </row>
    <row r="10143" spans="8:8" x14ac:dyDescent="0.3">
      <c r="H10143" t="str">
        <f t="shared" si="208"/>
        <v/>
      </c>
    </row>
    <row r="10144" spans="8:8" x14ac:dyDescent="0.3">
      <c r="H10144" t="str">
        <f t="shared" si="208"/>
        <v/>
      </c>
    </row>
    <row r="10145" spans="8:8" x14ac:dyDescent="0.3">
      <c r="H10145" t="str">
        <f t="shared" si="208"/>
        <v/>
      </c>
    </row>
    <row r="10146" spans="8:8" x14ac:dyDescent="0.3">
      <c r="H10146" t="str">
        <f t="shared" si="208"/>
        <v/>
      </c>
    </row>
    <row r="10147" spans="8:8" x14ac:dyDescent="0.3">
      <c r="H10147" t="str">
        <f t="shared" si="208"/>
        <v/>
      </c>
    </row>
    <row r="10148" spans="8:8" x14ac:dyDescent="0.3">
      <c r="H10148" t="str">
        <f t="shared" si="208"/>
        <v/>
      </c>
    </row>
    <row r="10149" spans="8:8" x14ac:dyDescent="0.3">
      <c r="H10149" t="str">
        <f t="shared" si="208"/>
        <v/>
      </c>
    </row>
    <row r="10150" spans="8:8" x14ac:dyDescent="0.3">
      <c r="H10150" t="str">
        <f t="shared" si="208"/>
        <v/>
      </c>
    </row>
    <row r="10151" spans="8:8" x14ac:dyDescent="0.3">
      <c r="H10151" t="str">
        <f t="shared" si="208"/>
        <v/>
      </c>
    </row>
    <row r="10152" spans="8:8" x14ac:dyDescent="0.3">
      <c r="H10152" t="str">
        <f t="shared" si="208"/>
        <v/>
      </c>
    </row>
    <row r="10153" spans="8:8" x14ac:dyDescent="0.3">
      <c r="H10153" t="str">
        <f t="shared" si="208"/>
        <v/>
      </c>
    </row>
    <row r="10154" spans="8:8" x14ac:dyDescent="0.3">
      <c r="H10154" t="str">
        <f t="shared" si="208"/>
        <v/>
      </c>
    </row>
    <row r="10155" spans="8:8" x14ac:dyDescent="0.3">
      <c r="H10155" t="str">
        <f t="shared" si="208"/>
        <v/>
      </c>
    </row>
    <row r="10156" spans="8:8" x14ac:dyDescent="0.3">
      <c r="H10156" t="str">
        <f t="shared" si="208"/>
        <v/>
      </c>
    </row>
    <row r="10157" spans="8:8" x14ac:dyDescent="0.3">
      <c r="H10157" t="str">
        <f t="shared" si="208"/>
        <v/>
      </c>
    </row>
    <row r="10158" spans="8:8" x14ac:dyDescent="0.3">
      <c r="H10158" t="str">
        <f t="shared" si="208"/>
        <v/>
      </c>
    </row>
    <row r="10159" spans="8:8" x14ac:dyDescent="0.3">
      <c r="H10159" t="str">
        <f t="shared" si="208"/>
        <v/>
      </c>
    </row>
    <row r="10160" spans="8:8" x14ac:dyDescent="0.3">
      <c r="H10160" t="str">
        <f t="shared" si="208"/>
        <v/>
      </c>
    </row>
    <row r="10161" spans="8:8" x14ac:dyDescent="0.3">
      <c r="H10161" t="str">
        <f t="shared" si="208"/>
        <v/>
      </c>
    </row>
    <row r="10162" spans="8:8" x14ac:dyDescent="0.3">
      <c r="H10162" t="str">
        <f t="shared" si="208"/>
        <v/>
      </c>
    </row>
    <row r="10163" spans="8:8" x14ac:dyDescent="0.3">
      <c r="H10163" t="str">
        <f t="shared" si="208"/>
        <v/>
      </c>
    </row>
    <row r="10164" spans="8:8" x14ac:dyDescent="0.3">
      <c r="H10164" t="str">
        <f t="shared" si="208"/>
        <v/>
      </c>
    </row>
    <row r="10165" spans="8:8" x14ac:dyDescent="0.3">
      <c r="H10165" t="str">
        <f t="shared" si="208"/>
        <v/>
      </c>
    </row>
    <row r="10166" spans="8:8" x14ac:dyDescent="0.3">
      <c r="H10166" t="str">
        <f t="shared" si="208"/>
        <v/>
      </c>
    </row>
    <row r="10167" spans="8:8" x14ac:dyDescent="0.3">
      <c r="H10167" t="str">
        <f t="shared" si="208"/>
        <v/>
      </c>
    </row>
    <row r="10168" spans="8:8" x14ac:dyDescent="0.3">
      <c r="H10168" t="str">
        <f t="shared" si="208"/>
        <v/>
      </c>
    </row>
    <row r="10169" spans="8:8" x14ac:dyDescent="0.3">
      <c r="H10169" t="str">
        <f t="shared" si="208"/>
        <v/>
      </c>
    </row>
    <row r="10170" spans="8:8" x14ac:dyDescent="0.3">
      <c r="H10170" t="str">
        <f t="shared" si="208"/>
        <v/>
      </c>
    </row>
    <row r="10171" spans="8:8" x14ac:dyDescent="0.3">
      <c r="H10171" t="str">
        <f t="shared" si="208"/>
        <v/>
      </c>
    </row>
    <row r="10172" spans="8:8" x14ac:dyDescent="0.3">
      <c r="H10172" t="str">
        <f t="shared" si="208"/>
        <v/>
      </c>
    </row>
    <row r="10173" spans="8:8" x14ac:dyDescent="0.3">
      <c r="H10173" t="str">
        <f t="shared" si="208"/>
        <v/>
      </c>
    </row>
    <row r="10174" spans="8:8" x14ac:dyDescent="0.3">
      <c r="H10174" t="str">
        <f t="shared" si="208"/>
        <v/>
      </c>
    </row>
    <row r="10175" spans="8:8" x14ac:dyDescent="0.3">
      <c r="H10175" t="str">
        <f t="shared" si="208"/>
        <v/>
      </c>
    </row>
    <row r="10176" spans="8:8" x14ac:dyDescent="0.3">
      <c r="H10176" t="str">
        <f t="shared" si="208"/>
        <v/>
      </c>
    </row>
    <row r="10177" spans="8:8" x14ac:dyDescent="0.3">
      <c r="H10177" t="str">
        <f t="shared" si="208"/>
        <v/>
      </c>
    </row>
    <row r="10178" spans="8:8" x14ac:dyDescent="0.3">
      <c r="H10178" t="str">
        <f t="shared" si="208"/>
        <v/>
      </c>
    </row>
    <row r="10179" spans="8:8" x14ac:dyDescent="0.3">
      <c r="H10179" t="str">
        <f t="shared" si="208"/>
        <v/>
      </c>
    </row>
    <row r="10180" spans="8:8" x14ac:dyDescent="0.3">
      <c r="H10180" t="str">
        <f t="shared" si="208"/>
        <v/>
      </c>
    </row>
    <row r="10181" spans="8:8" x14ac:dyDescent="0.3">
      <c r="H10181" t="str">
        <f t="shared" si="208"/>
        <v/>
      </c>
    </row>
    <row r="10182" spans="8:8" x14ac:dyDescent="0.3">
      <c r="H10182" t="str">
        <f t="shared" si="208"/>
        <v/>
      </c>
    </row>
    <row r="10183" spans="8:8" x14ac:dyDescent="0.3">
      <c r="H10183" t="str">
        <f t="shared" si="208"/>
        <v/>
      </c>
    </row>
    <row r="10184" spans="8:8" x14ac:dyDescent="0.3">
      <c r="H10184" t="str">
        <f t="shared" si="208"/>
        <v/>
      </c>
    </row>
    <row r="10185" spans="8:8" x14ac:dyDescent="0.3">
      <c r="H10185" t="str">
        <f t="shared" si="208"/>
        <v/>
      </c>
    </row>
    <row r="10186" spans="8:8" x14ac:dyDescent="0.3">
      <c r="H10186" t="str">
        <f t="shared" si="208"/>
        <v/>
      </c>
    </row>
    <row r="10187" spans="8:8" x14ac:dyDescent="0.3">
      <c r="H10187" t="str">
        <f t="shared" si="208"/>
        <v/>
      </c>
    </row>
    <row r="10188" spans="8:8" x14ac:dyDescent="0.3">
      <c r="H10188" t="str">
        <f t="shared" si="208"/>
        <v/>
      </c>
    </row>
    <row r="10189" spans="8:8" x14ac:dyDescent="0.3">
      <c r="H10189" t="str">
        <f t="shared" si="208"/>
        <v/>
      </c>
    </row>
    <row r="10190" spans="8:8" x14ac:dyDescent="0.3">
      <c r="H10190" t="str">
        <f t="shared" si="208"/>
        <v/>
      </c>
    </row>
    <row r="10191" spans="8:8" x14ac:dyDescent="0.3">
      <c r="H10191" t="str">
        <f t="shared" si="208"/>
        <v/>
      </c>
    </row>
    <row r="10192" spans="8:8" x14ac:dyDescent="0.3">
      <c r="H10192" t="str">
        <f t="shared" si="208"/>
        <v/>
      </c>
    </row>
    <row r="10193" spans="8:8" x14ac:dyDescent="0.3">
      <c r="H10193" t="str">
        <f t="shared" si="208"/>
        <v/>
      </c>
    </row>
    <row r="10194" spans="8:8" x14ac:dyDescent="0.3">
      <c r="H10194" t="str">
        <f t="shared" si="208"/>
        <v/>
      </c>
    </row>
    <row r="10195" spans="8:8" x14ac:dyDescent="0.3">
      <c r="H10195" t="str">
        <f t="shared" si="208"/>
        <v/>
      </c>
    </row>
    <row r="10196" spans="8:8" x14ac:dyDescent="0.3">
      <c r="H10196" t="str">
        <f t="shared" si="208"/>
        <v/>
      </c>
    </row>
    <row r="10197" spans="8:8" x14ac:dyDescent="0.3">
      <c r="H10197" t="str">
        <f t="shared" si="208"/>
        <v/>
      </c>
    </row>
    <row r="10198" spans="8:8" x14ac:dyDescent="0.3">
      <c r="H10198" t="str">
        <f t="shared" si="208"/>
        <v/>
      </c>
    </row>
    <row r="10199" spans="8:8" x14ac:dyDescent="0.3">
      <c r="H10199" t="str">
        <f t="shared" ref="H10199:H10262" si="209">IF(B10199="","",$C$12)</f>
        <v/>
      </c>
    </row>
    <row r="10200" spans="8:8" x14ac:dyDescent="0.3">
      <c r="H10200" t="str">
        <f t="shared" si="209"/>
        <v/>
      </c>
    </row>
    <row r="10201" spans="8:8" x14ac:dyDescent="0.3">
      <c r="H10201" t="str">
        <f t="shared" si="209"/>
        <v/>
      </c>
    </row>
    <row r="10202" spans="8:8" x14ac:dyDescent="0.3">
      <c r="H10202" t="str">
        <f t="shared" si="209"/>
        <v/>
      </c>
    </row>
    <row r="10203" spans="8:8" x14ac:dyDescent="0.3">
      <c r="H10203" t="str">
        <f t="shared" si="209"/>
        <v/>
      </c>
    </row>
    <row r="10204" spans="8:8" x14ac:dyDescent="0.3">
      <c r="H10204" t="str">
        <f t="shared" si="209"/>
        <v/>
      </c>
    </row>
    <row r="10205" spans="8:8" x14ac:dyDescent="0.3">
      <c r="H10205" t="str">
        <f t="shared" si="209"/>
        <v/>
      </c>
    </row>
    <row r="10206" spans="8:8" x14ac:dyDescent="0.3">
      <c r="H10206" t="str">
        <f t="shared" si="209"/>
        <v/>
      </c>
    </row>
    <row r="10207" spans="8:8" x14ac:dyDescent="0.3">
      <c r="H10207" t="str">
        <f t="shared" si="209"/>
        <v/>
      </c>
    </row>
    <row r="10208" spans="8:8" x14ac:dyDescent="0.3">
      <c r="H10208" t="str">
        <f t="shared" si="209"/>
        <v/>
      </c>
    </row>
    <row r="10209" spans="8:8" x14ac:dyDescent="0.3">
      <c r="H10209" t="str">
        <f t="shared" si="209"/>
        <v/>
      </c>
    </row>
    <row r="10210" spans="8:8" x14ac:dyDescent="0.3">
      <c r="H10210" t="str">
        <f t="shared" si="209"/>
        <v/>
      </c>
    </row>
    <row r="10211" spans="8:8" x14ac:dyDescent="0.3">
      <c r="H10211" t="str">
        <f t="shared" si="209"/>
        <v/>
      </c>
    </row>
    <row r="10212" spans="8:8" x14ac:dyDescent="0.3">
      <c r="H10212" t="str">
        <f t="shared" si="209"/>
        <v/>
      </c>
    </row>
    <row r="10213" spans="8:8" x14ac:dyDescent="0.3">
      <c r="H10213" t="str">
        <f t="shared" si="209"/>
        <v/>
      </c>
    </row>
    <row r="10214" spans="8:8" x14ac:dyDescent="0.3">
      <c r="H10214" t="str">
        <f t="shared" si="209"/>
        <v/>
      </c>
    </row>
    <row r="10215" spans="8:8" x14ac:dyDescent="0.3">
      <c r="H10215" t="str">
        <f t="shared" si="209"/>
        <v/>
      </c>
    </row>
    <row r="10216" spans="8:8" x14ac:dyDescent="0.3">
      <c r="H10216" t="str">
        <f t="shared" si="209"/>
        <v/>
      </c>
    </row>
    <row r="10217" spans="8:8" x14ac:dyDescent="0.3">
      <c r="H10217" t="str">
        <f t="shared" si="209"/>
        <v/>
      </c>
    </row>
    <row r="10218" spans="8:8" x14ac:dyDescent="0.3">
      <c r="H10218" t="str">
        <f t="shared" si="209"/>
        <v/>
      </c>
    </row>
    <row r="10219" spans="8:8" x14ac:dyDescent="0.3">
      <c r="H10219" t="str">
        <f t="shared" si="209"/>
        <v/>
      </c>
    </row>
    <row r="10220" spans="8:8" x14ac:dyDescent="0.3">
      <c r="H10220" t="str">
        <f t="shared" si="209"/>
        <v/>
      </c>
    </row>
    <row r="10221" spans="8:8" x14ac:dyDescent="0.3">
      <c r="H10221" t="str">
        <f t="shared" si="209"/>
        <v/>
      </c>
    </row>
    <row r="10222" spans="8:8" x14ac:dyDescent="0.3">
      <c r="H10222" t="str">
        <f t="shared" si="209"/>
        <v/>
      </c>
    </row>
    <row r="10223" spans="8:8" x14ac:dyDescent="0.3">
      <c r="H10223" t="str">
        <f t="shared" si="209"/>
        <v/>
      </c>
    </row>
    <row r="10224" spans="8:8" x14ac:dyDescent="0.3">
      <c r="H10224" t="str">
        <f t="shared" si="209"/>
        <v/>
      </c>
    </row>
    <row r="10225" spans="8:8" x14ac:dyDescent="0.3">
      <c r="H10225" t="str">
        <f t="shared" si="209"/>
        <v/>
      </c>
    </row>
    <row r="10226" spans="8:8" x14ac:dyDescent="0.3">
      <c r="H10226" t="str">
        <f t="shared" si="209"/>
        <v/>
      </c>
    </row>
    <row r="10227" spans="8:8" x14ac:dyDescent="0.3">
      <c r="H10227" t="str">
        <f t="shared" si="209"/>
        <v/>
      </c>
    </row>
    <row r="10228" spans="8:8" x14ac:dyDescent="0.3">
      <c r="H10228" t="str">
        <f t="shared" si="209"/>
        <v/>
      </c>
    </row>
    <row r="10229" spans="8:8" x14ac:dyDescent="0.3">
      <c r="H10229" t="str">
        <f t="shared" si="209"/>
        <v/>
      </c>
    </row>
    <row r="10230" spans="8:8" x14ac:dyDescent="0.3">
      <c r="H10230" t="str">
        <f t="shared" si="209"/>
        <v/>
      </c>
    </row>
    <row r="10231" spans="8:8" x14ac:dyDescent="0.3">
      <c r="H10231" t="str">
        <f t="shared" si="209"/>
        <v/>
      </c>
    </row>
    <row r="10232" spans="8:8" x14ac:dyDescent="0.3">
      <c r="H10232" t="str">
        <f t="shared" si="209"/>
        <v/>
      </c>
    </row>
    <row r="10233" spans="8:8" x14ac:dyDescent="0.3">
      <c r="H10233" t="str">
        <f t="shared" si="209"/>
        <v/>
      </c>
    </row>
    <row r="10234" spans="8:8" x14ac:dyDescent="0.3">
      <c r="H10234" t="str">
        <f t="shared" si="209"/>
        <v/>
      </c>
    </row>
    <row r="10235" spans="8:8" x14ac:dyDescent="0.3">
      <c r="H10235" t="str">
        <f t="shared" si="209"/>
        <v/>
      </c>
    </row>
    <row r="10236" spans="8:8" x14ac:dyDescent="0.3">
      <c r="H10236" t="str">
        <f t="shared" si="209"/>
        <v/>
      </c>
    </row>
    <row r="10237" spans="8:8" x14ac:dyDescent="0.3">
      <c r="H10237" t="str">
        <f t="shared" si="209"/>
        <v/>
      </c>
    </row>
    <row r="10238" spans="8:8" x14ac:dyDescent="0.3">
      <c r="H10238" t="str">
        <f t="shared" si="209"/>
        <v/>
      </c>
    </row>
    <row r="10239" spans="8:8" x14ac:dyDescent="0.3">
      <c r="H10239" t="str">
        <f t="shared" si="209"/>
        <v/>
      </c>
    </row>
    <row r="10240" spans="8:8" x14ac:dyDescent="0.3">
      <c r="H10240" t="str">
        <f t="shared" si="209"/>
        <v/>
      </c>
    </row>
    <row r="10241" spans="8:8" x14ac:dyDescent="0.3">
      <c r="H10241" t="str">
        <f t="shared" si="209"/>
        <v/>
      </c>
    </row>
    <row r="10242" spans="8:8" x14ac:dyDescent="0.3">
      <c r="H10242" t="str">
        <f t="shared" si="209"/>
        <v/>
      </c>
    </row>
    <row r="10243" spans="8:8" x14ac:dyDescent="0.3">
      <c r="H10243" t="str">
        <f t="shared" si="209"/>
        <v/>
      </c>
    </row>
    <row r="10244" spans="8:8" x14ac:dyDescent="0.3">
      <c r="H10244" t="str">
        <f t="shared" si="209"/>
        <v/>
      </c>
    </row>
    <row r="10245" spans="8:8" x14ac:dyDescent="0.3">
      <c r="H10245" t="str">
        <f t="shared" si="209"/>
        <v/>
      </c>
    </row>
    <row r="10246" spans="8:8" x14ac:dyDescent="0.3">
      <c r="H10246" t="str">
        <f t="shared" si="209"/>
        <v/>
      </c>
    </row>
    <row r="10247" spans="8:8" x14ac:dyDescent="0.3">
      <c r="H10247" t="str">
        <f t="shared" si="209"/>
        <v/>
      </c>
    </row>
    <row r="10248" spans="8:8" x14ac:dyDescent="0.3">
      <c r="H10248" t="str">
        <f t="shared" si="209"/>
        <v/>
      </c>
    </row>
    <row r="10249" spans="8:8" x14ac:dyDescent="0.3">
      <c r="H10249" t="str">
        <f t="shared" si="209"/>
        <v/>
      </c>
    </row>
    <row r="10250" spans="8:8" x14ac:dyDescent="0.3">
      <c r="H10250" t="str">
        <f t="shared" si="209"/>
        <v/>
      </c>
    </row>
    <row r="10251" spans="8:8" x14ac:dyDescent="0.3">
      <c r="H10251" t="str">
        <f t="shared" si="209"/>
        <v/>
      </c>
    </row>
    <row r="10252" spans="8:8" x14ac:dyDescent="0.3">
      <c r="H10252" t="str">
        <f t="shared" si="209"/>
        <v/>
      </c>
    </row>
    <row r="10253" spans="8:8" x14ac:dyDescent="0.3">
      <c r="H10253" t="str">
        <f t="shared" si="209"/>
        <v/>
      </c>
    </row>
    <row r="10254" spans="8:8" x14ac:dyDescent="0.3">
      <c r="H10254" t="str">
        <f t="shared" si="209"/>
        <v/>
      </c>
    </row>
    <row r="10255" spans="8:8" x14ac:dyDescent="0.3">
      <c r="H10255" t="str">
        <f t="shared" si="209"/>
        <v/>
      </c>
    </row>
    <row r="10256" spans="8:8" x14ac:dyDescent="0.3">
      <c r="H10256" t="str">
        <f t="shared" si="209"/>
        <v/>
      </c>
    </row>
    <row r="10257" spans="8:8" x14ac:dyDescent="0.3">
      <c r="H10257" t="str">
        <f t="shared" si="209"/>
        <v/>
      </c>
    </row>
    <row r="10258" spans="8:8" x14ac:dyDescent="0.3">
      <c r="H10258" t="str">
        <f t="shared" si="209"/>
        <v/>
      </c>
    </row>
    <row r="10259" spans="8:8" x14ac:dyDescent="0.3">
      <c r="H10259" t="str">
        <f t="shared" si="209"/>
        <v/>
      </c>
    </row>
    <row r="10260" spans="8:8" x14ac:dyDescent="0.3">
      <c r="H10260" t="str">
        <f t="shared" si="209"/>
        <v/>
      </c>
    </row>
    <row r="10261" spans="8:8" x14ac:dyDescent="0.3">
      <c r="H10261" t="str">
        <f t="shared" si="209"/>
        <v/>
      </c>
    </row>
    <row r="10262" spans="8:8" x14ac:dyDescent="0.3">
      <c r="H10262" t="str">
        <f t="shared" si="209"/>
        <v/>
      </c>
    </row>
    <row r="10263" spans="8:8" x14ac:dyDescent="0.3">
      <c r="H10263" t="str">
        <f t="shared" ref="H10263:H10326" si="210">IF(B10263="","",$C$12)</f>
        <v/>
      </c>
    </row>
    <row r="10264" spans="8:8" x14ac:dyDescent="0.3">
      <c r="H10264" t="str">
        <f t="shared" si="210"/>
        <v/>
      </c>
    </row>
    <row r="10265" spans="8:8" x14ac:dyDescent="0.3">
      <c r="H10265" t="str">
        <f t="shared" si="210"/>
        <v/>
      </c>
    </row>
    <row r="10266" spans="8:8" x14ac:dyDescent="0.3">
      <c r="H10266" t="str">
        <f t="shared" si="210"/>
        <v/>
      </c>
    </row>
    <row r="10267" spans="8:8" x14ac:dyDescent="0.3">
      <c r="H10267" t="str">
        <f t="shared" si="210"/>
        <v/>
      </c>
    </row>
    <row r="10268" spans="8:8" x14ac:dyDescent="0.3">
      <c r="H10268" t="str">
        <f t="shared" si="210"/>
        <v/>
      </c>
    </row>
    <row r="10269" spans="8:8" x14ac:dyDescent="0.3">
      <c r="H10269" t="str">
        <f t="shared" si="210"/>
        <v/>
      </c>
    </row>
    <row r="10270" spans="8:8" x14ac:dyDescent="0.3">
      <c r="H10270" t="str">
        <f t="shared" si="210"/>
        <v/>
      </c>
    </row>
    <row r="10271" spans="8:8" x14ac:dyDescent="0.3">
      <c r="H10271" t="str">
        <f t="shared" si="210"/>
        <v/>
      </c>
    </row>
    <row r="10272" spans="8:8" x14ac:dyDescent="0.3">
      <c r="H10272" t="str">
        <f t="shared" si="210"/>
        <v/>
      </c>
    </row>
    <row r="10273" spans="8:8" x14ac:dyDescent="0.3">
      <c r="H10273" t="str">
        <f t="shared" si="210"/>
        <v/>
      </c>
    </row>
    <row r="10274" spans="8:8" x14ac:dyDescent="0.3">
      <c r="H10274" t="str">
        <f t="shared" si="210"/>
        <v/>
      </c>
    </row>
    <row r="10275" spans="8:8" x14ac:dyDescent="0.3">
      <c r="H10275" t="str">
        <f t="shared" si="210"/>
        <v/>
      </c>
    </row>
    <row r="10276" spans="8:8" x14ac:dyDescent="0.3">
      <c r="H10276" t="str">
        <f t="shared" si="210"/>
        <v/>
      </c>
    </row>
    <row r="10277" spans="8:8" x14ac:dyDescent="0.3">
      <c r="H10277" t="str">
        <f t="shared" si="210"/>
        <v/>
      </c>
    </row>
    <row r="10278" spans="8:8" x14ac:dyDescent="0.3">
      <c r="H10278" t="str">
        <f t="shared" si="210"/>
        <v/>
      </c>
    </row>
    <row r="10279" spans="8:8" x14ac:dyDescent="0.3">
      <c r="H10279" t="str">
        <f t="shared" si="210"/>
        <v/>
      </c>
    </row>
    <row r="10280" spans="8:8" x14ac:dyDescent="0.3">
      <c r="H10280" t="str">
        <f t="shared" si="210"/>
        <v/>
      </c>
    </row>
    <row r="10281" spans="8:8" x14ac:dyDescent="0.3">
      <c r="H10281" t="str">
        <f t="shared" si="210"/>
        <v/>
      </c>
    </row>
    <row r="10282" spans="8:8" x14ac:dyDescent="0.3">
      <c r="H10282" t="str">
        <f t="shared" si="210"/>
        <v/>
      </c>
    </row>
    <row r="10283" spans="8:8" x14ac:dyDescent="0.3">
      <c r="H10283" t="str">
        <f t="shared" si="210"/>
        <v/>
      </c>
    </row>
    <row r="10284" spans="8:8" x14ac:dyDescent="0.3">
      <c r="H10284" t="str">
        <f t="shared" si="210"/>
        <v/>
      </c>
    </row>
    <row r="10285" spans="8:8" x14ac:dyDescent="0.3">
      <c r="H10285" t="str">
        <f t="shared" si="210"/>
        <v/>
      </c>
    </row>
    <row r="10286" spans="8:8" x14ac:dyDescent="0.3">
      <c r="H10286" t="str">
        <f t="shared" si="210"/>
        <v/>
      </c>
    </row>
    <row r="10287" spans="8:8" x14ac:dyDescent="0.3">
      <c r="H10287" t="str">
        <f t="shared" si="210"/>
        <v/>
      </c>
    </row>
    <row r="10288" spans="8:8" x14ac:dyDescent="0.3">
      <c r="H10288" t="str">
        <f t="shared" si="210"/>
        <v/>
      </c>
    </row>
    <row r="10289" spans="8:8" x14ac:dyDescent="0.3">
      <c r="H10289" t="str">
        <f t="shared" si="210"/>
        <v/>
      </c>
    </row>
    <row r="10290" spans="8:8" x14ac:dyDescent="0.3">
      <c r="H10290" t="str">
        <f t="shared" si="210"/>
        <v/>
      </c>
    </row>
    <row r="10291" spans="8:8" x14ac:dyDescent="0.3">
      <c r="H10291" t="str">
        <f t="shared" si="210"/>
        <v/>
      </c>
    </row>
    <row r="10292" spans="8:8" x14ac:dyDescent="0.3">
      <c r="H10292" t="str">
        <f t="shared" si="210"/>
        <v/>
      </c>
    </row>
    <row r="10293" spans="8:8" x14ac:dyDescent="0.3">
      <c r="H10293" t="str">
        <f t="shared" si="210"/>
        <v/>
      </c>
    </row>
    <row r="10294" spans="8:8" x14ac:dyDescent="0.3">
      <c r="H10294" t="str">
        <f t="shared" si="210"/>
        <v/>
      </c>
    </row>
    <row r="10295" spans="8:8" x14ac:dyDescent="0.3">
      <c r="H10295" t="str">
        <f t="shared" si="210"/>
        <v/>
      </c>
    </row>
    <row r="10296" spans="8:8" x14ac:dyDescent="0.3">
      <c r="H10296" t="str">
        <f t="shared" si="210"/>
        <v/>
      </c>
    </row>
    <row r="10297" spans="8:8" x14ac:dyDescent="0.3">
      <c r="H10297" t="str">
        <f t="shared" si="210"/>
        <v/>
      </c>
    </row>
    <row r="10298" spans="8:8" x14ac:dyDescent="0.3">
      <c r="H10298" t="str">
        <f t="shared" si="210"/>
        <v/>
      </c>
    </row>
    <row r="10299" spans="8:8" x14ac:dyDescent="0.3">
      <c r="H10299" t="str">
        <f t="shared" si="210"/>
        <v/>
      </c>
    </row>
    <row r="10300" spans="8:8" x14ac:dyDescent="0.3">
      <c r="H10300" t="str">
        <f t="shared" si="210"/>
        <v/>
      </c>
    </row>
    <row r="10301" spans="8:8" x14ac:dyDescent="0.3">
      <c r="H10301" t="str">
        <f t="shared" si="210"/>
        <v/>
      </c>
    </row>
    <row r="10302" spans="8:8" x14ac:dyDescent="0.3">
      <c r="H10302" t="str">
        <f t="shared" si="210"/>
        <v/>
      </c>
    </row>
    <row r="10303" spans="8:8" x14ac:dyDescent="0.3">
      <c r="H10303" t="str">
        <f t="shared" si="210"/>
        <v/>
      </c>
    </row>
    <row r="10304" spans="8:8" x14ac:dyDescent="0.3">
      <c r="H10304" t="str">
        <f t="shared" si="210"/>
        <v/>
      </c>
    </row>
    <row r="10305" spans="8:8" x14ac:dyDescent="0.3">
      <c r="H10305" t="str">
        <f t="shared" si="210"/>
        <v/>
      </c>
    </row>
    <row r="10306" spans="8:8" x14ac:dyDescent="0.3">
      <c r="H10306" t="str">
        <f t="shared" si="210"/>
        <v/>
      </c>
    </row>
    <row r="10307" spans="8:8" x14ac:dyDescent="0.3">
      <c r="H10307" t="str">
        <f t="shared" si="210"/>
        <v/>
      </c>
    </row>
    <row r="10308" spans="8:8" x14ac:dyDescent="0.3">
      <c r="H10308" t="str">
        <f t="shared" si="210"/>
        <v/>
      </c>
    </row>
    <row r="10309" spans="8:8" x14ac:dyDescent="0.3">
      <c r="H10309" t="str">
        <f t="shared" si="210"/>
        <v/>
      </c>
    </row>
    <row r="10310" spans="8:8" x14ac:dyDescent="0.3">
      <c r="H10310" t="str">
        <f t="shared" si="210"/>
        <v/>
      </c>
    </row>
    <row r="10311" spans="8:8" x14ac:dyDescent="0.3">
      <c r="H10311" t="str">
        <f t="shared" si="210"/>
        <v/>
      </c>
    </row>
    <row r="10312" spans="8:8" x14ac:dyDescent="0.3">
      <c r="H10312" t="str">
        <f t="shared" si="210"/>
        <v/>
      </c>
    </row>
    <row r="10313" spans="8:8" x14ac:dyDescent="0.3">
      <c r="H10313" t="str">
        <f t="shared" si="210"/>
        <v/>
      </c>
    </row>
    <row r="10314" spans="8:8" x14ac:dyDescent="0.3">
      <c r="H10314" t="str">
        <f t="shared" si="210"/>
        <v/>
      </c>
    </row>
    <row r="10315" spans="8:8" x14ac:dyDescent="0.3">
      <c r="H10315" t="str">
        <f t="shared" si="210"/>
        <v/>
      </c>
    </row>
    <row r="10316" spans="8:8" x14ac:dyDescent="0.3">
      <c r="H10316" t="str">
        <f t="shared" si="210"/>
        <v/>
      </c>
    </row>
    <row r="10317" spans="8:8" x14ac:dyDescent="0.3">
      <c r="H10317" t="str">
        <f t="shared" si="210"/>
        <v/>
      </c>
    </row>
    <row r="10318" spans="8:8" x14ac:dyDescent="0.3">
      <c r="H10318" t="str">
        <f t="shared" si="210"/>
        <v/>
      </c>
    </row>
    <row r="10319" spans="8:8" x14ac:dyDescent="0.3">
      <c r="H10319" t="str">
        <f t="shared" si="210"/>
        <v/>
      </c>
    </row>
    <row r="10320" spans="8:8" x14ac:dyDescent="0.3">
      <c r="H10320" t="str">
        <f t="shared" si="210"/>
        <v/>
      </c>
    </row>
    <row r="10321" spans="8:8" x14ac:dyDescent="0.3">
      <c r="H10321" t="str">
        <f t="shared" si="210"/>
        <v/>
      </c>
    </row>
    <row r="10322" spans="8:8" x14ac:dyDescent="0.3">
      <c r="H10322" t="str">
        <f t="shared" si="210"/>
        <v/>
      </c>
    </row>
    <row r="10323" spans="8:8" x14ac:dyDescent="0.3">
      <c r="H10323" t="str">
        <f t="shared" si="210"/>
        <v/>
      </c>
    </row>
    <row r="10324" spans="8:8" x14ac:dyDescent="0.3">
      <c r="H10324" t="str">
        <f t="shared" si="210"/>
        <v/>
      </c>
    </row>
    <row r="10325" spans="8:8" x14ac:dyDescent="0.3">
      <c r="H10325" t="str">
        <f t="shared" si="210"/>
        <v/>
      </c>
    </row>
    <row r="10326" spans="8:8" x14ac:dyDescent="0.3">
      <c r="H10326" t="str">
        <f t="shared" si="210"/>
        <v/>
      </c>
    </row>
    <row r="10327" spans="8:8" x14ac:dyDescent="0.3">
      <c r="H10327" t="str">
        <f t="shared" ref="H10327:H10390" si="211">IF(B10327="","",$C$12)</f>
        <v/>
      </c>
    </row>
    <row r="10328" spans="8:8" x14ac:dyDescent="0.3">
      <c r="H10328" t="str">
        <f t="shared" si="211"/>
        <v/>
      </c>
    </row>
    <row r="10329" spans="8:8" x14ac:dyDescent="0.3">
      <c r="H10329" t="str">
        <f t="shared" si="211"/>
        <v/>
      </c>
    </row>
    <row r="10330" spans="8:8" x14ac:dyDescent="0.3">
      <c r="H10330" t="str">
        <f t="shared" si="211"/>
        <v/>
      </c>
    </row>
    <row r="10331" spans="8:8" x14ac:dyDescent="0.3">
      <c r="H10331" t="str">
        <f t="shared" si="211"/>
        <v/>
      </c>
    </row>
    <row r="10332" spans="8:8" x14ac:dyDescent="0.3">
      <c r="H10332" t="str">
        <f t="shared" si="211"/>
        <v/>
      </c>
    </row>
    <row r="10333" spans="8:8" x14ac:dyDescent="0.3">
      <c r="H10333" t="str">
        <f t="shared" si="211"/>
        <v/>
      </c>
    </row>
    <row r="10334" spans="8:8" x14ac:dyDescent="0.3">
      <c r="H10334" t="str">
        <f t="shared" si="211"/>
        <v/>
      </c>
    </row>
    <row r="10335" spans="8:8" x14ac:dyDescent="0.3">
      <c r="H10335" t="str">
        <f t="shared" si="211"/>
        <v/>
      </c>
    </row>
    <row r="10336" spans="8:8" x14ac:dyDescent="0.3">
      <c r="H10336" t="str">
        <f t="shared" si="211"/>
        <v/>
      </c>
    </row>
    <row r="10337" spans="8:8" x14ac:dyDescent="0.3">
      <c r="H10337" t="str">
        <f t="shared" si="211"/>
        <v/>
      </c>
    </row>
    <row r="10338" spans="8:8" x14ac:dyDescent="0.3">
      <c r="H10338" t="str">
        <f t="shared" si="211"/>
        <v/>
      </c>
    </row>
    <row r="10339" spans="8:8" x14ac:dyDescent="0.3">
      <c r="H10339" t="str">
        <f t="shared" si="211"/>
        <v/>
      </c>
    </row>
    <row r="10340" spans="8:8" x14ac:dyDescent="0.3">
      <c r="H10340" t="str">
        <f t="shared" si="211"/>
        <v/>
      </c>
    </row>
    <row r="10341" spans="8:8" x14ac:dyDescent="0.3">
      <c r="H10341" t="str">
        <f t="shared" si="211"/>
        <v/>
      </c>
    </row>
    <row r="10342" spans="8:8" x14ac:dyDescent="0.3">
      <c r="H10342" t="str">
        <f t="shared" si="211"/>
        <v/>
      </c>
    </row>
    <row r="10343" spans="8:8" x14ac:dyDescent="0.3">
      <c r="H10343" t="str">
        <f t="shared" si="211"/>
        <v/>
      </c>
    </row>
    <row r="10344" spans="8:8" x14ac:dyDescent="0.3">
      <c r="H10344" t="str">
        <f t="shared" si="211"/>
        <v/>
      </c>
    </row>
    <row r="10345" spans="8:8" x14ac:dyDescent="0.3">
      <c r="H10345" t="str">
        <f t="shared" si="211"/>
        <v/>
      </c>
    </row>
    <row r="10346" spans="8:8" x14ac:dyDescent="0.3">
      <c r="H10346" t="str">
        <f t="shared" si="211"/>
        <v/>
      </c>
    </row>
    <row r="10347" spans="8:8" x14ac:dyDescent="0.3">
      <c r="H10347" t="str">
        <f t="shared" si="211"/>
        <v/>
      </c>
    </row>
    <row r="10348" spans="8:8" x14ac:dyDescent="0.3">
      <c r="H10348" t="str">
        <f t="shared" si="211"/>
        <v/>
      </c>
    </row>
    <row r="10349" spans="8:8" x14ac:dyDescent="0.3">
      <c r="H10349" t="str">
        <f t="shared" si="211"/>
        <v/>
      </c>
    </row>
    <row r="10350" spans="8:8" x14ac:dyDescent="0.3">
      <c r="H10350" t="str">
        <f t="shared" si="211"/>
        <v/>
      </c>
    </row>
    <row r="10351" spans="8:8" x14ac:dyDescent="0.3">
      <c r="H10351" t="str">
        <f t="shared" si="211"/>
        <v/>
      </c>
    </row>
    <row r="10352" spans="8:8" x14ac:dyDescent="0.3">
      <c r="H10352" t="str">
        <f t="shared" si="211"/>
        <v/>
      </c>
    </row>
    <row r="10353" spans="8:8" x14ac:dyDescent="0.3">
      <c r="H10353" t="str">
        <f t="shared" si="211"/>
        <v/>
      </c>
    </row>
    <row r="10354" spans="8:8" x14ac:dyDescent="0.3">
      <c r="H10354" t="str">
        <f t="shared" si="211"/>
        <v/>
      </c>
    </row>
    <row r="10355" spans="8:8" x14ac:dyDescent="0.3">
      <c r="H10355" t="str">
        <f t="shared" si="211"/>
        <v/>
      </c>
    </row>
    <row r="10356" spans="8:8" x14ac:dyDescent="0.3">
      <c r="H10356" t="str">
        <f t="shared" si="211"/>
        <v/>
      </c>
    </row>
    <row r="10357" spans="8:8" x14ac:dyDescent="0.3">
      <c r="H10357" t="str">
        <f t="shared" si="211"/>
        <v/>
      </c>
    </row>
    <row r="10358" spans="8:8" x14ac:dyDescent="0.3">
      <c r="H10358" t="str">
        <f t="shared" si="211"/>
        <v/>
      </c>
    </row>
    <row r="10359" spans="8:8" x14ac:dyDescent="0.3">
      <c r="H10359" t="str">
        <f t="shared" si="211"/>
        <v/>
      </c>
    </row>
    <row r="10360" spans="8:8" x14ac:dyDescent="0.3">
      <c r="H10360" t="str">
        <f t="shared" si="211"/>
        <v/>
      </c>
    </row>
    <row r="10361" spans="8:8" x14ac:dyDescent="0.3">
      <c r="H10361" t="str">
        <f t="shared" si="211"/>
        <v/>
      </c>
    </row>
    <row r="10362" spans="8:8" x14ac:dyDescent="0.3">
      <c r="H10362" t="str">
        <f t="shared" si="211"/>
        <v/>
      </c>
    </row>
    <row r="10363" spans="8:8" x14ac:dyDescent="0.3">
      <c r="H10363" t="str">
        <f t="shared" si="211"/>
        <v/>
      </c>
    </row>
    <row r="10364" spans="8:8" x14ac:dyDescent="0.3">
      <c r="H10364" t="str">
        <f t="shared" si="211"/>
        <v/>
      </c>
    </row>
    <row r="10365" spans="8:8" x14ac:dyDescent="0.3">
      <c r="H10365" t="str">
        <f t="shared" si="211"/>
        <v/>
      </c>
    </row>
    <row r="10366" spans="8:8" x14ac:dyDescent="0.3">
      <c r="H10366" t="str">
        <f t="shared" si="211"/>
        <v/>
      </c>
    </row>
    <row r="10367" spans="8:8" x14ac:dyDescent="0.3">
      <c r="H10367" t="str">
        <f t="shared" si="211"/>
        <v/>
      </c>
    </row>
    <row r="10368" spans="8:8" x14ac:dyDescent="0.3">
      <c r="H10368" t="str">
        <f t="shared" si="211"/>
        <v/>
      </c>
    </row>
    <row r="10369" spans="8:8" x14ac:dyDescent="0.3">
      <c r="H10369" t="str">
        <f t="shared" si="211"/>
        <v/>
      </c>
    </row>
    <row r="10370" spans="8:8" x14ac:dyDescent="0.3">
      <c r="H10370" t="str">
        <f t="shared" si="211"/>
        <v/>
      </c>
    </row>
    <row r="10371" spans="8:8" x14ac:dyDescent="0.3">
      <c r="H10371" t="str">
        <f t="shared" si="211"/>
        <v/>
      </c>
    </row>
    <row r="10372" spans="8:8" x14ac:dyDescent="0.3">
      <c r="H10372" t="str">
        <f t="shared" si="211"/>
        <v/>
      </c>
    </row>
    <row r="10373" spans="8:8" x14ac:dyDescent="0.3">
      <c r="H10373" t="str">
        <f t="shared" si="211"/>
        <v/>
      </c>
    </row>
    <row r="10374" spans="8:8" x14ac:dyDescent="0.3">
      <c r="H10374" t="str">
        <f t="shared" si="211"/>
        <v/>
      </c>
    </row>
    <row r="10375" spans="8:8" x14ac:dyDescent="0.3">
      <c r="H10375" t="str">
        <f t="shared" si="211"/>
        <v/>
      </c>
    </row>
    <row r="10376" spans="8:8" x14ac:dyDescent="0.3">
      <c r="H10376" t="str">
        <f t="shared" si="211"/>
        <v/>
      </c>
    </row>
    <row r="10377" spans="8:8" x14ac:dyDescent="0.3">
      <c r="H10377" t="str">
        <f t="shared" si="211"/>
        <v/>
      </c>
    </row>
    <row r="10378" spans="8:8" x14ac:dyDescent="0.3">
      <c r="H10378" t="str">
        <f t="shared" si="211"/>
        <v/>
      </c>
    </row>
    <row r="10379" spans="8:8" x14ac:dyDescent="0.3">
      <c r="H10379" t="str">
        <f t="shared" si="211"/>
        <v/>
      </c>
    </row>
    <row r="10380" spans="8:8" x14ac:dyDescent="0.3">
      <c r="H10380" t="str">
        <f t="shared" si="211"/>
        <v/>
      </c>
    </row>
    <row r="10381" spans="8:8" x14ac:dyDescent="0.3">
      <c r="H10381" t="str">
        <f t="shared" si="211"/>
        <v/>
      </c>
    </row>
    <row r="10382" spans="8:8" x14ac:dyDescent="0.3">
      <c r="H10382" t="str">
        <f t="shared" si="211"/>
        <v/>
      </c>
    </row>
    <row r="10383" spans="8:8" x14ac:dyDescent="0.3">
      <c r="H10383" t="str">
        <f t="shared" si="211"/>
        <v/>
      </c>
    </row>
    <row r="10384" spans="8:8" x14ac:dyDescent="0.3">
      <c r="H10384" t="str">
        <f t="shared" si="211"/>
        <v/>
      </c>
    </row>
    <row r="10385" spans="8:8" x14ac:dyDescent="0.3">
      <c r="H10385" t="str">
        <f t="shared" si="211"/>
        <v/>
      </c>
    </row>
    <row r="10386" spans="8:8" x14ac:dyDescent="0.3">
      <c r="H10386" t="str">
        <f t="shared" si="211"/>
        <v/>
      </c>
    </row>
    <row r="10387" spans="8:8" x14ac:dyDescent="0.3">
      <c r="H10387" t="str">
        <f t="shared" si="211"/>
        <v/>
      </c>
    </row>
    <row r="10388" spans="8:8" x14ac:dyDescent="0.3">
      <c r="H10388" t="str">
        <f t="shared" si="211"/>
        <v/>
      </c>
    </row>
    <row r="10389" spans="8:8" x14ac:dyDescent="0.3">
      <c r="H10389" t="str">
        <f t="shared" si="211"/>
        <v/>
      </c>
    </row>
    <row r="10390" spans="8:8" x14ac:dyDescent="0.3">
      <c r="H10390" t="str">
        <f t="shared" si="211"/>
        <v/>
      </c>
    </row>
    <row r="10391" spans="8:8" x14ac:dyDescent="0.3">
      <c r="H10391" t="str">
        <f t="shared" ref="H10391:H10454" si="212">IF(B10391="","",$C$12)</f>
        <v/>
      </c>
    </row>
    <row r="10392" spans="8:8" x14ac:dyDescent="0.3">
      <c r="H10392" t="str">
        <f t="shared" si="212"/>
        <v/>
      </c>
    </row>
    <row r="10393" spans="8:8" x14ac:dyDescent="0.3">
      <c r="H10393" t="str">
        <f t="shared" si="212"/>
        <v/>
      </c>
    </row>
    <row r="10394" spans="8:8" x14ac:dyDescent="0.3">
      <c r="H10394" t="str">
        <f t="shared" si="212"/>
        <v/>
      </c>
    </row>
    <row r="10395" spans="8:8" x14ac:dyDescent="0.3">
      <c r="H10395" t="str">
        <f t="shared" si="212"/>
        <v/>
      </c>
    </row>
    <row r="10396" spans="8:8" x14ac:dyDescent="0.3">
      <c r="H10396" t="str">
        <f t="shared" si="212"/>
        <v/>
      </c>
    </row>
    <row r="10397" spans="8:8" x14ac:dyDescent="0.3">
      <c r="H10397" t="str">
        <f t="shared" si="212"/>
        <v/>
      </c>
    </row>
    <row r="10398" spans="8:8" x14ac:dyDescent="0.3">
      <c r="H10398" t="str">
        <f t="shared" si="212"/>
        <v/>
      </c>
    </row>
    <row r="10399" spans="8:8" x14ac:dyDescent="0.3">
      <c r="H10399" t="str">
        <f t="shared" si="212"/>
        <v/>
      </c>
    </row>
    <row r="10400" spans="8:8" x14ac:dyDescent="0.3">
      <c r="H10400" t="str">
        <f t="shared" si="212"/>
        <v/>
      </c>
    </row>
    <row r="10401" spans="8:8" x14ac:dyDescent="0.3">
      <c r="H10401" t="str">
        <f t="shared" si="212"/>
        <v/>
      </c>
    </row>
    <row r="10402" spans="8:8" x14ac:dyDescent="0.3">
      <c r="H10402" t="str">
        <f t="shared" si="212"/>
        <v/>
      </c>
    </row>
    <row r="10403" spans="8:8" x14ac:dyDescent="0.3">
      <c r="H10403" t="str">
        <f t="shared" si="212"/>
        <v/>
      </c>
    </row>
    <row r="10404" spans="8:8" x14ac:dyDescent="0.3">
      <c r="H10404" t="str">
        <f t="shared" si="212"/>
        <v/>
      </c>
    </row>
    <row r="10405" spans="8:8" x14ac:dyDescent="0.3">
      <c r="H10405" t="str">
        <f t="shared" si="212"/>
        <v/>
      </c>
    </row>
    <row r="10406" spans="8:8" x14ac:dyDescent="0.3">
      <c r="H10406" t="str">
        <f t="shared" si="212"/>
        <v/>
      </c>
    </row>
    <row r="10407" spans="8:8" x14ac:dyDescent="0.3">
      <c r="H10407" t="str">
        <f t="shared" si="212"/>
        <v/>
      </c>
    </row>
    <row r="10408" spans="8:8" x14ac:dyDescent="0.3">
      <c r="H10408" t="str">
        <f t="shared" si="212"/>
        <v/>
      </c>
    </row>
    <row r="10409" spans="8:8" x14ac:dyDescent="0.3">
      <c r="H10409" t="str">
        <f t="shared" si="212"/>
        <v/>
      </c>
    </row>
    <row r="10410" spans="8:8" x14ac:dyDescent="0.3">
      <c r="H10410" t="str">
        <f t="shared" si="212"/>
        <v/>
      </c>
    </row>
    <row r="10411" spans="8:8" x14ac:dyDescent="0.3">
      <c r="H10411" t="str">
        <f t="shared" si="212"/>
        <v/>
      </c>
    </row>
    <row r="10412" spans="8:8" x14ac:dyDescent="0.3">
      <c r="H10412" t="str">
        <f t="shared" si="212"/>
        <v/>
      </c>
    </row>
    <row r="10413" spans="8:8" x14ac:dyDescent="0.3">
      <c r="H10413" t="str">
        <f t="shared" si="212"/>
        <v/>
      </c>
    </row>
    <row r="10414" spans="8:8" x14ac:dyDescent="0.3">
      <c r="H10414" t="str">
        <f t="shared" si="212"/>
        <v/>
      </c>
    </row>
    <row r="10415" spans="8:8" x14ac:dyDescent="0.3">
      <c r="H10415" t="str">
        <f t="shared" si="212"/>
        <v/>
      </c>
    </row>
    <row r="10416" spans="8:8" x14ac:dyDescent="0.3">
      <c r="H10416" t="str">
        <f t="shared" si="212"/>
        <v/>
      </c>
    </row>
    <row r="10417" spans="8:8" x14ac:dyDescent="0.3">
      <c r="H10417" t="str">
        <f t="shared" si="212"/>
        <v/>
      </c>
    </row>
    <row r="10418" spans="8:8" x14ac:dyDescent="0.3">
      <c r="H10418" t="str">
        <f t="shared" si="212"/>
        <v/>
      </c>
    </row>
    <row r="10419" spans="8:8" x14ac:dyDescent="0.3">
      <c r="H10419" t="str">
        <f t="shared" si="212"/>
        <v/>
      </c>
    </row>
    <row r="10420" spans="8:8" x14ac:dyDescent="0.3">
      <c r="H10420" t="str">
        <f t="shared" si="212"/>
        <v/>
      </c>
    </row>
    <row r="10421" spans="8:8" x14ac:dyDescent="0.3">
      <c r="H10421" t="str">
        <f t="shared" si="212"/>
        <v/>
      </c>
    </row>
    <row r="10422" spans="8:8" x14ac:dyDescent="0.3">
      <c r="H10422" t="str">
        <f t="shared" si="212"/>
        <v/>
      </c>
    </row>
    <row r="10423" spans="8:8" x14ac:dyDescent="0.3">
      <c r="H10423" t="str">
        <f t="shared" si="212"/>
        <v/>
      </c>
    </row>
    <row r="10424" spans="8:8" x14ac:dyDescent="0.3">
      <c r="H10424" t="str">
        <f t="shared" si="212"/>
        <v/>
      </c>
    </row>
    <row r="10425" spans="8:8" x14ac:dyDescent="0.3">
      <c r="H10425" t="str">
        <f t="shared" si="212"/>
        <v/>
      </c>
    </row>
    <row r="10426" spans="8:8" x14ac:dyDescent="0.3">
      <c r="H10426" t="str">
        <f t="shared" si="212"/>
        <v/>
      </c>
    </row>
    <row r="10427" spans="8:8" x14ac:dyDescent="0.3">
      <c r="H10427" t="str">
        <f t="shared" si="212"/>
        <v/>
      </c>
    </row>
    <row r="10428" spans="8:8" x14ac:dyDescent="0.3">
      <c r="H10428" t="str">
        <f t="shared" si="212"/>
        <v/>
      </c>
    </row>
    <row r="10429" spans="8:8" x14ac:dyDescent="0.3">
      <c r="H10429" t="str">
        <f t="shared" si="212"/>
        <v/>
      </c>
    </row>
    <row r="10430" spans="8:8" x14ac:dyDescent="0.3">
      <c r="H10430" t="str">
        <f t="shared" si="212"/>
        <v/>
      </c>
    </row>
    <row r="10431" spans="8:8" x14ac:dyDescent="0.3">
      <c r="H10431" t="str">
        <f t="shared" si="212"/>
        <v/>
      </c>
    </row>
    <row r="10432" spans="8:8" x14ac:dyDescent="0.3">
      <c r="H10432" t="str">
        <f t="shared" si="212"/>
        <v/>
      </c>
    </row>
    <row r="10433" spans="8:8" x14ac:dyDescent="0.3">
      <c r="H10433" t="str">
        <f t="shared" si="212"/>
        <v/>
      </c>
    </row>
    <row r="10434" spans="8:8" x14ac:dyDescent="0.3">
      <c r="H10434" t="str">
        <f t="shared" si="212"/>
        <v/>
      </c>
    </row>
    <row r="10435" spans="8:8" x14ac:dyDescent="0.3">
      <c r="H10435" t="str">
        <f t="shared" si="212"/>
        <v/>
      </c>
    </row>
    <row r="10436" spans="8:8" x14ac:dyDescent="0.3">
      <c r="H10436" t="str">
        <f t="shared" si="212"/>
        <v/>
      </c>
    </row>
    <row r="10437" spans="8:8" x14ac:dyDescent="0.3">
      <c r="H10437" t="str">
        <f t="shared" si="212"/>
        <v/>
      </c>
    </row>
    <row r="10438" spans="8:8" x14ac:dyDescent="0.3">
      <c r="H10438" t="str">
        <f t="shared" si="212"/>
        <v/>
      </c>
    </row>
    <row r="10439" spans="8:8" x14ac:dyDescent="0.3">
      <c r="H10439" t="str">
        <f t="shared" si="212"/>
        <v/>
      </c>
    </row>
    <row r="10440" spans="8:8" x14ac:dyDescent="0.3">
      <c r="H10440" t="str">
        <f t="shared" si="212"/>
        <v/>
      </c>
    </row>
    <row r="10441" spans="8:8" x14ac:dyDescent="0.3">
      <c r="H10441" t="str">
        <f t="shared" si="212"/>
        <v/>
      </c>
    </row>
    <row r="10442" spans="8:8" x14ac:dyDescent="0.3">
      <c r="H10442" t="str">
        <f t="shared" si="212"/>
        <v/>
      </c>
    </row>
    <row r="10443" spans="8:8" x14ac:dyDescent="0.3">
      <c r="H10443" t="str">
        <f t="shared" si="212"/>
        <v/>
      </c>
    </row>
    <row r="10444" spans="8:8" x14ac:dyDescent="0.3">
      <c r="H10444" t="str">
        <f t="shared" si="212"/>
        <v/>
      </c>
    </row>
    <row r="10445" spans="8:8" x14ac:dyDescent="0.3">
      <c r="H10445" t="str">
        <f t="shared" si="212"/>
        <v/>
      </c>
    </row>
    <row r="10446" spans="8:8" x14ac:dyDescent="0.3">
      <c r="H10446" t="str">
        <f t="shared" si="212"/>
        <v/>
      </c>
    </row>
    <row r="10447" spans="8:8" x14ac:dyDescent="0.3">
      <c r="H10447" t="str">
        <f t="shared" si="212"/>
        <v/>
      </c>
    </row>
    <row r="10448" spans="8:8" x14ac:dyDescent="0.3">
      <c r="H10448" t="str">
        <f t="shared" si="212"/>
        <v/>
      </c>
    </row>
    <row r="10449" spans="8:8" x14ac:dyDescent="0.3">
      <c r="H10449" t="str">
        <f t="shared" si="212"/>
        <v/>
      </c>
    </row>
    <row r="10450" spans="8:8" x14ac:dyDescent="0.3">
      <c r="H10450" t="str">
        <f t="shared" si="212"/>
        <v/>
      </c>
    </row>
    <row r="10451" spans="8:8" x14ac:dyDescent="0.3">
      <c r="H10451" t="str">
        <f t="shared" si="212"/>
        <v/>
      </c>
    </row>
    <row r="10452" spans="8:8" x14ac:dyDescent="0.3">
      <c r="H10452" t="str">
        <f t="shared" si="212"/>
        <v/>
      </c>
    </row>
    <row r="10453" spans="8:8" x14ac:dyDescent="0.3">
      <c r="H10453" t="str">
        <f t="shared" si="212"/>
        <v/>
      </c>
    </row>
    <row r="10454" spans="8:8" x14ac:dyDescent="0.3">
      <c r="H10454" t="str">
        <f t="shared" si="212"/>
        <v/>
      </c>
    </row>
    <row r="10455" spans="8:8" x14ac:dyDescent="0.3">
      <c r="H10455" t="str">
        <f t="shared" ref="H10455:H10518" si="213">IF(B10455="","",$C$12)</f>
        <v/>
      </c>
    </row>
    <row r="10456" spans="8:8" x14ac:dyDescent="0.3">
      <c r="H10456" t="str">
        <f t="shared" si="213"/>
        <v/>
      </c>
    </row>
    <row r="10457" spans="8:8" x14ac:dyDescent="0.3">
      <c r="H10457" t="str">
        <f t="shared" si="213"/>
        <v/>
      </c>
    </row>
    <row r="10458" spans="8:8" x14ac:dyDescent="0.3">
      <c r="H10458" t="str">
        <f t="shared" si="213"/>
        <v/>
      </c>
    </row>
    <row r="10459" spans="8:8" x14ac:dyDescent="0.3">
      <c r="H10459" t="str">
        <f t="shared" si="213"/>
        <v/>
      </c>
    </row>
    <row r="10460" spans="8:8" x14ac:dyDescent="0.3">
      <c r="H10460" t="str">
        <f t="shared" si="213"/>
        <v/>
      </c>
    </row>
    <row r="10461" spans="8:8" x14ac:dyDescent="0.3">
      <c r="H10461" t="str">
        <f t="shared" si="213"/>
        <v/>
      </c>
    </row>
    <row r="10462" spans="8:8" x14ac:dyDescent="0.3">
      <c r="H10462" t="str">
        <f t="shared" si="213"/>
        <v/>
      </c>
    </row>
    <row r="10463" spans="8:8" x14ac:dyDescent="0.3">
      <c r="H10463" t="str">
        <f t="shared" si="213"/>
        <v/>
      </c>
    </row>
    <row r="10464" spans="8:8" x14ac:dyDescent="0.3">
      <c r="H10464" t="str">
        <f t="shared" si="213"/>
        <v/>
      </c>
    </row>
    <row r="10465" spans="8:8" x14ac:dyDescent="0.3">
      <c r="H10465" t="str">
        <f t="shared" si="213"/>
        <v/>
      </c>
    </row>
    <row r="10466" spans="8:8" x14ac:dyDescent="0.3">
      <c r="H10466" t="str">
        <f t="shared" si="213"/>
        <v/>
      </c>
    </row>
    <row r="10467" spans="8:8" x14ac:dyDescent="0.3">
      <c r="H10467" t="str">
        <f t="shared" si="213"/>
        <v/>
      </c>
    </row>
    <row r="10468" spans="8:8" x14ac:dyDescent="0.3">
      <c r="H10468" t="str">
        <f t="shared" si="213"/>
        <v/>
      </c>
    </row>
    <row r="10469" spans="8:8" x14ac:dyDescent="0.3">
      <c r="H10469" t="str">
        <f t="shared" si="213"/>
        <v/>
      </c>
    </row>
    <row r="10470" spans="8:8" x14ac:dyDescent="0.3">
      <c r="H10470" t="str">
        <f t="shared" si="213"/>
        <v/>
      </c>
    </row>
    <row r="10471" spans="8:8" x14ac:dyDescent="0.3">
      <c r="H10471" t="str">
        <f t="shared" si="213"/>
        <v/>
      </c>
    </row>
    <row r="10472" spans="8:8" x14ac:dyDescent="0.3">
      <c r="H10472" t="str">
        <f t="shared" si="213"/>
        <v/>
      </c>
    </row>
    <row r="10473" spans="8:8" x14ac:dyDescent="0.3">
      <c r="H10473" t="str">
        <f t="shared" si="213"/>
        <v/>
      </c>
    </row>
    <row r="10474" spans="8:8" x14ac:dyDescent="0.3">
      <c r="H10474" t="str">
        <f t="shared" si="213"/>
        <v/>
      </c>
    </row>
    <row r="10475" spans="8:8" x14ac:dyDescent="0.3">
      <c r="H10475" t="str">
        <f t="shared" si="213"/>
        <v/>
      </c>
    </row>
    <row r="10476" spans="8:8" x14ac:dyDescent="0.3">
      <c r="H10476" t="str">
        <f t="shared" si="213"/>
        <v/>
      </c>
    </row>
    <row r="10477" spans="8:8" x14ac:dyDescent="0.3">
      <c r="H10477" t="str">
        <f t="shared" si="213"/>
        <v/>
      </c>
    </row>
    <row r="10478" spans="8:8" x14ac:dyDescent="0.3">
      <c r="H10478" t="str">
        <f t="shared" si="213"/>
        <v/>
      </c>
    </row>
    <row r="10479" spans="8:8" x14ac:dyDescent="0.3">
      <c r="H10479" t="str">
        <f t="shared" si="213"/>
        <v/>
      </c>
    </row>
    <row r="10480" spans="8:8" x14ac:dyDescent="0.3">
      <c r="H10480" t="str">
        <f t="shared" si="213"/>
        <v/>
      </c>
    </row>
    <row r="10481" spans="8:8" x14ac:dyDescent="0.3">
      <c r="H10481" t="str">
        <f t="shared" si="213"/>
        <v/>
      </c>
    </row>
    <row r="10482" spans="8:8" x14ac:dyDescent="0.3">
      <c r="H10482" t="str">
        <f t="shared" si="213"/>
        <v/>
      </c>
    </row>
    <row r="10483" spans="8:8" x14ac:dyDescent="0.3">
      <c r="H10483" t="str">
        <f t="shared" si="213"/>
        <v/>
      </c>
    </row>
    <row r="10484" spans="8:8" x14ac:dyDescent="0.3">
      <c r="H10484" t="str">
        <f t="shared" si="213"/>
        <v/>
      </c>
    </row>
    <row r="10485" spans="8:8" x14ac:dyDescent="0.3">
      <c r="H10485" t="str">
        <f t="shared" si="213"/>
        <v/>
      </c>
    </row>
    <row r="10486" spans="8:8" x14ac:dyDescent="0.3">
      <c r="H10486" t="str">
        <f t="shared" si="213"/>
        <v/>
      </c>
    </row>
    <row r="10487" spans="8:8" x14ac:dyDescent="0.3">
      <c r="H10487" t="str">
        <f t="shared" si="213"/>
        <v/>
      </c>
    </row>
    <row r="10488" spans="8:8" x14ac:dyDescent="0.3">
      <c r="H10488" t="str">
        <f t="shared" si="213"/>
        <v/>
      </c>
    </row>
    <row r="10489" spans="8:8" x14ac:dyDescent="0.3">
      <c r="H10489" t="str">
        <f t="shared" si="213"/>
        <v/>
      </c>
    </row>
    <row r="10490" spans="8:8" x14ac:dyDescent="0.3">
      <c r="H10490" t="str">
        <f t="shared" si="213"/>
        <v/>
      </c>
    </row>
    <row r="10491" spans="8:8" x14ac:dyDescent="0.3">
      <c r="H10491" t="str">
        <f t="shared" si="213"/>
        <v/>
      </c>
    </row>
    <row r="10492" spans="8:8" x14ac:dyDescent="0.3">
      <c r="H10492" t="str">
        <f t="shared" si="213"/>
        <v/>
      </c>
    </row>
    <row r="10493" spans="8:8" x14ac:dyDescent="0.3">
      <c r="H10493" t="str">
        <f t="shared" si="213"/>
        <v/>
      </c>
    </row>
    <row r="10494" spans="8:8" x14ac:dyDescent="0.3">
      <c r="H10494" t="str">
        <f t="shared" si="213"/>
        <v/>
      </c>
    </row>
    <row r="10495" spans="8:8" x14ac:dyDescent="0.3">
      <c r="H10495" t="str">
        <f t="shared" si="213"/>
        <v/>
      </c>
    </row>
    <row r="10496" spans="8:8" x14ac:dyDescent="0.3">
      <c r="H10496" t="str">
        <f t="shared" si="213"/>
        <v/>
      </c>
    </row>
    <row r="10497" spans="8:8" x14ac:dyDescent="0.3">
      <c r="H10497" t="str">
        <f t="shared" si="213"/>
        <v/>
      </c>
    </row>
    <row r="10498" spans="8:8" x14ac:dyDescent="0.3">
      <c r="H10498" t="str">
        <f t="shared" si="213"/>
        <v/>
      </c>
    </row>
    <row r="10499" spans="8:8" x14ac:dyDescent="0.3">
      <c r="H10499" t="str">
        <f t="shared" si="213"/>
        <v/>
      </c>
    </row>
    <row r="10500" spans="8:8" x14ac:dyDescent="0.3">
      <c r="H10500" t="str">
        <f t="shared" si="213"/>
        <v/>
      </c>
    </row>
    <row r="10501" spans="8:8" x14ac:dyDescent="0.3">
      <c r="H10501" t="str">
        <f t="shared" si="213"/>
        <v/>
      </c>
    </row>
    <row r="10502" spans="8:8" x14ac:dyDescent="0.3">
      <c r="H10502" t="str">
        <f t="shared" si="213"/>
        <v/>
      </c>
    </row>
    <row r="10503" spans="8:8" x14ac:dyDescent="0.3">
      <c r="H10503" t="str">
        <f t="shared" si="213"/>
        <v/>
      </c>
    </row>
    <row r="10504" spans="8:8" x14ac:dyDescent="0.3">
      <c r="H10504" t="str">
        <f t="shared" si="213"/>
        <v/>
      </c>
    </row>
    <row r="10505" spans="8:8" x14ac:dyDescent="0.3">
      <c r="H10505" t="str">
        <f t="shared" si="213"/>
        <v/>
      </c>
    </row>
    <row r="10506" spans="8:8" x14ac:dyDescent="0.3">
      <c r="H10506" t="str">
        <f t="shared" si="213"/>
        <v/>
      </c>
    </row>
    <row r="10507" spans="8:8" x14ac:dyDescent="0.3">
      <c r="H10507" t="str">
        <f t="shared" si="213"/>
        <v/>
      </c>
    </row>
    <row r="10508" spans="8:8" x14ac:dyDescent="0.3">
      <c r="H10508" t="str">
        <f t="shared" si="213"/>
        <v/>
      </c>
    </row>
    <row r="10509" spans="8:8" x14ac:dyDescent="0.3">
      <c r="H10509" t="str">
        <f t="shared" si="213"/>
        <v/>
      </c>
    </row>
    <row r="10510" spans="8:8" x14ac:dyDescent="0.3">
      <c r="H10510" t="str">
        <f t="shared" si="213"/>
        <v/>
      </c>
    </row>
    <row r="10511" spans="8:8" x14ac:dyDescent="0.3">
      <c r="H10511" t="str">
        <f t="shared" si="213"/>
        <v/>
      </c>
    </row>
    <row r="10512" spans="8:8" x14ac:dyDescent="0.3">
      <c r="H10512" t="str">
        <f t="shared" si="213"/>
        <v/>
      </c>
    </row>
    <row r="10513" spans="8:8" x14ac:dyDescent="0.3">
      <c r="H10513" t="str">
        <f t="shared" si="213"/>
        <v/>
      </c>
    </row>
    <row r="10514" spans="8:8" x14ac:dyDescent="0.3">
      <c r="H10514" t="str">
        <f t="shared" si="213"/>
        <v/>
      </c>
    </row>
    <row r="10515" spans="8:8" x14ac:dyDescent="0.3">
      <c r="H10515" t="str">
        <f t="shared" si="213"/>
        <v/>
      </c>
    </row>
    <row r="10516" spans="8:8" x14ac:dyDescent="0.3">
      <c r="H10516" t="str">
        <f t="shared" si="213"/>
        <v/>
      </c>
    </row>
    <row r="10517" spans="8:8" x14ac:dyDescent="0.3">
      <c r="H10517" t="str">
        <f t="shared" si="213"/>
        <v/>
      </c>
    </row>
    <row r="10518" spans="8:8" x14ac:dyDescent="0.3">
      <c r="H10518" t="str">
        <f t="shared" si="213"/>
        <v/>
      </c>
    </row>
    <row r="10519" spans="8:8" x14ac:dyDescent="0.3">
      <c r="H10519" t="str">
        <f t="shared" ref="H10519:H10582" si="214">IF(B10519="","",$C$12)</f>
        <v/>
      </c>
    </row>
    <row r="10520" spans="8:8" x14ac:dyDescent="0.3">
      <c r="H10520" t="str">
        <f t="shared" si="214"/>
        <v/>
      </c>
    </row>
    <row r="10521" spans="8:8" x14ac:dyDescent="0.3">
      <c r="H10521" t="str">
        <f t="shared" si="214"/>
        <v/>
      </c>
    </row>
    <row r="10522" spans="8:8" x14ac:dyDescent="0.3">
      <c r="H10522" t="str">
        <f t="shared" si="214"/>
        <v/>
      </c>
    </row>
    <row r="10523" spans="8:8" x14ac:dyDescent="0.3">
      <c r="H10523" t="str">
        <f t="shared" si="214"/>
        <v/>
      </c>
    </row>
    <row r="10524" spans="8:8" x14ac:dyDescent="0.3">
      <c r="H10524" t="str">
        <f t="shared" si="214"/>
        <v/>
      </c>
    </row>
    <row r="10525" spans="8:8" x14ac:dyDescent="0.3">
      <c r="H10525" t="str">
        <f t="shared" si="214"/>
        <v/>
      </c>
    </row>
    <row r="10526" spans="8:8" x14ac:dyDescent="0.3">
      <c r="H10526" t="str">
        <f t="shared" si="214"/>
        <v/>
      </c>
    </row>
    <row r="10527" spans="8:8" x14ac:dyDescent="0.3">
      <c r="H10527" t="str">
        <f t="shared" si="214"/>
        <v/>
      </c>
    </row>
    <row r="10528" spans="8:8" x14ac:dyDescent="0.3">
      <c r="H10528" t="str">
        <f t="shared" si="214"/>
        <v/>
      </c>
    </row>
    <row r="10529" spans="8:8" x14ac:dyDescent="0.3">
      <c r="H10529" t="str">
        <f t="shared" si="214"/>
        <v/>
      </c>
    </row>
    <row r="10530" spans="8:8" x14ac:dyDescent="0.3">
      <c r="H10530" t="str">
        <f t="shared" si="214"/>
        <v/>
      </c>
    </row>
    <row r="10531" spans="8:8" x14ac:dyDescent="0.3">
      <c r="H10531" t="str">
        <f t="shared" si="214"/>
        <v/>
      </c>
    </row>
    <row r="10532" spans="8:8" x14ac:dyDescent="0.3">
      <c r="H10532" t="str">
        <f t="shared" si="214"/>
        <v/>
      </c>
    </row>
    <row r="10533" spans="8:8" x14ac:dyDescent="0.3">
      <c r="H10533" t="str">
        <f t="shared" si="214"/>
        <v/>
      </c>
    </row>
    <row r="10534" spans="8:8" x14ac:dyDescent="0.3">
      <c r="H10534" t="str">
        <f t="shared" si="214"/>
        <v/>
      </c>
    </row>
    <row r="10535" spans="8:8" x14ac:dyDescent="0.3">
      <c r="H10535" t="str">
        <f t="shared" si="214"/>
        <v/>
      </c>
    </row>
    <row r="10536" spans="8:8" x14ac:dyDescent="0.3">
      <c r="H10536" t="str">
        <f t="shared" si="214"/>
        <v/>
      </c>
    </row>
    <row r="10537" spans="8:8" x14ac:dyDescent="0.3">
      <c r="H10537" t="str">
        <f t="shared" si="214"/>
        <v/>
      </c>
    </row>
    <row r="10538" spans="8:8" x14ac:dyDescent="0.3">
      <c r="H10538" t="str">
        <f t="shared" si="214"/>
        <v/>
      </c>
    </row>
    <row r="10539" spans="8:8" x14ac:dyDescent="0.3">
      <c r="H10539" t="str">
        <f t="shared" si="214"/>
        <v/>
      </c>
    </row>
    <row r="10540" spans="8:8" x14ac:dyDescent="0.3">
      <c r="H10540" t="str">
        <f t="shared" si="214"/>
        <v/>
      </c>
    </row>
    <row r="10541" spans="8:8" x14ac:dyDescent="0.3">
      <c r="H10541" t="str">
        <f t="shared" si="214"/>
        <v/>
      </c>
    </row>
    <row r="10542" spans="8:8" x14ac:dyDescent="0.3">
      <c r="H10542" t="str">
        <f t="shared" si="214"/>
        <v/>
      </c>
    </row>
    <row r="10543" spans="8:8" x14ac:dyDescent="0.3">
      <c r="H10543" t="str">
        <f t="shared" si="214"/>
        <v/>
      </c>
    </row>
    <row r="10544" spans="8:8" x14ac:dyDescent="0.3">
      <c r="H10544" t="str">
        <f t="shared" si="214"/>
        <v/>
      </c>
    </row>
    <row r="10545" spans="8:8" x14ac:dyDescent="0.3">
      <c r="H10545" t="str">
        <f t="shared" si="214"/>
        <v/>
      </c>
    </row>
    <row r="10546" spans="8:8" x14ac:dyDescent="0.3">
      <c r="H10546" t="str">
        <f t="shared" si="214"/>
        <v/>
      </c>
    </row>
    <row r="10547" spans="8:8" x14ac:dyDescent="0.3">
      <c r="H10547" t="str">
        <f t="shared" si="214"/>
        <v/>
      </c>
    </row>
    <row r="10548" spans="8:8" x14ac:dyDescent="0.3">
      <c r="H10548" t="str">
        <f t="shared" si="214"/>
        <v/>
      </c>
    </row>
    <row r="10549" spans="8:8" x14ac:dyDescent="0.3">
      <c r="H10549" t="str">
        <f t="shared" si="214"/>
        <v/>
      </c>
    </row>
    <row r="10550" spans="8:8" x14ac:dyDescent="0.3">
      <c r="H10550" t="str">
        <f t="shared" si="214"/>
        <v/>
      </c>
    </row>
    <row r="10551" spans="8:8" x14ac:dyDescent="0.3">
      <c r="H10551" t="str">
        <f t="shared" si="214"/>
        <v/>
      </c>
    </row>
    <row r="10552" spans="8:8" x14ac:dyDescent="0.3">
      <c r="H10552" t="str">
        <f t="shared" si="214"/>
        <v/>
      </c>
    </row>
    <row r="10553" spans="8:8" x14ac:dyDescent="0.3">
      <c r="H10553" t="str">
        <f t="shared" si="214"/>
        <v/>
      </c>
    </row>
    <row r="10554" spans="8:8" x14ac:dyDescent="0.3">
      <c r="H10554" t="str">
        <f t="shared" si="214"/>
        <v/>
      </c>
    </row>
    <row r="10555" spans="8:8" x14ac:dyDescent="0.3">
      <c r="H10555" t="str">
        <f t="shared" si="214"/>
        <v/>
      </c>
    </row>
    <row r="10556" spans="8:8" x14ac:dyDescent="0.3">
      <c r="H10556" t="str">
        <f t="shared" si="214"/>
        <v/>
      </c>
    </row>
    <row r="10557" spans="8:8" x14ac:dyDescent="0.3">
      <c r="H10557" t="str">
        <f t="shared" si="214"/>
        <v/>
      </c>
    </row>
    <row r="10558" spans="8:8" x14ac:dyDescent="0.3">
      <c r="H10558" t="str">
        <f t="shared" si="214"/>
        <v/>
      </c>
    </row>
    <row r="10559" spans="8:8" x14ac:dyDescent="0.3">
      <c r="H10559" t="str">
        <f t="shared" si="214"/>
        <v/>
      </c>
    </row>
    <row r="10560" spans="8:8" x14ac:dyDescent="0.3">
      <c r="H10560" t="str">
        <f t="shared" si="214"/>
        <v/>
      </c>
    </row>
    <row r="10561" spans="8:8" x14ac:dyDescent="0.3">
      <c r="H10561" t="str">
        <f t="shared" si="214"/>
        <v/>
      </c>
    </row>
    <row r="10562" spans="8:8" x14ac:dyDescent="0.3">
      <c r="H10562" t="str">
        <f t="shared" si="214"/>
        <v/>
      </c>
    </row>
    <row r="10563" spans="8:8" x14ac:dyDescent="0.3">
      <c r="H10563" t="str">
        <f t="shared" si="214"/>
        <v/>
      </c>
    </row>
    <row r="10564" spans="8:8" x14ac:dyDescent="0.3">
      <c r="H10564" t="str">
        <f t="shared" si="214"/>
        <v/>
      </c>
    </row>
    <row r="10565" spans="8:8" x14ac:dyDescent="0.3">
      <c r="H10565" t="str">
        <f t="shared" si="214"/>
        <v/>
      </c>
    </row>
    <row r="10566" spans="8:8" x14ac:dyDescent="0.3">
      <c r="H10566" t="str">
        <f t="shared" si="214"/>
        <v/>
      </c>
    </row>
    <row r="10567" spans="8:8" x14ac:dyDescent="0.3">
      <c r="H10567" t="str">
        <f t="shared" si="214"/>
        <v/>
      </c>
    </row>
    <row r="10568" spans="8:8" x14ac:dyDescent="0.3">
      <c r="H10568" t="str">
        <f t="shared" si="214"/>
        <v/>
      </c>
    </row>
    <row r="10569" spans="8:8" x14ac:dyDescent="0.3">
      <c r="H10569" t="str">
        <f t="shared" si="214"/>
        <v/>
      </c>
    </row>
    <row r="10570" spans="8:8" x14ac:dyDescent="0.3">
      <c r="H10570" t="str">
        <f t="shared" si="214"/>
        <v/>
      </c>
    </row>
    <row r="10571" spans="8:8" x14ac:dyDescent="0.3">
      <c r="H10571" t="str">
        <f t="shared" si="214"/>
        <v/>
      </c>
    </row>
    <row r="10572" spans="8:8" x14ac:dyDescent="0.3">
      <c r="H10572" t="str">
        <f t="shared" si="214"/>
        <v/>
      </c>
    </row>
    <row r="10573" spans="8:8" x14ac:dyDescent="0.3">
      <c r="H10573" t="str">
        <f t="shared" si="214"/>
        <v/>
      </c>
    </row>
    <row r="10574" spans="8:8" x14ac:dyDescent="0.3">
      <c r="H10574" t="str">
        <f t="shared" si="214"/>
        <v/>
      </c>
    </row>
    <row r="10575" spans="8:8" x14ac:dyDescent="0.3">
      <c r="H10575" t="str">
        <f t="shared" si="214"/>
        <v/>
      </c>
    </row>
    <row r="10576" spans="8:8" x14ac:dyDescent="0.3">
      <c r="H10576" t="str">
        <f t="shared" si="214"/>
        <v/>
      </c>
    </row>
    <row r="10577" spans="8:8" x14ac:dyDescent="0.3">
      <c r="H10577" t="str">
        <f t="shared" si="214"/>
        <v/>
      </c>
    </row>
    <row r="10578" spans="8:8" x14ac:dyDescent="0.3">
      <c r="H10578" t="str">
        <f t="shared" si="214"/>
        <v/>
      </c>
    </row>
    <row r="10579" spans="8:8" x14ac:dyDescent="0.3">
      <c r="H10579" t="str">
        <f t="shared" si="214"/>
        <v/>
      </c>
    </row>
    <row r="10580" spans="8:8" x14ac:dyDescent="0.3">
      <c r="H10580" t="str">
        <f t="shared" si="214"/>
        <v/>
      </c>
    </row>
    <row r="10581" spans="8:8" x14ac:dyDescent="0.3">
      <c r="H10581" t="str">
        <f t="shared" si="214"/>
        <v/>
      </c>
    </row>
    <row r="10582" spans="8:8" x14ac:dyDescent="0.3">
      <c r="H10582" t="str">
        <f t="shared" si="214"/>
        <v/>
      </c>
    </row>
    <row r="10583" spans="8:8" x14ac:dyDescent="0.3">
      <c r="H10583" t="str">
        <f t="shared" ref="H10583:H10646" si="215">IF(B10583="","",$C$12)</f>
        <v/>
      </c>
    </row>
    <row r="10584" spans="8:8" x14ac:dyDescent="0.3">
      <c r="H10584" t="str">
        <f t="shared" si="215"/>
        <v/>
      </c>
    </row>
    <row r="10585" spans="8:8" x14ac:dyDescent="0.3">
      <c r="H10585" t="str">
        <f t="shared" si="215"/>
        <v/>
      </c>
    </row>
    <row r="10586" spans="8:8" x14ac:dyDescent="0.3">
      <c r="H10586" t="str">
        <f t="shared" si="215"/>
        <v/>
      </c>
    </row>
    <row r="10587" spans="8:8" x14ac:dyDescent="0.3">
      <c r="H10587" t="str">
        <f t="shared" si="215"/>
        <v/>
      </c>
    </row>
    <row r="10588" spans="8:8" x14ac:dyDescent="0.3">
      <c r="H10588" t="str">
        <f t="shared" si="215"/>
        <v/>
      </c>
    </row>
    <row r="10589" spans="8:8" x14ac:dyDescent="0.3">
      <c r="H10589" t="str">
        <f t="shared" si="215"/>
        <v/>
      </c>
    </row>
    <row r="10590" spans="8:8" x14ac:dyDescent="0.3">
      <c r="H10590" t="str">
        <f t="shared" si="215"/>
        <v/>
      </c>
    </row>
    <row r="10591" spans="8:8" x14ac:dyDescent="0.3">
      <c r="H10591" t="str">
        <f t="shared" si="215"/>
        <v/>
      </c>
    </row>
    <row r="10592" spans="8:8" x14ac:dyDescent="0.3">
      <c r="H10592" t="str">
        <f t="shared" si="215"/>
        <v/>
      </c>
    </row>
    <row r="10593" spans="8:8" x14ac:dyDescent="0.3">
      <c r="H10593" t="str">
        <f t="shared" si="215"/>
        <v/>
      </c>
    </row>
    <row r="10594" spans="8:8" x14ac:dyDescent="0.3">
      <c r="H10594" t="str">
        <f t="shared" si="215"/>
        <v/>
      </c>
    </row>
    <row r="10595" spans="8:8" x14ac:dyDescent="0.3">
      <c r="H10595" t="str">
        <f t="shared" si="215"/>
        <v/>
      </c>
    </row>
    <row r="10596" spans="8:8" x14ac:dyDescent="0.3">
      <c r="H10596" t="str">
        <f t="shared" si="215"/>
        <v/>
      </c>
    </row>
    <row r="10597" spans="8:8" x14ac:dyDescent="0.3">
      <c r="H10597" t="str">
        <f t="shared" si="215"/>
        <v/>
      </c>
    </row>
    <row r="10598" spans="8:8" x14ac:dyDescent="0.3">
      <c r="H10598" t="str">
        <f t="shared" si="215"/>
        <v/>
      </c>
    </row>
    <row r="10599" spans="8:8" x14ac:dyDescent="0.3">
      <c r="H10599" t="str">
        <f t="shared" si="215"/>
        <v/>
      </c>
    </row>
    <row r="10600" spans="8:8" x14ac:dyDescent="0.3">
      <c r="H10600" t="str">
        <f t="shared" si="215"/>
        <v/>
      </c>
    </row>
    <row r="10601" spans="8:8" x14ac:dyDescent="0.3">
      <c r="H10601" t="str">
        <f t="shared" si="215"/>
        <v/>
      </c>
    </row>
    <row r="10602" spans="8:8" x14ac:dyDescent="0.3">
      <c r="H10602" t="str">
        <f t="shared" si="215"/>
        <v/>
      </c>
    </row>
    <row r="10603" spans="8:8" x14ac:dyDescent="0.3">
      <c r="H10603" t="str">
        <f t="shared" si="215"/>
        <v/>
      </c>
    </row>
    <row r="10604" spans="8:8" x14ac:dyDescent="0.3">
      <c r="H10604" t="str">
        <f t="shared" si="215"/>
        <v/>
      </c>
    </row>
    <row r="10605" spans="8:8" x14ac:dyDescent="0.3">
      <c r="H10605" t="str">
        <f t="shared" si="215"/>
        <v/>
      </c>
    </row>
    <row r="10606" spans="8:8" x14ac:dyDescent="0.3">
      <c r="H10606" t="str">
        <f t="shared" si="215"/>
        <v/>
      </c>
    </row>
    <row r="10607" spans="8:8" x14ac:dyDescent="0.3">
      <c r="H10607" t="str">
        <f t="shared" si="215"/>
        <v/>
      </c>
    </row>
    <row r="10608" spans="8:8" x14ac:dyDescent="0.3">
      <c r="H10608" t="str">
        <f t="shared" si="215"/>
        <v/>
      </c>
    </row>
    <row r="10609" spans="8:8" x14ac:dyDescent="0.3">
      <c r="H10609" t="str">
        <f t="shared" si="215"/>
        <v/>
      </c>
    </row>
    <row r="10610" spans="8:8" x14ac:dyDescent="0.3">
      <c r="H10610" t="str">
        <f t="shared" si="215"/>
        <v/>
      </c>
    </row>
    <row r="10611" spans="8:8" x14ac:dyDescent="0.3">
      <c r="H10611" t="str">
        <f t="shared" si="215"/>
        <v/>
      </c>
    </row>
    <row r="10612" spans="8:8" x14ac:dyDescent="0.3">
      <c r="H10612" t="str">
        <f t="shared" si="215"/>
        <v/>
      </c>
    </row>
    <row r="10613" spans="8:8" x14ac:dyDescent="0.3">
      <c r="H10613" t="str">
        <f t="shared" si="215"/>
        <v/>
      </c>
    </row>
    <row r="10614" spans="8:8" x14ac:dyDescent="0.3">
      <c r="H10614" t="str">
        <f t="shared" si="215"/>
        <v/>
      </c>
    </row>
    <row r="10615" spans="8:8" x14ac:dyDescent="0.3">
      <c r="H10615" t="str">
        <f t="shared" si="215"/>
        <v/>
      </c>
    </row>
    <row r="10616" spans="8:8" x14ac:dyDescent="0.3">
      <c r="H10616" t="str">
        <f t="shared" si="215"/>
        <v/>
      </c>
    </row>
    <row r="10617" spans="8:8" x14ac:dyDescent="0.3">
      <c r="H10617" t="str">
        <f t="shared" si="215"/>
        <v/>
      </c>
    </row>
    <row r="10618" spans="8:8" x14ac:dyDescent="0.3">
      <c r="H10618" t="str">
        <f t="shared" si="215"/>
        <v/>
      </c>
    </row>
    <row r="10619" spans="8:8" x14ac:dyDescent="0.3">
      <c r="H10619" t="str">
        <f t="shared" si="215"/>
        <v/>
      </c>
    </row>
    <row r="10620" spans="8:8" x14ac:dyDescent="0.3">
      <c r="H10620" t="str">
        <f t="shared" si="215"/>
        <v/>
      </c>
    </row>
    <row r="10621" spans="8:8" x14ac:dyDescent="0.3">
      <c r="H10621" t="str">
        <f t="shared" si="215"/>
        <v/>
      </c>
    </row>
    <row r="10622" spans="8:8" x14ac:dyDescent="0.3">
      <c r="H10622" t="str">
        <f t="shared" si="215"/>
        <v/>
      </c>
    </row>
    <row r="10623" spans="8:8" x14ac:dyDescent="0.3">
      <c r="H10623" t="str">
        <f t="shared" si="215"/>
        <v/>
      </c>
    </row>
    <row r="10624" spans="8:8" x14ac:dyDescent="0.3">
      <c r="H10624" t="str">
        <f t="shared" si="215"/>
        <v/>
      </c>
    </row>
    <row r="10625" spans="8:8" x14ac:dyDescent="0.3">
      <c r="H10625" t="str">
        <f t="shared" si="215"/>
        <v/>
      </c>
    </row>
    <row r="10626" spans="8:8" x14ac:dyDescent="0.3">
      <c r="H10626" t="str">
        <f t="shared" si="215"/>
        <v/>
      </c>
    </row>
    <row r="10627" spans="8:8" x14ac:dyDescent="0.3">
      <c r="H10627" t="str">
        <f t="shared" si="215"/>
        <v/>
      </c>
    </row>
    <row r="10628" spans="8:8" x14ac:dyDescent="0.3">
      <c r="H10628" t="str">
        <f t="shared" si="215"/>
        <v/>
      </c>
    </row>
    <row r="10629" spans="8:8" x14ac:dyDescent="0.3">
      <c r="H10629" t="str">
        <f t="shared" si="215"/>
        <v/>
      </c>
    </row>
    <row r="10630" spans="8:8" x14ac:dyDescent="0.3">
      <c r="H10630" t="str">
        <f t="shared" si="215"/>
        <v/>
      </c>
    </row>
    <row r="10631" spans="8:8" x14ac:dyDescent="0.3">
      <c r="H10631" t="str">
        <f t="shared" si="215"/>
        <v/>
      </c>
    </row>
    <row r="10632" spans="8:8" x14ac:dyDescent="0.3">
      <c r="H10632" t="str">
        <f t="shared" si="215"/>
        <v/>
      </c>
    </row>
    <row r="10633" spans="8:8" x14ac:dyDescent="0.3">
      <c r="H10633" t="str">
        <f t="shared" si="215"/>
        <v/>
      </c>
    </row>
    <row r="10634" spans="8:8" x14ac:dyDescent="0.3">
      <c r="H10634" t="str">
        <f t="shared" si="215"/>
        <v/>
      </c>
    </row>
    <row r="10635" spans="8:8" x14ac:dyDescent="0.3">
      <c r="H10635" t="str">
        <f t="shared" si="215"/>
        <v/>
      </c>
    </row>
    <row r="10636" spans="8:8" x14ac:dyDescent="0.3">
      <c r="H10636" t="str">
        <f t="shared" si="215"/>
        <v/>
      </c>
    </row>
    <row r="10637" spans="8:8" x14ac:dyDescent="0.3">
      <c r="H10637" t="str">
        <f t="shared" si="215"/>
        <v/>
      </c>
    </row>
    <row r="10638" spans="8:8" x14ac:dyDescent="0.3">
      <c r="H10638" t="str">
        <f t="shared" si="215"/>
        <v/>
      </c>
    </row>
    <row r="10639" spans="8:8" x14ac:dyDescent="0.3">
      <c r="H10639" t="str">
        <f t="shared" si="215"/>
        <v/>
      </c>
    </row>
    <row r="10640" spans="8:8" x14ac:dyDescent="0.3">
      <c r="H10640" t="str">
        <f t="shared" si="215"/>
        <v/>
      </c>
    </row>
    <row r="10641" spans="8:8" x14ac:dyDescent="0.3">
      <c r="H10641" t="str">
        <f t="shared" si="215"/>
        <v/>
      </c>
    </row>
    <row r="10642" spans="8:8" x14ac:dyDescent="0.3">
      <c r="H10642" t="str">
        <f t="shared" si="215"/>
        <v/>
      </c>
    </row>
    <row r="10643" spans="8:8" x14ac:dyDescent="0.3">
      <c r="H10643" t="str">
        <f t="shared" si="215"/>
        <v/>
      </c>
    </row>
    <row r="10644" spans="8:8" x14ac:dyDescent="0.3">
      <c r="H10644" t="str">
        <f t="shared" si="215"/>
        <v/>
      </c>
    </row>
    <row r="10645" spans="8:8" x14ac:dyDescent="0.3">
      <c r="H10645" t="str">
        <f t="shared" si="215"/>
        <v/>
      </c>
    </row>
    <row r="10646" spans="8:8" x14ac:dyDescent="0.3">
      <c r="H10646" t="str">
        <f t="shared" si="215"/>
        <v/>
      </c>
    </row>
    <row r="10647" spans="8:8" x14ac:dyDescent="0.3">
      <c r="H10647" t="str">
        <f t="shared" ref="H10647:H10710" si="216">IF(B10647="","",$C$12)</f>
        <v/>
      </c>
    </row>
    <row r="10648" spans="8:8" x14ac:dyDescent="0.3">
      <c r="H10648" t="str">
        <f t="shared" si="216"/>
        <v/>
      </c>
    </row>
    <row r="10649" spans="8:8" x14ac:dyDescent="0.3">
      <c r="H10649" t="str">
        <f t="shared" si="216"/>
        <v/>
      </c>
    </row>
    <row r="10650" spans="8:8" x14ac:dyDescent="0.3">
      <c r="H10650" t="str">
        <f t="shared" si="216"/>
        <v/>
      </c>
    </row>
    <row r="10651" spans="8:8" x14ac:dyDescent="0.3">
      <c r="H10651" t="str">
        <f t="shared" si="216"/>
        <v/>
      </c>
    </row>
    <row r="10652" spans="8:8" x14ac:dyDescent="0.3">
      <c r="H10652" t="str">
        <f t="shared" si="216"/>
        <v/>
      </c>
    </row>
    <row r="10653" spans="8:8" x14ac:dyDescent="0.3">
      <c r="H10653" t="str">
        <f t="shared" si="216"/>
        <v/>
      </c>
    </row>
    <row r="10654" spans="8:8" x14ac:dyDescent="0.3">
      <c r="H10654" t="str">
        <f t="shared" si="216"/>
        <v/>
      </c>
    </row>
    <row r="10655" spans="8:8" x14ac:dyDescent="0.3">
      <c r="H10655" t="str">
        <f t="shared" si="216"/>
        <v/>
      </c>
    </row>
    <row r="10656" spans="8:8" x14ac:dyDescent="0.3">
      <c r="H10656" t="str">
        <f t="shared" si="216"/>
        <v/>
      </c>
    </row>
    <row r="10657" spans="8:8" x14ac:dyDescent="0.3">
      <c r="H10657" t="str">
        <f t="shared" si="216"/>
        <v/>
      </c>
    </row>
    <row r="10658" spans="8:8" x14ac:dyDescent="0.3">
      <c r="H10658" t="str">
        <f t="shared" si="216"/>
        <v/>
      </c>
    </row>
    <row r="10659" spans="8:8" x14ac:dyDescent="0.3">
      <c r="H10659" t="str">
        <f t="shared" si="216"/>
        <v/>
      </c>
    </row>
    <row r="10660" spans="8:8" x14ac:dyDescent="0.3">
      <c r="H10660" t="str">
        <f t="shared" si="216"/>
        <v/>
      </c>
    </row>
    <row r="10661" spans="8:8" x14ac:dyDescent="0.3">
      <c r="H10661" t="str">
        <f t="shared" si="216"/>
        <v/>
      </c>
    </row>
    <row r="10662" spans="8:8" x14ac:dyDescent="0.3">
      <c r="H10662" t="str">
        <f t="shared" si="216"/>
        <v/>
      </c>
    </row>
    <row r="10663" spans="8:8" x14ac:dyDescent="0.3">
      <c r="H10663" t="str">
        <f t="shared" si="216"/>
        <v/>
      </c>
    </row>
    <row r="10664" spans="8:8" x14ac:dyDescent="0.3">
      <c r="H10664" t="str">
        <f t="shared" si="216"/>
        <v/>
      </c>
    </row>
    <row r="10665" spans="8:8" x14ac:dyDescent="0.3">
      <c r="H10665" t="str">
        <f t="shared" si="216"/>
        <v/>
      </c>
    </row>
    <row r="10666" spans="8:8" x14ac:dyDescent="0.3">
      <c r="H10666" t="str">
        <f t="shared" si="216"/>
        <v/>
      </c>
    </row>
    <row r="10667" spans="8:8" x14ac:dyDescent="0.3">
      <c r="H10667" t="str">
        <f t="shared" si="216"/>
        <v/>
      </c>
    </row>
    <row r="10668" spans="8:8" x14ac:dyDescent="0.3">
      <c r="H10668" t="str">
        <f t="shared" si="216"/>
        <v/>
      </c>
    </row>
    <row r="10669" spans="8:8" x14ac:dyDescent="0.3">
      <c r="H10669" t="str">
        <f t="shared" si="216"/>
        <v/>
      </c>
    </row>
    <row r="10670" spans="8:8" x14ac:dyDescent="0.3">
      <c r="H10670" t="str">
        <f t="shared" si="216"/>
        <v/>
      </c>
    </row>
    <row r="10671" spans="8:8" x14ac:dyDescent="0.3">
      <c r="H10671" t="str">
        <f t="shared" si="216"/>
        <v/>
      </c>
    </row>
    <row r="10672" spans="8:8" x14ac:dyDescent="0.3">
      <c r="H10672" t="str">
        <f t="shared" si="216"/>
        <v/>
      </c>
    </row>
    <row r="10673" spans="8:8" x14ac:dyDescent="0.3">
      <c r="H10673" t="str">
        <f t="shared" si="216"/>
        <v/>
      </c>
    </row>
    <row r="10674" spans="8:8" x14ac:dyDescent="0.3">
      <c r="H10674" t="str">
        <f t="shared" si="216"/>
        <v/>
      </c>
    </row>
    <row r="10675" spans="8:8" x14ac:dyDescent="0.3">
      <c r="H10675" t="str">
        <f t="shared" si="216"/>
        <v/>
      </c>
    </row>
    <row r="10676" spans="8:8" x14ac:dyDescent="0.3">
      <c r="H10676" t="str">
        <f t="shared" si="216"/>
        <v/>
      </c>
    </row>
    <row r="10677" spans="8:8" x14ac:dyDescent="0.3">
      <c r="H10677" t="str">
        <f t="shared" si="216"/>
        <v/>
      </c>
    </row>
    <row r="10678" spans="8:8" x14ac:dyDescent="0.3">
      <c r="H10678" t="str">
        <f t="shared" si="216"/>
        <v/>
      </c>
    </row>
    <row r="10679" spans="8:8" x14ac:dyDescent="0.3">
      <c r="H10679" t="str">
        <f t="shared" si="216"/>
        <v/>
      </c>
    </row>
    <row r="10680" spans="8:8" x14ac:dyDescent="0.3">
      <c r="H10680" t="str">
        <f t="shared" si="216"/>
        <v/>
      </c>
    </row>
    <row r="10681" spans="8:8" x14ac:dyDescent="0.3">
      <c r="H10681" t="str">
        <f t="shared" si="216"/>
        <v/>
      </c>
    </row>
    <row r="10682" spans="8:8" x14ac:dyDescent="0.3">
      <c r="H10682" t="str">
        <f t="shared" si="216"/>
        <v/>
      </c>
    </row>
    <row r="10683" spans="8:8" x14ac:dyDescent="0.3">
      <c r="H10683" t="str">
        <f t="shared" si="216"/>
        <v/>
      </c>
    </row>
    <row r="10684" spans="8:8" x14ac:dyDescent="0.3">
      <c r="H10684" t="str">
        <f t="shared" si="216"/>
        <v/>
      </c>
    </row>
    <row r="10685" spans="8:8" x14ac:dyDescent="0.3">
      <c r="H10685" t="str">
        <f t="shared" si="216"/>
        <v/>
      </c>
    </row>
    <row r="10686" spans="8:8" x14ac:dyDescent="0.3">
      <c r="H10686" t="str">
        <f t="shared" si="216"/>
        <v/>
      </c>
    </row>
    <row r="10687" spans="8:8" x14ac:dyDescent="0.3">
      <c r="H10687" t="str">
        <f t="shared" si="216"/>
        <v/>
      </c>
    </row>
    <row r="10688" spans="8:8" x14ac:dyDescent="0.3">
      <c r="H10688" t="str">
        <f t="shared" si="216"/>
        <v/>
      </c>
    </row>
    <row r="10689" spans="8:8" x14ac:dyDescent="0.3">
      <c r="H10689" t="str">
        <f t="shared" si="216"/>
        <v/>
      </c>
    </row>
    <row r="10690" spans="8:8" x14ac:dyDescent="0.3">
      <c r="H10690" t="str">
        <f t="shared" si="216"/>
        <v/>
      </c>
    </row>
    <row r="10691" spans="8:8" x14ac:dyDescent="0.3">
      <c r="H10691" t="str">
        <f t="shared" si="216"/>
        <v/>
      </c>
    </row>
    <row r="10692" spans="8:8" x14ac:dyDescent="0.3">
      <c r="H10692" t="str">
        <f t="shared" si="216"/>
        <v/>
      </c>
    </row>
    <row r="10693" spans="8:8" x14ac:dyDescent="0.3">
      <c r="H10693" t="str">
        <f t="shared" si="216"/>
        <v/>
      </c>
    </row>
    <row r="10694" spans="8:8" x14ac:dyDescent="0.3">
      <c r="H10694" t="str">
        <f t="shared" si="216"/>
        <v/>
      </c>
    </row>
    <row r="10695" spans="8:8" x14ac:dyDescent="0.3">
      <c r="H10695" t="str">
        <f t="shared" si="216"/>
        <v/>
      </c>
    </row>
    <row r="10696" spans="8:8" x14ac:dyDescent="0.3">
      <c r="H10696" t="str">
        <f t="shared" si="216"/>
        <v/>
      </c>
    </row>
    <row r="10697" spans="8:8" x14ac:dyDescent="0.3">
      <c r="H10697" t="str">
        <f t="shared" si="216"/>
        <v/>
      </c>
    </row>
    <row r="10698" spans="8:8" x14ac:dyDescent="0.3">
      <c r="H10698" t="str">
        <f t="shared" si="216"/>
        <v/>
      </c>
    </row>
    <row r="10699" spans="8:8" x14ac:dyDescent="0.3">
      <c r="H10699" t="str">
        <f t="shared" si="216"/>
        <v/>
      </c>
    </row>
    <row r="10700" spans="8:8" x14ac:dyDescent="0.3">
      <c r="H10700" t="str">
        <f t="shared" si="216"/>
        <v/>
      </c>
    </row>
    <row r="10701" spans="8:8" x14ac:dyDescent="0.3">
      <c r="H10701" t="str">
        <f t="shared" si="216"/>
        <v/>
      </c>
    </row>
    <row r="10702" spans="8:8" x14ac:dyDescent="0.3">
      <c r="H10702" t="str">
        <f t="shared" si="216"/>
        <v/>
      </c>
    </row>
    <row r="10703" spans="8:8" x14ac:dyDescent="0.3">
      <c r="H10703" t="str">
        <f t="shared" si="216"/>
        <v/>
      </c>
    </row>
    <row r="10704" spans="8:8" x14ac:dyDescent="0.3">
      <c r="H10704" t="str">
        <f t="shared" si="216"/>
        <v/>
      </c>
    </row>
    <row r="10705" spans="8:8" x14ac:dyDescent="0.3">
      <c r="H10705" t="str">
        <f t="shared" si="216"/>
        <v/>
      </c>
    </row>
    <row r="10706" spans="8:8" x14ac:dyDescent="0.3">
      <c r="H10706" t="str">
        <f t="shared" si="216"/>
        <v/>
      </c>
    </row>
    <row r="10707" spans="8:8" x14ac:dyDescent="0.3">
      <c r="H10707" t="str">
        <f t="shared" si="216"/>
        <v/>
      </c>
    </row>
    <row r="10708" spans="8:8" x14ac:dyDescent="0.3">
      <c r="H10708" t="str">
        <f t="shared" si="216"/>
        <v/>
      </c>
    </row>
    <row r="10709" spans="8:8" x14ac:dyDescent="0.3">
      <c r="H10709" t="str">
        <f t="shared" si="216"/>
        <v/>
      </c>
    </row>
    <row r="10710" spans="8:8" x14ac:dyDescent="0.3">
      <c r="H10710" t="str">
        <f t="shared" si="216"/>
        <v/>
      </c>
    </row>
    <row r="10711" spans="8:8" x14ac:dyDescent="0.3">
      <c r="H10711" t="str">
        <f t="shared" ref="H10711:H10774" si="217">IF(B10711="","",$C$12)</f>
        <v/>
      </c>
    </row>
    <row r="10712" spans="8:8" x14ac:dyDescent="0.3">
      <c r="H10712" t="str">
        <f t="shared" si="217"/>
        <v/>
      </c>
    </row>
    <row r="10713" spans="8:8" x14ac:dyDescent="0.3">
      <c r="H10713" t="str">
        <f t="shared" si="217"/>
        <v/>
      </c>
    </row>
    <row r="10714" spans="8:8" x14ac:dyDescent="0.3">
      <c r="H10714" t="str">
        <f t="shared" si="217"/>
        <v/>
      </c>
    </row>
    <row r="10715" spans="8:8" x14ac:dyDescent="0.3">
      <c r="H10715" t="str">
        <f t="shared" si="217"/>
        <v/>
      </c>
    </row>
    <row r="10716" spans="8:8" x14ac:dyDescent="0.3">
      <c r="H10716" t="str">
        <f t="shared" si="217"/>
        <v/>
      </c>
    </row>
    <row r="10717" spans="8:8" x14ac:dyDescent="0.3">
      <c r="H10717" t="str">
        <f t="shared" si="217"/>
        <v/>
      </c>
    </row>
    <row r="10718" spans="8:8" x14ac:dyDescent="0.3">
      <c r="H10718" t="str">
        <f t="shared" si="217"/>
        <v/>
      </c>
    </row>
    <row r="10719" spans="8:8" x14ac:dyDescent="0.3">
      <c r="H10719" t="str">
        <f t="shared" si="217"/>
        <v/>
      </c>
    </row>
    <row r="10720" spans="8:8" x14ac:dyDescent="0.3">
      <c r="H10720" t="str">
        <f t="shared" si="217"/>
        <v/>
      </c>
    </row>
    <row r="10721" spans="8:8" x14ac:dyDescent="0.3">
      <c r="H10721" t="str">
        <f t="shared" si="217"/>
        <v/>
      </c>
    </row>
    <row r="10722" spans="8:8" x14ac:dyDescent="0.3">
      <c r="H10722" t="str">
        <f t="shared" si="217"/>
        <v/>
      </c>
    </row>
    <row r="10723" spans="8:8" x14ac:dyDescent="0.3">
      <c r="H10723" t="str">
        <f t="shared" si="217"/>
        <v/>
      </c>
    </row>
    <row r="10724" spans="8:8" x14ac:dyDescent="0.3">
      <c r="H10724" t="str">
        <f t="shared" si="217"/>
        <v/>
      </c>
    </row>
    <row r="10725" spans="8:8" x14ac:dyDescent="0.3">
      <c r="H10725" t="str">
        <f t="shared" si="217"/>
        <v/>
      </c>
    </row>
    <row r="10726" spans="8:8" x14ac:dyDescent="0.3">
      <c r="H10726" t="str">
        <f t="shared" si="217"/>
        <v/>
      </c>
    </row>
    <row r="10727" spans="8:8" x14ac:dyDescent="0.3">
      <c r="H10727" t="str">
        <f t="shared" si="217"/>
        <v/>
      </c>
    </row>
    <row r="10728" spans="8:8" x14ac:dyDescent="0.3">
      <c r="H10728" t="str">
        <f t="shared" si="217"/>
        <v/>
      </c>
    </row>
    <row r="10729" spans="8:8" x14ac:dyDescent="0.3">
      <c r="H10729" t="str">
        <f t="shared" si="217"/>
        <v/>
      </c>
    </row>
    <row r="10730" spans="8:8" x14ac:dyDescent="0.3">
      <c r="H10730" t="str">
        <f t="shared" si="217"/>
        <v/>
      </c>
    </row>
    <row r="10731" spans="8:8" x14ac:dyDescent="0.3">
      <c r="H10731" t="str">
        <f t="shared" si="217"/>
        <v/>
      </c>
    </row>
    <row r="10732" spans="8:8" x14ac:dyDescent="0.3">
      <c r="H10732" t="str">
        <f t="shared" si="217"/>
        <v/>
      </c>
    </row>
    <row r="10733" spans="8:8" x14ac:dyDescent="0.3">
      <c r="H10733" t="str">
        <f t="shared" si="217"/>
        <v/>
      </c>
    </row>
    <row r="10734" spans="8:8" x14ac:dyDescent="0.3">
      <c r="H10734" t="str">
        <f t="shared" si="217"/>
        <v/>
      </c>
    </row>
    <row r="10735" spans="8:8" x14ac:dyDescent="0.3">
      <c r="H10735" t="str">
        <f t="shared" si="217"/>
        <v/>
      </c>
    </row>
    <row r="10736" spans="8:8" x14ac:dyDescent="0.3">
      <c r="H10736" t="str">
        <f t="shared" si="217"/>
        <v/>
      </c>
    </row>
    <row r="10737" spans="8:8" x14ac:dyDescent="0.3">
      <c r="H10737" t="str">
        <f t="shared" si="217"/>
        <v/>
      </c>
    </row>
    <row r="10738" spans="8:8" x14ac:dyDescent="0.3">
      <c r="H10738" t="str">
        <f t="shared" si="217"/>
        <v/>
      </c>
    </row>
    <row r="10739" spans="8:8" x14ac:dyDescent="0.3">
      <c r="H10739" t="str">
        <f t="shared" si="217"/>
        <v/>
      </c>
    </row>
    <row r="10740" spans="8:8" x14ac:dyDescent="0.3">
      <c r="H10740" t="str">
        <f t="shared" si="217"/>
        <v/>
      </c>
    </row>
    <row r="10741" spans="8:8" x14ac:dyDescent="0.3">
      <c r="H10741" t="str">
        <f t="shared" si="217"/>
        <v/>
      </c>
    </row>
    <row r="10742" spans="8:8" x14ac:dyDescent="0.3">
      <c r="H10742" t="str">
        <f t="shared" si="217"/>
        <v/>
      </c>
    </row>
    <row r="10743" spans="8:8" x14ac:dyDescent="0.3">
      <c r="H10743" t="str">
        <f t="shared" si="217"/>
        <v/>
      </c>
    </row>
    <row r="10744" spans="8:8" x14ac:dyDescent="0.3">
      <c r="H10744" t="str">
        <f t="shared" si="217"/>
        <v/>
      </c>
    </row>
    <row r="10745" spans="8:8" x14ac:dyDescent="0.3">
      <c r="H10745" t="str">
        <f t="shared" si="217"/>
        <v/>
      </c>
    </row>
    <row r="10746" spans="8:8" x14ac:dyDescent="0.3">
      <c r="H10746" t="str">
        <f t="shared" si="217"/>
        <v/>
      </c>
    </row>
    <row r="10747" spans="8:8" x14ac:dyDescent="0.3">
      <c r="H10747" t="str">
        <f t="shared" si="217"/>
        <v/>
      </c>
    </row>
    <row r="10748" spans="8:8" x14ac:dyDescent="0.3">
      <c r="H10748" t="str">
        <f t="shared" si="217"/>
        <v/>
      </c>
    </row>
    <row r="10749" spans="8:8" x14ac:dyDescent="0.3">
      <c r="H10749" t="str">
        <f t="shared" si="217"/>
        <v/>
      </c>
    </row>
    <row r="10750" spans="8:8" x14ac:dyDescent="0.3">
      <c r="H10750" t="str">
        <f t="shared" si="217"/>
        <v/>
      </c>
    </row>
    <row r="10751" spans="8:8" x14ac:dyDescent="0.3">
      <c r="H10751" t="str">
        <f t="shared" si="217"/>
        <v/>
      </c>
    </row>
    <row r="10752" spans="8:8" x14ac:dyDescent="0.3">
      <c r="H10752" t="str">
        <f t="shared" si="217"/>
        <v/>
      </c>
    </row>
    <row r="10753" spans="8:8" x14ac:dyDescent="0.3">
      <c r="H10753" t="str">
        <f t="shared" si="217"/>
        <v/>
      </c>
    </row>
    <row r="10754" spans="8:8" x14ac:dyDescent="0.3">
      <c r="H10754" t="str">
        <f t="shared" si="217"/>
        <v/>
      </c>
    </row>
    <row r="10755" spans="8:8" x14ac:dyDescent="0.3">
      <c r="H10755" t="str">
        <f t="shared" si="217"/>
        <v/>
      </c>
    </row>
    <row r="10756" spans="8:8" x14ac:dyDescent="0.3">
      <c r="H10756" t="str">
        <f t="shared" si="217"/>
        <v/>
      </c>
    </row>
    <row r="10757" spans="8:8" x14ac:dyDescent="0.3">
      <c r="H10757" t="str">
        <f t="shared" si="217"/>
        <v/>
      </c>
    </row>
    <row r="10758" spans="8:8" x14ac:dyDescent="0.3">
      <c r="H10758" t="str">
        <f t="shared" si="217"/>
        <v/>
      </c>
    </row>
    <row r="10759" spans="8:8" x14ac:dyDescent="0.3">
      <c r="H10759" t="str">
        <f t="shared" si="217"/>
        <v/>
      </c>
    </row>
    <row r="10760" spans="8:8" x14ac:dyDescent="0.3">
      <c r="H10760" t="str">
        <f t="shared" si="217"/>
        <v/>
      </c>
    </row>
    <row r="10761" spans="8:8" x14ac:dyDescent="0.3">
      <c r="H10761" t="str">
        <f t="shared" si="217"/>
        <v/>
      </c>
    </row>
    <row r="10762" spans="8:8" x14ac:dyDescent="0.3">
      <c r="H10762" t="str">
        <f t="shared" si="217"/>
        <v/>
      </c>
    </row>
    <row r="10763" spans="8:8" x14ac:dyDescent="0.3">
      <c r="H10763" t="str">
        <f t="shared" si="217"/>
        <v/>
      </c>
    </row>
    <row r="10764" spans="8:8" x14ac:dyDescent="0.3">
      <c r="H10764" t="str">
        <f t="shared" si="217"/>
        <v/>
      </c>
    </row>
    <row r="10765" spans="8:8" x14ac:dyDescent="0.3">
      <c r="H10765" t="str">
        <f t="shared" si="217"/>
        <v/>
      </c>
    </row>
    <row r="10766" spans="8:8" x14ac:dyDescent="0.3">
      <c r="H10766" t="str">
        <f t="shared" si="217"/>
        <v/>
      </c>
    </row>
    <row r="10767" spans="8:8" x14ac:dyDescent="0.3">
      <c r="H10767" t="str">
        <f t="shared" si="217"/>
        <v/>
      </c>
    </row>
    <row r="10768" spans="8:8" x14ac:dyDescent="0.3">
      <c r="H10768" t="str">
        <f t="shared" si="217"/>
        <v/>
      </c>
    </row>
    <row r="10769" spans="8:8" x14ac:dyDescent="0.3">
      <c r="H10769" t="str">
        <f t="shared" si="217"/>
        <v/>
      </c>
    </row>
    <row r="10770" spans="8:8" x14ac:dyDescent="0.3">
      <c r="H10770" t="str">
        <f t="shared" si="217"/>
        <v/>
      </c>
    </row>
    <row r="10771" spans="8:8" x14ac:dyDescent="0.3">
      <c r="H10771" t="str">
        <f t="shared" si="217"/>
        <v/>
      </c>
    </row>
    <row r="10772" spans="8:8" x14ac:dyDescent="0.3">
      <c r="H10772" t="str">
        <f t="shared" si="217"/>
        <v/>
      </c>
    </row>
    <row r="10773" spans="8:8" x14ac:dyDescent="0.3">
      <c r="H10773" t="str">
        <f t="shared" si="217"/>
        <v/>
      </c>
    </row>
    <row r="10774" spans="8:8" x14ac:dyDescent="0.3">
      <c r="H10774" t="str">
        <f t="shared" si="217"/>
        <v/>
      </c>
    </row>
    <row r="10775" spans="8:8" x14ac:dyDescent="0.3">
      <c r="H10775" t="str">
        <f t="shared" ref="H10775:H10838" si="218">IF(B10775="","",$C$12)</f>
        <v/>
      </c>
    </row>
    <row r="10776" spans="8:8" x14ac:dyDescent="0.3">
      <c r="H10776" t="str">
        <f t="shared" si="218"/>
        <v/>
      </c>
    </row>
    <row r="10777" spans="8:8" x14ac:dyDescent="0.3">
      <c r="H10777" t="str">
        <f t="shared" si="218"/>
        <v/>
      </c>
    </row>
    <row r="10778" spans="8:8" x14ac:dyDescent="0.3">
      <c r="H10778" t="str">
        <f t="shared" si="218"/>
        <v/>
      </c>
    </row>
    <row r="10779" spans="8:8" x14ac:dyDescent="0.3">
      <c r="H10779" t="str">
        <f t="shared" si="218"/>
        <v/>
      </c>
    </row>
    <row r="10780" spans="8:8" x14ac:dyDescent="0.3">
      <c r="H10780" t="str">
        <f t="shared" si="218"/>
        <v/>
      </c>
    </row>
    <row r="10781" spans="8:8" x14ac:dyDescent="0.3">
      <c r="H10781" t="str">
        <f t="shared" si="218"/>
        <v/>
      </c>
    </row>
    <row r="10782" spans="8:8" x14ac:dyDescent="0.3">
      <c r="H10782" t="str">
        <f t="shared" si="218"/>
        <v/>
      </c>
    </row>
    <row r="10783" spans="8:8" x14ac:dyDescent="0.3">
      <c r="H10783" t="str">
        <f t="shared" si="218"/>
        <v/>
      </c>
    </row>
    <row r="10784" spans="8:8" x14ac:dyDescent="0.3">
      <c r="H10784" t="str">
        <f t="shared" si="218"/>
        <v/>
      </c>
    </row>
    <row r="10785" spans="8:8" x14ac:dyDescent="0.3">
      <c r="H10785" t="str">
        <f t="shared" si="218"/>
        <v/>
      </c>
    </row>
    <row r="10786" spans="8:8" x14ac:dyDescent="0.3">
      <c r="H10786" t="str">
        <f t="shared" si="218"/>
        <v/>
      </c>
    </row>
    <row r="10787" spans="8:8" x14ac:dyDescent="0.3">
      <c r="H10787" t="str">
        <f t="shared" si="218"/>
        <v/>
      </c>
    </row>
    <row r="10788" spans="8:8" x14ac:dyDescent="0.3">
      <c r="H10788" t="str">
        <f t="shared" si="218"/>
        <v/>
      </c>
    </row>
    <row r="10789" spans="8:8" x14ac:dyDescent="0.3">
      <c r="H10789" t="str">
        <f t="shared" si="218"/>
        <v/>
      </c>
    </row>
    <row r="10790" spans="8:8" x14ac:dyDescent="0.3">
      <c r="H10790" t="str">
        <f t="shared" si="218"/>
        <v/>
      </c>
    </row>
    <row r="10791" spans="8:8" x14ac:dyDescent="0.3">
      <c r="H10791" t="str">
        <f t="shared" si="218"/>
        <v/>
      </c>
    </row>
    <row r="10792" spans="8:8" x14ac:dyDescent="0.3">
      <c r="H10792" t="str">
        <f t="shared" si="218"/>
        <v/>
      </c>
    </row>
    <row r="10793" spans="8:8" x14ac:dyDescent="0.3">
      <c r="H10793" t="str">
        <f t="shared" si="218"/>
        <v/>
      </c>
    </row>
    <row r="10794" spans="8:8" x14ac:dyDescent="0.3">
      <c r="H10794" t="str">
        <f t="shared" si="218"/>
        <v/>
      </c>
    </row>
    <row r="10795" spans="8:8" x14ac:dyDescent="0.3">
      <c r="H10795" t="str">
        <f t="shared" si="218"/>
        <v/>
      </c>
    </row>
    <row r="10796" spans="8:8" x14ac:dyDescent="0.3">
      <c r="H10796" t="str">
        <f t="shared" si="218"/>
        <v/>
      </c>
    </row>
    <row r="10797" spans="8:8" x14ac:dyDescent="0.3">
      <c r="H10797" t="str">
        <f t="shared" si="218"/>
        <v/>
      </c>
    </row>
    <row r="10798" spans="8:8" x14ac:dyDescent="0.3">
      <c r="H10798" t="str">
        <f t="shared" si="218"/>
        <v/>
      </c>
    </row>
    <row r="10799" spans="8:8" x14ac:dyDescent="0.3">
      <c r="H10799" t="str">
        <f t="shared" si="218"/>
        <v/>
      </c>
    </row>
    <row r="10800" spans="8:8" x14ac:dyDescent="0.3">
      <c r="H10800" t="str">
        <f t="shared" si="218"/>
        <v/>
      </c>
    </row>
    <row r="10801" spans="8:8" x14ac:dyDescent="0.3">
      <c r="H10801" t="str">
        <f t="shared" si="218"/>
        <v/>
      </c>
    </row>
    <row r="10802" spans="8:8" x14ac:dyDescent="0.3">
      <c r="H10802" t="str">
        <f t="shared" si="218"/>
        <v/>
      </c>
    </row>
    <row r="10803" spans="8:8" x14ac:dyDescent="0.3">
      <c r="H10803" t="str">
        <f t="shared" si="218"/>
        <v/>
      </c>
    </row>
    <row r="10804" spans="8:8" x14ac:dyDescent="0.3">
      <c r="H10804" t="str">
        <f t="shared" si="218"/>
        <v/>
      </c>
    </row>
    <row r="10805" spans="8:8" x14ac:dyDescent="0.3">
      <c r="H10805" t="str">
        <f t="shared" si="218"/>
        <v/>
      </c>
    </row>
    <row r="10806" spans="8:8" x14ac:dyDescent="0.3">
      <c r="H10806" t="str">
        <f t="shared" si="218"/>
        <v/>
      </c>
    </row>
    <row r="10807" spans="8:8" x14ac:dyDescent="0.3">
      <c r="H10807" t="str">
        <f t="shared" si="218"/>
        <v/>
      </c>
    </row>
    <row r="10808" spans="8:8" x14ac:dyDescent="0.3">
      <c r="H10808" t="str">
        <f t="shared" si="218"/>
        <v/>
      </c>
    </row>
    <row r="10809" spans="8:8" x14ac:dyDescent="0.3">
      <c r="H10809" t="str">
        <f t="shared" si="218"/>
        <v/>
      </c>
    </row>
    <row r="10810" spans="8:8" x14ac:dyDescent="0.3">
      <c r="H10810" t="str">
        <f t="shared" si="218"/>
        <v/>
      </c>
    </row>
    <row r="10811" spans="8:8" x14ac:dyDescent="0.3">
      <c r="H10811" t="str">
        <f t="shared" si="218"/>
        <v/>
      </c>
    </row>
    <row r="10812" spans="8:8" x14ac:dyDescent="0.3">
      <c r="H10812" t="str">
        <f t="shared" si="218"/>
        <v/>
      </c>
    </row>
    <row r="10813" spans="8:8" x14ac:dyDescent="0.3">
      <c r="H10813" t="str">
        <f t="shared" si="218"/>
        <v/>
      </c>
    </row>
    <row r="10814" spans="8:8" x14ac:dyDescent="0.3">
      <c r="H10814" t="str">
        <f t="shared" si="218"/>
        <v/>
      </c>
    </row>
    <row r="10815" spans="8:8" x14ac:dyDescent="0.3">
      <c r="H10815" t="str">
        <f t="shared" si="218"/>
        <v/>
      </c>
    </row>
    <row r="10816" spans="8:8" x14ac:dyDescent="0.3">
      <c r="H10816" t="str">
        <f t="shared" si="218"/>
        <v/>
      </c>
    </row>
    <row r="10817" spans="8:8" x14ac:dyDescent="0.3">
      <c r="H10817" t="str">
        <f t="shared" si="218"/>
        <v/>
      </c>
    </row>
    <row r="10818" spans="8:8" x14ac:dyDescent="0.3">
      <c r="H10818" t="str">
        <f t="shared" si="218"/>
        <v/>
      </c>
    </row>
    <row r="10819" spans="8:8" x14ac:dyDescent="0.3">
      <c r="H10819" t="str">
        <f t="shared" si="218"/>
        <v/>
      </c>
    </row>
    <row r="10820" spans="8:8" x14ac:dyDescent="0.3">
      <c r="H10820" t="str">
        <f t="shared" si="218"/>
        <v/>
      </c>
    </row>
    <row r="10821" spans="8:8" x14ac:dyDescent="0.3">
      <c r="H10821" t="str">
        <f t="shared" si="218"/>
        <v/>
      </c>
    </row>
    <row r="10822" spans="8:8" x14ac:dyDescent="0.3">
      <c r="H10822" t="str">
        <f t="shared" si="218"/>
        <v/>
      </c>
    </row>
    <row r="10823" spans="8:8" x14ac:dyDescent="0.3">
      <c r="H10823" t="str">
        <f t="shared" si="218"/>
        <v/>
      </c>
    </row>
    <row r="10824" spans="8:8" x14ac:dyDescent="0.3">
      <c r="H10824" t="str">
        <f t="shared" si="218"/>
        <v/>
      </c>
    </row>
    <row r="10825" spans="8:8" x14ac:dyDescent="0.3">
      <c r="H10825" t="str">
        <f t="shared" si="218"/>
        <v/>
      </c>
    </row>
    <row r="10826" spans="8:8" x14ac:dyDescent="0.3">
      <c r="H10826" t="str">
        <f t="shared" si="218"/>
        <v/>
      </c>
    </row>
    <row r="10827" spans="8:8" x14ac:dyDescent="0.3">
      <c r="H10827" t="str">
        <f t="shared" si="218"/>
        <v/>
      </c>
    </row>
    <row r="10828" spans="8:8" x14ac:dyDescent="0.3">
      <c r="H10828" t="str">
        <f t="shared" si="218"/>
        <v/>
      </c>
    </row>
    <row r="10829" spans="8:8" x14ac:dyDescent="0.3">
      <c r="H10829" t="str">
        <f t="shared" si="218"/>
        <v/>
      </c>
    </row>
    <row r="10830" spans="8:8" x14ac:dyDescent="0.3">
      <c r="H10830" t="str">
        <f t="shared" si="218"/>
        <v/>
      </c>
    </row>
    <row r="10831" spans="8:8" x14ac:dyDescent="0.3">
      <c r="H10831" t="str">
        <f t="shared" si="218"/>
        <v/>
      </c>
    </row>
    <row r="10832" spans="8:8" x14ac:dyDescent="0.3">
      <c r="H10832" t="str">
        <f t="shared" si="218"/>
        <v/>
      </c>
    </row>
    <row r="10833" spans="8:8" x14ac:dyDescent="0.3">
      <c r="H10833" t="str">
        <f t="shared" si="218"/>
        <v/>
      </c>
    </row>
    <row r="10834" spans="8:8" x14ac:dyDescent="0.3">
      <c r="H10834" t="str">
        <f t="shared" si="218"/>
        <v/>
      </c>
    </row>
    <row r="10835" spans="8:8" x14ac:dyDescent="0.3">
      <c r="H10835" t="str">
        <f t="shared" si="218"/>
        <v/>
      </c>
    </row>
    <row r="10836" spans="8:8" x14ac:dyDescent="0.3">
      <c r="H10836" t="str">
        <f t="shared" si="218"/>
        <v/>
      </c>
    </row>
    <row r="10837" spans="8:8" x14ac:dyDescent="0.3">
      <c r="H10837" t="str">
        <f t="shared" si="218"/>
        <v/>
      </c>
    </row>
    <row r="10838" spans="8:8" x14ac:dyDescent="0.3">
      <c r="H10838" t="str">
        <f t="shared" si="218"/>
        <v/>
      </c>
    </row>
    <row r="10839" spans="8:8" x14ac:dyDescent="0.3">
      <c r="H10839" t="str">
        <f t="shared" ref="H10839:H10902" si="219">IF(B10839="","",$C$12)</f>
        <v/>
      </c>
    </row>
    <row r="10840" spans="8:8" x14ac:dyDescent="0.3">
      <c r="H10840" t="str">
        <f t="shared" si="219"/>
        <v/>
      </c>
    </row>
    <row r="10841" spans="8:8" x14ac:dyDescent="0.3">
      <c r="H10841" t="str">
        <f t="shared" si="219"/>
        <v/>
      </c>
    </row>
    <row r="10842" spans="8:8" x14ac:dyDescent="0.3">
      <c r="H10842" t="str">
        <f t="shared" si="219"/>
        <v/>
      </c>
    </row>
    <row r="10843" spans="8:8" x14ac:dyDescent="0.3">
      <c r="H10843" t="str">
        <f t="shared" si="219"/>
        <v/>
      </c>
    </row>
    <row r="10844" spans="8:8" x14ac:dyDescent="0.3">
      <c r="H10844" t="str">
        <f t="shared" si="219"/>
        <v/>
      </c>
    </row>
    <row r="10845" spans="8:8" x14ac:dyDescent="0.3">
      <c r="H10845" t="str">
        <f t="shared" si="219"/>
        <v/>
      </c>
    </row>
    <row r="10846" spans="8:8" x14ac:dyDescent="0.3">
      <c r="H10846" t="str">
        <f t="shared" si="219"/>
        <v/>
      </c>
    </row>
    <row r="10847" spans="8:8" x14ac:dyDescent="0.3">
      <c r="H10847" t="str">
        <f t="shared" si="219"/>
        <v/>
      </c>
    </row>
    <row r="10848" spans="8:8" x14ac:dyDescent="0.3">
      <c r="H10848" t="str">
        <f t="shared" si="219"/>
        <v/>
      </c>
    </row>
    <row r="10849" spans="8:8" x14ac:dyDescent="0.3">
      <c r="H10849" t="str">
        <f t="shared" si="219"/>
        <v/>
      </c>
    </row>
    <row r="10850" spans="8:8" x14ac:dyDescent="0.3">
      <c r="H10850" t="str">
        <f t="shared" si="219"/>
        <v/>
      </c>
    </row>
    <row r="10851" spans="8:8" x14ac:dyDescent="0.3">
      <c r="H10851" t="str">
        <f t="shared" si="219"/>
        <v/>
      </c>
    </row>
    <row r="10852" spans="8:8" x14ac:dyDescent="0.3">
      <c r="H10852" t="str">
        <f t="shared" si="219"/>
        <v/>
      </c>
    </row>
    <row r="10853" spans="8:8" x14ac:dyDescent="0.3">
      <c r="H10853" t="str">
        <f t="shared" si="219"/>
        <v/>
      </c>
    </row>
    <row r="10854" spans="8:8" x14ac:dyDescent="0.3">
      <c r="H10854" t="str">
        <f t="shared" si="219"/>
        <v/>
      </c>
    </row>
    <row r="10855" spans="8:8" x14ac:dyDescent="0.3">
      <c r="H10855" t="str">
        <f t="shared" si="219"/>
        <v/>
      </c>
    </row>
    <row r="10856" spans="8:8" x14ac:dyDescent="0.3">
      <c r="H10856" t="str">
        <f t="shared" si="219"/>
        <v/>
      </c>
    </row>
    <row r="10857" spans="8:8" x14ac:dyDescent="0.3">
      <c r="H10857" t="str">
        <f t="shared" si="219"/>
        <v/>
      </c>
    </row>
    <row r="10858" spans="8:8" x14ac:dyDescent="0.3">
      <c r="H10858" t="str">
        <f t="shared" si="219"/>
        <v/>
      </c>
    </row>
    <row r="10859" spans="8:8" x14ac:dyDescent="0.3">
      <c r="H10859" t="str">
        <f t="shared" si="219"/>
        <v/>
      </c>
    </row>
    <row r="10860" spans="8:8" x14ac:dyDescent="0.3">
      <c r="H10860" t="str">
        <f t="shared" si="219"/>
        <v/>
      </c>
    </row>
    <row r="10861" spans="8:8" x14ac:dyDescent="0.3">
      <c r="H10861" t="str">
        <f t="shared" si="219"/>
        <v/>
      </c>
    </row>
    <row r="10862" spans="8:8" x14ac:dyDescent="0.3">
      <c r="H10862" t="str">
        <f t="shared" si="219"/>
        <v/>
      </c>
    </row>
    <row r="10863" spans="8:8" x14ac:dyDescent="0.3">
      <c r="H10863" t="str">
        <f t="shared" si="219"/>
        <v/>
      </c>
    </row>
    <row r="10864" spans="8:8" x14ac:dyDescent="0.3">
      <c r="H10864" t="str">
        <f t="shared" si="219"/>
        <v/>
      </c>
    </row>
    <row r="10865" spans="8:8" x14ac:dyDescent="0.3">
      <c r="H10865" t="str">
        <f t="shared" si="219"/>
        <v/>
      </c>
    </row>
    <row r="10866" spans="8:8" x14ac:dyDescent="0.3">
      <c r="H10866" t="str">
        <f t="shared" si="219"/>
        <v/>
      </c>
    </row>
    <row r="10867" spans="8:8" x14ac:dyDescent="0.3">
      <c r="H10867" t="str">
        <f t="shared" si="219"/>
        <v/>
      </c>
    </row>
    <row r="10868" spans="8:8" x14ac:dyDescent="0.3">
      <c r="H10868" t="str">
        <f t="shared" si="219"/>
        <v/>
      </c>
    </row>
    <row r="10869" spans="8:8" x14ac:dyDescent="0.3">
      <c r="H10869" t="str">
        <f t="shared" si="219"/>
        <v/>
      </c>
    </row>
    <row r="10870" spans="8:8" x14ac:dyDescent="0.3">
      <c r="H10870" t="str">
        <f t="shared" si="219"/>
        <v/>
      </c>
    </row>
    <row r="10871" spans="8:8" x14ac:dyDescent="0.3">
      <c r="H10871" t="str">
        <f t="shared" si="219"/>
        <v/>
      </c>
    </row>
    <row r="10872" spans="8:8" x14ac:dyDescent="0.3">
      <c r="H10872" t="str">
        <f t="shared" si="219"/>
        <v/>
      </c>
    </row>
    <row r="10873" spans="8:8" x14ac:dyDescent="0.3">
      <c r="H10873" t="str">
        <f t="shared" si="219"/>
        <v/>
      </c>
    </row>
    <row r="10874" spans="8:8" x14ac:dyDescent="0.3">
      <c r="H10874" t="str">
        <f t="shared" si="219"/>
        <v/>
      </c>
    </row>
    <row r="10875" spans="8:8" x14ac:dyDescent="0.3">
      <c r="H10875" t="str">
        <f t="shared" si="219"/>
        <v/>
      </c>
    </row>
    <row r="10876" spans="8:8" x14ac:dyDescent="0.3">
      <c r="H10876" t="str">
        <f t="shared" si="219"/>
        <v/>
      </c>
    </row>
    <row r="10877" spans="8:8" x14ac:dyDescent="0.3">
      <c r="H10877" t="str">
        <f t="shared" si="219"/>
        <v/>
      </c>
    </row>
    <row r="10878" spans="8:8" x14ac:dyDescent="0.3">
      <c r="H10878" t="str">
        <f t="shared" si="219"/>
        <v/>
      </c>
    </row>
    <row r="10879" spans="8:8" x14ac:dyDescent="0.3">
      <c r="H10879" t="str">
        <f t="shared" si="219"/>
        <v/>
      </c>
    </row>
    <row r="10880" spans="8:8" x14ac:dyDescent="0.3">
      <c r="H10880" t="str">
        <f t="shared" si="219"/>
        <v/>
      </c>
    </row>
    <row r="10881" spans="8:8" x14ac:dyDescent="0.3">
      <c r="H10881" t="str">
        <f t="shared" si="219"/>
        <v/>
      </c>
    </row>
    <row r="10882" spans="8:8" x14ac:dyDescent="0.3">
      <c r="H10882" t="str">
        <f t="shared" si="219"/>
        <v/>
      </c>
    </row>
    <row r="10883" spans="8:8" x14ac:dyDescent="0.3">
      <c r="H10883" t="str">
        <f t="shared" si="219"/>
        <v/>
      </c>
    </row>
    <row r="10884" spans="8:8" x14ac:dyDescent="0.3">
      <c r="H10884" t="str">
        <f t="shared" si="219"/>
        <v/>
      </c>
    </row>
    <row r="10885" spans="8:8" x14ac:dyDescent="0.3">
      <c r="H10885" t="str">
        <f t="shared" si="219"/>
        <v/>
      </c>
    </row>
    <row r="10886" spans="8:8" x14ac:dyDescent="0.3">
      <c r="H10886" t="str">
        <f t="shared" si="219"/>
        <v/>
      </c>
    </row>
    <row r="10887" spans="8:8" x14ac:dyDescent="0.3">
      <c r="H10887" t="str">
        <f t="shared" si="219"/>
        <v/>
      </c>
    </row>
    <row r="10888" spans="8:8" x14ac:dyDescent="0.3">
      <c r="H10888" t="str">
        <f t="shared" si="219"/>
        <v/>
      </c>
    </row>
    <row r="10889" spans="8:8" x14ac:dyDescent="0.3">
      <c r="H10889" t="str">
        <f t="shared" si="219"/>
        <v/>
      </c>
    </row>
    <row r="10890" spans="8:8" x14ac:dyDescent="0.3">
      <c r="H10890" t="str">
        <f t="shared" si="219"/>
        <v/>
      </c>
    </row>
    <row r="10891" spans="8:8" x14ac:dyDescent="0.3">
      <c r="H10891" t="str">
        <f t="shared" si="219"/>
        <v/>
      </c>
    </row>
    <row r="10892" spans="8:8" x14ac:dyDescent="0.3">
      <c r="H10892" t="str">
        <f t="shared" si="219"/>
        <v/>
      </c>
    </row>
    <row r="10893" spans="8:8" x14ac:dyDescent="0.3">
      <c r="H10893" t="str">
        <f t="shared" si="219"/>
        <v/>
      </c>
    </row>
    <row r="10894" spans="8:8" x14ac:dyDescent="0.3">
      <c r="H10894" t="str">
        <f t="shared" si="219"/>
        <v/>
      </c>
    </row>
    <row r="10895" spans="8:8" x14ac:dyDescent="0.3">
      <c r="H10895" t="str">
        <f t="shared" si="219"/>
        <v/>
      </c>
    </row>
    <row r="10896" spans="8:8" x14ac:dyDescent="0.3">
      <c r="H10896" t="str">
        <f t="shared" si="219"/>
        <v/>
      </c>
    </row>
    <row r="10897" spans="8:8" x14ac:dyDescent="0.3">
      <c r="H10897" t="str">
        <f t="shared" si="219"/>
        <v/>
      </c>
    </row>
    <row r="10898" spans="8:8" x14ac:dyDescent="0.3">
      <c r="H10898" t="str">
        <f t="shared" si="219"/>
        <v/>
      </c>
    </row>
    <row r="10899" spans="8:8" x14ac:dyDescent="0.3">
      <c r="H10899" t="str">
        <f t="shared" si="219"/>
        <v/>
      </c>
    </row>
    <row r="10900" spans="8:8" x14ac:dyDescent="0.3">
      <c r="H10900" t="str">
        <f t="shared" si="219"/>
        <v/>
      </c>
    </row>
    <row r="10901" spans="8:8" x14ac:dyDescent="0.3">
      <c r="H10901" t="str">
        <f t="shared" si="219"/>
        <v/>
      </c>
    </row>
    <row r="10902" spans="8:8" x14ac:dyDescent="0.3">
      <c r="H10902" t="str">
        <f t="shared" si="219"/>
        <v/>
      </c>
    </row>
    <row r="10903" spans="8:8" x14ac:dyDescent="0.3">
      <c r="H10903" t="str">
        <f t="shared" ref="H10903:H10966" si="220">IF(B10903="","",$C$12)</f>
        <v/>
      </c>
    </row>
    <row r="10904" spans="8:8" x14ac:dyDescent="0.3">
      <c r="H10904" t="str">
        <f t="shared" si="220"/>
        <v/>
      </c>
    </row>
    <row r="10905" spans="8:8" x14ac:dyDescent="0.3">
      <c r="H10905" t="str">
        <f t="shared" si="220"/>
        <v/>
      </c>
    </row>
    <row r="10906" spans="8:8" x14ac:dyDescent="0.3">
      <c r="H10906" t="str">
        <f t="shared" si="220"/>
        <v/>
      </c>
    </row>
    <row r="10907" spans="8:8" x14ac:dyDescent="0.3">
      <c r="H10907" t="str">
        <f t="shared" si="220"/>
        <v/>
      </c>
    </row>
    <row r="10908" spans="8:8" x14ac:dyDescent="0.3">
      <c r="H10908" t="str">
        <f t="shared" si="220"/>
        <v/>
      </c>
    </row>
    <row r="10909" spans="8:8" x14ac:dyDescent="0.3">
      <c r="H10909" t="str">
        <f t="shared" si="220"/>
        <v/>
      </c>
    </row>
    <row r="10910" spans="8:8" x14ac:dyDescent="0.3">
      <c r="H10910" t="str">
        <f t="shared" si="220"/>
        <v/>
      </c>
    </row>
    <row r="10911" spans="8:8" x14ac:dyDescent="0.3">
      <c r="H10911" t="str">
        <f t="shared" si="220"/>
        <v/>
      </c>
    </row>
    <row r="10912" spans="8:8" x14ac:dyDescent="0.3">
      <c r="H10912" t="str">
        <f t="shared" si="220"/>
        <v/>
      </c>
    </row>
    <row r="10913" spans="8:8" x14ac:dyDescent="0.3">
      <c r="H10913" t="str">
        <f t="shared" si="220"/>
        <v/>
      </c>
    </row>
    <row r="10914" spans="8:8" x14ac:dyDescent="0.3">
      <c r="H10914" t="str">
        <f t="shared" si="220"/>
        <v/>
      </c>
    </row>
    <row r="10915" spans="8:8" x14ac:dyDescent="0.3">
      <c r="H10915" t="str">
        <f t="shared" si="220"/>
        <v/>
      </c>
    </row>
    <row r="10916" spans="8:8" x14ac:dyDescent="0.3">
      <c r="H10916" t="str">
        <f t="shared" si="220"/>
        <v/>
      </c>
    </row>
    <row r="10917" spans="8:8" x14ac:dyDescent="0.3">
      <c r="H10917" t="str">
        <f t="shared" si="220"/>
        <v/>
      </c>
    </row>
    <row r="10918" spans="8:8" x14ac:dyDescent="0.3">
      <c r="H10918" t="str">
        <f t="shared" si="220"/>
        <v/>
      </c>
    </row>
    <row r="10919" spans="8:8" x14ac:dyDescent="0.3">
      <c r="H10919" t="str">
        <f t="shared" si="220"/>
        <v/>
      </c>
    </row>
    <row r="10920" spans="8:8" x14ac:dyDescent="0.3">
      <c r="H10920" t="str">
        <f t="shared" si="220"/>
        <v/>
      </c>
    </row>
    <row r="10921" spans="8:8" x14ac:dyDescent="0.3">
      <c r="H10921" t="str">
        <f t="shared" si="220"/>
        <v/>
      </c>
    </row>
    <row r="10922" spans="8:8" x14ac:dyDescent="0.3">
      <c r="H10922" t="str">
        <f t="shared" si="220"/>
        <v/>
      </c>
    </row>
    <row r="10923" spans="8:8" x14ac:dyDescent="0.3">
      <c r="H10923" t="str">
        <f t="shared" si="220"/>
        <v/>
      </c>
    </row>
    <row r="10924" spans="8:8" x14ac:dyDescent="0.3">
      <c r="H10924" t="str">
        <f t="shared" si="220"/>
        <v/>
      </c>
    </row>
    <row r="10925" spans="8:8" x14ac:dyDescent="0.3">
      <c r="H10925" t="str">
        <f t="shared" si="220"/>
        <v/>
      </c>
    </row>
    <row r="10926" spans="8:8" x14ac:dyDescent="0.3">
      <c r="H10926" t="str">
        <f t="shared" si="220"/>
        <v/>
      </c>
    </row>
    <row r="10927" spans="8:8" x14ac:dyDescent="0.3">
      <c r="H10927" t="str">
        <f t="shared" si="220"/>
        <v/>
      </c>
    </row>
    <row r="10928" spans="8:8" x14ac:dyDescent="0.3">
      <c r="H10928" t="str">
        <f t="shared" si="220"/>
        <v/>
      </c>
    </row>
    <row r="10929" spans="8:8" x14ac:dyDescent="0.3">
      <c r="H10929" t="str">
        <f t="shared" si="220"/>
        <v/>
      </c>
    </row>
    <row r="10930" spans="8:8" x14ac:dyDescent="0.3">
      <c r="H10930" t="str">
        <f t="shared" si="220"/>
        <v/>
      </c>
    </row>
    <row r="10931" spans="8:8" x14ac:dyDescent="0.3">
      <c r="H10931" t="str">
        <f t="shared" si="220"/>
        <v/>
      </c>
    </row>
    <row r="10932" spans="8:8" x14ac:dyDescent="0.3">
      <c r="H10932" t="str">
        <f t="shared" si="220"/>
        <v/>
      </c>
    </row>
    <row r="10933" spans="8:8" x14ac:dyDescent="0.3">
      <c r="H10933" t="str">
        <f t="shared" si="220"/>
        <v/>
      </c>
    </row>
    <row r="10934" spans="8:8" x14ac:dyDescent="0.3">
      <c r="H10934" t="str">
        <f t="shared" si="220"/>
        <v/>
      </c>
    </row>
    <row r="10935" spans="8:8" x14ac:dyDescent="0.3">
      <c r="H10935" t="str">
        <f t="shared" si="220"/>
        <v/>
      </c>
    </row>
    <row r="10936" spans="8:8" x14ac:dyDescent="0.3">
      <c r="H10936" t="str">
        <f t="shared" si="220"/>
        <v/>
      </c>
    </row>
    <row r="10937" spans="8:8" x14ac:dyDescent="0.3">
      <c r="H10937" t="str">
        <f t="shared" si="220"/>
        <v/>
      </c>
    </row>
    <row r="10938" spans="8:8" x14ac:dyDescent="0.3">
      <c r="H10938" t="str">
        <f t="shared" si="220"/>
        <v/>
      </c>
    </row>
    <row r="10939" spans="8:8" x14ac:dyDescent="0.3">
      <c r="H10939" t="str">
        <f t="shared" si="220"/>
        <v/>
      </c>
    </row>
    <row r="10940" spans="8:8" x14ac:dyDescent="0.3">
      <c r="H10940" t="str">
        <f t="shared" si="220"/>
        <v/>
      </c>
    </row>
    <row r="10941" spans="8:8" x14ac:dyDescent="0.3">
      <c r="H10941" t="str">
        <f t="shared" si="220"/>
        <v/>
      </c>
    </row>
    <row r="10942" spans="8:8" x14ac:dyDescent="0.3">
      <c r="H10942" t="str">
        <f t="shared" si="220"/>
        <v/>
      </c>
    </row>
    <row r="10943" spans="8:8" x14ac:dyDescent="0.3">
      <c r="H10943" t="str">
        <f t="shared" si="220"/>
        <v/>
      </c>
    </row>
    <row r="10944" spans="8:8" x14ac:dyDescent="0.3">
      <c r="H10944" t="str">
        <f t="shared" si="220"/>
        <v/>
      </c>
    </row>
    <row r="10945" spans="8:8" x14ac:dyDescent="0.3">
      <c r="H10945" t="str">
        <f t="shared" si="220"/>
        <v/>
      </c>
    </row>
    <row r="10946" spans="8:8" x14ac:dyDescent="0.3">
      <c r="H10946" t="str">
        <f t="shared" si="220"/>
        <v/>
      </c>
    </row>
    <row r="10947" spans="8:8" x14ac:dyDescent="0.3">
      <c r="H10947" t="str">
        <f t="shared" si="220"/>
        <v/>
      </c>
    </row>
    <row r="10948" spans="8:8" x14ac:dyDescent="0.3">
      <c r="H10948" t="str">
        <f t="shared" si="220"/>
        <v/>
      </c>
    </row>
    <row r="10949" spans="8:8" x14ac:dyDescent="0.3">
      <c r="H10949" t="str">
        <f t="shared" si="220"/>
        <v/>
      </c>
    </row>
    <row r="10950" spans="8:8" x14ac:dyDescent="0.3">
      <c r="H10950" t="str">
        <f t="shared" si="220"/>
        <v/>
      </c>
    </row>
    <row r="10951" spans="8:8" x14ac:dyDescent="0.3">
      <c r="H10951" t="str">
        <f t="shared" si="220"/>
        <v/>
      </c>
    </row>
    <row r="10952" spans="8:8" x14ac:dyDescent="0.3">
      <c r="H10952" t="str">
        <f t="shared" si="220"/>
        <v/>
      </c>
    </row>
    <row r="10953" spans="8:8" x14ac:dyDescent="0.3">
      <c r="H10953" t="str">
        <f t="shared" si="220"/>
        <v/>
      </c>
    </row>
    <row r="10954" spans="8:8" x14ac:dyDescent="0.3">
      <c r="H10954" t="str">
        <f t="shared" si="220"/>
        <v/>
      </c>
    </row>
    <row r="10955" spans="8:8" x14ac:dyDescent="0.3">
      <c r="H10955" t="str">
        <f t="shared" si="220"/>
        <v/>
      </c>
    </row>
    <row r="10956" spans="8:8" x14ac:dyDescent="0.3">
      <c r="H10956" t="str">
        <f t="shared" si="220"/>
        <v/>
      </c>
    </row>
    <row r="10957" spans="8:8" x14ac:dyDescent="0.3">
      <c r="H10957" t="str">
        <f t="shared" si="220"/>
        <v/>
      </c>
    </row>
    <row r="10958" spans="8:8" x14ac:dyDescent="0.3">
      <c r="H10958" t="str">
        <f t="shared" si="220"/>
        <v/>
      </c>
    </row>
    <row r="10959" spans="8:8" x14ac:dyDescent="0.3">
      <c r="H10959" t="str">
        <f t="shared" si="220"/>
        <v/>
      </c>
    </row>
    <row r="10960" spans="8:8" x14ac:dyDescent="0.3">
      <c r="H10960" t="str">
        <f t="shared" si="220"/>
        <v/>
      </c>
    </row>
    <row r="10961" spans="8:8" x14ac:dyDescent="0.3">
      <c r="H10961" t="str">
        <f t="shared" si="220"/>
        <v/>
      </c>
    </row>
    <row r="10962" spans="8:8" x14ac:dyDescent="0.3">
      <c r="H10962" t="str">
        <f t="shared" si="220"/>
        <v/>
      </c>
    </row>
    <row r="10963" spans="8:8" x14ac:dyDescent="0.3">
      <c r="H10963" t="str">
        <f t="shared" si="220"/>
        <v/>
      </c>
    </row>
    <row r="10964" spans="8:8" x14ac:dyDescent="0.3">
      <c r="H10964" t="str">
        <f t="shared" si="220"/>
        <v/>
      </c>
    </row>
    <row r="10965" spans="8:8" x14ac:dyDescent="0.3">
      <c r="H10965" t="str">
        <f t="shared" si="220"/>
        <v/>
      </c>
    </row>
    <row r="10966" spans="8:8" x14ac:dyDescent="0.3">
      <c r="H10966" t="str">
        <f t="shared" si="220"/>
        <v/>
      </c>
    </row>
    <row r="10967" spans="8:8" x14ac:dyDescent="0.3">
      <c r="H10967" t="str">
        <f t="shared" ref="H10967:H11030" si="221">IF(B10967="","",$C$12)</f>
        <v/>
      </c>
    </row>
    <row r="10968" spans="8:8" x14ac:dyDescent="0.3">
      <c r="H10968" t="str">
        <f t="shared" si="221"/>
        <v/>
      </c>
    </row>
    <row r="10969" spans="8:8" x14ac:dyDescent="0.3">
      <c r="H10969" t="str">
        <f t="shared" si="221"/>
        <v/>
      </c>
    </row>
    <row r="10970" spans="8:8" x14ac:dyDescent="0.3">
      <c r="H10970" t="str">
        <f t="shared" si="221"/>
        <v/>
      </c>
    </row>
    <row r="10971" spans="8:8" x14ac:dyDescent="0.3">
      <c r="H10971" t="str">
        <f t="shared" si="221"/>
        <v/>
      </c>
    </row>
    <row r="10972" spans="8:8" x14ac:dyDescent="0.3">
      <c r="H10972" t="str">
        <f t="shared" si="221"/>
        <v/>
      </c>
    </row>
    <row r="10973" spans="8:8" x14ac:dyDescent="0.3">
      <c r="H10973" t="str">
        <f t="shared" si="221"/>
        <v/>
      </c>
    </row>
    <row r="10974" spans="8:8" x14ac:dyDescent="0.3">
      <c r="H10974" t="str">
        <f t="shared" si="221"/>
        <v/>
      </c>
    </row>
    <row r="10975" spans="8:8" x14ac:dyDescent="0.3">
      <c r="H10975" t="str">
        <f t="shared" si="221"/>
        <v/>
      </c>
    </row>
    <row r="10976" spans="8:8" x14ac:dyDescent="0.3">
      <c r="H10976" t="str">
        <f t="shared" si="221"/>
        <v/>
      </c>
    </row>
    <row r="10977" spans="8:8" x14ac:dyDescent="0.3">
      <c r="H10977" t="str">
        <f t="shared" si="221"/>
        <v/>
      </c>
    </row>
    <row r="10978" spans="8:8" x14ac:dyDescent="0.3">
      <c r="H10978" t="str">
        <f t="shared" si="221"/>
        <v/>
      </c>
    </row>
    <row r="10979" spans="8:8" x14ac:dyDescent="0.3">
      <c r="H10979" t="str">
        <f t="shared" si="221"/>
        <v/>
      </c>
    </row>
    <row r="10980" spans="8:8" x14ac:dyDescent="0.3">
      <c r="H10980" t="str">
        <f t="shared" si="221"/>
        <v/>
      </c>
    </row>
    <row r="10981" spans="8:8" x14ac:dyDescent="0.3">
      <c r="H10981" t="str">
        <f t="shared" si="221"/>
        <v/>
      </c>
    </row>
    <row r="10982" spans="8:8" x14ac:dyDescent="0.3">
      <c r="H10982" t="str">
        <f t="shared" si="221"/>
        <v/>
      </c>
    </row>
    <row r="10983" spans="8:8" x14ac:dyDescent="0.3">
      <c r="H10983" t="str">
        <f t="shared" si="221"/>
        <v/>
      </c>
    </row>
    <row r="10984" spans="8:8" x14ac:dyDescent="0.3">
      <c r="H10984" t="str">
        <f t="shared" si="221"/>
        <v/>
      </c>
    </row>
    <row r="10985" spans="8:8" x14ac:dyDescent="0.3">
      <c r="H10985" t="str">
        <f t="shared" si="221"/>
        <v/>
      </c>
    </row>
    <row r="10986" spans="8:8" x14ac:dyDescent="0.3">
      <c r="H10986" t="str">
        <f t="shared" si="221"/>
        <v/>
      </c>
    </row>
    <row r="10987" spans="8:8" x14ac:dyDescent="0.3">
      <c r="H10987" t="str">
        <f t="shared" si="221"/>
        <v/>
      </c>
    </row>
    <row r="10988" spans="8:8" x14ac:dyDescent="0.3">
      <c r="H10988" t="str">
        <f t="shared" si="221"/>
        <v/>
      </c>
    </row>
    <row r="10989" spans="8:8" x14ac:dyDescent="0.3">
      <c r="H10989" t="str">
        <f t="shared" si="221"/>
        <v/>
      </c>
    </row>
    <row r="10990" spans="8:8" x14ac:dyDescent="0.3">
      <c r="H10990" t="str">
        <f t="shared" si="221"/>
        <v/>
      </c>
    </row>
    <row r="10991" spans="8:8" x14ac:dyDescent="0.3">
      <c r="H10991" t="str">
        <f t="shared" si="221"/>
        <v/>
      </c>
    </row>
    <row r="10992" spans="8:8" x14ac:dyDescent="0.3">
      <c r="H10992" t="str">
        <f t="shared" si="221"/>
        <v/>
      </c>
    </row>
    <row r="10993" spans="8:8" x14ac:dyDescent="0.3">
      <c r="H10993" t="str">
        <f t="shared" si="221"/>
        <v/>
      </c>
    </row>
    <row r="10994" spans="8:8" x14ac:dyDescent="0.3">
      <c r="H10994" t="str">
        <f t="shared" si="221"/>
        <v/>
      </c>
    </row>
    <row r="10995" spans="8:8" x14ac:dyDescent="0.3">
      <c r="H10995" t="str">
        <f t="shared" si="221"/>
        <v/>
      </c>
    </row>
    <row r="10996" spans="8:8" x14ac:dyDescent="0.3">
      <c r="H10996" t="str">
        <f t="shared" si="221"/>
        <v/>
      </c>
    </row>
    <row r="10997" spans="8:8" x14ac:dyDescent="0.3">
      <c r="H10997" t="str">
        <f t="shared" si="221"/>
        <v/>
      </c>
    </row>
    <row r="10998" spans="8:8" x14ac:dyDescent="0.3">
      <c r="H10998" t="str">
        <f t="shared" si="221"/>
        <v/>
      </c>
    </row>
    <row r="10999" spans="8:8" x14ac:dyDescent="0.3">
      <c r="H10999" t="str">
        <f t="shared" si="221"/>
        <v/>
      </c>
    </row>
    <row r="11000" spans="8:8" x14ac:dyDescent="0.3">
      <c r="H11000" t="str">
        <f t="shared" si="221"/>
        <v/>
      </c>
    </row>
    <row r="11001" spans="8:8" x14ac:dyDescent="0.3">
      <c r="H11001" t="str">
        <f t="shared" si="221"/>
        <v/>
      </c>
    </row>
    <row r="11002" spans="8:8" x14ac:dyDescent="0.3">
      <c r="H11002" t="str">
        <f t="shared" si="221"/>
        <v/>
      </c>
    </row>
    <row r="11003" spans="8:8" x14ac:dyDescent="0.3">
      <c r="H11003" t="str">
        <f t="shared" si="221"/>
        <v/>
      </c>
    </row>
    <row r="11004" spans="8:8" x14ac:dyDescent="0.3">
      <c r="H11004" t="str">
        <f t="shared" si="221"/>
        <v/>
      </c>
    </row>
    <row r="11005" spans="8:8" x14ac:dyDescent="0.3">
      <c r="H11005" t="str">
        <f t="shared" si="221"/>
        <v/>
      </c>
    </row>
    <row r="11006" spans="8:8" x14ac:dyDescent="0.3">
      <c r="H11006" t="str">
        <f t="shared" si="221"/>
        <v/>
      </c>
    </row>
    <row r="11007" spans="8:8" x14ac:dyDescent="0.3">
      <c r="H11007" t="str">
        <f t="shared" si="221"/>
        <v/>
      </c>
    </row>
    <row r="11008" spans="8:8" x14ac:dyDescent="0.3">
      <c r="H11008" t="str">
        <f t="shared" si="221"/>
        <v/>
      </c>
    </row>
    <row r="11009" spans="8:8" x14ac:dyDescent="0.3">
      <c r="H11009" t="str">
        <f t="shared" si="221"/>
        <v/>
      </c>
    </row>
    <row r="11010" spans="8:8" x14ac:dyDescent="0.3">
      <c r="H11010" t="str">
        <f t="shared" si="221"/>
        <v/>
      </c>
    </row>
    <row r="11011" spans="8:8" x14ac:dyDescent="0.3">
      <c r="H11011" t="str">
        <f t="shared" si="221"/>
        <v/>
      </c>
    </row>
    <row r="11012" spans="8:8" x14ac:dyDescent="0.3">
      <c r="H11012" t="str">
        <f t="shared" si="221"/>
        <v/>
      </c>
    </row>
    <row r="11013" spans="8:8" x14ac:dyDescent="0.3">
      <c r="H11013" t="str">
        <f t="shared" si="221"/>
        <v/>
      </c>
    </row>
    <row r="11014" spans="8:8" x14ac:dyDescent="0.3">
      <c r="H11014" t="str">
        <f t="shared" si="221"/>
        <v/>
      </c>
    </row>
    <row r="11015" spans="8:8" x14ac:dyDescent="0.3">
      <c r="H11015" t="str">
        <f t="shared" si="221"/>
        <v/>
      </c>
    </row>
    <row r="11016" spans="8:8" x14ac:dyDescent="0.3">
      <c r="H11016" t="str">
        <f t="shared" si="221"/>
        <v/>
      </c>
    </row>
    <row r="11017" spans="8:8" x14ac:dyDescent="0.3">
      <c r="H11017" t="str">
        <f t="shared" si="221"/>
        <v/>
      </c>
    </row>
    <row r="11018" spans="8:8" x14ac:dyDescent="0.3">
      <c r="H11018" t="str">
        <f t="shared" si="221"/>
        <v/>
      </c>
    </row>
    <row r="11019" spans="8:8" x14ac:dyDescent="0.3">
      <c r="H11019" t="str">
        <f t="shared" si="221"/>
        <v/>
      </c>
    </row>
    <row r="11020" spans="8:8" x14ac:dyDescent="0.3">
      <c r="H11020" t="str">
        <f t="shared" si="221"/>
        <v/>
      </c>
    </row>
    <row r="11021" spans="8:8" x14ac:dyDescent="0.3">
      <c r="H11021" t="str">
        <f t="shared" si="221"/>
        <v/>
      </c>
    </row>
    <row r="11022" spans="8:8" x14ac:dyDescent="0.3">
      <c r="H11022" t="str">
        <f t="shared" si="221"/>
        <v/>
      </c>
    </row>
    <row r="11023" spans="8:8" x14ac:dyDescent="0.3">
      <c r="H11023" t="str">
        <f t="shared" si="221"/>
        <v/>
      </c>
    </row>
    <row r="11024" spans="8:8" x14ac:dyDescent="0.3">
      <c r="H11024" t="str">
        <f t="shared" si="221"/>
        <v/>
      </c>
    </row>
    <row r="11025" spans="8:8" x14ac:dyDescent="0.3">
      <c r="H11025" t="str">
        <f t="shared" si="221"/>
        <v/>
      </c>
    </row>
    <row r="11026" spans="8:8" x14ac:dyDescent="0.3">
      <c r="H11026" t="str">
        <f t="shared" si="221"/>
        <v/>
      </c>
    </row>
    <row r="11027" spans="8:8" x14ac:dyDescent="0.3">
      <c r="H11027" t="str">
        <f t="shared" si="221"/>
        <v/>
      </c>
    </row>
    <row r="11028" spans="8:8" x14ac:dyDescent="0.3">
      <c r="H11028" t="str">
        <f t="shared" si="221"/>
        <v/>
      </c>
    </row>
    <row r="11029" spans="8:8" x14ac:dyDescent="0.3">
      <c r="H11029" t="str">
        <f t="shared" si="221"/>
        <v/>
      </c>
    </row>
    <row r="11030" spans="8:8" x14ac:dyDescent="0.3">
      <c r="H11030" t="str">
        <f t="shared" si="221"/>
        <v/>
      </c>
    </row>
    <row r="11031" spans="8:8" x14ac:dyDescent="0.3">
      <c r="H11031" t="str">
        <f t="shared" ref="H11031:H11094" si="222">IF(B11031="","",$C$12)</f>
        <v/>
      </c>
    </row>
    <row r="11032" spans="8:8" x14ac:dyDescent="0.3">
      <c r="H11032" t="str">
        <f t="shared" si="222"/>
        <v/>
      </c>
    </row>
    <row r="11033" spans="8:8" x14ac:dyDescent="0.3">
      <c r="H11033" t="str">
        <f t="shared" si="222"/>
        <v/>
      </c>
    </row>
    <row r="11034" spans="8:8" x14ac:dyDescent="0.3">
      <c r="H11034" t="str">
        <f t="shared" si="222"/>
        <v/>
      </c>
    </row>
    <row r="11035" spans="8:8" x14ac:dyDescent="0.3">
      <c r="H11035" t="str">
        <f t="shared" si="222"/>
        <v/>
      </c>
    </row>
    <row r="11036" spans="8:8" x14ac:dyDescent="0.3">
      <c r="H11036" t="str">
        <f t="shared" si="222"/>
        <v/>
      </c>
    </row>
    <row r="11037" spans="8:8" x14ac:dyDescent="0.3">
      <c r="H11037" t="str">
        <f t="shared" si="222"/>
        <v/>
      </c>
    </row>
    <row r="11038" spans="8:8" x14ac:dyDescent="0.3">
      <c r="H11038" t="str">
        <f t="shared" si="222"/>
        <v/>
      </c>
    </row>
    <row r="11039" spans="8:8" x14ac:dyDescent="0.3">
      <c r="H11039" t="str">
        <f t="shared" si="222"/>
        <v/>
      </c>
    </row>
    <row r="11040" spans="8:8" x14ac:dyDescent="0.3">
      <c r="H11040" t="str">
        <f t="shared" si="222"/>
        <v/>
      </c>
    </row>
    <row r="11041" spans="8:8" x14ac:dyDescent="0.3">
      <c r="H11041" t="str">
        <f t="shared" si="222"/>
        <v/>
      </c>
    </row>
    <row r="11042" spans="8:8" x14ac:dyDescent="0.3">
      <c r="H11042" t="str">
        <f t="shared" si="222"/>
        <v/>
      </c>
    </row>
    <row r="11043" spans="8:8" x14ac:dyDescent="0.3">
      <c r="H11043" t="str">
        <f t="shared" si="222"/>
        <v/>
      </c>
    </row>
    <row r="11044" spans="8:8" x14ac:dyDescent="0.3">
      <c r="H11044" t="str">
        <f t="shared" si="222"/>
        <v/>
      </c>
    </row>
    <row r="11045" spans="8:8" x14ac:dyDescent="0.3">
      <c r="H11045" t="str">
        <f t="shared" si="222"/>
        <v/>
      </c>
    </row>
    <row r="11046" spans="8:8" x14ac:dyDescent="0.3">
      <c r="H11046" t="str">
        <f t="shared" si="222"/>
        <v/>
      </c>
    </row>
    <row r="11047" spans="8:8" x14ac:dyDescent="0.3">
      <c r="H11047" t="str">
        <f t="shared" si="222"/>
        <v/>
      </c>
    </row>
    <row r="11048" spans="8:8" x14ac:dyDescent="0.3">
      <c r="H11048" t="str">
        <f t="shared" si="222"/>
        <v/>
      </c>
    </row>
    <row r="11049" spans="8:8" x14ac:dyDescent="0.3">
      <c r="H11049" t="str">
        <f t="shared" si="222"/>
        <v/>
      </c>
    </row>
    <row r="11050" spans="8:8" x14ac:dyDescent="0.3">
      <c r="H11050" t="str">
        <f t="shared" si="222"/>
        <v/>
      </c>
    </row>
    <row r="11051" spans="8:8" x14ac:dyDescent="0.3">
      <c r="H11051" t="str">
        <f t="shared" si="222"/>
        <v/>
      </c>
    </row>
    <row r="11052" spans="8:8" x14ac:dyDescent="0.3">
      <c r="H11052" t="str">
        <f t="shared" si="222"/>
        <v/>
      </c>
    </row>
    <row r="11053" spans="8:8" x14ac:dyDescent="0.3">
      <c r="H11053" t="str">
        <f t="shared" si="222"/>
        <v/>
      </c>
    </row>
    <row r="11054" spans="8:8" x14ac:dyDescent="0.3">
      <c r="H11054" t="str">
        <f t="shared" si="222"/>
        <v/>
      </c>
    </row>
    <row r="11055" spans="8:8" x14ac:dyDescent="0.3">
      <c r="H11055" t="str">
        <f t="shared" si="222"/>
        <v/>
      </c>
    </row>
    <row r="11056" spans="8:8" x14ac:dyDescent="0.3">
      <c r="H11056" t="str">
        <f t="shared" si="222"/>
        <v/>
      </c>
    </row>
    <row r="11057" spans="8:8" x14ac:dyDescent="0.3">
      <c r="H11057" t="str">
        <f t="shared" si="222"/>
        <v/>
      </c>
    </row>
    <row r="11058" spans="8:8" x14ac:dyDescent="0.3">
      <c r="H11058" t="str">
        <f t="shared" si="222"/>
        <v/>
      </c>
    </row>
    <row r="11059" spans="8:8" x14ac:dyDescent="0.3">
      <c r="H11059" t="str">
        <f t="shared" si="222"/>
        <v/>
      </c>
    </row>
    <row r="11060" spans="8:8" x14ac:dyDescent="0.3">
      <c r="H11060" t="str">
        <f t="shared" si="222"/>
        <v/>
      </c>
    </row>
    <row r="11061" spans="8:8" x14ac:dyDescent="0.3">
      <c r="H11061" t="str">
        <f t="shared" si="222"/>
        <v/>
      </c>
    </row>
    <row r="11062" spans="8:8" x14ac:dyDescent="0.3">
      <c r="H11062" t="str">
        <f t="shared" si="222"/>
        <v/>
      </c>
    </row>
    <row r="11063" spans="8:8" x14ac:dyDescent="0.3">
      <c r="H11063" t="str">
        <f t="shared" si="222"/>
        <v/>
      </c>
    </row>
    <row r="11064" spans="8:8" x14ac:dyDescent="0.3">
      <c r="H11064" t="str">
        <f t="shared" si="222"/>
        <v/>
      </c>
    </row>
    <row r="11065" spans="8:8" x14ac:dyDescent="0.3">
      <c r="H11065" t="str">
        <f t="shared" si="222"/>
        <v/>
      </c>
    </row>
    <row r="11066" spans="8:8" x14ac:dyDescent="0.3">
      <c r="H11066" t="str">
        <f t="shared" si="222"/>
        <v/>
      </c>
    </row>
    <row r="11067" spans="8:8" x14ac:dyDescent="0.3">
      <c r="H11067" t="str">
        <f t="shared" si="222"/>
        <v/>
      </c>
    </row>
    <row r="11068" spans="8:8" x14ac:dyDescent="0.3">
      <c r="H11068" t="str">
        <f t="shared" si="222"/>
        <v/>
      </c>
    </row>
    <row r="11069" spans="8:8" x14ac:dyDescent="0.3">
      <c r="H11069" t="str">
        <f t="shared" si="222"/>
        <v/>
      </c>
    </row>
    <row r="11070" spans="8:8" x14ac:dyDescent="0.3">
      <c r="H11070" t="str">
        <f t="shared" si="222"/>
        <v/>
      </c>
    </row>
    <row r="11071" spans="8:8" x14ac:dyDescent="0.3">
      <c r="H11071" t="str">
        <f t="shared" si="222"/>
        <v/>
      </c>
    </row>
    <row r="11072" spans="8:8" x14ac:dyDescent="0.3">
      <c r="H11072" t="str">
        <f t="shared" si="222"/>
        <v/>
      </c>
    </row>
    <row r="11073" spans="8:8" x14ac:dyDescent="0.3">
      <c r="H11073" t="str">
        <f t="shared" si="222"/>
        <v/>
      </c>
    </row>
    <row r="11074" spans="8:8" x14ac:dyDescent="0.3">
      <c r="H11074" t="str">
        <f t="shared" si="222"/>
        <v/>
      </c>
    </row>
    <row r="11075" spans="8:8" x14ac:dyDescent="0.3">
      <c r="H11075" t="str">
        <f t="shared" si="222"/>
        <v/>
      </c>
    </row>
    <row r="11076" spans="8:8" x14ac:dyDescent="0.3">
      <c r="H11076" t="str">
        <f t="shared" si="222"/>
        <v/>
      </c>
    </row>
    <row r="11077" spans="8:8" x14ac:dyDescent="0.3">
      <c r="H11077" t="str">
        <f t="shared" si="222"/>
        <v/>
      </c>
    </row>
    <row r="11078" spans="8:8" x14ac:dyDescent="0.3">
      <c r="H11078" t="str">
        <f t="shared" si="222"/>
        <v/>
      </c>
    </row>
    <row r="11079" spans="8:8" x14ac:dyDescent="0.3">
      <c r="H11079" t="str">
        <f t="shared" si="222"/>
        <v/>
      </c>
    </row>
    <row r="11080" spans="8:8" x14ac:dyDescent="0.3">
      <c r="H11080" t="str">
        <f t="shared" si="222"/>
        <v/>
      </c>
    </row>
    <row r="11081" spans="8:8" x14ac:dyDescent="0.3">
      <c r="H11081" t="str">
        <f t="shared" si="222"/>
        <v/>
      </c>
    </row>
    <row r="11082" spans="8:8" x14ac:dyDescent="0.3">
      <c r="H11082" t="str">
        <f t="shared" si="222"/>
        <v/>
      </c>
    </row>
    <row r="11083" spans="8:8" x14ac:dyDescent="0.3">
      <c r="H11083" t="str">
        <f t="shared" si="222"/>
        <v/>
      </c>
    </row>
    <row r="11084" spans="8:8" x14ac:dyDescent="0.3">
      <c r="H11084" t="str">
        <f t="shared" si="222"/>
        <v/>
      </c>
    </row>
    <row r="11085" spans="8:8" x14ac:dyDescent="0.3">
      <c r="H11085" t="str">
        <f t="shared" si="222"/>
        <v/>
      </c>
    </row>
    <row r="11086" spans="8:8" x14ac:dyDescent="0.3">
      <c r="H11086" t="str">
        <f t="shared" si="222"/>
        <v/>
      </c>
    </row>
    <row r="11087" spans="8:8" x14ac:dyDescent="0.3">
      <c r="H11087" t="str">
        <f t="shared" si="222"/>
        <v/>
      </c>
    </row>
    <row r="11088" spans="8:8" x14ac:dyDescent="0.3">
      <c r="H11088" t="str">
        <f t="shared" si="222"/>
        <v/>
      </c>
    </row>
    <row r="11089" spans="8:8" x14ac:dyDescent="0.3">
      <c r="H11089" t="str">
        <f t="shared" si="222"/>
        <v/>
      </c>
    </row>
    <row r="11090" spans="8:8" x14ac:dyDescent="0.3">
      <c r="H11090" t="str">
        <f t="shared" si="222"/>
        <v/>
      </c>
    </row>
    <row r="11091" spans="8:8" x14ac:dyDescent="0.3">
      <c r="H11091" t="str">
        <f t="shared" si="222"/>
        <v/>
      </c>
    </row>
    <row r="11092" spans="8:8" x14ac:dyDescent="0.3">
      <c r="H11092" t="str">
        <f t="shared" si="222"/>
        <v/>
      </c>
    </row>
    <row r="11093" spans="8:8" x14ac:dyDescent="0.3">
      <c r="H11093" t="str">
        <f t="shared" si="222"/>
        <v/>
      </c>
    </row>
    <row r="11094" spans="8:8" x14ac:dyDescent="0.3">
      <c r="H11094" t="str">
        <f t="shared" si="222"/>
        <v/>
      </c>
    </row>
    <row r="11095" spans="8:8" x14ac:dyDescent="0.3">
      <c r="H11095" t="str">
        <f t="shared" ref="H11095:H11158" si="223">IF(B11095="","",$C$12)</f>
        <v/>
      </c>
    </row>
    <row r="11096" spans="8:8" x14ac:dyDescent="0.3">
      <c r="H11096" t="str">
        <f t="shared" si="223"/>
        <v/>
      </c>
    </row>
    <row r="11097" spans="8:8" x14ac:dyDescent="0.3">
      <c r="H11097" t="str">
        <f t="shared" si="223"/>
        <v/>
      </c>
    </row>
    <row r="11098" spans="8:8" x14ac:dyDescent="0.3">
      <c r="H11098" t="str">
        <f t="shared" si="223"/>
        <v/>
      </c>
    </row>
    <row r="11099" spans="8:8" x14ac:dyDescent="0.3">
      <c r="H11099" t="str">
        <f t="shared" si="223"/>
        <v/>
      </c>
    </row>
    <row r="11100" spans="8:8" x14ac:dyDescent="0.3">
      <c r="H11100" t="str">
        <f t="shared" si="223"/>
        <v/>
      </c>
    </row>
    <row r="11101" spans="8:8" x14ac:dyDescent="0.3">
      <c r="H11101" t="str">
        <f t="shared" si="223"/>
        <v/>
      </c>
    </row>
    <row r="11102" spans="8:8" x14ac:dyDescent="0.3">
      <c r="H11102" t="str">
        <f t="shared" si="223"/>
        <v/>
      </c>
    </row>
    <row r="11103" spans="8:8" x14ac:dyDescent="0.3">
      <c r="H11103" t="str">
        <f t="shared" si="223"/>
        <v/>
      </c>
    </row>
    <row r="11104" spans="8:8" x14ac:dyDescent="0.3">
      <c r="H11104" t="str">
        <f t="shared" si="223"/>
        <v/>
      </c>
    </row>
    <row r="11105" spans="8:8" x14ac:dyDescent="0.3">
      <c r="H11105" t="str">
        <f t="shared" si="223"/>
        <v/>
      </c>
    </row>
    <row r="11106" spans="8:8" x14ac:dyDescent="0.3">
      <c r="H11106" t="str">
        <f t="shared" si="223"/>
        <v/>
      </c>
    </row>
    <row r="11107" spans="8:8" x14ac:dyDescent="0.3">
      <c r="H11107" t="str">
        <f t="shared" si="223"/>
        <v/>
      </c>
    </row>
    <row r="11108" spans="8:8" x14ac:dyDescent="0.3">
      <c r="H11108" t="str">
        <f t="shared" si="223"/>
        <v/>
      </c>
    </row>
    <row r="11109" spans="8:8" x14ac:dyDescent="0.3">
      <c r="H11109" t="str">
        <f t="shared" si="223"/>
        <v/>
      </c>
    </row>
    <row r="11110" spans="8:8" x14ac:dyDescent="0.3">
      <c r="H11110" t="str">
        <f t="shared" si="223"/>
        <v/>
      </c>
    </row>
    <row r="11111" spans="8:8" x14ac:dyDescent="0.3">
      <c r="H11111" t="str">
        <f t="shared" si="223"/>
        <v/>
      </c>
    </row>
    <row r="11112" spans="8:8" x14ac:dyDescent="0.3">
      <c r="H11112" t="str">
        <f t="shared" si="223"/>
        <v/>
      </c>
    </row>
    <row r="11113" spans="8:8" x14ac:dyDescent="0.3">
      <c r="H11113" t="str">
        <f t="shared" si="223"/>
        <v/>
      </c>
    </row>
    <row r="11114" spans="8:8" x14ac:dyDescent="0.3">
      <c r="H11114" t="str">
        <f t="shared" si="223"/>
        <v/>
      </c>
    </row>
    <row r="11115" spans="8:8" x14ac:dyDescent="0.3">
      <c r="H11115" t="str">
        <f t="shared" si="223"/>
        <v/>
      </c>
    </row>
    <row r="11116" spans="8:8" x14ac:dyDescent="0.3">
      <c r="H11116" t="str">
        <f t="shared" si="223"/>
        <v/>
      </c>
    </row>
    <row r="11117" spans="8:8" x14ac:dyDescent="0.3">
      <c r="H11117" t="str">
        <f t="shared" si="223"/>
        <v/>
      </c>
    </row>
    <row r="11118" spans="8:8" x14ac:dyDescent="0.3">
      <c r="H11118" t="str">
        <f t="shared" si="223"/>
        <v/>
      </c>
    </row>
    <row r="11119" spans="8:8" x14ac:dyDescent="0.3">
      <c r="H11119" t="str">
        <f t="shared" si="223"/>
        <v/>
      </c>
    </row>
    <row r="11120" spans="8:8" x14ac:dyDescent="0.3">
      <c r="H11120" t="str">
        <f t="shared" si="223"/>
        <v/>
      </c>
    </row>
    <row r="11121" spans="8:8" x14ac:dyDescent="0.3">
      <c r="H11121" t="str">
        <f t="shared" si="223"/>
        <v/>
      </c>
    </row>
    <row r="11122" spans="8:8" x14ac:dyDescent="0.3">
      <c r="H11122" t="str">
        <f t="shared" si="223"/>
        <v/>
      </c>
    </row>
    <row r="11123" spans="8:8" x14ac:dyDescent="0.3">
      <c r="H11123" t="str">
        <f t="shared" si="223"/>
        <v/>
      </c>
    </row>
    <row r="11124" spans="8:8" x14ac:dyDescent="0.3">
      <c r="H11124" t="str">
        <f t="shared" si="223"/>
        <v/>
      </c>
    </row>
    <row r="11125" spans="8:8" x14ac:dyDescent="0.3">
      <c r="H11125" t="str">
        <f t="shared" si="223"/>
        <v/>
      </c>
    </row>
    <row r="11126" spans="8:8" x14ac:dyDescent="0.3">
      <c r="H11126" t="str">
        <f t="shared" si="223"/>
        <v/>
      </c>
    </row>
    <row r="11127" spans="8:8" x14ac:dyDescent="0.3">
      <c r="H11127" t="str">
        <f t="shared" si="223"/>
        <v/>
      </c>
    </row>
    <row r="11128" spans="8:8" x14ac:dyDescent="0.3">
      <c r="H11128" t="str">
        <f t="shared" si="223"/>
        <v/>
      </c>
    </row>
    <row r="11129" spans="8:8" x14ac:dyDescent="0.3">
      <c r="H11129" t="str">
        <f t="shared" si="223"/>
        <v/>
      </c>
    </row>
    <row r="11130" spans="8:8" x14ac:dyDescent="0.3">
      <c r="H11130" t="str">
        <f t="shared" si="223"/>
        <v/>
      </c>
    </row>
    <row r="11131" spans="8:8" x14ac:dyDescent="0.3">
      <c r="H11131" t="str">
        <f t="shared" si="223"/>
        <v/>
      </c>
    </row>
    <row r="11132" spans="8:8" x14ac:dyDescent="0.3">
      <c r="H11132" t="str">
        <f t="shared" si="223"/>
        <v/>
      </c>
    </row>
    <row r="11133" spans="8:8" x14ac:dyDescent="0.3">
      <c r="H11133" t="str">
        <f t="shared" si="223"/>
        <v/>
      </c>
    </row>
    <row r="11134" spans="8:8" x14ac:dyDescent="0.3">
      <c r="H11134" t="str">
        <f t="shared" si="223"/>
        <v/>
      </c>
    </row>
    <row r="11135" spans="8:8" x14ac:dyDescent="0.3">
      <c r="H11135" t="str">
        <f t="shared" si="223"/>
        <v/>
      </c>
    </row>
    <row r="11136" spans="8:8" x14ac:dyDescent="0.3">
      <c r="H11136" t="str">
        <f t="shared" si="223"/>
        <v/>
      </c>
    </row>
    <row r="11137" spans="8:8" x14ac:dyDescent="0.3">
      <c r="H11137" t="str">
        <f t="shared" si="223"/>
        <v/>
      </c>
    </row>
    <row r="11138" spans="8:8" x14ac:dyDescent="0.3">
      <c r="H11138" t="str">
        <f t="shared" si="223"/>
        <v/>
      </c>
    </row>
    <row r="11139" spans="8:8" x14ac:dyDescent="0.3">
      <c r="H11139" t="str">
        <f t="shared" si="223"/>
        <v/>
      </c>
    </row>
    <row r="11140" spans="8:8" x14ac:dyDescent="0.3">
      <c r="H11140" t="str">
        <f t="shared" si="223"/>
        <v/>
      </c>
    </row>
    <row r="11141" spans="8:8" x14ac:dyDescent="0.3">
      <c r="H11141" t="str">
        <f t="shared" si="223"/>
        <v/>
      </c>
    </row>
    <row r="11142" spans="8:8" x14ac:dyDescent="0.3">
      <c r="H11142" t="str">
        <f t="shared" si="223"/>
        <v/>
      </c>
    </row>
    <row r="11143" spans="8:8" x14ac:dyDescent="0.3">
      <c r="H11143" t="str">
        <f t="shared" si="223"/>
        <v/>
      </c>
    </row>
    <row r="11144" spans="8:8" x14ac:dyDescent="0.3">
      <c r="H11144" t="str">
        <f t="shared" si="223"/>
        <v/>
      </c>
    </row>
    <row r="11145" spans="8:8" x14ac:dyDescent="0.3">
      <c r="H11145" t="str">
        <f t="shared" si="223"/>
        <v/>
      </c>
    </row>
    <row r="11146" spans="8:8" x14ac:dyDescent="0.3">
      <c r="H11146" t="str">
        <f t="shared" si="223"/>
        <v/>
      </c>
    </row>
    <row r="11147" spans="8:8" x14ac:dyDescent="0.3">
      <c r="H11147" t="str">
        <f t="shared" si="223"/>
        <v/>
      </c>
    </row>
    <row r="11148" spans="8:8" x14ac:dyDescent="0.3">
      <c r="H11148" t="str">
        <f t="shared" si="223"/>
        <v/>
      </c>
    </row>
    <row r="11149" spans="8:8" x14ac:dyDescent="0.3">
      <c r="H11149" t="str">
        <f t="shared" si="223"/>
        <v/>
      </c>
    </row>
    <row r="11150" spans="8:8" x14ac:dyDescent="0.3">
      <c r="H11150" t="str">
        <f t="shared" si="223"/>
        <v/>
      </c>
    </row>
    <row r="11151" spans="8:8" x14ac:dyDescent="0.3">
      <c r="H11151" t="str">
        <f t="shared" si="223"/>
        <v/>
      </c>
    </row>
    <row r="11152" spans="8:8" x14ac:dyDescent="0.3">
      <c r="H11152" t="str">
        <f t="shared" si="223"/>
        <v/>
      </c>
    </row>
    <row r="11153" spans="8:8" x14ac:dyDescent="0.3">
      <c r="H11153" t="str">
        <f t="shared" si="223"/>
        <v/>
      </c>
    </row>
    <row r="11154" spans="8:8" x14ac:dyDescent="0.3">
      <c r="H11154" t="str">
        <f t="shared" si="223"/>
        <v/>
      </c>
    </row>
    <row r="11155" spans="8:8" x14ac:dyDescent="0.3">
      <c r="H11155" t="str">
        <f t="shared" si="223"/>
        <v/>
      </c>
    </row>
    <row r="11156" spans="8:8" x14ac:dyDescent="0.3">
      <c r="H11156" t="str">
        <f t="shared" si="223"/>
        <v/>
      </c>
    </row>
    <row r="11157" spans="8:8" x14ac:dyDescent="0.3">
      <c r="H11157" t="str">
        <f t="shared" si="223"/>
        <v/>
      </c>
    </row>
    <row r="11158" spans="8:8" x14ac:dyDescent="0.3">
      <c r="H11158" t="str">
        <f t="shared" si="223"/>
        <v/>
      </c>
    </row>
    <row r="11159" spans="8:8" x14ac:dyDescent="0.3">
      <c r="H11159" t="str">
        <f t="shared" ref="H11159:H11222" si="224">IF(B11159="","",$C$12)</f>
        <v/>
      </c>
    </row>
    <row r="11160" spans="8:8" x14ac:dyDescent="0.3">
      <c r="H11160" t="str">
        <f t="shared" si="224"/>
        <v/>
      </c>
    </row>
    <row r="11161" spans="8:8" x14ac:dyDescent="0.3">
      <c r="H11161" t="str">
        <f t="shared" si="224"/>
        <v/>
      </c>
    </row>
    <row r="11162" spans="8:8" x14ac:dyDescent="0.3">
      <c r="H11162" t="str">
        <f t="shared" si="224"/>
        <v/>
      </c>
    </row>
    <row r="11163" spans="8:8" x14ac:dyDescent="0.3">
      <c r="H11163" t="str">
        <f t="shared" si="224"/>
        <v/>
      </c>
    </row>
    <row r="11164" spans="8:8" x14ac:dyDescent="0.3">
      <c r="H11164" t="str">
        <f t="shared" si="224"/>
        <v/>
      </c>
    </row>
    <row r="11165" spans="8:8" x14ac:dyDescent="0.3">
      <c r="H11165" t="str">
        <f t="shared" si="224"/>
        <v/>
      </c>
    </row>
    <row r="11166" spans="8:8" x14ac:dyDescent="0.3">
      <c r="H11166" t="str">
        <f t="shared" si="224"/>
        <v/>
      </c>
    </row>
    <row r="11167" spans="8:8" x14ac:dyDescent="0.3">
      <c r="H11167" t="str">
        <f t="shared" si="224"/>
        <v/>
      </c>
    </row>
    <row r="11168" spans="8:8" x14ac:dyDescent="0.3">
      <c r="H11168" t="str">
        <f t="shared" si="224"/>
        <v/>
      </c>
    </row>
    <row r="11169" spans="8:8" x14ac:dyDescent="0.3">
      <c r="H11169" t="str">
        <f t="shared" si="224"/>
        <v/>
      </c>
    </row>
    <row r="11170" spans="8:8" x14ac:dyDescent="0.3">
      <c r="H11170" t="str">
        <f t="shared" si="224"/>
        <v/>
      </c>
    </row>
    <row r="11171" spans="8:8" x14ac:dyDescent="0.3">
      <c r="H11171" t="str">
        <f t="shared" si="224"/>
        <v/>
      </c>
    </row>
    <row r="11172" spans="8:8" x14ac:dyDescent="0.3">
      <c r="H11172" t="str">
        <f t="shared" si="224"/>
        <v/>
      </c>
    </row>
    <row r="11173" spans="8:8" x14ac:dyDescent="0.3">
      <c r="H11173" t="str">
        <f t="shared" si="224"/>
        <v/>
      </c>
    </row>
    <row r="11174" spans="8:8" x14ac:dyDescent="0.3">
      <c r="H11174" t="str">
        <f t="shared" si="224"/>
        <v/>
      </c>
    </row>
    <row r="11175" spans="8:8" x14ac:dyDescent="0.3">
      <c r="H11175" t="str">
        <f t="shared" si="224"/>
        <v/>
      </c>
    </row>
    <row r="11176" spans="8:8" x14ac:dyDescent="0.3">
      <c r="H11176" t="str">
        <f t="shared" si="224"/>
        <v/>
      </c>
    </row>
    <row r="11177" spans="8:8" x14ac:dyDescent="0.3">
      <c r="H11177" t="str">
        <f t="shared" si="224"/>
        <v/>
      </c>
    </row>
    <row r="11178" spans="8:8" x14ac:dyDescent="0.3">
      <c r="H11178" t="str">
        <f t="shared" si="224"/>
        <v/>
      </c>
    </row>
    <row r="11179" spans="8:8" x14ac:dyDescent="0.3">
      <c r="H11179" t="str">
        <f t="shared" si="224"/>
        <v/>
      </c>
    </row>
    <row r="11180" spans="8:8" x14ac:dyDescent="0.3">
      <c r="H11180" t="str">
        <f t="shared" si="224"/>
        <v/>
      </c>
    </row>
    <row r="11181" spans="8:8" x14ac:dyDescent="0.3">
      <c r="H11181" t="str">
        <f t="shared" si="224"/>
        <v/>
      </c>
    </row>
    <row r="11182" spans="8:8" x14ac:dyDescent="0.3">
      <c r="H11182" t="str">
        <f t="shared" si="224"/>
        <v/>
      </c>
    </row>
    <row r="11183" spans="8:8" x14ac:dyDescent="0.3">
      <c r="H11183" t="str">
        <f t="shared" si="224"/>
        <v/>
      </c>
    </row>
    <row r="11184" spans="8:8" x14ac:dyDescent="0.3">
      <c r="H11184" t="str">
        <f t="shared" si="224"/>
        <v/>
      </c>
    </row>
    <row r="11185" spans="8:8" x14ac:dyDescent="0.3">
      <c r="H11185" t="str">
        <f t="shared" si="224"/>
        <v/>
      </c>
    </row>
    <row r="11186" spans="8:8" x14ac:dyDescent="0.3">
      <c r="H11186" t="str">
        <f t="shared" si="224"/>
        <v/>
      </c>
    </row>
    <row r="11187" spans="8:8" x14ac:dyDescent="0.3">
      <c r="H11187" t="str">
        <f t="shared" si="224"/>
        <v/>
      </c>
    </row>
    <row r="11188" spans="8:8" x14ac:dyDescent="0.3">
      <c r="H11188" t="str">
        <f t="shared" si="224"/>
        <v/>
      </c>
    </row>
    <row r="11189" spans="8:8" x14ac:dyDescent="0.3">
      <c r="H11189" t="str">
        <f t="shared" si="224"/>
        <v/>
      </c>
    </row>
    <row r="11190" spans="8:8" x14ac:dyDescent="0.3">
      <c r="H11190" t="str">
        <f t="shared" si="224"/>
        <v/>
      </c>
    </row>
    <row r="11191" spans="8:8" x14ac:dyDescent="0.3">
      <c r="H11191" t="str">
        <f t="shared" si="224"/>
        <v/>
      </c>
    </row>
    <row r="11192" spans="8:8" x14ac:dyDescent="0.3">
      <c r="H11192" t="str">
        <f t="shared" si="224"/>
        <v/>
      </c>
    </row>
    <row r="11193" spans="8:8" x14ac:dyDescent="0.3">
      <c r="H11193" t="str">
        <f t="shared" si="224"/>
        <v/>
      </c>
    </row>
    <row r="11194" spans="8:8" x14ac:dyDescent="0.3">
      <c r="H11194" t="str">
        <f t="shared" si="224"/>
        <v/>
      </c>
    </row>
    <row r="11195" spans="8:8" x14ac:dyDescent="0.3">
      <c r="H11195" t="str">
        <f t="shared" si="224"/>
        <v/>
      </c>
    </row>
    <row r="11196" spans="8:8" x14ac:dyDescent="0.3">
      <c r="H11196" t="str">
        <f t="shared" si="224"/>
        <v/>
      </c>
    </row>
    <row r="11197" spans="8:8" x14ac:dyDescent="0.3">
      <c r="H11197" t="str">
        <f t="shared" si="224"/>
        <v/>
      </c>
    </row>
    <row r="11198" spans="8:8" x14ac:dyDescent="0.3">
      <c r="H11198" t="str">
        <f t="shared" si="224"/>
        <v/>
      </c>
    </row>
    <row r="11199" spans="8:8" x14ac:dyDescent="0.3">
      <c r="H11199" t="str">
        <f t="shared" si="224"/>
        <v/>
      </c>
    </row>
    <row r="11200" spans="8:8" x14ac:dyDescent="0.3">
      <c r="H11200" t="str">
        <f t="shared" si="224"/>
        <v/>
      </c>
    </row>
    <row r="11201" spans="8:8" x14ac:dyDescent="0.3">
      <c r="H11201" t="str">
        <f t="shared" si="224"/>
        <v/>
      </c>
    </row>
    <row r="11202" spans="8:8" x14ac:dyDescent="0.3">
      <c r="H11202" t="str">
        <f t="shared" si="224"/>
        <v/>
      </c>
    </row>
    <row r="11203" spans="8:8" x14ac:dyDescent="0.3">
      <c r="H11203" t="str">
        <f t="shared" si="224"/>
        <v/>
      </c>
    </row>
    <row r="11204" spans="8:8" x14ac:dyDescent="0.3">
      <c r="H11204" t="str">
        <f t="shared" si="224"/>
        <v/>
      </c>
    </row>
    <row r="11205" spans="8:8" x14ac:dyDescent="0.3">
      <c r="H11205" t="str">
        <f t="shared" si="224"/>
        <v/>
      </c>
    </row>
    <row r="11206" spans="8:8" x14ac:dyDescent="0.3">
      <c r="H11206" t="str">
        <f t="shared" si="224"/>
        <v/>
      </c>
    </row>
    <row r="11207" spans="8:8" x14ac:dyDescent="0.3">
      <c r="H11207" t="str">
        <f t="shared" si="224"/>
        <v/>
      </c>
    </row>
    <row r="11208" spans="8:8" x14ac:dyDescent="0.3">
      <c r="H11208" t="str">
        <f t="shared" si="224"/>
        <v/>
      </c>
    </row>
    <row r="11209" spans="8:8" x14ac:dyDescent="0.3">
      <c r="H11209" t="str">
        <f t="shared" si="224"/>
        <v/>
      </c>
    </row>
    <row r="11210" spans="8:8" x14ac:dyDescent="0.3">
      <c r="H11210" t="str">
        <f t="shared" si="224"/>
        <v/>
      </c>
    </row>
    <row r="11211" spans="8:8" x14ac:dyDescent="0.3">
      <c r="H11211" t="str">
        <f t="shared" si="224"/>
        <v/>
      </c>
    </row>
    <row r="11212" spans="8:8" x14ac:dyDescent="0.3">
      <c r="H11212" t="str">
        <f t="shared" si="224"/>
        <v/>
      </c>
    </row>
    <row r="11213" spans="8:8" x14ac:dyDescent="0.3">
      <c r="H11213" t="str">
        <f t="shared" si="224"/>
        <v/>
      </c>
    </row>
    <row r="11214" spans="8:8" x14ac:dyDescent="0.3">
      <c r="H11214" t="str">
        <f t="shared" si="224"/>
        <v/>
      </c>
    </row>
    <row r="11215" spans="8:8" x14ac:dyDescent="0.3">
      <c r="H11215" t="str">
        <f t="shared" si="224"/>
        <v/>
      </c>
    </row>
    <row r="11216" spans="8:8" x14ac:dyDescent="0.3">
      <c r="H11216" t="str">
        <f t="shared" si="224"/>
        <v/>
      </c>
    </row>
    <row r="11217" spans="8:8" x14ac:dyDescent="0.3">
      <c r="H11217" t="str">
        <f t="shared" si="224"/>
        <v/>
      </c>
    </row>
    <row r="11218" spans="8:8" x14ac:dyDescent="0.3">
      <c r="H11218" t="str">
        <f t="shared" si="224"/>
        <v/>
      </c>
    </row>
    <row r="11219" spans="8:8" x14ac:dyDescent="0.3">
      <c r="H11219" t="str">
        <f t="shared" si="224"/>
        <v/>
      </c>
    </row>
    <row r="11220" spans="8:8" x14ac:dyDescent="0.3">
      <c r="H11220" t="str">
        <f t="shared" si="224"/>
        <v/>
      </c>
    </row>
    <row r="11221" spans="8:8" x14ac:dyDescent="0.3">
      <c r="H11221" t="str">
        <f t="shared" si="224"/>
        <v/>
      </c>
    </row>
    <row r="11222" spans="8:8" x14ac:dyDescent="0.3">
      <c r="H11222" t="str">
        <f t="shared" si="224"/>
        <v/>
      </c>
    </row>
    <row r="11223" spans="8:8" x14ac:dyDescent="0.3">
      <c r="H11223" t="str">
        <f t="shared" ref="H11223:H11286" si="225">IF(B11223="","",$C$12)</f>
        <v/>
      </c>
    </row>
    <row r="11224" spans="8:8" x14ac:dyDescent="0.3">
      <c r="H11224" t="str">
        <f t="shared" si="225"/>
        <v/>
      </c>
    </row>
    <row r="11225" spans="8:8" x14ac:dyDescent="0.3">
      <c r="H11225" t="str">
        <f t="shared" si="225"/>
        <v/>
      </c>
    </row>
    <row r="11226" spans="8:8" x14ac:dyDescent="0.3">
      <c r="H11226" t="str">
        <f t="shared" si="225"/>
        <v/>
      </c>
    </row>
    <row r="11227" spans="8:8" x14ac:dyDescent="0.3">
      <c r="H11227" t="str">
        <f t="shared" si="225"/>
        <v/>
      </c>
    </row>
    <row r="11228" spans="8:8" x14ac:dyDescent="0.3">
      <c r="H11228" t="str">
        <f t="shared" si="225"/>
        <v/>
      </c>
    </row>
    <row r="11229" spans="8:8" x14ac:dyDescent="0.3">
      <c r="H11229" t="str">
        <f t="shared" si="225"/>
        <v/>
      </c>
    </row>
    <row r="11230" spans="8:8" x14ac:dyDescent="0.3">
      <c r="H11230" t="str">
        <f t="shared" si="225"/>
        <v/>
      </c>
    </row>
    <row r="11231" spans="8:8" x14ac:dyDescent="0.3">
      <c r="H11231" t="str">
        <f t="shared" si="225"/>
        <v/>
      </c>
    </row>
    <row r="11232" spans="8:8" x14ac:dyDescent="0.3">
      <c r="H11232" t="str">
        <f t="shared" si="225"/>
        <v/>
      </c>
    </row>
    <row r="11233" spans="8:8" x14ac:dyDescent="0.3">
      <c r="H11233" t="str">
        <f t="shared" si="225"/>
        <v/>
      </c>
    </row>
    <row r="11234" spans="8:8" x14ac:dyDescent="0.3">
      <c r="H11234" t="str">
        <f t="shared" si="225"/>
        <v/>
      </c>
    </row>
    <row r="11235" spans="8:8" x14ac:dyDescent="0.3">
      <c r="H11235" t="str">
        <f t="shared" si="225"/>
        <v/>
      </c>
    </row>
    <row r="11236" spans="8:8" x14ac:dyDescent="0.3">
      <c r="H11236" t="str">
        <f t="shared" si="225"/>
        <v/>
      </c>
    </row>
    <row r="11237" spans="8:8" x14ac:dyDescent="0.3">
      <c r="H11237" t="str">
        <f t="shared" si="225"/>
        <v/>
      </c>
    </row>
    <row r="11238" spans="8:8" x14ac:dyDescent="0.3">
      <c r="H11238" t="str">
        <f t="shared" si="225"/>
        <v/>
      </c>
    </row>
    <row r="11239" spans="8:8" x14ac:dyDescent="0.3">
      <c r="H11239" t="str">
        <f t="shared" si="225"/>
        <v/>
      </c>
    </row>
    <row r="11240" spans="8:8" x14ac:dyDescent="0.3">
      <c r="H11240" t="str">
        <f t="shared" si="225"/>
        <v/>
      </c>
    </row>
    <row r="11241" spans="8:8" x14ac:dyDescent="0.3">
      <c r="H11241" t="str">
        <f t="shared" si="225"/>
        <v/>
      </c>
    </row>
    <row r="11242" spans="8:8" x14ac:dyDescent="0.3">
      <c r="H11242" t="str">
        <f t="shared" si="225"/>
        <v/>
      </c>
    </row>
    <row r="11243" spans="8:8" x14ac:dyDescent="0.3">
      <c r="H11243" t="str">
        <f t="shared" si="225"/>
        <v/>
      </c>
    </row>
    <row r="11244" spans="8:8" x14ac:dyDescent="0.3">
      <c r="H11244" t="str">
        <f t="shared" si="225"/>
        <v/>
      </c>
    </row>
    <row r="11245" spans="8:8" x14ac:dyDescent="0.3">
      <c r="H11245" t="str">
        <f t="shared" si="225"/>
        <v/>
      </c>
    </row>
    <row r="11246" spans="8:8" x14ac:dyDescent="0.3">
      <c r="H11246" t="str">
        <f t="shared" si="225"/>
        <v/>
      </c>
    </row>
    <row r="11247" spans="8:8" x14ac:dyDescent="0.3">
      <c r="H11247" t="str">
        <f t="shared" si="225"/>
        <v/>
      </c>
    </row>
    <row r="11248" spans="8:8" x14ac:dyDescent="0.3">
      <c r="H11248" t="str">
        <f t="shared" si="225"/>
        <v/>
      </c>
    </row>
    <row r="11249" spans="8:8" x14ac:dyDescent="0.3">
      <c r="H11249" t="str">
        <f t="shared" si="225"/>
        <v/>
      </c>
    </row>
    <row r="11250" spans="8:8" x14ac:dyDescent="0.3">
      <c r="H11250" t="str">
        <f t="shared" si="225"/>
        <v/>
      </c>
    </row>
    <row r="11251" spans="8:8" x14ac:dyDescent="0.3">
      <c r="H11251" t="str">
        <f t="shared" si="225"/>
        <v/>
      </c>
    </row>
    <row r="11252" spans="8:8" x14ac:dyDescent="0.3">
      <c r="H11252" t="str">
        <f t="shared" si="225"/>
        <v/>
      </c>
    </row>
    <row r="11253" spans="8:8" x14ac:dyDescent="0.3">
      <c r="H11253" t="str">
        <f t="shared" si="225"/>
        <v/>
      </c>
    </row>
    <row r="11254" spans="8:8" x14ac:dyDescent="0.3">
      <c r="H11254" t="str">
        <f t="shared" si="225"/>
        <v/>
      </c>
    </row>
    <row r="11255" spans="8:8" x14ac:dyDescent="0.3">
      <c r="H11255" t="str">
        <f t="shared" si="225"/>
        <v/>
      </c>
    </row>
    <row r="11256" spans="8:8" x14ac:dyDescent="0.3">
      <c r="H11256" t="str">
        <f t="shared" si="225"/>
        <v/>
      </c>
    </row>
    <row r="11257" spans="8:8" x14ac:dyDescent="0.3">
      <c r="H11257" t="str">
        <f t="shared" si="225"/>
        <v/>
      </c>
    </row>
    <row r="11258" spans="8:8" x14ac:dyDescent="0.3">
      <c r="H11258" t="str">
        <f t="shared" si="225"/>
        <v/>
      </c>
    </row>
    <row r="11259" spans="8:8" x14ac:dyDescent="0.3">
      <c r="H11259" t="str">
        <f t="shared" si="225"/>
        <v/>
      </c>
    </row>
    <row r="11260" spans="8:8" x14ac:dyDescent="0.3">
      <c r="H11260" t="str">
        <f t="shared" si="225"/>
        <v/>
      </c>
    </row>
    <row r="11261" spans="8:8" x14ac:dyDescent="0.3">
      <c r="H11261" t="str">
        <f t="shared" si="225"/>
        <v/>
      </c>
    </row>
    <row r="11262" spans="8:8" x14ac:dyDescent="0.3">
      <c r="H11262" t="str">
        <f t="shared" si="225"/>
        <v/>
      </c>
    </row>
    <row r="11263" spans="8:8" x14ac:dyDescent="0.3">
      <c r="H11263" t="str">
        <f t="shared" si="225"/>
        <v/>
      </c>
    </row>
    <row r="11264" spans="8:8" x14ac:dyDescent="0.3">
      <c r="H11264" t="str">
        <f t="shared" si="225"/>
        <v/>
      </c>
    </row>
    <row r="11265" spans="8:8" x14ac:dyDescent="0.3">
      <c r="H11265" t="str">
        <f t="shared" si="225"/>
        <v/>
      </c>
    </row>
    <row r="11266" spans="8:8" x14ac:dyDescent="0.3">
      <c r="H11266" t="str">
        <f t="shared" si="225"/>
        <v/>
      </c>
    </row>
    <row r="11267" spans="8:8" x14ac:dyDescent="0.3">
      <c r="H11267" t="str">
        <f t="shared" si="225"/>
        <v/>
      </c>
    </row>
    <row r="11268" spans="8:8" x14ac:dyDescent="0.3">
      <c r="H11268" t="str">
        <f t="shared" si="225"/>
        <v/>
      </c>
    </row>
    <row r="11269" spans="8:8" x14ac:dyDescent="0.3">
      <c r="H11269" t="str">
        <f t="shared" si="225"/>
        <v/>
      </c>
    </row>
    <row r="11270" spans="8:8" x14ac:dyDescent="0.3">
      <c r="H11270" t="str">
        <f t="shared" si="225"/>
        <v/>
      </c>
    </row>
    <row r="11271" spans="8:8" x14ac:dyDescent="0.3">
      <c r="H11271" t="str">
        <f t="shared" si="225"/>
        <v/>
      </c>
    </row>
    <row r="11272" spans="8:8" x14ac:dyDescent="0.3">
      <c r="H11272" t="str">
        <f t="shared" si="225"/>
        <v/>
      </c>
    </row>
    <row r="11273" spans="8:8" x14ac:dyDescent="0.3">
      <c r="H11273" t="str">
        <f t="shared" si="225"/>
        <v/>
      </c>
    </row>
    <row r="11274" spans="8:8" x14ac:dyDescent="0.3">
      <c r="H11274" t="str">
        <f t="shared" si="225"/>
        <v/>
      </c>
    </row>
    <row r="11275" spans="8:8" x14ac:dyDescent="0.3">
      <c r="H11275" t="str">
        <f t="shared" si="225"/>
        <v/>
      </c>
    </row>
    <row r="11276" spans="8:8" x14ac:dyDescent="0.3">
      <c r="H11276" t="str">
        <f t="shared" si="225"/>
        <v/>
      </c>
    </row>
    <row r="11277" spans="8:8" x14ac:dyDescent="0.3">
      <c r="H11277" t="str">
        <f t="shared" si="225"/>
        <v/>
      </c>
    </row>
    <row r="11278" spans="8:8" x14ac:dyDescent="0.3">
      <c r="H11278" t="str">
        <f t="shared" si="225"/>
        <v/>
      </c>
    </row>
    <row r="11279" spans="8:8" x14ac:dyDescent="0.3">
      <c r="H11279" t="str">
        <f t="shared" si="225"/>
        <v/>
      </c>
    </row>
    <row r="11280" spans="8:8" x14ac:dyDescent="0.3">
      <c r="H11280" t="str">
        <f t="shared" si="225"/>
        <v/>
      </c>
    </row>
    <row r="11281" spans="8:8" x14ac:dyDescent="0.3">
      <c r="H11281" t="str">
        <f t="shared" si="225"/>
        <v/>
      </c>
    </row>
    <row r="11282" spans="8:8" x14ac:dyDescent="0.3">
      <c r="H11282" t="str">
        <f t="shared" si="225"/>
        <v/>
      </c>
    </row>
    <row r="11283" spans="8:8" x14ac:dyDescent="0.3">
      <c r="H11283" t="str">
        <f t="shared" si="225"/>
        <v/>
      </c>
    </row>
    <row r="11284" spans="8:8" x14ac:dyDescent="0.3">
      <c r="H11284" t="str">
        <f t="shared" si="225"/>
        <v/>
      </c>
    </row>
    <row r="11285" spans="8:8" x14ac:dyDescent="0.3">
      <c r="H11285" t="str">
        <f t="shared" si="225"/>
        <v/>
      </c>
    </row>
    <row r="11286" spans="8:8" x14ac:dyDescent="0.3">
      <c r="H11286" t="str">
        <f t="shared" si="225"/>
        <v/>
      </c>
    </row>
    <row r="11287" spans="8:8" x14ac:dyDescent="0.3">
      <c r="H11287" t="str">
        <f t="shared" ref="H11287:H11350" si="226">IF(B11287="","",$C$12)</f>
        <v/>
      </c>
    </row>
    <row r="11288" spans="8:8" x14ac:dyDescent="0.3">
      <c r="H11288" t="str">
        <f t="shared" si="226"/>
        <v/>
      </c>
    </row>
    <row r="11289" spans="8:8" x14ac:dyDescent="0.3">
      <c r="H11289" t="str">
        <f t="shared" si="226"/>
        <v/>
      </c>
    </row>
    <row r="11290" spans="8:8" x14ac:dyDescent="0.3">
      <c r="H11290" t="str">
        <f t="shared" si="226"/>
        <v/>
      </c>
    </row>
    <row r="11291" spans="8:8" x14ac:dyDescent="0.3">
      <c r="H11291" t="str">
        <f t="shared" si="226"/>
        <v/>
      </c>
    </row>
    <row r="11292" spans="8:8" x14ac:dyDescent="0.3">
      <c r="H11292" t="str">
        <f t="shared" si="226"/>
        <v/>
      </c>
    </row>
    <row r="11293" spans="8:8" x14ac:dyDescent="0.3">
      <c r="H11293" t="str">
        <f t="shared" si="226"/>
        <v/>
      </c>
    </row>
    <row r="11294" spans="8:8" x14ac:dyDescent="0.3">
      <c r="H11294" t="str">
        <f t="shared" si="226"/>
        <v/>
      </c>
    </row>
    <row r="11295" spans="8:8" x14ac:dyDescent="0.3">
      <c r="H11295" t="str">
        <f t="shared" si="226"/>
        <v/>
      </c>
    </row>
    <row r="11296" spans="8:8" x14ac:dyDescent="0.3">
      <c r="H11296" t="str">
        <f t="shared" si="226"/>
        <v/>
      </c>
    </row>
    <row r="11297" spans="8:8" x14ac:dyDescent="0.3">
      <c r="H11297" t="str">
        <f t="shared" si="226"/>
        <v/>
      </c>
    </row>
    <row r="11298" spans="8:8" x14ac:dyDescent="0.3">
      <c r="H11298" t="str">
        <f t="shared" si="226"/>
        <v/>
      </c>
    </row>
    <row r="11299" spans="8:8" x14ac:dyDescent="0.3">
      <c r="H11299" t="str">
        <f t="shared" si="226"/>
        <v/>
      </c>
    </row>
    <row r="11300" spans="8:8" x14ac:dyDescent="0.3">
      <c r="H11300" t="str">
        <f t="shared" si="226"/>
        <v/>
      </c>
    </row>
    <row r="11301" spans="8:8" x14ac:dyDescent="0.3">
      <c r="H11301" t="str">
        <f t="shared" si="226"/>
        <v/>
      </c>
    </row>
    <row r="11302" spans="8:8" x14ac:dyDescent="0.3">
      <c r="H11302" t="str">
        <f t="shared" si="226"/>
        <v/>
      </c>
    </row>
    <row r="11303" spans="8:8" x14ac:dyDescent="0.3">
      <c r="H11303" t="str">
        <f t="shared" si="226"/>
        <v/>
      </c>
    </row>
    <row r="11304" spans="8:8" x14ac:dyDescent="0.3">
      <c r="H11304" t="str">
        <f t="shared" si="226"/>
        <v/>
      </c>
    </row>
    <row r="11305" spans="8:8" x14ac:dyDescent="0.3">
      <c r="H11305" t="str">
        <f t="shared" si="226"/>
        <v/>
      </c>
    </row>
    <row r="11306" spans="8:8" x14ac:dyDescent="0.3">
      <c r="H11306" t="str">
        <f t="shared" si="226"/>
        <v/>
      </c>
    </row>
    <row r="11307" spans="8:8" x14ac:dyDescent="0.3">
      <c r="H11307" t="str">
        <f t="shared" si="226"/>
        <v/>
      </c>
    </row>
    <row r="11308" spans="8:8" x14ac:dyDescent="0.3">
      <c r="H11308" t="str">
        <f t="shared" si="226"/>
        <v/>
      </c>
    </row>
    <row r="11309" spans="8:8" x14ac:dyDescent="0.3">
      <c r="H11309" t="str">
        <f t="shared" si="226"/>
        <v/>
      </c>
    </row>
    <row r="11310" spans="8:8" x14ac:dyDescent="0.3">
      <c r="H11310" t="str">
        <f t="shared" si="226"/>
        <v/>
      </c>
    </row>
    <row r="11311" spans="8:8" x14ac:dyDescent="0.3">
      <c r="H11311" t="str">
        <f t="shared" si="226"/>
        <v/>
      </c>
    </row>
    <row r="11312" spans="8:8" x14ac:dyDescent="0.3">
      <c r="H11312" t="str">
        <f t="shared" si="226"/>
        <v/>
      </c>
    </row>
    <row r="11313" spans="8:8" x14ac:dyDescent="0.3">
      <c r="H11313" t="str">
        <f t="shared" si="226"/>
        <v/>
      </c>
    </row>
    <row r="11314" spans="8:8" x14ac:dyDescent="0.3">
      <c r="H11314" t="str">
        <f t="shared" si="226"/>
        <v/>
      </c>
    </row>
    <row r="11315" spans="8:8" x14ac:dyDescent="0.3">
      <c r="H11315" t="str">
        <f t="shared" si="226"/>
        <v/>
      </c>
    </row>
    <row r="11316" spans="8:8" x14ac:dyDescent="0.3">
      <c r="H11316" t="str">
        <f t="shared" si="226"/>
        <v/>
      </c>
    </row>
    <row r="11317" spans="8:8" x14ac:dyDescent="0.3">
      <c r="H11317" t="str">
        <f t="shared" si="226"/>
        <v/>
      </c>
    </row>
    <row r="11318" spans="8:8" x14ac:dyDescent="0.3">
      <c r="H11318" t="str">
        <f t="shared" si="226"/>
        <v/>
      </c>
    </row>
    <row r="11319" spans="8:8" x14ac:dyDescent="0.3">
      <c r="H11319" t="str">
        <f t="shared" si="226"/>
        <v/>
      </c>
    </row>
    <row r="11320" spans="8:8" x14ac:dyDescent="0.3">
      <c r="H11320" t="str">
        <f t="shared" si="226"/>
        <v/>
      </c>
    </row>
    <row r="11321" spans="8:8" x14ac:dyDescent="0.3">
      <c r="H11321" t="str">
        <f t="shared" si="226"/>
        <v/>
      </c>
    </row>
    <row r="11322" spans="8:8" x14ac:dyDescent="0.3">
      <c r="H11322" t="str">
        <f t="shared" si="226"/>
        <v/>
      </c>
    </row>
    <row r="11323" spans="8:8" x14ac:dyDescent="0.3">
      <c r="H11323" t="str">
        <f t="shared" si="226"/>
        <v/>
      </c>
    </row>
    <row r="11324" spans="8:8" x14ac:dyDescent="0.3">
      <c r="H11324" t="str">
        <f t="shared" si="226"/>
        <v/>
      </c>
    </row>
    <row r="11325" spans="8:8" x14ac:dyDescent="0.3">
      <c r="H11325" t="str">
        <f t="shared" si="226"/>
        <v/>
      </c>
    </row>
    <row r="11326" spans="8:8" x14ac:dyDescent="0.3">
      <c r="H11326" t="str">
        <f t="shared" si="226"/>
        <v/>
      </c>
    </row>
    <row r="11327" spans="8:8" x14ac:dyDescent="0.3">
      <c r="H11327" t="str">
        <f t="shared" si="226"/>
        <v/>
      </c>
    </row>
    <row r="11328" spans="8:8" x14ac:dyDescent="0.3">
      <c r="H11328" t="str">
        <f t="shared" si="226"/>
        <v/>
      </c>
    </row>
    <row r="11329" spans="8:8" x14ac:dyDescent="0.3">
      <c r="H11329" t="str">
        <f t="shared" si="226"/>
        <v/>
      </c>
    </row>
    <row r="11330" spans="8:8" x14ac:dyDescent="0.3">
      <c r="H11330" t="str">
        <f t="shared" si="226"/>
        <v/>
      </c>
    </row>
    <row r="11331" spans="8:8" x14ac:dyDescent="0.3">
      <c r="H11331" t="str">
        <f t="shared" si="226"/>
        <v/>
      </c>
    </row>
    <row r="11332" spans="8:8" x14ac:dyDescent="0.3">
      <c r="H11332" t="str">
        <f t="shared" si="226"/>
        <v/>
      </c>
    </row>
    <row r="11333" spans="8:8" x14ac:dyDescent="0.3">
      <c r="H11333" t="str">
        <f t="shared" si="226"/>
        <v/>
      </c>
    </row>
    <row r="11334" spans="8:8" x14ac:dyDescent="0.3">
      <c r="H11334" t="str">
        <f t="shared" si="226"/>
        <v/>
      </c>
    </row>
    <row r="11335" spans="8:8" x14ac:dyDescent="0.3">
      <c r="H11335" t="str">
        <f t="shared" si="226"/>
        <v/>
      </c>
    </row>
    <row r="11336" spans="8:8" x14ac:dyDescent="0.3">
      <c r="H11336" t="str">
        <f t="shared" si="226"/>
        <v/>
      </c>
    </row>
    <row r="11337" spans="8:8" x14ac:dyDescent="0.3">
      <c r="H11337" t="str">
        <f t="shared" si="226"/>
        <v/>
      </c>
    </row>
    <row r="11338" spans="8:8" x14ac:dyDescent="0.3">
      <c r="H11338" t="str">
        <f t="shared" si="226"/>
        <v/>
      </c>
    </row>
    <row r="11339" spans="8:8" x14ac:dyDescent="0.3">
      <c r="H11339" t="str">
        <f t="shared" si="226"/>
        <v/>
      </c>
    </row>
    <row r="11340" spans="8:8" x14ac:dyDescent="0.3">
      <c r="H11340" t="str">
        <f t="shared" si="226"/>
        <v/>
      </c>
    </row>
    <row r="11341" spans="8:8" x14ac:dyDescent="0.3">
      <c r="H11341" t="str">
        <f t="shared" si="226"/>
        <v/>
      </c>
    </row>
    <row r="11342" spans="8:8" x14ac:dyDescent="0.3">
      <c r="H11342" t="str">
        <f t="shared" si="226"/>
        <v/>
      </c>
    </row>
    <row r="11343" spans="8:8" x14ac:dyDescent="0.3">
      <c r="H11343" t="str">
        <f t="shared" si="226"/>
        <v/>
      </c>
    </row>
    <row r="11344" spans="8:8" x14ac:dyDescent="0.3">
      <c r="H11344" t="str">
        <f t="shared" si="226"/>
        <v/>
      </c>
    </row>
    <row r="11345" spans="8:8" x14ac:dyDescent="0.3">
      <c r="H11345" t="str">
        <f t="shared" si="226"/>
        <v/>
      </c>
    </row>
    <row r="11346" spans="8:8" x14ac:dyDescent="0.3">
      <c r="H11346" t="str">
        <f t="shared" si="226"/>
        <v/>
      </c>
    </row>
    <row r="11347" spans="8:8" x14ac:dyDescent="0.3">
      <c r="H11347" t="str">
        <f t="shared" si="226"/>
        <v/>
      </c>
    </row>
    <row r="11348" spans="8:8" x14ac:dyDescent="0.3">
      <c r="H11348" t="str">
        <f t="shared" si="226"/>
        <v/>
      </c>
    </row>
    <row r="11349" spans="8:8" x14ac:dyDescent="0.3">
      <c r="H11349" t="str">
        <f t="shared" si="226"/>
        <v/>
      </c>
    </row>
    <row r="11350" spans="8:8" x14ac:dyDescent="0.3">
      <c r="H11350" t="str">
        <f t="shared" si="226"/>
        <v/>
      </c>
    </row>
    <row r="11351" spans="8:8" x14ac:dyDescent="0.3">
      <c r="H11351" t="str">
        <f t="shared" ref="H11351:H11414" si="227">IF(B11351="","",$C$12)</f>
        <v/>
      </c>
    </row>
    <row r="11352" spans="8:8" x14ac:dyDescent="0.3">
      <c r="H11352" t="str">
        <f t="shared" si="227"/>
        <v/>
      </c>
    </row>
    <row r="11353" spans="8:8" x14ac:dyDescent="0.3">
      <c r="H11353" t="str">
        <f t="shared" si="227"/>
        <v/>
      </c>
    </row>
    <row r="11354" spans="8:8" x14ac:dyDescent="0.3">
      <c r="H11354" t="str">
        <f t="shared" si="227"/>
        <v/>
      </c>
    </row>
    <row r="11355" spans="8:8" x14ac:dyDescent="0.3">
      <c r="H11355" t="str">
        <f t="shared" si="227"/>
        <v/>
      </c>
    </row>
    <row r="11356" spans="8:8" x14ac:dyDescent="0.3">
      <c r="H11356" t="str">
        <f t="shared" si="227"/>
        <v/>
      </c>
    </row>
    <row r="11357" spans="8:8" x14ac:dyDescent="0.3">
      <c r="H11357" t="str">
        <f t="shared" si="227"/>
        <v/>
      </c>
    </row>
    <row r="11358" spans="8:8" x14ac:dyDescent="0.3">
      <c r="H11358" t="str">
        <f t="shared" si="227"/>
        <v/>
      </c>
    </row>
    <row r="11359" spans="8:8" x14ac:dyDescent="0.3">
      <c r="H11359" t="str">
        <f t="shared" si="227"/>
        <v/>
      </c>
    </row>
    <row r="11360" spans="8:8" x14ac:dyDescent="0.3">
      <c r="H11360" t="str">
        <f t="shared" si="227"/>
        <v/>
      </c>
    </row>
    <row r="11361" spans="8:8" x14ac:dyDescent="0.3">
      <c r="H11361" t="str">
        <f t="shared" si="227"/>
        <v/>
      </c>
    </row>
    <row r="11362" spans="8:8" x14ac:dyDescent="0.3">
      <c r="H11362" t="str">
        <f t="shared" si="227"/>
        <v/>
      </c>
    </row>
    <row r="11363" spans="8:8" x14ac:dyDescent="0.3">
      <c r="H11363" t="str">
        <f t="shared" si="227"/>
        <v/>
      </c>
    </row>
    <row r="11364" spans="8:8" x14ac:dyDescent="0.3">
      <c r="H11364" t="str">
        <f t="shared" si="227"/>
        <v/>
      </c>
    </row>
    <row r="11365" spans="8:8" x14ac:dyDescent="0.3">
      <c r="H11365" t="str">
        <f t="shared" si="227"/>
        <v/>
      </c>
    </row>
    <row r="11366" spans="8:8" x14ac:dyDescent="0.3">
      <c r="H11366" t="str">
        <f t="shared" si="227"/>
        <v/>
      </c>
    </row>
    <row r="11367" spans="8:8" x14ac:dyDescent="0.3">
      <c r="H11367" t="str">
        <f t="shared" si="227"/>
        <v/>
      </c>
    </row>
    <row r="11368" spans="8:8" x14ac:dyDescent="0.3">
      <c r="H11368" t="str">
        <f t="shared" si="227"/>
        <v/>
      </c>
    </row>
    <row r="11369" spans="8:8" x14ac:dyDescent="0.3">
      <c r="H11369" t="str">
        <f t="shared" si="227"/>
        <v/>
      </c>
    </row>
    <row r="11370" spans="8:8" x14ac:dyDescent="0.3">
      <c r="H11370" t="str">
        <f t="shared" si="227"/>
        <v/>
      </c>
    </row>
    <row r="11371" spans="8:8" x14ac:dyDescent="0.3">
      <c r="H11371" t="str">
        <f t="shared" si="227"/>
        <v/>
      </c>
    </row>
    <row r="11372" spans="8:8" x14ac:dyDescent="0.3">
      <c r="H11372" t="str">
        <f t="shared" si="227"/>
        <v/>
      </c>
    </row>
    <row r="11373" spans="8:8" x14ac:dyDescent="0.3">
      <c r="H11373" t="str">
        <f t="shared" si="227"/>
        <v/>
      </c>
    </row>
    <row r="11374" spans="8:8" x14ac:dyDescent="0.3">
      <c r="H11374" t="str">
        <f t="shared" si="227"/>
        <v/>
      </c>
    </row>
    <row r="11375" spans="8:8" x14ac:dyDescent="0.3">
      <c r="H11375" t="str">
        <f t="shared" si="227"/>
        <v/>
      </c>
    </row>
    <row r="11376" spans="8:8" x14ac:dyDescent="0.3">
      <c r="H11376" t="str">
        <f t="shared" si="227"/>
        <v/>
      </c>
    </row>
    <row r="11377" spans="8:8" x14ac:dyDescent="0.3">
      <c r="H11377" t="str">
        <f t="shared" si="227"/>
        <v/>
      </c>
    </row>
    <row r="11378" spans="8:8" x14ac:dyDescent="0.3">
      <c r="H11378" t="str">
        <f t="shared" si="227"/>
        <v/>
      </c>
    </row>
    <row r="11379" spans="8:8" x14ac:dyDescent="0.3">
      <c r="H11379" t="str">
        <f t="shared" si="227"/>
        <v/>
      </c>
    </row>
    <row r="11380" spans="8:8" x14ac:dyDescent="0.3">
      <c r="H11380" t="str">
        <f t="shared" si="227"/>
        <v/>
      </c>
    </row>
    <row r="11381" spans="8:8" x14ac:dyDescent="0.3">
      <c r="H11381" t="str">
        <f t="shared" si="227"/>
        <v/>
      </c>
    </row>
    <row r="11382" spans="8:8" x14ac:dyDescent="0.3">
      <c r="H11382" t="str">
        <f t="shared" si="227"/>
        <v/>
      </c>
    </row>
    <row r="11383" spans="8:8" x14ac:dyDescent="0.3">
      <c r="H11383" t="str">
        <f t="shared" si="227"/>
        <v/>
      </c>
    </row>
    <row r="11384" spans="8:8" x14ac:dyDescent="0.3">
      <c r="H11384" t="str">
        <f t="shared" si="227"/>
        <v/>
      </c>
    </row>
    <row r="11385" spans="8:8" x14ac:dyDescent="0.3">
      <c r="H11385" t="str">
        <f t="shared" si="227"/>
        <v/>
      </c>
    </row>
    <row r="11386" spans="8:8" x14ac:dyDescent="0.3">
      <c r="H11386" t="str">
        <f t="shared" si="227"/>
        <v/>
      </c>
    </row>
    <row r="11387" spans="8:8" x14ac:dyDescent="0.3">
      <c r="H11387" t="str">
        <f t="shared" si="227"/>
        <v/>
      </c>
    </row>
    <row r="11388" spans="8:8" x14ac:dyDescent="0.3">
      <c r="H11388" t="str">
        <f t="shared" si="227"/>
        <v/>
      </c>
    </row>
    <row r="11389" spans="8:8" x14ac:dyDescent="0.3">
      <c r="H11389" t="str">
        <f t="shared" si="227"/>
        <v/>
      </c>
    </row>
    <row r="11390" spans="8:8" x14ac:dyDescent="0.3">
      <c r="H11390" t="str">
        <f t="shared" si="227"/>
        <v/>
      </c>
    </row>
    <row r="11391" spans="8:8" x14ac:dyDescent="0.3">
      <c r="H11391" t="str">
        <f t="shared" si="227"/>
        <v/>
      </c>
    </row>
    <row r="11392" spans="8:8" x14ac:dyDescent="0.3">
      <c r="H11392" t="str">
        <f t="shared" si="227"/>
        <v/>
      </c>
    </row>
    <row r="11393" spans="8:8" x14ac:dyDescent="0.3">
      <c r="H11393" t="str">
        <f t="shared" si="227"/>
        <v/>
      </c>
    </row>
    <row r="11394" spans="8:8" x14ac:dyDescent="0.3">
      <c r="H11394" t="str">
        <f t="shared" si="227"/>
        <v/>
      </c>
    </row>
    <row r="11395" spans="8:8" x14ac:dyDescent="0.3">
      <c r="H11395" t="str">
        <f t="shared" si="227"/>
        <v/>
      </c>
    </row>
    <row r="11396" spans="8:8" x14ac:dyDescent="0.3">
      <c r="H11396" t="str">
        <f t="shared" si="227"/>
        <v/>
      </c>
    </row>
    <row r="11397" spans="8:8" x14ac:dyDescent="0.3">
      <c r="H11397" t="str">
        <f t="shared" si="227"/>
        <v/>
      </c>
    </row>
    <row r="11398" spans="8:8" x14ac:dyDescent="0.3">
      <c r="H11398" t="str">
        <f t="shared" si="227"/>
        <v/>
      </c>
    </row>
    <row r="11399" spans="8:8" x14ac:dyDescent="0.3">
      <c r="H11399" t="str">
        <f t="shared" si="227"/>
        <v/>
      </c>
    </row>
    <row r="11400" spans="8:8" x14ac:dyDescent="0.3">
      <c r="H11400" t="str">
        <f t="shared" si="227"/>
        <v/>
      </c>
    </row>
    <row r="11401" spans="8:8" x14ac:dyDescent="0.3">
      <c r="H11401" t="str">
        <f t="shared" si="227"/>
        <v/>
      </c>
    </row>
    <row r="11402" spans="8:8" x14ac:dyDescent="0.3">
      <c r="H11402" t="str">
        <f t="shared" si="227"/>
        <v/>
      </c>
    </row>
    <row r="11403" spans="8:8" x14ac:dyDescent="0.3">
      <c r="H11403" t="str">
        <f t="shared" si="227"/>
        <v/>
      </c>
    </row>
    <row r="11404" spans="8:8" x14ac:dyDescent="0.3">
      <c r="H11404" t="str">
        <f t="shared" si="227"/>
        <v/>
      </c>
    </row>
    <row r="11405" spans="8:8" x14ac:dyDescent="0.3">
      <c r="H11405" t="str">
        <f t="shared" si="227"/>
        <v/>
      </c>
    </row>
    <row r="11406" spans="8:8" x14ac:dyDescent="0.3">
      <c r="H11406" t="str">
        <f t="shared" si="227"/>
        <v/>
      </c>
    </row>
    <row r="11407" spans="8:8" x14ac:dyDescent="0.3">
      <c r="H11407" t="str">
        <f t="shared" si="227"/>
        <v/>
      </c>
    </row>
    <row r="11408" spans="8:8" x14ac:dyDescent="0.3">
      <c r="H11408" t="str">
        <f t="shared" si="227"/>
        <v/>
      </c>
    </row>
    <row r="11409" spans="8:8" x14ac:dyDescent="0.3">
      <c r="H11409" t="str">
        <f t="shared" si="227"/>
        <v/>
      </c>
    </row>
    <row r="11410" spans="8:8" x14ac:dyDescent="0.3">
      <c r="H11410" t="str">
        <f t="shared" si="227"/>
        <v/>
      </c>
    </row>
    <row r="11411" spans="8:8" x14ac:dyDescent="0.3">
      <c r="H11411" t="str">
        <f t="shared" si="227"/>
        <v/>
      </c>
    </row>
    <row r="11412" spans="8:8" x14ac:dyDescent="0.3">
      <c r="H11412" t="str">
        <f t="shared" si="227"/>
        <v/>
      </c>
    </row>
    <row r="11413" spans="8:8" x14ac:dyDescent="0.3">
      <c r="H11413" t="str">
        <f t="shared" si="227"/>
        <v/>
      </c>
    </row>
    <row r="11414" spans="8:8" x14ac:dyDescent="0.3">
      <c r="H11414" t="str">
        <f t="shared" si="227"/>
        <v/>
      </c>
    </row>
    <row r="11415" spans="8:8" x14ac:dyDescent="0.3">
      <c r="H11415" t="str">
        <f t="shared" ref="H11415:H11478" si="228">IF(B11415="","",$C$12)</f>
        <v/>
      </c>
    </row>
    <row r="11416" spans="8:8" x14ac:dyDescent="0.3">
      <c r="H11416" t="str">
        <f t="shared" si="228"/>
        <v/>
      </c>
    </row>
    <row r="11417" spans="8:8" x14ac:dyDescent="0.3">
      <c r="H11417" t="str">
        <f t="shared" si="228"/>
        <v/>
      </c>
    </row>
    <row r="11418" spans="8:8" x14ac:dyDescent="0.3">
      <c r="H11418" t="str">
        <f t="shared" si="228"/>
        <v/>
      </c>
    </row>
    <row r="11419" spans="8:8" x14ac:dyDescent="0.3">
      <c r="H11419" t="str">
        <f t="shared" si="228"/>
        <v/>
      </c>
    </row>
    <row r="11420" spans="8:8" x14ac:dyDescent="0.3">
      <c r="H11420" t="str">
        <f t="shared" si="228"/>
        <v/>
      </c>
    </row>
    <row r="11421" spans="8:8" x14ac:dyDescent="0.3">
      <c r="H11421" t="str">
        <f t="shared" si="228"/>
        <v/>
      </c>
    </row>
    <row r="11422" spans="8:8" x14ac:dyDescent="0.3">
      <c r="H11422" t="str">
        <f t="shared" si="228"/>
        <v/>
      </c>
    </row>
    <row r="11423" spans="8:8" x14ac:dyDescent="0.3">
      <c r="H11423" t="str">
        <f t="shared" si="228"/>
        <v/>
      </c>
    </row>
    <row r="11424" spans="8:8" x14ac:dyDescent="0.3">
      <c r="H11424" t="str">
        <f t="shared" si="228"/>
        <v/>
      </c>
    </row>
    <row r="11425" spans="8:8" x14ac:dyDescent="0.3">
      <c r="H11425" t="str">
        <f t="shared" si="228"/>
        <v/>
      </c>
    </row>
    <row r="11426" spans="8:8" x14ac:dyDescent="0.3">
      <c r="H11426" t="str">
        <f t="shared" si="228"/>
        <v/>
      </c>
    </row>
    <row r="11427" spans="8:8" x14ac:dyDescent="0.3">
      <c r="H11427" t="str">
        <f t="shared" si="228"/>
        <v/>
      </c>
    </row>
    <row r="11428" spans="8:8" x14ac:dyDescent="0.3">
      <c r="H11428" t="str">
        <f t="shared" si="228"/>
        <v/>
      </c>
    </row>
    <row r="11429" spans="8:8" x14ac:dyDescent="0.3">
      <c r="H11429" t="str">
        <f t="shared" si="228"/>
        <v/>
      </c>
    </row>
    <row r="11430" spans="8:8" x14ac:dyDescent="0.3">
      <c r="H11430" t="str">
        <f t="shared" si="228"/>
        <v/>
      </c>
    </row>
    <row r="11431" spans="8:8" x14ac:dyDescent="0.3">
      <c r="H11431" t="str">
        <f t="shared" si="228"/>
        <v/>
      </c>
    </row>
    <row r="11432" spans="8:8" x14ac:dyDescent="0.3">
      <c r="H11432" t="str">
        <f t="shared" si="228"/>
        <v/>
      </c>
    </row>
    <row r="11433" spans="8:8" x14ac:dyDescent="0.3">
      <c r="H11433" t="str">
        <f t="shared" si="228"/>
        <v/>
      </c>
    </row>
    <row r="11434" spans="8:8" x14ac:dyDescent="0.3">
      <c r="H11434" t="str">
        <f t="shared" si="228"/>
        <v/>
      </c>
    </row>
    <row r="11435" spans="8:8" x14ac:dyDescent="0.3">
      <c r="H11435" t="str">
        <f t="shared" si="228"/>
        <v/>
      </c>
    </row>
    <row r="11436" spans="8:8" x14ac:dyDescent="0.3">
      <c r="H11436" t="str">
        <f t="shared" si="228"/>
        <v/>
      </c>
    </row>
    <row r="11437" spans="8:8" x14ac:dyDescent="0.3">
      <c r="H11437" t="str">
        <f t="shared" si="228"/>
        <v/>
      </c>
    </row>
    <row r="11438" spans="8:8" x14ac:dyDescent="0.3">
      <c r="H11438" t="str">
        <f t="shared" si="228"/>
        <v/>
      </c>
    </row>
    <row r="11439" spans="8:8" x14ac:dyDescent="0.3">
      <c r="H11439" t="str">
        <f t="shared" si="228"/>
        <v/>
      </c>
    </row>
    <row r="11440" spans="8:8" x14ac:dyDescent="0.3">
      <c r="H11440" t="str">
        <f t="shared" si="228"/>
        <v/>
      </c>
    </row>
    <row r="11441" spans="8:8" x14ac:dyDescent="0.3">
      <c r="H11441" t="str">
        <f t="shared" si="228"/>
        <v/>
      </c>
    </row>
    <row r="11442" spans="8:8" x14ac:dyDescent="0.3">
      <c r="H11442" t="str">
        <f t="shared" si="228"/>
        <v/>
      </c>
    </row>
    <row r="11443" spans="8:8" x14ac:dyDescent="0.3">
      <c r="H11443" t="str">
        <f t="shared" si="228"/>
        <v/>
      </c>
    </row>
    <row r="11444" spans="8:8" x14ac:dyDescent="0.3">
      <c r="H11444" t="str">
        <f t="shared" si="228"/>
        <v/>
      </c>
    </row>
    <row r="11445" spans="8:8" x14ac:dyDescent="0.3">
      <c r="H11445" t="str">
        <f t="shared" si="228"/>
        <v/>
      </c>
    </row>
    <row r="11446" spans="8:8" x14ac:dyDescent="0.3">
      <c r="H11446" t="str">
        <f t="shared" si="228"/>
        <v/>
      </c>
    </row>
    <row r="11447" spans="8:8" x14ac:dyDescent="0.3">
      <c r="H11447" t="str">
        <f t="shared" si="228"/>
        <v/>
      </c>
    </row>
    <row r="11448" spans="8:8" x14ac:dyDescent="0.3">
      <c r="H11448" t="str">
        <f t="shared" si="228"/>
        <v/>
      </c>
    </row>
    <row r="11449" spans="8:8" x14ac:dyDescent="0.3">
      <c r="H11449" t="str">
        <f t="shared" si="228"/>
        <v/>
      </c>
    </row>
    <row r="11450" spans="8:8" x14ac:dyDescent="0.3">
      <c r="H11450" t="str">
        <f t="shared" si="228"/>
        <v/>
      </c>
    </row>
    <row r="11451" spans="8:8" x14ac:dyDescent="0.3">
      <c r="H11451" t="str">
        <f t="shared" si="228"/>
        <v/>
      </c>
    </row>
    <row r="11452" spans="8:8" x14ac:dyDescent="0.3">
      <c r="H11452" t="str">
        <f t="shared" si="228"/>
        <v/>
      </c>
    </row>
    <row r="11453" spans="8:8" x14ac:dyDescent="0.3">
      <c r="H11453" t="str">
        <f t="shared" si="228"/>
        <v/>
      </c>
    </row>
    <row r="11454" spans="8:8" x14ac:dyDescent="0.3">
      <c r="H11454" t="str">
        <f t="shared" si="228"/>
        <v/>
      </c>
    </row>
    <row r="11455" spans="8:8" x14ac:dyDescent="0.3">
      <c r="H11455" t="str">
        <f t="shared" si="228"/>
        <v/>
      </c>
    </row>
    <row r="11456" spans="8:8" x14ac:dyDescent="0.3">
      <c r="H11456" t="str">
        <f t="shared" si="228"/>
        <v/>
      </c>
    </row>
    <row r="11457" spans="8:8" x14ac:dyDescent="0.3">
      <c r="H11457" t="str">
        <f t="shared" si="228"/>
        <v/>
      </c>
    </row>
    <row r="11458" spans="8:8" x14ac:dyDescent="0.3">
      <c r="H11458" t="str">
        <f t="shared" si="228"/>
        <v/>
      </c>
    </row>
    <row r="11459" spans="8:8" x14ac:dyDescent="0.3">
      <c r="H11459" t="str">
        <f t="shared" si="228"/>
        <v/>
      </c>
    </row>
    <row r="11460" spans="8:8" x14ac:dyDescent="0.3">
      <c r="H11460" t="str">
        <f t="shared" si="228"/>
        <v/>
      </c>
    </row>
    <row r="11461" spans="8:8" x14ac:dyDescent="0.3">
      <c r="H11461" t="str">
        <f t="shared" si="228"/>
        <v/>
      </c>
    </row>
    <row r="11462" spans="8:8" x14ac:dyDescent="0.3">
      <c r="H11462" t="str">
        <f t="shared" si="228"/>
        <v/>
      </c>
    </row>
    <row r="11463" spans="8:8" x14ac:dyDescent="0.3">
      <c r="H11463" t="str">
        <f t="shared" si="228"/>
        <v/>
      </c>
    </row>
    <row r="11464" spans="8:8" x14ac:dyDescent="0.3">
      <c r="H11464" t="str">
        <f t="shared" si="228"/>
        <v/>
      </c>
    </row>
    <row r="11465" spans="8:8" x14ac:dyDescent="0.3">
      <c r="H11465" t="str">
        <f t="shared" si="228"/>
        <v/>
      </c>
    </row>
    <row r="11466" spans="8:8" x14ac:dyDescent="0.3">
      <c r="H11466" t="str">
        <f t="shared" si="228"/>
        <v/>
      </c>
    </row>
    <row r="11467" spans="8:8" x14ac:dyDescent="0.3">
      <c r="H11467" t="str">
        <f t="shared" si="228"/>
        <v/>
      </c>
    </row>
    <row r="11468" spans="8:8" x14ac:dyDescent="0.3">
      <c r="H11468" t="str">
        <f t="shared" si="228"/>
        <v/>
      </c>
    </row>
    <row r="11469" spans="8:8" x14ac:dyDescent="0.3">
      <c r="H11469" t="str">
        <f t="shared" si="228"/>
        <v/>
      </c>
    </row>
    <row r="11470" spans="8:8" x14ac:dyDescent="0.3">
      <c r="H11470" t="str">
        <f t="shared" si="228"/>
        <v/>
      </c>
    </row>
    <row r="11471" spans="8:8" x14ac:dyDescent="0.3">
      <c r="H11471" t="str">
        <f t="shared" si="228"/>
        <v/>
      </c>
    </row>
    <row r="11472" spans="8:8" x14ac:dyDescent="0.3">
      <c r="H11472" t="str">
        <f t="shared" si="228"/>
        <v/>
      </c>
    </row>
    <row r="11473" spans="8:8" x14ac:dyDescent="0.3">
      <c r="H11473" t="str">
        <f t="shared" si="228"/>
        <v/>
      </c>
    </row>
    <row r="11474" spans="8:8" x14ac:dyDescent="0.3">
      <c r="H11474" t="str">
        <f t="shared" si="228"/>
        <v/>
      </c>
    </row>
    <row r="11475" spans="8:8" x14ac:dyDescent="0.3">
      <c r="H11475" t="str">
        <f t="shared" si="228"/>
        <v/>
      </c>
    </row>
    <row r="11476" spans="8:8" x14ac:dyDescent="0.3">
      <c r="H11476" t="str">
        <f t="shared" si="228"/>
        <v/>
      </c>
    </row>
    <row r="11477" spans="8:8" x14ac:dyDescent="0.3">
      <c r="H11477" t="str">
        <f t="shared" si="228"/>
        <v/>
      </c>
    </row>
    <row r="11478" spans="8:8" x14ac:dyDescent="0.3">
      <c r="H11478" t="str">
        <f t="shared" si="228"/>
        <v/>
      </c>
    </row>
    <row r="11479" spans="8:8" x14ac:dyDescent="0.3">
      <c r="H11479" t="str">
        <f t="shared" ref="H11479:H11542" si="229">IF(B11479="","",$C$12)</f>
        <v/>
      </c>
    </row>
    <row r="11480" spans="8:8" x14ac:dyDescent="0.3">
      <c r="H11480" t="str">
        <f t="shared" si="229"/>
        <v/>
      </c>
    </row>
    <row r="11481" spans="8:8" x14ac:dyDescent="0.3">
      <c r="H11481" t="str">
        <f t="shared" si="229"/>
        <v/>
      </c>
    </row>
    <row r="11482" spans="8:8" x14ac:dyDescent="0.3">
      <c r="H11482" t="str">
        <f t="shared" si="229"/>
        <v/>
      </c>
    </row>
    <row r="11483" spans="8:8" x14ac:dyDescent="0.3">
      <c r="H11483" t="str">
        <f t="shared" si="229"/>
        <v/>
      </c>
    </row>
    <row r="11484" spans="8:8" x14ac:dyDescent="0.3">
      <c r="H11484" t="str">
        <f t="shared" si="229"/>
        <v/>
      </c>
    </row>
    <row r="11485" spans="8:8" x14ac:dyDescent="0.3">
      <c r="H11485" t="str">
        <f t="shared" si="229"/>
        <v/>
      </c>
    </row>
    <row r="11486" spans="8:8" x14ac:dyDescent="0.3">
      <c r="H11486" t="str">
        <f t="shared" si="229"/>
        <v/>
      </c>
    </row>
    <row r="11487" spans="8:8" x14ac:dyDescent="0.3">
      <c r="H11487" t="str">
        <f t="shared" si="229"/>
        <v/>
      </c>
    </row>
    <row r="11488" spans="8:8" x14ac:dyDescent="0.3">
      <c r="H11488" t="str">
        <f t="shared" si="229"/>
        <v/>
      </c>
    </row>
    <row r="11489" spans="8:8" x14ac:dyDescent="0.3">
      <c r="H11489" t="str">
        <f t="shared" si="229"/>
        <v/>
      </c>
    </row>
    <row r="11490" spans="8:8" x14ac:dyDescent="0.3">
      <c r="H11490" t="str">
        <f t="shared" si="229"/>
        <v/>
      </c>
    </row>
    <row r="11491" spans="8:8" x14ac:dyDescent="0.3">
      <c r="H11491" t="str">
        <f t="shared" si="229"/>
        <v/>
      </c>
    </row>
    <row r="11492" spans="8:8" x14ac:dyDescent="0.3">
      <c r="H11492" t="str">
        <f t="shared" si="229"/>
        <v/>
      </c>
    </row>
    <row r="11493" spans="8:8" x14ac:dyDescent="0.3">
      <c r="H11493" t="str">
        <f t="shared" si="229"/>
        <v/>
      </c>
    </row>
    <row r="11494" spans="8:8" x14ac:dyDescent="0.3">
      <c r="H11494" t="str">
        <f t="shared" si="229"/>
        <v/>
      </c>
    </row>
    <row r="11495" spans="8:8" x14ac:dyDescent="0.3">
      <c r="H11495" t="str">
        <f t="shared" si="229"/>
        <v/>
      </c>
    </row>
    <row r="11496" spans="8:8" x14ac:dyDescent="0.3">
      <c r="H11496" t="str">
        <f t="shared" si="229"/>
        <v/>
      </c>
    </row>
    <row r="11497" spans="8:8" x14ac:dyDescent="0.3">
      <c r="H11497" t="str">
        <f t="shared" si="229"/>
        <v/>
      </c>
    </row>
    <row r="11498" spans="8:8" x14ac:dyDescent="0.3">
      <c r="H11498" t="str">
        <f t="shared" si="229"/>
        <v/>
      </c>
    </row>
    <row r="11499" spans="8:8" x14ac:dyDescent="0.3">
      <c r="H11499" t="str">
        <f t="shared" si="229"/>
        <v/>
      </c>
    </row>
    <row r="11500" spans="8:8" x14ac:dyDescent="0.3">
      <c r="H11500" t="str">
        <f t="shared" si="229"/>
        <v/>
      </c>
    </row>
    <row r="11501" spans="8:8" x14ac:dyDescent="0.3">
      <c r="H11501" t="str">
        <f t="shared" si="229"/>
        <v/>
      </c>
    </row>
    <row r="11502" spans="8:8" x14ac:dyDescent="0.3">
      <c r="H11502" t="str">
        <f t="shared" si="229"/>
        <v/>
      </c>
    </row>
    <row r="11503" spans="8:8" x14ac:dyDescent="0.3">
      <c r="H11503" t="str">
        <f t="shared" si="229"/>
        <v/>
      </c>
    </row>
    <row r="11504" spans="8:8" x14ac:dyDescent="0.3">
      <c r="H11504" t="str">
        <f t="shared" si="229"/>
        <v/>
      </c>
    </row>
    <row r="11505" spans="8:8" x14ac:dyDescent="0.3">
      <c r="H11505" t="str">
        <f t="shared" si="229"/>
        <v/>
      </c>
    </row>
    <row r="11506" spans="8:8" x14ac:dyDescent="0.3">
      <c r="H11506" t="str">
        <f t="shared" si="229"/>
        <v/>
      </c>
    </row>
    <row r="11507" spans="8:8" x14ac:dyDescent="0.3">
      <c r="H11507" t="str">
        <f t="shared" si="229"/>
        <v/>
      </c>
    </row>
    <row r="11508" spans="8:8" x14ac:dyDescent="0.3">
      <c r="H11508" t="str">
        <f t="shared" si="229"/>
        <v/>
      </c>
    </row>
    <row r="11509" spans="8:8" x14ac:dyDescent="0.3">
      <c r="H11509" t="str">
        <f t="shared" si="229"/>
        <v/>
      </c>
    </row>
    <row r="11510" spans="8:8" x14ac:dyDescent="0.3">
      <c r="H11510" t="str">
        <f t="shared" si="229"/>
        <v/>
      </c>
    </row>
    <row r="11511" spans="8:8" x14ac:dyDescent="0.3">
      <c r="H11511" t="str">
        <f t="shared" si="229"/>
        <v/>
      </c>
    </row>
    <row r="11512" spans="8:8" x14ac:dyDescent="0.3">
      <c r="H11512" t="str">
        <f t="shared" si="229"/>
        <v/>
      </c>
    </row>
    <row r="11513" spans="8:8" x14ac:dyDescent="0.3">
      <c r="H11513" t="str">
        <f t="shared" si="229"/>
        <v/>
      </c>
    </row>
    <row r="11514" spans="8:8" x14ac:dyDescent="0.3">
      <c r="H11514" t="str">
        <f t="shared" si="229"/>
        <v/>
      </c>
    </row>
    <row r="11515" spans="8:8" x14ac:dyDescent="0.3">
      <c r="H11515" t="str">
        <f t="shared" si="229"/>
        <v/>
      </c>
    </row>
    <row r="11516" spans="8:8" x14ac:dyDescent="0.3">
      <c r="H11516" t="str">
        <f t="shared" si="229"/>
        <v/>
      </c>
    </row>
    <row r="11517" spans="8:8" x14ac:dyDescent="0.3">
      <c r="H11517" t="str">
        <f t="shared" si="229"/>
        <v/>
      </c>
    </row>
    <row r="11518" spans="8:8" x14ac:dyDescent="0.3">
      <c r="H11518" t="str">
        <f t="shared" si="229"/>
        <v/>
      </c>
    </row>
    <row r="11519" spans="8:8" x14ac:dyDescent="0.3">
      <c r="H11519" t="str">
        <f t="shared" si="229"/>
        <v/>
      </c>
    </row>
    <row r="11520" spans="8:8" x14ac:dyDescent="0.3">
      <c r="H11520" t="str">
        <f t="shared" si="229"/>
        <v/>
      </c>
    </row>
    <row r="11521" spans="8:8" x14ac:dyDescent="0.3">
      <c r="H11521" t="str">
        <f t="shared" si="229"/>
        <v/>
      </c>
    </row>
    <row r="11522" spans="8:8" x14ac:dyDescent="0.3">
      <c r="H11522" t="str">
        <f t="shared" si="229"/>
        <v/>
      </c>
    </row>
    <row r="11523" spans="8:8" x14ac:dyDescent="0.3">
      <c r="H11523" t="str">
        <f t="shared" si="229"/>
        <v/>
      </c>
    </row>
    <row r="11524" spans="8:8" x14ac:dyDescent="0.3">
      <c r="H11524" t="str">
        <f t="shared" si="229"/>
        <v/>
      </c>
    </row>
    <row r="11525" spans="8:8" x14ac:dyDescent="0.3">
      <c r="H11525" t="str">
        <f t="shared" si="229"/>
        <v/>
      </c>
    </row>
    <row r="11526" spans="8:8" x14ac:dyDescent="0.3">
      <c r="H11526" t="str">
        <f t="shared" si="229"/>
        <v/>
      </c>
    </row>
    <row r="11527" spans="8:8" x14ac:dyDescent="0.3">
      <c r="H11527" t="str">
        <f t="shared" si="229"/>
        <v/>
      </c>
    </row>
    <row r="11528" spans="8:8" x14ac:dyDescent="0.3">
      <c r="H11528" t="str">
        <f t="shared" si="229"/>
        <v/>
      </c>
    </row>
    <row r="11529" spans="8:8" x14ac:dyDescent="0.3">
      <c r="H11529" t="str">
        <f t="shared" si="229"/>
        <v/>
      </c>
    </row>
    <row r="11530" spans="8:8" x14ac:dyDescent="0.3">
      <c r="H11530" t="str">
        <f t="shared" si="229"/>
        <v/>
      </c>
    </row>
    <row r="11531" spans="8:8" x14ac:dyDescent="0.3">
      <c r="H11531" t="str">
        <f t="shared" si="229"/>
        <v/>
      </c>
    </row>
    <row r="11532" spans="8:8" x14ac:dyDescent="0.3">
      <c r="H11532" t="str">
        <f t="shared" si="229"/>
        <v/>
      </c>
    </row>
    <row r="11533" spans="8:8" x14ac:dyDescent="0.3">
      <c r="H11533" t="str">
        <f t="shared" si="229"/>
        <v/>
      </c>
    </row>
    <row r="11534" spans="8:8" x14ac:dyDescent="0.3">
      <c r="H11534" t="str">
        <f t="shared" si="229"/>
        <v/>
      </c>
    </row>
    <row r="11535" spans="8:8" x14ac:dyDescent="0.3">
      <c r="H11535" t="str">
        <f t="shared" si="229"/>
        <v/>
      </c>
    </row>
    <row r="11536" spans="8:8" x14ac:dyDescent="0.3">
      <c r="H11536" t="str">
        <f t="shared" si="229"/>
        <v/>
      </c>
    </row>
    <row r="11537" spans="8:8" x14ac:dyDescent="0.3">
      <c r="H11537" t="str">
        <f t="shared" si="229"/>
        <v/>
      </c>
    </row>
    <row r="11538" spans="8:8" x14ac:dyDescent="0.3">
      <c r="H11538" t="str">
        <f t="shared" si="229"/>
        <v/>
      </c>
    </row>
    <row r="11539" spans="8:8" x14ac:dyDescent="0.3">
      <c r="H11539" t="str">
        <f t="shared" si="229"/>
        <v/>
      </c>
    </row>
    <row r="11540" spans="8:8" x14ac:dyDescent="0.3">
      <c r="H11540" t="str">
        <f t="shared" si="229"/>
        <v/>
      </c>
    </row>
    <row r="11541" spans="8:8" x14ac:dyDescent="0.3">
      <c r="H11541" t="str">
        <f t="shared" si="229"/>
        <v/>
      </c>
    </row>
    <row r="11542" spans="8:8" x14ac:dyDescent="0.3">
      <c r="H11542" t="str">
        <f t="shared" si="229"/>
        <v/>
      </c>
    </row>
    <row r="11543" spans="8:8" x14ac:dyDescent="0.3">
      <c r="H11543" t="str">
        <f t="shared" ref="H11543:H11606" si="230">IF(B11543="","",$C$12)</f>
        <v/>
      </c>
    </row>
    <row r="11544" spans="8:8" x14ac:dyDescent="0.3">
      <c r="H11544" t="str">
        <f t="shared" si="230"/>
        <v/>
      </c>
    </row>
    <row r="11545" spans="8:8" x14ac:dyDescent="0.3">
      <c r="H11545" t="str">
        <f t="shared" si="230"/>
        <v/>
      </c>
    </row>
    <row r="11546" spans="8:8" x14ac:dyDescent="0.3">
      <c r="H11546" t="str">
        <f t="shared" si="230"/>
        <v/>
      </c>
    </row>
    <row r="11547" spans="8:8" x14ac:dyDescent="0.3">
      <c r="H11547" t="str">
        <f t="shared" si="230"/>
        <v/>
      </c>
    </row>
    <row r="11548" spans="8:8" x14ac:dyDescent="0.3">
      <c r="H11548" t="str">
        <f t="shared" si="230"/>
        <v/>
      </c>
    </row>
    <row r="11549" spans="8:8" x14ac:dyDescent="0.3">
      <c r="H11549" t="str">
        <f t="shared" si="230"/>
        <v/>
      </c>
    </row>
    <row r="11550" spans="8:8" x14ac:dyDescent="0.3">
      <c r="H11550" t="str">
        <f t="shared" si="230"/>
        <v/>
      </c>
    </row>
    <row r="11551" spans="8:8" x14ac:dyDescent="0.3">
      <c r="H11551" t="str">
        <f t="shared" si="230"/>
        <v/>
      </c>
    </row>
    <row r="11552" spans="8:8" x14ac:dyDescent="0.3">
      <c r="H11552" t="str">
        <f t="shared" si="230"/>
        <v/>
      </c>
    </row>
    <row r="11553" spans="8:8" x14ac:dyDescent="0.3">
      <c r="H11553" t="str">
        <f t="shared" si="230"/>
        <v/>
      </c>
    </row>
    <row r="11554" spans="8:8" x14ac:dyDescent="0.3">
      <c r="H11554" t="str">
        <f t="shared" si="230"/>
        <v/>
      </c>
    </row>
    <row r="11555" spans="8:8" x14ac:dyDescent="0.3">
      <c r="H11555" t="str">
        <f t="shared" si="230"/>
        <v/>
      </c>
    </row>
    <row r="11556" spans="8:8" x14ac:dyDescent="0.3">
      <c r="H11556" t="str">
        <f t="shared" si="230"/>
        <v/>
      </c>
    </row>
    <row r="11557" spans="8:8" x14ac:dyDescent="0.3">
      <c r="H11557" t="str">
        <f t="shared" si="230"/>
        <v/>
      </c>
    </row>
    <row r="11558" spans="8:8" x14ac:dyDescent="0.3">
      <c r="H11558" t="str">
        <f t="shared" si="230"/>
        <v/>
      </c>
    </row>
    <row r="11559" spans="8:8" x14ac:dyDescent="0.3">
      <c r="H11559" t="str">
        <f t="shared" si="230"/>
        <v/>
      </c>
    </row>
    <row r="11560" spans="8:8" x14ac:dyDescent="0.3">
      <c r="H11560" t="str">
        <f t="shared" si="230"/>
        <v/>
      </c>
    </row>
    <row r="11561" spans="8:8" x14ac:dyDescent="0.3">
      <c r="H11561" t="str">
        <f t="shared" si="230"/>
        <v/>
      </c>
    </row>
    <row r="11562" spans="8:8" x14ac:dyDescent="0.3">
      <c r="H11562" t="str">
        <f t="shared" si="230"/>
        <v/>
      </c>
    </row>
    <row r="11563" spans="8:8" x14ac:dyDescent="0.3">
      <c r="H11563" t="str">
        <f t="shared" si="230"/>
        <v/>
      </c>
    </row>
    <row r="11564" spans="8:8" x14ac:dyDescent="0.3">
      <c r="H11564" t="str">
        <f t="shared" si="230"/>
        <v/>
      </c>
    </row>
    <row r="11565" spans="8:8" x14ac:dyDescent="0.3">
      <c r="H11565" t="str">
        <f t="shared" si="230"/>
        <v/>
      </c>
    </row>
    <row r="11566" spans="8:8" x14ac:dyDescent="0.3">
      <c r="H11566" t="str">
        <f t="shared" si="230"/>
        <v/>
      </c>
    </row>
    <row r="11567" spans="8:8" x14ac:dyDescent="0.3">
      <c r="H11567" t="str">
        <f t="shared" si="230"/>
        <v/>
      </c>
    </row>
    <row r="11568" spans="8:8" x14ac:dyDescent="0.3">
      <c r="H11568" t="str">
        <f t="shared" si="230"/>
        <v/>
      </c>
    </row>
    <row r="11569" spans="8:8" x14ac:dyDescent="0.3">
      <c r="H11569" t="str">
        <f t="shared" si="230"/>
        <v/>
      </c>
    </row>
    <row r="11570" spans="8:8" x14ac:dyDescent="0.3">
      <c r="H11570" t="str">
        <f t="shared" si="230"/>
        <v/>
      </c>
    </row>
    <row r="11571" spans="8:8" x14ac:dyDescent="0.3">
      <c r="H11571" t="str">
        <f t="shared" si="230"/>
        <v/>
      </c>
    </row>
    <row r="11572" spans="8:8" x14ac:dyDescent="0.3">
      <c r="H11572" t="str">
        <f t="shared" si="230"/>
        <v/>
      </c>
    </row>
    <row r="11573" spans="8:8" x14ac:dyDescent="0.3">
      <c r="H11573" t="str">
        <f t="shared" si="230"/>
        <v/>
      </c>
    </row>
    <row r="11574" spans="8:8" x14ac:dyDescent="0.3">
      <c r="H11574" t="str">
        <f t="shared" si="230"/>
        <v/>
      </c>
    </row>
    <row r="11575" spans="8:8" x14ac:dyDescent="0.3">
      <c r="H11575" t="str">
        <f t="shared" si="230"/>
        <v/>
      </c>
    </row>
    <row r="11576" spans="8:8" x14ac:dyDescent="0.3">
      <c r="H11576" t="str">
        <f t="shared" si="230"/>
        <v/>
      </c>
    </row>
    <row r="11577" spans="8:8" x14ac:dyDescent="0.3">
      <c r="H11577" t="str">
        <f t="shared" si="230"/>
        <v/>
      </c>
    </row>
    <row r="11578" spans="8:8" x14ac:dyDescent="0.3">
      <c r="H11578" t="str">
        <f t="shared" si="230"/>
        <v/>
      </c>
    </row>
    <row r="11579" spans="8:8" x14ac:dyDescent="0.3">
      <c r="H11579" t="str">
        <f t="shared" si="230"/>
        <v/>
      </c>
    </row>
    <row r="11580" spans="8:8" x14ac:dyDescent="0.3">
      <c r="H11580" t="str">
        <f t="shared" si="230"/>
        <v/>
      </c>
    </row>
    <row r="11581" spans="8:8" x14ac:dyDescent="0.3">
      <c r="H11581" t="str">
        <f t="shared" si="230"/>
        <v/>
      </c>
    </row>
    <row r="11582" spans="8:8" x14ac:dyDescent="0.3">
      <c r="H11582" t="str">
        <f t="shared" si="230"/>
        <v/>
      </c>
    </row>
    <row r="11583" spans="8:8" x14ac:dyDescent="0.3">
      <c r="H11583" t="str">
        <f t="shared" si="230"/>
        <v/>
      </c>
    </row>
    <row r="11584" spans="8:8" x14ac:dyDescent="0.3">
      <c r="H11584" t="str">
        <f t="shared" si="230"/>
        <v/>
      </c>
    </row>
    <row r="11585" spans="8:8" x14ac:dyDescent="0.3">
      <c r="H11585" t="str">
        <f t="shared" si="230"/>
        <v/>
      </c>
    </row>
    <row r="11586" spans="8:8" x14ac:dyDescent="0.3">
      <c r="H11586" t="str">
        <f t="shared" si="230"/>
        <v/>
      </c>
    </row>
    <row r="11587" spans="8:8" x14ac:dyDescent="0.3">
      <c r="H11587" t="str">
        <f t="shared" si="230"/>
        <v/>
      </c>
    </row>
    <row r="11588" spans="8:8" x14ac:dyDescent="0.3">
      <c r="H11588" t="str">
        <f t="shared" si="230"/>
        <v/>
      </c>
    </row>
    <row r="11589" spans="8:8" x14ac:dyDescent="0.3">
      <c r="H11589" t="str">
        <f t="shared" si="230"/>
        <v/>
      </c>
    </row>
    <row r="11590" spans="8:8" x14ac:dyDescent="0.3">
      <c r="H11590" t="str">
        <f t="shared" si="230"/>
        <v/>
      </c>
    </row>
    <row r="11591" spans="8:8" x14ac:dyDescent="0.3">
      <c r="H11591" t="str">
        <f t="shared" si="230"/>
        <v/>
      </c>
    </row>
    <row r="11592" spans="8:8" x14ac:dyDescent="0.3">
      <c r="H11592" t="str">
        <f t="shared" si="230"/>
        <v/>
      </c>
    </row>
    <row r="11593" spans="8:8" x14ac:dyDescent="0.3">
      <c r="H11593" t="str">
        <f t="shared" si="230"/>
        <v/>
      </c>
    </row>
    <row r="11594" spans="8:8" x14ac:dyDescent="0.3">
      <c r="H11594" t="str">
        <f t="shared" si="230"/>
        <v/>
      </c>
    </row>
    <row r="11595" spans="8:8" x14ac:dyDescent="0.3">
      <c r="H11595" t="str">
        <f t="shared" si="230"/>
        <v/>
      </c>
    </row>
    <row r="11596" spans="8:8" x14ac:dyDescent="0.3">
      <c r="H11596" t="str">
        <f t="shared" si="230"/>
        <v/>
      </c>
    </row>
    <row r="11597" spans="8:8" x14ac:dyDescent="0.3">
      <c r="H11597" t="str">
        <f t="shared" si="230"/>
        <v/>
      </c>
    </row>
    <row r="11598" spans="8:8" x14ac:dyDescent="0.3">
      <c r="H11598" t="str">
        <f t="shared" si="230"/>
        <v/>
      </c>
    </row>
    <row r="11599" spans="8:8" x14ac:dyDescent="0.3">
      <c r="H11599" t="str">
        <f t="shared" si="230"/>
        <v/>
      </c>
    </row>
    <row r="11600" spans="8:8" x14ac:dyDescent="0.3">
      <c r="H11600" t="str">
        <f t="shared" si="230"/>
        <v/>
      </c>
    </row>
    <row r="11601" spans="8:8" x14ac:dyDescent="0.3">
      <c r="H11601" t="str">
        <f t="shared" si="230"/>
        <v/>
      </c>
    </row>
    <row r="11602" spans="8:8" x14ac:dyDescent="0.3">
      <c r="H11602" t="str">
        <f t="shared" si="230"/>
        <v/>
      </c>
    </row>
    <row r="11603" spans="8:8" x14ac:dyDescent="0.3">
      <c r="H11603" t="str">
        <f t="shared" si="230"/>
        <v/>
      </c>
    </row>
    <row r="11604" spans="8:8" x14ac:dyDescent="0.3">
      <c r="H11604" t="str">
        <f t="shared" si="230"/>
        <v/>
      </c>
    </row>
    <row r="11605" spans="8:8" x14ac:dyDescent="0.3">
      <c r="H11605" t="str">
        <f t="shared" si="230"/>
        <v/>
      </c>
    </row>
    <row r="11606" spans="8:8" x14ac:dyDescent="0.3">
      <c r="H11606" t="str">
        <f t="shared" si="230"/>
        <v/>
      </c>
    </row>
    <row r="11607" spans="8:8" x14ac:dyDescent="0.3">
      <c r="H11607" t="str">
        <f t="shared" ref="H11607:H11670" si="231">IF(B11607="","",$C$12)</f>
        <v/>
      </c>
    </row>
    <row r="11608" spans="8:8" x14ac:dyDescent="0.3">
      <c r="H11608" t="str">
        <f t="shared" si="231"/>
        <v/>
      </c>
    </row>
    <row r="11609" spans="8:8" x14ac:dyDescent="0.3">
      <c r="H11609" t="str">
        <f t="shared" si="231"/>
        <v/>
      </c>
    </row>
    <row r="11610" spans="8:8" x14ac:dyDescent="0.3">
      <c r="H11610" t="str">
        <f t="shared" si="231"/>
        <v/>
      </c>
    </row>
    <row r="11611" spans="8:8" x14ac:dyDescent="0.3">
      <c r="H11611" t="str">
        <f t="shared" si="231"/>
        <v/>
      </c>
    </row>
    <row r="11612" spans="8:8" x14ac:dyDescent="0.3">
      <c r="H11612" t="str">
        <f t="shared" si="231"/>
        <v/>
      </c>
    </row>
    <row r="11613" spans="8:8" x14ac:dyDescent="0.3">
      <c r="H11613" t="str">
        <f t="shared" si="231"/>
        <v/>
      </c>
    </row>
    <row r="11614" spans="8:8" x14ac:dyDescent="0.3">
      <c r="H11614" t="str">
        <f t="shared" si="231"/>
        <v/>
      </c>
    </row>
    <row r="11615" spans="8:8" x14ac:dyDescent="0.3">
      <c r="H11615" t="str">
        <f t="shared" si="231"/>
        <v/>
      </c>
    </row>
    <row r="11616" spans="8:8" x14ac:dyDescent="0.3">
      <c r="H11616" t="str">
        <f t="shared" si="231"/>
        <v/>
      </c>
    </row>
    <row r="11617" spans="8:8" x14ac:dyDescent="0.3">
      <c r="H11617" t="str">
        <f t="shared" si="231"/>
        <v/>
      </c>
    </row>
    <row r="11618" spans="8:8" x14ac:dyDescent="0.3">
      <c r="H11618" t="str">
        <f t="shared" si="231"/>
        <v/>
      </c>
    </row>
    <row r="11619" spans="8:8" x14ac:dyDescent="0.3">
      <c r="H11619" t="str">
        <f t="shared" si="231"/>
        <v/>
      </c>
    </row>
    <row r="11620" spans="8:8" x14ac:dyDescent="0.3">
      <c r="H11620" t="str">
        <f t="shared" si="231"/>
        <v/>
      </c>
    </row>
    <row r="11621" spans="8:8" x14ac:dyDescent="0.3">
      <c r="H11621" t="str">
        <f t="shared" si="231"/>
        <v/>
      </c>
    </row>
    <row r="11622" spans="8:8" x14ac:dyDescent="0.3">
      <c r="H11622" t="str">
        <f t="shared" si="231"/>
        <v/>
      </c>
    </row>
    <row r="11623" spans="8:8" x14ac:dyDescent="0.3">
      <c r="H11623" t="str">
        <f t="shared" si="231"/>
        <v/>
      </c>
    </row>
    <row r="11624" spans="8:8" x14ac:dyDescent="0.3">
      <c r="H11624" t="str">
        <f t="shared" si="231"/>
        <v/>
      </c>
    </row>
    <row r="11625" spans="8:8" x14ac:dyDescent="0.3">
      <c r="H11625" t="str">
        <f t="shared" si="231"/>
        <v/>
      </c>
    </row>
    <row r="11626" spans="8:8" x14ac:dyDescent="0.3">
      <c r="H11626" t="str">
        <f t="shared" si="231"/>
        <v/>
      </c>
    </row>
    <row r="11627" spans="8:8" x14ac:dyDescent="0.3">
      <c r="H11627" t="str">
        <f t="shared" si="231"/>
        <v/>
      </c>
    </row>
    <row r="11628" spans="8:8" x14ac:dyDescent="0.3">
      <c r="H11628" t="str">
        <f t="shared" si="231"/>
        <v/>
      </c>
    </row>
    <row r="11629" spans="8:8" x14ac:dyDescent="0.3">
      <c r="H11629" t="str">
        <f t="shared" si="231"/>
        <v/>
      </c>
    </row>
    <row r="11630" spans="8:8" x14ac:dyDescent="0.3">
      <c r="H11630" t="str">
        <f t="shared" si="231"/>
        <v/>
      </c>
    </row>
    <row r="11631" spans="8:8" x14ac:dyDescent="0.3">
      <c r="H11631" t="str">
        <f t="shared" si="231"/>
        <v/>
      </c>
    </row>
    <row r="11632" spans="8:8" x14ac:dyDescent="0.3">
      <c r="H11632" t="str">
        <f t="shared" si="231"/>
        <v/>
      </c>
    </row>
    <row r="11633" spans="8:8" x14ac:dyDescent="0.3">
      <c r="H11633" t="str">
        <f t="shared" si="231"/>
        <v/>
      </c>
    </row>
    <row r="11634" spans="8:8" x14ac:dyDescent="0.3">
      <c r="H11634" t="str">
        <f t="shared" si="231"/>
        <v/>
      </c>
    </row>
    <row r="11635" spans="8:8" x14ac:dyDescent="0.3">
      <c r="H11635" t="str">
        <f t="shared" si="231"/>
        <v/>
      </c>
    </row>
    <row r="11636" spans="8:8" x14ac:dyDescent="0.3">
      <c r="H11636" t="str">
        <f t="shared" si="231"/>
        <v/>
      </c>
    </row>
    <row r="11637" spans="8:8" x14ac:dyDescent="0.3">
      <c r="H11637" t="str">
        <f t="shared" si="231"/>
        <v/>
      </c>
    </row>
    <row r="11638" spans="8:8" x14ac:dyDescent="0.3">
      <c r="H11638" t="str">
        <f t="shared" si="231"/>
        <v/>
      </c>
    </row>
    <row r="11639" spans="8:8" x14ac:dyDescent="0.3">
      <c r="H11639" t="str">
        <f t="shared" si="231"/>
        <v/>
      </c>
    </row>
    <row r="11640" spans="8:8" x14ac:dyDescent="0.3">
      <c r="H11640" t="str">
        <f t="shared" si="231"/>
        <v/>
      </c>
    </row>
    <row r="11641" spans="8:8" x14ac:dyDescent="0.3">
      <c r="H11641" t="str">
        <f t="shared" si="231"/>
        <v/>
      </c>
    </row>
    <row r="11642" spans="8:8" x14ac:dyDescent="0.3">
      <c r="H11642" t="str">
        <f t="shared" si="231"/>
        <v/>
      </c>
    </row>
    <row r="11643" spans="8:8" x14ac:dyDescent="0.3">
      <c r="H11643" t="str">
        <f t="shared" si="231"/>
        <v/>
      </c>
    </row>
    <row r="11644" spans="8:8" x14ac:dyDescent="0.3">
      <c r="H11644" t="str">
        <f t="shared" si="231"/>
        <v/>
      </c>
    </row>
    <row r="11645" spans="8:8" x14ac:dyDescent="0.3">
      <c r="H11645" t="str">
        <f t="shared" si="231"/>
        <v/>
      </c>
    </row>
    <row r="11646" spans="8:8" x14ac:dyDescent="0.3">
      <c r="H11646" t="str">
        <f t="shared" si="231"/>
        <v/>
      </c>
    </row>
    <row r="11647" spans="8:8" x14ac:dyDescent="0.3">
      <c r="H11647" t="str">
        <f t="shared" si="231"/>
        <v/>
      </c>
    </row>
    <row r="11648" spans="8:8" x14ac:dyDescent="0.3">
      <c r="H11648" t="str">
        <f t="shared" si="231"/>
        <v/>
      </c>
    </row>
    <row r="11649" spans="8:8" x14ac:dyDescent="0.3">
      <c r="H11649" t="str">
        <f t="shared" si="231"/>
        <v/>
      </c>
    </row>
    <row r="11650" spans="8:8" x14ac:dyDescent="0.3">
      <c r="H11650" t="str">
        <f t="shared" si="231"/>
        <v/>
      </c>
    </row>
    <row r="11651" spans="8:8" x14ac:dyDescent="0.3">
      <c r="H11651" t="str">
        <f t="shared" si="231"/>
        <v/>
      </c>
    </row>
    <row r="11652" spans="8:8" x14ac:dyDescent="0.3">
      <c r="H11652" t="str">
        <f t="shared" si="231"/>
        <v/>
      </c>
    </row>
    <row r="11653" spans="8:8" x14ac:dyDescent="0.3">
      <c r="H11653" t="str">
        <f t="shared" si="231"/>
        <v/>
      </c>
    </row>
    <row r="11654" spans="8:8" x14ac:dyDescent="0.3">
      <c r="H11654" t="str">
        <f t="shared" si="231"/>
        <v/>
      </c>
    </row>
    <row r="11655" spans="8:8" x14ac:dyDescent="0.3">
      <c r="H11655" t="str">
        <f t="shared" si="231"/>
        <v/>
      </c>
    </row>
    <row r="11656" spans="8:8" x14ac:dyDescent="0.3">
      <c r="H11656" t="str">
        <f t="shared" si="231"/>
        <v/>
      </c>
    </row>
    <row r="11657" spans="8:8" x14ac:dyDescent="0.3">
      <c r="H11657" t="str">
        <f t="shared" si="231"/>
        <v/>
      </c>
    </row>
    <row r="11658" spans="8:8" x14ac:dyDescent="0.3">
      <c r="H11658" t="str">
        <f t="shared" si="231"/>
        <v/>
      </c>
    </row>
    <row r="11659" spans="8:8" x14ac:dyDescent="0.3">
      <c r="H11659" t="str">
        <f t="shared" si="231"/>
        <v/>
      </c>
    </row>
    <row r="11660" spans="8:8" x14ac:dyDescent="0.3">
      <c r="H11660" t="str">
        <f t="shared" si="231"/>
        <v/>
      </c>
    </row>
    <row r="11661" spans="8:8" x14ac:dyDescent="0.3">
      <c r="H11661" t="str">
        <f t="shared" si="231"/>
        <v/>
      </c>
    </row>
    <row r="11662" spans="8:8" x14ac:dyDescent="0.3">
      <c r="H11662" t="str">
        <f t="shared" si="231"/>
        <v/>
      </c>
    </row>
    <row r="11663" spans="8:8" x14ac:dyDescent="0.3">
      <c r="H11663" t="str">
        <f t="shared" si="231"/>
        <v/>
      </c>
    </row>
    <row r="11664" spans="8:8" x14ac:dyDescent="0.3">
      <c r="H11664" t="str">
        <f t="shared" si="231"/>
        <v/>
      </c>
    </row>
    <row r="11665" spans="8:8" x14ac:dyDescent="0.3">
      <c r="H11665" t="str">
        <f t="shared" si="231"/>
        <v/>
      </c>
    </row>
    <row r="11666" spans="8:8" x14ac:dyDescent="0.3">
      <c r="H11666" t="str">
        <f t="shared" si="231"/>
        <v/>
      </c>
    </row>
    <row r="11667" spans="8:8" x14ac:dyDescent="0.3">
      <c r="H11667" t="str">
        <f t="shared" si="231"/>
        <v/>
      </c>
    </row>
    <row r="11668" spans="8:8" x14ac:dyDescent="0.3">
      <c r="H11668" t="str">
        <f t="shared" si="231"/>
        <v/>
      </c>
    </row>
    <row r="11669" spans="8:8" x14ac:dyDescent="0.3">
      <c r="H11669" t="str">
        <f t="shared" si="231"/>
        <v/>
      </c>
    </row>
    <row r="11670" spans="8:8" x14ac:dyDescent="0.3">
      <c r="H11670" t="str">
        <f t="shared" si="231"/>
        <v/>
      </c>
    </row>
    <row r="11671" spans="8:8" x14ac:dyDescent="0.3">
      <c r="H11671" t="str">
        <f t="shared" ref="H11671:H11734" si="232">IF(B11671="","",$C$12)</f>
        <v/>
      </c>
    </row>
    <row r="11672" spans="8:8" x14ac:dyDescent="0.3">
      <c r="H11672" t="str">
        <f t="shared" si="232"/>
        <v/>
      </c>
    </row>
    <row r="11673" spans="8:8" x14ac:dyDescent="0.3">
      <c r="H11673" t="str">
        <f t="shared" si="232"/>
        <v/>
      </c>
    </row>
    <row r="11674" spans="8:8" x14ac:dyDescent="0.3">
      <c r="H11674" t="str">
        <f t="shared" si="232"/>
        <v/>
      </c>
    </row>
    <row r="11675" spans="8:8" x14ac:dyDescent="0.3">
      <c r="H11675" t="str">
        <f t="shared" si="232"/>
        <v/>
      </c>
    </row>
    <row r="11676" spans="8:8" x14ac:dyDescent="0.3">
      <c r="H11676" t="str">
        <f t="shared" si="232"/>
        <v/>
      </c>
    </row>
    <row r="11677" spans="8:8" x14ac:dyDescent="0.3">
      <c r="H11677" t="str">
        <f t="shared" si="232"/>
        <v/>
      </c>
    </row>
    <row r="11678" spans="8:8" x14ac:dyDescent="0.3">
      <c r="H11678" t="str">
        <f t="shared" si="232"/>
        <v/>
      </c>
    </row>
    <row r="11679" spans="8:8" x14ac:dyDescent="0.3">
      <c r="H11679" t="str">
        <f t="shared" si="232"/>
        <v/>
      </c>
    </row>
    <row r="11680" spans="8:8" x14ac:dyDescent="0.3">
      <c r="H11680" t="str">
        <f t="shared" si="232"/>
        <v/>
      </c>
    </row>
    <row r="11681" spans="8:8" x14ac:dyDescent="0.3">
      <c r="H11681" t="str">
        <f t="shared" si="232"/>
        <v/>
      </c>
    </row>
    <row r="11682" spans="8:8" x14ac:dyDescent="0.3">
      <c r="H11682" t="str">
        <f t="shared" si="232"/>
        <v/>
      </c>
    </row>
    <row r="11683" spans="8:8" x14ac:dyDescent="0.3">
      <c r="H11683" t="str">
        <f t="shared" si="232"/>
        <v/>
      </c>
    </row>
    <row r="11684" spans="8:8" x14ac:dyDescent="0.3">
      <c r="H11684" t="str">
        <f t="shared" si="232"/>
        <v/>
      </c>
    </row>
    <row r="11685" spans="8:8" x14ac:dyDescent="0.3">
      <c r="H11685" t="str">
        <f t="shared" si="232"/>
        <v/>
      </c>
    </row>
    <row r="11686" spans="8:8" x14ac:dyDescent="0.3">
      <c r="H11686" t="str">
        <f t="shared" si="232"/>
        <v/>
      </c>
    </row>
    <row r="11687" spans="8:8" x14ac:dyDescent="0.3">
      <c r="H11687" t="str">
        <f t="shared" si="232"/>
        <v/>
      </c>
    </row>
    <row r="11688" spans="8:8" x14ac:dyDescent="0.3">
      <c r="H11688" t="str">
        <f t="shared" si="232"/>
        <v/>
      </c>
    </row>
    <row r="11689" spans="8:8" x14ac:dyDescent="0.3">
      <c r="H11689" t="str">
        <f t="shared" si="232"/>
        <v/>
      </c>
    </row>
    <row r="11690" spans="8:8" x14ac:dyDescent="0.3">
      <c r="H11690" t="str">
        <f t="shared" si="232"/>
        <v/>
      </c>
    </row>
    <row r="11691" spans="8:8" x14ac:dyDescent="0.3">
      <c r="H11691" t="str">
        <f t="shared" si="232"/>
        <v/>
      </c>
    </row>
    <row r="11692" spans="8:8" x14ac:dyDescent="0.3">
      <c r="H11692" t="str">
        <f t="shared" si="232"/>
        <v/>
      </c>
    </row>
    <row r="11693" spans="8:8" x14ac:dyDescent="0.3">
      <c r="H11693" t="str">
        <f t="shared" si="232"/>
        <v/>
      </c>
    </row>
    <row r="11694" spans="8:8" x14ac:dyDescent="0.3">
      <c r="H11694" t="str">
        <f t="shared" si="232"/>
        <v/>
      </c>
    </row>
    <row r="11695" spans="8:8" x14ac:dyDescent="0.3">
      <c r="H11695" t="str">
        <f t="shared" si="232"/>
        <v/>
      </c>
    </row>
    <row r="11696" spans="8:8" x14ac:dyDescent="0.3">
      <c r="H11696" t="str">
        <f t="shared" si="232"/>
        <v/>
      </c>
    </row>
    <row r="11697" spans="8:8" x14ac:dyDescent="0.3">
      <c r="H11697" t="str">
        <f t="shared" si="232"/>
        <v/>
      </c>
    </row>
    <row r="11698" spans="8:8" x14ac:dyDescent="0.3">
      <c r="H11698" t="str">
        <f t="shared" si="232"/>
        <v/>
      </c>
    </row>
    <row r="11699" spans="8:8" x14ac:dyDescent="0.3">
      <c r="H11699" t="str">
        <f t="shared" si="232"/>
        <v/>
      </c>
    </row>
    <row r="11700" spans="8:8" x14ac:dyDescent="0.3">
      <c r="H11700" t="str">
        <f t="shared" si="232"/>
        <v/>
      </c>
    </row>
    <row r="11701" spans="8:8" x14ac:dyDescent="0.3">
      <c r="H11701" t="str">
        <f t="shared" si="232"/>
        <v/>
      </c>
    </row>
    <row r="11702" spans="8:8" x14ac:dyDescent="0.3">
      <c r="H11702" t="str">
        <f t="shared" si="232"/>
        <v/>
      </c>
    </row>
    <row r="11703" spans="8:8" x14ac:dyDescent="0.3">
      <c r="H11703" t="str">
        <f t="shared" si="232"/>
        <v/>
      </c>
    </row>
    <row r="11704" spans="8:8" x14ac:dyDescent="0.3">
      <c r="H11704" t="str">
        <f t="shared" si="232"/>
        <v/>
      </c>
    </row>
    <row r="11705" spans="8:8" x14ac:dyDescent="0.3">
      <c r="H11705" t="str">
        <f t="shared" si="232"/>
        <v/>
      </c>
    </row>
    <row r="11706" spans="8:8" x14ac:dyDescent="0.3">
      <c r="H11706" t="str">
        <f t="shared" si="232"/>
        <v/>
      </c>
    </row>
    <row r="11707" spans="8:8" x14ac:dyDescent="0.3">
      <c r="H11707" t="str">
        <f t="shared" si="232"/>
        <v/>
      </c>
    </row>
    <row r="11708" spans="8:8" x14ac:dyDescent="0.3">
      <c r="H11708" t="str">
        <f t="shared" si="232"/>
        <v/>
      </c>
    </row>
    <row r="11709" spans="8:8" x14ac:dyDescent="0.3">
      <c r="H11709" t="str">
        <f t="shared" si="232"/>
        <v/>
      </c>
    </row>
    <row r="11710" spans="8:8" x14ac:dyDescent="0.3">
      <c r="H11710" t="str">
        <f t="shared" si="232"/>
        <v/>
      </c>
    </row>
    <row r="11711" spans="8:8" x14ac:dyDescent="0.3">
      <c r="H11711" t="str">
        <f t="shared" si="232"/>
        <v/>
      </c>
    </row>
    <row r="11712" spans="8:8" x14ac:dyDescent="0.3">
      <c r="H11712" t="str">
        <f t="shared" si="232"/>
        <v/>
      </c>
    </row>
    <row r="11713" spans="8:8" x14ac:dyDescent="0.3">
      <c r="H11713" t="str">
        <f t="shared" si="232"/>
        <v/>
      </c>
    </row>
    <row r="11714" spans="8:8" x14ac:dyDescent="0.3">
      <c r="H11714" t="str">
        <f t="shared" si="232"/>
        <v/>
      </c>
    </row>
    <row r="11715" spans="8:8" x14ac:dyDescent="0.3">
      <c r="H11715" t="str">
        <f t="shared" si="232"/>
        <v/>
      </c>
    </row>
    <row r="11716" spans="8:8" x14ac:dyDescent="0.3">
      <c r="H11716" t="str">
        <f t="shared" si="232"/>
        <v/>
      </c>
    </row>
    <row r="11717" spans="8:8" x14ac:dyDescent="0.3">
      <c r="H11717" t="str">
        <f t="shared" si="232"/>
        <v/>
      </c>
    </row>
    <row r="11718" spans="8:8" x14ac:dyDescent="0.3">
      <c r="H11718" t="str">
        <f t="shared" si="232"/>
        <v/>
      </c>
    </row>
    <row r="11719" spans="8:8" x14ac:dyDescent="0.3">
      <c r="H11719" t="str">
        <f t="shared" si="232"/>
        <v/>
      </c>
    </row>
    <row r="11720" spans="8:8" x14ac:dyDescent="0.3">
      <c r="H11720" t="str">
        <f t="shared" si="232"/>
        <v/>
      </c>
    </row>
    <row r="11721" spans="8:8" x14ac:dyDescent="0.3">
      <c r="H11721" t="str">
        <f t="shared" si="232"/>
        <v/>
      </c>
    </row>
    <row r="11722" spans="8:8" x14ac:dyDescent="0.3">
      <c r="H11722" t="str">
        <f t="shared" si="232"/>
        <v/>
      </c>
    </row>
    <row r="11723" spans="8:8" x14ac:dyDescent="0.3">
      <c r="H11723" t="str">
        <f t="shared" si="232"/>
        <v/>
      </c>
    </row>
    <row r="11724" spans="8:8" x14ac:dyDescent="0.3">
      <c r="H11724" t="str">
        <f t="shared" si="232"/>
        <v/>
      </c>
    </row>
    <row r="11725" spans="8:8" x14ac:dyDescent="0.3">
      <c r="H11725" t="str">
        <f t="shared" si="232"/>
        <v/>
      </c>
    </row>
    <row r="11726" spans="8:8" x14ac:dyDescent="0.3">
      <c r="H11726" t="str">
        <f t="shared" si="232"/>
        <v/>
      </c>
    </row>
    <row r="11727" spans="8:8" x14ac:dyDescent="0.3">
      <c r="H11727" t="str">
        <f t="shared" si="232"/>
        <v/>
      </c>
    </row>
    <row r="11728" spans="8:8" x14ac:dyDescent="0.3">
      <c r="H11728" t="str">
        <f t="shared" si="232"/>
        <v/>
      </c>
    </row>
    <row r="11729" spans="8:8" x14ac:dyDescent="0.3">
      <c r="H11729" t="str">
        <f t="shared" si="232"/>
        <v/>
      </c>
    </row>
    <row r="11730" spans="8:8" x14ac:dyDescent="0.3">
      <c r="H11730" t="str">
        <f t="shared" si="232"/>
        <v/>
      </c>
    </row>
    <row r="11731" spans="8:8" x14ac:dyDescent="0.3">
      <c r="H11731" t="str">
        <f t="shared" si="232"/>
        <v/>
      </c>
    </row>
    <row r="11732" spans="8:8" x14ac:dyDescent="0.3">
      <c r="H11732" t="str">
        <f t="shared" si="232"/>
        <v/>
      </c>
    </row>
    <row r="11733" spans="8:8" x14ac:dyDescent="0.3">
      <c r="H11733" t="str">
        <f t="shared" si="232"/>
        <v/>
      </c>
    </row>
    <row r="11734" spans="8:8" x14ac:dyDescent="0.3">
      <c r="H11734" t="str">
        <f t="shared" si="232"/>
        <v/>
      </c>
    </row>
    <row r="11735" spans="8:8" x14ac:dyDescent="0.3">
      <c r="H11735" t="str">
        <f t="shared" ref="H11735:H11798" si="233">IF(B11735="","",$C$12)</f>
        <v/>
      </c>
    </row>
    <row r="11736" spans="8:8" x14ac:dyDescent="0.3">
      <c r="H11736" t="str">
        <f t="shared" si="233"/>
        <v/>
      </c>
    </row>
    <row r="11737" spans="8:8" x14ac:dyDescent="0.3">
      <c r="H11737" t="str">
        <f t="shared" si="233"/>
        <v/>
      </c>
    </row>
    <row r="11738" spans="8:8" x14ac:dyDescent="0.3">
      <c r="H11738" t="str">
        <f t="shared" si="233"/>
        <v/>
      </c>
    </row>
    <row r="11739" spans="8:8" x14ac:dyDescent="0.3">
      <c r="H11739" t="str">
        <f t="shared" si="233"/>
        <v/>
      </c>
    </row>
    <row r="11740" spans="8:8" x14ac:dyDescent="0.3">
      <c r="H11740" t="str">
        <f t="shared" si="233"/>
        <v/>
      </c>
    </row>
    <row r="11741" spans="8:8" x14ac:dyDescent="0.3">
      <c r="H11741" t="str">
        <f t="shared" si="233"/>
        <v/>
      </c>
    </row>
    <row r="11742" spans="8:8" x14ac:dyDescent="0.3">
      <c r="H11742" t="str">
        <f t="shared" si="233"/>
        <v/>
      </c>
    </row>
    <row r="11743" spans="8:8" x14ac:dyDescent="0.3">
      <c r="H11743" t="str">
        <f t="shared" si="233"/>
        <v/>
      </c>
    </row>
    <row r="11744" spans="8:8" x14ac:dyDescent="0.3">
      <c r="H11744" t="str">
        <f t="shared" si="233"/>
        <v/>
      </c>
    </row>
    <row r="11745" spans="8:8" x14ac:dyDescent="0.3">
      <c r="H11745" t="str">
        <f t="shared" si="233"/>
        <v/>
      </c>
    </row>
    <row r="11746" spans="8:8" x14ac:dyDescent="0.3">
      <c r="H11746" t="str">
        <f t="shared" si="233"/>
        <v/>
      </c>
    </row>
    <row r="11747" spans="8:8" x14ac:dyDescent="0.3">
      <c r="H11747" t="str">
        <f t="shared" si="233"/>
        <v/>
      </c>
    </row>
    <row r="11748" spans="8:8" x14ac:dyDescent="0.3">
      <c r="H11748" t="str">
        <f t="shared" si="233"/>
        <v/>
      </c>
    </row>
    <row r="11749" spans="8:8" x14ac:dyDescent="0.3">
      <c r="H11749" t="str">
        <f t="shared" si="233"/>
        <v/>
      </c>
    </row>
    <row r="11750" spans="8:8" x14ac:dyDescent="0.3">
      <c r="H11750" t="str">
        <f t="shared" si="233"/>
        <v/>
      </c>
    </row>
    <row r="11751" spans="8:8" x14ac:dyDescent="0.3">
      <c r="H11751" t="str">
        <f t="shared" si="233"/>
        <v/>
      </c>
    </row>
    <row r="11752" spans="8:8" x14ac:dyDescent="0.3">
      <c r="H11752" t="str">
        <f t="shared" si="233"/>
        <v/>
      </c>
    </row>
    <row r="11753" spans="8:8" x14ac:dyDescent="0.3">
      <c r="H11753" t="str">
        <f t="shared" si="233"/>
        <v/>
      </c>
    </row>
    <row r="11754" spans="8:8" x14ac:dyDescent="0.3">
      <c r="H11754" t="str">
        <f t="shared" si="233"/>
        <v/>
      </c>
    </row>
    <row r="11755" spans="8:8" x14ac:dyDescent="0.3">
      <c r="H11755" t="str">
        <f t="shared" si="233"/>
        <v/>
      </c>
    </row>
    <row r="11756" spans="8:8" x14ac:dyDescent="0.3">
      <c r="H11756" t="str">
        <f t="shared" si="233"/>
        <v/>
      </c>
    </row>
    <row r="11757" spans="8:8" x14ac:dyDescent="0.3">
      <c r="H11757" t="str">
        <f t="shared" si="233"/>
        <v/>
      </c>
    </row>
    <row r="11758" spans="8:8" x14ac:dyDescent="0.3">
      <c r="H11758" t="str">
        <f t="shared" si="233"/>
        <v/>
      </c>
    </row>
    <row r="11759" spans="8:8" x14ac:dyDescent="0.3">
      <c r="H11759" t="str">
        <f t="shared" si="233"/>
        <v/>
      </c>
    </row>
    <row r="11760" spans="8:8" x14ac:dyDescent="0.3">
      <c r="H11760" t="str">
        <f t="shared" si="233"/>
        <v/>
      </c>
    </row>
    <row r="11761" spans="8:8" x14ac:dyDescent="0.3">
      <c r="H11761" t="str">
        <f t="shared" si="233"/>
        <v/>
      </c>
    </row>
    <row r="11762" spans="8:8" x14ac:dyDescent="0.3">
      <c r="H11762" t="str">
        <f t="shared" si="233"/>
        <v/>
      </c>
    </row>
    <row r="11763" spans="8:8" x14ac:dyDescent="0.3">
      <c r="H11763" t="str">
        <f t="shared" si="233"/>
        <v/>
      </c>
    </row>
    <row r="11764" spans="8:8" x14ac:dyDescent="0.3">
      <c r="H11764" t="str">
        <f t="shared" si="233"/>
        <v/>
      </c>
    </row>
    <row r="11765" spans="8:8" x14ac:dyDescent="0.3">
      <c r="H11765" t="str">
        <f t="shared" si="233"/>
        <v/>
      </c>
    </row>
    <row r="11766" spans="8:8" x14ac:dyDescent="0.3">
      <c r="H11766" t="str">
        <f t="shared" si="233"/>
        <v/>
      </c>
    </row>
    <row r="11767" spans="8:8" x14ac:dyDescent="0.3">
      <c r="H11767" t="str">
        <f t="shared" si="233"/>
        <v/>
      </c>
    </row>
    <row r="11768" spans="8:8" x14ac:dyDescent="0.3">
      <c r="H11768" t="str">
        <f t="shared" si="233"/>
        <v/>
      </c>
    </row>
    <row r="11769" spans="8:8" x14ac:dyDescent="0.3">
      <c r="H11769" t="str">
        <f t="shared" si="233"/>
        <v/>
      </c>
    </row>
    <row r="11770" spans="8:8" x14ac:dyDescent="0.3">
      <c r="H11770" t="str">
        <f t="shared" si="233"/>
        <v/>
      </c>
    </row>
    <row r="11771" spans="8:8" x14ac:dyDescent="0.3">
      <c r="H11771" t="str">
        <f t="shared" si="233"/>
        <v/>
      </c>
    </row>
    <row r="11772" spans="8:8" x14ac:dyDescent="0.3">
      <c r="H11772" t="str">
        <f t="shared" si="233"/>
        <v/>
      </c>
    </row>
    <row r="11773" spans="8:8" x14ac:dyDescent="0.3">
      <c r="H11773" t="str">
        <f t="shared" si="233"/>
        <v/>
      </c>
    </row>
    <row r="11774" spans="8:8" x14ac:dyDescent="0.3">
      <c r="H11774" t="str">
        <f t="shared" si="233"/>
        <v/>
      </c>
    </row>
    <row r="11775" spans="8:8" x14ac:dyDescent="0.3">
      <c r="H11775" t="str">
        <f t="shared" si="233"/>
        <v/>
      </c>
    </row>
    <row r="11776" spans="8:8" x14ac:dyDescent="0.3">
      <c r="H11776" t="str">
        <f t="shared" si="233"/>
        <v/>
      </c>
    </row>
    <row r="11777" spans="8:8" x14ac:dyDescent="0.3">
      <c r="H11777" t="str">
        <f t="shared" si="233"/>
        <v/>
      </c>
    </row>
    <row r="11778" spans="8:8" x14ac:dyDescent="0.3">
      <c r="H11778" t="str">
        <f t="shared" si="233"/>
        <v/>
      </c>
    </row>
    <row r="11779" spans="8:8" x14ac:dyDescent="0.3">
      <c r="H11779" t="str">
        <f t="shared" si="233"/>
        <v/>
      </c>
    </row>
    <row r="11780" spans="8:8" x14ac:dyDescent="0.3">
      <c r="H11780" t="str">
        <f t="shared" si="233"/>
        <v/>
      </c>
    </row>
    <row r="11781" spans="8:8" x14ac:dyDescent="0.3">
      <c r="H11781" t="str">
        <f t="shared" si="233"/>
        <v/>
      </c>
    </row>
    <row r="11782" spans="8:8" x14ac:dyDescent="0.3">
      <c r="H11782" t="str">
        <f t="shared" si="233"/>
        <v/>
      </c>
    </row>
    <row r="11783" spans="8:8" x14ac:dyDescent="0.3">
      <c r="H11783" t="str">
        <f t="shared" si="233"/>
        <v/>
      </c>
    </row>
    <row r="11784" spans="8:8" x14ac:dyDescent="0.3">
      <c r="H11784" t="str">
        <f t="shared" si="233"/>
        <v/>
      </c>
    </row>
    <row r="11785" spans="8:8" x14ac:dyDescent="0.3">
      <c r="H11785" t="str">
        <f t="shared" si="233"/>
        <v/>
      </c>
    </row>
    <row r="11786" spans="8:8" x14ac:dyDescent="0.3">
      <c r="H11786" t="str">
        <f t="shared" si="233"/>
        <v/>
      </c>
    </row>
    <row r="11787" spans="8:8" x14ac:dyDescent="0.3">
      <c r="H11787" t="str">
        <f t="shared" si="233"/>
        <v/>
      </c>
    </row>
    <row r="11788" spans="8:8" x14ac:dyDescent="0.3">
      <c r="H11788" t="str">
        <f t="shared" si="233"/>
        <v/>
      </c>
    </row>
    <row r="11789" spans="8:8" x14ac:dyDescent="0.3">
      <c r="H11789" t="str">
        <f t="shared" si="233"/>
        <v/>
      </c>
    </row>
    <row r="11790" spans="8:8" x14ac:dyDescent="0.3">
      <c r="H11790" t="str">
        <f t="shared" si="233"/>
        <v/>
      </c>
    </row>
    <row r="11791" spans="8:8" x14ac:dyDescent="0.3">
      <c r="H11791" t="str">
        <f t="shared" si="233"/>
        <v/>
      </c>
    </row>
    <row r="11792" spans="8:8" x14ac:dyDescent="0.3">
      <c r="H11792" t="str">
        <f t="shared" si="233"/>
        <v/>
      </c>
    </row>
    <row r="11793" spans="8:8" x14ac:dyDescent="0.3">
      <c r="H11793" t="str">
        <f t="shared" si="233"/>
        <v/>
      </c>
    </row>
    <row r="11794" spans="8:8" x14ac:dyDescent="0.3">
      <c r="H11794" t="str">
        <f t="shared" si="233"/>
        <v/>
      </c>
    </row>
    <row r="11795" spans="8:8" x14ac:dyDescent="0.3">
      <c r="H11795" t="str">
        <f t="shared" si="233"/>
        <v/>
      </c>
    </row>
    <row r="11796" spans="8:8" x14ac:dyDescent="0.3">
      <c r="H11796" t="str">
        <f t="shared" si="233"/>
        <v/>
      </c>
    </row>
    <row r="11797" spans="8:8" x14ac:dyDescent="0.3">
      <c r="H11797" t="str">
        <f t="shared" si="233"/>
        <v/>
      </c>
    </row>
    <row r="11798" spans="8:8" x14ac:dyDescent="0.3">
      <c r="H11798" t="str">
        <f t="shared" si="233"/>
        <v/>
      </c>
    </row>
    <row r="11799" spans="8:8" x14ac:dyDescent="0.3">
      <c r="H11799" t="str">
        <f t="shared" ref="H11799:H11862" si="234">IF(B11799="","",$C$12)</f>
        <v/>
      </c>
    </row>
    <row r="11800" spans="8:8" x14ac:dyDescent="0.3">
      <c r="H11800" t="str">
        <f t="shared" si="234"/>
        <v/>
      </c>
    </row>
    <row r="11801" spans="8:8" x14ac:dyDescent="0.3">
      <c r="H11801" t="str">
        <f t="shared" si="234"/>
        <v/>
      </c>
    </row>
    <row r="11802" spans="8:8" x14ac:dyDescent="0.3">
      <c r="H11802" t="str">
        <f t="shared" si="234"/>
        <v/>
      </c>
    </row>
    <row r="11803" spans="8:8" x14ac:dyDescent="0.3">
      <c r="H11803" t="str">
        <f t="shared" si="234"/>
        <v/>
      </c>
    </row>
    <row r="11804" spans="8:8" x14ac:dyDescent="0.3">
      <c r="H11804" t="str">
        <f t="shared" si="234"/>
        <v/>
      </c>
    </row>
    <row r="11805" spans="8:8" x14ac:dyDescent="0.3">
      <c r="H11805" t="str">
        <f t="shared" si="234"/>
        <v/>
      </c>
    </row>
    <row r="11806" spans="8:8" x14ac:dyDescent="0.3">
      <c r="H11806" t="str">
        <f t="shared" si="234"/>
        <v/>
      </c>
    </row>
    <row r="11807" spans="8:8" x14ac:dyDescent="0.3">
      <c r="H11807" t="str">
        <f t="shared" si="234"/>
        <v/>
      </c>
    </row>
    <row r="11808" spans="8:8" x14ac:dyDescent="0.3">
      <c r="H11808" t="str">
        <f t="shared" si="234"/>
        <v/>
      </c>
    </row>
    <row r="11809" spans="8:8" x14ac:dyDescent="0.3">
      <c r="H11809" t="str">
        <f t="shared" si="234"/>
        <v/>
      </c>
    </row>
    <row r="11810" spans="8:8" x14ac:dyDescent="0.3">
      <c r="H11810" t="str">
        <f t="shared" si="234"/>
        <v/>
      </c>
    </row>
    <row r="11811" spans="8:8" x14ac:dyDescent="0.3">
      <c r="H11811" t="str">
        <f t="shared" si="234"/>
        <v/>
      </c>
    </row>
    <row r="11812" spans="8:8" x14ac:dyDescent="0.3">
      <c r="H11812" t="str">
        <f t="shared" si="234"/>
        <v/>
      </c>
    </row>
    <row r="11813" spans="8:8" x14ac:dyDescent="0.3">
      <c r="H11813" t="str">
        <f t="shared" si="234"/>
        <v/>
      </c>
    </row>
    <row r="11814" spans="8:8" x14ac:dyDescent="0.3">
      <c r="H11814" t="str">
        <f t="shared" si="234"/>
        <v/>
      </c>
    </row>
    <row r="11815" spans="8:8" x14ac:dyDescent="0.3">
      <c r="H11815" t="str">
        <f t="shared" si="234"/>
        <v/>
      </c>
    </row>
    <row r="11816" spans="8:8" x14ac:dyDescent="0.3">
      <c r="H11816" t="str">
        <f t="shared" si="234"/>
        <v/>
      </c>
    </row>
    <row r="11817" spans="8:8" x14ac:dyDescent="0.3">
      <c r="H11817" t="str">
        <f t="shared" si="234"/>
        <v/>
      </c>
    </row>
    <row r="11818" spans="8:8" x14ac:dyDescent="0.3">
      <c r="H11818" t="str">
        <f t="shared" si="234"/>
        <v/>
      </c>
    </row>
    <row r="11819" spans="8:8" x14ac:dyDescent="0.3">
      <c r="H11819" t="str">
        <f t="shared" si="234"/>
        <v/>
      </c>
    </row>
    <row r="11820" spans="8:8" x14ac:dyDescent="0.3">
      <c r="H11820" t="str">
        <f t="shared" si="234"/>
        <v/>
      </c>
    </row>
    <row r="11821" spans="8:8" x14ac:dyDescent="0.3">
      <c r="H11821" t="str">
        <f t="shared" si="234"/>
        <v/>
      </c>
    </row>
    <row r="11822" spans="8:8" x14ac:dyDescent="0.3">
      <c r="H11822" t="str">
        <f t="shared" si="234"/>
        <v/>
      </c>
    </row>
    <row r="11823" spans="8:8" x14ac:dyDescent="0.3">
      <c r="H11823" t="str">
        <f t="shared" si="234"/>
        <v/>
      </c>
    </row>
    <row r="11824" spans="8:8" x14ac:dyDescent="0.3">
      <c r="H11824" t="str">
        <f t="shared" si="234"/>
        <v/>
      </c>
    </row>
    <row r="11825" spans="8:8" x14ac:dyDescent="0.3">
      <c r="H11825" t="str">
        <f t="shared" si="234"/>
        <v/>
      </c>
    </row>
    <row r="11826" spans="8:8" x14ac:dyDescent="0.3">
      <c r="H11826" t="str">
        <f t="shared" si="234"/>
        <v/>
      </c>
    </row>
    <row r="11827" spans="8:8" x14ac:dyDescent="0.3">
      <c r="H11827" t="str">
        <f t="shared" si="234"/>
        <v/>
      </c>
    </row>
    <row r="11828" spans="8:8" x14ac:dyDescent="0.3">
      <c r="H11828" t="str">
        <f t="shared" si="234"/>
        <v/>
      </c>
    </row>
    <row r="11829" spans="8:8" x14ac:dyDescent="0.3">
      <c r="H11829" t="str">
        <f t="shared" si="234"/>
        <v/>
      </c>
    </row>
    <row r="11830" spans="8:8" x14ac:dyDescent="0.3">
      <c r="H11830" t="str">
        <f t="shared" si="234"/>
        <v/>
      </c>
    </row>
    <row r="11831" spans="8:8" x14ac:dyDescent="0.3">
      <c r="H11831" t="str">
        <f t="shared" si="234"/>
        <v/>
      </c>
    </row>
    <row r="11832" spans="8:8" x14ac:dyDescent="0.3">
      <c r="H11832" t="str">
        <f t="shared" si="234"/>
        <v/>
      </c>
    </row>
    <row r="11833" spans="8:8" x14ac:dyDescent="0.3">
      <c r="H11833" t="str">
        <f t="shared" si="234"/>
        <v/>
      </c>
    </row>
    <row r="11834" spans="8:8" x14ac:dyDescent="0.3">
      <c r="H11834" t="str">
        <f t="shared" si="234"/>
        <v/>
      </c>
    </row>
    <row r="11835" spans="8:8" x14ac:dyDescent="0.3">
      <c r="H11835" t="str">
        <f t="shared" si="234"/>
        <v/>
      </c>
    </row>
    <row r="11836" spans="8:8" x14ac:dyDescent="0.3">
      <c r="H11836" t="str">
        <f t="shared" si="234"/>
        <v/>
      </c>
    </row>
    <row r="11837" spans="8:8" x14ac:dyDescent="0.3">
      <c r="H11837" t="str">
        <f t="shared" si="234"/>
        <v/>
      </c>
    </row>
    <row r="11838" spans="8:8" x14ac:dyDescent="0.3">
      <c r="H11838" t="str">
        <f t="shared" si="234"/>
        <v/>
      </c>
    </row>
    <row r="11839" spans="8:8" x14ac:dyDescent="0.3">
      <c r="H11839" t="str">
        <f t="shared" si="234"/>
        <v/>
      </c>
    </row>
    <row r="11840" spans="8:8" x14ac:dyDescent="0.3">
      <c r="H11840" t="str">
        <f t="shared" si="234"/>
        <v/>
      </c>
    </row>
    <row r="11841" spans="8:8" x14ac:dyDescent="0.3">
      <c r="H11841" t="str">
        <f t="shared" si="234"/>
        <v/>
      </c>
    </row>
    <row r="11842" spans="8:8" x14ac:dyDescent="0.3">
      <c r="H11842" t="str">
        <f t="shared" si="234"/>
        <v/>
      </c>
    </row>
    <row r="11843" spans="8:8" x14ac:dyDescent="0.3">
      <c r="H11843" t="str">
        <f t="shared" si="234"/>
        <v/>
      </c>
    </row>
    <row r="11844" spans="8:8" x14ac:dyDescent="0.3">
      <c r="H11844" t="str">
        <f t="shared" si="234"/>
        <v/>
      </c>
    </row>
    <row r="11845" spans="8:8" x14ac:dyDescent="0.3">
      <c r="H11845" t="str">
        <f t="shared" si="234"/>
        <v/>
      </c>
    </row>
    <row r="11846" spans="8:8" x14ac:dyDescent="0.3">
      <c r="H11846" t="str">
        <f t="shared" si="234"/>
        <v/>
      </c>
    </row>
    <row r="11847" spans="8:8" x14ac:dyDescent="0.3">
      <c r="H11847" t="str">
        <f t="shared" si="234"/>
        <v/>
      </c>
    </row>
    <row r="11848" spans="8:8" x14ac:dyDescent="0.3">
      <c r="H11848" t="str">
        <f t="shared" si="234"/>
        <v/>
      </c>
    </row>
    <row r="11849" spans="8:8" x14ac:dyDescent="0.3">
      <c r="H11849" t="str">
        <f t="shared" si="234"/>
        <v/>
      </c>
    </row>
    <row r="11850" spans="8:8" x14ac:dyDescent="0.3">
      <c r="H11850" t="str">
        <f t="shared" si="234"/>
        <v/>
      </c>
    </row>
    <row r="11851" spans="8:8" x14ac:dyDescent="0.3">
      <c r="H11851" t="str">
        <f t="shared" si="234"/>
        <v/>
      </c>
    </row>
    <row r="11852" spans="8:8" x14ac:dyDescent="0.3">
      <c r="H11852" t="str">
        <f t="shared" si="234"/>
        <v/>
      </c>
    </row>
    <row r="11853" spans="8:8" x14ac:dyDescent="0.3">
      <c r="H11853" t="str">
        <f t="shared" si="234"/>
        <v/>
      </c>
    </row>
    <row r="11854" spans="8:8" x14ac:dyDescent="0.3">
      <c r="H11854" t="str">
        <f t="shared" si="234"/>
        <v/>
      </c>
    </row>
    <row r="11855" spans="8:8" x14ac:dyDescent="0.3">
      <c r="H11855" t="str">
        <f t="shared" si="234"/>
        <v/>
      </c>
    </row>
    <row r="11856" spans="8:8" x14ac:dyDescent="0.3">
      <c r="H11856" t="str">
        <f t="shared" si="234"/>
        <v/>
      </c>
    </row>
    <row r="11857" spans="8:8" x14ac:dyDescent="0.3">
      <c r="H11857" t="str">
        <f t="shared" si="234"/>
        <v/>
      </c>
    </row>
    <row r="11858" spans="8:8" x14ac:dyDescent="0.3">
      <c r="H11858" t="str">
        <f t="shared" si="234"/>
        <v/>
      </c>
    </row>
    <row r="11859" spans="8:8" x14ac:dyDescent="0.3">
      <c r="H11859" t="str">
        <f t="shared" si="234"/>
        <v/>
      </c>
    </row>
    <row r="11860" spans="8:8" x14ac:dyDescent="0.3">
      <c r="H11860" t="str">
        <f t="shared" si="234"/>
        <v/>
      </c>
    </row>
    <row r="11861" spans="8:8" x14ac:dyDescent="0.3">
      <c r="H11861" t="str">
        <f t="shared" si="234"/>
        <v/>
      </c>
    </row>
    <row r="11862" spans="8:8" x14ac:dyDescent="0.3">
      <c r="H11862" t="str">
        <f t="shared" si="234"/>
        <v/>
      </c>
    </row>
    <row r="11863" spans="8:8" x14ac:dyDescent="0.3">
      <c r="H11863" t="str">
        <f t="shared" ref="H11863:H11926" si="235">IF(B11863="","",$C$12)</f>
        <v/>
      </c>
    </row>
    <row r="11864" spans="8:8" x14ac:dyDescent="0.3">
      <c r="H11864" t="str">
        <f t="shared" si="235"/>
        <v/>
      </c>
    </row>
    <row r="11865" spans="8:8" x14ac:dyDescent="0.3">
      <c r="H11865" t="str">
        <f t="shared" si="235"/>
        <v/>
      </c>
    </row>
    <row r="11866" spans="8:8" x14ac:dyDescent="0.3">
      <c r="H11866" t="str">
        <f t="shared" si="235"/>
        <v/>
      </c>
    </row>
    <row r="11867" spans="8:8" x14ac:dyDescent="0.3">
      <c r="H11867" t="str">
        <f t="shared" si="235"/>
        <v/>
      </c>
    </row>
    <row r="11868" spans="8:8" x14ac:dyDescent="0.3">
      <c r="H11868" t="str">
        <f t="shared" si="235"/>
        <v/>
      </c>
    </row>
    <row r="11869" spans="8:8" x14ac:dyDescent="0.3">
      <c r="H11869" t="str">
        <f t="shared" si="235"/>
        <v/>
      </c>
    </row>
    <row r="11870" spans="8:8" x14ac:dyDescent="0.3">
      <c r="H11870" t="str">
        <f t="shared" si="235"/>
        <v/>
      </c>
    </row>
    <row r="11871" spans="8:8" x14ac:dyDescent="0.3">
      <c r="H11871" t="str">
        <f t="shared" si="235"/>
        <v/>
      </c>
    </row>
    <row r="11872" spans="8:8" x14ac:dyDescent="0.3">
      <c r="H11872" t="str">
        <f t="shared" si="235"/>
        <v/>
      </c>
    </row>
    <row r="11873" spans="8:8" x14ac:dyDescent="0.3">
      <c r="H11873" t="str">
        <f t="shared" si="235"/>
        <v/>
      </c>
    </row>
    <row r="11874" spans="8:8" x14ac:dyDescent="0.3">
      <c r="H11874" t="str">
        <f t="shared" si="235"/>
        <v/>
      </c>
    </row>
    <row r="11875" spans="8:8" x14ac:dyDescent="0.3">
      <c r="H11875" t="str">
        <f t="shared" si="235"/>
        <v/>
      </c>
    </row>
    <row r="11876" spans="8:8" x14ac:dyDescent="0.3">
      <c r="H11876" t="str">
        <f t="shared" si="235"/>
        <v/>
      </c>
    </row>
    <row r="11877" spans="8:8" x14ac:dyDescent="0.3">
      <c r="H11877" t="str">
        <f t="shared" si="235"/>
        <v/>
      </c>
    </row>
    <row r="11878" spans="8:8" x14ac:dyDescent="0.3">
      <c r="H11878" t="str">
        <f t="shared" si="235"/>
        <v/>
      </c>
    </row>
    <row r="11879" spans="8:8" x14ac:dyDescent="0.3">
      <c r="H11879" t="str">
        <f t="shared" si="235"/>
        <v/>
      </c>
    </row>
    <row r="11880" spans="8:8" x14ac:dyDescent="0.3">
      <c r="H11880" t="str">
        <f t="shared" si="235"/>
        <v/>
      </c>
    </row>
    <row r="11881" spans="8:8" x14ac:dyDescent="0.3">
      <c r="H11881" t="str">
        <f t="shared" si="235"/>
        <v/>
      </c>
    </row>
    <row r="11882" spans="8:8" x14ac:dyDescent="0.3">
      <c r="H11882" t="str">
        <f t="shared" si="235"/>
        <v/>
      </c>
    </row>
    <row r="11883" spans="8:8" x14ac:dyDescent="0.3">
      <c r="H11883" t="str">
        <f t="shared" si="235"/>
        <v/>
      </c>
    </row>
    <row r="11884" spans="8:8" x14ac:dyDescent="0.3">
      <c r="H11884" t="str">
        <f t="shared" si="235"/>
        <v/>
      </c>
    </row>
    <row r="11885" spans="8:8" x14ac:dyDescent="0.3">
      <c r="H11885" t="str">
        <f t="shared" si="235"/>
        <v/>
      </c>
    </row>
    <row r="11886" spans="8:8" x14ac:dyDescent="0.3">
      <c r="H11886" t="str">
        <f t="shared" si="235"/>
        <v/>
      </c>
    </row>
    <row r="11887" spans="8:8" x14ac:dyDescent="0.3">
      <c r="H11887" t="str">
        <f t="shared" si="235"/>
        <v/>
      </c>
    </row>
    <row r="11888" spans="8:8" x14ac:dyDescent="0.3">
      <c r="H11888" t="str">
        <f t="shared" si="235"/>
        <v/>
      </c>
    </row>
    <row r="11889" spans="8:8" x14ac:dyDescent="0.3">
      <c r="H11889" t="str">
        <f t="shared" si="235"/>
        <v/>
      </c>
    </row>
    <row r="11890" spans="8:8" x14ac:dyDescent="0.3">
      <c r="H11890" t="str">
        <f t="shared" si="235"/>
        <v/>
      </c>
    </row>
    <row r="11891" spans="8:8" x14ac:dyDescent="0.3">
      <c r="H11891" t="str">
        <f t="shared" si="235"/>
        <v/>
      </c>
    </row>
    <row r="11892" spans="8:8" x14ac:dyDescent="0.3">
      <c r="H11892" t="str">
        <f t="shared" si="235"/>
        <v/>
      </c>
    </row>
    <row r="11893" spans="8:8" x14ac:dyDescent="0.3">
      <c r="H11893" t="str">
        <f t="shared" si="235"/>
        <v/>
      </c>
    </row>
    <row r="11894" spans="8:8" x14ac:dyDescent="0.3">
      <c r="H11894" t="str">
        <f t="shared" si="235"/>
        <v/>
      </c>
    </row>
    <row r="11895" spans="8:8" x14ac:dyDescent="0.3">
      <c r="H11895" t="str">
        <f t="shared" si="235"/>
        <v/>
      </c>
    </row>
    <row r="11896" spans="8:8" x14ac:dyDescent="0.3">
      <c r="H11896" t="str">
        <f t="shared" si="235"/>
        <v/>
      </c>
    </row>
    <row r="11897" spans="8:8" x14ac:dyDescent="0.3">
      <c r="H11897" t="str">
        <f t="shared" si="235"/>
        <v/>
      </c>
    </row>
    <row r="11898" spans="8:8" x14ac:dyDescent="0.3">
      <c r="H11898" t="str">
        <f t="shared" si="235"/>
        <v/>
      </c>
    </row>
    <row r="11899" spans="8:8" x14ac:dyDescent="0.3">
      <c r="H11899" t="str">
        <f t="shared" si="235"/>
        <v/>
      </c>
    </row>
    <row r="11900" spans="8:8" x14ac:dyDescent="0.3">
      <c r="H11900" t="str">
        <f t="shared" si="235"/>
        <v/>
      </c>
    </row>
    <row r="11901" spans="8:8" x14ac:dyDescent="0.3">
      <c r="H11901" t="str">
        <f t="shared" si="235"/>
        <v/>
      </c>
    </row>
    <row r="11902" spans="8:8" x14ac:dyDescent="0.3">
      <c r="H11902" t="str">
        <f t="shared" si="235"/>
        <v/>
      </c>
    </row>
    <row r="11903" spans="8:8" x14ac:dyDescent="0.3">
      <c r="H11903" t="str">
        <f t="shared" si="235"/>
        <v/>
      </c>
    </row>
    <row r="11904" spans="8:8" x14ac:dyDescent="0.3">
      <c r="H11904" t="str">
        <f t="shared" si="235"/>
        <v/>
      </c>
    </row>
    <row r="11905" spans="8:8" x14ac:dyDescent="0.3">
      <c r="H11905" t="str">
        <f t="shared" si="235"/>
        <v/>
      </c>
    </row>
    <row r="11906" spans="8:8" x14ac:dyDescent="0.3">
      <c r="H11906" t="str">
        <f t="shared" si="235"/>
        <v/>
      </c>
    </row>
    <row r="11907" spans="8:8" x14ac:dyDescent="0.3">
      <c r="H11907" t="str">
        <f t="shared" si="235"/>
        <v/>
      </c>
    </row>
    <row r="11908" spans="8:8" x14ac:dyDescent="0.3">
      <c r="H11908" t="str">
        <f t="shared" si="235"/>
        <v/>
      </c>
    </row>
    <row r="11909" spans="8:8" x14ac:dyDescent="0.3">
      <c r="H11909" t="str">
        <f t="shared" si="235"/>
        <v/>
      </c>
    </row>
    <row r="11910" spans="8:8" x14ac:dyDescent="0.3">
      <c r="H11910" t="str">
        <f t="shared" si="235"/>
        <v/>
      </c>
    </row>
    <row r="11911" spans="8:8" x14ac:dyDescent="0.3">
      <c r="H11911" t="str">
        <f t="shared" si="235"/>
        <v/>
      </c>
    </row>
    <row r="11912" spans="8:8" x14ac:dyDescent="0.3">
      <c r="H11912" t="str">
        <f t="shared" si="235"/>
        <v/>
      </c>
    </row>
    <row r="11913" spans="8:8" x14ac:dyDescent="0.3">
      <c r="H11913" t="str">
        <f t="shared" si="235"/>
        <v/>
      </c>
    </row>
    <row r="11914" spans="8:8" x14ac:dyDescent="0.3">
      <c r="H11914" t="str">
        <f t="shared" si="235"/>
        <v/>
      </c>
    </row>
    <row r="11915" spans="8:8" x14ac:dyDescent="0.3">
      <c r="H11915" t="str">
        <f t="shared" si="235"/>
        <v/>
      </c>
    </row>
    <row r="11916" spans="8:8" x14ac:dyDescent="0.3">
      <c r="H11916" t="str">
        <f t="shared" si="235"/>
        <v/>
      </c>
    </row>
    <row r="11917" spans="8:8" x14ac:dyDescent="0.3">
      <c r="H11917" t="str">
        <f t="shared" si="235"/>
        <v/>
      </c>
    </row>
    <row r="11918" spans="8:8" x14ac:dyDescent="0.3">
      <c r="H11918" t="str">
        <f t="shared" si="235"/>
        <v/>
      </c>
    </row>
    <row r="11919" spans="8:8" x14ac:dyDescent="0.3">
      <c r="H11919" t="str">
        <f t="shared" si="235"/>
        <v/>
      </c>
    </row>
    <row r="11920" spans="8:8" x14ac:dyDescent="0.3">
      <c r="H11920" t="str">
        <f t="shared" si="235"/>
        <v/>
      </c>
    </row>
    <row r="11921" spans="8:8" x14ac:dyDescent="0.3">
      <c r="H11921" t="str">
        <f t="shared" si="235"/>
        <v/>
      </c>
    </row>
    <row r="11922" spans="8:8" x14ac:dyDescent="0.3">
      <c r="H11922" t="str">
        <f t="shared" si="235"/>
        <v/>
      </c>
    </row>
    <row r="11923" spans="8:8" x14ac:dyDescent="0.3">
      <c r="H11923" t="str">
        <f t="shared" si="235"/>
        <v/>
      </c>
    </row>
    <row r="11924" spans="8:8" x14ac:dyDescent="0.3">
      <c r="H11924" t="str">
        <f t="shared" si="235"/>
        <v/>
      </c>
    </row>
    <row r="11925" spans="8:8" x14ac:dyDescent="0.3">
      <c r="H11925" t="str">
        <f t="shared" si="235"/>
        <v/>
      </c>
    </row>
    <row r="11926" spans="8:8" x14ac:dyDescent="0.3">
      <c r="H11926" t="str">
        <f t="shared" si="235"/>
        <v/>
      </c>
    </row>
    <row r="11927" spans="8:8" x14ac:dyDescent="0.3">
      <c r="H11927" t="str">
        <f t="shared" ref="H11927:H11990" si="236">IF(B11927="","",$C$12)</f>
        <v/>
      </c>
    </row>
    <row r="11928" spans="8:8" x14ac:dyDescent="0.3">
      <c r="H11928" t="str">
        <f t="shared" si="236"/>
        <v/>
      </c>
    </row>
    <row r="11929" spans="8:8" x14ac:dyDescent="0.3">
      <c r="H11929" t="str">
        <f t="shared" si="236"/>
        <v/>
      </c>
    </row>
    <row r="11930" spans="8:8" x14ac:dyDescent="0.3">
      <c r="H11930" t="str">
        <f t="shared" si="236"/>
        <v/>
      </c>
    </row>
    <row r="11931" spans="8:8" x14ac:dyDescent="0.3">
      <c r="H11931" t="str">
        <f t="shared" si="236"/>
        <v/>
      </c>
    </row>
    <row r="11932" spans="8:8" x14ac:dyDescent="0.3">
      <c r="H11932" t="str">
        <f t="shared" si="236"/>
        <v/>
      </c>
    </row>
    <row r="11933" spans="8:8" x14ac:dyDescent="0.3">
      <c r="H11933" t="str">
        <f t="shared" si="236"/>
        <v/>
      </c>
    </row>
    <row r="11934" spans="8:8" x14ac:dyDescent="0.3">
      <c r="H11934" t="str">
        <f t="shared" si="236"/>
        <v/>
      </c>
    </row>
    <row r="11935" spans="8:8" x14ac:dyDescent="0.3">
      <c r="H11935" t="str">
        <f t="shared" si="236"/>
        <v/>
      </c>
    </row>
    <row r="11936" spans="8:8" x14ac:dyDescent="0.3">
      <c r="H11936" t="str">
        <f t="shared" si="236"/>
        <v/>
      </c>
    </row>
    <row r="11937" spans="8:8" x14ac:dyDescent="0.3">
      <c r="H11937" t="str">
        <f t="shared" si="236"/>
        <v/>
      </c>
    </row>
    <row r="11938" spans="8:8" x14ac:dyDescent="0.3">
      <c r="H11938" t="str">
        <f t="shared" si="236"/>
        <v/>
      </c>
    </row>
    <row r="11939" spans="8:8" x14ac:dyDescent="0.3">
      <c r="H11939" t="str">
        <f t="shared" si="236"/>
        <v/>
      </c>
    </row>
    <row r="11940" spans="8:8" x14ac:dyDescent="0.3">
      <c r="H11940" t="str">
        <f t="shared" si="236"/>
        <v/>
      </c>
    </row>
    <row r="11941" spans="8:8" x14ac:dyDescent="0.3">
      <c r="H11941" t="str">
        <f t="shared" si="236"/>
        <v/>
      </c>
    </row>
    <row r="11942" spans="8:8" x14ac:dyDescent="0.3">
      <c r="H11942" t="str">
        <f t="shared" si="236"/>
        <v/>
      </c>
    </row>
    <row r="11943" spans="8:8" x14ac:dyDescent="0.3">
      <c r="H11943" t="str">
        <f t="shared" si="236"/>
        <v/>
      </c>
    </row>
    <row r="11944" spans="8:8" x14ac:dyDescent="0.3">
      <c r="H11944" t="str">
        <f t="shared" si="236"/>
        <v/>
      </c>
    </row>
    <row r="11945" spans="8:8" x14ac:dyDescent="0.3">
      <c r="H11945" t="str">
        <f t="shared" si="236"/>
        <v/>
      </c>
    </row>
    <row r="11946" spans="8:8" x14ac:dyDescent="0.3">
      <c r="H11946" t="str">
        <f t="shared" si="236"/>
        <v/>
      </c>
    </row>
    <row r="11947" spans="8:8" x14ac:dyDescent="0.3">
      <c r="H11947" t="str">
        <f t="shared" si="236"/>
        <v/>
      </c>
    </row>
    <row r="11948" spans="8:8" x14ac:dyDescent="0.3">
      <c r="H11948" t="str">
        <f t="shared" si="236"/>
        <v/>
      </c>
    </row>
    <row r="11949" spans="8:8" x14ac:dyDescent="0.3">
      <c r="H11949" t="str">
        <f t="shared" si="236"/>
        <v/>
      </c>
    </row>
    <row r="11950" spans="8:8" x14ac:dyDescent="0.3">
      <c r="H11950" t="str">
        <f t="shared" si="236"/>
        <v/>
      </c>
    </row>
    <row r="11951" spans="8:8" x14ac:dyDescent="0.3">
      <c r="H11951" t="str">
        <f t="shared" si="236"/>
        <v/>
      </c>
    </row>
    <row r="11952" spans="8:8" x14ac:dyDescent="0.3">
      <c r="H11952" t="str">
        <f t="shared" si="236"/>
        <v/>
      </c>
    </row>
    <row r="11953" spans="8:8" x14ac:dyDescent="0.3">
      <c r="H11953" t="str">
        <f t="shared" si="236"/>
        <v/>
      </c>
    </row>
    <row r="11954" spans="8:8" x14ac:dyDescent="0.3">
      <c r="H11954" t="str">
        <f t="shared" si="236"/>
        <v/>
      </c>
    </row>
    <row r="11955" spans="8:8" x14ac:dyDescent="0.3">
      <c r="H11955" t="str">
        <f t="shared" si="236"/>
        <v/>
      </c>
    </row>
    <row r="11956" spans="8:8" x14ac:dyDescent="0.3">
      <c r="H11956" t="str">
        <f t="shared" si="236"/>
        <v/>
      </c>
    </row>
    <row r="11957" spans="8:8" x14ac:dyDescent="0.3">
      <c r="H11957" t="str">
        <f t="shared" si="236"/>
        <v/>
      </c>
    </row>
    <row r="11958" spans="8:8" x14ac:dyDescent="0.3">
      <c r="H11958" t="str">
        <f t="shared" si="236"/>
        <v/>
      </c>
    </row>
    <row r="11959" spans="8:8" x14ac:dyDescent="0.3">
      <c r="H11959" t="str">
        <f t="shared" si="236"/>
        <v/>
      </c>
    </row>
    <row r="11960" spans="8:8" x14ac:dyDescent="0.3">
      <c r="H11960" t="str">
        <f t="shared" si="236"/>
        <v/>
      </c>
    </row>
    <row r="11961" spans="8:8" x14ac:dyDescent="0.3">
      <c r="H11961" t="str">
        <f t="shared" si="236"/>
        <v/>
      </c>
    </row>
    <row r="11962" spans="8:8" x14ac:dyDescent="0.3">
      <c r="H11962" t="str">
        <f t="shared" si="236"/>
        <v/>
      </c>
    </row>
    <row r="11963" spans="8:8" x14ac:dyDescent="0.3">
      <c r="H11963" t="str">
        <f t="shared" si="236"/>
        <v/>
      </c>
    </row>
    <row r="11964" spans="8:8" x14ac:dyDescent="0.3">
      <c r="H11964" t="str">
        <f t="shared" si="236"/>
        <v/>
      </c>
    </row>
    <row r="11965" spans="8:8" x14ac:dyDescent="0.3">
      <c r="H11965" t="str">
        <f t="shared" si="236"/>
        <v/>
      </c>
    </row>
    <row r="11966" spans="8:8" x14ac:dyDescent="0.3">
      <c r="H11966" t="str">
        <f t="shared" si="236"/>
        <v/>
      </c>
    </row>
    <row r="11967" spans="8:8" x14ac:dyDescent="0.3">
      <c r="H11967" t="str">
        <f t="shared" si="236"/>
        <v/>
      </c>
    </row>
    <row r="11968" spans="8:8" x14ac:dyDescent="0.3">
      <c r="H11968" t="str">
        <f t="shared" si="236"/>
        <v/>
      </c>
    </row>
    <row r="11969" spans="8:8" x14ac:dyDescent="0.3">
      <c r="H11969" t="str">
        <f t="shared" si="236"/>
        <v/>
      </c>
    </row>
    <row r="11970" spans="8:8" x14ac:dyDescent="0.3">
      <c r="H11970" t="str">
        <f t="shared" si="236"/>
        <v/>
      </c>
    </row>
    <row r="11971" spans="8:8" x14ac:dyDescent="0.3">
      <c r="H11971" t="str">
        <f t="shared" si="236"/>
        <v/>
      </c>
    </row>
    <row r="11972" spans="8:8" x14ac:dyDescent="0.3">
      <c r="H11972" t="str">
        <f t="shared" si="236"/>
        <v/>
      </c>
    </row>
    <row r="11973" spans="8:8" x14ac:dyDescent="0.3">
      <c r="H11973" t="str">
        <f t="shared" si="236"/>
        <v/>
      </c>
    </row>
    <row r="11974" spans="8:8" x14ac:dyDescent="0.3">
      <c r="H11974" t="str">
        <f t="shared" si="236"/>
        <v/>
      </c>
    </row>
    <row r="11975" spans="8:8" x14ac:dyDescent="0.3">
      <c r="H11975" t="str">
        <f t="shared" si="236"/>
        <v/>
      </c>
    </row>
    <row r="11976" spans="8:8" x14ac:dyDescent="0.3">
      <c r="H11976" t="str">
        <f t="shared" si="236"/>
        <v/>
      </c>
    </row>
    <row r="11977" spans="8:8" x14ac:dyDescent="0.3">
      <c r="H11977" t="str">
        <f t="shared" si="236"/>
        <v/>
      </c>
    </row>
    <row r="11978" spans="8:8" x14ac:dyDescent="0.3">
      <c r="H11978" t="str">
        <f t="shared" si="236"/>
        <v/>
      </c>
    </row>
    <row r="11979" spans="8:8" x14ac:dyDescent="0.3">
      <c r="H11979" t="str">
        <f t="shared" si="236"/>
        <v/>
      </c>
    </row>
    <row r="11980" spans="8:8" x14ac:dyDescent="0.3">
      <c r="H11980" t="str">
        <f t="shared" si="236"/>
        <v/>
      </c>
    </row>
    <row r="11981" spans="8:8" x14ac:dyDescent="0.3">
      <c r="H11981" t="str">
        <f t="shared" si="236"/>
        <v/>
      </c>
    </row>
    <row r="11982" spans="8:8" x14ac:dyDescent="0.3">
      <c r="H11982" t="str">
        <f t="shared" si="236"/>
        <v/>
      </c>
    </row>
    <row r="11983" spans="8:8" x14ac:dyDescent="0.3">
      <c r="H11983" t="str">
        <f t="shared" si="236"/>
        <v/>
      </c>
    </row>
    <row r="11984" spans="8:8" x14ac:dyDescent="0.3">
      <c r="H11984" t="str">
        <f t="shared" si="236"/>
        <v/>
      </c>
    </row>
    <row r="11985" spans="8:8" x14ac:dyDescent="0.3">
      <c r="H11985" t="str">
        <f t="shared" si="236"/>
        <v/>
      </c>
    </row>
    <row r="11986" spans="8:8" x14ac:dyDescent="0.3">
      <c r="H11986" t="str">
        <f t="shared" si="236"/>
        <v/>
      </c>
    </row>
    <row r="11987" spans="8:8" x14ac:dyDescent="0.3">
      <c r="H11987" t="str">
        <f t="shared" si="236"/>
        <v/>
      </c>
    </row>
    <row r="11988" spans="8:8" x14ac:dyDescent="0.3">
      <c r="H11988" t="str">
        <f t="shared" si="236"/>
        <v/>
      </c>
    </row>
    <row r="11989" spans="8:8" x14ac:dyDescent="0.3">
      <c r="H11989" t="str">
        <f t="shared" si="236"/>
        <v/>
      </c>
    </row>
    <row r="11990" spans="8:8" x14ac:dyDescent="0.3">
      <c r="H11990" t="str">
        <f t="shared" si="236"/>
        <v/>
      </c>
    </row>
    <row r="11991" spans="8:8" x14ac:dyDescent="0.3">
      <c r="H11991" t="str">
        <f t="shared" ref="H11991:H12054" si="237">IF(B11991="","",$C$12)</f>
        <v/>
      </c>
    </row>
    <row r="11992" spans="8:8" x14ac:dyDescent="0.3">
      <c r="H11992" t="str">
        <f t="shared" si="237"/>
        <v/>
      </c>
    </row>
    <row r="11993" spans="8:8" x14ac:dyDescent="0.3">
      <c r="H11993" t="str">
        <f t="shared" si="237"/>
        <v/>
      </c>
    </row>
    <row r="11994" spans="8:8" x14ac:dyDescent="0.3">
      <c r="H11994" t="str">
        <f t="shared" si="237"/>
        <v/>
      </c>
    </row>
    <row r="11995" spans="8:8" x14ac:dyDescent="0.3">
      <c r="H11995" t="str">
        <f t="shared" si="237"/>
        <v/>
      </c>
    </row>
    <row r="11996" spans="8:8" x14ac:dyDescent="0.3">
      <c r="H11996" t="str">
        <f t="shared" si="237"/>
        <v/>
      </c>
    </row>
    <row r="11997" spans="8:8" x14ac:dyDescent="0.3">
      <c r="H11997" t="str">
        <f t="shared" si="237"/>
        <v/>
      </c>
    </row>
    <row r="11998" spans="8:8" x14ac:dyDescent="0.3">
      <c r="H11998" t="str">
        <f t="shared" si="237"/>
        <v/>
      </c>
    </row>
    <row r="11999" spans="8:8" x14ac:dyDescent="0.3">
      <c r="H11999" t="str">
        <f t="shared" si="237"/>
        <v/>
      </c>
    </row>
    <row r="12000" spans="8:8" x14ac:dyDescent="0.3">
      <c r="H12000" t="str">
        <f t="shared" si="237"/>
        <v/>
      </c>
    </row>
    <row r="12001" spans="8:8" x14ac:dyDescent="0.3">
      <c r="H12001" t="str">
        <f t="shared" si="237"/>
        <v/>
      </c>
    </row>
    <row r="12002" spans="8:8" x14ac:dyDescent="0.3">
      <c r="H12002" t="str">
        <f t="shared" si="237"/>
        <v/>
      </c>
    </row>
    <row r="12003" spans="8:8" x14ac:dyDescent="0.3">
      <c r="H12003" t="str">
        <f t="shared" si="237"/>
        <v/>
      </c>
    </row>
    <row r="12004" spans="8:8" x14ac:dyDescent="0.3">
      <c r="H12004" t="str">
        <f t="shared" si="237"/>
        <v/>
      </c>
    </row>
    <row r="12005" spans="8:8" x14ac:dyDescent="0.3">
      <c r="H12005" t="str">
        <f t="shared" si="237"/>
        <v/>
      </c>
    </row>
    <row r="12006" spans="8:8" x14ac:dyDescent="0.3">
      <c r="H12006" t="str">
        <f t="shared" si="237"/>
        <v/>
      </c>
    </row>
    <row r="12007" spans="8:8" x14ac:dyDescent="0.3">
      <c r="H12007" t="str">
        <f t="shared" si="237"/>
        <v/>
      </c>
    </row>
    <row r="12008" spans="8:8" x14ac:dyDescent="0.3">
      <c r="H12008" t="str">
        <f t="shared" si="237"/>
        <v/>
      </c>
    </row>
    <row r="12009" spans="8:8" x14ac:dyDescent="0.3">
      <c r="H12009" t="str">
        <f t="shared" si="237"/>
        <v/>
      </c>
    </row>
    <row r="12010" spans="8:8" x14ac:dyDescent="0.3">
      <c r="H12010" t="str">
        <f t="shared" si="237"/>
        <v/>
      </c>
    </row>
    <row r="12011" spans="8:8" x14ac:dyDescent="0.3">
      <c r="H12011" t="str">
        <f t="shared" si="237"/>
        <v/>
      </c>
    </row>
    <row r="12012" spans="8:8" x14ac:dyDescent="0.3">
      <c r="H12012" t="str">
        <f t="shared" si="237"/>
        <v/>
      </c>
    </row>
    <row r="12013" spans="8:8" x14ac:dyDescent="0.3">
      <c r="H12013" t="str">
        <f t="shared" si="237"/>
        <v/>
      </c>
    </row>
    <row r="12014" spans="8:8" x14ac:dyDescent="0.3">
      <c r="H12014" t="str">
        <f t="shared" si="237"/>
        <v/>
      </c>
    </row>
    <row r="12015" spans="8:8" x14ac:dyDescent="0.3">
      <c r="H12015" t="str">
        <f t="shared" si="237"/>
        <v/>
      </c>
    </row>
    <row r="12016" spans="8:8" x14ac:dyDescent="0.3">
      <c r="H12016" t="str">
        <f t="shared" si="237"/>
        <v/>
      </c>
    </row>
    <row r="12017" spans="8:8" x14ac:dyDescent="0.3">
      <c r="H12017" t="str">
        <f t="shared" si="237"/>
        <v/>
      </c>
    </row>
    <row r="12018" spans="8:8" x14ac:dyDescent="0.3">
      <c r="H12018" t="str">
        <f t="shared" si="237"/>
        <v/>
      </c>
    </row>
    <row r="12019" spans="8:8" x14ac:dyDescent="0.3">
      <c r="H12019" t="str">
        <f t="shared" si="237"/>
        <v/>
      </c>
    </row>
    <row r="12020" spans="8:8" x14ac:dyDescent="0.3">
      <c r="H12020" t="str">
        <f t="shared" si="237"/>
        <v/>
      </c>
    </row>
    <row r="12021" spans="8:8" x14ac:dyDescent="0.3">
      <c r="H12021" t="str">
        <f t="shared" si="237"/>
        <v/>
      </c>
    </row>
    <row r="12022" spans="8:8" x14ac:dyDescent="0.3">
      <c r="H12022" t="str">
        <f t="shared" si="237"/>
        <v/>
      </c>
    </row>
    <row r="12023" spans="8:8" x14ac:dyDescent="0.3">
      <c r="H12023" t="str">
        <f t="shared" si="237"/>
        <v/>
      </c>
    </row>
    <row r="12024" spans="8:8" x14ac:dyDescent="0.3">
      <c r="H12024" t="str">
        <f t="shared" si="237"/>
        <v/>
      </c>
    </row>
    <row r="12025" spans="8:8" x14ac:dyDescent="0.3">
      <c r="H12025" t="str">
        <f t="shared" si="237"/>
        <v/>
      </c>
    </row>
    <row r="12026" spans="8:8" x14ac:dyDescent="0.3">
      <c r="H12026" t="str">
        <f t="shared" si="237"/>
        <v/>
      </c>
    </row>
    <row r="12027" spans="8:8" x14ac:dyDescent="0.3">
      <c r="H12027" t="str">
        <f t="shared" si="237"/>
        <v/>
      </c>
    </row>
    <row r="12028" spans="8:8" x14ac:dyDescent="0.3">
      <c r="H12028" t="str">
        <f t="shared" si="237"/>
        <v/>
      </c>
    </row>
    <row r="12029" spans="8:8" x14ac:dyDescent="0.3">
      <c r="H12029" t="str">
        <f t="shared" si="237"/>
        <v/>
      </c>
    </row>
    <row r="12030" spans="8:8" x14ac:dyDescent="0.3">
      <c r="H12030" t="str">
        <f t="shared" si="237"/>
        <v/>
      </c>
    </row>
    <row r="12031" spans="8:8" x14ac:dyDescent="0.3">
      <c r="H12031" t="str">
        <f t="shared" si="237"/>
        <v/>
      </c>
    </row>
    <row r="12032" spans="8:8" x14ac:dyDescent="0.3">
      <c r="H12032" t="str">
        <f t="shared" si="237"/>
        <v/>
      </c>
    </row>
    <row r="12033" spans="8:8" x14ac:dyDescent="0.3">
      <c r="H12033" t="str">
        <f t="shared" si="237"/>
        <v/>
      </c>
    </row>
    <row r="12034" spans="8:8" x14ac:dyDescent="0.3">
      <c r="H12034" t="str">
        <f t="shared" si="237"/>
        <v/>
      </c>
    </row>
    <row r="12035" spans="8:8" x14ac:dyDescent="0.3">
      <c r="H12035" t="str">
        <f t="shared" si="237"/>
        <v/>
      </c>
    </row>
    <row r="12036" spans="8:8" x14ac:dyDescent="0.3">
      <c r="H12036" t="str">
        <f t="shared" si="237"/>
        <v/>
      </c>
    </row>
    <row r="12037" spans="8:8" x14ac:dyDescent="0.3">
      <c r="H12037" t="str">
        <f t="shared" si="237"/>
        <v/>
      </c>
    </row>
    <row r="12038" spans="8:8" x14ac:dyDescent="0.3">
      <c r="H12038" t="str">
        <f t="shared" si="237"/>
        <v/>
      </c>
    </row>
    <row r="12039" spans="8:8" x14ac:dyDescent="0.3">
      <c r="H12039" t="str">
        <f t="shared" si="237"/>
        <v/>
      </c>
    </row>
    <row r="12040" spans="8:8" x14ac:dyDescent="0.3">
      <c r="H12040" t="str">
        <f t="shared" si="237"/>
        <v/>
      </c>
    </row>
    <row r="12041" spans="8:8" x14ac:dyDescent="0.3">
      <c r="H12041" t="str">
        <f t="shared" si="237"/>
        <v/>
      </c>
    </row>
    <row r="12042" spans="8:8" x14ac:dyDescent="0.3">
      <c r="H12042" t="str">
        <f t="shared" si="237"/>
        <v/>
      </c>
    </row>
    <row r="12043" spans="8:8" x14ac:dyDescent="0.3">
      <c r="H12043" t="str">
        <f t="shared" si="237"/>
        <v/>
      </c>
    </row>
    <row r="12044" spans="8:8" x14ac:dyDescent="0.3">
      <c r="H12044" t="str">
        <f t="shared" si="237"/>
        <v/>
      </c>
    </row>
    <row r="12045" spans="8:8" x14ac:dyDescent="0.3">
      <c r="H12045" t="str">
        <f t="shared" si="237"/>
        <v/>
      </c>
    </row>
    <row r="12046" spans="8:8" x14ac:dyDescent="0.3">
      <c r="H12046" t="str">
        <f t="shared" si="237"/>
        <v/>
      </c>
    </row>
    <row r="12047" spans="8:8" x14ac:dyDescent="0.3">
      <c r="H12047" t="str">
        <f t="shared" si="237"/>
        <v/>
      </c>
    </row>
    <row r="12048" spans="8:8" x14ac:dyDescent="0.3">
      <c r="H12048" t="str">
        <f t="shared" si="237"/>
        <v/>
      </c>
    </row>
    <row r="12049" spans="8:8" x14ac:dyDescent="0.3">
      <c r="H12049" t="str">
        <f t="shared" si="237"/>
        <v/>
      </c>
    </row>
    <row r="12050" spans="8:8" x14ac:dyDescent="0.3">
      <c r="H12050" t="str">
        <f t="shared" si="237"/>
        <v/>
      </c>
    </row>
    <row r="12051" spans="8:8" x14ac:dyDescent="0.3">
      <c r="H12051" t="str">
        <f t="shared" si="237"/>
        <v/>
      </c>
    </row>
    <row r="12052" spans="8:8" x14ac:dyDescent="0.3">
      <c r="H12052" t="str">
        <f t="shared" si="237"/>
        <v/>
      </c>
    </row>
    <row r="12053" spans="8:8" x14ac:dyDescent="0.3">
      <c r="H12053" t="str">
        <f t="shared" si="237"/>
        <v/>
      </c>
    </row>
    <row r="12054" spans="8:8" x14ac:dyDescent="0.3">
      <c r="H12054" t="str">
        <f t="shared" si="237"/>
        <v/>
      </c>
    </row>
    <row r="12055" spans="8:8" x14ac:dyDescent="0.3">
      <c r="H12055" t="str">
        <f t="shared" ref="H12055:H12118" si="238">IF(B12055="","",$C$12)</f>
        <v/>
      </c>
    </row>
    <row r="12056" spans="8:8" x14ac:dyDescent="0.3">
      <c r="H12056" t="str">
        <f t="shared" si="238"/>
        <v/>
      </c>
    </row>
    <row r="12057" spans="8:8" x14ac:dyDescent="0.3">
      <c r="H12057" t="str">
        <f t="shared" si="238"/>
        <v/>
      </c>
    </row>
    <row r="12058" spans="8:8" x14ac:dyDescent="0.3">
      <c r="H12058" t="str">
        <f t="shared" si="238"/>
        <v/>
      </c>
    </row>
    <row r="12059" spans="8:8" x14ac:dyDescent="0.3">
      <c r="H12059" t="str">
        <f t="shared" si="238"/>
        <v/>
      </c>
    </row>
    <row r="12060" spans="8:8" x14ac:dyDescent="0.3">
      <c r="H12060" t="str">
        <f t="shared" si="238"/>
        <v/>
      </c>
    </row>
    <row r="12061" spans="8:8" x14ac:dyDescent="0.3">
      <c r="H12061" t="str">
        <f t="shared" si="238"/>
        <v/>
      </c>
    </row>
    <row r="12062" spans="8:8" x14ac:dyDescent="0.3">
      <c r="H12062" t="str">
        <f t="shared" si="238"/>
        <v/>
      </c>
    </row>
    <row r="12063" spans="8:8" x14ac:dyDescent="0.3">
      <c r="H12063" t="str">
        <f t="shared" si="238"/>
        <v/>
      </c>
    </row>
    <row r="12064" spans="8:8" x14ac:dyDescent="0.3">
      <c r="H12064" t="str">
        <f t="shared" si="238"/>
        <v/>
      </c>
    </row>
    <row r="12065" spans="8:8" x14ac:dyDescent="0.3">
      <c r="H12065" t="str">
        <f t="shared" si="238"/>
        <v/>
      </c>
    </row>
    <row r="12066" spans="8:8" x14ac:dyDescent="0.3">
      <c r="H12066" t="str">
        <f t="shared" si="238"/>
        <v/>
      </c>
    </row>
    <row r="12067" spans="8:8" x14ac:dyDescent="0.3">
      <c r="H12067" t="str">
        <f t="shared" si="238"/>
        <v/>
      </c>
    </row>
    <row r="12068" spans="8:8" x14ac:dyDescent="0.3">
      <c r="H12068" t="str">
        <f t="shared" si="238"/>
        <v/>
      </c>
    </row>
    <row r="12069" spans="8:8" x14ac:dyDescent="0.3">
      <c r="H12069" t="str">
        <f t="shared" si="238"/>
        <v/>
      </c>
    </row>
    <row r="12070" spans="8:8" x14ac:dyDescent="0.3">
      <c r="H12070" t="str">
        <f t="shared" si="238"/>
        <v/>
      </c>
    </row>
    <row r="12071" spans="8:8" x14ac:dyDescent="0.3">
      <c r="H12071" t="str">
        <f t="shared" si="238"/>
        <v/>
      </c>
    </row>
    <row r="12072" spans="8:8" x14ac:dyDescent="0.3">
      <c r="H12072" t="str">
        <f t="shared" si="238"/>
        <v/>
      </c>
    </row>
    <row r="12073" spans="8:8" x14ac:dyDescent="0.3">
      <c r="H12073" t="str">
        <f t="shared" si="238"/>
        <v/>
      </c>
    </row>
    <row r="12074" spans="8:8" x14ac:dyDescent="0.3">
      <c r="H12074" t="str">
        <f t="shared" si="238"/>
        <v/>
      </c>
    </row>
    <row r="12075" spans="8:8" x14ac:dyDescent="0.3">
      <c r="H12075" t="str">
        <f t="shared" si="238"/>
        <v/>
      </c>
    </row>
    <row r="12076" spans="8:8" x14ac:dyDescent="0.3">
      <c r="H12076" t="str">
        <f t="shared" si="238"/>
        <v/>
      </c>
    </row>
    <row r="12077" spans="8:8" x14ac:dyDescent="0.3">
      <c r="H12077" t="str">
        <f t="shared" si="238"/>
        <v/>
      </c>
    </row>
    <row r="12078" spans="8:8" x14ac:dyDescent="0.3">
      <c r="H12078" t="str">
        <f t="shared" si="238"/>
        <v/>
      </c>
    </row>
    <row r="12079" spans="8:8" x14ac:dyDescent="0.3">
      <c r="H12079" t="str">
        <f t="shared" si="238"/>
        <v/>
      </c>
    </row>
    <row r="12080" spans="8:8" x14ac:dyDescent="0.3">
      <c r="H12080" t="str">
        <f t="shared" si="238"/>
        <v/>
      </c>
    </row>
    <row r="12081" spans="8:8" x14ac:dyDescent="0.3">
      <c r="H12081" t="str">
        <f t="shared" si="238"/>
        <v/>
      </c>
    </row>
    <row r="12082" spans="8:8" x14ac:dyDescent="0.3">
      <c r="H12082" t="str">
        <f t="shared" si="238"/>
        <v/>
      </c>
    </row>
    <row r="12083" spans="8:8" x14ac:dyDescent="0.3">
      <c r="H12083" t="str">
        <f t="shared" si="238"/>
        <v/>
      </c>
    </row>
    <row r="12084" spans="8:8" x14ac:dyDescent="0.3">
      <c r="H12084" t="str">
        <f t="shared" si="238"/>
        <v/>
      </c>
    </row>
    <row r="12085" spans="8:8" x14ac:dyDescent="0.3">
      <c r="H12085" t="str">
        <f t="shared" si="238"/>
        <v/>
      </c>
    </row>
    <row r="12086" spans="8:8" x14ac:dyDescent="0.3">
      <c r="H12086" t="str">
        <f t="shared" si="238"/>
        <v/>
      </c>
    </row>
    <row r="12087" spans="8:8" x14ac:dyDescent="0.3">
      <c r="H12087" t="str">
        <f t="shared" si="238"/>
        <v/>
      </c>
    </row>
    <row r="12088" spans="8:8" x14ac:dyDescent="0.3">
      <c r="H12088" t="str">
        <f t="shared" si="238"/>
        <v/>
      </c>
    </row>
    <row r="12089" spans="8:8" x14ac:dyDescent="0.3">
      <c r="H12089" t="str">
        <f t="shared" si="238"/>
        <v/>
      </c>
    </row>
    <row r="12090" spans="8:8" x14ac:dyDescent="0.3">
      <c r="H12090" t="str">
        <f t="shared" si="238"/>
        <v/>
      </c>
    </row>
    <row r="12091" spans="8:8" x14ac:dyDescent="0.3">
      <c r="H12091" t="str">
        <f t="shared" si="238"/>
        <v/>
      </c>
    </row>
    <row r="12092" spans="8:8" x14ac:dyDescent="0.3">
      <c r="H12092" t="str">
        <f t="shared" si="238"/>
        <v/>
      </c>
    </row>
    <row r="12093" spans="8:8" x14ac:dyDescent="0.3">
      <c r="H12093" t="str">
        <f t="shared" si="238"/>
        <v/>
      </c>
    </row>
    <row r="12094" spans="8:8" x14ac:dyDescent="0.3">
      <c r="H12094" t="str">
        <f t="shared" si="238"/>
        <v/>
      </c>
    </row>
    <row r="12095" spans="8:8" x14ac:dyDescent="0.3">
      <c r="H12095" t="str">
        <f t="shared" si="238"/>
        <v/>
      </c>
    </row>
    <row r="12096" spans="8:8" x14ac:dyDescent="0.3">
      <c r="H12096" t="str">
        <f t="shared" si="238"/>
        <v/>
      </c>
    </row>
    <row r="12097" spans="8:8" x14ac:dyDescent="0.3">
      <c r="H12097" t="str">
        <f t="shared" si="238"/>
        <v/>
      </c>
    </row>
    <row r="12098" spans="8:8" x14ac:dyDescent="0.3">
      <c r="H12098" t="str">
        <f t="shared" si="238"/>
        <v/>
      </c>
    </row>
    <row r="12099" spans="8:8" x14ac:dyDescent="0.3">
      <c r="H12099" t="str">
        <f t="shared" si="238"/>
        <v/>
      </c>
    </row>
    <row r="12100" spans="8:8" x14ac:dyDescent="0.3">
      <c r="H12100" t="str">
        <f t="shared" si="238"/>
        <v/>
      </c>
    </row>
    <row r="12101" spans="8:8" x14ac:dyDescent="0.3">
      <c r="H12101" t="str">
        <f t="shared" si="238"/>
        <v/>
      </c>
    </row>
    <row r="12102" spans="8:8" x14ac:dyDescent="0.3">
      <c r="H12102" t="str">
        <f t="shared" si="238"/>
        <v/>
      </c>
    </row>
    <row r="12103" spans="8:8" x14ac:dyDescent="0.3">
      <c r="H12103" t="str">
        <f t="shared" si="238"/>
        <v/>
      </c>
    </row>
    <row r="12104" spans="8:8" x14ac:dyDescent="0.3">
      <c r="H12104" t="str">
        <f t="shared" si="238"/>
        <v/>
      </c>
    </row>
    <row r="12105" spans="8:8" x14ac:dyDescent="0.3">
      <c r="H12105" t="str">
        <f t="shared" si="238"/>
        <v/>
      </c>
    </row>
    <row r="12106" spans="8:8" x14ac:dyDescent="0.3">
      <c r="H12106" t="str">
        <f t="shared" si="238"/>
        <v/>
      </c>
    </row>
    <row r="12107" spans="8:8" x14ac:dyDescent="0.3">
      <c r="H12107" t="str">
        <f t="shared" si="238"/>
        <v/>
      </c>
    </row>
    <row r="12108" spans="8:8" x14ac:dyDescent="0.3">
      <c r="H12108" t="str">
        <f t="shared" si="238"/>
        <v/>
      </c>
    </row>
    <row r="12109" spans="8:8" x14ac:dyDescent="0.3">
      <c r="H12109" t="str">
        <f t="shared" si="238"/>
        <v/>
      </c>
    </row>
    <row r="12110" spans="8:8" x14ac:dyDescent="0.3">
      <c r="H12110" t="str">
        <f t="shared" si="238"/>
        <v/>
      </c>
    </row>
    <row r="12111" spans="8:8" x14ac:dyDescent="0.3">
      <c r="H12111" t="str">
        <f t="shared" si="238"/>
        <v/>
      </c>
    </row>
    <row r="12112" spans="8:8" x14ac:dyDescent="0.3">
      <c r="H12112" t="str">
        <f t="shared" si="238"/>
        <v/>
      </c>
    </row>
    <row r="12113" spans="8:8" x14ac:dyDescent="0.3">
      <c r="H12113" t="str">
        <f t="shared" si="238"/>
        <v/>
      </c>
    </row>
    <row r="12114" spans="8:8" x14ac:dyDescent="0.3">
      <c r="H12114" t="str">
        <f t="shared" si="238"/>
        <v/>
      </c>
    </row>
    <row r="12115" spans="8:8" x14ac:dyDescent="0.3">
      <c r="H12115" t="str">
        <f t="shared" si="238"/>
        <v/>
      </c>
    </row>
    <row r="12116" spans="8:8" x14ac:dyDescent="0.3">
      <c r="H12116" t="str">
        <f t="shared" si="238"/>
        <v/>
      </c>
    </row>
    <row r="12117" spans="8:8" x14ac:dyDescent="0.3">
      <c r="H12117" t="str">
        <f t="shared" si="238"/>
        <v/>
      </c>
    </row>
    <row r="12118" spans="8:8" x14ac:dyDescent="0.3">
      <c r="H12118" t="str">
        <f t="shared" si="238"/>
        <v/>
      </c>
    </row>
    <row r="12119" spans="8:8" x14ac:dyDescent="0.3">
      <c r="H12119" t="str">
        <f t="shared" ref="H12119:H12182" si="239">IF(B12119="","",$C$12)</f>
        <v/>
      </c>
    </row>
    <row r="12120" spans="8:8" x14ac:dyDescent="0.3">
      <c r="H12120" t="str">
        <f t="shared" si="239"/>
        <v/>
      </c>
    </row>
    <row r="12121" spans="8:8" x14ac:dyDescent="0.3">
      <c r="H12121" t="str">
        <f t="shared" si="239"/>
        <v/>
      </c>
    </row>
    <row r="12122" spans="8:8" x14ac:dyDescent="0.3">
      <c r="H12122" t="str">
        <f t="shared" si="239"/>
        <v/>
      </c>
    </row>
    <row r="12123" spans="8:8" x14ac:dyDescent="0.3">
      <c r="H12123" t="str">
        <f t="shared" si="239"/>
        <v/>
      </c>
    </row>
    <row r="12124" spans="8:8" x14ac:dyDescent="0.3">
      <c r="H12124" t="str">
        <f t="shared" si="239"/>
        <v/>
      </c>
    </row>
    <row r="12125" spans="8:8" x14ac:dyDescent="0.3">
      <c r="H12125" t="str">
        <f t="shared" si="239"/>
        <v/>
      </c>
    </row>
    <row r="12126" spans="8:8" x14ac:dyDescent="0.3">
      <c r="H12126" t="str">
        <f t="shared" si="239"/>
        <v/>
      </c>
    </row>
    <row r="12127" spans="8:8" x14ac:dyDescent="0.3">
      <c r="H12127" t="str">
        <f t="shared" si="239"/>
        <v/>
      </c>
    </row>
    <row r="12128" spans="8:8" x14ac:dyDescent="0.3">
      <c r="H12128" t="str">
        <f t="shared" si="239"/>
        <v/>
      </c>
    </row>
    <row r="12129" spans="8:8" x14ac:dyDescent="0.3">
      <c r="H12129" t="str">
        <f t="shared" si="239"/>
        <v/>
      </c>
    </row>
    <row r="12130" spans="8:8" x14ac:dyDescent="0.3">
      <c r="H12130" t="str">
        <f t="shared" si="239"/>
        <v/>
      </c>
    </row>
    <row r="12131" spans="8:8" x14ac:dyDescent="0.3">
      <c r="H12131" t="str">
        <f t="shared" si="239"/>
        <v/>
      </c>
    </row>
    <row r="12132" spans="8:8" x14ac:dyDescent="0.3">
      <c r="H12132" t="str">
        <f t="shared" si="239"/>
        <v/>
      </c>
    </row>
    <row r="12133" spans="8:8" x14ac:dyDescent="0.3">
      <c r="H12133" t="str">
        <f t="shared" si="239"/>
        <v/>
      </c>
    </row>
    <row r="12134" spans="8:8" x14ac:dyDescent="0.3">
      <c r="H12134" t="str">
        <f t="shared" si="239"/>
        <v/>
      </c>
    </row>
    <row r="12135" spans="8:8" x14ac:dyDescent="0.3">
      <c r="H12135" t="str">
        <f t="shared" si="239"/>
        <v/>
      </c>
    </row>
    <row r="12136" spans="8:8" x14ac:dyDescent="0.3">
      <c r="H12136" t="str">
        <f t="shared" si="239"/>
        <v/>
      </c>
    </row>
    <row r="12137" spans="8:8" x14ac:dyDescent="0.3">
      <c r="H12137" t="str">
        <f t="shared" si="239"/>
        <v/>
      </c>
    </row>
    <row r="12138" spans="8:8" x14ac:dyDescent="0.3">
      <c r="H12138" t="str">
        <f t="shared" si="239"/>
        <v/>
      </c>
    </row>
    <row r="12139" spans="8:8" x14ac:dyDescent="0.3">
      <c r="H12139" t="str">
        <f t="shared" si="239"/>
        <v/>
      </c>
    </row>
    <row r="12140" spans="8:8" x14ac:dyDescent="0.3">
      <c r="H12140" t="str">
        <f t="shared" si="239"/>
        <v/>
      </c>
    </row>
    <row r="12141" spans="8:8" x14ac:dyDescent="0.3">
      <c r="H12141" t="str">
        <f t="shared" si="239"/>
        <v/>
      </c>
    </row>
    <row r="12142" spans="8:8" x14ac:dyDescent="0.3">
      <c r="H12142" t="str">
        <f t="shared" si="239"/>
        <v/>
      </c>
    </row>
    <row r="12143" spans="8:8" x14ac:dyDescent="0.3">
      <c r="H12143" t="str">
        <f t="shared" si="239"/>
        <v/>
      </c>
    </row>
    <row r="12144" spans="8:8" x14ac:dyDescent="0.3">
      <c r="H12144" t="str">
        <f t="shared" si="239"/>
        <v/>
      </c>
    </row>
    <row r="12145" spans="8:8" x14ac:dyDescent="0.3">
      <c r="H12145" t="str">
        <f t="shared" si="239"/>
        <v/>
      </c>
    </row>
    <row r="12146" spans="8:8" x14ac:dyDescent="0.3">
      <c r="H12146" t="str">
        <f t="shared" si="239"/>
        <v/>
      </c>
    </row>
    <row r="12147" spans="8:8" x14ac:dyDescent="0.3">
      <c r="H12147" t="str">
        <f t="shared" si="239"/>
        <v/>
      </c>
    </row>
    <row r="12148" spans="8:8" x14ac:dyDescent="0.3">
      <c r="H12148" t="str">
        <f t="shared" si="239"/>
        <v/>
      </c>
    </row>
    <row r="12149" spans="8:8" x14ac:dyDescent="0.3">
      <c r="H12149" t="str">
        <f t="shared" si="239"/>
        <v/>
      </c>
    </row>
    <row r="12150" spans="8:8" x14ac:dyDescent="0.3">
      <c r="H12150" t="str">
        <f t="shared" si="239"/>
        <v/>
      </c>
    </row>
    <row r="12151" spans="8:8" x14ac:dyDescent="0.3">
      <c r="H12151" t="str">
        <f t="shared" si="239"/>
        <v/>
      </c>
    </row>
    <row r="12152" spans="8:8" x14ac:dyDescent="0.3">
      <c r="H12152" t="str">
        <f t="shared" si="239"/>
        <v/>
      </c>
    </row>
    <row r="12153" spans="8:8" x14ac:dyDescent="0.3">
      <c r="H12153" t="str">
        <f t="shared" si="239"/>
        <v/>
      </c>
    </row>
    <row r="12154" spans="8:8" x14ac:dyDescent="0.3">
      <c r="H12154" t="str">
        <f t="shared" si="239"/>
        <v/>
      </c>
    </row>
    <row r="12155" spans="8:8" x14ac:dyDescent="0.3">
      <c r="H12155" t="str">
        <f t="shared" si="239"/>
        <v/>
      </c>
    </row>
    <row r="12156" spans="8:8" x14ac:dyDescent="0.3">
      <c r="H12156" t="str">
        <f t="shared" si="239"/>
        <v/>
      </c>
    </row>
    <row r="12157" spans="8:8" x14ac:dyDescent="0.3">
      <c r="H12157" t="str">
        <f t="shared" si="239"/>
        <v/>
      </c>
    </row>
    <row r="12158" spans="8:8" x14ac:dyDescent="0.3">
      <c r="H12158" t="str">
        <f t="shared" si="239"/>
        <v/>
      </c>
    </row>
    <row r="12159" spans="8:8" x14ac:dyDescent="0.3">
      <c r="H12159" t="str">
        <f t="shared" si="239"/>
        <v/>
      </c>
    </row>
    <row r="12160" spans="8:8" x14ac:dyDescent="0.3">
      <c r="H12160" t="str">
        <f t="shared" si="239"/>
        <v/>
      </c>
    </row>
    <row r="12161" spans="8:8" x14ac:dyDescent="0.3">
      <c r="H12161" t="str">
        <f t="shared" si="239"/>
        <v/>
      </c>
    </row>
    <row r="12162" spans="8:8" x14ac:dyDescent="0.3">
      <c r="H12162" t="str">
        <f t="shared" si="239"/>
        <v/>
      </c>
    </row>
    <row r="12163" spans="8:8" x14ac:dyDescent="0.3">
      <c r="H12163" t="str">
        <f t="shared" si="239"/>
        <v/>
      </c>
    </row>
    <row r="12164" spans="8:8" x14ac:dyDescent="0.3">
      <c r="H12164" t="str">
        <f t="shared" si="239"/>
        <v/>
      </c>
    </row>
    <row r="12165" spans="8:8" x14ac:dyDescent="0.3">
      <c r="H12165" t="str">
        <f t="shared" si="239"/>
        <v/>
      </c>
    </row>
    <row r="12166" spans="8:8" x14ac:dyDescent="0.3">
      <c r="H12166" t="str">
        <f t="shared" si="239"/>
        <v/>
      </c>
    </row>
    <row r="12167" spans="8:8" x14ac:dyDescent="0.3">
      <c r="H12167" t="str">
        <f t="shared" si="239"/>
        <v/>
      </c>
    </row>
    <row r="12168" spans="8:8" x14ac:dyDescent="0.3">
      <c r="H12168" t="str">
        <f t="shared" si="239"/>
        <v/>
      </c>
    </row>
    <row r="12169" spans="8:8" x14ac:dyDescent="0.3">
      <c r="H12169" t="str">
        <f t="shared" si="239"/>
        <v/>
      </c>
    </row>
    <row r="12170" spans="8:8" x14ac:dyDescent="0.3">
      <c r="H12170" t="str">
        <f t="shared" si="239"/>
        <v/>
      </c>
    </row>
    <row r="12171" spans="8:8" x14ac:dyDescent="0.3">
      <c r="H12171" t="str">
        <f t="shared" si="239"/>
        <v/>
      </c>
    </row>
    <row r="12172" spans="8:8" x14ac:dyDescent="0.3">
      <c r="H12172" t="str">
        <f t="shared" si="239"/>
        <v/>
      </c>
    </row>
    <row r="12173" spans="8:8" x14ac:dyDescent="0.3">
      <c r="H12173" t="str">
        <f t="shared" si="239"/>
        <v/>
      </c>
    </row>
    <row r="12174" spans="8:8" x14ac:dyDescent="0.3">
      <c r="H12174" t="str">
        <f t="shared" si="239"/>
        <v/>
      </c>
    </row>
    <row r="12175" spans="8:8" x14ac:dyDescent="0.3">
      <c r="H12175" t="str">
        <f t="shared" si="239"/>
        <v/>
      </c>
    </row>
    <row r="12176" spans="8:8" x14ac:dyDescent="0.3">
      <c r="H12176" t="str">
        <f t="shared" si="239"/>
        <v/>
      </c>
    </row>
    <row r="12177" spans="8:8" x14ac:dyDescent="0.3">
      <c r="H12177" t="str">
        <f t="shared" si="239"/>
        <v/>
      </c>
    </row>
    <row r="12178" spans="8:8" x14ac:dyDescent="0.3">
      <c r="H12178" t="str">
        <f t="shared" si="239"/>
        <v/>
      </c>
    </row>
    <row r="12179" spans="8:8" x14ac:dyDescent="0.3">
      <c r="H12179" t="str">
        <f t="shared" si="239"/>
        <v/>
      </c>
    </row>
    <row r="12180" spans="8:8" x14ac:dyDescent="0.3">
      <c r="H12180" t="str">
        <f t="shared" si="239"/>
        <v/>
      </c>
    </row>
    <row r="12181" spans="8:8" x14ac:dyDescent="0.3">
      <c r="H12181" t="str">
        <f t="shared" si="239"/>
        <v/>
      </c>
    </row>
    <row r="12182" spans="8:8" x14ac:dyDescent="0.3">
      <c r="H12182" t="str">
        <f t="shared" si="239"/>
        <v/>
      </c>
    </row>
    <row r="12183" spans="8:8" x14ac:dyDescent="0.3">
      <c r="H12183" t="str">
        <f t="shared" ref="H12183:H12246" si="240">IF(B12183="","",$C$12)</f>
        <v/>
      </c>
    </row>
    <row r="12184" spans="8:8" x14ac:dyDescent="0.3">
      <c r="H12184" t="str">
        <f t="shared" si="240"/>
        <v/>
      </c>
    </row>
    <row r="12185" spans="8:8" x14ac:dyDescent="0.3">
      <c r="H12185" t="str">
        <f t="shared" si="240"/>
        <v/>
      </c>
    </row>
    <row r="12186" spans="8:8" x14ac:dyDescent="0.3">
      <c r="H12186" t="str">
        <f t="shared" si="240"/>
        <v/>
      </c>
    </row>
    <row r="12187" spans="8:8" x14ac:dyDescent="0.3">
      <c r="H12187" t="str">
        <f t="shared" si="240"/>
        <v/>
      </c>
    </row>
    <row r="12188" spans="8:8" x14ac:dyDescent="0.3">
      <c r="H12188" t="str">
        <f t="shared" si="240"/>
        <v/>
      </c>
    </row>
    <row r="12189" spans="8:8" x14ac:dyDescent="0.3">
      <c r="H12189" t="str">
        <f t="shared" si="240"/>
        <v/>
      </c>
    </row>
    <row r="12190" spans="8:8" x14ac:dyDescent="0.3">
      <c r="H12190" t="str">
        <f t="shared" si="240"/>
        <v/>
      </c>
    </row>
    <row r="12191" spans="8:8" x14ac:dyDescent="0.3">
      <c r="H12191" t="str">
        <f t="shared" si="240"/>
        <v/>
      </c>
    </row>
    <row r="12192" spans="8:8" x14ac:dyDescent="0.3">
      <c r="H12192" t="str">
        <f t="shared" si="240"/>
        <v/>
      </c>
    </row>
    <row r="12193" spans="8:8" x14ac:dyDescent="0.3">
      <c r="H12193" t="str">
        <f t="shared" si="240"/>
        <v/>
      </c>
    </row>
    <row r="12194" spans="8:8" x14ac:dyDescent="0.3">
      <c r="H12194" t="str">
        <f t="shared" si="240"/>
        <v/>
      </c>
    </row>
    <row r="12195" spans="8:8" x14ac:dyDescent="0.3">
      <c r="H12195" t="str">
        <f t="shared" si="240"/>
        <v/>
      </c>
    </row>
    <row r="12196" spans="8:8" x14ac:dyDescent="0.3">
      <c r="H12196" t="str">
        <f t="shared" si="240"/>
        <v/>
      </c>
    </row>
    <row r="12197" spans="8:8" x14ac:dyDescent="0.3">
      <c r="H12197" t="str">
        <f t="shared" si="240"/>
        <v/>
      </c>
    </row>
    <row r="12198" spans="8:8" x14ac:dyDescent="0.3">
      <c r="H12198" t="str">
        <f t="shared" si="240"/>
        <v/>
      </c>
    </row>
    <row r="12199" spans="8:8" x14ac:dyDescent="0.3">
      <c r="H12199" t="str">
        <f t="shared" si="240"/>
        <v/>
      </c>
    </row>
    <row r="12200" spans="8:8" x14ac:dyDescent="0.3">
      <c r="H12200" t="str">
        <f t="shared" si="240"/>
        <v/>
      </c>
    </row>
    <row r="12201" spans="8:8" x14ac:dyDescent="0.3">
      <c r="H12201" t="str">
        <f t="shared" si="240"/>
        <v/>
      </c>
    </row>
    <row r="12202" spans="8:8" x14ac:dyDescent="0.3">
      <c r="H12202" t="str">
        <f t="shared" si="240"/>
        <v/>
      </c>
    </row>
    <row r="12203" spans="8:8" x14ac:dyDescent="0.3">
      <c r="H12203" t="str">
        <f t="shared" si="240"/>
        <v/>
      </c>
    </row>
    <row r="12204" spans="8:8" x14ac:dyDescent="0.3">
      <c r="H12204" t="str">
        <f t="shared" si="240"/>
        <v/>
      </c>
    </row>
    <row r="12205" spans="8:8" x14ac:dyDescent="0.3">
      <c r="H12205" t="str">
        <f t="shared" si="240"/>
        <v/>
      </c>
    </row>
    <row r="12206" spans="8:8" x14ac:dyDescent="0.3">
      <c r="H12206" t="str">
        <f t="shared" si="240"/>
        <v/>
      </c>
    </row>
    <row r="12207" spans="8:8" x14ac:dyDescent="0.3">
      <c r="H12207" t="str">
        <f t="shared" si="240"/>
        <v/>
      </c>
    </row>
    <row r="12208" spans="8:8" x14ac:dyDescent="0.3">
      <c r="H12208" t="str">
        <f t="shared" si="240"/>
        <v/>
      </c>
    </row>
    <row r="12209" spans="8:8" x14ac:dyDescent="0.3">
      <c r="H12209" t="str">
        <f t="shared" si="240"/>
        <v/>
      </c>
    </row>
    <row r="12210" spans="8:8" x14ac:dyDescent="0.3">
      <c r="H12210" t="str">
        <f t="shared" si="240"/>
        <v/>
      </c>
    </row>
    <row r="12211" spans="8:8" x14ac:dyDescent="0.3">
      <c r="H12211" t="str">
        <f t="shared" si="240"/>
        <v/>
      </c>
    </row>
    <row r="12212" spans="8:8" x14ac:dyDescent="0.3">
      <c r="H12212" t="str">
        <f t="shared" si="240"/>
        <v/>
      </c>
    </row>
    <row r="12213" spans="8:8" x14ac:dyDescent="0.3">
      <c r="H12213" t="str">
        <f t="shared" si="240"/>
        <v/>
      </c>
    </row>
    <row r="12214" spans="8:8" x14ac:dyDescent="0.3">
      <c r="H12214" t="str">
        <f t="shared" si="240"/>
        <v/>
      </c>
    </row>
    <row r="12215" spans="8:8" x14ac:dyDescent="0.3">
      <c r="H12215" t="str">
        <f t="shared" si="240"/>
        <v/>
      </c>
    </row>
    <row r="12216" spans="8:8" x14ac:dyDescent="0.3">
      <c r="H12216" t="str">
        <f t="shared" si="240"/>
        <v/>
      </c>
    </row>
    <row r="12217" spans="8:8" x14ac:dyDescent="0.3">
      <c r="H12217" t="str">
        <f t="shared" si="240"/>
        <v/>
      </c>
    </row>
    <row r="12218" spans="8:8" x14ac:dyDescent="0.3">
      <c r="H12218" t="str">
        <f t="shared" si="240"/>
        <v/>
      </c>
    </row>
    <row r="12219" spans="8:8" x14ac:dyDescent="0.3">
      <c r="H12219" t="str">
        <f t="shared" si="240"/>
        <v/>
      </c>
    </row>
    <row r="12220" spans="8:8" x14ac:dyDescent="0.3">
      <c r="H12220" t="str">
        <f t="shared" si="240"/>
        <v/>
      </c>
    </row>
    <row r="12221" spans="8:8" x14ac:dyDescent="0.3">
      <c r="H12221" t="str">
        <f t="shared" si="240"/>
        <v/>
      </c>
    </row>
    <row r="12222" spans="8:8" x14ac:dyDescent="0.3">
      <c r="H12222" t="str">
        <f t="shared" si="240"/>
        <v/>
      </c>
    </row>
    <row r="12223" spans="8:8" x14ac:dyDescent="0.3">
      <c r="H12223" t="str">
        <f t="shared" si="240"/>
        <v/>
      </c>
    </row>
    <row r="12224" spans="8:8" x14ac:dyDescent="0.3">
      <c r="H12224" t="str">
        <f t="shared" si="240"/>
        <v/>
      </c>
    </row>
    <row r="12225" spans="8:8" x14ac:dyDescent="0.3">
      <c r="H12225" t="str">
        <f t="shared" si="240"/>
        <v/>
      </c>
    </row>
    <row r="12226" spans="8:8" x14ac:dyDescent="0.3">
      <c r="H12226" t="str">
        <f t="shared" si="240"/>
        <v/>
      </c>
    </row>
    <row r="12227" spans="8:8" x14ac:dyDescent="0.3">
      <c r="H12227" t="str">
        <f t="shared" si="240"/>
        <v/>
      </c>
    </row>
    <row r="12228" spans="8:8" x14ac:dyDescent="0.3">
      <c r="H12228" t="str">
        <f t="shared" si="240"/>
        <v/>
      </c>
    </row>
    <row r="12229" spans="8:8" x14ac:dyDescent="0.3">
      <c r="H12229" t="str">
        <f t="shared" si="240"/>
        <v/>
      </c>
    </row>
    <row r="12230" spans="8:8" x14ac:dyDescent="0.3">
      <c r="H12230" t="str">
        <f t="shared" si="240"/>
        <v/>
      </c>
    </row>
    <row r="12231" spans="8:8" x14ac:dyDescent="0.3">
      <c r="H12231" t="str">
        <f t="shared" si="240"/>
        <v/>
      </c>
    </row>
    <row r="12232" spans="8:8" x14ac:dyDescent="0.3">
      <c r="H12232" t="str">
        <f t="shared" si="240"/>
        <v/>
      </c>
    </row>
    <row r="12233" spans="8:8" x14ac:dyDescent="0.3">
      <c r="H12233" t="str">
        <f t="shared" si="240"/>
        <v/>
      </c>
    </row>
    <row r="12234" spans="8:8" x14ac:dyDescent="0.3">
      <c r="H12234" t="str">
        <f t="shared" si="240"/>
        <v/>
      </c>
    </row>
    <row r="12235" spans="8:8" x14ac:dyDescent="0.3">
      <c r="H12235" t="str">
        <f t="shared" si="240"/>
        <v/>
      </c>
    </row>
    <row r="12236" spans="8:8" x14ac:dyDescent="0.3">
      <c r="H12236" t="str">
        <f t="shared" si="240"/>
        <v/>
      </c>
    </row>
    <row r="12237" spans="8:8" x14ac:dyDescent="0.3">
      <c r="H12237" t="str">
        <f t="shared" si="240"/>
        <v/>
      </c>
    </row>
    <row r="12238" spans="8:8" x14ac:dyDescent="0.3">
      <c r="H12238" t="str">
        <f t="shared" si="240"/>
        <v/>
      </c>
    </row>
    <row r="12239" spans="8:8" x14ac:dyDescent="0.3">
      <c r="H12239" t="str">
        <f t="shared" si="240"/>
        <v/>
      </c>
    </row>
    <row r="12240" spans="8:8" x14ac:dyDescent="0.3">
      <c r="H12240" t="str">
        <f t="shared" si="240"/>
        <v/>
      </c>
    </row>
    <row r="12241" spans="8:8" x14ac:dyDescent="0.3">
      <c r="H12241" t="str">
        <f t="shared" si="240"/>
        <v/>
      </c>
    </row>
    <row r="12242" spans="8:8" x14ac:dyDescent="0.3">
      <c r="H12242" t="str">
        <f t="shared" si="240"/>
        <v/>
      </c>
    </row>
    <row r="12243" spans="8:8" x14ac:dyDescent="0.3">
      <c r="H12243" t="str">
        <f t="shared" si="240"/>
        <v/>
      </c>
    </row>
    <row r="12244" spans="8:8" x14ac:dyDescent="0.3">
      <c r="H12244" t="str">
        <f t="shared" si="240"/>
        <v/>
      </c>
    </row>
    <row r="12245" spans="8:8" x14ac:dyDescent="0.3">
      <c r="H12245" t="str">
        <f t="shared" si="240"/>
        <v/>
      </c>
    </row>
    <row r="12246" spans="8:8" x14ac:dyDescent="0.3">
      <c r="H12246" t="str">
        <f t="shared" si="240"/>
        <v/>
      </c>
    </row>
    <row r="12247" spans="8:8" x14ac:dyDescent="0.3">
      <c r="H12247" t="str">
        <f t="shared" ref="H12247:H12310" si="241">IF(B12247="","",$C$12)</f>
        <v/>
      </c>
    </row>
    <row r="12248" spans="8:8" x14ac:dyDescent="0.3">
      <c r="H12248" t="str">
        <f t="shared" si="241"/>
        <v/>
      </c>
    </row>
    <row r="12249" spans="8:8" x14ac:dyDescent="0.3">
      <c r="H12249" t="str">
        <f t="shared" si="241"/>
        <v/>
      </c>
    </row>
    <row r="12250" spans="8:8" x14ac:dyDescent="0.3">
      <c r="H12250" t="str">
        <f t="shared" si="241"/>
        <v/>
      </c>
    </row>
    <row r="12251" spans="8:8" x14ac:dyDescent="0.3">
      <c r="H12251" t="str">
        <f t="shared" si="241"/>
        <v/>
      </c>
    </row>
    <row r="12252" spans="8:8" x14ac:dyDescent="0.3">
      <c r="H12252" t="str">
        <f t="shared" si="241"/>
        <v/>
      </c>
    </row>
    <row r="12253" spans="8:8" x14ac:dyDescent="0.3">
      <c r="H12253" t="str">
        <f t="shared" si="241"/>
        <v/>
      </c>
    </row>
    <row r="12254" spans="8:8" x14ac:dyDescent="0.3">
      <c r="H12254" t="str">
        <f t="shared" si="241"/>
        <v/>
      </c>
    </row>
    <row r="12255" spans="8:8" x14ac:dyDescent="0.3">
      <c r="H12255" t="str">
        <f t="shared" si="241"/>
        <v/>
      </c>
    </row>
    <row r="12256" spans="8:8" x14ac:dyDescent="0.3">
      <c r="H12256" t="str">
        <f t="shared" si="241"/>
        <v/>
      </c>
    </row>
    <row r="12257" spans="8:8" x14ac:dyDescent="0.3">
      <c r="H12257" t="str">
        <f t="shared" si="241"/>
        <v/>
      </c>
    </row>
    <row r="12258" spans="8:8" x14ac:dyDescent="0.3">
      <c r="H12258" t="str">
        <f t="shared" si="241"/>
        <v/>
      </c>
    </row>
    <row r="12259" spans="8:8" x14ac:dyDescent="0.3">
      <c r="H12259" t="str">
        <f t="shared" si="241"/>
        <v/>
      </c>
    </row>
    <row r="12260" spans="8:8" x14ac:dyDescent="0.3">
      <c r="H12260" t="str">
        <f t="shared" si="241"/>
        <v/>
      </c>
    </row>
    <row r="12261" spans="8:8" x14ac:dyDescent="0.3">
      <c r="H12261" t="str">
        <f t="shared" si="241"/>
        <v/>
      </c>
    </row>
    <row r="12262" spans="8:8" x14ac:dyDescent="0.3">
      <c r="H12262" t="str">
        <f t="shared" si="241"/>
        <v/>
      </c>
    </row>
    <row r="12263" spans="8:8" x14ac:dyDescent="0.3">
      <c r="H12263" t="str">
        <f t="shared" si="241"/>
        <v/>
      </c>
    </row>
    <row r="12264" spans="8:8" x14ac:dyDescent="0.3">
      <c r="H12264" t="str">
        <f t="shared" si="241"/>
        <v/>
      </c>
    </row>
    <row r="12265" spans="8:8" x14ac:dyDescent="0.3">
      <c r="H12265" t="str">
        <f t="shared" si="241"/>
        <v/>
      </c>
    </row>
    <row r="12266" spans="8:8" x14ac:dyDescent="0.3">
      <c r="H12266" t="str">
        <f t="shared" si="241"/>
        <v/>
      </c>
    </row>
    <row r="12267" spans="8:8" x14ac:dyDescent="0.3">
      <c r="H12267" t="str">
        <f t="shared" si="241"/>
        <v/>
      </c>
    </row>
    <row r="12268" spans="8:8" x14ac:dyDescent="0.3">
      <c r="H12268" t="str">
        <f t="shared" si="241"/>
        <v/>
      </c>
    </row>
    <row r="12269" spans="8:8" x14ac:dyDescent="0.3">
      <c r="H12269" t="str">
        <f t="shared" si="241"/>
        <v/>
      </c>
    </row>
    <row r="12270" spans="8:8" x14ac:dyDescent="0.3">
      <c r="H12270" t="str">
        <f t="shared" si="241"/>
        <v/>
      </c>
    </row>
    <row r="12271" spans="8:8" x14ac:dyDescent="0.3">
      <c r="H12271" t="str">
        <f t="shared" si="241"/>
        <v/>
      </c>
    </row>
    <row r="12272" spans="8:8" x14ac:dyDescent="0.3">
      <c r="H12272" t="str">
        <f t="shared" si="241"/>
        <v/>
      </c>
    </row>
    <row r="12273" spans="8:8" x14ac:dyDescent="0.3">
      <c r="H12273" t="str">
        <f t="shared" si="241"/>
        <v/>
      </c>
    </row>
    <row r="12274" spans="8:8" x14ac:dyDescent="0.3">
      <c r="H12274" t="str">
        <f t="shared" si="241"/>
        <v/>
      </c>
    </row>
    <row r="12275" spans="8:8" x14ac:dyDescent="0.3">
      <c r="H12275" t="str">
        <f t="shared" si="241"/>
        <v/>
      </c>
    </row>
    <row r="12276" spans="8:8" x14ac:dyDescent="0.3">
      <c r="H12276" t="str">
        <f t="shared" si="241"/>
        <v/>
      </c>
    </row>
    <row r="12277" spans="8:8" x14ac:dyDescent="0.3">
      <c r="H12277" t="str">
        <f t="shared" si="241"/>
        <v/>
      </c>
    </row>
    <row r="12278" spans="8:8" x14ac:dyDescent="0.3">
      <c r="H12278" t="str">
        <f t="shared" si="241"/>
        <v/>
      </c>
    </row>
    <row r="12279" spans="8:8" x14ac:dyDescent="0.3">
      <c r="H12279" t="str">
        <f t="shared" si="241"/>
        <v/>
      </c>
    </row>
    <row r="12280" spans="8:8" x14ac:dyDescent="0.3">
      <c r="H12280" t="str">
        <f t="shared" si="241"/>
        <v/>
      </c>
    </row>
    <row r="12281" spans="8:8" x14ac:dyDescent="0.3">
      <c r="H12281" t="str">
        <f t="shared" si="241"/>
        <v/>
      </c>
    </row>
    <row r="12282" spans="8:8" x14ac:dyDescent="0.3">
      <c r="H12282" t="str">
        <f t="shared" si="241"/>
        <v/>
      </c>
    </row>
    <row r="12283" spans="8:8" x14ac:dyDescent="0.3">
      <c r="H12283" t="str">
        <f t="shared" si="241"/>
        <v/>
      </c>
    </row>
    <row r="12284" spans="8:8" x14ac:dyDescent="0.3">
      <c r="H12284" t="str">
        <f t="shared" si="241"/>
        <v/>
      </c>
    </row>
    <row r="12285" spans="8:8" x14ac:dyDescent="0.3">
      <c r="H12285" t="str">
        <f t="shared" si="241"/>
        <v/>
      </c>
    </row>
    <row r="12286" spans="8:8" x14ac:dyDescent="0.3">
      <c r="H12286" t="str">
        <f t="shared" si="241"/>
        <v/>
      </c>
    </row>
    <row r="12287" spans="8:8" x14ac:dyDescent="0.3">
      <c r="H12287" t="str">
        <f t="shared" si="241"/>
        <v/>
      </c>
    </row>
    <row r="12288" spans="8:8" x14ac:dyDescent="0.3">
      <c r="H12288" t="str">
        <f t="shared" si="241"/>
        <v/>
      </c>
    </row>
    <row r="12289" spans="8:8" x14ac:dyDescent="0.3">
      <c r="H12289" t="str">
        <f t="shared" si="241"/>
        <v/>
      </c>
    </row>
    <row r="12290" spans="8:8" x14ac:dyDescent="0.3">
      <c r="H12290" t="str">
        <f t="shared" si="241"/>
        <v/>
      </c>
    </row>
    <row r="12291" spans="8:8" x14ac:dyDescent="0.3">
      <c r="H12291" t="str">
        <f t="shared" si="241"/>
        <v/>
      </c>
    </row>
    <row r="12292" spans="8:8" x14ac:dyDescent="0.3">
      <c r="H12292" t="str">
        <f t="shared" si="241"/>
        <v/>
      </c>
    </row>
    <row r="12293" spans="8:8" x14ac:dyDescent="0.3">
      <c r="H12293" t="str">
        <f t="shared" si="241"/>
        <v/>
      </c>
    </row>
    <row r="12294" spans="8:8" x14ac:dyDescent="0.3">
      <c r="H12294" t="str">
        <f t="shared" si="241"/>
        <v/>
      </c>
    </row>
    <row r="12295" spans="8:8" x14ac:dyDescent="0.3">
      <c r="H12295" t="str">
        <f t="shared" si="241"/>
        <v/>
      </c>
    </row>
    <row r="12296" spans="8:8" x14ac:dyDescent="0.3">
      <c r="H12296" t="str">
        <f t="shared" si="241"/>
        <v/>
      </c>
    </row>
    <row r="12297" spans="8:8" x14ac:dyDescent="0.3">
      <c r="H12297" t="str">
        <f t="shared" si="241"/>
        <v/>
      </c>
    </row>
    <row r="12298" spans="8:8" x14ac:dyDescent="0.3">
      <c r="H12298" t="str">
        <f t="shared" si="241"/>
        <v/>
      </c>
    </row>
    <row r="12299" spans="8:8" x14ac:dyDescent="0.3">
      <c r="H12299" t="str">
        <f t="shared" si="241"/>
        <v/>
      </c>
    </row>
    <row r="12300" spans="8:8" x14ac:dyDescent="0.3">
      <c r="H12300" t="str">
        <f t="shared" si="241"/>
        <v/>
      </c>
    </row>
    <row r="12301" spans="8:8" x14ac:dyDescent="0.3">
      <c r="H12301" t="str">
        <f t="shared" si="241"/>
        <v/>
      </c>
    </row>
    <row r="12302" spans="8:8" x14ac:dyDescent="0.3">
      <c r="H12302" t="str">
        <f t="shared" si="241"/>
        <v/>
      </c>
    </row>
    <row r="12303" spans="8:8" x14ac:dyDescent="0.3">
      <c r="H12303" t="str">
        <f t="shared" si="241"/>
        <v/>
      </c>
    </row>
    <row r="12304" spans="8:8" x14ac:dyDescent="0.3">
      <c r="H12304" t="str">
        <f t="shared" si="241"/>
        <v/>
      </c>
    </row>
    <row r="12305" spans="8:8" x14ac:dyDescent="0.3">
      <c r="H12305" t="str">
        <f t="shared" si="241"/>
        <v/>
      </c>
    </row>
    <row r="12306" spans="8:8" x14ac:dyDescent="0.3">
      <c r="H12306" t="str">
        <f t="shared" si="241"/>
        <v/>
      </c>
    </row>
    <row r="12307" spans="8:8" x14ac:dyDescent="0.3">
      <c r="H12307" t="str">
        <f t="shared" si="241"/>
        <v/>
      </c>
    </row>
    <row r="12308" spans="8:8" x14ac:dyDescent="0.3">
      <c r="H12308" t="str">
        <f t="shared" si="241"/>
        <v/>
      </c>
    </row>
    <row r="12309" spans="8:8" x14ac:dyDescent="0.3">
      <c r="H12309" t="str">
        <f t="shared" si="241"/>
        <v/>
      </c>
    </row>
    <row r="12310" spans="8:8" x14ac:dyDescent="0.3">
      <c r="H12310" t="str">
        <f t="shared" si="241"/>
        <v/>
      </c>
    </row>
    <row r="12311" spans="8:8" x14ac:dyDescent="0.3">
      <c r="H12311" t="str">
        <f t="shared" ref="H12311:H12374" si="242">IF(B12311="","",$C$12)</f>
        <v/>
      </c>
    </row>
    <row r="12312" spans="8:8" x14ac:dyDescent="0.3">
      <c r="H12312" t="str">
        <f t="shared" si="242"/>
        <v/>
      </c>
    </row>
    <row r="12313" spans="8:8" x14ac:dyDescent="0.3">
      <c r="H12313" t="str">
        <f t="shared" si="242"/>
        <v/>
      </c>
    </row>
    <row r="12314" spans="8:8" x14ac:dyDescent="0.3">
      <c r="H12314" t="str">
        <f t="shared" si="242"/>
        <v/>
      </c>
    </row>
    <row r="12315" spans="8:8" x14ac:dyDescent="0.3">
      <c r="H12315" t="str">
        <f t="shared" si="242"/>
        <v/>
      </c>
    </row>
    <row r="12316" spans="8:8" x14ac:dyDescent="0.3">
      <c r="H12316" t="str">
        <f t="shared" si="242"/>
        <v/>
      </c>
    </row>
    <row r="12317" spans="8:8" x14ac:dyDescent="0.3">
      <c r="H12317" t="str">
        <f t="shared" si="242"/>
        <v/>
      </c>
    </row>
    <row r="12318" spans="8:8" x14ac:dyDescent="0.3">
      <c r="H12318" t="str">
        <f t="shared" si="242"/>
        <v/>
      </c>
    </row>
    <row r="12319" spans="8:8" x14ac:dyDescent="0.3">
      <c r="H12319" t="str">
        <f t="shared" si="242"/>
        <v/>
      </c>
    </row>
    <row r="12320" spans="8:8" x14ac:dyDescent="0.3">
      <c r="H12320" t="str">
        <f t="shared" si="242"/>
        <v/>
      </c>
    </row>
    <row r="12321" spans="8:8" x14ac:dyDescent="0.3">
      <c r="H12321" t="str">
        <f t="shared" si="242"/>
        <v/>
      </c>
    </row>
    <row r="12322" spans="8:8" x14ac:dyDescent="0.3">
      <c r="H12322" t="str">
        <f t="shared" si="242"/>
        <v/>
      </c>
    </row>
    <row r="12323" spans="8:8" x14ac:dyDescent="0.3">
      <c r="H12323" t="str">
        <f t="shared" si="242"/>
        <v/>
      </c>
    </row>
    <row r="12324" spans="8:8" x14ac:dyDescent="0.3">
      <c r="H12324" t="str">
        <f t="shared" si="242"/>
        <v/>
      </c>
    </row>
    <row r="12325" spans="8:8" x14ac:dyDescent="0.3">
      <c r="H12325" t="str">
        <f t="shared" si="242"/>
        <v/>
      </c>
    </row>
    <row r="12326" spans="8:8" x14ac:dyDescent="0.3">
      <c r="H12326" t="str">
        <f t="shared" si="242"/>
        <v/>
      </c>
    </row>
    <row r="12327" spans="8:8" x14ac:dyDescent="0.3">
      <c r="H12327" t="str">
        <f t="shared" si="242"/>
        <v/>
      </c>
    </row>
    <row r="12328" spans="8:8" x14ac:dyDescent="0.3">
      <c r="H12328" t="str">
        <f t="shared" si="242"/>
        <v/>
      </c>
    </row>
    <row r="12329" spans="8:8" x14ac:dyDescent="0.3">
      <c r="H12329" t="str">
        <f t="shared" si="242"/>
        <v/>
      </c>
    </row>
    <row r="12330" spans="8:8" x14ac:dyDescent="0.3">
      <c r="H12330" t="str">
        <f t="shared" si="242"/>
        <v/>
      </c>
    </row>
    <row r="12331" spans="8:8" x14ac:dyDescent="0.3">
      <c r="H12331" t="str">
        <f t="shared" si="242"/>
        <v/>
      </c>
    </row>
    <row r="12332" spans="8:8" x14ac:dyDescent="0.3">
      <c r="H12332" t="str">
        <f t="shared" si="242"/>
        <v/>
      </c>
    </row>
    <row r="12333" spans="8:8" x14ac:dyDescent="0.3">
      <c r="H12333" t="str">
        <f t="shared" si="242"/>
        <v/>
      </c>
    </row>
    <row r="12334" spans="8:8" x14ac:dyDescent="0.3">
      <c r="H12334" t="str">
        <f t="shared" si="242"/>
        <v/>
      </c>
    </row>
    <row r="12335" spans="8:8" x14ac:dyDescent="0.3">
      <c r="H12335" t="str">
        <f t="shared" si="242"/>
        <v/>
      </c>
    </row>
    <row r="12336" spans="8:8" x14ac:dyDescent="0.3">
      <c r="H12336" t="str">
        <f t="shared" si="242"/>
        <v/>
      </c>
    </row>
    <row r="12337" spans="8:8" x14ac:dyDescent="0.3">
      <c r="H12337" t="str">
        <f t="shared" si="242"/>
        <v/>
      </c>
    </row>
    <row r="12338" spans="8:8" x14ac:dyDescent="0.3">
      <c r="H12338" t="str">
        <f t="shared" si="242"/>
        <v/>
      </c>
    </row>
    <row r="12339" spans="8:8" x14ac:dyDescent="0.3">
      <c r="H12339" t="str">
        <f t="shared" si="242"/>
        <v/>
      </c>
    </row>
    <row r="12340" spans="8:8" x14ac:dyDescent="0.3">
      <c r="H12340" t="str">
        <f t="shared" si="242"/>
        <v/>
      </c>
    </row>
    <row r="12341" spans="8:8" x14ac:dyDescent="0.3">
      <c r="H12341" t="str">
        <f t="shared" si="242"/>
        <v/>
      </c>
    </row>
    <row r="12342" spans="8:8" x14ac:dyDescent="0.3">
      <c r="H12342" t="str">
        <f t="shared" si="242"/>
        <v/>
      </c>
    </row>
    <row r="12343" spans="8:8" x14ac:dyDescent="0.3">
      <c r="H12343" t="str">
        <f t="shared" si="242"/>
        <v/>
      </c>
    </row>
    <row r="12344" spans="8:8" x14ac:dyDescent="0.3">
      <c r="H12344" t="str">
        <f t="shared" si="242"/>
        <v/>
      </c>
    </row>
    <row r="12345" spans="8:8" x14ac:dyDescent="0.3">
      <c r="H12345" t="str">
        <f t="shared" si="242"/>
        <v/>
      </c>
    </row>
    <row r="12346" spans="8:8" x14ac:dyDescent="0.3">
      <c r="H12346" t="str">
        <f t="shared" si="242"/>
        <v/>
      </c>
    </row>
    <row r="12347" spans="8:8" x14ac:dyDescent="0.3">
      <c r="H12347" t="str">
        <f t="shared" si="242"/>
        <v/>
      </c>
    </row>
    <row r="12348" spans="8:8" x14ac:dyDescent="0.3">
      <c r="H12348" t="str">
        <f t="shared" si="242"/>
        <v/>
      </c>
    </row>
    <row r="12349" spans="8:8" x14ac:dyDescent="0.3">
      <c r="H12349" t="str">
        <f t="shared" si="242"/>
        <v/>
      </c>
    </row>
    <row r="12350" spans="8:8" x14ac:dyDescent="0.3">
      <c r="H12350" t="str">
        <f t="shared" si="242"/>
        <v/>
      </c>
    </row>
    <row r="12351" spans="8:8" x14ac:dyDescent="0.3">
      <c r="H12351" t="str">
        <f t="shared" si="242"/>
        <v/>
      </c>
    </row>
    <row r="12352" spans="8:8" x14ac:dyDescent="0.3">
      <c r="H12352" t="str">
        <f t="shared" si="242"/>
        <v/>
      </c>
    </row>
    <row r="12353" spans="8:8" x14ac:dyDescent="0.3">
      <c r="H12353" t="str">
        <f t="shared" si="242"/>
        <v/>
      </c>
    </row>
    <row r="12354" spans="8:8" x14ac:dyDescent="0.3">
      <c r="H12354" t="str">
        <f t="shared" si="242"/>
        <v/>
      </c>
    </row>
    <row r="12355" spans="8:8" x14ac:dyDescent="0.3">
      <c r="H12355" t="str">
        <f t="shared" si="242"/>
        <v/>
      </c>
    </row>
    <row r="12356" spans="8:8" x14ac:dyDescent="0.3">
      <c r="H12356" t="str">
        <f t="shared" si="242"/>
        <v/>
      </c>
    </row>
    <row r="12357" spans="8:8" x14ac:dyDescent="0.3">
      <c r="H12357" t="str">
        <f t="shared" si="242"/>
        <v/>
      </c>
    </row>
    <row r="12358" spans="8:8" x14ac:dyDescent="0.3">
      <c r="H12358" t="str">
        <f t="shared" si="242"/>
        <v/>
      </c>
    </row>
    <row r="12359" spans="8:8" x14ac:dyDescent="0.3">
      <c r="H12359" t="str">
        <f t="shared" si="242"/>
        <v/>
      </c>
    </row>
    <row r="12360" spans="8:8" x14ac:dyDescent="0.3">
      <c r="H12360" t="str">
        <f t="shared" si="242"/>
        <v/>
      </c>
    </row>
    <row r="12361" spans="8:8" x14ac:dyDescent="0.3">
      <c r="H12361" t="str">
        <f t="shared" si="242"/>
        <v/>
      </c>
    </row>
    <row r="12362" spans="8:8" x14ac:dyDescent="0.3">
      <c r="H12362" t="str">
        <f t="shared" si="242"/>
        <v/>
      </c>
    </row>
    <row r="12363" spans="8:8" x14ac:dyDescent="0.3">
      <c r="H12363" t="str">
        <f t="shared" si="242"/>
        <v/>
      </c>
    </row>
    <row r="12364" spans="8:8" x14ac:dyDescent="0.3">
      <c r="H12364" t="str">
        <f t="shared" si="242"/>
        <v/>
      </c>
    </row>
    <row r="12365" spans="8:8" x14ac:dyDescent="0.3">
      <c r="H12365" t="str">
        <f t="shared" si="242"/>
        <v/>
      </c>
    </row>
    <row r="12366" spans="8:8" x14ac:dyDescent="0.3">
      <c r="H12366" t="str">
        <f t="shared" si="242"/>
        <v/>
      </c>
    </row>
    <row r="12367" spans="8:8" x14ac:dyDescent="0.3">
      <c r="H12367" t="str">
        <f t="shared" si="242"/>
        <v/>
      </c>
    </row>
    <row r="12368" spans="8:8" x14ac:dyDescent="0.3">
      <c r="H12368" t="str">
        <f t="shared" si="242"/>
        <v/>
      </c>
    </row>
    <row r="12369" spans="8:8" x14ac:dyDescent="0.3">
      <c r="H12369" t="str">
        <f t="shared" si="242"/>
        <v/>
      </c>
    </row>
    <row r="12370" spans="8:8" x14ac:dyDescent="0.3">
      <c r="H12370" t="str">
        <f t="shared" si="242"/>
        <v/>
      </c>
    </row>
    <row r="12371" spans="8:8" x14ac:dyDescent="0.3">
      <c r="H12371" t="str">
        <f t="shared" si="242"/>
        <v/>
      </c>
    </row>
    <row r="12372" spans="8:8" x14ac:dyDescent="0.3">
      <c r="H12372" t="str">
        <f t="shared" si="242"/>
        <v/>
      </c>
    </row>
    <row r="12373" spans="8:8" x14ac:dyDescent="0.3">
      <c r="H12373" t="str">
        <f t="shared" si="242"/>
        <v/>
      </c>
    </row>
    <row r="12374" spans="8:8" x14ac:dyDescent="0.3">
      <c r="H12374" t="str">
        <f t="shared" si="242"/>
        <v/>
      </c>
    </row>
    <row r="12375" spans="8:8" x14ac:dyDescent="0.3">
      <c r="H12375" t="str">
        <f t="shared" ref="H12375:H12438" si="243">IF(B12375="","",$C$12)</f>
        <v/>
      </c>
    </row>
    <row r="12376" spans="8:8" x14ac:dyDescent="0.3">
      <c r="H12376" t="str">
        <f t="shared" si="243"/>
        <v/>
      </c>
    </row>
    <row r="12377" spans="8:8" x14ac:dyDescent="0.3">
      <c r="H12377" t="str">
        <f t="shared" si="243"/>
        <v/>
      </c>
    </row>
    <row r="12378" spans="8:8" x14ac:dyDescent="0.3">
      <c r="H12378" t="str">
        <f t="shared" si="243"/>
        <v/>
      </c>
    </row>
    <row r="12379" spans="8:8" x14ac:dyDescent="0.3">
      <c r="H12379" t="str">
        <f t="shared" si="243"/>
        <v/>
      </c>
    </row>
    <row r="12380" spans="8:8" x14ac:dyDescent="0.3">
      <c r="H12380" t="str">
        <f t="shared" si="243"/>
        <v/>
      </c>
    </row>
    <row r="12381" spans="8:8" x14ac:dyDescent="0.3">
      <c r="H12381" t="str">
        <f t="shared" si="243"/>
        <v/>
      </c>
    </row>
    <row r="12382" spans="8:8" x14ac:dyDescent="0.3">
      <c r="H12382" t="str">
        <f t="shared" si="243"/>
        <v/>
      </c>
    </row>
    <row r="12383" spans="8:8" x14ac:dyDescent="0.3">
      <c r="H12383" t="str">
        <f t="shared" si="243"/>
        <v/>
      </c>
    </row>
    <row r="12384" spans="8:8" x14ac:dyDescent="0.3">
      <c r="H12384" t="str">
        <f t="shared" si="243"/>
        <v/>
      </c>
    </row>
    <row r="12385" spans="8:8" x14ac:dyDescent="0.3">
      <c r="H12385" t="str">
        <f t="shared" si="243"/>
        <v/>
      </c>
    </row>
    <row r="12386" spans="8:8" x14ac:dyDescent="0.3">
      <c r="H12386" t="str">
        <f t="shared" si="243"/>
        <v/>
      </c>
    </row>
    <row r="12387" spans="8:8" x14ac:dyDescent="0.3">
      <c r="H12387" t="str">
        <f t="shared" si="243"/>
        <v/>
      </c>
    </row>
    <row r="12388" spans="8:8" x14ac:dyDescent="0.3">
      <c r="H12388" t="str">
        <f t="shared" si="243"/>
        <v/>
      </c>
    </row>
    <row r="12389" spans="8:8" x14ac:dyDescent="0.3">
      <c r="H12389" t="str">
        <f t="shared" si="243"/>
        <v/>
      </c>
    </row>
    <row r="12390" spans="8:8" x14ac:dyDescent="0.3">
      <c r="H12390" t="str">
        <f t="shared" si="243"/>
        <v/>
      </c>
    </row>
    <row r="12391" spans="8:8" x14ac:dyDescent="0.3">
      <c r="H12391" t="str">
        <f t="shared" si="243"/>
        <v/>
      </c>
    </row>
    <row r="12392" spans="8:8" x14ac:dyDescent="0.3">
      <c r="H12392" t="str">
        <f t="shared" si="243"/>
        <v/>
      </c>
    </row>
    <row r="12393" spans="8:8" x14ac:dyDescent="0.3">
      <c r="H12393" t="str">
        <f t="shared" si="243"/>
        <v/>
      </c>
    </row>
    <row r="12394" spans="8:8" x14ac:dyDescent="0.3">
      <c r="H12394" t="str">
        <f t="shared" si="243"/>
        <v/>
      </c>
    </row>
    <row r="12395" spans="8:8" x14ac:dyDescent="0.3">
      <c r="H12395" t="str">
        <f t="shared" si="243"/>
        <v/>
      </c>
    </row>
    <row r="12396" spans="8:8" x14ac:dyDescent="0.3">
      <c r="H12396" t="str">
        <f t="shared" si="243"/>
        <v/>
      </c>
    </row>
    <row r="12397" spans="8:8" x14ac:dyDescent="0.3">
      <c r="H12397" t="str">
        <f t="shared" si="243"/>
        <v/>
      </c>
    </row>
    <row r="12398" spans="8:8" x14ac:dyDescent="0.3">
      <c r="H12398" t="str">
        <f t="shared" si="243"/>
        <v/>
      </c>
    </row>
    <row r="12399" spans="8:8" x14ac:dyDescent="0.3">
      <c r="H12399" t="str">
        <f t="shared" si="243"/>
        <v/>
      </c>
    </row>
    <row r="12400" spans="8:8" x14ac:dyDescent="0.3">
      <c r="H12400" t="str">
        <f t="shared" si="243"/>
        <v/>
      </c>
    </row>
    <row r="12401" spans="8:8" x14ac:dyDescent="0.3">
      <c r="H12401" t="str">
        <f t="shared" si="243"/>
        <v/>
      </c>
    </row>
    <row r="12402" spans="8:8" x14ac:dyDescent="0.3">
      <c r="H12402" t="str">
        <f t="shared" si="243"/>
        <v/>
      </c>
    </row>
    <row r="12403" spans="8:8" x14ac:dyDescent="0.3">
      <c r="H12403" t="str">
        <f t="shared" si="243"/>
        <v/>
      </c>
    </row>
    <row r="12404" spans="8:8" x14ac:dyDescent="0.3">
      <c r="H12404" t="str">
        <f t="shared" si="243"/>
        <v/>
      </c>
    </row>
    <row r="12405" spans="8:8" x14ac:dyDescent="0.3">
      <c r="H12405" t="str">
        <f t="shared" si="243"/>
        <v/>
      </c>
    </row>
    <row r="12406" spans="8:8" x14ac:dyDescent="0.3">
      <c r="H12406" t="str">
        <f t="shared" si="243"/>
        <v/>
      </c>
    </row>
    <row r="12407" spans="8:8" x14ac:dyDescent="0.3">
      <c r="H12407" t="str">
        <f t="shared" si="243"/>
        <v/>
      </c>
    </row>
    <row r="12408" spans="8:8" x14ac:dyDescent="0.3">
      <c r="H12408" t="str">
        <f t="shared" si="243"/>
        <v/>
      </c>
    </row>
    <row r="12409" spans="8:8" x14ac:dyDescent="0.3">
      <c r="H12409" t="str">
        <f t="shared" si="243"/>
        <v/>
      </c>
    </row>
    <row r="12410" spans="8:8" x14ac:dyDescent="0.3">
      <c r="H12410" t="str">
        <f t="shared" si="243"/>
        <v/>
      </c>
    </row>
    <row r="12411" spans="8:8" x14ac:dyDescent="0.3">
      <c r="H12411" t="str">
        <f t="shared" si="243"/>
        <v/>
      </c>
    </row>
    <row r="12412" spans="8:8" x14ac:dyDescent="0.3">
      <c r="H12412" t="str">
        <f t="shared" si="243"/>
        <v/>
      </c>
    </row>
    <row r="12413" spans="8:8" x14ac:dyDescent="0.3">
      <c r="H12413" t="str">
        <f t="shared" si="243"/>
        <v/>
      </c>
    </row>
    <row r="12414" spans="8:8" x14ac:dyDescent="0.3">
      <c r="H12414" t="str">
        <f t="shared" si="243"/>
        <v/>
      </c>
    </row>
    <row r="12415" spans="8:8" x14ac:dyDescent="0.3">
      <c r="H12415" t="str">
        <f t="shared" si="243"/>
        <v/>
      </c>
    </row>
    <row r="12416" spans="8:8" x14ac:dyDescent="0.3">
      <c r="H12416" t="str">
        <f t="shared" si="243"/>
        <v/>
      </c>
    </row>
    <row r="12417" spans="8:8" x14ac:dyDescent="0.3">
      <c r="H12417" t="str">
        <f t="shared" si="243"/>
        <v/>
      </c>
    </row>
    <row r="12418" spans="8:8" x14ac:dyDescent="0.3">
      <c r="H12418" t="str">
        <f t="shared" si="243"/>
        <v/>
      </c>
    </row>
    <row r="12419" spans="8:8" x14ac:dyDescent="0.3">
      <c r="H12419" t="str">
        <f t="shared" si="243"/>
        <v/>
      </c>
    </row>
    <row r="12420" spans="8:8" x14ac:dyDescent="0.3">
      <c r="H12420" t="str">
        <f t="shared" si="243"/>
        <v/>
      </c>
    </row>
    <row r="12421" spans="8:8" x14ac:dyDescent="0.3">
      <c r="H12421" t="str">
        <f t="shared" si="243"/>
        <v/>
      </c>
    </row>
    <row r="12422" spans="8:8" x14ac:dyDescent="0.3">
      <c r="H12422" t="str">
        <f t="shared" si="243"/>
        <v/>
      </c>
    </row>
    <row r="12423" spans="8:8" x14ac:dyDescent="0.3">
      <c r="H12423" t="str">
        <f t="shared" si="243"/>
        <v/>
      </c>
    </row>
    <row r="12424" spans="8:8" x14ac:dyDescent="0.3">
      <c r="H12424" t="str">
        <f t="shared" si="243"/>
        <v/>
      </c>
    </row>
    <row r="12425" spans="8:8" x14ac:dyDescent="0.3">
      <c r="H12425" t="str">
        <f t="shared" si="243"/>
        <v/>
      </c>
    </row>
    <row r="12426" spans="8:8" x14ac:dyDescent="0.3">
      <c r="H12426" t="str">
        <f t="shared" si="243"/>
        <v/>
      </c>
    </row>
    <row r="12427" spans="8:8" x14ac:dyDescent="0.3">
      <c r="H12427" t="str">
        <f t="shared" si="243"/>
        <v/>
      </c>
    </row>
    <row r="12428" spans="8:8" x14ac:dyDescent="0.3">
      <c r="H12428" t="str">
        <f t="shared" si="243"/>
        <v/>
      </c>
    </row>
    <row r="12429" spans="8:8" x14ac:dyDescent="0.3">
      <c r="H12429" t="str">
        <f t="shared" si="243"/>
        <v/>
      </c>
    </row>
    <row r="12430" spans="8:8" x14ac:dyDescent="0.3">
      <c r="H12430" t="str">
        <f t="shared" si="243"/>
        <v/>
      </c>
    </row>
    <row r="12431" spans="8:8" x14ac:dyDescent="0.3">
      <c r="H12431" t="str">
        <f t="shared" si="243"/>
        <v/>
      </c>
    </row>
    <row r="12432" spans="8:8" x14ac:dyDescent="0.3">
      <c r="H12432" t="str">
        <f t="shared" si="243"/>
        <v/>
      </c>
    </row>
    <row r="12433" spans="8:8" x14ac:dyDescent="0.3">
      <c r="H12433" t="str">
        <f t="shared" si="243"/>
        <v/>
      </c>
    </row>
    <row r="12434" spans="8:8" x14ac:dyDescent="0.3">
      <c r="H12434" t="str">
        <f t="shared" si="243"/>
        <v/>
      </c>
    </row>
    <row r="12435" spans="8:8" x14ac:dyDescent="0.3">
      <c r="H12435" t="str">
        <f t="shared" si="243"/>
        <v/>
      </c>
    </row>
    <row r="12436" spans="8:8" x14ac:dyDescent="0.3">
      <c r="H12436" t="str">
        <f t="shared" si="243"/>
        <v/>
      </c>
    </row>
    <row r="12437" spans="8:8" x14ac:dyDescent="0.3">
      <c r="H12437" t="str">
        <f t="shared" si="243"/>
        <v/>
      </c>
    </row>
    <row r="12438" spans="8:8" x14ac:dyDescent="0.3">
      <c r="H12438" t="str">
        <f t="shared" si="243"/>
        <v/>
      </c>
    </row>
    <row r="12439" spans="8:8" x14ac:dyDescent="0.3">
      <c r="H12439" t="str">
        <f t="shared" ref="H12439:H12502" si="244">IF(B12439="","",$C$12)</f>
        <v/>
      </c>
    </row>
    <row r="12440" spans="8:8" x14ac:dyDescent="0.3">
      <c r="H12440" t="str">
        <f t="shared" si="244"/>
        <v/>
      </c>
    </row>
    <row r="12441" spans="8:8" x14ac:dyDescent="0.3">
      <c r="H12441" t="str">
        <f t="shared" si="244"/>
        <v/>
      </c>
    </row>
    <row r="12442" spans="8:8" x14ac:dyDescent="0.3">
      <c r="H12442" t="str">
        <f t="shared" si="244"/>
        <v/>
      </c>
    </row>
    <row r="12443" spans="8:8" x14ac:dyDescent="0.3">
      <c r="H12443" t="str">
        <f t="shared" si="244"/>
        <v/>
      </c>
    </row>
    <row r="12444" spans="8:8" x14ac:dyDescent="0.3">
      <c r="H12444" t="str">
        <f t="shared" si="244"/>
        <v/>
      </c>
    </row>
    <row r="12445" spans="8:8" x14ac:dyDescent="0.3">
      <c r="H12445" t="str">
        <f t="shared" si="244"/>
        <v/>
      </c>
    </row>
    <row r="12446" spans="8:8" x14ac:dyDescent="0.3">
      <c r="H12446" t="str">
        <f t="shared" si="244"/>
        <v/>
      </c>
    </row>
    <row r="12447" spans="8:8" x14ac:dyDescent="0.3">
      <c r="H12447" t="str">
        <f t="shared" si="244"/>
        <v/>
      </c>
    </row>
    <row r="12448" spans="8:8" x14ac:dyDescent="0.3">
      <c r="H12448" t="str">
        <f t="shared" si="244"/>
        <v/>
      </c>
    </row>
    <row r="12449" spans="8:8" x14ac:dyDescent="0.3">
      <c r="H12449" t="str">
        <f t="shared" si="244"/>
        <v/>
      </c>
    </row>
    <row r="12450" spans="8:8" x14ac:dyDescent="0.3">
      <c r="H12450" t="str">
        <f t="shared" si="244"/>
        <v/>
      </c>
    </row>
    <row r="12451" spans="8:8" x14ac:dyDescent="0.3">
      <c r="H12451" t="str">
        <f t="shared" si="244"/>
        <v/>
      </c>
    </row>
    <row r="12452" spans="8:8" x14ac:dyDescent="0.3">
      <c r="H12452" t="str">
        <f t="shared" si="244"/>
        <v/>
      </c>
    </row>
    <row r="12453" spans="8:8" x14ac:dyDescent="0.3">
      <c r="H12453" t="str">
        <f t="shared" si="244"/>
        <v/>
      </c>
    </row>
    <row r="12454" spans="8:8" x14ac:dyDescent="0.3">
      <c r="H12454" t="str">
        <f t="shared" si="244"/>
        <v/>
      </c>
    </row>
    <row r="12455" spans="8:8" x14ac:dyDescent="0.3">
      <c r="H12455" t="str">
        <f t="shared" si="244"/>
        <v/>
      </c>
    </row>
    <row r="12456" spans="8:8" x14ac:dyDescent="0.3">
      <c r="H12456" t="str">
        <f t="shared" si="244"/>
        <v/>
      </c>
    </row>
    <row r="12457" spans="8:8" x14ac:dyDescent="0.3">
      <c r="H12457" t="str">
        <f t="shared" si="244"/>
        <v/>
      </c>
    </row>
    <row r="12458" spans="8:8" x14ac:dyDescent="0.3">
      <c r="H12458" t="str">
        <f t="shared" si="244"/>
        <v/>
      </c>
    </row>
    <row r="12459" spans="8:8" x14ac:dyDescent="0.3">
      <c r="H12459" t="str">
        <f t="shared" si="244"/>
        <v/>
      </c>
    </row>
    <row r="12460" spans="8:8" x14ac:dyDescent="0.3">
      <c r="H12460" t="str">
        <f t="shared" si="244"/>
        <v/>
      </c>
    </row>
    <row r="12461" spans="8:8" x14ac:dyDescent="0.3">
      <c r="H12461" t="str">
        <f t="shared" si="244"/>
        <v/>
      </c>
    </row>
    <row r="12462" spans="8:8" x14ac:dyDescent="0.3">
      <c r="H12462" t="str">
        <f t="shared" si="244"/>
        <v/>
      </c>
    </row>
    <row r="12463" spans="8:8" x14ac:dyDescent="0.3">
      <c r="H12463" t="str">
        <f t="shared" si="244"/>
        <v/>
      </c>
    </row>
    <row r="12464" spans="8:8" x14ac:dyDescent="0.3">
      <c r="H12464" t="str">
        <f t="shared" si="244"/>
        <v/>
      </c>
    </row>
    <row r="12465" spans="8:8" x14ac:dyDescent="0.3">
      <c r="H12465" t="str">
        <f t="shared" si="244"/>
        <v/>
      </c>
    </row>
    <row r="12466" spans="8:8" x14ac:dyDescent="0.3">
      <c r="H12466" t="str">
        <f t="shared" si="244"/>
        <v/>
      </c>
    </row>
    <row r="12467" spans="8:8" x14ac:dyDescent="0.3">
      <c r="H12467" t="str">
        <f t="shared" si="244"/>
        <v/>
      </c>
    </row>
    <row r="12468" spans="8:8" x14ac:dyDescent="0.3">
      <c r="H12468" t="str">
        <f t="shared" si="244"/>
        <v/>
      </c>
    </row>
    <row r="12469" spans="8:8" x14ac:dyDescent="0.3">
      <c r="H12469" t="str">
        <f t="shared" si="244"/>
        <v/>
      </c>
    </row>
    <row r="12470" spans="8:8" x14ac:dyDescent="0.3">
      <c r="H12470" t="str">
        <f t="shared" si="244"/>
        <v/>
      </c>
    </row>
    <row r="12471" spans="8:8" x14ac:dyDescent="0.3">
      <c r="H12471" t="str">
        <f t="shared" si="244"/>
        <v/>
      </c>
    </row>
    <row r="12472" spans="8:8" x14ac:dyDescent="0.3">
      <c r="H12472" t="str">
        <f t="shared" si="244"/>
        <v/>
      </c>
    </row>
    <row r="12473" spans="8:8" x14ac:dyDescent="0.3">
      <c r="H12473" t="str">
        <f t="shared" si="244"/>
        <v/>
      </c>
    </row>
    <row r="12474" spans="8:8" x14ac:dyDescent="0.3">
      <c r="H12474" t="str">
        <f t="shared" si="244"/>
        <v/>
      </c>
    </row>
    <row r="12475" spans="8:8" x14ac:dyDescent="0.3">
      <c r="H12475" t="str">
        <f t="shared" si="244"/>
        <v/>
      </c>
    </row>
    <row r="12476" spans="8:8" x14ac:dyDescent="0.3">
      <c r="H12476" t="str">
        <f t="shared" si="244"/>
        <v/>
      </c>
    </row>
    <row r="12477" spans="8:8" x14ac:dyDescent="0.3">
      <c r="H12477" t="str">
        <f t="shared" si="244"/>
        <v/>
      </c>
    </row>
    <row r="12478" spans="8:8" x14ac:dyDescent="0.3">
      <c r="H12478" t="str">
        <f t="shared" si="244"/>
        <v/>
      </c>
    </row>
    <row r="12479" spans="8:8" x14ac:dyDescent="0.3">
      <c r="H12479" t="str">
        <f t="shared" si="244"/>
        <v/>
      </c>
    </row>
    <row r="12480" spans="8:8" x14ac:dyDescent="0.3">
      <c r="H12480" t="str">
        <f t="shared" si="244"/>
        <v/>
      </c>
    </row>
    <row r="12481" spans="8:8" x14ac:dyDescent="0.3">
      <c r="H12481" t="str">
        <f t="shared" si="244"/>
        <v/>
      </c>
    </row>
    <row r="12482" spans="8:8" x14ac:dyDescent="0.3">
      <c r="H12482" t="str">
        <f t="shared" si="244"/>
        <v/>
      </c>
    </row>
    <row r="12483" spans="8:8" x14ac:dyDescent="0.3">
      <c r="H12483" t="str">
        <f t="shared" si="244"/>
        <v/>
      </c>
    </row>
    <row r="12484" spans="8:8" x14ac:dyDescent="0.3">
      <c r="H12484" t="str">
        <f t="shared" si="244"/>
        <v/>
      </c>
    </row>
    <row r="12485" spans="8:8" x14ac:dyDescent="0.3">
      <c r="H12485" t="str">
        <f t="shared" si="244"/>
        <v/>
      </c>
    </row>
    <row r="12486" spans="8:8" x14ac:dyDescent="0.3">
      <c r="H12486" t="str">
        <f t="shared" si="244"/>
        <v/>
      </c>
    </row>
    <row r="12487" spans="8:8" x14ac:dyDescent="0.3">
      <c r="H12487" t="str">
        <f t="shared" si="244"/>
        <v/>
      </c>
    </row>
    <row r="12488" spans="8:8" x14ac:dyDescent="0.3">
      <c r="H12488" t="str">
        <f t="shared" si="244"/>
        <v/>
      </c>
    </row>
    <row r="12489" spans="8:8" x14ac:dyDescent="0.3">
      <c r="H12489" t="str">
        <f t="shared" si="244"/>
        <v/>
      </c>
    </row>
    <row r="12490" spans="8:8" x14ac:dyDescent="0.3">
      <c r="H12490" t="str">
        <f t="shared" si="244"/>
        <v/>
      </c>
    </row>
    <row r="12491" spans="8:8" x14ac:dyDescent="0.3">
      <c r="H12491" t="str">
        <f t="shared" si="244"/>
        <v/>
      </c>
    </row>
    <row r="12492" spans="8:8" x14ac:dyDescent="0.3">
      <c r="H12492" t="str">
        <f t="shared" si="244"/>
        <v/>
      </c>
    </row>
    <row r="12493" spans="8:8" x14ac:dyDescent="0.3">
      <c r="H12493" t="str">
        <f t="shared" si="244"/>
        <v/>
      </c>
    </row>
    <row r="12494" spans="8:8" x14ac:dyDescent="0.3">
      <c r="H12494" t="str">
        <f t="shared" si="244"/>
        <v/>
      </c>
    </row>
    <row r="12495" spans="8:8" x14ac:dyDescent="0.3">
      <c r="H12495" t="str">
        <f t="shared" si="244"/>
        <v/>
      </c>
    </row>
    <row r="12496" spans="8:8" x14ac:dyDescent="0.3">
      <c r="H12496" t="str">
        <f t="shared" si="244"/>
        <v/>
      </c>
    </row>
    <row r="12497" spans="8:8" x14ac:dyDescent="0.3">
      <c r="H12497" t="str">
        <f t="shared" si="244"/>
        <v/>
      </c>
    </row>
    <row r="12498" spans="8:8" x14ac:dyDescent="0.3">
      <c r="H12498" t="str">
        <f t="shared" si="244"/>
        <v/>
      </c>
    </row>
    <row r="12499" spans="8:8" x14ac:dyDescent="0.3">
      <c r="H12499" t="str">
        <f t="shared" si="244"/>
        <v/>
      </c>
    </row>
    <row r="12500" spans="8:8" x14ac:dyDescent="0.3">
      <c r="H12500" t="str">
        <f t="shared" si="244"/>
        <v/>
      </c>
    </row>
    <row r="12501" spans="8:8" x14ac:dyDescent="0.3">
      <c r="H12501" t="str">
        <f t="shared" si="244"/>
        <v/>
      </c>
    </row>
    <row r="12502" spans="8:8" x14ac:dyDescent="0.3">
      <c r="H12502" t="str">
        <f t="shared" si="244"/>
        <v/>
      </c>
    </row>
    <row r="12503" spans="8:8" x14ac:dyDescent="0.3">
      <c r="H12503" t="str">
        <f t="shared" ref="H12503:H12566" si="245">IF(B12503="","",$C$12)</f>
        <v/>
      </c>
    </row>
    <row r="12504" spans="8:8" x14ac:dyDescent="0.3">
      <c r="H12504" t="str">
        <f t="shared" si="245"/>
        <v/>
      </c>
    </row>
    <row r="12505" spans="8:8" x14ac:dyDescent="0.3">
      <c r="H12505" t="str">
        <f t="shared" si="245"/>
        <v/>
      </c>
    </row>
    <row r="12506" spans="8:8" x14ac:dyDescent="0.3">
      <c r="H12506" t="str">
        <f t="shared" si="245"/>
        <v/>
      </c>
    </row>
    <row r="12507" spans="8:8" x14ac:dyDescent="0.3">
      <c r="H12507" t="str">
        <f t="shared" si="245"/>
        <v/>
      </c>
    </row>
    <row r="12508" spans="8:8" x14ac:dyDescent="0.3">
      <c r="H12508" t="str">
        <f t="shared" si="245"/>
        <v/>
      </c>
    </row>
    <row r="12509" spans="8:8" x14ac:dyDescent="0.3">
      <c r="H12509" t="str">
        <f t="shared" si="245"/>
        <v/>
      </c>
    </row>
    <row r="12510" spans="8:8" x14ac:dyDescent="0.3">
      <c r="H12510" t="str">
        <f t="shared" si="245"/>
        <v/>
      </c>
    </row>
    <row r="12511" spans="8:8" x14ac:dyDescent="0.3">
      <c r="H12511" t="str">
        <f t="shared" si="245"/>
        <v/>
      </c>
    </row>
    <row r="12512" spans="8:8" x14ac:dyDescent="0.3">
      <c r="H12512" t="str">
        <f t="shared" si="245"/>
        <v/>
      </c>
    </row>
    <row r="12513" spans="8:8" x14ac:dyDescent="0.3">
      <c r="H12513" t="str">
        <f t="shared" si="245"/>
        <v/>
      </c>
    </row>
    <row r="12514" spans="8:8" x14ac:dyDescent="0.3">
      <c r="H12514" t="str">
        <f t="shared" si="245"/>
        <v/>
      </c>
    </row>
    <row r="12515" spans="8:8" x14ac:dyDescent="0.3">
      <c r="H12515" t="str">
        <f t="shared" si="245"/>
        <v/>
      </c>
    </row>
    <row r="12516" spans="8:8" x14ac:dyDescent="0.3">
      <c r="H12516" t="str">
        <f t="shared" si="245"/>
        <v/>
      </c>
    </row>
    <row r="12517" spans="8:8" x14ac:dyDescent="0.3">
      <c r="H12517" t="str">
        <f t="shared" si="245"/>
        <v/>
      </c>
    </row>
    <row r="12518" spans="8:8" x14ac:dyDescent="0.3">
      <c r="H12518" t="str">
        <f t="shared" si="245"/>
        <v/>
      </c>
    </row>
    <row r="12519" spans="8:8" x14ac:dyDescent="0.3">
      <c r="H12519" t="str">
        <f t="shared" si="245"/>
        <v/>
      </c>
    </row>
    <row r="12520" spans="8:8" x14ac:dyDescent="0.3">
      <c r="H12520" t="str">
        <f t="shared" si="245"/>
        <v/>
      </c>
    </row>
    <row r="12521" spans="8:8" x14ac:dyDescent="0.3">
      <c r="H12521" t="str">
        <f t="shared" si="245"/>
        <v/>
      </c>
    </row>
    <row r="12522" spans="8:8" x14ac:dyDescent="0.3">
      <c r="H12522" t="str">
        <f t="shared" si="245"/>
        <v/>
      </c>
    </row>
    <row r="12523" spans="8:8" x14ac:dyDescent="0.3">
      <c r="H12523" t="str">
        <f t="shared" si="245"/>
        <v/>
      </c>
    </row>
    <row r="12524" spans="8:8" x14ac:dyDescent="0.3">
      <c r="H12524" t="str">
        <f t="shared" si="245"/>
        <v/>
      </c>
    </row>
    <row r="12525" spans="8:8" x14ac:dyDescent="0.3">
      <c r="H12525" t="str">
        <f t="shared" si="245"/>
        <v/>
      </c>
    </row>
    <row r="12526" spans="8:8" x14ac:dyDescent="0.3">
      <c r="H12526" t="str">
        <f t="shared" si="245"/>
        <v/>
      </c>
    </row>
    <row r="12527" spans="8:8" x14ac:dyDescent="0.3">
      <c r="H12527" t="str">
        <f t="shared" si="245"/>
        <v/>
      </c>
    </row>
    <row r="12528" spans="8:8" x14ac:dyDescent="0.3">
      <c r="H12528" t="str">
        <f t="shared" si="245"/>
        <v/>
      </c>
    </row>
    <row r="12529" spans="8:8" x14ac:dyDescent="0.3">
      <c r="H12529" t="str">
        <f t="shared" si="245"/>
        <v/>
      </c>
    </row>
    <row r="12530" spans="8:8" x14ac:dyDescent="0.3">
      <c r="H12530" t="str">
        <f t="shared" si="245"/>
        <v/>
      </c>
    </row>
    <row r="12531" spans="8:8" x14ac:dyDescent="0.3">
      <c r="H12531" t="str">
        <f t="shared" si="245"/>
        <v/>
      </c>
    </row>
    <row r="12532" spans="8:8" x14ac:dyDescent="0.3">
      <c r="H12532" t="str">
        <f t="shared" si="245"/>
        <v/>
      </c>
    </row>
    <row r="12533" spans="8:8" x14ac:dyDescent="0.3">
      <c r="H12533" t="str">
        <f t="shared" si="245"/>
        <v/>
      </c>
    </row>
    <row r="12534" spans="8:8" x14ac:dyDescent="0.3">
      <c r="H12534" t="str">
        <f t="shared" si="245"/>
        <v/>
      </c>
    </row>
    <row r="12535" spans="8:8" x14ac:dyDescent="0.3">
      <c r="H12535" t="str">
        <f t="shared" si="245"/>
        <v/>
      </c>
    </row>
    <row r="12536" spans="8:8" x14ac:dyDescent="0.3">
      <c r="H12536" t="str">
        <f t="shared" si="245"/>
        <v/>
      </c>
    </row>
    <row r="12537" spans="8:8" x14ac:dyDescent="0.3">
      <c r="H12537" t="str">
        <f t="shared" si="245"/>
        <v/>
      </c>
    </row>
    <row r="12538" spans="8:8" x14ac:dyDescent="0.3">
      <c r="H12538" t="str">
        <f t="shared" si="245"/>
        <v/>
      </c>
    </row>
    <row r="12539" spans="8:8" x14ac:dyDescent="0.3">
      <c r="H12539" t="str">
        <f t="shared" si="245"/>
        <v/>
      </c>
    </row>
    <row r="12540" spans="8:8" x14ac:dyDescent="0.3">
      <c r="H12540" t="str">
        <f t="shared" si="245"/>
        <v/>
      </c>
    </row>
    <row r="12541" spans="8:8" x14ac:dyDescent="0.3">
      <c r="H12541" t="str">
        <f t="shared" si="245"/>
        <v/>
      </c>
    </row>
    <row r="12542" spans="8:8" x14ac:dyDescent="0.3">
      <c r="H12542" t="str">
        <f t="shared" si="245"/>
        <v/>
      </c>
    </row>
    <row r="12543" spans="8:8" x14ac:dyDescent="0.3">
      <c r="H12543" t="str">
        <f t="shared" si="245"/>
        <v/>
      </c>
    </row>
    <row r="12544" spans="8:8" x14ac:dyDescent="0.3">
      <c r="H12544" t="str">
        <f t="shared" si="245"/>
        <v/>
      </c>
    </row>
    <row r="12545" spans="8:8" x14ac:dyDescent="0.3">
      <c r="H12545" t="str">
        <f t="shared" si="245"/>
        <v/>
      </c>
    </row>
    <row r="12546" spans="8:8" x14ac:dyDescent="0.3">
      <c r="H12546" t="str">
        <f t="shared" si="245"/>
        <v/>
      </c>
    </row>
    <row r="12547" spans="8:8" x14ac:dyDescent="0.3">
      <c r="H12547" t="str">
        <f t="shared" si="245"/>
        <v/>
      </c>
    </row>
    <row r="12548" spans="8:8" x14ac:dyDescent="0.3">
      <c r="H12548" t="str">
        <f t="shared" si="245"/>
        <v/>
      </c>
    </row>
    <row r="12549" spans="8:8" x14ac:dyDescent="0.3">
      <c r="H12549" t="str">
        <f t="shared" si="245"/>
        <v/>
      </c>
    </row>
    <row r="12550" spans="8:8" x14ac:dyDescent="0.3">
      <c r="H12550" t="str">
        <f t="shared" si="245"/>
        <v/>
      </c>
    </row>
    <row r="12551" spans="8:8" x14ac:dyDescent="0.3">
      <c r="H12551" t="str">
        <f t="shared" si="245"/>
        <v/>
      </c>
    </row>
    <row r="12552" spans="8:8" x14ac:dyDescent="0.3">
      <c r="H12552" t="str">
        <f t="shared" si="245"/>
        <v/>
      </c>
    </row>
    <row r="12553" spans="8:8" x14ac:dyDescent="0.3">
      <c r="H12553" t="str">
        <f t="shared" si="245"/>
        <v/>
      </c>
    </row>
    <row r="12554" spans="8:8" x14ac:dyDescent="0.3">
      <c r="H12554" t="str">
        <f t="shared" si="245"/>
        <v/>
      </c>
    </row>
    <row r="12555" spans="8:8" x14ac:dyDescent="0.3">
      <c r="H12555" t="str">
        <f t="shared" si="245"/>
        <v/>
      </c>
    </row>
    <row r="12556" spans="8:8" x14ac:dyDescent="0.3">
      <c r="H12556" t="str">
        <f t="shared" si="245"/>
        <v/>
      </c>
    </row>
    <row r="12557" spans="8:8" x14ac:dyDescent="0.3">
      <c r="H12557" t="str">
        <f t="shared" si="245"/>
        <v/>
      </c>
    </row>
    <row r="12558" spans="8:8" x14ac:dyDescent="0.3">
      <c r="H12558" t="str">
        <f t="shared" si="245"/>
        <v/>
      </c>
    </row>
    <row r="12559" spans="8:8" x14ac:dyDescent="0.3">
      <c r="H12559" t="str">
        <f t="shared" si="245"/>
        <v/>
      </c>
    </row>
    <row r="12560" spans="8:8" x14ac:dyDescent="0.3">
      <c r="H12560" t="str">
        <f t="shared" si="245"/>
        <v/>
      </c>
    </row>
    <row r="12561" spans="8:8" x14ac:dyDescent="0.3">
      <c r="H12561" t="str">
        <f t="shared" si="245"/>
        <v/>
      </c>
    </row>
    <row r="12562" spans="8:8" x14ac:dyDescent="0.3">
      <c r="H12562" t="str">
        <f t="shared" si="245"/>
        <v/>
      </c>
    </row>
    <row r="12563" spans="8:8" x14ac:dyDescent="0.3">
      <c r="H12563" t="str">
        <f t="shared" si="245"/>
        <v/>
      </c>
    </row>
    <row r="12564" spans="8:8" x14ac:dyDescent="0.3">
      <c r="H12564" t="str">
        <f t="shared" si="245"/>
        <v/>
      </c>
    </row>
    <row r="12565" spans="8:8" x14ac:dyDescent="0.3">
      <c r="H12565" t="str">
        <f t="shared" si="245"/>
        <v/>
      </c>
    </row>
    <row r="12566" spans="8:8" x14ac:dyDescent="0.3">
      <c r="H12566" t="str">
        <f t="shared" si="245"/>
        <v/>
      </c>
    </row>
    <row r="12567" spans="8:8" x14ac:dyDescent="0.3">
      <c r="H12567" t="str">
        <f t="shared" ref="H12567:H12630" si="246">IF(B12567="","",$C$12)</f>
        <v/>
      </c>
    </row>
    <row r="12568" spans="8:8" x14ac:dyDescent="0.3">
      <c r="H12568" t="str">
        <f t="shared" si="246"/>
        <v/>
      </c>
    </row>
    <row r="12569" spans="8:8" x14ac:dyDescent="0.3">
      <c r="H12569" t="str">
        <f t="shared" si="246"/>
        <v/>
      </c>
    </row>
    <row r="12570" spans="8:8" x14ac:dyDescent="0.3">
      <c r="H12570" t="str">
        <f t="shared" si="246"/>
        <v/>
      </c>
    </row>
    <row r="12571" spans="8:8" x14ac:dyDescent="0.3">
      <c r="H12571" t="str">
        <f t="shared" si="246"/>
        <v/>
      </c>
    </row>
    <row r="12572" spans="8:8" x14ac:dyDescent="0.3">
      <c r="H12572" t="str">
        <f t="shared" si="246"/>
        <v/>
      </c>
    </row>
    <row r="12573" spans="8:8" x14ac:dyDescent="0.3">
      <c r="H12573" t="str">
        <f t="shared" si="246"/>
        <v/>
      </c>
    </row>
    <row r="12574" spans="8:8" x14ac:dyDescent="0.3">
      <c r="H12574" t="str">
        <f t="shared" si="246"/>
        <v/>
      </c>
    </row>
    <row r="12575" spans="8:8" x14ac:dyDescent="0.3">
      <c r="H12575" t="str">
        <f t="shared" si="246"/>
        <v/>
      </c>
    </row>
    <row r="12576" spans="8:8" x14ac:dyDescent="0.3">
      <c r="H12576" t="str">
        <f t="shared" si="246"/>
        <v/>
      </c>
    </row>
    <row r="12577" spans="8:8" x14ac:dyDescent="0.3">
      <c r="H12577" t="str">
        <f t="shared" si="246"/>
        <v/>
      </c>
    </row>
    <row r="12578" spans="8:8" x14ac:dyDescent="0.3">
      <c r="H12578" t="str">
        <f t="shared" si="246"/>
        <v/>
      </c>
    </row>
    <row r="12579" spans="8:8" x14ac:dyDescent="0.3">
      <c r="H12579" t="str">
        <f t="shared" si="246"/>
        <v/>
      </c>
    </row>
    <row r="12580" spans="8:8" x14ac:dyDescent="0.3">
      <c r="H12580" t="str">
        <f t="shared" si="246"/>
        <v/>
      </c>
    </row>
    <row r="12581" spans="8:8" x14ac:dyDescent="0.3">
      <c r="H12581" t="str">
        <f t="shared" si="246"/>
        <v/>
      </c>
    </row>
    <row r="12582" spans="8:8" x14ac:dyDescent="0.3">
      <c r="H12582" t="str">
        <f t="shared" si="246"/>
        <v/>
      </c>
    </row>
    <row r="12583" spans="8:8" x14ac:dyDescent="0.3">
      <c r="H12583" t="str">
        <f t="shared" si="246"/>
        <v/>
      </c>
    </row>
    <row r="12584" spans="8:8" x14ac:dyDescent="0.3">
      <c r="H12584" t="str">
        <f t="shared" si="246"/>
        <v/>
      </c>
    </row>
    <row r="12585" spans="8:8" x14ac:dyDescent="0.3">
      <c r="H12585" t="str">
        <f t="shared" si="246"/>
        <v/>
      </c>
    </row>
    <row r="12586" spans="8:8" x14ac:dyDescent="0.3">
      <c r="H12586" t="str">
        <f t="shared" si="246"/>
        <v/>
      </c>
    </row>
    <row r="12587" spans="8:8" x14ac:dyDescent="0.3">
      <c r="H12587" t="str">
        <f t="shared" si="246"/>
        <v/>
      </c>
    </row>
    <row r="12588" spans="8:8" x14ac:dyDescent="0.3">
      <c r="H12588" t="str">
        <f t="shared" si="246"/>
        <v/>
      </c>
    </row>
    <row r="12589" spans="8:8" x14ac:dyDescent="0.3">
      <c r="H12589" t="str">
        <f t="shared" si="246"/>
        <v/>
      </c>
    </row>
    <row r="12590" spans="8:8" x14ac:dyDescent="0.3">
      <c r="H12590" t="str">
        <f t="shared" si="246"/>
        <v/>
      </c>
    </row>
    <row r="12591" spans="8:8" x14ac:dyDescent="0.3">
      <c r="H12591" t="str">
        <f t="shared" si="246"/>
        <v/>
      </c>
    </row>
    <row r="12592" spans="8:8" x14ac:dyDescent="0.3">
      <c r="H12592" t="str">
        <f t="shared" si="246"/>
        <v/>
      </c>
    </row>
    <row r="12593" spans="8:8" x14ac:dyDescent="0.3">
      <c r="H12593" t="str">
        <f t="shared" si="246"/>
        <v/>
      </c>
    </row>
    <row r="12594" spans="8:8" x14ac:dyDescent="0.3">
      <c r="H12594" t="str">
        <f t="shared" si="246"/>
        <v/>
      </c>
    </row>
    <row r="12595" spans="8:8" x14ac:dyDescent="0.3">
      <c r="H12595" t="str">
        <f t="shared" si="246"/>
        <v/>
      </c>
    </row>
    <row r="12596" spans="8:8" x14ac:dyDescent="0.3">
      <c r="H12596" t="str">
        <f t="shared" si="246"/>
        <v/>
      </c>
    </row>
    <row r="12597" spans="8:8" x14ac:dyDescent="0.3">
      <c r="H12597" t="str">
        <f t="shared" si="246"/>
        <v/>
      </c>
    </row>
    <row r="12598" spans="8:8" x14ac:dyDescent="0.3">
      <c r="H12598" t="str">
        <f t="shared" si="246"/>
        <v/>
      </c>
    </row>
    <row r="12599" spans="8:8" x14ac:dyDescent="0.3">
      <c r="H12599" t="str">
        <f t="shared" si="246"/>
        <v/>
      </c>
    </row>
    <row r="12600" spans="8:8" x14ac:dyDescent="0.3">
      <c r="H12600" t="str">
        <f t="shared" si="246"/>
        <v/>
      </c>
    </row>
    <row r="12601" spans="8:8" x14ac:dyDescent="0.3">
      <c r="H12601" t="str">
        <f t="shared" si="246"/>
        <v/>
      </c>
    </row>
    <row r="12602" spans="8:8" x14ac:dyDescent="0.3">
      <c r="H12602" t="str">
        <f t="shared" si="246"/>
        <v/>
      </c>
    </row>
    <row r="12603" spans="8:8" x14ac:dyDescent="0.3">
      <c r="H12603" t="str">
        <f t="shared" si="246"/>
        <v/>
      </c>
    </row>
    <row r="12604" spans="8:8" x14ac:dyDescent="0.3">
      <c r="H12604" t="str">
        <f t="shared" si="246"/>
        <v/>
      </c>
    </row>
    <row r="12605" spans="8:8" x14ac:dyDescent="0.3">
      <c r="H12605" t="str">
        <f t="shared" si="246"/>
        <v/>
      </c>
    </row>
    <row r="12606" spans="8:8" x14ac:dyDescent="0.3">
      <c r="H12606" t="str">
        <f t="shared" si="246"/>
        <v/>
      </c>
    </row>
    <row r="12607" spans="8:8" x14ac:dyDescent="0.3">
      <c r="H12607" t="str">
        <f t="shared" si="246"/>
        <v/>
      </c>
    </row>
    <row r="12608" spans="8:8" x14ac:dyDescent="0.3">
      <c r="H12608" t="str">
        <f t="shared" si="246"/>
        <v/>
      </c>
    </row>
    <row r="12609" spans="8:8" x14ac:dyDescent="0.3">
      <c r="H12609" t="str">
        <f t="shared" si="246"/>
        <v/>
      </c>
    </row>
    <row r="12610" spans="8:8" x14ac:dyDescent="0.3">
      <c r="H12610" t="str">
        <f t="shared" si="246"/>
        <v/>
      </c>
    </row>
    <row r="12611" spans="8:8" x14ac:dyDescent="0.3">
      <c r="H12611" t="str">
        <f t="shared" si="246"/>
        <v/>
      </c>
    </row>
    <row r="12612" spans="8:8" x14ac:dyDescent="0.3">
      <c r="H12612" t="str">
        <f t="shared" si="246"/>
        <v/>
      </c>
    </row>
    <row r="12613" spans="8:8" x14ac:dyDescent="0.3">
      <c r="H12613" t="str">
        <f t="shared" si="246"/>
        <v/>
      </c>
    </row>
    <row r="12614" spans="8:8" x14ac:dyDescent="0.3">
      <c r="H12614" t="str">
        <f t="shared" si="246"/>
        <v/>
      </c>
    </row>
    <row r="12615" spans="8:8" x14ac:dyDescent="0.3">
      <c r="H12615" t="str">
        <f t="shared" si="246"/>
        <v/>
      </c>
    </row>
    <row r="12616" spans="8:8" x14ac:dyDescent="0.3">
      <c r="H12616" t="str">
        <f t="shared" si="246"/>
        <v/>
      </c>
    </row>
    <row r="12617" spans="8:8" x14ac:dyDescent="0.3">
      <c r="H12617" t="str">
        <f t="shared" si="246"/>
        <v/>
      </c>
    </row>
    <row r="12618" spans="8:8" x14ac:dyDescent="0.3">
      <c r="H12618" t="str">
        <f t="shared" si="246"/>
        <v/>
      </c>
    </row>
    <row r="12619" spans="8:8" x14ac:dyDescent="0.3">
      <c r="H12619" t="str">
        <f t="shared" si="246"/>
        <v/>
      </c>
    </row>
    <row r="12620" spans="8:8" x14ac:dyDescent="0.3">
      <c r="H12620" t="str">
        <f t="shared" si="246"/>
        <v/>
      </c>
    </row>
    <row r="12621" spans="8:8" x14ac:dyDescent="0.3">
      <c r="H12621" t="str">
        <f t="shared" si="246"/>
        <v/>
      </c>
    </row>
    <row r="12622" spans="8:8" x14ac:dyDescent="0.3">
      <c r="H12622" t="str">
        <f t="shared" si="246"/>
        <v/>
      </c>
    </row>
    <row r="12623" spans="8:8" x14ac:dyDescent="0.3">
      <c r="H12623" t="str">
        <f t="shared" si="246"/>
        <v/>
      </c>
    </row>
    <row r="12624" spans="8:8" x14ac:dyDescent="0.3">
      <c r="H12624" t="str">
        <f t="shared" si="246"/>
        <v/>
      </c>
    </row>
    <row r="12625" spans="8:8" x14ac:dyDescent="0.3">
      <c r="H12625" t="str">
        <f t="shared" si="246"/>
        <v/>
      </c>
    </row>
    <row r="12626" spans="8:8" x14ac:dyDescent="0.3">
      <c r="H12626" t="str">
        <f t="shared" si="246"/>
        <v/>
      </c>
    </row>
    <row r="12627" spans="8:8" x14ac:dyDescent="0.3">
      <c r="H12627" t="str">
        <f t="shared" si="246"/>
        <v/>
      </c>
    </row>
    <row r="12628" spans="8:8" x14ac:dyDescent="0.3">
      <c r="H12628" t="str">
        <f t="shared" si="246"/>
        <v/>
      </c>
    </row>
    <row r="12629" spans="8:8" x14ac:dyDescent="0.3">
      <c r="H12629" t="str">
        <f t="shared" si="246"/>
        <v/>
      </c>
    </row>
    <row r="12630" spans="8:8" x14ac:dyDescent="0.3">
      <c r="H12630" t="str">
        <f t="shared" si="246"/>
        <v/>
      </c>
    </row>
    <row r="12631" spans="8:8" x14ac:dyDescent="0.3">
      <c r="H12631" t="str">
        <f t="shared" ref="H12631:H12694" si="247">IF(B12631="","",$C$12)</f>
        <v/>
      </c>
    </row>
    <row r="12632" spans="8:8" x14ac:dyDescent="0.3">
      <c r="H12632" t="str">
        <f t="shared" si="247"/>
        <v/>
      </c>
    </row>
    <row r="12633" spans="8:8" x14ac:dyDescent="0.3">
      <c r="H12633" t="str">
        <f t="shared" si="247"/>
        <v/>
      </c>
    </row>
    <row r="12634" spans="8:8" x14ac:dyDescent="0.3">
      <c r="H12634" t="str">
        <f t="shared" si="247"/>
        <v/>
      </c>
    </row>
    <row r="12635" spans="8:8" x14ac:dyDescent="0.3">
      <c r="H12635" t="str">
        <f t="shared" si="247"/>
        <v/>
      </c>
    </row>
    <row r="12636" spans="8:8" x14ac:dyDescent="0.3">
      <c r="H12636" t="str">
        <f t="shared" si="247"/>
        <v/>
      </c>
    </row>
    <row r="12637" spans="8:8" x14ac:dyDescent="0.3">
      <c r="H12637" t="str">
        <f t="shared" si="247"/>
        <v/>
      </c>
    </row>
    <row r="12638" spans="8:8" x14ac:dyDescent="0.3">
      <c r="H12638" t="str">
        <f t="shared" si="247"/>
        <v/>
      </c>
    </row>
    <row r="12639" spans="8:8" x14ac:dyDescent="0.3">
      <c r="H12639" t="str">
        <f t="shared" si="247"/>
        <v/>
      </c>
    </row>
    <row r="12640" spans="8:8" x14ac:dyDescent="0.3">
      <c r="H12640" t="str">
        <f t="shared" si="247"/>
        <v/>
      </c>
    </row>
    <row r="12641" spans="8:8" x14ac:dyDescent="0.3">
      <c r="H12641" t="str">
        <f t="shared" si="247"/>
        <v/>
      </c>
    </row>
    <row r="12642" spans="8:8" x14ac:dyDescent="0.3">
      <c r="H12642" t="str">
        <f t="shared" si="247"/>
        <v/>
      </c>
    </row>
    <row r="12643" spans="8:8" x14ac:dyDescent="0.3">
      <c r="H12643" t="str">
        <f t="shared" si="247"/>
        <v/>
      </c>
    </row>
    <row r="12644" spans="8:8" x14ac:dyDescent="0.3">
      <c r="H12644" t="str">
        <f t="shared" si="247"/>
        <v/>
      </c>
    </row>
    <row r="12645" spans="8:8" x14ac:dyDescent="0.3">
      <c r="H12645" t="str">
        <f t="shared" si="247"/>
        <v/>
      </c>
    </row>
    <row r="12646" spans="8:8" x14ac:dyDescent="0.3">
      <c r="H12646" t="str">
        <f t="shared" si="247"/>
        <v/>
      </c>
    </row>
    <row r="12647" spans="8:8" x14ac:dyDescent="0.3">
      <c r="H12647" t="str">
        <f t="shared" si="247"/>
        <v/>
      </c>
    </row>
    <row r="12648" spans="8:8" x14ac:dyDescent="0.3">
      <c r="H12648" t="str">
        <f t="shared" si="247"/>
        <v/>
      </c>
    </row>
    <row r="12649" spans="8:8" x14ac:dyDescent="0.3">
      <c r="H12649" t="str">
        <f t="shared" si="247"/>
        <v/>
      </c>
    </row>
    <row r="12650" spans="8:8" x14ac:dyDescent="0.3">
      <c r="H12650" t="str">
        <f t="shared" si="247"/>
        <v/>
      </c>
    </row>
    <row r="12651" spans="8:8" x14ac:dyDescent="0.3">
      <c r="H12651" t="str">
        <f t="shared" si="247"/>
        <v/>
      </c>
    </row>
    <row r="12652" spans="8:8" x14ac:dyDescent="0.3">
      <c r="H12652" t="str">
        <f t="shared" si="247"/>
        <v/>
      </c>
    </row>
    <row r="12653" spans="8:8" x14ac:dyDescent="0.3">
      <c r="H12653" t="str">
        <f t="shared" si="247"/>
        <v/>
      </c>
    </row>
    <row r="12654" spans="8:8" x14ac:dyDescent="0.3">
      <c r="H12654" t="str">
        <f t="shared" si="247"/>
        <v/>
      </c>
    </row>
    <row r="12655" spans="8:8" x14ac:dyDescent="0.3">
      <c r="H12655" t="str">
        <f t="shared" si="247"/>
        <v/>
      </c>
    </row>
    <row r="12656" spans="8:8" x14ac:dyDescent="0.3">
      <c r="H12656" t="str">
        <f t="shared" si="247"/>
        <v/>
      </c>
    </row>
    <row r="12657" spans="8:8" x14ac:dyDescent="0.3">
      <c r="H12657" t="str">
        <f t="shared" si="247"/>
        <v/>
      </c>
    </row>
    <row r="12658" spans="8:8" x14ac:dyDescent="0.3">
      <c r="H12658" t="str">
        <f t="shared" si="247"/>
        <v/>
      </c>
    </row>
    <row r="12659" spans="8:8" x14ac:dyDescent="0.3">
      <c r="H12659" t="str">
        <f t="shared" si="247"/>
        <v/>
      </c>
    </row>
    <row r="12660" spans="8:8" x14ac:dyDescent="0.3">
      <c r="H12660" t="str">
        <f t="shared" si="247"/>
        <v/>
      </c>
    </row>
    <row r="12661" spans="8:8" x14ac:dyDescent="0.3">
      <c r="H12661" t="str">
        <f t="shared" si="247"/>
        <v/>
      </c>
    </row>
    <row r="12662" spans="8:8" x14ac:dyDescent="0.3">
      <c r="H12662" t="str">
        <f t="shared" si="247"/>
        <v/>
      </c>
    </row>
    <row r="12663" spans="8:8" x14ac:dyDescent="0.3">
      <c r="H12663" t="str">
        <f t="shared" si="247"/>
        <v/>
      </c>
    </row>
    <row r="12664" spans="8:8" x14ac:dyDescent="0.3">
      <c r="H12664" t="str">
        <f t="shared" si="247"/>
        <v/>
      </c>
    </row>
    <row r="12665" spans="8:8" x14ac:dyDescent="0.3">
      <c r="H12665" t="str">
        <f t="shared" si="247"/>
        <v/>
      </c>
    </row>
    <row r="12666" spans="8:8" x14ac:dyDescent="0.3">
      <c r="H12666" t="str">
        <f t="shared" si="247"/>
        <v/>
      </c>
    </row>
    <row r="12667" spans="8:8" x14ac:dyDescent="0.3">
      <c r="H12667" t="str">
        <f t="shared" si="247"/>
        <v/>
      </c>
    </row>
    <row r="12668" spans="8:8" x14ac:dyDescent="0.3">
      <c r="H12668" t="str">
        <f t="shared" si="247"/>
        <v/>
      </c>
    </row>
    <row r="12669" spans="8:8" x14ac:dyDescent="0.3">
      <c r="H12669" t="str">
        <f t="shared" si="247"/>
        <v/>
      </c>
    </row>
    <row r="12670" spans="8:8" x14ac:dyDescent="0.3">
      <c r="H12670" t="str">
        <f t="shared" si="247"/>
        <v/>
      </c>
    </row>
    <row r="12671" spans="8:8" x14ac:dyDescent="0.3">
      <c r="H12671" t="str">
        <f t="shared" si="247"/>
        <v/>
      </c>
    </row>
    <row r="12672" spans="8:8" x14ac:dyDescent="0.3">
      <c r="H12672" t="str">
        <f t="shared" si="247"/>
        <v/>
      </c>
    </row>
    <row r="12673" spans="8:8" x14ac:dyDescent="0.3">
      <c r="H12673" t="str">
        <f t="shared" si="247"/>
        <v/>
      </c>
    </row>
    <row r="12674" spans="8:8" x14ac:dyDescent="0.3">
      <c r="H12674" t="str">
        <f t="shared" si="247"/>
        <v/>
      </c>
    </row>
    <row r="12675" spans="8:8" x14ac:dyDescent="0.3">
      <c r="H12675" t="str">
        <f t="shared" si="247"/>
        <v/>
      </c>
    </row>
    <row r="12676" spans="8:8" x14ac:dyDescent="0.3">
      <c r="H12676" t="str">
        <f t="shared" si="247"/>
        <v/>
      </c>
    </row>
    <row r="12677" spans="8:8" x14ac:dyDescent="0.3">
      <c r="H12677" t="str">
        <f t="shared" si="247"/>
        <v/>
      </c>
    </row>
    <row r="12678" spans="8:8" x14ac:dyDescent="0.3">
      <c r="H12678" t="str">
        <f t="shared" si="247"/>
        <v/>
      </c>
    </row>
    <row r="12679" spans="8:8" x14ac:dyDescent="0.3">
      <c r="H12679" t="str">
        <f t="shared" si="247"/>
        <v/>
      </c>
    </row>
    <row r="12680" spans="8:8" x14ac:dyDescent="0.3">
      <c r="H12680" t="str">
        <f t="shared" si="247"/>
        <v/>
      </c>
    </row>
    <row r="12681" spans="8:8" x14ac:dyDescent="0.3">
      <c r="H12681" t="str">
        <f t="shared" si="247"/>
        <v/>
      </c>
    </row>
    <row r="12682" spans="8:8" x14ac:dyDescent="0.3">
      <c r="H12682" t="str">
        <f t="shared" si="247"/>
        <v/>
      </c>
    </row>
    <row r="12683" spans="8:8" x14ac:dyDescent="0.3">
      <c r="H12683" t="str">
        <f t="shared" si="247"/>
        <v/>
      </c>
    </row>
    <row r="12684" spans="8:8" x14ac:dyDescent="0.3">
      <c r="H12684" t="str">
        <f t="shared" si="247"/>
        <v/>
      </c>
    </row>
    <row r="12685" spans="8:8" x14ac:dyDescent="0.3">
      <c r="H12685" t="str">
        <f t="shared" si="247"/>
        <v/>
      </c>
    </row>
    <row r="12686" spans="8:8" x14ac:dyDescent="0.3">
      <c r="H12686" t="str">
        <f t="shared" si="247"/>
        <v/>
      </c>
    </row>
    <row r="12687" spans="8:8" x14ac:dyDescent="0.3">
      <c r="H12687" t="str">
        <f t="shared" si="247"/>
        <v/>
      </c>
    </row>
    <row r="12688" spans="8:8" x14ac:dyDescent="0.3">
      <c r="H12688" t="str">
        <f t="shared" si="247"/>
        <v/>
      </c>
    </row>
    <row r="12689" spans="8:8" x14ac:dyDescent="0.3">
      <c r="H12689" t="str">
        <f t="shared" si="247"/>
        <v/>
      </c>
    </row>
    <row r="12690" spans="8:8" x14ac:dyDescent="0.3">
      <c r="H12690" t="str">
        <f t="shared" si="247"/>
        <v/>
      </c>
    </row>
    <row r="12691" spans="8:8" x14ac:dyDescent="0.3">
      <c r="H12691" t="str">
        <f t="shared" si="247"/>
        <v/>
      </c>
    </row>
    <row r="12692" spans="8:8" x14ac:dyDescent="0.3">
      <c r="H12692" t="str">
        <f t="shared" si="247"/>
        <v/>
      </c>
    </row>
    <row r="12693" spans="8:8" x14ac:dyDescent="0.3">
      <c r="H12693" t="str">
        <f t="shared" si="247"/>
        <v/>
      </c>
    </row>
    <row r="12694" spans="8:8" x14ac:dyDescent="0.3">
      <c r="H12694" t="str">
        <f t="shared" si="247"/>
        <v/>
      </c>
    </row>
    <row r="12695" spans="8:8" x14ac:dyDescent="0.3">
      <c r="H12695" t="str">
        <f t="shared" ref="H12695:H12758" si="248">IF(B12695="","",$C$12)</f>
        <v/>
      </c>
    </row>
    <row r="12696" spans="8:8" x14ac:dyDescent="0.3">
      <c r="H12696" t="str">
        <f t="shared" si="248"/>
        <v/>
      </c>
    </row>
    <row r="12697" spans="8:8" x14ac:dyDescent="0.3">
      <c r="H12697" t="str">
        <f t="shared" si="248"/>
        <v/>
      </c>
    </row>
    <row r="12698" spans="8:8" x14ac:dyDescent="0.3">
      <c r="H12698" t="str">
        <f t="shared" si="248"/>
        <v/>
      </c>
    </row>
    <row r="12699" spans="8:8" x14ac:dyDescent="0.3">
      <c r="H12699" t="str">
        <f t="shared" si="248"/>
        <v/>
      </c>
    </row>
    <row r="12700" spans="8:8" x14ac:dyDescent="0.3">
      <c r="H12700" t="str">
        <f t="shared" si="248"/>
        <v/>
      </c>
    </row>
    <row r="12701" spans="8:8" x14ac:dyDescent="0.3">
      <c r="H12701" t="str">
        <f t="shared" si="248"/>
        <v/>
      </c>
    </row>
    <row r="12702" spans="8:8" x14ac:dyDescent="0.3">
      <c r="H12702" t="str">
        <f t="shared" si="248"/>
        <v/>
      </c>
    </row>
    <row r="12703" spans="8:8" x14ac:dyDescent="0.3">
      <c r="H12703" t="str">
        <f t="shared" si="248"/>
        <v/>
      </c>
    </row>
    <row r="12704" spans="8:8" x14ac:dyDescent="0.3">
      <c r="H12704" t="str">
        <f t="shared" si="248"/>
        <v/>
      </c>
    </row>
    <row r="12705" spans="8:8" x14ac:dyDescent="0.3">
      <c r="H12705" t="str">
        <f t="shared" si="248"/>
        <v/>
      </c>
    </row>
    <row r="12706" spans="8:8" x14ac:dyDescent="0.3">
      <c r="H12706" t="str">
        <f t="shared" si="248"/>
        <v/>
      </c>
    </row>
    <row r="12707" spans="8:8" x14ac:dyDescent="0.3">
      <c r="H12707" t="str">
        <f t="shared" si="248"/>
        <v/>
      </c>
    </row>
    <row r="12708" spans="8:8" x14ac:dyDescent="0.3">
      <c r="H12708" t="str">
        <f t="shared" si="248"/>
        <v/>
      </c>
    </row>
    <row r="12709" spans="8:8" x14ac:dyDescent="0.3">
      <c r="H12709" t="str">
        <f t="shared" si="248"/>
        <v/>
      </c>
    </row>
    <row r="12710" spans="8:8" x14ac:dyDescent="0.3">
      <c r="H12710" t="str">
        <f t="shared" si="248"/>
        <v/>
      </c>
    </row>
    <row r="12711" spans="8:8" x14ac:dyDescent="0.3">
      <c r="H12711" t="str">
        <f t="shared" si="248"/>
        <v/>
      </c>
    </row>
    <row r="12712" spans="8:8" x14ac:dyDescent="0.3">
      <c r="H12712" t="str">
        <f t="shared" si="248"/>
        <v/>
      </c>
    </row>
    <row r="12713" spans="8:8" x14ac:dyDescent="0.3">
      <c r="H12713" t="str">
        <f t="shared" si="248"/>
        <v/>
      </c>
    </row>
    <row r="12714" spans="8:8" x14ac:dyDescent="0.3">
      <c r="H12714" t="str">
        <f t="shared" si="248"/>
        <v/>
      </c>
    </row>
    <row r="12715" spans="8:8" x14ac:dyDescent="0.3">
      <c r="H12715" t="str">
        <f t="shared" si="248"/>
        <v/>
      </c>
    </row>
    <row r="12716" spans="8:8" x14ac:dyDescent="0.3">
      <c r="H12716" t="str">
        <f t="shared" si="248"/>
        <v/>
      </c>
    </row>
    <row r="12717" spans="8:8" x14ac:dyDescent="0.3">
      <c r="H12717" t="str">
        <f t="shared" si="248"/>
        <v/>
      </c>
    </row>
    <row r="12718" spans="8:8" x14ac:dyDescent="0.3">
      <c r="H12718" t="str">
        <f t="shared" si="248"/>
        <v/>
      </c>
    </row>
    <row r="12719" spans="8:8" x14ac:dyDescent="0.3">
      <c r="H12719" t="str">
        <f t="shared" si="248"/>
        <v/>
      </c>
    </row>
    <row r="12720" spans="8:8" x14ac:dyDescent="0.3">
      <c r="H12720" t="str">
        <f t="shared" si="248"/>
        <v/>
      </c>
    </row>
    <row r="12721" spans="8:8" x14ac:dyDescent="0.3">
      <c r="H12721" t="str">
        <f t="shared" si="248"/>
        <v/>
      </c>
    </row>
    <row r="12722" spans="8:8" x14ac:dyDescent="0.3">
      <c r="H12722" t="str">
        <f t="shared" si="248"/>
        <v/>
      </c>
    </row>
    <row r="12723" spans="8:8" x14ac:dyDescent="0.3">
      <c r="H12723" t="str">
        <f t="shared" si="248"/>
        <v/>
      </c>
    </row>
    <row r="12724" spans="8:8" x14ac:dyDescent="0.3">
      <c r="H12724" t="str">
        <f t="shared" si="248"/>
        <v/>
      </c>
    </row>
    <row r="12725" spans="8:8" x14ac:dyDescent="0.3">
      <c r="H12725" t="str">
        <f t="shared" si="248"/>
        <v/>
      </c>
    </row>
    <row r="12726" spans="8:8" x14ac:dyDescent="0.3">
      <c r="H12726" t="str">
        <f t="shared" si="248"/>
        <v/>
      </c>
    </row>
    <row r="12727" spans="8:8" x14ac:dyDescent="0.3">
      <c r="H12727" t="str">
        <f t="shared" si="248"/>
        <v/>
      </c>
    </row>
    <row r="12728" spans="8:8" x14ac:dyDescent="0.3">
      <c r="H12728" t="str">
        <f t="shared" si="248"/>
        <v/>
      </c>
    </row>
    <row r="12729" spans="8:8" x14ac:dyDescent="0.3">
      <c r="H12729" t="str">
        <f t="shared" si="248"/>
        <v/>
      </c>
    </row>
    <row r="12730" spans="8:8" x14ac:dyDescent="0.3">
      <c r="H12730" t="str">
        <f t="shared" si="248"/>
        <v/>
      </c>
    </row>
    <row r="12731" spans="8:8" x14ac:dyDescent="0.3">
      <c r="H12731" t="str">
        <f t="shared" si="248"/>
        <v/>
      </c>
    </row>
    <row r="12732" spans="8:8" x14ac:dyDescent="0.3">
      <c r="H12732" t="str">
        <f t="shared" si="248"/>
        <v/>
      </c>
    </row>
    <row r="12733" spans="8:8" x14ac:dyDescent="0.3">
      <c r="H12733" t="str">
        <f t="shared" si="248"/>
        <v/>
      </c>
    </row>
    <row r="12734" spans="8:8" x14ac:dyDescent="0.3">
      <c r="H12734" t="str">
        <f t="shared" si="248"/>
        <v/>
      </c>
    </row>
    <row r="12735" spans="8:8" x14ac:dyDescent="0.3">
      <c r="H12735" t="str">
        <f t="shared" si="248"/>
        <v/>
      </c>
    </row>
    <row r="12736" spans="8:8" x14ac:dyDescent="0.3">
      <c r="H12736" t="str">
        <f t="shared" si="248"/>
        <v/>
      </c>
    </row>
    <row r="12737" spans="8:8" x14ac:dyDescent="0.3">
      <c r="H12737" t="str">
        <f t="shared" si="248"/>
        <v/>
      </c>
    </row>
    <row r="12738" spans="8:8" x14ac:dyDescent="0.3">
      <c r="H12738" t="str">
        <f t="shared" si="248"/>
        <v/>
      </c>
    </row>
    <row r="12739" spans="8:8" x14ac:dyDescent="0.3">
      <c r="H12739" t="str">
        <f t="shared" si="248"/>
        <v/>
      </c>
    </row>
    <row r="12740" spans="8:8" x14ac:dyDescent="0.3">
      <c r="H12740" t="str">
        <f t="shared" si="248"/>
        <v/>
      </c>
    </row>
    <row r="12741" spans="8:8" x14ac:dyDescent="0.3">
      <c r="H12741" t="str">
        <f t="shared" si="248"/>
        <v/>
      </c>
    </row>
    <row r="12742" spans="8:8" x14ac:dyDescent="0.3">
      <c r="H12742" t="str">
        <f t="shared" si="248"/>
        <v/>
      </c>
    </row>
    <row r="12743" spans="8:8" x14ac:dyDescent="0.3">
      <c r="H12743" t="str">
        <f t="shared" si="248"/>
        <v/>
      </c>
    </row>
    <row r="12744" spans="8:8" x14ac:dyDescent="0.3">
      <c r="H12744" t="str">
        <f t="shared" si="248"/>
        <v/>
      </c>
    </row>
    <row r="12745" spans="8:8" x14ac:dyDescent="0.3">
      <c r="H12745" t="str">
        <f t="shared" si="248"/>
        <v/>
      </c>
    </row>
    <row r="12746" spans="8:8" x14ac:dyDescent="0.3">
      <c r="H12746" t="str">
        <f t="shared" si="248"/>
        <v/>
      </c>
    </row>
    <row r="12747" spans="8:8" x14ac:dyDescent="0.3">
      <c r="H12747" t="str">
        <f t="shared" si="248"/>
        <v/>
      </c>
    </row>
    <row r="12748" spans="8:8" x14ac:dyDescent="0.3">
      <c r="H12748" t="str">
        <f t="shared" si="248"/>
        <v/>
      </c>
    </row>
    <row r="12749" spans="8:8" x14ac:dyDescent="0.3">
      <c r="H12749" t="str">
        <f t="shared" si="248"/>
        <v/>
      </c>
    </row>
    <row r="12750" spans="8:8" x14ac:dyDescent="0.3">
      <c r="H12750" t="str">
        <f t="shared" si="248"/>
        <v/>
      </c>
    </row>
    <row r="12751" spans="8:8" x14ac:dyDescent="0.3">
      <c r="H12751" t="str">
        <f t="shared" si="248"/>
        <v/>
      </c>
    </row>
    <row r="12752" spans="8:8" x14ac:dyDescent="0.3">
      <c r="H12752" t="str">
        <f t="shared" si="248"/>
        <v/>
      </c>
    </row>
    <row r="12753" spans="8:8" x14ac:dyDescent="0.3">
      <c r="H12753" t="str">
        <f t="shared" si="248"/>
        <v/>
      </c>
    </row>
    <row r="12754" spans="8:8" x14ac:dyDescent="0.3">
      <c r="H12754" t="str">
        <f t="shared" si="248"/>
        <v/>
      </c>
    </row>
    <row r="12755" spans="8:8" x14ac:dyDescent="0.3">
      <c r="H12755" t="str">
        <f t="shared" si="248"/>
        <v/>
      </c>
    </row>
    <row r="12756" spans="8:8" x14ac:dyDescent="0.3">
      <c r="H12756" t="str">
        <f t="shared" si="248"/>
        <v/>
      </c>
    </row>
    <row r="12757" spans="8:8" x14ac:dyDescent="0.3">
      <c r="H12757" t="str">
        <f t="shared" si="248"/>
        <v/>
      </c>
    </row>
    <row r="12758" spans="8:8" x14ac:dyDescent="0.3">
      <c r="H12758" t="str">
        <f t="shared" si="248"/>
        <v/>
      </c>
    </row>
    <row r="12759" spans="8:8" x14ac:dyDescent="0.3">
      <c r="H12759" t="str">
        <f t="shared" ref="H12759:H12822" si="249">IF(B12759="","",$C$12)</f>
        <v/>
      </c>
    </row>
    <row r="12760" spans="8:8" x14ac:dyDescent="0.3">
      <c r="H12760" t="str">
        <f t="shared" si="249"/>
        <v/>
      </c>
    </row>
    <row r="12761" spans="8:8" x14ac:dyDescent="0.3">
      <c r="H12761" t="str">
        <f t="shared" si="249"/>
        <v/>
      </c>
    </row>
    <row r="12762" spans="8:8" x14ac:dyDescent="0.3">
      <c r="H12762" t="str">
        <f t="shared" si="249"/>
        <v/>
      </c>
    </row>
    <row r="12763" spans="8:8" x14ac:dyDescent="0.3">
      <c r="H12763" t="str">
        <f t="shared" si="249"/>
        <v/>
      </c>
    </row>
    <row r="12764" spans="8:8" x14ac:dyDescent="0.3">
      <c r="H12764" t="str">
        <f t="shared" si="249"/>
        <v/>
      </c>
    </row>
    <row r="12765" spans="8:8" x14ac:dyDescent="0.3">
      <c r="H12765" t="str">
        <f t="shared" si="249"/>
        <v/>
      </c>
    </row>
    <row r="12766" spans="8:8" x14ac:dyDescent="0.3">
      <c r="H12766" t="str">
        <f t="shared" si="249"/>
        <v/>
      </c>
    </row>
    <row r="12767" spans="8:8" x14ac:dyDescent="0.3">
      <c r="H12767" t="str">
        <f t="shared" si="249"/>
        <v/>
      </c>
    </row>
    <row r="12768" spans="8:8" x14ac:dyDescent="0.3">
      <c r="H12768" t="str">
        <f t="shared" si="249"/>
        <v/>
      </c>
    </row>
    <row r="12769" spans="8:8" x14ac:dyDescent="0.3">
      <c r="H12769" t="str">
        <f t="shared" si="249"/>
        <v/>
      </c>
    </row>
    <row r="12770" spans="8:8" x14ac:dyDescent="0.3">
      <c r="H12770" t="str">
        <f t="shared" si="249"/>
        <v/>
      </c>
    </row>
    <row r="12771" spans="8:8" x14ac:dyDescent="0.3">
      <c r="H12771" t="str">
        <f t="shared" si="249"/>
        <v/>
      </c>
    </row>
    <row r="12772" spans="8:8" x14ac:dyDescent="0.3">
      <c r="H12772" t="str">
        <f t="shared" si="249"/>
        <v/>
      </c>
    </row>
    <row r="12773" spans="8:8" x14ac:dyDescent="0.3">
      <c r="H12773" t="str">
        <f t="shared" si="249"/>
        <v/>
      </c>
    </row>
    <row r="12774" spans="8:8" x14ac:dyDescent="0.3">
      <c r="H12774" t="str">
        <f t="shared" si="249"/>
        <v/>
      </c>
    </row>
    <row r="12775" spans="8:8" x14ac:dyDescent="0.3">
      <c r="H12775" t="str">
        <f t="shared" si="249"/>
        <v/>
      </c>
    </row>
    <row r="12776" spans="8:8" x14ac:dyDescent="0.3">
      <c r="H12776" t="str">
        <f t="shared" si="249"/>
        <v/>
      </c>
    </row>
    <row r="12777" spans="8:8" x14ac:dyDescent="0.3">
      <c r="H12777" t="str">
        <f t="shared" si="249"/>
        <v/>
      </c>
    </row>
    <row r="12778" spans="8:8" x14ac:dyDescent="0.3">
      <c r="H12778" t="str">
        <f t="shared" si="249"/>
        <v/>
      </c>
    </row>
    <row r="12779" spans="8:8" x14ac:dyDescent="0.3">
      <c r="H12779" t="str">
        <f t="shared" si="249"/>
        <v/>
      </c>
    </row>
    <row r="12780" spans="8:8" x14ac:dyDescent="0.3">
      <c r="H12780" t="str">
        <f t="shared" si="249"/>
        <v/>
      </c>
    </row>
    <row r="12781" spans="8:8" x14ac:dyDescent="0.3">
      <c r="H12781" t="str">
        <f t="shared" si="249"/>
        <v/>
      </c>
    </row>
    <row r="12782" spans="8:8" x14ac:dyDescent="0.3">
      <c r="H12782" t="str">
        <f t="shared" si="249"/>
        <v/>
      </c>
    </row>
    <row r="12783" spans="8:8" x14ac:dyDescent="0.3">
      <c r="H12783" t="str">
        <f t="shared" si="249"/>
        <v/>
      </c>
    </row>
    <row r="12784" spans="8:8" x14ac:dyDescent="0.3">
      <c r="H12784" t="str">
        <f t="shared" si="249"/>
        <v/>
      </c>
    </row>
    <row r="12785" spans="8:8" x14ac:dyDescent="0.3">
      <c r="H12785" t="str">
        <f t="shared" si="249"/>
        <v/>
      </c>
    </row>
    <row r="12786" spans="8:8" x14ac:dyDescent="0.3">
      <c r="H12786" t="str">
        <f t="shared" si="249"/>
        <v/>
      </c>
    </row>
    <row r="12787" spans="8:8" x14ac:dyDescent="0.3">
      <c r="H12787" t="str">
        <f t="shared" si="249"/>
        <v/>
      </c>
    </row>
    <row r="12788" spans="8:8" x14ac:dyDescent="0.3">
      <c r="H12788" t="str">
        <f t="shared" si="249"/>
        <v/>
      </c>
    </row>
    <row r="12789" spans="8:8" x14ac:dyDescent="0.3">
      <c r="H12789" t="str">
        <f t="shared" si="249"/>
        <v/>
      </c>
    </row>
    <row r="12790" spans="8:8" x14ac:dyDescent="0.3">
      <c r="H12790" t="str">
        <f t="shared" si="249"/>
        <v/>
      </c>
    </row>
    <row r="12791" spans="8:8" x14ac:dyDescent="0.3">
      <c r="H12791" t="str">
        <f t="shared" si="249"/>
        <v/>
      </c>
    </row>
    <row r="12792" spans="8:8" x14ac:dyDescent="0.3">
      <c r="H12792" t="str">
        <f t="shared" si="249"/>
        <v/>
      </c>
    </row>
    <row r="12793" spans="8:8" x14ac:dyDescent="0.3">
      <c r="H12793" t="str">
        <f t="shared" si="249"/>
        <v/>
      </c>
    </row>
    <row r="12794" spans="8:8" x14ac:dyDescent="0.3">
      <c r="H12794" t="str">
        <f t="shared" si="249"/>
        <v/>
      </c>
    </row>
    <row r="12795" spans="8:8" x14ac:dyDescent="0.3">
      <c r="H12795" t="str">
        <f t="shared" si="249"/>
        <v/>
      </c>
    </row>
    <row r="12796" spans="8:8" x14ac:dyDescent="0.3">
      <c r="H12796" t="str">
        <f t="shared" si="249"/>
        <v/>
      </c>
    </row>
    <row r="12797" spans="8:8" x14ac:dyDescent="0.3">
      <c r="H12797" t="str">
        <f t="shared" si="249"/>
        <v/>
      </c>
    </row>
    <row r="12798" spans="8:8" x14ac:dyDescent="0.3">
      <c r="H12798" t="str">
        <f t="shared" si="249"/>
        <v/>
      </c>
    </row>
    <row r="12799" spans="8:8" x14ac:dyDescent="0.3">
      <c r="H12799" t="str">
        <f t="shared" si="249"/>
        <v/>
      </c>
    </row>
    <row r="12800" spans="8:8" x14ac:dyDescent="0.3">
      <c r="H12800" t="str">
        <f t="shared" si="249"/>
        <v/>
      </c>
    </row>
    <row r="12801" spans="8:8" x14ac:dyDescent="0.3">
      <c r="H12801" t="str">
        <f t="shared" si="249"/>
        <v/>
      </c>
    </row>
    <row r="12802" spans="8:8" x14ac:dyDescent="0.3">
      <c r="H12802" t="str">
        <f t="shared" si="249"/>
        <v/>
      </c>
    </row>
    <row r="12803" spans="8:8" x14ac:dyDescent="0.3">
      <c r="H12803" t="str">
        <f t="shared" si="249"/>
        <v/>
      </c>
    </row>
    <row r="12804" spans="8:8" x14ac:dyDescent="0.3">
      <c r="H12804" t="str">
        <f t="shared" si="249"/>
        <v/>
      </c>
    </row>
    <row r="12805" spans="8:8" x14ac:dyDescent="0.3">
      <c r="H12805" t="str">
        <f t="shared" si="249"/>
        <v/>
      </c>
    </row>
    <row r="12806" spans="8:8" x14ac:dyDescent="0.3">
      <c r="H12806" t="str">
        <f t="shared" si="249"/>
        <v/>
      </c>
    </row>
    <row r="12807" spans="8:8" x14ac:dyDescent="0.3">
      <c r="H12807" t="str">
        <f t="shared" si="249"/>
        <v/>
      </c>
    </row>
    <row r="12808" spans="8:8" x14ac:dyDescent="0.3">
      <c r="H12808" t="str">
        <f t="shared" si="249"/>
        <v/>
      </c>
    </row>
    <row r="12809" spans="8:8" x14ac:dyDescent="0.3">
      <c r="H12809" t="str">
        <f t="shared" si="249"/>
        <v/>
      </c>
    </row>
    <row r="12810" spans="8:8" x14ac:dyDescent="0.3">
      <c r="H12810" t="str">
        <f t="shared" si="249"/>
        <v/>
      </c>
    </row>
    <row r="12811" spans="8:8" x14ac:dyDescent="0.3">
      <c r="H12811" t="str">
        <f t="shared" si="249"/>
        <v/>
      </c>
    </row>
    <row r="12812" spans="8:8" x14ac:dyDescent="0.3">
      <c r="H12812" t="str">
        <f t="shared" si="249"/>
        <v/>
      </c>
    </row>
    <row r="12813" spans="8:8" x14ac:dyDescent="0.3">
      <c r="H12813" t="str">
        <f t="shared" si="249"/>
        <v/>
      </c>
    </row>
    <row r="12814" spans="8:8" x14ac:dyDescent="0.3">
      <c r="H12814" t="str">
        <f t="shared" si="249"/>
        <v/>
      </c>
    </row>
    <row r="12815" spans="8:8" x14ac:dyDescent="0.3">
      <c r="H12815" t="str">
        <f t="shared" si="249"/>
        <v/>
      </c>
    </row>
    <row r="12816" spans="8:8" x14ac:dyDescent="0.3">
      <c r="H12816" t="str">
        <f t="shared" si="249"/>
        <v/>
      </c>
    </row>
    <row r="12817" spans="8:8" x14ac:dyDescent="0.3">
      <c r="H12817" t="str">
        <f t="shared" si="249"/>
        <v/>
      </c>
    </row>
    <row r="12818" spans="8:8" x14ac:dyDescent="0.3">
      <c r="H12818" t="str">
        <f t="shared" si="249"/>
        <v/>
      </c>
    </row>
    <row r="12819" spans="8:8" x14ac:dyDescent="0.3">
      <c r="H12819" t="str">
        <f t="shared" si="249"/>
        <v/>
      </c>
    </row>
    <row r="12820" spans="8:8" x14ac:dyDescent="0.3">
      <c r="H12820" t="str">
        <f t="shared" si="249"/>
        <v/>
      </c>
    </row>
    <row r="12821" spans="8:8" x14ac:dyDescent="0.3">
      <c r="H12821" t="str">
        <f t="shared" si="249"/>
        <v/>
      </c>
    </row>
    <row r="12822" spans="8:8" x14ac:dyDescent="0.3">
      <c r="H12822" t="str">
        <f t="shared" si="249"/>
        <v/>
      </c>
    </row>
    <row r="12823" spans="8:8" x14ac:dyDescent="0.3">
      <c r="H12823" t="str">
        <f t="shared" ref="H12823:H12886" si="250">IF(B12823="","",$C$12)</f>
        <v/>
      </c>
    </row>
    <row r="12824" spans="8:8" x14ac:dyDescent="0.3">
      <c r="H12824" t="str">
        <f t="shared" si="250"/>
        <v/>
      </c>
    </row>
    <row r="12825" spans="8:8" x14ac:dyDescent="0.3">
      <c r="H12825" t="str">
        <f t="shared" si="250"/>
        <v/>
      </c>
    </row>
    <row r="12826" spans="8:8" x14ac:dyDescent="0.3">
      <c r="H12826" t="str">
        <f t="shared" si="250"/>
        <v/>
      </c>
    </row>
    <row r="12827" spans="8:8" x14ac:dyDescent="0.3">
      <c r="H12827" t="str">
        <f t="shared" si="250"/>
        <v/>
      </c>
    </row>
    <row r="12828" spans="8:8" x14ac:dyDescent="0.3">
      <c r="H12828" t="str">
        <f t="shared" si="250"/>
        <v/>
      </c>
    </row>
    <row r="12829" spans="8:8" x14ac:dyDescent="0.3">
      <c r="H12829" t="str">
        <f t="shared" si="250"/>
        <v/>
      </c>
    </row>
    <row r="12830" spans="8:8" x14ac:dyDescent="0.3">
      <c r="H12830" t="str">
        <f t="shared" si="250"/>
        <v/>
      </c>
    </row>
    <row r="12831" spans="8:8" x14ac:dyDescent="0.3">
      <c r="H12831" t="str">
        <f t="shared" si="250"/>
        <v/>
      </c>
    </row>
    <row r="12832" spans="8:8" x14ac:dyDescent="0.3">
      <c r="H12832" t="str">
        <f t="shared" si="250"/>
        <v/>
      </c>
    </row>
    <row r="12833" spans="8:8" x14ac:dyDescent="0.3">
      <c r="H12833" t="str">
        <f t="shared" si="250"/>
        <v/>
      </c>
    </row>
    <row r="12834" spans="8:8" x14ac:dyDescent="0.3">
      <c r="H12834" t="str">
        <f t="shared" si="250"/>
        <v/>
      </c>
    </row>
    <row r="12835" spans="8:8" x14ac:dyDescent="0.3">
      <c r="H12835" t="str">
        <f t="shared" si="250"/>
        <v/>
      </c>
    </row>
    <row r="12836" spans="8:8" x14ac:dyDescent="0.3">
      <c r="H12836" t="str">
        <f t="shared" si="250"/>
        <v/>
      </c>
    </row>
    <row r="12837" spans="8:8" x14ac:dyDescent="0.3">
      <c r="H12837" t="str">
        <f t="shared" si="250"/>
        <v/>
      </c>
    </row>
    <row r="12838" spans="8:8" x14ac:dyDescent="0.3">
      <c r="H12838" t="str">
        <f t="shared" si="250"/>
        <v/>
      </c>
    </row>
    <row r="12839" spans="8:8" x14ac:dyDescent="0.3">
      <c r="H12839" t="str">
        <f t="shared" si="250"/>
        <v/>
      </c>
    </row>
    <row r="12840" spans="8:8" x14ac:dyDescent="0.3">
      <c r="H12840" t="str">
        <f t="shared" si="250"/>
        <v/>
      </c>
    </row>
    <row r="12841" spans="8:8" x14ac:dyDescent="0.3">
      <c r="H12841" t="str">
        <f t="shared" si="250"/>
        <v/>
      </c>
    </row>
    <row r="12842" spans="8:8" x14ac:dyDescent="0.3">
      <c r="H12842" t="str">
        <f t="shared" si="250"/>
        <v/>
      </c>
    </row>
    <row r="12843" spans="8:8" x14ac:dyDescent="0.3">
      <c r="H12843" t="str">
        <f t="shared" si="250"/>
        <v/>
      </c>
    </row>
    <row r="12844" spans="8:8" x14ac:dyDescent="0.3">
      <c r="H12844" t="str">
        <f t="shared" si="250"/>
        <v/>
      </c>
    </row>
    <row r="12845" spans="8:8" x14ac:dyDescent="0.3">
      <c r="H12845" t="str">
        <f t="shared" si="250"/>
        <v/>
      </c>
    </row>
    <row r="12846" spans="8:8" x14ac:dyDescent="0.3">
      <c r="H12846" t="str">
        <f t="shared" si="250"/>
        <v/>
      </c>
    </row>
    <row r="12847" spans="8:8" x14ac:dyDescent="0.3">
      <c r="H12847" t="str">
        <f t="shared" si="250"/>
        <v/>
      </c>
    </row>
    <row r="12848" spans="8:8" x14ac:dyDescent="0.3">
      <c r="H12848" t="str">
        <f t="shared" si="250"/>
        <v/>
      </c>
    </row>
    <row r="12849" spans="8:8" x14ac:dyDescent="0.3">
      <c r="H12849" t="str">
        <f t="shared" si="250"/>
        <v/>
      </c>
    </row>
    <row r="12850" spans="8:8" x14ac:dyDescent="0.3">
      <c r="H12850" t="str">
        <f t="shared" si="250"/>
        <v/>
      </c>
    </row>
    <row r="12851" spans="8:8" x14ac:dyDescent="0.3">
      <c r="H12851" t="str">
        <f t="shared" si="250"/>
        <v/>
      </c>
    </row>
    <row r="12852" spans="8:8" x14ac:dyDescent="0.3">
      <c r="H12852" t="str">
        <f t="shared" si="250"/>
        <v/>
      </c>
    </row>
    <row r="12853" spans="8:8" x14ac:dyDescent="0.3">
      <c r="H12853" t="str">
        <f t="shared" si="250"/>
        <v/>
      </c>
    </row>
    <row r="12854" spans="8:8" x14ac:dyDescent="0.3">
      <c r="H12854" t="str">
        <f t="shared" si="250"/>
        <v/>
      </c>
    </row>
    <row r="12855" spans="8:8" x14ac:dyDescent="0.3">
      <c r="H12855" t="str">
        <f t="shared" si="250"/>
        <v/>
      </c>
    </row>
    <row r="12856" spans="8:8" x14ac:dyDescent="0.3">
      <c r="H12856" t="str">
        <f t="shared" si="250"/>
        <v/>
      </c>
    </row>
    <row r="12857" spans="8:8" x14ac:dyDescent="0.3">
      <c r="H12857" t="str">
        <f t="shared" si="250"/>
        <v/>
      </c>
    </row>
    <row r="12858" spans="8:8" x14ac:dyDescent="0.3">
      <c r="H12858" t="str">
        <f t="shared" si="250"/>
        <v/>
      </c>
    </row>
    <row r="12859" spans="8:8" x14ac:dyDescent="0.3">
      <c r="H12859" t="str">
        <f t="shared" si="250"/>
        <v/>
      </c>
    </row>
    <row r="12860" spans="8:8" x14ac:dyDescent="0.3">
      <c r="H12860" t="str">
        <f t="shared" si="250"/>
        <v/>
      </c>
    </row>
    <row r="12861" spans="8:8" x14ac:dyDescent="0.3">
      <c r="H12861" t="str">
        <f t="shared" si="250"/>
        <v/>
      </c>
    </row>
    <row r="12862" spans="8:8" x14ac:dyDescent="0.3">
      <c r="H12862" t="str">
        <f t="shared" si="250"/>
        <v/>
      </c>
    </row>
    <row r="12863" spans="8:8" x14ac:dyDescent="0.3">
      <c r="H12863" t="str">
        <f t="shared" si="250"/>
        <v/>
      </c>
    </row>
    <row r="12864" spans="8:8" x14ac:dyDescent="0.3">
      <c r="H12864" t="str">
        <f t="shared" si="250"/>
        <v/>
      </c>
    </row>
    <row r="12865" spans="8:8" x14ac:dyDescent="0.3">
      <c r="H12865" t="str">
        <f t="shared" si="250"/>
        <v/>
      </c>
    </row>
    <row r="12866" spans="8:8" x14ac:dyDescent="0.3">
      <c r="H12866" t="str">
        <f t="shared" si="250"/>
        <v/>
      </c>
    </row>
    <row r="12867" spans="8:8" x14ac:dyDescent="0.3">
      <c r="H12867" t="str">
        <f t="shared" si="250"/>
        <v/>
      </c>
    </row>
    <row r="12868" spans="8:8" x14ac:dyDescent="0.3">
      <c r="H12868" t="str">
        <f t="shared" si="250"/>
        <v/>
      </c>
    </row>
    <row r="12869" spans="8:8" x14ac:dyDescent="0.3">
      <c r="H12869" t="str">
        <f t="shared" si="250"/>
        <v/>
      </c>
    </row>
    <row r="12870" spans="8:8" x14ac:dyDescent="0.3">
      <c r="H12870" t="str">
        <f t="shared" si="250"/>
        <v/>
      </c>
    </row>
    <row r="12871" spans="8:8" x14ac:dyDescent="0.3">
      <c r="H12871" t="str">
        <f t="shared" si="250"/>
        <v/>
      </c>
    </row>
    <row r="12872" spans="8:8" x14ac:dyDescent="0.3">
      <c r="H12872" t="str">
        <f t="shared" si="250"/>
        <v/>
      </c>
    </row>
    <row r="12873" spans="8:8" x14ac:dyDescent="0.3">
      <c r="H12873" t="str">
        <f t="shared" si="250"/>
        <v/>
      </c>
    </row>
    <row r="12874" spans="8:8" x14ac:dyDescent="0.3">
      <c r="H12874" t="str">
        <f t="shared" si="250"/>
        <v/>
      </c>
    </row>
    <row r="12875" spans="8:8" x14ac:dyDescent="0.3">
      <c r="H12875" t="str">
        <f t="shared" si="250"/>
        <v/>
      </c>
    </row>
    <row r="12876" spans="8:8" x14ac:dyDescent="0.3">
      <c r="H12876" t="str">
        <f t="shared" si="250"/>
        <v/>
      </c>
    </row>
    <row r="12877" spans="8:8" x14ac:dyDescent="0.3">
      <c r="H12877" t="str">
        <f t="shared" si="250"/>
        <v/>
      </c>
    </row>
    <row r="12878" spans="8:8" x14ac:dyDescent="0.3">
      <c r="H12878" t="str">
        <f t="shared" si="250"/>
        <v/>
      </c>
    </row>
    <row r="12879" spans="8:8" x14ac:dyDescent="0.3">
      <c r="H12879" t="str">
        <f t="shared" si="250"/>
        <v/>
      </c>
    </row>
    <row r="12880" spans="8:8" x14ac:dyDescent="0.3">
      <c r="H12880" t="str">
        <f t="shared" si="250"/>
        <v/>
      </c>
    </row>
    <row r="12881" spans="8:8" x14ac:dyDescent="0.3">
      <c r="H12881" t="str">
        <f t="shared" si="250"/>
        <v/>
      </c>
    </row>
    <row r="12882" spans="8:8" x14ac:dyDescent="0.3">
      <c r="H12882" t="str">
        <f t="shared" si="250"/>
        <v/>
      </c>
    </row>
    <row r="12883" spans="8:8" x14ac:dyDescent="0.3">
      <c r="H12883" t="str">
        <f t="shared" si="250"/>
        <v/>
      </c>
    </row>
    <row r="12884" spans="8:8" x14ac:dyDescent="0.3">
      <c r="H12884" t="str">
        <f t="shared" si="250"/>
        <v/>
      </c>
    </row>
    <row r="12885" spans="8:8" x14ac:dyDescent="0.3">
      <c r="H12885" t="str">
        <f t="shared" si="250"/>
        <v/>
      </c>
    </row>
    <row r="12886" spans="8:8" x14ac:dyDescent="0.3">
      <c r="H12886" t="str">
        <f t="shared" si="250"/>
        <v/>
      </c>
    </row>
    <row r="12887" spans="8:8" x14ac:dyDescent="0.3">
      <c r="H12887" t="str">
        <f t="shared" ref="H12887:H12950" si="251">IF(B12887="","",$C$12)</f>
        <v/>
      </c>
    </row>
    <row r="12888" spans="8:8" x14ac:dyDescent="0.3">
      <c r="H12888" t="str">
        <f t="shared" si="251"/>
        <v/>
      </c>
    </row>
    <row r="12889" spans="8:8" x14ac:dyDescent="0.3">
      <c r="H12889" t="str">
        <f t="shared" si="251"/>
        <v/>
      </c>
    </row>
    <row r="12890" spans="8:8" x14ac:dyDescent="0.3">
      <c r="H12890" t="str">
        <f t="shared" si="251"/>
        <v/>
      </c>
    </row>
    <row r="12891" spans="8:8" x14ac:dyDescent="0.3">
      <c r="H12891" t="str">
        <f t="shared" si="251"/>
        <v/>
      </c>
    </row>
    <row r="12892" spans="8:8" x14ac:dyDescent="0.3">
      <c r="H12892" t="str">
        <f t="shared" si="251"/>
        <v/>
      </c>
    </row>
    <row r="12893" spans="8:8" x14ac:dyDescent="0.3">
      <c r="H12893" t="str">
        <f t="shared" si="251"/>
        <v/>
      </c>
    </row>
    <row r="12894" spans="8:8" x14ac:dyDescent="0.3">
      <c r="H12894" t="str">
        <f t="shared" si="251"/>
        <v/>
      </c>
    </row>
    <row r="12895" spans="8:8" x14ac:dyDescent="0.3">
      <c r="H12895" t="str">
        <f t="shared" si="251"/>
        <v/>
      </c>
    </row>
    <row r="12896" spans="8:8" x14ac:dyDescent="0.3">
      <c r="H12896" t="str">
        <f t="shared" si="251"/>
        <v/>
      </c>
    </row>
    <row r="12897" spans="8:8" x14ac:dyDescent="0.3">
      <c r="H12897" t="str">
        <f t="shared" si="251"/>
        <v/>
      </c>
    </row>
    <row r="12898" spans="8:8" x14ac:dyDescent="0.3">
      <c r="H12898" t="str">
        <f t="shared" si="251"/>
        <v/>
      </c>
    </row>
    <row r="12899" spans="8:8" x14ac:dyDescent="0.3">
      <c r="H12899" t="str">
        <f t="shared" si="251"/>
        <v/>
      </c>
    </row>
    <row r="12900" spans="8:8" x14ac:dyDescent="0.3">
      <c r="H12900" t="str">
        <f t="shared" si="251"/>
        <v/>
      </c>
    </row>
    <row r="12901" spans="8:8" x14ac:dyDescent="0.3">
      <c r="H12901" t="str">
        <f t="shared" si="251"/>
        <v/>
      </c>
    </row>
    <row r="12902" spans="8:8" x14ac:dyDescent="0.3">
      <c r="H12902" t="str">
        <f t="shared" si="251"/>
        <v/>
      </c>
    </row>
    <row r="12903" spans="8:8" x14ac:dyDescent="0.3">
      <c r="H12903" t="str">
        <f t="shared" si="251"/>
        <v/>
      </c>
    </row>
    <row r="12904" spans="8:8" x14ac:dyDescent="0.3">
      <c r="H12904" t="str">
        <f t="shared" si="251"/>
        <v/>
      </c>
    </row>
    <row r="12905" spans="8:8" x14ac:dyDescent="0.3">
      <c r="H12905" t="str">
        <f t="shared" si="251"/>
        <v/>
      </c>
    </row>
    <row r="12906" spans="8:8" x14ac:dyDescent="0.3">
      <c r="H12906" t="str">
        <f t="shared" si="251"/>
        <v/>
      </c>
    </row>
    <row r="12907" spans="8:8" x14ac:dyDescent="0.3">
      <c r="H12907" t="str">
        <f t="shared" si="251"/>
        <v/>
      </c>
    </row>
    <row r="12908" spans="8:8" x14ac:dyDescent="0.3">
      <c r="H12908" t="str">
        <f t="shared" si="251"/>
        <v/>
      </c>
    </row>
    <row r="12909" spans="8:8" x14ac:dyDescent="0.3">
      <c r="H12909" t="str">
        <f t="shared" si="251"/>
        <v/>
      </c>
    </row>
    <row r="12910" spans="8:8" x14ac:dyDescent="0.3">
      <c r="H12910" t="str">
        <f t="shared" si="251"/>
        <v/>
      </c>
    </row>
    <row r="12911" spans="8:8" x14ac:dyDescent="0.3">
      <c r="H12911" t="str">
        <f t="shared" si="251"/>
        <v/>
      </c>
    </row>
    <row r="12912" spans="8:8" x14ac:dyDescent="0.3">
      <c r="H12912" t="str">
        <f t="shared" si="251"/>
        <v/>
      </c>
    </row>
    <row r="12913" spans="8:8" x14ac:dyDescent="0.3">
      <c r="H12913" t="str">
        <f t="shared" si="251"/>
        <v/>
      </c>
    </row>
    <row r="12914" spans="8:8" x14ac:dyDescent="0.3">
      <c r="H12914" t="str">
        <f t="shared" si="251"/>
        <v/>
      </c>
    </row>
    <row r="12915" spans="8:8" x14ac:dyDescent="0.3">
      <c r="H12915" t="str">
        <f t="shared" si="251"/>
        <v/>
      </c>
    </row>
    <row r="12916" spans="8:8" x14ac:dyDescent="0.3">
      <c r="H12916" t="str">
        <f t="shared" si="251"/>
        <v/>
      </c>
    </row>
    <row r="12917" spans="8:8" x14ac:dyDescent="0.3">
      <c r="H12917" t="str">
        <f t="shared" si="251"/>
        <v/>
      </c>
    </row>
    <row r="12918" spans="8:8" x14ac:dyDescent="0.3">
      <c r="H12918" t="str">
        <f t="shared" si="251"/>
        <v/>
      </c>
    </row>
    <row r="12919" spans="8:8" x14ac:dyDescent="0.3">
      <c r="H12919" t="str">
        <f t="shared" si="251"/>
        <v/>
      </c>
    </row>
    <row r="12920" spans="8:8" x14ac:dyDescent="0.3">
      <c r="H12920" t="str">
        <f t="shared" si="251"/>
        <v/>
      </c>
    </row>
    <row r="12921" spans="8:8" x14ac:dyDescent="0.3">
      <c r="H12921" t="str">
        <f t="shared" si="251"/>
        <v/>
      </c>
    </row>
    <row r="12922" spans="8:8" x14ac:dyDescent="0.3">
      <c r="H12922" t="str">
        <f t="shared" si="251"/>
        <v/>
      </c>
    </row>
    <row r="12923" spans="8:8" x14ac:dyDescent="0.3">
      <c r="H12923" t="str">
        <f t="shared" si="251"/>
        <v/>
      </c>
    </row>
    <row r="12924" spans="8:8" x14ac:dyDescent="0.3">
      <c r="H12924" t="str">
        <f t="shared" si="251"/>
        <v/>
      </c>
    </row>
    <row r="12925" spans="8:8" x14ac:dyDescent="0.3">
      <c r="H12925" t="str">
        <f t="shared" si="251"/>
        <v/>
      </c>
    </row>
    <row r="12926" spans="8:8" x14ac:dyDescent="0.3">
      <c r="H12926" t="str">
        <f t="shared" si="251"/>
        <v/>
      </c>
    </row>
    <row r="12927" spans="8:8" x14ac:dyDescent="0.3">
      <c r="H12927" t="str">
        <f t="shared" si="251"/>
        <v/>
      </c>
    </row>
    <row r="12928" spans="8:8" x14ac:dyDescent="0.3">
      <c r="H12928" t="str">
        <f t="shared" si="251"/>
        <v/>
      </c>
    </row>
    <row r="12929" spans="8:8" x14ac:dyDescent="0.3">
      <c r="H12929" t="str">
        <f t="shared" si="251"/>
        <v/>
      </c>
    </row>
    <row r="12930" spans="8:8" x14ac:dyDescent="0.3">
      <c r="H12930" t="str">
        <f t="shared" si="251"/>
        <v/>
      </c>
    </row>
    <row r="12931" spans="8:8" x14ac:dyDescent="0.3">
      <c r="H12931" t="str">
        <f t="shared" si="251"/>
        <v/>
      </c>
    </row>
    <row r="12932" spans="8:8" x14ac:dyDescent="0.3">
      <c r="H12932" t="str">
        <f t="shared" si="251"/>
        <v/>
      </c>
    </row>
    <row r="12933" spans="8:8" x14ac:dyDescent="0.3">
      <c r="H12933" t="str">
        <f t="shared" si="251"/>
        <v/>
      </c>
    </row>
    <row r="12934" spans="8:8" x14ac:dyDescent="0.3">
      <c r="H12934" t="str">
        <f t="shared" si="251"/>
        <v/>
      </c>
    </row>
    <row r="12935" spans="8:8" x14ac:dyDescent="0.3">
      <c r="H12935" t="str">
        <f t="shared" si="251"/>
        <v/>
      </c>
    </row>
    <row r="12936" spans="8:8" x14ac:dyDescent="0.3">
      <c r="H12936" t="str">
        <f t="shared" si="251"/>
        <v/>
      </c>
    </row>
    <row r="12937" spans="8:8" x14ac:dyDescent="0.3">
      <c r="H12937" t="str">
        <f t="shared" si="251"/>
        <v/>
      </c>
    </row>
    <row r="12938" spans="8:8" x14ac:dyDescent="0.3">
      <c r="H12938" t="str">
        <f t="shared" si="251"/>
        <v/>
      </c>
    </row>
    <row r="12939" spans="8:8" x14ac:dyDescent="0.3">
      <c r="H12939" t="str">
        <f t="shared" si="251"/>
        <v/>
      </c>
    </row>
    <row r="12940" spans="8:8" x14ac:dyDescent="0.3">
      <c r="H12940" t="str">
        <f t="shared" si="251"/>
        <v/>
      </c>
    </row>
    <row r="12941" spans="8:8" x14ac:dyDescent="0.3">
      <c r="H12941" t="str">
        <f t="shared" si="251"/>
        <v/>
      </c>
    </row>
    <row r="12942" spans="8:8" x14ac:dyDescent="0.3">
      <c r="H12942" t="str">
        <f t="shared" si="251"/>
        <v/>
      </c>
    </row>
    <row r="12943" spans="8:8" x14ac:dyDescent="0.3">
      <c r="H12943" t="str">
        <f t="shared" si="251"/>
        <v/>
      </c>
    </row>
    <row r="12944" spans="8:8" x14ac:dyDescent="0.3">
      <c r="H12944" t="str">
        <f t="shared" si="251"/>
        <v/>
      </c>
    </row>
    <row r="12945" spans="8:8" x14ac:dyDescent="0.3">
      <c r="H12945" t="str">
        <f t="shared" si="251"/>
        <v/>
      </c>
    </row>
    <row r="12946" spans="8:8" x14ac:dyDescent="0.3">
      <c r="H12946" t="str">
        <f t="shared" si="251"/>
        <v/>
      </c>
    </row>
    <row r="12947" spans="8:8" x14ac:dyDescent="0.3">
      <c r="H12947" t="str">
        <f t="shared" si="251"/>
        <v/>
      </c>
    </row>
    <row r="12948" spans="8:8" x14ac:dyDescent="0.3">
      <c r="H12948" t="str">
        <f t="shared" si="251"/>
        <v/>
      </c>
    </row>
    <row r="12949" spans="8:8" x14ac:dyDescent="0.3">
      <c r="H12949" t="str">
        <f t="shared" si="251"/>
        <v/>
      </c>
    </row>
    <row r="12950" spans="8:8" x14ac:dyDescent="0.3">
      <c r="H12950" t="str">
        <f t="shared" si="251"/>
        <v/>
      </c>
    </row>
    <row r="12951" spans="8:8" x14ac:dyDescent="0.3">
      <c r="H12951" t="str">
        <f t="shared" ref="H12951:H13014" si="252">IF(B12951="","",$C$12)</f>
        <v/>
      </c>
    </row>
    <row r="12952" spans="8:8" x14ac:dyDescent="0.3">
      <c r="H12952" t="str">
        <f t="shared" si="252"/>
        <v/>
      </c>
    </row>
    <row r="12953" spans="8:8" x14ac:dyDescent="0.3">
      <c r="H12953" t="str">
        <f t="shared" si="252"/>
        <v/>
      </c>
    </row>
    <row r="12954" spans="8:8" x14ac:dyDescent="0.3">
      <c r="H12954" t="str">
        <f t="shared" si="252"/>
        <v/>
      </c>
    </row>
    <row r="12955" spans="8:8" x14ac:dyDescent="0.3">
      <c r="H12955" t="str">
        <f t="shared" si="252"/>
        <v/>
      </c>
    </row>
    <row r="12956" spans="8:8" x14ac:dyDescent="0.3">
      <c r="H12956" t="str">
        <f t="shared" si="252"/>
        <v/>
      </c>
    </row>
    <row r="12957" spans="8:8" x14ac:dyDescent="0.3">
      <c r="H12957" t="str">
        <f t="shared" si="252"/>
        <v/>
      </c>
    </row>
    <row r="12958" spans="8:8" x14ac:dyDescent="0.3">
      <c r="H12958" t="str">
        <f t="shared" si="252"/>
        <v/>
      </c>
    </row>
    <row r="12959" spans="8:8" x14ac:dyDescent="0.3">
      <c r="H12959" t="str">
        <f t="shared" si="252"/>
        <v/>
      </c>
    </row>
    <row r="12960" spans="8:8" x14ac:dyDescent="0.3">
      <c r="H12960" t="str">
        <f t="shared" si="252"/>
        <v/>
      </c>
    </row>
    <row r="12961" spans="8:8" x14ac:dyDescent="0.3">
      <c r="H12961" t="str">
        <f t="shared" si="252"/>
        <v/>
      </c>
    </row>
    <row r="12962" spans="8:8" x14ac:dyDescent="0.3">
      <c r="H12962" t="str">
        <f t="shared" si="252"/>
        <v/>
      </c>
    </row>
    <row r="12963" spans="8:8" x14ac:dyDescent="0.3">
      <c r="H12963" t="str">
        <f t="shared" si="252"/>
        <v/>
      </c>
    </row>
    <row r="12964" spans="8:8" x14ac:dyDescent="0.3">
      <c r="H12964" t="str">
        <f t="shared" si="252"/>
        <v/>
      </c>
    </row>
    <row r="12965" spans="8:8" x14ac:dyDescent="0.3">
      <c r="H12965" t="str">
        <f t="shared" si="252"/>
        <v/>
      </c>
    </row>
    <row r="12966" spans="8:8" x14ac:dyDescent="0.3">
      <c r="H12966" t="str">
        <f t="shared" si="252"/>
        <v/>
      </c>
    </row>
    <row r="12967" spans="8:8" x14ac:dyDescent="0.3">
      <c r="H12967" t="str">
        <f t="shared" si="252"/>
        <v/>
      </c>
    </row>
    <row r="12968" spans="8:8" x14ac:dyDescent="0.3">
      <c r="H12968" t="str">
        <f t="shared" si="252"/>
        <v/>
      </c>
    </row>
    <row r="12969" spans="8:8" x14ac:dyDescent="0.3">
      <c r="H12969" t="str">
        <f t="shared" si="252"/>
        <v/>
      </c>
    </row>
    <row r="12970" spans="8:8" x14ac:dyDescent="0.3">
      <c r="H12970" t="str">
        <f t="shared" si="252"/>
        <v/>
      </c>
    </row>
    <row r="12971" spans="8:8" x14ac:dyDescent="0.3">
      <c r="H12971" t="str">
        <f t="shared" si="252"/>
        <v/>
      </c>
    </row>
    <row r="12972" spans="8:8" x14ac:dyDescent="0.3">
      <c r="H12972" t="str">
        <f t="shared" si="252"/>
        <v/>
      </c>
    </row>
    <row r="12973" spans="8:8" x14ac:dyDescent="0.3">
      <c r="H12973" t="str">
        <f t="shared" si="252"/>
        <v/>
      </c>
    </row>
    <row r="12974" spans="8:8" x14ac:dyDescent="0.3">
      <c r="H12974" t="str">
        <f t="shared" si="252"/>
        <v/>
      </c>
    </row>
    <row r="12975" spans="8:8" x14ac:dyDescent="0.3">
      <c r="H12975" t="str">
        <f t="shared" si="252"/>
        <v/>
      </c>
    </row>
    <row r="12976" spans="8:8" x14ac:dyDescent="0.3">
      <c r="H12976" t="str">
        <f t="shared" si="252"/>
        <v/>
      </c>
    </row>
    <row r="12977" spans="8:8" x14ac:dyDescent="0.3">
      <c r="H12977" t="str">
        <f t="shared" si="252"/>
        <v/>
      </c>
    </row>
    <row r="12978" spans="8:8" x14ac:dyDescent="0.3">
      <c r="H12978" t="str">
        <f t="shared" si="252"/>
        <v/>
      </c>
    </row>
    <row r="12979" spans="8:8" x14ac:dyDescent="0.3">
      <c r="H12979" t="str">
        <f t="shared" si="252"/>
        <v/>
      </c>
    </row>
    <row r="12980" spans="8:8" x14ac:dyDescent="0.3">
      <c r="H12980" t="str">
        <f t="shared" si="252"/>
        <v/>
      </c>
    </row>
    <row r="12981" spans="8:8" x14ac:dyDescent="0.3">
      <c r="H12981" t="str">
        <f t="shared" si="252"/>
        <v/>
      </c>
    </row>
    <row r="12982" spans="8:8" x14ac:dyDescent="0.3">
      <c r="H12982" t="str">
        <f t="shared" si="252"/>
        <v/>
      </c>
    </row>
    <row r="12983" spans="8:8" x14ac:dyDescent="0.3">
      <c r="H12983" t="str">
        <f t="shared" si="252"/>
        <v/>
      </c>
    </row>
    <row r="12984" spans="8:8" x14ac:dyDescent="0.3">
      <c r="H12984" t="str">
        <f t="shared" si="252"/>
        <v/>
      </c>
    </row>
    <row r="12985" spans="8:8" x14ac:dyDescent="0.3">
      <c r="H12985" t="str">
        <f t="shared" si="252"/>
        <v/>
      </c>
    </row>
    <row r="12986" spans="8:8" x14ac:dyDescent="0.3">
      <c r="H12986" t="str">
        <f t="shared" si="252"/>
        <v/>
      </c>
    </row>
    <row r="12987" spans="8:8" x14ac:dyDescent="0.3">
      <c r="H12987" t="str">
        <f t="shared" si="252"/>
        <v/>
      </c>
    </row>
    <row r="12988" spans="8:8" x14ac:dyDescent="0.3">
      <c r="H12988" t="str">
        <f t="shared" si="252"/>
        <v/>
      </c>
    </row>
    <row r="12989" spans="8:8" x14ac:dyDescent="0.3">
      <c r="H12989" t="str">
        <f t="shared" si="252"/>
        <v/>
      </c>
    </row>
    <row r="12990" spans="8:8" x14ac:dyDescent="0.3">
      <c r="H12990" t="str">
        <f t="shared" si="252"/>
        <v/>
      </c>
    </row>
    <row r="12991" spans="8:8" x14ac:dyDescent="0.3">
      <c r="H12991" t="str">
        <f t="shared" si="252"/>
        <v/>
      </c>
    </row>
    <row r="12992" spans="8:8" x14ac:dyDescent="0.3">
      <c r="H12992" t="str">
        <f t="shared" si="252"/>
        <v/>
      </c>
    </row>
    <row r="12993" spans="8:8" x14ac:dyDescent="0.3">
      <c r="H12993" t="str">
        <f t="shared" si="252"/>
        <v/>
      </c>
    </row>
    <row r="12994" spans="8:8" x14ac:dyDescent="0.3">
      <c r="H12994" t="str">
        <f t="shared" si="252"/>
        <v/>
      </c>
    </row>
    <row r="12995" spans="8:8" x14ac:dyDescent="0.3">
      <c r="H12995" t="str">
        <f t="shared" si="252"/>
        <v/>
      </c>
    </row>
    <row r="12996" spans="8:8" x14ac:dyDescent="0.3">
      <c r="H12996" t="str">
        <f t="shared" si="252"/>
        <v/>
      </c>
    </row>
    <row r="12997" spans="8:8" x14ac:dyDescent="0.3">
      <c r="H12997" t="str">
        <f t="shared" si="252"/>
        <v/>
      </c>
    </row>
    <row r="12998" spans="8:8" x14ac:dyDescent="0.3">
      <c r="H12998" t="str">
        <f t="shared" si="252"/>
        <v/>
      </c>
    </row>
    <row r="12999" spans="8:8" x14ac:dyDescent="0.3">
      <c r="H12999" t="str">
        <f t="shared" si="252"/>
        <v/>
      </c>
    </row>
    <row r="13000" spans="8:8" x14ac:dyDescent="0.3">
      <c r="H13000" t="str">
        <f t="shared" si="252"/>
        <v/>
      </c>
    </row>
    <row r="13001" spans="8:8" x14ac:dyDescent="0.3">
      <c r="H13001" t="str">
        <f t="shared" si="252"/>
        <v/>
      </c>
    </row>
    <row r="13002" spans="8:8" x14ac:dyDescent="0.3">
      <c r="H13002" t="str">
        <f t="shared" si="252"/>
        <v/>
      </c>
    </row>
    <row r="13003" spans="8:8" x14ac:dyDescent="0.3">
      <c r="H13003" t="str">
        <f t="shared" si="252"/>
        <v/>
      </c>
    </row>
    <row r="13004" spans="8:8" x14ac:dyDescent="0.3">
      <c r="H13004" t="str">
        <f t="shared" si="252"/>
        <v/>
      </c>
    </row>
    <row r="13005" spans="8:8" x14ac:dyDescent="0.3">
      <c r="H13005" t="str">
        <f t="shared" si="252"/>
        <v/>
      </c>
    </row>
    <row r="13006" spans="8:8" x14ac:dyDescent="0.3">
      <c r="H13006" t="str">
        <f t="shared" si="252"/>
        <v/>
      </c>
    </row>
    <row r="13007" spans="8:8" x14ac:dyDescent="0.3">
      <c r="H13007" t="str">
        <f t="shared" si="252"/>
        <v/>
      </c>
    </row>
    <row r="13008" spans="8:8" x14ac:dyDescent="0.3">
      <c r="H13008" t="str">
        <f t="shared" si="252"/>
        <v/>
      </c>
    </row>
    <row r="13009" spans="8:8" x14ac:dyDescent="0.3">
      <c r="H13009" t="str">
        <f t="shared" si="252"/>
        <v/>
      </c>
    </row>
    <row r="13010" spans="8:8" x14ac:dyDescent="0.3">
      <c r="H13010" t="str">
        <f t="shared" si="252"/>
        <v/>
      </c>
    </row>
    <row r="13011" spans="8:8" x14ac:dyDescent="0.3">
      <c r="H13011" t="str">
        <f t="shared" si="252"/>
        <v/>
      </c>
    </row>
    <row r="13012" spans="8:8" x14ac:dyDescent="0.3">
      <c r="H13012" t="str">
        <f t="shared" si="252"/>
        <v/>
      </c>
    </row>
    <row r="13013" spans="8:8" x14ac:dyDescent="0.3">
      <c r="H13013" t="str">
        <f t="shared" si="252"/>
        <v/>
      </c>
    </row>
    <row r="13014" spans="8:8" x14ac:dyDescent="0.3">
      <c r="H13014" t="str">
        <f t="shared" si="252"/>
        <v/>
      </c>
    </row>
    <row r="13015" spans="8:8" x14ac:dyDescent="0.3">
      <c r="H13015" t="str">
        <f t="shared" ref="H13015:H13078" si="253">IF(B13015="","",$C$12)</f>
        <v/>
      </c>
    </row>
    <row r="13016" spans="8:8" x14ac:dyDescent="0.3">
      <c r="H13016" t="str">
        <f t="shared" si="253"/>
        <v/>
      </c>
    </row>
    <row r="13017" spans="8:8" x14ac:dyDescent="0.3">
      <c r="H13017" t="str">
        <f t="shared" si="253"/>
        <v/>
      </c>
    </row>
    <row r="13018" spans="8:8" x14ac:dyDescent="0.3">
      <c r="H13018" t="str">
        <f t="shared" si="253"/>
        <v/>
      </c>
    </row>
    <row r="13019" spans="8:8" x14ac:dyDescent="0.3">
      <c r="H13019" t="str">
        <f t="shared" si="253"/>
        <v/>
      </c>
    </row>
    <row r="13020" spans="8:8" x14ac:dyDescent="0.3">
      <c r="H13020" t="str">
        <f t="shared" si="253"/>
        <v/>
      </c>
    </row>
    <row r="13021" spans="8:8" x14ac:dyDescent="0.3">
      <c r="H13021" t="str">
        <f t="shared" si="253"/>
        <v/>
      </c>
    </row>
    <row r="13022" spans="8:8" x14ac:dyDescent="0.3">
      <c r="H13022" t="str">
        <f t="shared" si="253"/>
        <v/>
      </c>
    </row>
    <row r="13023" spans="8:8" x14ac:dyDescent="0.3">
      <c r="H13023" t="str">
        <f t="shared" si="253"/>
        <v/>
      </c>
    </row>
    <row r="13024" spans="8:8" x14ac:dyDescent="0.3">
      <c r="H13024" t="str">
        <f t="shared" si="253"/>
        <v/>
      </c>
    </row>
    <row r="13025" spans="8:8" x14ac:dyDescent="0.3">
      <c r="H13025" t="str">
        <f t="shared" si="253"/>
        <v/>
      </c>
    </row>
    <row r="13026" spans="8:8" x14ac:dyDescent="0.3">
      <c r="H13026" t="str">
        <f t="shared" si="253"/>
        <v/>
      </c>
    </row>
    <row r="13027" spans="8:8" x14ac:dyDescent="0.3">
      <c r="H13027" t="str">
        <f t="shared" si="253"/>
        <v/>
      </c>
    </row>
    <row r="13028" spans="8:8" x14ac:dyDescent="0.3">
      <c r="H13028" t="str">
        <f t="shared" si="253"/>
        <v/>
      </c>
    </row>
    <row r="13029" spans="8:8" x14ac:dyDescent="0.3">
      <c r="H13029" t="str">
        <f t="shared" si="253"/>
        <v/>
      </c>
    </row>
    <row r="13030" spans="8:8" x14ac:dyDescent="0.3">
      <c r="H13030" t="str">
        <f t="shared" si="253"/>
        <v/>
      </c>
    </row>
    <row r="13031" spans="8:8" x14ac:dyDescent="0.3">
      <c r="H13031" t="str">
        <f t="shared" si="253"/>
        <v/>
      </c>
    </row>
    <row r="13032" spans="8:8" x14ac:dyDescent="0.3">
      <c r="H13032" t="str">
        <f t="shared" si="253"/>
        <v/>
      </c>
    </row>
    <row r="13033" spans="8:8" x14ac:dyDescent="0.3">
      <c r="H13033" t="str">
        <f t="shared" si="253"/>
        <v/>
      </c>
    </row>
    <row r="13034" spans="8:8" x14ac:dyDescent="0.3">
      <c r="H13034" t="str">
        <f t="shared" si="253"/>
        <v/>
      </c>
    </row>
    <row r="13035" spans="8:8" x14ac:dyDescent="0.3">
      <c r="H13035" t="str">
        <f t="shared" si="253"/>
        <v/>
      </c>
    </row>
    <row r="13036" spans="8:8" x14ac:dyDescent="0.3">
      <c r="H13036" t="str">
        <f t="shared" si="253"/>
        <v/>
      </c>
    </row>
    <row r="13037" spans="8:8" x14ac:dyDescent="0.3">
      <c r="H13037" t="str">
        <f t="shared" si="253"/>
        <v/>
      </c>
    </row>
    <row r="13038" spans="8:8" x14ac:dyDescent="0.3">
      <c r="H13038" t="str">
        <f t="shared" si="253"/>
        <v/>
      </c>
    </row>
    <row r="13039" spans="8:8" x14ac:dyDescent="0.3">
      <c r="H13039" t="str">
        <f t="shared" si="253"/>
        <v/>
      </c>
    </row>
    <row r="13040" spans="8:8" x14ac:dyDescent="0.3">
      <c r="H13040" t="str">
        <f t="shared" si="253"/>
        <v/>
      </c>
    </row>
    <row r="13041" spans="8:8" x14ac:dyDescent="0.3">
      <c r="H13041" t="str">
        <f t="shared" si="253"/>
        <v/>
      </c>
    </row>
    <row r="13042" spans="8:8" x14ac:dyDescent="0.3">
      <c r="H13042" t="str">
        <f t="shared" si="253"/>
        <v/>
      </c>
    </row>
    <row r="13043" spans="8:8" x14ac:dyDescent="0.3">
      <c r="H13043" t="str">
        <f t="shared" si="253"/>
        <v/>
      </c>
    </row>
    <row r="13044" spans="8:8" x14ac:dyDescent="0.3">
      <c r="H13044" t="str">
        <f t="shared" si="253"/>
        <v/>
      </c>
    </row>
    <row r="13045" spans="8:8" x14ac:dyDescent="0.3">
      <c r="H13045" t="str">
        <f t="shared" si="253"/>
        <v/>
      </c>
    </row>
    <row r="13046" spans="8:8" x14ac:dyDescent="0.3">
      <c r="H13046" t="str">
        <f t="shared" si="253"/>
        <v/>
      </c>
    </row>
    <row r="13047" spans="8:8" x14ac:dyDescent="0.3">
      <c r="H13047" t="str">
        <f t="shared" si="253"/>
        <v/>
      </c>
    </row>
    <row r="13048" spans="8:8" x14ac:dyDescent="0.3">
      <c r="H13048" t="str">
        <f t="shared" si="253"/>
        <v/>
      </c>
    </row>
    <row r="13049" spans="8:8" x14ac:dyDescent="0.3">
      <c r="H13049" t="str">
        <f t="shared" si="253"/>
        <v/>
      </c>
    </row>
    <row r="13050" spans="8:8" x14ac:dyDescent="0.3">
      <c r="H13050" t="str">
        <f t="shared" si="253"/>
        <v/>
      </c>
    </row>
    <row r="13051" spans="8:8" x14ac:dyDescent="0.3">
      <c r="H13051" t="str">
        <f t="shared" si="253"/>
        <v/>
      </c>
    </row>
    <row r="13052" spans="8:8" x14ac:dyDescent="0.3">
      <c r="H13052" t="str">
        <f t="shared" si="253"/>
        <v/>
      </c>
    </row>
    <row r="13053" spans="8:8" x14ac:dyDescent="0.3">
      <c r="H13053" t="str">
        <f t="shared" si="253"/>
        <v/>
      </c>
    </row>
    <row r="13054" spans="8:8" x14ac:dyDescent="0.3">
      <c r="H13054" t="str">
        <f t="shared" si="253"/>
        <v/>
      </c>
    </row>
    <row r="13055" spans="8:8" x14ac:dyDescent="0.3">
      <c r="H13055" t="str">
        <f t="shared" si="253"/>
        <v/>
      </c>
    </row>
    <row r="13056" spans="8:8" x14ac:dyDescent="0.3">
      <c r="H13056" t="str">
        <f t="shared" si="253"/>
        <v/>
      </c>
    </row>
    <row r="13057" spans="8:8" x14ac:dyDescent="0.3">
      <c r="H13057" t="str">
        <f t="shared" si="253"/>
        <v/>
      </c>
    </row>
    <row r="13058" spans="8:8" x14ac:dyDescent="0.3">
      <c r="H13058" t="str">
        <f t="shared" si="253"/>
        <v/>
      </c>
    </row>
    <row r="13059" spans="8:8" x14ac:dyDescent="0.3">
      <c r="H13059" t="str">
        <f t="shared" si="253"/>
        <v/>
      </c>
    </row>
    <row r="13060" spans="8:8" x14ac:dyDescent="0.3">
      <c r="H13060" t="str">
        <f t="shared" si="253"/>
        <v/>
      </c>
    </row>
    <row r="13061" spans="8:8" x14ac:dyDescent="0.3">
      <c r="H13061" t="str">
        <f t="shared" si="253"/>
        <v/>
      </c>
    </row>
    <row r="13062" spans="8:8" x14ac:dyDescent="0.3">
      <c r="H13062" t="str">
        <f t="shared" si="253"/>
        <v/>
      </c>
    </row>
    <row r="13063" spans="8:8" x14ac:dyDescent="0.3">
      <c r="H13063" t="str">
        <f t="shared" si="253"/>
        <v/>
      </c>
    </row>
    <row r="13064" spans="8:8" x14ac:dyDescent="0.3">
      <c r="H13064" t="str">
        <f t="shared" si="253"/>
        <v/>
      </c>
    </row>
    <row r="13065" spans="8:8" x14ac:dyDescent="0.3">
      <c r="H13065" t="str">
        <f t="shared" si="253"/>
        <v/>
      </c>
    </row>
    <row r="13066" spans="8:8" x14ac:dyDescent="0.3">
      <c r="H13066" t="str">
        <f t="shared" si="253"/>
        <v/>
      </c>
    </row>
    <row r="13067" spans="8:8" x14ac:dyDescent="0.3">
      <c r="H13067" t="str">
        <f t="shared" si="253"/>
        <v/>
      </c>
    </row>
    <row r="13068" spans="8:8" x14ac:dyDescent="0.3">
      <c r="H13068" t="str">
        <f t="shared" si="253"/>
        <v/>
      </c>
    </row>
    <row r="13069" spans="8:8" x14ac:dyDescent="0.3">
      <c r="H13069" t="str">
        <f t="shared" si="253"/>
        <v/>
      </c>
    </row>
    <row r="13070" spans="8:8" x14ac:dyDescent="0.3">
      <c r="H13070" t="str">
        <f t="shared" si="253"/>
        <v/>
      </c>
    </row>
    <row r="13071" spans="8:8" x14ac:dyDescent="0.3">
      <c r="H13071" t="str">
        <f t="shared" si="253"/>
        <v/>
      </c>
    </row>
    <row r="13072" spans="8:8" x14ac:dyDescent="0.3">
      <c r="H13072" t="str">
        <f t="shared" si="253"/>
        <v/>
      </c>
    </row>
    <row r="13073" spans="8:8" x14ac:dyDescent="0.3">
      <c r="H13073" t="str">
        <f t="shared" si="253"/>
        <v/>
      </c>
    </row>
    <row r="13074" spans="8:8" x14ac:dyDescent="0.3">
      <c r="H13074" t="str">
        <f t="shared" si="253"/>
        <v/>
      </c>
    </row>
    <row r="13075" spans="8:8" x14ac:dyDescent="0.3">
      <c r="H13075" t="str">
        <f t="shared" si="253"/>
        <v/>
      </c>
    </row>
    <row r="13076" spans="8:8" x14ac:dyDescent="0.3">
      <c r="H13076" t="str">
        <f t="shared" si="253"/>
        <v/>
      </c>
    </row>
    <row r="13077" spans="8:8" x14ac:dyDescent="0.3">
      <c r="H13077" t="str">
        <f t="shared" si="253"/>
        <v/>
      </c>
    </row>
    <row r="13078" spans="8:8" x14ac:dyDescent="0.3">
      <c r="H13078" t="str">
        <f t="shared" si="253"/>
        <v/>
      </c>
    </row>
    <row r="13079" spans="8:8" x14ac:dyDescent="0.3">
      <c r="H13079" t="str">
        <f t="shared" ref="H13079:H13142" si="254">IF(B13079="","",$C$12)</f>
        <v/>
      </c>
    </row>
    <row r="13080" spans="8:8" x14ac:dyDescent="0.3">
      <c r="H13080" t="str">
        <f t="shared" si="254"/>
        <v/>
      </c>
    </row>
    <row r="13081" spans="8:8" x14ac:dyDescent="0.3">
      <c r="H13081" t="str">
        <f t="shared" si="254"/>
        <v/>
      </c>
    </row>
    <row r="13082" spans="8:8" x14ac:dyDescent="0.3">
      <c r="H13082" t="str">
        <f t="shared" si="254"/>
        <v/>
      </c>
    </row>
    <row r="13083" spans="8:8" x14ac:dyDescent="0.3">
      <c r="H13083" t="str">
        <f t="shared" si="254"/>
        <v/>
      </c>
    </row>
    <row r="13084" spans="8:8" x14ac:dyDescent="0.3">
      <c r="H13084" t="str">
        <f t="shared" si="254"/>
        <v/>
      </c>
    </row>
    <row r="13085" spans="8:8" x14ac:dyDescent="0.3">
      <c r="H13085" t="str">
        <f t="shared" si="254"/>
        <v/>
      </c>
    </row>
    <row r="13086" spans="8:8" x14ac:dyDescent="0.3">
      <c r="H13086" t="str">
        <f t="shared" si="254"/>
        <v/>
      </c>
    </row>
    <row r="13087" spans="8:8" x14ac:dyDescent="0.3">
      <c r="H13087" t="str">
        <f t="shared" si="254"/>
        <v/>
      </c>
    </row>
    <row r="13088" spans="8:8" x14ac:dyDescent="0.3">
      <c r="H13088" t="str">
        <f t="shared" si="254"/>
        <v/>
      </c>
    </row>
    <row r="13089" spans="8:8" x14ac:dyDescent="0.3">
      <c r="H13089" t="str">
        <f t="shared" si="254"/>
        <v/>
      </c>
    </row>
    <row r="13090" spans="8:8" x14ac:dyDescent="0.3">
      <c r="H13090" t="str">
        <f t="shared" si="254"/>
        <v/>
      </c>
    </row>
    <row r="13091" spans="8:8" x14ac:dyDescent="0.3">
      <c r="H13091" t="str">
        <f t="shared" si="254"/>
        <v/>
      </c>
    </row>
    <row r="13092" spans="8:8" x14ac:dyDescent="0.3">
      <c r="H13092" t="str">
        <f t="shared" si="254"/>
        <v/>
      </c>
    </row>
    <row r="13093" spans="8:8" x14ac:dyDescent="0.3">
      <c r="H13093" t="str">
        <f t="shared" si="254"/>
        <v/>
      </c>
    </row>
    <row r="13094" spans="8:8" x14ac:dyDescent="0.3">
      <c r="H13094" t="str">
        <f t="shared" si="254"/>
        <v/>
      </c>
    </row>
    <row r="13095" spans="8:8" x14ac:dyDescent="0.3">
      <c r="H13095" t="str">
        <f t="shared" si="254"/>
        <v/>
      </c>
    </row>
    <row r="13096" spans="8:8" x14ac:dyDescent="0.3">
      <c r="H13096" t="str">
        <f t="shared" si="254"/>
        <v/>
      </c>
    </row>
    <row r="13097" spans="8:8" x14ac:dyDescent="0.3">
      <c r="H13097" t="str">
        <f t="shared" si="254"/>
        <v/>
      </c>
    </row>
    <row r="13098" spans="8:8" x14ac:dyDescent="0.3">
      <c r="H13098" t="str">
        <f t="shared" si="254"/>
        <v/>
      </c>
    </row>
    <row r="13099" spans="8:8" x14ac:dyDescent="0.3">
      <c r="H13099" t="str">
        <f t="shared" si="254"/>
        <v/>
      </c>
    </row>
    <row r="13100" spans="8:8" x14ac:dyDescent="0.3">
      <c r="H13100" t="str">
        <f t="shared" si="254"/>
        <v/>
      </c>
    </row>
    <row r="13101" spans="8:8" x14ac:dyDescent="0.3">
      <c r="H13101" t="str">
        <f t="shared" si="254"/>
        <v/>
      </c>
    </row>
    <row r="13102" spans="8:8" x14ac:dyDescent="0.3">
      <c r="H13102" t="str">
        <f t="shared" si="254"/>
        <v/>
      </c>
    </row>
    <row r="13103" spans="8:8" x14ac:dyDescent="0.3">
      <c r="H13103" t="str">
        <f t="shared" si="254"/>
        <v/>
      </c>
    </row>
    <row r="13104" spans="8:8" x14ac:dyDescent="0.3">
      <c r="H13104" t="str">
        <f t="shared" si="254"/>
        <v/>
      </c>
    </row>
    <row r="13105" spans="8:8" x14ac:dyDescent="0.3">
      <c r="H13105" t="str">
        <f t="shared" si="254"/>
        <v/>
      </c>
    </row>
    <row r="13106" spans="8:8" x14ac:dyDescent="0.3">
      <c r="H13106" t="str">
        <f t="shared" si="254"/>
        <v/>
      </c>
    </row>
    <row r="13107" spans="8:8" x14ac:dyDescent="0.3">
      <c r="H13107" t="str">
        <f t="shared" si="254"/>
        <v/>
      </c>
    </row>
    <row r="13108" spans="8:8" x14ac:dyDescent="0.3">
      <c r="H13108" t="str">
        <f t="shared" si="254"/>
        <v/>
      </c>
    </row>
    <row r="13109" spans="8:8" x14ac:dyDescent="0.3">
      <c r="H13109" t="str">
        <f t="shared" si="254"/>
        <v/>
      </c>
    </row>
    <row r="13110" spans="8:8" x14ac:dyDescent="0.3">
      <c r="H13110" t="str">
        <f t="shared" si="254"/>
        <v/>
      </c>
    </row>
    <row r="13111" spans="8:8" x14ac:dyDescent="0.3">
      <c r="H13111" t="str">
        <f t="shared" si="254"/>
        <v/>
      </c>
    </row>
    <row r="13112" spans="8:8" x14ac:dyDescent="0.3">
      <c r="H13112" t="str">
        <f t="shared" si="254"/>
        <v/>
      </c>
    </row>
    <row r="13113" spans="8:8" x14ac:dyDescent="0.3">
      <c r="H13113" t="str">
        <f t="shared" si="254"/>
        <v/>
      </c>
    </row>
    <row r="13114" spans="8:8" x14ac:dyDescent="0.3">
      <c r="H13114" t="str">
        <f t="shared" si="254"/>
        <v/>
      </c>
    </row>
    <row r="13115" spans="8:8" x14ac:dyDescent="0.3">
      <c r="H13115" t="str">
        <f t="shared" si="254"/>
        <v/>
      </c>
    </row>
    <row r="13116" spans="8:8" x14ac:dyDescent="0.3">
      <c r="H13116" t="str">
        <f t="shared" si="254"/>
        <v/>
      </c>
    </row>
    <row r="13117" spans="8:8" x14ac:dyDescent="0.3">
      <c r="H13117" t="str">
        <f t="shared" si="254"/>
        <v/>
      </c>
    </row>
    <row r="13118" spans="8:8" x14ac:dyDescent="0.3">
      <c r="H13118" t="str">
        <f t="shared" si="254"/>
        <v/>
      </c>
    </row>
    <row r="13119" spans="8:8" x14ac:dyDescent="0.3">
      <c r="H13119" t="str">
        <f t="shared" si="254"/>
        <v/>
      </c>
    </row>
    <row r="13120" spans="8:8" x14ac:dyDescent="0.3">
      <c r="H13120" t="str">
        <f t="shared" si="254"/>
        <v/>
      </c>
    </row>
    <row r="13121" spans="8:8" x14ac:dyDescent="0.3">
      <c r="H13121" t="str">
        <f t="shared" si="254"/>
        <v/>
      </c>
    </row>
    <row r="13122" spans="8:8" x14ac:dyDescent="0.3">
      <c r="H13122" t="str">
        <f t="shared" si="254"/>
        <v/>
      </c>
    </row>
    <row r="13123" spans="8:8" x14ac:dyDescent="0.3">
      <c r="H13123" t="str">
        <f t="shared" si="254"/>
        <v/>
      </c>
    </row>
    <row r="13124" spans="8:8" x14ac:dyDescent="0.3">
      <c r="H13124" t="str">
        <f t="shared" si="254"/>
        <v/>
      </c>
    </row>
    <row r="13125" spans="8:8" x14ac:dyDescent="0.3">
      <c r="H13125" t="str">
        <f t="shared" si="254"/>
        <v/>
      </c>
    </row>
    <row r="13126" spans="8:8" x14ac:dyDescent="0.3">
      <c r="H13126" t="str">
        <f t="shared" si="254"/>
        <v/>
      </c>
    </row>
    <row r="13127" spans="8:8" x14ac:dyDescent="0.3">
      <c r="H13127" t="str">
        <f t="shared" si="254"/>
        <v/>
      </c>
    </row>
    <row r="13128" spans="8:8" x14ac:dyDescent="0.3">
      <c r="H13128" t="str">
        <f t="shared" si="254"/>
        <v/>
      </c>
    </row>
    <row r="13129" spans="8:8" x14ac:dyDescent="0.3">
      <c r="H13129" t="str">
        <f t="shared" si="254"/>
        <v/>
      </c>
    </row>
    <row r="13130" spans="8:8" x14ac:dyDescent="0.3">
      <c r="H13130" t="str">
        <f t="shared" si="254"/>
        <v/>
      </c>
    </row>
    <row r="13131" spans="8:8" x14ac:dyDescent="0.3">
      <c r="H13131" t="str">
        <f t="shared" si="254"/>
        <v/>
      </c>
    </row>
    <row r="13132" spans="8:8" x14ac:dyDescent="0.3">
      <c r="H13132" t="str">
        <f t="shared" si="254"/>
        <v/>
      </c>
    </row>
    <row r="13133" spans="8:8" x14ac:dyDescent="0.3">
      <c r="H13133" t="str">
        <f t="shared" si="254"/>
        <v/>
      </c>
    </row>
    <row r="13134" spans="8:8" x14ac:dyDescent="0.3">
      <c r="H13134" t="str">
        <f t="shared" si="254"/>
        <v/>
      </c>
    </row>
    <row r="13135" spans="8:8" x14ac:dyDescent="0.3">
      <c r="H13135" t="str">
        <f t="shared" si="254"/>
        <v/>
      </c>
    </row>
    <row r="13136" spans="8:8" x14ac:dyDescent="0.3">
      <c r="H13136" t="str">
        <f t="shared" si="254"/>
        <v/>
      </c>
    </row>
    <row r="13137" spans="8:8" x14ac:dyDescent="0.3">
      <c r="H13137" t="str">
        <f t="shared" si="254"/>
        <v/>
      </c>
    </row>
    <row r="13138" spans="8:8" x14ac:dyDescent="0.3">
      <c r="H13138" t="str">
        <f t="shared" si="254"/>
        <v/>
      </c>
    </row>
    <row r="13139" spans="8:8" x14ac:dyDescent="0.3">
      <c r="H13139" t="str">
        <f t="shared" si="254"/>
        <v/>
      </c>
    </row>
    <row r="13140" spans="8:8" x14ac:dyDescent="0.3">
      <c r="H13140" t="str">
        <f t="shared" si="254"/>
        <v/>
      </c>
    </row>
    <row r="13141" spans="8:8" x14ac:dyDescent="0.3">
      <c r="H13141" t="str">
        <f t="shared" si="254"/>
        <v/>
      </c>
    </row>
    <row r="13142" spans="8:8" x14ac:dyDescent="0.3">
      <c r="H13142" t="str">
        <f t="shared" si="254"/>
        <v/>
      </c>
    </row>
    <row r="13143" spans="8:8" x14ac:dyDescent="0.3">
      <c r="H13143" t="str">
        <f t="shared" ref="H13143:H13206" si="255">IF(B13143="","",$C$12)</f>
        <v/>
      </c>
    </row>
    <row r="13144" spans="8:8" x14ac:dyDescent="0.3">
      <c r="H13144" t="str">
        <f t="shared" si="255"/>
        <v/>
      </c>
    </row>
    <row r="13145" spans="8:8" x14ac:dyDescent="0.3">
      <c r="H13145" t="str">
        <f t="shared" si="255"/>
        <v/>
      </c>
    </row>
    <row r="13146" spans="8:8" x14ac:dyDescent="0.3">
      <c r="H13146" t="str">
        <f t="shared" si="255"/>
        <v/>
      </c>
    </row>
    <row r="13147" spans="8:8" x14ac:dyDescent="0.3">
      <c r="H13147" t="str">
        <f t="shared" si="255"/>
        <v/>
      </c>
    </row>
    <row r="13148" spans="8:8" x14ac:dyDescent="0.3">
      <c r="H13148" t="str">
        <f t="shared" si="255"/>
        <v/>
      </c>
    </row>
    <row r="13149" spans="8:8" x14ac:dyDescent="0.3">
      <c r="H13149" t="str">
        <f t="shared" si="255"/>
        <v/>
      </c>
    </row>
    <row r="13150" spans="8:8" x14ac:dyDescent="0.3">
      <c r="H13150" t="str">
        <f t="shared" si="255"/>
        <v/>
      </c>
    </row>
    <row r="13151" spans="8:8" x14ac:dyDescent="0.3">
      <c r="H13151" t="str">
        <f t="shared" si="255"/>
        <v/>
      </c>
    </row>
    <row r="13152" spans="8:8" x14ac:dyDescent="0.3">
      <c r="H13152" t="str">
        <f t="shared" si="255"/>
        <v/>
      </c>
    </row>
    <row r="13153" spans="8:8" x14ac:dyDescent="0.3">
      <c r="H13153" t="str">
        <f t="shared" si="255"/>
        <v/>
      </c>
    </row>
    <row r="13154" spans="8:8" x14ac:dyDescent="0.3">
      <c r="H13154" t="str">
        <f t="shared" si="255"/>
        <v/>
      </c>
    </row>
    <row r="13155" spans="8:8" x14ac:dyDescent="0.3">
      <c r="H13155" t="str">
        <f t="shared" si="255"/>
        <v/>
      </c>
    </row>
    <row r="13156" spans="8:8" x14ac:dyDescent="0.3">
      <c r="H13156" t="str">
        <f t="shared" si="255"/>
        <v/>
      </c>
    </row>
    <row r="13157" spans="8:8" x14ac:dyDescent="0.3">
      <c r="H13157" t="str">
        <f t="shared" si="255"/>
        <v/>
      </c>
    </row>
    <row r="13158" spans="8:8" x14ac:dyDescent="0.3">
      <c r="H13158" t="str">
        <f t="shared" si="255"/>
        <v/>
      </c>
    </row>
    <row r="13159" spans="8:8" x14ac:dyDescent="0.3">
      <c r="H13159" t="str">
        <f t="shared" si="255"/>
        <v/>
      </c>
    </row>
    <row r="13160" spans="8:8" x14ac:dyDescent="0.3">
      <c r="H13160" t="str">
        <f t="shared" si="255"/>
        <v/>
      </c>
    </row>
    <row r="13161" spans="8:8" x14ac:dyDescent="0.3">
      <c r="H13161" t="str">
        <f t="shared" si="255"/>
        <v/>
      </c>
    </row>
    <row r="13162" spans="8:8" x14ac:dyDescent="0.3">
      <c r="H13162" t="str">
        <f t="shared" si="255"/>
        <v/>
      </c>
    </row>
    <row r="13163" spans="8:8" x14ac:dyDescent="0.3">
      <c r="H13163" t="str">
        <f t="shared" si="255"/>
        <v/>
      </c>
    </row>
    <row r="13164" spans="8:8" x14ac:dyDescent="0.3">
      <c r="H13164" t="str">
        <f t="shared" si="255"/>
        <v/>
      </c>
    </row>
    <row r="13165" spans="8:8" x14ac:dyDescent="0.3">
      <c r="H13165" t="str">
        <f t="shared" si="255"/>
        <v/>
      </c>
    </row>
    <row r="13166" spans="8:8" x14ac:dyDescent="0.3">
      <c r="H13166" t="str">
        <f t="shared" si="255"/>
        <v/>
      </c>
    </row>
    <row r="13167" spans="8:8" x14ac:dyDescent="0.3">
      <c r="H13167" t="str">
        <f t="shared" si="255"/>
        <v/>
      </c>
    </row>
    <row r="13168" spans="8:8" x14ac:dyDescent="0.3">
      <c r="H13168" t="str">
        <f t="shared" si="255"/>
        <v/>
      </c>
    </row>
    <row r="13169" spans="8:8" x14ac:dyDescent="0.3">
      <c r="H13169" t="str">
        <f t="shared" si="255"/>
        <v/>
      </c>
    </row>
    <row r="13170" spans="8:8" x14ac:dyDescent="0.3">
      <c r="H13170" t="str">
        <f t="shared" si="255"/>
        <v/>
      </c>
    </row>
    <row r="13171" spans="8:8" x14ac:dyDescent="0.3">
      <c r="H13171" t="str">
        <f t="shared" si="255"/>
        <v/>
      </c>
    </row>
    <row r="13172" spans="8:8" x14ac:dyDescent="0.3">
      <c r="H13172" t="str">
        <f t="shared" si="255"/>
        <v/>
      </c>
    </row>
    <row r="13173" spans="8:8" x14ac:dyDescent="0.3">
      <c r="H13173" t="str">
        <f t="shared" si="255"/>
        <v/>
      </c>
    </row>
    <row r="13174" spans="8:8" x14ac:dyDescent="0.3">
      <c r="H13174" t="str">
        <f t="shared" si="255"/>
        <v/>
      </c>
    </row>
    <row r="13175" spans="8:8" x14ac:dyDescent="0.3">
      <c r="H13175" t="str">
        <f t="shared" si="255"/>
        <v/>
      </c>
    </row>
    <row r="13176" spans="8:8" x14ac:dyDescent="0.3">
      <c r="H13176" t="str">
        <f t="shared" si="255"/>
        <v/>
      </c>
    </row>
    <row r="13177" spans="8:8" x14ac:dyDescent="0.3">
      <c r="H13177" t="str">
        <f t="shared" si="255"/>
        <v/>
      </c>
    </row>
    <row r="13178" spans="8:8" x14ac:dyDescent="0.3">
      <c r="H13178" t="str">
        <f t="shared" si="255"/>
        <v/>
      </c>
    </row>
    <row r="13179" spans="8:8" x14ac:dyDescent="0.3">
      <c r="H13179" t="str">
        <f t="shared" si="255"/>
        <v/>
      </c>
    </row>
    <row r="13180" spans="8:8" x14ac:dyDescent="0.3">
      <c r="H13180" t="str">
        <f t="shared" si="255"/>
        <v/>
      </c>
    </row>
    <row r="13181" spans="8:8" x14ac:dyDescent="0.3">
      <c r="H13181" t="str">
        <f t="shared" si="255"/>
        <v/>
      </c>
    </row>
    <row r="13182" spans="8:8" x14ac:dyDescent="0.3">
      <c r="H13182" t="str">
        <f t="shared" si="255"/>
        <v/>
      </c>
    </row>
    <row r="13183" spans="8:8" x14ac:dyDescent="0.3">
      <c r="H13183" t="str">
        <f t="shared" si="255"/>
        <v/>
      </c>
    </row>
    <row r="13184" spans="8:8" x14ac:dyDescent="0.3">
      <c r="H13184" t="str">
        <f t="shared" si="255"/>
        <v/>
      </c>
    </row>
    <row r="13185" spans="8:8" x14ac:dyDescent="0.3">
      <c r="H13185" t="str">
        <f t="shared" si="255"/>
        <v/>
      </c>
    </row>
    <row r="13186" spans="8:8" x14ac:dyDescent="0.3">
      <c r="H13186" t="str">
        <f t="shared" si="255"/>
        <v/>
      </c>
    </row>
    <row r="13187" spans="8:8" x14ac:dyDescent="0.3">
      <c r="H13187" t="str">
        <f t="shared" si="255"/>
        <v/>
      </c>
    </row>
    <row r="13188" spans="8:8" x14ac:dyDescent="0.3">
      <c r="H13188" t="str">
        <f t="shared" si="255"/>
        <v/>
      </c>
    </row>
    <row r="13189" spans="8:8" x14ac:dyDescent="0.3">
      <c r="H13189" t="str">
        <f t="shared" si="255"/>
        <v/>
      </c>
    </row>
    <row r="13190" spans="8:8" x14ac:dyDescent="0.3">
      <c r="H13190" t="str">
        <f t="shared" si="255"/>
        <v/>
      </c>
    </row>
    <row r="13191" spans="8:8" x14ac:dyDescent="0.3">
      <c r="H13191" t="str">
        <f t="shared" si="255"/>
        <v/>
      </c>
    </row>
    <row r="13192" spans="8:8" x14ac:dyDescent="0.3">
      <c r="H13192" t="str">
        <f t="shared" si="255"/>
        <v/>
      </c>
    </row>
    <row r="13193" spans="8:8" x14ac:dyDescent="0.3">
      <c r="H13193" t="str">
        <f t="shared" si="255"/>
        <v/>
      </c>
    </row>
    <row r="13194" spans="8:8" x14ac:dyDescent="0.3">
      <c r="H13194" t="str">
        <f t="shared" si="255"/>
        <v/>
      </c>
    </row>
    <row r="13195" spans="8:8" x14ac:dyDescent="0.3">
      <c r="H13195" t="str">
        <f t="shared" si="255"/>
        <v/>
      </c>
    </row>
    <row r="13196" spans="8:8" x14ac:dyDescent="0.3">
      <c r="H13196" t="str">
        <f t="shared" si="255"/>
        <v/>
      </c>
    </row>
    <row r="13197" spans="8:8" x14ac:dyDescent="0.3">
      <c r="H13197" t="str">
        <f t="shared" si="255"/>
        <v/>
      </c>
    </row>
    <row r="13198" spans="8:8" x14ac:dyDescent="0.3">
      <c r="H13198" t="str">
        <f t="shared" si="255"/>
        <v/>
      </c>
    </row>
    <row r="13199" spans="8:8" x14ac:dyDescent="0.3">
      <c r="H13199" t="str">
        <f t="shared" si="255"/>
        <v/>
      </c>
    </row>
    <row r="13200" spans="8:8" x14ac:dyDescent="0.3">
      <c r="H13200" t="str">
        <f t="shared" si="255"/>
        <v/>
      </c>
    </row>
    <row r="13201" spans="8:8" x14ac:dyDescent="0.3">
      <c r="H13201" t="str">
        <f t="shared" si="255"/>
        <v/>
      </c>
    </row>
    <row r="13202" spans="8:8" x14ac:dyDescent="0.3">
      <c r="H13202" t="str">
        <f t="shared" si="255"/>
        <v/>
      </c>
    </row>
    <row r="13203" spans="8:8" x14ac:dyDescent="0.3">
      <c r="H13203" t="str">
        <f t="shared" si="255"/>
        <v/>
      </c>
    </row>
    <row r="13204" spans="8:8" x14ac:dyDescent="0.3">
      <c r="H13204" t="str">
        <f t="shared" si="255"/>
        <v/>
      </c>
    </row>
    <row r="13205" spans="8:8" x14ac:dyDescent="0.3">
      <c r="H13205" t="str">
        <f t="shared" si="255"/>
        <v/>
      </c>
    </row>
    <row r="13206" spans="8:8" x14ac:dyDescent="0.3">
      <c r="H13206" t="str">
        <f t="shared" si="255"/>
        <v/>
      </c>
    </row>
    <row r="13207" spans="8:8" x14ac:dyDescent="0.3">
      <c r="H13207" t="str">
        <f t="shared" ref="H13207:H13270" si="256">IF(B13207="","",$C$12)</f>
        <v/>
      </c>
    </row>
    <row r="13208" spans="8:8" x14ac:dyDescent="0.3">
      <c r="H13208" t="str">
        <f t="shared" si="256"/>
        <v/>
      </c>
    </row>
    <row r="13209" spans="8:8" x14ac:dyDescent="0.3">
      <c r="H13209" t="str">
        <f t="shared" si="256"/>
        <v/>
      </c>
    </row>
    <row r="13210" spans="8:8" x14ac:dyDescent="0.3">
      <c r="H13210" t="str">
        <f t="shared" si="256"/>
        <v/>
      </c>
    </row>
    <row r="13211" spans="8:8" x14ac:dyDescent="0.3">
      <c r="H13211" t="str">
        <f t="shared" si="256"/>
        <v/>
      </c>
    </row>
    <row r="13212" spans="8:8" x14ac:dyDescent="0.3">
      <c r="H13212" t="str">
        <f t="shared" si="256"/>
        <v/>
      </c>
    </row>
    <row r="13213" spans="8:8" x14ac:dyDescent="0.3">
      <c r="H13213" t="str">
        <f t="shared" si="256"/>
        <v/>
      </c>
    </row>
    <row r="13214" spans="8:8" x14ac:dyDescent="0.3">
      <c r="H13214" t="str">
        <f t="shared" si="256"/>
        <v/>
      </c>
    </row>
    <row r="13215" spans="8:8" x14ac:dyDescent="0.3">
      <c r="H13215" t="str">
        <f t="shared" si="256"/>
        <v/>
      </c>
    </row>
    <row r="13216" spans="8:8" x14ac:dyDescent="0.3">
      <c r="H13216" t="str">
        <f t="shared" si="256"/>
        <v/>
      </c>
    </row>
    <row r="13217" spans="8:8" x14ac:dyDescent="0.3">
      <c r="H13217" t="str">
        <f t="shared" si="256"/>
        <v/>
      </c>
    </row>
    <row r="13218" spans="8:8" x14ac:dyDescent="0.3">
      <c r="H13218" t="str">
        <f t="shared" si="256"/>
        <v/>
      </c>
    </row>
    <row r="13219" spans="8:8" x14ac:dyDescent="0.3">
      <c r="H13219" t="str">
        <f t="shared" si="256"/>
        <v/>
      </c>
    </row>
    <row r="13220" spans="8:8" x14ac:dyDescent="0.3">
      <c r="H13220" t="str">
        <f t="shared" si="256"/>
        <v/>
      </c>
    </row>
    <row r="13221" spans="8:8" x14ac:dyDescent="0.3">
      <c r="H13221" t="str">
        <f t="shared" si="256"/>
        <v/>
      </c>
    </row>
    <row r="13222" spans="8:8" x14ac:dyDescent="0.3">
      <c r="H13222" t="str">
        <f t="shared" si="256"/>
        <v/>
      </c>
    </row>
    <row r="13223" spans="8:8" x14ac:dyDescent="0.3">
      <c r="H13223" t="str">
        <f t="shared" si="256"/>
        <v/>
      </c>
    </row>
    <row r="13224" spans="8:8" x14ac:dyDescent="0.3">
      <c r="H13224" t="str">
        <f t="shared" si="256"/>
        <v/>
      </c>
    </row>
    <row r="13225" spans="8:8" x14ac:dyDescent="0.3">
      <c r="H13225" t="str">
        <f t="shared" si="256"/>
        <v/>
      </c>
    </row>
    <row r="13226" spans="8:8" x14ac:dyDescent="0.3">
      <c r="H13226" t="str">
        <f t="shared" si="256"/>
        <v/>
      </c>
    </row>
    <row r="13227" spans="8:8" x14ac:dyDescent="0.3">
      <c r="H13227" t="str">
        <f t="shared" si="256"/>
        <v/>
      </c>
    </row>
    <row r="13228" spans="8:8" x14ac:dyDescent="0.3">
      <c r="H13228" t="str">
        <f t="shared" si="256"/>
        <v/>
      </c>
    </row>
    <row r="13229" spans="8:8" x14ac:dyDescent="0.3">
      <c r="H13229" t="str">
        <f t="shared" si="256"/>
        <v/>
      </c>
    </row>
    <row r="13230" spans="8:8" x14ac:dyDescent="0.3">
      <c r="H13230" t="str">
        <f t="shared" si="256"/>
        <v/>
      </c>
    </row>
    <row r="13231" spans="8:8" x14ac:dyDescent="0.3">
      <c r="H13231" t="str">
        <f t="shared" si="256"/>
        <v/>
      </c>
    </row>
    <row r="13232" spans="8:8" x14ac:dyDescent="0.3">
      <c r="H13232" t="str">
        <f t="shared" si="256"/>
        <v/>
      </c>
    </row>
    <row r="13233" spans="8:8" x14ac:dyDescent="0.3">
      <c r="H13233" t="str">
        <f t="shared" si="256"/>
        <v/>
      </c>
    </row>
    <row r="13234" spans="8:8" x14ac:dyDescent="0.3">
      <c r="H13234" t="str">
        <f t="shared" si="256"/>
        <v/>
      </c>
    </row>
    <row r="13235" spans="8:8" x14ac:dyDescent="0.3">
      <c r="H13235" t="str">
        <f t="shared" si="256"/>
        <v/>
      </c>
    </row>
    <row r="13236" spans="8:8" x14ac:dyDescent="0.3">
      <c r="H13236" t="str">
        <f t="shared" si="256"/>
        <v/>
      </c>
    </row>
    <row r="13237" spans="8:8" x14ac:dyDescent="0.3">
      <c r="H13237" t="str">
        <f t="shared" si="256"/>
        <v/>
      </c>
    </row>
    <row r="13238" spans="8:8" x14ac:dyDescent="0.3">
      <c r="H13238" t="str">
        <f t="shared" si="256"/>
        <v/>
      </c>
    </row>
    <row r="13239" spans="8:8" x14ac:dyDescent="0.3">
      <c r="H13239" t="str">
        <f t="shared" si="256"/>
        <v/>
      </c>
    </row>
    <row r="13240" spans="8:8" x14ac:dyDescent="0.3">
      <c r="H13240" t="str">
        <f t="shared" si="256"/>
        <v/>
      </c>
    </row>
    <row r="13241" spans="8:8" x14ac:dyDescent="0.3">
      <c r="H13241" t="str">
        <f t="shared" si="256"/>
        <v/>
      </c>
    </row>
    <row r="13242" spans="8:8" x14ac:dyDescent="0.3">
      <c r="H13242" t="str">
        <f t="shared" si="256"/>
        <v/>
      </c>
    </row>
    <row r="13243" spans="8:8" x14ac:dyDescent="0.3">
      <c r="H13243" t="str">
        <f t="shared" si="256"/>
        <v/>
      </c>
    </row>
    <row r="13244" spans="8:8" x14ac:dyDescent="0.3">
      <c r="H13244" t="str">
        <f t="shared" si="256"/>
        <v/>
      </c>
    </row>
    <row r="13245" spans="8:8" x14ac:dyDescent="0.3">
      <c r="H13245" t="str">
        <f t="shared" si="256"/>
        <v/>
      </c>
    </row>
    <row r="13246" spans="8:8" x14ac:dyDescent="0.3">
      <c r="H13246" t="str">
        <f t="shared" si="256"/>
        <v/>
      </c>
    </row>
    <row r="13247" spans="8:8" x14ac:dyDescent="0.3">
      <c r="H13247" t="str">
        <f t="shared" si="256"/>
        <v/>
      </c>
    </row>
    <row r="13248" spans="8:8" x14ac:dyDescent="0.3">
      <c r="H13248" t="str">
        <f t="shared" si="256"/>
        <v/>
      </c>
    </row>
    <row r="13249" spans="8:8" x14ac:dyDescent="0.3">
      <c r="H13249" t="str">
        <f t="shared" si="256"/>
        <v/>
      </c>
    </row>
    <row r="13250" spans="8:8" x14ac:dyDescent="0.3">
      <c r="H13250" t="str">
        <f t="shared" si="256"/>
        <v/>
      </c>
    </row>
    <row r="13251" spans="8:8" x14ac:dyDescent="0.3">
      <c r="H13251" t="str">
        <f t="shared" si="256"/>
        <v/>
      </c>
    </row>
    <row r="13252" spans="8:8" x14ac:dyDescent="0.3">
      <c r="H13252" t="str">
        <f t="shared" si="256"/>
        <v/>
      </c>
    </row>
    <row r="13253" spans="8:8" x14ac:dyDescent="0.3">
      <c r="H13253" t="str">
        <f t="shared" si="256"/>
        <v/>
      </c>
    </row>
    <row r="13254" spans="8:8" x14ac:dyDescent="0.3">
      <c r="H13254" t="str">
        <f t="shared" si="256"/>
        <v/>
      </c>
    </row>
    <row r="13255" spans="8:8" x14ac:dyDescent="0.3">
      <c r="H13255" t="str">
        <f t="shared" si="256"/>
        <v/>
      </c>
    </row>
    <row r="13256" spans="8:8" x14ac:dyDescent="0.3">
      <c r="H13256" t="str">
        <f t="shared" si="256"/>
        <v/>
      </c>
    </row>
    <row r="13257" spans="8:8" x14ac:dyDescent="0.3">
      <c r="H13257" t="str">
        <f t="shared" si="256"/>
        <v/>
      </c>
    </row>
    <row r="13258" spans="8:8" x14ac:dyDescent="0.3">
      <c r="H13258" t="str">
        <f t="shared" si="256"/>
        <v/>
      </c>
    </row>
    <row r="13259" spans="8:8" x14ac:dyDescent="0.3">
      <c r="H13259" t="str">
        <f t="shared" si="256"/>
        <v/>
      </c>
    </row>
    <row r="13260" spans="8:8" x14ac:dyDescent="0.3">
      <c r="H13260" t="str">
        <f t="shared" si="256"/>
        <v/>
      </c>
    </row>
    <row r="13261" spans="8:8" x14ac:dyDescent="0.3">
      <c r="H13261" t="str">
        <f t="shared" si="256"/>
        <v/>
      </c>
    </row>
    <row r="13262" spans="8:8" x14ac:dyDescent="0.3">
      <c r="H13262" t="str">
        <f t="shared" si="256"/>
        <v/>
      </c>
    </row>
    <row r="13263" spans="8:8" x14ac:dyDescent="0.3">
      <c r="H13263" t="str">
        <f t="shared" si="256"/>
        <v/>
      </c>
    </row>
    <row r="13264" spans="8:8" x14ac:dyDescent="0.3">
      <c r="H13264" t="str">
        <f t="shared" si="256"/>
        <v/>
      </c>
    </row>
    <row r="13265" spans="8:8" x14ac:dyDescent="0.3">
      <c r="H13265" t="str">
        <f t="shared" si="256"/>
        <v/>
      </c>
    </row>
    <row r="13266" spans="8:8" x14ac:dyDescent="0.3">
      <c r="H13266" t="str">
        <f t="shared" si="256"/>
        <v/>
      </c>
    </row>
    <row r="13267" spans="8:8" x14ac:dyDescent="0.3">
      <c r="H13267" t="str">
        <f t="shared" si="256"/>
        <v/>
      </c>
    </row>
    <row r="13268" spans="8:8" x14ac:dyDescent="0.3">
      <c r="H13268" t="str">
        <f t="shared" si="256"/>
        <v/>
      </c>
    </row>
    <row r="13269" spans="8:8" x14ac:dyDescent="0.3">
      <c r="H13269" t="str">
        <f t="shared" si="256"/>
        <v/>
      </c>
    </row>
    <row r="13270" spans="8:8" x14ac:dyDescent="0.3">
      <c r="H13270" t="str">
        <f t="shared" si="256"/>
        <v/>
      </c>
    </row>
    <row r="13271" spans="8:8" x14ac:dyDescent="0.3">
      <c r="H13271" t="str">
        <f t="shared" ref="H13271:H13334" si="257">IF(B13271="","",$C$12)</f>
        <v/>
      </c>
    </row>
    <row r="13272" spans="8:8" x14ac:dyDescent="0.3">
      <c r="H13272" t="str">
        <f t="shared" si="257"/>
        <v/>
      </c>
    </row>
    <row r="13273" spans="8:8" x14ac:dyDescent="0.3">
      <c r="H13273" t="str">
        <f t="shared" si="257"/>
        <v/>
      </c>
    </row>
    <row r="13274" spans="8:8" x14ac:dyDescent="0.3">
      <c r="H13274" t="str">
        <f t="shared" si="257"/>
        <v/>
      </c>
    </row>
    <row r="13275" spans="8:8" x14ac:dyDescent="0.3">
      <c r="H13275" t="str">
        <f t="shared" si="257"/>
        <v/>
      </c>
    </row>
    <row r="13276" spans="8:8" x14ac:dyDescent="0.3">
      <c r="H13276" t="str">
        <f t="shared" si="257"/>
        <v/>
      </c>
    </row>
    <row r="13277" spans="8:8" x14ac:dyDescent="0.3">
      <c r="H13277" t="str">
        <f t="shared" si="257"/>
        <v/>
      </c>
    </row>
    <row r="13278" spans="8:8" x14ac:dyDescent="0.3">
      <c r="H13278" t="str">
        <f t="shared" si="257"/>
        <v/>
      </c>
    </row>
    <row r="13279" spans="8:8" x14ac:dyDescent="0.3">
      <c r="H13279" t="str">
        <f t="shared" si="257"/>
        <v/>
      </c>
    </row>
    <row r="13280" spans="8:8" x14ac:dyDescent="0.3">
      <c r="H13280" t="str">
        <f t="shared" si="257"/>
        <v/>
      </c>
    </row>
    <row r="13281" spans="8:8" x14ac:dyDescent="0.3">
      <c r="H13281" t="str">
        <f t="shared" si="257"/>
        <v/>
      </c>
    </row>
    <row r="13282" spans="8:8" x14ac:dyDescent="0.3">
      <c r="H13282" t="str">
        <f t="shared" si="257"/>
        <v/>
      </c>
    </row>
    <row r="13283" spans="8:8" x14ac:dyDescent="0.3">
      <c r="H13283" t="str">
        <f t="shared" si="257"/>
        <v/>
      </c>
    </row>
    <row r="13284" spans="8:8" x14ac:dyDescent="0.3">
      <c r="H13284" t="str">
        <f t="shared" si="257"/>
        <v/>
      </c>
    </row>
    <row r="13285" spans="8:8" x14ac:dyDescent="0.3">
      <c r="H13285" t="str">
        <f t="shared" si="257"/>
        <v/>
      </c>
    </row>
    <row r="13286" spans="8:8" x14ac:dyDescent="0.3">
      <c r="H13286" t="str">
        <f t="shared" si="257"/>
        <v/>
      </c>
    </row>
    <row r="13287" spans="8:8" x14ac:dyDescent="0.3">
      <c r="H13287" t="str">
        <f t="shared" si="257"/>
        <v/>
      </c>
    </row>
    <row r="13288" spans="8:8" x14ac:dyDescent="0.3">
      <c r="H13288" t="str">
        <f t="shared" si="257"/>
        <v/>
      </c>
    </row>
    <row r="13289" spans="8:8" x14ac:dyDescent="0.3">
      <c r="H13289" t="str">
        <f t="shared" si="257"/>
        <v/>
      </c>
    </row>
    <row r="13290" spans="8:8" x14ac:dyDescent="0.3">
      <c r="H13290" t="str">
        <f t="shared" si="257"/>
        <v/>
      </c>
    </row>
    <row r="13291" spans="8:8" x14ac:dyDescent="0.3">
      <c r="H13291" t="str">
        <f t="shared" si="257"/>
        <v/>
      </c>
    </row>
    <row r="13292" spans="8:8" x14ac:dyDescent="0.3">
      <c r="H13292" t="str">
        <f t="shared" si="257"/>
        <v/>
      </c>
    </row>
    <row r="13293" spans="8:8" x14ac:dyDescent="0.3">
      <c r="H13293" t="str">
        <f t="shared" si="257"/>
        <v/>
      </c>
    </row>
    <row r="13294" spans="8:8" x14ac:dyDescent="0.3">
      <c r="H13294" t="str">
        <f t="shared" si="257"/>
        <v/>
      </c>
    </row>
    <row r="13295" spans="8:8" x14ac:dyDescent="0.3">
      <c r="H13295" t="str">
        <f t="shared" si="257"/>
        <v/>
      </c>
    </row>
    <row r="13296" spans="8:8" x14ac:dyDescent="0.3">
      <c r="H13296" t="str">
        <f t="shared" si="257"/>
        <v/>
      </c>
    </row>
    <row r="13297" spans="8:8" x14ac:dyDescent="0.3">
      <c r="H13297" t="str">
        <f t="shared" si="257"/>
        <v/>
      </c>
    </row>
    <row r="13298" spans="8:8" x14ac:dyDescent="0.3">
      <c r="H13298" t="str">
        <f t="shared" si="257"/>
        <v/>
      </c>
    </row>
    <row r="13299" spans="8:8" x14ac:dyDescent="0.3">
      <c r="H13299" t="str">
        <f t="shared" si="257"/>
        <v/>
      </c>
    </row>
    <row r="13300" spans="8:8" x14ac:dyDescent="0.3">
      <c r="H13300" t="str">
        <f t="shared" si="257"/>
        <v/>
      </c>
    </row>
    <row r="13301" spans="8:8" x14ac:dyDescent="0.3">
      <c r="H13301" t="str">
        <f t="shared" si="257"/>
        <v/>
      </c>
    </row>
    <row r="13302" spans="8:8" x14ac:dyDescent="0.3">
      <c r="H13302" t="str">
        <f t="shared" si="257"/>
        <v/>
      </c>
    </row>
    <row r="13303" spans="8:8" x14ac:dyDescent="0.3">
      <c r="H13303" t="str">
        <f t="shared" si="257"/>
        <v/>
      </c>
    </row>
    <row r="13304" spans="8:8" x14ac:dyDescent="0.3">
      <c r="H13304" t="str">
        <f t="shared" si="257"/>
        <v/>
      </c>
    </row>
    <row r="13305" spans="8:8" x14ac:dyDescent="0.3">
      <c r="H13305" t="str">
        <f t="shared" si="257"/>
        <v/>
      </c>
    </row>
    <row r="13306" spans="8:8" x14ac:dyDescent="0.3">
      <c r="H13306" t="str">
        <f t="shared" si="257"/>
        <v/>
      </c>
    </row>
    <row r="13307" spans="8:8" x14ac:dyDescent="0.3">
      <c r="H13307" t="str">
        <f t="shared" si="257"/>
        <v/>
      </c>
    </row>
    <row r="13308" spans="8:8" x14ac:dyDescent="0.3">
      <c r="H13308" t="str">
        <f t="shared" si="257"/>
        <v/>
      </c>
    </row>
    <row r="13309" spans="8:8" x14ac:dyDescent="0.3">
      <c r="H13309" t="str">
        <f t="shared" si="257"/>
        <v/>
      </c>
    </row>
    <row r="13310" spans="8:8" x14ac:dyDescent="0.3">
      <c r="H13310" t="str">
        <f t="shared" si="257"/>
        <v/>
      </c>
    </row>
    <row r="13311" spans="8:8" x14ac:dyDescent="0.3">
      <c r="H13311" t="str">
        <f t="shared" si="257"/>
        <v/>
      </c>
    </row>
    <row r="13312" spans="8:8" x14ac:dyDescent="0.3">
      <c r="H13312" t="str">
        <f t="shared" si="257"/>
        <v/>
      </c>
    </row>
    <row r="13313" spans="8:8" x14ac:dyDescent="0.3">
      <c r="H13313" t="str">
        <f t="shared" si="257"/>
        <v/>
      </c>
    </row>
    <row r="13314" spans="8:8" x14ac:dyDescent="0.3">
      <c r="H13314" t="str">
        <f t="shared" si="257"/>
        <v/>
      </c>
    </row>
    <row r="13315" spans="8:8" x14ac:dyDescent="0.3">
      <c r="H13315" t="str">
        <f t="shared" si="257"/>
        <v/>
      </c>
    </row>
    <row r="13316" spans="8:8" x14ac:dyDescent="0.3">
      <c r="H13316" t="str">
        <f t="shared" si="257"/>
        <v/>
      </c>
    </row>
    <row r="13317" spans="8:8" x14ac:dyDescent="0.3">
      <c r="H13317" t="str">
        <f t="shared" si="257"/>
        <v/>
      </c>
    </row>
    <row r="13318" spans="8:8" x14ac:dyDescent="0.3">
      <c r="H13318" t="str">
        <f t="shared" si="257"/>
        <v/>
      </c>
    </row>
    <row r="13319" spans="8:8" x14ac:dyDescent="0.3">
      <c r="H13319" t="str">
        <f t="shared" si="257"/>
        <v/>
      </c>
    </row>
    <row r="13320" spans="8:8" x14ac:dyDescent="0.3">
      <c r="H13320" t="str">
        <f t="shared" si="257"/>
        <v/>
      </c>
    </row>
    <row r="13321" spans="8:8" x14ac:dyDescent="0.3">
      <c r="H13321" t="str">
        <f t="shared" si="257"/>
        <v/>
      </c>
    </row>
    <row r="13322" spans="8:8" x14ac:dyDescent="0.3">
      <c r="H13322" t="str">
        <f t="shared" si="257"/>
        <v/>
      </c>
    </row>
    <row r="13323" spans="8:8" x14ac:dyDescent="0.3">
      <c r="H13323" t="str">
        <f t="shared" si="257"/>
        <v/>
      </c>
    </row>
    <row r="13324" spans="8:8" x14ac:dyDescent="0.3">
      <c r="H13324" t="str">
        <f t="shared" si="257"/>
        <v/>
      </c>
    </row>
    <row r="13325" spans="8:8" x14ac:dyDescent="0.3">
      <c r="H13325" t="str">
        <f t="shared" si="257"/>
        <v/>
      </c>
    </row>
    <row r="13326" spans="8:8" x14ac:dyDescent="0.3">
      <c r="H13326" t="str">
        <f t="shared" si="257"/>
        <v/>
      </c>
    </row>
    <row r="13327" spans="8:8" x14ac:dyDescent="0.3">
      <c r="H13327" t="str">
        <f t="shared" si="257"/>
        <v/>
      </c>
    </row>
    <row r="13328" spans="8:8" x14ac:dyDescent="0.3">
      <c r="H13328" t="str">
        <f t="shared" si="257"/>
        <v/>
      </c>
    </row>
    <row r="13329" spans="8:8" x14ac:dyDescent="0.3">
      <c r="H13329" t="str">
        <f t="shared" si="257"/>
        <v/>
      </c>
    </row>
    <row r="13330" spans="8:8" x14ac:dyDescent="0.3">
      <c r="H13330" t="str">
        <f t="shared" si="257"/>
        <v/>
      </c>
    </row>
    <row r="13331" spans="8:8" x14ac:dyDescent="0.3">
      <c r="H13331" t="str">
        <f t="shared" si="257"/>
        <v/>
      </c>
    </row>
    <row r="13332" spans="8:8" x14ac:dyDescent="0.3">
      <c r="H13332" t="str">
        <f t="shared" si="257"/>
        <v/>
      </c>
    </row>
    <row r="13333" spans="8:8" x14ac:dyDescent="0.3">
      <c r="H13333" t="str">
        <f t="shared" si="257"/>
        <v/>
      </c>
    </row>
    <row r="13334" spans="8:8" x14ac:dyDescent="0.3">
      <c r="H13334" t="str">
        <f t="shared" si="257"/>
        <v/>
      </c>
    </row>
    <row r="13335" spans="8:8" x14ac:dyDescent="0.3">
      <c r="H13335" t="str">
        <f t="shared" ref="H13335:H13398" si="258">IF(B13335="","",$C$12)</f>
        <v/>
      </c>
    </row>
    <row r="13336" spans="8:8" x14ac:dyDescent="0.3">
      <c r="H13336" t="str">
        <f t="shared" si="258"/>
        <v/>
      </c>
    </row>
    <row r="13337" spans="8:8" x14ac:dyDescent="0.3">
      <c r="H13337" t="str">
        <f t="shared" si="258"/>
        <v/>
      </c>
    </row>
    <row r="13338" spans="8:8" x14ac:dyDescent="0.3">
      <c r="H13338" t="str">
        <f t="shared" si="258"/>
        <v/>
      </c>
    </row>
    <row r="13339" spans="8:8" x14ac:dyDescent="0.3">
      <c r="H13339" t="str">
        <f t="shared" si="258"/>
        <v/>
      </c>
    </row>
    <row r="13340" spans="8:8" x14ac:dyDescent="0.3">
      <c r="H13340" t="str">
        <f t="shared" si="258"/>
        <v/>
      </c>
    </row>
    <row r="13341" spans="8:8" x14ac:dyDescent="0.3">
      <c r="H13341" t="str">
        <f t="shared" si="258"/>
        <v/>
      </c>
    </row>
    <row r="13342" spans="8:8" x14ac:dyDescent="0.3">
      <c r="H13342" t="str">
        <f t="shared" si="258"/>
        <v/>
      </c>
    </row>
    <row r="13343" spans="8:8" x14ac:dyDescent="0.3">
      <c r="H13343" t="str">
        <f t="shared" si="258"/>
        <v/>
      </c>
    </row>
    <row r="13344" spans="8:8" x14ac:dyDescent="0.3">
      <c r="H13344" t="str">
        <f t="shared" si="258"/>
        <v/>
      </c>
    </row>
    <row r="13345" spans="8:8" x14ac:dyDescent="0.3">
      <c r="H13345" t="str">
        <f t="shared" si="258"/>
        <v/>
      </c>
    </row>
    <row r="13346" spans="8:8" x14ac:dyDescent="0.3">
      <c r="H13346" t="str">
        <f t="shared" si="258"/>
        <v/>
      </c>
    </row>
    <row r="13347" spans="8:8" x14ac:dyDescent="0.3">
      <c r="H13347" t="str">
        <f t="shared" si="258"/>
        <v/>
      </c>
    </row>
    <row r="13348" spans="8:8" x14ac:dyDescent="0.3">
      <c r="H13348" t="str">
        <f t="shared" si="258"/>
        <v/>
      </c>
    </row>
    <row r="13349" spans="8:8" x14ac:dyDescent="0.3">
      <c r="H13349" t="str">
        <f t="shared" si="258"/>
        <v/>
      </c>
    </row>
    <row r="13350" spans="8:8" x14ac:dyDescent="0.3">
      <c r="H13350" t="str">
        <f t="shared" si="258"/>
        <v/>
      </c>
    </row>
    <row r="13351" spans="8:8" x14ac:dyDescent="0.3">
      <c r="H13351" t="str">
        <f t="shared" si="258"/>
        <v/>
      </c>
    </row>
    <row r="13352" spans="8:8" x14ac:dyDescent="0.3">
      <c r="H13352" t="str">
        <f t="shared" si="258"/>
        <v/>
      </c>
    </row>
    <row r="13353" spans="8:8" x14ac:dyDescent="0.3">
      <c r="H13353" t="str">
        <f t="shared" si="258"/>
        <v/>
      </c>
    </row>
    <row r="13354" spans="8:8" x14ac:dyDescent="0.3">
      <c r="H13354" t="str">
        <f t="shared" si="258"/>
        <v/>
      </c>
    </row>
    <row r="13355" spans="8:8" x14ac:dyDescent="0.3">
      <c r="H13355" t="str">
        <f t="shared" si="258"/>
        <v/>
      </c>
    </row>
    <row r="13356" spans="8:8" x14ac:dyDescent="0.3">
      <c r="H13356" t="str">
        <f t="shared" si="258"/>
        <v/>
      </c>
    </row>
    <row r="13357" spans="8:8" x14ac:dyDescent="0.3">
      <c r="H13357" t="str">
        <f t="shared" si="258"/>
        <v/>
      </c>
    </row>
    <row r="13358" spans="8:8" x14ac:dyDescent="0.3">
      <c r="H13358" t="str">
        <f t="shared" si="258"/>
        <v/>
      </c>
    </row>
    <row r="13359" spans="8:8" x14ac:dyDescent="0.3">
      <c r="H13359" t="str">
        <f t="shared" si="258"/>
        <v/>
      </c>
    </row>
    <row r="13360" spans="8:8" x14ac:dyDescent="0.3">
      <c r="H13360" t="str">
        <f t="shared" si="258"/>
        <v/>
      </c>
    </row>
    <row r="13361" spans="8:8" x14ac:dyDescent="0.3">
      <c r="H13361" t="str">
        <f t="shared" si="258"/>
        <v/>
      </c>
    </row>
    <row r="13362" spans="8:8" x14ac:dyDescent="0.3">
      <c r="H13362" t="str">
        <f t="shared" si="258"/>
        <v/>
      </c>
    </row>
    <row r="13363" spans="8:8" x14ac:dyDescent="0.3">
      <c r="H13363" t="str">
        <f t="shared" si="258"/>
        <v/>
      </c>
    </row>
    <row r="13364" spans="8:8" x14ac:dyDescent="0.3">
      <c r="H13364" t="str">
        <f t="shared" si="258"/>
        <v/>
      </c>
    </row>
    <row r="13365" spans="8:8" x14ac:dyDescent="0.3">
      <c r="H13365" t="str">
        <f t="shared" si="258"/>
        <v/>
      </c>
    </row>
    <row r="13366" spans="8:8" x14ac:dyDescent="0.3">
      <c r="H13366" t="str">
        <f t="shared" si="258"/>
        <v/>
      </c>
    </row>
    <row r="13367" spans="8:8" x14ac:dyDescent="0.3">
      <c r="H13367" t="str">
        <f t="shared" si="258"/>
        <v/>
      </c>
    </row>
    <row r="13368" spans="8:8" x14ac:dyDescent="0.3">
      <c r="H13368" t="str">
        <f t="shared" si="258"/>
        <v/>
      </c>
    </row>
    <row r="13369" spans="8:8" x14ac:dyDescent="0.3">
      <c r="H13369" t="str">
        <f t="shared" si="258"/>
        <v/>
      </c>
    </row>
    <row r="13370" spans="8:8" x14ac:dyDescent="0.3">
      <c r="H13370" t="str">
        <f t="shared" si="258"/>
        <v/>
      </c>
    </row>
    <row r="13371" spans="8:8" x14ac:dyDescent="0.3">
      <c r="H13371" t="str">
        <f t="shared" si="258"/>
        <v/>
      </c>
    </row>
    <row r="13372" spans="8:8" x14ac:dyDescent="0.3">
      <c r="H13372" t="str">
        <f t="shared" si="258"/>
        <v/>
      </c>
    </row>
    <row r="13373" spans="8:8" x14ac:dyDescent="0.3">
      <c r="H13373" t="str">
        <f t="shared" si="258"/>
        <v/>
      </c>
    </row>
    <row r="13374" spans="8:8" x14ac:dyDescent="0.3">
      <c r="H13374" t="str">
        <f t="shared" si="258"/>
        <v/>
      </c>
    </row>
    <row r="13375" spans="8:8" x14ac:dyDescent="0.3">
      <c r="H13375" t="str">
        <f t="shared" si="258"/>
        <v/>
      </c>
    </row>
    <row r="13376" spans="8:8" x14ac:dyDescent="0.3">
      <c r="H13376" t="str">
        <f t="shared" si="258"/>
        <v/>
      </c>
    </row>
    <row r="13377" spans="8:8" x14ac:dyDescent="0.3">
      <c r="H13377" t="str">
        <f t="shared" si="258"/>
        <v/>
      </c>
    </row>
    <row r="13378" spans="8:8" x14ac:dyDescent="0.3">
      <c r="H13378" t="str">
        <f t="shared" si="258"/>
        <v/>
      </c>
    </row>
    <row r="13379" spans="8:8" x14ac:dyDescent="0.3">
      <c r="H13379" t="str">
        <f t="shared" si="258"/>
        <v/>
      </c>
    </row>
    <row r="13380" spans="8:8" x14ac:dyDescent="0.3">
      <c r="H13380" t="str">
        <f t="shared" si="258"/>
        <v/>
      </c>
    </row>
    <row r="13381" spans="8:8" x14ac:dyDescent="0.3">
      <c r="H13381" t="str">
        <f t="shared" si="258"/>
        <v/>
      </c>
    </row>
    <row r="13382" spans="8:8" x14ac:dyDescent="0.3">
      <c r="H13382" t="str">
        <f t="shared" si="258"/>
        <v/>
      </c>
    </row>
    <row r="13383" spans="8:8" x14ac:dyDescent="0.3">
      <c r="H13383" t="str">
        <f t="shared" si="258"/>
        <v/>
      </c>
    </row>
    <row r="13384" spans="8:8" x14ac:dyDescent="0.3">
      <c r="H13384" t="str">
        <f t="shared" si="258"/>
        <v/>
      </c>
    </row>
    <row r="13385" spans="8:8" x14ac:dyDescent="0.3">
      <c r="H13385" t="str">
        <f t="shared" si="258"/>
        <v/>
      </c>
    </row>
    <row r="13386" spans="8:8" x14ac:dyDescent="0.3">
      <c r="H13386" t="str">
        <f t="shared" si="258"/>
        <v/>
      </c>
    </row>
    <row r="13387" spans="8:8" x14ac:dyDescent="0.3">
      <c r="H13387" t="str">
        <f t="shared" si="258"/>
        <v/>
      </c>
    </row>
    <row r="13388" spans="8:8" x14ac:dyDescent="0.3">
      <c r="H13388" t="str">
        <f t="shared" si="258"/>
        <v/>
      </c>
    </row>
    <row r="13389" spans="8:8" x14ac:dyDescent="0.3">
      <c r="H13389" t="str">
        <f t="shared" si="258"/>
        <v/>
      </c>
    </row>
    <row r="13390" spans="8:8" x14ac:dyDescent="0.3">
      <c r="H13390" t="str">
        <f t="shared" si="258"/>
        <v/>
      </c>
    </row>
    <row r="13391" spans="8:8" x14ac:dyDescent="0.3">
      <c r="H13391" t="str">
        <f t="shared" si="258"/>
        <v/>
      </c>
    </row>
    <row r="13392" spans="8:8" x14ac:dyDescent="0.3">
      <c r="H13392" t="str">
        <f t="shared" si="258"/>
        <v/>
      </c>
    </row>
    <row r="13393" spans="8:8" x14ac:dyDescent="0.3">
      <c r="H13393" t="str">
        <f t="shared" si="258"/>
        <v/>
      </c>
    </row>
    <row r="13394" spans="8:8" x14ac:dyDescent="0.3">
      <c r="H13394" t="str">
        <f t="shared" si="258"/>
        <v/>
      </c>
    </row>
    <row r="13395" spans="8:8" x14ac:dyDescent="0.3">
      <c r="H13395" t="str">
        <f t="shared" si="258"/>
        <v/>
      </c>
    </row>
    <row r="13396" spans="8:8" x14ac:dyDescent="0.3">
      <c r="H13396" t="str">
        <f t="shared" si="258"/>
        <v/>
      </c>
    </row>
    <row r="13397" spans="8:8" x14ac:dyDescent="0.3">
      <c r="H13397" t="str">
        <f t="shared" si="258"/>
        <v/>
      </c>
    </row>
    <row r="13398" spans="8:8" x14ac:dyDescent="0.3">
      <c r="H13398" t="str">
        <f t="shared" si="258"/>
        <v/>
      </c>
    </row>
    <row r="13399" spans="8:8" x14ac:dyDescent="0.3">
      <c r="H13399" t="str">
        <f t="shared" ref="H13399:H13462" si="259">IF(B13399="","",$C$12)</f>
        <v/>
      </c>
    </row>
    <row r="13400" spans="8:8" x14ac:dyDescent="0.3">
      <c r="H13400" t="str">
        <f t="shared" si="259"/>
        <v/>
      </c>
    </row>
    <row r="13401" spans="8:8" x14ac:dyDescent="0.3">
      <c r="H13401" t="str">
        <f t="shared" si="259"/>
        <v/>
      </c>
    </row>
    <row r="13402" spans="8:8" x14ac:dyDescent="0.3">
      <c r="H13402" t="str">
        <f t="shared" si="259"/>
        <v/>
      </c>
    </row>
    <row r="13403" spans="8:8" x14ac:dyDescent="0.3">
      <c r="H13403" t="str">
        <f t="shared" si="259"/>
        <v/>
      </c>
    </row>
    <row r="13404" spans="8:8" x14ac:dyDescent="0.3">
      <c r="H13404" t="str">
        <f t="shared" si="259"/>
        <v/>
      </c>
    </row>
    <row r="13405" spans="8:8" x14ac:dyDescent="0.3">
      <c r="H13405" t="str">
        <f t="shared" si="259"/>
        <v/>
      </c>
    </row>
    <row r="13406" spans="8:8" x14ac:dyDescent="0.3">
      <c r="H13406" t="str">
        <f t="shared" si="259"/>
        <v/>
      </c>
    </row>
    <row r="13407" spans="8:8" x14ac:dyDescent="0.3">
      <c r="H13407" t="str">
        <f t="shared" si="259"/>
        <v/>
      </c>
    </row>
    <row r="13408" spans="8:8" x14ac:dyDescent="0.3">
      <c r="H13408" t="str">
        <f t="shared" si="259"/>
        <v/>
      </c>
    </row>
    <row r="13409" spans="8:8" x14ac:dyDescent="0.3">
      <c r="H13409" t="str">
        <f t="shared" si="259"/>
        <v/>
      </c>
    </row>
    <row r="13410" spans="8:8" x14ac:dyDescent="0.3">
      <c r="H13410" t="str">
        <f t="shared" si="259"/>
        <v/>
      </c>
    </row>
    <row r="13411" spans="8:8" x14ac:dyDescent="0.3">
      <c r="H13411" t="str">
        <f t="shared" si="259"/>
        <v/>
      </c>
    </row>
    <row r="13412" spans="8:8" x14ac:dyDescent="0.3">
      <c r="H13412" t="str">
        <f t="shared" si="259"/>
        <v/>
      </c>
    </row>
    <row r="13413" spans="8:8" x14ac:dyDescent="0.3">
      <c r="H13413" t="str">
        <f t="shared" si="259"/>
        <v/>
      </c>
    </row>
    <row r="13414" spans="8:8" x14ac:dyDescent="0.3">
      <c r="H13414" t="str">
        <f t="shared" si="259"/>
        <v/>
      </c>
    </row>
    <row r="13415" spans="8:8" x14ac:dyDescent="0.3">
      <c r="H13415" t="str">
        <f t="shared" si="259"/>
        <v/>
      </c>
    </row>
    <row r="13416" spans="8:8" x14ac:dyDescent="0.3">
      <c r="H13416" t="str">
        <f t="shared" si="259"/>
        <v/>
      </c>
    </row>
    <row r="13417" spans="8:8" x14ac:dyDescent="0.3">
      <c r="H13417" t="str">
        <f t="shared" si="259"/>
        <v/>
      </c>
    </row>
    <row r="13418" spans="8:8" x14ac:dyDescent="0.3">
      <c r="H13418" t="str">
        <f t="shared" si="259"/>
        <v/>
      </c>
    </row>
    <row r="13419" spans="8:8" x14ac:dyDescent="0.3">
      <c r="H13419" t="str">
        <f t="shared" si="259"/>
        <v/>
      </c>
    </row>
    <row r="13420" spans="8:8" x14ac:dyDescent="0.3">
      <c r="H13420" t="str">
        <f t="shared" si="259"/>
        <v/>
      </c>
    </row>
    <row r="13421" spans="8:8" x14ac:dyDescent="0.3">
      <c r="H13421" t="str">
        <f t="shared" si="259"/>
        <v/>
      </c>
    </row>
    <row r="13422" spans="8:8" x14ac:dyDescent="0.3">
      <c r="H13422" t="str">
        <f t="shared" si="259"/>
        <v/>
      </c>
    </row>
    <row r="13423" spans="8:8" x14ac:dyDescent="0.3">
      <c r="H13423" t="str">
        <f t="shared" si="259"/>
        <v/>
      </c>
    </row>
    <row r="13424" spans="8:8" x14ac:dyDescent="0.3">
      <c r="H13424" t="str">
        <f t="shared" si="259"/>
        <v/>
      </c>
    </row>
    <row r="13425" spans="8:8" x14ac:dyDescent="0.3">
      <c r="H13425" t="str">
        <f t="shared" si="259"/>
        <v/>
      </c>
    </row>
    <row r="13426" spans="8:8" x14ac:dyDescent="0.3">
      <c r="H13426" t="str">
        <f t="shared" si="259"/>
        <v/>
      </c>
    </row>
    <row r="13427" spans="8:8" x14ac:dyDescent="0.3">
      <c r="H13427" t="str">
        <f t="shared" si="259"/>
        <v/>
      </c>
    </row>
    <row r="13428" spans="8:8" x14ac:dyDescent="0.3">
      <c r="H13428" t="str">
        <f t="shared" si="259"/>
        <v/>
      </c>
    </row>
    <row r="13429" spans="8:8" x14ac:dyDescent="0.3">
      <c r="H13429" t="str">
        <f t="shared" si="259"/>
        <v/>
      </c>
    </row>
    <row r="13430" spans="8:8" x14ac:dyDescent="0.3">
      <c r="H13430" t="str">
        <f t="shared" si="259"/>
        <v/>
      </c>
    </row>
    <row r="13431" spans="8:8" x14ac:dyDescent="0.3">
      <c r="H13431" t="str">
        <f t="shared" si="259"/>
        <v/>
      </c>
    </row>
    <row r="13432" spans="8:8" x14ac:dyDescent="0.3">
      <c r="H13432" t="str">
        <f t="shared" si="259"/>
        <v/>
      </c>
    </row>
    <row r="13433" spans="8:8" x14ac:dyDescent="0.3">
      <c r="H13433" t="str">
        <f t="shared" si="259"/>
        <v/>
      </c>
    </row>
    <row r="13434" spans="8:8" x14ac:dyDescent="0.3">
      <c r="H13434" t="str">
        <f t="shared" si="259"/>
        <v/>
      </c>
    </row>
    <row r="13435" spans="8:8" x14ac:dyDescent="0.3">
      <c r="H13435" t="str">
        <f t="shared" si="259"/>
        <v/>
      </c>
    </row>
    <row r="13436" spans="8:8" x14ac:dyDescent="0.3">
      <c r="H13436" t="str">
        <f t="shared" si="259"/>
        <v/>
      </c>
    </row>
    <row r="13437" spans="8:8" x14ac:dyDescent="0.3">
      <c r="H13437" t="str">
        <f t="shared" si="259"/>
        <v/>
      </c>
    </row>
    <row r="13438" spans="8:8" x14ac:dyDescent="0.3">
      <c r="H13438" t="str">
        <f t="shared" si="259"/>
        <v/>
      </c>
    </row>
    <row r="13439" spans="8:8" x14ac:dyDescent="0.3">
      <c r="H13439" t="str">
        <f t="shared" si="259"/>
        <v/>
      </c>
    </row>
    <row r="13440" spans="8:8" x14ac:dyDescent="0.3">
      <c r="H13440" t="str">
        <f t="shared" si="259"/>
        <v/>
      </c>
    </row>
    <row r="13441" spans="8:8" x14ac:dyDescent="0.3">
      <c r="H13441" t="str">
        <f t="shared" si="259"/>
        <v/>
      </c>
    </row>
    <row r="13442" spans="8:8" x14ac:dyDescent="0.3">
      <c r="H13442" t="str">
        <f t="shared" si="259"/>
        <v/>
      </c>
    </row>
    <row r="13443" spans="8:8" x14ac:dyDescent="0.3">
      <c r="H13443" t="str">
        <f t="shared" si="259"/>
        <v/>
      </c>
    </row>
    <row r="13444" spans="8:8" x14ac:dyDescent="0.3">
      <c r="H13444" t="str">
        <f t="shared" si="259"/>
        <v/>
      </c>
    </row>
    <row r="13445" spans="8:8" x14ac:dyDescent="0.3">
      <c r="H13445" t="str">
        <f t="shared" si="259"/>
        <v/>
      </c>
    </row>
    <row r="13446" spans="8:8" x14ac:dyDescent="0.3">
      <c r="H13446" t="str">
        <f t="shared" si="259"/>
        <v/>
      </c>
    </row>
    <row r="13447" spans="8:8" x14ac:dyDescent="0.3">
      <c r="H13447" t="str">
        <f t="shared" si="259"/>
        <v/>
      </c>
    </row>
    <row r="13448" spans="8:8" x14ac:dyDescent="0.3">
      <c r="H13448" t="str">
        <f t="shared" si="259"/>
        <v/>
      </c>
    </row>
    <row r="13449" spans="8:8" x14ac:dyDescent="0.3">
      <c r="H13449" t="str">
        <f t="shared" si="259"/>
        <v/>
      </c>
    </row>
    <row r="13450" spans="8:8" x14ac:dyDescent="0.3">
      <c r="H13450" t="str">
        <f t="shared" si="259"/>
        <v/>
      </c>
    </row>
    <row r="13451" spans="8:8" x14ac:dyDescent="0.3">
      <c r="H13451" t="str">
        <f t="shared" si="259"/>
        <v/>
      </c>
    </row>
    <row r="13452" spans="8:8" x14ac:dyDescent="0.3">
      <c r="H13452" t="str">
        <f t="shared" si="259"/>
        <v/>
      </c>
    </row>
    <row r="13453" spans="8:8" x14ac:dyDescent="0.3">
      <c r="H13453" t="str">
        <f t="shared" si="259"/>
        <v/>
      </c>
    </row>
    <row r="13454" spans="8:8" x14ac:dyDescent="0.3">
      <c r="H13454" t="str">
        <f t="shared" si="259"/>
        <v/>
      </c>
    </row>
    <row r="13455" spans="8:8" x14ac:dyDescent="0.3">
      <c r="H13455" t="str">
        <f t="shared" si="259"/>
        <v/>
      </c>
    </row>
    <row r="13456" spans="8:8" x14ac:dyDescent="0.3">
      <c r="H13456" t="str">
        <f t="shared" si="259"/>
        <v/>
      </c>
    </row>
    <row r="13457" spans="8:8" x14ac:dyDescent="0.3">
      <c r="H13457" t="str">
        <f t="shared" si="259"/>
        <v/>
      </c>
    </row>
    <row r="13458" spans="8:8" x14ac:dyDescent="0.3">
      <c r="H13458" t="str">
        <f t="shared" si="259"/>
        <v/>
      </c>
    </row>
    <row r="13459" spans="8:8" x14ac:dyDescent="0.3">
      <c r="H13459" t="str">
        <f t="shared" si="259"/>
        <v/>
      </c>
    </row>
    <row r="13460" spans="8:8" x14ac:dyDescent="0.3">
      <c r="H13460" t="str">
        <f t="shared" si="259"/>
        <v/>
      </c>
    </row>
    <row r="13461" spans="8:8" x14ac:dyDescent="0.3">
      <c r="H13461" t="str">
        <f t="shared" si="259"/>
        <v/>
      </c>
    </row>
    <row r="13462" spans="8:8" x14ac:dyDescent="0.3">
      <c r="H13462" t="str">
        <f t="shared" si="259"/>
        <v/>
      </c>
    </row>
    <row r="13463" spans="8:8" x14ac:dyDescent="0.3">
      <c r="H13463" t="str">
        <f t="shared" ref="H13463:H13526" si="260">IF(B13463="","",$C$12)</f>
        <v/>
      </c>
    </row>
    <row r="13464" spans="8:8" x14ac:dyDescent="0.3">
      <c r="H13464" t="str">
        <f t="shared" si="260"/>
        <v/>
      </c>
    </row>
    <row r="13465" spans="8:8" x14ac:dyDescent="0.3">
      <c r="H13465" t="str">
        <f t="shared" si="260"/>
        <v/>
      </c>
    </row>
    <row r="13466" spans="8:8" x14ac:dyDescent="0.3">
      <c r="H13466" t="str">
        <f t="shared" si="260"/>
        <v/>
      </c>
    </row>
    <row r="13467" spans="8:8" x14ac:dyDescent="0.3">
      <c r="H13467" t="str">
        <f t="shared" si="260"/>
        <v/>
      </c>
    </row>
    <row r="13468" spans="8:8" x14ac:dyDescent="0.3">
      <c r="H13468" t="str">
        <f t="shared" si="260"/>
        <v/>
      </c>
    </row>
    <row r="13469" spans="8:8" x14ac:dyDescent="0.3">
      <c r="H13469" t="str">
        <f t="shared" si="260"/>
        <v/>
      </c>
    </row>
    <row r="13470" spans="8:8" x14ac:dyDescent="0.3">
      <c r="H13470" t="str">
        <f t="shared" si="260"/>
        <v/>
      </c>
    </row>
    <row r="13471" spans="8:8" x14ac:dyDescent="0.3">
      <c r="H13471" t="str">
        <f t="shared" si="260"/>
        <v/>
      </c>
    </row>
    <row r="13472" spans="8:8" x14ac:dyDescent="0.3">
      <c r="H13472" t="str">
        <f t="shared" si="260"/>
        <v/>
      </c>
    </row>
    <row r="13473" spans="8:8" x14ac:dyDescent="0.3">
      <c r="H13473" t="str">
        <f t="shared" si="260"/>
        <v/>
      </c>
    </row>
    <row r="13474" spans="8:8" x14ac:dyDescent="0.3">
      <c r="H13474" t="str">
        <f t="shared" si="260"/>
        <v/>
      </c>
    </row>
    <row r="13475" spans="8:8" x14ac:dyDescent="0.3">
      <c r="H13475" t="str">
        <f t="shared" si="260"/>
        <v/>
      </c>
    </row>
    <row r="13476" spans="8:8" x14ac:dyDescent="0.3">
      <c r="H13476" t="str">
        <f t="shared" si="260"/>
        <v/>
      </c>
    </row>
    <row r="13477" spans="8:8" x14ac:dyDescent="0.3">
      <c r="H13477" t="str">
        <f t="shared" si="260"/>
        <v/>
      </c>
    </row>
    <row r="13478" spans="8:8" x14ac:dyDescent="0.3">
      <c r="H13478" t="str">
        <f t="shared" si="260"/>
        <v/>
      </c>
    </row>
    <row r="13479" spans="8:8" x14ac:dyDescent="0.3">
      <c r="H13479" t="str">
        <f t="shared" si="260"/>
        <v/>
      </c>
    </row>
    <row r="13480" spans="8:8" x14ac:dyDescent="0.3">
      <c r="H13480" t="str">
        <f t="shared" si="260"/>
        <v/>
      </c>
    </row>
    <row r="13481" spans="8:8" x14ac:dyDescent="0.3">
      <c r="H13481" t="str">
        <f t="shared" si="260"/>
        <v/>
      </c>
    </row>
    <row r="13482" spans="8:8" x14ac:dyDescent="0.3">
      <c r="H13482" t="str">
        <f t="shared" si="260"/>
        <v/>
      </c>
    </row>
    <row r="13483" spans="8:8" x14ac:dyDescent="0.3">
      <c r="H13483" t="str">
        <f t="shared" si="260"/>
        <v/>
      </c>
    </row>
    <row r="13484" spans="8:8" x14ac:dyDescent="0.3">
      <c r="H13484" t="str">
        <f t="shared" si="260"/>
        <v/>
      </c>
    </row>
    <row r="13485" spans="8:8" x14ac:dyDescent="0.3">
      <c r="H13485" t="str">
        <f t="shared" si="260"/>
        <v/>
      </c>
    </row>
    <row r="13486" spans="8:8" x14ac:dyDescent="0.3">
      <c r="H13486" t="str">
        <f t="shared" si="260"/>
        <v/>
      </c>
    </row>
    <row r="13487" spans="8:8" x14ac:dyDescent="0.3">
      <c r="H13487" t="str">
        <f t="shared" si="260"/>
        <v/>
      </c>
    </row>
    <row r="13488" spans="8:8" x14ac:dyDescent="0.3">
      <c r="H13488" t="str">
        <f t="shared" si="260"/>
        <v/>
      </c>
    </row>
    <row r="13489" spans="8:8" x14ac:dyDescent="0.3">
      <c r="H13489" t="str">
        <f t="shared" si="260"/>
        <v/>
      </c>
    </row>
    <row r="13490" spans="8:8" x14ac:dyDescent="0.3">
      <c r="H13490" t="str">
        <f t="shared" si="260"/>
        <v/>
      </c>
    </row>
    <row r="13491" spans="8:8" x14ac:dyDescent="0.3">
      <c r="H13491" t="str">
        <f t="shared" si="260"/>
        <v/>
      </c>
    </row>
    <row r="13492" spans="8:8" x14ac:dyDescent="0.3">
      <c r="H13492" t="str">
        <f t="shared" si="260"/>
        <v/>
      </c>
    </row>
    <row r="13493" spans="8:8" x14ac:dyDescent="0.3">
      <c r="H13493" t="str">
        <f t="shared" si="260"/>
        <v/>
      </c>
    </row>
    <row r="13494" spans="8:8" x14ac:dyDescent="0.3">
      <c r="H13494" t="str">
        <f t="shared" si="260"/>
        <v/>
      </c>
    </row>
    <row r="13495" spans="8:8" x14ac:dyDescent="0.3">
      <c r="H13495" t="str">
        <f t="shared" si="260"/>
        <v/>
      </c>
    </row>
    <row r="13496" spans="8:8" x14ac:dyDescent="0.3">
      <c r="H13496" t="str">
        <f t="shared" si="260"/>
        <v/>
      </c>
    </row>
    <row r="13497" spans="8:8" x14ac:dyDescent="0.3">
      <c r="H13497" t="str">
        <f t="shared" si="260"/>
        <v/>
      </c>
    </row>
    <row r="13498" spans="8:8" x14ac:dyDescent="0.3">
      <c r="H13498" t="str">
        <f t="shared" si="260"/>
        <v/>
      </c>
    </row>
    <row r="13499" spans="8:8" x14ac:dyDescent="0.3">
      <c r="H13499" t="str">
        <f t="shared" si="260"/>
        <v/>
      </c>
    </row>
    <row r="13500" spans="8:8" x14ac:dyDescent="0.3">
      <c r="H13500" t="str">
        <f t="shared" si="260"/>
        <v/>
      </c>
    </row>
    <row r="13501" spans="8:8" x14ac:dyDescent="0.3">
      <c r="H13501" t="str">
        <f t="shared" si="260"/>
        <v/>
      </c>
    </row>
    <row r="13502" spans="8:8" x14ac:dyDescent="0.3">
      <c r="H13502" t="str">
        <f t="shared" si="260"/>
        <v/>
      </c>
    </row>
    <row r="13503" spans="8:8" x14ac:dyDescent="0.3">
      <c r="H13503" t="str">
        <f t="shared" si="260"/>
        <v/>
      </c>
    </row>
    <row r="13504" spans="8:8" x14ac:dyDescent="0.3">
      <c r="H13504" t="str">
        <f t="shared" si="260"/>
        <v/>
      </c>
    </row>
    <row r="13505" spans="8:8" x14ac:dyDescent="0.3">
      <c r="H13505" t="str">
        <f t="shared" si="260"/>
        <v/>
      </c>
    </row>
    <row r="13506" spans="8:8" x14ac:dyDescent="0.3">
      <c r="H13506" t="str">
        <f t="shared" si="260"/>
        <v/>
      </c>
    </row>
    <row r="13507" spans="8:8" x14ac:dyDescent="0.3">
      <c r="H13507" t="str">
        <f t="shared" si="260"/>
        <v/>
      </c>
    </row>
    <row r="13508" spans="8:8" x14ac:dyDescent="0.3">
      <c r="H13508" t="str">
        <f t="shared" si="260"/>
        <v/>
      </c>
    </row>
    <row r="13509" spans="8:8" x14ac:dyDescent="0.3">
      <c r="H13509" t="str">
        <f t="shared" si="260"/>
        <v/>
      </c>
    </row>
    <row r="13510" spans="8:8" x14ac:dyDescent="0.3">
      <c r="H13510" t="str">
        <f t="shared" si="260"/>
        <v/>
      </c>
    </row>
    <row r="13511" spans="8:8" x14ac:dyDescent="0.3">
      <c r="H13511" t="str">
        <f t="shared" si="260"/>
        <v/>
      </c>
    </row>
    <row r="13512" spans="8:8" x14ac:dyDescent="0.3">
      <c r="H13512" t="str">
        <f t="shared" si="260"/>
        <v/>
      </c>
    </row>
    <row r="13513" spans="8:8" x14ac:dyDescent="0.3">
      <c r="H13513" t="str">
        <f t="shared" si="260"/>
        <v/>
      </c>
    </row>
    <row r="13514" spans="8:8" x14ac:dyDescent="0.3">
      <c r="H13514" t="str">
        <f t="shared" si="260"/>
        <v/>
      </c>
    </row>
    <row r="13515" spans="8:8" x14ac:dyDescent="0.3">
      <c r="H13515" t="str">
        <f t="shared" si="260"/>
        <v/>
      </c>
    </row>
    <row r="13516" spans="8:8" x14ac:dyDescent="0.3">
      <c r="H13516" t="str">
        <f t="shared" si="260"/>
        <v/>
      </c>
    </row>
    <row r="13517" spans="8:8" x14ac:dyDescent="0.3">
      <c r="H13517" t="str">
        <f t="shared" si="260"/>
        <v/>
      </c>
    </row>
    <row r="13518" spans="8:8" x14ac:dyDescent="0.3">
      <c r="H13518" t="str">
        <f t="shared" si="260"/>
        <v/>
      </c>
    </row>
    <row r="13519" spans="8:8" x14ac:dyDescent="0.3">
      <c r="H13519" t="str">
        <f t="shared" si="260"/>
        <v/>
      </c>
    </row>
    <row r="13520" spans="8:8" x14ac:dyDescent="0.3">
      <c r="H13520" t="str">
        <f t="shared" si="260"/>
        <v/>
      </c>
    </row>
    <row r="13521" spans="8:8" x14ac:dyDescent="0.3">
      <c r="H13521" t="str">
        <f t="shared" si="260"/>
        <v/>
      </c>
    </row>
    <row r="13522" spans="8:8" x14ac:dyDescent="0.3">
      <c r="H13522" t="str">
        <f t="shared" si="260"/>
        <v/>
      </c>
    </row>
    <row r="13523" spans="8:8" x14ac:dyDescent="0.3">
      <c r="H13523" t="str">
        <f t="shared" si="260"/>
        <v/>
      </c>
    </row>
    <row r="13524" spans="8:8" x14ac:dyDescent="0.3">
      <c r="H13524" t="str">
        <f t="shared" si="260"/>
        <v/>
      </c>
    </row>
    <row r="13525" spans="8:8" x14ac:dyDescent="0.3">
      <c r="H13525" t="str">
        <f t="shared" si="260"/>
        <v/>
      </c>
    </row>
    <row r="13526" spans="8:8" x14ac:dyDescent="0.3">
      <c r="H13526" t="str">
        <f t="shared" si="260"/>
        <v/>
      </c>
    </row>
    <row r="13527" spans="8:8" x14ac:dyDescent="0.3">
      <c r="H13527" t="str">
        <f t="shared" ref="H13527:H13590" si="261">IF(B13527="","",$C$12)</f>
        <v/>
      </c>
    </row>
    <row r="13528" spans="8:8" x14ac:dyDescent="0.3">
      <c r="H13528" t="str">
        <f t="shared" si="261"/>
        <v/>
      </c>
    </row>
    <row r="13529" spans="8:8" x14ac:dyDescent="0.3">
      <c r="H13529" t="str">
        <f t="shared" si="261"/>
        <v/>
      </c>
    </row>
    <row r="13530" spans="8:8" x14ac:dyDescent="0.3">
      <c r="H13530" t="str">
        <f t="shared" si="261"/>
        <v/>
      </c>
    </row>
    <row r="13531" spans="8:8" x14ac:dyDescent="0.3">
      <c r="H13531" t="str">
        <f t="shared" si="261"/>
        <v/>
      </c>
    </row>
    <row r="13532" spans="8:8" x14ac:dyDescent="0.3">
      <c r="H13532" t="str">
        <f t="shared" si="261"/>
        <v/>
      </c>
    </row>
    <row r="13533" spans="8:8" x14ac:dyDescent="0.3">
      <c r="H13533" t="str">
        <f t="shared" si="261"/>
        <v/>
      </c>
    </row>
    <row r="13534" spans="8:8" x14ac:dyDescent="0.3">
      <c r="H13534" t="str">
        <f t="shared" si="261"/>
        <v/>
      </c>
    </row>
    <row r="13535" spans="8:8" x14ac:dyDescent="0.3">
      <c r="H13535" t="str">
        <f t="shared" si="261"/>
        <v/>
      </c>
    </row>
    <row r="13536" spans="8:8" x14ac:dyDescent="0.3">
      <c r="H13536" t="str">
        <f t="shared" si="261"/>
        <v/>
      </c>
    </row>
    <row r="13537" spans="8:8" x14ac:dyDescent="0.3">
      <c r="H13537" t="str">
        <f t="shared" si="261"/>
        <v/>
      </c>
    </row>
    <row r="13538" spans="8:8" x14ac:dyDescent="0.3">
      <c r="H13538" t="str">
        <f t="shared" si="261"/>
        <v/>
      </c>
    </row>
    <row r="13539" spans="8:8" x14ac:dyDescent="0.3">
      <c r="H13539" t="str">
        <f t="shared" si="261"/>
        <v/>
      </c>
    </row>
    <row r="13540" spans="8:8" x14ac:dyDescent="0.3">
      <c r="H13540" t="str">
        <f t="shared" si="261"/>
        <v/>
      </c>
    </row>
    <row r="13541" spans="8:8" x14ac:dyDescent="0.3">
      <c r="H13541" t="str">
        <f t="shared" si="261"/>
        <v/>
      </c>
    </row>
    <row r="13542" spans="8:8" x14ac:dyDescent="0.3">
      <c r="H13542" t="str">
        <f t="shared" si="261"/>
        <v/>
      </c>
    </row>
    <row r="13543" spans="8:8" x14ac:dyDescent="0.3">
      <c r="H13543" t="str">
        <f t="shared" si="261"/>
        <v/>
      </c>
    </row>
    <row r="13544" spans="8:8" x14ac:dyDescent="0.3">
      <c r="H13544" t="str">
        <f t="shared" si="261"/>
        <v/>
      </c>
    </row>
    <row r="13545" spans="8:8" x14ac:dyDescent="0.3">
      <c r="H13545" t="str">
        <f t="shared" si="261"/>
        <v/>
      </c>
    </row>
    <row r="13546" spans="8:8" x14ac:dyDescent="0.3">
      <c r="H13546" t="str">
        <f t="shared" si="261"/>
        <v/>
      </c>
    </row>
    <row r="13547" spans="8:8" x14ac:dyDescent="0.3">
      <c r="H13547" t="str">
        <f t="shared" si="261"/>
        <v/>
      </c>
    </row>
    <row r="13548" spans="8:8" x14ac:dyDescent="0.3">
      <c r="H13548" t="str">
        <f t="shared" si="261"/>
        <v/>
      </c>
    </row>
    <row r="13549" spans="8:8" x14ac:dyDescent="0.3">
      <c r="H13549" t="str">
        <f t="shared" si="261"/>
        <v/>
      </c>
    </row>
    <row r="13550" spans="8:8" x14ac:dyDescent="0.3">
      <c r="H13550" t="str">
        <f t="shared" si="261"/>
        <v/>
      </c>
    </row>
    <row r="13551" spans="8:8" x14ac:dyDescent="0.3">
      <c r="H13551" t="str">
        <f t="shared" si="261"/>
        <v/>
      </c>
    </row>
    <row r="13552" spans="8:8" x14ac:dyDescent="0.3">
      <c r="H13552" t="str">
        <f t="shared" si="261"/>
        <v/>
      </c>
    </row>
    <row r="13553" spans="8:8" x14ac:dyDescent="0.3">
      <c r="H13553" t="str">
        <f t="shared" si="261"/>
        <v/>
      </c>
    </row>
    <row r="13554" spans="8:8" x14ac:dyDescent="0.3">
      <c r="H13554" t="str">
        <f t="shared" si="261"/>
        <v/>
      </c>
    </row>
    <row r="13555" spans="8:8" x14ac:dyDescent="0.3">
      <c r="H13555" t="str">
        <f t="shared" si="261"/>
        <v/>
      </c>
    </row>
    <row r="13556" spans="8:8" x14ac:dyDescent="0.3">
      <c r="H13556" t="str">
        <f t="shared" si="261"/>
        <v/>
      </c>
    </row>
    <row r="13557" spans="8:8" x14ac:dyDescent="0.3">
      <c r="H13557" t="str">
        <f t="shared" si="261"/>
        <v/>
      </c>
    </row>
    <row r="13558" spans="8:8" x14ac:dyDescent="0.3">
      <c r="H13558" t="str">
        <f t="shared" si="261"/>
        <v/>
      </c>
    </row>
    <row r="13559" spans="8:8" x14ac:dyDescent="0.3">
      <c r="H13559" t="str">
        <f t="shared" si="261"/>
        <v/>
      </c>
    </row>
    <row r="13560" spans="8:8" x14ac:dyDescent="0.3">
      <c r="H13560" t="str">
        <f t="shared" si="261"/>
        <v/>
      </c>
    </row>
    <row r="13561" spans="8:8" x14ac:dyDescent="0.3">
      <c r="H13561" t="str">
        <f t="shared" si="261"/>
        <v/>
      </c>
    </row>
    <row r="13562" spans="8:8" x14ac:dyDescent="0.3">
      <c r="H13562" t="str">
        <f t="shared" si="261"/>
        <v/>
      </c>
    </row>
    <row r="13563" spans="8:8" x14ac:dyDescent="0.3">
      <c r="H13563" t="str">
        <f t="shared" si="261"/>
        <v/>
      </c>
    </row>
    <row r="13564" spans="8:8" x14ac:dyDescent="0.3">
      <c r="H13564" t="str">
        <f t="shared" si="261"/>
        <v/>
      </c>
    </row>
    <row r="13565" spans="8:8" x14ac:dyDescent="0.3">
      <c r="H13565" t="str">
        <f t="shared" si="261"/>
        <v/>
      </c>
    </row>
    <row r="13566" spans="8:8" x14ac:dyDescent="0.3">
      <c r="H13566" t="str">
        <f t="shared" si="261"/>
        <v/>
      </c>
    </row>
    <row r="13567" spans="8:8" x14ac:dyDescent="0.3">
      <c r="H13567" t="str">
        <f t="shared" si="261"/>
        <v/>
      </c>
    </row>
    <row r="13568" spans="8:8" x14ac:dyDescent="0.3">
      <c r="H13568" t="str">
        <f t="shared" si="261"/>
        <v/>
      </c>
    </row>
    <row r="13569" spans="8:8" x14ac:dyDescent="0.3">
      <c r="H13569" t="str">
        <f t="shared" si="261"/>
        <v/>
      </c>
    </row>
    <row r="13570" spans="8:8" x14ac:dyDescent="0.3">
      <c r="H13570" t="str">
        <f t="shared" si="261"/>
        <v/>
      </c>
    </row>
    <row r="13571" spans="8:8" x14ac:dyDescent="0.3">
      <c r="H13571" t="str">
        <f t="shared" si="261"/>
        <v/>
      </c>
    </row>
    <row r="13572" spans="8:8" x14ac:dyDescent="0.3">
      <c r="H13572" t="str">
        <f t="shared" si="261"/>
        <v/>
      </c>
    </row>
    <row r="13573" spans="8:8" x14ac:dyDescent="0.3">
      <c r="H13573" t="str">
        <f t="shared" si="261"/>
        <v/>
      </c>
    </row>
    <row r="13574" spans="8:8" x14ac:dyDescent="0.3">
      <c r="H13574" t="str">
        <f t="shared" si="261"/>
        <v/>
      </c>
    </row>
    <row r="13575" spans="8:8" x14ac:dyDescent="0.3">
      <c r="H13575" t="str">
        <f t="shared" si="261"/>
        <v/>
      </c>
    </row>
    <row r="13576" spans="8:8" x14ac:dyDescent="0.3">
      <c r="H13576" t="str">
        <f t="shared" si="261"/>
        <v/>
      </c>
    </row>
    <row r="13577" spans="8:8" x14ac:dyDescent="0.3">
      <c r="H13577" t="str">
        <f t="shared" si="261"/>
        <v/>
      </c>
    </row>
    <row r="13578" spans="8:8" x14ac:dyDescent="0.3">
      <c r="H13578" t="str">
        <f t="shared" si="261"/>
        <v/>
      </c>
    </row>
    <row r="13579" spans="8:8" x14ac:dyDescent="0.3">
      <c r="H13579" t="str">
        <f t="shared" si="261"/>
        <v/>
      </c>
    </row>
    <row r="13580" spans="8:8" x14ac:dyDescent="0.3">
      <c r="H13580" t="str">
        <f t="shared" si="261"/>
        <v/>
      </c>
    </row>
    <row r="13581" spans="8:8" x14ac:dyDescent="0.3">
      <c r="H13581" t="str">
        <f t="shared" si="261"/>
        <v/>
      </c>
    </row>
    <row r="13582" spans="8:8" x14ac:dyDescent="0.3">
      <c r="H13582" t="str">
        <f t="shared" si="261"/>
        <v/>
      </c>
    </row>
    <row r="13583" spans="8:8" x14ac:dyDescent="0.3">
      <c r="H13583" t="str">
        <f t="shared" si="261"/>
        <v/>
      </c>
    </row>
    <row r="13584" spans="8:8" x14ac:dyDescent="0.3">
      <c r="H13584" t="str">
        <f t="shared" si="261"/>
        <v/>
      </c>
    </row>
    <row r="13585" spans="8:8" x14ac:dyDescent="0.3">
      <c r="H13585" t="str">
        <f t="shared" si="261"/>
        <v/>
      </c>
    </row>
    <row r="13586" spans="8:8" x14ac:dyDescent="0.3">
      <c r="H13586" t="str">
        <f t="shared" si="261"/>
        <v/>
      </c>
    </row>
    <row r="13587" spans="8:8" x14ac:dyDescent="0.3">
      <c r="H13587" t="str">
        <f t="shared" si="261"/>
        <v/>
      </c>
    </row>
    <row r="13588" spans="8:8" x14ac:dyDescent="0.3">
      <c r="H13588" t="str">
        <f t="shared" si="261"/>
        <v/>
      </c>
    </row>
    <row r="13589" spans="8:8" x14ac:dyDescent="0.3">
      <c r="H13589" t="str">
        <f t="shared" si="261"/>
        <v/>
      </c>
    </row>
    <row r="13590" spans="8:8" x14ac:dyDescent="0.3">
      <c r="H13590" t="str">
        <f t="shared" si="261"/>
        <v/>
      </c>
    </row>
    <row r="13591" spans="8:8" x14ac:dyDescent="0.3">
      <c r="H13591" t="str">
        <f t="shared" ref="H13591:H13654" si="262">IF(B13591="","",$C$12)</f>
        <v/>
      </c>
    </row>
    <row r="13592" spans="8:8" x14ac:dyDescent="0.3">
      <c r="H13592" t="str">
        <f t="shared" si="262"/>
        <v/>
      </c>
    </row>
    <row r="13593" spans="8:8" x14ac:dyDescent="0.3">
      <c r="H13593" t="str">
        <f t="shared" si="262"/>
        <v/>
      </c>
    </row>
    <row r="13594" spans="8:8" x14ac:dyDescent="0.3">
      <c r="H13594" t="str">
        <f t="shared" si="262"/>
        <v/>
      </c>
    </row>
    <row r="13595" spans="8:8" x14ac:dyDescent="0.3">
      <c r="H13595" t="str">
        <f t="shared" si="262"/>
        <v/>
      </c>
    </row>
    <row r="13596" spans="8:8" x14ac:dyDescent="0.3">
      <c r="H13596" t="str">
        <f t="shared" si="262"/>
        <v/>
      </c>
    </row>
    <row r="13597" spans="8:8" x14ac:dyDescent="0.3">
      <c r="H13597" t="str">
        <f t="shared" si="262"/>
        <v/>
      </c>
    </row>
    <row r="13598" spans="8:8" x14ac:dyDescent="0.3">
      <c r="H13598" t="str">
        <f t="shared" si="262"/>
        <v/>
      </c>
    </row>
    <row r="13599" spans="8:8" x14ac:dyDescent="0.3">
      <c r="H13599" t="str">
        <f t="shared" si="262"/>
        <v/>
      </c>
    </row>
    <row r="13600" spans="8:8" x14ac:dyDescent="0.3">
      <c r="H13600" t="str">
        <f t="shared" si="262"/>
        <v/>
      </c>
    </row>
    <row r="13601" spans="8:8" x14ac:dyDescent="0.3">
      <c r="H13601" t="str">
        <f t="shared" si="262"/>
        <v/>
      </c>
    </row>
    <row r="13602" spans="8:8" x14ac:dyDescent="0.3">
      <c r="H13602" t="str">
        <f t="shared" si="262"/>
        <v/>
      </c>
    </row>
    <row r="13603" spans="8:8" x14ac:dyDescent="0.3">
      <c r="H13603" t="str">
        <f t="shared" si="262"/>
        <v/>
      </c>
    </row>
    <row r="13604" spans="8:8" x14ac:dyDescent="0.3">
      <c r="H13604" t="str">
        <f t="shared" si="262"/>
        <v/>
      </c>
    </row>
    <row r="13605" spans="8:8" x14ac:dyDescent="0.3">
      <c r="H13605" t="str">
        <f t="shared" si="262"/>
        <v/>
      </c>
    </row>
    <row r="13606" spans="8:8" x14ac:dyDescent="0.3">
      <c r="H13606" t="str">
        <f t="shared" si="262"/>
        <v/>
      </c>
    </row>
    <row r="13607" spans="8:8" x14ac:dyDescent="0.3">
      <c r="H13607" t="str">
        <f t="shared" si="262"/>
        <v/>
      </c>
    </row>
    <row r="13608" spans="8:8" x14ac:dyDescent="0.3">
      <c r="H13608" t="str">
        <f t="shared" si="262"/>
        <v/>
      </c>
    </row>
    <row r="13609" spans="8:8" x14ac:dyDescent="0.3">
      <c r="H13609" t="str">
        <f t="shared" si="262"/>
        <v/>
      </c>
    </row>
    <row r="13610" spans="8:8" x14ac:dyDescent="0.3">
      <c r="H13610" t="str">
        <f t="shared" si="262"/>
        <v/>
      </c>
    </row>
    <row r="13611" spans="8:8" x14ac:dyDescent="0.3">
      <c r="H13611" t="str">
        <f t="shared" si="262"/>
        <v/>
      </c>
    </row>
    <row r="13612" spans="8:8" x14ac:dyDescent="0.3">
      <c r="H13612" t="str">
        <f t="shared" si="262"/>
        <v/>
      </c>
    </row>
    <row r="13613" spans="8:8" x14ac:dyDescent="0.3">
      <c r="H13613" t="str">
        <f t="shared" si="262"/>
        <v/>
      </c>
    </row>
    <row r="13614" spans="8:8" x14ac:dyDescent="0.3">
      <c r="H13614" t="str">
        <f t="shared" si="262"/>
        <v/>
      </c>
    </row>
    <row r="13615" spans="8:8" x14ac:dyDescent="0.3">
      <c r="H13615" t="str">
        <f t="shared" si="262"/>
        <v/>
      </c>
    </row>
    <row r="13616" spans="8:8" x14ac:dyDescent="0.3">
      <c r="H13616" t="str">
        <f t="shared" si="262"/>
        <v/>
      </c>
    </row>
    <row r="13617" spans="8:8" x14ac:dyDescent="0.3">
      <c r="H13617" t="str">
        <f t="shared" si="262"/>
        <v/>
      </c>
    </row>
    <row r="13618" spans="8:8" x14ac:dyDescent="0.3">
      <c r="H13618" t="str">
        <f t="shared" si="262"/>
        <v/>
      </c>
    </row>
    <row r="13619" spans="8:8" x14ac:dyDescent="0.3">
      <c r="H13619" t="str">
        <f t="shared" si="262"/>
        <v/>
      </c>
    </row>
    <row r="13620" spans="8:8" x14ac:dyDescent="0.3">
      <c r="H13620" t="str">
        <f t="shared" si="262"/>
        <v/>
      </c>
    </row>
    <row r="13621" spans="8:8" x14ac:dyDescent="0.3">
      <c r="H13621" t="str">
        <f t="shared" si="262"/>
        <v/>
      </c>
    </row>
    <row r="13622" spans="8:8" x14ac:dyDescent="0.3">
      <c r="H13622" t="str">
        <f t="shared" si="262"/>
        <v/>
      </c>
    </row>
    <row r="13623" spans="8:8" x14ac:dyDescent="0.3">
      <c r="H13623" t="str">
        <f t="shared" si="262"/>
        <v/>
      </c>
    </row>
    <row r="13624" spans="8:8" x14ac:dyDescent="0.3">
      <c r="H13624" t="str">
        <f t="shared" si="262"/>
        <v/>
      </c>
    </row>
    <row r="13625" spans="8:8" x14ac:dyDescent="0.3">
      <c r="H13625" t="str">
        <f t="shared" si="262"/>
        <v/>
      </c>
    </row>
    <row r="13626" spans="8:8" x14ac:dyDescent="0.3">
      <c r="H13626" t="str">
        <f t="shared" si="262"/>
        <v/>
      </c>
    </row>
    <row r="13627" spans="8:8" x14ac:dyDescent="0.3">
      <c r="H13627" t="str">
        <f t="shared" si="262"/>
        <v/>
      </c>
    </row>
    <row r="13628" spans="8:8" x14ac:dyDescent="0.3">
      <c r="H13628" t="str">
        <f t="shared" si="262"/>
        <v/>
      </c>
    </row>
    <row r="13629" spans="8:8" x14ac:dyDescent="0.3">
      <c r="H13629" t="str">
        <f t="shared" si="262"/>
        <v/>
      </c>
    </row>
    <row r="13630" spans="8:8" x14ac:dyDescent="0.3">
      <c r="H13630" t="str">
        <f t="shared" si="262"/>
        <v/>
      </c>
    </row>
    <row r="13631" spans="8:8" x14ac:dyDescent="0.3">
      <c r="H13631" t="str">
        <f t="shared" si="262"/>
        <v/>
      </c>
    </row>
    <row r="13632" spans="8:8" x14ac:dyDescent="0.3">
      <c r="H13632" t="str">
        <f t="shared" si="262"/>
        <v/>
      </c>
    </row>
    <row r="13633" spans="8:8" x14ac:dyDescent="0.3">
      <c r="H13633" t="str">
        <f t="shared" si="262"/>
        <v/>
      </c>
    </row>
    <row r="13634" spans="8:8" x14ac:dyDescent="0.3">
      <c r="H13634" t="str">
        <f t="shared" si="262"/>
        <v/>
      </c>
    </row>
    <row r="13635" spans="8:8" x14ac:dyDescent="0.3">
      <c r="H13635" t="str">
        <f t="shared" si="262"/>
        <v/>
      </c>
    </row>
    <row r="13636" spans="8:8" x14ac:dyDescent="0.3">
      <c r="H13636" t="str">
        <f t="shared" si="262"/>
        <v/>
      </c>
    </row>
    <row r="13637" spans="8:8" x14ac:dyDescent="0.3">
      <c r="H13637" t="str">
        <f t="shared" si="262"/>
        <v/>
      </c>
    </row>
    <row r="13638" spans="8:8" x14ac:dyDescent="0.3">
      <c r="H13638" t="str">
        <f t="shared" si="262"/>
        <v/>
      </c>
    </row>
    <row r="13639" spans="8:8" x14ac:dyDescent="0.3">
      <c r="H13639" t="str">
        <f t="shared" si="262"/>
        <v/>
      </c>
    </row>
    <row r="13640" spans="8:8" x14ac:dyDescent="0.3">
      <c r="H13640" t="str">
        <f t="shared" si="262"/>
        <v/>
      </c>
    </row>
    <row r="13641" spans="8:8" x14ac:dyDescent="0.3">
      <c r="H13641" t="str">
        <f t="shared" si="262"/>
        <v/>
      </c>
    </row>
    <row r="13642" spans="8:8" x14ac:dyDescent="0.3">
      <c r="H13642" t="str">
        <f t="shared" si="262"/>
        <v/>
      </c>
    </row>
    <row r="13643" spans="8:8" x14ac:dyDescent="0.3">
      <c r="H13643" t="str">
        <f t="shared" si="262"/>
        <v/>
      </c>
    </row>
    <row r="13644" spans="8:8" x14ac:dyDescent="0.3">
      <c r="H13644" t="str">
        <f t="shared" si="262"/>
        <v/>
      </c>
    </row>
    <row r="13645" spans="8:8" x14ac:dyDescent="0.3">
      <c r="H13645" t="str">
        <f t="shared" si="262"/>
        <v/>
      </c>
    </row>
    <row r="13646" spans="8:8" x14ac:dyDescent="0.3">
      <c r="H13646" t="str">
        <f t="shared" si="262"/>
        <v/>
      </c>
    </row>
    <row r="13647" spans="8:8" x14ac:dyDescent="0.3">
      <c r="H13647" t="str">
        <f t="shared" si="262"/>
        <v/>
      </c>
    </row>
    <row r="13648" spans="8:8" x14ac:dyDescent="0.3">
      <c r="H13648" t="str">
        <f t="shared" si="262"/>
        <v/>
      </c>
    </row>
    <row r="13649" spans="8:8" x14ac:dyDescent="0.3">
      <c r="H13649" t="str">
        <f t="shared" si="262"/>
        <v/>
      </c>
    </row>
    <row r="13650" spans="8:8" x14ac:dyDescent="0.3">
      <c r="H13650" t="str">
        <f t="shared" si="262"/>
        <v/>
      </c>
    </row>
    <row r="13651" spans="8:8" x14ac:dyDescent="0.3">
      <c r="H13651" t="str">
        <f t="shared" si="262"/>
        <v/>
      </c>
    </row>
    <row r="13652" spans="8:8" x14ac:dyDescent="0.3">
      <c r="H13652" t="str">
        <f t="shared" si="262"/>
        <v/>
      </c>
    </row>
    <row r="13653" spans="8:8" x14ac:dyDescent="0.3">
      <c r="H13653" t="str">
        <f t="shared" si="262"/>
        <v/>
      </c>
    </row>
    <row r="13654" spans="8:8" x14ac:dyDescent="0.3">
      <c r="H13654" t="str">
        <f t="shared" si="262"/>
        <v/>
      </c>
    </row>
    <row r="13655" spans="8:8" x14ac:dyDescent="0.3">
      <c r="H13655" t="str">
        <f t="shared" ref="H13655:H13718" si="263">IF(B13655="","",$C$12)</f>
        <v/>
      </c>
    </row>
    <row r="13656" spans="8:8" x14ac:dyDescent="0.3">
      <c r="H13656" t="str">
        <f t="shared" si="263"/>
        <v/>
      </c>
    </row>
    <row r="13657" spans="8:8" x14ac:dyDescent="0.3">
      <c r="H13657" t="str">
        <f t="shared" si="263"/>
        <v/>
      </c>
    </row>
    <row r="13658" spans="8:8" x14ac:dyDescent="0.3">
      <c r="H13658" t="str">
        <f t="shared" si="263"/>
        <v/>
      </c>
    </row>
    <row r="13659" spans="8:8" x14ac:dyDescent="0.3">
      <c r="H13659" t="str">
        <f t="shared" si="263"/>
        <v/>
      </c>
    </row>
    <row r="13660" spans="8:8" x14ac:dyDescent="0.3">
      <c r="H13660" t="str">
        <f t="shared" si="263"/>
        <v/>
      </c>
    </row>
    <row r="13661" spans="8:8" x14ac:dyDescent="0.3">
      <c r="H13661" t="str">
        <f t="shared" si="263"/>
        <v/>
      </c>
    </row>
    <row r="13662" spans="8:8" x14ac:dyDescent="0.3">
      <c r="H13662" t="str">
        <f t="shared" si="263"/>
        <v/>
      </c>
    </row>
    <row r="13663" spans="8:8" x14ac:dyDescent="0.3">
      <c r="H13663" t="str">
        <f t="shared" si="263"/>
        <v/>
      </c>
    </row>
    <row r="13664" spans="8:8" x14ac:dyDescent="0.3">
      <c r="H13664" t="str">
        <f t="shared" si="263"/>
        <v/>
      </c>
    </row>
    <row r="13665" spans="8:8" x14ac:dyDescent="0.3">
      <c r="H13665" t="str">
        <f t="shared" si="263"/>
        <v/>
      </c>
    </row>
    <row r="13666" spans="8:8" x14ac:dyDescent="0.3">
      <c r="H13666" t="str">
        <f t="shared" si="263"/>
        <v/>
      </c>
    </row>
    <row r="13667" spans="8:8" x14ac:dyDescent="0.3">
      <c r="H13667" t="str">
        <f t="shared" si="263"/>
        <v/>
      </c>
    </row>
    <row r="13668" spans="8:8" x14ac:dyDescent="0.3">
      <c r="H13668" t="str">
        <f t="shared" si="263"/>
        <v/>
      </c>
    </row>
    <row r="13669" spans="8:8" x14ac:dyDescent="0.3">
      <c r="H13669" t="str">
        <f t="shared" si="263"/>
        <v/>
      </c>
    </row>
    <row r="13670" spans="8:8" x14ac:dyDescent="0.3">
      <c r="H13670" t="str">
        <f t="shared" si="263"/>
        <v/>
      </c>
    </row>
    <row r="13671" spans="8:8" x14ac:dyDescent="0.3">
      <c r="H13671" t="str">
        <f t="shared" si="263"/>
        <v/>
      </c>
    </row>
    <row r="13672" spans="8:8" x14ac:dyDescent="0.3">
      <c r="H13672" t="str">
        <f t="shared" si="263"/>
        <v/>
      </c>
    </row>
    <row r="13673" spans="8:8" x14ac:dyDescent="0.3">
      <c r="H13673" t="str">
        <f t="shared" si="263"/>
        <v/>
      </c>
    </row>
    <row r="13674" spans="8:8" x14ac:dyDescent="0.3">
      <c r="H13674" t="str">
        <f t="shared" si="263"/>
        <v/>
      </c>
    </row>
    <row r="13675" spans="8:8" x14ac:dyDescent="0.3">
      <c r="H13675" t="str">
        <f t="shared" si="263"/>
        <v/>
      </c>
    </row>
    <row r="13676" spans="8:8" x14ac:dyDescent="0.3">
      <c r="H13676" t="str">
        <f t="shared" si="263"/>
        <v/>
      </c>
    </row>
    <row r="13677" spans="8:8" x14ac:dyDescent="0.3">
      <c r="H13677" t="str">
        <f t="shared" si="263"/>
        <v/>
      </c>
    </row>
    <row r="13678" spans="8:8" x14ac:dyDescent="0.3">
      <c r="H13678" t="str">
        <f t="shared" si="263"/>
        <v/>
      </c>
    </row>
    <row r="13679" spans="8:8" x14ac:dyDescent="0.3">
      <c r="H13679" t="str">
        <f t="shared" si="263"/>
        <v/>
      </c>
    </row>
    <row r="13680" spans="8:8" x14ac:dyDescent="0.3">
      <c r="H13680" t="str">
        <f t="shared" si="263"/>
        <v/>
      </c>
    </row>
    <row r="13681" spans="8:8" x14ac:dyDescent="0.3">
      <c r="H13681" t="str">
        <f t="shared" si="263"/>
        <v/>
      </c>
    </row>
    <row r="13682" spans="8:8" x14ac:dyDescent="0.3">
      <c r="H13682" t="str">
        <f t="shared" si="263"/>
        <v/>
      </c>
    </row>
    <row r="13683" spans="8:8" x14ac:dyDescent="0.3">
      <c r="H13683" t="str">
        <f t="shared" si="263"/>
        <v/>
      </c>
    </row>
    <row r="13684" spans="8:8" x14ac:dyDescent="0.3">
      <c r="H13684" t="str">
        <f t="shared" si="263"/>
        <v/>
      </c>
    </row>
    <row r="13685" spans="8:8" x14ac:dyDescent="0.3">
      <c r="H13685" t="str">
        <f t="shared" si="263"/>
        <v/>
      </c>
    </row>
    <row r="13686" spans="8:8" x14ac:dyDescent="0.3">
      <c r="H13686" t="str">
        <f t="shared" si="263"/>
        <v/>
      </c>
    </row>
    <row r="13687" spans="8:8" x14ac:dyDescent="0.3">
      <c r="H13687" t="str">
        <f t="shared" si="263"/>
        <v/>
      </c>
    </row>
    <row r="13688" spans="8:8" x14ac:dyDescent="0.3">
      <c r="H13688" t="str">
        <f t="shared" si="263"/>
        <v/>
      </c>
    </row>
    <row r="13689" spans="8:8" x14ac:dyDescent="0.3">
      <c r="H13689" t="str">
        <f t="shared" si="263"/>
        <v/>
      </c>
    </row>
    <row r="13690" spans="8:8" x14ac:dyDescent="0.3">
      <c r="H13690" t="str">
        <f t="shared" si="263"/>
        <v/>
      </c>
    </row>
    <row r="13691" spans="8:8" x14ac:dyDescent="0.3">
      <c r="H13691" t="str">
        <f t="shared" si="263"/>
        <v/>
      </c>
    </row>
    <row r="13692" spans="8:8" x14ac:dyDescent="0.3">
      <c r="H13692" t="str">
        <f t="shared" si="263"/>
        <v/>
      </c>
    </row>
    <row r="13693" spans="8:8" x14ac:dyDescent="0.3">
      <c r="H13693" t="str">
        <f t="shared" si="263"/>
        <v/>
      </c>
    </row>
    <row r="13694" spans="8:8" x14ac:dyDescent="0.3">
      <c r="H13694" t="str">
        <f t="shared" si="263"/>
        <v/>
      </c>
    </row>
    <row r="13695" spans="8:8" x14ac:dyDescent="0.3">
      <c r="H13695" t="str">
        <f t="shared" si="263"/>
        <v/>
      </c>
    </row>
    <row r="13696" spans="8:8" x14ac:dyDescent="0.3">
      <c r="H13696" t="str">
        <f t="shared" si="263"/>
        <v/>
      </c>
    </row>
    <row r="13697" spans="8:8" x14ac:dyDescent="0.3">
      <c r="H13697" t="str">
        <f t="shared" si="263"/>
        <v/>
      </c>
    </row>
    <row r="13698" spans="8:8" x14ac:dyDescent="0.3">
      <c r="H13698" t="str">
        <f t="shared" si="263"/>
        <v/>
      </c>
    </row>
    <row r="13699" spans="8:8" x14ac:dyDescent="0.3">
      <c r="H13699" t="str">
        <f t="shared" si="263"/>
        <v/>
      </c>
    </row>
    <row r="13700" spans="8:8" x14ac:dyDescent="0.3">
      <c r="H13700" t="str">
        <f t="shared" si="263"/>
        <v/>
      </c>
    </row>
    <row r="13701" spans="8:8" x14ac:dyDescent="0.3">
      <c r="H13701" t="str">
        <f t="shared" si="263"/>
        <v/>
      </c>
    </row>
    <row r="13702" spans="8:8" x14ac:dyDescent="0.3">
      <c r="H13702" t="str">
        <f t="shared" si="263"/>
        <v/>
      </c>
    </row>
    <row r="13703" spans="8:8" x14ac:dyDescent="0.3">
      <c r="H13703" t="str">
        <f t="shared" si="263"/>
        <v/>
      </c>
    </row>
    <row r="13704" spans="8:8" x14ac:dyDescent="0.3">
      <c r="H13704" t="str">
        <f t="shared" si="263"/>
        <v/>
      </c>
    </row>
    <row r="13705" spans="8:8" x14ac:dyDescent="0.3">
      <c r="H13705" t="str">
        <f t="shared" si="263"/>
        <v/>
      </c>
    </row>
    <row r="13706" spans="8:8" x14ac:dyDescent="0.3">
      <c r="H13706" t="str">
        <f t="shared" si="263"/>
        <v/>
      </c>
    </row>
    <row r="13707" spans="8:8" x14ac:dyDescent="0.3">
      <c r="H13707" t="str">
        <f t="shared" si="263"/>
        <v/>
      </c>
    </row>
    <row r="13708" spans="8:8" x14ac:dyDescent="0.3">
      <c r="H13708" t="str">
        <f t="shared" si="263"/>
        <v/>
      </c>
    </row>
    <row r="13709" spans="8:8" x14ac:dyDescent="0.3">
      <c r="H13709" t="str">
        <f t="shared" si="263"/>
        <v/>
      </c>
    </row>
    <row r="13710" spans="8:8" x14ac:dyDescent="0.3">
      <c r="H13710" t="str">
        <f t="shared" si="263"/>
        <v/>
      </c>
    </row>
    <row r="13711" spans="8:8" x14ac:dyDescent="0.3">
      <c r="H13711" t="str">
        <f t="shared" si="263"/>
        <v/>
      </c>
    </row>
    <row r="13712" spans="8:8" x14ac:dyDescent="0.3">
      <c r="H13712" t="str">
        <f t="shared" si="263"/>
        <v/>
      </c>
    </row>
    <row r="13713" spans="8:8" x14ac:dyDescent="0.3">
      <c r="H13713" t="str">
        <f t="shared" si="263"/>
        <v/>
      </c>
    </row>
    <row r="13714" spans="8:8" x14ac:dyDescent="0.3">
      <c r="H13714" t="str">
        <f t="shared" si="263"/>
        <v/>
      </c>
    </row>
    <row r="13715" spans="8:8" x14ac:dyDescent="0.3">
      <c r="H13715" t="str">
        <f t="shared" si="263"/>
        <v/>
      </c>
    </row>
    <row r="13716" spans="8:8" x14ac:dyDescent="0.3">
      <c r="H13716" t="str">
        <f t="shared" si="263"/>
        <v/>
      </c>
    </row>
    <row r="13717" spans="8:8" x14ac:dyDescent="0.3">
      <c r="H13717" t="str">
        <f t="shared" si="263"/>
        <v/>
      </c>
    </row>
    <row r="13718" spans="8:8" x14ac:dyDescent="0.3">
      <c r="H13718" t="str">
        <f t="shared" si="263"/>
        <v/>
      </c>
    </row>
    <row r="13719" spans="8:8" x14ac:dyDescent="0.3">
      <c r="H13719" t="str">
        <f t="shared" ref="H13719:H13782" si="264">IF(B13719="","",$C$12)</f>
        <v/>
      </c>
    </row>
    <row r="13720" spans="8:8" x14ac:dyDescent="0.3">
      <c r="H13720" t="str">
        <f t="shared" si="264"/>
        <v/>
      </c>
    </row>
    <row r="13721" spans="8:8" x14ac:dyDescent="0.3">
      <c r="H13721" t="str">
        <f t="shared" si="264"/>
        <v/>
      </c>
    </row>
    <row r="13722" spans="8:8" x14ac:dyDescent="0.3">
      <c r="H13722" t="str">
        <f t="shared" si="264"/>
        <v/>
      </c>
    </row>
    <row r="13723" spans="8:8" x14ac:dyDescent="0.3">
      <c r="H13723" t="str">
        <f t="shared" si="264"/>
        <v/>
      </c>
    </row>
    <row r="13724" spans="8:8" x14ac:dyDescent="0.3">
      <c r="H13724" t="str">
        <f t="shared" si="264"/>
        <v/>
      </c>
    </row>
    <row r="13725" spans="8:8" x14ac:dyDescent="0.3">
      <c r="H13725" t="str">
        <f t="shared" si="264"/>
        <v/>
      </c>
    </row>
    <row r="13726" spans="8:8" x14ac:dyDescent="0.3">
      <c r="H13726" t="str">
        <f t="shared" si="264"/>
        <v/>
      </c>
    </row>
    <row r="13727" spans="8:8" x14ac:dyDescent="0.3">
      <c r="H13727" t="str">
        <f t="shared" si="264"/>
        <v/>
      </c>
    </row>
    <row r="13728" spans="8:8" x14ac:dyDescent="0.3">
      <c r="H13728" t="str">
        <f t="shared" si="264"/>
        <v/>
      </c>
    </row>
    <row r="13729" spans="8:8" x14ac:dyDescent="0.3">
      <c r="H13729" t="str">
        <f t="shared" si="264"/>
        <v/>
      </c>
    </row>
    <row r="13730" spans="8:8" x14ac:dyDescent="0.3">
      <c r="H13730" t="str">
        <f t="shared" si="264"/>
        <v/>
      </c>
    </row>
    <row r="13731" spans="8:8" x14ac:dyDescent="0.3">
      <c r="H13731" t="str">
        <f t="shared" si="264"/>
        <v/>
      </c>
    </row>
    <row r="13732" spans="8:8" x14ac:dyDescent="0.3">
      <c r="H13732" t="str">
        <f t="shared" si="264"/>
        <v/>
      </c>
    </row>
    <row r="13733" spans="8:8" x14ac:dyDescent="0.3">
      <c r="H13733" t="str">
        <f t="shared" si="264"/>
        <v/>
      </c>
    </row>
    <row r="13734" spans="8:8" x14ac:dyDescent="0.3">
      <c r="H13734" t="str">
        <f t="shared" si="264"/>
        <v/>
      </c>
    </row>
    <row r="13735" spans="8:8" x14ac:dyDescent="0.3">
      <c r="H13735" t="str">
        <f t="shared" si="264"/>
        <v/>
      </c>
    </row>
    <row r="13736" spans="8:8" x14ac:dyDescent="0.3">
      <c r="H13736" t="str">
        <f t="shared" si="264"/>
        <v/>
      </c>
    </row>
    <row r="13737" spans="8:8" x14ac:dyDescent="0.3">
      <c r="H13737" t="str">
        <f t="shared" si="264"/>
        <v/>
      </c>
    </row>
    <row r="13738" spans="8:8" x14ac:dyDescent="0.3">
      <c r="H13738" t="str">
        <f t="shared" si="264"/>
        <v/>
      </c>
    </row>
    <row r="13739" spans="8:8" x14ac:dyDescent="0.3">
      <c r="H13739" t="str">
        <f t="shared" si="264"/>
        <v/>
      </c>
    </row>
    <row r="13740" spans="8:8" x14ac:dyDescent="0.3">
      <c r="H13740" t="str">
        <f t="shared" si="264"/>
        <v/>
      </c>
    </row>
    <row r="13741" spans="8:8" x14ac:dyDescent="0.3">
      <c r="H13741" t="str">
        <f t="shared" si="264"/>
        <v/>
      </c>
    </row>
    <row r="13742" spans="8:8" x14ac:dyDescent="0.3">
      <c r="H13742" t="str">
        <f t="shared" si="264"/>
        <v/>
      </c>
    </row>
    <row r="13743" spans="8:8" x14ac:dyDescent="0.3">
      <c r="H13743" t="str">
        <f t="shared" si="264"/>
        <v/>
      </c>
    </row>
    <row r="13744" spans="8:8" x14ac:dyDescent="0.3">
      <c r="H13744" t="str">
        <f t="shared" si="264"/>
        <v/>
      </c>
    </row>
    <row r="13745" spans="8:8" x14ac:dyDescent="0.3">
      <c r="H13745" t="str">
        <f t="shared" si="264"/>
        <v/>
      </c>
    </row>
    <row r="13746" spans="8:8" x14ac:dyDescent="0.3">
      <c r="H13746" t="str">
        <f t="shared" si="264"/>
        <v/>
      </c>
    </row>
    <row r="13747" spans="8:8" x14ac:dyDescent="0.3">
      <c r="H13747" t="str">
        <f t="shared" si="264"/>
        <v/>
      </c>
    </row>
    <row r="13748" spans="8:8" x14ac:dyDescent="0.3">
      <c r="H13748" t="str">
        <f t="shared" si="264"/>
        <v/>
      </c>
    </row>
    <row r="13749" spans="8:8" x14ac:dyDescent="0.3">
      <c r="H13749" t="str">
        <f t="shared" si="264"/>
        <v/>
      </c>
    </row>
    <row r="13750" spans="8:8" x14ac:dyDescent="0.3">
      <c r="H13750" t="str">
        <f t="shared" si="264"/>
        <v/>
      </c>
    </row>
    <row r="13751" spans="8:8" x14ac:dyDescent="0.3">
      <c r="H13751" t="str">
        <f t="shared" si="264"/>
        <v/>
      </c>
    </row>
    <row r="13752" spans="8:8" x14ac:dyDescent="0.3">
      <c r="H13752" t="str">
        <f t="shared" si="264"/>
        <v/>
      </c>
    </row>
    <row r="13753" spans="8:8" x14ac:dyDescent="0.3">
      <c r="H13753" t="str">
        <f t="shared" si="264"/>
        <v/>
      </c>
    </row>
    <row r="13754" spans="8:8" x14ac:dyDescent="0.3">
      <c r="H13754" t="str">
        <f t="shared" si="264"/>
        <v/>
      </c>
    </row>
    <row r="13755" spans="8:8" x14ac:dyDescent="0.3">
      <c r="H13755" t="str">
        <f t="shared" si="264"/>
        <v/>
      </c>
    </row>
    <row r="13756" spans="8:8" x14ac:dyDescent="0.3">
      <c r="H13756" t="str">
        <f t="shared" si="264"/>
        <v/>
      </c>
    </row>
    <row r="13757" spans="8:8" x14ac:dyDescent="0.3">
      <c r="H13757" t="str">
        <f t="shared" si="264"/>
        <v/>
      </c>
    </row>
    <row r="13758" spans="8:8" x14ac:dyDescent="0.3">
      <c r="H13758" t="str">
        <f t="shared" si="264"/>
        <v/>
      </c>
    </row>
    <row r="13759" spans="8:8" x14ac:dyDescent="0.3">
      <c r="H13759" t="str">
        <f t="shared" si="264"/>
        <v/>
      </c>
    </row>
    <row r="13760" spans="8:8" x14ac:dyDescent="0.3">
      <c r="H13760" t="str">
        <f t="shared" si="264"/>
        <v/>
      </c>
    </row>
    <row r="13761" spans="8:8" x14ac:dyDescent="0.3">
      <c r="H13761" t="str">
        <f t="shared" si="264"/>
        <v/>
      </c>
    </row>
    <row r="13762" spans="8:8" x14ac:dyDescent="0.3">
      <c r="H13762" t="str">
        <f t="shared" si="264"/>
        <v/>
      </c>
    </row>
    <row r="13763" spans="8:8" x14ac:dyDescent="0.3">
      <c r="H13763" t="str">
        <f t="shared" si="264"/>
        <v/>
      </c>
    </row>
    <row r="13764" spans="8:8" x14ac:dyDescent="0.3">
      <c r="H13764" t="str">
        <f t="shared" si="264"/>
        <v/>
      </c>
    </row>
    <row r="13765" spans="8:8" x14ac:dyDescent="0.3">
      <c r="H13765" t="str">
        <f t="shared" si="264"/>
        <v/>
      </c>
    </row>
    <row r="13766" spans="8:8" x14ac:dyDescent="0.3">
      <c r="H13766" t="str">
        <f t="shared" si="264"/>
        <v/>
      </c>
    </row>
    <row r="13767" spans="8:8" x14ac:dyDescent="0.3">
      <c r="H13767" t="str">
        <f t="shared" si="264"/>
        <v/>
      </c>
    </row>
    <row r="13768" spans="8:8" x14ac:dyDescent="0.3">
      <c r="H13768" t="str">
        <f t="shared" si="264"/>
        <v/>
      </c>
    </row>
    <row r="13769" spans="8:8" x14ac:dyDescent="0.3">
      <c r="H13769" t="str">
        <f t="shared" si="264"/>
        <v/>
      </c>
    </row>
    <row r="13770" spans="8:8" x14ac:dyDescent="0.3">
      <c r="H13770" t="str">
        <f t="shared" si="264"/>
        <v/>
      </c>
    </row>
    <row r="13771" spans="8:8" x14ac:dyDescent="0.3">
      <c r="H13771" t="str">
        <f t="shared" si="264"/>
        <v/>
      </c>
    </row>
    <row r="13772" spans="8:8" x14ac:dyDescent="0.3">
      <c r="H13772" t="str">
        <f t="shared" si="264"/>
        <v/>
      </c>
    </row>
    <row r="13773" spans="8:8" x14ac:dyDescent="0.3">
      <c r="H13773" t="str">
        <f t="shared" si="264"/>
        <v/>
      </c>
    </row>
    <row r="13774" spans="8:8" x14ac:dyDescent="0.3">
      <c r="H13774" t="str">
        <f t="shared" si="264"/>
        <v/>
      </c>
    </row>
    <row r="13775" spans="8:8" x14ac:dyDescent="0.3">
      <c r="H13775" t="str">
        <f t="shared" si="264"/>
        <v/>
      </c>
    </row>
    <row r="13776" spans="8:8" x14ac:dyDescent="0.3">
      <c r="H13776" t="str">
        <f t="shared" si="264"/>
        <v/>
      </c>
    </row>
    <row r="13777" spans="8:8" x14ac:dyDescent="0.3">
      <c r="H13777" t="str">
        <f t="shared" si="264"/>
        <v/>
      </c>
    </row>
    <row r="13778" spans="8:8" x14ac:dyDescent="0.3">
      <c r="H13778" t="str">
        <f t="shared" si="264"/>
        <v/>
      </c>
    </row>
    <row r="13779" spans="8:8" x14ac:dyDescent="0.3">
      <c r="H13779" t="str">
        <f t="shared" si="264"/>
        <v/>
      </c>
    </row>
    <row r="13780" spans="8:8" x14ac:dyDescent="0.3">
      <c r="H13780" t="str">
        <f t="shared" si="264"/>
        <v/>
      </c>
    </row>
    <row r="13781" spans="8:8" x14ac:dyDescent="0.3">
      <c r="H13781" t="str">
        <f t="shared" si="264"/>
        <v/>
      </c>
    </row>
    <row r="13782" spans="8:8" x14ac:dyDescent="0.3">
      <c r="H13782" t="str">
        <f t="shared" si="264"/>
        <v/>
      </c>
    </row>
    <row r="13783" spans="8:8" x14ac:dyDescent="0.3">
      <c r="H13783" t="str">
        <f t="shared" ref="H13783:H13846" si="265">IF(B13783="","",$C$12)</f>
        <v/>
      </c>
    </row>
    <row r="13784" spans="8:8" x14ac:dyDescent="0.3">
      <c r="H13784" t="str">
        <f t="shared" si="265"/>
        <v/>
      </c>
    </row>
    <row r="13785" spans="8:8" x14ac:dyDescent="0.3">
      <c r="H13785" t="str">
        <f t="shared" si="265"/>
        <v/>
      </c>
    </row>
    <row r="13786" spans="8:8" x14ac:dyDescent="0.3">
      <c r="H13786" t="str">
        <f t="shared" si="265"/>
        <v/>
      </c>
    </row>
    <row r="13787" spans="8:8" x14ac:dyDescent="0.3">
      <c r="H13787" t="str">
        <f t="shared" si="265"/>
        <v/>
      </c>
    </row>
    <row r="13788" spans="8:8" x14ac:dyDescent="0.3">
      <c r="H13788" t="str">
        <f t="shared" si="265"/>
        <v/>
      </c>
    </row>
    <row r="13789" spans="8:8" x14ac:dyDescent="0.3">
      <c r="H13789" t="str">
        <f t="shared" si="265"/>
        <v/>
      </c>
    </row>
    <row r="13790" spans="8:8" x14ac:dyDescent="0.3">
      <c r="H13790" t="str">
        <f t="shared" si="265"/>
        <v/>
      </c>
    </row>
    <row r="13791" spans="8:8" x14ac:dyDescent="0.3">
      <c r="H13791" t="str">
        <f t="shared" si="265"/>
        <v/>
      </c>
    </row>
    <row r="13792" spans="8:8" x14ac:dyDescent="0.3">
      <c r="H13792" t="str">
        <f t="shared" si="265"/>
        <v/>
      </c>
    </row>
    <row r="13793" spans="8:8" x14ac:dyDescent="0.3">
      <c r="H13793" t="str">
        <f t="shared" si="265"/>
        <v/>
      </c>
    </row>
    <row r="13794" spans="8:8" x14ac:dyDescent="0.3">
      <c r="H13794" t="str">
        <f t="shared" si="265"/>
        <v/>
      </c>
    </row>
    <row r="13795" spans="8:8" x14ac:dyDescent="0.3">
      <c r="H13795" t="str">
        <f t="shared" si="265"/>
        <v/>
      </c>
    </row>
    <row r="13796" spans="8:8" x14ac:dyDescent="0.3">
      <c r="H13796" t="str">
        <f t="shared" si="265"/>
        <v/>
      </c>
    </row>
    <row r="13797" spans="8:8" x14ac:dyDescent="0.3">
      <c r="H13797" t="str">
        <f t="shared" si="265"/>
        <v/>
      </c>
    </row>
    <row r="13798" spans="8:8" x14ac:dyDescent="0.3">
      <c r="H13798" t="str">
        <f t="shared" si="265"/>
        <v/>
      </c>
    </row>
    <row r="13799" spans="8:8" x14ac:dyDescent="0.3">
      <c r="H13799" t="str">
        <f t="shared" si="265"/>
        <v/>
      </c>
    </row>
    <row r="13800" spans="8:8" x14ac:dyDescent="0.3">
      <c r="H13800" t="str">
        <f t="shared" si="265"/>
        <v/>
      </c>
    </row>
    <row r="13801" spans="8:8" x14ac:dyDescent="0.3">
      <c r="H13801" t="str">
        <f t="shared" si="265"/>
        <v/>
      </c>
    </row>
    <row r="13802" spans="8:8" x14ac:dyDescent="0.3">
      <c r="H13802" t="str">
        <f t="shared" si="265"/>
        <v/>
      </c>
    </row>
    <row r="13803" spans="8:8" x14ac:dyDescent="0.3">
      <c r="H13803" t="str">
        <f t="shared" si="265"/>
        <v/>
      </c>
    </row>
    <row r="13804" spans="8:8" x14ac:dyDescent="0.3">
      <c r="H13804" t="str">
        <f t="shared" si="265"/>
        <v/>
      </c>
    </row>
    <row r="13805" spans="8:8" x14ac:dyDescent="0.3">
      <c r="H13805" t="str">
        <f t="shared" si="265"/>
        <v/>
      </c>
    </row>
    <row r="13806" spans="8:8" x14ac:dyDescent="0.3">
      <c r="H13806" t="str">
        <f t="shared" si="265"/>
        <v/>
      </c>
    </row>
    <row r="13807" spans="8:8" x14ac:dyDescent="0.3">
      <c r="H13807" t="str">
        <f t="shared" si="265"/>
        <v/>
      </c>
    </row>
    <row r="13808" spans="8:8" x14ac:dyDescent="0.3">
      <c r="H13808" t="str">
        <f t="shared" si="265"/>
        <v/>
      </c>
    </row>
    <row r="13809" spans="8:8" x14ac:dyDescent="0.3">
      <c r="H13809" t="str">
        <f t="shared" si="265"/>
        <v/>
      </c>
    </row>
    <row r="13810" spans="8:8" x14ac:dyDescent="0.3">
      <c r="H13810" t="str">
        <f t="shared" si="265"/>
        <v/>
      </c>
    </row>
    <row r="13811" spans="8:8" x14ac:dyDescent="0.3">
      <c r="H13811" t="str">
        <f t="shared" si="265"/>
        <v/>
      </c>
    </row>
    <row r="13812" spans="8:8" x14ac:dyDescent="0.3">
      <c r="H13812" t="str">
        <f t="shared" si="265"/>
        <v/>
      </c>
    </row>
    <row r="13813" spans="8:8" x14ac:dyDescent="0.3">
      <c r="H13813" t="str">
        <f t="shared" si="265"/>
        <v/>
      </c>
    </row>
    <row r="13814" spans="8:8" x14ac:dyDescent="0.3">
      <c r="H13814" t="str">
        <f t="shared" si="265"/>
        <v/>
      </c>
    </row>
    <row r="13815" spans="8:8" x14ac:dyDescent="0.3">
      <c r="H13815" t="str">
        <f t="shared" si="265"/>
        <v/>
      </c>
    </row>
    <row r="13816" spans="8:8" x14ac:dyDescent="0.3">
      <c r="H13816" t="str">
        <f t="shared" si="265"/>
        <v/>
      </c>
    </row>
    <row r="13817" spans="8:8" x14ac:dyDescent="0.3">
      <c r="H13817" t="str">
        <f t="shared" si="265"/>
        <v/>
      </c>
    </row>
    <row r="13818" spans="8:8" x14ac:dyDescent="0.3">
      <c r="H13818" t="str">
        <f t="shared" si="265"/>
        <v/>
      </c>
    </row>
    <row r="13819" spans="8:8" x14ac:dyDescent="0.3">
      <c r="H13819" t="str">
        <f t="shared" si="265"/>
        <v/>
      </c>
    </row>
    <row r="13820" spans="8:8" x14ac:dyDescent="0.3">
      <c r="H13820" t="str">
        <f t="shared" si="265"/>
        <v/>
      </c>
    </row>
    <row r="13821" spans="8:8" x14ac:dyDescent="0.3">
      <c r="H13821" t="str">
        <f t="shared" si="265"/>
        <v/>
      </c>
    </row>
    <row r="13822" spans="8:8" x14ac:dyDescent="0.3">
      <c r="H13822" t="str">
        <f t="shared" si="265"/>
        <v/>
      </c>
    </row>
    <row r="13823" spans="8:8" x14ac:dyDescent="0.3">
      <c r="H13823" t="str">
        <f t="shared" si="265"/>
        <v/>
      </c>
    </row>
    <row r="13824" spans="8:8" x14ac:dyDescent="0.3">
      <c r="H13824" t="str">
        <f t="shared" si="265"/>
        <v/>
      </c>
    </row>
    <row r="13825" spans="8:8" x14ac:dyDescent="0.3">
      <c r="H13825" t="str">
        <f t="shared" si="265"/>
        <v/>
      </c>
    </row>
    <row r="13826" spans="8:8" x14ac:dyDescent="0.3">
      <c r="H13826" t="str">
        <f t="shared" si="265"/>
        <v/>
      </c>
    </row>
    <row r="13827" spans="8:8" x14ac:dyDescent="0.3">
      <c r="H13827" t="str">
        <f t="shared" si="265"/>
        <v/>
      </c>
    </row>
    <row r="13828" spans="8:8" x14ac:dyDescent="0.3">
      <c r="H13828" t="str">
        <f t="shared" si="265"/>
        <v/>
      </c>
    </row>
    <row r="13829" spans="8:8" x14ac:dyDescent="0.3">
      <c r="H13829" t="str">
        <f t="shared" si="265"/>
        <v/>
      </c>
    </row>
    <row r="13830" spans="8:8" x14ac:dyDescent="0.3">
      <c r="H13830" t="str">
        <f t="shared" si="265"/>
        <v/>
      </c>
    </row>
    <row r="13831" spans="8:8" x14ac:dyDescent="0.3">
      <c r="H13831" t="str">
        <f t="shared" si="265"/>
        <v/>
      </c>
    </row>
    <row r="13832" spans="8:8" x14ac:dyDescent="0.3">
      <c r="H13832" t="str">
        <f t="shared" si="265"/>
        <v/>
      </c>
    </row>
    <row r="13833" spans="8:8" x14ac:dyDescent="0.3">
      <c r="H13833" t="str">
        <f t="shared" si="265"/>
        <v/>
      </c>
    </row>
    <row r="13834" spans="8:8" x14ac:dyDescent="0.3">
      <c r="H13834" t="str">
        <f t="shared" si="265"/>
        <v/>
      </c>
    </row>
    <row r="13835" spans="8:8" x14ac:dyDescent="0.3">
      <c r="H13835" t="str">
        <f t="shared" si="265"/>
        <v/>
      </c>
    </row>
    <row r="13836" spans="8:8" x14ac:dyDescent="0.3">
      <c r="H13836" t="str">
        <f t="shared" si="265"/>
        <v/>
      </c>
    </row>
    <row r="13837" spans="8:8" x14ac:dyDescent="0.3">
      <c r="H13837" t="str">
        <f t="shared" si="265"/>
        <v/>
      </c>
    </row>
    <row r="13838" spans="8:8" x14ac:dyDescent="0.3">
      <c r="H13838" t="str">
        <f t="shared" si="265"/>
        <v/>
      </c>
    </row>
    <row r="13839" spans="8:8" x14ac:dyDescent="0.3">
      <c r="H13839" t="str">
        <f t="shared" si="265"/>
        <v/>
      </c>
    </row>
    <row r="13840" spans="8:8" x14ac:dyDescent="0.3">
      <c r="H13840" t="str">
        <f t="shared" si="265"/>
        <v/>
      </c>
    </row>
    <row r="13841" spans="8:8" x14ac:dyDescent="0.3">
      <c r="H13841" t="str">
        <f t="shared" si="265"/>
        <v/>
      </c>
    </row>
    <row r="13842" spans="8:8" x14ac:dyDescent="0.3">
      <c r="H13842" t="str">
        <f t="shared" si="265"/>
        <v/>
      </c>
    </row>
    <row r="13843" spans="8:8" x14ac:dyDescent="0.3">
      <c r="H13843" t="str">
        <f t="shared" si="265"/>
        <v/>
      </c>
    </row>
    <row r="13844" spans="8:8" x14ac:dyDescent="0.3">
      <c r="H13844" t="str">
        <f t="shared" si="265"/>
        <v/>
      </c>
    </row>
    <row r="13845" spans="8:8" x14ac:dyDescent="0.3">
      <c r="H13845" t="str">
        <f t="shared" si="265"/>
        <v/>
      </c>
    </row>
    <row r="13846" spans="8:8" x14ac:dyDescent="0.3">
      <c r="H13846" t="str">
        <f t="shared" si="265"/>
        <v/>
      </c>
    </row>
    <row r="13847" spans="8:8" x14ac:dyDescent="0.3">
      <c r="H13847" t="str">
        <f t="shared" ref="H13847:H13910" si="266">IF(B13847="","",$C$12)</f>
        <v/>
      </c>
    </row>
    <row r="13848" spans="8:8" x14ac:dyDescent="0.3">
      <c r="H13848" t="str">
        <f t="shared" si="266"/>
        <v/>
      </c>
    </row>
    <row r="13849" spans="8:8" x14ac:dyDescent="0.3">
      <c r="H13849" t="str">
        <f t="shared" si="266"/>
        <v/>
      </c>
    </row>
    <row r="13850" spans="8:8" x14ac:dyDescent="0.3">
      <c r="H13850" t="str">
        <f t="shared" si="266"/>
        <v/>
      </c>
    </row>
    <row r="13851" spans="8:8" x14ac:dyDescent="0.3">
      <c r="H13851" t="str">
        <f t="shared" si="266"/>
        <v/>
      </c>
    </row>
    <row r="13852" spans="8:8" x14ac:dyDescent="0.3">
      <c r="H13852" t="str">
        <f t="shared" si="266"/>
        <v/>
      </c>
    </row>
    <row r="13853" spans="8:8" x14ac:dyDescent="0.3">
      <c r="H13853" t="str">
        <f t="shared" si="266"/>
        <v/>
      </c>
    </row>
    <row r="13854" spans="8:8" x14ac:dyDescent="0.3">
      <c r="H13854" t="str">
        <f t="shared" si="266"/>
        <v/>
      </c>
    </row>
    <row r="13855" spans="8:8" x14ac:dyDescent="0.3">
      <c r="H13855" t="str">
        <f t="shared" si="266"/>
        <v/>
      </c>
    </row>
    <row r="13856" spans="8:8" x14ac:dyDescent="0.3">
      <c r="H13856" t="str">
        <f t="shared" si="266"/>
        <v/>
      </c>
    </row>
    <row r="13857" spans="8:8" x14ac:dyDescent="0.3">
      <c r="H13857" t="str">
        <f t="shared" si="266"/>
        <v/>
      </c>
    </row>
    <row r="13858" spans="8:8" x14ac:dyDescent="0.3">
      <c r="H13858" t="str">
        <f t="shared" si="266"/>
        <v/>
      </c>
    </row>
    <row r="13859" spans="8:8" x14ac:dyDescent="0.3">
      <c r="H13859" t="str">
        <f t="shared" si="266"/>
        <v/>
      </c>
    </row>
    <row r="13860" spans="8:8" x14ac:dyDescent="0.3">
      <c r="H13860" t="str">
        <f t="shared" si="266"/>
        <v/>
      </c>
    </row>
    <row r="13861" spans="8:8" x14ac:dyDescent="0.3">
      <c r="H13861" t="str">
        <f t="shared" si="266"/>
        <v/>
      </c>
    </row>
    <row r="13862" spans="8:8" x14ac:dyDescent="0.3">
      <c r="H13862" t="str">
        <f t="shared" si="266"/>
        <v/>
      </c>
    </row>
    <row r="13863" spans="8:8" x14ac:dyDescent="0.3">
      <c r="H13863" t="str">
        <f t="shared" si="266"/>
        <v/>
      </c>
    </row>
    <row r="13864" spans="8:8" x14ac:dyDescent="0.3">
      <c r="H13864" t="str">
        <f t="shared" si="266"/>
        <v/>
      </c>
    </row>
    <row r="13865" spans="8:8" x14ac:dyDescent="0.3">
      <c r="H13865" t="str">
        <f t="shared" si="266"/>
        <v/>
      </c>
    </row>
    <row r="13866" spans="8:8" x14ac:dyDescent="0.3">
      <c r="H13866" t="str">
        <f t="shared" si="266"/>
        <v/>
      </c>
    </row>
    <row r="13867" spans="8:8" x14ac:dyDescent="0.3">
      <c r="H13867" t="str">
        <f t="shared" si="266"/>
        <v/>
      </c>
    </row>
    <row r="13868" spans="8:8" x14ac:dyDescent="0.3">
      <c r="H13868" t="str">
        <f t="shared" si="266"/>
        <v/>
      </c>
    </row>
    <row r="13869" spans="8:8" x14ac:dyDescent="0.3">
      <c r="H13869" t="str">
        <f t="shared" si="266"/>
        <v/>
      </c>
    </row>
    <row r="13870" spans="8:8" x14ac:dyDescent="0.3">
      <c r="H13870" t="str">
        <f t="shared" si="266"/>
        <v/>
      </c>
    </row>
    <row r="13871" spans="8:8" x14ac:dyDescent="0.3">
      <c r="H13871" t="str">
        <f t="shared" si="266"/>
        <v/>
      </c>
    </row>
    <row r="13872" spans="8:8" x14ac:dyDescent="0.3">
      <c r="H13872" t="str">
        <f t="shared" si="266"/>
        <v/>
      </c>
    </row>
    <row r="13873" spans="8:8" x14ac:dyDescent="0.3">
      <c r="H13873" t="str">
        <f t="shared" si="266"/>
        <v/>
      </c>
    </row>
    <row r="13874" spans="8:8" x14ac:dyDescent="0.3">
      <c r="H13874" t="str">
        <f t="shared" si="266"/>
        <v/>
      </c>
    </row>
    <row r="13875" spans="8:8" x14ac:dyDescent="0.3">
      <c r="H13875" t="str">
        <f t="shared" si="266"/>
        <v/>
      </c>
    </row>
    <row r="13876" spans="8:8" x14ac:dyDescent="0.3">
      <c r="H13876" t="str">
        <f t="shared" si="266"/>
        <v/>
      </c>
    </row>
    <row r="13877" spans="8:8" x14ac:dyDescent="0.3">
      <c r="H13877" t="str">
        <f t="shared" si="266"/>
        <v/>
      </c>
    </row>
    <row r="13878" spans="8:8" x14ac:dyDescent="0.3">
      <c r="H13878" t="str">
        <f t="shared" si="266"/>
        <v/>
      </c>
    </row>
    <row r="13879" spans="8:8" x14ac:dyDescent="0.3">
      <c r="H13879" t="str">
        <f t="shared" si="266"/>
        <v/>
      </c>
    </row>
    <row r="13880" spans="8:8" x14ac:dyDescent="0.3">
      <c r="H13880" t="str">
        <f t="shared" si="266"/>
        <v/>
      </c>
    </row>
    <row r="13881" spans="8:8" x14ac:dyDescent="0.3">
      <c r="H13881" t="str">
        <f t="shared" si="266"/>
        <v/>
      </c>
    </row>
    <row r="13882" spans="8:8" x14ac:dyDescent="0.3">
      <c r="H13882" t="str">
        <f t="shared" si="266"/>
        <v/>
      </c>
    </row>
    <row r="13883" spans="8:8" x14ac:dyDescent="0.3">
      <c r="H13883" t="str">
        <f t="shared" si="266"/>
        <v/>
      </c>
    </row>
    <row r="13884" spans="8:8" x14ac:dyDescent="0.3">
      <c r="H13884" t="str">
        <f t="shared" si="266"/>
        <v/>
      </c>
    </row>
    <row r="13885" spans="8:8" x14ac:dyDescent="0.3">
      <c r="H13885" t="str">
        <f t="shared" si="266"/>
        <v/>
      </c>
    </row>
    <row r="13886" spans="8:8" x14ac:dyDescent="0.3">
      <c r="H13886" t="str">
        <f t="shared" si="266"/>
        <v/>
      </c>
    </row>
    <row r="13887" spans="8:8" x14ac:dyDescent="0.3">
      <c r="H13887" t="str">
        <f t="shared" si="266"/>
        <v/>
      </c>
    </row>
    <row r="13888" spans="8:8" x14ac:dyDescent="0.3">
      <c r="H13888" t="str">
        <f t="shared" si="266"/>
        <v/>
      </c>
    </row>
    <row r="13889" spans="8:8" x14ac:dyDescent="0.3">
      <c r="H13889" t="str">
        <f t="shared" si="266"/>
        <v/>
      </c>
    </row>
    <row r="13890" spans="8:8" x14ac:dyDescent="0.3">
      <c r="H13890" t="str">
        <f t="shared" si="266"/>
        <v/>
      </c>
    </row>
    <row r="13891" spans="8:8" x14ac:dyDescent="0.3">
      <c r="H13891" t="str">
        <f t="shared" si="266"/>
        <v/>
      </c>
    </row>
    <row r="13892" spans="8:8" x14ac:dyDescent="0.3">
      <c r="H13892" t="str">
        <f t="shared" si="266"/>
        <v/>
      </c>
    </row>
    <row r="13893" spans="8:8" x14ac:dyDescent="0.3">
      <c r="H13893" t="str">
        <f t="shared" si="266"/>
        <v/>
      </c>
    </row>
    <row r="13894" spans="8:8" x14ac:dyDescent="0.3">
      <c r="H13894" t="str">
        <f t="shared" si="266"/>
        <v/>
      </c>
    </row>
    <row r="13895" spans="8:8" x14ac:dyDescent="0.3">
      <c r="H13895" t="str">
        <f t="shared" si="266"/>
        <v/>
      </c>
    </row>
    <row r="13896" spans="8:8" x14ac:dyDescent="0.3">
      <c r="H13896" t="str">
        <f t="shared" si="266"/>
        <v/>
      </c>
    </row>
    <row r="13897" spans="8:8" x14ac:dyDescent="0.3">
      <c r="H13897" t="str">
        <f t="shared" si="266"/>
        <v/>
      </c>
    </row>
    <row r="13898" spans="8:8" x14ac:dyDescent="0.3">
      <c r="H13898" t="str">
        <f t="shared" si="266"/>
        <v/>
      </c>
    </row>
    <row r="13899" spans="8:8" x14ac:dyDescent="0.3">
      <c r="H13899" t="str">
        <f t="shared" si="266"/>
        <v/>
      </c>
    </row>
    <row r="13900" spans="8:8" x14ac:dyDescent="0.3">
      <c r="H13900" t="str">
        <f t="shared" si="266"/>
        <v/>
      </c>
    </row>
    <row r="13901" spans="8:8" x14ac:dyDescent="0.3">
      <c r="H13901" t="str">
        <f t="shared" si="266"/>
        <v/>
      </c>
    </row>
    <row r="13902" spans="8:8" x14ac:dyDescent="0.3">
      <c r="H13902" t="str">
        <f t="shared" si="266"/>
        <v/>
      </c>
    </row>
    <row r="13903" spans="8:8" x14ac:dyDescent="0.3">
      <c r="H13903" t="str">
        <f t="shared" si="266"/>
        <v/>
      </c>
    </row>
    <row r="13904" spans="8:8" x14ac:dyDescent="0.3">
      <c r="H13904" t="str">
        <f t="shared" si="266"/>
        <v/>
      </c>
    </row>
    <row r="13905" spans="8:8" x14ac:dyDescent="0.3">
      <c r="H13905" t="str">
        <f t="shared" si="266"/>
        <v/>
      </c>
    </row>
    <row r="13906" spans="8:8" x14ac:dyDescent="0.3">
      <c r="H13906" t="str">
        <f t="shared" si="266"/>
        <v/>
      </c>
    </row>
    <row r="13907" spans="8:8" x14ac:dyDescent="0.3">
      <c r="H13907" t="str">
        <f t="shared" si="266"/>
        <v/>
      </c>
    </row>
    <row r="13908" spans="8:8" x14ac:dyDescent="0.3">
      <c r="H13908" t="str">
        <f t="shared" si="266"/>
        <v/>
      </c>
    </row>
    <row r="13909" spans="8:8" x14ac:dyDescent="0.3">
      <c r="H13909" t="str">
        <f t="shared" si="266"/>
        <v/>
      </c>
    </row>
    <row r="13910" spans="8:8" x14ac:dyDescent="0.3">
      <c r="H13910" t="str">
        <f t="shared" si="266"/>
        <v/>
      </c>
    </row>
    <row r="13911" spans="8:8" x14ac:dyDescent="0.3">
      <c r="H13911" t="str">
        <f t="shared" ref="H13911:H13974" si="267">IF(B13911="","",$C$12)</f>
        <v/>
      </c>
    </row>
    <row r="13912" spans="8:8" x14ac:dyDescent="0.3">
      <c r="H13912" t="str">
        <f t="shared" si="267"/>
        <v/>
      </c>
    </row>
    <row r="13913" spans="8:8" x14ac:dyDescent="0.3">
      <c r="H13913" t="str">
        <f t="shared" si="267"/>
        <v/>
      </c>
    </row>
    <row r="13914" spans="8:8" x14ac:dyDescent="0.3">
      <c r="H13914" t="str">
        <f t="shared" si="267"/>
        <v/>
      </c>
    </row>
    <row r="13915" spans="8:8" x14ac:dyDescent="0.3">
      <c r="H13915" t="str">
        <f t="shared" si="267"/>
        <v/>
      </c>
    </row>
    <row r="13916" spans="8:8" x14ac:dyDescent="0.3">
      <c r="H13916" t="str">
        <f t="shared" si="267"/>
        <v/>
      </c>
    </row>
    <row r="13917" spans="8:8" x14ac:dyDescent="0.3">
      <c r="H13917" t="str">
        <f t="shared" si="267"/>
        <v/>
      </c>
    </row>
    <row r="13918" spans="8:8" x14ac:dyDescent="0.3">
      <c r="H13918" t="str">
        <f t="shared" si="267"/>
        <v/>
      </c>
    </row>
    <row r="13919" spans="8:8" x14ac:dyDescent="0.3">
      <c r="H13919" t="str">
        <f t="shared" si="267"/>
        <v/>
      </c>
    </row>
    <row r="13920" spans="8:8" x14ac:dyDescent="0.3">
      <c r="H13920" t="str">
        <f t="shared" si="267"/>
        <v/>
      </c>
    </row>
    <row r="13921" spans="8:8" x14ac:dyDescent="0.3">
      <c r="H13921" t="str">
        <f t="shared" si="267"/>
        <v/>
      </c>
    </row>
    <row r="13922" spans="8:8" x14ac:dyDescent="0.3">
      <c r="H13922" t="str">
        <f t="shared" si="267"/>
        <v/>
      </c>
    </row>
    <row r="13923" spans="8:8" x14ac:dyDescent="0.3">
      <c r="H13923" t="str">
        <f t="shared" si="267"/>
        <v/>
      </c>
    </row>
    <row r="13924" spans="8:8" x14ac:dyDescent="0.3">
      <c r="H13924" t="str">
        <f t="shared" si="267"/>
        <v/>
      </c>
    </row>
    <row r="13925" spans="8:8" x14ac:dyDescent="0.3">
      <c r="H13925" t="str">
        <f t="shared" si="267"/>
        <v/>
      </c>
    </row>
    <row r="13926" spans="8:8" x14ac:dyDescent="0.3">
      <c r="H13926" t="str">
        <f t="shared" si="267"/>
        <v/>
      </c>
    </row>
    <row r="13927" spans="8:8" x14ac:dyDescent="0.3">
      <c r="H13927" t="str">
        <f t="shared" si="267"/>
        <v/>
      </c>
    </row>
    <row r="13928" spans="8:8" x14ac:dyDescent="0.3">
      <c r="H13928" t="str">
        <f t="shared" si="267"/>
        <v/>
      </c>
    </row>
    <row r="13929" spans="8:8" x14ac:dyDescent="0.3">
      <c r="H13929" t="str">
        <f t="shared" si="267"/>
        <v/>
      </c>
    </row>
    <row r="13930" spans="8:8" x14ac:dyDescent="0.3">
      <c r="H13930" t="str">
        <f t="shared" si="267"/>
        <v/>
      </c>
    </row>
    <row r="13931" spans="8:8" x14ac:dyDescent="0.3">
      <c r="H13931" t="str">
        <f t="shared" si="267"/>
        <v/>
      </c>
    </row>
    <row r="13932" spans="8:8" x14ac:dyDescent="0.3">
      <c r="H13932" t="str">
        <f t="shared" si="267"/>
        <v/>
      </c>
    </row>
    <row r="13933" spans="8:8" x14ac:dyDescent="0.3">
      <c r="H13933" t="str">
        <f t="shared" si="267"/>
        <v/>
      </c>
    </row>
    <row r="13934" spans="8:8" x14ac:dyDescent="0.3">
      <c r="H13934" t="str">
        <f t="shared" si="267"/>
        <v/>
      </c>
    </row>
    <row r="13935" spans="8:8" x14ac:dyDescent="0.3">
      <c r="H13935" t="str">
        <f t="shared" si="267"/>
        <v/>
      </c>
    </row>
    <row r="13936" spans="8:8" x14ac:dyDescent="0.3">
      <c r="H13936" t="str">
        <f t="shared" si="267"/>
        <v/>
      </c>
    </row>
    <row r="13937" spans="8:8" x14ac:dyDescent="0.3">
      <c r="H13937" t="str">
        <f t="shared" si="267"/>
        <v/>
      </c>
    </row>
    <row r="13938" spans="8:8" x14ac:dyDescent="0.3">
      <c r="H13938" t="str">
        <f t="shared" si="267"/>
        <v/>
      </c>
    </row>
    <row r="13939" spans="8:8" x14ac:dyDescent="0.3">
      <c r="H13939" t="str">
        <f t="shared" si="267"/>
        <v/>
      </c>
    </row>
    <row r="13940" spans="8:8" x14ac:dyDescent="0.3">
      <c r="H13940" t="str">
        <f t="shared" si="267"/>
        <v/>
      </c>
    </row>
    <row r="13941" spans="8:8" x14ac:dyDescent="0.3">
      <c r="H13941" t="str">
        <f t="shared" si="267"/>
        <v/>
      </c>
    </row>
    <row r="13942" spans="8:8" x14ac:dyDescent="0.3">
      <c r="H13942" t="str">
        <f t="shared" si="267"/>
        <v/>
      </c>
    </row>
    <row r="13943" spans="8:8" x14ac:dyDescent="0.3">
      <c r="H13943" t="str">
        <f t="shared" si="267"/>
        <v/>
      </c>
    </row>
    <row r="13944" spans="8:8" x14ac:dyDescent="0.3">
      <c r="H13944" t="str">
        <f t="shared" si="267"/>
        <v/>
      </c>
    </row>
    <row r="13945" spans="8:8" x14ac:dyDescent="0.3">
      <c r="H13945" t="str">
        <f t="shared" si="267"/>
        <v/>
      </c>
    </row>
    <row r="13946" spans="8:8" x14ac:dyDescent="0.3">
      <c r="H13946" t="str">
        <f t="shared" si="267"/>
        <v/>
      </c>
    </row>
    <row r="13947" spans="8:8" x14ac:dyDescent="0.3">
      <c r="H13947" t="str">
        <f t="shared" si="267"/>
        <v/>
      </c>
    </row>
    <row r="13948" spans="8:8" x14ac:dyDescent="0.3">
      <c r="H13948" t="str">
        <f t="shared" si="267"/>
        <v/>
      </c>
    </row>
    <row r="13949" spans="8:8" x14ac:dyDescent="0.3">
      <c r="H13949" t="str">
        <f t="shared" si="267"/>
        <v/>
      </c>
    </row>
    <row r="13950" spans="8:8" x14ac:dyDescent="0.3">
      <c r="H13950" t="str">
        <f t="shared" si="267"/>
        <v/>
      </c>
    </row>
    <row r="13951" spans="8:8" x14ac:dyDescent="0.3">
      <c r="H13951" t="str">
        <f t="shared" si="267"/>
        <v/>
      </c>
    </row>
    <row r="13952" spans="8:8" x14ac:dyDescent="0.3">
      <c r="H13952" t="str">
        <f t="shared" si="267"/>
        <v/>
      </c>
    </row>
    <row r="13953" spans="8:8" x14ac:dyDescent="0.3">
      <c r="H13953" t="str">
        <f t="shared" si="267"/>
        <v/>
      </c>
    </row>
    <row r="13954" spans="8:8" x14ac:dyDescent="0.3">
      <c r="H13954" t="str">
        <f t="shared" si="267"/>
        <v/>
      </c>
    </row>
    <row r="13955" spans="8:8" x14ac:dyDescent="0.3">
      <c r="H13955" t="str">
        <f t="shared" si="267"/>
        <v/>
      </c>
    </row>
    <row r="13956" spans="8:8" x14ac:dyDescent="0.3">
      <c r="H13956" t="str">
        <f t="shared" si="267"/>
        <v/>
      </c>
    </row>
    <row r="13957" spans="8:8" x14ac:dyDescent="0.3">
      <c r="H13957" t="str">
        <f t="shared" si="267"/>
        <v/>
      </c>
    </row>
    <row r="13958" spans="8:8" x14ac:dyDescent="0.3">
      <c r="H13958" t="str">
        <f t="shared" si="267"/>
        <v/>
      </c>
    </row>
    <row r="13959" spans="8:8" x14ac:dyDescent="0.3">
      <c r="H13959" t="str">
        <f t="shared" si="267"/>
        <v/>
      </c>
    </row>
    <row r="13960" spans="8:8" x14ac:dyDescent="0.3">
      <c r="H13960" t="str">
        <f t="shared" si="267"/>
        <v/>
      </c>
    </row>
    <row r="13961" spans="8:8" x14ac:dyDescent="0.3">
      <c r="H13961" t="str">
        <f t="shared" si="267"/>
        <v/>
      </c>
    </row>
    <row r="13962" spans="8:8" x14ac:dyDescent="0.3">
      <c r="H13962" t="str">
        <f t="shared" si="267"/>
        <v/>
      </c>
    </row>
    <row r="13963" spans="8:8" x14ac:dyDescent="0.3">
      <c r="H13963" t="str">
        <f t="shared" si="267"/>
        <v/>
      </c>
    </row>
    <row r="13964" spans="8:8" x14ac:dyDescent="0.3">
      <c r="H13964" t="str">
        <f t="shared" si="267"/>
        <v/>
      </c>
    </row>
    <row r="13965" spans="8:8" x14ac:dyDescent="0.3">
      <c r="H13965" t="str">
        <f t="shared" si="267"/>
        <v/>
      </c>
    </row>
    <row r="13966" spans="8:8" x14ac:dyDescent="0.3">
      <c r="H13966" t="str">
        <f t="shared" si="267"/>
        <v/>
      </c>
    </row>
    <row r="13967" spans="8:8" x14ac:dyDescent="0.3">
      <c r="H13967" t="str">
        <f t="shared" si="267"/>
        <v/>
      </c>
    </row>
    <row r="13968" spans="8:8" x14ac:dyDescent="0.3">
      <c r="H13968" t="str">
        <f t="shared" si="267"/>
        <v/>
      </c>
    </row>
    <row r="13969" spans="8:8" x14ac:dyDescent="0.3">
      <c r="H13969" t="str">
        <f t="shared" si="267"/>
        <v/>
      </c>
    </row>
    <row r="13970" spans="8:8" x14ac:dyDescent="0.3">
      <c r="H13970" t="str">
        <f t="shared" si="267"/>
        <v/>
      </c>
    </row>
    <row r="13971" spans="8:8" x14ac:dyDescent="0.3">
      <c r="H13971" t="str">
        <f t="shared" si="267"/>
        <v/>
      </c>
    </row>
    <row r="13972" spans="8:8" x14ac:dyDescent="0.3">
      <c r="H13972" t="str">
        <f t="shared" si="267"/>
        <v/>
      </c>
    </row>
    <row r="13973" spans="8:8" x14ac:dyDescent="0.3">
      <c r="H13973" t="str">
        <f t="shared" si="267"/>
        <v/>
      </c>
    </row>
    <row r="13974" spans="8:8" x14ac:dyDescent="0.3">
      <c r="H13974" t="str">
        <f t="shared" si="267"/>
        <v/>
      </c>
    </row>
    <row r="13975" spans="8:8" x14ac:dyDescent="0.3">
      <c r="H13975" t="str">
        <f t="shared" ref="H13975:H14038" si="268">IF(B13975="","",$C$12)</f>
        <v/>
      </c>
    </row>
    <row r="13976" spans="8:8" x14ac:dyDescent="0.3">
      <c r="H13976" t="str">
        <f t="shared" si="268"/>
        <v/>
      </c>
    </row>
    <row r="13977" spans="8:8" x14ac:dyDescent="0.3">
      <c r="H13977" t="str">
        <f t="shared" si="268"/>
        <v/>
      </c>
    </row>
    <row r="13978" spans="8:8" x14ac:dyDescent="0.3">
      <c r="H13978" t="str">
        <f t="shared" si="268"/>
        <v/>
      </c>
    </row>
    <row r="13979" spans="8:8" x14ac:dyDescent="0.3">
      <c r="H13979" t="str">
        <f t="shared" si="268"/>
        <v/>
      </c>
    </row>
    <row r="13980" spans="8:8" x14ac:dyDescent="0.3">
      <c r="H13980" t="str">
        <f t="shared" si="268"/>
        <v/>
      </c>
    </row>
    <row r="13981" spans="8:8" x14ac:dyDescent="0.3">
      <c r="H13981" t="str">
        <f t="shared" si="268"/>
        <v/>
      </c>
    </row>
    <row r="13982" spans="8:8" x14ac:dyDescent="0.3">
      <c r="H13982" t="str">
        <f t="shared" si="268"/>
        <v/>
      </c>
    </row>
    <row r="13983" spans="8:8" x14ac:dyDescent="0.3">
      <c r="H13983" t="str">
        <f t="shared" si="268"/>
        <v/>
      </c>
    </row>
    <row r="13984" spans="8:8" x14ac:dyDescent="0.3">
      <c r="H13984" t="str">
        <f t="shared" si="268"/>
        <v/>
      </c>
    </row>
    <row r="13985" spans="8:8" x14ac:dyDescent="0.3">
      <c r="H13985" t="str">
        <f t="shared" si="268"/>
        <v/>
      </c>
    </row>
    <row r="13986" spans="8:8" x14ac:dyDescent="0.3">
      <c r="H13986" t="str">
        <f t="shared" si="268"/>
        <v/>
      </c>
    </row>
    <row r="13987" spans="8:8" x14ac:dyDescent="0.3">
      <c r="H13987" t="str">
        <f t="shared" si="268"/>
        <v/>
      </c>
    </row>
    <row r="13988" spans="8:8" x14ac:dyDescent="0.3">
      <c r="H13988" t="str">
        <f t="shared" si="268"/>
        <v/>
      </c>
    </row>
    <row r="13989" spans="8:8" x14ac:dyDescent="0.3">
      <c r="H13989" t="str">
        <f t="shared" si="268"/>
        <v/>
      </c>
    </row>
    <row r="13990" spans="8:8" x14ac:dyDescent="0.3">
      <c r="H13990" t="str">
        <f t="shared" si="268"/>
        <v/>
      </c>
    </row>
    <row r="13991" spans="8:8" x14ac:dyDescent="0.3">
      <c r="H13991" t="str">
        <f t="shared" si="268"/>
        <v/>
      </c>
    </row>
    <row r="13992" spans="8:8" x14ac:dyDescent="0.3">
      <c r="H13992" t="str">
        <f t="shared" si="268"/>
        <v/>
      </c>
    </row>
    <row r="13993" spans="8:8" x14ac:dyDescent="0.3">
      <c r="H13993" t="str">
        <f t="shared" si="268"/>
        <v/>
      </c>
    </row>
    <row r="13994" spans="8:8" x14ac:dyDescent="0.3">
      <c r="H13994" t="str">
        <f t="shared" si="268"/>
        <v/>
      </c>
    </row>
    <row r="13995" spans="8:8" x14ac:dyDescent="0.3">
      <c r="H13995" t="str">
        <f t="shared" si="268"/>
        <v/>
      </c>
    </row>
    <row r="13996" spans="8:8" x14ac:dyDescent="0.3">
      <c r="H13996" t="str">
        <f t="shared" si="268"/>
        <v/>
      </c>
    </row>
    <row r="13997" spans="8:8" x14ac:dyDescent="0.3">
      <c r="H13997" t="str">
        <f t="shared" si="268"/>
        <v/>
      </c>
    </row>
    <row r="13998" spans="8:8" x14ac:dyDescent="0.3">
      <c r="H13998" t="str">
        <f t="shared" si="268"/>
        <v/>
      </c>
    </row>
    <row r="13999" spans="8:8" x14ac:dyDescent="0.3">
      <c r="H13999" t="str">
        <f t="shared" si="268"/>
        <v/>
      </c>
    </row>
    <row r="14000" spans="8:8" x14ac:dyDescent="0.3">
      <c r="H14000" t="str">
        <f t="shared" si="268"/>
        <v/>
      </c>
    </row>
    <row r="14001" spans="8:8" x14ac:dyDescent="0.3">
      <c r="H14001" t="str">
        <f t="shared" si="268"/>
        <v/>
      </c>
    </row>
    <row r="14002" spans="8:8" x14ac:dyDescent="0.3">
      <c r="H14002" t="str">
        <f t="shared" si="268"/>
        <v/>
      </c>
    </row>
    <row r="14003" spans="8:8" x14ac:dyDescent="0.3">
      <c r="H14003" t="str">
        <f t="shared" si="268"/>
        <v/>
      </c>
    </row>
    <row r="14004" spans="8:8" x14ac:dyDescent="0.3">
      <c r="H14004" t="str">
        <f t="shared" si="268"/>
        <v/>
      </c>
    </row>
    <row r="14005" spans="8:8" x14ac:dyDescent="0.3">
      <c r="H14005" t="str">
        <f t="shared" si="268"/>
        <v/>
      </c>
    </row>
    <row r="14006" spans="8:8" x14ac:dyDescent="0.3">
      <c r="H14006" t="str">
        <f t="shared" si="268"/>
        <v/>
      </c>
    </row>
    <row r="14007" spans="8:8" x14ac:dyDescent="0.3">
      <c r="H14007" t="str">
        <f t="shared" si="268"/>
        <v/>
      </c>
    </row>
    <row r="14008" spans="8:8" x14ac:dyDescent="0.3">
      <c r="H14008" t="str">
        <f t="shared" si="268"/>
        <v/>
      </c>
    </row>
    <row r="14009" spans="8:8" x14ac:dyDescent="0.3">
      <c r="H14009" t="str">
        <f t="shared" si="268"/>
        <v/>
      </c>
    </row>
    <row r="14010" spans="8:8" x14ac:dyDescent="0.3">
      <c r="H14010" t="str">
        <f t="shared" si="268"/>
        <v/>
      </c>
    </row>
    <row r="14011" spans="8:8" x14ac:dyDescent="0.3">
      <c r="H14011" t="str">
        <f t="shared" si="268"/>
        <v/>
      </c>
    </row>
    <row r="14012" spans="8:8" x14ac:dyDescent="0.3">
      <c r="H14012" t="str">
        <f t="shared" si="268"/>
        <v/>
      </c>
    </row>
    <row r="14013" spans="8:8" x14ac:dyDescent="0.3">
      <c r="H14013" t="str">
        <f t="shared" si="268"/>
        <v/>
      </c>
    </row>
    <row r="14014" spans="8:8" x14ac:dyDescent="0.3">
      <c r="H14014" t="str">
        <f t="shared" si="268"/>
        <v/>
      </c>
    </row>
    <row r="14015" spans="8:8" x14ac:dyDescent="0.3">
      <c r="H14015" t="str">
        <f t="shared" si="268"/>
        <v/>
      </c>
    </row>
    <row r="14016" spans="8:8" x14ac:dyDescent="0.3">
      <c r="H14016" t="str">
        <f t="shared" si="268"/>
        <v/>
      </c>
    </row>
    <row r="14017" spans="8:8" x14ac:dyDescent="0.3">
      <c r="H14017" t="str">
        <f t="shared" si="268"/>
        <v/>
      </c>
    </row>
    <row r="14018" spans="8:8" x14ac:dyDescent="0.3">
      <c r="H14018" t="str">
        <f t="shared" si="268"/>
        <v/>
      </c>
    </row>
    <row r="14019" spans="8:8" x14ac:dyDescent="0.3">
      <c r="H14019" t="str">
        <f t="shared" si="268"/>
        <v/>
      </c>
    </row>
    <row r="14020" spans="8:8" x14ac:dyDescent="0.3">
      <c r="H14020" t="str">
        <f t="shared" si="268"/>
        <v/>
      </c>
    </row>
    <row r="14021" spans="8:8" x14ac:dyDescent="0.3">
      <c r="H14021" t="str">
        <f t="shared" si="268"/>
        <v/>
      </c>
    </row>
    <row r="14022" spans="8:8" x14ac:dyDescent="0.3">
      <c r="H14022" t="str">
        <f t="shared" si="268"/>
        <v/>
      </c>
    </row>
    <row r="14023" spans="8:8" x14ac:dyDescent="0.3">
      <c r="H14023" t="str">
        <f t="shared" si="268"/>
        <v/>
      </c>
    </row>
    <row r="14024" spans="8:8" x14ac:dyDescent="0.3">
      <c r="H14024" t="str">
        <f t="shared" si="268"/>
        <v/>
      </c>
    </row>
    <row r="14025" spans="8:8" x14ac:dyDescent="0.3">
      <c r="H14025" t="str">
        <f t="shared" si="268"/>
        <v/>
      </c>
    </row>
    <row r="14026" spans="8:8" x14ac:dyDescent="0.3">
      <c r="H14026" t="str">
        <f t="shared" si="268"/>
        <v/>
      </c>
    </row>
    <row r="14027" spans="8:8" x14ac:dyDescent="0.3">
      <c r="H14027" t="str">
        <f t="shared" si="268"/>
        <v/>
      </c>
    </row>
    <row r="14028" spans="8:8" x14ac:dyDescent="0.3">
      <c r="H14028" t="str">
        <f t="shared" si="268"/>
        <v/>
      </c>
    </row>
    <row r="14029" spans="8:8" x14ac:dyDescent="0.3">
      <c r="H14029" t="str">
        <f t="shared" si="268"/>
        <v/>
      </c>
    </row>
    <row r="14030" spans="8:8" x14ac:dyDescent="0.3">
      <c r="H14030" t="str">
        <f t="shared" si="268"/>
        <v/>
      </c>
    </row>
    <row r="14031" spans="8:8" x14ac:dyDescent="0.3">
      <c r="H14031" t="str">
        <f t="shared" si="268"/>
        <v/>
      </c>
    </row>
    <row r="14032" spans="8:8" x14ac:dyDescent="0.3">
      <c r="H14032" t="str">
        <f t="shared" si="268"/>
        <v/>
      </c>
    </row>
    <row r="14033" spans="8:8" x14ac:dyDescent="0.3">
      <c r="H14033" t="str">
        <f t="shared" si="268"/>
        <v/>
      </c>
    </row>
    <row r="14034" spans="8:8" x14ac:dyDescent="0.3">
      <c r="H14034" t="str">
        <f t="shared" si="268"/>
        <v/>
      </c>
    </row>
    <row r="14035" spans="8:8" x14ac:dyDescent="0.3">
      <c r="H14035" t="str">
        <f t="shared" si="268"/>
        <v/>
      </c>
    </row>
    <row r="14036" spans="8:8" x14ac:dyDescent="0.3">
      <c r="H14036" t="str">
        <f t="shared" si="268"/>
        <v/>
      </c>
    </row>
    <row r="14037" spans="8:8" x14ac:dyDescent="0.3">
      <c r="H14037" t="str">
        <f t="shared" si="268"/>
        <v/>
      </c>
    </row>
    <row r="14038" spans="8:8" x14ac:dyDescent="0.3">
      <c r="H14038" t="str">
        <f t="shared" si="268"/>
        <v/>
      </c>
    </row>
    <row r="14039" spans="8:8" x14ac:dyDescent="0.3">
      <c r="H14039" t="str">
        <f t="shared" ref="H14039:H14102" si="269">IF(B14039="","",$C$12)</f>
        <v/>
      </c>
    </row>
    <row r="14040" spans="8:8" x14ac:dyDescent="0.3">
      <c r="H14040" t="str">
        <f t="shared" si="269"/>
        <v/>
      </c>
    </row>
    <row r="14041" spans="8:8" x14ac:dyDescent="0.3">
      <c r="H14041" t="str">
        <f t="shared" si="269"/>
        <v/>
      </c>
    </row>
    <row r="14042" spans="8:8" x14ac:dyDescent="0.3">
      <c r="H14042" t="str">
        <f t="shared" si="269"/>
        <v/>
      </c>
    </row>
    <row r="14043" spans="8:8" x14ac:dyDescent="0.3">
      <c r="H14043" t="str">
        <f t="shared" si="269"/>
        <v/>
      </c>
    </row>
    <row r="14044" spans="8:8" x14ac:dyDescent="0.3">
      <c r="H14044" t="str">
        <f t="shared" si="269"/>
        <v/>
      </c>
    </row>
    <row r="14045" spans="8:8" x14ac:dyDescent="0.3">
      <c r="H14045" t="str">
        <f t="shared" si="269"/>
        <v/>
      </c>
    </row>
    <row r="14046" spans="8:8" x14ac:dyDescent="0.3">
      <c r="H14046" t="str">
        <f t="shared" si="269"/>
        <v/>
      </c>
    </row>
    <row r="14047" spans="8:8" x14ac:dyDescent="0.3">
      <c r="H14047" t="str">
        <f t="shared" si="269"/>
        <v/>
      </c>
    </row>
    <row r="14048" spans="8:8" x14ac:dyDescent="0.3">
      <c r="H14048" t="str">
        <f t="shared" si="269"/>
        <v/>
      </c>
    </row>
    <row r="14049" spans="8:8" x14ac:dyDescent="0.3">
      <c r="H14049" t="str">
        <f t="shared" si="269"/>
        <v/>
      </c>
    </row>
    <row r="14050" spans="8:8" x14ac:dyDescent="0.3">
      <c r="H14050" t="str">
        <f t="shared" si="269"/>
        <v/>
      </c>
    </row>
    <row r="14051" spans="8:8" x14ac:dyDescent="0.3">
      <c r="H14051" t="str">
        <f t="shared" si="269"/>
        <v/>
      </c>
    </row>
    <row r="14052" spans="8:8" x14ac:dyDescent="0.3">
      <c r="H14052" t="str">
        <f t="shared" si="269"/>
        <v/>
      </c>
    </row>
    <row r="14053" spans="8:8" x14ac:dyDescent="0.3">
      <c r="H14053" t="str">
        <f t="shared" si="269"/>
        <v/>
      </c>
    </row>
    <row r="14054" spans="8:8" x14ac:dyDescent="0.3">
      <c r="H14054" t="str">
        <f t="shared" si="269"/>
        <v/>
      </c>
    </row>
    <row r="14055" spans="8:8" x14ac:dyDescent="0.3">
      <c r="H14055" t="str">
        <f t="shared" si="269"/>
        <v/>
      </c>
    </row>
    <row r="14056" spans="8:8" x14ac:dyDescent="0.3">
      <c r="H14056" t="str">
        <f t="shared" si="269"/>
        <v/>
      </c>
    </row>
    <row r="14057" spans="8:8" x14ac:dyDescent="0.3">
      <c r="H14057" t="str">
        <f t="shared" si="269"/>
        <v/>
      </c>
    </row>
    <row r="14058" spans="8:8" x14ac:dyDescent="0.3">
      <c r="H14058" t="str">
        <f t="shared" si="269"/>
        <v/>
      </c>
    </row>
    <row r="14059" spans="8:8" x14ac:dyDescent="0.3">
      <c r="H14059" t="str">
        <f t="shared" si="269"/>
        <v/>
      </c>
    </row>
    <row r="14060" spans="8:8" x14ac:dyDescent="0.3">
      <c r="H14060" t="str">
        <f t="shared" si="269"/>
        <v/>
      </c>
    </row>
    <row r="14061" spans="8:8" x14ac:dyDescent="0.3">
      <c r="H14061" t="str">
        <f t="shared" si="269"/>
        <v/>
      </c>
    </row>
    <row r="14062" spans="8:8" x14ac:dyDescent="0.3">
      <c r="H14062" t="str">
        <f t="shared" si="269"/>
        <v/>
      </c>
    </row>
    <row r="14063" spans="8:8" x14ac:dyDescent="0.3">
      <c r="H14063" t="str">
        <f t="shared" si="269"/>
        <v/>
      </c>
    </row>
    <row r="14064" spans="8:8" x14ac:dyDescent="0.3">
      <c r="H14064" t="str">
        <f t="shared" si="269"/>
        <v/>
      </c>
    </row>
    <row r="14065" spans="8:8" x14ac:dyDescent="0.3">
      <c r="H14065" t="str">
        <f t="shared" si="269"/>
        <v/>
      </c>
    </row>
    <row r="14066" spans="8:8" x14ac:dyDescent="0.3">
      <c r="H14066" t="str">
        <f t="shared" si="269"/>
        <v/>
      </c>
    </row>
    <row r="14067" spans="8:8" x14ac:dyDescent="0.3">
      <c r="H14067" t="str">
        <f t="shared" si="269"/>
        <v/>
      </c>
    </row>
    <row r="14068" spans="8:8" x14ac:dyDescent="0.3">
      <c r="H14068" t="str">
        <f t="shared" si="269"/>
        <v/>
      </c>
    </row>
    <row r="14069" spans="8:8" x14ac:dyDescent="0.3">
      <c r="H14069" t="str">
        <f t="shared" si="269"/>
        <v/>
      </c>
    </row>
    <row r="14070" spans="8:8" x14ac:dyDescent="0.3">
      <c r="H14070" t="str">
        <f t="shared" si="269"/>
        <v/>
      </c>
    </row>
    <row r="14071" spans="8:8" x14ac:dyDescent="0.3">
      <c r="H14071" t="str">
        <f t="shared" si="269"/>
        <v/>
      </c>
    </row>
    <row r="14072" spans="8:8" x14ac:dyDescent="0.3">
      <c r="H14072" t="str">
        <f t="shared" si="269"/>
        <v/>
      </c>
    </row>
    <row r="14073" spans="8:8" x14ac:dyDescent="0.3">
      <c r="H14073" t="str">
        <f t="shared" si="269"/>
        <v/>
      </c>
    </row>
    <row r="14074" spans="8:8" x14ac:dyDescent="0.3">
      <c r="H14074" t="str">
        <f t="shared" si="269"/>
        <v/>
      </c>
    </row>
    <row r="14075" spans="8:8" x14ac:dyDescent="0.3">
      <c r="H14075" t="str">
        <f t="shared" si="269"/>
        <v/>
      </c>
    </row>
    <row r="14076" spans="8:8" x14ac:dyDescent="0.3">
      <c r="H14076" t="str">
        <f t="shared" si="269"/>
        <v/>
      </c>
    </row>
    <row r="14077" spans="8:8" x14ac:dyDescent="0.3">
      <c r="H14077" t="str">
        <f t="shared" si="269"/>
        <v/>
      </c>
    </row>
    <row r="14078" spans="8:8" x14ac:dyDescent="0.3">
      <c r="H14078" t="str">
        <f t="shared" si="269"/>
        <v/>
      </c>
    </row>
    <row r="14079" spans="8:8" x14ac:dyDescent="0.3">
      <c r="H14079" t="str">
        <f t="shared" si="269"/>
        <v/>
      </c>
    </row>
    <row r="14080" spans="8:8" x14ac:dyDescent="0.3">
      <c r="H14080" t="str">
        <f t="shared" si="269"/>
        <v/>
      </c>
    </row>
    <row r="14081" spans="8:8" x14ac:dyDescent="0.3">
      <c r="H14081" t="str">
        <f t="shared" si="269"/>
        <v/>
      </c>
    </row>
    <row r="14082" spans="8:8" x14ac:dyDescent="0.3">
      <c r="H14082" t="str">
        <f t="shared" si="269"/>
        <v/>
      </c>
    </row>
    <row r="14083" spans="8:8" x14ac:dyDescent="0.3">
      <c r="H14083" t="str">
        <f t="shared" si="269"/>
        <v/>
      </c>
    </row>
    <row r="14084" spans="8:8" x14ac:dyDescent="0.3">
      <c r="H14084" t="str">
        <f t="shared" si="269"/>
        <v/>
      </c>
    </row>
    <row r="14085" spans="8:8" x14ac:dyDescent="0.3">
      <c r="H14085" t="str">
        <f t="shared" si="269"/>
        <v/>
      </c>
    </row>
    <row r="14086" spans="8:8" x14ac:dyDescent="0.3">
      <c r="H14086" t="str">
        <f t="shared" si="269"/>
        <v/>
      </c>
    </row>
    <row r="14087" spans="8:8" x14ac:dyDescent="0.3">
      <c r="H14087" t="str">
        <f t="shared" si="269"/>
        <v/>
      </c>
    </row>
    <row r="14088" spans="8:8" x14ac:dyDescent="0.3">
      <c r="H14088" t="str">
        <f t="shared" si="269"/>
        <v/>
      </c>
    </row>
    <row r="14089" spans="8:8" x14ac:dyDescent="0.3">
      <c r="H14089" t="str">
        <f t="shared" si="269"/>
        <v/>
      </c>
    </row>
    <row r="14090" spans="8:8" x14ac:dyDescent="0.3">
      <c r="H14090" t="str">
        <f t="shared" si="269"/>
        <v/>
      </c>
    </row>
    <row r="14091" spans="8:8" x14ac:dyDescent="0.3">
      <c r="H14091" t="str">
        <f t="shared" si="269"/>
        <v/>
      </c>
    </row>
    <row r="14092" spans="8:8" x14ac:dyDescent="0.3">
      <c r="H14092" t="str">
        <f t="shared" si="269"/>
        <v/>
      </c>
    </row>
    <row r="14093" spans="8:8" x14ac:dyDescent="0.3">
      <c r="H14093" t="str">
        <f t="shared" si="269"/>
        <v/>
      </c>
    </row>
    <row r="14094" spans="8:8" x14ac:dyDescent="0.3">
      <c r="H14094" t="str">
        <f t="shared" si="269"/>
        <v/>
      </c>
    </row>
    <row r="14095" spans="8:8" x14ac:dyDescent="0.3">
      <c r="H14095" t="str">
        <f t="shared" si="269"/>
        <v/>
      </c>
    </row>
    <row r="14096" spans="8:8" x14ac:dyDescent="0.3">
      <c r="H14096" t="str">
        <f t="shared" si="269"/>
        <v/>
      </c>
    </row>
    <row r="14097" spans="8:8" x14ac:dyDescent="0.3">
      <c r="H14097" t="str">
        <f t="shared" si="269"/>
        <v/>
      </c>
    </row>
    <row r="14098" spans="8:8" x14ac:dyDescent="0.3">
      <c r="H14098" t="str">
        <f t="shared" si="269"/>
        <v/>
      </c>
    </row>
    <row r="14099" spans="8:8" x14ac:dyDescent="0.3">
      <c r="H14099" t="str">
        <f t="shared" si="269"/>
        <v/>
      </c>
    </row>
    <row r="14100" spans="8:8" x14ac:dyDescent="0.3">
      <c r="H14100" t="str">
        <f t="shared" si="269"/>
        <v/>
      </c>
    </row>
    <row r="14101" spans="8:8" x14ac:dyDescent="0.3">
      <c r="H14101" t="str">
        <f t="shared" si="269"/>
        <v/>
      </c>
    </row>
    <row r="14102" spans="8:8" x14ac:dyDescent="0.3">
      <c r="H14102" t="str">
        <f t="shared" si="269"/>
        <v/>
      </c>
    </row>
    <row r="14103" spans="8:8" x14ac:dyDescent="0.3">
      <c r="H14103" t="str">
        <f t="shared" ref="H14103:H14166" si="270">IF(B14103="","",$C$12)</f>
        <v/>
      </c>
    </row>
    <row r="14104" spans="8:8" x14ac:dyDescent="0.3">
      <c r="H14104" t="str">
        <f t="shared" si="270"/>
        <v/>
      </c>
    </row>
    <row r="14105" spans="8:8" x14ac:dyDescent="0.3">
      <c r="H14105" t="str">
        <f t="shared" si="270"/>
        <v/>
      </c>
    </row>
    <row r="14106" spans="8:8" x14ac:dyDescent="0.3">
      <c r="H14106" t="str">
        <f t="shared" si="270"/>
        <v/>
      </c>
    </row>
    <row r="14107" spans="8:8" x14ac:dyDescent="0.3">
      <c r="H14107" t="str">
        <f t="shared" si="270"/>
        <v/>
      </c>
    </row>
    <row r="14108" spans="8:8" x14ac:dyDescent="0.3">
      <c r="H14108" t="str">
        <f t="shared" si="270"/>
        <v/>
      </c>
    </row>
    <row r="14109" spans="8:8" x14ac:dyDescent="0.3">
      <c r="H14109" t="str">
        <f t="shared" si="270"/>
        <v/>
      </c>
    </row>
    <row r="14110" spans="8:8" x14ac:dyDescent="0.3">
      <c r="H14110" t="str">
        <f t="shared" si="270"/>
        <v/>
      </c>
    </row>
    <row r="14111" spans="8:8" x14ac:dyDescent="0.3">
      <c r="H14111" t="str">
        <f t="shared" si="270"/>
        <v/>
      </c>
    </row>
    <row r="14112" spans="8:8" x14ac:dyDescent="0.3">
      <c r="H14112" t="str">
        <f t="shared" si="270"/>
        <v/>
      </c>
    </row>
    <row r="14113" spans="8:8" x14ac:dyDescent="0.3">
      <c r="H14113" t="str">
        <f t="shared" si="270"/>
        <v/>
      </c>
    </row>
    <row r="14114" spans="8:8" x14ac:dyDescent="0.3">
      <c r="H14114" t="str">
        <f t="shared" si="270"/>
        <v/>
      </c>
    </row>
    <row r="14115" spans="8:8" x14ac:dyDescent="0.3">
      <c r="H14115" t="str">
        <f t="shared" si="270"/>
        <v/>
      </c>
    </row>
    <row r="14116" spans="8:8" x14ac:dyDescent="0.3">
      <c r="H14116" t="str">
        <f t="shared" si="270"/>
        <v/>
      </c>
    </row>
    <row r="14117" spans="8:8" x14ac:dyDescent="0.3">
      <c r="H14117" t="str">
        <f t="shared" si="270"/>
        <v/>
      </c>
    </row>
    <row r="14118" spans="8:8" x14ac:dyDescent="0.3">
      <c r="H14118" t="str">
        <f t="shared" si="270"/>
        <v/>
      </c>
    </row>
    <row r="14119" spans="8:8" x14ac:dyDescent="0.3">
      <c r="H14119" t="str">
        <f t="shared" si="270"/>
        <v/>
      </c>
    </row>
    <row r="14120" spans="8:8" x14ac:dyDescent="0.3">
      <c r="H14120" t="str">
        <f t="shared" si="270"/>
        <v/>
      </c>
    </row>
    <row r="14121" spans="8:8" x14ac:dyDescent="0.3">
      <c r="H14121" t="str">
        <f t="shared" si="270"/>
        <v/>
      </c>
    </row>
    <row r="14122" spans="8:8" x14ac:dyDescent="0.3">
      <c r="H14122" t="str">
        <f t="shared" si="270"/>
        <v/>
      </c>
    </row>
    <row r="14123" spans="8:8" x14ac:dyDescent="0.3">
      <c r="H14123" t="str">
        <f t="shared" si="270"/>
        <v/>
      </c>
    </row>
    <row r="14124" spans="8:8" x14ac:dyDescent="0.3">
      <c r="H14124" t="str">
        <f t="shared" si="270"/>
        <v/>
      </c>
    </row>
    <row r="14125" spans="8:8" x14ac:dyDescent="0.3">
      <c r="H14125" t="str">
        <f t="shared" si="270"/>
        <v/>
      </c>
    </row>
    <row r="14126" spans="8:8" x14ac:dyDescent="0.3">
      <c r="H14126" t="str">
        <f t="shared" si="270"/>
        <v/>
      </c>
    </row>
    <row r="14127" spans="8:8" x14ac:dyDescent="0.3">
      <c r="H14127" t="str">
        <f t="shared" si="270"/>
        <v/>
      </c>
    </row>
    <row r="14128" spans="8:8" x14ac:dyDescent="0.3">
      <c r="H14128" t="str">
        <f t="shared" si="270"/>
        <v/>
      </c>
    </row>
    <row r="14129" spans="8:8" x14ac:dyDescent="0.3">
      <c r="H14129" t="str">
        <f t="shared" si="270"/>
        <v/>
      </c>
    </row>
    <row r="14130" spans="8:8" x14ac:dyDescent="0.3">
      <c r="H14130" t="str">
        <f t="shared" si="270"/>
        <v/>
      </c>
    </row>
    <row r="14131" spans="8:8" x14ac:dyDescent="0.3">
      <c r="H14131" t="str">
        <f t="shared" si="270"/>
        <v/>
      </c>
    </row>
    <row r="14132" spans="8:8" x14ac:dyDescent="0.3">
      <c r="H14132" t="str">
        <f t="shared" si="270"/>
        <v/>
      </c>
    </row>
    <row r="14133" spans="8:8" x14ac:dyDescent="0.3">
      <c r="H14133" t="str">
        <f t="shared" si="270"/>
        <v/>
      </c>
    </row>
    <row r="14134" spans="8:8" x14ac:dyDescent="0.3">
      <c r="H14134" t="str">
        <f t="shared" si="270"/>
        <v/>
      </c>
    </row>
    <row r="14135" spans="8:8" x14ac:dyDescent="0.3">
      <c r="H14135" t="str">
        <f t="shared" si="270"/>
        <v/>
      </c>
    </row>
    <row r="14136" spans="8:8" x14ac:dyDescent="0.3">
      <c r="H14136" t="str">
        <f t="shared" si="270"/>
        <v/>
      </c>
    </row>
    <row r="14137" spans="8:8" x14ac:dyDescent="0.3">
      <c r="H14137" t="str">
        <f t="shared" si="270"/>
        <v/>
      </c>
    </row>
    <row r="14138" spans="8:8" x14ac:dyDescent="0.3">
      <c r="H14138" t="str">
        <f t="shared" si="270"/>
        <v/>
      </c>
    </row>
    <row r="14139" spans="8:8" x14ac:dyDescent="0.3">
      <c r="H14139" t="str">
        <f t="shared" si="270"/>
        <v/>
      </c>
    </row>
    <row r="14140" spans="8:8" x14ac:dyDescent="0.3">
      <c r="H14140" t="str">
        <f t="shared" si="270"/>
        <v/>
      </c>
    </row>
    <row r="14141" spans="8:8" x14ac:dyDescent="0.3">
      <c r="H14141" t="str">
        <f t="shared" si="270"/>
        <v/>
      </c>
    </row>
    <row r="14142" spans="8:8" x14ac:dyDescent="0.3">
      <c r="H14142" t="str">
        <f t="shared" si="270"/>
        <v/>
      </c>
    </row>
    <row r="14143" spans="8:8" x14ac:dyDescent="0.3">
      <c r="H14143" t="str">
        <f t="shared" si="270"/>
        <v/>
      </c>
    </row>
    <row r="14144" spans="8:8" x14ac:dyDescent="0.3">
      <c r="H14144" t="str">
        <f t="shared" si="270"/>
        <v/>
      </c>
    </row>
    <row r="14145" spans="8:8" x14ac:dyDescent="0.3">
      <c r="H14145" t="str">
        <f t="shared" si="270"/>
        <v/>
      </c>
    </row>
    <row r="14146" spans="8:8" x14ac:dyDescent="0.3">
      <c r="H14146" t="str">
        <f t="shared" si="270"/>
        <v/>
      </c>
    </row>
    <row r="14147" spans="8:8" x14ac:dyDescent="0.3">
      <c r="H14147" t="str">
        <f t="shared" si="270"/>
        <v/>
      </c>
    </row>
    <row r="14148" spans="8:8" x14ac:dyDescent="0.3">
      <c r="H14148" t="str">
        <f t="shared" si="270"/>
        <v/>
      </c>
    </row>
    <row r="14149" spans="8:8" x14ac:dyDescent="0.3">
      <c r="H14149" t="str">
        <f t="shared" si="270"/>
        <v/>
      </c>
    </row>
    <row r="14150" spans="8:8" x14ac:dyDescent="0.3">
      <c r="H14150" t="str">
        <f t="shared" si="270"/>
        <v/>
      </c>
    </row>
    <row r="14151" spans="8:8" x14ac:dyDescent="0.3">
      <c r="H14151" t="str">
        <f t="shared" si="270"/>
        <v/>
      </c>
    </row>
    <row r="14152" spans="8:8" x14ac:dyDescent="0.3">
      <c r="H14152" t="str">
        <f t="shared" si="270"/>
        <v/>
      </c>
    </row>
    <row r="14153" spans="8:8" x14ac:dyDescent="0.3">
      <c r="H14153" t="str">
        <f t="shared" si="270"/>
        <v/>
      </c>
    </row>
    <row r="14154" spans="8:8" x14ac:dyDescent="0.3">
      <c r="H14154" t="str">
        <f t="shared" si="270"/>
        <v/>
      </c>
    </row>
    <row r="14155" spans="8:8" x14ac:dyDescent="0.3">
      <c r="H14155" t="str">
        <f t="shared" si="270"/>
        <v/>
      </c>
    </row>
    <row r="14156" spans="8:8" x14ac:dyDescent="0.3">
      <c r="H14156" t="str">
        <f t="shared" si="270"/>
        <v/>
      </c>
    </row>
    <row r="14157" spans="8:8" x14ac:dyDescent="0.3">
      <c r="H14157" t="str">
        <f t="shared" si="270"/>
        <v/>
      </c>
    </row>
    <row r="14158" spans="8:8" x14ac:dyDescent="0.3">
      <c r="H14158" t="str">
        <f t="shared" si="270"/>
        <v/>
      </c>
    </row>
    <row r="14159" spans="8:8" x14ac:dyDescent="0.3">
      <c r="H14159" t="str">
        <f t="shared" si="270"/>
        <v/>
      </c>
    </row>
    <row r="14160" spans="8:8" x14ac:dyDescent="0.3">
      <c r="H14160" t="str">
        <f t="shared" si="270"/>
        <v/>
      </c>
    </row>
    <row r="14161" spans="8:8" x14ac:dyDescent="0.3">
      <c r="H14161" t="str">
        <f t="shared" si="270"/>
        <v/>
      </c>
    </row>
    <row r="14162" spans="8:8" x14ac:dyDescent="0.3">
      <c r="H14162" t="str">
        <f t="shared" si="270"/>
        <v/>
      </c>
    </row>
    <row r="14163" spans="8:8" x14ac:dyDescent="0.3">
      <c r="H14163" t="str">
        <f t="shared" si="270"/>
        <v/>
      </c>
    </row>
    <row r="14164" spans="8:8" x14ac:dyDescent="0.3">
      <c r="H14164" t="str">
        <f t="shared" si="270"/>
        <v/>
      </c>
    </row>
    <row r="14165" spans="8:8" x14ac:dyDescent="0.3">
      <c r="H14165" t="str">
        <f t="shared" si="270"/>
        <v/>
      </c>
    </row>
    <row r="14166" spans="8:8" x14ac:dyDescent="0.3">
      <c r="H14166" t="str">
        <f t="shared" si="270"/>
        <v/>
      </c>
    </row>
    <row r="14167" spans="8:8" x14ac:dyDescent="0.3">
      <c r="H14167" t="str">
        <f t="shared" ref="H14167:H14230" si="271">IF(B14167="","",$C$12)</f>
        <v/>
      </c>
    </row>
    <row r="14168" spans="8:8" x14ac:dyDescent="0.3">
      <c r="H14168" t="str">
        <f t="shared" si="271"/>
        <v/>
      </c>
    </row>
    <row r="14169" spans="8:8" x14ac:dyDescent="0.3">
      <c r="H14169" t="str">
        <f t="shared" si="271"/>
        <v/>
      </c>
    </row>
    <row r="14170" spans="8:8" x14ac:dyDescent="0.3">
      <c r="H14170" t="str">
        <f t="shared" si="271"/>
        <v/>
      </c>
    </row>
    <row r="14171" spans="8:8" x14ac:dyDescent="0.3">
      <c r="H14171" t="str">
        <f t="shared" si="271"/>
        <v/>
      </c>
    </row>
    <row r="14172" spans="8:8" x14ac:dyDescent="0.3">
      <c r="H14172" t="str">
        <f t="shared" si="271"/>
        <v/>
      </c>
    </row>
    <row r="14173" spans="8:8" x14ac:dyDescent="0.3">
      <c r="H14173" t="str">
        <f t="shared" si="271"/>
        <v/>
      </c>
    </row>
    <row r="14174" spans="8:8" x14ac:dyDescent="0.3">
      <c r="H14174" t="str">
        <f t="shared" si="271"/>
        <v/>
      </c>
    </row>
    <row r="14175" spans="8:8" x14ac:dyDescent="0.3">
      <c r="H14175" t="str">
        <f t="shared" si="271"/>
        <v/>
      </c>
    </row>
    <row r="14176" spans="8:8" x14ac:dyDescent="0.3">
      <c r="H14176" t="str">
        <f t="shared" si="271"/>
        <v/>
      </c>
    </row>
    <row r="14177" spans="8:8" x14ac:dyDescent="0.3">
      <c r="H14177" t="str">
        <f t="shared" si="271"/>
        <v/>
      </c>
    </row>
    <row r="14178" spans="8:8" x14ac:dyDescent="0.3">
      <c r="H14178" t="str">
        <f t="shared" si="271"/>
        <v/>
      </c>
    </row>
    <row r="14179" spans="8:8" x14ac:dyDescent="0.3">
      <c r="H14179" t="str">
        <f t="shared" si="271"/>
        <v/>
      </c>
    </row>
    <row r="14180" spans="8:8" x14ac:dyDescent="0.3">
      <c r="H14180" t="str">
        <f t="shared" si="271"/>
        <v/>
      </c>
    </row>
    <row r="14181" spans="8:8" x14ac:dyDescent="0.3">
      <c r="H14181" t="str">
        <f t="shared" si="271"/>
        <v/>
      </c>
    </row>
    <row r="14182" spans="8:8" x14ac:dyDescent="0.3">
      <c r="H14182" t="str">
        <f t="shared" si="271"/>
        <v/>
      </c>
    </row>
    <row r="14183" spans="8:8" x14ac:dyDescent="0.3">
      <c r="H14183" t="str">
        <f t="shared" si="271"/>
        <v/>
      </c>
    </row>
    <row r="14184" spans="8:8" x14ac:dyDescent="0.3">
      <c r="H14184" t="str">
        <f t="shared" si="271"/>
        <v/>
      </c>
    </row>
    <row r="14185" spans="8:8" x14ac:dyDescent="0.3">
      <c r="H14185" t="str">
        <f t="shared" si="271"/>
        <v/>
      </c>
    </row>
    <row r="14186" spans="8:8" x14ac:dyDescent="0.3">
      <c r="H14186" t="str">
        <f t="shared" si="271"/>
        <v/>
      </c>
    </row>
    <row r="14187" spans="8:8" x14ac:dyDescent="0.3">
      <c r="H14187" t="str">
        <f t="shared" si="271"/>
        <v/>
      </c>
    </row>
    <row r="14188" spans="8:8" x14ac:dyDescent="0.3">
      <c r="H14188" t="str">
        <f t="shared" si="271"/>
        <v/>
      </c>
    </row>
    <row r="14189" spans="8:8" x14ac:dyDescent="0.3">
      <c r="H14189" t="str">
        <f t="shared" si="271"/>
        <v/>
      </c>
    </row>
    <row r="14190" spans="8:8" x14ac:dyDescent="0.3">
      <c r="H14190" t="str">
        <f t="shared" si="271"/>
        <v/>
      </c>
    </row>
    <row r="14191" spans="8:8" x14ac:dyDescent="0.3">
      <c r="H14191" t="str">
        <f t="shared" si="271"/>
        <v/>
      </c>
    </row>
    <row r="14192" spans="8:8" x14ac:dyDescent="0.3">
      <c r="H14192" t="str">
        <f t="shared" si="271"/>
        <v/>
      </c>
    </row>
    <row r="14193" spans="8:8" x14ac:dyDescent="0.3">
      <c r="H14193" t="str">
        <f t="shared" si="271"/>
        <v/>
      </c>
    </row>
    <row r="14194" spans="8:8" x14ac:dyDescent="0.3">
      <c r="H14194" t="str">
        <f t="shared" si="271"/>
        <v/>
      </c>
    </row>
    <row r="14195" spans="8:8" x14ac:dyDescent="0.3">
      <c r="H14195" t="str">
        <f t="shared" si="271"/>
        <v/>
      </c>
    </row>
    <row r="14196" spans="8:8" x14ac:dyDescent="0.3">
      <c r="H14196" t="str">
        <f t="shared" si="271"/>
        <v/>
      </c>
    </row>
    <row r="14197" spans="8:8" x14ac:dyDescent="0.3">
      <c r="H14197" t="str">
        <f t="shared" si="271"/>
        <v/>
      </c>
    </row>
    <row r="14198" spans="8:8" x14ac:dyDescent="0.3">
      <c r="H14198" t="str">
        <f t="shared" si="271"/>
        <v/>
      </c>
    </row>
    <row r="14199" spans="8:8" x14ac:dyDescent="0.3">
      <c r="H14199" t="str">
        <f t="shared" si="271"/>
        <v/>
      </c>
    </row>
    <row r="14200" spans="8:8" x14ac:dyDescent="0.3">
      <c r="H14200" t="str">
        <f t="shared" si="271"/>
        <v/>
      </c>
    </row>
    <row r="14201" spans="8:8" x14ac:dyDescent="0.3">
      <c r="H14201" t="str">
        <f t="shared" si="271"/>
        <v/>
      </c>
    </row>
    <row r="14202" spans="8:8" x14ac:dyDescent="0.3">
      <c r="H14202" t="str">
        <f t="shared" si="271"/>
        <v/>
      </c>
    </row>
    <row r="14203" spans="8:8" x14ac:dyDescent="0.3">
      <c r="H14203" t="str">
        <f t="shared" si="271"/>
        <v/>
      </c>
    </row>
    <row r="14204" spans="8:8" x14ac:dyDescent="0.3">
      <c r="H14204" t="str">
        <f t="shared" si="271"/>
        <v/>
      </c>
    </row>
    <row r="14205" spans="8:8" x14ac:dyDescent="0.3">
      <c r="H14205" t="str">
        <f t="shared" si="271"/>
        <v/>
      </c>
    </row>
    <row r="14206" spans="8:8" x14ac:dyDescent="0.3">
      <c r="H14206" t="str">
        <f t="shared" si="271"/>
        <v/>
      </c>
    </row>
    <row r="14207" spans="8:8" x14ac:dyDescent="0.3">
      <c r="H14207" t="str">
        <f t="shared" si="271"/>
        <v/>
      </c>
    </row>
    <row r="14208" spans="8:8" x14ac:dyDescent="0.3">
      <c r="H14208" t="str">
        <f t="shared" si="271"/>
        <v/>
      </c>
    </row>
    <row r="14209" spans="8:8" x14ac:dyDescent="0.3">
      <c r="H14209" t="str">
        <f t="shared" si="271"/>
        <v/>
      </c>
    </row>
    <row r="14210" spans="8:8" x14ac:dyDescent="0.3">
      <c r="H14210" t="str">
        <f t="shared" si="271"/>
        <v/>
      </c>
    </row>
    <row r="14211" spans="8:8" x14ac:dyDescent="0.3">
      <c r="H14211" t="str">
        <f t="shared" si="271"/>
        <v/>
      </c>
    </row>
    <row r="14212" spans="8:8" x14ac:dyDescent="0.3">
      <c r="H14212" t="str">
        <f t="shared" si="271"/>
        <v/>
      </c>
    </row>
    <row r="14213" spans="8:8" x14ac:dyDescent="0.3">
      <c r="H14213" t="str">
        <f t="shared" si="271"/>
        <v/>
      </c>
    </row>
    <row r="14214" spans="8:8" x14ac:dyDescent="0.3">
      <c r="H14214" t="str">
        <f t="shared" si="271"/>
        <v/>
      </c>
    </row>
    <row r="14215" spans="8:8" x14ac:dyDescent="0.3">
      <c r="H14215" t="str">
        <f t="shared" si="271"/>
        <v/>
      </c>
    </row>
    <row r="14216" spans="8:8" x14ac:dyDescent="0.3">
      <c r="H14216" t="str">
        <f t="shared" si="271"/>
        <v/>
      </c>
    </row>
    <row r="14217" spans="8:8" x14ac:dyDescent="0.3">
      <c r="H14217" t="str">
        <f t="shared" si="271"/>
        <v/>
      </c>
    </row>
    <row r="14218" spans="8:8" x14ac:dyDescent="0.3">
      <c r="H14218" t="str">
        <f t="shared" si="271"/>
        <v/>
      </c>
    </row>
    <row r="14219" spans="8:8" x14ac:dyDescent="0.3">
      <c r="H14219" t="str">
        <f t="shared" si="271"/>
        <v/>
      </c>
    </row>
    <row r="14220" spans="8:8" x14ac:dyDescent="0.3">
      <c r="H14220" t="str">
        <f t="shared" si="271"/>
        <v/>
      </c>
    </row>
    <row r="14221" spans="8:8" x14ac:dyDescent="0.3">
      <c r="H14221" t="str">
        <f t="shared" si="271"/>
        <v/>
      </c>
    </row>
    <row r="14222" spans="8:8" x14ac:dyDescent="0.3">
      <c r="H14222" t="str">
        <f t="shared" si="271"/>
        <v/>
      </c>
    </row>
    <row r="14223" spans="8:8" x14ac:dyDescent="0.3">
      <c r="H14223" t="str">
        <f t="shared" si="271"/>
        <v/>
      </c>
    </row>
    <row r="14224" spans="8:8" x14ac:dyDescent="0.3">
      <c r="H14224" t="str">
        <f t="shared" si="271"/>
        <v/>
      </c>
    </row>
    <row r="14225" spans="8:8" x14ac:dyDescent="0.3">
      <c r="H14225" t="str">
        <f t="shared" si="271"/>
        <v/>
      </c>
    </row>
    <row r="14226" spans="8:8" x14ac:dyDescent="0.3">
      <c r="H14226" t="str">
        <f t="shared" si="271"/>
        <v/>
      </c>
    </row>
    <row r="14227" spans="8:8" x14ac:dyDescent="0.3">
      <c r="H14227" t="str">
        <f t="shared" si="271"/>
        <v/>
      </c>
    </row>
    <row r="14228" spans="8:8" x14ac:dyDescent="0.3">
      <c r="H14228" t="str">
        <f t="shared" si="271"/>
        <v/>
      </c>
    </row>
    <row r="14229" spans="8:8" x14ac:dyDescent="0.3">
      <c r="H14229" t="str">
        <f t="shared" si="271"/>
        <v/>
      </c>
    </row>
    <row r="14230" spans="8:8" x14ac:dyDescent="0.3">
      <c r="H14230" t="str">
        <f t="shared" si="271"/>
        <v/>
      </c>
    </row>
    <row r="14231" spans="8:8" x14ac:dyDescent="0.3">
      <c r="H14231" t="str">
        <f t="shared" ref="H14231:H14294" si="272">IF(B14231="","",$C$12)</f>
        <v/>
      </c>
    </row>
    <row r="14232" spans="8:8" x14ac:dyDescent="0.3">
      <c r="H14232" t="str">
        <f t="shared" si="272"/>
        <v/>
      </c>
    </row>
    <row r="14233" spans="8:8" x14ac:dyDescent="0.3">
      <c r="H14233" t="str">
        <f t="shared" si="272"/>
        <v/>
      </c>
    </row>
    <row r="14234" spans="8:8" x14ac:dyDescent="0.3">
      <c r="H14234" t="str">
        <f t="shared" si="272"/>
        <v/>
      </c>
    </row>
    <row r="14235" spans="8:8" x14ac:dyDescent="0.3">
      <c r="H14235" t="str">
        <f t="shared" si="272"/>
        <v/>
      </c>
    </row>
    <row r="14236" spans="8:8" x14ac:dyDescent="0.3">
      <c r="H14236" t="str">
        <f t="shared" si="272"/>
        <v/>
      </c>
    </row>
    <row r="14237" spans="8:8" x14ac:dyDescent="0.3">
      <c r="H14237" t="str">
        <f t="shared" si="272"/>
        <v/>
      </c>
    </row>
    <row r="14238" spans="8:8" x14ac:dyDescent="0.3">
      <c r="H14238" t="str">
        <f t="shared" si="272"/>
        <v/>
      </c>
    </row>
    <row r="14239" spans="8:8" x14ac:dyDescent="0.3">
      <c r="H14239" t="str">
        <f t="shared" si="272"/>
        <v/>
      </c>
    </row>
    <row r="14240" spans="8:8" x14ac:dyDescent="0.3">
      <c r="H14240" t="str">
        <f t="shared" si="272"/>
        <v/>
      </c>
    </row>
    <row r="14241" spans="8:8" x14ac:dyDescent="0.3">
      <c r="H14241" t="str">
        <f t="shared" si="272"/>
        <v/>
      </c>
    </row>
    <row r="14242" spans="8:8" x14ac:dyDescent="0.3">
      <c r="H14242" t="str">
        <f t="shared" si="272"/>
        <v/>
      </c>
    </row>
    <row r="14243" spans="8:8" x14ac:dyDescent="0.3">
      <c r="H14243" t="str">
        <f t="shared" si="272"/>
        <v/>
      </c>
    </row>
    <row r="14244" spans="8:8" x14ac:dyDescent="0.3">
      <c r="H14244" t="str">
        <f t="shared" si="272"/>
        <v/>
      </c>
    </row>
    <row r="14245" spans="8:8" x14ac:dyDescent="0.3">
      <c r="H14245" t="str">
        <f t="shared" si="272"/>
        <v/>
      </c>
    </row>
    <row r="14246" spans="8:8" x14ac:dyDescent="0.3">
      <c r="H14246" t="str">
        <f t="shared" si="272"/>
        <v/>
      </c>
    </row>
    <row r="14247" spans="8:8" x14ac:dyDescent="0.3">
      <c r="H14247" t="str">
        <f t="shared" si="272"/>
        <v/>
      </c>
    </row>
    <row r="14248" spans="8:8" x14ac:dyDescent="0.3">
      <c r="H14248" t="str">
        <f t="shared" si="272"/>
        <v/>
      </c>
    </row>
    <row r="14249" spans="8:8" x14ac:dyDescent="0.3">
      <c r="H14249" t="str">
        <f t="shared" si="272"/>
        <v/>
      </c>
    </row>
    <row r="14250" spans="8:8" x14ac:dyDescent="0.3">
      <c r="H14250" t="str">
        <f t="shared" si="272"/>
        <v/>
      </c>
    </row>
    <row r="14251" spans="8:8" x14ac:dyDescent="0.3">
      <c r="H14251" t="str">
        <f t="shared" si="272"/>
        <v/>
      </c>
    </row>
    <row r="14252" spans="8:8" x14ac:dyDescent="0.3">
      <c r="H14252" t="str">
        <f t="shared" si="272"/>
        <v/>
      </c>
    </row>
    <row r="14253" spans="8:8" x14ac:dyDescent="0.3">
      <c r="H14253" t="str">
        <f t="shared" si="272"/>
        <v/>
      </c>
    </row>
    <row r="14254" spans="8:8" x14ac:dyDescent="0.3">
      <c r="H14254" t="str">
        <f t="shared" si="272"/>
        <v/>
      </c>
    </row>
    <row r="14255" spans="8:8" x14ac:dyDescent="0.3">
      <c r="H14255" t="str">
        <f t="shared" si="272"/>
        <v/>
      </c>
    </row>
    <row r="14256" spans="8:8" x14ac:dyDescent="0.3">
      <c r="H14256" t="str">
        <f t="shared" si="272"/>
        <v/>
      </c>
    </row>
    <row r="14257" spans="8:8" x14ac:dyDescent="0.3">
      <c r="H14257" t="str">
        <f t="shared" si="272"/>
        <v/>
      </c>
    </row>
    <row r="14258" spans="8:8" x14ac:dyDescent="0.3">
      <c r="H14258" t="str">
        <f t="shared" si="272"/>
        <v/>
      </c>
    </row>
    <row r="14259" spans="8:8" x14ac:dyDescent="0.3">
      <c r="H14259" t="str">
        <f t="shared" si="272"/>
        <v/>
      </c>
    </row>
    <row r="14260" spans="8:8" x14ac:dyDescent="0.3">
      <c r="H14260" t="str">
        <f t="shared" si="272"/>
        <v/>
      </c>
    </row>
    <row r="14261" spans="8:8" x14ac:dyDescent="0.3">
      <c r="H14261" t="str">
        <f t="shared" si="272"/>
        <v/>
      </c>
    </row>
    <row r="14262" spans="8:8" x14ac:dyDescent="0.3">
      <c r="H14262" t="str">
        <f t="shared" si="272"/>
        <v/>
      </c>
    </row>
    <row r="14263" spans="8:8" x14ac:dyDescent="0.3">
      <c r="H14263" t="str">
        <f t="shared" si="272"/>
        <v/>
      </c>
    </row>
    <row r="14264" spans="8:8" x14ac:dyDescent="0.3">
      <c r="H14264" t="str">
        <f t="shared" si="272"/>
        <v/>
      </c>
    </row>
    <row r="14265" spans="8:8" x14ac:dyDescent="0.3">
      <c r="H14265" t="str">
        <f t="shared" si="272"/>
        <v/>
      </c>
    </row>
    <row r="14266" spans="8:8" x14ac:dyDescent="0.3">
      <c r="H14266" t="str">
        <f t="shared" si="272"/>
        <v/>
      </c>
    </row>
    <row r="14267" spans="8:8" x14ac:dyDescent="0.3">
      <c r="H14267" t="str">
        <f t="shared" si="272"/>
        <v/>
      </c>
    </row>
    <row r="14268" spans="8:8" x14ac:dyDescent="0.3">
      <c r="H14268" t="str">
        <f t="shared" si="272"/>
        <v/>
      </c>
    </row>
    <row r="14269" spans="8:8" x14ac:dyDescent="0.3">
      <c r="H14269" t="str">
        <f t="shared" si="272"/>
        <v/>
      </c>
    </row>
    <row r="14270" spans="8:8" x14ac:dyDescent="0.3">
      <c r="H14270" t="str">
        <f t="shared" si="272"/>
        <v/>
      </c>
    </row>
    <row r="14271" spans="8:8" x14ac:dyDescent="0.3">
      <c r="H14271" t="str">
        <f t="shared" si="272"/>
        <v/>
      </c>
    </row>
    <row r="14272" spans="8:8" x14ac:dyDescent="0.3">
      <c r="H14272" t="str">
        <f t="shared" si="272"/>
        <v/>
      </c>
    </row>
    <row r="14273" spans="8:8" x14ac:dyDescent="0.3">
      <c r="H14273" t="str">
        <f t="shared" si="272"/>
        <v/>
      </c>
    </row>
    <row r="14274" spans="8:8" x14ac:dyDescent="0.3">
      <c r="H14274" t="str">
        <f t="shared" si="272"/>
        <v/>
      </c>
    </row>
    <row r="14275" spans="8:8" x14ac:dyDescent="0.3">
      <c r="H14275" t="str">
        <f t="shared" si="272"/>
        <v/>
      </c>
    </row>
    <row r="14276" spans="8:8" x14ac:dyDescent="0.3">
      <c r="H14276" t="str">
        <f t="shared" si="272"/>
        <v/>
      </c>
    </row>
    <row r="14277" spans="8:8" x14ac:dyDescent="0.3">
      <c r="H14277" t="str">
        <f t="shared" si="272"/>
        <v/>
      </c>
    </row>
    <row r="14278" spans="8:8" x14ac:dyDescent="0.3">
      <c r="H14278" t="str">
        <f t="shared" si="272"/>
        <v/>
      </c>
    </row>
    <row r="14279" spans="8:8" x14ac:dyDescent="0.3">
      <c r="H14279" t="str">
        <f t="shared" si="272"/>
        <v/>
      </c>
    </row>
    <row r="14280" spans="8:8" x14ac:dyDescent="0.3">
      <c r="H14280" t="str">
        <f t="shared" si="272"/>
        <v/>
      </c>
    </row>
    <row r="14281" spans="8:8" x14ac:dyDescent="0.3">
      <c r="H14281" t="str">
        <f t="shared" si="272"/>
        <v/>
      </c>
    </row>
    <row r="14282" spans="8:8" x14ac:dyDescent="0.3">
      <c r="H14282" t="str">
        <f t="shared" si="272"/>
        <v/>
      </c>
    </row>
    <row r="14283" spans="8:8" x14ac:dyDescent="0.3">
      <c r="H14283" t="str">
        <f t="shared" si="272"/>
        <v/>
      </c>
    </row>
    <row r="14284" spans="8:8" x14ac:dyDescent="0.3">
      <c r="H14284" t="str">
        <f t="shared" si="272"/>
        <v/>
      </c>
    </row>
    <row r="14285" spans="8:8" x14ac:dyDescent="0.3">
      <c r="H14285" t="str">
        <f t="shared" si="272"/>
        <v/>
      </c>
    </row>
    <row r="14286" spans="8:8" x14ac:dyDescent="0.3">
      <c r="H14286" t="str">
        <f t="shared" si="272"/>
        <v/>
      </c>
    </row>
    <row r="14287" spans="8:8" x14ac:dyDescent="0.3">
      <c r="H14287" t="str">
        <f t="shared" si="272"/>
        <v/>
      </c>
    </row>
    <row r="14288" spans="8:8" x14ac:dyDescent="0.3">
      <c r="H14288" t="str">
        <f t="shared" si="272"/>
        <v/>
      </c>
    </row>
    <row r="14289" spans="8:8" x14ac:dyDescent="0.3">
      <c r="H14289" t="str">
        <f t="shared" si="272"/>
        <v/>
      </c>
    </row>
    <row r="14290" spans="8:8" x14ac:dyDescent="0.3">
      <c r="H14290" t="str">
        <f t="shared" si="272"/>
        <v/>
      </c>
    </row>
    <row r="14291" spans="8:8" x14ac:dyDescent="0.3">
      <c r="H14291" t="str">
        <f t="shared" si="272"/>
        <v/>
      </c>
    </row>
    <row r="14292" spans="8:8" x14ac:dyDescent="0.3">
      <c r="H14292" t="str">
        <f t="shared" si="272"/>
        <v/>
      </c>
    </row>
    <row r="14293" spans="8:8" x14ac:dyDescent="0.3">
      <c r="H14293" t="str">
        <f t="shared" si="272"/>
        <v/>
      </c>
    </row>
    <row r="14294" spans="8:8" x14ac:dyDescent="0.3">
      <c r="H14294" t="str">
        <f t="shared" si="272"/>
        <v/>
      </c>
    </row>
    <row r="14295" spans="8:8" x14ac:dyDescent="0.3">
      <c r="H14295" t="str">
        <f t="shared" ref="H14295:H14358" si="273">IF(B14295="","",$C$12)</f>
        <v/>
      </c>
    </row>
    <row r="14296" spans="8:8" x14ac:dyDescent="0.3">
      <c r="H14296" t="str">
        <f t="shared" si="273"/>
        <v/>
      </c>
    </row>
    <row r="14297" spans="8:8" x14ac:dyDescent="0.3">
      <c r="H14297" t="str">
        <f t="shared" si="273"/>
        <v/>
      </c>
    </row>
    <row r="14298" spans="8:8" x14ac:dyDescent="0.3">
      <c r="H14298" t="str">
        <f t="shared" si="273"/>
        <v/>
      </c>
    </row>
    <row r="14299" spans="8:8" x14ac:dyDescent="0.3">
      <c r="H14299" t="str">
        <f t="shared" si="273"/>
        <v/>
      </c>
    </row>
    <row r="14300" spans="8:8" x14ac:dyDescent="0.3">
      <c r="H14300" t="str">
        <f t="shared" si="273"/>
        <v/>
      </c>
    </row>
    <row r="14301" spans="8:8" x14ac:dyDescent="0.3">
      <c r="H14301" t="str">
        <f t="shared" si="273"/>
        <v/>
      </c>
    </row>
    <row r="14302" spans="8:8" x14ac:dyDescent="0.3">
      <c r="H14302" t="str">
        <f t="shared" si="273"/>
        <v/>
      </c>
    </row>
    <row r="14303" spans="8:8" x14ac:dyDescent="0.3">
      <c r="H14303" t="str">
        <f t="shared" si="273"/>
        <v/>
      </c>
    </row>
    <row r="14304" spans="8:8" x14ac:dyDescent="0.3">
      <c r="H14304" t="str">
        <f t="shared" si="273"/>
        <v/>
      </c>
    </row>
    <row r="14305" spans="8:8" x14ac:dyDescent="0.3">
      <c r="H14305" t="str">
        <f t="shared" si="273"/>
        <v/>
      </c>
    </row>
    <row r="14306" spans="8:8" x14ac:dyDescent="0.3">
      <c r="H14306" t="str">
        <f t="shared" si="273"/>
        <v/>
      </c>
    </row>
    <row r="14307" spans="8:8" x14ac:dyDescent="0.3">
      <c r="H14307" t="str">
        <f t="shared" si="273"/>
        <v/>
      </c>
    </row>
    <row r="14308" spans="8:8" x14ac:dyDescent="0.3">
      <c r="H14308" t="str">
        <f t="shared" si="273"/>
        <v/>
      </c>
    </row>
    <row r="14309" spans="8:8" x14ac:dyDescent="0.3">
      <c r="H14309" t="str">
        <f t="shared" si="273"/>
        <v/>
      </c>
    </row>
    <row r="14310" spans="8:8" x14ac:dyDescent="0.3">
      <c r="H14310" t="str">
        <f t="shared" si="273"/>
        <v/>
      </c>
    </row>
    <row r="14311" spans="8:8" x14ac:dyDescent="0.3">
      <c r="H14311" t="str">
        <f t="shared" si="273"/>
        <v/>
      </c>
    </row>
    <row r="14312" spans="8:8" x14ac:dyDescent="0.3">
      <c r="H14312" t="str">
        <f t="shared" si="273"/>
        <v/>
      </c>
    </row>
    <row r="14313" spans="8:8" x14ac:dyDescent="0.3">
      <c r="H14313" t="str">
        <f t="shared" si="273"/>
        <v/>
      </c>
    </row>
    <row r="14314" spans="8:8" x14ac:dyDescent="0.3">
      <c r="H14314" t="str">
        <f t="shared" si="273"/>
        <v/>
      </c>
    </row>
    <row r="14315" spans="8:8" x14ac:dyDescent="0.3">
      <c r="H14315" t="str">
        <f t="shared" si="273"/>
        <v/>
      </c>
    </row>
    <row r="14316" spans="8:8" x14ac:dyDescent="0.3">
      <c r="H14316" t="str">
        <f t="shared" si="273"/>
        <v/>
      </c>
    </row>
    <row r="14317" spans="8:8" x14ac:dyDescent="0.3">
      <c r="H14317" t="str">
        <f t="shared" si="273"/>
        <v/>
      </c>
    </row>
    <row r="14318" spans="8:8" x14ac:dyDescent="0.3">
      <c r="H14318" t="str">
        <f t="shared" si="273"/>
        <v/>
      </c>
    </row>
    <row r="14319" spans="8:8" x14ac:dyDescent="0.3">
      <c r="H14319" t="str">
        <f t="shared" si="273"/>
        <v/>
      </c>
    </row>
    <row r="14320" spans="8:8" x14ac:dyDescent="0.3">
      <c r="H14320" t="str">
        <f t="shared" si="273"/>
        <v/>
      </c>
    </row>
    <row r="14321" spans="8:8" x14ac:dyDescent="0.3">
      <c r="H14321" t="str">
        <f t="shared" si="273"/>
        <v/>
      </c>
    </row>
    <row r="14322" spans="8:8" x14ac:dyDescent="0.3">
      <c r="H14322" t="str">
        <f t="shared" si="273"/>
        <v/>
      </c>
    </row>
    <row r="14323" spans="8:8" x14ac:dyDescent="0.3">
      <c r="H14323" t="str">
        <f t="shared" si="273"/>
        <v/>
      </c>
    </row>
    <row r="14324" spans="8:8" x14ac:dyDescent="0.3">
      <c r="H14324" t="str">
        <f t="shared" si="273"/>
        <v/>
      </c>
    </row>
    <row r="14325" spans="8:8" x14ac:dyDescent="0.3">
      <c r="H14325" t="str">
        <f t="shared" si="273"/>
        <v/>
      </c>
    </row>
    <row r="14326" spans="8:8" x14ac:dyDescent="0.3">
      <c r="H14326" t="str">
        <f t="shared" si="273"/>
        <v/>
      </c>
    </row>
    <row r="14327" spans="8:8" x14ac:dyDescent="0.3">
      <c r="H14327" t="str">
        <f t="shared" si="273"/>
        <v/>
      </c>
    </row>
    <row r="14328" spans="8:8" x14ac:dyDescent="0.3">
      <c r="H14328" t="str">
        <f t="shared" si="273"/>
        <v/>
      </c>
    </row>
    <row r="14329" spans="8:8" x14ac:dyDescent="0.3">
      <c r="H14329" t="str">
        <f t="shared" si="273"/>
        <v/>
      </c>
    </row>
    <row r="14330" spans="8:8" x14ac:dyDescent="0.3">
      <c r="H14330" t="str">
        <f t="shared" si="273"/>
        <v/>
      </c>
    </row>
    <row r="14331" spans="8:8" x14ac:dyDescent="0.3">
      <c r="H14331" t="str">
        <f t="shared" si="273"/>
        <v/>
      </c>
    </row>
    <row r="14332" spans="8:8" x14ac:dyDescent="0.3">
      <c r="H14332" t="str">
        <f t="shared" si="273"/>
        <v/>
      </c>
    </row>
    <row r="14333" spans="8:8" x14ac:dyDescent="0.3">
      <c r="H14333" t="str">
        <f t="shared" si="273"/>
        <v/>
      </c>
    </row>
    <row r="14334" spans="8:8" x14ac:dyDescent="0.3">
      <c r="H14334" t="str">
        <f t="shared" si="273"/>
        <v/>
      </c>
    </row>
    <row r="14335" spans="8:8" x14ac:dyDescent="0.3">
      <c r="H14335" t="str">
        <f t="shared" si="273"/>
        <v/>
      </c>
    </row>
    <row r="14336" spans="8:8" x14ac:dyDescent="0.3">
      <c r="H14336" t="str">
        <f t="shared" si="273"/>
        <v/>
      </c>
    </row>
    <row r="14337" spans="8:8" x14ac:dyDescent="0.3">
      <c r="H14337" t="str">
        <f t="shared" si="273"/>
        <v/>
      </c>
    </row>
    <row r="14338" spans="8:8" x14ac:dyDescent="0.3">
      <c r="H14338" t="str">
        <f t="shared" si="273"/>
        <v/>
      </c>
    </row>
    <row r="14339" spans="8:8" x14ac:dyDescent="0.3">
      <c r="H14339" t="str">
        <f t="shared" si="273"/>
        <v/>
      </c>
    </row>
    <row r="14340" spans="8:8" x14ac:dyDescent="0.3">
      <c r="H14340" t="str">
        <f t="shared" si="273"/>
        <v/>
      </c>
    </row>
    <row r="14341" spans="8:8" x14ac:dyDescent="0.3">
      <c r="H14341" t="str">
        <f t="shared" si="273"/>
        <v/>
      </c>
    </row>
    <row r="14342" spans="8:8" x14ac:dyDescent="0.3">
      <c r="H14342" t="str">
        <f t="shared" si="273"/>
        <v/>
      </c>
    </row>
    <row r="14343" spans="8:8" x14ac:dyDescent="0.3">
      <c r="H14343" t="str">
        <f t="shared" si="273"/>
        <v/>
      </c>
    </row>
    <row r="14344" spans="8:8" x14ac:dyDescent="0.3">
      <c r="H14344" t="str">
        <f t="shared" si="273"/>
        <v/>
      </c>
    </row>
    <row r="14345" spans="8:8" x14ac:dyDescent="0.3">
      <c r="H14345" t="str">
        <f t="shared" si="273"/>
        <v/>
      </c>
    </row>
    <row r="14346" spans="8:8" x14ac:dyDescent="0.3">
      <c r="H14346" t="str">
        <f t="shared" si="273"/>
        <v/>
      </c>
    </row>
    <row r="14347" spans="8:8" x14ac:dyDescent="0.3">
      <c r="H14347" t="str">
        <f t="shared" si="273"/>
        <v/>
      </c>
    </row>
    <row r="14348" spans="8:8" x14ac:dyDescent="0.3">
      <c r="H14348" t="str">
        <f t="shared" si="273"/>
        <v/>
      </c>
    </row>
    <row r="14349" spans="8:8" x14ac:dyDescent="0.3">
      <c r="H14349" t="str">
        <f t="shared" si="273"/>
        <v/>
      </c>
    </row>
    <row r="14350" spans="8:8" x14ac:dyDescent="0.3">
      <c r="H14350" t="str">
        <f t="shared" si="273"/>
        <v/>
      </c>
    </row>
    <row r="14351" spans="8:8" x14ac:dyDescent="0.3">
      <c r="H14351" t="str">
        <f t="shared" si="273"/>
        <v/>
      </c>
    </row>
    <row r="14352" spans="8:8" x14ac:dyDescent="0.3">
      <c r="H14352" t="str">
        <f t="shared" si="273"/>
        <v/>
      </c>
    </row>
    <row r="14353" spans="8:8" x14ac:dyDescent="0.3">
      <c r="H14353" t="str">
        <f t="shared" si="273"/>
        <v/>
      </c>
    </row>
    <row r="14354" spans="8:8" x14ac:dyDescent="0.3">
      <c r="H14354" t="str">
        <f t="shared" si="273"/>
        <v/>
      </c>
    </row>
    <row r="14355" spans="8:8" x14ac:dyDescent="0.3">
      <c r="H14355" t="str">
        <f t="shared" si="273"/>
        <v/>
      </c>
    </row>
    <row r="14356" spans="8:8" x14ac:dyDescent="0.3">
      <c r="H14356" t="str">
        <f t="shared" si="273"/>
        <v/>
      </c>
    </row>
    <row r="14357" spans="8:8" x14ac:dyDescent="0.3">
      <c r="H14357" t="str">
        <f t="shared" si="273"/>
        <v/>
      </c>
    </row>
    <row r="14358" spans="8:8" x14ac:dyDescent="0.3">
      <c r="H14358" t="str">
        <f t="shared" si="273"/>
        <v/>
      </c>
    </row>
    <row r="14359" spans="8:8" x14ac:dyDescent="0.3">
      <c r="H14359" t="str">
        <f t="shared" ref="H14359:H14422" si="274">IF(B14359="","",$C$12)</f>
        <v/>
      </c>
    </row>
    <row r="14360" spans="8:8" x14ac:dyDescent="0.3">
      <c r="H14360" t="str">
        <f t="shared" si="274"/>
        <v/>
      </c>
    </row>
    <row r="14361" spans="8:8" x14ac:dyDescent="0.3">
      <c r="H14361" t="str">
        <f t="shared" si="274"/>
        <v/>
      </c>
    </row>
    <row r="14362" spans="8:8" x14ac:dyDescent="0.3">
      <c r="H14362" t="str">
        <f t="shared" si="274"/>
        <v/>
      </c>
    </row>
    <row r="14363" spans="8:8" x14ac:dyDescent="0.3">
      <c r="H14363" t="str">
        <f t="shared" si="274"/>
        <v/>
      </c>
    </row>
    <row r="14364" spans="8:8" x14ac:dyDescent="0.3">
      <c r="H14364" t="str">
        <f t="shared" si="274"/>
        <v/>
      </c>
    </row>
    <row r="14365" spans="8:8" x14ac:dyDescent="0.3">
      <c r="H14365" t="str">
        <f t="shared" si="274"/>
        <v/>
      </c>
    </row>
    <row r="14366" spans="8:8" x14ac:dyDescent="0.3">
      <c r="H14366" t="str">
        <f t="shared" si="274"/>
        <v/>
      </c>
    </row>
    <row r="14367" spans="8:8" x14ac:dyDescent="0.3">
      <c r="H14367" t="str">
        <f t="shared" si="274"/>
        <v/>
      </c>
    </row>
    <row r="14368" spans="8:8" x14ac:dyDescent="0.3">
      <c r="H14368" t="str">
        <f t="shared" si="274"/>
        <v/>
      </c>
    </row>
    <row r="14369" spans="8:8" x14ac:dyDescent="0.3">
      <c r="H14369" t="str">
        <f t="shared" si="274"/>
        <v/>
      </c>
    </row>
    <row r="14370" spans="8:8" x14ac:dyDescent="0.3">
      <c r="H14370" t="str">
        <f t="shared" si="274"/>
        <v/>
      </c>
    </row>
    <row r="14371" spans="8:8" x14ac:dyDescent="0.3">
      <c r="H14371" t="str">
        <f t="shared" si="274"/>
        <v/>
      </c>
    </row>
    <row r="14372" spans="8:8" x14ac:dyDescent="0.3">
      <c r="H14372" t="str">
        <f t="shared" si="274"/>
        <v/>
      </c>
    </row>
    <row r="14373" spans="8:8" x14ac:dyDescent="0.3">
      <c r="H14373" t="str">
        <f t="shared" si="274"/>
        <v/>
      </c>
    </row>
    <row r="14374" spans="8:8" x14ac:dyDescent="0.3">
      <c r="H14374" t="str">
        <f t="shared" si="274"/>
        <v/>
      </c>
    </row>
    <row r="14375" spans="8:8" x14ac:dyDescent="0.3">
      <c r="H14375" t="str">
        <f t="shared" si="274"/>
        <v/>
      </c>
    </row>
    <row r="14376" spans="8:8" x14ac:dyDescent="0.3">
      <c r="H14376" t="str">
        <f t="shared" si="274"/>
        <v/>
      </c>
    </row>
    <row r="14377" spans="8:8" x14ac:dyDescent="0.3">
      <c r="H14377" t="str">
        <f t="shared" si="274"/>
        <v/>
      </c>
    </row>
    <row r="14378" spans="8:8" x14ac:dyDescent="0.3">
      <c r="H14378" t="str">
        <f t="shared" si="274"/>
        <v/>
      </c>
    </row>
    <row r="14379" spans="8:8" x14ac:dyDescent="0.3">
      <c r="H14379" t="str">
        <f t="shared" si="274"/>
        <v/>
      </c>
    </row>
    <row r="14380" spans="8:8" x14ac:dyDescent="0.3">
      <c r="H14380" t="str">
        <f t="shared" si="274"/>
        <v/>
      </c>
    </row>
    <row r="14381" spans="8:8" x14ac:dyDescent="0.3">
      <c r="H14381" t="str">
        <f t="shared" si="274"/>
        <v/>
      </c>
    </row>
    <row r="14382" spans="8:8" x14ac:dyDescent="0.3">
      <c r="H14382" t="str">
        <f t="shared" si="274"/>
        <v/>
      </c>
    </row>
    <row r="14383" spans="8:8" x14ac:dyDescent="0.3">
      <c r="H14383" t="str">
        <f t="shared" si="274"/>
        <v/>
      </c>
    </row>
    <row r="14384" spans="8:8" x14ac:dyDescent="0.3">
      <c r="H14384" t="str">
        <f t="shared" si="274"/>
        <v/>
      </c>
    </row>
    <row r="14385" spans="8:8" x14ac:dyDescent="0.3">
      <c r="H14385" t="str">
        <f t="shared" si="274"/>
        <v/>
      </c>
    </row>
    <row r="14386" spans="8:8" x14ac:dyDescent="0.3">
      <c r="H14386" t="str">
        <f t="shared" si="274"/>
        <v/>
      </c>
    </row>
    <row r="14387" spans="8:8" x14ac:dyDescent="0.3">
      <c r="H14387" t="str">
        <f t="shared" si="274"/>
        <v/>
      </c>
    </row>
    <row r="14388" spans="8:8" x14ac:dyDescent="0.3">
      <c r="H14388" t="str">
        <f t="shared" si="274"/>
        <v/>
      </c>
    </row>
    <row r="14389" spans="8:8" x14ac:dyDescent="0.3">
      <c r="H14389" t="str">
        <f t="shared" si="274"/>
        <v/>
      </c>
    </row>
    <row r="14390" spans="8:8" x14ac:dyDescent="0.3">
      <c r="H14390" t="str">
        <f t="shared" si="274"/>
        <v/>
      </c>
    </row>
    <row r="14391" spans="8:8" x14ac:dyDescent="0.3">
      <c r="H14391" t="str">
        <f t="shared" si="274"/>
        <v/>
      </c>
    </row>
    <row r="14392" spans="8:8" x14ac:dyDescent="0.3">
      <c r="H14392" t="str">
        <f t="shared" si="274"/>
        <v/>
      </c>
    </row>
    <row r="14393" spans="8:8" x14ac:dyDescent="0.3">
      <c r="H14393" t="str">
        <f t="shared" si="274"/>
        <v/>
      </c>
    </row>
    <row r="14394" spans="8:8" x14ac:dyDescent="0.3">
      <c r="H14394" t="str">
        <f t="shared" si="274"/>
        <v/>
      </c>
    </row>
    <row r="14395" spans="8:8" x14ac:dyDescent="0.3">
      <c r="H14395" t="str">
        <f t="shared" si="274"/>
        <v/>
      </c>
    </row>
    <row r="14396" spans="8:8" x14ac:dyDescent="0.3">
      <c r="H14396" t="str">
        <f t="shared" si="274"/>
        <v/>
      </c>
    </row>
    <row r="14397" spans="8:8" x14ac:dyDescent="0.3">
      <c r="H14397" t="str">
        <f t="shared" si="274"/>
        <v/>
      </c>
    </row>
    <row r="14398" spans="8:8" x14ac:dyDescent="0.3">
      <c r="H14398" t="str">
        <f t="shared" si="274"/>
        <v/>
      </c>
    </row>
    <row r="14399" spans="8:8" x14ac:dyDescent="0.3">
      <c r="H14399" t="str">
        <f t="shared" si="274"/>
        <v/>
      </c>
    </row>
    <row r="14400" spans="8:8" x14ac:dyDescent="0.3">
      <c r="H14400" t="str">
        <f t="shared" si="274"/>
        <v/>
      </c>
    </row>
    <row r="14401" spans="8:8" x14ac:dyDescent="0.3">
      <c r="H14401" t="str">
        <f t="shared" si="274"/>
        <v/>
      </c>
    </row>
    <row r="14402" spans="8:8" x14ac:dyDescent="0.3">
      <c r="H14402" t="str">
        <f t="shared" si="274"/>
        <v/>
      </c>
    </row>
    <row r="14403" spans="8:8" x14ac:dyDescent="0.3">
      <c r="H14403" t="str">
        <f t="shared" si="274"/>
        <v/>
      </c>
    </row>
    <row r="14404" spans="8:8" x14ac:dyDescent="0.3">
      <c r="H14404" t="str">
        <f t="shared" si="274"/>
        <v/>
      </c>
    </row>
    <row r="14405" spans="8:8" x14ac:dyDescent="0.3">
      <c r="H14405" t="str">
        <f t="shared" si="274"/>
        <v/>
      </c>
    </row>
    <row r="14406" spans="8:8" x14ac:dyDescent="0.3">
      <c r="H14406" t="str">
        <f t="shared" si="274"/>
        <v/>
      </c>
    </row>
    <row r="14407" spans="8:8" x14ac:dyDescent="0.3">
      <c r="H14407" t="str">
        <f t="shared" si="274"/>
        <v/>
      </c>
    </row>
    <row r="14408" spans="8:8" x14ac:dyDescent="0.3">
      <c r="H14408" t="str">
        <f t="shared" si="274"/>
        <v/>
      </c>
    </row>
    <row r="14409" spans="8:8" x14ac:dyDescent="0.3">
      <c r="H14409" t="str">
        <f t="shared" si="274"/>
        <v/>
      </c>
    </row>
    <row r="14410" spans="8:8" x14ac:dyDescent="0.3">
      <c r="H14410" t="str">
        <f t="shared" si="274"/>
        <v/>
      </c>
    </row>
    <row r="14411" spans="8:8" x14ac:dyDescent="0.3">
      <c r="H14411" t="str">
        <f t="shared" si="274"/>
        <v/>
      </c>
    </row>
    <row r="14412" spans="8:8" x14ac:dyDescent="0.3">
      <c r="H14412" t="str">
        <f t="shared" si="274"/>
        <v/>
      </c>
    </row>
    <row r="14413" spans="8:8" x14ac:dyDescent="0.3">
      <c r="H14413" t="str">
        <f t="shared" si="274"/>
        <v/>
      </c>
    </row>
    <row r="14414" spans="8:8" x14ac:dyDescent="0.3">
      <c r="H14414" t="str">
        <f t="shared" si="274"/>
        <v/>
      </c>
    </row>
    <row r="14415" spans="8:8" x14ac:dyDescent="0.3">
      <c r="H14415" t="str">
        <f t="shared" si="274"/>
        <v/>
      </c>
    </row>
    <row r="14416" spans="8:8" x14ac:dyDescent="0.3">
      <c r="H14416" t="str">
        <f t="shared" si="274"/>
        <v/>
      </c>
    </row>
    <row r="14417" spans="8:8" x14ac:dyDescent="0.3">
      <c r="H14417" t="str">
        <f t="shared" si="274"/>
        <v/>
      </c>
    </row>
    <row r="14418" spans="8:8" x14ac:dyDescent="0.3">
      <c r="H14418" t="str">
        <f t="shared" si="274"/>
        <v/>
      </c>
    </row>
    <row r="14419" spans="8:8" x14ac:dyDescent="0.3">
      <c r="H14419" t="str">
        <f t="shared" si="274"/>
        <v/>
      </c>
    </row>
    <row r="14420" spans="8:8" x14ac:dyDescent="0.3">
      <c r="H14420" t="str">
        <f t="shared" si="274"/>
        <v/>
      </c>
    </row>
    <row r="14421" spans="8:8" x14ac:dyDescent="0.3">
      <c r="H14421" t="str">
        <f t="shared" si="274"/>
        <v/>
      </c>
    </row>
    <row r="14422" spans="8:8" x14ac:dyDescent="0.3">
      <c r="H14422" t="str">
        <f t="shared" si="274"/>
        <v/>
      </c>
    </row>
    <row r="14423" spans="8:8" x14ac:dyDescent="0.3">
      <c r="H14423" t="str">
        <f t="shared" ref="H14423:H14486" si="275">IF(B14423="","",$C$12)</f>
        <v/>
      </c>
    </row>
    <row r="14424" spans="8:8" x14ac:dyDescent="0.3">
      <c r="H14424" t="str">
        <f t="shared" si="275"/>
        <v/>
      </c>
    </row>
    <row r="14425" spans="8:8" x14ac:dyDescent="0.3">
      <c r="H14425" t="str">
        <f t="shared" si="275"/>
        <v/>
      </c>
    </row>
    <row r="14426" spans="8:8" x14ac:dyDescent="0.3">
      <c r="H14426" t="str">
        <f t="shared" si="275"/>
        <v/>
      </c>
    </row>
    <row r="14427" spans="8:8" x14ac:dyDescent="0.3">
      <c r="H14427" t="str">
        <f t="shared" si="275"/>
        <v/>
      </c>
    </row>
    <row r="14428" spans="8:8" x14ac:dyDescent="0.3">
      <c r="H14428" t="str">
        <f t="shared" si="275"/>
        <v/>
      </c>
    </row>
    <row r="14429" spans="8:8" x14ac:dyDescent="0.3">
      <c r="H14429" t="str">
        <f t="shared" si="275"/>
        <v/>
      </c>
    </row>
    <row r="14430" spans="8:8" x14ac:dyDescent="0.3">
      <c r="H14430" t="str">
        <f t="shared" si="275"/>
        <v/>
      </c>
    </row>
    <row r="14431" spans="8:8" x14ac:dyDescent="0.3">
      <c r="H14431" t="str">
        <f t="shared" si="275"/>
        <v/>
      </c>
    </row>
    <row r="14432" spans="8:8" x14ac:dyDescent="0.3">
      <c r="H14432" t="str">
        <f t="shared" si="275"/>
        <v/>
      </c>
    </row>
    <row r="14433" spans="8:8" x14ac:dyDescent="0.3">
      <c r="H14433" t="str">
        <f t="shared" si="275"/>
        <v/>
      </c>
    </row>
    <row r="14434" spans="8:8" x14ac:dyDescent="0.3">
      <c r="H14434" t="str">
        <f t="shared" si="275"/>
        <v/>
      </c>
    </row>
    <row r="14435" spans="8:8" x14ac:dyDescent="0.3">
      <c r="H14435" t="str">
        <f t="shared" si="275"/>
        <v/>
      </c>
    </row>
    <row r="14436" spans="8:8" x14ac:dyDescent="0.3">
      <c r="H14436" t="str">
        <f t="shared" si="275"/>
        <v/>
      </c>
    </row>
    <row r="14437" spans="8:8" x14ac:dyDescent="0.3">
      <c r="H14437" t="str">
        <f t="shared" si="275"/>
        <v/>
      </c>
    </row>
    <row r="14438" spans="8:8" x14ac:dyDescent="0.3">
      <c r="H14438" t="str">
        <f t="shared" si="275"/>
        <v/>
      </c>
    </row>
    <row r="14439" spans="8:8" x14ac:dyDescent="0.3">
      <c r="H14439" t="str">
        <f t="shared" si="275"/>
        <v/>
      </c>
    </row>
    <row r="14440" spans="8:8" x14ac:dyDescent="0.3">
      <c r="H14440" t="str">
        <f t="shared" si="275"/>
        <v/>
      </c>
    </row>
    <row r="14441" spans="8:8" x14ac:dyDescent="0.3">
      <c r="H14441" t="str">
        <f t="shared" si="275"/>
        <v/>
      </c>
    </row>
    <row r="14442" spans="8:8" x14ac:dyDescent="0.3">
      <c r="H14442" t="str">
        <f t="shared" si="275"/>
        <v/>
      </c>
    </row>
    <row r="14443" spans="8:8" x14ac:dyDescent="0.3">
      <c r="H14443" t="str">
        <f t="shared" si="275"/>
        <v/>
      </c>
    </row>
    <row r="14444" spans="8:8" x14ac:dyDescent="0.3">
      <c r="H14444" t="str">
        <f t="shared" si="275"/>
        <v/>
      </c>
    </row>
    <row r="14445" spans="8:8" x14ac:dyDescent="0.3">
      <c r="H14445" t="str">
        <f t="shared" si="275"/>
        <v/>
      </c>
    </row>
    <row r="14446" spans="8:8" x14ac:dyDescent="0.3">
      <c r="H14446" t="str">
        <f t="shared" si="275"/>
        <v/>
      </c>
    </row>
    <row r="14447" spans="8:8" x14ac:dyDescent="0.3">
      <c r="H14447" t="str">
        <f t="shared" si="275"/>
        <v/>
      </c>
    </row>
    <row r="14448" spans="8:8" x14ac:dyDescent="0.3">
      <c r="H14448" t="str">
        <f t="shared" si="275"/>
        <v/>
      </c>
    </row>
    <row r="14449" spans="8:8" x14ac:dyDescent="0.3">
      <c r="H14449" t="str">
        <f t="shared" si="275"/>
        <v/>
      </c>
    </row>
    <row r="14450" spans="8:8" x14ac:dyDescent="0.3">
      <c r="H14450" t="str">
        <f t="shared" si="275"/>
        <v/>
      </c>
    </row>
    <row r="14451" spans="8:8" x14ac:dyDescent="0.3">
      <c r="H14451" t="str">
        <f t="shared" si="275"/>
        <v/>
      </c>
    </row>
    <row r="14452" spans="8:8" x14ac:dyDescent="0.3">
      <c r="H14452" t="str">
        <f t="shared" si="275"/>
        <v/>
      </c>
    </row>
    <row r="14453" spans="8:8" x14ac:dyDescent="0.3">
      <c r="H14453" t="str">
        <f t="shared" si="275"/>
        <v/>
      </c>
    </row>
    <row r="14454" spans="8:8" x14ac:dyDescent="0.3">
      <c r="H14454" t="str">
        <f t="shared" si="275"/>
        <v/>
      </c>
    </row>
    <row r="14455" spans="8:8" x14ac:dyDescent="0.3">
      <c r="H14455" t="str">
        <f t="shared" si="275"/>
        <v/>
      </c>
    </row>
    <row r="14456" spans="8:8" x14ac:dyDescent="0.3">
      <c r="H14456" t="str">
        <f t="shared" si="275"/>
        <v/>
      </c>
    </row>
    <row r="14457" spans="8:8" x14ac:dyDescent="0.3">
      <c r="H14457" t="str">
        <f t="shared" si="275"/>
        <v/>
      </c>
    </row>
    <row r="14458" spans="8:8" x14ac:dyDescent="0.3">
      <c r="H14458" t="str">
        <f t="shared" si="275"/>
        <v/>
      </c>
    </row>
    <row r="14459" spans="8:8" x14ac:dyDescent="0.3">
      <c r="H14459" t="str">
        <f t="shared" si="275"/>
        <v/>
      </c>
    </row>
    <row r="14460" spans="8:8" x14ac:dyDescent="0.3">
      <c r="H14460" t="str">
        <f t="shared" si="275"/>
        <v/>
      </c>
    </row>
    <row r="14461" spans="8:8" x14ac:dyDescent="0.3">
      <c r="H14461" t="str">
        <f t="shared" si="275"/>
        <v/>
      </c>
    </row>
    <row r="14462" spans="8:8" x14ac:dyDescent="0.3">
      <c r="H14462" t="str">
        <f t="shared" si="275"/>
        <v/>
      </c>
    </row>
    <row r="14463" spans="8:8" x14ac:dyDescent="0.3">
      <c r="H14463" t="str">
        <f t="shared" si="275"/>
        <v/>
      </c>
    </row>
    <row r="14464" spans="8:8" x14ac:dyDescent="0.3">
      <c r="H14464" t="str">
        <f t="shared" si="275"/>
        <v/>
      </c>
    </row>
    <row r="14465" spans="8:8" x14ac:dyDescent="0.3">
      <c r="H14465" t="str">
        <f t="shared" si="275"/>
        <v/>
      </c>
    </row>
    <row r="14466" spans="8:8" x14ac:dyDescent="0.3">
      <c r="H14466" t="str">
        <f t="shared" si="275"/>
        <v/>
      </c>
    </row>
    <row r="14467" spans="8:8" x14ac:dyDescent="0.3">
      <c r="H14467" t="str">
        <f t="shared" si="275"/>
        <v/>
      </c>
    </row>
    <row r="14468" spans="8:8" x14ac:dyDescent="0.3">
      <c r="H14468" t="str">
        <f t="shared" si="275"/>
        <v/>
      </c>
    </row>
    <row r="14469" spans="8:8" x14ac:dyDescent="0.3">
      <c r="H14469" t="str">
        <f t="shared" si="275"/>
        <v/>
      </c>
    </row>
    <row r="14470" spans="8:8" x14ac:dyDescent="0.3">
      <c r="H14470" t="str">
        <f t="shared" si="275"/>
        <v/>
      </c>
    </row>
    <row r="14471" spans="8:8" x14ac:dyDescent="0.3">
      <c r="H14471" t="str">
        <f t="shared" si="275"/>
        <v/>
      </c>
    </row>
    <row r="14472" spans="8:8" x14ac:dyDescent="0.3">
      <c r="H14472" t="str">
        <f t="shared" si="275"/>
        <v/>
      </c>
    </row>
    <row r="14473" spans="8:8" x14ac:dyDescent="0.3">
      <c r="H14473" t="str">
        <f t="shared" si="275"/>
        <v/>
      </c>
    </row>
    <row r="14474" spans="8:8" x14ac:dyDescent="0.3">
      <c r="H14474" t="str">
        <f t="shared" si="275"/>
        <v/>
      </c>
    </row>
    <row r="14475" spans="8:8" x14ac:dyDescent="0.3">
      <c r="H14475" t="str">
        <f t="shared" si="275"/>
        <v/>
      </c>
    </row>
    <row r="14476" spans="8:8" x14ac:dyDescent="0.3">
      <c r="H14476" t="str">
        <f t="shared" si="275"/>
        <v/>
      </c>
    </row>
    <row r="14477" spans="8:8" x14ac:dyDescent="0.3">
      <c r="H14477" t="str">
        <f t="shared" si="275"/>
        <v/>
      </c>
    </row>
    <row r="14478" spans="8:8" x14ac:dyDescent="0.3">
      <c r="H14478" t="str">
        <f t="shared" si="275"/>
        <v/>
      </c>
    </row>
    <row r="14479" spans="8:8" x14ac:dyDescent="0.3">
      <c r="H14479" t="str">
        <f t="shared" si="275"/>
        <v/>
      </c>
    </row>
    <row r="14480" spans="8:8" x14ac:dyDescent="0.3">
      <c r="H14480" t="str">
        <f t="shared" si="275"/>
        <v/>
      </c>
    </row>
    <row r="14481" spans="8:8" x14ac:dyDescent="0.3">
      <c r="H14481" t="str">
        <f t="shared" si="275"/>
        <v/>
      </c>
    </row>
    <row r="14482" spans="8:8" x14ac:dyDescent="0.3">
      <c r="H14482" t="str">
        <f t="shared" si="275"/>
        <v/>
      </c>
    </row>
    <row r="14483" spans="8:8" x14ac:dyDescent="0.3">
      <c r="H14483" t="str">
        <f t="shared" si="275"/>
        <v/>
      </c>
    </row>
    <row r="14484" spans="8:8" x14ac:dyDescent="0.3">
      <c r="H14484" t="str">
        <f t="shared" si="275"/>
        <v/>
      </c>
    </row>
    <row r="14485" spans="8:8" x14ac:dyDescent="0.3">
      <c r="H14485" t="str">
        <f t="shared" si="275"/>
        <v/>
      </c>
    </row>
    <row r="14486" spans="8:8" x14ac:dyDescent="0.3">
      <c r="H14486" t="str">
        <f t="shared" si="275"/>
        <v/>
      </c>
    </row>
    <row r="14487" spans="8:8" x14ac:dyDescent="0.3">
      <c r="H14487" t="str">
        <f t="shared" ref="H14487:H14550" si="276">IF(B14487="","",$C$12)</f>
        <v/>
      </c>
    </row>
    <row r="14488" spans="8:8" x14ac:dyDescent="0.3">
      <c r="H14488" t="str">
        <f t="shared" si="276"/>
        <v/>
      </c>
    </row>
    <row r="14489" spans="8:8" x14ac:dyDescent="0.3">
      <c r="H14489" t="str">
        <f t="shared" si="276"/>
        <v/>
      </c>
    </row>
    <row r="14490" spans="8:8" x14ac:dyDescent="0.3">
      <c r="H14490" t="str">
        <f t="shared" si="276"/>
        <v/>
      </c>
    </row>
    <row r="14491" spans="8:8" x14ac:dyDescent="0.3">
      <c r="H14491" t="str">
        <f t="shared" si="276"/>
        <v/>
      </c>
    </row>
    <row r="14492" spans="8:8" x14ac:dyDescent="0.3">
      <c r="H14492" t="str">
        <f t="shared" si="276"/>
        <v/>
      </c>
    </row>
    <row r="14493" spans="8:8" x14ac:dyDescent="0.3">
      <c r="H14493" t="str">
        <f t="shared" si="276"/>
        <v/>
      </c>
    </row>
    <row r="14494" spans="8:8" x14ac:dyDescent="0.3">
      <c r="H14494" t="str">
        <f t="shared" si="276"/>
        <v/>
      </c>
    </row>
    <row r="14495" spans="8:8" x14ac:dyDescent="0.3">
      <c r="H14495" t="str">
        <f t="shared" si="276"/>
        <v/>
      </c>
    </row>
    <row r="14496" spans="8:8" x14ac:dyDescent="0.3">
      <c r="H14496" t="str">
        <f t="shared" si="276"/>
        <v/>
      </c>
    </row>
    <row r="14497" spans="8:8" x14ac:dyDescent="0.3">
      <c r="H14497" t="str">
        <f t="shared" si="276"/>
        <v/>
      </c>
    </row>
    <row r="14498" spans="8:8" x14ac:dyDescent="0.3">
      <c r="H14498" t="str">
        <f t="shared" si="276"/>
        <v/>
      </c>
    </row>
    <row r="14499" spans="8:8" x14ac:dyDescent="0.3">
      <c r="H14499" t="str">
        <f t="shared" si="276"/>
        <v/>
      </c>
    </row>
    <row r="14500" spans="8:8" x14ac:dyDescent="0.3">
      <c r="H14500" t="str">
        <f t="shared" si="276"/>
        <v/>
      </c>
    </row>
    <row r="14501" spans="8:8" x14ac:dyDescent="0.3">
      <c r="H14501" t="str">
        <f t="shared" si="276"/>
        <v/>
      </c>
    </row>
    <row r="14502" spans="8:8" x14ac:dyDescent="0.3">
      <c r="H14502" t="str">
        <f t="shared" si="276"/>
        <v/>
      </c>
    </row>
    <row r="14503" spans="8:8" x14ac:dyDescent="0.3">
      <c r="H14503" t="str">
        <f t="shared" si="276"/>
        <v/>
      </c>
    </row>
    <row r="14504" spans="8:8" x14ac:dyDescent="0.3">
      <c r="H14504" t="str">
        <f t="shared" si="276"/>
        <v/>
      </c>
    </row>
    <row r="14505" spans="8:8" x14ac:dyDescent="0.3">
      <c r="H14505" t="str">
        <f t="shared" si="276"/>
        <v/>
      </c>
    </row>
    <row r="14506" spans="8:8" x14ac:dyDescent="0.3">
      <c r="H14506" t="str">
        <f t="shared" si="276"/>
        <v/>
      </c>
    </row>
    <row r="14507" spans="8:8" x14ac:dyDescent="0.3">
      <c r="H14507" t="str">
        <f t="shared" si="276"/>
        <v/>
      </c>
    </row>
    <row r="14508" spans="8:8" x14ac:dyDescent="0.3">
      <c r="H14508" t="str">
        <f t="shared" si="276"/>
        <v/>
      </c>
    </row>
    <row r="14509" spans="8:8" x14ac:dyDescent="0.3">
      <c r="H14509" t="str">
        <f t="shared" si="276"/>
        <v/>
      </c>
    </row>
    <row r="14510" spans="8:8" x14ac:dyDescent="0.3">
      <c r="H14510" t="str">
        <f t="shared" si="276"/>
        <v/>
      </c>
    </row>
    <row r="14511" spans="8:8" x14ac:dyDescent="0.3">
      <c r="H14511" t="str">
        <f t="shared" si="276"/>
        <v/>
      </c>
    </row>
    <row r="14512" spans="8:8" x14ac:dyDescent="0.3">
      <c r="H14512" t="str">
        <f t="shared" si="276"/>
        <v/>
      </c>
    </row>
    <row r="14513" spans="8:8" x14ac:dyDescent="0.3">
      <c r="H14513" t="str">
        <f t="shared" si="276"/>
        <v/>
      </c>
    </row>
    <row r="14514" spans="8:8" x14ac:dyDescent="0.3">
      <c r="H14514" t="str">
        <f t="shared" si="276"/>
        <v/>
      </c>
    </row>
    <row r="14515" spans="8:8" x14ac:dyDescent="0.3">
      <c r="H14515" t="str">
        <f t="shared" si="276"/>
        <v/>
      </c>
    </row>
    <row r="14516" spans="8:8" x14ac:dyDescent="0.3">
      <c r="H14516" t="str">
        <f t="shared" si="276"/>
        <v/>
      </c>
    </row>
    <row r="14517" spans="8:8" x14ac:dyDescent="0.3">
      <c r="H14517" t="str">
        <f t="shared" si="276"/>
        <v/>
      </c>
    </row>
    <row r="14518" spans="8:8" x14ac:dyDescent="0.3">
      <c r="H14518" t="str">
        <f t="shared" si="276"/>
        <v/>
      </c>
    </row>
    <row r="14519" spans="8:8" x14ac:dyDescent="0.3">
      <c r="H14519" t="str">
        <f t="shared" si="276"/>
        <v/>
      </c>
    </row>
    <row r="14520" spans="8:8" x14ac:dyDescent="0.3">
      <c r="H14520" t="str">
        <f t="shared" si="276"/>
        <v/>
      </c>
    </row>
    <row r="14521" spans="8:8" x14ac:dyDescent="0.3">
      <c r="H14521" t="str">
        <f t="shared" si="276"/>
        <v/>
      </c>
    </row>
    <row r="14522" spans="8:8" x14ac:dyDescent="0.3">
      <c r="H14522" t="str">
        <f t="shared" si="276"/>
        <v/>
      </c>
    </row>
    <row r="14523" spans="8:8" x14ac:dyDescent="0.3">
      <c r="H14523" t="str">
        <f t="shared" si="276"/>
        <v/>
      </c>
    </row>
    <row r="14524" spans="8:8" x14ac:dyDescent="0.3">
      <c r="H14524" t="str">
        <f t="shared" si="276"/>
        <v/>
      </c>
    </row>
    <row r="14525" spans="8:8" x14ac:dyDescent="0.3">
      <c r="H14525" t="str">
        <f t="shared" si="276"/>
        <v/>
      </c>
    </row>
    <row r="14526" spans="8:8" x14ac:dyDescent="0.3">
      <c r="H14526" t="str">
        <f t="shared" si="276"/>
        <v/>
      </c>
    </row>
    <row r="14527" spans="8:8" x14ac:dyDescent="0.3">
      <c r="H14527" t="str">
        <f t="shared" si="276"/>
        <v/>
      </c>
    </row>
    <row r="14528" spans="8:8" x14ac:dyDescent="0.3">
      <c r="H14528" t="str">
        <f t="shared" si="276"/>
        <v/>
      </c>
    </row>
    <row r="14529" spans="8:8" x14ac:dyDescent="0.3">
      <c r="H14529" t="str">
        <f t="shared" si="276"/>
        <v/>
      </c>
    </row>
    <row r="14530" spans="8:8" x14ac:dyDescent="0.3">
      <c r="H14530" t="str">
        <f t="shared" si="276"/>
        <v/>
      </c>
    </row>
    <row r="14531" spans="8:8" x14ac:dyDescent="0.3">
      <c r="H14531" t="str">
        <f t="shared" si="276"/>
        <v/>
      </c>
    </row>
    <row r="14532" spans="8:8" x14ac:dyDescent="0.3">
      <c r="H14532" t="str">
        <f t="shared" si="276"/>
        <v/>
      </c>
    </row>
    <row r="14533" spans="8:8" x14ac:dyDescent="0.3">
      <c r="H14533" t="str">
        <f t="shared" si="276"/>
        <v/>
      </c>
    </row>
    <row r="14534" spans="8:8" x14ac:dyDescent="0.3">
      <c r="H14534" t="str">
        <f t="shared" si="276"/>
        <v/>
      </c>
    </row>
    <row r="14535" spans="8:8" x14ac:dyDescent="0.3">
      <c r="H14535" t="str">
        <f t="shared" si="276"/>
        <v/>
      </c>
    </row>
    <row r="14536" spans="8:8" x14ac:dyDescent="0.3">
      <c r="H14536" t="str">
        <f t="shared" si="276"/>
        <v/>
      </c>
    </row>
    <row r="14537" spans="8:8" x14ac:dyDescent="0.3">
      <c r="H14537" t="str">
        <f t="shared" si="276"/>
        <v/>
      </c>
    </row>
    <row r="14538" spans="8:8" x14ac:dyDescent="0.3">
      <c r="H14538" t="str">
        <f t="shared" si="276"/>
        <v/>
      </c>
    </row>
    <row r="14539" spans="8:8" x14ac:dyDescent="0.3">
      <c r="H14539" t="str">
        <f t="shared" si="276"/>
        <v/>
      </c>
    </row>
    <row r="14540" spans="8:8" x14ac:dyDescent="0.3">
      <c r="H14540" t="str">
        <f t="shared" si="276"/>
        <v/>
      </c>
    </row>
    <row r="14541" spans="8:8" x14ac:dyDescent="0.3">
      <c r="H14541" t="str">
        <f t="shared" si="276"/>
        <v/>
      </c>
    </row>
    <row r="14542" spans="8:8" x14ac:dyDescent="0.3">
      <c r="H14542" t="str">
        <f t="shared" si="276"/>
        <v/>
      </c>
    </row>
    <row r="14543" spans="8:8" x14ac:dyDescent="0.3">
      <c r="H14543" t="str">
        <f t="shared" si="276"/>
        <v/>
      </c>
    </row>
    <row r="14544" spans="8:8" x14ac:dyDescent="0.3">
      <c r="H14544" t="str">
        <f t="shared" si="276"/>
        <v/>
      </c>
    </row>
    <row r="14545" spans="8:8" x14ac:dyDescent="0.3">
      <c r="H14545" t="str">
        <f t="shared" si="276"/>
        <v/>
      </c>
    </row>
    <row r="14546" spans="8:8" x14ac:dyDescent="0.3">
      <c r="H14546" t="str">
        <f t="shared" si="276"/>
        <v/>
      </c>
    </row>
    <row r="14547" spans="8:8" x14ac:dyDescent="0.3">
      <c r="H14547" t="str">
        <f t="shared" si="276"/>
        <v/>
      </c>
    </row>
    <row r="14548" spans="8:8" x14ac:dyDescent="0.3">
      <c r="H14548" t="str">
        <f t="shared" si="276"/>
        <v/>
      </c>
    </row>
    <row r="14549" spans="8:8" x14ac:dyDescent="0.3">
      <c r="H14549" t="str">
        <f t="shared" si="276"/>
        <v/>
      </c>
    </row>
    <row r="14550" spans="8:8" x14ac:dyDescent="0.3">
      <c r="H14550" t="str">
        <f t="shared" si="276"/>
        <v/>
      </c>
    </row>
    <row r="14551" spans="8:8" x14ac:dyDescent="0.3">
      <c r="H14551" t="str">
        <f t="shared" ref="H14551:H14614" si="277">IF(B14551="","",$C$12)</f>
        <v/>
      </c>
    </row>
    <row r="14552" spans="8:8" x14ac:dyDescent="0.3">
      <c r="H14552" t="str">
        <f t="shared" si="277"/>
        <v/>
      </c>
    </row>
    <row r="14553" spans="8:8" x14ac:dyDescent="0.3">
      <c r="H14553" t="str">
        <f t="shared" si="277"/>
        <v/>
      </c>
    </row>
    <row r="14554" spans="8:8" x14ac:dyDescent="0.3">
      <c r="H14554" t="str">
        <f t="shared" si="277"/>
        <v/>
      </c>
    </row>
    <row r="14555" spans="8:8" x14ac:dyDescent="0.3">
      <c r="H14555" t="str">
        <f t="shared" si="277"/>
        <v/>
      </c>
    </row>
    <row r="14556" spans="8:8" x14ac:dyDescent="0.3">
      <c r="H14556" t="str">
        <f t="shared" si="277"/>
        <v/>
      </c>
    </row>
    <row r="14557" spans="8:8" x14ac:dyDescent="0.3">
      <c r="H14557" t="str">
        <f t="shared" si="277"/>
        <v/>
      </c>
    </row>
    <row r="14558" spans="8:8" x14ac:dyDescent="0.3">
      <c r="H14558" t="str">
        <f t="shared" si="277"/>
        <v/>
      </c>
    </row>
    <row r="14559" spans="8:8" x14ac:dyDescent="0.3">
      <c r="H14559" t="str">
        <f t="shared" si="277"/>
        <v/>
      </c>
    </row>
    <row r="14560" spans="8:8" x14ac:dyDescent="0.3">
      <c r="H14560" t="str">
        <f t="shared" si="277"/>
        <v/>
      </c>
    </row>
    <row r="14561" spans="8:8" x14ac:dyDescent="0.3">
      <c r="H14561" t="str">
        <f t="shared" si="277"/>
        <v/>
      </c>
    </row>
    <row r="14562" spans="8:8" x14ac:dyDescent="0.3">
      <c r="H14562" t="str">
        <f t="shared" si="277"/>
        <v/>
      </c>
    </row>
    <row r="14563" spans="8:8" x14ac:dyDescent="0.3">
      <c r="H14563" t="str">
        <f t="shared" si="277"/>
        <v/>
      </c>
    </row>
    <row r="14564" spans="8:8" x14ac:dyDescent="0.3">
      <c r="H14564" t="str">
        <f t="shared" si="277"/>
        <v/>
      </c>
    </row>
    <row r="14565" spans="8:8" x14ac:dyDescent="0.3">
      <c r="H14565" t="str">
        <f t="shared" si="277"/>
        <v/>
      </c>
    </row>
    <row r="14566" spans="8:8" x14ac:dyDescent="0.3">
      <c r="H14566" t="str">
        <f t="shared" si="277"/>
        <v/>
      </c>
    </row>
    <row r="14567" spans="8:8" x14ac:dyDescent="0.3">
      <c r="H14567" t="str">
        <f t="shared" si="277"/>
        <v/>
      </c>
    </row>
    <row r="14568" spans="8:8" x14ac:dyDescent="0.3">
      <c r="H14568" t="str">
        <f t="shared" si="277"/>
        <v/>
      </c>
    </row>
    <row r="14569" spans="8:8" x14ac:dyDescent="0.3">
      <c r="H14569" t="str">
        <f t="shared" si="277"/>
        <v/>
      </c>
    </row>
    <row r="14570" spans="8:8" x14ac:dyDescent="0.3">
      <c r="H14570" t="str">
        <f t="shared" si="277"/>
        <v/>
      </c>
    </row>
    <row r="14571" spans="8:8" x14ac:dyDescent="0.3">
      <c r="H14571" t="str">
        <f t="shared" si="277"/>
        <v/>
      </c>
    </row>
    <row r="14572" spans="8:8" x14ac:dyDescent="0.3">
      <c r="H14572" t="str">
        <f t="shared" si="277"/>
        <v/>
      </c>
    </row>
    <row r="14573" spans="8:8" x14ac:dyDescent="0.3">
      <c r="H14573" t="str">
        <f t="shared" si="277"/>
        <v/>
      </c>
    </row>
    <row r="14574" spans="8:8" x14ac:dyDescent="0.3">
      <c r="H14574" t="str">
        <f t="shared" si="277"/>
        <v/>
      </c>
    </row>
    <row r="14575" spans="8:8" x14ac:dyDescent="0.3">
      <c r="H14575" t="str">
        <f t="shared" si="277"/>
        <v/>
      </c>
    </row>
    <row r="14576" spans="8:8" x14ac:dyDescent="0.3">
      <c r="H14576" t="str">
        <f t="shared" si="277"/>
        <v/>
      </c>
    </row>
    <row r="14577" spans="8:8" x14ac:dyDescent="0.3">
      <c r="H14577" t="str">
        <f t="shared" si="277"/>
        <v/>
      </c>
    </row>
    <row r="14578" spans="8:8" x14ac:dyDescent="0.3">
      <c r="H14578" t="str">
        <f t="shared" si="277"/>
        <v/>
      </c>
    </row>
    <row r="14579" spans="8:8" x14ac:dyDescent="0.3">
      <c r="H14579" t="str">
        <f t="shared" si="277"/>
        <v/>
      </c>
    </row>
    <row r="14580" spans="8:8" x14ac:dyDescent="0.3">
      <c r="H14580" t="str">
        <f t="shared" si="277"/>
        <v/>
      </c>
    </row>
    <row r="14581" spans="8:8" x14ac:dyDescent="0.3">
      <c r="H14581" t="str">
        <f t="shared" si="277"/>
        <v/>
      </c>
    </row>
    <row r="14582" spans="8:8" x14ac:dyDescent="0.3">
      <c r="H14582" t="str">
        <f t="shared" si="277"/>
        <v/>
      </c>
    </row>
    <row r="14583" spans="8:8" x14ac:dyDescent="0.3">
      <c r="H14583" t="str">
        <f t="shared" si="277"/>
        <v/>
      </c>
    </row>
    <row r="14584" spans="8:8" x14ac:dyDescent="0.3">
      <c r="H14584" t="str">
        <f t="shared" si="277"/>
        <v/>
      </c>
    </row>
    <row r="14585" spans="8:8" x14ac:dyDescent="0.3">
      <c r="H14585" t="str">
        <f t="shared" si="277"/>
        <v/>
      </c>
    </row>
    <row r="14586" spans="8:8" x14ac:dyDescent="0.3">
      <c r="H14586" t="str">
        <f t="shared" si="277"/>
        <v/>
      </c>
    </row>
    <row r="14587" spans="8:8" x14ac:dyDescent="0.3">
      <c r="H14587" t="str">
        <f t="shared" si="277"/>
        <v/>
      </c>
    </row>
    <row r="14588" spans="8:8" x14ac:dyDescent="0.3">
      <c r="H14588" t="str">
        <f t="shared" si="277"/>
        <v/>
      </c>
    </row>
    <row r="14589" spans="8:8" x14ac:dyDescent="0.3">
      <c r="H14589" t="str">
        <f t="shared" si="277"/>
        <v/>
      </c>
    </row>
    <row r="14590" spans="8:8" x14ac:dyDescent="0.3">
      <c r="H14590" t="str">
        <f t="shared" si="277"/>
        <v/>
      </c>
    </row>
    <row r="14591" spans="8:8" x14ac:dyDescent="0.3">
      <c r="H14591" t="str">
        <f t="shared" si="277"/>
        <v/>
      </c>
    </row>
    <row r="14592" spans="8:8" x14ac:dyDescent="0.3">
      <c r="H14592" t="str">
        <f t="shared" si="277"/>
        <v/>
      </c>
    </row>
    <row r="14593" spans="8:8" x14ac:dyDescent="0.3">
      <c r="H14593" t="str">
        <f t="shared" si="277"/>
        <v/>
      </c>
    </row>
    <row r="14594" spans="8:8" x14ac:dyDescent="0.3">
      <c r="H14594" t="str">
        <f t="shared" si="277"/>
        <v/>
      </c>
    </row>
    <row r="14595" spans="8:8" x14ac:dyDescent="0.3">
      <c r="H14595" t="str">
        <f t="shared" si="277"/>
        <v/>
      </c>
    </row>
    <row r="14596" spans="8:8" x14ac:dyDescent="0.3">
      <c r="H14596" t="str">
        <f t="shared" si="277"/>
        <v/>
      </c>
    </row>
    <row r="14597" spans="8:8" x14ac:dyDescent="0.3">
      <c r="H14597" t="str">
        <f t="shared" si="277"/>
        <v/>
      </c>
    </row>
    <row r="14598" spans="8:8" x14ac:dyDescent="0.3">
      <c r="H14598" t="str">
        <f t="shared" si="277"/>
        <v/>
      </c>
    </row>
    <row r="14599" spans="8:8" x14ac:dyDescent="0.3">
      <c r="H14599" t="str">
        <f t="shared" si="277"/>
        <v/>
      </c>
    </row>
    <row r="14600" spans="8:8" x14ac:dyDescent="0.3">
      <c r="H14600" t="str">
        <f t="shared" si="277"/>
        <v/>
      </c>
    </row>
    <row r="14601" spans="8:8" x14ac:dyDescent="0.3">
      <c r="H14601" t="str">
        <f t="shared" si="277"/>
        <v/>
      </c>
    </row>
    <row r="14602" spans="8:8" x14ac:dyDescent="0.3">
      <c r="H14602" t="str">
        <f t="shared" si="277"/>
        <v/>
      </c>
    </row>
    <row r="14603" spans="8:8" x14ac:dyDescent="0.3">
      <c r="H14603" t="str">
        <f t="shared" si="277"/>
        <v/>
      </c>
    </row>
    <row r="14604" spans="8:8" x14ac:dyDescent="0.3">
      <c r="H14604" t="str">
        <f t="shared" si="277"/>
        <v/>
      </c>
    </row>
    <row r="14605" spans="8:8" x14ac:dyDescent="0.3">
      <c r="H14605" t="str">
        <f t="shared" si="277"/>
        <v/>
      </c>
    </row>
    <row r="14606" spans="8:8" x14ac:dyDescent="0.3">
      <c r="H14606" t="str">
        <f t="shared" si="277"/>
        <v/>
      </c>
    </row>
    <row r="14607" spans="8:8" x14ac:dyDescent="0.3">
      <c r="H14607" t="str">
        <f t="shared" si="277"/>
        <v/>
      </c>
    </row>
    <row r="14608" spans="8:8" x14ac:dyDescent="0.3">
      <c r="H14608" t="str">
        <f t="shared" si="277"/>
        <v/>
      </c>
    </row>
    <row r="14609" spans="8:8" x14ac:dyDescent="0.3">
      <c r="H14609" t="str">
        <f t="shared" si="277"/>
        <v/>
      </c>
    </row>
    <row r="14610" spans="8:8" x14ac:dyDescent="0.3">
      <c r="H14610" t="str">
        <f t="shared" si="277"/>
        <v/>
      </c>
    </row>
    <row r="14611" spans="8:8" x14ac:dyDescent="0.3">
      <c r="H14611" t="str">
        <f t="shared" si="277"/>
        <v/>
      </c>
    </row>
    <row r="14612" spans="8:8" x14ac:dyDescent="0.3">
      <c r="H14612" t="str">
        <f t="shared" si="277"/>
        <v/>
      </c>
    </row>
    <row r="14613" spans="8:8" x14ac:dyDescent="0.3">
      <c r="H14613" t="str">
        <f t="shared" si="277"/>
        <v/>
      </c>
    </row>
    <row r="14614" spans="8:8" x14ac:dyDescent="0.3">
      <c r="H14614" t="str">
        <f t="shared" si="277"/>
        <v/>
      </c>
    </row>
    <row r="14615" spans="8:8" x14ac:dyDescent="0.3">
      <c r="H14615" t="str">
        <f t="shared" ref="H14615:H14678" si="278">IF(B14615="","",$C$12)</f>
        <v/>
      </c>
    </row>
    <row r="14616" spans="8:8" x14ac:dyDescent="0.3">
      <c r="H14616" t="str">
        <f t="shared" si="278"/>
        <v/>
      </c>
    </row>
    <row r="14617" spans="8:8" x14ac:dyDescent="0.3">
      <c r="H14617" t="str">
        <f t="shared" si="278"/>
        <v/>
      </c>
    </row>
    <row r="14618" spans="8:8" x14ac:dyDescent="0.3">
      <c r="H14618" t="str">
        <f t="shared" si="278"/>
        <v/>
      </c>
    </row>
    <row r="14619" spans="8:8" x14ac:dyDescent="0.3">
      <c r="H14619" t="str">
        <f t="shared" si="278"/>
        <v/>
      </c>
    </row>
    <row r="14620" spans="8:8" x14ac:dyDescent="0.3">
      <c r="H14620" t="str">
        <f t="shared" si="278"/>
        <v/>
      </c>
    </row>
    <row r="14621" spans="8:8" x14ac:dyDescent="0.3">
      <c r="H14621" t="str">
        <f t="shared" si="278"/>
        <v/>
      </c>
    </row>
    <row r="14622" spans="8:8" x14ac:dyDescent="0.3">
      <c r="H14622" t="str">
        <f t="shared" si="278"/>
        <v/>
      </c>
    </row>
    <row r="14623" spans="8:8" x14ac:dyDescent="0.3">
      <c r="H14623" t="str">
        <f t="shared" si="278"/>
        <v/>
      </c>
    </row>
    <row r="14624" spans="8:8" x14ac:dyDescent="0.3">
      <c r="H14624" t="str">
        <f t="shared" si="278"/>
        <v/>
      </c>
    </row>
    <row r="14625" spans="8:8" x14ac:dyDescent="0.3">
      <c r="H14625" t="str">
        <f t="shared" si="278"/>
        <v/>
      </c>
    </row>
    <row r="14626" spans="8:8" x14ac:dyDescent="0.3">
      <c r="H14626" t="str">
        <f t="shared" si="278"/>
        <v/>
      </c>
    </row>
    <row r="14627" spans="8:8" x14ac:dyDescent="0.3">
      <c r="H14627" t="str">
        <f t="shared" si="278"/>
        <v/>
      </c>
    </row>
    <row r="14628" spans="8:8" x14ac:dyDescent="0.3">
      <c r="H14628" t="str">
        <f t="shared" si="278"/>
        <v/>
      </c>
    </row>
    <row r="14629" spans="8:8" x14ac:dyDescent="0.3">
      <c r="H14629" t="str">
        <f t="shared" si="278"/>
        <v/>
      </c>
    </row>
    <row r="14630" spans="8:8" x14ac:dyDescent="0.3">
      <c r="H14630" t="str">
        <f t="shared" si="278"/>
        <v/>
      </c>
    </row>
    <row r="14631" spans="8:8" x14ac:dyDescent="0.3">
      <c r="H14631" t="str">
        <f t="shared" si="278"/>
        <v/>
      </c>
    </row>
    <row r="14632" spans="8:8" x14ac:dyDescent="0.3">
      <c r="H14632" t="str">
        <f t="shared" si="278"/>
        <v/>
      </c>
    </row>
    <row r="14633" spans="8:8" x14ac:dyDescent="0.3">
      <c r="H14633" t="str">
        <f t="shared" si="278"/>
        <v/>
      </c>
    </row>
    <row r="14634" spans="8:8" x14ac:dyDescent="0.3">
      <c r="H14634" t="str">
        <f t="shared" si="278"/>
        <v/>
      </c>
    </row>
    <row r="14635" spans="8:8" x14ac:dyDescent="0.3">
      <c r="H14635" t="str">
        <f t="shared" si="278"/>
        <v/>
      </c>
    </row>
    <row r="14636" spans="8:8" x14ac:dyDescent="0.3">
      <c r="H14636" t="str">
        <f t="shared" si="278"/>
        <v/>
      </c>
    </row>
    <row r="14637" spans="8:8" x14ac:dyDescent="0.3">
      <c r="H14637" t="str">
        <f t="shared" si="278"/>
        <v/>
      </c>
    </row>
    <row r="14638" spans="8:8" x14ac:dyDescent="0.3">
      <c r="H14638" t="str">
        <f t="shared" si="278"/>
        <v/>
      </c>
    </row>
    <row r="14639" spans="8:8" x14ac:dyDescent="0.3">
      <c r="H14639" t="str">
        <f t="shared" si="278"/>
        <v/>
      </c>
    </row>
    <row r="14640" spans="8:8" x14ac:dyDescent="0.3">
      <c r="H14640" t="str">
        <f t="shared" si="278"/>
        <v/>
      </c>
    </row>
    <row r="14641" spans="8:8" x14ac:dyDescent="0.3">
      <c r="H14641" t="str">
        <f t="shared" si="278"/>
        <v/>
      </c>
    </row>
    <row r="14642" spans="8:8" x14ac:dyDescent="0.3">
      <c r="H14642" t="str">
        <f t="shared" si="278"/>
        <v/>
      </c>
    </row>
    <row r="14643" spans="8:8" x14ac:dyDescent="0.3">
      <c r="H14643" t="str">
        <f t="shared" si="278"/>
        <v/>
      </c>
    </row>
    <row r="14644" spans="8:8" x14ac:dyDescent="0.3">
      <c r="H14644" t="str">
        <f t="shared" si="278"/>
        <v/>
      </c>
    </row>
    <row r="14645" spans="8:8" x14ac:dyDescent="0.3">
      <c r="H14645" t="str">
        <f t="shared" si="278"/>
        <v/>
      </c>
    </row>
    <row r="14646" spans="8:8" x14ac:dyDescent="0.3">
      <c r="H14646" t="str">
        <f t="shared" si="278"/>
        <v/>
      </c>
    </row>
    <row r="14647" spans="8:8" x14ac:dyDescent="0.3">
      <c r="H14647" t="str">
        <f t="shared" si="278"/>
        <v/>
      </c>
    </row>
    <row r="14648" spans="8:8" x14ac:dyDescent="0.3">
      <c r="H14648" t="str">
        <f t="shared" si="278"/>
        <v/>
      </c>
    </row>
    <row r="14649" spans="8:8" x14ac:dyDescent="0.3">
      <c r="H14649" t="str">
        <f t="shared" si="278"/>
        <v/>
      </c>
    </row>
    <row r="14650" spans="8:8" x14ac:dyDescent="0.3">
      <c r="H14650" t="str">
        <f t="shared" si="278"/>
        <v/>
      </c>
    </row>
    <row r="14651" spans="8:8" x14ac:dyDescent="0.3">
      <c r="H14651" t="str">
        <f t="shared" si="278"/>
        <v/>
      </c>
    </row>
    <row r="14652" spans="8:8" x14ac:dyDescent="0.3">
      <c r="H14652" t="str">
        <f t="shared" si="278"/>
        <v/>
      </c>
    </row>
    <row r="14653" spans="8:8" x14ac:dyDescent="0.3">
      <c r="H14653" t="str">
        <f t="shared" si="278"/>
        <v/>
      </c>
    </row>
    <row r="14654" spans="8:8" x14ac:dyDescent="0.3">
      <c r="H14654" t="str">
        <f t="shared" si="278"/>
        <v/>
      </c>
    </row>
    <row r="14655" spans="8:8" x14ac:dyDescent="0.3">
      <c r="H14655" t="str">
        <f t="shared" si="278"/>
        <v/>
      </c>
    </row>
    <row r="14656" spans="8:8" x14ac:dyDescent="0.3">
      <c r="H14656" t="str">
        <f t="shared" si="278"/>
        <v/>
      </c>
    </row>
    <row r="14657" spans="8:8" x14ac:dyDescent="0.3">
      <c r="H14657" t="str">
        <f t="shared" si="278"/>
        <v/>
      </c>
    </row>
    <row r="14658" spans="8:8" x14ac:dyDescent="0.3">
      <c r="H14658" t="str">
        <f t="shared" si="278"/>
        <v/>
      </c>
    </row>
    <row r="14659" spans="8:8" x14ac:dyDescent="0.3">
      <c r="H14659" t="str">
        <f t="shared" si="278"/>
        <v/>
      </c>
    </row>
    <row r="14660" spans="8:8" x14ac:dyDescent="0.3">
      <c r="H14660" t="str">
        <f t="shared" si="278"/>
        <v/>
      </c>
    </row>
    <row r="14661" spans="8:8" x14ac:dyDescent="0.3">
      <c r="H14661" t="str">
        <f t="shared" si="278"/>
        <v/>
      </c>
    </row>
    <row r="14662" spans="8:8" x14ac:dyDescent="0.3">
      <c r="H14662" t="str">
        <f t="shared" si="278"/>
        <v/>
      </c>
    </row>
    <row r="14663" spans="8:8" x14ac:dyDescent="0.3">
      <c r="H14663" t="str">
        <f t="shared" si="278"/>
        <v/>
      </c>
    </row>
    <row r="14664" spans="8:8" x14ac:dyDescent="0.3">
      <c r="H14664" t="str">
        <f t="shared" si="278"/>
        <v/>
      </c>
    </row>
    <row r="14665" spans="8:8" x14ac:dyDescent="0.3">
      <c r="H14665" t="str">
        <f t="shared" si="278"/>
        <v/>
      </c>
    </row>
    <row r="14666" spans="8:8" x14ac:dyDescent="0.3">
      <c r="H14666" t="str">
        <f t="shared" si="278"/>
        <v/>
      </c>
    </row>
    <row r="14667" spans="8:8" x14ac:dyDescent="0.3">
      <c r="H14667" t="str">
        <f t="shared" si="278"/>
        <v/>
      </c>
    </row>
    <row r="14668" spans="8:8" x14ac:dyDescent="0.3">
      <c r="H14668" t="str">
        <f t="shared" si="278"/>
        <v/>
      </c>
    </row>
    <row r="14669" spans="8:8" x14ac:dyDescent="0.3">
      <c r="H14669" t="str">
        <f t="shared" si="278"/>
        <v/>
      </c>
    </row>
    <row r="14670" spans="8:8" x14ac:dyDescent="0.3">
      <c r="H14670" t="str">
        <f t="shared" si="278"/>
        <v/>
      </c>
    </row>
    <row r="14671" spans="8:8" x14ac:dyDescent="0.3">
      <c r="H14671" t="str">
        <f t="shared" si="278"/>
        <v/>
      </c>
    </row>
    <row r="14672" spans="8:8" x14ac:dyDescent="0.3">
      <c r="H14672" t="str">
        <f t="shared" si="278"/>
        <v/>
      </c>
    </row>
    <row r="14673" spans="8:8" x14ac:dyDescent="0.3">
      <c r="H14673" t="str">
        <f t="shared" si="278"/>
        <v/>
      </c>
    </row>
    <row r="14674" spans="8:8" x14ac:dyDescent="0.3">
      <c r="H14674" t="str">
        <f t="shared" si="278"/>
        <v/>
      </c>
    </row>
    <row r="14675" spans="8:8" x14ac:dyDescent="0.3">
      <c r="H14675" t="str">
        <f t="shared" si="278"/>
        <v/>
      </c>
    </row>
    <row r="14676" spans="8:8" x14ac:dyDescent="0.3">
      <c r="H14676" t="str">
        <f t="shared" si="278"/>
        <v/>
      </c>
    </row>
    <row r="14677" spans="8:8" x14ac:dyDescent="0.3">
      <c r="H14677" t="str">
        <f t="shared" si="278"/>
        <v/>
      </c>
    </row>
    <row r="14678" spans="8:8" x14ac:dyDescent="0.3">
      <c r="H14678" t="str">
        <f t="shared" si="278"/>
        <v/>
      </c>
    </row>
    <row r="14679" spans="8:8" x14ac:dyDescent="0.3">
      <c r="H14679" t="str">
        <f t="shared" ref="H14679:H14742" si="279">IF(B14679="","",$C$12)</f>
        <v/>
      </c>
    </row>
    <row r="14680" spans="8:8" x14ac:dyDescent="0.3">
      <c r="H14680" t="str">
        <f t="shared" si="279"/>
        <v/>
      </c>
    </row>
    <row r="14681" spans="8:8" x14ac:dyDescent="0.3">
      <c r="H14681" t="str">
        <f t="shared" si="279"/>
        <v/>
      </c>
    </row>
    <row r="14682" spans="8:8" x14ac:dyDescent="0.3">
      <c r="H14682" t="str">
        <f t="shared" si="279"/>
        <v/>
      </c>
    </row>
    <row r="14683" spans="8:8" x14ac:dyDescent="0.3">
      <c r="H14683" t="str">
        <f t="shared" si="279"/>
        <v/>
      </c>
    </row>
    <row r="14684" spans="8:8" x14ac:dyDescent="0.3">
      <c r="H14684" t="str">
        <f t="shared" si="279"/>
        <v/>
      </c>
    </row>
    <row r="14685" spans="8:8" x14ac:dyDescent="0.3">
      <c r="H14685" t="str">
        <f t="shared" si="279"/>
        <v/>
      </c>
    </row>
    <row r="14686" spans="8:8" x14ac:dyDescent="0.3">
      <c r="H14686" t="str">
        <f t="shared" si="279"/>
        <v/>
      </c>
    </row>
    <row r="14687" spans="8:8" x14ac:dyDescent="0.3">
      <c r="H14687" t="str">
        <f t="shared" si="279"/>
        <v/>
      </c>
    </row>
    <row r="14688" spans="8:8" x14ac:dyDescent="0.3">
      <c r="H14688" t="str">
        <f t="shared" si="279"/>
        <v/>
      </c>
    </row>
    <row r="14689" spans="8:8" x14ac:dyDescent="0.3">
      <c r="H14689" t="str">
        <f t="shared" si="279"/>
        <v/>
      </c>
    </row>
    <row r="14690" spans="8:8" x14ac:dyDescent="0.3">
      <c r="H14690" t="str">
        <f t="shared" si="279"/>
        <v/>
      </c>
    </row>
    <row r="14691" spans="8:8" x14ac:dyDescent="0.3">
      <c r="H14691" t="str">
        <f t="shared" si="279"/>
        <v/>
      </c>
    </row>
    <row r="14692" spans="8:8" x14ac:dyDescent="0.3">
      <c r="H14692" t="str">
        <f t="shared" si="279"/>
        <v/>
      </c>
    </row>
    <row r="14693" spans="8:8" x14ac:dyDescent="0.3">
      <c r="H14693" t="str">
        <f t="shared" si="279"/>
        <v/>
      </c>
    </row>
    <row r="14694" spans="8:8" x14ac:dyDescent="0.3">
      <c r="H14694" t="str">
        <f t="shared" si="279"/>
        <v/>
      </c>
    </row>
    <row r="14695" spans="8:8" x14ac:dyDescent="0.3">
      <c r="H14695" t="str">
        <f t="shared" si="279"/>
        <v/>
      </c>
    </row>
    <row r="14696" spans="8:8" x14ac:dyDescent="0.3">
      <c r="H14696" t="str">
        <f t="shared" si="279"/>
        <v/>
      </c>
    </row>
    <row r="14697" spans="8:8" x14ac:dyDescent="0.3">
      <c r="H14697" t="str">
        <f t="shared" si="279"/>
        <v/>
      </c>
    </row>
    <row r="14698" spans="8:8" x14ac:dyDescent="0.3">
      <c r="H14698" t="str">
        <f t="shared" si="279"/>
        <v/>
      </c>
    </row>
    <row r="14699" spans="8:8" x14ac:dyDescent="0.3">
      <c r="H14699" t="str">
        <f t="shared" si="279"/>
        <v/>
      </c>
    </row>
    <row r="14700" spans="8:8" x14ac:dyDescent="0.3">
      <c r="H14700" t="str">
        <f t="shared" si="279"/>
        <v/>
      </c>
    </row>
    <row r="14701" spans="8:8" x14ac:dyDescent="0.3">
      <c r="H14701" t="str">
        <f t="shared" si="279"/>
        <v/>
      </c>
    </row>
    <row r="14702" spans="8:8" x14ac:dyDescent="0.3">
      <c r="H14702" t="str">
        <f t="shared" si="279"/>
        <v/>
      </c>
    </row>
    <row r="14703" spans="8:8" x14ac:dyDescent="0.3">
      <c r="H14703" t="str">
        <f t="shared" si="279"/>
        <v/>
      </c>
    </row>
    <row r="14704" spans="8:8" x14ac:dyDescent="0.3">
      <c r="H14704" t="str">
        <f t="shared" si="279"/>
        <v/>
      </c>
    </row>
    <row r="14705" spans="8:8" x14ac:dyDescent="0.3">
      <c r="H14705" t="str">
        <f t="shared" si="279"/>
        <v/>
      </c>
    </row>
    <row r="14706" spans="8:8" x14ac:dyDescent="0.3">
      <c r="H14706" t="str">
        <f t="shared" si="279"/>
        <v/>
      </c>
    </row>
    <row r="14707" spans="8:8" x14ac:dyDescent="0.3">
      <c r="H14707" t="str">
        <f t="shared" si="279"/>
        <v/>
      </c>
    </row>
    <row r="14708" spans="8:8" x14ac:dyDescent="0.3">
      <c r="H14708" t="str">
        <f t="shared" si="279"/>
        <v/>
      </c>
    </row>
    <row r="14709" spans="8:8" x14ac:dyDescent="0.3">
      <c r="H14709" t="str">
        <f t="shared" si="279"/>
        <v/>
      </c>
    </row>
    <row r="14710" spans="8:8" x14ac:dyDescent="0.3">
      <c r="H14710" t="str">
        <f t="shared" si="279"/>
        <v/>
      </c>
    </row>
    <row r="14711" spans="8:8" x14ac:dyDescent="0.3">
      <c r="H14711" t="str">
        <f t="shared" si="279"/>
        <v/>
      </c>
    </row>
    <row r="14712" spans="8:8" x14ac:dyDescent="0.3">
      <c r="H14712" t="str">
        <f t="shared" si="279"/>
        <v/>
      </c>
    </row>
    <row r="14713" spans="8:8" x14ac:dyDescent="0.3">
      <c r="H14713" t="str">
        <f t="shared" si="279"/>
        <v/>
      </c>
    </row>
    <row r="14714" spans="8:8" x14ac:dyDescent="0.3">
      <c r="H14714" t="str">
        <f t="shared" si="279"/>
        <v/>
      </c>
    </row>
    <row r="14715" spans="8:8" x14ac:dyDescent="0.3">
      <c r="H14715" t="str">
        <f t="shared" si="279"/>
        <v/>
      </c>
    </row>
    <row r="14716" spans="8:8" x14ac:dyDescent="0.3">
      <c r="H14716" t="str">
        <f t="shared" si="279"/>
        <v/>
      </c>
    </row>
    <row r="14717" spans="8:8" x14ac:dyDescent="0.3">
      <c r="H14717" t="str">
        <f t="shared" si="279"/>
        <v/>
      </c>
    </row>
    <row r="14718" spans="8:8" x14ac:dyDescent="0.3">
      <c r="H14718" t="str">
        <f t="shared" si="279"/>
        <v/>
      </c>
    </row>
    <row r="14719" spans="8:8" x14ac:dyDescent="0.3">
      <c r="H14719" t="str">
        <f t="shared" si="279"/>
        <v/>
      </c>
    </row>
    <row r="14720" spans="8:8" x14ac:dyDescent="0.3">
      <c r="H14720" t="str">
        <f t="shared" si="279"/>
        <v/>
      </c>
    </row>
    <row r="14721" spans="8:8" x14ac:dyDescent="0.3">
      <c r="H14721" t="str">
        <f t="shared" si="279"/>
        <v/>
      </c>
    </row>
    <row r="14722" spans="8:8" x14ac:dyDescent="0.3">
      <c r="H14722" t="str">
        <f t="shared" si="279"/>
        <v/>
      </c>
    </row>
    <row r="14723" spans="8:8" x14ac:dyDescent="0.3">
      <c r="H14723" t="str">
        <f t="shared" si="279"/>
        <v/>
      </c>
    </row>
    <row r="14724" spans="8:8" x14ac:dyDescent="0.3">
      <c r="H14724" t="str">
        <f t="shared" si="279"/>
        <v/>
      </c>
    </row>
    <row r="14725" spans="8:8" x14ac:dyDescent="0.3">
      <c r="H14725" t="str">
        <f t="shared" si="279"/>
        <v/>
      </c>
    </row>
    <row r="14726" spans="8:8" x14ac:dyDescent="0.3">
      <c r="H14726" t="str">
        <f t="shared" si="279"/>
        <v/>
      </c>
    </row>
    <row r="14727" spans="8:8" x14ac:dyDescent="0.3">
      <c r="H14727" t="str">
        <f t="shared" si="279"/>
        <v/>
      </c>
    </row>
    <row r="14728" spans="8:8" x14ac:dyDescent="0.3">
      <c r="H14728" t="str">
        <f t="shared" si="279"/>
        <v/>
      </c>
    </row>
    <row r="14729" spans="8:8" x14ac:dyDescent="0.3">
      <c r="H14729" t="str">
        <f t="shared" si="279"/>
        <v/>
      </c>
    </row>
    <row r="14730" spans="8:8" x14ac:dyDescent="0.3">
      <c r="H14730" t="str">
        <f t="shared" si="279"/>
        <v/>
      </c>
    </row>
    <row r="14731" spans="8:8" x14ac:dyDescent="0.3">
      <c r="H14731" t="str">
        <f t="shared" si="279"/>
        <v/>
      </c>
    </row>
    <row r="14732" spans="8:8" x14ac:dyDescent="0.3">
      <c r="H14732" t="str">
        <f t="shared" si="279"/>
        <v/>
      </c>
    </row>
    <row r="14733" spans="8:8" x14ac:dyDescent="0.3">
      <c r="H14733" t="str">
        <f t="shared" si="279"/>
        <v/>
      </c>
    </row>
    <row r="14734" spans="8:8" x14ac:dyDescent="0.3">
      <c r="H14734" t="str">
        <f t="shared" si="279"/>
        <v/>
      </c>
    </row>
    <row r="14735" spans="8:8" x14ac:dyDescent="0.3">
      <c r="H14735" t="str">
        <f t="shared" si="279"/>
        <v/>
      </c>
    </row>
    <row r="14736" spans="8:8" x14ac:dyDescent="0.3">
      <c r="H14736" t="str">
        <f t="shared" si="279"/>
        <v/>
      </c>
    </row>
    <row r="14737" spans="8:8" x14ac:dyDescent="0.3">
      <c r="H14737" t="str">
        <f t="shared" si="279"/>
        <v/>
      </c>
    </row>
    <row r="14738" spans="8:8" x14ac:dyDescent="0.3">
      <c r="H14738" t="str">
        <f t="shared" si="279"/>
        <v/>
      </c>
    </row>
    <row r="14739" spans="8:8" x14ac:dyDescent="0.3">
      <c r="H14739" t="str">
        <f t="shared" si="279"/>
        <v/>
      </c>
    </row>
    <row r="14740" spans="8:8" x14ac:dyDescent="0.3">
      <c r="H14740" t="str">
        <f t="shared" si="279"/>
        <v/>
      </c>
    </row>
    <row r="14741" spans="8:8" x14ac:dyDescent="0.3">
      <c r="H14741" t="str">
        <f t="shared" si="279"/>
        <v/>
      </c>
    </row>
    <row r="14742" spans="8:8" x14ac:dyDescent="0.3">
      <c r="H14742" t="str">
        <f t="shared" si="279"/>
        <v/>
      </c>
    </row>
    <row r="14743" spans="8:8" x14ac:dyDescent="0.3">
      <c r="H14743" t="str">
        <f t="shared" ref="H14743:H14806" si="280">IF(B14743="","",$C$12)</f>
        <v/>
      </c>
    </row>
    <row r="14744" spans="8:8" x14ac:dyDescent="0.3">
      <c r="H14744" t="str">
        <f t="shared" si="280"/>
        <v/>
      </c>
    </row>
    <row r="14745" spans="8:8" x14ac:dyDescent="0.3">
      <c r="H14745" t="str">
        <f t="shared" si="280"/>
        <v/>
      </c>
    </row>
    <row r="14746" spans="8:8" x14ac:dyDescent="0.3">
      <c r="H14746" t="str">
        <f t="shared" si="280"/>
        <v/>
      </c>
    </row>
    <row r="14747" spans="8:8" x14ac:dyDescent="0.3">
      <c r="H14747" t="str">
        <f t="shared" si="280"/>
        <v/>
      </c>
    </row>
    <row r="14748" spans="8:8" x14ac:dyDescent="0.3">
      <c r="H14748" t="str">
        <f t="shared" si="280"/>
        <v/>
      </c>
    </row>
    <row r="14749" spans="8:8" x14ac:dyDescent="0.3">
      <c r="H14749" t="str">
        <f t="shared" si="280"/>
        <v/>
      </c>
    </row>
    <row r="14750" spans="8:8" x14ac:dyDescent="0.3">
      <c r="H14750" t="str">
        <f t="shared" si="280"/>
        <v/>
      </c>
    </row>
    <row r="14751" spans="8:8" x14ac:dyDescent="0.3">
      <c r="H14751" t="str">
        <f t="shared" si="280"/>
        <v/>
      </c>
    </row>
    <row r="14752" spans="8:8" x14ac:dyDescent="0.3">
      <c r="H14752" t="str">
        <f t="shared" si="280"/>
        <v/>
      </c>
    </row>
    <row r="14753" spans="8:8" x14ac:dyDescent="0.3">
      <c r="H14753" t="str">
        <f t="shared" si="280"/>
        <v/>
      </c>
    </row>
    <row r="14754" spans="8:8" x14ac:dyDescent="0.3">
      <c r="H14754" t="str">
        <f t="shared" si="280"/>
        <v/>
      </c>
    </row>
    <row r="14755" spans="8:8" x14ac:dyDescent="0.3">
      <c r="H14755" t="str">
        <f t="shared" si="280"/>
        <v/>
      </c>
    </row>
    <row r="14756" spans="8:8" x14ac:dyDescent="0.3">
      <c r="H14756" t="str">
        <f t="shared" si="280"/>
        <v/>
      </c>
    </row>
    <row r="14757" spans="8:8" x14ac:dyDescent="0.3">
      <c r="H14757" t="str">
        <f t="shared" si="280"/>
        <v/>
      </c>
    </row>
    <row r="14758" spans="8:8" x14ac:dyDescent="0.3">
      <c r="H14758" t="str">
        <f t="shared" si="280"/>
        <v/>
      </c>
    </row>
    <row r="14759" spans="8:8" x14ac:dyDescent="0.3">
      <c r="H14759" t="str">
        <f t="shared" si="280"/>
        <v/>
      </c>
    </row>
    <row r="14760" spans="8:8" x14ac:dyDescent="0.3">
      <c r="H14760" t="str">
        <f t="shared" si="280"/>
        <v/>
      </c>
    </row>
    <row r="14761" spans="8:8" x14ac:dyDescent="0.3">
      <c r="H14761" t="str">
        <f t="shared" si="280"/>
        <v/>
      </c>
    </row>
    <row r="14762" spans="8:8" x14ac:dyDescent="0.3">
      <c r="H14762" t="str">
        <f t="shared" si="280"/>
        <v/>
      </c>
    </row>
    <row r="14763" spans="8:8" x14ac:dyDescent="0.3">
      <c r="H14763" t="str">
        <f t="shared" si="280"/>
        <v/>
      </c>
    </row>
    <row r="14764" spans="8:8" x14ac:dyDescent="0.3">
      <c r="H14764" t="str">
        <f t="shared" si="280"/>
        <v/>
      </c>
    </row>
    <row r="14765" spans="8:8" x14ac:dyDescent="0.3">
      <c r="H14765" t="str">
        <f t="shared" si="280"/>
        <v/>
      </c>
    </row>
    <row r="14766" spans="8:8" x14ac:dyDescent="0.3">
      <c r="H14766" t="str">
        <f t="shared" si="280"/>
        <v/>
      </c>
    </row>
    <row r="14767" spans="8:8" x14ac:dyDescent="0.3">
      <c r="H14767" t="str">
        <f t="shared" si="280"/>
        <v/>
      </c>
    </row>
    <row r="14768" spans="8:8" x14ac:dyDescent="0.3">
      <c r="H14768" t="str">
        <f t="shared" si="280"/>
        <v/>
      </c>
    </row>
    <row r="14769" spans="8:8" x14ac:dyDescent="0.3">
      <c r="H14769" t="str">
        <f t="shared" si="280"/>
        <v/>
      </c>
    </row>
    <row r="14770" spans="8:8" x14ac:dyDescent="0.3">
      <c r="H14770" t="str">
        <f t="shared" si="280"/>
        <v/>
      </c>
    </row>
    <row r="14771" spans="8:8" x14ac:dyDescent="0.3">
      <c r="H14771" t="str">
        <f t="shared" si="280"/>
        <v/>
      </c>
    </row>
    <row r="14772" spans="8:8" x14ac:dyDescent="0.3">
      <c r="H14772" t="str">
        <f t="shared" si="280"/>
        <v/>
      </c>
    </row>
    <row r="14773" spans="8:8" x14ac:dyDescent="0.3">
      <c r="H14773" t="str">
        <f t="shared" si="280"/>
        <v/>
      </c>
    </row>
    <row r="14774" spans="8:8" x14ac:dyDescent="0.3">
      <c r="H14774" t="str">
        <f t="shared" si="280"/>
        <v/>
      </c>
    </row>
    <row r="14775" spans="8:8" x14ac:dyDescent="0.3">
      <c r="H14775" t="str">
        <f t="shared" si="280"/>
        <v/>
      </c>
    </row>
    <row r="14776" spans="8:8" x14ac:dyDescent="0.3">
      <c r="H14776" t="str">
        <f t="shared" si="280"/>
        <v/>
      </c>
    </row>
    <row r="14777" spans="8:8" x14ac:dyDescent="0.3">
      <c r="H14777" t="str">
        <f t="shared" si="280"/>
        <v/>
      </c>
    </row>
    <row r="14778" spans="8:8" x14ac:dyDescent="0.3">
      <c r="H14778" t="str">
        <f t="shared" si="280"/>
        <v/>
      </c>
    </row>
    <row r="14779" spans="8:8" x14ac:dyDescent="0.3">
      <c r="H14779" t="str">
        <f t="shared" si="280"/>
        <v/>
      </c>
    </row>
    <row r="14780" spans="8:8" x14ac:dyDescent="0.3">
      <c r="H14780" t="str">
        <f t="shared" si="280"/>
        <v/>
      </c>
    </row>
    <row r="14781" spans="8:8" x14ac:dyDescent="0.3">
      <c r="H14781" t="str">
        <f t="shared" si="280"/>
        <v/>
      </c>
    </row>
    <row r="14782" spans="8:8" x14ac:dyDescent="0.3">
      <c r="H14782" t="str">
        <f t="shared" si="280"/>
        <v/>
      </c>
    </row>
    <row r="14783" spans="8:8" x14ac:dyDescent="0.3">
      <c r="H14783" t="str">
        <f t="shared" si="280"/>
        <v/>
      </c>
    </row>
    <row r="14784" spans="8:8" x14ac:dyDescent="0.3">
      <c r="H14784" t="str">
        <f t="shared" si="280"/>
        <v/>
      </c>
    </row>
    <row r="14785" spans="8:8" x14ac:dyDescent="0.3">
      <c r="H14785" t="str">
        <f t="shared" si="280"/>
        <v/>
      </c>
    </row>
    <row r="14786" spans="8:8" x14ac:dyDescent="0.3">
      <c r="H14786" t="str">
        <f t="shared" si="280"/>
        <v/>
      </c>
    </row>
    <row r="14787" spans="8:8" x14ac:dyDescent="0.3">
      <c r="H14787" t="str">
        <f t="shared" si="280"/>
        <v/>
      </c>
    </row>
    <row r="14788" spans="8:8" x14ac:dyDescent="0.3">
      <c r="H14788" t="str">
        <f t="shared" si="280"/>
        <v/>
      </c>
    </row>
    <row r="14789" spans="8:8" x14ac:dyDescent="0.3">
      <c r="H14789" t="str">
        <f t="shared" si="280"/>
        <v/>
      </c>
    </row>
    <row r="14790" spans="8:8" x14ac:dyDescent="0.3">
      <c r="H14790" t="str">
        <f t="shared" si="280"/>
        <v/>
      </c>
    </row>
    <row r="14791" spans="8:8" x14ac:dyDescent="0.3">
      <c r="H14791" t="str">
        <f t="shared" si="280"/>
        <v/>
      </c>
    </row>
    <row r="14792" spans="8:8" x14ac:dyDescent="0.3">
      <c r="H14792" t="str">
        <f t="shared" si="280"/>
        <v/>
      </c>
    </row>
    <row r="14793" spans="8:8" x14ac:dyDescent="0.3">
      <c r="H14793" t="str">
        <f t="shared" si="280"/>
        <v/>
      </c>
    </row>
    <row r="14794" spans="8:8" x14ac:dyDescent="0.3">
      <c r="H14794" t="str">
        <f t="shared" si="280"/>
        <v/>
      </c>
    </row>
    <row r="14795" spans="8:8" x14ac:dyDescent="0.3">
      <c r="H14795" t="str">
        <f t="shared" si="280"/>
        <v/>
      </c>
    </row>
    <row r="14796" spans="8:8" x14ac:dyDescent="0.3">
      <c r="H14796" t="str">
        <f t="shared" si="280"/>
        <v/>
      </c>
    </row>
    <row r="14797" spans="8:8" x14ac:dyDescent="0.3">
      <c r="H14797" t="str">
        <f t="shared" si="280"/>
        <v/>
      </c>
    </row>
    <row r="14798" spans="8:8" x14ac:dyDescent="0.3">
      <c r="H14798" t="str">
        <f t="shared" si="280"/>
        <v/>
      </c>
    </row>
    <row r="14799" spans="8:8" x14ac:dyDescent="0.3">
      <c r="H14799" t="str">
        <f t="shared" si="280"/>
        <v/>
      </c>
    </row>
    <row r="14800" spans="8:8" x14ac:dyDescent="0.3">
      <c r="H14800" t="str">
        <f t="shared" si="280"/>
        <v/>
      </c>
    </row>
    <row r="14801" spans="8:8" x14ac:dyDescent="0.3">
      <c r="H14801" t="str">
        <f t="shared" si="280"/>
        <v/>
      </c>
    </row>
    <row r="14802" spans="8:8" x14ac:dyDescent="0.3">
      <c r="H14802" t="str">
        <f t="shared" si="280"/>
        <v/>
      </c>
    </row>
    <row r="14803" spans="8:8" x14ac:dyDescent="0.3">
      <c r="H14803" t="str">
        <f t="shared" si="280"/>
        <v/>
      </c>
    </row>
    <row r="14804" spans="8:8" x14ac:dyDescent="0.3">
      <c r="H14804" t="str">
        <f t="shared" si="280"/>
        <v/>
      </c>
    </row>
    <row r="14805" spans="8:8" x14ac:dyDescent="0.3">
      <c r="H14805" t="str">
        <f t="shared" si="280"/>
        <v/>
      </c>
    </row>
    <row r="14806" spans="8:8" x14ac:dyDescent="0.3">
      <c r="H14806" t="str">
        <f t="shared" si="280"/>
        <v/>
      </c>
    </row>
    <row r="14807" spans="8:8" x14ac:dyDescent="0.3">
      <c r="H14807" t="str">
        <f t="shared" ref="H14807:H14870" si="281">IF(B14807="","",$C$12)</f>
        <v/>
      </c>
    </row>
    <row r="14808" spans="8:8" x14ac:dyDescent="0.3">
      <c r="H14808" t="str">
        <f t="shared" si="281"/>
        <v/>
      </c>
    </row>
    <row r="14809" spans="8:8" x14ac:dyDescent="0.3">
      <c r="H14809" t="str">
        <f t="shared" si="281"/>
        <v/>
      </c>
    </row>
    <row r="14810" spans="8:8" x14ac:dyDescent="0.3">
      <c r="H14810" t="str">
        <f t="shared" si="281"/>
        <v/>
      </c>
    </row>
    <row r="14811" spans="8:8" x14ac:dyDescent="0.3">
      <c r="H14811" t="str">
        <f t="shared" si="281"/>
        <v/>
      </c>
    </row>
    <row r="14812" spans="8:8" x14ac:dyDescent="0.3">
      <c r="H14812" t="str">
        <f t="shared" si="281"/>
        <v/>
      </c>
    </row>
    <row r="14813" spans="8:8" x14ac:dyDescent="0.3">
      <c r="H14813" t="str">
        <f t="shared" si="281"/>
        <v/>
      </c>
    </row>
    <row r="14814" spans="8:8" x14ac:dyDescent="0.3">
      <c r="H14814" t="str">
        <f t="shared" si="281"/>
        <v/>
      </c>
    </row>
    <row r="14815" spans="8:8" x14ac:dyDescent="0.3">
      <c r="H14815" t="str">
        <f t="shared" si="281"/>
        <v/>
      </c>
    </row>
    <row r="14816" spans="8:8" x14ac:dyDescent="0.3">
      <c r="H14816" t="str">
        <f t="shared" si="281"/>
        <v/>
      </c>
    </row>
    <row r="14817" spans="8:8" x14ac:dyDescent="0.3">
      <c r="H14817" t="str">
        <f t="shared" si="281"/>
        <v/>
      </c>
    </row>
    <row r="14818" spans="8:8" x14ac:dyDescent="0.3">
      <c r="H14818" t="str">
        <f t="shared" si="281"/>
        <v/>
      </c>
    </row>
    <row r="14819" spans="8:8" x14ac:dyDescent="0.3">
      <c r="H14819" t="str">
        <f t="shared" si="281"/>
        <v/>
      </c>
    </row>
    <row r="14820" spans="8:8" x14ac:dyDescent="0.3">
      <c r="H14820" t="str">
        <f t="shared" si="281"/>
        <v/>
      </c>
    </row>
    <row r="14821" spans="8:8" x14ac:dyDescent="0.3">
      <c r="H14821" t="str">
        <f t="shared" si="281"/>
        <v/>
      </c>
    </row>
    <row r="14822" spans="8:8" x14ac:dyDescent="0.3">
      <c r="H14822" t="str">
        <f t="shared" si="281"/>
        <v/>
      </c>
    </row>
    <row r="14823" spans="8:8" x14ac:dyDescent="0.3">
      <c r="H14823" t="str">
        <f t="shared" si="281"/>
        <v/>
      </c>
    </row>
    <row r="14824" spans="8:8" x14ac:dyDescent="0.3">
      <c r="H14824" t="str">
        <f t="shared" si="281"/>
        <v/>
      </c>
    </row>
    <row r="14825" spans="8:8" x14ac:dyDescent="0.3">
      <c r="H14825" t="str">
        <f t="shared" si="281"/>
        <v/>
      </c>
    </row>
    <row r="14826" spans="8:8" x14ac:dyDescent="0.3">
      <c r="H14826" t="str">
        <f t="shared" si="281"/>
        <v/>
      </c>
    </row>
    <row r="14827" spans="8:8" x14ac:dyDescent="0.3">
      <c r="H14827" t="str">
        <f t="shared" si="281"/>
        <v/>
      </c>
    </row>
    <row r="14828" spans="8:8" x14ac:dyDescent="0.3">
      <c r="H14828" t="str">
        <f t="shared" si="281"/>
        <v/>
      </c>
    </row>
    <row r="14829" spans="8:8" x14ac:dyDescent="0.3">
      <c r="H14829" t="str">
        <f t="shared" si="281"/>
        <v/>
      </c>
    </row>
    <row r="14830" spans="8:8" x14ac:dyDescent="0.3">
      <c r="H14830" t="str">
        <f t="shared" si="281"/>
        <v/>
      </c>
    </row>
    <row r="14831" spans="8:8" x14ac:dyDescent="0.3">
      <c r="H14831" t="str">
        <f t="shared" si="281"/>
        <v/>
      </c>
    </row>
    <row r="14832" spans="8:8" x14ac:dyDescent="0.3">
      <c r="H14832" t="str">
        <f t="shared" si="281"/>
        <v/>
      </c>
    </row>
    <row r="14833" spans="8:8" x14ac:dyDescent="0.3">
      <c r="H14833" t="str">
        <f t="shared" si="281"/>
        <v/>
      </c>
    </row>
    <row r="14834" spans="8:8" x14ac:dyDescent="0.3">
      <c r="H14834" t="str">
        <f t="shared" si="281"/>
        <v/>
      </c>
    </row>
    <row r="14835" spans="8:8" x14ac:dyDescent="0.3">
      <c r="H14835" t="str">
        <f t="shared" si="281"/>
        <v/>
      </c>
    </row>
    <row r="14836" spans="8:8" x14ac:dyDescent="0.3">
      <c r="H14836" t="str">
        <f t="shared" si="281"/>
        <v/>
      </c>
    </row>
    <row r="14837" spans="8:8" x14ac:dyDescent="0.3">
      <c r="H14837" t="str">
        <f t="shared" si="281"/>
        <v/>
      </c>
    </row>
    <row r="14838" spans="8:8" x14ac:dyDescent="0.3">
      <c r="H14838" t="str">
        <f t="shared" si="281"/>
        <v/>
      </c>
    </row>
    <row r="14839" spans="8:8" x14ac:dyDescent="0.3">
      <c r="H14839" t="str">
        <f t="shared" si="281"/>
        <v/>
      </c>
    </row>
    <row r="14840" spans="8:8" x14ac:dyDescent="0.3">
      <c r="H14840" t="str">
        <f t="shared" si="281"/>
        <v/>
      </c>
    </row>
    <row r="14841" spans="8:8" x14ac:dyDescent="0.3">
      <c r="H14841" t="str">
        <f t="shared" si="281"/>
        <v/>
      </c>
    </row>
    <row r="14842" spans="8:8" x14ac:dyDescent="0.3">
      <c r="H14842" t="str">
        <f t="shared" si="281"/>
        <v/>
      </c>
    </row>
    <row r="14843" spans="8:8" x14ac:dyDescent="0.3">
      <c r="H14843" t="str">
        <f t="shared" si="281"/>
        <v/>
      </c>
    </row>
    <row r="14844" spans="8:8" x14ac:dyDescent="0.3">
      <c r="H14844" t="str">
        <f t="shared" si="281"/>
        <v/>
      </c>
    </row>
    <row r="14845" spans="8:8" x14ac:dyDescent="0.3">
      <c r="H14845" t="str">
        <f t="shared" si="281"/>
        <v/>
      </c>
    </row>
    <row r="14846" spans="8:8" x14ac:dyDescent="0.3">
      <c r="H14846" t="str">
        <f t="shared" si="281"/>
        <v/>
      </c>
    </row>
    <row r="14847" spans="8:8" x14ac:dyDescent="0.3">
      <c r="H14847" t="str">
        <f t="shared" si="281"/>
        <v/>
      </c>
    </row>
    <row r="14848" spans="8:8" x14ac:dyDescent="0.3">
      <c r="H14848" t="str">
        <f t="shared" si="281"/>
        <v/>
      </c>
    </row>
    <row r="14849" spans="8:8" x14ac:dyDescent="0.3">
      <c r="H14849" t="str">
        <f t="shared" si="281"/>
        <v/>
      </c>
    </row>
    <row r="14850" spans="8:8" x14ac:dyDescent="0.3">
      <c r="H14850" t="str">
        <f t="shared" si="281"/>
        <v/>
      </c>
    </row>
    <row r="14851" spans="8:8" x14ac:dyDescent="0.3">
      <c r="H14851" t="str">
        <f t="shared" si="281"/>
        <v/>
      </c>
    </row>
    <row r="14852" spans="8:8" x14ac:dyDescent="0.3">
      <c r="H14852" t="str">
        <f t="shared" si="281"/>
        <v/>
      </c>
    </row>
    <row r="14853" spans="8:8" x14ac:dyDescent="0.3">
      <c r="H14853" t="str">
        <f t="shared" si="281"/>
        <v/>
      </c>
    </row>
    <row r="14854" spans="8:8" x14ac:dyDescent="0.3">
      <c r="H14854" t="str">
        <f t="shared" si="281"/>
        <v/>
      </c>
    </row>
    <row r="14855" spans="8:8" x14ac:dyDescent="0.3">
      <c r="H14855" t="str">
        <f t="shared" si="281"/>
        <v/>
      </c>
    </row>
    <row r="14856" spans="8:8" x14ac:dyDescent="0.3">
      <c r="H14856" t="str">
        <f t="shared" si="281"/>
        <v/>
      </c>
    </row>
    <row r="14857" spans="8:8" x14ac:dyDescent="0.3">
      <c r="H14857" t="str">
        <f t="shared" si="281"/>
        <v/>
      </c>
    </row>
    <row r="14858" spans="8:8" x14ac:dyDescent="0.3">
      <c r="H14858" t="str">
        <f t="shared" si="281"/>
        <v/>
      </c>
    </row>
    <row r="14859" spans="8:8" x14ac:dyDescent="0.3">
      <c r="H14859" t="str">
        <f t="shared" si="281"/>
        <v/>
      </c>
    </row>
    <row r="14860" spans="8:8" x14ac:dyDescent="0.3">
      <c r="H14860" t="str">
        <f t="shared" si="281"/>
        <v/>
      </c>
    </row>
    <row r="14861" spans="8:8" x14ac:dyDescent="0.3">
      <c r="H14861" t="str">
        <f t="shared" si="281"/>
        <v/>
      </c>
    </row>
    <row r="14862" spans="8:8" x14ac:dyDescent="0.3">
      <c r="H14862" t="str">
        <f t="shared" si="281"/>
        <v/>
      </c>
    </row>
    <row r="14863" spans="8:8" x14ac:dyDescent="0.3">
      <c r="H14863" t="str">
        <f t="shared" si="281"/>
        <v/>
      </c>
    </row>
    <row r="14864" spans="8:8" x14ac:dyDescent="0.3">
      <c r="H14864" t="str">
        <f t="shared" si="281"/>
        <v/>
      </c>
    </row>
    <row r="14865" spans="8:8" x14ac:dyDescent="0.3">
      <c r="H14865" t="str">
        <f t="shared" si="281"/>
        <v/>
      </c>
    </row>
    <row r="14866" spans="8:8" x14ac:dyDescent="0.3">
      <c r="H14866" t="str">
        <f t="shared" si="281"/>
        <v/>
      </c>
    </row>
    <row r="14867" spans="8:8" x14ac:dyDescent="0.3">
      <c r="H14867" t="str">
        <f t="shared" si="281"/>
        <v/>
      </c>
    </row>
    <row r="14868" spans="8:8" x14ac:dyDescent="0.3">
      <c r="H14868" t="str">
        <f t="shared" si="281"/>
        <v/>
      </c>
    </row>
    <row r="14869" spans="8:8" x14ac:dyDescent="0.3">
      <c r="H14869" t="str">
        <f t="shared" si="281"/>
        <v/>
      </c>
    </row>
    <row r="14870" spans="8:8" x14ac:dyDescent="0.3">
      <c r="H14870" t="str">
        <f t="shared" si="281"/>
        <v/>
      </c>
    </row>
    <row r="14871" spans="8:8" x14ac:dyDescent="0.3">
      <c r="H14871" t="str">
        <f t="shared" ref="H14871:H14934" si="282">IF(B14871="","",$C$12)</f>
        <v/>
      </c>
    </row>
    <row r="14872" spans="8:8" x14ac:dyDescent="0.3">
      <c r="H14872" t="str">
        <f t="shared" si="282"/>
        <v/>
      </c>
    </row>
    <row r="14873" spans="8:8" x14ac:dyDescent="0.3">
      <c r="H14873" t="str">
        <f t="shared" si="282"/>
        <v/>
      </c>
    </row>
    <row r="14874" spans="8:8" x14ac:dyDescent="0.3">
      <c r="H14874" t="str">
        <f t="shared" si="282"/>
        <v/>
      </c>
    </row>
    <row r="14875" spans="8:8" x14ac:dyDescent="0.3">
      <c r="H14875" t="str">
        <f t="shared" si="282"/>
        <v/>
      </c>
    </row>
    <row r="14876" spans="8:8" x14ac:dyDescent="0.3">
      <c r="H14876" t="str">
        <f t="shared" si="282"/>
        <v/>
      </c>
    </row>
    <row r="14877" spans="8:8" x14ac:dyDescent="0.3">
      <c r="H14877" t="str">
        <f t="shared" si="282"/>
        <v/>
      </c>
    </row>
    <row r="14878" spans="8:8" x14ac:dyDescent="0.3">
      <c r="H14878" t="str">
        <f t="shared" si="282"/>
        <v/>
      </c>
    </row>
    <row r="14879" spans="8:8" x14ac:dyDescent="0.3">
      <c r="H14879" t="str">
        <f t="shared" si="282"/>
        <v/>
      </c>
    </row>
    <row r="14880" spans="8:8" x14ac:dyDescent="0.3">
      <c r="H14880" t="str">
        <f t="shared" si="282"/>
        <v/>
      </c>
    </row>
    <row r="14881" spans="8:8" x14ac:dyDescent="0.3">
      <c r="H14881" t="str">
        <f t="shared" si="282"/>
        <v/>
      </c>
    </row>
    <row r="14882" spans="8:8" x14ac:dyDescent="0.3">
      <c r="H14882" t="str">
        <f t="shared" si="282"/>
        <v/>
      </c>
    </row>
    <row r="14883" spans="8:8" x14ac:dyDescent="0.3">
      <c r="H14883" t="str">
        <f t="shared" si="282"/>
        <v/>
      </c>
    </row>
    <row r="14884" spans="8:8" x14ac:dyDescent="0.3">
      <c r="H14884" t="str">
        <f t="shared" si="282"/>
        <v/>
      </c>
    </row>
    <row r="14885" spans="8:8" x14ac:dyDescent="0.3">
      <c r="H14885" t="str">
        <f t="shared" si="282"/>
        <v/>
      </c>
    </row>
    <row r="14886" spans="8:8" x14ac:dyDescent="0.3">
      <c r="H14886" t="str">
        <f t="shared" si="282"/>
        <v/>
      </c>
    </row>
    <row r="14887" spans="8:8" x14ac:dyDescent="0.3">
      <c r="H14887" t="str">
        <f t="shared" si="282"/>
        <v/>
      </c>
    </row>
    <row r="14888" spans="8:8" x14ac:dyDescent="0.3">
      <c r="H14888" t="str">
        <f t="shared" si="282"/>
        <v/>
      </c>
    </row>
    <row r="14889" spans="8:8" x14ac:dyDescent="0.3">
      <c r="H14889" t="str">
        <f t="shared" si="282"/>
        <v/>
      </c>
    </row>
    <row r="14890" spans="8:8" x14ac:dyDescent="0.3">
      <c r="H14890" t="str">
        <f t="shared" si="282"/>
        <v/>
      </c>
    </row>
    <row r="14891" spans="8:8" x14ac:dyDescent="0.3">
      <c r="H14891" t="str">
        <f t="shared" si="282"/>
        <v/>
      </c>
    </row>
    <row r="14892" spans="8:8" x14ac:dyDescent="0.3">
      <c r="H14892" t="str">
        <f t="shared" si="282"/>
        <v/>
      </c>
    </row>
    <row r="14893" spans="8:8" x14ac:dyDescent="0.3">
      <c r="H14893" t="str">
        <f t="shared" si="282"/>
        <v/>
      </c>
    </row>
    <row r="14894" spans="8:8" x14ac:dyDescent="0.3">
      <c r="H14894" t="str">
        <f t="shared" si="282"/>
        <v/>
      </c>
    </row>
    <row r="14895" spans="8:8" x14ac:dyDescent="0.3">
      <c r="H14895" t="str">
        <f t="shared" si="282"/>
        <v/>
      </c>
    </row>
    <row r="14896" spans="8:8" x14ac:dyDescent="0.3">
      <c r="H14896" t="str">
        <f t="shared" si="282"/>
        <v/>
      </c>
    </row>
    <row r="14897" spans="8:8" x14ac:dyDescent="0.3">
      <c r="H14897" t="str">
        <f t="shared" si="282"/>
        <v/>
      </c>
    </row>
    <row r="14898" spans="8:8" x14ac:dyDescent="0.3">
      <c r="H14898" t="str">
        <f t="shared" si="282"/>
        <v/>
      </c>
    </row>
    <row r="14899" spans="8:8" x14ac:dyDescent="0.3">
      <c r="H14899" t="str">
        <f t="shared" si="282"/>
        <v/>
      </c>
    </row>
    <row r="14900" spans="8:8" x14ac:dyDescent="0.3">
      <c r="H14900" t="str">
        <f t="shared" si="282"/>
        <v/>
      </c>
    </row>
    <row r="14901" spans="8:8" x14ac:dyDescent="0.3">
      <c r="H14901" t="str">
        <f t="shared" si="282"/>
        <v/>
      </c>
    </row>
    <row r="14902" spans="8:8" x14ac:dyDescent="0.3">
      <c r="H14902" t="str">
        <f t="shared" si="282"/>
        <v/>
      </c>
    </row>
    <row r="14903" spans="8:8" x14ac:dyDescent="0.3">
      <c r="H14903" t="str">
        <f t="shared" si="282"/>
        <v/>
      </c>
    </row>
    <row r="14904" spans="8:8" x14ac:dyDescent="0.3">
      <c r="H14904" t="str">
        <f t="shared" si="282"/>
        <v/>
      </c>
    </row>
    <row r="14905" spans="8:8" x14ac:dyDescent="0.3">
      <c r="H14905" t="str">
        <f t="shared" si="282"/>
        <v/>
      </c>
    </row>
    <row r="14906" spans="8:8" x14ac:dyDescent="0.3">
      <c r="H14906" t="str">
        <f t="shared" si="282"/>
        <v/>
      </c>
    </row>
    <row r="14907" spans="8:8" x14ac:dyDescent="0.3">
      <c r="H14907" t="str">
        <f t="shared" si="282"/>
        <v/>
      </c>
    </row>
    <row r="14908" spans="8:8" x14ac:dyDescent="0.3">
      <c r="H14908" t="str">
        <f t="shared" si="282"/>
        <v/>
      </c>
    </row>
    <row r="14909" spans="8:8" x14ac:dyDescent="0.3">
      <c r="H14909" t="str">
        <f t="shared" si="282"/>
        <v/>
      </c>
    </row>
    <row r="14910" spans="8:8" x14ac:dyDescent="0.3">
      <c r="H14910" t="str">
        <f t="shared" si="282"/>
        <v/>
      </c>
    </row>
    <row r="14911" spans="8:8" x14ac:dyDescent="0.3">
      <c r="H14911" t="str">
        <f t="shared" si="282"/>
        <v/>
      </c>
    </row>
    <row r="14912" spans="8:8" x14ac:dyDescent="0.3">
      <c r="H14912" t="str">
        <f t="shared" si="282"/>
        <v/>
      </c>
    </row>
    <row r="14913" spans="8:8" x14ac:dyDescent="0.3">
      <c r="H14913" t="str">
        <f t="shared" si="282"/>
        <v/>
      </c>
    </row>
    <row r="14914" spans="8:8" x14ac:dyDescent="0.3">
      <c r="H14914" t="str">
        <f t="shared" si="282"/>
        <v/>
      </c>
    </row>
    <row r="14915" spans="8:8" x14ac:dyDescent="0.3">
      <c r="H14915" t="str">
        <f t="shared" si="282"/>
        <v/>
      </c>
    </row>
    <row r="14916" spans="8:8" x14ac:dyDescent="0.3">
      <c r="H14916" t="str">
        <f t="shared" si="282"/>
        <v/>
      </c>
    </row>
    <row r="14917" spans="8:8" x14ac:dyDescent="0.3">
      <c r="H14917" t="str">
        <f t="shared" si="282"/>
        <v/>
      </c>
    </row>
    <row r="14918" spans="8:8" x14ac:dyDescent="0.3">
      <c r="H14918" t="str">
        <f t="shared" si="282"/>
        <v/>
      </c>
    </row>
    <row r="14919" spans="8:8" x14ac:dyDescent="0.3">
      <c r="H14919" t="str">
        <f t="shared" si="282"/>
        <v/>
      </c>
    </row>
    <row r="14920" spans="8:8" x14ac:dyDescent="0.3">
      <c r="H14920" t="str">
        <f t="shared" si="282"/>
        <v/>
      </c>
    </row>
    <row r="14921" spans="8:8" x14ac:dyDescent="0.3">
      <c r="H14921" t="str">
        <f t="shared" si="282"/>
        <v/>
      </c>
    </row>
    <row r="14922" spans="8:8" x14ac:dyDescent="0.3">
      <c r="H14922" t="str">
        <f t="shared" si="282"/>
        <v/>
      </c>
    </row>
    <row r="14923" spans="8:8" x14ac:dyDescent="0.3">
      <c r="H14923" t="str">
        <f t="shared" si="282"/>
        <v/>
      </c>
    </row>
    <row r="14924" spans="8:8" x14ac:dyDescent="0.3">
      <c r="H14924" t="str">
        <f t="shared" si="282"/>
        <v/>
      </c>
    </row>
    <row r="14925" spans="8:8" x14ac:dyDescent="0.3">
      <c r="H14925" t="str">
        <f t="shared" si="282"/>
        <v/>
      </c>
    </row>
    <row r="14926" spans="8:8" x14ac:dyDescent="0.3">
      <c r="H14926" t="str">
        <f t="shared" si="282"/>
        <v/>
      </c>
    </row>
    <row r="14927" spans="8:8" x14ac:dyDescent="0.3">
      <c r="H14927" t="str">
        <f t="shared" si="282"/>
        <v/>
      </c>
    </row>
    <row r="14928" spans="8:8" x14ac:dyDescent="0.3">
      <c r="H14928" t="str">
        <f t="shared" si="282"/>
        <v/>
      </c>
    </row>
    <row r="14929" spans="8:8" x14ac:dyDescent="0.3">
      <c r="H14929" t="str">
        <f t="shared" si="282"/>
        <v/>
      </c>
    </row>
    <row r="14930" spans="8:8" x14ac:dyDescent="0.3">
      <c r="H14930" t="str">
        <f t="shared" si="282"/>
        <v/>
      </c>
    </row>
    <row r="14931" spans="8:8" x14ac:dyDescent="0.3">
      <c r="H14931" t="str">
        <f t="shared" si="282"/>
        <v/>
      </c>
    </row>
    <row r="14932" spans="8:8" x14ac:dyDescent="0.3">
      <c r="H14932" t="str">
        <f t="shared" si="282"/>
        <v/>
      </c>
    </row>
    <row r="14933" spans="8:8" x14ac:dyDescent="0.3">
      <c r="H14933" t="str">
        <f t="shared" si="282"/>
        <v/>
      </c>
    </row>
    <row r="14934" spans="8:8" x14ac:dyDescent="0.3">
      <c r="H14934" t="str">
        <f t="shared" si="282"/>
        <v/>
      </c>
    </row>
    <row r="14935" spans="8:8" x14ac:dyDescent="0.3">
      <c r="H14935" t="str">
        <f t="shared" ref="H14935:H14998" si="283">IF(B14935="","",$C$12)</f>
        <v/>
      </c>
    </row>
    <row r="14936" spans="8:8" x14ac:dyDescent="0.3">
      <c r="H14936" t="str">
        <f t="shared" si="283"/>
        <v/>
      </c>
    </row>
    <row r="14937" spans="8:8" x14ac:dyDescent="0.3">
      <c r="H14937" t="str">
        <f t="shared" si="283"/>
        <v/>
      </c>
    </row>
    <row r="14938" spans="8:8" x14ac:dyDescent="0.3">
      <c r="H14938" t="str">
        <f t="shared" si="283"/>
        <v/>
      </c>
    </row>
    <row r="14939" spans="8:8" x14ac:dyDescent="0.3">
      <c r="H14939" t="str">
        <f t="shared" si="283"/>
        <v/>
      </c>
    </row>
    <row r="14940" spans="8:8" x14ac:dyDescent="0.3">
      <c r="H14940" t="str">
        <f t="shared" si="283"/>
        <v/>
      </c>
    </row>
    <row r="14941" spans="8:8" x14ac:dyDescent="0.3">
      <c r="H14941" t="str">
        <f t="shared" si="283"/>
        <v/>
      </c>
    </row>
    <row r="14942" spans="8:8" x14ac:dyDescent="0.3">
      <c r="H14942" t="str">
        <f t="shared" si="283"/>
        <v/>
      </c>
    </row>
    <row r="14943" spans="8:8" x14ac:dyDescent="0.3">
      <c r="H14943" t="str">
        <f t="shared" si="283"/>
        <v/>
      </c>
    </row>
    <row r="14944" spans="8:8" x14ac:dyDescent="0.3">
      <c r="H14944" t="str">
        <f t="shared" si="283"/>
        <v/>
      </c>
    </row>
    <row r="14945" spans="8:8" x14ac:dyDescent="0.3">
      <c r="H14945" t="str">
        <f t="shared" si="283"/>
        <v/>
      </c>
    </row>
    <row r="14946" spans="8:8" x14ac:dyDescent="0.3">
      <c r="H14946" t="str">
        <f t="shared" si="283"/>
        <v/>
      </c>
    </row>
    <row r="14947" spans="8:8" x14ac:dyDescent="0.3">
      <c r="H14947" t="str">
        <f t="shared" si="283"/>
        <v/>
      </c>
    </row>
    <row r="14948" spans="8:8" x14ac:dyDescent="0.3">
      <c r="H14948" t="str">
        <f t="shared" si="283"/>
        <v/>
      </c>
    </row>
    <row r="14949" spans="8:8" x14ac:dyDescent="0.3">
      <c r="H14949" t="str">
        <f t="shared" si="283"/>
        <v/>
      </c>
    </row>
    <row r="14950" spans="8:8" x14ac:dyDescent="0.3">
      <c r="H14950" t="str">
        <f t="shared" si="283"/>
        <v/>
      </c>
    </row>
    <row r="14951" spans="8:8" x14ac:dyDescent="0.3">
      <c r="H14951" t="str">
        <f t="shared" si="283"/>
        <v/>
      </c>
    </row>
    <row r="14952" spans="8:8" x14ac:dyDescent="0.3">
      <c r="H14952" t="str">
        <f t="shared" si="283"/>
        <v/>
      </c>
    </row>
    <row r="14953" spans="8:8" x14ac:dyDescent="0.3">
      <c r="H14953" t="str">
        <f t="shared" si="283"/>
        <v/>
      </c>
    </row>
    <row r="14954" spans="8:8" x14ac:dyDescent="0.3">
      <c r="H14954" t="str">
        <f t="shared" si="283"/>
        <v/>
      </c>
    </row>
    <row r="14955" spans="8:8" x14ac:dyDescent="0.3">
      <c r="H14955" t="str">
        <f t="shared" si="283"/>
        <v/>
      </c>
    </row>
    <row r="14956" spans="8:8" x14ac:dyDescent="0.3">
      <c r="H14956" t="str">
        <f t="shared" si="283"/>
        <v/>
      </c>
    </row>
    <row r="14957" spans="8:8" x14ac:dyDescent="0.3">
      <c r="H14957" t="str">
        <f t="shared" si="283"/>
        <v/>
      </c>
    </row>
    <row r="14958" spans="8:8" x14ac:dyDescent="0.3">
      <c r="H14958" t="str">
        <f t="shared" si="283"/>
        <v/>
      </c>
    </row>
    <row r="14959" spans="8:8" x14ac:dyDescent="0.3">
      <c r="H14959" t="str">
        <f t="shared" si="283"/>
        <v/>
      </c>
    </row>
    <row r="14960" spans="8:8" x14ac:dyDescent="0.3">
      <c r="H14960" t="str">
        <f t="shared" si="283"/>
        <v/>
      </c>
    </row>
    <row r="14961" spans="8:8" x14ac:dyDescent="0.3">
      <c r="H14961" t="str">
        <f t="shared" si="283"/>
        <v/>
      </c>
    </row>
    <row r="14962" spans="8:8" x14ac:dyDescent="0.3">
      <c r="H14962" t="str">
        <f t="shared" si="283"/>
        <v/>
      </c>
    </row>
    <row r="14963" spans="8:8" x14ac:dyDescent="0.3">
      <c r="H14963" t="str">
        <f t="shared" si="283"/>
        <v/>
      </c>
    </row>
    <row r="14964" spans="8:8" x14ac:dyDescent="0.3">
      <c r="H14964" t="str">
        <f t="shared" si="283"/>
        <v/>
      </c>
    </row>
    <row r="14965" spans="8:8" x14ac:dyDescent="0.3">
      <c r="H14965" t="str">
        <f t="shared" si="283"/>
        <v/>
      </c>
    </row>
    <row r="14966" spans="8:8" x14ac:dyDescent="0.3">
      <c r="H14966" t="str">
        <f t="shared" si="283"/>
        <v/>
      </c>
    </row>
    <row r="14967" spans="8:8" x14ac:dyDescent="0.3">
      <c r="H14967" t="str">
        <f t="shared" si="283"/>
        <v/>
      </c>
    </row>
    <row r="14968" spans="8:8" x14ac:dyDescent="0.3">
      <c r="H14968" t="str">
        <f t="shared" si="283"/>
        <v/>
      </c>
    </row>
    <row r="14969" spans="8:8" x14ac:dyDescent="0.3">
      <c r="H14969" t="str">
        <f t="shared" si="283"/>
        <v/>
      </c>
    </row>
    <row r="14970" spans="8:8" x14ac:dyDescent="0.3">
      <c r="H14970" t="str">
        <f t="shared" si="283"/>
        <v/>
      </c>
    </row>
    <row r="14971" spans="8:8" x14ac:dyDescent="0.3">
      <c r="H14971" t="str">
        <f t="shared" si="283"/>
        <v/>
      </c>
    </row>
    <row r="14972" spans="8:8" x14ac:dyDescent="0.3">
      <c r="H14972" t="str">
        <f t="shared" si="283"/>
        <v/>
      </c>
    </row>
    <row r="14973" spans="8:8" x14ac:dyDescent="0.3">
      <c r="H14973" t="str">
        <f t="shared" si="283"/>
        <v/>
      </c>
    </row>
    <row r="14974" spans="8:8" x14ac:dyDescent="0.3">
      <c r="H14974" t="str">
        <f t="shared" si="283"/>
        <v/>
      </c>
    </row>
    <row r="14975" spans="8:8" x14ac:dyDescent="0.3">
      <c r="H14975" t="str">
        <f t="shared" si="283"/>
        <v/>
      </c>
    </row>
    <row r="14976" spans="8:8" x14ac:dyDescent="0.3">
      <c r="H14976" t="str">
        <f t="shared" si="283"/>
        <v/>
      </c>
    </row>
    <row r="14977" spans="8:8" x14ac:dyDescent="0.3">
      <c r="H14977" t="str">
        <f t="shared" si="283"/>
        <v/>
      </c>
    </row>
    <row r="14978" spans="8:8" x14ac:dyDescent="0.3">
      <c r="H14978" t="str">
        <f t="shared" si="283"/>
        <v/>
      </c>
    </row>
    <row r="14979" spans="8:8" x14ac:dyDescent="0.3">
      <c r="H14979" t="str">
        <f t="shared" si="283"/>
        <v/>
      </c>
    </row>
    <row r="14980" spans="8:8" x14ac:dyDescent="0.3">
      <c r="H14980" t="str">
        <f t="shared" si="283"/>
        <v/>
      </c>
    </row>
    <row r="14981" spans="8:8" x14ac:dyDescent="0.3">
      <c r="H14981" t="str">
        <f t="shared" si="283"/>
        <v/>
      </c>
    </row>
    <row r="14982" spans="8:8" x14ac:dyDescent="0.3">
      <c r="H14982" t="str">
        <f t="shared" si="283"/>
        <v/>
      </c>
    </row>
    <row r="14983" spans="8:8" x14ac:dyDescent="0.3">
      <c r="H14983" t="str">
        <f t="shared" si="283"/>
        <v/>
      </c>
    </row>
    <row r="14984" spans="8:8" x14ac:dyDescent="0.3">
      <c r="H14984" t="str">
        <f t="shared" si="283"/>
        <v/>
      </c>
    </row>
    <row r="14985" spans="8:8" x14ac:dyDescent="0.3">
      <c r="H14985" t="str">
        <f t="shared" si="283"/>
        <v/>
      </c>
    </row>
    <row r="14986" spans="8:8" x14ac:dyDescent="0.3">
      <c r="H14986" t="str">
        <f t="shared" si="283"/>
        <v/>
      </c>
    </row>
    <row r="14987" spans="8:8" x14ac:dyDescent="0.3">
      <c r="H14987" t="str">
        <f t="shared" si="283"/>
        <v/>
      </c>
    </row>
    <row r="14988" spans="8:8" x14ac:dyDescent="0.3">
      <c r="H14988" t="str">
        <f t="shared" si="283"/>
        <v/>
      </c>
    </row>
    <row r="14989" spans="8:8" x14ac:dyDescent="0.3">
      <c r="H14989" t="str">
        <f t="shared" si="283"/>
        <v/>
      </c>
    </row>
    <row r="14990" spans="8:8" x14ac:dyDescent="0.3">
      <c r="H14990" t="str">
        <f t="shared" si="283"/>
        <v/>
      </c>
    </row>
    <row r="14991" spans="8:8" x14ac:dyDescent="0.3">
      <c r="H14991" t="str">
        <f t="shared" si="283"/>
        <v/>
      </c>
    </row>
    <row r="14992" spans="8:8" x14ac:dyDescent="0.3">
      <c r="H14992" t="str">
        <f t="shared" si="283"/>
        <v/>
      </c>
    </row>
    <row r="14993" spans="8:8" x14ac:dyDescent="0.3">
      <c r="H14993" t="str">
        <f t="shared" si="283"/>
        <v/>
      </c>
    </row>
    <row r="14994" spans="8:8" x14ac:dyDescent="0.3">
      <c r="H14994" t="str">
        <f t="shared" si="283"/>
        <v/>
      </c>
    </row>
    <row r="14995" spans="8:8" x14ac:dyDescent="0.3">
      <c r="H14995" t="str">
        <f t="shared" si="283"/>
        <v/>
      </c>
    </row>
    <row r="14996" spans="8:8" x14ac:dyDescent="0.3">
      <c r="H14996" t="str">
        <f t="shared" si="283"/>
        <v/>
      </c>
    </row>
    <row r="14997" spans="8:8" x14ac:dyDescent="0.3">
      <c r="H14997" t="str">
        <f t="shared" si="283"/>
        <v/>
      </c>
    </row>
    <row r="14998" spans="8:8" x14ac:dyDescent="0.3">
      <c r="H14998" t="str">
        <f t="shared" si="283"/>
        <v/>
      </c>
    </row>
    <row r="14999" spans="8:8" x14ac:dyDescent="0.3">
      <c r="H14999" t="str">
        <f t="shared" ref="H14999:H15062" si="284">IF(B14999="","",$C$12)</f>
        <v/>
      </c>
    </row>
    <row r="15000" spans="8:8" x14ac:dyDescent="0.3">
      <c r="H15000" t="str">
        <f t="shared" si="284"/>
        <v/>
      </c>
    </row>
    <row r="15001" spans="8:8" x14ac:dyDescent="0.3">
      <c r="H15001" t="str">
        <f t="shared" si="284"/>
        <v/>
      </c>
    </row>
    <row r="15002" spans="8:8" x14ac:dyDescent="0.3">
      <c r="H15002" t="str">
        <f t="shared" si="284"/>
        <v/>
      </c>
    </row>
    <row r="15003" spans="8:8" x14ac:dyDescent="0.3">
      <c r="H15003" t="str">
        <f t="shared" si="284"/>
        <v/>
      </c>
    </row>
    <row r="15004" spans="8:8" x14ac:dyDescent="0.3">
      <c r="H15004" t="str">
        <f t="shared" si="284"/>
        <v/>
      </c>
    </row>
    <row r="15005" spans="8:8" x14ac:dyDescent="0.3">
      <c r="H15005" t="str">
        <f t="shared" si="284"/>
        <v/>
      </c>
    </row>
    <row r="15006" spans="8:8" x14ac:dyDescent="0.3">
      <c r="H15006" t="str">
        <f t="shared" si="284"/>
        <v/>
      </c>
    </row>
    <row r="15007" spans="8:8" x14ac:dyDescent="0.3">
      <c r="H15007" t="str">
        <f t="shared" si="284"/>
        <v/>
      </c>
    </row>
    <row r="15008" spans="8:8" x14ac:dyDescent="0.3">
      <c r="H15008" t="str">
        <f t="shared" si="284"/>
        <v/>
      </c>
    </row>
    <row r="15009" spans="8:8" x14ac:dyDescent="0.3">
      <c r="H15009" t="str">
        <f t="shared" si="284"/>
        <v/>
      </c>
    </row>
    <row r="15010" spans="8:8" x14ac:dyDescent="0.3">
      <c r="H15010" t="str">
        <f t="shared" si="284"/>
        <v/>
      </c>
    </row>
    <row r="15011" spans="8:8" x14ac:dyDescent="0.3">
      <c r="H15011" t="str">
        <f t="shared" si="284"/>
        <v/>
      </c>
    </row>
    <row r="15012" spans="8:8" x14ac:dyDescent="0.3">
      <c r="H15012" t="str">
        <f t="shared" si="284"/>
        <v/>
      </c>
    </row>
    <row r="15013" spans="8:8" x14ac:dyDescent="0.3">
      <c r="H15013" t="str">
        <f t="shared" si="284"/>
        <v/>
      </c>
    </row>
    <row r="15014" spans="8:8" x14ac:dyDescent="0.3">
      <c r="H15014" t="str">
        <f t="shared" si="284"/>
        <v/>
      </c>
    </row>
    <row r="15015" spans="8:8" x14ac:dyDescent="0.3">
      <c r="H15015" t="str">
        <f t="shared" si="284"/>
        <v/>
      </c>
    </row>
    <row r="15016" spans="8:8" x14ac:dyDescent="0.3">
      <c r="H15016" t="str">
        <f t="shared" si="284"/>
        <v/>
      </c>
    </row>
    <row r="15017" spans="8:8" x14ac:dyDescent="0.3">
      <c r="H15017" t="str">
        <f t="shared" si="284"/>
        <v/>
      </c>
    </row>
    <row r="15018" spans="8:8" x14ac:dyDescent="0.3">
      <c r="H15018" t="str">
        <f t="shared" si="284"/>
        <v/>
      </c>
    </row>
    <row r="15019" spans="8:8" x14ac:dyDescent="0.3">
      <c r="H15019" t="str">
        <f t="shared" si="284"/>
        <v/>
      </c>
    </row>
    <row r="15020" spans="8:8" x14ac:dyDescent="0.3">
      <c r="H15020" t="str">
        <f t="shared" si="284"/>
        <v/>
      </c>
    </row>
    <row r="15021" spans="8:8" x14ac:dyDescent="0.3">
      <c r="H15021" t="str">
        <f t="shared" si="284"/>
        <v/>
      </c>
    </row>
    <row r="15022" spans="8:8" x14ac:dyDescent="0.3">
      <c r="H15022" t="str">
        <f t="shared" si="284"/>
        <v/>
      </c>
    </row>
    <row r="15023" spans="8:8" x14ac:dyDescent="0.3">
      <c r="H15023" t="str">
        <f t="shared" si="284"/>
        <v/>
      </c>
    </row>
    <row r="15024" spans="8:8" x14ac:dyDescent="0.3">
      <c r="H15024" t="str">
        <f t="shared" si="284"/>
        <v/>
      </c>
    </row>
    <row r="15025" spans="8:8" x14ac:dyDescent="0.3">
      <c r="H15025" t="str">
        <f t="shared" si="284"/>
        <v/>
      </c>
    </row>
    <row r="15026" spans="8:8" x14ac:dyDescent="0.3">
      <c r="H15026" t="str">
        <f t="shared" si="284"/>
        <v/>
      </c>
    </row>
    <row r="15027" spans="8:8" x14ac:dyDescent="0.3">
      <c r="H15027" t="str">
        <f t="shared" si="284"/>
        <v/>
      </c>
    </row>
    <row r="15028" spans="8:8" x14ac:dyDescent="0.3">
      <c r="H15028" t="str">
        <f t="shared" si="284"/>
        <v/>
      </c>
    </row>
    <row r="15029" spans="8:8" x14ac:dyDescent="0.3">
      <c r="H15029" t="str">
        <f t="shared" si="284"/>
        <v/>
      </c>
    </row>
    <row r="15030" spans="8:8" x14ac:dyDescent="0.3">
      <c r="H15030" t="str">
        <f t="shared" si="284"/>
        <v/>
      </c>
    </row>
    <row r="15031" spans="8:8" x14ac:dyDescent="0.3">
      <c r="H15031" t="str">
        <f t="shared" si="284"/>
        <v/>
      </c>
    </row>
    <row r="15032" spans="8:8" x14ac:dyDescent="0.3">
      <c r="H15032" t="str">
        <f t="shared" si="284"/>
        <v/>
      </c>
    </row>
    <row r="15033" spans="8:8" x14ac:dyDescent="0.3">
      <c r="H15033" t="str">
        <f t="shared" si="284"/>
        <v/>
      </c>
    </row>
    <row r="15034" spans="8:8" x14ac:dyDescent="0.3">
      <c r="H15034" t="str">
        <f t="shared" si="284"/>
        <v/>
      </c>
    </row>
    <row r="15035" spans="8:8" x14ac:dyDescent="0.3">
      <c r="H15035" t="str">
        <f t="shared" si="284"/>
        <v/>
      </c>
    </row>
    <row r="15036" spans="8:8" x14ac:dyDescent="0.3">
      <c r="H15036" t="str">
        <f t="shared" si="284"/>
        <v/>
      </c>
    </row>
    <row r="15037" spans="8:8" x14ac:dyDescent="0.3">
      <c r="H15037" t="str">
        <f t="shared" si="284"/>
        <v/>
      </c>
    </row>
    <row r="15038" spans="8:8" x14ac:dyDescent="0.3">
      <c r="H15038" t="str">
        <f t="shared" si="284"/>
        <v/>
      </c>
    </row>
    <row r="15039" spans="8:8" x14ac:dyDescent="0.3">
      <c r="H15039" t="str">
        <f t="shared" si="284"/>
        <v/>
      </c>
    </row>
    <row r="15040" spans="8:8" x14ac:dyDescent="0.3">
      <c r="H15040" t="str">
        <f t="shared" si="284"/>
        <v/>
      </c>
    </row>
    <row r="15041" spans="8:8" x14ac:dyDescent="0.3">
      <c r="H15041" t="str">
        <f t="shared" si="284"/>
        <v/>
      </c>
    </row>
    <row r="15042" spans="8:8" x14ac:dyDescent="0.3">
      <c r="H15042" t="str">
        <f t="shared" si="284"/>
        <v/>
      </c>
    </row>
    <row r="15043" spans="8:8" x14ac:dyDescent="0.3">
      <c r="H15043" t="str">
        <f t="shared" si="284"/>
        <v/>
      </c>
    </row>
    <row r="15044" spans="8:8" x14ac:dyDescent="0.3">
      <c r="H15044" t="str">
        <f t="shared" si="284"/>
        <v/>
      </c>
    </row>
    <row r="15045" spans="8:8" x14ac:dyDescent="0.3">
      <c r="H15045" t="str">
        <f t="shared" si="284"/>
        <v/>
      </c>
    </row>
    <row r="15046" spans="8:8" x14ac:dyDescent="0.3">
      <c r="H15046" t="str">
        <f t="shared" si="284"/>
        <v/>
      </c>
    </row>
    <row r="15047" spans="8:8" x14ac:dyDescent="0.3">
      <c r="H15047" t="str">
        <f t="shared" si="284"/>
        <v/>
      </c>
    </row>
    <row r="15048" spans="8:8" x14ac:dyDescent="0.3">
      <c r="H15048" t="str">
        <f t="shared" si="284"/>
        <v/>
      </c>
    </row>
    <row r="15049" spans="8:8" x14ac:dyDescent="0.3">
      <c r="H15049" t="str">
        <f t="shared" si="284"/>
        <v/>
      </c>
    </row>
    <row r="15050" spans="8:8" x14ac:dyDescent="0.3">
      <c r="H15050" t="str">
        <f t="shared" si="284"/>
        <v/>
      </c>
    </row>
    <row r="15051" spans="8:8" x14ac:dyDescent="0.3">
      <c r="H15051" t="str">
        <f t="shared" si="284"/>
        <v/>
      </c>
    </row>
    <row r="15052" spans="8:8" x14ac:dyDescent="0.3">
      <c r="H15052" t="str">
        <f t="shared" si="284"/>
        <v/>
      </c>
    </row>
    <row r="15053" spans="8:8" x14ac:dyDescent="0.3">
      <c r="H15053" t="str">
        <f t="shared" si="284"/>
        <v/>
      </c>
    </row>
    <row r="15054" spans="8:8" x14ac:dyDescent="0.3">
      <c r="H15054" t="str">
        <f t="shared" si="284"/>
        <v/>
      </c>
    </row>
    <row r="15055" spans="8:8" x14ac:dyDescent="0.3">
      <c r="H15055" t="str">
        <f t="shared" si="284"/>
        <v/>
      </c>
    </row>
    <row r="15056" spans="8:8" x14ac:dyDescent="0.3">
      <c r="H15056" t="str">
        <f t="shared" si="284"/>
        <v/>
      </c>
    </row>
    <row r="15057" spans="8:8" x14ac:dyDescent="0.3">
      <c r="H15057" t="str">
        <f t="shared" si="284"/>
        <v/>
      </c>
    </row>
    <row r="15058" spans="8:8" x14ac:dyDescent="0.3">
      <c r="H15058" t="str">
        <f t="shared" si="284"/>
        <v/>
      </c>
    </row>
    <row r="15059" spans="8:8" x14ac:dyDescent="0.3">
      <c r="H15059" t="str">
        <f t="shared" si="284"/>
        <v/>
      </c>
    </row>
    <row r="15060" spans="8:8" x14ac:dyDescent="0.3">
      <c r="H15060" t="str">
        <f t="shared" si="284"/>
        <v/>
      </c>
    </row>
    <row r="15061" spans="8:8" x14ac:dyDescent="0.3">
      <c r="H15061" t="str">
        <f t="shared" si="284"/>
        <v/>
      </c>
    </row>
    <row r="15062" spans="8:8" x14ac:dyDescent="0.3">
      <c r="H15062" t="str">
        <f t="shared" si="284"/>
        <v/>
      </c>
    </row>
    <row r="15063" spans="8:8" x14ac:dyDescent="0.3">
      <c r="H15063" t="str">
        <f t="shared" ref="H15063:H15126" si="285">IF(B15063="","",$C$12)</f>
        <v/>
      </c>
    </row>
    <row r="15064" spans="8:8" x14ac:dyDescent="0.3">
      <c r="H15064" t="str">
        <f t="shared" si="285"/>
        <v/>
      </c>
    </row>
    <row r="15065" spans="8:8" x14ac:dyDescent="0.3">
      <c r="H15065" t="str">
        <f t="shared" si="285"/>
        <v/>
      </c>
    </row>
    <row r="15066" spans="8:8" x14ac:dyDescent="0.3">
      <c r="H15066" t="str">
        <f t="shared" si="285"/>
        <v/>
      </c>
    </row>
    <row r="15067" spans="8:8" x14ac:dyDescent="0.3">
      <c r="H15067" t="str">
        <f t="shared" si="285"/>
        <v/>
      </c>
    </row>
    <row r="15068" spans="8:8" x14ac:dyDescent="0.3">
      <c r="H15068" t="str">
        <f t="shared" si="285"/>
        <v/>
      </c>
    </row>
    <row r="15069" spans="8:8" x14ac:dyDescent="0.3">
      <c r="H15069" t="str">
        <f t="shared" si="285"/>
        <v/>
      </c>
    </row>
    <row r="15070" spans="8:8" x14ac:dyDescent="0.3">
      <c r="H15070" t="str">
        <f t="shared" si="285"/>
        <v/>
      </c>
    </row>
    <row r="15071" spans="8:8" x14ac:dyDescent="0.3">
      <c r="H15071" t="str">
        <f t="shared" si="285"/>
        <v/>
      </c>
    </row>
    <row r="15072" spans="8:8" x14ac:dyDescent="0.3">
      <c r="H15072" t="str">
        <f t="shared" si="285"/>
        <v/>
      </c>
    </row>
    <row r="15073" spans="8:8" x14ac:dyDescent="0.3">
      <c r="H15073" t="str">
        <f t="shared" si="285"/>
        <v/>
      </c>
    </row>
    <row r="15074" spans="8:8" x14ac:dyDescent="0.3">
      <c r="H15074" t="str">
        <f t="shared" si="285"/>
        <v/>
      </c>
    </row>
    <row r="15075" spans="8:8" x14ac:dyDescent="0.3">
      <c r="H15075" t="str">
        <f t="shared" si="285"/>
        <v/>
      </c>
    </row>
    <row r="15076" spans="8:8" x14ac:dyDescent="0.3">
      <c r="H15076" t="str">
        <f t="shared" si="285"/>
        <v/>
      </c>
    </row>
    <row r="15077" spans="8:8" x14ac:dyDescent="0.3">
      <c r="H15077" t="str">
        <f t="shared" si="285"/>
        <v/>
      </c>
    </row>
    <row r="15078" spans="8:8" x14ac:dyDescent="0.3">
      <c r="H15078" t="str">
        <f t="shared" si="285"/>
        <v/>
      </c>
    </row>
    <row r="15079" spans="8:8" x14ac:dyDescent="0.3">
      <c r="H15079" t="str">
        <f t="shared" si="285"/>
        <v/>
      </c>
    </row>
    <row r="15080" spans="8:8" x14ac:dyDescent="0.3">
      <c r="H15080" t="str">
        <f t="shared" si="285"/>
        <v/>
      </c>
    </row>
    <row r="15081" spans="8:8" x14ac:dyDescent="0.3">
      <c r="H15081" t="str">
        <f t="shared" si="285"/>
        <v/>
      </c>
    </row>
    <row r="15082" spans="8:8" x14ac:dyDescent="0.3">
      <c r="H15082" t="str">
        <f t="shared" si="285"/>
        <v/>
      </c>
    </row>
    <row r="15083" spans="8:8" x14ac:dyDescent="0.3">
      <c r="H15083" t="str">
        <f t="shared" si="285"/>
        <v/>
      </c>
    </row>
    <row r="15084" spans="8:8" x14ac:dyDescent="0.3">
      <c r="H15084" t="str">
        <f t="shared" si="285"/>
        <v/>
      </c>
    </row>
    <row r="15085" spans="8:8" x14ac:dyDescent="0.3">
      <c r="H15085" t="str">
        <f t="shared" si="285"/>
        <v/>
      </c>
    </row>
    <row r="15086" spans="8:8" x14ac:dyDescent="0.3">
      <c r="H15086" t="str">
        <f t="shared" si="285"/>
        <v/>
      </c>
    </row>
    <row r="15087" spans="8:8" x14ac:dyDescent="0.3">
      <c r="H15087" t="str">
        <f t="shared" si="285"/>
        <v/>
      </c>
    </row>
    <row r="15088" spans="8:8" x14ac:dyDescent="0.3">
      <c r="H15088" t="str">
        <f t="shared" si="285"/>
        <v/>
      </c>
    </row>
    <row r="15089" spans="8:8" x14ac:dyDescent="0.3">
      <c r="H15089" t="str">
        <f t="shared" si="285"/>
        <v/>
      </c>
    </row>
    <row r="15090" spans="8:8" x14ac:dyDescent="0.3">
      <c r="H15090" t="str">
        <f t="shared" si="285"/>
        <v/>
      </c>
    </row>
    <row r="15091" spans="8:8" x14ac:dyDescent="0.3">
      <c r="H15091" t="str">
        <f t="shared" si="285"/>
        <v/>
      </c>
    </row>
    <row r="15092" spans="8:8" x14ac:dyDescent="0.3">
      <c r="H15092" t="str">
        <f t="shared" si="285"/>
        <v/>
      </c>
    </row>
    <row r="15093" spans="8:8" x14ac:dyDescent="0.3">
      <c r="H15093" t="str">
        <f t="shared" si="285"/>
        <v/>
      </c>
    </row>
    <row r="15094" spans="8:8" x14ac:dyDescent="0.3">
      <c r="H15094" t="str">
        <f t="shared" si="285"/>
        <v/>
      </c>
    </row>
    <row r="15095" spans="8:8" x14ac:dyDescent="0.3">
      <c r="H15095" t="str">
        <f t="shared" si="285"/>
        <v/>
      </c>
    </row>
    <row r="15096" spans="8:8" x14ac:dyDescent="0.3">
      <c r="H15096" t="str">
        <f t="shared" si="285"/>
        <v/>
      </c>
    </row>
    <row r="15097" spans="8:8" x14ac:dyDescent="0.3">
      <c r="H15097" t="str">
        <f t="shared" si="285"/>
        <v/>
      </c>
    </row>
    <row r="15098" spans="8:8" x14ac:dyDescent="0.3">
      <c r="H15098" t="str">
        <f t="shared" si="285"/>
        <v/>
      </c>
    </row>
    <row r="15099" spans="8:8" x14ac:dyDescent="0.3">
      <c r="H15099" t="str">
        <f t="shared" si="285"/>
        <v/>
      </c>
    </row>
    <row r="15100" spans="8:8" x14ac:dyDescent="0.3">
      <c r="H15100" t="str">
        <f t="shared" si="285"/>
        <v/>
      </c>
    </row>
    <row r="15101" spans="8:8" x14ac:dyDescent="0.3">
      <c r="H15101" t="str">
        <f t="shared" si="285"/>
        <v/>
      </c>
    </row>
    <row r="15102" spans="8:8" x14ac:dyDescent="0.3">
      <c r="H15102" t="str">
        <f t="shared" si="285"/>
        <v/>
      </c>
    </row>
    <row r="15103" spans="8:8" x14ac:dyDescent="0.3">
      <c r="H15103" t="str">
        <f t="shared" si="285"/>
        <v/>
      </c>
    </row>
    <row r="15104" spans="8:8" x14ac:dyDescent="0.3">
      <c r="H15104" t="str">
        <f t="shared" si="285"/>
        <v/>
      </c>
    </row>
    <row r="15105" spans="8:8" x14ac:dyDescent="0.3">
      <c r="H15105" t="str">
        <f t="shared" si="285"/>
        <v/>
      </c>
    </row>
    <row r="15106" spans="8:8" x14ac:dyDescent="0.3">
      <c r="H15106" t="str">
        <f t="shared" si="285"/>
        <v/>
      </c>
    </row>
    <row r="15107" spans="8:8" x14ac:dyDescent="0.3">
      <c r="H15107" t="str">
        <f t="shared" si="285"/>
        <v/>
      </c>
    </row>
    <row r="15108" spans="8:8" x14ac:dyDescent="0.3">
      <c r="H15108" t="str">
        <f t="shared" si="285"/>
        <v/>
      </c>
    </row>
    <row r="15109" spans="8:8" x14ac:dyDescent="0.3">
      <c r="H15109" t="str">
        <f t="shared" si="285"/>
        <v/>
      </c>
    </row>
    <row r="15110" spans="8:8" x14ac:dyDescent="0.3">
      <c r="H15110" t="str">
        <f t="shared" si="285"/>
        <v/>
      </c>
    </row>
    <row r="15111" spans="8:8" x14ac:dyDescent="0.3">
      <c r="H15111" t="str">
        <f t="shared" si="285"/>
        <v/>
      </c>
    </row>
    <row r="15112" spans="8:8" x14ac:dyDescent="0.3">
      <c r="H15112" t="str">
        <f t="shared" si="285"/>
        <v/>
      </c>
    </row>
    <row r="15113" spans="8:8" x14ac:dyDescent="0.3">
      <c r="H15113" t="str">
        <f t="shared" si="285"/>
        <v/>
      </c>
    </row>
    <row r="15114" spans="8:8" x14ac:dyDescent="0.3">
      <c r="H15114" t="str">
        <f t="shared" si="285"/>
        <v/>
      </c>
    </row>
    <row r="15115" spans="8:8" x14ac:dyDescent="0.3">
      <c r="H15115" t="str">
        <f t="shared" si="285"/>
        <v/>
      </c>
    </row>
    <row r="15116" spans="8:8" x14ac:dyDescent="0.3">
      <c r="H15116" t="str">
        <f t="shared" si="285"/>
        <v/>
      </c>
    </row>
    <row r="15117" spans="8:8" x14ac:dyDescent="0.3">
      <c r="H15117" t="str">
        <f t="shared" si="285"/>
        <v/>
      </c>
    </row>
    <row r="15118" spans="8:8" x14ac:dyDescent="0.3">
      <c r="H15118" t="str">
        <f t="shared" si="285"/>
        <v/>
      </c>
    </row>
    <row r="15119" spans="8:8" x14ac:dyDescent="0.3">
      <c r="H15119" t="str">
        <f t="shared" si="285"/>
        <v/>
      </c>
    </row>
    <row r="15120" spans="8:8" x14ac:dyDescent="0.3">
      <c r="H15120" t="str">
        <f t="shared" si="285"/>
        <v/>
      </c>
    </row>
    <row r="15121" spans="8:8" x14ac:dyDescent="0.3">
      <c r="H15121" t="str">
        <f t="shared" si="285"/>
        <v/>
      </c>
    </row>
    <row r="15122" spans="8:8" x14ac:dyDescent="0.3">
      <c r="H15122" t="str">
        <f t="shared" si="285"/>
        <v/>
      </c>
    </row>
    <row r="15123" spans="8:8" x14ac:dyDescent="0.3">
      <c r="H15123" t="str">
        <f t="shared" si="285"/>
        <v/>
      </c>
    </row>
    <row r="15124" spans="8:8" x14ac:dyDescent="0.3">
      <c r="H15124" t="str">
        <f t="shared" si="285"/>
        <v/>
      </c>
    </row>
    <row r="15125" spans="8:8" x14ac:dyDescent="0.3">
      <c r="H15125" t="str">
        <f t="shared" si="285"/>
        <v/>
      </c>
    </row>
    <row r="15126" spans="8:8" x14ac:dyDescent="0.3">
      <c r="H15126" t="str">
        <f t="shared" si="285"/>
        <v/>
      </c>
    </row>
    <row r="15127" spans="8:8" x14ac:dyDescent="0.3">
      <c r="H15127" t="str">
        <f t="shared" ref="H15127:H15190" si="286">IF(B15127="","",$C$12)</f>
        <v/>
      </c>
    </row>
    <row r="15128" spans="8:8" x14ac:dyDescent="0.3">
      <c r="H15128" t="str">
        <f t="shared" si="286"/>
        <v/>
      </c>
    </row>
    <row r="15129" spans="8:8" x14ac:dyDescent="0.3">
      <c r="H15129" t="str">
        <f t="shared" si="286"/>
        <v/>
      </c>
    </row>
    <row r="15130" spans="8:8" x14ac:dyDescent="0.3">
      <c r="H15130" t="str">
        <f t="shared" si="286"/>
        <v/>
      </c>
    </row>
    <row r="15131" spans="8:8" x14ac:dyDescent="0.3">
      <c r="H15131" t="str">
        <f t="shared" si="286"/>
        <v/>
      </c>
    </row>
    <row r="15132" spans="8:8" x14ac:dyDescent="0.3">
      <c r="H15132" t="str">
        <f t="shared" si="286"/>
        <v/>
      </c>
    </row>
    <row r="15133" spans="8:8" x14ac:dyDescent="0.3">
      <c r="H15133" t="str">
        <f t="shared" si="286"/>
        <v/>
      </c>
    </row>
    <row r="15134" spans="8:8" x14ac:dyDescent="0.3">
      <c r="H15134" t="str">
        <f t="shared" si="286"/>
        <v/>
      </c>
    </row>
    <row r="15135" spans="8:8" x14ac:dyDescent="0.3">
      <c r="H15135" t="str">
        <f t="shared" si="286"/>
        <v/>
      </c>
    </row>
    <row r="15136" spans="8:8" x14ac:dyDescent="0.3">
      <c r="H15136" t="str">
        <f t="shared" si="286"/>
        <v/>
      </c>
    </row>
    <row r="15137" spans="8:8" x14ac:dyDescent="0.3">
      <c r="H15137" t="str">
        <f t="shared" si="286"/>
        <v/>
      </c>
    </row>
    <row r="15138" spans="8:8" x14ac:dyDescent="0.3">
      <c r="H15138" t="str">
        <f t="shared" si="286"/>
        <v/>
      </c>
    </row>
    <row r="15139" spans="8:8" x14ac:dyDescent="0.3">
      <c r="H15139" t="str">
        <f t="shared" si="286"/>
        <v/>
      </c>
    </row>
    <row r="15140" spans="8:8" x14ac:dyDescent="0.3">
      <c r="H15140" t="str">
        <f t="shared" si="286"/>
        <v/>
      </c>
    </row>
    <row r="15141" spans="8:8" x14ac:dyDescent="0.3">
      <c r="H15141" t="str">
        <f t="shared" si="286"/>
        <v/>
      </c>
    </row>
    <row r="15142" spans="8:8" x14ac:dyDescent="0.3">
      <c r="H15142" t="str">
        <f t="shared" si="286"/>
        <v/>
      </c>
    </row>
    <row r="15143" spans="8:8" x14ac:dyDescent="0.3">
      <c r="H15143" t="str">
        <f t="shared" si="286"/>
        <v/>
      </c>
    </row>
    <row r="15144" spans="8:8" x14ac:dyDescent="0.3">
      <c r="H15144" t="str">
        <f t="shared" si="286"/>
        <v/>
      </c>
    </row>
    <row r="15145" spans="8:8" x14ac:dyDescent="0.3">
      <c r="H15145" t="str">
        <f t="shared" si="286"/>
        <v/>
      </c>
    </row>
    <row r="15146" spans="8:8" x14ac:dyDescent="0.3">
      <c r="H15146" t="str">
        <f t="shared" si="286"/>
        <v/>
      </c>
    </row>
    <row r="15147" spans="8:8" x14ac:dyDescent="0.3">
      <c r="H15147" t="str">
        <f t="shared" si="286"/>
        <v/>
      </c>
    </row>
    <row r="15148" spans="8:8" x14ac:dyDescent="0.3">
      <c r="H15148" t="str">
        <f t="shared" si="286"/>
        <v/>
      </c>
    </row>
    <row r="15149" spans="8:8" x14ac:dyDescent="0.3">
      <c r="H15149" t="str">
        <f t="shared" si="286"/>
        <v/>
      </c>
    </row>
    <row r="15150" spans="8:8" x14ac:dyDescent="0.3">
      <c r="H15150" t="str">
        <f t="shared" si="286"/>
        <v/>
      </c>
    </row>
    <row r="15151" spans="8:8" x14ac:dyDescent="0.3">
      <c r="H15151" t="str">
        <f t="shared" si="286"/>
        <v/>
      </c>
    </row>
    <row r="15152" spans="8:8" x14ac:dyDescent="0.3">
      <c r="H15152" t="str">
        <f t="shared" si="286"/>
        <v/>
      </c>
    </row>
    <row r="15153" spans="8:8" x14ac:dyDescent="0.3">
      <c r="H15153" t="str">
        <f t="shared" si="286"/>
        <v/>
      </c>
    </row>
    <row r="15154" spans="8:8" x14ac:dyDescent="0.3">
      <c r="H15154" t="str">
        <f t="shared" si="286"/>
        <v/>
      </c>
    </row>
    <row r="15155" spans="8:8" x14ac:dyDescent="0.3">
      <c r="H15155" t="str">
        <f t="shared" si="286"/>
        <v/>
      </c>
    </row>
    <row r="15156" spans="8:8" x14ac:dyDescent="0.3">
      <c r="H15156" t="str">
        <f t="shared" si="286"/>
        <v/>
      </c>
    </row>
    <row r="15157" spans="8:8" x14ac:dyDescent="0.3">
      <c r="H15157" t="str">
        <f t="shared" si="286"/>
        <v/>
      </c>
    </row>
    <row r="15158" spans="8:8" x14ac:dyDescent="0.3">
      <c r="H15158" t="str">
        <f t="shared" si="286"/>
        <v/>
      </c>
    </row>
    <row r="15159" spans="8:8" x14ac:dyDescent="0.3">
      <c r="H15159" t="str">
        <f t="shared" si="286"/>
        <v/>
      </c>
    </row>
    <row r="15160" spans="8:8" x14ac:dyDescent="0.3">
      <c r="H15160" t="str">
        <f t="shared" si="286"/>
        <v/>
      </c>
    </row>
    <row r="15161" spans="8:8" x14ac:dyDescent="0.3">
      <c r="H15161" t="str">
        <f t="shared" si="286"/>
        <v/>
      </c>
    </row>
    <row r="15162" spans="8:8" x14ac:dyDescent="0.3">
      <c r="H15162" t="str">
        <f t="shared" si="286"/>
        <v/>
      </c>
    </row>
    <row r="15163" spans="8:8" x14ac:dyDescent="0.3">
      <c r="H15163" t="str">
        <f t="shared" si="286"/>
        <v/>
      </c>
    </row>
    <row r="15164" spans="8:8" x14ac:dyDescent="0.3">
      <c r="H15164" t="str">
        <f t="shared" si="286"/>
        <v/>
      </c>
    </row>
    <row r="15165" spans="8:8" x14ac:dyDescent="0.3">
      <c r="H15165" t="str">
        <f t="shared" si="286"/>
        <v/>
      </c>
    </row>
    <row r="15166" spans="8:8" x14ac:dyDescent="0.3">
      <c r="H15166" t="str">
        <f t="shared" si="286"/>
        <v/>
      </c>
    </row>
    <row r="15167" spans="8:8" x14ac:dyDescent="0.3">
      <c r="H15167" t="str">
        <f t="shared" si="286"/>
        <v/>
      </c>
    </row>
    <row r="15168" spans="8:8" x14ac:dyDescent="0.3">
      <c r="H15168" t="str">
        <f t="shared" si="286"/>
        <v/>
      </c>
    </row>
    <row r="15169" spans="8:8" x14ac:dyDescent="0.3">
      <c r="H15169" t="str">
        <f t="shared" si="286"/>
        <v/>
      </c>
    </row>
    <row r="15170" spans="8:8" x14ac:dyDescent="0.3">
      <c r="H15170" t="str">
        <f t="shared" si="286"/>
        <v/>
      </c>
    </row>
    <row r="15171" spans="8:8" x14ac:dyDescent="0.3">
      <c r="H15171" t="str">
        <f t="shared" si="286"/>
        <v/>
      </c>
    </row>
    <row r="15172" spans="8:8" x14ac:dyDescent="0.3">
      <c r="H15172" t="str">
        <f t="shared" si="286"/>
        <v/>
      </c>
    </row>
    <row r="15173" spans="8:8" x14ac:dyDescent="0.3">
      <c r="H15173" t="str">
        <f t="shared" si="286"/>
        <v/>
      </c>
    </row>
    <row r="15174" spans="8:8" x14ac:dyDescent="0.3">
      <c r="H15174" t="str">
        <f t="shared" si="286"/>
        <v/>
      </c>
    </row>
    <row r="15175" spans="8:8" x14ac:dyDescent="0.3">
      <c r="H15175" t="str">
        <f t="shared" si="286"/>
        <v/>
      </c>
    </row>
    <row r="15176" spans="8:8" x14ac:dyDescent="0.3">
      <c r="H15176" t="str">
        <f t="shared" si="286"/>
        <v/>
      </c>
    </row>
    <row r="15177" spans="8:8" x14ac:dyDescent="0.3">
      <c r="H15177" t="str">
        <f t="shared" si="286"/>
        <v/>
      </c>
    </row>
    <row r="15178" spans="8:8" x14ac:dyDescent="0.3">
      <c r="H15178" t="str">
        <f t="shared" si="286"/>
        <v/>
      </c>
    </row>
    <row r="15179" spans="8:8" x14ac:dyDescent="0.3">
      <c r="H15179" t="str">
        <f t="shared" si="286"/>
        <v/>
      </c>
    </row>
    <row r="15180" spans="8:8" x14ac:dyDescent="0.3">
      <c r="H15180" t="str">
        <f t="shared" si="286"/>
        <v/>
      </c>
    </row>
    <row r="15181" spans="8:8" x14ac:dyDescent="0.3">
      <c r="H15181" t="str">
        <f t="shared" si="286"/>
        <v/>
      </c>
    </row>
    <row r="15182" spans="8:8" x14ac:dyDescent="0.3">
      <c r="H15182" t="str">
        <f t="shared" si="286"/>
        <v/>
      </c>
    </row>
    <row r="15183" spans="8:8" x14ac:dyDescent="0.3">
      <c r="H15183" t="str">
        <f t="shared" si="286"/>
        <v/>
      </c>
    </row>
    <row r="15184" spans="8:8" x14ac:dyDescent="0.3">
      <c r="H15184" t="str">
        <f t="shared" si="286"/>
        <v/>
      </c>
    </row>
    <row r="15185" spans="8:8" x14ac:dyDescent="0.3">
      <c r="H15185" t="str">
        <f t="shared" si="286"/>
        <v/>
      </c>
    </row>
    <row r="15186" spans="8:8" x14ac:dyDescent="0.3">
      <c r="H15186" t="str">
        <f t="shared" si="286"/>
        <v/>
      </c>
    </row>
    <row r="15187" spans="8:8" x14ac:dyDescent="0.3">
      <c r="H15187" t="str">
        <f t="shared" si="286"/>
        <v/>
      </c>
    </row>
    <row r="15188" spans="8:8" x14ac:dyDescent="0.3">
      <c r="H15188" t="str">
        <f t="shared" si="286"/>
        <v/>
      </c>
    </row>
    <row r="15189" spans="8:8" x14ac:dyDescent="0.3">
      <c r="H15189" t="str">
        <f t="shared" si="286"/>
        <v/>
      </c>
    </row>
    <row r="15190" spans="8:8" x14ac:dyDescent="0.3">
      <c r="H15190" t="str">
        <f t="shared" si="286"/>
        <v/>
      </c>
    </row>
    <row r="15191" spans="8:8" x14ac:dyDescent="0.3">
      <c r="H15191" t="str">
        <f t="shared" ref="H15191:H15254" si="287">IF(B15191="","",$C$12)</f>
        <v/>
      </c>
    </row>
    <row r="15192" spans="8:8" x14ac:dyDescent="0.3">
      <c r="H15192" t="str">
        <f t="shared" si="287"/>
        <v/>
      </c>
    </row>
    <row r="15193" spans="8:8" x14ac:dyDescent="0.3">
      <c r="H15193" t="str">
        <f t="shared" si="287"/>
        <v/>
      </c>
    </row>
    <row r="15194" spans="8:8" x14ac:dyDescent="0.3">
      <c r="H15194" t="str">
        <f t="shared" si="287"/>
        <v/>
      </c>
    </row>
    <row r="15195" spans="8:8" x14ac:dyDescent="0.3">
      <c r="H15195" t="str">
        <f t="shared" si="287"/>
        <v/>
      </c>
    </row>
    <row r="15196" spans="8:8" x14ac:dyDescent="0.3">
      <c r="H15196" t="str">
        <f t="shared" si="287"/>
        <v/>
      </c>
    </row>
    <row r="15197" spans="8:8" x14ac:dyDescent="0.3">
      <c r="H15197" t="str">
        <f t="shared" si="287"/>
        <v/>
      </c>
    </row>
    <row r="15198" spans="8:8" x14ac:dyDescent="0.3">
      <c r="H15198" t="str">
        <f t="shared" si="287"/>
        <v/>
      </c>
    </row>
    <row r="15199" spans="8:8" x14ac:dyDescent="0.3">
      <c r="H15199" t="str">
        <f t="shared" si="287"/>
        <v/>
      </c>
    </row>
    <row r="15200" spans="8:8" x14ac:dyDescent="0.3">
      <c r="H15200" t="str">
        <f t="shared" si="287"/>
        <v/>
      </c>
    </row>
    <row r="15201" spans="8:8" x14ac:dyDescent="0.3">
      <c r="H15201" t="str">
        <f t="shared" si="287"/>
        <v/>
      </c>
    </row>
    <row r="15202" spans="8:8" x14ac:dyDescent="0.3">
      <c r="H15202" t="str">
        <f t="shared" si="287"/>
        <v/>
      </c>
    </row>
    <row r="15203" spans="8:8" x14ac:dyDescent="0.3">
      <c r="H15203" t="str">
        <f t="shared" si="287"/>
        <v/>
      </c>
    </row>
    <row r="15204" spans="8:8" x14ac:dyDescent="0.3">
      <c r="H15204" t="str">
        <f t="shared" si="287"/>
        <v/>
      </c>
    </row>
    <row r="15205" spans="8:8" x14ac:dyDescent="0.3">
      <c r="H15205" t="str">
        <f t="shared" si="287"/>
        <v/>
      </c>
    </row>
    <row r="15206" spans="8:8" x14ac:dyDescent="0.3">
      <c r="H15206" t="str">
        <f t="shared" si="287"/>
        <v/>
      </c>
    </row>
    <row r="15207" spans="8:8" x14ac:dyDescent="0.3">
      <c r="H15207" t="str">
        <f t="shared" si="287"/>
        <v/>
      </c>
    </row>
    <row r="15208" spans="8:8" x14ac:dyDescent="0.3">
      <c r="H15208" t="str">
        <f t="shared" si="287"/>
        <v/>
      </c>
    </row>
    <row r="15209" spans="8:8" x14ac:dyDescent="0.3">
      <c r="H15209" t="str">
        <f t="shared" si="287"/>
        <v/>
      </c>
    </row>
    <row r="15210" spans="8:8" x14ac:dyDescent="0.3">
      <c r="H15210" t="str">
        <f t="shared" si="287"/>
        <v/>
      </c>
    </row>
    <row r="15211" spans="8:8" x14ac:dyDescent="0.3">
      <c r="H15211" t="str">
        <f t="shared" si="287"/>
        <v/>
      </c>
    </row>
    <row r="15212" spans="8:8" x14ac:dyDescent="0.3">
      <c r="H15212" t="str">
        <f t="shared" si="287"/>
        <v/>
      </c>
    </row>
    <row r="15213" spans="8:8" x14ac:dyDescent="0.3">
      <c r="H15213" t="str">
        <f t="shared" si="287"/>
        <v/>
      </c>
    </row>
    <row r="15214" spans="8:8" x14ac:dyDescent="0.3">
      <c r="H15214" t="str">
        <f t="shared" si="287"/>
        <v/>
      </c>
    </row>
    <row r="15215" spans="8:8" x14ac:dyDescent="0.3">
      <c r="H15215" t="str">
        <f t="shared" si="287"/>
        <v/>
      </c>
    </row>
    <row r="15216" spans="8:8" x14ac:dyDescent="0.3">
      <c r="H15216" t="str">
        <f t="shared" si="287"/>
        <v/>
      </c>
    </row>
    <row r="15217" spans="8:8" x14ac:dyDescent="0.3">
      <c r="H15217" t="str">
        <f t="shared" si="287"/>
        <v/>
      </c>
    </row>
    <row r="15218" spans="8:8" x14ac:dyDescent="0.3">
      <c r="H15218" t="str">
        <f t="shared" si="287"/>
        <v/>
      </c>
    </row>
    <row r="15219" spans="8:8" x14ac:dyDescent="0.3">
      <c r="H15219" t="str">
        <f t="shared" si="287"/>
        <v/>
      </c>
    </row>
    <row r="15220" spans="8:8" x14ac:dyDescent="0.3">
      <c r="H15220" t="str">
        <f t="shared" si="287"/>
        <v/>
      </c>
    </row>
    <row r="15221" spans="8:8" x14ac:dyDescent="0.3">
      <c r="H15221" t="str">
        <f t="shared" si="287"/>
        <v/>
      </c>
    </row>
    <row r="15222" spans="8:8" x14ac:dyDescent="0.3">
      <c r="H15222" t="str">
        <f t="shared" si="287"/>
        <v/>
      </c>
    </row>
    <row r="15223" spans="8:8" x14ac:dyDescent="0.3">
      <c r="H15223" t="str">
        <f t="shared" si="287"/>
        <v/>
      </c>
    </row>
    <row r="15224" spans="8:8" x14ac:dyDescent="0.3">
      <c r="H15224" t="str">
        <f t="shared" si="287"/>
        <v/>
      </c>
    </row>
    <row r="15225" spans="8:8" x14ac:dyDescent="0.3">
      <c r="H15225" t="str">
        <f t="shared" si="287"/>
        <v/>
      </c>
    </row>
    <row r="15226" spans="8:8" x14ac:dyDescent="0.3">
      <c r="H15226" t="str">
        <f t="shared" si="287"/>
        <v/>
      </c>
    </row>
    <row r="15227" spans="8:8" x14ac:dyDescent="0.3">
      <c r="H15227" t="str">
        <f t="shared" si="287"/>
        <v/>
      </c>
    </row>
    <row r="15228" spans="8:8" x14ac:dyDescent="0.3">
      <c r="H15228" t="str">
        <f t="shared" si="287"/>
        <v/>
      </c>
    </row>
    <row r="15229" spans="8:8" x14ac:dyDescent="0.3">
      <c r="H15229" t="str">
        <f t="shared" si="287"/>
        <v/>
      </c>
    </row>
    <row r="15230" spans="8:8" x14ac:dyDescent="0.3">
      <c r="H15230" t="str">
        <f t="shared" si="287"/>
        <v/>
      </c>
    </row>
    <row r="15231" spans="8:8" x14ac:dyDescent="0.3">
      <c r="H15231" t="str">
        <f t="shared" si="287"/>
        <v/>
      </c>
    </row>
    <row r="15232" spans="8:8" x14ac:dyDescent="0.3">
      <c r="H15232" t="str">
        <f t="shared" si="287"/>
        <v/>
      </c>
    </row>
    <row r="15233" spans="8:8" x14ac:dyDescent="0.3">
      <c r="H15233" t="str">
        <f t="shared" si="287"/>
        <v/>
      </c>
    </row>
    <row r="15234" spans="8:8" x14ac:dyDescent="0.3">
      <c r="H15234" t="str">
        <f t="shared" si="287"/>
        <v/>
      </c>
    </row>
    <row r="15235" spans="8:8" x14ac:dyDescent="0.3">
      <c r="H15235" t="str">
        <f t="shared" si="287"/>
        <v/>
      </c>
    </row>
    <row r="15236" spans="8:8" x14ac:dyDescent="0.3">
      <c r="H15236" t="str">
        <f t="shared" si="287"/>
        <v/>
      </c>
    </row>
    <row r="15237" spans="8:8" x14ac:dyDescent="0.3">
      <c r="H15237" t="str">
        <f t="shared" si="287"/>
        <v/>
      </c>
    </row>
    <row r="15238" spans="8:8" x14ac:dyDescent="0.3">
      <c r="H15238" t="str">
        <f t="shared" si="287"/>
        <v/>
      </c>
    </row>
    <row r="15239" spans="8:8" x14ac:dyDescent="0.3">
      <c r="H15239" t="str">
        <f t="shared" si="287"/>
        <v/>
      </c>
    </row>
    <row r="15240" spans="8:8" x14ac:dyDescent="0.3">
      <c r="H15240" t="str">
        <f t="shared" si="287"/>
        <v/>
      </c>
    </row>
    <row r="15241" spans="8:8" x14ac:dyDescent="0.3">
      <c r="H15241" t="str">
        <f t="shared" si="287"/>
        <v/>
      </c>
    </row>
    <row r="15242" spans="8:8" x14ac:dyDescent="0.3">
      <c r="H15242" t="str">
        <f t="shared" si="287"/>
        <v/>
      </c>
    </row>
    <row r="15243" spans="8:8" x14ac:dyDescent="0.3">
      <c r="H15243" t="str">
        <f t="shared" si="287"/>
        <v/>
      </c>
    </row>
    <row r="15244" spans="8:8" x14ac:dyDescent="0.3">
      <c r="H15244" t="str">
        <f t="shared" si="287"/>
        <v/>
      </c>
    </row>
    <row r="15245" spans="8:8" x14ac:dyDescent="0.3">
      <c r="H15245" t="str">
        <f t="shared" si="287"/>
        <v/>
      </c>
    </row>
    <row r="15246" spans="8:8" x14ac:dyDescent="0.3">
      <c r="H15246" t="str">
        <f t="shared" si="287"/>
        <v/>
      </c>
    </row>
    <row r="15247" spans="8:8" x14ac:dyDescent="0.3">
      <c r="H15247" t="str">
        <f t="shared" si="287"/>
        <v/>
      </c>
    </row>
    <row r="15248" spans="8:8" x14ac:dyDescent="0.3">
      <c r="H15248" t="str">
        <f t="shared" si="287"/>
        <v/>
      </c>
    </row>
    <row r="15249" spans="8:8" x14ac:dyDescent="0.3">
      <c r="H15249" t="str">
        <f t="shared" si="287"/>
        <v/>
      </c>
    </row>
    <row r="15250" spans="8:8" x14ac:dyDescent="0.3">
      <c r="H15250" t="str">
        <f t="shared" si="287"/>
        <v/>
      </c>
    </row>
    <row r="15251" spans="8:8" x14ac:dyDescent="0.3">
      <c r="H15251" t="str">
        <f t="shared" si="287"/>
        <v/>
      </c>
    </row>
    <row r="15252" spans="8:8" x14ac:dyDescent="0.3">
      <c r="H15252" t="str">
        <f t="shared" si="287"/>
        <v/>
      </c>
    </row>
    <row r="15253" spans="8:8" x14ac:dyDescent="0.3">
      <c r="H15253" t="str">
        <f t="shared" si="287"/>
        <v/>
      </c>
    </row>
    <row r="15254" spans="8:8" x14ac:dyDescent="0.3">
      <c r="H15254" t="str">
        <f t="shared" si="287"/>
        <v/>
      </c>
    </row>
    <row r="15255" spans="8:8" x14ac:dyDescent="0.3">
      <c r="H15255" t="str">
        <f t="shared" ref="H15255:H15318" si="288">IF(B15255="","",$C$12)</f>
        <v/>
      </c>
    </row>
    <row r="15256" spans="8:8" x14ac:dyDescent="0.3">
      <c r="H15256" t="str">
        <f t="shared" si="288"/>
        <v/>
      </c>
    </row>
    <row r="15257" spans="8:8" x14ac:dyDescent="0.3">
      <c r="H15257" t="str">
        <f t="shared" si="288"/>
        <v/>
      </c>
    </row>
    <row r="15258" spans="8:8" x14ac:dyDescent="0.3">
      <c r="H15258" t="str">
        <f t="shared" si="288"/>
        <v/>
      </c>
    </row>
    <row r="15259" spans="8:8" x14ac:dyDescent="0.3">
      <c r="H15259" t="str">
        <f t="shared" si="288"/>
        <v/>
      </c>
    </row>
    <row r="15260" spans="8:8" x14ac:dyDescent="0.3">
      <c r="H15260" t="str">
        <f t="shared" si="288"/>
        <v/>
      </c>
    </row>
    <row r="15261" spans="8:8" x14ac:dyDescent="0.3">
      <c r="H15261" t="str">
        <f t="shared" si="288"/>
        <v/>
      </c>
    </row>
    <row r="15262" spans="8:8" x14ac:dyDescent="0.3">
      <c r="H15262" t="str">
        <f t="shared" si="288"/>
        <v/>
      </c>
    </row>
    <row r="15263" spans="8:8" x14ac:dyDescent="0.3">
      <c r="H15263" t="str">
        <f t="shared" si="288"/>
        <v/>
      </c>
    </row>
    <row r="15264" spans="8:8" x14ac:dyDescent="0.3">
      <c r="H15264" t="str">
        <f t="shared" si="288"/>
        <v/>
      </c>
    </row>
    <row r="15265" spans="8:8" x14ac:dyDescent="0.3">
      <c r="H15265" t="str">
        <f t="shared" si="288"/>
        <v/>
      </c>
    </row>
    <row r="15266" spans="8:8" x14ac:dyDescent="0.3">
      <c r="H15266" t="str">
        <f t="shared" si="288"/>
        <v/>
      </c>
    </row>
    <row r="15267" spans="8:8" x14ac:dyDescent="0.3">
      <c r="H15267" t="str">
        <f t="shared" si="288"/>
        <v/>
      </c>
    </row>
    <row r="15268" spans="8:8" x14ac:dyDescent="0.3">
      <c r="H15268" t="str">
        <f t="shared" si="288"/>
        <v/>
      </c>
    </row>
    <row r="15269" spans="8:8" x14ac:dyDescent="0.3">
      <c r="H15269" t="str">
        <f t="shared" si="288"/>
        <v/>
      </c>
    </row>
    <row r="15270" spans="8:8" x14ac:dyDescent="0.3">
      <c r="H15270" t="str">
        <f t="shared" si="288"/>
        <v/>
      </c>
    </row>
    <row r="15271" spans="8:8" x14ac:dyDescent="0.3">
      <c r="H15271" t="str">
        <f t="shared" si="288"/>
        <v/>
      </c>
    </row>
    <row r="15272" spans="8:8" x14ac:dyDescent="0.3">
      <c r="H15272" t="str">
        <f t="shared" si="288"/>
        <v/>
      </c>
    </row>
    <row r="15273" spans="8:8" x14ac:dyDescent="0.3">
      <c r="H15273" t="str">
        <f t="shared" si="288"/>
        <v/>
      </c>
    </row>
    <row r="15274" spans="8:8" x14ac:dyDescent="0.3">
      <c r="H15274" t="str">
        <f t="shared" si="288"/>
        <v/>
      </c>
    </row>
    <row r="15275" spans="8:8" x14ac:dyDescent="0.3">
      <c r="H15275" t="str">
        <f t="shared" si="288"/>
        <v/>
      </c>
    </row>
    <row r="15276" spans="8:8" x14ac:dyDescent="0.3">
      <c r="H15276" t="str">
        <f t="shared" si="288"/>
        <v/>
      </c>
    </row>
    <row r="15277" spans="8:8" x14ac:dyDescent="0.3">
      <c r="H15277" t="str">
        <f t="shared" si="288"/>
        <v/>
      </c>
    </row>
    <row r="15278" spans="8:8" x14ac:dyDescent="0.3">
      <c r="H15278" t="str">
        <f t="shared" si="288"/>
        <v/>
      </c>
    </row>
    <row r="15279" spans="8:8" x14ac:dyDescent="0.3">
      <c r="H15279" t="str">
        <f t="shared" si="288"/>
        <v/>
      </c>
    </row>
    <row r="15280" spans="8:8" x14ac:dyDescent="0.3">
      <c r="H15280" t="str">
        <f t="shared" si="288"/>
        <v/>
      </c>
    </row>
    <row r="15281" spans="8:8" x14ac:dyDescent="0.3">
      <c r="H15281" t="str">
        <f t="shared" si="288"/>
        <v/>
      </c>
    </row>
    <row r="15282" spans="8:8" x14ac:dyDescent="0.3">
      <c r="H15282" t="str">
        <f t="shared" si="288"/>
        <v/>
      </c>
    </row>
    <row r="15283" spans="8:8" x14ac:dyDescent="0.3">
      <c r="H15283" t="str">
        <f t="shared" si="288"/>
        <v/>
      </c>
    </row>
    <row r="15284" spans="8:8" x14ac:dyDescent="0.3">
      <c r="H15284" t="str">
        <f t="shared" si="288"/>
        <v/>
      </c>
    </row>
    <row r="15285" spans="8:8" x14ac:dyDescent="0.3">
      <c r="H15285" t="str">
        <f t="shared" si="288"/>
        <v/>
      </c>
    </row>
    <row r="15286" spans="8:8" x14ac:dyDescent="0.3">
      <c r="H15286" t="str">
        <f t="shared" si="288"/>
        <v/>
      </c>
    </row>
    <row r="15287" spans="8:8" x14ac:dyDescent="0.3">
      <c r="H15287" t="str">
        <f t="shared" si="288"/>
        <v/>
      </c>
    </row>
    <row r="15288" spans="8:8" x14ac:dyDescent="0.3">
      <c r="H15288" t="str">
        <f t="shared" si="288"/>
        <v/>
      </c>
    </row>
    <row r="15289" spans="8:8" x14ac:dyDescent="0.3">
      <c r="H15289" t="str">
        <f t="shared" si="288"/>
        <v/>
      </c>
    </row>
    <row r="15290" spans="8:8" x14ac:dyDescent="0.3">
      <c r="H15290" t="str">
        <f t="shared" si="288"/>
        <v/>
      </c>
    </row>
    <row r="15291" spans="8:8" x14ac:dyDescent="0.3">
      <c r="H15291" t="str">
        <f t="shared" si="288"/>
        <v/>
      </c>
    </row>
    <row r="15292" spans="8:8" x14ac:dyDescent="0.3">
      <c r="H15292" t="str">
        <f t="shared" si="288"/>
        <v/>
      </c>
    </row>
    <row r="15293" spans="8:8" x14ac:dyDescent="0.3">
      <c r="H15293" t="str">
        <f t="shared" si="288"/>
        <v/>
      </c>
    </row>
    <row r="15294" spans="8:8" x14ac:dyDescent="0.3">
      <c r="H15294" t="str">
        <f t="shared" si="288"/>
        <v/>
      </c>
    </row>
    <row r="15295" spans="8:8" x14ac:dyDescent="0.3">
      <c r="H15295" t="str">
        <f t="shared" si="288"/>
        <v/>
      </c>
    </row>
    <row r="15296" spans="8:8" x14ac:dyDescent="0.3">
      <c r="H15296" t="str">
        <f t="shared" si="288"/>
        <v/>
      </c>
    </row>
    <row r="15297" spans="8:8" x14ac:dyDescent="0.3">
      <c r="H15297" t="str">
        <f t="shared" si="288"/>
        <v/>
      </c>
    </row>
    <row r="15298" spans="8:8" x14ac:dyDescent="0.3">
      <c r="H15298" t="str">
        <f t="shared" si="288"/>
        <v/>
      </c>
    </row>
    <row r="15299" spans="8:8" x14ac:dyDescent="0.3">
      <c r="H15299" t="str">
        <f t="shared" si="288"/>
        <v/>
      </c>
    </row>
    <row r="15300" spans="8:8" x14ac:dyDescent="0.3">
      <c r="H15300" t="str">
        <f t="shared" si="288"/>
        <v/>
      </c>
    </row>
    <row r="15301" spans="8:8" x14ac:dyDescent="0.3">
      <c r="H15301" t="str">
        <f t="shared" si="288"/>
        <v/>
      </c>
    </row>
    <row r="15302" spans="8:8" x14ac:dyDescent="0.3">
      <c r="H15302" t="str">
        <f t="shared" si="288"/>
        <v/>
      </c>
    </row>
    <row r="15303" spans="8:8" x14ac:dyDescent="0.3">
      <c r="H15303" t="str">
        <f t="shared" si="288"/>
        <v/>
      </c>
    </row>
    <row r="15304" spans="8:8" x14ac:dyDescent="0.3">
      <c r="H15304" t="str">
        <f t="shared" si="288"/>
        <v/>
      </c>
    </row>
    <row r="15305" spans="8:8" x14ac:dyDescent="0.3">
      <c r="H15305" t="str">
        <f t="shared" si="288"/>
        <v/>
      </c>
    </row>
    <row r="15306" spans="8:8" x14ac:dyDescent="0.3">
      <c r="H15306" t="str">
        <f t="shared" si="288"/>
        <v/>
      </c>
    </row>
    <row r="15307" spans="8:8" x14ac:dyDescent="0.3">
      <c r="H15307" t="str">
        <f t="shared" si="288"/>
        <v/>
      </c>
    </row>
    <row r="15308" spans="8:8" x14ac:dyDescent="0.3">
      <c r="H15308" t="str">
        <f t="shared" si="288"/>
        <v/>
      </c>
    </row>
    <row r="15309" spans="8:8" x14ac:dyDescent="0.3">
      <c r="H15309" t="str">
        <f t="shared" si="288"/>
        <v/>
      </c>
    </row>
    <row r="15310" spans="8:8" x14ac:dyDescent="0.3">
      <c r="H15310" t="str">
        <f t="shared" si="288"/>
        <v/>
      </c>
    </row>
    <row r="15311" spans="8:8" x14ac:dyDescent="0.3">
      <c r="H15311" t="str">
        <f t="shared" si="288"/>
        <v/>
      </c>
    </row>
    <row r="15312" spans="8:8" x14ac:dyDescent="0.3">
      <c r="H15312" t="str">
        <f t="shared" si="288"/>
        <v/>
      </c>
    </row>
    <row r="15313" spans="8:8" x14ac:dyDescent="0.3">
      <c r="H15313" t="str">
        <f t="shared" si="288"/>
        <v/>
      </c>
    </row>
    <row r="15314" spans="8:8" x14ac:dyDescent="0.3">
      <c r="H15314" t="str">
        <f t="shared" si="288"/>
        <v/>
      </c>
    </row>
    <row r="15315" spans="8:8" x14ac:dyDescent="0.3">
      <c r="H15315" t="str">
        <f t="shared" si="288"/>
        <v/>
      </c>
    </row>
    <row r="15316" spans="8:8" x14ac:dyDescent="0.3">
      <c r="H15316" t="str">
        <f t="shared" si="288"/>
        <v/>
      </c>
    </row>
    <row r="15317" spans="8:8" x14ac:dyDescent="0.3">
      <c r="H15317" t="str">
        <f t="shared" si="288"/>
        <v/>
      </c>
    </row>
    <row r="15318" spans="8:8" x14ac:dyDescent="0.3">
      <c r="H15318" t="str">
        <f t="shared" si="288"/>
        <v/>
      </c>
    </row>
    <row r="15319" spans="8:8" x14ac:dyDescent="0.3">
      <c r="H15319" t="str">
        <f t="shared" ref="H15319:H15382" si="289">IF(B15319="","",$C$12)</f>
        <v/>
      </c>
    </row>
    <row r="15320" spans="8:8" x14ac:dyDescent="0.3">
      <c r="H15320" t="str">
        <f t="shared" si="289"/>
        <v/>
      </c>
    </row>
    <row r="15321" spans="8:8" x14ac:dyDescent="0.3">
      <c r="H15321" t="str">
        <f t="shared" si="289"/>
        <v/>
      </c>
    </row>
    <row r="15322" spans="8:8" x14ac:dyDescent="0.3">
      <c r="H15322" t="str">
        <f t="shared" si="289"/>
        <v/>
      </c>
    </row>
    <row r="15323" spans="8:8" x14ac:dyDescent="0.3">
      <c r="H15323" t="str">
        <f t="shared" si="289"/>
        <v/>
      </c>
    </row>
    <row r="15324" spans="8:8" x14ac:dyDescent="0.3">
      <c r="H15324" t="str">
        <f t="shared" si="289"/>
        <v/>
      </c>
    </row>
    <row r="15325" spans="8:8" x14ac:dyDescent="0.3">
      <c r="H15325" t="str">
        <f t="shared" si="289"/>
        <v/>
      </c>
    </row>
    <row r="15326" spans="8:8" x14ac:dyDescent="0.3">
      <c r="H15326" t="str">
        <f t="shared" si="289"/>
        <v/>
      </c>
    </row>
    <row r="15327" spans="8:8" x14ac:dyDescent="0.3">
      <c r="H15327" t="str">
        <f t="shared" si="289"/>
        <v/>
      </c>
    </row>
    <row r="15328" spans="8:8" x14ac:dyDescent="0.3">
      <c r="H15328" t="str">
        <f t="shared" si="289"/>
        <v/>
      </c>
    </row>
    <row r="15329" spans="8:8" x14ac:dyDescent="0.3">
      <c r="H15329" t="str">
        <f t="shared" si="289"/>
        <v/>
      </c>
    </row>
    <row r="15330" spans="8:8" x14ac:dyDescent="0.3">
      <c r="H15330" t="str">
        <f t="shared" si="289"/>
        <v/>
      </c>
    </row>
    <row r="15331" spans="8:8" x14ac:dyDescent="0.3">
      <c r="H15331" t="str">
        <f t="shared" si="289"/>
        <v/>
      </c>
    </row>
    <row r="15332" spans="8:8" x14ac:dyDescent="0.3">
      <c r="H15332" t="str">
        <f t="shared" si="289"/>
        <v/>
      </c>
    </row>
    <row r="15333" spans="8:8" x14ac:dyDescent="0.3">
      <c r="H15333" t="str">
        <f t="shared" si="289"/>
        <v/>
      </c>
    </row>
    <row r="15334" spans="8:8" x14ac:dyDescent="0.3">
      <c r="H15334" t="str">
        <f t="shared" si="289"/>
        <v/>
      </c>
    </row>
    <row r="15335" spans="8:8" x14ac:dyDescent="0.3">
      <c r="H15335" t="str">
        <f t="shared" si="289"/>
        <v/>
      </c>
    </row>
    <row r="15336" spans="8:8" x14ac:dyDescent="0.3">
      <c r="H15336" t="str">
        <f t="shared" si="289"/>
        <v/>
      </c>
    </row>
    <row r="15337" spans="8:8" x14ac:dyDescent="0.3">
      <c r="H15337" t="str">
        <f t="shared" si="289"/>
        <v/>
      </c>
    </row>
    <row r="15338" spans="8:8" x14ac:dyDescent="0.3">
      <c r="H15338" t="str">
        <f t="shared" si="289"/>
        <v/>
      </c>
    </row>
    <row r="15339" spans="8:8" x14ac:dyDescent="0.3">
      <c r="H15339" t="str">
        <f t="shared" si="289"/>
        <v/>
      </c>
    </row>
    <row r="15340" spans="8:8" x14ac:dyDescent="0.3">
      <c r="H15340" t="str">
        <f t="shared" si="289"/>
        <v/>
      </c>
    </row>
    <row r="15341" spans="8:8" x14ac:dyDescent="0.3">
      <c r="H15341" t="str">
        <f t="shared" si="289"/>
        <v/>
      </c>
    </row>
    <row r="15342" spans="8:8" x14ac:dyDescent="0.3">
      <c r="H15342" t="str">
        <f t="shared" si="289"/>
        <v/>
      </c>
    </row>
    <row r="15343" spans="8:8" x14ac:dyDescent="0.3">
      <c r="H15343" t="str">
        <f t="shared" si="289"/>
        <v/>
      </c>
    </row>
    <row r="15344" spans="8:8" x14ac:dyDescent="0.3">
      <c r="H15344" t="str">
        <f t="shared" si="289"/>
        <v/>
      </c>
    </row>
    <row r="15345" spans="8:8" x14ac:dyDescent="0.3">
      <c r="H15345" t="str">
        <f t="shared" si="289"/>
        <v/>
      </c>
    </row>
    <row r="15346" spans="8:8" x14ac:dyDescent="0.3">
      <c r="H15346" t="str">
        <f t="shared" si="289"/>
        <v/>
      </c>
    </row>
    <row r="15347" spans="8:8" x14ac:dyDescent="0.3">
      <c r="H15347" t="str">
        <f t="shared" si="289"/>
        <v/>
      </c>
    </row>
    <row r="15348" spans="8:8" x14ac:dyDescent="0.3">
      <c r="H15348" t="str">
        <f t="shared" si="289"/>
        <v/>
      </c>
    </row>
    <row r="15349" spans="8:8" x14ac:dyDescent="0.3">
      <c r="H15349" t="str">
        <f t="shared" si="289"/>
        <v/>
      </c>
    </row>
    <row r="15350" spans="8:8" x14ac:dyDescent="0.3">
      <c r="H15350" t="str">
        <f t="shared" si="289"/>
        <v/>
      </c>
    </row>
    <row r="15351" spans="8:8" x14ac:dyDescent="0.3">
      <c r="H15351" t="str">
        <f t="shared" si="289"/>
        <v/>
      </c>
    </row>
    <row r="15352" spans="8:8" x14ac:dyDescent="0.3">
      <c r="H15352" t="str">
        <f t="shared" si="289"/>
        <v/>
      </c>
    </row>
    <row r="15353" spans="8:8" x14ac:dyDescent="0.3">
      <c r="H15353" t="str">
        <f t="shared" si="289"/>
        <v/>
      </c>
    </row>
    <row r="15354" spans="8:8" x14ac:dyDescent="0.3">
      <c r="H15354" t="str">
        <f t="shared" si="289"/>
        <v/>
      </c>
    </row>
    <row r="15355" spans="8:8" x14ac:dyDescent="0.3">
      <c r="H15355" t="str">
        <f t="shared" si="289"/>
        <v/>
      </c>
    </row>
    <row r="15356" spans="8:8" x14ac:dyDescent="0.3">
      <c r="H15356" t="str">
        <f t="shared" si="289"/>
        <v/>
      </c>
    </row>
    <row r="15357" spans="8:8" x14ac:dyDescent="0.3">
      <c r="H15357" t="str">
        <f t="shared" si="289"/>
        <v/>
      </c>
    </row>
    <row r="15358" spans="8:8" x14ac:dyDescent="0.3">
      <c r="H15358" t="str">
        <f t="shared" si="289"/>
        <v/>
      </c>
    </row>
    <row r="15359" spans="8:8" x14ac:dyDescent="0.3">
      <c r="H15359" t="str">
        <f t="shared" si="289"/>
        <v/>
      </c>
    </row>
    <row r="15360" spans="8:8" x14ac:dyDescent="0.3">
      <c r="H15360" t="str">
        <f t="shared" si="289"/>
        <v/>
      </c>
    </row>
    <row r="15361" spans="8:8" x14ac:dyDescent="0.3">
      <c r="H15361" t="str">
        <f t="shared" si="289"/>
        <v/>
      </c>
    </row>
    <row r="15362" spans="8:8" x14ac:dyDescent="0.3">
      <c r="H15362" t="str">
        <f t="shared" si="289"/>
        <v/>
      </c>
    </row>
    <row r="15363" spans="8:8" x14ac:dyDescent="0.3">
      <c r="H15363" t="str">
        <f t="shared" si="289"/>
        <v/>
      </c>
    </row>
    <row r="15364" spans="8:8" x14ac:dyDescent="0.3">
      <c r="H15364" t="str">
        <f t="shared" si="289"/>
        <v/>
      </c>
    </row>
    <row r="15365" spans="8:8" x14ac:dyDescent="0.3">
      <c r="H15365" t="str">
        <f t="shared" si="289"/>
        <v/>
      </c>
    </row>
    <row r="15366" spans="8:8" x14ac:dyDescent="0.3">
      <c r="H15366" t="str">
        <f t="shared" si="289"/>
        <v/>
      </c>
    </row>
    <row r="15367" spans="8:8" x14ac:dyDescent="0.3">
      <c r="H15367" t="str">
        <f t="shared" si="289"/>
        <v/>
      </c>
    </row>
    <row r="15368" spans="8:8" x14ac:dyDescent="0.3">
      <c r="H15368" t="str">
        <f t="shared" si="289"/>
        <v/>
      </c>
    </row>
    <row r="15369" spans="8:8" x14ac:dyDescent="0.3">
      <c r="H15369" t="str">
        <f t="shared" si="289"/>
        <v/>
      </c>
    </row>
    <row r="15370" spans="8:8" x14ac:dyDescent="0.3">
      <c r="H15370" t="str">
        <f t="shared" si="289"/>
        <v/>
      </c>
    </row>
    <row r="15371" spans="8:8" x14ac:dyDescent="0.3">
      <c r="H15371" t="str">
        <f t="shared" si="289"/>
        <v/>
      </c>
    </row>
    <row r="15372" spans="8:8" x14ac:dyDescent="0.3">
      <c r="H15372" t="str">
        <f t="shared" si="289"/>
        <v/>
      </c>
    </row>
    <row r="15373" spans="8:8" x14ac:dyDescent="0.3">
      <c r="H15373" t="str">
        <f t="shared" si="289"/>
        <v/>
      </c>
    </row>
    <row r="15374" spans="8:8" x14ac:dyDescent="0.3">
      <c r="H15374" t="str">
        <f t="shared" si="289"/>
        <v/>
      </c>
    </row>
    <row r="15375" spans="8:8" x14ac:dyDescent="0.3">
      <c r="H15375" t="str">
        <f t="shared" si="289"/>
        <v/>
      </c>
    </row>
    <row r="15376" spans="8:8" x14ac:dyDescent="0.3">
      <c r="H15376" t="str">
        <f t="shared" si="289"/>
        <v/>
      </c>
    </row>
    <row r="15377" spans="8:8" x14ac:dyDescent="0.3">
      <c r="H15377" t="str">
        <f t="shared" si="289"/>
        <v/>
      </c>
    </row>
    <row r="15378" spans="8:8" x14ac:dyDescent="0.3">
      <c r="H15378" t="str">
        <f t="shared" si="289"/>
        <v/>
      </c>
    </row>
    <row r="15379" spans="8:8" x14ac:dyDescent="0.3">
      <c r="H15379" t="str">
        <f t="shared" si="289"/>
        <v/>
      </c>
    </row>
    <row r="15380" spans="8:8" x14ac:dyDescent="0.3">
      <c r="H15380" t="str">
        <f t="shared" si="289"/>
        <v/>
      </c>
    </row>
    <row r="15381" spans="8:8" x14ac:dyDescent="0.3">
      <c r="H15381" t="str">
        <f t="shared" si="289"/>
        <v/>
      </c>
    </row>
    <row r="15382" spans="8:8" x14ac:dyDescent="0.3">
      <c r="H15382" t="str">
        <f t="shared" si="289"/>
        <v/>
      </c>
    </row>
    <row r="15383" spans="8:8" x14ac:dyDescent="0.3">
      <c r="H15383" t="str">
        <f t="shared" ref="H15383:H15446" si="290">IF(B15383="","",$C$12)</f>
        <v/>
      </c>
    </row>
    <row r="15384" spans="8:8" x14ac:dyDescent="0.3">
      <c r="H15384" t="str">
        <f t="shared" si="290"/>
        <v/>
      </c>
    </row>
    <row r="15385" spans="8:8" x14ac:dyDescent="0.3">
      <c r="H15385" t="str">
        <f t="shared" si="290"/>
        <v/>
      </c>
    </row>
    <row r="15386" spans="8:8" x14ac:dyDescent="0.3">
      <c r="H15386" t="str">
        <f t="shared" si="290"/>
        <v/>
      </c>
    </row>
    <row r="15387" spans="8:8" x14ac:dyDescent="0.3">
      <c r="H15387" t="str">
        <f t="shared" si="290"/>
        <v/>
      </c>
    </row>
    <row r="15388" spans="8:8" x14ac:dyDescent="0.3">
      <c r="H15388" t="str">
        <f t="shared" si="290"/>
        <v/>
      </c>
    </row>
    <row r="15389" spans="8:8" x14ac:dyDescent="0.3">
      <c r="H15389" t="str">
        <f t="shared" si="290"/>
        <v/>
      </c>
    </row>
    <row r="15390" spans="8:8" x14ac:dyDescent="0.3">
      <c r="H15390" t="str">
        <f t="shared" si="290"/>
        <v/>
      </c>
    </row>
    <row r="15391" spans="8:8" x14ac:dyDescent="0.3">
      <c r="H15391" t="str">
        <f t="shared" si="290"/>
        <v/>
      </c>
    </row>
    <row r="15392" spans="8:8" x14ac:dyDescent="0.3">
      <c r="H15392" t="str">
        <f t="shared" si="290"/>
        <v/>
      </c>
    </row>
    <row r="15393" spans="8:8" x14ac:dyDescent="0.3">
      <c r="H15393" t="str">
        <f t="shared" si="290"/>
        <v/>
      </c>
    </row>
    <row r="15394" spans="8:8" x14ac:dyDescent="0.3">
      <c r="H15394" t="str">
        <f t="shared" si="290"/>
        <v/>
      </c>
    </row>
    <row r="15395" spans="8:8" x14ac:dyDescent="0.3">
      <c r="H15395" t="str">
        <f t="shared" si="290"/>
        <v/>
      </c>
    </row>
    <row r="15396" spans="8:8" x14ac:dyDescent="0.3">
      <c r="H15396" t="str">
        <f t="shared" si="290"/>
        <v/>
      </c>
    </row>
    <row r="15397" spans="8:8" x14ac:dyDescent="0.3">
      <c r="H15397" t="str">
        <f t="shared" si="290"/>
        <v/>
      </c>
    </row>
    <row r="15398" spans="8:8" x14ac:dyDescent="0.3">
      <c r="H15398" t="str">
        <f t="shared" si="290"/>
        <v/>
      </c>
    </row>
    <row r="15399" spans="8:8" x14ac:dyDescent="0.3">
      <c r="H15399" t="str">
        <f t="shared" si="290"/>
        <v/>
      </c>
    </row>
    <row r="15400" spans="8:8" x14ac:dyDescent="0.3">
      <c r="H15400" t="str">
        <f t="shared" si="290"/>
        <v/>
      </c>
    </row>
    <row r="15401" spans="8:8" x14ac:dyDescent="0.3">
      <c r="H15401" t="str">
        <f t="shared" si="290"/>
        <v/>
      </c>
    </row>
    <row r="15402" spans="8:8" x14ac:dyDescent="0.3">
      <c r="H15402" t="str">
        <f t="shared" si="290"/>
        <v/>
      </c>
    </row>
    <row r="15403" spans="8:8" x14ac:dyDescent="0.3">
      <c r="H15403" t="str">
        <f t="shared" si="290"/>
        <v/>
      </c>
    </row>
    <row r="15404" spans="8:8" x14ac:dyDescent="0.3">
      <c r="H15404" t="str">
        <f t="shared" si="290"/>
        <v/>
      </c>
    </row>
    <row r="15405" spans="8:8" x14ac:dyDescent="0.3">
      <c r="H15405" t="str">
        <f t="shared" si="290"/>
        <v/>
      </c>
    </row>
    <row r="15406" spans="8:8" x14ac:dyDescent="0.3">
      <c r="H15406" t="str">
        <f t="shared" si="290"/>
        <v/>
      </c>
    </row>
    <row r="15407" spans="8:8" x14ac:dyDescent="0.3">
      <c r="H15407" t="str">
        <f t="shared" si="290"/>
        <v/>
      </c>
    </row>
    <row r="15408" spans="8:8" x14ac:dyDescent="0.3">
      <c r="H15408" t="str">
        <f t="shared" si="290"/>
        <v/>
      </c>
    </row>
    <row r="15409" spans="8:8" x14ac:dyDescent="0.3">
      <c r="H15409" t="str">
        <f t="shared" si="290"/>
        <v/>
      </c>
    </row>
    <row r="15410" spans="8:8" x14ac:dyDescent="0.3">
      <c r="H15410" t="str">
        <f t="shared" si="290"/>
        <v/>
      </c>
    </row>
    <row r="15411" spans="8:8" x14ac:dyDescent="0.3">
      <c r="H15411" t="str">
        <f t="shared" si="290"/>
        <v/>
      </c>
    </row>
    <row r="15412" spans="8:8" x14ac:dyDescent="0.3">
      <c r="H15412" t="str">
        <f t="shared" si="290"/>
        <v/>
      </c>
    </row>
    <row r="15413" spans="8:8" x14ac:dyDescent="0.3">
      <c r="H15413" t="str">
        <f t="shared" si="290"/>
        <v/>
      </c>
    </row>
    <row r="15414" spans="8:8" x14ac:dyDescent="0.3">
      <c r="H15414" t="str">
        <f t="shared" si="290"/>
        <v/>
      </c>
    </row>
    <row r="15415" spans="8:8" x14ac:dyDescent="0.3">
      <c r="H15415" t="str">
        <f t="shared" si="290"/>
        <v/>
      </c>
    </row>
    <row r="15416" spans="8:8" x14ac:dyDescent="0.3">
      <c r="H15416" t="str">
        <f t="shared" si="290"/>
        <v/>
      </c>
    </row>
    <row r="15417" spans="8:8" x14ac:dyDescent="0.3">
      <c r="H15417" t="str">
        <f t="shared" si="290"/>
        <v/>
      </c>
    </row>
    <row r="15418" spans="8:8" x14ac:dyDescent="0.3">
      <c r="H15418" t="str">
        <f t="shared" si="290"/>
        <v/>
      </c>
    </row>
    <row r="15419" spans="8:8" x14ac:dyDescent="0.3">
      <c r="H15419" t="str">
        <f t="shared" si="290"/>
        <v/>
      </c>
    </row>
    <row r="15420" spans="8:8" x14ac:dyDescent="0.3">
      <c r="H15420" t="str">
        <f t="shared" si="290"/>
        <v/>
      </c>
    </row>
    <row r="15421" spans="8:8" x14ac:dyDescent="0.3">
      <c r="H15421" t="str">
        <f t="shared" si="290"/>
        <v/>
      </c>
    </row>
    <row r="15422" spans="8:8" x14ac:dyDescent="0.3">
      <c r="H15422" t="str">
        <f t="shared" si="290"/>
        <v/>
      </c>
    </row>
    <row r="15423" spans="8:8" x14ac:dyDescent="0.3">
      <c r="H15423" t="str">
        <f t="shared" si="290"/>
        <v/>
      </c>
    </row>
    <row r="15424" spans="8:8" x14ac:dyDescent="0.3">
      <c r="H15424" t="str">
        <f t="shared" si="290"/>
        <v/>
      </c>
    </row>
    <row r="15425" spans="8:8" x14ac:dyDescent="0.3">
      <c r="H15425" t="str">
        <f t="shared" si="290"/>
        <v/>
      </c>
    </row>
    <row r="15426" spans="8:8" x14ac:dyDescent="0.3">
      <c r="H15426" t="str">
        <f t="shared" si="290"/>
        <v/>
      </c>
    </row>
    <row r="15427" spans="8:8" x14ac:dyDescent="0.3">
      <c r="H15427" t="str">
        <f t="shared" si="290"/>
        <v/>
      </c>
    </row>
    <row r="15428" spans="8:8" x14ac:dyDescent="0.3">
      <c r="H15428" t="str">
        <f t="shared" si="290"/>
        <v/>
      </c>
    </row>
    <row r="15429" spans="8:8" x14ac:dyDescent="0.3">
      <c r="H15429" t="str">
        <f t="shared" si="290"/>
        <v/>
      </c>
    </row>
    <row r="15430" spans="8:8" x14ac:dyDescent="0.3">
      <c r="H15430" t="str">
        <f t="shared" si="290"/>
        <v/>
      </c>
    </row>
    <row r="15431" spans="8:8" x14ac:dyDescent="0.3">
      <c r="H15431" t="str">
        <f t="shared" si="290"/>
        <v/>
      </c>
    </row>
    <row r="15432" spans="8:8" x14ac:dyDescent="0.3">
      <c r="H15432" t="str">
        <f t="shared" si="290"/>
        <v/>
      </c>
    </row>
    <row r="15433" spans="8:8" x14ac:dyDescent="0.3">
      <c r="H15433" t="str">
        <f t="shared" si="290"/>
        <v/>
      </c>
    </row>
    <row r="15434" spans="8:8" x14ac:dyDescent="0.3">
      <c r="H15434" t="str">
        <f t="shared" si="290"/>
        <v/>
      </c>
    </row>
    <row r="15435" spans="8:8" x14ac:dyDescent="0.3">
      <c r="H15435" t="str">
        <f t="shared" si="290"/>
        <v/>
      </c>
    </row>
    <row r="15436" spans="8:8" x14ac:dyDescent="0.3">
      <c r="H15436" t="str">
        <f t="shared" si="290"/>
        <v/>
      </c>
    </row>
    <row r="15437" spans="8:8" x14ac:dyDescent="0.3">
      <c r="H15437" t="str">
        <f t="shared" si="290"/>
        <v/>
      </c>
    </row>
    <row r="15438" spans="8:8" x14ac:dyDescent="0.3">
      <c r="H15438" t="str">
        <f t="shared" si="290"/>
        <v/>
      </c>
    </row>
    <row r="15439" spans="8:8" x14ac:dyDescent="0.3">
      <c r="H15439" t="str">
        <f t="shared" si="290"/>
        <v/>
      </c>
    </row>
    <row r="15440" spans="8:8" x14ac:dyDescent="0.3">
      <c r="H15440" t="str">
        <f t="shared" si="290"/>
        <v/>
      </c>
    </row>
    <row r="15441" spans="8:8" x14ac:dyDescent="0.3">
      <c r="H15441" t="str">
        <f t="shared" si="290"/>
        <v/>
      </c>
    </row>
    <row r="15442" spans="8:8" x14ac:dyDescent="0.3">
      <c r="H15442" t="str">
        <f t="shared" si="290"/>
        <v/>
      </c>
    </row>
    <row r="15443" spans="8:8" x14ac:dyDescent="0.3">
      <c r="H15443" t="str">
        <f t="shared" si="290"/>
        <v/>
      </c>
    </row>
    <row r="15444" spans="8:8" x14ac:dyDescent="0.3">
      <c r="H15444" t="str">
        <f t="shared" si="290"/>
        <v/>
      </c>
    </row>
    <row r="15445" spans="8:8" x14ac:dyDescent="0.3">
      <c r="H15445" t="str">
        <f t="shared" si="290"/>
        <v/>
      </c>
    </row>
    <row r="15446" spans="8:8" x14ac:dyDescent="0.3">
      <c r="H15446" t="str">
        <f t="shared" si="290"/>
        <v/>
      </c>
    </row>
    <row r="15447" spans="8:8" x14ac:dyDescent="0.3">
      <c r="H15447" t="str">
        <f t="shared" ref="H15447:H15510" si="291">IF(B15447="","",$C$12)</f>
        <v/>
      </c>
    </row>
    <row r="15448" spans="8:8" x14ac:dyDescent="0.3">
      <c r="H15448" t="str">
        <f t="shared" si="291"/>
        <v/>
      </c>
    </row>
    <row r="15449" spans="8:8" x14ac:dyDescent="0.3">
      <c r="H15449" t="str">
        <f t="shared" si="291"/>
        <v/>
      </c>
    </row>
    <row r="15450" spans="8:8" x14ac:dyDescent="0.3">
      <c r="H15450" t="str">
        <f t="shared" si="291"/>
        <v/>
      </c>
    </row>
    <row r="15451" spans="8:8" x14ac:dyDescent="0.3">
      <c r="H15451" t="str">
        <f t="shared" si="291"/>
        <v/>
      </c>
    </row>
    <row r="15452" spans="8:8" x14ac:dyDescent="0.3">
      <c r="H15452" t="str">
        <f t="shared" si="291"/>
        <v/>
      </c>
    </row>
    <row r="15453" spans="8:8" x14ac:dyDescent="0.3">
      <c r="H15453" t="str">
        <f t="shared" si="291"/>
        <v/>
      </c>
    </row>
    <row r="15454" spans="8:8" x14ac:dyDescent="0.3">
      <c r="H15454" t="str">
        <f t="shared" si="291"/>
        <v/>
      </c>
    </row>
    <row r="15455" spans="8:8" x14ac:dyDescent="0.3">
      <c r="H15455" t="str">
        <f t="shared" si="291"/>
        <v/>
      </c>
    </row>
    <row r="15456" spans="8:8" x14ac:dyDescent="0.3">
      <c r="H15456" t="str">
        <f t="shared" si="291"/>
        <v/>
      </c>
    </row>
    <row r="15457" spans="8:8" x14ac:dyDescent="0.3">
      <c r="H15457" t="str">
        <f t="shared" si="291"/>
        <v/>
      </c>
    </row>
    <row r="15458" spans="8:8" x14ac:dyDescent="0.3">
      <c r="H15458" t="str">
        <f t="shared" si="291"/>
        <v/>
      </c>
    </row>
    <row r="15459" spans="8:8" x14ac:dyDescent="0.3">
      <c r="H15459" t="str">
        <f t="shared" si="291"/>
        <v/>
      </c>
    </row>
    <row r="15460" spans="8:8" x14ac:dyDescent="0.3">
      <c r="H15460" t="str">
        <f t="shared" si="291"/>
        <v/>
      </c>
    </row>
    <row r="15461" spans="8:8" x14ac:dyDescent="0.3">
      <c r="H15461" t="str">
        <f t="shared" si="291"/>
        <v/>
      </c>
    </row>
    <row r="15462" spans="8:8" x14ac:dyDescent="0.3">
      <c r="H15462" t="str">
        <f t="shared" si="291"/>
        <v/>
      </c>
    </row>
    <row r="15463" spans="8:8" x14ac:dyDescent="0.3">
      <c r="H15463" t="str">
        <f t="shared" si="291"/>
        <v/>
      </c>
    </row>
    <row r="15464" spans="8:8" x14ac:dyDescent="0.3">
      <c r="H15464" t="str">
        <f t="shared" si="291"/>
        <v/>
      </c>
    </row>
    <row r="15465" spans="8:8" x14ac:dyDescent="0.3">
      <c r="H15465" t="str">
        <f t="shared" si="291"/>
        <v/>
      </c>
    </row>
    <row r="15466" spans="8:8" x14ac:dyDescent="0.3">
      <c r="H15466" t="str">
        <f t="shared" si="291"/>
        <v/>
      </c>
    </row>
    <row r="15467" spans="8:8" x14ac:dyDescent="0.3">
      <c r="H15467" t="str">
        <f t="shared" si="291"/>
        <v/>
      </c>
    </row>
    <row r="15468" spans="8:8" x14ac:dyDescent="0.3">
      <c r="H15468" t="str">
        <f t="shared" si="291"/>
        <v/>
      </c>
    </row>
    <row r="15469" spans="8:8" x14ac:dyDescent="0.3">
      <c r="H15469" t="str">
        <f t="shared" si="291"/>
        <v/>
      </c>
    </row>
    <row r="15470" spans="8:8" x14ac:dyDescent="0.3">
      <c r="H15470" t="str">
        <f t="shared" si="291"/>
        <v/>
      </c>
    </row>
    <row r="15471" spans="8:8" x14ac:dyDescent="0.3">
      <c r="H15471" t="str">
        <f t="shared" si="291"/>
        <v/>
      </c>
    </row>
    <row r="15472" spans="8:8" x14ac:dyDescent="0.3">
      <c r="H15472" t="str">
        <f t="shared" si="291"/>
        <v/>
      </c>
    </row>
    <row r="15473" spans="8:8" x14ac:dyDescent="0.3">
      <c r="H15473" t="str">
        <f t="shared" si="291"/>
        <v/>
      </c>
    </row>
    <row r="15474" spans="8:8" x14ac:dyDescent="0.3">
      <c r="H15474" t="str">
        <f t="shared" si="291"/>
        <v/>
      </c>
    </row>
    <row r="15475" spans="8:8" x14ac:dyDescent="0.3">
      <c r="H15475" t="str">
        <f t="shared" si="291"/>
        <v/>
      </c>
    </row>
    <row r="15476" spans="8:8" x14ac:dyDescent="0.3">
      <c r="H15476" t="str">
        <f t="shared" si="291"/>
        <v/>
      </c>
    </row>
    <row r="15477" spans="8:8" x14ac:dyDescent="0.3">
      <c r="H15477" t="str">
        <f t="shared" si="291"/>
        <v/>
      </c>
    </row>
    <row r="15478" spans="8:8" x14ac:dyDescent="0.3">
      <c r="H15478" t="str">
        <f t="shared" si="291"/>
        <v/>
      </c>
    </row>
    <row r="15479" spans="8:8" x14ac:dyDescent="0.3">
      <c r="H15479" t="str">
        <f t="shared" si="291"/>
        <v/>
      </c>
    </row>
    <row r="15480" spans="8:8" x14ac:dyDescent="0.3">
      <c r="H15480" t="str">
        <f t="shared" si="291"/>
        <v/>
      </c>
    </row>
    <row r="15481" spans="8:8" x14ac:dyDescent="0.3">
      <c r="H15481" t="str">
        <f t="shared" si="291"/>
        <v/>
      </c>
    </row>
    <row r="15482" spans="8:8" x14ac:dyDescent="0.3">
      <c r="H15482" t="str">
        <f t="shared" si="291"/>
        <v/>
      </c>
    </row>
    <row r="15483" spans="8:8" x14ac:dyDescent="0.3">
      <c r="H15483" t="str">
        <f t="shared" si="291"/>
        <v/>
      </c>
    </row>
    <row r="15484" spans="8:8" x14ac:dyDescent="0.3">
      <c r="H15484" t="str">
        <f t="shared" si="291"/>
        <v/>
      </c>
    </row>
    <row r="15485" spans="8:8" x14ac:dyDescent="0.3">
      <c r="H15485" t="str">
        <f t="shared" si="291"/>
        <v/>
      </c>
    </row>
    <row r="15486" spans="8:8" x14ac:dyDescent="0.3">
      <c r="H15486" t="str">
        <f t="shared" si="291"/>
        <v/>
      </c>
    </row>
    <row r="15487" spans="8:8" x14ac:dyDescent="0.3">
      <c r="H15487" t="str">
        <f t="shared" si="291"/>
        <v/>
      </c>
    </row>
    <row r="15488" spans="8:8" x14ac:dyDescent="0.3">
      <c r="H15488" t="str">
        <f t="shared" si="291"/>
        <v/>
      </c>
    </row>
    <row r="15489" spans="8:8" x14ac:dyDescent="0.3">
      <c r="H15489" t="str">
        <f t="shared" si="291"/>
        <v/>
      </c>
    </row>
    <row r="15490" spans="8:8" x14ac:dyDescent="0.3">
      <c r="H15490" t="str">
        <f t="shared" si="291"/>
        <v/>
      </c>
    </row>
    <row r="15491" spans="8:8" x14ac:dyDescent="0.3">
      <c r="H15491" t="str">
        <f t="shared" si="291"/>
        <v/>
      </c>
    </row>
    <row r="15492" spans="8:8" x14ac:dyDescent="0.3">
      <c r="H15492" t="str">
        <f t="shared" si="291"/>
        <v/>
      </c>
    </row>
    <row r="15493" spans="8:8" x14ac:dyDescent="0.3">
      <c r="H15493" t="str">
        <f t="shared" si="291"/>
        <v/>
      </c>
    </row>
    <row r="15494" spans="8:8" x14ac:dyDescent="0.3">
      <c r="H15494" t="str">
        <f t="shared" si="291"/>
        <v/>
      </c>
    </row>
    <row r="15495" spans="8:8" x14ac:dyDescent="0.3">
      <c r="H15495" t="str">
        <f t="shared" si="291"/>
        <v/>
      </c>
    </row>
    <row r="15496" spans="8:8" x14ac:dyDescent="0.3">
      <c r="H15496" t="str">
        <f t="shared" si="291"/>
        <v/>
      </c>
    </row>
    <row r="15497" spans="8:8" x14ac:dyDescent="0.3">
      <c r="H15497" t="str">
        <f t="shared" si="291"/>
        <v/>
      </c>
    </row>
    <row r="15498" spans="8:8" x14ac:dyDescent="0.3">
      <c r="H15498" t="str">
        <f t="shared" si="291"/>
        <v/>
      </c>
    </row>
    <row r="15499" spans="8:8" x14ac:dyDescent="0.3">
      <c r="H15499" t="str">
        <f t="shared" si="291"/>
        <v/>
      </c>
    </row>
    <row r="15500" spans="8:8" x14ac:dyDescent="0.3">
      <c r="H15500" t="str">
        <f t="shared" si="291"/>
        <v/>
      </c>
    </row>
    <row r="15501" spans="8:8" x14ac:dyDescent="0.3">
      <c r="H15501" t="str">
        <f t="shared" si="291"/>
        <v/>
      </c>
    </row>
    <row r="15502" spans="8:8" x14ac:dyDescent="0.3">
      <c r="H15502" t="str">
        <f t="shared" si="291"/>
        <v/>
      </c>
    </row>
    <row r="15503" spans="8:8" x14ac:dyDescent="0.3">
      <c r="H15503" t="str">
        <f t="shared" si="291"/>
        <v/>
      </c>
    </row>
    <row r="15504" spans="8:8" x14ac:dyDescent="0.3">
      <c r="H15504" t="str">
        <f t="shared" si="291"/>
        <v/>
      </c>
    </row>
    <row r="15505" spans="8:8" x14ac:dyDescent="0.3">
      <c r="H15505" t="str">
        <f t="shared" si="291"/>
        <v/>
      </c>
    </row>
    <row r="15506" spans="8:8" x14ac:dyDescent="0.3">
      <c r="H15506" t="str">
        <f t="shared" si="291"/>
        <v/>
      </c>
    </row>
    <row r="15507" spans="8:8" x14ac:dyDescent="0.3">
      <c r="H15507" t="str">
        <f t="shared" si="291"/>
        <v/>
      </c>
    </row>
    <row r="15508" spans="8:8" x14ac:dyDescent="0.3">
      <c r="H15508" t="str">
        <f t="shared" si="291"/>
        <v/>
      </c>
    </row>
    <row r="15509" spans="8:8" x14ac:dyDescent="0.3">
      <c r="H15509" t="str">
        <f t="shared" si="291"/>
        <v/>
      </c>
    </row>
    <row r="15510" spans="8:8" x14ac:dyDescent="0.3">
      <c r="H15510" t="str">
        <f t="shared" si="291"/>
        <v/>
      </c>
    </row>
    <row r="15511" spans="8:8" x14ac:dyDescent="0.3">
      <c r="H15511" t="str">
        <f t="shared" ref="H15511:H15574" si="292">IF(B15511="","",$C$12)</f>
        <v/>
      </c>
    </row>
    <row r="15512" spans="8:8" x14ac:dyDescent="0.3">
      <c r="H15512" t="str">
        <f t="shared" si="292"/>
        <v/>
      </c>
    </row>
    <row r="15513" spans="8:8" x14ac:dyDescent="0.3">
      <c r="H15513" t="str">
        <f t="shared" si="292"/>
        <v/>
      </c>
    </row>
    <row r="15514" spans="8:8" x14ac:dyDescent="0.3">
      <c r="H15514" t="str">
        <f t="shared" si="292"/>
        <v/>
      </c>
    </row>
    <row r="15515" spans="8:8" x14ac:dyDescent="0.3">
      <c r="H15515" t="str">
        <f t="shared" si="292"/>
        <v/>
      </c>
    </row>
    <row r="15516" spans="8:8" x14ac:dyDescent="0.3">
      <c r="H15516" t="str">
        <f t="shared" si="292"/>
        <v/>
      </c>
    </row>
    <row r="15517" spans="8:8" x14ac:dyDescent="0.3">
      <c r="H15517" t="str">
        <f t="shared" si="292"/>
        <v/>
      </c>
    </row>
    <row r="15518" spans="8:8" x14ac:dyDescent="0.3">
      <c r="H15518" t="str">
        <f t="shared" si="292"/>
        <v/>
      </c>
    </row>
    <row r="15519" spans="8:8" x14ac:dyDescent="0.3">
      <c r="H15519" t="str">
        <f t="shared" si="292"/>
        <v/>
      </c>
    </row>
    <row r="15520" spans="8:8" x14ac:dyDescent="0.3">
      <c r="H15520" t="str">
        <f t="shared" si="292"/>
        <v/>
      </c>
    </row>
    <row r="15521" spans="8:8" x14ac:dyDescent="0.3">
      <c r="H15521" t="str">
        <f t="shared" si="292"/>
        <v/>
      </c>
    </row>
    <row r="15522" spans="8:8" x14ac:dyDescent="0.3">
      <c r="H15522" t="str">
        <f t="shared" si="292"/>
        <v/>
      </c>
    </row>
    <row r="15523" spans="8:8" x14ac:dyDescent="0.3">
      <c r="H15523" t="str">
        <f t="shared" si="292"/>
        <v/>
      </c>
    </row>
    <row r="15524" spans="8:8" x14ac:dyDescent="0.3">
      <c r="H15524" t="str">
        <f t="shared" si="292"/>
        <v/>
      </c>
    </row>
    <row r="15525" spans="8:8" x14ac:dyDescent="0.3">
      <c r="H15525" t="str">
        <f t="shared" si="292"/>
        <v/>
      </c>
    </row>
    <row r="15526" spans="8:8" x14ac:dyDescent="0.3">
      <c r="H15526" t="str">
        <f t="shared" si="292"/>
        <v/>
      </c>
    </row>
    <row r="15527" spans="8:8" x14ac:dyDescent="0.3">
      <c r="H15527" t="str">
        <f t="shared" si="292"/>
        <v/>
      </c>
    </row>
    <row r="15528" spans="8:8" x14ac:dyDescent="0.3">
      <c r="H15528" t="str">
        <f t="shared" si="292"/>
        <v/>
      </c>
    </row>
    <row r="15529" spans="8:8" x14ac:dyDescent="0.3">
      <c r="H15529" t="str">
        <f t="shared" si="292"/>
        <v/>
      </c>
    </row>
    <row r="15530" spans="8:8" x14ac:dyDescent="0.3">
      <c r="H15530" t="str">
        <f t="shared" si="292"/>
        <v/>
      </c>
    </row>
    <row r="15531" spans="8:8" x14ac:dyDescent="0.3">
      <c r="H15531" t="str">
        <f t="shared" si="292"/>
        <v/>
      </c>
    </row>
    <row r="15532" spans="8:8" x14ac:dyDescent="0.3">
      <c r="H15532" t="str">
        <f t="shared" si="292"/>
        <v/>
      </c>
    </row>
    <row r="15533" spans="8:8" x14ac:dyDescent="0.3">
      <c r="H15533" t="str">
        <f t="shared" si="292"/>
        <v/>
      </c>
    </row>
    <row r="15534" spans="8:8" x14ac:dyDescent="0.3">
      <c r="H15534" t="str">
        <f t="shared" si="292"/>
        <v/>
      </c>
    </row>
    <row r="15535" spans="8:8" x14ac:dyDescent="0.3">
      <c r="H15535" t="str">
        <f t="shared" si="292"/>
        <v/>
      </c>
    </row>
    <row r="15536" spans="8:8" x14ac:dyDescent="0.3">
      <c r="H15536" t="str">
        <f t="shared" si="292"/>
        <v/>
      </c>
    </row>
    <row r="15537" spans="8:8" x14ac:dyDescent="0.3">
      <c r="H15537" t="str">
        <f t="shared" si="292"/>
        <v/>
      </c>
    </row>
    <row r="15538" spans="8:8" x14ac:dyDescent="0.3">
      <c r="H15538" t="str">
        <f t="shared" si="292"/>
        <v/>
      </c>
    </row>
    <row r="15539" spans="8:8" x14ac:dyDescent="0.3">
      <c r="H15539" t="str">
        <f t="shared" si="292"/>
        <v/>
      </c>
    </row>
    <row r="15540" spans="8:8" x14ac:dyDescent="0.3">
      <c r="H15540" t="str">
        <f t="shared" si="292"/>
        <v/>
      </c>
    </row>
    <row r="15541" spans="8:8" x14ac:dyDescent="0.3">
      <c r="H15541" t="str">
        <f t="shared" si="292"/>
        <v/>
      </c>
    </row>
    <row r="15542" spans="8:8" x14ac:dyDescent="0.3">
      <c r="H15542" t="str">
        <f t="shared" si="292"/>
        <v/>
      </c>
    </row>
    <row r="15543" spans="8:8" x14ac:dyDescent="0.3">
      <c r="H15543" t="str">
        <f t="shared" si="292"/>
        <v/>
      </c>
    </row>
    <row r="15544" spans="8:8" x14ac:dyDescent="0.3">
      <c r="H15544" t="str">
        <f t="shared" si="292"/>
        <v/>
      </c>
    </row>
    <row r="15545" spans="8:8" x14ac:dyDescent="0.3">
      <c r="H15545" t="str">
        <f t="shared" si="292"/>
        <v/>
      </c>
    </row>
    <row r="15546" spans="8:8" x14ac:dyDescent="0.3">
      <c r="H15546" t="str">
        <f t="shared" si="292"/>
        <v/>
      </c>
    </row>
    <row r="15547" spans="8:8" x14ac:dyDescent="0.3">
      <c r="H15547" t="str">
        <f t="shared" si="292"/>
        <v/>
      </c>
    </row>
    <row r="15548" spans="8:8" x14ac:dyDescent="0.3">
      <c r="H15548" t="str">
        <f t="shared" si="292"/>
        <v/>
      </c>
    </row>
    <row r="15549" spans="8:8" x14ac:dyDescent="0.3">
      <c r="H15549" t="str">
        <f t="shared" si="292"/>
        <v/>
      </c>
    </row>
    <row r="15550" spans="8:8" x14ac:dyDescent="0.3">
      <c r="H15550" t="str">
        <f t="shared" si="292"/>
        <v/>
      </c>
    </row>
    <row r="15551" spans="8:8" x14ac:dyDescent="0.3">
      <c r="H15551" t="str">
        <f t="shared" si="292"/>
        <v/>
      </c>
    </row>
    <row r="15552" spans="8:8" x14ac:dyDescent="0.3">
      <c r="H15552" t="str">
        <f t="shared" si="292"/>
        <v/>
      </c>
    </row>
    <row r="15553" spans="8:8" x14ac:dyDescent="0.3">
      <c r="H15553" t="str">
        <f t="shared" si="292"/>
        <v/>
      </c>
    </row>
    <row r="15554" spans="8:8" x14ac:dyDescent="0.3">
      <c r="H15554" t="str">
        <f t="shared" si="292"/>
        <v/>
      </c>
    </row>
    <row r="15555" spans="8:8" x14ac:dyDescent="0.3">
      <c r="H15555" t="str">
        <f t="shared" si="292"/>
        <v/>
      </c>
    </row>
    <row r="15556" spans="8:8" x14ac:dyDescent="0.3">
      <c r="H15556" t="str">
        <f t="shared" si="292"/>
        <v/>
      </c>
    </row>
    <row r="15557" spans="8:8" x14ac:dyDescent="0.3">
      <c r="H15557" t="str">
        <f t="shared" si="292"/>
        <v/>
      </c>
    </row>
    <row r="15558" spans="8:8" x14ac:dyDescent="0.3">
      <c r="H15558" t="str">
        <f t="shared" si="292"/>
        <v/>
      </c>
    </row>
    <row r="15559" spans="8:8" x14ac:dyDescent="0.3">
      <c r="H15559" t="str">
        <f t="shared" si="292"/>
        <v/>
      </c>
    </row>
    <row r="15560" spans="8:8" x14ac:dyDescent="0.3">
      <c r="H15560" t="str">
        <f t="shared" si="292"/>
        <v/>
      </c>
    </row>
    <row r="15561" spans="8:8" x14ac:dyDescent="0.3">
      <c r="H15561" t="str">
        <f t="shared" si="292"/>
        <v/>
      </c>
    </row>
    <row r="15562" spans="8:8" x14ac:dyDescent="0.3">
      <c r="H15562" t="str">
        <f t="shared" si="292"/>
        <v/>
      </c>
    </row>
    <row r="15563" spans="8:8" x14ac:dyDescent="0.3">
      <c r="H15563" t="str">
        <f t="shared" si="292"/>
        <v/>
      </c>
    </row>
    <row r="15564" spans="8:8" x14ac:dyDescent="0.3">
      <c r="H15564" t="str">
        <f t="shared" si="292"/>
        <v/>
      </c>
    </row>
    <row r="15565" spans="8:8" x14ac:dyDescent="0.3">
      <c r="H15565" t="str">
        <f t="shared" si="292"/>
        <v/>
      </c>
    </row>
    <row r="15566" spans="8:8" x14ac:dyDescent="0.3">
      <c r="H15566" t="str">
        <f t="shared" si="292"/>
        <v/>
      </c>
    </row>
    <row r="15567" spans="8:8" x14ac:dyDescent="0.3">
      <c r="H15567" t="str">
        <f t="shared" si="292"/>
        <v/>
      </c>
    </row>
    <row r="15568" spans="8:8" x14ac:dyDescent="0.3">
      <c r="H15568" t="str">
        <f t="shared" si="292"/>
        <v/>
      </c>
    </row>
    <row r="15569" spans="8:8" x14ac:dyDescent="0.3">
      <c r="H15569" t="str">
        <f t="shared" si="292"/>
        <v/>
      </c>
    </row>
    <row r="15570" spans="8:8" x14ac:dyDescent="0.3">
      <c r="H15570" t="str">
        <f t="shared" si="292"/>
        <v/>
      </c>
    </row>
    <row r="15571" spans="8:8" x14ac:dyDescent="0.3">
      <c r="H15571" t="str">
        <f t="shared" si="292"/>
        <v/>
      </c>
    </row>
    <row r="15572" spans="8:8" x14ac:dyDescent="0.3">
      <c r="H15572" t="str">
        <f t="shared" si="292"/>
        <v/>
      </c>
    </row>
    <row r="15573" spans="8:8" x14ac:dyDescent="0.3">
      <c r="H15573" t="str">
        <f t="shared" si="292"/>
        <v/>
      </c>
    </row>
    <row r="15574" spans="8:8" x14ac:dyDescent="0.3">
      <c r="H15574" t="str">
        <f t="shared" si="292"/>
        <v/>
      </c>
    </row>
    <row r="15575" spans="8:8" x14ac:dyDescent="0.3">
      <c r="H15575" t="str">
        <f t="shared" ref="H15575:H15638" si="293">IF(B15575="","",$C$12)</f>
        <v/>
      </c>
    </row>
    <row r="15576" spans="8:8" x14ac:dyDescent="0.3">
      <c r="H15576" t="str">
        <f t="shared" si="293"/>
        <v/>
      </c>
    </row>
    <row r="15577" spans="8:8" x14ac:dyDescent="0.3">
      <c r="H15577" t="str">
        <f t="shared" si="293"/>
        <v/>
      </c>
    </row>
    <row r="15578" spans="8:8" x14ac:dyDescent="0.3">
      <c r="H15578" t="str">
        <f t="shared" si="293"/>
        <v/>
      </c>
    </row>
    <row r="15579" spans="8:8" x14ac:dyDescent="0.3">
      <c r="H15579" t="str">
        <f t="shared" si="293"/>
        <v/>
      </c>
    </row>
    <row r="15580" spans="8:8" x14ac:dyDescent="0.3">
      <c r="H15580" t="str">
        <f t="shared" si="293"/>
        <v/>
      </c>
    </row>
    <row r="15581" spans="8:8" x14ac:dyDescent="0.3">
      <c r="H15581" t="str">
        <f t="shared" si="293"/>
        <v/>
      </c>
    </row>
    <row r="15582" spans="8:8" x14ac:dyDescent="0.3">
      <c r="H15582" t="str">
        <f t="shared" si="293"/>
        <v/>
      </c>
    </row>
    <row r="15583" spans="8:8" x14ac:dyDescent="0.3">
      <c r="H15583" t="str">
        <f t="shared" si="293"/>
        <v/>
      </c>
    </row>
    <row r="15584" spans="8:8" x14ac:dyDescent="0.3">
      <c r="H15584" t="str">
        <f t="shared" si="293"/>
        <v/>
      </c>
    </row>
    <row r="15585" spans="8:8" x14ac:dyDescent="0.3">
      <c r="H15585" t="str">
        <f t="shared" si="293"/>
        <v/>
      </c>
    </row>
    <row r="15586" spans="8:8" x14ac:dyDescent="0.3">
      <c r="H15586" t="str">
        <f t="shared" si="293"/>
        <v/>
      </c>
    </row>
    <row r="15587" spans="8:8" x14ac:dyDescent="0.3">
      <c r="H15587" t="str">
        <f t="shared" si="293"/>
        <v/>
      </c>
    </row>
    <row r="15588" spans="8:8" x14ac:dyDescent="0.3">
      <c r="H15588" t="str">
        <f t="shared" si="293"/>
        <v/>
      </c>
    </row>
    <row r="15589" spans="8:8" x14ac:dyDescent="0.3">
      <c r="H15589" t="str">
        <f t="shared" si="293"/>
        <v/>
      </c>
    </row>
    <row r="15590" spans="8:8" x14ac:dyDescent="0.3">
      <c r="H15590" t="str">
        <f t="shared" si="293"/>
        <v/>
      </c>
    </row>
    <row r="15591" spans="8:8" x14ac:dyDescent="0.3">
      <c r="H15591" t="str">
        <f t="shared" si="293"/>
        <v/>
      </c>
    </row>
    <row r="15592" spans="8:8" x14ac:dyDescent="0.3">
      <c r="H15592" t="str">
        <f t="shared" si="293"/>
        <v/>
      </c>
    </row>
    <row r="15593" spans="8:8" x14ac:dyDescent="0.3">
      <c r="H15593" t="str">
        <f t="shared" si="293"/>
        <v/>
      </c>
    </row>
    <row r="15594" spans="8:8" x14ac:dyDescent="0.3">
      <c r="H15594" t="str">
        <f t="shared" si="293"/>
        <v/>
      </c>
    </row>
    <row r="15595" spans="8:8" x14ac:dyDescent="0.3">
      <c r="H15595" t="str">
        <f t="shared" si="293"/>
        <v/>
      </c>
    </row>
    <row r="15596" spans="8:8" x14ac:dyDescent="0.3">
      <c r="H15596" t="str">
        <f t="shared" si="293"/>
        <v/>
      </c>
    </row>
    <row r="15597" spans="8:8" x14ac:dyDescent="0.3">
      <c r="H15597" t="str">
        <f t="shared" si="293"/>
        <v/>
      </c>
    </row>
    <row r="15598" spans="8:8" x14ac:dyDescent="0.3">
      <c r="H15598" t="str">
        <f t="shared" si="293"/>
        <v/>
      </c>
    </row>
    <row r="15599" spans="8:8" x14ac:dyDescent="0.3">
      <c r="H15599" t="str">
        <f t="shared" si="293"/>
        <v/>
      </c>
    </row>
    <row r="15600" spans="8:8" x14ac:dyDescent="0.3">
      <c r="H15600" t="str">
        <f t="shared" si="293"/>
        <v/>
      </c>
    </row>
    <row r="15601" spans="8:8" x14ac:dyDescent="0.3">
      <c r="H15601" t="str">
        <f t="shared" si="293"/>
        <v/>
      </c>
    </row>
    <row r="15602" spans="8:8" x14ac:dyDescent="0.3">
      <c r="H15602" t="str">
        <f t="shared" si="293"/>
        <v/>
      </c>
    </row>
    <row r="15603" spans="8:8" x14ac:dyDescent="0.3">
      <c r="H15603" t="str">
        <f t="shared" si="293"/>
        <v/>
      </c>
    </row>
    <row r="15604" spans="8:8" x14ac:dyDescent="0.3">
      <c r="H15604" t="str">
        <f t="shared" si="293"/>
        <v/>
      </c>
    </row>
    <row r="15605" spans="8:8" x14ac:dyDescent="0.3">
      <c r="H15605" t="str">
        <f t="shared" si="293"/>
        <v/>
      </c>
    </row>
    <row r="15606" spans="8:8" x14ac:dyDescent="0.3">
      <c r="H15606" t="str">
        <f t="shared" si="293"/>
        <v/>
      </c>
    </row>
    <row r="15607" spans="8:8" x14ac:dyDescent="0.3">
      <c r="H15607" t="str">
        <f t="shared" si="293"/>
        <v/>
      </c>
    </row>
    <row r="15608" spans="8:8" x14ac:dyDescent="0.3">
      <c r="H15608" t="str">
        <f t="shared" si="293"/>
        <v/>
      </c>
    </row>
    <row r="15609" spans="8:8" x14ac:dyDescent="0.3">
      <c r="H15609" t="str">
        <f t="shared" si="293"/>
        <v/>
      </c>
    </row>
    <row r="15610" spans="8:8" x14ac:dyDescent="0.3">
      <c r="H15610" t="str">
        <f t="shared" si="293"/>
        <v/>
      </c>
    </row>
    <row r="15611" spans="8:8" x14ac:dyDescent="0.3">
      <c r="H15611" t="str">
        <f t="shared" si="293"/>
        <v/>
      </c>
    </row>
    <row r="15612" spans="8:8" x14ac:dyDescent="0.3">
      <c r="H15612" t="str">
        <f t="shared" si="293"/>
        <v/>
      </c>
    </row>
    <row r="15613" spans="8:8" x14ac:dyDescent="0.3">
      <c r="H15613" t="str">
        <f t="shared" si="293"/>
        <v/>
      </c>
    </row>
    <row r="15614" spans="8:8" x14ac:dyDescent="0.3">
      <c r="H15614" t="str">
        <f t="shared" si="293"/>
        <v/>
      </c>
    </row>
    <row r="15615" spans="8:8" x14ac:dyDescent="0.3">
      <c r="H15615" t="str">
        <f t="shared" si="293"/>
        <v/>
      </c>
    </row>
    <row r="15616" spans="8:8" x14ac:dyDescent="0.3">
      <c r="H15616" t="str">
        <f t="shared" si="293"/>
        <v/>
      </c>
    </row>
    <row r="15617" spans="8:8" x14ac:dyDescent="0.3">
      <c r="H15617" t="str">
        <f t="shared" si="293"/>
        <v/>
      </c>
    </row>
    <row r="15618" spans="8:8" x14ac:dyDescent="0.3">
      <c r="H15618" t="str">
        <f t="shared" si="293"/>
        <v/>
      </c>
    </row>
    <row r="15619" spans="8:8" x14ac:dyDescent="0.3">
      <c r="H15619" t="str">
        <f t="shared" si="293"/>
        <v/>
      </c>
    </row>
    <row r="15620" spans="8:8" x14ac:dyDescent="0.3">
      <c r="H15620" t="str">
        <f t="shared" si="293"/>
        <v/>
      </c>
    </row>
    <row r="15621" spans="8:8" x14ac:dyDescent="0.3">
      <c r="H15621" t="str">
        <f t="shared" si="293"/>
        <v/>
      </c>
    </row>
    <row r="15622" spans="8:8" x14ac:dyDescent="0.3">
      <c r="H15622" t="str">
        <f t="shared" si="293"/>
        <v/>
      </c>
    </row>
    <row r="15623" spans="8:8" x14ac:dyDescent="0.3">
      <c r="H15623" t="str">
        <f t="shared" si="293"/>
        <v/>
      </c>
    </row>
    <row r="15624" spans="8:8" x14ac:dyDescent="0.3">
      <c r="H15624" t="str">
        <f t="shared" si="293"/>
        <v/>
      </c>
    </row>
    <row r="15625" spans="8:8" x14ac:dyDescent="0.3">
      <c r="H15625" t="str">
        <f t="shared" si="293"/>
        <v/>
      </c>
    </row>
    <row r="15626" spans="8:8" x14ac:dyDescent="0.3">
      <c r="H15626" t="str">
        <f t="shared" si="293"/>
        <v/>
      </c>
    </row>
    <row r="15627" spans="8:8" x14ac:dyDescent="0.3">
      <c r="H15627" t="str">
        <f t="shared" si="293"/>
        <v/>
      </c>
    </row>
    <row r="15628" spans="8:8" x14ac:dyDescent="0.3">
      <c r="H15628" t="str">
        <f t="shared" si="293"/>
        <v/>
      </c>
    </row>
    <row r="15629" spans="8:8" x14ac:dyDescent="0.3">
      <c r="H15629" t="str">
        <f t="shared" si="293"/>
        <v/>
      </c>
    </row>
    <row r="15630" spans="8:8" x14ac:dyDescent="0.3">
      <c r="H15630" t="str">
        <f t="shared" si="293"/>
        <v/>
      </c>
    </row>
    <row r="15631" spans="8:8" x14ac:dyDescent="0.3">
      <c r="H15631" t="str">
        <f t="shared" si="293"/>
        <v/>
      </c>
    </row>
    <row r="15632" spans="8:8" x14ac:dyDescent="0.3">
      <c r="H15632" t="str">
        <f t="shared" si="293"/>
        <v/>
      </c>
    </row>
    <row r="15633" spans="8:8" x14ac:dyDescent="0.3">
      <c r="H15633" t="str">
        <f t="shared" si="293"/>
        <v/>
      </c>
    </row>
    <row r="15634" spans="8:8" x14ac:dyDescent="0.3">
      <c r="H15634" t="str">
        <f t="shared" si="293"/>
        <v/>
      </c>
    </row>
    <row r="15635" spans="8:8" x14ac:dyDescent="0.3">
      <c r="H15635" t="str">
        <f t="shared" si="293"/>
        <v/>
      </c>
    </row>
    <row r="15636" spans="8:8" x14ac:dyDescent="0.3">
      <c r="H15636" t="str">
        <f t="shared" si="293"/>
        <v/>
      </c>
    </row>
    <row r="15637" spans="8:8" x14ac:dyDescent="0.3">
      <c r="H15637" t="str">
        <f t="shared" si="293"/>
        <v/>
      </c>
    </row>
    <row r="15638" spans="8:8" x14ac:dyDescent="0.3">
      <c r="H15638" t="str">
        <f t="shared" si="293"/>
        <v/>
      </c>
    </row>
    <row r="15639" spans="8:8" x14ac:dyDescent="0.3">
      <c r="H15639" t="str">
        <f t="shared" ref="H15639:H15702" si="294">IF(B15639="","",$C$12)</f>
        <v/>
      </c>
    </row>
    <row r="15640" spans="8:8" x14ac:dyDescent="0.3">
      <c r="H15640" t="str">
        <f t="shared" si="294"/>
        <v/>
      </c>
    </row>
    <row r="15641" spans="8:8" x14ac:dyDescent="0.3">
      <c r="H15641" t="str">
        <f t="shared" si="294"/>
        <v/>
      </c>
    </row>
    <row r="15642" spans="8:8" x14ac:dyDescent="0.3">
      <c r="H15642" t="str">
        <f t="shared" si="294"/>
        <v/>
      </c>
    </row>
    <row r="15643" spans="8:8" x14ac:dyDescent="0.3">
      <c r="H15643" t="str">
        <f t="shared" si="294"/>
        <v/>
      </c>
    </row>
    <row r="15644" spans="8:8" x14ac:dyDescent="0.3">
      <c r="H15644" t="str">
        <f t="shared" si="294"/>
        <v/>
      </c>
    </row>
    <row r="15645" spans="8:8" x14ac:dyDescent="0.3">
      <c r="H15645" t="str">
        <f t="shared" si="294"/>
        <v/>
      </c>
    </row>
    <row r="15646" spans="8:8" x14ac:dyDescent="0.3">
      <c r="H15646" t="str">
        <f t="shared" si="294"/>
        <v/>
      </c>
    </row>
    <row r="15647" spans="8:8" x14ac:dyDescent="0.3">
      <c r="H15647" t="str">
        <f t="shared" si="294"/>
        <v/>
      </c>
    </row>
    <row r="15648" spans="8:8" x14ac:dyDescent="0.3">
      <c r="H15648" t="str">
        <f t="shared" si="294"/>
        <v/>
      </c>
    </row>
    <row r="15649" spans="8:8" x14ac:dyDescent="0.3">
      <c r="H15649" t="str">
        <f t="shared" si="294"/>
        <v/>
      </c>
    </row>
    <row r="15650" spans="8:8" x14ac:dyDescent="0.3">
      <c r="H15650" t="str">
        <f t="shared" si="294"/>
        <v/>
      </c>
    </row>
    <row r="15651" spans="8:8" x14ac:dyDescent="0.3">
      <c r="H15651" t="str">
        <f t="shared" si="294"/>
        <v/>
      </c>
    </row>
    <row r="15652" spans="8:8" x14ac:dyDescent="0.3">
      <c r="H15652" t="str">
        <f t="shared" si="294"/>
        <v/>
      </c>
    </row>
    <row r="15653" spans="8:8" x14ac:dyDescent="0.3">
      <c r="H15653" t="str">
        <f t="shared" si="294"/>
        <v/>
      </c>
    </row>
    <row r="15654" spans="8:8" x14ac:dyDescent="0.3">
      <c r="H15654" t="str">
        <f t="shared" si="294"/>
        <v/>
      </c>
    </row>
    <row r="15655" spans="8:8" x14ac:dyDescent="0.3">
      <c r="H15655" t="str">
        <f t="shared" si="294"/>
        <v/>
      </c>
    </row>
    <row r="15656" spans="8:8" x14ac:dyDescent="0.3">
      <c r="H15656" t="str">
        <f t="shared" si="294"/>
        <v/>
      </c>
    </row>
    <row r="15657" spans="8:8" x14ac:dyDescent="0.3">
      <c r="H15657" t="str">
        <f t="shared" si="294"/>
        <v/>
      </c>
    </row>
    <row r="15658" spans="8:8" x14ac:dyDescent="0.3">
      <c r="H15658" t="str">
        <f t="shared" si="294"/>
        <v/>
      </c>
    </row>
    <row r="15659" spans="8:8" x14ac:dyDescent="0.3">
      <c r="H15659" t="str">
        <f t="shared" si="294"/>
        <v/>
      </c>
    </row>
    <row r="15660" spans="8:8" x14ac:dyDescent="0.3">
      <c r="H15660" t="str">
        <f t="shared" si="294"/>
        <v/>
      </c>
    </row>
    <row r="15661" spans="8:8" x14ac:dyDescent="0.3">
      <c r="H15661" t="str">
        <f t="shared" si="294"/>
        <v/>
      </c>
    </row>
    <row r="15662" spans="8:8" x14ac:dyDescent="0.3">
      <c r="H15662" t="str">
        <f t="shared" si="294"/>
        <v/>
      </c>
    </row>
    <row r="15663" spans="8:8" x14ac:dyDescent="0.3">
      <c r="H15663" t="str">
        <f t="shared" si="294"/>
        <v/>
      </c>
    </row>
    <row r="15664" spans="8:8" x14ac:dyDescent="0.3">
      <c r="H15664" t="str">
        <f t="shared" si="294"/>
        <v/>
      </c>
    </row>
    <row r="15665" spans="8:8" x14ac:dyDescent="0.3">
      <c r="H15665" t="str">
        <f t="shared" si="294"/>
        <v/>
      </c>
    </row>
    <row r="15666" spans="8:8" x14ac:dyDescent="0.3">
      <c r="H15666" t="str">
        <f t="shared" si="294"/>
        <v/>
      </c>
    </row>
    <row r="15667" spans="8:8" x14ac:dyDescent="0.3">
      <c r="H15667" t="str">
        <f t="shared" si="294"/>
        <v/>
      </c>
    </row>
    <row r="15668" spans="8:8" x14ac:dyDescent="0.3">
      <c r="H15668" t="str">
        <f t="shared" si="294"/>
        <v/>
      </c>
    </row>
    <row r="15669" spans="8:8" x14ac:dyDescent="0.3">
      <c r="H15669" t="str">
        <f t="shared" si="294"/>
        <v/>
      </c>
    </row>
    <row r="15670" spans="8:8" x14ac:dyDescent="0.3">
      <c r="H15670" t="str">
        <f t="shared" si="294"/>
        <v/>
      </c>
    </row>
    <row r="15671" spans="8:8" x14ac:dyDescent="0.3">
      <c r="H15671" t="str">
        <f t="shared" si="294"/>
        <v/>
      </c>
    </row>
    <row r="15672" spans="8:8" x14ac:dyDescent="0.3">
      <c r="H15672" t="str">
        <f t="shared" si="294"/>
        <v/>
      </c>
    </row>
    <row r="15673" spans="8:8" x14ac:dyDescent="0.3">
      <c r="H15673" t="str">
        <f t="shared" si="294"/>
        <v/>
      </c>
    </row>
    <row r="15674" spans="8:8" x14ac:dyDescent="0.3">
      <c r="H15674" t="str">
        <f t="shared" si="294"/>
        <v/>
      </c>
    </row>
    <row r="15675" spans="8:8" x14ac:dyDescent="0.3">
      <c r="H15675" t="str">
        <f t="shared" si="294"/>
        <v/>
      </c>
    </row>
    <row r="15676" spans="8:8" x14ac:dyDescent="0.3">
      <c r="H15676" t="str">
        <f t="shared" si="294"/>
        <v/>
      </c>
    </row>
    <row r="15677" spans="8:8" x14ac:dyDescent="0.3">
      <c r="H15677" t="str">
        <f t="shared" si="294"/>
        <v/>
      </c>
    </row>
    <row r="15678" spans="8:8" x14ac:dyDescent="0.3">
      <c r="H15678" t="str">
        <f t="shared" si="294"/>
        <v/>
      </c>
    </row>
    <row r="15679" spans="8:8" x14ac:dyDescent="0.3">
      <c r="H15679" t="str">
        <f t="shared" si="294"/>
        <v/>
      </c>
    </row>
    <row r="15680" spans="8:8" x14ac:dyDescent="0.3">
      <c r="H15680" t="str">
        <f t="shared" si="294"/>
        <v/>
      </c>
    </row>
    <row r="15681" spans="8:8" x14ac:dyDescent="0.3">
      <c r="H15681" t="str">
        <f t="shared" si="294"/>
        <v/>
      </c>
    </row>
    <row r="15682" spans="8:8" x14ac:dyDescent="0.3">
      <c r="H15682" t="str">
        <f t="shared" si="294"/>
        <v/>
      </c>
    </row>
    <row r="15683" spans="8:8" x14ac:dyDescent="0.3">
      <c r="H15683" t="str">
        <f t="shared" si="294"/>
        <v/>
      </c>
    </row>
    <row r="15684" spans="8:8" x14ac:dyDescent="0.3">
      <c r="H15684" t="str">
        <f t="shared" si="294"/>
        <v/>
      </c>
    </row>
    <row r="15685" spans="8:8" x14ac:dyDescent="0.3">
      <c r="H15685" t="str">
        <f t="shared" si="294"/>
        <v/>
      </c>
    </row>
    <row r="15686" spans="8:8" x14ac:dyDescent="0.3">
      <c r="H15686" t="str">
        <f t="shared" si="294"/>
        <v/>
      </c>
    </row>
    <row r="15687" spans="8:8" x14ac:dyDescent="0.3">
      <c r="H15687" t="str">
        <f t="shared" si="294"/>
        <v/>
      </c>
    </row>
    <row r="15688" spans="8:8" x14ac:dyDescent="0.3">
      <c r="H15688" t="str">
        <f t="shared" si="294"/>
        <v/>
      </c>
    </row>
    <row r="15689" spans="8:8" x14ac:dyDescent="0.3">
      <c r="H15689" t="str">
        <f t="shared" si="294"/>
        <v/>
      </c>
    </row>
    <row r="15690" spans="8:8" x14ac:dyDescent="0.3">
      <c r="H15690" t="str">
        <f t="shared" si="294"/>
        <v/>
      </c>
    </row>
    <row r="15691" spans="8:8" x14ac:dyDescent="0.3">
      <c r="H15691" t="str">
        <f t="shared" si="294"/>
        <v/>
      </c>
    </row>
    <row r="15692" spans="8:8" x14ac:dyDescent="0.3">
      <c r="H15692" t="str">
        <f t="shared" si="294"/>
        <v/>
      </c>
    </row>
    <row r="15693" spans="8:8" x14ac:dyDescent="0.3">
      <c r="H15693" t="str">
        <f t="shared" si="294"/>
        <v/>
      </c>
    </row>
    <row r="15694" spans="8:8" x14ac:dyDescent="0.3">
      <c r="H15694" t="str">
        <f t="shared" si="294"/>
        <v/>
      </c>
    </row>
    <row r="15695" spans="8:8" x14ac:dyDescent="0.3">
      <c r="H15695" t="str">
        <f t="shared" si="294"/>
        <v/>
      </c>
    </row>
    <row r="15696" spans="8:8" x14ac:dyDescent="0.3">
      <c r="H15696" t="str">
        <f t="shared" si="294"/>
        <v/>
      </c>
    </row>
    <row r="15697" spans="8:8" x14ac:dyDescent="0.3">
      <c r="H15697" t="str">
        <f t="shared" si="294"/>
        <v/>
      </c>
    </row>
    <row r="15698" spans="8:8" x14ac:dyDescent="0.3">
      <c r="H15698" t="str">
        <f t="shared" si="294"/>
        <v/>
      </c>
    </row>
    <row r="15699" spans="8:8" x14ac:dyDescent="0.3">
      <c r="H15699" t="str">
        <f t="shared" si="294"/>
        <v/>
      </c>
    </row>
    <row r="15700" spans="8:8" x14ac:dyDescent="0.3">
      <c r="H15700" t="str">
        <f t="shared" si="294"/>
        <v/>
      </c>
    </row>
    <row r="15701" spans="8:8" x14ac:dyDescent="0.3">
      <c r="H15701" t="str">
        <f t="shared" si="294"/>
        <v/>
      </c>
    </row>
    <row r="15702" spans="8:8" x14ac:dyDescent="0.3">
      <c r="H15702" t="str">
        <f t="shared" si="294"/>
        <v/>
      </c>
    </row>
    <row r="15703" spans="8:8" x14ac:dyDescent="0.3">
      <c r="H15703" t="str">
        <f t="shared" ref="H15703:H15766" si="295">IF(B15703="","",$C$12)</f>
        <v/>
      </c>
    </row>
    <row r="15704" spans="8:8" x14ac:dyDescent="0.3">
      <c r="H15704" t="str">
        <f t="shared" si="295"/>
        <v/>
      </c>
    </row>
    <row r="15705" spans="8:8" x14ac:dyDescent="0.3">
      <c r="H15705" t="str">
        <f t="shared" si="295"/>
        <v/>
      </c>
    </row>
    <row r="15706" spans="8:8" x14ac:dyDescent="0.3">
      <c r="H15706" t="str">
        <f t="shared" si="295"/>
        <v/>
      </c>
    </row>
    <row r="15707" spans="8:8" x14ac:dyDescent="0.3">
      <c r="H15707" t="str">
        <f t="shared" si="295"/>
        <v/>
      </c>
    </row>
    <row r="15708" spans="8:8" x14ac:dyDescent="0.3">
      <c r="H15708" t="str">
        <f t="shared" si="295"/>
        <v/>
      </c>
    </row>
    <row r="15709" spans="8:8" x14ac:dyDescent="0.3">
      <c r="H15709" t="str">
        <f t="shared" si="295"/>
        <v/>
      </c>
    </row>
    <row r="15710" spans="8:8" x14ac:dyDescent="0.3">
      <c r="H15710" t="str">
        <f t="shared" si="295"/>
        <v/>
      </c>
    </row>
    <row r="15711" spans="8:8" x14ac:dyDescent="0.3">
      <c r="H15711" t="str">
        <f t="shared" si="295"/>
        <v/>
      </c>
    </row>
    <row r="15712" spans="8:8" x14ac:dyDescent="0.3">
      <c r="H15712" t="str">
        <f t="shared" si="295"/>
        <v/>
      </c>
    </row>
    <row r="15713" spans="8:8" x14ac:dyDescent="0.3">
      <c r="H15713" t="str">
        <f t="shared" si="295"/>
        <v/>
      </c>
    </row>
    <row r="15714" spans="8:8" x14ac:dyDescent="0.3">
      <c r="H15714" t="str">
        <f t="shared" si="295"/>
        <v/>
      </c>
    </row>
    <row r="15715" spans="8:8" x14ac:dyDescent="0.3">
      <c r="H15715" t="str">
        <f t="shared" si="295"/>
        <v/>
      </c>
    </row>
    <row r="15716" spans="8:8" x14ac:dyDescent="0.3">
      <c r="H15716" t="str">
        <f t="shared" si="295"/>
        <v/>
      </c>
    </row>
    <row r="15717" spans="8:8" x14ac:dyDescent="0.3">
      <c r="H15717" t="str">
        <f t="shared" si="295"/>
        <v/>
      </c>
    </row>
    <row r="15718" spans="8:8" x14ac:dyDescent="0.3">
      <c r="H15718" t="str">
        <f t="shared" si="295"/>
        <v/>
      </c>
    </row>
    <row r="15719" spans="8:8" x14ac:dyDescent="0.3">
      <c r="H15719" t="str">
        <f t="shared" si="295"/>
        <v/>
      </c>
    </row>
    <row r="15720" spans="8:8" x14ac:dyDescent="0.3">
      <c r="H15720" t="str">
        <f t="shared" si="295"/>
        <v/>
      </c>
    </row>
    <row r="15721" spans="8:8" x14ac:dyDescent="0.3">
      <c r="H15721" t="str">
        <f t="shared" si="295"/>
        <v/>
      </c>
    </row>
    <row r="15722" spans="8:8" x14ac:dyDescent="0.3">
      <c r="H15722" t="str">
        <f t="shared" si="295"/>
        <v/>
      </c>
    </row>
    <row r="15723" spans="8:8" x14ac:dyDescent="0.3">
      <c r="H15723" t="str">
        <f t="shared" si="295"/>
        <v/>
      </c>
    </row>
    <row r="15724" spans="8:8" x14ac:dyDescent="0.3">
      <c r="H15724" t="str">
        <f t="shared" si="295"/>
        <v/>
      </c>
    </row>
    <row r="15725" spans="8:8" x14ac:dyDescent="0.3">
      <c r="H15725" t="str">
        <f t="shared" si="295"/>
        <v/>
      </c>
    </row>
    <row r="15726" spans="8:8" x14ac:dyDescent="0.3">
      <c r="H15726" t="str">
        <f t="shared" si="295"/>
        <v/>
      </c>
    </row>
    <row r="15727" spans="8:8" x14ac:dyDescent="0.3">
      <c r="H15727" t="str">
        <f t="shared" si="295"/>
        <v/>
      </c>
    </row>
    <row r="15728" spans="8:8" x14ac:dyDescent="0.3">
      <c r="H15728" t="str">
        <f t="shared" si="295"/>
        <v/>
      </c>
    </row>
    <row r="15729" spans="8:8" x14ac:dyDescent="0.3">
      <c r="H15729" t="str">
        <f t="shared" si="295"/>
        <v/>
      </c>
    </row>
    <row r="15730" spans="8:8" x14ac:dyDescent="0.3">
      <c r="H15730" t="str">
        <f t="shared" si="295"/>
        <v/>
      </c>
    </row>
    <row r="15731" spans="8:8" x14ac:dyDescent="0.3">
      <c r="H15731" t="str">
        <f t="shared" si="295"/>
        <v/>
      </c>
    </row>
    <row r="15732" spans="8:8" x14ac:dyDescent="0.3">
      <c r="H15732" t="str">
        <f t="shared" si="295"/>
        <v/>
      </c>
    </row>
    <row r="15733" spans="8:8" x14ac:dyDescent="0.3">
      <c r="H15733" t="str">
        <f t="shared" si="295"/>
        <v/>
      </c>
    </row>
    <row r="15734" spans="8:8" x14ac:dyDescent="0.3">
      <c r="H15734" t="str">
        <f t="shared" si="295"/>
        <v/>
      </c>
    </row>
    <row r="15735" spans="8:8" x14ac:dyDescent="0.3">
      <c r="H15735" t="str">
        <f t="shared" si="295"/>
        <v/>
      </c>
    </row>
    <row r="15736" spans="8:8" x14ac:dyDescent="0.3">
      <c r="H15736" t="str">
        <f t="shared" si="295"/>
        <v/>
      </c>
    </row>
    <row r="15737" spans="8:8" x14ac:dyDescent="0.3">
      <c r="H15737" t="str">
        <f t="shared" si="295"/>
        <v/>
      </c>
    </row>
    <row r="15738" spans="8:8" x14ac:dyDescent="0.3">
      <c r="H15738" t="str">
        <f t="shared" si="295"/>
        <v/>
      </c>
    </row>
    <row r="15739" spans="8:8" x14ac:dyDescent="0.3">
      <c r="H15739" t="str">
        <f t="shared" si="295"/>
        <v/>
      </c>
    </row>
    <row r="15740" spans="8:8" x14ac:dyDescent="0.3">
      <c r="H15740" t="str">
        <f t="shared" si="295"/>
        <v/>
      </c>
    </row>
    <row r="15741" spans="8:8" x14ac:dyDescent="0.3">
      <c r="H15741" t="str">
        <f t="shared" si="295"/>
        <v/>
      </c>
    </row>
    <row r="15742" spans="8:8" x14ac:dyDescent="0.3">
      <c r="H15742" t="str">
        <f t="shared" si="295"/>
        <v/>
      </c>
    </row>
    <row r="15743" spans="8:8" x14ac:dyDescent="0.3">
      <c r="H15743" t="str">
        <f t="shared" si="295"/>
        <v/>
      </c>
    </row>
    <row r="15744" spans="8:8" x14ac:dyDescent="0.3">
      <c r="H15744" t="str">
        <f t="shared" si="295"/>
        <v/>
      </c>
    </row>
    <row r="15745" spans="8:8" x14ac:dyDescent="0.3">
      <c r="H15745" t="str">
        <f t="shared" si="295"/>
        <v/>
      </c>
    </row>
    <row r="15746" spans="8:8" x14ac:dyDescent="0.3">
      <c r="H15746" t="str">
        <f t="shared" si="295"/>
        <v/>
      </c>
    </row>
    <row r="15747" spans="8:8" x14ac:dyDescent="0.3">
      <c r="H15747" t="str">
        <f t="shared" si="295"/>
        <v/>
      </c>
    </row>
    <row r="15748" spans="8:8" x14ac:dyDescent="0.3">
      <c r="H15748" t="str">
        <f t="shared" si="295"/>
        <v/>
      </c>
    </row>
    <row r="15749" spans="8:8" x14ac:dyDescent="0.3">
      <c r="H15749" t="str">
        <f t="shared" si="295"/>
        <v/>
      </c>
    </row>
    <row r="15750" spans="8:8" x14ac:dyDescent="0.3">
      <c r="H15750" t="str">
        <f t="shared" si="295"/>
        <v/>
      </c>
    </row>
    <row r="15751" spans="8:8" x14ac:dyDescent="0.3">
      <c r="H15751" t="str">
        <f t="shared" si="295"/>
        <v/>
      </c>
    </row>
    <row r="15752" spans="8:8" x14ac:dyDescent="0.3">
      <c r="H15752" t="str">
        <f t="shared" si="295"/>
        <v/>
      </c>
    </row>
    <row r="15753" spans="8:8" x14ac:dyDescent="0.3">
      <c r="H15753" t="str">
        <f t="shared" si="295"/>
        <v/>
      </c>
    </row>
    <row r="15754" spans="8:8" x14ac:dyDescent="0.3">
      <c r="H15754" t="str">
        <f t="shared" si="295"/>
        <v/>
      </c>
    </row>
    <row r="15755" spans="8:8" x14ac:dyDescent="0.3">
      <c r="H15755" t="str">
        <f t="shared" si="295"/>
        <v/>
      </c>
    </row>
    <row r="15756" spans="8:8" x14ac:dyDescent="0.3">
      <c r="H15756" t="str">
        <f t="shared" si="295"/>
        <v/>
      </c>
    </row>
    <row r="15757" spans="8:8" x14ac:dyDescent="0.3">
      <c r="H15757" t="str">
        <f t="shared" si="295"/>
        <v/>
      </c>
    </row>
    <row r="15758" spans="8:8" x14ac:dyDescent="0.3">
      <c r="H15758" t="str">
        <f t="shared" si="295"/>
        <v/>
      </c>
    </row>
    <row r="15759" spans="8:8" x14ac:dyDescent="0.3">
      <c r="H15759" t="str">
        <f t="shared" si="295"/>
        <v/>
      </c>
    </row>
    <row r="15760" spans="8:8" x14ac:dyDescent="0.3">
      <c r="H15760" t="str">
        <f t="shared" si="295"/>
        <v/>
      </c>
    </row>
    <row r="15761" spans="8:8" x14ac:dyDescent="0.3">
      <c r="H15761" t="str">
        <f t="shared" si="295"/>
        <v/>
      </c>
    </row>
    <row r="15762" spans="8:8" x14ac:dyDescent="0.3">
      <c r="H15762" t="str">
        <f t="shared" si="295"/>
        <v/>
      </c>
    </row>
    <row r="15763" spans="8:8" x14ac:dyDescent="0.3">
      <c r="H15763" t="str">
        <f t="shared" si="295"/>
        <v/>
      </c>
    </row>
    <row r="15764" spans="8:8" x14ac:dyDescent="0.3">
      <c r="H15764" t="str">
        <f t="shared" si="295"/>
        <v/>
      </c>
    </row>
    <row r="15765" spans="8:8" x14ac:dyDescent="0.3">
      <c r="H15765" t="str">
        <f t="shared" si="295"/>
        <v/>
      </c>
    </row>
    <row r="15766" spans="8:8" x14ac:dyDescent="0.3">
      <c r="H15766" t="str">
        <f t="shared" si="295"/>
        <v/>
      </c>
    </row>
    <row r="15767" spans="8:8" x14ac:dyDescent="0.3">
      <c r="H15767" t="str">
        <f t="shared" ref="H15767:H15830" si="296">IF(B15767="","",$C$12)</f>
        <v/>
      </c>
    </row>
    <row r="15768" spans="8:8" x14ac:dyDescent="0.3">
      <c r="H15768" t="str">
        <f t="shared" si="296"/>
        <v/>
      </c>
    </row>
    <row r="15769" spans="8:8" x14ac:dyDescent="0.3">
      <c r="H15769" t="str">
        <f t="shared" si="296"/>
        <v/>
      </c>
    </row>
    <row r="15770" spans="8:8" x14ac:dyDescent="0.3">
      <c r="H15770" t="str">
        <f t="shared" si="296"/>
        <v/>
      </c>
    </row>
    <row r="15771" spans="8:8" x14ac:dyDescent="0.3">
      <c r="H15771" t="str">
        <f t="shared" si="296"/>
        <v/>
      </c>
    </row>
    <row r="15772" spans="8:8" x14ac:dyDescent="0.3">
      <c r="H15772" t="str">
        <f t="shared" si="296"/>
        <v/>
      </c>
    </row>
    <row r="15773" spans="8:8" x14ac:dyDescent="0.3">
      <c r="H15773" t="str">
        <f t="shared" si="296"/>
        <v/>
      </c>
    </row>
    <row r="15774" spans="8:8" x14ac:dyDescent="0.3">
      <c r="H15774" t="str">
        <f t="shared" si="296"/>
        <v/>
      </c>
    </row>
    <row r="15775" spans="8:8" x14ac:dyDescent="0.3">
      <c r="H15775" t="str">
        <f t="shared" si="296"/>
        <v/>
      </c>
    </row>
    <row r="15776" spans="8:8" x14ac:dyDescent="0.3">
      <c r="H15776" t="str">
        <f t="shared" si="296"/>
        <v/>
      </c>
    </row>
    <row r="15777" spans="8:8" x14ac:dyDescent="0.3">
      <c r="H15777" t="str">
        <f t="shared" si="296"/>
        <v/>
      </c>
    </row>
    <row r="15778" spans="8:8" x14ac:dyDescent="0.3">
      <c r="H15778" t="str">
        <f t="shared" si="296"/>
        <v/>
      </c>
    </row>
    <row r="15779" spans="8:8" x14ac:dyDescent="0.3">
      <c r="H15779" t="str">
        <f t="shared" si="296"/>
        <v/>
      </c>
    </row>
    <row r="15780" spans="8:8" x14ac:dyDescent="0.3">
      <c r="H15780" t="str">
        <f t="shared" si="296"/>
        <v/>
      </c>
    </row>
    <row r="15781" spans="8:8" x14ac:dyDescent="0.3">
      <c r="H15781" t="str">
        <f t="shared" si="296"/>
        <v/>
      </c>
    </row>
    <row r="15782" spans="8:8" x14ac:dyDescent="0.3">
      <c r="H15782" t="str">
        <f t="shared" si="296"/>
        <v/>
      </c>
    </row>
    <row r="15783" spans="8:8" x14ac:dyDescent="0.3">
      <c r="H15783" t="str">
        <f t="shared" si="296"/>
        <v/>
      </c>
    </row>
    <row r="15784" spans="8:8" x14ac:dyDescent="0.3">
      <c r="H15784" t="str">
        <f t="shared" si="296"/>
        <v/>
      </c>
    </row>
    <row r="15785" spans="8:8" x14ac:dyDescent="0.3">
      <c r="H15785" t="str">
        <f t="shared" si="296"/>
        <v/>
      </c>
    </row>
    <row r="15786" spans="8:8" x14ac:dyDescent="0.3">
      <c r="H15786" t="str">
        <f t="shared" si="296"/>
        <v/>
      </c>
    </row>
    <row r="15787" spans="8:8" x14ac:dyDescent="0.3">
      <c r="H15787" t="str">
        <f t="shared" si="296"/>
        <v/>
      </c>
    </row>
    <row r="15788" spans="8:8" x14ac:dyDescent="0.3">
      <c r="H15788" t="str">
        <f t="shared" si="296"/>
        <v/>
      </c>
    </row>
    <row r="15789" spans="8:8" x14ac:dyDescent="0.3">
      <c r="H15789" t="str">
        <f t="shared" si="296"/>
        <v/>
      </c>
    </row>
    <row r="15790" spans="8:8" x14ac:dyDescent="0.3">
      <c r="H15790" t="str">
        <f t="shared" si="296"/>
        <v/>
      </c>
    </row>
    <row r="15791" spans="8:8" x14ac:dyDescent="0.3">
      <c r="H15791" t="str">
        <f t="shared" si="296"/>
        <v/>
      </c>
    </row>
    <row r="15792" spans="8:8" x14ac:dyDescent="0.3">
      <c r="H15792" t="str">
        <f t="shared" si="296"/>
        <v/>
      </c>
    </row>
    <row r="15793" spans="8:8" x14ac:dyDescent="0.3">
      <c r="H15793" t="str">
        <f t="shared" si="296"/>
        <v/>
      </c>
    </row>
    <row r="15794" spans="8:8" x14ac:dyDescent="0.3">
      <c r="H15794" t="str">
        <f t="shared" si="296"/>
        <v/>
      </c>
    </row>
    <row r="15795" spans="8:8" x14ac:dyDescent="0.3">
      <c r="H15795" t="str">
        <f t="shared" si="296"/>
        <v/>
      </c>
    </row>
    <row r="15796" spans="8:8" x14ac:dyDescent="0.3">
      <c r="H15796" t="str">
        <f t="shared" si="296"/>
        <v/>
      </c>
    </row>
    <row r="15797" spans="8:8" x14ac:dyDescent="0.3">
      <c r="H15797" t="str">
        <f t="shared" si="296"/>
        <v/>
      </c>
    </row>
    <row r="15798" spans="8:8" x14ac:dyDescent="0.3">
      <c r="H15798" t="str">
        <f t="shared" si="296"/>
        <v/>
      </c>
    </row>
    <row r="15799" spans="8:8" x14ac:dyDescent="0.3">
      <c r="H15799" t="str">
        <f t="shared" si="296"/>
        <v/>
      </c>
    </row>
    <row r="15800" spans="8:8" x14ac:dyDescent="0.3">
      <c r="H15800" t="str">
        <f t="shared" si="296"/>
        <v/>
      </c>
    </row>
    <row r="15801" spans="8:8" x14ac:dyDescent="0.3">
      <c r="H15801" t="str">
        <f t="shared" si="296"/>
        <v/>
      </c>
    </row>
    <row r="15802" spans="8:8" x14ac:dyDescent="0.3">
      <c r="H15802" t="str">
        <f t="shared" si="296"/>
        <v/>
      </c>
    </row>
    <row r="15803" spans="8:8" x14ac:dyDescent="0.3">
      <c r="H15803" t="str">
        <f t="shared" si="296"/>
        <v/>
      </c>
    </row>
    <row r="15804" spans="8:8" x14ac:dyDescent="0.3">
      <c r="H15804" t="str">
        <f t="shared" si="296"/>
        <v/>
      </c>
    </row>
    <row r="15805" spans="8:8" x14ac:dyDescent="0.3">
      <c r="H15805" t="str">
        <f t="shared" si="296"/>
        <v/>
      </c>
    </row>
    <row r="15806" spans="8:8" x14ac:dyDescent="0.3">
      <c r="H15806" t="str">
        <f t="shared" si="296"/>
        <v/>
      </c>
    </row>
    <row r="15807" spans="8:8" x14ac:dyDescent="0.3">
      <c r="H15807" t="str">
        <f t="shared" si="296"/>
        <v/>
      </c>
    </row>
    <row r="15808" spans="8:8" x14ac:dyDescent="0.3">
      <c r="H15808" t="str">
        <f t="shared" si="296"/>
        <v/>
      </c>
    </row>
    <row r="15809" spans="8:8" x14ac:dyDescent="0.3">
      <c r="H15809" t="str">
        <f t="shared" si="296"/>
        <v/>
      </c>
    </row>
    <row r="15810" spans="8:8" x14ac:dyDescent="0.3">
      <c r="H15810" t="str">
        <f t="shared" si="296"/>
        <v/>
      </c>
    </row>
    <row r="15811" spans="8:8" x14ac:dyDescent="0.3">
      <c r="H15811" t="str">
        <f t="shared" si="296"/>
        <v/>
      </c>
    </row>
    <row r="15812" spans="8:8" x14ac:dyDescent="0.3">
      <c r="H15812" t="str">
        <f t="shared" si="296"/>
        <v/>
      </c>
    </row>
    <row r="15813" spans="8:8" x14ac:dyDescent="0.3">
      <c r="H15813" t="str">
        <f t="shared" si="296"/>
        <v/>
      </c>
    </row>
    <row r="15814" spans="8:8" x14ac:dyDescent="0.3">
      <c r="H15814" t="str">
        <f t="shared" si="296"/>
        <v/>
      </c>
    </row>
    <row r="15815" spans="8:8" x14ac:dyDescent="0.3">
      <c r="H15815" t="str">
        <f t="shared" si="296"/>
        <v/>
      </c>
    </row>
    <row r="15816" spans="8:8" x14ac:dyDescent="0.3">
      <c r="H15816" t="str">
        <f t="shared" si="296"/>
        <v/>
      </c>
    </row>
    <row r="15817" spans="8:8" x14ac:dyDescent="0.3">
      <c r="H15817" t="str">
        <f t="shared" si="296"/>
        <v/>
      </c>
    </row>
    <row r="15818" spans="8:8" x14ac:dyDescent="0.3">
      <c r="H15818" t="str">
        <f t="shared" si="296"/>
        <v/>
      </c>
    </row>
    <row r="15819" spans="8:8" x14ac:dyDescent="0.3">
      <c r="H15819" t="str">
        <f t="shared" si="296"/>
        <v/>
      </c>
    </row>
    <row r="15820" spans="8:8" x14ac:dyDescent="0.3">
      <c r="H15820" t="str">
        <f t="shared" si="296"/>
        <v/>
      </c>
    </row>
    <row r="15821" spans="8:8" x14ac:dyDescent="0.3">
      <c r="H15821" t="str">
        <f t="shared" si="296"/>
        <v/>
      </c>
    </row>
    <row r="15822" spans="8:8" x14ac:dyDescent="0.3">
      <c r="H15822" t="str">
        <f t="shared" si="296"/>
        <v/>
      </c>
    </row>
    <row r="15823" spans="8:8" x14ac:dyDescent="0.3">
      <c r="H15823" t="str">
        <f t="shared" si="296"/>
        <v/>
      </c>
    </row>
    <row r="15824" spans="8:8" x14ac:dyDescent="0.3">
      <c r="H15824" t="str">
        <f t="shared" si="296"/>
        <v/>
      </c>
    </row>
    <row r="15825" spans="8:8" x14ac:dyDescent="0.3">
      <c r="H15825" t="str">
        <f t="shared" si="296"/>
        <v/>
      </c>
    </row>
    <row r="15826" spans="8:8" x14ac:dyDescent="0.3">
      <c r="H15826" t="str">
        <f t="shared" si="296"/>
        <v/>
      </c>
    </row>
    <row r="15827" spans="8:8" x14ac:dyDescent="0.3">
      <c r="H15827" t="str">
        <f t="shared" si="296"/>
        <v/>
      </c>
    </row>
    <row r="15828" spans="8:8" x14ac:dyDescent="0.3">
      <c r="H15828" t="str">
        <f t="shared" si="296"/>
        <v/>
      </c>
    </row>
    <row r="15829" spans="8:8" x14ac:dyDescent="0.3">
      <c r="H15829" t="str">
        <f t="shared" si="296"/>
        <v/>
      </c>
    </row>
    <row r="15830" spans="8:8" x14ac:dyDescent="0.3">
      <c r="H15830" t="str">
        <f t="shared" si="296"/>
        <v/>
      </c>
    </row>
    <row r="15831" spans="8:8" x14ac:dyDescent="0.3">
      <c r="H15831" t="str">
        <f t="shared" ref="H15831:H15894" si="297">IF(B15831="","",$C$12)</f>
        <v/>
      </c>
    </row>
    <row r="15832" spans="8:8" x14ac:dyDescent="0.3">
      <c r="H15832" t="str">
        <f t="shared" si="297"/>
        <v/>
      </c>
    </row>
    <row r="15833" spans="8:8" x14ac:dyDescent="0.3">
      <c r="H15833" t="str">
        <f t="shared" si="297"/>
        <v/>
      </c>
    </row>
    <row r="15834" spans="8:8" x14ac:dyDescent="0.3">
      <c r="H15834" t="str">
        <f t="shared" si="297"/>
        <v/>
      </c>
    </row>
    <row r="15835" spans="8:8" x14ac:dyDescent="0.3">
      <c r="H15835" t="str">
        <f t="shared" si="297"/>
        <v/>
      </c>
    </row>
    <row r="15836" spans="8:8" x14ac:dyDescent="0.3">
      <c r="H15836" t="str">
        <f t="shared" si="297"/>
        <v/>
      </c>
    </row>
    <row r="15837" spans="8:8" x14ac:dyDescent="0.3">
      <c r="H15837" t="str">
        <f t="shared" si="297"/>
        <v/>
      </c>
    </row>
    <row r="15838" spans="8:8" x14ac:dyDescent="0.3">
      <c r="H15838" t="str">
        <f t="shared" si="297"/>
        <v/>
      </c>
    </row>
    <row r="15839" spans="8:8" x14ac:dyDescent="0.3">
      <c r="H15839" t="str">
        <f t="shared" si="297"/>
        <v/>
      </c>
    </row>
    <row r="15840" spans="8:8" x14ac:dyDescent="0.3">
      <c r="H15840" t="str">
        <f t="shared" si="297"/>
        <v/>
      </c>
    </row>
    <row r="15841" spans="8:8" x14ac:dyDescent="0.3">
      <c r="H15841" t="str">
        <f t="shared" si="297"/>
        <v/>
      </c>
    </row>
    <row r="15842" spans="8:8" x14ac:dyDescent="0.3">
      <c r="H15842" t="str">
        <f t="shared" si="297"/>
        <v/>
      </c>
    </row>
    <row r="15843" spans="8:8" x14ac:dyDescent="0.3">
      <c r="H15843" t="str">
        <f t="shared" si="297"/>
        <v/>
      </c>
    </row>
    <row r="15844" spans="8:8" x14ac:dyDescent="0.3">
      <c r="H15844" t="str">
        <f t="shared" si="297"/>
        <v/>
      </c>
    </row>
    <row r="15845" spans="8:8" x14ac:dyDescent="0.3">
      <c r="H15845" t="str">
        <f t="shared" si="297"/>
        <v/>
      </c>
    </row>
    <row r="15846" spans="8:8" x14ac:dyDescent="0.3">
      <c r="H15846" t="str">
        <f t="shared" si="297"/>
        <v/>
      </c>
    </row>
    <row r="15847" spans="8:8" x14ac:dyDescent="0.3">
      <c r="H15847" t="str">
        <f t="shared" si="297"/>
        <v/>
      </c>
    </row>
    <row r="15848" spans="8:8" x14ac:dyDescent="0.3">
      <c r="H15848" t="str">
        <f t="shared" si="297"/>
        <v/>
      </c>
    </row>
    <row r="15849" spans="8:8" x14ac:dyDescent="0.3">
      <c r="H15849" t="str">
        <f t="shared" si="297"/>
        <v/>
      </c>
    </row>
    <row r="15850" spans="8:8" x14ac:dyDescent="0.3">
      <c r="H15850" t="str">
        <f t="shared" si="297"/>
        <v/>
      </c>
    </row>
    <row r="15851" spans="8:8" x14ac:dyDescent="0.3">
      <c r="H15851" t="str">
        <f t="shared" si="297"/>
        <v/>
      </c>
    </row>
    <row r="15852" spans="8:8" x14ac:dyDescent="0.3">
      <c r="H15852" t="str">
        <f t="shared" si="297"/>
        <v/>
      </c>
    </row>
    <row r="15853" spans="8:8" x14ac:dyDescent="0.3">
      <c r="H15853" t="str">
        <f t="shared" si="297"/>
        <v/>
      </c>
    </row>
    <row r="15854" spans="8:8" x14ac:dyDescent="0.3">
      <c r="H15854" t="str">
        <f t="shared" si="297"/>
        <v/>
      </c>
    </row>
    <row r="15855" spans="8:8" x14ac:dyDescent="0.3">
      <c r="H15855" t="str">
        <f t="shared" si="297"/>
        <v/>
      </c>
    </row>
    <row r="15856" spans="8:8" x14ac:dyDescent="0.3">
      <c r="H15856" t="str">
        <f t="shared" si="297"/>
        <v/>
      </c>
    </row>
    <row r="15857" spans="8:8" x14ac:dyDescent="0.3">
      <c r="H15857" t="str">
        <f t="shared" si="297"/>
        <v/>
      </c>
    </row>
    <row r="15858" spans="8:8" x14ac:dyDescent="0.3">
      <c r="H15858" t="str">
        <f t="shared" si="297"/>
        <v/>
      </c>
    </row>
    <row r="15859" spans="8:8" x14ac:dyDescent="0.3">
      <c r="H15859" t="str">
        <f t="shared" si="297"/>
        <v/>
      </c>
    </row>
    <row r="15860" spans="8:8" x14ac:dyDescent="0.3">
      <c r="H15860" t="str">
        <f t="shared" si="297"/>
        <v/>
      </c>
    </row>
    <row r="15861" spans="8:8" x14ac:dyDescent="0.3">
      <c r="H15861" t="str">
        <f t="shared" si="297"/>
        <v/>
      </c>
    </row>
    <row r="15862" spans="8:8" x14ac:dyDescent="0.3">
      <c r="H15862" t="str">
        <f t="shared" si="297"/>
        <v/>
      </c>
    </row>
    <row r="15863" spans="8:8" x14ac:dyDescent="0.3">
      <c r="H15863" t="str">
        <f t="shared" si="297"/>
        <v/>
      </c>
    </row>
    <row r="15864" spans="8:8" x14ac:dyDescent="0.3">
      <c r="H15864" t="str">
        <f t="shared" si="297"/>
        <v/>
      </c>
    </row>
    <row r="15865" spans="8:8" x14ac:dyDescent="0.3">
      <c r="H15865" t="str">
        <f t="shared" si="297"/>
        <v/>
      </c>
    </row>
    <row r="15866" spans="8:8" x14ac:dyDescent="0.3">
      <c r="H15866" t="str">
        <f t="shared" si="297"/>
        <v/>
      </c>
    </row>
    <row r="15867" spans="8:8" x14ac:dyDescent="0.3">
      <c r="H15867" t="str">
        <f t="shared" si="297"/>
        <v/>
      </c>
    </row>
    <row r="15868" spans="8:8" x14ac:dyDescent="0.3">
      <c r="H15868" t="str">
        <f t="shared" si="297"/>
        <v/>
      </c>
    </row>
    <row r="15869" spans="8:8" x14ac:dyDescent="0.3">
      <c r="H15869" t="str">
        <f t="shared" si="297"/>
        <v/>
      </c>
    </row>
    <row r="15870" spans="8:8" x14ac:dyDescent="0.3">
      <c r="H15870" t="str">
        <f t="shared" si="297"/>
        <v/>
      </c>
    </row>
    <row r="15871" spans="8:8" x14ac:dyDescent="0.3">
      <c r="H15871" t="str">
        <f t="shared" si="297"/>
        <v/>
      </c>
    </row>
    <row r="15872" spans="8:8" x14ac:dyDescent="0.3">
      <c r="H15872" t="str">
        <f t="shared" si="297"/>
        <v/>
      </c>
    </row>
    <row r="15873" spans="8:8" x14ac:dyDescent="0.3">
      <c r="H15873" t="str">
        <f t="shared" si="297"/>
        <v/>
      </c>
    </row>
    <row r="15874" spans="8:8" x14ac:dyDescent="0.3">
      <c r="H15874" t="str">
        <f t="shared" si="297"/>
        <v/>
      </c>
    </row>
    <row r="15875" spans="8:8" x14ac:dyDescent="0.3">
      <c r="H15875" t="str">
        <f t="shared" si="297"/>
        <v/>
      </c>
    </row>
    <row r="15876" spans="8:8" x14ac:dyDescent="0.3">
      <c r="H15876" t="str">
        <f t="shared" si="297"/>
        <v/>
      </c>
    </row>
    <row r="15877" spans="8:8" x14ac:dyDescent="0.3">
      <c r="H15877" t="str">
        <f t="shared" si="297"/>
        <v/>
      </c>
    </row>
    <row r="15878" spans="8:8" x14ac:dyDescent="0.3">
      <c r="H15878" t="str">
        <f t="shared" si="297"/>
        <v/>
      </c>
    </row>
    <row r="15879" spans="8:8" x14ac:dyDescent="0.3">
      <c r="H15879" t="str">
        <f t="shared" si="297"/>
        <v/>
      </c>
    </row>
    <row r="15880" spans="8:8" x14ac:dyDescent="0.3">
      <c r="H15880" t="str">
        <f t="shared" si="297"/>
        <v/>
      </c>
    </row>
    <row r="15881" spans="8:8" x14ac:dyDescent="0.3">
      <c r="H15881" t="str">
        <f t="shared" si="297"/>
        <v/>
      </c>
    </row>
    <row r="15882" spans="8:8" x14ac:dyDescent="0.3">
      <c r="H15882" t="str">
        <f t="shared" si="297"/>
        <v/>
      </c>
    </row>
    <row r="15883" spans="8:8" x14ac:dyDescent="0.3">
      <c r="H15883" t="str">
        <f t="shared" si="297"/>
        <v/>
      </c>
    </row>
    <row r="15884" spans="8:8" x14ac:dyDescent="0.3">
      <c r="H15884" t="str">
        <f t="shared" si="297"/>
        <v/>
      </c>
    </row>
    <row r="15885" spans="8:8" x14ac:dyDescent="0.3">
      <c r="H15885" t="str">
        <f t="shared" si="297"/>
        <v/>
      </c>
    </row>
    <row r="15886" spans="8:8" x14ac:dyDescent="0.3">
      <c r="H15886" t="str">
        <f t="shared" si="297"/>
        <v/>
      </c>
    </row>
    <row r="15887" spans="8:8" x14ac:dyDescent="0.3">
      <c r="H15887" t="str">
        <f t="shared" si="297"/>
        <v/>
      </c>
    </row>
    <row r="15888" spans="8:8" x14ac:dyDescent="0.3">
      <c r="H15888" t="str">
        <f t="shared" si="297"/>
        <v/>
      </c>
    </row>
    <row r="15889" spans="8:8" x14ac:dyDescent="0.3">
      <c r="H15889" t="str">
        <f t="shared" si="297"/>
        <v/>
      </c>
    </row>
    <row r="15890" spans="8:8" x14ac:dyDescent="0.3">
      <c r="H15890" t="str">
        <f t="shared" si="297"/>
        <v/>
      </c>
    </row>
    <row r="15891" spans="8:8" x14ac:dyDescent="0.3">
      <c r="H15891" t="str">
        <f t="shared" si="297"/>
        <v/>
      </c>
    </row>
    <row r="15892" spans="8:8" x14ac:dyDescent="0.3">
      <c r="H15892" t="str">
        <f t="shared" si="297"/>
        <v/>
      </c>
    </row>
    <row r="15893" spans="8:8" x14ac:dyDescent="0.3">
      <c r="H15893" t="str">
        <f t="shared" si="297"/>
        <v/>
      </c>
    </row>
    <row r="15894" spans="8:8" x14ac:dyDescent="0.3">
      <c r="H15894" t="str">
        <f t="shared" si="297"/>
        <v/>
      </c>
    </row>
    <row r="15895" spans="8:8" x14ac:dyDescent="0.3">
      <c r="H15895" t="str">
        <f t="shared" ref="H15895:H15958" si="298">IF(B15895="","",$C$12)</f>
        <v/>
      </c>
    </row>
    <row r="15896" spans="8:8" x14ac:dyDescent="0.3">
      <c r="H15896" t="str">
        <f t="shared" si="298"/>
        <v/>
      </c>
    </row>
    <row r="15897" spans="8:8" x14ac:dyDescent="0.3">
      <c r="H15897" t="str">
        <f t="shared" si="298"/>
        <v/>
      </c>
    </row>
    <row r="15898" spans="8:8" x14ac:dyDescent="0.3">
      <c r="H15898" t="str">
        <f t="shared" si="298"/>
        <v/>
      </c>
    </row>
    <row r="15899" spans="8:8" x14ac:dyDescent="0.3">
      <c r="H15899" t="str">
        <f t="shared" si="298"/>
        <v/>
      </c>
    </row>
    <row r="15900" spans="8:8" x14ac:dyDescent="0.3">
      <c r="H15900" t="str">
        <f t="shared" si="298"/>
        <v/>
      </c>
    </row>
    <row r="15901" spans="8:8" x14ac:dyDescent="0.3">
      <c r="H15901" t="str">
        <f t="shared" si="298"/>
        <v/>
      </c>
    </row>
    <row r="15902" spans="8:8" x14ac:dyDescent="0.3">
      <c r="H15902" t="str">
        <f t="shared" si="298"/>
        <v/>
      </c>
    </row>
    <row r="15903" spans="8:8" x14ac:dyDescent="0.3">
      <c r="H15903" t="str">
        <f t="shared" si="298"/>
        <v/>
      </c>
    </row>
    <row r="15904" spans="8:8" x14ac:dyDescent="0.3">
      <c r="H15904" t="str">
        <f t="shared" si="298"/>
        <v/>
      </c>
    </row>
    <row r="15905" spans="8:8" x14ac:dyDescent="0.3">
      <c r="H15905" t="str">
        <f t="shared" si="298"/>
        <v/>
      </c>
    </row>
    <row r="15906" spans="8:8" x14ac:dyDescent="0.3">
      <c r="H15906" t="str">
        <f t="shared" si="298"/>
        <v/>
      </c>
    </row>
    <row r="15907" spans="8:8" x14ac:dyDescent="0.3">
      <c r="H15907" t="str">
        <f t="shared" si="298"/>
        <v/>
      </c>
    </row>
    <row r="15908" spans="8:8" x14ac:dyDescent="0.3">
      <c r="H15908" t="str">
        <f t="shared" si="298"/>
        <v/>
      </c>
    </row>
    <row r="15909" spans="8:8" x14ac:dyDescent="0.3">
      <c r="H15909" t="str">
        <f t="shared" si="298"/>
        <v/>
      </c>
    </row>
    <row r="15910" spans="8:8" x14ac:dyDescent="0.3">
      <c r="H15910" t="str">
        <f t="shared" si="298"/>
        <v/>
      </c>
    </row>
    <row r="15911" spans="8:8" x14ac:dyDescent="0.3">
      <c r="H15911" t="str">
        <f t="shared" si="298"/>
        <v/>
      </c>
    </row>
    <row r="15912" spans="8:8" x14ac:dyDescent="0.3">
      <c r="H15912" t="str">
        <f t="shared" si="298"/>
        <v/>
      </c>
    </row>
    <row r="15913" spans="8:8" x14ac:dyDescent="0.3">
      <c r="H15913" t="str">
        <f t="shared" si="298"/>
        <v/>
      </c>
    </row>
    <row r="15914" spans="8:8" x14ac:dyDescent="0.3">
      <c r="H15914" t="str">
        <f t="shared" si="298"/>
        <v/>
      </c>
    </row>
    <row r="15915" spans="8:8" x14ac:dyDescent="0.3">
      <c r="H15915" t="str">
        <f t="shared" si="298"/>
        <v/>
      </c>
    </row>
    <row r="15916" spans="8:8" x14ac:dyDescent="0.3">
      <c r="H15916" t="str">
        <f t="shared" si="298"/>
        <v/>
      </c>
    </row>
    <row r="15917" spans="8:8" x14ac:dyDescent="0.3">
      <c r="H15917" t="str">
        <f t="shared" si="298"/>
        <v/>
      </c>
    </row>
    <row r="15918" spans="8:8" x14ac:dyDescent="0.3">
      <c r="H15918" t="str">
        <f t="shared" si="298"/>
        <v/>
      </c>
    </row>
    <row r="15919" spans="8:8" x14ac:dyDescent="0.3">
      <c r="H15919" t="str">
        <f t="shared" si="298"/>
        <v/>
      </c>
    </row>
    <row r="15920" spans="8:8" x14ac:dyDescent="0.3">
      <c r="H15920" t="str">
        <f t="shared" si="298"/>
        <v/>
      </c>
    </row>
    <row r="15921" spans="8:8" x14ac:dyDescent="0.3">
      <c r="H15921" t="str">
        <f t="shared" si="298"/>
        <v/>
      </c>
    </row>
    <row r="15922" spans="8:8" x14ac:dyDescent="0.3">
      <c r="H15922" t="str">
        <f t="shared" si="298"/>
        <v/>
      </c>
    </row>
    <row r="15923" spans="8:8" x14ac:dyDescent="0.3">
      <c r="H15923" t="str">
        <f t="shared" si="298"/>
        <v/>
      </c>
    </row>
    <row r="15924" spans="8:8" x14ac:dyDescent="0.3">
      <c r="H15924" t="str">
        <f t="shared" si="298"/>
        <v/>
      </c>
    </row>
    <row r="15925" spans="8:8" x14ac:dyDescent="0.3">
      <c r="H15925" t="str">
        <f t="shared" si="298"/>
        <v/>
      </c>
    </row>
    <row r="15926" spans="8:8" x14ac:dyDescent="0.3">
      <c r="H15926" t="str">
        <f t="shared" si="298"/>
        <v/>
      </c>
    </row>
    <row r="15927" spans="8:8" x14ac:dyDescent="0.3">
      <c r="H15927" t="str">
        <f t="shared" si="298"/>
        <v/>
      </c>
    </row>
    <row r="15928" spans="8:8" x14ac:dyDescent="0.3">
      <c r="H15928" t="str">
        <f t="shared" si="298"/>
        <v/>
      </c>
    </row>
    <row r="15929" spans="8:8" x14ac:dyDescent="0.3">
      <c r="H15929" t="str">
        <f t="shared" si="298"/>
        <v/>
      </c>
    </row>
    <row r="15930" spans="8:8" x14ac:dyDescent="0.3">
      <c r="H15930" t="str">
        <f t="shared" si="298"/>
        <v/>
      </c>
    </row>
    <row r="15931" spans="8:8" x14ac:dyDescent="0.3">
      <c r="H15931" t="str">
        <f t="shared" si="298"/>
        <v/>
      </c>
    </row>
    <row r="15932" spans="8:8" x14ac:dyDescent="0.3">
      <c r="H15932" t="str">
        <f t="shared" si="298"/>
        <v/>
      </c>
    </row>
    <row r="15933" spans="8:8" x14ac:dyDescent="0.3">
      <c r="H15933" t="str">
        <f t="shared" si="298"/>
        <v/>
      </c>
    </row>
    <row r="15934" spans="8:8" x14ac:dyDescent="0.3">
      <c r="H15934" t="str">
        <f t="shared" si="298"/>
        <v/>
      </c>
    </row>
    <row r="15935" spans="8:8" x14ac:dyDescent="0.3">
      <c r="H15935" t="str">
        <f t="shared" si="298"/>
        <v/>
      </c>
    </row>
    <row r="15936" spans="8:8" x14ac:dyDescent="0.3">
      <c r="H15936" t="str">
        <f t="shared" si="298"/>
        <v/>
      </c>
    </row>
    <row r="15937" spans="8:8" x14ac:dyDescent="0.3">
      <c r="H15937" t="str">
        <f t="shared" si="298"/>
        <v/>
      </c>
    </row>
    <row r="15938" spans="8:8" x14ac:dyDescent="0.3">
      <c r="H15938" t="str">
        <f t="shared" si="298"/>
        <v/>
      </c>
    </row>
    <row r="15939" spans="8:8" x14ac:dyDescent="0.3">
      <c r="H15939" t="str">
        <f t="shared" si="298"/>
        <v/>
      </c>
    </row>
    <row r="15940" spans="8:8" x14ac:dyDescent="0.3">
      <c r="H15940" t="str">
        <f t="shared" si="298"/>
        <v/>
      </c>
    </row>
    <row r="15941" spans="8:8" x14ac:dyDescent="0.3">
      <c r="H15941" t="str">
        <f t="shared" si="298"/>
        <v/>
      </c>
    </row>
    <row r="15942" spans="8:8" x14ac:dyDescent="0.3">
      <c r="H15942" t="str">
        <f t="shared" si="298"/>
        <v/>
      </c>
    </row>
    <row r="15943" spans="8:8" x14ac:dyDescent="0.3">
      <c r="H15943" t="str">
        <f t="shared" si="298"/>
        <v/>
      </c>
    </row>
    <row r="15944" spans="8:8" x14ac:dyDescent="0.3">
      <c r="H15944" t="str">
        <f t="shared" si="298"/>
        <v/>
      </c>
    </row>
    <row r="15945" spans="8:8" x14ac:dyDescent="0.3">
      <c r="H15945" t="str">
        <f t="shared" si="298"/>
        <v/>
      </c>
    </row>
    <row r="15946" spans="8:8" x14ac:dyDescent="0.3">
      <c r="H15946" t="str">
        <f t="shared" si="298"/>
        <v/>
      </c>
    </row>
    <row r="15947" spans="8:8" x14ac:dyDescent="0.3">
      <c r="H15947" t="str">
        <f t="shared" si="298"/>
        <v/>
      </c>
    </row>
    <row r="15948" spans="8:8" x14ac:dyDescent="0.3">
      <c r="H15948" t="str">
        <f t="shared" si="298"/>
        <v/>
      </c>
    </row>
    <row r="15949" spans="8:8" x14ac:dyDescent="0.3">
      <c r="H15949" t="str">
        <f t="shared" si="298"/>
        <v/>
      </c>
    </row>
    <row r="15950" spans="8:8" x14ac:dyDescent="0.3">
      <c r="H15950" t="str">
        <f t="shared" si="298"/>
        <v/>
      </c>
    </row>
    <row r="15951" spans="8:8" x14ac:dyDescent="0.3">
      <c r="H15951" t="str">
        <f t="shared" si="298"/>
        <v/>
      </c>
    </row>
    <row r="15952" spans="8:8" x14ac:dyDescent="0.3">
      <c r="H15952" t="str">
        <f t="shared" si="298"/>
        <v/>
      </c>
    </row>
    <row r="15953" spans="8:8" x14ac:dyDescent="0.3">
      <c r="H15953" t="str">
        <f t="shared" si="298"/>
        <v/>
      </c>
    </row>
    <row r="15954" spans="8:8" x14ac:dyDescent="0.3">
      <c r="H15954" t="str">
        <f t="shared" si="298"/>
        <v/>
      </c>
    </row>
    <row r="15955" spans="8:8" x14ac:dyDescent="0.3">
      <c r="H15955" t="str">
        <f t="shared" si="298"/>
        <v/>
      </c>
    </row>
    <row r="15956" spans="8:8" x14ac:dyDescent="0.3">
      <c r="H15956" t="str">
        <f t="shared" si="298"/>
        <v/>
      </c>
    </row>
    <row r="15957" spans="8:8" x14ac:dyDescent="0.3">
      <c r="H15957" t="str">
        <f t="shared" si="298"/>
        <v/>
      </c>
    </row>
    <row r="15958" spans="8:8" x14ac:dyDescent="0.3">
      <c r="H15958" t="str">
        <f t="shared" si="298"/>
        <v/>
      </c>
    </row>
    <row r="15959" spans="8:8" x14ac:dyDescent="0.3">
      <c r="H15959" t="str">
        <f t="shared" ref="H15959:H16022" si="299">IF(B15959="","",$C$12)</f>
        <v/>
      </c>
    </row>
    <row r="15960" spans="8:8" x14ac:dyDescent="0.3">
      <c r="H15960" t="str">
        <f t="shared" si="299"/>
        <v/>
      </c>
    </row>
    <row r="15961" spans="8:8" x14ac:dyDescent="0.3">
      <c r="H15961" t="str">
        <f t="shared" si="299"/>
        <v/>
      </c>
    </row>
    <row r="15962" spans="8:8" x14ac:dyDescent="0.3">
      <c r="H15962" t="str">
        <f t="shared" si="299"/>
        <v/>
      </c>
    </row>
    <row r="15963" spans="8:8" x14ac:dyDescent="0.3">
      <c r="H15963" t="str">
        <f t="shared" si="299"/>
        <v/>
      </c>
    </row>
    <row r="15964" spans="8:8" x14ac:dyDescent="0.3">
      <c r="H15964" t="str">
        <f t="shared" si="299"/>
        <v/>
      </c>
    </row>
    <row r="15965" spans="8:8" x14ac:dyDescent="0.3">
      <c r="H15965" t="str">
        <f t="shared" si="299"/>
        <v/>
      </c>
    </row>
    <row r="15966" spans="8:8" x14ac:dyDescent="0.3">
      <c r="H15966" t="str">
        <f t="shared" si="299"/>
        <v/>
      </c>
    </row>
    <row r="15967" spans="8:8" x14ac:dyDescent="0.3">
      <c r="H15967" t="str">
        <f t="shared" si="299"/>
        <v/>
      </c>
    </row>
    <row r="15968" spans="8:8" x14ac:dyDescent="0.3">
      <c r="H15968" t="str">
        <f t="shared" si="299"/>
        <v/>
      </c>
    </row>
    <row r="15969" spans="8:8" x14ac:dyDescent="0.3">
      <c r="H15969" t="str">
        <f t="shared" si="299"/>
        <v/>
      </c>
    </row>
    <row r="15970" spans="8:8" x14ac:dyDescent="0.3">
      <c r="H15970" t="str">
        <f t="shared" si="299"/>
        <v/>
      </c>
    </row>
    <row r="15971" spans="8:8" x14ac:dyDescent="0.3">
      <c r="H15971" t="str">
        <f t="shared" si="299"/>
        <v/>
      </c>
    </row>
    <row r="15972" spans="8:8" x14ac:dyDescent="0.3">
      <c r="H15972" t="str">
        <f t="shared" si="299"/>
        <v/>
      </c>
    </row>
    <row r="15973" spans="8:8" x14ac:dyDescent="0.3">
      <c r="H15973" t="str">
        <f t="shared" si="299"/>
        <v/>
      </c>
    </row>
    <row r="15974" spans="8:8" x14ac:dyDescent="0.3">
      <c r="H15974" t="str">
        <f t="shared" si="299"/>
        <v/>
      </c>
    </row>
    <row r="15975" spans="8:8" x14ac:dyDescent="0.3">
      <c r="H15975" t="str">
        <f t="shared" si="299"/>
        <v/>
      </c>
    </row>
    <row r="15976" spans="8:8" x14ac:dyDescent="0.3">
      <c r="H15976" t="str">
        <f t="shared" si="299"/>
        <v/>
      </c>
    </row>
    <row r="15977" spans="8:8" x14ac:dyDescent="0.3">
      <c r="H15977" t="str">
        <f t="shared" si="299"/>
        <v/>
      </c>
    </row>
    <row r="15978" spans="8:8" x14ac:dyDescent="0.3">
      <c r="H15978" t="str">
        <f t="shared" si="299"/>
        <v/>
      </c>
    </row>
    <row r="15979" spans="8:8" x14ac:dyDescent="0.3">
      <c r="H15979" t="str">
        <f t="shared" si="299"/>
        <v/>
      </c>
    </row>
    <row r="15980" spans="8:8" x14ac:dyDescent="0.3">
      <c r="H15980" t="str">
        <f t="shared" si="299"/>
        <v/>
      </c>
    </row>
    <row r="15981" spans="8:8" x14ac:dyDescent="0.3">
      <c r="H15981" t="str">
        <f t="shared" si="299"/>
        <v/>
      </c>
    </row>
    <row r="15982" spans="8:8" x14ac:dyDescent="0.3">
      <c r="H15982" t="str">
        <f t="shared" si="299"/>
        <v/>
      </c>
    </row>
    <row r="15983" spans="8:8" x14ac:dyDescent="0.3">
      <c r="H15983" t="str">
        <f t="shared" si="299"/>
        <v/>
      </c>
    </row>
    <row r="15984" spans="8:8" x14ac:dyDescent="0.3">
      <c r="H15984" t="str">
        <f t="shared" si="299"/>
        <v/>
      </c>
    </row>
    <row r="15985" spans="8:8" x14ac:dyDescent="0.3">
      <c r="H15985" t="str">
        <f t="shared" si="299"/>
        <v/>
      </c>
    </row>
    <row r="15986" spans="8:8" x14ac:dyDescent="0.3">
      <c r="H15986" t="str">
        <f t="shared" si="299"/>
        <v/>
      </c>
    </row>
    <row r="15987" spans="8:8" x14ac:dyDescent="0.3">
      <c r="H15987" t="str">
        <f t="shared" si="299"/>
        <v/>
      </c>
    </row>
    <row r="15988" spans="8:8" x14ac:dyDescent="0.3">
      <c r="H15988" t="str">
        <f t="shared" si="299"/>
        <v/>
      </c>
    </row>
    <row r="15989" spans="8:8" x14ac:dyDescent="0.3">
      <c r="H15989" t="str">
        <f t="shared" si="299"/>
        <v/>
      </c>
    </row>
    <row r="15990" spans="8:8" x14ac:dyDescent="0.3">
      <c r="H15990" t="str">
        <f t="shared" si="299"/>
        <v/>
      </c>
    </row>
    <row r="15991" spans="8:8" x14ac:dyDescent="0.3">
      <c r="H15991" t="str">
        <f t="shared" si="299"/>
        <v/>
      </c>
    </row>
    <row r="15992" spans="8:8" x14ac:dyDescent="0.3">
      <c r="H15992" t="str">
        <f t="shared" si="299"/>
        <v/>
      </c>
    </row>
    <row r="15993" spans="8:8" x14ac:dyDescent="0.3">
      <c r="H15993" t="str">
        <f t="shared" si="299"/>
        <v/>
      </c>
    </row>
    <row r="15994" spans="8:8" x14ac:dyDescent="0.3">
      <c r="H15994" t="str">
        <f t="shared" si="299"/>
        <v/>
      </c>
    </row>
    <row r="15995" spans="8:8" x14ac:dyDescent="0.3">
      <c r="H15995" t="str">
        <f t="shared" si="299"/>
        <v/>
      </c>
    </row>
    <row r="15996" spans="8:8" x14ac:dyDescent="0.3">
      <c r="H15996" t="str">
        <f t="shared" si="299"/>
        <v/>
      </c>
    </row>
    <row r="15997" spans="8:8" x14ac:dyDescent="0.3">
      <c r="H15997" t="str">
        <f t="shared" si="299"/>
        <v/>
      </c>
    </row>
    <row r="15998" spans="8:8" x14ac:dyDescent="0.3">
      <c r="H15998" t="str">
        <f t="shared" si="299"/>
        <v/>
      </c>
    </row>
    <row r="15999" spans="8:8" x14ac:dyDescent="0.3">
      <c r="H15999" t="str">
        <f t="shared" si="299"/>
        <v/>
      </c>
    </row>
    <row r="16000" spans="8:8" x14ac:dyDescent="0.3">
      <c r="H16000" t="str">
        <f t="shared" si="299"/>
        <v/>
      </c>
    </row>
    <row r="16001" spans="8:8" x14ac:dyDescent="0.3">
      <c r="H16001" t="str">
        <f t="shared" si="299"/>
        <v/>
      </c>
    </row>
    <row r="16002" spans="8:8" x14ac:dyDescent="0.3">
      <c r="H16002" t="str">
        <f t="shared" si="299"/>
        <v/>
      </c>
    </row>
    <row r="16003" spans="8:8" x14ac:dyDescent="0.3">
      <c r="H16003" t="str">
        <f t="shared" si="299"/>
        <v/>
      </c>
    </row>
    <row r="16004" spans="8:8" x14ac:dyDescent="0.3">
      <c r="H16004" t="str">
        <f t="shared" si="299"/>
        <v/>
      </c>
    </row>
    <row r="16005" spans="8:8" x14ac:dyDescent="0.3">
      <c r="H16005" t="str">
        <f t="shared" si="299"/>
        <v/>
      </c>
    </row>
    <row r="16006" spans="8:8" x14ac:dyDescent="0.3">
      <c r="H16006" t="str">
        <f t="shared" si="299"/>
        <v/>
      </c>
    </row>
    <row r="16007" spans="8:8" x14ac:dyDescent="0.3">
      <c r="H16007" t="str">
        <f t="shared" si="299"/>
        <v/>
      </c>
    </row>
    <row r="16008" spans="8:8" x14ac:dyDescent="0.3">
      <c r="H16008" t="str">
        <f t="shared" si="299"/>
        <v/>
      </c>
    </row>
    <row r="16009" spans="8:8" x14ac:dyDescent="0.3">
      <c r="H16009" t="str">
        <f t="shared" si="299"/>
        <v/>
      </c>
    </row>
    <row r="16010" spans="8:8" x14ac:dyDescent="0.3">
      <c r="H16010" t="str">
        <f t="shared" si="299"/>
        <v/>
      </c>
    </row>
    <row r="16011" spans="8:8" x14ac:dyDescent="0.3">
      <c r="H16011" t="str">
        <f t="shared" si="299"/>
        <v/>
      </c>
    </row>
    <row r="16012" spans="8:8" x14ac:dyDescent="0.3">
      <c r="H16012" t="str">
        <f t="shared" si="299"/>
        <v/>
      </c>
    </row>
    <row r="16013" spans="8:8" x14ac:dyDescent="0.3">
      <c r="H16013" t="str">
        <f t="shared" si="299"/>
        <v/>
      </c>
    </row>
    <row r="16014" spans="8:8" x14ac:dyDescent="0.3">
      <c r="H16014" t="str">
        <f t="shared" si="299"/>
        <v/>
      </c>
    </row>
    <row r="16015" spans="8:8" x14ac:dyDescent="0.3">
      <c r="H16015" t="str">
        <f t="shared" si="299"/>
        <v/>
      </c>
    </row>
    <row r="16016" spans="8:8" x14ac:dyDescent="0.3">
      <c r="H16016" t="str">
        <f t="shared" si="299"/>
        <v/>
      </c>
    </row>
    <row r="16017" spans="8:8" x14ac:dyDescent="0.3">
      <c r="H16017" t="str">
        <f t="shared" si="299"/>
        <v/>
      </c>
    </row>
    <row r="16018" spans="8:8" x14ac:dyDescent="0.3">
      <c r="H16018" t="str">
        <f t="shared" si="299"/>
        <v/>
      </c>
    </row>
    <row r="16019" spans="8:8" x14ac:dyDescent="0.3">
      <c r="H16019" t="str">
        <f t="shared" si="299"/>
        <v/>
      </c>
    </row>
    <row r="16020" spans="8:8" x14ac:dyDescent="0.3">
      <c r="H16020" t="str">
        <f t="shared" si="299"/>
        <v/>
      </c>
    </row>
    <row r="16021" spans="8:8" x14ac:dyDescent="0.3">
      <c r="H16021" t="str">
        <f t="shared" si="299"/>
        <v/>
      </c>
    </row>
    <row r="16022" spans="8:8" x14ac:dyDescent="0.3">
      <c r="H16022" t="str">
        <f t="shared" si="299"/>
        <v/>
      </c>
    </row>
    <row r="16023" spans="8:8" x14ac:dyDescent="0.3">
      <c r="H16023" t="str">
        <f t="shared" ref="H16023:H16086" si="300">IF(B16023="","",$C$12)</f>
        <v/>
      </c>
    </row>
    <row r="16024" spans="8:8" x14ac:dyDescent="0.3">
      <c r="H16024" t="str">
        <f t="shared" si="300"/>
        <v/>
      </c>
    </row>
    <row r="16025" spans="8:8" x14ac:dyDescent="0.3">
      <c r="H16025" t="str">
        <f t="shared" si="300"/>
        <v/>
      </c>
    </row>
    <row r="16026" spans="8:8" x14ac:dyDescent="0.3">
      <c r="H16026" t="str">
        <f t="shared" si="300"/>
        <v/>
      </c>
    </row>
    <row r="16027" spans="8:8" x14ac:dyDescent="0.3">
      <c r="H16027" t="str">
        <f t="shared" si="300"/>
        <v/>
      </c>
    </row>
    <row r="16028" spans="8:8" x14ac:dyDescent="0.3">
      <c r="H16028" t="str">
        <f t="shared" si="300"/>
        <v/>
      </c>
    </row>
    <row r="16029" spans="8:8" x14ac:dyDescent="0.3">
      <c r="H16029" t="str">
        <f t="shared" si="300"/>
        <v/>
      </c>
    </row>
    <row r="16030" spans="8:8" x14ac:dyDescent="0.3">
      <c r="H16030" t="str">
        <f t="shared" si="300"/>
        <v/>
      </c>
    </row>
    <row r="16031" spans="8:8" x14ac:dyDescent="0.3">
      <c r="H16031" t="str">
        <f t="shared" si="300"/>
        <v/>
      </c>
    </row>
    <row r="16032" spans="8:8" x14ac:dyDescent="0.3">
      <c r="H16032" t="str">
        <f t="shared" si="300"/>
        <v/>
      </c>
    </row>
    <row r="16033" spans="8:8" x14ac:dyDescent="0.3">
      <c r="H16033" t="str">
        <f t="shared" si="300"/>
        <v/>
      </c>
    </row>
    <row r="16034" spans="8:8" x14ac:dyDescent="0.3">
      <c r="H16034" t="str">
        <f t="shared" si="300"/>
        <v/>
      </c>
    </row>
    <row r="16035" spans="8:8" x14ac:dyDescent="0.3">
      <c r="H16035" t="str">
        <f t="shared" si="300"/>
        <v/>
      </c>
    </row>
    <row r="16036" spans="8:8" x14ac:dyDescent="0.3">
      <c r="H16036" t="str">
        <f t="shared" si="300"/>
        <v/>
      </c>
    </row>
    <row r="16037" spans="8:8" x14ac:dyDescent="0.3">
      <c r="H16037" t="str">
        <f t="shared" si="300"/>
        <v/>
      </c>
    </row>
    <row r="16038" spans="8:8" x14ac:dyDescent="0.3">
      <c r="H16038" t="str">
        <f t="shared" si="300"/>
        <v/>
      </c>
    </row>
    <row r="16039" spans="8:8" x14ac:dyDescent="0.3">
      <c r="H16039" t="str">
        <f t="shared" si="300"/>
        <v/>
      </c>
    </row>
    <row r="16040" spans="8:8" x14ac:dyDescent="0.3">
      <c r="H16040" t="str">
        <f t="shared" si="300"/>
        <v/>
      </c>
    </row>
    <row r="16041" spans="8:8" x14ac:dyDescent="0.3">
      <c r="H16041" t="str">
        <f t="shared" si="300"/>
        <v/>
      </c>
    </row>
    <row r="16042" spans="8:8" x14ac:dyDescent="0.3">
      <c r="H16042" t="str">
        <f t="shared" si="300"/>
        <v/>
      </c>
    </row>
    <row r="16043" spans="8:8" x14ac:dyDescent="0.3">
      <c r="H16043" t="str">
        <f t="shared" si="300"/>
        <v/>
      </c>
    </row>
    <row r="16044" spans="8:8" x14ac:dyDescent="0.3">
      <c r="H16044" t="str">
        <f t="shared" si="300"/>
        <v/>
      </c>
    </row>
    <row r="16045" spans="8:8" x14ac:dyDescent="0.3">
      <c r="H16045" t="str">
        <f t="shared" si="300"/>
        <v/>
      </c>
    </row>
    <row r="16046" spans="8:8" x14ac:dyDescent="0.3">
      <c r="H16046" t="str">
        <f t="shared" si="300"/>
        <v/>
      </c>
    </row>
    <row r="16047" spans="8:8" x14ac:dyDescent="0.3">
      <c r="H16047" t="str">
        <f t="shared" si="300"/>
        <v/>
      </c>
    </row>
    <row r="16048" spans="8:8" x14ac:dyDescent="0.3">
      <c r="H16048" t="str">
        <f t="shared" si="300"/>
        <v/>
      </c>
    </row>
    <row r="16049" spans="8:8" x14ac:dyDescent="0.3">
      <c r="H16049" t="str">
        <f t="shared" si="300"/>
        <v/>
      </c>
    </row>
    <row r="16050" spans="8:8" x14ac:dyDescent="0.3">
      <c r="H16050" t="str">
        <f t="shared" si="300"/>
        <v/>
      </c>
    </row>
    <row r="16051" spans="8:8" x14ac:dyDescent="0.3">
      <c r="H16051" t="str">
        <f t="shared" si="300"/>
        <v/>
      </c>
    </row>
    <row r="16052" spans="8:8" x14ac:dyDescent="0.3">
      <c r="H16052" t="str">
        <f t="shared" si="300"/>
        <v/>
      </c>
    </row>
    <row r="16053" spans="8:8" x14ac:dyDescent="0.3">
      <c r="H16053" t="str">
        <f t="shared" si="300"/>
        <v/>
      </c>
    </row>
    <row r="16054" spans="8:8" x14ac:dyDescent="0.3">
      <c r="H16054" t="str">
        <f t="shared" si="300"/>
        <v/>
      </c>
    </row>
    <row r="16055" spans="8:8" x14ac:dyDescent="0.3">
      <c r="H16055" t="str">
        <f t="shared" si="300"/>
        <v/>
      </c>
    </row>
    <row r="16056" spans="8:8" x14ac:dyDescent="0.3">
      <c r="H16056" t="str">
        <f t="shared" si="300"/>
        <v/>
      </c>
    </row>
    <row r="16057" spans="8:8" x14ac:dyDescent="0.3">
      <c r="H16057" t="str">
        <f t="shared" si="300"/>
        <v/>
      </c>
    </row>
    <row r="16058" spans="8:8" x14ac:dyDescent="0.3">
      <c r="H16058" t="str">
        <f t="shared" si="300"/>
        <v/>
      </c>
    </row>
    <row r="16059" spans="8:8" x14ac:dyDescent="0.3">
      <c r="H16059" t="str">
        <f t="shared" si="300"/>
        <v/>
      </c>
    </row>
    <row r="16060" spans="8:8" x14ac:dyDescent="0.3">
      <c r="H16060" t="str">
        <f t="shared" si="300"/>
        <v/>
      </c>
    </row>
    <row r="16061" spans="8:8" x14ac:dyDescent="0.3">
      <c r="H16061" t="str">
        <f t="shared" si="300"/>
        <v/>
      </c>
    </row>
    <row r="16062" spans="8:8" x14ac:dyDescent="0.3">
      <c r="H16062" t="str">
        <f t="shared" si="300"/>
        <v/>
      </c>
    </row>
    <row r="16063" spans="8:8" x14ac:dyDescent="0.3">
      <c r="H16063" t="str">
        <f t="shared" si="300"/>
        <v/>
      </c>
    </row>
    <row r="16064" spans="8:8" x14ac:dyDescent="0.3">
      <c r="H16064" t="str">
        <f t="shared" si="300"/>
        <v/>
      </c>
    </row>
    <row r="16065" spans="8:8" x14ac:dyDescent="0.3">
      <c r="H16065" t="str">
        <f t="shared" si="300"/>
        <v/>
      </c>
    </row>
    <row r="16066" spans="8:8" x14ac:dyDescent="0.3">
      <c r="H16066" t="str">
        <f t="shared" si="300"/>
        <v/>
      </c>
    </row>
    <row r="16067" spans="8:8" x14ac:dyDescent="0.3">
      <c r="H16067" t="str">
        <f t="shared" si="300"/>
        <v/>
      </c>
    </row>
    <row r="16068" spans="8:8" x14ac:dyDescent="0.3">
      <c r="H16068" t="str">
        <f t="shared" si="300"/>
        <v/>
      </c>
    </row>
    <row r="16069" spans="8:8" x14ac:dyDescent="0.3">
      <c r="H16069" t="str">
        <f t="shared" si="300"/>
        <v/>
      </c>
    </row>
    <row r="16070" spans="8:8" x14ac:dyDescent="0.3">
      <c r="H16070" t="str">
        <f t="shared" si="300"/>
        <v/>
      </c>
    </row>
    <row r="16071" spans="8:8" x14ac:dyDescent="0.3">
      <c r="H16071" t="str">
        <f t="shared" si="300"/>
        <v/>
      </c>
    </row>
    <row r="16072" spans="8:8" x14ac:dyDescent="0.3">
      <c r="H16072" t="str">
        <f t="shared" si="300"/>
        <v/>
      </c>
    </row>
    <row r="16073" spans="8:8" x14ac:dyDescent="0.3">
      <c r="H16073" t="str">
        <f t="shared" si="300"/>
        <v/>
      </c>
    </row>
    <row r="16074" spans="8:8" x14ac:dyDescent="0.3">
      <c r="H16074" t="str">
        <f t="shared" si="300"/>
        <v/>
      </c>
    </row>
    <row r="16075" spans="8:8" x14ac:dyDescent="0.3">
      <c r="H16075" t="str">
        <f t="shared" si="300"/>
        <v/>
      </c>
    </row>
    <row r="16076" spans="8:8" x14ac:dyDescent="0.3">
      <c r="H16076" t="str">
        <f t="shared" si="300"/>
        <v/>
      </c>
    </row>
    <row r="16077" spans="8:8" x14ac:dyDescent="0.3">
      <c r="H16077" t="str">
        <f t="shared" si="300"/>
        <v/>
      </c>
    </row>
    <row r="16078" spans="8:8" x14ac:dyDescent="0.3">
      <c r="H16078" t="str">
        <f t="shared" si="300"/>
        <v/>
      </c>
    </row>
    <row r="16079" spans="8:8" x14ac:dyDescent="0.3">
      <c r="H16079" t="str">
        <f t="shared" si="300"/>
        <v/>
      </c>
    </row>
    <row r="16080" spans="8:8" x14ac:dyDescent="0.3">
      <c r="H16080" t="str">
        <f t="shared" si="300"/>
        <v/>
      </c>
    </row>
    <row r="16081" spans="8:8" x14ac:dyDescent="0.3">
      <c r="H16081" t="str">
        <f t="shared" si="300"/>
        <v/>
      </c>
    </row>
    <row r="16082" spans="8:8" x14ac:dyDescent="0.3">
      <c r="H16082" t="str">
        <f t="shared" si="300"/>
        <v/>
      </c>
    </row>
    <row r="16083" spans="8:8" x14ac:dyDescent="0.3">
      <c r="H16083" t="str">
        <f t="shared" si="300"/>
        <v/>
      </c>
    </row>
    <row r="16084" spans="8:8" x14ac:dyDescent="0.3">
      <c r="H16084" t="str">
        <f t="shared" si="300"/>
        <v/>
      </c>
    </row>
    <row r="16085" spans="8:8" x14ac:dyDescent="0.3">
      <c r="H16085" t="str">
        <f t="shared" si="300"/>
        <v/>
      </c>
    </row>
    <row r="16086" spans="8:8" x14ac:dyDescent="0.3">
      <c r="H16086" t="str">
        <f t="shared" si="300"/>
        <v/>
      </c>
    </row>
    <row r="16087" spans="8:8" x14ac:dyDescent="0.3">
      <c r="H16087" t="str">
        <f t="shared" ref="H16087:H16150" si="301">IF(B16087="","",$C$12)</f>
        <v/>
      </c>
    </row>
    <row r="16088" spans="8:8" x14ac:dyDescent="0.3">
      <c r="H16088" t="str">
        <f t="shared" si="301"/>
        <v/>
      </c>
    </row>
    <row r="16089" spans="8:8" x14ac:dyDescent="0.3">
      <c r="H16089" t="str">
        <f t="shared" si="301"/>
        <v/>
      </c>
    </row>
    <row r="16090" spans="8:8" x14ac:dyDescent="0.3">
      <c r="H16090" t="str">
        <f t="shared" si="301"/>
        <v/>
      </c>
    </row>
    <row r="16091" spans="8:8" x14ac:dyDescent="0.3">
      <c r="H16091" t="str">
        <f t="shared" si="301"/>
        <v/>
      </c>
    </row>
    <row r="16092" spans="8:8" x14ac:dyDescent="0.3">
      <c r="H16092" t="str">
        <f t="shared" si="301"/>
        <v/>
      </c>
    </row>
    <row r="16093" spans="8:8" x14ac:dyDescent="0.3">
      <c r="H16093" t="str">
        <f t="shared" si="301"/>
        <v/>
      </c>
    </row>
    <row r="16094" spans="8:8" x14ac:dyDescent="0.3">
      <c r="H16094" t="str">
        <f t="shared" si="301"/>
        <v/>
      </c>
    </row>
    <row r="16095" spans="8:8" x14ac:dyDescent="0.3">
      <c r="H16095" t="str">
        <f t="shared" si="301"/>
        <v/>
      </c>
    </row>
    <row r="16096" spans="8:8" x14ac:dyDescent="0.3">
      <c r="H16096" t="str">
        <f t="shared" si="301"/>
        <v/>
      </c>
    </row>
    <row r="16097" spans="8:8" x14ac:dyDescent="0.3">
      <c r="H16097" t="str">
        <f t="shared" si="301"/>
        <v/>
      </c>
    </row>
    <row r="16098" spans="8:8" x14ac:dyDescent="0.3">
      <c r="H16098" t="str">
        <f t="shared" si="301"/>
        <v/>
      </c>
    </row>
    <row r="16099" spans="8:8" x14ac:dyDescent="0.3">
      <c r="H16099" t="str">
        <f t="shared" si="301"/>
        <v/>
      </c>
    </row>
    <row r="16100" spans="8:8" x14ac:dyDescent="0.3">
      <c r="H16100" t="str">
        <f t="shared" si="301"/>
        <v/>
      </c>
    </row>
    <row r="16101" spans="8:8" x14ac:dyDescent="0.3">
      <c r="H16101" t="str">
        <f t="shared" si="301"/>
        <v/>
      </c>
    </row>
    <row r="16102" spans="8:8" x14ac:dyDescent="0.3">
      <c r="H16102" t="str">
        <f t="shared" si="301"/>
        <v/>
      </c>
    </row>
    <row r="16103" spans="8:8" x14ac:dyDescent="0.3">
      <c r="H16103" t="str">
        <f t="shared" si="301"/>
        <v/>
      </c>
    </row>
    <row r="16104" spans="8:8" x14ac:dyDescent="0.3">
      <c r="H16104" t="str">
        <f t="shared" si="301"/>
        <v/>
      </c>
    </row>
    <row r="16105" spans="8:8" x14ac:dyDescent="0.3">
      <c r="H16105" t="str">
        <f t="shared" si="301"/>
        <v/>
      </c>
    </row>
    <row r="16106" spans="8:8" x14ac:dyDescent="0.3">
      <c r="H16106" t="str">
        <f t="shared" si="301"/>
        <v/>
      </c>
    </row>
    <row r="16107" spans="8:8" x14ac:dyDescent="0.3">
      <c r="H16107" t="str">
        <f t="shared" si="301"/>
        <v/>
      </c>
    </row>
    <row r="16108" spans="8:8" x14ac:dyDescent="0.3">
      <c r="H16108" t="str">
        <f t="shared" si="301"/>
        <v/>
      </c>
    </row>
    <row r="16109" spans="8:8" x14ac:dyDescent="0.3">
      <c r="H16109" t="str">
        <f t="shared" si="301"/>
        <v/>
      </c>
    </row>
    <row r="16110" spans="8:8" x14ac:dyDescent="0.3">
      <c r="H16110" t="str">
        <f t="shared" si="301"/>
        <v/>
      </c>
    </row>
    <row r="16111" spans="8:8" x14ac:dyDescent="0.3">
      <c r="H16111" t="str">
        <f t="shared" si="301"/>
        <v/>
      </c>
    </row>
    <row r="16112" spans="8:8" x14ac:dyDescent="0.3">
      <c r="H16112" t="str">
        <f t="shared" si="301"/>
        <v/>
      </c>
    </row>
    <row r="16113" spans="8:8" x14ac:dyDescent="0.3">
      <c r="H16113" t="str">
        <f t="shared" si="301"/>
        <v/>
      </c>
    </row>
    <row r="16114" spans="8:8" x14ac:dyDescent="0.3">
      <c r="H16114" t="str">
        <f t="shared" si="301"/>
        <v/>
      </c>
    </row>
    <row r="16115" spans="8:8" x14ac:dyDescent="0.3">
      <c r="H16115" t="str">
        <f t="shared" si="301"/>
        <v/>
      </c>
    </row>
    <row r="16116" spans="8:8" x14ac:dyDescent="0.3">
      <c r="H16116" t="str">
        <f t="shared" si="301"/>
        <v/>
      </c>
    </row>
    <row r="16117" spans="8:8" x14ac:dyDescent="0.3">
      <c r="H16117" t="str">
        <f t="shared" si="301"/>
        <v/>
      </c>
    </row>
    <row r="16118" spans="8:8" x14ac:dyDescent="0.3">
      <c r="H16118" t="str">
        <f t="shared" si="301"/>
        <v/>
      </c>
    </row>
    <row r="16119" spans="8:8" x14ac:dyDescent="0.3">
      <c r="H16119" t="str">
        <f t="shared" si="301"/>
        <v/>
      </c>
    </row>
    <row r="16120" spans="8:8" x14ac:dyDescent="0.3">
      <c r="H16120" t="str">
        <f t="shared" si="301"/>
        <v/>
      </c>
    </row>
    <row r="16121" spans="8:8" x14ac:dyDescent="0.3">
      <c r="H16121" t="str">
        <f t="shared" si="301"/>
        <v/>
      </c>
    </row>
    <row r="16122" spans="8:8" x14ac:dyDescent="0.3">
      <c r="H16122" t="str">
        <f t="shared" si="301"/>
        <v/>
      </c>
    </row>
    <row r="16123" spans="8:8" x14ac:dyDescent="0.3">
      <c r="H16123" t="str">
        <f t="shared" si="301"/>
        <v/>
      </c>
    </row>
    <row r="16124" spans="8:8" x14ac:dyDescent="0.3">
      <c r="H16124" t="str">
        <f t="shared" si="301"/>
        <v/>
      </c>
    </row>
    <row r="16125" spans="8:8" x14ac:dyDescent="0.3">
      <c r="H16125" t="str">
        <f t="shared" si="301"/>
        <v/>
      </c>
    </row>
    <row r="16126" spans="8:8" x14ac:dyDescent="0.3">
      <c r="H16126" t="str">
        <f t="shared" si="301"/>
        <v/>
      </c>
    </row>
    <row r="16127" spans="8:8" x14ac:dyDescent="0.3">
      <c r="H16127" t="str">
        <f t="shared" si="301"/>
        <v/>
      </c>
    </row>
    <row r="16128" spans="8:8" x14ac:dyDescent="0.3">
      <c r="H16128" t="str">
        <f t="shared" si="301"/>
        <v/>
      </c>
    </row>
    <row r="16129" spans="8:8" x14ac:dyDescent="0.3">
      <c r="H16129" t="str">
        <f t="shared" si="301"/>
        <v/>
      </c>
    </row>
    <row r="16130" spans="8:8" x14ac:dyDescent="0.3">
      <c r="H16130" t="str">
        <f t="shared" si="301"/>
        <v/>
      </c>
    </row>
    <row r="16131" spans="8:8" x14ac:dyDescent="0.3">
      <c r="H16131" t="str">
        <f t="shared" si="301"/>
        <v/>
      </c>
    </row>
    <row r="16132" spans="8:8" x14ac:dyDescent="0.3">
      <c r="H16132" t="str">
        <f t="shared" si="301"/>
        <v/>
      </c>
    </row>
    <row r="16133" spans="8:8" x14ac:dyDescent="0.3">
      <c r="H16133" t="str">
        <f t="shared" si="301"/>
        <v/>
      </c>
    </row>
    <row r="16134" spans="8:8" x14ac:dyDescent="0.3">
      <c r="H16134" t="str">
        <f t="shared" si="301"/>
        <v/>
      </c>
    </row>
    <row r="16135" spans="8:8" x14ac:dyDescent="0.3">
      <c r="H16135" t="str">
        <f t="shared" si="301"/>
        <v/>
      </c>
    </row>
    <row r="16136" spans="8:8" x14ac:dyDescent="0.3">
      <c r="H16136" t="str">
        <f t="shared" si="301"/>
        <v/>
      </c>
    </row>
    <row r="16137" spans="8:8" x14ac:dyDescent="0.3">
      <c r="H16137" t="str">
        <f t="shared" si="301"/>
        <v/>
      </c>
    </row>
    <row r="16138" spans="8:8" x14ac:dyDescent="0.3">
      <c r="H16138" t="str">
        <f t="shared" si="301"/>
        <v/>
      </c>
    </row>
    <row r="16139" spans="8:8" x14ac:dyDescent="0.3">
      <c r="H16139" t="str">
        <f t="shared" si="301"/>
        <v/>
      </c>
    </row>
    <row r="16140" spans="8:8" x14ac:dyDescent="0.3">
      <c r="H16140" t="str">
        <f t="shared" si="301"/>
        <v/>
      </c>
    </row>
    <row r="16141" spans="8:8" x14ac:dyDescent="0.3">
      <c r="H16141" t="str">
        <f t="shared" si="301"/>
        <v/>
      </c>
    </row>
    <row r="16142" spans="8:8" x14ac:dyDescent="0.3">
      <c r="H16142" t="str">
        <f t="shared" si="301"/>
        <v/>
      </c>
    </row>
    <row r="16143" spans="8:8" x14ac:dyDescent="0.3">
      <c r="H16143" t="str">
        <f t="shared" si="301"/>
        <v/>
      </c>
    </row>
    <row r="16144" spans="8:8" x14ac:dyDescent="0.3">
      <c r="H16144" t="str">
        <f t="shared" si="301"/>
        <v/>
      </c>
    </row>
    <row r="16145" spans="8:8" x14ac:dyDescent="0.3">
      <c r="H16145" t="str">
        <f t="shared" si="301"/>
        <v/>
      </c>
    </row>
    <row r="16146" spans="8:8" x14ac:dyDescent="0.3">
      <c r="H16146" t="str">
        <f t="shared" si="301"/>
        <v/>
      </c>
    </row>
    <row r="16147" spans="8:8" x14ac:dyDescent="0.3">
      <c r="H16147" t="str">
        <f t="shared" si="301"/>
        <v/>
      </c>
    </row>
    <row r="16148" spans="8:8" x14ac:dyDescent="0.3">
      <c r="H16148" t="str">
        <f t="shared" si="301"/>
        <v/>
      </c>
    </row>
    <row r="16149" spans="8:8" x14ac:dyDescent="0.3">
      <c r="H16149" t="str">
        <f t="shared" si="301"/>
        <v/>
      </c>
    </row>
    <row r="16150" spans="8:8" x14ac:dyDescent="0.3">
      <c r="H16150" t="str">
        <f t="shared" si="301"/>
        <v/>
      </c>
    </row>
    <row r="16151" spans="8:8" x14ac:dyDescent="0.3">
      <c r="H16151" t="str">
        <f t="shared" ref="H16151:H16214" si="302">IF(B16151="","",$C$12)</f>
        <v/>
      </c>
    </row>
    <row r="16152" spans="8:8" x14ac:dyDescent="0.3">
      <c r="H16152" t="str">
        <f t="shared" si="302"/>
        <v/>
      </c>
    </row>
    <row r="16153" spans="8:8" x14ac:dyDescent="0.3">
      <c r="H16153" t="str">
        <f t="shared" si="302"/>
        <v/>
      </c>
    </row>
    <row r="16154" spans="8:8" x14ac:dyDescent="0.3">
      <c r="H16154" t="str">
        <f t="shared" si="302"/>
        <v/>
      </c>
    </row>
    <row r="16155" spans="8:8" x14ac:dyDescent="0.3">
      <c r="H16155" t="str">
        <f t="shared" si="302"/>
        <v/>
      </c>
    </row>
    <row r="16156" spans="8:8" x14ac:dyDescent="0.3">
      <c r="H16156" t="str">
        <f t="shared" si="302"/>
        <v/>
      </c>
    </row>
    <row r="16157" spans="8:8" x14ac:dyDescent="0.3">
      <c r="H16157" t="str">
        <f t="shared" si="302"/>
        <v/>
      </c>
    </row>
    <row r="16158" spans="8:8" x14ac:dyDescent="0.3">
      <c r="H16158" t="str">
        <f t="shared" si="302"/>
        <v/>
      </c>
    </row>
    <row r="16159" spans="8:8" x14ac:dyDescent="0.3">
      <c r="H16159" t="str">
        <f t="shared" si="302"/>
        <v/>
      </c>
    </row>
    <row r="16160" spans="8:8" x14ac:dyDescent="0.3">
      <c r="H16160" t="str">
        <f t="shared" si="302"/>
        <v/>
      </c>
    </row>
    <row r="16161" spans="8:8" x14ac:dyDescent="0.3">
      <c r="H16161" t="str">
        <f t="shared" si="302"/>
        <v/>
      </c>
    </row>
    <row r="16162" spans="8:8" x14ac:dyDescent="0.3">
      <c r="H16162" t="str">
        <f t="shared" si="302"/>
        <v/>
      </c>
    </row>
    <row r="16163" spans="8:8" x14ac:dyDescent="0.3">
      <c r="H16163" t="str">
        <f t="shared" si="302"/>
        <v/>
      </c>
    </row>
    <row r="16164" spans="8:8" x14ac:dyDescent="0.3">
      <c r="H16164" t="str">
        <f t="shared" si="302"/>
        <v/>
      </c>
    </row>
    <row r="16165" spans="8:8" x14ac:dyDescent="0.3">
      <c r="H16165" t="str">
        <f t="shared" si="302"/>
        <v/>
      </c>
    </row>
    <row r="16166" spans="8:8" x14ac:dyDescent="0.3">
      <c r="H16166" t="str">
        <f t="shared" si="302"/>
        <v/>
      </c>
    </row>
    <row r="16167" spans="8:8" x14ac:dyDescent="0.3">
      <c r="H16167" t="str">
        <f t="shared" si="302"/>
        <v/>
      </c>
    </row>
    <row r="16168" spans="8:8" x14ac:dyDescent="0.3">
      <c r="H16168" t="str">
        <f t="shared" si="302"/>
        <v/>
      </c>
    </row>
    <row r="16169" spans="8:8" x14ac:dyDescent="0.3">
      <c r="H16169" t="str">
        <f t="shared" si="302"/>
        <v/>
      </c>
    </row>
    <row r="16170" spans="8:8" x14ac:dyDescent="0.3">
      <c r="H16170" t="str">
        <f t="shared" si="302"/>
        <v/>
      </c>
    </row>
    <row r="16171" spans="8:8" x14ac:dyDescent="0.3">
      <c r="H16171" t="str">
        <f t="shared" si="302"/>
        <v/>
      </c>
    </row>
    <row r="16172" spans="8:8" x14ac:dyDescent="0.3">
      <c r="H16172" t="str">
        <f t="shared" si="302"/>
        <v/>
      </c>
    </row>
    <row r="16173" spans="8:8" x14ac:dyDescent="0.3">
      <c r="H16173" t="str">
        <f t="shared" si="302"/>
        <v/>
      </c>
    </row>
    <row r="16174" spans="8:8" x14ac:dyDescent="0.3">
      <c r="H16174" t="str">
        <f t="shared" si="302"/>
        <v/>
      </c>
    </row>
    <row r="16175" spans="8:8" x14ac:dyDescent="0.3">
      <c r="H16175" t="str">
        <f t="shared" si="302"/>
        <v/>
      </c>
    </row>
    <row r="16176" spans="8:8" x14ac:dyDescent="0.3">
      <c r="H16176" t="str">
        <f t="shared" si="302"/>
        <v/>
      </c>
    </row>
    <row r="16177" spans="8:8" x14ac:dyDescent="0.3">
      <c r="H16177" t="str">
        <f t="shared" si="302"/>
        <v/>
      </c>
    </row>
    <row r="16178" spans="8:8" x14ac:dyDescent="0.3">
      <c r="H16178" t="str">
        <f t="shared" si="302"/>
        <v/>
      </c>
    </row>
    <row r="16179" spans="8:8" x14ac:dyDescent="0.3">
      <c r="H16179" t="str">
        <f t="shared" si="302"/>
        <v/>
      </c>
    </row>
    <row r="16180" spans="8:8" x14ac:dyDescent="0.3">
      <c r="H16180" t="str">
        <f t="shared" si="302"/>
        <v/>
      </c>
    </row>
    <row r="16181" spans="8:8" x14ac:dyDescent="0.3">
      <c r="H16181" t="str">
        <f t="shared" si="302"/>
        <v/>
      </c>
    </row>
    <row r="16182" spans="8:8" x14ac:dyDescent="0.3">
      <c r="H16182" t="str">
        <f t="shared" si="302"/>
        <v/>
      </c>
    </row>
    <row r="16183" spans="8:8" x14ac:dyDescent="0.3">
      <c r="H16183" t="str">
        <f t="shared" si="302"/>
        <v/>
      </c>
    </row>
    <row r="16184" spans="8:8" x14ac:dyDescent="0.3">
      <c r="H16184" t="str">
        <f t="shared" si="302"/>
        <v/>
      </c>
    </row>
    <row r="16185" spans="8:8" x14ac:dyDescent="0.3">
      <c r="H16185" t="str">
        <f t="shared" si="302"/>
        <v/>
      </c>
    </row>
    <row r="16186" spans="8:8" x14ac:dyDescent="0.3">
      <c r="H16186" t="str">
        <f t="shared" si="302"/>
        <v/>
      </c>
    </row>
    <row r="16187" spans="8:8" x14ac:dyDescent="0.3">
      <c r="H16187" t="str">
        <f t="shared" si="302"/>
        <v/>
      </c>
    </row>
    <row r="16188" spans="8:8" x14ac:dyDescent="0.3">
      <c r="H16188" t="str">
        <f t="shared" si="302"/>
        <v/>
      </c>
    </row>
    <row r="16189" spans="8:8" x14ac:dyDescent="0.3">
      <c r="H16189" t="str">
        <f t="shared" si="302"/>
        <v/>
      </c>
    </row>
    <row r="16190" spans="8:8" x14ac:dyDescent="0.3">
      <c r="H16190" t="str">
        <f t="shared" si="302"/>
        <v/>
      </c>
    </row>
    <row r="16191" spans="8:8" x14ac:dyDescent="0.3">
      <c r="H16191" t="str">
        <f t="shared" si="302"/>
        <v/>
      </c>
    </row>
    <row r="16192" spans="8:8" x14ac:dyDescent="0.3">
      <c r="H16192" t="str">
        <f t="shared" si="302"/>
        <v/>
      </c>
    </row>
    <row r="16193" spans="8:8" x14ac:dyDescent="0.3">
      <c r="H16193" t="str">
        <f t="shared" si="302"/>
        <v/>
      </c>
    </row>
    <row r="16194" spans="8:8" x14ac:dyDescent="0.3">
      <c r="H16194" t="str">
        <f t="shared" si="302"/>
        <v/>
      </c>
    </row>
    <row r="16195" spans="8:8" x14ac:dyDescent="0.3">
      <c r="H16195" t="str">
        <f t="shared" si="302"/>
        <v/>
      </c>
    </row>
    <row r="16196" spans="8:8" x14ac:dyDescent="0.3">
      <c r="H16196" t="str">
        <f t="shared" si="302"/>
        <v/>
      </c>
    </row>
    <row r="16197" spans="8:8" x14ac:dyDescent="0.3">
      <c r="H16197" t="str">
        <f t="shared" si="302"/>
        <v/>
      </c>
    </row>
    <row r="16198" spans="8:8" x14ac:dyDescent="0.3">
      <c r="H16198" t="str">
        <f t="shared" si="302"/>
        <v/>
      </c>
    </row>
    <row r="16199" spans="8:8" x14ac:dyDescent="0.3">
      <c r="H16199" t="str">
        <f t="shared" si="302"/>
        <v/>
      </c>
    </row>
    <row r="16200" spans="8:8" x14ac:dyDescent="0.3">
      <c r="H16200" t="str">
        <f t="shared" si="302"/>
        <v/>
      </c>
    </row>
    <row r="16201" spans="8:8" x14ac:dyDescent="0.3">
      <c r="H16201" t="str">
        <f t="shared" si="302"/>
        <v/>
      </c>
    </row>
    <row r="16202" spans="8:8" x14ac:dyDescent="0.3">
      <c r="H16202" t="str">
        <f t="shared" si="302"/>
        <v/>
      </c>
    </row>
    <row r="16203" spans="8:8" x14ac:dyDescent="0.3">
      <c r="H16203" t="str">
        <f t="shared" si="302"/>
        <v/>
      </c>
    </row>
    <row r="16204" spans="8:8" x14ac:dyDescent="0.3">
      <c r="H16204" t="str">
        <f t="shared" si="302"/>
        <v/>
      </c>
    </row>
    <row r="16205" spans="8:8" x14ac:dyDescent="0.3">
      <c r="H16205" t="str">
        <f t="shared" si="302"/>
        <v/>
      </c>
    </row>
    <row r="16206" spans="8:8" x14ac:dyDescent="0.3">
      <c r="H16206" t="str">
        <f t="shared" si="302"/>
        <v/>
      </c>
    </row>
    <row r="16207" spans="8:8" x14ac:dyDescent="0.3">
      <c r="H16207" t="str">
        <f t="shared" si="302"/>
        <v/>
      </c>
    </row>
    <row r="16208" spans="8:8" x14ac:dyDescent="0.3">
      <c r="H16208" t="str">
        <f t="shared" si="302"/>
        <v/>
      </c>
    </row>
    <row r="16209" spans="8:8" x14ac:dyDescent="0.3">
      <c r="H16209" t="str">
        <f t="shared" si="302"/>
        <v/>
      </c>
    </row>
    <row r="16210" spans="8:8" x14ac:dyDescent="0.3">
      <c r="H16210" t="str">
        <f t="shared" si="302"/>
        <v/>
      </c>
    </row>
    <row r="16211" spans="8:8" x14ac:dyDescent="0.3">
      <c r="H16211" t="str">
        <f t="shared" si="302"/>
        <v/>
      </c>
    </row>
    <row r="16212" spans="8:8" x14ac:dyDescent="0.3">
      <c r="H16212" t="str">
        <f t="shared" si="302"/>
        <v/>
      </c>
    </row>
    <row r="16213" spans="8:8" x14ac:dyDescent="0.3">
      <c r="H16213" t="str">
        <f t="shared" si="302"/>
        <v/>
      </c>
    </row>
    <row r="16214" spans="8:8" x14ac:dyDescent="0.3">
      <c r="H16214" t="str">
        <f t="shared" si="302"/>
        <v/>
      </c>
    </row>
    <row r="16215" spans="8:8" x14ac:dyDescent="0.3">
      <c r="H16215" t="str">
        <f t="shared" ref="H16215:H16278" si="303">IF(B16215="","",$C$12)</f>
        <v/>
      </c>
    </row>
    <row r="16216" spans="8:8" x14ac:dyDescent="0.3">
      <c r="H16216" t="str">
        <f t="shared" si="303"/>
        <v/>
      </c>
    </row>
    <row r="16217" spans="8:8" x14ac:dyDescent="0.3">
      <c r="H16217" t="str">
        <f t="shared" si="303"/>
        <v/>
      </c>
    </row>
    <row r="16218" spans="8:8" x14ac:dyDescent="0.3">
      <c r="H16218" t="str">
        <f t="shared" si="303"/>
        <v/>
      </c>
    </row>
    <row r="16219" spans="8:8" x14ac:dyDescent="0.3">
      <c r="H16219" t="str">
        <f t="shared" si="303"/>
        <v/>
      </c>
    </row>
    <row r="16220" spans="8:8" x14ac:dyDescent="0.3">
      <c r="H16220" t="str">
        <f t="shared" si="303"/>
        <v/>
      </c>
    </row>
    <row r="16221" spans="8:8" x14ac:dyDescent="0.3">
      <c r="H16221" t="str">
        <f t="shared" si="303"/>
        <v/>
      </c>
    </row>
    <row r="16222" spans="8:8" x14ac:dyDescent="0.3">
      <c r="H16222" t="str">
        <f t="shared" si="303"/>
        <v/>
      </c>
    </row>
    <row r="16223" spans="8:8" x14ac:dyDescent="0.3">
      <c r="H16223" t="str">
        <f t="shared" si="303"/>
        <v/>
      </c>
    </row>
    <row r="16224" spans="8:8" x14ac:dyDescent="0.3">
      <c r="H16224" t="str">
        <f t="shared" si="303"/>
        <v/>
      </c>
    </row>
    <row r="16225" spans="8:8" x14ac:dyDescent="0.3">
      <c r="H16225" t="str">
        <f t="shared" si="303"/>
        <v/>
      </c>
    </row>
    <row r="16226" spans="8:8" x14ac:dyDescent="0.3">
      <c r="H16226" t="str">
        <f t="shared" si="303"/>
        <v/>
      </c>
    </row>
    <row r="16227" spans="8:8" x14ac:dyDescent="0.3">
      <c r="H16227" t="str">
        <f t="shared" si="303"/>
        <v/>
      </c>
    </row>
    <row r="16228" spans="8:8" x14ac:dyDescent="0.3">
      <c r="H16228" t="str">
        <f t="shared" si="303"/>
        <v/>
      </c>
    </row>
    <row r="16229" spans="8:8" x14ac:dyDescent="0.3">
      <c r="H16229" t="str">
        <f t="shared" si="303"/>
        <v/>
      </c>
    </row>
    <row r="16230" spans="8:8" x14ac:dyDescent="0.3">
      <c r="H16230" t="str">
        <f t="shared" si="303"/>
        <v/>
      </c>
    </row>
    <row r="16231" spans="8:8" x14ac:dyDescent="0.3">
      <c r="H16231" t="str">
        <f t="shared" si="303"/>
        <v/>
      </c>
    </row>
    <row r="16232" spans="8:8" x14ac:dyDescent="0.3">
      <c r="H16232" t="str">
        <f t="shared" si="303"/>
        <v/>
      </c>
    </row>
    <row r="16233" spans="8:8" x14ac:dyDescent="0.3">
      <c r="H16233" t="str">
        <f t="shared" si="303"/>
        <v/>
      </c>
    </row>
    <row r="16234" spans="8:8" x14ac:dyDescent="0.3">
      <c r="H16234" t="str">
        <f t="shared" si="303"/>
        <v/>
      </c>
    </row>
    <row r="16235" spans="8:8" x14ac:dyDescent="0.3">
      <c r="H16235" t="str">
        <f t="shared" si="303"/>
        <v/>
      </c>
    </row>
    <row r="16236" spans="8:8" x14ac:dyDescent="0.3">
      <c r="H16236" t="str">
        <f t="shared" si="303"/>
        <v/>
      </c>
    </row>
    <row r="16237" spans="8:8" x14ac:dyDescent="0.3">
      <c r="H16237" t="str">
        <f t="shared" si="303"/>
        <v/>
      </c>
    </row>
    <row r="16238" spans="8:8" x14ac:dyDescent="0.3">
      <c r="H16238" t="str">
        <f t="shared" si="303"/>
        <v/>
      </c>
    </row>
    <row r="16239" spans="8:8" x14ac:dyDescent="0.3">
      <c r="H16239" t="str">
        <f t="shared" si="303"/>
        <v/>
      </c>
    </row>
    <row r="16240" spans="8:8" x14ac:dyDescent="0.3">
      <c r="H16240" t="str">
        <f t="shared" si="303"/>
        <v/>
      </c>
    </row>
    <row r="16241" spans="8:8" x14ac:dyDescent="0.3">
      <c r="H16241" t="str">
        <f t="shared" si="303"/>
        <v/>
      </c>
    </row>
    <row r="16242" spans="8:8" x14ac:dyDescent="0.3">
      <c r="H16242" t="str">
        <f t="shared" si="303"/>
        <v/>
      </c>
    </row>
    <row r="16243" spans="8:8" x14ac:dyDescent="0.3">
      <c r="H16243" t="str">
        <f t="shared" si="303"/>
        <v/>
      </c>
    </row>
    <row r="16244" spans="8:8" x14ac:dyDescent="0.3">
      <c r="H16244" t="str">
        <f t="shared" si="303"/>
        <v/>
      </c>
    </row>
    <row r="16245" spans="8:8" x14ac:dyDescent="0.3">
      <c r="H16245" t="str">
        <f t="shared" si="303"/>
        <v/>
      </c>
    </row>
    <row r="16246" spans="8:8" x14ac:dyDescent="0.3">
      <c r="H16246" t="str">
        <f t="shared" si="303"/>
        <v/>
      </c>
    </row>
    <row r="16247" spans="8:8" x14ac:dyDescent="0.3">
      <c r="H16247" t="str">
        <f t="shared" si="303"/>
        <v/>
      </c>
    </row>
    <row r="16248" spans="8:8" x14ac:dyDescent="0.3">
      <c r="H16248" t="str">
        <f t="shared" si="303"/>
        <v/>
      </c>
    </row>
    <row r="16249" spans="8:8" x14ac:dyDescent="0.3">
      <c r="H16249" t="str">
        <f t="shared" si="303"/>
        <v/>
      </c>
    </row>
    <row r="16250" spans="8:8" x14ac:dyDescent="0.3">
      <c r="H16250" t="str">
        <f t="shared" si="303"/>
        <v/>
      </c>
    </row>
    <row r="16251" spans="8:8" x14ac:dyDescent="0.3">
      <c r="H16251" t="str">
        <f t="shared" si="303"/>
        <v/>
      </c>
    </row>
    <row r="16252" spans="8:8" x14ac:dyDescent="0.3">
      <c r="H16252" t="str">
        <f t="shared" si="303"/>
        <v/>
      </c>
    </row>
    <row r="16253" spans="8:8" x14ac:dyDescent="0.3">
      <c r="H16253" t="str">
        <f t="shared" si="303"/>
        <v/>
      </c>
    </row>
    <row r="16254" spans="8:8" x14ac:dyDescent="0.3">
      <c r="H16254" t="str">
        <f t="shared" si="303"/>
        <v/>
      </c>
    </row>
    <row r="16255" spans="8:8" x14ac:dyDescent="0.3">
      <c r="H16255" t="str">
        <f t="shared" si="303"/>
        <v/>
      </c>
    </row>
    <row r="16256" spans="8:8" x14ac:dyDescent="0.3">
      <c r="H16256" t="str">
        <f t="shared" si="303"/>
        <v/>
      </c>
    </row>
    <row r="16257" spans="8:8" x14ac:dyDescent="0.3">
      <c r="H16257" t="str">
        <f t="shared" si="303"/>
        <v/>
      </c>
    </row>
    <row r="16258" spans="8:8" x14ac:dyDescent="0.3">
      <c r="H16258" t="str">
        <f t="shared" si="303"/>
        <v/>
      </c>
    </row>
    <row r="16259" spans="8:8" x14ac:dyDescent="0.3">
      <c r="H16259" t="str">
        <f t="shared" si="303"/>
        <v/>
      </c>
    </row>
    <row r="16260" spans="8:8" x14ac:dyDescent="0.3">
      <c r="H16260" t="str">
        <f t="shared" si="303"/>
        <v/>
      </c>
    </row>
    <row r="16261" spans="8:8" x14ac:dyDescent="0.3">
      <c r="H16261" t="str">
        <f t="shared" si="303"/>
        <v/>
      </c>
    </row>
    <row r="16262" spans="8:8" x14ac:dyDescent="0.3">
      <c r="H16262" t="str">
        <f t="shared" si="303"/>
        <v/>
      </c>
    </row>
    <row r="16263" spans="8:8" x14ac:dyDescent="0.3">
      <c r="H16263" t="str">
        <f t="shared" si="303"/>
        <v/>
      </c>
    </row>
    <row r="16264" spans="8:8" x14ac:dyDescent="0.3">
      <c r="H16264" t="str">
        <f t="shared" si="303"/>
        <v/>
      </c>
    </row>
    <row r="16265" spans="8:8" x14ac:dyDescent="0.3">
      <c r="H16265" t="str">
        <f t="shared" si="303"/>
        <v/>
      </c>
    </row>
    <row r="16266" spans="8:8" x14ac:dyDescent="0.3">
      <c r="H16266" t="str">
        <f t="shared" si="303"/>
        <v/>
      </c>
    </row>
    <row r="16267" spans="8:8" x14ac:dyDescent="0.3">
      <c r="H16267" t="str">
        <f t="shared" si="303"/>
        <v/>
      </c>
    </row>
    <row r="16268" spans="8:8" x14ac:dyDescent="0.3">
      <c r="H16268" t="str">
        <f t="shared" si="303"/>
        <v/>
      </c>
    </row>
    <row r="16269" spans="8:8" x14ac:dyDescent="0.3">
      <c r="H16269" t="str">
        <f t="shared" si="303"/>
        <v/>
      </c>
    </row>
    <row r="16270" spans="8:8" x14ac:dyDescent="0.3">
      <c r="H16270" t="str">
        <f t="shared" si="303"/>
        <v/>
      </c>
    </row>
    <row r="16271" spans="8:8" x14ac:dyDescent="0.3">
      <c r="H16271" t="str">
        <f t="shared" si="303"/>
        <v/>
      </c>
    </row>
    <row r="16272" spans="8:8" x14ac:dyDescent="0.3">
      <c r="H16272" t="str">
        <f t="shared" si="303"/>
        <v/>
      </c>
    </row>
    <row r="16273" spans="8:8" x14ac:dyDescent="0.3">
      <c r="H16273" t="str">
        <f t="shared" si="303"/>
        <v/>
      </c>
    </row>
    <row r="16274" spans="8:8" x14ac:dyDescent="0.3">
      <c r="H16274" t="str">
        <f t="shared" si="303"/>
        <v/>
      </c>
    </row>
    <row r="16275" spans="8:8" x14ac:dyDescent="0.3">
      <c r="H16275" t="str">
        <f t="shared" si="303"/>
        <v/>
      </c>
    </row>
    <row r="16276" spans="8:8" x14ac:dyDescent="0.3">
      <c r="H16276" t="str">
        <f t="shared" si="303"/>
        <v/>
      </c>
    </row>
    <row r="16277" spans="8:8" x14ac:dyDescent="0.3">
      <c r="H16277" t="str">
        <f t="shared" si="303"/>
        <v/>
      </c>
    </row>
    <row r="16278" spans="8:8" x14ac:dyDescent="0.3">
      <c r="H16278" t="str">
        <f t="shared" si="303"/>
        <v/>
      </c>
    </row>
    <row r="16279" spans="8:8" x14ac:dyDescent="0.3">
      <c r="H16279" t="str">
        <f t="shared" ref="H16279:H16342" si="304">IF(B16279="","",$C$12)</f>
        <v/>
      </c>
    </row>
    <row r="16280" spans="8:8" x14ac:dyDescent="0.3">
      <c r="H16280" t="str">
        <f t="shared" si="304"/>
        <v/>
      </c>
    </row>
    <row r="16281" spans="8:8" x14ac:dyDescent="0.3">
      <c r="H16281" t="str">
        <f t="shared" si="304"/>
        <v/>
      </c>
    </row>
    <row r="16282" spans="8:8" x14ac:dyDescent="0.3">
      <c r="H16282" t="str">
        <f t="shared" si="304"/>
        <v/>
      </c>
    </row>
    <row r="16283" spans="8:8" x14ac:dyDescent="0.3">
      <c r="H16283" t="str">
        <f t="shared" si="304"/>
        <v/>
      </c>
    </row>
    <row r="16284" spans="8:8" x14ac:dyDescent="0.3">
      <c r="H16284" t="str">
        <f t="shared" si="304"/>
        <v/>
      </c>
    </row>
    <row r="16285" spans="8:8" x14ac:dyDescent="0.3">
      <c r="H16285" t="str">
        <f t="shared" si="304"/>
        <v/>
      </c>
    </row>
    <row r="16286" spans="8:8" x14ac:dyDescent="0.3">
      <c r="H16286" t="str">
        <f t="shared" si="304"/>
        <v/>
      </c>
    </row>
    <row r="16287" spans="8:8" x14ac:dyDescent="0.3">
      <c r="H16287" t="str">
        <f t="shared" si="304"/>
        <v/>
      </c>
    </row>
    <row r="16288" spans="8:8" x14ac:dyDescent="0.3">
      <c r="H16288" t="str">
        <f t="shared" si="304"/>
        <v/>
      </c>
    </row>
    <row r="16289" spans="8:8" x14ac:dyDescent="0.3">
      <c r="H16289" t="str">
        <f t="shared" si="304"/>
        <v/>
      </c>
    </row>
    <row r="16290" spans="8:8" x14ac:dyDescent="0.3">
      <c r="H16290" t="str">
        <f t="shared" si="304"/>
        <v/>
      </c>
    </row>
    <row r="16291" spans="8:8" x14ac:dyDescent="0.3">
      <c r="H16291" t="str">
        <f t="shared" si="304"/>
        <v/>
      </c>
    </row>
    <row r="16292" spans="8:8" x14ac:dyDescent="0.3">
      <c r="H16292" t="str">
        <f t="shared" si="304"/>
        <v/>
      </c>
    </row>
    <row r="16293" spans="8:8" x14ac:dyDescent="0.3">
      <c r="H16293" t="str">
        <f t="shared" si="304"/>
        <v/>
      </c>
    </row>
    <row r="16294" spans="8:8" x14ac:dyDescent="0.3">
      <c r="H16294" t="str">
        <f t="shared" si="304"/>
        <v/>
      </c>
    </row>
    <row r="16295" spans="8:8" x14ac:dyDescent="0.3">
      <c r="H16295" t="str">
        <f t="shared" si="304"/>
        <v/>
      </c>
    </row>
    <row r="16296" spans="8:8" x14ac:dyDescent="0.3">
      <c r="H16296" t="str">
        <f t="shared" si="304"/>
        <v/>
      </c>
    </row>
    <row r="16297" spans="8:8" x14ac:dyDescent="0.3">
      <c r="H16297" t="str">
        <f t="shared" si="304"/>
        <v/>
      </c>
    </row>
    <row r="16298" spans="8:8" x14ac:dyDescent="0.3">
      <c r="H16298" t="str">
        <f t="shared" si="304"/>
        <v/>
      </c>
    </row>
    <row r="16299" spans="8:8" x14ac:dyDescent="0.3">
      <c r="H16299" t="str">
        <f t="shared" si="304"/>
        <v/>
      </c>
    </row>
    <row r="16300" spans="8:8" x14ac:dyDescent="0.3">
      <c r="H16300" t="str">
        <f t="shared" si="304"/>
        <v/>
      </c>
    </row>
    <row r="16301" spans="8:8" x14ac:dyDescent="0.3">
      <c r="H16301" t="str">
        <f t="shared" si="304"/>
        <v/>
      </c>
    </row>
    <row r="16302" spans="8:8" x14ac:dyDescent="0.3">
      <c r="H16302" t="str">
        <f t="shared" si="304"/>
        <v/>
      </c>
    </row>
    <row r="16303" spans="8:8" x14ac:dyDescent="0.3">
      <c r="H16303" t="str">
        <f t="shared" si="304"/>
        <v/>
      </c>
    </row>
    <row r="16304" spans="8:8" x14ac:dyDescent="0.3">
      <c r="H16304" t="str">
        <f t="shared" si="304"/>
        <v/>
      </c>
    </row>
    <row r="16305" spans="8:8" x14ac:dyDescent="0.3">
      <c r="H16305" t="str">
        <f t="shared" si="304"/>
        <v/>
      </c>
    </row>
    <row r="16306" spans="8:8" x14ac:dyDescent="0.3">
      <c r="H16306" t="str">
        <f t="shared" si="304"/>
        <v/>
      </c>
    </row>
    <row r="16307" spans="8:8" x14ac:dyDescent="0.3">
      <c r="H16307" t="str">
        <f t="shared" si="304"/>
        <v/>
      </c>
    </row>
    <row r="16308" spans="8:8" x14ac:dyDescent="0.3">
      <c r="H16308" t="str">
        <f t="shared" si="304"/>
        <v/>
      </c>
    </row>
    <row r="16309" spans="8:8" x14ac:dyDescent="0.3">
      <c r="H16309" t="str">
        <f t="shared" si="304"/>
        <v/>
      </c>
    </row>
    <row r="16310" spans="8:8" x14ac:dyDescent="0.3">
      <c r="H16310" t="str">
        <f t="shared" si="304"/>
        <v/>
      </c>
    </row>
    <row r="16311" spans="8:8" x14ac:dyDescent="0.3">
      <c r="H16311" t="str">
        <f t="shared" si="304"/>
        <v/>
      </c>
    </row>
    <row r="16312" spans="8:8" x14ac:dyDescent="0.3">
      <c r="H16312" t="str">
        <f t="shared" si="304"/>
        <v/>
      </c>
    </row>
    <row r="16313" spans="8:8" x14ac:dyDescent="0.3">
      <c r="H16313" t="str">
        <f t="shared" si="304"/>
        <v/>
      </c>
    </row>
    <row r="16314" spans="8:8" x14ac:dyDescent="0.3">
      <c r="H16314" t="str">
        <f t="shared" si="304"/>
        <v/>
      </c>
    </row>
    <row r="16315" spans="8:8" x14ac:dyDescent="0.3">
      <c r="H16315" t="str">
        <f t="shared" si="304"/>
        <v/>
      </c>
    </row>
    <row r="16316" spans="8:8" x14ac:dyDescent="0.3">
      <c r="H16316" t="str">
        <f t="shared" si="304"/>
        <v/>
      </c>
    </row>
    <row r="16317" spans="8:8" x14ac:dyDescent="0.3">
      <c r="H16317" t="str">
        <f t="shared" si="304"/>
        <v/>
      </c>
    </row>
    <row r="16318" spans="8:8" x14ac:dyDescent="0.3">
      <c r="H16318" t="str">
        <f t="shared" si="304"/>
        <v/>
      </c>
    </row>
    <row r="16319" spans="8:8" x14ac:dyDescent="0.3">
      <c r="H16319" t="str">
        <f t="shared" si="304"/>
        <v/>
      </c>
    </row>
    <row r="16320" spans="8:8" x14ac:dyDescent="0.3">
      <c r="H16320" t="str">
        <f t="shared" si="304"/>
        <v/>
      </c>
    </row>
    <row r="16321" spans="8:8" x14ac:dyDescent="0.3">
      <c r="H16321" t="str">
        <f t="shared" si="304"/>
        <v/>
      </c>
    </row>
    <row r="16322" spans="8:8" x14ac:dyDescent="0.3">
      <c r="H16322" t="str">
        <f t="shared" si="304"/>
        <v/>
      </c>
    </row>
    <row r="16323" spans="8:8" x14ac:dyDescent="0.3">
      <c r="H16323" t="str">
        <f t="shared" si="304"/>
        <v/>
      </c>
    </row>
    <row r="16324" spans="8:8" x14ac:dyDescent="0.3">
      <c r="H16324" t="str">
        <f t="shared" si="304"/>
        <v/>
      </c>
    </row>
    <row r="16325" spans="8:8" x14ac:dyDescent="0.3">
      <c r="H16325" t="str">
        <f t="shared" si="304"/>
        <v/>
      </c>
    </row>
    <row r="16326" spans="8:8" x14ac:dyDescent="0.3">
      <c r="H16326" t="str">
        <f t="shared" si="304"/>
        <v/>
      </c>
    </row>
    <row r="16327" spans="8:8" x14ac:dyDescent="0.3">
      <c r="H16327" t="str">
        <f t="shared" si="304"/>
        <v/>
      </c>
    </row>
    <row r="16328" spans="8:8" x14ac:dyDescent="0.3">
      <c r="H16328" t="str">
        <f t="shared" si="304"/>
        <v/>
      </c>
    </row>
    <row r="16329" spans="8:8" x14ac:dyDescent="0.3">
      <c r="H16329" t="str">
        <f t="shared" si="304"/>
        <v/>
      </c>
    </row>
    <row r="16330" spans="8:8" x14ac:dyDescent="0.3">
      <c r="H16330" t="str">
        <f t="shared" si="304"/>
        <v/>
      </c>
    </row>
    <row r="16331" spans="8:8" x14ac:dyDescent="0.3">
      <c r="H16331" t="str">
        <f t="shared" si="304"/>
        <v/>
      </c>
    </row>
    <row r="16332" spans="8:8" x14ac:dyDescent="0.3">
      <c r="H16332" t="str">
        <f t="shared" si="304"/>
        <v/>
      </c>
    </row>
    <row r="16333" spans="8:8" x14ac:dyDescent="0.3">
      <c r="H16333" t="str">
        <f t="shared" si="304"/>
        <v/>
      </c>
    </row>
    <row r="16334" spans="8:8" x14ac:dyDescent="0.3">
      <c r="H16334" t="str">
        <f t="shared" si="304"/>
        <v/>
      </c>
    </row>
    <row r="16335" spans="8:8" x14ac:dyDescent="0.3">
      <c r="H16335" t="str">
        <f t="shared" si="304"/>
        <v/>
      </c>
    </row>
    <row r="16336" spans="8:8" x14ac:dyDescent="0.3">
      <c r="H16336" t="str">
        <f t="shared" si="304"/>
        <v/>
      </c>
    </row>
    <row r="16337" spans="8:8" x14ac:dyDescent="0.3">
      <c r="H16337" t="str">
        <f t="shared" si="304"/>
        <v/>
      </c>
    </row>
    <row r="16338" spans="8:8" x14ac:dyDescent="0.3">
      <c r="H16338" t="str">
        <f t="shared" si="304"/>
        <v/>
      </c>
    </row>
    <row r="16339" spans="8:8" x14ac:dyDescent="0.3">
      <c r="H16339" t="str">
        <f t="shared" si="304"/>
        <v/>
      </c>
    </row>
    <row r="16340" spans="8:8" x14ac:dyDescent="0.3">
      <c r="H16340" t="str">
        <f t="shared" si="304"/>
        <v/>
      </c>
    </row>
    <row r="16341" spans="8:8" x14ac:dyDescent="0.3">
      <c r="H16341" t="str">
        <f t="shared" si="304"/>
        <v/>
      </c>
    </row>
    <row r="16342" spans="8:8" x14ac:dyDescent="0.3">
      <c r="H16342" t="str">
        <f t="shared" si="304"/>
        <v/>
      </c>
    </row>
    <row r="16343" spans="8:8" x14ac:dyDescent="0.3">
      <c r="H16343" t="str">
        <f t="shared" ref="H16343:H16406" si="305">IF(B16343="","",$C$12)</f>
        <v/>
      </c>
    </row>
    <row r="16344" spans="8:8" x14ac:dyDescent="0.3">
      <c r="H16344" t="str">
        <f t="shared" si="305"/>
        <v/>
      </c>
    </row>
    <row r="16345" spans="8:8" x14ac:dyDescent="0.3">
      <c r="H16345" t="str">
        <f t="shared" si="305"/>
        <v/>
      </c>
    </row>
    <row r="16346" spans="8:8" x14ac:dyDescent="0.3">
      <c r="H16346" t="str">
        <f t="shared" si="305"/>
        <v/>
      </c>
    </row>
    <row r="16347" spans="8:8" x14ac:dyDescent="0.3">
      <c r="H16347" t="str">
        <f t="shared" si="305"/>
        <v/>
      </c>
    </row>
    <row r="16348" spans="8:8" x14ac:dyDescent="0.3">
      <c r="H16348" t="str">
        <f t="shared" si="305"/>
        <v/>
      </c>
    </row>
    <row r="16349" spans="8:8" x14ac:dyDescent="0.3">
      <c r="H16349" t="str">
        <f t="shared" si="305"/>
        <v/>
      </c>
    </row>
    <row r="16350" spans="8:8" x14ac:dyDescent="0.3">
      <c r="H16350" t="str">
        <f t="shared" si="305"/>
        <v/>
      </c>
    </row>
    <row r="16351" spans="8:8" x14ac:dyDescent="0.3">
      <c r="H16351" t="str">
        <f t="shared" si="305"/>
        <v/>
      </c>
    </row>
    <row r="16352" spans="8:8" x14ac:dyDescent="0.3">
      <c r="H16352" t="str">
        <f t="shared" si="305"/>
        <v/>
      </c>
    </row>
    <row r="16353" spans="8:8" x14ac:dyDescent="0.3">
      <c r="H16353" t="str">
        <f t="shared" si="305"/>
        <v/>
      </c>
    </row>
    <row r="16354" spans="8:8" x14ac:dyDescent="0.3">
      <c r="H16354" t="str">
        <f t="shared" si="305"/>
        <v/>
      </c>
    </row>
    <row r="16355" spans="8:8" x14ac:dyDescent="0.3">
      <c r="H16355" t="str">
        <f t="shared" si="305"/>
        <v/>
      </c>
    </row>
    <row r="16356" spans="8:8" x14ac:dyDescent="0.3">
      <c r="H16356" t="str">
        <f t="shared" si="305"/>
        <v/>
      </c>
    </row>
    <row r="16357" spans="8:8" x14ac:dyDescent="0.3">
      <c r="H16357" t="str">
        <f t="shared" si="305"/>
        <v/>
      </c>
    </row>
    <row r="16358" spans="8:8" x14ac:dyDescent="0.3">
      <c r="H16358" t="str">
        <f t="shared" si="305"/>
        <v/>
      </c>
    </row>
    <row r="16359" spans="8:8" x14ac:dyDescent="0.3">
      <c r="H16359" t="str">
        <f t="shared" si="305"/>
        <v/>
      </c>
    </row>
    <row r="16360" spans="8:8" x14ac:dyDescent="0.3">
      <c r="H16360" t="str">
        <f t="shared" si="305"/>
        <v/>
      </c>
    </row>
    <row r="16361" spans="8:8" x14ac:dyDescent="0.3">
      <c r="H16361" t="str">
        <f t="shared" si="305"/>
        <v/>
      </c>
    </row>
    <row r="16362" spans="8:8" x14ac:dyDescent="0.3">
      <c r="H16362" t="str">
        <f t="shared" si="305"/>
        <v/>
      </c>
    </row>
    <row r="16363" spans="8:8" x14ac:dyDescent="0.3">
      <c r="H16363" t="str">
        <f t="shared" si="305"/>
        <v/>
      </c>
    </row>
    <row r="16364" spans="8:8" x14ac:dyDescent="0.3">
      <c r="H16364" t="str">
        <f t="shared" si="305"/>
        <v/>
      </c>
    </row>
    <row r="16365" spans="8:8" x14ac:dyDescent="0.3">
      <c r="H16365" t="str">
        <f t="shared" si="305"/>
        <v/>
      </c>
    </row>
    <row r="16366" spans="8:8" x14ac:dyDescent="0.3">
      <c r="H16366" t="str">
        <f t="shared" si="305"/>
        <v/>
      </c>
    </row>
    <row r="16367" spans="8:8" x14ac:dyDescent="0.3">
      <c r="H16367" t="str">
        <f t="shared" si="305"/>
        <v/>
      </c>
    </row>
    <row r="16368" spans="8:8" x14ac:dyDescent="0.3">
      <c r="H16368" t="str">
        <f t="shared" si="305"/>
        <v/>
      </c>
    </row>
    <row r="16369" spans="8:8" x14ac:dyDescent="0.3">
      <c r="H16369" t="str">
        <f t="shared" si="305"/>
        <v/>
      </c>
    </row>
    <row r="16370" spans="8:8" x14ac:dyDescent="0.3">
      <c r="H16370" t="str">
        <f t="shared" si="305"/>
        <v/>
      </c>
    </row>
    <row r="16371" spans="8:8" x14ac:dyDescent="0.3">
      <c r="H16371" t="str">
        <f t="shared" si="305"/>
        <v/>
      </c>
    </row>
    <row r="16372" spans="8:8" x14ac:dyDescent="0.3">
      <c r="H16372" t="str">
        <f t="shared" si="305"/>
        <v/>
      </c>
    </row>
    <row r="16373" spans="8:8" x14ac:dyDescent="0.3">
      <c r="H16373" t="str">
        <f t="shared" si="305"/>
        <v/>
      </c>
    </row>
    <row r="16374" spans="8:8" x14ac:dyDescent="0.3">
      <c r="H16374" t="str">
        <f t="shared" si="305"/>
        <v/>
      </c>
    </row>
    <row r="16375" spans="8:8" x14ac:dyDescent="0.3">
      <c r="H16375" t="str">
        <f t="shared" si="305"/>
        <v/>
      </c>
    </row>
    <row r="16376" spans="8:8" x14ac:dyDescent="0.3">
      <c r="H16376" t="str">
        <f t="shared" si="305"/>
        <v/>
      </c>
    </row>
    <row r="16377" spans="8:8" x14ac:dyDescent="0.3">
      <c r="H16377" t="str">
        <f t="shared" si="305"/>
        <v/>
      </c>
    </row>
    <row r="16378" spans="8:8" x14ac:dyDescent="0.3">
      <c r="H16378" t="str">
        <f t="shared" si="305"/>
        <v/>
      </c>
    </row>
    <row r="16379" spans="8:8" x14ac:dyDescent="0.3">
      <c r="H16379" t="str">
        <f t="shared" si="305"/>
        <v/>
      </c>
    </row>
    <row r="16380" spans="8:8" x14ac:dyDescent="0.3">
      <c r="H16380" t="str">
        <f t="shared" si="305"/>
        <v/>
      </c>
    </row>
    <row r="16381" spans="8:8" x14ac:dyDescent="0.3">
      <c r="H16381" t="str">
        <f t="shared" si="305"/>
        <v/>
      </c>
    </row>
    <row r="16382" spans="8:8" x14ac:dyDescent="0.3">
      <c r="H16382" t="str">
        <f t="shared" si="305"/>
        <v/>
      </c>
    </row>
    <row r="16383" spans="8:8" x14ac:dyDescent="0.3">
      <c r="H16383" t="str">
        <f t="shared" si="305"/>
        <v/>
      </c>
    </row>
    <row r="16384" spans="8:8" x14ac:dyDescent="0.3">
      <c r="H16384" t="str">
        <f t="shared" si="305"/>
        <v/>
      </c>
    </row>
    <row r="16385" spans="8:8" x14ac:dyDescent="0.3">
      <c r="H16385" t="str">
        <f t="shared" si="305"/>
        <v/>
      </c>
    </row>
    <row r="16386" spans="8:8" x14ac:dyDescent="0.3">
      <c r="H16386" t="str">
        <f t="shared" si="305"/>
        <v/>
      </c>
    </row>
    <row r="16387" spans="8:8" x14ac:dyDescent="0.3">
      <c r="H16387" t="str">
        <f t="shared" si="305"/>
        <v/>
      </c>
    </row>
    <row r="16388" spans="8:8" x14ac:dyDescent="0.3">
      <c r="H16388" t="str">
        <f t="shared" si="305"/>
        <v/>
      </c>
    </row>
    <row r="16389" spans="8:8" x14ac:dyDescent="0.3">
      <c r="H16389" t="str">
        <f t="shared" si="305"/>
        <v/>
      </c>
    </row>
    <row r="16390" spans="8:8" x14ac:dyDescent="0.3">
      <c r="H16390" t="str">
        <f t="shared" si="305"/>
        <v/>
      </c>
    </row>
    <row r="16391" spans="8:8" x14ac:dyDescent="0.3">
      <c r="H16391" t="str">
        <f t="shared" si="305"/>
        <v/>
      </c>
    </row>
    <row r="16392" spans="8:8" x14ac:dyDescent="0.3">
      <c r="H16392" t="str">
        <f t="shared" si="305"/>
        <v/>
      </c>
    </row>
    <row r="16393" spans="8:8" x14ac:dyDescent="0.3">
      <c r="H16393" t="str">
        <f t="shared" si="305"/>
        <v/>
      </c>
    </row>
    <row r="16394" spans="8:8" x14ac:dyDescent="0.3">
      <c r="H16394" t="str">
        <f t="shared" si="305"/>
        <v/>
      </c>
    </row>
    <row r="16395" spans="8:8" x14ac:dyDescent="0.3">
      <c r="H16395" t="str">
        <f t="shared" si="305"/>
        <v/>
      </c>
    </row>
    <row r="16396" spans="8:8" x14ac:dyDescent="0.3">
      <c r="H16396" t="str">
        <f t="shared" si="305"/>
        <v/>
      </c>
    </row>
    <row r="16397" spans="8:8" x14ac:dyDescent="0.3">
      <c r="H16397" t="str">
        <f t="shared" si="305"/>
        <v/>
      </c>
    </row>
    <row r="16398" spans="8:8" x14ac:dyDescent="0.3">
      <c r="H16398" t="str">
        <f t="shared" si="305"/>
        <v/>
      </c>
    </row>
    <row r="16399" spans="8:8" x14ac:dyDescent="0.3">
      <c r="H16399" t="str">
        <f t="shared" si="305"/>
        <v/>
      </c>
    </row>
    <row r="16400" spans="8:8" x14ac:dyDescent="0.3">
      <c r="H16400" t="str">
        <f t="shared" si="305"/>
        <v/>
      </c>
    </row>
    <row r="16401" spans="8:8" x14ac:dyDescent="0.3">
      <c r="H16401" t="str">
        <f t="shared" si="305"/>
        <v/>
      </c>
    </row>
    <row r="16402" spans="8:8" x14ac:dyDescent="0.3">
      <c r="H16402" t="str">
        <f t="shared" si="305"/>
        <v/>
      </c>
    </row>
    <row r="16403" spans="8:8" x14ac:dyDescent="0.3">
      <c r="H16403" t="str">
        <f t="shared" si="305"/>
        <v/>
      </c>
    </row>
    <row r="16404" spans="8:8" x14ac:dyDescent="0.3">
      <c r="H16404" t="str">
        <f t="shared" si="305"/>
        <v/>
      </c>
    </row>
    <row r="16405" spans="8:8" x14ac:dyDescent="0.3">
      <c r="H16405" t="str">
        <f t="shared" si="305"/>
        <v/>
      </c>
    </row>
    <row r="16406" spans="8:8" x14ac:dyDescent="0.3">
      <c r="H16406" t="str">
        <f t="shared" si="305"/>
        <v/>
      </c>
    </row>
    <row r="16407" spans="8:8" x14ac:dyDescent="0.3">
      <c r="H16407" t="str">
        <f t="shared" ref="H16407:H16470" si="306">IF(B16407="","",$C$12)</f>
        <v/>
      </c>
    </row>
    <row r="16408" spans="8:8" x14ac:dyDescent="0.3">
      <c r="H16408" t="str">
        <f t="shared" si="306"/>
        <v/>
      </c>
    </row>
    <row r="16409" spans="8:8" x14ac:dyDescent="0.3">
      <c r="H16409" t="str">
        <f t="shared" si="306"/>
        <v/>
      </c>
    </row>
    <row r="16410" spans="8:8" x14ac:dyDescent="0.3">
      <c r="H16410" t="str">
        <f t="shared" si="306"/>
        <v/>
      </c>
    </row>
    <row r="16411" spans="8:8" x14ac:dyDescent="0.3">
      <c r="H16411" t="str">
        <f t="shared" si="306"/>
        <v/>
      </c>
    </row>
    <row r="16412" spans="8:8" x14ac:dyDescent="0.3">
      <c r="H16412" t="str">
        <f t="shared" si="306"/>
        <v/>
      </c>
    </row>
    <row r="16413" spans="8:8" x14ac:dyDescent="0.3">
      <c r="H16413" t="str">
        <f t="shared" si="306"/>
        <v/>
      </c>
    </row>
    <row r="16414" spans="8:8" x14ac:dyDescent="0.3">
      <c r="H16414" t="str">
        <f t="shared" si="306"/>
        <v/>
      </c>
    </row>
    <row r="16415" spans="8:8" x14ac:dyDescent="0.3">
      <c r="H16415" t="str">
        <f t="shared" si="306"/>
        <v/>
      </c>
    </row>
    <row r="16416" spans="8:8" x14ac:dyDescent="0.3">
      <c r="H16416" t="str">
        <f t="shared" si="306"/>
        <v/>
      </c>
    </row>
    <row r="16417" spans="8:8" x14ac:dyDescent="0.3">
      <c r="H16417" t="str">
        <f t="shared" si="306"/>
        <v/>
      </c>
    </row>
    <row r="16418" spans="8:8" x14ac:dyDescent="0.3">
      <c r="H16418" t="str">
        <f t="shared" si="306"/>
        <v/>
      </c>
    </row>
    <row r="16419" spans="8:8" x14ac:dyDescent="0.3">
      <c r="H16419" t="str">
        <f t="shared" si="306"/>
        <v/>
      </c>
    </row>
    <row r="16420" spans="8:8" x14ac:dyDescent="0.3">
      <c r="H16420" t="str">
        <f t="shared" si="306"/>
        <v/>
      </c>
    </row>
    <row r="16421" spans="8:8" x14ac:dyDescent="0.3">
      <c r="H16421" t="str">
        <f t="shared" si="306"/>
        <v/>
      </c>
    </row>
    <row r="16422" spans="8:8" x14ac:dyDescent="0.3">
      <c r="H16422" t="str">
        <f t="shared" si="306"/>
        <v/>
      </c>
    </row>
    <row r="16423" spans="8:8" x14ac:dyDescent="0.3">
      <c r="H16423" t="str">
        <f t="shared" si="306"/>
        <v/>
      </c>
    </row>
    <row r="16424" spans="8:8" x14ac:dyDescent="0.3">
      <c r="H16424" t="str">
        <f t="shared" si="306"/>
        <v/>
      </c>
    </row>
    <row r="16425" spans="8:8" x14ac:dyDescent="0.3">
      <c r="H16425" t="str">
        <f t="shared" si="306"/>
        <v/>
      </c>
    </row>
    <row r="16426" spans="8:8" x14ac:dyDescent="0.3">
      <c r="H16426" t="str">
        <f t="shared" si="306"/>
        <v/>
      </c>
    </row>
    <row r="16427" spans="8:8" x14ac:dyDescent="0.3">
      <c r="H16427" t="str">
        <f t="shared" si="306"/>
        <v/>
      </c>
    </row>
    <row r="16428" spans="8:8" x14ac:dyDescent="0.3">
      <c r="H16428" t="str">
        <f t="shared" si="306"/>
        <v/>
      </c>
    </row>
    <row r="16429" spans="8:8" x14ac:dyDescent="0.3">
      <c r="H16429" t="str">
        <f t="shared" si="306"/>
        <v/>
      </c>
    </row>
    <row r="16430" spans="8:8" x14ac:dyDescent="0.3">
      <c r="H16430" t="str">
        <f t="shared" si="306"/>
        <v/>
      </c>
    </row>
    <row r="16431" spans="8:8" x14ac:dyDescent="0.3">
      <c r="H16431" t="str">
        <f t="shared" si="306"/>
        <v/>
      </c>
    </row>
    <row r="16432" spans="8:8" x14ac:dyDescent="0.3">
      <c r="H16432" t="str">
        <f t="shared" si="306"/>
        <v/>
      </c>
    </row>
    <row r="16433" spans="8:8" x14ac:dyDescent="0.3">
      <c r="H16433" t="str">
        <f t="shared" si="306"/>
        <v/>
      </c>
    </row>
    <row r="16434" spans="8:8" x14ac:dyDescent="0.3">
      <c r="H16434" t="str">
        <f t="shared" si="306"/>
        <v/>
      </c>
    </row>
    <row r="16435" spans="8:8" x14ac:dyDescent="0.3">
      <c r="H16435" t="str">
        <f t="shared" si="306"/>
        <v/>
      </c>
    </row>
    <row r="16436" spans="8:8" x14ac:dyDescent="0.3">
      <c r="H16436" t="str">
        <f t="shared" si="306"/>
        <v/>
      </c>
    </row>
    <row r="16437" spans="8:8" x14ac:dyDescent="0.3">
      <c r="H16437" t="str">
        <f t="shared" si="306"/>
        <v/>
      </c>
    </row>
    <row r="16438" spans="8:8" x14ac:dyDescent="0.3">
      <c r="H16438" t="str">
        <f t="shared" si="306"/>
        <v/>
      </c>
    </row>
    <row r="16439" spans="8:8" x14ac:dyDescent="0.3">
      <c r="H16439" t="str">
        <f t="shared" si="306"/>
        <v/>
      </c>
    </row>
    <row r="16440" spans="8:8" x14ac:dyDescent="0.3">
      <c r="H16440" t="str">
        <f t="shared" si="306"/>
        <v/>
      </c>
    </row>
    <row r="16441" spans="8:8" x14ac:dyDescent="0.3">
      <c r="H16441" t="str">
        <f t="shared" si="306"/>
        <v/>
      </c>
    </row>
    <row r="16442" spans="8:8" x14ac:dyDescent="0.3">
      <c r="H16442" t="str">
        <f t="shared" si="306"/>
        <v/>
      </c>
    </row>
    <row r="16443" spans="8:8" x14ac:dyDescent="0.3">
      <c r="H16443" t="str">
        <f t="shared" si="306"/>
        <v/>
      </c>
    </row>
    <row r="16444" spans="8:8" x14ac:dyDescent="0.3">
      <c r="H16444" t="str">
        <f t="shared" si="306"/>
        <v/>
      </c>
    </row>
    <row r="16445" spans="8:8" x14ac:dyDescent="0.3">
      <c r="H16445" t="str">
        <f t="shared" si="306"/>
        <v/>
      </c>
    </row>
    <row r="16446" spans="8:8" x14ac:dyDescent="0.3">
      <c r="H16446" t="str">
        <f t="shared" si="306"/>
        <v/>
      </c>
    </row>
    <row r="16447" spans="8:8" x14ac:dyDescent="0.3">
      <c r="H16447" t="str">
        <f t="shared" si="306"/>
        <v/>
      </c>
    </row>
    <row r="16448" spans="8:8" x14ac:dyDescent="0.3">
      <c r="H16448" t="str">
        <f t="shared" si="306"/>
        <v/>
      </c>
    </row>
    <row r="16449" spans="8:8" x14ac:dyDescent="0.3">
      <c r="H16449" t="str">
        <f t="shared" si="306"/>
        <v/>
      </c>
    </row>
    <row r="16450" spans="8:8" x14ac:dyDescent="0.3">
      <c r="H16450" t="str">
        <f t="shared" si="306"/>
        <v/>
      </c>
    </row>
    <row r="16451" spans="8:8" x14ac:dyDescent="0.3">
      <c r="H16451" t="str">
        <f t="shared" si="306"/>
        <v/>
      </c>
    </row>
    <row r="16452" spans="8:8" x14ac:dyDescent="0.3">
      <c r="H16452" t="str">
        <f t="shared" si="306"/>
        <v/>
      </c>
    </row>
    <row r="16453" spans="8:8" x14ac:dyDescent="0.3">
      <c r="H16453" t="str">
        <f t="shared" si="306"/>
        <v/>
      </c>
    </row>
    <row r="16454" spans="8:8" x14ac:dyDescent="0.3">
      <c r="H16454" t="str">
        <f t="shared" si="306"/>
        <v/>
      </c>
    </row>
    <row r="16455" spans="8:8" x14ac:dyDescent="0.3">
      <c r="H16455" t="str">
        <f t="shared" si="306"/>
        <v/>
      </c>
    </row>
    <row r="16456" spans="8:8" x14ac:dyDescent="0.3">
      <c r="H16456" t="str">
        <f t="shared" si="306"/>
        <v/>
      </c>
    </row>
    <row r="16457" spans="8:8" x14ac:dyDescent="0.3">
      <c r="H16457" t="str">
        <f t="shared" si="306"/>
        <v/>
      </c>
    </row>
    <row r="16458" spans="8:8" x14ac:dyDescent="0.3">
      <c r="H16458" t="str">
        <f t="shared" si="306"/>
        <v/>
      </c>
    </row>
    <row r="16459" spans="8:8" x14ac:dyDescent="0.3">
      <c r="H16459" t="str">
        <f t="shared" si="306"/>
        <v/>
      </c>
    </row>
    <row r="16460" spans="8:8" x14ac:dyDescent="0.3">
      <c r="H16460" t="str">
        <f t="shared" si="306"/>
        <v/>
      </c>
    </row>
    <row r="16461" spans="8:8" x14ac:dyDescent="0.3">
      <c r="H16461" t="str">
        <f t="shared" si="306"/>
        <v/>
      </c>
    </row>
    <row r="16462" spans="8:8" x14ac:dyDescent="0.3">
      <c r="H16462" t="str">
        <f t="shared" si="306"/>
        <v/>
      </c>
    </row>
    <row r="16463" spans="8:8" x14ac:dyDescent="0.3">
      <c r="H16463" t="str">
        <f t="shared" si="306"/>
        <v/>
      </c>
    </row>
    <row r="16464" spans="8:8" x14ac:dyDescent="0.3">
      <c r="H16464" t="str">
        <f t="shared" si="306"/>
        <v/>
      </c>
    </row>
    <row r="16465" spans="8:8" x14ac:dyDescent="0.3">
      <c r="H16465" t="str">
        <f t="shared" si="306"/>
        <v/>
      </c>
    </row>
    <row r="16466" spans="8:8" x14ac:dyDescent="0.3">
      <c r="H16466" t="str">
        <f t="shared" si="306"/>
        <v/>
      </c>
    </row>
    <row r="16467" spans="8:8" x14ac:dyDescent="0.3">
      <c r="H16467" t="str">
        <f t="shared" si="306"/>
        <v/>
      </c>
    </row>
    <row r="16468" spans="8:8" x14ac:dyDescent="0.3">
      <c r="H16468" t="str">
        <f t="shared" si="306"/>
        <v/>
      </c>
    </row>
    <row r="16469" spans="8:8" x14ac:dyDescent="0.3">
      <c r="H16469" t="str">
        <f t="shared" si="306"/>
        <v/>
      </c>
    </row>
    <row r="16470" spans="8:8" x14ac:dyDescent="0.3">
      <c r="H16470" t="str">
        <f t="shared" si="306"/>
        <v/>
      </c>
    </row>
    <row r="16471" spans="8:8" x14ac:dyDescent="0.3">
      <c r="H16471" t="str">
        <f t="shared" ref="H16471:H16534" si="307">IF(B16471="","",$C$12)</f>
        <v/>
      </c>
    </row>
    <row r="16472" spans="8:8" x14ac:dyDescent="0.3">
      <c r="H16472" t="str">
        <f t="shared" si="307"/>
        <v/>
      </c>
    </row>
    <row r="16473" spans="8:8" x14ac:dyDescent="0.3">
      <c r="H16473" t="str">
        <f t="shared" si="307"/>
        <v/>
      </c>
    </row>
    <row r="16474" spans="8:8" x14ac:dyDescent="0.3">
      <c r="H16474" t="str">
        <f t="shared" si="307"/>
        <v/>
      </c>
    </row>
    <row r="16475" spans="8:8" x14ac:dyDescent="0.3">
      <c r="H16475" t="str">
        <f t="shared" si="307"/>
        <v/>
      </c>
    </row>
    <row r="16476" spans="8:8" x14ac:dyDescent="0.3">
      <c r="H16476" t="str">
        <f t="shared" si="307"/>
        <v/>
      </c>
    </row>
    <row r="16477" spans="8:8" x14ac:dyDescent="0.3">
      <c r="H16477" t="str">
        <f t="shared" si="307"/>
        <v/>
      </c>
    </row>
    <row r="16478" spans="8:8" x14ac:dyDescent="0.3">
      <c r="H16478" t="str">
        <f t="shared" si="307"/>
        <v/>
      </c>
    </row>
    <row r="16479" spans="8:8" x14ac:dyDescent="0.3">
      <c r="H16479" t="str">
        <f t="shared" si="307"/>
        <v/>
      </c>
    </row>
    <row r="16480" spans="8:8" x14ac:dyDescent="0.3">
      <c r="H16480" t="str">
        <f t="shared" si="307"/>
        <v/>
      </c>
    </row>
    <row r="16481" spans="8:8" x14ac:dyDescent="0.3">
      <c r="H16481" t="str">
        <f t="shared" si="307"/>
        <v/>
      </c>
    </row>
    <row r="16482" spans="8:8" x14ac:dyDescent="0.3">
      <c r="H16482" t="str">
        <f t="shared" si="307"/>
        <v/>
      </c>
    </row>
    <row r="16483" spans="8:8" x14ac:dyDescent="0.3">
      <c r="H16483" t="str">
        <f t="shared" si="307"/>
        <v/>
      </c>
    </row>
    <row r="16484" spans="8:8" x14ac:dyDescent="0.3">
      <c r="H16484" t="str">
        <f t="shared" si="307"/>
        <v/>
      </c>
    </row>
    <row r="16485" spans="8:8" x14ac:dyDescent="0.3">
      <c r="H16485" t="str">
        <f t="shared" si="307"/>
        <v/>
      </c>
    </row>
    <row r="16486" spans="8:8" x14ac:dyDescent="0.3">
      <c r="H16486" t="str">
        <f t="shared" si="307"/>
        <v/>
      </c>
    </row>
    <row r="16487" spans="8:8" x14ac:dyDescent="0.3">
      <c r="H16487" t="str">
        <f t="shared" si="307"/>
        <v/>
      </c>
    </row>
    <row r="16488" spans="8:8" x14ac:dyDescent="0.3">
      <c r="H16488" t="str">
        <f t="shared" si="307"/>
        <v/>
      </c>
    </row>
    <row r="16489" spans="8:8" x14ac:dyDescent="0.3">
      <c r="H16489" t="str">
        <f t="shared" si="307"/>
        <v/>
      </c>
    </row>
    <row r="16490" spans="8:8" x14ac:dyDescent="0.3">
      <c r="H16490" t="str">
        <f t="shared" si="307"/>
        <v/>
      </c>
    </row>
    <row r="16491" spans="8:8" x14ac:dyDescent="0.3">
      <c r="H16491" t="str">
        <f t="shared" si="307"/>
        <v/>
      </c>
    </row>
    <row r="16492" spans="8:8" x14ac:dyDescent="0.3">
      <c r="H16492" t="str">
        <f t="shared" si="307"/>
        <v/>
      </c>
    </row>
    <row r="16493" spans="8:8" x14ac:dyDescent="0.3">
      <c r="H16493" t="str">
        <f t="shared" si="307"/>
        <v/>
      </c>
    </row>
    <row r="16494" spans="8:8" x14ac:dyDescent="0.3">
      <c r="H16494" t="str">
        <f t="shared" si="307"/>
        <v/>
      </c>
    </row>
    <row r="16495" spans="8:8" x14ac:dyDescent="0.3">
      <c r="H16495" t="str">
        <f t="shared" si="307"/>
        <v/>
      </c>
    </row>
    <row r="16496" spans="8:8" x14ac:dyDescent="0.3">
      <c r="H16496" t="str">
        <f t="shared" si="307"/>
        <v/>
      </c>
    </row>
    <row r="16497" spans="8:8" x14ac:dyDescent="0.3">
      <c r="H16497" t="str">
        <f t="shared" si="307"/>
        <v/>
      </c>
    </row>
    <row r="16498" spans="8:8" x14ac:dyDescent="0.3">
      <c r="H16498" t="str">
        <f t="shared" si="307"/>
        <v/>
      </c>
    </row>
    <row r="16499" spans="8:8" x14ac:dyDescent="0.3">
      <c r="H16499" t="str">
        <f t="shared" si="307"/>
        <v/>
      </c>
    </row>
    <row r="16500" spans="8:8" x14ac:dyDescent="0.3">
      <c r="H16500" t="str">
        <f t="shared" si="307"/>
        <v/>
      </c>
    </row>
    <row r="16501" spans="8:8" x14ac:dyDescent="0.3">
      <c r="H16501" t="str">
        <f t="shared" si="307"/>
        <v/>
      </c>
    </row>
    <row r="16502" spans="8:8" x14ac:dyDescent="0.3">
      <c r="H16502" t="str">
        <f t="shared" si="307"/>
        <v/>
      </c>
    </row>
    <row r="16503" spans="8:8" x14ac:dyDescent="0.3">
      <c r="H16503" t="str">
        <f t="shared" si="307"/>
        <v/>
      </c>
    </row>
    <row r="16504" spans="8:8" x14ac:dyDescent="0.3">
      <c r="H16504" t="str">
        <f t="shared" si="307"/>
        <v/>
      </c>
    </row>
    <row r="16505" spans="8:8" x14ac:dyDescent="0.3">
      <c r="H16505" t="str">
        <f t="shared" si="307"/>
        <v/>
      </c>
    </row>
    <row r="16506" spans="8:8" x14ac:dyDescent="0.3">
      <c r="H16506" t="str">
        <f t="shared" si="307"/>
        <v/>
      </c>
    </row>
    <row r="16507" spans="8:8" x14ac:dyDescent="0.3">
      <c r="H16507" t="str">
        <f t="shared" si="307"/>
        <v/>
      </c>
    </row>
    <row r="16508" spans="8:8" x14ac:dyDescent="0.3">
      <c r="H16508" t="str">
        <f t="shared" si="307"/>
        <v/>
      </c>
    </row>
    <row r="16509" spans="8:8" x14ac:dyDescent="0.3">
      <c r="H16509" t="str">
        <f t="shared" si="307"/>
        <v/>
      </c>
    </row>
    <row r="16510" spans="8:8" x14ac:dyDescent="0.3">
      <c r="H16510" t="str">
        <f t="shared" si="307"/>
        <v/>
      </c>
    </row>
    <row r="16511" spans="8:8" x14ac:dyDescent="0.3">
      <c r="H16511" t="str">
        <f t="shared" si="307"/>
        <v/>
      </c>
    </row>
    <row r="16512" spans="8:8" x14ac:dyDescent="0.3">
      <c r="H16512" t="str">
        <f t="shared" si="307"/>
        <v/>
      </c>
    </row>
    <row r="16513" spans="8:8" x14ac:dyDescent="0.3">
      <c r="H16513" t="str">
        <f t="shared" si="307"/>
        <v/>
      </c>
    </row>
    <row r="16514" spans="8:8" x14ac:dyDescent="0.3">
      <c r="H16514" t="str">
        <f t="shared" si="307"/>
        <v/>
      </c>
    </row>
    <row r="16515" spans="8:8" x14ac:dyDescent="0.3">
      <c r="H16515" t="str">
        <f t="shared" si="307"/>
        <v/>
      </c>
    </row>
    <row r="16516" spans="8:8" x14ac:dyDescent="0.3">
      <c r="H16516" t="str">
        <f t="shared" si="307"/>
        <v/>
      </c>
    </row>
    <row r="16517" spans="8:8" x14ac:dyDescent="0.3">
      <c r="H16517" t="str">
        <f t="shared" si="307"/>
        <v/>
      </c>
    </row>
    <row r="16518" spans="8:8" x14ac:dyDescent="0.3">
      <c r="H16518" t="str">
        <f t="shared" si="307"/>
        <v/>
      </c>
    </row>
    <row r="16519" spans="8:8" x14ac:dyDescent="0.3">
      <c r="H16519" t="str">
        <f t="shared" si="307"/>
        <v/>
      </c>
    </row>
    <row r="16520" spans="8:8" x14ac:dyDescent="0.3">
      <c r="H16520" t="str">
        <f t="shared" si="307"/>
        <v/>
      </c>
    </row>
    <row r="16521" spans="8:8" x14ac:dyDescent="0.3">
      <c r="H16521" t="str">
        <f t="shared" si="307"/>
        <v/>
      </c>
    </row>
    <row r="16522" spans="8:8" x14ac:dyDescent="0.3">
      <c r="H16522" t="str">
        <f t="shared" si="307"/>
        <v/>
      </c>
    </row>
    <row r="16523" spans="8:8" x14ac:dyDescent="0.3">
      <c r="H16523" t="str">
        <f t="shared" si="307"/>
        <v/>
      </c>
    </row>
    <row r="16524" spans="8:8" x14ac:dyDescent="0.3">
      <c r="H16524" t="str">
        <f t="shared" si="307"/>
        <v/>
      </c>
    </row>
    <row r="16525" spans="8:8" x14ac:dyDescent="0.3">
      <c r="H16525" t="str">
        <f t="shared" si="307"/>
        <v/>
      </c>
    </row>
    <row r="16526" spans="8:8" x14ac:dyDescent="0.3">
      <c r="H16526" t="str">
        <f t="shared" si="307"/>
        <v/>
      </c>
    </row>
    <row r="16527" spans="8:8" x14ac:dyDescent="0.3">
      <c r="H16527" t="str">
        <f t="shared" si="307"/>
        <v/>
      </c>
    </row>
    <row r="16528" spans="8:8" x14ac:dyDescent="0.3">
      <c r="H16528" t="str">
        <f t="shared" si="307"/>
        <v/>
      </c>
    </row>
    <row r="16529" spans="8:8" x14ac:dyDescent="0.3">
      <c r="H16529" t="str">
        <f t="shared" si="307"/>
        <v/>
      </c>
    </row>
    <row r="16530" spans="8:8" x14ac:dyDescent="0.3">
      <c r="H16530" t="str">
        <f t="shared" si="307"/>
        <v/>
      </c>
    </row>
    <row r="16531" spans="8:8" x14ac:dyDescent="0.3">
      <c r="H16531" t="str">
        <f t="shared" si="307"/>
        <v/>
      </c>
    </row>
    <row r="16532" spans="8:8" x14ac:dyDescent="0.3">
      <c r="H16532" t="str">
        <f t="shared" si="307"/>
        <v/>
      </c>
    </row>
    <row r="16533" spans="8:8" x14ac:dyDescent="0.3">
      <c r="H16533" t="str">
        <f t="shared" si="307"/>
        <v/>
      </c>
    </row>
    <row r="16534" spans="8:8" x14ac:dyDescent="0.3">
      <c r="H16534" t="str">
        <f t="shared" si="307"/>
        <v/>
      </c>
    </row>
    <row r="16535" spans="8:8" x14ac:dyDescent="0.3">
      <c r="H16535" t="str">
        <f t="shared" ref="H16535:H16598" si="308">IF(B16535="","",$C$12)</f>
        <v/>
      </c>
    </row>
    <row r="16536" spans="8:8" x14ac:dyDescent="0.3">
      <c r="H16536" t="str">
        <f t="shared" si="308"/>
        <v/>
      </c>
    </row>
    <row r="16537" spans="8:8" x14ac:dyDescent="0.3">
      <c r="H16537" t="str">
        <f t="shared" si="308"/>
        <v/>
      </c>
    </row>
    <row r="16538" spans="8:8" x14ac:dyDescent="0.3">
      <c r="H16538" t="str">
        <f t="shared" si="308"/>
        <v/>
      </c>
    </row>
    <row r="16539" spans="8:8" x14ac:dyDescent="0.3">
      <c r="H16539" t="str">
        <f t="shared" si="308"/>
        <v/>
      </c>
    </row>
    <row r="16540" spans="8:8" x14ac:dyDescent="0.3">
      <c r="H16540" t="str">
        <f t="shared" si="308"/>
        <v/>
      </c>
    </row>
    <row r="16541" spans="8:8" x14ac:dyDescent="0.3">
      <c r="H16541" t="str">
        <f t="shared" si="308"/>
        <v/>
      </c>
    </row>
    <row r="16542" spans="8:8" x14ac:dyDescent="0.3">
      <c r="H16542" t="str">
        <f t="shared" si="308"/>
        <v/>
      </c>
    </row>
    <row r="16543" spans="8:8" x14ac:dyDescent="0.3">
      <c r="H16543" t="str">
        <f t="shared" si="308"/>
        <v/>
      </c>
    </row>
    <row r="16544" spans="8:8" x14ac:dyDescent="0.3">
      <c r="H16544" t="str">
        <f t="shared" si="308"/>
        <v/>
      </c>
    </row>
    <row r="16545" spans="8:8" x14ac:dyDescent="0.3">
      <c r="H16545" t="str">
        <f t="shared" si="308"/>
        <v/>
      </c>
    </row>
    <row r="16546" spans="8:8" x14ac:dyDescent="0.3">
      <c r="H16546" t="str">
        <f t="shared" si="308"/>
        <v/>
      </c>
    </row>
    <row r="16547" spans="8:8" x14ac:dyDescent="0.3">
      <c r="H16547" t="str">
        <f t="shared" si="308"/>
        <v/>
      </c>
    </row>
    <row r="16548" spans="8:8" x14ac:dyDescent="0.3">
      <c r="H16548" t="str">
        <f t="shared" si="308"/>
        <v/>
      </c>
    </row>
    <row r="16549" spans="8:8" x14ac:dyDescent="0.3">
      <c r="H16549" t="str">
        <f t="shared" si="308"/>
        <v/>
      </c>
    </row>
    <row r="16550" spans="8:8" x14ac:dyDescent="0.3">
      <c r="H16550" t="str">
        <f t="shared" si="308"/>
        <v/>
      </c>
    </row>
    <row r="16551" spans="8:8" x14ac:dyDescent="0.3">
      <c r="H16551" t="str">
        <f t="shared" si="308"/>
        <v/>
      </c>
    </row>
    <row r="16552" spans="8:8" x14ac:dyDescent="0.3">
      <c r="H16552" t="str">
        <f t="shared" si="308"/>
        <v/>
      </c>
    </row>
    <row r="16553" spans="8:8" x14ac:dyDescent="0.3">
      <c r="H16553" t="str">
        <f t="shared" si="308"/>
        <v/>
      </c>
    </row>
    <row r="16554" spans="8:8" x14ac:dyDescent="0.3">
      <c r="H16554" t="str">
        <f t="shared" si="308"/>
        <v/>
      </c>
    </row>
    <row r="16555" spans="8:8" x14ac:dyDescent="0.3">
      <c r="H16555" t="str">
        <f t="shared" si="308"/>
        <v/>
      </c>
    </row>
    <row r="16556" spans="8:8" x14ac:dyDescent="0.3">
      <c r="H16556" t="str">
        <f t="shared" si="308"/>
        <v/>
      </c>
    </row>
    <row r="16557" spans="8:8" x14ac:dyDescent="0.3">
      <c r="H16557" t="str">
        <f t="shared" si="308"/>
        <v/>
      </c>
    </row>
    <row r="16558" spans="8:8" x14ac:dyDescent="0.3">
      <c r="H16558" t="str">
        <f t="shared" si="308"/>
        <v/>
      </c>
    </row>
    <row r="16559" spans="8:8" x14ac:dyDescent="0.3">
      <c r="H16559" t="str">
        <f t="shared" si="308"/>
        <v/>
      </c>
    </row>
    <row r="16560" spans="8:8" x14ac:dyDescent="0.3">
      <c r="H16560" t="str">
        <f t="shared" si="308"/>
        <v/>
      </c>
    </row>
    <row r="16561" spans="8:8" x14ac:dyDescent="0.3">
      <c r="H16561" t="str">
        <f t="shared" si="308"/>
        <v/>
      </c>
    </row>
    <row r="16562" spans="8:8" x14ac:dyDescent="0.3">
      <c r="H16562" t="str">
        <f t="shared" si="308"/>
        <v/>
      </c>
    </row>
    <row r="16563" spans="8:8" x14ac:dyDescent="0.3">
      <c r="H16563" t="str">
        <f t="shared" si="308"/>
        <v/>
      </c>
    </row>
    <row r="16564" spans="8:8" x14ac:dyDescent="0.3">
      <c r="H16564" t="str">
        <f t="shared" si="308"/>
        <v/>
      </c>
    </row>
    <row r="16565" spans="8:8" x14ac:dyDescent="0.3">
      <c r="H16565" t="str">
        <f t="shared" si="308"/>
        <v/>
      </c>
    </row>
    <row r="16566" spans="8:8" x14ac:dyDescent="0.3">
      <c r="H16566" t="str">
        <f t="shared" si="308"/>
        <v/>
      </c>
    </row>
    <row r="16567" spans="8:8" x14ac:dyDescent="0.3">
      <c r="H16567" t="str">
        <f t="shared" si="308"/>
        <v/>
      </c>
    </row>
    <row r="16568" spans="8:8" x14ac:dyDescent="0.3">
      <c r="H16568" t="str">
        <f t="shared" si="308"/>
        <v/>
      </c>
    </row>
    <row r="16569" spans="8:8" x14ac:dyDescent="0.3">
      <c r="H16569" t="str">
        <f t="shared" si="308"/>
        <v/>
      </c>
    </row>
    <row r="16570" spans="8:8" x14ac:dyDescent="0.3">
      <c r="H16570" t="str">
        <f t="shared" si="308"/>
        <v/>
      </c>
    </row>
    <row r="16571" spans="8:8" x14ac:dyDescent="0.3">
      <c r="H16571" t="str">
        <f t="shared" si="308"/>
        <v/>
      </c>
    </row>
    <row r="16572" spans="8:8" x14ac:dyDescent="0.3">
      <c r="H16572" t="str">
        <f t="shared" si="308"/>
        <v/>
      </c>
    </row>
    <row r="16573" spans="8:8" x14ac:dyDescent="0.3">
      <c r="H16573" t="str">
        <f t="shared" si="308"/>
        <v/>
      </c>
    </row>
    <row r="16574" spans="8:8" x14ac:dyDescent="0.3">
      <c r="H16574" t="str">
        <f t="shared" si="308"/>
        <v/>
      </c>
    </row>
    <row r="16575" spans="8:8" x14ac:dyDescent="0.3">
      <c r="H16575" t="str">
        <f t="shared" si="308"/>
        <v/>
      </c>
    </row>
    <row r="16576" spans="8:8" x14ac:dyDescent="0.3">
      <c r="H16576" t="str">
        <f t="shared" si="308"/>
        <v/>
      </c>
    </row>
    <row r="16577" spans="8:8" x14ac:dyDescent="0.3">
      <c r="H16577" t="str">
        <f t="shared" si="308"/>
        <v/>
      </c>
    </row>
    <row r="16578" spans="8:8" x14ac:dyDescent="0.3">
      <c r="H16578" t="str">
        <f t="shared" si="308"/>
        <v/>
      </c>
    </row>
    <row r="16579" spans="8:8" x14ac:dyDescent="0.3">
      <c r="H16579" t="str">
        <f t="shared" si="308"/>
        <v/>
      </c>
    </row>
    <row r="16580" spans="8:8" x14ac:dyDescent="0.3">
      <c r="H16580" t="str">
        <f t="shared" si="308"/>
        <v/>
      </c>
    </row>
    <row r="16581" spans="8:8" x14ac:dyDescent="0.3">
      <c r="H16581" t="str">
        <f t="shared" si="308"/>
        <v/>
      </c>
    </row>
    <row r="16582" spans="8:8" x14ac:dyDescent="0.3">
      <c r="H16582" t="str">
        <f t="shared" si="308"/>
        <v/>
      </c>
    </row>
    <row r="16583" spans="8:8" x14ac:dyDescent="0.3">
      <c r="H16583" t="str">
        <f t="shared" si="308"/>
        <v/>
      </c>
    </row>
    <row r="16584" spans="8:8" x14ac:dyDescent="0.3">
      <c r="H16584" t="str">
        <f t="shared" si="308"/>
        <v/>
      </c>
    </row>
    <row r="16585" spans="8:8" x14ac:dyDescent="0.3">
      <c r="H16585" t="str">
        <f t="shared" si="308"/>
        <v/>
      </c>
    </row>
    <row r="16586" spans="8:8" x14ac:dyDescent="0.3">
      <c r="H16586" t="str">
        <f t="shared" si="308"/>
        <v/>
      </c>
    </row>
    <row r="16587" spans="8:8" x14ac:dyDescent="0.3">
      <c r="H16587" t="str">
        <f t="shared" si="308"/>
        <v/>
      </c>
    </row>
    <row r="16588" spans="8:8" x14ac:dyDescent="0.3">
      <c r="H16588" t="str">
        <f t="shared" si="308"/>
        <v/>
      </c>
    </row>
    <row r="16589" spans="8:8" x14ac:dyDescent="0.3">
      <c r="H16589" t="str">
        <f t="shared" si="308"/>
        <v/>
      </c>
    </row>
    <row r="16590" spans="8:8" x14ac:dyDescent="0.3">
      <c r="H16590" t="str">
        <f t="shared" si="308"/>
        <v/>
      </c>
    </row>
    <row r="16591" spans="8:8" x14ac:dyDescent="0.3">
      <c r="H16591" t="str">
        <f t="shared" si="308"/>
        <v/>
      </c>
    </row>
    <row r="16592" spans="8:8" x14ac:dyDescent="0.3">
      <c r="H16592" t="str">
        <f t="shared" si="308"/>
        <v/>
      </c>
    </row>
    <row r="16593" spans="8:8" x14ac:dyDescent="0.3">
      <c r="H16593" t="str">
        <f t="shared" si="308"/>
        <v/>
      </c>
    </row>
    <row r="16594" spans="8:8" x14ac:dyDescent="0.3">
      <c r="H16594" t="str">
        <f t="shared" si="308"/>
        <v/>
      </c>
    </row>
    <row r="16595" spans="8:8" x14ac:dyDescent="0.3">
      <c r="H16595" t="str">
        <f t="shared" si="308"/>
        <v/>
      </c>
    </row>
    <row r="16596" spans="8:8" x14ac:dyDescent="0.3">
      <c r="H16596" t="str">
        <f t="shared" si="308"/>
        <v/>
      </c>
    </row>
    <row r="16597" spans="8:8" x14ac:dyDescent="0.3">
      <c r="H16597" t="str">
        <f t="shared" si="308"/>
        <v/>
      </c>
    </row>
    <row r="16598" spans="8:8" x14ac:dyDescent="0.3">
      <c r="H16598" t="str">
        <f t="shared" si="308"/>
        <v/>
      </c>
    </row>
    <row r="16599" spans="8:8" x14ac:dyDescent="0.3">
      <c r="H16599" t="str">
        <f t="shared" ref="H16599:H16662" si="309">IF(B16599="","",$C$12)</f>
        <v/>
      </c>
    </row>
    <row r="16600" spans="8:8" x14ac:dyDescent="0.3">
      <c r="H16600" t="str">
        <f t="shared" si="309"/>
        <v/>
      </c>
    </row>
    <row r="16601" spans="8:8" x14ac:dyDescent="0.3">
      <c r="H16601" t="str">
        <f t="shared" si="309"/>
        <v/>
      </c>
    </row>
    <row r="16602" spans="8:8" x14ac:dyDescent="0.3">
      <c r="H16602" t="str">
        <f t="shared" si="309"/>
        <v/>
      </c>
    </row>
    <row r="16603" spans="8:8" x14ac:dyDescent="0.3">
      <c r="H16603" t="str">
        <f t="shared" si="309"/>
        <v/>
      </c>
    </row>
    <row r="16604" spans="8:8" x14ac:dyDescent="0.3">
      <c r="H16604" t="str">
        <f t="shared" si="309"/>
        <v/>
      </c>
    </row>
    <row r="16605" spans="8:8" x14ac:dyDescent="0.3">
      <c r="H16605" t="str">
        <f t="shared" si="309"/>
        <v/>
      </c>
    </row>
    <row r="16606" spans="8:8" x14ac:dyDescent="0.3">
      <c r="H16606" t="str">
        <f t="shared" si="309"/>
        <v/>
      </c>
    </row>
    <row r="16607" spans="8:8" x14ac:dyDescent="0.3">
      <c r="H16607" t="str">
        <f t="shared" si="309"/>
        <v/>
      </c>
    </row>
    <row r="16608" spans="8:8" x14ac:dyDescent="0.3">
      <c r="H16608" t="str">
        <f t="shared" si="309"/>
        <v/>
      </c>
    </row>
    <row r="16609" spans="8:8" x14ac:dyDescent="0.3">
      <c r="H16609" t="str">
        <f t="shared" si="309"/>
        <v/>
      </c>
    </row>
    <row r="16610" spans="8:8" x14ac:dyDescent="0.3">
      <c r="H16610" t="str">
        <f t="shared" si="309"/>
        <v/>
      </c>
    </row>
    <row r="16611" spans="8:8" x14ac:dyDescent="0.3">
      <c r="H16611" t="str">
        <f t="shared" si="309"/>
        <v/>
      </c>
    </row>
    <row r="16612" spans="8:8" x14ac:dyDescent="0.3">
      <c r="H16612" t="str">
        <f t="shared" si="309"/>
        <v/>
      </c>
    </row>
    <row r="16613" spans="8:8" x14ac:dyDescent="0.3">
      <c r="H16613" t="str">
        <f t="shared" si="309"/>
        <v/>
      </c>
    </row>
    <row r="16614" spans="8:8" x14ac:dyDescent="0.3">
      <c r="H16614" t="str">
        <f t="shared" si="309"/>
        <v/>
      </c>
    </row>
    <row r="16615" spans="8:8" x14ac:dyDescent="0.3">
      <c r="H16615" t="str">
        <f t="shared" si="309"/>
        <v/>
      </c>
    </row>
    <row r="16616" spans="8:8" x14ac:dyDescent="0.3">
      <c r="H16616" t="str">
        <f t="shared" si="309"/>
        <v/>
      </c>
    </row>
    <row r="16617" spans="8:8" x14ac:dyDescent="0.3">
      <c r="H16617" t="str">
        <f t="shared" si="309"/>
        <v/>
      </c>
    </row>
    <row r="16618" spans="8:8" x14ac:dyDescent="0.3">
      <c r="H16618" t="str">
        <f t="shared" si="309"/>
        <v/>
      </c>
    </row>
    <row r="16619" spans="8:8" x14ac:dyDescent="0.3">
      <c r="H16619" t="str">
        <f t="shared" si="309"/>
        <v/>
      </c>
    </row>
    <row r="16620" spans="8:8" x14ac:dyDescent="0.3">
      <c r="H16620" t="str">
        <f t="shared" si="309"/>
        <v/>
      </c>
    </row>
    <row r="16621" spans="8:8" x14ac:dyDescent="0.3">
      <c r="H16621" t="str">
        <f t="shared" si="309"/>
        <v/>
      </c>
    </row>
    <row r="16622" spans="8:8" x14ac:dyDescent="0.3">
      <c r="H16622" t="str">
        <f t="shared" si="309"/>
        <v/>
      </c>
    </row>
    <row r="16623" spans="8:8" x14ac:dyDescent="0.3">
      <c r="H16623" t="str">
        <f t="shared" si="309"/>
        <v/>
      </c>
    </row>
    <row r="16624" spans="8:8" x14ac:dyDescent="0.3">
      <c r="H16624" t="str">
        <f t="shared" si="309"/>
        <v/>
      </c>
    </row>
    <row r="16625" spans="8:8" x14ac:dyDescent="0.3">
      <c r="H16625" t="str">
        <f t="shared" si="309"/>
        <v/>
      </c>
    </row>
    <row r="16626" spans="8:8" x14ac:dyDescent="0.3">
      <c r="H16626" t="str">
        <f t="shared" si="309"/>
        <v/>
      </c>
    </row>
    <row r="16627" spans="8:8" x14ac:dyDescent="0.3">
      <c r="H16627" t="str">
        <f t="shared" si="309"/>
        <v/>
      </c>
    </row>
    <row r="16628" spans="8:8" x14ac:dyDescent="0.3">
      <c r="H16628" t="str">
        <f t="shared" si="309"/>
        <v/>
      </c>
    </row>
    <row r="16629" spans="8:8" x14ac:dyDescent="0.3">
      <c r="H16629" t="str">
        <f t="shared" si="309"/>
        <v/>
      </c>
    </row>
    <row r="16630" spans="8:8" x14ac:dyDescent="0.3">
      <c r="H16630" t="str">
        <f t="shared" si="309"/>
        <v/>
      </c>
    </row>
    <row r="16631" spans="8:8" x14ac:dyDescent="0.3">
      <c r="H16631" t="str">
        <f t="shared" si="309"/>
        <v/>
      </c>
    </row>
    <row r="16632" spans="8:8" x14ac:dyDescent="0.3">
      <c r="H16632" t="str">
        <f t="shared" si="309"/>
        <v/>
      </c>
    </row>
    <row r="16633" spans="8:8" x14ac:dyDescent="0.3">
      <c r="H16633" t="str">
        <f t="shared" si="309"/>
        <v/>
      </c>
    </row>
    <row r="16634" spans="8:8" x14ac:dyDescent="0.3">
      <c r="H16634" t="str">
        <f t="shared" si="309"/>
        <v/>
      </c>
    </row>
    <row r="16635" spans="8:8" x14ac:dyDescent="0.3">
      <c r="H16635" t="str">
        <f t="shared" si="309"/>
        <v/>
      </c>
    </row>
    <row r="16636" spans="8:8" x14ac:dyDescent="0.3">
      <c r="H16636" t="str">
        <f t="shared" si="309"/>
        <v/>
      </c>
    </row>
    <row r="16637" spans="8:8" x14ac:dyDescent="0.3">
      <c r="H16637" t="str">
        <f t="shared" si="309"/>
        <v/>
      </c>
    </row>
    <row r="16638" spans="8:8" x14ac:dyDescent="0.3">
      <c r="H16638" t="str">
        <f t="shared" si="309"/>
        <v/>
      </c>
    </row>
    <row r="16639" spans="8:8" x14ac:dyDescent="0.3">
      <c r="H16639" t="str">
        <f t="shared" si="309"/>
        <v/>
      </c>
    </row>
    <row r="16640" spans="8:8" x14ac:dyDescent="0.3">
      <c r="H16640" t="str">
        <f t="shared" si="309"/>
        <v/>
      </c>
    </row>
    <row r="16641" spans="8:8" x14ac:dyDescent="0.3">
      <c r="H16641" t="str">
        <f t="shared" si="309"/>
        <v/>
      </c>
    </row>
    <row r="16642" spans="8:8" x14ac:dyDescent="0.3">
      <c r="H16642" t="str">
        <f t="shared" si="309"/>
        <v/>
      </c>
    </row>
    <row r="16643" spans="8:8" x14ac:dyDescent="0.3">
      <c r="H16643" t="str">
        <f t="shared" si="309"/>
        <v/>
      </c>
    </row>
    <row r="16644" spans="8:8" x14ac:dyDescent="0.3">
      <c r="H16644" t="str">
        <f t="shared" si="309"/>
        <v/>
      </c>
    </row>
    <row r="16645" spans="8:8" x14ac:dyDescent="0.3">
      <c r="H16645" t="str">
        <f t="shared" si="309"/>
        <v/>
      </c>
    </row>
    <row r="16646" spans="8:8" x14ac:dyDescent="0.3">
      <c r="H16646" t="str">
        <f t="shared" si="309"/>
        <v/>
      </c>
    </row>
    <row r="16647" spans="8:8" x14ac:dyDescent="0.3">
      <c r="H16647" t="str">
        <f t="shared" si="309"/>
        <v/>
      </c>
    </row>
    <row r="16648" spans="8:8" x14ac:dyDescent="0.3">
      <c r="H16648" t="str">
        <f t="shared" si="309"/>
        <v/>
      </c>
    </row>
    <row r="16649" spans="8:8" x14ac:dyDescent="0.3">
      <c r="H16649" t="str">
        <f t="shared" si="309"/>
        <v/>
      </c>
    </row>
    <row r="16650" spans="8:8" x14ac:dyDescent="0.3">
      <c r="H16650" t="str">
        <f t="shared" si="309"/>
        <v/>
      </c>
    </row>
    <row r="16651" spans="8:8" x14ac:dyDescent="0.3">
      <c r="H16651" t="str">
        <f t="shared" si="309"/>
        <v/>
      </c>
    </row>
    <row r="16652" spans="8:8" x14ac:dyDescent="0.3">
      <c r="H16652" t="str">
        <f t="shared" si="309"/>
        <v/>
      </c>
    </row>
    <row r="16653" spans="8:8" x14ac:dyDescent="0.3">
      <c r="H16653" t="str">
        <f t="shared" si="309"/>
        <v/>
      </c>
    </row>
    <row r="16654" spans="8:8" x14ac:dyDescent="0.3">
      <c r="H16654" t="str">
        <f t="shared" si="309"/>
        <v/>
      </c>
    </row>
    <row r="16655" spans="8:8" x14ac:dyDescent="0.3">
      <c r="H16655" t="str">
        <f t="shared" si="309"/>
        <v/>
      </c>
    </row>
    <row r="16656" spans="8:8" x14ac:dyDescent="0.3">
      <c r="H16656" t="str">
        <f t="shared" si="309"/>
        <v/>
      </c>
    </row>
    <row r="16657" spans="8:8" x14ac:dyDescent="0.3">
      <c r="H16657" t="str">
        <f t="shared" si="309"/>
        <v/>
      </c>
    </row>
    <row r="16658" spans="8:8" x14ac:dyDescent="0.3">
      <c r="H16658" t="str">
        <f t="shared" si="309"/>
        <v/>
      </c>
    </row>
    <row r="16659" spans="8:8" x14ac:dyDescent="0.3">
      <c r="H16659" t="str">
        <f t="shared" si="309"/>
        <v/>
      </c>
    </row>
    <row r="16660" spans="8:8" x14ac:dyDescent="0.3">
      <c r="H16660" t="str">
        <f t="shared" si="309"/>
        <v/>
      </c>
    </row>
    <row r="16661" spans="8:8" x14ac:dyDescent="0.3">
      <c r="H16661" t="str">
        <f t="shared" si="309"/>
        <v/>
      </c>
    </row>
    <row r="16662" spans="8:8" x14ac:dyDescent="0.3">
      <c r="H16662" t="str">
        <f t="shared" si="309"/>
        <v/>
      </c>
    </row>
    <row r="16663" spans="8:8" x14ac:dyDescent="0.3">
      <c r="H16663" t="str">
        <f t="shared" ref="H16663:H16726" si="310">IF(B16663="","",$C$12)</f>
        <v/>
      </c>
    </row>
    <row r="16664" spans="8:8" x14ac:dyDescent="0.3">
      <c r="H16664" t="str">
        <f t="shared" si="310"/>
        <v/>
      </c>
    </row>
    <row r="16665" spans="8:8" x14ac:dyDescent="0.3">
      <c r="H16665" t="str">
        <f t="shared" si="310"/>
        <v/>
      </c>
    </row>
    <row r="16666" spans="8:8" x14ac:dyDescent="0.3">
      <c r="H16666" t="str">
        <f t="shared" si="310"/>
        <v/>
      </c>
    </row>
    <row r="16667" spans="8:8" x14ac:dyDescent="0.3">
      <c r="H16667" t="str">
        <f t="shared" si="310"/>
        <v/>
      </c>
    </row>
    <row r="16668" spans="8:8" x14ac:dyDescent="0.3">
      <c r="H16668" t="str">
        <f t="shared" si="310"/>
        <v/>
      </c>
    </row>
    <row r="16669" spans="8:8" x14ac:dyDescent="0.3">
      <c r="H16669" t="str">
        <f t="shared" si="310"/>
        <v/>
      </c>
    </row>
    <row r="16670" spans="8:8" x14ac:dyDescent="0.3">
      <c r="H16670" t="str">
        <f t="shared" si="310"/>
        <v/>
      </c>
    </row>
    <row r="16671" spans="8:8" x14ac:dyDescent="0.3">
      <c r="H16671" t="str">
        <f t="shared" si="310"/>
        <v/>
      </c>
    </row>
    <row r="16672" spans="8:8" x14ac:dyDescent="0.3">
      <c r="H16672" t="str">
        <f t="shared" si="310"/>
        <v/>
      </c>
    </row>
    <row r="16673" spans="8:8" x14ac:dyDescent="0.3">
      <c r="H16673" t="str">
        <f t="shared" si="310"/>
        <v/>
      </c>
    </row>
    <row r="16674" spans="8:8" x14ac:dyDescent="0.3">
      <c r="H16674" t="str">
        <f t="shared" si="310"/>
        <v/>
      </c>
    </row>
    <row r="16675" spans="8:8" x14ac:dyDescent="0.3">
      <c r="H16675" t="str">
        <f t="shared" si="310"/>
        <v/>
      </c>
    </row>
    <row r="16676" spans="8:8" x14ac:dyDescent="0.3">
      <c r="H16676" t="str">
        <f t="shared" si="310"/>
        <v/>
      </c>
    </row>
    <row r="16677" spans="8:8" x14ac:dyDescent="0.3">
      <c r="H16677" t="str">
        <f t="shared" si="310"/>
        <v/>
      </c>
    </row>
    <row r="16678" spans="8:8" x14ac:dyDescent="0.3">
      <c r="H16678" t="str">
        <f t="shared" si="310"/>
        <v/>
      </c>
    </row>
    <row r="16679" spans="8:8" x14ac:dyDescent="0.3">
      <c r="H16679" t="str">
        <f t="shared" si="310"/>
        <v/>
      </c>
    </row>
    <row r="16680" spans="8:8" x14ac:dyDescent="0.3">
      <c r="H16680" t="str">
        <f t="shared" si="310"/>
        <v/>
      </c>
    </row>
    <row r="16681" spans="8:8" x14ac:dyDescent="0.3">
      <c r="H16681" t="str">
        <f t="shared" si="310"/>
        <v/>
      </c>
    </row>
    <row r="16682" spans="8:8" x14ac:dyDescent="0.3">
      <c r="H16682" t="str">
        <f t="shared" si="310"/>
        <v/>
      </c>
    </row>
    <row r="16683" spans="8:8" x14ac:dyDescent="0.3">
      <c r="H16683" t="str">
        <f t="shared" si="310"/>
        <v/>
      </c>
    </row>
    <row r="16684" spans="8:8" x14ac:dyDescent="0.3">
      <c r="H16684" t="str">
        <f t="shared" si="310"/>
        <v/>
      </c>
    </row>
    <row r="16685" spans="8:8" x14ac:dyDescent="0.3">
      <c r="H16685" t="str">
        <f t="shared" si="310"/>
        <v/>
      </c>
    </row>
    <row r="16686" spans="8:8" x14ac:dyDescent="0.3">
      <c r="H16686" t="str">
        <f t="shared" si="310"/>
        <v/>
      </c>
    </row>
    <row r="16687" spans="8:8" x14ac:dyDescent="0.3">
      <c r="H16687" t="str">
        <f t="shared" si="310"/>
        <v/>
      </c>
    </row>
    <row r="16688" spans="8:8" x14ac:dyDescent="0.3">
      <c r="H16688" t="str">
        <f t="shared" si="310"/>
        <v/>
      </c>
    </row>
    <row r="16689" spans="8:8" x14ac:dyDescent="0.3">
      <c r="H16689" t="str">
        <f t="shared" si="310"/>
        <v/>
      </c>
    </row>
    <row r="16690" spans="8:8" x14ac:dyDescent="0.3">
      <c r="H16690" t="str">
        <f t="shared" si="310"/>
        <v/>
      </c>
    </row>
    <row r="16691" spans="8:8" x14ac:dyDescent="0.3">
      <c r="H16691" t="str">
        <f t="shared" si="310"/>
        <v/>
      </c>
    </row>
    <row r="16692" spans="8:8" x14ac:dyDescent="0.3">
      <c r="H16692" t="str">
        <f t="shared" si="310"/>
        <v/>
      </c>
    </row>
    <row r="16693" spans="8:8" x14ac:dyDescent="0.3">
      <c r="H16693" t="str">
        <f t="shared" si="310"/>
        <v/>
      </c>
    </row>
    <row r="16694" spans="8:8" x14ac:dyDescent="0.3">
      <c r="H16694" t="str">
        <f t="shared" si="310"/>
        <v/>
      </c>
    </row>
    <row r="16695" spans="8:8" x14ac:dyDescent="0.3">
      <c r="H16695" t="str">
        <f t="shared" si="310"/>
        <v/>
      </c>
    </row>
    <row r="16696" spans="8:8" x14ac:dyDescent="0.3">
      <c r="H16696" t="str">
        <f t="shared" si="310"/>
        <v/>
      </c>
    </row>
    <row r="16697" spans="8:8" x14ac:dyDescent="0.3">
      <c r="H16697" t="str">
        <f t="shared" si="310"/>
        <v/>
      </c>
    </row>
    <row r="16698" spans="8:8" x14ac:dyDescent="0.3">
      <c r="H16698" t="str">
        <f t="shared" si="310"/>
        <v/>
      </c>
    </row>
    <row r="16699" spans="8:8" x14ac:dyDescent="0.3">
      <c r="H16699" t="str">
        <f t="shared" si="310"/>
        <v/>
      </c>
    </row>
    <row r="16700" spans="8:8" x14ac:dyDescent="0.3">
      <c r="H16700" t="str">
        <f t="shared" si="310"/>
        <v/>
      </c>
    </row>
    <row r="16701" spans="8:8" x14ac:dyDescent="0.3">
      <c r="H16701" t="str">
        <f t="shared" si="310"/>
        <v/>
      </c>
    </row>
    <row r="16702" spans="8:8" x14ac:dyDescent="0.3">
      <c r="H16702" t="str">
        <f t="shared" si="310"/>
        <v/>
      </c>
    </row>
    <row r="16703" spans="8:8" x14ac:dyDescent="0.3">
      <c r="H16703" t="str">
        <f t="shared" si="310"/>
        <v/>
      </c>
    </row>
    <row r="16704" spans="8:8" x14ac:dyDescent="0.3">
      <c r="H16704" t="str">
        <f t="shared" si="310"/>
        <v/>
      </c>
    </row>
    <row r="16705" spans="8:8" x14ac:dyDescent="0.3">
      <c r="H16705" t="str">
        <f t="shared" si="310"/>
        <v/>
      </c>
    </row>
    <row r="16706" spans="8:8" x14ac:dyDescent="0.3">
      <c r="H16706" t="str">
        <f t="shared" si="310"/>
        <v/>
      </c>
    </row>
    <row r="16707" spans="8:8" x14ac:dyDescent="0.3">
      <c r="H16707" t="str">
        <f t="shared" si="310"/>
        <v/>
      </c>
    </row>
    <row r="16708" spans="8:8" x14ac:dyDescent="0.3">
      <c r="H16708" t="str">
        <f t="shared" si="310"/>
        <v/>
      </c>
    </row>
    <row r="16709" spans="8:8" x14ac:dyDescent="0.3">
      <c r="H16709" t="str">
        <f t="shared" si="310"/>
        <v/>
      </c>
    </row>
    <row r="16710" spans="8:8" x14ac:dyDescent="0.3">
      <c r="H16710" t="str">
        <f t="shared" si="310"/>
        <v/>
      </c>
    </row>
    <row r="16711" spans="8:8" x14ac:dyDescent="0.3">
      <c r="H16711" t="str">
        <f t="shared" si="310"/>
        <v/>
      </c>
    </row>
    <row r="16712" spans="8:8" x14ac:dyDescent="0.3">
      <c r="H16712" t="str">
        <f t="shared" si="310"/>
        <v/>
      </c>
    </row>
    <row r="16713" spans="8:8" x14ac:dyDescent="0.3">
      <c r="H16713" t="str">
        <f t="shared" si="310"/>
        <v/>
      </c>
    </row>
    <row r="16714" spans="8:8" x14ac:dyDescent="0.3">
      <c r="H16714" t="str">
        <f t="shared" si="310"/>
        <v/>
      </c>
    </row>
    <row r="16715" spans="8:8" x14ac:dyDescent="0.3">
      <c r="H16715" t="str">
        <f t="shared" si="310"/>
        <v/>
      </c>
    </row>
    <row r="16716" spans="8:8" x14ac:dyDescent="0.3">
      <c r="H16716" t="str">
        <f t="shared" si="310"/>
        <v/>
      </c>
    </row>
    <row r="16717" spans="8:8" x14ac:dyDescent="0.3">
      <c r="H16717" t="str">
        <f t="shared" si="310"/>
        <v/>
      </c>
    </row>
    <row r="16718" spans="8:8" x14ac:dyDescent="0.3">
      <c r="H16718" t="str">
        <f t="shared" si="310"/>
        <v/>
      </c>
    </row>
    <row r="16719" spans="8:8" x14ac:dyDescent="0.3">
      <c r="H16719" t="str">
        <f t="shared" si="310"/>
        <v/>
      </c>
    </row>
    <row r="16720" spans="8:8" x14ac:dyDescent="0.3">
      <c r="H16720" t="str">
        <f t="shared" si="310"/>
        <v/>
      </c>
    </row>
    <row r="16721" spans="8:8" x14ac:dyDescent="0.3">
      <c r="H16721" t="str">
        <f t="shared" si="310"/>
        <v/>
      </c>
    </row>
    <row r="16722" spans="8:8" x14ac:dyDescent="0.3">
      <c r="H16722" t="str">
        <f t="shared" si="310"/>
        <v/>
      </c>
    </row>
    <row r="16723" spans="8:8" x14ac:dyDescent="0.3">
      <c r="H16723" t="str">
        <f t="shared" si="310"/>
        <v/>
      </c>
    </row>
    <row r="16724" spans="8:8" x14ac:dyDescent="0.3">
      <c r="H16724" t="str">
        <f t="shared" si="310"/>
        <v/>
      </c>
    </row>
    <row r="16725" spans="8:8" x14ac:dyDescent="0.3">
      <c r="H16725" t="str">
        <f t="shared" si="310"/>
        <v/>
      </c>
    </row>
    <row r="16726" spans="8:8" x14ac:dyDescent="0.3">
      <c r="H16726" t="str">
        <f t="shared" si="310"/>
        <v/>
      </c>
    </row>
    <row r="16727" spans="8:8" x14ac:dyDescent="0.3">
      <c r="H16727" t="str">
        <f t="shared" ref="H16727:H16790" si="311">IF(B16727="","",$C$12)</f>
        <v/>
      </c>
    </row>
    <row r="16728" spans="8:8" x14ac:dyDescent="0.3">
      <c r="H16728" t="str">
        <f t="shared" si="311"/>
        <v/>
      </c>
    </row>
    <row r="16729" spans="8:8" x14ac:dyDescent="0.3">
      <c r="H16729" t="str">
        <f t="shared" si="311"/>
        <v/>
      </c>
    </row>
    <row r="16730" spans="8:8" x14ac:dyDescent="0.3">
      <c r="H16730" t="str">
        <f t="shared" si="311"/>
        <v/>
      </c>
    </row>
    <row r="16731" spans="8:8" x14ac:dyDescent="0.3">
      <c r="H16731" t="str">
        <f t="shared" si="311"/>
        <v/>
      </c>
    </row>
    <row r="16732" spans="8:8" x14ac:dyDescent="0.3">
      <c r="H16732" t="str">
        <f t="shared" si="311"/>
        <v/>
      </c>
    </row>
    <row r="16733" spans="8:8" x14ac:dyDescent="0.3">
      <c r="H16733" t="str">
        <f t="shared" si="311"/>
        <v/>
      </c>
    </row>
    <row r="16734" spans="8:8" x14ac:dyDescent="0.3">
      <c r="H16734" t="str">
        <f t="shared" si="311"/>
        <v/>
      </c>
    </row>
    <row r="16735" spans="8:8" x14ac:dyDescent="0.3">
      <c r="H16735" t="str">
        <f t="shared" si="311"/>
        <v/>
      </c>
    </row>
    <row r="16736" spans="8:8" x14ac:dyDescent="0.3">
      <c r="H16736" t="str">
        <f t="shared" si="311"/>
        <v/>
      </c>
    </row>
    <row r="16737" spans="8:8" x14ac:dyDescent="0.3">
      <c r="H16737" t="str">
        <f t="shared" si="311"/>
        <v/>
      </c>
    </row>
    <row r="16738" spans="8:8" x14ac:dyDescent="0.3">
      <c r="H16738" t="str">
        <f t="shared" si="311"/>
        <v/>
      </c>
    </row>
    <row r="16739" spans="8:8" x14ac:dyDescent="0.3">
      <c r="H16739" t="str">
        <f t="shared" si="311"/>
        <v/>
      </c>
    </row>
    <row r="16740" spans="8:8" x14ac:dyDescent="0.3">
      <c r="H16740" t="str">
        <f t="shared" si="311"/>
        <v/>
      </c>
    </row>
    <row r="16741" spans="8:8" x14ac:dyDescent="0.3">
      <c r="H16741" t="str">
        <f t="shared" si="311"/>
        <v/>
      </c>
    </row>
    <row r="16742" spans="8:8" x14ac:dyDescent="0.3">
      <c r="H16742" t="str">
        <f t="shared" si="311"/>
        <v/>
      </c>
    </row>
    <row r="16743" spans="8:8" x14ac:dyDescent="0.3">
      <c r="H16743" t="str">
        <f t="shared" si="311"/>
        <v/>
      </c>
    </row>
    <row r="16744" spans="8:8" x14ac:dyDescent="0.3">
      <c r="H16744" t="str">
        <f t="shared" si="311"/>
        <v/>
      </c>
    </row>
    <row r="16745" spans="8:8" x14ac:dyDescent="0.3">
      <c r="H16745" t="str">
        <f t="shared" si="311"/>
        <v/>
      </c>
    </row>
    <row r="16746" spans="8:8" x14ac:dyDescent="0.3">
      <c r="H16746" t="str">
        <f t="shared" si="311"/>
        <v/>
      </c>
    </row>
    <row r="16747" spans="8:8" x14ac:dyDescent="0.3">
      <c r="H16747" t="str">
        <f t="shared" si="311"/>
        <v/>
      </c>
    </row>
    <row r="16748" spans="8:8" x14ac:dyDescent="0.3">
      <c r="H16748" t="str">
        <f t="shared" si="311"/>
        <v/>
      </c>
    </row>
    <row r="16749" spans="8:8" x14ac:dyDescent="0.3">
      <c r="H16749" t="str">
        <f t="shared" si="311"/>
        <v/>
      </c>
    </row>
    <row r="16750" spans="8:8" x14ac:dyDescent="0.3">
      <c r="H16750" t="str">
        <f t="shared" si="311"/>
        <v/>
      </c>
    </row>
    <row r="16751" spans="8:8" x14ac:dyDescent="0.3">
      <c r="H16751" t="str">
        <f t="shared" si="311"/>
        <v/>
      </c>
    </row>
    <row r="16752" spans="8:8" x14ac:dyDescent="0.3">
      <c r="H16752" t="str">
        <f t="shared" si="311"/>
        <v/>
      </c>
    </row>
    <row r="16753" spans="8:8" x14ac:dyDescent="0.3">
      <c r="H16753" t="str">
        <f t="shared" si="311"/>
        <v/>
      </c>
    </row>
    <row r="16754" spans="8:8" x14ac:dyDescent="0.3">
      <c r="H16754" t="str">
        <f t="shared" si="311"/>
        <v/>
      </c>
    </row>
    <row r="16755" spans="8:8" x14ac:dyDescent="0.3">
      <c r="H16755" t="str">
        <f t="shared" si="311"/>
        <v/>
      </c>
    </row>
    <row r="16756" spans="8:8" x14ac:dyDescent="0.3">
      <c r="H16756" t="str">
        <f t="shared" si="311"/>
        <v/>
      </c>
    </row>
    <row r="16757" spans="8:8" x14ac:dyDescent="0.3">
      <c r="H16757" t="str">
        <f t="shared" si="311"/>
        <v/>
      </c>
    </row>
    <row r="16758" spans="8:8" x14ac:dyDescent="0.3">
      <c r="H16758" t="str">
        <f t="shared" si="311"/>
        <v/>
      </c>
    </row>
    <row r="16759" spans="8:8" x14ac:dyDescent="0.3">
      <c r="H16759" t="str">
        <f t="shared" si="311"/>
        <v/>
      </c>
    </row>
    <row r="16760" spans="8:8" x14ac:dyDescent="0.3">
      <c r="H16760" t="str">
        <f t="shared" si="311"/>
        <v/>
      </c>
    </row>
    <row r="16761" spans="8:8" x14ac:dyDescent="0.3">
      <c r="H16761" t="str">
        <f t="shared" si="311"/>
        <v/>
      </c>
    </row>
    <row r="16762" spans="8:8" x14ac:dyDescent="0.3">
      <c r="H16762" t="str">
        <f t="shared" si="311"/>
        <v/>
      </c>
    </row>
    <row r="16763" spans="8:8" x14ac:dyDescent="0.3">
      <c r="H16763" t="str">
        <f t="shared" si="311"/>
        <v/>
      </c>
    </row>
    <row r="16764" spans="8:8" x14ac:dyDescent="0.3">
      <c r="H16764" t="str">
        <f t="shared" si="311"/>
        <v/>
      </c>
    </row>
    <row r="16765" spans="8:8" x14ac:dyDescent="0.3">
      <c r="H16765" t="str">
        <f t="shared" si="311"/>
        <v/>
      </c>
    </row>
    <row r="16766" spans="8:8" x14ac:dyDescent="0.3">
      <c r="H16766" t="str">
        <f t="shared" si="311"/>
        <v/>
      </c>
    </row>
    <row r="16767" spans="8:8" x14ac:dyDescent="0.3">
      <c r="H16767" t="str">
        <f t="shared" si="311"/>
        <v/>
      </c>
    </row>
    <row r="16768" spans="8:8" x14ac:dyDescent="0.3">
      <c r="H16768" t="str">
        <f t="shared" si="311"/>
        <v/>
      </c>
    </row>
    <row r="16769" spans="8:8" x14ac:dyDescent="0.3">
      <c r="H16769" t="str">
        <f t="shared" si="311"/>
        <v/>
      </c>
    </row>
    <row r="16770" spans="8:8" x14ac:dyDescent="0.3">
      <c r="H16770" t="str">
        <f t="shared" si="311"/>
        <v/>
      </c>
    </row>
    <row r="16771" spans="8:8" x14ac:dyDescent="0.3">
      <c r="H16771" t="str">
        <f t="shared" si="311"/>
        <v/>
      </c>
    </row>
    <row r="16772" spans="8:8" x14ac:dyDescent="0.3">
      <c r="H16772" t="str">
        <f t="shared" si="311"/>
        <v/>
      </c>
    </row>
    <row r="16773" spans="8:8" x14ac:dyDescent="0.3">
      <c r="H16773" t="str">
        <f t="shared" si="311"/>
        <v/>
      </c>
    </row>
    <row r="16774" spans="8:8" x14ac:dyDescent="0.3">
      <c r="H16774" t="str">
        <f t="shared" si="311"/>
        <v/>
      </c>
    </row>
    <row r="16775" spans="8:8" x14ac:dyDescent="0.3">
      <c r="H16775" t="str">
        <f t="shared" si="311"/>
        <v/>
      </c>
    </row>
    <row r="16776" spans="8:8" x14ac:dyDescent="0.3">
      <c r="H16776" t="str">
        <f t="shared" si="311"/>
        <v/>
      </c>
    </row>
    <row r="16777" spans="8:8" x14ac:dyDescent="0.3">
      <c r="H16777" t="str">
        <f t="shared" si="311"/>
        <v/>
      </c>
    </row>
    <row r="16778" spans="8:8" x14ac:dyDescent="0.3">
      <c r="H16778" t="str">
        <f t="shared" si="311"/>
        <v/>
      </c>
    </row>
    <row r="16779" spans="8:8" x14ac:dyDescent="0.3">
      <c r="H16779" t="str">
        <f t="shared" si="311"/>
        <v/>
      </c>
    </row>
    <row r="16780" spans="8:8" x14ac:dyDescent="0.3">
      <c r="H16780" t="str">
        <f t="shared" si="311"/>
        <v/>
      </c>
    </row>
    <row r="16781" spans="8:8" x14ac:dyDescent="0.3">
      <c r="H16781" t="str">
        <f t="shared" si="311"/>
        <v/>
      </c>
    </row>
    <row r="16782" spans="8:8" x14ac:dyDescent="0.3">
      <c r="H16782" t="str">
        <f t="shared" si="311"/>
        <v/>
      </c>
    </row>
    <row r="16783" spans="8:8" x14ac:dyDescent="0.3">
      <c r="H16783" t="str">
        <f t="shared" si="311"/>
        <v/>
      </c>
    </row>
    <row r="16784" spans="8:8" x14ac:dyDescent="0.3">
      <c r="H16784" t="str">
        <f t="shared" si="311"/>
        <v/>
      </c>
    </row>
    <row r="16785" spans="8:8" x14ac:dyDescent="0.3">
      <c r="H16785" t="str">
        <f t="shared" si="311"/>
        <v/>
      </c>
    </row>
    <row r="16786" spans="8:8" x14ac:dyDescent="0.3">
      <c r="H16786" t="str">
        <f t="shared" si="311"/>
        <v/>
      </c>
    </row>
    <row r="16787" spans="8:8" x14ac:dyDescent="0.3">
      <c r="H16787" t="str">
        <f t="shared" si="311"/>
        <v/>
      </c>
    </row>
    <row r="16788" spans="8:8" x14ac:dyDescent="0.3">
      <c r="H16788" t="str">
        <f t="shared" si="311"/>
        <v/>
      </c>
    </row>
    <row r="16789" spans="8:8" x14ac:dyDescent="0.3">
      <c r="H16789" t="str">
        <f t="shared" si="311"/>
        <v/>
      </c>
    </row>
    <row r="16790" spans="8:8" x14ac:dyDescent="0.3">
      <c r="H16790" t="str">
        <f t="shared" si="311"/>
        <v/>
      </c>
    </row>
    <row r="16791" spans="8:8" x14ac:dyDescent="0.3">
      <c r="H16791" t="str">
        <f t="shared" ref="H16791:H16854" si="312">IF(B16791="","",$C$12)</f>
        <v/>
      </c>
    </row>
    <row r="16792" spans="8:8" x14ac:dyDescent="0.3">
      <c r="H16792" t="str">
        <f t="shared" si="312"/>
        <v/>
      </c>
    </row>
    <row r="16793" spans="8:8" x14ac:dyDescent="0.3">
      <c r="H16793" t="str">
        <f t="shared" si="312"/>
        <v/>
      </c>
    </row>
    <row r="16794" spans="8:8" x14ac:dyDescent="0.3">
      <c r="H16794" t="str">
        <f t="shared" si="312"/>
        <v/>
      </c>
    </row>
    <row r="16795" spans="8:8" x14ac:dyDescent="0.3">
      <c r="H16795" t="str">
        <f t="shared" si="312"/>
        <v/>
      </c>
    </row>
    <row r="16796" spans="8:8" x14ac:dyDescent="0.3">
      <c r="H16796" t="str">
        <f t="shared" si="312"/>
        <v/>
      </c>
    </row>
    <row r="16797" spans="8:8" x14ac:dyDescent="0.3">
      <c r="H16797" t="str">
        <f t="shared" si="312"/>
        <v/>
      </c>
    </row>
    <row r="16798" spans="8:8" x14ac:dyDescent="0.3">
      <c r="H16798" t="str">
        <f t="shared" si="312"/>
        <v/>
      </c>
    </row>
    <row r="16799" spans="8:8" x14ac:dyDescent="0.3">
      <c r="H16799" t="str">
        <f t="shared" si="312"/>
        <v/>
      </c>
    </row>
    <row r="16800" spans="8:8" x14ac:dyDescent="0.3">
      <c r="H16800" t="str">
        <f t="shared" si="312"/>
        <v/>
      </c>
    </row>
    <row r="16801" spans="8:8" x14ac:dyDescent="0.3">
      <c r="H16801" t="str">
        <f t="shared" si="312"/>
        <v/>
      </c>
    </row>
    <row r="16802" spans="8:8" x14ac:dyDescent="0.3">
      <c r="H16802" t="str">
        <f t="shared" si="312"/>
        <v/>
      </c>
    </row>
    <row r="16803" spans="8:8" x14ac:dyDescent="0.3">
      <c r="H16803" t="str">
        <f t="shared" si="312"/>
        <v/>
      </c>
    </row>
    <row r="16804" spans="8:8" x14ac:dyDescent="0.3">
      <c r="H16804" t="str">
        <f t="shared" si="312"/>
        <v/>
      </c>
    </row>
    <row r="16805" spans="8:8" x14ac:dyDescent="0.3">
      <c r="H16805" t="str">
        <f t="shared" si="312"/>
        <v/>
      </c>
    </row>
    <row r="16806" spans="8:8" x14ac:dyDescent="0.3">
      <c r="H16806" t="str">
        <f t="shared" si="312"/>
        <v/>
      </c>
    </row>
    <row r="16807" spans="8:8" x14ac:dyDescent="0.3">
      <c r="H16807" t="str">
        <f t="shared" si="312"/>
        <v/>
      </c>
    </row>
    <row r="16808" spans="8:8" x14ac:dyDescent="0.3">
      <c r="H16808" t="str">
        <f t="shared" si="312"/>
        <v/>
      </c>
    </row>
    <row r="16809" spans="8:8" x14ac:dyDescent="0.3">
      <c r="H16809" t="str">
        <f t="shared" si="312"/>
        <v/>
      </c>
    </row>
    <row r="16810" spans="8:8" x14ac:dyDescent="0.3">
      <c r="H16810" t="str">
        <f t="shared" si="312"/>
        <v/>
      </c>
    </row>
    <row r="16811" spans="8:8" x14ac:dyDescent="0.3">
      <c r="H16811" t="str">
        <f t="shared" si="312"/>
        <v/>
      </c>
    </row>
    <row r="16812" spans="8:8" x14ac:dyDescent="0.3">
      <c r="H16812" t="str">
        <f t="shared" si="312"/>
        <v/>
      </c>
    </row>
    <row r="16813" spans="8:8" x14ac:dyDescent="0.3">
      <c r="H16813" t="str">
        <f t="shared" si="312"/>
        <v/>
      </c>
    </row>
    <row r="16814" spans="8:8" x14ac:dyDescent="0.3">
      <c r="H16814" t="str">
        <f t="shared" si="312"/>
        <v/>
      </c>
    </row>
    <row r="16815" spans="8:8" x14ac:dyDescent="0.3">
      <c r="H16815" t="str">
        <f t="shared" si="312"/>
        <v/>
      </c>
    </row>
    <row r="16816" spans="8:8" x14ac:dyDescent="0.3">
      <c r="H16816" t="str">
        <f t="shared" si="312"/>
        <v/>
      </c>
    </row>
    <row r="16817" spans="8:8" x14ac:dyDescent="0.3">
      <c r="H16817" t="str">
        <f t="shared" si="312"/>
        <v/>
      </c>
    </row>
    <row r="16818" spans="8:8" x14ac:dyDescent="0.3">
      <c r="H16818" t="str">
        <f t="shared" si="312"/>
        <v/>
      </c>
    </row>
    <row r="16819" spans="8:8" x14ac:dyDescent="0.3">
      <c r="H16819" t="str">
        <f t="shared" si="312"/>
        <v/>
      </c>
    </row>
    <row r="16820" spans="8:8" x14ac:dyDescent="0.3">
      <c r="H16820" t="str">
        <f t="shared" si="312"/>
        <v/>
      </c>
    </row>
    <row r="16821" spans="8:8" x14ac:dyDescent="0.3">
      <c r="H16821" t="str">
        <f t="shared" si="312"/>
        <v/>
      </c>
    </row>
    <row r="16822" spans="8:8" x14ac:dyDescent="0.3">
      <c r="H16822" t="str">
        <f t="shared" si="312"/>
        <v/>
      </c>
    </row>
    <row r="16823" spans="8:8" x14ac:dyDescent="0.3">
      <c r="H16823" t="str">
        <f t="shared" si="312"/>
        <v/>
      </c>
    </row>
    <row r="16824" spans="8:8" x14ac:dyDescent="0.3">
      <c r="H16824" t="str">
        <f t="shared" si="312"/>
        <v/>
      </c>
    </row>
    <row r="16825" spans="8:8" x14ac:dyDescent="0.3">
      <c r="H16825" t="str">
        <f t="shared" si="312"/>
        <v/>
      </c>
    </row>
    <row r="16826" spans="8:8" x14ac:dyDescent="0.3">
      <c r="H16826" t="str">
        <f t="shared" si="312"/>
        <v/>
      </c>
    </row>
    <row r="16827" spans="8:8" x14ac:dyDescent="0.3">
      <c r="H16827" t="str">
        <f t="shared" si="312"/>
        <v/>
      </c>
    </row>
    <row r="16828" spans="8:8" x14ac:dyDescent="0.3">
      <c r="H16828" t="str">
        <f t="shared" si="312"/>
        <v/>
      </c>
    </row>
    <row r="16829" spans="8:8" x14ac:dyDescent="0.3">
      <c r="H16829" t="str">
        <f t="shared" si="312"/>
        <v/>
      </c>
    </row>
    <row r="16830" spans="8:8" x14ac:dyDescent="0.3">
      <c r="H16830" t="str">
        <f t="shared" si="312"/>
        <v/>
      </c>
    </row>
    <row r="16831" spans="8:8" x14ac:dyDescent="0.3">
      <c r="H16831" t="str">
        <f t="shared" si="312"/>
        <v/>
      </c>
    </row>
    <row r="16832" spans="8:8" x14ac:dyDescent="0.3">
      <c r="H16832" t="str">
        <f t="shared" si="312"/>
        <v/>
      </c>
    </row>
    <row r="16833" spans="8:8" x14ac:dyDescent="0.3">
      <c r="H16833" t="str">
        <f t="shared" si="312"/>
        <v/>
      </c>
    </row>
    <row r="16834" spans="8:8" x14ac:dyDescent="0.3">
      <c r="H16834" t="str">
        <f t="shared" si="312"/>
        <v/>
      </c>
    </row>
    <row r="16835" spans="8:8" x14ac:dyDescent="0.3">
      <c r="H16835" t="str">
        <f t="shared" si="312"/>
        <v/>
      </c>
    </row>
    <row r="16836" spans="8:8" x14ac:dyDescent="0.3">
      <c r="H16836" t="str">
        <f t="shared" si="312"/>
        <v/>
      </c>
    </row>
    <row r="16837" spans="8:8" x14ac:dyDescent="0.3">
      <c r="H16837" t="str">
        <f t="shared" si="312"/>
        <v/>
      </c>
    </row>
    <row r="16838" spans="8:8" x14ac:dyDescent="0.3">
      <c r="H16838" t="str">
        <f t="shared" si="312"/>
        <v/>
      </c>
    </row>
    <row r="16839" spans="8:8" x14ac:dyDescent="0.3">
      <c r="H16839" t="str">
        <f t="shared" si="312"/>
        <v/>
      </c>
    </row>
    <row r="16840" spans="8:8" x14ac:dyDescent="0.3">
      <c r="H16840" t="str">
        <f t="shared" si="312"/>
        <v/>
      </c>
    </row>
    <row r="16841" spans="8:8" x14ac:dyDescent="0.3">
      <c r="H16841" t="str">
        <f t="shared" si="312"/>
        <v/>
      </c>
    </row>
    <row r="16842" spans="8:8" x14ac:dyDescent="0.3">
      <c r="H16842" t="str">
        <f t="shared" si="312"/>
        <v/>
      </c>
    </row>
    <row r="16843" spans="8:8" x14ac:dyDescent="0.3">
      <c r="H16843" t="str">
        <f t="shared" si="312"/>
        <v/>
      </c>
    </row>
    <row r="16844" spans="8:8" x14ac:dyDescent="0.3">
      <c r="H16844" t="str">
        <f t="shared" si="312"/>
        <v/>
      </c>
    </row>
    <row r="16845" spans="8:8" x14ac:dyDescent="0.3">
      <c r="H16845" t="str">
        <f t="shared" si="312"/>
        <v/>
      </c>
    </row>
    <row r="16846" spans="8:8" x14ac:dyDescent="0.3">
      <c r="H16846" t="str">
        <f t="shared" si="312"/>
        <v/>
      </c>
    </row>
    <row r="16847" spans="8:8" x14ac:dyDescent="0.3">
      <c r="H16847" t="str">
        <f t="shared" si="312"/>
        <v/>
      </c>
    </row>
    <row r="16848" spans="8:8" x14ac:dyDescent="0.3">
      <c r="H16848" t="str">
        <f t="shared" si="312"/>
        <v/>
      </c>
    </row>
    <row r="16849" spans="8:8" x14ac:dyDescent="0.3">
      <c r="H16849" t="str">
        <f t="shared" si="312"/>
        <v/>
      </c>
    </row>
    <row r="16850" spans="8:8" x14ac:dyDescent="0.3">
      <c r="H16850" t="str">
        <f t="shared" si="312"/>
        <v/>
      </c>
    </row>
    <row r="16851" spans="8:8" x14ac:dyDescent="0.3">
      <c r="H16851" t="str">
        <f t="shared" si="312"/>
        <v/>
      </c>
    </row>
    <row r="16852" spans="8:8" x14ac:dyDescent="0.3">
      <c r="H16852" t="str">
        <f t="shared" si="312"/>
        <v/>
      </c>
    </row>
    <row r="16853" spans="8:8" x14ac:dyDescent="0.3">
      <c r="H16853" t="str">
        <f t="shared" si="312"/>
        <v/>
      </c>
    </row>
    <row r="16854" spans="8:8" x14ac:dyDescent="0.3">
      <c r="H16854" t="str">
        <f t="shared" si="312"/>
        <v/>
      </c>
    </row>
    <row r="16855" spans="8:8" x14ac:dyDescent="0.3">
      <c r="H16855" t="str">
        <f t="shared" ref="H16855:H16918" si="313">IF(B16855="","",$C$12)</f>
        <v/>
      </c>
    </row>
    <row r="16856" spans="8:8" x14ac:dyDescent="0.3">
      <c r="H16856" t="str">
        <f t="shared" si="313"/>
        <v/>
      </c>
    </row>
    <row r="16857" spans="8:8" x14ac:dyDescent="0.3">
      <c r="H16857" t="str">
        <f t="shared" si="313"/>
        <v/>
      </c>
    </row>
    <row r="16858" spans="8:8" x14ac:dyDescent="0.3">
      <c r="H16858" t="str">
        <f t="shared" si="313"/>
        <v/>
      </c>
    </row>
    <row r="16859" spans="8:8" x14ac:dyDescent="0.3">
      <c r="H16859" t="str">
        <f t="shared" si="313"/>
        <v/>
      </c>
    </row>
    <row r="16860" spans="8:8" x14ac:dyDescent="0.3">
      <c r="H16860" t="str">
        <f t="shared" si="313"/>
        <v/>
      </c>
    </row>
    <row r="16861" spans="8:8" x14ac:dyDescent="0.3">
      <c r="H16861" t="str">
        <f t="shared" si="313"/>
        <v/>
      </c>
    </row>
    <row r="16862" spans="8:8" x14ac:dyDescent="0.3">
      <c r="H16862" t="str">
        <f t="shared" si="313"/>
        <v/>
      </c>
    </row>
    <row r="16863" spans="8:8" x14ac:dyDescent="0.3">
      <c r="H16863" t="str">
        <f t="shared" si="313"/>
        <v/>
      </c>
    </row>
    <row r="16864" spans="8:8" x14ac:dyDescent="0.3">
      <c r="H16864" t="str">
        <f t="shared" si="313"/>
        <v/>
      </c>
    </row>
    <row r="16865" spans="8:8" x14ac:dyDescent="0.3">
      <c r="H16865" t="str">
        <f t="shared" si="313"/>
        <v/>
      </c>
    </row>
    <row r="16866" spans="8:8" x14ac:dyDescent="0.3">
      <c r="H16866" t="str">
        <f t="shared" si="313"/>
        <v/>
      </c>
    </row>
    <row r="16867" spans="8:8" x14ac:dyDescent="0.3">
      <c r="H16867" t="str">
        <f t="shared" si="313"/>
        <v/>
      </c>
    </row>
    <row r="16868" spans="8:8" x14ac:dyDescent="0.3">
      <c r="H16868" t="str">
        <f t="shared" si="313"/>
        <v/>
      </c>
    </row>
    <row r="16869" spans="8:8" x14ac:dyDescent="0.3">
      <c r="H16869" t="str">
        <f t="shared" si="313"/>
        <v/>
      </c>
    </row>
    <row r="16870" spans="8:8" x14ac:dyDescent="0.3">
      <c r="H16870" t="str">
        <f t="shared" si="313"/>
        <v/>
      </c>
    </row>
    <row r="16871" spans="8:8" x14ac:dyDescent="0.3">
      <c r="H16871" t="str">
        <f t="shared" si="313"/>
        <v/>
      </c>
    </row>
    <row r="16872" spans="8:8" x14ac:dyDescent="0.3">
      <c r="H16872" t="str">
        <f t="shared" si="313"/>
        <v/>
      </c>
    </row>
    <row r="16873" spans="8:8" x14ac:dyDescent="0.3">
      <c r="H16873" t="str">
        <f t="shared" si="313"/>
        <v/>
      </c>
    </row>
    <row r="16874" spans="8:8" x14ac:dyDescent="0.3">
      <c r="H16874" t="str">
        <f t="shared" si="313"/>
        <v/>
      </c>
    </row>
    <row r="16875" spans="8:8" x14ac:dyDescent="0.3">
      <c r="H16875" t="str">
        <f t="shared" si="313"/>
        <v/>
      </c>
    </row>
    <row r="16876" spans="8:8" x14ac:dyDescent="0.3">
      <c r="H16876" t="str">
        <f t="shared" si="313"/>
        <v/>
      </c>
    </row>
    <row r="16877" spans="8:8" x14ac:dyDescent="0.3">
      <c r="H16877" t="str">
        <f t="shared" si="313"/>
        <v/>
      </c>
    </row>
    <row r="16878" spans="8:8" x14ac:dyDescent="0.3">
      <c r="H16878" t="str">
        <f t="shared" si="313"/>
        <v/>
      </c>
    </row>
    <row r="16879" spans="8:8" x14ac:dyDescent="0.3">
      <c r="H16879" t="str">
        <f t="shared" si="313"/>
        <v/>
      </c>
    </row>
    <row r="16880" spans="8:8" x14ac:dyDescent="0.3">
      <c r="H16880" t="str">
        <f t="shared" si="313"/>
        <v/>
      </c>
    </row>
    <row r="16881" spans="8:8" x14ac:dyDescent="0.3">
      <c r="H16881" t="str">
        <f t="shared" si="313"/>
        <v/>
      </c>
    </row>
    <row r="16882" spans="8:8" x14ac:dyDescent="0.3">
      <c r="H16882" t="str">
        <f t="shared" si="313"/>
        <v/>
      </c>
    </row>
    <row r="16883" spans="8:8" x14ac:dyDescent="0.3">
      <c r="H16883" t="str">
        <f t="shared" si="313"/>
        <v/>
      </c>
    </row>
    <row r="16884" spans="8:8" x14ac:dyDescent="0.3">
      <c r="H16884" t="str">
        <f t="shared" si="313"/>
        <v/>
      </c>
    </row>
    <row r="16885" spans="8:8" x14ac:dyDescent="0.3">
      <c r="H16885" t="str">
        <f t="shared" si="313"/>
        <v/>
      </c>
    </row>
    <row r="16886" spans="8:8" x14ac:dyDescent="0.3">
      <c r="H16886" t="str">
        <f t="shared" si="313"/>
        <v/>
      </c>
    </row>
    <row r="16887" spans="8:8" x14ac:dyDescent="0.3">
      <c r="H16887" t="str">
        <f t="shared" si="313"/>
        <v/>
      </c>
    </row>
    <row r="16888" spans="8:8" x14ac:dyDescent="0.3">
      <c r="H16888" t="str">
        <f t="shared" si="313"/>
        <v/>
      </c>
    </row>
    <row r="16889" spans="8:8" x14ac:dyDescent="0.3">
      <c r="H16889" t="str">
        <f t="shared" si="313"/>
        <v/>
      </c>
    </row>
    <row r="16890" spans="8:8" x14ac:dyDescent="0.3">
      <c r="H16890" t="str">
        <f t="shared" si="313"/>
        <v/>
      </c>
    </row>
    <row r="16891" spans="8:8" x14ac:dyDescent="0.3">
      <c r="H16891" t="str">
        <f t="shared" si="313"/>
        <v/>
      </c>
    </row>
    <row r="16892" spans="8:8" x14ac:dyDescent="0.3">
      <c r="H16892" t="str">
        <f t="shared" si="313"/>
        <v/>
      </c>
    </row>
    <row r="16893" spans="8:8" x14ac:dyDescent="0.3">
      <c r="H16893" t="str">
        <f t="shared" si="313"/>
        <v/>
      </c>
    </row>
    <row r="16894" spans="8:8" x14ac:dyDescent="0.3">
      <c r="H16894" t="str">
        <f t="shared" si="313"/>
        <v/>
      </c>
    </row>
    <row r="16895" spans="8:8" x14ac:dyDescent="0.3">
      <c r="H16895" t="str">
        <f t="shared" si="313"/>
        <v/>
      </c>
    </row>
    <row r="16896" spans="8:8" x14ac:dyDescent="0.3">
      <c r="H16896" t="str">
        <f t="shared" si="313"/>
        <v/>
      </c>
    </row>
    <row r="16897" spans="8:8" x14ac:dyDescent="0.3">
      <c r="H16897" t="str">
        <f t="shared" si="313"/>
        <v/>
      </c>
    </row>
    <row r="16898" spans="8:8" x14ac:dyDescent="0.3">
      <c r="H16898" t="str">
        <f t="shared" si="313"/>
        <v/>
      </c>
    </row>
    <row r="16899" spans="8:8" x14ac:dyDescent="0.3">
      <c r="H16899" t="str">
        <f t="shared" si="313"/>
        <v/>
      </c>
    </row>
    <row r="16900" spans="8:8" x14ac:dyDescent="0.3">
      <c r="H16900" t="str">
        <f t="shared" si="313"/>
        <v/>
      </c>
    </row>
    <row r="16901" spans="8:8" x14ac:dyDescent="0.3">
      <c r="H16901" t="str">
        <f t="shared" si="313"/>
        <v/>
      </c>
    </row>
    <row r="16902" spans="8:8" x14ac:dyDescent="0.3">
      <c r="H16902" t="str">
        <f t="shared" si="313"/>
        <v/>
      </c>
    </row>
    <row r="16903" spans="8:8" x14ac:dyDescent="0.3">
      <c r="H16903" t="str">
        <f t="shared" si="313"/>
        <v/>
      </c>
    </row>
    <row r="16904" spans="8:8" x14ac:dyDescent="0.3">
      <c r="H16904" t="str">
        <f t="shared" si="313"/>
        <v/>
      </c>
    </row>
    <row r="16905" spans="8:8" x14ac:dyDescent="0.3">
      <c r="H16905" t="str">
        <f t="shared" si="313"/>
        <v/>
      </c>
    </row>
    <row r="16906" spans="8:8" x14ac:dyDescent="0.3">
      <c r="H16906" t="str">
        <f t="shared" si="313"/>
        <v/>
      </c>
    </row>
    <row r="16907" spans="8:8" x14ac:dyDescent="0.3">
      <c r="H16907" t="str">
        <f t="shared" si="313"/>
        <v/>
      </c>
    </row>
    <row r="16908" spans="8:8" x14ac:dyDescent="0.3">
      <c r="H16908" t="str">
        <f t="shared" si="313"/>
        <v/>
      </c>
    </row>
    <row r="16909" spans="8:8" x14ac:dyDescent="0.3">
      <c r="H16909" t="str">
        <f t="shared" si="313"/>
        <v/>
      </c>
    </row>
    <row r="16910" spans="8:8" x14ac:dyDescent="0.3">
      <c r="H16910" t="str">
        <f t="shared" si="313"/>
        <v/>
      </c>
    </row>
    <row r="16911" spans="8:8" x14ac:dyDescent="0.3">
      <c r="H16911" t="str">
        <f t="shared" si="313"/>
        <v/>
      </c>
    </row>
    <row r="16912" spans="8:8" x14ac:dyDescent="0.3">
      <c r="H16912" t="str">
        <f t="shared" si="313"/>
        <v/>
      </c>
    </row>
    <row r="16913" spans="8:8" x14ac:dyDescent="0.3">
      <c r="H16913" t="str">
        <f t="shared" si="313"/>
        <v/>
      </c>
    </row>
    <row r="16914" spans="8:8" x14ac:dyDescent="0.3">
      <c r="H16914" t="str">
        <f t="shared" si="313"/>
        <v/>
      </c>
    </row>
    <row r="16915" spans="8:8" x14ac:dyDescent="0.3">
      <c r="H16915" t="str">
        <f t="shared" si="313"/>
        <v/>
      </c>
    </row>
    <row r="16916" spans="8:8" x14ac:dyDescent="0.3">
      <c r="H16916" t="str">
        <f t="shared" si="313"/>
        <v/>
      </c>
    </row>
    <row r="16917" spans="8:8" x14ac:dyDescent="0.3">
      <c r="H16917" t="str">
        <f t="shared" si="313"/>
        <v/>
      </c>
    </row>
    <row r="16918" spans="8:8" x14ac:dyDescent="0.3">
      <c r="H16918" t="str">
        <f t="shared" si="313"/>
        <v/>
      </c>
    </row>
    <row r="16919" spans="8:8" x14ac:dyDescent="0.3">
      <c r="H16919" t="str">
        <f t="shared" ref="H16919:H16982" si="314">IF(B16919="","",$C$12)</f>
        <v/>
      </c>
    </row>
    <row r="16920" spans="8:8" x14ac:dyDescent="0.3">
      <c r="H16920" t="str">
        <f t="shared" si="314"/>
        <v/>
      </c>
    </row>
    <row r="16921" spans="8:8" x14ac:dyDescent="0.3">
      <c r="H16921" t="str">
        <f t="shared" si="314"/>
        <v/>
      </c>
    </row>
    <row r="16922" spans="8:8" x14ac:dyDescent="0.3">
      <c r="H16922" t="str">
        <f t="shared" si="314"/>
        <v/>
      </c>
    </row>
    <row r="16923" spans="8:8" x14ac:dyDescent="0.3">
      <c r="H16923" t="str">
        <f t="shared" si="314"/>
        <v/>
      </c>
    </row>
    <row r="16924" spans="8:8" x14ac:dyDescent="0.3">
      <c r="H16924" t="str">
        <f t="shared" si="314"/>
        <v/>
      </c>
    </row>
    <row r="16925" spans="8:8" x14ac:dyDescent="0.3">
      <c r="H16925" t="str">
        <f t="shared" si="314"/>
        <v/>
      </c>
    </row>
    <row r="16926" spans="8:8" x14ac:dyDescent="0.3">
      <c r="H16926" t="str">
        <f t="shared" si="314"/>
        <v/>
      </c>
    </row>
    <row r="16927" spans="8:8" x14ac:dyDescent="0.3">
      <c r="H16927" t="str">
        <f t="shared" si="314"/>
        <v/>
      </c>
    </row>
    <row r="16928" spans="8:8" x14ac:dyDescent="0.3">
      <c r="H16928" t="str">
        <f t="shared" si="314"/>
        <v/>
      </c>
    </row>
    <row r="16929" spans="8:8" x14ac:dyDescent="0.3">
      <c r="H16929" t="str">
        <f t="shared" si="314"/>
        <v/>
      </c>
    </row>
    <row r="16930" spans="8:8" x14ac:dyDescent="0.3">
      <c r="H16930" t="str">
        <f t="shared" si="314"/>
        <v/>
      </c>
    </row>
    <row r="16931" spans="8:8" x14ac:dyDescent="0.3">
      <c r="H16931" t="str">
        <f t="shared" si="314"/>
        <v/>
      </c>
    </row>
    <row r="16932" spans="8:8" x14ac:dyDescent="0.3">
      <c r="H16932" t="str">
        <f t="shared" si="314"/>
        <v/>
      </c>
    </row>
    <row r="16933" spans="8:8" x14ac:dyDescent="0.3">
      <c r="H16933" t="str">
        <f t="shared" si="314"/>
        <v/>
      </c>
    </row>
    <row r="16934" spans="8:8" x14ac:dyDescent="0.3">
      <c r="H16934" t="str">
        <f t="shared" si="314"/>
        <v/>
      </c>
    </row>
    <row r="16935" spans="8:8" x14ac:dyDescent="0.3">
      <c r="H16935" t="str">
        <f t="shared" si="314"/>
        <v/>
      </c>
    </row>
    <row r="16936" spans="8:8" x14ac:dyDescent="0.3">
      <c r="H16936" t="str">
        <f t="shared" si="314"/>
        <v/>
      </c>
    </row>
    <row r="16937" spans="8:8" x14ac:dyDescent="0.3">
      <c r="H16937" t="str">
        <f t="shared" si="314"/>
        <v/>
      </c>
    </row>
    <row r="16938" spans="8:8" x14ac:dyDescent="0.3">
      <c r="H16938" t="str">
        <f t="shared" si="314"/>
        <v/>
      </c>
    </row>
    <row r="16939" spans="8:8" x14ac:dyDescent="0.3">
      <c r="H16939" t="str">
        <f t="shared" si="314"/>
        <v/>
      </c>
    </row>
    <row r="16940" spans="8:8" x14ac:dyDescent="0.3">
      <c r="H16940" t="str">
        <f t="shared" si="314"/>
        <v/>
      </c>
    </row>
    <row r="16941" spans="8:8" x14ac:dyDescent="0.3">
      <c r="H16941" t="str">
        <f t="shared" si="314"/>
        <v/>
      </c>
    </row>
    <row r="16942" spans="8:8" x14ac:dyDescent="0.3">
      <c r="H16942" t="str">
        <f t="shared" si="314"/>
        <v/>
      </c>
    </row>
    <row r="16943" spans="8:8" x14ac:dyDescent="0.3">
      <c r="H16943" t="str">
        <f t="shared" si="314"/>
        <v/>
      </c>
    </row>
    <row r="16944" spans="8:8" x14ac:dyDescent="0.3">
      <c r="H16944" t="str">
        <f t="shared" si="314"/>
        <v/>
      </c>
    </row>
    <row r="16945" spans="8:8" x14ac:dyDescent="0.3">
      <c r="H16945" t="str">
        <f t="shared" si="314"/>
        <v/>
      </c>
    </row>
    <row r="16946" spans="8:8" x14ac:dyDescent="0.3">
      <c r="H16946" t="str">
        <f t="shared" si="314"/>
        <v/>
      </c>
    </row>
    <row r="16947" spans="8:8" x14ac:dyDescent="0.3">
      <c r="H16947" t="str">
        <f t="shared" si="314"/>
        <v/>
      </c>
    </row>
    <row r="16948" spans="8:8" x14ac:dyDescent="0.3">
      <c r="H16948" t="str">
        <f t="shared" si="314"/>
        <v/>
      </c>
    </row>
    <row r="16949" spans="8:8" x14ac:dyDescent="0.3">
      <c r="H16949" t="str">
        <f t="shared" si="314"/>
        <v/>
      </c>
    </row>
    <row r="16950" spans="8:8" x14ac:dyDescent="0.3">
      <c r="H16950" t="str">
        <f t="shared" si="314"/>
        <v/>
      </c>
    </row>
    <row r="16951" spans="8:8" x14ac:dyDescent="0.3">
      <c r="H16951" t="str">
        <f t="shared" si="314"/>
        <v/>
      </c>
    </row>
    <row r="16952" spans="8:8" x14ac:dyDescent="0.3">
      <c r="H16952" t="str">
        <f t="shared" si="314"/>
        <v/>
      </c>
    </row>
    <row r="16953" spans="8:8" x14ac:dyDescent="0.3">
      <c r="H16953" t="str">
        <f t="shared" si="314"/>
        <v/>
      </c>
    </row>
    <row r="16954" spans="8:8" x14ac:dyDescent="0.3">
      <c r="H16954" t="str">
        <f t="shared" si="314"/>
        <v/>
      </c>
    </row>
    <row r="16955" spans="8:8" x14ac:dyDescent="0.3">
      <c r="H16955" t="str">
        <f t="shared" si="314"/>
        <v/>
      </c>
    </row>
    <row r="16956" spans="8:8" x14ac:dyDescent="0.3">
      <c r="H16956" t="str">
        <f t="shared" si="314"/>
        <v/>
      </c>
    </row>
    <row r="16957" spans="8:8" x14ac:dyDescent="0.3">
      <c r="H16957" t="str">
        <f t="shared" si="314"/>
        <v/>
      </c>
    </row>
    <row r="16958" spans="8:8" x14ac:dyDescent="0.3">
      <c r="H16958" t="str">
        <f t="shared" si="314"/>
        <v/>
      </c>
    </row>
    <row r="16959" spans="8:8" x14ac:dyDescent="0.3">
      <c r="H16959" t="str">
        <f t="shared" si="314"/>
        <v/>
      </c>
    </row>
    <row r="16960" spans="8:8" x14ac:dyDescent="0.3">
      <c r="H16960" t="str">
        <f t="shared" si="314"/>
        <v/>
      </c>
    </row>
    <row r="16961" spans="8:8" x14ac:dyDescent="0.3">
      <c r="H16961" t="str">
        <f t="shared" si="314"/>
        <v/>
      </c>
    </row>
    <row r="16962" spans="8:8" x14ac:dyDescent="0.3">
      <c r="H16962" t="str">
        <f t="shared" si="314"/>
        <v/>
      </c>
    </row>
    <row r="16963" spans="8:8" x14ac:dyDescent="0.3">
      <c r="H16963" t="str">
        <f t="shared" si="314"/>
        <v/>
      </c>
    </row>
    <row r="16964" spans="8:8" x14ac:dyDescent="0.3">
      <c r="H16964" t="str">
        <f t="shared" si="314"/>
        <v/>
      </c>
    </row>
    <row r="16965" spans="8:8" x14ac:dyDescent="0.3">
      <c r="H16965" t="str">
        <f t="shared" si="314"/>
        <v/>
      </c>
    </row>
    <row r="16966" spans="8:8" x14ac:dyDescent="0.3">
      <c r="H16966" t="str">
        <f t="shared" si="314"/>
        <v/>
      </c>
    </row>
    <row r="16967" spans="8:8" x14ac:dyDescent="0.3">
      <c r="H16967" t="str">
        <f t="shared" si="314"/>
        <v/>
      </c>
    </row>
    <row r="16968" spans="8:8" x14ac:dyDescent="0.3">
      <c r="H16968" t="str">
        <f t="shared" si="314"/>
        <v/>
      </c>
    </row>
    <row r="16969" spans="8:8" x14ac:dyDescent="0.3">
      <c r="H16969" t="str">
        <f t="shared" si="314"/>
        <v/>
      </c>
    </row>
    <row r="16970" spans="8:8" x14ac:dyDescent="0.3">
      <c r="H16970" t="str">
        <f t="shared" si="314"/>
        <v/>
      </c>
    </row>
    <row r="16971" spans="8:8" x14ac:dyDescent="0.3">
      <c r="H16971" t="str">
        <f t="shared" si="314"/>
        <v/>
      </c>
    </row>
    <row r="16972" spans="8:8" x14ac:dyDescent="0.3">
      <c r="H16972" t="str">
        <f t="shared" si="314"/>
        <v/>
      </c>
    </row>
    <row r="16973" spans="8:8" x14ac:dyDescent="0.3">
      <c r="H16973" t="str">
        <f t="shared" si="314"/>
        <v/>
      </c>
    </row>
    <row r="16974" spans="8:8" x14ac:dyDescent="0.3">
      <c r="H16974" t="str">
        <f t="shared" si="314"/>
        <v/>
      </c>
    </row>
    <row r="16975" spans="8:8" x14ac:dyDescent="0.3">
      <c r="H16975" t="str">
        <f t="shared" si="314"/>
        <v/>
      </c>
    </row>
    <row r="16976" spans="8:8" x14ac:dyDescent="0.3">
      <c r="H16976" t="str">
        <f t="shared" si="314"/>
        <v/>
      </c>
    </row>
    <row r="16977" spans="8:8" x14ac:dyDescent="0.3">
      <c r="H16977" t="str">
        <f t="shared" si="314"/>
        <v/>
      </c>
    </row>
    <row r="16978" spans="8:8" x14ac:dyDescent="0.3">
      <c r="H16978" t="str">
        <f t="shared" si="314"/>
        <v/>
      </c>
    </row>
    <row r="16979" spans="8:8" x14ac:dyDescent="0.3">
      <c r="H16979" t="str">
        <f t="shared" si="314"/>
        <v/>
      </c>
    </row>
    <row r="16980" spans="8:8" x14ac:dyDescent="0.3">
      <c r="H16980" t="str">
        <f t="shared" si="314"/>
        <v/>
      </c>
    </row>
    <row r="16981" spans="8:8" x14ac:dyDescent="0.3">
      <c r="H16981" t="str">
        <f t="shared" si="314"/>
        <v/>
      </c>
    </row>
    <row r="16982" spans="8:8" x14ac:dyDescent="0.3">
      <c r="H16982" t="str">
        <f t="shared" si="314"/>
        <v/>
      </c>
    </row>
    <row r="16983" spans="8:8" x14ac:dyDescent="0.3">
      <c r="H16983" t="str">
        <f t="shared" ref="H16983:H17046" si="315">IF(B16983="","",$C$12)</f>
        <v/>
      </c>
    </row>
    <row r="16984" spans="8:8" x14ac:dyDescent="0.3">
      <c r="H16984" t="str">
        <f t="shared" si="315"/>
        <v/>
      </c>
    </row>
    <row r="16985" spans="8:8" x14ac:dyDescent="0.3">
      <c r="H16985" t="str">
        <f t="shared" si="315"/>
        <v/>
      </c>
    </row>
    <row r="16986" spans="8:8" x14ac:dyDescent="0.3">
      <c r="H16986" t="str">
        <f t="shared" si="315"/>
        <v/>
      </c>
    </row>
    <row r="16987" spans="8:8" x14ac:dyDescent="0.3">
      <c r="H16987" t="str">
        <f t="shared" si="315"/>
        <v/>
      </c>
    </row>
    <row r="16988" spans="8:8" x14ac:dyDescent="0.3">
      <c r="H16988" t="str">
        <f t="shared" si="315"/>
        <v/>
      </c>
    </row>
    <row r="16989" spans="8:8" x14ac:dyDescent="0.3">
      <c r="H16989" t="str">
        <f t="shared" si="315"/>
        <v/>
      </c>
    </row>
    <row r="16990" spans="8:8" x14ac:dyDescent="0.3">
      <c r="H16990" t="str">
        <f t="shared" si="315"/>
        <v/>
      </c>
    </row>
    <row r="16991" spans="8:8" x14ac:dyDescent="0.3">
      <c r="H16991" t="str">
        <f t="shared" si="315"/>
        <v/>
      </c>
    </row>
    <row r="16992" spans="8:8" x14ac:dyDescent="0.3">
      <c r="H16992" t="str">
        <f t="shared" si="315"/>
        <v/>
      </c>
    </row>
    <row r="16993" spans="8:8" x14ac:dyDescent="0.3">
      <c r="H16993" t="str">
        <f t="shared" si="315"/>
        <v/>
      </c>
    </row>
    <row r="16994" spans="8:8" x14ac:dyDescent="0.3">
      <c r="H16994" t="str">
        <f t="shared" si="315"/>
        <v/>
      </c>
    </row>
    <row r="16995" spans="8:8" x14ac:dyDescent="0.3">
      <c r="H16995" t="str">
        <f t="shared" si="315"/>
        <v/>
      </c>
    </row>
    <row r="16996" spans="8:8" x14ac:dyDescent="0.3">
      <c r="H16996" t="str">
        <f t="shared" si="315"/>
        <v/>
      </c>
    </row>
    <row r="16997" spans="8:8" x14ac:dyDescent="0.3">
      <c r="H16997" t="str">
        <f t="shared" si="315"/>
        <v/>
      </c>
    </row>
    <row r="16998" spans="8:8" x14ac:dyDescent="0.3">
      <c r="H16998" t="str">
        <f t="shared" si="315"/>
        <v/>
      </c>
    </row>
    <row r="16999" spans="8:8" x14ac:dyDescent="0.3">
      <c r="H16999" t="str">
        <f t="shared" si="315"/>
        <v/>
      </c>
    </row>
    <row r="17000" spans="8:8" x14ac:dyDescent="0.3">
      <c r="H17000" t="str">
        <f t="shared" si="315"/>
        <v/>
      </c>
    </row>
    <row r="17001" spans="8:8" x14ac:dyDescent="0.3">
      <c r="H17001" t="str">
        <f t="shared" si="315"/>
        <v/>
      </c>
    </row>
    <row r="17002" spans="8:8" x14ac:dyDescent="0.3">
      <c r="H17002" t="str">
        <f t="shared" si="315"/>
        <v/>
      </c>
    </row>
    <row r="17003" spans="8:8" x14ac:dyDescent="0.3">
      <c r="H17003" t="str">
        <f t="shared" si="315"/>
        <v/>
      </c>
    </row>
    <row r="17004" spans="8:8" x14ac:dyDescent="0.3">
      <c r="H17004" t="str">
        <f t="shared" si="315"/>
        <v/>
      </c>
    </row>
    <row r="17005" spans="8:8" x14ac:dyDescent="0.3">
      <c r="H17005" t="str">
        <f t="shared" si="315"/>
        <v/>
      </c>
    </row>
    <row r="17006" spans="8:8" x14ac:dyDescent="0.3">
      <c r="H17006" t="str">
        <f t="shared" si="315"/>
        <v/>
      </c>
    </row>
    <row r="17007" spans="8:8" x14ac:dyDescent="0.3">
      <c r="H17007" t="str">
        <f t="shared" si="315"/>
        <v/>
      </c>
    </row>
    <row r="17008" spans="8:8" x14ac:dyDescent="0.3">
      <c r="H17008" t="str">
        <f t="shared" si="315"/>
        <v/>
      </c>
    </row>
    <row r="17009" spans="8:8" x14ac:dyDescent="0.3">
      <c r="H17009" t="str">
        <f t="shared" si="315"/>
        <v/>
      </c>
    </row>
    <row r="17010" spans="8:8" x14ac:dyDescent="0.3">
      <c r="H17010" t="str">
        <f t="shared" si="315"/>
        <v/>
      </c>
    </row>
    <row r="17011" spans="8:8" x14ac:dyDescent="0.3">
      <c r="H17011" t="str">
        <f t="shared" si="315"/>
        <v/>
      </c>
    </row>
    <row r="17012" spans="8:8" x14ac:dyDescent="0.3">
      <c r="H17012" t="str">
        <f t="shared" si="315"/>
        <v/>
      </c>
    </row>
    <row r="17013" spans="8:8" x14ac:dyDescent="0.3">
      <c r="H17013" t="str">
        <f t="shared" si="315"/>
        <v/>
      </c>
    </row>
    <row r="17014" spans="8:8" x14ac:dyDescent="0.3">
      <c r="H17014" t="str">
        <f t="shared" si="315"/>
        <v/>
      </c>
    </row>
    <row r="17015" spans="8:8" x14ac:dyDescent="0.3">
      <c r="H17015" t="str">
        <f t="shared" si="315"/>
        <v/>
      </c>
    </row>
    <row r="17016" spans="8:8" x14ac:dyDescent="0.3">
      <c r="H17016" t="str">
        <f t="shared" si="315"/>
        <v/>
      </c>
    </row>
    <row r="17017" spans="8:8" x14ac:dyDescent="0.3">
      <c r="H17017" t="str">
        <f t="shared" si="315"/>
        <v/>
      </c>
    </row>
    <row r="17018" spans="8:8" x14ac:dyDescent="0.3">
      <c r="H17018" t="str">
        <f t="shared" si="315"/>
        <v/>
      </c>
    </row>
    <row r="17019" spans="8:8" x14ac:dyDescent="0.3">
      <c r="H17019" t="str">
        <f t="shared" si="315"/>
        <v/>
      </c>
    </row>
    <row r="17020" spans="8:8" x14ac:dyDescent="0.3">
      <c r="H17020" t="str">
        <f t="shared" si="315"/>
        <v/>
      </c>
    </row>
    <row r="17021" spans="8:8" x14ac:dyDescent="0.3">
      <c r="H17021" t="str">
        <f t="shared" si="315"/>
        <v/>
      </c>
    </row>
    <row r="17022" spans="8:8" x14ac:dyDescent="0.3">
      <c r="H17022" t="str">
        <f t="shared" si="315"/>
        <v/>
      </c>
    </row>
    <row r="17023" spans="8:8" x14ac:dyDescent="0.3">
      <c r="H17023" t="str">
        <f t="shared" si="315"/>
        <v/>
      </c>
    </row>
    <row r="17024" spans="8:8" x14ac:dyDescent="0.3">
      <c r="H17024" t="str">
        <f t="shared" si="315"/>
        <v/>
      </c>
    </row>
    <row r="17025" spans="8:8" x14ac:dyDescent="0.3">
      <c r="H17025" t="str">
        <f t="shared" si="315"/>
        <v/>
      </c>
    </row>
    <row r="17026" spans="8:8" x14ac:dyDescent="0.3">
      <c r="H17026" t="str">
        <f t="shared" si="315"/>
        <v/>
      </c>
    </row>
    <row r="17027" spans="8:8" x14ac:dyDescent="0.3">
      <c r="H17027" t="str">
        <f t="shared" si="315"/>
        <v/>
      </c>
    </row>
    <row r="17028" spans="8:8" x14ac:dyDescent="0.3">
      <c r="H17028" t="str">
        <f t="shared" si="315"/>
        <v/>
      </c>
    </row>
    <row r="17029" spans="8:8" x14ac:dyDescent="0.3">
      <c r="H17029" t="str">
        <f t="shared" si="315"/>
        <v/>
      </c>
    </row>
    <row r="17030" spans="8:8" x14ac:dyDescent="0.3">
      <c r="H17030" t="str">
        <f t="shared" si="315"/>
        <v/>
      </c>
    </row>
    <row r="17031" spans="8:8" x14ac:dyDescent="0.3">
      <c r="H17031" t="str">
        <f t="shared" si="315"/>
        <v/>
      </c>
    </row>
    <row r="17032" spans="8:8" x14ac:dyDescent="0.3">
      <c r="H17032" t="str">
        <f t="shared" si="315"/>
        <v/>
      </c>
    </row>
    <row r="17033" spans="8:8" x14ac:dyDescent="0.3">
      <c r="H17033" t="str">
        <f t="shared" si="315"/>
        <v/>
      </c>
    </row>
    <row r="17034" spans="8:8" x14ac:dyDescent="0.3">
      <c r="H17034" t="str">
        <f t="shared" si="315"/>
        <v/>
      </c>
    </row>
    <row r="17035" spans="8:8" x14ac:dyDescent="0.3">
      <c r="H17035" t="str">
        <f t="shared" si="315"/>
        <v/>
      </c>
    </row>
    <row r="17036" spans="8:8" x14ac:dyDescent="0.3">
      <c r="H17036" t="str">
        <f t="shared" si="315"/>
        <v/>
      </c>
    </row>
    <row r="17037" spans="8:8" x14ac:dyDescent="0.3">
      <c r="H17037" t="str">
        <f t="shared" si="315"/>
        <v/>
      </c>
    </row>
    <row r="17038" spans="8:8" x14ac:dyDescent="0.3">
      <c r="H17038" t="str">
        <f t="shared" si="315"/>
        <v/>
      </c>
    </row>
    <row r="17039" spans="8:8" x14ac:dyDescent="0.3">
      <c r="H17039" t="str">
        <f t="shared" si="315"/>
        <v/>
      </c>
    </row>
    <row r="17040" spans="8:8" x14ac:dyDescent="0.3">
      <c r="H17040" t="str">
        <f t="shared" si="315"/>
        <v/>
      </c>
    </row>
    <row r="17041" spans="8:8" x14ac:dyDescent="0.3">
      <c r="H17041" t="str">
        <f t="shared" si="315"/>
        <v/>
      </c>
    </row>
    <row r="17042" spans="8:8" x14ac:dyDescent="0.3">
      <c r="H17042" t="str">
        <f t="shared" si="315"/>
        <v/>
      </c>
    </row>
    <row r="17043" spans="8:8" x14ac:dyDescent="0.3">
      <c r="H17043" t="str">
        <f t="shared" si="315"/>
        <v/>
      </c>
    </row>
    <row r="17044" spans="8:8" x14ac:dyDescent="0.3">
      <c r="H17044" t="str">
        <f t="shared" si="315"/>
        <v/>
      </c>
    </row>
    <row r="17045" spans="8:8" x14ac:dyDescent="0.3">
      <c r="H17045" t="str">
        <f t="shared" si="315"/>
        <v/>
      </c>
    </row>
    <row r="17046" spans="8:8" x14ac:dyDescent="0.3">
      <c r="H17046" t="str">
        <f t="shared" si="315"/>
        <v/>
      </c>
    </row>
    <row r="17047" spans="8:8" x14ac:dyDescent="0.3">
      <c r="H17047" t="str">
        <f t="shared" ref="H17047:H17110" si="316">IF(B17047="","",$C$12)</f>
        <v/>
      </c>
    </row>
    <row r="17048" spans="8:8" x14ac:dyDescent="0.3">
      <c r="H17048" t="str">
        <f t="shared" si="316"/>
        <v/>
      </c>
    </row>
    <row r="17049" spans="8:8" x14ac:dyDescent="0.3">
      <c r="H17049" t="str">
        <f t="shared" si="316"/>
        <v/>
      </c>
    </row>
    <row r="17050" spans="8:8" x14ac:dyDescent="0.3">
      <c r="H17050" t="str">
        <f t="shared" si="316"/>
        <v/>
      </c>
    </row>
    <row r="17051" spans="8:8" x14ac:dyDescent="0.3">
      <c r="H17051" t="str">
        <f t="shared" si="316"/>
        <v/>
      </c>
    </row>
    <row r="17052" spans="8:8" x14ac:dyDescent="0.3">
      <c r="H17052" t="str">
        <f t="shared" si="316"/>
        <v/>
      </c>
    </row>
    <row r="17053" spans="8:8" x14ac:dyDescent="0.3">
      <c r="H17053" t="str">
        <f t="shared" si="316"/>
        <v/>
      </c>
    </row>
    <row r="17054" spans="8:8" x14ac:dyDescent="0.3">
      <c r="H17054" t="str">
        <f t="shared" si="316"/>
        <v/>
      </c>
    </row>
    <row r="17055" spans="8:8" x14ac:dyDescent="0.3">
      <c r="H17055" t="str">
        <f t="shared" si="316"/>
        <v/>
      </c>
    </row>
    <row r="17056" spans="8:8" x14ac:dyDescent="0.3">
      <c r="H17056" t="str">
        <f t="shared" si="316"/>
        <v/>
      </c>
    </row>
    <row r="17057" spans="8:8" x14ac:dyDescent="0.3">
      <c r="H17057" t="str">
        <f t="shared" si="316"/>
        <v/>
      </c>
    </row>
    <row r="17058" spans="8:8" x14ac:dyDescent="0.3">
      <c r="H17058" t="str">
        <f t="shared" si="316"/>
        <v/>
      </c>
    </row>
    <row r="17059" spans="8:8" x14ac:dyDescent="0.3">
      <c r="H17059" t="str">
        <f t="shared" si="316"/>
        <v/>
      </c>
    </row>
    <row r="17060" spans="8:8" x14ac:dyDescent="0.3">
      <c r="H17060" t="str">
        <f t="shared" si="316"/>
        <v/>
      </c>
    </row>
    <row r="17061" spans="8:8" x14ac:dyDescent="0.3">
      <c r="H17061" t="str">
        <f t="shared" si="316"/>
        <v/>
      </c>
    </row>
    <row r="17062" spans="8:8" x14ac:dyDescent="0.3">
      <c r="H17062" t="str">
        <f t="shared" si="316"/>
        <v/>
      </c>
    </row>
    <row r="17063" spans="8:8" x14ac:dyDescent="0.3">
      <c r="H17063" t="str">
        <f t="shared" si="316"/>
        <v/>
      </c>
    </row>
    <row r="17064" spans="8:8" x14ac:dyDescent="0.3">
      <c r="H17064" t="str">
        <f t="shared" si="316"/>
        <v/>
      </c>
    </row>
    <row r="17065" spans="8:8" x14ac:dyDescent="0.3">
      <c r="H17065" t="str">
        <f t="shared" si="316"/>
        <v/>
      </c>
    </row>
    <row r="17066" spans="8:8" x14ac:dyDescent="0.3">
      <c r="H17066" t="str">
        <f t="shared" si="316"/>
        <v/>
      </c>
    </row>
    <row r="17067" spans="8:8" x14ac:dyDescent="0.3">
      <c r="H17067" t="str">
        <f t="shared" si="316"/>
        <v/>
      </c>
    </row>
    <row r="17068" spans="8:8" x14ac:dyDescent="0.3">
      <c r="H17068" t="str">
        <f t="shared" si="316"/>
        <v/>
      </c>
    </row>
    <row r="17069" spans="8:8" x14ac:dyDescent="0.3">
      <c r="H17069" t="str">
        <f t="shared" si="316"/>
        <v/>
      </c>
    </row>
    <row r="17070" spans="8:8" x14ac:dyDescent="0.3">
      <c r="H17070" t="str">
        <f t="shared" si="316"/>
        <v/>
      </c>
    </row>
    <row r="17071" spans="8:8" x14ac:dyDescent="0.3">
      <c r="H17071" t="str">
        <f t="shared" si="316"/>
        <v/>
      </c>
    </row>
    <row r="17072" spans="8:8" x14ac:dyDescent="0.3">
      <c r="H17072" t="str">
        <f t="shared" si="316"/>
        <v/>
      </c>
    </row>
    <row r="17073" spans="8:8" x14ac:dyDescent="0.3">
      <c r="H17073" t="str">
        <f t="shared" si="316"/>
        <v/>
      </c>
    </row>
    <row r="17074" spans="8:8" x14ac:dyDescent="0.3">
      <c r="H17074" t="str">
        <f t="shared" si="316"/>
        <v/>
      </c>
    </row>
    <row r="17075" spans="8:8" x14ac:dyDescent="0.3">
      <c r="H17075" t="str">
        <f t="shared" si="316"/>
        <v/>
      </c>
    </row>
    <row r="17076" spans="8:8" x14ac:dyDescent="0.3">
      <c r="H17076" t="str">
        <f t="shared" si="316"/>
        <v/>
      </c>
    </row>
    <row r="17077" spans="8:8" x14ac:dyDescent="0.3">
      <c r="H17077" t="str">
        <f t="shared" si="316"/>
        <v/>
      </c>
    </row>
    <row r="17078" spans="8:8" x14ac:dyDescent="0.3">
      <c r="H17078" t="str">
        <f t="shared" si="316"/>
        <v/>
      </c>
    </row>
    <row r="17079" spans="8:8" x14ac:dyDescent="0.3">
      <c r="H17079" t="str">
        <f t="shared" si="316"/>
        <v/>
      </c>
    </row>
    <row r="17080" spans="8:8" x14ac:dyDescent="0.3">
      <c r="H17080" t="str">
        <f t="shared" si="316"/>
        <v/>
      </c>
    </row>
    <row r="17081" spans="8:8" x14ac:dyDescent="0.3">
      <c r="H17081" t="str">
        <f t="shared" si="316"/>
        <v/>
      </c>
    </row>
    <row r="17082" spans="8:8" x14ac:dyDescent="0.3">
      <c r="H17082" t="str">
        <f t="shared" si="316"/>
        <v/>
      </c>
    </row>
    <row r="17083" spans="8:8" x14ac:dyDescent="0.3">
      <c r="H17083" t="str">
        <f t="shared" si="316"/>
        <v/>
      </c>
    </row>
    <row r="17084" spans="8:8" x14ac:dyDescent="0.3">
      <c r="H17084" t="str">
        <f t="shared" si="316"/>
        <v/>
      </c>
    </row>
    <row r="17085" spans="8:8" x14ac:dyDescent="0.3">
      <c r="H17085" t="str">
        <f t="shared" si="316"/>
        <v/>
      </c>
    </row>
    <row r="17086" spans="8:8" x14ac:dyDescent="0.3">
      <c r="H17086" t="str">
        <f t="shared" si="316"/>
        <v/>
      </c>
    </row>
    <row r="17087" spans="8:8" x14ac:dyDescent="0.3">
      <c r="H17087" t="str">
        <f t="shared" si="316"/>
        <v/>
      </c>
    </row>
    <row r="17088" spans="8:8" x14ac:dyDescent="0.3">
      <c r="H17088" t="str">
        <f t="shared" si="316"/>
        <v/>
      </c>
    </row>
    <row r="17089" spans="8:8" x14ac:dyDescent="0.3">
      <c r="H17089" t="str">
        <f t="shared" si="316"/>
        <v/>
      </c>
    </row>
    <row r="17090" spans="8:8" x14ac:dyDescent="0.3">
      <c r="H17090" t="str">
        <f t="shared" si="316"/>
        <v/>
      </c>
    </row>
    <row r="17091" spans="8:8" x14ac:dyDescent="0.3">
      <c r="H17091" t="str">
        <f t="shared" si="316"/>
        <v/>
      </c>
    </row>
    <row r="17092" spans="8:8" x14ac:dyDescent="0.3">
      <c r="H17092" t="str">
        <f t="shared" si="316"/>
        <v/>
      </c>
    </row>
    <row r="17093" spans="8:8" x14ac:dyDescent="0.3">
      <c r="H17093" t="str">
        <f t="shared" si="316"/>
        <v/>
      </c>
    </row>
    <row r="17094" spans="8:8" x14ac:dyDescent="0.3">
      <c r="H17094" t="str">
        <f t="shared" si="316"/>
        <v/>
      </c>
    </row>
    <row r="17095" spans="8:8" x14ac:dyDescent="0.3">
      <c r="H17095" t="str">
        <f t="shared" si="316"/>
        <v/>
      </c>
    </row>
    <row r="17096" spans="8:8" x14ac:dyDescent="0.3">
      <c r="H17096" t="str">
        <f t="shared" si="316"/>
        <v/>
      </c>
    </row>
    <row r="17097" spans="8:8" x14ac:dyDescent="0.3">
      <c r="H17097" t="str">
        <f t="shared" si="316"/>
        <v/>
      </c>
    </row>
    <row r="17098" spans="8:8" x14ac:dyDescent="0.3">
      <c r="H17098" t="str">
        <f t="shared" si="316"/>
        <v/>
      </c>
    </row>
    <row r="17099" spans="8:8" x14ac:dyDescent="0.3">
      <c r="H17099" t="str">
        <f t="shared" si="316"/>
        <v/>
      </c>
    </row>
    <row r="17100" spans="8:8" x14ac:dyDescent="0.3">
      <c r="H17100" t="str">
        <f t="shared" si="316"/>
        <v/>
      </c>
    </row>
    <row r="17101" spans="8:8" x14ac:dyDescent="0.3">
      <c r="H17101" t="str">
        <f t="shared" si="316"/>
        <v/>
      </c>
    </row>
    <row r="17102" spans="8:8" x14ac:dyDescent="0.3">
      <c r="H17102" t="str">
        <f t="shared" si="316"/>
        <v/>
      </c>
    </row>
    <row r="17103" spans="8:8" x14ac:dyDescent="0.3">
      <c r="H17103" t="str">
        <f t="shared" si="316"/>
        <v/>
      </c>
    </row>
    <row r="17104" spans="8:8" x14ac:dyDescent="0.3">
      <c r="H17104" t="str">
        <f t="shared" si="316"/>
        <v/>
      </c>
    </row>
    <row r="17105" spans="8:8" x14ac:dyDescent="0.3">
      <c r="H17105" t="str">
        <f t="shared" si="316"/>
        <v/>
      </c>
    </row>
    <row r="17106" spans="8:8" x14ac:dyDescent="0.3">
      <c r="H17106" t="str">
        <f t="shared" si="316"/>
        <v/>
      </c>
    </row>
    <row r="17107" spans="8:8" x14ac:dyDescent="0.3">
      <c r="H17107" t="str">
        <f t="shared" si="316"/>
        <v/>
      </c>
    </row>
    <row r="17108" spans="8:8" x14ac:dyDescent="0.3">
      <c r="H17108" t="str">
        <f t="shared" si="316"/>
        <v/>
      </c>
    </row>
    <row r="17109" spans="8:8" x14ac:dyDescent="0.3">
      <c r="H17109" t="str">
        <f t="shared" si="316"/>
        <v/>
      </c>
    </row>
    <row r="17110" spans="8:8" x14ac:dyDescent="0.3">
      <c r="H17110" t="str">
        <f t="shared" si="316"/>
        <v/>
      </c>
    </row>
    <row r="17111" spans="8:8" x14ac:dyDescent="0.3">
      <c r="H17111" t="str">
        <f t="shared" ref="H17111:H17174" si="317">IF(B17111="","",$C$12)</f>
        <v/>
      </c>
    </row>
    <row r="17112" spans="8:8" x14ac:dyDescent="0.3">
      <c r="H17112" t="str">
        <f t="shared" si="317"/>
        <v/>
      </c>
    </row>
    <row r="17113" spans="8:8" x14ac:dyDescent="0.3">
      <c r="H17113" t="str">
        <f t="shared" si="317"/>
        <v/>
      </c>
    </row>
    <row r="17114" spans="8:8" x14ac:dyDescent="0.3">
      <c r="H17114" t="str">
        <f t="shared" si="317"/>
        <v/>
      </c>
    </row>
    <row r="17115" spans="8:8" x14ac:dyDescent="0.3">
      <c r="H17115" t="str">
        <f t="shared" si="317"/>
        <v/>
      </c>
    </row>
    <row r="17116" spans="8:8" x14ac:dyDescent="0.3">
      <c r="H17116" t="str">
        <f t="shared" si="317"/>
        <v/>
      </c>
    </row>
    <row r="17117" spans="8:8" x14ac:dyDescent="0.3">
      <c r="H17117" t="str">
        <f t="shared" si="317"/>
        <v/>
      </c>
    </row>
    <row r="17118" spans="8:8" x14ac:dyDescent="0.3">
      <c r="H17118" t="str">
        <f t="shared" si="317"/>
        <v/>
      </c>
    </row>
    <row r="17119" spans="8:8" x14ac:dyDescent="0.3">
      <c r="H17119" t="str">
        <f t="shared" si="317"/>
        <v/>
      </c>
    </row>
    <row r="17120" spans="8:8" x14ac:dyDescent="0.3">
      <c r="H17120" t="str">
        <f t="shared" si="317"/>
        <v/>
      </c>
    </row>
    <row r="17121" spans="8:8" x14ac:dyDescent="0.3">
      <c r="H17121" t="str">
        <f t="shared" si="317"/>
        <v/>
      </c>
    </row>
    <row r="17122" spans="8:8" x14ac:dyDescent="0.3">
      <c r="H17122" t="str">
        <f t="shared" si="317"/>
        <v/>
      </c>
    </row>
    <row r="17123" spans="8:8" x14ac:dyDescent="0.3">
      <c r="H17123" t="str">
        <f t="shared" si="317"/>
        <v/>
      </c>
    </row>
    <row r="17124" spans="8:8" x14ac:dyDescent="0.3">
      <c r="H17124" t="str">
        <f t="shared" si="317"/>
        <v/>
      </c>
    </row>
    <row r="17125" spans="8:8" x14ac:dyDescent="0.3">
      <c r="H17125" t="str">
        <f t="shared" si="317"/>
        <v/>
      </c>
    </row>
    <row r="17126" spans="8:8" x14ac:dyDescent="0.3">
      <c r="H17126" t="str">
        <f t="shared" si="317"/>
        <v/>
      </c>
    </row>
    <row r="17127" spans="8:8" x14ac:dyDescent="0.3">
      <c r="H17127" t="str">
        <f t="shared" si="317"/>
        <v/>
      </c>
    </row>
    <row r="17128" spans="8:8" x14ac:dyDescent="0.3">
      <c r="H17128" t="str">
        <f t="shared" si="317"/>
        <v/>
      </c>
    </row>
    <row r="17129" spans="8:8" x14ac:dyDescent="0.3">
      <c r="H17129" t="str">
        <f t="shared" si="317"/>
        <v/>
      </c>
    </row>
    <row r="17130" spans="8:8" x14ac:dyDescent="0.3">
      <c r="H17130" t="str">
        <f t="shared" si="317"/>
        <v/>
      </c>
    </row>
    <row r="17131" spans="8:8" x14ac:dyDescent="0.3">
      <c r="H17131" t="str">
        <f t="shared" si="317"/>
        <v/>
      </c>
    </row>
    <row r="17132" spans="8:8" x14ac:dyDescent="0.3">
      <c r="H17132" t="str">
        <f t="shared" si="317"/>
        <v/>
      </c>
    </row>
    <row r="17133" spans="8:8" x14ac:dyDescent="0.3">
      <c r="H17133" t="str">
        <f t="shared" si="317"/>
        <v/>
      </c>
    </row>
    <row r="17134" spans="8:8" x14ac:dyDescent="0.3">
      <c r="H17134" t="str">
        <f t="shared" si="317"/>
        <v/>
      </c>
    </row>
    <row r="17135" spans="8:8" x14ac:dyDescent="0.3">
      <c r="H17135" t="str">
        <f t="shared" si="317"/>
        <v/>
      </c>
    </row>
    <row r="17136" spans="8:8" x14ac:dyDescent="0.3">
      <c r="H17136" t="str">
        <f t="shared" si="317"/>
        <v/>
      </c>
    </row>
    <row r="17137" spans="8:8" x14ac:dyDescent="0.3">
      <c r="H17137" t="str">
        <f t="shared" si="317"/>
        <v/>
      </c>
    </row>
    <row r="17138" spans="8:8" x14ac:dyDescent="0.3">
      <c r="H17138" t="str">
        <f t="shared" si="317"/>
        <v/>
      </c>
    </row>
    <row r="17139" spans="8:8" x14ac:dyDescent="0.3">
      <c r="H17139" t="str">
        <f t="shared" si="317"/>
        <v/>
      </c>
    </row>
    <row r="17140" spans="8:8" x14ac:dyDescent="0.3">
      <c r="H17140" t="str">
        <f t="shared" si="317"/>
        <v/>
      </c>
    </row>
    <row r="17141" spans="8:8" x14ac:dyDescent="0.3">
      <c r="H17141" t="str">
        <f t="shared" si="317"/>
        <v/>
      </c>
    </row>
    <row r="17142" spans="8:8" x14ac:dyDescent="0.3">
      <c r="H17142" t="str">
        <f t="shared" si="317"/>
        <v/>
      </c>
    </row>
    <row r="17143" spans="8:8" x14ac:dyDescent="0.3">
      <c r="H17143" t="str">
        <f t="shared" si="317"/>
        <v/>
      </c>
    </row>
    <row r="17144" spans="8:8" x14ac:dyDescent="0.3">
      <c r="H17144" t="str">
        <f t="shared" si="317"/>
        <v/>
      </c>
    </row>
    <row r="17145" spans="8:8" x14ac:dyDescent="0.3">
      <c r="H17145" t="str">
        <f t="shared" si="317"/>
        <v/>
      </c>
    </row>
    <row r="17146" spans="8:8" x14ac:dyDescent="0.3">
      <c r="H17146" t="str">
        <f t="shared" si="317"/>
        <v/>
      </c>
    </row>
    <row r="17147" spans="8:8" x14ac:dyDescent="0.3">
      <c r="H17147" t="str">
        <f t="shared" si="317"/>
        <v/>
      </c>
    </row>
    <row r="17148" spans="8:8" x14ac:dyDescent="0.3">
      <c r="H17148" t="str">
        <f t="shared" si="317"/>
        <v/>
      </c>
    </row>
    <row r="17149" spans="8:8" x14ac:dyDescent="0.3">
      <c r="H17149" t="str">
        <f t="shared" si="317"/>
        <v/>
      </c>
    </row>
    <row r="17150" spans="8:8" x14ac:dyDescent="0.3">
      <c r="H17150" t="str">
        <f t="shared" si="317"/>
        <v/>
      </c>
    </row>
    <row r="17151" spans="8:8" x14ac:dyDescent="0.3">
      <c r="H17151" t="str">
        <f t="shared" si="317"/>
        <v/>
      </c>
    </row>
    <row r="17152" spans="8:8" x14ac:dyDescent="0.3">
      <c r="H17152" t="str">
        <f t="shared" si="317"/>
        <v/>
      </c>
    </row>
    <row r="17153" spans="8:8" x14ac:dyDescent="0.3">
      <c r="H17153" t="str">
        <f t="shared" si="317"/>
        <v/>
      </c>
    </row>
    <row r="17154" spans="8:8" x14ac:dyDescent="0.3">
      <c r="H17154" t="str">
        <f t="shared" si="317"/>
        <v/>
      </c>
    </row>
    <row r="17155" spans="8:8" x14ac:dyDescent="0.3">
      <c r="H17155" t="str">
        <f t="shared" si="317"/>
        <v/>
      </c>
    </row>
    <row r="17156" spans="8:8" x14ac:dyDescent="0.3">
      <c r="H17156" t="str">
        <f t="shared" si="317"/>
        <v/>
      </c>
    </row>
    <row r="17157" spans="8:8" x14ac:dyDescent="0.3">
      <c r="H17157" t="str">
        <f t="shared" si="317"/>
        <v/>
      </c>
    </row>
    <row r="17158" spans="8:8" x14ac:dyDescent="0.3">
      <c r="H17158" t="str">
        <f t="shared" si="317"/>
        <v/>
      </c>
    </row>
    <row r="17159" spans="8:8" x14ac:dyDescent="0.3">
      <c r="H17159" t="str">
        <f t="shared" si="317"/>
        <v/>
      </c>
    </row>
    <row r="17160" spans="8:8" x14ac:dyDescent="0.3">
      <c r="H17160" t="str">
        <f t="shared" si="317"/>
        <v/>
      </c>
    </row>
    <row r="17161" spans="8:8" x14ac:dyDescent="0.3">
      <c r="H17161" t="str">
        <f t="shared" si="317"/>
        <v/>
      </c>
    </row>
    <row r="17162" spans="8:8" x14ac:dyDescent="0.3">
      <c r="H17162" t="str">
        <f t="shared" si="317"/>
        <v/>
      </c>
    </row>
    <row r="17163" spans="8:8" x14ac:dyDescent="0.3">
      <c r="H17163" t="str">
        <f t="shared" si="317"/>
        <v/>
      </c>
    </row>
    <row r="17164" spans="8:8" x14ac:dyDescent="0.3">
      <c r="H17164" t="str">
        <f t="shared" si="317"/>
        <v/>
      </c>
    </row>
    <row r="17165" spans="8:8" x14ac:dyDescent="0.3">
      <c r="H17165" t="str">
        <f t="shared" si="317"/>
        <v/>
      </c>
    </row>
    <row r="17166" spans="8:8" x14ac:dyDescent="0.3">
      <c r="H17166" t="str">
        <f t="shared" si="317"/>
        <v/>
      </c>
    </row>
    <row r="17167" spans="8:8" x14ac:dyDescent="0.3">
      <c r="H17167" t="str">
        <f t="shared" si="317"/>
        <v/>
      </c>
    </row>
    <row r="17168" spans="8:8" x14ac:dyDescent="0.3">
      <c r="H17168" t="str">
        <f t="shared" si="317"/>
        <v/>
      </c>
    </row>
    <row r="17169" spans="8:8" x14ac:dyDescent="0.3">
      <c r="H17169" t="str">
        <f t="shared" si="317"/>
        <v/>
      </c>
    </row>
    <row r="17170" spans="8:8" x14ac:dyDescent="0.3">
      <c r="H17170" t="str">
        <f t="shared" si="317"/>
        <v/>
      </c>
    </row>
    <row r="17171" spans="8:8" x14ac:dyDescent="0.3">
      <c r="H17171" t="str">
        <f t="shared" si="317"/>
        <v/>
      </c>
    </row>
    <row r="17172" spans="8:8" x14ac:dyDescent="0.3">
      <c r="H17172" t="str">
        <f t="shared" si="317"/>
        <v/>
      </c>
    </row>
    <row r="17173" spans="8:8" x14ac:dyDescent="0.3">
      <c r="H17173" t="str">
        <f t="shared" si="317"/>
        <v/>
      </c>
    </row>
    <row r="17174" spans="8:8" x14ac:dyDescent="0.3">
      <c r="H17174" t="str">
        <f t="shared" si="317"/>
        <v/>
      </c>
    </row>
    <row r="17175" spans="8:8" x14ac:dyDescent="0.3">
      <c r="H17175" t="str">
        <f t="shared" ref="H17175:H17238" si="318">IF(B17175="","",$C$12)</f>
        <v/>
      </c>
    </row>
    <row r="17176" spans="8:8" x14ac:dyDescent="0.3">
      <c r="H17176" t="str">
        <f t="shared" si="318"/>
        <v/>
      </c>
    </row>
    <row r="17177" spans="8:8" x14ac:dyDescent="0.3">
      <c r="H17177" t="str">
        <f t="shared" si="318"/>
        <v/>
      </c>
    </row>
    <row r="17178" spans="8:8" x14ac:dyDescent="0.3">
      <c r="H17178" t="str">
        <f t="shared" si="318"/>
        <v/>
      </c>
    </row>
    <row r="17179" spans="8:8" x14ac:dyDescent="0.3">
      <c r="H17179" t="str">
        <f t="shared" si="318"/>
        <v/>
      </c>
    </row>
    <row r="17180" spans="8:8" x14ac:dyDescent="0.3">
      <c r="H17180" t="str">
        <f t="shared" si="318"/>
        <v/>
      </c>
    </row>
    <row r="17181" spans="8:8" x14ac:dyDescent="0.3">
      <c r="H17181" t="str">
        <f t="shared" si="318"/>
        <v/>
      </c>
    </row>
    <row r="17182" spans="8:8" x14ac:dyDescent="0.3">
      <c r="H17182" t="str">
        <f t="shared" si="318"/>
        <v/>
      </c>
    </row>
    <row r="17183" spans="8:8" x14ac:dyDescent="0.3">
      <c r="H17183" t="str">
        <f t="shared" si="318"/>
        <v/>
      </c>
    </row>
    <row r="17184" spans="8:8" x14ac:dyDescent="0.3">
      <c r="H17184" t="str">
        <f t="shared" si="318"/>
        <v/>
      </c>
    </row>
    <row r="17185" spans="8:8" x14ac:dyDescent="0.3">
      <c r="H17185" t="str">
        <f t="shared" si="318"/>
        <v/>
      </c>
    </row>
    <row r="17186" spans="8:8" x14ac:dyDescent="0.3">
      <c r="H17186" t="str">
        <f t="shared" si="318"/>
        <v/>
      </c>
    </row>
    <row r="17187" spans="8:8" x14ac:dyDescent="0.3">
      <c r="H17187" t="str">
        <f t="shared" si="318"/>
        <v/>
      </c>
    </row>
    <row r="17188" spans="8:8" x14ac:dyDescent="0.3">
      <c r="H17188" t="str">
        <f t="shared" si="318"/>
        <v/>
      </c>
    </row>
    <row r="17189" spans="8:8" x14ac:dyDescent="0.3">
      <c r="H17189" t="str">
        <f t="shared" si="318"/>
        <v/>
      </c>
    </row>
    <row r="17190" spans="8:8" x14ac:dyDescent="0.3">
      <c r="H17190" t="str">
        <f t="shared" si="318"/>
        <v/>
      </c>
    </row>
    <row r="17191" spans="8:8" x14ac:dyDescent="0.3">
      <c r="H17191" t="str">
        <f t="shared" si="318"/>
        <v/>
      </c>
    </row>
    <row r="17192" spans="8:8" x14ac:dyDescent="0.3">
      <c r="H17192" t="str">
        <f t="shared" si="318"/>
        <v/>
      </c>
    </row>
    <row r="17193" spans="8:8" x14ac:dyDescent="0.3">
      <c r="H17193" t="str">
        <f t="shared" si="318"/>
        <v/>
      </c>
    </row>
    <row r="17194" spans="8:8" x14ac:dyDescent="0.3">
      <c r="H17194" t="str">
        <f t="shared" si="318"/>
        <v/>
      </c>
    </row>
    <row r="17195" spans="8:8" x14ac:dyDescent="0.3">
      <c r="H17195" t="str">
        <f t="shared" si="318"/>
        <v/>
      </c>
    </row>
    <row r="17196" spans="8:8" x14ac:dyDescent="0.3">
      <c r="H17196" t="str">
        <f t="shared" si="318"/>
        <v/>
      </c>
    </row>
    <row r="17197" spans="8:8" x14ac:dyDescent="0.3">
      <c r="H17197" t="str">
        <f t="shared" si="318"/>
        <v/>
      </c>
    </row>
    <row r="17198" spans="8:8" x14ac:dyDescent="0.3">
      <c r="H17198" t="str">
        <f t="shared" si="318"/>
        <v/>
      </c>
    </row>
    <row r="17199" spans="8:8" x14ac:dyDescent="0.3">
      <c r="H17199" t="str">
        <f t="shared" si="318"/>
        <v/>
      </c>
    </row>
    <row r="17200" spans="8:8" x14ac:dyDescent="0.3">
      <c r="H17200" t="str">
        <f t="shared" si="318"/>
        <v/>
      </c>
    </row>
    <row r="17201" spans="8:8" x14ac:dyDescent="0.3">
      <c r="H17201" t="str">
        <f t="shared" si="318"/>
        <v/>
      </c>
    </row>
    <row r="17202" spans="8:8" x14ac:dyDescent="0.3">
      <c r="H17202" t="str">
        <f t="shared" si="318"/>
        <v/>
      </c>
    </row>
    <row r="17203" spans="8:8" x14ac:dyDescent="0.3">
      <c r="H17203" t="str">
        <f t="shared" si="318"/>
        <v/>
      </c>
    </row>
    <row r="17204" spans="8:8" x14ac:dyDescent="0.3">
      <c r="H17204" t="str">
        <f t="shared" si="318"/>
        <v/>
      </c>
    </row>
    <row r="17205" spans="8:8" x14ac:dyDescent="0.3">
      <c r="H17205" t="str">
        <f t="shared" si="318"/>
        <v/>
      </c>
    </row>
    <row r="17206" spans="8:8" x14ac:dyDescent="0.3">
      <c r="H17206" t="str">
        <f t="shared" si="318"/>
        <v/>
      </c>
    </row>
    <row r="17207" spans="8:8" x14ac:dyDescent="0.3">
      <c r="H17207" t="str">
        <f t="shared" si="318"/>
        <v/>
      </c>
    </row>
    <row r="17208" spans="8:8" x14ac:dyDescent="0.3">
      <c r="H17208" t="str">
        <f t="shared" si="318"/>
        <v/>
      </c>
    </row>
    <row r="17209" spans="8:8" x14ac:dyDescent="0.3">
      <c r="H17209" t="str">
        <f t="shared" si="318"/>
        <v/>
      </c>
    </row>
    <row r="17210" spans="8:8" x14ac:dyDescent="0.3">
      <c r="H17210" t="str">
        <f t="shared" si="318"/>
        <v/>
      </c>
    </row>
    <row r="17211" spans="8:8" x14ac:dyDescent="0.3">
      <c r="H17211" t="str">
        <f t="shared" si="318"/>
        <v/>
      </c>
    </row>
    <row r="17212" spans="8:8" x14ac:dyDescent="0.3">
      <c r="H17212" t="str">
        <f t="shared" si="318"/>
        <v/>
      </c>
    </row>
    <row r="17213" spans="8:8" x14ac:dyDescent="0.3">
      <c r="H17213" t="str">
        <f t="shared" si="318"/>
        <v/>
      </c>
    </row>
    <row r="17214" spans="8:8" x14ac:dyDescent="0.3">
      <c r="H17214" t="str">
        <f t="shared" si="318"/>
        <v/>
      </c>
    </row>
    <row r="17215" spans="8:8" x14ac:dyDescent="0.3">
      <c r="H17215" t="str">
        <f t="shared" si="318"/>
        <v/>
      </c>
    </row>
    <row r="17216" spans="8:8" x14ac:dyDescent="0.3">
      <c r="H17216" t="str">
        <f t="shared" si="318"/>
        <v/>
      </c>
    </row>
    <row r="17217" spans="8:8" x14ac:dyDescent="0.3">
      <c r="H17217" t="str">
        <f t="shared" si="318"/>
        <v/>
      </c>
    </row>
    <row r="17218" spans="8:8" x14ac:dyDescent="0.3">
      <c r="H17218" t="str">
        <f t="shared" si="318"/>
        <v/>
      </c>
    </row>
    <row r="17219" spans="8:8" x14ac:dyDescent="0.3">
      <c r="H17219" t="str">
        <f t="shared" si="318"/>
        <v/>
      </c>
    </row>
    <row r="17220" spans="8:8" x14ac:dyDescent="0.3">
      <c r="H17220" t="str">
        <f t="shared" si="318"/>
        <v/>
      </c>
    </row>
    <row r="17221" spans="8:8" x14ac:dyDescent="0.3">
      <c r="H17221" t="str">
        <f t="shared" si="318"/>
        <v/>
      </c>
    </row>
    <row r="17222" spans="8:8" x14ac:dyDescent="0.3">
      <c r="H17222" t="str">
        <f t="shared" si="318"/>
        <v/>
      </c>
    </row>
    <row r="17223" spans="8:8" x14ac:dyDescent="0.3">
      <c r="H17223" t="str">
        <f t="shared" si="318"/>
        <v/>
      </c>
    </row>
    <row r="17224" spans="8:8" x14ac:dyDescent="0.3">
      <c r="H17224" t="str">
        <f t="shared" si="318"/>
        <v/>
      </c>
    </row>
    <row r="17225" spans="8:8" x14ac:dyDescent="0.3">
      <c r="H17225" t="str">
        <f t="shared" si="318"/>
        <v/>
      </c>
    </row>
    <row r="17226" spans="8:8" x14ac:dyDescent="0.3">
      <c r="H17226" t="str">
        <f t="shared" si="318"/>
        <v/>
      </c>
    </row>
    <row r="17227" spans="8:8" x14ac:dyDescent="0.3">
      <c r="H17227" t="str">
        <f t="shared" si="318"/>
        <v/>
      </c>
    </row>
    <row r="17228" spans="8:8" x14ac:dyDescent="0.3">
      <c r="H17228" t="str">
        <f t="shared" si="318"/>
        <v/>
      </c>
    </row>
    <row r="17229" spans="8:8" x14ac:dyDescent="0.3">
      <c r="H17229" t="str">
        <f t="shared" si="318"/>
        <v/>
      </c>
    </row>
    <row r="17230" spans="8:8" x14ac:dyDescent="0.3">
      <c r="H17230" t="str">
        <f t="shared" si="318"/>
        <v/>
      </c>
    </row>
    <row r="17231" spans="8:8" x14ac:dyDescent="0.3">
      <c r="H17231" t="str">
        <f t="shared" si="318"/>
        <v/>
      </c>
    </row>
    <row r="17232" spans="8:8" x14ac:dyDescent="0.3">
      <c r="H17232" t="str">
        <f t="shared" si="318"/>
        <v/>
      </c>
    </row>
    <row r="17233" spans="8:8" x14ac:dyDescent="0.3">
      <c r="H17233" t="str">
        <f t="shared" si="318"/>
        <v/>
      </c>
    </row>
    <row r="17234" spans="8:8" x14ac:dyDescent="0.3">
      <c r="H17234" t="str">
        <f t="shared" si="318"/>
        <v/>
      </c>
    </row>
    <row r="17235" spans="8:8" x14ac:dyDescent="0.3">
      <c r="H17235" t="str">
        <f t="shared" si="318"/>
        <v/>
      </c>
    </row>
    <row r="17236" spans="8:8" x14ac:dyDescent="0.3">
      <c r="H17236" t="str">
        <f t="shared" si="318"/>
        <v/>
      </c>
    </row>
    <row r="17237" spans="8:8" x14ac:dyDescent="0.3">
      <c r="H17237" t="str">
        <f t="shared" si="318"/>
        <v/>
      </c>
    </row>
    <row r="17238" spans="8:8" x14ac:dyDescent="0.3">
      <c r="H17238" t="str">
        <f t="shared" si="318"/>
        <v/>
      </c>
    </row>
    <row r="17239" spans="8:8" x14ac:dyDescent="0.3">
      <c r="H17239" t="str">
        <f t="shared" ref="H17239:H17302" si="319">IF(B17239="","",$C$12)</f>
        <v/>
      </c>
    </row>
    <row r="17240" spans="8:8" x14ac:dyDescent="0.3">
      <c r="H17240" t="str">
        <f t="shared" si="319"/>
        <v/>
      </c>
    </row>
    <row r="17241" spans="8:8" x14ac:dyDescent="0.3">
      <c r="H17241" t="str">
        <f t="shared" si="319"/>
        <v/>
      </c>
    </row>
    <row r="17242" spans="8:8" x14ac:dyDescent="0.3">
      <c r="H17242" t="str">
        <f t="shared" si="319"/>
        <v/>
      </c>
    </row>
    <row r="17243" spans="8:8" x14ac:dyDescent="0.3">
      <c r="H17243" t="str">
        <f t="shared" si="319"/>
        <v/>
      </c>
    </row>
    <row r="17244" spans="8:8" x14ac:dyDescent="0.3">
      <c r="H17244" t="str">
        <f t="shared" si="319"/>
        <v/>
      </c>
    </row>
    <row r="17245" spans="8:8" x14ac:dyDescent="0.3">
      <c r="H17245" t="str">
        <f t="shared" si="319"/>
        <v/>
      </c>
    </row>
    <row r="17246" spans="8:8" x14ac:dyDescent="0.3">
      <c r="H17246" t="str">
        <f t="shared" si="319"/>
        <v/>
      </c>
    </row>
    <row r="17247" spans="8:8" x14ac:dyDescent="0.3">
      <c r="H17247" t="str">
        <f t="shared" si="319"/>
        <v/>
      </c>
    </row>
    <row r="17248" spans="8:8" x14ac:dyDescent="0.3">
      <c r="H17248" t="str">
        <f t="shared" si="319"/>
        <v/>
      </c>
    </row>
    <row r="17249" spans="8:8" x14ac:dyDescent="0.3">
      <c r="H17249" t="str">
        <f t="shared" si="319"/>
        <v/>
      </c>
    </row>
    <row r="17250" spans="8:8" x14ac:dyDescent="0.3">
      <c r="H17250" t="str">
        <f t="shared" si="319"/>
        <v/>
      </c>
    </row>
    <row r="17251" spans="8:8" x14ac:dyDescent="0.3">
      <c r="H17251" t="str">
        <f t="shared" si="319"/>
        <v/>
      </c>
    </row>
    <row r="17252" spans="8:8" x14ac:dyDescent="0.3">
      <c r="H17252" t="str">
        <f t="shared" si="319"/>
        <v/>
      </c>
    </row>
    <row r="17253" spans="8:8" x14ac:dyDescent="0.3">
      <c r="H17253" t="str">
        <f t="shared" si="319"/>
        <v/>
      </c>
    </row>
    <row r="17254" spans="8:8" x14ac:dyDescent="0.3">
      <c r="H17254" t="str">
        <f t="shared" si="319"/>
        <v/>
      </c>
    </row>
    <row r="17255" spans="8:8" x14ac:dyDescent="0.3">
      <c r="H17255" t="str">
        <f t="shared" si="319"/>
        <v/>
      </c>
    </row>
    <row r="17256" spans="8:8" x14ac:dyDescent="0.3">
      <c r="H17256" t="str">
        <f t="shared" si="319"/>
        <v/>
      </c>
    </row>
    <row r="17257" spans="8:8" x14ac:dyDescent="0.3">
      <c r="H17257" t="str">
        <f t="shared" si="319"/>
        <v/>
      </c>
    </row>
    <row r="17258" spans="8:8" x14ac:dyDescent="0.3">
      <c r="H17258" t="str">
        <f t="shared" si="319"/>
        <v/>
      </c>
    </row>
    <row r="17259" spans="8:8" x14ac:dyDescent="0.3">
      <c r="H17259" t="str">
        <f t="shared" si="319"/>
        <v/>
      </c>
    </row>
    <row r="17260" spans="8:8" x14ac:dyDescent="0.3">
      <c r="H17260" t="str">
        <f t="shared" si="319"/>
        <v/>
      </c>
    </row>
    <row r="17261" spans="8:8" x14ac:dyDescent="0.3">
      <c r="H17261" t="str">
        <f t="shared" si="319"/>
        <v/>
      </c>
    </row>
    <row r="17262" spans="8:8" x14ac:dyDescent="0.3">
      <c r="H17262" t="str">
        <f t="shared" si="319"/>
        <v/>
      </c>
    </row>
    <row r="17263" spans="8:8" x14ac:dyDescent="0.3">
      <c r="H17263" t="str">
        <f t="shared" si="319"/>
        <v/>
      </c>
    </row>
    <row r="17264" spans="8:8" x14ac:dyDescent="0.3">
      <c r="H17264" t="str">
        <f t="shared" si="319"/>
        <v/>
      </c>
    </row>
    <row r="17265" spans="8:8" x14ac:dyDescent="0.3">
      <c r="H17265" t="str">
        <f t="shared" si="319"/>
        <v/>
      </c>
    </row>
    <row r="17266" spans="8:8" x14ac:dyDescent="0.3">
      <c r="H17266" t="str">
        <f t="shared" si="319"/>
        <v/>
      </c>
    </row>
    <row r="17267" spans="8:8" x14ac:dyDescent="0.3">
      <c r="H17267" t="str">
        <f t="shared" si="319"/>
        <v/>
      </c>
    </row>
    <row r="17268" spans="8:8" x14ac:dyDescent="0.3">
      <c r="H17268" t="str">
        <f t="shared" si="319"/>
        <v/>
      </c>
    </row>
    <row r="17269" spans="8:8" x14ac:dyDescent="0.3">
      <c r="H17269" t="str">
        <f t="shared" si="319"/>
        <v/>
      </c>
    </row>
    <row r="17270" spans="8:8" x14ac:dyDescent="0.3">
      <c r="H17270" t="str">
        <f t="shared" si="319"/>
        <v/>
      </c>
    </row>
    <row r="17271" spans="8:8" x14ac:dyDescent="0.3">
      <c r="H17271" t="str">
        <f t="shared" si="319"/>
        <v/>
      </c>
    </row>
    <row r="17272" spans="8:8" x14ac:dyDescent="0.3">
      <c r="H17272" t="str">
        <f t="shared" si="319"/>
        <v/>
      </c>
    </row>
    <row r="17273" spans="8:8" x14ac:dyDescent="0.3">
      <c r="H17273" t="str">
        <f t="shared" si="319"/>
        <v/>
      </c>
    </row>
    <row r="17274" spans="8:8" x14ac:dyDescent="0.3">
      <c r="H17274" t="str">
        <f t="shared" si="319"/>
        <v/>
      </c>
    </row>
    <row r="17275" spans="8:8" x14ac:dyDescent="0.3">
      <c r="H17275" t="str">
        <f t="shared" si="319"/>
        <v/>
      </c>
    </row>
    <row r="17276" spans="8:8" x14ac:dyDescent="0.3">
      <c r="H17276" t="str">
        <f t="shared" si="319"/>
        <v/>
      </c>
    </row>
    <row r="17277" spans="8:8" x14ac:dyDescent="0.3">
      <c r="H17277" t="str">
        <f t="shared" si="319"/>
        <v/>
      </c>
    </row>
    <row r="17278" spans="8:8" x14ac:dyDescent="0.3">
      <c r="H17278" t="str">
        <f t="shared" si="319"/>
        <v/>
      </c>
    </row>
    <row r="17279" spans="8:8" x14ac:dyDescent="0.3">
      <c r="H17279" t="str">
        <f t="shared" si="319"/>
        <v/>
      </c>
    </row>
    <row r="17280" spans="8:8" x14ac:dyDescent="0.3">
      <c r="H17280" t="str">
        <f t="shared" si="319"/>
        <v/>
      </c>
    </row>
    <row r="17281" spans="8:8" x14ac:dyDescent="0.3">
      <c r="H17281" t="str">
        <f t="shared" si="319"/>
        <v/>
      </c>
    </row>
    <row r="17282" spans="8:8" x14ac:dyDescent="0.3">
      <c r="H17282" t="str">
        <f t="shared" si="319"/>
        <v/>
      </c>
    </row>
    <row r="17283" spans="8:8" x14ac:dyDescent="0.3">
      <c r="H17283" t="str">
        <f t="shared" si="319"/>
        <v/>
      </c>
    </row>
    <row r="17284" spans="8:8" x14ac:dyDescent="0.3">
      <c r="H17284" t="str">
        <f t="shared" si="319"/>
        <v/>
      </c>
    </row>
    <row r="17285" spans="8:8" x14ac:dyDescent="0.3">
      <c r="H17285" t="str">
        <f t="shared" si="319"/>
        <v/>
      </c>
    </row>
    <row r="17286" spans="8:8" x14ac:dyDescent="0.3">
      <c r="H17286" t="str">
        <f t="shared" si="319"/>
        <v/>
      </c>
    </row>
    <row r="17287" spans="8:8" x14ac:dyDescent="0.3">
      <c r="H17287" t="str">
        <f t="shared" si="319"/>
        <v/>
      </c>
    </row>
    <row r="17288" spans="8:8" x14ac:dyDescent="0.3">
      <c r="H17288" t="str">
        <f t="shared" si="319"/>
        <v/>
      </c>
    </row>
    <row r="17289" spans="8:8" x14ac:dyDescent="0.3">
      <c r="H17289" t="str">
        <f t="shared" si="319"/>
        <v/>
      </c>
    </row>
    <row r="17290" spans="8:8" x14ac:dyDescent="0.3">
      <c r="H17290" t="str">
        <f t="shared" si="319"/>
        <v/>
      </c>
    </row>
    <row r="17291" spans="8:8" x14ac:dyDescent="0.3">
      <c r="H17291" t="str">
        <f t="shared" si="319"/>
        <v/>
      </c>
    </row>
    <row r="17292" spans="8:8" x14ac:dyDescent="0.3">
      <c r="H17292" t="str">
        <f t="shared" si="319"/>
        <v/>
      </c>
    </row>
    <row r="17293" spans="8:8" x14ac:dyDescent="0.3">
      <c r="H17293" t="str">
        <f t="shared" si="319"/>
        <v/>
      </c>
    </row>
    <row r="17294" spans="8:8" x14ac:dyDescent="0.3">
      <c r="H17294" t="str">
        <f t="shared" si="319"/>
        <v/>
      </c>
    </row>
    <row r="17295" spans="8:8" x14ac:dyDescent="0.3">
      <c r="H17295" t="str">
        <f t="shared" si="319"/>
        <v/>
      </c>
    </row>
    <row r="17296" spans="8:8" x14ac:dyDescent="0.3">
      <c r="H17296" t="str">
        <f t="shared" si="319"/>
        <v/>
      </c>
    </row>
    <row r="17297" spans="8:8" x14ac:dyDescent="0.3">
      <c r="H17297" t="str">
        <f t="shared" si="319"/>
        <v/>
      </c>
    </row>
    <row r="17298" spans="8:8" x14ac:dyDescent="0.3">
      <c r="H17298" t="str">
        <f t="shared" si="319"/>
        <v/>
      </c>
    </row>
    <row r="17299" spans="8:8" x14ac:dyDescent="0.3">
      <c r="H17299" t="str">
        <f t="shared" si="319"/>
        <v/>
      </c>
    </row>
    <row r="17300" spans="8:8" x14ac:dyDescent="0.3">
      <c r="H17300" t="str">
        <f t="shared" si="319"/>
        <v/>
      </c>
    </row>
    <row r="17301" spans="8:8" x14ac:dyDescent="0.3">
      <c r="H17301" t="str">
        <f t="shared" si="319"/>
        <v/>
      </c>
    </row>
    <row r="17302" spans="8:8" x14ac:dyDescent="0.3">
      <c r="H17302" t="str">
        <f t="shared" si="319"/>
        <v/>
      </c>
    </row>
    <row r="17303" spans="8:8" x14ac:dyDescent="0.3">
      <c r="H17303" t="str">
        <f t="shared" ref="H17303:H17366" si="320">IF(B17303="","",$C$12)</f>
        <v/>
      </c>
    </row>
    <row r="17304" spans="8:8" x14ac:dyDescent="0.3">
      <c r="H17304" t="str">
        <f t="shared" si="320"/>
        <v/>
      </c>
    </row>
    <row r="17305" spans="8:8" x14ac:dyDescent="0.3">
      <c r="H17305" t="str">
        <f t="shared" si="320"/>
        <v/>
      </c>
    </row>
    <row r="17306" spans="8:8" x14ac:dyDescent="0.3">
      <c r="H17306" t="str">
        <f t="shared" si="320"/>
        <v/>
      </c>
    </row>
    <row r="17307" spans="8:8" x14ac:dyDescent="0.3">
      <c r="H17307" t="str">
        <f t="shared" si="320"/>
        <v/>
      </c>
    </row>
    <row r="17308" spans="8:8" x14ac:dyDescent="0.3">
      <c r="H17308" t="str">
        <f t="shared" si="320"/>
        <v/>
      </c>
    </row>
    <row r="17309" spans="8:8" x14ac:dyDescent="0.3">
      <c r="H17309" t="str">
        <f t="shared" si="320"/>
        <v/>
      </c>
    </row>
    <row r="17310" spans="8:8" x14ac:dyDescent="0.3">
      <c r="H17310" t="str">
        <f t="shared" si="320"/>
        <v/>
      </c>
    </row>
    <row r="17311" spans="8:8" x14ac:dyDescent="0.3">
      <c r="H17311" t="str">
        <f t="shared" si="320"/>
        <v/>
      </c>
    </row>
    <row r="17312" spans="8:8" x14ac:dyDescent="0.3">
      <c r="H17312" t="str">
        <f t="shared" si="320"/>
        <v/>
      </c>
    </row>
    <row r="17313" spans="8:8" x14ac:dyDescent="0.3">
      <c r="H17313" t="str">
        <f t="shared" si="320"/>
        <v/>
      </c>
    </row>
    <row r="17314" spans="8:8" x14ac:dyDescent="0.3">
      <c r="H17314" t="str">
        <f t="shared" si="320"/>
        <v/>
      </c>
    </row>
    <row r="17315" spans="8:8" x14ac:dyDescent="0.3">
      <c r="H17315" t="str">
        <f t="shared" si="320"/>
        <v/>
      </c>
    </row>
    <row r="17316" spans="8:8" x14ac:dyDescent="0.3">
      <c r="H17316" t="str">
        <f t="shared" si="320"/>
        <v/>
      </c>
    </row>
    <row r="17317" spans="8:8" x14ac:dyDescent="0.3">
      <c r="H17317" t="str">
        <f t="shared" si="320"/>
        <v/>
      </c>
    </row>
    <row r="17318" spans="8:8" x14ac:dyDescent="0.3">
      <c r="H17318" t="str">
        <f t="shared" si="320"/>
        <v/>
      </c>
    </row>
    <row r="17319" spans="8:8" x14ac:dyDescent="0.3">
      <c r="H17319" t="str">
        <f t="shared" si="320"/>
        <v/>
      </c>
    </row>
    <row r="17320" spans="8:8" x14ac:dyDescent="0.3">
      <c r="H17320" t="str">
        <f t="shared" si="320"/>
        <v/>
      </c>
    </row>
    <row r="17321" spans="8:8" x14ac:dyDescent="0.3">
      <c r="H17321" t="str">
        <f t="shared" si="320"/>
        <v/>
      </c>
    </row>
    <row r="17322" spans="8:8" x14ac:dyDescent="0.3">
      <c r="H17322" t="str">
        <f t="shared" si="320"/>
        <v/>
      </c>
    </row>
    <row r="17323" spans="8:8" x14ac:dyDescent="0.3">
      <c r="H17323" t="str">
        <f t="shared" si="320"/>
        <v/>
      </c>
    </row>
    <row r="17324" spans="8:8" x14ac:dyDescent="0.3">
      <c r="H17324" t="str">
        <f t="shared" si="320"/>
        <v/>
      </c>
    </row>
    <row r="17325" spans="8:8" x14ac:dyDescent="0.3">
      <c r="H17325" t="str">
        <f t="shared" si="320"/>
        <v/>
      </c>
    </row>
    <row r="17326" spans="8:8" x14ac:dyDescent="0.3">
      <c r="H17326" t="str">
        <f t="shared" si="320"/>
        <v/>
      </c>
    </row>
    <row r="17327" spans="8:8" x14ac:dyDescent="0.3">
      <c r="H17327" t="str">
        <f t="shared" si="320"/>
        <v/>
      </c>
    </row>
    <row r="17328" spans="8:8" x14ac:dyDescent="0.3">
      <c r="H17328" t="str">
        <f t="shared" si="320"/>
        <v/>
      </c>
    </row>
    <row r="17329" spans="8:8" x14ac:dyDescent="0.3">
      <c r="H17329" t="str">
        <f t="shared" si="320"/>
        <v/>
      </c>
    </row>
    <row r="17330" spans="8:8" x14ac:dyDescent="0.3">
      <c r="H17330" t="str">
        <f t="shared" si="320"/>
        <v/>
      </c>
    </row>
    <row r="17331" spans="8:8" x14ac:dyDescent="0.3">
      <c r="H17331" t="str">
        <f t="shared" si="320"/>
        <v/>
      </c>
    </row>
    <row r="17332" spans="8:8" x14ac:dyDescent="0.3">
      <c r="H17332" t="str">
        <f t="shared" si="320"/>
        <v/>
      </c>
    </row>
    <row r="17333" spans="8:8" x14ac:dyDescent="0.3">
      <c r="H17333" t="str">
        <f t="shared" si="320"/>
        <v/>
      </c>
    </row>
    <row r="17334" spans="8:8" x14ac:dyDescent="0.3">
      <c r="H17334" t="str">
        <f t="shared" si="320"/>
        <v/>
      </c>
    </row>
    <row r="17335" spans="8:8" x14ac:dyDescent="0.3">
      <c r="H17335" t="str">
        <f t="shared" si="320"/>
        <v/>
      </c>
    </row>
    <row r="17336" spans="8:8" x14ac:dyDescent="0.3">
      <c r="H17336" t="str">
        <f t="shared" si="320"/>
        <v/>
      </c>
    </row>
    <row r="17337" spans="8:8" x14ac:dyDescent="0.3">
      <c r="H17337" t="str">
        <f t="shared" si="320"/>
        <v/>
      </c>
    </row>
    <row r="17338" spans="8:8" x14ac:dyDescent="0.3">
      <c r="H17338" t="str">
        <f t="shared" si="320"/>
        <v/>
      </c>
    </row>
    <row r="17339" spans="8:8" x14ac:dyDescent="0.3">
      <c r="H17339" t="str">
        <f t="shared" si="320"/>
        <v/>
      </c>
    </row>
    <row r="17340" spans="8:8" x14ac:dyDescent="0.3">
      <c r="H17340" t="str">
        <f t="shared" si="320"/>
        <v/>
      </c>
    </row>
    <row r="17341" spans="8:8" x14ac:dyDescent="0.3">
      <c r="H17341" t="str">
        <f t="shared" si="320"/>
        <v/>
      </c>
    </row>
    <row r="17342" spans="8:8" x14ac:dyDescent="0.3">
      <c r="H17342" t="str">
        <f t="shared" si="320"/>
        <v/>
      </c>
    </row>
    <row r="17343" spans="8:8" x14ac:dyDescent="0.3">
      <c r="H17343" t="str">
        <f t="shared" si="320"/>
        <v/>
      </c>
    </row>
    <row r="17344" spans="8:8" x14ac:dyDescent="0.3">
      <c r="H17344" t="str">
        <f t="shared" si="320"/>
        <v/>
      </c>
    </row>
    <row r="17345" spans="8:8" x14ac:dyDescent="0.3">
      <c r="H17345" t="str">
        <f t="shared" si="320"/>
        <v/>
      </c>
    </row>
    <row r="17346" spans="8:8" x14ac:dyDescent="0.3">
      <c r="H17346" t="str">
        <f t="shared" si="320"/>
        <v/>
      </c>
    </row>
    <row r="17347" spans="8:8" x14ac:dyDescent="0.3">
      <c r="H17347" t="str">
        <f t="shared" si="320"/>
        <v/>
      </c>
    </row>
    <row r="17348" spans="8:8" x14ac:dyDescent="0.3">
      <c r="H17348" t="str">
        <f t="shared" si="320"/>
        <v/>
      </c>
    </row>
    <row r="17349" spans="8:8" x14ac:dyDescent="0.3">
      <c r="H17349" t="str">
        <f t="shared" si="320"/>
        <v/>
      </c>
    </row>
    <row r="17350" spans="8:8" x14ac:dyDescent="0.3">
      <c r="H17350" t="str">
        <f t="shared" si="320"/>
        <v/>
      </c>
    </row>
    <row r="17351" spans="8:8" x14ac:dyDescent="0.3">
      <c r="H17351" t="str">
        <f t="shared" si="320"/>
        <v/>
      </c>
    </row>
    <row r="17352" spans="8:8" x14ac:dyDescent="0.3">
      <c r="H17352" t="str">
        <f t="shared" si="320"/>
        <v/>
      </c>
    </row>
    <row r="17353" spans="8:8" x14ac:dyDescent="0.3">
      <c r="H17353" t="str">
        <f t="shared" si="320"/>
        <v/>
      </c>
    </row>
    <row r="17354" spans="8:8" x14ac:dyDescent="0.3">
      <c r="H17354" t="str">
        <f t="shared" si="320"/>
        <v/>
      </c>
    </row>
    <row r="17355" spans="8:8" x14ac:dyDescent="0.3">
      <c r="H17355" t="str">
        <f t="shared" si="320"/>
        <v/>
      </c>
    </row>
    <row r="17356" spans="8:8" x14ac:dyDescent="0.3">
      <c r="H17356" t="str">
        <f t="shared" si="320"/>
        <v/>
      </c>
    </row>
    <row r="17357" spans="8:8" x14ac:dyDescent="0.3">
      <c r="H17357" t="str">
        <f t="shared" si="320"/>
        <v/>
      </c>
    </row>
    <row r="17358" spans="8:8" x14ac:dyDescent="0.3">
      <c r="H17358" t="str">
        <f t="shared" si="320"/>
        <v/>
      </c>
    </row>
    <row r="17359" spans="8:8" x14ac:dyDescent="0.3">
      <c r="H17359" t="str">
        <f t="shared" si="320"/>
        <v/>
      </c>
    </row>
    <row r="17360" spans="8:8" x14ac:dyDescent="0.3">
      <c r="H17360" t="str">
        <f t="shared" si="320"/>
        <v/>
      </c>
    </row>
    <row r="17361" spans="8:8" x14ac:dyDescent="0.3">
      <c r="H17361" t="str">
        <f t="shared" si="320"/>
        <v/>
      </c>
    </row>
    <row r="17362" spans="8:8" x14ac:dyDescent="0.3">
      <c r="H17362" t="str">
        <f t="shared" si="320"/>
        <v/>
      </c>
    </row>
    <row r="17363" spans="8:8" x14ac:dyDescent="0.3">
      <c r="H17363" t="str">
        <f t="shared" si="320"/>
        <v/>
      </c>
    </row>
    <row r="17364" spans="8:8" x14ac:dyDescent="0.3">
      <c r="H17364" t="str">
        <f t="shared" si="320"/>
        <v/>
      </c>
    </row>
    <row r="17365" spans="8:8" x14ac:dyDescent="0.3">
      <c r="H17365" t="str">
        <f t="shared" si="320"/>
        <v/>
      </c>
    </row>
    <row r="17366" spans="8:8" x14ac:dyDescent="0.3">
      <c r="H17366" t="str">
        <f t="shared" si="320"/>
        <v/>
      </c>
    </row>
    <row r="17367" spans="8:8" x14ac:dyDescent="0.3">
      <c r="H17367" t="str">
        <f t="shared" ref="H17367:H17430" si="321">IF(B17367="","",$C$12)</f>
        <v/>
      </c>
    </row>
    <row r="17368" spans="8:8" x14ac:dyDescent="0.3">
      <c r="H17368" t="str">
        <f t="shared" si="321"/>
        <v/>
      </c>
    </row>
    <row r="17369" spans="8:8" x14ac:dyDescent="0.3">
      <c r="H17369" t="str">
        <f t="shared" si="321"/>
        <v/>
      </c>
    </row>
    <row r="17370" spans="8:8" x14ac:dyDescent="0.3">
      <c r="H17370" t="str">
        <f t="shared" si="321"/>
        <v/>
      </c>
    </row>
    <row r="17371" spans="8:8" x14ac:dyDescent="0.3">
      <c r="H17371" t="str">
        <f t="shared" si="321"/>
        <v/>
      </c>
    </row>
    <row r="17372" spans="8:8" x14ac:dyDescent="0.3">
      <c r="H17372" t="str">
        <f t="shared" si="321"/>
        <v/>
      </c>
    </row>
    <row r="17373" spans="8:8" x14ac:dyDescent="0.3">
      <c r="H17373" t="str">
        <f t="shared" si="321"/>
        <v/>
      </c>
    </row>
    <row r="17374" spans="8:8" x14ac:dyDescent="0.3">
      <c r="H17374" t="str">
        <f t="shared" si="321"/>
        <v/>
      </c>
    </row>
    <row r="17375" spans="8:8" x14ac:dyDescent="0.3">
      <c r="H17375" t="str">
        <f t="shared" si="321"/>
        <v/>
      </c>
    </row>
    <row r="17376" spans="8:8" x14ac:dyDescent="0.3">
      <c r="H17376" t="str">
        <f t="shared" si="321"/>
        <v/>
      </c>
    </row>
    <row r="17377" spans="8:8" x14ac:dyDescent="0.3">
      <c r="H17377" t="str">
        <f t="shared" si="321"/>
        <v/>
      </c>
    </row>
    <row r="17378" spans="8:8" x14ac:dyDescent="0.3">
      <c r="H17378" t="str">
        <f t="shared" si="321"/>
        <v/>
      </c>
    </row>
    <row r="17379" spans="8:8" x14ac:dyDescent="0.3">
      <c r="H17379" t="str">
        <f t="shared" si="321"/>
        <v/>
      </c>
    </row>
    <row r="17380" spans="8:8" x14ac:dyDescent="0.3">
      <c r="H17380" t="str">
        <f t="shared" si="321"/>
        <v/>
      </c>
    </row>
    <row r="17381" spans="8:8" x14ac:dyDescent="0.3">
      <c r="H17381" t="str">
        <f t="shared" si="321"/>
        <v/>
      </c>
    </row>
    <row r="17382" spans="8:8" x14ac:dyDescent="0.3">
      <c r="H17382" t="str">
        <f t="shared" si="321"/>
        <v/>
      </c>
    </row>
    <row r="17383" spans="8:8" x14ac:dyDescent="0.3">
      <c r="H17383" t="str">
        <f t="shared" si="321"/>
        <v/>
      </c>
    </row>
    <row r="17384" spans="8:8" x14ac:dyDescent="0.3">
      <c r="H17384" t="str">
        <f t="shared" si="321"/>
        <v/>
      </c>
    </row>
    <row r="17385" spans="8:8" x14ac:dyDescent="0.3">
      <c r="H17385" t="str">
        <f t="shared" si="321"/>
        <v/>
      </c>
    </row>
    <row r="17386" spans="8:8" x14ac:dyDescent="0.3">
      <c r="H17386" t="str">
        <f t="shared" si="321"/>
        <v/>
      </c>
    </row>
    <row r="17387" spans="8:8" x14ac:dyDescent="0.3">
      <c r="H17387" t="str">
        <f t="shared" si="321"/>
        <v/>
      </c>
    </row>
    <row r="17388" spans="8:8" x14ac:dyDescent="0.3">
      <c r="H17388" t="str">
        <f t="shared" si="321"/>
        <v/>
      </c>
    </row>
    <row r="17389" spans="8:8" x14ac:dyDescent="0.3">
      <c r="H17389" t="str">
        <f t="shared" si="321"/>
        <v/>
      </c>
    </row>
    <row r="17390" spans="8:8" x14ac:dyDescent="0.3">
      <c r="H17390" t="str">
        <f t="shared" si="321"/>
        <v/>
      </c>
    </row>
    <row r="17391" spans="8:8" x14ac:dyDescent="0.3">
      <c r="H17391" t="str">
        <f t="shared" si="321"/>
        <v/>
      </c>
    </row>
    <row r="17392" spans="8:8" x14ac:dyDescent="0.3">
      <c r="H17392" t="str">
        <f t="shared" si="321"/>
        <v/>
      </c>
    </row>
    <row r="17393" spans="8:8" x14ac:dyDescent="0.3">
      <c r="H17393" t="str">
        <f t="shared" si="321"/>
        <v/>
      </c>
    </row>
    <row r="17394" spans="8:8" x14ac:dyDescent="0.3">
      <c r="H17394" t="str">
        <f t="shared" si="321"/>
        <v/>
      </c>
    </row>
    <row r="17395" spans="8:8" x14ac:dyDescent="0.3">
      <c r="H17395" t="str">
        <f t="shared" si="321"/>
        <v/>
      </c>
    </row>
    <row r="17396" spans="8:8" x14ac:dyDescent="0.3">
      <c r="H17396" t="str">
        <f t="shared" si="321"/>
        <v/>
      </c>
    </row>
    <row r="17397" spans="8:8" x14ac:dyDescent="0.3">
      <c r="H17397" t="str">
        <f t="shared" si="321"/>
        <v/>
      </c>
    </row>
    <row r="17398" spans="8:8" x14ac:dyDescent="0.3">
      <c r="H17398" t="str">
        <f t="shared" si="321"/>
        <v/>
      </c>
    </row>
    <row r="17399" spans="8:8" x14ac:dyDescent="0.3">
      <c r="H17399" t="str">
        <f t="shared" si="321"/>
        <v/>
      </c>
    </row>
    <row r="17400" spans="8:8" x14ac:dyDescent="0.3">
      <c r="H17400" t="str">
        <f t="shared" si="321"/>
        <v/>
      </c>
    </row>
    <row r="17401" spans="8:8" x14ac:dyDescent="0.3">
      <c r="H17401" t="str">
        <f t="shared" si="321"/>
        <v/>
      </c>
    </row>
    <row r="17402" spans="8:8" x14ac:dyDescent="0.3">
      <c r="H17402" t="str">
        <f t="shared" si="321"/>
        <v/>
      </c>
    </row>
    <row r="17403" spans="8:8" x14ac:dyDescent="0.3">
      <c r="H17403" t="str">
        <f t="shared" si="321"/>
        <v/>
      </c>
    </row>
    <row r="17404" spans="8:8" x14ac:dyDescent="0.3">
      <c r="H17404" t="str">
        <f t="shared" si="321"/>
        <v/>
      </c>
    </row>
    <row r="17405" spans="8:8" x14ac:dyDescent="0.3">
      <c r="H17405" t="str">
        <f t="shared" si="321"/>
        <v/>
      </c>
    </row>
    <row r="17406" spans="8:8" x14ac:dyDescent="0.3">
      <c r="H17406" t="str">
        <f t="shared" si="321"/>
        <v/>
      </c>
    </row>
    <row r="17407" spans="8:8" x14ac:dyDescent="0.3">
      <c r="H17407" t="str">
        <f t="shared" si="321"/>
        <v/>
      </c>
    </row>
    <row r="17408" spans="8:8" x14ac:dyDescent="0.3">
      <c r="H17408" t="str">
        <f t="shared" si="321"/>
        <v/>
      </c>
    </row>
    <row r="17409" spans="8:8" x14ac:dyDescent="0.3">
      <c r="H17409" t="str">
        <f t="shared" si="321"/>
        <v/>
      </c>
    </row>
    <row r="17410" spans="8:8" x14ac:dyDescent="0.3">
      <c r="H17410" t="str">
        <f t="shared" si="321"/>
        <v/>
      </c>
    </row>
    <row r="17411" spans="8:8" x14ac:dyDescent="0.3">
      <c r="H17411" t="str">
        <f t="shared" si="321"/>
        <v/>
      </c>
    </row>
    <row r="17412" spans="8:8" x14ac:dyDescent="0.3">
      <c r="H17412" t="str">
        <f t="shared" si="321"/>
        <v/>
      </c>
    </row>
    <row r="17413" spans="8:8" x14ac:dyDescent="0.3">
      <c r="H17413" t="str">
        <f t="shared" si="321"/>
        <v/>
      </c>
    </row>
    <row r="17414" spans="8:8" x14ac:dyDescent="0.3">
      <c r="H17414" t="str">
        <f t="shared" si="321"/>
        <v/>
      </c>
    </row>
    <row r="17415" spans="8:8" x14ac:dyDescent="0.3">
      <c r="H17415" t="str">
        <f t="shared" si="321"/>
        <v/>
      </c>
    </row>
    <row r="17416" spans="8:8" x14ac:dyDescent="0.3">
      <c r="H17416" t="str">
        <f t="shared" si="321"/>
        <v/>
      </c>
    </row>
    <row r="17417" spans="8:8" x14ac:dyDescent="0.3">
      <c r="H17417" t="str">
        <f t="shared" si="321"/>
        <v/>
      </c>
    </row>
    <row r="17418" spans="8:8" x14ac:dyDescent="0.3">
      <c r="H17418" t="str">
        <f t="shared" si="321"/>
        <v/>
      </c>
    </row>
    <row r="17419" spans="8:8" x14ac:dyDescent="0.3">
      <c r="H17419" t="str">
        <f t="shared" si="321"/>
        <v/>
      </c>
    </row>
    <row r="17420" spans="8:8" x14ac:dyDescent="0.3">
      <c r="H17420" t="str">
        <f t="shared" si="321"/>
        <v/>
      </c>
    </row>
    <row r="17421" spans="8:8" x14ac:dyDescent="0.3">
      <c r="H17421" t="str">
        <f t="shared" si="321"/>
        <v/>
      </c>
    </row>
    <row r="17422" spans="8:8" x14ac:dyDescent="0.3">
      <c r="H17422" t="str">
        <f t="shared" si="321"/>
        <v/>
      </c>
    </row>
    <row r="17423" spans="8:8" x14ac:dyDescent="0.3">
      <c r="H17423" t="str">
        <f t="shared" si="321"/>
        <v/>
      </c>
    </row>
    <row r="17424" spans="8:8" x14ac:dyDescent="0.3">
      <c r="H17424" t="str">
        <f t="shared" si="321"/>
        <v/>
      </c>
    </row>
    <row r="17425" spans="8:8" x14ac:dyDescent="0.3">
      <c r="H17425" t="str">
        <f t="shared" si="321"/>
        <v/>
      </c>
    </row>
    <row r="17426" spans="8:8" x14ac:dyDescent="0.3">
      <c r="H17426" t="str">
        <f t="shared" si="321"/>
        <v/>
      </c>
    </row>
    <row r="17427" spans="8:8" x14ac:dyDescent="0.3">
      <c r="H17427" t="str">
        <f t="shared" si="321"/>
        <v/>
      </c>
    </row>
    <row r="17428" spans="8:8" x14ac:dyDescent="0.3">
      <c r="H17428" t="str">
        <f t="shared" si="321"/>
        <v/>
      </c>
    </row>
    <row r="17429" spans="8:8" x14ac:dyDescent="0.3">
      <c r="H17429" t="str">
        <f t="shared" si="321"/>
        <v/>
      </c>
    </row>
    <row r="17430" spans="8:8" x14ac:dyDescent="0.3">
      <c r="H17430" t="str">
        <f t="shared" si="321"/>
        <v/>
      </c>
    </row>
    <row r="17431" spans="8:8" x14ac:dyDescent="0.3">
      <c r="H17431" t="str">
        <f t="shared" ref="H17431:H17494" si="322">IF(B17431="","",$C$12)</f>
        <v/>
      </c>
    </row>
    <row r="17432" spans="8:8" x14ac:dyDescent="0.3">
      <c r="H17432" t="str">
        <f t="shared" si="322"/>
        <v/>
      </c>
    </row>
    <row r="17433" spans="8:8" x14ac:dyDescent="0.3">
      <c r="H17433" t="str">
        <f t="shared" si="322"/>
        <v/>
      </c>
    </row>
    <row r="17434" spans="8:8" x14ac:dyDescent="0.3">
      <c r="H17434" t="str">
        <f t="shared" si="322"/>
        <v/>
      </c>
    </row>
    <row r="17435" spans="8:8" x14ac:dyDescent="0.3">
      <c r="H17435" t="str">
        <f t="shared" si="322"/>
        <v/>
      </c>
    </row>
    <row r="17436" spans="8:8" x14ac:dyDescent="0.3">
      <c r="H17436" t="str">
        <f t="shared" si="322"/>
        <v/>
      </c>
    </row>
    <row r="17437" spans="8:8" x14ac:dyDescent="0.3">
      <c r="H17437" t="str">
        <f t="shared" si="322"/>
        <v/>
      </c>
    </row>
    <row r="17438" spans="8:8" x14ac:dyDescent="0.3">
      <c r="H17438" t="str">
        <f t="shared" si="322"/>
        <v/>
      </c>
    </row>
    <row r="17439" spans="8:8" x14ac:dyDescent="0.3">
      <c r="H17439" t="str">
        <f t="shared" si="322"/>
        <v/>
      </c>
    </row>
    <row r="17440" spans="8:8" x14ac:dyDescent="0.3">
      <c r="H17440" t="str">
        <f t="shared" si="322"/>
        <v/>
      </c>
    </row>
    <row r="17441" spans="8:8" x14ac:dyDescent="0.3">
      <c r="H17441" t="str">
        <f t="shared" si="322"/>
        <v/>
      </c>
    </row>
    <row r="17442" spans="8:8" x14ac:dyDescent="0.3">
      <c r="H17442" t="str">
        <f t="shared" si="322"/>
        <v/>
      </c>
    </row>
    <row r="17443" spans="8:8" x14ac:dyDescent="0.3">
      <c r="H17443" t="str">
        <f t="shared" si="322"/>
        <v/>
      </c>
    </row>
    <row r="17444" spans="8:8" x14ac:dyDescent="0.3">
      <c r="H17444" t="str">
        <f t="shared" si="322"/>
        <v/>
      </c>
    </row>
    <row r="17445" spans="8:8" x14ac:dyDescent="0.3">
      <c r="H17445" t="str">
        <f t="shared" si="322"/>
        <v/>
      </c>
    </row>
    <row r="17446" spans="8:8" x14ac:dyDescent="0.3">
      <c r="H17446" t="str">
        <f t="shared" si="322"/>
        <v/>
      </c>
    </row>
    <row r="17447" spans="8:8" x14ac:dyDescent="0.3">
      <c r="H17447" t="str">
        <f t="shared" si="322"/>
        <v/>
      </c>
    </row>
    <row r="17448" spans="8:8" x14ac:dyDescent="0.3">
      <c r="H17448" t="str">
        <f t="shared" si="322"/>
        <v/>
      </c>
    </row>
    <row r="17449" spans="8:8" x14ac:dyDescent="0.3">
      <c r="H17449" t="str">
        <f t="shared" si="322"/>
        <v/>
      </c>
    </row>
    <row r="17450" spans="8:8" x14ac:dyDescent="0.3">
      <c r="H17450" t="str">
        <f t="shared" si="322"/>
        <v/>
      </c>
    </row>
    <row r="17451" spans="8:8" x14ac:dyDescent="0.3">
      <c r="H17451" t="str">
        <f t="shared" si="322"/>
        <v/>
      </c>
    </row>
    <row r="17452" spans="8:8" x14ac:dyDescent="0.3">
      <c r="H17452" t="str">
        <f t="shared" si="322"/>
        <v/>
      </c>
    </row>
    <row r="17453" spans="8:8" x14ac:dyDescent="0.3">
      <c r="H17453" t="str">
        <f t="shared" si="322"/>
        <v/>
      </c>
    </row>
    <row r="17454" spans="8:8" x14ac:dyDescent="0.3">
      <c r="H17454" t="str">
        <f t="shared" si="322"/>
        <v/>
      </c>
    </row>
    <row r="17455" spans="8:8" x14ac:dyDescent="0.3">
      <c r="H17455" t="str">
        <f t="shared" si="322"/>
        <v/>
      </c>
    </row>
    <row r="17456" spans="8:8" x14ac:dyDescent="0.3">
      <c r="H17456" t="str">
        <f t="shared" si="322"/>
        <v/>
      </c>
    </row>
    <row r="17457" spans="8:8" x14ac:dyDescent="0.3">
      <c r="H17457" t="str">
        <f t="shared" si="322"/>
        <v/>
      </c>
    </row>
    <row r="17458" spans="8:8" x14ac:dyDescent="0.3">
      <c r="H17458" t="str">
        <f t="shared" si="322"/>
        <v/>
      </c>
    </row>
    <row r="17459" spans="8:8" x14ac:dyDescent="0.3">
      <c r="H17459" t="str">
        <f t="shared" si="322"/>
        <v/>
      </c>
    </row>
    <row r="17460" spans="8:8" x14ac:dyDescent="0.3">
      <c r="H17460" t="str">
        <f t="shared" si="322"/>
        <v/>
      </c>
    </row>
    <row r="17461" spans="8:8" x14ac:dyDescent="0.3">
      <c r="H17461" t="str">
        <f t="shared" si="322"/>
        <v/>
      </c>
    </row>
    <row r="17462" spans="8:8" x14ac:dyDescent="0.3">
      <c r="H17462" t="str">
        <f t="shared" si="322"/>
        <v/>
      </c>
    </row>
    <row r="17463" spans="8:8" x14ac:dyDescent="0.3">
      <c r="H17463" t="str">
        <f t="shared" si="322"/>
        <v/>
      </c>
    </row>
    <row r="17464" spans="8:8" x14ac:dyDescent="0.3">
      <c r="H17464" t="str">
        <f t="shared" si="322"/>
        <v/>
      </c>
    </row>
    <row r="17465" spans="8:8" x14ac:dyDescent="0.3">
      <c r="H17465" t="str">
        <f t="shared" si="322"/>
        <v/>
      </c>
    </row>
    <row r="17466" spans="8:8" x14ac:dyDescent="0.3">
      <c r="H17466" t="str">
        <f t="shared" si="322"/>
        <v/>
      </c>
    </row>
    <row r="17467" spans="8:8" x14ac:dyDescent="0.3">
      <c r="H17467" t="str">
        <f t="shared" si="322"/>
        <v/>
      </c>
    </row>
    <row r="17468" spans="8:8" x14ac:dyDescent="0.3">
      <c r="H17468" t="str">
        <f t="shared" si="322"/>
        <v/>
      </c>
    </row>
    <row r="17469" spans="8:8" x14ac:dyDescent="0.3">
      <c r="H17469" t="str">
        <f t="shared" si="322"/>
        <v/>
      </c>
    </row>
    <row r="17470" spans="8:8" x14ac:dyDescent="0.3">
      <c r="H17470" t="str">
        <f t="shared" si="322"/>
        <v/>
      </c>
    </row>
    <row r="17471" spans="8:8" x14ac:dyDescent="0.3">
      <c r="H17471" t="str">
        <f t="shared" si="322"/>
        <v/>
      </c>
    </row>
    <row r="17472" spans="8:8" x14ac:dyDescent="0.3">
      <c r="H17472" t="str">
        <f t="shared" si="322"/>
        <v/>
      </c>
    </row>
    <row r="17473" spans="8:8" x14ac:dyDescent="0.3">
      <c r="H17473" t="str">
        <f t="shared" si="322"/>
        <v/>
      </c>
    </row>
    <row r="17474" spans="8:8" x14ac:dyDescent="0.3">
      <c r="H17474" t="str">
        <f t="shared" si="322"/>
        <v/>
      </c>
    </row>
    <row r="17475" spans="8:8" x14ac:dyDescent="0.3">
      <c r="H17475" t="str">
        <f t="shared" si="322"/>
        <v/>
      </c>
    </row>
    <row r="17476" spans="8:8" x14ac:dyDescent="0.3">
      <c r="H17476" t="str">
        <f t="shared" si="322"/>
        <v/>
      </c>
    </row>
    <row r="17477" spans="8:8" x14ac:dyDescent="0.3">
      <c r="H17477" t="str">
        <f t="shared" si="322"/>
        <v/>
      </c>
    </row>
    <row r="17478" spans="8:8" x14ac:dyDescent="0.3">
      <c r="H17478" t="str">
        <f t="shared" si="322"/>
        <v/>
      </c>
    </row>
    <row r="17479" spans="8:8" x14ac:dyDescent="0.3">
      <c r="H17479" t="str">
        <f t="shared" si="322"/>
        <v/>
      </c>
    </row>
    <row r="17480" spans="8:8" x14ac:dyDescent="0.3">
      <c r="H17480" t="str">
        <f t="shared" si="322"/>
        <v/>
      </c>
    </row>
    <row r="17481" spans="8:8" x14ac:dyDescent="0.3">
      <c r="H17481" t="str">
        <f t="shared" si="322"/>
        <v/>
      </c>
    </row>
    <row r="17482" spans="8:8" x14ac:dyDescent="0.3">
      <c r="H17482" t="str">
        <f t="shared" si="322"/>
        <v/>
      </c>
    </row>
    <row r="17483" spans="8:8" x14ac:dyDescent="0.3">
      <c r="H17483" t="str">
        <f t="shared" si="322"/>
        <v/>
      </c>
    </row>
    <row r="17484" spans="8:8" x14ac:dyDescent="0.3">
      <c r="H17484" t="str">
        <f t="shared" si="322"/>
        <v/>
      </c>
    </row>
    <row r="17485" spans="8:8" x14ac:dyDescent="0.3">
      <c r="H17485" t="str">
        <f t="shared" si="322"/>
        <v/>
      </c>
    </row>
    <row r="17486" spans="8:8" x14ac:dyDescent="0.3">
      <c r="H17486" t="str">
        <f t="shared" si="322"/>
        <v/>
      </c>
    </row>
    <row r="17487" spans="8:8" x14ac:dyDescent="0.3">
      <c r="H17487" t="str">
        <f t="shared" si="322"/>
        <v/>
      </c>
    </row>
    <row r="17488" spans="8:8" x14ac:dyDescent="0.3">
      <c r="H17488" t="str">
        <f t="shared" si="322"/>
        <v/>
      </c>
    </row>
    <row r="17489" spans="8:8" x14ac:dyDescent="0.3">
      <c r="H17489" t="str">
        <f t="shared" si="322"/>
        <v/>
      </c>
    </row>
    <row r="17490" spans="8:8" x14ac:dyDescent="0.3">
      <c r="H17490" t="str">
        <f t="shared" si="322"/>
        <v/>
      </c>
    </row>
    <row r="17491" spans="8:8" x14ac:dyDescent="0.3">
      <c r="H17491" t="str">
        <f t="shared" si="322"/>
        <v/>
      </c>
    </row>
    <row r="17492" spans="8:8" x14ac:dyDescent="0.3">
      <c r="H17492" t="str">
        <f t="shared" si="322"/>
        <v/>
      </c>
    </row>
    <row r="17493" spans="8:8" x14ac:dyDescent="0.3">
      <c r="H17493" t="str">
        <f t="shared" si="322"/>
        <v/>
      </c>
    </row>
    <row r="17494" spans="8:8" x14ac:dyDescent="0.3">
      <c r="H17494" t="str">
        <f t="shared" si="322"/>
        <v/>
      </c>
    </row>
    <row r="17495" spans="8:8" x14ac:dyDescent="0.3">
      <c r="H17495" t="str">
        <f t="shared" ref="H17495:H17558" si="323">IF(B17495="","",$C$12)</f>
        <v/>
      </c>
    </row>
    <row r="17496" spans="8:8" x14ac:dyDescent="0.3">
      <c r="H17496" t="str">
        <f t="shared" si="323"/>
        <v/>
      </c>
    </row>
    <row r="17497" spans="8:8" x14ac:dyDescent="0.3">
      <c r="H17497" t="str">
        <f t="shared" si="323"/>
        <v/>
      </c>
    </row>
    <row r="17498" spans="8:8" x14ac:dyDescent="0.3">
      <c r="H17498" t="str">
        <f t="shared" si="323"/>
        <v/>
      </c>
    </row>
    <row r="17499" spans="8:8" x14ac:dyDescent="0.3">
      <c r="H17499" t="str">
        <f t="shared" si="323"/>
        <v/>
      </c>
    </row>
    <row r="17500" spans="8:8" x14ac:dyDescent="0.3">
      <c r="H17500" t="str">
        <f t="shared" si="323"/>
        <v/>
      </c>
    </row>
    <row r="17501" spans="8:8" x14ac:dyDescent="0.3">
      <c r="H17501" t="str">
        <f t="shared" si="323"/>
        <v/>
      </c>
    </row>
    <row r="17502" spans="8:8" x14ac:dyDescent="0.3">
      <c r="H17502" t="str">
        <f t="shared" si="323"/>
        <v/>
      </c>
    </row>
    <row r="17503" spans="8:8" x14ac:dyDescent="0.3">
      <c r="H17503" t="str">
        <f t="shared" si="323"/>
        <v/>
      </c>
    </row>
    <row r="17504" spans="8:8" x14ac:dyDescent="0.3">
      <c r="H17504" t="str">
        <f t="shared" si="323"/>
        <v/>
      </c>
    </row>
    <row r="17505" spans="8:8" x14ac:dyDescent="0.3">
      <c r="H17505" t="str">
        <f t="shared" si="323"/>
        <v/>
      </c>
    </row>
    <row r="17506" spans="8:8" x14ac:dyDescent="0.3">
      <c r="H17506" t="str">
        <f t="shared" si="323"/>
        <v/>
      </c>
    </row>
    <row r="17507" spans="8:8" x14ac:dyDescent="0.3">
      <c r="H17507" t="str">
        <f t="shared" si="323"/>
        <v/>
      </c>
    </row>
    <row r="17508" spans="8:8" x14ac:dyDescent="0.3">
      <c r="H17508" t="str">
        <f t="shared" si="323"/>
        <v/>
      </c>
    </row>
    <row r="17509" spans="8:8" x14ac:dyDescent="0.3">
      <c r="H17509" t="str">
        <f t="shared" si="323"/>
        <v/>
      </c>
    </row>
    <row r="17510" spans="8:8" x14ac:dyDescent="0.3">
      <c r="H17510" t="str">
        <f t="shared" si="323"/>
        <v/>
      </c>
    </row>
    <row r="17511" spans="8:8" x14ac:dyDescent="0.3">
      <c r="H17511" t="str">
        <f t="shared" si="323"/>
        <v/>
      </c>
    </row>
    <row r="17512" spans="8:8" x14ac:dyDescent="0.3">
      <c r="H17512" t="str">
        <f t="shared" si="323"/>
        <v/>
      </c>
    </row>
    <row r="17513" spans="8:8" x14ac:dyDescent="0.3">
      <c r="H17513" t="str">
        <f t="shared" si="323"/>
        <v/>
      </c>
    </row>
    <row r="17514" spans="8:8" x14ac:dyDescent="0.3">
      <c r="H17514" t="str">
        <f t="shared" si="323"/>
        <v/>
      </c>
    </row>
    <row r="17515" spans="8:8" x14ac:dyDescent="0.3">
      <c r="H17515" t="str">
        <f t="shared" si="323"/>
        <v/>
      </c>
    </row>
    <row r="17516" spans="8:8" x14ac:dyDescent="0.3">
      <c r="H17516" t="str">
        <f t="shared" si="323"/>
        <v/>
      </c>
    </row>
    <row r="17517" spans="8:8" x14ac:dyDescent="0.3">
      <c r="H17517" t="str">
        <f t="shared" si="323"/>
        <v/>
      </c>
    </row>
    <row r="17518" spans="8:8" x14ac:dyDescent="0.3">
      <c r="H17518" t="str">
        <f t="shared" si="323"/>
        <v/>
      </c>
    </row>
    <row r="17519" spans="8:8" x14ac:dyDescent="0.3">
      <c r="H17519" t="str">
        <f t="shared" si="323"/>
        <v/>
      </c>
    </row>
    <row r="17520" spans="8:8" x14ac:dyDescent="0.3">
      <c r="H17520" t="str">
        <f t="shared" si="323"/>
        <v/>
      </c>
    </row>
    <row r="17521" spans="8:8" x14ac:dyDescent="0.3">
      <c r="H17521" t="str">
        <f t="shared" si="323"/>
        <v/>
      </c>
    </row>
    <row r="17522" spans="8:8" x14ac:dyDescent="0.3">
      <c r="H17522" t="str">
        <f t="shared" si="323"/>
        <v/>
      </c>
    </row>
    <row r="17523" spans="8:8" x14ac:dyDescent="0.3">
      <c r="H17523" t="str">
        <f t="shared" si="323"/>
        <v/>
      </c>
    </row>
    <row r="17524" spans="8:8" x14ac:dyDescent="0.3">
      <c r="H17524" t="str">
        <f t="shared" si="323"/>
        <v/>
      </c>
    </row>
    <row r="17525" spans="8:8" x14ac:dyDescent="0.3">
      <c r="H17525" t="str">
        <f t="shared" si="323"/>
        <v/>
      </c>
    </row>
    <row r="17526" spans="8:8" x14ac:dyDescent="0.3">
      <c r="H17526" t="str">
        <f t="shared" si="323"/>
        <v/>
      </c>
    </row>
    <row r="17527" spans="8:8" x14ac:dyDescent="0.3">
      <c r="H17527" t="str">
        <f t="shared" si="323"/>
        <v/>
      </c>
    </row>
    <row r="17528" spans="8:8" x14ac:dyDescent="0.3">
      <c r="H17528" t="str">
        <f t="shared" si="323"/>
        <v/>
      </c>
    </row>
    <row r="17529" spans="8:8" x14ac:dyDescent="0.3">
      <c r="H17529" t="str">
        <f t="shared" si="323"/>
        <v/>
      </c>
    </row>
    <row r="17530" spans="8:8" x14ac:dyDescent="0.3">
      <c r="H17530" t="str">
        <f t="shared" si="323"/>
        <v/>
      </c>
    </row>
    <row r="17531" spans="8:8" x14ac:dyDescent="0.3">
      <c r="H17531" t="str">
        <f t="shared" si="323"/>
        <v/>
      </c>
    </row>
    <row r="17532" spans="8:8" x14ac:dyDescent="0.3">
      <c r="H17532" t="str">
        <f t="shared" si="323"/>
        <v/>
      </c>
    </row>
    <row r="17533" spans="8:8" x14ac:dyDescent="0.3">
      <c r="H17533" t="str">
        <f t="shared" si="323"/>
        <v/>
      </c>
    </row>
    <row r="17534" spans="8:8" x14ac:dyDescent="0.3">
      <c r="H17534" t="str">
        <f t="shared" si="323"/>
        <v/>
      </c>
    </row>
    <row r="17535" spans="8:8" x14ac:dyDescent="0.3">
      <c r="H17535" t="str">
        <f t="shared" si="323"/>
        <v/>
      </c>
    </row>
    <row r="17536" spans="8:8" x14ac:dyDescent="0.3">
      <c r="H17536" t="str">
        <f t="shared" si="323"/>
        <v/>
      </c>
    </row>
    <row r="17537" spans="8:8" x14ac:dyDescent="0.3">
      <c r="H17537" t="str">
        <f t="shared" si="323"/>
        <v/>
      </c>
    </row>
    <row r="17538" spans="8:8" x14ac:dyDescent="0.3">
      <c r="H17538" t="str">
        <f t="shared" si="323"/>
        <v/>
      </c>
    </row>
    <row r="17539" spans="8:8" x14ac:dyDescent="0.3">
      <c r="H17539" t="str">
        <f t="shared" si="323"/>
        <v/>
      </c>
    </row>
    <row r="17540" spans="8:8" x14ac:dyDescent="0.3">
      <c r="H17540" t="str">
        <f t="shared" si="323"/>
        <v/>
      </c>
    </row>
    <row r="17541" spans="8:8" x14ac:dyDescent="0.3">
      <c r="H17541" t="str">
        <f t="shared" si="323"/>
        <v/>
      </c>
    </row>
    <row r="17542" spans="8:8" x14ac:dyDescent="0.3">
      <c r="H17542" t="str">
        <f t="shared" si="323"/>
        <v/>
      </c>
    </row>
    <row r="17543" spans="8:8" x14ac:dyDescent="0.3">
      <c r="H17543" t="str">
        <f t="shared" si="323"/>
        <v/>
      </c>
    </row>
    <row r="17544" spans="8:8" x14ac:dyDescent="0.3">
      <c r="H17544" t="str">
        <f t="shared" si="323"/>
        <v/>
      </c>
    </row>
    <row r="17545" spans="8:8" x14ac:dyDescent="0.3">
      <c r="H17545" t="str">
        <f t="shared" si="323"/>
        <v/>
      </c>
    </row>
    <row r="17546" spans="8:8" x14ac:dyDescent="0.3">
      <c r="H17546" t="str">
        <f t="shared" si="323"/>
        <v/>
      </c>
    </row>
    <row r="17547" spans="8:8" x14ac:dyDescent="0.3">
      <c r="H17547" t="str">
        <f t="shared" si="323"/>
        <v/>
      </c>
    </row>
    <row r="17548" spans="8:8" x14ac:dyDescent="0.3">
      <c r="H17548" t="str">
        <f t="shared" si="323"/>
        <v/>
      </c>
    </row>
    <row r="17549" spans="8:8" x14ac:dyDescent="0.3">
      <c r="H17549" t="str">
        <f t="shared" si="323"/>
        <v/>
      </c>
    </row>
    <row r="17550" spans="8:8" x14ac:dyDescent="0.3">
      <c r="H17550" t="str">
        <f t="shared" si="323"/>
        <v/>
      </c>
    </row>
    <row r="17551" spans="8:8" x14ac:dyDescent="0.3">
      <c r="H17551" t="str">
        <f t="shared" si="323"/>
        <v/>
      </c>
    </row>
    <row r="17552" spans="8:8" x14ac:dyDescent="0.3">
      <c r="H17552" t="str">
        <f t="shared" si="323"/>
        <v/>
      </c>
    </row>
    <row r="17553" spans="8:8" x14ac:dyDescent="0.3">
      <c r="H17553" t="str">
        <f t="shared" si="323"/>
        <v/>
      </c>
    </row>
    <row r="17554" spans="8:8" x14ac:dyDescent="0.3">
      <c r="H17554" t="str">
        <f t="shared" si="323"/>
        <v/>
      </c>
    </row>
    <row r="17555" spans="8:8" x14ac:dyDescent="0.3">
      <c r="H17555" t="str">
        <f t="shared" si="323"/>
        <v/>
      </c>
    </row>
    <row r="17556" spans="8:8" x14ac:dyDescent="0.3">
      <c r="H17556" t="str">
        <f t="shared" si="323"/>
        <v/>
      </c>
    </row>
    <row r="17557" spans="8:8" x14ac:dyDescent="0.3">
      <c r="H17557" t="str">
        <f t="shared" si="323"/>
        <v/>
      </c>
    </row>
    <row r="17558" spans="8:8" x14ac:dyDescent="0.3">
      <c r="H17558" t="str">
        <f t="shared" si="323"/>
        <v/>
      </c>
    </row>
    <row r="17559" spans="8:8" x14ac:dyDescent="0.3">
      <c r="H17559" t="str">
        <f t="shared" ref="H17559:H17622" si="324">IF(B17559="","",$C$12)</f>
        <v/>
      </c>
    </row>
    <row r="17560" spans="8:8" x14ac:dyDescent="0.3">
      <c r="H17560" t="str">
        <f t="shared" si="324"/>
        <v/>
      </c>
    </row>
    <row r="17561" spans="8:8" x14ac:dyDescent="0.3">
      <c r="H17561" t="str">
        <f t="shared" si="324"/>
        <v/>
      </c>
    </row>
    <row r="17562" spans="8:8" x14ac:dyDescent="0.3">
      <c r="H17562" t="str">
        <f t="shared" si="324"/>
        <v/>
      </c>
    </row>
    <row r="17563" spans="8:8" x14ac:dyDescent="0.3">
      <c r="H17563" t="str">
        <f t="shared" si="324"/>
        <v/>
      </c>
    </row>
    <row r="17564" spans="8:8" x14ac:dyDescent="0.3">
      <c r="H17564" t="str">
        <f t="shared" si="324"/>
        <v/>
      </c>
    </row>
    <row r="17565" spans="8:8" x14ac:dyDescent="0.3">
      <c r="H17565" t="str">
        <f t="shared" si="324"/>
        <v/>
      </c>
    </row>
    <row r="17566" spans="8:8" x14ac:dyDescent="0.3">
      <c r="H17566" t="str">
        <f t="shared" si="324"/>
        <v/>
      </c>
    </row>
    <row r="17567" spans="8:8" x14ac:dyDescent="0.3">
      <c r="H17567" t="str">
        <f t="shared" si="324"/>
        <v/>
      </c>
    </row>
    <row r="17568" spans="8:8" x14ac:dyDescent="0.3">
      <c r="H17568" t="str">
        <f t="shared" si="324"/>
        <v/>
      </c>
    </row>
    <row r="17569" spans="8:8" x14ac:dyDescent="0.3">
      <c r="H17569" t="str">
        <f t="shared" si="324"/>
        <v/>
      </c>
    </row>
    <row r="17570" spans="8:8" x14ac:dyDescent="0.3">
      <c r="H17570" t="str">
        <f t="shared" si="324"/>
        <v/>
      </c>
    </row>
    <row r="17571" spans="8:8" x14ac:dyDescent="0.3">
      <c r="H17571" t="str">
        <f t="shared" si="324"/>
        <v/>
      </c>
    </row>
    <row r="17572" spans="8:8" x14ac:dyDescent="0.3">
      <c r="H17572" t="str">
        <f t="shared" si="324"/>
        <v/>
      </c>
    </row>
    <row r="17573" spans="8:8" x14ac:dyDescent="0.3">
      <c r="H17573" t="str">
        <f t="shared" si="324"/>
        <v/>
      </c>
    </row>
    <row r="17574" spans="8:8" x14ac:dyDescent="0.3">
      <c r="H17574" t="str">
        <f t="shared" si="324"/>
        <v/>
      </c>
    </row>
    <row r="17575" spans="8:8" x14ac:dyDescent="0.3">
      <c r="H17575" t="str">
        <f t="shared" si="324"/>
        <v/>
      </c>
    </row>
    <row r="17576" spans="8:8" x14ac:dyDescent="0.3">
      <c r="H17576" t="str">
        <f t="shared" si="324"/>
        <v/>
      </c>
    </row>
    <row r="17577" spans="8:8" x14ac:dyDescent="0.3">
      <c r="H17577" t="str">
        <f t="shared" si="324"/>
        <v/>
      </c>
    </row>
    <row r="17578" spans="8:8" x14ac:dyDescent="0.3">
      <c r="H17578" t="str">
        <f t="shared" si="324"/>
        <v/>
      </c>
    </row>
    <row r="17579" spans="8:8" x14ac:dyDescent="0.3">
      <c r="H17579" t="str">
        <f t="shared" si="324"/>
        <v/>
      </c>
    </row>
    <row r="17580" spans="8:8" x14ac:dyDescent="0.3">
      <c r="H17580" t="str">
        <f t="shared" si="324"/>
        <v/>
      </c>
    </row>
    <row r="17581" spans="8:8" x14ac:dyDescent="0.3">
      <c r="H17581" t="str">
        <f t="shared" si="324"/>
        <v/>
      </c>
    </row>
    <row r="17582" spans="8:8" x14ac:dyDescent="0.3">
      <c r="H17582" t="str">
        <f t="shared" si="324"/>
        <v/>
      </c>
    </row>
    <row r="17583" spans="8:8" x14ac:dyDescent="0.3">
      <c r="H17583" t="str">
        <f t="shared" si="324"/>
        <v/>
      </c>
    </row>
    <row r="17584" spans="8:8" x14ac:dyDescent="0.3">
      <c r="H17584" t="str">
        <f t="shared" si="324"/>
        <v/>
      </c>
    </row>
    <row r="17585" spans="8:8" x14ac:dyDescent="0.3">
      <c r="H17585" t="str">
        <f t="shared" si="324"/>
        <v/>
      </c>
    </row>
    <row r="17586" spans="8:8" x14ac:dyDescent="0.3">
      <c r="H17586" t="str">
        <f t="shared" si="324"/>
        <v/>
      </c>
    </row>
    <row r="17587" spans="8:8" x14ac:dyDescent="0.3">
      <c r="H17587" t="str">
        <f t="shared" si="324"/>
        <v/>
      </c>
    </row>
    <row r="17588" spans="8:8" x14ac:dyDescent="0.3">
      <c r="H17588" t="str">
        <f t="shared" si="324"/>
        <v/>
      </c>
    </row>
    <row r="17589" spans="8:8" x14ac:dyDescent="0.3">
      <c r="H17589" t="str">
        <f t="shared" si="324"/>
        <v/>
      </c>
    </row>
    <row r="17590" spans="8:8" x14ac:dyDescent="0.3">
      <c r="H17590" t="str">
        <f t="shared" si="324"/>
        <v/>
      </c>
    </row>
    <row r="17591" spans="8:8" x14ac:dyDescent="0.3">
      <c r="H17591" t="str">
        <f t="shared" si="324"/>
        <v/>
      </c>
    </row>
    <row r="17592" spans="8:8" x14ac:dyDescent="0.3">
      <c r="H17592" t="str">
        <f t="shared" si="324"/>
        <v/>
      </c>
    </row>
    <row r="17593" spans="8:8" x14ac:dyDescent="0.3">
      <c r="H17593" t="str">
        <f t="shared" si="324"/>
        <v/>
      </c>
    </row>
    <row r="17594" spans="8:8" x14ac:dyDescent="0.3">
      <c r="H17594" t="str">
        <f t="shared" si="324"/>
        <v/>
      </c>
    </row>
    <row r="17595" spans="8:8" x14ac:dyDescent="0.3">
      <c r="H17595" t="str">
        <f t="shared" si="324"/>
        <v/>
      </c>
    </row>
    <row r="17596" spans="8:8" x14ac:dyDescent="0.3">
      <c r="H17596" t="str">
        <f t="shared" si="324"/>
        <v/>
      </c>
    </row>
    <row r="17597" spans="8:8" x14ac:dyDescent="0.3">
      <c r="H17597" t="str">
        <f t="shared" si="324"/>
        <v/>
      </c>
    </row>
    <row r="17598" spans="8:8" x14ac:dyDescent="0.3">
      <c r="H17598" t="str">
        <f t="shared" si="324"/>
        <v/>
      </c>
    </row>
    <row r="17599" spans="8:8" x14ac:dyDescent="0.3">
      <c r="H17599" t="str">
        <f t="shared" si="324"/>
        <v/>
      </c>
    </row>
    <row r="17600" spans="8:8" x14ac:dyDescent="0.3">
      <c r="H17600" t="str">
        <f t="shared" si="324"/>
        <v/>
      </c>
    </row>
    <row r="17601" spans="8:8" x14ac:dyDescent="0.3">
      <c r="H17601" t="str">
        <f t="shared" si="324"/>
        <v/>
      </c>
    </row>
    <row r="17602" spans="8:8" x14ac:dyDescent="0.3">
      <c r="H17602" t="str">
        <f t="shared" si="324"/>
        <v/>
      </c>
    </row>
    <row r="17603" spans="8:8" x14ac:dyDescent="0.3">
      <c r="H17603" t="str">
        <f t="shared" si="324"/>
        <v/>
      </c>
    </row>
    <row r="17604" spans="8:8" x14ac:dyDescent="0.3">
      <c r="H17604" t="str">
        <f t="shared" si="324"/>
        <v/>
      </c>
    </row>
    <row r="17605" spans="8:8" x14ac:dyDescent="0.3">
      <c r="H17605" t="str">
        <f t="shared" si="324"/>
        <v/>
      </c>
    </row>
    <row r="17606" spans="8:8" x14ac:dyDescent="0.3">
      <c r="H17606" t="str">
        <f t="shared" si="324"/>
        <v/>
      </c>
    </row>
    <row r="17607" spans="8:8" x14ac:dyDescent="0.3">
      <c r="H17607" t="str">
        <f t="shared" si="324"/>
        <v/>
      </c>
    </row>
    <row r="17608" spans="8:8" x14ac:dyDescent="0.3">
      <c r="H17608" t="str">
        <f t="shared" si="324"/>
        <v/>
      </c>
    </row>
    <row r="17609" spans="8:8" x14ac:dyDescent="0.3">
      <c r="H17609" t="str">
        <f t="shared" si="324"/>
        <v/>
      </c>
    </row>
    <row r="17610" spans="8:8" x14ac:dyDescent="0.3">
      <c r="H17610" t="str">
        <f t="shared" si="324"/>
        <v/>
      </c>
    </row>
    <row r="17611" spans="8:8" x14ac:dyDescent="0.3">
      <c r="H17611" t="str">
        <f t="shared" si="324"/>
        <v/>
      </c>
    </row>
    <row r="17612" spans="8:8" x14ac:dyDescent="0.3">
      <c r="H17612" t="str">
        <f t="shared" si="324"/>
        <v/>
      </c>
    </row>
    <row r="17613" spans="8:8" x14ac:dyDescent="0.3">
      <c r="H17613" t="str">
        <f t="shared" si="324"/>
        <v/>
      </c>
    </row>
    <row r="17614" spans="8:8" x14ac:dyDescent="0.3">
      <c r="H17614" t="str">
        <f t="shared" si="324"/>
        <v/>
      </c>
    </row>
    <row r="17615" spans="8:8" x14ac:dyDescent="0.3">
      <c r="H17615" t="str">
        <f t="shared" si="324"/>
        <v/>
      </c>
    </row>
    <row r="17616" spans="8:8" x14ac:dyDescent="0.3">
      <c r="H17616" t="str">
        <f t="shared" si="324"/>
        <v/>
      </c>
    </row>
    <row r="17617" spans="8:8" x14ac:dyDescent="0.3">
      <c r="H17617" t="str">
        <f t="shared" si="324"/>
        <v/>
      </c>
    </row>
    <row r="17618" spans="8:8" x14ac:dyDescent="0.3">
      <c r="H17618" t="str">
        <f t="shared" si="324"/>
        <v/>
      </c>
    </row>
    <row r="17619" spans="8:8" x14ac:dyDescent="0.3">
      <c r="H17619" t="str">
        <f t="shared" si="324"/>
        <v/>
      </c>
    </row>
    <row r="17620" spans="8:8" x14ac:dyDescent="0.3">
      <c r="H17620" t="str">
        <f t="shared" si="324"/>
        <v/>
      </c>
    </row>
    <row r="17621" spans="8:8" x14ac:dyDescent="0.3">
      <c r="H17621" t="str">
        <f t="shared" si="324"/>
        <v/>
      </c>
    </row>
    <row r="17622" spans="8:8" x14ac:dyDescent="0.3">
      <c r="H17622" t="str">
        <f t="shared" si="324"/>
        <v/>
      </c>
    </row>
    <row r="17623" spans="8:8" x14ac:dyDescent="0.3">
      <c r="H17623" t="str">
        <f t="shared" ref="H17623:H17686" si="325">IF(B17623="","",$C$12)</f>
        <v/>
      </c>
    </row>
    <row r="17624" spans="8:8" x14ac:dyDescent="0.3">
      <c r="H17624" t="str">
        <f t="shared" si="325"/>
        <v/>
      </c>
    </row>
    <row r="17625" spans="8:8" x14ac:dyDescent="0.3">
      <c r="H17625" t="str">
        <f t="shared" si="325"/>
        <v/>
      </c>
    </row>
    <row r="17626" spans="8:8" x14ac:dyDescent="0.3">
      <c r="H17626" t="str">
        <f t="shared" si="325"/>
        <v/>
      </c>
    </row>
    <row r="17627" spans="8:8" x14ac:dyDescent="0.3">
      <c r="H17627" t="str">
        <f t="shared" si="325"/>
        <v/>
      </c>
    </row>
    <row r="17628" spans="8:8" x14ac:dyDescent="0.3">
      <c r="H17628" t="str">
        <f t="shared" si="325"/>
        <v/>
      </c>
    </row>
    <row r="17629" spans="8:8" x14ac:dyDescent="0.3">
      <c r="H17629" t="str">
        <f t="shared" si="325"/>
        <v/>
      </c>
    </row>
    <row r="17630" spans="8:8" x14ac:dyDescent="0.3">
      <c r="H17630" t="str">
        <f t="shared" si="325"/>
        <v/>
      </c>
    </row>
    <row r="17631" spans="8:8" x14ac:dyDescent="0.3">
      <c r="H17631" t="str">
        <f t="shared" si="325"/>
        <v/>
      </c>
    </row>
    <row r="17632" spans="8:8" x14ac:dyDescent="0.3">
      <c r="H17632" t="str">
        <f t="shared" si="325"/>
        <v/>
      </c>
    </row>
    <row r="17633" spans="8:8" x14ac:dyDescent="0.3">
      <c r="H17633" t="str">
        <f t="shared" si="325"/>
        <v/>
      </c>
    </row>
    <row r="17634" spans="8:8" x14ac:dyDescent="0.3">
      <c r="H17634" t="str">
        <f t="shared" si="325"/>
        <v/>
      </c>
    </row>
    <row r="17635" spans="8:8" x14ac:dyDescent="0.3">
      <c r="H17635" t="str">
        <f t="shared" si="325"/>
        <v/>
      </c>
    </row>
    <row r="17636" spans="8:8" x14ac:dyDescent="0.3">
      <c r="H17636" t="str">
        <f t="shared" si="325"/>
        <v/>
      </c>
    </row>
    <row r="17637" spans="8:8" x14ac:dyDescent="0.3">
      <c r="H17637" t="str">
        <f t="shared" si="325"/>
        <v/>
      </c>
    </row>
    <row r="17638" spans="8:8" x14ac:dyDescent="0.3">
      <c r="H17638" t="str">
        <f t="shared" si="325"/>
        <v/>
      </c>
    </row>
    <row r="17639" spans="8:8" x14ac:dyDescent="0.3">
      <c r="H17639" t="str">
        <f t="shared" si="325"/>
        <v/>
      </c>
    </row>
    <row r="17640" spans="8:8" x14ac:dyDescent="0.3">
      <c r="H17640" t="str">
        <f t="shared" si="325"/>
        <v/>
      </c>
    </row>
    <row r="17641" spans="8:8" x14ac:dyDescent="0.3">
      <c r="H17641" t="str">
        <f t="shared" si="325"/>
        <v/>
      </c>
    </row>
    <row r="17642" spans="8:8" x14ac:dyDescent="0.3">
      <c r="H17642" t="str">
        <f t="shared" si="325"/>
        <v/>
      </c>
    </row>
    <row r="17643" spans="8:8" x14ac:dyDescent="0.3">
      <c r="H17643" t="str">
        <f t="shared" si="325"/>
        <v/>
      </c>
    </row>
    <row r="17644" spans="8:8" x14ac:dyDescent="0.3">
      <c r="H17644" t="str">
        <f t="shared" si="325"/>
        <v/>
      </c>
    </row>
    <row r="17645" spans="8:8" x14ac:dyDescent="0.3">
      <c r="H17645" t="str">
        <f t="shared" si="325"/>
        <v/>
      </c>
    </row>
    <row r="17646" spans="8:8" x14ac:dyDescent="0.3">
      <c r="H17646" t="str">
        <f t="shared" si="325"/>
        <v/>
      </c>
    </row>
    <row r="17647" spans="8:8" x14ac:dyDescent="0.3">
      <c r="H17647" t="str">
        <f t="shared" si="325"/>
        <v/>
      </c>
    </row>
    <row r="17648" spans="8:8" x14ac:dyDescent="0.3">
      <c r="H17648" t="str">
        <f t="shared" si="325"/>
        <v/>
      </c>
    </row>
    <row r="17649" spans="8:8" x14ac:dyDescent="0.3">
      <c r="H17649" t="str">
        <f t="shared" si="325"/>
        <v/>
      </c>
    </row>
    <row r="17650" spans="8:8" x14ac:dyDescent="0.3">
      <c r="H17650" t="str">
        <f t="shared" si="325"/>
        <v/>
      </c>
    </row>
    <row r="17651" spans="8:8" x14ac:dyDescent="0.3">
      <c r="H17651" t="str">
        <f t="shared" si="325"/>
        <v/>
      </c>
    </row>
    <row r="17652" spans="8:8" x14ac:dyDescent="0.3">
      <c r="H17652" t="str">
        <f t="shared" si="325"/>
        <v/>
      </c>
    </row>
    <row r="17653" spans="8:8" x14ac:dyDescent="0.3">
      <c r="H17653" t="str">
        <f t="shared" si="325"/>
        <v/>
      </c>
    </row>
    <row r="17654" spans="8:8" x14ac:dyDescent="0.3">
      <c r="H17654" t="str">
        <f t="shared" si="325"/>
        <v/>
      </c>
    </row>
    <row r="17655" spans="8:8" x14ac:dyDescent="0.3">
      <c r="H17655" t="str">
        <f t="shared" si="325"/>
        <v/>
      </c>
    </row>
    <row r="17656" spans="8:8" x14ac:dyDescent="0.3">
      <c r="H17656" t="str">
        <f t="shared" si="325"/>
        <v/>
      </c>
    </row>
    <row r="17657" spans="8:8" x14ac:dyDescent="0.3">
      <c r="H17657" t="str">
        <f t="shared" si="325"/>
        <v/>
      </c>
    </row>
    <row r="17658" spans="8:8" x14ac:dyDescent="0.3">
      <c r="H17658" t="str">
        <f t="shared" si="325"/>
        <v/>
      </c>
    </row>
    <row r="17659" spans="8:8" x14ac:dyDescent="0.3">
      <c r="H17659" t="str">
        <f t="shared" si="325"/>
        <v/>
      </c>
    </row>
    <row r="17660" spans="8:8" x14ac:dyDescent="0.3">
      <c r="H17660" t="str">
        <f t="shared" si="325"/>
        <v/>
      </c>
    </row>
    <row r="17661" spans="8:8" x14ac:dyDescent="0.3">
      <c r="H17661" t="str">
        <f t="shared" si="325"/>
        <v/>
      </c>
    </row>
    <row r="17662" spans="8:8" x14ac:dyDescent="0.3">
      <c r="H17662" t="str">
        <f t="shared" si="325"/>
        <v/>
      </c>
    </row>
    <row r="17663" spans="8:8" x14ac:dyDescent="0.3">
      <c r="H17663" t="str">
        <f t="shared" si="325"/>
        <v/>
      </c>
    </row>
    <row r="17664" spans="8:8" x14ac:dyDescent="0.3">
      <c r="H17664" t="str">
        <f t="shared" si="325"/>
        <v/>
      </c>
    </row>
    <row r="17665" spans="8:8" x14ac:dyDescent="0.3">
      <c r="H17665" t="str">
        <f t="shared" si="325"/>
        <v/>
      </c>
    </row>
    <row r="17666" spans="8:8" x14ac:dyDescent="0.3">
      <c r="H17666" t="str">
        <f t="shared" si="325"/>
        <v/>
      </c>
    </row>
    <row r="17667" spans="8:8" x14ac:dyDescent="0.3">
      <c r="H17667" t="str">
        <f t="shared" si="325"/>
        <v/>
      </c>
    </row>
    <row r="17668" spans="8:8" x14ac:dyDescent="0.3">
      <c r="H17668" t="str">
        <f t="shared" si="325"/>
        <v/>
      </c>
    </row>
    <row r="17669" spans="8:8" x14ac:dyDescent="0.3">
      <c r="H17669" t="str">
        <f t="shared" si="325"/>
        <v/>
      </c>
    </row>
    <row r="17670" spans="8:8" x14ac:dyDescent="0.3">
      <c r="H17670" t="str">
        <f t="shared" si="325"/>
        <v/>
      </c>
    </row>
    <row r="17671" spans="8:8" x14ac:dyDescent="0.3">
      <c r="H17671" t="str">
        <f t="shared" si="325"/>
        <v/>
      </c>
    </row>
    <row r="17672" spans="8:8" x14ac:dyDescent="0.3">
      <c r="H17672" t="str">
        <f t="shared" si="325"/>
        <v/>
      </c>
    </row>
    <row r="17673" spans="8:8" x14ac:dyDescent="0.3">
      <c r="H17673" t="str">
        <f t="shared" si="325"/>
        <v/>
      </c>
    </row>
    <row r="17674" spans="8:8" x14ac:dyDescent="0.3">
      <c r="H17674" t="str">
        <f t="shared" si="325"/>
        <v/>
      </c>
    </row>
    <row r="17675" spans="8:8" x14ac:dyDescent="0.3">
      <c r="H17675" t="str">
        <f t="shared" si="325"/>
        <v/>
      </c>
    </row>
    <row r="17676" spans="8:8" x14ac:dyDescent="0.3">
      <c r="H17676" t="str">
        <f t="shared" si="325"/>
        <v/>
      </c>
    </row>
    <row r="17677" spans="8:8" x14ac:dyDescent="0.3">
      <c r="H17677" t="str">
        <f t="shared" si="325"/>
        <v/>
      </c>
    </row>
    <row r="17678" spans="8:8" x14ac:dyDescent="0.3">
      <c r="H17678" t="str">
        <f t="shared" si="325"/>
        <v/>
      </c>
    </row>
    <row r="17679" spans="8:8" x14ac:dyDescent="0.3">
      <c r="H17679" t="str">
        <f t="shared" si="325"/>
        <v/>
      </c>
    </row>
    <row r="17680" spans="8:8" x14ac:dyDescent="0.3">
      <c r="H17680" t="str">
        <f t="shared" si="325"/>
        <v/>
      </c>
    </row>
    <row r="17681" spans="8:8" x14ac:dyDescent="0.3">
      <c r="H17681" t="str">
        <f t="shared" si="325"/>
        <v/>
      </c>
    </row>
    <row r="17682" spans="8:8" x14ac:dyDescent="0.3">
      <c r="H17682" t="str">
        <f t="shared" si="325"/>
        <v/>
      </c>
    </row>
    <row r="17683" spans="8:8" x14ac:dyDescent="0.3">
      <c r="H17683" t="str">
        <f t="shared" si="325"/>
        <v/>
      </c>
    </row>
    <row r="17684" spans="8:8" x14ac:dyDescent="0.3">
      <c r="H17684" t="str">
        <f t="shared" si="325"/>
        <v/>
      </c>
    </row>
    <row r="17685" spans="8:8" x14ac:dyDescent="0.3">
      <c r="H17685" t="str">
        <f t="shared" si="325"/>
        <v/>
      </c>
    </row>
    <row r="17686" spans="8:8" x14ac:dyDescent="0.3">
      <c r="H17686" t="str">
        <f t="shared" si="325"/>
        <v/>
      </c>
    </row>
    <row r="17687" spans="8:8" x14ac:dyDescent="0.3">
      <c r="H17687" t="str">
        <f t="shared" ref="H17687:H17750" si="326">IF(B17687="","",$C$12)</f>
        <v/>
      </c>
    </row>
    <row r="17688" spans="8:8" x14ac:dyDescent="0.3">
      <c r="H17688" t="str">
        <f t="shared" si="326"/>
        <v/>
      </c>
    </row>
    <row r="17689" spans="8:8" x14ac:dyDescent="0.3">
      <c r="H17689" t="str">
        <f t="shared" si="326"/>
        <v/>
      </c>
    </row>
    <row r="17690" spans="8:8" x14ac:dyDescent="0.3">
      <c r="H17690" t="str">
        <f t="shared" si="326"/>
        <v/>
      </c>
    </row>
    <row r="17691" spans="8:8" x14ac:dyDescent="0.3">
      <c r="H17691" t="str">
        <f t="shared" si="326"/>
        <v/>
      </c>
    </row>
    <row r="17692" spans="8:8" x14ac:dyDescent="0.3">
      <c r="H17692" t="str">
        <f t="shared" si="326"/>
        <v/>
      </c>
    </row>
    <row r="17693" spans="8:8" x14ac:dyDescent="0.3">
      <c r="H17693" t="str">
        <f t="shared" si="326"/>
        <v/>
      </c>
    </row>
    <row r="17694" spans="8:8" x14ac:dyDescent="0.3">
      <c r="H17694" t="str">
        <f t="shared" si="326"/>
        <v/>
      </c>
    </row>
    <row r="17695" spans="8:8" x14ac:dyDescent="0.3">
      <c r="H17695" t="str">
        <f t="shared" si="326"/>
        <v/>
      </c>
    </row>
    <row r="17696" spans="8:8" x14ac:dyDescent="0.3">
      <c r="H17696" t="str">
        <f t="shared" si="326"/>
        <v/>
      </c>
    </row>
    <row r="17697" spans="8:8" x14ac:dyDescent="0.3">
      <c r="H17697" t="str">
        <f t="shared" si="326"/>
        <v/>
      </c>
    </row>
    <row r="17698" spans="8:8" x14ac:dyDescent="0.3">
      <c r="H17698" t="str">
        <f t="shared" si="326"/>
        <v/>
      </c>
    </row>
    <row r="17699" spans="8:8" x14ac:dyDescent="0.3">
      <c r="H17699" t="str">
        <f t="shared" si="326"/>
        <v/>
      </c>
    </row>
    <row r="17700" spans="8:8" x14ac:dyDescent="0.3">
      <c r="H17700" t="str">
        <f t="shared" si="326"/>
        <v/>
      </c>
    </row>
    <row r="17701" spans="8:8" x14ac:dyDescent="0.3">
      <c r="H17701" t="str">
        <f t="shared" si="326"/>
        <v/>
      </c>
    </row>
    <row r="17702" spans="8:8" x14ac:dyDescent="0.3">
      <c r="H17702" t="str">
        <f t="shared" si="326"/>
        <v/>
      </c>
    </row>
    <row r="17703" spans="8:8" x14ac:dyDescent="0.3">
      <c r="H17703" t="str">
        <f t="shared" si="326"/>
        <v/>
      </c>
    </row>
    <row r="17704" spans="8:8" x14ac:dyDescent="0.3">
      <c r="H17704" t="str">
        <f t="shared" si="326"/>
        <v/>
      </c>
    </row>
    <row r="17705" spans="8:8" x14ac:dyDescent="0.3">
      <c r="H17705" t="str">
        <f t="shared" si="326"/>
        <v/>
      </c>
    </row>
    <row r="17706" spans="8:8" x14ac:dyDescent="0.3">
      <c r="H17706" t="str">
        <f t="shared" si="326"/>
        <v/>
      </c>
    </row>
    <row r="17707" spans="8:8" x14ac:dyDescent="0.3">
      <c r="H17707" t="str">
        <f t="shared" si="326"/>
        <v/>
      </c>
    </row>
    <row r="17708" spans="8:8" x14ac:dyDescent="0.3">
      <c r="H17708" t="str">
        <f t="shared" si="326"/>
        <v/>
      </c>
    </row>
    <row r="17709" spans="8:8" x14ac:dyDescent="0.3">
      <c r="H17709" t="str">
        <f t="shared" si="326"/>
        <v/>
      </c>
    </row>
    <row r="17710" spans="8:8" x14ac:dyDescent="0.3">
      <c r="H17710" t="str">
        <f t="shared" si="326"/>
        <v/>
      </c>
    </row>
    <row r="17711" spans="8:8" x14ac:dyDescent="0.3">
      <c r="H17711" t="str">
        <f t="shared" si="326"/>
        <v/>
      </c>
    </row>
    <row r="17712" spans="8:8" x14ac:dyDescent="0.3">
      <c r="H17712" t="str">
        <f t="shared" si="326"/>
        <v/>
      </c>
    </row>
    <row r="17713" spans="8:8" x14ac:dyDescent="0.3">
      <c r="H17713" t="str">
        <f t="shared" si="326"/>
        <v/>
      </c>
    </row>
    <row r="17714" spans="8:8" x14ac:dyDescent="0.3">
      <c r="H17714" t="str">
        <f t="shared" si="326"/>
        <v/>
      </c>
    </row>
    <row r="17715" spans="8:8" x14ac:dyDescent="0.3">
      <c r="H17715" t="str">
        <f t="shared" si="326"/>
        <v/>
      </c>
    </row>
    <row r="17716" spans="8:8" x14ac:dyDescent="0.3">
      <c r="H17716" t="str">
        <f t="shared" si="326"/>
        <v/>
      </c>
    </row>
    <row r="17717" spans="8:8" x14ac:dyDescent="0.3">
      <c r="H17717" t="str">
        <f t="shared" si="326"/>
        <v/>
      </c>
    </row>
    <row r="17718" spans="8:8" x14ac:dyDescent="0.3">
      <c r="H17718" t="str">
        <f t="shared" si="326"/>
        <v/>
      </c>
    </row>
    <row r="17719" spans="8:8" x14ac:dyDescent="0.3">
      <c r="H17719" t="str">
        <f t="shared" si="326"/>
        <v/>
      </c>
    </row>
    <row r="17720" spans="8:8" x14ac:dyDescent="0.3">
      <c r="H17720" t="str">
        <f t="shared" si="326"/>
        <v/>
      </c>
    </row>
    <row r="17721" spans="8:8" x14ac:dyDescent="0.3">
      <c r="H17721" t="str">
        <f t="shared" si="326"/>
        <v/>
      </c>
    </row>
    <row r="17722" spans="8:8" x14ac:dyDescent="0.3">
      <c r="H17722" t="str">
        <f t="shared" si="326"/>
        <v/>
      </c>
    </row>
    <row r="17723" spans="8:8" x14ac:dyDescent="0.3">
      <c r="H17723" t="str">
        <f t="shared" si="326"/>
        <v/>
      </c>
    </row>
    <row r="17724" spans="8:8" x14ac:dyDescent="0.3">
      <c r="H17724" t="str">
        <f t="shared" si="326"/>
        <v/>
      </c>
    </row>
    <row r="17725" spans="8:8" x14ac:dyDescent="0.3">
      <c r="H17725" t="str">
        <f t="shared" si="326"/>
        <v/>
      </c>
    </row>
    <row r="17726" spans="8:8" x14ac:dyDescent="0.3">
      <c r="H17726" t="str">
        <f t="shared" si="326"/>
        <v/>
      </c>
    </row>
    <row r="17727" spans="8:8" x14ac:dyDescent="0.3">
      <c r="H17727" t="str">
        <f t="shared" si="326"/>
        <v/>
      </c>
    </row>
    <row r="17728" spans="8:8" x14ac:dyDescent="0.3">
      <c r="H17728" t="str">
        <f t="shared" si="326"/>
        <v/>
      </c>
    </row>
    <row r="17729" spans="8:8" x14ac:dyDescent="0.3">
      <c r="H17729" t="str">
        <f t="shared" si="326"/>
        <v/>
      </c>
    </row>
    <row r="17730" spans="8:8" x14ac:dyDescent="0.3">
      <c r="H17730" t="str">
        <f t="shared" si="326"/>
        <v/>
      </c>
    </row>
    <row r="17731" spans="8:8" x14ac:dyDescent="0.3">
      <c r="H17731" t="str">
        <f t="shared" si="326"/>
        <v/>
      </c>
    </row>
    <row r="17732" spans="8:8" x14ac:dyDescent="0.3">
      <c r="H17732" t="str">
        <f t="shared" si="326"/>
        <v/>
      </c>
    </row>
    <row r="17733" spans="8:8" x14ac:dyDescent="0.3">
      <c r="H17733" t="str">
        <f t="shared" si="326"/>
        <v/>
      </c>
    </row>
    <row r="17734" spans="8:8" x14ac:dyDescent="0.3">
      <c r="H17734" t="str">
        <f t="shared" si="326"/>
        <v/>
      </c>
    </row>
    <row r="17735" spans="8:8" x14ac:dyDescent="0.3">
      <c r="H17735" t="str">
        <f t="shared" si="326"/>
        <v/>
      </c>
    </row>
    <row r="17736" spans="8:8" x14ac:dyDescent="0.3">
      <c r="H17736" t="str">
        <f t="shared" si="326"/>
        <v/>
      </c>
    </row>
    <row r="17737" spans="8:8" x14ac:dyDescent="0.3">
      <c r="H17737" t="str">
        <f t="shared" si="326"/>
        <v/>
      </c>
    </row>
    <row r="17738" spans="8:8" x14ac:dyDescent="0.3">
      <c r="H17738" t="str">
        <f t="shared" si="326"/>
        <v/>
      </c>
    </row>
    <row r="17739" spans="8:8" x14ac:dyDescent="0.3">
      <c r="H17739" t="str">
        <f t="shared" si="326"/>
        <v/>
      </c>
    </row>
    <row r="17740" spans="8:8" x14ac:dyDescent="0.3">
      <c r="H17740" t="str">
        <f t="shared" si="326"/>
        <v/>
      </c>
    </row>
    <row r="17741" spans="8:8" x14ac:dyDescent="0.3">
      <c r="H17741" t="str">
        <f t="shared" si="326"/>
        <v/>
      </c>
    </row>
    <row r="17742" spans="8:8" x14ac:dyDescent="0.3">
      <c r="H17742" t="str">
        <f t="shared" si="326"/>
        <v/>
      </c>
    </row>
    <row r="17743" spans="8:8" x14ac:dyDescent="0.3">
      <c r="H17743" t="str">
        <f t="shared" si="326"/>
        <v/>
      </c>
    </row>
    <row r="17744" spans="8:8" x14ac:dyDescent="0.3">
      <c r="H17744" t="str">
        <f t="shared" si="326"/>
        <v/>
      </c>
    </row>
    <row r="17745" spans="8:8" x14ac:dyDescent="0.3">
      <c r="H17745" t="str">
        <f t="shared" si="326"/>
        <v/>
      </c>
    </row>
    <row r="17746" spans="8:8" x14ac:dyDescent="0.3">
      <c r="H17746" t="str">
        <f t="shared" si="326"/>
        <v/>
      </c>
    </row>
    <row r="17747" spans="8:8" x14ac:dyDescent="0.3">
      <c r="H17747" t="str">
        <f t="shared" si="326"/>
        <v/>
      </c>
    </row>
    <row r="17748" spans="8:8" x14ac:dyDescent="0.3">
      <c r="H17748" t="str">
        <f t="shared" si="326"/>
        <v/>
      </c>
    </row>
    <row r="17749" spans="8:8" x14ac:dyDescent="0.3">
      <c r="H17749" t="str">
        <f t="shared" si="326"/>
        <v/>
      </c>
    </row>
    <row r="17750" spans="8:8" x14ac:dyDescent="0.3">
      <c r="H17750" t="str">
        <f t="shared" si="326"/>
        <v/>
      </c>
    </row>
    <row r="17751" spans="8:8" x14ac:dyDescent="0.3">
      <c r="H17751" t="str">
        <f t="shared" ref="H17751:H17814" si="327">IF(B17751="","",$C$12)</f>
        <v/>
      </c>
    </row>
    <row r="17752" spans="8:8" x14ac:dyDescent="0.3">
      <c r="H17752" t="str">
        <f t="shared" si="327"/>
        <v/>
      </c>
    </row>
    <row r="17753" spans="8:8" x14ac:dyDescent="0.3">
      <c r="H17753" t="str">
        <f t="shared" si="327"/>
        <v/>
      </c>
    </row>
    <row r="17754" spans="8:8" x14ac:dyDescent="0.3">
      <c r="H17754" t="str">
        <f t="shared" si="327"/>
        <v/>
      </c>
    </row>
    <row r="17755" spans="8:8" x14ac:dyDescent="0.3">
      <c r="H17755" t="str">
        <f t="shared" si="327"/>
        <v/>
      </c>
    </row>
    <row r="17756" spans="8:8" x14ac:dyDescent="0.3">
      <c r="H17756" t="str">
        <f t="shared" si="327"/>
        <v/>
      </c>
    </row>
    <row r="17757" spans="8:8" x14ac:dyDescent="0.3">
      <c r="H17757" t="str">
        <f t="shared" si="327"/>
        <v/>
      </c>
    </row>
    <row r="17758" spans="8:8" x14ac:dyDescent="0.3">
      <c r="H17758" t="str">
        <f t="shared" si="327"/>
        <v/>
      </c>
    </row>
    <row r="17759" spans="8:8" x14ac:dyDescent="0.3">
      <c r="H17759" t="str">
        <f t="shared" si="327"/>
        <v/>
      </c>
    </row>
    <row r="17760" spans="8:8" x14ac:dyDescent="0.3">
      <c r="H17760" t="str">
        <f t="shared" si="327"/>
        <v/>
      </c>
    </row>
    <row r="17761" spans="8:8" x14ac:dyDescent="0.3">
      <c r="H17761" t="str">
        <f t="shared" si="327"/>
        <v/>
      </c>
    </row>
    <row r="17762" spans="8:8" x14ac:dyDescent="0.3">
      <c r="H17762" t="str">
        <f t="shared" si="327"/>
        <v/>
      </c>
    </row>
    <row r="17763" spans="8:8" x14ac:dyDescent="0.3">
      <c r="H17763" t="str">
        <f t="shared" si="327"/>
        <v/>
      </c>
    </row>
    <row r="17764" spans="8:8" x14ac:dyDescent="0.3">
      <c r="H17764" t="str">
        <f t="shared" si="327"/>
        <v/>
      </c>
    </row>
    <row r="17765" spans="8:8" x14ac:dyDescent="0.3">
      <c r="H17765" t="str">
        <f t="shared" si="327"/>
        <v/>
      </c>
    </row>
    <row r="17766" spans="8:8" x14ac:dyDescent="0.3">
      <c r="H17766" t="str">
        <f t="shared" si="327"/>
        <v/>
      </c>
    </row>
    <row r="17767" spans="8:8" x14ac:dyDescent="0.3">
      <c r="H17767" t="str">
        <f t="shared" si="327"/>
        <v/>
      </c>
    </row>
    <row r="17768" spans="8:8" x14ac:dyDescent="0.3">
      <c r="H17768" t="str">
        <f t="shared" si="327"/>
        <v/>
      </c>
    </row>
    <row r="17769" spans="8:8" x14ac:dyDescent="0.3">
      <c r="H17769" t="str">
        <f t="shared" si="327"/>
        <v/>
      </c>
    </row>
    <row r="17770" spans="8:8" x14ac:dyDescent="0.3">
      <c r="H17770" t="str">
        <f t="shared" si="327"/>
        <v/>
      </c>
    </row>
    <row r="17771" spans="8:8" x14ac:dyDescent="0.3">
      <c r="H17771" t="str">
        <f t="shared" si="327"/>
        <v/>
      </c>
    </row>
    <row r="17772" spans="8:8" x14ac:dyDescent="0.3">
      <c r="H17772" t="str">
        <f t="shared" si="327"/>
        <v/>
      </c>
    </row>
    <row r="17773" spans="8:8" x14ac:dyDescent="0.3">
      <c r="H17773" t="str">
        <f t="shared" si="327"/>
        <v/>
      </c>
    </row>
    <row r="17774" spans="8:8" x14ac:dyDescent="0.3">
      <c r="H17774" t="str">
        <f t="shared" si="327"/>
        <v/>
      </c>
    </row>
    <row r="17775" spans="8:8" x14ac:dyDescent="0.3">
      <c r="H17775" t="str">
        <f t="shared" si="327"/>
        <v/>
      </c>
    </row>
    <row r="17776" spans="8:8" x14ac:dyDescent="0.3">
      <c r="H17776" t="str">
        <f t="shared" si="327"/>
        <v/>
      </c>
    </row>
    <row r="17777" spans="8:8" x14ac:dyDescent="0.3">
      <c r="H17777" t="str">
        <f t="shared" si="327"/>
        <v/>
      </c>
    </row>
    <row r="17778" spans="8:8" x14ac:dyDescent="0.3">
      <c r="H17778" t="str">
        <f t="shared" si="327"/>
        <v/>
      </c>
    </row>
    <row r="17779" spans="8:8" x14ac:dyDescent="0.3">
      <c r="H17779" t="str">
        <f t="shared" si="327"/>
        <v/>
      </c>
    </row>
    <row r="17780" spans="8:8" x14ac:dyDescent="0.3">
      <c r="H17780" t="str">
        <f t="shared" si="327"/>
        <v/>
      </c>
    </row>
    <row r="17781" spans="8:8" x14ac:dyDescent="0.3">
      <c r="H17781" t="str">
        <f t="shared" si="327"/>
        <v/>
      </c>
    </row>
    <row r="17782" spans="8:8" x14ac:dyDescent="0.3">
      <c r="H17782" t="str">
        <f t="shared" si="327"/>
        <v/>
      </c>
    </row>
    <row r="17783" spans="8:8" x14ac:dyDescent="0.3">
      <c r="H17783" t="str">
        <f t="shared" si="327"/>
        <v/>
      </c>
    </row>
    <row r="17784" spans="8:8" x14ac:dyDescent="0.3">
      <c r="H17784" t="str">
        <f t="shared" si="327"/>
        <v/>
      </c>
    </row>
    <row r="17785" spans="8:8" x14ac:dyDescent="0.3">
      <c r="H17785" t="str">
        <f t="shared" si="327"/>
        <v/>
      </c>
    </row>
    <row r="17786" spans="8:8" x14ac:dyDescent="0.3">
      <c r="H17786" t="str">
        <f t="shared" si="327"/>
        <v/>
      </c>
    </row>
    <row r="17787" spans="8:8" x14ac:dyDescent="0.3">
      <c r="H17787" t="str">
        <f t="shared" si="327"/>
        <v/>
      </c>
    </row>
    <row r="17788" spans="8:8" x14ac:dyDescent="0.3">
      <c r="H17788" t="str">
        <f t="shared" si="327"/>
        <v/>
      </c>
    </row>
    <row r="17789" spans="8:8" x14ac:dyDescent="0.3">
      <c r="H17789" t="str">
        <f t="shared" si="327"/>
        <v/>
      </c>
    </row>
    <row r="17790" spans="8:8" x14ac:dyDescent="0.3">
      <c r="H17790" t="str">
        <f t="shared" si="327"/>
        <v/>
      </c>
    </row>
    <row r="17791" spans="8:8" x14ac:dyDescent="0.3">
      <c r="H17791" t="str">
        <f t="shared" si="327"/>
        <v/>
      </c>
    </row>
    <row r="17792" spans="8:8" x14ac:dyDescent="0.3">
      <c r="H17792" t="str">
        <f t="shared" si="327"/>
        <v/>
      </c>
    </row>
    <row r="17793" spans="8:8" x14ac:dyDescent="0.3">
      <c r="H17793" t="str">
        <f t="shared" si="327"/>
        <v/>
      </c>
    </row>
    <row r="17794" spans="8:8" x14ac:dyDescent="0.3">
      <c r="H17794" t="str">
        <f t="shared" si="327"/>
        <v/>
      </c>
    </row>
    <row r="17795" spans="8:8" x14ac:dyDescent="0.3">
      <c r="H17795" t="str">
        <f t="shared" si="327"/>
        <v/>
      </c>
    </row>
    <row r="17796" spans="8:8" x14ac:dyDescent="0.3">
      <c r="H17796" t="str">
        <f t="shared" si="327"/>
        <v/>
      </c>
    </row>
    <row r="17797" spans="8:8" x14ac:dyDescent="0.3">
      <c r="H17797" t="str">
        <f t="shared" si="327"/>
        <v/>
      </c>
    </row>
    <row r="17798" spans="8:8" x14ac:dyDescent="0.3">
      <c r="H17798" t="str">
        <f t="shared" si="327"/>
        <v/>
      </c>
    </row>
    <row r="17799" spans="8:8" x14ac:dyDescent="0.3">
      <c r="H17799" t="str">
        <f t="shared" si="327"/>
        <v/>
      </c>
    </row>
    <row r="17800" spans="8:8" x14ac:dyDescent="0.3">
      <c r="H17800" t="str">
        <f t="shared" si="327"/>
        <v/>
      </c>
    </row>
    <row r="17801" spans="8:8" x14ac:dyDescent="0.3">
      <c r="H17801" t="str">
        <f t="shared" si="327"/>
        <v/>
      </c>
    </row>
    <row r="17802" spans="8:8" x14ac:dyDescent="0.3">
      <c r="H17802" t="str">
        <f t="shared" si="327"/>
        <v/>
      </c>
    </row>
    <row r="17803" spans="8:8" x14ac:dyDescent="0.3">
      <c r="H17803" t="str">
        <f t="shared" si="327"/>
        <v/>
      </c>
    </row>
    <row r="17804" spans="8:8" x14ac:dyDescent="0.3">
      <c r="H17804" t="str">
        <f t="shared" si="327"/>
        <v/>
      </c>
    </row>
    <row r="17805" spans="8:8" x14ac:dyDescent="0.3">
      <c r="H17805" t="str">
        <f t="shared" si="327"/>
        <v/>
      </c>
    </row>
    <row r="17806" spans="8:8" x14ac:dyDescent="0.3">
      <c r="H17806" t="str">
        <f t="shared" si="327"/>
        <v/>
      </c>
    </row>
    <row r="17807" spans="8:8" x14ac:dyDescent="0.3">
      <c r="H17807" t="str">
        <f t="shared" si="327"/>
        <v/>
      </c>
    </row>
    <row r="17808" spans="8:8" x14ac:dyDescent="0.3">
      <c r="H17808" t="str">
        <f t="shared" si="327"/>
        <v/>
      </c>
    </row>
    <row r="17809" spans="8:8" x14ac:dyDescent="0.3">
      <c r="H17809" t="str">
        <f t="shared" si="327"/>
        <v/>
      </c>
    </row>
    <row r="17810" spans="8:8" x14ac:dyDescent="0.3">
      <c r="H17810" t="str">
        <f t="shared" si="327"/>
        <v/>
      </c>
    </row>
    <row r="17811" spans="8:8" x14ac:dyDescent="0.3">
      <c r="H17811" t="str">
        <f t="shared" si="327"/>
        <v/>
      </c>
    </row>
    <row r="17812" spans="8:8" x14ac:dyDescent="0.3">
      <c r="H17812" t="str">
        <f t="shared" si="327"/>
        <v/>
      </c>
    </row>
    <row r="17813" spans="8:8" x14ac:dyDescent="0.3">
      <c r="H17813" t="str">
        <f t="shared" si="327"/>
        <v/>
      </c>
    </row>
    <row r="17814" spans="8:8" x14ac:dyDescent="0.3">
      <c r="H17814" t="str">
        <f t="shared" si="327"/>
        <v/>
      </c>
    </row>
    <row r="17815" spans="8:8" x14ac:dyDescent="0.3">
      <c r="H17815" t="str">
        <f t="shared" ref="H17815:H17878" si="328">IF(B17815="","",$C$12)</f>
        <v/>
      </c>
    </row>
    <row r="17816" spans="8:8" x14ac:dyDescent="0.3">
      <c r="H17816" t="str">
        <f t="shared" si="328"/>
        <v/>
      </c>
    </row>
    <row r="17817" spans="8:8" x14ac:dyDescent="0.3">
      <c r="H17817" t="str">
        <f t="shared" si="328"/>
        <v/>
      </c>
    </row>
    <row r="17818" spans="8:8" x14ac:dyDescent="0.3">
      <c r="H17818" t="str">
        <f t="shared" si="328"/>
        <v/>
      </c>
    </row>
    <row r="17819" spans="8:8" x14ac:dyDescent="0.3">
      <c r="H17819" t="str">
        <f t="shared" si="328"/>
        <v/>
      </c>
    </row>
    <row r="17820" spans="8:8" x14ac:dyDescent="0.3">
      <c r="H17820" t="str">
        <f t="shared" si="328"/>
        <v/>
      </c>
    </row>
    <row r="17821" spans="8:8" x14ac:dyDescent="0.3">
      <c r="H17821" t="str">
        <f t="shared" si="328"/>
        <v/>
      </c>
    </row>
    <row r="17822" spans="8:8" x14ac:dyDescent="0.3">
      <c r="H17822" t="str">
        <f t="shared" si="328"/>
        <v/>
      </c>
    </row>
    <row r="17823" spans="8:8" x14ac:dyDescent="0.3">
      <c r="H17823" t="str">
        <f t="shared" si="328"/>
        <v/>
      </c>
    </row>
    <row r="17824" spans="8:8" x14ac:dyDescent="0.3">
      <c r="H17824" t="str">
        <f t="shared" si="328"/>
        <v/>
      </c>
    </row>
    <row r="17825" spans="8:8" x14ac:dyDescent="0.3">
      <c r="H17825" t="str">
        <f t="shared" si="328"/>
        <v/>
      </c>
    </row>
    <row r="17826" spans="8:8" x14ac:dyDescent="0.3">
      <c r="H17826" t="str">
        <f t="shared" si="328"/>
        <v/>
      </c>
    </row>
    <row r="17827" spans="8:8" x14ac:dyDescent="0.3">
      <c r="H17827" t="str">
        <f t="shared" si="328"/>
        <v/>
      </c>
    </row>
    <row r="17828" spans="8:8" x14ac:dyDescent="0.3">
      <c r="H17828" t="str">
        <f t="shared" si="328"/>
        <v/>
      </c>
    </row>
    <row r="17829" spans="8:8" x14ac:dyDescent="0.3">
      <c r="H17829" t="str">
        <f t="shared" si="328"/>
        <v/>
      </c>
    </row>
    <row r="17830" spans="8:8" x14ac:dyDescent="0.3">
      <c r="H17830" t="str">
        <f t="shared" si="328"/>
        <v/>
      </c>
    </row>
    <row r="17831" spans="8:8" x14ac:dyDescent="0.3">
      <c r="H17831" t="str">
        <f t="shared" si="328"/>
        <v/>
      </c>
    </row>
    <row r="17832" spans="8:8" x14ac:dyDescent="0.3">
      <c r="H17832" t="str">
        <f t="shared" si="328"/>
        <v/>
      </c>
    </row>
    <row r="17833" spans="8:8" x14ac:dyDescent="0.3">
      <c r="H17833" t="str">
        <f t="shared" si="328"/>
        <v/>
      </c>
    </row>
    <row r="17834" spans="8:8" x14ac:dyDescent="0.3">
      <c r="H17834" t="str">
        <f t="shared" si="328"/>
        <v/>
      </c>
    </row>
    <row r="17835" spans="8:8" x14ac:dyDescent="0.3">
      <c r="H17835" t="str">
        <f t="shared" si="328"/>
        <v/>
      </c>
    </row>
    <row r="17836" spans="8:8" x14ac:dyDescent="0.3">
      <c r="H17836" t="str">
        <f t="shared" si="328"/>
        <v/>
      </c>
    </row>
    <row r="17837" spans="8:8" x14ac:dyDescent="0.3">
      <c r="H17837" t="str">
        <f t="shared" si="328"/>
        <v/>
      </c>
    </row>
    <row r="17838" spans="8:8" x14ac:dyDescent="0.3">
      <c r="H17838" t="str">
        <f t="shared" si="328"/>
        <v/>
      </c>
    </row>
    <row r="17839" spans="8:8" x14ac:dyDescent="0.3">
      <c r="H17839" t="str">
        <f t="shared" si="328"/>
        <v/>
      </c>
    </row>
    <row r="17840" spans="8:8" x14ac:dyDescent="0.3">
      <c r="H17840" t="str">
        <f t="shared" si="328"/>
        <v/>
      </c>
    </row>
    <row r="17841" spans="8:8" x14ac:dyDescent="0.3">
      <c r="H17841" t="str">
        <f t="shared" si="328"/>
        <v/>
      </c>
    </row>
    <row r="17842" spans="8:8" x14ac:dyDescent="0.3">
      <c r="H17842" t="str">
        <f t="shared" si="328"/>
        <v/>
      </c>
    </row>
    <row r="17843" spans="8:8" x14ac:dyDescent="0.3">
      <c r="H17843" t="str">
        <f t="shared" si="328"/>
        <v/>
      </c>
    </row>
    <row r="17844" spans="8:8" x14ac:dyDescent="0.3">
      <c r="H17844" t="str">
        <f t="shared" si="328"/>
        <v/>
      </c>
    </row>
    <row r="17845" spans="8:8" x14ac:dyDescent="0.3">
      <c r="H17845" t="str">
        <f t="shared" si="328"/>
        <v/>
      </c>
    </row>
    <row r="17846" spans="8:8" x14ac:dyDescent="0.3">
      <c r="H17846" t="str">
        <f t="shared" si="328"/>
        <v/>
      </c>
    </row>
    <row r="17847" spans="8:8" x14ac:dyDescent="0.3">
      <c r="H17847" t="str">
        <f t="shared" si="328"/>
        <v/>
      </c>
    </row>
    <row r="17848" spans="8:8" x14ac:dyDescent="0.3">
      <c r="H17848" t="str">
        <f t="shared" si="328"/>
        <v/>
      </c>
    </row>
    <row r="17849" spans="8:8" x14ac:dyDescent="0.3">
      <c r="H17849" t="str">
        <f t="shared" si="328"/>
        <v/>
      </c>
    </row>
    <row r="17850" spans="8:8" x14ac:dyDescent="0.3">
      <c r="H17850" t="str">
        <f t="shared" si="328"/>
        <v/>
      </c>
    </row>
    <row r="17851" spans="8:8" x14ac:dyDescent="0.3">
      <c r="H17851" t="str">
        <f t="shared" si="328"/>
        <v/>
      </c>
    </row>
    <row r="17852" spans="8:8" x14ac:dyDescent="0.3">
      <c r="H17852" t="str">
        <f t="shared" si="328"/>
        <v/>
      </c>
    </row>
    <row r="17853" spans="8:8" x14ac:dyDescent="0.3">
      <c r="H17853" t="str">
        <f t="shared" si="328"/>
        <v/>
      </c>
    </row>
    <row r="17854" spans="8:8" x14ac:dyDescent="0.3">
      <c r="H17854" t="str">
        <f t="shared" si="328"/>
        <v/>
      </c>
    </row>
    <row r="17855" spans="8:8" x14ac:dyDescent="0.3">
      <c r="H17855" t="str">
        <f t="shared" si="328"/>
        <v/>
      </c>
    </row>
    <row r="17856" spans="8:8" x14ac:dyDescent="0.3">
      <c r="H17856" t="str">
        <f t="shared" si="328"/>
        <v/>
      </c>
    </row>
    <row r="17857" spans="8:8" x14ac:dyDescent="0.3">
      <c r="H17857" t="str">
        <f t="shared" si="328"/>
        <v/>
      </c>
    </row>
    <row r="17858" spans="8:8" x14ac:dyDescent="0.3">
      <c r="H17858" t="str">
        <f t="shared" si="328"/>
        <v/>
      </c>
    </row>
    <row r="17859" spans="8:8" x14ac:dyDescent="0.3">
      <c r="H17859" t="str">
        <f t="shared" si="328"/>
        <v/>
      </c>
    </row>
    <row r="17860" spans="8:8" x14ac:dyDescent="0.3">
      <c r="H17860" t="str">
        <f t="shared" si="328"/>
        <v/>
      </c>
    </row>
    <row r="17861" spans="8:8" x14ac:dyDescent="0.3">
      <c r="H17861" t="str">
        <f t="shared" si="328"/>
        <v/>
      </c>
    </row>
    <row r="17862" spans="8:8" x14ac:dyDescent="0.3">
      <c r="H17862" t="str">
        <f t="shared" si="328"/>
        <v/>
      </c>
    </row>
    <row r="17863" spans="8:8" x14ac:dyDescent="0.3">
      <c r="H17863" t="str">
        <f t="shared" si="328"/>
        <v/>
      </c>
    </row>
    <row r="17864" spans="8:8" x14ac:dyDescent="0.3">
      <c r="H17864" t="str">
        <f t="shared" si="328"/>
        <v/>
      </c>
    </row>
    <row r="17865" spans="8:8" x14ac:dyDescent="0.3">
      <c r="H17865" t="str">
        <f t="shared" si="328"/>
        <v/>
      </c>
    </row>
    <row r="17866" spans="8:8" x14ac:dyDescent="0.3">
      <c r="H17866" t="str">
        <f t="shared" si="328"/>
        <v/>
      </c>
    </row>
    <row r="17867" spans="8:8" x14ac:dyDescent="0.3">
      <c r="H17867" t="str">
        <f t="shared" si="328"/>
        <v/>
      </c>
    </row>
    <row r="17868" spans="8:8" x14ac:dyDescent="0.3">
      <c r="H17868" t="str">
        <f t="shared" si="328"/>
        <v/>
      </c>
    </row>
    <row r="17869" spans="8:8" x14ac:dyDescent="0.3">
      <c r="H17869" t="str">
        <f t="shared" si="328"/>
        <v/>
      </c>
    </row>
    <row r="17870" spans="8:8" x14ac:dyDescent="0.3">
      <c r="H17870" t="str">
        <f t="shared" si="328"/>
        <v/>
      </c>
    </row>
    <row r="17871" spans="8:8" x14ac:dyDescent="0.3">
      <c r="H17871" t="str">
        <f t="shared" si="328"/>
        <v/>
      </c>
    </row>
    <row r="17872" spans="8:8" x14ac:dyDescent="0.3">
      <c r="H17872" t="str">
        <f t="shared" si="328"/>
        <v/>
      </c>
    </row>
    <row r="17873" spans="8:8" x14ac:dyDescent="0.3">
      <c r="H17873" t="str">
        <f t="shared" si="328"/>
        <v/>
      </c>
    </row>
    <row r="17874" spans="8:8" x14ac:dyDescent="0.3">
      <c r="H17874" t="str">
        <f t="shared" si="328"/>
        <v/>
      </c>
    </row>
    <row r="17875" spans="8:8" x14ac:dyDescent="0.3">
      <c r="H17875" t="str">
        <f t="shared" si="328"/>
        <v/>
      </c>
    </row>
    <row r="17876" spans="8:8" x14ac:dyDescent="0.3">
      <c r="H17876" t="str">
        <f t="shared" si="328"/>
        <v/>
      </c>
    </row>
    <row r="17877" spans="8:8" x14ac:dyDescent="0.3">
      <c r="H17877" t="str">
        <f t="shared" si="328"/>
        <v/>
      </c>
    </row>
    <row r="17878" spans="8:8" x14ac:dyDescent="0.3">
      <c r="H17878" t="str">
        <f t="shared" si="328"/>
        <v/>
      </c>
    </row>
    <row r="17879" spans="8:8" x14ac:dyDescent="0.3">
      <c r="H17879" t="str">
        <f t="shared" ref="H17879:H17942" si="329">IF(B17879="","",$C$12)</f>
        <v/>
      </c>
    </row>
    <row r="17880" spans="8:8" x14ac:dyDescent="0.3">
      <c r="H17880" t="str">
        <f t="shared" si="329"/>
        <v/>
      </c>
    </row>
    <row r="17881" spans="8:8" x14ac:dyDescent="0.3">
      <c r="H17881" t="str">
        <f t="shared" si="329"/>
        <v/>
      </c>
    </row>
    <row r="17882" spans="8:8" x14ac:dyDescent="0.3">
      <c r="H17882" t="str">
        <f t="shared" si="329"/>
        <v/>
      </c>
    </row>
    <row r="17883" spans="8:8" x14ac:dyDescent="0.3">
      <c r="H17883" t="str">
        <f t="shared" si="329"/>
        <v/>
      </c>
    </row>
    <row r="17884" spans="8:8" x14ac:dyDescent="0.3">
      <c r="H17884" t="str">
        <f t="shared" si="329"/>
        <v/>
      </c>
    </row>
    <row r="17885" spans="8:8" x14ac:dyDescent="0.3">
      <c r="H17885" t="str">
        <f t="shared" si="329"/>
        <v/>
      </c>
    </row>
    <row r="17886" spans="8:8" x14ac:dyDescent="0.3">
      <c r="H17886" t="str">
        <f t="shared" si="329"/>
        <v/>
      </c>
    </row>
    <row r="17887" spans="8:8" x14ac:dyDescent="0.3">
      <c r="H17887" t="str">
        <f t="shared" si="329"/>
        <v/>
      </c>
    </row>
    <row r="17888" spans="8:8" x14ac:dyDescent="0.3">
      <c r="H17888" t="str">
        <f t="shared" si="329"/>
        <v/>
      </c>
    </row>
    <row r="17889" spans="8:8" x14ac:dyDescent="0.3">
      <c r="H17889" t="str">
        <f t="shared" si="329"/>
        <v/>
      </c>
    </row>
    <row r="17890" spans="8:8" x14ac:dyDescent="0.3">
      <c r="H17890" t="str">
        <f t="shared" si="329"/>
        <v/>
      </c>
    </row>
    <row r="17891" spans="8:8" x14ac:dyDescent="0.3">
      <c r="H17891" t="str">
        <f t="shared" si="329"/>
        <v/>
      </c>
    </row>
    <row r="17892" spans="8:8" x14ac:dyDescent="0.3">
      <c r="H17892" t="str">
        <f t="shared" si="329"/>
        <v/>
      </c>
    </row>
    <row r="17893" spans="8:8" x14ac:dyDescent="0.3">
      <c r="H17893" t="str">
        <f t="shared" si="329"/>
        <v/>
      </c>
    </row>
    <row r="17894" spans="8:8" x14ac:dyDescent="0.3">
      <c r="H17894" t="str">
        <f t="shared" si="329"/>
        <v/>
      </c>
    </row>
    <row r="17895" spans="8:8" x14ac:dyDescent="0.3">
      <c r="H17895" t="str">
        <f t="shared" si="329"/>
        <v/>
      </c>
    </row>
    <row r="17896" spans="8:8" x14ac:dyDescent="0.3">
      <c r="H17896" t="str">
        <f t="shared" si="329"/>
        <v/>
      </c>
    </row>
    <row r="17897" spans="8:8" x14ac:dyDescent="0.3">
      <c r="H17897" t="str">
        <f t="shared" si="329"/>
        <v/>
      </c>
    </row>
    <row r="17898" spans="8:8" x14ac:dyDescent="0.3">
      <c r="H17898" t="str">
        <f t="shared" si="329"/>
        <v/>
      </c>
    </row>
    <row r="17899" spans="8:8" x14ac:dyDescent="0.3">
      <c r="H17899" t="str">
        <f t="shared" si="329"/>
        <v/>
      </c>
    </row>
    <row r="17900" spans="8:8" x14ac:dyDescent="0.3">
      <c r="H17900" t="str">
        <f t="shared" si="329"/>
        <v/>
      </c>
    </row>
    <row r="17901" spans="8:8" x14ac:dyDescent="0.3">
      <c r="H17901" t="str">
        <f t="shared" si="329"/>
        <v/>
      </c>
    </row>
    <row r="17902" spans="8:8" x14ac:dyDescent="0.3">
      <c r="H17902" t="str">
        <f t="shared" si="329"/>
        <v/>
      </c>
    </row>
    <row r="17903" spans="8:8" x14ac:dyDescent="0.3">
      <c r="H17903" t="str">
        <f t="shared" si="329"/>
        <v/>
      </c>
    </row>
    <row r="17904" spans="8:8" x14ac:dyDescent="0.3">
      <c r="H17904" t="str">
        <f t="shared" si="329"/>
        <v/>
      </c>
    </row>
    <row r="17905" spans="8:8" x14ac:dyDescent="0.3">
      <c r="H17905" t="str">
        <f t="shared" si="329"/>
        <v/>
      </c>
    </row>
    <row r="17906" spans="8:8" x14ac:dyDescent="0.3">
      <c r="H17906" t="str">
        <f t="shared" si="329"/>
        <v/>
      </c>
    </row>
    <row r="17907" spans="8:8" x14ac:dyDescent="0.3">
      <c r="H17907" t="str">
        <f t="shared" si="329"/>
        <v/>
      </c>
    </row>
    <row r="17908" spans="8:8" x14ac:dyDescent="0.3">
      <c r="H17908" t="str">
        <f t="shared" si="329"/>
        <v/>
      </c>
    </row>
    <row r="17909" spans="8:8" x14ac:dyDescent="0.3">
      <c r="H17909" t="str">
        <f t="shared" si="329"/>
        <v/>
      </c>
    </row>
    <row r="17910" spans="8:8" x14ac:dyDescent="0.3">
      <c r="H17910" t="str">
        <f t="shared" si="329"/>
        <v/>
      </c>
    </row>
    <row r="17911" spans="8:8" x14ac:dyDescent="0.3">
      <c r="H17911" t="str">
        <f t="shared" si="329"/>
        <v/>
      </c>
    </row>
    <row r="17912" spans="8:8" x14ac:dyDescent="0.3">
      <c r="H17912" t="str">
        <f t="shared" si="329"/>
        <v/>
      </c>
    </row>
    <row r="17913" spans="8:8" x14ac:dyDescent="0.3">
      <c r="H17913" t="str">
        <f t="shared" si="329"/>
        <v/>
      </c>
    </row>
    <row r="17914" spans="8:8" x14ac:dyDescent="0.3">
      <c r="H17914" t="str">
        <f t="shared" si="329"/>
        <v/>
      </c>
    </row>
    <row r="17915" spans="8:8" x14ac:dyDescent="0.3">
      <c r="H17915" t="str">
        <f t="shared" si="329"/>
        <v/>
      </c>
    </row>
    <row r="17916" spans="8:8" x14ac:dyDescent="0.3">
      <c r="H17916" t="str">
        <f t="shared" si="329"/>
        <v/>
      </c>
    </row>
    <row r="17917" spans="8:8" x14ac:dyDescent="0.3">
      <c r="H17917" t="str">
        <f t="shared" si="329"/>
        <v/>
      </c>
    </row>
    <row r="17918" spans="8:8" x14ac:dyDescent="0.3">
      <c r="H17918" t="str">
        <f t="shared" si="329"/>
        <v/>
      </c>
    </row>
    <row r="17919" spans="8:8" x14ac:dyDescent="0.3">
      <c r="H17919" t="str">
        <f t="shared" si="329"/>
        <v/>
      </c>
    </row>
    <row r="17920" spans="8:8" x14ac:dyDescent="0.3">
      <c r="H17920" t="str">
        <f t="shared" si="329"/>
        <v/>
      </c>
    </row>
    <row r="17921" spans="8:8" x14ac:dyDescent="0.3">
      <c r="H17921" t="str">
        <f t="shared" si="329"/>
        <v/>
      </c>
    </row>
    <row r="17922" spans="8:8" x14ac:dyDescent="0.3">
      <c r="H17922" t="str">
        <f t="shared" si="329"/>
        <v/>
      </c>
    </row>
    <row r="17923" spans="8:8" x14ac:dyDescent="0.3">
      <c r="H17923" t="str">
        <f t="shared" si="329"/>
        <v/>
      </c>
    </row>
    <row r="17924" spans="8:8" x14ac:dyDescent="0.3">
      <c r="H17924" t="str">
        <f t="shared" si="329"/>
        <v/>
      </c>
    </row>
    <row r="17925" spans="8:8" x14ac:dyDescent="0.3">
      <c r="H17925" t="str">
        <f t="shared" si="329"/>
        <v/>
      </c>
    </row>
    <row r="17926" spans="8:8" x14ac:dyDescent="0.3">
      <c r="H17926" t="str">
        <f t="shared" si="329"/>
        <v/>
      </c>
    </row>
    <row r="17927" spans="8:8" x14ac:dyDescent="0.3">
      <c r="H17927" t="str">
        <f t="shared" si="329"/>
        <v/>
      </c>
    </row>
    <row r="17928" spans="8:8" x14ac:dyDescent="0.3">
      <c r="H17928" t="str">
        <f t="shared" si="329"/>
        <v/>
      </c>
    </row>
    <row r="17929" spans="8:8" x14ac:dyDescent="0.3">
      <c r="H17929" t="str">
        <f t="shared" si="329"/>
        <v/>
      </c>
    </row>
    <row r="17930" spans="8:8" x14ac:dyDescent="0.3">
      <c r="H17930" t="str">
        <f t="shared" si="329"/>
        <v/>
      </c>
    </row>
    <row r="17931" spans="8:8" x14ac:dyDescent="0.3">
      <c r="H17931" t="str">
        <f t="shared" si="329"/>
        <v/>
      </c>
    </row>
    <row r="17932" spans="8:8" x14ac:dyDescent="0.3">
      <c r="H17932" t="str">
        <f t="shared" si="329"/>
        <v/>
      </c>
    </row>
    <row r="17933" spans="8:8" x14ac:dyDescent="0.3">
      <c r="H17933" t="str">
        <f t="shared" si="329"/>
        <v/>
      </c>
    </row>
    <row r="17934" spans="8:8" x14ac:dyDescent="0.3">
      <c r="H17934" t="str">
        <f t="shared" si="329"/>
        <v/>
      </c>
    </row>
    <row r="17935" spans="8:8" x14ac:dyDescent="0.3">
      <c r="H17935" t="str">
        <f t="shared" si="329"/>
        <v/>
      </c>
    </row>
    <row r="17936" spans="8:8" x14ac:dyDescent="0.3">
      <c r="H17936" t="str">
        <f t="shared" si="329"/>
        <v/>
      </c>
    </row>
    <row r="17937" spans="8:8" x14ac:dyDescent="0.3">
      <c r="H17937" t="str">
        <f t="shared" si="329"/>
        <v/>
      </c>
    </row>
    <row r="17938" spans="8:8" x14ac:dyDescent="0.3">
      <c r="H17938" t="str">
        <f t="shared" si="329"/>
        <v/>
      </c>
    </row>
    <row r="17939" spans="8:8" x14ac:dyDescent="0.3">
      <c r="H17939" t="str">
        <f t="shared" si="329"/>
        <v/>
      </c>
    </row>
    <row r="17940" spans="8:8" x14ac:dyDescent="0.3">
      <c r="H17940" t="str">
        <f t="shared" si="329"/>
        <v/>
      </c>
    </row>
    <row r="17941" spans="8:8" x14ac:dyDescent="0.3">
      <c r="H17941" t="str">
        <f t="shared" si="329"/>
        <v/>
      </c>
    </row>
    <row r="17942" spans="8:8" x14ac:dyDescent="0.3">
      <c r="H17942" t="str">
        <f t="shared" si="329"/>
        <v/>
      </c>
    </row>
    <row r="17943" spans="8:8" x14ac:dyDescent="0.3">
      <c r="H17943" t="str">
        <f t="shared" ref="H17943:H18006" si="330">IF(B17943="","",$C$12)</f>
        <v/>
      </c>
    </row>
    <row r="17944" spans="8:8" x14ac:dyDescent="0.3">
      <c r="H17944" t="str">
        <f t="shared" si="330"/>
        <v/>
      </c>
    </row>
    <row r="17945" spans="8:8" x14ac:dyDescent="0.3">
      <c r="H17945" t="str">
        <f t="shared" si="330"/>
        <v/>
      </c>
    </row>
    <row r="17946" spans="8:8" x14ac:dyDescent="0.3">
      <c r="H17946" t="str">
        <f t="shared" si="330"/>
        <v/>
      </c>
    </row>
    <row r="17947" spans="8:8" x14ac:dyDescent="0.3">
      <c r="H17947" t="str">
        <f t="shared" si="330"/>
        <v/>
      </c>
    </row>
    <row r="17948" spans="8:8" x14ac:dyDescent="0.3">
      <c r="H17948" t="str">
        <f t="shared" si="330"/>
        <v/>
      </c>
    </row>
    <row r="17949" spans="8:8" x14ac:dyDescent="0.3">
      <c r="H17949" t="str">
        <f t="shared" si="330"/>
        <v/>
      </c>
    </row>
    <row r="17950" spans="8:8" x14ac:dyDescent="0.3">
      <c r="H17950" t="str">
        <f t="shared" si="330"/>
        <v/>
      </c>
    </row>
    <row r="17951" spans="8:8" x14ac:dyDescent="0.3">
      <c r="H17951" t="str">
        <f t="shared" si="330"/>
        <v/>
      </c>
    </row>
    <row r="17952" spans="8:8" x14ac:dyDescent="0.3">
      <c r="H17952" t="str">
        <f t="shared" si="330"/>
        <v/>
      </c>
    </row>
    <row r="17953" spans="8:8" x14ac:dyDescent="0.3">
      <c r="H17953" t="str">
        <f t="shared" si="330"/>
        <v/>
      </c>
    </row>
    <row r="17954" spans="8:8" x14ac:dyDescent="0.3">
      <c r="H17954" t="str">
        <f t="shared" si="330"/>
        <v/>
      </c>
    </row>
    <row r="17955" spans="8:8" x14ac:dyDescent="0.3">
      <c r="H17955" t="str">
        <f t="shared" si="330"/>
        <v/>
      </c>
    </row>
    <row r="17956" spans="8:8" x14ac:dyDescent="0.3">
      <c r="H17956" t="str">
        <f t="shared" si="330"/>
        <v/>
      </c>
    </row>
    <row r="17957" spans="8:8" x14ac:dyDescent="0.3">
      <c r="H17957" t="str">
        <f t="shared" si="330"/>
        <v/>
      </c>
    </row>
    <row r="17958" spans="8:8" x14ac:dyDescent="0.3">
      <c r="H17958" t="str">
        <f t="shared" si="330"/>
        <v/>
      </c>
    </row>
    <row r="17959" spans="8:8" x14ac:dyDescent="0.3">
      <c r="H17959" t="str">
        <f t="shared" si="330"/>
        <v/>
      </c>
    </row>
    <row r="17960" spans="8:8" x14ac:dyDescent="0.3">
      <c r="H17960" t="str">
        <f t="shared" si="330"/>
        <v/>
      </c>
    </row>
    <row r="17961" spans="8:8" x14ac:dyDescent="0.3">
      <c r="H17961" t="str">
        <f t="shared" si="330"/>
        <v/>
      </c>
    </row>
    <row r="17962" spans="8:8" x14ac:dyDescent="0.3">
      <c r="H17962" t="str">
        <f t="shared" si="330"/>
        <v/>
      </c>
    </row>
    <row r="17963" spans="8:8" x14ac:dyDescent="0.3">
      <c r="H17963" t="str">
        <f t="shared" si="330"/>
        <v/>
      </c>
    </row>
    <row r="17964" spans="8:8" x14ac:dyDescent="0.3">
      <c r="H17964" t="str">
        <f t="shared" si="330"/>
        <v/>
      </c>
    </row>
    <row r="17965" spans="8:8" x14ac:dyDescent="0.3">
      <c r="H17965" t="str">
        <f t="shared" si="330"/>
        <v/>
      </c>
    </row>
    <row r="17966" spans="8:8" x14ac:dyDescent="0.3">
      <c r="H17966" t="str">
        <f t="shared" si="330"/>
        <v/>
      </c>
    </row>
    <row r="17967" spans="8:8" x14ac:dyDescent="0.3">
      <c r="H17967" t="str">
        <f t="shared" si="330"/>
        <v/>
      </c>
    </row>
    <row r="17968" spans="8:8" x14ac:dyDescent="0.3">
      <c r="H17968" t="str">
        <f t="shared" si="330"/>
        <v/>
      </c>
    </row>
    <row r="17969" spans="8:8" x14ac:dyDescent="0.3">
      <c r="H17969" t="str">
        <f t="shared" si="330"/>
        <v/>
      </c>
    </row>
    <row r="17970" spans="8:8" x14ac:dyDescent="0.3">
      <c r="H17970" t="str">
        <f t="shared" si="330"/>
        <v/>
      </c>
    </row>
    <row r="17971" spans="8:8" x14ac:dyDescent="0.3">
      <c r="H17971" t="str">
        <f t="shared" si="330"/>
        <v/>
      </c>
    </row>
    <row r="17972" spans="8:8" x14ac:dyDescent="0.3">
      <c r="H17972" t="str">
        <f t="shared" si="330"/>
        <v/>
      </c>
    </row>
    <row r="17973" spans="8:8" x14ac:dyDescent="0.3">
      <c r="H17973" t="str">
        <f t="shared" si="330"/>
        <v/>
      </c>
    </row>
    <row r="17974" spans="8:8" x14ac:dyDescent="0.3">
      <c r="H17974" t="str">
        <f t="shared" si="330"/>
        <v/>
      </c>
    </row>
    <row r="17975" spans="8:8" x14ac:dyDescent="0.3">
      <c r="H17975" t="str">
        <f t="shared" si="330"/>
        <v/>
      </c>
    </row>
    <row r="17976" spans="8:8" x14ac:dyDescent="0.3">
      <c r="H17976" t="str">
        <f t="shared" si="330"/>
        <v/>
      </c>
    </row>
    <row r="17977" spans="8:8" x14ac:dyDescent="0.3">
      <c r="H17977" t="str">
        <f t="shared" si="330"/>
        <v/>
      </c>
    </row>
    <row r="17978" spans="8:8" x14ac:dyDescent="0.3">
      <c r="H17978" t="str">
        <f t="shared" si="330"/>
        <v/>
      </c>
    </row>
    <row r="17979" spans="8:8" x14ac:dyDescent="0.3">
      <c r="H17979" t="str">
        <f t="shared" si="330"/>
        <v/>
      </c>
    </row>
    <row r="17980" spans="8:8" x14ac:dyDescent="0.3">
      <c r="H17980" t="str">
        <f t="shared" si="330"/>
        <v/>
      </c>
    </row>
    <row r="17981" spans="8:8" x14ac:dyDescent="0.3">
      <c r="H17981" t="str">
        <f t="shared" si="330"/>
        <v/>
      </c>
    </row>
    <row r="17982" spans="8:8" x14ac:dyDescent="0.3">
      <c r="H17982" t="str">
        <f t="shared" si="330"/>
        <v/>
      </c>
    </row>
    <row r="17983" spans="8:8" x14ac:dyDescent="0.3">
      <c r="H17983" t="str">
        <f t="shared" si="330"/>
        <v/>
      </c>
    </row>
    <row r="17984" spans="8:8" x14ac:dyDescent="0.3">
      <c r="H17984" t="str">
        <f t="shared" si="330"/>
        <v/>
      </c>
    </row>
    <row r="17985" spans="8:8" x14ac:dyDescent="0.3">
      <c r="H17985" t="str">
        <f t="shared" si="330"/>
        <v/>
      </c>
    </row>
    <row r="17986" spans="8:8" x14ac:dyDescent="0.3">
      <c r="H17986" t="str">
        <f t="shared" si="330"/>
        <v/>
      </c>
    </row>
    <row r="17987" spans="8:8" x14ac:dyDescent="0.3">
      <c r="H17987" t="str">
        <f t="shared" si="330"/>
        <v/>
      </c>
    </row>
    <row r="17988" spans="8:8" x14ac:dyDescent="0.3">
      <c r="H17988" t="str">
        <f t="shared" si="330"/>
        <v/>
      </c>
    </row>
    <row r="17989" spans="8:8" x14ac:dyDescent="0.3">
      <c r="H17989" t="str">
        <f t="shared" si="330"/>
        <v/>
      </c>
    </row>
    <row r="17990" spans="8:8" x14ac:dyDescent="0.3">
      <c r="H17990" t="str">
        <f t="shared" si="330"/>
        <v/>
      </c>
    </row>
    <row r="17991" spans="8:8" x14ac:dyDescent="0.3">
      <c r="H17991" t="str">
        <f t="shared" si="330"/>
        <v/>
      </c>
    </row>
    <row r="17992" spans="8:8" x14ac:dyDescent="0.3">
      <c r="H17992" t="str">
        <f t="shared" si="330"/>
        <v/>
      </c>
    </row>
    <row r="17993" spans="8:8" x14ac:dyDescent="0.3">
      <c r="H17993" t="str">
        <f t="shared" si="330"/>
        <v/>
      </c>
    </row>
    <row r="17994" spans="8:8" x14ac:dyDescent="0.3">
      <c r="H17994" t="str">
        <f t="shared" si="330"/>
        <v/>
      </c>
    </row>
    <row r="17995" spans="8:8" x14ac:dyDescent="0.3">
      <c r="H17995" t="str">
        <f t="shared" si="330"/>
        <v/>
      </c>
    </row>
    <row r="17996" spans="8:8" x14ac:dyDescent="0.3">
      <c r="H17996" t="str">
        <f t="shared" si="330"/>
        <v/>
      </c>
    </row>
    <row r="17997" spans="8:8" x14ac:dyDescent="0.3">
      <c r="H17997" t="str">
        <f t="shared" si="330"/>
        <v/>
      </c>
    </row>
    <row r="17998" spans="8:8" x14ac:dyDescent="0.3">
      <c r="H17998" t="str">
        <f t="shared" si="330"/>
        <v/>
      </c>
    </row>
    <row r="17999" spans="8:8" x14ac:dyDescent="0.3">
      <c r="H17999" t="str">
        <f t="shared" si="330"/>
        <v/>
      </c>
    </row>
    <row r="18000" spans="8:8" x14ac:dyDescent="0.3">
      <c r="H18000" t="str">
        <f t="shared" si="330"/>
        <v/>
      </c>
    </row>
    <row r="18001" spans="8:8" x14ac:dyDescent="0.3">
      <c r="H18001" t="str">
        <f t="shared" si="330"/>
        <v/>
      </c>
    </row>
    <row r="18002" spans="8:8" x14ac:dyDescent="0.3">
      <c r="H18002" t="str">
        <f t="shared" si="330"/>
        <v/>
      </c>
    </row>
    <row r="18003" spans="8:8" x14ac:dyDescent="0.3">
      <c r="H18003" t="str">
        <f t="shared" si="330"/>
        <v/>
      </c>
    </row>
    <row r="18004" spans="8:8" x14ac:dyDescent="0.3">
      <c r="H18004" t="str">
        <f t="shared" si="330"/>
        <v/>
      </c>
    </row>
    <row r="18005" spans="8:8" x14ac:dyDescent="0.3">
      <c r="H18005" t="str">
        <f t="shared" si="330"/>
        <v/>
      </c>
    </row>
    <row r="18006" spans="8:8" x14ac:dyDescent="0.3">
      <c r="H18006" t="str">
        <f t="shared" si="330"/>
        <v/>
      </c>
    </row>
    <row r="18007" spans="8:8" x14ac:dyDescent="0.3">
      <c r="H18007" t="str">
        <f t="shared" ref="H18007:H18070" si="331">IF(B18007="","",$C$12)</f>
        <v/>
      </c>
    </row>
    <row r="18008" spans="8:8" x14ac:dyDescent="0.3">
      <c r="H18008" t="str">
        <f t="shared" si="331"/>
        <v/>
      </c>
    </row>
    <row r="18009" spans="8:8" x14ac:dyDescent="0.3">
      <c r="H18009" t="str">
        <f t="shared" si="331"/>
        <v/>
      </c>
    </row>
    <row r="18010" spans="8:8" x14ac:dyDescent="0.3">
      <c r="H18010" t="str">
        <f t="shared" si="331"/>
        <v/>
      </c>
    </row>
    <row r="18011" spans="8:8" x14ac:dyDescent="0.3">
      <c r="H18011" t="str">
        <f t="shared" si="331"/>
        <v/>
      </c>
    </row>
    <row r="18012" spans="8:8" x14ac:dyDescent="0.3">
      <c r="H18012" t="str">
        <f t="shared" si="331"/>
        <v/>
      </c>
    </row>
    <row r="18013" spans="8:8" x14ac:dyDescent="0.3">
      <c r="H18013" t="str">
        <f t="shared" si="331"/>
        <v/>
      </c>
    </row>
    <row r="18014" spans="8:8" x14ac:dyDescent="0.3">
      <c r="H18014" t="str">
        <f t="shared" si="331"/>
        <v/>
      </c>
    </row>
    <row r="18015" spans="8:8" x14ac:dyDescent="0.3">
      <c r="H18015" t="str">
        <f t="shared" si="331"/>
        <v/>
      </c>
    </row>
    <row r="18016" spans="8:8" x14ac:dyDescent="0.3">
      <c r="H18016" t="str">
        <f t="shared" si="331"/>
        <v/>
      </c>
    </row>
    <row r="18017" spans="8:8" x14ac:dyDescent="0.3">
      <c r="H18017" t="str">
        <f t="shared" si="331"/>
        <v/>
      </c>
    </row>
    <row r="18018" spans="8:8" x14ac:dyDescent="0.3">
      <c r="H18018" t="str">
        <f t="shared" si="331"/>
        <v/>
      </c>
    </row>
    <row r="18019" spans="8:8" x14ac:dyDescent="0.3">
      <c r="H18019" t="str">
        <f t="shared" si="331"/>
        <v/>
      </c>
    </row>
    <row r="18020" spans="8:8" x14ac:dyDescent="0.3">
      <c r="H18020" t="str">
        <f t="shared" si="331"/>
        <v/>
      </c>
    </row>
    <row r="18021" spans="8:8" x14ac:dyDescent="0.3">
      <c r="H18021" t="str">
        <f t="shared" si="331"/>
        <v/>
      </c>
    </row>
    <row r="18022" spans="8:8" x14ac:dyDescent="0.3">
      <c r="H18022" t="str">
        <f t="shared" si="331"/>
        <v/>
      </c>
    </row>
    <row r="18023" spans="8:8" x14ac:dyDescent="0.3">
      <c r="H18023" t="str">
        <f t="shared" si="331"/>
        <v/>
      </c>
    </row>
    <row r="18024" spans="8:8" x14ac:dyDescent="0.3">
      <c r="H18024" t="str">
        <f t="shared" si="331"/>
        <v/>
      </c>
    </row>
    <row r="18025" spans="8:8" x14ac:dyDescent="0.3">
      <c r="H18025" t="str">
        <f t="shared" si="331"/>
        <v/>
      </c>
    </row>
    <row r="18026" spans="8:8" x14ac:dyDescent="0.3">
      <c r="H18026" t="str">
        <f t="shared" si="331"/>
        <v/>
      </c>
    </row>
    <row r="18027" spans="8:8" x14ac:dyDescent="0.3">
      <c r="H18027" t="str">
        <f t="shared" si="331"/>
        <v/>
      </c>
    </row>
    <row r="18028" spans="8:8" x14ac:dyDescent="0.3">
      <c r="H18028" t="str">
        <f t="shared" si="331"/>
        <v/>
      </c>
    </row>
    <row r="18029" spans="8:8" x14ac:dyDescent="0.3">
      <c r="H18029" t="str">
        <f t="shared" si="331"/>
        <v/>
      </c>
    </row>
    <row r="18030" spans="8:8" x14ac:dyDescent="0.3">
      <c r="H18030" t="str">
        <f t="shared" si="331"/>
        <v/>
      </c>
    </row>
    <row r="18031" spans="8:8" x14ac:dyDescent="0.3">
      <c r="H18031" t="str">
        <f t="shared" si="331"/>
        <v/>
      </c>
    </row>
    <row r="18032" spans="8:8" x14ac:dyDescent="0.3">
      <c r="H18032" t="str">
        <f t="shared" si="331"/>
        <v/>
      </c>
    </row>
    <row r="18033" spans="8:8" x14ac:dyDescent="0.3">
      <c r="H18033" t="str">
        <f t="shared" si="331"/>
        <v/>
      </c>
    </row>
    <row r="18034" spans="8:8" x14ac:dyDescent="0.3">
      <c r="H18034" t="str">
        <f t="shared" si="331"/>
        <v/>
      </c>
    </row>
    <row r="18035" spans="8:8" x14ac:dyDescent="0.3">
      <c r="H18035" t="str">
        <f t="shared" si="331"/>
        <v/>
      </c>
    </row>
    <row r="18036" spans="8:8" x14ac:dyDescent="0.3">
      <c r="H18036" t="str">
        <f t="shared" si="331"/>
        <v/>
      </c>
    </row>
    <row r="18037" spans="8:8" x14ac:dyDescent="0.3">
      <c r="H18037" t="str">
        <f t="shared" si="331"/>
        <v/>
      </c>
    </row>
    <row r="18038" spans="8:8" x14ac:dyDescent="0.3">
      <c r="H18038" t="str">
        <f t="shared" si="331"/>
        <v/>
      </c>
    </row>
    <row r="18039" spans="8:8" x14ac:dyDescent="0.3">
      <c r="H18039" t="str">
        <f t="shared" si="331"/>
        <v/>
      </c>
    </row>
    <row r="18040" spans="8:8" x14ac:dyDescent="0.3">
      <c r="H18040" t="str">
        <f t="shared" si="331"/>
        <v/>
      </c>
    </row>
    <row r="18041" spans="8:8" x14ac:dyDescent="0.3">
      <c r="H18041" t="str">
        <f t="shared" si="331"/>
        <v/>
      </c>
    </row>
    <row r="18042" spans="8:8" x14ac:dyDescent="0.3">
      <c r="H18042" t="str">
        <f t="shared" si="331"/>
        <v/>
      </c>
    </row>
    <row r="18043" spans="8:8" x14ac:dyDescent="0.3">
      <c r="H18043" t="str">
        <f t="shared" si="331"/>
        <v/>
      </c>
    </row>
    <row r="18044" spans="8:8" x14ac:dyDescent="0.3">
      <c r="H18044" t="str">
        <f t="shared" si="331"/>
        <v/>
      </c>
    </row>
    <row r="18045" spans="8:8" x14ac:dyDescent="0.3">
      <c r="H18045" t="str">
        <f t="shared" si="331"/>
        <v/>
      </c>
    </row>
    <row r="18046" spans="8:8" x14ac:dyDescent="0.3">
      <c r="H18046" t="str">
        <f t="shared" si="331"/>
        <v/>
      </c>
    </row>
    <row r="18047" spans="8:8" x14ac:dyDescent="0.3">
      <c r="H18047" t="str">
        <f t="shared" si="331"/>
        <v/>
      </c>
    </row>
    <row r="18048" spans="8:8" x14ac:dyDescent="0.3">
      <c r="H18048" t="str">
        <f t="shared" si="331"/>
        <v/>
      </c>
    </row>
    <row r="18049" spans="8:8" x14ac:dyDescent="0.3">
      <c r="H18049" t="str">
        <f t="shared" si="331"/>
        <v/>
      </c>
    </row>
    <row r="18050" spans="8:8" x14ac:dyDescent="0.3">
      <c r="H18050" t="str">
        <f t="shared" si="331"/>
        <v/>
      </c>
    </row>
    <row r="18051" spans="8:8" x14ac:dyDescent="0.3">
      <c r="H18051" t="str">
        <f t="shared" si="331"/>
        <v/>
      </c>
    </row>
    <row r="18052" spans="8:8" x14ac:dyDescent="0.3">
      <c r="H18052" t="str">
        <f t="shared" si="331"/>
        <v/>
      </c>
    </row>
    <row r="18053" spans="8:8" x14ac:dyDescent="0.3">
      <c r="H18053" t="str">
        <f t="shared" si="331"/>
        <v/>
      </c>
    </row>
    <row r="18054" spans="8:8" x14ac:dyDescent="0.3">
      <c r="H18054" t="str">
        <f t="shared" si="331"/>
        <v/>
      </c>
    </row>
    <row r="18055" spans="8:8" x14ac:dyDescent="0.3">
      <c r="H18055" t="str">
        <f t="shared" si="331"/>
        <v/>
      </c>
    </row>
    <row r="18056" spans="8:8" x14ac:dyDescent="0.3">
      <c r="H18056" t="str">
        <f t="shared" si="331"/>
        <v/>
      </c>
    </row>
    <row r="18057" spans="8:8" x14ac:dyDescent="0.3">
      <c r="H18057" t="str">
        <f t="shared" si="331"/>
        <v/>
      </c>
    </row>
    <row r="18058" spans="8:8" x14ac:dyDescent="0.3">
      <c r="H18058" t="str">
        <f t="shared" si="331"/>
        <v/>
      </c>
    </row>
    <row r="18059" spans="8:8" x14ac:dyDescent="0.3">
      <c r="H18059" t="str">
        <f t="shared" si="331"/>
        <v/>
      </c>
    </row>
    <row r="18060" spans="8:8" x14ac:dyDescent="0.3">
      <c r="H18060" t="str">
        <f t="shared" si="331"/>
        <v/>
      </c>
    </row>
    <row r="18061" spans="8:8" x14ac:dyDescent="0.3">
      <c r="H18061" t="str">
        <f t="shared" si="331"/>
        <v/>
      </c>
    </row>
    <row r="18062" spans="8:8" x14ac:dyDescent="0.3">
      <c r="H18062" t="str">
        <f t="shared" si="331"/>
        <v/>
      </c>
    </row>
    <row r="18063" spans="8:8" x14ac:dyDescent="0.3">
      <c r="H18063" t="str">
        <f t="shared" si="331"/>
        <v/>
      </c>
    </row>
    <row r="18064" spans="8:8" x14ac:dyDescent="0.3">
      <c r="H18064" t="str">
        <f t="shared" si="331"/>
        <v/>
      </c>
    </row>
    <row r="18065" spans="8:8" x14ac:dyDescent="0.3">
      <c r="H18065" t="str">
        <f t="shared" si="331"/>
        <v/>
      </c>
    </row>
    <row r="18066" spans="8:8" x14ac:dyDescent="0.3">
      <c r="H18066" t="str">
        <f t="shared" si="331"/>
        <v/>
      </c>
    </row>
    <row r="18067" spans="8:8" x14ac:dyDescent="0.3">
      <c r="H18067" t="str">
        <f t="shared" si="331"/>
        <v/>
      </c>
    </row>
    <row r="18068" spans="8:8" x14ac:dyDescent="0.3">
      <c r="H18068" t="str">
        <f t="shared" si="331"/>
        <v/>
      </c>
    </row>
    <row r="18069" spans="8:8" x14ac:dyDescent="0.3">
      <c r="H18069" t="str">
        <f t="shared" si="331"/>
        <v/>
      </c>
    </row>
    <row r="18070" spans="8:8" x14ac:dyDescent="0.3">
      <c r="H18070" t="str">
        <f t="shared" si="331"/>
        <v/>
      </c>
    </row>
    <row r="18071" spans="8:8" x14ac:dyDescent="0.3">
      <c r="H18071" t="str">
        <f t="shared" ref="H18071:H18134" si="332">IF(B18071="","",$C$12)</f>
        <v/>
      </c>
    </row>
    <row r="18072" spans="8:8" x14ac:dyDescent="0.3">
      <c r="H18072" t="str">
        <f t="shared" si="332"/>
        <v/>
      </c>
    </row>
    <row r="18073" spans="8:8" x14ac:dyDescent="0.3">
      <c r="H18073" t="str">
        <f t="shared" si="332"/>
        <v/>
      </c>
    </row>
    <row r="18074" spans="8:8" x14ac:dyDescent="0.3">
      <c r="H18074" t="str">
        <f t="shared" si="332"/>
        <v/>
      </c>
    </row>
    <row r="18075" spans="8:8" x14ac:dyDescent="0.3">
      <c r="H18075" t="str">
        <f t="shared" si="332"/>
        <v/>
      </c>
    </row>
    <row r="18076" spans="8:8" x14ac:dyDescent="0.3">
      <c r="H18076" t="str">
        <f t="shared" si="332"/>
        <v/>
      </c>
    </row>
    <row r="18077" spans="8:8" x14ac:dyDescent="0.3">
      <c r="H18077" t="str">
        <f t="shared" si="332"/>
        <v/>
      </c>
    </row>
    <row r="18078" spans="8:8" x14ac:dyDescent="0.3">
      <c r="H18078" t="str">
        <f t="shared" si="332"/>
        <v/>
      </c>
    </row>
    <row r="18079" spans="8:8" x14ac:dyDescent="0.3">
      <c r="H18079" t="str">
        <f t="shared" si="332"/>
        <v/>
      </c>
    </row>
    <row r="18080" spans="8:8" x14ac:dyDescent="0.3">
      <c r="H18080" t="str">
        <f t="shared" si="332"/>
        <v/>
      </c>
    </row>
    <row r="18081" spans="8:8" x14ac:dyDescent="0.3">
      <c r="H18081" t="str">
        <f t="shared" si="332"/>
        <v/>
      </c>
    </row>
    <row r="18082" spans="8:8" x14ac:dyDescent="0.3">
      <c r="H18082" t="str">
        <f t="shared" si="332"/>
        <v/>
      </c>
    </row>
    <row r="18083" spans="8:8" x14ac:dyDescent="0.3">
      <c r="H18083" t="str">
        <f t="shared" si="332"/>
        <v/>
      </c>
    </row>
    <row r="18084" spans="8:8" x14ac:dyDescent="0.3">
      <c r="H18084" t="str">
        <f t="shared" si="332"/>
        <v/>
      </c>
    </row>
    <row r="18085" spans="8:8" x14ac:dyDescent="0.3">
      <c r="H18085" t="str">
        <f t="shared" si="332"/>
        <v/>
      </c>
    </row>
    <row r="18086" spans="8:8" x14ac:dyDescent="0.3">
      <c r="H18086" t="str">
        <f t="shared" si="332"/>
        <v/>
      </c>
    </row>
    <row r="18087" spans="8:8" x14ac:dyDescent="0.3">
      <c r="H18087" t="str">
        <f t="shared" si="332"/>
        <v/>
      </c>
    </row>
    <row r="18088" spans="8:8" x14ac:dyDescent="0.3">
      <c r="H18088" t="str">
        <f t="shared" si="332"/>
        <v/>
      </c>
    </row>
    <row r="18089" spans="8:8" x14ac:dyDescent="0.3">
      <c r="H18089" t="str">
        <f t="shared" si="332"/>
        <v/>
      </c>
    </row>
    <row r="18090" spans="8:8" x14ac:dyDescent="0.3">
      <c r="H18090" t="str">
        <f t="shared" si="332"/>
        <v/>
      </c>
    </row>
    <row r="18091" spans="8:8" x14ac:dyDescent="0.3">
      <c r="H18091" t="str">
        <f t="shared" si="332"/>
        <v/>
      </c>
    </row>
    <row r="18092" spans="8:8" x14ac:dyDescent="0.3">
      <c r="H18092" t="str">
        <f t="shared" si="332"/>
        <v/>
      </c>
    </row>
    <row r="18093" spans="8:8" x14ac:dyDescent="0.3">
      <c r="H18093" t="str">
        <f t="shared" si="332"/>
        <v/>
      </c>
    </row>
    <row r="18094" spans="8:8" x14ac:dyDescent="0.3">
      <c r="H18094" t="str">
        <f t="shared" si="332"/>
        <v/>
      </c>
    </row>
    <row r="18095" spans="8:8" x14ac:dyDescent="0.3">
      <c r="H18095" t="str">
        <f t="shared" si="332"/>
        <v/>
      </c>
    </row>
    <row r="18096" spans="8:8" x14ac:dyDescent="0.3">
      <c r="H18096" t="str">
        <f t="shared" si="332"/>
        <v/>
      </c>
    </row>
    <row r="18097" spans="8:8" x14ac:dyDescent="0.3">
      <c r="H18097" t="str">
        <f t="shared" si="332"/>
        <v/>
      </c>
    </row>
    <row r="18098" spans="8:8" x14ac:dyDescent="0.3">
      <c r="H18098" t="str">
        <f t="shared" si="332"/>
        <v/>
      </c>
    </row>
    <row r="18099" spans="8:8" x14ac:dyDescent="0.3">
      <c r="H18099" t="str">
        <f t="shared" si="332"/>
        <v/>
      </c>
    </row>
    <row r="18100" spans="8:8" x14ac:dyDescent="0.3">
      <c r="H18100" t="str">
        <f t="shared" si="332"/>
        <v/>
      </c>
    </row>
    <row r="18101" spans="8:8" x14ac:dyDescent="0.3">
      <c r="H18101" t="str">
        <f t="shared" si="332"/>
        <v/>
      </c>
    </row>
    <row r="18102" spans="8:8" x14ac:dyDescent="0.3">
      <c r="H18102" t="str">
        <f t="shared" si="332"/>
        <v/>
      </c>
    </row>
    <row r="18103" spans="8:8" x14ac:dyDescent="0.3">
      <c r="H18103" t="str">
        <f t="shared" si="332"/>
        <v/>
      </c>
    </row>
    <row r="18104" spans="8:8" x14ac:dyDescent="0.3">
      <c r="H18104" t="str">
        <f t="shared" si="332"/>
        <v/>
      </c>
    </row>
    <row r="18105" spans="8:8" x14ac:dyDescent="0.3">
      <c r="H18105" t="str">
        <f t="shared" si="332"/>
        <v/>
      </c>
    </row>
    <row r="18106" spans="8:8" x14ac:dyDescent="0.3">
      <c r="H18106" t="str">
        <f t="shared" si="332"/>
        <v/>
      </c>
    </row>
    <row r="18107" spans="8:8" x14ac:dyDescent="0.3">
      <c r="H18107" t="str">
        <f t="shared" si="332"/>
        <v/>
      </c>
    </row>
    <row r="18108" spans="8:8" x14ac:dyDescent="0.3">
      <c r="H18108" t="str">
        <f t="shared" si="332"/>
        <v/>
      </c>
    </row>
    <row r="18109" spans="8:8" x14ac:dyDescent="0.3">
      <c r="H18109" t="str">
        <f t="shared" si="332"/>
        <v/>
      </c>
    </row>
    <row r="18110" spans="8:8" x14ac:dyDescent="0.3">
      <c r="H18110" t="str">
        <f t="shared" si="332"/>
        <v/>
      </c>
    </row>
    <row r="18111" spans="8:8" x14ac:dyDescent="0.3">
      <c r="H18111" t="str">
        <f t="shared" si="332"/>
        <v/>
      </c>
    </row>
    <row r="18112" spans="8:8" x14ac:dyDescent="0.3">
      <c r="H18112" t="str">
        <f t="shared" si="332"/>
        <v/>
      </c>
    </row>
    <row r="18113" spans="8:8" x14ac:dyDescent="0.3">
      <c r="H18113" t="str">
        <f t="shared" si="332"/>
        <v/>
      </c>
    </row>
    <row r="18114" spans="8:8" x14ac:dyDescent="0.3">
      <c r="H18114" t="str">
        <f t="shared" si="332"/>
        <v/>
      </c>
    </row>
    <row r="18115" spans="8:8" x14ac:dyDescent="0.3">
      <c r="H18115" t="str">
        <f t="shared" si="332"/>
        <v/>
      </c>
    </row>
    <row r="18116" spans="8:8" x14ac:dyDescent="0.3">
      <c r="H18116" t="str">
        <f t="shared" si="332"/>
        <v/>
      </c>
    </row>
    <row r="18117" spans="8:8" x14ac:dyDescent="0.3">
      <c r="H18117" t="str">
        <f t="shared" si="332"/>
        <v/>
      </c>
    </row>
    <row r="18118" spans="8:8" x14ac:dyDescent="0.3">
      <c r="H18118" t="str">
        <f t="shared" si="332"/>
        <v/>
      </c>
    </row>
    <row r="18119" spans="8:8" x14ac:dyDescent="0.3">
      <c r="H18119" t="str">
        <f t="shared" si="332"/>
        <v/>
      </c>
    </row>
    <row r="18120" spans="8:8" x14ac:dyDescent="0.3">
      <c r="H18120" t="str">
        <f t="shared" si="332"/>
        <v/>
      </c>
    </row>
    <row r="18121" spans="8:8" x14ac:dyDescent="0.3">
      <c r="H18121" t="str">
        <f t="shared" si="332"/>
        <v/>
      </c>
    </row>
    <row r="18122" spans="8:8" x14ac:dyDescent="0.3">
      <c r="H18122" t="str">
        <f t="shared" si="332"/>
        <v/>
      </c>
    </row>
    <row r="18123" spans="8:8" x14ac:dyDescent="0.3">
      <c r="H18123" t="str">
        <f t="shared" si="332"/>
        <v/>
      </c>
    </row>
    <row r="18124" spans="8:8" x14ac:dyDescent="0.3">
      <c r="H18124" t="str">
        <f t="shared" si="332"/>
        <v/>
      </c>
    </row>
    <row r="18125" spans="8:8" x14ac:dyDescent="0.3">
      <c r="H18125" t="str">
        <f t="shared" si="332"/>
        <v/>
      </c>
    </row>
    <row r="18126" spans="8:8" x14ac:dyDescent="0.3">
      <c r="H18126" t="str">
        <f t="shared" si="332"/>
        <v/>
      </c>
    </row>
    <row r="18127" spans="8:8" x14ac:dyDescent="0.3">
      <c r="H18127" t="str">
        <f t="shared" si="332"/>
        <v/>
      </c>
    </row>
    <row r="18128" spans="8:8" x14ac:dyDescent="0.3">
      <c r="H18128" t="str">
        <f t="shared" si="332"/>
        <v/>
      </c>
    </row>
    <row r="18129" spans="8:8" x14ac:dyDescent="0.3">
      <c r="H18129" t="str">
        <f t="shared" si="332"/>
        <v/>
      </c>
    </row>
    <row r="18130" spans="8:8" x14ac:dyDescent="0.3">
      <c r="H18130" t="str">
        <f t="shared" si="332"/>
        <v/>
      </c>
    </row>
    <row r="18131" spans="8:8" x14ac:dyDescent="0.3">
      <c r="H18131" t="str">
        <f t="shared" si="332"/>
        <v/>
      </c>
    </row>
    <row r="18132" spans="8:8" x14ac:dyDescent="0.3">
      <c r="H18132" t="str">
        <f t="shared" si="332"/>
        <v/>
      </c>
    </row>
    <row r="18133" spans="8:8" x14ac:dyDescent="0.3">
      <c r="H18133" t="str">
        <f t="shared" si="332"/>
        <v/>
      </c>
    </row>
    <row r="18134" spans="8:8" x14ac:dyDescent="0.3">
      <c r="H18134" t="str">
        <f t="shared" si="332"/>
        <v/>
      </c>
    </row>
    <row r="18135" spans="8:8" x14ac:dyDescent="0.3">
      <c r="H18135" t="str">
        <f t="shared" ref="H18135:H18198" si="333">IF(B18135="","",$C$12)</f>
        <v/>
      </c>
    </row>
    <row r="18136" spans="8:8" x14ac:dyDescent="0.3">
      <c r="H18136" t="str">
        <f t="shared" si="333"/>
        <v/>
      </c>
    </row>
    <row r="18137" spans="8:8" x14ac:dyDescent="0.3">
      <c r="H18137" t="str">
        <f t="shared" si="333"/>
        <v/>
      </c>
    </row>
    <row r="18138" spans="8:8" x14ac:dyDescent="0.3">
      <c r="H18138" t="str">
        <f t="shared" si="333"/>
        <v/>
      </c>
    </row>
    <row r="18139" spans="8:8" x14ac:dyDescent="0.3">
      <c r="H18139" t="str">
        <f t="shared" si="333"/>
        <v/>
      </c>
    </row>
    <row r="18140" spans="8:8" x14ac:dyDescent="0.3">
      <c r="H18140" t="str">
        <f t="shared" si="333"/>
        <v/>
      </c>
    </row>
    <row r="18141" spans="8:8" x14ac:dyDescent="0.3">
      <c r="H18141" t="str">
        <f t="shared" si="333"/>
        <v/>
      </c>
    </row>
    <row r="18142" spans="8:8" x14ac:dyDescent="0.3">
      <c r="H18142" t="str">
        <f t="shared" si="333"/>
        <v/>
      </c>
    </row>
    <row r="18143" spans="8:8" x14ac:dyDescent="0.3">
      <c r="H18143" t="str">
        <f t="shared" si="333"/>
        <v/>
      </c>
    </row>
    <row r="18144" spans="8:8" x14ac:dyDescent="0.3">
      <c r="H18144" t="str">
        <f t="shared" si="333"/>
        <v/>
      </c>
    </row>
    <row r="18145" spans="8:8" x14ac:dyDescent="0.3">
      <c r="H18145" t="str">
        <f t="shared" si="333"/>
        <v/>
      </c>
    </row>
    <row r="18146" spans="8:8" x14ac:dyDescent="0.3">
      <c r="H18146" t="str">
        <f t="shared" si="333"/>
        <v/>
      </c>
    </row>
    <row r="18147" spans="8:8" x14ac:dyDescent="0.3">
      <c r="H18147" t="str">
        <f t="shared" si="333"/>
        <v/>
      </c>
    </row>
    <row r="18148" spans="8:8" x14ac:dyDescent="0.3">
      <c r="H18148" t="str">
        <f t="shared" si="333"/>
        <v/>
      </c>
    </row>
    <row r="18149" spans="8:8" x14ac:dyDescent="0.3">
      <c r="H18149" t="str">
        <f t="shared" si="333"/>
        <v/>
      </c>
    </row>
    <row r="18150" spans="8:8" x14ac:dyDescent="0.3">
      <c r="H18150" t="str">
        <f t="shared" si="333"/>
        <v/>
      </c>
    </row>
    <row r="18151" spans="8:8" x14ac:dyDescent="0.3">
      <c r="H18151" t="str">
        <f t="shared" si="333"/>
        <v/>
      </c>
    </row>
    <row r="18152" spans="8:8" x14ac:dyDescent="0.3">
      <c r="H18152" t="str">
        <f t="shared" si="333"/>
        <v/>
      </c>
    </row>
    <row r="18153" spans="8:8" x14ac:dyDescent="0.3">
      <c r="H18153" t="str">
        <f t="shared" si="333"/>
        <v/>
      </c>
    </row>
    <row r="18154" spans="8:8" x14ac:dyDescent="0.3">
      <c r="H18154" t="str">
        <f t="shared" si="333"/>
        <v/>
      </c>
    </row>
    <row r="18155" spans="8:8" x14ac:dyDescent="0.3">
      <c r="H18155" t="str">
        <f t="shared" si="333"/>
        <v/>
      </c>
    </row>
    <row r="18156" spans="8:8" x14ac:dyDescent="0.3">
      <c r="H18156" t="str">
        <f t="shared" si="333"/>
        <v/>
      </c>
    </row>
    <row r="18157" spans="8:8" x14ac:dyDescent="0.3">
      <c r="H18157" t="str">
        <f t="shared" si="333"/>
        <v/>
      </c>
    </row>
    <row r="18158" spans="8:8" x14ac:dyDescent="0.3">
      <c r="H18158" t="str">
        <f t="shared" si="333"/>
        <v/>
      </c>
    </row>
    <row r="18159" spans="8:8" x14ac:dyDescent="0.3">
      <c r="H18159" t="str">
        <f t="shared" si="333"/>
        <v/>
      </c>
    </row>
    <row r="18160" spans="8:8" x14ac:dyDescent="0.3">
      <c r="H18160" t="str">
        <f t="shared" si="333"/>
        <v/>
      </c>
    </row>
    <row r="18161" spans="8:8" x14ac:dyDescent="0.3">
      <c r="H18161" t="str">
        <f t="shared" si="333"/>
        <v/>
      </c>
    </row>
    <row r="18162" spans="8:8" x14ac:dyDescent="0.3">
      <c r="H18162" t="str">
        <f t="shared" si="333"/>
        <v/>
      </c>
    </row>
    <row r="18163" spans="8:8" x14ac:dyDescent="0.3">
      <c r="H18163" t="str">
        <f t="shared" si="333"/>
        <v/>
      </c>
    </row>
    <row r="18164" spans="8:8" x14ac:dyDescent="0.3">
      <c r="H18164" t="str">
        <f t="shared" si="333"/>
        <v/>
      </c>
    </row>
    <row r="18165" spans="8:8" x14ac:dyDescent="0.3">
      <c r="H18165" t="str">
        <f t="shared" si="333"/>
        <v/>
      </c>
    </row>
    <row r="18166" spans="8:8" x14ac:dyDescent="0.3">
      <c r="H18166" t="str">
        <f t="shared" si="333"/>
        <v/>
      </c>
    </row>
    <row r="18167" spans="8:8" x14ac:dyDescent="0.3">
      <c r="H18167" t="str">
        <f t="shared" si="333"/>
        <v/>
      </c>
    </row>
    <row r="18168" spans="8:8" x14ac:dyDescent="0.3">
      <c r="H18168" t="str">
        <f t="shared" si="333"/>
        <v/>
      </c>
    </row>
    <row r="18169" spans="8:8" x14ac:dyDescent="0.3">
      <c r="H18169" t="str">
        <f t="shared" si="333"/>
        <v/>
      </c>
    </row>
    <row r="18170" spans="8:8" x14ac:dyDescent="0.3">
      <c r="H18170" t="str">
        <f t="shared" si="333"/>
        <v/>
      </c>
    </row>
    <row r="18171" spans="8:8" x14ac:dyDescent="0.3">
      <c r="H18171" t="str">
        <f t="shared" si="333"/>
        <v/>
      </c>
    </row>
    <row r="18172" spans="8:8" x14ac:dyDescent="0.3">
      <c r="H18172" t="str">
        <f t="shared" si="333"/>
        <v/>
      </c>
    </row>
    <row r="18173" spans="8:8" x14ac:dyDescent="0.3">
      <c r="H18173" t="str">
        <f t="shared" si="333"/>
        <v/>
      </c>
    </row>
    <row r="18174" spans="8:8" x14ac:dyDescent="0.3">
      <c r="H18174" t="str">
        <f t="shared" si="333"/>
        <v/>
      </c>
    </row>
    <row r="18175" spans="8:8" x14ac:dyDescent="0.3">
      <c r="H18175" t="str">
        <f t="shared" si="333"/>
        <v/>
      </c>
    </row>
    <row r="18176" spans="8:8" x14ac:dyDescent="0.3">
      <c r="H18176" t="str">
        <f t="shared" si="333"/>
        <v/>
      </c>
    </row>
    <row r="18177" spans="8:8" x14ac:dyDescent="0.3">
      <c r="H18177" t="str">
        <f t="shared" si="333"/>
        <v/>
      </c>
    </row>
    <row r="18178" spans="8:8" x14ac:dyDescent="0.3">
      <c r="H18178" t="str">
        <f t="shared" si="333"/>
        <v/>
      </c>
    </row>
    <row r="18179" spans="8:8" x14ac:dyDescent="0.3">
      <c r="H18179" t="str">
        <f t="shared" si="333"/>
        <v/>
      </c>
    </row>
    <row r="18180" spans="8:8" x14ac:dyDescent="0.3">
      <c r="H18180" t="str">
        <f t="shared" si="333"/>
        <v/>
      </c>
    </row>
    <row r="18181" spans="8:8" x14ac:dyDescent="0.3">
      <c r="H18181" t="str">
        <f t="shared" si="333"/>
        <v/>
      </c>
    </row>
    <row r="18182" spans="8:8" x14ac:dyDescent="0.3">
      <c r="H18182" t="str">
        <f t="shared" si="333"/>
        <v/>
      </c>
    </row>
    <row r="18183" spans="8:8" x14ac:dyDescent="0.3">
      <c r="H18183" t="str">
        <f t="shared" si="333"/>
        <v/>
      </c>
    </row>
    <row r="18184" spans="8:8" x14ac:dyDescent="0.3">
      <c r="H18184" t="str">
        <f t="shared" si="333"/>
        <v/>
      </c>
    </row>
    <row r="18185" spans="8:8" x14ac:dyDescent="0.3">
      <c r="H18185" t="str">
        <f t="shared" si="333"/>
        <v/>
      </c>
    </row>
    <row r="18186" spans="8:8" x14ac:dyDescent="0.3">
      <c r="H18186" t="str">
        <f t="shared" si="333"/>
        <v/>
      </c>
    </row>
    <row r="18187" spans="8:8" x14ac:dyDescent="0.3">
      <c r="H18187" t="str">
        <f t="shared" si="333"/>
        <v/>
      </c>
    </row>
    <row r="18188" spans="8:8" x14ac:dyDescent="0.3">
      <c r="H18188" t="str">
        <f t="shared" si="333"/>
        <v/>
      </c>
    </row>
    <row r="18189" spans="8:8" x14ac:dyDescent="0.3">
      <c r="H18189" t="str">
        <f t="shared" si="333"/>
        <v/>
      </c>
    </row>
    <row r="18190" spans="8:8" x14ac:dyDescent="0.3">
      <c r="H18190" t="str">
        <f t="shared" si="333"/>
        <v/>
      </c>
    </row>
    <row r="18191" spans="8:8" x14ac:dyDescent="0.3">
      <c r="H18191" t="str">
        <f t="shared" si="333"/>
        <v/>
      </c>
    </row>
    <row r="18192" spans="8:8" x14ac:dyDescent="0.3">
      <c r="H18192" t="str">
        <f t="shared" si="333"/>
        <v/>
      </c>
    </row>
    <row r="18193" spans="8:8" x14ac:dyDescent="0.3">
      <c r="H18193" t="str">
        <f t="shared" si="333"/>
        <v/>
      </c>
    </row>
    <row r="18194" spans="8:8" x14ac:dyDescent="0.3">
      <c r="H18194" t="str">
        <f t="shared" si="333"/>
        <v/>
      </c>
    </row>
    <row r="18195" spans="8:8" x14ac:dyDescent="0.3">
      <c r="H18195" t="str">
        <f t="shared" si="333"/>
        <v/>
      </c>
    </row>
    <row r="18196" spans="8:8" x14ac:dyDescent="0.3">
      <c r="H18196" t="str">
        <f t="shared" si="333"/>
        <v/>
      </c>
    </row>
    <row r="18197" spans="8:8" x14ac:dyDescent="0.3">
      <c r="H18197" t="str">
        <f t="shared" si="333"/>
        <v/>
      </c>
    </row>
    <row r="18198" spans="8:8" x14ac:dyDescent="0.3">
      <c r="H18198" t="str">
        <f t="shared" si="333"/>
        <v/>
      </c>
    </row>
    <row r="18199" spans="8:8" x14ac:dyDescent="0.3">
      <c r="H18199" t="str">
        <f t="shared" ref="H18199:H18262" si="334">IF(B18199="","",$C$12)</f>
        <v/>
      </c>
    </row>
    <row r="18200" spans="8:8" x14ac:dyDescent="0.3">
      <c r="H18200" t="str">
        <f t="shared" si="334"/>
        <v/>
      </c>
    </row>
    <row r="18201" spans="8:8" x14ac:dyDescent="0.3">
      <c r="H18201" t="str">
        <f t="shared" si="334"/>
        <v/>
      </c>
    </row>
    <row r="18202" spans="8:8" x14ac:dyDescent="0.3">
      <c r="H18202" t="str">
        <f t="shared" si="334"/>
        <v/>
      </c>
    </row>
    <row r="18203" spans="8:8" x14ac:dyDescent="0.3">
      <c r="H18203" t="str">
        <f t="shared" si="334"/>
        <v/>
      </c>
    </row>
    <row r="18204" spans="8:8" x14ac:dyDescent="0.3">
      <c r="H18204" t="str">
        <f t="shared" si="334"/>
        <v/>
      </c>
    </row>
    <row r="18205" spans="8:8" x14ac:dyDescent="0.3">
      <c r="H18205" t="str">
        <f t="shared" si="334"/>
        <v/>
      </c>
    </row>
    <row r="18206" spans="8:8" x14ac:dyDescent="0.3">
      <c r="H18206" t="str">
        <f t="shared" si="334"/>
        <v/>
      </c>
    </row>
    <row r="18207" spans="8:8" x14ac:dyDescent="0.3">
      <c r="H18207" t="str">
        <f t="shared" si="334"/>
        <v/>
      </c>
    </row>
    <row r="18208" spans="8:8" x14ac:dyDescent="0.3">
      <c r="H18208" t="str">
        <f t="shared" si="334"/>
        <v/>
      </c>
    </row>
    <row r="18209" spans="8:8" x14ac:dyDescent="0.3">
      <c r="H18209" t="str">
        <f t="shared" si="334"/>
        <v/>
      </c>
    </row>
    <row r="18210" spans="8:8" x14ac:dyDescent="0.3">
      <c r="H18210" t="str">
        <f t="shared" si="334"/>
        <v/>
      </c>
    </row>
    <row r="18211" spans="8:8" x14ac:dyDescent="0.3">
      <c r="H18211" t="str">
        <f t="shared" si="334"/>
        <v/>
      </c>
    </row>
    <row r="18212" spans="8:8" x14ac:dyDescent="0.3">
      <c r="H18212" t="str">
        <f t="shared" si="334"/>
        <v/>
      </c>
    </row>
    <row r="18213" spans="8:8" x14ac:dyDescent="0.3">
      <c r="H18213" t="str">
        <f t="shared" si="334"/>
        <v/>
      </c>
    </row>
    <row r="18214" spans="8:8" x14ac:dyDescent="0.3">
      <c r="H18214" t="str">
        <f t="shared" si="334"/>
        <v/>
      </c>
    </row>
    <row r="18215" spans="8:8" x14ac:dyDescent="0.3">
      <c r="H18215" t="str">
        <f t="shared" si="334"/>
        <v/>
      </c>
    </row>
    <row r="18216" spans="8:8" x14ac:dyDescent="0.3">
      <c r="H18216" t="str">
        <f t="shared" si="334"/>
        <v/>
      </c>
    </row>
    <row r="18217" spans="8:8" x14ac:dyDescent="0.3">
      <c r="H18217" t="str">
        <f t="shared" si="334"/>
        <v/>
      </c>
    </row>
    <row r="18218" spans="8:8" x14ac:dyDescent="0.3">
      <c r="H18218" t="str">
        <f t="shared" si="334"/>
        <v/>
      </c>
    </row>
    <row r="18219" spans="8:8" x14ac:dyDescent="0.3">
      <c r="H18219" t="str">
        <f t="shared" si="334"/>
        <v/>
      </c>
    </row>
    <row r="18220" spans="8:8" x14ac:dyDescent="0.3">
      <c r="H18220" t="str">
        <f t="shared" si="334"/>
        <v/>
      </c>
    </row>
    <row r="18221" spans="8:8" x14ac:dyDescent="0.3">
      <c r="H18221" t="str">
        <f t="shared" si="334"/>
        <v/>
      </c>
    </row>
    <row r="18222" spans="8:8" x14ac:dyDescent="0.3">
      <c r="H18222" t="str">
        <f t="shared" si="334"/>
        <v/>
      </c>
    </row>
    <row r="18223" spans="8:8" x14ac:dyDescent="0.3">
      <c r="H18223" t="str">
        <f t="shared" si="334"/>
        <v/>
      </c>
    </row>
    <row r="18224" spans="8:8" x14ac:dyDescent="0.3">
      <c r="H18224" t="str">
        <f t="shared" si="334"/>
        <v/>
      </c>
    </row>
    <row r="18225" spans="8:8" x14ac:dyDescent="0.3">
      <c r="H18225" t="str">
        <f t="shared" si="334"/>
        <v/>
      </c>
    </row>
    <row r="18226" spans="8:8" x14ac:dyDescent="0.3">
      <c r="H18226" t="str">
        <f t="shared" si="334"/>
        <v/>
      </c>
    </row>
    <row r="18227" spans="8:8" x14ac:dyDescent="0.3">
      <c r="H18227" t="str">
        <f t="shared" si="334"/>
        <v/>
      </c>
    </row>
    <row r="18228" spans="8:8" x14ac:dyDescent="0.3">
      <c r="H18228" t="str">
        <f t="shared" si="334"/>
        <v/>
      </c>
    </row>
    <row r="18229" spans="8:8" x14ac:dyDescent="0.3">
      <c r="H18229" t="str">
        <f t="shared" si="334"/>
        <v/>
      </c>
    </row>
    <row r="18230" spans="8:8" x14ac:dyDescent="0.3">
      <c r="H18230" t="str">
        <f t="shared" si="334"/>
        <v/>
      </c>
    </row>
    <row r="18231" spans="8:8" x14ac:dyDescent="0.3">
      <c r="H18231" t="str">
        <f t="shared" si="334"/>
        <v/>
      </c>
    </row>
    <row r="18232" spans="8:8" x14ac:dyDescent="0.3">
      <c r="H18232" t="str">
        <f t="shared" si="334"/>
        <v/>
      </c>
    </row>
    <row r="18233" spans="8:8" x14ac:dyDescent="0.3">
      <c r="H18233" t="str">
        <f t="shared" si="334"/>
        <v/>
      </c>
    </row>
    <row r="18234" spans="8:8" x14ac:dyDescent="0.3">
      <c r="H18234" t="str">
        <f t="shared" si="334"/>
        <v/>
      </c>
    </row>
    <row r="18235" spans="8:8" x14ac:dyDescent="0.3">
      <c r="H18235" t="str">
        <f t="shared" si="334"/>
        <v/>
      </c>
    </row>
    <row r="18236" spans="8:8" x14ac:dyDescent="0.3">
      <c r="H18236" t="str">
        <f t="shared" si="334"/>
        <v/>
      </c>
    </row>
    <row r="18237" spans="8:8" x14ac:dyDescent="0.3">
      <c r="H18237" t="str">
        <f t="shared" si="334"/>
        <v/>
      </c>
    </row>
    <row r="18238" spans="8:8" x14ac:dyDescent="0.3">
      <c r="H18238" t="str">
        <f t="shared" si="334"/>
        <v/>
      </c>
    </row>
    <row r="18239" spans="8:8" x14ac:dyDescent="0.3">
      <c r="H18239" t="str">
        <f t="shared" si="334"/>
        <v/>
      </c>
    </row>
    <row r="18240" spans="8:8" x14ac:dyDescent="0.3">
      <c r="H18240" t="str">
        <f t="shared" si="334"/>
        <v/>
      </c>
    </row>
    <row r="18241" spans="8:8" x14ac:dyDescent="0.3">
      <c r="H18241" t="str">
        <f t="shared" si="334"/>
        <v/>
      </c>
    </row>
    <row r="18242" spans="8:8" x14ac:dyDescent="0.3">
      <c r="H18242" t="str">
        <f t="shared" si="334"/>
        <v/>
      </c>
    </row>
    <row r="18243" spans="8:8" x14ac:dyDescent="0.3">
      <c r="H18243" t="str">
        <f t="shared" si="334"/>
        <v/>
      </c>
    </row>
    <row r="18244" spans="8:8" x14ac:dyDescent="0.3">
      <c r="H18244" t="str">
        <f t="shared" si="334"/>
        <v/>
      </c>
    </row>
    <row r="18245" spans="8:8" x14ac:dyDescent="0.3">
      <c r="H18245" t="str">
        <f t="shared" si="334"/>
        <v/>
      </c>
    </row>
    <row r="18246" spans="8:8" x14ac:dyDescent="0.3">
      <c r="H18246" t="str">
        <f t="shared" si="334"/>
        <v/>
      </c>
    </row>
    <row r="18247" spans="8:8" x14ac:dyDescent="0.3">
      <c r="H18247" t="str">
        <f t="shared" si="334"/>
        <v/>
      </c>
    </row>
    <row r="18248" spans="8:8" x14ac:dyDescent="0.3">
      <c r="H18248" t="str">
        <f t="shared" si="334"/>
        <v/>
      </c>
    </row>
    <row r="18249" spans="8:8" x14ac:dyDescent="0.3">
      <c r="H18249" t="str">
        <f t="shared" si="334"/>
        <v/>
      </c>
    </row>
    <row r="18250" spans="8:8" x14ac:dyDescent="0.3">
      <c r="H18250" t="str">
        <f t="shared" si="334"/>
        <v/>
      </c>
    </row>
    <row r="18251" spans="8:8" x14ac:dyDescent="0.3">
      <c r="H18251" t="str">
        <f t="shared" si="334"/>
        <v/>
      </c>
    </row>
    <row r="18252" spans="8:8" x14ac:dyDescent="0.3">
      <c r="H18252" t="str">
        <f t="shared" si="334"/>
        <v/>
      </c>
    </row>
    <row r="18253" spans="8:8" x14ac:dyDescent="0.3">
      <c r="H18253" t="str">
        <f t="shared" si="334"/>
        <v/>
      </c>
    </row>
    <row r="18254" spans="8:8" x14ac:dyDescent="0.3">
      <c r="H18254" t="str">
        <f t="shared" si="334"/>
        <v/>
      </c>
    </row>
    <row r="18255" spans="8:8" x14ac:dyDescent="0.3">
      <c r="H18255" t="str">
        <f t="shared" si="334"/>
        <v/>
      </c>
    </row>
    <row r="18256" spans="8:8" x14ac:dyDescent="0.3">
      <c r="H18256" t="str">
        <f t="shared" si="334"/>
        <v/>
      </c>
    </row>
    <row r="18257" spans="8:8" x14ac:dyDescent="0.3">
      <c r="H18257" t="str">
        <f t="shared" si="334"/>
        <v/>
      </c>
    </row>
    <row r="18258" spans="8:8" x14ac:dyDescent="0.3">
      <c r="H18258" t="str">
        <f t="shared" si="334"/>
        <v/>
      </c>
    </row>
    <row r="18259" spans="8:8" x14ac:dyDescent="0.3">
      <c r="H18259" t="str">
        <f t="shared" si="334"/>
        <v/>
      </c>
    </row>
    <row r="18260" spans="8:8" x14ac:dyDescent="0.3">
      <c r="H18260" t="str">
        <f t="shared" si="334"/>
        <v/>
      </c>
    </row>
    <row r="18261" spans="8:8" x14ac:dyDescent="0.3">
      <c r="H18261" t="str">
        <f t="shared" si="334"/>
        <v/>
      </c>
    </row>
    <row r="18262" spans="8:8" x14ac:dyDescent="0.3">
      <c r="H18262" t="str">
        <f t="shared" si="334"/>
        <v/>
      </c>
    </row>
    <row r="18263" spans="8:8" x14ac:dyDescent="0.3">
      <c r="H18263" t="str">
        <f t="shared" ref="H18263:H18326" si="335">IF(B18263="","",$C$12)</f>
        <v/>
      </c>
    </row>
    <row r="18264" spans="8:8" x14ac:dyDescent="0.3">
      <c r="H18264" t="str">
        <f t="shared" si="335"/>
        <v/>
      </c>
    </row>
    <row r="18265" spans="8:8" x14ac:dyDescent="0.3">
      <c r="H18265" t="str">
        <f t="shared" si="335"/>
        <v/>
      </c>
    </row>
    <row r="18266" spans="8:8" x14ac:dyDescent="0.3">
      <c r="H18266" t="str">
        <f t="shared" si="335"/>
        <v/>
      </c>
    </row>
    <row r="18267" spans="8:8" x14ac:dyDescent="0.3">
      <c r="H18267" t="str">
        <f t="shared" si="335"/>
        <v/>
      </c>
    </row>
    <row r="18268" spans="8:8" x14ac:dyDescent="0.3">
      <c r="H18268" t="str">
        <f t="shared" si="335"/>
        <v/>
      </c>
    </row>
    <row r="18269" spans="8:8" x14ac:dyDescent="0.3">
      <c r="H18269" t="str">
        <f t="shared" si="335"/>
        <v/>
      </c>
    </row>
    <row r="18270" spans="8:8" x14ac:dyDescent="0.3">
      <c r="H18270" t="str">
        <f t="shared" si="335"/>
        <v/>
      </c>
    </row>
    <row r="18271" spans="8:8" x14ac:dyDescent="0.3">
      <c r="H18271" t="str">
        <f t="shared" si="335"/>
        <v/>
      </c>
    </row>
    <row r="18272" spans="8:8" x14ac:dyDescent="0.3">
      <c r="H18272" t="str">
        <f t="shared" si="335"/>
        <v/>
      </c>
    </row>
    <row r="18273" spans="8:8" x14ac:dyDescent="0.3">
      <c r="H18273" t="str">
        <f t="shared" si="335"/>
        <v/>
      </c>
    </row>
    <row r="18274" spans="8:8" x14ac:dyDescent="0.3">
      <c r="H18274" t="str">
        <f t="shared" si="335"/>
        <v/>
      </c>
    </row>
    <row r="18275" spans="8:8" x14ac:dyDescent="0.3">
      <c r="H18275" t="str">
        <f t="shared" si="335"/>
        <v/>
      </c>
    </row>
    <row r="18276" spans="8:8" x14ac:dyDescent="0.3">
      <c r="H18276" t="str">
        <f t="shared" si="335"/>
        <v/>
      </c>
    </row>
    <row r="18277" spans="8:8" x14ac:dyDescent="0.3">
      <c r="H18277" t="str">
        <f t="shared" si="335"/>
        <v/>
      </c>
    </row>
    <row r="18278" spans="8:8" x14ac:dyDescent="0.3">
      <c r="H18278" t="str">
        <f t="shared" si="335"/>
        <v/>
      </c>
    </row>
    <row r="18279" spans="8:8" x14ac:dyDescent="0.3">
      <c r="H18279" t="str">
        <f t="shared" si="335"/>
        <v/>
      </c>
    </row>
    <row r="18280" spans="8:8" x14ac:dyDescent="0.3">
      <c r="H18280" t="str">
        <f t="shared" si="335"/>
        <v/>
      </c>
    </row>
    <row r="18281" spans="8:8" x14ac:dyDescent="0.3">
      <c r="H18281" t="str">
        <f t="shared" si="335"/>
        <v/>
      </c>
    </row>
    <row r="18282" spans="8:8" x14ac:dyDescent="0.3">
      <c r="H18282" t="str">
        <f t="shared" si="335"/>
        <v/>
      </c>
    </row>
    <row r="18283" spans="8:8" x14ac:dyDescent="0.3">
      <c r="H18283" t="str">
        <f t="shared" si="335"/>
        <v/>
      </c>
    </row>
    <row r="18284" spans="8:8" x14ac:dyDescent="0.3">
      <c r="H18284" t="str">
        <f t="shared" si="335"/>
        <v/>
      </c>
    </row>
    <row r="18285" spans="8:8" x14ac:dyDescent="0.3">
      <c r="H18285" t="str">
        <f t="shared" si="335"/>
        <v/>
      </c>
    </row>
    <row r="18286" spans="8:8" x14ac:dyDescent="0.3">
      <c r="H18286" t="str">
        <f t="shared" si="335"/>
        <v/>
      </c>
    </row>
    <row r="18287" spans="8:8" x14ac:dyDescent="0.3">
      <c r="H18287" t="str">
        <f t="shared" si="335"/>
        <v/>
      </c>
    </row>
    <row r="18288" spans="8:8" x14ac:dyDescent="0.3">
      <c r="H18288" t="str">
        <f t="shared" si="335"/>
        <v/>
      </c>
    </row>
    <row r="18289" spans="8:8" x14ac:dyDescent="0.3">
      <c r="H18289" t="str">
        <f t="shared" si="335"/>
        <v/>
      </c>
    </row>
    <row r="18290" spans="8:8" x14ac:dyDescent="0.3">
      <c r="H18290" t="str">
        <f t="shared" si="335"/>
        <v/>
      </c>
    </row>
    <row r="18291" spans="8:8" x14ac:dyDescent="0.3">
      <c r="H18291" t="str">
        <f t="shared" si="335"/>
        <v/>
      </c>
    </row>
    <row r="18292" spans="8:8" x14ac:dyDescent="0.3">
      <c r="H18292" t="str">
        <f t="shared" si="335"/>
        <v/>
      </c>
    </row>
    <row r="18293" spans="8:8" x14ac:dyDescent="0.3">
      <c r="H18293" t="str">
        <f t="shared" si="335"/>
        <v/>
      </c>
    </row>
    <row r="18294" spans="8:8" x14ac:dyDescent="0.3">
      <c r="H18294" t="str">
        <f t="shared" si="335"/>
        <v/>
      </c>
    </row>
    <row r="18295" spans="8:8" x14ac:dyDescent="0.3">
      <c r="H18295" t="str">
        <f t="shared" si="335"/>
        <v/>
      </c>
    </row>
    <row r="18296" spans="8:8" x14ac:dyDescent="0.3">
      <c r="H18296" t="str">
        <f t="shared" si="335"/>
        <v/>
      </c>
    </row>
    <row r="18297" spans="8:8" x14ac:dyDescent="0.3">
      <c r="H18297" t="str">
        <f t="shared" si="335"/>
        <v/>
      </c>
    </row>
    <row r="18298" spans="8:8" x14ac:dyDescent="0.3">
      <c r="H18298" t="str">
        <f t="shared" si="335"/>
        <v/>
      </c>
    </row>
    <row r="18299" spans="8:8" x14ac:dyDescent="0.3">
      <c r="H18299" t="str">
        <f t="shared" si="335"/>
        <v/>
      </c>
    </row>
    <row r="18300" spans="8:8" x14ac:dyDescent="0.3">
      <c r="H18300" t="str">
        <f t="shared" si="335"/>
        <v/>
      </c>
    </row>
    <row r="18301" spans="8:8" x14ac:dyDescent="0.3">
      <c r="H18301" t="str">
        <f t="shared" si="335"/>
        <v/>
      </c>
    </row>
    <row r="18302" spans="8:8" x14ac:dyDescent="0.3">
      <c r="H18302" t="str">
        <f t="shared" si="335"/>
        <v/>
      </c>
    </row>
    <row r="18303" spans="8:8" x14ac:dyDescent="0.3">
      <c r="H18303" t="str">
        <f t="shared" si="335"/>
        <v/>
      </c>
    </row>
    <row r="18304" spans="8:8" x14ac:dyDescent="0.3">
      <c r="H18304" t="str">
        <f t="shared" si="335"/>
        <v/>
      </c>
    </row>
    <row r="18305" spans="8:8" x14ac:dyDescent="0.3">
      <c r="H18305" t="str">
        <f t="shared" si="335"/>
        <v/>
      </c>
    </row>
    <row r="18306" spans="8:8" x14ac:dyDescent="0.3">
      <c r="H18306" t="str">
        <f t="shared" si="335"/>
        <v/>
      </c>
    </row>
    <row r="18307" spans="8:8" x14ac:dyDescent="0.3">
      <c r="H18307" t="str">
        <f t="shared" si="335"/>
        <v/>
      </c>
    </row>
    <row r="18308" spans="8:8" x14ac:dyDescent="0.3">
      <c r="H18308" t="str">
        <f t="shared" si="335"/>
        <v/>
      </c>
    </row>
    <row r="18309" spans="8:8" x14ac:dyDescent="0.3">
      <c r="H18309" t="str">
        <f t="shared" si="335"/>
        <v/>
      </c>
    </row>
    <row r="18310" spans="8:8" x14ac:dyDescent="0.3">
      <c r="H18310" t="str">
        <f t="shared" si="335"/>
        <v/>
      </c>
    </row>
    <row r="18311" spans="8:8" x14ac:dyDescent="0.3">
      <c r="H18311" t="str">
        <f t="shared" si="335"/>
        <v/>
      </c>
    </row>
    <row r="18312" spans="8:8" x14ac:dyDescent="0.3">
      <c r="H18312" t="str">
        <f t="shared" si="335"/>
        <v/>
      </c>
    </row>
    <row r="18313" spans="8:8" x14ac:dyDescent="0.3">
      <c r="H18313" t="str">
        <f t="shared" si="335"/>
        <v/>
      </c>
    </row>
    <row r="18314" spans="8:8" x14ac:dyDescent="0.3">
      <c r="H18314" t="str">
        <f t="shared" si="335"/>
        <v/>
      </c>
    </row>
    <row r="18315" spans="8:8" x14ac:dyDescent="0.3">
      <c r="H18315" t="str">
        <f t="shared" si="335"/>
        <v/>
      </c>
    </row>
    <row r="18316" spans="8:8" x14ac:dyDescent="0.3">
      <c r="H18316" t="str">
        <f t="shared" si="335"/>
        <v/>
      </c>
    </row>
    <row r="18317" spans="8:8" x14ac:dyDescent="0.3">
      <c r="H18317" t="str">
        <f t="shared" si="335"/>
        <v/>
      </c>
    </row>
    <row r="18318" spans="8:8" x14ac:dyDescent="0.3">
      <c r="H18318" t="str">
        <f t="shared" si="335"/>
        <v/>
      </c>
    </row>
    <row r="18319" spans="8:8" x14ac:dyDescent="0.3">
      <c r="H18319" t="str">
        <f t="shared" si="335"/>
        <v/>
      </c>
    </row>
    <row r="18320" spans="8:8" x14ac:dyDescent="0.3">
      <c r="H18320" t="str">
        <f t="shared" si="335"/>
        <v/>
      </c>
    </row>
    <row r="18321" spans="8:8" x14ac:dyDescent="0.3">
      <c r="H18321" t="str">
        <f t="shared" si="335"/>
        <v/>
      </c>
    </row>
    <row r="18322" spans="8:8" x14ac:dyDescent="0.3">
      <c r="H18322" t="str">
        <f t="shared" si="335"/>
        <v/>
      </c>
    </row>
    <row r="18323" spans="8:8" x14ac:dyDescent="0.3">
      <c r="H18323" t="str">
        <f t="shared" si="335"/>
        <v/>
      </c>
    </row>
    <row r="18324" spans="8:8" x14ac:dyDescent="0.3">
      <c r="H18324" t="str">
        <f t="shared" si="335"/>
        <v/>
      </c>
    </row>
    <row r="18325" spans="8:8" x14ac:dyDescent="0.3">
      <c r="H18325" t="str">
        <f t="shared" si="335"/>
        <v/>
      </c>
    </row>
    <row r="18326" spans="8:8" x14ac:dyDescent="0.3">
      <c r="H18326" t="str">
        <f t="shared" si="335"/>
        <v/>
      </c>
    </row>
    <row r="18327" spans="8:8" x14ac:dyDescent="0.3">
      <c r="H18327" t="str">
        <f t="shared" ref="H18327:H18390" si="336">IF(B18327="","",$C$12)</f>
        <v/>
      </c>
    </row>
    <row r="18328" spans="8:8" x14ac:dyDescent="0.3">
      <c r="H18328" t="str">
        <f t="shared" si="336"/>
        <v/>
      </c>
    </row>
    <row r="18329" spans="8:8" x14ac:dyDescent="0.3">
      <c r="H18329" t="str">
        <f t="shared" si="336"/>
        <v/>
      </c>
    </row>
    <row r="18330" spans="8:8" x14ac:dyDescent="0.3">
      <c r="H18330" t="str">
        <f t="shared" si="336"/>
        <v/>
      </c>
    </row>
    <row r="18331" spans="8:8" x14ac:dyDescent="0.3">
      <c r="H18331" t="str">
        <f t="shared" si="336"/>
        <v/>
      </c>
    </row>
    <row r="18332" spans="8:8" x14ac:dyDescent="0.3">
      <c r="H18332" t="str">
        <f t="shared" si="336"/>
        <v/>
      </c>
    </row>
    <row r="18333" spans="8:8" x14ac:dyDescent="0.3">
      <c r="H18333" t="str">
        <f t="shared" si="336"/>
        <v/>
      </c>
    </row>
    <row r="18334" spans="8:8" x14ac:dyDescent="0.3">
      <c r="H18334" t="str">
        <f t="shared" si="336"/>
        <v/>
      </c>
    </row>
    <row r="18335" spans="8:8" x14ac:dyDescent="0.3">
      <c r="H18335" t="str">
        <f t="shared" si="336"/>
        <v/>
      </c>
    </row>
    <row r="18336" spans="8:8" x14ac:dyDescent="0.3">
      <c r="H18336" t="str">
        <f t="shared" si="336"/>
        <v/>
      </c>
    </row>
    <row r="18337" spans="8:8" x14ac:dyDescent="0.3">
      <c r="H18337" t="str">
        <f t="shared" si="336"/>
        <v/>
      </c>
    </row>
    <row r="18338" spans="8:8" x14ac:dyDescent="0.3">
      <c r="H18338" t="str">
        <f t="shared" si="336"/>
        <v/>
      </c>
    </row>
    <row r="18339" spans="8:8" x14ac:dyDescent="0.3">
      <c r="H18339" t="str">
        <f t="shared" si="336"/>
        <v/>
      </c>
    </row>
    <row r="18340" spans="8:8" x14ac:dyDescent="0.3">
      <c r="H18340" t="str">
        <f t="shared" si="336"/>
        <v/>
      </c>
    </row>
    <row r="18341" spans="8:8" x14ac:dyDescent="0.3">
      <c r="H18341" t="str">
        <f t="shared" si="336"/>
        <v/>
      </c>
    </row>
    <row r="18342" spans="8:8" x14ac:dyDescent="0.3">
      <c r="H18342" t="str">
        <f t="shared" si="336"/>
        <v/>
      </c>
    </row>
    <row r="18343" spans="8:8" x14ac:dyDescent="0.3">
      <c r="H18343" t="str">
        <f t="shared" si="336"/>
        <v/>
      </c>
    </row>
    <row r="18344" spans="8:8" x14ac:dyDescent="0.3">
      <c r="H18344" t="str">
        <f t="shared" si="336"/>
        <v/>
      </c>
    </row>
    <row r="18345" spans="8:8" x14ac:dyDescent="0.3">
      <c r="H18345" t="str">
        <f t="shared" si="336"/>
        <v/>
      </c>
    </row>
    <row r="18346" spans="8:8" x14ac:dyDescent="0.3">
      <c r="H18346" t="str">
        <f t="shared" si="336"/>
        <v/>
      </c>
    </row>
    <row r="18347" spans="8:8" x14ac:dyDescent="0.3">
      <c r="H18347" t="str">
        <f t="shared" si="336"/>
        <v/>
      </c>
    </row>
    <row r="18348" spans="8:8" x14ac:dyDescent="0.3">
      <c r="H18348" t="str">
        <f t="shared" si="336"/>
        <v/>
      </c>
    </row>
    <row r="18349" spans="8:8" x14ac:dyDescent="0.3">
      <c r="H18349" t="str">
        <f t="shared" si="336"/>
        <v/>
      </c>
    </row>
    <row r="18350" spans="8:8" x14ac:dyDescent="0.3">
      <c r="H18350" t="str">
        <f t="shared" si="336"/>
        <v/>
      </c>
    </row>
    <row r="18351" spans="8:8" x14ac:dyDescent="0.3">
      <c r="H18351" t="str">
        <f t="shared" si="336"/>
        <v/>
      </c>
    </row>
    <row r="18352" spans="8:8" x14ac:dyDescent="0.3">
      <c r="H18352" t="str">
        <f t="shared" si="336"/>
        <v/>
      </c>
    </row>
    <row r="18353" spans="8:8" x14ac:dyDescent="0.3">
      <c r="H18353" t="str">
        <f t="shared" si="336"/>
        <v/>
      </c>
    </row>
    <row r="18354" spans="8:8" x14ac:dyDescent="0.3">
      <c r="H18354" t="str">
        <f t="shared" si="336"/>
        <v/>
      </c>
    </row>
    <row r="18355" spans="8:8" x14ac:dyDescent="0.3">
      <c r="H18355" t="str">
        <f t="shared" si="336"/>
        <v/>
      </c>
    </row>
    <row r="18356" spans="8:8" x14ac:dyDescent="0.3">
      <c r="H18356" t="str">
        <f t="shared" si="336"/>
        <v/>
      </c>
    </row>
    <row r="18357" spans="8:8" x14ac:dyDescent="0.3">
      <c r="H18357" t="str">
        <f t="shared" si="336"/>
        <v/>
      </c>
    </row>
    <row r="18358" spans="8:8" x14ac:dyDescent="0.3">
      <c r="H18358" t="str">
        <f t="shared" si="336"/>
        <v/>
      </c>
    </row>
    <row r="18359" spans="8:8" x14ac:dyDescent="0.3">
      <c r="H18359" t="str">
        <f t="shared" si="336"/>
        <v/>
      </c>
    </row>
    <row r="18360" spans="8:8" x14ac:dyDescent="0.3">
      <c r="H18360" t="str">
        <f t="shared" si="336"/>
        <v/>
      </c>
    </row>
    <row r="18361" spans="8:8" x14ac:dyDescent="0.3">
      <c r="H18361" t="str">
        <f t="shared" si="336"/>
        <v/>
      </c>
    </row>
    <row r="18362" spans="8:8" x14ac:dyDescent="0.3">
      <c r="H18362" t="str">
        <f t="shared" si="336"/>
        <v/>
      </c>
    </row>
    <row r="18363" spans="8:8" x14ac:dyDescent="0.3">
      <c r="H18363" t="str">
        <f t="shared" si="336"/>
        <v/>
      </c>
    </row>
    <row r="18364" spans="8:8" x14ac:dyDescent="0.3">
      <c r="H18364" t="str">
        <f t="shared" si="336"/>
        <v/>
      </c>
    </row>
    <row r="18365" spans="8:8" x14ac:dyDescent="0.3">
      <c r="H18365" t="str">
        <f t="shared" si="336"/>
        <v/>
      </c>
    </row>
    <row r="18366" spans="8:8" x14ac:dyDescent="0.3">
      <c r="H18366" t="str">
        <f t="shared" si="336"/>
        <v/>
      </c>
    </row>
    <row r="18367" spans="8:8" x14ac:dyDescent="0.3">
      <c r="H18367" t="str">
        <f t="shared" si="336"/>
        <v/>
      </c>
    </row>
    <row r="18368" spans="8:8" x14ac:dyDescent="0.3">
      <c r="H18368" t="str">
        <f t="shared" si="336"/>
        <v/>
      </c>
    </row>
    <row r="18369" spans="8:8" x14ac:dyDescent="0.3">
      <c r="H18369" t="str">
        <f t="shared" si="336"/>
        <v/>
      </c>
    </row>
    <row r="18370" spans="8:8" x14ac:dyDescent="0.3">
      <c r="H18370" t="str">
        <f t="shared" si="336"/>
        <v/>
      </c>
    </row>
    <row r="18371" spans="8:8" x14ac:dyDescent="0.3">
      <c r="H18371" t="str">
        <f t="shared" si="336"/>
        <v/>
      </c>
    </row>
    <row r="18372" spans="8:8" x14ac:dyDescent="0.3">
      <c r="H18372" t="str">
        <f t="shared" si="336"/>
        <v/>
      </c>
    </row>
    <row r="18373" spans="8:8" x14ac:dyDescent="0.3">
      <c r="H18373" t="str">
        <f t="shared" si="336"/>
        <v/>
      </c>
    </row>
    <row r="18374" spans="8:8" x14ac:dyDescent="0.3">
      <c r="H18374" t="str">
        <f t="shared" si="336"/>
        <v/>
      </c>
    </row>
    <row r="18375" spans="8:8" x14ac:dyDescent="0.3">
      <c r="H18375" t="str">
        <f t="shared" si="336"/>
        <v/>
      </c>
    </row>
    <row r="18376" spans="8:8" x14ac:dyDescent="0.3">
      <c r="H18376" t="str">
        <f t="shared" si="336"/>
        <v/>
      </c>
    </row>
    <row r="18377" spans="8:8" x14ac:dyDescent="0.3">
      <c r="H18377" t="str">
        <f t="shared" si="336"/>
        <v/>
      </c>
    </row>
    <row r="18378" spans="8:8" x14ac:dyDescent="0.3">
      <c r="H18378" t="str">
        <f t="shared" si="336"/>
        <v/>
      </c>
    </row>
    <row r="18379" spans="8:8" x14ac:dyDescent="0.3">
      <c r="H18379" t="str">
        <f t="shared" si="336"/>
        <v/>
      </c>
    </row>
    <row r="18380" spans="8:8" x14ac:dyDescent="0.3">
      <c r="H18380" t="str">
        <f t="shared" si="336"/>
        <v/>
      </c>
    </row>
    <row r="18381" spans="8:8" x14ac:dyDescent="0.3">
      <c r="H18381" t="str">
        <f t="shared" si="336"/>
        <v/>
      </c>
    </row>
    <row r="18382" spans="8:8" x14ac:dyDescent="0.3">
      <c r="H18382" t="str">
        <f t="shared" si="336"/>
        <v/>
      </c>
    </row>
    <row r="18383" spans="8:8" x14ac:dyDescent="0.3">
      <c r="H18383" t="str">
        <f t="shared" si="336"/>
        <v/>
      </c>
    </row>
    <row r="18384" spans="8:8" x14ac:dyDescent="0.3">
      <c r="H18384" t="str">
        <f t="shared" si="336"/>
        <v/>
      </c>
    </row>
    <row r="18385" spans="8:8" x14ac:dyDescent="0.3">
      <c r="H18385" t="str">
        <f t="shared" si="336"/>
        <v/>
      </c>
    </row>
    <row r="18386" spans="8:8" x14ac:dyDescent="0.3">
      <c r="H18386" t="str">
        <f t="shared" si="336"/>
        <v/>
      </c>
    </row>
    <row r="18387" spans="8:8" x14ac:dyDescent="0.3">
      <c r="H18387" t="str">
        <f t="shared" si="336"/>
        <v/>
      </c>
    </row>
    <row r="18388" spans="8:8" x14ac:dyDescent="0.3">
      <c r="H18388" t="str">
        <f t="shared" si="336"/>
        <v/>
      </c>
    </row>
    <row r="18389" spans="8:8" x14ac:dyDescent="0.3">
      <c r="H18389" t="str">
        <f t="shared" si="336"/>
        <v/>
      </c>
    </row>
    <row r="18390" spans="8:8" x14ac:dyDescent="0.3">
      <c r="H18390" t="str">
        <f t="shared" si="336"/>
        <v/>
      </c>
    </row>
    <row r="18391" spans="8:8" x14ac:dyDescent="0.3">
      <c r="H18391" t="str">
        <f t="shared" ref="H18391:H18454" si="337">IF(B18391="","",$C$12)</f>
        <v/>
      </c>
    </row>
    <row r="18392" spans="8:8" x14ac:dyDescent="0.3">
      <c r="H18392" t="str">
        <f t="shared" si="337"/>
        <v/>
      </c>
    </row>
    <row r="18393" spans="8:8" x14ac:dyDescent="0.3">
      <c r="H18393" t="str">
        <f t="shared" si="337"/>
        <v/>
      </c>
    </row>
    <row r="18394" spans="8:8" x14ac:dyDescent="0.3">
      <c r="H18394" t="str">
        <f t="shared" si="337"/>
        <v/>
      </c>
    </row>
    <row r="18395" spans="8:8" x14ac:dyDescent="0.3">
      <c r="H18395" t="str">
        <f t="shared" si="337"/>
        <v/>
      </c>
    </row>
    <row r="18396" spans="8:8" x14ac:dyDescent="0.3">
      <c r="H18396" t="str">
        <f t="shared" si="337"/>
        <v/>
      </c>
    </row>
    <row r="18397" spans="8:8" x14ac:dyDescent="0.3">
      <c r="H18397" t="str">
        <f t="shared" si="337"/>
        <v/>
      </c>
    </row>
    <row r="18398" spans="8:8" x14ac:dyDescent="0.3">
      <c r="H18398" t="str">
        <f t="shared" si="337"/>
        <v/>
      </c>
    </row>
    <row r="18399" spans="8:8" x14ac:dyDescent="0.3">
      <c r="H18399" t="str">
        <f t="shared" si="337"/>
        <v/>
      </c>
    </row>
    <row r="18400" spans="8:8" x14ac:dyDescent="0.3">
      <c r="H18400" t="str">
        <f t="shared" si="337"/>
        <v/>
      </c>
    </row>
    <row r="18401" spans="8:8" x14ac:dyDescent="0.3">
      <c r="H18401" t="str">
        <f t="shared" si="337"/>
        <v/>
      </c>
    </row>
    <row r="18402" spans="8:8" x14ac:dyDescent="0.3">
      <c r="H18402" t="str">
        <f t="shared" si="337"/>
        <v/>
      </c>
    </row>
    <row r="18403" spans="8:8" x14ac:dyDescent="0.3">
      <c r="H18403" t="str">
        <f t="shared" si="337"/>
        <v/>
      </c>
    </row>
    <row r="18404" spans="8:8" x14ac:dyDescent="0.3">
      <c r="H18404" t="str">
        <f t="shared" si="337"/>
        <v/>
      </c>
    </row>
    <row r="18405" spans="8:8" x14ac:dyDescent="0.3">
      <c r="H18405" t="str">
        <f t="shared" si="337"/>
        <v/>
      </c>
    </row>
    <row r="18406" spans="8:8" x14ac:dyDescent="0.3">
      <c r="H18406" t="str">
        <f t="shared" si="337"/>
        <v/>
      </c>
    </row>
    <row r="18407" spans="8:8" x14ac:dyDescent="0.3">
      <c r="H18407" t="str">
        <f t="shared" si="337"/>
        <v/>
      </c>
    </row>
    <row r="18408" spans="8:8" x14ac:dyDescent="0.3">
      <c r="H18408" t="str">
        <f t="shared" si="337"/>
        <v/>
      </c>
    </row>
    <row r="18409" spans="8:8" x14ac:dyDescent="0.3">
      <c r="H18409" t="str">
        <f t="shared" si="337"/>
        <v/>
      </c>
    </row>
    <row r="18410" spans="8:8" x14ac:dyDescent="0.3">
      <c r="H18410" t="str">
        <f t="shared" si="337"/>
        <v/>
      </c>
    </row>
    <row r="18411" spans="8:8" x14ac:dyDescent="0.3">
      <c r="H18411" t="str">
        <f t="shared" si="337"/>
        <v/>
      </c>
    </row>
    <row r="18412" spans="8:8" x14ac:dyDescent="0.3">
      <c r="H18412" t="str">
        <f t="shared" si="337"/>
        <v/>
      </c>
    </row>
    <row r="18413" spans="8:8" x14ac:dyDescent="0.3">
      <c r="H18413" t="str">
        <f t="shared" si="337"/>
        <v/>
      </c>
    </row>
    <row r="18414" spans="8:8" x14ac:dyDescent="0.3">
      <c r="H18414" t="str">
        <f t="shared" si="337"/>
        <v/>
      </c>
    </row>
    <row r="18415" spans="8:8" x14ac:dyDescent="0.3">
      <c r="H18415" t="str">
        <f t="shared" si="337"/>
        <v/>
      </c>
    </row>
    <row r="18416" spans="8:8" x14ac:dyDescent="0.3">
      <c r="H18416" t="str">
        <f t="shared" si="337"/>
        <v/>
      </c>
    </row>
    <row r="18417" spans="8:8" x14ac:dyDescent="0.3">
      <c r="H18417" t="str">
        <f t="shared" si="337"/>
        <v/>
      </c>
    </row>
    <row r="18418" spans="8:8" x14ac:dyDescent="0.3">
      <c r="H18418" t="str">
        <f t="shared" si="337"/>
        <v/>
      </c>
    </row>
    <row r="18419" spans="8:8" x14ac:dyDescent="0.3">
      <c r="H18419" t="str">
        <f t="shared" si="337"/>
        <v/>
      </c>
    </row>
    <row r="18420" spans="8:8" x14ac:dyDescent="0.3">
      <c r="H18420" t="str">
        <f t="shared" si="337"/>
        <v/>
      </c>
    </row>
    <row r="18421" spans="8:8" x14ac:dyDescent="0.3">
      <c r="H18421" t="str">
        <f t="shared" si="337"/>
        <v/>
      </c>
    </row>
    <row r="18422" spans="8:8" x14ac:dyDescent="0.3">
      <c r="H18422" t="str">
        <f t="shared" si="337"/>
        <v/>
      </c>
    </row>
    <row r="18423" spans="8:8" x14ac:dyDescent="0.3">
      <c r="H18423" t="str">
        <f t="shared" si="337"/>
        <v/>
      </c>
    </row>
    <row r="18424" spans="8:8" x14ac:dyDescent="0.3">
      <c r="H18424" t="str">
        <f t="shared" si="337"/>
        <v/>
      </c>
    </row>
    <row r="18425" spans="8:8" x14ac:dyDescent="0.3">
      <c r="H18425" t="str">
        <f t="shared" si="337"/>
        <v/>
      </c>
    </row>
    <row r="18426" spans="8:8" x14ac:dyDescent="0.3">
      <c r="H18426" t="str">
        <f t="shared" si="337"/>
        <v/>
      </c>
    </row>
    <row r="18427" spans="8:8" x14ac:dyDescent="0.3">
      <c r="H18427" t="str">
        <f t="shared" si="337"/>
        <v/>
      </c>
    </row>
    <row r="18428" spans="8:8" x14ac:dyDescent="0.3">
      <c r="H18428" t="str">
        <f t="shared" si="337"/>
        <v/>
      </c>
    </row>
    <row r="18429" spans="8:8" x14ac:dyDescent="0.3">
      <c r="H18429" t="str">
        <f t="shared" si="337"/>
        <v/>
      </c>
    </row>
    <row r="18430" spans="8:8" x14ac:dyDescent="0.3">
      <c r="H18430" t="str">
        <f t="shared" si="337"/>
        <v/>
      </c>
    </row>
    <row r="18431" spans="8:8" x14ac:dyDescent="0.3">
      <c r="H18431" t="str">
        <f t="shared" si="337"/>
        <v/>
      </c>
    </row>
    <row r="18432" spans="8:8" x14ac:dyDescent="0.3">
      <c r="H18432" t="str">
        <f t="shared" si="337"/>
        <v/>
      </c>
    </row>
    <row r="18433" spans="8:8" x14ac:dyDescent="0.3">
      <c r="H18433" t="str">
        <f t="shared" si="337"/>
        <v/>
      </c>
    </row>
    <row r="18434" spans="8:8" x14ac:dyDescent="0.3">
      <c r="H18434" t="str">
        <f t="shared" si="337"/>
        <v/>
      </c>
    </row>
    <row r="18435" spans="8:8" x14ac:dyDescent="0.3">
      <c r="H18435" t="str">
        <f t="shared" si="337"/>
        <v/>
      </c>
    </row>
    <row r="18436" spans="8:8" x14ac:dyDescent="0.3">
      <c r="H18436" t="str">
        <f t="shared" si="337"/>
        <v/>
      </c>
    </row>
    <row r="18437" spans="8:8" x14ac:dyDescent="0.3">
      <c r="H18437" t="str">
        <f t="shared" si="337"/>
        <v/>
      </c>
    </row>
    <row r="18438" spans="8:8" x14ac:dyDescent="0.3">
      <c r="H18438" t="str">
        <f t="shared" si="337"/>
        <v/>
      </c>
    </row>
    <row r="18439" spans="8:8" x14ac:dyDescent="0.3">
      <c r="H18439" t="str">
        <f t="shared" si="337"/>
        <v/>
      </c>
    </row>
    <row r="18440" spans="8:8" x14ac:dyDescent="0.3">
      <c r="H18440" t="str">
        <f t="shared" si="337"/>
        <v/>
      </c>
    </row>
    <row r="18441" spans="8:8" x14ac:dyDescent="0.3">
      <c r="H18441" t="str">
        <f t="shared" si="337"/>
        <v/>
      </c>
    </row>
    <row r="18442" spans="8:8" x14ac:dyDescent="0.3">
      <c r="H18442" t="str">
        <f t="shared" si="337"/>
        <v/>
      </c>
    </row>
    <row r="18443" spans="8:8" x14ac:dyDescent="0.3">
      <c r="H18443" t="str">
        <f t="shared" si="337"/>
        <v/>
      </c>
    </row>
    <row r="18444" spans="8:8" x14ac:dyDescent="0.3">
      <c r="H18444" t="str">
        <f t="shared" si="337"/>
        <v/>
      </c>
    </row>
    <row r="18445" spans="8:8" x14ac:dyDescent="0.3">
      <c r="H18445" t="str">
        <f t="shared" si="337"/>
        <v/>
      </c>
    </row>
    <row r="18446" spans="8:8" x14ac:dyDescent="0.3">
      <c r="H18446" t="str">
        <f t="shared" si="337"/>
        <v/>
      </c>
    </row>
    <row r="18447" spans="8:8" x14ac:dyDescent="0.3">
      <c r="H18447" t="str">
        <f t="shared" si="337"/>
        <v/>
      </c>
    </row>
    <row r="18448" spans="8:8" x14ac:dyDescent="0.3">
      <c r="H18448" t="str">
        <f t="shared" si="337"/>
        <v/>
      </c>
    </row>
    <row r="18449" spans="8:8" x14ac:dyDescent="0.3">
      <c r="H18449" t="str">
        <f t="shared" si="337"/>
        <v/>
      </c>
    </row>
    <row r="18450" spans="8:8" x14ac:dyDescent="0.3">
      <c r="H18450" t="str">
        <f t="shared" si="337"/>
        <v/>
      </c>
    </row>
    <row r="18451" spans="8:8" x14ac:dyDescent="0.3">
      <c r="H18451" t="str">
        <f t="shared" si="337"/>
        <v/>
      </c>
    </row>
    <row r="18452" spans="8:8" x14ac:dyDescent="0.3">
      <c r="H18452" t="str">
        <f t="shared" si="337"/>
        <v/>
      </c>
    </row>
    <row r="18453" spans="8:8" x14ac:dyDescent="0.3">
      <c r="H18453" t="str">
        <f t="shared" si="337"/>
        <v/>
      </c>
    </row>
    <row r="18454" spans="8:8" x14ac:dyDescent="0.3">
      <c r="H18454" t="str">
        <f t="shared" si="337"/>
        <v/>
      </c>
    </row>
    <row r="18455" spans="8:8" x14ac:dyDescent="0.3">
      <c r="H18455" t="str">
        <f t="shared" ref="H18455:H18518" si="338">IF(B18455="","",$C$12)</f>
        <v/>
      </c>
    </row>
    <row r="18456" spans="8:8" x14ac:dyDescent="0.3">
      <c r="H18456" t="str">
        <f t="shared" si="338"/>
        <v/>
      </c>
    </row>
    <row r="18457" spans="8:8" x14ac:dyDescent="0.3">
      <c r="H18457" t="str">
        <f t="shared" si="338"/>
        <v/>
      </c>
    </row>
    <row r="18458" spans="8:8" x14ac:dyDescent="0.3">
      <c r="H18458" t="str">
        <f t="shared" si="338"/>
        <v/>
      </c>
    </row>
    <row r="18459" spans="8:8" x14ac:dyDescent="0.3">
      <c r="H18459" t="str">
        <f t="shared" si="338"/>
        <v/>
      </c>
    </row>
    <row r="18460" spans="8:8" x14ac:dyDescent="0.3">
      <c r="H18460" t="str">
        <f t="shared" si="338"/>
        <v/>
      </c>
    </row>
    <row r="18461" spans="8:8" x14ac:dyDescent="0.3">
      <c r="H18461" t="str">
        <f t="shared" si="338"/>
        <v/>
      </c>
    </row>
    <row r="18462" spans="8:8" x14ac:dyDescent="0.3">
      <c r="H18462" t="str">
        <f t="shared" si="338"/>
        <v/>
      </c>
    </row>
    <row r="18463" spans="8:8" x14ac:dyDescent="0.3">
      <c r="H18463" t="str">
        <f t="shared" si="338"/>
        <v/>
      </c>
    </row>
    <row r="18464" spans="8:8" x14ac:dyDescent="0.3">
      <c r="H18464" t="str">
        <f t="shared" si="338"/>
        <v/>
      </c>
    </row>
    <row r="18465" spans="8:8" x14ac:dyDescent="0.3">
      <c r="H18465" t="str">
        <f t="shared" si="338"/>
        <v/>
      </c>
    </row>
    <row r="18466" spans="8:8" x14ac:dyDescent="0.3">
      <c r="H18466" t="str">
        <f t="shared" si="338"/>
        <v/>
      </c>
    </row>
    <row r="18467" spans="8:8" x14ac:dyDescent="0.3">
      <c r="H18467" t="str">
        <f t="shared" si="338"/>
        <v/>
      </c>
    </row>
    <row r="18468" spans="8:8" x14ac:dyDescent="0.3">
      <c r="H18468" t="str">
        <f t="shared" si="338"/>
        <v/>
      </c>
    </row>
    <row r="18469" spans="8:8" x14ac:dyDescent="0.3">
      <c r="H18469" t="str">
        <f t="shared" si="338"/>
        <v/>
      </c>
    </row>
    <row r="18470" spans="8:8" x14ac:dyDescent="0.3">
      <c r="H18470" t="str">
        <f t="shared" si="338"/>
        <v/>
      </c>
    </row>
    <row r="18471" spans="8:8" x14ac:dyDescent="0.3">
      <c r="H18471" t="str">
        <f t="shared" si="338"/>
        <v/>
      </c>
    </row>
    <row r="18472" spans="8:8" x14ac:dyDescent="0.3">
      <c r="H18472" t="str">
        <f t="shared" si="338"/>
        <v/>
      </c>
    </row>
    <row r="18473" spans="8:8" x14ac:dyDescent="0.3">
      <c r="H18473" t="str">
        <f t="shared" si="338"/>
        <v/>
      </c>
    </row>
    <row r="18474" spans="8:8" x14ac:dyDescent="0.3">
      <c r="H18474" t="str">
        <f t="shared" si="338"/>
        <v/>
      </c>
    </row>
    <row r="18475" spans="8:8" x14ac:dyDescent="0.3">
      <c r="H18475" t="str">
        <f t="shared" si="338"/>
        <v/>
      </c>
    </row>
    <row r="18476" spans="8:8" x14ac:dyDescent="0.3">
      <c r="H18476" t="str">
        <f t="shared" si="338"/>
        <v/>
      </c>
    </row>
    <row r="18477" spans="8:8" x14ac:dyDescent="0.3">
      <c r="H18477" t="str">
        <f t="shared" si="338"/>
        <v/>
      </c>
    </row>
    <row r="18478" spans="8:8" x14ac:dyDescent="0.3">
      <c r="H18478" t="str">
        <f t="shared" si="338"/>
        <v/>
      </c>
    </row>
    <row r="18479" spans="8:8" x14ac:dyDescent="0.3">
      <c r="H18479" t="str">
        <f t="shared" si="338"/>
        <v/>
      </c>
    </row>
    <row r="18480" spans="8:8" x14ac:dyDescent="0.3">
      <c r="H18480" t="str">
        <f t="shared" si="338"/>
        <v/>
      </c>
    </row>
    <row r="18481" spans="8:8" x14ac:dyDescent="0.3">
      <c r="H18481" t="str">
        <f t="shared" si="338"/>
        <v/>
      </c>
    </row>
    <row r="18482" spans="8:8" x14ac:dyDescent="0.3">
      <c r="H18482" t="str">
        <f t="shared" si="338"/>
        <v/>
      </c>
    </row>
    <row r="18483" spans="8:8" x14ac:dyDescent="0.3">
      <c r="H18483" t="str">
        <f t="shared" si="338"/>
        <v/>
      </c>
    </row>
    <row r="18484" spans="8:8" x14ac:dyDescent="0.3">
      <c r="H18484" t="str">
        <f t="shared" si="338"/>
        <v/>
      </c>
    </row>
    <row r="18485" spans="8:8" x14ac:dyDescent="0.3">
      <c r="H18485" t="str">
        <f t="shared" si="338"/>
        <v/>
      </c>
    </row>
    <row r="18486" spans="8:8" x14ac:dyDescent="0.3">
      <c r="H18486" t="str">
        <f t="shared" si="338"/>
        <v/>
      </c>
    </row>
    <row r="18487" spans="8:8" x14ac:dyDescent="0.3">
      <c r="H18487" t="str">
        <f t="shared" si="338"/>
        <v/>
      </c>
    </row>
    <row r="18488" spans="8:8" x14ac:dyDescent="0.3">
      <c r="H18488" t="str">
        <f t="shared" si="338"/>
        <v/>
      </c>
    </row>
    <row r="18489" spans="8:8" x14ac:dyDescent="0.3">
      <c r="H18489" t="str">
        <f t="shared" si="338"/>
        <v/>
      </c>
    </row>
    <row r="18490" spans="8:8" x14ac:dyDescent="0.3">
      <c r="H18490" t="str">
        <f t="shared" si="338"/>
        <v/>
      </c>
    </row>
    <row r="18491" spans="8:8" x14ac:dyDescent="0.3">
      <c r="H18491" t="str">
        <f t="shared" si="338"/>
        <v/>
      </c>
    </row>
    <row r="18492" spans="8:8" x14ac:dyDescent="0.3">
      <c r="H18492" t="str">
        <f t="shared" si="338"/>
        <v/>
      </c>
    </row>
    <row r="18493" spans="8:8" x14ac:dyDescent="0.3">
      <c r="H18493" t="str">
        <f t="shared" si="338"/>
        <v/>
      </c>
    </row>
    <row r="18494" spans="8:8" x14ac:dyDescent="0.3">
      <c r="H18494" t="str">
        <f t="shared" si="338"/>
        <v/>
      </c>
    </row>
    <row r="18495" spans="8:8" x14ac:dyDescent="0.3">
      <c r="H18495" t="str">
        <f t="shared" si="338"/>
        <v/>
      </c>
    </row>
    <row r="18496" spans="8:8" x14ac:dyDescent="0.3">
      <c r="H18496" t="str">
        <f t="shared" si="338"/>
        <v/>
      </c>
    </row>
    <row r="18497" spans="8:8" x14ac:dyDescent="0.3">
      <c r="H18497" t="str">
        <f t="shared" si="338"/>
        <v/>
      </c>
    </row>
    <row r="18498" spans="8:8" x14ac:dyDescent="0.3">
      <c r="H18498" t="str">
        <f t="shared" si="338"/>
        <v/>
      </c>
    </row>
    <row r="18499" spans="8:8" x14ac:dyDescent="0.3">
      <c r="H18499" t="str">
        <f t="shared" si="338"/>
        <v/>
      </c>
    </row>
    <row r="18500" spans="8:8" x14ac:dyDescent="0.3">
      <c r="H18500" t="str">
        <f t="shared" si="338"/>
        <v/>
      </c>
    </row>
    <row r="18501" spans="8:8" x14ac:dyDescent="0.3">
      <c r="H18501" t="str">
        <f t="shared" si="338"/>
        <v/>
      </c>
    </row>
    <row r="18502" spans="8:8" x14ac:dyDescent="0.3">
      <c r="H18502" t="str">
        <f t="shared" si="338"/>
        <v/>
      </c>
    </row>
    <row r="18503" spans="8:8" x14ac:dyDescent="0.3">
      <c r="H18503" t="str">
        <f t="shared" si="338"/>
        <v/>
      </c>
    </row>
    <row r="18504" spans="8:8" x14ac:dyDescent="0.3">
      <c r="H18504" t="str">
        <f t="shared" si="338"/>
        <v/>
      </c>
    </row>
    <row r="18505" spans="8:8" x14ac:dyDescent="0.3">
      <c r="H18505" t="str">
        <f t="shared" si="338"/>
        <v/>
      </c>
    </row>
    <row r="18506" spans="8:8" x14ac:dyDescent="0.3">
      <c r="H18506" t="str">
        <f t="shared" si="338"/>
        <v/>
      </c>
    </row>
    <row r="18507" spans="8:8" x14ac:dyDescent="0.3">
      <c r="H18507" t="str">
        <f t="shared" si="338"/>
        <v/>
      </c>
    </row>
    <row r="18508" spans="8:8" x14ac:dyDescent="0.3">
      <c r="H18508" t="str">
        <f t="shared" si="338"/>
        <v/>
      </c>
    </row>
    <row r="18509" spans="8:8" x14ac:dyDescent="0.3">
      <c r="H18509" t="str">
        <f t="shared" si="338"/>
        <v/>
      </c>
    </row>
    <row r="18510" spans="8:8" x14ac:dyDescent="0.3">
      <c r="H18510" t="str">
        <f t="shared" si="338"/>
        <v/>
      </c>
    </row>
    <row r="18511" spans="8:8" x14ac:dyDescent="0.3">
      <c r="H18511" t="str">
        <f t="shared" si="338"/>
        <v/>
      </c>
    </row>
    <row r="18512" spans="8:8" x14ac:dyDescent="0.3">
      <c r="H18512" t="str">
        <f t="shared" si="338"/>
        <v/>
      </c>
    </row>
    <row r="18513" spans="8:8" x14ac:dyDescent="0.3">
      <c r="H18513" t="str">
        <f t="shared" si="338"/>
        <v/>
      </c>
    </row>
    <row r="18514" spans="8:8" x14ac:dyDescent="0.3">
      <c r="H18514" t="str">
        <f t="shared" si="338"/>
        <v/>
      </c>
    </row>
    <row r="18515" spans="8:8" x14ac:dyDescent="0.3">
      <c r="H18515" t="str">
        <f t="shared" si="338"/>
        <v/>
      </c>
    </row>
    <row r="18516" spans="8:8" x14ac:dyDescent="0.3">
      <c r="H18516" t="str">
        <f t="shared" si="338"/>
        <v/>
      </c>
    </row>
    <row r="18517" spans="8:8" x14ac:dyDescent="0.3">
      <c r="H18517" t="str">
        <f t="shared" si="338"/>
        <v/>
      </c>
    </row>
    <row r="18518" spans="8:8" x14ac:dyDescent="0.3">
      <c r="H18518" t="str">
        <f t="shared" si="338"/>
        <v/>
      </c>
    </row>
    <row r="18519" spans="8:8" x14ac:dyDescent="0.3">
      <c r="H18519" t="str">
        <f t="shared" ref="H18519:H18582" si="339">IF(B18519="","",$C$12)</f>
        <v/>
      </c>
    </row>
    <row r="18520" spans="8:8" x14ac:dyDescent="0.3">
      <c r="H18520" t="str">
        <f t="shared" si="339"/>
        <v/>
      </c>
    </row>
    <row r="18521" spans="8:8" x14ac:dyDescent="0.3">
      <c r="H18521" t="str">
        <f t="shared" si="339"/>
        <v/>
      </c>
    </row>
    <row r="18522" spans="8:8" x14ac:dyDescent="0.3">
      <c r="H18522" t="str">
        <f t="shared" si="339"/>
        <v/>
      </c>
    </row>
    <row r="18523" spans="8:8" x14ac:dyDescent="0.3">
      <c r="H18523" t="str">
        <f t="shared" si="339"/>
        <v/>
      </c>
    </row>
    <row r="18524" spans="8:8" x14ac:dyDescent="0.3">
      <c r="H18524" t="str">
        <f t="shared" si="339"/>
        <v/>
      </c>
    </row>
    <row r="18525" spans="8:8" x14ac:dyDescent="0.3">
      <c r="H18525" t="str">
        <f t="shared" si="339"/>
        <v/>
      </c>
    </row>
    <row r="18526" spans="8:8" x14ac:dyDescent="0.3">
      <c r="H18526" t="str">
        <f t="shared" si="339"/>
        <v/>
      </c>
    </row>
    <row r="18527" spans="8:8" x14ac:dyDescent="0.3">
      <c r="H18527" t="str">
        <f t="shared" si="339"/>
        <v/>
      </c>
    </row>
    <row r="18528" spans="8:8" x14ac:dyDescent="0.3">
      <c r="H18528" t="str">
        <f t="shared" si="339"/>
        <v/>
      </c>
    </row>
    <row r="18529" spans="8:8" x14ac:dyDescent="0.3">
      <c r="H18529" t="str">
        <f t="shared" si="339"/>
        <v/>
      </c>
    </row>
    <row r="18530" spans="8:8" x14ac:dyDescent="0.3">
      <c r="H18530" t="str">
        <f t="shared" si="339"/>
        <v/>
      </c>
    </row>
    <row r="18531" spans="8:8" x14ac:dyDescent="0.3">
      <c r="H18531" t="str">
        <f t="shared" si="339"/>
        <v/>
      </c>
    </row>
    <row r="18532" spans="8:8" x14ac:dyDescent="0.3">
      <c r="H18532" t="str">
        <f t="shared" si="339"/>
        <v/>
      </c>
    </row>
    <row r="18533" spans="8:8" x14ac:dyDescent="0.3">
      <c r="H18533" t="str">
        <f t="shared" si="339"/>
        <v/>
      </c>
    </row>
    <row r="18534" spans="8:8" x14ac:dyDescent="0.3">
      <c r="H18534" t="str">
        <f t="shared" si="339"/>
        <v/>
      </c>
    </row>
    <row r="18535" spans="8:8" x14ac:dyDescent="0.3">
      <c r="H18535" t="str">
        <f t="shared" si="339"/>
        <v/>
      </c>
    </row>
    <row r="18536" spans="8:8" x14ac:dyDescent="0.3">
      <c r="H18536" t="str">
        <f t="shared" si="339"/>
        <v/>
      </c>
    </row>
    <row r="18537" spans="8:8" x14ac:dyDescent="0.3">
      <c r="H18537" t="str">
        <f t="shared" si="339"/>
        <v/>
      </c>
    </row>
    <row r="18538" spans="8:8" x14ac:dyDescent="0.3">
      <c r="H18538" t="str">
        <f t="shared" si="339"/>
        <v/>
      </c>
    </row>
    <row r="18539" spans="8:8" x14ac:dyDescent="0.3">
      <c r="H18539" t="str">
        <f t="shared" si="339"/>
        <v/>
      </c>
    </row>
    <row r="18540" spans="8:8" x14ac:dyDescent="0.3">
      <c r="H18540" t="str">
        <f t="shared" si="339"/>
        <v/>
      </c>
    </row>
    <row r="18541" spans="8:8" x14ac:dyDescent="0.3">
      <c r="H18541" t="str">
        <f t="shared" si="339"/>
        <v/>
      </c>
    </row>
    <row r="18542" spans="8:8" x14ac:dyDescent="0.3">
      <c r="H18542" t="str">
        <f t="shared" si="339"/>
        <v/>
      </c>
    </row>
    <row r="18543" spans="8:8" x14ac:dyDescent="0.3">
      <c r="H18543" t="str">
        <f t="shared" si="339"/>
        <v/>
      </c>
    </row>
    <row r="18544" spans="8:8" x14ac:dyDescent="0.3">
      <c r="H18544" t="str">
        <f t="shared" si="339"/>
        <v/>
      </c>
    </row>
    <row r="18545" spans="8:8" x14ac:dyDescent="0.3">
      <c r="H18545" t="str">
        <f t="shared" si="339"/>
        <v/>
      </c>
    </row>
    <row r="18546" spans="8:8" x14ac:dyDescent="0.3">
      <c r="H18546" t="str">
        <f t="shared" si="339"/>
        <v/>
      </c>
    </row>
    <row r="18547" spans="8:8" x14ac:dyDescent="0.3">
      <c r="H18547" t="str">
        <f t="shared" si="339"/>
        <v/>
      </c>
    </row>
    <row r="18548" spans="8:8" x14ac:dyDescent="0.3">
      <c r="H18548" t="str">
        <f t="shared" si="339"/>
        <v/>
      </c>
    </row>
    <row r="18549" spans="8:8" x14ac:dyDescent="0.3">
      <c r="H18549" t="str">
        <f t="shared" si="339"/>
        <v/>
      </c>
    </row>
    <row r="18550" spans="8:8" x14ac:dyDescent="0.3">
      <c r="H18550" t="str">
        <f t="shared" si="339"/>
        <v/>
      </c>
    </row>
    <row r="18551" spans="8:8" x14ac:dyDescent="0.3">
      <c r="H18551" t="str">
        <f t="shared" si="339"/>
        <v/>
      </c>
    </row>
    <row r="18552" spans="8:8" x14ac:dyDescent="0.3">
      <c r="H18552" t="str">
        <f t="shared" si="339"/>
        <v/>
      </c>
    </row>
    <row r="18553" spans="8:8" x14ac:dyDescent="0.3">
      <c r="H18553" t="str">
        <f t="shared" si="339"/>
        <v/>
      </c>
    </row>
    <row r="18554" spans="8:8" x14ac:dyDescent="0.3">
      <c r="H18554" t="str">
        <f t="shared" si="339"/>
        <v/>
      </c>
    </row>
    <row r="18555" spans="8:8" x14ac:dyDescent="0.3">
      <c r="H18555" t="str">
        <f t="shared" si="339"/>
        <v/>
      </c>
    </row>
    <row r="18556" spans="8:8" x14ac:dyDescent="0.3">
      <c r="H18556" t="str">
        <f t="shared" si="339"/>
        <v/>
      </c>
    </row>
    <row r="18557" spans="8:8" x14ac:dyDescent="0.3">
      <c r="H18557" t="str">
        <f t="shared" si="339"/>
        <v/>
      </c>
    </row>
    <row r="18558" spans="8:8" x14ac:dyDescent="0.3">
      <c r="H18558" t="str">
        <f t="shared" si="339"/>
        <v/>
      </c>
    </row>
    <row r="18559" spans="8:8" x14ac:dyDescent="0.3">
      <c r="H18559" t="str">
        <f t="shared" si="339"/>
        <v/>
      </c>
    </row>
    <row r="18560" spans="8:8" x14ac:dyDescent="0.3">
      <c r="H18560" t="str">
        <f t="shared" si="339"/>
        <v/>
      </c>
    </row>
    <row r="18561" spans="8:8" x14ac:dyDescent="0.3">
      <c r="H18561" t="str">
        <f t="shared" si="339"/>
        <v/>
      </c>
    </row>
    <row r="18562" spans="8:8" x14ac:dyDescent="0.3">
      <c r="H18562" t="str">
        <f t="shared" si="339"/>
        <v/>
      </c>
    </row>
    <row r="18563" spans="8:8" x14ac:dyDescent="0.3">
      <c r="H18563" t="str">
        <f t="shared" si="339"/>
        <v/>
      </c>
    </row>
    <row r="18564" spans="8:8" x14ac:dyDescent="0.3">
      <c r="H18564" t="str">
        <f t="shared" si="339"/>
        <v/>
      </c>
    </row>
    <row r="18565" spans="8:8" x14ac:dyDescent="0.3">
      <c r="H18565" t="str">
        <f t="shared" si="339"/>
        <v/>
      </c>
    </row>
    <row r="18566" spans="8:8" x14ac:dyDescent="0.3">
      <c r="H18566" t="str">
        <f t="shared" si="339"/>
        <v/>
      </c>
    </row>
    <row r="18567" spans="8:8" x14ac:dyDescent="0.3">
      <c r="H18567" t="str">
        <f t="shared" si="339"/>
        <v/>
      </c>
    </row>
    <row r="18568" spans="8:8" x14ac:dyDescent="0.3">
      <c r="H18568" t="str">
        <f t="shared" si="339"/>
        <v/>
      </c>
    </row>
    <row r="18569" spans="8:8" x14ac:dyDescent="0.3">
      <c r="H18569" t="str">
        <f t="shared" si="339"/>
        <v/>
      </c>
    </row>
    <row r="18570" spans="8:8" x14ac:dyDescent="0.3">
      <c r="H18570" t="str">
        <f t="shared" si="339"/>
        <v/>
      </c>
    </row>
    <row r="18571" spans="8:8" x14ac:dyDescent="0.3">
      <c r="H18571" t="str">
        <f t="shared" si="339"/>
        <v/>
      </c>
    </row>
    <row r="18572" spans="8:8" x14ac:dyDescent="0.3">
      <c r="H18572" t="str">
        <f t="shared" si="339"/>
        <v/>
      </c>
    </row>
    <row r="18573" spans="8:8" x14ac:dyDescent="0.3">
      <c r="H18573" t="str">
        <f t="shared" si="339"/>
        <v/>
      </c>
    </row>
    <row r="18574" spans="8:8" x14ac:dyDescent="0.3">
      <c r="H18574" t="str">
        <f t="shared" si="339"/>
        <v/>
      </c>
    </row>
    <row r="18575" spans="8:8" x14ac:dyDescent="0.3">
      <c r="H18575" t="str">
        <f t="shared" si="339"/>
        <v/>
      </c>
    </row>
    <row r="18576" spans="8:8" x14ac:dyDescent="0.3">
      <c r="H18576" t="str">
        <f t="shared" si="339"/>
        <v/>
      </c>
    </row>
    <row r="18577" spans="8:8" x14ac:dyDescent="0.3">
      <c r="H18577" t="str">
        <f t="shared" si="339"/>
        <v/>
      </c>
    </row>
    <row r="18578" spans="8:8" x14ac:dyDescent="0.3">
      <c r="H18578" t="str">
        <f t="shared" si="339"/>
        <v/>
      </c>
    </row>
    <row r="18579" spans="8:8" x14ac:dyDescent="0.3">
      <c r="H18579" t="str">
        <f t="shared" si="339"/>
        <v/>
      </c>
    </row>
    <row r="18580" spans="8:8" x14ac:dyDescent="0.3">
      <c r="H18580" t="str">
        <f t="shared" si="339"/>
        <v/>
      </c>
    </row>
    <row r="18581" spans="8:8" x14ac:dyDescent="0.3">
      <c r="H18581" t="str">
        <f t="shared" si="339"/>
        <v/>
      </c>
    </row>
    <row r="18582" spans="8:8" x14ac:dyDescent="0.3">
      <c r="H18582" t="str">
        <f t="shared" si="339"/>
        <v/>
      </c>
    </row>
    <row r="18583" spans="8:8" x14ac:dyDescent="0.3">
      <c r="H18583" t="str">
        <f t="shared" ref="H18583:H18646" si="340">IF(B18583="","",$C$12)</f>
        <v/>
      </c>
    </row>
    <row r="18584" spans="8:8" x14ac:dyDescent="0.3">
      <c r="H18584" t="str">
        <f t="shared" si="340"/>
        <v/>
      </c>
    </row>
    <row r="18585" spans="8:8" x14ac:dyDescent="0.3">
      <c r="H18585" t="str">
        <f t="shared" si="340"/>
        <v/>
      </c>
    </row>
    <row r="18586" spans="8:8" x14ac:dyDescent="0.3">
      <c r="H18586" t="str">
        <f t="shared" si="340"/>
        <v/>
      </c>
    </row>
    <row r="18587" spans="8:8" x14ac:dyDescent="0.3">
      <c r="H18587" t="str">
        <f t="shared" si="340"/>
        <v/>
      </c>
    </row>
    <row r="18588" spans="8:8" x14ac:dyDescent="0.3">
      <c r="H18588" t="str">
        <f t="shared" si="340"/>
        <v/>
      </c>
    </row>
    <row r="18589" spans="8:8" x14ac:dyDescent="0.3">
      <c r="H18589" t="str">
        <f t="shared" si="340"/>
        <v/>
      </c>
    </row>
    <row r="18590" spans="8:8" x14ac:dyDescent="0.3">
      <c r="H18590" t="str">
        <f t="shared" si="340"/>
        <v/>
      </c>
    </row>
    <row r="18591" spans="8:8" x14ac:dyDescent="0.3">
      <c r="H18591" t="str">
        <f t="shared" si="340"/>
        <v/>
      </c>
    </row>
    <row r="18592" spans="8:8" x14ac:dyDescent="0.3">
      <c r="H18592" t="str">
        <f t="shared" si="340"/>
        <v/>
      </c>
    </row>
    <row r="18593" spans="8:8" x14ac:dyDescent="0.3">
      <c r="H18593" t="str">
        <f t="shared" si="340"/>
        <v/>
      </c>
    </row>
    <row r="18594" spans="8:8" x14ac:dyDescent="0.3">
      <c r="H18594" t="str">
        <f t="shared" si="340"/>
        <v/>
      </c>
    </row>
    <row r="18595" spans="8:8" x14ac:dyDescent="0.3">
      <c r="H18595" t="str">
        <f t="shared" si="340"/>
        <v/>
      </c>
    </row>
    <row r="18596" spans="8:8" x14ac:dyDescent="0.3">
      <c r="H18596" t="str">
        <f t="shared" si="340"/>
        <v/>
      </c>
    </row>
    <row r="18597" spans="8:8" x14ac:dyDescent="0.3">
      <c r="H18597" t="str">
        <f t="shared" si="340"/>
        <v/>
      </c>
    </row>
    <row r="18598" spans="8:8" x14ac:dyDescent="0.3">
      <c r="H18598" t="str">
        <f t="shared" si="340"/>
        <v/>
      </c>
    </row>
    <row r="18599" spans="8:8" x14ac:dyDescent="0.3">
      <c r="H18599" t="str">
        <f t="shared" si="340"/>
        <v/>
      </c>
    </row>
    <row r="18600" spans="8:8" x14ac:dyDescent="0.3">
      <c r="H18600" t="str">
        <f t="shared" si="340"/>
        <v/>
      </c>
    </row>
    <row r="18601" spans="8:8" x14ac:dyDescent="0.3">
      <c r="H18601" t="str">
        <f t="shared" si="340"/>
        <v/>
      </c>
    </row>
    <row r="18602" spans="8:8" x14ac:dyDescent="0.3">
      <c r="H18602" t="str">
        <f t="shared" si="340"/>
        <v/>
      </c>
    </row>
    <row r="18603" spans="8:8" x14ac:dyDescent="0.3">
      <c r="H18603" t="str">
        <f t="shared" si="340"/>
        <v/>
      </c>
    </row>
    <row r="18604" spans="8:8" x14ac:dyDescent="0.3">
      <c r="H18604" t="str">
        <f t="shared" si="340"/>
        <v/>
      </c>
    </row>
    <row r="18605" spans="8:8" x14ac:dyDescent="0.3">
      <c r="H18605" t="str">
        <f t="shared" si="340"/>
        <v/>
      </c>
    </row>
    <row r="18606" spans="8:8" x14ac:dyDescent="0.3">
      <c r="H18606" t="str">
        <f t="shared" si="340"/>
        <v/>
      </c>
    </row>
    <row r="18607" spans="8:8" x14ac:dyDescent="0.3">
      <c r="H18607" t="str">
        <f t="shared" si="340"/>
        <v/>
      </c>
    </row>
    <row r="18608" spans="8:8" x14ac:dyDescent="0.3">
      <c r="H18608" t="str">
        <f t="shared" si="340"/>
        <v/>
      </c>
    </row>
    <row r="18609" spans="8:8" x14ac:dyDescent="0.3">
      <c r="H18609" t="str">
        <f t="shared" si="340"/>
        <v/>
      </c>
    </row>
    <row r="18610" spans="8:8" x14ac:dyDescent="0.3">
      <c r="H18610" t="str">
        <f t="shared" si="340"/>
        <v/>
      </c>
    </row>
    <row r="18611" spans="8:8" x14ac:dyDescent="0.3">
      <c r="H18611" t="str">
        <f t="shared" si="340"/>
        <v/>
      </c>
    </row>
    <row r="18612" spans="8:8" x14ac:dyDescent="0.3">
      <c r="H18612" t="str">
        <f t="shared" si="340"/>
        <v/>
      </c>
    </row>
    <row r="18613" spans="8:8" x14ac:dyDescent="0.3">
      <c r="H18613" t="str">
        <f t="shared" si="340"/>
        <v/>
      </c>
    </row>
    <row r="18614" spans="8:8" x14ac:dyDescent="0.3">
      <c r="H18614" t="str">
        <f t="shared" si="340"/>
        <v/>
      </c>
    </row>
    <row r="18615" spans="8:8" x14ac:dyDescent="0.3">
      <c r="H18615" t="str">
        <f t="shared" si="340"/>
        <v/>
      </c>
    </row>
    <row r="18616" spans="8:8" x14ac:dyDescent="0.3">
      <c r="H18616" t="str">
        <f t="shared" si="340"/>
        <v/>
      </c>
    </row>
    <row r="18617" spans="8:8" x14ac:dyDescent="0.3">
      <c r="H18617" t="str">
        <f t="shared" si="340"/>
        <v/>
      </c>
    </row>
    <row r="18618" spans="8:8" x14ac:dyDescent="0.3">
      <c r="H18618" t="str">
        <f t="shared" si="340"/>
        <v/>
      </c>
    </row>
    <row r="18619" spans="8:8" x14ac:dyDescent="0.3">
      <c r="H18619" t="str">
        <f t="shared" si="340"/>
        <v/>
      </c>
    </row>
    <row r="18620" spans="8:8" x14ac:dyDescent="0.3">
      <c r="H18620" t="str">
        <f t="shared" si="340"/>
        <v/>
      </c>
    </row>
    <row r="18621" spans="8:8" x14ac:dyDescent="0.3">
      <c r="H18621" t="str">
        <f t="shared" si="340"/>
        <v/>
      </c>
    </row>
    <row r="18622" spans="8:8" x14ac:dyDescent="0.3">
      <c r="H18622" t="str">
        <f t="shared" si="340"/>
        <v/>
      </c>
    </row>
    <row r="18623" spans="8:8" x14ac:dyDescent="0.3">
      <c r="H18623" t="str">
        <f t="shared" si="340"/>
        <v/>
      </c>
    </row>
    <row r="18624" spans="8:8" x14ac:dyDescent="0.3">
      <c r="H18624" t="str">
        <f t="shared" si="340"/>
        <v/>
      </c>
    </row>
    <row r="18625" spans="8:8" x14ac:dyDescent="0.3">
      <c r="H18625" t="str">
        <f t="shared" si="340"/>
        <v/>
      </c>
    </row>
    <row r="18626" spans="8:8" x14ac:dyDescent="0.3">
      <c r="H18626" t="str">
        <f t="shared" si="340"/>
        <v/>
      </c>
    </row>
    <row r="18627" spans="8:8" x14ac:dyDescent="0.3">
      <c r="H18627" t="str">
        <f t="shared" si="340"/>
        <v/>
      </c>
    </row>
    <row r="18628" spans="8:8" x14ac:dyDescent="0.3">
      <c r="H18628" t="str">
        <f t="shared" si="340"/>
        <v/>
      </c>
    </row>
    <row r="18629" spans="8:8" x14ac:dyDescent="0.3">
      <c r="H18629" t="str">
        <f t="shared" si="340"/>
        <v/>
      </c>
    </row>
    <row r="18630" spans="8:8" x14ac:dyDescent="0.3">
      <c r="H18630" t="str">
        <f t="shared" si="340"/>
        <v/>
      </c>
    </row>
    <row r="18631" spans="8:8" x14ac:dyDescent="0.3">
      <c r="H18631" t="str">
        <f t="shared" si="340"/>
        <v/>
      </c>
    </row>
    <row r="18632" spans="8:8" x14ac:dyDescent="0.3">
      <c r="H18632" t="str">
        <f t="shared" si="340"/>
        <v/>
      </c>
    </row>
    <row r="18633" spans="8:8" x14ac:dyDescent="0.3">
      <c r="H18633" t="str">
        <f t="shared" si="340"/>
        <v/>
      </c>
    </row>
    <row r="18634" spans="8:8" x14ac:dyDescent="0.3">
      <c r="H18634" t="str">
        <f t="shared" si="340"/>
        <v/>
      </c>
    </row>
    <row r="18635" spans="8:8" x14ac:dyDescent="0.3">
      <c r="H18635" t="str">
        <f t="shared" si="340"/>
        <v/>
      </c>
    </row>
    <row r="18636" spans="8:8" x14ac:dyDescent="0.3">
      <c r="H18636" t="str">
        <f t="shared" si="340"/>
        <v/>
      </c>
    </row>
    <row r="18637" spans="8:8" x14ac:dyDescent="0.3">
      <c r="H18637" t="str">
        <f t="shared" si="340"/>
        <v/>
      </c>
    </row>
    <row r="18638" spans="8:8" x14ac:dyDescent="0.3">
      <c r="H18638" t="str">
        <f t="shared" si="340"/>
        <v/>
      </c>
    </row>
    <row r="18639" spans="8:8" x14ac:dyDescent="0.3">
      <c r="H18639" t="str">
        <f t="shared" si="340"/>
        <v/>
      </c>
    </row>
    <row r="18640" spans="8:8" x14ac:dyDescent="0.3">
      <c r="H18640" t="str">
        <f t="shared" si="340"/>
        <v/>
      </c>
    </row>
    <row r="18641" spans="8:8" x14ac:dyDescent="0.3">
      <c r="H18641" t="str">
        <f t="shared" si="340"/>
        <v/>
      </c>
    </row>
    <row r="18642" spans="8:8" x14ac:dyDescent="0.3">
      <c r="H18642" t="str">
        <f t="shared" si="340"/>
        <v/>
      </c>
    </row>
    <row r="18643" spans="8:8" x14ac:dyDescent="0.3">
      <c r="H18643" t="str">
        <f t="shared" si="340"/>
        <v/>
      </c>
    </row>
    <row r="18644" spans="8:8" x14ac:dyDescent="0.3">
      <c r="H18644" t="str">
        <f t="shared" si="340"/>
        <v/>
      </c>
    </row>
    <row r="18645" spans="8:8" x14ac:dyDescent="0.3">
      <c r="H18645" t="str">
        <f t="shared" si="340"/>
        <v/>
      </c>
    </row>
    <row r="18646" spans="8:8" x14ac:dyDescent="0.3">
      <c r="H18646" t="str">
        <f t="shared" si="340"/>
        <v/>
      </c>
    </row>
    <row r="18647" spans="8:8" x14ac:dyDescent="0.3">
      <c r="H18647" t="str">
        <f t="shared" ref="H18647:H18710" si="341">IF(B18647="","",$C$12)</f>
        <v/>
      </c>
    </row>
    <row r="18648" spans="8:8" x14ac:dyDescent="0.3">
      <c r="H18648" t="str">
        <f t="shared" si="341"/>
        <v/>
      </c>
    </row>
    <row r="18649" spans="8:8" x14ac:dyDescent="0.3">
      <c r="H18649" t="str">
        <f t="shared" si="341"/>
        <v/>
      </c>
    </row>
    <row r="18650" spans="8:8" x14ac:dyDescent="0.3">
      <c r="H18650" t="str">
        <f t="shared" si="341"/>
        <v/>
      </c>
    </row>
    <row r="18651" spans="8:8" x14ac:dyDescent="0.3">
      <c r="H18651" t="str">
        <f t="shared" si="341"/>
        <v/>
      </c>
    </row>
    <row r="18652" spans="8:8" x14ac:dyDescent="0.3">
      <c r="H18652" t="str">
        <f t="shared" si="341"/>
        <v/>
      </c>
    </row>
    <row r="18653" spans="8:8" x14ac:dyDescent="0.3">
      <c r="H18653" t="str">
        <f t="shared" si="341"/>
        <v/>
      </c>
    </row>
    <row r="18654" spans="8:8" x14ac:dyDescent="0.3">
      <c r="H18654" t="str">
        <f t="shared" si="341"/>
        <v/>
      </c>
    </row>
    <row r="18655" spans="8:8" x14ac:dyDescent="0.3">
      <c r="H18655" t="str">
        <f t="shared" si="341"/>
        <v/>
      </c>
    </row>
    <row r="18656" spans="8:8" x14ac:dyDescent="0.3">
      <c r="H18656" t="str">
        <f t="shared" si="341"/>
        <v/>
      </c>
    </row>
    <row r="18657" spans="8:8" x14ac:dyDescent="0.3">
      <c r="H18657" t="str">
        <f t="shared" si="341"/>
        <v/>
      </c>
    </row>
    <row r="18658" spans="8:8" x14ac:dyDescent="0.3">
      <c r="H18658" t="str">
        <f t="shared" si="341"/>
        <v/>
      </c>
    </row>
    <row r="18659" spans="8:8" x14ac:dyDescent="0.3">
      <c r="H18659" t="str">
        <f t="shared" si="341"/>
        <v/>
      </c>
    </row>
    <row r="18660" spans="8:8" x14ac:dyDescent="0.3">
      <c r="H18660" t="str">
        <f t="shared" si="341"/>
        <v/>
      </c>
    </row>
    <row r="18661" spans="8:8" x14ac:dyDescent="0.3">
      <c r="H18661" t="str">
        <f t="shared" si="341"/>
        <v/>
      </c>
    </row>
    <row r="18662" spans="8:8" x14ac:dyDescent="0.3">
      <c r="H18662" t="str">
        <f t="shared" si="341"/>
        <v/>
      </c>
    </row>
    <row r="18663" spans="8:8" x14ac:dyDescent="0.3">
      <c r="H18663" t="str">
        <f t="shared" si="341"/>
        <v/>
      </c>
    </row>
    <row r="18664" spans="8:8" x14ac:dyDescent="0.3">
      <c r="H18664" t="str">
        <f t="shared" si="341"/>
        <v/>
      </c>
    </row>
    <row r="18665" spans="8:8" x14ac:dyDescent="0.3">
      <c r="H18665" t="str">
        <f t="shared" si="341"/>
        <v/>
      </c>
    </row>
    <row r="18666" spans="8:8" x14ac:dyDescent="0.3">
      <c r="H18666" t="str">
        <f t="shared" si="341"/>
        <v/>
      </c>
    </row>
    <row r="18667" spans="8:8" x14ac:dyDescent="0.3">
      <c r="H18667" t="str">
        <f t="shared" si="341"/>
        <v/>
      </c>
    </row>
    <row r="18668" spans="8:8" x14ac:dyDescent="0.3">
      <c r="H18668" t="str">
        <f t="shared" si="341"/>
        <v/>
      </c>
    </row>
    <row r="18669" spans="8:8" x14ac:dyDescent="0.3">
      <c r="H18669" t="str">
        <f t="shared" si="341"/>
        <v/>
      </c>
    </row>
    <row r="18670" spans="8:8" x14ac:dyDescent="0.3">
      <c r="H18670" t="str">
        <f t="shared" si="341"/>
        <v/>
      </c>
    </row>
    <row r="18671" spans="8:8" x14ac:dyDescent="0.3">
      <c r="H18671" t="str">
        <f t="shared" si="341"/>
        <v/>
      </c>
    </row>
    <row r="18672" spans="8:8" x14ac:dyDescent="0.3">
      <c r="H18672" t="str">
        <f t="shared" si="341"/>
        <v/>
      </c>
    </row>
    <row r="18673" spans="8:8" x14ac:dyDescent="0.3">
      <c r="H18673" t="str">
        <f t="shared" si="341"/>
        <v/>
      </c>
    </row>
    <row r="18674" spans="8:8" x14ac:dyDescent="0.3">
      <c r="H18674" t="str">
        <f t="shared" si="341"/>
        <v/>
      </c>
    </row>
    <row r="18675" spans="8:8" x14ac:dyDescent="0.3">
      <c r="H18675" t="str">
        <f t="shared" si="341"/>
        <v/>
      </c>
    </row>
    <row r="18676" spans="8:8" x14ac:dyDescent="0.3">
      <c r="H18676" t="str">
        <f t="shared" si="341"/>
        <v/>
      </c>
    </row>
    <row r="18677" spans="8:8" x14ac:dyDescent="0.3">
      <c r="H18677" t="str">
        <f t="shared" si="341"/>
        <v/>
      </c>
    </row>
    <row r="18678" spans="8:8" x14ac:dyDescent="0.3">
      <c r="H18678" t="str">
        <f t="shared" si="341"/>
        <v/>
      </c>
    </row>
    <row r="18679" spans="8:8" x14ac:dyDescent="0.3">
      <c r="H18679" t="str">
        <f t="shared" si="341"/>
        <v/>
      </c>
    </row>
    <row r="18680" spans="8:8" x14ac:dyDescent="0.3">
      <c r="H18680" t="str">
        <f t="shared" si="341"/>
        <v/>
      </c>
    </row>
    <row r="18681" spans="8:8" x14ac:dyDescent="0.3">
      <c r="H18681" t="str">
        <f t="shared" si="341"/>
        <v/>
      </c>
    </row>
    <row r="18682" spans="8:8" x14ac:dyDescent="0.3">
      <c r="H18682" t="str">
        <f t="shared" si="341"/>
        <v/>
      </c>
    </row>
    <row r="18683" spans="8:8" x14ac:dyDescent="0.3">
      <c r="H18683" t="str">
        <f t="shared" si="341"/>
        <v/>
      </c>
    </row>
    <row r="18684" spans="8:8" x14ac:dyDescent="0.3">
      <c r="H18684" t="str">
        <f t="shared" si="341"/>
        <v/>
      </c>
    </row>
    <row r="18685" spans="8:8" x14ac:dyDescent="0.3">
      <c r="H18685" t="str">
        <f t="shared" si="341"/>
        <v/>
      </c>
    </row>
    <row r="18686" spans="8:8" x14ac:dyDescent="0.3">
      <c r="H18686" t="str">
        <f t="shared" si="341"/>
        <v/>
      </c>
    </row>
    <row r="18687" spans="8:8" x14ac:dyDescent="0.3">
      <c r="H18687" t="str">
        <f t="shared" si="341"/>
        <v/>
      </c>
    </row>
    <row r="18688" spans="8:8" x14ac:dyDescent="0.3">
      <c r="H18688" t="str">
        <f t="shared" si="341"/>
        <v/>
      </c>
    </row>
    <row r="18689" spans="8:8" x14ac:dyDescent="0.3">
      <c r="H18689" t="str">
        <f t="shared" si="341"/>
        <v/>
      </c>
    </row>
    <row r="18690" spans="8:8" x14ac:dyDescent="0.3">
      <c r="H18690" t="str">
        <f t="shared" si="341"/>
        <v/>
      </c>
    </row>
    <row r="18691" spans="8:8" x14ac:dyDescent="0.3">
      <c r="H18691" t="str">
        <f t="shared" si="341"/>
        <v/>
      </c>
    </row>
    <row r="18692" spans="8:8" x14ac:dyDescent="0.3">
      <c r="H18692" t="str">
        <f t="shared" si="341"/>
        <v/>
      </c>
    </row>
    <row r="18693" spans="8:8" x14ac:dyDescent="0.3">
      <c r="H18693" t="str">
        <f t="shared" si="341"/>
        <v/>
      </c>
    </row>
    <row r="18694" spans="8:8" x14ac:dyDescent="0.3">
      <c r="H18694" t="str">
        <f t="shared" si="341"/>
        <v/>
      </c>
    </row>
    <row r="18695" spans="8:8" x14ac:dyDescent="0.3">
      <c r="H18695" t="str">
        <f t="shared" si="341"/>
        <v/>
      </c>
    </row>
    <row r="18696" spans="8:8" x14ac:dyDescent="0.3">
      <c r="H18696" t="str">
        <f t="shared" si="341"/>
        <v/>
      </c>
    </row>
    <row r="18697" spans="8:8" x14ac:dyDescent="0.3">
      <c r="H18697" t="str">
        <f t="shared" si="341"/>
        <v/>
      </c>
    </row>
    <row r="18698" spans="8:8" x14ac:dyDescent="0.3">
      <c r="H18698" t="str">
        <f t="shared" si="341"/>
        <v/>
      </c>
    </row>
    <row r="18699" spans="8:8" x14ac:dyDescent="0.3">
      <c r="H18699" t="str">
        <f t="shared" si="341"/>
        <v/>
      </c>
    </row>
    <row r="18700" spans="8:8" x14ac:dyDescent="0.3">
      <c r="H18700" t="str">
        <f t="shared" si="341"/>
        <v/>
      </c>
    </row>
    <row r="18701" spans="8:8" x14ac:dyDescent="0.3">
      <c r="H18701" t="str">
        <f t="shared" si="341"/>
        <v/>
      </c>
    </row>
    <row r="18702" spans="8:8" x14ac:dyDescent="0.3">
      <c r="H18702" t="str">
        <f t="shared" si="341"/>
        <v/>
      </c>
    </row>
    <row r="18703" spans="8:8" x14ac:dyDescent="0.3">
      <c r="H18703" t="str">
        <f t="shared" si="341"/>
        <v/>
      </c>
    </row>
    <row r="18704" spans="8:8" x14ac:dyDescent="0.3">
      <c r="H18704" t="str">
        <f t="shared" si="341"/>
        <v/>
      </c>
    </row>
    <row r="18705" spans="8:8" x14ac:dyDescent="0.3">
      <c r="H18705" t="str">
        <f t="shared" si="341"/>
        <v/>
      </c>
    </row>
    <row r="18706" spans="8:8" x14ac:dyDescent="0.3">
      <c r="H18706" t="str">
        <f t="shared" si="341"/>
        <v/>
      </c>
    </row>
    <row r="18707" spans="8:8" x14ac:dyDescent="0.3">
      <c r="H18707" t="str">
        <f t="shared" si="341"/>
        <v/>
      </c>
    </row>
    <row r="18708" spans="8:8" x14ac:dyDescent="0.3">
      <c r="H18708" t="str">
        <f t="shared" si="341"/>
        <v/>
      </c>
    </row>
    <row r="18709" spans="8:8" x14ac:dyDescent="0.3">
      <c r="H18709" t="str">
        <f t="shared" si="341"/>
        <v/>
      </c>
    </row>
    <row r="18710" spans="8:8" x14ac:dyDescent="0.3">
      <c r="H18710" t="str">
        <f t="shared" si="341"/>
        <v/>
      </c>
    </row>
    <row r="18711" spans="8:8" x14ac:dyDescent="0.3">
      <c r="H18711" t="str">
        <f t="shared" ref="H18711:H18774" si="342">IF(B18711="","",$C$12)</f>
        <v/>
      </c>
    </row>
    <row r="18712" spans="8:8" x14ac:dyDescent="0.3">
      <c r="H18712" t="str">
        <f t="shared" si="342"/>
        <v/>
      </c>
    </row>
    <row r="18713" spans="8:8" x14ac:dyDescent="0.3">
      <c r="H18713" t="str">
        <f t="shared" si="342"/>
        <v/>
      </c>
    </row>
    <row r="18714" spans="8:8" x14ac:dyDescent="0.3">
      <c r="H18714" t="str">
        <f t="shared" si="342"/>
        <v/>
      </c>
    </row>
    <row r="18715" spans="8:8" x14ac:dyDescent="0.3">
      <c r="H18715" t="str">
        <f t="shared" si="342"/>
        <v/>
      </c>
    </row>
    <row r="18716" spans="8:8" x14ac:dyDescent="0.3">
      <c r="H18716" t="str">
        <f t="shared" si="342"/>
        <v/>
      </c>
    </row>
    <row r="18717" spans="8:8" x14ac:dyDescent="0.3">
      <c r="H18717" t="str">
        <f t="shared" si="342"/>
        <v/>
      </c>
    </row>
    <row r="18718" spans="8:8" x14ac:dyDescent="0.3">
      <c r="H18718" t="str">
        <f t="shared" si="342"/>
        <v/>
      </c>
    </row>
    <row r="18719" spans="8:8" x14ac:dyDescent="0.3">
      <c r="H18719" t="str">
        <f t="shared" si="342"/>
        <v/>
      </c>
    </row>
    <row r="18720" spans="8:8" x14ac:dyDescent="0.3">
      <c r="H18720" t="str">
        <f t="shared" si="342"/>
        <v/>
      </c>
    </row>
    <row r="18721" spans="8:8" x14ac:dyDescent="0.3">
      <c r="H18721" t="str">
        <f t="shared" si="342"/>
        <v/>
      </c>
    </row>
    <row r="18722" spans="8:8" x14ac:dyDescent="0.3">
      <c r="H18722" t="str">
        <f t="shared" si="342"/>
        <v/>
      </c>
    </row>
    <row r="18723" spans="8:8" x14ac:dyDescent="0.3">
      <c r="H18723" t="str">
        <f t="shared" si="342"/>
        <v/>
      </c>
    </row>
    <row r="18724" spans="8:8" x14ac:dyDescent="0.3">
      <c r="H18724" t="str">
        <f t="shared" si="342"/>
        <v/>
      </c>
    </row>
    <row r="18725" spans="8:8" x14ac:dyDescent="0.3">
      <c r="H18725" t="str">
        <f t="shared" si="342"/>
        <v/>
      </c>
    </row>
    <row r="18726" spans="8:8" x14ac:dyDescent="0.3">
      <c r="H18726" t="str">
        <f t="shared" si="342"/>
        <v/>
      </c>
    </row>
    <row r="18727" spans="8:8" x14ac:dyDescent="0.3">
      <c r="H18727" t="str">
        <f t="shared" si="342"/>
        <v/>
      </c>
    </row>
    <row r="18728" spans="8:8" x14ac:dyDescent="0.3">
      <c r="H18728" t="str">
        <f t="shared" si="342"/>
        <v/>
      </c>
    </row>
    <row r="18729" spans="8:8" x14ac:dyDescent="0.3">
      <c r="H18729" t="str">
        <f t="shared" si="342"/>
        <v/>
      </c>
    </row>
    <row r="18730" spans="8:8" x14ac:dyDescent="0.3">
      <c r="H18730" t="str">
        <f t="shared" si="342"/>
        <v/>
      </c>
    </row>
    <row r="18731" spans="8:8" x14ac:dyDescent="0.3">
      <c r="H18731" t="str">
        <f t="shared" si="342"/>
        <v/>
      </c>
    </row>
    <row r="18732" spans="8:8" x14ac:dyDescent="0.3">
      <c r="H18732" t="str">
        <f t="shared" si="342"/>
        <v/>
      </c>
    </row>
    <row r="18733" spans="8:8" x14ac:dyDescent="0.3">
      <c r="H18733" t="str">
        <f t="shared" si="342"/>
        <v/>
      </c>
    </row>
    <row r="18734" spans="8:8" x14ac:dyDescent="0.3">
      <c r="H18734" t="str">
        <f t="shared" si="342"/>
        <v/>
      </c>
    </row>
    <row r="18735" spans="8:8" x14ac:dyDescent="0.3">
      <c r="H18735" t="str">
        <f t="shared" si="342"/>
        <v/>
      </c>
    </row>
    <row r="18736" spans="8:8" x14ac:dyDescent="0.3">
      <c r="H18736" t="str">
        <f t="shared" si="342"/>
        <v/>
      </c>
    </row>
    <row r="18737" spans="8:8" x14ac:dyDescent="0.3">
      <c r="H18737" t="str">
        <f t="shared" si="342"/>
        <v/>
      </c>
    </row>
    <row r="18738" spans="8:8" x14ac:dyDescent="0.3">
      <c r="H18738" t="str">
        <f t="shared" si="342"/>
        <v/>
      </c>
    </row>
    <row r="18739" spans="8:8" x14ac:dyDescent="0.3">
      <c r="H18739" t="str">
        <f t="shared" si="342"/>
        <v/>
      </c>
    </row>
    <row r="18740" spans="8:8" x14ac:dyDescent="0.3">
      <c r="H18740" t="str">
        <f t="shared" si="342"/>
        <v/>
      </c>
    </row>
    <row r="18741" spans="8:8" x14ac:dyDescent="0.3">
      <c r="H18741" t="str">
        <f t="shared" si="342"/>
        <v/>
      </c>
    </row>
    <row r="18742" spans="8:8" x14ac:dyDescent="0.3">
      <c r="H18742" t="str">
        <f t="shared" si="342"/>
        <v/>
      </c>
    </row>
    <row r="18743" spans="8:8" x14ac:dyDescent="0.3">
      <c r="H18743" t="str">
        <f t="shared" si="342"/>
        <v/>
      </c>
    </row>
    <row r="18744" spans="8:8" x14ac:dyDescent="0.3">
      <c r="H18744" t="str">
        <f t="shared" si="342"/>
        <v/>
      </c>
    </row>
    <row r="18745" spans="8:8" x14ac:dyDescent="0.3">
      <c r="H18745" t="str">
        <f t="shared" si="342"/>
        <v/>
      </c>
    </row>
    <row r="18746" spans="8:8" x14ac:dyDescent="0.3">
      <c r="H18746" t="str">
        <f t="shared" si="342"/>
        <v/>
      </c>
    </row>
    <row r="18747" spans="8:8" x14ac:dyDescent="0.3">
      <c r="H18747" t="str">
        <f t="shared" si="342"/>
        <v/>
      </c>
    </row>
    <row r="18748" spans="8:8" x14ac:dyDescent="0.3">
      <c r="H18748" t="str">
        <f t="shared" si="342"/>
        <v/>
      </c>
    </row>
    <row r="18749" spans="8:8" x14ac:dyDescent="0.3">
      <c r="H18749" t="str">
        <f t="shared" si="342"/>
        <v/>
      </c>
    </row>
    <row r="18750" spans="8:8" x14ac:dyDescent="0.3">
      <c r="H18750" t="str">
        <f t="shared" si="342"/>
        <v/>
      </c>
    </row>
    <row r="18751" spans="8:8" x14ac:dyDescent="0.3">
      <c r="H18751" t="str">
        <f t="shared" si="342"/>
        <v/>
      </c>
    </row>
    <row r="18752" spans="8:8" x14ac:dyDescent="0.3">
      <c r="H18752" t="str">
        <f t="shared" si="342"/>
        <v/>
      </c>
    </row>
    <row r="18753" spans="8:8" x14ac:dyDescent="0.3">
      <c r="H18753" t="str">
        <f t="shared" si="342"/>
        <v/>
      </c>
    </row>
    <row r="18754" spans="8:8" x14ac:dyDescent="0.3">
      <c r="H18754" t="str">
        <f t="shared" si="342"/>
        <v/>
      </c>
    </row>
    <row r="18755" spans="8:8" x14ac:dyDescent="0.3">
      <c r="H18755" t="str">
        <f t="shared" si="342"/>
        <v/>
      </c>
    </row>
    <row r="18756" spans="8:8" x14ac:dyDescent="0.3">
      <c r="H18756" t="str">
        <f t="shared" si="342"/>
        <v/>
      </c>
    </row>
    <row r="18757" spans="8:8" x14ac:dyDescent="0.3">
      <c r="H18757" t="str">
        <f t="shared" si="342"/>
        <v/>
      </c>
    </row>
    <row r="18758" spans="8:8" x14ac:dyDescent="0.3">
      <c r="H18758" t="str">
        <f t="shared" si="342"/>
        <v/>
      </c>
    </row>
    <row r="18759" spans="8:8" x14ac:dyDescent="0.3">
      <c r="H18759" t="str">
        <f t="shared" si="342"/>
        <v/>
      </c>
    </row>
    <row r="18760" spans="8:8" x14ac:dyDescent="0.3">
      <c r="H18760" t="str">
        <f t="shared" si="342"/>
        <v/>
      </c>
    </row>
    <row r="18761" spans="8:8" x14ac:dyDescent="0.3">
      <c r="H18761" t="str">
        <f t="shared" si="342"/>
        <v/>
      </c>
    </row>
    <row r="18762" spans="8:8" x14ac:dyDescent="0.3">
      <c r="H18762" t="str">
        <f t="shared" si="342"/>
        <v/>
      </c>
    </row>
    <row r="18763" spans="8:8" x14ac:dyDescent="0.3">
      <c r="H18763" t="str">
        <f t="shared" si="342"/>
        <v/>
      </c>
    </row>
    <row r="18764" spans="8:8" x14ac:dyDescent="0.3">
      <c r="H18764" t="str">
        <f t="shared" si="342"/>
        <v/>
      </c>
    </row>
    <row r="18765" spans="8:8" x14ac:dyDescent="0.3">
      <c r="H18765" t="str">
        <f t="shared" si="342"/>
        <v/>
      </c>
    </row>
    <row r="18766" spans="8:8" x14ac:dyDescent="0.3">
      <c r="H18766" t="str">
        <f t="shared" si="342"/>
        <v/>
      </c>
    </row>
    <row r="18767" spans="8:8" x14ac:dyDescent="0.3">
      <c r="H18767" t="str">
        <f t="shared" si="342"/>
        <v/>
      </c>
    </row>
    <row r="18768" spans="8:8" x14ac:dyDescent="0.3">
      <c r="H18768" t="str">
        <f t="shared" si="342"/>
        <v/>
      </c>
    </row>
    <row r="18769" spans="8:8" x14ac:dyDescent="0.3">
      <c r="H18769" t="str">
        <f t="shared" si="342"/>
        <v/>
      </c>
    </row>
    <row r="18770" spans="8:8" x14ac:dyDescent="0.3">
      <c r="H18770" t="str">
        <f t="shared" si="342"/>
        <v/>
      </c>
    </row>
    <row r="18771" spans="8:8" x14ac:dyDescent="0.3">
      <c r="H18771" t="str">
        <f t="shared" si="342"/>
        <v/>
      </c>
    </row>
    <row r="18772" spans="8:8" x14ac:dyDescent="0.3">
      <c r="H18772" t="str">
        <f t="shared" si="342"/>
        <v/>
      </c>
    </row>
    <row r="18773" spans="8:8" x14ac:dyDescent="0.3">
      <c r="H18773" t="str">
        <f t="shared" si="342"/>
        <v/>
      </c>
    </row>
    <row r="18774" spans="8:8" x14ac:dyDescent="0.3">
      <c r="H18774" t="str">
        <f t="shared" si="342"/>
        <v/>
      </c>
    </row>
    <row r="18775" spans="8:8" x14ac:dyDescent="0.3">
      <c r="H18775" t="str">
        <f t="shared" ref="H18775:H18838" si="343">IF(B18775="","",$C$12)</f>
        <v/>
      </c>
    </row>
    <row r="18776" spans="8:8" x14ac:dyDescent="0.3">
      <c r="H18776" t="str">
        <f t="shared" si="343"/>
        <v/>
      </c>
    </row>
    <row r="18777" spans="8:8" x14ac:dyDescent="0.3">
      <c r="H18777" t="str">
        <f t="shared" si="343"/>
        <v/>
      </c>
    </row>
    <row r="18778" spans="8:8" x14ac:dyDescent="0.3">
      <c r="H18778" t="str">
        <f t="shared" si="343"/>
        <v/>
      </c>
    </row>
    <row r="18779" spans="8:8" x14ac:dyDescent="0.3">
      <c r="H18779" t="str">
        <f t="shared" si="343"/>
        <v/>
      </c>
    </row>
    <row r="18780" spans="8:8" x14ac:dyDescent="0.3">
      <c r="H18780" t="str">
        <f t="shared" si="343"/>
        <v/>
      </c>
    </row>
    <row r="18781" spans="8:8" x14ac:dyDescent="0.3">
      <c r="H18781" t="str">
        <f t="shared" si="343"/>
        <v/>
      </c>
    </row>
    <row r="18782" spans="8:8" x14ac:dyDescent="0.3">
      <c r="H18782" t="str">
        <f t="shared" si="343"/>
        <v/>
      </c>
    </row>
    <row r="18783" spans="8:8" x14ac:dyDescent="0.3">
      <c r="H18783" t="str">
        <f t="shared" si="343"/>
        <v/>
      </c>
    </row>
    <row r="18784" spans="8:8" x14ac:dyDescent="0.3">
      <c r="H18784" t="str">
        <f t="shared" si="343"/>
        <v/>
      </c>
    </row>
    <row r="18785" spans="8:8" x14ac:dyDescent="0.3">
      <c r="H18785" t="str">
        <f t="shared" si="343"/>
        <v/>
      </c>
    </row>
    <row r="18786" spans="8:8" x14ac:dyDescent="0.3">
      <c r="H18786" t="str">
        <f t="shared" si="343"/>
        <v/>
      </c>
    </row>
    <row r="18787" spans="8:8" x14ac:dyDescent="0.3">
      <c r="H18787" t="str">
        <f t="shared" si="343"/>
        <v/>
      </c>
    </row>
    <row r="18788" spans="8:8" x14ac:dyDescent="0.3">
      <c r="H18788" t="str">
        <f t="shared" si="343"/>
        <v/>
      </c>
    </row>
    <row r="18789" spans="8:8" x14ac:dyDescent="0.3">
      <c r="H18789" t="str">
        <f t="shared" si="343"/>
        <v/>
      </c>
    </row>
    <row r="18790" spans="8:8" x14ac:dyDescent="0.3">
      <c r="H18790" t="str">
        <f t="shared" si="343"/>
        <v/>
      </c>
    </row>
    <row r="18791" spans="8:8" x14ac:dyDescent="0.3">
      <c r="H18791" t="str">
        <f t="shared" si="343"/>
        <v/>
      </c>
    </row>
    <row r="18792" spans="8:8" x14ac:dyDescent="0.3">
      <c r="H18792" t="str">
        <f t="shared" si="343"/>
        <v/>
      </c>
    </row>
    <row r="18793" spans="8:8" x14ac:dyDescent="0.3">
      <c r="H18793" t="str">
        <f t="shared" si="343"/>
        <v/>
      </c>
    </row>
    <row r="18794" spans="8:8" x14ac:dyDescent="0.3">
      <c r="H18794" t="str">
        <f t="shared" si="343"/>
        <v/>
      </c>
    </row>
    <row r="18795" spans="8:8" x14ac:dyDescent="0.3">
      <c r="H18795" t="str">
        <f t="shared" si="343"/>
        <v/>
      </c>
    </row>
    <row r="18796" spans="8:8" x14ac:dyDescent="0.3">
      <c r="H18796" t="str">
        <f t="shared" si="343"/>
        <v/>
      </c>
    </row>
    <row r="18797" spans="8:8" x14ac:dyDescent="0.3">
      <c r="H18797" t="str">
        <f t="shared" si="343"/>
        <v/>
      </c>
    </row>
    <row r="18798" spans="8:8" x14ac:dyDescent="0.3">
      <c r="H18798" t="str">
        <f t="shared" si="343"/>
        <v/>
      </c>
    </row>
    <row r="18799" spans="8:8" x14ac:dyDescent="0.3">
      <c r="H18799" t="str">
        <f t="shared" si="343"/>
        <v/>
      </c>
    </row>
    <row r="18800" spans="8:8" x14ac:dyDescent="0.3">
      <c r="H18800" t="str">
        <f t="shared" si="343"/>
        <v/>
      </c>
    </row>
    <row r="18801" spans="8:8" x14ac:dyDescent="0.3">
      <c r="H18801" t="str">
        <f t="shared" si="343"/>
        <v/>
      </c>
    </row>
    <row r="18802" spans="8:8" x14ac:dyDescent="0.3">
      <c r="H18802" t="str">
        <f t="shared" si="343"/>
        <v/>
      </c>
    </row>
    <row r="18803" spans="8:8" x14ac:dyDescent="0.3">
      <c r="H18803" t="str">
        <f t="shared" si="343"/>
        <v/>
      </c>
    </row>
    <row r="18804" spans="8:8" x14ac:dyDescent="0.3">
      <c r="H18804" t="str">
        <f t="shared" si="343"/>
        <v/>
      </c>
    </row>
    <row r="18805" spans="8:8" x14ac:dyDescent="0.3">
      <c r="H18805" t="str">
        <f t="shared" si="343"/>
        <v/>
      </c>
    </row>
    <row r="18806" spans="8:8" x14ac:dyDescent="0.3">
      <c r="H18806" t="str">
        <f t="shared" si="343"/>
        <v/>
      </c>
    </row>
    <row r="18807" spans="8:8" x14ac:dyDescent="0.3">
      <c r="H18807" t="str">
        <f t="shared" si="343"/>
        <v/>
      </c>
    </row>
    <row r="18808" spans="8:8" x14ac:dyDescent="0.3">
      <c r="H18808" t="str">
        <f t="shared" si="343"/>
        <v/>
      </c>
    </row>
    <row r="18809" spans="8:8" x14ac:dyDescent="0.3">
      <c r="H18809" t="str">
        <f t="shared" si="343"/>
        <v/>
      </c>
    </row>
    <row r="18810" spans="8:8" x14ac:dyDescent="0.3">
      <c r="H18810" t="str">
        <f t="shared" si="343"/>
        <v/>
      </c>
    </row>
    <row r="18811" spans="8:8" x14ac:dyDescent="0.3">
      <c r="H18811" t="str">
        <f t="shared" si="343"/>
        <v/>
      </c>
    </row>
    <row r="18812" spans="8:8" x14ac:dyDescent="0.3">
      <c r="H18812" t="str">
        <f t="shared" si="343"/>
        <v/>
      </c>
    </row>
    <row r="18813" spans="8:8" x14ac:dyDescent="0.3">
      <c r="H18813" t="str">
        <f t="shared" si="343"/>
        <v/>
      </c>
    </row>
    <row r="18814" spans="8:8" x14ac:dyDescent="0.3">
      <c r="H18814" t="str">
        <f t="shared" si="343"/>
        <v/>
      </c>
    </row>
    <row r="18815" spans="8:8" x14ac:dyDescent="0.3">
      <c r="H18815" t="str">
        <f t="shared" si="343"/>
        <v/>
      </c>
    </row>
    <row r="18816" spans="8:8" x14ac:dyDescent="0.3">
      <c r="H18816" t="str">
        <f t="shared" si="343"/>
        <v/>
      </c>
    </row>
    <row r="18817" spans="8:8" x14ac:dyDescent="0.3">
      <c r="H18817" t="str">
        <f t="shared" si="343"/>
        <v/>
      </c>
    </row>
    <row r="18818" spans="8:8" x14ac:dyDescent="0.3">
      <c r="H18818" t="str">
        <f t="shared" si="343"/>
        <v/>
      </c>
    </row>
    <row r="18819" spans="8:8" x14ac:dyDescent="0.3">
      <c r="H18819" t="str">
        <f t="shared" si="343"/>
        <v/>
      </c>
    </row>
    <row r="18820" spans="8:8" x14ac:dyDescent="0.3">
      <c r="H18820" t="str">
        <f t="shared" si="343"/>
        <v/>
      </c>
    </row>
    <row r="18821" spans="8:8" x14ac:dyDescent="0.3">
      <c r="H18821" t="str">
        <f t="shared" si="343"/>
        <v/>
      </c>
    </row>
    <row r="18822" spans="8:8" x14ac:dyDescent="0.3">
      <c r="H18822" t="str">
        <f t="shared" si="343"/>
        <v/>
      </c>
    </row>
    <row r="18823" spans="8:8" x14ac:dyDescent="0.3">
      <c r="H18823" t="str">
        <f t="shared" si="343"/>
        <v/>
      </c>
    </row>
    <row r="18824" spans="8:8" x14ac:dyDescent="0.3">
      <c r="H18824" t="str">
        <f t="shared" si="343"/>
        <v/>
      </c>
    </row>
    <row r="18825" spans="8:8" x14ac:dyDescent="0.3">
      <c r="H18825" t="str">
        <f t="shared" si="343"/>
        <v/>
      </c>
    </row>
    <row r="18826" spans="8:8" x14ac:dyDescent="0.3">
      <c r="H18826" t="str">
        <f t="shared" si="343"/>
        <v/>
      </c>
    </row>
    <row r="18827" spans="8:8" x14ac:dyDescent="0.3">
      <c r="H18827" t="str">
        <f t="shared" si="343"/>
        <v/>
      </c>
    </row>
    <row r="18828" spans="8:8" x14ac:dyDescent="0.3">
      <c r="H18828" t="str">
        <f t="shared" si="343"/>
        <v/>
      </c>
    </row>
    <row r="18829" spans="8:8" x14ac:dyDescent="0.3">
      <c r="H18829" t="str">
        <f t="shared" si="343"/>
        <v/>
      </c>
    </row>
    <row r="18830" spans="8:8" x14ac:dyDescent="0.3">
      <c r="H18830" t="str">
        <f t="shared" si="343"/>
        <v/>
      </c>
    </row>
    <row r="18831" spans="8:8" x14ac:dyDescent="0.3">
      <c r="H18831" t="str">
        <f t="shared" si="343"/>
        <v/>
      </c>
    </row>
    <row r="18832" spans="8:8" x14ac:dyDescent="0.3">
      <c r="H18832" t="str">
        <f t="shared" si="343"/>
        <v/>
      </c>
    </row>
    <row r="18833" spans="8:8" x14ac:dyDescent="0.3">
      <c r="H18833" t="str">
        <f t="shared" si="343"/>
        <v/>
      </c>
    </row>
    <row r="18834" spans="8:8" x14ac:dyDescent="0.3">
      <c r="H18834" t="str">
        <f t="shared" si="343"/>
        <v/>
      </c>
    </row>
    <row r="18835" spans="8:8" x14ac:dyDescent="0.3">
      <c r="H18835" t="str">
        <f t="shared" si="343"/>
        <v/>
      </c>
    </row>
    <row r="18836" spans="8:8" x14ac:dyDescent="0.3">
      <c r="H18836" t="str">
        <f t="shared" si="343"/>
        <v/>
      </c>
    </row>
    <row r="18837" spans="8:8" x14ac:dyDescent="0.3">
      <c r="H18837" t="str">
        <f t="shared" si="343"/>
        <v/>
      </c>
    </row>
    <row r="18838" spans="8:8" x14ac:dyDescent="0.3">
      <c r="H18838" t="str">
        <f t="shared" si="343"/>
        <v/>
      </c>
    </row>
    <row r="18839" spans="8:8" x14ac:dyDescent="0.3">
      <c r="H18839" t="str">
        <f t="shared" ref="H18839:H18902" si="344">IF(B18839="","",$C$12)</f>
        <v/>
      </c>
    </row>
    <row r="18840" spans="8:8" x14ac:dyDescent="0.3">
      <c r="H18840" t="str">
        <f t="shared" si="344"/>
        <v/>
      </c>
    </row>
    <row r="18841" spans="8:8" x14ac:dyDescent="0.3">
      <c r="H18841" t="str">
        <f t="shared" si="344"/>
        <v/>
      </c>
    </row>
    <row r="18842" spans="8:8" x14ac:dyDescent="0.3">
      <c r="H18842" t="str">
        <f t="shared" si="344"/>
        <v/>
      </c>
    </row>
    <row r="18843" spans="8:8" x14ac:dyDescent="0.3">
      <c r="H18843" t="str">
        <f t="shared" si="344"/>
        <v/>
      </c>
    </row>
    <row r="18844" spans="8:8" x14ac:dyDescent="0.3">
      <c r="H18844" t="str">
        <f t="shared" si="344"/>
        <v/>
      </c>
    </row>
    <row r="18845" spans="8:8" x14ac:dyDescent="0.3">
      <c r="H18845" t="str">
        <f t="shared" si="344"/>
        <v/>
      </c>
    </row>
    <row r="18846" spans="8:8" x14ac:dyDescent="0.3">
      <c r="H18846" t="str">
        <f t="shared" si="344"/>
        <v/>
      </c>
    </row>
    <row r="18847" spans="8:8" x14ac:dyDescent="0.3">
      <c r="H18847" t="str">
        <f t="shared" si="344"/>
        <v/>
      </c>
    </row>
    <row r="18848" spans="8:8" x14ac:dyDescent="0.3">
      <c r="H18848" t="str">
        <f t="shared" si="344"/>
        <v/>
      </c>
    </row>
    <row r="18849" spans="8:8" x14ac:dyDescent="0.3">
      <c r="H18849" t="str">
        <f t="shared" si="344"/>
        <v/>
      </c>
    </row>
    <row r="18850" spans="8:8" x14ac:dyDescent="0.3">
      <c r="H18850" t="str">
        <f t="shared" si="344"/>
        <v/>
      </c>
    </row>
    <row r="18851" spans="8:8" x14ac:dyDescent="0.3">
      <c r="H18851" t="str">
        <f t="shared" si="344"/>
        <v/>
      </c>
    </row>
    <row r="18852" spans="8:8" x14ac:dyDescent="0.3">
      <c r="H18852" t="str">
        <f t="shared" si="344"/>
        <v/>
      </c>
    </row>
    <row r="18853" spans="8:8" x14ac:dyDescent="0.3">
      <c r="H18853" t="str">
        <f t="shared" si="344"/>
        <v/>
      </c>
    </row>
    <row r="18854" spans="8:8" x14ac:dyDescent="0.3">
      <c r="H18854" t="str">
        <f t="shared" si="344"/>
        <v/>
      </c>
    </row>
    <row r="18855" spans="8:8" x14ac:dyDescent="0.3">
      <c r="H18855" t="str">
        <f t="shared" si="344"/>
        <v/>
      </c>
    </row>
    <row r="18856" spans="8:8" x14ac:dyDescent="0.3">
      <c r="H18856" t="str">
        <f t="shared" si="344"/>
        <v/>
      </c>
    </row>
    <row r="18857" spans="8:8" x14ac:dyDescent="0.3">
      <c r="H18857" t="str">
        <f t="shared" si="344"/>
        <v/>
      </c>
    </row>
    <row r="18858" spans="8:8" x14ac:dyDescent="0.3">
      <c r="H18858" t="str">
        <f t="shared" si="344"/>
        <v/>
      </c>
    </row>
    <row r="18859" spans="8:8" x14ac:dyDescent="0.3">
      <c r="H18859" t="str">
        <f t="shared" si="344"/>
        <v/>
      </c>
    </row>
    <row r="18860" spans="8:8" x14ac:dyDescent="0.3">
      <c r="H18860" t="str">
        <f t="shared" si="344"/>
        <v/>
      </c>
    </row>
    <row r="18861" spans="8:8" x14ac:dyDescent="0.3">
      <c r="H18861" t="str">
        <f t="shared" si="344"/>
        <v/>
      </c>
    </row>
    <row r="18862" spans="8:8" x14ac:dyDescent="0.3">
      <c r="H18862" t="str">
        <f t="shared" si="344"/>
        <v/>
      </c>
    </row>
    <row r="18863" spans="8:8" x14ac:dyDescent="0.3">
      <c r="H18863" t="str">
        <f t="shared" si="344"/>
        <v/>
      </c>
    </row>
    <row r="18864" spans="8:8" x14ac:dyDescent="0.3">
      <c r="H18864" t="str">
        <f t="shared" si="344"/>
        <v/>
      </c>
    </row>
    <row r="18865" spans="8:8" x14ac:dyDescent="0.3">
      <c r="H18865" t="str">
        <f t="shared" si="344"/>
        <v/>
      </c>
    </row>
    <row r="18866" spans="8:8" x14ac:dyDescent="0.3">
      <c r="H18866" t="str">
        <f t="shared" si="344"/>
        <v/>
      </c>
    </row>
    <row r="18867" spans="8:8" x14ac:dyDescent="0.3">
      <c r="H18867" t="str">
        <f t="shared" si="344"/>
        <v/>
      </c>
    </row>
    <row r="18868" spans="8:8" x14ac:dyDescent="0.3">
      <c r="H18868" t="str">
        <f t="shared" si="344"/>
        <v/>
      </c>
    </row>
    <row r="18869" spans="8:8" x14ac:dyDescent="0.3">
      <c r="H18869" t="str">
        <f t="shared" si="344"/>
        <v/>
      </c>
    </row>
    <row r="18870" spans="8:8" x14ac:dyDescent="0.3">
      <c r="H18870" t="str">
        <f t="shared" si="344"/>
        <v/>
      </c>
    </row>
    <row r="18871" spans="8:8" x14ac:dyDescent="0.3">
      <c r="H18871" t="str">
        <f t="shared" si="344"/>
        <v/>
      </c>
    </row>
    <row r="18872" spans="8:8" x14ac:dyDescent="0.3">
      <c r="H18872" t="str">
        <f t="shared" si="344"/>
        <v/>
      </c>
    </row>
    <row r="18873" spans="8:8" x14ac:dyDescent="0.3">
      <c r="H18873" t="str">
        <f t="shared" si="344"/>
        <v/>
      </c>
    </row>
    <row r="18874" spans="8:8" x14ac:dyDescent="0.3">
      <c r="H18874" t="str">
        <f t="shared" si="344"/>
        <v/>
      </c>
    </row>
    <row r="18875" spans="8:8" x14ac:dyDescent="0.3">
      <c r="H18875" t="str">
        <f t="shared" si="344"/>
        <v/>
      </c>
    </row>
    <row r="18876" spans="8:8" x14ac:dyDescent="0.3">
      <c r="H18876" t="str">
        <f t="shared" si="344"/>
        <v/>
      </c>
    </row>
    <row r="18877" spans="8:8" x14ac:dyDescent="0.3">
      <c r="H18877" t="str">
        <f t="shared" si="344"/>
        <v/>
      </c>
    </row>
    <row r="18878" spans="8:8" x14ac:dyDescent="0.3">
      <c r="H18878" t="str">
        <f t="shared" si="344"/>
        <v/>
      </c>
    </row>
    <row r="18879" spans="8:8" x14ac:dyDescent="0.3">
      <c r="H18879" t="str">
        <f t="shared" si="344"/>
        <v/>
      </c>
    </row>
    <row r="18880" spans="8:8" x14ac:dyDescent="0.3">
      <c r="H18880" t="str">
        <f t="shared" si="344"/>
        <v/>
      </c>
    </row>
    <row r="18881" spans="8:8" x14ac:dyDescent="0.3">
      <c r="H18881" t="str">
        <f t="shared" si="344"/>
        <v/>
      </c>
    </row>
    <row r="18882" spans="8:8" x14ac:dyDescent="0.3">
      <c r="H18882" t="str">
        <f t="shared" si="344"/>
        <v/>
      </c>
    </row>
    <row r="18883" spans="8:8" x14ac:dyDescent="0.3">
      <c r="H18883" t="str">
        <f t="shared" si="344"/>
        <v/>
      </c>
    </row>
    <row r="18884" spans="8:8" x14ac:dyDescent="0.3">
      <c r="H18884" t="str">
        <f t="shared" si="344"/>
        <v/>
      </c>
    </row>
    <row r="18885" spans="8:8" x14ac:dyDescent="0.3">
      <c r="H18885" t="str">
        <f t="shared" si="344"/>
        <v/>
      </c>
    </row>
    <row r="18886" spans="8:8" x14ac:dyDescent="0.3">
      <c r="H18886" t="str">
        <f t="shared" si="344"/>
        <v/>
      </c>
    </row>
    <row r="18887" spans="8:8" x14ac:dyDescent="0.3">
      <c r="H18887" t="str">
        <f t="shared" si="344"/>
        <v/>
      </c>
    </row>
    <row r="18888" spans="8:8" x14ac:dyDescent="0.3">
      <c r="H18888" t="str">
        <f t="shared" si="344"/>
        <v/>
      </c>
    </row>
    <row r="18889" spans="8:8" x14ac:dyDescent="0.3">
      <c r="H18889" t="str">
        <f t="shared" si="344"/>
        <v/>
      </c>
    </row>
    <row r="18890" spans="8:8" x14ac:dyDescent="0.3">
      <c r="H18890" t="str">
        <f t="shared" si="344"/>
        <v/>
      </c>
    </row>
    <row r="18891" spans="8:8" x14ac:dyDescent="0.3">
      <c r="H18891" t="str">
        <f t="shared" si="344"/>
        <v/>
      </c>
    </row>
    <row r="18892" spans="8:8" x14ac:dyDescent="0.3">
      <c r="H18892" t="str">
        <f t="shared" si="344"/>
        <v/>
      </c>
    </row>
    <row r="18893" spans="8:8" x14ac:dyDescent="0.3">
      <c r="H18893" t="str">
        <f t="shared" si="344"/>
        <v/>
      </c>
    </row>
    <row r="18894" spans="8:8" x14ac:dyDescent="0.3">
      <c r="H18894" t="str">
        <f t="shared" si="344"/>
        <v/>
      </c>
    </row>
    <row r="18895" spans="8:8" x14ac:dyDescent="0.3">
      <c r="H18895" t="str">
        <f t="shared" si="344"/>
        <v/>
      </c>
    </row>
    <row r="18896" spans="8:8" x14ac:dyDescent="0.3">
      <c r="H18896" t="str">
        <f t="shared" si="344"/>
        <v/>
      </c>
    </row>
    <row r="18897" spans="8:8" x14ac:dyDescent="0.3">
      <c r="H18897" t="str">
        <f t="shared" si="344"/>
        <v/>
      </c>
    </row>
    <row r="18898" spans="8:8" x14ac:dyDescent="0.3">
      <c r="H18898" t="str">
        <f t="shared" si="344"/>
        <v/>
      </c>
    </row>
    <row r="18899" spans="8:8" x14ac:dyDescent="0.3">
      <c r="H18899" t="str">
        <f t="shared" si="344"/>
        <v/>
      </c>
    </row>
    <row r="18900" spans="8:8" x14ac:dyDescent="0.3">
      <c r="H18900" t="str">
        <f t="shared" si="344"/>
        <v/>
      </c>
    </row>
    <row r="18901" spans="8:8" x14ac:dyDescent="0.3">
      <c r="H18901" t="str">
        <f t="shared" si="344"/>
        <v/>
      </c>
    </row>
    <row r="18902" spans="8:8" x14ac:dyDescent="0.3">
      <c r="H18902" t="str">
        <f t="shared" si="344"/>
        <v/>
      </c>
    </row>
    <row r="18903" spans="8:8" x14ac:dyDescent="0.3">
      <c r="H18903" t="str">
        <f t="shared" ref="H18903:H18966" si="345">IF(B18903="","",$C$12)</f>
        <v/>
      </c>
    </row>
    <row r="18904" spans="8:8" x14ac:dyDescent="0.3">
      <c r="H18904" t="str">
        <f t="shared" si="345"/>
        <v/>
      </c>
    </row>
    <row r="18905" spans="8:8" x14ac:dyDescent="0.3">
      <c r="H18905" t="str">
        <f t="shared" si="345"/>
        <v/>
      </c>
    </row>
    <row r="18906" spans="8:8" x14ac:dyDescent="0.3">
      <c r="H18906" t="str">
        <f t="shared" si="345"/>
        <v/>
      </c>
    </row>
    <row r="18907" spans="8:8" x14ac:dyDescent="0.3">
      <c r="H18907" t="str">
        <f t="shared" si="345"/>
        <v/>
      </c>
    </row>
    <row r="18908" spans="8:8" x14ac:dyDescent="0.3">
      <c r="H18908" t="str">
        <f t="shared" si="345"/>
        <v/>
      </c>
    </row>
    <row r="18909" spans="8:8" x14ac:dyDescent="0.3">
      <c r="H18909" t="str">
        <f t="shared" si="345"/>
        <v/>
      </c>
    </row>
    <row r="18910" spans="8:8" x14ac:dyDescent="0.3">
      <c r="H18910" t="str">
        <f t="shared" si="345"/>
        <v/>
      </c>
    </row>
    <row r="18911" spans="8:8" x14ac:dyDescent="0.3">
      <c r="H18911" t="str">
        <f t="shared" si="345"/>
        <v/>
      </c>
    </row>
    <row r="18912" spans="8:8" x14ac:dyDescent="0.3">
      <c r="H18912" t="str">
        <f t="shared" si="345"/>
        <v/>
      </c>
    </row>
    <row r="18913" spans="8:8" x14ac:dyDescent="0.3">
      <c r="H18913" t="str">
        <f t="shared" si="345"/>
        <v/>
      </c>
    </row>
    <row r="18914" spans="8:8" x14ac:dyDescent="0.3">
      <c r="H18914" t="str">
        <f t="shared" si="345"/>
        <v/>
      </c>
    </row>
    <row r="18915" spans="8:8" x14ac:dyDescent="0.3">
      <c r="H18915" t="str">
        <f t="shared" si="345"/>
        <v/>
      </c>
    </row>
    <row r="18916" spans="8:8" x14ac:dyDescent="0.3">
      <c r="H18916" t="str">
        <f t="shared" si="345"/>
        <v/>
      </c>
    </row>
    <row r="18917" spans="8:8" x14ac:dyDescent="0.3">
      <c r="H18917" t="str">
        <f t="shared" si="345"/>
        <v/>
      </c>
    </row>
    <row r="18918" spans="8:8" x14ac:dyDescent="0.3">
      <c r="H18918" t="str">
        <f t="shared" si="345"/>
        <v/>
      </c>
    </row>
    <row r="18919" spans="8:8" x14ac:dyDescent="0.3">
      <c r="H18919" t="str">
        <f t="shared" si="345"/>
        <v/>
      </c>
    </row>
    <row r="18920" spans="8:8" x14ac:dyDescent="0.3">
      <c r="H18920" t="str">
        <f t="shared" si="345"/>
        <v/>
      </c>
    </row>
    <row r="18921" spans="8:8" x14ac:dyDescent="0.3">
      <c r="H18921" t="str">
        <f t="shared" si="345"/>
        <v/>
      </c>
    </row>
    <row r="18922" spans="8:8" x14ac:dyDescent="0.3">
      <c r="H18922" t="str">
        <f t="shared" si="345"/>
        <v/>
      </c>
    </row>
    <row r="18923" spans="8:8" x14ac:dyDescent="0.3">
      <c r="H18923" t="str">
        <f t="shared" si="345"/>
        <v/>
      </c>
    </row>
    <row r="18924" spans="8:8" x14ac:dyDescent="0.3">
      <c r="H18924" t="str">
        <f t="shared" si="345"/>
        <v/>
      </c>
    </row>
    <row r="18925" spans="8:8" x14ac:dyDescent="0.3">
      <c r="H18925" t="str">
        <f t="shared" si="345"/>
        <v/>
      </c>
    </row>
    <row r="18926" spans="8:8" x14ac:dyDescent="0.3">
      <c r="H18926" t="str">
        <f t="shared" si="345"/>
        <v/>
      </c>
    </row>
    <row r="18927" spans="8:8" x14ac:dyDescent="0.3">
      <c r="H18927" t="str">
        <f t="shared" si="345"/>
        <v/>
      </c>
    </row>
    <row r="18928" spans="8:8" x14ac:dyDescent="0.3">
      <c r="H18928" t="str">
        <f t="shared" si="345"/>
        <v/>
      </c>
    </row>
    <row r="18929" spans="8:8" x14ac:dyDescent="0.3">
      <c r="H18929" t="str">
        <f t="shared" si="345"/>
        <v/>
      </c>
    </row>
    <row r="18930" spans="8:8" x14ac:dyDescent="0.3">
      <c r="H18930" t="str">
        <f t="shared" si="345"/>
        <v/>
      </c>
    </row>
    <row r="18931" spans="8:8" x14ac:dyDescent="0.3">
      <c r="H18931" t="str">
        <f t="shared" si="345"/>
        <v/>
      </c>
    </row>
    <row r="18932" spans="8:8" x14ac:dyDescent="0.3">
      <c r="H18932" t="str">
        <f t="shared" si="345"/>
        <v/>
      </c>
    </row>
    <row r="18933" spans="8:8" x14ac:dyDescent="0.3">
      <c r="H18933" t="str">
        <f t="shared" si="345"/>
        <v/>
      </c>
    </row>
    <row r="18934" spans="8:8" x14ac:dyDescent="0.3">
      <c r="H18934" t="str">
        <f t="shared" si="345"/>
        <v/>
      </c>
    </row>
    <row r="18935" spans="8:8" x14ac:dyDescent="0.3">
      <c r="H18935" t="str">
        <f t="shared" si="345"/>
        <v/>
      </c>
    </row>
    <row r="18936" spans="8:8" x14ac:dyDescent="0.3">
      <c r="H18936" t="str">
        <f t="shared" si="345"/>
        <v/>
      </c>
    </row>
    <row r="18937" spans="8:8" x14ac:dyDescent="0.3">
      <c r="H18937" t="str">
        <f t="shared" si="345"/>
        <v/>
      </c>
    </row>
    <row r="18938" spans="8:8" x14ac:dyDescent="0.3">
      <c r="H18938" t="str">
        <f t="shared" si="345"/>
        <v/>
      </c>
    </row>
    <row r="18939" spans="8:8" x14ac:dyDescent="0.3">
      <c r="H18939" t="str">
        <f t="shared" si="345"/>
        <v/>
      </c>
    </row>
    <row r="18940" spans="8:8" x14ac:dyDescent="0.3">
      <c r="H18940" t="str">
        <f t="shared" si="345"/>
        <v/>
      </c>
    </row>
    <row r="18941" spans="8:8" x14ac:dyDescent="0.3">
      <c r="H18941" t="str">
        <f t="shared" si="345"/>
        <v/>
      </c>
    </row>
    <row r="18942" spans="8:8" x14ac:dyDescent="0.3">
      <c r="H18942" t="str">
        <f t="shared" si="345"/>
        <v/>
      </c>
    </row>
    <row r="18943" spans="8:8" x14ac:dyDescent="0.3">
      <c r="H18943" t="str">
        <f t="shared" si="345"/>
        <v/>
      </c>
    </row>
    <row r="18944" spans="8:8" x14ac:dyDescent="0.3">
      <c r="H18944" t="str">
        <f t="shared" si="345"/>
        <v/>
      </c>
    </row>
    <row r="18945" spans="8:8" x14ac:dyDescent="0.3">
      <c r="H18945" t="str">
        <f t="shared" si="345"/>
        <v/>
      </c>
    </row>
    <row r="18946" spans="8:8" x14ac:dyDescent="0.3">
      <c r="H18946" t="str">
        <f t="shared" si="345"/>
        <v/>
      </c>
    </row>
    <row r="18947" spans="8:8" x14ac:dyDescent="0.3">
      <c r="H18947" t="str">
        <f t="shared" si="345"/>
        <v/>
      </c>
    </row>
    <row r="18948" spans="8:8" x14ac:dyDescent="0.3">
      <c r="H18948" t="str">
        <f t="shared" si="345"/>
        <v/>
      </c>
    </row>
    <row r="18949" spans="8:8" x14ac:dyDescent="0.3">
      <c r="H18949" t="str">
        <f t="shared" si="345"/>
        <v/>
      </c>
    </row>
    <row r="18950" spans="8:8" x14ac:dyDescent="0.3">
      <c r="H18950" t="str">
        <f t="shared" si="345"/>
        <v/>
      </c>
    </row>
    <row r="18951" spans="8:8" x14ac:dyDescent="0.3">
      <c r="H18951" t="str">
        <f t="shared" si="345"/>
        <v/>
      </c>
    </row>
    <row r="18952" spans="8:8" x14ac:dyDescent="0.3">
      <c r="H18952" t="str">
        <f t="shared" si="345"/>
        <v/>
      </c>
    </row>
    <row r="18953" spans="8:8" x14ac:dyDescent="0.3">
      <c r="H18953" t="str">
        <f t="shared" si="345"/>
        <v/>
      </c>
    </row>
    <row r="18954" spans="8:8" x14ac:dyDescent="0.3">
      <c r="H18954" t="str">
        <f t="shared" si="345"/>
        <v/>
      </c>
    </row>
    <row r="18955" spans="8:8" x14ac:dyDescent="0.3">
      <c r="H18955" t="str">
        <f t="shared" si="345"/>
        <v/>
      </c>
    </row>
    <row r="18956" spans="8:8" x14ac:dyDescent="0.3">
      <c r="H18956" t="str">
        <f t="shared" si="345"/>
        <v/>
      </c>
    </row>
    <row r="18957" spans="8:8" x14ac:dyDescent="0.3">
      <c r="H18957" t="str">
        <f t="shared" si="345"/>
        <v/>
      </c>
    </row>
    <row r="18958" spans="8:8" x14ac:dyDescent="0.3">
      <c r="H18958" t="str">
        <f t="shared" si="345"/>
        <v/>
      </c>
    </row>
    <row r="18959" spans="8:8" x14ac:dyDescent="0.3">
      <c r="H18959" t="str">
        <f t="shared" si="345"/>
        <v/>
      </c>
    </row>
    <row r="18960" spans="8:8" x14ac:dyDescent="0.3">
      <c r="H18960" t="str">
        <f t="shared" si="345"/>
        <v/>
      </c>
    </row>
    <row r="18961" spans="8:8" x14ac:dyDescent="0.3">
      <c r="H18961" t="str">
        <f t="shared" si="345"/>
        <v/>
      </c>
    </row>
    <row r="18962" spans="8:8" x14ac:dyDescent="0.3">
      <c r="H18962" t="str">
        <f t="shared" si="345"/>
        <v/>
      </c>
    </row>
    <row r="18963" spans="8:8" x14ac:dyDescent="0.3">
      <c r="H18963" t="str">
        <f t="shared" si="345"/>
        <v/>
      </c>
    </row>
    <row r="18964" spans="8:8" x14ac:dyDescent="0.3">
      <c r="H18964" t="str">
        <f t="shared" si="345"/>
        <v/>
      </c>
    </row>
    <row r="18965" spans="8:8" x14ac:dyDescent="0.3">
      <c r="H18965" t="str">
        <f t="shared" si="345"/>
        <v/>
      </c>
    </row>
    <row r="18966" spans="8:8" x14ac:dyDescent="0.3">
      <c r="H18966" t="str">
        <f t="shared" si="345"/>
        <v/>
      </c>
    </row>
    <row r="18967" spans="8:8" x14ac:dyDescent="0.3">
      <c r="H18967" t="str">
        <f t="shared" ref="H18967:H19030" si="346">IF(B18967="","",$C$12)</f>
        <v/>
      </c>
    </row>
    <row r="18968" spans="8:8" x14ac:dyDescent="0.3">
      <c r="H18968" t="str">
        <f t="shared" si="346"/>
        <v/>
      </c>
    </row>
    <row r="18969" spans="8:8" x14ac:dyDescent="0.3">
      <c r="H18969" t="str">
        <f t="shared" si="346"/>
        <v/>
      </c>
    </row>
    <row r="18970" spans="8:8" x14ac:dyDescent="0.3">
      <c r="H18970" t="str">
        <f t="shared" si="346"/>
        <v/>
      </c>
    </row>
    <row r="18971" spans="8:8" x14ac:dyDescent="0.3">
      <c r="H18971" t="str">
        <f t="shared" si="346"/>
        <v/>
      </c>
    </row>
    <row r="18972" spans="8:8" x14ac:dyDescent="0.3">
      <c r="H18972" t="str">
        <f t="shared" si="346"/>
        <v/>
      </c>
    </row>
    <row r="18973" spans="8:8" x14ac:dyDescent="0.3">
      <c r="H18973" t="str">
        <f t="shared" si="346"/>
        <v/>
      </c>
    </row>
    <row r="18974" spans="8:8" x14ac:dyDescent="0.3">
      <c r="H18974" t="str">
        <f t="shared" si="346"/>
        <v/>
      </c>
    </row>
    <row r="18975" spans="8:8" x14ac:dyDescent="0.3">
      <c r="H18975" t="str">
        <f t="shared" si="346"/>
        <v/>
      </c>
    </row>
    <row r="18976" spans="8:8" x14ac:dyDescent="0.3">
      <c r="H18976" t="str">
        <f t="shared" si="346"/>
        <v/>
      </c>
    </row>
    <row r="18977" spans="8:8" x14ac:dyDescent="0.3">
      <c r="H18977" t="str">
        <f t="shared" si="346"/>
        <v/>
      </c>
    </row>
    <row r="18978" spans="8:8" x14ac:dyDescent="0.3">
      <c r="H18978" t="str">
        <f t="shared" si="346"/>
        <v/>
      </c>
    </row>
    <row r="18979" spans="8:8" x14ac:dyDescent="0.3">
      <c r="H18979" t="str">
        <f t="shared" si="346"/>
        <v/>
      </c>
    </row>
    <row r="18980" spans="8:8" x14ac:dyDescent="0.3">
      <c r="H18980" t="str">
        <f t="shared" si="346"/>
        <v/>
      </c>
    </row>
    <row r="18981" spans="8:8" x14ac:dyDescent="0.3">
      <c r="H18981" t="str">
        <f t="shared" si="346"/>
        <v/>
      </c>
    </row>
    <row r="18982" spans="8:8" x14ac:dyDescent="0.3">
      <c r="H18982" t="str">
        <f t="shared" si="346"/>
        <v/>
      </c>
    </row>
    <row r="18983" spans="8:8" x14ac:dyDescent="0.3">
      <c r="H18983" t="str">
        <f t="shared" si="346"/>
        <v/>
      </c>
    </row>
    <row r="18984" spans="8:8" x14ac:dyDescent="0.3">
      <c r="H18984" t="str">
        <f t="shared" si="346"/>
        <v/>
      </c>
    </row>
    <row r="18985" spans="8:8" x14ac:dyDescent="0.3">
      <c r="H18985" t="str">
        <f t="shared" si="346"/>
        <v/>
      </c>
    </row>
    <row r="18986" spans="8:8" x14ac:dyDescent="0.3">
      <c r="H18986" t="str">
        <f t="shared" si="346"/>
        <v/>
      </c>
    </row>
    <row r="18987" spans="8:8" x14ac:dyDescent="0.3">
      <c r="H18987" t="str">
        <f t="shared" si="346"/>
        <v/>
      </c>
    </row>
    <row r="18988" spans="8:8" x14ac:dyDescent="0.3">
      <c r="H18988" t="str">
        <f t="shared" si="346"/>
        <v/>
      </c>
    </row>
    <row r="18989" spans="8:8" x14ac:dyDescent="0.3">
      <c r="H18989" t="str">
        <f t="shared" si="346"/>
        <v/>
      </c>
    </row>
    <row r="18990" spans="8:8" x14ac:dyDescent="0.3">
      <c r="H18990" t="str">
        <f t="shared" si="346"/>
        <v/>
      </c>
    </row>
    <row r="18991" spans="8:8" x14ac:dyDescent="0.3">
      <c r="H18991" t="str">
        <f t="shared" si="346"/>
        <v/>
      </c>
    </row>
    <row r="18992" spans="8:8" x14ac:dyDescent="0.3">
      <c r="H18992" t="str">
        <f t="shared" si="346"/>
        <v/>
      </c>
    </row>
    <row r="18993" spans="8:8" x14ac:dyDescent="0.3">
      <c r="H18993" t="str">
        <f t="shared" si="346"/>
        <v/>
      </c>
    </row>
    <row r="18994" spans="8:8" x14ac:dyDescent="0.3">
      <c r="H18994" t="str">
        <f t="shared" si="346"/>
        <v/>
      </c>
    </row>
    <row r="18995" spans="8:8" x14ac:dyDescent="0.3">
      <c r="H18995" t="str">
        <f t="shared" si="346"/>
        <v/>
      </c>
    </row>
    <row r="18996" spans="8:8" x14ac:dyDescent="0.3">
      <c r="H18996" t="str">
        <f t="shared" si="346"/>
        <v/>
      </c>
    </row>
    <row r="18997" spans="8:8" x14ac:dyDescent="0.3">
      <c r="H18997" t="str">
        <f t="shared" si="346"/>
        <v/>
      </c>
    </row>
    <row r="18998" spans="8:8" x14ac:dyDescent="0.3">
      <c r="H18998" t="str">
        <f t="shared" si="346"/>
        <v/>
      </c>
    </row>
    <row r="18999" spans="8:8" x14ac:dyDescent="0.3">
      <c r="H18999" t="str">
        <f t="shared" si="346"/>
        <v/>
      </c>
    </row>
    <row r="19000" spans="8:8" x14ac:dyDescent="0.3">
      <c r="H19000" t="str">
        <f t="shared" si="346"/>
        <v/>
      </c>
    </row>
    <row r="19001" spans="8:8" x14ac:dyDescent="0.3">
      <c r="H19001" t="str">
        <f t="shared" si="346"/>
        <v/>
      </c>
    </row>
    <row r="19002" spans="8:8" x14ac:dyDescent="0.3">
      <c r="H19002" t="str">
        <f t="shared" si="346"/>
        <v/>
      </c>
    </row>
    <row r="19003" spans="8:8" x14ac:dyDescent="0.3">
      <c r="H19003" t="str">
        <f t="shared" si="346"/>
        <v/>
      </c>
    </row>
    <row r="19004" spans="8:8" x14ac:dyDescent="0.3">
      <c r="H19004" t="str">
        <f t="shared" si="346"/>
        <v/>
      </c>
    </row>
    <row r="19005" spans="8:8" x14ac:dyDescent="0.3">
      <c r="H19005" t="str">
        <f t="shared" si="346"/>
        <v/>
      </c>
    </row>
    <row r="19006" spans="8:8" x14ac:dyDescent="0.3">
      <c r="H19006" t="str">
        <f t="shared" si="346"/>
        <v/>
      </c>
    </row>
    <row r="19007" spans="8:8" x14ac:dyDescent="0.3">
      <c r="H19007" t="str">
        <f t="shared" si="346"/>
        <v/>
      </c>
    </row>
    <row r="19008" spans="8:8" x14ac:dyDescent="0.3">
      <c r="H19008" t="str">
        <f t="shared" si="346"/>
        <v/>
      </c>
    </row>
    <row r="19009" spans="8:8" x14ac:dyDescent="0.3">
      <c r="H19009" t="str">
        <f t="shared" si="346"/>
        <v/>
      </c>
    </row>
    <row r="19010" spans="8:8" x14ac:dyDescent="0.3">
      <c r="H19010" t="str">
        <f t="shared" si="346"/>
        <v/>
      </c>
    </row>
    <row r="19011" spans="8:8" x14ac:dyDescent="0.3">
      <c r="H19011" t="str">
        <f t="shared" si="346"/>
        <v/>
      </c>
    </row>
    <row r="19012" spans="8:8" x14ac:dyDescent="0.3">
      <c r="H19012" t="str">
        <f t="shared" si="346"/>
        <v/>
      </c>
    </row>
    <row r="19013" spans="8:8" x14ac:dyDescent="0.3">
      <c r="H19013" t="str">
        <f t="shared" si="346"/>
        <v/>
      </c>
    </row>
    <row r="19014" spans="8:8" x14ac:dyDescent="0.3">
      <c r="H19014" t="str">
        <f t="shared" si="346"/>
        <v/>
      </c>
    </row>
    <row r="19015" spans="8:8" x14ac:dyDescent="0.3">
      <c r="H19015" t="str">
        <f t="shared" si="346"/>
        <v/>
      </c>
    </row>
    <row r="19016" spans="8:8" x14ac:dyDescent="0.3">
      <c r="H19016" t="str">
        <f t="shared" si="346"/>
        <v/>
      </c>
    </row>
    <row r="19017" spans="8:8" x14ac:dyDescent="0.3">
      <c r="H19017" t="str">
        <f t="shared" si="346"/>
        <v/>
      </c>
    </row>
    <row r="19018" spans="8:8" x14ac:dyDescent="0.3">
      <c r="H19018" t="str">
        <f t="shared" si="346"/>
        <v/>
      </c>
    </row>
    <row r="19019" spans="8:8" x14ac:dyDescent="0.3">
      <c r="H19019" t="str">
        <f t="shared" si="346"/>
        <v/>
      </c>
    </row>
    <row r="19020" spans="8:8" x14ac:dyDescent="0.3">
      <c r="H19020" t="str">
        <f t="shared" si="346"/>
        <v/>
      </c>
    </row>
    <row r="19021" spans="8:8" x14ac:dyDescent="0.3">
      <c r="H19021" t="str">
        <f t="shared" si="346"/>
        <v/>
      </c>
    </row>
    <row r="19022" spans="8:8" x14ac:dyDescent="0.3">
      <c r="H19022" t="str">
        <f t="shared" si="346"/>
        <v/>
      </c>
    </row>
    <row r="19023" spans="8:8" x14ac:dyDescent="0.3">
      <c r="H19023" t="str">
        <f t="shared" si="346"/>
        <v/>
      </c>
    </row>
    <row r="19024" spans="8:8" x14ac:dyDescent="0.3">
      <c r="H19024" t="str">
        <f t="shared" si="346"/>
        <v/>
      </c>
    </row>
    <row r="19025" spans="8:8" x14ac:dyDescent="0.3">
      <c r="H19025" t="str">
        <f t="shared" si="346"/>
        <v/>
      </c>
    </row>
    <row r="19026" spans="8:8" x14ac:dyDescent="0.3">
      <c r="H19026" t="str">
        <f t="shared" si="346"/>
        <v/>
      </c>
    </row>
    <row r="19027" spans="8:8" x14ac:dyDescent="0.3">
      <c r="H19027" t="str">
        <f t="shared" si="346"/>
        <v/>
      </c>
    </row>
    <row r="19028" spans="8:8" x14ac:dyDescent="0.3">
      <c r="H19028" t="str">
        <f t="shared" si="346"/>
        <v/>
      </c>
    </row>
    <row r="19029" spans="8:8" x14ac:dyDescent="0.3">
      <c r="H19029" t="str">
        <f t="shared" si="346"/>
        <v/>
      </c>
    </row>
    <row r="19030" spans="8:8" x14ac:dyDescent="0.3">
      <c r="H19030" t="str">
        <f t="shared" si="346"/>
        <v/>
      </c>
    </row>
    <row r="19031" spans="8:8" x14ac:dyDescent="0.3">
      <c r="H19031" t="str">
        <f t="shared" ref="H19031:H19094" si="347">IF(B19031="","",$C$12)</f>
        <v/>
      </c>
    </row>
    <row r="19032" spans="8:8" x14ac:dyDescent="0.3">
      <c r="H19032" t="str">
        <f t="shared" si="347"/>
        <v/>
      </c>
    </row>
    <row r="19033" spans="8:8" x14ac:dyDescent="0.3">
      <c r="H19033" t="str">
        <f t="shared" si="347"/>
        <v/>
      </c>
    </row>
    <row r="19034" spans="8:8" x14ac:dyDescent="0.3">
      <c r="H19034" t="str">
        <f t="shared" si="347"/>
        <v/>
      </c>
    </row>
    <row r="19035" spans="8:8" x14ac:dyDescent="0.3">
      <c r="H19035" t="str">
        <f t="shared" si="347"/>
        <v/>
      </c>
    </row>
    <row r="19036" spans="8:8" x14ac:dyDescent="0.3">
      <c r="H19036" t="str">
        <f t="shared" si="347"/>
        <v/>
      </c>
    </row>
    <row r="19037" spans="8:8" x14ac:dyDescent="0.3">
      <c r="H19037" t="str">
        <f t="shared" si="347"/>
        <v/>
      </c>
    </row>
    <row r="19038" spans="8:8" x14ac:dyDescent="0.3">
      <c r="H19038" t="str">
        <f t="shared" si="347"/>
        <v/>
      </c>
    </row>
    <row r="19039" spans="8:8" x14ac:dyDescent="0.3">
      <c r="H19039" t="str">
        <f t="shared" si="347"/>
        <v/>
      </c>
    </row>
    <row r="19040" spans="8:8" x14ac:dyDescent="0.3">
      <c r="H19040" t="str">
        <f t="shared" si="347"/>
        <v/>
      </c>
    </row>
    <row r="19041" spans="8:8" x14ac:dyDescent="0.3">
      <c r="H19041" t="str">
        <f t="shared" si="347"/>
        <v/>
      </c>
    </row>
    <row r="19042" spans="8:8" x14ac:dyDescent="0.3">
      <c r="H19042" t="str">
        <f t="shared" si="347"/>
        <v/>
      </c>
    </row>
    <row r="19043" spans="8:8" x14ac:dyDescent="0.3">
      <c r="H19043" t="str">
        <f t="shared" si="347"/>
        <v/>
      </c>
    </row>
    <row r="19044" spans="8:8" x14ac:dyDescent="0.3">
      <c r="H19044" t="str">
        <f t="shared" si="347"/>
        <v/>
      </c>
    </row>
    <row r="19045" spans="8:8" x14ac:dyDescent="0.3">
      <c r="H19045" t="str">
        <f t="shared" si="347"/>
        <v/>
      </c>
    </row>
    <row r="19046" spans="8:8" x14ac:dyDescent="0.3">
      <c r="H19046" t="str">
        <f t="shared" si="347"/>
        <v/>
      </c>
    </row>
    <row r="19047" spans="8:8" x14ac:dyDescent="0.3">
      <c r="H19047" t="str">
        <f t="shared" si="347"/>
        <v/>
      </c>
    </row>
    <row r="19048" spans="8:8" x14ac:dyDescent="0.3">
      <c r="H19048" t="str">
        <f t="shared" si="347"/>
        <v/>
      </c>
    </row>
    <row r="19049" spans="8:8" x14ac:dyDescent="0.3">
      <c r="H19049" t="str">
        <f t="shared" si="347"/>
        <v/>
      </c>
    </row>
    <row r="19050" spans="8:8" x14ac:dyDescent="0.3">
      <c r="H19050" t="str">
        <f t="shared" si="347"/>
        <v/>
      </c>
    </row>
    <row r="19051" spans="8:8" x14ac:dyDescent="0.3">
      <c r="H19051" t="str">
        <f t="shared" si="347"/>
        <v/>
      </c>
    </row>
    <row r="19052" spans="8:8" x14ac:dyDescent="0.3">
      <c r="H19052" t="str">
        <f t="shared" si="347"/>
        <v/>
      </c>
    </row>
    <row r="19053" spans="8:8" x14ac:dyDescent="0.3">
      <c r="H19053" t="str">
        <f t="shared" si="347"/>
        <v/>
      </c>
    </row>
    <row r="19054" spans="8:8" x14ac:dyDescent="0.3">
      <c r="H19054" t="str">
        <f t="shared" si="347"/>
        <v/>
      </c>
    </row>
    <row r="19055" spans="8:8" x14ac:dyDescent="0.3">
      <c r="H19055" t="str">
        <f t="shared" si="347"/>
        <v/>
      </c>
    </row>
    <row r="19056" spans="8:8" x14ac:dyDescent="0.3">
      <c r="H19056" t="str">
        <f t="shared" si="347"/>
        <v/>
      </c>
    </row>
    <row r="19057" spans="8:8" x14ac:dyDescent="0.3">
      <c r="H19057" t="str">
        <f t="shared" si="347"/>
        <v/>
      </c>
    </row>
    <row r="19058" spans="8:8" x14ac:dyDescent="0.3">
      <c r="H19058" t="str">
        <f t="shared" si="347"/>
        <v/>
      </c>
    </row>
    <row r="19059" spans="8:8" x14ac:dyDescent="0.3">
      <c r="H19059" t="str">
        <f t="shared" si="347"/>
        <v/>
      </c>
    </row>
    <row r="19060" spans="8:8" x14ac:dyDescent="0.3">
      <c r="H19060" t="str">
        <f t="shared" si="347"/>
        <v/>
      </c>
    </row>
    <row r="19061" spans="8:8" x14ac:dyDescent="0.3">
      <c r="H19061" t="str">
        <f t="shared" si="347"/>
        <v/>
      </c>
    </row>
    <row r="19062" spans="8:8" x14ac:dyDescent="0.3">
      <c r="H19062" t="str">
        <f t="shared" si="347"/>
        <v/>
      </c>
    </row>
    <row r="19063" spans="8:8" x14ac:dyDescent="0.3">
      <c r="H19063" t="str">
        <f t="shared" si="347"/>
        <v/>
      </c>
    </row>
    <row r="19064" spans="8:8" x14ac:dyDescent="0.3">
      <c r="H19064" t="str">
        <f t="shared" si="347"/>
        <v/>
      </c>
    </row>
    <row r="19065" spans="8:8" x14ac:dyDescent="0.3">
      <c r="H19065" t="str">
        <f t="shared" si="347"/>
        <v/>
      </c>
    </row>
    <row r="19066" spans="8:8" x14ac:dyDescent="0.3">
      <c r="H19066" t="str">
        <f t="shared" si="347"/>
        <v/>
      </c>
    </row>
    <row r="19067" spans="8:8" x14ac:dyDescent="0.3">
      <c r="H19067" t="str">
        <f t="shared" si="347"/>
        <v/>
      </c>
    </row>
    <row r="19068" spans="8:8" x14ac:dyDescent="0.3">
      <c r="H19068" t="str">
        <f t="shared" si="347"/>
        <v/>
      </c>
    </row>
    <row r="19069" spans="8:8" x14ac:dyDescent="0.3">
      <c r="H19069" t="str">
        <f t="shared" si="347"/>
        <v/>
      </c>
    </row>
    <row r="19070" spans="8:8" x14ac:dyDescent="0.3">
      <c r="H19070" t="str">
        <f t="shared" si="347"/>
        <v/>
      </c>
    </row>
    <row r="19071" spans="8:8" x14ac:dyDescent="0.3">
      <c r="H19071" t="str">
        <f t="shared" si="347"/>
        <v/>
      </c>
    </row>
    <row r="19072" spans="8:8" x14ac:dyDescent="0.3">
      <c r="H19072" t="str">
        <f t="shared" si="347"/>
        <v/>
      </c>
    </row>
    <row r="19073" spans="8:8" x14ac:dyDescent="0.3">
      <c r="H19073" t="str">
        <f t="shared" si="347"/>
        <v/>
      </c>
    </row>
    <row r="19074" spans="8:8" x14ac:dyDescent="0.3">
      <c r="H19074" t="str">
        <f t="shared" si="347"/>
        <v/>
      </c>
    </row>
    <row r="19075" spans="8:8" x14ac:dyDescent="0.3">
      <c r="H19075" t="str">
        <f t="shared" si="347"/>
        <v/>
      </c>
    </row>
    <row r="19076" spans="8:8" x14ac:dyDescent="0.3">
      <c r="H19076" t="str">
        <f t="shared" si="347"/>
        <v/>
      </c>
    </row>
    <row r="19077" spans="8:8" x14ac:dyDescent="0.3">
      <c r="H19077" t="str">
        <f t="shared" si="347"/>
        <v/>
      </c>
    </row>
    <row r="19078" spans="8:8" x14ac:dyDescent="0.3">
      <c r="H19078" t="str">
        <f t="shared" si="347"/>
        <v/>
      </c>
    </row>
    <row r="19079" spans="8:8" x14ac:dyDescent="0.3">
      <c r="H19079" t="str">
        <f t="shared" si="347"/>
        <v/>
      </c>
    </row>
    <row r="19080" spans="8:8" x14ac:dyDescent="0.3">
      <c r="H19080" t="str">
        <f t="shared" si="347"/>
        <v/>
      </c>
    </row>
    <row r="19081" spans="8:8" x14ac:dyDescent="0.3">
      <c r="H19081" t="str">
        <f t="shared" si="347"/>
        <v/>
      </c>
    </row>
    <row r="19082" spans="8:8" x14ac:dyDescent="0.3">
      <c r="H19082" t="str">
        <f t="shared" si="347"/>
        <v/>
      </c>
    </row>
    <row r="19083" spans="8:8" x14ac:dyDescent="0.3">
      <c r="H19083" t="str">
        <f t="shared" si="347"/>
        <v/>
      </c>
    </row>
    <row r="19084" spans="8:8" x14ac:dyDescent="0.3">
      <c r="H19084" t="str">
        <f t="shared" si="347"/>
        <v/>
      </c>
    </row>
    <row r="19085" spans="8:8" x14ac:dyDescent="0.3">
      <c r="H19085" t="str">
        <f t="shared" si="347"/>
        <v/>
      </c>
    </row>
    <row r="19086" spans="8:8" x14ac:dyDescent="0.3">
      <c r="H19086" t="str">
        <f t="shared" si="347"/>
        <v/>
      </c>
    </row>
    <row r="19087" spans="8:8" x14ac:dyDescent="0.3">
      <c r="H19087" t="str">
        <f t="shared" si="347"/>
        <v/>
      </c>
    </row>
    <row r="19088" spans="8:8" x14ac:dyDescent="0.3">
      <c r="H19088" t="str">
        <f t="shared" si="347"/>
        <v/>
      </c>
    </row>
    <row r="19089" spans="8:8" x14ac:dyDescent="0.3">
      <c r="H19089" t="str">
        <f t="shared" si="347"/>
        <v/>
      </c>
    </row>
    <row r="19090" spans="8:8" x14ac:dyDescent="0.3">
      <c r="H19090" t="str">
        <f t="shared" si="347"/>
        <v/>
      </c>
    </row>
    <row r="19091" spans="8:8" x14ac:dyDescent="0.3">
      <c r="H19091" t="str">
        <f t="shared" si="347"/>
        <v/>
      </c>
    </row>
    <row r="19092" spans="8:8" x14ac:dyDescent="0.3">
      <c r="H19092" t="str">
        <f t="shared" si="347"/>
        <v/>
      </c>
    </row>
    <row r="19093" spans="8:8" x14ac:dyDescent="0.3">
      <c r="H19093" t="str">
        <f t="shared" si="347"/>
        <v/>
      </c>
    </row>
    <row r="19094" spans="8:8" x14ac:dyDescent="0.3">
      <c r="H19094" t="str">
        <f t="shared" si="347"/>
        <v/>
      </c>
    </row>
    <row r="19095" spans="8:8" x14ac:dyDescent="0.3">
      <c r="H19095" t="str">
        <f t="shared" ref="H19095:H19158" si="348">IF(B19095="","",$C$12)</f>
        <v/>
      </c>
    </row>
    <row r="19096" spans="8:8" x14ac:dyDescent="0.3">
      <c r="H19096" t="str">
        <f t="shared" si="348"/>
        <v/>
      </c>
    </row>
    <row r="19097" spans="8:8" x14ac:dyDescent="0.3">
      <c r="H19097" t="str">
        <f t="shared" si="348"/>
        <v/>
      </c>
    </row>
    <row r="19098" spans="8:8" x14ac:dyDescent="0.3">
      <c r="H19098" t="str">
        <f t="shared" si="348"/>
        <v/>
      </c>
    </row>
    <row r="19099" spans="8:8" x14ac:dyDescent="0.3">
      <c r="H19099" t="str">
        <f t="shared" si="348"/>
        <v/>
      </c>
    </row>
    <row r="19100" spans="8:8" x14ac:dyDescent="0.3">
      <c r="H19100" t="str">
        <f t="shared" si="348"/>
        <v/>
      </c>
    </row>
    <row r="19101" spans="8:8" x14ac:dyDescent="0.3">
      <c r="H19101" t="str">
        <f t="shared" si="348"/>
        <v/>
      </c>
    </row>
    <row r="19102" spans="8:8" x14ac:dyDescent="0.3">
      <c r="H19102" t="str">
        <f t="shared" si="348"/>
        <v/>
      </c>
    </row>
    <row r="19103" spans="8:8" x14ac:dyDescent="0.3">
      <c r="H19103" t="str">
        <f t="shared" si="348"/>
        <v/>
      </c>
    </row>
    <row r="19104" spans="8:8" x14ac:dyDescent="0.3">
      <c r="H19104" t="str">
        <f t="shared" si="348"/>
        <v/>
      </c>
    </row>
    <row r="19105" spans="8:8" x14ac:dyDescent="0.3">
      <c r="H19105" t="str">
        <f t="shared" si="348"/>
        <v/>
      </c>
    </row>
    <row r="19106" spans="8:8" x14ac:dyDescent="0.3">
      <c r="H19106" t="str">
        <f t="shared" si="348"/>
        <v/>
      </c>
    </row>
    <row r="19107" spans="8:8" x14ac:dyDescent="0.3">
      <c r="H19107" t="str">
        <f t="shared" si="348"/>
        <v/>
      </c>
    </row>
    <row r="19108" spans="8:8" x14ac:dyDescent="0.3">
      <c r="H19108" t="str">
        <f t="shared" si="348"/>
        <v/>
      </c>
    </row>
    <row r="19109" spans="8:8" x14ac:dyDescent="0.3">
      <c r="H19109" t="str">
        <f t="shared" si="348"/>
        <v/>
      </c>
    </row>
    <row r="19110" spans="8:8" x14ac:dyDescent="0.3">
      <c r="H19110" t="str">
        <f t="shared" si="348"/>
        <v/>
      </c>
    </row>
    <row r="19111" spans="8:8" x14ac:dyDescent="0.3">
      <c r="H19111" t="str">
        <f t="shared" si="348"/>
        <v/>
      </c>
    </row>
    <row r="19112" spans="8:8" x14ac:dyDescent="0.3">
      <c r="H19112" t="str">
        <f t="shared" si="348"/>
        <v/>
      </c>
    </row>
    <row r="19113" spans="8:8" x14ac:dyDescent="0.3">
      <c r="H19113" t="str">
        <f t="shared" si="348"/>
        <v/>
      </c>
    </row>
    <row r="19114" spans="8:8" x14ac:dyDescent="0.3">
      <c r="H19114" t="str">
        <f t="shared" si="348"/>
        <v/>
      </c>
    </row>
    <row r="19115" spans="8:8" x14ac:dyDescent="0.3">
      <c r="H19115" t="str">
        <f t="shared" si="348"/>
        <v/>
      </c>
    </row>
    <row r="19116" spans="8:8" x14ac:dyDescent="0.3">
      <c r="H19116" t="str">
        <f t="shared" si="348"/>
        <v/>
      </c>
    </row>
    <row r="19117" spans="8:8" x14ac:dyDescent="0.3">
      <c r="H19117" t="str">
        <f t="shared" si="348"/>
        <v/>
      </c>
    </row>
    <row r="19118" spans="8:8" x14ac:dyDescent="0.3">
      <c r="H19118" t="str">
        <f t="shared" si="348"/>
        <v/>
      </c>
    </row>
    <row r="19119" spans="8:8" x14ac:dyDescent="0.3">
      <c r="H19119" t="str">
        <f t="shared" si="348"/>
        <v/>
      </c>
    </row>
    <row r="19120" spans="8:8" x14ac:dyDescent="0.3">
      <c r="H19120" t="str">
        <f t="shared" si="348"/>
        <v/>
      </c>
    </row>
    <row r="19121" spans="8:8" x14ac:dyDescent="0.3">
      <c r="H19121" t="str">
        <f t="shared" si="348"/>
        <v/>
      </c>
    </row>
    <row r="19122" spans="8:8" x14ac:dyDescent="0.3">
      <c r="H19122" t="str">
        <f t="shared" si="348"/>
        <v/>
      </c>
    </row>
    <row r="19123" spans="8:8" x14ac:dyDescent="0.3">
      <c r="H19123" t="str">
        <f t="shared" si="348"/>
        <v/>
      </c>
    </row>
    <row r="19124" spans="8:8" x14ac:dyDescent="0.3">
      <c r="H19124" t="str">
        <f t="shared" si="348"/>
        <v/>
      </c>
    </row>
    <row r="19125" spans="8:8" x14ac:dyDescent="0.3">
      <c r="H19125" t="str">
        <f t="shared" si="348"/>
        <v/>
      </c>
    </row>
    <row r="19126" spans="8:8" x14ac:dyDescent="0.3">
      <c r="H19126" t="str">
        <f t="shared" si="348"/>
        <v/>
      </c>
    </row>
    <row r="19127" spans="8:8" x14ac:dyDescent="0.3">
      <c r="H19127" t="str">
        <f t="shared" si="348"/>
        <v/>
      </c>
    </row>
    <row r="19128" spans="8:8" x14ac:dyDescent="0.3">
      <c r="H19128" t="str">
        <f t="shared" si="348"/>
        <v/>
      </c>
    </row>
    <row r="19129" spans="8:8" x14ac:dyDescent="0.3">
      <c r="H19129" t="str">
        <f t="shared" si="348"/>
        <v/>
      </c>
    </row>
    <row r="19130" spans="8:8" x14ac:dyDescent="0.3">
      <c r="H19130" t="str">
        <f t="shared" si="348"/>
        <v/>
      </c>
    </row>
    <row r="19131" spans="8:8" x14ac:dyDescent="0.3">
      <c r="H19131" t="str">
        <f t="shared" si="348"/>
        <v/>
      </c>
    </row>
    <row r="19132" spans="8:8" x14ac:dyDescent="0.3">
      <c r="H19132" t="str">
        <f t="shared" si="348"/>
        <v/>
      </c>
    </row>
    <row r="19133" spans="8:8" x14ac:dyDescent="0.3">
      <c r="H19133" t="str">
        <f t="shared" si="348"/>
        <v/>
      </c>
    </row>
    <row r="19134" spans="8:8" x14ac:dyDescent="0.3">
      <c r="H19134" t="str">
        <f t="shared" si="348"/>
        <v/>
      </c>
    </row>
    <row r="19135" spans="8:8" x14ac:dyDescent="0.3">
      <c r="H19135" t="str">
        <f t="shared" si="348"/>
        <v/>
      </c>
    </row>
    <row r="19136" spans="8:8" x14ac:dyDescent="0.3">
      <c r="H19136" t="str">
        <f t="shared" si="348"/>
        <v/>
      </c>
    </row>
    <row r="19137" spans="8:8" x14ac:dyDescent="0.3">
      <c r="H19137" t="str">
        <f t="shared" si="348"/>
        <v/>
      </c>
    </row>
    <row r="19138" spans="8:8" x14ac:dyDescent="0.3">
      <c r="H19138" t="str">
        <f t="shared" si="348"/>
        <v/>
      </c>
    </row>
    <row r="19139" spans="8:8" x14ac:dyDescent="0.3">
      <c r="H19139" t="str">
        <f t="shared" si="348"/>
        <v/>
      </c>
    </row>
    <row r="19140" spans="8:8" x14ac:dyDescent="0.3">
      <c r="H19140" t="str">
        <f t="shared" si="348"/>
        <v/>
      </c>
    </row>
    <row r="19141" spans="8:8" x14ac:dyDescent="0.3">
      <c r="H19141" t="str">
        <f t="shared" si="348"/>
        <v/>
      </c>
    </row>
    <row r="19142" spans="8:8" x14ac:dyDescent="0.3">
      <c r="H19142" t="str">
        <f t="shared" si="348"/>
        <v/>
      </c>
    </row>
    <row r="19143" spans="8:8" x14ac:dyDescent="0.3">
      <c r="H19143" t="str">
        <f t="shared" si="348"/>
        <v/>
      </c>
    </row>
    <row r="19144" spans="8:8" x14ac:dyDescent="0.3">
      <c r="H19144" t="str">
        <f t="shared" si="348"/>
        <v/>
      </c>
    </row>
    <row r="19145" spans="8:8" x14ac:dyDescent="0.3">
      <c r="H19145" t="str">
        <f t="shared" si="348"/>
        <v/>
      </c>
    </row>
    <row r="19146" spans="8:8" x14ac:dyDescent="0.3">
      <c r="H19146" t="str">
        <f t="shared" si="348"/>
        <v/>
      </c>
    </row>
    <row r="19147" spans="8:8" x14ac:dyDescent="0.3">
      <c r="H19147" t="str">
        <f t="shared" si="348"/>
        <v/>
      </c>
    </row>
    <row r="19148" spans="8:8" x14ac:dyDescent="0.3">
      <c r="H19148" t="str">
        <f t="shared" si="348"/>
        <v/>
      </c>
    </row>
    <row r="19149" spans="8:8" x14ac:dyDescent="0.3">
      <c r="H19149" t="str">
        <f t="shared" si="348"/>
        <v/>
      </c>
    </row>
    <row r="19150" spans="8:8" x14ac:dyDescent="0.3">
      <c r="H19150" t="str">
        <f t="shared" si="348"/>
        <v/>
      </c>
    </row>
    <row r="19151" spans="8:8" x14ac:dyDescent="0.3">
      <c r="H19151" t="str">
        <f t="shared" si="348"/>
        <v/>
      </c>
    </row>
    <row r="19152" spans="8:8" x14ac:dyDescent="0.3">
      <c r="H19152" t="str">
        <f t="shared" si="348"/>
        <v/>
      </c>
    </row>
    <row r="19153" spans="8:8" x14ac:dyDescent="0.3">
      <c r="H19153" t="str">
        <f t="shared" si="348"/>
        <v/>
      </c>
    </row>
    <row r="19154" spans="8:8" x14ac:dyDescent="0.3">
      <c r="H19154" t="str">
        <f t="shared" si="348"/>
        <v/>
      </c>
    </row>
    <row r="19155" spans="8:8" x14ac:dyDescent="0.3">
      <c r="H19155" t="str">
        <f t="shared" si="348"/>
        <v/>
      </c>
    </row>
    <row r="19156" spans="8:8" x14ac:dyDescent="0.3">
      <c r="H19156" t="str">
        <f t="shared" si="348"/>
        <v/>
      </c>
    </row>
    <row r="19157" spans="8:8" x14ac:dyDescent="0.3">
      <c r="H19157" t="str">
        <f t="shared" si="348"/>
        <v/>
      </c>
    </row>
    <row r="19158" spans="8:8" x14ac:dyDescent="0.3">
      <c r="H19158" t="str">
        <f t="shared" si="348"/>
        <v/>
      </c>
    </row>
    <row r="19159" spans="8:8" x14ac:dyDescent="0.3">
      <c r="H19159" t="str">
        <f t="shared" ref="H19159:H19222" si="349">IF(B19159="","",$C$12)</f>
        <v/>
      </c>
    </row>
    <row r="19160" spans="8:8" x14ac:dyDescent="0.3">
      <c r="H19160" t="str">
        <f t="shared" si="349"/>
        <v/>
      </c>
    </row>
    <row r="19161" spans="8:8" x14ac:dyDescent="0.3">
      <c r="H19161" t="str">
        <f t="shared" si="349"/>
        <v/>
      </c>
    </row>
    <row r="19162" spans="8:8" x14ac:dyDescent="0.3">
      <c r="H19162" t="str">
        <f t="shared" si="349"/>
        <v/>
      </c>
    </row>
    <row r="19163" spans="8:8" x14ac:dyDescent="0.3">
      <c r="H19163" t="str">
        <f t="shared" si="349"/>
        <v/>
      </c>
    </row>
    <row r="19164" spans="8:8" x14ac:dyDescent="0.3">
      <c r="H19164" t="str">
        <f t="shared" si="349"/>
        <v/>
      </c>
    </row>
    <row r="19165" spans="8:8" x14ac:dyDescent="0.3">
      <c r="H19165" t="str">
        <f t="shared" si="349"/>
        <v/>
      </c>
    </row>
    <row r="19166" spans="8:8" x14ac:dyDescent="0.3">
      <c r="H19166" t="str">
        <f t="shared" si="349"/>
        <v/>
      </c>
    </row>
    <row r="19167" spans="8:8" x14ac:dyDescent="0.3">
      <c r="H19167" t="str">
        <f t="shared" si="349"/>
        <v/>
      </c>
    </row>
    <row r="19168" spans="8:8" x14ac:dyDescent="0.3">
      <c r="H19168" t="str">
        <f t="shared" si="349"/>
        <v/>
      </c>
    </row>
    <row r="19169" spans="8:8" x14ac:dyDescent="0.3">
      <c r="H19169" t="str">
        <f t="shared" si="349"/>
        <v/>
      </c>
    </row>
    <row r="19170" spans="8:8" x14ac:dyDescent="0.3">
      <c r="H19170" t="str">
        <f t="shared" si="349"/>
        <v/>
      </c>
    </row>
    <row r="19171" spans="8:8" x14ac:dyDescent="0.3">
      <c r="H19171" t="str">
        <f t="shared" si="349"/>
        <v/>
      </c>
    </row>
    <row r="19172" spans="8:8" x14ac:dyDescent="0.3">
      <c r="H19172" t="str">
        <f t="shared" si="349"/>
        <v/>
      </c>
    </row>
    <row r="19173" spans="8:8" x14ac:dyDescent="0.3">
      <c r="H19173" t="str">
        <f t="shared" si="349"/>
        <v/>
      </c>
    </row>
    <row r="19174" spans="8:8" x14ac:dyDescent="0.3">
      <c r="H19174" t="str">
        <f t="shared" si="349"/>
        <v/>
      </c>
    </row>
    <row r="19175" spans="8:8" x14ac:dyDescent="0.3">
      <c r="H19175" t="str">
        <f t="shared" si="349"/>
        <v/>
      </c>
    </row>
    <row r="19176" spans="8:8" x14ac:dyDescent="0.3">
      <c r="H19176" t="str">
        <f t="shared" si="349"/>
        <v/>
      </c>
    </row>
    <row r="19177" spans="8:8" x14ac:dyDescent="0.3">
      <c r="H19177" t="str">
        <f t="shared" si="349"/>
        <v/>
      </c>
    </row>
    <row r="19178" spans="8:8" x14ac:dyDescent="0.3">
      <c r="H19178" t="str">
        <f t="shared" si="349"/>
        <v/>
      </c>
    </row>
    <row r="19179" spans="8:8" x14ac:dyDescent="0.3">
      <c r="H19179" t="str">
        <f t="shared" si="349"/>
        <v/>
      </c>
    </row>
    <row r="19180" spans="8:8" x14ac:dyDescent="0.3">
      <c r="H19180" t="str">
        <f t="shared" si="349"/>
        <v/>
      </c>
    </row>
    <row r="19181" spans="8:8" x14ac:dyDescent="0.3">
      <c r="H19181" t="str">
        <f t="shared" si="349"/>
        <v/>
      </c>
    </row>
    <row r="19182" spans="8:8" x14ac:dyDescent="0.3">
      <c r="H19182" t="str">
        <f t="shared" si="349"/>
        <v/>
      </c>
    </row>
    <row r="19183" spans="8:8" x14ac:dyDescent="0.3">
      <c r="H19183" t="str">
        <f t="shared" si="349"/>
        <v/>
      </c>
    </row>
    <row r="19184" spans="8:8" x14ac:dyDescent="0.3">
      <c r="H19184" t="str">
        <f t="shared" si="349"/>
        <v/>
      </c>
    </row>
    <row r="19185" spans="8:8" x14ac:dyDescent="0.3">
      <c r="H19185" t="str">
        <f t="shared" si="349"/>
        <v/>
      </c>
    </row>
    <row r="19186" spans="8:8" x14ac:dyDescent="0.3">
      <c r="H19186" t="str">
        <f t="shared" si="349"/>
        <v/>
      </c>
    </row>
    <row r="19187" spans="8:8" x14ac:dyDescent="0.3">
      <c r="H19187" t="str">
        <f t="shared" si="349"/>
        <v/>
      </c>
    </row>
    <row r="19188" spans="8:8" x14ac:dyDescent="0.3">
      <c r="H19188" t="str">
        <f t="shared" si="349"/>
        <v/>
      </c>
    </row>
    <row r="19189" spans="8:8" x14ac:dyDescent="0.3">
      <c r="H19189" t="str">
        <f t="shared" si="349"/>
        <v/>
      </c>
    </row>
    <row r="19190" spans="8:8" x14ac:dyDescent="0.3">
      <c r="H19190" t="str">
        <f t="shared" si="349"/>
        <v/>
      </c>
    </row>
    <row r="19191" spans="8:8" x14ac:dyDescent="0.3">
      <c r="H19191" t="str">
        <f t="shared" si="349"/>
        <v/>
      </c>
    </row>
    <row r="19192" spans="8:8" x14ac:dyDescent="0.3">
      <c r="H19192" t="str">
        <f t="shared" si="349"/>
        <v/>
      </c>
    </row>
    <row r="19193" spans="8:8" x14ac:dyDescent="0.3">
      <c r="H19193" t="str">
        <f t="shared" si="349"/>
        <v/>
      </c>
    </row>
    <row r="19194" spans="8:8" x14ac:dyDescent="0.3">
      <c r="H19194" t="str">
        <f t="shared" si="349"/>
        <v/>
      </c>
    </row>
    <row r="19195" spans="8:8" x14ac:dyDescent="0.3">
      <c r="H19195" t="str">
        <f t="shared" si="349"/>
        <v/>
      </c>
    </row>
    <row r="19196" spans="8:8" x14ac:dyDescent="0.3">
      <c r="H19196" t="str">
        <f t="shared" si="349"/>
        <v/>
      </c>
    </row>
    <row r="19197" spans="8:8" x14ac:dyDescent="0.3">
      <c r="H19197" t="str">
        <f t="shared" si="349"/>
        <v/>
      </c>
    </row>
    <row r="19198" spans="8:8" x14ac:dyDescent="0.3">
      <c r="H19198" t="str">
        <f t="shared" si="349"/>
        <v/>
      </c>
    </row>
    <row r="19199" spans="8:8" x14ac:dyDescent="0.3">
      <c r="H19199" t="str">
        <f t="shared" si="349"/>
        <v/>
      </c>
    </row>
    <row r="19200" spans="8:8" x14ac:dyDescent="0.3">
      <c r="H19200" t="str">
        <f t="shared" si="349"/>
        <v/>
      </c>
    </row>
    <row r="19201" spans="8:8" x14ac:dyDescent="0.3">
      <c r="H19201" t="str">
        <f t="shared" si="349"/>
        <v/>
      </c>
    </row>
    <row r="19202" spans="8:8" x14ac:dyDescent="0.3">
      <c r="H19202" t="str">
        <f t="shared" si="349"/>
        <v/>
      </c>
    </row>
    <row r="19203" spans="8:8" x14ac:dyDescent="0.3">
      <c r="H19203" t="str">
        <f t="shared" si="349"/>
        <v/>
      </c>
    </row>
    <row r="19204" spans="8:8" x14ac:dyDescent="0.3">
      <c r="H19204" t="str">
        <f t="shared" si="349"/>
        <v/>
      </c>
    </row>
    <row r="19205" spans="8:8" x14ac:dyDescent="0.3">
      <c r="H19205" t="str">
        <f t="shared" si="349"/>
        <v/>
      </c>
    </row>
    <row r="19206" spans="8:8" x14ac:dyDescent="0.3">
      <c r="H19206" t="str">
        <f t="shared" si="349"/>
        <v/>
      </c>
    </row>
    <row r="19207" spans="8:8" x14ac:dyDescent="0.3">
      <c r="H19207" t="str">
        <f t="shared" si="349"/>
        <v/>
      </c>
    </row>
    <row r="19208" spans="8:8" x14ac:dyDescent="0.3">
      <c r="H19208" t="str">
        <f t="shared" si="349"/>
        <v/>
      </c>
    </row>
    <row r="19209" spans="8:8" x14ac:dyDescent="0.3">
      <c r="H19209" t="str">
        <f t="shared" si="349"/>
        <v/>
      </c>
    </row>
    <row r="19210" spans="8:8" x14ac:dyDescent="0.3">
      <c r="H19210" t="str">
        <f t="shared" si="349"/>
        <v/>
      </c>
    </row>
    <row r="19211" spans="8:8" x14ac:dyDescent="0.3">
      <c r="H19211" t="str">
        <f t="shared" si="349"/>
        <v/>
      </c>
    </row>
    <row r="19212" spans="8:8" x14ac:dyDescent="0.3">
      <c r="H19212" t="str">
        <f t="shared" si="349"/>
        <v/>
      </c>
    </row>
    <row r="19213" spans="8:8" x14ac:dyDescent="0.3">
      <c r="H19213" t="str">
        <f t="shared" si="349"/>
        <v/>
      </c>
    </row>
    <row r="19214" spans="8:8" x14ac:dyDescent="0.3">
      <c r="H19214" t="str">
        <f t="shared" si="349"/>
        <v/>
      </c>
    </row>
    <row r="19215" spans="8:8" x14ac:dyDescent="0.3">
      <c r="H19215" t="str">
        <f t="shared" si="349"/>
        <v/>
      </c>
    </row>
    <row r="19216" spans="8:8" x14ac:dyDescent="0.3">
      <c r="H19216" t="str">
        <f t="shared" si="349"/>
        <v/>
      </c>
    </row>
    <row r="19217" spans="8:8" x14ac:dyDescent="0.3">
      <c r="H19217" t="str">
        <f t="shared" si="349"/>
        <v/>
      </c>
    </row>
    <row r="19218" spans="8:8" x14ac:dyDescent="0.3">
      <c r="H19218" t="str">
        <f t="shared" si="349"/>
        <v/>
      </c>
    </row>
    <row r="19219" spans="8:8" x14ac:dyDescent="0.3">
      <c r="H19219" t="str">
        <f t="shared" si="349"/>
        <v/>
      </c>
    </row>
    <row r="19220" spans="8:8" x14ac:dyDescent="0.3">
      <c r="H19220" t="str">
        <f t="shared" si="349"/>
        <v/>
      </c>
    </row>
    <row r="19221" spans="8:8" x14ac:dyDescent="0.3">
      <c r="H19221" t="str">
        <f t="shared" si="349"/>
        <v/>
      </c>
    </row>
    <row r="19222" spans="8:8" x14ac:dyDescent="0.3">
      <c r="H19222" t="str">
        <f t="shared" si="349"/>
        <v/>
      </c>
    </row>
    <row r="19223" spans="8:8" x14ac:dyDescent="0.3">
      <c r="H19223" t="str">
        <f t="shared" ref="H19223:H19286" si="350">IF(B19223="","",$C$12)</f>
        <v/>
      </c>
    </row>
    <row r="19224" spans="8:8" x14ac:dyDescent="0.3">
      <c r="H19224" t="str">
        <f t="shared" si="350"/>
        <v/>
      </c>
    </row>
    <row r="19225" spans="8:8" x14ac:dyDescent="0.3">
      <c r="H19225" t="str">
        <f t="shared" si="350"/>
        <v/>
      </c>
    </row>
    <row r="19226" spans="8:8" x14ac:dyDescent="0.3">
      <c r="H19226" t="str">
        <f t="shared" si="350"/>
        <v/>
      </c>
    </row>
    <row r="19227" spans="8:8" x14ac:dyDescent="0.3">
      <c r="H19227" t="str">
        <f t="shared" si="350"/>
        <v/>
      </c>
    </row>
    <row r="19228" spans="8:8" x14ac:dyDescent="0.3">
      <c r="H19228" t="str">
        <f t="shared" si="350"/>
        <v/>
      </c>
    </row>
    <row r="19229" spans="8:8" x14ac:dyDescent="0.3">
      <c r="H19229" t="str">
        <f t="shared" si="350"/>
        <v/>
      </c>
    </row>
    <row r="19230" spans="8:8" x14ac:dyDescent="0.3">
      <c r="H19230" t="str">
        <f t="shared" si="350"/>
        <v/>
      </c>
    </row>
    <row r="19231" spans="8:8" x14ac:dyDescent="0.3">
      <c r="H19231" t="str">
        <f t="shared" si="350"/>
        <v/>
      </c>
    </row>
    <row r="19232" spans="8:8" x14ac:dyDescent="0.3">
      <c r="H19232" t="str">
        <f t="shared" si="350"/>
        <v/>
      </c>
    </row>
    <row r="19233" spans="8:8" x14ac:dyDescent="0.3">
      <c r="H19233" t="str">
        <f t="shared" si="350"/>
        <v/>
      </c>
    </row>
    <row r="19234" spans="8:8" x14ac:dyDescent="0.3">
      <c r="H19234" t="str">
        <f t="shared" si="350"/>
        <v/>
      </c>
    </row>
    <row r="19235" spans="8:8" x14ac:dyDescent="0.3">
      <c r="H19235" t="str">
        <f t="shared" si="350"/>
        <v/>
      </c>
    </row>
    <row r="19236" spans="8:8" x14ac:dyDescent="0.3">
      <c r="H19236" t="str">
        <f t="shared" si="350"/>
        <v/>
      </c>
    </row>
    <row r="19237" spans="8:8" x14ac:dyDescent="0.3">
      <c r="H19237" t="str">
        <f t="shared" si="350"/>
        <v/>
      </c>
    </row>
    <row r="19238" spans="8:8" x14ac:dyDescent="0.3">
      <c r="H19238" t="str">
        <f t="shared" si="350"/>
        <v/>
      </c>
    </row>
    <row r="19239" spans="8:8" x14ac:dyDescent="0.3">
      <c r="H19239" t="str">
        <f t="shared" si="350"/>
        <v/>
      </c>
    </row>
    <row r="19240" spans="8:8" x14ac:dyDescent="0.3">
      <c r="H19240" t="str">
        <f t="shared" si="350"/>
        <v/>
      </c>
    </row>
    <row r="19241" spans="8:8" x14ac:dyDescent="0.3">
      <c r="H19241" t="str">
        <f t="shared" si="350"/>
        <v/>
      </c>
    </row>
    <row r="19242" spans="8:8" x14ac:dyDescent="0.3">
      <c r="H19242" t="str">
        <f t="shared" si="350"/>
        <v/>
      </c>
    </row>
    <row r="19243" spans="8:8" x14ac:dyDescent="0.3">
      <c r="H19243" t="str">
        <f t="shared" si="350"/>
        <v/>
      </c>
    </row>
    <row r="19244" spans="8:8" x14ac:dyDescent="0.3">
      <c r="H19244" t="str">
        <f t="shared" si="350"/>
        <v/>
      </c>
    </row>
    <row r="19245" spans="8:8" x14ac:dyDescent="0.3">
      <c r="H19245" t="str">
        <f t="shared" si="350"/>
        <v/>
      </c>
    </row>
    <row r="19246" spans="8:8" x14ac:dyDescent="0.3">
      <c r="H19246" t="str">
        <f t="shared" si="350"/>
        <v/>
      </c>
    </row>
    <row r="19247" spans="8:8" x14ac:dyDescent="0.3">
      <c r="H19247" t="str">
        <f t="shared" si="350"/>
        <v/>
      </c>
    </row>
    <row r="19248" spans="8:8" x14ac:dyDescent="0.3">
      <c r="H19248" t="str">
        <f t="shared" si="350"/>
        <v/>
      </c>
    </row>
    <row r="19249" spans="8:8" x14ac:dyDescent="0.3">
      <c r="H19249" t="str">
        <f t="shared" si="350"/>
        <v/>
      </c>
    </row>
    <row r="19250" spans="8:8" x14ac:dyDescent="0.3">
      <c r="H19250" t="str">
        <f t="shared" si="350"/>
        <v/>
      </c>
    </row>
    <row r="19251" spans="8:8" x14ac:dyDescent="0.3">
      <c r="H19251" t="str">
        <f t="shared" si="350"/>
        <v/>
      </c>
    </row>
    <row r="19252" spans="8:8" x14ac:dyDescent="0.3">
      <c r="H19252" t="str">
        <f t="shared" si="350"/>
        <v/>
      </c>
    </row>
    <row r="19253" spans="8:8" x14ac:dyDescent="0.3">
      <c r="H19253" t="str">
        <f t="shared" si="350"/>
        <v/>
      </c>
    </row>
    <row r="19254" spans="8:8" x14ac:dyDescent="0.3">
      <c r="H19254" t="str">
        <f t="shared" si="350"/>
        <v/>
      </c>
    </row>
    <row r="19255" spans="8:8" x14ac:dyDescent="0.3">
      <c r="H19255" t="str">
        <f t="shared" si="350"/>
        <v/>
      </c>
    </row>
    <row r="19256" spans="8:8" x14ac:dyDescent="0.3">
      <c r="H19256" t="str">
        <f t="shared" si="350"/>
        <v/>
      </c>
    </row>
    <row r="19257" spans="8:8" x14ac:dyDescent="0.3">
      <c r="H19257" t="str">
        <f t="shared" si="350"/>
        <v/>
      </c>
    </row>
    <row r="19258" spans="8:8" x14ac:dyDescent="0.3">
      <c r="H19258" t="str">
        <f t="shared" si="350"/>
        <v/>
      </c>
    </row>
    <row r="19259" spans="8:8" x14ac:dyDescent="0.3">
      <c r="H19259" t="str">
        <f t="shared" si="350"/>
        <v/>
      </c>
    </row>
    <row r="19260" spans="8:8" x14ac:dyDescent="0.3">
      <c r="H19260" t="str">
        <f t="shared" si="350"/>
        <v/>
      </c>
    </row>
    <row r="19261" spans="8:8" x14ac:dyDescent="0.3">
      <c r="H19261" t="str">
        <f t="shared" si="350"/>
        <v/>
      </c>
    </row>
    <row r="19262" spans="8:8" x14ac:dyDescent="0.3">
      <c r="H19262" t="str">
        <f t="shared" si="350"/>
        <v/>
      </c>
    </row>
    <row r="19263" spans="8:8" x14ac:dyDescent="0.3">
      <c r="H19263" t="str">
        <f t="shared" si="350"/>
        <v/>
      </c>
    </row>
    <row r="19264" spans="8:8" x14ac:dyDescent="0.3">
      <c r="H19264" t="str">
        <f t="shared" si="350"/>
        <v/>
      </c>
    </row>
    <row r="19265" spans="8:8" x14ac:dyDescent="0.3">
      <c r="H19265" t="str">
        <f t="shared" si="350"/>
        <v/>
      </c>
    </row>
    <row r="19266" spans="8:8" x14ac:dyDescent="0.3">
      <c r="H19266" t="str">
        <f t="shared" si="350"/>
        <v/>
      </c>
    </row>
    <row r="19267" spans="8:8" x14ac:dyDescent="0.3">
      <c r="H19267" t="str">
        <f t="shared" si="350"/>
        <v/>
      </c>
    </row>
    <row r="19268" spans="8:8" x14ac:dyDescent="0.3">
      <c r="H19268" t="str">
        <f t="shared" si="350"/>
        <v/>
      </c>
    </row>
    <row r="19269" spans="8:8" x14ac:dyDescent="0.3">
      <c r="H19269" t="str">
        <f t="shared" si="350"/>
        <v/>
      </c>
    </row>
    <row r="19270" spans="8:8" x14ac:dyDescent="0.3">
      <c r="H19270" t="str">
        <f t="shared" si="350"/>
        <v/>
      </c>
    </row>
    <row r="19271" spans="8:8" x14ac:dyDescent="0.3">
      <c r="H19271" t="str">
        <f t="shared" si="350"/>
        <v/>
      </c>
    </row>
    <row r="19272" spans="8:8" x14ac:dyDescent="0.3">
      <c r="H19272" t="str">
        <f t="shared" si="350"/>
        <v/>
      </c>
    </row>
    <row r="19273" spans="8:8" x14ac:dyDescent="0.3">
      <c r="H19273" t="str">
        <f t="shared" si="350"/>
        <v/>
      </c>
    </row>
    <row r="19274" spans="8:8" x14ac:dyDescent="0.3">
      <c r="H19274" t="str">
        <f t="shared" si="350"/>
        <v/>
      </c>
    </row>
    <row r="19275" spans="8:8" x14ac:dyDescent="0.3">
      <c r="H19275" t="str">
        <f t="shared" si="350"/>
        <v/>
      </c>
    </row>
    <row r="19276" spans="8:8" x14ac:dyDescent="0.3">
      <c r="H19276" t="str">
        <f t="shared" si="350"/>
        <v/>
      </c>
    </row>
    <row r="19277" spans="8:8" x14ac:dyDescent="0.3">
      <c r="H19277" t="str">
        <f t="shared" si="350"/>
        <v/>
      </c>
    </row>
    <row r="19278" spans="8:8" x14ac:dyDescent="0.3">
      <c r="H19278" t="str">
        <f t="shared" si="350"/>
        <v/>
      </c>
    </row>
    <row r="19279" spans="8:8" x14ac:dyDescent="0.3">
      <c r="H19279" t="str">
        <f t="shared" si="350"/>
        <v/>
      </c>
    </row>
    <row r="19280" spans="8:8" x14ac:dyDescent="0.3">
      <c r="H19280" t="str">
        <f t="shared" si="350"/>
        <v/>
      </c>
    </row>
    <row r="19281" spans="8:8" x14ac:dyDescent="0.3">
      <c r="H19281" t="str">
        <f t="shared" si="350"/>
        <v/>
      </c>
    </row>
    <row r="19282" spans="8:8" x14ac:dyDescent="0.3">
      <c r="H19282" t="str">
        <f t="shared" si="350"/>
        <v/>
      </c>
    </row>
    <row r="19283" spans="8:8" x14ac:dyDescent="0.3">
      <c r="H19283" t="str">
        <f t="shared" si="350"/>
        <v/>
      </c>
    </row>
    <row r="19284" spans="8:8" x14ac:dyDescent="0.3">
      <c r="H19284" t="str">
        <f t="shared" si="350"/>
        <v/>
      </c>
    </row>
    <row r="19285" spans="8:8" x14ac:dyDescent="0.3">
      <c r="H19285" t="str">
        <f t="shared" si="350"/>
        <v/>
      </c>
    </row>
    <row r="19286" spans="8:8" x14ac:dyDescent="0.3">
      <c r="H19286" t="str">
        <f t="shared" si="350"/>
        <v/>
      </c>
    </row>
    <row r="19287" spans="8:8" x14ac:dyDescent="0.3">
      <c r="H19287" t="str">
        <f t="shared" ref="H19287:H19350" si="351">IF(B19287="","",$C$12)</f>
        <v/>
      </c>
    </row>
    <row r="19288" spans="8:8" x14ac:dyDescent="0.3">
      <c r="H19288" t="str">
        <f t="shared" si="351"/>
        <v/>
      </c>
    </row>
    <row r="19289" spans="8:8" x14ac:dyDescent="0.3">
      <c r="H19289" t="str">
        <f t="shared" si="351"/>
        <v/>
      </c>
    </row>
    <row r="19290" spans="8:8" x14ac:dyDescent="0.3">
      <c r="H19290" t="str">
        <f t="shared" si="351"/>
        <v/>
      </c>
    </row>
    <row r="19291" spans="8:8" x14ac:dyDescent="0.3">
      <c r="H19291" t="str">
        <f t="shared" si="351"/>
        <v/>
      </c>
    </row>
    <row r="19292" spans="8:8" x14ac:dyDescent="0.3">
      <c r="H19292" t="str">
        <f t="shared" si="351"/>
        <v/>
      </c>
    </row>
    <row r="19293" spans="8:8" x14ac:dyDescent="0.3">
      <c r="H19293" t="str">
        <f t="shared" si="351"/>
        <v/>
      </c>
    </row>
    <row r="19294" spans="8:8" x14ac:dyDescent="0.3">
      <c r="H19294" t="str">
        <f t="shared" si="351"/>
        <v/>
      </c>
    </row>
    <row r="19295" spans="8:8" x14ac:dyDescent="0.3">
      <c r="H19295" t="str">
        <f t="shared" si="351"/>
        <v/>
      </c>
    </row>
    <row r="19296" spans="8:8" x14ac:dyDescent="0.3">
      <c r="H19296" t="str">
        <f t="shared" si="351"/>
        <v/>
      </c>
    </row>
    <row r="19297" spans="8:8" x14ac:dyDescent="0.3">
      <c r="H19297" t="str">
        <f t="shared" si="351"/>
        <v/>
      </c>
    </row>
    <row r="19298" spans="8:8" x14ac:dyDescent="0.3">
      <c r="H19298" t="str">
        <f t="shared" si="351"/>
        <v/>
      </c>
    </row>
    <row r="19299" spans="8:8" x14ac:dyDescent="0.3">
      <c r="H19299" t="str">
        <f t="shared" si="351"/>
        <v/>
      </c>
    </row>
    <row r="19300" spans="8:8" x14ac:dyDescent="0.3">
      <c r="H19300" t="str">
        <f t="shared" si="351"/>
        <v/>
      </c>
    </row>
    <row r="19301" spans="8:8" x14ac:dyDescent="0.3">
      <c r="H19301" t="str">
        <f t="shared" si="351"/>
        <v/>
      </c>
    </row>
    <row r="19302" spans="8:8" x14ac:dyDescent="0.3">
      <c r="H19302" t="str">
        <f t="shared" si="351"/>
        <v/>
      </c>
    </row>
    <row r="19303" spans="8:8" x14ac:dyDescent="0.3">
      <c r="H19303" t="str">
        <f t="shared" si="351"/>
        <v/>
      </c>
    </row>
    <row r="19304" spans="8:8" x14ac:dyDescent="0.3">
      <c r="H19304" t="str">
        <f t="shared" si="351"/>
        <v/>
      </c>
    </row>
    <row r="19305" spans="8:8" x14ac:dyDescent="0.3">
      <c r="H19305" t="str">
        <f t="shared" si="351"/>
        <v/>
      </c>
    </row>
    <row r="19306" spans="8:8" x14ac:dyDescent="0.3">
      <c r="H19306" t="str">
        <f t="shared" si="351"/>
        <v/>
      </c>
    </row>
    <row r="19307" spans="8:8" x14ac:dyDescent="0.3">
      <c r="H19307" t="str">
        <f t="shared" si="351"/>
        <v/>
      </c>
    </row>
    <row r="19308" spans="8:8" x14ac:dyDescent="0.3">
      <c r="H19308" t="str">
        <f t="shared" si="351"/>
        <v/>
      </c>
    </row>
    <row r="19309" spans="8:8" x14ac:dyDescent="0.3">
      <c r="H19309" t="str">
        <f t="shared" si="351"/>
        <v/>
      </c>
    </row>
    <row r="19310" spans="8:8" x14ac:dyDescent="0.3">
      <c r="H19310" t="str">
        <f t="shared" si="351"/>
        <v/>
      </c>
    </row>
    <row r="19311" spans="8:8" x14ac:dyDescent="0.3">
      <c r="H19311" t="str">
        <f t="shared" si="351"/>
        <v/>
      </c>
    </row>
    <row r="19312" spans="8:8" x14ac:dyDescent="0.3">
      <c r="H19312" t="str">
        <f t="shared" si="351"/>
        <v/>
      </c>
    </row>
    <row r="19313" spans="8:8" x14ac:dyDescent="0.3">
      <c r="H19313" t="str">
        <f t="shared" si="351"/>
        <v/>
      </c>
    </row>
    <row r="19314" spans="8:8" x14ac:dyDescent="0.3">
      <c r="H19314" t="str">
        <f t="shared" si="351"/>
        <v/>
      </c>
    </row>
    <row r="19315" spans="8:8" x14ac:dyDescent="0.3">
      <c r="H19315" t="str">
        <f t="shared" si="351"/>
        <v/>
      </c>
    </row>
    <row r="19316" spans="8:8" x14ac:dyDescent="0.3">
      <c r="H19316" t="str">
        <f t="shared" si="351"/>
        <v/>
      </c>
    </row>
    <row r="19317" spans="8:8" x14ac:dyDescent="0.3">
      <c r="H19317" t="str">
        <f t="shared" si="351"/>
        <v/>
      </c>
    </row>
    <row r="19318" spans="8:8" x14ac:dyDescent="0.3">
      <c r="H19318" t="str">
        <f t="shared" si="351"/>
        <v/>
      </c>
    </row>
    <row r="19319" spans="8:8" x14ac:dyDescent="0.3">
      <c r="H19319" t="str">
        <f t="shared" si="351"/>
        <v/>
      </c>
    </row>
    <row r="19320" spans="8:8" x14ac:dyDescent="0.3">
      <c r="H19320" t="str">
        <f t="shared" si="351"/>
        <v/>
      </c>
    </row>
    <row r="19321" spans="8:8" x14ac:dyDescent="0.3">
      <c r="H19321" t="str">
        <f t="shared" si="351"/>
        <v/>
      </c>
    </row>
    <row r="19322" spans="8:8" x14ac:dyDescent="0.3">
      <c r="H19322" t="str">
        <f t="shared" si="351"/>
        <v/>
      </c>
    </row>
    <row r="19323" spans="8:8" x14ac:dyDescent="0.3">
      <c r="H19323" t="str">
        <f t="shared" si="351"/>
        <v/>
      </c>
    </row>
    <row r="19324" spans="8:8" x14ac:dyDescent="0.3">
      <c r="H19324" t="str">
        <f t="shared" si="351"/>
        <v/>
      </c>
    </row>
    <row r="19325" spans="8:8" x14ac:dyDescent="0.3">
      <c r="H19325" t="str">
        <f t="shared" si="351"/>
        <v/>
      </c>
    </row>
    <row r="19326" spans="8:8" x14ac:dyDescent="0.3">
      <c r="H19326" t="str">
        <f t="shared" si="351"/>
        <v/>
      </c>
    </row>
    <row r="19327" spans="8:8" x14ac:dyDescent="0.3">
      <c r="H19327" t="str">
        <f t="shared" si="351"/>
        <v/>
      </c>
    </row>
    <row r="19328" spans="8:8" x14ac:dyDescent="0.3">
      <c r="H19328" t="str">
        <f t="shared" si="351"/>
        <v/>
      </c>
    </row>
    <row r="19329" spans="8:8" x14ac:dyDescent="0.3">
      <c r="H19329" t="str">
        <f t="shared" si="351"/>
        <v/>
      </c>
    </row>
    <row r="19330" spans="8:8" x14ac:dyDescent="0.3">
      <c r="H19330" t="str">
        <f t="shared" si="351"/>
        <v/>
      </c>
    </row>
    <row r="19331" spans="8:8" x14ac:dyDescent="0.3">
      <c r="H19331" t="str">
        <f t="shared" si="351"/>
        <v/>
      </c>
    </row>
    <row r="19332" spans="8:8" x14ac:dyDescent="0.3">
      <c r="H19332" t="str">
        <f t="shared" si="351"/>
        <v/>
      </c>
    </row>
    <row r="19333" spans="8:8" x14ac:dyDescent="0.3">
      <c r="H19333" t="str">
        <f t="shared" si="351"/>
        <v/>
      </c>
    </row>
    <row r="19334" spans="8:8" x14ac:dyDescent="0.3">
      <c r="H19334" t="str">
        <f t="shared" si="351"/>
        <v/>
      </c>
    </row>
    <row r="19335" spans="8:8" x14ac:dyDescent="0.3">
      <c r="H19335" t="str">
        <f t="shared" si="351"/>
        <v/>
      </c>
    </row>
    <row r="19336" spans="8:8" x14ac:dyDescent="0.3">
      <c r="H19336" t="str">
        <f t="shared" si="351"/>
        <v/>
      </c>
    </row>
    <row r="19337" spans="8:8" x14ac:dyDescent="0.3">
      <c r="H19337" t="str">
        <f t="shared" si="351"/>
        <v/>
      </c>
    </row>
    <row r="19338" spans="8:8" x14ac:dyDescent="0.3">
      <c r="H19338" t="str">
        <f t="shared" si="351"/>
        <v/>
      </c>
    </row>
    <row r="19339" spans="8:8" x14ac:dyDescent="0.3">
      <c r="H19339" t="str">
        <f t="shared" si="351"/>
        <v/>
      </c>
    </row>
    <row r="19340" spans="8:8" x14ac:dyDescent="0.3">
      <c r="H19340" t="str">
        <f t="shared" si="351"/>
        <v/>
      </c>
    </row>
    <row r="19341" spans="8:8" x14ac:dyDescent="0.3">
      <c r="H19341" t="str">
        <f t="shared" si="351"/>
        <v/>
      </c>
    </row>
    <row r="19342" spans="8:8" x14ac:dyDescent="0.3">
      <c r="H19342" t="str">
        <f t="shared" si="351"/>
        <v/>
      </c>
    </row>
    <row r="19343" spans="8:8" x14ac:dyDescent="0.3">
      <c r="H19343" t="str">
        <f t="shared" si="351"/>
        <v/>
      </c>
    </row>
    <row r="19344" spans="8:8" x14ac:dyDescent="0.3">
      <c r="H19344" t="str">
        <f t="shared" si="351"/>
        <v/>
      </c>
    </row>
    <row r="19345" spans="8:8" x14ac:dyDescent="0.3">
      <c r="H19345" t="str">
        <f t="shared" si="351"/>
        <v/>
      </c>
    </row>
    <row r="19346" spans="8:8" x14ac:dyDescent="0.3">
      <c r="H19346" t="str">
        <f t="shared" si="351"/>
        <v/>
      </c>
    </row>
    <row r="19347" spans="8:8" x14ac:dyDescent="0.3">
      <c r="H19347" t="str">
        <f t="shared" si="351"/>
        <v/>
      </c>
    </row>
    <row r="19348" spans="8:8" x14ac:dyDescent="0.3">
      <c r="H19348" t="str">
        <f t="shared" si="351"/>
        <v/>
      </c>
    </row>
    <row r="19349" spans="8:8" x14ac:dyDescent="0.3">
      <c r="H19349" t="str">
        <f t="shared" si="351"/>
        <v/>
      </c>
    </row>
    <row r="19350" spans="8:8" x14ac:dyDescent="0.3">
      <c r="H19350" t="str">
        <f t="shared" si="351"/>
        <v/>
      </c>
    </row>
    <row r="19351" spans="8:8" x14ac:dyDescent="0.3">
      <c r="H19351" t="str">
        <f t="shared" ref="H19351:H19414" si="352">IF(B19351="","",$C$12)</f>
        <v/>
      </c>
    </row>
    <row r="19352" spans="8:8" x14ac:dyDescent="0.3">
      <c r="H19352" t="str">
        <f t="shared" si="352"/>
        <v/>
      </c>
    </row>
    <row r="19353" spans="8:8" x14ac:dyDescent="0.3">
      <c r="H19353" t="str">
        <f t="shared" si="352"/>
        <v/>
      </c>
    </row>
    <row r="19354" spans="8:8" x14ac:dyDescent="0.3">
      <c r="H19354" t="str">
        <f t="shared" si="352"/>
        <v/>
      </c>
    </row>
    <row r="19355" spans="8:8" x14ac:dyDescent="0.3">
      <c r="H19355" t="str">
        <f t="shared" si="352"/>
        <v/>
      </c>
    </row>
    <row r="19356" spans="8:8" x14ac:dyDescent="0.3">
      <c r="H19356" t="str">
        <f t="shared" si="352"/>
        <v/>
      </c>
    </row>
    <row r="19357" spans="8:8" x14ac:dyDescent="0.3">
      <c r="H19357" t="str">
        <f t="shared" si="352"/>
        <v/>
      </c>
    </row>
    <row r="19358" spans="8:8" x14ac:dyDescent="0.3">
      <c r="H19358" t="str">
        <f t="shared" si="352"/>
        <v/>
      </c>
    </row>
    <row r="19359" spans="8:8" x14ac:dyDescent="0.3">
      <c r="H19359" t="str">
        <f t="shared" si="352"/>
        <v/>
      </c>
    </row>
    <row r="19360" spans="8:8" x14ac:dyDescent="0.3">
      <c r="H19360" t="str">
        <f t="shared" si="352"/>
        <v/>
      </c>
    </row>
    <row r="19361" spans="8:8" x14ac:dyDescent="0.3">
      <c r="H19361" t="str">
        <f t="shared" si="352"/>
        <v/>
      </c>
    </row>
    <row r="19362" spans="8:8" x14ac:dyDescent="0.3">
      <c r="H19362" t="str">
        <f t="shared" si="352"/>
        <v/>
      </c>
    </row>
    <row r="19363" spans="8:8" x14ac:dyDescent="0.3">
      <c r="H19363" t="str">
        <f t="shared" si="352"/>
        <v/>
      </c>
    </row>
    <row r="19364" spans="8:8" x14ac:dyDescent="0.3">
      <c r="H19364" t="str">
        <f t="shared" si="352"/>
        <v/>
      </c>
    </row>
    <row r="19365" spans="8:8" x14ac:dyDescent="0.3">
      <c r="H19365" t="str">
        <f t="shared" si="352"/>
        <v/>
      </c>
    </row>
    <row r="19366" spans="8:8" x14ac:dyDescent="0.3">
      <c r="H19366" t="str">
        <f t="shared" si="352"/>
        <v/>
      </c>
    </row>
    <row r="19367" spans="8:8" x14ac:dyDescent="0.3">
      <c r="H19367" t="str">
        <f t="shared" si="352"/>
        <v/>
      </c>
    </row>
    <row r="19368" spans="8:8" x14ac:dyDescent="0.3">
      <c r="H19368" t="str">
        <f t="shared" si="352"/>
        <v/>
      </c>
    </row>
    <row r="19369" spans="8:8" x14ac:dyDescent="0.3">
      <c r="H19369" t="str">
        <f t="shared" si="352"/>
        <v/>
      </c>
    </row>
    <row r="19370" spans="8:8" x14ac:dyDescent="0.3">
      <c r="H19370" t="str">
        <f t="shared" si="352"/>
        <v/>
      </c>
    </row>
    <row r="19371" spans="8:8" x14ac:dyDescent="0.3">
      <c r="H19371" t="str">
        <f t="shared" si="352"/>
        <v/>
      </c>
    </row>
    <row r="19372" spans="8:8" x14ac:dyDescent="0.3">
      <c r="H19372" t="str">
        <f t="shared" si="352"/>
        <v/>
      </c>
    </row>
    <row r="19373" spans="8:8" x14ac:dyDescent="0.3">
      <c r="H19373" t="str">
        <f t="shared" si="352"/>
        <v/>
      </c>
    </row>
    <row r="19374" spans="8:8" x14ac:dyDescent="0.3">
      <c r="H19374" t="str">
        <f t="shared" si="352"/>
        <v/>
      </c>
    </row>
    <row r="19375" spans="8:8" x14ac:dyDescent="0.3">
      <c r="H19375" t="str">
        <f t="shared" si="352"/>
        <v/>
      </c>
    </row>
    <row r="19376" spans="8:8" x14ac:dyDescent="0.3">
      <c r="H19376" t="str">
        <f t="shared" si="352"/>
        <v/>
      </c>
    </row>
    <row r="19377" spans="8:8" x14ac:dyDescent="0.3">
      <c r="H19377" t="str">
        <f t="shared" si="352"/>
        <v/>
      </c>
    </row>
    <row r="19378" spans="8:8" x14ac:dyDescent="0.3">
      <c r="H19378" t="str">
        <f t="shared" si="352"/>
        <v/>
      </c>
    </row>
    <row r="19379" spans="8:8" x14ac:dyDescent="0.3">
      <c r="H19379" t="str">
        <f t="shared" si="352"/>
        <v/>
      </c>
    </row>
    <row r="19380" spans="8:8" x14ac:dyDescent="0.3">
      <c r="H19380" t="str">
        <f t="shared" si="352"/>
        <v/>
      </c>
    </row>
    <row r="19381" spans="8:8" x14ac:dyDescent="0.3">
      <c r="H19381" t="str">
        <f t="shared" si="352"/>
        <v/>
      </c>
    </row>
    <row r="19382" spans="8:8" x14ac:dyDescent="0.3">
      <c r="H19382" t="str">
        <f t="shared" si="352"/>
        <v/>
      </c>
    </row>
    <row r="19383" spans="8:8" x14ac:dyDescent="0.3">
      <c r="H19383" t="str">
        <f t="shared" si="352"/>
        <v/>
      </c>
    </row>
    <row r="19384" spans="8:8" x14ac:dyDescent="0.3">
      <c r="H19384" t="str">
        <f t="shared" si="352"/>
        <v/>
      </c>
    </row>
    <row r="19385" spans="8:8" x14ac:dyDescent="0.3">
      <c r="H19385" t="str">
        <f t="shared" si="352"/>
        <v/>
      </c>
    </row>
    <row r="19386" spans="8:8" x14ac:dyDescent="0.3">
      <c r="H19386" t="str">
        <f t="shared" si="352"/>
        <v/>
      </c>
    </row>
    <row r="19387" spans="8:8" x14ac:dyDescent="0.3">
      <c r="H19387" t="str">
        <f t="shared" si="352"/>
        <v/>
      </c>
    </row>
    <row r="19388" spans="8:8" x14ac:dyDescent="0.3">
      <c r="H19388" t="str">
        <f t="shared" si="352"/>
        <v/>
      </c>
    </row>
    <row r="19389" spans="8:8" x14ac:dyDescent="0.3">
      <c r="H19389" t="str">
        <f t="shared" si="352"/>
        <v/>
      </c>
    </row>
    <row r="19390" spans="8:8" x14ac:dyDescent="0.3">
      <c r="H19390" t="str">
        <f t="shared" si="352"/>
        <v/>
      </c>
    </row>
    <row r="19391" spans="8:8" x14ac:dyDescent="0.3">
      <c r="H19391" t="str">
        <f t="shared" si="352"/>
        <v/>
      </c>
    </row>
    <row r="19392" spans="8:8" x14ac:dyDescent="0.3">
      <c r="H19392" t="str">
        <f t="shared" si="352"/>
        <v/>
      </c>
    </row>
    <row r="19393" spans="8:8" x14ac:dyDescent="0.3">
      <c r="H19393" t="str">
        <f t="shared" si="352"/>
        <v/>
      </c>
    </row>
    <row r="19394" spans="8:8" x14ac:dyDescent="0.3">
      <c r="H19394" t="str">
        <f t="shared" si="352"/>
        <v/>
      </c>
    </row>
    <row r="19395" spans="8:8" x14ac:dyDescent="0.3">
      <c r="H19395" t="str">
        <f t="shared" si="352"/>
        <v/>
      </c>
    </row>
    <row r="19396" spans="8:8" x14ac:dyDescent="0.3">
      <c r="H19396" t="str">
        <f t="shared" si="352"/>
        <v/>
      </c>
    </row>
    <row r="19397" spans="8:8" x14ac:dyDescent="0.3">
      <c r="H19397" t="str">
        <f t="shared" si="352"/>
        <v/>
      </c>
    </row>
    <row r="19398" spans="8:8" x14ac:dyDescent="0.3">
      <c r="H19398" t="str">
        <f t="shared" si="352"/>
        <v/>
      </c>
    </row>
    <row r="19399" spans="8:8" x14ac:dyDescent="0.3">
      <c r="H19399" t="str">
        <f t="shared" si="352"/>
        <v/>
      </c>
    </row>
    <row r="19400" spans="8:8" x14ac:dyDescent="0.3">
      <c r="H19400" t="str">
        <f t="shared" si="352"/>
        <v/>
      </c>
    </row>
    <row r="19401" spans="8:8" x14ac:dyDescent="0.3">
      <c r="H19401" t="str">
        <f t="shared" si="352"/>
        <v/>
      </c>
    </row>
    <row r="19402" spans="8:8" x14ac:dyDescent="0.3">
      <c r="H19402" t="str">
        <f t="shared" si="352"/>
        <v/>
      </c>
    </row>
    <row r="19403" spans="8:8" x14ac:dyDescent="0.3">
      <c r="H19403" t="str">
        <f t="shared" si="352"/>
        <v/>
      </c>
    </row>
    <row r="19404" spans="8:8" x14ac:dyDescent="0.3">
      <c r="H19404" t="str">
        <f t="shared" si="352"/>
        <v/>
      </c>
    </row>
    <row r="19405" spans="8:8" x14ac:dyDescent="0.3">
      <c r="H19405" t="str">
        <f t="shared" si="352"/>
        <v/>
      </c>
    </row>
    <row r="19406" spans="8:8" x14ac:dyDescent="0.3">
      <c r="H19406" t="str">
        <f t="shared" si="352"/>
        <v/>
      </c>
    </row>
    <row r="19407" spans="8:8" x14ac:dyDescent="0.3">
      <c r="H19407" t="str">
        <f t="shared" si="352"/>
        <v/>
      </c>
    </row>
    <row r="19408" spans="8:8" x14ac:dyDescent="0.3">
      <c r="H19408" t="str">
        <f t="shared" si="352"/>
        <v/>
      </c>
    </row>
    <row r="19409" spans="8:8" x14ac:dyDescent="0.3">
      <c r="H19409" t="str">
        <f t="shared" si="352"/>
        <v/>
      </c>
    </row>
    <row r="19410" spans="8:8" x14ac:dyDescent="0.3">
      <c r="H19410" t="str">
        <f t="shared" si="352"/>
        <v/>
      </c>
    </row>
    <row r="19411" spans="8:8" x14ac:dyDescent="0.3">
      <c r="H19411" t="str">
        <f t="shared" si="352"/>
        <v/>
      </c>
    </row>
    <row r="19412" spans="8:8" x14ac:dyDescent="0.3">
      <c r="H19412" t="str">
        <f t="shared" si="352"/>
        <v/>
      </c>
    </row>
    <row r="19413" spans="8:8" x14ac:dyDescent="0.3">
      <c r="H19413" t="str">
        <f t="shared" si="352"/>
        <v/>
      </c>
    </row>
    <row r="19414" spans="8:8" x14ac:dyDescent="0.3">
      <c r="H19414" t="str">
        <f t="shared" si="352"/>
        <v/>
      </c>
    </row>
    <row r="19415" spans="8:8" x14ac:dyDescent="0.3">
      <c r="H19415" t="str">
        <f t="shared" ref="H19415:H19478" si="353">IF(B19415="","",$C$12)</f>
        <v/>
      </c>
    </row>
    <row r="19416" spans="8:8" x14ac:dyDescent="0.3">
      <c r="H19416" t="str">
        <f t="shared" si="353"/>
        <v/>
      </c>
    </row>
    <row r="19417" spans="8:8" x14ac:dyDescent="0.3">
      <c r="H19417" t="str">
        <f t="shared" si="353"/>
        <v/>
      </c>
    </row>
    <row r="19418" spans="8:8" x14ac:dyDescent="0.3">
      <c r="H19418" t="str">
        <f t="shared" si="353"/>
        <v/>
      </c>
    </row>
    <row r="19419" spans="8:8" x14ac:dyDescent="0.3">
      <c r="H19419" t="str">
        <f t="shared" si="353"/>
        <v/>
      </c>
    </row>
    <row r="19420" spans="8:8" x14ac:dyDescent="0.3">
      <c r="H19420" t="str">
        <f t="shared" si="353"/>
        <v/>
      </c>
    </row>
    <row r="19421" spans="8:8" x14ac:dyDescent="0.3">
      <c r="H19421" t="str">
        <f t="shared" si="353"/>
        <v/>
      </c>
    </row>
    <row r="19422" spans="8:8" x14ac:dyDescent="0.3">
      <c r="H19422" t="str">
        <f t="shared" si="353"/>
        <v/>
      </c>
    </row>
    <row r="19423" spans="8:8" x14ac:dyDescent="0.3">
      <c r="H19423" t="str">
        <f t="shared" si="353"/>
        <v/>
      </c>
    </row>
    <row r="19424" spans="8:8" x14ac:dyDescent="0.3">
      <c r="H19424" t="str">
        <f t="shared" si="353"/>
        <v/>
      </c>
    </row>
    <row r="19425" spans="8:8" x14ac:dyDescent="0.3">
      <c r="H19425" t="str">
        <f t="shared" si="353"/>
        <v/>
      </c>
    </row>
    <row r="19426" spans="8:8" x14ac:dyDescent="0.3">
      <c r="H19426" t="str">
        <f t="shared" si="353"/>
        <v/>
      </c>
    </row>
    <row r="19427" spans="8:8" x14ac:dyDescent="0.3">
      <c r="H19427" t="str">
        <f t="shared" si="353"/>
        <v/>
      </c>
    </row>
    <row r="19428" spans="8:8" x14ac:dyDescent="0.3">
      <c r="H19428" t="str">
        <f t="shared" si="353"/>
        <v/>
      </c>
    </row>
    <row r="19429" spans="8:8" x14ac:dyDescent="0.3">
      <c r="H19429" t="str">
        <f t="shared" si="353"/>
        <v/>
      </c>
    </row>
    <row r="19430" spans="8:8" x14ac:dyDescent="0.3">
      <c r="H19430" t="str">
        <f t="shared" si="353"/>
        <v/>
      </c>
    </row>
    <row r="19431" spans="8:8" x14ac:dyDescent="0.3">
      <c r="H19431" t="str">
        <f t="shared" si="353"/>
        <v/>
      </c>
    </row>
    <row r="19432" spans="8:8" x14ac:dyDescent="0.3">
      <c r="H19432" t="str">
        <f t="shared" si="353"/>
        <v/>
      </c>
    </row>
    <row r="19433" spans="8:8" x14ac:dyDescent="0.3">
      <c r="H19433" t="str">
        <f t="shared" si="353"/>
        <v/>
      </c>
    </row>
    <row r="19434" spans="8:8" x14ac:dyDescent="0.3">
      <c r="H19434" t="str">
        <f t="shared" si="353"/>
        <v/>
      </c>
    </row>
    <row r="19435" spans="8:8" x14ac:dyDescent="0.3">
      <c r="H19435" t="str">
        <f t="shared" si="353"/>
        <v/>
      </c>
    </row>
    <row r="19436" spans="8:8" x14ac:dyDescent="0.3">
      <c r="H19436" t="str">
        <f t="shared" si="353"/>
        <v/>
      </c>
    </row>
    <row r="19437" spans="8:8" x14ac:dyDescent="0.3">
      <c r="H19437" t="str">
        <f t="shared" si="353"/>
        <v/>
      </c>
    </row>
    <row r="19438" spans="8:8" x14ac:dyDescent="0.3">
      <c r="H19438" t="str">
        <f t="shared" si="353"/>
        <v/>
      </c>
    </row>
    <row r="19439" spans="8:8" x14ac:dyDescent="0.3">
      <c r="H19439" t="str">
        <f t="shared" si="353"/>
        <v/>
      </c>
    </row>
    <row r="19440" spans="8:8" x14ac:dyDescent="0.3">
      <c r="H19440" t="str">
        <f t="shared" si="353"/>
        <v/>
      </c>
    </row>
    <row r="19441" spans="8:8" x14ac:dyDescent="0.3">
      <c r="H19441" t="str">
        <f t="shared" si="353"/>
        <v/>
      </c>
    </row>
    <row r="19442" spans="8:8" x14ac:dyDescent="0.3">
      <c r="H19442" t="str">
        <f t="shared" si="353"/>
        <v/>
      </c>
    </row>
    <row r="19443" spans="8:8" x14ac:dyDescent="0.3">
      <c r="H19443" t="str">
        <f t="shared" si="353"/>
        <v/>
      </c>
    </row>
    <row r="19444" spans="8:8" x14ac:dyDescent="0.3">
      <c r="H19444" t="str">
        <f t="shared" si="353"/>
        <v/>
      </c>
    </row>
    <row r="19445" spans="8:8" x14ac:dyDescent="0.3">
      <c r="H19445" t="str">
        <f t="shared" si="353"/>
        <v/>
      </c>
    </row>
    <row r="19446" spans="8:8" x14ac:dyDescent="0.3">
      <c r="H19446" t="str">
        <f t="shared" si="353"/>
        <v/>
      </c>
    </row>
    <row r="19447" spans="8:8" x14ac:dyDescent="0.3">
      <c r="H19447" t="str">
        <f t="shared" si="353"/>
        <v/>
      </c>
    </row>
    <row r="19448" spans="8:8" x14ac:dyDescent="0.3">
      <c r="H19448" t="str">
        <f t="shared" si="353"/>
        <v/>
      </c>
    </row>
    <row r="19449" spans="8:8" x14ac:dyDescent="0.3">
      <c r="H19449" t="str">
        <f t="shared" si="353"/>
        <v/>
      </c>
    </row>
    <row r="19450" spans="8:8" x14ac:dyDescent="0.3">
      <c r="H19450" t="str">
        <f t="shared" si="353"/>
        <v/>
      </c>
    </row>
    <row r="19451" spans="8:8" x14ac:dyDescent="0.3">
      <c r="H19451" t="str">
        <f t="shared" si="353"/>
        <v/>
      </c>
    </row>
    <row r="19452" spans="8:8" x14ac:dyDescent="0.3">
      <c r="H19452" t="str">
        <f t="shared" si="353"/>
        <v/>
      </c>
    </row>
    <row r="19453" spans="8:8" x14ac:dyDescent="0.3">
      <c r="H19453" t="str">
        <f t="shared" si="353"/>
        <v/>
      </c>
    </row>
    <row r="19454" spans="8:8" x14ac:dyDescent="0.3">
      <c r="H19454" t="str">
        <f t="shared" si="353"/>
        <v/>
      </c>
    </row>
    <row r="19455" spans="8:8" x14ac:dyDescent="0.3">
      <c r="H19455" t="str">
        <f t="shared" si="353"/>
        <v/>
      </c>
    </row>
    <row r="19456" spans="8:8" x14ac:dyDescent="0.3">
      <c r="H19456" t="str">
        <f t="shared" si="353"/>
        <v/>
      </c>
    </row>
    <row r="19457" spans="8:8" x14ac:dyDescent="0.3">
      <c r="H19457" t="str">
        <f t="shared" si="353"/>
        <v/>
      </c>
    </row>
    <row r="19458" spans="8:8" x14ac:dyDescent="0.3">
      <c r="H19458" t="str">
        <f t="shared" si="353"/>
        <v/>
      </c>
    </row>
    <row r="19459" spans="8:8" x14ac:dyDescent="0.3">
      <c r="H19459" t="str">
        <f t="shared" si="353"/>
        <v/>
      </c>
    </row>
    <row r="19460" spans="8:8" x14ac:dyDescent="0.3">
      <c r="H19460" t="str">
        <f t="shared" si="353"/>
        <v/>
      </c>
    </row>
    <row r="19461" spans="8:8" x14ac:dyDescent="0.3">
      <c r="H19461" t="str">
        <f t="shared" si="353"/>
        <v/>
      </c>
    </row>
    <row r="19462" spans="8:8" x14ac:dyDescent="0.3">
      <c r="H19462" t="str">
        <f t="shared" si="353"/>
        <v/>
      </c>
    </row>
    <row r="19463" spans="8:8" x14ac:dyDescent="0.3">
      <c r="H19463" t="str">
        <f t="shared" si="353"/>
        <v/>
      </c>
    </row>
    <row r="19464" spans="8:8" x14ac:dyDescent="0.3">
      <c r="H19464" t="str">
        <f t="shared" si="353"/>
        <v/>
      </c>
    </row>
    <row r="19465" spans="8:8" x14ac:dyDescent="0.3">
      <c r="H19465" t="str">
        <f t="shared" si="353"/>
        <v/>
      </c>
    </row>
    <row r="19466" spans="8:8" x14ac:dyDescent="0.3">
      <c r="H19466" t="str">
        <f t="shared" si="353"/>
        <v/>
      </c>
    </row>
    <row r="19467" spans="8:8" x14ac:dyDescent="0.3">
      <c r="H19467" t="str">
        <f t="shared" si="353"/>
        <v/>
      </c>
    </row>
    <row r="19468" spans="8:8" x14ac:dyDescent="0.3">
      <c r="H19468" t="str">
        <f t="shared" si="353"/>
        <v/>
      </c>
    </row>
    <row r="19469" spans="8:8" x14ac:dyDescent="0.3">
      <c r="H19469" t="str">
        <f t="shared" si="353"/>
        <v/>
      </c>
    </row>
    <row r="19470" spans="8:8" x14ac:dyDescent="0.3">
      <c r="H19470" t="str">
        <f t="shared" si="353"/>
        <v/>
      </c>
    </row>
    <row r="19471" spans="8:8" x14ac:dyDescent="0.3">
      <c r="H19471" t="str">
        <f t="shared" si="353"/>
        <v/>
      </c>
    </row>
    <row r="19472" spans="8:8" x14ac:dyDescent="0.3">
      <c r="H19472" t="str">
        <f t="shared" si="353"/>
        <v/>
      </c>
    </row>
    <row r="19473" spans="8:8" x14ac:dyDescent="0.3">
      <c r="H19473" t="str">
        <f t="shared" si="353"/>
        <v/>
      </c>
    </row>
    <row r="19474" spans="8:8" x14ac:dyDescent="0.3">
      <c r="H19474" t="str">
        <f t="shared" si="353"/>
        <v/>
      </c>
    </row>
    <row r="19475" spans="8:8" x14ac:dyDescent="0.3">
      <c r="H19475" t="str">
        <f t="shared" si="353"/>
        <v/>
      </c>
    </row>
    <row r="19476" spans="8:8" x14ac:dyDescent="0.3">
      <c r="H19476" t="str">
        <f t="shared" si="353"/>
        <v/>
      </c>
    </row>
    <row r="19477" spans="8:8" x14ac:dyDescent="0.3">
      <c r="H19477" t="str">
        <f t="shared" si="353"/>
        <v/>
      </c>
    </row>
    <row r="19478" spans="8:8" x14ac:dyDescent="0.3">
      <c r="H19478" t="str">
        <f t="shared" si="353"/>
        <v/>
      </c>
    </row>
    <row r="19479" spans="8:8" x14ac:dyDescent="0.3">
      <c r="H19479" t="str">
        <f t="shared" ref="H19479:H19542" si="354">IF(B19479="","",$C$12)</f>
        <v/>
      </c>
    </row>
    <row r="19480" spans="8:8" x14ac:dyDescent="0.3">
      <c r="H19480" t="str">
        <f t="shared" si="354"/>
        <v/>
      </c>
    </row>
    <row r="19481" spans="8:8" x14ac:dyDescent="0.3">
      <c r="H19481" t="str">
        <f t="shared" si="354"/>
        <v/>
      </c>
    </row>
    <row r="19482" spans="8:8" x14ac:dyDescent="0.3">
      <c r="H19482" t="str">
        <f t="shared" si="354"/>
        <v/>
      </c>
    </row>
    <row r="19483" spans="8:8" x14ac:dyDescent="0.3">
      <c r="H19483" t="str">
        <f t="shared" si="354"/>
        <v/>
      </c>
    </row>
    <row r="19484" spans="8:8" x14ac:dyDescent="0.3">
      <c r="H19484" t="str">
        <f t="shared" si="354"/>
        <v/>
      </c>
    </row>
    <row r="19485" spans="8:8" x14ac:dyDescent="0.3">
      <c r="H19485" t="str">
        <f t="shared" si="354"/>
        <v/>
      </c>
    </row>
    <row r="19486" spans="8:8" x14ac:dyDescent="0.3">
      <c r="H19486" t="str">
        <f t="shared" si="354"/>
        <v/>
      </c>
    </row>
    <row r="19487" spans="8:8" x14ac:dyDescent="0.3">
      <c r="H19487" t="str">
        <f t="shared" si="354"/>
        <v/>
      </c>
    </row>
    <row r="19488" spans="8:8" x14ac:dyDescent="0.3">
      <c r="H19488" t="str">
        <f t="shared" si="354"/>
        <v/>
      </c>
    </row>
    <row r="19489" spans="8:8" x14ac:dyDescent="0.3">
      <c r="H19489" t="str">
        <f t="shared" si="354"/>
        <v/>
      </c>
    </row>
    <row r="19490" spans="8:8" x14ac:dyDescent="0.3">
      <c r="H19490" t="str">
        <f t="shared" si="354"/>
        <v/>
      </c>
    </row>
    <row r="19491" spans="8:8" x14ac:dyDescent="0.3">
      <c r="H19491" t="str">
        <f t="shared" si="354"/>
        <v/>
      </c>
    </row>
    <row r="19492" spans="8:8" x14ac:dyDescent="0.3">
      <c r="H19492" t="str">
        <f t="shared" si="354"/>
        <v/>
      </c>
    </row>
    <row r="19493" spans="8:8" x14ac:dyDescent="0.3">
      <c r="H19493" t="str">
        <f t="shared" si="354"/>
        <v/>
      </c>
    </row>
    <row r="19494" spans="8:8" x14ac:dyDescent="0.3">
      <c r="H19494" t="str">
        <f t="shared" si="354"/>
        <v/>
      </c>
    </row>
    <row r="19495" spans="8:8" x14ac:dyDescent="0.3">
      <c r="H19495" t="str">
        <f t="shared" si="354"/>
        <v/>
      </c>
    </row>
    <row r="19496" spans="8:8" x14ac:dyDescent="0.3">
      <c r="H19496" t="str">
        <f t="shared" si="354"/>
        <v/>
      </c>
    </row>
    <row r="19497" spans="8:8" x14ac:dyDescent="0.3">
      <c r="H19497" t="str">
        <f t="shared" si="354"/>
        <v/>
      </c>
    </row>
    <row r="19498" spans="8:8" x14ac:dyDescent="0.3">
      <c r="H19498" t="str">
        <f t="shared" si="354"/>
        <v/>
      </c>
    </row>
    <row r="19499" spans="8:8" x14ac:dyDescent="0.3">
      <c r="H19499" t="str">
        <f t="shared" si="354"/>
        <v/>
      </c>
    </row>
    <row r="19500" spans="8:8" x14ac:dyDescent="0.3">
      <c r="H19500" t="str">
        <f t="shared" si="354"/>
        <v/>
      </c>
    </row>
    <row r="19501" spans="8:8" x14ac:dyDescent="0.3">
      <c r="H19501" t="str">
        <f t="shared" si="354"/>
        <v/>
      </c>
    </row>
    <row r="19502" spans="8:8" x14ac:dyDescent="0.3">
      <c r="H19502" t="str">
        <f t="shared" si="354"/>
        <v/>
      </c>
    </row>
    <row r="19503" spans="8:8" x14ac:dyDescent="0.3">
      <c r="H19503" t="str">
        <f t="shared" si="354"/>
        <v/>
      </c>
    </row>
    <row r="19504" spans="8:8" x14ac:dyDescent="0.3">
      <c r="H19504" t="str">
        <f t="shared" si="354"/>
        <v/>
      </c>
    </row>
    <row r="19505" spans="8:8" x14ac:dyDescent="0.3">
      <c r="H19505" t="str">
        <f t="shared" si="354"/>
        <v/>
      </c>
    </row>
    <row r="19506" spans="8:8" x14ac:dyDescent="0.3">
      <c r="H19506" t="str">
        <f t="shared" si="354"/>
        <v/>
      </c>
    </row>
    <row r="19507" spans="8:8" x14ac:dyDescent="0.3">
      <c r="H19507" t="str">
        <f t="shared" si="354"/>
        <v/>
      </c>
    </row>
    <row r="19508" spans="8:8" x14ac:dyDescent="0.3">
      <c r="H19508" t="str">
        <f t="shared" si="354"/>
        <v/>
      </c>
    </row>
    <row r="19509" spans="8:8" x14ac:dyDescent="0.3">
      <c r="H19509" t="str">
        <f t="shared" si="354"/>
        <v/>
      </c>
    </row>
    <row r="19510" spans="8:8" x14ac:dyDescent="0.3">
      <c r="H19510" t="str">
        <f t="shared" si="354"/>
        <v/>
      </c>
    </row>
    <row r="19511" spans="8:8" x14ac:dyDescent="0.3">
      <c r="H19511" t="str">
        <f t="shared" si="354"/>
        <v/>
      </c>
    </row>
    <row r="19512" spans="8:8" x14ac:dyDescent="0.3">
      <c r="H19512" t="str">
        <f t="shared" si="354"/>
        <v/>
      </c>
    </row>
    <row r="19513" spans="8:8" x14ac:dyDescent="0.3">
      <c r="H19513" t="str">
        <f t="shared" si="354"/>
        <v/>
      </c>
    </row>
    <row r="19514" spans="8:8" x14ac:dyDescent="0.3">
      <c r="H19514" t="str">
        <f t="shared" si="354"/>
        <v/>
      </c>
    </row>
    <row r="19515" spans="8:8" x14ac:dyDescent="0.3">
      <c r="H19515" t="str">
        <f t="shared" si="354"/>
        <v/>
      </c>
    </row>
    <row r="19516" spans="8:8" x14ac:dyDescent="0.3">
      <c r="H19516" t="str">
        <f t="shared" si="354"/>
        <v/>
      </c>
    </row>
    <row r="19517" spans="8:8" x14ac:dyDescent="0.3">
      <c r="H19517" t="str">
        <f t="shared" si="354"/>
        <v/>
      </c>
    </row>
    <row r="19518" spans="8:8" x14ac:dyDescent="0.3">
      <c r="H19518" t="str">
        <f t="shared" si="354"/>
        <v/>
      </c>
    </row>
    <row r="19519" spans="8:8" x14ac:dyDescent="0.3">
      <c r="H19519" t="str">
        <f t="shared" si="354"/>
        <v/>
      </c>
    </row>
    <row r="19520" spans="8:8" x14ac:dyDescent="0.3">
      <c r="H19520" t="str">
        <f t="shared" si="354"/>
        <v/>
      </c>
    </row>
    <row r="19521" spans="8:8" x14ac:dyDescent="0.3">
      <c r="H19521" t="str">
        <f t="shared" si="354"/>
        <v/>
      </c>
    </row>
    <row r="19522" spans="8:8" x14ac:dyDescent="0.3">
      <c r="H19522" t="str">
        <f t="shared" si="354"/>
        <v/>
      </c>
    </row>
    <row r="19523" spans="8:8" x14ac:dyDescent="0.3">
      <c r="H19523" t="str">
        <f t="shared" si="354"/>
        <v/>
      </c>
    </row>
    <row r="19524" spans="8:8" x14ac:dyDescent="0.3">
      <c r="H19524" t="str">
        <f t="shared" si="354"/>
        <v/>
      </c>
    </row>
    <row r="19525" spans="8:8" x14ac:dyDescent="0.3">
      <c r="H19525" t="str">
        <f t="shared" si="354"/>
        <v/>
      </c>
    </row>
    <row r="19526" spans="8:8" x14ac:dyDescent="0.3">
      <c r="H19526" t="str">
        <f t="shared" si="354"/>
        <v/>
      </c>
    </row>
    <row r="19527" spans="8:8" x14ac:dyDescent="0.3">
      <c r="H19527" t="str">
        <f t="shared" si="354"/>
        <v/>
      </c>
    </row>
    <row r="19528" spans="8:8" x14ac:dyDescent="0.3">
      <c r="H19528" t="str">
        <f t="shared" si="354"/>
        <v/>
      </c>
    </row>
    <row r="19529" spans="8:8" x14ac:dyDescent="0.3">
      <c r="H19529" t="str">
        <f t="shared" si="354"/>
        <v/>
      </c>
    </row>
    <row r="19530" spans="8:8" x14ac:dyDescent="0.3">
      <c r="H19530" t="str">
        <f t="shared" si="354"/>
        <v/>
      </c>
    </row>
    <row r="19531" spans="8:8" x14ac:dyDescent="0.3">
      <c r="H19531" t="str">
        <f t="shared" si="354"/>
        <v/>
      </c>
    </row>
    <row r="19532" spans="8:8" x14ac:dyDescent="0.3">
      <c r="H19532" t="str">
        <f t="shared" si="354"/>
        <v/>
      </c>
    </row>
    <row r="19533" spans="8:8" x14ac:dyDescent="0.3">
      <c r="H19533" t="str">
        <f t="shared" si="354"/>
        <v/>
      </c>
    </row>
    <row r="19534" spans="8:8" x14ac:dyDescent="0.3">
      <c r="H19534" t="str">
        <f t="shared" si="354"/>
        <v/>
      </c>
    </row>
    <row r="19535" spans="8:8" x14ac:dyDescent="0.3">
      <c r="H19535" t="str">
        <f t="shared" si="354"/>
        <v/>
      </c>
    </row>
    <row r="19536" spans="8:8" x14ac:dyDescent="0.3">
      <c r="H19536" t="str">
        <f t="shared" si="354"/>
        <v/>
      </c>
    </row>
    <row r="19537" spans="8:8" x14ac:dyDescent="0.3">
      <c r="H19537" t="str">
        <f t="shared" si="354"/>
        <v/>
      </c>
    </row>
    <row r="19538" spans="8:8" x14ac:dyDescent="0.3">
      <c r="H19538" t="str">
        <f t="shared" si="354"/>
        <v/>
      </c>
    </row>
    <row r="19539" spans="8:8" x14ac:dyDescent="0.3">
      <c r="H19539" t="str">
        <f t="shared" si="354"/>
        <v/>
      </c>
    </row>
    <row r="19540" spans="8:8" x14ac:dyDescent="0.3">
      <c r="H19540" t="str">
        <f t="shared" si="354"/>
        <v/>
      </c>
    </row>
    <row r="19541" spans="8:8" x14ac:dyDescent="0.3">
      <c r="H19541" t="str">
        <f t="shared" si="354"/>
        <v/>
      </c>
    </row>
    <row r="19542" spans="8:8" x14ac:dyDescent="0.3">
      <c r="H19542" t="str">
        <f t="shared" si="354"/>
        <v/>
      </c>
    </row>
    <row r="19543" spans="8:8" x14ac:dyDescent="0.3">
      <c r="H19543" t="str">
        <f t="shared" ref="H19543:H19606" si="355">IF(B19543="","",$C$12)</f>
        <v/>
      </c>
    </row>
    <row r="19544" spans="8:8" x14ac:dyDescent="0.3">
      <c r="H19544" t="str">
        <f t="shared" si="355"/>
        <v/>
      </c>
    </row>
    <row r="19545" spans="8:8" x14ac:dyDescent="0.3">
      <c r="H19545" t="str">
        <f t="shared" si="355"/>
        <v/>
      </c>
    </row>
    <row r="19546" spans="8:8" x14ac:dyDescent="0.3">
      <c r="H19546" t="str">
        <f t="shared" si="355"/>
        <v/>
      </c>
    </row>
    <row r="19547" spans="8:8" x14ac:dyDescent="0.3">
      <c r="H19547" t="str">
        <f t="shared" si="355"/>
        <v/>
      </c>
    </row>
    <row r="19548" spans="8:8" x14ac:dyDescent="0.3">
      <c r="H19548" t="str">
        <f t="shared" si="355"/>
        <v/>
      </c>
    </row>
    <row r="19549" spans="8:8" x14ac:dyDescent="0.3">
      <c r="H19549" t="str">
        <f t="shared" si="355"/>
        <v/>
      </c>
    </row>
    <row r="19550" spans="8:8" x14ac:dyDescent="0.3">
      <c r="H19550" t="str">
        <f t="shared" si="355"/>
        <v/>
      </c>
    </row>
    <row r="19551" spans="8:8" x14ac:dyDescent="0.3">
      <c r="H19551" t="str">
        <f t="shared" si="355"/>
        <v/>
      </c>
    </row>
    <row r="19552" spans="8:8" x14ac:dyDescent="0.3">
      <c r="H19552" t="str">
        <f t="shared" si="355"/>
        <v/>
      </c>
    </row>
    <row r="19553" spans="8:8" x14ac:dyDescent="0.3">
      <c r="H19553" t="str">
        <f t="shared" si="355"/>
        <v/>
      </c>
    </row>
    <row r="19554" spans="8:8" x14ac:dyDescent="0.3">
      <c r="H19554" t="str">
        <f t="shared" si="355"/>
        <v/>
      </c>
    </row>
    <row r="19555" spans="8:8" x14ac:dyDescent="0.3">
      <c r="H19555" t="str">
        <f t="shared" si="355"/>
        <v/>
      </c>
    </row>
    <row r="19556" spans="8:8" x14ac:dyDescent="0.3">
      <c r="H19556" t="str">
        <f t="shared" si="355"/>
        <v/>
      </c>
    </row>
    <row r="19557" spans="8:8" x14ac:dyDescent="0.3">
      <c r="H19557" t="str">
        <f t="shared" si="355"/>
        <v/>
      </c>
    </row>
    <row r="19558" spans="8:8" x14ac:dyDescent="0.3">
      <c r="H19558" t="str">
        <f t="shared" si="355"/>
        <v/>
      </c>
    </row>
    <row r="19559" spans="8:8" x14ac:dyDescent="0.3">
      <c r="H19559" t="str">
        <f t="shared" si="355"/>
        <v/>
      </c>
    </row>
    <row r="19560" spans="8:8" x14ac:dyDescent="0.3">
      <c r="H19560" t="str">
        <f t="shared" si="355"/>
        <v/>
      </c>
    </row>
    <row r="19561" spans="8:8" x14ac:dyDescent="0.3">
      <c r="H19561" t="str">
        <f t="shared" si="355"/>
        <v/>
      </c>
    </row>
    <row r="19562" spans="8:8" x14ac:dyDescent="0.3">
      <c r="H19562" t="str">
        <f t="shared" si="355"/>
        <v/>
      </c>
    </row>
    <row r="19563" spans="8:8" x14ac:dyDescent="0.3">
      <c r="H19563" t="str">
        <f t="shared" si="355"/>
        <v/>
      </c>
    </row>
    <row r="19564" spans="8:8" x14ac:dyDescent="0.3">
      <c r="H19564" t="str">
        <f t="shared" si="355"/>
        <v/>
      </c>
    </row>
    <row r="19565" spans="8:8" x14ac:dyDescent="0.3">
      <c r="H19565" t="str">
        <f t="shared" si="355"/>
        <v/>
      </c>
    </row>
    <row r="19566" spans="8:8" x14ac:dyDescent="0.3">
      <c r="H19566" t="str">
        <f t="shared" si="355"/>
        <v/>
      </c>
    </row>
    <row r="19567" spans="8:8" x14ac:dyDescent="0.3">
      <c r="H19567" t="str">
        <f t="shared" si="355"/>
        <v/>
      </c>
    </row>
    <row r="19568" spans="8:8" x14ac:dyDescent="0.3">
      <c r="H19568" t="str">
        <f t="shared" si="355"/>
        <v/>
      </c>
    </row>
    <row r="19569" spans="8:8" x14ac:dyDescent="0.3">
      <c r="H19569" t="str">
        <f t="shared" si="355"/>
        <v/>
      </c>
    </row>
    <row r="19570" spans="8:8" x14ac:dyDescent="0.3">
      <c r="H19570" t="str">
        <f t="shared" si="355"/>
        <v/>
      </c>
    </row>
    <row r="19571" spans="8:8" x14ac:dyDescent="0.3">
      <c r="H19571" t="str">
        <f t="shared" si="355"/>
        <v/>
      </c>
    </row>
    <row r="19572" spans="8:8" x14ac:dyDescent="0.3">
      <c r="H19572" t="str">
        <f t="shared" si="355"/>
        <v/>
      </c>
    </row>
    <row r="19573" spans="8:8" x14ac:dyDescent="0.3">
      <c r="H19573" t="str">
        <f t="shared" si="355"/>
        <v/>
      </c>
    </row>
    <row r="19574" spans="8:8" x14ac:dyDescent="0.3">
      <c r="H19574" t="str">
        <f t="shared" si="355"/>
        <v/>
      </c>
    </row>
    <row r="19575" spans="8:8" x14ac:dyDescent="0.3">
      <c r="H19575" t="str">
        <f t="shared" si="355"/>
        <v/>
      </c>
    </row>
    <row r="19576" spans="8:8" x14ac:dyDescent="0.3">
      <c r="H19576" t="str">
        <f t="shared" si="355"/>
        <v/>
      </c>
    </row>
    <row r="19577" spans="8:8" x14ac:dyDescent="0.3">
      <c r="H19577" t="str">
        <f t="shared" si="355"/>
        <v/>
      </c>
    </row>
    <row r="19578" spans="8:8" x14ac:dyDescent="0.3">
      <c r="H19578" t="str">
        <f t="shared" si="355"/>
        <v/>
      </c>
    </row>
    <row r="19579" spans="8:8" x14ac:dyDescent="0.3">
      <c r="H19579" t="str">
        <f t="shared" si="355"/>
        <v/>
      </c>
    </row>
    <row r="19580" spans="8:8" x14ac:dyDescent="0.3">
      <c r="H19580" t="str">
        <f t="shared" si="355"/>
        <v/>
      </c>
    </row>
    <row r="19581" spans="8:8" x14ac:dyDescent="0.3">
      <c r="H19581" t="str">
        <f t="shared" si="355"/>
        <v/>
      </c>
    </row>
    <row r="19582" spans="8:8" x14ac:dyDescent="0.3">
      <c r="H19582" t="str">
        <f t="shared" si="355"/>
        <v/>
      </c>
    </row>
    <row r="19583" spans="8:8" x14ac:dyDescent="0.3">
      <c r="H19583" t="str">
        <f t="shared" si="355"/>
        <v/>
      </c>
    </row>
    <row r="19584" spans="8:8" x14ac:dyDescent="0.3">
      <c r="H19584" t="str">
        <f t="shared" si="355"/>
        <v/>
      </c>
    </row>
    <row r="19585" spans="8:8" x14ac:dyDescent="0.3">
      <c r="H19585" t="str">
        <f t="shared" si="355"/>
        <v/>
      </c>
    </row>
    <row r="19586" spans="8:8" x14ac:dyDescent="0.3">
      <c r="H19586" t="str">
        <f t="shared" si="355"/>
        <v/>
      </c>
    </row>
    <row r="19587" spans="8:8" x14ac:dyDescent="0.3">
      <c r="H19587" t="str">
        <f t="shared" si="355"/>
        <v/>
      </c>
    </row>
    <row r="19588" spans="8:8" x14ac:dyDescent="0.3">
      <c r="H19588" t="str">
        <f t="shared" si="355"/>
        <v/>
      </c>
    </row>
    <row r="19589" spans="8:8" x14ac:dyDescent="0.3">
      <c r="H19589" t="str">
        <f t="shared" si="355"/>
        <v/>
      </c>
    </row>
    <row r="19590" spans="8:8" x14ac:dyDescent="0.3">
      <c r="H19590" t="str">
        <f t="shared" si="355"/>
        <v/>
      </c>
    </row>
    <row r="19591" spans="8:8" x14ac:dyDescent="0.3">
      <c r="H19591" t="str">
        <f t="shared" si="355"/>
        <v/>
      </c>
    </row>
    <row r="19592" spans="8:8" x14ac:dyDescent="0.3">
      <c r="H19592" t="str">
        <f t="shared" si="355"/>
        <v/>
      </c>
    </row>
    <row r="19593" spans="8:8" x14ac:dyDescent="0.3">
      <c r="H19593" t="str">
        <f t="shared" si="355"/>
        <v/>
      </c>
    </row>
    <row r="19594" spans="8:8" x14ac:dyDescent="0.3">
      <c r="H19594" t="str">
        <f t="shared" si="355"/>
        <v/>
      </c>
    </row>
    <row r="19595" spans="8:8" x14ac:dyDescent="0.3">
      <c r="H19595" t="str">
        <f t="shared" si="355"/>
        <v/>
      </c>
    </row>
    <row r="19596" spans="8:8" x14ac:dyDescent="0.3">
      <c r="H19596" t="str">
        <f t="shared" si="355"/>
        <v/>
      </c>
    </row>
    <row r="19597" spans="8:8" x14ac:dyDescent="0.3">
      <c r="H19597" t="str">
        <f t="shared" si="355"/>
        <v/>
      </c>
    </row>
    <row r="19598" spans="8:8" x14ac:dyDescent="0.3">
      <c r="H19598" t="str">
        <f t="shared" si="355"/>
        <v/>
      </c>
    </row>
    <row r="19599" spans="8:8" x14ac:dyDescent="0.3">
      <c r="H19599" t="str">
        <f t="shared" si="355"/>
        <v/>
      </c>
    </row>
    <row r="19600" spans="8:8" x14ac:dyDescent="0.3">
      <c r="H19600" t="str">
        <f t="shared" si="355"/>
        <v/>
      </c>
    </row>
    <row r="19601" spans="8:8" x14ac:dyDescent="0.3">
      <c r="H19601" t="str">
        <f t="shared" si="355"/>
        <v/>
      </c>
    </row>
    <row r="19602" spans="8:8" x14ac:dyDescent="0.3">
      <c r="H19602" t="str">
        <f t="shared" si="355"/>
        <v/>
      </c>
    </row>
    <row r="19603" spans="8:8" x14ac:dyDescent="0.3">
      <c r="H19603" t="str">
        <f t="shared" si="355"/>
        <v/>
      </c>
    </row>
    <row r="19604" spans="8:8" x14ac:dyDescent="0.3">
      <c r="H19604" t="str">
        <f t="shared" si="355"/>
        <v/>
      </c>
    </row>
    <row r="19605" spans="8:8" x14ac:dyDescent="0.3">
      <c r="H19605" t="str">
        <f t="shared" si="355"/>
        <v/>
      </c>
    </row>
    <row r="19606" spans="8:8" x14ac:dyDescent="0.3">
      <c r="H19606" t="str">
        <f t="shared" si="355"/>
        <v/>
      </c>
    </row>
    <row r="19607" spans="8:8" x14ac:dyDescent="0.3">
      <c r="H19607" t="str">
        <f t="shared" ref="H19607:H19670" si="356">IF(B19607="","",$C$12)</f>
        <v/>
      </c>
    </row>
    <row r="19608" spans="8:8" x14ac:dyDescent="0.3">
      <c r="H19608" t="str">
        <f t="shared" si="356"/>
        <v/>
      </c>
    </row>
    <row r="19609" spans="8:8" x14ac:dyDescent="0.3">
      <c r="H19609" t="str">
        <f t="shared" si="356"/>
        <v/>
      </c>
    </row>
    <row r="19610" spans="8:8" x14ac:dyDescent="0.3">
      <c r="H19610" t="str">
        <f t="shared" si="356"/>
        <v/>
      </c>
    </row>
    <row r="19611" spans="8:8" x14ac:dyDescent="0.3">
      <c r="H19611" t="str">
        <f t="shared" si="356"/>
        <v/>
      </c>
    </row>
    <row r="19612" spans="8:8" x14ac:dyDescent="0.3">
      <c r="H19612" t="str">
        <f t="shared" si="356"/>
        <v/>
      </c>
    </row>
    <row r="19613" spans="8:8" x14ac:dyDescent="0.3">
      <c r="H19613" t="str">
        <f t="shared" si="356"/>
        <v/>
      </c>
    </row>
    <row r="19614" spans="8:8" x14ac:dyDescent="0.3">
      <c r="H19614" t="str">
        <f t="shared" si="356"/>
        <v/>
      </c>
    </row>
    <row r="19615" spans="8:8" x14ac:dyDescent="0.3">
      <c r="H19615" t="str">
        <f t="shared" si="356"/>
        <v/>
      </c>
    </row>
    <row r="19616" spans="8:8" x14ac:dyDescent="0.3">
      <c r="H19616" t="str">
        <f t="shared" si="356"/>
        <v/>
      </c>
    </row>
    <row r="19617" spans="8:8" x14ac:dyDescent="0.3">
      <c r="H19617" t="str">
        <f t="shared" si="356"/>
        <v/>
      </c>
    </row>
    <row r="19618" spans="8:8" x14ac:dyDescent="0.3">
      <c r="H19618" t="str">
        <f t="shared" si="356"/>
        <v/>
      </c>
    </row>
    <row r="19619" spans="8:8" x14ac:dyDescent="0.3">
      <c r="H19619" t="str">
        <f t="shared" si="356"/>
        <v/>
      </c>
    </row>
    <row r="19620" spans="8:8" x14ac:dyDescent="0.3">
      <c r="H19620" t="str">
        <f t="shared" si="356"/>
        <v/>
      </c>
    </row>
    <row r="19621" spans="8:8" x14ac:dyDescent="0.3">
      <c r="H19621" t="str">
        <f t="shared" si="356"/>
        <v/>
      </c>
    </row>
    <row r="19622" spans="8:8" x14ac:dyDescent="0.3">
      <c r="H19622" t="str">
        <f t="shared" si="356"/>
        <v/>
      </c>
    </row>
    <row r="19623" spans="8:8" x14ac:dyDescent="0.3">
      <c r="H19623" t="str">
        <f t="shared" si="356"/>
        <v/>
      </c>
    </row>
    <row r="19624" spans="8:8" x14ac:dyDescent="0.3">
      <c r="H19624" t="str">
        <f t="shared" si="356"/>
        <v/>
      </c>
    </row>
    <row r="19625" spans="8:8" x14ac:dyDescent="0.3">
      <c r="H19625" t="str">
        <f t="shared" si="356"/>
        <v/>
      </c>
    </row>
    <row r="19626" spans="8:8" x14ac:dyDescent="0.3">
      <c r="H19626" t="str">
        <f t="shared" si="356"/>
        <v/>
      </c>
    </row>
    <row r="19627" spans="8:8" x14ac:dyDescent="0.3">
      <c r="H19627" t="str">
        <f t="shared" si="356"/>
        <v/>
      </c>
    </row>
    <row r="19628" spans="8:8" x14ac:dyDescent="0.3">
      <c r="H19628" t="str">
        <f t="shared" si="356"/>
        <v/>
      </c>
    </row>
    <row r="19629" spans="8:8" x14ac:dyDescent="0.3">
      <c r="H19629" t="str">
        <f t="shared" si="356"/>
        <v/>
      </c>
    </row>
    <row r="19630" spans="8:8" x14ac:dyDescent="0.3">
      <c r="H19630" t="str">
        <f t="shared" si="356"/>
        <v/>
      </c>
    </row>
    <row r="19631" spans="8:8" x14ac:dyDescent="0.3">
      <c r="H19631" t="str">
        <f t="shared" si="356"/>
        <v/>
      </c>
    </row>
    <row r="19632" spans="8:8" x14ac:dyDescent="0.3">
      <c r="H19632" t="str">
        <f t="shared" si="356"/>
        <v/>
      </c>
    </row>
    <row r="19633" spans="8:8" x14ac:dyDescent="0.3">
      <c r="H19633" t="str">
        <f t="shared" si="356"/>
        <v/>
      </c>
    </row>
    <row r="19634" spans="8:8" x14ac:dyDescent="0.3">
      <c r="H19634" t="str">
        <f t="shared" si="356"/>
        <v/>
      </c>
    </row>
    <row r="19635" spans="8:8" x14ac:dyDescent="0.3">
      <c r="H19635" t="str">
        <f t="shared" si="356"/>
        <v/>
      </c>
    </row>
    <row r="19636" spans="8:8" x14ac:dyDescent="0.3">
      <c r="H19636" t="str">
        <f t="shared" si="356"/>
        <v/>
      </c>
    </row>
    <row r="19637" spans="8:8" x14ac:dyDescent="0.3">
      <c r="H19637" t="str">
        <f t="shared" si="356"/>
        <v/>
      </c>
    </row>
    <row r="19638" spans="8:8" x14ac:dyDescent="0.3">
      <c r="H19638" t="str">
        <f t="shared" si="356"/>
        <v/>
      </c>
    </row>
    <row r="19639" spans="8:8" x14ac:dyDescent="0.3">
      <c r="H19639" t="str">
        <f t="shared" si="356"/>
        <v/>
      </c>
    </row>
    <row r="19640" spans="8:8" x14ac:dyDescent="0.3">
      <c r="H19640" t="str">
        <f t="shared" si="356"/>
        <v/>
      </c>
    </row>
    <row r="19641" spans="8:8" x14ac:dyDescent="0.3">
      <c r="H19641" t="str">
        <f t="shared" si="356"/>
        <v/>
      </c>
    </row>
    <row r="19642" spans="8:8" x14ac:dyDescent="0.3">
      <c r="H19642" t="str">
        <f t="shared" si="356"/>
        <v/>
      </c>
    </row>
    <row r="19643" spans="8:8" x14ac:dyDescent="0.3">
      <c r="H19643" t="str">
        <f t="shared" si="356"/>
        <v/>
      </c>
    </row>
    <row r="19644" spans="8:8" x14ac:dyDescent="0.3">
      <c r="H19644" t="str">
        <f t="shared" si="356"/>
        <v/>
      </c>
    </row>
    <row r="19645" spans="8:8" x14ac:dyDescent="0.3">
      <c r="H19645" t="str">
        <f t="shared" si="356"/>
        <v/>
      </c>
    </row>
    <row r="19646" spans="8:8" x14ac:dyDescent="0.3">
      <c r="H19646" t="str">
        <f t="shared" si="356"/>
        <v/>
      </c>
    </row>
    <row r="19647" spans="8:8" x14ac:dyDescent="0.3">
      <c r="H19647" t="str">
        <f t="shared" si="356"/>
        <v/>
      </c>
    </row>
    <row r="19648" spans="8:8" x14ac:dyDescent="0.3">
      <c r="H19648" t="str">
        <f t="shared" si="356"/>
        <v/>
      </c>
    </row>
    <row r="19649" spans="8:8" x14ac:dyDescent="0.3">
      <c r="H19649" t="str">
        <f t="shared" si="356"/>
        <v/>
      </c>
    </row>
    <row r="19650" spans="8:8" x14ac:dyDescent="0.3">
      <c r="H19650" t="str">
        <f t="shared" si="356"/>
        <v/>
      </c>
    </row>
    <row r="19651" spans="8:8" x14ac:dyDescent="0.3">
      <c r="H19651" t="str">
        <f t="shared" si="356"/>
        <v/>
      </c>
    </row>
    <row r="19652" spans="8:8" x14ac:dyDescent="0.3">
      <c r="H19652" t="str">
        <f t="shared" si="356"/>
        <v/>
      </c>
    </row>
    <row r="19653" spans="8:8" x14ac:dyDescent="0.3">
      <c r="H19653" t="str">
        <f t="shared" si="356"/>
        <v/>
      </c>
    </row>
    <row r="19654" spans="8:8" x14ac:dyDescent="0.3">
      <c r="H19654" t="str">
        <f t="shared" si="356"/>
        <v/>
      </c>
    </row>
    <row r="19655" spans="8:8" x14ac:dyDescent="0.3">
      <c r="H19655" t="str">
        <f t="shared" si="356"/>
        <v/>
      </c>
    </row>
    <row r="19656" spans="8:8" x14ac:dyDescent="0.3">
      <c r="H19656" t="str">
        <f t="shared" si="356"/>
        <v/>
      </c>
    </row>
    <row r="19657" spans="8:8" x14ac:dyDescent="0.3">
      <c r="H19657" t="str">
        <f t="shared" si="356"/>
        <v/>
      </c>
    </row>
    <row r="19658" spans="8:8" x14ac:dyDescent="0.3">
      <c r="H19658" t="str">
        <f t="shared" si="356"/>
        <v/>
      </c>
    </row>
    <row r="19659" spans="8:8" x14ac:dyDescent="0.3">
      <c r="H19659" t="str">
        <f t="shared" si="356"/>
        <v/>
      </c>
    </row>
    <row r="19660" spans="8:8" x14ac:dyDescent="0.3">
      <c r="H19660" t="str">
        <f t="shared" si="356"/>
        <v/>
      </c>
    </row>
    <row r="19661" spans="8:8" x14ac:dyDescent="0.3">
      <c r="H19661" t="str">
        <f t="shared" si="356"/>
        <v/>
      </c>
    </row>
    <row r="19662" spans="8:8" x14ac:dyDescent="0.3">
      <c r="H19662" t="str">
        <f t="shared" si="356"/>
        <v/>
      </c>
    </row>
    <row r="19663" spans="8:8" x14ac:dyDescent="0.3">
      <c r="H19663" t="str">
        <f t="shared" si="356"/>
        <v/>
      </c>
    </row>
    <row r="19664" spans="8:8" x14ac:dyDescent="0.3">
      <c r="H19664" t="str">
        <f t="shared" si="356"/>
        <v/>
      </c>
    </row>
    <row r="19665" spans="8:8" x14ac:dyDescent="0.3">
      <c r="H19665" t="str">
        <f t="shared" si="356"/>
        <v/>
      </c>
    </row>
    <row r="19666" spans="8:8" x14ac:dyDescent="0.3">
      <c r="H19666" t="str">
        <f t="shared" si="356"/>
        <v/>
      </c>
    </row>
    <row r="19667" spans="8:8" x14ac:dyDescent="0.3">
      <c r="H19667" t="str">
        <f t="shared" si="356"/>
        <v/>
      </c>
    </row>
    <row r="19668" spans="8:8" x14ac:dyDescent="0.3">
      <c r="H19668" t="str">
        <f t="shared" si="356"/>
        <v/>
      </c>
    </row>
    <row r="19669" spans="8:8" x14ac:dyDescent="0.3">
      <c r="H19669" t="str">
        <f t="shared" si="356"/>
        <v/>
      </c>
    </row>
    <row r="19670" spans="8:8" x14ac:dyDescent="0.3">
      <c r="H19670" t="str">
        <f t="shared" si="356"/>
        <v/>
      </c>
    </row>
    <row r="19671" spans="8:8" x14ac:dyDescent="0.3">
      <c r="H19671" t="str">
        <f t="shared" ref="H19671:H19734" si="357">IF(B19671="","",$C$12)</f>
        <v/>
      </c>
    </row>
    <row r="19672" spans="8:8" x14ac:dyDescent="0.3">
      <c r="H19672" t="str">
        <f t="shared" si="357"/>
        <v/>
      </c>
    </row>
    <row r="19673" spans="8:8" x14ac:dyDescent="0.3">
      <c r="H19673" t="str">
        <f t="shared" si="357"/>
        <v/>
      </c>
    </row>
    <row r="19674" spans="8:8" x14ac:dyDescent="0.3">
      <c r="H19674" t="str">
        <f t="shared" si="357"/>
        <v/>
      </c>
    </row>
    <row r="19675" spans="8:8" x14ac:dyDescent="0.3">
      <c r="H19675" t="str">
        <f t="shared" si="357"/>
        <v/>
      </c>
    </row>
    <row r="19676" spans="8:8" x14ac:dyDescent="0.3">
      <c r="H19676" t="str">
        <f t="shared" si="357"/>
        <v/>
      </c>
    </row>
    <row r="19677" spans="8:8" x14ac:dyDescent="0.3">
      <c r="H19677" t="str">
        <f t="shared" si="357"/>
        <v/>
      </c>
    </row>
    <row r="19678" spans="8:8" x14ac:dyDescent="0.3">
      <c r="H19678" t="str">
        <f t="shared" si="357"/>
        <v/>
      </c>
    </row>
    <row r="19679" spans="8:8" x14ac:dyDescent="0.3">
      <c r="H19679" t="str">
        <f t="shared" si="357"/>
        <v/>
      </c>
    </row>
    <row r="19680" spans="8:8" x14ac:dyDescent="0.3">
      <c r="H19680" t="str">
        <f t="shared" si="357"/>
        <v/>
      </c>
    </row>
    <row r="19681" spans="8:8" x14ac:dyDescent="0.3">
      <c r="H19681" t="str">
        <f t="shared" si="357"/>
        <v/>
      </c>
    </row>
    <row r="19682" spans="8:8" x14ac:dyDescent="0.3">
      <c r="H19682" t="str">
        <f t="shared" si="357"/>
        <v/>
      </c>
    </row>
    <row r="19683" spans="8:8" x14ac:dyDescent="0.3">
      <c r="H19683" t="str">
        <f t="shared" si="357"/>
        <v/>
      </c>
    </row>
    <row r="19684" spans="8:8" x14ac:dyDescent="0.3">
      <c r="H19684" t="str">
        <f t="shared" si="357"/>
        <v/>
      </c>
    </row>
    <row r="19685" spans="8:8" x14ac:dyDescent="0.3">
      <c r="H19685" t="str">
        <f t="shared" si="357"/>
        <v/>
      </c>
    </row>
    <row r="19686" spans="8:8" x14ac:dyDescent="0.3">
      <c r="H19686" t="str">
        <f t="shared" si="357"/>
        <v/>
      </c>
    </row>
    <row r="19687" spans="8:8" x14ac:dyDescent="0.3">
      <c r="H19687" t="str">
        <f t="shared" si="357"/>
        <v/>
      </c>
    </row>
    <row r="19688" spans="8:8" x14ac:dyDescent="0.3">
      <c r="H19688" t="str">
        <f t="shared" si="357"/>
        <v/>
      </c>
    </row>
    <row r="19689" spans="8:8" x14ac:dyDescent="0.3">
      <c r="H19689" t="str">
        <f t="shared" si="357"/>
        <v/>
      </c>
    </row>
    <row r="19690" spans="8:8" x14ac:dyDescent="0.3">
      <c r="H19690" t="str">
        <f t="shared" si="357"/>
        <v/>
      </c>
    </row>
    <row r="19691" spans="8:8" x14ac:dyDescent="0.3">
      <c r="H19691" t="str">
        <f t="shared" si="357"/>
        <v/>
      </c>
    </row>
    <row r="19692" spans="8:8" x14ac:dyDescent="0.3">
      <c r="H19692" t="str">
        <f t="shared" si="357"/>
        <v/>
      </c>
    </row>
    <row r="19693" spans="8:8" x14ac:dyDescent="0.3">
      <c r="H19693" t="str">
        <f t="shared" si="357"/>
        <v/>
      </c>
    </row>
    <row r="19694" spans="8:8" x14ac:dyDescent="0.3">
      <c r="H19694" t="str">
        <f t="shared" si="357"/>
        <v/>
      </c>
    </row>
    <row r="19695" spans="8:8" x14ac:dyDescent="0.3">
      <c r="H19695" t="str">
        <f t="shared" si="357"/>
        <v/>
      </c>
    </row>
    <row r="19696" spans="8:8" x14ac:dyDescent="0.3">
      <c r="H19696" t="str">
        <f t="shared" si="357"/>
        <v/>
      </c>
    </row>
    <row r="19697" spans="8:8" x14ac:dyDescent="0.3">
      <c r="H19697" t="str">
        <f t="shared" si="357"/>
        <v/>
      </c>
    </row>
    <row r="19698" spans="8:8" x14ac:dyDescent="0.3">
      <c r="H19698" t="str">
        <f t="shared" si="357"/>
        <v/>
      </c>
    </row>
    <row r="19699" spans="8:8" x14ac:dyDescent="0.3">
      <c r="H19699" t="str">
        <f t="shared" si="357"/>
        <v/>
      </c>
    </row>
    <row r="19700" spans="8:8" x14ac:dyDescent="0.3">
      <c r="H19700" t="str">
        <f t="shared" si="357"/>
        <v/>
      </c>
    </row>
    <row r="19701" spans="8:8" x14ac:dyDescent="0.3">
      <c r="H19701" t="str">
        <f t="shared" si="357"/>
        <v/>
      </c>
    </row>
    <row r="19702" spans="8:8" x14ac:dyDescent="0.3">
      <c r="H19702" t="str">
        <f t="shared" si="357"/>
        <v/>
      </c>
    </row>
    <row r="19703" spans="8:8" x14ac:dyDescent="0.3">
      <c r="H19703" t="str">
        <f t="shared" si="357"/>
        <v/>
      </c>
    </row>
    <row r="19704" spans="8:8" x14ac:dyDescent="0.3">
      <c r="H19704" t="str">
        <f t="shared" si="357"/>
        <v/>
      </c>
    </row>
    <row r="19705" spans="8:8" x14ac:dyDescent="0.3">
      <c r="H19705" t="str">
        <f t="shared" si="357"/>
        <v/>
      </c>
    </row>
    <row r="19706" spans="8:8" x14ac:dyDescent="0.3">
      <c r="H19706" t="str">
        <f t="shared" si="357"/>
        <v/>
      </c>
    </row>
    <row r="19707" spans="8:8" x14ac:dyDescent="0.3">
      <c r="H19707" t="str">
        <f t="shared" si="357"/>
        <v/>
      </c>
    </row>
    <row r="19708" spans="8:8" x14ac:dyDescent="0.3">
      <c r="H19708" t="str">
        <f t="shared" si="357"/>
        <v/>
      </c>
    </row>
    <row r="19709" spans="8:8" x14ac:dyDescent="0.3">
      <c r="H19709" t="str">
        <f t="shared" si="357"/>
        <v/>
      </c>
    </row>
    <row r="19710" spans="8:8" x14ac:dyDescent="0.3">
      <c r="H19710" t="str">
        <f t="shared" si="357"/>
        <v/>
      </c>
    </row>
    <row r="19711" spans="8:8" x14ac:dyDescent="0.3">
      <c r="H19711" t="str">
        <f t="shared" si="357"/>
        <v/>
      </c>
    </row>
    <row r="19712" spans="8:8" x14ac:dyDescent="0.3">
      <c r="H19712" t="str">
        <f t="shared" si="357"/>
        <v/>
      </c>
    </row>
    <row r="19713" spans="8:8" x14ac:dyDescent="0.3">
      <c r="H19713" t="str">
        <f t="shared" si="357"/>
        <v/>
      </c>
    </row>
    <row r="19714" spans="8:8" x14ac:dyDescent="0.3">
      <c r="H19714" t="str">
        <f t="shared" si="357"/>
        <v/>
      </c>
    </row>
    <row r="19715" spans="8:8" x14ac:dyDescent="0.3">
      <c r="H19715" t="str">
        <f t="shared" si="357"/>
        <v/>
      </c>
    </row>
    <row r="19716" spans="8:8" x14ac:dyDescent="0.3">
      <c r="H19716" t="str">
        <f t="shared" si="357"/>
        <v/>
      </c>
    </row>
    <row r="19717" spans="8:8" x14ac:dyDescent="0.3">
      <c r="H19717" t="str">
        <f t="shared" si="357"/>
        <v/>
      </c>
    </row>
    <row r="19718" spans="8:8" x14ac:dyDescent="0.3">
      <c r="H19718" t="str">
        <f t="shared" si="357"/>
        <v/>
      </c>
    </row>
    <row r="19719" spans="8:8" x14ac:dyDescent="0.3">
      <c r="H19719" t="str">
        <f t="shared" si="357"/>
        <v/>
      </c>
    </row>
    <row r="19720" spans="8:8" x14ac:dyDescent="0.3">
      <c r="H19720" t="str">
        <f t="shared" si="357"/>
        <v/>
      </c>
    </row>
    <row r="19721" spans="8:8" x14ac:dyDescent="0.3">
      <c r="H19721" t="str">
        <f t="shared" si="357"/>
        <v/>
      </c>
    </row>
    <row r="19722" spans="8:8" x14ac:dyDescent="0.3">
      <c r="H19722" t="str">
        <f t="shared" si="357"/>
        <v/>
      </c>
    </row>
    <row r="19723" spans="8:8" x14ac:dyDescent="0.3">
      <c r="H19723" t="str">
        <f t="shared" si="357"/>
        <v/>
      </c>
    </row>
    <row r="19724" spans="8:8" x14ac:dyDescent="0.3">
      <c r="H19724" t="str">
        <f t="shared" si="357"/>
        <v/>
      </c>
    </row>
    <row r="19725" spans="8:8" x14ac:dyDescent="0.3">
      <c r="H19725" t="str">
        <f t="shared" si="357"/>
        <v/>
      </c>
    </row>
    <row r="19726" spans="8:8" x14ac:dyDescent="0.3">
      <c r="H19726" t="str">
        <f t="shared" si="357"/>
        <v/>
      </c>
    </row>
    <row r="19727" spans="8:8" x14ac:dyDescent="0.3">
      <c r="H19727" t="str">
        <f t="shared" si="357"/>
        <v/>
      </c>
    </row>
    <row r="19728" spans="8:8" x14ac:dyDescent="0.3">
      <c r="H19728" t="str">
        <f t="shared" si="357"/>
        <v/>
      </c>
    </row>
    <row r="19729" spans="8:8" x14ac:dyDescent="0.3">
      <c r="H19729" t="str">
        <f t="shared" si="357"/>
        <v/>
      </c>
    </row>
    <row r="19730" spans="8:8" x14ac:dyDescent="0.3">
      <c r="H19730" t="str">
        <f t="shared" si="357"/>
        <v/>
      </c>
    </row>
    <row r="19731" spans="8:8" x14ac:dyDescent="0.3">
      <c r="H19731" t="str">
        <f t="shared" si="357"/>
        <v/>
      </c>
    </row>
    <row r="19732" spans="8:8" x14ac:dyDescent="0.3">
      <c r="H19732" t="str">
        <f t="shared" si="357"/>
        <v/>
      </c>
    </row>
    <row r="19733" spans="8:8" x14ac:dyDescent="0.3">
      <c r="H19733" t="str">
        <f t="shared" si="357"/>
        <v/>
      </c>
    </row>
    <row r="19734" spans="8:8" x14ac:dyDescent="0.3">
      <c r="H19734" t="str">
        <f t="shared" si="357"/>
        <v/>
      </c>
    </row>
    <row r="19735" spans="8:8" x14ac:dyDescent="0.3">
      <c r="H19735" t="str">
        <f t="shared" ref="H19735:H19798" si="358">IF(B19735="","",$C$12)</f>
        <v/>
      </c>
    </row>
    <row r="19736" spans="8:8" x14ac:dyDescent="0.3">
      <c r="H19736" t="str">
        <f t="shared" si="358"/>
        <v/>
      </c>
    </row>
    <row r="19737" spans="8:8" x14ac:dyDescent="0.3">
      <c r="H19737" t="str">
        <f t="shared" si="358"/>
        <v/>
      </c>
    </row>
    <row r="19738" spans="8:8" x14ac:dyDescent="0.3">
      <c r="H19738" t="str">
        <f t="shared" si="358"/>
        <v/>
      </c>
    </row>
    <row r="19739" spans="8:8" x14ac:dyDescent="0.3">
      <c r="H19739" t="str">
        <f t="shared" si="358"/>
        <v/>
      </c>
    </row>
    <row r="19740" spans="8:8" x14ac:dyDescent="0.3">
      <c r="H19740" t="str">
        <f t="shared" si="358"/>
        <v/>
      </c>
    </row>
    <row r="19741" spans="8:8" x14ac:dyDescent="0.3">
      <c r="H19741" t="str">
        <f t="shared" si="358"/>
        <v/>
      </c>
    </row>
    <row r="19742" spans="8:8" x14ac:dyDescent="0.3">
      <c r="H19742" t="str">
        <f t="shared" si="358"/>
        <v/>
      </c>
    </row>
    <row r="19743" spans="8:8" x14ac:dyDescent="0.3">
      <c r="H19743" t="str">
        <f t="shared" si="358"/>
        <v/>
      </c>
    </row>
    <row r="19744" spans="8:8" x14ac:dyDescent="0.3">
      <c r="H19744" t="str">
        <f t="shared" si="358"/>
        <v/>
      </c>
    </row>
    <row r="19745" spans="8:8" x14ac:dyDescent="0.3">
      <c r="H19745" t="str">
        <f t="shared" si="358"/>
        <v/>
      </c>
    </row>
    <row r="19746" spans="8:8" x14ac:dyDescent="0.3">
      <c r="H19746" t="str">
        <f t="shared" si="358"/>
        <v/>
      </c>
    </row>
    <row r="19747" spans="8:8" x14ac:dyDescent="0.3">
      <c r="H19747" t="str">
        <f t="shared" si="358"/>
        <v/>
      </c>
    </row>
    <row r="19748" spans="8:8" x14ac:dyDescent="0.3">
      <c r="H19748" t="str">
        <f t="shared" si="358"/>
        <v/>
      </c>
    </row>
    <row r="19749" spans="8:8" x14ac:dyDescent="0.3">
      <c r="H19749" t="str">
        <f t="shared" si="358"/>
        <v/>
      </c>
    </row>
    <row r="19750" spans="8:8" x14ac:dyDescent="0.3">
      <c r="H19750" t="str">
        <f t="shared" si="358"/>
        <v/>
      </c>
    </row>
    <row r="19751" spans="8:8" x14ac:dyDescent="0.3">
      <c r="H19751" t="str">
        <f t="shared" si="358"/>
        <v/>
      </c>
    </row>
    <row r="19752" spans="8:8" x14ac:dyDescent="0.3">
      <c r="H19752" t="str">
        <f t="shared" si="358"/>
        <v/>
      </c>
    </row>
    <row r="19753" spans="8:8" x14ac:dyDescent="0.3">
      <c r="H19753" t="str">
        <f t="shared" si="358"/>
        <v/>
      </c>
    </row>
    <row r="19754" spans="8:8" x14ac:dyDescent="0.3">
      <c r="H19754" t="str">
        <f t="shared" si="358"/>
        <v/>
      </c>
    </row>
    <row r="19755" spans="8:8" x14ac:dyDescent="0.3">
      <c r="H19755" t="str">
        <f t="shared" si="358"/>
        <v/>
      </c>
    </row>
    <row r="19756" spans="8:8" x14ac:dyDescent="0.3">
      <c r="H19756" t="str">
        <f t="shared" si="358"/>
        <v/>
      </c>
    </row>
    <row r="19757" spans="8:8" x14ac:dyDescent="0.3">
      <c r="H19757" t="str">
        <f t="shared" si="358"/>
        <v/>
      </c>
    </row>
    <row r="19758" spans="8:8" x14ac:dyDescent="0.3">
      <c r="H19758" t="str">
        <f t="shared" si="358"/>
        <v/>
      </c>
    </row>
    <row r="19759" spans="8:8" x14ac:dyDescent="0.3">
      <c r="H19759" t="str">
        <f t="shared" si="358"/>
        <v/>
      </c>
    </row>
    <row r="19760" spans="8:8" x14ac:dyDescent="0.3">
      <c r="H19760" t="str">
        <f t="shared" si="358"/>
        <v/>
      </c>
    </row>
    <row r="19761" spans="8:8" x14ac:dyDescent="0.3">
      <c r="H19761" t="str">
        <f t="shared" si="358"/>
        <v/>
      </c>
    </row>
    <row r="19762" spans="8:8" x14ac:dyDescent="0.3">
      <c r="H19762" t="str">
        <f t="shared" si="358"/>
        <v/>
      </c>
    </row>
    <row r="19763" spans="8:8" x14ac:dyDescent="0.3">
      <c r="H19763" t="str">
        <f t="shared" si="358"/>
        <v/>
      </c>
    </row>
    <row r="19764" spans="8:8" x14ac:dyDescent="0.3">
      <c r="H19764" t="str">
        <f t="shared" si="358"/>
        <v/>
      </c>
    </row>
    <row r="19765" spans="8:8" x14ac:dyDescent="0.3">
      <c r="H19765" t="str">
        <f t="shared" si="358"/>
        <v/>
      </c>
    </row>
    <row r="19766" spans="8:8" x14ac:dyDescent="0.3">
      <c r="H19766" t="str">
        <f t="shared" si="358"/>
        <v/>
      </c>
    </row>
    <row r="19767" spans="8:8" x14ac:dyDescent="0.3">
      <c r="H19767" t="str">
        <f t="shared" si="358"/>
        <v/>
      </c>
    </row>
    <row r="19768" spans="8:8" x14ac:dyDescent="0.3">
      <c r="H19768" t="str">
        <f t="shared" si="358"/>
        <v/>
      </c>
    </row>
    <row r="19769" spans="8:8" x14ac:dyDescent="0.3">
      <c r="H19769" t="str">
        <f t="shared" si="358"/>
        <v/>
      </c>
    </row>
    <row r="19770" spans="8:8" x14ac:dyDescent="0.3">
      <c r="H19770" t="str">
        <f t="shared" si="358"/>
        <v/>
      </c>
    </row>
    <row r="19771" spans="8:8" x14ac:dyDescent="0.3">
      <c r="H19771" t="str">
        <f t="shared" si="358"/>
        <v/>
      </c>
    </row>
    <row r="19772" spans="8:8" x14ac:dyDescent="0.3">
      <c r="H19772" t="str">
        <f t="shared" si="358"/>
        <v/>
      </c>
    </row>
    <row r="19773" spans="8:8" x14ac:dyDescent="0.3">
      <c r="H19773" t="str">
        <f t="shared" si="358"/>
        <v/>
      </c>
    </row>
    <row r="19774" spans="8:8" x14ac:dyDescent="0.3">
      <c r="H19774" t="str">
        <f t="shared" si="358"/>
        <v/>
      </c>
    </row>
    <row r="19775" spans="8:8" x14ac:dyDescent="0.3">
      <c r="H19775" t="str">
        <f t="shared" si="358"/>
        <v/>
      </c>
    </row>
    <row r="19776" spans="8:8" x14ac:dyDescent="0.3">
      <c r="H19776" t="str">
        <f t="shared" si="358"/>
        <v/>
      </c>
    </row>
    <row r="19777" spans="8:8" x14ac:dyDescent="0.3">
      <c r="H19777" t="str">
        <f t="shared" si="358"/>
        <v/>
      </c>
    </row>
    <row r="19778" spans="8:8" x14ac:dyDescent="0.3">
      <c r="H19778" t="str">
        <f t="shared" si="358"/>
        <v/>
      </c>
    </row>
    <row r="19779" spans="8:8" x14ac:dyDescent="0.3">
      <c r="H19779" t="str">
        <f t="shared" si="358"/>
        <v/>
      </c>
    </row>
    <row r="19780" spans="8:8" x14ac:dyDescent="0.3">
      <c r="H19780" t="str">
        <f t="shared" si="358"/>
        <v/>
      </c>
    </row>
    <row r="19781" spans="8:8" x14ac:dyDescent="0.3">
      <c r="H19781" t="str">
        <f t="shared" si="358"/>
        <v/>
      </c>
    </row>
    <row r="19782" spans="8:8" x14ac:dyDescent="0.3">
      <c r="H19782" t="str">
        <f t="shared" si="358"/>
        <v/>
      </c>
    </row>
    <row r="19783" spans="8:8" x14ac:dyDescent="0.3">
      <c r="H19783" t="str">
        <f t="shared" si="358"/>
        <v/>
      </c>
    </row>
    <row r="19784" spans="8:8" x14ac:dyDescent="0.3">
      <c r="H19784" t="str">
        <f t="shared" si="358"/>
        <v/>
      </c>
    </row>
    <row r="19785" spans="8:8" x14ac:dyDescent="0.3">
      <c r="H19785" t="str">
        <f t="shared" si="358"/>
        <v/>
      </c>
    </row>
    <row r="19786" spans="8:8" x14ac:dyDescent="0.3">
      <c r="H19786" t="str">
        <f t="shared" si="358"/>
        <v/>
      </c>
    </row>
    <row r="19787" spans="8:8" x14ac:dyDescent="0.3">
      <c r="H19787" t="str">
        <f t="shared" si="358"/>
        <v/>
      </c>
    </row>
    <row r="19788" spans="8:8" x14ac:dyDescent="0.3">
      <c r="H19788" t="str">
        <f t="shared" si="358"/>
        <v/>
      </c>
    </row>
    <row r="19789" spans="8:8" x14ac:dyDescent="0.3">
      <c r="H19789" t="str">
        <f t="shared" si="358"/>
        <v/>
      </c>
    </row>
    <row r="19790" spans="8:8" x14ac:dyDescent="0.3">
      <c r="H19790" t="str">
        <f t="shared" si="358"/>
        <v/>
      </c>
    </row>
    <row r="19791" spans="8:8" x14ac:dyDescent="0.3">
      <c r="H19791" t="str">
        <f t="shared" si="358"/>
        <v/>
      </c>
    </row>
    <row r="19792" spans="8:8" x14ac:dyDescent="0.3">
      <c r="H19792" t="str">
        <f t="shared" si="358"/>
        <v/>
      </c>
    </row>
    <row r="19793" spans="8:8" x14ac:dyDescent="0.3">
      <c r="H19793" t="str">
        <f t="shared" si="358"/>
        <v/>
      </c>
    </row>
    <row r="19794" spans="8:8" x14ac:dyDescent="0.3">
      <c r="H19794" t="str">
        <f t="shared" si="358"/>
        <v/>
      </c>
    </row>
    <row r="19795" spans="8:8" x14ac:dyDescent="0.3">
      <c r="H19795" t="str">
        <f t="shared" si="358"/>
        <v/>
      </c>
    </row>
    <row r="19796" spans="8:8" x14ac:dyDescent="0.3">
      <c r="H19796" t="str">
        <f t="shared" si="358"/>
        <v/>
      </c>
    </row>
    <row r="19797" spans="8:8" x14ac:dyDescent="0.3">
      <c r="H19797" t="str">
        <f t="shared" si="358"/>
        <v/>
      </c>
    </row>
    <row r="19798" spans="8:8" x14ac:dyDescent="0.3">
      <c r="H19798" t="str">
        <f t="shared" si="358"/>
        <v/>
      </c>
    </row>
    <row r="19799" spans="8:8" x14ac:dyDescent="0.3">
      <c r="H19799" t="str">
        <f t="shared" ref="H19799:H19862" si="359">IF(B19799="","",$C$12)</f>
        <v/>
      </c>
    </row>
    <row r="19800" spans="8:8" x14ac:dyDescent="0.3">
      <c r="H19800" t="str">
        <f t="shared" si="359"/>
        <v/>
      </c>
    </row>
    <row r="19801" spans="8:8" x14ac:dyDescent="0.3">
      <c r="H19801" t="str">
        <f t="shared" si="359"/>
        <v/>
      </c>
    </row>
    <row r="19802" spans="8:8" x14ac:dyDescent="0.3">
      <c r="H19802" t="str">
        <f t="shared" si="359"/>
        <v/>
      </c>
    </row>
    <row r="19803" spans="8:8" x14ac:dyDescent="0.3">
      <c r="H19803" t="str">
        <f t="shared" si="359"/>
        <v/>
      </c>
    </row>
    <row r="19804" spans="8:8" x14ac:dyDescent="0.3">
      <c r="H19804" t="str">
        <f t="shared" si="359"/>
        <v/>
      </c>
    </row>
    <row r="19805" spans="8:8" x14ac:dyDescent="0.3">
      <c r="H19805" t="str">
        <f t="shared" si="359"/>
        <v/>
      </c>
    </row>
    <row r="19806" spans="8:8" x14ac:dyDescent="0.3">
      <c r="H19806" t="str">
        <f t="shared" si="359"/>
        <v/>
      </c>
    </row>
    <row r="19807" spans="8:8" x14ac:dyDescent="0.3">
      <c r="H19807" t="str">
        <f t="shared" si="359"/>
        <v/>
      </c>
    </row>
    <row r="19808" spans="8:8" x14ac:dyDescent="0.3">
      <c r="H19808" t="str">
        <f t="shared" si="359"/>
        <v/>
      </c>
    </row>
    <row r="19809" spans="8:8" x14ac:dyDescent="0.3">
      <c r="H19809" t="str">
        <f t="shared" si="359"/>
        <v/>
      </c>
    </row>
    <row r="19810" spans="8:8" x14ac:dyDescent="0.3">
      <c r="H19810" t="str">
        <f t="shared" si="359"/>
        <v/>
      </c>
    </row>
    <row r="19811" spans="8:8" x14ac:dyDescent="0.3">
      <c r="H19811" t="str">
        <f t="shared" si="359"/>
        <v/>
      </c>
    </row>
    <row r="19812" spans="8:8" x14ac:dyDescent="0.3">
      <c r="H19812" t="str">
        <f t="shared" si="359"/>
        <v/>
      </c>
    </row>
    <row r="19813" spans="8:8" x14ac:dyDescent="0.3">
      <c r="H19813" t="str">
        <f t="shared" si="359"/>
        <v/>
      </c>
    </row>
    <row r="19814" spans="8:8" x14ac:dyDescent="0.3">
      <c r="H19814" t="str">
        <f t="shared" si="359"/>
        <v/>
      </c>
    </row>
    <row r="19815" spans="8:8" x14ac:dyDescent="0.3">
      <c r="H19815" t="str">
        <f t="shared" si="359"/>
        <v/>
      </c>
    </row>
    <row r="19816" spans="8:8" x14ac:dyDescent="0.3">
      <c r="H19816" t="str">
        <f t="shared" si="359"/>
        <v/>
      </c>
    </row>
    <row r="19817" spans="8:8" x14ac:dyDescent="0.3">
      <c r="H19817" t="str">
        <f t="shared" si="359"/>
        <v/>
      </c>
    </row>
    <row r="19818" spans="8:8" x14ac:dyDescent="0.3">
      <c r="H19818" t="str">
        <f t="shared" si="359"/>
        <v/>
      </c>
    </row>
    <row r="19819" spans="8:8" x14ac:dyDescent="0.3">
      <c r="H19819" t="str">
        <f t="shared" si="359"/>
        <v/>
      </c>
    </row>
    <row r="19820" spans="8:8" x14ac:dyDescent="0.3">
      <c r="H19820" t="str">
        <f t="shared" si="359"/>
        <v/>
      </c>
    </row>
    <row r="19821" spans="8:8" x14ac:dyDescent="0.3">
      <c r="H19821" t="str">
        <f t="shared" si="359"/>
        <v/>
      </c>
    </row>
    <row r="19822" spans="8:8" x14ac:dyDescent="0.3">
      <c r="H19822" t="str">
        <f t="shared" si="359"/>
        <v/>
      </c>
    </row>
    <row r="19823" spans="8:8" x14ac:dyDescent="0.3">
      <c r="H19823" t="str">
        <f t="shared" si="359"/>
        <v/>
      </c>
    </row>
    <row r="19824" spans="8:8" x14ac:dyDescent="0.3">
      <c r="H19824" t="str">
        <f t="shared" si="359"/>
        <v/>
      </c>
    </row>
    <row r="19825" spans="8:8" x14ac:dyDescent="0.3">
      <c r="H19825" t="str">
        <f t="shared" si="359"/>
        <v/>
      </c>
    </row>
    <row r="19826" spans="8:8" x14ac:dyDescent="0.3">
      <c r="H19826" t="str">
        <f t="shared" si="359"/>
        <v/>
      </c>
    </row>
    <row r="19827" spans="8:8" x14ac:dyDescent="0.3">
      <c r="H19827" t="str">
        <f t="shared" si="359"/>
        <v/>
      </c>
    </row>
    <row r="19828" spans="8:8" x14ac:dyDescent="0.3">
      <c r="H19828" t="str">
        <f t="shared" si="359"/>
        <v/>
      </c>
    </row>
    <row r="19829" spans="8:8" x14ac:dyDescent="0.3">
      <c r="H19829" t="str">
        <f t="shared" si="359"/>
        <v/>
      </c>
    </row>
    <row r="19830" spans="8:8" x14ac:dyDescent="0.3">
      <c r="H19830" t="str">
        <f t="shared" si="359"/>
        <v/>
      </c>
    </row>
    <row r="19831" spans="8:8" x14ac:dyDescent="0.3">
      <c r="H19831" t="str">
        <f t="shared" si="359"/>
        <v/>
      </c>
    </row>
    <row r="19832" spans="8:8" x14ac:dyDescent="0.3">
      <c r="H19832" t="str">
        <f t="shared" si="359"/>
        <v/>
      </c>
    </row>
    <row r="19833" spans="8:8" x14ac:dyDescent="0.3">
      <c r="H19833" t="str">
        <f t="shared" si="359"/>
        <v/>
      </c>
    </row>
    <row r="19834" spans="8:8" x14ac:dyDescent="0.3">
      <c r="H19834" t="str">
        <f t="shared" si="359"/>
        <v/>
      </c>
    </row>
    <row r="19835" spans="8:8" x14ac:dyDescent="0.3">
      <c r="H19835" t="str">
        <f t="shared" si="359"/>
        <v/>
      </c>
    </row>
    <row r="19836" spans="8:8" x14ac:dyDescent="0.3">
      <c r="H19836" t="str">
        <f t="shared" si="359"/>
        <v/>
      </c>
    </row>
    <row r="19837" spans="8:8" x14ac:dyDescent="0.3">
      <c r="H19837" t="str">
        <f t="shared" si="359"/>
        <v/>
      </c>
    </row>
    <row r="19838" spans="8:8" x14ac:dyDescent="0.3">
      <c r="H19838" t="str">
        <f t="shared" si="359"/>
        <v/>
      </c>
    </row>
    <row r="19839" spans="8:8" x14ac:dyDescent="0.3">
      <c r="H19839" t="str">
        <f t="shared" si="359"/>
        <v/>
      </c>
    </row>
    <row r="19840" spans="8:8" x14ac:dyDescent="0.3">
      <c r="H19840" t="str">
        <f t="shared" si="359"/>
        <v/>
      </c>
    </row>
    <row r="19841" spans="8:8" x14ac:dyDescent="0.3">
      <c r="H19841" t="str">
        <f t="shared" si="359"/>
        <v/>
      </c>
    </row>
    <row r="19842" spans="8:8" x14ac:dyDescent="0.3">
      <c r="H19842" t="str">
        <f t="shared" si="359"/>
        <v/>
      </c>
    </row>
    <row r="19843" spans="8:8" x14ac:dyDescent="0.3">
      <c r="H19843" t="str">
        <f t="shared" si="359"/>
        <v/>
      </c>
    </row>
    <row r="19844" spans="8:8" x14ac:dyDescent="0.3">
      <c r="H19844" t="str">
        <f t="shared" si="359"/>
        <v/>
      </c>
    </row>
    <row r="19845" spans="8:8" x14ac:dyDescent="0.3">
      <c r="H19845" t="str">
        <f t="shared" si="359"/>
        <v/>
      </c>
    </row>
    <row r="19846" spans="8:8" x14ac:dyDescent="0.3">
      <c r="H19846" t="str">
        <f t="shared" si="359"/>
        <v/>
      </c>
    </row>
    <row r="19847" spans="8:8" x14ac:dyDescent="0.3">
      <c r="H19847" t="str">
        <f t="shared" si="359"/>
        <v/>
      </c>
    </row>
    <row r="19848" spans="8:8" x14ac:dyDescent="0.3">
      <c r="H19848" t="str">
        <f t="shared" si="359"/>
        <v/>
      </c>
    </row>
    <row r="19849" spans="8:8" x14ac:dyDescent="0.3">
      <c r="H19849" t="str">
        <f t="shared" si="359"/>
        <v/>
      </c>
    </row>
    <row r="19850" spans="8:8" x14ac:dyDescent="0.3">
      <c r="H19850" t="str">
        <f t="shared" si="359"/>
        <v/>
      </c>
    </row>
    <row r="19851" spans="8:8" x14ac:dyDescent="0.3">
      <c r="H19851" t="str">
        <f t="shared" si="359"/>
        <v/>
      </c>
    </row>
    <row r="19852" spans="8:8" x14ac:dyDescent="0.3">
      <c r="H19852" t="str">
        <f t="shared" si="359"/>
        <v/>
      </c>
    </row>
    <row r="19853" spans="8:8" x14ac:dyDescent="0.3">
      <c r="H19853" t="str">
        <f t="shared" si="359"/>
        <v/>
      </c>
    </row>
    <row r="19854" spans="8:8" x14ac:dyDescent="0.3">
      <c r="H19854" t="str">
        <f t="shared" si="359"/>
        <v/>
      </c>
    </row>
    <row r="19855" spans="8:8" x14ac:dyDescent="0.3">
      <c r="H19855" t="str">
        <f t="shared" si="359"/>
        <v/>
      </c>
    </row>
    <row r="19856" spans="8:8" x14ac:dyDescent="0.3">
      <c r="H19856" t="str">
        <f t="shared" si="359"/>
        <v/>
      </c>
    </row>
    <row r="19857" spans="8:8" x14ac:dyDescent="0.3">
      <c r="H19857" t="str">
        <f t="shared" si="359"/>
        <v/>
      </c>
    </row>
    <row r="19858" spans="8:8" x14ac:dyDescent="0.3">
      <c r="H19858" t="str">
        <f t="shared" si="359"/>
        <v/>
      </c>
    </row>
    <row r="19859" spans="8:8" x14ac:dyDescent="0.3">
      <c r="H19859" t="str">
        <f t="shared" si="359"/>
        <v/>
      </c>
    </row>
    <row r="19860" spans="8:8" x14ac:dyDescent="0.3">
      <c r="H19860" t="str">
        <f t="shared" si="359"/>
        <v/>
      </c>
    </row>
    <row r="19861" spans="8:8" x14ac:dyDescent="0.3">
      <c r="H19861" t="str">
        <f t="shared" si="359"/>
        <v/>
      </c>
    </row>
    <row r="19862" spans="8:8" x14ac:dyDescent="0.3">
      <c r="H19862" t="str">
        <f t="shared" si="359"/>
        <v/>
      </c>
    </row>
    <row r="19863" spans="8:8" x14ac:dyDescent="0.3">
      <c r="H19863" t="str">
        <f t="shared" ref="H19863:H19926" si="360">IF(B19863="","",$C$12)</f>
        <v/>
      </c>
    </row>
    <row r="19864" spans="8:8" x14ac:dyDescent="0.3">
      <c r="H19864" t="str">
        <f t="shared" si="360"/>
        <v/>
      </c>
    </row>
    <row r="19865" spans="8:8" x14ac:dyDescent="0.3">
      <c r="H19865" t="str">
        <f t="shared" si="360"/>
        <v/>
      </c>
    </row>
    <row r="19866" spans="8:8" x14ac:dyDescent="0.3">
      <c r="H19866" t="str">
        <f t="shared" si="360"/>
        <v/>
      </c>
    </row>
    <row r="19867" spans="8:8" x14ac:dyDescent="0.3">
      <c r="H19867" t="str">
        <f t="shared" si="360"/>
        <v/>
      </c>
    </row>
    <row r="19868" spans="8:8" x14ac:dyDescent="0.3">
      <c r="H19868" t="str">
        <f t="shared" si="360"/>
        <v/>
      </c>
    </row>
    <row r="19869" spans="8:8" x14ac:dyDescent="0.3">
      <c r="H19869" t="str">
        <f t="shared" si="360"/>
        <v/>
      </c>
    </row>
    <row r="19870" spans="8:8" x14ac:dyDescent="0.3">
      <c r="H19870" t="str">
        <f t="shared" si="360"/>
        <v/>
      </c>
    </row>
    <row r="19871" spans="8:8" x14ac:dyDescent="0.3">
      <c r="H19871" t="str">
        <f t="shared" si="360"/>
        <v/>
      </c>
    </row>
    <row r="19872" spans="8:8" x14ac:dyDescent="0.3">
      <c r="H19872" t="str">
        <f t="shared" si="360"/>
        <v/>
      </c>
    </row>
    <row r="19873" spans="8:8" x14ac:dyDescent="0.3">
      <c r="H19873" t="str">
        <f t="shared" si="360"/>
        <v/>
      </c>
    </row>
    <row r="19874" spans="8:8" x14ac:dyDescent="0.3">
      <c r="H19874" t="str">
        <f t="shared" si="360"/>
        <v/>
      </c>
    </row>
    <row r="19875" spans="8:8" x14ac:dyDescent="0.3">
      <c r="H19875" t="str">
        <f t="shared" si="360"/>
        <v/>
      </c>
    </row>
    <row r="19876" spans="8:8" x14ac:dyDescent="0.3">
      <c r="H19876" t="str">
        <f t="shared" si="360"/>
        <v/>
      </c>
    </row>
    <row r="19877" spans="8:8" x14ac:dyDescent="0.3">
      <c r="H19877" t="str">
        <f t="shared" si="360"/>
        <v/>
      </c>
    </row>
    <row r="19878" spans="8:8" x14ac:dyDescent="0.3">
      <c r="H19878" t="str">
        <f t="shared" si="360"/>
        <v/>
      </c>
    </row>
    <row r="19879" spans="8:8" x14ac:dyDescent="0.3">
      <c r="H19879" t="str">
        <f t="shared" si="360"/>
        <v/>
      </c>
    </row>
    <row r="19880" spans="8:8" x14ac:dyDescent="0.3">
      <c r="H19880" t="str">
        <f t="shared" si="360"/>
        <v/>
      </c>
    </row>
    <row r="19881" spans="8:8" x14ac:dyDescent="0.3">
      <c r="H19881" t="str">
        <f t="shared" si="360"/>
        <v/>
      </c>
    </row>
    <row r="19882" spans="8:8" x14ac:dyDescent="0.3">
      <c r="H19882" t="str">
        <f t="shared" si="360"/>
        <v/>
      </c>
    </row>
    <row r="19883" spans="8:8" x14ac:dyDescent="0.3">
      <c r="H19883" t="str">
        <f t="shared" si="360"/>
        <v/>
      </c>
    </row>
    <row r="19884" spans="8:8" x14ac:dyDescent="0.3">
      <c r="H19884" t="str">
        <f t="shared" si="360"/>
        <v/>
      </c>
    </row>
    <row r="19885" spans="8:8" x14ac:dyDescent="0.3">
      <c r="H19885" t="str">
        <f t="shared" si="360"/>
        <v/>
      </c>
    </row>
    <row r="19886" spans="8:8" x14ac:dyDescent="0.3">
      <c r="H19886" t="str">
        <f t="shared" si="360"/>
        <v/>
      </c>
    </row>
    <row r="19887" spans="8:8" x14ac:dyDescent="0.3">
      <c r="H19887" t="str">
        <f t="shared" si="360"/>
        <v/>
      </c>
    </row>
    <row r="19888" spans="8:8" x14ac:dyDescent="0.3">
      <c r="H19888" t="str">
        <f t="shared" si="360"/>
        <v/>
      </c>
    </row>
    <row r="19889" spans="8:8" x14ac:dyDescent="0.3">
      <c r="H19889" t="str">
        <f t="shared" si="360"/>
        <v/>
      </c>
    </row>
    <row r="19890" spans="8:8" x14ac:dyDescent="0.3">
      <c r="H19890" t="str">
        <f t="shared" si="360"/>
        <v/>
      </c>
    </row>
    <row r="19891" spans="8:8" x14ac:dyDescent="0.3">
      <c r="H19891" t="str">
        <f t="shared" si="360"/>
        <v/>
      </c>
    </row>
    <row r="19892" spans="8:8" x14ac:dyDescent="0.3">
      <c r="H19892" t="str">
        <f t="shared" si="360"/>
        <v/>
      </c>
    </row>
    <row r="19893" spans="8:8" x14ac:dyDescent="0.3">
      <c r="H19893" t="str">
        <f t="shared" si="360"/>
        <v/>
      </c>
    </row>
    <row r="19894" spans="8:8" x14ac:dyDescent="0.3">
      <c r="H19894" t="str">
        <f t="shared" si="360"/>
        <v/>
      </c>
    </row>
    <row r="19895" spans="8:8" x14ac:dyDescent="0.3">
      <c r="H19895" t="str">
        <f t="shared" si="360"/>
        <v/>
      </c>
    </row>
    <row r="19896" spans="8:8" x14ac:dyDescent="0.3">
      <c r="H19896" t="str">
        <f t="shared" si="360"/>
        <v/>
      </c>
    </row>
    <row r="19897" spans="8:8" x14ac:dyDescent="0.3">
      <c r="H19897" t="str">
        <f t="shared" si="360"/>
        <v/>
      </c>
    </row>
    <row r="19898" spans="8:8" x14ac:dyDescent="0.3">
      <c r="H19898" t="str">
        <f t="shared" si="360"/>
        <v/>
      </c>
    </row>
    <row r="19899" spans="8:8" x14ac:dyDescent="0.3">
      <c r="H19899" t="str">
        <f t="shared" si="360"/>
        <v/>
      </c>
    </row>
    <row r="19900" spans="8:8" x14ac:dyDescent="0.3">
      <c r="H19900" t="str">
        <f t="shared" si="360"/>
        <v/>
      </c>
    </row>
    <row r="19901" spans="8:8" x14ac:dyDescent="0.3">
      <c r="H19901" t="str">
        <f t="shared" si="360"/>
        <v/>
      </c>
    </row>
    <row r="19902" spans="8:8" x14ac:dyDescent="0.3">
      <c r="H19902" t="str">
        <f t="shared" si="360"/>
        <v/>
      </c>
    </row>
    <row r="19903" spans="8:8" x14ac:dyDescent="0.3">
      <c r="H19903" t="str">
        <f t="shared" si="360"/>
        <v/>
      </c>
    </row>
    <row r="19904" spans="8:8" x14ac:dyDescent="0.3">
      <c r="H19904" t="str">
        <f t="shared" si="360"/>
        <v/>
      </c>
    </row>
    <row r="19905" spans="8:8" x14ac:dyDescent="0.3">
      <c r="H19905" t="str">
        <f t="shared" si="360"/>
        <v/>
      </c>
    </row>
    <row r="19906" spans="8:8" x14ac:dyDescent="0.3">
      <c r="H19906" t="str">
        <f t="shared" si="360"/>
        <v/>
      </c>
    </row>
    <row r="19907" spans="8:8" x14ac:dyDescent="0.3">
      <c r="H19907" t="str">
        <f t="shared" si="360"/>
        <v/>
      </c>
    </row>
    <row r="19908" spans="8:8" x14ac:dyDescent="0.3">
      <c r="H19908" t="str">
        <f t="shared" si="360"/>
        <v/>
      </c>
    </row>
    <row r="19909" spans="8:8" x14ac:dyDescent="0.3">
      <c r="H19909" t="str">
        <f t="shared" si="360"/>
        <v/>
      </c>
    </row>
    <row r="19910" spans="8:8" x14ac:dyDescent="0.3">
      <c r="H19910" t="str">
        <f t="shared" si="360"/>
        <v/>
      </c>
    </row>
    <row r="19911" spans="8:8" x14ac:dyDescent="0.3">
      <c r="H19911" t="str">
        <f t="shared" si="360"/>
        <v/>
      </c>
    </row>
    <row r="19912" spans="8:8" x14ac:dyDescent="0.3">
      <c r="H19912" t="str">
        <f t="shared" si="360"/>
        <v/>
      </c>
    </row>
    <row r="19913" spans="8:8" x14ac:dyDescent="0.3">
      <c r="H19913" t="str">
        <f t="shared" si="360"/>
        <v/>
      </c>
    </row>
    <row r="19914" spans="8:8" x14ac:dyDescent="0.3">
      <c r="H19914" t="str">
        <f t="shared" si="360"/>
        <v/>
      </c>
    </row>
    <row r="19915" spans="8:8" x14ac:dyDescent="0.3">
      <c r="H19915" t="str">
        <f t="shared" si="360"/>
        <v/>
      </c>
    </row>
    <row r="19916" spans="8:8" x14ac:dyDescent="0.3">
      <c r="H19916" t="str">
        <f t="shared" si="360"/>
        <v/>
      </c>
    </row>
    <row r="19917" spans="8:8" x14ac:dyDescent="0.3">
      <c r="H19917" t="str">
        <f t="shared" si="360"/>
        <v/>
      </c>
    </row>
    <row r="19918" spans="8:8" x14ac:dyDescent="0.3">
      <c r="H19918" t="str">
        <f t="shared" si="360"/>
        <v/>
      </c>
    </row>
    <row r="19919" spans="8:8" x14ac:dyDescent="0.3">
      <c r="H19919" t="str">
        <f t="shared" si="360"/>
        <v/>
      </c>
    </row>
    <row r="19920" spans="8:8" x14ac:dyDescent="0.3">
      <c r="H19920" t="str">
        <f t="shared" si="360"/>
        <v/>
      </c>
    </row>
    <row r="19921" spans="8:8" x14ac:dyDescent="0.3">
      <c r="H19921" t="str">
        <f t="shared" si="360"/>
        <v/>
      </c>
    </row>
    <row r="19922" spans="8:8" x14ac:dyDescent="0.3">
      <c r="H19922" t="str">
        <f t="shared" si="360"/>
        <v/>
      </c>
    </row>
    <row r="19923" spans="8:8" x14ac:dyDescent="0.3">
      <c r="H19923" t="str">
        <f t="shared" si="360"/>
        <v/>
      </c>
    </row>
    <row r="19924" spans="8:8" x14ac:dyDescent="0.3">
      <c r="H19924" t="str">
        <f t="shared" si="360"/>
        <v/>
      </c>
    </row>
    <row r="19925" spans="8:8" x14ac:dyDescent="0.3">
      <c r="H19925" t="str">
        <f t="shared" si="360"/>
        <v/>
      </c>
    </row>
    <row r="19926" spans="8:8" x14ac:dyDescent="0.3">
      <c r="H19926" t="str">
        <f t="shared" si="360"/>
        <v/>
      </c>
    </row>
    <row r="19927" spans="8:8" x14ac:dyDescent="0.3">
      <c r="H19927" t="str">
        <f t="shared" ref="H19927:H19990" si="361">IF(B19927="","",$C$12)</f>
        <v/>
      </c>
    </row>
    <row r="19928" spans="8:8" x14ac:dyDescent="0.3">
      <c r="H19928" t="str">
        <f t="shared" si="361"/>
        <v/>
      </c>
    </row>
    <row r="19929" spans="8:8" x14ac:dyDescent="0.3">
      <c r="H19929" t="str">
        <f t="shared" si="361"/>
        <v/>
      </c>
    </row>
    <row r="19930" spans="8:8" x14ac:dyDescent="0.3">
      <c r="H19930" t="str">
        <f t="shared" si="361"/>
        <v/>
      </c>
    </row>
    <row r="19931" spans="8:8" x14ac:dyDescent="0.3">
      <c r="H19931" t="str">
        <f t="shared" si="361"/>
        <v/>
      </c>
    </row>
    <row r="19932" spans="8:8" x14ac:dyDescent="0.3">
      <c r="H19932" t="str">
        <f t="shared" si="361"/>
        <v/>
      </c>
    </row>
    <row r="19933" spans="8:8" x14ac:dyDescent="0.3">
      <c r="H19933" t="str">
        <f t="shared" si="361"/>
        <v/>
      </c>
    </row>
    <row r="19934" spans="8:8" x14ac:dyDescent="0.3">
      <c r="H19934" t="str">
        <f t="shared" si="361"/>
        <v/>
      </c>
    </row>
    <row r="19935" spans="8:8" x14ac:dyDescent="0.3">
      <c r="H19935" t="str">
        <f t="shared" si="361"/>
        <v/>
      </c>
    </row>
    <row r="19936" spans="8:8" x14ac:dyDescent="0.3">
      <c r="H19936" t="str">
        <f t="shared" si="361"/>
        <v/>
      </c>
    </row>
    <row r="19937" spans="8:8" x14ac:dyDescent="0.3">
      <c r="H19937" t="str">
        <f t="shared" si="361"/>
        <v/>
      </c>
    </row>
    <row r="19938" spans="8:8" x14ac:dyDescent="0.3">
      <c r="H19938" t="str">
        <f t="shared" si="361"/>
        <v/>
      </c>
    </row>
    <row r="19939" spans="8:8" x14ac:dyDescent="0.3">
      <c r="H19939" t="str">
        <f t="shared" si="361"/>
        <v/>
      </c>
    </row>
    <row r="19940" spans="8:8" x14ac:dyDescent="0.3">
      <c r="H19940" t="str">
        <f t="shared" si="361"/>
        <v/>
      </c>
    </row>
    <row r="19941" spans="8:8" x14ac:dyDescent="0.3">
      <c r="H19941" t="str">
        <f t="shared" si="361"/>
        <v/>
      </c>
    </row>
    <row r="19942" spans="8:8" x14ac:dyDescent="0.3">
      <c r="H19942" t="str">
        <f t="shared" si="361"/>
        <v/>
      </c>
    </row>
    <row r="19943" spans="8:8" x14ac:dyDescent="0.3">
      <c r="H19943" t="str">
        <f t="shared" si="361"/>
        <v/>
      </c>
    </row>
    <row r="19944" spans="8:8" x14ac:dyDescent="0.3">
      <c r="H19944" t="str">
        <f t="shared" si="361"/>
        <v/>
      </c>
    </row>
    <row r="19945" spans="8:8" x14ac:dyDescent="0.3">
      <c r="H19945" t="str">
        <f t="shared" si="361"/>
        <v/>
      </c>
    </row>
    <row r="19946" spans="8:8" x14ac:dyDescent="0.3">
      <c r="H19946" t="str">
        <f t="shared" si="361"/>
        <v/>
      </c>
    </row>
    <row r="19947" spans="8:8" x14ac:dyDescent="0.3">
      <c r="H19947" t="str">
        <f t="shared" si="361"/>
        <v/>
      </c>
    </row>
    <row r="19948" spans="8:8" x14ac:dyDescent="0.3">
      <c r="H19948" t="str">
        <f t="shared" si="361"/>
        <v/>
      </c>
    </row>
    <row r="19949" spans="8:8" x14ac:dyDescent="0.3">
      <c r="H19949" t="str">
        <f t="shared" si="361"/>
        <v/>
      </c>
    </row>
    <row r="19950" spans="8:8" x14ac:dyDescent="0.3">
      <c r="H19950" t="str">
        <f t="shared" si="361"/>
        <v/>
      </c>
    </row>
    <row r="19951" spans="8:8" x14ac:dyDescent="0.3">
      <c r="H19951" t="str">
        <f t="shared" si="361"/>
        <v/>
      </c>
    </row>
    <row r="19952" spans="8:8" x14ac:dyDescent="0.3">
      <c r="H19952" t="str">
        <f t="shared" si="361"/>
        <v/>
      </c>
    </row>
    <row r="19953" spans="8:8" x14ac:dyDescent="0.3">
      <c r="H19953" t="str">
        <f t="shared" si="361"/>
        <v/>
      </c>
    </row>
    <row r="19954" spans="8:8" x14ac:dyDescent="0.3">
      <c r="H19954" t="str">
        <f t="shared" si="361"/>
        <v/>
      </c>
    </row>
    <row r="19955" spans="8:8" x14ac:dyDescent="0.3">
      <c r="H19955" t="str">
        <f t="shared" si="361"/>
        <v/>
      </c>
    </row>
    <row r="19956" spans="8:8" x14ac:dyDescent="0.3">
      <c r="H19956" t="str">
        <f t="shared" si="361"/>
        <v/>
      </c>
    </row>
    <row r="19957" spans="8:8" x14ac:dyDescent="0.3">
      <c r="H19957" t="str">
        <f t="shared" si="361"/>
        <v/>
      </c>
    </row>
    <row r="19958" spans="8:8" x14ac:dyDescent="0.3">
      <c r="H19958" t="str">
        <f t="shared" si="361"/>
        <v/>
      </c>
    </row>
    <row r="19959" spans="8:8" x14ac:dyDescent="0.3">
      <c r="H19959" t="str">
        <f t="shared" si="361"/>
        <v/>
      </c>
    </row>
    <row r="19960" spans="8:8" x14ac:dyDescent="0.3">
      <c r="H19960" t="str">
        <f t="shared" si="361"/>
        <v/>
      </c>
    </row>
    <row r="19961" spans="8:8" x14ac:dyDescent="0.3">
      <c r="H19961" t="str">
        <f t="shared" si="361"/>
        <v/>
      </c>
    </row>
    <row r="19962" spans="8:8" x14ac:dyDescent="0.3">
      <c r="H19962" t="str">
        <f t="shared" si="361"/>
        <v/>
      </c>
    </row>
    <row r="19963" spans="8:8" x14ac:dyDescent="0.3">
      <c r="H19963" t="str">
        <f t="shared" si="361"/>
        <v/>
      </c>
    </row>
    <row r="19964" spans="8:8" x14ac:dyDescent="0.3">
      <c r="H19964" t="str">
        <f t="shared" si="361"/>
        <v/>
      </c>
    </row>
    <row r="19965" spans="8:8" x14ac:dyDescent="0.3">
      <c r="H19965" t="str">
        <f t="shared" si="361"/>
        <v/>
      </c>
    </row>
    <row r="19966" spans="8:8" x14ac:dyDescent="0.3">
      <c r="H19966" t="str">
        <f t="shared" si="361"/>
        <v/>
      </c>
    </row>
    <row r="19967" spans="8:8" x14ac:dyDescent="0.3">
      <c r="H19967" t="str">
        <f t="shared" si="361"/>
        <v/>
      </c>
    </row>
    <row r="19968" spans="8:8" x14ac:dyDescent="0.3">
      <c r="H19968" t="str">
        <f t="shared" si="361"/>
        <v/>
      </c>
    </row>
    <row r="19969" spans="8:8" x14ac:dyDescent="0.3">
      <c r="H19969" t="str">
        <f t="shared" si="361"/>
        <v/>
      </c>
    </row>
    <row r="19970" spans="8:8" x14ac:dyDescent="0.3">
      <c r="H19970" t="str">
        <f t="shared" si="361"/>
        <v/>
      </c>
    </row>
    <row r="19971" spans="8:8" x14ac:dyDescent="0.3">
      <c r="H19971" t="str">
        <f t="shared" si="361"/>
        <v/>
      </c>
    </row>
    <row r="19972" spans="8:8" x14ac:dyDescent="0.3">
      <c r="H19972" t="str">
        <f t="shared" si="361"/>
        <v/>
      </c>
    </row>
    <row r="19973" spans="8:8" x14ac:dyDescent="0.3">
      <c r="H19973" t="str">
        <f t="shared" si="361"/>
        <v/>
      </c>
    </row>
    <row r="19974" spans="8:8" x14ac:dyDescent="0.3">
      <c r="H19974" t="str">
        <f t="shared" si="361"/>
        <v/>
      </c>
    </row>
    <row r="19975" spans="8:8" x14ac:dyDescent="0.3">
      <c r="H19975" t="str">
        <f t="shared" si="361"/>
        <v/>
      </c>
    </row>
    <row r="19976" spans="8:8" x14ac:dyDescent="0.3">
      <c r="H19976" t="str">
        <f t="shared" si="361"/>
        <v/>
      </c>
    </row>
    <row r="19977" spans="8:8" x14ac:dyDescent="0.3">
      <c r="H19977" t="str">
        <f t="shared" si="361"/>
        <v/>
      </c>
    </row>
    <row r="19978" spans="8:8" x14ac:dyDescent="0.3">
      <c r="H19978" t="str">
        <f t="shared" si="361"/>
        <v/>
      </c>
    </row>
    <row r="19979" spans="8:8" x14ac:dyDescent="0.3">
      <c r="H19979" t="str">
        <f t="shared" si="361"/>
        <v/>
      </c>
    </row>
    <row r="19980" spans="8:8" x14ac:dyDescent="0.3">
      <c r="H19980" t="str">
        <f t="shared" si="361"/>
        <v/>
      </c>
    </row>
    <row r="19981" spans="8:8" x14ac:dyDescent="0.3">
      <c r="H19981" t="str">
        <f t="shared" si="361"/>
        <v/>
      </c>
    </row>
    <row r="19982" spans="8:8" x14ac:dyDescent="0.3">
      <c r="H19982" t="str">
        <f t="shared" si="361"/>
        <v/>
      </c>
    </row>
    <row r="19983" spans="8:8" x14ac:dyDescent="0.3">
      <c r="H19983" t="str">
        <f t="shared" si="361"/>
        <v/>
      </c>
    </row>
    <row r="19984" spans="8:8" x14ac:dyDescent="0.3">
      <c r="H19984" t="str">
        <f t="shared" si="361"/>
        <v/>
      </c>
    </row>
    <row r="19985" spans="8:8" x14ac:dyDescent="0.3">
      <c r="H19985" t="str">
        <f t="shared" si="361"/>
        <v/>
      </c>
    </row>
    <row r="19986" spans="8:8" x14ac:dyDescent="0.3">
      <c r="H19986" t="str">
        <f t="shared" si="361"/>
        <v/>
      </c>
    </row>
    <row r="19987" spans="8:8" x14ac:dyDescent="0.3">
      <c r="H19987" t="str">
        <f t="shared" si="361"/>
        <v/>
      </c>
    </row>
    <row r="19988" spans="8:8" x14ac:dyDescent="0.3">
      <c r="H19988" t="str">
        <f t="shared" si="361"/>
        <v/>
      </c>
    </row>
    <row r="19989" spans="8:8" x14ac:dyDescent="0.3">
      <c r="H19989" t="str">
        <f t="shared" si="361"/>
        <v/>
      </c>
    </row>
    <row r="19990" spans="8:8" x14ac:dyDescent="0.3">
      <c r="H19990" t="str">
        <f t="shared" si="361"/>
        <v/>
      </c>
    </row>
    <row r="19991" spans="8:8" x14ac:dyDescent="0.3">
      <c r="H19991" t="str">
        <f t="shared" ref="H19991:H20054" si="362">IF(B19991="","",$C$12)</f>
        <v/>
      </c>
    </row>
    <row r="19992" spans="8:8" x14ac:dyDescent="0.3">
      <c r="H19992" t="str">
        <f t="shared" si="362"/>
        <v/>
      </c>
    </row>
    <row r="19993" spans="8:8" x14ac:dyDescent="0.3">
      <c r="H19993" t="str">
        <f t="shared" si="362"/>
        <v/>
      </c>
    </row>
    <row r="19994" spans="8:8" x14ac:dyDescent="0.3">
      <c r="H19994" t="str">
        <f t="shared" si="362"/>
        <v/>
      </c>
    </row>
    <row r="19995" spans="8:8" x14ac:dyDescent="0.3">
      <c r="H19995" t="str">
        <f t="shared" si="362"/>
        <v/>
      </c>
    </row>
    <row r="19996" spans="8:8" x14ac:dyDescent="0.3">
      <c r="H19996" t="str">
        <f t="shared" si="362"/>
        <v/>
      </c>
    </row>
    <row r="19997" spans="8:8" x14ac:dyDescent="0.3">
      <c r="H19997" t="str">
        <f t="shared" si="362"/>
        <v/>
      </c>
    </row>
    <row r="19998" spans="8:8" x14ac:dyDescent="0.3">
      <c r="H19998" t="str">
        <f t="shared" si="362"/>
        <v/>
      </c>
    </row>
    <row r="19999" spans="8:8" x14ac:dyDescent="0.3">
      <c r="H19999" t="str">
        <f t="shared" si="362"/>
        <v/>
      </c>
    </row>
    <row r="20000" spans="8:8" x14ac:dyDescent="0.3">
      <c r="H20000" t="str">
        <f t="shared" si="362"/>
        <v/>
      </c>
    </row>
    <row r="20001" spans="8:8" x14ac:dyDescent="0.3">
      <c r="H20001" t="str">
        <f t="shared" si="362"/>
        <v/>
      </c>
    </row>
    <row r="20002" spans="8:8" x14ac:dyDescent="0.3">
      <c r="H20002" t="str">
        <f t="shared" si="362"/>
        <v/>
      </c>
    </row>
    <row r="20003" spans="8:8" x14ac:dyDescent="0.3">
      <c r="H20003" t="str">
        <f t="shared" si="362"/>
        <v/>
      </c>
    </row>
    <row r="20004" spans="8:8" x14ac:dyDescent="0.3">
      <c r="H20004" t="str">
        <f t="shared" si="362"/>
        <v/>
      </c>
    </row>
    <row r="20005" spans="8:8" x14ac:dyDescent="0.3">
      <c r="H20005" t="str">
        <f t="shared" si="362"/>
        <v/>
      </c>
    </row>
    <row r="20006" spans="8:8" x14ac:dyDescent="0.3">
      <c r="H20006" t="str">
        <f t="shared" si="362"/>
        <v/>
      </c>
    </row>
    <row r="20007" spans="8:8" x14ac:dyDescent="0.3">
      <c r="H20007" t="str">
        <f t="shared" si="362"/>
        <v/>
      </c>
    </row>
    <row r="20008" spans="8:8" x14ac:dyDescent="0.3">
      <c r="H20008" t="str">
        <f t="shared" si="362"/>
        <v/>
      </c>
    </row>
    <row r="20009" spans="8:8" x14ac:dyDescent="0.3">
      <c r="H20009" t="str">
        <f t="shared" si="362"/>
        <v/>
      </c>
    </row>
    <row r="20010" spans="8:8" x14ac:dyDescent="0.3">
      <c r="H20010" t="str">
        <f t="shared" si="362"/>
        <v/>
      </c>
    </row>
    <row r="20011" spans="8:8" x14ac:dyDescent="0.3">
      <c r="H20011" t="str">
        <f t="shared" si="362"/>
        <v/>
      </c>
    </row>
    <row r="20012" spans="8:8" x14ac:dyDescent="0.3">
      <c r="H20012" t="str">
        <f t="shared" si="362"/>
        <v/>
      </c>
    </row>
    <row r="20013" spans="8:8" x14ac:dyDescent="0.3">
      <c r="H20013" t="str">
        <f t="shared" si="362"/>
        <v/>
      </c>
    </row>
    <row r="20014" spans="8:8" x14ac:dyDescent="0.3">
      <c r="H20014" t="str">
        <f t="shared" si="362"/>
        <v/>
      </c>
    </row>
    <row r="20015" spans="8:8" x14ac:dyDescent="0.3">
      <c r="H20015" t="str">
        <f t="shared" si="362"/>
        <v/>
      </c>
    </row>
    <row r="20016" spans="8:8" x14ac:dyDescent="0.3">
      <c r="H20016" t="str">
        <f t="shared" si="362"/>
        <v/>
      </c>
    </row>
    <row r="20017" spans="8:8" x14ac:dyDescent="0.3">
      <c r="H20017" t="str">
        <f t="shared" si="362"/>
        <v/>
      </c>
    </row>
    <row r="20018" spans="8:8" x14ac:dyDescent="0.3">
      <c r="H20018" t="str">
        <f t="shared" si="362"/>
        <v/>
      </c>
    </row>
    <row r="20019" spans="8:8" x14ac:dyDescent="0.3">
      <c r="H20019" t="str">
        <f t="shared" si="362"/>
        <v/>
      </c>
    </row>
    <row r="20020" spans="8:8" x14ac:dyDescent="0.3">
      <c r="H20020" t="str">
        <f t="shared" si="362"/>
        <v/>
      </c>
    </row>
    <row r="20021" spans="8:8" x14ac:dyDescent="0.3">
      <c r="H20021" t="str">
        <f t="shared" si="362"/>
        <v/>
      </c>
    </row>
    <row r="20022" spans="8:8" x14ac:dyDescent="0.3">
      <c r="H20022" t="str">
        <f t="shared" si="362"/>
        <v/>
      </c>
    </row>
    <row r="20023" spans="8:8" x14ac:dyDescent="0.3">
      <c r="H20023" t="str">
        <f t="shared" si="362"/>
        <v/>
      </c>
    </row>
    <row r="20024" spans="8:8" x14ac:dyDescent="0.3">
      <c r="H20024" t="str">
        <f t="shared" si="362"/>
        <v/>
      </c>
    </row>
    <row r="20025" spans="8:8" x14ac:dyDescent="0.3">
      <c r="H20025" t="str">
        <f t="shared" si="362"/>
        <v/>
      </c>
    </row>
    <row r="20026" spans="8:8" x14ac:dyDescent="0.3">
      <c r="H20026" t="str">
        <f t="shared" si="362"/>
        <v/>
      </c>
    </row>
    <row r="20027" spans="8:8" x14ac:dyDescent="0.3">
      <c r="H20027" t="str">
        <f t="shared" si="362"/>
        <v/>
      </c>
    </row>
    <row r="20028" spans="8:8" x14ac:dyDescent="0.3">
      <c r="H20028" t="str">
        <f t="shared" si="362"/>
        <v/>
      </c>
    </row>
    <row r="20029" spans="8:8" x14ac:dyDescent="0.3">
      <c r="H20029" t="str">
        <f t="shared" si="362"/>
        <v/>
      </c>
    </row>
    <row r="20030" spans="8:8" x14ac:dyDescent="0.3">
      <c r="H20030" t="str">
        <f t="shared" si="362"/>
        <v/>
      </c>
    </row>
    <row r="20031" spans="8:8" x14ac:dyDescent="0.3">
      <c r="H20031" t="str">
        <f t="shared" si="362"/>
        <v/>
      </c>
    </row>
    <row r="20032" spans="8:8" x14ac:dyDescent="0.3">
      <c r="H20032" t="str">
        <f t="shared" si="362"/>
        <v/>
      </c>
    </row>
    <row r="20033" spans="8:8" x14ac:dyDescent="0.3">
      <c r="H20033" t="str">
        <f t="shared" si="362"/>
        <v/>
      </c>
    </row>
    <row r="20034" spans="8:8" x14ac:dyDescent="0.3">
      <c r="H20034" t="str">
        <f t="shared" si="362"/>
        <v/>
      </c>
    </row>
    <row r="20035" spans="8:8" x14ac:dyDescent="0.3">
      <c r="H20035" t="str">
        <f t="shared" si="362"/>
        <v/>
      </c>
    </row>
    <row r="20036" spans="8:8" x14ac:dyDescent="0.3">
      <c r="H20036" t="str">
        <f t="shared" si="362"/>
        <v/>
      </c>
    </row>
    <row r="20037" spans="8:8" x14ac:dyDescent="0.3">
      <c r="H20037" t="str">
        <f t="shared" si="362"/>
        <v/>
      </c>
    </row>
    <row r="20038" spans="8:8" x14ac:dyDescent="0.3">
      <c r="H20038" t="str">
        <f t="shared" si="362"/>
        <v/>
      </c>
    </row>
    <row r="20039" spans="8:8" x14ac:dyDescent="0.3">
      <c r="H20039" t="str">
        <f t="shared" si="362"/>
        <v/>
      </c>
    </row>
    <row r="20040" spans="8:8" x14ac:dyDescent="0.3">
      <c r="H20040" t="str">
        <f t="shared" si="362"/>
        <v/>
      </c>
    </row>
    <row r="20041" spans="8:8" x14ac:dyDescent="0.3">
      <c r="H20041" t="str">
        <f t="shared" si="362"/>
        <v/>
      </c>
    </row>
    <row r="20042" spans="8:8" x14ac:dyDescent="0.3">
      <c r="H20042" t="str">
        <f t="shared" si="362"/>
        <v/>
      </c>
    </row>
    <row r="20043" spans="8:8" x14ac:dyDescent="0.3">
      <c r="H20043" t="str">
        <f t="shared" si="362"/>
        <v/>
      </c>
    </row>
    <row r="20044" spans="8:8" x14ac:dyDescent="0.3">
      <c r="H20044" t="str">
        <f t="shared" si="362"/>
        <v/>
      </c>
    </row>
    <row r="20045" spans="8:8" x14ac:dyDescent="0.3">
      <c r="H20045" t="str">
        <f t="shared" si="362"/>
        <v/>
      </c>
    </row>
    <row r="20046" spans="8:8" x14ac:dyDescent="0.3">
      <c r="H20046" t="str">
        <f t="shared" si="362"/>
        <v/>
      </c>
    </row>
    <row r="20047" spans="8:8" x14ac:dyDescent="0.3">
      <c r="H20047" t="str">
        <f t="shared" si="362"/>
        <v/>
      </c>
    </row>
    <row r="20048" spans="8:8" x14ac:dyDescent="0.3">
      <c r="H20048" t="str">
        <f t="shared" si="362"/>
        <v/>
      </c>
    </row>
    <row r="20049" spans="8:8" x14ac:dyDescent="0.3">
      <c r="H20049" t="str">
        <f t="shared" si="362"/>
        <v/>
      </c>
    </row>
    <row r="20050" spans="8:8" x14ac:dyDescent="0.3">
      <c r="H20050" t="str">
        <f t="shared" si="362"/>
        <v/>
      </c>
    </row>
    <row r="20051" spans="8:8" x14ac:dyDescent="0.3">
      <c r="H20051" t="str">
        <f t="shared" si="362"/>
        <v/>
      </c>
    </row>
    <row r="20052" spans="8:8" x14ac:dyDescent="0.3">
      <c r="H20052" t="str">
        <f t="shared" si="362"/>
        <v/>
      </c>
    </row>
    <row r="20053" spans="8:8" x14ac:dyDescent="0.3">
      <c r="H20053" t="str">
        <f t="shared" si="362"/>
        <v/>
      </c>
    </row>
    <row r="20054" spans="8:8" x14ac:dyDescent="0.3">
      <c r="H20054" t="str">
        <f t="shared" si="362"/>
        <v/>
      </c>
    </row>
    <row r="20055" spans="8:8" x14ac:dyDescent="0.3">
      <c r="H20055" t="str">
        <f t="shared" ref="H20055:H20118" si="363">IF(B20055="","",$C$12)</f>
        <v/>
      </c>
    </row>
    <row r="20056" spans="8:8" x14ac:dyDescent="0.3">
      <c r="H20056" t="str">
        <f t="shared" si="363"/>
        <v/>
      </c>
    </row>
    <row r="20057" spans="8:8" x14ac:dyDescent="0.3">
      <c r="H20057" t="str">
        <f t="shared" si="363"/>
        <v/>
      </c>
    </row>
    <row r="20058" spans="8:8" x14ac:dyDescent="0.3">
      <c r="H20058" t="str">
        <f t="shared" si="363"/>
        <v/>
      </c>
    </row>
    <row r="20059" spans="8:8" x14ac:dyDescent="0.3">
      <c r="H20059" t="str">
        <f t="shared" si="363"/>
        <v/>
      </c>
    </row>
    <row r="20060" spans="8:8" x14ac:dyDescent="0.3">
      <c r="H20060" t="str">
        <f t="shared" si="363"/>
        <v/>
      </c>
    </row>
    <row r="20061" spans="8:8" x14ac:dyDescent="0.3">
      <c r="H20061" t="str">
        <f t="shared" si="363"/>
        <v/>
      </c>
    </row>
    <row r="20062" spans="8:8" x14ac:dyDescent="0.3">
      <c r="H20062" t="str">
        <f t="shared" si="363"/>
        <v/>
      </c>
    </row>
    <row r="20063" spans="8:8" x14ac:dyDescent="0.3">
      <c r="H20063" t="str">
        <f t="shared" si="363"/>
        <v/>
      </c>
    </row>
    <row r="20064" spans="8:8" x14ac:dyDescent="0.3">
      <c r="H20064" t="str">
        <f t="shared" si="363"/>
        <v/>
      </c>
    </row>
    <row r="20065" spans="8:8" x14ac:dyDescent="0.3">
      <c r="H20065" t="str">
        <f t="shared" si="363"/>
        <v/>
      </c>
    </row>
    <row r="20066" spans="8:8" x14ac:dyDescent="0.3">
      <c r="H20066" t="str">
        <f t="shared" si="363"/>
        <v/>
      </c>
    </row>
    <row r="20067" spans="8:8" x14ac:dyDescent="0.3">
      <c r="H20067" t="str">
        <f t="shared" si="363"/>
        <v/>
      </c>
    </row>
    <row r="20068" spans="8:8" x14ac:dyDescent="0.3">
      <c r="H20068" t="str">
        <f t="shared" si="363"/>
        <v/>
      </c>
    </row>
    <row r="20069" spans="8:8" x14ac:dyDescent="0.3">
      <c r="H20069" t="str">
        <f t="shared" si="363"/>
        <v/>
      </c>
    </row>
    <row r="20070" spans="8:8" x14ac:dyDescent="0.3">
      <c r="H20070" t="str">
        <f t="shared" si="363"/>
        <v/>
      </c>
    </row>
    <row r="20071" spans="8:8" x14ac:dyDescent="0.3">
      <c r="H20071" t="str">
        <f t="shared" si="363"/>
        <v/>
      </c>
    </row>
    <row r="20072" spans="8:8" x14ac:dyDescent="0.3">
      <c r="H20072" t="str">
        <f t="shared" si="363"/>
        <v/>
      </c>
    </row>
    <row r="20073" spans="8:8" x14ac:dyDescent="0.3">
      <c r="H20073" t="str">
        <f t="shared" si="363"/>
        <v/>
      </c>
    </row>
    <row r="20074" spans="8:8" x14ac:dyDescent="0.3">
      <c r="H20074" t="str">
        <f t="shared" si="363"/>
        <v/>
      </c>
    </row>
    <row r="20075" spans="8:8" x14ac:dyDescent="0.3">
      <c r="H20075" t="str">
        <f t="shared" si="363"/>
        <v/>
      </c>
    </row>
    <row r="20076" spans="8:8" x14ac:dyDescent="0.3">
      <c r="H20076" t="str">
        <f t="shared" si="363"/>
        <v/>
      </c>
    </row>
    <row r="20077" spans="8:8" x14ac:dyDescent="0.3">
      <c r="H20077" t="str">
        <f t="shared" si="363"/>
        <v/>
      </c>
    </row>
    <row r="20078" spans="8:8" x14ac:dyDescent="0.3">
      <c r="H20078" t="str">
        <f t="shared" si="363"/>
        <v/>
      </c>
    </row>
    <row r="20079" spans="8:8" x14ac:dyDescent="0.3">
      <c r="H20079" t="str">
        <f t="shared" si="363"/>
        <v/>
      </c>
    </row>
    <row r="20080" spans="8:8" x14ac:dyDescent="0.3">
      <c r="H20080" t="str">
        <f t="shared" si="363"/>
        <v/>
      </c>
    </row>
    <row r="20081" spans="8:8" x14ac:dyDescent="0.3">
      <c r="H20081" t="str">
        <f t="shared" si="363"/>
        <v/>
      </c>
    </row>
    <row r="20082" spans="8:8" x14ac:dyDescent="0.3">
      <c r="H20082" t="str">
        <f t="shared" si="363"/>
        <v/>
      </c>
    </row>
    <row r="20083" spans="8:8" x14ac:dyDescent="0.3">
      <c r="H20083" t="str">
        <f t="shared" si="363"/>
        <v/>
      </c>
    </row>
    <row r="20084" spans="8:8" x14ac:dyDescent="0.3">
      <c r="H20084" t="str">
        <f t="shared" si="363"/>
        <v/>
      </c>
    </row>
    <row r="20085" spans="8:8" x14ac:dyDescent="0.3">
      <c r="H20085" t="str">
        <f t="shared" si="363"/>
        <v/>
      </c>
    </row>
    <row r="20086" spans="8:8" x14ac:dyDescent="0.3">
      <c r="H20086" t="str">
        <f t="shared" si="363"/>
        <v/>
      </c>
    </row>
    <row r="20087" spans="8:8" x14ac:dyDescent="0.3">
      <c r="H20087" t="str">
        <f t="shared" si="363"/>
        <v/>
      </c>
    </row>
    <row r="20088" spans="8:8" x14ac:dyDescent="0.3">
      <c r="H20088" t="str">
        <f t="shared" si="363"/>
        <v/>
      </c>
    </row>
    <row r="20089" spans="8:8" x14ac:dyDescent="0.3">
      <c r="H20089" t="str">
        <f t="shared" si="363"/>
        <v/>
      </c>
    </row>
    <row r="20090" spans="8:8" x14ac:dyDescent="0.3">
      <c r="H20090" t="str">
        <f t="shared" si="363"/>
        <v/>
      </c>
    </row>
    <row r="20091" spans="8:8" x14ac:dyDescent="0.3">
      <c r="H20091" t="str">
        <f t="shared" si="363"/>
        <v/>
      </c>
    </row>
    <row r="20092" spans="8:8" x14ac:dyDescent="0.3">
      <c r="H20092" t="str">
        <f t="shared" si="363"/>
        <v/>
      </c>
    </row>
    <row r="20093" spans="8:8" x14ac:dyDescent="0.3">
      <c r="H20093" t="str">
        <f t="shared" si="363"/>
        <v/>
      </c>
    </row>
    <row r="20094" spans="8:8" x14ac:dyDescent="0.3">
      <c r="H20094" t="str">
        <f t="shared" si="363"/>
        <v/>
      </c>
    </row>
    <row r="20095" spans="8:8" x14ac:dyDescent="0.3">
      <c r="H20095" t="str">
        <f t="shared" si="363"/>
        <v/>
      </c>
    </row>
    <row r="20096" spans="8:8" x14ac:dyDescent="0.3">
      <c r="H20096" t="str">
        <f t="shared" si="363"/>
        <v/>
      </c>
    </row>
    <row r="20097" spans="8:8" x14ac:dyDescent="0.3">
      <c r="H20097" t="str">
        <f t="shared" si="363"/>
        <v/>
      </c>
    </row>
    <row r="20098" spans="8:8" x14ac:dyDescent="0.3">
      <c r="H20098" t="str">
        <f t="shared" si="363"/>
        <v/>
      </c>
    </row>
    <row r="20099" spans="8:8" x14ac:dyDescent="0.3">
      <c r="H20099" t="str">
        <f t="shared" si="363"/>
        <v/>
      </c>
    </row>
    <row r="20100" spans="8:8" x14ac:dyDescent="0.3">
      <c r="H20100" t="str">
        <f t="shared" si="363"/>
        <v/>
      </c>
    </row>
    <row r="20101" spans="8:8" x14ac:dyDescent="0.3">
      <c r="H20101" t="str">
        <f t="shared" si="363"/>
        <v/>
      </c>
    </row>
    <row r="20102" spans="8:8" x14ac:dyDescent="0.3">
      <c r="H20102" t="str">
        <f t="shared" si="363"/>
        <v/>
      </c>
    </row>
    <row r="20103" spans="8:8" x14ac:dyDescent="0.3">
      <c r="H20103" t="str">
        <f t="shared" si="363"/>
        <v/>
      </c>
    </row>
    <row r="20104" spans="8:8" x14ac:dyDescent="0.3">
      <c r="H20104" t="str">
        <f t="shared" si="363"/>
        <v/>
      </c>
    </row>
    <row r="20105" spans="8:8" x14ac:dyDescent="0.3">
      <c r="H20105" t="str">
        <f t="shared" si="363"/>
        <v/>
      </c>
    </row>
    <row r="20106" spans="8:8" x14ac:dyDescent="0.3">
      <c r="H20106" t="str">
        <f t="shared" si="363"/>
        <v/>
      </c>
    </row>
    <row r="20107" spans="8:8" x14ac:dyDescent="0.3">
      <c r="H20107" t="str">
        <f t="shared" si="363"/>
        <v/>
      </c>
    </row>
    <row r="20108" spans="8:8" x14ac:dyDescent="0.3">
      <c r="H20108" t="str">
        <f t="shared" si="363"/>
        <v/>
      </c>
    </row>
    <row r="20109" spans="8:8" x14ac:dyDescent="0.3">
      <c r="H20109" t="str">
        <f t="shared" si="363"/>
        <v/>
      </c>
    </row>
    <row r="20110" spans="8:8" x14ac:dyDescent="0.3">
      <c r="H20110" t="str">
        <f t="shared" si="363"/>
        <v/>
      </c>
    </row>
    <row r="20111" spans="8:8" x14ac:dyDescent="0.3">
      <c r="H20111" t="str">
        <f t="shared" si="363"/>
        <v/>
      </c>
    </row>
    <row r="20112" spans="8:8" x14ac:dyDescent="0.3">
      <c r="H20112" t="str">
        <f t="shared" si="363"/>
        <v/>
      </c>
    </row>
    <row r="20113" spans="8:8" x14ac:dyDescent="0.3">
      <c r="H20113" t="str">
        <f t="shared" si="363"/>
        <v/>
      </c>
    </row>
    <row r="20114" spans="8:8" x14ac:dyDescent="0.3">
      <c r="H20114" t="str">
        <f t="shared" si="363"/>
        <v/>
      </c>
    </row>
    <row r="20115" spans="8:8" x14ac:dyDescent="0.3">
      <c r="H20115" t="str">
        <f t="shared" si="363"/>
        <v/>
      </c>
    </row>
    <row r="20116" spans="8:8" x14ac:dyDescent="0.3">
      <c r="H20116" t="str">
        <f t="shared" si="363"/>
        <v/>
      </c>
    </row>
    <row r="20117" spans="8:8" x14ac:dyDescent="0.3">
      <c r="H20117" t="str">
        <f t="shared" si="363"/>
        <v/>
      </c>
    </row>
    <row r="20118" spans="8:8" x14ac:dyDescent="0.3">
      <c r="H20118" t="str">
        <f t="shared" si="363"/>
        <v/>
      </c>
    </row>
    <row r="20119" spans="8:8" x14ac:dyDescent="0.3">
      <c r="H20119" t="str">
        <f t="shared" ref="H20119:H20182" si="364">IF(B20119="","",$C$12)</f>
        <v/>
      </c>
    </row>
    <row r="20120" spans="8:8" x14ac:dyDescent="0.3">
      <c r="H20120" t="str">
        <f t="shared" si="364"/>
        <v/>
      </c>
    </row>
    <row r="20121" spans="8:8" x14ac:dyDescent="0.3">
      <c r="H20121" t="str">
        <f t="shared" si="364"/>
        <v/>
      </c>
    </row>
    <row r="20122" spans="8:8" x14ac:dyDescent="0.3">
      <c r="H20122" t="str">
        <f t="shared" si="364"/>
        <v/>
      </c>
    </row>
    <row r="20123" spans="8:8" x14ac:dyDescent="0.3">
      <c r="H20123" t="str">
        <f t="shared" si="364"/>
        <v/>
      </c>
    </row>
    <row r="20124" spans="8:8" x14ac:dyDescent="0.3">
      <c r="H20124" t="str">
        <f t="shared" si="364"/>
        <v/>
      </c>
    </row>
    <row r="20125" spans="8:8" x14ac:dyDescent="0.3">
      <c r="H20125" t="str">
        <f t="shared" si="364"/>
        <v/>
      </c>
    </row>
    <row r="20126" spans="8:8" x14ac:dyDescent="0.3">
      <c r="H20126" t="str">
        <f t="shared" si="364"/>
        <v/>
      </c>
    </row>
    <row r="20127" spans="8:8" x14ac:dyDescent="0.3">
      <c r="H20127" t="str">
        <f t="shared" si="364"/>
        <v/>
      </c>
    </row>
    <row r="20128" spans="8:8" x14ac:dyDescent="0.3">
      <c r="H20128" t="str">
        <f t="shared" si="364"/>
        <v/>
      </c>
    </row>
    <row r="20129" spans="8:8" x14ac:dyDescent="0.3">
      <c r="H20129" t="str">
        <f t="shared" si="364"/>
        <v/>
      </c>
    </row>
    <row r="20130" spans="8:8" x14ac:dyDescent="0.3">
      <c r="H20130" t="str">
        <f t="shared" si="364"/>
        <v/>
      </c>
    </row>
    <row r="20131" spans="8:8" x14ac:dyDescent="0.3">
      <c r="H20131" t="str">
        <f t="shared" si="364"/>
        <v/>
      </c>
    </row>
    <row r="20132" spans="8:8" x14ac:dyDescent="0.3">
      <c r="H20132" t="str">
        <f t="shared" si="364"/>
        <v/>
      </c>
    </row>
    <row r="20133" spans="8:8" x14ac:dyDescent="0.3">
      <c r="H20133" t="str">
        <f t="shared" si="364"/>
        <v/>
      </c>
    </row>
    <row r="20134" spans="8:8" x14ac:dyDescent="0.3">
      <c r="H20134" t="str">
        <f t="shared" si="364"/>
        <v/>
      </c>
    </row>
    <row r="20135" spans="8:8" x14ac:dyDescent="0.3">
      <c r="H20135" t="str">
        <f t="shared" si="364"/>
        <v/>
      </c>
    </row>
    <row r="20136" spans="8:8" x14ac:dyDescent="0.3">
      <c r="H20136" t="str">
        <f t="shared" si="364"/>
        <v/>
      </c>
    </row>
    <row r="20137" spans="8:8" x14ac:dyDescent="0.3">
      <c r="H20137" t="str">
        <f t="shared" si="364"/>
        <v/>
      </c>
    </row>
    <row r="20138" spans="8:8" x14ac:dyDescent="0.3">
      <c r="H20138" t="str">
        <f t="shared" si="364"/>
        <v/>
      </c>
    </row>
    <row r="20139" spans="8:8" x14ac:dyDescent="0.3">
      <c r="H20139" t="str">
        <f t="shared" si="364"/>
        <v/>
      </c>
    </row>
    <row r="20140" spans="8:8" x14ac:dyDescent="0.3">
      <c r="H20140" t="str">
        <f t="shared" si="364"/>
        <v/>
      </c>
    </row>
    <row r="20141" spans="8:8" x14ac:dyDescent="0.3">
      <c r="H20141" t="str">
        <f t="shared" si="364"/>
        <v/>
      </c>
    </row>
    <row r="20142" spans="8:8" x14ac:dyDescent="0.3">
      <c r="H20142" t="str">
        <f t="shared" si="364"/>
        <v/>
      </c>
    </row>
    <row r="20143" spans="8:8" x14ac:dyDescent="0.3">
      <c r="H20143" t="str">
        <f t="shared" si="364"/>
        <v/>
      </c>
    </row>
    <row r="20144" spans="8:8" x14ac:dyDescent="0.3">
      <c r="H20144" t="str">
        <f t="shared" si="364"/>
        <v/>
      </c>
    </row>
    <row r="20145" spans="8:8" x14ac:dyDescent="0.3">
      <c r="H20145" t="str">
        <f t="shared" si="364"/>
        <v/>
      </c>
    </row>
    <row r="20146" spans="8:8" x14ac:dyDescent="0.3">
      <c r="H20146" t="str">
        <f t="shared" si="364"/>
        <v/>
      </c>
    </row>
    <row r="20147" spans="8:8" x14ac:dyDescent="0.3">
      <c r="H20147" t="str">
        <f t="shared" si="364"/>
        <v/>
      </c>
    </row>
    <row r="20148" spans="8:8" x14ac:dyDescent="0.3">
      <c r="H20148" t="str">
        <f t="shared" si="364"/>
        <v/>
      </c>
    </row>
    <row r="20149" spans="8:8" x14ac:dyDescent="0.3">
      <c r="H20149" t="str">
        <f t="shared" si="364"/>
        <v/>
      </c>
    </row>
    <row r="20150" spans="8:8" x14ac:dyDescent="0.3">
      <c r="H20150" t="str">
        <f t="shared" si="364"/>
        <v/>
      </c>
    </row>
    <row r="20151" spans="8:8" x14ac:dyDescent="0.3">
      <c r="H20151" t="str">
        <f t="shared" si="364"/>
        <v/>
      </c>
    </row>
    <row r="20152" spans="8:8" x14ac:dyDescent="0.3">
      <c r="H20152" t="str">
        <f t="shared" si="364"/>
        <v/>
      </c>
    </row>
    <row r="20153" spans="8:8" x14ac:dyDescent="0.3">
      <c r="H20153" t="str">
        <f t="shared" si="364"/>
        <v/>
      </c>
    </row>
    <row r="20154" spans="8:8" x14ac:dyDescent="0.3">
      <c r="H20154" t="str">
        <f t="shared" si="364"/>
        <v/>
      </c>
    </row>
    <row r="20155" spans="8:8" x14ac:dyDescent="0.3">
      <c r="H20155" t="str">
        <f t="shared" si="364"/>
        <v/>
      </c>
    </row>
    <row r="20156" spans="8:8" x14ac:dyDescent="0.3">
      <c r="H20156" t="str">
        <f t="shared" si="364"/>
        <v/>
      </c>
    </row>
    <row r="20157" spans="8:8" x14ac:dyDescent="0.3">
      <c r="H20157" t="str">
        <f t="shared" si="364"/>
        <v/>
      </c>
    </row>
    <row r="20158" spans="8:8" x14ac:dyDescent="0.3">
      <c r="H20158" t="str">
        <f t="shared" si="364"/>
        <v/>
      </c>
    </row>
    <row r="20159" spans="8:8" x14ac:dyDescent="0.3">
      <c r="H20159" t="str">
        <f t="shared" si="364"/>
        <v/>
      </c>
    </row>
    <row r="20160" spans="8:8" x14ac:dyDescent="0.3">
      <c r="H20160" t="str">
        <f t="shared" si="364"/>
        <v/>
      </c>
    </row>
    <row r="20161" spans="8:8" x14ac:dyDescent="0.3">
      <c r="H20161" t="str">
        <f t="shared" si="364"/>
        <v/>
      </c>
    </row>
    <row r="20162" spans="8:8" x14ac:dyDescent="0.3">
      <c r="H20162" t="str">
        <f t="shared" si="364"/>
        <v/>
      </c>
    </row>
    <row r="20163" spans="8:8" x14ac:dyDescent="0.3">
      <c r="H20163" t="str">
        <f t="shared" si="364"/>
        <v/>
      </c>
    </row>
    <row r="20164" spans="8:8" x14ac:dyDescent="0.3">
      <c r="H20164" t="str">
        <f t="shared" si="364"/>
        <v/>
      </c>
    </row>
    <row r="20165" spans="8:8" x14ac:dyDescent="0.3">
      <c r="H20165" t="str">
        <f t="shared" si="364"/>
        <v/>
      </c>
    </row>
    <row r="20166" spans="8:8" x14ac:dyDescent="0.3">
      <c r="H20166" t="str">
        <f t="shared" si="364"/>
        <v/>
      </c>
    </row>
    <row r="20167" spans="8:8" x14ac:dyDescent="0.3">
      <c r="H20167" t="str">
        <f t="shared" si="364"/>
        <v/>
      </c>
    </row>
    <row r="20168" spans="8:8" x14ac:dyDescent="0.3">
      <c r="H20168" t="str">
        <f t="shared" si="364"/>
        <v/>
      </c>
    </row>
    <row r="20169" spans="8:8" x14ac:dyDescent="0.3">
      <c r="H20169" t="str">
        <f t="shared" si="364"/>
        <v/>
      </c>
    </row>
    <row r="20170" spans="8:8" x14ac:dyDescent="0.3">
      <c r="H20170" t="str">
        <f t="shared" si="364"/>
        <v/>
      </c>
    </row>
    <row r="20171" spans="8:8" x14ac:dyDescent="0.3">
      <c r="H20171" t="str">
        <f t="shared" si="364"/>
        <v/>
      </c>
    </row>
    <row r="20172" spans="8:8" x14ac:dyDescent="0.3">
      <c r="H20172" t="str">
        <f t="shared" si="364"/>
        <v/>
      </c>
    </row>
    <row r="20173" spans="8:8" x14ac:dyDescent="0.3">
      <c r="H20173" t="str">
        <f t="shared" si="364"/>
        <v/>
      </c>
    </row>
    <row r="20174" spans="8:8" x14ac:dyDescent="0.3">
      <c r="H20174" t="str">
        <f t="shared" si="364"/>
        <v/>
      </c>
    </row>
    <row r="20175" spans="8:8" x14ac:dyDescent="0.3">
      <c r="H20175" t="str">
        <f t="shared" si="364"/>
        <v/>
      </c>
    </row>
    <row r="20176" spans="8:8" x14ac:dyDescent="0.3">
      <c r="H20176" t="str">
        <f t="shared" si="364"/>
        <v/>
      </c>
    </row>
    <row r="20177" spans="8:8" x14ac:dyDescent="0.3">
      <c r="H20177" t="str">
        <f t="shared" si="364"/>
        <v/>
      </c>
    </row>
    <row r="20178" spans="8:8" x14ac:dyDescent="0.3">
      <c r="H20178" t="str">
        <f t="shared" si="364"/>
        <v/>
      </c>
    </row>
    <row r="20179" spans="8:8" x14ac:dyDescent="0.3">
      <c r="H20179" t="str">
        <f t="shared" si="364"/>
        <v/>
      </c>
    </row>
    <row r="20180" spans="8:8" x14ac:dyDescent="0.3">
      <c r="H20180" t="str">
        <f t="shared" si="364"/>
        <v/>
      </c>
    </row>
    <row r="20181" spans="8:8" x14ac:dyDescent="0.3">
      <c r="H20181" t="str">
        <f t="shared" si="364"/>
        <v/>
      </c>
    </row>
    <row r="20182" spans="8:8" x14ac:dyDescent="0.3">
      <c r="H20182" t="str">
        <f t="shared" si="364"/>
        <v/>
      </c>
    </row>
    <row r="20183" spans="8:8" x14ac:dyDescent="0.3">
      <c r="H20183" t="str">
        <f t="shared" ref="H20183:H20246" si="365">IF(B20183="","",$C$12)</f>
        <v/>
      </c>
    </row>
    <row r="20184" spans="8:8" x14ac:dyDescent="0.3">
      <c r="H20184" t="str">
        <f t="shared" si="365"/>
        <v/>
      </c>
    </row>
    <row r="20185" spans="8:8" x14ac:dyDescent="0.3">
      <c r="H20185" t="str">
        <f t="shared" si="365"/>
        <v/>
      </c>
    </row>
    <row r="20186" spans="8:8" x14ac:dyDescent="0.3">
      <c r="H20186" t="str">
        <f t="shared" si="365"/>
        <v/>
      </c>
    </row>
    <row r="20187" spans="8:8" x14ac:dyDescent="0.3">
      <c r="H20187" t="str">
        <f t="shared" si="365"/>
        <v/>
      </c>
    </row>
    <row r="20188" spans="8:8" x14ac:dyDescent="0.3">
      <c r="H20188" t="str">
        <f t="shared" si="365"/>
        <v/>
      </c>
    </row>
    <row r="20189" spans="8:8" x14ac:dyDescent="0.3">
      <c r="H20189" t="str">
        <f t="shared" si="365"/>
        <v/>
      </c>
    </row>
    <row r="20190" spans="8:8" x14ac:dyDescent="0.3">
      <c r="H20190" t="str">
        <f t="shared" si="365"/>
        <v/>
      </c>
    </row>
    <row r="20191" spans="8:8" x14ac:dyDescent="0.3">
      <c r="H20191" t="str">
        <f t="shared" si="365"/>
        <v/>
      </c>
    </row>
    <row r="20192" spans="8:8" x14ac:dyDescent="0.3">
      <c r="H20192" t="str">
        <f t="shared" si="365"/>
        <v/>
      </c>
    </row>
    <row r="20193" spans="8:8" x14ac:dyDescent="0.3">
      <c r="H20193" t="str">
        <f t="shared" si="365"/>
        <v/>
      </c>
    </row>
    <row r="20194" spans="8:8" x14ac:dyDescent="0.3">
      <c r="H20194" t="str">
        <f t="shared" si="365"/>
        <v/>
      </c>
    </row>
    <row r="20195" spans="8:8" x14ac:dyDescent="0.3">
      <c r="H20195" t="str">
        <f t="shared" si="365"/>
        <v/>
      </c>
    </row>
    <row r="20196" spans="8:8" x14ac:dyDescent="0.3">
      <c r="H20196" t="str">
        <f t="shared" si="365"/>
        <v/>
      </c>
    </row>
    <row r="20197" spans="8:8" x14ac:dyDescent="0.3">
      <c r="H20197" t="str">
        <f t="shared" si="365"/>
        <v/>
      </c>
    </row>
    <row r="20198" spans="8:8" x14ac:dyDescent="0.3">
      <c r="H20198" t="str">
        <f t="shared" si="365"/>
        <v/>
      </c>
    </row>
    <row r="20199" spans="8:8" x14ac:dyDescent="0.3">
      <c r="H20199" t="str">
        <f t="shared" si="365"/>
        <v/>
      </c>
    </row>
    <row r="20200" spans="8:8" x14ac:dyDescent="0.3">
      <c r="H20200" t="str">
        <f t="shared" si="365"/>
        <v/>
      </c>
    </row>
    <row r="20201" spans="8:8" x14ac:dyDescent="0.3">
      <c r="H20201" t="str">
        <f t="shared" si="365"/>
        <v/>
      </c>
    </row>
    <row r="20202" spans="8:8" x14ac:dyDescent="0.3">
      <c r="H20202" t="str">
        <f t="shared" si="365"/>
        <v/>
      </c>
    </row>
    <row r="20203" spans="8:8" x14ac:dyDescent="0.3">
      <c r="H20203" t="str">
        <f t="shared" si="365"/>
        <v/>
      </c>
    </row>
    <row r="20204" spans="8:8" x14ac:dyDescent="0.3">
      <c r="H20204" t="str">
        <f t="shared" si="365"/>
        <v/>
      </c>
    </row>
    <row r="20205" spans="8:8" x14ac:dyDescent="0.3">
      <c r="H20205" t="str">
        <f t="shared" si="365"/>
        <v/>
      </c>
    </row>
    <row r="20206" spans="8:8" x14ac:dyDescent="0.3">
      <c r="H20206" t="str">
        <f t="shared" si="365"/>
        <v/>
      </c>
    </row>
    <row r="20207" spans="8:8" x14ac:dyDescent="0.3">
      <c r="H20207" t="str">
        <f t="shared" si="365"/>
        <v/>
      </c>
    </row>
    <row r="20208" spans="8:8" x14ac:dyDescent="0.3">
      <c r="H20208" t="str">
        <f t="shared" si="365"/>
        <v/>
      </c>
    </row>
    <row r="20209" spans="8:8" x14ac:dyDescent="0.3">
      <c r="H20209" t="str">
        <f t="shared" si="365"/>
        <v/>
      </c>
    </row>
    <row r="20210" spans="8:8" x14ac:dyDescent="0.3">
      <c r="H20210" t="str">
        <f t="shared" si="365"/>
        <v/>
      </c>
    </row>
    <row r="20211" spans="8:8" x14ac:dyDescent="0.3">
      <c r="H20211" t="str">
        <f t="shared" si="365"/>
        <v/>
      </c>
    </row>
    <row r="20212" spans="8:8" x14ac:dyDescent="0.3">
      <c r="H20212" t="str">
        <f t="shared" si="365"/>
        <v/>
      </c>
    </row>
    <row r="20213" spans="8:8" x14ac:dyDescent="0.3">
      <c r="H20213" t="str">
        <f t="shared" si="365"/>
        <v/>
      </c>
    </row>
    <row r="20214" spans="8:8" x14ac:dyDescent="0.3">
      <c r="H20214" t="str">
        <f t="shared" si="365"/>
        <v/>
      </c>
    </row>
    <row r="20215" spans="8:8" x14ac:dyDescent="0.3">
      <c r="H20215" t="str">
        <f t="shared" si="365"/>
        <v/>
      </c>
    </row>
    <row r="20216" spans="8:8" x14ac:dyDescent="0.3">
      <c r="H20216" t="str">
        <f t="shared" si="365"/>
        <v/>
      </c>
    </row>
    <row r="20217" spans="8:8" x14ac:dyDescent="0.3">
      <c r="H20217" t="str">
        <f t="shared" si="365"/>
        <v/>
      </c>
    </row>
    <row r="20218" spans="8:8" x14ac:dyDescent="0.3">
      <c r="H20218" t="str">
        <f t="shared" si="365"/>
        <v/>
      </c>
    </row>
    <row r="20219" spans="8:8" x14ac:dyDescent="0.3">
      <c r="H20219" t="str">
        <f t="shared" si="365"/>
        <v/>
      </c>
    </row>
    <row r="20220" spans="8:8" x14ac:dyDescent="0.3">
      <c r="H20220" t="str">
        <f t="shared" si="365"/>
        <v/>
      </c>
    </row>
    <row r="20221" spans="8:8" x14ac:dyDescent="0.3">
      <c r="H20221" t="str">
        <f t="shared" si="365"/>
        <v/>
      </c>
    </row>
    <row r="20222" spans="8:8" x14ac:dyDescent="0.3">
      <c r="H20222" t="str">
        <f t="shared" si="365"/>
        <v/>
      </c>
    </row>
    <row r="20223" spans="8:8" x14ac:dyDescent="0.3">
      <c r="H20223" t="str">
        <f t="shared" si="365"/>
        <v/>
      </c>
    </row>
    <row r="20224" spans="8:8" x14ac:dyDescent="0.3">
      <c r="H20224" t="str">
        <f t="shared" si="365"/>
        <v/>
      </c>
    </row>
    <row r="20225" spans="8:8" x14ac:dyDescent="0.3">
      <c r="H20225" t="str">
        <f t="shared" si="365"/>
        <v/>
      </c>
    </row>
    <row r="20226" spans="8:8" x14ac:dyDescent="0.3">
      <c r="H20226" t="str">
        <f t="shared" si="365"/>
        <v/>
      </c>
    </row>
    <row r="20227" spans="8:8" x14ac:dyDescent="0.3">
      <c r="H20227" t="str">
        <f t="shared" si="365"/>
        <v/>
      </c>
    </row>
    <row r="20228" spans="8:8" x14ac:dyDescent="0.3">
      <c r="H20228" t="str">
        <f t="shared" si="365"/>
        <v/>
      </c>
    </row>
    <row r="20229" spans="8:8" x14ac:dyDescent="0.3">
      <c r="H20229" t="str">
        <f t="shared" si="365"/>
        <v/>
      </c>
    </row>
    <row r="20230" spans="8:8" x14ac:dyDescent="0.3">
      <c r="H20230" t="str">
        <f t="shared" si="365"/>
        <v/>
      </c>
    </row>
    <row r="20231" spans="8:8" x14ac:dyDescent="0.3">
      <c r="H20231" t="str">
        <f t="shared" si="365"/>
        <v/>
      </c>
    </row>
    <row r="20232" spans="8:8" x14ac:dyDescent="0.3">
      <c r="H20232" t="str">
        <f t="shared" si="365"/>
        <v/>
      </c>
    </row>
    <row r="20233" spans="8:8" x14ac:dyDescent="0.3">
      <c r="H20233" t="str">
        <f t="shared" si="365"/>
        <v/>
      </c>
    </row>
    <row r="20234" spans="8:8" x14ac:dyDescent="0.3">
      <c r="H20234" t="str">
        <f t="shared" si="365"/>
        <v/>
      </c>
    </row>
    <row r="20235" spans="8:8" x14ac:dyDescent="0.3">
      <c r="H20235" t="str">
        <f t="shared" si="365"/>
        <v/>
      </c>
    </row>
    <row r="20236" spans="8:8" x14ac:dyDescent="0.3">
      <c r="H20236" t="str">
        <f t="shared" si="365"/>
        <v/>
      </c>
    </row>
    <row r="20237" spans="8:8" x14ac:dyDescent="0.3">
      <c r="H20237" t="str">
        <f t="shared" si="365"/>
        <v/>
      </c>
    </row>
    <row r="20238" spans="8:8" x14ac:dyDescent="0.3">
      <c r="H20238" t="str">
        <f t="shared" si="365"/>
        <v/>
      </c>
    </row>
    <row r="20239" spans="8:8" x14ac:dyDescent="0.3">
      <c r="H20239" t="str">
        <f t="shared" si="365"/>
        <v/>
      </c>
    </row>
    <row r="20240" spans="8:8" x14ac:dyDescent="0.3">
      <c r="H20240" t="str">
        <f t="shared" si="365"/>
        <v/>
      </c>
    </row>
    <row r="20241" spans="8:8" x14ac:dyDescent="0.3">
      <c r="H20241" t="str">
        <f t="shared" si="365"/>
        <v/>
      </c>
    </row>
    <row r="20242" spans="8:8" x14ac:dyDescent="0.3">
      <c r="H20242" t="str">
        <f t="shared" si="365"/>
        <v/>
      </c>
    </row>
    <row r="20243" spans="8:8" x14ac:dyDescent="0.3">
      <c r="H20243" t="str">
        <f t="shared" si="365"/>
        <v/>
      </c>
    </row>
    <row r="20244" spans="8:8" x14ac:dyDescent="0.3">
      <c r="H20244" t="str">
        <f t="shared" si="365"/>
        <v/>
      </c>
    </row>
    <row r="20245" spans="8:8" x14ac:dyDescent="0.3">
      <c r="H20245" t="str">
        <f t="shared" si="365"/>
        <v/>
      </c>
    </row>
    <row r="20246" spans="8:8" x14ac:dyDescent="0.3">
      <c r="H20246" t="str">
        <f t="shared" si="365"/>
        <v/>
      </c>
    </row>
    <row r="20247" spans="8:8" x14ac:dyDescent="0.3">
      <c r="H20247" t="str">
        <f t="shared" ref="H20247:H20310" si="366">IF(B20247="","",$C$12)</f>
        <v/>
      </c>
    </row>
    <row r="20248" spans="8:8" x14ac:dyDescent="0.3">
      <c r="H20248" t="str">
        <f t="shared" si="366"/>
        <v/>
      </c>
    </row>
    <row r="20249" spans="8:8" x14ac:dyDescent="0.3">
      <c r="H20249" t="str">
        <f t="shared" si="366"/>
        <v/>
      </c>
    </row>
    <row r="20250" spans="8:8" x14ac:dyDescent="0.3">
      <c r="H20250" t="str">
        <f t="shared" si="366"/>
        <v/>
      </c>
    </row>
    <row r="20251" spans="8:8" x14ac:dyDescent="0.3">
      <c r="H20251" t="str">
        <f t="shared" si="366"/>
        <v/>
      </c>
    </row>
    <row r="20252" spans="8:8" x14ac:dyDescent="0.3">
      <c r="H20252" t="str">
        <f t="shared" si="366"/>
        <v/>
      </c>
    </row>
    <row r="20253" spans="8:8" x14ac:dyDescent="0.3">
      <c r="H20253" t="str">
        <f t="shared" si="366"/>
        <v/>
      </c>
    </row>
    <row r="20254" spans="8:8" x14ac:dyDescent="0.3">
      <c r="H20254" t="str">
        <f t="shared" si="366"/>
        <v/>
      </c>
    </row>
    <row r="20255" spans="8:8" x14ac:dyDescent="0.3">
      <c r="H20255" t="str">
        <f t="shared" si="366"/>
        <v/>
      </c>
    </row>
    <row r="20256" spans="8:8" x14ac:dyDescent="0.3">
      <c r="H20256" t="str">
        <f t="shared" si="366"/>
        <v/>
      </c>
    </row>
    <row r="20257" spans="8:8" x14ac:dyDescent="0.3">
      <c r="H20257" t="str">
        <f t="shared" si="366"/>
        <v/>
      </c>
    </row>
    <row r="20258" spans="8:8" x14ac:dyDescent="0.3">
      <c r="H20258" t="str">
        <f t="shared" si="366"/>
        <v/>
      </c>
    </row>
    <row r="20259" spans="8:8" x14ac:dyDescent="0.3">
      <c r="H20259" t="str">
        <f t="shared" si="366"/>
        <v/>
      </c>
    </row>
    <row r="20260" spans="8:8" x14ac:dyDescent="0.3">
      <c r="H20260" t="str">
        <f t="shared" si="366"/>
        <v/>
      </c>
    </row>
    <row r="20261" spans="8:8" x14ac:dyDescent="0.3">
      <c r="H20261" t="str">
        <f t="shared" si="366"/>
        <v/>
      </c>
    </row>
    <row r="20262" spans="8:8" x14ac:dyDescent="0.3">
      <c r="H20262" t="str">
        <f t="shared" si="366"/>
        <v/>
      </c>
    </row>
    <row r="20263" spans="8:8" x14ac:dyDescent="0.3">
      <c r="H20263" t="str">
        <f t="shared" si="366"/>
        <v/>
      </c>
    </row>
    <row r="20264" spans="8:8" x14ac:dyDescent="0.3">
      <c r="H20264" t="str">
        <f t="shared" si="366"/>
        <v/>
      </c>
    </row>
    <row r="20265" spans="8:8" x14ac:dyDescent="0.3">
      <c r="H20265" t="str">
        <f t="shared" si="366"/>
        <v/>
      </c>
    </row>
    <row r="20266" spans="8:8" x14ac:dyDescent="0.3">
      <c r="H20266" t="str">
        <f t="shared" si="366"/>
        <v/>
      </c>
    </row>
    <row r="20267" spans="8:8" x14ac:dyDescent="0.3">
      <c r="H20267" t="str">
        <f t="shared" si="366"/>
        <v/>
      </c>
    </row>
    <row r="20268" spans="8:8" x14ac:dyDescent="0.3">
      <c r="H20268" t="str">
        <f t="shared" si="366"/>
        <v/>
      </c>
    </row>
    <row r="20269" spans="8:8" x14ac:dyDescent="0.3">
      <c r="H20269" t="str">
        <f t="shared" si="366"/>
        <v/>
      </c>
    </row>
    <row r="20270" spans="8:8" x14ac:dyDescent="0.3">
      <c r="H20270" t="str">
        <f t="shared" si="366"/>
        <v/>
      </c>
    </row>
    <row r="20271" spans="8:8" x14ac:dyDescent="0.3">
      <c r="H20271" t="str">
        <f t="shared" si="366"/>
        <v/>
      </c>
    </row>
    <row r="20272" spans="8:8" x14ac:dyDescent="0.3">
      <c r="H20272" t="str">
        <f t="shared" si="366"/>
        <v/>
      </c>
    </row>
    <row r="20273" spans="8:8" x14ac:dyDescent="0.3">
      <c r="H20273" t="str">
        <f t="shared" si="366"/>
        <v/>
      </c>
    </row>
    <row r="20274" spans="8:8" x14ac:dyDescent="0.3">
      <c r="H20274" t="str">
        <f t="shared" si="366"/>
        <v/>
      </c>
    </row>
    <row r="20275" spans="8:8" x14ac:dyDescent="0.3">
      <c r="H20275" t="str">
        <f t="shared" si="366"/>
        <v/>
      </c>
    </row>
    <row r="20276" spans="8:8" x14ac:dyDescent="0.3">
      <c r="H20276" t="str">
        <f t="shared" si="366"/>
        <v/>
      </c>
    </row>
    <row r="20277" spans="8:8" x14ac:dyDescent="0.3">
      <c r="H20277" t="str">
        <f t="shared" si="366"/>
        <v/>
      </c>
    </row>
    <row r="20278" spans="8:8" x14ac:dyDescent="0.3">
      <c r="H20278" t="str">
        <f t="shared" si="366"/>
        <v/>
      </c>
    </row>
    <row r="20279" spans="8:8" x14ac:dyDescent="0.3">
      <c r="H20279" t="str">
        <f t="shared" si="366"/>
        <v/>
      </c>
    </row>
    <row r="20280" spans="8:8" x14ac:dyDescent="0.3">
      <c r="H20280" t="str">
        <f t="shared" si="366"/>
        <v/>
      </c>
    </row>
    <row r="20281" spans="8:8" x14ac:dyDescent="0.3">
      <c r="H20281" t="str">
        <f t="shared" si="366"/>
        <v/>
      </c>
    </row>
    <row r="20282" spans="8:8" x14ac:dyDescent="0.3">
      <c r="H20282" t="str">
        <f t="shared" si="366"/>
        <v/>
      </c>
    </row>
    <row r="20283" spans="8:8" x14ac:dyDescent="0.3">
      <c r="H20283" t="str">
        <f t="shared" si="366"/>
        <v/>
      </c>
    </row>
    <row r="20284" spans="8:8" x14ac:dyDescent="0.3">
      <c r="H20284" t="str">
        <f t="shared" si="366"/>
        <v/>
      </c>
    </row>
    <row r="20285" spans="8:8" x14ac:dyDescent="0.3">
      <c r="H20285" t="str">
        <f t="shared" si="366"/>
        <v/>
      </c>
    </row>
    <row r="20286" spans="8:8" x14ac:dyDescent="0.3">
      <c r="H20286" t="str">
        <f t="shared" si="366"/>
        <v/>
      </c>
    </row>
    <row r="20287" spans="8:8" x14ac:dyDescent="0.3">
      <c r="H20287" t="str">
        <f t="shared" si="366"/>
        <v/>
      </c>
    </row>
    <row r="20288" spans="8:8" x14ac:dyDescent="0.3">
      <c r="H20288" t="str">
        <f t="shared" si="366"/>
        <v/>
      </c>
    </row>
    <row r="20289" spans="8:8" x14ac:dyDescent="0.3">
      <c r="H20289" t="str">
        <f t="shared" si="366"/>
        <v/>
      </c>
    </row>
    <row r="20290" spans="8:8" x14ac:dyDescent="0.3">
      <c r="H20290" t="str">
        <f t="shared" si="366"/>
        <v/>
      </c>
    </row>
    <row r="20291" spans="8:8" x14ac:dyDescent="0.3">
      <c r="H20291" t="str">
        <f t="shared" si="366"/>
        <v/>
      </c>
    </row>
    <row r="20292" spans="8:8" x14ac:dyDescent="0.3">
      <c r="H20292" t="str">
        <f t="shared" si="366"/>
        <v/>
      </c>
    </row>
    <row r="20293" spans="8:8" x14ac:dyDescent="0.3">
      <c r="H20293" t="str">
        <f t="shared" si="366"/>
        <v/>
      </c>
    </row>
    <row r="20294" spans="8:8" x14ac:dyDescent="0.3">
      <c r="H20294" t="str">
        <f t="shared" si="366"/>
        <v/>
      </c>
    </row>
    <row r="20295" spans="8:8" x14ac:dyDescent="0.3">
      <c r="H20295" t="str">
        <f t="shared" si="366"/>
        <v/>
      </c>
    </row>
    <row r="20296" spans="8:8" x14ac:dyDescent="0.3">
      <c r="H20296" t="str">
        <f t="shared" si="366"/>
        <v/>
      </c>
    </row>
    <row r="20297" spans="8:8" x14ac:dyDescent="0.3">
      <c r="H20297" t="str">
        <f t="shared" si="366"/>
        <v/>
      </c>
    </row>
    <row r="20298" spans="8:8" x14ac:dyDescent="0.3">
      <c r="H20298" t="str">
        <f t="shared" si="366"/>
        <v/>
      </c>
    </row>
    <row r="20299" spans="8:8" x14ac:dyDescent="0.3">
      <c r="H20299" t="str">
        <f t="shared" si="366"/>
        <v/>
      </c>
    </row>
    <row r="20300" spans="8:8" x14ac:dyDescent="0.3">
      <c r="H20300" t="str">
        <f t="shared" si="366"/>
        <v/>
      </c>
    </row>
    <row r="20301" spans="8:8" x14ac:dyDescent="0.3">
      <c r="H20301" t="str">
        <f t="shared" si="366"/>
        <v/>
      </c>
    </row>
    <row r="20302" spans="8:8" x14ac:dyDescent="0.3">
      <c r="H20302" t="str">
        <f t="shared" si="366"/>
        <v/>
      </c>
    </row>
    <row r="20303" spans="8:8" x14ac:dyDescent="0.3">
      <c r="H20303" t="str">
        <f t="shared" si="366"/>
        <v/>
      </c>
    </row>
    <row r="20304" spans="8:8" x14ac:dyDescent="0.3">
      <c r="H20304" t="str">
        <f t="shared" si="366"/>
        <v/>
      </c>
    </row>
    <row r="20305" spans="8:8" x14ac:dyDescent="0.3">
      <c r="H20305" t="str">
        <f t="shared" si="366"/>
        <v/>
      </c>
    </row>
    <row r="20306" spans="8:8" x14ac:dyDescent="0.3">
      <c r="H20306" t="str">
        <f t="shared" si="366"/>
        <v/>
      </c>
    </row>
    <row r="20307" spans="8:8" x14ac:dyDescent="0.3">
      <c r="H20307" t="str">
        <f t="shared" si="366"/>
        <v/>
      </c>
    </row>
    <row r="20308" spans="8:8" x14ac:dyDescent="0.3">
      <c r="H20308" t="str">
        <f t="shared" si="366"/>
        <v/>
      </c>
    </row>
    <row r="20309" spans="8:8" x14ac:dyDescent="0.3">
      <c r="H20309" t="str">
        <f t="shared" si="366"/>
        <v/>
      </c>
    </row>
    <row r="20310" spans="8:8" x14ac:dyDescent="0.3">
      <c r="H20310" t="str">
        <f t="shared" si="366"/>
        <v/>
      </c>
    </row>
    <row r="20311" spans="8:8" x14ac:dyDescent="0.3">
      <c r="H20311" t="str">
        <f t="shared" ref="H20311:H20374" si="367">IF(B20311="","",$C$12)</f>
        <v/>
      </c>
    </row>
    <row r="20312" spans="8:8" x14ac:dyDescent="0.3">
      <c r="H20312" t="str">
        <f t="shared" si="367"/>
        <v/>
      </c>
    </row>
    <row r="20313" spans="8:8" x14ac:dyDescent="0.3">
      <c r="H20313" t="str">
        <f t="shared" si="367"/>
        <v/>
      </c>
    </row>
    <row r="20314" spans="8:8" x14ac:dyDescent="0.3">
      <c r="H20314" t="str">
        <f t="shared" si="367"/>
        <v/>
      </c>
    </row>
    <row r="20315" spans="8:8" x14ac:dyDescent="0.3">
      <c r="H20315" t="str">
        <f t="shared" si="367"/>
        <v/>
      </c>
    </row>
    <row r="20316" spans="8:8" x14ac:dyDescent="0.3">
      <c r="H20316" t="str">
        <f t="shared" si="367"/>
        <v/>
      </c>
    </row>
    <row r="20317" spans="8:8" x14ac:dyDescent="0.3">
      <c r="H20317" t="str">
        <f t="shared" si="367"/>
        <v/>
      </c>
    </row>
    <row r="20318" spans="8:8" x14ac:dyDescent="0.3">
      <c r="H20318" t="str">
        <f t="shared" si="367"/>
        <v/>
      </c>
    </row>
    <row r="20319" spans="8:8" x14ac:dyDescent="0.3">
      <c r="H20319" t="str">
        <f t="shared" si="367"/>
        <v/>
      </c>
    </row>
    <row r="20320" spans="8:8" x14ac:dyDescent="0.3">
      <c r="H20320" t="str">
        <f t="shared" si="367"/>
        <v/>
      </c>
    </row>
    <row r="20321" spans="8:8" x14ac:dyDescent="0.3">
      <c r="H20321" t="str">
        <f t="shared" si="367"/>
        <v/>
      </c>
    </row>
    <row r="20322" spans="8:8" x14ac:dyDescent="0.3">
      <c r="H20322" t="str">
        <f t="shared" si="367"/>
        <v/>
      </c>
    </row>
    <row r="20323" spans="8:8" x14ac:dyDescent="0.3">
      <c r="H20323" t="str">
        <f t="shared" si="367"/>
        <v/>
      </c>
    </row>
    <row r="20324" spans="8:8" x14ac:dyDescent="0.3">
      <c r="H20324" t="str">
        <f t="shared" si="367"/>
        <v/>
      </c>
    </row>
    <row r="20325" spans="8:8" x14ac:dyDescent="0.3">
      <c r="H20325" t="str">
        <f t="shared" si="367"/>
        <v/>
      </c>
    </row>
    <row r="20326" spans="8:8" x14ac:dyDescent="0.3">
      <c r="H20326" t="str">
        <f t="shared" si="367"/>
        <v/>
      </c>
    </row>
    <row r="20327" spans="8:8" x14ac:dyDescent="0.3">
      <c r="H20327" t="str">
        <f t="shared" si="367"/>
        <v/>
      </c>
    </row>
    <row r="20328" spans="8:8" x14ac:dyDescent="0.3">
      <c r="H20328" t="str">
        <f t="shared" si="367"/>
        <v/>
      </c>
    </row>
    <row r="20329" spans="8:8" x14ac:dyDescent="0.3">
      <c r="H20329" t="str">
        <f t="shared" si="367"/>
        <v/>
      </c>
    </row>
    <row r="20330" spans="8:8" x14ac:dyDescent="0.3">
      <c r="H20330" t="str">
        <f t="shared" si="367"/>
        <v/>
      </c>
    </row>
    <row r="20331" spans="8:8" x14ac:dyDescent="0.3">
      <c r="H20331" t="str">
        <f t="shared" si="367"/>
        <v/>
      </c>
    </row>
    <row r="20332" spans="8:8" x14ac:dyDescent="0.3">
      <c r="H20332" t="str">
        <f t="shared" si="367"/>
        <v/>
      </c>
    </row>
    <row r="20333" spans="8:8" x14ac:dyDescent="0.3">
      <c r="H20333" t="str">
        <f t="shared" si="367"/>
        <v/>
      </c>
    </row>
    <row r="20334" spans="8:8" x14ac:dyDescent="0.3">
      <c r="H20334" t="str">
        <f t="shared" si="367"/>
        <v/>
      </c>
    </row>
    <row r="20335" spans="8:8" x14ac:dyDescent="0.3">
      <c r="H20335" t="str">
        <f t="shared" si="367"/>
        <v/>
      </c>
    </row>
    <row r="20336" spans="8:8" x14ac:dyDescent="0.3">
      <c r="H20336" t="str">
        <f t="shared" si="367"/>
        <v/>
      </c>
    </row>
    <row r="20337" spans="8:8" x14ac:dyDescent="0.3">
      <c r="H20337" t="str">
        <f t="shared" si="367"/>
        <v/>
      </c>
    </row>
    <row r="20338" spans="8:8" x14ac:dyDescent="0.3">
      <c r="H20338" t="str">
        <f t="shared" si="367"/>
        <v/>
      </c>
    </row>
    <row r="20339" spans="8:8" x14ac:dyDescent="0.3">
      <c r="H20339" t="str">
        <f t="shared" si="367"/>
        <v/>
      </c>
    </row>
    <row r="20340" spans="8:8" x14ac:dyDescent="0.3">
      <c r="H20340" t="str">
        <f t="shared" si="367"/>
        <v/>
      </c>
    </row>
    <row r="20341" spans="8:8" x14ac:dyDescent="0.3">
      <c r="H20341" t="str">
        <f t="shared" si="367"/>
        <v/>
      </c>
    </row>
    <row r="20342" spans="8:8" x14ac:dyDescent="0.3">
      <c r="H20342" t="str">
        <f t="shared" si="367"/>
        <v/>
      </c>
    </row>
    <row r="20343" spans="8:8" x14ac:dyDescent="0.3">
      <c r="H20343" t="str">
        <f t="shared" si="367"/>
        <v/>
      </c>
    </row>
    <row r="20344" spans="8:8" x14ac:dyDescent="0.3">
      <c r="H20344" t="str">
        <f t="shared" si="367"/>
        <v/>
      </c>
    </row>
    <row r="20345" spans="8:8" x14ac:dyDescent="0.3">
      <c r="H20345" t="str">
        <f t="shared" si="367"/>
        <v/>
      </c>
    </row>
    <row r="20346" spans="8:8" x14ac:dyDescent="0.3">
      <c r="H20346" t="str">
        <f t="shared" si="367"/>
        <v/>
      </c>
    </row>
    <row r="20347" spans="8:8" x14ac:dyDescent="0.3">
      <c r="H20347" t="str">
        <f t="shared" si="367"/>
        <v/>
      </c>
    </row>
    <row r="20348" spans="8:8" x14ac:dyDescent="0.3">
      <c r="H20348" t="str">
        <f t="shared" si="367"/>
        <v/>
      </c>
    </row>
    <row r="20349" spans="8:8" x14ac:dyDescent="0.3">
      <c r="H20349" t="str">
        <f t="shared" si="367"/>
        <v/>
      </c>
    </row>
    <row r="20350" spans="8:8" x14ac:dyDescent="0.3">
      <c r="H20350" t="str">
        <f t="shared" si="367"/>
        <v/>
      </c>
    </row>
    <row r="20351" spans="8:8" x14ac:dyDescent="0.3">
      <c r="H20351" t="str">
        <f t="shared" si="367"/>
        <v/>
      </c>
    </row>
    <row r="20352" spans="8:8" x14ac:dyDescent="0.3">
      <c r="H20352" t="str">
        <f t="shared" si="367"/>
        <v/>
      </c>
    </row>
    <row r="20353" spans="8:8" x14ac:dyDescent="0.3">
      <c r="H20353" t="str">
        <f t="shared" si="367"/>
        <v/>
      </c>
    </row>
    <row r="20354" spans="8:8" x14ac:dyDescent="0.3">
      <c r="H20354" t="str">
        <f t="shared" si="367"/>
        <v/>
      </c>
    </row>
    <row r="20355" spans="8:8" x14ac:dyDescent="0.3">
      <c r="H20355" t="str">
        <f t="shared" si="367"/>
        <v/>
      </c>
    </row>
    <row r="20356" spans="8:8" x14ac:dyDescent="0.3">
      <c r="H20356" t="str">
        <f t="shared" si="367"/>
        <v/>
      </c>
    </row>
    <row r="20357" spans="8:8" x14ac:dyDescent="0.3">
      <c r="H20357" t="str">
        <f t="shared" si="367"/>
        <v/>
      </c>
    </row>
    <row r="20358" spans="8:8" x14ac:dyDescent="0.3">
      <c r="H20358" t="str">
        <f t="shared" si="367"/>
        <v/>
      </c>
    </row>
    <row r="20359" spans="8:8" x14ac:dyDescent="0.3">
      <c r="H20359" t="str">
        <f t="shared" si="367"/>
        <v/>
      </c>
    </row>
    <row r="20360" spans="8:8" x14ac:dyDescent="0.3">
      <c r="H20360" t="str">
        <f t="shared" si="367"/>
        <v/>
      </c>
    </row>
    <row r="20361" spans="8:8" x14ac:dyDescent="0.3">
      <c r="H20361" t="str">
        <f t="shared" si="367"/>
        <v/>
      </c>
    </row>
    <row r="20362" spans="8:8" x14ac:dyDescent="0.3">
      <c r="H20362" t="str">
        <f t="shared" si="367"/>
        <v/>
      </c>
    </row>
    <row r="20363" spans="8:8" x14ac:dyDescent="0.3">
      <c r="H20363" t="str">
        <f t="shared" si="367"/>
        <v/>
      </c>
    </row>
    <row r="20364" spans="8:8" x14ac:dyDescent="0.3">
      <c r="H20364" t="str">
        <f t="shared" si="367"/>
        <v/>
      </c>
    </row>
    <row r="20365" spans="8:8" x14ac:dyDescent="0.3">
      <c r="H20365" t="str">
        <f t="shared" si="367"/>
        <v/>
      </c>
    </row>
    <row r="20366" spans="8:8" x14ac:dyDescent="0.3">
      <c r="H20366" t="str">
        <f t="shared" si="367"/>
        <v/>
      </c>
    </row>
    <row r="20367" spans="8:8" x14ac:dyDescent="0.3">
      <c r="H20367" t="str">
        <f t="shared" si="367"/>
        <v/>
      </c>
    </row>
    <row r="20368" spans="8:8" x14ac:dyDescent="0.3">
      <c r="H20368" t="str">
        <f t="shared" si="367"/>
        <v/>
      </c>
    </row>
    <row r="20369" spans="8:8" x14ac:dyDescent="0.3">
      <c r="H20369" t="str">
        <f t="shared" si="367"/>
        <v/>
      </c>
    </row>
    <row r="20370" spans="8:8" x14ac:dyDescent="0.3">
      <c r="H20370" t="str">
        <f t="shared" si="367"/>
        <v/>
      </c>
    </row>
    <row r="20371" spans="8:8" x14ac:dyDescent="0.3">
      <c r="H20371" t="str">
        <f t="shared" si="367"/>
        <v/>
      </c>
    </row>
    <row r="20372" spans="8:8" x14ac:dyDescent="0.3">
      <c r="H20372" t="str">
        <f t="shared" si="367"/>
        <v/>
      </c>
    </row>
    <row r="20373" spans="8:8" x14ac:dyDescent="0.3">
      <c r="H20373" t="str">
        <f t="shared" si="367"/>
        <v/>
      </c>
    </row>
    <row r="20374" spans="8:8" x14ac:dyDescent="0.3">
      <c r="H20374" t="str">
        <f t="shared" si="367"/>
        <v/>
      </c>
    </row>
    <row r="20375" spans="8:8" x14ac:dyDescent="0.3">
      <c r="H20375" t="str">
        <f t="shared" ref="H20375:H20438" si="368">IF(B20375="","",$C$12)</f>
        <v/>
      </c>
    </row>
    <row r="20376" spans="8:8" x14ac:dyDescent="0.3">
      <c r="H20376" t="str">
        <f t="shared" si="368"/>
        <v/>
      </c>
    </row>
    <row r="20377" spans="8:8" x14ac:dyDescent="0.3">
      <c r="H20377" t="str">
        <f t="shared" si="368"/>
        <v/>
      </c>
    </row>
    <row r="20378" spans="8:8" x14ac:dyDescent="0.3">
      <c r="H20378" t="str">
        <f t="shared" si="368"/>
        <v/>
      </c>
    </row>
    <row r="20379" spans="8:8" x14ac:dyDescent="0.3">
      <c r="H20379" t="str">
        <f t="shared" si="368"/>
        <v/>
      </c>
    </row>
    <row r="20380" spans="8:8" x14ac:dyDescent="0.3">
      <c r="H20380" t="str">
        <f t="shared" si="368"/>
        <v/>
      </c>
    </row>
    <row r="20381" spans="8:8" x14ac:dyDescent="0.3">
      <c r="H20381" t="str">
        <f t="shared" si="368"/>
        <v/>
      </c>
    </row>
    <row r="20382" spans="8:8" x14ac:dyDescent="0.3">
      <c r="H20382" t="str">
        <f t="shared" si="368"/>
        <v/>
      </c>
    </row>
    <row r="20383" spans="8:8" x14ac:dyDescent="0.3">
      <c r="H20383" t="str">
        <f t="shared" si="368"/>
        <v/>
      </c>
    </row>
    <row r="20384" spans="8:8" x14ac:dyDescent="0.3">
      <c r="H20384" t="str">
        <f t="shared" si="368"/>
        <v/>
      </c>
    </row>
    <row r="20385" spans="8:8" x14ac:dyDescent="0.3">
      <c r="H20385" t="str">
        <f t="shared" si="368"/>
        <v/>
      </c>
    </row>
    <row r="20386" spans="8:8" x14ac:dyDescent="0.3">
      <c r="H20386" t="str">
        <f t="shared" si="368"/>
        <v/>
      </c>
    </row>
    <row r="20387" spans="8:8" x14ac:dyDescent="0.3">
      <c r="H20387" t="str">
        <f t="shared" si="368"/>
        <v/>
      </c>
    </row>
    <row r="20388" spans="8:8" x14ac:dyDescent="0.3">
      <c r="H20388" t="str">
        <f t="shared" si="368"/>
        <v/>
      </c>
    </row>
    <row r="20389" spans="8:8" x14ac:dyDescent="0.3">
      <c r="H20389" t="str">
        <f t="shared" si="368"/>
        <v/>
      </c>
    </row>
    <row r="20390" spans="8:8" x14ac:dyDescent="0.3">
      <c r="H20390" t="str">
        <f t="shared" si="368"/>
        <v/>
      </c>
    </row>
    <row r="20391" spans="8:8" x14ac:dyDescent="0.3">
      <c r="H20391" t="str">
        <f t="shared" si="368"/>
        <v/>
      </c>
    </row>
    <row r="20392" spans="8:8" x14ac:dyDescent="0.3">
      <c r="H20392" t="str">
        <f t="shared" si="368"/>
        <v/>
      </c>
    </row>
    <row r="20393" spans="8:8" x14ac:dyDescent="0.3">
      <c r="H20393" t="str">
        <f t="shared" si="368"/>
        <v/>
      </c>
    </row>
    <row r="20394" spans="8:8" x14ac:dyDescent="0.3">
      <c r="H20394" t="str">
        <f t="shared" si="368"/>
        <v/>
      </c>
    </row>
    <row r="20395" spans="8:8" x14ac:dyDescent="0.3">
      <c r="H20395" t="str">
        <f t="shared" si="368"/>
        <v/>
      </c>
    </row>
    <row r="20396" spans="8:8" x14ac:dyDescent="0.3">
      <c r="H20396" t="str">
        <f t="shared" si="368"/>
        <v/>
      </c>
    </row>
    <row r="20397" spans="8:8" x14ac:dyDescent="0.3">
      <c r="H20397" t="str">
        <f t="shared" si="368"/>
        <v/>
      </c>
    </row>
    <row r="20398" spans="8:8" x14ac:dyDescent="0.3">
      <c r="H20398" t="str">
        <f t="shared" si="368"/>
        <v/>
      </c>
    </row>
    <row r="20399" spans="8:8" x14ac:dyDescent="0.3">
      <c r="H20399" t="str">
        <f t="shared" si="368"/>
        <v/>
      </c>
    </row>
    <row r="20400" spans="8:8" x14ac:dyDescent="0.3">
      <c r="H20400" t="str">
        <f t="shared" si="368"/>
        <v/>
      </c>
    </row>
    <row r="20401" spans="8:8" x14ac:dyDescent="0.3">
      <c r="H20401" t="str">
        <f t="shared" si="368"/>
        <v/>
      </c>
    </row>
    <row r="20402" spans="8:8" x14ac:dyDescent="0.3">
      <c r="H20402" t="str">
        <f t="shared" si="368"/>
        <v/>
      </c>
    </row>
    <row r="20403" spans="8:8" x14ac:dyDescent="0.3">
      <c r="H20403" t="str">
        <f t="shared" si="368"/>
        <v/>
      </c>
    </row>
    <row r="20404" spans="8:8" x14ac:dyDescent="0.3">
      <c r="H20404" t="str">
        <f t="shared" si="368"/>
        <v/>
      </c>
    </row>
    <row r="20405" spans="8:8" x14ac:dyDescent="0.3">
      <c r="H20405" t="str">
        <f t="shared" si="368"/>
        <v/>
      </c>
    </row>
    <row r="20406" spans="8:8" x14ac:dyDescent="0.3">
      <c r="H20406" t="str">
        <f t="shared" si="368"/>
        <v/>
      </c>
    </row>
    <row r="20407" spans="8:8" x14ac:dyDescent="0.3">
      <c r="H20407" t="str">
        <f t="shared" si="368"/>
        <v/>
      </c>
    </row>
    <row r="20408" spans="8:8" x14ac:dyDescent="0.3">
      <c r="H20408" t="str">
        <f t="shared" si="368"/>
        <v/>
      </c>
    </row>
    <row r="20409" spans="8:8" x14ac:dyDescent="0.3">
      <c r="H20409" t="str">
        <f t="shared" si="368"/>
        <v/>
      </c>
    </row>
    <row r="20410" spans="8:8" x14ac:dyDescent="0.3">
      <c r="H20410" t="str">
        <f t="shared" si="368"/>
        <v/>
      </c>
    </row>
    <row r="20411" spans="8:8" x14ac:dyDescent="0.3">
      <c r="H20411" t="str">
        <f t="shared" si="368"/>
        <v/>
      </c>
    </row>
    <row r="20412" spans="8:8" x14ac:dyDescent="0.3">
      <c r="H20412" t="str">
        <f t="shared" si="368"/>
        <v/>
      </c>
    </row>
    <row r="20413" spans="8:8" x14ac:dyDescent="0.3">
      <c r="H20413" t="str">
        <f t="shared" si="368"/>
        <v/>
      </c>
    </row>
    <row r="20414" spans="8:8" x14ac:dyDescent="0.3">
      <c r="H20414" t="str">
        <f t="shared" si="368"/>
        <v/>
      </c>
    </row>
    <row r="20415" spans="8:8" x14ac:dyDescent="0.3">
      <c r="H20415" t="str">
        <f t="shared" si="368"/>
        <v/>
      </c>
    </row>
    <row r="20416" spans="8:8" x14ac:dyDescent="0.3">
      <c r="H20416" t="str">
        <f t="shared" si="368"/>
        <v/>
      </c>
    </row>
    <row r="20417" spans="8:8" x14ac:dyDescent="0.3">
      <c r="H20417" t="str">
        <f t="shared" si="368"/>
        <v/>
      </c>
    </row>
    <row r="20418" spans="8:8" x14ac:dyDescent="0.3">
      <c r="H20418" t="str">
        <f t="shared" si="368"/>
        <v/>
      </c>
    </row>
    <row r="20419" spans="8:8" x14ac:dyDescent="0.3">
      <c r="H20419" t="str">
        <f t="shared" si="368"/>
        <v/>
      </c>
    </row>
    <row r="20420" spans="8:8" x14ac:dyDescent="0.3">
      <c r="H20420" t="str">
        <f t="shared" si="368"/>
        <v/>
      </c>
    </row>
    <row r="20421" spans="8:8" x14ac:dyDescent="0.3">
      <c r="H20421" t="str">
        <f t="shared" si="368"/>
        <v/>
      </c>
    </row>
    <row r="20422" spans="8:8" x14ac:dyDescent="0.3">
      <c r="H20422" t="str">
        <f t="shared" si="368"/>
        <v/>
      </c>
    </row>
    <row r="20423" spans="8:8" x14ac:dyDescent="0.3">
      <c r="H20423" t="str">
        <f t="shared" si="368"/>
        <v/>
      </c>
    </row>
    <row r="20424" spans="8:8" x14ac:dyDescent="0.3">
      <c r="H20424" t="str">
        <f t="shared" si="368"/>
        <v/>
      </c>
    </row>
    <row r="20425" spans="8:8" x14ac:dyDescent="0.3">
      <c r="H20425" t="str">
        <f t="shared" si="368"/>
        <v/>
      </c>
    </row>
    <row r="20426" spans="8:8" x14ac:dyDescent="0.3">
      <c r="H20426" t="str">
        <f t="shared" si="368"/>
        <v/>
      </c>
    </row>
    <row r="20427" spans="8:8" x14ac:dyDescent="0.3">
      <c r="H20427" t="str">
        <f t="shared" si="368"/>
        <v/>
      </c>
    </row>
    <row r="20428" spans="8:8" x14ac:dyDescent="0.3">
      <c r="H20428" t="str">
        <f t="shared" si="368"/>
        <v/>
      </c>
    </row>
    <row r="20429" spans="8:8" x14ac:dyDescent="0.3">
      <c r="H20429" t="str">
        <f t="shared" si="368"/>
        <v/>
      </c>
    </row>
    <row r="20430" spans="8:8" x14ac:dyDescent="0.3">
      <c r="H20430" t="str">
        <f t="shared" si="368"/>
        <v/>
      </c>
    </row>
    <row r="20431" spans="8:8" x14ac:dyDescent="0.3">
      <c r="H20431" t="str">
        <f t="shared" si="368"/>
        <v/>
      </c>
    </row>
    <row r="20432" spans="8:8" x14ac:dyDescent="0.3">
      <c r="H20432" t="str">
        <f t="shared" si="368"/>
        <v/>
      </c>
    </row>
    <row r="20433" spans="8:8" x14ac:dyDescent="0.3">
      <c r="H20433" t="str">
        <f t="shared" si="368"/>
        <v/>
      </c>
    </row>
    <row r="20434" spans="8:8" x14ac:dyDescent="0.3">
      <c r="H20434" t="str">
        <f t="shared" si="368"/>
        <v/>
      </c>
    </row>
    <row r="20435" spans="8:8" x14ac:dyDescent="0.3">
      <c r="H20435" t="str">
        <f t="shared" si="368"/>
        <v/>
      </c>
    </row>
    <row r="20436" spans="8:8" x14ac:dyDescent="0.3">
      <c r="H20436" t="str">
        <f t="shared" si="368"/>
        <v/>
      </c>
    </row>
    <row r="20437" spans="8:8" x14ac:dyDescent="0.3">
      <c r="H20437" t="str">
        <f t="shared" si="368"/>
        <v/>
      </c>
    </row>
    <row r="20438" spans="8:8" x14ac:dyDescent="0.3">
      <c r="H20438" t="str">
        <f t="shared" si="368"/>
        <v/>
      </c>
    </row>
    <row r="20439" spans="8:8" x14ac:dyDescent="0.3">
      <c r="H20439" t="str">
        <f t="shared" ref="H20439:H20502" si="369">IF(B20439="","",$C$12)</f>
        <v/>
      </c>
    </row>
    <row r="20440" spans="8:8" x14ac:dyDescent="0.3">
      <c r="H20440" t="str">
        <f t="shared" si="369"/>
        <v/>
      </c>
    </row>
    <row r="20441" spans="8:8" x14ac:dyDescent="0.3">
      <c r="H20441" t="str">
        <f t="shared" si="369"/>
        <v/>
      </c>
    </row>
    <row r="20442" spans="8:8" x14ac:dyDescent="0.3">
      <c r="H20442" t="str">
        <f t="shared" si="369"/>
        <v/>
      </c>
    </row>
    <row r="20443" spans="8:8" x14ac:dyDescent="0.3">
      <c r="H20443" t="str">
        <f t="shared" si="369"/>
        <v/>
      </c>
    </row>
    <row r="20444" spans="8:8" x14ac:dyDescent="0.3">
      <c r="H20444" t="str">
        <f t="shared" si="369"/>
        <v/>
      </c>
    </row>
    <row r="20445" spans="8:8" x14ac:dyDescent="0.3">
      <c r="H20445" t="str">
        <f t="shared" si="369"/>
        <v/>
      </c>
    </row>
    <row r="20446" spans="8:8" x14ac:dyDescent="0.3">
      <c r="H20446" t="str">
        <f t="shared" si="369"/>
        <v/>
      </c>
    </row>
    <row r="20447" spans="8:8" x14ac:dyDescent="0.3">
      <c r="H20447" t="str">
        <f t="shared" si="369"/>
        <v/>
      </c>
    </row>
    <row r="20448" spans="8:8" x14ac:dyDescent="0.3">
      <c r="H20448" t="str">
        <f t="shared" si="369"/>
        <v/>
      </c>
    </row>
    <row r="20449" spans="8:8" x14ac:dyDescent="0.3">
      <c r="H20449" t="str">
        <f t="shared" si="369"/>
        <v/>
      </c>
    </row>
    <row r="20450" spans="8:8" x14ac:dyDescent="0.3">
      <c r="H20450" t="str">
        <f t="shared" si="369"/>
        <v/>
      </c>
    </row>
    <row r="20451" spans="8:8" x14ac:dyDescent="0.3">
      <c r="H20451" t="str">
        <f t="shared" si="369"/>
        <v/>
      </c>
    </row>
    <row r="20452" spans="8:8" x14ac:dyDescent="0.3">
      <c r="H20452" t="str">
        <f t="shared" si="369"/>
        <v/>
      </c>
    </row>
    <row r="20453" spans="8:8" x14ac:dyDescent="0.3">
      <c r="H20453" t="str">
        <f t="shared" si="369"/>
        <v/>
      </c>
    </row>
    <row r="20454" spans="8:8" x14ac:dyDescent="0.3">
      <c r="H20454" t="str">
        <f t="shared" si="369"/>
        <v/>
      </c>
    </row>
    <row r="20455" spans="8:8" x14ac:dyDescent="0.3">
      <c r="H20455" t="str">
        <f t="shared" si="369"/>
        <v/>
      </c>
    </row>
    <row r="20456" spans="8:8" x14ac:dyDescent="0.3">
      <c r="H20456" t="str">
        <f t="shared" si="369"/>
        <v/>
      </c>
    </row>
    <row r="20457" spans="8:8" x14ac:dyDescent="0.3">
      <c r="H20457" t="str">
        <f t="shared" si="369"/>
        <v/>
      </c>
    </row>
    <row r="20458" spans="8:8" x14ac:dyDescent="0.3">
      <c r="H20458" t="str">
        <f t="shared" si="369"/>
        <v/>
      </c>
    </row>
    <row r="20459" spans="8:8" x14ac:dyDescent="0.3">
      <c r="H20459" t="str">
        <f t="shared" si="369"/>
        <v/>
      </c>
    </row>
    <row r="20460" spans="8:8" x14ac:dyDescent="0.3">
      <c r="H20460" t="str">
        <f t="shared" si="369"/>
        <v/>
      </c>
    </row>
    <row r="20461" spans="8:8" x14ac:dyDescent="0.3">
      <c r="H20461" t="str">
        <f t="shared" si="369"/>
        <v/>
      </c>
    </row>
    <row r="20462" spans="8:8" x14ac:dyDescent="0.3">
      <c r="H20462" t="str">
        <f t="shared" si="369"/>
        <v/>
      </c>
    </row>
    <row r="20463" spans="8:8" x14ac:dyDescent="0.3">
      <c r="H20463" t="str">
        <f t="shared" si="369"/>
        <v/>
      </c>
    </row>
    <row r="20464" spans="8:8" x14ac:dyDescent="0.3">
      <c r="H20464" t="str">
        <f t="shared" si="369"/>
        <v/>
      </c>
    </row>
    <row r="20465" spans="8:8" x14ac:dyDescent="0.3">
      <c r="H20465" t="str">
        <f t="shared" si="369"/>
        <v/>
      </c>
    </row>
    <row r="20466" spans="8:8" x14ac:dyDescent="0.3">
      <c r="H20466" t="str">
        <f t="shared" si="369"/>
        <v/>
      </c>
    </row>
    <row r="20467" spans="8:8" x14ac:dyDescent="0.3">
      <c r="H20467" t="str">
        <f t="shared" si="369"/>
        <v/>
      </c>
    </row>
    <row r="20468" spans="8:8" x14ac:dyDescent="0.3">
      <c r="H20468" t="str">
        <f t="shared" si="369"/>
        <v/>
      </c>
    </row>
    <row r="20469" spans="8:8" x14ac:dyDescent="0.3">
      <c r="H20469" t="str">
        <f t="shared" si="369"/>
        <v/>
      </c>
    </row>
    <row r="20470" spans="8:8" x14ac:dyDescent="0.3">
      <c r="H20470" t="str">
        <f t="shared" si="369"/>
        <v/>
      </c>
    </row>
    <row r="20471" spans="8:8" x14ac:dyDescent="0.3">
      <c r="H20471" t="str">
        <f t="shared" si="369"/>
        <v/>
      </c>
    </row>
    <row r="20472" spans="8:8" x14ac:dyDescent="0.3">
      <c r="H20472" t="str">
        <f t="shared" si="369"/>
        <v/>
      </c>
    </row>
    <row r="20473" spans="8:8" x14ac:dyDescent="0.3">
      <c r="H20473" t="str">
        <f t="shared" si="369"/>
        <v/>
      </c>
    </row>
    <row r="20474" spans="8:8" x14ac:dyDescent="0.3">
      <c r="H20474" t="str">
        <f t="shared" si="369"/>
        <v/>
      </c>
    </row>
    <row r="20475" spans="8:8" x14ac:dyDescent="0.3">
      <c r="H20475" t="str">
        <f t="shared" si="369"/>
        <v/>
      </c>
    </row>
    <row r="20476" spans="8:8" x14ac:dyDescent="0.3">
      <c r="H20476" t="str">
        <f t="shared" si="369"/>
        <v/>
      </c>
    </row>
    <row r="20477" spans="8:8" x14ac:dyDescent="0.3">
      <c r="H20477" t="str">
        <f t="shared" si="369"/>
        <v/>
      </c>
    </row>
    <row r="20478" spans="8:8" x14ac:dyDescent="0.3">
      <c r="H20478" t="str">
        <f t="shared" si="369"/>
        <v/>
      </c>
    </row>
    <row r="20479" spans="8:8" x14ac:dyDescent="0.3">
      <c r="H20479" t="str">
        <f t="shared" si="369"/>
        <v/>
      </c>
    </row>
    <row r="20480" spans="8:8" x14ac:dyDescent="0.3">
      <c r="H20480" t="str">
        <f t="shared" si="369"/>
        <v/>
      </c>
    </row>
    <row r="20481" spans="8:8" x14ac:dyDescent="0.3">
      <c r="H20481" t="str">
        <f t="shared" si="369"/>
        <v/>
      </c>
    </row>
    <row r="20482" spans="8:8" x14ac:dyDescent="0.3">
      <c r="H20482" t="str">
        <f t="shared" si="369"/>
        <v/>
      </c>
    </row>
    <row r="20483" spans="8:8" x14ac:dyDescent="0.3">
      <c r="H20483" t="str">
        <f t="shared" si="369"/>
        <v/>
      </c>
    </row>
    <row r="20484" spans="8:8" x14ac:dyDescent="0.3">
      <c r="H20484" t="str">
        <f t="shared" si="369"/>
        <v/>
      </c>
    </row>
    <row r="20485" spans="8:8" x14ac:dyDescent="0.3">
      <c r="H20485" t="str">
        <f t="shared" si="369"/>
        <v/>
      </c>
    </row>
    <row r="20486" spans="8:8" x14ac:dyDescent="0.3">
      <c r="H20486" t="str">
        <f t="shared" si="369"/>
        <v/>
      </c>
    </row>
    <row r="20487" spans="8:8" x14ac:dyDescent="0.3">
      <c r="H20487" t="str">
        <f t="shared" si="369"/>
        <v/>
      </c>
    </row>
    <row r="20488" spans="8:8" x14ac:dyDescent="0.3">
      <c r="H20488" t="str">
        <f t="shared" si="369"/>
        <v/>
      </c>
    </row>
    <row r="20489" spans="8:8" x14ac:dyDescent="0.3">
      <c r="H20489" t="str">
        <f t="shared" si="369"/>
        <v/>
      </c>
    </row>
    <row r="20490" spans="8:8" x14ac:dyDescent="0.3">
      <c r="H20490" t="str">
        <f t="shared" si="369"/>
        <v/>
      </c>
    </row>
    <row r="20491" spans="8:8" x14ac:dyDescent="0.3">
      <c r="H20491" t="str">
        <f t="shared" si="369"/>
        <v/>
      </c>
    </row>
    <row r="20492" spans="8:8" x14ac:dyDescent="0.3">
      <c r="H20492" t="str">
        <f t="shared" si="369"/>
        <v/>
      </c>
    </row>
    <row r="20493" spans="8:8" x14ac:dyDescent="0.3">
      <c r="H20493" t="str">
        <f t="shared" si="369"/>
        <v/>
      </c>
    </row>
    <row r="20494" spans="8:8" x14ac:dyDescent="0.3">
      <c r="H20494" t="str">
        <f t="shared" si="369"/>
        <v/>
      </c>
    </row>
    <row r="20495" spans="8:8" x14ac:dyDescent="0.3">
      <c r="H20495" t="str">
        <f t="shared" si="369"/>
        <v/>
      </c>
    </row>
    <row r="20496" spans="8:8" x14ac:dyDescent="0.3">
      <c r="H20496" t="str">
        <f t="shared" si="369"/>
        <v/>
      </c>
    </row>
    <row r="20497" spans="8:8" x14ac:dyDescent="0.3">
      <c r="H20497" t="str">
        <f t="shared" si="369"/>
        <v/>
      </c>
    </row>
    <row r="20498" spans="8:8" x14ac:dyDescent="0.3">
      <c r="H20498" t="str">
        <f t="shared" si="369"/>
        <v/>
      </c>
    </row>
    <row r="20499" spans="8:8" x14ac:dyDescent="0.3">
      <c r="H20499" t="str">
        <f t="shared" si="369"/>
        <v/>
      </c>
    </row>
    <row r="20500" spans="8:8" x14ac:dyDescent="0.3">
      <c r="H20500" t="str">
        <f t="shared" si="369"/>
        <v/>
      </c>
    </row>
    <row r="20501" spans="8:8" x14ac:dyDescent="0.3">
      <c r="H20501" t="str">
        <f t="shared" si="369"/>
        <v/>
      </c>
    </row>
    <row r="20502" spans="8:8" x14ac:dyDescent="0.3">
      <c r="H20502" t="str">
        <f t="shared" si="369"/>
        <v/>
      </c>
    </row>
    <row r="20503" spans="8:8" x14ac:dyDescent="0.3">
      <c r="H20503" t="str">
        <f t="shared" ref="H20503:H20566" si="370">IF(B20503="","",$C$12)</f>
        <v/>
      </c>
    </row>
    <row r="20504" spans="8:8" x14ac:dyDescent="0.3">
      <c r="H20504" t="str">
        <f t="shared" si="370"/>
        <v/>
      </c>
    </row>
    <row r="20505" spans="8:8" x14ac:dyDescent="0.3">
      <c r="H20505" t="str">
        <f t="shared" si="370"/>
        <v/>
      </c>
    </row>
    <row r="20506" spans="8:8" x14ac:dyDescent="0.3">
      <c r="H20506" t="str">
        <f t="shared" si="370"/>
        <v/>
      </c>
    </row>
    <row r="20507" spans="8:8" x14ac:dyDescent="0.3">
      <c r="H20507" t="str">
        <f t="shared" si="370"/>
        <v/>
      </c>
    </row>
    <row r="20508" spans="8:8" x14ac:dyDescent="0.3">
      <c r="H20508" t="str">
        <f t="shared" si="370"/>
        <v/>
      </c>
    </row>
    <row r="20509" spans="8:8" x14ac:dyDescent="0.3">
      <c r="H20509" t="str">
        <f t="shared" si="370"/>
        <v/>
      </c>
    </row>
    <row r="20510" spans="8:8" x14ac:dyDescent="0.3">
      <c r="H20510" t="str">
        <f t="shared" si="370"/>
        <v/>
      </c>
    </row>
    <row r="20511" spans="8:8" x14ac:dyDescent="0.3">
      <c r="H20511" t="str">
        <f t="shared" si="370"/>
        <v/>
      </c>
    </row>
    <row r="20512" spans="8:8" x14ac:dyDescent="0.3">
      <c r="H20512" t="str">
        <f t="shared" si="370"/>
        <v/>
      </c>
    </row>
    <row r="20513" spans="8:8" x14ac:dyDescent="0.3">
      <c r="H20513" t="str">
        <f t="shared" si="370"/>
        <v/>
      </c>
    </row>
    <row r="20514" spans="8:8" x14ac:dyDescent="0.3">
      <c r="H20514" t="str">
        <f t="shared" si="370"/>
        <v/>
      </c>
    </row>
    <row r="20515" spans="8:8" x14ac:dyDescent="0.3">
      <c r="H20515" t="str">
        <f t="shared" si="370"/>
        <v/>
      </c>
    </row>
    <row r="20516" spans="8:8" x14ac:dyDescent="0.3">
      <c r="H20516" t="str">
        <f t="shared" si="370"/>
        <v/>
      </c>
    </row>
    <row r="20517" spans="8:8" x14ac:dyDescent="0.3">
      <c r="H20517" t="str">
        <f t="shared" si="370"/>
        <v/>
      </c>
    </row>
    <row r="20518" spans="8:8" x14ac:dyDescent="0.3">
      <c r="H20518" t="str">
        <f t="shared" si="370"/>
        <v/>
      </c>
    </row>
    <row r="20519" spans="8:8" x14ac:dyDescent="0.3">
      <c r="H20519" t="str">
        <f t="shared" si="370"/>
        <v/>
      </c>
    </row>
    <row r="20520" spans="8:8" x14ac:dyDescent="0.3">
      <c r="H20520" t="str">
        <f t="shared" si="370"/>
        <v/>
      </c>
    </row>
    <row r="20521" spans="8:8" x14ac:dyDescent="0.3">
      <c r="H20521" t="str">
        <f t="shared" si="370"/>
        <v/>
      </c>
    </row>
    <row r="20522" spans="8:8" x14ac:dyDescent="0.3">
      <c r="H20522" t="str">
        <f t="shared" si="370"/>
        <v/>
      </c>
    </row>
    <row r="20523" spans="8:8" x14ac:dyDescent="0.3">
      <c r="H20523" t="str">
        <f t="shared" si="370"/>
        <v/>
      </c>
    </row>
    <row r="20524" spans="8:8" x14ac:dyDescent="0.3">
      <c r="H20524" t="str">
        <f t="shared" si="370"/>
        <v/>
      </c>
    </row>
    <row r="20525" spans="8:8" x14ac:dyDescent="0.3">
      <c r="H20525" t="str">
        <f t="shared" si="370"/>
        <v/>
      </c>
    </row>
    <row r="20526" spans="8:8" x14ac:dyDescent="0.3">
      <c r="H20526" t="str">
        <f t="shared" si="370"/>
        <v/>
      </c>
    </row>
    <row r="20527" spans="8:8" x14ac:dyDescent="0.3">
      <c r="H20527" t="str">
        <f t="shared" si="370"/>
        <v/>
      </c>
    </row>
    <row r="20528" spans="8:8" x14ac:dyDescent="0.3">
      <c r="H20528" t="str">
        <f t="shared" si="370"/>
        <v/>
      </c>
    </row>
    <row r="20529" spans="8:8" x14ac:dyDescent="0.3">
      <c r="H20529" t="str">
        <f t="shared" si="370"/>
        <v/>
      </c>
    </row>
    <row r="20530" spans="8:8" x14ac:dyDescent="0.3">
      <c r="H20530" t="str">
        <f t="shared" si="370"/>
        <v/>
      </c>
    </row>
    <row r="20531" spans="8:8" x14ac:dyDescent="0.3">
      <c r="H20531" t="str">
        <f t="shared" si="370"/>
        <v/>
      </c>
    </row>
    <row r="20532" spans="8:8" x14ac:dyDescent="0.3">
      <c r="H20532" t="str">
        <f t="shared" si="370"/>
        <v/>
      </c>
    </row>
    <row r="20533" spans="8:8" x14ac:dyDescent="0.3">
      <c r="H20533" t="str">
        <f t="shared" si="370"/>
        <v/>
      </c>
    </row>
    <row r="20534" spans="8:8" x14ac:dyDescent="0.3">
      <c r="H20534" t="str">
        <f t="shared" si="370"/>
        <v/>
      </c>
    </row>
    <row r="20535" spans="8:8" x14ac:dyDescent="0.3">
      <c r="H20535" t="str">
        <f t="shared" si="370"/>
        <v/>
      </c>
    </row>
    <row r="20536" spans="8:8" x14ac:dyDescent="0.3">
      <c r="H20536" t="str">
        <f t="shared" si="370"/>
        <v/>
      </c>
    </row>
    <row r="20537" spans="8:8" x14ac:dyDescent="0.3">
      <c r="H20537" t="str">
        <f t="shared" si="370"/>
        <v/>
      </c>
    </row>
    <row r="20538" spans="8:8" x14ac:dyDescent="0.3">
      <c r="H20538" t="str">
        <f t="shared" si="370"/>
        <v/>
      </c>
    </row>
    <row r="20539" spans="8:8" x14ac:dyDescent="0.3">
      <c r="H20539" t="str">
        <f t="shared" si="370"/>
        <v/>
      </c>
    </row>
    <row r="20540" spans="8:8" x14ac:dyDescent="0.3">
      <c r="H20540" t="str">
        <f t="shared" si="370"/>
        <v/>
      </c>
    </row>
    <row r="20541" spans="8:8" x14ac:dyDescent="0.3">
      <c r="H20541" t="str">
        <f t="shared" si="370"/>
        <v/>
      </c>
    </row>
    <row r="20542" spans="8:8" x14ac:dyDescent="0.3">
      <c r="H20542" t="str">
        <f t="shared" si="370"/>
        <v/>
      </c>
    </row>
    <row r="20543" spans="8:8" x14ac:dyDescent="0.3">
      <c r="H20543" t="str">
        <f t="shared" si="370"/>
        <v/>
      </c>
    </row>
    <row r="20544" spans="8:8" x14ac:dyDescent="0.3">
      <c r="H20544" t="str">
        <f t="shared" si="370"/>
        <v/>
      </c>
    </row>
    <row r="20545" spans="8:8" x14ac:dyDescent="0.3">
      <c r="H20545" t="str">
        <f t="shared" si="370"/>
        <v/>
      </c>
    </row>
    <row r="20546" spans="8:8" x14ac:dyDescent="0.3">
      <c r="H20546" t="str">
        <f t="shared" si="370"/>
        <v/>
      </c>
    </row>
    <row r="20547" spans="8:8" x14ac:dyDescent="0.3">
      <c r="H20547" t="str">
        <f t="shared" si="370"/>
        <v/>
      </c>
    </row>
    <row r="20548" spans="8:8" x14ac:dyDescent="0.3">
      <c r="H20548" t="str">
        <f t="shared" si="370"/>
        <v/>
      </c>
    </row>
    <row r="20549" spans="8:8" x14ac:dyDescent="0.3">
      <c r="H20549" t="str">
        <f t="shared" si="370"/>
        <v/>
      </c>
    </row>
    <row r="20550" spans="8:8" x14ac:dyDescent="0.3">
      <c r="H20550" t="str">
        <f t="shared" si="370"/>
        <v/>
      </c>
    </row>
    <row r="20551" spans="8:8" x14ac:dyDescent="0.3">
      <c r="H20551" t="str">
        <f t="shared" si="370"/>
        <v/>
      </c>
    </row>
    <row r="20552" spans="8:8" x14ac:dyDescent="0.3">
      <c r="H20552" t="str">
        <f t="shared" si="370"/>
        <v/>
      </c>
    </row>
    <row r="20553" spans="8:8" x14ac:dyDescent="0.3">
      <c r="H20553" t="str">
        <f t="shared" si="370"/>
        <v/>
      </c>
    </row>
    <row r="20554" spans="8:8" x14ac:dyDescent="0.3">
      <c r="H20554" t="str">
        <f t="shared" si="370"/>
        <v/>
      </c>
    </row>
    <row r="20555" spans="8:8" x14ac:dyDescent="0.3">
      <c r="H20555" t="str">
        <f t="shared" si="370"/>
        <v/>
      </c>
    </row>
    <row r="20556" spans="8:8" x14ac:dyDescent="0.3">
      <c r="H20556" t="str">
        <f t="shared" si="370"/>
        <v/>
      </c>
    </row>
    <row r="20557" spans="8:8" x14ac:dyDescent="0.3">
      <c r="H20557" t="str">
        <f t="shared" si="370"/>
        <v/>
      </c>
    </row>
    <row r="20558" spans="8:8" x14ac:dyDescent="0.3">
      <c r="H20558" t="str">
        <f t="shared" si="370"/>
        <v/>
      </c>
    </row>
    <row r="20559" spans="8:8" x14ac:dyDescent="0.3">
      <c r="H20559" t="str">
        <f t="shared" si="370"/>
        <v/>
      </c>
    </row>
    <row r="20560" spans="8:8" x14ac:dyDescent="0.3">
      <c r="H20560" t="str">
        <f t="shared" si="370"/>
        <v/>
      </c>
    </row>
    <row r="20561" spans="8:8" x14ac:dyDescent="0.3">
      <c r="H20561" t="str">
        <f t="shared" si="370"/>
        <v/>
      </c>
    </row>
    <row r="20562" spans="8:8" x14ac:dyDescent="0.3">
      <c r="H20562" t="str">
        <f t="shared" si="370"/>
        <v/>
      </c>
    </row>
    <row r="20563" spans="8:8" x14ac:dyDescent="0.3">
      <c r="H20563" t="str">
        <f t="shared" si="370"/>
        <v/>
      </c>
    </row>
    <row r="20564" spans="8:8" x14ac:dyDescent="0.3">
      <c r="H20564" t="str">
        <f t="shared" si="370"/>
        <v/>
      </c>
    </row>
    <row r="20565" spans="8:8" x14ac:dyDescent="0.3">
      <c r="H20565" t="str">
        <f t="shared" si="370"/>
        <v/>
      </c>
    </row>
    <row r="20566" spans="8:8" x14ac:dyDescent="0.3">
      <c r="H20566" t="str">
        <f t="shared" si="370"/>
        <v/>
      </c>
    </row>
    <row r="20567" spans="8:8" x14ac:dyDescent="0.3">
      <c r="H20567" t="str">
        <f t="shared" ref="H20567:H20630" si="371">IF(B20567="","",$C$12)</f>
        <v/>
      </c>
    </row>
    <row r="20568" spans="8:8" x14ac:dyDescent="0.3">
      <c r="H20568" t="str">
        <f t="shared" si="371"/>
        <v/>
      </c>
    </row>
    <row r="20569" spans="8:8" x14ac:dyDescent="0.3">
      <c r="H20569" t="str">
        <f t="shared" si="371"/>
        <v/>
      </c>
    </row>
    <row r="20570" spans="8:8" x14ac:dyDescent="0.3">
      <c r="H20570" t="str">
        <f t="shared" si="371"/>
        <v/>
      </c>
    </row>
    <row r="20571" spans="8:8" x14ac:dyDescent="0.3">
      <c r="H20571" t="str">
        <f t="shared" si="371"/>
        <v/>
      </c>
    </row>
    <row r="20572" spans="8:8" x14ac:dyDescent="0.3">
      <c r="H20572" t="str">
        <f t="shared" si="371"/>
        <v/>
      </c>
    </row>
    <row r="20573" spans="8:8" x14ac:dyDescent="0.3">
      <c r="H20573" t="str">
        <f t="shared" si="371"/>
        <v/>
      </c>
    </row>
    <row r="20574" spans="8:8" x14ac:dyDescent="0.3">
      <c r="H20574" t="str">
        <f t="shared" si="371"/>
        <v/>
      </c>
    </row>
    <row r="20575" spans="8:8" x14ac:dyDescent="0.3">
      <c r="H20575" t="str">
        <f t="shared" si="371"/>
        <v/>
      </c>
    </row>
    <row r="20576" spans="8:8" x14ac:dyDescent="0.3">
      <c r="H20576" t="str">
        <f t="shared" si="371"/>
        <v/>
      </c>
    </row>
    <row r="20577" spans="8:8" x14ac:dyDescent="0.3">
      <c r="H20577" t="str">
        <f t="shared" si="371"/>
        <v/>
      </c>
    </row>
    <row r="20578" spans="8:8" x14ac:dyDescent="0.3">
      <c r="H20578" t="str">
        <f t="shared" si="371"/>
        <v/>
      </c>
    </row>
    <row r="20579" spans="8:8" x14ac:dyDescent="0.3">
      <c r="H20579" t="str">
        <f t="shared" si="371"/>
        <v/>
      </c>
    </row>
    <row r="20580" spans="8:8" x14ac:dyDescent="0.3">
      <c r="H20580" t="str">
        <f t="shared" si="371"/>
        <v/>
      </c>
    </row>
    <row r="20581" spans="8:8" x14ac:dyDescent="0.3">
      <c r="H20581" t="str">
        <f t="shared" si="371"/>
        <v/>
      </c>
    </row>
    <row r="20582" spans="8:8" x14ac:dyDescent="0.3">
      <c r="H20582" t="str">
        <f t="shared" si="371"/>
        <v/>
      </c>
    </row>
    <row r="20583" spans="8:8" x14ac:dyDescent="0.3">
      <c r="H20583" t="str">
        <f t="shared" si="371"/>
        <v/>
      </c>
    </row>
    <row r="20584" spans="8:8" x14ac:dyDescent="0.3">
      <c r="H20584" t="str">
        <f t="shared" si="371"/>
        <v/>
      </c>
    </row>
    <row r="20585" spans="8:8" x14ac:dyDescent="0.3">
      <c r="H20585" t="str">
        <f t="shared" si="371"/>
        <v/>
      </c>
    </row>
    <row r="20586" spans="8:8" x14ac:dyDescent="0.3">
      <c r="H20586" t="str">
        <f t="shared" si="371"/>
        <v/>
      </c>
    </row>
    <row r="20587" spans="8:8" x14ac:dyDescent="0.3">
      <c r="H20587" t="str">
        <f t="shared" si="371"/>
        <v/>
      </c>
    </row>
    <row r="20588" spans="8:8" x14ac:dyDescent="0.3">
      <c r="H20588" t="str">
        <f t="shared" si="371"/>
        <v/>
      </c>
    </row>
    <row r="20589" spans="8:8" x14ac:dyDescent="0.3">
      <c r="H20589" t="str">
        <f t="shared" si="371"/>
        <v/>
      </c>
    </row>
    <row r="20590" spans="8:8" x14ac:dyDescent="0.3">
      <c r="H20590" t="str">
        <f t="shared" si="371"/>
        <v/>
      </c>
    </row>
    <row r="20591" spans="8:8" x14ac:dyDescent="0.3">
      <c r="H20591" t="str">
        <f t="shared" si="371"/>
        <v/>
      </c>
    </row>
    <row r="20592" spans="8:8" x14ac:dyDescent="0.3">
      <c r="H20592" t="str">
        <f t="shared" si="371"/>
        <v/>
      </c>
    </row>
    <row r="20593" spans="8:8" x14ac:dyDescent="0.3">
      <c r="H20593" t="str">
        <f t="shared" si="371"/>
        <v/>
      </c>
    </row>
    <row r="20594" spans="8:8" x14ac:dyDescent="0.3">
      <c r="H20594" t="str">
        <f t="shared" si="371"/>
        <v/>
      </c>
    </row>
    <row r="20595" spans="8:8" x14ac:dyDescent="0.3">
      <c r="H20595" t="str">
        <f t="shared" si="371"/>
        <v/>
      </c>
    </row>
    <row r="20596" spans="8:8" x14ac:dyDescent="0.3">
      <c r="H20596" t="str">
        <f t="shared" si="371"/>
        <v/>
      </c>
    </row>
    <row r="20597" spans="8:8" x14ac:dyDescent="0.3">
      <c r="H20597" t="str">
        <f t="shared" si="371"/>
        <v/>
      </c>
    </row>
    <row r="20598" spans="8:8" x14ac:dyDescent="0.3">
      <c r="H20598" t="str">
        <f t="shared" si="371"/>
        <v/>
      </c>
    </row>
    <row r="20599" spans="8:8" x14ac:dyDescent="0.3">
      <c r="H20599" t="str">
        <f t="shared" si="371"/>
        <v/>
      </c>
    </row>
    <row r="20600" spans="8:8" x14ac:dyDescent="0.3">
      <c r="H20600" t="str">
        <f t="shared" si="371"/>
        <v/>
      </c>
    </row>
    <row r="20601" spans="8:8" x14ac:dyDescent="0.3">
      <c r="H20601" t="str">
        <f t="shared" si="371"/>
        <v/>
      </c>
    </row>
    <row r="20602" spans="8:8" x14ac:dyDescent="0.3">
      <c r="H20602" t="str">
        <f t="shared" si="371"/>
        <v/>
      </c>
    </row>
    <row r="20603" spans="8:8" x14ac:dyDescent="0.3">
      <c r="H20603" t="str">
        <f t="shared" si="371"/>
        <v/>
      </c>
    </row>
    <row r="20604" spans="8:8" x14ac:dyDescent="0.3">
      <c r="H20604" t="str">
        <f t="shared" si="371"/>
        <v/>
      </c>
    </row>
    <row r="20605" spans="8:8" x14ac:dyDescent="0.3">
      <c r="H20605" t="str">
        <f t="shared" si="371"/>
        <v/>
      </c>
    </row>
    <row r="20606" spans="8:8" x14ac:dyDescent="0.3">
      <c r="H20606" t="str">
        <f t="shared" si="371"/>
        <v/>
      </c>
    </row>
    <row r="20607" spans="8:8" x14ac:dyDescent="0.3">
      <c r="H20607" t="str">
        <f t="shared" si="371"/>
        <v/>
      </c>
    </row>
    <row r="20608" spans="8:8" x14ac:dyDescent="0.3">
      <c r="H20608" t="str">
        <f t="shared" si="371"/>
        <v/>
      </c>
    </row>
    <row r="20609" spans="8:8" x14ac:dyDescent="0.3">
      <c r="H20609" t="str">
        <f t="shared" si="371"/>
        <v/>
      </c>
    </row>
    <row r="20610" spans="8:8" x14ac:dyDescent="0.3">
      <c r="H20610" t="str">
        <f t="shared" si="371"/>
        <v/>
      </c>
    </row>
    <row r="20611" spans="8:8" x14ac:dyDescent="0.3">
      <c r="H20611" t="str">
        <f t="shared" si="371"/>
        <v/>
      </c>
    </row>
    <row r="20612" spans="8:8" x14ac:dyDescent="0.3">
      <c r="H20612" t="str">
        <f t="shared" si="371"/>
        <v/>
      </c>
    </row>
    <row r="20613" spans="8:8" x14ac:dyDescent="0.3">
      <c r="H20613" t="str">
        <f t="shared" si="371"/>
        <v/>
      </c>
    </row>
    <row r="20614" spans="8:8" x14ac:dyDescent="0.3">
      <c r="H20614" t="str">
        <f t="shared" si="371"/>
        <v/>
      </c>
    </row>
    <row r="20615" spans="8:8" x14ac:dyDescent="0.3">
      <c r="H20615" t="str">
        <f t="shared" si="371"/>
        <v/>
      </c>
    </row>
    <row r="20616" spans="8:8" x14ac:dyDescent="0.3">
      <c r="H20616" t="str">
        <f t="shared" si="371"/>
        <v/>
      </c>
    </row>
    <row r="20617" spans="8:8" x14ac:dyDescent="0.3">
      <c r="H20617" t="str">
        <f t="shared" si="371"/>
        <v/>
      </c>
    </row>
    <row r="20618" spans="8:8" x14ac:dyDescent="0.3">
      <c r="H20618" t="str">
        <f t="shared" si="371"/>
        <v/>
      </c>
    </row>
    <row r="20619" spans="8:8" x14ac:dyDescent="0.3">
      <c r="H20619" t="str">
        <f t="shared" si="371"/>
        <v/>
      </c>
    </row>
    <row r="20620" spans="8:8" x14ac:dyDescent="0.3">
      <c r="H20620" t="str">
        <f t="shared" si="371"/>
        <v/>
      </c>
    </row>
    <row r="20621" spans="8:8" x14ac:dyDescent="0.3">
      <c r="H20621" t="str">
        <f t="shared" si="371"/>
        <v/>
      </c>
    </row>
    <row r="20622" spans="8:8" x14ac:dyDescent="0.3">
      <c r="H20622" t="str">
        <f t="shared" si="371"/>
        <v/>
      </c>
    </row>
    <row r="20623" spans="8:8" x14ac:dyDescent="0.3">
      <c r="H20623" t="str">
        <f t="shared" si="371"/>
        <v/>
      </c>
    </row>
    <row r="20624" spans="8:8" x14ac:dyDescent="0.3">
      <c r="H20624" t="str">
        <f t="shared" si="371"/>
        <v/>
      </c>
    </row>
    <row r="20625" spans="8:8" x14ac:dyDescent="0.3">
      <c r="H20625" t="str">
        <f t="shared" si="371"/>
        <v/>
      </c>
    </row>
    <row r="20626" spans="8:8" x14ac:dyDescent="0.3">
      <c r="H20626" t="str">
        <f t="shared" si="371"/>
        <v/>
      </c>
    </row>
    <row r="20627" spans="8:8" x14ac:dyDescent="0.3">
      <c r="H20627" t="str">
        <f t="shared" si="371"/>
        <v/>
      </c>
    </row>
    <row r="20628" spans="8:8" x14ac:dyDescent="0.3">
      <c r="H20628" t="str">
        <f t="shared" si="371"/>
        <v/>
      </c>
    </row>
    <row r="20629" spans="8:8" x14ac:dyDescent="0.3">
      <c r="H20629" t="str">
        <f t="shared" si="371"/>
        <v/>
      </c>
    </row>
    <row r="20630" spans="8:8" x14ac:dyDescent="0.3">
      <c r="H20630" t="str">
        <f t="shared" si="371"/>
        <v/>
      </c>
    </row>
    <row r="20631" spans="8:8" x14ac:dyDescent="0.3">
      <c r="H20631" t="str">
        <f t="shared" ref="H20631:H20694" si="372">IF(B20631="","",$C$12)</f>
        <v/>
      </c>
    </row>
    <row r="20632" spans="8:8" x14ac:dyDescent="0.3">
      <c r="H20632" t="str">
        <f t="shared" si="372"/>
        <v/>
      </c>
    </row>
    <row r="20633" spans="8:8" x14ac:dyDescent="0.3">
      <c r="H20633" t="str">
        <f t="shared" si="372"/>
        <v/>
      </c>
    </row>
    <row r="20634" spans="8:8" x14ac:dyDescent="0.3">
      <c r="H20634" t="str">
        <f t="shared" si="372"/>
        <v/>
      </c>
    </row>
    <row r="20635" spans="8:8" x14ac:dyDescent="0.3">
      <c r="H20635" t="str">
        <f t="shared" si="372"/>
        <v/>
      </c>
    </row>
    <row r="20636" spans="8:8" x14ac:dyDescent="0.3">
      <c r="H20636" t="str">
        <f t="shared" si="372"/>
        <v/>
      </c>
    </row>
    <row r="20637" spans="8:8" x14ac:dyDescent="0.3">
      <c r="H20637" t="str">
        <f t="shared" si="372"/>
        <v/>
      </c>
    </row>
    <row r="20638" spans="8:8" x14ac:dyDescent="0.3">
      <c r="H20638" t="str">
        <f t="shared" si="372"/>
        <v/>
      </c>
    </row>
    <row r="20639" spans="8:8" x14ac:dyDescent="0.3">
      <c r="H20639" t="str">
        <f t="shared" si="372"/>
        <v/>
      </c>
    </row>
    <row r="20640" spans="8:8" x14ac:dyDescent="0.3">
      <c r="H20640" t="str">
        <f t="shared" si="372"/>
        <v/>
      </c>
    </row>
    <row r="20641" spans="8:8" x14ac:dyDescent="0.3">
      <c r="H20641" t="str">
        <f t="shared" si="372"/>
        <v/>
      </c>
    </row>
    <row r="20642" spans="8:8" x14ac:dyDescent="0.3">
      <c r="H20642" t="str">
        <f t="shared" si="372"/>
        <v/>
      </c>
    </row>
    <row r="20643" spans="8:8" x14ac:dyDescent="0.3">
      <c r="H20643" t="str">
        <f t="shared" si="372"/>
        <v/>
      </c>
    </row>
    <row r="20644" spans="8:8" x14ac:dyDescent="0.3">
      <c r="H20644" t="str">
        <f t="shared" si="372"/>
        <v/>
      </c>
    </row>
    <row r="20645" spans="8:8" x14ac:dyDescent="0.3">
      <c r="H20645" t="str">
        <f t="shared" si="372"/>
        <v/>
      </c>
    </row>
    <row r="20646" spans="8:8" x14ac:dyDescent="0.3">
      <c r="H20646" t="str">
        <f t="shared" si="372"/>
        <v/>
      </c>
    </row>
    <row r="20647" spans="8:8" x14ac:dyDescent="0.3">
      <c r="H20647" t="str">
        <f t="shared" si="372"/>
        <v/>
      </c>
    </row>
    <row r="20648" spans="8:8" x14ac:dyDescent="0.3">
      <c r="H20648" t="str">
        <f t="shared" si="372"/>
        <v/>
      </c>
    </row>
    <row r="20649" spans="8:8" x14ac:dyDescent="0.3">
      <c r="H20649" t="str">
        <f t="shared" si="372"/>
        <v/>
      </c>
    </row>
    <row r="20650" spans="8:8" x14ac:dyDescent="0.3">
      <c r="H20650" t="str">
        <f t="shared" si="372"/>
        <v/>
      </c>
    </row>
    <row r="20651" spans="8:8" x14ac:dyDescent="0.3">
      <c r="H20651" t="str">
        <f t="shared" si="372"/>
        <v/>
      </c>
    </row>
    <row r="20652" spans="8:8" x14ac:dyDescent="0.3">
      <c r="H20652" t="str">
        <f t="shared" si="372"/>
        <v/>
      </c>
    </row>
    <row r="20653" spans="8:8" x14ac:dyDescent="0.3">
      <c r="H20653" t="str">
        <f t="shared" si="372"/>
        <v/>
      </c>
    </row>
    <row r="20654" spans="8:8" x14ac:dyDescent="0.3">
      <c r="H20654" t="str">
        <f t="shared" si="372"/>
        <v/>
      </c>
    </row>
    <row r="20655" spans="8:8" x14ac:dyDescent="0.3">
      <c r="H20655" t="str">
        <f t="shared" si="372"/>
        <v/>
      </c>
    </row>
    <row r="20656" spans="8:8" x14ac:dyDescent="0.3">
      <c r="H20656" t="str">
        <f t="shared" si="372"/>
        <v/>
      </c>
    </row>
    <row r="20657" spans="8:8" x14ac:dyDescent="0.3">
      <c r="H20657" t="str">
        <f t="shared" si="372"/>
        <v/>
      </c>
    </row>
    <row r="20658" spans="8:8" x14ac:dyDescent="0.3">
      <c r="H20658" t="str">
        <f t="shared" si="372"/>
        <v/>
      </c>
    </row>
    <row r="20659" spans="8:8" x14ac:dyDescent="0.3">
      <c r="H20659" t="str">
        <f t="shared" si="372"/>
        <v/>
      </c>
    </row>
    <row r="20660" spans="8:8" x14ac:dyDescent="0.3">
      <c r="H20660" t="str">
        <f t="shared" si="372"/>
        <v/>
      </c>
    </row>
    <row r="20661" spans="8:8" x14ac:dyDescent="0.3">
      <c r="H20661" t="str">
        <f t="shared" si="372"/>
        <v/>
      </c>
    </row>
    <row r="20662" spans="8:8" x14ac:dyDescent="0.3">
      <c r="H20662" t="str">
        <f t="shared" si="372"/>
        <v/>
      </c>
    </row>
    <row r="20663" spans="8:8" x14ac:dyDescent="0.3">
      <c r="H20663" t="str">
        <f t="shared" si="372"/>
        <v/>
      </c>
    </row>
    <row r="20664" spans="8:8" x14ac:dyDescent="0.3">
      <c r="H20664" t="str">
        <f t="shared" si="372"/>
        <v/>
      </c>
    </row>
    <row r="20665" spans="8:8" x14ac:dyDescent="0.3">
      <c r="H20665" t="str">
        <f t="shared" si="372"/>
        <v/>
      </c>
    </row>
    <row r="20666" spans="8:8" x14ac:dyDescent="0.3">
      <c r="H20666" t="str">
        <f t="shared" si="372"/>
        <v/>
      </c>
    </row>
    <row r="20667" spans="8:8" x14ac:dyDescent="0.3">
      <c r="H20667" t="str">
        <f t="shared" si="372"/>
        <v/>
      </c>
    </row>
    <row r="20668" spans="8:8" x14ac:dyDescent="0.3">
      <c r="H20668" t="str">
        <f t="shared" si="372"/>
        <v/>
      </c>
    </row>
    <row r="20669" spans="8:8" x14ac:dyDescent="0.3">
      <c r="H20669" t="str">
        <f t="shared" si="372"/>
        <v/>
      </c>
    </row>
    <row r="20670" spans="8:8" x14ac:dyDescent="0.3">
      <c r="H20670" t="str">
        <f t="shared" si="372"/>
        <v/>
      </c>
    </row>
    <row r="20671" spans="8:8" x14ac:dyDescent="0.3">
      <c r="H20671" t="str">
        <f t="shared" si="372"/>
        <v/>
      </c>
    </row>
    <row r="20672" spans="8:8" x14ac:dyDescent="0.3">
      <c r="H20672" t="str">
        <f t="shared" si="372"/>
        <v/>
      </c>
    </row>
    <row r="20673" spans="8:8" x14ac:dyDescent="0.3">
      <c r="H20673" t="str">
        <f t="shared" si="372"/>
        <v/>
      </c>
    </row>
    <row r="20674" spans="8:8" x14ac:dyDescent="0.3">
      <c r="H20674" t="str">
        <f t="shared" si="372"/>
        <v/>
      </c>
    </row>
    <row r="20675" spans="8:8" x14ac:dyDescent="0.3">
      <c r="H20675" t="str">
        <f t="shared" si="372"/>
        <v/>
      </c>
    </row>
    <row r="20676" spans="8:8" x14ac:dyDescent="0.3">
      <c r="H20676" t="str">
        <f t="shared" si="372"/>
        <v/>
      </c>
    </row>
    <row r="20677" spans="8:8" x14ac:dyDescent="0.3">
      <c r="H20677" t="str">
        <f t="shared" si="372"/>
        <v/>
      </c>
    </row>
    <row r="20678" spans="8:8" x14ac:dyDescent="0.3">
      <c r="H20678" t="str">
        <f t="shared" si="372"/>
        <v/>
      </c>
    </row>
    <row r="20679" spans="8:8" x14ac:dyDescent="0.3">
      <c r="H20679" t="str">
        <f t="shared" si="372"/>
        <v/>
      </c>
    </row>
    <row r="20680" spans="8:8" x14ac:dyDescent="0.3">
      <c r="H20680" t="str">
        <f t="shared" si="372"/>
        <v/>
      </c>
    </row>
    <row r="20681" spans="8:8" x14ac:dyDescent="0.3">
      <c r="H20681" t="str">
        <f t="shared" si="372"/>
        <v/>
      </c>
    </row>
    <row r="20682" spans="8:8" x14ac:dyDescent="0.3">
      <c r="H20682" t="str">
        <f t="shared" si="372"/>
        <v/>
      </c>
    </row>
    <row r="20683" spans="8:8" x14ac:dyDescent="0.3">
      <c r="H20683" t="str">
        <f t="shared" si="372"/>
        <v/>
      </c>
    </row>
    <row r="20684" spans="8:8" x14ac:dyDescent="0.3">
      <c r="H20684" t="str">
        <f t="shared" si="372"/>
        <v/>
      </c>
    </row>
    <row r="20685" spans="8:8" x14ac:dyDescent="0.3">
      <c r="H20685" t="str">
        <f t="shared" si="372"/>
        <v/>
      </c>
    </row>
    <row r="20686" spans="8:8" x14ac:dyDescent="0.3">
      <c r="H20686" t="str">
        <f t="shared" si="372"/>
        <v/>
      </c>
    </row>
    <row r="20687" spans="8:8" x14ac:dyDescent="0.3">
      <c r="H20687" t="str">
        <f t="shared" si="372"/>
        <v/>
      </c>
    </row>
    <row r="20688" spans="8:8" x14ac:dyDescent="0.3">
      <c r="H20688" t="str">
        <f t="shared" si="372"/>
        <v/>
      </c>
    </row>
    <row r="20689" spans="8:8" x14ac:dyDescent="0.3">
      <c r="H20689" t="str">
        <f t="shared" si="372"/>
        <v/>
      </c>
    </row>
    <row r="20690" spans="8:8" x14ac:dyDescent="0.3">
      <c r="H20690" t="str">
        <f t="shared" si="372"/>
        <v/>
      </c>
    </row>
    <row r="20691" spans="8:8" x14ac:dyDescent="0.3">
      <c r="H20691" t="str">
        <f t="shared" si="372"/>
        <v/>
      </c>
    </row>
    <row r="20692" spans="8:8" x14ac:dyDescent="0.3">
      <c r="H20692" t="str">
        <f t="shared" si="372"/>
        <v/>
      </c>
    </row>
    <row r="20693" spans="8:8" x14ac:dyDescent="0.3">
      <c r="H20693" t="str">
        <f t="shared" si="372"/>
        <v/>
      </c>
    </row>
    <row r="20694" spans="8:8" x14ac:dyDescent="0.3">
      <c r="H20694" t="str">
        <f t="shared" si="372"/>
        <v/>
      </c>
    </row>
    <row r="20695" spans="8:8" x14ac:dyDescent="0.3">
      <c r="H20695" t="str">
        <f t="shared" ref="H20695:H20758" si="373">IF(B20695="","",$C$12)</f>
        <v/>
      </c>
    </row>
    <row r="20696" spans="8:8" x14ac:dyDescent="0.3">
      <c r="H20696" t="str">
        <f t="shared" si="373"/>
        <v/>
      </c>
    </row>
    <row r="20697" spans="8:8" x14ac:dyDescent="0.3">
      <c r="H20697" t="str">
        <f t="shared" si="373"/>
        <v/>
      </c>
    </row>
    <row r="20698" spans="8:8" x14ac:dyDescent="0.3">
      <c r="H20698" t="str">
        <f t="shared" si="373"/>
        <v/>
      </c>
    </row>
    <row r="20699" spans="8:8" x14ac:dyDescent="0.3">
      <c r="H20699" t="str">
        <f t="shared" si="373"/>
        <v/>
      </c>
    </row>
    <row r="20700" spans="8:8" x14ac:dyDescent="0.3">
      <c r="H20700" t="str">
        <f t="shared" si="373"/>
        <v/>
      </c>
    </row>
    <row r="20701" spans="8:8" x14ac:dyDescent="0.3">
      <c r="H20701" t="str">
        <f t="shared" si="373"/>
        <v/>
      </c>
    </row>
    <row r="20702" spans="8:8" x14ac:dyDescent="0.3">
      <c r="H20702" t="str">
        <f t="shared" si="373"/>
        <v/>
      </c>
    </row>
    <row r="20703" spans="8:8" x14ac:dyDescent="0.3">
      <c r="H20703" t="str">
        <f t="shared" si="373"/>
        <v/>
      </c>
    </row>
    <row r="20704" spans="8:8" x14ac:dyDescent="0.3">
      <c r="H20704" t="str">
        <f t="shared" si="373"/>
        <v/>
      </c>
    </row>
    <row r="20705" spans="8:8" x14ac:dyDescent="0.3">
      <c r="H20705" t="str">
        <f t="shared" si="373"/>
        <v/>
      </c>
    </row>
    <row r="20706" spans="8:8" x14ac:dyDescent="0.3">
      <c r="H20706" t="str">
        <f t="shared" si="373"/>
        <v/>
      </c>
    </row>
    <row r="20707" spans="8:8" x14ac:dyDescent="0.3">
      <c r="H20707" t="str">
        <f t="shared" si="373"/>
        <v/>
      </c>
    </row>
    <row r="20708" spans="8:8" x14ac:dyDescent="0.3">
      <c r="H20708" t="str">
        <f t="shared" si="373"/>
        <v/>
      </c>
    </row>
    <row r="20709" spans="8:8" x14ac:dyDescent="0.3">
      <c r="H20709" t="str">
        <f t="shared" si="373"/>
        <v/>
      </c>
    </row>
    <row r="20710" spans="8:8" x14ac:dyDescent="0.3">
      <c r="H20710" t="str">
        <f t="shared" si="373"/>
        <v/>
      </c>
    </row>
    <row r="20711" spans="8:8" x14ac:dyDescent="0.3">
      <c r="H20711" t="str">
        <f t="shared" si="373"/>
        <v/>
      </c>
    </row>
    <row r="20712" spans="8:8" x14ac:dyDescent="0.3">
      <c r="H20712" t="str">
        <f t="shared" si="373"/>
        <v/>
      </c>
    </row>
    <row r="20713" spans="8:8" x14ac:dyDescent="0.3">
      <c r="H20713" t="str">
        <f t="shared" si="373"/>
        <v/>
      </c>
    </row>
    <row r="20714" spans="8:8" x14ac:dyDescent="0.3">
      <c r="H20714" t="str">
        <f t="shared" si="373"/>
        <v/>
      </c>
    </row>
    <row r="20715" spans="8:8" x14ac:dyDescent="0.3">
      <c r="H20715" t="str">
        <f t="shared" si="373"/>
        <v/>
      </c>
    </row>
    <row r="20716" spans="8:8" x14ac:dyDescent="0.3">
      <c r="H20716" t="str">
        <f t="shared" si="373"/>
        <v/>
      </c>
    </row>
    <row r="20717" spans="8:8" x14ac:dyDescent="0.3">
      <c r="H20717" t="str">
        <f t="shared" si="373"/>
        <v/>
      </c>
    </row>
    <row r="20718" spans="8:8" x14ac:dyDescent="0.3">
      <c r="H20718" t="str">
        <f t="shared" si="373"/>
        <v/>
      </c>
    </row>
    <row r="20719" spans="8:8" x14ac:dyDescent="0.3">
      <c r="H20719" t="str">
        <f t="shared" si="373"/>
        <v/>
      </c>
    </row>
    <row r="20720" spans="8:8" x14ac:dyDescent="0.3">
      <c r="H20720" t="str">
        <f t="shared" si="373"/>
        <v/>
      </c>
    </row>
    <row r="20721" spans="8:8" x14ac:dyDescent="0.3">
      <c r="H20721" t="str">
        <f t="shared" si="373"/>
        <v/>
      </c>
    </row>
    <row r="20722" spans="8:8" x14ac:dyDescent="0.3">
      <c r="H20722" t="str">
        <f t="shared" si="373"/>
        <v/>
      </c>
    </row>
    <row r="20723" spans="8:8" x14ac:dyDescent="0.3">
      <c r="H20723" t="str">
        <f t="shared" si="373"/>
        <v/>
      </c>
    </row>
    <row r="20724" spans="8:8" x14ac:dyDescent="0.3">
      <c r="H20724" t="str">
        <f t="shared" si="373"/>
        <v/>
      </c>
    </row>
    <row r="20725" spans="8:8" x14ac:dyDescent="0.3">
      <c r="H20725" t="str">
        <f t="shared" si="373"/>
        <v/>
      </c>
    </row>
    <row r="20726" spans="8:8" x14ac:dyDescent="0.3">
      <c r="H20726" t="str">
        <f t="shared" si="373"/>
        <v/>
      </c>
    </row>
    <row r="20727" spans="8:8" x14ac:dyDescent="0.3">
      <c r="H20727" t="str">
        <f t="shared" si="373"/>
        <v/>
      </c>
    </row>
    <row r="20728" spans="8:8" x14ac:dyDescent="0.3">
      <c r="H20728" t="str">
        <f t="shared" si="373"/>
        <v/>
      </c>
    </row>
    <row r="20729" spans="8:8" x14ac:dyDescent="0.3">
      <c r="H20729" t="str">
        <f t="shared" si="373"/>
        <v/>
      </c>
    </row>
    <row r="20730" spans="8:8" x14ac:dyDescent="0.3">
      <c r="H20730" t="str">
        <f t="shared" si="373"/>
        <v/>
      </c>
    </row>
    <row r="20731" spans="8:8" x14ac:dyDescent="0.3">
      <c r="H20731" t="str">
        <f t="shared" si="373"/>
        <v/>
      </c>
    </row>
    <row r="20732" spans="8:8" x14ac:dyDescent="0.3">
      <c r="H20732" t="str">
        <f t="shared" si="373"/>
        <v/>
      </c>
    </row>
    <row r="20733" spans="8:8" x14ac:dyDescent="0.3">
      <c r="H20733" t="str">
        <f t="shared" si="373"/>
        <v/>
      </c>
    </row>
    <row r="20734" spans="8:8" x14ac:dyDescent="0.3">
      <c r="H20734" t="str">
        <f t="shared" si="373"/>
        <v/>
      </c>
    </row>
    <row r="20735" spans="8:8" x14ac:dyDescent="0.3">
      <c r="H20735" t="str">
        <f t="shared" si="373"/>
        <v/>
      </c>
    </row>
    <row r="20736" spans="8:8" x14ac:dyDescent="0.3">
      <c r="H20736" t="str">
        <f t="shared" si="373"/>
        <v/>
      </c>
    </row>
    <row r="20737" spans="8:8" x14ac:dyDescent="0.3">
      <c r="H20737" t="str">
        <f t="shared" si="373"/>
        <v/>
      </c>
    </row>
    <row r="20738" spans="8:8" x14ac:dyDescent="0.3">
      <c r="H20738" t="str">
        <f t="shared" si="373"/>
        <v/>
      </c>
    </row>
    <row r="20739" spans="8:8" x14ac:dyDescent="0.3">
      <c r="H20739" t="str">
        <f t="shared" si="373"/>
        <v/>
      </c>
    </row>
    <row r="20740" spans="8:8" x14ac:dyDescent="0.3">
      <c r="H20740" t="str">
        <f t="shared" si="373"/>
        <v/>
      </c>
    </row>
    <row r="20741" spans="8:8" x14ac:dyDescent="0.3">
      <c r="H20741" t="str">
        <f t="shared" si="373"/>
        <v/>
      </c>
    </row>
    <row r="20742" spans="8:8" x14ac:dyDescent="0.3">
      <c r="H20742" t="str">
        <f t="shared" si="373"/>
        <v/>
      </c>
    </row>
    <row r="20743" spans="8:8" x14ac:dyDescent="0.3">
      <c r="H20743" t="str">
        <f t="shared" si="373"/>
        <v/>
      </c>
    </row>
    <row r="20744" spans="8:8" x14ac:dyDescent="0.3">
      <c r="H20744" t="str">
        <f t="shared" si="373"/>
        <v/>
      </c>
    </row>
    <row r="20745" spans="8:8" x14ac:dyDescent="0.3">
      <c r="H20745" t="str">
        <f t="shared" si="373"/>
        <v/>
      </c>
    </row>
    <row r="20746" spans="8:8" x14ac:dyDescent="0.3">
      <c r="H20746" t="str">
        <f t="shared" si="373"/>
        <v/>
      </c>
    </row>
    <row r="20747" spans="8:8" x14ac:dyDescent="0.3">
      <c r="H20747" t="str">
        <f t="shared" si="373"/>
        <v/>
      </c>
    </row>
    <row r="20748" spans="8:8" x14ac:dyDescent="0.3">
      <c r="H20748" t="str">
        <f t="shared" si="373"/>
        <v/>
      </c>
    </row>
    <row r="20749" spans="8:8" x14ac:dyDescent="0.3">
      <c r="H20749" t="str">
        <f t="shared" si="373"/>
        <v/>
      </c>
    </row>
    <row r="20750" spans="8:8" x14ac:dyDescent="0.3">
      <c r="H20750" t="str">
        <f t="shared" si="373"/>
        <v/>
      </c>
    </row>
    <row r="20751" spans="8:8" x14ac:dyDescent="0.3">
      <c r="H20751" t="str">
        <f t="shared" si="373"/>
        <v/>
      </c>
    </row>
    <row r="20752" spans="8:8" x14ac:dyDescent="0.3">
      <c r="H20752" t="str">
        <f t="shared" si="373"/>
        <v/>
      </c>
    </row>
    <row r="20753" spans="8:8" x14ac:dyDescent="0.3">
      <c r="H20753" t="str">
        <f t="shared" si="373"/>
        <v/>
      </c>
    </row>
    <row r="20754" spans="8:8" x14ac:dyDescent="0.3">
      <c r="H20754" t="str">
        <f t="shared" si="373"/>
        <v/>
      </c>
    </row>
    <row r="20755" spans="8:8" x14ac:dyDescent="0.3">
      <c r="H20755" t="str">
        <f t="shared" si="373"/>
        <v/>
      </c>
    </row>
    <row r="20756" spans="8:8" x14ac:dyDescent="0.3">
      <c r="H20756" t="str">
        <f t="shared" si="373"/>
        <v/>
      </c>
    </row>
    <row r="20757" spans="8:8" x14ac:dyDescent="0.3">
      <c r="H20757" t="str">
        <f t="shared" si="373"/>
        <v/>
      </c>
    </row>
    <row r="20758" spans="8:8" x14ac:dyDescent="0.3">
      <c r="H20758" t="str">
        <f t="shared" si="373"/>
        <v/>
      </c>
    </row>
    <row r="20759" spans="8:8" x14ac:dyDescent="0.3">
      <c r="H20759" t="str">
        <f t="shared" ref="H20759:H20822" si="374">IF(B20759="","",$C$12)</f>
        <v/>
      </c>
    </row>
    <row r="20760" spans="8:8" x14ac:dyDescent="0.3">
      <c r="H20760" t="str">
        <f t="shared" si="374"/>
        <v/>
      </c>
    </row>
    <row r="20761" spans="8:8" x14ac:dyDescent="0.3">
      <c r="H20761" t="str">
        <f t="shared" si="374"/>
        <v/>
      </c>
    </row>
    <row r="20762" spans="8:8" x14ac:dyDescent="0.3">
      <c r="H20762" t="str">
        <f t="shared" si="374"/>
        <v/>
      </c>
    </row>
    <row r="20763" spans="8:8" x14ac:dyDescent="0.3">
      <c r="H20763" t="str">
        <f t="shared" si="374"/>
        <v/>
      </c>
    </row>
    <row r="20764" spans="8:8" x14ac:dyDescent="0.3">
      <c r="H20764" t="str">
        <f t="shared" si="374"/>
        <v/>
      </c>
    </row>
    <row r="20765" spans="8:8" x14ac:dyDescent="0.3">
      <c r="H20765" t="str">
        <f t="shared" si="374"/>
        <v/>
      </c>
    </row>
    <row r="20766" spans="8:8" x14ac:dyDescent="0.3">
      <c r="H20766" t="str">
        <f t="shared" si="374"/>
        <v/>
      </c>
    </row>
    <row r="20767" spans="8:8" x14ac:dyDescent="0.3">
      <c r="H20767" t="str">
        <f t="shared" si="374"/>
        <v/>
      </c>
    </row>
    <row r="20768" spans="8:8" x14ac:dyDescent="0.3">
      <c r="H20768" t="str">
        <f t="shared" si="374"/>
        <v/>
      </c>
    </row>
    <row r="20769" spans="8:8" x14ac:dyDescent="0.3">
      <c r="H20769" t="str">
        <f t="shared" si="374"/>
        <v/>
      </c>
    </row>
    <row r="20770" spans="8:8" x14ac:dyDescent="0.3">
      <c r="H20770" t="str">
        <f t="shared" si="374"/>
        <v/>
      </c>
    </row>
    <row r="20771" spans="8:8" x14ac:dyDescent="0.3">
      <c r="H20771" t="str">
        <f t="shared" si="374"/>
        <v/>
      </c>
    </row>
    <row r="20772" spans="8:8" x14ac:dyDescent="0.3">
      <c r="H20772" t="str">
        <f t="shared" si="374"/>
        <v/>
      </c>
    </row>
    <row r="20773" spans="8:8" x14ac:dyDescent="0.3">
      <c r="H20773" t="str">
        <f t="shared" si="374"/>
        <v/>
      </c>
    </row>
    <row r="20774" spans="8:8" x14ac:dyDescent="0.3">
      <c r="H20774" t="str">
        <f t="shared" si="374"/>
        <v/>
      </c>
    </row>
    <row r="20775" spans="8:8" x14ac:dyDescent="0.3">
      <c r="H20775" t="str">
        <f t="shared" si="374"/>
        <v/>
      </c>
    </row>
    <row r="20776" spans="8:8" x14ac:dyDescent="0.3">
      <c r="H20776" t="str">
        <f t="shared" si="374"/>
        <v/>
      </c>
    </row>
    <row r="20777" spans="8:8" x14ac:dyDescent="0.3">
      <c r="H20777" t="str">
        <f t="shared" si="374"/>
        <v/>
      </c>
    </row>
    <row r="20778" spans="8:8" x14ac:dyDescent="0.3">
      <c r="H20778" t="str">
        <f t="shared" si="374"/>
        <v/>
      </c>
    </row>
    <row r="20779" spans="8:8" x14ac:dyDescent="0.3">
      <c r="H20779" t="str">
        <f t="shared" si="374"/>
        <v/>
      </c>
    </row>
    <row r="20780" spans="8:8" x14ac:dyDescent="0.3">
      <c r="H20780" t="str">
        <f t="shared" si="374"/>
        <v/>
      </c>
    </row>
    <row r="20781" spans="8:8" x14ac:dyDescent="0.3">
      <c r="H20781" t="str">
        <f t="shared" si="374"/>
        <v/>
      </c>
    </row>
    <row r="20782" spans="8:8" x14ac:dyDescent="0.3">
      <c r="H20782" t="str">
        <f t="shared" si="374"/>
        <v/>
      </c>
    </row>
    <row r="20783" spans="8:8" x14ac:dyDescent="0.3">
      <c r="H20783" t="str">
        <f t="shared" si="374"/>
        <v/>
      </c>
    </row>
    <row r="20784" spans="8:8" x14ac:dyDescent="0.3">
      <c r="H20784" t="str">
        <f t="shared" si="374"/>
        <v/>
      </c>
    </row>
    <row r="20785" spans="8:8" x14ac:dyDescent="0.3">
      <c r="H20785" t="str">
        <f t="shared" si="374"/>
        <v/>
      </c>
    </row>
    <row r="20786" spans="8:8" x14ac:dyDescent="0.3">
      <c r="H20786" t="str">
        <f t="shared" si="374"/>
        <v/>
      </c>
    </row>
    <row r="20787" spans="8:8" x14ac:dyDescent="0.3">
      <c r="H20787" t="str">
        <f t="shared" si="374"/>
        <v/>
      </c>
    </row>
    <row r="20788" spans="8:8" x14ac:dyDescent="0.3">
      <c r="H20788" t="str">
        <f t="shared" si="374"/>
        <v/>
      </c>
    </row>
    <row r="20789" spans="8:8" x14ac:dyDescent="0.3">
      <c r="H20789" t="str">
        <f t="shared" si="374"/>
        <v/>
      </c>
    </row>
    <row r="20790" spans="8:8" x14ac:dyDescent="0.3">
      <c r="H20790" t="str">
        <f t="shared" si="374"/>
        <v/>
      </c>
    </row>
    <row r="20791" spans="8:8" x14ac:dyDescent="0.3">
      <c r="H20791" t="str">
        <f t="shared" si="374"/>
        <v/>
      </c>
    </row>
    <row r="20792" spans="8:8" x14ac:dyDescent="0.3">
      <c r="H20792" t="str">
        <f t="shared" si="374"/>
        <v/>
      </c>
    </row>
    <row r="20793" spans="8:8" x14ac:dyDescent="0.3">
      <c r="H20793" t="str">
        <f t="shared" si="374"/>
        <v/>
      </c>
    </row>
    <row r="20794" spans="8:8" x14ac:dyDescent="0.3">
      <c r="H20794" t="str">
        <f t="shared" si="374"/>
        <v/>
      </c>
    </row>
    <row r="20795" spans="8:8" x14ac:dyDescent="0.3">
      <c r="H20795" t="str">
        <f t="shared" si="374"/>
        <v/>
      </c>
    </row>
    <row r="20796" spans="8:8" x14ac:dyDescent="0.3">
      <c r="H20796" t="str">
        <f t="shared" si="374"/>
        <v/>
      </c>
    </row>
    <row r="20797" spans="8:8" x14ac:dyDescent="0.3">
      <c r="H20797" t="str">
        <f t="shared" si="374"/>
        <v/>
      </c>
    </row>
    <row r="20798" spans="8:8" x14ac:dyDescent="0.3">
      <c r="H20798" t="str">
        <f t="shared" si="374"/>
        <v/>
      </c>
    </row>
    <row r="20799" spans="8:8" x14ac:dyDescent="0.3">
      <c r="H20799" t="str">
        <f t="shared" si="374"/>
        <v/>
      </c>
    </row>
    <row r="20800" spans="8:8" x14ac:dyDescent="0.3">
      <c r="H20800" t="str">
        <f t="shared" si="374"/>
        <v/>
      </c>
    </row>
    <row r="20801" spans="8:8" x14ac:dyDescent="0.3">
      <c r="H20801" t="str">
        <f t="shared" si="374"/>
        <v/>
      </c>
    </row>
    <row r="20802" spans="8:8" x14ac:dyDescent="0.3">
      <c r="H20802" t="str">
        <f t="shared" si="374"/>
        <v/>
      </c>
    </row>
    <row r="20803" spans="8:8" x14ac:dyDescent="0.3">
      <c r="H20803" t="str">
        <f t="shared" si="374"/>
        <v/>
      </c>
    </row>
    <row r="20804" spans="8:8" x14ac:dyDescent="0.3">
      <c r="H20804" t="str">
        <f t="shared" si="374"/>
        <v/>
      </c>
    </row>
    <row r="20805" spans="8:8" x14ac:dyDescent="0.3">
      <c r="H20805" t="str">
        <f t="shared" si="374"/>
        <v/>
      </c>
    </row>
    <row r="20806" spans="8:8" x14ac:dyDescent="0.3">
      <c r="H20806" t="str">
        <f t="shared" si="374"/>
        <v/>
      </c>
    </row>
    <row r="20807" spans="8:8" x14ac:dyDescent="0.3">
      <c r="H20807" t="str">
        <f t="shared" si="374"/>
        <v/>
      </c>
    </row>
    <row r="20808" spans="8:8" x14ac:dyDescent="0.3">
      <c r="H20808" t="str">
        <f t="shared" si="374"/>
        <v/>
      </c>
    </row>
    <row r="20809" spans="8:8" x14ac:dyDescent="0.3">
      <c r="H20809" t="str">
        <f t="shared" si="374"/>
        <v/>
      </c>
    </row>
    <row r="20810" spans="8:8" x14ac:dyDescent="0.3">
      <c r="H20810" t="str">
        <f t="shared" si="374"/>
        <v/>
      </c>
    </row>
    <row r="20811" spans="8:8" x14ac:dyDescent="0.3">
      <c r="H20811" t="str">
        <f t="shared" si="374"/>
        <v/>
      </c>
    </row>
    <row r="20812" spans="8:8" x14ac:dyDescent="0.3">
      <c r="H20812" t="str">
        <f t="shared" si="374"/>
        <v/>
      </c>
    </row>
    <row r="20813" spans="8:8" x14ac:dyDescent="0.3">
      <c r="H20813" t="str">
        <f t="shared" si="374"/>
        <v/>
      </c>
    </row>
    <row r="20814" spans="8:8" x14ac:dyDescent="0.3">
      <c r="H20814" t="str">
        <f t="shared" si="374"/>
        <v/>
      </c>
    </row>
    <row r="20815" spans="8:8" x14ac:dyDescent="0.3">
      <c r="H20815" t="str">
        <f t="shared" si="374"/>
        <v/>
      </c>
    </row>
    <row r="20816" spans="8:8" x14ac:dyDescent="0.3">
      <c r="H20816" t="str">
        <f t="shared" si="374"/>
        <v/>
      </c>
    </row>
    <row r="20817" spans="8:8" x14ac:dyDescent="0.3">
      <c r="H20817" t="str">
        <f t="shared" si="374"/>
        <v/>
      </c>
    </row>
    <row r="20818" spans="8:8" x14ac:dyDescent="0.3">
      <c r="H20818" t="str">
        <f t="shared" si="374"/>
        <v/>
      </c>
    </row>
    <row r="20819" spans="8:8" x14ac:dyDescent="0.3">
      <c r="H20819" t="str">
        <f t="shared" si="374"/>
        <v/>
      </c>
    </row>
    <row r="20820" spans="8:8" x14ac:dyDescent="0.3">
      <c r="H20820" t="str">
        <f t="shared" si="374"/>
        <v/>
      </c>
    </row>
    <row r="20821" spans="8:8" x14ac:dyDescent="0.3">
      <c r="H20821" t="str">
        <f t="shared" si="374"/>
        <v/>
      </c>
    </row>
    <row r="20822" spans="8:8" x14ac:dyDescent="0.3">
      <c r="H20822" t="str">
        <f t="shared" si="374"/>
        <v/>
      </c>
    </row>
    <row r="20823" spans="8:8" x14ac:dyDescent="0.3">
      <c r="H20823" t="str">
        <f t="shared" ref="H20823:H20886" si="375">IF(B20823="","",$C$12)</f>
        <v/>
      </c>
    </row>
    <row r="20824" spans="8:8" x14ac:dyDescent="0.3">
      <c r="H20824" t="str">
        <f t="shared" si="375"/>
        <v/>
      </c>
    </row>
    <row r="20825" spans="8:8" x14ac:dyDescent="0.3">
      <c r="H20825" t="str">
        <f t="shared" si="375"/>
        <v/>
      </c>
    </row>
    <row r="20826" spans="8:8" x14ac:dyDescent="0.3">
      <c r="H20826" t="str">
        <f t="shared" si="375"/>
        <v/>
      </c>
    </row>
    <row r="20827" spans="8:8" x14ac:dyDescent="0.3">
      <c r="H20827" t="str">
        <f t="shared" si="375"/>
        <v/>
      </c>
    </row>
    <row r="20828" spans="8:8" x14ac:dyDescent="0.3">
      <c r="H20828" t="str">
        <f t="shared" si="375"/>
        <v/>
      </c>
    </row>
    <row r="20829" spans="8:8" x14ac:dyDescent="0.3">
      <c r="H20829" t="str">
        <f t="shared" si="375"/>
        <v/>
      </c>
    </row>
    <row r="20830" spans="8:8" x14ac:dyDescent="0.3">
      <c r="H20830" t="str">
        <f t="shared" si="375"/>
        <v/>
      </c>
    </row>
    <row r="20831" spans="8:8" x14ac:dyDescent="0.3">
      <c r="H20831" t="str">
        <f t="shared" si="375"/>
        <v/>
      </c>
    </row>
    <row r="20832" spans="8:8" x14ac:dyDescent="0.3">
      <c r="H20832" t="str">
        <f t="shared" si="375"/>
        <v/>
      </c>
    </row>
    <row r="20833" spans="8:8" x14ac:dyDescent="0.3">
      <c r="H20833" t="str">
        <f t="shared" si="375"/>
        <v/>
      </c>
    </row>
    <row r="20834" spans="8:8" x14ac:dyDescent="0.3">
      <c r="H20834" t="str">
        <f t="shared" si="375"/>
        <v/>
      </c>
    </row>
    <row r="20835" spans="8:8" x14ac:dyDescent="0.3">
      <c r="H20835" t="str">
        <f t="shared" si="375"/>
        <v/>
      </c>
    </row>
    <row r="20836" spans="8:8" x14ac:dyDescent="0.3">
      <c r="H20836" t="str">
        <f t="shared" si="375"/>
        <v/>
      </c>
    </row>
    <row r="20837" spans="8:8" x14ac:dyDescent="0.3">
      <c r="H20837" t="str">
        <f t="shared" si="375"/>
        <v/>
      </c>
    </row>
    <row r="20838" spans="8:8" x14ac:dyDescent="0.3">
      <c r="H20838" t="str">
        <f t="shared" si="375"/>
        <v/>
      </c>
    </row>
    <row r="20839" spans="8:8" x14ac:dyDescent="0.3">
      <c r="H20839" t="str">
        <f t="shared" si="375"/>
        <v/>
      </c>
    </row>
    <row r="20840" spans="8:8" x14ac:dyDescent="0.3">
      <c r="H20840" t="str">
        <f t="shared" si="375"/>
        <v/>
      </c>
    </row>
    <row r="20841" spans="8:8" x14ac:dyDescent="0.3">
      <c r="H20841" t="str">
        <f t="shared" si="375"/>
        <v/>
      </c>
    </row>
    <row r="20842" spans="8:8" x14ac:dyDescent="0.3">
      <c r="H20842" t="str">
        <f t="shared" si="375"/>
        <v/>
      </c>
    </row>
    <row r="20843" spans="8:8" x14ac:dyDescent="0.3">
      <c r="H20843" t="str">
        <f t="shared" si="375"/>
        <v/>
      </c>
    </row>
    <row r="20844" spans="8:8" x14ac:dyDescent="0.3">
      <c r="H20844" t="str">
        <f t="shared" si="375"/>
        <v/>
      </c>
    </row>
    <row r="20845" spans="8:8" x14ac:dyDescent="0.3">
      <c r="H20845" t="str">
        <f t="shared" si="375"/>
        <v/>
      </c>
    </row>
    <row r="20846" spans="8:8" x14ac:dyDescent="0.3">
      <c r="H20846" t="str">
        <f t="shared" si="375"/>
        <v/>
      </c>
    </row>
    <row r="20847" spans="8:8" x14ac:dyDescent="0.3">
      <c r="H20847" t="str">
        <f t="shared" si="375"/>
        <v/>
      </c>
    </row>
    <row r="20848" spans="8:8" x14ac:dyDescent="0.3">
      <c r="H20848" t="str">
        <f t="shared" si="375"/>
        <v/>
      </c>
    </row>
    <row r="20849" spans="8:8" x14ac:dyDescent="0.3">
      <c r="H20849" t="str">
        <f t="shared" si="375"/>
        <v/>
      </c>
    </row>
    <row r="20850" spans="8:8" x14ac:dyDescent="0.3">
      <c r="H20850" t="str">
        <f t="shared" si="375"/>
        <v/>
      </c>
    </row>
    <row r="20851" spans="8:8" x14ac:dyDescent="0.3">
      <c r="H20851" t="str">
        <f t="shared" si="375"/>
        <v/>
      </c>
    </row>
    <row r="20852" spans="8:8" x14ac:dyDescent="0.3">
      <c r="H20852" t="str">
        <f t="shared" si="375"/>
        <v/>
      </c>
    </row>
    <row r="20853" spans="8:8" x14ac:dyDescent="0.3">
      <c r="H20853" t="str">
        <f t="shared" si="375"/>
        <v/>
      </c>
    </row>
    <row r="20854" spans="8:8" x14ac:dyDescent="0.3">
      <c r="H20854" t="str">
        <f t="shared" si="375"/>
        <v/>
      </c>
    </row>
    <row r="20855" spans="8:8" x14ac:dyDescent="0.3">
      <c r="H20855" t="str">
        <f t="shared" si="375"/>
        <v/>
      </c>
    </row>
    <row r="20856" spans="8:8" x14ac:dyDescent="0.3">
      <c r="H20856" t="str">
        <f t="shared" si="375"/>
        <v/>
      </c>
    </row>
    <row r="20857" spans="8:8" x14ac:dyDescent="0.3">
      <c r="H20857" t="str">
        <f t="shared" si="375"/>
        <v/>
      </c>
    </row>
    <row r="20858" spans="8:8" x14ac:dyDescent="0.3">
      <c r="H20858" t="str">
        <f t="shared" si="375"/>
        <v/>
      </c>
    </row>
    <row r="20859" spans="8:8" x14ac:dyDescent="0.3">
      <c r="H20859" t="str">
        <f t="shared" si="375"/>
        <v/>
      </c>
    </row>
    <row r="20860" spans="8:8" x14ac:dyDescent="0.3">
      <c r="H20860" t="str">
        <f t="shared" si="375"/>
        <v/>
      </c>
    </row>
    <row r="20861" spans="8:8" x14ac:dyDescent="0.3">
      <c r="H20861" t="str">
        <f t="shared" si="375"/>
        <v/>
      </c>
    </row>
    <row r="20862" spans="8:8" x14ac:dyDescent="0.3">
      <c r="H20862" t="str">
        <f t="shared" si="375"/>
        <v/>
      </c>
    </row>
    <row r="20863" spans="8:8" x14ac:dyDescent="0.3">
      <c r="H20863" t="str">
        <f t="shared" si="375"/>
        <v/>
      </c>
    </row>
    <row r="20864" spans="8:8" x14ac:dyDescent="0.3">
      <c r="H20864" t="str">
        <f t="shared" si="375"/>
        <v/>
      </c>
    </row>
    <row r="20865" spans="8:8" x14ac:dyDescent="0.3">
      <c r="H20865" t="str">
        <f t="shared" si="375"/>
        <v/>
      </c>
    </row>
    <row r="20866" spans="8:8" x14ac:dyDescent="0.3">
      <c r="H20866" t="str">
        <f t="shared" si="375"/>
        <v/>
      </c>
    </row>
    <row r="20867" spans="8:8" x14ac:dyDescent="0.3">
      <c r="H20867" t="str">
        <f t="shared" si="375"/>
        <v/>
      </c>
    </row>
    <row r="20868" spans="8:8" x14ac:dyDescent="0.3">
      <c r="H20868" t="str">
        <f t="shared" si="375"/>
        <v/>
      </c>
    </row>
    <row r="20869" spans="8:8" x14ac:dyDescent="0.3">
      <c r="H20869" t="str">
        <f t="shared" si="375"/>
        <v/>
      </c>
    </row>
    <row r="20870" spans="8:8" x14ac:dyDescent="0.3">
      <c r="H20870" t="str">
        <f t="shared" si="375"/>
        <v/>
      </c>
    </row>
    <row r="20871" spans="8:8" x14ac:dyDescent="0.3">
      <c r="H20871" t="str">
        <f t="shared" si="375"/>
        <v/>
      </c>
    </row>
    <row r="20872" spans="8:8" x14ac:dyDescent="0.3">
      <c r="H20872" t="str">
        <f t="shared" si="375"/>
        <v/>
      </c>
    </row>
    <row r="20873" spans="8:8" x14ac:dyDescent="0.3">
      <c r="H20873" t="str">
        <f t="shared" si="375"/>
        <v/>
      </c>
    </row>
    <row r="20874" spans="8:8" x14ac:dyDescent="0.3">
      <c r="H20874" t="str">
        <f t="shared" si="375"/>
        <v/>
      </c>
    </row>
    <row r="20875" spans="8:8" x14ac:dyDescent="0.3">
      <c r="H20875" t="str">
        <f t="shared" si="375"/>
        <v/>
      </c>
    </row>
    <row r="20876" spans="8:8" x14ac:dyDescent="0.3">
      <c r="H20876" t="str">
        <f t="shared" si="375"/>
        <v/>
      </c>
    </row>
    <row r="20877" spans="8:8" x14ac:dyDescent="0.3">
      <c r="H20877" t="str">
        <f t="shared" si="375"/>
        <v/>
      </c>
    </row>
    <row r="20878" spans="8:8" x14ac:dyDescent="0.3">
      <c r="H20878" t="str">
        <f t="shared" si="375"/>
        <v/>
      </c>
    </row>
    <row r="20879" spans="8:8" x14ac:dyDescent="0.3">
      <c r="H20879" t="str">
        <f t="shared" si="375"/>
        <v/>
      </c>
    </row>
    <row r="20880" spans="8:8" x14ac:dyDescent="0.3">
      <c r="H20880" t="str">
        <f t="shared" si="375"/>
        <v/>
      </c>
    </row>
    <row r="20881" spans="8:8" x14ac:dyDescent="0.3">
      <c r="H20881" t="str">
        <f t="shared" si="375"/>
        <v/>
      </c>
    </row>
    <row r="20882" spans="8:8" x14ac:dyDescent="0.3">
      <c r="H20882" t="str">
        <f t="shared" si="375"/>
        <v/>
      </c>
    </row>
    <row r="20883" spans="8:8" x14ac:dyDescent="0.3">
      <c r="H20883" t="str">
        <f t="shared" si="375"/>
        <v/>
      </c>
    </row>
    <row r="20884" spans="8:8" x14ac:dyDescent="0.3">
      <c r="H20884" t="str">
        <f t="shared" si="375"/>
        <v/>
      </c>
    </row>
    <row r="20885" spans="8:8" x14ac:dyDescent="0.3">
      <c r="H20885" t="str">
        <f t="shared" si="375"/>
        <v/>
      </c>
    </row>
    <row r="20886" spans="8:8" x14ac:dyDescent="0.3">
      <c r="H20886" t="str">
        <f t="shared" si="375"/>
        <v/>
      </c>
    </row>
    <row r="20887" spans="8:8" x14ac:dyDescent="0.3">
      <c r="H20887" t="str">
        <f t="shared" ref="H20887:H20950" si="376">IF(B20887="","",$C$12)</f>
        <v/>
      </c>
    </row>
    <row r="20888" spans="8:8" x14ac:dyDescent="0.3">
      <c r="H20888" t="str">
        <f t="shared" si="376"/>
        <v/>
      </c>
    </row>
    <row r="20889" spans="8:8" x14ac:dyDescent="0.3">
      <c r="H20889" t="str">
        <f t="shared" si="376"/>
        <v/>
      </c>
    </row>
    <row r="20890" spans="8:8" x14ac:dyDescent="0.3">
      <c r="H20890" t="str">
        <f t="shared" si="376"/>
        <v/>
      </c>
    </row>
    <row r="20891" spans="8:8" x14ac:dyDescent="0.3">
      <c r="H20891" t="str">
        <f t="shared" si="376"/>
        <v/>
      </c>
    </row>
    <row r="20892" spans="8:8" x14ac:dyDescent="0.3">
      <c r="H20892" t="str">
        <f t="shared" si="376"/>
        <v/>
      </c>
    </row>
    <row r="20893" spans="8:8" x14ac:dyDescent="0.3">
      <c r="H20893" t="str">
        <f t="shared" si="376"/>
        <v/>
      </c>
    </row>
    <row r="20894" spans="8:8" x14ac:dyDescent="0.3">
      <c r="H20894" t="str">
        <f t="shared" si="376"/>
        <v/>
      </c>
    </row>
    <row r="20895" spans="8:8" x14ac:dyDescent="0.3">
      <c r="H20895" t="str">
        <f t="shared" si="376"/>
        <v/>
      </c>
    </row>
    <row r="20896" spans="8:8" x14ac:dyDescent="0.3">
      <c r="H20896" t="str">
        <f t="shared" si="376"/>
        <v/>
      </c>
    </row>
    <row r="20897" spans="8:8" x14ac:dyDescent="0.3">
      <c r="H20897" t="str">
        <f t="shared" si="376"/>
        <v/>
      </c>
    </row>
    <row r="20898" spans="8:8" x14ac:dyDescent="0.3">
      <c r="H20898" t="str">
        <f t="shared" si="376"/>
        <v/>
      </c>
    </row>
    <row r="20899" spans="8:8" x14ac:dyDescent="0.3">
      <c r="H20899" t="str">
        <f t="shared" si="376"/>
        <v/>
      </c>
    </row>
    <row r="20900" spans="8:8" x14ac:dyDescent="0.3">
      <c r="H20900" t="str">
        <f t="shared" si="376"/>
        <v/>
      </c>
    </row>
    <row r="20901" spans="8:8" x14ac:dyDescent="0.3">
      <c r="H20901" t="str">
        <f t="shared" si="376"/>
        <v/>
      </c>
    </row>
    <row r="20902" spans="8:8" x14ac:dyDescent="0.3">
      <c r="H20902" t="str">
        <f t="shared" si="376"/>
        <v/>
      </c>
    </row>
    <row r="20903" spans="8:8" x14ac:dyDescent="0.3">
      <c r="H20903" t="str">
        <f t="shared" si="376"/>
        <v/>
      </c>
    </row>
    <row r="20904" spans="8:8" x14ac:dyDescent="0.3">
      <c r="H20904" t="str">
        <f t="shared" si="376"/>
        <v/>
      </c>
    </row>
    <row r="20905" spans="8:8" x14ac:dyDescent="0.3">
      <c r="H20905" t="str">
        <f t="shared" si="376"/>
        <v/>
      </c>
    </row>
    <row r="20906" spans="8:8" x14ac:dyDescent="0.3">
      <c r="H20906" t="str">
        <f t="shared" si="376"/>
        <v/>
      </c>
    </row>
    <row r="20907" spans="8:8" x14ac:dyDescent="0.3">
      <c r="H20907" t="str">
        <f t="shared" si="376"/>
        <v/>
      </c>
    </row>
    <row r="20908" spans="8:8" x14ac:dyDescent="0.3">
      <c r="H20908" t="str">
        <f t="shared" si="376"/>
        <v/>
      </c>
    </row>
    <row r="20909" spans="8:8" x14ac:dyDescent="0.3">
      <c r="H20909" t="str">
        <f t="shared" si="376"/>
        <v/>
      </c>
    </row>
    <row r="20910" spans="8:8" x14ac:dyDescent="0.3">
      <c r="H20910" t="str">
        <f t="shared" si="376"/>
        <v/>
      </c>
    </row>
    <row r="20911" spans="8:8" x14ac:dyDescent="0.3">
      <c r="H20911" t="str">
        <f t="shared" si="376"/>
        <v/>
      </c>
    </row>
    <row r="20912" spans="8:8" x14ac:dyDescent="0.3">
      <c r="H20912" t="str">
        <f t="shared" si="376"/>
        <v/>
      </c>
    </row>
    <row r="20913" spans="8:8" x14ac:dyDescent="0.3">
      <c r="H20913" t="str">
        <f t="shared" si="376"/>
        <v/>
      </c>
    </row>
    <row r="20914" spans="8:8" x14ac:dyDescent="0.3">
      <c r="H20914" t="str">
        <f t="shared" si="376"/>
        <v/>
      </c>
    </row>
    <row r="20915" spans="8:8" x14ac:dyDescent="0.3">
      <c r="H20915" t="str">
        <f t="shared" si="376"/>
        <v/>
      </c>
    </row>
    <row r="20916" spans="8:8" x14ac:dyDescent="0.3">
      <c r="H20916" t="str">
        <f t="shared" si="376"/>
        <v/>
      </c>
    </row>
    <row r="20917" spans="8:8" x14ac:dyDescent="0.3">
      <c r="H20917" t="str">
        <f t="shared" si="376"/>
        <v/>
      </c>
    </row>
    <row r="20918" spans="8:8" x14ac:dyDescent="0.3">
      <c r="H20918" t="str">
        <f t="shared" si="376"/>
        <v/>
      </c>
    </row>
    <row r="20919" spans="8:8" x14ac:dyDescent="0.3">
      <c r="H20919" t="str">
        <f t="shared" si="376"/>
        <v/>
      </c>
    </row>
    <row r="20920" spans="8:8" x14ac:dyDescent="0.3">
      <c r="H20920" t="str">
        <f t="shared" si="376"/>
        <v/>
      </c>
    </row>
    <row r="20921" spans="8:8" x14ac:dyDescent="0.3">
      <c r="H20921" t="str">
        <f t="shared" si="376"/>
        <v/>
      </c>
    </row>
    <row r="20922" spans="8:8" x14ac:dyDescent="0.3">
      <c r="H20922" t="str">
        <f t="shared" si="376"/>
        <v/>
      </c>
    </row>
    <row r="20923" spans="8:8" x14ac:dyDescent="0.3">
      <c r="H20923" t="str">
        <f t="shared" si="376"/>
        <v/>
      </c>
    </row>
    <row r="20924" spans="8:8" x14ac:dyDescent="0.3">
      <c r="H20924" t="str">
        <f t="shared" si="376"/>
        <v/>
      </c>
    </row>
    <row r="20925" spans="8:8" x14ac:dyDescent="0.3">
      <c r="H20925" t="str">
        <f t="shared" si="376"/>
        <v/>
      </c>
    </row>
    <row r="20926" spans="8:8" x14ac:dyDescent="0.3">
      <c r="H20926" t="str">
        <f t="shared" si="376"/>
        <v/>
      </c>
    </row>
    <row r="20927" spans="8:8" x14ac:dyDescent="0.3">
      <c r="H20927" t="str">
        <f t="shared" si="376"/>
        <v/>
      </c>
    </row>
    <row r="20928" spans="8:8" x14ac:dyDescent="0.3">
      <c r="H20928" t="str">
        <f t="shared" si="376"/>
        <v/>
      </c>
    </row>
    <row r="20929" spans="8:8" x14ac:dyDescent="0.3">
      <c r="H20929" t="str">
        <f t="shared" si="376"/>
        <v/>
      </c>
    </row>
    <row r="20930" spans="8:8" x14ac:dyDescent="0.3">
      <c r="H20930" t="str">
        <f t="shared" si="376"/>
        <v/>
      </c>
    </row>
    <row r="20931" spans="8:8" x14ac:dyDescent="0.3">
      <c r="H20931" t="str">
        <f t="shared" si="376"/>
        <v/>
      </c>
    </row>
    <row r="20932" spans="8:8" x14ac:dyDescent="0.3">
      <c r="H20932" t="str">
        <f t="shared" si="376"/>
        <v/>
      </c>
    </row>
    <row r="20933" spans="8:8" x14ac:dyDescent="0.3">
      <c r="H20933" t="str">
        <f t="shared" si="376"/>
        <v/>
      </c>
    </row>
    <row r="20934" spans="8:8" x14ac:dyDescent="0.3">
      <c r="H20934" t="str">
        <f t="shared" si="376"/>
        <v/>
      </c>
    </row>
    <row r="20935" spans="8:8" x14ac:dyDescent="0.3">
      <c r="H20935" t="str">
        <f t="shared" si="376"/>
        <v/>
      </c>
    </row>
    <row r="20936" spans="8:8" x14ac:dyDescent="0.3">
      <c r="H20936" t="str">
        <f t="shared" si="376"/>
        <v/>
      </c>
    </row>
    <row r="20937" spans="8:8" x14ac:dyDescent="0.3">
      <c r="H20937" t="str">
        <f t="shared" si="376"/>
        <v/>
      </c>
    </row>
    <row r="20938" spans="8:8" x14ac:dyDescent="0.3">
      <c r="H20938" t="str">
        <f t="shared" si="376"/>
        <v/>
      </c>
    </row>
    <row r="20939" spans="8:8" x14ac:dyDescent="0.3">
      <c r="H20939" t="str">
        <f t="shared" si="376"/>
        <v/>
      </c>
    </row>
    <row r="20940" spans="8:8" x14ac:dyDescent="0.3">
      <c r="H20940" t="str">
        <f t="shared" si="376"/>
        <v/>
      </c>
    </row>
    <row r="20941" spans="8:8" x14ac:dyDescent="0.3">
      <c r="H20941" t="str">
        <f t="shared" si="376"/>
        <v/>
      </c>
    </row>
    <row r="20942" spans="8:8" x14ac:dyDescent="0.3">
      <c r="H20942" t="str">
        <f t="shared" si="376"/>
        <v/>
      </c>
    </row>
    <row r="20943" spans="8:8" x14ac:dyDescent="0.3">
      <c r="H20943" t="str">
        <f t="shared" si="376"/>
        <v/>
      </c>
    </row>
    <row r="20944" spans="8:8" x14ac:dyDescent="0.3">
      <c r="H20944" t="str">
        <f t="shared" si="376"/>
        <v/>
      </c>
    </row>
    <row r="20945" spans="8:8" x14ac:dyDescent="0.3">
      <c r="H20945" t="str">
        <f t="shared" si="376"/>
        <v/>
      </c>
    </row>
    <row r="20946" spans="8:8" x14ac:dyDescent="0.3">
      <c r="H20946" t="str">
        <f t="shared" si="376"/>
        <v/>
      </c>
    </row>
    <row r="20947" spans="8:8" x14ac:dyDescent="0.3">
      <c r="H20947" t="str">
        <f t="shared" si="376"/>
        <v/>
      </c>
    </row>
    <row r="20948" spans="8:8" x14ac:dyDescent="0.3">
      <c r="H20948" t="str">
        <f t="shared" si="376"/>
        <v/>
      </c>
    </row>
    <row r="20949" spans="8:8" x14ac:dyDescent="0.3">
      <c r="H20949" t="str">
        <f t="shared" si="376"/>
        <v/>
      </c>
    </row>
    <row r="20950" spans="8:8" x14ac:dyDescent="0.3">
      <c r="H20950" t="str">
        <f t="shared" si="376"/>
        <v/>
      </c>
    </row>
    <row r="20951" spans="8:8" x14ac:dyDescent="0.3">
      <c r="H20951" t="str">
        <f t="shared" ref="H20951:H21014" si="377">IF(B20951="","",$C$12)</f>
        <v/>
      </c>
    </row>
    <row r="20952" spans="8:8" x14ac:dyDescent="0.3">
      <c r="H20952" t="str">
        <f t="shared" si="377"/>
        <v/>
      </c>
    </row>
    <row r="20953" spans="8:8" x14ac:dyDescent="0.3">
      <c r="H20953" t="str">
        <f t="shared" si="377"/>
        <v/>
      </c>
    </row>
    <row r="20954" spans="8:8" x14ac:dyDescent="0.3">
      <c r="H20954" t="str">
        <f t="shared" si="377"/>
        <v/>
      </c>
    </row>
    <row r="20955" spans="8:8" x14ac:dyDescent="0.3">
      <c r="H20955" t="str">
        <f t="shared" si="377"/>
        <v/>
      </c>
    </row>
    <row r="20956" spans="8:8" x14ac:dyDescent="0.3">
      <c r="H20956" t="str">
        <f t="shared" si="377"/>
        <v/>
      </c>
    </row>
    <row r="20957" spans="8:8" x14ac:dyDescent="0.3">
      <c r="H20957" t="str">
        <f t="shared" si="377"/>
        <v/>
      </c>
    </row>
    <row r="20958" spans="8:8" x14ac:dyDescent="0.3">
      <c r="H20958" t="str">
        <f t="shared" si="377"/>
        <v/>
      </c>
    </row>
    <row r="20959" spans="8:8" x14ac:dyDescent="0.3">
      <c r="H20959" t="str">
        <f t="shared" si="377"/>
        <v/>
      </c>
    </row>
    <row r="20960" spans="8:8" x14ac:dyDescent="0.3">
      <c r="H20960" t="str">
        <f t="shared" si="377"/>
        <v/>
      </c>
    </row>
    <row r="20961" spans="8:8" x14ac:dyDescent="0.3">
      <c r="H20961" t="str">
        <f t="shared" si="377"/>
        <v/>
      </c>
    </row>
    <row r="20962" spans="8:8" x14ac:dyDescent="0.3">
      <c r="H20962" t="str">
        <f t="shared" si="377"/>
        <v/>
      </c>
    </row>
    <row r="20963" spans="8:8" x14ac:dyDescent="0.3">
      <c r="H20963" t="str">
        <f t="shared" si="377"/>
        <v/>
      </c>
    </row>
    <row r="20964" spans="8:8" x14ac:dyDescent="0.3">
      <c r="H20964" t="str">
        <f t="shared" si="377"/>
        <v/>
      </c>
    </row>
    <row r="20965" spans="8:8" x14ac:dyDescent="0.3">
      <c r="H20965" t="str">
        <f t="shared" si="377"/>
        <v/>
      </c>
    </row>
    <row r="20966" spans="8:8" x14ac:dyDescent="0.3">
      <c r="H20966" t="str">
        <f t="shared" si="377"/>
        <v/>
      </c>
    </row>
    <row r="20967" spans="8:8" x14ac:dyDescent="0.3">
      <c r="H20967" t="str">
        <f t="shared" si="377"/>
        <v/>
      </c>
    </row>
    <row r="20968" spans="8:8" x14ac:dyDescent="0.3">
      <c r="H20968" t="str">
        <f t="shared" si="377"/>
        <v/>
      </c>
    </row>
    <row r="20969" spans="8:8" x14ac:dyDescent="0.3">
      <c r="H20969" t="str">
        <f t="shared" si="377"/>
        <v/>
      </c>
    </row>
    <row r="20970" spans="8:8" x14ac:dyDescent="0.3">
      <c r="H20970" t="str">
        <f t="shared" si="377"/>
        <v/>
      </c>
    </row>
    <row r="20971" spans="8:8" x14ac:dyDescent="0.3">
      <c r="H20971" t="str">
        <f t="shared" si="377"/>
        <v/>
      </c>
    </row>
    <row r="20972" spans="8:8" x14ac:dyDescent="0.3">
      <c r="H20972" t="str">
        <f t="shared" si="377"/>
        <v/>
      </c>
    </row>
    <row r="20973" spans="8:8" x14ac:dyDescent="0.3">
      <c r="H20973" t="str">
        <f t="shared" si="377"/>
        <v/>
      </c>
    </row>
    <row r="20974" spans="8:8" x14ac:dyDescent="0.3">
      <c r="H20974" t="str">
        <f t="shared" si="377"/>
        <v/>
      </c>
    </row>
    <row r="20975" spans="8:8" x14ac:dyDescent="0.3">
      <c r="H20975" t="str">
        <f t="shared" si="377"/>
        <v/>
      </c>
    </row>
    <row r="20976" spans="8:8" x14ac:dyDescent="0.3">
      <c r="H20976" t="str">
        <f t="shared" si="377"/>
        <v/>
      </c>
    </row>
    <row r="20977" spans="8:8" x14ac:dyDescent="0.3">
      <c r="H20977" t="str">
        <f t="shared" si="377"/>
        <v/>
      </c>
    </row>
    <row r="20978" spans="8:8" x14ac:dyDescent="0.3">
      <c r="H20978" t="str">
        <f t="shared" si="377"/>
        <v/>
      </c>
    </row>
    <row r="20979" spans="8:8" x14ac:dyDescent="0.3">
      <c r="H20979" t="str">
        <f t="shared" si="377"/>
        <v/>
      </c>
    </row>
    <row r="20980" spans="8:8" x14ac:dyDescent="0.3">
      <c r="H20980" t="str">
        <f t="shared" si="377"/>
        <v/>
      </c>
    </row>
    <row r="20981" spans="8:8" x14ac:dyDescent="0.3">
      <c r="H20981" t="str">
        <f t="shared" si="377"/>
        <v/>
      </c>
    </row>
    <row r="20982" spans="8:8" x14ac:dyDescent="0.3">
      <c r="H20982" t="str">
        <f t="shared" si="377"/>
        <v/>
      </c>
    </row>
    <row r="20983" spans="8:8" x14ac:dyDescent="0.3">
      <c r="H20983" t="str">
        <f t="shared" si="377"/>
        <v/>
      </c>
    </row>
    <row r="20984" spans="8:8" x14ac:dyDescent="0.3">
      <c r="H20984" t="str">
        <f t="shared" si="377"/>
        <v/>
      </c>
    </row>
    <row r="20985" spans="8:8" x14ac:dyDescent="0.3">
      <c r="H20985" t="str">
        <f t="shared" si="377"/>
        <v/>
      </c>
    </row>
    <row r="20986" spans="8:8" x14ac:dyDescent="0.3">
      <c r="H20986" t="str">
        <f t="shared" si="377"/>
        <v/>
      </c>
    </row>
    <row r="20987" spans="8:8" x14ac:dyDescent="0.3">
      <c r="H20987" t="str">
        <f t="shared" si="377"/>
        <v/>
      </c>
    </row>
    <row r="20988" spans="8:8" x14ac:dyDescent="0.3">
      <c r="H20988" t="str">
        <f t="shared" si="377"/>
        <v/>
      </c>
    </row>
    <row r="20989" spans="8:8" x14ac:dyDescent="0.3">
      <c r="H20989" t="str">
        <f t="shared" si="377"/>
        <v/>
      </c>
    </row>
    <row r="20990" spans="8:8" x14ac:dyDescent="0.3">
      <c r="H20990" t="str">
        <f t="shared" si="377"/>
        <v/>
      </c>
    </row>
    <row r="20991" spans="8:8" x14ac:dyDescent="0.3">
      <c r="H20991" t="str">
        <f t="shared" si="377"/>
        <v/>
      </c>
    </row>
    <row r="20992" spans="8:8" x14ac:dyDescent="0.3">
      <c r="H20992" t="str">
        <f t="shared" si="377"/>
        <v/>
      </c>
    </row>
    <row r="20993" spans="8:8" x14ac:dyDescent="0.3">
      <c r="H20993" t="str">
        <f t="shared" si="377"/>
        <v/>
      </c>
    </row>
    <row r="20994" spans="8:8" x14ac:dyDescent="0.3">
      <c r="H20994" t="str">
        <f t="shared" si="377"/>
        <v/>
      </c>
    </row>
    <row r="20995" spans="8:8" x14ac:dyDescent="0.3">
      <c r="H20995" t="str">
        <f t="shared" si="377"/>
        <v/>
      </c>
    </row>
    <row r="20996" spans="8:8" x14ac:dyDescent="0.3">
      <c r="H20996" t="str">
        <f t="shared" si="377"/>
        <v/>
      </c>
    </row>
    <row r="20997" spans="8:8" x14ac:dyDescent="0.3">
      <c r="H20997" t="str">
        <f t="shared" si="377"/>
        <v/>
      </c>
    </row>
    <row r="20998" spans="8:8" x14ac:dyDescent="0.3">
      <c r="H20998" t="str">
        <f t="shared" si="377"/>
        <v/>
      </c>
    </row>
    <row r="20999" spans="8:8" x14ac:dyDescent="0.3">
      <c r="H20999" t="str">
        <f t="shared" si="377"/>
        <v/>
      </c>
    </row>
    <row r="21000" spans="8:8" x14ac:dyDescent="0.3">
      <c r="H21000" t="str">
        <f t="shared" si="377"/>
        <v/>
      </c>
    </row>
    <row r="21001" spans="8:8" x14ac:dyDescent="0.3">
      <c r="H21001" t="str">
        <f t="shared" si="377"/>
        <v/>
      </c>
    </row>
    <row r="21002" spans="8:8" x14ac:dyDescent="0.3">
      <c r="H21002" t="str">
        <f t="shared" si="377"/>
        <v/>
      </c>
    </row>
    <row r="21003" spans="8:8" x14ac:dyDescent="0.3">
      <c r="H21003" t="str">
        <f t="shared" si="377"/>
        <v/>
      </c>
    </row>
    <row r="21004" spans="8:8" x14ac:dyDescent="0.3">
      <c r="H21004" t="str">
        <f t="shared" si="377"/>
        <v/>
      </c>
    </row>
    <row r="21005" spans="8:8" x14ac:dyDescent="0.3">
      <c r="H21005" t="str">
        <f t="shared" si="377"/>
        <v/>
      </c>
    </row>
    <row r="21006" spans="8:8" x14ac:dyDescent="0.3">
      <c r="H21006" t="str">
        <f t="shared" si="377"/>
        <v/>
      </c>
    </row>
    <row r="21007" spans="8:8" x14ac:dyDescent="0.3">
      <c r="H21007" t="str">
        <f t="shared" si="377"/>
        <v/>
      </c>
    </row>
    <row r="21008" spans="8:8" x14ac:dyDescent="0.3">
      <c r="H21008" t="str">
        <f t="shared" si="377"/>
        <v/>
      </c>
    </row>
    <row r="21009" spans="8:8" x14ac:dyDescent="0.3">
      <c r="H21009" t="str">
        <f t="shared" si="377"/>
        <v/>
      </c>
    </row>
    <row r="21010" spans="8:8" x14ac:dyDescent="0.3">
      <c r="H21010" t="str">
        <f t="shared" si="377"/>
        <v/>
      </c>
    </row>
    <row r="21011" spans="8:8" x14ac:dyDescent="0.3">
      <c r="H21011" t="str">
        <f t="shared" si="377"/>
        <v/>
      </c>
    </row>
    <row r="21012" spans="8:8" x14ac:dyDescent="0.3">
      <c r="H21012" t="str">
        <f t="shared" si="377"/>
        <v/>
      </c>
    </row>
    <row r="21013" spans="8:8" x14ac:dyDescent="0.3">
      <c r="H21013" t="str">
        <f t="shared" si="377"/>
        <v/>
      </c>
    </row>
    <row r="21014" spans="8:8" x14ac:dyDescent="0.3">
      <c r="H21014" t="str">
        <f t="shared" si="377"/>
        <v/>
      </c>
    </row>
    <row r="21015" spans="8:8" x14ac:dyDescent="0.3">
      <c r="H21015" t="str">
        <f t="shared" ref="H21015:H21078" si="378">IF(B21015="","",$C$12)</f>
        <v/>
      </c>
    </row>
    <row r="21016" spans="8:8" x14ac:dyDescent="0.3">
      <c r="H21016" t="str">
        <f t="shared" si="378"/>
        <v/>
      </c>
    </row>
    <row r="21017" spans="8:8" x14ac:dyDescent="0.3">
      <c r="H21017" t="str">
        <f t="shared" si="378"/>
        <v/>
      </c>
    </row>
    <row r="21018" spans="8:8" x14ac:dyDescent="0.3">
      <c r="H21018" t="str">
        <f t="shared" si="378"/>
        <v/>
      </c>
    </row>
    <row r="21019" spans="8:8" x14ac:dyDescent="0.3">
      <c r="H21019" t="str">
        <f t="shared" si="378"/>
        <v/>
      </c>
    </row>
    <row r="21020" spans="8:8" x14ac:dyDescent="0.3">
      <c r="H21020" t="str">
        <f t="shared" si="378"/>
        <v/>
      </c>
    </row>
    <row r="21021" spans="8:8" x14ac:dyDescent="0.3">
      <c r="H21021" t="str">
        <f t="shared" si="378"/>
        <v/>
      </c>
    </row>
    <row r="21022" spans="8:8" x14ac:dyDescent="0.3">
      <c r="H21022" t="str">
        <f t="shared" si="378"/>
        <v/>
      </c>
    </row>
    <row r="21023" spans="8:8" x14ac:dyDescent="0.3">
      <c r="H21023" t="str">
        <f t="shared" si="378"/>
        <v/>
      </c>
    </row>
    <row r="21024" spans="8:8" x14ac:dyDescent="0.3">
      <c r="H21024" t="str">
        <f t="shared" si="378"/>
        <v/>
      </c>
    </row>
    <row r="21025" spans="8:8" x14ac:dyDescent="0.3">
      <c r="H21025" t="str">
        <f t="shared" si="378"/>
        <v/>
      </c>
    </row>
    <row r="21026" spans="8:8" x14ac:dyDescent="0.3">
      <c r="H21026" t="str">
        <f t="shared" si="378"/>
        <v/>
      </c>
    </row>
    <row r="21027" spans="8:8" x14ac:dyDescent="0.3">
      <c r="H21027" t="str">
        <f t="shared" si="378"/>
        <v/>
      </c>
    </row>
    <row r="21028" spans="8:8" x14ac:dyDescent="0.3">
      <c r="H21028" t="str">
        <f t="shared" si="378"/>
        <v/>
      </c>
    </row>
    <row r="21029" spans="8:8" x14ac:dyDescent="0.3">
      <c r="H21029" t="str">
        <f t="shared" si="378"/>
        <v/>
      </c>
    </row>
    <row r="21030" spans="8:8" x14ac:dyDescent="0.3">
      <c r="H21030" t="str">
        <f t="shared" si="378"/>
        <v/>
      </c>
    </row>
    <row r="21031" spans="8:8" x14ac:dyDescent="0.3">
      <c r="H21031" t="str">
        <f t="shared" si="378"/>
        <v/>
      </c>
    </row>
    <row r="21032" spans="8:8" x14ac:dyDescent="0.3">
      <c r="H21032" t="str">
        <f t="shared" si="378"/>
        <v/>
      </c>
    </row>
    <row r="21033" spans="8:8" x14ac:dyDescent="0.3">
      <c r="H21033" t="str">
        <f t="shared" si="378"/>
        <v/>
      </c>
    </row>
    <row r="21034" spans="8:8" x14ac:dyDescent="0.3">
      <c r="H21034" t="str">
        <f t="shared" si="378"/>
        <v/>
      </c>
    </row>
    <row r="21035" spans="8:8" x14ac:dyDescent="0.3">
      <c r="H21035" t="str">
        <f t="shared" si="378"/>
        <v/>
      </c>
    </row>
    <row r="21036" spans="8:8" x14ac:dyDescent="0.3">
      <c r="H21036" t="str">
        <f t="shared" si="378"/>
        <v/>
      </c>
    </row>
    <row r="21037" spans="8:8" x14ac:dyDescent="0.3">
      <c r="H21037" t="str">
        <f t="shared" si="378"/>
        <v/>
      </c>
    </row>
    <row r="21038" spans="8:8" x14ac:dyDescent="0.3">
      <c r="H21038" t="str">
        <f t="shared" si="378"/>
        <v/>
      </c>
    </row>
    <row r="21039" spans="8:8" x14ac:dyDescent="0.3">
      <c r="H21039" t="str">
        <f t="shared" si="378"/>
        <v/>
      </c>
    </row>
    <row r="21040" spans="8:8" x14ac:dyDescent="0.3">
      <c r="H21040" t="str">
        <f t="shared" si="378"/>
        <v/>
      </c>
    </row>
    <row r="21041" spans="8:8" x14ac:dyDescent="0.3">
      <c r="H21041" t="str">
        <f t="shared" si="378"/>
        <v/>
      </c>
    </row>
    <row r="21042" spans="8:8" x14ac:dyDescent="0.3">
      <c r="H21042" t="str">
        <f t="shared" si="378"/>
        <v/>
      </c>
    </row>
    <row r="21043" spans="8:8" x14ac:dyDescent="0.3">
      <c r="H21043" t="str">
        <f t="shared" si="378"/>
        <v/>
      </c>
    </row>
    <row r="21044" spans="8:8" x14ac:dyDescent="0.3">
      <c r="H21044" t="str">
        <f t="shared" si="378"/>
        <v/>
      </c>
    </row>
    <row r="21045" spans="8:8" x14ac:dyDescent="0.3">
      <c r="H21045" t="str">
        <f t="shared" si="378"/>
        <v/>
      </c>
    </row>
    <row r="21046" spans="8:8" x14ac:dyDescent="0.3">
      <c r="H21046" t="str">
        <f t="shared" si="378"/>
        <v/>
      </c>
    </row>
    <row r="21047" spans="8:8" x14ac:dyDescent="0.3">
      <c r="H21047" t="str">
        <f t="shared" si="378"/>
        <v/>
      </c>
    </row>
    <row r="21048" spans="8:8" x14ac:dyDescent="0.3">
      <c r="H21048" t="str">
        <f t="shared" si="378"/>
        <v/>
      </c>
    </row>
    <row r="21049" spans="8:8" x14ac:dyDescent="0.3">
      <c r="H21049" t="str">
        <f t="shared" si="378"/>
        <v/>
      </c>
    </row>
    <row r="21050" spans="8:8" x14ac:dyDescent="0.3">
      <c r="H21050" t="str">
        <f t="shared" si="378"/>
        <v/>
      </c>
    </row>
    <row r="21051" spans="8:8" x14ac:dyDescent="0.3">
      <c r="H21051" t="str">
        <f t="shared" si="378"/>
        <v/>
      </c>
    </row>
    <row r="21052" spans="8:8" x14ac:dyDescent="0.3">
      <c r="H21052" t="str">
        <f t="shared" si="378"/>
        <v/>
      </c>
    </row>
    <row r="21053" spans="8:8" x14ac:dyDescent="0.3">
      <c r="H21053" t="str">
        <f t="shared" si="378"/>
        <v/>
      </c>
    </row>
    <row r="21054" spans="8:8" x14ac:dyDescent="0.3">
      <c r="H21054" t="str">
        <f t="shared" si="378"/>
        <v/>
      </c>
    </row>
    <row r="21055" spans="8:8" x14ac:dyDescent="0.3">
      <c r="H21055" t="str">
        <f t="shared" si="378"/>
        <v/>
      </c>
    </row>
    <row r="21056" spans="8:8" x14ac:dyDescent="0.3">
      <c r="H21056" t="str">
        <f t="shared" si="378"/>
        <v/>
      </c>
    </row>
    <row r="21057" spans="8:8" x14ac:dyDescent="0.3">
      <c r="H21057" t="str">
        <f t="shared" si="378"/>
        <v/>
      </c>
    </row>
    <row r="21058" spans="8:8" x14ac:dyDescent="0.3">
      <c r="H21058" t="str">
        <f t="shared" si="378"/>
        <v/>
      </c>
    </row>
    <row r="21059" spans="8:8" x14ac:dyDescent="0.3">
      <c r="H21059" t="str">
        <f t="shared" si="378"/>
        <v/>
      </c>
    </row>
    <row r="21060" spans="8:8" x14ac:dyDescent="0.3">
      <c r="H21060" t="str">
        <f t="shared" si="378"/>
        <v/>
      </c>
    </row>
    <row r="21061" spans="8:8" x14ac:dyDescent="0.3">
      <c r="H21061" t="str">
        <f t="shared" si="378"/>
        <v/>
      </c>
    </row>
    <row r="21062" spans="8:8" x14ac:dyDescent="0.3">
      <c r="H21062" t="str">
        <f t="shared" si="378"/>
        <v/>
      </c>
    </row>
    <row r="21063" spans="8:8" x14ac:dyDescent="0.3">
      <c r="H21063" t="str">
        <f t="shared" si="378"/>
        <v/>
      </c>
    </row>
    <row r="21064" spans="8:8" x14ac:dyDescent="0.3">
      <c r="H21064" t="str">
        <f t="shared" si="378"/>
        <v/>
      </c>
    </row>
    <row r="21065" spans="8:8" x14ac:dyDescent="0.3">
      <c r="H21065" t="str">
        <f t="shared" si="378"/>
        <v/>
      </c>
    </row>
    <row r="21066" spans="8:8" x14ac:dyDescent="0.3">
      <c r="H21066" t="str">
        <f t="shared" si="378"/>
        <v/>
      </c>
    </row>
    <row r="21067" spans="8:8" x14ac:dyDescent="0.3">
      <c r="H21067" t="str">
        <f t="shared" si="378"/>
        <v/>
      </c>
    </row>
    <row r="21068" spans="8:8" x14ac:dyDescent="0.3">
      <c r="H21068" t="str">
        <f t="shared" si="378"/>
        <v/>
      </c>
    </row>
    <row r="21069" spans="8:8" x14ac:dyDescent="0.3">
      <c r="H21069" t="str">
        <f t="shared" si="378"/>
        <v/>
      </c>
    </row>
    <row r="21070" spans="8:8" x14ac:dyDescent="0.3">
      <c r="H21070" t="str">
        <f t="shared" si="378"/>
        <v/>
      </c>
    </row>
    <row r="21071" spans="8:8" x14ac:dyDescent="0.3">
      <c r="H21071" t="str">
        <f t="shared" si="378"/>
        <v/>
      </c>
    </row>
    <row r="21072" spans="8:8" x14ac:dyDescent="0.3">
      <c r="H21072" t="str">
        <f t="shared" si="378"/>
        <v/>
      </c>
    </row>
    <row r="21073" spans="8:8" x14ac:dyDescent="0.3">
      <c r="H21073" t="str">
        <f t="shared" si="378"/>
        <v/>
      </c>
    </row>
    <row r="21074" spans="8:8" x14ac:dyDescent="0.3">
      <c r="H21074" t="str">
        <f t="shared" si="378"/>
        <v/>
      </c>
    </row>
    <row r="21075" spans="8:8" x14ac:dyDescent="0.3">
      <c r="H21075" t="str">
        <f t="shared" si="378"/>
        <v/>
      </c>
    </row>
    <row r="21076" spans="8:8" x14ac:dyDescent="0.3">
      <c r="H21076" t="str">
        <f t="shared" si="378"/>
        <v/>
      </c>
    </row>
    <row r="21077" spans="8:8" x14ac:dyDescent="0.3">
      <c r="H21077" t="str">
        <f t="shared" si="378"/>
        <v/>
      </c>
    </row>
    <row r="21078" spans="8:8" x14ac:dyDescent="0.3">
      <c r="H21078" t="str">
        <f t="shared" si="378"/>
        <v/>
      </c>
    </row>
    <row r="21079" spans="8:8" x14ac:dyDescent="0.3">
      <c r="H21079" t="str">
        <f t="shared" ref="H21079:H21142" si="379">IF(B21079="","",$C$12)</f>
        <v/>
      </c>
    </row>
    <row r="21080" spans="8:8" x14ac:dyDescent="0.3">
      <c r="H21080" t="str">
        <f t="shared" si="379"/>
        <v/>
      </c>
    </row>
    <row r="21081" spans="8:8" x14ac:dyDescent="0.3">
      <c r="H21081" t="str">
        <f t="shared" si="379"/>
        <v/>
      </c>
    </row>
    <row r="21082" spans="8:8" x14ac:dyDescent="0.3">
      <c r="H21082" t="str">
        <f t="shared" si="379"/>
        <v/>
      </c>
    </row>
    <row r="21083" spans="8:8" x14ac:dyDescent="0.3">
      <c r="H21083" t="str">
        <f t="shared" si="379"/>
        <v/>
      </c>
    </row>
    <row r="21084" spans="8:8" x14ac:dyDescent="0.3">
      <c r="H21084" t="str">
        <f t="shared" si="379"/>
        <v/>
      </c>
    </row>
    <row r="21085" spans="8:8" x14ac:dyDescent="0.3">
      <c r="H21085" t="str">
        <f t="shared" si="379"/>
        <v/>
      </c>
    </row>
    <row r="21086" spans="8:8" x14ac:dyDescent="0.3">
      <c r="H21086" t="str">
        <f t="shared" si="379"/>
        <v/>
      </c>
    </row>
    <row r="21087" spans="8:8" x14ac:dyDescent="0.3">
      <c r="H21087" t="str">
        <f t="shared" si="379"/>
        <v/>
      </c>
    </row>
    <row r="21088" spans="8:8" x14ac:dyDescent="0.3">
      <c r="H21088" t="str">
        <f t="shared" si="379"/>
        <v/>
      </c>
    </row>
    <row r="21089" spans="8:8" x14ac:dyDescent="0.3">
      <c r="H21089" t="str">
        <f t="shared" si="379"/>
        <v/>
      </c>
    </row>
    <row r="21090" spans="8:8" x14ac:dyDescent="0.3">
      <c r="H21090" t="str">
        <f t="shared" si="379"/>
        <v/>
      </c>
    </row>
    <row r="21091" spans="8:8" x14ac:dyDescent="0.3">
      <c r="H21091" t="str">
        <f t="shared" si="379"/>
        <v/>
      </c>
    </row>
    <row r="21092" spans="8:8" x14ac:dyDescent="0.3">
      <c r="H21092" t="str">
        <f t="shared" si="379"/>
        <v/>
      </c>
    </row>
    <row r="21093" spans="8:8" x14ac:dyDescent="0.3">
      <c r="H21093" t="str">
        <f t="shared" si="379"/>
        <v/>
      </c>
    </row>
    <row r="21094" spans="8:8" x14ac:dyDescent="0.3">
      <c r="H21094" t="str">
        <f t="shared" si="379"/>
        <v/>
      </c>
    </row>
    <row r="21095" spans="8:8" x14ac:dyDescent="0.3">
      <c r="H21095" t="str">
        <f t="shared" si="379"/>
        <v/>
      </c>
    </row>
    <row r="21096" spans="8:8" x14ac:dyDescent="0.3">
      <c r="H21096" t="str">
        <f t="shared" si="379"/>
        <v/>
      </c>
    </row>
    <row r="21097" spans="8:8" x14ac:dyDescent="0.3">
      <c r="H21097" t="str">
        <f t="shared" si="379"/>
        <v/>
      </c>
    </row>
    <row r="21098" spans="8:8" x14ac:dyDescent="0.3">
      <c r="H21098" t="str">
        <f t="shared" si="379"/>
        <v/>
      </c>
    </row>
    <row r="21099" spans="8:8" x14ac:dyDescent="0.3">
      <c r="H21099" t="str">
        <f t="shared" si="379"/>
        <v/>
      </c>
    </row>
    <row r="21100" spans="8:8" x14ac:dyDescent="0.3">
      <c r="H21100" t="str">
        <f t="shared" si="379"/>
        <v/>
      </c>
    </row>
    <row r="21101" spans="8:8" x14ac:dyDescent="0.3">
      <c r="H21101" t="str">
        <f t="shared" si="379"/>
        <v/>
      </c>
    </row>
    <row r="21102" spans="8:8" x14ac:dyDescent="0.3">
      <c r="H21102" t="str">
        <f t="shared" si="379"/>
        <v/>
      </c>
    </row>
    <row r="21103" spans="8:8" x14ac:dyDescent="0.3">
      <c r="H21103" t="str">
        <f t="shared" si="379"/>
        <v/>
      </c>
    </row>
    <row r="21104" spans="8:8" x14ac:dyDescent="0.3">
      <c r="H21104" t="str">
        <f t="shared" si="379"/>
        <v/>
      </c>
    </row>
    <row r="21105" spans="8:8" x14ac:dyDescent="0.3">
      <c r="H21105" t="str">
        <f t="shared" si="379"/>
        <v/>
      </c>
    </row>
    <row r="21106" spans="8:8" x14ac:dyDescent="0.3">
      <c r="H21106" t="str">
        <f t="shared" si="379"/>
        <v/>
      </c>
    </row>
    <row r="21107" spans="8:8" x14ac:dyDescent="0.3">
      <c r="H21107" t="str">
        <f t="shared" si="379"/>
        <v/>
      </c>
    </row>
    <row r="21108" spans="8:8" x14ac:dyDescent="0.3">
      <c r="H21108" t="str">
        <f t="shared" si="379"/>
        <v/>
      </c>
    </row>
    <row r="21109" spans="8:8" x14ac:dyDescent="0.3">
      <c r="H21109" t="str">
        <f t="shared" si="379"/>
        <v/>
      </c>
    </row>
    <row r="21110" spans="8:8" x14ac:dyDescent="0.3">
      <c r="H21110" t="str">
        <f t="shared" si="379"/>
        <v/>
      </c>
    </row>
    <row r="21111" spans="8:8" x14ac:dyDescent="0.3">
      <c r="H21111" t="str">
        <f t="shared" si="379"/>
        <v/>
      </c>
    </row>
    <row r="21112" spans="8:8" x14ac:dyDescent="0.3">
      <c r="H21112" t="str">
        <f t="shared" si="379"/>
        <v/>
      </c>
    </row>
    <row r="21113" spans="8:8" x14ac:dyDescent="0.3">
      <c r="H21113" t="str">
        <f t="shared" si="379"/>
        <v/>
      </c>
    </row>
    <row r="21114" spans="8:8" x14ac:dyDescent="0.3">
      <c r="H21114" t="str">
        <f t="shared" si="379"/>
        <v/>
      </c>
    </row>
    <row r="21115" spans="8:8" x14ac:dyDescent="0.3">
      <c r="H21115" t="str">
        <f t="shared" si="379"/>
        <v/>
      </c>
    </row>
    <row r="21116" spans="8:8" x14ac:dyDescent="0.3">
      <c r="H21116" t="str">
        <f t="shared" si="379"/>
        <v/>
      </c>
    </row>
    <row r="21117" spans="8:8" x14ac:dyDescent="0.3">
      <c r="H21117" t="str">
        <f t="shared" si="379"/>
        <v/>
      </c>
    </row>
    <row r="21118" spans="8:8" x14ac:dyDescent="0.3">
      <c r="H21118" t="str">
        <f t="shared" si="379"/>
        <v/>
      </c>
    </row>
    <row r="21119" spans="8:8" x14ac:dyDescent="0.3">
      <c r="H21119" t="str">
        <f t="shared" si="379"/>
        <v/>
      </c>
    </row>
    <row r="21120" spans="8:8" x14ac:dyDescent="0.3">
      <c r="H21120" t="str">
        <f t="shared" si="379"/>
        <v/>
      </c>
    </row>
    <row r="21121" spans="8:8" x14ac:dyDescent="0.3">
      <c r="H21121" t="str">
        <f t="shared" si="379"/>
        <v/>
      </c>
    </row>
    <row r="21122" spans="8:8" x14ac:dyDescent="0.3">
      <c r="H21122" t="str">
        <f t="shared" si="379"/>
        <v/>
      </c>
    </row>
    <row r="21123" spans="8:8" x14ac:dyDescent="0.3">
      <c r="H21123" t="str">
        <f t="shared" si="379"/>
        <v/>
      </c>
    </row>
    <row r="21124" spans="8:8" x14ac:dyDescent="0.3">
      <c r="H21124" t="str">
        <f t="shared" si="379"/>
        <v/>
      </c>
    </row>
    <row r="21125" spans="8:8" x14ac:dyDescent="0.3">
      <c r="H21125" t="str">
        <f t="shared" si="379"/>
        <v/>
      </c>
    </row>
    <row r="21126" spans="8:8" x14ac:dyDescent="0.3">
      <c r="H21126" t="str">
        <f t="shared" si="379"/>
        <v/>
      </c>
    </row>
    <row r="21127" spans="8:8" x14ac:dyDescent="0.3">
      <c r="H21127" t="str">
        <f t="shared" si="379"/>
        <v/>
      </c>
    </row>
    <row r="21128" spans="8:8" x14ac:dyDescent="0.3">
      <c r="H21128" t="str">
        <f t="shared" si="379"/>
        <v/>
      </c>
    </row>
    <row r="21129" spans="8:8" x14ac:dyDescent="0.3">
      <c r="H21129" t="str">
        <f t="shared" si="379"/>
        <v/>
      </c>
    </row>
    <row r="21130" spans="8:8" x14ac:dyDescent="0.3">
      <c r="H21130" t="str">
        <f t="shared" si="379"/>
        <v/>
      </c>
    </row>
    <row r="21131" spans="8:8" x14ac:dyDescent="0.3">
      <c r="H21131" t="str">
        <f t="shared" si="379"/>
        <v/>
      </c>
    </row>
    <row r="21132" spans="8:8" x14ac:dyDescent="0.3">
      <c r="H21132" t="str">
        <f t="shared" si="379"/>
        <v/>
      </c>
    </row>
    <row r="21133" spans="8:8" x14ac:dyDescent="0.3">
      <c r="H21133" t="str">
        <f t="shared" si="379"/>
        <v/>
      </c>
    </row>
    <row r="21134" spans="8:8" x14ac:dyDescent="0.3">
      <c r="H21134" t="str">
        <f t="shared" si="379"/>
        <v/>
      </c>
    </row>
    <row r="21135" spans="8:8" x14ac:dyDescent="0.3">
      <c r="H21135" t="str">
        <f t="shared" si="379"/>
        <v/>
      </c>
    </row>
    <row r="21136" spans="8:8" x14ac:dyDescent="0.3">
      <c r="H21136" t="str">
        <f t="shared" si="379"/>
        <v/>
      </c>
    </row>
    <row r="21137" spans="8:8" x14ac:dyDescent="0.3">
      <c r="H21137" t="str">
        <f t="shared" si="379"/>
        <v/>
      </c>
    </row>
    <row r="21138" spans="8:8" x14ac:dyDescent="0.3">
      <c r="H21138" t="str">
        <f t="shared" si="379"/>
        <v/>
      </c>
    </row>
    <row r="21139" spans="8:8" x14ac:dyDescent="0.3">
      <c r="H21139" t="str">
        <f t="shared" si="379"/>
        <v/>
      </c>
    </row>
    <row r="21140" spans="8:8" x14ac:dyDescent="0.3">
      <c r="H21140" t="str">
        <f t="shared" si="379"/>
        <v/>
      </c>
    </row>
    <row r="21141" spans="8:8" x14ac:dyDescent="0.3">
      <c r="H21141" t="str">
        <f t="shared" si="379"/>
        <v/>
      </c>
    </row>
    <row r="21142" spans="8:8" x14ac:dyDescent="0.3">
      <c r="H21142" t="str">
        <f t="shared" si="379"/>
        <v/>
      </c>
    </row>
    <row r="21143" spans="8:8" x14ac:dyDescent="0.3">
      <c r="H21143" t="str">
        <f t="shared" ref="H21143:H21206" si="380">IF(B21143="","",$C$12)</f>
        <v/>
      </c>
    </row>
    <row r="21144" spans="8:8" x14ac:dyDescent="0.3">
      <c r="H21144" t="str">
        <f t="shared" si="380"/>
        <v/>
      </c>
    </row>
    <row r="21145" spans="8:8" x14ac:dyDescent="0.3">
      <c r="H21145" t="str">
        <f t="shared" si="380"/>
        <v/>
      </c>
    </row>
    <row r="21146" spans="8:8" x14ac:dyDescent="0.3">
      <c r="H21146" t="str">
        <f t="shared" si="380"/>
        <v/>
      </c>
    </row>
    <row r="21147" spans="8:8" x14ac:dyDescent="0.3">
      <c r="H21147" t="str">
        <f t="shared" si="380"/>
        <v/>
      </c>
    </row>
    <row r="21148" spans="8:8" x14ac:dyDescent="0.3">
      <c r="H21148" t="str">
        <f t="shared" si="380"/>
        <v/>
      </c>
    </row>
    <row r="21149" spans="8:8" x14ac:dyDescent="0.3">
      <c r="H21149" t="str">
        <f t="shared" si="380"/>
        <v/>
      </c>
    </row>
    <row r="21150" spans="8:8" x14ac:dyDescent="0.3">
      <c r="H21150" t="str">
        <f t="shared" si="380"/>
        <v/>
      </c>
    </row>
    <row r="21151" spans="8:8" x14ac:dyDescent="0.3">
      <c r="H21151" t="str">
        <f t="shared" si="380"/>
        <v/>
      </c>
    </row>
    <row r="21152" spans="8:8" x14ac:dyDescent="0.3">
      <c r="H21152" t="str">
        <f t="shared" si="380"/>
        <v/>
      </c>
    </row>
    <row r="21153" spans="8:8" x14ac:dyDescent="0.3">
      <c r="H21153" t="str">
        <f t="shared" si="380"/>
        <v/>
      </c>
    </row>
    <row r="21154" spans="8:8" x14ac:dyDescent="0.3">
      <c r="H21154" t="str">
        <f t="shared" si="380"/>
        <v/>
      </c>
    </row>
    <row r="21155" spans="8:8" x14ac:dyDescent="0.3">
      <c r="H21155" t="str">
        <f t="shared" si="380"/>
        <v/>
      </c>
    </row>
    <row r="21156" spans="8:8" x14ac:dyDescent="0.3">
      <c r="H21156" t="str">
        <f t="shared" si="380"/>
        <v/>
      </c>
    </row>
    <row r="21157" spans="8:8" x14ac:dyDescent="0.3">
      <c r="H21157" t="str">
        <f t="shared" si="380"/>
        <v/>
      </c>
    </row>
    <row r="21158" spans="8:8" x14ac:dyDescent="0.3">
      <c r="H21158" t="str">
        <f t="shared" si="380"/>
        <v/>
      </c>
    </row>
    <row r="21159" spans="8:8" x14ac:dyDescent="0.3">
      <c r="H21159" t="str">
        <f t="shared" si="380"/>
        <v/>
      </c>
    </row>
    <row r="21160" spans="8:8" x14ac:dyDescent="0.3">
      <c r="H21160" t="str">
        <f t="shared" si="380"/>
        <v/>
      </c>
    </row>
    <row r="21161" spans="8:8" x14ac:dyDescent="0.3">
      <c r="H21161" t="str">
        <f t="shared" si="380"/>
        <v/>
      </c>
    </row>
    <row r="21162" spans="8:8" x14ac:dyDescent="0.3">
      <c r="H21162" t="str">
        <f t="shared" si="380"/>
        <v/>
      </c>
    </row>
    <row r="21163" spans="8:8" x14ac:dyDescent="0.3">
      <c r="H21163" t="str">
        <f t="shared" si="380"/>
        <v/>
      </c>
    </row>
    <row r="21164" spans="8:8" x14ac:dyDescent="0.3">
      <c r="H21164" t="str">
        <f t="shared" si="380"/>
        <v/>
      </c>
    </row>
    <row r="21165" spans="8:8" x14ac:dyDescent="0.3">
      <c r="H21165" t="str">
        <f t="shared" si="380"/>
        <v/>
      </c>
    </row>
    <row r="21166" spans="8:8" x14ac:dyDescent="0.3">
      <c r="H21166" t="str">
        <f t="shared" si="380"/>
        <v/>
      </c>
    </row>
    <row r="21167" spans="8:8" x14ac:dyDescent="0.3">
      <c r="H21167" t="str">
        <f t="shared" si="380"/>
        <v/>
      </c>
    </row>
    <row r="21168" spans="8:8" x14ac:dyDescent="0.3">
      <c r="H21168" t="str">
        <f t="shared" si="380"/>
        <v/>
      </c>
    </row>
    <row r="21169" spans="8:8" x14ac:dyDescent="0.3">
      <c r="H21169" t="str">
        <f t="shared" si="380"/>
        <v/>
      </c>
    </row>
    <row r="21170" spans="8:8" x14ac:dyDescent="0.3">
      <c r="H21170" t="str">
        <f t="shared" si="380"/>
        <v/>
      </c>
    </row>
    <row r="21171" spans="8:8" x14ac:dyDescent="0.3">
      <c r="H21171" t="str">
        <f t="shared" si="380"/>
        <v/>
      </c>
    </row>
    <row r="21172" spans="8:8" x14ac:dyDescent="0.3">
      <c r="H21172" t="str">
        <f t="shared" si="380"/>
        <v/>
      </c>
    </row>
    <row r="21173" spans="8:8" x14ac:dyDescent="0.3">
      <c r="H21173" t="str">
        <f t="shared" si="380"/>
        <v/>
      </c>
    </row>
    <row r="21174" spans="8:8" x14ac:dyDescent="0.3">
      <c r="H21174" t="str">
        <f t="shared" si="380"/>
        <v/>
      </c>
    </row>
    <row r="21175" spans="8:8" x14ac:dyDescent="0.3">
      <c r="H21175" t="str">
        <f t="shared" si="380"/>
        <v/>
      </c>
    </row>
    <row r="21176" spans="8:8" x14ac:dyDescent="0.3">
      <c r="H21176" t="str">
        <f t="shared" si="380"/>
        <v/>
      </c>
    </row>
    <row r="21177" spans="8:8" x14ac:dyDescent="0.3">
      <c r="H21177" t="str">
        <f t="shared" si="380"/>
        <v/>
      </c>
    </row>
    <row r="21178" spans="8:8" x14ac:dyDescent="0.3">
      <c r="H21178" t="str">
        <f t="shared" si="380"/>
        <v/>
      </c>
    </row>
    <row r="21179" spans="8:8" x14ac:dyDescent="0.3">
      <c r="H21179" t="str">
        <f t="shared" si="380"/>
        <v/>
      </c>
    </row>
    <row r="21180" spans="8:8" x14ac:dyDescent="0.3">
      <c r="H21180" t="str">
        <f t="shared" si="380"/>
        <v/>
      </c>
    </row>
    <row r="21181" spans="8:8" x14ac:dyDescent="0.3">
      <c r="H21181" t="str">
        <f t="shared" si="380"/>
        <v/>
      </c>
    </row>
    <row r="21182" spans="8:8" x14ac:dyDescent="0.3">
      <c r="H21182" t="str">
        <f t="shared" si="380"/>
        <v/>
      </c>
    </row>
    <row r="21183" spans="8:8" x14ac:dyDescent="0.3">
      <c r="H21183" t="str">
        <f t="shared" si="380"/>
        <v/>
      </c>
    </row>
    <row r="21184" spans="8:8" x14ac:dyDescent="0.3">
      <c r="H21184" t="str">
        <f t="shared" si="380"/>
        <v/>
      </c>
    </row>
    <row r="21185" spans="8:8" x14ac:dyDescent="0.3">
      <c r="H21185" t="str">
        <f t="shared" si="380"/>
        <v/>
      </c>
    </row>
    <row r="21186" spans="8:8" x14ac:dyDescent="0.3">
      <c r="H21186" t="str">
        <f t="shared" si="380"/>
        <v/>
      </c>
    </row>
    <row r="21187" spans="8:8" x14ac:dyDescent="0.3">
      <c r="H21187" t="str">
        <f t="shared" si="380"/>
        <v/>
      </c>
    </row>
    <row r="21188" spans="8:8" x14ac:dyDescent="0.3">
      <c r="H21188" t="str">
        <f t="shared" si="380"/>
        <v/>
      </c>
    </row>
    <row r="21189" spans="8:8" x14ac:dyDescent="0.3">
      <c r="H21189" t="str">
        <f t="shared" si="380"/>
        <v/>
      </c>
    </row>
    <row r="21190" spans="8:8" x14ac:dyDescent="0.3">
      <c r="H21190" t="str">
        <f t="shared" si="380"/>
        <v/>
      </c>
    </row>
    <row r="21191" spans="8:8" x14ac:dyDescent="0.3">
      <c r="H21191" t="str">
        <f t="shared" si="380"/>
        <v/>
      </c>
    </row>
    <row r="21192" spans="8:8" x14ac:dyDescent="0.3">
      <c r="H21192" t="str">
        <f t="shared" si="380"/>
        <v/>
      </c>
    </row>
    <row r="21193" spans="8:8" x14ac:dyDescent="0.3">
      <c r="H21193" t="str">
        <f t="shared" si="380"/>
        <v/>
      </c>
    </row>
    <row r="21194" spans="8:8" x14ac:dyDescent="0.3">
      <c r="H21194" t="str">
        <f t="shared" si="380"/>
        <v/>
      </c>
    </row>
    <row r="21195" spans="8:8" x14ac:dyDescent="0.3">
      <c r="H21195" t="str">
        <f t="shared" si="380"/>
        <v/>
      </c>
    </row>
    <row r="21196" spans="8:8" x14ac:dyDescent="0.3">
      <c r="H21196" t="str">
        <f t="shared" si="380"/>
        <v/>
      </c>
    </row>
    <row r="21197" spans="8:8" x14ac:dyDescent="0.3">
      <c r="H21197" t="str">
        <f t="shared" si="380"/>
        <v/>
      </c>
    </row>
    <row r="21198" spans="8:8" x14ac:dyDescent="0.3">
      <c r="H21198" t="str">
        <f t="shared" si="380"/>
        <v/>
      </c>
    </row>
    <row r="21199" spans="8:8" x14ac:dyDescent="0.3">
      <c r="H21199" t="str">
        <f t="shared" si="380"/>
        <v/>
      </c>
    </row>
    <row r="21200" spans="8:8" x14ac:dyDescent="0.3">
      <c r="H21200" t="str">
        <f t="shared" si="380"/>
        <v/>
      </c>
    </row>
    <row r="21201" spans="8:8" x14ac:dyDescent="0.3">
      <c r="H21201" t="str">
        <f t="shared" si="380"/>
        <v/>
      </c>
    </row>
    <row r="21202" spans="8:8" x14ac:dyDescent="0.3">
      <c r="H21202" t="str">
        <f t="shared" si="380"/>
        <v/>
      </c>
    </row>
    <row r="21203" spans="8:8" x14ac:dyDescent="0.3">
      <c r="H21203" t="str">
        <f t="shared" si="380"/>
        <v/>
      </c>
    </row>
    <row r="21204" spans="8:8" x14ac:dyDescent="0.3">
      <c r="H21204" t="str">
        <f t="shared" si="380"/>
        <v/>
      </c>
    </row>
    <row r="21205" spans="8:8" x14ac:dyDescent="0.3">
      <c r="H21205" t="str">
        <f t="shared" si="380"/>
        <v/>
      </c>
    </row>
    <row r="21206" spans="8:8" x14ac:dyDescent="0.3">
      <c r="H21206" t="str">
        <f t="shared" si="380"/>
        <v/>
      </c>
    </row>
    <row r="21207" spans="8:8" x14ac:dyDescent="0.3">
      <c r="H21207" t="str">
        <f t="shared" ref="H21207:H21270" si="381">IF(B21207="","",$C$12)</f>
        <v/>
      </c>
    </row>
    <row r="21208" spans="8:8" x14ac:dyDescent="0.3">
      <c r="H21208" t="str">
        <f t="shared" si="381"/>
        <v/>
      </c>
    </row>
    <row r="21209" spans="8:8" x14ac:dyDescent="0.3">
      <c r="H21209" t="str">
        <f t="shared" si="381"/>
        <v/>
      </c>
    </row>
    <row r="21210" spans="8:8" x14ac:dyDescent="0.3">
      <c r="H21210" t="str">
        <f t="shared" si="381"/>
        <v/>
      </c>
    </row>
    <row r="21211" spans="8:8" x14ac:dyDescent="0.3">
      <c r="H21211" t="str">
        <f t="shared" si="381"/>
        <v/>
      </c>
    </row>
    <row r="21212" spans="8:8" x14ac:dyDescent="0.3">
      <c r="H21212" t="str">
        <f t="shared" si="381"/>
        <v/>
      </c>
    </row>
    <row r="21213" spans="8:8" x14ac:dyDescent="0.3">
      <c r="H21213" t="str">
        <f t="shared" si="381"/>
        <v/>
      </c>
    </row>
    <row r="21214" spans="8:8" x14ac:dyDescent="0.3">
      <c r="H21214" t="str">
        <f t="shared" si="381"/>
        <v/>
      </c>
    </row>
    <row r="21215" spans="8:8" x14ac:dyDescent="0.3">
      <c r="H21215" t="str">
        <f t="shared" si="381"/>
        <v/>
      </c>
    </row>
    <row r="21216" spans="8:8" x14ac:dyDescent="0.3">
      <c r="H21216" t="str">
        <f t="shared" si="381"/>
        <v/>
      </c>
    </row>
    <row r="21217" spans="8:8" x14ac:dyDescent="0.3">
      <c r="H21217" t="str">
        <f t="shared" si="381"/>
        <v/>
      </c>
    </row>
    <row r="21218" spans="8:8" x14ac:dyDescent="0.3">
      <c r="H21218" t="str">
        <f t="shared" si="381"/>
        <v/>
      </c>
    </row>
    <row r="21219" spans="8:8" x14ac:dyDescent="0.3">
      <c r="H21219" t="str">
        <f t="shared" si="381"/>
        <v/>
      </c>
    </row>
    <row r="21220" spans="8:8" x14ac:dyDescent="0.3">
      <c r="H21220" t="str">
        <f t="shared" si="381"/>
        <v/>
      </c>
    </row>
    <row r="21221" spans="8:8" x14ac:dyDescent="0.3">
      <c r="H21221" t="str">
        <f t="shared" si="381"/>
        <v/>
      </c>
    </row>
    <row r="21222" spans="8:8" x14ac:dyDescent="0.3">
      <c r="H21222" t="str">
        <f t="shared" si="381"/>
        <v/>
      </c>
    </row>
    <row r="21223" spans="8:8" x14ac:dyDescent="0.3">
      <c r="H21223" t="str">
        <f t="shared" si="381"/>
        <v/>
      </c>
    </row>
    <row r="21224" spans="8:8" x14ac:dyDescent="0.3">
      <c r="H21224" t="str">
        <f t="shared" si="381"/>
        <v/>
      </c>
    </row>
    <row r="21225" spans="8:8" x14ac:dyDescent="0.3">
      <c r="H21225" t="str">
        <f t="shared" si="381"/>
        <v/>
      </c>
    </row>
    <row r="21226" spans="8:8" x14ac:dyDescent="0.3">
      <c r="H21226" t="str">
        <f t="shared" si="381"/>
        <v/>
      </c>
    </row>
    <row r="21227" spans="8:8" x14ac:dyDescent="0.3">
      <c r="H21227" t="str">
        <f t="shared" si="381"/>
        <v/>
      </c>
    </row>
    <row r="21228" spans="8:8" x14ac:dyDescent="0.3">
      <c r="H21228" t="str">
        <f t="shared" si="381"/>
        <v/>
      </c>
    </row>
    <row r="21229" spans="8:8" x14ac:dyDescent="0.3">
      <c r="H21229" t="str">
        <f t="shared" si="381"/>
        <v/>
      </c>
    </row>
    <row r="21230" spans="8:8" x14ac:dyDescent="0.3">
      <c r="H21230" t="str">
        <f t="shared" si="381"/>
        <v/>
      </c>
    </row>
    <row r="21231" spans="8:8" x14ac:dyDescent="0.3">
      <c r="H21231" t="str">
        <f t="shared" si="381"/>
        <v/>
      </c>
    </row>
    <row r="21232" spans="8:8" x14ac:dyDescent="0.3">
      <c r="H21232" t="str">
        <f t="shared" si="381"/>
        <v/>
      </c>
    </row>
    <row r="21233" spans="8:8" x14ac:dyDescent="0.3">
      <c r="H21233" t="str">
        <f t="shared" si="381"/>
        <v/>
      </c>
    </row>
    <row r="21234" spans="8:8" x14ac:dyDescent="0.3">
      <c r="H21234" t="str">
        <f t="shared" si="381"/>
        <v/>
      </c>
    </row>
    <row r="21235" spans="8:8" x14ac:dyDescent="0.3">
      <c r="H21235" t="str">
        <f t="shared" si="381"/>
        <v/>
      </c>
    </row>
    <row r="21236" spans="8:8" x14ac:dyDescent="0.3">
      <c r="H21236" t="str">
        <f t="shared" si="381"/>
        <v/>
      </c>
    </row>
    <row r="21237" spans="8:8" x14ac:dyDescent="0.3">
      <c r="H21237" t="str">
        <f t="shared" si="381"/>
        <v/>
      </c>
    </row>
    <row r="21238" spans="8:8" x14ac:dyDescent="0.3">
      <c r="H21238" t="str">
        <f t="shared" si="381"/>
        <v/>
      </c>
    </row>
    <row r="21239" spans="8:8" x14ac:dyDescent="0.3">
      <c r="H21239" t="str">
        <f t="shared" si="381"/>
        <v/>
      </c>
    </row>
    <row r="21240" spans="8:8" x14ac:dyDescent="0.3">
      <c r="H21240" t="str">
        <f t="shared" si="381"/>
        <v/>
      </c>
    </row>
    <row r="21241" spans="8:8" x14ac:dyDescent="0.3">
      <c r="H21241" t="str">
        <f t="shared" si="381"/>
        <v/>
      </c>
    </row>
    <row r="21242" spans="8:8" x14ac:dyDescent="0.3">
      <c r="H21242" t="str">
        <f t="shared" si="381"/>
        <v/>
      </c>
    </row>
    <row r="21243" spans="8:8" x14ac:dyDescent="0.3">
      <c r="H21243" t="str">
        <f t="shared" si="381"/>
        <v/>
      </c>
    </row>
    <row r="21244" spans="8:8" x14ac:dyDescent="0.3">
      <c r="H21244" t="str">
        <f t="shared" si="381"/>
        <v/>
      </c>
    </row>
    <row r="21245" spans="8:8" x14ac:dyDescent="0.3">
      <c r="H21245" t="str">
        <f t="shared" si="381"/>
        <v/>
      </c>
    </row>
    <row r="21246" spans="8:8" x14ac:dyDescent="0.3">
      <c r="H21246" t="str">
        <f t="shared" si="381"/>
        <v/>
      </c>
    </row>
    <row r="21247" spans="8:8" x14ac:dyDescent="0.3">
      <c r="H21247" t="str">
        <f t="shared" si="381"/>
        <v/>
      </c>
    </row>
    <row r="21248" spans="8:8" x14ac:dyDescent="0.3">
      <c r="H21248" t="str">
        <f t="shared" si="381"/>
        <v/>
      </c>
    </row>
    <row r="21249" spans="8:8" x14ac:dyDescent="0.3">
      <c r="H21249" t="str">
        <f t="shared" si="381"/>
        <v/>
      </c>
    </row>
    <row r="21250" spans="8:8" x14ac:dyDescent="0.3">
      <c r="H21250" t="str">
        <f t="shared" si="381"/>
        <v/>
      </c>
    </row>
    <row r="21251" spans="8:8" x14ac:dyDescent="0.3">
      <c r="H21251" t="str">
        <f t="shared" si="381"/>
        <v/>
      </c>
    </row>
    <row r="21252" spans="8:8" x14ac:dyDescent="0.3">
      <c r="H21252" t="str">
        <f t="shared" si="381"/>
        <v/>
      </c>
    </row>
    <row r="21253" spans="8:8" x14ac:dyDescent="0.3">
      <c r="H21253" t="str">
        <f t="shared" si="381"/>
        <v/>
      </c>
    </row>
    <row r="21254" spans="8:8" x14ac:dyDescent="0.3">
      <c r="H21254" t="str">
        <f t="shared" si="381"/>
        <v/>
      </c>
    </row>
    <row r="21255" spans="8:8" x14ac:dyDescent="0.3">
      <c r="H21255" t="str">
        <f t="shared" si="381"/>
        <v/>
      </c>
    </row>
    <row r="21256" spans="8:8" x14ac:dyDescent="0.3">
      <c r="H21256" t="str">
        <f t="shared" si="381"/>
        <v/>
      </c>
    </row>
    <row r="21257" spans="8:8" x14ac:dyDescent="0.3">
      <c r="H21257" t="str">
        <f t="shared" si="381"/>
        <v/>
      </c>
    </row>
    <row r="21258" spans="8:8" x14ac:dyDescent="0.3">
      <c r="H21258" t="str">
        <f t="shared" si="381"/>
        <v/>
      </c>
    </row>
    <row r="21259" spans="8:8" x14ac:dyDescent="0.3">
      <c r="H21259" t="str">
        <f t="shared" si="381"/>
        <v/>
      </c>
    </row>
    <row r="21260" spans="8:8" x14ac:dyDescent="0.3">
      <c r="H21260" t="str">
        <f t="shared" si="381"/>
        <v/>
      </c>
    </row>
    <row r="21261" spans="8:8" x14ac:dyDescent="0.3">
      <c r="H21261" t="str">
        <f t="shared" si="381"/>
        <v/>
      </c>
    </row>
    <row r="21262" spans="8:8" x14ac:dyDescent="0.3">
      <c r="H21262" t="str">
        <f t="shared" si="381"/>
        <v/>
      </c>
    </row>
    <row r="21263" spans="8:8" x14ac:dyDescent="0.3">
      <c r="H21263" t="str">
        <f t="shared" si="381"/>
        <v/>
      </c>
    </row>
    <row r="21264" spans="8:8" x14ac:dyDescent="0.3">
      <c r="H21264" t="str">
        <f t="shared" si="381"/>
        <v/>
      </c>
    </row>
    <row r="21265" spans="8:8" x14ac:dyDescent="0.3">
      <c r="H21265" t="str">
        <f t="shared" si="381"/>
        <v/>
      </c>
    </row>
    <row r="21266" spans="8:8" x14ac:dyDescent="0.3">
      <c r="H21266" t="str">
        <f t="shared" si="381"/>
        <v/>
      </c>
    </row>
    <row r="21267" spans="8:8" x14ac:dyDescent="0.3">
      <c r="H21267" t="str">
        <f t="shared" si="381"/>
        <v/>
      </c>
    </row>
    <row r="21268" spans="8:8" x14ac:dyDescent="0.3">
      <c r="H21268" t="str">
        <f t="shared" si="381"/>
        <v/>
      </c>
    </row>
    <row r="21269" spans="8:8" x14ac:dyDescent="0.3">
      <c r="H21269" t="str">
        <f t="shared" si="381"/>
        <v/>
      </c>
    </row>
    <row r="21270" spans="8:8" x14ac:dyDescent="0.3">
      <c r="H21270" t="str">
        <f t="shared" si="381"/>
        <v/>
      </c>
    </row>
    <row r="21271" spans="8:8" x14ac:dyDescent="0.3">
      <c r="H21271" t="str">
        <f t="shared" ref="H21271:H21334" si="382">IF(B21271="","",$C$12)</f>
        <v/>
      </c>
    </row>
    <row r="21272" spans="8:8" x14ac:dyDescent="0.3">
      <c r="H21272" t="str">
        <f t="shared" si="382"/>
        <v/>
      </c>
    </row>
    <row r="21273" spans="8:8" x14ac:dyDescent="0.3">
      <c r="H21273" t="str">
        <f t="shared" si="382"/>
        <v/>
      </c>
    </row>
    <row r="21274" spans="8:8" x14ac:dyDescent="0.3">
      <c r="H21274" t="str">
        <f t="shared" si="382"/>
        <v/>
      </c>
    </row>
    <row r="21275" spans="8:8" x14ac:dyDescent="0.3">
      <c r="H21275" t="str">
        <f t="shared" si="382"/>
        <v/>
      </c>
    </row>
    <row r="21276" spans="8:8" x14ac:dyDescent="0.3">
      <c r="H21276" t="str">
        <f t="shared" si="382"/>
        <v/>
      </c>
    </row>
    <row r="21277" spans="8:8" x14ac:dyDescent="0.3">
      <c r="H21277" t="str">
        <f t="shared" si="382"/>
        <v/>
      </c>
    </row>
    <row r="21278" spans="8:8" x14ac:dyDescent="0.3">
      <c r="H21278" t="str">
        <f t="shared" si="382"/>
        <v/>
      </c>
    </row>
    <row r="21279" spans="8:8" x14ac:dyDescent="0.3">
      <c r="H21279" t="str">
        <f t="shared" si="382"/>
        <v/>
      </c>
    </row>
    <row r="21280" spans="8:8" x14ac:dyDescent="0.3">
      <c r="H21280" t="str">
        <f t="shared" si="382"/>
        <v/>
      </c>
    </row>
    <row r="21281" spans="8:8" x14ac:dyDescent="0.3">
      <c r="H21281" t="str">
        <f t="shared" si="382"/>
        <v/>
      </c>
    </row>
    <row r="21282" spans="8:8" x14ac:dyDescent="0.3">
      <c r="H21282" t="str">
        <f t="shared" si="382"/>
        <v/>
      </c>
    </row>
    <row r="21283" spans="8:8" x14ac:dyDescent="0.3">
      <c r="H21283" t="str">
        <f t="shared" si="382"/>
        <v/>
      </c>
    </row>
    <row r="21284" spans="8:8" x14ac:dyDescent="0.3">
      <c r="H21284" t="str">
        <f t="shared" si="382"/>
        <v/>
      </c>
    </row>
    <row r="21285" spans="8:8" x14ac:dyDescent="0.3">
      <c r="H21285" t="str">
        <f t="shared" si="382"/>
        <v/>
      </c>
    </row>
    <row r="21286" spans="8:8" x14ac:dyDescent="0.3">
      <c r="H21286" t="str">
        <f t="shared" si="382"/>
        <v/>
      </c>
    </row>
    <row r="21287" spans="8:8" x14ac:dyDescent="0.3">
      <c r="H21287" t="str">
        <f t="shared" si="382"/>
        <v/>
      </c>
    </row>
    <row r="21288" spans="8:8" x14ac:dyDescent="0.3">
      <c r="H21288" t="str">
        <f t="shared" si="382"/>
        <v/>
      </c>
    </row>
    <row r="21289" spans="8:8" x14ac:dyDescent="0.3">
      <c r="H21289" t="str">
        <f t="shared" si="382"/>
        <v/>
      </c>
    </row>
    <row r="21290" spans="8:8" x14ac:dyDescent="0.3">
      <c r="H21290" t="str">
        <f t="shared" si="382"/>
        <v/>
      </c>
    </row>
    <row r="21291" spans="8:8" x14ac:dyDescent="0.3">
      <c r="H21291" t="str">
        <f t="shared" si="382"/>
        <v/>
      </c>
    </row>
    <row r="21292" spans="8:8" x14ac:dyDescent="0.3">
      <c r="H21292" t="str">
        <f t="shared" si="382"/>
        <v/>
      </c>
    </row>
    <row r="21293" spans="8:8" x14ac:dyDescent="0.3">
      <c r="H21293" t="str">
        <f t="shared" si="382"/>
        <v/>
      </c>
    </row>
    <row r="21294" spans="8:8" x14ac:dyDescent="0.3">
      <c r="H21294" t="str">
        <f t="shared" si="382"/>
        <v/>
      </c>
    </row>
    <row r="21295" spans="8:8" x14ac:dyDescent="0.3">
      <c r="H21295" t="str">
        <f t="shared" si="382"/>
        <v/>
      </c>
    </row>
    <row r="21296" spans="8:8" x14ac:dyDescent="0.3">
      <c r="H21296" t="str">
        <f t="shared" si="382"/>
        <v/>
      </c>
    </row>
    <row r="21297" spans="8:8" x14ac:dyDescent="0.3">
      <c r="H21297" t="str">
        <f t="shared" si="382"/>
        <v/>
      </c>
    </row>
    <row r="21298" spans="8:8" x14ac:dyDescent="0.3">
      <c r="H21298" t="str">
        <f t="shared" si="382"/>
        <v/>
      </c>
    </row>
    <row r="21299" spans="8:8" x14ac:dyDescent="0.3">
      <c r="H21299" t="str">
        <f t="shared" si="382"/>
        <v/>
      </c>
    </row>
    <row r="21300" spans="8:8" x14ac:dyDescent="0.3">
      <c r="H21300" t="str">
        <f t="shared" si="382"/>
        <v/>
      </c>
    </row>
    <row r="21301" spans="8:8" x14ac:dyDescent="0.3">
      <c r="H21301" t="str">
        <f t="shared" si="382"/>
        <v/>
      </c>
    </row>
    <row r="21302" spans="8:8" x14ac:dyDescent="0.3">
      <c r="H21302" t="str">
        <f t="shared" si="382"/>
        <v/>
      </c>
    </row>
    <row r="21303" spans="8:8" x14ac:dyDescent="0.3">
      <c r="H21303" t="str">
        <f t="shared" si="382"/>
        <v/>
      </c>
    </row>
    <row r="21304" spans="8:8" x14ac:dyDescent="0.3">
      <c r="H21304" t="str">
        <f t="shared" si="382"/>
        <v/>
      </c>
    </row>
    <row r="21305" spans="8:8" x14ac:dyDescent="0.3">
      <c r="H21305" t="str">
        <f t="shared" si="382"/>
        <v/>
      </c>
    </row>
    <row r="21306" spans="8:8" x14ac:dyDescent="0.3">
      <c r="H21306" t="str">
        <f t="shared" si="382"/>
        <v/>
      </c>
    </row>
    <row r="21307" spans="8:8" x14ac:dyDescent="0.3">
      <c r="H21307" t="str">
        <f t="shared" si="382"/>
        <v/>
      </c>
    </row>
    <row r="21308" spans="8:8" x14ac:dyDescent="0.3">
      <c r="H21308" t="str">
        <f t="shared" si="382"/>
        <v/>
      </c>
    </row>
    <row r="21309" spans="8:8" x14ac:dyDescent="0.3">
      <c r="H21309" t="str">
        <f t="shared" si="382"/>
        <v/>
      </c>
    </row>
    <row r="21310" spans="8:8" x14ac:dyDescent="0.3">
      <c r="H21310" t="str">
        <f t="shared" si="382"/>
        <v/>
      </c>
    </row>
    <row r="21311" spans="8:8" x14ac:dyDescent="0.3">
      <c r="H21311" t="str">
        <f t="shared" si="382"/>
        <v/>
      </c>
    </row>
    <row r="21312" spans="8:8" x14ac:dyDescent="0.3">
      <c r="H21312" t="str">
        <f t="shared" si="382"/>
        <v/>
      </c>
    </row>
    <row r="21313" spans="8:8" x14ac:dyDescent="0.3">
      <c r="H21313" t="str">
        <f t="shared" si="382"/>
        <v/>
      </c>
    </row>
    <row r="21314" spans="8:8" x14ac:dyDescent="0.3">
      <c r="H21314" t="str">
        <f t="shared" si="382"/>
        <v/>
      </c>
    </row>
    <row r="21315" spans="8:8" x14ac:dyDescent="0.3">
      <c r="H21315" t="str">
        <f t="shared" si="382"/>
        <v/>
      </c>
    </row>
    <row r="21316" spans="8:8" x14ac:dyDescent="0.3">
      <c r="H21316" t="str">
        <f t="shared" si="382"/>
        <v/>
      </c>
    </row>
    <row r="21317" spans="8:8" x14ac:dyDescent="0.3">
      <c r="H21317" t="str">
        <f t="shared" si="382"/>
        <v/>
      </c>
    </row>
    <row r="21318" spans="8:8" x14ac:dyDescent="0.3">
      <c r="H21318" t="str">
        <f t="shared" si="382"/>
        <v/>
      </c>
    </row>
    <row r="21319" spans="8:8" x14ac:dyDescent="0.3">
      <c r="H21319" t="str">
        <f t="shared" si="382"/>
        <v/>
      </c>
    </row>
    <row r="21320" spans="8:8" x14ac:dyDescent="0.3">
      <c r="H21320" t="str">
        <f t="shared" si="382"/>
        <v/>
      </c>
    </row>
    <row r="21321" spans="8:8" x14ac:dyDescent="0.3">
      <c r="H21321" t="str">
        <f t="shared" si="382"/>
        <v/>
      </c>
    </row>
    <row r="21322" spans="8:8" x14ac:dyDescent="0.3">
      <c r="H21322" t="str">
        <f t="shared" si="382"/>
        <v/>
      </c>
    </row>
    <row r="21323" spans="8:8" x14ac:dyDescent="0.3">
      <c r="H21323" t="str">
        <f t="shared" si="382"/>
        <v/>
      </c>
    </row>
    <row r="21324" spans="8:8" x14ac:dyDescent="0.3">
      <c r="H21324" t="str">
        <f t="shared" si="382"/>
        <v/>
      </c>
    </row>
    <row r="21325" spans="8:8" x14ac:dyDescent="0.3">
      <c r="H21325" t="str">
        <f t="shared" si="382"/>
        <v/>
      </c>
    </row>
    <row r="21326" spans="8:8" x14ac:dyDescent="0.3">
      <c r="H21326" t="str">
        <f t="shared" si="382"/>
        <v/>
      </c>
    </row>
    <row r="21327" spans="8:8" x14ac:dyDescent="0.3">
      <c r="H21327" t="str">
        <f t="shared" si="382"/>
        <v/>
      </c>
    </row>
    <row r="21328" spans="8:8" x14ac:dyDescent="0.3">
      <c r="H21328" t="str">
        <f t="shared" si="382"/>
        <v/>
      </c>
    </row>
    <row r="21329" spans="8:8" x14ac:dyDescent="0.3">
      <c r="H21329" t="str">
        <f t="shared" si="382"/>
        <v/>
      </c>
    </row>
    <row r="21330" spans="8:8" x14ac:dyDescent="0.3">
      <c r="H21330" t="str">
        <f t="shared" si="382"/>
        <v/>
      </c>
    </row>
    <row r="21331" spans="8:8" x14ac:dyDescent="0.3">
      <c r="H21331" t="str">
        <f t="shared" si="382"/>
        <v/>
      </c>
    </row>
    <row r="21332" spans="8:8" x14ac:dyDescent="0.3">
      <c r="H21332" t="str">
        <f t="shared" si="382"/>
        <v/>
      </c>
    </row>
    <row r="21333" spans="8:8" x14ac:dyDescent="0.3">
      <c r="H21333" t="str">
        <f t="shared" si="382"/>
        <v/>
      </c>
    </row>
    <row r="21334" spans="8:8" x14ac:dyDescent="0.3">
      <c r="H21334" t="str">
        <f t="shared" si="382"/>
        <v/>
      </c>
    </row>
    <row r="21335" spans="8:8" x14ac:dyDescent="0.3">
      <c r="H21335" t="str">
        <f t="shared" ref="H21335:H21398" si="383">IF(B21335="","",$C$12)</f>
        <v/>
      </c>
    </row>
    <row r="21336" spans="8:8" x14ac:dyDescent="0.3">
      <c r="H21336" t="str">
        <f t="shared" si="383"/>
        <v/>
      </c>
    </row>
    <row r="21337" spans="8:8" x14ac:dyDescent="0.3">
      <c r="H21337" t="str">
        <f t="shared" si="383"/>
        <v/>
      </c>
    </row>
    <row r="21338" spans="8:8" x14ac:dyDescent="0.3">
      <c r="H21338" t="str">
        <f t="shared" si="383"/>
        <v/>
      </c>
    </row>
    <row r="21339" spans="8:8" x14ac:dyDescent="0.3">
      <c r="H21339" t="str">
        <f t="shared" si="383"/>
        <v/>
      </c>
    </row>
    <row r="21340" spans="8:8" x14ac:dyDescent="0.3">
      <c r="H21340" t="str">
        <f t="shared" si="383"/>
        <v/>
      </c>
    </row>
    <row r="21341" spans="8:8" x14ac:dyDescent="0.3">
      <c r="H21341" t="str">
        <f t="shared" si="383"/>
        <v/>
      </c>
    </row>
    <row r="21342" spans="8:8" x14ac:dyDescent="0.3">
      <c r="H21342" t="str">
        <f t="shared" si="383"/>
        <v/>
      </c>
    </row>
    <row r="21343" spans="8:8" x14ac:dyDescent="0.3">
      <c r="H21343" t="str">
        <f t="shared" si="383"/>
        <v/>
      </c>
    </row>
    <row r="21344" spans="8:8" x14ac:dyDescent="0.3">
      <c r="H21344" t="str">
        <f t="shared" si="383"/>
        <v/>
      </c>
    </row>
    <row r="21345" spans="8:8" x14ac:dyDescent="0.3">
      <c r="H21345" t="str">
        <f t="shared" si="383"/>
        <v/>
      </c>
    </row>
    <row r="21346" spans="8:8" x14ac:dyDescent="0.3">
      <c r="H21346" t="str">
        <f t="shared" si="383"/>
        <v/>
      </c>
    </row>
    <row r="21347" spans="8:8" x14ac:dyDescent="0.3">
      <c r="H21347" t="str">
        <f t="shared" si="383"/>
        <v/>
      </c>
    </row>
    <row r="21348" spans="8:8" x14ac:dyDescent="0.3">
      <c r="H21348" t="str">
        <f t="shared" si="383"/>
        <v/>
      </c>
    </row>
    <row r="21349" spans="8:8" x14ac:dyDescent="0.3">
      <c r="H21349" t="str">
        <f t="shared" si="383"/>
        <v/>
      </c>
    </row>
    <row r="21350" spans="8:8" x14ac:dyDescent="0.3">
      <c r="H21350" t="str">
        <f t="shared" si="383"/>
        <v/>
      </c>
    </row>
    <row r="21351" spans="8:8" x14ac:dyDescent="0.3">
      <c r="H21351" t="str">
        <f t="shared" si="383"/>
        <v/>
      </c>
    </row>
    <row r="21352" spans="8:8" x14ac:dyDescent="0.3">
      <c r="H21352" t="str">
        <f t="shared" si="383"/>
        <v/>
      </c>
    </row>
    <row r="21353" spans="8:8" x14ac:dyDescent="0.3">
      <c r="H21353" t="str">
        <f t="shared" si="383"/>
        <v/>
      </c>
    </row>
    <row r="21354" spans="8:8" x14ac:dyDescent="0.3">
      <c r="H21354" t="str">
        <f t="shared" si="383"/>
        <v/>
      </c>
    </row>
    <row r="21355" spans="8:8" x14ac:dyDescent="0.3">
      <c r="H21355" t="str">
        <f t="shared" si="383"/>
        <v/>
      </c>
    </row>
    <row r="21356" spans="8:8" x14ac:dyDescent="0.3">
      <c r="H21356" t="str">
        <f t="shared" si="383"/>
        <v/>
      </c>
    </row>
    <row r="21357" spans="8:8" x14ac:dyDescent="0.3">
      <c r="H21357" t="str">
        <f t="shared" si="383"/>
        <v/>
      </c>
    </row>
    <row r="21358" spans="8:8" x14ac:dyDescent="0.3">
      <c r="H21358" t="str">
        <f t="shared" si="383"/>
        <v/>
      </c>
    </row>
    <row r="21359" spans="8:8" x14ac:dyDescent="0.3">
      <c r="H21359" t="str">
        <f t="shared" si="383"/>
        <v/>
      </c>
    </row>
    <row r="21360" spans="8:8" x14ac:dyDescent="0.3">
      <c r="H21360" t="str">
        <f t="shared" si="383"/>
        <v/>
      </c>
    </row>
    <row r="21361" spans="8:8" x14ac:dyDescent="0.3">
      <c r="H21361" t="str">
        <f t="shared" si="383"/>
        <v/>
      </c>
    </row>
    <row r="21362" spans="8:8" x14ac:dyDescent="0.3">
      <c r="H21362" t="str">
        <f t="shared" si="383"/>
        <v/>
      </c>
    </row>
    <row r="21363" spans="8:8" x14ac:dyDescent="0.3">
      <c r="H21363" t="str">
        <f t="shared" si="383"/>
        <v/>
      </c>
    </row>
    <row r="21364" spans="8:8" x14ac:dyDescent="0.3">
      <c r="H21364" t="str">
        <f t="shared" si="383"/>
        <v/>
      </c>
    </row>
    <row r="21365" spans="8:8" x14ac:dyDescent="0.3">
      <c r="H21365" t="str">
        <f t="shared" si="383"/>
        <v/>
      </c>
    </row>
    <row r="21366" spans="8:8" x14ac:dyDescent="0.3">
      <c r="H21366" t="str">
        <f t="shared" si="383"/>
        <v/>
      </c>
    </row>
    <row r="21367" spans="8:8" x14ac:dyDescent="0.3">
      <c r="H21367" t="str">
        <f t="shared" si="383"/>
        <v/>
      </c>
    </row>
    <row r="21368" spans="8:8" x14ac:dyDescent="0.3">
      <c r="H21368" t="str">
        <f t="shared" si="383"/>
        <v/>
      </c>
    </row>
    <row r="21369" spans="8:8" x14ac:dyDescent="0.3">
      <c r="H21369" t="str">
        <f t="shared" si="383"/>
        <v/>
      </c>
    </row>
    <row r="21370" spans="8:8" x14ac:dyDescent="0.3">
      <c r="H21370" t="str">
        <f t="shared" si="383"/>
        <v/>
      </c>
    </row>
    <row r="21371" spans="8:8" x14ac:dyDescent="0.3">
      <c r="H21371" t="str">
        <f t="shared" si="383"/>
        <v/>
      </c>
    </row>
    <row r="21372" spans="8:8" x14ac:dyDescent="0.3">
      <c r="H21372" t="str">
        <f t="shared" si="383"/>
        <v/>
      </c>
    </row>
    <row r="21373" spans="8:8" x14ac:dyDescent="0.3">
      <c r="H21373" t="str">
        <f t="shared" si="383"/>
        <v/>
      </c>
    </row>
    <row r="21374" spans="8:8" x14ac:dyDescent="0.3">
      <c r="H21374" t="str">
        <f t="shared" si="383"/>
        <v/>
      </c>
    </row>
    <row r="21375" spans="8:8" x14ac:dyDescent="0.3">
      <c r="H21375" t="str">
        <f t="shared" si="383"/>
        <v/>
      </c>
    </row>
    <row r="21376" spans="8:8" x14ac:dyDescent="0.3">
      <c r="H21376" t="str">
        <f t="shared" si="383"/>
        <v/>
      </c>
    </row>
    <row r="21377" spans="8:8" x14ac:dyDescent="0.3">
      <c r="H21377" t="str">
        <f t="shared" si="383"/>
        <v/>
      </c>
    </row>
    <row r="21378" spans="8:8" x14ac:dyDescent="0.3">
      <c r="H21378" t="str">
        <f t="shared" si="383"/>
        <v/>
      </c>
    </row>
    <row r="21379" spans="8:8" x14ac:dyDescent="0.3">
      <c r="H21379" t="str">
        <f t="shared" si="383"/>
        <v/>
      </c>
    </row>
    <row r="21380" spans="8:8" x14ac:dyDescent="0.3">
      <c r="H21380" t="str">
        <f t="shared" si="383"/>
        <v/>
      </c>
    </row>
    <row r="21381" spans="8:8" x14ac:dyDescent="0.3">
      <c r="H21381" t="str">
        <f t="shared" si="383"/>
        <v/>
      </c>
    </row>
    <row r="21382" spans="8:8" x14ac:dyDescent="0.3">
      <c r="H21382" t="str">
        <f t="shared" si="383"/>
        <v/>
      </c>
    </row>
    <row r="21383" spans="8:8" x14ac:dyDescent="0.3">
      <c r="H21383" t="str">
        <f t="shared" si="383"/>
        <v/>
      </c>
    </row>
    <row r="21384" spans="8:8" x14ac:dyDescent="0.3">
      <c r="H21384" t="str">
        <f t="shared" si="383"/>
        <v/>
      </c>
    </row>
    <row r="21385" spans="8:8" x14ac:dyDescent="0.3">
      <c r="H21385" t="str">
        <f t="shared" si="383"/>
        <v/>
      </c>
    </row>
    <row r="21386" spans="8:8" x14ac:dyDescent="0.3">
      <c r="H21386" t="str">
        <f t="shared" si="383"/>
        <v/>
      </c>
    </row>
    <row r="21387" spans="8:8" x14ac:dyDescent="0.3">
      <c r="H21387" t="str">
        <f t="shared" si="383"/>
        <v/>
      </c>
    </row>
    <row r="21388" spans="8:8" x14ac:dyDescent="0.3">
      <c r="H21388" t="str">
        <f t="shared" si="383"/>
        <v/>
      </c>
    </row>
    <row r="21389" spans="8:8" x14ac:dyDescent="0.3">
      <c r="H21389" t="str">
        <f t="shared" si="383"/>
        <v/>
      </c>
    </row>
    <row r="21390" spans="8:8" x14ac:dyDescent="0.3">
      <c r="H21390" t="str">
        <f t="shared" si="383"/>
        <v/>
      </c>
    </row>
    <row r="21391" spans="8:8" x14ac:dyDescent="0.3">
      <c r="H21391" t="str">
        <f t="shared" si="383"/>
        <v/>
      </c>
    </row>
    <row r="21392" spans="8:8" x14ac:dyDescent="0.3">
      <c r="H21392" t="str">
        <f t="shared" si="383"/>
        <v/>
      </c>
    </row>
    <row r="21393" spans="8:8" x14ac:dyDescent="0.3">
      <c r="H21393" t="str">
        <f t="shared" si="383"/>
        <v/>
      </c>
    </row>
    <row r="21394" spans="8:8" x14ac:dyDescent="0.3">
      <c r="H21394" t="str">
        <f t="shared" si="383"/>
        <v/>
      </c>
    </row>
    <row r="21395" spans="8:8" x14ac:dyDescent="0.3">
      <c r="H21395" t="str">
        <f t="shared" si="383"/>
        <v/>
      </c>
    </row>
    <row r="21396" spans="8:8" x14ac:dyDescent="0.3">
      <c r="H21396" t="str">
        <f t="shared" si="383"/>
        <v/>
      </c>
    </row>
    <row r="21397" spans="8:8" x14ac:dyDescent="0.3">
      <c r="H21397" t="str">
        <f t="shared" si="383"/>
        <v/>
      </c>
    </row>
    <row r="21398" spans="8:8" x14ac:dyDescent="0.3">
      <c r="H21398" t="str">
        <f t="shared" si="383"/>
        <v/>
      </c>
    </row>
    <row r="21399" spans="8:8" x14ac:dyDescent="0.3">
      <c r="H21399" t="str">
        <f t="shared" ref="H21399:H21462" si="384">IF(B21399="","",$C$12)</f>
        <v/>
      </c>
    </row>
    <row r="21400" spans="8:8" x14ac:dyDescent="0.3">
      <c r="H21400" t="str">
        <f t="shared" si="384"/>
        <v/>
      </c>
    </row>
    <row r="21401" spans="8:8" x14ac:dyDescent="0.3">
      <c r="H21401" t="str">
        <f t="shared" si="384"/>
        <v/>
      </c>
    </row>
    <row r="21402" spans="8:8" x14ac:dyDescent="0.3">
      <c r="H21402" t="str">
        <f t="shared" si="384"/>
        <v/>
      </c>
    </row>
    <row r="21403" spans="8:8" x14ac:dyDescent="0.3">
      <c r="H21403" t="str">
        <f t="shared" si="384"/>
        <v/>
      </c>
    </row>
    <row r="21404" spans="8:8" x14ac:dyDescent="0.3">
      <c r="H21404" t="str">
        <f t="shared" si="384"/>
        <v/>
      </c>
    </row>
    <row r="21405" spans="8:8" x14ac:dyDescent="0.3">
      <c r="H21405" t="str">
        <f t="shared" si="384"/>
        <v/>
      </c>
    </row>
    <row r="21406" spans="8:8" x14ac:dyDescent="0.3">
      <c r="H21406" t="str">
        <f t="shared" si="384"/>
        <v/>
      </c>
    </row>
    <row r="21407" spans="8:8" x14ac:dyDescent="0.3">
      <c r="H21407" t="str">
        <f t="shared" si="384"/>
        <v/>
      </c>
    </row>
    <row r="21408" spans="8:8" x14ac:dyDescent="0.3">
      <c r="H21408" t="str">
        <f t="shared" si="384"/>
        <v/>
      </c>
    </row>
    <row r="21409" spans="8:8" x14ac:dyDescent="0.3">
      <c r="H21409" t="str">
        <f t="shared" si="384"/>
        <v/>
      </c>
    </row>
    <row r="21410" spans="8:8" x14ac:dyDescent="0.3">
      <c r="H21410" t="str">
        <f t="shared" si="384"/>
        <v/>
      </c>
    </row>
    <row r="21411" spans="8:8" x14ac:dyDescent="0.3">
      <c r="H21411" t="str">
        <f t="shared" si="384"/>
        <v/>
      </c>
    </row>
    <row r="21412" spans="8:8" x14ac:dyDescent="0.3">
      <c r="H21412" t="str">
        <f t="shared" si="384"/>
        <v/>
      </c>
    </row>
    <row r="21413" spans="8:8" x14ac:dyDescent="0.3">
      <c r="H21413" t="str">
        <f t="shared" si="384"/>
        <v/>
      </c>
    </row>
    <row r="21414" spans="8:8" x14ac:dyDescent="0.3">
      <c r="H21414" t="str">
        <f t="shared" si="384"/>
        <v/>
      </c>
    </row>
    <row r="21415" spans="8:8" x14ac:dyDescent="0.3">
      <c r="H21415" t="str">
        <f t="shared" si="384"/>
        <v/>
      </c>
    </row>
    <row r="21416" spans="8:8" x14ac:dyDescent="0.3">
      <c r="H21416" t="str">
        <f t="shared" si="384"/>
        <v/>
      </c>
    </row>
    <row r="21417" spans="8:8" x14ac:dyDescent="0.3">
      <c r="H21417" t="str">
        <f t="shared" si="384"/>
        <v/>
      </c>
    </row>
    <row r="21418" spans="8:8" x14ac:dyDescent="0.3">
      <c r="H21418" t="str">
        <f t="shared" si="384"/>
        <v/>
      </c>
    </row>
    <row r="21419" spans="8:8" x14ac:dyDescent="0.3">
      <c r="H21419" t="str">
        <f t="shared" si="384"/>
        <v/>
      </c>
    </row>
    <row r="21420" spans="8:8" x14ac:dyDescent="0.3">
      <c r="H21420" t="str">
        <f t="shared" si="384"/>
        <v/>
      </c>
    </row>
    <row r="21421" spans="8:8" x14ac:dyDescent="0.3">
      <c r="H21421" t="str">
        <f t="shared" si="384"/>
        <v/>
      </c>
    </row>
    <row r="21422" spans="8:8" x14ac:dyDescent="0.3">
      <c r="H21422" t="str">
        <f t="shared" si="384"/>
        <v/>
      </c>
    </row>
    <row r="21423" spans="8:8" x14ac:dyDescent="0.3">
      <c r="H21423" t="str">
        <f t="shared" si="384"/>
        <v/>
      </c>
    </row>
    <row r="21424" spans="8:8" x14ac:dyDescent="0.3">
      <c r="H21424" t="str">
        <f t="shared" si="384"/>
        <v/>
      </c>
    </row>
    <row r="21425" spans="8:8" x14ac:dyDescent="0.3">
      <c r="H21425" t="str">
        <f t="shared" si="384"/>
        <v/>
      </c>
    </row>
    <row r="21426" spans="8:8" x14ac:dyDescent="0.3">
      <c r="H21426" t="str">
        <f t="shared" si="384"/>
        <v/>
      </c>
    </row>
    <row r="21427" spans="8:8" x14ac:dyDescent="0.3">
      <c r="H21427" t="str">
        <f t="shared" si="384"/>
        <v/>
      </c>
    </row>
    <row r="21428" spans="8:8" x14ac:dyDescent="0.3">
      <c r="H21428" t="str">
        <f t="shared" si="384"/>
        <v/>
      </c>
    </row>
    <row r="21429" spans="8:8" x14ac:dyDescent="0.3">
      <c r="H21429" t="str">
        <f t="shared" si="384"/>
        <v/>
      </c>
    </row>
    <row r="21430" spans="8:8" x14ac:dyDescent="0.3">
      <c r="H21430" t="str">
        <f t="shared" si="384"/>
        <v/>
      </c>
    </row>
    <row r="21431" spans="8:8" x14ac:dyDescent="0.3">
      <c r="H21431" t="str">
        <f t="shared" si="384"/>
        <v/>
      </c>
    </row>
    <row r="21432" spans="8:8" x14ac:dyDescent="0.3">
      <c r="H21432" t="str">
        <f t="shared" si="384"/>
        <v/>
      </c>
    </row>
    <row r="21433" spans="8:8" x14ac:dyDescent="0.3">
      <c r="H21433" t="str">
        <f t="shared" si="384"/>
        <v/>
      </c>
    </row>
    <row r="21434" spans="8:8" x14ac:dyDescent="0.3">
      <c r="H21434" t="str">
        <f t="shared" si="384"/>
        <v/>
      </c>
    </row>
    <row r="21435" spans="8:8" x14ac:dyDescent="0.3">
      <c r="H21435" t="str">
        <f t="shared" si="384"/>
        <v/>
      </c>
    </row>
    <row r="21436" spans="8:8" x14ac:dyDescent="0.3">
      <c r="H21436" t="str">
        <f t="shared" si="384"/>
        <v/>
      </c>
    </row>
    <row r="21437" spans="8:8" x14ac:dyDescent="0.3">
      <c r="H21437" t="str">
        <f t="shared" si="384"/>
        <v/>
      </c>
    </row>
    <row r="21438" spans="8:8" x14ac:dyDescent="0.3">
      <c r="H21438" t="str">
        <f t="shared" si="384"/>
        <v/>
      </c>
    </row>
    <row r="21439" spans="8:8" x14ac:dyDescent="0.3">
      <c r="H21439" t="str">
        <f t="shared" si="384"/>
        <v/>
      </c>
    </row>
    <row r="21440" spans="8:8" x14ac:dyDescent="0.3">
      <c r="H21440" t="str">
        <f t="shared" si="384"/>
        <v/>
      </c>
    </row>
    <row r="21441" spans="8:8" x14ac:dyDescent="0.3">
      <c r="H21441" t="str">
        <f t="shared" si="384"/>
        <v/>
      </c>
    </row>
    <row r="21442" spans="8:8" x14ac:dyDescent="0.3">
      <c r="H21442" t="str">
        <f t="shared" si="384"/>
        <v/>
      </c>
    </row>
    <row r="21443" spans="8:8" x14ac:dyDescent="0.3">
      <c r="H21443" t="str">
        <f t="shared" si="384"/>
        <v/>
      </c>
    </row>
    <row r="21444" spans="8:8" x14ac:dyDescent="0.3">
      <c r="H21444" t="str">
        <f t="shared" si="384"/>
        <v/>
      </c>
    </row>
    <row r="21445" spans="8:8" x14ac:dyDescent="0.3">
      <c r="H21445" t="str">
        <f t="shared" si="384"/>
        <v/>
      </c>
    </row>
    <row r="21446" spans="8:8" x14ac:dyDescent="0.3">
      <c r="H21446" t="str">
        <f t="shared" si="384"/>
        <v/>
      </c>
    </row>
    <row r="21447" spans="8:8" x14ac:dyDescent="0.3">
      <c r="H21447" t="str">
        <f t="shared" si="384"/>
        <v/>
      </c>
    </row>
    <row r="21448" spans="8:8" x14ac:dyDescent="0.3">
      <c r="H21448" t="str">
        <f t="shared" si="384"/>
        <v/>
      </c>
    </row>
    <row r="21449" spans="8:8" x14ac:dyDescent="0.3">
      <c r="H21449" t="str">
        <f t="shared" si="384"/>
        <v/>
      </c>
    </row>
    <row r="21450" spans="8:8" x14ac:dyDescent="0.3">
      <c r="H21450" t="str">
        <f t="shared" si="384"/>
        <v/>
      </c>
    </row>
    <row r="21451" spans="8:8" x14ac:dyDescent="0.3">
      <c r="H21451" t="str">
        <f t="shared" si="384"/>
        <v/>
      </c>
    </row>
    <row r="21452" spans="8:8" x14ac:dyDescent="0.3">
      <c r="H21452" t="str">
        <f t="shared" si="384"/>
        <v/>
      </c>
    </row>
    <row r="21453" spans="8:8" x14ac:dyDescent="0.3">
      <c r="H21453" t="str">
        <f t="shared" si="384"/>
        <v/>
      </c>
    </row>
    <row r="21454" spans="8:8" x14ac:dyDescent="0.3">
      <c r="H21454" t="str">
        <f t="shared" si="384"/>
        <v/>
      </c>
    </row>
    <row r="21455" spans="8:8" x14ac:dyDescent="0.3">
      <c r="H21455" t="str">
        <f t="shared" si="384"/>
        <v/>
      </c>
    </row>
    <row r="21456" spans="8:8" x14ac:dyDescent="0.3">
      <c r="H21456" t="str">
        <f t="shared" si="384"/>
        <v/>
      </c>
    </row>
    <row r="21457" spans="8:8" x14ac:dyDescent="0.3">
      <c r="H21457" t="str">
        <f t="shared" si="384"/>
        <v/>
      </c>
    </row>
    <row r="21458" spans="8:8" x14ac:dyDescent="0.3">
      <c r="H21458" t="str">
        <f t="shared" si="384"/>
        <v/>
      </c>
    </row>
    <row r="21459" spans="8:8" x14ac:dyDescent="0.3">
      <c r="H21459" t="str">
        <f t="shared" si="384"/>
        <v/>
      </c>
    </row>
    <row r="21460" spans="8:8" x14ac:dyDescent="0.3">
      <c r="H21460" t="str">
        <f t="shared" si="384"/>
        <v/>
      </c>
    </row>
    <row r="21461" spans="8:8" x14ac:dyDescent="0.3">
      <c r="H21461" t="str">
        <f t="shared" si="384"/>
        <v/>
      </c>
    </row>
    <row r="21462" spans="8:8" x14ac:dyDescent="0.3">
      <c r="H21462" t="str">
        <f t="shared" si="384"/>
        <v/>
      </c>
    </row>
    <row r="21463" spans="8:8" x14ac:dyDescent="0.3">
      <c r="H21463" t="str">
        <f t="shared" ref="H21463:H21526" si="385">IF(B21463="","",$C$12)</f>
        <v/>
      </c>
    </row>
    <row r="21464" spans="8:8" x14ac:dyDescent="0.3">
      <c r="H21464" t="str">
        <f t="shared" si="385"/>
        <v/>
      </c>
    </row>
    <row r="21465" spans="8:8" x14ac:dyDescent="0.3">
      <c r="H21465" t="str">
        <f t="shared" si="385"/>
        <v/>
      </c>
    </row>
    <row r="21466" spans="8:8" x14ac:dyDescent="0.3">
      <c r="H21466" t="str">
        <f t="shared" si="385"/>
        <v/>
      </c>
    </row>
    <row r="21467" spans="8:8" x14ac:dyDescent="0.3">
      <c r="H21467" t="str">
        <f t="shared" si="385"/>
        <v/>
      </c>
    </row>
    <row r="21468" spans="8:8" x14ac:dyDescent="0.3">
      <c r="H21468" t="str">
        <f t="shared" si="385"/>
        <v/>
      </c>
    </row>
    <row r="21469" spans="8:8" x14ac:dyDescent="0.3">
      <c r="H21469" t="str">
        <f t="shared" si="385"/>
        <v/>
      </c>
    </row>
    <row r="21470" spans="8:8" x14ac:dyDescent="0.3">
      <c r="H21470" t="str">
        <f t="shared" si="385"/>
        <v/>
      </c>
    </row>
    <row r="21471" spans="8:8" x14ac:dyDescent="0.3">
      <c r="H21471" t="str">
        <f t="shared" si="385"/>
        <v/>
      </c>
    </row>
    <row r="21472" spans="8:8" x14ac:dyDescent="0.3">
      <c r="H21472" t="str">
        <f t="shared" si="385"/>
        <v/>
      </c>
    </row>
    <row r="21473" spans="8:8" x14ac:dyDescent="0.3">
      <c r="H21473" t="str">
        <f t="shared" si="385"/>
        <v/>
      </c>
    </row>
    <row r="21474" spans="8:8" x14ac:dyDescent="0.3">
      <c r="H21474" t="str">
        <f t="shared" si="385"/>
        <v/>
      </c>
    </row>
    <row r="21475" spans="8:8" x14ac:dyDescent="0.3">
      <c r="H21475" t="str">
        <f t="shared" si="385"/>
        <v/>
      </c>
    </row>
    <row r="21476" spans="8:8" x14ac:dyDescent="0.3">
      <c r="H21476" t="str">
        <f t="shared" si="385"/>
        <v/>
      </c>
    </row>
    <row r="21477" spans="8:8" x14ac:dyDescent="0.3">
      <c r="H21477" t="str">
        <f t="shared" si="385"/>
        <v/>
      </c>
    </row>
    <row r="21478" spans="8:8" x14ac:dyDescent="0.3">
      <c r="H21478" t="str">
        <f t="shared" si="385"/>
        <v/>
      </c>
    </row>
    <row r="21479" spans="8:8" x14ac:dyDescent="0.3">
      <c r="H21479" t="str">
        <f t="shared" si="385"/>
        <v/>
      </c>
    </row>
    <row r="21480" spans="8:8" x14ac:dyDescent="0.3">
      <c r="H21480" t="str">
        <f t="shared" si="385"/>
        <v/>
      </c>
    </row>
    <row r="21481" spans="8:8" x14ac:dyDescent="0.3">
      <c r="H21481" t="str">
        <f t="shared" si="385"/>
        <v/>
      </c>
    </row>
    <row r="21482" spans="8:8" x14ac:dyDescent="0.3">
      <c r="H21482" t="str">
        <f t="shared" si="385"/>
        <v/>
      </c>
    </row>
    <row r="21483" spans="8:8" x14ac:dyDescent="0.3">
      <c r="H21483" t="str">
        <f t="shared" si="385"/>
        <v/>
      </c>
    </row>
    <row r="21484" spans="8:8" x14ac:dyDescent="0.3">
      <c r="H21484" t="str">
        <f t="shared" si="385"/>
        <v/>
      </c>
    </row>
    <row r="21485" spans="8:8" x14ac:dyDescent="0.3">
      <c r="H21485" t="str">
        <f t="shared" si="385"/>
        <v/>
      </c>
    </row>
    <row r="21486" spans="8:8" x14ac:dyDescent="0.3">
      <c r="H21486" t="str">
        <f t="shared" si="385"/>
        <v/>
      </c>
    </row>
    <row r="21487" spans="8:8" x14ac:dyDescent="0.3">
      <c r="H21487" t="str">
        <f t="shared" si="385"/>
        <v/>
      </c>
    </row>
    <row r="21488" spans="8:8" x14ac:dyDescent="0.3">
      <c r="H21488" t="str">
        <f t="shared" si="385"/>
        <v/>
      </c>
    </row>
    <row r="21489" spans="8:8" x14ac:dyDescent="0.3">
      <c r="H21489" t="str">
        <f t="shared" si="385"/>
        <v/>
      </c>
    </row>
    <row r="21490" spans="8:8" x14ac:dyDescent="0.3">
      <c r="H21490" t="str">
        <f t="shared" si="385"/>
        <v/>
      </c>
    </row>
    <row r="21491" spans="8:8" x14ac:dyDescent="0.3">
      <c r="H21491" t="str">
        <f t="shared" si="385"/>
        <v/>
      </c>
    </row>
    <row r="21492" spans="8:8" x14ac:dyDescent="0.3">
      <c r="H21492" t="str">
        <f t="shared" si="385"/>
        <v/>
      </c>
    </row>
    <row r="21493" spans="8:8" x14ac:dyDescent="0.3">
      <c r="H21493" t="str">
        <f t="shared" si="385"/>
        <v/>
      </c>
    </row>
    <row r="21494" spans="8:8" x14ac:dyDescent="0.3">
      <c r="H21494" t="str">
        <f t="shared" si="385"/>
        <v/>
      </c>
    </row>
    <row r="21495" spans="8:8" x14ac:dyDescent="0.3">
      <c r="H21495" t="str">
        <f t="shared" si="385"/>
        <v/>
      </c>
    </row>
    <row r="21496" spans="8:8" x14ac:dyDescent="0.3">
      <c r="H21496" t="str">
        <f t="shared" si="385"/>
        <v/>
      </c>
    </row>
    <row r="21497" spans="8:8" x14ac:dyDescent="0.3">
      <c r="H21497" t="str">
        <f t="shared" si="385"/>
        <v/>
      </c>
    </row>
    <row r="21498" spans="8:8" x14ac:dyDescent="0.3">
      <c r="H21498" t="str">
        <f t="shared" si="385"/>
        <v/>
      </c>
    </row>
    <row r="21499" spans="8:8" x14ac:dyDescent="0.3">
      <c r="H21499" t="str">
        <f t="shared" si="385"/>
        <v/>
      </c>
    </row>
    <row r="21500" spans="8:8" x14ac:dyDescent="0.3">
      <c r="H21500" t="str">
        <f t="shared" si="385"/>
        <v/>
      </c>
    </row>
    <row r="21501" spans="8:8" x14ac:dyDescent="0.3">
      <c r="H21501" t="str">
        <f t="shared" si="385"/>
        <v/>
      </c>
    </row>
    <row r="21502" spans="8:8" x14ac:dyDescent="0.3">
      <c r="H21502" t="str">
        <f t="shared" si="385"/>
        <v/>
      </c>
    </row>
    <row r="21503" spans="8:8" x14ac:dyDescent="0.3">
      <c r="H21503" t="str">
        <f t="shared" si="385"/>
        <v/>
      </c>
    </row>
    <row r="21504" spans="8:8" x14ac:dyDescent="0.3">
      <c r="H21504" t="str">
        <f t="shared" si="385"/>
        <v/>
      </c>
    </row>
    <row r="21505" spans="8:8" x14ac:dyDescent="0.3">
      <c r="H21505" t="str">
        <f t="shared" si="385"/>
        <v/>
      </c>
    </row>
    <row r="21506" spans="8:8" x14ac:dyDescent="0.3">
      <c r="H21506" t="str">
        <f t="shared" si="385"/>
        <v/>
      </c>
    </row>
    <row r="21507" spans="8:8" x14ac:dyDescent="0.3">
      <c r="H21507" t="str">
        <f t="shared" si="385"/>
        <v/>
      </c>
    </row>
    <row r="21508" spans="8:8" x14ac:dyDescent="0.3">
      <c r="H21508" t="str">
        <f t="shared" si="385"/>
        <v/>
      </c>
    </row>
    <row r="21509" spans="8:8" x14ac:dyDescent="0.3">
      <c r="H21509" t="str">
        <f t="shared" si="385"/>
        <v/>
      </c>
    </row>
    <row r="21510" spans="8:8" x14ac:dyDescent="0.3">
      <c r="H21510" t="str">
        <f t="shared" si="385"/>
        <v/>
      </c>
    </row>
    <row r="21511" spans="8:8" x14ac:dyDescent="0.3">
      <c r="H21511" t="str">
        <f t="shared" si="385"/>
        <v/>
      </c>
    </row>
    <row r="21512" spans="8:8" x14ac:dyDescent="0.3">
      <c r="H21512" t="str">
        <f t="shared" si="385"/>
        <v/>
      </c>
    </row>
    <row r="21513" spans="8:8" x14ac:dyDescent="0.3">
      <c r="H21513" t="str">
        <f t="shared" si="385"/>
        <v/>
      </c>
    </row>
    <row r="21514" spans="8:8" x14ac:dyDescent="0.3">
      <c r="H21514" t="str">
        <f t="shared" si="385"/>
        <v/>
      </c>
    </row>
    <row r="21515" spans="8:8" x14ac:dyDescent="0.3">
      <c r="H21515" t="str">
        <f t="shared" si="385"/>
        <v/>
      </c>
    </row>
    <row r="21516" spans="8:8" x14ac:dyDescent="0.3">
      <c r="H21516" t="str">
        <f t="shared" si="385"/>
        <v/>
      </c>
    </row>
    <row r="21517" spans="8:8" x14ac:dyDescent="0.3">
      <c r="H21517" t="str">
        <f t="shared" si="385"/>
        <v/>
      </c>
    </row>
    <row r="21518" spans="8:8" x14ac:dyDescent="0.3">
      <c r="H21518" t="str">
        <f t="shared" si="385"/>
        <v/>
      </c>
    </row>
    <row r="21519" spans="8:8" x14ac:dyDescent="0.3">
      <c r="H21519" t="str">
        <f t="shared" si="385"/>
        <v/>
      </c>
    </row>
    <row r="21520" spans="8:8" x14ac:dyDescent="0.3">
      <c r="H21520" t="str">
        <f t="shared" si="385"/>
        <v/>
      </c>
    </row>
    <row r="21521" spans="8:8" x14ac:dyDescent="0.3">
      <c r="H21521" t="str">
        <f t="shared" si="385"/>
        <v/>
      </c>
    </row>
    <row r="21522" spans="8:8" x14ac:dyDescent="0.3">
      <c r="H21522" t="str">
        <f t="shared" si="385"/>
        <v/>
      </c>
    </row>
    <row r="21523" spans="8:8" x14ac:dyDescent="0.3">
      <c r="H21523" t="str">
        <f t="shared" si="385"/>
        <v/>
      </c>
    </row>
    <row r="21524" spans="8:8" x14ac:dyDescent="0.3">
      <c r="H21524" t="str">
        <f t="shared" si="385"/>
        <v/>
      </c>
    </row>
    <row r="21525" spans="8:8" x14ac:dyDescent="0.3">
      <c r="H21525" t="str">
        <f t="shared" si="385"/>
        <v/>
      </c>
    </row>
    <row r="21526" spans="8:8" x14ac:dyDescent="0.3">
      <c r="H21526" t="str">
        <f t="shared" si="385"/>
        <v/>
      </c>
    </row>
    <row r="21527" spans="8:8" x14ac:dyDescent="0.3">
      <c r="H21527" t="str">
        <f t="shared" ref="H21527:H21590" si="386">IF(B21527="","",$C$12)</f>
        <v/>
      </c>
    </row>
    <row r="21528" spans="8:8" x14ac:dyDescent="0.3">
      <c r="H21528" t="str">
        <f t="shared" si="386"/>
        <v/>
      </c>
    </row>
    <row r="21529" spans="8:8" x14ac:dyDescent="0.3">
      <c r="H21529" t="str">
        <f t="shared" si="386"/>
        <v/>
      </c>
    </row>
    <row r="21530" spans="8:8" x14ac:dyDescent="0.3">
      <c r="H21530" t="str">
        <f t="shared" si="386"/>
        <v/>
      </c>
    </row>
    <row r="21531" spans="8:8" x14ac:dyDescent="0.3">
      <c r="H21531" t="str">
        <f t="shared" si="386"/>
        <v/>
      </c>
    </row>
    <row r="21532" spans="8:8" x14ac:dyDescent="0.3">
      <c r="H21532" t="str">
        <f t="shared" si="386"/>
        <v/>
      </c>
    </row>
    <row r="21533" spans="8:8" x14ac:dyDescent="0.3">
      <c r="H21533" t="str">
        <f t="shared" si="386"/>
        <v/>
      </c>
    </row>
    <row r="21534" spans="8:8" x14ac:dyDescent="0.3">
      <c r="H21534" t="str">
        <f t="shared" si="386"/>
        <v/>
      </c>
    </row>
    <row r="21535" spans="8:8" x14ac:dyDescent="0.3">
      <c r="H21535" t="str">
        <f t="shared" si="386"/>
        <v/>
      </c>
    </row>
    <row r="21536" spans="8:8" x14ac:dyDescent="0.3">
      <c r="H21536" t="str">
        <f t="shared" si="386"/>
        <v/>
      </c>
    </row>
    <row r="21537" spans="8:8" x14ac:dyDescent="0.3">
      <c r="H21537" t="str">
        <f t="shared" si="386"/>
        <v/>
      </c>
    </row>
    <row r="21538" spans="8:8" x14ac:dyDescent="0.3">
      <c r="H21538" t="str">
        <f t="shared" si="386"/>
        <v/>
      </c>
    </row>
    <row r="21539" spans="8:8" x14ac:dyDescent="0.3">
      <c r="H21539" t="str">
        <f t="shared" si="386"/>
        <v/>
      </c>
    </row>
    <row r="21540" spans="8:8" x14ac:dyDescent="0.3">
      <c r="H21540" t="str">
        <f t="shared" si="386"/>
        <v/>
      </c>
    </row>
    <row r="21541" spans="8:8" x14ac:dyDescent="0.3">
      <c r="H21541" t="str">
        <f t="shared" si="386"/>
        <v/>
      </c>
    </row>
    <row r="21542" spans="8:8" x14ac:dyDescent="0.3">
      <c r="H21542" t="str">
        <f t="shared" si="386"/>
        <v/>
      </c>
    </row>
    <row r="21543" spans="8:8" x14ac:dyDescent="0.3">
      <c r="H21543" t="str">
        <f t="shared" si="386"/>
        <v/>
      </c>
    </row>
    <row r="21544" spans="8:8" x14ac:dyDescent="0.3">
      <c r="H21544" t="str">
        <f t="shared" si="386"/>
        <v/>
      </c>
    </row>
    <row r="21545" spans="8:8" x14ac:dyDescent="0.3">
      <c r="H21545" t="str">
        <f t="shared" si="386"/>
        <v/>
      </c>
    </row>
    <row r="21546" spans="8:8" x14ac:dyDescent="0.3">
      <c r="H21546" t="str">
        <f t="shared" si="386"/>
        <v/>
      </c>
    </row>
    <row r="21547" spans="8:8" x14ac:dyDescent="0.3">
      <c r="H21547" t="str">
        <f t="shared" si="386"/>
        <v/>
      </c>
    </row>
    <row r="21548" spans="8:8" x14ac:dyDescent="0.3">
      <c r="H21548" t="str">
        <f t="shared" si="386"/>
        <v/>
      </c>
    </row>
    <row r="21549" spans="8:8" x14ac:dyDescent="0.3">
      <c r="H21549" t="str">
        <f t="shared" si="386"/>
        <v/>
      </c>
    </row>
    <row r="21550" spans="8:8" x14ac:dyDescent="0.3">
      <c r="H21550" t="str">
        <f t="shared" si="386"/>
        <v/>
      </c>
    </row>
    <row r="21551" spans="8:8" x14ac:dyDescent="0.3">
      <c r="H21551" t="str">
        <f t="shared" si="386"/>
        <v/>
      </c>
    </row>
    <row r="21552" spans="8:8" x14ac:dyDescent="0.3">
      <c r="H21552" t="str">
        <f t="shared" si="386"/>
        <v/>
      </c>
    </row>
    <row r="21553" spans="8:8" x14ac:dyDescent="0.3">
      <c r="H21553" t="str">
        <f t="shared" si="386"/>
        <v/>
      </c>
    </row>
    <row r="21554" spans="8:8" x14ac:dyDescent="0.3">
      <c r="H21554" t="str">
        <f t="shared" si="386"/>
        <v/>
      </c>
    </row>
    <row r="21555" spans="8:8" x14ac:dyDescent="0.3">
      <c r="H21555" t="str">
        <f t="shared" si="386"/>
        <v/>
      </c>
    </row>
    <row r="21556" spans="8:8" x14ac:dyDescent="0.3">
      <c r="H21556" t="str">
        <f t="shared" si="386"/>
        <v/>
      </c>
    </row>
    <row r="21557" spans="8:8" x14ac:dyDescent="0.3">
      <c r="H21557" t="str">
        <f t="shared" si="386"/>
        <v/>
      </c>
    </row>
    <row r="21558" spans="8:8" x14ac:dyDescent="0.3">
      <c r="H21558" t="str">
        <f t="shared" si="386"/>
        <v/>
      </c>
    </row>
    <row r="21559" spans="8:8" x14ac:dyDescent="0.3">
      <c r="H21559" t="str">
        <f t="shared" si="386"/>
        <v/>
      </c>
    </row>
    <row r="21560" spans="8:8" x14ac:dyDescent="0.3">
      <c r="H21560" t="str">
        <f t="shared" si="386"/>
        <v/>
      </c>
    </row>
    <row r="21561" spans="8:8" x14ac:dyDescent="0.3">
      <c r="H21561" t="str">
        <f t="shared" si="386"/>
        <v/>
      </c>
    </row>
    <row r="21562" spans="8:8" x14ac:dyDescent="0.3">
      <c r="H21562" t="str">
        <f t="shared" si="386"/>
        <v/>
      </c>
    </row>
    <row r="21563" spans="8:8" x14ac:dyDescent="0.3">
      <c r="H21563" t="str">
        <f t="shared" si="386"/>
        <v/>
      </c>
    </row>
    <row r="21564" spans="8:8" x14ac:dyDescent="0.3">
      <c r="H21564" t="str">
        <f t="shared" si="386"/>
        <v/>
      </c>
    </row>
    <row r="21565" spans="8:8" x14ac:dyDescent="0.3">
      <c r="H21565" t="str">
        <f t="shared" si="386"/>
        <v/>
      </c>
    </row>
    <row r="21566" spans="8:8" x14ac:dyDescent="0.3">
      <c r="H21566" t="str">
        <f t="shared" si="386"/>
        <v/>
      </c>
    </row>
    <row r="21567" spans="8:8" x14ac:dyDescent="0.3">
      <c r="H21567" t="str">
        <f t="shared" si="386"/>
        <v/>
      </c>
    </row>
    <row r="21568" spans="8:8" x14ac:dyDescent="0.3">
      <c r="H21568" t="str">
        <f t="shared" si="386"/>
        <v/>
      </c>
    </row>
    <row r="21569" spans="8:8" x14ac:dyDescent="0.3">
      <c r="H21569" t="str">
        <f t="shared" si="386"/>
        <v/>
      </c>
    </row>
    <row r="21570" spans="8:8" x14ac:dyDescent="0.3">
      <c r="H21570" t="str">
        <f t="shared" si="386"/>
        <v/>
      </c>
    </row>
    <row r="21571" spans="8:8" x14ac:dyDescent="0.3">
      <c r="H21571" t="str">
        <f t="shared" si="386"/>
        <v/>
      </c>
    </row>
    <row r="21572" spans="8:8" x14ac:dyDescent="0.3">
      <c r="H21572" t="str">
        <f t="shared" si="386"/>
        <v/>
      </c>
    </row>
    <row r="21573" spans="8:8" x14ac:dyDescent="0.3">
      <c r="H21573" t="str">
        <f t="shared" si="386"/>
        <v/>
      </c>
    </row>
    <row r="21574" spans="8:8" x14ac:dyDescent="0.3">
      <c r="H21574" t="str">
        <f t="shared" si="386"/>
        <v/>
      </c>
    </row>
    <row r="21575" spans="8:8" x14ac:dyDescent="0.3">
      <c r="H21575" t="str">
        <f t="shared" si="386"/>
        <v/>
      </c>
    </row>
    <row r="21576" spans="8:8" x14ac:dyDescent="0.3">
      <c r="H21576" t="str">
        <f t="shared" si="386"/>
        <v/>
      </c>
    </row>
    <row r="21577" spans="8:8" x14ac:dyDescent="0.3">
      <c r="H21577" t="str">
        <f t="shared" si="386"/>
        <v/>
      </c>
    </row>
    <row r="21578" spans="8:8" x14ac:dyDescent="0.3">
      <c r="H21578" t="str">
        <f t="shared" si="386"/>
        <v/>
      </c>
    </row>
    <row r="21579" spans="8:8" x14ac:dyDescent="0.3">
      <c r="H21579" t="str">
        <f t="shared" si="386"/>
        <v/>
      </c>
    </row>
    <row r="21580" spans="8:8" x14ac:dyDescent="0.3">
      <c r="H21580" t="str">
        <f t="shared" si="386"/>
        <v/>
      </c>
    </row>
    <row r="21581" spans="8:8" x14ac:dyDescent="0.3">
      <c r="H21581" t="str">
        <f t="shared" si="386"/>
        <v/>
      </c>
    </row>
    <row r="21582" spans="8:8" x14ac:dyDescent="0.3">
      <c r="H21582" t="str">
        <f t="shared" si="386"/>
        <v/>
      </c>
    </row>
    <row r="21583" spans="8:8" x14ac:dyDescent="0.3">
      <c r="H21583" t="str">
        <f t="shared" si="386"/>
        <v/>
      </c>
    </row>
    <row r="21584" spans="8:8" x14ac:dyDescent="0.3">
      <c r="H21584" t="str">
        <f t="shared" si="386"/>
        <v/>
      </c>
    </row>
    <row r="21585" spans="8:8" x14ac:dyDescent="0.3">
      <c r="H21585" t="str">
        <f t="shared" si="386"/>
        <v/>
      </c>
    </row>
    <row r="21586" spans="8:8" x14ac:dyDescent="0.3">
      <c r="H21586" t="str">
        <f t="shared" si="386"/>
        <v/>
      </c>
    </row>
    <row r="21587" spans="8:8" x14ac:dyDescent="0.3">
      <c r="H21587" t="str">
        <f t="shared" si="386"/>
        <v/>
      </c>
    </row>
    <row r="21588" spans="8:8" x14ac:dyDescent="0.3">
      <c r="H21588" t="str">
        <f t="shared" si="386"/>
        <v/>
      </c>
    </row>
    <row r="21589" spans="8:8" x14ac:dyDescent="0.3">
      <c r="H21589" t="str">
        <f t="shared" si="386"/>
        <v/>
      </c>
    </row>
    <row r="21590" spans="8:8" x14ac:dyDescent="0.3">
      <c r="H21590" t="str">
        <f t="shared" si="386"/>
        <v/>
      </c>
    </row>
    <row r="21591" spans="8:8" x14ac:dyDescent="0.3">
      <c r="H21591" t="str">
        <f t="shared" ref="H21591:H21654" si="387">IF(B21591="","",$C$12)</f>
        <v/>
      </c>
    </row>
    <row r="21592" spans="8:8" x14ac:dyDescent="0.3">
      <c r="H21592" t="str">
        <f t="shared" si="387"/>
        <v/>
      </c>
    </row>
    <row r="21593" spans="8:8" x14ac:dyDescent="0.3">
      <c r="H21593" t="str">
        <f t="shared" si="387"/>
        <v/>
      </c>
    </row>
    <row r="21594" spans="8:8" x14ac:dyDescent="0.3">
      <c r="H21594" t="str">
        <f t="shared" si="387"/>
        <v/>
      </c>
    </row>
    <row r="21595" spans="8:8" x14ac:dyDescent="0.3">
      <c r="H21595" t="str">
        <f t="shared" si="387"/>
        <v/>
      </c>
    </row>
    <row r="21596" spans="8:8" x14ac:dyDescent="0.3">
      <c r="H21596" t="str">
        <f t="shared" si="387"/>
        <v/>
      </c>
    </row>
    <row r="21597" spans="8:8" x14ac:dyDescent="0.3">
      <c r="H21597" t="str">
        <f t="shared" si="387"/>
        <v/>
      </c>
    </row>
    <row r="21598" spans="8:8" x14ac:dyDescent="0.3">
      <c r="H21598" t="str">
        <f t="shared" si="387"/>
        <v/>
      </c>
    </row>
    <row r="21599" spans="8:8" x14ac:dyDescent="0.3">
      <c r="H21599" t="str">
        <f t="shared" si="387"/>
        <v/>
      </c>
    </row>
    <row r="21600" spans="8:8" x14ac:dyDescent="0.3">
      <c r="H21600" t="str">
        <f t="shared" si="387"/>
        <v/>
      </c>
    </row>
    <row r="21601" spans="8:8" x14ac:dyDescent="0.3">
      <c r="H21601" t="str">
        <f t="shared" si="387"/>
        <v/>
      </c>
    </row>
    <row r="21602" spans="8:8" x14ac:dyDescent="0.3">
      <c r="H21602" t="str">
        <f t="shared" si="387"/>
        <v/>
      </c>
    </row>
    <row r="21603" spans="8:8" x14ac:dyDescent="0.3">
      <c r="H21603" t="str">
        <f t="shared" si="387"/>
        <v/>
      </c>
    </row>
    <row r="21604" spans="8:8" x14ac:dyDescent="0.3">
      <c r="H21604" t="str">
        <f t="shared" si="387"/>
        <v/>
      </c>
    </row>
    <row r="21605" spans="8:8" x14ac:dyDescent="0.3">
      <c r="H21605" t="str">
        <f t="shared" si="387"/>
        <v/>
      </c>
    </row>
    <row r="21606" spans="8:8" x14ac:dyDescent="0.3">
      <c r="H21606" t="str">
        <f t="shared" si="387"/>
        <v/>
      </c>
    </row>
    <row r="21607" spans="8:8" x14ac:dyDescent="0.3">
      <c r="H21607" t="str">
        <f t="shared" si="387"/>
        <v/>
      </c>
    </row>
    <row r="21608" spans="8:8" x14ac:dyDescent="0.3">
      <c r="H21608" t="str">
        <f t="shared" si="387"/>
        <v/>
      </c>
    </row>
    <row r="21609" spans="8:8" x14ac:dyDescent="0.3">
      <c r="H21609" t="str">
        <f t="shared" si="387"/>
        <v/>
      </c>
    </row>
    <row r="21610" spans="8:8" x14ac:dyDescent="0.3">
      <c r="H21610" t="str">
        <f t="shared" si="387"/>
        <v/>
      </c>
    </row>
    <row r="21611" spans="8:8" x14ac:dyDescent="0.3">
      <c r="H21611" t="str">
        <f t="shared" si="387"/>
        <v/>
      </c>
    </row>
    <row r="21612" spans="8:8" x14ac:dyDescent="0.3">
      <c r="H21612" t="str">
        <f t="shared" si="387"/>
        <v/>
      </c>
    </row>
    <row r="21613" spans="8:8" x14ac:dyDescent="0.3">
      <c r="H21613" t="str">
        <f t="shared" si="387"/>
        <v/>
      </c>
    </row>
    <row r="21614" spans="8:8" x14ac:dyDescent="0.3">
      <c r="H21614" t="str">
        <f t="shared" si="387"/>
        <v/>
      </c>
    </row>
    <row r="21615" spans="8:8" x14ac:dyDescent="0.3">
      <c r="H21615" t="str">
        <f t="shared" si="387"/>
        <v/>
      </c>
    </row>
    <row r="21616" spans="8:8" x14ac:dyDescent="0.3">
      <c r="H21616" t="str">
        <f t="shared" si="387"/>
        <v/>
      </c>
    </row>
    <row r="21617" spans="8:8" x14ac:dyDescent="0.3">
      <c r="H21617" t="str">
        <f t="shared" si="387"/>
        <v/>
      </c>
    </row>
    <row r="21618" spans="8:8" x14ac:dyDescent="0.3">
      <c r="H21618" t="str">
        <f t="shared" si="387"/>
        <v/>
      </c>
    </row>
    <row r="21619" spans="8:8" x14ac:dyDescent="0.3">
      <c r="H21619" t="str">
        <f t="shared" si="387"/>
        <v/>
      </c>
    </row>
    <row r="21620" spans="8:8" x14ac:dyDescent="0.3">
      <c r="H21620" t="str">
        <f t="shared" si="387"/>
        <v/>
      </c>
    </row>
    <row r="21621" spans="8:8" x14ac:dyDescent="0.3">
      <c r="H21621" t="str">
        <f t="shared" si="387"/>
        <v/>
      </c>
    </row>
    <row r="21622" spans="8:8" x14ac:dyDescent="0.3">
      <c r="H21622" t="str">
        <f t="shared" si="387"/>
        <v/>
      </c>
    </row>
    <row r="21623" spans="8:8" x14ac:dyDescent="0.3">
      <c r="H21623" t="str">
        <f t="shared" si="387"/>
        <v/>
      </c>
    </row>
    <row r="21624" spans="8:8" x14ac:dyDescent="0.3">
      <c r="H21624" t="str">
        <f t="shared" si="387"/>
        <v/>
      </c>
    </row>
    <row r="21625" spans="8:8" x14ac:dyDescent="0.3">
      <c r="H21625" t="str">
        <f t="shared" si="387"/>
        <v/>
      </c>
    </row>
    <row r="21626" spans="8:8" x14ac:dyDescent="0.3">
      <c r="H21626" t="str">
        <f t="shared" si="387"/>
        <v/>
      </c>
    </row>
    <row r="21627" spans="8:8" x14ac:dyDescent="0.3">
      <c r="H21627" t="str">
        <f t="shared" si="387"/>
        <v/>
      </c>
    </row>
    <row r="21628" spans="8:8" x14ac:dyDescent="0.3">
      <c r="H21628" t="str">
        <f t="shared" si="387"/>
        <v/>
      </c>
    </row>
    <row r="21629" spans="8:8" x14ac:dyDescent="0.3">
      <c r="H21629" t="str">
        <f t="shared" si="387"/>
        <v/>
      </c>
    </row>
    <row r="21630" spans="8:8" x14ac:dyDescent="0.3">
      <c r="H21630" t="str">
        <f t="shared" si="387"/>
        <v/>
      </c>
    </row>
    <row r="21631" spans="8:8" x14ac:dyDescent="0.3">
      <c r="H21631" t="str">
        <f t="shared" si="387"/>
        <v/>
      </c>
    </row>
    <row r="21632" spans="8:8" x14ac:dyDescent="0.3">
      <c r="H21632" t="str">
        <f t="shared" si="387"/>
        <v/>
      </c>
    </row>
    <row r="21633" spans="8:8" x14ac:dyDescent="0.3">
      <c r="H21633" t="str">
        <f t="shared" si="387"/>
        <v/>
      </c>
    </row>
    <row r="21634" spans="8:8" x14ac:dyDescent="0.3">
      <c r="H21634" t="str">
        <f t="shared" si="387"/>
        <v/>
      </c>
    </row>
    <row r="21635" spans="8:8" x14ac:dyDescent="0.3">
      <c r="H21635" t="str">
        <f t="shared" si="387"/>
        <v/>
      </c>
    </row>
    <row r="21636" spans="8:8" x14ac:dyDescent="0.3">
      <c r="H21636" t="str">
        <f t="shared" si="387"/>
        <v/>
      </c>
    </row>
    <row r="21637" spans="8:8" x14ac:dyDescent="0.3">
      <c r="H21637" t="str">
        <f t="shared" si="387"/>
        <v/>
      </c>
    </row>
    <row r="21638" spans="8:8" x14ac:dyDescent="0.3">
      <c r="H21638" t="str">
        <f t="shared" si="387"/>
        <v/>
      </c>
    </row>
    <row r="21639" spans="8:8" x14ac:dyDescent="0.3">
      <c r="H21639" t="str">
        <f t="shared" si="387"/>
        <v/>
      </c>
    </row>
    <row r="21640" spans="8:8" x14ac:dyDescent="0.3">
      <c r="H21640" t="str">
        <f t="shared" si="387"/>
        <v/>
      </c>
    </row>
    <row r="21641" spans="8:8" x14ac:dyDescent="0.3">
      <c r="H21641" t="str">
        <f t="shared" si="387"/>
        <v/>
      </c>
    </row>
    <row r="21642" spans="8:8" x14ac:dyDescent="0.3">
      <c r="H21642" t="str">
        <f t="shared" si="387"/>
        <v/>
      </c>
    </row>
    <row r="21643" spans="8:8" x14ac:dyDescent="0.3">
      <c r="H21643" t="str">
        <f t="shared" si="387"/>
        <v/>
      </c>
    </row>
    <row r="21644" spans="8:8" x14ac:dyDescent="0.3">
      <c r="H21644" t="str">
        <f t="shared" si="387"/>
        <v/>
      </c>
    </row>
    <row r="21645" spans="8:8" x14ac:dyDescent="0.3">
      <c r="H21645" t="str">
        <f t="shared" si="387"/>
        <v/>
      </c>
    </row>
    <row r="21646" spans="8:8" x14ac:dyDescent="0.3">
      <c r="H21646" t="str">
        <f t="shared" si="387"/>
        <v/>
      </c>
    </row>
    <row r="21647" spans="8:8" x14ac:dyDescent="0.3">
      <c r="H21647" t="str">
        <f t="shared" si="387"/>
        <v/>
      </c>
    </row>
    <row r="21648" spans="8:8" x14ac:dyDescent="0.3">
      <c r="H21648" t="str">
        <f t="shared" si="387"/>
        <v/>
      </c>
    </row>
    <row r="21649" spans="8:8" x14ac:dyDescent="0.3">
      <c r="H21649" t="str">
        <f t="shared" si="387"/>
        <v/>
      </c>
    </row>
    <row r="21650" spans="8:8" x14ac:dyDescent="0.3">
      <c r="H21650" t="str">
        <f t="shared" si="387"/>
        <v/>
      </c>
    </row>
    <row r="21651" spans="8:8" x14ac:dyDescent="0.3">
      <c r="H21651" t="str">
        <f t="shared" si="387"/>
        <v/>
      </c>
    </row>
    <row r="21652" spans="8:8" x14ac:dyDescent="0.3">
      <c r="H21652" t="str">
        <f t="shared" si="387"/>
        <v/>
      </c>
    </row>
    <row r="21653" spans="8:8" x14ac:dyDescent="0.3">
      <c r="H21653" t="str">
        <f t="shared" si="387"/>
        <v/>
      </c>
    </row>
    <row r="21654" spans="8:8" x14ac:dyDescent="0.3">
      <c r="H21654" t="str">
        <f t="shared" si="387"/>
        <v/>
      </c>
    </row>
    <row r="21655" spans="8:8" x14ac:dyDescent="0.3">
      <c r="H21655" t="str">
        <f t="shared" ref="H21655:H21718" si="388">IF(B21655="","",$C$12)</f>
        <v/>
      </c>
    </row>
    <row r="21656" spans="8:8" x14ac:dyDescent="0.3">
      <c r="H21656" t="str">
        <f t="shared" si="388"/>
        <v/>
      </c>
    </row>
    <row r="21657" spans="8:8" x14ac:dyDescent="0.3">
      <c r="H21657" t="str">
        <f t="shared" si="388"/>
        <v/>
      </c>
    </row>
    <row r="21658" spans="8:8" x14ac:dyDescent="0.3">
      <c r="H21658" t="str">
        <f t="shared" si="388"/>
        <v/>
      </c>
    </row>
    <row r="21659" spans="8:8" x14ac:dyDescent="0.3">
      <c r="H21659" t="str">
        <f t="shared" si="388"/>
        <v/>
      </c>
    </row>
    <row r="21660" spans="8:8" x14ac:dyDescent="0.3">
      <c r="H21660" t="str">
        <f t="shared" si="388"/>
        <v/>
      </c>
    </row>
    <row r="21661" spans="8:8" x14ac:dyDescent="0.3">
      <c r="H21661" t="str">
        <f t="shared" si="388"/>
        <v/>
      </c>
    </row>
    <row r="21662" spans="8:8" x14ac:dyDescent="0.3">
      <c r="H21662" t="str">
        <f t="shared" si="388"/>
        <v/>
      </c>
    </row>
    <row r="21663" spans="8:8" x14ac:dyDescent="0.3">
      <c r="H21663" t="str">
        <f t="shared" si="388"/>
        <v/>
      </c>
    </row>
    <row r="21664" spans="8:8" x14ac:dyDescent="0.3">
      <c r="H21664" t="str">
        <f t="shared" si="388"/>
        <v/>
      </c>
    </row>
    <row r="21665" spans="8:8" x14ac:dyDescent="0.3">
      <c r="H21665" t="str">
        <f t="shared" si="388"/>
        <v/>
      </c>
    </row>
    <row r="21666" spans="8:8" x14ac:dyDescent="0.3">
      <c r="H21666" t="str">
        <f t="shared" si="388"/>
        <v/>
      </c>
    </row>
    <row r="21667" spans="8:8" x14ac:dyDescent="0.3">
      <c r="H21667" t="str">
        <f t="shared" si="388"/>
        <v/>
      </c>
    </row>
    <row r="21668" spans="8:8" x14ac:dyDescent="0.3">
      <c r="H21668" t="str">
        <f t="shared" si="388"/>
        <v/>
      </c>
    </row>
    <row r="21669" spans="8:8" x14ac:dyDescent="0.3">
      <c r="H21669" t="str">
        <f t="shared" si="388"/>
        <v/>
      </c>
    </row>
    <row r="21670" spans="8:8" x14ac:dyDescent="0.3">
      <c r="H21670" t="str">
        <f t="shared" si="388"/>
        <v/>
      </c>
    </row>
    <row r="21671" spans="8:8" x14ac:dyDescent="0.3">
      <c r="H21671" t="str">
        <f t="shared" si="388"/>
        <v/>
      </c>
    </row>
    <row r="21672" spans="8:8" x14ac:dyDescent="0.3">
      <c r="H21672" t="str">
        <f t="shared" si="388"/>
        <v/>
      </c>
    </row>
    <row r="21673" spans="8:8" x14ac:dyDescent="0.3">
      <c r="H21673" t="str">
        <f t="shared" si="388"/>
        <v/>
      </c>
    </row>
    <row r="21674" spans="8:8" x14ac:dyDescent="0.3">
      <c r="H21674" t="str">
        <f t="shared" si="388"/>
        <v/>
      </c>
    </row>
    <row r="21675" spans="8:8" x14ac:dyDescent="0.3">
      <c r="H21675" t="str">
        <f t="shared" si="388"/>
        <v/>
      </c>
    </row>
    <row r="21676" spans="8:8" x14ac:dyDescent="0.3">
      <c r="H21676" t="str">
        <f t="shared" si="388"/>
        <v/>
      </c>
    </row>
    <row r="21677" spans="8:8" x14ac:dyDescent="0.3">
      <c r="H21677" t="str">
        <f t="shared" si="388"/>
        <v/>
      </c>
    </row>
    <row r="21678" spans="8:8" x14ac:dyDescent="0.3">
      <c r="H21678" t="str">
        <f t="shared" si="388"/>
        <v/>
      </c>
    </row>
    <row r="21679" spans="8:8" x14ac:dyDescent="0.3">
      <c r="H21679" t="str">
        <f t="shared" si="388"/>
        <v/>
      </c>
    </row>
    <row r="21680" spans="8:8" x14ac:dyDescent="0.3">
      <c r="H21680" t="str">
        <f t="shared" si="388"/>
        <v/>
      </c>
    </row>
    <row r="21681" spans="8:8" x14ac:dyDescent="0.3">
      <c r="H21681" t="str">
        <f t="shared" si="388"/>
        <v/>
      </c>
    </row>
    <row r="21682" spans="8:8" x14ac:dyDescent="0.3">
      <c r="H21682" t="str">
        <f t="shared" si="388"/>
        <v/>
      </c>
    </row>
    <row r="21683" spans="8:8" x14ac:dyDescent="0.3">
      <c r="H21683" t="str">
        <f t="shared" si="388"/>
        <v/>
      </c>
    </row>
    <row r="21684" spans="8:8" x14ac:dyDescent="0.3">
      <c r="H21684" t="str">
        <f t="shared" si="388"/>
        <v/>
      </c>
    </row>
    <row r="21685" spans="8:8" x14ac:dyDescent="0.3">
      <c r="H21685" t="str">
        <f t="shared" si="388"/>
        <v/>
      </c>
    </row>
    <row r="21686" spans="8:8" x14ac:dyDescent="0.3">
      <c r="H21686" t="str">
        <f t="shared" si="388"/>
        <v/>
      </c>
    </row>
    <row r="21687" spans="8:8" x14ac:dyDescent="0.3">
      <c r="H21687" t="str">
        <f t="shared" si="388"/>
        <v/>
      </c>
    </row>
    <row r="21688" spans="8:8" x14ac:dyDescent="0.3">
      <c r="H21688" t="str">
        <f t="shared" si="388"/>
        <v/>
      </c>
    </row>
    <row r="21689" spans="8:8" x14ac:dyDescent="0.3">
      <c r="H21689" t="str">
        <f t="shared" si="388"/>
        <v/>
      </c>
    </row>
    <row r="21690" spans="8:8" x14ac:dyDescent="0.3">
      <c r="H21690" t="str">
        <f t="shared" si="388"/>
        <v/>
      </c>
    </row>
    <row r="21691" spans="8:8" x14ac:dyDescent="0.3">
      <c r="H21691" t="str">
        <f t="shared" si="388"/>
        <v/>
      </c>
    </row>
    <row r="21692" spans="8:8" x14ac:dyDescent="0.3">
      <c r="H21692" t="str">
        <f t="shared" si="388"/>
        <v/>
      </c>
    </row>
    <row r="21693" spans="8:8" x14ac:dyDescent="0.3">
      <c r="H21693" t="str">
        <f t="shared" si="388"/>
        <v/>
      </c>
    </row>
    <row r="21694" spans="8:8" x14ac:dyDescent="0.3">
      <c r="H21694" t="str">
        <f t="shared" si="388"/>
        <v/>
      </c>
    </row>
    <row r="21695" spans="8:8" x14ac:dyDescent="0.3">
      <c r="H21695" t="str">
        <f t="shared" si="388"/>
        <v/>
      </c>
    </row>
    <row r="21696" spans="8:8" x14ac:dyDescent="0.3">
      <c r="H21696" t="str">
        <f t="shared" si="388"/>
        <v/>
      </c>
    </row>
    <row r="21697" spans="8:8" x14ac:dyDescent="0.3">
      <c r="H21697" t="str">
        <f t="shared" si="388"/>
        <v/>
      </c>
    </row>
    <row r="21698" spans="8:8" x14ac:dyDescent="0.3">
      <c r="H21698" t="str">
        <f t="shared" si="388"/>
        <v/>
      </c>
    </row>
    <row r="21699" spans="8:8" x14ac:dyDescent="0.3">
      <c r="H21699" t="str">
        <f t="shared" si="388"/>
        <v/>
      </c>
    </row>
    <row r="21700" spans="8:8" x14ac:dyDescent="0.3">
      <c r="H21700" t="str">
        <f t="shared" si="388"/>
        <v/>
      </c>
    </row>
    <row r="21701" spans="8:8" x14ac:dyDescent="0.3">
      <c r="H21701" t="str">
        <f t="shared" si="388"/>
        <v/>
      </c>
    </row>
    <row r="21702" spans="8:8" x14ac:dyDescent="0.3">
      <c r="H21702" t="str">
        <f t="shared" si="388"/>
        <v/>
      </c>
    </row>
    <row r="21703" spans="8:8" x14ac:dyDescent="0.3">
      <c r="H21703" t="str">
        <f t="shared" si="388"/>
        <v/>
      </c>
    </row>
    <row r="21704" spans="8:8" x14ac:dyDescent="0.3">
      <c r="H21704" t="str">
        <f t="shared" si="388"/>
        <v/>
      </c>
    </row>
    <row r="21705" spans="8:8" x14ac:dyDescent="0.3">
      <c r="H21705" t="str">
        <f t="shared" si="388"/>
        <v/>
      </c>
    </row>
    <row r="21706" spans="8:8" x14ac:dyDescent="0.3">
      <c r="H21706" t="str">
        <f t="shared" si="388"/>
        <v/>
      </c>
    </row>
    <row r="21707" spans="8:8" x14ac:dyDescent="0.3">
      <c r="H21707" t="str">
        <f t="shared" si="388"/>
        <v/>
      </c>
    </row>
    <row r="21708" spans="8:8" x14ac:dyDescent="0.3">
      <c r="H21708" t="str">
        <f t="shared" si="388"/>
        <v/>
      </c>
    </row>
    <row r="21709" spans="8:8" x14ac:dyDescent="0.3">
      <c r="H21709" t="str">
        <f t="shared" si="388"/>
        <v/>
      </c>
    </row>
    <row r="21710" spans="8:8" x14ac:dyDescent="0.3">
      <c r="H21710" t="str">
        <f t="shared" si="388"/>
        <v/>
      </c>
    </row>
    <row r="21711" spans="8:8" x14ac:dyDescent="0.3">
      <c r="H21711" t="str">
        <f t="shared" si="388"/>
        <v/>
      </c>
    </row>
    <row r="21712" spans="8:8" x14ac:dyDescent="0.3">
      <c r="H21712" t="str">
        <f t="shared" si="388"/>
        <v/>
      </c>
    </row>
    <row r="21713" spans="8:8" x14ac:dyDescent="0.3">
      <c r="H21713" t="str">
        <f t="shared" si="388"/>
        <v/>
      </c>
    </row>
    <row r="21714" spans="8:8" x14ac:dyDescent="0.3">
      <c r="H21714" t="str">
        <f t="shared" si="388"/>
        <v/>
      </c>
    </row>
    <row r="21715" spans="8:8" x14ac:dyDescent="0.3">
      <c r="H21715" t="str">
        <f t="shared" si="388"/>
        <v/>
      </c>
    </row>
    <row r="21716" spans="8:8" x14ac:dyDescent="0.3">
      <c r="H21716" t="str">
        <f t="shared" si="388"/>
        <v/>
      </c>
    </row>
    <row r="21717" spans="8:8" x14ac:dyDescent="0.3">
      <c r="H21717" t="str">
        <f t="shared" si="388"/>
        <v/>
      </c>
    </row>
    <row r="21718" spans="8:8" x14ac:dyDescent="0.3">
      <c r="H21718" t="str">
        <f t="shared" si="388"/>
        <v/>
      </c>
    </row>
    <row r="21719" spans="8:8" x14ac:dyDescent="0.3">
      <c r="H21719" t="str">
        <f t="shared" ref="H21719:H21782" si="389">IF(B21719="","",$C$12)</f>
        <v/>
      </c>
    </row>
    <row r="21720" spans="8:8" x14ac:dyDescent="0.3">
      <c r="H21720" t="str">
        <f t="shared" si="389"/>
        <v/>
      </c>
    </row>
    <row r="21721" spans="8:8" x14ac:dyDescent="0.3">
      <c r="H21721" t="str">
        <f t="shared" si="389"/>
        <v/>
      </c>
    </row>
    <row r="21722" spans="8:8" x14ac:dyDescent="0.3">
      <c r="H21722" t="str">
        <f t="shared" si="389"/>
        <v/>
      </c>
    </row>
    <row r="21723" spans="8:8" x14ac:dyDescent="0.3">
      <c r="H21723" t="str">
        <f t="shared" si="389"/>
        <v/>
      </c>
    </row>
    <row r="21724" spans="8:8" x14ac:dyDescent="0.3">
      <c r="H21724" t="str">
        <f t="shared" si="389"/>
        <v/>
      </c>
    </row>
    <row r="21725" spans="8:8" x14ac:dyDescent="0.3">
      <c r="H21725" t="str">
        <f t="shared" si="389"/>
        <v/>
      </c>
    </row>
    <row r="21726" spans="8:8" x14ac:dyDescent="0.3">
      <c r="H21726" t="str">
        <f t="shared" si="389"/>
        <v/>
      </c>
    </row>
    <row r="21727" spans="8:8" x14ac:dyDescent="0.3">
      <c r="H21727" t="str">
        <f t="shared" si="389"/>
        <v/>
      </c>
    </row>
    <row r="21728" spans="8:8" x14ac:dyDescent="0.3">
      <c r="H21728" t="str">
        <f t="shared" si="389"/>
        <v/>
      </c>
    </row>
    <row r="21729" spans="8:8" x14ac:dyDescent="0.3">
      <c r="H21729" t="str">
        <f t="shared" si="389"/>
        <v/>
      </c>
    </row>
    <row r="21730" spans="8:8" x14ac:dyDescent="0.3">
      <c r="H21730" t="str">
        <f t="shared" si="389"/>
        <v/>
      </c>
    </row>
    <row r="21731" spans="8:8" x14ac:dyDescent="0.3">
      <c r="H21731" t="str">
        <f t="shared" si="389"/>
        <v/>
      </c>
    </row>
    <row r="21732" spans="8:8" x14ac:dyDescent="0.3">
      <c r="H21732" t="str">
        <f t="shared" si="389"/>
        <v/>
      </c>
    </row>
    <row r="21733" spans="8:8" x14ac:dyDescent="0.3">
      <c r="H21733" t="str">
        <f t="shared" si="389"/>
        <v/>
      </c>
    </row>
    <row r="21734" spans="8:8" x14ac:dyDescent="0.3">
      <c r="H21734" t="str">
        <f t="shared" si="389"/>
        <v/>
      </c>
    </row>
    <row r="21735" spans="8:8" x14ac:dyDescent="0.3">
      <c r="H21735" t="str">
        <f t="shared" si="389"/>
        <v/>
      </c>
    </row>
    <row r="21736" spans="8:8" x14ac:dyDescent="0.3">
      <c r="H21736" t="str">
        <f t="shared" si="389"/>
        <v/>
      </c>
    </row>
    <row r="21737" spans="8:8" x14ac:dyDescent="0.3">
      <c r="H21737" t="str">
        <f t="shared" si="389"/>
        <v/>
      </c>
    </row>
    <row r="21738" spans="8:8" x14ac:dyDescent="0.3">
      <c r="H21738" t="str">
        <f t="shared" si="389"/>
        <v/>
      </c>
    </row>
    <row r="21739" spans="8:8" x14ac:dyDescent="0.3">
      <c r="H21739" t="str">
        <f t="shared" si="389"/>
        <v/>
      </c>
    </row>
    <row r="21740" spans="8:8" x14ac:dyDescent="0.3">
      <c r="H21740" t="str">
        <f t="shared" si="389"/>
        <v/>
      </c>
    </row>
    <row r="21741" spans="8:8" x14ac:dyDescent="0.3">
      <c r="H21741" t="str">
        <f t="shared" si="389"/>
        <v/>
      </c>
    </row>
    <row r="21742" spans="8:8" x14ac:dyDescent="0.3">
      <c r="H21742" t="str">
        <f t="shared" si="389"/>
        <v/>
      </c>
    </row>
    <row r="21743" spans="8:8" x14ac:dyDescent="0.3">
      <c r="H21743" t="str">
        <f t="shared" si="389"/>
        <v/>
      </c>
    </row>
    <row r="21744" spans="8:8" x14ac:dyDescent="0.3">
      <c r="H21744" t="str">
        <f t="shared" si="389"/>
        <v/>
      </c>
    </row>
    <row r="21745" spans="8:8" x14ac:dyDescent="0.3">
      <c r="H21745" t="str">
        <f t="shared" si="389"/>
        <v/>
      </c>
    </row>
    <row r="21746" spans="8:8" x14ac:dyDescent="0.3">
      <c r="H21746" t="str">
        <f t="shared" si="389"/>
        <v/>
      </c>
    </row>
    <row r="21747" spans="8:8" x14ac:dyDescent="0.3">
      <c r="H21747" t="str">
        <f t="shared" si="389"/>
        <v/>
      </c>
    </row>
    <row r="21748" spans="8:8" x14ac:dyDescent="0.3">
      <c r="H21748" t="str">
        <f t="shared" si="389"/>
        <v/>
      </c>
    </row>
    <row r="21749" spans="8:8" x14ac:dyDescent="0.3">
      <c r="H21749" t="str">
        <f t="shared" si="389"/>
        <v/>
      </c>
    </row>
    <row r="21750" spans="8:8" x14ac:dyDescent="0.3">
      <c r="H21750" t="str">
        <f t="shared" si="389"/>
        <v/>
      </c>
    </row>
    <row r="21751" spans="8:8" x14ac:dyDescent="0.3">
      <c r="H21751" t="str">
        <f t="shared" si="389"/>
        <v/>
      </c>
    </row>
    <row r="21752" spans="8:8" x14ac:dyDescent="0.3">
      <c r="H21752" t="str">
        <f t="shared" si="389"/>
        <v/>
      </c>
    </row>
    <row r="21753" spans="8:8" x14ac:dyDescent="0.3">
      <c r="H21753" t="str">
        <f t="shared" si="389"/>
        <v/>
      </c>
    </row>
    <row r="21754" spans="8:8" x14ac:dyDescent="0.3">
      <c r="H21754" t="str">
        <f t="shared" si="389"/>
        <v/>
      </c>
    </row>
    <row r="21755" spans="8:8" x14ac:dyDescent="0.3">
      <c r="H21755" t="str">
        <f t="shared" si="389"/>
        <v/>
      </c>
    </row>
    <row r="21756" spans="8:8" x14ac:dyDescent="0.3">
      <c r="H21756" t="str">
        <f t="shared" si="389"/>
        <v/>
      </c>
    </row>
    <row r="21757" spans="8:8" x14ac:dyDescent="0.3">
      <c r="H21757" t="str">
        <f t="shared" si="389"/>
        <v/>
      </c>
    </row>
    <row r="21758" spans="8:8" x14ac:dyDescent="0.3">
      <c r="H21758" t="str">
        <f t="shared" si="389"/>
        <v/>
      </c>
    </row>
    <row r="21759" spans="8:8" x14ac:dyDescent="0.3">
      <c r="H21759" t="str">
        <f t="shared" si="389"/>
        <v/>
      </c>
    </row>
    <row r="21760" spans="8:8" x14ac:dyDescent="0.3">
      <c r="H21760" t="str">
        <f t="shared" si="389"/>
        <v/>
      </c>
    </row>
    <row r="21761" spans="8:8" x14ac:dyDescent="0.3">
      <c r="H21761" t="str">
        <f t="shared" si="389"/>
        <v/>
      </c>
    </row>
    <row r="21762" spans="8:8" x14ac:dyDescent="0.3">
      <c r="H21762" t="str">
        <f t="shared" si="389"/>
        <v/>
      </c>
    </row>
    <row r="21763" spans="8:8" x14ac:dyDescent="0.3">
      <c r="H21763" t="str">
        <f t="shared" si="389"/>
        <v/>
      </c>
    </row>
    <row r="21764" spans="8:8" x14ac:dyDescent="0.3">
      <c r="H21764" t="str">
        <f t="shared" si="389"/>
        <v/>
      </c>
    </row>
    <row r="21765" spans="8:8" x14ac:dyDescent="0.3">
      <c r="H21765" t="str">
        <f t="shared" si="389"/>
        <v/>
      </c>
    </row>
    <row r="21766" spans="8:8" x14ac:dyDescent="0.3">
      <c r="H21766" t="str">
        <f t="shared" si="389"/>
        <v/>
      </c>
    </row>
    <row r="21767" spans="8:8" x14ac:dyDescent="0.3">
      <c r="H21767" t="str">
        <f t="shared" si="389"/>
        <v/>
      </c>
    </row>
    <row r="21768" spans="8:8" x14ac:dyDescent="0.3">
      <c r="H21768" t="str">
        <f t="shared" si="389"/>
        <v/>
      </c>
    </row>
    <row r="21769" spans="8:8" x14ac:dyDescent="0.3">
      <c r="H21769" t="str">
        <f t="shared" si="389"/>
        <v/>
      </c>
    </row>
    <row r="21770" spans="8:8" x14ac:dyDescent="0.3">
      <c r="H21770" t="str">
        <f t="shared" si="389"/>
        <v/>
      </c>
    </row>
    <row r="21771" spans="8:8" x14ac:dyDescent="0.3">
      <c r="H21771" t="str">
        <f t="shared" si="389"/>
        <v/>
      </c>
    </row>
    <row r="21772" spans="8:8" x14ac:dyDescent="0.3">
      <c r="H21772" t="str">
        <f t="shared" si="389"/>
        <v/>
      </c>
    </row>
    <row r="21773" spans="8:8" x14ac:dyDescent="0.3">
      <c r="H21773" t="str">
        <f t="shared" si="389"/>
        <v/>
      </c>
    </row>
    <row r="21774" spans="8:8" x14ac:dyDescent="0.3">
      <c r="H21774" t="str">
        <f t="shared" si="389"/>
        <v/>
      </c>
    </row>
    <row r="21775" spans="8:8" x14ac:dyDescent="0.3">
      <c r="H21775" t="str">
        <f t="shared" si="389"/>
        <v/>
      </c>
    </row>
    <row r="21776" spans="8:8" x14ac:dyDescent="0.3">
      <c r="H21776" t="str">
        <f t="shared" si="389"/>
        <v/>
      </c>
    </row>
    <row r="21777" spans="8:8" x14ac:dyDescent="0.3">
      <c r="H21777" t="str">
        <f t="shared" si="389"/>
        <v/>
      </c>
    </row>
    <row r="21778" spans="8:8" x14ac:dyDescent="0.3">
      <c r="H21778" t="str">
        <f t="shared" si="389"/>
        <v/>
      </c>
    </row>
    <row r="21779" spans="8:8" x14ac:dyDescent="0.3">
      <c r="H21779" t="str">
        <f t="shared" si="389"/>
        <v/>
      </c>
    </row>
    <row r="21780" spans="8:8" x14ac:dyDescent="0.3">
      <c r="H21780" t="str">
        <f t="shared" si="389"/>
        <v/>
      </c>
    </row>
    <row r="21781" spans="8:8" x14ac:dyDescent="0.3">
      <c r="H21781" t="str">
        <f t="shared" si="389"/>
        <v/>
      </c>
    </row>
    <row r="21782" spans="8:8" x14ac:dyDescent="0.3">
      <c r="H21782" t="str">
        <f t="shared" si="389"/>
        <v/>
      </c>
    </row>
    <row r="21783" spans="8:8" x14ac:dyDescent="0.3">
      <c r="H21783" t="str">
        <f t="shared" ref="H21783:H21846" si="390">IF(B21783="","",$C$12)</f>
        <v/>
      </c>
    </row>
    <row r="21784" spans="8:8" x14ac:dyDescent="0.3">
      <c r="H21784" t="str">
        <f t="shared" si="390"/>
        <v/>
      </c>
    </row>
    <row r="21785" spans="8:8" x14ac:dyDescent="0.3">
      <c r="H21785" t="str">
        <f t="shared" si="390"/>
        <v/>
      </c>
    </row>
    <row r="21786" spans="8:8" x14ac:dyDescent="0.3">
      <c r="H21786" t="str">
        <f t="shared" si="390"/>
        <v/>
      </c>
    </row>
    <row r="21787" spans="8:8" x14ac:dyDescent="0.3">
      <c r="H21787" t="str">
        <f t="shared" si="390"/>
        <v/>
      </c>
    </row>
    <row r="21788" spans="8:8" x14ac:dyDescent="0.3">
      <c r="H21788" t="str">
        <f t="shared" si="390"/>
        <v/>
      </c>
    </row>
    <row r="21789" spans="8:8" x14ac:dyDescent="0.3">
      <c r="H21789" t="str">
        <f t="shared" si="390"/>
        <v/>
      </c>
    </row>
    <row r="21790" spans="8:8" x14ac:dyDescent="0.3">
      <c r="H21790" t="str">
        <f t="shared" si="390"/>
        <v/>
      </c>
    </row>
    <row r="21791" spans="8:8" x14ac:dyDescent="0.3">
      <c r="H21791" t="str">
        <f t="shared" si="390"/>
        <v/>
      </c>
    </row>
    <row r="21792" spans="8:8" x14ac:dyDescent="0.3">
      <c r="H21792" t="str">
        <f t="shared" si="390"/>
        <v/>
      </c>
    </row>
    <row r="21793" spans="8:8" x14ac:dyDescent="0.3">
      <c r="H21793" t="str">
        <f t="shared" si="390"/>
        <v/>
      </c>
    </row>
    <row r="21794" spans="8:8" x14ac:dyDescent="0.3">
      <c r="H21794" t="str">
        <f t="shared" si="390"/>
        <v/>
      </c>
    </row>
    <row r="21795" spans="8:8" x14ac:dyDescent="0.3">
      <c r="H21795" t="str">
        <f t="shared" si="390"/>
        <v/>
      </c>
    </row>
    <row r="21796" spans="8:8" x14ac:dyDescent="0.3">
      <c r="H21796" t="str">
        <f t="shared" si="390"/>
        <v/>
      </c>
    </row>
    <row r="21797" spans="8:8" x14ac:dyDescent="0.3">
      <c r="H21797" t="str">
        <f t="shared" si="390"/>
        <v/>
      </c>
    </row>
    <row r="21798" spans="8:8" x14ac:dyDescent="0.3">
      <c r="H21798" t="str">
        <f t="shared" si="390"/>
        <v/>
      </c>
    </row>
    <row r="21799" spans="8:8" x14ac:dyDescent="0.3">
      <c r="H21799" t="str">
        <f t="shared" si="390"/>
        <v/>
      </c>
    </row>
    <row r="21800" spans="8:8" x14ac:dyDescent="0.3">
      <c r="H21800" t="str">
        <f t="shared" si="390"/>
        <v/>
      </c>
    </row>
    <row r="21801" spans="8:8" x14ac:dyDescent="0.3">
      <c r="H21801" t="str">
        <f t="shared" si="390"/>
        <v/>
      </c>
    </row>
    <row r="21802" spans="8:8" x14ac:dyDescent="0.3">
      <c r="H21802" t="str">
        <f t="shared" si="390"/>
        <v/>
      </c>
    </row>
    <row r="21803" spans="8:8" x14ac:dyDescent="0.3">
      <c r="H21803" t="str">
        <f t="shared" si="390"/>
        <v/>
      </c>
    </row>
    <row r="21804" spans="8:8" x14ac:dyDescent="0.3">
      <c r="H21804" t="str">
        <f t="shared" si="390"/>
        <v/>
      </c>
    </row>
    <row r="21805" spans="8:8" x14ac:dyDescent="0.3">
      <c r="H21805" t="str">
        <f t="shared" si="390"/>
        <v/>
      </c>
    </row>
    <row r="21806" spans="8:8" x14ac:dyDescent="0.3">
      <c r="H21806" t="str">
        <f t="shared" si="390"/>
        <v/>
      </c>
    </row>
    <row r="21807" spans="8:8" x14ac:dyDescent="0.3">
      <c r="H21807" t="str">
        <f t="shared" si="390"/>
        <v/>
      </c>
    </row>
    <row r="21808" spans="8:8" x14ac:dyDescent="0.3">
      <c r="H21808" t="str">
        <f t="shared" si="390"/>
        <v/>
      </c>
    </row>
    <row r="21809" spans="8:8" x14ac:dyDescent="0.3">
      <c r="H21809" t="str">
        <f t="shared" si="390"/>
        <v/>
      </c>
    </row>
    <row r="21810" spans="8:8" x14ac:dyDescent="0.3">
      <c r="H21810" t="str">
        <f t="shared" si="390"/>
        <v/>
      </c>
    </row>
    <row r="21811" spans="8:8" x14ac:dyDescent="0.3">
      <c r="H21811" t="str">
        <f t="shared" si="390"/>
        <v/>
      </c>
    </row>
    <row r="21812" spans="8:8" x14ac:dyDescent="0.3">
      <c r="H21812" t="str">
        <f t="shared" si="390"/>
        <v/>
      </c>
    </row>
    <row r="21813" spans="8:8" x14ac:dyDescent="0.3">
      <c r="H21813" t="str">
        <f t="shared" si="390"/>
        <v/>
      </c>
    </row>
    <row r="21814" spans="8:8" x14ac:dyDescent="0.3">
      <c r="H21814" t="str">
        <f t="shared" si="390"/>
        <v/>
      </c>
    </row>
    <row r="21815" spans="8:8" x14ac:dyDescent="0.3">
      <c r="H21815" t="str">
        <f t="shared" si="390"/>
        <v/>
      </c>
    </row>
    <row r="21816" spans="8:8" x14ac:dyDescent="0.3">
      <c r="H21816" t="str">
        <f t="shared" si="390"/>
        <v/>
      </c>
    </row>
    <row r="21817" spans="8:8" x14ac:dyDescent="0.3">
      <c r="H21817" t="str">
        <f t="shared" si="390"/>
        <v/>
      </c>
    </row>
    <row r="21818" spans="8:8" x14ac:dyDescent="0.3">
      <c r="H21818" t="str">
        <f t="shared" si="390"/>
        <v/>
      </c>
    </row>
    <row r="21819" spans="8:8" x14ac:dyDescent="0.3">
      <c r="H21819" t="str">
        <f t="shared" si="390"/>
        <v/>
      </c>
    </row>
    <row r="21820" spans="8:8" x14ac:dyDescent="0.3">
      <c r="H21820" t="str">
        <f t="shared" si="390"/>
        <v/>
      </c>
    </row>
    <row r="21821" spans="8:8" x14ac:dyDescent="0.3">
      <c r="H21821" t="str">
        <f t="shared" si="390"/>
        <v/>
      </c>
    </row>
    <row r="21822" spans="8:8" x14ac:dyDescent="0.3">
      <c r="H21822" t="str">
        <f t="shared" si="390"/>
        <v/>
      </c>
    </row>
    <row r="21823" spans="8:8" x14ac:dyDescent="0.3">
      <c r="H21823" t="str">
        <f t="shared" si="390"/>
        <v/>
      </c>
    </row>
    <row r="21824" spans="8:8" x14ac:dyDescent="0.3">
      <c r="H21824" t="str">
        <f t="shared" si="390"/>
        <v/>
      </c>
    </row>
    <row r="21825" spans="8:8" x14ac:dyDescent="0.3">
      <c r="H21825" t="str">
        <f t="shared" si="390"/>
        <v/>
      </c>
    </row>
    <row r="21826" spans="8:8" x14ac:dyDescent="0.3">
      <c r="H21826" t="str">
        <f t="shared" si="390"/>
        <v/>
      </c>
    </row>
    <row r="21827" spans="8:8" x14ac:dyDescent="0.3">
      <c r="H21827" t="str">
        <f t="shared" si="390"/>
        <v/>
      </c>
    </row>
    <row r="21828" spans="8:8" x14ac:dyDescent="0.3">
      <c r="H21828" t="str">
        <f t="shared" si="390"/>
        <v/>
      </c>
    </row>
    <row r="21829" spans="8:8" x14ac:dyDescent="0.3">
      <c r="H21829" t="str">
        <f t="shared" si="390"/>
        <v/>
      </c>
    </row>
    <row r="21830" spans="8:8" x14ac:dyDescent="0.3">
      <c r="H21830" t="str">
        <f t="shared" si="390"/>
        <v/>
      </c>
    </row>
    <row r="21831" spans="8:8" x14ac:dyDescent="0.3">
      <c r="H21831" t="str">
        <f t="shared" si="390"/>
        <v/>
      </c>
    </row>
    <row r="21832" spans="8:8" x14ac:dyDescent="0.3">
      <c r="H21832" t="str">
        <f t="shared" si="390"/>
        <v/>
      </c>
    </row>
    <row r="21833" spans="8:8" x14ac:dyDescent="0.3">
      <c r="H21833" t="str">
        <f t="shared" si="390"/>
        <v/>
      </c>
    </row>
    <row r="21834" spans="8:8" x14ac:dyDescent="0.3">
      <c r="H21834" t="str">
        <f t="shared" si="390"/>
        <v/>
      </c>
    </row>
    <row r="21835" spans="8:8" x14ac:dyDescent="0.3">
      <c r="H21835" t="str">
        <f t="shared" si="390"/>
        <v/>
      </c>
    </row>
    <row r="21836" spans="8:8" x14ac:dyDescent="0.3">
      <c r="H21836" t="str">
        <f t="shared" si="390"/>
        <v/>
      </c>
    </row>
    <row r="21837" spans="8:8" x14ac:dyDescent="0.3">
      <c r="H21837" t="str">
        <f t="shared" si="390"/>
        <v/>
      </c>
    </row>
    <row r="21838" spans="8:8" x14ac:dyDescent="0.3">
      <c r="H21838" t="str">
        <f t="shared" si="390"/>
        <v/>
      </c>
    </row>
    <row r="21839" spans="8:8" x14ac:dyDescent="0.3">
      <c r="H21839" t="str">
        <f t="shared" si="390"/>
        <v/>
      </c>
    </row>
    <row r="21840" spans="8:8" x14ac:dyDescent="0.3">
      <c r="H21840" t="str">
        <f t="shared" si="390"/>
        <v/>
      </c>
    </row>
    <row r="21841" spans="8:8" x14ac:dyDescent="0.3">
      <c r="H21841" t="str">
        <f t="shared" si="390"/>
        <v/>
      </c>
    </row>
    <row r="21842" spans="8:8" x14ac:dyDescent="0.3">
      <c r="H21842" t="str">
        <f t="shared" si="390"/>
        <v/>
      </c>
    </row>
    <row r="21843" spans="8:8" x14ac:dyDescent="0.3">
      <c r="H21843" t="str">
        <f t="shared" si="390"/>
        <v/>
      </c>
    </row>
    <row r="21844" spans="8:8" x14ac:dyDescent="0.3">
      <c r="H21844" t="str">
        <f t="shared" si="390"/>
        <v/>
      </c>
    </row>
    <row r="21845" spans="8:8" x14ac:dyDescent="0.3">
      <c r="H21845" t="str">
        <f t="shared" si="390"/>
        <v/>
      </c>
    </row>
    <row r="21846" spans="8:8" x14ac:dyDescent="0.3">
      <c r="H21846" t="str">
        <f t="shared" si="390"/>
        <v/>
      </c>
    </row>
    <row r="21847" spans="8:8" x14ac:dyDescent="0.3">
      <c r="H21847" t="str">
        <f t="shared" ref="H21847:H21910" si="391">IF(B21847="","",$C$12)</f>
        <v/>
      </c>
    </row>
    <row r="21848" spans="8:8" x14ac:dyDescent="0.3">
      <c r="H21848" t="str">
        <f t="shared" si="391"/>
        <v/>
      </c>
    </row>
    <row r="21849" spans="8:8" x14ac:dyDescent="0.3">
      <c r="H21849" t="str">
        <f t="shared" si="391"/>
        <v/>
      </c>
    </row>
    <row r="21850" spans="8:8" x14ac:dyDescent="0.3">
      <c r="H21850" t="str">
        <f t="shared" si="391"/>
        <v/>
      </c>
    </row>
    <row r="21851" spans="8:8" x14ac:dyDescent="0.3">
      <c r="H21851" t="str">
        <f t="shared" si="391"/>
        <v/>
      </c>
    </row>
    <row r="21852" spans="8:8" x14ac:dyDescent="0.3">
      <c r="H21852" t="str">
        <f t="shared" si="391"/>
        <v/>
      </c>
    </row>
    <row r="21853" spans="8:8" x14ac:dyDescent="0.3">
      <c r="H21853" t="str">
        <f t="shared" si="391"/>
        <v/>
      </c>
    </row>
    <row r="21854" spans="8:8" x14ac:dyDescent="0.3">
      <c r="H21854" t="str">
        <f t="shared" si="391"/>
        <v/>
      </c>
    </row>
    <row r="21855" spans="8:8" x14ac:dyDescent="0.3">
      <c r="H21855" t="str">
        <f t="shared" si="391"/>
        <v/>
      </c>
    </row>
    <row r="21856" spans="8:8" x14ac:dyDescent="0.3">
      <c r="H21856" t="str">
        <f t="shared" si="391"/>
        <v/>
      </c>
    </row>
    <row r="21857" spans="8:8" x14ac:dyDescent="0.3">
      <c r="H21857" t="str">
        <f t="shared" si="391"/>
        <v/>
      </c>
    </row>
    <row r="21858" spans="8:8" x14ac:dyDescent="0.3">
      <c r="H21858" t="str">
        <f t="shared" si="391"/>
        <v/>
      </c>
    </row>
    <row r="21859" spans="8:8" x14ac:dyDescent="0.3">
      <c r="H21859" t="str">
        <f t="shared" si="391"/>
        <v/>
      </c>
    </row>
    <row r="21860" spans="8:8" x14ac:dyDescent="0.3">
      <c r="H21860" t="str">
        <f t="shared" si="391"/>
        <v/>
      </c>
    </row>
    <row r="21861" spans="8:8" x14ac:dyDescent="0.3">
      <c r="H21861" t="str">
        <f t="shared" si="391"/>
        <v/>
      </c>
    </row>
    <row r="21862" spans="8:8" x14ac:dyDescent="0.3">
      <c r="H21862" t="str">
        <f t="shared" si="391"/>
        <v/>
      </c>
    </row>
    <row r="21863" spans="8:8" x14ac:dyDescent="0.3">
      <c r="H21863" t="str">
        <f t="shared" si="391"/>
        <v/>
      </c>
    </row>
    <row r="21864" spans="8:8" x14ac:dyDescent="0.3">
      <c r="H21864" t="str">
        <f t="shared" si="391"/>
        <v/>
      </c>
    </row>
    <row r="21865" spans="8:8" x14ac:dyDescent="0.3">
      <c r="H21865" t="str">
        <f t="shared" si="391"/>
        <v/>
      </c>
    </row>
    <row r="21866" spans="8:8" x14ac:dyDescent="0.3">
      <c r="H21866" t="str">
        <f t="shared" si="391"/>
        <v/>
      </c>
    </row>
    <row r="21867" spans="8:8" x14ac:dyDescent="0.3">
      <c r="H21867" t="str">
        <f t="shared" si="391"/>
        <v/>
      </c>
    </row>
    <row r="21868" spans="8:8" x14ac:dyDescent="0.3">
      <c r="H21868" t="str">
        <f t="shared" si="391"/>
        <v/>
      </c>
    </row>
    <row r="21869" spans="8:8" x14ac:dyDescent="0.3">
      <c r="H21869" t="str">
        <f t="shared" si="391"/>
        <v/>
      </c>
    </row>
    <row r="21870" spans="8:8" x14ac:dyDescent="0.3">
      <c r="H21870" t="str">
        <f t="shared" si="391"/>
        <v/>
      </c>
    </row>
    <row r="21871" spans="8:8" x14ac:dyDescent="0.3">
      <c r="H21871" t="str">
        <f t="shared" si="391"/>
        <v/>
      </c>
    </row>
    <row r="21872" spans="8:8" x14ac:dyDescent="0.3">
      <c r="H21872" t="str">
        <f t="shared" si="391"/>
        <v/>
      </c>
    </row>
    <row r="21873" spans="8:8" x14ac:dyDescent="0.3">
      <c r="H21873" t="str">
        <f t="shared" si="391"/>
        <v/>
      </c>
    </row>
    <row r="21874" spans="8:8" x14ac:dyDescent="0.3">
      <c r="H21874" t="str">
        <f t="shared" si="391"/>
        <v/>
      </c>
    </row>
    <row r="21875" spans="8:8" x14ac:dyDescent="0.3">
      <c r="H21875" t="str">
        <f t="shared" si="391"/>
        <v/>
      </c>
    </row>
    <row r="21876" spans="8:8" x14ac:dyDescent="0.3">
      <c r="H21876" t="str">
        <f t="shared" si="391"/>
        <v/>
      </c>
    </row>
    <row r="21877" spans="8:8" x14ac:dyDescent="0.3">
      <c r="H21877" t="str">
        <f t="shared" si="391"/>
        <v/>
      </c>
    </row>
    <row r="21878" spans="8:8" x14ac:dyDescent="0.3">
      <c r="H21878" t="str">
        <f t="shared" si="391"/>
        <v/>
      </c>
    </row>
    <row r="21879" spans="8:8" x14ac:dyDescent="0.3">
      <c r="H21879" t="str">
        <f t="shared" si="391"/>
        <v/>
      </c>
    </row>
    <row r="21880" spans="8:8" x14ac:dyDescent="0.3">
      <c r="H21880" t="str">
        <f t="shared" si="391"/>
        <v/>
      </c>
    </row>
    <row r="21881" spans="8:8" x14ac:dyDescent="0.3">
      <c r="H21881" t="str">
        <f t="shared" si="391"/>
        <v/>
      </c>
    </row>
    <row r="21882" spans="8:8" x14ac:dyDescent="0.3">
      <c r="H21882" t="str">
        <f t="shared" si="391"/>
        <v/>
      </c>
    </row>
    <row r="21883" spans="8:8" x14ac:dyDescent="0.3">
      <c r="H21883" t="str">
        <f t="shared" si="391"/>
        <v/>
      </c>
    </row>
    <row r="21884" spans="8:8" x14ac:dyDescent="0.3">
      <c r="H21884" t="str">
        <f t="shared" si="391"/>
        <v/>
      </c>
    </row>
    <row r="21885" spans="8:8" x14ac:dyDescent="0.3">
      <c r="H21885" t="str">
        <f t="shared" si="391"/>
        <v/>
      </c>
    </row>
    <row r="21886" spans="8:8" x14ac:dyDescent="0.3">
      <c r="H21886" t="str">
        <f t="shared" si="391"/>
        <v/>
      </c>
    </row>
    <row r="21887" spans="8:8" x14ac:dyDescent="0.3">
      <c r="H21887" t="str">
        <f t="shared" si="391"/>
        <v/>
      </c>
    </row>
    <row r="21888" spans="8:8" x14ac:dyDescent="0.3">
      <c r="H21888" t="str">
        <f t="shared" si="391"/>
        <v/>
      </c>
    </row>
    <row r="21889" spans="8:8" x14ac:dyDescent="0.3">
      <c r="H21889" t="str">
        <f t="shared" si="391"/>
        <v/>
      </c>
    </row>
    <row r="21890" spans="8:8" x14ac:dyDescent="0.3">
      <c r="H21890" t="str">
        <f t="shared" si="391"/>
        <v/>
      </c>
    </row>
    <row r="21891" spans="8:8" x14ac:dyDescent="0.3">
      <c r="H21891" t="str">
        <f t="shared" si="391"/>
        <v/>
      </c>
    </row>
    <row r="21892" spans="8:8" x14ac:dyDescent="0.3">
      <c r="H21892" t="str">
        <f t="shared" si="391"/>
        <v/>
      </c>
    </row>
    <row r="21893" spans="8:8" x14ac:dyDescent="0.3">
      <c r="H21893" t="str">
        <f t="shared" si="391"/>
        <v/>
      </c>
    </row>
    <row r="21894" spans="8:8" x14ac:dyDescent="0.3">
      <c r="H21894" t="str">
        <f t="shared" si="391"/>
        <v/>
      </c>
    </row>
    <row r="21895" spans="8:8" x14ac:dyDescent="0.3">
      <c r="H21895" t="str">
        <f t="shared" si="391"/>
        <v/>
      </c>
    </row>
    <row r="21896" spans="8:8" x14ac:dyDescent="0.3">
      <c r="H21896" t="str">
        <f t="shared" si="391"/>
        <v/>
      </c>
    </row>
    <row r="21897" spans="8:8" x14ac:dyDescent="0.3">
      <c r="H21897" t="str">
        <f t="shared" si="391"/>
        <v/>
      </c>
    </row>
    <row r="21898" spans="8:8" x14ac:dyDescent="0.3">
      <c r="H21898" t="str">
        <f t="shared" si="391"/>
        <v/>
      </c>
    </row>
    <row r="21899" spans="8:8" x14ac:dyDescent="0.3">
      <c r="H21899" t="str">
        <f t="shared" si="391"/>
        <v/>
      </c>
    </row>
    <row r="21900" spans="8:8" x14ac:dyDescent="0.3">
      <c r="H21900" t="str">
        <f t="shared" si="391"/>
        <v/>
      </c>
    </row>
    <row r="21901" spans="8:8" x14ac:dyDescent="0.3">
      <c r="H21901" t="str">
        <f t="shared" si="391"/>
        <v/>
      </c>
    </row>
    <row r="21902" spans="8:8" x14ac:dyDescent="0.3">
      <c r="H21902" t="str">
        <f t="shared" si="391"/>
        <v/>
      </c>
    </row>
    <row r="21903" spans="8:8" x14ac:dyDescent="0.3">
      <c r="H21903" t="str">
        <f t="shared" si="391"/>
        <v/>
      </c>
    </row>
    <row r="21904" spans="8:8" x14ac:dyDescent="0.3">
      <c r="H21904" t="str">
        <f t="shared" si="391"/>
        <v/>
      </c>
    </row>
    <row r="21905" spans="8:8" x14ac:dyDescent="0.3">
      <c r="H21905" t="str">
        <f t="shared" si="391"/>
        <v/>
      </c>
    </row>
    <row r="21906" spans="8:8" x14ac:dyDescent="0.3">
      <c r="H21906" t="str">
        <f t="shared" si="391"/>
        <v/>
      </c>
    </row>
    <row r="21907" spans="8:8" x14ac:dyDescent="0.3">
      <c r="H21907" t="str">
        <f t="shared" si="391"/>
        <v/>
      </c>
    </row>
    <row r="21908" spans="8:8" x14ac:dyDescent="0.3">
      <c r="H21908" t="str">
        <f t="shared" si="391"/>
        <v/>
      </c>
    </row>
    <row r="21909" spans="8:8" x14ac:dyDescent="0.3">
      <c r="H21909" t="str">
        <f t="shared" si="391"/>
        <v/>
      </c>
    </row>
    <row r="21910" spans="8:8" x14ac:dyDescent="0.3">
      <c r="H21910" t="str">
        <f t="shared" si="391"/>
        <v/>
      </c>
    </row>
    <row r="21911" spans="8:8" x14ac:dyDescent="0.3">
      <c r="H21911" t="str">
        <f t="shared" ref="H21911:H21974" si="392">IF(B21911="","",$C$12)</f>
        <v/>
      </c>
    </row>
    <row r="21912" spans="8:8" x14ac:dyDescent="0.3">
      <c r="H21912" t="str">
        <f t="shared" si="392"/>
        <v/>
      </c>
    </row>
    <row r="21913" spans="8:8" x14ac:dyDescent="0.3">
      <c r="H21913" t="str">
        <f t="shared" si="392"/>
        <v/>
      </c>
    </row>
    <row r="21914" spans="8:8" x14ac:dyDescent="0.3">
      <c r="H21914" t="str">
        <f t="shared" si="392"/>
        <v/>
      </c>
    </row>
    <row r="21915" spans="8:8" x14ac:dyDescent="0.3">
      <c r="H21915" t="str">
        <f t="shared" si="392"/>
        <v/>
      </c>
    </row>
    <row r="21916" spans="8:8" x14ac:dyDescent="0.3">
      <c r="H21916" t="str">
        <f t="shared" si="392"/>
        <v/>
      </c>
    </row>
    <row r="21917" spans="8:8" x14ac:dyDescent="0.3">
      <c r="H21917" t="str">
        <f t="shared" si="392"/>
        <v/>
      </c>
    </row>
    <row r="21918" spans="8:8" x14ac:dyDescent="0.3">
      <c r="H21918" t="str">
        <f t="shared" si="392"/>
        <v/>
      </c>
    </row>
    <row r="21919" spans="8:8" x14ac:dyDescent="0.3">
      <c r="H21919" t="str">
        <f t="shared" si="392"/>
        <v/>
      </c>
    </row>
    <row r="21920" spans="8:8" x14ac:dyDescent="0.3">
      <c r="H21920" t="str">
        <f t="shared" si="392"/>
        <v/>
      </c>
    </row>
    <row r="21921" spans="8:8" x14ac:dyDescent="0.3">
      <c r="H21921" t="str">
        <f t="shared" si="392"/>
        <v/>
      </c>
    </row>
    <row r="21922" spans="8:8" x14ac:dyDescent="0.3">
      <c r="H21922" t="str">
        <f t="shared" si="392"/>
        <v/>
      </c>
    </row>
    <row r="21923" spans="8:8" x14ac:dyDescent="0.3">
      <c r="H21923" t="str">
        <f t="shared" si="392"/>
        <v/>
      </c>
    </row>
    <row r="21924" spans="8:8" x14ac:dyDescent="0.3">
      <c r="H21924" t="str">
        <f t="shared" si="392"/>
        <v/>
      </c>
    </row>
    <row r="21925" spans="8:8" x14ac:dyDescent="0.3">
      <c r="H21925" t="str">
        <f t="shared" si="392"/>
        <v/>
      </c>
    </row>
    <row r="21926" spans="8:8" x14ac:dyDescent="0.3">
      <c r="H21926" t="str">
        <f t="shared" si="392"/>
        <v/>
      </c>
    </row>
    <row r="21927" spans="8:8" x14ac:dyDescent="0.3">
      <c r="H21927" t="str">
        <f t="shared" si="392"/>
        <v/>
      </c>
    </row>
    <row r="21928" spans="8:8" x14ac:dyDescent="0.3">
      <c r="H21928" t="str">
        <f t="shared" si="392"/>
        <v/>
      </c>
    </row>
    <row r="21929" spans="8:8" x14ac:dyDescent="0.3">
      <c r="H21929" t="str">
        <f t="shared" si="392"/>
        <v/>
      </c>
    </row>
    <row r="21930" spans="8:8" x14ac:dyDescent="0.3">
      <c r="H21930" t="str">
        <f t="shared" si="392"/>
        <v/>
      </c>
    </row>
    <row r="21931" spans="8:8" x14ac:dyDescent="0.3">
      <c r="H21931" t="str">
        <f t="shared" si="392"/>
        <v/>
      </c>
    </row>
    <row r="21932" spans="8:8" x14ac:dyDescent="0.3">
      <c r="H21932" t="str">
        <f t="shared" si="392"/>
        <v/>
      </c>
    </row>
    <row r="21933" spans="8:8" x14ac:dyDescent="0.3">
      <c r="H21933" t="str">
        <f t="shared" si="392"/>
        <v/>
      </c>
    </row>
    <row r="21934" spans="8:8" x14ac:dyDescent="0.3">
      <c r="H21934" t="str">
        <f t="shared" si="392"/>
        <v/>
      </c>
    </row>
    <row r="21935" spans="8:8" x14ac:dyDescent="0.3">
      <c r="H21935" t="str">
        <f t="shared" si="392"/>
        <v/>
      </c>
    </row>
    <row r="21936" spans="8:8" x14ac:dyDescent="0.3">
      <c r="H21936" t="str">
        <f t="shared" si="392"/>
        <v/>
      </c>
    </row>
    <row r="21937" spans="8:8" x14ac:dyDescent="0.3">
      <c r="H21937" t="str">
        <f t="shared" si="392"/>
        <v/>
      </c>
    </row>
    <row r="21938" spans="8:8" x14ac:dyDescent="0.3">
      <c r="H21938" t="str">
        <f t="shared" si="392"/>
        <v/>
      </c>
    </row>
    <row r="21939" spans="8:8" x14ac:dyDescent="0.3">
      <c r="H21939" t="str">
        <f t="shared" si="392"/>
        <v/>
      </c>
    </row>
    <row r="21940" spans="8:8" x14ac:dyDescent="0.3">
      <c r="H21940" t="str">
        <f t="shared" si="392"/>
        <v/>
      </c>
    </row>
    <row r="21941" spans="8:8" x14ac:dyDescent="0.3">
      <c r="H21941" t="str">
        <f t="shared" si="392"/>
        <v/>
      </c>
    </row>
    <row r="21942" spans="8:8" x14ac:dyDescent="0.3">
      <c r="H21942" t="str">
        <f t="shared" si="392"/>
        <v/>
      </c>
    </row>
    <row r="21943" spans="8:8" x14ac:dyDescent="0.3">
      <c r="H21943" t="str">
        <f t="shared" si="392"/>
        <v/>
      </c>
    </row>
    <row r="21944" spans="8:8" x14ac:dyDescent="0.3">
      <c r="H21944" t="str">
        <f t="shared" si="392"/>
        <v/>
      </c>
    </row>
    <row r="21945" spans="8:8" x14ac:dyDescent="0.3">
      <c r="H21945" t="str">
        <f t="shared" si="392"/>
        <v/>
      </c>
    </row>
    <row r="21946" spans="8:8" x14ac:dyDescent="0.3">
      <c r="H21946" t="str">
        <f t="shared" si="392"/>
        <v/>
      </c>
    </row>
    <row r="21947" spans="8:8" x14ac:dyDescent="0.3">
      <c r="H21947" t="str">
        <f t="shared" si="392"/>
        <v/>
      </c>
    </row>
    <row r="21948" spans="8:8" x14ac:dyDescent="0.3">
      <c r="H21948" t="str">
        <f t="shared" si="392"/>
        <v/>
      </c>
    </row>
    <row r="21949" spans="8:8" x14ac:dyDescent="0.3">
      <c r="H21949" t="str">
        <f t="shared" si="392"/>
        <v/>
      </c>
    </row>
    <row r="21950" spans="8:8" x14ac:dyDescent="0.3">
      <c r="H21950" t="str">
        <f t="shared" si="392"/>
        <v/>
      </c>
    </row>
    <row r="21951" spans="8:8" x14ac:dyDescent="0.3">
      <c r="H21951" t="str">
        <f t="shared" si="392"/>
        <v/>
      </c>
    </row>
    <row r="21952" spans="8:8" x14ac:dyDescent="0.3">
      <c r="H21952" t="str">
        <f t="shared" si="392"/>
        <v/>
      </c>
    </row>
    <row r="21953" spans="8:8" x14ac:dyDescent="0.3">
      <c r="H21953" t="str">
        <f t="shared" si="392"/>
        <v/>
      </c>
    </row>
    <row r="21954" spans="8:8" x14ac:dyDescent="0.3">
      <c r="H21954" t="str">
        <f t="shared" si="392"/>
        <v/>
      </c>
    </row>
    <row r="21955" spans="8:8" x14ac:dyDescent="0.3">
      <c r="H21955" t="str">
        <f t="shared" si="392"/>
        <v/>
      </c>
    </row>
    <row r="21956" spans="8:8" x14ac:dyDescent="0.3">
      <c r="H21956" t="str">
        <f t="shared" si="392"/>
        <v/>
      </c>
    </row>
    <row r="21957" spans="8:8" x14ac:dyDescent="0.3">
      <c r="H21957" t="str">
        <f t="shared" si="392"/>
        <v/>
      </c>
    </row>
    <row r="21958" spans="8:8" x14ac:dyDescent="0.3">
      <c r="H21958" t="str">
        <f t="shared" si="392"/>
        <v/>
      </c>
    </row>
    <row r="21959" spans="8:8" x14ac:dyDescent="0.3">
      <c r="H21959" t="str">
        <f t="shared" si="392"/>
        <v/>
      </c>
    </row>
    <row r="21960" spans="8:8" x14ac:dyDescent="0.3">
      <c r="H21960" t="str">
        <f t="shared" si="392"/>
        <v/>
      </c>
    </row>
    <row r="21961" spans="8:8" x14ac:dyDescent="0.3">
      <c r="H21961" t="str">
        <f t="shared" si="392"/>
        <v/>
      </c>
    </row>
    <row r="21962" spans="8:8" x14ac:dyDescent="0.3">
      <c r="H21962" t="str">
        <f t="shared" si="392"/>
        <v/>
      </c>
    </row>
    <row r="21963" spans="8:8" x14ac:dyDescent="0.3">
      <c r="H21963" t="str">
        <f t="shared" si="392"/>
        <v/>
      </c>
    </row>
    <row r="21964" spans="8:8" x14ac:dyDescent="0.3">
      <c r="H21964" t="str">
        <f t="shared" si="392"/>
        <v/>
      </c>
    </row>
    <row r="21965" spans="8:8" x14ac:dyDescent="0.3">
      <c r="H21965" t="str">
        <f t="shared" si="392"/>
        <v/>
      </c>
    </row>
    <row r="21966" spans="8:8" x14ac:dyDescent="0.3">
      <c r="H21966" t="str">
        <f t="shared" si="392"/>
        <v/>
      </c>
    </row>
    <row r="21967" spans="8:8" x14ac:dyDescent="0.3">
      <c r="H21967" t="str">
        <f t="shared" si="392"/>
        <v/>
      </c>
    </row>
    <row r="21968" spans="8:8" x14ac:dyDescent="0.3">
      <c r="H21968" t="str">
        <f t="shared" si="392"/>
        <v/>
      </c>
    </row>
    <row r="21969" spans="8:8" x14ac:dyDescent="0.3">
      <c r="H21969" t="str">
        <f t="shared" si="392"/>
        <v/>
      </c>
    </row>
    <row r="21970" spans="8:8" x14ac:dyDescent="0.3">
      <c r="H21970" t="str">
        <f t="shared" si="392"/>
        <v/>
      </c>
    </row>
    <row r="21971" spans="8:8" x14ac:dyDescent="0.3">
      <c r="H21971" t="str">
        <f t="shared" si="392"/>
        <v/>
      </c>
    </row>
    <row r="21972" spans="8:8" x14ac:dyDescent="0.3">
      <c r="H21972" t="str">
        <f t="shared" si="392"/>
        <v/>
      </c>
    </row>
    <row r="21973" spans="8:8" x14ac:dyDescent="0.3">
      <c r="H21973" t="str">
        <f t="shared" si="392"/>
        <v/>
      </c>
    </row>
    <row r="21974" spans="8:8" x14ac:dyDescent="0.3">
      <c r="H21974" t="str">
        <f t="shared" si="392"/>
        <v/>
      </c>
    </row>
    <row r="21975" spans="8:8" x14ac:dyDescent="0.3">
      <c r="H21975" t="str">
        <f t="shared" ref="H21975:H22038" si="393">IF(B21975="","",$C$12)</f>
        <v/>
      </c>
    </row>
    <row r="21976" spans="8:8" x14ac:dyDescent="0.3">
      <c r="H21976" t="str">
        <f t="shared" si="393"/>
        <v/>
      </c>
    </row>
    <row r="21977" spans="8:8" x14ac:dyDescent="0.3">
      <c r="H21977" t="str">
        <f t="shared" si="393"/>
        <v/>
      </c>
    </row>
    <row r="21978" spans="8:8" x14ac:dyDescent="0.3">
      <c r="H21978" t="str">
        <f t="shared" si="393"/>
        <v/>
      </c>
    </row>
    <row r="21979" spans="8:8" x14ac:dyDescent="0.3">
      <c r="H21979" t="str">
        <f t="shared" si="393"/>
        <v/>
      </c>
    </row>
    <row r="21980" spans="8:8" x14ac:dyDescent="0.3">
      <c r="H21980" t="str">
        <f t="shared" si="393"/>
        <v/>
      </c>
    </row>
    <row r="21981" spans="8:8" x14ac:dyDescent="0.3">
      <c r="H21981" t="str">
        <f t="shared" si="393"/>
        <v/>
      </c>
    </row>
    <row r="21982" spans="8:8" x14ac:dyDescent="0.3">
      <c r="H21982" t="str">
        <f t="shared" si="393"/>
        <v/>
      </c>
    </row>
    <row r="21983" spans="8:8" x14ac:dyDescent="0.3">
      <c r="H21983" t="str">
        <f t="shared" si="393"/>
        <v/>
      </c>
    </row>
    <row r="21984" spans="8:8" x14ac:dyDescent="0.3">
      <c r="H21984" t="str">
        <f t="shared" si="393"/>
        <v/>
      </c>
    </row>
    <row r="21985" spans="8:8" x14ac:dyDescent="0.3">
      <c r="H21985" t="str">
        <f t="shared" si="393"/>
        <v/>
      </c>
    </row>
    <row r="21986" spans="8:8" x14ac:dyDescent="0.3">
      <c r="H21986" t="str">
        <f t="shared" si="393"/>
        <v/>
      </c>
    </row>
    <row r="21987" spans="8:8" x14ac:dyDescent="0.3">
      <c r="H21987" t="str">
        <f t="shared" si="393"/>
        <v/>
      </c>
    </row>
    <row r="21988" spans="8:8" x14ac:dyDescent="0.3">
      <c r="H21988" t="str">
        <f t="shared" si="393"/>
        <v/>
      </c>
    </row>
    <row r="21989" spans="8:8" x14ac:dyDescent="0.3">
      <c r="H21989" t="str">
        <f t="shared" si="393"/>
        <v/>
      </c>
    </row>
    <row r="21990" spans="8:8" x14ac:dyDescent="0.3">
      <c r="H21990" t="str">
        <f t="shared" si="393"/>
        <v/>
      </c>
    </row>
    <row r="21991" spans="8:8" x14ac:dyDescent="0.3">
      <c r="H21991" t="str">
        <f t="shared" si="393"/>
        <v/>
      </c>
    </row>
    <row r="21992" spans="8:8" x14ac:dyDescent="0.3">
      <c r="H21992" t="str">
        <f t="shared" si="393"/>
        <v/>
      </c>
    </row>
    <row r="21993" spans="8:8" x14ac:dyDescent="0.3">
      <c r="H21993" t="str">
        <f t="shared" si="393"/>
        <v/>
      </c>
    </row>
    <row r="21994" spans="8:8" x14ac:dyDescent="0.3">
      <c r="H21994" t="str">
        <f t="shared" si="393"/>
        <v/>
      </c>
    </row>
    <row r="21995" spans="8:8" x14ac:dyDescent="0.3">
      <c r="H21995" t="str">
        <f t="shared" si="393"/>
        <v/>
      </c>
    </row>
    <row r="21996" spans="8:8" x14ac:dyDescent="0.3">
      <c r="H21996" t="str">
        <f t="shared" si="393"/>
        <v/>
      </c>
    </row>
    <row r="21997" spans="8:8" x14ac:dyDescent="0.3">
      <c r="H21997" t="str">
        <f t="shared" si="393"/>
        <v/>
      </c>
    </row>
    <row r="21998" spans="8:8" x14ac:dyDescent="0.3">
      <c r="H21998" t="str">
        <f t="shared" si="393"/>
        <v/>
      </c>
    </row>
    <row r="21999" spans="8:8" x14ac:dyDescent="0.3">
      <c r="H21999" t="str">
        <f t="shared" si="393"/>
        <v/>
      </c>
    </row>
    <row r="22000" spans="8:8" x14ac:dyDescent="0.3">
      <c r="H22000" t="str">
        <f t="shared" si="393"/>
        <v/>
      </c>
    </row>
    <row r="22001" spans="8:8" x14ac:dyDescent="0.3">
      <c r="H22001" t="str">
        <f t="shared" si="393"/>
        <v/>
      </c>
    </row>
    <row r="22002" spans="8:8" x14ac:dyDescent="0.3">
      <c r="H22002" t="str">
        <f t="shared" si="393"/>
        <v/>
      </c>
    </row>
    <row r="22003" spans="8:8" x14ac:dyDescent="0.3">
      <c r="H22003" t="str">
        <f t="shared" si="393"/>
        <v/>
      </c>
    </row>
    <row r="22004" spans="8:8" x14ac:dyDescent="0.3">
      <c r="H22004" t="str">
        <f t="shared" si="393"/>
        <v/>
      </c>
    </row>
    <row r="22005" spans="8:8" x14ac:dyDescent="0.3">
      <c r="H22005" t="str">
        <f t="shared" si="393"/>
        <v/>
      </c>
    </row>
    <row r="22006" spans="8:8" x14ac:dyDescent="0.3">
      <c r="H22006" t="str">
        <f t="shared" si="393"/>
        <v/>
      </c>
    </row>
    <row r="22007" spans="8:8" x14ac:dyDescent="0.3">
      <c r="H22007" t="str">
        <f t="shared" si="393"/>
        <v/>
      </c>
    </row>
    <row r="22008" spans="8:8" x14ac:dyDescent="0.3">
      <c r="H22008" t="str">
        <f t="shared" si="393"/>
        <v/>
      </c>
    </row>
    <row r="22009" spans="8:8" x14ac:dyDescent="0.3">
      <c r="H22009" t="str">
        <f t="shared" si="393"/>
        <v/>
      </c>
    </row>
    <row r="22010" spans="8:8" x14ac:dyDescent="0.3">
      <c r="H22010" t="str">
        <f t="shared" si="393"/>
        <v/>
      </c>
    </row>
    <row r="22011" spans="8:8" x14ac:dyDescent="0.3">
      <c r="H22011" t="str">
        <f t="shared" si="393"/>
        <v/>
      </c>
    </row>
    <row r="22012" spans="8:8" x14ac:dyDescent="0.3">
      <c r="H22012" t="str">
        <f t="shared" si="393"/>
        <v/>
      </c>
    </row>
    <row r="22013" spans="8:8" x14ac:dyDescent="0.3">
      <c r="H22013" t="str">
        <f t="shared" si="393"/>
        <v/>
      </c>
    </row>
    <row r="22014" spans="8:8" x14ac:dyDescent="0.3">
      <c r="H22014" t="str">
        <f t="shared" si="393"/>
        <v/>
      </c>
    </row>
    <row r="22015" spans="8:8" x14ac:dyDescent="0.3">
      <c r="H22015" t="str">
        <f t="shared" si="393"/>
        <v/>
      </c>
    </row>
    <row r="22016" spans="8:8" x14ac:dyDescent="0.3">
      <c r="H22016" t="str">
        <f t="shared" si="393"/>
        <v/>
      </c>
    </row>
    <row r="22017" spans="8:8" x14ac:dyDescent="0.3">
      <c r="H22017" t="str">
        <f t="shared" si="393"/>
        <v/>
      </c>
    </row>
    <row r="22018" spans="8:8" x14ac:dyDescent="0.3">
      <c r="H22018" t="str">
        <f t="shared" si="393"/>
        <v/>
      </c>
    </row>
    <row r="22019" spans="8:8" x14ac:dyDescent="0.3">
      <c r="H22019" t="str">
        <f t="shared" si="393"/>
        <v/>
      </c>
    </row>
    <row r="22020" spans="8:8" x14ac:dyDescent="0.3">
      <c r="H22020" t="str">
        <f t="shared" si="393"/>
        <v/>
      </c>
    </row>
    <row r="22021" spans="8:8" x14ac:dyDescent="0.3">
      <c r="H22021" t="str">
        <f t="shared" si="393"/>
        <v/>
      </c>
    </row>
    <row r="22022" spans="8:8" x14ac:dyDescent="0.3">
      <c r="H22022" t="str">
        <f t="shared" si="393"/>
        <v/>
      </c>
    </row>
    <row r="22023" spans="8:8" x14ac:dyDescent="0.3">
      <c r="H22023" t="str">
        <f t="shared" si="393"/>
        <v/>
      </c>
    </row>
    <row r="22024" spans="8:8" x14ac:dyDescent="0.3">
      <c r="H22024" t="str">
        <f t="shared" si="393"/>
        <v/>
      </c>
    </row>
    <row r="22025" spans="8:8" x14ac:dyDescent="0.3">
      <c r="H22025" t="str">
        <f t="shared" si="393"/>
        <v/>
      </c>
    </row>
    <row r="22026" spans="8:8" x14ac:dyDescent="0.3">
      <c r="H22026" t="str">
        <f t="shared" si="393"/>
        <v/>
      </c>
    </row>
    <row r="22027" spans="8:8" x14ac:dyDescent="0.3">
      <c r="H22027" t="str">
        <f t="shared" si="393"/>
        <v/>
      </c>
    </row>
    <row r="22028" spans="8:8" x14ac:dyDescent="0.3">
      <c r="H22028" t="str">
        <f t="shared" si="393"/>
        <v/>
      </c>
    </row>
    <row r="22029" spans="8:8" x14ac:dyDescent="0.3">
      <c r="H22029" t="str">
        <f t="shared" si="393"/>
        <v/>
      </c>
    </row>
    <row r="22030" spans="8:8" x14ac:dyDescent="0.3">
      <c r="H22030" t="str">
        <f t="shared" si="393"/>
        <v/>
      </c>
    </row>
    <row r="22031" spans="8:8" x14ac:dyDescent="0.3">
      <c r="H22031" t="str">
        <f t="shared" si="393"/>
        <v/>
      </c>
    </row>
    <row r="22032" spans="8:8" x14ac:dyDescent="0.3">
      <c r="H22032" t="str">
        <f t="shared" si="393"/>
        <v/>
      </c>
    </row>
    <row r="22033" spans="8:8" x14ac:dyDescent="0.3">
      <c r="H22033" t="str">
        <f t="shared" si="393"/>
        <v/>
      </c>
    </row>
    <row r="22034" spans="8:8" x14ac:dyDescent="0.3">
      <c r="H22034" t="str">
        <f t="shared" si="393"/>
        <v/>
      </c>
    </row>
    <row r="22035" spans="8:8" x14ac:dyDescent="0.3">
      <c r="H22035" t="str">
        <f t="shared" si="393"/>
        <v/>
      </c>
    </row>
    <row r="22036" spans="8:8" x14ac:dyDescent="0.3">
      <c r="H22036" t="str">
        <f t="shared" si="393"/>
        <v/>
      </c>
    </row>
    <row r="22037" spans="8:8" x14ac:dyDescent="0.3">
      <c r="H22037" t="str">
        <f t="shared" si="393"/>
        <v/>
      </c>
    </row>
    <row r="22038" spans="8:8" x14ac:dyDescent="0.3">
      <c r="H22038" t="str">
        <f t="shared" si="393"/>
        <v/>
      </c>
    </row>
    <row r="22039" spans="8:8" x14ac:dyDescent="0.3">
      <c r="H22039" t="str">
        <f t="shared" ref="H22039:H22102" si="394">IF(B22039="","",$C$12)</f>
        <v/>
      </c>
    </row>
    <row r="22040" spans="8:8" x14ac:dyDescent="0.3">
      <c r="H22040" t="str">
        <f t="shared" si="394"/>
        <v/>
      </c>
    </row>
    <row r="22041" spans="8:8" x14ac:dyDescent="0.3">
      <c r="H22041" t="str">
        <f t="shared" si="394"/>
        <v/>
      </c>
    </row>
    <row r="22042" spans="8:8" x14ac:dyDescent="0.3">
      <c r="H22042" t="str">
        <f t="shared" si="394"/>
        <v/>
      </c>
    </row>
    <row r="22043" spans="8:8" x14ac:dyDescent="0.3">
      <c r="H22043" t="str">
        <f t="shared" si="394"/>
        <v/>
      </c>
    </row>
    <row r="22044" spans="8:8" x14ac:dyDescent="0.3">
      <c r="H22044" t="str">
        <f t="shared" si="394"/>
        <v/>
      </c>
    </row>
    <row r="22045" spans="8:8" x14ac:dyDescent="0.3">
      <c r="H22045" t="str">
        <f t="shared" si="394"/>
        <v/>
      </c>
    </row>
    <row r="22046" spans="8:8" x14ac:dyDescent="0.3">
      <c r="H22046" t="str">
        <f t="shared" si="394"/>
        <v/>
      </c>
    </row>
    <row r="22047" spans="8:8" x14ac:dyDescent="0.3">
      <c r="H22047" t="str">
        <f t="shared" si="394"/>
        <v/>
      </c>
    </row>
    <row r="22048" spans="8:8" x14ac:dyDescent="0.3">
      <c r="H22048" t="str">
        <f t="shared" si="394"/>
        <v/>
      </c>
    </row>
    <row r="22049" spans="8:8" x14ac:dyDescent="0.3">
      <c r="H22049" t="str">
        <f t="shared" si="394"/>
        <v/>
      </c>
    </row>
    <row r="22050" spans="8:8" x14ac:dyDescent="0.3">
      <c r="H22050" t="str">
        <f t="shared" si="394"/>
        <v/>
      </c>
    </row>
    <row r="22051" spans="8:8" x14ac:dyDescent="0.3">
      <c r="H22051" t="str">
        <f t="shared" si="394"/>
        <v/>
      </c>
    </row>
    <row r="22052" spans="8:8" x14ac:dyDescent="0.3">
      <c r="H22052" t="str">
        <f t="shared" si="394"/>
        <v/>
      </c>
    </row>
    <row r="22053" spans="8:8" x14ac:dyDescent="0.3">
      <c r="H22053" t="str">
        <f t="shared" si="394"/>
        <v/>
      </c>
    </row>
    <row r="22054" spans="8:8" x14ac:dyDescent="0.3">
      <c r="H22054" t="str">
        <f t="shared" si="394"/>
        <v/>
      </c>
    </row>
    <row r="22055" spans="8:8" x14ac:dyDescent="0.3">
      <c r="H22055" t="str">
        <f t="shared" si="394"/>
        <v/>
      </c>
    </row>
    <row r="22056" spans="8:8" x14ac:dyDescent="0.3">
      <c r="H22056" t="str">
        <f t="shared" si="394"/>
        <v/>
      </c>
    </row>
    <row r="22057" spans="8:8" x14ac:dyDescent="0.3">
      <c r="H22057" t="str">
        <f t="shared" si="394"/>
        <v/>
      </c>
    </row>
    <row r="22058" spans="8:8" x14ac:dyDescent="0.3">
      <c r="H22058" t="str">
        <f t="shared" si="394"/>
        <v/>
      </c>
    </row>
    <row r="22059" spans="8:8" x14ac:dyDescent="0.3">
      <c r="H22059" t="str">
        <f t="shared" si="394"/>
        <v/>
      </c>
    </row>
    <row r="22060" spans="8:8" x14ac:dyDescent="0.3">
      <c r="H22060" t="str">
        <f t="shared" si="394"/>
        <v/>
      </c>
    </row>
    <row r="22061" spans="8:8" x14ac:dyDescent="0.3">
      <c r="H22061" t="str">
        <f t="shared" si="394"/>
        <v/>
      </c>
    </row>
    <row r="22062" spans="8:8" x14ac:dyDescent="0.3">
      <c r="H22062" t="str">
        <f t="shared" si="394"/>
        <v/>
      </c>
    </row>
    <row r="22063" spans="8:8" x14ac:dyDescent="0.3">
      <c r="H22063" t="str">
        <f t="shared" si="394"/>
        <v/>
      </c>
    </row>
    <row r="22064" spans="8:8" x14ac:dyDescent="0.3">
      <c r="H22064" t="str">
        <f t="shared" si="394"/>
        <v/>
      </c>
    </row>
    <row r="22065" spans="8:8" x14ac:dyDescent="0.3">
      <c r="H22065" t="str">
        <f t="shared" si="394"/>
        <v/>
      </c>
    </row>
    <row r="22066" spans="8:8" x14ac:dyDescent="0.3">
      <c r="H22066" t="str">
        <f t="shared" si="394"/>
        <v/>
      </c>
    </row>
    <row r="22067" spans="8:8" x14ac:dyDescent="0.3">
      <c r="H22067" t="str">
        <f t="shared" si="394"/>
        <v/>
      </c>
    </row>
    <row r="22068" spans="8:8" x14ac:dyDescent="0.3">
      <c r="H22068" t="str">
        <f t="shared" si="394"/>
        <v/>
      </c>
    </row>
    <row r="22069" spans="8:8" x14ac:dyDescent="0.3">
      <c r="H22069" t="str">
        <f t="shared" si="394"/>
        <v/>
      </c>
    </row>
    <row r="22070" spans="8:8" x14ac:dyDescent="0.3">
      <c r="H22070" t="str">
        <f t="shared" si="394"/>
        <v/>
      </c>
    </row>
    <row r="22071" spans="8:8" x14ac:dyDescent="0.3">
      <c r="H22071" t="str">
        <f t="shared" si="394"/>
        <v/>
      </c>
    </row>
    <row r="22072" spans="8:8" x14ac:dyDescent="0.3">
      <c r="H22072" t="str">
        <f t="shared" si="394"/>
        <v/>
      </c>
    </row>
    <row r="22073" spans="8:8" x14ac:dyDescent="0.3">
      <c r="H22073" t="str">
        <f t="shared" si="394"/>
        <v/>
      </c>
    </row>
    <row r="22074" spans="8:8" x14ac:dyDescent="0.3">
      <c r="H22074" t="str">
        <f t="shared" si="394"/>
        <v/>
      </c>
    </row>
    <row r="22075" spans="8:8" x14ac:dyDescent="0.3">
      <c r="H22075" t="str">
        <f t="shared" si="394"/>
        <v/>
      </c>
    </row>
    <row r="22076" spans="8:8" x14ac:dyDescent="0.3">
      <c r="H22076" t="str">
        <f t="shared" si="394"/>
        <v/>
      </c>
    </row>
    <row r="22077" spans="8:8" x14ac:dyDescent="0.3">
      <c r="H22077" t="str">
        <f t="shared" si="394"/>
        <v/>
      </c>
    </row>
    <row r="22078" spans="8:8" x14ac:dyDescent="0.3">
      <c r="H22078" t="str">
        <f t="shared" si="394"/>
        <v/>
      </c>
    </row>
    <row r="22079" spans="8:8" x14ac:dyDescent="0.3">
      <c r="H22079" t="str">
        <f t="shared" si="394"/>
        <v/>
      </c>
    </row>
    <row r="22080" spans="8:8" x14ac:dyDescent="0.3">
      <c r="H22080" t="str">
        <f t="shared" si="394"/>
        <v/>
      </c>
    </row>
    <row r="22081" spans="8:8" x14ac:dyDescent="0.3">
      <c r="H22081" t="str">
        <f t="shared" si="394"/>
        <v/>
      </c>
    </row>
    <row r="22082" spans="8:8" x14ac:dyDescent="0.3">
      <c r="H22082" t="str">
        <f t="shared" si="394"/>
        <v/>
      </c>
    </row>
    <row r="22083" spans="8:8" x14ac:dyDescent="0.3">
      <c r="H22083" t="str">
        <f t="shared" si="394"/>
        <v/>
      </c>
    </row>
    <row r="22084" spans="8:8" x14ac:dyDescent="0.3">
      <c r="H22084" t="str">
        <f t="shared" si="394"/>
        <v/>
      </c>
    </row>
    <row r="22085" spans="8:8" x14ac:dyDescent="0.3">
      <c r="H22085" t="str">
        <f t="shared" si="394"/>
        <v/>
      </c>
    </row>
    <row r="22086" spans="8:8" x14ac:dyDescent="0.3">
      <c r="H22086" t="str">
        <f t="shared" si="394"/>
        <v/>
      </c>
    </row>
    <row r="22087" spans="8:8" x14ac:dyDescent="0.3">
      <c r="H22087" t="str">
        <f t="shared" si="394"/>
        <v/>
      </c>
    </row>
    <row r="22088" spans="8:8" x14ac:dyDescent="0.3">
      <c r="H22088" t="str">
        <f t="shared" si="394"/>
        <v/>
      </c>
    </row>
    <row r="22089" spans="8:8" x14ac:dyDescent="0.3">
      <c r="H22089" t="str">
        <f t="shared" si="394"/>
        <v/>
      </c>
    </row>
    <row r="22090" spans="8:8" x14ac:dyDescent="0.3">
      <c r="H22090" t="str">
        <f t="shared" si="394"/>
        <v/>
      </c>
    </row>
    <row r="22091" spans="8:8" x14ac:dyDescent="0.3">
      <c r="H22091" t="str">
        <f t="shared" si="394"/>
        <v/>
      </c>
    </row>
    <row r="22092" spans="8:8" x14ac:dyDescent="0.3">
      <c r="H22092" t="str">
        <f t="shared" si="394"/>
        <v/>
      </c>
    </row>
    <row r="22093" spans="8:8" x14ac:dyDescent="0.3">
      <c r="H22093" t="str">
        <f t="shared" si="394"/>
        <v/>
      </c>
    </row>
    <row r="22094" spans="8:8" x14ac:dyDescent="0.3">
      <c r="H22094" t="str">
        <f t="shared" si="394"/>
        <v/>
      </c>
    </row>
    <row r="22095" spans="8:8" x14ac:dyDescent="0.3">
      <c r="H22095" t="str">
        <f t="shared" si="394"/>
        <v/>
      </c>
    </row>
    <row r="22096" spans="8:8" x14ac:dyDescent="0.3">
      <c r="H22096" t="str">
        <f t="shared" si="394"/>
        <v/>
      </c>
    </row>
    <row r="22097" spans="8:8" x14ac:dyDescent="0.3">
      <c r="H22097" t="str">
        <f t="shared" si="394"/>
        <v/>
      </c>
    </row>
    <row r="22098" spans="8:8" x14ac:dyDescent="0.3">
      <c r="H22098" t="str">
        <f t="shared" si="394"/>
        <v/>
      </c>
    </row>
    <row r="22099" spans="8:8" x14ac:dyDescent="0.3">
      <c r="H22099" t="str">
        <f t="shared" si="394"/>
        <v/>
      </c>
    </row>
    <row r="22100" spans="8:8" x14ac:dyDescent="0.3">
      <c r="H22100" t="str">
        <f t="shared" si="394"/>
        <v/>
      </c>
    </row>
    <row r="22101" spans="8:8" x14ac:dyDescent="0.3">
      <c r="H22101" t="str">
        <f t="shared" si="394"/>
        <v/>
      </c>
    </row>
    <row r="22102" spans="8:8" x14ac:dyDescent="0.3">
      <c r="H22102" t="str">
        <f t="shared" si="394"/>
        <v/>
      </c>
    </row>
    <row r="22103" spans="8:8" x14ac:dyDescent="0.3">
      <c r="H22103" t="str">
        <f t="shared" ref="H22103:H22166" si="395">IF(B22103="","",$C$12)</f>
        <v/>
      </c>
    </row>
    <row r="22104" spans="8:8" x14ac:dyDescent="0.3">
      <c r="H22104" t="str">
        <f t="shared" si="395"/>
        <v/>
      </c>
    </row>
    <row r="22105" spans="8:8" x14ac:dyDescent="0.3">
      <c r="H22105" t="str">
        <f t="shared" si="395"/>
        <v/>
      </c>
    </row>
    <row r="22106" spans="8:8" x14ac:dyDescent="0.3">
      <c r="H22106" t="str">
        <f t="shared" si="395"/>
        <v/>
      </c>
    </row>
    <row r="22107" spans="8:8" x14ac:dyDescent="0.3">
      <c r="H22107" t="str">
        <f t="shared" si="395"/>
        <v/>
      </c>
    </row>
    <row r="22108" spans="8:8" x14ac:dyDescent="0.3">
      <c r="H22108" t="str">
        <f t="shared" si="395"/>
        <v/>
      </c>
    </row>
    <row r="22109" spans="8:8" x14ac:dyDescent="0.3">
      <c r="H22109" t="str">
        <f t="shared" si="395"/>
        <v/>
      </c>
    </row>
    <row r="22110" spans="8:8" x14ac:dyDescent="0.3">
      <c r="H22110" t="str">
        <f t="shared" si="395"/>
        <v/>
      </c>
    </row>
    <row r="22111" spans="8:8" x14ac:dyDescent="0.3">
      <c r="H22111" t="str">
        <f t="shared" si="395"/>
        <v/>
      </c>
    </row>
    <row r="22112" spans="8:8" x14ac:dyDescent="0.3">
      <c r="H22112" t="str">
        <f t="shared" si="395"/>
        <v/>
      </c>
    </row>
    <row r="22113" spans="8:8" x14ac:dyDescent="0.3">
      <c r="H22113" t="str">
        <f t="shared" si="395"/>
        <v/>
      </c>
    </row>
    <row r="22114" spans="8:8" x14ac:dyDescent="0.3">
      <c r="H22114" t="str">
        <f t="shared" si="395"/>
        <v/>
      </c>
    </row>
    <row r="22115" spans="8:8" x14ac:dyDescent="0.3">
      <c r="H22115" t="str">
        <f t="shared" si="395"/>
        <v/>
      </c>
    </row>
    <row r="22116" spans="8:8" x14ac:dyDescent="0.3">
      <c r="H22116" t="str">
        <f t="shared" si="395"/>
        <v/>
      </c>
    </row>
    <row r="22117" spans="8:8" x14ac:dyDescent="0.3">
      <c r="H22117" t="str">
        <f t="shared" si="395"/>
        <v/>
      </c>
    </row>
    <row r="22118" spans="8:8" x14ac:dyDescent="0.3">
      <c r="H22118" t="str">
        <f t="shared" si="395"/>
        <v/>
      </c>
    </row>
    <row r="22119" spans="8:8" x14ac:dyDescent="0.3">
      <c r="H22119" t="str">
        <f t="shared" si="395"/>
        <v/>
      </c>
    </row>
    <row r="22120" spans="8:8" x14ac:dyDescent="0.3">
      <c r="H22120" t="str">
        <f t="shared" si="395"/>
        <v/>
      </c>
    </row>
    <row r="22121" spans="8:8" x14ac:dyDescent="0.3">
      <c r="H22121" t="str">
        <f t="shared" si="395"/>
        <v/>
      </c>
    </row>
    <row r="22122" spans="8:8" x14ac:dyDescent="0.3">
      <c r="H22122" t="str">
        <f t="shared" si="395"/>
        <v/>
      </c>
    </row>
    <row r="22123" spans="8:8" x14ac:dyDescent="0.3">
      <c r="H22123" t="str">
        <f t="shared" si="395"/>
        <v/>
      </c>
    </row>
    <row r="22124" spans="8:8" x14ac:dyDescent="0.3">
      <c r="H22124" t="str">
        <f t="shared" si="395"/>
        <v/>
      </c>
    </row>
    <row r="22125" spans="8:8" x14ac:dyDescent="0.3">
      <c r="H22125" t="str">
        <f t="shared" si="395"/>
        <v/>
      </c>
    </row>
    <row r="22126" spans="8:8" x14ac:dyDescent="0.3">
      <c r="H22126" t="str">
        <f t="shared" si="395"/>
        <v/>
      </c>
    </row>
    <row r="22127" spans="8:8" x14ac:dyDescent="0.3">
      <c r="H22127" t="str">
        <f t="shared" si="395"/>
        <v/>
      </c>
    </row>
    <row r="22128" spans="8:8" x14ac:dyDescent="0.3">
      <c r="H22128" t="str">
        <f t="shared" si="395"/>
        <v/>
      </c>
    </row>
    <row r="22129" spans="8:8" x14ac:dyDescent="0.3">
      <c r="H22129" t="str">
        <f t="shared" si="395"/>
        <v/>
      </c>
    </row>
    <row r="22130" spans="8:8" x14ac:dyDescent="0.3">
      <c r="H22130" t="str">
        <f t="shared" si="395"/>
        <v/>
      </c>
    </row>
    <row r="22131" spans="8:8" x14ac:dyDescent="0.3">
      <c r="H22131" t="str">
        <f t="shared" si="395"/>
        <v/>
      </c>
    </row>
    <row r="22132" spans="8:8" x14ac:dyDescent="0.3">
      <c r="H22132" t="str">
        <f t="shared" si="395"/>
        <v/>
      </c>
    </row>
    <row r="22133" spans="8:8" x14ac:dyDescent="0.3">
      <c r="H22133" t="str">
        <f t="shared" si="395"/>
        <v/>
      </c>
    </row>
    <row r="22134" spans="8:8" x14ac:dyDescent="0.3">
      <c r="H22134" t="str">
        <f t="shared" si="395"/>
        <v/>
      </c>
    </row>
    <row r="22135" spans="8:8" x14ac:dyDescent="0.3">
      <c r="H22135" t="str">
        <f t="shared" si="395"/>
        <v/>
      </c>
    </row>
    <row r="22136" spans="8:8" x14ac:dyDescent="0.3">
      <c r="H22136" t="str">
        <f t="shared" si="395"/>
        <v/>
      </c>
    </row>
    <row r="22137" spans="8:8" x14ac:dyDescent="0.3">
      <c r="H22137" t="str">
        <f t="shared" si="395"/>
        <v/>
      </c>
    </row>
    <row r="22138" spans="8:8" x14ac:dyDescent="0.3">
      <c r="H22138" t="str">
        <f t="shared" si="395"/>
        <v/>
      </c>
    </row>
    <row r="22139" spans="8:8" x14ac:dyDescent="0.3">
      <c r="H22139" t="str">
        <f t="shared" si="395"/>
        <v/>
      </c>
    </row>
    <row r="22140" spans="8:8" x14ac:dyDescent="0.3">
      <c r="H22140" t="str">
        <f t="shared" si="395"/>
        <v/>
      </c>
    </row>
    <row r="22141" spans="8:8" x14ac:dyDescent="0.3">
      <c r="H22141" t="str">
        <f t="shared" si="395"/>
        <v/>
      </c>
    </row>
    <row r="22142" spans="8:8" x14ac:dyDescent="0.3">
      <c r="H22142" t="str">
        <f t="shared" si="395"/>
        <v/>
      </c>
    </row>
    <row r="22143" spans="8:8" x14ac:dyDescent="0.3">
      <c r="H22143" t="str">
        <f t="shared" si="395"/>
        <v/>
      </c>
    </row>
    <row r="22144" spans="8:8" x14ac:dyDescent="0.3">
      <c r="H22144" t="str">
        <f t="shared" si="395"/>
        <v/>
      </c>
    </row>
    <row r="22145" spans="8:8" x14ac:dyDescent="0.3">
      <c r="H22145" t="str">
        <f t="shared" si="395"/>
        <v/>
      </c>
    </row>
    <row r="22146" spans="8:8" x14ac:dyDescent="0.3">
      <c r="H22146" t="str">
        <f t="shared" si="395"/>
        <v/>
      </c>
    </row>
    <row r="22147" spans="8:8" x14ac:dyDescent="0.3">
      <c r="H22147" t="str">
        <f t="shared" si="395"/>
        <v/>
      </c>
    </row>
    <row r="22148" spans="8:8" x14ac:dyDescent="0.3">
      <c r="H22148" t="str">
        <f t="shared" si="395"/>
        <v/>
      </c>
    </row>
    <row r="22149" spans="8:8" x14ac:dyDescent="0.3">
      <c r="H22149" t="str">
        <f t="shared" si="395"/>
        <v/>
      </c>
    </row>
    <row r="22150" spans="8:8" x14ac:dyDescent="0.3">
      <c r="H22150" t="str">
        <f t="shared" si="395"/>
        <v/>
      </c>
    </row>
    <row r="22151" spans="8:8" x14ac:dyDescent="0.3">
      <c r="H22151" t="str">
        <f t="shared" si="395"/>
        <v/>
      </c>
    </row>
    <row r="22152" spans="8:8" x14ac:dyDescent="0.3">
      <c r="H22152" t="str">
        <f t="shared" si="395"/>
        <v/>
      </c>
    </row>
    <row r="22153" spans="8:8" x14ac:dyDescent="0.3">
      <c r="H22153" t="str">
        <f t="shared" si="395"/>
        <v/>
      </c>
    </row>
    <row r="22154" spans="8:8" x14ac:dyDescent="0.3">
      <c r="H22154" t="str">
        <f t="shared" si="395"/>
        <v/>
      </c>
    </row>
    <row r="22155" spans="8:8" x14ac:dyDescent="0.3">
      <c r="H22155" t="str">
        <f t="shared" si="395"/>
        <v/>
      </c>
    </row>
    <row r="22156" spans="8:8" x14ac:dyDescent="0.3">
      <c r="H22156" t="str">
        <f t="shared" si="395"/>
        <v/>
      </c>
    </row>
    <row r="22157" spans="8:8" x14ac:dyDescent="0.3">
      <c r="H22157" t="str">
        <f t="shared" si="395"/>
        <v/>
      </c>
    </row>
    <row r="22158" spans="8:8" x14ac:dyDescent="0.3">
      <c r="H22158" t="str">
        <f t="shared" si="395"/>
        <v/>
      </c>
    </row>
    <row r="22159" spans="8:8" x14ac:dyDescent="0.3">
      <c r="H22159" t="str">
        <f t="shared" si="395"/>
        <v/>
      </c>
    </row>
    <row r="22160" spans="8:8" x14ac:dyDescent="0.3">
      <c r="H22160" t="str">
        <f t="shared" si="395"/>
        <v/>
      </c>
    </row>
    <row r="22161" spans="8:8" x14ac:dyDescent="0.3">
      <c r="H22161" t="str">
        <f t="shared" si="395"/>
        <v/>
      </c>
    </row>
    <row r="22162" spans="8:8" x14ac:dyDescent="0.3">
      <c r="H22162" t="str">
        <f t="shared" si="395"/>
        <v/>
      </c>
    </row>
    <row r="22163" spans="8:8" x14ac:dyDescent="0.3">
      <c r="H22163" t="str">
        <f t="shared" si="395"/>
        <v/>
      </c>
    </row>
    <row r="22164" spans="8:8" x14ac:dyDescent="0.3">
      <c r="H22164" t="str">
        <f t="shared" si="395"/>
        <v/>
      </c>
    </row>
    <row r="22165" spans="8:8" x14ac:dyDescent="0.3">
      <c r="H22165" t="str">
        <f t="shared" si="395"/>
        <v/>
      </c>
    </row>
    <row r="22166" spans="8:8" x14ac:dyDescent="0.3">
      <c r="H22166" t="str">
        <f t="shared" si="395"/>
        <v/>
      </c>
    </row>
    <row r="22167" spans="8:8" x14ac:dyDescent="0.3">
      <c r="H22167" t="str">
        <f t="shared" ref="H22167:H22230" si="396">IF(B22167="","",$C$12)</f>
        <v/>
      </c>
    </row>
    <row r="22168" spans="8:8" x14ac:dyDescent="0.3">
      <c r="H22168" t="str">
        <f t="shared" si="396"/>
        <v/>
      </c>
    </row>
    <row r="22169" spans="8:8" x14ac:dyDescent="0.3">
      <c r="H22169" t="str">
        <f t="shared" si="396"/>
        <v/>
      </c>
    </row>
    <row r="22170" spans="8:8" x14ac:dyDescent="0.3">
      <c r="H22170" t="str">
        <f t="shared" si="396"/>
        <v/>
      </c>
    </row>
    <row r="22171" spans="8:8" x14ac:dyDescent="0.3">
      <c r="H22171" t="str">
        <f t="shared" si="396"/>
        <v/>
      </c>
    </row>
    <row r="22172" spans="8:8" x14ac:dyDescent="0.3">
      <c r="H22172" t="str">
        <f t="shared" si="396"/>
        <v/>
      </c>
    </row>
    <row r="22173" spans="8:8" x14ac:dyDescent="0.3">
      <c r="H22173" t="str">
        <f t="shared" si="396"/>
        <v/>
      </c>
    </row>
    <row r="22174" spans="8:8" x14ac:dyDescent="0.3">
      <c r="H22174" t="str">
        <f t="shared" si="396"/>
        <v/>
      </c>
    </row>
    <row r="22175" spans="8:8" x14ac:dyDescent="0.3">
      <c r="H22175" t="str">
        <f t="shared" si="396"/>
        <v/>
      </c>
    </row>
    <row r="22176" spans="8:8" x14ac:dyDescent="0.3">
      <c r="H22176" t="str">
        <f t="shared" si="396"/>
        <v/>
      </c>
    </row>
    <row r="22177" spans="8:8" x14ac:dyDescent="0.3">
      <c r="H22177" t="str">
        <f t="shared" si="396"/>
        <v/>
      </c>
    </row>
    <row r="22178" spans="8:8" x14ac:dyDescent="0.3">
      <c r="H22178" t="str">
        <f t="shared" si="396"/>
        <v/>
      </c>
    </row>
    <row r="22179" spans="8:8" x14ac:dyDescent="0.3">
      <c r="H22179" t="str">
        <f t="shared" si="396"/>
        <v/>
      </c>
    </row>
    <row r="22180" spans="8:8" x14ac:dyDescent="0.3">
      <c r="H22180" t="str">
        <f t="shared" si="396"/>
        <v/>
      </c>
    </row>
    <row r="22181" spans="8:8" x14ac:dyDescent="0.3">
      <c r="H22181" t="str">
        <f t="shared" si="396"/>
        <v/>
      </c>
    </row>
    <row r="22182" spans="8:8" x14ac:dyDescent="0.3">
      <c r="H22182" t="str">
        <f t="shared" si="396"/>
        <v/>
      </c>
    </row>
    <row r="22183" spans="8:8" x14ac:dyDescent="0.3">
      <c r="H22183" t="str">
        <f t="shared" si="396"/>
        <v/>
      </c>
    </row>
    <row r="22184" spans="8:8" x14ac:dyDescent="0.3">
      <c r="H22184" t="str">
        <f t="shared" si="396"/>
        <v/>
      </c>
    </row>
    <row r="22185" spans="8:8" x14ac:dyDescent="0.3">
      <c r="H22185" t="str">
        <f t="shared" si="396"/>
        <v/>
      </c>
    </row>
    <row r="22186" spans="8:8" x14ac:dyDescent="0.3">
      <c r="H22186" t="str">
        <f t="shared" si="396"/>
        <v/>
      </c>
    </row>
    <row r="22187" spans="8:8" x14ac:dyDescent="0.3">
      <c r="H22187" t="str">
        <f t="shared" si="396"/>
        <v/>
      </c>
    </row>
    <row r="22188" spans="8:8" x14ac:dyDescent="0.3">
      <c r="H22188" t="str">
        <f t="shared" si="396"/>
        <v/>
      </c>
    </row>
    <row r="22189" spans="8:8" x14ac:dyDescent="0.3">
      <c r="H22189" t="str">
        <f t="shared" si="396"/>
        <v/>
      </c>
    </row>
    <row r="22190" spans="8:8" x14ac:dyDescent="0.3">
      <c r="H22190" t="str">
        <f t="shared" si="396"/>
        <v/>
      </c>
    </row>
    <row r="22191" spans="8:8" x14ac:dyDescent="0.3">
      <c r="H22191" t="str">
        <f t="shared" si="396"/>
        <v/>
      </c>
    </row>
    <row r="22192" spans="8:8" x14ac:dyDescent="0.3">
      <c r="H22192" t="str">
        <f t="shared" si="396"/>
        <v/>
      </c>
    </row>
    <row r="22193" spans="8:8" x14ac:dyDescent="0.3">
      <c r="H22193" t="str">
        <f t="shared" si="396"/>
        <v/>
      </c>
    </row>
    <row r="22194" spans="8:8" x14ac:dyDescent="0.3">
      <c r="H22194" t="str">
        <f t="shared" si="396"/>
        <v/>
      </c>
    </row>
    <row r="22195" spans="8:8" x14ac:dyDescent="0.3">
      <c r="H22195" t="str">
        <f t="shared" si="396"/>
        <v/>
      </c>
    </row>
    <row r="22196" spans="8:8" x14ac:dyDescent="0.3">
      <c r="H22196" t="str">
        <f t="shared" si="396"/>
        <v/>
      </c>
    </row>
    <row r="22197" spans="8:8" x14ac:dyDescent="0.3">
      <c r="H22197" t="str">
        <f t="shared" si="396"/>
        <v/>
      </c>
    </row>
    <row r="22198" spans="8:8" x14ac:dyDescent="0.3">
      <c r="H22198" t="str">
        <f t="shared" si="396"/>
        <v/>
      </c>
    </row>
    <row r="22199" spans="8:8" x14ac:dyDescent="0.3">
      <c r="H22199" t="str">
        <f t="shared" si="396"/>
        <v/>
      </c>
    </row>
    <row r="22200" spans="8:8" x14ac:dyDescent="0.3">
      <c r="H22200" t="str">
        <f t="shared" si="396"/>
        <v/>
      </c>
    </row>
    <row r="22201" spans="8:8" x14ac:dyDescent="0.3">
      <c r="H22201" t="str">
        <f t="shared" si="396"/>
        <v/>
      </c>
    </row>
    <row r="22202" spans="8:8" x14ac:dyDescent="0.3">
      <c r="H22202" t="str">
        <f t="shared" si="396"/>
        <v/>
      </c>
    </row>
    <row r="22203" spans="8:8" x14ac:dyDescent="0.3">
      <c r="H22203" t="str">
        <f t="shared" si="396"/>
        <v/>
      </c>
    </row>
    <row r="22204" spans="8:8" x14ac:dyDescent="0.3">
      <c r="H22204" t="str">
        <f t="shared" si="396"/>
        <v/>
      </c>
    </row>
    <row r="22205" spans="8:8" x14ac:dyDescent="0.3">
      <c r="H22205" t="str">
        <f t="shared" si="396"/>
        <v/>
      </c>
    </row>
    <row r="22206" spans="8:8" x14ac:dyDescent="0.3">
      <c r="H22206" t="str">
        <f t="shared" si="396"/>
        <v/>
      </c>
    </row>
    <row r="22207" spans="8:8" x14ac:dyDescent="0.3">
      <c r="H22207" t="str">
        <f t="shared" si="396"/>
        <v/>
      </c>
    </row>
    <row r="22208" spans="8:8" x14ac:dyDescent="0.3">
      <c r="H22208" t="str">
        <f t="shared" si="396"/>
        <v/>
      </c>
    </row>
    <row r="22209" spans="8:8" x14ac:dyDescent="0.3">
      <c r="H22209" t="str">
        <f t="shared" si="396"/>
        <v/>
      </c>
    </row>
    <row r="22210" spans="8:8" x14ac:dyDescent="0.3">
      <c r="H22210" t="str">
        <f t="shared" si="396"/>
        <v/>
      </c>
    </row>
    <row r="22211" spans="8:8" x14ac:dyDescent="0.3">
      <c r="H22211" t="str">
        <f t="shared" si="396"/>
        <v/>
      </c>
    </row>
    <row r="22212" spans="8:8" x14ac:dyDescent="0.3">
      <c r="H22212" t="str">
        <f t="shared" si="396"/>
        <v/>
      </c>
    </row>
    <row r="22213" spans="8:8" x14ac:dyDescent="0.3">
      <c r="H22213" t="str">
        <f t="shared" si="396"/>
        <v/>
      </c>
    </row>
    <row r="22214" spans="8:8" x14ac:dyDescent="0.3">
      <c r="H22214" t="str">
        <f t="shared" si="396"/>
        <v/>
      </c>
    </row>
    <row r="22215" spans="8:8" x14ac:dyDescent="0.3">
      <c r="H22215" t="str">
        <f t="shared" si="396"/>
        <v/>
      </c>
    </row>
    <row r="22216" spans="8:8" x14ac:dyDescent="0.3">
      <c r="H22216" t="str">
        <f t="shared" si="396"/>
        <v/>
      </c>
    </row>
    <row r="22217" spans="8:8" x14ac:dyDescent="0.3">
      <c r="H22217" t="str">
        <f t="shared" si="396"/>
        <v/>
      </c>
    </row>
    <row r="22218" spans="8:8" x14ac:dyDescent="0.3">
      <c r="H22218" t="str">
        <f t="shared" si="396"/>
        <v/>
      </c>
    </row>
    <row r="22219" spans="8:8" x14ac:dyDescent="0.3">
      <c r="H22219" t="str">
        <f t="shared" si="396"/>
        <v/>
      </c>
    </row>
    <row r="22220" spans="8:8" x14ac:dyDescent="0.3">
      <c r="H22220" t="str">
        <f t="shared" si="396"/>
        <v/>
      </c>
    </row>
    <row r="22221" spans="8:8" x14ac:dyDescent="0.3">
      <c r="H22221" t="str">
        <f t="shared" si="396"/>
        <v/>
      </c>
    </row>
    <row r="22222" spans="8:8" x14ac:dyDescent="0.3">
      <c r="H22222" t="str">
        <f t="shared" si="396"/>
        <v/>
      </c>
    </row>
    <row r="22223" spans="8:8" x14ac:dyDescent="0.3">
      <c r="H22223" t="str">
        <f t="shared" si="396"/>
        <v/>
      </c>
    </row>
    <row r="22224" spans="8:8" x14ac:dyDescent="0.3">
      <c r="H22224" t="str">
        <f t="shared" si="396"/>
        <v/>
      </c>
    </row>
    <row r="22225" spans="8:8" x14ac:dyDescent="0.3">
      <c r="H22225" t="str">
        <f t="shared" si="396"/>
        <v/>
      </c>
    </row>
    <row r="22226" spans="8:8" x14ac:dyDescent="0.3">
      <c r="H22226" t="str">
        <f t="shared" si="396"/>
        <v/>
      </c>
    </row>
    <row r="22227" spans="8:8" x14ac:dyDescent="0.3">
      <c r="H22227" t="str">
        <f t="shared" si="396"/>
        <v/>
      </c>
    </row>
    <row r="22228" spans="8:8" x14ac:dyDescent="0.3">
      <c r="H22228" t="str">
        <f t="shared" si="396"/>
        <v/>
      </c>
    </row>
    <row r="22229" spans="8:8" x14ac:dyDescent="0.3">
      <c r="H22229" t="str">
        <f t="shared" si="396"/>
        <v/>
      </c>
    </row>
    <row r="22230" spans="8:8" x14ac:dyDescent="0.3">
      <c r="H22230" t="str">
        <f t="shared" si="396"/>
        <v/>
      </c>
    </row>
    <row r="22231" spans="8:8" x14ac:dyDescent="0.3">
      <c r="H22231" t="str">
        <f t="shared" ref="H22231:H22294" si="397">IF(B22231="","",$C$12)</f>
        <v/>
      </c>
    </row>
    <row r="22232" spans="8:8" x14ac:dyDescent="0.3">
      <c r="H22232" t="str">
        <f t="shared" si="397"/>
        <v/>
      </c>
    </row>
    <row r="22233" spans="8:8" x14ac:dyDescent="0.3">
      <c r="H22233" t="str">
        <f t="shared" si="397"/>
        <v/>
      </c>
    </row>
    <row r="22234" spans="8:8" x14ac:dyDescent="0.3">
      <c r="H22234" t="str">
        <f t="shared" si="397"/>
        <v/>
      </c>
    </row>
    <row r="22235" spans="8:8" x14ac:dyDescent="0.3">
      <c r="H22235" t="str">
        <f t="shared" si="397"/>
        <v/>
      </c>
    </row>
    <row r="22236" spans="8:8" x14ac:dyDescent="0.3">
      <c r="H22236" t="str">
        <f t="shared" si="397"/>
        <v/>
      </c>
    </row>
    <row r="22237" spans="8:8" x14ac:dyDescent="0.3">
      <c r="H22237" t="str">
        <f t="shared" si="397"/>
        <v/>
      </c>
    </row>
    <row r="22238" spans="8:8" x14ac:dyDescent="0.3">
      <c r="H22238" t="str">
        <f t="shared" si="397"/>
        <v/>
      </c>
    </row>
    <row r="22239" spans="8:8" x14ac:dyDescent="0.3">
      <c r="H22239" t="str">
        <f t="shared" si="397"/>
        <v/>
      </c>
    </row>
    <row r="22240" spans="8:8" x14ac:dyDescent="0.3">
      <c r="H22240" t="str">
        <f t="shared" si="397"/>
        <v/>
      </c>
    </row>
    <row r="22241" spans="8:8" x14ac:dyDescent="0.3">
      <c r="H22241" t="str">
        <f t="shared" si="397"/>
        <v/>
      </c>
    </row>
    <row r="22242" spans="8:8" x14ac:dyDescent="0.3">
      <c r="H22242" t="str">
        <f t="shared" si="397"/>
        <v/>
      </c>
    </row>
    <row r="22243" spans="8:8" x14ac:dyDescent="0.3">
      <c r="H22243" t="str">
        <f t="shared" si="397"/>
        <v/>
      </c>
    </row>
    <row r="22244" spans="8:8" x14ac:dyDescent="0.3">
      <c r="H22244" t="str">
        <f t="shared" si="397"/>
        <v/>
      </c>
    </row>
    <row r="22245" spans="8:8" x14ac:dyDescent="0.3">
      <c r="H22245" t="str">
        <f t="shared" si="397"/>
        <v/>
      </c>
    </row>
    <row r="22246" spans="8:8" x14ac:dyDescent="0.3">
      <c r="H22246" t="str">
        <f t="shared" si="397"/>
        <v/>
      </c>
    </row>
    <row r="22247" spans="8:8" x14ac:dyDescent="0.3">
      <c r="H22247" t="str">
        <f t="shared" si="397"/>
        <v/>
      </c>
    </row>
    <row r="22248" spans="8:8" x14ac:dyDescent="0.3">
      <c r="H22248" t="str">
        <f t="shared" si="397"/>
        <v/>
      </c>
    </row>
    <row r="22249" spans="8:8" x14ac:dyDescent="0.3">
      <c r="H22249" t="str">
        <f t="shared" si="397"/>
        <v/>
      </c>
    </row>
    <row r="22250" spans="8:8" x14ac:dyDescent="0.3">
      <c r="H22250" t="str">
        <f t="shared" si="397"/>
        <v/>
      </c>
    </row>
    <row r="22251" spans="8:8" x14ac:dyDescent="0.3">
      <c r="H22251" t="str">
        <f t="shared" si="397"/>
        <v/>
      </c>
    </row>
    <row r="22252" spans="8:8" x14ac:dyDescent="0.3">
      <c r="H22252" t="str">
        <f t="shared" si="397"/>
        <v/>
      </c>
    </row>
    <row r="22253" spans="8:8" x14ac:dyDescent="0.3">
      <c r="H22253" t="str">
        <f t="shared" si="397"/>
        <v/>
      </c>
    </row>
    <row r="22254" spans="8:8" x14ac:dyDescent="0.3">
      <c r="H22254" t="str">
        <f t="shared" si="397"/>
        <v/>
      </c>
    </row>
    <row r="22255" spans="8:8" x14ac:dyDescent="0.3">
      <c r="H22255" t="str">
        <f t="shared" si="397"/>
        <v/>
      </c>
    </row>
    <row r="22256" spans="8:8" x14ac:dyDescent="0.3">
      <c r="H22256" t="str">
        <f t="shared" si="397"/>
        <v/>
      </c>
    </row>
    <row r="22257" spans="8:8" x14ac:dyDescent="0.3">
      <c r="H22257" t="str">
        <f t="shared" si="397"/>
        <v/>
      </c>
    </row>
    <row r="22258" spans="8:8" x14ac:dyDescent="0.3">
      <c r="H22258" t="str">
        <f t="shared" si="397"/>
        <v/>
      </c>
    </row>
    <row r="22259" spans="8:8" x14ac:dyDescent="0.3">
      <c r="H22259" t="str">
        <f t="shared" si="397"/>
        <v/>
      </c>
    </row>
    <row r="22260" spans="8:8" x14ac:dyDescent="0.3">
      <c r="H22260" t="str">
        <f t="shared" si="397"/>
        <v/>
      </c>
    </row>
    <row r="22261" spans="8:8" x14ac:dyDescent="0.3">
      <c r="H22261" t="str">
        <f t="shared" si="397"/>
        <v/>
      </c>
    </row>
    <row r="22262" spans="8:8" x14ac:dyDescent="0.3">
      <c r="H22262" t="str">
        <f t="shared" si="397"/>
        <v/>
      </c>
    </row>
    <row r="22263" spans="8:8" x14ac:dyDescent="0.3">
      <c r="H22263" t="str">
        <f t="shared" si="397"/>
        <v/>
      </c>
    </row>
    <row r="22264" spans="8:8" x14ac:dyDescent="0.3">
      <c r="H22264" t="str">
        <f t="shared" si="397"/>
        <v/>
      </c>
    </row>
    <row r="22265" spans="8:8" x14ac:dyDescent="0.3">
      <c r="H22265" t="str">
        <f t="shared" si="397"/>
        <v/>
      </c>
    </row>
    <row r="22266" spans="8:8" x14ac:dyDescent="0.3">
      <c r="H22266" t="str">
        <f t="shared" si="397"/>
        <v/>
      </c>
    </row>
    <row r="22267" spans="8:8" x14ac:dyDescent="0.3">
      <c r="H22267" t="str">
        <f t="shared" si="397"/>
        <v/>
      </c>
    </row>
    <row r="22268" spans="8:8" x14ac:dyDescent="0.3">
      <c r="H22268" t="str">
        <f t="shared" si="397"/>
        <v/>
      </c>
    </row>
    <row r="22269" spans="8:8" x14ac:dyDescent="0.3">
      <c r="H22269" t="str">
        <f t="shared" si="397"/>
        <v/>
      </c>
    </row>
    <row r="22270" spans="8:8" x14ac:dyDescent="0.3">
      <c r="H22270" t="str">
        <f t="shared" si="397"/>
        <v/>
      </c>
    </row>
    <row r="22271" spans="8:8" x14ac:dyDescent="0.3">
      <c r="H22271" t="str">
        <f t="shared" si="397"/>
        <v/>
      </c>
    </row>
    <row r="22272" spans="8:8" x14ac:dyDescent="0.3">
      <c r="H22272" t="str">
        <f t="shared" si="397"/>
        <v/>
      </c>
    </row>
    <row r="22273" spans="8:8" x14ac:dyDescent="0.3">
      <c r="H22273" t="str">
        <f t="shared" si="397"/>
        <v/>
      </c>
    </row>
    <row r="22274" spans="8:8" x14ac:dyDescent="0.3">
      <c r="H22274" t="str">
        <f t="shared" si="397"/>
        <v/>
      </c>
    </row>
    <row r="22275" spans="8:8" x14ac:dyDescent="0.3">
      <c r="H22275" t="str">
        <f t="shared" si="397"/>
        <v/>
      </c>
    </row>
    <row r="22276" spans="8:8" x14ac:dyDescent="0.3">
      <c r="H22276" t="str">
        <f t="shared" si="397"/>
        <v/>
      </c>
    </row>
    <row r="22277" spans="8:8" x14ac:dyDescent="0.3">
      <c r="H22277" t="str">
        <f t="shared" si="397"/>
        <v/>
      </c>
    </row>
    <row r="22278" spans="8:8" x14ac:dyDescent="0.3">
      <c r="H22278" t="str">
        <f t="shared" si="397"/>
        <v/>
      </c>
    </row>
    <row r="22279" spans="8:8" x14ac:dyDescent="0.3">
      <c r="H22279" t="str">
        <f t="shared" si="397"/>
        <v/>
      </c>
    </row>
    <row r="22280" spans="8:8" x14ac:dyDescent="0.3">
      <c r="H22280" t="str">
        <f t="shared" si="397"/>
        <v/>
      </c>
    </row>
    <row r="22281" spans="8:8" x14ac:dyDescent="0.3">
      <c r="H22281" t="str">
        <f t="shared" si="397"/>
        <v/>
      </c>
    </row>
    <row r="22282" spans="8:8" x14ac:dyDescent="0.3">
      <c r="H22282" t="str">
        <f t="shared" si="397"/>
        <v/>
      </c>
    </row>
    <row r="22283" spans="8:8" x14ac:dyDescent="0.3">
      <c r="H22283" t="str">
        <f t="shared" si="397"/>
        <v/>
      </c>
    </row>
    <row r="22284" spans="8:8" x14ac:dyDescent="0.3">
      <c r="H22284" t="str">
        <f t="shared" si="397"/>
        <v/>
      </c>
    </row>
    <row r="22285" spans="8:8" x14ac:dyDescent="0.3">
      <c r="H22285" t="str">
        <f t="shared" si="397"/>
        <v/>
      </c>
    </row>
    <row r="22286" spans="8:8" x14ac:dyDescent="0.3">
      <c r="H22286" t="str">
        <f t="shared" si="397"/>
        <v/>
      </c>
    </row>
    <row r="22287" spans="8:8" x14ac:dyDescent="0.3">
      <c r="H22287" t="str">
        <f t="shared" si="397"/>
        <v/>
      </c>
    </row>
    <row r="22288" spans="8:8" x14ac:dyDescent="0.3">
      <c r="H22288" t="str">
        <f t="shared" si="397"/>
        <v/>
      </c>
    </row>
    <row r="22289" spans="8:8" x14ac:dyDescent="0.3">
      <c r="H22289" t="str">
        <f t="shared" si="397"/>
        <v/>
      </c>
    </row>
    <row r="22290" spans="8:8" x14ac:dyDescent="0.3">
      <c r="H22290" t="str">
        <f t="shared" si="397"/>
        <v/>
      </c>
    </row>
    <row r="22291" spans="8:8" x14ac:dyDescent="0.3">
      <c r="H22291" t="str">
        <f t="shared" si="397"/>
        <v/>
      </c>
    </row>
    <row r="22292" spans="8:8" x14ac:dyDescent="0.3">
      <c r="H22292" t="str">
        <f t="shared" si="397"/>
        <v/>
      </c>
    </row>
    <row r="22293" spans="8:8" x14ac:dyDescent="0.3">
      <c r="H22293" t="str">
        <f t="shared" si="397"/>
        <v/>
      </c>
    </row>
    <row r="22294" spans="8:8" x14ac:dyDescent="0.3">
      <c r="H22294" t="str">
        <f t="shared" si="397"/>
        <v/>
      </c>
    </row>
    <row r="22295" spans="8:8" x14ac:dyDescent="0.3">
      <c r="H22295" t="str">
        <f t="shared" ref="H22295:H22358" si="398">IF(B22295="","",$C$12)</f>
        <v/>
      </c>
    </row>
    <row r="22296" spans="8:8" x14ac:dyDescent="0.3">
      <c r="H22296" t="str">
        <f t="shared" si="398"/>
        <v/>
      </c>
    </row>
    <row r="22297" spans="8:8" x14ac:dyDescent="0.3">
      <c r="H22297" t="str">
        <f t="shared" si="398"/>
        <v/>
      </c>
    </row>
    <row r="22298" spans="8:8" x14ac:dyDescent="0.3">
      <c r="H22298" t="str">
        <f t="shared" si="398"/>
        <v/>
      </c>
    </row>
    <row r="22299" spans="8:8" x14ac:dyDescent="0.3">
      <c r="H22299" t="str">
        <f t="shared" si="398"/>
        <v/>
      </c>
    </row>
    <row r="22300" spans="8:8" x14ac:dyDescent="0.3">
      <c r="H22300" t="str">
        <f t="shared" si="398"/>
        <v/>
      </c>
    </row>
    <row r="22301" spans="8:8" x14ac:dyDescent="0.3">
      <c r="H22301" t="str">
        <f t="shared" si="398"/>
        <v/>
      </c>
    </row>
    <row r="22302" spans="8:8" x14ac:dyDescent="0.3">
      <c r="H22302" t="str">
        <f t="shared" si="398"/>
        <v/>
      </c>
    </row>
    <row r="22303" spans="8:8" x14ac:dyDescent="0.3">
      <c r="H22303" t="str">
        <f t="shared" si="398"/>
        <v/>
      </c>
    </row>
    <row r="22304" spans="8:8" x14ac:dyDescent="0.3">
      <c r="H22304" t="str">
        <f t="shared" si="398"/>
        <v/>
      </c>
    </row>
    <row r="22305" spans="8:8" x14ac:dyDescent="0.3">
      <c r="H22305" t="str">
        <f t="shared" si="398"/>
        <v/>
      </c>
    </row>
    <row r="22306" spans="8:8" x14ac:dyDescent="0.3">
      <c r="H22306" t="str">
        <f t="shared" si="398"/>
        <v/>
      </c>
    </row>
    <row r="22307" spans="8:8" x14ac:dyDescent="0.3">
      <c r="H22307" t="str">
        <f t="shared" si="398"/>
        <v/>
      </c>
    </row>
    <row r="22308" spans="8:8" x14ac:dyDescent="0.3">
      <c r="H22308" t="str">
        <f t="shared" si="398"/>
        <v/>
      </c>
    </row>
    <row r="22309" spans="8:8" x14ac:dyDescent="0.3">
      <c r="H22309" t="str">
        <f t="shared" si="398"/>
        <v/>
      </c>
    </row>
    <row r="22310" spans="8:8" x14ac:dyDescent="0.3">
      <c r="H22310" t="str">
        <f t="shared" si="398"/>
        <v/>
      </c>
    </row>
    <row r="22311" spans="8:8" x14ac:dyDescent="0.3">
      <c r="H22311" t="str">
        <f t="shared" si="398"/>
        <v/>
      </c>
    </row>
    <row r="22312" spans="8:8" x14ac:dyDescent="0.3">
      <c r="H22312" t="str">
        <f t="shared" si="398"/>
        <v/>
      </c>
    </row>
    <row r="22313" spans="8:8" x14ac:dyDescent="0.3">
      <c r="H22313" t="str">
        <f t="shared" si="398"/>
        <v/>
      </c>
    </row>
    <row r="22314" spans="8:8" x14ac:dyDescent="0.3">
      <c r="H22314" t="str">
        <f t="shared" si="398"/>
        <v/>
      </c>
    </row>
    <row r="22315" spans="8:8" x14ac:dyDescent="0.3">
      <c r="H22315" t="str">
        <f t="shared" si="398"/>
        <v/>
      </c>
    </row>
    <row r="22316" spans="8:8" x14ac:dyDescent="0.3">
      <c r="H22316" t="str">
        <f t="shared" si="398"/>
        <v/>
      </c>
    </row>
    <row r="22317" spans="8:8" x14ac:dyDescent="0.3">
      <c r="H22317" t="str">
        <f t="shared" si="398"/>
        <v/>
      </c>
    </row>
    <row r="22318" spans="8:8" x14ac:dyDescent="0.3">
      <c r="H22318" t="str">
        <f t="shared" si="398"/>
        <v/>
      </c>
    </row>
    <row r="22319" spans="8:8" x14ac:dyDescent="0.3">
      <c r="H22319" t="str">
        <f t="shared" si="398"/>
        <v/>
      </c>
    </row>
    <row r="22320" spans="8:8" x14ac:dyDescent="0.3">
      <c r="H22320" t="str">
        <f t="shared" si="398"/>
        <v/>
      </c>
    </row>
    <row r="22321" spans="8:8" x14ac:dyDescent="0.3">
      <c r="H22321" t="str">
        <f t="shared" si="398"/>
        <v/>
      </c>
    </row>
    <row r="22322" spans="8:8" x14ac:dyDescent="0.3">
      <c r="H22322" t="str">
        <f t="shared" si="398"/>
        <v/>
      </c>
    </row>
    <row r="22323" spans="8:8" x14ac:dyDescent="0.3">
      <c r="H22323" t="str">
        <f t="shared" si="398"/>
        <v/>
      </c>
    </row>
    <row r="22324" spans="8:8" x14ac:dyDescent="0.3">
      <c r="H22324" t="str">
        <f t="shared" si="398"/>
        <v/>
      </c>
    </row>
    <row r="22325" spans="8:8" x14ac:dyDescent="0.3">
      <c r="H22325" t="str">
        <f t="shared" si="398"/>
        <v/>
      </c>
    </row>
    <row r="22326" spans="8:8" x14ac:dyDescent="0.3">
      <c r="H22326" t="str">
        <f t="shared" si="398"/>
        <v/>
      </c>
    </row>
    <row r="22327" spans="8:8" x14ac:dyDescent="0.3">
      <c r="H22327" t="str">
        <f t="shared" si="398"/>
        <v/>
      </c>
    </row>
    <row r="22328" spans="8:8" x14ac:dyDescent="0.3">
      <c r="H22328" t="str">
        <f t="shared" si="398"/>
        <v/>
      </c>
    </row>
    <row r="22329" spans="8:8" x14ac:dyDescent="0.3">
      <c r="H22329" t="str">
        <f t="shared" si="398"/>
        <v/>
      </c>
    </row>
    <row r="22330" spans="8:8" x14ac:dyDescent="0.3">
      <c r="H22330" t="str">
        <f t="shared" si="398"/>
        <v/>
      </c>
    </row>
    <row r="22331" spans="8:8" x14ac:dyDescent="0.3">
      <c r="H22331" t="str">
        <f t="shared" si="398"/>
        <v/>
      </c>
    </row>
    <row r="22332" spans="8:8" x14ac:dyDescent="0.3">
      <c r="H22332" t="str">
        <f t="shared" si="398"/>
        <v/>
      </c>
    </row>
    <row r="22333" spans="8:8" x14ac:dyDescent="0.3">
      <c r="H22333" t="str">
        <f t="shared" si="398"/>
        <v/>
      </c>
    </row>
    <row r="22334" spans="8:8" x14ac:dyDescent="0.3">
      <c r="H22334" t="str">
        <f t="shared" si="398"/>
        <v/>
      </c>
    </row>
    <row r="22335" spans="8:8" x14ac:dyDescent="0.3">
      <c r="H22335" t="str">
        <f t="shared" si="398"/>
        <v/>
      </c>
    </row>
    <row r="22336" spans="8:8" x14ac:dyDescent="0.3">
      <c r="H22336" t="str">
        <f t="shared" si="398"/>
        <v/>
      </c>
    </row>
    <row r="22337" spans="8:8" x14ac:dyDescent="0.3">
      <c r="H22337" t="str">
        <f t="shared" si="398"/>
        <v/>
      </c>
    </row>
    <row r="22338" spans="8:8" x14ac:dyDescent="0.3">
      <c r="H22338" t="str">
        <f t="shared" si="398"/>
        <v/>
      </c>
    </row>
    <row r="22339" spans="8:8" x14ac:dyDescent="0.3">
      <c r="H22339" t="str">
        <f t="shared" si="398"/>
        <v/>
      </c>
    </row>
    <row r="22340" spans="8:8" x14ac:dyDescent="0.3">
      <c r="H22340" t="str">
        <f t="shared" si="398"/>
        <v/>
      </c>
    </row>
    <row r="22341" spans="8:8" x14ac:dyDescent="0.3">
      <c r="H22341" t="str">
        <f t="shared" si="398"/>
        <v/>
      </c>
    </row>
    <row r="22342" spans="8:8" x14ac:dyDescent="0.3">
      <c r="H22342" t="str">
        <f t="shared" si="398"/>
        <v/>
      </c>
    </row>
    <row r="22343" spans="8:8" x14ac:dyDescent="0.3">
      <c r="H22343" t="str">
        <f t="shared" si="398"/>
        <v/>
      </c>
    </row>
    <row r="22344" spans="8:8" x14ac:dyDescent="0.3">
      <c r="H22344" t="str">
        <f t="shared" si="398"/>
        <v/>
      </c>
    </row>
    <row r="22345" spans="8:8" x14ac:dyDescent="0.3">
      <c r="H22345" t="str">
        <f t="shared" si="398"/>
        <v/>
      </c>
    </row>
    <row r="22346" spans="8:8" x14ac:dyDescent="0.3">
      <c r="H22346" t="str">
        <f t="shared" si="398"/>
        <v/>
      </c>
    </row>
    <row r="22347" spans="8:8" x14ac:dyDescent="0.3">
      <c r="H22347" t="str">
        <f t="shared" si="398"/>
        <v/>
      </c>
    </row>
    <row r="22348" spans="8:8" x14ac:dyDescent="0.3">
      <c r="H22348" t="str">
        <f t="shared" si="398"/>
        <v/>
      </c>
    </row>
    <row r="22349" spans="8:8" x14ac:dyDescent="0.3">
      <c r="H22349" t="str">
        <f t="shared" si="398"/>
        <v/>
      </c>
    </row>
    <row r="22350" spans="8:8" x14ac:dyDescent="0.3">
      <c r="H22350" t="str">
        <f t="shared" si="398"/>
        <v/>
      </c>
    </row>
    <row r="22351" spans="8:8" x14ac:dyDescent="0.3">
      <c r="H22351" t="str">
        <f t="shared" si="398"/>
        <v/>
      </c>
    </row>
    <row r="22352" spans="8:8" x14ac:dyDescent="0.3">
      <c r="H22352" t="str">
        <f t="shared" si="398"/>
        <v/>
      </c>
    </row>
    <row r="22353" spans="8:8" x14ac:dyDescent="0.3">
      <c r="H22353" t="str">
        <f t="shared" si="398"/>
        <v/>
      </c>
    </row>
    <row r="22354" spans="8:8" x14ac:dyDescent="0.3">
      <c r="H22354" t="str">
        <f t="shared" si="398"/>
        <v/>
      </c>
    </row>
    <row r="22355" spans="8:8" x14ac:dyDescent="0.3">
      <c r="H22355" t="str">
        <f t="shared" si="398"/>
        <v/>
      </c>
    </row>
    <row r="22356" spans="8:8" x14ac:dyDescent="0.3">
      <c r="H22356" t="str">
        <f t="shared" si="398"/>
        <v/>
      </c>
    </row>
    <row r="22357" spans="8:8" x14ac:dyDescent="0.3">
      <c r="H22357" t="str">
        <f t="shared" si="398"/>
        <v/>
      </c>
    </row>
    <row r="22358" spans="8:8" x14ac:dyDescent="0.3">
      <c r="H22358" t="str">
        <f t="shared" si="398"/>
        <v/>
      </c>
    </row>
    <row r="22359" spans="8:8" x14ac:dyDescent="0.3">
      <c r="H22359" t="str">
        <f t="shared" ref="H22359:H22422" si="399">IF(B22359="","",$C$12)</f>
        <v/>
      </c>
    </row>
    <row r="22360" spans="8:8" x14ac:dyDescent="0.3">
      <c r="H22360" t="str">
        <f t="shared" si="399"/>
        <v/>
      </c>
    </row>
    <row r="22361" spans="8:8" x14ac:dyDescent="0.3">
      <c r="H22361" t="str">
        <f t="shared" si="399"/>
        <v/>
      </c>
    </row>
    <row r="22362" spans="8:8" x14ac:dyDescent="0.3">
      <c r="H22362" t="str">
        <f t="shared" si="399"/>
        <v/>
      </c>
    </row>
    <row r="22363" spans="8:8" x14ac:dyDescent="0.3">
      <c r="H22363" t="str">
        <f t="shared" si="399"/>
        <v/>
      </c>
    </row>
    <row r="22364" spans="8:8" x14ac:dyDescent="0.3">
      <c r="H22364" t="str">
        <f t="shared" si="399"/>
        <v/>
      </c>
    </row>
    <row r="22365" spans="8:8" x14ac:dyDescent="0.3">
      <c r="H22365" t="str">
        <f t="shared" si="399"/>
        <v/>
      </c>
    </row>
    <row r="22366" spans="8:8" x14ac:dyDescent="0.3">
      <c r="H22366" t="str">
        <f t="shared" si="399"/>
        <v/>
      </c>
    </row>
    <row r="22367" spans="8:8" x14ac:dyDescent="0.3">
      <c r="H22367" t="str">
        <f t="shared" si="399"/>
        <v/>
      </c>
    </row>
    <row r="22368" spans="8:8" x14ac:dyDescent="0.3">
      <c r="H22368" t="str">
        <f t="shared" si="399"/>
        <v/>
      </c>
    </row>
    <row r="22369" spans="8:8" x14ac:dyDescent="0.3">
      <c r="H22369" t="str">
        <f t="shared" si="399"/>
        <v/>
      </c>
    </row>
    <row r="22370" spans="8:8" x14ac:dyDescent="0.3">
      <c r="H22370" t="str">
        <f t="shared" si="399"/>
        <v/>
      </c>
    </row>
    <row r="22371" spans="8:8" x14ac:dyDescent="0.3">
      <c r="H22371" t="str">
        <f t="shared" si="399"/>
        <v/>
      </c>
    </row>
    <row r="22372" spans="8:8" x14ac:dyDescent="0.3">
      <c r="H22372" t="str">
        <f t="shared" si="399"/>
        <v/>
      </c>
    </row>
    <row r="22373" spans="8:8" x14ac:dyDescent="0.3">
      <c r="H22373" t="str">
        <f t="shared" si="399"/>
        <v/>
      </c>
    </row>
    <row r="22374" spans="8:8" x14ac:dyDescent="0.3">
      <c r="H22374" t="str">
        <f t="shared" si="399"/>
        <v/>
      </c>
    </row>
    <row r="22375" spans="8:8" x14ac:dyDescent="0.3">
      <c r="H22375" t="str">
        <f t="shared" si="399"/>
        <v/>
      </c>
    </row>
    <row r="22376" spans="8:8" x14ac:dyDescent="0.3">
      <c r="H22376" t="str">
        <f t="shared" si="399"/>
        <v/>
      </c>
    </row>
    <row r="22377" spans="8:8" x14ac:dyDescent="0.3">
      <c r="H22377" t="str">
        <f t="shared" si="399"/>
        <v/>
      </c>
    </row>
    <row r="22378" spans="8:8" x14ac:dyDescent="0.3">
      <c r="H22378" t="str">
        <f t="shared" si="399"/>
        <v/>
      </c>
    </row>
    <row r="22379" spans="8:8" x14ac:dyDescent="0.3">
      <c r="H22379" t="str">
        <f t="shared" si="399"/>
        <v/>
      </c>
    </row>
    <row r="22380" spans="8:8" x14ac:dyDescent="0.3">
      <c r="H22380" t="str">
        <f t="shared" si="399"/>
        <v/>
      </c>
    </row>
    <row r="22381" spans="8:8" x14ac:dyDescent="0.3">
      <c r="H22381" t="str">
        <f t="shared" si="399"/>
        <v/>
      </c>
    </row>
    <row r="22382" spans="8:8" x14ac:dyDescent="0.3">
      <c r="H22382" t="str">
        <f t="shared" si="399"/>
        <v/>
      </c>
    </row>
    <row r="22383" spans="8:8" x14ac:dyDescent="0.3">
      <c r="H22383" t="str">
        <f t="shared" si="399"/>
        <v/>
      </c>
    </row>
    <row r="22384" spans="8:8" x14ac:dyDescent="0.3">
      <c r="H22384" t="str">
        <f t="shared" si="399"/>
        <v/>
      </c>
    </row>
    <row r="22385" spans="8:8" x14ac:dyDescent="0.3">
      <c r="H22385" t="str">
        <f t="shared" si="399"/>
        <v/>
      </c>
    </row>
    <row r="22386" spans="8:8" x14ac:dyDescent="0.3">
      <c r="H22386" t="str">
        <f t="shared" si="399"/>
        <v/>
      </c>
    </row>
    <row r="22387" spans="8:8" x14ac:dyDescent="0.3">
      <c r="H22387" t="str">
        <f t="shared" si="399"/>
        <v/>
      </c>
    </row>
    <row r="22388" spans="8:8" x14ac:dyDescent="0.3">
      <c r="H22388" t="str">
        <f t="shared" si="399"/>
        <v/>
      </c>
    </row>
    <row r="22389" spans="8:8" x14ac:dyDescent="0.3">
      <c r="H22389" t="str">
        <f t="shared" si="399"/>
        <v/>
      </c>
    </row>
    <row r="22390" spans="8:8" x14ac:dyDescent="0.3">
      <c r="H22390" t="str">
        <f t="shared" si="399"/>
        <v/>
      </c>
    </row>
    <row r="22391" spans="8:8" x14ac:dyDescent="0.3">
      <c r="H22391" t="str">
        <f t="shared" si="399"/>
        <v/>
      </c>
    </row>
    <row r="22392" spans="8:8" x14ac:dyDescent="0.3">
      <c r="H22392" t="str">
        <f t="shared" si="399"/>
        <v/>
      </c>
    </row>
    <row r="22393" spans="8:8" x14ac:dyDescent="0.3">
      <c r="H22393" t="str">
        <f t="shared" si="399"/>
        <v/>
      </c>
    </row>
    <row r="22394" spans="8:8" x14ac:dyDescent="0.3">
      <c r="H22394" t="str">
        <f t="shared" si="399"/>
        <v/>
      </c>
    </row>
    <row r="22395" spans="8:8" x14ac:dyDescent="0.3">
      <c r="H22395" t="str">
        <f t="shared" si="399"/>
        <v/>
      </c>
    </row>
    <row r="22396" spans="8:8" x14ac:dyDescent="0.3">
      <c r="H22396" t="str">
        <f t="shared" si="399"/>
        <v/>
      </c>
    </row>
    <row r="22397" spans="8:8" x14ac:dyDescent="0.3">
      <c r="H22397" t="str">
        <f t="shared" si="399"/>
        <v/>
      </c>
    </row>
    <row r="22398" spans="8:8" x14ac:dyDescent="0.3">
      <c r="H22398" t="str">
        <f t="shared" si="399"/>
        <v/>
      </c>
    </row>
    <row r="22399" spans="8:8" x14ac:dyDescent="0.3">
      <c r="H22399" t="str">
        <f t="shared" si="399"/>
        <v/>
      </c>
    </row>
    <row r="22400" spans="8:8" x14ac:dyDescent="0.3">
      <c r="H22400" t="str">
        <f t="shared" si="399"/>
        <v/>
      </c>
    </row>
    <row r="22401" spans="8:8" x14ac:dyDescent="0.3">
      <c r="H22401" t="str">
        <f t="shared" si="399"/>
        <v/>
      </c>
    </row>
    <row r="22402" spans="8:8" x14ac:dyDescent="0.3">
      <c r="H22402" t="str">
        <f t="shared" si="399"/>
        <v/>
      </c>
    </row>
    <row r="22403" spans="8:8" x14ac:dyDescent="0.3">
      <c r="H22403" t="str">
        <f t="shared" si="399"/>
        <v/>
      </c>
    </row>
    <row r="22404" spans="8:8" x14ac:dyDescent="0.3">
      <c r="H22404" t="str">
        <f t="shared" si="399"/>
        <v/>
      </c>
    </row>
    <row r="22405" spans="8:8" x14ac:dyDescent="0.3">
      <c r="H22405" t="str">
        <f t="shared" si="399"/>
        <v/>
      </c>
    </row>
    <row r="22406" spans="8:8" x14ac:dyDescent="0.3">
      <c r="H22406" t="str">
        <f t="shared" si="399"/>
        <v/>
      </c>
    </row>
    <row r="22407" spans="8:8" x14ac:dyDescent="0.3">
      <c r="H22407" t="str">
        <f t="shared" si="399"/>
        <v/>
      </c>
    </row>
    <row r="22408" spans="8:8" x14ac:dyDescent="0.3">
      <c r="H22408" t="str">
        <f t="shared" si="399"/>
        <v/>
      </c>
    </row>
    <row r="22409" spans="8:8" x14ac:dyDescent="0.3">
      <c r="H22409" t="str">
        <f t="shared" si="399"/>
        <v/>
      </c>
    </row>
    <row r="22410" spans="8:8" x14ac:dyDescent="0.3">
      <c r="H22410" t="str">
        <f t="shared" si="399"/>
        <v/>
      </c>
    </row>
    <row r="22411" spans="8:8" x14ac:dyDescent="0.3">
      <c r="H22411" t="str">
        <f t="shared" si="399"/>
        <v/>
      </c>
    </row>
    <row r="22412" spans="8:8" x14ac:dyDescent="0.3">
      <c r="H22412" t="str">
        <f t="shared" si="399"/>
        <v/>
      </c>
    </row>
    <row r="22413" spans="8:8" x14ac:dyDescent="0.3">
      <c r="H22413" t="str">
        <f t="shared" si="399"/>
        <v/>
      </c>
    </row>
    <row r="22414" spans="8:8" x14ac:dyDescent="0.3">
      <c r="H22414" t="str">
        <f t="shared" si="399"/>
        <v/>
      </c>
    </row>
    <row r="22415" spans="8:8" x14ac:dyDescent="0.3">
      <c r="H22415" t="str">
        <f t="shared" si="399"/>
        <v/>
      </c>
    </row>
    <row r="22416" spans="8:8" x14ac:dyDescent="0.3">
      <c r="H22416" t="str">
        <f t="shared" si="399"/>
        <v/>
      </c>
    </row>
    <row r="22417" spans="8:8" x14ac:dyDescent="0.3">
      <c r="H22417" t="str">
        <f t="shared" si="399"/>
        <v/>
      </c>
    </row>
    <row r="22418" spans="8:8" x14ac:dyDescent="0.3">
      <c r="H22418" t="str">
        <f t="shared" si="399"/>
        <v/>
      </c>
    </row>
    <row r="22419" spans="8:8" x14ac:dyDescent="0.3">
      <c r="H22419" t="str">
        <f t="shared" si="399"/>
        <v/>
      </c>
    </row>
    <row r="22420" spans="8:8" x14ac:dyDescent="0.3">
      <c r="H22420" t="str">
        <f t="shared" si="399"/>
        <v/>
      </c>
    </row>
    <row r="22421" spans="8:8" x14ac:dyDescent="0.3">
      <c r="H22421" t="str">
        <f t="shared" si="399"/>
        <v/>
      </c>
    </row>
    <row r="22422" spans="8:8" x14ac:dyDescent="0.3">
      <c r="H22422" t="str">
        <f t="shared" si="399"/>
        <v/>
      </c>
    </row>
    <row r="22423" spans="8:8" x14ac:dyDescent="0.3">
      <c r="H22423" t="str">
        <f t="shared" ref="H22423:H22486" si="400">IF(B22423="","",$C$12)</f>
        <v/>
      </c>
    </row>
    <row r="22424" spans="8:8" x14ac:dyDescent="0.3">
      <c r="H22424" t="str">
        <f t="shared" si="400"/>
        <v/>
      </c>
    </row>
    <row r="22425" spans="8:8" x14ac:dyDescent="0.3">
      <c r="H22425" t="str">
        <f t="shared" si="400"/>
        <v/>
      </c>
    </row>
    <row r="22426" spans="8:8" x14ac:dyDescent="0.3">
      <c r="H22426" t="str">
        <f t="shared" si="400"/>
        <v/>
      </c>
    </row>
    <row r="22427" spans="8:8" x14ac:dyDescent="0.3">
      <c r="H22427" t="str">
        <f t="shared" si="400"/>
        <v/>
      </c>
    </row>
    <row r="22428" spans="8:8" x14ac:dyDescent="0.3">
      <c r="H22428" t="str">
        <f t="shared" si="400"/>
        <v/>
      </c>
    </row>
    <row r="22429" spans="8:8" x14ac:dyDescent="0.3">
      <c r="H22429" t="str">
        <f t="shared" si="400"/>
        <v/>
      </c>
    </row>
    <row r="22430" spans="8:8" x14ac:dyDescent="0.3">
      <c r="H22430" t="str">
        <f t="shared" si="400"/>
        <v/>
      </c>
    </row>
    <row r="22431" spans="8:8" x14ac:dyDescent="0.3">
      <c r="H22431" t="str">
        <f t="shared" si="400"/>
        <v/>
      </c>
    </row>
    <row r="22432" spans="8:8" x14ac:dyDescent="0.3">
      <c r="H22432" t="str">
        <f t="shared" si="400"/>
        <v/>
      </c>
    </row>
    <row r="22433" spans="8:8" x14ac:dyDescent="0.3">
      <c r="H22433" t="str">
        <f t="shared" si="400"/>
        <v/>
      </c>
    </row>
    <row r="22434" spans="8:8" x14ac:dyDescent="0.3">
      <c r="H22434" t="str">
        <f t="shared" si="400"/>
        <v/>
      </c>
    </row>
    <row r="22435" spans="8:8" x14ac:dyDescent="0.3">
      <c r="H22435" t="str">
        <f t="shared" si="400"/>
        <v/>
      </c>
    </row>
    <row r="22436" spans="8:8" x14ac:dyDescent="0.3">
      <c r="H22436" t="str">
        <f t="shared" si="400"/>
        <v/>
      </c>
    </row>
    <row r="22437" spans="8:8" x14ac:dyDescent="0.3">
      <c r="H22437" t="str">
        <f t="shared" si="400"/>
        <v/>
      </c>
    </row>
    <row r="22438" spans="8:8" x14ac:dyDescent="0.3">
      <c r="H22438" t="str">
        <f t="shared" si="400"/>
        <v/>
      </c>
    </row>
    <row r="22439" spans="8:8" x14ac:dyDescent="0.3">
      <c r="H22439" t="str">
        <f t="shared" si="400"/>
        <v/>
      </c>
    </row>
    <row r="22440" spans="8:8" x14ac:dyDescent="0.3">
      <c r="H22440" t="str">
        <f t="shared" si="400"/>
        <v/>
      </c>
    </row>
    <row r="22441" spans="8:8" x14ac:dyDescent="0.3">
      <c r="H22441" t="str">
        <f t="shared" si="400"/>
        <v/>
      </c>
    </row>
    <row r="22442" spans="8:8" x14ac:dyDescent="0.3">
      <c r="H22442" t="str">
        <f t="shared" si="400"/>
        <v/>
      </c>
    </row>
    <row r="22443" spans="8:8" x14ac:dyDescent="0.3">
      <c r="H22443" t="str">
        <f t="shared" si="400"/>
        <v/>
      </c>
    </row>
    <row r="22444" spans="8:8" x14ac:dyDescent="0.3">
      <c r="H22444" t="str">
        <f t="shared" si="400"/>
        <v/>
      </c>
    </row>
    <row r="22445" spans="8:8" x14ac:dyDescent="0.3">
      <c r="H22445" t="str">
        <f t="shared" si="400"/>
        <v/>
      </c>
    </row>
    <row r="22446" spans="8:8" x14ac:dyDescent="0.3">
      <c r="H22446" t="str">
        <f t="shared" si="400"/>
        <v/>
      </c>
    </row>
    <row r="22447" spans="8:8" x14ac:dyDescent="0.3">
      <c r="H22447" t="str">
        <f t="shared" si="400"/>
        <v/>
      </c>
    </row>
    <row r="22448" spans="8:8" x14ac:dyDescent="0.3">
      <c r="H22448" t="str">
        <f t="shared" si="400"/>
        <v/>
      </c>
    </row>
    <row r="22449" spans="8:8" x14ac:dyDescent="0.3">
      <c r="H22449" t="str">
        <f t="shared" si="400"/>
        <v/>
      </c>
    </row>
    <row r="22450" spans="8:8" x14ac:dyDescent="0.3">
      <c r="H22450" t="str">
        <f t="shared" si="400"/>
        <v/>
      </c>
    </row>
    <row r="22451" spans="8:8" x14ac:dyDescent="0.3">
      <c r="H22451" t="str">
        <f t="shared" si="400"/>
        <v/>
      </c>
    </row>
    <row r="22452" spans="8:8" x14ac:dyDescent="0.3">
      <c r="H22452" t="str">
        <f t="shared" si="400"/>
        <v/>
      </c>
    </row>
    <row r="22453" spans="8:8" x14ac:dyDescent="0.3">
      <c r="H22453" t="str">
        <f t="shared" si="400"/>
        <v/>
      </c>
    </row>
    <row r="22454" spans="8:8" x14ac:dyDescent="0.3">
      <c r="H22454" t="str">
        <f t="shared" si="400"/>
        <v/>
      </c>
    </row>
    <row r="22455" spans="8:8" x14ac:dyDescent="0.3">
      <c r="H22455" t="str">
        <f t="shared" si="400"/>
        <v/>
      </c>
    </row>
    <row r="22456" spans="8:8" x14ac:dyDescent="0.3">
      <c r="H22456" t="str">
        <f t="shared" si="400"/>
        <v/>
      </c>
    </row>
    <row r="22457" spans="8:8" x14ac:dyDescent="0.3">
      <c r="H22457" t="str">
        <f t="shared" si="400"/>
        <v/>
      </c>
    </row>
    <row r="22458" spans="8:8" x14ac:dyDescent="0.3">
      <c r="H22458" t="str">
        <f t="shared" si="400"/>
        <v/>
      </c>
    </row>
    <row r="22459" spans="8:8" x14ac:dyDescent="0.3">
      <c r="H22459" t="str">
        <f t="shared" si="400"/>
        <v/>
      </c>
    </row>
    <row r="22460" spans="8:8" x14ac:dyDescent="0.3">
      <c r="H22460" t="str">
        <f t="shared" si="400"/>
        <v/>
      </c>
    </row>
    <row r="22461" spans="8:8" x14ac:dyDescent="0.3">
      <c r="H22461" t="str">
        <f t="shared" si="400"/>
        <v/>
      </c>
    </row>
    <row r="22462" spans="8:8" x14ac:dyDescent="0.3">
      <c r="H22462" t="str">
        <f t="shared" si="400"/>
        <v/>
      </c>
    </row>
    <row r="22463" spans="8:8" x14ac:dyDescent="0.3">
      <c r="H22463" t="str">
        <f t="shared" si="400"/>
        <v/>
      </c>
    </row>
    <row r="22464" spans="8:8" x14ac:dyDescent="0.3">
      <c r="H22464" t="str">
        <f t="shared" si="400"/>
        <v/>
      </c>
    </row>
    <row r="22465" spans="8:8" x14ac:dyDescent="0.3">
      <c r="H22465" t="str">
        <f t="shared" si="400"/>
        <v/>
      </c>
    </row>
    <row r="22466" spans="8:8" x14ac:dyDescent="0.3">
      <c r="H22466" t="str">
        <f t="shared" si="400"/>
        <v/>
      </c>
    </row>
    <row r="22467" spans="8:8" x14ac:dyDescent="0.3">
      <c r="H22467" t="str">
        <f t="shared" si="400"/>
        <v/>
      </c>
    </row>
    <row r="22468" spans="8:8" x14ac:dyDescent="0.3">
      <c r="H22468" t="str">
        <f t="shared" si="400"/>
        <v/>
      </c>
    </row>
    <row r="22469" spans="8:8" x14ac:dyDescent="0.3">
      <c r="H22469" t="str">
        <f t="shared" si="400"/>
        <v/>
      </c>
    </row>
    <row r="22470" spans="8:8" x14ac:dyDescent="0.3">
      <c r="H22470" t="str">
        <f t="shared" si="400"/>
        <v/>
      </c>
    </row>
    <row r="22471" spans="8:8" x14ac:dyDescent="0.3">
      <c r="H22471" t="str">
        <f t="shared" si="400"/>
        <v/>
      </c>
    </row>
    <row r="22472" spans="8:8" x14ac:dyDescent="0.3">
      <c r="H22472" t="str">
        <f t="shared" si="400"/>
        <v/>
      </c>
    </row>
    <row r="22473" spans="8:8" x14ac:dyDescent="0.3">
      <c r="H22473" t="str">
        <f t="shared" si="400"/>
        <v/>
      </c>
    </row>
    <row r="22474" spans="8:8" x14ac:dyDescent="0.3">
      <c r="H22474" t="str">
        <f t="shared" si="400"/>
        <v/>
      </c>
    </row>
    <row r="22475" spans="8:8" x14ac:dyDescent="0.3">
      <c r="H22475" t="str">
        <f t="shared" si="400"/>
        <v/>
      </c>
    </row>
    <row r="22476" spans="8:8" x14ac:dyDescent="0.3">
      <c r="H22476" t="str">
        <f t="shared" si="400"/>
        <v/>
      </c>
    </row>
    <row r="22477" spans="8:8" x14ac:dyDescent="0.3">
      <c r="H22477" t="str">
        <f t="shared" si="400"/>
        <v/>
      </c>
    </row>
    <row r="22478" spans="8:8" x14ac:dyDescent="0.3">
      <c r="H22478" t="str">
        <f t="shared" si="400"/>
        <v/>
      </c>
    </row>
    <row r="22479" spans="8:8" x14ac:dyDescent="0.3">
      <c r="H22479" t="str">
        <f t="shared" si="400"/>
        <v/>
      </c>
    </row>
    <row r="22480" spans="8:8" x14ac:dyDescent="0.3">
      <c r="H22480" t="str">
        <f t="shared" si="400"/>
        <v/>
      </c>
    </row>
    <row r="22481" spans="8:8" x14ac:dyDescent="0.3">
      <c r="H22481" t="str">
        <f t="shared" si="400"/>
        <v/>
      </c>
    </row>
    <row r="22482" spans="8:8" x14ac:dyDescent="0.3">
      <c r="H22482" t="str">
        <f t="shared" si="400"/>
        <v/>
      </c>
    </row>
    <row r="22483" spans="8:8" x14ac:dyDescent="0.3">
      <c r="H22483" t="str">
        <f t="shared" si="400"/>
        <v/>
      </c>
    </row>
    <row r="22484" spans="8:8" x14ac:dyDescent="0.3">
      <c r="H22484" t="str">
        <f t="shared" si="400"/>
        <v/>
      </c>
    </row>
    <row r="22485" spans="8:8" x14ac:dyDescent="0.3">
      <c r="H22485" t="str">
        <f t="shared" si="400"/>
        <v/>
      </c>
    </row>
    <row r="22486" spans="8:8" x14ac:dyDescent="0.3">
      <c r="H22486" t="str">
        <f t="shared" si="400"/>
        <v/>
      </c>
    </row>
    <row r="22487" spans="8:8" x14ac:dyDescent="0.3">
      <c r="H22487" t="str">
        <f t="shared" ref="H22487:H22550" si="401">IF(B22487="","",$C$12)</f>
        <v/>
      </c>
    </row>
    <row r="22488" spans="8:8" x14ac:dyDescent="0.3">
      <c r="H22488" t="str">
        <f t="shared" si="401"/>
        <v/>
      </c>
    </row>
    <row r="22489" spans="8:8" x14ac:dyDescent="0.3">
      <c r="H22489" t="str">
        <f t="shared" si="401"/>
        <v/>
      </c>
    </row>
    <row r="22490" spans="8:8" x14ac:dyDescent="0.3">
      <c r="H22490" t="str">
        <f t="shared" si="401"/>
        <v/>
      </c>
    </row>
    <row r="22491" spans="8:8" x14ac:dyDescent="0.3">
      <c r="H22491" t="str">
        <f t="shared" si="401"/>
        <v/>
      </c>
    </row>
    <row r="22492" spans="8:8" x14ac:dyDescent="0.3">
      <c r="H22492" t="str">
        <f t="shared" si="401"/>
        <v/>
      </c>
    </row>
    <row r="22493" spans="8:8" x14ac:dyDescent="0.3">
      <c r="H22493" t="str">
        <f t="shared" si="401"/>
        <v/>
      </c>
    </row>
    <row r="22494" spans="8:8" x14ac:dyDescent="0.3">
      <c r="H22494" t="str">
        <f t="shared" si="401"/>
        <v/>
      </c>
    </row>
    <row r="22495" spans="8:8" x14ac:dyDescent="0.3">
      <c r="H22495" t="str">
        <f t="shared" si="401"/>
        <v/>
      </c>
    </row>
    <row r="22496" spans="8:8" x14ac:dyDescent="0.3">
      <c r="H22496" t="str">
        <f t="shared" si="401"/>
        <v/>
      </c>
    </row>
    <row r="22497" spans="8:8" x14ac:dyDescent="0.3">
      <c r="H22497" t="str">
        <f t="shared" si="401"/>
        <v/>
      </c>
    </row>
    <row r="22498" spans="8:8" x14ac:dyDescent="0.3">
      <c r="H22498" t="str">
        <f t="shared" si="401"/>
        <v/>
      </c>
    </row>
    <row r="22499" spans="8:8" x14ac:dyDescent="0.3">
      <c r="H22499" t="str">
        <f t="shared" si="401"/>
        <v/>
      </c>
    </row>
    <row r="22500" spans="8:8" x14ac:dyDescent="0.3">
      <c r="H22500" t="str">
        <f t="shared" si="401"/>
        <v/>
      </c>
    </row>
    <row r="22501" spans="8:8" x14ac:dyDescent="0.3">
      <c r="H22501" t="str">
        <f t="shared" si="401"/>
        <v/>
      </c>
    </row>
    <row r="22502" spans="8:8" x14ac:dyDescent="0.3">
      <c r="H22502" t="str">
        <f t="shared" si="401"/>
        <v/>
      </c>
    </row>
    <row r="22503" spans="8:8" x14ac:dyDescent="0.3">
      <c r="H22503" t="str">
        <f t="shared" si="401"/>
        <v/>
      </c>
    </row>
    <row r="22504" spans="8:8" x14ac:dyDescent="0.3">
      <c r="H22504" t="str">
        <f t="shared" si="401"/>
        <v/>
      </c>
    </row>
    <row r="22505" spans="8:8" x14ac:dyDescent="0.3">
      <c r="H22505" t="str">
        <f t="shared" si="401"/>
        <v/>
      </c>
    </row>
    <row r="22506" spans="8:8" x14ac:dyDescent="0.3">
      <c r="H22506" t="str">
        <f t="shared" si="401"/>
        <v/>
      </c>
    </row>
    <row r="22507" spans="8:8" x14ac:dyDescent="0.3">
      <c r="H22507" t="str">
        <f t="shared" si="401"/>
        <v/>
      </c>
    </row>
    <row r="22508" spans="8:8" x14ac:dyDescent="0.3">
      <c r="H22508" t="str">
        <f t="shared" si="401"/>
        <v/>
      </c>
    </row>
    <row r="22509" spans="8:8" x14ac:dyDescent="0.3">
      <c r="H22509" t="str">
        <f t="shared" si="401"/>
        <v/>
      </c>
    </row>
    <row r="22510" spans="8:8" x14ac:dyDescent="0.3">
      <c r="H22510" t="str">
        <f t="shared" si="401"/>
        <v/>
      </c>
    </row>
    <row r="22511" spans="8:8" x14ac:dyDescent="0.3">
      <c r="H22511" t="str">
        <f t="shared" si="401"/>
        <v/>
      </c>
    </row>
    <row r="22512" spans="8:8" x14ac:dyDescent="0.3">
      <c r="H22512" t="str">
        <f t="shared" si="401"/>
        <v/>
      </c>
    </row>
    <row r="22513" spans="8:8" x14ac:dyDescent="0.3">
      <c r="H22513" t="str">
        <f t="shared" si="401"/>
        <v/>
      </c>
    </row>
    <row r="22514" spans="8:8" x14ac:dyDescent="0.3">
      <c r="H22514" t="str">
        <f t="shared" si="401"/>
        <v/>
      </c>
    </row>
    <row r="22515" spans="8:8" x14ac:dyDescent="0.3">
      <c r="H22515" t="str">
        <f t="shared" si="401"/>
        <v/>
      </c>
    </row>
    <row r="22516" spans="8:8" x14ac:dyDescent="0.3">
      <c r="H22516" t="str">
        <f t="shared" si="401"/>
        <v/>
      </c>
    </row>
    <row r="22517" spans="8:8" x14ac:dyDescent="0.3">
      <c r="H22517" t="str">
        <f t="shared" si="401"/>
        <v/>
      </c>
    </row>
    <row r="22518" spans="8:8" x14ac:dyDescent="0.3">
      <c r="H22518" t="str">
        <f t="shared" si="401"/>
        <v/>
      </c>
    </row>
    <row r="22519" spans="8:8" x14ac:dyDescent="0.3">
      <c r="H22519" t="str">
        <f t="shared" si="401"/>
        <v/>
      </c>
    </row>
    <row r="22520" spans="8:8" x14ac:dyDescent="0.3">
      <c r="H22520" t="str">
        <f t="shared" si="401"/>
        <v/>
      </c>
    </row>
    <row r="22521" spans="8:8" x14ac:dyDescent="0.3">
      <c r="H22521" t="str">
        <f t="shared" si="401"/>
        <v/>
      </c>
    </row>
    <row r="22522" spans="8:8" x14ac:dyDescent="0.3">
      <c r="H22522" t="str">
        <f t="shared" si="401"/>
        <v/>
      </c>
    </row>
    <row r="22523" spans="8:8" x14ac:dyDescent="0.3">
      <c r="H22523" t="str">
        <f t="shared" si="401"/>
        <v/>
      </c>
    </row>
    <row r="22524" spans="8:8" x14ac:dyDescent="0.3">
      <c r="H22524" t="str">
        <f t="shared" si="401"/>
        <v/>
      </c>
    </row>
    <row r="22525" spans="8:8" x14ac:dyDescent="0.3">
      <c r="H22525" t="str">
        <f t="shared" si="401"/>
        <v/>
      </c>
    </row>
    <row r="22526" spans="8:8" x14ac:dyDescent="0.3">
      <c r="H22526" t="str">
        <f t="shared" si="401"/>
        <v/>
      </c>
    </row>
    <row r="22527" spans="8:8" x14ac:dyDescent="0.3">
      <c r="H22527" t="str">
        <f t="shared" si="401"/>
        <v/>
      </c>
    </row>
    <row r="22528" spans="8:8" x14ac:dyDescent="0.3">
      <c r="H22528" t="str">
        <f t="shared" si="401"/>
        <v/>
      </c>
    </row>
    <row r="22529" spans="8:8" x14ac:dyDescent="0.3">
      <c r="H22529" t="str">
        <f t="shared" si="401"/>
        <v/>
      </c>
    </row>
    <row r="22530" spans="8:8" x14ac:dyDescent="0.3">
      <c r="H22530" t="str">
        <f t="shared" si="401"/>
        <v/>
      </c>
    </row>
    <row r="22531" spans="8:8" x14ac:dyDescent="0.3">
      <c r="H22531" t="str">
        <f t="shared" si="401"/>
        <v/>
      </c>
    </row>
    <row r="22532" spans="8:8" x14ac:dyDescent="0.3">
      <c r="H22532" t="str">
        <f t="shared" si="401"/>
        <v/>
      </c>
    </row>
    <row r="22533" spans="8:8" x14ac:dyDescent="0.3">
      <c r="H22533" t="str">
        <f t="shared" si="401"/>
        <v/>
      </c>
    </row>
    <row r="22534" spans="8:8" x14ac:dyDescent="0.3">
      <c r="H22534" t="str">
        <f t="shared" si="401"/>
        <v/>
      </c>
    </row>
    <row r="22535" spans="8:8" x14ac:dyDescent="0.3">
      <c r="H22535" t="str">
        <f t="shared" si="401"/>
        <v/>
      </c>
    </row>
    <row r="22536" spans="8:8" x14ac:dyDescent="0.3">
      <c r="H22536" t="str">
        <f t="shared" si="401"/>
        <v/>
      </c>
    </row>
    <row r="22537" spans="8:8" x14ac:dyDescent="0.3">
      <c r="H22537" t="str">
        <f t="shared" si="401"/>
        <v/>
      </c>
    </row>
    <row r="22538" spans="8:8" x14ac:dyDescent="0.3">
      <c r="H22538" t="str">
        <f t="shared" si="401"/>
        <v/>
      </c>
    </row>
    <row r="22539" spans="8:8" x14ac:dyDescent="0.3">
      <c r="H22539" t="str">
        <f t="shared" si="401"/>
        <v/>
      </c>
    </row>
    <row r="22540" spans="8:8" x14ac:dyDescent="0.3">
      <c r="H22540" t="str">
        <f t="shared" si="401"/>
        <v/>
      </c>
    </row>
    <row r="22541" spans="8:8" x14ac:dyDescent="0.3">
      <c r="H22541" t="str">
        <f t="shared" si="401"/>
        <v/>
      </c>
    </row>
    <row r="22542" spans="8:8" x14ac:dyDescent="0.3">
      <c r="H22542" t="str">
        <f t="shared" si="401"/>
        <v/>
      </c>
    </row>
    <row r="22543" spans="8:8" x14ac:dyDescent="0.3">
      <c r="H22543" t="str">
        <f t="shared" si="401"/>
        <v/>
      </c>
    </row>
    <row r="22544" spans="8:8" x14ac:dyDescent="0.3">
      <c r="H22544" t="str">
        <f t="shared" si="401"/>
        <v/>
      </c>
    </row>
    <row r="22545" spans="8:8" x14ac:dyDescent="0.3">
      <c r="H22545" t="str">
        <f t="shared" si="401"/>
        <v/>
      </c>
    </row>
    <row r="22546" spans="8:8" x14ac:dyDescent="0.3">
      <c r="H22546" t="str">
        <f t="shared" si="401"/>
        <v/>
      </c>
    </row>
    <row r="22547" spans="8:8" x14ac:dyDescent="0.3">
      <c r="H22547" t="str">
        <f t="shared" si="401"/>
        <v/>
      </c>
    </row>
    <row r="22548" spans="8:8" x14ac:dyDescent="0.3">
      <c r="H22548" t="str">
        <f t="shared" si="401"/>
        <v/>
      </c>
    </row>
    <row r="22549" spans="8:8" x14ac:dyDescent="0.3">
      <c r="H22549" t="str">
        <f t="shared" si="401"/>
        <v/>
      </c>
    </row>
    <row r="22550" spans="8:8" x14ac:dyDescent="0.3">
      <c r="H22550" t="str">
        <f t="shared" si="401"/>
        <v/>
      </c>
    </row>
    <row r="22551" spans="8:8" x14ac:dyDescent="0.3">
      <c r="H22551" t="str">
        <f t="shared" ref="H22551:H22614" si="402">IF(B22551="","",$C$12)</f>
        <v/>
      </c>
    </row>
    <row r="22552" spans="8:8" x14ac:dyDescent="0.3">
      <c r="H22552" t="str">
        <f t="shared" si="402"/>
        <v/>
      </c>
    </row>
    <row r="22553" spans="8:8" x14ac:dyDescent="0.3">
      <c r="H22553" t="str">
        <f t="shared" si="402"/>
        <v/>
      </c>
    </row>
    <row r="22554" spans="8:8" x14ac:dyDescent="0.3">
      <c r="H22554" t="str">
        <f t="shared" si="402"/>
        <v/>
      </c>
    </row>
    <row r="22555" spans="8:8" x14ac:dyDescent="0.3">
      <c r="H22555" t="str">
        <f t="shared" si="402"/>
        <v/>
      </c>
    </row>
    <row r="22556" spans="8:8" x14ac:dyDescent="0.3">
      <c r="H22556" t="str">
        <f t="shared" si="402"/>
        <v/>
      </c>
    </row>
    <row r="22557" spans="8:8" x14ac:dyDescent="0.3">
      <c r="H22557" t="str">
        <f t="shared" si="402"/>
        <v/>
      </c>
    </row>
    <row r="22558" spans="8:8" x14ac:dyDescent="0.3">
      <c r="H22558" t="str">
        <f t="shared" si="402"/>
        <v/>
      </c>
    </row>
    <row r="22559" spans="8:8" x14ac:dyDescent="0.3">
      <c r="H22559" t="str">
        <f t="shared" si="402"/>
        <v/>
      </c>
    </row>
    <row r="22560" spans="8:8" x14ac:dyDescent="0.3">
      <c r="H22560" t="str">
        <f t="shared" si="402"/>
        <v/>
      </c>
    </row>
    <row r="22561" spans="8:8" x14ac:dyDescent="0.3">
      <c r="H22561" t="str">
        <f t="shared" si="402"/>
        <v/>
      </c>
    </row>
    <row r="22562" spans="8:8" x14ac:dyDescent="0.3">
      <c r="H22562" t="str">
        <f t="shared" si="402"/>
        <v/>
      </c>
    </row>
    <row r="22563" spans="8:8" x14ac:dyDescent="0.3">
      <c r="H22563" t="str">
        <f t="shared" si="402"/>
        <v/>
      </c>
    </row>
    <row r="22564" spans="8:8" x14ac:dyDescent="0.3">
      <c r="H22564" t="str">
        <f t="shared" si="402"/>
        <v/>
      </c>
    </row>
    <row r="22565" spans="8:8" x14ac:dyDescent="0.3">
      <c r="H22565" t="str">
        <f t="shared" si="402"/>
        <v/>
      </c>
    </row>
    <row r="22566" spans="8:8" x14ac:dyDescent="0.3">
      <c r="H22566" t="str">
        <f t="shared" si="402"/>
        <v/>
      </c>
    </row>
    <row r="22567" spans="8:8" x14ac:dyDescent="0.3">
      <c r="H22567" t="str">
        <f t="shared" si="402"/>
        <v/>
      </c>
    </row>
    <row r="22568" spans="8:8" x14ac:dyDescent="0.3">
      <c r="H22568" t="str">
        <f t="shared" si="402"/>
        <v/>
      </c>
    </row>
    <row r="22569" spans="8:8" x14ac:dyDescent="0.3">
      <c r="H22569" t="str">
        <f t="shared" si="402"/>
        <v/>
      </c>
    </row>
    <row r="22570" spans="8:8" x14ac:dyDescent="0.3">
      <c r="H22570" t="str">
        <f t="shared" si="402"/>
        <v/>
      </c>
    </row>
    <row r="22571" spans="8:8" x14ac:dyDescent="0.3">
      <c r="H22571" t="str">
        <f t="shared" si="402"/>
        <v/>
      </c>
    </row>
    <row r="22572" spans="8:8" x14ac:dyDescent="0.3">
      <c r="H22572" t="str">
        <f t="shared" si="402"/>
        <v/>
      </c>
    </row>
    <row r="22573" spans="8:8" x14ac:dyDescent="0.3">
      <c r="H22573" t="str">
        <f t="shared" si="402"/>
        <v/>
      </c>
    </row>
    <row r="22574" spans="8:8" x14ac:dyDescent="0.3">
      <c r="H22574" t="str">
        <f t="shared" si="402"/>
        <v/>
      </c>
    </row>
    <row r="22575" spans="8:8" x14ac:dyDescent="0.3">
      <c r="H22575" t="str">
        <f t="shared" si="402"/>
        <v/>
      </c>
    </row>
    <row r="22576" spans="8:8" x14ac:dyDescent="0.3">
      <c r="H22576" t="str">
        <f t="shared" si="402"/>
        <v/>
      </c>
    </row>
    <row r="22577" spans="8:8" x14ac:dyDescent="0.3">
      <c r="H22577" t="str">
        <f t="shared" si="402"/>
        <v/>
      </c>
    </row>
    <row r="22578" spans="8:8" x14ac:dyDescent="0.3">
      <c r="H22578" t="str">
        <f t="shared" si="402"/>
        <v/>
      </c>
    </row>
    <row r="22579" spans="8:8" x14ac:dyDescent="0.3">
      <c r="H22579" t="str">
        <f t="shared" si="402"/>
        <v/>
      </c>
    </row>
    <row r="22580" spans="8:8" x14ac:dyDescent="0.3">
      <c r="H22580" t="str">
        <f t="shared" si="402"/>
        <v/>
      </c>
    </row>
    <row r="22581" spans="8:8" x14ac:dyDescent="0.3">
      <c r="H22581" t="str">
        <f t="shared" si="402"/>
        <v/>
      </c>
    </row>
    <row r="22582" spans="8:8" x14ac:dyDescent="0.3">
      <c r="H22582" t="str">
        <f t="shared" si="402"/>
        <v/>
      </c>
    </row>
    <row r="22583" spans="8:8" x14ac:dyDescent="0.3">
      <c r="H22583" t="str">
        <f t="shared" si="402"/>
        <v/>
      </c>
    </row>
    <row r="22584" spans="8:8" x14ac:dyDescent="0.3">
      <c r="H22584" t="str">
        <f t="shared" si="402"/>
        <v/>
      </c>
    </row>
    <row r="22585" spans="8:8" x14ac:dyDescent="0.3">
      <c r="H22585" t="str">
        <f t="shared" si="402"/>
        <v/>
      </c>
    </row>
    <row r="22586" spans="8:8" x14ac:dyDescent="0.3">
      <c r="H22586" t="str">
        <f t="shared" si="402"/>
        <v/>
      </c>
    </row>
    <row r="22587" spans="8:8" x14ac:dyDescent="0.3">
      <c r="H22587" t="str">
        <f t="shared" si="402"/>
        <v/>
      </c>
    </row>
    <row r="22588" spans="8:8" x14ac:dyDescent="0.3">
      <c r="H22588" t="str">
        <f t="shared" si="402"/>
        <v/>
      </c>
    </row>
    <row r="22589" spans="8:8" x14ac:dyDescent="0.3">
      <c r="H22589" t="str">
        <f t="shared" si="402"/>
        <v/>
      </c>
    </row>
    <row r="22590" spans="8:8" x14ac:dyDescent="0.3">
      <c r="H22590" t="str">
        <f t="shared" si="402"/>
        <v/>
      </c>
    </row>
    <row r="22591" spans="8:8" x14ac:dyDescent="0.3">
      <c r="H22591" t="str">
        <f t="shared" si="402"/>
        <v/>
      </c>
    </row>
    <row r="22592" spans="8:8" x14ac:dyDescent="0.3">
      <c r="H22592" t="str">
        <f t="shared" si="402"/>
        <v/>
      </c>
    </row>
    <row r="22593" spans="8:8" x14ac:dyDescent="0.3">
      <c r="H22593" t="str">
        <f t="shared" si="402"/>
        <v/>
      </c>
    </row>
    <row r="22594" spans="8:8" x14ac:dyDescent="0.3">
      <c r="H22594" t="str">
        <f t="shared" si="402"/>
        <v/>
      </c>
    </row>
    <row r="22595" spans="8:8" x14ac:dyDescent="0.3">
      <c r="H22595" t="str">
        <f t="shared" si="402"/>
        <v/>
      </c>
    </row>
    <row r="22596" spans="8:8" x14ac:dyDescent="0.3">
      <c r="H22596" t="str">
        <f t="shared" si="402"/>
        <v/>
      </c>
    </row>
    <row r="22597" spans="8:8" x14ac:dyDescent="0.3">
      <c r="H22597" t="str">
        <f t="shared" si="402"/>
        <v/>
      </c>
    </row>
    <row r="22598" spans="8:8" x14ac:dyDescent="0.3">
      <c r="H22598" t="str">
        <f t="shared" si="402"/>
        <v/>
      </c>
    </row>
    <row r="22599" spans="8:8" x14ac:dyDescent="0.3">
      <c r="H22599" t="str">
        <f t="shared" si="402"/>
        <v/>
      </c>
    </row>
    <row r="22600" spans="8:8" x14ac:dyDescent="0.3">
      <c r="H22600" t="str">
        <f t="shared" si="402"/>
        <v/>
      </c>
    </row>
    <row r="22601" spans="8:8" x14ac:dyDescent="0.3">
      <c r="H22601" t="str">
        <f t="shared" si="402"/>
        <v/>
      </c>
    </row>
    <row r="22602" spans="8:8" x14ac:dyDescent="0.3">
      <c r="H22602" t="str">
        <f t="shared" si="402"/>
        <v/>
      </c>
    </row>
    <row r="22603" spans="8:8" x14ac:dyDescent="0.3">
      <c r="H22603" t="str">
        <f t="shared" si="402"/>
        <v/>
      </c>
    </row>
    <row r="22604" spans="8:8" x14ac:dyDescent="0.3">
      <c r="H22604" t="str">
        <f t="shared" si="402"/>
        <v/>
      </c>
    </row>
    <row r="22605" spans="8:8" x14ac:dyDescent="0.3">
      <c r="H22605" t="str">
        <f t="shared" si="402"/>
        <v/>
      </c>
    </row>
    <row r="22606" spans="8:8" x14ac:dyDescent="0.3">
      <c r="H22606" t="str">
        <f t="shared" si="402"/>
        <v/>
      </c>
    </row>
    <row r="22607" spans="8:8" x14ac:dyDescent="0.3">
      <c r="H22607" t="str">
        <f t="shared" si="402"/>
        <v/>
      </c>
    </row>
    <row r="22608" spans="8:8" x14ac:dyDescent="0.3">
      <c r="H22608" t="str">
        <f t="shared" si="402"/>
        <v/>
      </c>
    </row>
    <row r="22609" spans="8:8" x14ac:dyDescent="0.3">
      <c r="H22609" t="str">
        <f t="shared" si="402"/>
        <v/>
      </c>
    </row>
    <row r="22610" spans="8:8" x14ac:dyDescent="0.3">
      <c r="H22610" t="str">
        <f t="shared" si="402"/>
        <v/>
      </c>
    </row>
    <row r="22611" spans="8:8" x14ac:dyDescent="0.3">
      <c r="H22611" t="str">
        <f t="shared" si="402"/>
        <v/>
      </c>
    </row>
    <row r="22612" spans="8:8" x14ac:dyDescent="0.3">
      <c r="H22612" t="str">
        <f t="shared" si="402"/>
        <v/>
      </c>
    </row>
    <row r="22613" spans="8:8" x14ac:dyDescent="0.3">
      <c r="H22613" t="str">
        <f t="shared" si="402"/>
        <v/>
      </c>
    </row>
    <row r="22614" spans="8:8" x14ac:dyDescent="0.3">
      <c r="H22614" t="str">
        <f t="shared" si="402"/>
        <v/>
      </c>
    </row>
    <row r="22615" spans="8:8" x14ac:dyDescent="0.3">
      <c r="H22615" t="str">
        <f t="shared" ref="H22615:H22678" si="403">IF(B22615="","",$C$12)</f>
        <v/>
      </c>
    </row>
    <row r="22616" spans="8:8" x14ac:dyDescent="0.3">
      <c r="H22616" t="str">
        <f t="shared" si="403"/>
        <v/>
      </c>
    </row>
    <row r="22617" spans="8:8" x14ac:dyDescent="0.3">
      <c r="H22617" t="str">
        <f t="shared" si="403"/>
        <v/>
      </c>
    </row>
    <row r="22618" spans="8:8" x14ac:dyDescent="0.3">
      <c r="H22618" t="str">
        <f t="shared" si="403"/>
        <v/>
      </c>
    </row>
    <row r="22619" spans="8:8" x14ac:dyDescent="0.3">
      <c r="H22619" t="str">
        <f t="shared" si="403"/>
        <v/>
      </c>
    </row>
    <row r="22620" spans="8:8" x14ac:dyDescent="0.3">
      <c r="H22620" t="str">
        <f t="shared" si="403"/>
        <v/>
      </c>
    </row>
    <row r="22621" spans="8:8" x14ac:dyDescent="0.3">
      <c r="H22621" t="str">
        <f t="shared" si="403"/>
        <v/>
      </c>
    </row>
    <row r="22622" spans="8:8" x14ac:dyDescent="0.3">
      <c r="H22622" t="str">
        <f t="shared" si="403"/>
        <v/>
      </c>
    </row>
    <row r="22623" spans="8:8" x14ac:dyDescent="0.3">
      <c r="H22623" t="str">
        <f t="shared" si="403"/>
        <v/>
      </c>
    </row>
    <row r="22624" spans="8:8" x14ac:dyDescent="0.3">
      <c r="H22624" t="str">
        <f t="shared" si="403"/>
        <v/>
      </c>
    </row>
    <row r="22625" spans="8:8" x14ac:dyDescent="0.3">
      <c r="H22625" t="str">
        <f t="shared" si="403"/>
        <v/>
      </c>
    </row>
    <row r="22626" spans="8:8" x14ac:dyDescent="0.3">
      <c r="H22626" t="str">
        <f t="shared" si="403"/>
        <v/>
      </c>
    </row>
    <row r="22627" spans="8:8" x14ac:dyDescent="0.3">
      <c r="H22627" t="str">
        <f t="shared" si="403"/>
        <v/>
      </c>
    </row>
    <row r="22628" spans="8:8" x14ac:dyDescent="0.3">
      <c r="H22628" t="str">
        <f t="shared" si="403"/>
        <v/>
      </c>
    </row>
    <row r="22629" spans="8:8" x14ac:dyDescent="0.3">
      <c r="H22629" t="str">
        <f t="shared" si="403"/>
        <v/>
      </c>
    </row>
    <row r="22630" spans="8:8" x14ac:dyDescent="0.3">
      <c r="H22630" t="str">
        <f t="shared" si="403"/>
        <v/>
      </c>
    </row>
    <row r="22631" spans="8:8" x14ac:dyDescent="0.3">
      <c r="H22631" t="str">
        <f t="shared" si="403"/>
        <v/>
      </c>
    </row>
    <row r="22632" spans="8:8" x14ac:dyDescent="0.3">
      <c r="H22632" t="str">
        <f t="shared" si="403"/>
        <v/>
      </c>
    </row>
    <row r="22633" spans="8:8" x14ac:dyDescent="0.3">
      <c r="H22633" t="str">
        <f t="shared" si="403"/>
        <v/>
      </c>
    </row>
    <row r="22634" spans="8:8" x14ac:dyDescent="0.3">
      <c r="H22634" t="str">
        <f t="shared" si="403"/>
        <v/>
      </c>
    </row>
    <row r="22635" spans="8:8" x14ac:dyDescent="0.3">
      <c r="H22635" t="str">
        <f t="shared" si="403"/>
        <v/>
      </c>
    </row>
    <row r="22636" spans="8:8" x14ac:dyDescent="0.3">
      <c r="H22636" t="str">
        <f t="shared" si="403"/>
        <v/>
      </c>
    </row>
    <row r="22637" spans="8:8" x14ac:dyDescent="0.3">
      <c r="H22637" t="str">
        <f t="shared" si="403"/>
        <v/>
      </c>
    </row>
    <row r="22638" spans="8:8" x14ac:dyDescent="0.3">
      <c r="H22638" t="str">
        <f t="shared" si="403"/>
        <v/>
      </c>
    </row>
    <row r="22639" spans="8:8" x14ac:dyDescent="0.3">
      <c r="H22639" t="str">
        <f t="shared" si="403"/>
        <v/>
      </c>
    </row>
    <row r="22640" spans="8:8" x14ac:dyDescent="0.3">
      <c r="H22640" t="str">
        <f t="shared" si="403"/>
        <v/>
      </c>
    </row>
    <row r="22641" spans="8:8" x14ac:dyDescent="0.3">
      <c r="H22641" t="str">
        <f t="shared" si="403"/>
        <v/>
      </c>
    </row>
    <row r="22642" spans="8:8" x14ac:dyDescent="0.3">
      <c r="H22642" t="str">
        <f t="shared" si="403"/>
        <v/>
      </c>
    </row>
    <row r="22643" spans="8:8" x14ac:dyDescent="0.3">
      <c r="H22643" t="str">
        <f t="shared" si="403"/>
        <v/>
      </c>
    </row>
    <row r="22644" spans="8:8" x14ac:dyDescent="0.3">
      <c r="H22644" t="str">
        <f t="shared" si="403"/>
        <v/>
      </c>
    </row>
    <row r="22645" spans="8:8" x14ac:dyDescent="0.3">
      <c r="H22645" t="str">
        <f t="shared" si="403"/>
        <v/>
      </c>
    </row>
    <row r="22646" spans="8:8" x14ac:dyDescent="0.3">
      <c r="H22646" t="str">
        <f t="shared" si="403"/>
        <v/>
      </c>
    </row>
    <row r="22647" spans="8:8" x14ac:dyDescent="0.3">
      <c r="H22647" t="str">
        <f t="shared" si="403"/>
        <v/>
      </c>
    </row>
    <row r="22648" spans="8:8" x14ac:dyDescent="0.3">
      <c r="H22648" t="str">
        <f t="shared" si="403"/>
        <v/>
      </c>
    </row>
    <row r="22649" spans="8:8" x14ac:dyDescent="0.3">
      <c r="H22649" t="str">
        <f t="shared" si="403"/>
        <v/>
      </c>
    </row>
    <row r="22650" spans="8:8" x14ac:dyDescent="0.3">
      <c r="H22650" t="str">
        <f t="shared" si="403"/>
        <v/>
      </c>
    </row>
    <row r="22651" spans="8:8" x14ac:dyDescent="0.3">
      <c r="H22651" t="str">
        <f t="shared" si="403"/>
        <v/>
      </c>
    </row>
    <row r="22652" spans="8:8" x14ac:dyDescent="0.3">
      <c r="H22652" t="str">
        <f t="shared" si="403"/>
        <v/>
      </c>
    </row>
    <row r="22653" spans="8:8" x14ac:dyDescent="0.3">
      <c r="H22653" t="str">
        <f t="shared" si="403"/>
        <v/>
      </c>
    </row>
    <row r="22654" spans="8:8" x14ac:dyDescent="0.3">
      <c r="H22654" t="str">
        <f t="shared" si="403"/>
        <v/>
      </c>
    </row>
    <row r="22655" spans="8:8" x14ac:dyDescent="0.3">
      <c r="H22655" t="str">
        <f t="shared" si="403"/>
        <v/>
      </c>
    </row>
    <row r="22656" spans="8:8" x14ac:dyDescent="0.3">
      <c r="H22656" t="str">
        <f t="shared" si="403"/>
        <v/>
      </c>
    </row>
    <row r="22657" spans="8:8" x14ac:dyDescent="0.3">
      <c r="H22657" t="str">
        <f t="shared" si="403"/>
        <v/>
      </c>
    </row>
    <row r="22658" spans="8:8" x14ac:dyDescent="0.3">
      <c r="H22658" t="str">
        <f t="shared" si="403"/>
        <v/>
      </c>
    </row>
    <row r="22659" spans="8:8" x14ac:dyDescent="0.3">
      <c r="H22659" t="str">
        <f t="shared" si="403"/>
        <v/>
      </c>
    </row>
    <row r="22660" spans="8:8" x14ac:dyDescent="0.3">
      <c r="H22660" t="str">
        <f t="shared" si="403"/>
        <v/>
      </c>
    </row>
    <row r="22661" spans="8:8" x14ac:dyDescent="0.3">
      <c r="H22661" t="str">
        <f t="shared" si="403"/>
        <v/>
      </c>
    </row>
    <row r="22662" spans="8:8" x14ac:dyDescent="0.3">
      <c r="H22662" t="str">
        <f t="shared" si="403"/>
        <v/>
      </c>
    </row>
    <row r="22663" spans="8:8" x14ac:dyDescent="0.3">
      <c r="H22663" t="str">
        <f t="shared" si="403"/>
        <v/>
      </c>
    </row>
    <row r="22664" spans="8:8" x14ac:dyDescent="0.3">
      <c r="H22664" t="str">
        <f t="shared" si="403"/>
        <v/>
      </c>
    </row>
    <row r="22665" spans="8:8" x14ac:dyDescent="0.3">
      <c r="H22665" t="str">
        <f t="shared" si="403"/>
        <v/>
      </c>
    </row>
    <row r="22666" spans="8:8" x14ac:dyDescent="0.3">
      <c r="H22666" t="str">
        <f t="shared" si="403"/>
        <v/>
      </c>
    </row>
    <row r="22667" spans="8:8" x14ac:dyDescent="0.3">
      <c r="H22667" t="str">
        <f t="shared" si="403"/>
        <v/>
      </c>
    </row>
    <row r="22668" spans="8:8" x14ac:dyDescent="0.3">
      <c r="H22668" t="str">
        <f t="shared" si="403"/>
        <v/>
      </c>
    </row>
    <row r="22669" spans="8:8" x14ac:dyDescent="0.3">
      <c r="H22669" t="str">
        <f t="shared" si="403"/>
        <v/>
      </c>
    </row>
    <row r="22670" spans="8:8" x14ac:dyDescent="0.3">
      <c r="H22670" t="str">
        <f t="shared" si="403"/>
        <v/>
      </c>
    </row>
    <row r="22671" spans="8:8" x14ac:dyDescent="0.3">
      <c r="H22671" t="str">
        <f t="shared" si="403"/>
        <v/>
      </c>
    </row>
    <row r="22672" spans="8:8" x14ac:dyDescent="0.3">
      <c r="H22672" t="str">
        <f t="shared" si="403"/>
        <v/>
      </c>
    </row>
    <row r="22673" spans="8:8" x14ac:dyDescent="0.3">
      <c r="H22673" t="str">
        <f t="shared" si="403"/>
        <v/>
      </c>
    </row>
    <row r="22674" spans="8:8" x14ac:dyDescent="0.3">
      <c r="H22674" t="str">
        <f t="shared" si="403"/>
        <v/>
      </c>
    </row>
    <row r="22675" spans="8:8" x14ac:dyDescent="0.3">
      <c r="H22675" t="str">
        <f t="shared" si="403"/>
        <v/>
      </c>
    </row>
    <row r="22676" spans="8:8" x14ac:dyDescent="0.3">
      <c r="H22676" t="str">
        <f t="shared" si="403"/>
        <v/>
      </c>
    </row>
    <row r="22677" spans="8:8" x14ac:dyDescent="0.3">
      <c r="H22677" t="str">
        <f t="shared" si="403"/>
        <v/>
      </c>
    </row>
    <row r="22678" spans="8:8" x14ac:dyDescent="0.3">
      <c r="H22678" t="str">
        <f t="shared" si="403"/>
        <v/>
      </c>
    </row>
    <row r="22679" spans="8:8" x14ac:dyDescent="0.3">
      <c r="H22679" t="str">
        <f t="shared" ref="H22679:H22742" si="404">IF(B22679="","",$C$12)</f>
        <v/>
      </c>
    </row>
    <row r="22680" spans="8:8" x14ac:dyDescent="0.3">
      <c r="H22680" t="str">
        <f t="shared" si="404"/>
        <v/>
      </c>
    </row>
    <row r="22681" spans="8:8" x14ac:dyDescent="0.3">
      <c r="H22681" t="str">
        <f t="shared" si="404"/>
        <v/>
      </c>
    </row>
    <row r="22682" spans="8:8" x14ac:dyDescent="0.3">
      <c r="H22682" t="str">
        <f t="shared" si="404"/>
        <v/>
      </c>
    </row>
    <row r="22683" spans="8:8" x14ac:dyDescent="0.3">
      <c r="H22683" t="str">
        <f t="shared" si="404"/>
        <v/>
      </c>
    </row>
    <row r="22684" spans="8:8" x14ac:dyDescent="0.3">
      <c r="H22684" t="str">
        <f t="shared" si="404"/>
        <v/>
      </c>
    </row>
    <row r="22685" spans="8:8" x14ac:dyDescent="0.3">
      <c r="H22685" t="str">
        <f t="shared" si="404"/>
        <v/>
      </c>
    </row>
    <row r="22686" spans="8:8" x14ac:dyDescent="0.3">
      <c r="H22686" t="str">
        <f t="shared" si="404"/>
        <v/>
      </c>
    </row>
    <row r="22687" spans="8:8" x14ac:dyDescent="0.3">
      <c r="H22687" t="str">
        <f t="shared" si="404"/>
        <v/>
      </c>
    </row>
    <row r="22688" spans="8:8" x14ac:dyDescent="0.3">
      <c r="H22688" t="str">
        <f t="shared" si="404"/>
        <v/>
      </c>
    </row>
    <row r="22689" spans="8:8" x14ac:dyDescent="0.3">
      <c r="H22689" t="str">
        <f t="shared" si="404"/>
        <v/>
      </c>
    </row>
    <row r="22690" spans="8:8" x14ac:dyDescent="0.3">
      <c r="H22690" t="str">
        <f t="shared" si="404"/>
        <v/>
      </c>
    </row>
    <row r="22691" spans="8:8" x14ac:dyDescent="0.3">
      <c r="H22691" t="str">
        <f t="shared" si="404"/>
        <v/>
      </c>
    </row>
    <row r="22692" spans="8:8" x14ac:dyDescent="0.3">
      <c r="H22692" t="str">
        <f t="shared" si="404"/>
        <v/>
      </c>
    </row>
    <row r="22693" spans="8:8" x14ac:dyDescent="0.3">
      <c r="H22693" t="str">
        <f t="shared" si="404"/>
        <v/>
      </c>
    </row>
    <row r="22694" spans="8:8" x14ac:dyDescent="0.3">
      <c r="H22694" t="str">
        <f t="shared" si="404"/>
        <v/>
      </c>
    </row>
    <row r="22695" spans="8:8" x14ac:dyDescent="0.3">
      <c r="H22695" t="str">
        <f t="shared" si="404"/>
        <v/>
      </c>
    </row>
    <row r="22696" spans="8:8" x14ac:dyDescent="0.3">
      <c r="H22696" t="str">
        <f t="shared" si="404"/>
        <v/>
      </c>
    </row>
    <row r="22697" spans="8:8" x14ac:dyDescent="0.3">
      <c r="H22697" t="str">
        <f t="shared" si="404"/>
        <v/>
      </c>
    </row>
    <row r="22698" spans="8:8" x14ac:dyDescent="0.3">
      <c r="H22698" t="str">
        <f t="shared" si="404"/>
        <v/>
      </c>
    </row>
    <row r="22699" spans="8:8" x14ac:dyDescent="0.3">
      <c r="H22699" t="str">
        <f t="shared" si="404"/>
        <v/>
      </c>
    </row>
    <row r="22700" spans="8:8" x14ac:dyDescent="0.3">
      <c r="H22700" t="str">
        <f t="shared" si="404"/>
        <v/>
      </c>
    </row>
    <row r="22701" spans="8:8" x14ac:dyDescent="0.3">
      <c r="H22701" t="str">
        <f t="shared" si="404"/>
        <v/>
      </c>
    </row>
    <row r="22702" spans="8:8" x14ac:dyDescent="0.3">
      <c r="H22702" t="str">
        <f t="shared" si="404"/>
        <v/>
      </c>
    </row>
    <row r="22703" spans="8:8" x14ac:dyDescent="0.3">
      <c r="H22703" t="str">
        <f t="shared" si="404"/>
        <v/>
      </c>
    </row>
    <row r="22704" spans="8:8" x14ac:dyDescent="0.3">
      <c r="H22704" t="str">
        <f t="shared" si="404"/>
        <v/>
      </c>
    </row>
    <row r="22705" spans="8:8" x14ac:dyDescent="0.3">
      <c r="H22705" t="str">
        <f t="shared" si="404"/>
        <v/>
      </c>
    </row>
    <row r="22706" spans="8:8" x14ac:dyDescent="0.3">
      <c r="H22706" t="str">
        <f t="shared" si="404"/>
        <v/>
      </c>
    </row>
    <row r="22707" spans="8:8" x14ac:dyDescent="0.3">
      <c r="H22707" t="str">
        <f t="shared" si="404"/>
        <v/>
      </c>
    </row>
    <row r="22708" spans="8:8" x14ac:dyDescent="0.3">
      <c r="H22708" t="str">
        <f t="shared" si="404"/>
        <v/>
      </c>
    </row>
    <row r="22709" spans="8:8" x14ac:dyDescent="0.3">
      <c r="H22709" t="str">
        <f t="shared" si="404"/>
        <v/>
      </c>
    </row>
    <row r="22710" spans="8:8" x14ac:dyDescent="0.3">
      <c r="H22710" t="str">
        <f t="shared" si="404"/>
        <v/>
      </c>
    </row>
    <row r="22711" spans="8:8" x14ac:dyDescent="0.3">
      <c r="H22711" t="str">
        <f t="shared" si="404"/>
        <v/>
      </c>
    </row>
    <row r="22712" spans="8:8" x14ac:dyDescent="0.3">
      <c r="H22712" t="str">
        <f t="shared" si="404"/>
        <v/>
      </c>
    </row>
    <row r="22713" spans="8:8" x14ac:dyDescent="0.3">
      <c r="H22713" t="str">
        <f t="shared" si="404"/>
        <v/>
      </c>
    </row>
    <row r="22714" spans="8:8" x14ac:dyDescent="0.3">
      <c r="H22714" t="str">
        <f t="shared" si="404"/>
        <v/>
      </c>
    </row>
    <row r="22715" spans="8:8" x14ac:dyDescent="0.3">
      <c r="H22715" t="str">
        <f t="shared" si="404"/>
        <v/>
      </c>
    </row>
    <row r="22716" spans="8:8" x14ac:dyDescent="0.3">
      <c r="H22716" t="str">
        <f t="shared" si="404"/>
        <v/>
      </c>
    </row>
    <row r="22717" spans="8:8" x14ac:dyDescent="0.3">
      <c r="H22717" t="str">
        <f t="shared" si="404"/>
        <v/>
      </c>
    </row>
    <row r="22718" spans="8:8" x14ac:dyDescent="0.3">
      <c r="H22718" t="str">
        <f t="shared" si="404"/>
        <v/>
      </c>
    </row>
    <row r="22719" spans="8:8" x14ac:dyDescent="0.3">
      <c r="H22719" t="str">
        <f t="shared" si="404"/>
        <v/>
      </c>
    </row>
    <row r="22720" spans="8:8" x14ac:dyDescent="0.3">
      <c r="H22720" t="str">
        <f t="shared" si="404"/>
        <v/>
      </c>
    </row>
    <row r="22721" spans="8:8" x14ac:dyDescent="0.3">
      <c r="H22721" t="str">
        <f t="shared" si="404"/>
        <v/>
      </c>
    </row>
    <row r="22722" spans="8:8" x14ac:dyDescent="0.3">
      <c r="H22722" t="str">
        <f t="shared" si="404"/>
        <v/>
      </c>
    </row>
    <row r="22723" spans="8:8" x14ac:dyDescent="0.3">
      <c r="H22723" t="str">
        <f t="shared" si="404"/>
        <v/>
      </c>
    </row>
    <row r="22724" spans="8:8" x14ac:dyDescent="0.3">
      <c r="H22724" t="str">
        <f t="shared" si="404"/>
        <v/>
      </c>
    </row>
    <row r="22725" spans="8:8" x14ac:dyDescent="0.3">
      <c r="H22725" t="str">
        <f t="shared" si="404"/>
        <v/>
      </c>
    </row>
    <row r="22726" spans="8:8" x14ac:dyDescent="0.3">
      <c r="H22726" t="str">
        <f t="shared" si="404"/>
        <v/>
      </c>
    </row>
    <row r="22727" spans="8:8" x14ac:dyDescent="0.3">
      <c r="H22727" t="str">
        <f t="shared" si="404"/>
        <v/>
      </c>
    </row>
    <row r="22728" spans="8:8" x14ac:dyDescent="0.3">
      <c r="H22728" t="str">
        <f t="shared" si="404"/>
        <v/>
      </c>
    </row>
    <row r="22729" spans="8:8" x14ac:dyDescent="0.3">
      <c r="H22729" t="str">
        <f t="shared" si="404"/>
        <v/>
      </c>
    </row>
    <row r="22730" spans="8:8" x14ac:dyDescent="0.3">
      <c r="H22730" t="str">
        <f t="shared" si="404"/>
        <v/>
      </c>
    </row>
    <row r="22731" spans="8:8" x14ac:dyDescent="0.3">
      <c r="H22731" t="str">
        <f t="shared" si="404"/>
        <v/>
      </c>
    </row>
    <row r="22732" spans="8:8" x14ac:dyDescent="0.3">
      <c r="H22732" t="str">
        <f t="shared" si="404"/>
        <v/>
      </c>
    </row>
    <row r="22733" spans="8:8" x14ac:dyDescent="0.3">
      <c r="H22733" t="str">
        <f t="shared" si="404"/>
        <v/>
      </c>
    </row>
    <row r="22734" spans="8:8" x14ac:dyDescent="0.3">
      <c r="H22734" t="str">
        <f t="shared" si="404"/>
        <v/>
      </c>
    </row>
    <row r="22735" spans="8:8" x14ac:dyDescent="0.3">
      <c r="H22735" t="str">
        <f t="shared" si="404"/>
        <v/>
      </c>
    </row>
    <row r="22736" spans="8:8" x14ac:dyDescent="0.3">
      <c r="H22736" t="str">
        <f t="shared" si="404"/>
        <v/>
      </c>
    </row>
    <row r="22737" spans="8:8" x14ac:dyDescent="0.3">
      <c r="H22737" t="str">
        <f t="shared" si="404"/>
        <v/>
      </c>
    </row>
    <row r="22738" spans="8:8" x14ac:dyDescent="0.3">
      <c r="H22738" t="str">
        <f t="shared" si="404"/>
        <v/>
      </c>
    </row>
    <row r="22739" spans="8:8" x14ac:dyDescent="0.3">
      <c r="H22739" t="str">
        <f t="shared" si="404"/>
        <v/>
      </c>
    </row>
    <row r="22740" spans="8:8" x14ac:dyDescent="0.3">
      <c r="H22740" t="str">
        <f t="shared" si="404"/>
        <v/>
      </c>
    </row>
    <row r="22741" spans="8:8" x14ac:dyDescent="0.3">
      <c r="H22741" t="str">
        <f t="shared" si="404"/>
        <v/>
      </c>
    </row>
    <row r="22742" spans="8:8" x14ac:dyDescent="0.3">
      <c r="H22742" t="str">
        <f t="shared" si="404"/>
        <v/>
      </c>
    </row>
    <row r="22743" spans="8:8" x14ac:dyDescent="0.3">
      <c r="H22743" t="str">
        <f t="shared" ref="H22743:H22806" si="405">IF(B22743="","",$C$12)</f>
        <v/>
      </c>
    </row>
    <row r="22744" spans="8:8" x14ac:dyDescent="0.3">
      <c r="H22744" t="str">
        <f t="shared" si="405"/>
        <v/>
      </c>
    </row>
    <row r="22745" spans="8:8" x14ac:dyDescent="0.3">
      <c r="H22745" t="str">
        <f t="shared" si="405"/>
        <v/>
      </c>
    </row>
    <row r="22746" spans="8:8" x14ac:dyDescent="0.3">
      <c r="H22746" t="str">
        <f t="shared" si="405"/>
        <v/>
      </c>
    </row>
    <row r="22747" spans="8:8" x14ac:dyDescent="0.3">
      <c r="H22747" t="str">
        <f t="shared" si="405"/>
        <v/>
      </c>
    </row>
    <row r="22748" spans="8:8" x14ac:dyDescent="0.3">
      <c r="H22748" t="str">
        <f t="shared" si="405"/>
        <v/>
      </c>
    </row>
    <row r="22749" spans="8:8" x14ac:dyDescent="0.3">
      <c r="H22749" t="str">
        <f t="shared" si="405"/>
        <v/>
      </c>
    </row>
    <row r="22750" spans="8:8" x14ac:dyDescent="0.3">
      <c r="H22750" t="str">
        <f t="shared" si="405"/>
        <v/>
      </c>
    </row>
    <row r="22751" spans="8:8" x14ac:dyDescent="0.3">
      <c r="H22751" t="str">
        <f t="shared" si="405"/>
        <v/>
      </c>
    </row>
    <row r="22752" spans="8:8" x14ac:dyDescent="0.3">
      <c r="H22752" t="str">
        <f t="shared" si="405"/>
        <v/>
      </c>
    </row>
    <row r="22753" spans="8:8" x14ac:dyDescent="0.3">
      <c r="H22753" t="str">
        <f t="shared" si="405"/>
        <v/>
      </c>
    </row>
    <row r="22754" spans="8:8" x14ac:dyDescent="0.3">
      <c r="H22754" t="str">
        <f t="shared" si="405"/>
        <v/>
      </c>
    </row>
    <row r="22755" spans="8:8" x14ac:dyDescent="0.3">
      <c r="H22755" t="str">
        <f t="shared" si="405"/>
        <v/>
      </c>
    </row>
    <row r="22756" spans="8:8" x14ac:dyDescent="0.3">
      <c r="H22756" t="str">
        <f t="shared" si="405"/>
        <v/>
      </c>
    </row>
    <row r="22757" spans="8:8" x14ac:dyDescent="0.3">
      <c r="H22757" t="str">
        <f t="shared" si="405"/>
        <v/>
      </c>
    </row>
    <row r="22758" spans="8:8" x14ac:dyDescent="0.3">
      <c r="H22758" t="str">
        <f t="shared" si="405"/>
        <v/>
      </c>
    </row>
    <row r="22759" spans="8:8" x14ac:dyDescent="0.3">
      <c r="H22759" t="str">
        <f t="shared" si="405"/>
        <v/>
      </c>
    </row>
    <row r="22760" spans="8:8" x14ac:dyDescent="0.3">
      <c r="H22760" t="str">
        <f t="shared" si="405"/>
        <v/>
      </c>
    </row>
    <row r="22761" spans="8:8" x14ac:dyDescent="0.3">
      <c r="H22761" t="str">
        <f t="shared" si="405"/>
        <v/>
      </c>
    </row>
    <row r="22762" spans="8:8" x14ac:dyDescent="0.3">
      <c r="H22762" t="str">
        <f t="shared" si="405"/>
        <v/>
      </c>
    </row>
    <row r="22763" spans="8:8" x14ac:dyDescent="0.3">
      <c r="H22763" t="str">
        <f t="shared" si="405"/>
        <v/>
      </c>
    </row>
    <row r="22764" spans="8:8" x14ac:dyDescent="0.3">
      <c r="H22764" t="str">
        <f t="shared" si="405"/>
        <v/>
      </c>
    </row>
    <row r="22765" spans="8:8" x14ac:dyDescent="0.3">
      <c r="H22765" t="str">
        <f t="shared" si="405"/>
        <v/>
      </c>
    </row>
    <row r="22766" spans="8:8" x14ac:dyDescent="0.3">
      <c r="H22766" t="str">
        <f t="shared" si="405"/>
        <v/>
      </c>
    </row>
    <row r="22767" spans="8:8" x14ac:dyDescent="0.3">
      <c r="H22767" t="str">
        <f t="shared" si="405"/>
        <v/>
      </c>
    </row>
    <row r="22768" spans="8:8" x14ac:dyDescent="0.3">
      <c r="H22768" t="str">
        <f t="shared" si="405"/>
        <v/>
      </c>
    </row>
    <row r="22769" spans="8:8" x14ac:dyDescent="0.3">
      <c r="H22769" t="str">
        <f t="shared" si="405"/>
        <v/>
      </c>
    </row>
    <row r="22770" spans="8:8" x14ac:dyDescent="0.3">
      <c r="H22770" t="str">
        <f t="shared" si="405"/>
        <v/>
      </c>
    </row>
    <row r="22771" spans="8:8" x14ac:dyDescent="0.3">
      <c r="H22771" t="str">
        <f t="shared" si="405"/>
        <v/>
      </c>
    </row>
    <row r="22772" spans="8:8" x14ac:dyDescent="0.3">
      <c r="H22772" t="str">
        <f t="shared" si="405"/>
        <v/>
      </c>
    </row>
    <row r="22773" spans="8:8" x14ac:dyDescent="0.3">
      <c r="H22773" t="str">
        <f t="shared" si="405"/>
        <v/>
      </c>
    </row>
    <row r="22774" spans="8:8" x14ac:dyDescent="0.3">
      <c r="H22774" t="str">
        <f t="shared" si="405"/>
        <v/>
      </c>
    </row>
    <row r="22775" spans="8:8" x14ac:dyDescent="0.3">
      <c r="H22775" t="str">
        <f t="shared" si="405"/>
        <v/>
      </c>
    </row>
    <row r="22776" spans="8:8" x14ac:dyDescent="0.3">
      <c r="H22776" t="str">
        <f t="shared" si="405"/>
        <v/>
      </c>
    </row>
    <row r="22777" spans="8:8" x14ac:dyDescent="0.3">
      <c r="H22777" t="str">
        <f t="shared" si="405"/>
        <v/>
      </c>
    </row>
    <row r="22778" spans="8:8" x14ac:dyDescent="0.3">
      <c r="H22778" t="str">
        <f t="shared" si="405"/>
        <v/>
      </c>
    </row>
    <row r="22779" spans="8:8" x14ac:dyDescent="0.3">
      <c r="H22779" t="str">
        <f t="shared" si="405"/>
        <v/>
      </c>
    </row>
    <row r="22780" spans="8:8" x14ac:dyDescent="0.3">
      <c r="H22780" t="str">
        <f t="shared" si="405"/>
        <v/>
      </c>
    </row>
    <row r="22781" spans="8:8" x14ac:dyDescent="0.3">
      <c r="H22781" t="str">
        <f t="shared" si="405"/>
        <v/>
      </c>
    </row>
    <row r="22782" spans="8:8" x14ac:dyDescent="0.3">
      <c r="H22782" t="str">
        <f t="shared" si="405"/>
        <v/>
      </c>
    </row>
    <row r="22783" spans="8:8" x14ac:dyDescent="0.3">
      <c r="H22783" t="str">
        <f t="shared" si="405"/>
        <v/>
      </c>
    </row>
    <row r="22784" spans="8:8" x14ac:dyDescent="0.3">
      <c r="H22784" t="str">
        <f t="shared" si="405"/>
        <v/>
      </c>
    </row>
    <row r="22785" spans="8:8" x14ac:dyDescent="0.3">
      <c r="H22785" t="str">
        <f t="shared" si="405"/>
        <v/>
      </c>
    </row>
    <row r="22786" spans="8:8" x14ac:dyDescent="0.3">
      <c r="H22786" t="str">
        <f t="shared" si="405"/>
        <v/>
      </c>
    </row>
    <row r="22787" spans="8:8" x14ac:dyDescent="0.3">
      <c r="H22787" t="str">
        <f t="shared" si="405"/>
        <v/>
      </c>
    </row>
    <row r="22788" spans="8:8" x14ac:dyDescent="0.3">
      <c r="H22788" t="str">
        <f t="shared" si="405"/>
        <v/>
      </c>
    </row>
    <row r="22789" spans="8:8" x14ac:dyDescent="0.3">
      <c r="H22789" t="str">
        <f t="shared" si="405"/>
        <v/>
      </c>
    </row>
    <row r="22790" spans="8:8" x14ac:dyDescent="0.3">
      <c r="H22790" t="str">
        <f t="shared" si="405"/>
        <v/>
      </c>
    </row>
    <row r="22791" spans="8:8" x14ac:dyDescent="0.3">
      <c r="H22791" t="str">
        <f t="shared" si="405"/>
        <v/>
      </c>
    </row>
    <row r="22792" spans="8:8" x14ac:dyDescent="0.3">
      <c r="H22792" t="str">
        <f t="shared" si="405"/>
        <v/>
      </c>
    </row>
    <row r="22793" spans="8:8" x14ac:dyDescent="0.3">
      <c r="H22793" t="str">
        <f t="shared" si="405"/>
        <v/>
      </c>
    </row>
    <row r="22794" spans="8:8" x14ac:dyDescent="0.3">
      <c r="H22794" t="str">
        <f t="shared" si="405"/>
        <v/>
      </c>
    </row>
    <row r="22795" spans="8:8" x14ac:dyDescent="0.3">
      <c r="H22795" t="str">
        <f t="shared" si="405"/>
        <v/>
      </c>
    </row>
    <row r="22796" spans="8:8" x14ac:dyDescent="0.3">
      <c r="H22796" t="str">
        <f t="shared" si="405"/>
        <v/>
      </c>
    </row>
    <row r="22797" spans="8:8" x14ac:dyDescent="0.3">
      <c r="H22797" t="str">
        <f t="shared" si="405"/>
        <v/>
      </c>
    </row>
    <row r="22798" spans="8:8" x14ac:dyDescent="0.3">
      <c r="H22798" t="str">
        <f t="shared" si="405"/>
        <v/>
      </c>
    </row>
    <row r="22799" spans="8:8" x14ac:dyDescent="0.3">
      <c r="H22799" t="str">
        <f t="shared" si="405"/>
        <v/>
      </c>
    </row>
    <row r="22800" spans="8:8" x14ac:dyDescent="0.3">
      <c r="H22800" t="str">
        <f t="shared" si="405"/>
        <v/>
      </c>
    </row>
    <row r="22801" spans="8:8" x14ac:dyDescent="0.3">
      <c r="H22801" t="str">
        <f t="shared" si="405"/>
        <v/>
      </c>
    </row>
    <row r="22802" spans="8:8" x14ac:dyDescent="0.3">
      <c r="H22802" t="str">
        <f t="shared" si="405"/>
        <v/>
      </c>
    </row>
    <row r="22803" spans="8:8" x14ac:dyDescent="0.3">
      <c r="H22803" t="str">
        <f t="shared" si="405"/>
        <v/>
      </c>
    </row>
    <row r="22804" spans="8:8" x14ac:dyDescent="0.3">
      <c r="H22804" t="str">
        <f t="shared" si="405"/>
        <v/>
      </c>
    </row>
    <row r="22805" spans="8:8" x14ac:dyDescent="0.3">
      <c r="H22805" t="str">
        <f t="shared" si="405"/>
        <v/>
      </c>
    </row>
    <row r="22806" spans="8:8" x14ac:dyDescent="0.3">
      <c r="H22806" t="str">
        <f t="shared" si="405"/>
        <v/>
      </c>
    </row>
    <row r="22807" spans="8:8" x14ac:dyDescent="0.3">
      <c r="H22807" t="str">
        <f t="shared" ref="H22807:H22870" si="406">IF(B22807="","",$C$12)</f>
        <v/>
      </c>
    </row>
    <row r="22808" spans="8:8" x14ac:dyDescent="0.3">
      <c r="H22808" t="str">
        <f t="shared" si="406"/>
        <v/>
      </c>
    </row>
    <row r="22809" spans="8:8" x14ac:dyDescent="0.3">
      <c r="H22809" t="str">
        <f t="shared" si="406"/>
        <v/>
      </c>
    </row>
    <row r="22810" spans="8:8" x14ac:dyDescent="0.3">
      <c r="H22810" t="str">
        <f t="shared" si="406"/>
        <v/>
      </c>
    </row>
    <row r="22811" spans="8:8" x14ac:dyDescent="0.3">
      <c r="H22811" t="str">
        <f t="shared" si="406"/>
        <v/>
      </c>
    </row>
    <row r="22812" spans="8:8" x14ac:dyDescent="0.3">
      <c r="H22812" t="str">
        <f t="shared" si="406"/>
        <v/>
      </c>
    </row>
    <row r="22813" spans="8:8" x14ac:dyDescent="0.3">
      <c r="H22813" t="str">
        <f t="shared" si="406"/>
        <v/>
      </c>
    </row>
    <row r="22814" spans="8:8" x14ac:dyDescent="0.3">
      <c r="H22814" t="str">
        <f t="shared" si="406"/>
        <v/>
      </c>
    </row>
    <row r="22815" spans="8:8" x14ac:dyDescent="0.3">
      <c r="H22815" t="str">
        <f t="shared" si="406"/>
        <v/>
      </c>
    </row>
    <row r="22816" spans="8:8" x14ac:dyDescent="0.3">
      <c r="H22816" t="str">
        <f t="shared" si="406"/>
        <v/>
      </c>
    </row>
    <row r="22817" spans="8:8" x14ac:dyDescent="0.3">
      <c r="H22817" t="str">
        <f t="shared" si="406"/>
        <v/>
      </c>
    </row>
    <row r="22818" spans="8:8" x14ac:dyDescent="0.3">
      <c r="H22818" t="str">
        <f t="shared" si="406"/>
        <v/>
      </c>
    </row>
    <row r="22819" spans="8:8" x14ac:dyDescent="0.3">
      <c r="H22819" t="str">
        <f t="shared" si="406"/>
        <v/>
      </c>
    </row>
    <row r="22820" spans="8:8" x14ac:dyDescent="0.3">
      <c r="H22820" t="str">
        <f t="shared" si="406"/>
        <v/>
      </c>
    </row>
    <row r="22821" spans="8:8" x14ac:dyDescent="0.3">
      <c r="H22821" t="str">
        <f t="shared" si="406"/>
        <v/>
      </c>
    </row>
    <row r="22822" spans="8:8" x14ac:dyDescent="0.3">
      <c r="H22822" t="str">
        <f t="shared" si="406"/>
        <v/>
      </c>
    </row>
    <row r="22823" spans="8:8" x14ac:dyDescent="0.3">
      <c r="H22823" t="str">
        <f t="shared" si="406"/>
        <v/>
      </c>
    </row>
    <row r="22824" spans="8:8" x14ac:dyDescent="0.3">
      <c r="H22824" t="str">
        <f t="shared" si="406"/>
        <v/>
      </c>
    </row>
    <row r="22825" spans="8:8" x14ac:dyDescent="0.3">
      <c r="H22825" t="str">
        <f t="shared" si="406"/>
        <v/>
      </c>
    </row>
    <row r="22826" spans="8:8" x14ac:dyDescent="0.3">
      <c r="H22826" t="str">
        <f t="shared" si="406"/>
        <v/>
      </c>
    </row>
    <row r="22827" spans="8:8" x14ac:dyDescent="0.3">
      <c r="H22827" t="str">
        <f t="shared" si="406"/>
        <v/>
      </c>
    </row>
    <row r="22828" spans="8:8" x14ac:dyDescent="0.3">
      <c r="H22828" t="str">
        <f t="shared" si="406"/>
        <v/>
      </c>
    </row>
    <row r="22829" spans="8:8" x14ac:dyDescent="0.3">
      <c r="H22829" t="str">
        <f t="shared" si="406"/>
        <v/>
      </c>
    </row>
    <row r="22830" spans="8:8" x14ac:dyDescent="0.3">
      <c r="H22830" t="str">
        <f t="shared" si="406"/>
        <v/>
      </c>
    </row>
    <row r="22831" spans="8:8" x14ac:dyDescent="0.3">
      <c r="H22831" t="str">
        <f t="shared" si="406"/>
        <v/>
      </c>
    </row>
    <row r="22832" spans="8:8" x14ac:dyDescent="0.3">
      <c r="H22832" t="str">
        <f t="shared" si="406"/>
        <v/>
      </c>
    </row>
    <row r="22833" spans="8:8" x14ac:dyDescent="0.3">
      <c r="H22833" t="str">
        <f t="shared" si="406"/>
        <v/>
      </c>
    </row>
    <row r="22834" spans="8:8" x14ac:dyDescent="0.3">
      <c r="H22834" t="str">
        <f t="shared" si="406"/>
        <v/>
      </c>
    </row>
    <row r="22835" spans="8:8" x14ac:dyDescent="0.3">
      <c r="H22835" t="str">
        <f t="shared" si="406"/>
        <v/>
      </c>
    </row>
    <row r="22836" spans="8:8" x14ac:dyDescent="0.3">
      <c r="H22836" t="str">
        <f t="shared" si="406"/>
        <v/>
      </c>
    </row>
    <row r="22837" spans="8:8" x14ac:dyDescent="0.3">
      <c r="H22837" t="str">
        <f t="shared" si="406"/>
        <v/>
      </c>
    </row>
    <row r="22838" spans="8:8" x14ac:dyDescent="0.3">
      <c r="H22838" t="str">
        <f t="shared" si="406"/>
        <v/>
      </c>
    </row>
    <row r="22839" spans="8:8" x14ac:dyDescent="0.3">
      <c r="H22839" t="str">
        <f t="shared" si="406"/>
        <v/>
      </c>
    </row>
    <row r="22840" spans="8:8" x14ac:dyDescent="0.3">
      <c r="H22840" t="str">
        <f t="shared" si="406"/>
        <v/>
      </c>
    </row>
    <row r="22841" spans="8:8" x14ac:dyDescent="0.3">
      <c r="H22841" t="str">
        <f t="shared" si="406"/>
        <v/>
      </c>
    </row>
    <row r="22842" spans="8:8" x14ac:dyDescent="0.3">
      <c r="H22842" t="str">
        <f t="shared" si="406"/>
        <v/>
      </c>
    </row>
    <row r="22843" spans="8:8" x14ac:dyDescent="0.3">
      <c r="H22843" t="str">
        <f t="shared" si="406"/>
        <v/>
      </c>
    </row>
    <row r="22844" spans="8:8" x14ac:dyDescent="0.3">
      <c r="H22844" t="str">
        <f t="shared" si="406"/>
        <v/>
      </c>
    </row>
    <row r="22845" spans="8:8" x14ac:dyDescent="0.3">
      <c r="H22845" t="str">
        <f t="shared" si="406"/>
        <v/>
      </c>
    </row>
    <row r="22846" spans="8:8" x14ac:dyDescent="0.3">
      <c r="H22846" t="str">
        <f t="shared" si="406"/>
        <v/>
      </c>
    </row>
    <row r="22847" spans="8:8" x14ac:dyDescent="0.3">
      <c r="H22847" t="str">
        <f t="shared" si="406"/>
        <v/>
      </c>
    </row>
    <row r="22848" spans="8:8" x14ac:dyDescent="0.3">
      <c r="H22848" t="str">
        <f t="shared" si="406"/>
        <v/>
      </c>
    </row>
    <row r="22849" spans="8:8" x14ac:dyDescent="0.3">
      <c r="H22849" t="str">
        <f t="shared" si="406"/>
        <v/>
      </c>
    </row>
    <row r="22850" spans="8:8" x14ac:dyDescent="0.3">
      <c r="H22850" t="str">
        <f t="shared" si="406"/>
        <v/>
      </c>
    </row>
    <row r="22851" spans="8:8" x14ac:dyDescent="0.3">
      <c r="H22851" t="str">
        <f t="shared" si="406"/>
        <v/>
      </c>
    </row>
    <row r="22852" spans="8:8" x14ac:dyDescent="0.3">
      <c r="H22852" t="str">
        <f t="shared" si="406"/>
        <v/>
      </c>
    </row>
    <row r="22853" spans="8:8" x14ac:dyDescent="0.3">
      <c r="H22853" t="str">
        <f t="shared" si="406"/>
        <v/>
      </c>
    </row>
    <row r="22854" spans="8:8" x14ac:dyDescent="0.3">
      <c r="H22854" t="str">
        <f t="shared" si="406"/>
        <v/>
      </c>
    </row>
    <row r="22855" spans="8:8" x14ac:dyDescent="0.3">
      <c r="H22855" t="str">
        <f t="shared" si="406"/>
        <v/>
      </c>
    </row>
    <row r="22856" spans="8:8" x14ac:dyDescent="0.3">
      <c r="H22856" t="str">
        <f t="shared" si="406"/>
        <v/>
      </c>
    </row>
    <row r="22857" spans="8:8" x14ac:dyDescent="0.3">
      <c r="H22857" t="str">
        <f t="shared" si="406"/>
        <v/>
      </c>
    </row>
    <row r="22858" spans="8:8" x14ac:dyDescent="0.3">
      <c r="H22858" t="str">
        <f t="shared" si="406"/>
        <v/>
      </c>
    </row>
    <row r="22859" spans="8:8" x14ac:dyDescent="0.3">
      <c r="H22859" t="str">
        <f t="shared" si="406"/>
        <v/>
      </c>
    </row>
    <row r="22860" spans="8:8" x14ac:dyDescent="0.3">
      <c r="H22860" t="str">
        <f t="shared" si="406"/>
        <v/>
      </c>
    </row>
    <row r="22861" spans="8:8" x14ac:dyDescent="0.3">
      <c r="H22861" t="str">
        <f t="shared" si="406"/>
        <v/>
      </c>
    </row>
    <row r="22862" spans="8:8" x14ac:dyDescent="0.3">
      <c r="H22862" t="str">
        <f t="shared" si="406"/>
        <v/>
      </c>
    </row>
    <row r="22863" spans="8:8" x14ac:dyDescent="0.3">
      <c r="H22863" t="str">
        <f t="shared" si="406"/>
        <v/>
      </c>
    </row>
    <row r="22864" spans="8:8" x14ac:dyDescent="0.3">
      <c r="H22864" t="str">
        <f t="shared" si="406"/>
        <v/>
      </c>
    </row>
    <row r="22865" spans="8:8" x14ac:dyDescent="0.3">
      <c r="H22865" t="str">
        <f t="shared" si="406"/>
        <v/>
      </c>
    </row>
    <row r="22866" spans="8:8" x14ac:dyDescent="0.3">
      <c r="H22866" t="str">
        <f t="shared" si="406"/>
        <v/>
      </c>
    </row>
    <row r="22867" spans="8:8" x14ac:dyDescent="0.3">
      <c r="H22867" t="str">
        <f t="shared" si="406"/>
        <v/>
      </c>
    </row>
    <row r="22868" spans="8:8" x14ac:dyDescent="0.3">
      <c r="H22868" t="str">
        <f t="shared" si="406"/>
        <v/>
      </c>
    </row>
    <row r="22869" spans="8:8" x14ac:dyDescent="0.3">
      <c r="H22869" t="str">
        <f t="shared" si="406"/>
        <v/>
      </c>
    </row>
    <row r="22870" spans="8:8" x14ac:dyDescent="0.3">
      <c r="H22870" t="str">
        <f t="shared" si="406"/>
        <v/>
      </c>
    </row>
    <row r="22871" spans="8:8" x14ac:dyDescent="0.3">
      <c r="H22871" t="str">
        <f t="shared" ref="H22871:H22934" si="407">IF(B22871="","",$C$12)</f>
        <v/>
      </c>
    </row>
    <row r="22872" spans="8:8" x14ac:dyDescent="0.3">
      <c r="H22872" t="str">
        <f t="shared" si="407"/>
        <v/>
      </c>
    </row>
    <row r="22873" spans="8:8" x14ac:dyDescent="0.3">
      <c r="H22873" t="str">
        <f t="shared" si="407"/>
        <v/>
      </c>
    </row>
    <row r="22874" spans="8:8" x14ac:dyDescent="0.3">
      <c r="H22874" t="str">
        <f t="shared" si="407"/>
        <v/>
      </c>
    </row>
    <row r="22875" spans="8:8" x14ac:dyDescent="0.3">
      <c r="H22875" t="str">
        <f t="shared" si="407"/>
        <v/>
      </c>
    </row>
    <row r="22876" spans="8:8" x14ac:dyDescent="0.3">
      <c r="H22876" t="str">
        <f t="shared" si="407"/>
        <v/>
      </c>
    </row>
    <row r="22877" spans="8:8" x14ac:dyDescent="0.3">
      <c r="H22877" t="str">
        <f t="shared" si="407"/>
        <v/>
      </c>
    </row>
    <row r="22878" spans="8:8" x14ac:dyDescent="0.3">
      <c r="H22878" t="str">
        <f t="shared" si="407"/>
        <v/>
      </c>
    </row>
    <row r="22879" spans="8:8" x14ac:dyDescent="0.3">
      <c r="H22879" t="str">
        <f t="shared" si="407"/>
        <v/>
      </c>
    </row>
    <row r="22880" spans="8:8" x14ac:dyDescent="0.3">
      <c r="H22880" t="str">
        <f t="shared" si="407"/>
        <v/>
      </c>
    </row>
    <row r="22881" spans="8:8" x14ac:dyDescent="0.3">
      <c r="H22881" t="str">
        <f t="shared" si="407"/>
        <v/>
      </c>
    </row>
    <row r="22882" spans="8:8" x14ac:dyDescent="0.3">
      <c r="H22882" t="str">
        <f t="shared" si="407"/>
        <v/>
      </c>
    </row>
    <row r="22883" spans="8:8" x14ac:dyDescent="0.3">
      <c r="H22883" t="str">
        <f t="shared" si="407"/>
        <v/>
      </c>
    </row>
    <row r="22884" spans="8:8" x14ac:dyDescent="0.3">
      <c r="H22884" t="str">
        <f t="shared" si="407"/>
        <v/>
      </c>
    </row>
    <row r="22885" spans="8:8" x14ac:dyDescent="0.3">
      <c r="H22885" t="str">
        <f t="shared" si="407"/>
        <v/>
      </c>
    </row>
    <row r="22886" spans="8:8" x14ac:dyDescent="0.3">
      <c r="H22886" t="str">
        <f t="shared" si="407"/>
        <v/>
      </c>
    </row>
    <row r="22887" spans="8:8" x14ac:dyDescent="0.3">
      <c r="H22887" t="str">
        <f t="shared" si="407"/>
        <v/>
      </c>
    </row>
    <row r="22888" spans="8:8" x14ac:dyDescent="0.3">
      <c r="H22888" t="str">
        <f t="shared" si="407"/>
        <v/>
      </c>
    </row>
    <row r="22889" spans="8:8" x14ac:dyDescent="0.3">
      <c r="H22889" t="str">
        <f t="shared" si="407"/>
        <v/>
      </c>
    </row>
    <row r="22890" spans="8:8" x14ac:dyDescent="0.3">
      <c r="H22890" t="str">
        <f t="shared" si="407"/>
        <v/>
      </c>
    </row>
    <row r="22891" spans="8:8" x14ac:dyDescent="0.3">
      <c r="H22891" t="str">
        <f t="shared" si="407"/>
        <v/>
      </c>
    </row>
    <row r="22892" spans="8:8" x14ac:dyDescent="0.3">
      <c r="H22892" t="str">
        <f t="shared" si="407"/>
        <v/>
      </c>
    </row>
    <row r="22893" spans="8:8" x14ac:dyDescent="0.3">
      <c r="H22893" t="str">
        <f t="shared" si="407"/>
        <v/>
      </c>
    </row>
    <row r="22894" spans="8:8" x14ac:dyDescent="0.3">
      <c r="H22894" t="str">
        <f t="shared" si="407"/>
        <v/>
      </c>
    </row>
    <row r="22895" spans="8:8" x14ac:dyDescent="0.3">
      <c r="H22895" t="str">
        <f t="shared" si="407"/>
        <v/>
      </c>
    </row>
    <row r="22896" spans="8:8" x14ac:dyDescent="0.3">
      <c r="H22896" t="str">
        <f t="shared" si="407"/>
        <v/>
      </c>
    </row>
    <row r="22897" spans="8:8" x14ac:dyDescent="0.3">
      <c r="H22897" t="str">
        <f t="shared" si="407"/>
        <v/>
      </c>
    </row>
    <row r="22898" spans="8:8" x14ac:dyDescent="0.3">
      <c r="H22898" t="str">
        <f t="shared" si="407"/>
        <v/>
      </c>
    </row>
    <row r="22899" spans="8:8" x14ac:dyDescent="0.3">
      <c r="H22899" t="str">
        <f t="shared" si="407"/>
        <v/>
      </c>
    </row>
    <row r="22900" spans="8:8" x14ac:dyDescent="0.3">
      <c r="H22900" t="str">
        <f t="shared" si="407"/>
        <v/>
      </c>
    </row>
    <row r="22901" spans="8:8" x14ac:dyDescent="0.3">
      <c r="H22901" t="str">
        <f t="shared" si="407"/>
        <v/>
      </c>
    </row>
    <row r="22902" spans="8:8" x14ac:dyDescent="0.3">
      <c r="H22902" t="str">
        <f t="shared" si="407"/>
        <v/>
      </c>
    </row>
    <row r="22903" spans="8:8" x14ac:dyDescent="0.3">
      <c r="H22903" t="str">
        <f t="shared" si="407"/>
        <v/>
      </c>
    </row>
    <row r="22904" spans="8:8" x14ac:dyDescent="0.3">
      <c r="H22904" t="str">
        <f t="shared" si="407"/>
        <v/>
      </c>
    </row>
    <row r="22905" spans="8:8" x14ac:dyDescent="0.3">
      <c r="H22905" t="str">
        <f t="shared" si="407"/>
        <v/>
      </c>
    </row>
    <row r="22906" spans="8:8" x14ac:dyDescent="0.3">
      <c r="H22906" t="str">
        <f t="shared" si="407"/>
        <v/>
      </c>
    </row>
    <row r="22907" spans="8:8" x14ac:dyDescent="0.3">
      <c r="H22907" t="str">
        <f t="shared" si="407"/>
        <v/>
      </c>
    </row>
    <row r="22908" spans="8:8" x14ac:dyDescent="0.3">
      <c r="H22908" t="str">
        <f t="shared" si="407"/>
        <v/>
      </c>
    </row>
    <row r="22909" spans="8:8" x14ac:dyDescent="0.3">
      <c r="H22909" t="str">
        <f t="shared" si="407"/>
        <v/>
      </c>
    </row>
    <row r="22910" spans="8:8" x14ac:dyDescent="0.3">
      <c r="H22910" t="str">
        <f t="shared" si="407"/>
        <v/>
      </c>
    </row>
    <row r="22911" spans="8:8" x14ac:dyDescent="0.3">
      <c r="H22911" t="str">
        <f t="shared" si="407"/>
        <v/>
      </c>
    </row>
    <row r="22912" spans="8:8" x14ac:dyDescent="0.3">
      <c r="H22912" t="str">
        <f t="shared" si="407"/>
        <v/>
      </c>
    </row>
    <row r="22913" spans="8:8" x14ac:dyDescent="0.3">
      <c r="H22913" t="str">
        <f t="shared" si="407"/>
        <v/>
      </c>
    </row>
    <row r="22914" spans="8:8" x14ac:dyDescent="0.3">
      <c r="H22914" t="str">
        <f t="shared" si="407"/>
        <v/>
      </c>
    </row>
    <row r="22915" spans="8:8" x14ac:dyDescent="0.3">
      <c r="H22915" t="str">
        <f t="shared" si="407"/>
        <v/>
      </c>
    </row>
    <row r="22916" spans="8:8" x14ac:dyDescent="0.3">
      <c r="H22916" t="str">
        <f t="shared" si="407"/>
        <v/>
      </c>
    </row>
    <row r="22917" spans="8:8" x14ac:dyDescent="0.3">
      <c r="H22917" t="str">
        <f t="shared" si="407"/>
        <v/>
      </c>
    </row>
    <row r="22918" spans="8:8" x14ac:dyDescent="0.3">
      <c r="H22918" t="str">
        <f t="shared" si="407"/>
        <v/>
      </c>
    </row>
    <row r="22919" spans="8:8" x14ac:dyDescent="0.3">
      <c r="H22919" t="str">
        <f t="shared" si="407"/>
        <v/>
      </c>
    </row>
    <row r="22920" spans="8:8" x14ac:dyDescent="0.3">
      <c r="H22920" t="str">
        <f t="shared" si="407"/>
        <v/>
      </c>
    </row>
    <row r="22921" spans="8:8" x14ac:dyDescent="0.3">
      <c r="H22921" t="str">
        <f t="shared" si="407"/>
        <v/>
      </c>
    </row>
    <row r="22922" spans="8:8" x14ac:dyDescent="0.3">
      <c r="H22922" t="str">
        <f t="shared" si="407"/>
        <v/>
      </c>
    </row>
    <row r="22923" spans="8:8" x14ac:dyDescent="0.3">
      <c r="H22923" t="str">
        <f t="shared" si="407"/>
        <v/>
      </c>
    </row>
    <row r="22924" spans="8:8" x14ac:dyDescent="0.3">
      <c r="H22924" t="str">
        <f t="shared" si="407"/>
        <v/>
      </c>
    </row>
    <row r="22925" spans="8:8" x14ac:dyDescent="0.3">
      <c r="H22925" t="str">
        <f t="shared" si="407"/>
        <v/>
      </c>
    </row>
    <row r="22926" spans="8:8" x14ac:dyDescent="0.3">
      <c r="H22926" t="str">
        <f t="shared" si="407"/>
        <v/>
      </c>
    </row>
    <row r="22927" spans="8:8" x14ac:dyDescent="0.3">
      <c r="H22927" t="str">
        <f t="shared" si="407"/>
        <v/>
      </c>
    </row>
    <row r="22928" spans="8:8" x14ac:dyDescent="0.3">
      <c r="H22928" t="str">
        <f t="shared" si="407"/>
        <v/>
      </c>
    </row>
    <row r="22929" spans="8:8" x14ac:dyDescent="0.3">
      <c r="H22929" t="str">
        <f t="shared" si="407"/>
        <v/>
      </c>
    </row>
    <row r="22930" spans="8:8" x14ac:dyDescent="0.3">
      <c r="H22930" t="str">
        <f t="shared" si="407"/>
        <v/>
      </c>
    </row>
    <row r="22931" spans="8:8" x14ac:dyDescent="0.3">
      <c r="H22931" t="str">
        <f t="shared" si="407"/>
        <v/>
      </c>
    </row>
    <row r="22932" spans="8:8" x14ac:dyDescent="0.3">
      <c r="H22932" t="str">
        <f t="shared" si="407"/>
        <v/>
      </c>
    </row>
    <row r="22933" spans="8:8" x14ac:dyDescent="0.3">
      <c r="H22933" t="str">
        <f t="shared" si="407"/>
        <v/>
      </c>
    </row>
    <row r="22934" spans="8:8" x14ac:dyDescent="0.3">
      <c r="H22934" t="str">
        <f t="shared" si="407"/>
        <v/>
      </c>
    </row>
    <row r="22935" spans="8:8" x14ac:dyDescent="0.3">
      <c r="H22935" t="str">
        <f t="shared" ref="H22935:H22998" si="408">IF(B22935="","",$C$12)</f>
        <v/>
      </c>
    </row>
    <row r="22936" spans="8:8" x14ac:dyDescent="0.3">
      <c r="H22936" t="str">
        <f t="shared" si="408"/>
        <v/>
      </c>
    </row>
    <row r="22937" spans="8:8" x14ac:dyDescent="0.3">
      <c r="H22937" t="str">
        <f t="shared" si="408"/>
        <v/>
      </c>
    </row>
    <row r="22938" spans="8:8" x14ac:dyDescent="0.3">
      <c r="H22938" t="str">
        <f t="shared" si="408"/>
        <v/>
      </c>
    </row>
    <row r="22939" spans="8:8" x14ac:dyDescent="0.3">
      <c r="H22939" t="str">
        <f t="shared" si="408"/>
        <v/>
      </c>
    </row>
    <row r="22940" spans="8:8" x14ac:dyDescent="0.3">
      <c r="H22940" t="str">
        <f t="shared" si="408"/>
        <v/>
      </c>
    </row>
    <row r="22941" spans="8:8" x14ac:dyDescent="0.3">
      <c r="H22941" t="str">
        <f t="shared" si="408"/>
        <v/>
      </c>
    </row>
    <row r="22942" spans="8:8" x14ac:dyDescent="0.3">
      <c r="H22942" t="str">
        <f t="shared" si="408"/>
        <v/>
      </c>
    </row>
    <row r="22943" spans="8:8" x14ac:dyDescent="0.3">
      <c r="H22943" t="str">
        <f t="shared" si="408"/>
        <v/>
      </c>
    </row>
    <row r="22944" spans="8:8" x14ac:dyDescent="0.3">
      <c r="H22944" t="str">
        <f t="shared" si="408"/>
        <v/>
      </c>
    </row>
    <row r="22945" spans="8:8" x14ac:dyDescent="0.3">
      <c r="H22945" t="str">
        <f t="shared" si="408"/>
        <v/>
      </c>
    </row>
    <row r="22946" spans="8:8" x14ac:dyDescent="0.3">
      <c r="H22946" t="str">
        <f t="shared" si="408"/>
        <v/>
      </c>
    </row>
    <row r="22947" spans="8:8" x14ac:dyDescent="0.3">
      <c r="H22947" t="str">
        <f t="shared" si="408"/>
        <v/>
      </c>
    </row>
    <row r="22948" spans="8:8" x14ac:dyDescent="0.3">
      <c r="H22948" t="str">
        <f t="shared" si="408"/>
        <v/>
      </c>
    </row>
    <row r="22949" spans="8:8" x14ac:dyDescent="0.3">
      <c r="H22949" t="str">
        <f t="shared" si="408"/>
        <v/>
      </c>
    </row>
    <row r="22950" spans="8:8" x14ac:dyDescent="0.3">
      <c r="H22950" t="str">
        <f t="shared" si="408"/>
        <v/>
      </c>
    </row>
    <row r="22951" spans="8:8" x14ac:dyDescent="0.3">
      <c r="H22951" t="str">
        <f t="shared" si="408"/>
        <v/>
      </c>
    </row>
    <row r="22952" spans="8:8" x14ac:dyDescent="0.3">
      <c r="H22952" t="str">
        <f t="shared" si="408"/>
        <v/>
      </c>
    </row>
    <row r="22953" spans="8:8" x14ac:dyDescent="0.3">
      <c r="H22953" t="str">
        <f t="shared" si="408"/>
        <v/>
      </c>
    </row>
    <row r="22954" spans="8:8" x14ac:dyDescent="0.3">
      <c r="H22954" t="str">
        <f t="shared" si="408"/>
        <v/>
      </c>
    </row>
    <row r="22955" spans="8:8" x14ac:dyDescent="0.3">
      <c r="H22955" t="str">
        <f t="shared" si="408"/>
        <v/>
      </c>
    </row>
    <row r="22956" spans="8:8" x14ac:dyDescent="0.3">
      <c r="H22956" t="str">
        <f t="shared" si="408"/>
        <v/>
      </c>
    </row>
    <row r="22957" spans="8:8" x14ac:dyDescent="0.3">
      <c r="H22957" t="str">
        <f t="shared" si="408"/>
        <v/>
      </c>
    </row>
    <row r="22958" spans="8:8" x14ac:dyDescent="0.3">
      <c r="H22958" t="str">
        <f t="shared" si="408"/>
        <v/>
      </c>
    </row>
    <row r="22959" spans="8:8" x14ac:dyDescent="0.3">
      <c r="H22959" t="str">
        <f t="shared" si="408"/>
        <v/>
      </c>
    </row>
    <row r="22960" spans="8:8" x14ac:dyDescent="0.3">
      <c r="H22960" t="str">
        <f t="shared" si="408"/>
        <v/>
      </c>
    </row>
    <row r="22961" spans="8:8" x14ac:dyDescent="0.3">
      <c r="H22961" t="str">
        <f t="shared" si="408"/>
        <v/>
      </c>
    </row>
    <row r="22962" spans="8:8" x14ac:dyDescent="0.3">
      <c r="H22962" t="str">
        <f t="shared" si="408"/>
        <v/>
      </c>
    </row>
    <row r="22963" spans="8:8" x14ac:dyDescent="0.3">
      <c r="H22963" t="str">
        <f t="shared" si="408"/>
        <v/>
      </c>
    </row>
    <row r="22964" spans="8:8" x14ac:dyDescent="0.3">
      <c r="H22964" t="str">
        <f t="shared" si="408"/>
        <v/>
      </c>
    </row>
    <row r="22965" spans="8:8" x14ac:dyDescent="0.3">
      <c r="H22965" t="str">
        <f t="shared" si="408"/>
        <v/>
      </c>
    </row>
    <row r="22966" spans="8:8" x14ac:dyDescent="0.3">
      <c r="H22966" t="str">
        <f t="shared" si="408"/>
        <v/>
      </c>
    </row>
    <row r="22967" spans="8:8" x14ac:dyDescent="0.3">
      <c r="H22967" t="str">
        <f t="shared" si="408"/>
        <v/>
      </c>
    </row>
    <row r="22968" spans="8:8" x14ac:dyDescent="0.3">
      <c r="H22968" t="str">
        <f t="shared" si="408"/>
        <v/>
      </c>
    </row>
    <row r="22969" spans="8:8" x14ac:dyDescent="0.3">
      <c r="H22969" t="str">
        <f t="shared" si="408"/>
        <v/>
      </c>
    </row>
    <row r="22970" spans="8:8" x14ac:dyDescent="0.3">
      <c r="H22970" t="str">
        <f t="shared" si="408"/>
        <v/>
      </c>
    </row>
    <row r="22971" spans="8:8" x14ac:dyDescent="0.3">
      <c r="H22971" t="str">
        <f t="shared" si="408"/>
        <v/>
      </c>
    </row>
    <row r="22972" spans="8:8" x14ac:dyDescent="0.3">
      <c r="H22972" t="str">
        <f t="shared" si="408"/>
        <v/>
      </c>
    </row>
    <row r="22973" spans="8:8" x14ac:dyDescent="0.3">
      <c r="H22973" t="str">
        <f t="shared" si="408"/>
        <v/>
      </c>
    </row>
    <row r="22974" spans="8:8" x14ac:dyDescent="0.3">
      <c r="H22974" t="str">
        <f t="shared" si="408"/>
        <v/>
      </c>
    </row>
    <row r="22975" spans="8:8" x14ac:dyDescent="0.3">
      <c r="H22975" t="str">
        <f t="shared" si="408"/>
        <v/>
      </c>
    </row>
    <row r="22976" spans="8:8" x14ac:dyDescent="0.3">
      <c r="H22976" t="str">
        <f t="shared" si="408"/>
        <v/>
      </c>
    </row>
    <row r="22977" spans="8:8" x14ac:dyDescent="0.3">
      <c r="H22977" t="str">
        <f t="shared" si="408"/>
        <v/>
      </c>
    </row>
    <row r="22978" spans="8:8" x14ac:dyDescent="0.3">
      <c r="H22978" t="str">
        <f t="shared" si="408"/>
        <v/>
      </c>
    </row>
    <row r="22979" spans="8:8" x14ac:dyDescent="0.3">
      <c r="H22979" t="str">
        <f t="shared" si="408"/>
        <v/>
      </c>
    </row>
    <row r="22980" spans="8:8" x14ac:dyDescent="0.3">
      <c r="H22980" t="str">
        <f t="shared" si="408"/>
        <v/>
      </c>
    </row>
    <row r="22981" spans="8:8" x14ac:dyDescent="0.3">
      <c r="H22981" t="str">
        <f t="shared" si="408"/>
        <v/>
      </c>
    </row>
    <row r="22982" spans="8:8" x14ac:dyDescent="0.3">
      <c r="H22982" t="str">
        <f t="shared" si="408"/>
        <v/>
      </c>
    </row>
    <row r="22983" spans="8:8" x14ac:dyDescent="0.3">
      <c r="H22983" t="str">
        <f t="shared" si="408"/>
        <v/>
      </c>
    </row>
    <row r="22984" spans="8:8" x14ac:dyDescent="0.3">
      <c r="H22984" t="str">
        <f t="shared" si="408"/>
        <v/>
      </c>
    </row>
    <row r="22985" spans="8:8" x14ac:dyDescent="0.3">
      <c r="H22985" t="str">
        <f t="shared" si="408"/>
        <v/>
      </c>
    </row>
    <row r="22986" spans="8:8" x14ac:dyDescent="0.3">
      <c r="H22986" t="str">
        <f t="shared" si="408"/>
        <v/>
      </c>
    </row>
    <row r="22987" spans="8:8" x14ac:dyDescent="0.3">
      <c r="H22987" t="str">
        <f t="shared" si="408"/>
        <v/>
      </c>
    </row>
    <row r="22988" spans="8:8" x14ac:dyDescent="0.3">
      <c r="H22988" t="str">
        <f t="shared" si="408"/>
        <v/>
      </c>
    </row>
    <row r="22989" spans="8:8" x14ac:dyDescent="0.3">
      <c r="H22989" t="str">
        <f t="shared" si="408"/>
        <v/>
      </c>
    </row>
    <row r="22990" spans="8:8" x14ac:dyDescent="0.3">
      <c r="H22990" t="str">
        <f t="shared" si="408"/>
        <v/>
      </c>
    </row>
    <row r="22991" spans="8:8" x14ac:dyDescent="0.3">
      <c r="H22991" t="str">
        <f t="shared" si="408"/>
        <v/>
      </c>
    </row>
    <row r="22992" spans="8:8" x14ac:dyDescent="0.3">
      <c r="H22992" t="str">
        <f t="shared" si="408"/>
        <v/>
      </c>
    </row>
    <row r="22993" spans="8:8" x14ac:dyDescent="0.3">
      <c r="H22993" t="str">
        <f t="shared" si="408"/>
        <v/>
      </c>
    </row>
    <row r="22994" spans="8:8" x14ac:dyDescent="0.3">
      <c r="H22994" t="str">
        <f t="shared" si="408"/>
        <v/>
      </c>
    </row>
    <row r="22995" spans="8:8" x14ac:dyDescent="0.3">
      <c r="H22995" t="str">
        <f t="shared" si="408"/>
        <v/>
      </c>
    </row>
    <row r="22996" spans="8:8" x14ac:dyDescent="0.3">
      <c r="H22996" t="str">
        <f t="shared" si="408"/>
        <v/>
      </c>
    </row>
    <row r="22997" spans="8:8" x14ac:dyDescent="0.3">
      <c r="H22997" t="str">
        <f t="shared" si="408"/>
        <v/>
      </c>
    </row>
    <row r="22998" spans="8:8" x14ac:dyDescent="0.3">
      <c r="H22998" t="str">
        <f t="shared" si="408"/>
        <v/>
      </c>
    </row>
    <row r="22999" spans="8:8" x14ac:dyDescent="0.3">
      <c r="H22999" t="str">
        <f t="shared" ref="H22999:H23062" si="409">IF(B22999="","",$C$12)</f>
        <v/>
      </c>
    </row>
    <row r="23000" spans="8:8" x14ac:dyDescent="0.3">
      <c r="H23000" t="str">
        <f t="shared" si="409"/>
        <v/>
      </c>
    </row>
    <row r="23001" spans="8:8" x14ac:dyDescent="0.3">
      <c r="H23001" t="str">
        <f t="shared" si="409"/>
        <v/>
      </c>
    </row>
    <row r="23002" spans="8:8" x14ac:dyDescent="0.3">
      <c r="H23002" t="str">
        <f t="shared" si="409"/>
        <v/>
      </c>
    </row>
    <row r="23003" spans="8:8" x14ac:dyDescent="0.3">
      <c r="H23003" t="str">
        <f t="shared" si="409"/>
        <v/>
      </c>
    </row>
    <row r="23004" spans="8:8" x14ac:dyDescent="0.3">
      <c r="H23004" t="str">
        <f t="shared" si="409"/>
        <v/>
      </c>
    </row>
    <row r="23005" spans="8:8" x14ac:dyDescent="0.3">
      <c r="H23005" t="str">
        <f t="shared" si="409"/>
        <v/>
      </c>
    </row>
    <row r="23006" spans="8:8" x14ac:dyDescent="0.3">
      <c r="H23006" t="str">
        <f t="shared" si="409"/>
        <v/>
      </c>
    </row>
    <row r="23007" spans="8:8" x14ac:dyDescent="0.3">
      <c r="H23007" t="str">
        <f t="shared" si="409"/>
        <v/>
      </c>
    </row>
    <row r="23008" spans="8:8" x14ac:dyDescent="0.3">
      <c r="H23008" t="str">
        <f t="shared" si="409"/>
        <v/>
      </c>
    </row>
    <row r="23009" spans="8:8" x14ac:dyDescent="0.3">
      <c r="H23009" t="str">
        <f t="shared" si="409"/>
        <v/>
      </c>
    </row>
    <row r="23010" spans="8:8" x14ac:dyDescent="0.3">
      <c r="H23010" t="str">
        <f t="shared" si="409"/>
        <v/>
      </c>
    </row>
    <row r="23011" spans="8:8" x14ac:dyDescent="0.3">
      <c r="H23011" t="str">
        <f t="shared" si="409"/>
        <v/>
      </c>
    </row>
    <row r="23012" spans="8:8" x14ac:dyDescent="0.3">
      <c r="H23012" t="str">
        <f t="shared" si="409"/>
        <v/>
      </c>
    </row>
    <row r="23013" spans="8:8" x14ac:dyDescent="0.3">
      <c r="H23013" t="str">
        <f t="shared" si="409"/>
        <v/>
      </c>
    </row>
    <row r="23014" spans="8:8" x14ac:dyDescent="0.3">
      <c r="H23014" t="str">
        <f t="shared" si="409"/>
        <v/>
      </c>
    </row>
    <row r="23015" spans="8:8" x14ac:dyDescent="0.3">
      <c r="H23015" t="str">
        <f t="shared" si="409"/>
        <v/>
      </c>
    </row>
    <row r="23016" spans="8:8" x14ac:dyDescent="0.3">
      <c r="H23016" t="str">
        <f t="shared" si="409"/>
        <v/>
      </c>
    </row>
    <row r="23017" spans="8:8" x14ac:dyDescent="0.3">
      <c r="H23017" t="str">
        <f t="shared" si="409"/>
        <v/>
      </c>
    </row>
    <row r="23018" spans="8:8" x14ac:dyDescent="0.3">
      <c r="H23018" t="str">
        <f t="shared" si="409"/>
        <v/>
      </c>
    </row>
    <row r="23019" spans="8:8" x14ac:dyDescent="0.3">
      <c r="H23019" t="str">
        <f t="shared" si="409"/>
        <v/>
      </c>
    </row>
    <row r="23020" spans="8:8" x14ac:dyDescent="0.3">
      <c r="H23020" t="str">
        <f t="shared" si="409"/>
        <v/>
      </c>
    </row>
    <row r="23021" spans="8:8" x14ac:dyDescent="0.3">
      <c r="H23021" t="str">
        <f t="shared" si="409"/>
        <v/>
      </c>
    </row>
    <row r="23022" spans="8:8" x14ac:dyDescent="0.3">
      <c r="H23022" t="str">
        <f t="shared" si="409"/>
        <v/>
      </c>
    </row>
    <row r="23023" spans="8:8" x14ac:dyDescent="0.3">
      <c r="H23023" t="str">
        <f t="shared" si="409"/>
        <v/>
      </c>
    </row>
    <row r="23024" spans="8:8" x14ac:dyDescent="0.3">
      <c r="H23024" t="str">
        <f t="shared" si="409"/>
        <v/>
      </c>
    </row>
    <row r="23025" spans="8:8" x14ac:dyDescent="0.3">
      <c r="H23025" t="str">
        <f t="shared" si="409"/>
        <v/>
      </c>
    </row>
    <row r="23026" spans="8:8" x14ac:dyDescent="0.3">
      <c r="H23026" t="str">
        <f t="shared" si="409"/>
        <v/>
      </c>
    </row>
    <row r="23027" spans="8:8" x14ac:dyDescent="0.3">
      <c r="H23027" t="str">
        <f t="shared" si="409"/>
        <v/>
      </c>
    </row>
    <row r="23028" spans="8:8" x14ac:dyDescent="0.3">
      <c r="H23028" t="str">
        <f t="shared" si="409"/>
        <v/>
      </c>
    </row>
    <row r="23029" spans="8:8" x14ac:dyDescent="0.3">
      <c r="H23029" t="str">
        <f t="shared" si="409"/>
        <v/>
      </c>
    </row>
    <row r="23030" spans="8:8" x14ac:dyDescent="0.3">
      <c r="H23030" t="str">
        <f t="shared" si="409"/>
        <v/>
      </c>
    </row>
    <row r="23031" spans="8:8" x14ac:dyDescent="0.3">
      <c r="H23031" t="str">
        <f t="shared" si="409"/>
        <v/>
      </c>
    </row>
    <row r="23032" spans="8:8" x14ac:dyDescent="0.3">
      <c r="H23032" t="str">
        <f t="shared" si="409"/>
        <v/>
      </c>
    </row>
    <row r="23033" spans="8:8" x14ac:dyDescent="0.3">
      <c r="H23033" t="str">
        <f t="shared" si="409"/>
        <v/>
      </c>
    </row>
    <row r="23034" spans="8:8" x14ac:dyDescent="0.3">
      <c r="H23034" t="str">
        <f t="shared" si="409"/>
        <v/>
      </c>
    </row>
    <row r="23035" spans="8:8" x14ac:dyDescent="0.3">
      <c r="H23035" t="str">
        <f t="shared" si="409"/>
        <v/>
      </c>
    </row>
    <row r="23036" spans="8:8" x14ac:dyDescent="0.3">
      <c r="H23036" t="str">
        <f t="shared" si="409"/>
        <v/>
      </c>
    </row>
    <row r="23037" spans="8:8" x14ac:dyDescent="0.3">
      <c r="H23037" t="str">
        <f t="shared" si="409"/>
        <v/>
      </c>
    </row>
    <row r="23038" spans="8:8" x14ac:dyDescent="0.3">
      <c r="H23038" t="str">
        <f t="shared" si="409"/>
        <v/>
      </c>
    </row>
    <row r="23039" spans="8:8" x14ac:dyDescent="0.3">
      <c r="H23039" t="str">
        <f t="shared" si="409"/>
        <v/>
      </c>
    </row>
    <row r="23040" spans="8:8" x14ac:dyDescent="0.3">
      <c r="H23040" t="str">
        <f t="shared" si="409"/>
        <v/>
      </c>
    </row>
    <row r="23041" spans="8:8" x14ac:dyDescent="0.3">
      <c r="H23041" t="str">
        <f t="shared" si="409"/>
        <v/>
      </c>
    </row>
    <row r="23042" spans="8:8" x14ac:dyDescent="0.3">
      <c r="H23042" t="str">
        <f t="shared" si="409"/>
        <v/>
      </c>
    </row>
    <row r="23043" spans="8:8" x14ac:dyDescent="0.3">
      <c r="H23043" t="str">
        <f t="shared" si="409"/>
        <v/>
      </c>
    </row>
    <row r="23044" spans="8:8" x14ac:dyDescent="0.3">
      <c r="H23044" t="str">
        <f t="shared" si="409"/>
        <v/>
      </c>
    </row>
    <row r="23045" spans="8:8" x14ac:dyDescent="0.3">
      <c r="H23045" t="str">
        <f t="shared" si="409"/>
        <v/>
      </c>
    </row>
    <row r="23046" spans="8:8" x14ac:dyDescent="0.3">
      <c r="H23046" t="str">
        <f t="shared" si="409"/>
        <v/>
      </c>
    </row>
    <row r="23047" spans="8:8" x14ac:dyDescent="0.3">
      <c r="H23047" t="str">
        <f t="shared" si="409"/>
        <v/>
      </c>
    </row>
    <row r="23048" spans="8:8" x14ac:dyDescent="0.3">
      <c r="H23048" t="str">
        <f t="shared" si="409"/>
        <v/>
      </c>
    </row>
    <row r="23049" spans="8:8" x14ac:dyDescent="0.3">
      <c r="H23049" t="str">
        <f t="shared" si="409"/>
        <v/>
      </c>
    </row>
    <row r="23050" spans="8:8" x14ac:dyDescent="0.3">
      <c r="H23050" t="str">
        <f t="shared" si="409"/>
        <v/>
      </c>
    </row>
    <row r="23051" spans="8:8" x14ac:dyDescent="0.3">
      <c r="H23051" t="str">
        <f t="shared" si="409"/>
        <v/>
      </c>
    </row>
    <row r="23052" spans="8:8" x14ac:dyDescent="0.3">
      <c r="H23052" t="str">
        <f t="shared" si="409"/>
        <v/>
      </c>
    </row>
    <row r="23053" spans="8:8" x14ac:dyDescent="0.3">
      <c r="H23053" t="str">
        <f t="shared" si="409"/>
        <v/>
      </c>
    </row>
    <row r="23054" spans="8:8" x14ac:dyDescent="0.3">
      <c r="H23054" t="str">
        <f t="shared" si="409"/>
        <v/>
      </c>
    </row>
    <row r="23055" spans="8:8" x14ac:dyDescent="0.3">
      <c r="H23055" t="str">
        <f t="shared" si="409"/>
        <v/>
      </c>
    </row>
    <row r="23056" spans="8:8" x14ac:dyDescent="0.3">
      <c r="H23056" t="str">
        <f t="shared" si="409"/>
        <v/>
      </c>
    </row>
    <row r="23057" spans="8:8" x14ac:dyDescent="0.3">
      <c r="H23057" t="str">
        <f t="shared" si="409"/>
        <v/>
      </c>
    </row>
    <row r="23058" spans="8:8" x14ac:dyDescent="0.3">
      <c r="H23058" t="str">
        <f t="shared" si="409"/>
        <v/>
      </c>
    </row>
    <row r="23059" spans="8:8" x14ac:dyDescent="0.3">
      <c r="H23059" t="str">
        <f t="shared" si="409"/>
        <v/>
      </c>
    </row>
    <row r="23060" spans="8:8" x14ac:dyDescent="0.3">
      <c r="H23060" t="str">
        <f t="shared" si="409"/>
        <v/>
      </c>
    </row>
    <row r="23061" spans="8:8" x14ac:dyDescent="0.3">
      <c r="H23061" t="str">
        <f t="shared" si="409"/>
        <v/>
      </c>
    </row>
    <row r="23062" spans="8:8" x14ac:dyDescent="0.3">
      <c r="H23062" t="str">
        <f t="shared" si="409"/>
        <v/>
      </c>
    </row>
    <row r="23063" spans="8:8" x14ac:dyDescent="0.3">
      <c r="H23063" t="str">
        <f t="shared" ref="H23063:H23126" si="410">IF(B23063="","",$C$12)</f>
        <v/>
      </c>
    </row>
    <row r="23064" spans="8:8" x14ac:dyDescent="0.3">
      <c r="H23064" t="str">
        <f t="shared" si="410"/>
        <v/>
      </c>
    </row>
    <row r="23065" spans="8:8" x14ac:dyDescent="0.3">
      <c r="H23065" t="str">
        <f t="shared" si="410"/>
        <v/>
      </c>
    </row>
    <row r="23066" spans="8:8" x14ac:dyDescent="0.3">
      <c r="H23066" t="str">
        <f t="shared" si="410"/>
        <v/>
      </c>
    </row>
    <row r="23067" spans="8:8" x14ac:dyDescent="0.3">
      <c r="H23067" t="str">
        <f t="shared" si="410"/>
        <v/>
      </c>
    </row>
    <row r="23068" spans="8:8" x14ac:dyDescent="0.3">
      <c r="H23068" t="str">
        <f t="shared" si="410"/>
        <v/>
      </c>
    </row>
    <row r="23069" spans="8:8" x14ac:dyDescent="0.3">
      <c r="H23069" t="str">
        <f t="shared" si="410"/>
        <v/>
      </c>
    </row>
    <row r="23070" spans="8:8" x14ac:dyDescent="0.3">
      <c r="H23070" t="str">
        <f t="shared" si="410"/>
        <v/>
      </c>
    </row>
    <row r="23071" spans="8:8" x14ac:dyDescent="0.3">
      <c r="H23071" t="str">
        <f t="shared" si="410"/>
        <v/>
      </c>
    </row>
    <row r="23072" spans="8:8" x14ac:dyDescent="0.3">
      <c r="H23072" t="str">
        <f t="shared" si="410"/>
        <v/>
      </c>
    </row>
    <row r="23073" spans="8:8" x14ac:dyDescent="0.3">
      <c r="H23073" t="str">
        <f t="shared" si="410"/>
        <v/>
      </c>
    </row>
    <row r="23074" spans="8:8" x14ac:dyDescent="0.3">
      <c r="H23074" t="str">
        <f t="shared" si="410"/>
        <v/>
      </c>
    </row>
    <row r="23075" spans="8:8" x14ac:dyDescent="0.3">
      <c r="H23075" t="str">
        <f t="shared" si="410"/>
        <v/>
      </c>
    </row>
    <row r="23076" spans="8:8" x14ac:dyDescent="0.3">
      <c r="H23076" t="str">
        <f t="shared" si="410"/>
        <v/>
      </c>
    </row>
    <row r="23077" spans="8:8" x14ac:dyDescent="0.3">
      <c r="H23077" t="str">
        <f t="shared" si="410"/>
        <v/>
      </c>
    </row>
    <row r="23078" spans="8:8" x14ac:dyDescent="0.3">
      <c r="H23078" t="str">
        <f t="shared" si="410"/>
        <v/>
      </c>
    </row>
    <row r="23079" spans="8:8" x14ac:dyDescent="0.3">
      <c r="H23079" t="str">
        <f t="shared" si="410"/>
        <v/>
      </c>
    </row>
    <row r="23080" spans="8:8" x14ac:dyDescent="0.3">
      <c r="H23080" t="str">
        <f t="shared" si="410"/>
        <v/>
      </c>
    </row>
    <row r="23081" spans="8:8" x14ac:dyDescent="0.3">
      <c r="H23081" t="str">
        <f t="shared" si="410"/>
        <v/>
      </c>
    </row>
    <row r="23082" spans="8:8" x14ac:dyDescent="0.3">
      <c r="H23082" t="str">
        <f t="shared" si="410"/>
        <v/>
      </c>
    </row>
    <row r="23083" spans="8:8" x14ac:dyDescent="0.3">
      <c r="H23083" t="str">
        <f t="shared" si="410"/>
        <v/>
      </c>
    </row>
    <row r="23084" spans="8:8" x14ac:dyDescent="0.3">
      <c r="H23084" t="str">
        <f t="shared" si="410"/>
        <v/>
      </c>
    </row>
    <row r="23085" spans="8:8" x14ac:dyDescent="0.3">
      <c r="H23085" t="str">
        <f t="shared" si="410"/>
        <v/>
      </c>
    </row>
    <row r="23086" spans="8:8" x14ac:dyDescent="0.3">
      <c r="H23086" t="str">
        <f t="shared" si="410"/>
        <v/>
      </c>
    </row>
    <row r="23087" spans="8:8" x14ac:dyDescent="0.3">
      <c r="H23087" t="str">
        <f t="shared" si="410"/>
        <v/>
      </c>
    </row>
    <row r="23088" spans="8:8" x14ac:dyDescent="0.3">
      <c r="H23088" t="str">
        <f t="shared" si="410"/>
        <v/>
      </c>
    </row>
    <row r="23089" spans="8:8" x14ac:dyDescent="0.3">
      <c r="H23089" t="str">
        <f t="shared" si="410"/>
        <v/>
      </c>
    </row>
    <row r="23090" spans="8:8" x14ac:dyDescent="0.3">
      <c r="H23090" t="str">
        <f t="shared" si="410"/>
        <v/>
      </c>
    </row>
    <row r="23091" spans="8:8" x14ac:dyDescent="0.3">
      <c r="H23091" t="str">
        <f t="shared" si="410"/>
        <v/>
      </c>
    </row>
    <row r="23092" spans="8:8" x14ac:dyDescent="0.3">
      <c r="H23092" t="str">
        <f t="shared" si="410"/>
        <v/>
      </c>
    </row>
    <row r="23093" spans="8:8" x14ac:dyDescent="0.3">
      <c r="H23093" t="str">
        <f t="shared" si="410"/>
        <v/>
      </c>
    </row>
    <row r="23094" spans="8:8" x14ac:dyDescent="0.3">
      <c r="H23094" t="str">
        <f t="shared" si="410"/>
        <v/>
      </c>
    </row>
    <row r="23095" spans="8:8" x14ac:dyDescent="0.3">
      <c r="H23095" t="str">
        <f t="shared" si="410"/>
        <v/>
      </c>
    </row>
    <row r="23096" spans="8:8" x14ac:dyDescent="0.3">
      <c r="H23096" t="str">
        <f t="shared" si="410"/>
        <v/>
      </c>
    </row>
    <row r="23097" spans="8:8" x14ac:dyDescent="0.3">
      <c r="H23097" t="str">
        <f t="shared" si="410"/>
        <v/>
      </c>
    </row>
    <row r="23098" spans="8:8" x14ac:dyDescent="0.3">
      <c r="H23098" t="str">
        <f t="shared" si="410"/>
        <v/>
      </c>
    </row>
    <row r="23099" spans="8:8" x14ac:dyDescent="0.3">
      <c r="H23099" t="str">
        <f t="shared" si="410"/>
        <v/>
      </c>
    </row>
    <row r="23100" spans="8:8" x14ac:dyDescent="0.3">
      <c r="H23100" t="str">
        <f t="shared" si="410"/>
        <v/>
      </c>
    </row>
    <row r="23101" spans="8:8" x14ac:dyDescent="0.3">
      <c r="H23101" t="str">
        <f t="shared" si="410"/>
        <v/>
      </c>
    </row>
    <row r="23102" spans="8:8" x14ac:dyDescent="0.3">
      <c r="H23102" t="str">
        <f t="shared" si="410"/>
        <v/>
      </c>
    </row>
    <row r="23103" spans="8:8" x14ac:dyDescent="0.3">
      <c r="H23103" t="str">
        <f t="shared" si="410"/>
        <v/>
      </c>
    </row>
    <row r="23104" spans="8:8" x14ac:dyDescent="0.3">
      <c r="H23104" t="str">
        <f t="shared" si="410"/>
        <v/>
      </c>
    </row>
    <row r="23105" spans="8:8" x14ac:dyDescent="0.3">
      <c r="H23105" t="str">
        <f t="shared" si="410"/>
        <v/>
      </c>
    </row>
    <row r="23106" spans="8:8" x14ac:dyDescent="0.3">
      <c r="H23106" t="str">
        <f t="shared" si="410"/>
        <v/>
      </c>
    </row>
    <row r="23107" spans="8:8" x14ac:dyDescent="0.3">
      <c r="H23107" t="str">
        <f t="shared" si="410"/>
        <v/>
      </c>
    </row>
    <row r="23108" spans="8:8" x14ac:dyDescent="0.3">
      <c r="H23108" t="str">
        <f t="shared" si="410"/>
        <v/>
      </c>
    </row>
    <row r="23109" spans="8:8" x14ac:dyDescent="0.3">
      <c r="H23109" t="str">
        <f t="shared" si="410"/>
        <v/>
      </c>
    </row>
    <row r="23110" spans="8:8" x14ac:dyDescent="0.3">
      <c r="H23110" t="str">
        <f t="shared" si="410"/>
        <v/>
      </c>
    </row>
    <row r="23111" spans="8:8" x14ac:dyDescent="0.3">
      <c r="H23111" t="str">
        <f t="shared" si="410"/>
        <v/>
      </c>
    </row>
    <row r="23112" spans="8:8" x14ac:dyDescent="0.3">
      <c r="H23112" t="str">
        <f t="shared" si="410"/>
        <v/>
      </c>
    </row>
    <row r="23113" spans="8:8" x14ac:dyDescent="0.3">
      <c r="H23113" t="str">
        <f t="shared" si="410"/>
        <v/>
      </c>
    </row>
    <row r="23114" spans="8:8" x14ac:dyDescent="0.3">
      <c r="H23114" t="str">
        <f t="shared" si="410"/>
        <v/>
      </c>
    </row>
    <row r="23115" spans="8:8" x14ac:dyDescent="0.3">
      <c r="H23115" t="str">
        <f t="shared" si="410"/>
        <v/>
      </c>
    </row>
    <row r="23116" spans="8:8" x14ac:dyDescent="0.3">
      <c r="H23116" t="str">
        <f t="shared" si="410"/>
        <v/>
      </c>
    </row>
    <row r="23117" spans="8:8" x14ac:dyDescent="0.3">
      <c r="H23117" t="str">
        <f t="shared" si="410"/>
        <v/>
      </c>
    </row>
    <row r="23118" spans="8:8" x14ac:dyDescent="0.3">
      <c r="H23118" t="str">
        <f t="shared" si="410"/>
        <v/>
      </c>
    </row>
    <row r="23119" spans="8:8" x14ac:dyDescent="0.3">
      <c r="H23119" t="str">
        <f t="shared" si="410"/>
        <v/>
      </c>
    </row>
    <row r="23120" spans="8:8" x14ac:dyDescent="0.3">
      <c r="H23120" t="str">
        <f t="shared" si="410"/>
        <v/>
      </c>
    </row>
    <row r="23121" spans="8:8" x14ac:dyDescent="0.3">
      <c r="H23121" t="str">
        <f t="shared" si="410"/>
        <v/>
      </c>
    </row>
    <row r="23122" spans="8:8" x14ac:dyDescent="0.3">
      <c r="H23122" t="str">
        <f t="shared" si="410"/>
        <v/>
      </c>
    </row>
    <row r="23123" spans="8:8" x14ac:dyDescent="0.3">
      <c r="H23123" t="str">
        <f t="shared" si="410"/>
        <v/>
      </c>
    </row>
    <row r="23124" spans="8:8" x14ac:dyDescent="0.3">
      <c r="H23124" t="str">
        <f t="shared" si="410"/>
        <v/>
      </c>
    </row>
    <row r="23125" spans="8:8" x14ac:dyDescent="0.3">
      <c r="H23125" t="str">
        <f t="shared" si="410"/>
        <v/>
      </c>
    </row>
    <row r="23126" spans="8:8" x14ac:dyDescent="0.3">
      <c r="H23126" t="str">
        <f t="shared" si="410"/>
        <v/>
      </c>
    </row>
    <row r="23127" spans="8:8" x14ac:dyDescent="0.3">
      <c r="H23127" t="str">
        <f t="shared" ref="H23127:H23190" si="411">IF(B23127="","",$C$12)</f>
        <v/>
      </c>
    </row>
    <row r="23128" spans="8:8" x14ac:dyDescent="0.3">
      <c r="H23128" t="str">
        <f t="shared" si="411"/>
        <v/>
      </c>
    </row>
    <row r="23129" spans="8:8" x14ac:dyDescent="0.3">
      <c r="H23129" t="str">
        <f t="shared" si="411"/>
        <v/>
      </c>
    </row>
    <row r="23130" spans="8:8" x14ac:dyDescent="0.3">
      <c r="H23130" t="str">
        <f t="shared" si="411"/>
        <v/>
      </c>
    </row>
    <row r="23131" spans="8:8" x14ac:dyDescent="0.3">
      <c r="H23131" t="str">
        <f t="shared" si="411"/>
        <v/>
      </c>
    </row>
    <row r="23132" spans="8:8" x14ac:dyDescent="0.3">
      <c r="H23132" t="str">
        <f t="shared" si="411"/>
        <v/>
      </c>
    </row>
    <row r="23133" spans="8:8" x14ac:dyDescent="0.3">
      <c r="H23133" t="str">
        <f t="shared" si="411"/>
        <v/>
      </c>
    </row>
    <row r="23134" spans="8:8" x14ac:dyDescent="0.3">
      <c r="H23134" t="str">
        <f t="shared" si="411"/>
        <v/>
      </c>
    </row>
    <row r="23135" spans="8:8" x14ac:dyDescent="0.3">
      <c r="H23135" t="str">
        <f t="shared" si="411"/>
        <v/>
      </c>
    </row>
    <row r="23136" spans="8:8" x14ac:dyDescent="0.3">
      <c r="H23136" t="str">
        <f t="shared" si="411"/>
        <v/>
      </c>
    </row>
    <row r="23137" spans="8:8" x14ac:dyDescent="0.3">
      <c r="H23137" t="str">
        <f t="shared" si="411"/>
        <v/>
      </c>
    </row>
    <row r="23138" spans="8:8" x14ac:dyDescent="0.3">
      <c r="H23138" t="str">
        <f t="shared" si="411"/>
        <v/>
      </c>
    </row>
    <row r="23139" spans="8:8" x14ac:dyDescent="0.3">
      <c r="H23139" t="str">
        <f t="shared" si="411"/>
        <v/>
      </c>
    </row>
    <row r="23140" spans="8:8" x14ac:dyDescent="0.3">
      <c r="H23140" t="str">
        <f t="shared" si="411"/>
        <v/>
      </c>
    </row>
    <row r="23141" spans="8:8" x14ac:dyDescent="0.3">
      <c r="H23141" t="str">
        <f t="shared" si="411"/>
        <v/>
      </c>
    </row>
    <row r="23142" spans="8:8" x14ac:dyDescent="0.3">
      <c r="H23142" t="str">
        <f t="shared" si="411"/>
        <v/>
      </c>
    </row>
    <row r="23143" spans="8:8" x14ac:dyDescent="0.3">
      <c r="H23143" t="str">
        <f t="shared" si="411"/>
        <v/>
      </c>
    </row>
    <row r="23144" spans="8:8" x14ac:dyDescent="0.3">
      <c r="H23144" t="str">
        <f t="shared" si="411"/>
        <v/>
      </c>
    </row>
    <row r="23145" spans="8:8" x14ac:dyDescent="0.3">
      <c r="H23145" t="str">
        <f t="shared" si="411"/>
        <v/>
      </c>
    </row>
    <row r="23146" spans="8:8" x14ac:dyDescent="0.3">
      <c r="H23146" t="str">
        <f t="shared" si="411"/>
        <v/>
      </c>
    </row>
    <row r="23147" spans="8:8" x14ac:dyDescent="0.3">
      <c r="H23147" t="str">
        <f t="shared" si="411"/>
        <v/>
      </c>
    </row>
    <row r="23148" spans="8:8" x14ac:dyDescent="0.3">
      <c r="H23148" t="str">
        <f t="shared" si="411"/>
        <v/>
      </c>
    </row>
    <row r="23149" spans="8:8" x14ac:dyDescent="0.3">
      <c r="H23149" t="str">
        <f t="shared" si="411"/>
        <v/>
      </c>
    </row>
    <row r="23150" spans="8:8" x14ac:dyDescent="0.3">
      <c r="H23150" t="str">
        <f t="shared" si="411"/>
        <v/>
      </c>
    </row>
    <row r="23151" spans="8:8" x14ac:dyDescent="0.3">
      <c r="H23151" t="str">
        <f t="shared" si="411"/>
        <v/>
      </c>
    </row>
    <row r="23152" spans="8:8" x14ac:dyDescent="0.3">
      <c r="H23152" t="str">
        <f t="shared" si="411"/>
        <v/>
      </c>
    </row>
    <row r="23153" spans="8:8" x14ac:dyDescent="0.3">
      <c r="H23153" t="str">
        <f t="shared" si="411"/>
        <v/>
      </c>
    </row>
    <row r="23154" spans="8:8" x14ac:dyDescent="0.3">
      <c r="H23154" t="str">
        <f t="shared" si="411"/>
        <v/>
      </c>
    </row>
    <row r="23155" spans="8:8" x14ac:dyDescent="0.3">
      <c r="H23155" t="str">
        <f t="shared" si="411"/>
        <v/>
      </c>
    </row>
    <row r="23156" spans="8:8" x14ac:dyDescent="0.3">
      <c r="H23156" t="str">
        <f t="shared" si="411"/>
        <v/>
      </c>
    </row>
    <row r="23157" spans="8:8" x14ac:dyDescent="0.3">
      <c r="H23157" t="str">
        <f t="shared" si="411"/>
        <v/>
      </c>
    </row>
    <row r="23158" spans="8:8" x14ac:dyDescent="0.3">
      <c r="H23158" t="str">
        <f t="shared" si="411"/>
        <v/>
      </c>
    </row>
    <row r="23159" spans="8:8" x14ac:dyDescent="0.3">
      <c r="H23159" t="str">
        <f t="shared" si="411"/>
        <v/>
      </c>
    </row>
    <row r="23160" spans="8:8" x14ac:dyDescent="0.3">
      <c r="H23160" t="str">
        <f t="shared" si="411"/>
        <v/>
      </c>
    </row>
    <row r="23161" spans="8:8" x14ac:dyDescent="0.3">
      <c r="H23161" t="str">
        <f t="shared" si="411"/>
        <v/>
      </c>
    </row>
    <row r="23162" spans="8:8" x14ac:dyDescent="0.3">
      <c r="H23162" t="str">
        <f t="shared" si="411"/>
        <v/>
      </c>
    </row>
    <row r="23163" spans="8:8" x14ac:dyDescent="0.3">
      <c r="H23163" t="str">
        <f t="shared" si="411"/>
        <v/>
      </c>
    </row>
    <row r="23164" spans="8:8" x14ac:dyDescent="0.3">
      <c r="H23164" t="str">
        <f t="shared" si="411"/>
        <v/>
      </c>
    </row>
    <row r="23165" spans="8:8" x14ac:dyDescent="0.3">
      <c r="H23165" t="str">
        <f t="shared" si="411"/>
        <v/>
      </c>
    </row>
    <row r="23166" spans="8:8" x14ac:dyDescent="0.3">
      <c r="H23166" t="str">
        <f t="shared" si="411"/>
        <v/>
      </c>
    </row>
    <row r="23167" spans="8:8" x14ac:dyDescent="0.3">
      <c r="H23167" t="str">
        <f t="shared" si="411"/>
        <v/>
      </c>
    </row>
    <row r="23168" spans="8:8" x14ac:dyDescent="0.3">
      <c r="H23168" t="str">
        <f t="shared" si="411"/>
        <v/>
      </c>
    </row>
    <row r="23169" spans="8:8" x14ac:dyDescent="0.3">
      <c r="H23169" t="str">
        <f t="shared" si="411"/>
        <v/>
      </c>
    </row>
    <row r="23170" spans="8:8" x14ac:dyDescent="0.3">
      <c r="H23170" t="str">
        <f t="shared" si="411"/>
        <v/>
      </c>
    </row>
    <row r="23171" spans="8:8" x14ac:dyDescent="0.3">
      <c r="H23171" t="str">
        <f t="shared" si="411"/>
        <v/>
      </c>
    </row>
    <row r="23172" spans="8:8" x14ac:dyDescent="0.3">
      <c r="H23172" t="str">
        <f t="shared" si="411"/>
        <v/>
      </c>
    </row>
    <row r="23173" spans="8:8" x14ac:dyDescent="0.3">
      <c r="H23173" t="str">
        <f t="shared" si="411"/>
        <v/>
      </c>
    </row>
    <row r="23174" spans="8:8" x14ac:dyDescent="0.3">
      <c r="H23174" t="str">
        <f t="shared" si="411"/>
        <v/>
      </c>
    </row>
    <row r="23175" spans="8:8" x14ac:dyDescent="0.3">
      <c r="H23175" t="str">
        <f t="shared" si="411"/>
        <v/>
      </c>
    </row>
    <row r="23176" spans="8:8" x14ac:dyDescent="0.3">
      <c r="H23176" t="str">
        <f t="shared" si="411"/>
        <v/>
      </c>
    </row>
    <row r="23177" spans="8:8" x14ac:dyDescent="0.3">
      <c r="H23177" t="str">
        <f t="shared" si="411"/>
        <v/>
      </c>
    </row>
    <row r="23178" spans="8:8" x14ac:dyDescent="0.3">
      <c r="H23178" t="str">
        <f t="shared" si="411"/>
        <v/>
      </c>
    </row>
    <row r="23179" spans="8:8" x14ac:dyDescent="0.3">
      <c r="H23179" t="str">
        <f t="shared" si="411"/>
        <v/>
      </c>
    </row>
    <row r="23180" spans="8:8" x14ac:dyDescent="0.3">
      <c r="H23180" t="str">
        <f t="shared" si="411"/>
        <v/>
      </c>
    </row>
    <row r="23181" spans="8:8" x14ac:dyDescent="0.3">
      <c r="H23181" t="str">
        <f t="shared" si="411"/>
        <v/>
      </c>
    </row>
    <row r="23182" spans="8:8" x14ac:dyDescent="0.3">
      <c r="H23182" t="str">
        <f t="shared" si="411"/>
        <v/>
      </c>
    </row>
    <row r="23183" spans="8:8" x14ac:dyDescent="0.3">
      <c r="H23183" t="str">
        <f t="shared" si="411"/>
        <v/>
      </c>
    </row>
    <row r="23184" spans="8:8" x14ac:dyDescent="0.3">
      <c r="H23184" t="str">
        <f t="shared" si="411"/>
        <v/>
      </c>
    </row>
    <row r="23185" spans="8:8" x14ac:dyDescent="0.3">
      <c r="H23185" t="str">
        <f t="shared" si="411"/>
        <v/>
      </c>
    </row>
    <row r="23186" spans="8:8" x14ac:dyDescent="0.3">
      <c r="H23186" t="str">
        <f t="shared" si="411"/>
        <v/>
      </c>
    </row>
    <row r="23187" spans="8:8" x14ac:dyDescent="0.3">
      <c r="H23187" t="str">
        <f t="shared" si="411"/>
        <v/>
      </c>
    </row>
    <row r="23188" spans="8:8" x14ac:dyDescent="0.3">
      <c r="H23188" t="str">
        <f t="shared" si="411"/>
        <v/>
      </c>
    </row>
    <row r="23189" spans="8:8" x14ac:dyDescent="0.3">
      <c r="H23189" t="str">
        <f t="shared" si="411"/>
        <v/>
      </c>
    </row>
    <row r="23190" spans="8:8" x14ac:dyDescent="0.3">
      <c r="H23190" t="str">
        <f t="shared" si="411"/>
        <v/>
      </c>
    </row>
    <row r="23191" spans="8:8" x14ac:dyDescent="0.3">
      <c r="H23191" t="str">
        <f t="shared" ref="H23191:H23254" si="412">IF(B23191="","",$C$12)</f>
        <v/>
      </c>
    </row>
    <row r="23192" spans="8:8" x14ac:dyDescent="0.3">
      <c r="H23192" t="str">
        <f t="shared" si="412"/>
        <v/>
      </c>
    </row>
    <row r="23193" spans="8:8" x14ac:dyDescent="0.3">
      <c r="H23193" t="str">
        <f t="shared" si="412"/>
        <v/>
      </c>
    </row>
    <row r="23194" spans="8:8" x14ac:dyDescent="0.3">
      <c r="H23194" t="str">
        <f t="shared" si="412"/>
        <v/>
      </c>
    </row>
    <row r="23195" spans="8:8" x14ac:dyDescent="0.3">
      <c r="H23195" t="str">
        <f t="shared" si="412"/>
        <v/>
      </c>
    </row>
    <row r="23196" spans="8:8" x14ac:dyDescent="0.3">
      <c r="H23196" t="str">
        <f t="shared" si="412"/>
        <v/>
      </c>
    </row>
    <row r="23197" spans="8:8" x14ac:dyDescent="0.3">
      <c r="H23197" t="str">
        <f t="shared" si="412"/>
        <v/>
      </c>
    </row>
    <row r="23198" spans="8:8" x14ac:dyDescent="0.3">
      <c r="H23198" t="str">
        <f t="shared" si="412"/>
        <v/>
      </c>
    </row>
    <row r="23199" spans="8:8" x14ac:dyDescent="0.3">
      <c r="H23199" t="str">
        <f t="shared" si="412"/>
        <v/>
      </c>
    </row>
    <row r="23200" spans="8:8" x14ac:dyDescent="0.3">
      <c r="H23200" t="str">
        <f t="shared" si="412"/>
        <v/>
      </c>
    </row>
    <row r="23201" spans="8:8" x14ac:dyDescent="0.3">
      <c r="H23201" t="str">
        <f t="shared" si="412"/>
        <v/>
      </c>
    </row>
    <row r="23202" spans="8:8" x14ac:dyDescent="0.3">
      <c r="H23202" t="str">
        <f t="shared" si="412"/>
        <v/>
      </c>
    </row>
    <row r="23203" spans="8:8" x14ac:dyDescent="0.3">
      <c r="H23203" t="str">
        <f t="shared" si="412"/>
        <v/>
      </c>
    </row>
    <row r="23204" spans="8:8" x14ac:dyDescent="0.3">
      <c r="H23204" t="str">
        <f t="shared" si="412"/>
        <v/>
      </c>
    </row>
    <row r="23205" spans="8:8" x14ac:dyDescent="0.3">
      <c r="H23205" t="str">
        <f t="shared" si="412"/>
        <v/>
      </c>
    </row>
    <row r="23206" spans="8:8" x14ac:dyDescent="0.3">
      <c r="H23206" t="str">
        <f t="shared" si="412"/>
        <v/>
      </c>
    </row>
    <row r="23207" spans="8:8" x14ac:dyDescent="0.3">
      <c r="H23207" t="str">
        <f t="shared" si="412"/>
        <v/>
      </c>
    </row>
    <row r="23208" spans="8:8" x14ac:dyDescent="0.3">
      <c r="H23208" t="str">
        <f t="shared" si="412"/>
        <v/>
      </c>
    </row>
    <row r="23209" spans="8:8" x14ac:dyDescent="0.3">
      <c r="H23209" t="str">
        <f t="shared" si="412"/>
        <v/>
      </c>
    </row>
    <row r="23210" spans="8:8" x14ac:dyDescent="0.3">
      <c r="H23210" t="str">
        <f t="shared" si="412"/>
        <v/>
      </c>
    </row>
    <row r="23211" spans="8:8" x14ac:dyDescent="0.3">
      <c r="H23211" t="str">
        <f t="shared" si="412"/>
        <v/>
      </c>
    </row>
    <row r="23212" spans="8:8" x14ac:dyDescent="0.3">
      <c r="H23212" t="str">
        <f t="shared" si="412"/>
        <v/>
      </c>
    </row>
    <row r="23213" spans="8:8" x14ac:dyDescent="0.3">
      <c r="H23213" t="str">
        <f t="shared" si="412"/>
        <v/>
      </c>
    </row>
    <row r="23214" spans="8:8" x14ac:dyDescent="0.3">
      <c r="H23214" t="str">
        <f t="shared" si="412"/>
        <v/>
      </c>
    </row>
    <row r="23215" spans="8:8" x14ac:dyDescent="0.3">
      <c r="H23215" t="str">
        <f t="shared" si="412"/>
        <v/>
      </c>
    </row>
    <row r="23216" spans="8:8" x14ac:dyDescent="0.3">
      <c r="H23216" t="str">
        <f t="shared" si="412"/>
        <v/>
      </c>
    </row>
    <row r="23217" spans="8:8" x14ac:dyDescent="0.3">
      <c r="H23217" t="str">
        <f t="shared" si="412"/>
        <v/>
      </c>
    </row>
    <row r="23218" spans="8:8" x14ac:dyDescent="0.3">
      <c r="H23218" t="str">
        <f t="shared" si="412"/>
        <v/>
      </c>
    </row>
    <row r="23219" spans="8:8" x14ac:dyDescent="0.3">
      <c r="H23219" t="str">
        <f t="shared" si="412"/>
        <v/>
      </c>
    </row>
    <row r="23220" spans="8:8" x14ac:dyDescent="0.3">
      <c r="H23220" t="str">
        <f t="shared" si="412"/>
        <v/>
      </c>
    </row>
    <row r="23221" spans="8:8" x14ac:dyDescent="0.3">
      <c r="H23221" t="str">
        <f t="shared" si="412"/>
        <v/>
      </c>
    </row>
    <row r="23222" spans="8:8" x14ac:dyDescent="0.3">
      <c r="H23222" t="str">
        <f t="shared" si="412"/>
        <v/>
      </c>
    </row>
    <row r="23223" spans="8:8" x14ac:dyDescent="0.3">
      <c r="H23223" t="str">
        <f t="shared" si="412"/>
        <v/>
      </c>
    </row>
    <row r="23224" spans="8:8" x14ac:dyDescent="0.3">
      <c r="H23224" t="str">
        <f t="shared" si="412"/>
        <v/>
      </c>
    </row>
    <row r="23225" spans="8:8" x14ac:dyDescent="0.3">
      <c r="H23225" t="str">
        <f t="shared" si="412"/>
        <v/>
      </c>
    </row>
    <row r="23226" spans="8:8" x14ac:dyDescent="0.3">
      <c r="H23226" t="str">
        <f t="shared" si="412"/>
        <v/>
      </c>
    </row>
    <row r="23227" spans="8:8" x14ac:dyDescent="0.3">
      <c r="H23227" t="str">
        <f t="shared" si="412"/>
        <v/>
      </c>
    </row>
    <row r="23228" spans="8:8" x14ac:dyDescent="0.3">
      <c r="H23228" t="str">
        <f t="shared" si="412"/>
        <v/>
      </c>
    </row>
    <row r="23229" spans="8:8" x14ac:dyDescent="0.3">
      <c r="H23229" t="str">
        <f t="shared" si="412"/>
        <v/>
      </c>
    </row>
    <row r="23230" spans="8:8" x14ac:dyDescent="0.3">
      <c r="H23230" t="str">
        <f t="shared" si="412"/>
        <v/>
      </c>
    </row>
    <row r="23231" spans="8:8" x14ac:dyDescent="0.3">
      <c r="H23231" t="str">
        <f t="shared" si="412"/>
        <v/>
      </c>
    </row>
    <row r="23232" spans="8:8" x14ac:dyDescent="0.3">
      <c r="H23232" t="str">
        <f t="shared" si="412"/>
        <v/>
      </c>
    </row>
    <row r="23233" spans="8:8" x14ac:dyDescent="0.3">
      <c r="H23233" t="str">
        <f t="shared" si="412"/>
        <v/>
      </c>
    </row>
    <row r="23234" spans="8:8" x14ac:dyDescent="0.3">
      <c r="H23234" t="str">
        <f t="shared" si="412"/>
        <v/>
      </c>
    </row>
    <row r="23235" spans="8:8" x14ac:dyDescent="0.3">
      <c r="H23235" t="str">
        <f t="shared" si="412"/>
        <v/>
      </c>
    </row>
    <row r="23236" spans="8:8" x14ac:dyDescent="0.3">
      <c r="H23236" t="str">
        <f t="shared" si="412"/>
        <v/>
      </c>
    </row>
    <row r="23237" spans="8:8" x14ac:dyDescent="0.3">
      <c r="H23237" t="str">
        <f t="shared" si="412"/>
        <v/>
      </c>
    </row>
    <row r="23238" spans="8:8" x14ac:dyDescent="0.3">
      <c r="H23238" t="str">
        <f t="shared" si="412"/>
        <v/>
      </c>
    </row>
    <row r="23239" spans="8:8" x14ac:dyDescent="0.3">
      <c r="H23239" t="str">
        <f t="shared" si="412"/>
        <v/>
      </c>
    </row>
    <row r="23240" spans="8:8" x14ac:dyDescent="0.3">
      <c r="H23240" t="str">
        <f t="shared" si="412"/>
        <v/>
      </c>
    </row>
    <row r="23241" spans="8:8" x14ac:dyDescent="0.3">
      <c r="H23241" t="str">
        <f t="shared" si="412"/>
        <v/>
      </c>
    </row>
    <row r="23242" spans="8:8" x14ac:dyDescent="0.3">
      <c r="H23242" t="str">
        <f t="shared" si="412"/>
        <v/>
      </c>
    </row>
    <row r="23243" spans="8:8" x14ac:dyDescent="0.3">
      <c r="H23243" t="str">
        <f t="shared" si="412"/>
        <v/>
      </c>
    </row>
    <row r="23244" spans="8:8" x14ac:dyDescent="0.3">
      <c r="H23244" t="str">
        <f t="shared" si="412"/>
        <v/>
      </c>
    </row>
    <row r="23245" spans="8:8" x14ac:dyDescent="0.3">
      <c r="H23245" t="str">
        <f t="shared" si="412"/>
        <v/>
      </c>
    </row>
    <row r="23246" spans="8:8" x14ac:dyDescent="0.3">
      <c r="H23246" t="str">
        <f t="shared" si="412"/>
        <v/>
      </c>
    </row>
    <row r="23247" spans="8:8" x14ac:dyDescent="0.3">
      <c r="H23247" t="str">
        <f t="shared" si="412"/>
        <v/>
      </c>
    </row>
    <row r="23248" spans="8:8" x14ac:dyDescent="0.3">
      <c r="H23248" t="str">
        <f t="shared" si="412"/>
        <v/>
      </c>
    </row>
    <row r="23249" spans="8:8" x14ac:dyDescent="0.3">
      <c r="H23249" t="str">
        <f t="shared" si="412"/>
        <v/>
      </c>
    </row>
    <row r="23250" spans="8:8" x14ac:dyDescent="0.3">
      <c r="H23250" t="str">
        <f t="shared" si="412"/>
        <v/>
      </c>
    </row>
    <row r="23251" spans="8:8" x14ac:dyDescent="0.3">
      <c r="H23251" t="str">
        <f t="shared" si="412"/>
        <v/>
      </c>
    </row>
    <row r="23252" spans="8:8" x14ac:dyDescent="0.3">
      <c r="H23252" t="str">
        <f t="shared" si="412"/>
        <v/>
      </c>
    </row>
    <row r="23253" spans="8:8" x14ac:dyDescent="0.3">
      <c r="H23253" t="str">
        <f t="shared" si="412"/>
        <v/>
      </c>
    </row>
    <row r="23254" spans="8:8" x14ac:dyDescent="0.3">
      <c r="H23254" t="str">
        <f t="shared" si="412"/>
        <v/>
      </c>
    </row>
    <row r="23255" spans="8:8" x14ac:dyDescent="0.3">
      <c r="H23255" t="str">
        <f t="shared" ref="H23255:H23318" si="413">IF(B23255="","",$C$12)</f>
        <v/>
      </c>
    </row>
    <row r="23256" spans="8:8" x14ac:dyDescent="0.3">
      <c r="H23256" t="str">
        <f t="shared" si="413"/>
        <v/>
      </c>
    </row>
    <row r="23257" spans="8:8" x14ac:dyDescent="0.3">
      <c r="H23257" t="str">
        <f t="shared" si="413"/>
        <v/>
      </c>
    </row>
    <row r="23258" spans="8:8" x14ac:dyDescent="0.3">
      <c r="H23258" t="str">
        <f t="shared" si="413"/>
        <v/>
      </c>
    </row>
    <row r="23259" spans="8:8" x14ac:dyDescent="0.3">
      <c r="H23259" t="str">
        <f t="shared" si="413"/>
        <v/>
      </c>
    </row>
    <row r="23260" spans="8:8" x14ac:dyDescent="0.3">
      <c r="H23260" t="str">
        <f t="shared" si="413"/>
        <v/>
      </c>
    </row>
    <row r="23261" spans="8:8" x14ac:dyDescent="0.3">
      <c r="H23261" t="str">
        <f t="shared" si="413"/>
        <v/>
      </c>
    </row>
    <row r="23262" spans="8:8" x14ac:dyDescent="0.3">
      <c r="H23262" t="str">
        <f t="shared" si="413"/>
        <v/>
      </c>
    </row>
    <row r="23263" spans="8:8" x14ac:dyDescent="0.3">
      <c r="H23263" t="str">
        <f t="shared" si="413"/>
        <v/>
      </c>
    </row>
    <row r="23264" spans="8:8" x14ac:dyDescent="0.3">
      <c r="H23264" t="str">
        <f t="shared" si="413"/>
        <v/>
      </c>
    </row>
    <row r="23265" spans="8:8" x14ac:dyDescent="0.3">
      <c r="H23265" t="str">
        <f t="shared" si="413"/>
        <v/>
      </c>
    </row>
    <row r="23266" spans="8:8" x14ac:dyDescent="0.3">
      <c r="H23266" t="str">
        <f t="shared" si="413"/>
        <v/>
      </c>
    </row>
    <row r="23267" spans="8:8" x14ac:dyDescent="0.3">
      <c r="H23267" t="str">
        <f t="shared" si="413"/>
        <v/>
      </c>
    </row>
    <row r="23268" spans="8:8" x14ac:dyDescent="0.3">
      <c r="H23268" t="str">
        <f t="shared" si="413"/>
        <v/>
      </c>
    </row>
    <row r="23269" spans="8:8" x14ac:dyDescent="0.3">
      <c r="H23269" t="str">
        <f t="shared" si="413"/>
        <v/>
      </c>
    </row>
    <row r="23270" spans="8:8" x14ac:dyDescent="0.3">
      <c r="H23270" t="str">
        <f t="shared" si="413"/>
        <v/>
      </c>
    </row>
    <row r="23271" spans="8:8" x14ac:dyDescent="0.3">
      <c r="H23271" t="str">
        <f t="shared" si="413"/>
        <v/>
      </c>
    </row>
    <row r="23272" spans="8:8" x14ac:dyDescent="0.3">
      <c r="H23272" t="str">
        <f t="shared" si="413"/>
        <v/>
      </c>
    </row>
    <row r="23273" spans="8:8" x14ac:dyDescent="0.3">
      <c r="H23273" t="str">
        <f t="shared" si="413"/>
        <v/>
      </c>
    </row>
    <row r="23274" spans="8:8" x14ac:dyDescent="0.3">
      <c r="H23274" t="str">
        <f t="shared" si="413"/>
        <v/>
      </c>
    </row>
    <row r="23275" spans="8:8" x14ac:dyDescent="0.3">
      <c r="H23275" t="str">
        <f t="shared" si="413"/>
        <v/>
      </c>
    </row>
    <row r="23276" spans="8:8" x14ac:dyDescent="0.3">
      <c r="H23276" t="str">
        <f t="shared" si="413"/>
        <v/>
      </c>
    </row>
    <row r="23277" spans="8:8" x14ac:dyDescent="0.3">
      <c r="H23277" t="str">
        <f t="shared" si="413"/>
        <v/>
      </c>
    </row>
    <row r="23278" spans="8:8" x14ac:dyDescent="0.3">
      <c r="H23278" t="str">
        <f t="shared" si="413"/>
        <v/>
      </c>
    </row>
    <row r="23279" spans="8:8" x14ac:dyDescent="0.3">
      <c r="H23279" t="str">
        <f t="shared" si="413"/>
        <v/>
      </c>
    </row>
    <row r="23280" spans="8:8" x14ac:dyDescent="0.3">
      <c r="H23280" t="str">
        <f t="shared" si="413"/>
        <v/>
      </c>
    </row>
    <row r="23281" spans="8:8" x14ac:dyDescent="0.3">
      <c r="H23281" t="str">
        <f t="shared" si="413"/>
        <v/>
      </c>
    </row>
    <row r="23282" spans="8:8" x14ac:dyDescent="0.3">
      <c r="H23282" t="str">
        <f t="shared" si="413"/>
        <v/>
      </c>
    </row>
    <row r="23283" spans="8:8" x14ac:dyDescent="0.3">
      <c r="H23283" t="str">
        <f t="shared" si="413"/>
        <v/>
      </c>
    </row>
    <row r="23284" spans="8:8" x14ac:dyDescent="0.3">
      <c r="H23284" t="str">
        <f t="shared" si="413"/>
        <v/>
      </c>
    </row>
    <row r="23285" spans="8:8" x14ac:dyDescent="0.3">
      <c r="H23285" t="str">
        <f t="shared" si="413"/>
        <v/>
      </c>
    </row>
    <row r="23286" spans="8:8" x14ac:dyDescent="0.3">
      <c r="H23286" t="str">
        <f t="shared" si="413"/>
        <v/>
      </c>
    </row>
    <row r="23287" spans="8:8" x14ac:dyDescent="0.3">
      <c r="H23287" t="str">
        <f t="shared" si="413"/>
        <v/>
      </c>
    </row>
    <row r="23288" spans="8:8" x14ac:dyDescent="0.3">
      <c r="H23288" t="str">
        <f t="shared" si="413"/>
        <v/>
      </c>
    </row>
    <row r="23289" spans="8:8" x14ac:dyDescent="0.3">
      <c r="H23289" t="str">
        <f t="shared" si="413"/>
        <v/>
      </c>
    </row>
    <row r="23290" spans="8:8" x14ac:dyDescent="0.3">
      <c r="H23290" t="str">
        <f t="shared" si="413"/>
        <v/>
      </c>
    </row>
    <row r="23291" spans="8:8" x14ac:dyDescent="0.3">
      <c r="H23291" t="str">
        <f t="shared" si="413"/>
        <v/>
      </c>
    </row>
    <row r="23292" spans="8:8" x14ac:dyDescent="0.3">
      <c r="H23292" t="str">
        <f t="shared" si="413"/>
        <v/>
      </c>
    </row>
    <row r="23293" spans="8:8" x14ac:dyDescent="0.3">
      <c r="H23293" t="str">
        <f t="shared" si="413"/>
        <v/>
      </c>
    </row>
    <row r="23294" spans="8:8" x14ac:dyDescent="0.3">
      <c r="H23294" t="str">
        <f t="shared" si="413"/>
        <v/>
      </c>
    </row>
    <row r="23295" spans="8:8" x14ac:dyDescent="0.3">
      <c r="H23295" t="str">
        <f t="shared" si="413"/>
        <v/>
      </c>
    </row>
    <row r="23296" spans="8:8" x14ac:dyDescent="0.3">
      <c r="H23296" t="str">
        <f t="shared" si="413"/>
        <v/>
      </c>
    </row>
    <row r="23297" spans="8:8" x14ac:dyDescent="0.3">
      <c r="H23297" t="str">
        <f t="shared" si="413"/>
        <v/>
      </c>
    </row>
    <row r="23298" spans="8:8" x14ac:dyDescent="0.3">
      <c r="H23298" t="str">
        <f t="shared" si="413"/>
        <v/>
      </c>
    </row>
    <row r="23299" spans="8:8" x14ac:dyDescent="0.3">
      <c r="H23299" t="str">
        <f t="shared" si="413"/>
        <v/>
      </c>
    </row>
    <row r="23300" spans="8:8" x14ac:dyDescent="0.3">
      <c r="H23300" t="str">
        <f t="shared" si="413"/>
        <v/>
      </c>
    </row>
    <row r="23301" spans="8:8" x14ac:dyDescent="0.3">
      <c r="H23301" t="str">
        <f t="shared" si="413"/>
        <v/>
      </c>
    </row>
    <row r="23302" spans="8:8" x14ac:dyDescent="0.3">
      <c r="H23302" t="str">
        <f t="shared" si="413"/>
        <v/>
      </c>
    </row>
    <row r="23303" spans="8:8" x14ac:dyDescent="0.3">
      <c r="H23303" t="str">
        <f t="shared" si="413"/>
        <v/>
      </c>
    </row>
    <row r="23304" spans="8:8" x14ac:dyDescent="0.3">
      <c r="H23304" t="str">
        <f t="shared" si="413"/>
        <v/>
      </c>
    </row>
    <row r="23305" spans="8:8" x14ac:dyDescent="0.3">
      <c r="H23305" t="str">
        <f t="shared" si="413"/>
        <v/>
      </c>
    </row>
    <row r="23306" spans="8:8" x14ac:dyDescent="0.3">
      <c r="H23306" t="str">
        <f t="shared" si="413"/>
        <v/>
      </c>
    </row>
    <row r="23307" spans="8:8" x14ac:dyDescent="0.3">
      <c r="H23307" t="str">
        <f t="shared" si="413"/>
        <v/>
      </c>
    </row>
    <row r="23308" spans="8:8" x14ac:dyDescent="0.3">
      <c r="H23308" t="str">
        <f t="shared" si="413"/>
        <v/>
      </c>
    </row>
    <row r="23309" spans="8:8" x14ac:dyDescent="0.3">
      <c r="H23309" t="str">
        <f t="shared" si="413"/>
        <v/>
      </c>
    </row>
    <row r="23310" spans="8:8" x14ac:dyDescent="0.3">
      <c r="H23310" t="str">
        <f t="shared" si="413"/>
        <v/>
      </c>
    </row>
    <row r="23311" spans="8:8" x14ac:dyDescent="0.3">
      <c r="H23311" t="str">
        <f t="shared" si="413"/>
        <v/>
      </c>
    </row>
    <row r="23312" spans="8:8" x14ac:dyDescent="0.3">
      <c r="H23312" t="str">
        <f t="shared" si="413"/>
        <v/>
      </c>
    </row>
    <row r="23313" spans="8:8" x14ac:dyDescent="0.3">
      <c r="H23313" t="str">
        <f t="shared" si="413"/>
        <v/>
      </c>
    </row>
    <row r="23314" spans="8:8" x14ac:dyDescent="0.3">
      <c r="H23314" t="str">
        <f t="shared" si="413"/>
        <v/>
      </c>
    </row>
    <row r="23315" spans="8:8" x14ac:dyDescent="0.3">
      <c r="H23315" t="str">
        <f t="shared" si="413"/>
        <v/>
      </c>
    </row>
    <row r="23316" spans="8:8" x14ac:dyDescent="0.3">
      <c r="H23316" t="str">
        <f t="shared" si="413"/>
        <v/>
      </c>
    </row>
    <row r="23317" spans="8:8" x14ac:dyDescent="0.3">
      <c r="H23317" t="str">
        <f t="shared" si="413"/>
        <v/>
      </c>
    </row>
    <row r="23318" spans="8:8" x14ac:dyDescent="0.3">
      <c r="H23318" t="str">
        <f t="shared" si="413"/>
        <v/>
      </c>
    </row>
    <row r="23319" spans="8:8" x14ac:dyDescent="0.3">
      <c r="H23319" t="str">
        <f t="shared" ref="H23319:H23382" si="414">IF(B23319="","",$C$12)</f>
        <v/>
      </c>
    </row>
    <row r="23320" spans="8:8" x14ac:dyDescent="0.3">
      <c r="H23320" t="str">
        <f t="shared" si="414"/>
        <v/>
      </c>
    </row>
    <row r="23321" spans="8:8" x14ac:dyDescent="0.3">
      <c r="H23321" t="str">
        <f t="shared" si="414"/>
        <v/>
      </c>
    </row>
    <row r="23322" spans="8:8" x14ac:dyDescent="0.3">
      <c r="H23322" t="str">
        <f t="shared" si="414"/>
        <v/>
      </c>
    </row>
    <row r="23323" spans="8:8" x14ac:dyDescent="0.3">
      <c r="H23323" t="str">
        <f t="shared" si="414"/>
        <v/>
      </c>
    </row>
    <row r="23324" spans="8:8" x14ac:dyDescent="0.3">
      <c r="H23324" t="str">
        <f t="shared" si="414"/>
        <v/>
      </c>
    </row>
    <row r="23325" spans="8:8" x14ac:dyDescent="0.3">
      <c r="H23325" t="str">
        <f t="shared" si="414"/>
        <v/>
      </c>
    </row>
    <row r="23326" spans="8:8" x14ac:dyDescent="0.3">
      <c r="H23326" t="str">
        <f t="shared" si="414"/>
        <v/>
      </c>
    </row>
    <row r="23327" spans="8:8" x14ac:dyDescent="0.3">
      <c r="H23327" t="str">
        <f t="shared" si="414"/>
        <v/>
      </c>
    </row>
    <row r="23328" spans="8:8" x14ac:dyDescent="0.3">
      <c r="H23328" t="str">
        <f t="shared" si="414"/>
        <v/>
      </c>
    </row>
    <row r="23329" spans="8:8" x14ac:dyDescent="0.3">
      <c r="H23329" t="str">
        <f t="shared" si="414"/>
        <v/>
      </c>
    </row>
    <row r="23330" spans="8:8" x14ac:dyDescent="0.3">
      <c r="H23330" t="str">
        <f t="shared" si="414"/>
        <v/>
      </c>
    </row>
    <row r="23331" spans="8:8" x14ac:dyDescent="0.3">
      <c r="H23331" t="str">
        <f t="shared" si="414"/>
        <v/>
      </c>
    </row>
    <row r="23332" spans="8:8" x14ac:dyDescent="0.3">
      <c r="H23332" t="str">
        <f t="shared" si="414"/>
        <v/>
      </c>
    </row>
    <row r="23333" spans="8:8" x14ac:dyDescent="0.3">
      <c r="H23333" t="str">
        <f t="shared" si="414"/>
        <v/>
      </c>
    </row>
    <row r="23334" spans="8:8" x14ac:dyDescent="0.3">
      <c r="H23334" t="str">
        <f t="shared" si="414"/>
        <v/>
      </c>
    </row>
    <row r="23335" spans="8:8" x14ac:dyDescent="0.3">
      <c r="H23335" t="str">
        <f t="shared" si="414"/>
        <v/>
      </c>
    </row>
    <row r="23336" spans="8:8" x14ac:dyDescent="0.3">
      <c r="H23336" t="str">
        <f t="shared" si="414"/>
        <v/>
      </c>
    </row>
    <row r="23337" spans="8:8" x14ac:dyDescent="0.3">
      <c r="H23337" t="str">
        <f t="shared" si="414"/>
        <v/>
      </c>
    </row>
    <row r="23338" spans="8:8" x14ac:dyDescent="0.3">
      <c r="H23338" t="str">
        <f t="shared" si="414"/>
        <v/>
      </c>
    </row>
    <row r="23339" spans="8:8" x14ac:dyDescent="0.3">
      <c r="H23339" t="str">
        <f t="shared" si="414"/>
        <v/>
      </c>
    </row>
    <row r="23340" spans="8:8" x14ac:dyDescent="0.3">
      <c r="H23340" t="str">
        <f t="shared" si="414"/>
        <v/>
      </c>
    </row>
    <row r="23341" spans="8:8" x14ac:dyDescent="0.3">
      <c r="H23341" t="str">
        <f t="shared" si="414"/>
        <v/>
      </c>
    </row>
    <row r="23342" spans="8:8" x14ac:dyDescent="0.3">
      <c r="H23342" t="str">
        <f t="shared" si="414"/>
        <v/>
      </c>
    </row>
    <row r="23343" spans="8:8" x14ac:dyDescent="0.3">
      <c r="H23343" t="str">
        <f t="shared" si="414"/>
        <v/>
      </c>
    </row>
    <row r="23344" spans="8:8" x14ac:dyDescent="0.3">
      <c r="H23344" t="str">
        <f t="shared" si="414"/>
        <v/>
      </c>
    </row>
    <row r="23345" spans="8:8" x14ac:dyDescent="0.3">
      <c r="H23345" t="str">
        <f t="shared" si="414"/>
        <v/>
      </c>
    </row>
    <row r="23346" spans="8:8" x14ac:dyDescent="0.3">
      <c r="H23346" t="str">
        <f t="shared" si="414"/>
        <v/>
      </c>
    </row>
    <row r="23347" spans="8:8" x14ac:dyDescent="0.3">
      <c r="H23347" t="str">
        <f t="shared" si="414"/>
        <v/>
      </c>
    </row>
    <row r="23348" spans="8:8" x14ac:dyDescent="0.3">
      <c r="H23348" t="str">
        <f t="shared" si="414"/>
        <v/>
      </c>
    </row>
    <row r="23349" spans="8:8" x14ac:dyDescent="0.3">
      <c r="H23349" t="str">
        <f t="shared" si="414"/>
        <v/>
      </c>
    </row>
    <row r="23350" spans="8:8" x14ac:dyDescent="0.3">
      <c r="H23350" t="str">
        <f t="shared" si="414"/>
        <v/>
      </c>
    </row>
    <row r="23351" spans="8:8" x14ac:dyDescent="0.3">
      <c r="H23351" t="str">
        <f t="shared" si="414"/>
        <v/>
      </c>
    </row>
    <row r="23352" spans="8:8" x14ac:dyDescent="0.3">
      <c r="H23352" t="str">
        <f t="shared" si="414"/>
        <v/>
      </c>
    </row>
    <row r="23353" spans="8:8" x14ac:dyDescent="0.3">
      <c r="H23353" t="str">
        <f t="shared" si="414"/>
        <v/>
      </c>
    </row>
    <row r="23354" spans="8:8" x14ac:dyDescent="0.3">
      <c r="H23354" t="str">
        <f t="shared" si="414"/>
        <v/>
      </c>
    </row>
    <row r="23355" spans="8:8" x14ac:dyDescent="0.3">
      <c r="H23355" t="str">
        <f t="shared" si="414"/>
        <v/>
      </c>
    </row>
    <row r="23356" spans="8:8" x14ac:dyDescent="0.3">
      <c r="H23356" t="str">
        <f t="shared" si="414"/>
        <v/>
      </c>
    </row>
    <row r="23357" spans="8:8" x14ac:dyDescent="0.3">
      <c r="H23357" t="str">
        <f t="shared" si="414"/>
        <v/>
      </c>
    </row>
    <row r="23358" spans="8:8" x14ac:dyDescent="0.3">
      <c r="H23358" t="str">
        <f t="shared" si="414"/>
        <v/>
      </c>
    </row>
    <row r="23359" spans="8:8" x14ac:dyDescent="0.3">
      <c r="H23359" t="str">
        <f t="shared" si="414"/>
        <v/>
      </c>
    </row>
    <row r="23360" spans="8:8" x14ac:dyDescent="0.3">
      <c r="H23360" t="str">
        <f t="shared" si="414"/>
        <v/>
      </c>
    </row>
    <row r="23361" spans="8:8" x14ac:dyDescent="0.3">
      <c r="H23361" t="str">
        <f t="shared" si="414"/>
        <v/>
      </c>
    </row>
    <row r="23362" spans="8:8" x14ac:dyDescent="0.3">
      <c r="H23362" t="str">
        <f t="shared" si="414"/>
        <v/>
      </c>
    </row>
    <row r="23363" spans="8:8" x14ac:dyDescent="0.3">
      <c r="H23363" t="str">
        <f t="shared" si="414"/>
        <v/>
      </c>
    </row>
    <row r="23364" spans="8:8" x14ac:dyDescent="0.3">
      <c r="H23364" t="str">
        <f t="shared" si="414"/>
        <v/>
      </c>
    </row>
    <row r="23365" spans="8:8" x14ac:dyDescent="0.3">
      <c r="H23365" t="str">
        <f t="shared" si="414"/>
        <v/>
      </c>
    </row>
    <row r="23366" spans="8:8" x14ac:dyDescent="0.3">
      <c r="H23366" t="str">
        <f t="shared" si="414"/>
        <v/>
      </c>
    </row>
    <row r="23367" spans="8:8" x14ac:dyDescent="0.3">
      <c r="H23367" t="str">
        <f t="shared" si="414"/>
        <v/>
      </c>
    </row>
    <row r="23368" spans="8:8" x14ac:dyDescent="0.3">
      <c r="H23368" t="str">
        <f t="shared" si="414"/>
        <v/>
      </c>
    </row>
    <row r="23369" spans="8:8" x14ac:dyDescent="0.3">
      <c r="H23369" t="str">
        <f t="shared" si="414"/>
        <v/>
      </c>
    </row>
    <row r="23370" spans="8:8" x14ac:dyDescent="0.3">
      <c r="H23370" t="str">
        <f t="shared" si="414"/>
        <v/>
      </c>
    </row>
    <row r="23371" spans="8:8" x14ac:dyDescent="0.3">
      <c r="H23371" t="str">
        <f t="shared" si="414"/>
        <v/>
      </c>
    </row>
    <row r="23372" spans="8:8" x14ac:dyDescent="0.3">
      <c r="H23372" t="str">
        <f t="shared" si="414"/>
        <v/>
      </c>
    </row>
    <row r="23373" spans="8:8" x14ac:dyDescent="0.3">
      <c r="H23373" t="str">
        <f t="shared" si="414"/>
        <v/>
      </c>
    </row>
    <row r="23374" spans="8:8" x14ac:dyDescent="0.3">
      <c r="H23374" t="str">
        <f t="shared" si="414"/>
        <v/>
      </c>
    </row>
    <row r="23375" spans="8:8" x14ac:dyDescent="0.3">
      <c r="H23375" t="str">
        <f t="shared" si="414"/>
        <v/>
      </c>
    </row>
    <row r="23376" spans="8:8" x14ac:dyDescent="0.3">
      <c r="H23376" t="str">
        <f t="shared" si="414"/>
        <v/>
      </c>
    </row>
    <row r="23377" spans="8:8" x14ac:dyDescent="0.3">
      <c r="H23377" t="str">
        <f t="shared" si="414"/>
        <v/>
      </c>
    </row>
    <row r="23378" spans="8:8" x14ac:dyDescent="0.3">
      <c r="H23378" t="str">
        <f t="shared" si="414"/>
        <v/>
      </c>
    </row>
    <row r="23379" spans="8:8" x14ac:dyDescent="0.3">
      <c r="H23379" t="str">
        <f t="shared" si="414"/>
        <v/>
      </c>
    </row>
    <row r="23380" spans="8:8" x14ac:dyDescent="0.3">
      <c r="H23380" t="str">
        <f t="shared" si="414"/>
        <v/>
      </c>
    </row>
    <row r="23381" spans="8:8" x14ac:dyDescent="0.3">
      <c r="H23381" t="str">
        <f t="shared" si="414"/>
        <v/>
      </c>
    </row>
    <row r="23382" spans="8:8" x14ac:dyDescent="0.3">
      <c r="H23382" t="str">
        <f t="shared" si="414"/>
        <v/>
      </c>
    </row>
    <row r="23383" spans="8:8" x14ac:dyDescent="0.3">
      <c r="H23383" t="str">
        <f t="shared" ref="H23383:H23446" si="415">IF(B23383="","",$C$12)</f>
        <v/>
      </c>
    </row>
    <row r="23384" spans="8:8" x14ac:dyDescent="0.3">
      <c r="H23384" t="str">
        <f t="shared" si="415"/>
        <v/>
      </c>
    </row>
    <row r="23385" spans="8:8" x14ac:dyDescent="0.3">
      <c r="H23385" t="str">
        <f t="shared" si="415"/>
        <v/>
      </c>
    </row>
    <row r="23386" spans="8:8" x14ac:dyDescent="0.3">
      <c r="H23386" t="str">
        <f t="shared" si="415"/>
        <v/>
      </c>
    </row>
    <row r="23387" spans="8:8" x14ac:dyDescent="0.3">
      <c r="H23387" t="str">
        <f t="shared" si="415"/>
        <v/>
      </c>
    </row>
    <row r="23388" spans="8:8" x14ac:dyDescent="0.3">
      <c r="H23388" t="str">
        <f t="shared" si="415"/>
        <v/>
      </c>
    </row>
    <row r="23389" spans="8:8" x14ac:dyDescent="0.3">
      <c r="H23389" t="str">
        <f t="shared" si="415"/>
        <v/>
      </c>
    </row>
    <row r="23390" spans="8:8" x14ac:dyDescent="0.3">
      <c r="H23390" t="str">
        <f t="shared" si="415"/>
        <v/>
      </c>
    </row>
    <row r="23391" spans="8:8" x14ac:dyDescent="0.3">
      <c r="H23391" t="str">
        <f t="shared" si="415"/>
        <v/>
      </c>
    </row>
    <row r="23392" spans="8:8" x14ac:dyDescent="0.3">
      <c r="H23392" t="str">
        <f t="shared" si="415"/>
        <v/>
      </c>
    </row>
    <row r="23393" spans="8:8" x14ac:dyDescent="0.3">
      <c r="H23393" t="str">
        <f t="shared" si="415"/>
        <v/>
      </c>
    </row>
    <row r="23394" spans="8:8" x14ac:dyDescent="0.3">
      <c r="H23394" t="str">
        <f t="shared" si="415"/>
        <v/>
      </c>
    </row>
    <row r="23395" spans="8:8" x14ac:dyDescent="0.3">
      <c r="H23395" t="str">
        <f t="shared" si="415"/>
        <v/>
      </c>
    </row>
    <row r="23396" spans="8:8" x14ac:dyDescent="0.3">
      <c r="H23396" t="str">
        <f t="shared" si="415"/>
        <v/>
      </c>
    </row>
    <row r="23397" spans="8:8" x14ac:dyDescent="0.3">
      <c r="H23397" t="str">
        <f t="shared" si="415"/>
        <v/>
      </c>
    </row>
    <row r="23398" spans="8:8" x14ac:dyDescent="0.3">
      <c r="H23398" t="str">
        <f t="shared" si="415"/>
        <v/>
      </c>
    </row>
    <row r="23399" spans="8:8" x14ac:dyDescent="0.3">
      <c r="H23399" t="str">
        <f t="shared" si="415"/>
        <v/>
      </c>
    </row>
    <row r="23400" spans="8:8" x14ac:dyDescent="0.3">
      <c r="H23400" t="str">
        <f t="shared" si="415"/>
        <v/>
      </c>
    </row>
    <row r="23401" spans="8:8" x14ac:dyDescent="0.3">
      <c r="H23401" t="str">
        <f t="shared" si="415"/>
        <v/>
      </c>
    </row>
    <row r="23402" spans="8:8" x14ac:dyDescent="0.3">
      <c r="H23402" t="str">
        <f t="shared" si="415"/>
        <v/>
      </c>
    </row>
    <row r="23403" spans="8:8" x14ac:dyDescent="0.3">
      <c r="H23403" t="str">
        <f t="shared" si="415"/>
        <v/>
      </c>
    </row>
    <row r="23404" spans="8:8" x14ac:dyDescent="0.3">
      <c r="H23404" t="str">
        <f t="shared" si="415"/>
        <v/>
      </c>
    </row>
    <row r="23405" spans="8:8" x14ac:dyDescent="0.3">
      <c r="H23405" t="str">
        <f t="shared" si="415"/>
        <v/>
      </c>
    </row>
    <row r="23406" spans="8:8" x14ac:dyDescent="0.3">
      <c r="H23406" t="str">
        <f t="shared" si="415"/>
        <v/>
      </c>
    </row>
    <row r="23407" spans="8:8" x14ac:dyDescent="0.3">
      <c r="H23407" t="str">
        <f t="shared" si="415"/>
        <v/>
      </c>
    </row>
    <row r="23408" spans="8:8" x14ac:dyDescent="0.3">
      <c r="H23408" t="str">
        <f t="shared" si="415"/>
        <v/>
      </c>
    </row>
    <row r="23409" spans="8:8" x14ac:dyDescent="0.3">
      <c r="H23409" t="str">
        <f t="shared" si="415"/>
        <v/>
      </c>
    </row>
    <row r="23410" spans="8:8" x14ac:dyDescent="0.3">
      <c r="H23410" t="str">
        <f t="shared" si="415"/>
        <v/>
      </c>
    </row>
    <row r="23411" spans="8:8" x14ac:dyDescent="0.3">
      <c r="H23411" t="str">
        <f t="shared" si="415"/>
        <v/>
      </c>
    </row>
    <row r="23412" spans="8:8" x14ac:dyDescent="0.3">
      <c r="H23412" t="str">
        <f t="shared" si="415"/>
        <v/>
      </c>
    </row>
    <row r="23413" spans="8:8" x14ac:dyDescent="0.3">
      <c r="H23413" t="str">
        <f t="shared" si="415"/>
        <v/>
      </c>
    </row>
    <row r="23414" spans="8:8" x14ac:dyDescent="0.3">
      <c r="H23414" t="str">
        <f t="shared" si="415"/>
        <v/>
      </c>
    </row>
    <row r="23415" spans="8:8" x14ac:dyDescent="0.3">
      <c r="H23415" t="str">
        <f t="shared" si="415"/>
        <v/>
      </c>
    </row>
    <row r="23416" spans="8:8" x14ac:dyDescent="0.3">
      <c r="H23416" t="str">
        <f t="shared" si="415"/>
        <v/>
      </c>
    </row>
    <row r="23417" spans="8:8" x14ac:dyDescent="0.3">
      <c r="H23417" t="str">
        <f t="shared" si="415"/>
        <v/>
      </c>
    </row>
    <row r="23418" spans="8:8" x14ac:dyDescent="0.3">
      <c r="H23418" t="str">
        <f t="shared" si="415"/>
        <v/>
      </c>
    </row>
    <row r="23419" spans="8:8" x14ac:dyDescent="0.3">
      <c r="H23419" t="str">
        <f t="shared" si="415"/>
        <v/>
      </c>
    </row>
    <row r="23420" spans="8:8" x14ac:dyDescent="0.3">
      <c r="H23420" t="str">
        <f t="shared" si="415"/>
        <v/>
      </c>
    </row>
    <row r="23421" spans="8:8" x14ac:dyDescent="0.3">
      <c r="H23421" t="str">
        <f t="shared" si="415"/>
        <v/>
      </c>
    </row>
    <row r="23422" spans="8:8" x14ac:dyDescent="0.3">
      <c r="H23422" t="str">
        <f t="shared" si="415"/>
        <v/>
      </c>
    </row>
    <row r="23423" spans="8:8" x14ac:dyDescent="0.3">
      <c r="H23423" t="str">
        <f t="shared" si="415"/>
        <v/>
      </c>
    </row>
    <row r="23424" spans="8:8" x14ac:dyDescent="0.3">
      <c r="H23424" t="str">
        <f t="shared" si="415"/>
        <v/>
      </c>
    </row>
    <row r="23425" spans="8:8" x14ac:dyDescent="0.3">
      <c r="H23425" t="str">
        <f t="shared" si="415"/>
        <v/>
      </c>
    </row>
    <row r="23426" spans="8:8" x14ac:dyDescent="0.3">
      <c r="H23426" t="str">
        <f t="shared" si="415"/>
        <v/>
      </c>
    </row>
    <row r="23427" spans="8:8" x14ac:dyDescent="0.3">
      <c r="H23427" t="str">
        <f t="shared" si="415"/>
        <v/>
      </c>
    </row>
    <row r="23428" spans="8:8" x14ac:dyDescent="0.3">
      <c r="H23428" t="str">
        <f t="shared" si="415"/>
        <v/>
      </c>
    </row>
    <row r="23429" spans="8:8" x14ac:dyDescent="0.3">
      <c r="H23429" t="str">
        <f t="shared" si="415"/>
        <v/>
      </c>
    </row>
    <row r="23430" spans="8:8" x14ac:dyDescent="0.3">
      <c r="H23430" t="str">
        <f t="shared" si="415"/>
        <v/>
      </c>
    </row>
    <row r="23431" spans="8:8" x14ac:dyDescent="0.3">
      <c r="H23431" t="str">
        <f t="shared" si="415"/>
        <v/>
      </c>
    </row>
    <row r="23432" spans="8:8" x14ac:dyDescent="0.3">
      <c r="H23432" t="str">
        <f t="shared" si="415"/>
        <v/>
      </c>
    </row>
    <row r="23433" spans="8:8" x14ac:dyDescent="0.3">
      <c r="H23433" t="str">
        <f t="shared" si="415"/>
        <v/>
      </c>
    </row>
    <row r="23434" spans="8:8" x14ac:dyDescent="0.3">
      <c r="H23434" t="str">
        <f t="shared" si="415"/>
        <v/>
      </c>
    </row>
    <row r="23435" spans="8:8" x14ac:dyDescent="0.3">
      <c r="H23435" t="str">
        <f t="shared" si="415"/>
        <v/>
      </c>
    </row>
    <row r="23436" spans="8:8" x14ac:dyDescent="0.3">
      <c r="H23436" t="str">
        <f t="shared" si="415"/>
        <v/>
      </c>
    </row>
    <row r="23437" spans="8:8" x14ac:dyDescent="0.3">
      <c r="H23437" t="str">
        <f t="shared" si="415"/>
        <v/>
      </c>
    </row>
    <row r="23438" spans="8:8" x14ac:dyDescent="0.3">
      <c r="H23438" t="str">
        <f t="shared" si="415"/>
        <v/>
      </c>
    </row>
    <row r="23439" spans="8:8" x14ac:dyDescent="0.3">
      <c r="H23439" t="str">
        <f t="shared" si="415"/>
        <v/>
      </c>
    </row>
    <row r="23440" spans="8:8" x14ac:dyDescent="0.3">
      <c r="H23440" t="str">
        <f t="shared" si="415"/>
        <v/>
      </c>
    </row>
    <row r="23441" spans="8:8" x14ac:dyDescent="0.3">
      <c r="H23441" t="str">
        <f t="shared" si="415"/>
        <v/>
      </c>
    </row>
    <row r="23442" spans="8:8" x14ac:dyDescent="0.3">
      <c r="H23442" t="str">
        <f t="shared" si="415"/>
        <v/>
      </c>
    </row>
    <row r="23443" spans="8:8" x14ac:dyDescent="0.3">
      <c r="H23443" t="str">
        <f t="shared" si="415"/>
        <v/>
      </c>
    </row>
    <row r="23444" spans="8:8" x14ac:dyDescent="0.3">
      <c r="H23444" t="str">
        <f t="shared" si="415"/>
        <v/>
      </c>
    </row>
    <row r="23445" spans="8:8" x14ac:dyDescent="0.3">
      <c r="H23445" t="str">
        <f t="shared" si="415"/>
        <v/>
      </c>
    </row>
    <row r="23446" spans="8:8" x14ac:dyDescent="0.3">
      <c r="H23446" t="str">
        <f t="shared" si="415"/>
        <v/>
      </c>
    </row>
    <row r="23447" spans="8:8" x14ac:dyDescent="0.3">
      <c r="H23447" t="str">
        <f t="shared" ref="H23447:H23510" si="416">IF(B23447="","",$C$12)</f>
        <v/>
      </c>
    </row>
    <row r="23448" spans="8:8" x14ac:dyDescent="0.3">
      <c r="H23448" t="str">
        <f t="shared" si="416"/>
        <v/>
      </c>
    </row>
    <row r="23449" spans="8:8" x14ac:dyDescent="0.3">
      <c r="H23449" t="str">
        <f t="shared" si="416"/>
        <v/>
      </c>
    </row>
    <row r="23450" spans="8:8" x14ac:dyDescent="0.3">
      <c r="H23450" t="str">
        <f t="shared" si="416"/>
        <v/>
      </c>
    </row>
    <row r="23451" spans="8:8" x14ac:dyDescent="0.3">
      <c r="H23451" t="str">
        <f t="shared" si="416"/>
        <v/>
      </c>
    </row>
    <row r="23452" spans="8:8" x14ac:dyDescent="0.3">
      <c r="H23452" t="str">
        <f t="shared" si="416"/>
        <v/>
      </c>
    </row>
    <row r="23453" spans="8:8" x14ac:dyDescent="0.3">
      <c r="H23453" t="str">
        <f t="shared" si="416"/>
        <v/>
      </c>
    </row>
    <row r="23454" spans="8:8" x14ac:dyDescent="0.3">
      <c r="H23454" t="str">
        <f t="shared" si="416"/>
        <v/>
      </c>
    </row>
    <row r="23455" spans="8:8" x14ac:dyDescent="0.3">
      <c r="H23455" t="str">
        <f t="shared" si="416"/>
        <v/>
      </c>
    </row>
    <row r="23456" spans="8:8" x14ac:dyDescent="0.3">
      <c r="H23456" t="str">
        <f t="shared" si="416"/>
        <v/>
      </c>
    </row>
    <row r="23457" spans="8:8" x14ac:dyDescent="0.3">
      <c r="H23457" t="str">
        <f t="shared" si="416"/>
        <v/>
      </c>
    </row>
    <row r="23458" spans="8:8" x14ac:dyDescent="0.3">
      <c r="H23458" t="str">
        <f t="shared" si="416"/>
        <v/>
      </c>
    </row>
    <row r="23459" spans="8:8" x14ac:dyDescent="0.3">
      <c r="H23459" t="str">
        <f t="shared" si="416"/>
        <v/>
      </c>
    </row>
    <row r="23460" spans="8:8" x14ac:dyDescent="0.3">
      <c r="H23460" t="str">
        <f t="shared" si="416"/>
        <v/>
      </c>
    </row>
    <row r="23461" spans="8:8" x14ac:dyDescent="0.3">
      <c r="H23461" t="str">
        <f t="shared" si="416"/>
        <v/>
      </c>
    </row>
    <row r="23462" spans="8:8" x14ac:dyDescent="0.3">
      <c r="H23462" t="str">
        <f t="shared" si="416"/>
        <v/>
      </c>
    </row>
    <row r="23463" spans="8:8" x14ac:dyDescent="0.3">
      <c r="H23463" t="str">
        <f t="shared" si="416"/>
        <v/>
      </c>
    </row>
    <row r="23464" spans="8:8" x14ac:dyDescent="0.3">
      <c r="H23464" t="str">
        <f t="shared" si="416"/>
        <v/>
      </c>
    </row>
    <row r="23465" spans="8:8" x14ac:dyDescent="0.3">
      <c r="H23465" t="str">
        <f t="shared" si="416"/>
        <v/>
      </c>
    </row>
    <row r="23466" spans="8:8" x14ac:dyDescent="0.3">
      <c r="H23466" t="str">
        <f t="shared" si="416"/>
        <v/>
      </c>
    </row>
    <row r="23467" spans="8:8" x14ac:dyDescent="0.3">
      <c r="H23467" t="str">
        <f t="shared" si="416"/>
        <v/>
      </c>
    </row>
    <row r="23468" spans="8:8" x14ac:dyDescent="0.3">
      <c r="H23468" t="str">
        <f t="shared" si="416"/>
        <v/>
      </c>
    </row>
    <row r="23469" spans="8:8" x14ac:dyDescent="0.3">
      <c r="H23469" t="str">
        <f t="shared" si="416"/>
        <v/>
      </c>
    </row>
    <row r="23470" spans="8:8" x14ac:dyDescent="0.3">
      <c r="H23470" t="str">
        <f t="shared" si="416"/>
        <v/>
      </c>
    </row>
    <row r="23471" spans="8:8" x14ac:dyDescent="0.3">
      <c r="H23471" t="str">
        <f t="shared" si="416"/>
        <v/>
      </c>
    </row>
    <row r="23472" spans="8:8" x14ac:dyDescent="0.3">
      <c r="H23472" t="str">
        <f t="shared" si="416"/>
        <v/>
      </c>
    </row>
    <row r="23473" spans="8:8" x14ac:dyDescent="0.3">
      <c r="H23473" t="str">
        <f t="shared" si="416"/>
        <v/>
      </c>
    </row>
    <row r="23474" spans="8:8" x14ac:dyDescent="0.3">
      <c r="H23474" t="str">
        <f t="shared" si="416"/>
        <v/>
      </c>
    </row>
    <row r="23475" spans="8:8" x14ac:dyDescent="0.3">
      <c r="H23475" t="str">
        <f t="shared" si="416"/>
        <v/>
      </c>
    </row>
    <row r="23476" spans="8:8" x14ac:dyDescent="0.3">
      <c r="H23476" t="str">
        <f t="shared" si="416"/>
        <v/>
      </c>
    </row>
    <row r="23477" spans="8:8" x14ac:dyDescent="0.3">
      <c r="H23477" t="str">
        <f t="shared" si="416"/>
        <v/>
      </c>
    </row>
    <row r="23478" spans="8:8" x14ac:dyDescent="0.3">
      <c r="H23478" t="str">
        <f t="shared" si="416"/>
        <v/>
      </c>
    </row>
    <row r="23479" spans="8:8" x14ac:dyDescent="0.3">
      <c r="H23479" t="str">
        <f t="shared" si="416"/>
        <v/>
      </c>
    </row>
    <row r="23480" spans="8:8" x14ac:dyDescent="0.3">
      <c r="H23480" t="str">
        <f t="shared" si="416"/>
        <v/>
      </c>
    </row>
    <row r="23481" spans="8:8" x14ac:dyDescent="0.3">
      <c r="H23481" t="str">
        <f t="shared" si="416"/>
        <v/>
      </c>
    </row>
    <row r="23482" spans="8:8" x14ac:dyDescent="0.3">
      <c r="H23482" t="str">
        <f t="shared" si="416"/>
        <v/>
      </c>
    </row>
    <row r="23483" spans="8:8" x14ac:dyDescent="0.3">
      <c r="H23483" t="str">
        <f t="shared" si="416"/>
        <v/>
      </c>
    </row>
    <row r="23484" spans="8:8" x14ac:dyDescent="0.3">
      <c r="H23484" t="str">
        <f t="shared" si="416"/>
        <v/>
      </c>
    </row>
    <row r="23485" spans="8:8" x14ac:dyDescent="0.3">
      <c r="H23485" t="str">
        <f t="shared" si="416"/>
        <v/>
      </c>
    </row>
    <row r="23486" spans="8:8" x14ac:dyDescent="0.3">
      <c r="H23486" t="str">
        <f t="shared" si="416"/>
        <v/>
      </c>
    </row>
    <row r="23487" spans="8:8" x14ac:dyDescent="0.3">
      <c r="H23487" t="str">
        <f t="shared" si="416"/>
        <v/>
      </c>
    </row>
    <row r="23488" spans="8:8" x14ac:dyDescent="0.3">
      <c r="H23488" t="str">
        <f t="shared" si="416"/>
        <v/>
      </c>
    </row>
    <row r="23489" spans="8:8" x14ac:dyDescent="0.3">
      <c r="H23489" t="str">
        <f t="shared" si="416"/>
        <v/>
      </c>
    </row>
    <row r="23490" spans="8:8" x14ac:dyDescent="0.3">
      <c r="H23490" t="str">
        <f t="shared" si="416"/>
        <v/>
      </c>
    </row>
    <row r="23491" spans="8:8" x14ac:dyDescent="0.3">
      <c r="H23491" t="str">
        <f t="shared" si="416"/>
        <v/>
      </c>
    </row>
    <row r="23492" spans="8:8" x14ac:dyDescent="0.3">
      <c r="H23492" t="str">
        <f t="shared" si="416"/>
        <v/>
      </c>
    </row>
    <row r="23493" spans="8:8" x14ac:dyDescent="0.3">
      <c r="H23493" t="str">
        <f t="shared" si="416"/>
        <v/>
      </c>
    </row>
    <row r="23494" spans="8:8" x14ac:dyDescent="0.3">
      <c r="H23494" t="str">
        <f t="shared" si="416"/>
        <v/>
      </c>
    </row>
    <row r="23495" spans="8:8" x14ac:dyDescent="0.3">
      <c r="H23495" t="str">
        <f t="shared" si="416"/>
        <v/>
      </c>
    </row>
    <row r="23496" spans="8:8" x14ac:dyDescent="0.3">
      <c r="H23496" t="str">
        <f t="shared" si="416"/>
        <v/>
      </c>
    </row>
    <row r="23497" spans="8:8" x14ac:dyDescent="0.3">
      <c r="H23497" t="str">
        <f t="shared" si="416"/>
        <v/>
      </c>
    </row>
    <row r="23498" spans="8:8" x14ac:dyDescent="0.3">
      <c r="H23498" t="str">
        <f t="shared" si="416"/>
        <v/>
      </c>
    </row>
    <row r="23499" spans="8:8" x14ac:dyDescent="0.3">
      <c r="H23499" t="str">
        <f t="shared" si="416"/>
        <v/>
      </c>
    </row>
    <row r="23500" spans="8:8" x14ac:dyDescent="0.3">
      <c r="H23500" t="str">
        <f t="shared" si="416"/>
        <v/>
      </c>
    </row>
    <row r="23501" spans="8:8" x14ac:dyDescent="0.3">
      <c r="H23501" t="str">
        <f t="shared" si="416"/>
        <v/>
      </c>
    </row>
    <row r="23502" spans="8:8" x14ac:dyDescent="0.3">
      <c r="H23502" t="str">
        <f t="shared" si="416"/>
        <v/>
      </c>
    </row>
    <row r="23503" spans="8:8" x14ac:dyDescent="0.3">
      <c r="H23503" t="str">
        <f t="shared" si="416"/>
        <v/>
      </c>
    </row>
    <row r="23504" spans="8:8" x14ac:dyDescent="0.3">
      <c r="H23504" t="str">
        <f t="shared" si="416"/>
        <v/>
      </c>
    </row>
    <row r="23505" spans="8:8" x14ac:dyDescent="0.3">
      <c r="H23505" t="str">
        <f t="shared" si="416"/>
        <v/>
      </c>
    </row>
    <row r="23506" spans="8:8" x14ac:dyDescent="0.3">
      <c r="H23506" t="str">
        <f t="shared" si="416"/>
        <v/>
      </c>
    </row>
    <row r="23507" spans="8:8" x14ac:dyDescent="0.3">
      <c r="H23507" t="str">
        <f t="shared" si="416"/>
        <v/>
      </c>
    </row>
    <row r="23508" spans="8:8" x14ac:dyDescent="0.3">
      <c r="H23508" t="str">
        <f t="shared" si="416"/>
        <v/>
      </c>
    </row>
    <row r="23509" spans="8:8" x14ac:dyDescent="0.3">
      <c r="H23509" t="str">
        <f t="shared" si="416"/>
        <v/>
      </c>
    </row>
    <row r="23510" spans="8:8" x14ac:dyDescent="0.3">
      <c r="H23510" t="str">
        <f t="shared" si="416"/>
        <v/>
      </c>
    </row>
    <row r="23511" spans="8:8" x14ac:dyDescent="0.3">
      <c r="H23511" t="str">
        <f t="shared" ref="H23511:H23574" si="417">IF(B23511="","",$C$12)</f>
        <v/>
      </c>
    </row>
    <row r="23512" spans="8:8" x14ac:dyDescent="0.3">
      <c r="H23512" t="str">
        <f t="shared" si="417"/>
        <v/>
      </c>
    </row>
    <row r="23513" spans="8:8" x14ac:dyDescent="0.3">
      <c r="H23513" t="str">
        <f t="shared" si="417"/>
        <v/>
      </c>
    </row>
    <row r="23514" spans="8:8" x14ac:dyDescent="0.3">
      <c r="H23514" t="str">
        <f t="shared" si="417"/>
        <v/>
      </c>
    </row>
    <row r="23515" spans="8:8" x14ac:dyDescent="0.3">
      <c r="H23515" t="str">
        <f t="shared" si="417"/>
        <v/>
      </c>
    </row>
    <row r="23516" spans="8:8" x14ac:dyDescent="0.3">
      <c r="H23516" t="str">
        <f t="shared" si="417"/>
        <v/>
      </c>
    </row>
    <row r="23517" spans="8:8" x14ac:dyDescent="0.3">
      <c r="H23517" t="str">
        <f t="shared" si="417"/>
        <v/>
      </c>
    </row>
    <row r="23518" spans="8:8" x14ac:dyDescent="0.3">
      <c r="H23518" t="str">
        <f t="shared" si="417"/>
        <v/>
      </c>
    </row>
    <row r="23519" spans="8:8" x14ac:dyDescent="0.3">
      <c r="H23519" t="str">
        <f t="shared" si="417"/>
        <v/>
      </c>
    </row>
    <row r="23520" spans="8:8" x14ac:dyDescent="0.3">
      <c r="H23520" t="str">
        <f t="shared" si="417"/>
        <v/>
      </c>
    </row>
    <row r="23521" spans="8:8" x14ac:dyDescent="0.3">
      <c r="H23521" t="str">
        <f t="shared" si="417"/>
        <v/>
      </c>
    </row>
    <row r="23522" spans="8:8" x14ac:dyDescent="0.3">
      <c r="H23522" t="str">
        <f t="shared" si="417"/>
        <v/>
      </c>
    </row>
    <row r="23523" spans="8:8" x14ac:dyDescent="0.3">
      <c r="H23523" t="str">
        <f t="shared" si="417"/>
        <v/>
      </c>
    </row>
    <row r="23524" spans="8:8" x14ac:dyDescent="0.3">
      <c r="H23524" t="str">
        <f t="shared" si="417"/>
        <v/>
      </c>
    </row>
    <row r="23525" spans="8:8" x14ac:dyDescent="0.3">
      <c r="H23525" t="str">
        <f t="shared" si="417"/>
        <v/>
      </c>
    </row>
    <row r="23526" spans="8:8" x14ac:dyDescent="0.3">
      <c r="H23526" t="str">
        <f t="shared" si="417"/>
        <v/>
      </c>
    </row>
    <row r="23527" spans="8:8" x14ac:dyDescent="0.3">
      <c r="H23527" t="str">
        <f t="shared" si="417"/>
        <v/>
      </c>
    </row>
    <row r="23528" spans="8:8" x14ac:dyDescent="0.3">
      <c r="H23528" t="str">
        <f t="shared" si="417"/>
        <v/>
      </c>
    </row>
    <row r="23529" spans="8:8" x14ac:dyDescent="0.3">
      <c r="H23529" t="str">
        <f t="shared" si="417"/>
        <v/>
      </c>
    </row>
    <row r="23530" spans="8:8" x14ac:dyDescent="0.3">
      <c r="H23530" t="str">
        <f t="shared" si="417"/>
        <v/>
      </c>
    </row>
    <row r="23531" spans="8:8" x14ac:dyDescent="0.3">
      <c r="H23531" t="str">
        <f t="shared" si="417"/>
        <v/>
      </c>
    </row>
    <row r="23532" spans="8:8" x14ac:dyDescent="0.3">
      <c r="H23532" t="str">
        <f t="shared" si="417"/>
        <v/>
      </c>
    </row>
    <row r="23533" spans="8:8" x14ac:dyDescent="0.3">
      <c r="H23533" t="str">
        <f t="shared" si="417"/>
        <v/>
      </c>
    </row>
    <row r="23534" spans="8:8" x14ac:dyDescent="0.3">
      <c r="H23534" t="str">
        <f t="shared" si="417"/>
        <v/>
      </c>
    </row>
    <row r="23535" spans="8:8" x14ac:dyDescent="0.3">
      <c r="H23535" t="str">
        <f t="shared" si="417"/>
        <v/>
      </c>
    </row>
    <row r="23536" spans="8:8" x14ac:dyDescent="0.3">
      <c r="H23536" t="str">
        <f t="shared" si="417"/>
        <v/>
      </c>
    </row>
    <row r="23537" spans="8:8" x14ac:dyDescent="0.3">
      <c r="H23537" t="str">
        <f t="shared" si="417"/>
        <v/>
      </c>
    </row>
    <row r="23538" spans="8:8" x14ac:dyDescent="0.3">
      <c r="H23538" t="str">
        <f t="shared" si="417"/>
        <v/>
      </c>
    </row>
    <row r="23539" spans="8:8" x14ac:dyDescent="0.3">
      <c r="H23539" t="str">
        <f t="shared" si="417"/>
        <v/>
      </c>
    </row>
    <row r="23540" spans="8:8" x14ac:dyDescent="0.3">
      <c r="H23540" t="str">
        <f t="shared" si="417"/>
        <v/>
      </c>
    </row>
    <row r="23541" spans="8:8" x14ac:dyDescent="0.3">
      <c r="H23541" t="str">
        <f t="shared" si="417"/>
        <v/>
      </c>
    </row>
    <row r="23542" spans="8:8" x14ac:dyDescent="0.3">
      <c r="H23542" t="str">
        <f t="shared" si="417"/>
        <v/>
      </c>
    </row>
    <row r="23543" spans="8:8" x14ac:dyDescent="0.3">
      <c r="H23543" t="str">
        <f t="shared" si="417"/>
        <v/>
      </c>
    </row>
    <row r="23544" spans="8:8" x14ac:dyDescent="0.3">
      <c r="H23544" t="str">
        <f t="shared" si="417"/>
        <v/>
      </c>
    </row>
    <row r="23545" spans="8:8" x14ac:dyDescent="0.3">
      <c r="H23545" t="str">
        <f t="shared" si="417"/>
        <v/>
      </c>
    </row>
    <row r="23546" spans="8:8" x14ac:dyDescent="0.3">
      <c r="H23546" t="str">
        <f t="shared" si="417"/>
        <v/>
      </c>
    </row>
    <row r="23547" spans="8:8" x14ac:dyDescent="0.3">
      <c r="H23547" t="str">
        <f t="shared" si="417"/>
        <v/>
      </c>
    </row>
    <row r="23548" spans="8:8" x14ac:dyDescent="0.3">
      <c r="H23548" t="str">
        <f t="shared" si="417"/>
        <v/>
      </c>
    </row>
    <row r="23549" spans="8:8" x14ac:dyDescent="0.3">
      <c r="H23549" t="str">
        <f t="shared" si="417"/>
        <v/>
      </c>
    </row>
    <row r="23550" spans="8:8" x14ac:dyDescent="0.3">
      <c r="H23550" t="str">
        <f t="shared" si="417"/>
        <v/>
      </c>
    </row>
    <row r="23551" spans="8:8" x14ac:dyDescent="0.3">
      <c r="H23551" t="str">
        <f t="shared" si="417"/>
        <v/>
      </c>
    </row>
    <row r="23552" spans="8:8" x14ac:dyDescent="0.3">
      <c r="H23552" t="str">
        <f t="shared" si="417"/>
        <v/>
      </c>
    </row>
    <row r="23553" spans="8:8" x14ac:dyDescent="0.3">
      <c r="H23553" t="str">
        <f t="shared" si="417"/>
        <v/>
      </c>
    </row>
    <row r="23554" spans="8:8" x14ac:dyDescent="0.3">
      <c r="H23554" t="str">
        <f t="shared" si="417"/>
        <v/>
      </c>
    </row>
    <row r="23555" spans="8:8" x14ac:dyDescent="0.3">
      <c r="H23555" t="str">
        <f t="shared" si="417"/>
        <v/>
      </c>
    </row>
    <row r="23556" spans="8:8" x14ac:dyDescent="0.3">
      <c r="H23556" t="str">
        <f t="shared" si="417"/>
        <v/>
      </c>
    </row>
    <row r="23557" spans="8:8" x14ac:dyDescent="0.3">
      <c r="H23557" t="str">
        <f t="shared" si="417"/>
        <v/>
      </c>
    </row>
    <row r="23558" spans="8:8" x14ac:dyDescent="0.3">
      <c r="H23558" t="str">
        <f t="shared" si="417"/>
        <v/>
      </c>
    </row>
    <row r="23559" spans="8:8" x14ac:dyDescent="0.3">
      <c r="H23559" t="str">
        <f t="shared" si="417"/>
        <v/>
      </c>
    </row>
    <row r="23560" spans="8:8" x14ac:dyDescent="0.3">
      <c r="H23560" t="str">
        <f t="shared" si="417"/>
        <v/>
      </c>
    </row>
    <row r="23561" spans="8:8" x14ac:dyDescent="0.3">
      <c r="H23561" t="str">
        <f t="shared" si="417"/>
        <v/>
      </c>
    </row>
    <row r="23562" spans="8:8" x14ac:dyDescent="0.3">
      <c r="H23562" t="str">
        <f t="shared" si="417"/>
        <v/>
      </c>
    </row>
    <row r="23563" spans="8:8" x14ac:dyDescent="0.3">
      <c r="H23563" t="str">
        <f t="shared" si="417"/>
        <v/>
      </c>
    </row>
    <row r="23564" spans="8:8" x14ac:dyDescent="0.3">
      <c r="H23564" t="str">
        <f t="shared" si="417"/>
        <v/>
      </c>
    </row>
    <row r="23565" spans="8:8" x14ac:dyDescent="0.3">
      <c r="H23565" t="str">
        <f t="shared" si="417"/>
        <v/>
      </c>
    </row>
    <row r="23566" spans="8:8" x14ac:dyDescent="0.3">
      <c r="H23566" t="str">
        <f t="shared" si="417"/>
        <v/>
      </c>
    </row>
    <row r="23567" spans="8:8" x14ac:dyDescent="0.3">
      <c r="H23567" t="str">
        <f t="shared" si="417"/>
        <v/>
      </c>
    </row>
    <row r="23568" spans="8:8" x14ac:dyDescent="0.3">
      <c r="H23568" t="str">
        <f t="shared" si="417"/>
        <v/>
      </c>
    </row>
    <row r="23569" spans="8:8" x14ac:dyDescent="0.3">
      <c r="H23569" t="str">
        <f t="shared" si="417"/>
        <v/>
      </c>
    </row>
    <row r="23570" spans="8:8" x14ac:dyDescent="0.3">
      <c r="H23570" t="str">
        <f t="shared" si="417"/>
        <v/>
      </c>
    </row>
    <row r="23571" spans="8:8" x14ac:dyDescent="0.3">
      <c r="H23571" t="str">
        <f t="shared" si="417"/>
        <v/>
      </c>
    </row>
    <row r="23572" spans="8:8" x14ac:dyDescent="0.3">
      <c r="H23572" t="str">
        <f t="shared" si="417"/>
        <v/>
      </c>
    </row>
    <row r="23573" spans="8:8" x14ac:dyDescent="0.3">
      <c r="H23573" t="str">
        <f t="shared" si="417"/>
        <v/>
      </c>
    </row>
    <row r="23574" spans="8:8" x14ac:dyDescent="0.3">
      <c r="H23574" t="str">
        <f t="shared" si="417"/>
        <v/>
      </c>
    </row>
    <row r="23575" spans="8:8" x14ac:dyDescent="0.3">
      <c r="H23575" t="str">
        <f t="shared" ref="H23575:H23638" si="418">IF(B23575="","",$C$12)</f>
        <v/>
      </c>
    </row>
    <row r="23576" spans="8:8" x14ac:dyDescent="0.3">
      <c r="H23576" t="str">
        <f t="shared" si="418"/>
        <v/>
      </c>
    </row>
    <row r="23577" spans="8:8" x14ac:dyDescent="0.3">
      <c r="H23577" t="str">
        <f t="shared" si="418"/>
        <v/>
      </c>
    </row>
    <row r="23578" spans="8:8" x14ac:dyDescent="0.3">
      <c r="H23578" t="str">
        <f t="shared" si="418"/>
        <v/>
      </c>
    </row>
    <row r="23579" spans="8:8" x14ac:dyDescent="0.3">
      <c r="H23579" t="str">
        <f t="shared" si="418"/>
        <v/>
      </c>
    </row>
    <row r="23580" spans="8:8" x14ac:dyDescent="0.3">
      <c r="H23580" t="str">
        <f t="shared" si="418"/>
        <v/>
      </c>
    </row>
    <row r="23581" spans="8:8" x14ac:dyDescent="0.3">
      <c r="H23581" t="str">
        <f t="shared" si="418"/>
        <v/>
      </c>
    </row>
    <row r="23582" spans="8:8" x14ac:dyDescent="0.3">
      <c r="H23582" t="str">
        <f t="shared" si="418"/>
        <v/>
      </c>
    </row>
    <row r="23583" spans="8:8" x14ac:dyDescent="0.3">
      <c r="H23583" t="str">
        <f t="shared" si="418"/>
        <v/>
      </c>
    </row>
    <row r="23584" spans="8:8" x14ac:dyDescent="0.3">
      <c r="H23584" t="str">
        <f t="shared" si="418"/>
        <v/>
      </c>
    </row>
    <row r="23585" spans="8:8" x14ac:dyDescent="0.3">
      <c r="H23585" t="str">
        <f t="shared" si="418"/>
        <v/>
      </c>
    </row>
    <row r="23586" spans="8:8" x14ac:dyDescent="0.3">
      <c r="H23586" t="str">
        <f t="shared" si="418"/>
        <v/>
      </c>
    </row>
    <row r="23587" spans="8:8" x14ac:dyDescent="0.3">
      <c r="H23587" t="str">
        <f t="shared" si="418"/>
        <v/>
      </c>
    </row>
    <row r="23588" spans="8:8" x14ac:dyDescent="0.3">
      <c r="H23588" t="str">
        <f t="shared" si="418"/>
        <v/>
      </c>
    </row>
    <row r="23589" spans="8:8" x14ac:dyDescent="0.3">
      <c r="H23589" t="str">
        <f t="shared" si="418"/>
        <v/>
      </c>
    </row>
    <row r="23590" spans="8:8" x14ac:dyDescent="0.3">
      <c r="H23590" t="str">
        <f t="shared" si="418"/>
        <v/>
      </c>
    </row>
    <row r="23591" spans="8:8" x14ac:dyDescent="0.3">
      <c r="H23591" t="str">
        <f t="shared" si="418"/>
        <v/>
      </c>
    </row>
    <row r="23592" spans="8:8" x14ac:dyDescent="0.3">
      <c r="H23592" t="str">
        <f t="shared" si="418"/>
        <v/>
      </c>
    </row>
    <row r="23593" spans="8:8" x14ac:dyDescent="0.3">
      <c r="H23593" t="str">
        <f t="shared" si="418"/>
        <v/>
      </c>
    </row>
    <row r="23594" spans="8:8" x14ac:dyDescent="0.3">
      <c r="H23594" t="str">
        <f t="shared" si="418"/>
        <v/>
      </c>
    </row>
    <row r="23595" spans="8:8" x14ac:dyDescent="0.3">
      <c r="H23595" t="str">
        <f t="shared" si="418"/>
        <v/>
      </c>
    </row>
    <row r="23596" spans="8:8" x14ac:dyDescent="0.3">
      <c r="H23596" t="str">
        <f t="shared" si="418"/>
        <v/>
      </c>
    </row>
    <row r="23597" spans="8:8" x14ac:dyDescent="0.3">
      <c r="H23597" t="str">
        <f t="shared" si="418"/>
        <v/>
      </c>
    </row>
    <row r="23598" spans="8:8" x14ac:dyDescent="0.3">
      <c r="H23598" t="str">
        <f t="shared" si="418"/>
        <v/>
      </c>
    </row>
    <row r="23599" spans="8:8" x14ac:dyDescent="0.3">
      <c r="H23599" t="str">
        <f t="shared" si="418"/>
        <v/>
      </c>
    </row>
    <row r="23600" spans="8:8" x14ac:dyDescent="0.3">
      <c r="H23600" t="str">
        <f t="shared" si="418"/>
        <v/>
      </c>
    </row>
    <row r="23601" spans="8:8" x14ac:dyDescent="0.3">
      <c r="H23601" t="str">
        <f t="shared" si="418"/>
        <v/>
      </c>
    </row>
    <row r="23602" spans="8:8" x14ac:dyDescent="0.3">
      <c r="H23602" t="str">
        <f t="shared" si="418"/>
        <v/>
      </c>
    </row>
    <row r="23603" spans="8:8" x14ac:dyDescent="0.3">
      <c r="H23603" t="str">
        <f t="shared" si="418"/>
        <v/>
      </c>
    </row>
    <row r="23604" spans="8:8" x14ac:dyDescent="0.3">
      <c r="H23604" t="str">
        <f t="shared" si="418"/>
        <v/>
      </c>
    </row>
    <row r="23605" spans="8:8" x14ac:dyDescent="0.3">
      <c r="H23605" t="str">
        <f t="shared" si="418"/>
        <v/>
      </c>
    </row>
    <row r="23606" spans="8:8" x14ac:dyDescent="0.3">
      <c r="H23606" t="str">
        <f t="shared" si="418"/>
        <v/>
      </c>
    </row>
    <row r="23607" spans="8:8" x14ac:dyDescent="0.3">
      <c r="H23607" t="str">
        <f t="shared" si="418"/>
        <v/>
      </c>
    </row>
    <row r="23608" spans="8:8" x14ac:dyDescent="0.3">
      <c r="H23608" t="str">
        <f t="shared" si="418"/>
        <v/>
      </c>
    </row>
    <row r="23609" spans="8:8" x14ac:dyDescent="0.3">
      <c r="H23609" t="str">
        <f t="shared" si="418"/>
        <v/>
      </c>
    </row>
    <row r="23610" spans="8:8" x14ac:dyDescent="0.3">
      <c r="H23610" t="str">
        <f t="shared" si="418"/>
        <v/>
      </c>
    </row>
    <row r="23611" spans="8:8" x14ac:dyDescent="0.3">
      <c r="H23611" t="str">
        <f t="shared" si="418"/>
        <v/>
      </c>
    </row>
    <row r="23612" spans="8:8" x14ac:dyDescent="0.3">
      <c r="H23612" t="str">
        <f t="shared" si="418"/>
        <v/>
      </c>
    </row>
    <row r="23613" spans="8:8" x14ac:dyDescent="0.3">
      <c r="H23613" t="str">
        <f t="shared" si="418"/>
        <v/>
      </c>
    </row>
    <row r="23614" spans="8:8" x14ac:dyDescent="0.3">
      <c r="H23614" t="str">
        <f t="shared" si="418"/>
        <v/>
      </c>
    </row>
    <row r="23615" spans="8:8" x14ac:dyDescent="0.3">
      <c r="H23615" t="str">
        <f t="shared" si="418"/>
        <v/>
      </c>
    </row>
    <row r="23616" spans="8:8" x14ac:dyDescent="0.3">
      <c r="H23616" t="str">
        <f t="shared" si="418"/>
        <v/>
      </c>
    </row>
    <row r="23617" spans="8:8" x14ac:dyDescent="0.3">
      <c r="H23617" t="str">
        <f t="shared" si="418"/>
        <v/>
      </c>
    </row>
    <row r="23618" spans="8:8" x14ac:dyDescent="0.3">
      <c r="H23618" t="str">
        <f t="shared" si="418"/>
        <v/>
      </c>
    </row>
    <row r="23619" spans="8:8" x14ac:dyDescent="0.3">
      <c r="H23619" t="str">
        <f t="shared" si="418"/>
        <v/>
      </c>
    </row>
    <row r="23620" spans="8:8" x14ac:dyDescent="0.3">
      <c r="H23620" t="str">
        <f t="shared" si="418"/>
        <v/>
      </c>
    </row>
    <row r="23621" spans="8:8" x14ac:dyDescent="0.3">
      <c r="H23621" t="str">
        <f t="shared" si="418"/>
        <v/>
      </c>
    </row>
    <row r="23622" spans="8:8" x14ac:dyDescent="0.3">
      <c r="H23622" t="str">
        <f t="shared" si="418"/>
        <v/>
      </c>
    </row>
    <row r="23623" spans="8:8" x14ac:dyDescent="0.3">
      <c r="H23623" t="str">
        <f t="shared" si="418"/>
        <v/>
      </c>
    </row>
    <row r="23624" spans="8:8" x14ac:dyDescent="0.3">
      <c r="H23624" t="str">
        <f t="shared" si="418"/>
        <v/>
      </c>
    </row>
    <row r="23625" spans="8:8" x14ac:dyDescent="0.3">
      <c r="H23625" t="str">
        <f t="shared" si="418"/>
        <v/>
      </c>
    </row>
    <row r="23626" spans="8:8" x14ac:dyDescent="0.3">
      <c r="H23626" t="str">
        <f t="shared" si="418"/>
        <v/>
      </c>
    </row>
    <row r="23627" spans="8:8" x14ac:dyDescent="0.3">
      <c r="H23627" t="str">
        <f t="shared" si="418"/>
        <v/>
      </c>
    </row>
    <row r="23628" spans="8:8" x14ac:dyDescent="0.3">
      <c r="H23628" t="str">
        <f t="shared" si="418"/>
        <v/>
      </c>
    </row>
    <row r="23629" spans="8:8" x14ac:dyDescent="0.3">
      <c r="H23629" t="str">
        <f t="shared" si="418"/>
        <v/>
      </c>
    </row>
    <row r="23630" spans="8:8" x14ac:dyDescent="0.3">
      <c r="H23630" t="str">
        <f t="shared" si="418"/>
        <v/>
      </c>
    </row>
    <row r="23631" spans="8:8" x14ac:dyDescent="0.3">
      <c r="H23631" t="str">
        <f t="shared" si="418"/>
        <v/>
      </c>
    </row>
    <row r="23632" spans="8:8" x14ac:dyDescent="0.3">
      <c r="H23632" t="str">
        <f t="shared" si="418"/>
        <v/>
      </c>
    </row>
    <row r="23633" spans="8:8" x14ac:dyDescent="0.3">
      <c r="H23633" t="str">
        <f t="shared" si="418"/>
        <v/>
      </c>
    </row>
    <row r="23634" spans="8:8" x14ac:dyDescent="0.3">
      <c r="H23634" t="str">
        <f t="shared" si="418"/>
        <v/>
      </c>
    </row>
    <row r="23635" spans="8:8" x14ac:dyDescent="0.3">
      <c r="H23635" t="str">
        <f t="shared" si="418"/>
        <v/>
      </c>
    </row>
    <row r="23636" spans="8:8" x14ac:dyDescent="0.3">
      <c r="H23636" t="str">
        <f t="shared" si="418"/>
        <v/>
      </c>
    </row>
    <row r="23637" spans="8:8" x14ac:dyDescent="0.3">
      <c r="H23637" t="str">
        <f t="shared" si="418"/>
        <v/>
      </c>
    </row>
    <row r="23638" spans="8:8" x14ac:dyDescent="0.3">
      <c r="H23638" t="str">
        <f t="shared" si="418"/>
        <v/>
      </c>
    </row>
    <row r="23639" spans="8:8" x14ac:dyDescent="0.3">
      <c r="H23639" t="str">
        <f t="shared" ref="H23639:H23702" si="419">IF(B23639="","",$C$12)</f>
        <v/>
      </c>
    </row>
    <row r="23640" spans="8:8" x14ac:dyDescent="0.3">
      <c r="H23640" t="str">
        <f t="shared" si="419"/>
        <v/>
      </c>
    </row>
    <row r="23641" spans="8:8" x14ac:dyDescent="0.3">
      <c r="H23641" t="str">
        <f t="shared" si="419"/>
        <v/>
      </c>
    </row>
    <row r="23642" spans="8:8" x14ac:dyDescent="0.3">
      <c r="H23642" t="str">
        <f t="shared" si="419"/>
        <v/>
      </c>
    </row>
    <row r="23643" spans="8:8" x14ac:dyDescent="0.3">
      <c r="H23643" t="str">
        <f t="shared" si="419"/>
        <v/>
      </c>
    </row>
    <row r="23644" spans="8:8" x14ac:dyDescent="0.3">
      <c r="H23644" t="str">
        <f t="shared" si="419"/>
        <v/>
      </c>
    </row>
    <row r="23645" spans="8:8" x14ac:dyDescent="0.3">
      <c r="H23645" t="str">
        <f t="shared" si="419"/>
        <v/>
      </c>
    </row>
    <row r="23646" spans="8:8" x14ac:dyDescent="0.3">
      <c r="H23646" t="str">
        <f t="shared" si="419"/>
        <v/>
      </c>
    </row>
    <row r="23647" spans="8:8" x14ac:dyDescent="0.3">
      <c r="H23647" t="str">
        <f t="shared" si="419"/>
        <v/>
      </c>
    </row>
    <row r="23648" spans="8:8" x14ac:dyDescent="0.3">
      <c r="H23648" t="str">
        <f t="shared" si="419"/>
        <v/>
      </c>
    </row>
    <row r="23649" spans="8:8" x14ac:dyDescent="0.3">
      <c r="H23649" t="str">
        <f t="shared" si="419"/>
        <v/>
      </c>
    </row>
    <row r="23650" spans="8:8" x14ac:dyDescent="0.3">
      <c r="H23650" t="str">
        <f t="shared" si="419"/>
        <v/>
      </c>
    </row>
    <row r="23651" spans="8:8" x14ac:dyDescent="0.3">
      <c r="H23651" t="str">
        <f t="shared" si="419"/>
        <v/>
      </c>
    </row>
    <row r="23652" spans="8:8" x14ac:dyDescent="0.3">
      <c r="H23652" t="str">
        <f t="shared" si="419"/>
        <v/>
      </c>
    </row>
    <row r="23653" spans="8:8" x14ac:dyDescent="0.3">
      <c r="H23653" t="str">
        <f t="shared" si="419"/>
        <v/>
      </c>
    </row>
    <row r="23654" spans="8:8" x14ac:dyDescent="0.3">
      <c r="H23654" t="str">
        <f t="shared" si="419"/>
        <v/>
      </c>
    </row>
    <row r="23655" spans="8:8" x14ac:dyDescent="0.3">
      <c r="H23655" t="str">
        <f t="shared" si="419"/>
        <v/>
      </c>
    </row>
    <row r="23656" spans="8:8" x14ac:dyDescent="0.3">
      <c r="H23656" t="str">
        <f t="shared" si="419"/>
        <v/>
      </c>
    </row>
    <row r="23657" spans="8:8" x14ac:dyDescent="0.3">
      <c r="H23657" t="str">
        <f t="shared" si="419"/>
        <v/>
      </c>
    </row>
    <row r="23658" spans="8:8" x14ac:dyDescent="0.3">
      <c r="H23658" t="str">
        <f t="shared" si="419"/>
        <v/>
      </c>
    </row>
    <row r="23659" spans="8:8" x14ac:dyDescent="0.3">
      <c r="H23659" t="str">
        <f t="shared" si="419"/>
        <v/>
      </c>
    </row>
    <row r="23660" spans="8:8" x14ac:dyDescent="0.3">
      <c r="H23660" t="str">
        <f t="shared" si="419"/>
        <v/>
      </c>
    </row>
    <row r="23661" spans="8:8" x14ac:dyDescent="0.3">
      <c r="H23661" t="str">
        <f t="shared" si="419"/>
        <v/>
      </c>
    </row>
    <row r="23662" spans="8:8" x14ac:dyDescent="0.3">
      <c r="H23662" t="str">
        <f t="shared" si="419"/>
        <v/>
      </c>
    </row>
    <row r="23663" spans="8:8" x14ac:dyDescent="0.3">
      <c r="H23663" t="str">
        <f t="shared" si="419"/>
        <v/>
      </c>
    </row>
    <row r="23664" spans="8:8" x14ac:dyDescent="0.3">
      <c r="H23664" t="str">
        <f t="shared" si="419"/>
        <v/>
      </c>
    </row>
    <row r="23665" spans="8:8" x14ac:dyDescent="0.3">
      <c r="H23665" t="str">
        <f t="shared" si="419"/>
        <v/>
      </c>
    </row>
    <row r="23666" spans="8:8" x14ac:dyDescent="0.3">
      <c r="H23666" t="str">
        <f t="shared" si="419"/>
        <v/>
      </c>
    </row>
    <row r="23667" spans="8:8" x14ac:dyDescent="0.3">
      <c r="H23667" t="str">
        <f t="shared" si="419"/>
        <v/>
      </c>
    </row>
    <row r="23668" spans="8:8" x14ac:dyDescent="0.3">
      <c r="H23668" t="str">
        <f t="shared" si="419"/>
        <v/>
      </c>
    </row>
    <row r="23669" spans="8:8" x14ac:dyDescent="0.3">
      <c r="H23669" t="str">
        <f t="shared" si="419"/>
        <v/>
      </c>
    </row>
    <row r="23670" spans="8:8" x14ac:dyDescent="0.3">
      <c r="H23670" t="str">
        <f t="shared" si="419"/>
        <v/>
      </c>
    </row>
    <row r="23671" spans="8:8" x14ac:dyDescent="0.3">
      <c r="H23671" t="str">
        <f t="shared" si="419"/>
        <v/>
      </c>
    </row>
    <row r="23672" spans="8:8" x14ac:dyDescent="0.3">
      <c r="H23672" t="str">
        <f t="shared" si="419"/>
        <v/>
      </c>
    </row>
    <row r="23673" spans="8:8" x14ac:dyDescent="0.3">
      <c r="H23673" t="str">
        <f t="shared" si="419"/>
        <v/>
      </c>
    </row>
    <row r="23674" spans="8:8" x14ac:dyDescent="0.3">
      <c r="H23674" t="str">
        <f t="shared" si="419"/>
        <v/>
      </c>
    </row>
    <row r="23675" spans="8:8" x14ac:dyDescent="0.3">
      <c r="H23675" t="str">
        <f t="shared" si="419"/>
        <v/>
      </c>
    </row>
    <row r="23676" spans="8:8" x14ac:dyDescent="0.3">
      <c r="H23676" t="str">
        <f t="shared" si="419"/>
        <v/>
      </c>
    </row>
    <row r="23677" spans="8:8" x14ac:dyDescent="0.3">
      <c r="H23677" t="str">
        <f t="shared" si="419"/>
        <v/>
      </c>
    </row>
    <row r="23678" spans="8:8" x14ac:dyDescent="0.3">
      <c r="H23678" t="str">
        <f t="shared" si="419"/>
        <v/>
      </c>
    </row>
    <row r="23679" spans="8:8" x14ac:dyDescent="0.3">
      <c r="H23679" t="str">
        <f t="shared" si="419"/>
        <v/>
      </c>
    </row>
    <row r="23680" spans="8:8" x14ac:dyDescent="0.3">
      <c r="H23680" t="str">
        <f t="shared" si="419"/>
        <v/>
      </c>
    </row>
    <row r="23681" spans="8:8" x14ac:dyDescent="0.3">
      <c r="H23681" t="str">
        <f t="shared" si="419"/>
        <v/>
      </c>
    </row>
    <row r="23682" spans="8:8" x14ac:dyDescent="0.3">
      <c r="H23682" t="str">
        <f t="shared" si="419"/>
        <v/>
      </c>
    </row>
    <row r="23683" spans="8:8" x14ac:dyDescent="0.3">
      <c r="H23683" t="str">
        <f t="shared" si="419"/>
        <v/>
      </c>
    </row>
    <row r="23684" spans="8:8" x14ac:dyDescent="0.3">
      <c r="H23684" t="str">
        <f t="shared" si="419"/>
        <v/>
      </c>
    </row>
    <row r="23685" spans="8:8" x14ac:dyDescent="0.3">
      <c r="H23685" t="str">
        <f t="shared" si="419"/>
        <v/>
      </c>
    </row>
    <row r="23686" spans="8:8" x14ac:dyDescent="0.3">
      <c r="H23686" t="str">
        <f t="shared" si="419"/>
        <v/>
      </c>
    </row>
    <row r="23687" spans="8:8" x14ac:dyDescent="0.3">
      <c r="H23687" t="str">
        <f t="shared" si="419"/>
        <v/>
      </c>
    </row>
    <row r="23688" spans="8:8" x14ac:dyDescent="0.3">
      <c r="H23688" t="str">
        <f t="shared" si="419"/>
        <v/>
      </c>
    </row>
    <row r="23689" spans="8:8" x14ac:dyDescent="0.3">
      <c r="H23689" t="str">
        <f t="shared" si="419"/>
        <v/>
      </c>
    </row>
    <row r="23690" spans="8:8" x14ac:dyDescent="0.3">
      <c r="H23690" t="str">
        <f t="shared" si="419"/>
        <v/>
      </c>
    </row>
    <row r="23691" spans="8:8" x14ac:dyDescent="0.3">
      <c r="H23691" t="str">
        <f t="shared" si="419"/>
        <v/>
      </c>
    </row>
    <row r="23692" spans="8:8" x14ac:dyDescent="0.3">
      <c r="H23692" t="str">
        <f t="shared" si="419"/>
        <v/>
      </c>
    </row>
    <row r="23693" spans="8:8" x14ac:dyDescent="0.3">
      <c r="H23693" t="str">
        <f t="shared" si="419"/>
        <v/>
      </c>
    </row>
    <row r="23694" spans="8:8" x14ac:dyDescent="0.3">
      <c r="H23694" t="str">
        <f t="shared" si="419"/>
        <v/>
      </c>
    </row>
    <row r="23695" spans="8:8" x14ac:dyDescent="0.3">
      <c r="H23695" t="str">
        <f t="shared" si="419"/>
        <v/>
      </c>
    </row>
    <row r="23696" spans="8:8" x14ac:dyDescent="0.3">
      <c r="H23696" t="str">
        <f t="shared" si="419"/>
        <v/>
      </c>
    </row>
    <row r="23697" spans="8:8" x14ac:dyDescent="0.3">
      <c r="H23697" t="str">
        <f t="shared" si="419"/>
        <v/>
      </c>
    </row>
    <row r="23698" spans="8:8" x14ac:dyDescent="0.3">
      <c r="H23698" t="str">
        <f t="shared" si="419"/>
        <v/>
      </c>
    </row>
    <row r="23699" spans="8:8" x14ac:dyDescent="0.3">
      <c r="H23699" t="str">
        <f t="shared" si="419"/>
        <v/>
      </c>
    </row>
    <row r="23700" spans="8:8" x14ac:dyDescent="0.3">
      <c r="H23700" t="str">
        <f t="shared" si="419"/>
        <v/>
      </c>
    </row>
    <row r="23701" spans="8:8" x14ac:dyDescent="0.3">
      <c r="H23701" t="str">
        <f t="shared" si="419"/>
        <v/>
      </c>
    </row>
    <row r="23702" spans="8:8" x14ac:dyDescent="0.3">
      <c r="H23702" t="str">
        <f t="shared" si="419"/>
        <v/>
      </c>
    </row>
    <row r="23703" spans="8:8" x14ac:dyDescent="0.3">
      <c r="H23703" t="str">
        <f t="shared" ref="H23703:H23766" si="420">IF(B23703="","",$C$12)</f>
        <v/>
      </c>
    </row>
    <row r="23704" spans="8:8" x14ac:dyDescent="0.3">
      <c r="H23704" t="str">
        <f t="shared" si="420"/>
        <v/>
      </c>
    </row>
    <row r="23705" spans="8:8" x14ac:dyDescent="0.3">
      <c r="H23705" t="str">
        <f t="shared" si="420"/>
        <v/>
      </c>
    </row>
    <row r="23706" spans="8:8" x14ac:dyDescent="0.3">
      <c r="H23706" t="str">
        <f t="shared" si="420"/>
        <v/>
      </c>
    </row>
    <row r="23707" spans="8:8" x14ac:dyDescent="0.3">
      <c r="H23707" t="str">
        <f t="shared" si="420"/>
        <v/>
      </c>
    </row>
    <row r="23708" spans="8:8" x14ac:dyDescent="0.3">
      <c r="H23708" t="str">
        <f t="shared" si="420"/>
        <v/>
      </c>
    </row>
    <row r="23709" spans="8:8" x14ac:dyDescent="0.3">
      <c r="H23709" t="str">
        <f t="shared" si="420"/>
        <v/>
      </c>
    </row>
    <row r="23710" spans="8:8" x14ac:dyDescent="0.3">
      <c r="H23710" t="str">
        <f t="shared" si="420"/>
        <v/>
      </c>
    </row>
    <row r="23711" spans="8:8" x14ac:dyDescent="0.3">
      <c r="H23711" t="str">
        <f t="shared" si="420"/>
        <v/>
      </c>
    </row>
    <row r="23712" spans="8:8" x14ac:dyDescent="0.3">
      <c r="H23712" t="str">
        <f t="shared" si="420"/>
        <v/>
      </c>
    </row>
    <row r="23713" spans="8:8" x14ac:dyDescent="0.3">
      <c r="H23713" t="str">
        <f t="shared" si="420"/>
        <v/>
      </c>
    </row>
    <row r="23714" spans="8:8" x14ac:dyDescent="0.3">
      <c r="H23714" t="str">
        <f t="shared" si="420"/>
        <v/>
      </c>
    </row>
    <row r="23715" spans="8:8" x14ac:dyDescent="0.3">
      <c r="H23715" t="str">
        <f t="shared" si="420"/>
        <v/>
      </c>
    </row>
    <row r="23716" spans="8:8" x14ac:dyDescent="0.3">
      <c r="H23716" t="str">
        <f t="shared" si="420"/>
        <v/>
      </c>
    </row>
    <row r="23717" spans="8:8" x14ac:dyDescent="0.3">
      <c r="H23717" t="str">
        <f t="shared" si="420"/>
        <v/>
      </c>
    </row>
    <row r="23718" spans="8:8" x14ac:dyDescent="0.3">
      <c r="H23718" t="str">
        <f t="shared" si="420"/>
        <v/>
      </c>
    </row>
    <row r="23719" spans="8:8" x14ac:dyDescent="0.3">
      <c r="H23719" t="str">
        <f t="shared" si="420"/>
        <v/>
      </c>
    </row>
    <row r="23720" spans="8:8" x14ac:dyDescent="0.3">
      <c r="H23720" t="str">
        <f t="shared" si="420"/>
        <v/>
      </c>
    </row>
    <row r="23721" spans="8:8" x14ac:dyDescent="0.3">
      <c r="H23721" t="str">
        <f t="shared" si="420"/>
        <v/>
      </c>
    </row>
    <row r="23722" spans="8:8" x14ac:dyDescent="0.3">
      <c r="H23722" t="str">
        <f t="shared" si="420"/>
        <v/>
      </c>
    </row>
    <row r="23723" spans="8:8" x14ac:dyDescent="0.3">
      <c r="H23723" t="str">
        <f t="shared" si="420"/>
        <v/>
      </c>
    </row>
    <row r="23724" spans="8:8" x14ac:dyDescent="0.3">
      <c r="H23724" t="str">
        <f t="shared" si="420"/>
        <v/>
      </c>
    </row>
    <row r="23725" spans="8:8" x14ac:dyDescent="0.3">
      <c r="H23725" t="str">
        <f t="shared" si="420"/>
        <v/>
      </c>
    </row>
    <row r="23726" spans="8:8" x14ac:dyDescent="0.3">
      <c r="H23726" t="str">
        <f t="shared" si="420"/>
        <v/>
      </c>
    </row>
    <row r="23727" spans="8:8" x14ac:dyDescent="0.3">
      <c r="H23727" t="str">
        <f t="shared" si="420"/>
        <v/>
      </c>
    </row>
    <row r="23728" spans="8:8" x14ac:dyDescent="0.3">
      <c r="H23728" t="str">
        <f t="shared" si="420"/>
        <v/>
      </c>
    </row>
    <row r="23729" spans="8:8" x14ac:dyDescent="0.3">
      <c r="H23729" t="str">
        <f t="shared" si="420"/>
        <v/>
      </c>
    </row>
    <row r="23730" spans="8:8" x14ac:dyDescent="0.3">
      <c r="H23730" t="str">
        <f t="shared" si="420"/>
        <v/>
      </c>
    </row>
    <row r="23731" spans="8:8" x14ac:dyDescent="0.3">
      <c r="H23731" t="str">
        <f t="shared" si="420"/>
        <v/>
      </c>
    </row>
    <row r="23732" spans="8:8" x14ac:dyDescent="0.3">
      <c r="H23732" t="str">
        <f t="shared" si="420"/>
        <v/>
      </c>
    </row>
    <row r="23733" spans="8:8" x14ac:dyDescent="0.3">
      <c r="H23733" t="str">
        <f t="shared" si="420"/>
        <v/>
      </c>
    </row>
    <row r="23734" spans="8:8" x14ac:dyDescent="0.3">
      <c r="H23734" t="str">
        <f t="shared" si="420"/>
        <v/>
      </c>
    </row>
    <row r="23735" spans="8:8" x14ac:dyDescent="0.3">
      <c r="H23735" t="str">
        <f t="shared" si="420"/>
        <v/>
      </c>
    </row>
    <row r="23736" spans="8:8" x14ac:dyDescent="0.3">
      <c r="H23736" t="str">
        <f t="shared" si="420"/>
        <v/>
      </c>
    </row>
    <row r="23737" spans="8:8" x14ac:dyDescent="0.3">
      <c r="H23737" t="str">
        <f t="shared" si="420"/>
        <v/>
      </c>
    </row>
    <row r="23738" spans="8:8" x14ac:dyDescent="0.3">
      <c r="H23738" t="str">
        <f t="shared" si="420"/>
        <v/>
      </c>
    </row>
    <row r="23739" spans="8:8" x14ac:dyDescent="0.3">
      <c r="H23739" t="str">
        <f t="shared" si="420"/>
        <v/>
      </c>
    </row>
    <row r="23740" spans="8:8" x14ac:dyDescent="0.3">
      <c r="H23740" t="str">
        <f t="shared" si="420"/>
        <v/>
      </c>
    </row>
    <row r="23741" spans="8:8" x14ac:dyDescent="0.3">
      <c r="H23741" t="str">
        <f t="shared" si="420"/>
        <v/>
      </c>
    </row>
    <row r="23742" spans="8:8" x14ac:dyDescent="0.3">
      <c r="H23742" t="str">
        <f t="shared" si="420"/>
        <v/>
      </c>
    </row>
    <row r="23743" spans="8:8" x14ac:dyDescent="0.3">
      <c r="H23743" t="str">
        <f t="shared" si="420"/>
        <v/>
      </c>
    </row>
    <row r="23744" spans="8:8" x14ac:dyDescent="0.3">
      <c r="H23744" t="str">
        <f t="shared" si="420"/>
        <v/>
      </c>
    </row>
    <row r="23745" spans="8:8" x14ac:dyDescent="0.3">
      <c r="H23745" t="str">
        <f t="shared" si="420"/>
        <v/>
      </c>
    </row>
    <row r="23746" spans="8:8" x14ac:dyDescent="0.3">
      <c r="H23746" t="str">
        <f t="shared" si="420"/>
        <v/>
      </c>
    </row>
    <row r="23747" spans="8:8" x14ac:dyDescent="0.3">
      <c r="H23747" t="str">
        <f t="shared" si="420"/>
        <v/>
      </c>
    </row>
    <row r="23748" spans="8:8" x14ac:dyDescent="0.3">
      <c r="H23748" t="str">
        <f t="shared" si="420"/>
        <v/>
      </c>
    </row>
    <row r="23749" spans="8:8" x14ac:dyDescent="0.3">
      <c r="H23749" t="str">
        <f t="shared" si="420"/>
        <v/>
      </c>
    </row>
    <row r="23750" spans="8:8" x14ac:dyDescent="0.3">
      <c r="H23750" t="str">
        <f t="shared" si="420"/>
        <v/>
      </c>
    </row>
    <row r="23751" spans="8:8" x14ac:dyDescent="0.3">
      <c r="H23751" t="str">
        <f t="shared" si="420"/>
        <v/>
      </c>
    </row>
    <row r="23752" spans="8:8" x14ac:dyDescent="0.3">
      <c r="H23752" t="str">
        <f t="shared" si="420"/>
        <v/>
      </c>
    </row>
    <row r="23753" spans="8:8" x14ac:dyDescent="0.3">
      <c r="H23753" t="str">
        <f t="shared" si="420"/>
        <v/>
      </c>
    </row>
    <row r="23754" spans="8:8" x14ac:dyDescent="0.3">
      <c r="H23754" t="str">
        <f t="shared" si="420"/>
        <v/>
      </c>
    </row>
    <row r="23755" spans="8:8" x14ac:dyDescent="0.3">
      <c r="H23755" t="str">
        <f t="shared" si="420"/>
        <v/>
      </c>
    </row>
    <row r="23756" spans="8:8" x14ac:dyDescent="0.3">
      <c r="H23756" t="str">
        <f t="shared" si="420"/>
        <v/>
      </c>
    </row>
    <row r="23757" spans="8:8" x14ac:dyDescent="0.3">
      <c r="H23757" t="str">
        <f t="shared" si="420"/>
        <v/>
      </c>
    </row>
    <row r="23758" spans="8:8" x14ac:dyDescent="0.3">
      <c r="H23758" t="str">
        <f t="shared" si="420"/>
        <v/>
      </c>
    </row>
    <row r="23759" spans="8:8" x14ac:dyDescent="0.3">
      <c r="H23759" t="str">
        <f t="shared" si="420"/>
        <v/>
      </c>
    </row>
    <row r="23760" spans="8:8" x14ac:dyDescent="0.3">
      <c r="H23760" t="str">
        <f t="shared" si="420"/>
        <v/>
      </c>
    </row>
    <row r="23761" spans="8:8" x14ac:dyDescent="0.3">
      <c r="H23761" t="str">
        <f t="shared" si="420"/>
        <v/>
      </c>
    </row>
    <row r="23762" spans="8:8" x14ac:dyDescent="0.3">
      <c r="H23762" t="str">
        <f t="shared" si="420"/>
        <v/>
      </c>
    </row>
    <row r="23763" spans="8:8" x14ac:dyDescent="0.3">
      <c r="H23763" t="str">
        <f t="shared" si="420"/>
        <v/>
      </c>
    </row>
    <row r="23764" spans="8:8" x14ac:dyDescent="0.3">
      <c r="H23764" t="str">
        <f t="shared" si="420"/>
        <v/>
      </c>
    </row>
    <row r="23765" spans="8:8" x14ac:dyDescent="0.3">
      <c r="H23765" t="str">
        <f t="shared" si="420"/>
        <v/>
      </c>
    </row>
    <row r="23766" spans="8:8" x14ac:dyDescent="0.3">
      <c r="H23766" t="str">
        <f t="shared" si="420"/>
        <v/>
      </c>
    </row>
    <row r="23767" spans="8:8" x14ac:dyDescent="0.3">
      <c r="H23767" t="str">
        <f t="shared" ref="H23767:H23830" si="421">IF(B23767="","",$C$12)</f>
        <v/>
      </c>
    </row>
    <row r="23768" spans="8:8" x14ac:dyDescent="0.3">
      <c r="H23768" t="str">
        <f t="shared" si="421"/>
        <v/>
      </c>
    </row>
    <row r="23769" spans="8:8" x14ac:dyDescent="0.3">
      <c r="H23769" t="str">
        <f t="shared" si="421"/>
        <v/>
      </c>
    </row>
    <row r="23770" spans="8:8" x14ac:dyDescent="0.3">
      <c r="H23770" t="str">
        <f t="shared" si="421"/>
        <v/>
      </c>
    </row>
    <row r="23771" spans="8:8" x14ac:dyDescent="0.3">
      <c r="H23771" t="str">
        <f t="shared" si="421"/>
        <v/>
      </c>
    </row>
    <row r="23772" spans="8:8" x14ac:dyDescent="0.3">
      <c r="H23772" t="str">
        <f t="shared" si="421"/>
        <v/>
      </c>
    </row>
    <row r="23773" spans="8:8" x14ac:dyDescent="0.3">
      <c r="H23773" t="str">
        <f t="shared" si="421"/>
        <v/>
      </c>
    </row>
    <row r="23774" spans="8:8" x14ac:dyDescent="0.3">
      <c r="H23774" t="str">
        <f t="shared" si="421"/>
        <v/>
      </c>
    </row>
    <row r="23775" spans="8:8" x14ac:dyDescent="0.3">
      <c r="H23775" t="str">
        <f t="shared" si="421"/>
        <v/>
      </c>
    </row>
    <row r="23776" spans="8:8" x14ac:dyDescent="0.3">
      <c r="H23776" t="str">
        <f t="shared" si="421"/>
        <v/>
      </c>
    </row>
    <row r="23777" spans="8:8" x14ac:dyDescent="0.3">
      <c r="H23777" t="str">
        <f t="shared" si="421"/>
        <v/>
      </c>
    </row>
    <row r="23778" spans="8:8" x14ac:dyDescent="0.3">
      <c r="H23778" t="str">
        <f t="shared" si="421"/>
        <v/>
      </c>
    </row>
    <row r="23779" spans="8:8" x14ac:dyDescent="0.3">
      <c r="H23779" t="str">
        <f t="shared" si="421"/>
        <v/>
      </c>
    </row>
    <row r="23780" spans="8:8" x14ac:dyDescent="0.3">
      <c r="H23780" t="str">
        <f t="shared" si="421"/>
        <v/>
      </c>
    </row>
    <row r="23781" spans="8:8" x14ac:dyDescent="0.3">
      <c r="H23781" t="str">
        <f t="shared" si="421"/>
        <v/>
      </c>
    </row>
    <row r="23782" spans="8:8" x14ac:dyDescent="0.3">
      <c r="H23782" t="str">
        <f t="shared" si="421"/>
        <v/>
      </c>
    </row>
    <row r="23783" spans="8:8" x14ac:dyDescent="0.3">
      <c r="H23783" t="str">
        <f t="shared" si="421"/>
        <v/>
      </c>
    </row>
    <row r="23784" spans="8:8" x14ac:dyDescent="0.3">
      <c r="H23784" t="str">
        <f t="shared" si="421"/>
        <v/>
      </c>
    </row>
    <row r="23785" spans="8:8" x14ac:dyDescent="0.3">
      <c r="H23785" t="str">
        <f t="shared" si="421"/>
        <v/>
      </c>
    </row>
    <row r="23786" spans="8:8" x14ac:dyDescent="0.3">
      <c r="H23786" t="str">
        <f t="shared" si="421"/>
        <v/>
      </c>
    </row>
    <row r="23787" spans="8:8" x14ac:dyDescent="0.3">
      <c r="H23787" t="str">
        <f t="shared" si="421"/>
        <v/>
      </c>
    </row>
    <row r="23788" spans="8:8" x14ac:dyDescent="0.3">
      <c r="H23788" t="str">
        <f t="shared" si="421"/>
        <v/>
      </c>
    </row>
    <row r="23789" spans="8:8" x14ac:dyDescent="0.3">
      <c r="H23789" t="str">
        <f t="shared" si="421"/>
        <v/>
      </c>
    </row>
    <row r="23790" spans="8:8" x14ac:dyDescent="0.3">
      <c r="H23790" t="str">
        <f t="shared" si="421"/>
        <v/>
      </c>
    </row>
    <row r="23791" spans="8:8" x14ac:dyDescent="0.3">
      <c r="H23791" t="str">
        <f t="shared" si="421"/>
        <v/>
      </c>
    </row>
    <row r="23792" spans="8:8" x14ac:dyDescent="0.3">
      <c r="H23792" t="str">
        <f t="shared" si="421"/>
        <v/>
      </c>
    </row>
    <row r="23793" spans="8:8" x14ac:dyDescent="0.3">
      <c r="H23793" t="str">
        <f t="shared" si="421"/>
        <v/>
      </c>
    </row>
    <row r="23794" spans="8:8" x14ac:dyDescent="0.3">
      <c r="H23794" t="str">
        <f t="shared" si="421"/>
        <v/>
      </c>
    </row>
    <row r="23795" spans="8:8" x14ac:dyDescent="0.3">
      <c r="H23795" t="str">
        <f t="shared" si="421"/>
        <v/>
      </c>
    </row>
    <row r="23796" spans="8:8" x14ac:dyDescent="0.3">
      <c r="H23796" t="str">
        <f t="shared" si="421"/>
        <v/>
      </c>
    </row>
    <row r="23797" spans="8:8" x14ac:dyDescent="0.3">
      <c r="H23797" t="str">
        <f t="shared" si="421"/>
        <v/>
      </c>
    </row>
    <row r="23798" spans="8:8" x14ac:dyDescent="0.3">
      <c r="H23798" t="str">
        <f t="shared" si="421"/>
        <v/>
      </c>
    </row>
    <row r="23799" spans="8:8" x14ac:dyDescent="0.3">
      <c r="H23799" t="str">
        <f t="shared" si="421"/>
        <v/>
      </c>
    </row>
    <row r="23800" spans="8:8" x14ac:dyDescent="0.3">
      <c r="H23800" t="str">
        <f t="shared" si="421"/>
        <v/>
      </c>
    </row>
    <row r="23801" spans="8:8" x14ac:dyDescent="0.3">
      <c r="H23801" t="str">
        <f t="shared" si="421"/>
        <v/>
      </c>
    </row>
    <row r="23802" spans="8:8" x14ac:dyDescent="0.3">
      <c r="H23802" t="str">
        <f t="shared" si="421"/>
        <v/>
      </c>
    </row>
    <row r="23803" spans="8:8" x14ac:dyDescent="0.3">
      <c r="H23803" t="str">
        <f t="shared" si="421"/>
        <v/>
      </c>
    </row>
    <row r="23804" spans="8:8" x14ac:dyDescent="0.3">
      <c r="H23804" t="str">
        <f t="shared" si="421"/>
        <v/>
      </c>
    </row>
    <row r="23805" spans="8:8" x14ac:dyDescent="0.3">
      <c r="H23805" t="str">
        <f t="shared" si="421"/>
        <v/>
      </c>
    </row>
    <row r="23806" spans="8:8" x14ac:dyDescent="0.3">
      <c r="H23806" t="str">
        <f t="shared" si="421"/>
        <v/>
      </c>
    </row>
    <row r="23807" spans="8:8" x14ac:dyDescent="0.3">
      <c r="H23807" t="str">
        <f t="shared" si="421"/>
        <v/>
      </c>
    </row>
    <row r="23808" spans="8:8" x14ac:dyDescent="0.3">
      <c r="H23808" t="str">
        <f t="shared" si="421"/>
        <v/>
      </c>
    </row>
    <row r="23809" spans="8:8" x14ac:dyDescent="0.3">
      <c r="H23809" t="str">
        <f t="shared" si="421"/>
        <v/>
      </c>
    </row>
    <row r="23810" spans="8:8" x14ac:dyDescent="0.3">
      <c r="H23810" t="str">
        <f t="shared" si="421"/>
        <v/>
      </c>
    </row>
    <row r="23811" spans="8:8" x14ac:dyDescent="0.3">
      <c r="H23811" t="str">
        <f t="shared" si="421"/>
        <v/>
      </c>
    </row>
    <row r="23812" spans="8:8" x14ac:dyDescent="0.3">
      <c r="H23812" t="str">
        <f t="shared" si="421"/>
        <v/>
      </c>
    </row>
    <row r="23813" spans="8:8" x14ac:dyDescent="0.3">
      <c r="H23813" t="str">
        <f t="shared" si="421"/>
        <v/>
      </c>
    </row>
    <row r="23814" spans="8:8" x14ac:dyDescent="0.3">
      <c r="H23814" t="str">
        <f t="shared" si="421"/>
        <v/>
      </c>
    </row>
    <row r="23815" spans="8:8" x14ac:dyDescent="0.3">
      <c r="H23815" t="str">
        <f t="shared" si="421"/>
        <v/>
      </c>
    </row>
    <row r="23816" spans="8:8" x14ac:dyDescent="0.3">
      <c r="H23816" t="str">
        <f t="shared" si="421"/>
        <v/>
      </c>
    </row>
    <row r="23817" spans="8:8" x14ac:dyDescent="0.3">
      <c r="H23817" t="str">
        <f t="shared" si="421"/>
        <v/>
      </c>
    </row>
    <row r="23818" spans="8:8" x14ac:dyDescent="0.3">
      <c r="H23818" t="str">
        <f t="shared" si="421"/>
        <v/>
      </c>
    </row>
    <row r="23819" spans="8:8" x14ac:dyDescent="0.3">
      <c r="H23819" t="str">
        <f t="shared" si="421"/>
        <v/>
      </c>
    </row>
    <row r="23820" spans="8:8" x14ac:dyDescent="0.3">
      <c r="H23820" t="str">
        <f t="shared" si="421"/>
        <v/>
      </c>
    </row>
    <row r="23821" spans="8:8" x14ac:dyDescent="0.3">
      <c r="H23821" t="str">
        <f t="shared" si="421"/>
        <v/>
      </c>
    </row>
    <row r="23822" spans="8:8" x14ac:dyDescent="0.3">
      <c r="H23822" t="str">
        <f t="shared" si="421"/>
        <v/>
      </c>
    </row>
    <row r="23823" spans="8:8" x14ac:dyDescent="0.3">
      <c r="H23823" t="str">
        <f t="shared" si="421"/>
        <v/>
      </c>
    </row>
    <row r="23824" spans="8:8" x14ac:dyDescent="0.3">
      <c r="H23824" t="str">
        <f t="shared" si="421"/>
        <v/>
      </c>
    </row>
    <row r="23825" spans="8:8" x14ac:dyDescent="0.3">
      <c r="H23825" t="str">
        <f t="shared" si="421"/>
        <v/>
      </c>
    </row>
    <row r="23826" spans="8:8" x14ac:dyDescent="0.3">
      <c r="H23826" t="str">
        <f t="shared" si="421"/>
        <v/>
      </c>
    </row>
    <row r="23827" spans="8:8" x14ac:dyDescent="0.3">
      <c r="H23827" t="str">
        <f t="shared" si="421"/>
        <v/>
      </c>
    </row>
    <row r="23828" spans="8:8" x14ac:dyDescent="0.3">
      <c r="H23828" t="str">
        <f t="shared" si="421"/>
        <v/>
      </c>
    </row>
    <row r="23829" spans="8:8" x14ac:dyDescent="0.3">
      <c r="H23829" t="str">
        <f t="shared" si="421"/>
        <v/>
      </c>
    </row>
    <row r="23830" spans="8:8" x14ac:dyDescent="0.3">
      <c r="H23830" t="str">
        <f t="shared" si="421"/>
        <v/>
      </c>
    </row>
    <row r="23831" spans="8:8" x14ac:dyDescent="0.3">
      <c r="H23831" t="str">
        <f t="shared" ref="H23831:H23894" si="422">IF(B23831="","",$C$12)</f>
        <v/>
      </c>
    </row>
    <row r="23832" spans="8:8" x14ac:dyDescent="0.3">
      <c r="H23832" t="str">
        <f t="shared" si="422"/>
        <v/>
      </c>
    </row>
    <row r="23833" spans="8:8" x14ac:dyDescent="0.3">
      <c r="H23833" t="str">
        <f t="shared" si="422"/>
        <v/>
      </c>
    </row>
    <row r="23834" spans="8:8" x14ac:dyDescent="0.3">
      <c r="H23834" t="str">
        <f t="shared" si="422"/>
        <v/>
      </c>
    </row>
    <row r="23835" spans="8:8" x14ac:dyDescent="0.3">
      <c r="H23835" t="str">
        <f t="shared" si="422"/>
        <v/>
      </c>
    </row>
    <row r="23836" spans="8:8" x14ac:dyDescent="0.3">
      <c r="H23836" t="str">
        <f t="shared" si="422"/>
        <v/>
      </c>
    </row>
    <row r="23837" spans="8:8" x14ac:dyDescent="0.3">
      <c r="H23837" t="str">
        <f t="shared" si="422"/>
        <v/>
      </c>
    </row>
    <row r="23838" spans="8:8" x14ac:dyDescent="0.3">
      <c r="H23838" t="str">
        <f t="shared" si="422"/>
        <v/>
      </c>
    </row>
    <row r="23839" spans="8:8" x14ac:dyDescent="0.3">
      <c r="H23839" t="str">
        <f t="shared" si="422"/>
        <v/>
      </c>
    </row>
    <row r="23840" spans="8:8" x14ac:dyDescent="0.3">
      <c r="H23840" t="str">
        <f t="shared" si="422"/>
        <v/>
      </c>
    </row>
    <row r="23841" spans="8:8" x14ac:dyDescent="0.3">
      <c r="H23841" t="str">
        <f t="shared" si="422"/>
        <v/>
      </c>
    </row>
    <row r="23842" spans="8:8" x14ac:dyDescent="0.3">
      <c r="H23842" t="str">
        <f t="shared" si="422"/>
        <v/>
      </c>
    </row>
    <row r="23843" spans="8:8" x14ac:dyDescent="0.3">
      <c r="H23843" t="str">
        <f t="shared" si="422"/>
        <v/>
      </c>
    </row>
    <row r="23844" spans="8:8" x14ac:dyDescent="0.3">
      <c r="H23844" t="str">
        <f t="shared" si="422"/>
        <v/>
      </c>
    </row>
    <row r="23845" spans="8:8" x14ac:dyDescent="0.3">
      <c r="H23845" t="str">
        <f t="shared" si="422"/>
        <v/>
      </c>
    </row>
    <row r="23846" spans="8:8" x14ac:dyDescent="0.3">
      <c r="H23846" t="str">
        <f t="shared" si="422"/>
        <v/>
      </c>
    </row>
    <row r="23847" spans="8:8" x14ac:dyDescent="0.3">
      <c r="H23847" t="str">
        <f t="shared" si="422"/>
        <v/>
      </c>
    </row>
    <row r="23848" spans="8:8" x14ac:dyDescent="0.3">
      <c r="H23848" t="str">
        <f t="shared" si="422"/>
        <v/>
      </c>
    </row>
    <row r="23849" spans="8:8" x14ac:dyDescent="0.3">
      <c r="H23849" t="str">
        <f t="shared" si="422"/>
        <v/>
      </c>
    </row>
    <row r="23850" spans="8:8" x14ac:dyDescent="0.3">
      <c r="H23850" t="str">
        <f t="shared" si="422"/>
        <v/>
      </c>
    </row>
    <row r="23851" spans="8:8" x14ac:dyDescent="0.3">
      <c r="H23851" t="str">
        <f t="shared" si="422"/>
        <v/>
      </c>
    </row>
    <row r="23852" spans="8:8" x14ac:dyDescent="0.3">
      <c r="H23852" t="str">
        <f t="shared" si="422"/>
        <v/>
      </c>
    </row>
    <row r="23853" spans="8:8" x14ac:dyDescent="0.3">
      <c r="H23853" t="str">
        <f t="shared" si="422"/>
        <v/>
      </c>
    </row>
    <row r="23854" spans="8:8" x14ac:dyDescent="0.3">
      <c r="H23854" t="str">
        <f t="shared" si="422"/>
        <v/>
      </c>
    </row>
    <row r="23855" spans="8:8" x14ac:dyDescent="0.3">
      <c r="H23855" t="str">
        <f t="shared" si="422"/>
        <v/>
      </c>
    </row>
    <row r="23856" spans="8:8" x14ac:dyDescent="0.3">
      <c r="H23856" t="str">
        <f t="shared" si="422"/>
        <v/>
      </c>
    </row>
    <row r="23857" spans="8:8" x14ac:dyDescent="0.3">
      <c r="H23857" t="str">
        <f t="shared" si="422"/>
        <v/>
      </c>
    </row>
    <row r="23858" spans="8:8" x14ac:dyDescent="0.3">
      <c r="H23858" t="str">
        <f t="shared" si="422"/>
        <v/>
      </c>
    </row>
    <row r="23859" spans="8:8" x14ac:dyDescent="0.3">
      <c r="H23859" t="str">
        <f t="shared" si="422"/>
        <v/>
      </c>
    </row>
    <row r="23860" spans="8:8" x14ac:dyDescent="0.3">
      <c r="H23860" t="str">
        <f t="shared" si="422"/>
        <v/>
      </c>
    </row>
    <row r="23861" spans="8:8" x14ac:dyDescent="0.3">
      <c r="H23861" t="str">
        <f t="shared" si="422"/>
        <v/>
      </c>
    </row>
    <row r="23862" spans="8:8" x14ac:dyDescent="0.3">
      <c r="H23862" t="str">
        <f t="shared" si="422"/>
        <v/>
      </c>
    </row>
    <row r="23863" spans="8:8" x14ac:dyDescent="0.3">
      <c r="H23863" t="str">
        <f t="shared" si="422"/>
        <v/>
      </c>
    </row>
    <row r="23864" spans="8:8" x14ac:dyDescent="0.3">
      <c r="H23864" t="str">
        <f t="shared" si="422"/>
        <v/>
      </c>
    </row>
    <row r="23865" spans="8:8" x14ac:dyDescent="0.3">
      <c r="H23865" t="str">
        <f t="shared" si="422"/>
        <v/>
      </c>
    </row>
    <row r="23866" spans="8:8" x14ac:dyDescent="0.3">
      <c r="H23866" t="str">
        <f t="shared" si="422"/>
        <v/>
      </c>
    </row>
    <row r="23867" spans="8:8" x14ac:dyDescent="0.3">
      <c r="H23867" t="str">
        <f t="shared" si="422"/>
        <v/>
      </c>
    </row>
    <row r="23868" spans="8:8" x14ac:dyDescent="0.3">
      <c r="H23868" t="str">
        <f t="shared" si="422"/>
        <v/>
      </c>
    </row>
    <row r="23869" spans="8:8" x14ac:dyDescent="0.3">
      <c r="H23869" t="str">
        <f t="shared" si="422"/>
        <v/>
      </c>
    </row>
    <row r="23870" spans="8:8" x14ac:dyDescent="0.3">
      <c r="H23870" t="str">
        <f t="shared" si="422"/>
        <v/>
      </c>
    </row>
    <row r="23871" spans="8:8" x14ac:dyDescent="0.3">
      <c r="H23871" t="str">
        <f t="shared" si="422"/>
        <v/>
      </c>
    </row>
    <row r="23872" spans="8:8" x14ac:dyDescent="0.3">
      <c r="H23872" t="str">
        <f t="shared" si="422"/>
        <v/>
      </c>
    </row>
    <row r="23873" spans="8:8" x14ac:dyDescent="0.3">
      <c r="H23873" t="str">
        <f t="shared" si="422"/>
        <v/>
      </c>
    </row>
    <row r="23874" spans="8:8" x14ac:dyDescent="0.3">
      <c r="H23874" t="str">
        <f t="shared" si="422"/>
        <v/>
      </c>
    </row>
    <row r="23875" spans="8:8" x14ac:dyDescent="0.3">
      <c r="H23875" t="str">
        <f t="shared" si="422"/>
        <v/>
      </c>
    </row>
    <row r="23876" spans="8:8" x14ac:dyDescent="0.3">
      <c r="H23876" t="str">
        <f t="shared" si="422"/>
        <v/>
      </c>
    </row>
    <row r="23877" spans="8:8" x14ac:dyDescent="0.3">
      <c r="H23877" t="str">
        <f t="shared" si="422"/>
        <v/>
      </c>
    </row>
    <row r="23878" spans="8:8" x14ac:dyDescent="0.3">
      <c r="H23878" t="str">
        <f t="shared" si="422"/>
        <v/>
      </c>
    </row>
    <row r="23879" spans="8:8" x14ac:dyDescent="0.3">
      <c r="H23879" t="str">
        <f t="shared" si="422"/>
        <v/>
      </c>
    </row>
    <row r="23880" spans="8:8" x14ac:dyDescent="0.3">
      <c r="H23880" t="str">
        <f t="shared" si="422"/>
        <v/>
      </c>
    </row>
    <row r="23881" spans="8:8" x14ac:dyDescent="0.3">
      <c r="H23881" t="str">
        <f t="shared" si="422"/>
        <v/>
      </c>
    </row>
    <row r="23882" spans="8:8" x14ac:dyDescent="0.3">
      <c r="H23882" t="str">
        <f t="shared" si="422"/>
        <v/>
      </c>
    </row>
    <row r="23883" spans="8:8" x14ac:dyDescent="0.3">
      <c r="H23883" t="str">
        <f t="shared" si="422"/>
        <v/>
      </c>
    </row>
    <row r="23884" spans="8:8" x14ac:dyDescent="0.3">
      <c r="H23884" t="str">
        <f t="shared" si="422"/>
        <v/>
      </c>
    </row>
    <row r="23885" spans="8:8" x14ac:dyDescent="0.3">
      <c r="H23885" t="str">
        <f t="shared" si="422"/>
        <v/>
      </c>
    </row>
    <row r="23886" spans="8:8" x14ac:dyDescent="0.3">
      <c r="H23886" t="str">
        <f t="shared" si="422"/>
        <v/>
      </c>
    </row>
    <row r="23887" spans="8:8" x14ac:dyDescent="0.3">
      <c r="H23887" t="str">
        <f t="shared" si="422"/>
        <v/>
      </c>
    </row>
    <row r="23888" spans="8:8" x14ac:dyDescent="0.3">
      <c r="H23888" t="str">
        <f t="shared" si="422"/>
        <v/>
      </c>
    </row>
    <row r="23889" spans="8:8" x14ac:dyDescent="0.3">
      <c r="H23889" t="str">
        <f t="shared" si="422"/>
        <v/>
      </c>
    </row>
    <row r="23890" spans="8:8" x14ac:dyDescent="0.3">
      <c r="H23890" t="str">
        <f t="shared" si="422"/>
        <v/>
      </c>
    </row>
    <row r="23891" spans="8:8" x14ac:dyDescent="0.3">
      <c r="H23891" t="str">
        <f t="shared" si="422"/>
        <v/>
      </c>
    </row>
    <row r="23892" spans="8:8" x14ac:dyDescent="0.3">
      <c r="H23892" t="str">
        <f t="shared" si="422"/>
        <v/>
      </c>
    </row>
    <row r="23893" spans="8:8" x14ac:dyDescent="0.3">
      <c r="H23893" t="str">
        <f t="shared" si="422"/>
        <v/>
      </c>
    </row>
    <row r="23894" spans="8:8" x14ac:dyDescent="0.3">
      <c r="H23894" t="str">
        <f t="shared" si="422"/>
        <v/>
      </c>
    </row>
    <row r="23895" spans="8:8" x14ac:dyDescent="0.3">
      <c r="H23895" t="str">
        <f t="shared" ref="H23895:H23958" si="423">IF(B23895="","",$C$12)</f>
        <v/>
      </c>
    </row>
    <row r="23896" spans="8:8" x14ac:dyDescent="0.3">
      <c r="H23896" t="str">
        <f t="shared" si="423"/>
        <v/>
      </c>
    </row>
    <row r="23897" spans="8:8" x14ac:dyDescent="0.3">
      <c r="H23897" t="str">
        <f t="shared" si="423"/>
        <v/>
      </c>
    </row>
    <row r="23898" spans="8:8" x14ac:dyDescent="0.3">
      <c r="H23898" t="str">
        <f t="shared" si="423"/>
        <v/>
      </c>
    </row>
    <row r="23899" spans="8:8" x14ac:dyDescent="0.3">
      <c r="H23899" t="str">
        <f t="shared" si="423"/>
        <v/>
      </c>
    </row>
    <row r="23900" spans="8:8" x14ac:dyDescent="0.3">
      <c r="H23900" t="str">
        <f t="shared" si="423"/>
        <v/>
      </c>
    </row>
    <row r="23901" spans="8:8" x14ac:dyDescent="0.3">
      <c r="H23901" t="str">
        <f t="shared" si="423"/>
        <v/>
      </c>
    </row>
    <row r="23902" spans="8:8" x14ac:dyDescent="0.3">
      <c r="H23902" t="str">
        <f t="shared" si="423"/>
        <v/>
      </c>
    </row>
    <row r="23903" spans="8:8" x14ac:dyDescent="0.3">
      <c r="H23903" t="str">
        <f t="shared" si="423"/>
        <v/>
      </c>
    </row>
    <row r="23904" spans="8:8" x14ac:dyDescent="0.3">
      <c r="H23904" t="str">
        <f t="shared" si="423"/>
        <v/>
      </c>
    </row>
    <row r="23905" spans="8:8" x14ac:dyDescent="0.3">
      <c r="H23905" t="str">
        <f t="shared" si="423"/>
        <v/>
      </c>
    </row>
    <row r="23906" spans="8:8" x14ac:dyDescent="0.3">
      <c r="H23906" t="str">
        <f t="shared" si="423"/>
        <v/>
      </c>
    </row>
    <row r="23907" spans="8:8" x14ac:dyDescent="0.3">
      <c r="H23907" t="str">
        <f t="shared" si="423"/>
        <v/>
      </c>
    </row>
    <row r="23908" spans="8:8" x14ac:dyDescent="0.3">
      <c r="H23908" t="str">
        <f t="shared" si="423"/>
        <v/>
      </c>
    </row>
    <row r="23909" spans="8:8" x14ac:dyDescent="0.3">
      <c r="H23909" t="str">
        <f t="shared" si="423"/>
        <v/>
      </c>
    </row>
    <row r="23910" spans="8:8" x14ac:dyDescent="0.3">
      <c r="H23910" t="str">
        <f t="shared" si="423"/>
        <v/>
      </c>
    </row>
    <row r="23911" spans="8:8" x14ac:dyDescent="0.3">
      <c r="H23911" t="str">
        <f t="shared" si="423"/>
        <v/>
      </c>
    </row>
    <row r="23912" spans="8:8" x14ac:dyDescent="0.3">
      <c r="H23912" t="str">
        <f t="shared" si="423"/>
        <v/>
      </c>
    </row>
    <row r="23913" spans="8:8" x14ac:dyDescent="0.3">
      <c r="H23913" t="str">
        <f t="shared" si="423"/>
        <v/>
      </c>
    </row>
    <row r="23914" spans="8:8" x14ac:dyDescent="0.3">
      <c r="H23914" t="str">
        <f t="shared" si="423"/>
        <v/>
      </c>
    </row>
    <row r="23915" spans="8:8" x14ac:dyDescent="0.3">
      <c r="H23915" t="str">
        <f t="shared" si="423"/>
        <v/>
      </c>
    </row>
    <row r="23916" spans="8:8" x14ac:dyDescent="0.3">
      <c r="H23916" t="str">
        <f t="shared" si="423"/>
        <v/>
      </c>
    </row>
    <row r="23917" spans="8:8" x14ac:dyDescent="0.3">
      <c r="H23917" t="str">
        <f t="shared" si="423"/>
        <v/>
      </c>
    </row>
    <row r="23918" spans="8:8" x14ac:dyDescent="0.3">
      <c r="H23918" t="str">
        <f t="shared" si="423"/>
        <v/>
      </c>
    </row>
    <row r="23919" spans="8:8" x14ac:dyDescent="0.3">
      <c r="H23919" t="str">
        <f t="shared" si="423"/>
        <v/>
      </c>
    </row>
    <row r="23920" spans="8:8" x14ac:dyDescent="0.3">
      <c r="H23920" t="str">
        <f t="shared" si="423"/>
        <v/>
      </c>
    </row>
    <row r="23921" spans="8:8" x14ac:dyDescent="0.3">
      <c r="H23921" t="str">
        <f t="shared" si="423"/>
        <v/>
      </c>
    </row>
    <row r="23922" spans="8:8" x14ac:dyDescent="0.3">
      <c r="H23922" t="str">
        <f t="shared" si="423"/>
        <v/>
      </c>
    </row>
    <row r="23923" spans="8:8" x14ac:dyDescent="0.3">
      <c r="H23923" t="str">
        <f t="shared" si="423"/>
        <v/>
      </c>
    </row>
    <row r="23924" spans="8:8" x14ac:dyDescent="0.3">
      <c r="H23924" t="str">
        <f t="shared" si="423"/>
        <v/>
      </c>
    </row>
    <row r="23925" spans="8:8" x14ac:dyDescent="0.3">
      <c r="H23925" t="str">
        <f t="shared" si="423"/>
        <v/>
      </c>
    </row>
    <row r="23926" spans="8:8" x14ac:dyDescent="0.3">
      <c r="H23926" t="str">
        <f t="shared" si="423"/>
        <v/>
      </c>
    </row>
    <row r="23927" spans="8:8" x14ac:dyDescent="0.3">
      <c r="H23927" t="str">
        <f t="shared" si="423"/>
        <v/>
      </c>
    </row>
    <row r="23928" spans="8:8" x14ac:dyDescent="0.3">
      <c r="H23928" t="str">
        <f t="shared" si="423"/>
        <v/>
      </c>
    </row>
    <row r="23929" spans="8:8" x14ac:dyDescent="0.3">
      <c r="H23929" t="str">
        <f t="shared" si="423"/>
        <v/>
      </c>
    </row>
    <row r="23930" spans="8:8" x14ac:dyDescent="0.3">
      <c r="H23930" t="str">
        <f t="shared" si="423"/>
        <v/>
      </c>
    </row>
    <row r="23931" spans="8:8" x14ac:dyDescent="0.3">
      <c r="H23931" t="str">
        <f t="shared" si="423"/>
        <v/>
      </c>
    </row>
    <row r="23932" spans="8:8" x14ac:dyDescent="0.3">
      <c r="H23932" t="str">
        <f t="shared" si="423"/>
        <v/>
      </c>
    </row>
    <row r="23933" spans="8:8" x14ac:dyDescent="0.3">
      <c r="H23933" t="str">
        <f t="shared" si="423"/>
        <v/>
      </c>
    </row>
    <row r="23934" spans="8:8" x14ac:dyDescent="0.3">
      <c r="H23934" t="str">
        <f t="shared" si="423"/>
        <v/>
      </c>
    </row>
    <row r="23935" spans="8:8" x14ac:dyDescent="0.3">
      <c r="H23935" t="str">
        <f t="shared" si="423"/>
        <v/>
      </c>
    </row>
    <row r="23936" spans="8:8" x14ac:dyDescent="0.3">
      <c r="H23936" t="str">
        <f t="shared" si="423"/>
        <v/>
      </c>
    </row>
    <row r="23937" spans="8:8" x14ac:dyDescent="0.3">
      <c r="H23937" t="str">
        <f t="shared" si="423"/>
        <v/>
      </c>
    </row>
    <row r="23938" spans="8:8" x14ac:dyDescent="0.3">
      <c r="H23938" t="str">
        <f t="shared" si="423"/>
        <v/>
      </c>
    </row>
    <row r="23939" spans="8:8" x14ac:dyDescent="0.3">
      <c r="H23939" t="str">
        <f t="shared" si="423"/>
        <v/>
      </c>
    </row>
    <row r="23940" spans="8:8" x14ac:dyDescent="0.3">
      <c r="H23940" t="str">
        <f t="shared" si="423"/>
        <v/>
      </c>
    </row>
    <row r="23941" spans="8:8" x14ac:dyDescent="0.3">
      <c r="H23941" t="str">
        <f t="shared" si="423"/>
        <v/>
      </c>
    </row>
    <row r="23942" spans="8:8" x14ac:dyDescent="0.3">
      <c r="H23942" t="str">
        <f t="shared" si="423"/>
        <v/>
      </c>
    </row>
    <row r="23943" spans="8:8" x14ac:dyDescent="0.3">
      <c r="H23943" t="str">
        <f t="shared" si="423"/>
        <v/>
      </c>
    </row>
    <row r="23944" spans="8:8" x14ac:dyDescent="0.3">
      <c r="H23944" t="str">
        <f t="shared" si="423"/>
        <v/>
      </c>
    </row>
    <row r="23945" spans="8:8" x14ac:dyDescent="0.3">
      <c r="H23945" t="str">
        <f t="shared" si="423"/>
        <v/>
      </c>
    </row>
    <row r="23946" spans="8:8" x14ac:dyDescent="0.3">
      <c r="H23946" t="str">
        <f t="shared" si="423"/>
        <v/>
      </c>
    </row>
    <row r="23947" spans="8:8" x14ac:dyDescent="0.3">
      <c r="H23947" t="str">
        <f t="shared" si="423"/>
        <v/>
      </c>
    </row>
    <row r="23948" spans="8:8" x14ac:dyDescent="0.3">
      <c r="H23948" t="str">
        <f t="shared" si="423"/>
        <v/>
      </c>
    </row>
    <row r="23949" spans="8:8" x14ac:dyDescent="0.3">
      <c r="H23949" t="str">
        <f t="shared" si="423"/>
        <v/>
      </c>
    </row>
    <row r="23950" spans="8:8" x14ac:dyDescent="0.3">
      <c r="H23950" t="str">
        <f t="shared" si="423"/>
        <v/>
      </c>
    </row>
    <row r="23951" spans="8:8" x14ac:dyDescent="0.3">
      <c r="H23951" t="str">
        <f t="shared" si="423"/>
        <v/>
      </c>
    </row>
    <row r="23952" spans="8:8" x14ac:dyDescent="0.3">
      <c r="H23952" t="str">
        <f t="shared" si="423"/>
        <v/>
      </c>
    </row>
    <row r="23953" spans="8:8" x14ac:dyDescent="0.3">
      <c r="H23953" t="str">
        <f t="shared" si="423"/>
        <v/>
      </c>
    </row>
    <row r="23954" spans="8:8" x14ac:dyDescent="0.3">
      <c r="H23954" t="str">
        <f t="shared" si="423"/>
        <v/>
      </c>
    </row>
    <row r="23955" spans="8:8" x14ac:dyDescent="0.3">
      <c r="H23955" t="str">
        <f t="shared" si="423"/>
        <v/>
      </c>
    </row>
    <row r="23956" spans="8:8" x14ac:dyDescent="0.3">
      <c r="H23956" t="str">
        <f t="shared" si="423"/>
        <v/>
      </c>
    </row>
    <row r="23957" spans="8:8" x14ac:dyDescent="0.3">
      <c r="H23957" t="str">
        <f t="shared" si="423"/>
        <v/>
      </c>
    </row>
    <row r="23958" spans="8:8" x14ac:dyDescent="0.3">
      <c r="H23958" t="str">
        <f t="shared" si="423"/>
        <v/>
      </c>
    </row>
    <row r="23959" spans="8:8" x14ac:dyDescent="0.3">
      <c r="H23959" t="str">
        <f t="shared" ref="H23959:H24022" si="424">IF(B23959="","",$C$12)</f>
        <v/>
      </c>
    </row>
    <row r="23960" spans="8:8" x14ac:dyDescent="0.3">
      <c r="H23960" t="str">
        <f t="shared" si="424"/>
        <v/>
      </c>
    </row>
    <row r="23961" spans="8:8" x14ac:dyDescent="0.3">
      <c r="H23961" t="str">
        <f t="shared" si="424"/>
        <v/>
      </c>
    </row>
    <row r="23962" spans="8:8" x14ac:dyDescent="0.3">
      <c r="H23962" t="str">
        <f t="shared" si="424"/>
        <v/>
      </c>
    </row>
    <row r="23963" spans="8:8" x14ac:dyDescent="0.3">
      <c r="H23963" t="str">
        <f t="shared" si="424"/>
        <v/>
      </c>
    </row>
    <row r="23964" spans="8:8" x14ac:dyDescent="0.3">
      <c r="H23964" t="str">
        <f t="shared" si="424"/>
        <v/>
      </c>
    </row>
    <row r="23965" spans="8:8" x14ac:dyDescent="0.3">
      <c r="H23965" t="str">
        <f t="shared" si="424"/>
        <v/>
      </c>
    </row>
    <row r="23966" spans="8:8" x14ac:dyDescent="0.3">
      <c r="H23966" t="str">
        <f t="shared" si="424"/>
        <v/>
      </c>
    </row>
    <row r="23967" spans="8:8" x14ac:dyDescent="0.3">
      <c r="H23967" t="str">
        <f t="shared" si="424"/>
        <v/>
      </c>
    </row>
    <row r="23968" spans="8:8" x14ac:dyDescent="0.3">
      <c r="H23968" t="str">
        <f t="shared" si="424"/>
        <v/>
      </c>
    </row>
    <row r="23969" spans="8:8" x14ac:dyDescent="0.3">
      <c r="H23969" t="str">
        <f t="shared" si="424"/>
        <v/>
      </c>
    </row>
    <row r="23970" spans="8:8" x14ac:dyDescent="0.3">
      <c r="H23970" t="str">
        <f t="shared" si="424"/>
        <v/>
      </c>
    </row>
    <row r="23971" spans="8:8" x14ac:dyDescent="0.3">
      <c r="H23971" t="str">
        <f t="shared" si="424"/>
        <v/>
      </c>
    </row>
    <row r="23972" spans="8:8" x14ac:dyDescent="0.3">
      <c r="H23972" t="str">
        <f t="shared" si="424"/>
        <v/>
      </c>
    </row>
    <row r="23973" spans="8:8" x14ac:dyDescent="0.3">
      <c r="H23973" t="str">
        <f t="shared" si="424"/>
        <v/>
      </c>
    </row>
    <row r="23974" spans="8:8" x14ac:dyDescent="0.3">
      <c r="H23974" t="str">
        <f t="shared" si="424"/>
        <v/>
      </c>
    </row>
    <row r="23975" spans="8:8" x14ac:dyDescent="0.3">
      <c r="H23975" t="str">
        <f t="shared" si="424"/>
        <v/>
      </c>
    </row>
    <row r="23976" spans="8:8" x14ac:dyDescent="0.3">
      <c r="H23976" t="str">
        <f t="shared" si="424"/>
        <v/>
      </c>
    </row>
    <row r="23977" spans="8:8" x14ac:dyDescent="0.3">
      <c r="H23977" t="str">
        <f t="shared" si="424"/>
        <v/>
      </c>
    </row>
    <row r="23978" spans="8:8" x14ac:dyDescent="0.3">
      <c r="H23978" t="str">
        <f t="shared" si="424"/>
        <v/>
      </c>
    </row>
    <row r="23979" spans="8:8" x14ac:dyDescent="0.3">
      <c r="H23979" t="str">
        <f t="shared" si="424"/>
        <v/>
      </c>
    </row>
    <row r="23980" spans="8:8" x14ac:dyDescent="0.3">
      <c r="H23980" t="str">
        <f t="shared" si="424"/>
        <v/>
      </c>
    </row>
    <row r="23981" spans="8:8" x14ac:dyDescent="0.3">
      <c r="H23981" t="str">
        <f t="shared" si="424"/>
        <v/>
      </c>
    </row>
    <row r="23982" spans="8:8" x14ac:dyDescent="0.3">
      <c r="H23982" t="str">
        <f t="shared" si="424"/>
        <v/>
      </c>
    </row>
    <row r="23983" spans="8:8" x14ac:dyDescent="0.3">
      <c r="H23983" t="str">
        <f t="shared" si="424"/>
        <v/>
      </c>
    </row>
    <row r="23984" spans="8:8" x14ac:dyDescent="0.3">
      <c r="H23984" t="str">
        <f t="shared" si="424"/>
        <v/>
      </c>
    </row>
    <row r="23985" spans="8:8" x14ac:dyDescent="0.3">
      <c r="H23985" t="str">
        <f t="shared" si="424"/>
        <v/>
      </c>
    </row>
    <row r="23986" spans="8:8" x14ac:dyDescent="0.3">
      <c r="H23986" t="str">
        <f t="shared" si="424"/>
        <v/>
      </c>
    </row>
    <row r="23987" spans="8:8" x14ac:dyDescent="0.3">
      <c r="H23987" t="str">
        <f t="shared" si="424"/>
        <v/>
      </c>
    </row>
    <row r="23988" spans="8:8" x14ac:dyDescent="0.3">
      <c r="H23988" t="str">
        <f t="shared" si="424"/>
        <v/>
      </c>
    </row>
    <row r="23989" spans="8:8" x14ac:dyDescent="0.3">
      <c r="H23989" t="str">
        <f t="shared" si="424"/>
        <v/>
      </c>
    </row>
    <row r="23990" spans="8:8" x14ac:dyDescent="0.3">
      <c r="H23990" t="str">
        <f t="shared" si="424"/>
        <v/>
      </c>
    </row>
    <row r="23991" spans="8:8" x14ac:dyDescent="0.3">
      <c r="H23991" t="str">
        <f t="shared" si="424"/>
        <v/>
      </c>
    </row>
    <row r="23992" spans="8:8" x14ac:dyDescent="0.3">
      <c r="H23992" t="str">
        <f t="shared" si="424"/>
        <v/>
      </c>
    </row>
    <row r="23993" spans="8:8" x14ac:dyDescent="0.3">
      <c r="H23993" t="str">
        <f t="shared" si="424"/>
        <v/>
      </c>
    </row>
    <row r="23994" spans="8:8" x14ac:dyDescent="0.3">
      <c r="H23994" t="str">
        <f t="shared" si="424"/>
        <v/>
      </c>
    </row>
    <row r="23995" spans="8:8" x14ac:dyDescent="0.3">
      <c r="H23995" t="str">
        <f t="shared" si="424"/>
        <v/>
      </c>
    </row>
    <row r="23996" spans="8:8" x14ac:dyDescent="0.3">
      <c r="H23996" t="str">
        <f t="shared" si="424"/>
        <v/>
      </c>
    </row>
    <row r="23997" spans="8:8" x14ac:dyDescent="0.3">
      <c r="H23997" t="str">
        <f t="shared" si="424"/>
        <v/>
      </c>
    </row>
    <row r="23998" spans="8:8" x14ac:dyDescent="0.3">
      <c r="H23998" t="str">
        <f t="shared" si="424"/>
        <v/>
      </c>
    </row>
    <row r="23999" spans="8:8" x14ac:dyDescent="0.3">
      <c r="H23999" t="str">
        <f t="shared" si="424"/>
        <v/>
      </c>
    </row>
    <row r="24000" spans="8:8" x14ac:dyDescent="0.3">
      <c r="H24000" t="str">
        <f t="shared" si="424"/>
        <v/>
      </c>
    </row>
    <row r="24001" spans="8:8" x14ac:dyDescent="0.3">
      <c r="H24001" t="str">
        <f t="shared" si="424"/>
        <v/>
      </c>
    </row>
    <row r="24002" spans="8:8" x14ac:dyDescent="0.3">
      <c r="H24002" t="str">
        <f t="shared" si="424"/>
        <v/>
      </c>
    </row>
    <row r="24003" spans="8:8" x14ac:dyDescent="0.3">
      <c r="H24003" t="str">
        <f t="shared" si="424"/>
        <v/>
      </c>
    </row>
    <row r="24004" spans="8:8" x14ac:dyDescent="0.3">
      <c r="H24004" t="str">
        <f t="shared" si="424"/>
        <v/>
      </c>
    </row>
    <row r="24005" spans="8:8" x14ac:dyDescent="0.3">
      <c r="H24005" t="str">
        <f t="shared" si="424"/>
        <v/>
      </c>
    </row>
    <row r="24006" spans="8:8" x14ac:dyDescent="0.3">
      <c r="H24006" t="str">
        <f t="shared" si="424"/>
        <v/>
      </c>
    </row>
    <row r="24007" spans="8:8" x14ac:dyDescent="0.3">
      <c r="H24007" t="str">
        <f t="shared" si="424"/>
        <v/>
      </c>
    </row>
    <row r="24008" spans="8:8" x14ac:dyDescent="0.3">
      <c r="H24008" t="str">
        <f t="shared" si="424"/>
        <v/>
      </c>
    </row>
    <row r="24009" spans="8:8" x14ac:dyDescent="0.3">
      <c r="H24009" t="str">
        <f t="shared" si="424"/>
        <v/>
      </c>
    </row>
    <row r="24010" spans="8:8" x14ac:dyDescent="0.3">
      <c r="H24010" t="str">
        <f t="shared" si="424"/>
        <v/>
      </c>
    </row>
    <row r="24011" spans="8:8" x14ac:dyDescent="0.3">
      <c r="H24011" t="str">
        <f t="shared" si="424"/>
        <v/>
      </c>
    </row>
    <row r="24012" spans="8:8" x14ac:dyDescent="0.3">
      <c r="H24012" t="str">
        <f t="shared" si="424"/>
        <v/>
      </c>
    </row>
    <row r="24013" spans="8:8" x14ac:dyDescent="0.3">
      <c r="H24013" t="str">
        <f t="shared" si="424"/>
        <v/>
      </c>
    </row>
    <row r="24014" spans="8:8" x14ac:dyDescent="0.3">
      <c r="H24014" t="str">
        <f t="shared" si="424"/>
        <v/>
      </c>
    </row>
    <row r="24015" spans="8:8" x14ac:dyDescent="0.3">
      <c r="H24015" t="str">
        <f t="shared" si="424"/>
        <v/>
      </c>
    </row>
    <row r="24016" spans="8:8" x14ac:dyDescent="0.3">
      <c r="H24016" t="str">
        <f t="shared" si="424"/>
        <v/>
      </c>
    </row>
    <row r="24017" spans="8:8" x14ac:dyDescent="0.3">
      <c r="H24017" t="str">
        <f t="shared" si="424"/>
        <v/>
      </c>
    </row>
    <row r="24018" spans="8:8" x14ac:dyDescent="0.3">
      <c r="H24018" t="str">
        <f t="shared" si="424"/>
        <v/>
      </c>
    </row>
    <row r="24019" spans="8:8" x14ac:dyDescent="0.3">
      <c r="H24019" t="str">
        <f t="shared" si="424"/>
        <v/>
      </c>
    </row>
    <row r="24020" spans="8:8" x14ac:dyDescent="0.3">
      <c r="H24020" t="str">
        <f t="shared" si="424"/>
        <v/>
      </c>
    </row>
    <row r="24021" spans="8:8" x14ac:dyDescent="0.3">
      <c r="H24021" t="str">
        <f t="shared" si="424"/>
        <v/>
      </c>
    </row>
    <row r="24022" spans="8:8" x14ac:dyDescent="0.3">
      <c r="H24022" t="str">
        <f t="shared" si="424"/>
        <v/>
      </c>
    </row>
    <row r="24023" spans="8:8" x14ac:dyDescent="0.3">
      <c r="H24023" t="str">
        <f t="shared" ref="H24023:H24086" si="425">IF(B24023="","",$C$12)</f>
        <v/>
      </c>
    </row>
    <row r="24024" spans="8:8" x14ac:dyDescent="0.3">
      <c r="H24024" t="str">
        <f t="shared" si="425"/>
        <v/>
      </c>
    </row>
    <row r="24025" spans="8:8" x14ac:dyDescent="0.3">
      <c r="H24025" t="str">
        <f t="shared" si="425"/>
        <v/>
      </c>
    </row>
    <row r="24026" spans="8:8" x14ac:dyDescent="0.3">
      <c r="H24026" t="str">
        <f t="shared" si="425"/>
        <v/>
      </c>
    </row>
    <row r="24027" spans="8:8" x14ac:dyDescent="0.3">
      <c r="H24027" t="str">
        <f t="shared" si="425"/>
        <v/>
      </c>
    </row>
    <row r="24028" spans="8:8" x14ac:dyDescent="0.3">
      <c r="H24028" t="str">
        <f t="shared" si="425"/>
        <v/>
      </c>
    </row>
    <row r="24029" spans="8:8" x14ac:dyDescent="0.3">
      <c r="H24029" t="str">
        <f t="shared" si="425"/>
        <v/>
      </c>
    </row>
    <row r="24030" spans="8:8" x14ac:dyDescent="0.3">
      <c r="H24030" t="str">
        <f t="shared" si="425"/>
        <v/>
      </c>
    </row>
    <row r="24031" spans="8:8" x14ac:dyDescent="0.3">
      <c r="H24031" t="str">
        <f t="shared" si="425"/>
        <v/>
      </c>
    </row>
    <row r="24032" spans="8:8" x14ac:dyDescent="0.3">
      <c r="H24032" t="str">
        <f t="shared" si="425"/>
        <v/>
      </c>
    </row>
    <row r="24033" spans="8:8" x14ac:dyDescent="0.3">
      <c r="H24033" t="str">
        <f t="shared" si="425"/>
        <v/>
      </c>
    </row>
    <row r="24034" spans="8:8" x14ac:dyDescent="0.3">
      <c r="H24034" t="str">
        <f t="shared" si="425"/>
        <v/>
      </c>
    </row>
    <row r="24035" spans="8:8" x14ac:dyDescent="0.3">
      <c r="H24035" t="str">
        <f t="shared" si="425"/>
        <v/>
      </c>
    </row>
    <row r="24036" spans="8:8" x14ac:dyDescent="0.3">
      <c r="H24036" t="str">
        <f t="shared" si="425"/>
        <v/>
      </c>
    </row>
    <row r="24037" spans="8:8" x14ac:dyDescent="0.3">
      <c r="H24037" t="str">
        <f t="shared" si="425"/>
        <v/>
      </c>
    </row>
    <row r="24038" spans="8:8" x14ac:dyDescent="0.3">
      <c r="H24038" t="str">
        <f t="shared" si="425"/>
        <v/>
      </c>
    </row>
    <row r="24039" spans="8:8" x14ac:dyDescent="0.3">
      <c r="H24039" t="str">
        <f t="shared" si="425"/>
        <v/>
      </c>
    </row>
    <row r="24040" spans="8:8" x14ac:dyDescent="0.3">
      <c r="H24040" t="str">
        <f t="shared" si="425"/>
        <v/>
      </c>
    </row>
    <row r="24041" spans="8:8" x14ac:dyDescent="0.3">
      <c r="H24041" t="str">
        <f t="shared" si="425"/>
        <v/>
      </c>
    </row>
    <row r="24042" spans="8:8" x14ac:dyDescent="0.3">
      <c r="H24042" t="str">
        <f t="shared" si="425"/>
        <v/>
      </c>
    </row>
    <row r="24043" spans="8:8" x14ac:dyDescent="0.3">
      <c r="H24043" t="str">
        <f t="shared" si="425"/>
        <v/>
      </c>
    </row>
    <row r="24044" spans="8:8" x14ac:dyDescent="0.3">
      <c r="H24044" t="str">
        <f t="shared" si="425"/>
        <v/>
      </c>
    </row>
    <row r="24045" spans="8:8" x14ac:dyDescent="0.3">
      <c r="H24045" t="str">
        <f t="shared" si="425"/>
        <v/>
      </c>
    </row>
    <row r="24046" spans="8:8" x14ac:dyDescent="0.3">
      <c r="H24046" t="str">
        <f t="shared" si="425"/>
        <v/>
      </c>
    </row>
    <row r="24047" spans="8:8" x14ac:dyDescent="0.3">
      <c r="H24047" t="str">
        <f t="shared" si="425"/>
        <v/>
      </c>
    </row>
    <row r="24048" spans="8:8" x14ac:dyDescent="0.3">
      <c r="H24048" t="str">
        <f t="shared" si="425"/>
        <v/>
      </c>
    </row>
    <row r="24049" spans="8:8" x14ac:dyDescent="0.3">
      <c r="H24049" t="str">
        <f t="shared" si="425"/>
        <v/>
      </c>
    </row>
    <row r="24050" spans="8:8" x14ac:dyDescent="0.3">
      <c r="H24050" t="str">
        <f t="shared" si="425"/>
        <v/>
      </c>
    </row>
    <row r="24051" spans="8:8" x14ac:dyDescent="0.3">
      <c r="H24051" t="str">
        <f t="shared" si="425"/>
        <v/>
      </c>
    </row>
    <row r="24052" spans="8:8" x14ac:dyDescent="0.3">
      <c r="H24052" t="str">
        <f t="shared" si="425"/>
        <v/>
      </c>
    </row>
    <row r="24053" spans="8:8" x14ac:dyDescent="0.3">
      <c r="H24053" t="str">
        <f t="shared" si="425"/>
        <v/>
      </c>
    </row>
    <row r="24054" spans="8:8" x14ac:dyDescent="0.3">
      <c r="H24054" t="str">
        <f t="shared" si="425"/>
        <v/>
      </c>
    </row>
    <row r="24055" spans="8:8" x14ac:dyDescent="0.3">
      <c r="H24055" t="str">
        <f t="shared" si="425"/>
        <v/>
      </c>
    </row>
    <row r="24056" spans="8:8" x14ac:dyDescent="0.3">
      <c r="H24056" t="str">
        <f t="shared" si="425"/>
        <v/>
      </c>
    </row>
    <row r="24057" spans="8:8" x14ac:dyDescent="0.3">
      <c r="H24057" t="str">
        <f t="shared" si="425"/>
        <v/>
      </c>
    </row>
    <row r="24058" spans="8:8" x14ac:dyDescent="0.3">
      <c r="H24058" t="str">
        <f t="shared" si="425"/>
        <v/>
      </c>
    </row>
    <row r="24059" spans="8:8" x14ac:dyDescent="0.3">
      <c r="H24059" t="str">
        <f t="shared" si="425"/>
        <v/>
      </c>
    </row>
    <row r="24060" spans="8:8" x14ac:dyDescent="0.3">
      <c r="H24060" t="str">
        <f t="shared" si="425"/>
        <v/>
      </c>
    </row>
    <row r="24061" spans="8:8" x14ac:dyDescent="0.3">
      <c r="H24061" t="str">
        <f t="shared" si="425"/>
        <v/>
      </c>
    </row>
    <row r="24062" spans="8:8" x14ac:dyDescent="0.3">
      <c r="H24062" t="str">
        <f t="shared" si="425"/>
        <v/>
      </c>
    </row>
    <row r="24063" spans="8:8" x14ac:dyDescent="0.3">
      <c r="H24063" t="str">
        <f t="shared" si="425"/>
        <v/>
      </c>
    </row>
    <row r="24064" spans="8:8" x14ac:dyDescent="0.3">
      <c r="H24064" t="str">
        <f t="shared" si="425"/>
        <v/>
      </c>
    </row>
    <row r="24065" spans="8:8" x14ac:dyDescent="0.3">
      <c r="H24065" t="str">
        <f t="shared" si="425"/>
        <v/>
      </c>
    </row>
    <row r="24066" spans="8:8" x14ac:dyDescent="0.3">
      <c r="H24066" t="str">
        <f t="shared" si="425"/>
        <v/>
      </c>
    </row>
    <row r="24067" spans="8:8" x14ac:dyDescent="0.3">
      <c r="H24067" t="str">
        <f t="shared" si="425"/>
        <v/>
      </c>
    </row>
    <row r="24068" spans="8:8" x14ac:dyDescent="0.3">
      <c r="H24068" t="str">
        <f t="shared" si="425"/>
        <v/>
      </c>
    </row>
    <row r="24069" spans="8:8" x14ac:dyDescent="0.3">
      <c r="H24069" t="str">
        <f t="shared" si="425"/>
        <v/>
      </c>
    </row>
    <row r="24070" spans="8:8" x14ac:dyDescent="0.3">
      <c r="H24070" t="str">
        <f t="shared" si="425"/>
        <v/>
      </c>
    </row>
    <row r="24071" spans="8:8" x14ac:dyDescent="0.3">
      <c r="H24071" t="str">
        <f t="shared" si="425"/>
        <v/>
      </c>
    </row>
    <row r="24072" spans="8:8" x14ac:dyDescent="0.3">
      <c r="H24072" t="str">
        <f t="shared" si="425"/>
        <v/>
      </c>
    </row>
    <row r="24073" spans="8:8" x14ac:dyDescent="0.3">
      <c r="H24073" t="str">
        <f t="shared" si="425"/>
        <v/>
      </c>
    </row>
    <row r="24074" spans="8:8" x14ac:dyDescent="0.3">
      <c r="H24074" t="str">
        <f t="shared" si="425"/>
        <v/>
      </c>
    </row>
    <row r="24075" spans="8:8" x14ac:dyDescent="0.3">
      <c r="H24075" t="str">
        <f t="shared" si="425"/>
        <v/>
      </c>
    </row>
    <row r="24076" spans="8:8" x14ac:dyDescent="0.3">
      <c r="H24076" t="str">
        <f t="shared" si="425"/>
        <v/>
      </c>
    </row>
    <row r="24077" spans="8:8" x14ac:dyDescent="0.3">
      <c r="H24077" t="str">
        <f t="shared" si="425"/>
        <v/>
      </c>
    </row>
    <row r="24078" spans="8:8" x14ac:dyDescent="0.3">
      <c r="H24078" t="str">
        <f t="shared" si="425"/>
        <v/>
      </c>
    </row>
    <row r="24079" spans="8:8" x14ac:dyDescent="0.3">
      <c r="H24079" t="str">
        <f t="shared" si="425"/>
        <v/>
      </c>
    </row>
    <row r="24080" spans="8:8" x14ac:dyDescent="0.3">
      <c r="H24080" t="str">
        <f t="shared" si="425"/>
        <v/>
      </c>
    </row>
    <row r="24081" spans="8:8" x14ac:dyDescent="0.3">
      <c r="H24081" t="str">
        <f t="shared" si="425"/>
        <v/>
      </c>
    </row>
    <row r="24082" spans="8:8" x14ac:dyDescent="0.3">
      <c r="H24082" t="str">
        <f t="shared" si="425"/>
        <v/>
      </c>
    </row>
    <row r="24083" spans="8:8" x14ac:dyDescent="0.3">
      <c r="H24083" t="str">
        <f t="shared" si="425"/>
        <v/>
      </c>
    </row>
    <row r="24084" spans="8:8" x14ac:dyDescent="0.3">
      <c r="H24084" t="str">
        <f t="shared" si="425"/>
        <v/>
      </c>
    </row>
    <row r="24085" spans="8:8" x14ac:dyDescent="0.3">
      <c r="H24085" t="str">
        <f t="shared" si="425"/>
        <v/>
      </c>
    </row>
    <row r="24086" spans="8:8" x14ac:dyDescent="0.3">
      <c r="H24086" t="str">
        <f t="shared" si="425"/>
        <v/>
      </c>
    </row>
    <row r="24087" spans="8:8" x14ac:dyDescent="0.3">
      <c r="H24087" t="str">
        <f t="shared" ref="H24087:H24150" si="426">IF(B24087="","",$C$12)</f>
        <v/>
      </c>
    </row>
    <row r="24088" spans="8:8" x14ac:dyDescent="0.3">
      <c r="H24088" t="str">
        <f t="shared" si="426"/>
        <v/>
      </c>
    </row>
    <row r="24089" spans="8:8" x14ac:dyDescent="0.3">
      <c r="H24089" t="str">
        <f t="shared" si="426"/>
        <v/>
      </c>
    </row>
    <row r="24090" spans="8:8" x14ac:dyDescent="0.3">
      <c r="H24090" t="str">
        <f t="shared" si="426"/>
        <v/>
      </c>
    </row>
    <row r="24091" spans="8:8" x14ac:dyDescent="0.3">
      <c r="H24091" t="str">
        <f t="shared" si="426"/>
        <v/>
      </c>
    </row>
    <row r="24092" spans="8:8" x14ac:dyDescent="0.3">
      <c r="H24092" t="str">
        <f t="shared" si="426"/>
        <v/>
      </c>
    </row>
    <row r="24093" spans="8:8" x14ac:dyDescent="0.3">
      <c r="H24093" t="str">
        <f t="shared" si="426"/>
        <v/>
      </c>
    </row>
    <row r="24094" spans="8:8" x14ac:dyDescent="0.3">
      <c r="H24094" t="str">
        <f t="shared" si="426"/>
        <v/>
      </c>
    </row>
    <row r="24095" spans="8:8" x14ac:dyDescent="0.3">
      <c r="H24095" t="str">
        <f t="shared" si="426"/>
        <v/>
      </c>
    </row>
    <row r="24096" spans="8:8" x14ac:dyDescent="0.3">
      <c r="H24096" t="str">
        <f t="shared" si="426"/>
        <v/>
      </c>
    </row>
    <row r="24097" spans="8:8" x14ac:dyDescent="0.3">
      <c r="H24097" t="str">
        <f t="shared" si="426"/>
        <v/>
      </c>
    </row>
    <row r="24098" spans="8:8" x14ac:dyDescent="0.3">
      <c r="H24098" t="str">
        <f t="shared" si="426"/>
        <v/>
      </c>
    </row>
    <row r="24099" spans="8:8" x14ac:dyDescent="0.3">
      <c r="H24099" t="str">
        <f t="shared" si="426"/>
        <v/>
      </c>
    </row>
    <row r="24100" spans="8:8" x14ac:dyDescent="0.3">
      <c r="H24100" t="str">
        <f t="shared" si="426"/>
        <v/>
      </c>
    </row>
    <row r="24101" spans="8:8" x14ac:dyDescent="0.3">
      <c r="H24101" t="str">
        <f t="shared" si="426"/>
        <v/>
      </c>
    </row>
    <row r="24102" spans="8:8" x14ac:dyDescent="0.3">
      <c r="H24102" t="str">
        <f t="shared" si="426"/>
        <v/>
      </c>
    </row>
    <row r="24103" spans="8:8" x14ac:dyDescent="0.3">
      <c r="H24103" t="str">
        <f t="shared" si="426"/>
        <v/>
      </c>
    </row>
    <row r="24104" spans="8:8" x14ac:dyDescent="0.3">
      <c r="H24104" t="str">
        <f t="shared" si="426"/>
        <v/>
      </c>
    </row>
    <row r="24105" spans="8:8" x14ac:dyDescent="0.3">
      <c r="H24105" t="str">
        <f t="shared" si="426"/>
        <v/>
      </c>
    </row>
    <row r="24106" spans="8:8" x14ac:dyDescent="0.3">
      <c r="H24106" t="str">
        <f t="shared" si="426"/>
        <v/>
      </c>
    </row>
    <row r="24107" spans="8:8" x14ac:dyDescent="0.3">
      <c r="H24107" t="str">
        <f t="shared" si="426"/>
        <v/>
      </c>
    </row>
    <row r="24108" spans="8:8" x14ac:dyDescent="0.3">
      <c r="H24108" t="str">
        <f t="shared" si="426"/>
        <v/>
      </c>
    </row>
    <row r="24109" spans="8:8" x14ac:dyDescent="0.3">
      <c r="H24109" t="str">
        <f t="shared" si="426"/>
        <v/>
      </c>
    </row>
    <row r="24110" spans="8:8" x14ac:dyDescent="0.3">
      <c r="H24110" t="str">
        <f t="shared" si="426"/>
        <v/>
      </c>
    </row>
    <row r="24111" spans="8:8" x14ac:dyDescent="0.3">
      <c r="H24111" t="str">
        <f t="shared" si="426"/>
        <v/>
      </c>
    </row>
    <row r="24112" spans="8:8" x14ac:dyDescent="0.3">
      <c r="H24112" t="str">
        <f t="shared" si="426"/>
        <v/>
      </c>
    </row>
    <row r="24113" spans="8:8" x14ac:dyDescent="0.3">
      <c r="H24113" t="str">
        <f t="shared" si="426"/>
        <v/>
      </c>
    </row>
    <row r="24114" spans="8:8" x14ac:dyDescent="0.3">
      <c r="H24114" t="str">
        <f t="shared" si="426"/>
        <v/>
      </c>
    </row>
    <row r="24115" spans="8:8" x14ac:dyDescent="0.3">
      <c r="H24115" t="str">
        <f t="shared" si="426"/>
        <v/>
      </c>
    </row>
    <row r="24116" spans="8:8" x14ac:dyDescent="0.3">
      <c r="H24116" t="str">
        <f t="shared" si="426"/>
        <v/>
      </c>
    </row>
    <row r="24117" spans="8:8" x14ac:dyDescent="0.3">
      <c r="H24117" t="str">
        <f t="shared" si="426"/>
        <v/>
      </c>
    </row>
    <row r="24118" spans="8:8" x14ac:dyDescent="0.3">
      <c r="H24118" t="str">
        <f t="shared" si="426"/>
        <v/>
      </c>
    </row>
    <row r="24119" spans="8:8" x14ac:dyDescent="0.3">
      <c r="H24119" t="str">
        <f t="shared" si="426"/>
        <v/>
      </c>
    </row>
    <row r="24120" spans="8:8" x14ac:dyDescent="0.3">
      <c r="H24120" t="str">
        <f t="shared" si="426"/>
        <v/>
      </c>
    </row>
    <row r="24121" spans="8:8" x14ac:dyDescent="0.3">
      <c r="H24121" t="str">
        <f t="shared" si="426"/>
        <v/>
      </c>
    </row>
    <row r="24122" spans="8:8" x14ac:dyDescent="0.3">
      <c r="H24122" t="str">
        <f t="shared" si="426"/>
        <v/>
      </c>
    </row>
    <row r="24123" spans="8:8" x14ac:dyDescent="0.3">
      <c r="H24123" t="str">
        <f t="shared" si="426"/>
        <v/>
      </c>
    </row>
    <row r="24124" spans="8:8" x14ac:dyDescent="0.3">
      <c r="H24124" t="str">
        <f t="shared" si="426"/>
        <v/>
      </c>
    </row>
    <row r="24125" spans="8:8" x14ac:dyDescent="0.3">
      <c r="H24125" t="str">
        <f t="shared" si="426"/>
        <v/>
      </c>
    </row>
    <row r="24126" spans="8:8" x14ac:dyDescent="0.3">
      <c r="H24126" t="str">
        <f t="shared" si="426"/>
        <v/>
      </c>
    </row>
    <row r="24127" spans="8:8" x14ac:dyDescent="0.3">
      <c r="H24127" t="str">
        <f t="shared" si="426"/>
        <v/>
      </c>
    </row>
    <row r="24128" spans="8:8" x14ac:dyDescent="0.3">
      <c r="H24128" t="str">
        <f t="shared" si="426"/>
        <v/>
      </c>
    </row>
    <row r="24129" spans="8:8" x14ac:dyDescent="0.3">
      <c r="H24129" t="str">
        <f t="shared" si="426"/>
        <v/>
      </c>
    </row>
    <row r="24130" spans="8:8" x14ac:dyDescent="0.3">
      <c r="H24130" t="str">
        <f t="shared" si="426"/>
        <v/>
      </c>
    </row>
    <row r="24131" spans="8:8" x14ac:dyDescent="0.3">
      <c r="H24131" t="str">
        <f t="shared" si="426"/>
        <v/>
      </c>
    </row>
    <row r="24132" spans="8:8" x14ac:dyDescent="0.3">
      <c r="H24132" t="str">
        <f t="shared" si="426"/>
        <v/>
      </c>
    </row>
    <row r="24133" spans="8:8" x14ac:dyDescent="0.3">
      <c r="H24133" t="str">
        <f t="shared" si="426"/>
        <v/>
      </c>
    </row>
    <row r="24134" spans="8:8" x14ac:dyDescent="0.3">
      <c r="H24134" t="str">
        <f t="shared" si="426"/>
        <v/>
      </c>
    </row>
    <row r="24135" spans="8:8" x14ac:dyDescent="0.3">
      <c r="H24135" t="str">
        <f t="shared" si="426"/>
        <v/>
      </c>
    </row>
    <row r="24136" spans="8:8" x14ac:dyDescent="0.3">
      <c r="H24136" t="str">
        <f t="shared" si="426"/>
        <v/>
      </c>
    </row>
    <row r="24137" spans="8:8" x14ac:dyDescent="0.3">
      <c r="H24137" t="str">
        <f t="shared" si="426"/>
        <v/>
      </c>
    </row>
    <row r="24138" spans="8:8" x14ac:dyDescent="0.3">
      <c r="H24138" t="str">
        <f t="shared" si="426"/>
        <v/>
      </c>
    </row>
    <row r="24139" spans="8:8" x14ac:dyDescent="0.3">
      <c r="H24139" t="str">
        <f t="shared" si="426"/>
        <v/>
      </c>
    </row>
    <row r="24140" spans="8:8" x14ac:dyDescent="0.3">
      <c r="H24140" t="str">
        <f t="shared" si="426"/>
        <v/>
      </c>
    </row>
    <row r="24141" spans="8:8" x14ac:dyDescent="0.3">
      <c r="H24141" t="str">
        <f t="shared" si="426"/>
        <v/>
      </c>
    </row>
    <row r="24142" spans="8:8" x14ac:dyDescent="0.3">
      <c r="H24142" t="str">
        <f t="shared" si="426"/>
        <v/>
      </c>
    </row>
    <row r="24143" spans="8:8" x14ac:dyDescent="0.3">
      <c r="H24143" t="str">
        <f t="shared" si="426"/>
        <v/>
      </c>
    </row>
    <row r="24144" spans="8:8" x14ac:dyDescent="0.3">
      <c r="H24144" t="str">
        <f t="shared" si="426"/>
        <v/>
      </c>
    </row>
    <row r="24145" spans="8:8" x14ac:dyDescent="0.3">
      <c r="H24145" t="str">
        <f t="shared" si="426"/>
        <v/>
      </c>
    </row>
    <row r="24146" spans="8:8" x14ac:dyDescent="0.3">
      <c r="H24146" t="str">
        <f t="shared" si="426"/>
        <v/>
      </c>
    </row>
    <row r="24147" spans="8:8" x14ac:dyDescent="0.3">
      <c r="H24147" t="str">
        <f t="shared" si="426"/>
        <v/>
      </c>
    </row>
    <row r="24148" spans="8:8" x14ac:dyDescent="0.3">
      <c r="H24148" t="str">
        <f t="shared" si="426"/>
        <v/>
      </c>
    </row>
    <row r="24149" spans="8:8" x14ac:dyDescent="0.3">
      <c r="H24149" t="str">
        <f t="shared" si="426"/>
        <v/>
      </c>
    </row>
    <row r="24150" spans="8:8" x14ac:dyDescent="0.3">
      <c r="H24150" t="str">
        <f t="shared" si="426"/>
        <v/>
      </c>
    </row>
    <row r="24151" spans="8:8" x14ac:dyDescent="0.3">
      <c r="H24151" t="str">
        <f t="shared" ref="H24151:H24214" si="427">IF(B24151="","",$C$12)</f>
        <v/>
      </c>
    </row>
    <row r="24152" spans="8:8" x14ac:dyDescent="0.3">
      <c r="H24152" t="str">
        <f t="shared" si="427"/>
        <v/>
      </c>
    </row>
    <row r="24153" spans="8:8" x14ac:dyDescent="0.3">
      <c r="H24153" t="str">
        <f t="shared" si="427"/>
        <v/>
      </c>
    </row>
    <row r="24154" spans="8:8" x14ac:dyDescent="0.3">
      <c r="H24154" t="str">
        <f t="shared" si="427"/>
        <v/>
      </c>
    </row>
    <row r="24155" spans="8:8" x14ac:dyDescent="0.3">
      <c r="H24155" t="str">
        <f t="shared" si="427"/>
        <v/>
      </c>
    </row>
    <row r="24156" spans="8:8" x14ac:dyDescent="0.3">
      <c r="H24156" t="str">
        <f t="shared" si="427"/>
        <v/>
      </c>
    </row>
    <row r="24157" spans="8:8" x14ac:dyDescent="0.3">
      <c r="H24157" t="str">
        <f t="shared" si="427"/>
        <v/>
      </c>
    </row>
    <row r="24158" spans="8:8" x14ac:dyDescent="0.3">
      <c r="H24158" t="str">
        <f t="shared" si="427"/>
        <v/>
      </c>
    </row>
    <row r="24159" spans="8:8" x14ac:dyDescent="0.3">
      <c r="H24159" t="str">
        <f t="shared" si="427"/>
        <v/>
      </c>
    </row>
    <row r="24160" spans="8:8" x14ac:dyDescent="0.3">
      <c r="H24160" t="str">
        <f t="shared" si="427"/>
        <v/>
      </c>
    </row>
    <row r="24161" spans="8:8" x14ac:dyDescent="0.3">
      <c r="H24161" t="str">
        <f t="shared" si="427"/>
        <v/>
      </c>
    </row>
    <row r="24162" spans="8:8" x14ac:dyDescent="0.3">
      <c r="H24162" t="str">
        <f t="shared" si="427"/>
        <v/>
      </c>
    </row>
    <row r="24163" spans="8:8" x14ac:dyDescent="0.3">
      <c r="H24163" t="str">
        <f t="shared" si="427"/>
        <v/>
      </c>
    </row>
    <row r="24164" spans="8:8" x14ac:dyDescent="0.3">
      <c r="H24164" t="str">
        <f t="shared" si="427"/>
        <v/>
      </c>
    </row>
    <row r="24165" spans="8:8" x14ac:dyDescent="0.3">
      <c r="H24165" t="str">
        <f t="shared" si="427"/>
        <v/>
      </c>
    </row>
    <row r="24166" spans="8:8" x14ac:dyDescent="0.3">
      <c r="H24166" t="str">
        <f t="shared" si="427"/>
        <v/>
      </c>
    </row>
    <row r="24167" spans="8:8" x14ac:dyDescent="0.3">
      <c r="H24167" t="str">
        <f t="shared" si="427"/>
        <v/>
      </c>
    </row>
    <row r="24168" spans="8:8" x14ac:dyDescent="0.3">
      <c r="H24168" t="str">
        <f t="shared" si="427"/>
        <v/>
      </c>
    </row>
    <row r="24169" spans="8:8" x14ac:dyDescent="0.3">
      <c r="H24169" t="str">
        <f t="shared" si="427"/>
        <v/>
      </c>
    </row>
    <row r="24170" spans="8:8" x14ac:dyDescent="0.3">
      <c r="H24170" t="str">
        <f t="shared" si="427"/>
        <v/>
      </c>
    </row>
    <row r="24171" spans="8:8" x14ac:dyDescent="0.3">
      <c r="H24171" t="str">
        <f t="shared" si="427"/>
        <v/>
      </c>
    </row>
    <row r="24172" spans="8:8" x14ac:dyDescent="0.3">
      <c r="H24172" t="str">
        <f t="shared" si="427"/>
        <v/>
      </c>
    </row>
    <row r="24173" spans="8:8" x14ac:dyDescent="0.3">
      <c r="H24173" t="str">
        <f t="shared" si="427"/>
        <v/>
      </c>
    </row>
    <row r="24174" spans="8:8" x14ac:dyDescent="0.3">
      <c r="H24174" t="str">
        <f t="shared" si="427"/>
        <v/>
      </c>
    </row>
    <row r="24175" spans="8:8" x14ac:dyDescent="0.3">
      <c r="H24175" t="str">
        <f t="shared" si="427"/>
        <v/>
      </c>
    </row>
    <row r="24176" spans="8:8" x14ac:dyDescent="0.3">
      <c r="H24176" t="str">
        <f t="shared" si="427"/>
        <v/>
      </c>
    </row>
    <row r="24177" spans="8:8" x14ac:dyDescent="0.3">
      <c r="H24177" t="str">
        <f t="shared" si="427"/>
        <v/>
      </c>
    </row>
    <row r="24178" spans="8:8" x14ac:dyDescent="0.3">
      <c r="H24178" t="str">
        <f t="shared" si="427"/>
        <v/>
      </c>
    </row>
    <row r="24179" spans="8:8" x14ac:dyDescent="0.3">
      <c r="H24179" t="str">
        <f t="shared" si="427"/>
        <v/>
      </c>
    </row>
    <row r="24180" spans="8:8" x14ac:dyDescent="0.3">
      <c r="H24180" t="str">
        <f t="shared" si="427"/>
        <v/>
      </c>
    </row>
    <row r="24181" spans="8:8" x14ac:dyDescent="0.3">
      <c r="H24181" t="str">
        <f t="shared" si="427"/>
        <v/>
      </c>
    </row>
    <row r="24182" spans="8:8" x14ac:dyDescent="0.3">
      <c r="H24182" t="str">
        <f t="shared" si="427"/>
        <v/>
      </c>
    </row>
    <row r="24183" spans="8:8" x14ac:dyDescent="0.3">
      <c r="H24183" t="str">
        <f t="shared" si="427"/>
        <v/>
      </c>
    </row>
    <row r="24184" spans="8:8" x14ac:dyDescent="0.3">
      <c r="H24184" t="str">
        <f t="shared" si="427"/>
        <v/>
      </c>
    </row>
    <row r="24185" spans="8:8" x14ac:dyDescent="0.3">
      <c r="H24185" t="str">
        <f t="shared" si="427"/>
        <v/>
      </c>
    </row>
    <row r="24186" spans="8:8" x14ac:dyDescent="0.3">
      <c r="H24186" t="str">
        <f t="shared" si="427"/>
        <v/>
      </c>
    </row>
    <row r="24187" spans="8:8" x14ac:dyDescent="0.3">
      <c r="H24187" t="str">
        <f t="shared" si="427"/>
        <v/>
      </c>
    </row>
    <row r="24188" spans="8:8" x14ac:dyDescent="0.3">
      <c r="H24188" t="str">
        <f t="shared" si="427"/>
        <v/>
      </c>
    </row>
    <row r="24189" spans="8:8" x14ac:dyDescent="0.3">
      <c r="H24189" t="str">
        <f t="shared" si="427"/>
        <v/>
      </c>
    </row>
    <row r="24190" spans="8:8" x14ac:dyDescent="0.3">
      <c r="H24190" t="str">
        <f t="shared" si="427"/>
        <v/>
      </c>
    </row>
    <row r="24191" spans="8:8" x14ac:dyDescent="0.3">
      <c r="H24191" t="str">
        <f t="shared" si="427"/>
        <v/>
      </c>
    </row>
    <row r="24192" spans="8:8" x14ac:dyDescent="0.3">
      <c r="H24192" t="str">
        <f t="shared" si="427"/>
        <v/>
      </c>
    </row>
    <row r="24193" spans="8:8" x14ac:dyDescent="0.3">
      <c r="H24193" t="str">
        <f t="shared" si="427"/>
        <v/>
      </c>
    </row>
    <row r="24194" spans="8:8" x14ac:dyDescent="0.3">
      <c r="H24194" t="str">
        <f t="shared" si="427"/>
        <v/>
      </c>
    </row>
    <row r="24195" spans="8:8" x14ac:dyDescent="0.3">
      <c r="H24195" t="str">
        <f t="shared" si="427"/>
        <v/>
      </c>
    </row>
    <row r="24196" spans="8:8" x14ac:dyDescent="0.3">
      <c r="H24196" t="str">
        <f t="shared" si="427"/>
        <v/>
      </c>
    </row>
    <row r="24197" spans="8:8" x14ac:dyDescent="0.3">
      <c r="H24197" t="str">
        <f t="shared" si="427"/>
        <v/>
      </c>
    </row>
    <row r="24198" spans="8:8" x14ac:dyDescent="0.3">
      <c r="H24198" t="str">
        <f t="shared" si="427"/>
        <v/>
      </c>
    </row>
    <row r="24199" spans="8:8" x14ac:dyDescent="0.3">
      <c r="H24199" t="str">
        <f t="shared" si="427"/>
        <v/>
      </c>
    </row>
    <row r="24200" spans="8:8" x14ac:dyDescent="0.3">
      <c r="H24200" t="str">
        <f t="shared" si="427"/>
        <v/>
      </c>
    </row>
    <row r="24201" spans="8:8" x14ac:dyDescent="0.3">
      <c r="H24201" t="str">
        <f t="shared" si="427"/>
        <v/>
      </c>
    </row>
    <row r="24202" spans="8:8" x14ac:dyDescent="0.3">
      <c r="H24202" t="str">
        <f t="shared" si="427"/>
        <v/>
      </c>
    </row>
    <row r="24203" spans="8:8" x14ac:dyDescent="0.3">
      <c r="H24203" t="str">
        <f t="shared" si="427"/>
        <v/>
      </c>
    </row>
    <row r="24204" spans="8:8" x14ac:dyDescent="0.3">
      <c r="H24204" t="str">
        <f t="shared" si="427"/>
        <v/>
      </c>
    </row>
    <row r="24205" spans="8:8" x14ac:dyDescent="0.3">
      <c r="H24205" t="str">
        <f t="shared" si="427"/>
        <v/>
      </c>
    </row>
    <row r="24206" spans="8:8" x14ac:dyDescent="0.3">
      <c r="H24206" t="str">
        <f t="shared" si="427"/>
        <v/>
      </c>
    </row>
    <row r="24207" spans="8:8" x14ac:dyDescent="0.3">
      <c r="H24207" t="str">
        <f t="shared" si="427"/>
        <v/>
      </c>
    </row>
    <row r="24208" spans="8:8" x14ac:dyDescent="0.3">
      <c r="H24208" t="str">
        <f t="shared" si="427"/>
        <v/>
      </c>
    </row>
    <row r="24209" spans="8:8" x14ac:dyDescent="0.3">
      <c r="H24209" t="str">
        <f t="shared" si="427"/>
        <v/>
      </c>
    </row>
    <row r="24210" spans="8:8" x14ac:dyDescent="0.3">
      <c r="H24210" t="str">
        <f t="shared" si="427"/>
        <v/>
      </c>
    </row>
    <row r="24211" spans="8:8" x14ac:dyDescent="0.3">
      <c r="H24211" t="str">
        <f t="shared" si="427"/>
        <v/>
      </c>
    </row>
    <row r="24212" spans="8:8" x14ac:dyDescent="0.3">
      <c r="H24212" t="str">
        <f t="shared" si="427"/>
        <v/>
      </c>
    </row>
    <row r="24213" spans="8:8" x14ac:dyDescent="0.3">
      <c r="H24213" t="str">
        <f t="shared" si="427"/>
        <v/>
      </c>
    </row>
    <row r="24214" spans="8:8" x14ac:dyDescent="0.3">
      <c r="H24214" t="str">
        <f t="shared" si="427"/>
        <v/>
      </c>
    </row>
    <row r="24215" spans="8:8" x14ac:dyDescent="0.3">
      <c r="H24215" t="str">
        <f t="shared" ref="H24215:H24278" si="428">IF(B24215="","",$C$12)</f>
        <v/>
      </c>
    </row>
    <row r="24216" spans="8:8" x14ac:dyDescent="0.3">
      <c r="H24216" t="str">
        <f t="shared" si="428"/>
        <v/>
      </c>
    </row>
    <row r="24217" spans="8:8" x14ac:dyDescent="0.3">
      <c r="H24217" t="str">
        <f t="shared" si="428"/>
        <v/>
      </c>
    </row>
    <row r="24218" spans="8:8" x14ac:dyDescent="0.3">
      <c r="H24218" t="str">
        <f t="shared" si="428"/>
        <v/>
      </c>
    </row>
    <row r="24219" spans="8:8" x14ac:dyDescent="0.3">
      <c r="H24219" t="str">
        <f t="shared" si="428"/>
        <v/>
      </c>
    </row>
    <row r="24220" spans="8:8" x14ac:dyDescent="0.3">
      <c r="H24220" t="str">
        <f t="shared" si="428"/>
        <v/>
      </c>
    </row>
    <row r="24221" spans="8:8" x14ac:dyDescent="0.3">
      <c r="H24221" t="str">
        <f t="shared" si="428"/>
        <v/>
      </c>
    </row>
    <row r="24222" spans="8:8" x14ac:dyDescent="0.3">
      <c r="H24222" t="str">
        <f t="shared" si="428"/>
        <v/>
      </c>
    </row>
    <row r="24223" spans="8:8" x14ac:dyDescent="0.3">
      <c r="H24223" t="str">
        <f t="shared" si="428"/>
        <v/>
      </c>
    </row>
    <row r="24224" spans="8:8" x14ac:dyDescent="0.3">
      <c r="H24224" t="str">
        <f t="shared" si="428"/>
        <v/>
      </c>
    </row>
    <row r="24225" spans="8:8" x14ac:dyDescent="0.3">
      <c r="H24225" t="str">
        <f t="shared" si="428"/>
        <v/>
      </c>
    </row>
    <row r="24226" spans="8:8" x14ac:dyDescent="0.3">
      <c r="H24226" t="str">
        <f t="shared" si="428"/>
        <v/>
      </c>
    </row>
    <row r="24227" spans="8:8" x14ac:dyDescent="0.3">
      <c r="H24227" t="str">
        <f t="shared" si="428"/>
        <v/>
      </c>
    </row>
    <row r="24228" spans="8:8" x14ac:dyDescent="0.3">
      <c r="H24228" t="str">
        <f t="shared" si="428"/>
        <v/>
      </c>
    </row>
    <row r="24229" spans="8:8" x14ac:dyDescent="0.3">
      <c r="H24229" t="str">
        <f t="shared" si="428"/>
        <v/>
      </c>
    </row>
    <row r="24230" spans="8:8" x14ac:dyDescent="0.3">
      <c r="H24230" t="str">
        <f t="shared" si="428"/>
        <v/>
      </c>
    </row>
    <row r="24231" spans="8:8" x14ac:dyDescent="0.3">
      <c r="H24231" t="str">
        <f t="shared" si="428"/>
        <v/>
      </c>
    </row>
    <row r="24232" spans="8:8" x14ac:dyDescent="0.3">
      <c r="H24232" t="str">
        <f t="shared" si="428"/>
        <v/>
      </c>
    </row>
    <row r="24233" spans="8:8" x14ac:dyDescent="0.3">
      <c r="H24233" t="str">
        <f t="shared" si="428"/>
        <v/>
      </c>
    </row>
    <row r="24234" spans="8:8" x14ac:dyDescent="0.3">
      <c r="H24234" t="str">
        <f t="shared" si="428"/>
        <v/>
      </c>
    </row>
    <row r="24235" spans="8:8" x14ac:dyDescent="0.3">
      <c r="H24235" t="str">
        <f t="shared" si="428"/>
        <v/>
      </c>
    </row>
    <row r="24236" spans="8:8" x14ac:dyDescent="0.3">
      <c r="H24236" t="str">
        <f t="shared" si="428"/>
        <v/>
      </c>
    </row>
    <row r="24237" spans="8:8" x14ac:dyDescent="0.3">
      <c r="H24237" t="str">
        <f t="shared" si="428"/>
        <v/>
      </c>
    </row>
    <row r="24238" spans="8:8" x14ac:dyDescent="0.3">
      <c r="H24238" t="str">
        <f t="shared" si="428"/>
        <v/>
      </c>
    </row>
    <row r="24239" spans="8:8" x14ac:dyDescent="0.3">
      <c r="H24239" t="str">
        <f t="shared" si="428"/>
        <v/>
      </c>
    </row>
    <row r="24240" spans="8:8" x14ac:dyDescent="0.3">
      <c r="H24240" t="str">
        <f t="shared" si="428"/>
        <v/>
      </c>
    </row>
    <row r="24241" spans="8:8" x14ac:dyDescent="0.3">
      <c r="H24241" t="str">
        <f t="shared" si="428"/>
        <v/>
      </c>
    </row>
    <row r="24242" spans="8:8" x14ac:dyDescent="0.3">
      <c r="H24242" t="str">
        <f t="shared" si="428"/>
        <v/>
      </c>
    </row>
    <row r="24243" spans="8:8" x14ac:dyDescent="0.3">
      <c r="H24243" t="str">
        <f t="shared" si="428"/>
        <v/>
      </c>
    </row>
    <row r="24244" spans="8:8" x14ac:dyDescent="0.3">
      <c r="H24244" t="str">
        <f t="shared" si="428"/>
        <v/>
      </c>
    </row>
    <row r="24245" spans="8:8" x14ac:dyDescent="0.3">
      <c r="H24245" t="str">
        <f t="shared" si="428"/>
        <v/>
      </c>
    </row>
    <row r="24246" spans="8:8" x14ac:dyDescent="0.3">
      <c r="H24246" t="str">
        <f t="shared" si="428"/>
        <v/>
      </c>
    </row>
    <row r="24247" spans="8:8" x14ac:dyDescent="0.3">
      <c r="H24247" t="str">
        <f t="shared" si="428"/>
        <v/>
      </c>
    </row>
    <row r="24248" spans="8:8" x14ac:dyDescent="0.3">
      <c r="H24248" t="str">
        <f t="shared" si="428"/>
        <v/>
      </c>
    </row>
    <row r="24249" spans="8:8" x14ac:dyDescent="0.3">
      <c r="H24249" t="str">
        <f t="shared" si="428"/>
        <v/>
      </c>
    </row>
    <row r="24250" spans="8:8" x14ac:dyDescent="0.3">
      <c r="H24250" t="str">
        <f t="shared" si="428"/>
        <v/>
      </c>
    </row>
    <row r="24251" spans="8:8" x14ac:dyDescent="0.3">
      <c r="H24251" t="str">
        <f t="shared" si="428"/>
        <v/>
      </c>
    </row>
    <row r="24252" spans="8:8" x14ac:dyDescent="0.3">
      <c r="H24252" t="str">
        <f t="shared" si="428"/>
        <v/>
      </c>
    </row>
    <row r="24253" spans="8:8" x14ac:dyDescent="0.3">
      <c r="H24253" t="str">
        <f t="shared" si="428"/>
        <v/>
      </c>
    </row>
    <row r="24254" spans="8:8" x14ac:dyDescent="0.3">
      <c r="H24254" t="str">
        <f t="shared" si="428"/>
        <v/>
      </c>
    </row>
    <row r="24255" spans="8:8" x14ac:dyDescent="0.3">
      <c r="H24255" t="str">
        <f t="shared" si="428"/>
        <v/>
      </c>
    </row>
    <row r="24256" spans="8:8" x14ac:dyDescent="0.3">
      <c r="H24256" t="str">
        <f t="shared" si="428"/>
        <v/>
      </c>
    </row>
    <row r="24257" spans="8:8" x14ac:dyDescent="0.3">
      <c r="H24257" t="str">
        <f t="shared" si="428"/>
        <v/>
      </c>
    </row>
    <row r="24258" spans="8:8" x14ac:dyDescent="0.3">
      <c r="H24258" t="str">
        <f t="shared" si="428"/>
        <v/>
      </c>
    </row>
    <row r="24259" spans="8:8" x14ac:dyDescent="0.3">
      <c r="H24259" t="str">
        <f t="shared" si="428"/>
        <v/>
      </c>
    </row>
    <row r="24260" spans="8:8" x14ac:dyDescent="0.3">
      <c r="H24260" t="str">
        <f t="shared" si="428"/>
        <v/>
      </c>
    </row>
    <row r="24261" spans="8:8" x14ac:dyDescent="0.3">
      <c r="H24261" t="str">
        <f t="shared" si="428"/>
        <v/>
      </c>
    </row>
    <row r="24262" spans="8:8" x14ac:dyDescent="0.3">
      <c r="H24262" t="str">
        <f t="shared" si="428"/>
        <v/>
      </c>
    </row>
    <row r="24263" spans="8:8" x14ac:dyDescent="0.3">
      <c r="H24263" t="str">
        <f t="shared" si="428"/>
        <v/>
      </c>
    </row>
    <row r="24264" spans="8:8" x14ac:dyDescent="0.3">
      <c r="H24264" t="str">
        <f t="shared" si="428"/>
        <v/>
      </c>
    </row>
    <row r="24265" spans="8:8" x14ac:dyDescent="0.3">
      <c r="H24265" t="str">
        <f t="shared" si="428"/>
        <v/>
      </c>
    </row>
    <row r="24266" spans="8:8" x14ac:dyDescent="0.3">
      <c r="H24266" t="str">
        <f t="shared" si="428"/>
        <v/>
      </c>
    </row>
    <row r="24267" spans="8:8" x14ac:dyDescent="0.3">
      <c r="H24267" t="str">
        <f t="shared" si="428"/>
        <v/>
      </c>
    </row>
    <row r="24268" spans="8:8" x14ac:dyDescent="0.3">
      <c r="H24268" t="str">
        <f t="shared" si="428"/>
        <v/>
      </c>
    </row>
    <row r="24269" spans="8:8" x14ac:dyDescent="0.3">
      <c r="H24269" t="str">
        <f t="shared" si="428"/>
        <v/>
      </c>
    </row>
    <row r="24270" spans="8:8" x14ac:dyDescent="0.3">
      <c r="H24270" t="str">
        <f t="shared" si="428"/>
        <v/>
      </c>
    </row>
    <row r="24271" spans="8:8" x14ac:dyDescent="0.3">
      <c r="H24271" t="str">
        <f t="shared" si="428"/>
        <v/>
      </c>
    </row>
    <row r="24272" spans="8:8" x14ac:dyDescent="0.3">
      <c r="H24272" t="str">
        <f t="shared" si="428"/>
        <v/>
      </c>
    </row>
    <row r="24273" spans="8:8" x14ac:dyDescent="0.3">
      <c r="H24273" t="str">
        <f t="shared" si="428"/>
        <v/>
      </c>
    </row>
    <row r="24274" spans="8:8" x14ac:dyDescent="0.3">
      <c r="H24274" t="str">
        <f t="shared" si="428"/>
        <v/>
      </c>
    </row>
    <row r="24275" spans="8:8" x14ac:dyDescent="0.3">
      <c r="H24275" t="str">
        <f t="shared" si="428"/>
        <v/>
      </c>
    </row>
    <row r="24276" spans="8:8" x14ac:dyDescent="0.3">
      <c r="H24276" t="str">
        <f t="shared" si="428"/>
        <v/>
      </c>
    </row>
    <row r="24277" spans="8:8" x14ac:dyDescent="0.3">
      <c r="H24277" t="str">
        <f t="shared" si="428"/>
        <v/>
      </c>
    </row>
    <row r="24278" spans="8:8" x14ac:dyDescent="0.3">
      <c r="H24278" t="str">
        <f t="shared" si="428"/>
        <v/>
      </c>
    </row>
    <row r="24279" spans="8:8" x14ac:dyDescent="0.3">
      <c r="H24279" t="str">
        <f t="shared" ref="H24279:H24342" si="429">IF(B24279="","",$C$12)</f>
        <v/>
      </c>
    </row>
    <row r="24280" spans="8:8" x14ac:dyDescent="0.3">
      <c r="H24280" t="str">
        <f t="shared" si="429"/>
        <v/>
      </c>
    </row>
    <row r="24281" spans="8:8" x14ac:dyDescent="0.3">
      <c r="H24281" t="str">
        <f t="shared" si="429"/>
        <v/>
      </c>
    </row>
    <row r="24282" spans="8:8" x14ac:dyDescent="0.3">
      <c r="H24282" t="str">
        <f t="shared" si="429"/>
        <v/>
      </c>
    </row>
    <row r="24283" spans="8:8" x14ac:dyDescent="0.3">
      <c r="H24283" t="str">
        <f t="shared" si="429"/>
        <v/>
      </c>
    </row>
    <row r="24284" spans="8:8" x14ac:dyDescent="0.3">
      <c r="H24284" t="str">
        <f t="shared" si="429"/>
        <v/>
      </c>
    </row>
    <row r="24285" spans="8:8" x14ac:dyDescent="0.3">
      <c r="H24285" t="str">
        <f t="shared" si="429"/>
        <v/>
      </c>
    </row>
    <row r="24286" spans="8:8" x14ac:dyDescent="0.3">
      <c r="H24286" t="str">
        <f t="shared" si="429"/>
        <v/>
      </c>
    </row>
    <row r="24287" spans="8:8" x14ac:dyDescent="0.3">
      <c r="H24287" t="str">
        <f t="shared" si="429"/>
        <v/>
      </c>
    </row>
    <row r="24288" spans="8:8" x14ac:dyDescent="0.3">
      <c r="H24288" t="str">
        <f t="shared" si="429"/>
        <v/>
      </c>
    </row>
    <row r="24289" spans="8:8" x14ac:dyDescent="0.3">
      <c r="H24289" t="str">
        <f t="shared" si="429"/>
        <v/>
      </c>
    </row>
    <row r="24290" spans="8:8" x14ac:dyDescent="0.3">
      <c r="H24290" t="str">
        <f t="shared" si="429"/>
        <v/>
      </c>
    </row>
    <row r="24291" spans="8:8" x14ac:dyDescent="0.3">
      <c r="H24291" t="str">
        <f t="shared" si="429"/>
        <v/>
      </c>
    </row>
    <row r="24292" spans="8:8" x14ac:dyDescent="0.3">
      <c r="H24292" t="str">
        <f t="shared" si="429"/>
        <v/>
      </c>
    </row>
    <row r="24293" spans="8:8" x14ac:dyDescent="0.3">
      <c r="H24293" t="str">
        <f t="shared" si="429"/>
        <v/>
      </c>
    </row>
    <row r="24294" spans="8:8" x14ac:dyDescent="0.3">
      <c r="H24294" t="str">
        <f t="shared" si="429"/>
        <v/>
      </c>
    </row>
    <row r="24295" spans="8:8" x14ac:dyDescent="0.3">
      <c r="H24295" t="str">
        <f t="shared" si="429"/>
        <v/>
      </c>
    </row>
    <row r="24296" spans="8:8" x14ac:dyDescent="0.3">
      <c r="H24296" t="str">
        <f t="shared" si="429"/>
        <v/>
      </c>
    </row>
    <row r="24297" spans="8:8" x14ac:dyDescent="0.3">
      <c r="H24297" t="str">
        <f t="shared" si="429"/>
        <v/>
      </c>
    </row>
    <row r="24298" spans="8:8" x14ac:dyDescent="0.3">
      <c r="H24298" t="str">
        <f t="shared" si="429"/>
        <v/>
      </c>
    </row>
    <row r="24299" spans="8:8" x14ac:dyDescent="0.3">
      <c r="H24299" t="str">
        <f t="shared" si="429"/>
        <v/>
      </c>
    </row>
    <row r="24300" spans="8:8" x14ac:dyDescent="0.3">
      <c r="H24300" t="str">
        <f t="shared" si="429"/>
        <v/>
      </c>
    </row>
    <row r="24301" spans="8:8" x14ac:dyDescent="0.3">
      <c r="H24301" t="str">
        <f t="shared" si="429"/>
        <v/>
      </c>
    </row>
    <row r="24302" spans="8:8" x14ac:dyDescent="0.3">
      <c r="H24302" t="str">
        <f t="shared" si="429"/>
        <v/>
      </c>
    </row>
    <row r="24303" spans="8:8" x14ac:dyDescent="0.3">
      <c r="H24303" t="str">
        <f t="shared" si="429"/>
        <v/>
      </c>
    </row>
    <row r="24304" spans="8:8" x14ac:dyDescent="0.3">
      <c r="H24304" t="str">
        <f t="shared" si="429"/>
        <v/>
      </c>
    </row>
    <row r="24305" spans="8:8" x14ac:dyDescent="0.3">
      <c r="H24305" t="str">
        <f t="shared" si="429"/>
        <v/>
      </c>
    </row>
    <row r="24306" spans="8:8" x14ac:dyDescent="0.3">
      <c r="H24306" t="str">
        <f t="shared" si="429"/>
        <v/>
      </c>
    </row>
    <row r="24307" spans="8:8" x14ac:dyDescent="0.3">
      <c r="H24307" t="str">
        <f t="shared" si="429"/>
        <v/>
      </c>
    </row>
    <row r="24308" spans="8:8" x14ac:dyDescent="0.3">
      <c r="H24308" t="str">
        <f t="shared" si="429"/>
        <v/>
      </c>
    </row>
    <row r="24309" spans="8:8" x14ac:dyDescent="0.3">
      <c r="H24309" t="str">
        <f t="shared" si="429"/>
        <v/>
      </c>
    </row>
    <row r="24310" spans="8:8" x14ac:dyDescent="0.3">
      <c r="H24310" t="str">
        <f t="shared" si="429"/>
        <v/>
      </c>
    </row>
    <row r="24311" spans="8:8" x14ac:dyDescent="0.3">
      <c r="H24311" t="str">
        <f t="shared" si="429"/>
        <v/>
      </c>
    </row>
    <row r="24312" spans="8:8" x14ac:dyDescent="0.3">
      <c r="H24312" t="str">
        <f t="shared" si="429"/>
        <v/>
      </c>
    </row>
    <row r="24313" spans="8:8" x14ac:dyDescent="0.3">
      <c r="H24313" t="str">
        <f t="shared" si="429"/>
        <v/>
      </c>
    </row>
    <row r="24314" spans="8:8" x14ac:dyDescent="0.3">
      <c r="H24314" t="str">
        <f t="shared" si="429"/>
        <v/>
      </c>
    </row>
    <row r="24315" spans="8:8" x14ac:dyDescent="0.3">
      <c r="H24315" t="str">
        <f t="shared" si="429"/>
        <v/>
      </c>
    </row>
    <row r="24316" spans="8:8" x14ac:dyDescent="0.3">
      <c r="H24316" t="str">
        <f t="shared" si="429"/>
        <v/>
      </c>
    </row>
    <row r="24317" spans="8:8" x14ac:dyDescent="0.3">
      <c r="H24317" t="str">
        <f t="shared" si="429"/>
        <v/>
      </c>
    </row>
    <row r="24318" spans="8:8" x14ac:dyDescent="0.3">
      <c r="H24318" t="str">
        <f t="shared" si="429"/>
        <v/>
      </c>
    </row>
    <row r="24319" spans="8:8" x14ac:dyDescent="0.3">
      <c r="H24319" t="str">
        <f t="shared" si="429"/>
        <v/>
      </c>
    </row>
    <row r="24320" spans="8:8" x14ac:dyDescent="0.3">
      <c r="H24320" t="str">
        <f t="shared" si="429"/>
        <v/>
      </c>
    </row>
    <row r="24321" spans="8:8" x14ac:dyDescent="0.3">
      <c r="H24321" t="str">
        <f t="shared" si="429"/>
        <v/>
      </c>
    </row>
    <row r="24322" spans="8:8" x14ac:dyDescent="0.3">
      <c r="H24322" t="str">
        <f t="shared" si="429"/>
        <v/>
      </c>
    </row>
    <row r="24323" spans="8:8" x14ac:dyDescent="0.3">
      <c r="H24323" t="str">
        <f t="shared" si="429"/>
        <v/>
      </c>
    </row>
    <row r="24324" spans="8:8" x14ac:dyDescent="0.3">
      <c r="H24324" t="str">
        <f t="shared" si="429"/>
        <v/>
      </c>
    </row>
    <row r="24325" spans="8:8" x14ac:dyDescent="0.3">
      <c r="H24325" t="str">
        <f t="shared" si="429"/>
        <v/>
      </c>
    </row>
    <row r="24326" spans="8:8" x14ac:dyDescent="0.3">
      <c r="H24326" t="str">
        <f t="shared" si="429"/>
        <v/>
      </c>
    </row>
    <row r="24327" spans="8:8" x14ac:dyDescent="0.3">
      <c r="H24327" t="str">
        <f t="shared" si="429"/>
        <v/>
      </c>
    </row>
    <row r="24328" spans="8:8" x14ac:dyDescent="0.3">
      <c r="H24328" t="str">
        <f t="shared" si="429"/>
        <v/>
      </c>
    </row>
    <row r="24329" spans="8:8" x14ac:dyDescent="0.3">
      <c r="H24329" t="str">
        <f t="shared" si="429"/>
        <v/>
      </c>
    </row>
    <row r="24330" spans="8:8" x14ac:dyDescent="0.3">
      <c r="H24330" t="str">
        <f t="shared" si="429"/>
        <v/>
      </c>
    </row>
    <row r="24331" spans="8:8" x14ac:dyDescent="0.3">
      <c r="H24331" t="str">
        <f t="shared" si="429"/>
        <v/>
      </c>
    </row>
    <row r="24332" spans="8:8" x14ac:dyDescent="0.3">
      <c r="H24332" t="str">
        <f t="shared" si="429"/>
        <v/>
      </c>
    </row>
    <row r="24333" spans="8:8" x14ac:dyDescent="0.3">
      <c r="H24333" t="str">
        <f t="shared" si="429"/>
        <v/>
      </c>
    </row>
    <row r="24334" spans="8:8" x14ac:dyDescent="0.3">
      <c r="H24334" t="str">
        <f t="shared" si="429"/>
        <v/>
      </c>
    </row>
    <row r="24335" spans="8:8" x14ac:dyDescent="0.3">
      <c r="H24335" t="str">
        <f t="shared" si="429"/>
        <v/>
      </c>
    </row>
    <row r="24336" spans="8:8" x14ac:dyDescent="0.3">
      <c r="H24336" t="str">
        <f t="shared" si="429"/>
        <v/>
      </c>
    </row>
    <row r="24337" spans="8:8" x14ac:dyDescent="0.3">
      <c r="H24337" t="str">
        <f t="shared" si="429"/>
        <v/>
      </c>
    </row>
    <row r="24338" spans="8:8" x14ac:dyDescent="0.3">
      <c r="H24338" t="str">
        <f t="shared" si="429"/>
        <v/>
      </c>
    </row>
    <row r="24339" spans="8:8" x14ac:dyDescent="0.3">
      <c r="H24339" t="str">
        <f t="shared" si="429"/>
        <v/>
      </c>
    </row>
    <row r="24340" spans="8:8" x14ac:dyDescent="0.3">
      <c r="H24340" t="str">
        <f t="shared" si="429"/>
        <v/>
      </c>
    </row>
    <row r="24341" spans="8:8" x14ac:dyDescent="0.3">
      <c r="H24341" t="str">
        <f t="shared" si="429"/>
        <v/>
      </c>
    </row>
    <row r="24342" spans="8:8" x14ac:dyDescent="0.3">
      <c r="H24342" t="str">
        <f t="shared" si="429"/>
        <v/>
      </c>
    </row>
    <row r="24343" spans="8:8" x14ac:dyDescent="0.3">
      <c r="H24343" t="str">
        <f t="shared" ref="H24343:H24406" si="430">IF(B24343="","",$C$12)</f>
        <v/>
      </c>
    </row>
    <row r="24344" spans="8:8" x14ac:dyDescent="0.3">
      <c r="H24344" t="str">
        <f t="shared" si="430"/>
        <v/>
      </c>
    </row>
    <row r="24345" spans="8:8" x14ac:dyDescent="0.3">
      <c r="H24345" t="str">
        <f t="shared" si="430"/>
        <v/>
      </c>
    </row>
    <row r="24346" spans="8:8" x14ac:dyDescent="0.3">
      <c r="H24346" t="str">
        <f t="shared" si="430"/>
        <v/>
      </c>
    </row>
    <row r="24347" spans="8:8" x14ac:dyDescent="0.3">
      <c r="H24347" t="str">
        <f t="shared" si="430"/>
        <v/>
      </c>
    </row>
    <row r="24348" spans="8:8" x14ac:dyDescent="0.3">
      <c r="H24348" t="str">
        <f t="shared" si="430"/>
        <v/>
      </c>
    </row>
    <row r="24349" spans="8:8" x14ac:dyDescent="0.3">
      <c r="H24349" t="str">
        <f t="shared" si="430"/>
        <v/>
      </c>
    </row>
    <row r="24350" spans="8:8" x14ac:dyDescent="0.3">
      <c r="H24350" t="str">
        <f t="shared" si="430"/>
        <v/>
      </c>
    </row>
    <row r="24351" spans="8:8" x14ac:dyDescent="0.3">
      <c r="H24351" t="str">
        <f t="shared" si="430"/>
        <v/>
      </c>
    </row>
    <row r="24352" spans="8:8" x14ac:dyDescent="0.3">
      <c r="H24352" t="str">
        <f t="shared" si="430"/>
        <v/>
      </c>
    </row>
    <row r="24353" spans="8:8" x14ac:dyDescent="0.3">
      <c r="H24353" t="str">
        <f t="shared" si="430"/>
        <v/>
      </c>
    </row>
    <row r="24354" spans="8:8" x14ac:dyDescent="0.3">
      <c r="H24354" t="str">
        <f t="shared" si="430"/>
        <v/>
      </c>
    </row>
    <row r="24355" spans="8:8" x14ac:dyDescent="0.3">
      <c r="H24355" t="str">
        <f t="shared" si="430"/>
        <v/>
      </c>
    </row>
    <row r="24356" spans="8:8" x14ac:dyDescent="0.3">
      <c r="H24356" t="str">
        <f t="shared" si="430"/>
        <v/>
      </c>
    </row>
    <row r="24357" spans="8:8" x14ac:dyDescent="0.3">
      <c r="H24357" t="str">
        <f t="shared" si="430"/>
        <v/>
      </c>
    </row>
    <row r="24358" spans="8:8" x14ac:dyDescent="0.3">
      <c r="H24358" t="str">
        <f t="shared" si="430"/>
        <v/>
      </c>
    </row>
    <row r="24359" spans="8:8" x14ac:dyDescent="0.3">
      <c r="H24359" t="str">
        <f t="shared" si="430"/>
        <v/>
      </c>
    </row>
    <row r="24360" spans="8:8" x14ac:dyDescent="0.3">
      <c r="H24360" t="str">
        <f t="shared" si="430"/>
        <v/>
      </c>
    </row>
    <row r="24361" spans="8:8" x14ac:dyDescent="0.3">
      <c r="H24361" t="str">
        <f t="shared" si="430"/>
        <v/>
      </c>
    </row>
    <row r="24362" spans="8:8" x14ac:dyDescent="0.3">
      <c r="H24362" t="str">
        <f t="shared" si="430"/>
        <v/>
      </c>
    </row>
    <row r="24363" spans="8:8" x14ac:dyDescent="0.3">
      <c r="H24363" t="str">
        <f t="shared" si="430"/>
        <v/>
      </c>
    </row>
    <row r="24364" spans="8:8" x14ac:dyDescent="0.3">
      <c r="H24364" t="str">
        <f t="shared" si="430"/>
        <v/>
      </c>
    </row>
    <row r="24365" spans="8:8" x14ac:dyDescent="0.3">
      <c r="H24365" t="str">
        <f t="shared" si="430"/>
        <v/>
      </c>
    </row>
    <row r="24366" spans="8:8" x14ac:dyDescent="0.3">
      <c r="H24366" t="str">
        <f t="shared" si="430"/>
        <v/>
      </c>
    </row>
    <row r="24367" spans="8:8" x14ac:dyDescent="0.3">
      <c r="H24367" t="str">
        <f t="shared" si="430"/>
        <v/>
      </c>
    </row>
    <row r="24368" spans="8:8" x14ac:dyDescent="0.3">
      <c r="H24368" t="str">
        <f t="shared" si="430"/>
        <v/>
      </c>
    </row>
    <row r="24369" spans="8:8" x14ac:dyDescent="0.3">
      <c r="H24369" t="str">
        <f t="shared" si="430"/>
        <v/>
      </c>
    </row>
    <row r="24370" spans="8:8" x14ac:dyDescent="0.3">
      <c r="H24370" t="str">
        <f t="shared" si="430"/>
        <v/>
      </c>
    </row>
    <row r="24371" spans="8:8" x14ac:dyDescent="0.3">
      <c r="H24371" t="str">
        <f t="shared" si="430"/>
        <v/>
      </c>
    </row>
    <row r="24372" spans="8:8" x14ac:dyDescent="0.3">
      <c r="H24372" t="str">
        <f t="shared" si="430"/>
        <v/>
      </c>
    </row>
    <row r="24373" spans="8:8" x14ac:dyDescent="0.3">
      <c r="H24373" t="str">
        <f t="shared" si="430"/>
        <v/>
      </c>
    </row>
    <row r="24374" spans="8:8" x14ac:dyDescent="0.3">
      <c r="H24374" t="str">
        <f t="shared" si="430"/>
        <v/>
      </c>
    </row>
    <row r="24375" spans="8:8" x14ac:dyDescent="0.3">
      <c r="H24375" t="str">
        <f t="shared" si="430"/>
        <v/>
      </c>
    </row>
    <row r="24376" spans="8:8" x14ac:dyDescent="0.3">
      <c r="H24376" t="str">
        <f t="shared" si="430"/>
        <v/>
      </c>
    </row>
    <row r="24377" spans="8:8" x14ac:dyDescent="0.3">
      <c r="H24377" t="str">
        <f t="shared" si="430"/>
        <v/>
      </c>
    </row>
    <row r="24378" spans="8:8" x14ac:dyDescent="0.3">
      <c r="H24378" t="str">
        <f t="shared" si="430"/>
        <v/>
      </c>
    </row>
    <row r="24379" spans="8:8" x14ac:dyDescent="0.3">
      <c r="H24379" t="str">
        <f t="shared" si="430"/>
        <v/>
      </c>
    </row>
    <row r="24380" spans="8:8" x14ac:dyDescent="0.3">
      <c r="H24380" t="str">
        <f t="shared" si="430"/>
        <v/>
      </c>
    </row>
    <row r="24381" spans="8:8" x14ac:dyDescent="0.3">
      <c r="H24381" t="str">
        <f t="shared" si="430"/>
        <v/>
      </c>
    </row>
    <row r="24382" spans="8:8" x14ac:dyDescent="0.3">
      <c r="H24382" t="str">
        <f t="shared" si="430"/>
        <v/>
      </c>
    </row>
    <row r="24383" spans="8:8" x14ac:dyDescent="0.3">
      <c r="H24383" t="str">
        <f t="shared" si="430"/>
        <v/>
      </c>
    </row>
    <row r="24384" spans="8:8" x14ac:dyDescent="0.3">
      <c r="H24384" t="str">
        <f t="shared" si="430"/>
        <v/>
      </c>
    </row>
    <row r="24385" spans="8:8" x14ac:dyDescent="0.3">
      <c r="H24385" t="str">
        <f t="shared" si="430"/>
        <v/>
      </c>
    </row>
    <row r="24386" spans="8:8" x14ac:dyDescent="0.3">
      <c r="H24386" t="str">
        <f t="shared" si="430"/>
        <v/>
      </c>
    </row>
    <row r="24387" spans="8:8" x14ac:dyDescent="0.3">
      <c r="H24387" t="str">
        <f t="shared" si="430"/>
        <v/>
      </c>
    </row>
    <row r="24388" spans="8:8" x14ac:dyDescent="0.3">
      <c r="H24388" t="str">
        <f t="shared" si="430"/>
        <v/>
      </c>
    </row>
    <row r="24389" spans="8:8" x14ac:dyDescent="0.3">
      <c r="H24389" t="str">
        <f t="shared" si="430"/>
        <v/>
      </c>
    </row>
    <row r="24390" spans="8:8" x14ac:dyDescent="0.3">
      <c r="H24390" t="str">
        <f t="shared" si="430"/>
        <v/>
      </c>
    </row>
    <row r="24391" spans="8:8" x14ac:dyDescent="0.3">
      <c r="H24391" t="str">
        <f t="shared" si="430"/>
        <v/>
      </c>
    </row>
    <row r="24392" spans="8:8" x14ac:dyDescent="0.3">
      <c r="H24392" t="str">
        <f t="shared" si="430"/>
        <v/>
      </c>
    </row>
    <row r="24393" spans="8:8" x14ac:dyDescent="0.3">
      <c r="H24393" t="str">
        <f t="shared" si="430"/>
        <v/>
      </c>
    </row>
    <row r="24394" spans="8:8" x14ac:dyDescent="0.3">
      <c r="H24394" t="str">
        <f t="shared" si="430"/>
        <v/>
      </c>
    </row>
    <row r="24395" spans="8:8" x14ac:dyDescent="0.3">
      <c r="H24395" t="str">
        <f t="shared" si="430"/>
        <v/>
      </c>
    </row>
    <row r="24396" spans="8:8" x14ac:dyDescent="0.3">
      <c r="H24396" t="str">
        <f t="shared" si="430"/>
        <v/>
      </c>
    </row>
    <row r="24397" spans="8:8" x14ac:dyDescent="0.3">
      <c r="H24397" t="str">
        <f t="shared" si="430"/>
        <v/>
      </c>
    </row>
    <row r="24398" spans="8:8" x14ac:dyDescent="0.3">
      <c r="H24398" t="str">
        <f t="shared" si="430"/>
        <v/>
      </c>
    </row>
    <row r="24399" spans="8:8" x14ac:dyDescent="0.3">
      <c r="H24399" t="str">
        <f t="shared" si="430"/>
        <v/>
      </c>
    </row>
    <row r="24400" spans="8:8" x14ac:dyDescent="0.3">
      <c r="H24400" t="str">
        <f t="shared" si="430"/>
        <v/>
      </c>
    </row>
    <row r="24401" spans="8:8" x14ac:dyDescent="0.3">
      <c r="H24401" t="str">
        <f t="shared" si="430"/>
        <v/>
      </c>
    </row>
    <row r="24402" spans="8:8" x14ac:dyDescent="0.3">
      <c r="H24402" t="str">
        <f t="shared" si="430"/>
        <v/>
      </c>
    </row>
    <row r="24403" spans="8:8" x14ac:dyDescent="0.3">
      <c r="H24403" t="str">
        <f t="shared" si="430"/>
        <v/>
      </c>
    </row>
    <row r="24404" spans="8:8" x14ac:dyDescent="0.3">
      <c r="H24404" t="str">
        <f t="shared" si="430"/>
        <v/>
      </c>
    </row>
    <row r="24405" spans="8:8" x14ac:dyDescent="0.3">
      <c r="H24405" t="str">
        <f t="shared" si="430"/>
        <v/>
      </c>
    </row>
    <row r="24406" spans="8:8" x14ac:dyDescent="0.3">
      <c r="H24406" t="str">
        <f t="shared" si="430"/>
        <v/>
      </c>
    </row>
    <row r="24407" spans="8:8" x14ac:dyDescent="0.3">
      <c r="H24407" t="str">
        <f t="shared" ref="H24407:H24470" si="431">IF(B24407="","",$C$12)</f>
        <v/>
      </c>
    </row>
    <row r="24408" spans="8:8" x14ac:dyDescent="0.3">
      <c r="H24408" t="str">
        <f t="shared" si="431"/>
        <v/>
      </c>
    </row>
    <row r="24409" spans="8:8" x14ac:dyDescent="0.3">
      <c r="H24409" t="str">
        <f t="shared" si="431"/>
        <v/>
      </c>
    </row>
    <row r="24410" spans="8:8" x14ac:dyDescent="0.3">
      <c r="H24410" t="str">
        <f t="shared" si="431"/>
        <v/>
      </c>
    </row>
    <row r="24411" spans="8:8" x14ac:dyDescent="0.3">
      <c r="H24411" t="str">
        <f t="shared" si="431"/>
        <v/>
      </c>
    </row>
    <row r="24412" spans="8:8" x14ac:dyDescent="0.3">
      <c r="H24412" t="str">
        <f t="shared" si="431"/>
        <v/>
      </c>
    </row>
    <row r="24413" spans="8:8" x14ac:dyDescent="0.3">
      <c r="H24413" t="str">
        <f t="shared" si="431"/>
        <v/>
      </c>
    </row>
    <row r="24414" spans="8:8" x14ac:dyDescent="0.3">
      <c r="H24414" t="str">
        <f t="shared" si="431"/>
        <v/>
      </c>
    </row>
    <row r="24415" spans="8:8" x14ac:dyDescent="0.3">
      <c r="H24415" t="str">
        <f t="shared" si="431"/>
        <v/>
      </c>
    </row>
    <row r="24416" spans="8:8" x14ac:dyDescent="0.3">
      <c r="H24416" t="str">
        <f t="shared" si="431"/>
        <v/>
      </c>
    </row>
    <row r="24417" spans="8:8" x14ac:dyDescent="0.3">
      <c r="H24417" t="str">
        <f t="shared" si="431"/>
        <v/>
      </c>
    </row>
    <row r="24418" spans="8:8" x14ac:dyDescent="0.3">
      <c r="H24418" t="str">
        <f t="shared" si="431"/>
        <v/>
      </c>
    </row>
    <row r="24419" spans="8:8" x14ac:dyDescent="0.3">
      <c r="H24419" t="str">
        <f t="shared" si="431"/>
        <v/>
      </c>
    </row>
    <row r="24420" spans="8:8" x14ac:dyDescent="0.3">
      <c r="H24420" t="str">
        <f t="shared" si="431"/>
        <v/>
      </c>
    </row>
    <row r="24421" spans="8:8" x14ac:dyDescent="0.3">
      <c r="H24421" t="str">
        <f t="shared" si="431"/>
        <v/>
      </c>
    </row>
    <row r="24422" spans="8:8" x14ac:dyDescent="0.3">
      <c r="H24422" t="str">
        <f t="shared" si="431"/>
        <v/>
      </c>
    </row>
    <row r="24423" spans="8:8" x14ac:dyDescent="0.3">
      <c r="H24423" t="str">
        <f t="shared" si="431"/>
        <v/>
      </c>
    </row>
    <row r="24424" spans="8:8" x14ac:dyDescent="0.3">
      <c r="H24424" t="str">
        <f t="shared" si="431"/>
        <v/>
      </c>
    </row>
    <row r="24425" spans="8:8" x14ac:dyDescent="0.3">
      <c r="H24425" t="str">
        <f t="shared" si="431"/>
        <v/>
      </c>
    </row>
    <row r="24426" spans="8:8" x14ac:dyDescent="0.3">
      <c r="H24426" t="str">
        <f t="shared" si="431"/>
        <v/>
      </c>
    </row>
    <row r="24427" spans="8:8" x14ac:dyDescent="0.3">
      <c r="H24427" t="str">
        <f t="shared" si="431"/>
        <v/>
      </c>
    </row>
    <row r="24428" spans="8:8" x14ac:dyDescent="0.3">
      <c r="H24428" t="str">
        <f t="shared" si="431"/>
        <v/>
      </c>
    </row>
    <row r="24429" spans="8:8" x14ac:dyDescent="0.3">
      <c r="H24429" t="str">
        <f t="shared" si="431"/>
        <v/>
      </c>
    </row>
    <row r="24430" spans="8:8" x14ac:dyDescent="0.3">
      <c r="H24430" t="str">
        <f t="shared" si="431"/>
        <v/>
      </c>
    </row>
    <row r="24431" spans="8:8" x14ac:dyDescent="0.3">
      <c r="H24431" t="str">
        <f t="shared" si="431"/>
        <v/>
      </c>
    </row>
    <row r="24432" spans="8:8" x14ac:dyDescent="0.3">
      <c r="H24432" t="str">
        <f t="shared" si="431"/>
        <v/>
      </c>
    </row>
    <row r="24433" spans="8:8" x14ac:dyDescent="0.3">
      <c r="H24433" t="str">
        <f t="shared" si="431"/>
        <v/>
      </c>
    </row>
    <row r="24434" spans="8:8" x14ac:dyDescent="0.3">
      <c r="H24434" t="str">
        <f t="shared" si="431"/>
        <v/>
      </c>
    </row>
    <row r="24435" spans="8:8" x14ac:dyDescent="0.3">
      <c r="H24435" t="str">
        <f t="shared" si="431"/>
        <v/>
      </c>
    </row>
    <row r="24436" spans="8:8" x14ac:dyDescent="0.3">
      <c r="H24436" t="str">
        <f t="shared" si="431"/>
        <v/>
      </c>
    </row>
    <row r="24437" spans="8:8" x14ac:dyDescent="0.3">
      <c r="H24437" t="str">
        <f t="shared" si="431"/>
        <v/>
      </c>
    </row>
    <row r="24438" spans="8:8" x14ac:dyDescent="0.3">
      <c r="H24438" t="str">
        <f t="shared" si="431"/>
        <v/>
      </c>
    </row>
    <row r="24439" spans="8:8" x14ac:dyDescent="0.3">
      <c r="H24439" t="str">
        <f t="shared" si="431"/>
        <v/>
      </c>
    </row>
    <row r="24440" spans="8:8" x14ac:dyDescent="0.3">
      <c r="H24440" t="str">
        <f t="shared" si="431"/>
        <v/>
      </c>
    </row>
    <row r="24441" spans="8:8" x14ac:dyDescent="0.3">
      <c r="H24441" t="str">
        <f t="shared" si="431"/>
        <v/>
      </c>
    </row>
    <row r="24442" spans="8:8" x14ac:dyDescent="0.3">
      <c r="H24442" t="str">
        <f t="shared" si="431"/>
        <v/>
      </c>
    </row>
    <row r="24443" spans="8:8" x14ac:dyDescent="0.3">
      <c r="H24443" t="str">
        <f t="shared" si="431"/>
        <v/>
      </c>
    </row>
    <row r="24444" spans="8:8" x14ac:dyDescent="0.3">
      <c r="H24444" t="str">
        <f t="shared" si="431"/>
        <v/>
      </c>
    </row>
    <row r="24445" spans="8:8" x14ac:dyDescent="0.3">
      <c r="H24445" t="str">
        <f t="shared" si="431"/>
        <v/>
      </c>
    </row>
    <row r="24446" spans="8:8" x14ac:dyDescent="0.3">
      <c r="H24446" t="str">
        <f t="shared" si="431"/>
        <v/>
      </c>
    </row>
    <row r="24447" spans="8:8" x14ac:dyDescent="0.3">
      <c r="H24447" t="str">
        <f t="shared" si="431"/>
        <v/>
      </c>
    </row>
    <row r="24448" spans="8:8" x14ac:dyDescent="0.3">
      <c r="H24448" t="str">
        <f t="shared" si="431"/>
        <v/>
      </c>
    </row>
    <row r="24449" spans="8:8" x14ac:dyDescent="0.3">
      <c r="H24449" t="str">
        <f t="shared" si="431"/>
        <v/>
      </c>
    </row>
    <row r="24450" spans="8:8" x14ac:dyDescent="0.3">
      <c r="H24450" t="str">
        <f t="shared" si="431"/>
        <v/>
      </c>
    </row>
    <row r="24451" spans="8:8" x14ac:dyDescent="0.3">
      <c r="H24451" t="str">
        <f t="shared" si="431"/>
        <v/>
      </c>
    </row>
    <row r="24452" spans="8:8" x14ac:dyDescent="0.3">
      <c r="H24452" t="str">
        <f t="shared" si="431"/>
        <v/>
      </c>
    </row>
    <row r="24453" spans="8:8" x14ac:dyDescent="0.3">
      <c r="H24453" t="str">
        <f t="shared" si="431"/>
        <v/>
      </c>
    </row>
    <row r="24454" spans="8:8" x14ac:dyDescent="0.3">
      <c r="H24454" t="str">
        <f t="shared" si="431"/>
        <v/>
      </c>
    </row>
    <row r="24455" spans="8:8" x14ac:dyDescent="0.3">
      <c r="H24455" t="str">
        <f t="shared" si="431"/>
        <v/>
      </c>
    </row>
    <row r="24456" spans="8:8" x14ac:dyDescent="0.3">
      <c r="H24456" t="str">
        <f t="shared" si="431"/>
        <v/>
      </c>
    </row>
    <row r="24457" spans="8:8" x14ac:dyDescent="0.3">
      <c r="H24457" t="str">
        <f t="shared" si="431"/>
        <v/>
      </c>
    </row>
    <row r="24458" spans="8:8" x14ac:dyDescent="0.3">
      <c r="H24458" t="str">
        <f t="shared" si="431"/>
        <v/>
      </c>
    </row>
    <row r="24459" spans="8:8" x14ac:dyDescent="0.3">
      <c r="H24459" t="str">
        <f t="shared" si="431"/>
        <v/>
      </c>
    </row>
    <row r="24460" spans="8:8" x14ac:dyDescent="0.3">
      <c r="H24460" t="str">
        <f t="shared" si="431"/>
        <v/>
      </c>
    </row>
    <row r="24461" spans="8:8" x14ac:dyDescent="0.3">
      <c r="H24461" t="str">
        <f t="shared" si="431"/>
        <v/>
      </c>
    </row>
    <row r="24462" spans="8:8" x14ac:dyDescent="0.3">
      <c r="H24462" t="str">
        <f t="shared" si="431"/>
        <v/>
      </c>
    </row>
    <row r="24463" spans="8:8" x14ac:dyDescent="0.3">
      <c r="H24463" t="str">
        <f t="shared" si="431"/>
        <v/>
      </c>
    </row>
    <row r="24464" spans="8:8" x14ac:dyDescent="0.3">
      <c r="H24464" t="str">
        <f t="shared" si="431"/>
        <v/>
      </c>
    </row>
    <row r="24465" spans="8:8" x14ac:dyDescent="0.3">
      <c r="H24465" t="str">
        <f t="shared" si="431"/>
        <v/>
      </c>
    </row>
    <row r="24466" spans="8:8" x14ac:dyDescent="0.3">
      <c r="H24466" t="str">
        <f t="shared" si="431"/>
        <v/>
      </c>
    </row>
    <row r="24467" spans="8:8" x14ac:dyDescent="0.3">
      <c r="H24467" t="str">
        <f t="shared" si="431"/>
        <v/>
      </c>
    </row>
    <row r="24468" spans="8:8" x14ac:dyDescent="0.3">
      <c r="H24468" t="str">
        <f t="shared" si="431"/>
        <v/>
      </c>
    </row>
    <row r="24469" spans="8:8" x14ac:dyDescent="0.3">
      <c r="H24469" t="str">
        <f t="shared" si="431"/>
        <v/>
      </c>
    </row>
    <row r="24470" spans="8:8" x14ac:dyDescent="0.3">
      <c r="H24470" t="str">
        <f t="shared" si="431"/>
        <v/>
      </c>
    </row>
    <row r="24471" spans="8:8" x14ac:dyDescent="0.3">
      <c r="H24471" t="str">
        <f t="shared" ref="H24471:H24534" si="432">IF(B24471="","",$C$12)</f>
        <v/>
      </c>
    </row>
    <row r="24472" spans="8:8" x14ac:dyDescent="0.3">
      <c r="H24472" t="str">
        <f t="shared" si="432"/>
        <v/>
      </c>
    </row>
    <row r="24473" spans="8:8" x14ac:dyDescent="0.3">
      <c r="H24473" t="str">
        <f t="shared" si="432"/>
        <v/>
      </c>
    </row>
    <row r="24474" spans="8:8" x14ac:dyDescent="0.3">
      <c r="H24474" t="str">
        <f t="shared" si="432"/>
        <v/>
      </c>
    </row>
    <row r="24475" spans="8:8" x14ac:dyDescent="0.3">
      <c r="H24475" t="str">
        <f t="shared" si="432"/>
        <v/>
      </c>
    </row>
    <row r="24476" spans="8:8" x14ac:dyDescent="0.3">
      <c r="H24476" t="str">
        <f t="shared" si="432"/>
        <v/>
      </c>
    </row>
    <row r="24477" spans="8:8" x14ac:dyDescent="0.3">
      <c r="H24477" t="str">
        <f t="shared" si="432"/>
        <v/>
      </c>
    </row>
    <row r="24478" spans="8:8" x14ac:dyDescent="0.3">
      <c r="H24478" t="str">
        <f t="shared" si="432"/>
        <v/>
      </c>
    </row>
    <row r="24479" spans="8:8" x14ac:dyDescent="0.3">
      <c r="H24479" t="str">
        <f t="shared" si="432"/>
        <v/>
      </c>
    </row>
    <row r="24480" spans="8:8" x14ac:dyDescent="0.3">
      <c r="H24480" t="str">
        <f t="shared" si="432"/>
        <v/>
      </c>
    </row>
    <row r="24481" spans="8:8" x14ac:dyDescent="0.3">
      <c r="H24481" t="str">
        <f t="shared" si="432"/>
        <v/>
      </c>
    </row>
    <row r="24482" spans="8:8" x14ac:dyDescent="0.3">
      <c r="H24482" t="str">
        <f t="shared" si="432"/>
        <v/>
      </c>
    </row>
    <row r="24483" spans="8:8" x14ac:dyDescent="0.3">
      <c r="H24483" t="str">
        <f t="shared" si="432"/>
        <v/>
      </c>
    </row>
    <row r="24484" spans="8:8" x14ac:dyDescent="0.3">
      <c r="H24484" t="str">
        <f t="shared" si="432"/>
        <v/>
      </c>
    </row>
    <row r="24485" spans="8:8" x14ac:dyDescent="0.3">
      <c r="H24485" t="str">
        <f t="shared" si="432"/>
        <v/>
      </c>
    </row>
    <row r="24486" spans="8:8" x14ac:dyDescent="0.3">
      <c r="H24486" t="str">
        <f t="shared" si="432"/>
        <v/>
      </c>
    </row>
    <row r="24487" spans="8:8" x14ac:dyDescent="0.3">
      <c r="H24487" t="str">
        <f t="shared" si="432"/>
        <v/>
      </c>
    </row>
    <row r="24488" spans="8:8" x14ac:dyDescent="0.3">
      <c r="H24488" t="str">
        <f t="shared" si="432"/>
        <v/>
      </c>
    </row>
    <row r="24489" spans="8:8" x14ac:dyDescent="0.3">
      <c r="H24489" t="str">
        <f t="shared" si="432"/>
        <v/>
      </c>
    </row>
    <row r="24490" spans="8:8" x14ac:dyDescent="0.3">
      <c r="H24490" t="str">
        <f t="shared" si="432"/>
        <v/>
      </c>
    </row>
    <row r="24491" spans="8:8" x14ac:dyDescent="0.3">
      <c r="H24491" t="str">
        <f t="shared" si="432"/>
        <v/>
      </c>
    </row>
    <row r="24492" spans="8:8" x14ac:dyDescent="0.3">
      <c r="H24492" t="str">
        <f t="shared" si="432"/>
        <v/>
      </c>
    </row>
    <row r="24493" spans="8:8" x14ac:dyDescent="0.3">
      <c r="H24493" t="str">
        <f t="shared" si="432"/>
        <v/>
      </c>
    </row>
    <row r="24494" spans="8:8" x14ac:dyDescent="0.3">
      <c r="H24494" t="str">
        <f t="shared" si="432"/>
        <v/>
      </c>
    </row>
    <row r="24495" spans="8:8" x14ac:dyDescent="0.3">
      <c r="H24495" t="str">
        <f t="shared" si="432"/>
        <v/>
      </c>
    </row>
    <row r="24496" spans="8:8" x14ac:dyDescent="0.3">
      <c r="H24496" t="str">
        <f t="shared" si="432"/>
        <v/>
      </c>
    </row>
    <row r="24497" spans="8:8" x14ac:dyDescent="0.3">
      <c r="H24497" t="str">
        <f t="shared" si="432"/>
        <v/>
      </c>
    </row>
    <row r="24498" spans="8:8" x14ac:dyDescent="0.3">
      <c r="H24498" t="str">
        <f t="shared" si="432"/>
        <v/>
      </c>
    </row>
    <row r="24499" spans="8:8" x14ac:dyDescent="0.3">
      <c r="H24499" t="str">
        <f t="shared" si="432"/>
        <v/>
      </c>
    </row>
    <row r="24500" spans="8:8" x14ac:dyDescent="0.3">
      <c r="H24500" t="str">
        <f t="shared" si="432"/>
        <v/>
      </c>
    </row>
    <row r="24501" spans="8:8" x14ac:dyDescent="0.3">
      <c r="H24501" t="str">
        <f t="shared" si="432"/>
        <v/>
      </c>
    </row>
    <row r="24502" spans="8:8" x14ac:dyDescent="0.3">
      <c r="H24502" t="str">
        <f t="shared" si="432"/>
        <v/>
      </c>
    </row>
    <row r="24503" spans="8:8" x14ac:dyDescent="0.3">
      <c r="H24503" t="str">
        <f t="shared" si="432"/>
        <v/>
      </c>
    </row>
    <row r="24504" spans="8:8" x14ac:dyDescent="0.3">
      <c r="H24504" t="str">
        <f t="shared" si="432"/>
        <v/>
      </c>
    </row>
    <row r="24505" spans="8:8" x14ac:dyDescent="0.3">
      <c r="H24505" t="str">
        <f t="shared" si="432"/>
        <v/>
      </c>
    </row>
    <row r="24506" spans="8:8" x14ac:dyDescent="0.3">
      <c r="H24506" t="str">
        <f t="shared" si="432"/>
        <v/>
      </c>
    </row>
    <row r="24507" spans="8:8" x14ac:dyDescent="0.3">
      <c r="H24507" t="str">
        <f t="shared" si="432"/>
        <v/>
      </c>
    </row>
    <row r="24508" spans="8:8" x14ac:dyDescent="0.3">
      <c r="H24508" t="str">
        <f t="shared" si="432"/>
        <v/>
      </c>
    </row>
    <row r="24509" spans="8:8" x14ac:dyDescent="0.3">
      <c r="H24509" t="str">
        <f t="shared" si="432"/>
        <v/>
      </c>
    </row>
    <row r="24510" spans="8:8" x14ac:dyDescent="0.3">
      <c r="H24510" t="str">
        <f t="shared" si="432"/>
        <v/>
      </c>
    </row>
    <row r="24511" spans="8:8" x14ac:dyDescent="0.3">
      <c r="H24511" t="str">
        <f t="shared" si="432"/>
        <v/>
      </c>
    </row>
    <row r="24512" spans="8:8" x14ac:dyDescent="0.3">
      <c r="H24512" t="str">
        <f t="shared" si="432"/>
        <v/>
      </c>
    </row>
    <row r="24513" spans="8:8" x14ac:dyDescent="0.3">
      <c r="H24513" t="str">
        <f t="shared" si="432"/>
        <v/>
      </c>
    </row>
    <row r="24514" spans="8:8" x14ac:dyDescent="0.3">
      <c r="H24514" t="str">
        <f t="shared" si="432"/>
        <v/>
      </c>
    </row>
    <row r="24515" spans="8:8" x14ac:dyDescent="0.3">
      <c r="H24515" t="str">
        <f t="shared" si="432"/>
        <v/>
      </c>
    </row>
    <row r="24516" spans="8:8" x14ac:dyDescent="0.3">
      <c r="H24516" t="str">
        <f t="shared" si="432"/>
        <v/>
      </c>
    </row>
    <row r="24517" spans="8:8" x14ac:dyDescent="0.3">
      <c r="H24517" t="str">
        <f t="shared" si="432"/>
        <v/>
      </c>
    </row>
    <row r="24518" spans="8:8" x14ac:dyDescent="0.3">
      <c r="H24518" t="str">
        <f t="shared" si="432"/>
        <v/>
      </c>
    </row>
    <row r="24519" spans="8:8" x14ac:dyDescent="0.3">
      <c r="H24519" t="str">
        <f t="shared" si="432"/>
        <v/>
      </c>
    </row>
    <row r="24520" spans="8:8" x14ac:dyDescent="0.3">
      <c r="H24520" t="str">
        <f t="shared" si="432"/>
        <v/>
      </c>
    </row>
    <row r="24521" spans="8:8" x14ac:dyDescent="0.3">
      <c r="H24521" t="str">
        <f t="shared" si="432"/>
        <v/>
      </c>
    </row>
    <row r="24522" spans="8:8" x14ac:dyDescent="0.3">
      <c r="H24522" t="str">
        <f t="shared" si="432"/>
        <v/>
      </c>
    </row>
    <row r="24523" spans="8:8" x14ac:dyDescent="0.3">
      <c r="H24523" t="str">
        <f t="shared" si="432"/>
        <v/>
      </c>
    </row>
    <row r="24524" spans="8:8" x14ac:dyDescent="0.3">
      <c r="H24524" t="str">
        <f t="shared" si="432"/>
        <v/>
      </c>
    </row>
    <row r="24525" spans="8:8" x14ac:dyDescent="0.3">
      <c r="H24525" t="str">
        <f t="shared" si="432"/>
        <v/>
      </c>
    </row>
    <row r="24526" spans="8:8" x14ac:dyDescent="0.3">
      <c r="H24526" t="str">
        <f t="shared" si="432"/>
        <v/>
      </c>
    </row>
    <row r="24527" spans="8:8" x14ac:dyDescent="0.3">
      <c r="H24527" t="str">
        <f t="shared" si="432"/>
        <v/>
      </c>
    </row>
    <row r="24528" spans="8:8" x14ac:dyDescent="0.3">
      <c r="H24528" t="str">
        <f t="shared" si="432"/>
        <v/>
      </c>
    </row>
    <row r="24529" spans="8:8" x14ac:dyDescent="0.3">
      <c r="H24529" t="str">
        <f t="shared" si="432"/>
        <v/>
      </c>
    </row>
    <row r="24530" spans="8:8" x14ac:dyDescent="0.3">
      <c r="H24530" t="str">
        <f t="shared" si="432"/>
        <v/>
      </c>
    </row>
    <row r="24531" spans="8:8" x14ac:dyDescent="0.3">
      <c r="H24531" t="str">
        <f t="shared" si="432"/>
        <v/>
      </c>
    </row>
    <row r="24532" spans="8:8" x14ac:dyDescent="0.3">
      <c r="H24532" t="str">
        <f t="shared" si="432"/>
        <v/>
      </c>
    </row>
    <row r="24533" spans="8:8" x14ac:dyDescent="0.3">
      <c r="H24533" t="str">
        <f t="shared" si="432"/>
        <v/>
      </c>
    </row>
    <row r="24534" spans="8:8" x14ac:dyDescent="0.3">
      <c r="H24534" t="str">
        <f t="shared" si="432"/>
        <v/>
      </c>
    </row>
    <row r="24535" spans="8:8" x14ac:dyDescent="0.3">
      <c r="H24535" t="str">
        <f t="shared" ref="H24535:H24598" si="433">IF(B24535="","",$C$12)</f>
        <v/>
      </c>
    </row>
    <row r="24536" spans="8:8" x14ac:dyDescent="0.3">
      <c r="H24536" t="str">
        <f t="shared" si="433"/>
        <v/>
      </c>
    </row>
    <row r="24537" spans="8:8" x14ac:dyDescent="0.3">
      <c r="H24537" t="str">
        <f t="shared" si="433"/>
        <v/>
      </c>
    </row>
    <row r="24538" spans="8:8" x14ac:dyDescent="0.3">
      <c r="H24538" t="str">
        <f t="shared" si="433"/>
        <v/>
      </c>
    </row>
    <row r="24539" spans="8:8" x14ac:dyDescent="0.3">
      <c r="H24539" t="str">
        <f t="shared" si="433"/>
        <v/>
      </c>
    </row>
    <row r="24540" spans="8:8" x14ac:dyDescent="0.3">
      <c r="H24540" t="str">
        <f t="shared" si="433"/>
        <v/>
      </c>
    </row>
    <row r="24541" spans="8:8" x14ac:dyDescent="0.3">
      <c r="H24541" t="str">
        <f t="shared" si="433"/>
        <v/>
      </c>
    </row>
    <row r="24542" spans="8:8" x14ac:dyDescent="0.3">
      <c r="H24542" t="str">
        <f t="shared" si="433"/>
        <v/>
      </c>
    </row>
    <row r="24543" spans="8:8" x14ac:dyDescent="0.3">
      <c r="H24543" t="str">
        <f t="shared" si="433"/>
        <v/>
      </c>
    </row>
    <row r="24544" spans="8:8" x14ac:dyDescent="0.3">
      <c r="H24544" t="str">
        <f t="shared" si="433"/>
        <v/>
      </c>
    </row>
    <row r="24545" spans="8:8" x14ac:dyDescent="0.3">
      <c r="H24545" t="str">
        <f t="shared" si="433"/>
        <v/>
      </c>
    </row>
    <row r="24546" spans="8:8" x14ac:dyDescent="0.3">
      <c r="H24546" t="str">
        <f t="shared" si="433"/>
        <v/>
      </c>
    </row>
    <row r="24547" spans="8:8" x14ac:dyDescent="0.3">
      <c r="H24547" t="str">
        <f t="shared" si="433"/>
        <v/>
      </c>
    </row>
    <row r="24548" spans="8:8" x14ac:dyDescent="0.3">
      <c r="H24548" t="str">
        <f t="shared" si="433"/>
        <v/>
      </c>
    </row>
    <row r="24549" spans="8:8" x14ac:dyDescent="0.3">
      <c r="H24549" t="str">
        <f t="shared" si="433"/>
        <v/>
      </c>
    </row>
    <row r="24550" spans="8:8" x14ac:dyDescent="0.3">
      <c r="H24550" t="str">
        <f t="shared" si="433"/>
        <v/>
      </c>
    </row>
    <row r="24551" spans="8:8" x14ac:dyDescent="0.3">
      <c r="H24551" t="str">
        <f t="shared" si="433"/>
        <v/>
      </c>
    </row>
    <row r="24552" spans="8:8" x14ac:dyDescent="0.3">
      <c r="H24552" t="str">
        <f t="shared" si="433"/>
        <v/>
      </c>
    </row>
    <row r="24553" spans="8:8" x14ac:dyDescent="0.3">
      <c r="H24553" t="str">
        <f t="shared" si="433"/>
        <v/>
      </c>
    </row>
    <row r="24554" spans="8:8" x14ac:dyDescent="0.3">
      <c r="H24554" t="str">
        <f t="shared" si="433"/>
        <v/>
      </c>
    </row>
    <row r="24555" spans="8:8" x14ac:dyDescent="0.3">
      <c r="H24555" t="str">
        <f t="shared" si="433"/>
        <v/>
      </c>
    </row>
    <row r="24556" spans="8:8" x14ac:dyDescent="0.3">
      <c r="H24556" t="str">
        <f t="shared" si="433"/>
        <v/>
      </c>
    </row>
    <row r="24557" spans="8:8" x14ac:dyDescent="0.3">
      <c r="H24557" t="str">
        <f t="shared" si="433"/>
        <v/>
      </c>
    </row>
    <row r="24558" spans="8:8" x14ac:dyDescent="0.3">
      <c r="H24558" t="str">
        <f t="shared" si="433"/>
        <v/>
      </c>
    </row>
    <row r="24559" spans="8:8" x14ac:dyDescent="0.3">
      <c r="H24559" t="str">
        <f t="shared" si="433"/>
        <v/>
      </c>
    </row>
    <row r="24560" spans="8:8" x14ac:dyDescent="0.3">
      <c r="H24560" t="str">
        <f t="shared" si="433"/>
        <v/>
      </c>
    </row>
    <row r="24561" spans="8:8" x14ac:dyDescent="0.3">
      <c r="H24561" t="str">
        <f t="shared" si="433"/>
        <v/>
      </c>
    </row>
    <row r="24562" spans="8:8" x14ac:dyDescent="0.3">
      <c r="H24562" t="str">
        <f t="shared" si="433"/>
        <v/>
      </c>
    </row>
    <row r="24563" spans="8:8" x14ac:dyDescent="0.3">
      <c r="H24563" t="str">
        <f t="shared" si="433"/>
        <v/>
      </c>
    </row>
    <row r="24564" spans="8:8" x14ac:dyDescent="0.3">
      <c r="H24564" t="str">
        <f t="shared" si="433"/>
        <v/>
      </c>
    </row>
    <row r="24565" spans="8:8" x14ac:dyDescent="0.3">
      <c r="H24565" t="str">
        <f t="shared" si="433"/>
        <v/>
      </c>
    </row>
    <row r="24566" spans="8:8" x14ac:dyDescent="0.3">
      <c r="H24566" t="str">
        <f t="shared" si="433"/>
        <v/>
      </c>
    </row>
    <row r="24567" spans="8:8" x14ac:dyDescent="0.3">
      <c r="H24567" t="str">
        <f t="shared" si="433"/>
        <v/>
      </c>
    </row>
    <row r="24568" spans="8:8" x14ac:dyDescent="0.3">
      <c r="H24568" t="str">
        <f t="shared" si="433"/>
        <v/>
      </c>
    </row>
    <row r="24569" spans="8:8" x14ac:dyDescent="0.3">
      <c r="H24569" t="str">
        <f t="shared" si="433"/>
        <v/>
      </c>
    </row>
    <row r="24570" spans="8:8" x14ac:dyDescent="0.3">
      <c r="H24570" t="str">
        <f t="shared" si="433"/>
        <v/>
      </c>
    </row>
    <row r="24571" spans="8:8" x14ac:dyDescent="0.3">
      <c r="H24571" t="str">
        <f t="shared" si="433"/>
        <v/>
      </c>
    </row>
    <row r="24572" spans="8:8" x14ac:dyDescent="0.3">
      <c r="H24572" t="str">
        <f t="shared" si="433"/>
        <v/>
      </c>
    </row>
    <row r="24573" spans="8:8" x14ac:dyDescent="0.3">
      <c r="H24573" t="str">
        <f t="shared" si="433"/>
        <v/>
      </c>
    </row>
    <row r="24574" spans="8:8" x14ac:dyDescent="0.3">
      <c r="H24574" t="str">
        <f t="shared" si="433"/>
        <v/>
      </c>
    </row>
    <row r="24575" spans="8:8" x14ac:dyDescent="0.3">
      <c r="H24575" t="str">
        <f t="shared" si="433"/>
        <v/>
      </c>
    </row>
    <row r="24576" spans="8:8" x14ac:dyDescent="0.3">
      <c r="H24576" t="str">
        <f t="shared" si="433"/>
        <v/>
      </c>
    </row>
    <row r="24577" spans="8:8" x14ac:dyDescent="0.3">
      <c r="H24577" t="str">
        <f t="shared" si="433"/>
        <v/>
      </c>
    </row>
    <row r="24578" spans="8:8" x14ac:dyDescent="0.3">
      <c r="H24578" t="str">
        <f t="shared" si="433"/>
        <v/>
      </c>
    </row>
    <row r="24579" spans="8:8" x14ac:dyDescent="0.3">
      <c r="H24579" t="str">
        <f t="shared" si="433"/>
        <v/>
      </c>
    </row>
    <row r="24580" spans="8:8" x14ac:dyDescent="0.3">
      <c r="H24580" t="str">
        <f t="shared" si="433"/>
        <v/>
      </c>
    </row>
    <row r="24581" spans="8:8" x14ac:dyDescent="0.3">
      <c r="H24581" t="str">
        <f t="shared" si="433"/>
        <v/>
      </c>
    </row>
    <row r="24582" spans="8:8" x14ac:dyDescent="0.3">
      <c r="H24582" t="str">
        <f t="shared" si="433"/>
        <v/>
      </c>
    </row>
    <row r="24583" spans="8:8" x14ac:dyDescent="0.3">
      <c r="H24583" t="str">
        <f t="shared" si="433"/>
        <v/>
      </c>
    </row>
    <row r="24584" spans="8:8" x14ac:dyDescent="0.3">
      <c r="H24584" t="str">
        <f t="shared" si="433"/>
        <v/>
      </c>
    </row>
    <row r="24585" spans="8:8" x14ac:dyDescent="0.3">
      <c r="H24585" t="str">
        <f t="shared" si="433"/>
        <v/>
      </c>
    </row>
    <row r="24586" spans="8:8" x14ac:dyDescent="0.3">
      <c r="H24586" t="str">
        <f t="shared" si="433"/>
        <v/>
      </c>
    </row>
    <row r="24587" spans="8:8" x14ac:dyDescent="0.3">
      <c r="H24587" t="str">
        <f t="shared" si="433"/>
        <v/>
      </c>
    </row>
    <row r="24588" spans="8:8" x14ac:dyDescent="0.3">
      <c r="H24588" t="str">
        <f t="shared" si="433"/>
        <v/>
      </c>
    </row>
    <row r="24589" spans="8:8" x14ac:dyDescent="0.3">
      <c r="H24589" t="str">
        <f t="shared" si="433"/>
        <v/>
      </c>
    </row>
    <row r="24590" spans="8:8" x14ac:dyDescent="0.3">
      <c r="H24590" t="str">
        <f t="shared" si="433"/>
        <v/>
      </c>
    </row>
    <row r="24591" spans="8:8" x14ac:dyDescent="0.3">
      <c r="H24591" t="str">
        <f t="shared" si="433"/>
        <v/>
      </c>
    </row>
    <row r="24592" spans="8:8" x14ac:dyDescent="0.3">
      <c r="H24592" t="str">
        <f t="shared" si="433"/>
        <v/>
      </c>
    </row>
    <row r="24593" spans="8:8" x14ac:dyDescent="0.3">
      <c r="H24593" t="str">
        <f t="shared" si="433"/>
        <v/>
      </c>
    </row>
    <row r="24594" spans="8:8" x14ac:dyDescent="0.3">
      <c r="H24594" t="str">
        <f t="shared" si="433"/>
        <v/>
      </c>
    </row>
    <row r="24595" spans="8:8" x14ac:dyDescent="0.3">
      <c r="H24595" t="str">
        <f t="shared" si="433"/>
        <v/>
      </c>
    </row>
    <row r="24596" spans="8:8" x14ac:dyDescent="0.3">
      <c r="H24596" t="str">
        <f t="shared" si="433"/>
        <v/>
      </c>
    </row>
    <row r="24597" spans="8:8" x14ac:dyDescent="0.3">
      <c r="H24597" t="str">
        <f t="shared" si="433"/>
        <v/>
      </c>
    </row>
    <row r="24598" spans="8:8" x14ac:dyDescent="0.3">
      <c r="H24598" t="str">
        <f t="shared" si="433"/>
        <v/>
      </c>
    </row>
    <row r="24599" spans="8:8" x14ac:dyDescent="0.3">
      <c r="H24599" t="str">
        <f t="shared" ref="H24599:H24662" si="434">IF(B24599="","",$C$12)</f>
        <v/>
      </c>
    </row>
    <row r="24600" spans="8:8" x14ac:dyDescent="0.3">
      <c r="H24600" t="str">
        <f t="shared" si="434"/>
        <v/>
      </c>
    </row>
    <row r="24601" spans="8:8" x14ac:dyDescent="0.3">
      <c r="H24601" t="str">
        <f t="shared" si="434"/>
        <v/>
      </c>
    </row>
    <row r="24602" spans="8:8" x14ac:dyDescent="0.3">
      <c r="H24602" t="str">
        <f t="shared" si="434"/>
        <v/>
      </c>
    </row>
    <row r="24603" spans="8:8" x14ac:dyDescent="0.3">
      <c r="H24603" t="str">
        <f t="shared" si="434"/>
        <v/>
      </c>
    </row>
    <row r="24604" spans="8:8" x14ac:dyDescent="0.3">
      <c r="H24604" t="str">
        <f t="shared" si="434"/>
        <v/>
      </c>
    </row>
    <row r="24605" spans="8:8" x14ac:dyDescent="0.3">
      <c r="H24605" t="str">
        <f t="shared" si="434"/>
        <v/>
      </c>
    </row>
    <row r="24606" spans="8:8" x14ac:dyDescent="0.3">
      <c r="H24606" t="str">
        <f t="shared" si="434"/>
        <v/>
      </c>
    </row>
    <row r="24607" spans="8:8" x14ac:dyDescent="0.3">
      <c r="H24607" t="str">
        <f t="shared" si="434"/>
        <v/>
      </c>
    </row>
    <row r="24608" spans="8:8" x14ac:dyDescent="0.3">
      <c r="H24608" t="str">
        <f t="shared" si="434"/>
        <v/>
      </c>
    </row>
    <row r="24609" spans="8:8" x14ac:dyDescent="0.3">
      <c r="H24609" t="str">
        <f t="shared" si="434"/>
        <v/>
      </c>
    </row>
    <row r="24610" spans="8:8" x14ac:dyDescent="0.3">
      <c r="H24610" t="str">
        <f t="shared" si="434"/>
        <v/>
      </c>
    </row>
    <row r="24611" spans="8:8" x14ac:dyDescent="0.3">
      <c r="H24611" t="str">
        <f t="shared" si="434"/>
        <v/>
      </c>
    </row>
    <row r="24612" spans="8:8" x14ac:dyDescent="0.3">
      <c r="H24612" t="str">
        <f t="shared" si="434"/>
        <v/>
      </c>
    </row>
    <row r="24613" spans="8:8" x14ac:dyDescent="0.3">
      <c r="H24613" t="str">
        <f t="shared" si="434"/>
        <v/>
      </c>
    </row>
    <row r="24614" spans="8:8" x14ac:dyDescent="0.3">
      <c r="H24614" t="str">
        <f t="shared" si="434"/>
        <v/>
      </c>
    </row>
    <row r="24615" spans="8:8" x14ac:dyDescent="0.3">
      <c r="H24615" t="str">
        <f t="shared" si="434"/>
        <v/>
      </c>
    </row>
    <row r="24616" spans="8:8" x14ac:dyDescent="0.3">
      <c r="H24616" t="str">
        <f t="shared" si="434"/>
        <v/>
      </c>
    </row>
    <row r="24617" spans="8:8" x14ac:dyDescent="0.3">
      <c r="H24617" t="str">
        <f t="shared" si="434"/>
        <v/>
      </c>
    </row>
    <row r="24618" spans="8:8" x14ac:dyDescent="0.3">
      <c r="H24618" t="str">
        <f t="shared" si="434"/>
        <v/>
      </c>
    </row>
    <row r="24619" spans="8:8" x14ac:dyDescent="0.3">
      <c r="H24619" t="str">
        <f t="shared" si="434"/>
        <v/>
      </c>
    </row>
    <row r="24620" spans="8:8" x14ac:dyDescent="0.3">
      <c r="H24620" t="str">
        <f t="shared" si="434"/>
        <v/>
      </c>
    </row>
    <row r="24621" spans="8:8" x14ac:dyDescent="0.3">
      <c r="H24621" t="str">
        <f t="shared" si="434"/>
        <v/>
      </c>
    </row>
    <row r="24622" spans="8:8" x14ac:dyDescent="0.3">
      <c r="H24622" t="str">
        <f t="shared" si="434"/>
        <v/>
      </c>
    </row>
    <row r="24623" spans="8:8" x14ac:dyDescent="0.3">
      <c r="H24623" t="str">
        <f t="shared" si="434"/>
        <v/>
      </c>
    </row>
    <row r="24624" spans="8:8" x14ac:dyDescent="0.3">
      <c r="H24624" t="str">
        <f t="shared" si="434"/>
        <v/>
      </c>
    </row>
    <row r="24625" spans="8:8" x14ac:dyDescent="0.3">
      <c r="H24625" t="str">
        <f t="shared" si="434"/>
        <v/>
      </c>
    </row>
    <row r="24626" spans="8:8" x14ac:dyDescent="0.3">
      <c r="H24626" t="str">
        <f t="shared" si="434"/>
        <v/>
      </c>
    </row>
    <row r="24627" spans="8:8" x14ac:dyDescent="0.3">
      <c r="H24627" t="str">
        <f t="shared" si="434"/>
        <v/>
      </c>
    </row>
    <row r="24628" spans="8:8" x14ac:dyDescent="0.3">
      <c r="H24628" t="str">
        <f t="shared" si="434"/>
        <v/>
      </c>
    </row>
    <row r="24629" spans="8:8" x14ac:dyDescent="0.3">
      <c r="H24629" t="str">
        <f t="shared" si="434"/>
        <v/>
      </c>
    </row>
    <row r="24630" spans="8:8" x14ac:dyDescent="0.3">
      <c r="H24630" t="str">
        <f t="shared" si="434"/>
        <v/>
      </c>
    </row>
    <row r="24631" spans="8:8" x14ac:dyDescent="0.3">
      <c r="H24631" t="str">
        <f t="shared" si="434"/>
        <v/>
      </c>
    </row>
    <row r="24632" spans="8:8" x14ac:dyDescent="0.3">
      <c r="H24632" t="str">
        <f t="shared" si="434"/>
        <v/>
      </c>
    </row>
    <row r="24633" spans="8:8" x14ac:dyDescent="0.3">
      <c r="H24633" t="str">
        <f t="shared" si="434"/>
        <v/>
      </c>
    </row>
    <row r="24634" spans="8:8" x14ac:dyDescent="0.3">
      <c r="H24634" t="str">
        <f t="shared" si="434"/>
        <v/>
      </c>
    </row>
    <row r="24635" spans="8:8" x14ac:dyDescent="0.3">
      <c r="H24635" t="str">
        <f t="shared" si="434"/>
        <v/>
      </c>
    </row>
    <row r="24636" spans="8:8" x14ac:dyDescent="0.3">
      <c r="H24636" t="str">
        <f t="shared" si="434"/>
        <v/>
      </c>
    </row>
    <row r="24637" spans="8:8" x14ac:dyDescent="0.3">
      <c r="H24637" t="str">
        <f t="shared" si="434"/>
        <v/>
      </c>
    </row>
    <row r="24638" spans="8:8" x14ac:dyDescent="0.3">
      <c r="H24638" t="str">
        <f t="shared" si="434"/>
        <v/>
      </c>
    </row>
    <row r="24639" spans="8:8" x14ac:dyDescent="0.3">
      <c r="H24639" t="str">
        <f t="shared" si="434"/>
        <v/>
      </c>
    </row>
    <row r="24640" spans="8:8" x14ac:dyDescent="0.3">
      <c r="H24640" t="str">
        <f t="shared" si="434"/>
        <v/>
      </c>
    </row>
    <row r="24641" spans="8:8" x14ac:dyDescent="0.3">
      <c r="H24641" t="str">
        <f t="shared" si="434"/>
        <v/>
      </c>
    </row>
    <row r="24642" spans="8:8" x14ac:dyDescent="0.3">
      <c r="H24642" t="str">
        <f t="shared" si="434"/>
        <v/>
      </c>
    </row>
    <row r="24643" spans="8:8" x14ac:dyDescent="0.3">
      <c r="H24643" t="str">
        <f t="shared" si="434"/>
        <v/>
      </c>
    </row>
    <row r="24644" spans="8:8" x14ac:dyDescent="0.3">
      <c r="H24644" t="str">
        <f t="shared" si="434"/>
        <v/>
      </c>
    </row>
    <row r="24645" spans="8:8" x14ac:dyDescent="0.3">
      <c r="H24645" t="str">
        <f t="shared" si="434"/>
        <v/>
      </c>
    </row>
    <row r="24646" spans="8:8" x14ac:dyDescent="0.3">
      <c r="H24646" t="str">
        <f t="shared" si="434"/>
        <v/>
      </c>
    </row>
    <row r="24647" spans="8:8" x14ac:dyDescent="0.3">
      <c r="H24647" t="str">
        <f t="shared" si="434"/>
        <v/>
      </c>
    </row>
    <row r="24648" spans="8:8" x14ac:dyDescent="0.3">
      <c r="H24648" t="str">
        <f t="shared" si="434"/>
        <v/>
      </c>
    </row>
    <row r="24649" spans="8:8" x14ac:dyDescent="0.3">
      <c r="H24649" t="str">
        <f t="shared" si="434"/>
        <v/>
      </c>
    </row>
    <row r="24650" spans="8:8" x14ac:dyDescent="0.3">
      <c r="H24650" t="str">
        <f t="shared" si="434"/>
        <v/>
      </c>
    </row>
    <row r="24651" spans="8:8" x14ac:dyDescent="0.3">
      <c r="H24651" t="str">
        <f t="shared" si="434"/>
        <v/>
      </c>
    </row>
    <row r="24652" spans="8:8" x14ac:dyDescent="0.3">
      <c r="H24652" t="str">
        <f t="shared" si="434"/>
        <v/>
      </c>
    </row>
    <row r="24653" spans="8:8" x14ac:dyDescent="0.3">
      <c r="H24653" t="str">
        <f t="shared" si="434"/>
        <v/>
      </c>
    </row>
    <row r="24654" spans="8:8" x14ac:dyDescent="0.3">
      <c r="H24654" t="str">
        <f t="shared" si="434"/>
        <v/>
      </c>
    </row>
    <row r="24655" spans="8:8" x14ac:dyDescent="0.3">
      <c r="H24655" t="str">
        <f t="shared" si="434"/>
        <v/>
      </c>
    </row>
    <row r="24656" spans="8:8" x14ac:dyDescent="0.3">
      <c r="H24656" t="str">
        <f t="shared" si="434"/>
        <v/>
      </c>
    </row>
    <row r="24657" spans="8:8" x14ac:dyDescent="0.3">
      <c r="H24657" t="str">
        <f t="shared" si="434"/>
        <v/>
      </c>
    </row>
    <row r="24658" spans="8:8" x14ac:dyDescent="0.3">
      <c r="H24658" t="str">
        <f t="shared" si="434"/>
        <v/>
      </c>
    </row>
    <row r="24659" spans="8:8" x14ac:dyDescent="0.3">
      <c r="H24659" t="str">
        <f t="shared" si="434"/>
        <v/>
      </c>
    </row>
    <row r="24660" spans="8:8" x14ac:dyDescent="0.3">
      <c r="H24660" t="str">
        <f t="shared" si="434"/>
        <v/>
      </c>
    </row>
    <row r="24661" spans="8:8" x14ac:dyDescent="0.3">
      <c r="H24661" t="str">
        <f t="shared" si="434"/>
        <v/>
      </c>
    </row>
    <row r="24662" spans="8:8" x14ac:dyDescent="0.3">
      <c r="H24662" t="str">
        <f t="shared" si="434"/>
        <v/>
      </c>
    </row>
    <row r="24663" spans="8:8" x14ac:dyDescent="0.3">
      <c r="H24663" t="str">
        <f t="shared" ref="H24663:H24726" si="435">IF(B24663="","",$C$12)</f>
        <v/>
      </c>
    </row>
    <row r="24664" spans="8:8" x14ac:dyDescent="0.3">
      <c r="H24664" t="str">
        <f t="shared" si="435"/>
        <v/>
      </c>
    </row>
    <row r="24665" spans="8:8" x14ac:dyDescent="0.3">
      <c r="H24665" t="str">
        <f t="shared" si="435"/>
        <v/>
      </c>
    </row>
    <row r="24666" spans="8:8" x14ac:dyDescent="0.3">
      <c r="H24666" t="str">
        <f t="shared" si="435"/>
        <v/>
      </c>
    </row>
    <row r="24667" spans="8:8" x14ac:dyDescent="0.3">
      <c r="H24667" t="str">
        <f t="shared" si="435"/>
        <v/>
      </c>
    </row>
    <row r="24668" spans="8:8" x14ac:dyDescent="0.3">
      <c r="H24668" t="str">
        <f t="shared" si="435"/>
        <v/>
      </c>
    </row>
    <row r="24669" spans="8:8" x14ac:dyDescent="0.3">
      <c r="H24669" t="str">
        <f t="shared" si="435"/>
        <v/>
      </c>
    </row>
    <row r="24670" spans="8:8" x14ac:dyDescent="0.3">
      <c r="H24670" t="str">
        <f t="shared" si="435"/>
        <v/>
      </c>
    </row>
    <row r="24671" spans="8:8" x14ac:dyDescent="0.3">
      <c r="H24671" t="str">
        <f t="shared" si="435"/>
        <v/>
      </c>
    </row>
    <row r="24672" spans="8:8" x14ac:dyDescent="0.3">
      <c r="H24672" t="str">
        <f t="shared" si="435"/>
        <v/>
      </c>
    </row>
    <row r="24673" spans="8:8" x14ac:dyDescent="0.3">
      <c r="H24673" t="str">
        <f t="shared" si="435"/>
        <v/>
      </c>
    </row>
    <row r="24674" spans="8:8" x14ac:dyDescent="0.3">
      <c r="H24674" t="str">
        <f t="shared" si="435"/>
        <v/>
      </c>
    </row>
    <row r="24675" spans="8:8" x14ac:dyDescent="0.3">
      <c r="H24675" t="str">
        <f t="shared" si="435"/>
        <v/>
      </c>
    </row>
    <row r="24676" spans="8:8" x14ac:dyDescent="0.3">
      <c r="H24676" t="str">
        <f t="shared" si="435"/>
        <v/>
      </c>
    </row>
    <row r="24677" spans="8:8" x14ac:dyDescent="0.3">
      <c r="H24677" t="str">
        <f t="shared" si="435"/>
        <v/>
      </c>
    </row>
    <row r="24678" spans="8:8" x14ac:dyDescent="0.3">
      <c r="H24678" t="str">
        <f t="shared" si="435"/>
        <v/>
      </c>
    </row>
    <row r="24679" spans="8:8" x14ac:dyDescent="0.3">
      <c r="H24679" t="str">
        <f t="shared" si="435"/>
        <v/>
      </c>
    </row>
    <row r="24680" spans="8:8" x14ac:dyDescent="0.3">
      <c r="H24680" t="str">
        <f t="shared" si="435"/>
        <v/>
      </c>
    </row>
    <row r="24681" spans="8:8" x14ac:dyDescent="0.3">
      <c r="H24681" t="str">
        <f t="shared" si="435"/>
        <v/>
      </c>
    </row>
    <row r="24682" spans="8:8" x14ac:dyDescent="0.3">
      <c r="H24682" t="str">
        <f t="shared" si="435"/>
        <v/>
      </c>
    </row>
    <row r="24683" spans="8:8" x14ac:dyDescent="0.3">
      <c r="H24683" t="str">
        <f t="shared" si="435"/>
        <v/>
      </c>
    </row>
    <row r="24684" spans="8:8" x14ac:dyDescent="0.3">
      <c r="H24684" t="str">
        <f t="shared" si="435"/>
        <v/>
      </c>
    </row>
    <row r="24685" spans="8:8" x14ac:dyDescent="0.3">
      <c r="H24685" t="str">
        <f t="shared" si="435"/>
        <v/>
      </c>
    </row>
    <row r="24686" spans="8:8" x14ac:dyDescent="0.3">
      <c r="H24686" t="str">
        <f t="shared" si="435"/>
        <v/>
      </c>
    </row>
    <row r="24687" spans="8:8" x14ac:dyDescent="0.3">
      <c r="H24687" t="str">
        <f t="shared" si="435"/>
        <v/>
      </c>
    </row>
    <row r="24688" spans="8:8" x14ac:dyDescent="0.3">
      <c r="H24688" t="str">
        <f t="shared" si="435"/>
        <v/>
      </c>
    </row>
    <row r="24689" spans="8:8" x14ac:dyDescent="0.3">
      <c r="H24689" t="str">
        <f t="shared" si="435"/>
        <v/>
      </c>
    </row>
    <row r="24690" spans="8:8" x14ac:dyDescent="0.3">
      <c r="H24690" t="str">
        <f t="shared" si="435"/>
        <v/>
      </c>
    </row>
    <row r="24691" spans="8:8" x14ac:dyDescent="0.3">
      <c r="H24691" t="str">
        <f t="shared" si="435"/>
        <v/>
      </c>
    </row>
    <row r="24692" spans="8:8" x14ac:dyDescent="0.3">
      <c r="H24692" t="str">
        <f t="shared" si="435"/>
        <v/>
      </c>
    </row>
    <row r="24693" spans="8:8" x14ac:dyDescent="0.3">
      <c r="H24693" t="str">
        <f t="shared" si="435"/>
        <v/>
      </c>
    </row>
    <row r="24694" spans="8:8" x14ac:dyDescent="0.3">
      <c r="H24694" t="str">
        <f t="shared" si="435"/>
        <v/>
      </c>
    </row>
    <row r="24695" spans="8:8" x14ac:dyDescent="0.3">
      <c r="H24695" t="str">
        <f t="shared" si="435"/>
        <v/>
      </c>
    </row>
    <row r="24696" spans="8:8" x14ac:dyDescent="0.3">
      <c r="H24696" t="str">
        <f t="shared" si="435"/>
        <v/>
      </c>
    </row>
    <row r="24697" spans="8:8" x14ac:dyDescent="0.3">
      <c r="H24697" t="str">
        <f t="shared" si="435"/>
        <v/>
      </c>
    </row>
    <row r="24698" spans="8:8" x14ac:dyDescent="0.3">
      <c r="H24698" t="str">
        <f t="shared" si="435"/>
        <v/>
      </c>
    </row>
    <row r="24699" spans="8:8" x14ac:dyDescent="0.3">
      <c r="H24699" t="str">
        <f t="shared" si="435"/>
        <v/>
      </c>
    </row>
    <row r="24700" spans="8:8" x14ac:dyDescent="0.3">
      <c r="H24700" t="str">
        <f t="shared" si="435"/>
        <v/>
      </c>
    </row>
    <row r="24701" spans="8:8" x14ac:dyDescent="0.3">
      <c r="H24701" t="str">
        <f t="shared" si="435"/>
        <v/>
      </c>
    </row>
    <row r="24702" spans="8:8" x14ac:dyDescent="0.3">
      <c r="H24702" t="str">
        <f t="shared" si="435"/>
        <v/>
      </c>
    </row>
    <row r="24703" spans="8:8" x14ac:dyDescent="0.3">
      <c r="H24703" t="str">
        <f t="shared" si="435"/>
        <v/>
      </c>
    </row>
    <row r="24704" spans="8:8" x14ac:dyDescent="0.3">
      <c r="H24704" t="str">
        <f t="shared" si="435"/>
        <v/>
      </c>
    </row>
    <row r="24705" spans="8:8" x14ac:dyDescent="0.3">
      <c r="H24705" t="str">
        <f t="shared" si="435"/>
        <v/>
      </c>
    </row>
    <row r="24706" spans="8:8" x14ac:dyDescent="0.3">
      <c r="H24706" t="str">
        <f t="shared" si="435"/>
        <v/>
      </c>
    </row>
    <row r="24707" spans="8:8" x14ac:dyDescent="0.3">
      <c r="H24707" t="str">
        <f t="shared" si="435"/>
        <v/>
      </c>
    </row>
    <row r="24708" spans="8:8" x14ac:dyDescent="0.3">
      <c r="H24708" t="str">
        <f t="shared" si="435"/>
        <v/>
      </c>
    </row>
    <row r="24709" spans="8:8" x14ac:dyDescent="0.3">
      <c r="H24709" t="str">
        <f t="shared" si="435"/>
        <v/>
      </c>
    </row>
    <row r="24710" spans="8:8" x14ac:dyDescent="0.3">
      <c r="H24710" t="str">
        <f t="shared" si="435"/>
        <v/>
      </c>
    </row>
    <row r="24711" spans="8:8" x14ac:dyDescent="0.3">
      <c r="H24711" t="str">
        <f t="shared" si="435"/>
        <v/>
      </c>
    </row>
    <row r="24712" spans="8:8" x14ac:dyDescent="0.3">
      <c r="H24712" t="str">
        <f t="shared" si="435"/>
        <v/>
      </c>
    </row>
    <row r="24713" spans="8:8" x14ac:dyDescent="0.3">
      <c r="H24713" t="str">
        <f t="shared" si="435"/>
        <v/>
      </c>
    </row>
    <row r="24714" spans="8:8" x14ac:dyDescent="0.3">
      <c r="H24714" t="str">
        <f t="shared" si="435"/>
        <v/>
      </c>
    </row>
    <row r="24715" spans="8:8" x14ac:dyDescent="0.3">
      <c r="H24715" t="str">
        <f t="shared" si="435"/>
        <v/>
      </c>
    </row>
    <row r="24716" spans="8:8" x14ac:dyDescent="0.3">
      <c r="H24716" t="str">
        <f t="shared" si="435"/>
        <v/>
      </c>
    </row>
    <row r="24717" spans="8:8" x14ac:dyDescent="0.3">
      <c r="H24717" t="str">
        <f t="shared" si="435"/>
        <v/>
      </c>
    </row>
    <row r="24718" spans="8:8" x14ac:dyDescent="0.3">
      <c r="H24718" t="str">
        <f t="shared" si="435"/>
        <v/>
      </c>
    </row>
    <row r="24719" spans="8:8" x14ac:dyDescent="0.3">
      <c r="H24719" t="str">
        <f t="shared" si="435"/>
        <v/>
      </c>
    </row>
    <row r="24720" spans="8:8" x14ac:dyDescent="0.3">
      <c r="H24720" t="str">
        <f t="shared" si="435"/>
        <v/>
      </c>
    </row>
    <row r="24721" spans="8:8" x14ac:dyDescent="0.3">
      <c r="H24721" t="str">
        <f t="shared" si="435"/>
        <v/>
      </c>
    </row>
    <row r="24722" spans="8:8" x14ac:dyDescent="0.3">
      <c r="H24722" t="str">
        <f t="shared" si="435"/>
        <v/>
      </c>
    </row>
    <row r="24723" spans="8:8" x14ac:dyDescent="0.3">
      <c r="H24723" t="str">
        <f t="shared" si="435"/>
        <v/>
      </c>
    </row>
    <row r="24724" spans="8:8" x14ac:dyDescent="0.3">
      <c r="H24724" t="str">
        <f t="shared" si="435"/>
        <v/>
      </c>
    </row>
    <row r="24725" spans="8:8" x14ac:dyDescent="0.3">
      <c r="H24725" t="str">
        <f t="shared" si="435"/>
        <v/>
      </c>
    </row>
    <row r="24726" spans="8:8" x14ac:dyDescent="0.3">
      <c r="H24726" t="str">
        <f t="shared" si="435"/>
        <v/>
      </c>
    </row>
    <row r="24727" spans="8:8" x14ac:dyDescent="0.3">
      <c r="H24727" t="str">
        <f t="shared" ref="H24727:H24790" si="436">IF(B24727="","",$C$12)</f>
        <v/>
      </c>
    </row>
    <row r="24728" spans="8:8" x14ac:dyDescent="0.3">
      <c r="H24728" t="str">
        <f t="shared" si="436"/>
        <v/>
      </c>
    </row>
    <row r="24729" spans="8:8" x14ac:dyDescent="0.3">
      <c r="H24729" t="str">
        <f t="shared" si="436"/>
        <v/>
      </c>
    </row>
    <row r="24730" spans="8:8" x14ac:dyDescent="0.3">
      <c r="H24730" t="str">
        <f t="shared" si="436"/>
        <v/>
      </c>
    </row>
    <row r="24731" spans="8:8" x14ac:dyDescent="0.3">
      <c r="H24731" t="str">
        <f t="shared" si="436"/>
        <v/>
      </c>
    </row>
    <row r="24732" spans="8:8" x14ac:dyDescent="0.3">
      <c r="H24732" t="str">
        <f t="shared" si="436"/>
        <v/>
      </c>
    </row>
    <row r="24733" spans="8:8" x14ac:dyDescent="0.3">
      <c r="H24733" t="str">
        <f t="shared" si="436"/>
        <v/>
      </c>
    </row>
    <row r="24734" spans="8:8" x14ac:dyDescent="0.3">
      <c r="H24734" t="str">
        <f t="shared" si="436"/>
        <v/>
      </c>
    </row>
    <row r="24735" spans="8:8" x14ac:dyDescent="0.3">
      <c r="H24735" t="str">
        <f t="shared" si="436"/>
        <v/>
      </c>
    </row>
    <row r="24736" spans="8:8" x14ac:dyDescent="0.3">
      <c r="H24736" t="str">
        <f t="shared" si="436"/>
        <v/>
      </c>
    </row>
    <row r="24737" spans="8:8" x14ac:dyDescent="0.3">
      <c r="H24737" t="str">
        <f t="shared" si="436"/>
        <v/>
      </c>
    </row>
    <row r="24738" spans="8:8" x14ac:dyDescent="0.3">
      <c r="H24738" t="str">
        <f t="shared" si="436"/>
        <v/>
      </c>
    </row>
    <row r="24739" spans="8:8" x14ac:dyDescent="0.3">
      <c r="H24739" t="str">
        <f t="shared" si="436"/>
        <v/>
      </c>
    </row>
    <row r="24740" spans="8:8" x14ac:dyDescent="0.3">
      <c r="H24740" t="str">
        <f t="shared" si="436"/>
        <v/>
      </c>
    </row>
    <row r="24741" spans="8:8" x14ac:dyDescent="0.3">
      <c r="H24741" t="str">
        <f t="shared" si="436"/>
        <v/>
      </c>
    </row>
    <row r="24742" spans="8:8" x14ac:dyDescent="0.3">
      <c r="H24742" t="str">
        <f t="shared" si="436"/>
        <v/>
      </c>
    </row>
    <row r="24743" spans="8:8" x14ac:dyDescent="0.3">
      <c r="H24743" t="str">
        <f t="shared" si="436"/>
        <v/>
      </c>
    </row>
    <row r="24744" spans="8:8" x14ac:dyDescent="0.3">
      <c r="H24744" t="str">
        <f t="shared" si="436"/>
        <v/>
      </c>
    </row>
    <row r="24745" spans="8:8" x14ac:dyDescent="0.3">
      <c r="H24745" t="str">
        <f t="shared" si="436"/>
        <v/>
      </c>
    </row>
    <row r="24746" spans="8:8" x14ac:dyDescent="0.3">
      <c r="H24746" t="str">
        <f t="shared" si="436"/>
        <v/>
      </c>
    </row>
    <row r="24747" spans="8:8" x14ac:dyDescent="0.3">
      <c r="H24747" t="str">
        <f t="shared" si="436"/>
        <v/>
      </c>
    </row>
    <row r="24748" spans="8:8" x14ac:dyDescent="0.3">
      <c r="H24748" t="str">
        <f t="shared" si="436"/>
        <v/>
      </c>
    </row>
    <row r="24749" spans="8:8" x14ac:dyDescent="0.3">
      <c r="H24749" t="str">
        <f t="shared" si="436"/>
        <v/>
      </c>
    </row>
    <row r="24750" spans="8:8" x14ac:dyDescent="0.3">
      <c r="H24750" t="str">
        <f t="shared" si="436"/>
        <v/>
      </c>
    </row>
    <row r="24751" spans="8:8" x14ac:dyDescent="0.3">
      <c r="H24751" t="str">
        <f t="shared" si="436"/>
        <v/>
      </c>
    </row>
    <row r="24752" spans="8:8" x14ac:dyDescent="0.3">
      <c r="H24752" t="str">
        <f t="shared" si="436"/>
        <v/>
      </c>
    </row>
    <row r="24753" spans="8:8" x14ac:dyDescent="0.3">
      <c r="H24753" t="str">
        <f t="shared" si="436"/>
        <v/>
      </c>
    </row>
    <row r="24754" spans="8:8" x14ac:dyDescent="0.3">
      <c r="H24754" t="str">
        <f t="shared" si="436"/>
        <v/>
      </c>
    </row>
    <row r="24755" spans="8:8" x14ac:dyDescent="0.3">
      <c r="H24755" t="str">
        <f t="shared" si="436"/>
        <v/>
      </c>
    </row>
    <row r="24756" spans="8:8" x14ac:dyDescent="0.3">
      <c r="H24756" t="str">
        <f t="shared" si="436"/>
        <v/>
      </c>
    </row>
    <row r="24757" spans="8:8" x14ac:dyDescent="0.3">
      <c r="H24757" t="str">
        <f t="shared" si="436"/>
        <v/>
      </c>
    </row>
    <row r="24758" spans="8:8" x14ac:dyDescent="0.3">
      <c r="H24758" t="str">
        <f t="shared" si="436"/>
        <v/>
      </c>
    </row>
    <row r="24759" spans="8:8" x14ac:dyDescent="0.3">
      <c r="H24759" t="str">
        <f t="shared" si="436"/>
        <v/>
      </c>
    </row>
    <row r="24760" spans="8:8" x14ac:dyDescent="0.3">
      <c r="H24760" t="str">
        <f t="shared" si="436"/>
        <v/>
      </c>
    </row>
    <row r="24761" spans="8:8" x14ac:dyDescent="0.3">
      <c r="H24761" t="str">
        <f t="shared" si="436"/>
        <v/>
      </c>
    </row>
    <row r="24762" spans="8:8" x14ac:dyDescent="0.3">
      <c r="H24762" t="str">
        <f t="shared" si="436"/>
        <v/>
      </c>
    </row>
    <row r="24763" spans="8:8" x14ac:dyDescent="0.3">
      <c r="H24763" t="str">
        <f t="shared" si="436"/>
        <v/>
      </c>
    </row>
    <row r="24764" spans="8:8" x14ac:dyDescent="0.3">
      <c r="H24764" t="str">
        <f t="shared" si="436"/>
        <v/>
      </c>
    </row>
    <row r="24765" spans="8:8" x14ac:dyDescent="0.3">
      <c r="H24765" t="str">
        <f t="shared" si="436"/>
        <v/>
      </c>
    </row>
    <row r="24766" spans="8:8" x14ac:dyDescent="0.3">
      <c r="H24766" t="str">
        <f t="shared" si="436"/>
        <v/>
      </c>
    </row>
    <row r="24767" spans="8:8" x14ac:dyDescent="0.3">
      <c r="H24767" t="str">
        <f t="shared" si="436"/>
        <v/>
      </c>
    </row>
    <row r="24768" spans="8:8" x14ac:dyDescent="0.3">
      <c r="H24768" t="str">
        <f t="shared" si="436"/>
        <v/>
      </c>
    </row>
    <row r="24769" spans="8:8" x14ac:dyDescent="0.3">
      <c r="H24769" t="str">
        <f t="shared" si="436"/>
        <v/>
      </c>
    </row>
    <row r="24770" spans="8:8" x14ac:dyDescent="0.3">
      <c r="H24770" t="str">
        <f t="shared" si="436"/>
        <v/>
      </c>
    </row>
    <row r="24771" spans="8:8" x14ac:dyDescent="0.3">
      <c r="H24771" t="str">
        <f t="shared" si="436"/>
        <v/>
      </c>
    </row>
    <row r="24772" spans="8:8" x14ac:dyDescent="0.3">
      <c r="H24772" t="str">
        <f t="shared" si="436"/>
        <v/>
      </c>
    </row>
    <row r="24773" spans="8:8" x14ac:dyDescent="0.3">
      <c r="H24773" t="str">
        <f t="shared" si="436"/>
        <v/>
      </c>
    </row>
    <row r="24774" spans="8:8" x14ac:dyDescent="0.3">
      <c r="H24774" t="str">
        <f t="shared" si="436"/>
        <v/>
      </c>
    </row>
    <row r="24775" spans="8:8" x14ac:dyDescent="0.3">
      <c r="H24775" t="str">
        <f t="shared" si="436"/>
        <v/>
      </c>
    </row>
    <row r="24776" spans="8:8" x14ac:dyDescent="0.3">
      <c r="H24776" t="str">
        <f t="shared" si="436"/>
        <v/>
      </c>
    </row>
    <row r="24777" spans="8:8" x14ac:dyDescent="0.3">
      <c r="H24777" t="str">
        <f t="shared" si="436"/>
        <v/>
      </c>
    </row>
    <row r="24778" spans="8:8" x14ac:dyDescent="0.3">
      <c r="H24778" t="str">
        <f t="shared" si="436"/>
        <v/>
      </c>
    </row>
    <row r="24779" spans="8:8" x14ac:dyDescent="0.3">
      <c r="H24779" t="str">
        <f t="shared" si="436"/>
        <v/>
      </c>
    </row>
    <row r="24780" spans="8:8" x14ac:dyDescent="0.3">
      <c r="H24780" t="str">
        <f t="shared" si="436"/>
        <v/>
      </c>
    </row>
    <row r="24781" spans="8:8" x14ac:dyDescent="0.3">
      <c r="H24781" t="str">
        <f t="shared" si="436"/>
        <v/>
      </c>
    </row>
    <row r="24782" spans="8:8" x14ac:dyDescent="0.3">
      <c r="H24782" t="str">
        <f t="shared" si="436"/>
        <v/>
      </c>
    </row>
    <row r="24783" spans="8:8" x14ac:dyDescent="0.3">
      <c r="H24783" t="str">
        <f t="shared" si="436"/>
        <v/>
      </c>
    </row>
    <row r="24784" spans="8:8" x14ac:dyDescent="0.3">
      <c r="H24784" t="str">
        <f t="shared" si="436"/>
        <v/>
      </c>
    </row>
    <row r="24785" spans="8:8" x14ac:dyDescent="0.3">
      <c r="H24785" t="str">
        <f t="shared" si="436"/>
        <v/>
      </c>
    </row>
    <row r="24786" spans="8:8" x14ac:dyDescent="0.3">
      <c r="H24786" t="str">
        <f t="shared" si="436"/>
        <v/>
      </c>
    </row>
    <row r="24787" spans="8:8" x14ac:dyDescent="0.3">
      <c r="H24787" t="str">
        <f t="shared" si="436"/>
        <v/>
      </c>
    </row>
    <row r="24788" spans="8:8" x14ac:dyDescent="0.3">
      <c r="H24788" t="str">
        <f t="shared" si="436"/>
        <v/>
      </c>
    </row>
    <row r="24789" spans="8:8" x14ac:dyDescent="0.3">
      <c r="H24789" t="str">
        <f t="shared" si="436"/>
        <v/>
      </c>
    </row>
    <row r="24790" spans="8:8" x14ac:dyDescent="0.3">
      <c r="H24790" t="str">
        <f t="shared" si="436"/>
        <v/>
      </c>
    </row>
    <row r="24791" spans="8:8" x14ac:dyDescent="0.3">
      <c r="H24791" t="str">
        <f t="shared" ref="H24791:H24854" si="437">IF(B24791="","",$C$12)</f>
        <v/>
      </c>
    </row>
    <row r="24792" spans="8:8" x14ac:dyDescent="0.3">
      <c r="H24792" t="str">
        <f t="shared" si="437"/>
        <v/>
      </c>
    </row>
    <row r="24793" spans="8:8" x14ac:dyDescent="0.3">
      <c r="H24793" t="str">
        <f t="shared" si="437"/>
        <v/>
      </c>
    </row>
    <row r="24794" spans="8:8" x14ac:dyDescent="0.3">
      <c r="H24794" t="str">
        <f t="shared" si="437"/>
        <v/>
      </c>
    </row>
    <row r="24795" spans="8:8" x14ac:dyDescent="0.3">
      <c r="H24795" t="str">
        <f t="shared" si="437"/>
        <v/>
      </c>
    </row>
    <row r="24796" spans="8:8" x14ac:dyDescent="0.3">
      <c r="H24796" t="str">
        <f t="shared" si="437"/>
        <v/>
      </c>
    </row>
    <row r="24797" spans="8:8" x14ac:dyDescent="0.3">
      <c r="H24797" t="str">
        <f t="shared" si="437"/>
        <v/>
      </c>
    </row>
    <row r="24798" spans="8:8" x14ac:dyDescent="0.3">
      <c r="H24798" t="str">
        <f t="shared" si="437"/>
        <v/>
      </c>
    </row>
    <row r="24799" spans="8:8" x14ac:dyDescent="0.3">
      <c r="H24799" t="str">
        <f t="shared" si="437"/>
        <v/>
      </c>
    </row>
    <row r="24800" spans="8:8" x14ac:dyDescent="0.3">
      <c r="H24800" t="str">
        <f t="shared" si="437"/>
        <v/>
      </c>
    </row>
    <row r="24801" spans="8:8" x14ac:dyDescent="0.3">
      <c r="H24801" t="str">
        <f t="shared" si="437"/>
        <v/>
      </c>
    </row>
    <row r="24802" spans="8:8" x14ac:dyDescent="0.3">
      <c r="H24802" t="str">
        <f t="shared" si="437"/>
        <v/>
      </c>
    </row>
    <row r="24803" spans="8:8" x14ac:dyDescent="0.3">
      <c r="H24803" t="str">
        <f t="shared" si="437"/>
        <v/>
      </c>
    </row>
    <row r="24804" spans="8:8" x14ac:dyDescent="0.3">
      <c r="H24804" t="str">
        <f t="shared" si="437"/>
        <v/>
      </c>
    </row>
    <row r="24805" spans="8:8" x14ac:dyDescent="0.3">
      <c r="H24805" t="str">
        <f t="shared" si="437"/>
        <v/>
      </c>
    </row>
    <row r="24806" spans="8:8" x14ac:dyDescent="0.3">
      <c r="H24806" t="str">
        <f t="shared" si="437"/>
        <v/>
      </c>
    </row>
    <row r="24807" spans="8:8" x14ac:dyDescent="0.3">
      <c r="H24807" t="str">
        <f t="shared" si="437"/>
        <v/>
      </c>
    </row>
    <row r="24808" spans="8:8" x14ac:dyDescent="0.3">
      <c r="H24808" t="str">
        <f t="shared" si="437"/>
        <v/>
      </c>
    </row>
    <row r="24809" spans="8:8" x14ac:dyDescent="0.3">
      <c r="H24809" t="str">
        <f t="shared" si="437"/>
        <v/>
      </c>
    </row>
    <row r="24810" spans="8:8" x14ac:dyDescent="0.3">
      <c r="H24810" t="str">
        <f t="shared" si="437"/>
        <v/>
      </c>
    </row>
    <row r="24811" spans="8:8" x14ac:dyDescent="0.3">
      <c r="H24811" t="str">
        <f t="shared" si="437"/>
        <v/>
      </c>
    </row>
    <row r="24812" spans="8:8" x14ac:dyDescent="0.3">
      <c r="H24812" t="str">
        <f t="shared" si="437"/>
        <v/>
      </c>
    </row>
    <row r="24813" spans="8:8" x14ac:dyDescent="0.3">
      <c r="H24813" t="str">
        <f t="shared" si="437"/>
        <v/>
      </c>
    </row>
    <row r="24814" spans="8:8" x14ac:dyDescent="0.3">
      <c r="H24814" t="str">
        <f t="shared" si="437"/>
        <v/>
      </c>
    </row>
    <row r="24815" spans="8:8" x14ac:dyDescent="0.3">
      <c r="H24815" t="str">
        <f t="shared" si="437"/>
        <v/>
      </c>
    </row>
    <row r="24816" spans="8:8" x14ac:dyDescent="0.3">
      <c r="H24816" t="str">
        <f t="shared" si="437"/>
        <v/>
      </c>
    </row>
    <row r="24817" spans="8:8" x14ac:dyDescent="0.3">
      <c r="H24817" t="str">
        <f t="shared" si="437"/>
        <v/>
      </c>
    </row>
    <row r="24818" spans="8:8" x14ac:dyDescent="0.3">
      <c r="H24818" t="str">
        <f t="shared" si="437"/>
        <v/>
      </c>
    </row>
    <row r="24819" spans="8:8" x14ac:dyDescent="0.3">
      <c r="H24819" t="str">
        <f t="shared" si="437"/>
        <v/>
      </c>
    </row>
    <row r="24820" spans="8:8" x14ac:dyDescent="0.3">
      <c r="H24820" t="str">
        <f t="shared" si="437"/>
        <v/>
      </c>
    </row>
    <row r="24821" spans="8:8" x14ac:dyDescent="0.3">
      <c r="H24821" t="str">
        <f t="shared" si="437"/>
        <v/>
      </c>
    </row>
    <row r="24822" spans="8:8" x14ac:dyDescent="0.3">
      <c r="H24822" t="str">
        <f t="shared" si="437"/>
        <v/>
      </c>
    </row>
    <row r="24823" spans="8:8" x14ac:dyDescent="0.3">
      <c r="H24823" t="str">
        <f t="shared" si="437"/>
        <v/>
      </c>
    </row>
    <row r="24824" spans="8:8" x14ac:dyDescent="0.3">
      <c r="H24824" t="str">
        <f t="shared" si="437"/>
        <v/>
      </c>
    </row>
    <row r="24825" spans="8:8" x14ac:dyDescent="0.3">
      <c r="H24825" t="str">
        <f t="shared" si="437"/>
        <v/>
      </c>
    </row>
    <row r="24826" spans="8:8" x14ac:dyDescent="0.3">
      <c r="H24826" t="str">
        <f t="shared" si="437"/>
        <v/>
      </c>
    </row>
    <row r="24827" spans="8:8" x14ac:dyDescent="0.3">
      <c r="H24827" t="str">
        <f t="shared" si="437"/>
        <v/>
      </c>
    </row>
    <row r="24828" spans="8:8" x14ac:dyDescent="0.3">
      <c r="H24828" t="str">
        <f t="shared" si="437"/>
        <v/>
      </c>
    </row>
    <row r="24829" spans="8:8" x14ac:dyDescent="0.3">
      <c r="H24829" t="str">
        <f t="shared" si="437"/>
        <v/>
      </c>
    </row>
    <row r="24830" spans="8:8" x14ac:dyDescent="0.3">
      <c r="H24830" t="str">
        <f t="shared" si="437"/>
        <v/>
      </c>
    </row>
    <row r="24831" spans="8:8" x14ac:dyDescent="0.3">
      <c r="H24831" t="str">
        <f t="shared" si="437"/>
        <v/>
      </c>
    </row>
    <row r="24832" spans="8:8" x14ac:dyDescent="0.3">
      <c r="H24832" t="str">
        <f t="shared" si="437"/>
        <v/>
      </c>
    </row>
    <row r="24833" spans="8:8" x14ac:dyDescent="0.3">
      <c r="H24833" t="str">
        <f t="shared" si="437"/>
        <v/>
      </c>
    </row>
    <row r="24834" spans="8:8" x14ac:dyDescent="0.3">
      <c r="H24834" t="str">
        <f t="shared" si="437"/>
        <v/>
      </c>
    </row>
    <row r="24835" spans="8:8" x14ac:dyDescent="0.3">
      <c r="H24835" t="str">
        <f t="shared" si="437"/>
        <v/>
      </c>
    </row>
    <row r="24836" spans="8:8" x14ac:dyDescent="0.3">
      <c r="H24836" t="str">
        <f t="shared" si="437"/>
        <v/>
      </c>
    </row>
    <row r="24837" spans="8:8" x14ac:dyDescent="0.3">
      <c r="H24837" t="str">
        <f t="shared" si="437"/>
        <v/>
      </c>
    </row>
    <row r="24838" spans="8:8" x14ac:dyDescent="0.3">
      <c r="H24838" t="str">
        <f t="shared" si="437"/>
        <v/>
      </c>
    </row>
    <row r="24839" spans="8:8" x14ac:dyDescent="0.3">
      <c r="H24839" t="str">
        <f t="shared" si="437"/>
        <v/>
      </c>
    </row>
    <row r="24840" spans="8:8" x14ac:dyDescent="0.3">
      <c r="H24840" t="str">
        <f t="shared" si="437"/>
        <v/>
      </c>
    </row>
    <row r="24841" spans="8:8" x14ac:dyDescent="0.3">
      <c r="H24841" t="str">
        <f t="shared" si="437"/>
        <v/>
      </c>
    </row>
    <row r="24842" spans="8:8" x14ac:dyDescent="0.3">
      <c r="H24842" t="str">
        <f t="shared" si="437"/>
        <v/>
      </c>
    </row>
    <row r="24843" spans="8:8" x14ac:dyDescent="0.3">
      <c r="H24843" t="str">
        <f t="shared" si="437"/>
        <v/>
      </c>
    </row>
    <row r="24844" spans="8:8" x14ac:dyDescent="0.3">
      <c r="H24844" t="str">
        <f t="shared" si="437"/>
        <v/>
      </c>
    </row>
    <row r="24845" spans="8:8" x14ac:dyDescent="0.3">
      <c r="H24845" t="str">
        <f t="shared" si="437"/>
        <v/>
      </c>
    </row>
    <row r="24846" spans="8:8" x14ac:dyDescent="0.3">
      <c r="H24846" t="str">
        <f t="shared" si="437"/>
        <v/>
      </c>
    </row>
    <row r="24847" spans="8:8" x14ac:dyDescent="0.3">
      <c r="H24847" t="str">
        <f t="shared" si="437"/>
        <v/>
      </c>
    </row>
    <row r="24848" spans="8:8" x14ac:dyDescent="0.3">
      <c r="H24848" t="str">
        <f t="shared" si="437"/>
        <v/>
      </c>
    </row>
    <row r="24849" spans="8:8" x14ac:dyDescent="0.3">
      <c r="H24849" t="str">
        <f t="shared" si="437"/>
        <v/>
      </c>
    </row>
    <row r="24850" spans="8:8" x14ac:dyDescent="0.3">
      <c r="H24850" t="str">
        <f t="shared" si="437"/>
        <v/>
      </c>
    </row>
    <row r="24851" spans="8:8" x14ac:dyDescent="0.3">
      <c r="H24851" t="str">
        <f t="shared" si="437"/>
        <v/>
      </c>
    </row>
    <row r="24852" spans="8:8" x14ac:dyDescent="0.3">
      <c r="H24852" t="str">
        <f t="shared" si="437"/>
        <v/>
      </c>
    </row>
    <row r="24853" spans="8:8" x14ac:dyDescent="0.3">
      <c r="H24853" t="str">
        <f t="shared" si="437"/>
        <v/>
      </c>
    </row>
    <row r="24854" spans="8:8" x14ac:dyDescent="0.3">
      <c r="H24854" t="str">
        <f t="shared" si="437"/>
        <v/>
      </c>
    </row>
    <row r="24855" spans="8:8" x14ac:dyDescent="0.3">
      <c r="H24855" t="str">
        <f t="shared" ref="H24855:H24918" si="438">IF(B24855="","",$C$12)</f>
        <v/>
      </c>
    </row>
    <row r="24856" spans="8:8" x14ac:dyDescent="0.3">
      <c r="H24856" t="str">
        <f t="shared" si="438"/>
        <v/>
      </c>
    </row>
    <row r="24857" spans="8:8" x14ac:dyDescent="0.3">
      <c r="H24857" t="str">
        <f t="shared" si="438"/>
        <v/>
      </c>
    </row>
    <row r="24858" spans="8:8" x14ac:dyDescent="0.3">
      <c r="H24858" t="str">
        <f t="shared" si="438"/>
        <v/>
      </c>
    </row>
    <row r="24859" spans="8:8" x14ac:dyDescent="0.3">
      <c r="H24859" t="str">
        <f t="shared" si="438"/>
        <v/>
      </c>
    </row>
    <row r="24860" spans="8:8" x14ac:dyDescent="0.3">
      <c r="H24860" t="str">
        <f t="shared" si="438"/>
        <v/>
      </c>
    </row>
    <row r="24861" spans="8:8" x14ac:dyDescent="0.3">
      <c r="H24861" t="str">
        <f t="shared" si="438"/>
        <v/>
      </c>
    </row>
    <row r="24862" spans="8:8" x14ac:dyDescent="0.3">
      <c r="H24862" t="str">
        <f t="shared" si="438"/>
        <v/>
      </c>
    </row>
    <row r="24863" spans="8:8" x14ac:dyDescent="0.3">
      <c r="H24863" t="str">
        <f t="shared" si="438"/>
        <v/>
      </c>
    </row>
    <row r="24864" spans="8:8" x14ac:dyDescent="0.3">
      <c r="H24864" t="str">
        <f t="shared" si="438"/>
        <v/>
      </c>
    </row>
    <row r="24865" spans="8:8" x14ac:dyDescent="0.3">
      <c r="H24865" t="str">
        <f t="shared" si="438"/>
        <v/>
      </c>
    </row>
    <row r="24866" spans="8:8" x14ac:dyDescent="0.3">
      <c r="H24866" t="str">
        <f t="shared" si="438"/>
        <v/>
      </c>
    </row>
    <row r="24867" spans="8:8" x14ac:dyDescent="0.3">
      <c r="H24867" t="str">
        <f t="shared" si="438"/>
        <v/>
      </c>
    </row>
    <row r="24868" spans="8:8" x14ac:dyDescent="0.3">
      <c r="H24868" t="str">
        <f t="shared" si="438"/>
        <v/>
      </c>
    </row>
    <row r="24869" spans="8:8" x14ac:dyDescent="0.3">
      <c r="H24869" t="str">
        <f t="shared" si="438"/>
        <v/>
      </c>
    </row>
    <row r="24870" spans="8:8" x14ac:dyDescent="0.3">
      <c r="H24870" t="str">
        <f t="shared" si="438"/>
        <v/>
      </c>
    </row>
    <row r="24871" spans="8:8" x14ac:dyDescent="0.3">
      <c r="H24871" t="str">
        <f t="shared" si="438"/>
        <v/>
      </c>
    </row>
    <row r="24872" spans="8:8" x14ac:dyDescent="0.3">
      <c r="H24872" t="str">
        <f t="shared" si="438"/>
        <v/>
      </c>
    </row>
    <row r="24873" spans="8:8" x14ac:dyDescent="0.3">
      <c r="H24873" t="str">
        <f t="shared" si="438"/>
        <v/>
      </c>
    </row>
    <row r="24874" spans="8:8" x14ac:dyDescent="0.3">
      <c r="H24874" t="str">
        <f t="shared" si="438"/>
        <v/>
      </c>
    </row>
    <row r="24875" spans="8:8" x14ac:dyDescent="0.3">
      <c r="H24875" t="str">
        <f t="shared" si="438"/>
        <v/>
      </c>
    </row>
    <row r="24876" spans="8:8" x14ac:dyDescent="0.3">
      <c r="H24876" t="str">
        <f t="shared" si="438"/>
        <v/>
      </c>
    </row>
    <row r="24877" spans="8:8" x14ac:dyDescent="0.3">
      <c r="H24877" t="str">
        <f t="shared" si="438"/>
        <v/>
      </c>
    </row>
    <row r="24878" spans="8:8" x14ac:dyDescent="0.3">
      <c r="H24878" t="str">
        <f t="shared" si="438"/>
        <v/>
      </c>
    </row>
    <row r="24879" spans="8:8" x14ac:dyDescent="0.3">
      <c r="H24879" t="str">
        <f t="shared" si="438"/>
        <v/>
      </c>
    </row>
    <row r="24880" spans="8:8" x14ac:dyDescent="0.3">
      <c r="H24880" t="str">
        <f t="shared" si="438"/>
        <v/>
      </c>
    </row>
    <row r="24881" spans="8:8" x14ac:dyDescent="0.3">
      <c r="H24881" t="str">
        <f t="shared" si="438"/>
        <v/>
      </c>
    </row>
    <row r="24882" spans="8:8" x14ac:dyDescent="0.3">
      <c r="H24882" t="str">
        <f t="shared" si="438"/>
        <v/>
      </c>
    </row>
    <row r="24883" spans="8:8" x14ac:dyDescent="0.3">
      <c r="H24883" t="str">
        <f t="shared" si="438"/>
        <v/>
      </c>
    </row>
    <row r="24884" spans="8:8" x14ac:dyDescent="0.3">
      <c r="H24884" t="str">
        <f t="shared" si="438"/>
        <v/>
      </c>
    </row>
    <row r="24885" spans="8:8" x14ac:dyDescent="0.3">
      <c r="H24885" t="str">
        <f t="shared" si="438"/>
        <v/>
      </c>
    </row>
    <row r="24886" spans="8:8" x14ac:dyDescent="0.3">
      <c r="H24886" t="str">
        <f t="shared" si="438"/>
        <v/>
      </c>
    </row>
    <row r="24887" spans="8:8" x14ac:dyDescent="0.3">
      <c r="H24887" t="str">
        <f t="shared" si="438"/>
        <v/>
      </c>
    </row>
    <row r="24888" spans="8:8" x14ac:dyDescent="0.3">
      <c r="H24888" t="str">
        <f t="shared" si="438"/>
        <v/>
      </c>
    </row>
    <row r="24889" spans="8:8" x14ac:dyDescent="0.3">
      <c r="H24889" t="str">
        <f t="shared" si="438"/>
        <v/>
      </c>
    </row>
    <row r="24890" spans="8:8" x14ac:dyDescent="0.3">
      <c r="H24890" t="str">
        <f t="shared" si="438"/>
        <v/>
      </c>
    </row>
    <row r="24891" spans="8:8" x14ac:dyDescent="0.3">
      <c r="H24891" t="str">
        <f t="shared" si="438"/>
        <v/>
      </c>
    </row>
    <row r="24892" spans="8:8" x14ac:dyDescent="0.3">
      <c r="H24892" t="str">
        <f t="shared" si="438"/>
        <v/>
      </c>
    </row>
    <row r="24893" spans="8:8" x14ac:dyDescent="0.3">
      <c r="H24893" t="str">
        <f t="shared" si="438"/>
        <v/>
      </c>
    </row>
    <row r="24894" spans="8:8" x14ac:dyDescent="0.3">
      <c r="H24894" t="str">
        <f t="shared" si="438"/>
        <v/>
      </c>
    </row>
    <row r="24895" spans="8:8" x14ac:dyDescent="0.3">
      <c r="H24895" t="str">
        <f t="shared" si="438"/>
        <v/>
      </c>
    </row>
    <row r="24896" spans="8:8" x14ac:dyDescent="0.3">
      <c r="H24896" t="str">
        <f t="shared" si="438"/>
        <v/>
      </c>
    </row>
    <row r="24897" spans="8:8" x14ac:dyDescent="0.3">
      <c r="H24897" t="str">
        <f t="shared" si="438"/>
        <v/>
      </c>
    </row>
    <row r="24898" spans="8:8" x14ac:dyDescent="0.3">
      <c r="H24898" t="str">
        <f t="shared" si="438"/>
        <v/>
      </c>
    </row>
    <row r="24899" spans="8:8" x14ac:dyDescent="0.3">
      <c r="H24899" t="str">
        <f t="shared" si="438"/>
        <v/>
      </c>
    </row>
    <row r="24900" spans="8:8" x14ac:dyDescent="0.3">
      <c r="H24900" t="str">
        <f t="shared" si="438"/>
        <v/>
      </c>
    </row>
    <row r="24901" spans="8:8" x14ac:dyDescent="0.3">
      <c r="H24901" t="str">
        <f t="shared" si="438"/>
        <v/>
      </c>
    </row>
    <row r="24902" spans="8:8" x14ac:dyDescent="0.3">
      <c r="H24902" t="str">
        <f t="shared" si="438"/>
        <v/>
      </c>
    </row>
    <row r="24903" spans="8:8" x14ac:dyDescent="0.3">
      <c r="H24903" t="str">
        <f t="shared" si="438"/>
        <v/>
      </c>
    </row>
    <row r="24904" spans="8:8" x14ac:dyDescent="0.3">
      <c r="H24904" t="str">
        <f t="shared" si="438"/>
        <v/>
      </c>
    </row>
    <row r="24905" spans="8:8" x14ac:dyDescent="0.3">
      <c r="H24905" t="str">
        <f t="shared" si="438"/>
        <v/>
      </c>
    </row>
    <row r="24906" spans="8:8" x14ac:dyDescent="0.3">
      <c r="H24906" t="str">
        <f t="shared" si="438"/>
        <v/>
      </c>
    </row>
    <row r="24907" spans="8:8" x14ac:dyDescent="0.3">
      <c r="H24907" t="str">
        <f t="shared" si="438"/>
        <v/>
      </c>
    </row>
    <row r="24908" spans="8:8" x14ac:dyDescent="0.3">
      <c r="H24908" t="str">
        <f t="shared" si="438"/>
        <v/>
      </c>
    </row>
    <row r="24909" spans="8:8" x14ac:dyDescent="0.3">
      <c r="H24909" t="str">
        <f t="shared" si="438"/>
        <v/>
      </c>
    </row>
    <row r="24910" spans="8:8" x14ac:dyDescent="0.3">
      <c r="H24910" t="str">
        <f t="shared" si="438"/>
        <v/>
      </c>
    </row>
    <row r="24911" spans="8:8" x14ac:dyDescent="0.3">
      <c r="H24911" t="str">
        <f t="shared" si="438"/>
        <v/>
      </c>
    </row>
    <row r="24912" spans="8:8" x14ac:dyDescent="0.3">
      <c r="H24912" t="str">
        <f t="shared" si="438"/>
        <v/>
      </c>
    </row>
    <row r="24913" spans="8:8" x14ac:dyDescent="0.3">
      <c r="H24913" t="str">
        <f t="shared" si="438"/>
        <v/>
      </c>
    </row>
    <row r="24914" spans="8:8" x14ac:dyDescent="0.3">
      <c r="H24914" t="str">
        <f t="shared" si="438"/>
        <v/>
      </c>
    </row>
    <row r="24915" spans="8:8" x14ac:dyDescent="0.3">
      <c r="H24915" t="str">
        <f t="shared" si="438"/>
        <v/>
      </c>
    </row>
    <row r="24916" spans="8:8" x14ac:dyDescent="0.3">
      <c r="H24916" t="str">
        <f t="shared" si="438"/>
        <v/>
      </c>
    </row>
    <row r="24917" spans="8:8" x14ac:dyDescent="0.3">
      <c r="H24917" t="str">
        <f t="shared" si="438"/>
        <v/>
      </c>
    </row>
    <row r="24918" spans="8:8" x14ac:dyDescent="0.3">
      <c r="H24918" t="str">
        <f t="shared" si="438"/>
        <v/>
      </c>
    </row>
    <row r="24919" spans="8:8" x14ac:dyDescent="0.3">
      <c r="H24919" t="str">
        <f t="shared" ref="H24919:H24982" si="439">IF(B24919="","",$C$12)</f>
        <v/>
      </c>
    </row>
    <row r="24920" spans="8:8" x14ac:dyDescent="0.3">
      <c r="H24920" t="str">
        <f t="shared" si="439"/>
        <v/>
      </c>
    </row>
    <row r="24921" spans="8:8" x14ac:dyDescent="0.3">
      <c r="H24921" t="str">
        <f t="shared" si="439"/>
        <v/>
      </c>
    </row>
    <row r="24922" spans="8:8" x14ac:dyDescent="0.3">
      <c r="H24922" t="str">
        <f t="shared" si="439"/>
        <v/>
      </c>
    </row>
    <row r="24923" spans="8:8" x14ac:dyDescent="0.3">
      <c r="H24923" t="str">
        <f t="shared" si="439"/>
        <v/>
      </c>
    </row>
    <row r="24924" spans="8:8" x14ac:dyDescent="0.3">
      <c r="H24924" t="str">
        <f t="shared" si="439"/>
        <v/>
      </c>
    </row>
    <row r="24925" spans="8:8" x14ac:dyDescent="0.3">
      <c r="H24925" t="str">
        <f t="shared" si="439"/>
        <v/>
      </c>
    </row>
    <row r="24926" spans="8:8" x14ac:dyDescent="0.3">
      <c r="H24926" t="str">
        <f t="shared" si="439"/>
        <v/>
      </c>
    </row>
    <row r="24927" spans="8:8" x14ac:dyDescent="0.3">
      <c r="H24927" t="str">
        <f t="shared" si="439"/>
        <v/>
      </c>
    </row>
    <row r="24928" spans="8:8" x14ac:dyDescent="0.3">
      <c r="H24928" t="str">
        <f t="shared" si="439"/>
        <v/>
      </c>
    </row>
    <row r="24929" spans="8:8" x14ac:dyDescent="0.3">
      <c r="H24929" t="str">
        <f t="shared" si="439"/>
        <v/>
      </c>
    </row>
    <row r="24930" spans="8:8" x14ac:dyDescent="0.3">
      <c r="H24930" t="str">
        <f t="shared" si="439"/>
        <v/>
      </c>
    </row>
    <row r="24931" spans="8:8" x14ac:dyDescent="0.3">
      <c r="H24931" t="str">
        <f t="shared" si="439"/>
        <v/>
      </c>
    </row>
    <row r="24932" spans="8:8" x14ac:dyDescent="0.3">
      <c r="H24932" t="str">
        <f t="shared" si="439"/>
        <v/>
      </c>
    </row>
    <row r="24933" spans="8:8" x14ac:dyDescent="0.3">
      <c r="H24933" t="str">
        <f t="shared" si="439"/>
        <v/>
      </c>
    </row>
    <row r="24934" spans="8:8" x14ac:dyDescent="0.3">
      <c r="H24934" t="str">
        <f t="shared" si="439"/>
        <v/>
      </c>
    </row>
    <row r="24935" spans="8:8" x14ac:dyDescent="0.3">
      <c r="H24935" t="str">
        <f t="shared" si="439"/>
        <v/>
      </c>
    </row>
    <row r="24936" spans="8:8" x14ac:dyDescent="0.3">
      <c r="H24936" t="str">
        <f t="shared" si="439"/>
        <v/>
      </c>
    </row>
    <row r="24937" spans="8:8" x14ac:dyDescent="0.3">
      <c r="H24937" t="str">
        <f t="shared" si="439"/>
        <v/>
      </c>
    </row>
    <row r="24938" spans="8:8" x14ac:dyDescent="0.3">
      <c r="H24938" t="str">
        <f t="shared" si="439"/>
        <v/>
      </c>
    </row>
    <row r="24939" spans="8:8" x14ac:dyDescent="0.3">
      <c r="H24939" t="str">
        <f t="shared" si="439"/>
        <v/>
      </c>
    </row>
    <row r="24940" spans="8:8" x14ac:dyDescent="0.3">
      <c r="H24940" t="str">
        <f t="shared" si="439"/>
        <v/>
      </c>
    </row>
    <row r="24941" spans="8:8" x14ac:dyDescent="0.3">
      <c r="H24941" t="str">
        <f t="shared" si="439"/>
        <v/>
      </c>
    </row>
    <row r="24942" spans="8:8" x14ac:dyDescent="0.3">
      <c r="H24942" t="str">
        <f t="shared" si="439"/>
        <v/>
      </c>
    </row>
    <row r="24943" spans="8:8" x14ac:dyDescent="0.3">
      <c r="H24943" t="str">
        <f t="shared" si="439"/>
        <v/>
      </c>
    </row>
    <row r="24944" spans="8:8" x14ac:dyDescent="0.3">
      <c r="H24944" t="str">
        <f t="shared" si="439"/>
        <v/>
      </c>
    </row>
    <row r="24945" spans="8:8" x14ac:dyDescent="0.3">
      <c r="H24945" t="str">
        <f t="shared" si="439"/>
        <v/>
      </c>
    </row>
    <row r="24946" spans="8:8" x14ac:dyDescent="0.3">
      <c r="H24946" t="str">
        <f t="shared" si="439"/>
        <v/>
      </c>
    </row>
    <row r="24947" spans="8:8" x14ac:dyDescent="0.3">
      <c r="H24947" t="str">
        <f t="shared" si="439"/>
        <v/>
      </c>
    </row>
    <row r="24948" spans="8:8" x14ac:dyDescent="0.3">
      <c r="H24948" t="str">
        <f t="shared" si="439"/>
        <v/>
      </c>
    </row>
    <row r="24949" spans="8:8" x14ac:dyDescent="0.3">
      <c r="H24949" t="str">
        <f t="shared" si="439"/>
        <v/>
      </c>
    </row>
    <row r="24950" spans="8:8" x14ac:dyDescent="0.3">
      <c r="H24950" t="str">
        <f t="shared" si="439"/>
        <v/>
      </c>
    </row>
    <row r="24951" spans="8:8" x14ac:dyDescent="0.3">
      <c r="H24951" t="str">
        <f t="shared" si="439"/>
        <v/>
      </c>
    </row>
    <row r="24952" spans="8:8" x14ac:dyDescent="0.3">
      <c r="H24952" t="str">
        <f t="shared" si="439"/>
        <v/>
      </c>
    </row>
    <row r="24953" spans="8:8" x14ac:dyDescent="0.3">
      <c r="H24953" t="str">
        <f t="shared" si="439"/>
        <v/>
      </c>
    </row>
    <row r="24954" spans="8:8" x14ac:dyDescent="0.3">
      <c r="H24954" t="str">
        <f t="shared" si="439"/>
        <v/>
      </c>
    </row>
    <row r="24955" spans="8:8" x14ac:dyDescent="0.3">
      <c r="H24955" t="str">
        <f t="shared" si="439"/>
        <v/>
      </c>
    </row>
    <row r="24956" spans="8:8" x14ac:dyDescent="0.3">
      <c r="H24956" t="str">
        <f t="shared" si="439"/>
        <v/>
      </c>
    </row>
    <row r="24957" spans="8:8" x14ac:dyDescent="0.3">
      <c r="H24957" t="str">
        <f t="shared" si="439"/>
        <v/>
      </c>
    </row>
    <row r="24958" spans="8:8" x14ac:dyDescent="0.3">
      <c r="H24958" t="str">
        <f t="shared" si="439"/>
        <v/>
      </c>
    </row>
    <row r="24959" spans="8:8" x14ac:dyDescent="0.3">
      <c r="H24959" t="str">
        <f t="shared" si="439"/>
        <v/>
      </c>
    </row>
    <row r="24960" spans="8:8" x14ac:dyDescent="0.3">
      <c r="H24960" t="str">
        <f t="shared" si="439"/>
        <v/>
      </c>
    </row>
    <row r="24961" spans="8:8" x14ac:dyDescent="0.3">
      <c r="H24961" t="str">
        <f t="shared" si="439"/>
        <v/>
      </c>
    </row>
    <row r="24962" spans="8:8" x14ac:dyDescent="0.3">
      <c r="H24962" t="str">
        <f t="shared" si="439"/>
        <v/>
      </c>
    </row>
    <row r="24963" spans="8:8" x14ac:dyDescent="0.3">
      <c r="H24963" t="str">
        <f t="shared" si="439"/>
        <v/>
      </c>
    </row>
    <row r="24964" spans="8:8" x14ac:dyDescent="0.3">
      <c r="H24964" t="str">
        <f t="shared" si="439"/>
        <v/>
      </c>
    </row>
    <row r="24965" spans="8:8" x14ac:dyDescent="0.3">
      <c r="H24965" t="str">
        <f t="shared" si="439"/>
        <v/>
      </c>
    </row>
    <row r="24966" spans="8:8" x14ac:dyDescent="0.3">
      <c r="H24966" t="str">
        <f t="shared" si="439"/>
        <v/>
      </c>
    </row>
    <row r="24967" spans="8:8" x14ac:dyDescent="0.3">
      <c r="H24967" t="str">
        <f t="shared" si="439"/>
        <v/>
      </c>
    </row>
    <row r="24968" spans="8:8" x14ac:dyDescent="0.3">
      <c r="H24968" t="str">
        <f t="shared" si="439"/>
        <v/>
      </c>
    </row>
    <row r="24969" spans="8:8" x14ac:dyDescent="0.3">
      <c r="H24969" t="str">
        <f t="shared" si="439"/>
        <v/>
      </c>
    </row>
    <row r="24970" spans="8:8" x14ac:dyDescent="0.3">
      <c r="H24970" t="str">
        <f t="shared" si="439"/>
        <v/>
      </c>
    </row>
    <row r="24971" spans="8:8" x14ac:dyDescent="0.3">
      <c r="H24971" t="str">
        <f t="shared" si="439"/>
        <v/>
      </c>
    </row>
    <row r="24972" spans="8:8" x14ac:dyDescent="0.3">
      <c r="H24972" t="str">
        <f t="shared" si="439"/>
        <v/>
      </c>
    </row>
    <row r="24973" spans="8:8" x14ac:dyDescent="0.3">
      <c r="H24973" t="str">
        <f t="shared" si="439"/>
        <v/>
      </c>
    </row>
    <row r="24974" spans="8:8" x14ac:dyDescent="0.3">
      <c r="H24974" t="str">
        <f t="shared" si="439"/>
        <v/>
      </c>
    </row>
    <row r="24975" spans="8:8" x14ac:dyDescent="0.3">
      <c r="H24975" t="str">
        <f t="shared" si="439"/>
        <v/>
      </c>
    </row>
    <row r="24976" spans="8:8" x14ac:dyDescent="0.3">
      <c r="H24976" t="str">
        <f t="shared" si="439"/>
        <v/>
      </c>
    </row>
    <row r="24977" spans="8:8" x14ac:dyDescent="0.3">
      <c r="H24977" t="str">
        <f t="shared" si="439"/>
        <v/>
      </c>
    </row>
    <row r="24978" spans="8:8" x14ac:dyDescent="0.3">
      <c r="H24978" t="str">
        <f t="shared" si="439"/>
        <v/>
      </c>
    </row>
    <row r="24979" spans="8:8" x14ac:dyDescent="0.3">
      <c r="H24979" t="str">
        <f t="shared" si="439"/>
        <v/>
      </c>
    </row>
    <row r="24980" spans="8:8" x14ac:dyDescent="0.3">
      <c r="H24980" t="str">
        <f t="shared" si="439"/>
        <v/>
      </c>
    </row>
    <row r="24981" spans="8:8" x14ac:dyDescent="0.3">
      <c r="H24981" t="str">
        <f t="shared" si="439"/>
        <v/>
      </c>
    </row>
    <row r="24982" spans="8:8" x14ac:dyDescent="0.3">
      <c r="H24982" t="str">
        <f t="shared" si="439"/>
        <v/>
      </c>
    </row>
    <row r="24983" spans="8:8" x14ac:dyDescent="0.3">
      <c r="H24983" t="str">
        <f t="shared" ref="H24983:H25046" si="440">IF(B24983="","",$C$12)</f>
        <v/>
      </c>
    </row>
    <row r="24984" spans="8:8" x14ac:dyDescent="0.3">
      <c r="H24984" t="str">
        <f t="shared" si="440"/>
        <v/>
      </c>
    </row>
    <row r="24985" spans="8:8" x14ac:dyDescent="0.3">
      <c r="H24985" t="str">
        <f t="shared" si="440"/>
        <v/>
      </c>
    </row>
    <row r="24986" spans="8:8" x14ac:dyDescent="0.3">
      <c r="H24986" t="str">
        <f t="shared" si="440"/>
        <v/>
      </c>
    </row>
    <row r="24987" spans="8:8" x14ac:dyDescent="0.3">
      <c r="H24987" t="str">
        <f t="shared" si="440"/>
        <v/>
      </c>
    </row>
    <row r="24988" spans="8:8" x14ac:dyDescent="0.3">
      <c r="H24988" t="str">
        <f t="shared" si="440"/>
        <v/>
      </c>
    </row>
    <row r="24989" spans="8:8" x14ac:dyDescent="0.3">
      <c r="H24989" t="str">
        <f t="shared" si="440"/>
        <v/>
      </c>
    </row>
    <row r="24990" spans="8:8" x14ac:dyDescent="0.3">
      <c r="H24990" t="str">
        <f t="shared" si="440"/>
        <v/>
      </c>
    </row>
    <row r="24991" spans="8:8" x14ac:dyDescent="0.3">
      <c r="H24991" t="str">
        <f t="shared" si="440"/>
        <v/>
      </c>
    </row>
    <row r="24992" spans="8:8" x14ac:dyDescent="0.3">
      <c r="H24992" t="str">
        <f t="shared" si="440"/>
        <v/>
      </c>
    </row>
    <row r="24993" spans="8:8" x14ac:dyDescent="0.3">
      <c r="H24993" t="str">
        <f t="shared" si="440"/>
        <v/>
      </c>
    </row>
    <row r="24994" spans="8:8" x14ac:dyDescent="0.3">
      <c r="H24994" t="str">
        <f t="shared" si="440"/>
        <v/>
      </c>
    </row>
    <row r="24995" spans="8:8" x14ac:dyDescent="0.3">
      <c r="H24995" t="str">
        <f t="shared" si="440"/>
        <v/>
      </c>
    </row>
    <row r="24996" spans="8:8" x14ac:dyDescent="0.3">
      <c r="H24996" t="str">
        <f t="shared" si="440"/>
        <v/>
      </c>
    </row>
    <row r="24997" spans="8:8" x14ac:dyDescent="0.3">
      <c r="H24997" t="str">
        <f t="shared" si="440"/>
        <v/>
      </c>
    </row>
    <row r="24998" spans="8:8" x14ac:dyDescent="0.3">
      <c r="H24998" t="str">
        <f t="shared" si="440"/>
        <v/>
      </c>
    </row>
    <row r="24999" spans="8:8" x14ac:dyDescent="0.3">
      <c r="H24999" t="str">
        <f t="shared" si="440"/>
        <v/>
      </c>
    </row>
    <row r="25000" spans="8:8" x14ac:dyDescent="0.3">
      <c r="H25000" t="str">
        <f t="shared" si="440"/>
        <v/>
      </c>
    </row>
    <row r="25001" spans="8:8" x14ac:dyDescent="0.3">
      <c r="H25001" t="str">
        <f t="shared" si="440"/>
        <v/>
      </c>
    </row>
    <row r="25002" spans="8:8" x14ac:dyDescent="0.3">
      <c r="H25002" t="str">
        <f t="shared" si="440"/>
        <v/>
      </c>
    </row>
    <row r="25003" spans="8:8" x14ac:dyDescent="0.3">
      <c r="H25003" t="str">
        <f t="shared" si="440"/>
        <v/>
      </c>
    </row>
    <row r="25004" spans="8:8" x14ac:dyDescent="0.3">
      <c r="H25004" t="str">
        <f t="shared" si="440"/>
        <v/>
      </c>
    </row>
    <row r="25005" spans="8:8" x14ac:dyDescent="0.3">
      <c r="H25005" t="str">
        <f t="shared" si="440"/>
        <v/>
      </c>
    </row>
    <row r="25006" spans="8:8" x14ac:dyDescent="0.3">
      <c r="H25006" t="str">
        <f t="shared" si="440"/>
        <v/>
      </c>
    </row>
    <row r="25007" spans="8:8" x14ac:dyDescent="0.3">
      <c r="H25007" t="str">
        <f t="shared" si="440"/>
        <v/>
      </c>
    </row>
    <row r="25008" spans="8:8" x14ac:dyDescent="0.3">
      <c r="H25008" t="str">
        <f t="shared" si="440"/>
        <v/>
      </c>
    </row>
    <row r="25009" spans="8:8" x14ac:dyDescent="0.3">
      <c r="H25009" t="str">
        <f t="shared" si="440"/>
        <v/>
      </c>
    </row>
    <row r="25010" spans="8:8" x14ac:dyDescent="0.3">
      <c r="H25010" t="str">
        <f t="shared" si="440"/>
        <v/>
      </c>
    </row>
    <row r="25011" spans="8:8" x14ac:dyDescent="0.3">
      <c r="H25011" t="str">
        <f t="shared" si="440"/>
        <v/>
      </c>
    </row>
    <row r="25012" spans="8:8" x14ac:dyDescent="0.3">
      <c r="H25012" t="str">
        <f t="shared" si="440"/>
        <v/>
      </c>
    </row>
    <row r="25013" spans="8:8" x14ac:dyDescent="0.3">
      <c r="H25013" t="str">
        <f t="shared" si="440"/>
        <v/>
      </c>
    </row>
    <row r="25014" spans="8:8" x14ac:dyDescent="0.3">
      <c r="H25014" t="str">
        <f t="shared" si="440"/>
        <v/>
      </c>
    </row>
    <row r="25015" spans="8:8" x14ac:dyDescent="0.3">
      <c r="H25015" t="str">
        <f t="shared" si="440"/>
        <v/>
      </c>
    </row>
    <row r="25016" spans="8:8" x14ac:dyDescent="0.3">
      <c r="H25016" t="str">
        <f t="shared" si="440"/>
        <v/>
      </c>
    </row>
    <row r="25017" spans="8:8" x14ac:dyDescent="0.3">
      <c r="H25017" t="str">
        <f t="shared" si="440"/>
        <v/>
      </c>
    </row>
    <row r="25018" spans="8:8" x14ac:dyDescent="0.3">
      <c r="H25018" t="str">
        <f t="shared" si="440"/>
        <v/>
      </c>
    </row>
    <row r="25019" spans="8:8" x14ac:dyDescent="0.3">
      <c r="H25019" t="str">
        <f t="shared" si="440"/>
        <v/>
      </c>
    </row>
    <row r="25020" spans="8:8" x14ac:dyDescent="0.3">
      <c r="H25020" t="str">
        <f t="shared" si="440"/>
        <v/>
      </c>
    </row>
    <row r="25021" spans="8:8" x14ac:dyDescent="0.3">
      <c r="H25021" t="str">
        <f t="shared" si="440"/>
        <v/>
      </c>
    </row>
    <row r="25022" spans="8:8" x14ac:dyDescent="0.3">
      <c r="H25022" t="str">
        <f t="shared" si="440"/>
        <v/>
      </c>
    </row>
    <row r="25023" spans="8:8" x14ac:dyDescent="0.3">
      <c r="H25023" t="str">
        <f t="shared" si="440"/>
        <v/>
      </c>
    </row>
    <row r="25024" spans="8:8" x14ac:dyDescent="0.3">
      <c r="H25024" t="str">
        <f t="shared" si="440"/>
        <v/>
      </c>
    </row>
    <row r="25025" spans="8:8" x14ac:dyDescent="0.3">
      <c r="H25025" t="str">
        <f t="shared" si="440"/>
        <v/>
      </c>
    </row>
    <row r="25026" spans="8:8" x14ac:dyDescent="0.3">
      <c r="H25026" t="str">
        <f t="shared" si="440"/>
        <v/>
      </c>
    </row>
    <row r="25027" spans="8:8" x14ac:dyDescent="0.3">
      <c r="H25027" t="str">
        <f t="shared" si="440"/>
        <v/>
      </c>
    </row>
    <row r="25028" spans="8:8" x14ac:dyDescent="0.3">
      <c r="H25028" t="str">
        <f t="shared" si="440"/>
        <v/>
      </c>
    </row>
    <row r="25029" spans="8:8" x14ac:dyDescent="0.3">
      <c r="H25029" t="str">
        <f t="shared" si="440"/>
        <v/>
      </c>
    </row>
    <row r="25030" spans="8:8" x14ac:dyDescent="0.3">
      <c r="H25030" t="str">
        <f t="shared" si="440"/>
        <v/>
      </c>
    </row>
    <row r="25031" spans="8:8" x14ac:dyDescent="0.3">
      <c r="H25031" t="str">
        <f t="shared" si="440"/>
        <v/>
      </c>
    </row>
    <row r="25032" spans="8:8" x14ac:dyDescent="0.3">
      <c r="H25032" t="str">
        <f t="shared" si="440"/>
        <v/>
      </c>
    </row>
    <row r="25033" spans="8:8" x14ac:dyDescent="0.3">
      <c r="H25033" t="str">
        <f t="shared" si="440"/>
        <v/>
      </c>
    </row>
    <row r="25034" spans="8:8" x14ac:dyDescent="0.3">
      <c r="H25034" t="str">
        <f t="shared" si="440"/>
        <v/>
      </c>
    </row>
    <row r="25035" spans="8:8" x14ac:dyDescent="0.3">
      <c r="H25035" t="str">
        <f t="shared" si="440"/>
        <v/>
      </c>
    </row>
    <row r="25036" spans="8:8" x14ac:dyDescent="0.3">
      <c r="H25036" t="str">
        <f t="shared" si="440"/>
        <v/>
      </c>
    </row>
    <row r="25037" spans="8:8" x14ac:dyDescent="0.3">
      <c r="H25037" t="str">
        <f t="shared" si="440"/>
        <v/>
      </c>
    </row>
    <row r="25038" spans="8:8" x14ac:dyDescent="0.3">
      <c r="H25038" t="str">
        <f t="shared" si="440"/>
        <v/>
      </c>
    </row>
    <row r="25039" spans="8:8" x14ac:dyDescent="0.3">
      <c r="H25039" t="str">
        <f t="shared" si="440"/>
        <v/>
      </c>
    </row>
    <row r="25040" spans="8:8" x14ac:dyDescent="0.3">
      <c r="H25040" t="str">
        <f t="shared" si="440"/>
        <v/>
      </c>
    </row>
    <row r="25041" spans="8:8" x14ac:dyDescent="0.3">
      <c r="H25041" t="str">
        <f t="shared" si="440"/>
        <v/>
      </c>
    </row>
    <row r="25042" spans="8:8" x14ac:dyDescent="0.3">
      <c r="H25042" t="str">
        <f t="shared" si="440"/>
        <v/>
      </c>
    </row>
    <row r="25043" spans="8:8" x14ac:dyDescent="0.3">
      <c r="H25043" t="str">
        <f t="shared" si="440"/>
        <v/>
      </c>
    </row>
    <row r="25044" spans="8:8" x14ac:dyDescent="0.3">
      <c r="H25044" t="str">
        <f t="shared" si="440"/>
        <v/>
      </c>
    </row>
    <row r="25045" spans="8:8" x14ac:dyDescent="0.3">
      <c r="H25045" t="str">
        <f t="shared" si="440"/>
        <v/>
      </c>
    </row>
    <row r="25046" spans="8:8" x14ac:dyDescent="0.3">
      <c r="H25046" t="str">
        <f t="shared" si="440"/>
        <v/>
      </c>
    </row>
    <row r="25047" spans="8:8" x14ac:dyDescent="0.3">
      <c r="H25047" t="str">
        <f t="shared" ref="H25047:H25110" si="441">IF(B25047="","",$C$12)</f>
        <v/>
      </c>
    </row>
    <row r="25048" spans="8:8" x14ac:dyDescent="0.3">
      <c r="H25048" t="str">
        <f t="shared" si="441"/>
        <v/>
      </c>
    </row>
    <row r="25049" spans="8:8" x14ac:dyDescent="0.3">
      <c r="H25049" t="str">
        <f t="shared" si="441"/>
        <v/>
      </c>
    </row>
    <row r="25050" spans="8:8" x14ac:dyDescent="0.3">
      <c r="H25050" t="str">
        <f t="shared" si="441"/>
        <v/>
      </c>
    </row>
    <row r="25051" spans="8:8" x14ac:dyDescent="0.3">
      <c r="H25051" t="str">
        <f t="shared" si="441"/>
        <v/>
      </c>
    </row>
    <row r="25052" spans="8:8" x14ac:dyDescent="0.3">
      <c r="H25052" t="str">
        <f t="shared" si="441"/>
        <v/>
      </c>
    </row>
    <row r="25053" spans="8:8" x14ac:dyDescent="0.3">
      <c r="H25053" t="str">
        <f t="shared" si="441"/>
        <v/>
      </c>
    </row>
    <row r="25054" spans="8:8" x14ac:dyDescent="0.3">
      <c r="H25054" t="str">
        <f t="shared" si="441"/>
        <v/>
      </c>
    </row>
    <row r="25055" spans="8:8" x14ac:dyDescent="0.3">
      <c r="H25055" t="str">
        <f t="shared" si="441"/>
        <v/>
      </c>
    </row>
    <row r="25056" spans="8:8" x14ac:dyDescent="0.3">
      <c r="H25056" t="str">
        <f t="shared" si="441"/>
        <v/>
      </c>
    </row>
    <row r="25057" spans="8:8" x14ac:dyDescent="0.3">
      <c r="H25057" t="str">
        <f t="shared" si="441"/>
        <v/>
      </c>
    </row>
    <row r="25058" spans="8:8" x14ac:dyDescent="0.3">
      <c r="H25058" t="str">
        <f t="shared" si="441"/>
        <v/>
      </c>
    </row>
    <row r="25059" spans="8:8" x14ac:dyDescent="0.3">
      <c r="H25059" t="str">
        <f t="shared" si="441"/>
        <v/>
      </c>
    </row>
    <row r="25060" spans="8:8" x14ac:dyDescent="0.3">
      <c r="H25060" t="str">
        <f t="shared" si="441"/>
        <v/>
      </c>
    </row>
    <row r="25061" spans="8:8" x14ac:dyDescent="0.3">
      <c r="H25061" t="str">
        <f t="shared" si="441"/>
        <v/>
      </c>
    </row>
    <row r="25062" spans="8:8" x14ac:dyDescent="0.3">
      <c r="H25062" t="str">
        <f t="shared" si="441"/>
        <v/>
      </c>
    </row>
    <row r="25063" spans="8:8" x14ac:dyDescent="0.3">
      <c r="H25063" t="str">
        <f t="shared" si="441"/>
        <v/>
      </c>
    </row>
    <row r="25064" spans="8:8" x14ac:dyDescent="0.3">
      <c r="H25064" t="str">
        <f t="shared" si="441"/>
        <v/>
      </c>
    </row>
    <row r="25065" spans="8:8" x14ac:dyDescent="0.3">
      <c r="H25065" t="str">
        <f t="shared" si="441"/>
        <v/>
      </c>
    </row>
    <row r="25066" spans="8:8" x14ac:dyDescent="0.3">
      <c r="H25066" t="str">
        <f t="shared" si="441"/>
        <v/>
      </c>
    </row>
    <row r="25067" spans="8:8" x14ac:dyDescent="0.3">
      <c r="H25067" t="str">
        <f t="shared" si="441"/>
        <v/>
      </c>
    </row>
    <row r="25068" spans="8:8" x14ac:dyDescent="0.3">
      <c r="H25068" t="str">
        <f t="shared" si="441"/>
        <v/>
      </c>
    </row>
    <row r="25069" spans="8:8" x14ac:dyDescent="0.3">
      <c r="H25069" t="str">
        <f t="shared" si="441"/>
        <v/>
      </c>
    </row>
    <row r="25070" spans="8:8" x14ac:dyDescent="0.3">
      <c r="H25070" t="str">
        <f t="shared" si="441"/>
        <v/>
      </c>
    </row>
    <row r="25071" spans="8:8" x14ac:dyDescent="0.3">
      <c r="H25071" t="str">
        <f t="shared" si="441"/>
        <v/>
      </c>
    </row>
    <row r="25072" spans="8:8" x14ac:dyDescent="0.3">
      <c r="H25072" t="str">
        <f t="shared" si="441"/>
        <v/>
      </c>
    </row>
    <row r="25073" spans="8:8" x14ac:dyDescent="0.3">
      <c r="H25073" t="str">
        <f t="shared" si="441"/>
        <v/>
      </c>
    </row>
    <row r="25074" spans="8:8" x14ac:dyDescent="0.3">
      <c r="H25074" t="str">
        <f t="shared" si="441"/>
        <v/>
      </c>
    </row>
    <row r="25075" spans="8:8" x14ac:dyDescent="0.3">
      <c r="H25075" t="str">
        <f t="shared" si="441"/>
        <v/>
      </c>
    </row>
    <row r="25076" spans="8:8" x14ac:dyDescent="0.3">
      <c r="H25076" t="str">
        <f t="shared" si="441"/>
        <v/>
      </c>
    </row>
    <row r="25077" spans="8:8" x14ac:dyDescent="0.3">
      <c r="H25077" t="str">
        <f t="shared" si="441"/>
        <v/>
      </c>
    </row>
    <row r="25078" spans="8:8" x14ac:dyDescent="0.3">
      <c r="H25078" t="str">
        <f t="shared" si="441"/>
        <v/>
      </c>
    </row>
    <row r="25079" spans="8:8" x14ac:dyDescent="0.3">
      <c r="H25079" t="str">
        <f t="shared" si="441"/>
        <v/>
      </c>
    </row>
    <row r="25080" spans="8:8" x14ac:dyDescent="0.3">
      <c r="H25080" t="str">
        <f t="shared" si="441"/>
        <v/>
      </c>
    </row>
    <row r="25081" spans="8:8" x14ac:dyDescent="0.3">
      <c r="H25081" t="str">
        <f t="shared" si="441"/>
        <v/>
      </c>
    </row>
    <row r="25082" spans="8:8" x14ac:dyDescent="0.3">
      <c r="H25082" t="str">
        <f t="shared" si="441"/>
        <v/>
      </c>
    </row>
    <row r="25083" spans="8:8" x14ac:dyDescent="0.3">
      <c r="H25083" t="str">
        <f t="shared" si="441"/>
        <v/>
      </c>
    </row>
    <row r="25084" spans="8:8" x14ac:dyDescent="0.3">
      <c r="H25084" t="str">
        <f t="shared" si="441"/>
        <v/>
      </c>
    </row>
    <row r="25085" spans="8:8" x14ac:dyDescent="0.3">
      <c r="H25085" t="str">
        <f t="shared" si="441"/>
        <v/>
      </c>
    </row>
    <row r="25086" spans="8:8" x14ac:dyDescent="0.3">
      <c r="H25086" t="str">
        <f t="shared" si="441"/>
        <v/>
      </c>
    </row>
    <row r="25087" spans="8:8" x14ac:dyDescent="0.3">
      <c r="H25087" t="str">
        <f t="shared" si="441"/>
        <v/>
      </c>
    </row>
    <row r="25088" spans="8:8" x14ac:dyDescent="0.3">
      <c r="H25088" t="str">
        <f t="shared" si="441"/>
        <v/>
      </c>
    </row>
    <row r="25089" spans="8:8" x14ac:dyDescent="0.3">
      <c r="H25089" t="str">
        <f t="shared" si="441"/>
        <v/>
      </c>
    </row>
    <row r="25090" spans="8:8" x14ac:dyDescent="0.3">
      <c r="H25090" t="str">
        <f t="shared" si="441"/>
        <v/>
      </c>
    </row>
    <row r="25091" spans="8:8" x14ac:dyDescent="0.3">
      <c r="H25091" t="str">
        <f t="shared" si="441"/>
        <v/>
      </c>
    </row>
    <row r="25092" spans="8:8" x14ac:dyDescent="0.3">
      <c r="H25092" t="str">
        <f t="shared" si="441"/>
        <v/>
      </c>
    </row>
    <row r="25093" spans="8:8" x14ac:dyDescent="0.3">
      <c r="H25093" t="str">
        <f t="shared" si="441"/>
        <v/>
      </c>
    </row>
    <row r="25094" spans="8:8" x14ac:dyDescent="0.3">
      <c r="H25094" t="str">
        <f t="shared" si="441"/>
        <v/>
      </c>
    </row>
    <row r="25095" spans="8:8" x14ac:dyDescent="0.3">
      <c r="H25095" t="str">
        <f t="shared" si="441"/>
        <v/>
      </c>
    </row>
    <row r="25096" spans="8:8" x14ac:dyDescent="0.3">
      <c r="H25096" t="str">
        <f t="shared" si="441"/>
        <v/>
      </c>
    </row>
    <row r="25097" spans="8:8" x14ac:dyDescent="0.3">
      <c r="H25097" t="str">
        <f t="shared" si="441"/>
        <v/>
      </c>
    </row>
    <row r="25098" spans="8:8" x14ac:dyDescent="0.3">
      <c r="H25098" t="str">
        <f t="shared" si="441"/>
        <v/>
      </c>
    </row>
    <row r="25099" spans="8:8" x14ac:dyDescent="0.3">
      <c r="H25099" t="str">
        <f t="shared" si="441"/>
        <v/>
      </c>
    </row>
    <row r="25100" spans="8:8" x14ac:dyDescent="0.3">
      <c r="H25100" t="str">
        <f t="shared" si="441"/>
        <v/>
      </c>
    </row>
    <row r="25101" spans="8:8" x14ac:dyDescent="0.3">
      <c r="H25101" t="str">
        <f t="shared" si="441"/>
        <v/>
      </c>
    </row>
    <row r="25102" spans="8:8" x14ac:dyDescent="0.3">
      <c r="H25102" t="str">
        <f t="shared" si="441"/>
        <v/>
      </c>
    </row>
    <row r="25103" spans="8:8" x14ac:dyDescent="0.3">
      <c r="H25103" t="str">
        <f t="shared" si="441"/>
        <v/>
      </c>
    </row>
    <row r="25104" spans="8:8" x14ac:dyDescent="0.3">
      <c r="H25104" t="str">
        <f t="shared" si="441"/>
        <v/>
      </c>
    </row>
    <row r="25105" spans="8:8" x14ac:dyDescent="0.3">
      <c r="H25105" t="str">
        <f t="shared" si="441"/>
        <v/>
      </c>
    </row>
    <row r="25106" spans="8:8" x14ac:dyDescent="0.3">
      <c r="H25106" t="str">
        <f t="shared" si="441"/>
        <v/>
      </c>
    </row>
    <row r="25107" spans="8:8" x14ac:dyDescent="0.3">
      <c r="H25107" t="str">
        <f t="shared" si="441"/>
        <v/>
      </c>
    </row>
    <row r="25108" spans="8:8" x14ac:dyDescent="0.3">
      <c r="H25108" t="str">
        <f t="shared" si="441"/>
        <v/>
      </c>
    </row>
    <row r="25109" spans="8:8" x14ac:dyDescent="0.3">
      <c r="H25109" t="str">
        <f t="shared" si="441"/>
        <v/>
      </c>
    </row>
    <row r="25110" spans="8:8" x14ac:dyDescent="0.3">
      <c r="H25110" t="str">
        <f t="shared" si="441"/>
        <v/>
      </c>
    </row>
    <row r="25111" spans="8:8" x14ac:dyDescent="0.3">
      <c r="H25111" t="str">
        <f t="shared" ref="H25111:H25174" si="442">IF(B25111="","",$C$12)</f>
        <v/>
      </c>
    </row>
    <row r="25112" spans="8:8" x14ac:dyDescent="0.3">
      <c r="H25112" t="str">
        <f t="shared" si="442"/>
        <v/>
      </c>
    </row>
    <row r="25113" spans="8:8" x14ac:dyDescent="0.3">
      <c r="H25113" t="str">
        <f t="shared" si="442"/>
        <v/>
      </c>
    </row>
    <row r="25114" spans="8:8" x14ac:dyDescent="0.3">
      <c r="H25114" t="str">
        <f t="shared" si="442"/>
        <v/>
      </c>
    </row>
    <row r="25115" spans="8:8" x14ac:dyDescent="0.3">
      <c r="H25115" t="str">
        <f t="shared" si="442"/>
        <v/>
      </c>
    </row>
    <row r="25116" spans="8:8" x14ac:dyDescent="0.3">
      <c r="H25116" t="str">
        <f t="shared" si="442"/>
        <v/>
      </c>
    </row>
    <row r="25117" spans="8:8" x14ac:dyDescent="0.3">
      <c r="H25117" t="str">
        <f t="shared" si="442"/>
        <v/>
      </c>
    </row>
    <row r="25118" spans="8:8" x14ac:dyDescent="0.3">
      <c r="H25118" t="str">
        <f t="shared" si="442"/>
        <v/>
      </c>
    </row>
    <row r="25119" spans="8:8" x14ac:dyDescent="0.3">
      <c r="H25119" t="str">
        <f t="shared" si="442"/>
        <v/>
      </c>
    </row>
    <row r="25120" spans="8:8" x14ac:dyDescent="0.3">
      <c r="H25120" t="str">
        <f t="shared" si="442"/>
        <v/>
      </c>
    </row>
    <row r="25121" spans="8:8" x14ac:dyDescent="0.3">
      <c r="H25121" t="str">
        <f t="shared" si="442"/>
        <v/>
      </c>
    </row>
    <row r="25122" spans="8:8" x14ac:dyDescent="0.3">
      <c r="H25122" t="str">
        <f t="shared" si="442"/>
        <v/>
      </c>
    </row>
    <row r="25123" spans="8:8" x14ac:dyDescent="0.3">
      <c r="H25123" t="str">
        <f t="shared" si="442"/>
        <v/>
      </c>
    </row>
    <row r="25124" spans="8:8" x14ac:dyDescent="0.3">
      <c r="H25124" t="str">
        <f t="shared" si="442"/>
        <v/>
      </c>
    </row>
    <row r="25125" spans="8:8" x14ac:dyDescent="0.3">
      <c r="H25125" t="str">
        <f t="shared" si="442"/>
        <v/>
      </c>
    </row>
    <row r="25126" spans="8:8" x14ac:dyDescent="0.3">
      <c r="H25126" t="str">
        <f t="shared" si="442"/>
        <v/>
      </c>
    </row>
    <row r="25127" spans="8:8" x14ac:dyDescent="0.3">
      <c r="H25127" t="str">
        <f t="shared" si="442"/>
        <v/>
      </c>
    </row>
    <row r="25128" spans="8:8" x14ac:dyDescent="0.3">
      <c r="H25128" t="str">
        <f t="shared" si="442"/>
        <v/>
      </c>
    </row>
    <row r="25129" spans="8:8" x14ac:dyDescent="0.3">
      <c r="H25129" t="str">
        <f t="shared" si="442"/>
        <v/>
      </c>
    </row>
    <row r="25130" spans="8:8" x14ac:dyDescent="0.3">
      <c r="H25130" t="str">
        <f t="shared" si="442"/>
        <v/>
      </c>
    </row>
    <row r="25131" spans="8:8" x14ac:dyDescent="0.3">
      <c r="H25131" t="str">
        <f t="shared" si="442"/>
        <v/>
      </c>
    </row>
    <row r="25132" spans="8:8" x14ac:dyDescent="0.3">
      <c r="H25132" t="str">
        <f t="shared" si="442"/>
        <v/>
      </c>
    </row>
    <row r="25133" spans="8:8" x14ac:dyDescent="0.3">
      <c r="H25133" t="str">
        <f t="shared" si="442"/>
        <v/>
      </c>
    </row>
    <row r="25134" spans="8:8" x14ac:dyDescent="0.3">
      <c r="H25134" t="str">
        <f t="shared" si="442"/>
        <v/>
      </c>
    </row>
    <row r="25135" spans="8:8" x14ac:dyDescent="0.3">
      <c r="H25135" t="str">
        <f t="shared" si="442"/>
        <v/>
      </c>
    </row>
    <row r="25136" spans="8:8" x14ac:dyDescent="0.3">
      <c r="H25136" t="str">
        <f t="shared" si="442"/>
        <v/>
      </c>
    </row>
    <row r="25137" spans="8:8" x14ac:dyDescent="0.3">
      <c r="H25137" t="str">
        <f t="shared" si="442"/>
        <v/>
      </c>
    </row>
    <row r="25138" spans="8:8" x14ac:dyDescent="0.3">
      <c r="H25138" t="str">
        <f t="shared" si="442"/>
        <v/>
      </c>
    </row>
    <row r="25139" spans="8:8" x14ac:dyDescent="0.3">
      <c r="H25139" t="str">
        <f t="shared" si="442"/>
        <v/>
      </c>
    </row>
    <row r="25140" spans="8:8" x14ac:dyDescent="0.3">
      <c r="H25140" t="str">
        <f t="shared" si="442"/>
        <v/>
      </c>
    </row>
    <row r="25141" spans="8:8" x14ac:dyDescent="0.3">
      <c r="H25141" t="str">
        <f t="shared" si="442"/>
        <v/>
      </c>
    </row>
    <row r="25142" spans="8:8" x14ac:dyDescent="0.3">
      <c r="H25142" t="str">
        <f t="shared" si="442"/>
        <v/>
      </c>
    </row>
    <row r="25143" spans="8:8" x14ac:dyDescent="0.3">
      <c r="H25143" t="str">
        <f t="shared" si="442"/>
        <v/>
      </c>
    </row>
    <row r="25144" spans="8:8" x14ac:dyDescent="0.3">
      <c r="H25144" t="str">
        <f t="shared" si="442"/>
        <v/>
      </c>
    </row>
    <row r="25145" spans="8:8" x14ac:dyDescent="0.3">
      <c r="H25145" t="str">
        <f t="shared" si="442"/>
        <v/>
      </c>
    </row>
    <row r="25146" spans="8:8" x14ac:dyDescent="0.3">
      <c r="H25146" t="str">
        <f t="shared" si="442"/>
        <v/>
      </c>
    </row>
    <row r="25147" spans="8:8" x14ac:dyDescent="0.3">
      <c r="H25147" t="str">
        <f t="shared" si="442"/>
        <v/>
      </c>
    </row>
    <row r="25148" spans="8:8" x14ac:dyDescent="0.3">
      <c r="H25148" t="str">
        <f t="shared" si="442"/>
        <v/>
      </c>
    </row>
    <row r="25149" spans="8:8" x14ac:dyDescent="0.3">
      <c r="H25149" t="str">
        <f t="shared" si="442"/>
        <v/>
      </c>
    </row>
    <row r="25150" spans="8:8" x14ac:dyDescent="0.3">
      <c r="H25150" t="str">
        <f t="shared" si="442"/>
        <v/>
      </c>
    </row>
    <row r="25151" spans="8:8" x14ac:dyDescent="0.3">
      <c r="H25151" t="str">
        <f t="shared" si="442"/>
        <v/>
      </c>
    </row>
    <row r="25152" spans="8:8" x14ac:dyDescent="0.3">
      <c r="H25152" t="str">
        <f t="shared" si="442"/>
        <v/>
      </c>
    </row>
    <row r="25153" spans="8:8" x14ac:dyDescent="0.3">
      <c r="H25153" t="str">
        <f t="shared" si="442"/>
        <v/>
      </c>
    </row>
    <row r="25154" spans="8:8" x14ac:dyDescent="0.3">
      <c r="H25154" t="str">
        <f t="shared" si="442"/>
        <v/>
      </c>
    </row>
    <row r="25155" spans="8:8" x14ac:dyDescent="0.3">
      <c r="H25155" t="str">
        <f t="shared" si="442"/>
        <v/>
      </c>
    </row>
    <row r="25156" spans="8:8" x14ac:dyDescent="0.3">
      <c r="H25156" t="str">
        <f t="shared" si="442"/>
        <v/>
      </c>
    </row>
    <row r="25157" spans="8:8" x14ac:dyDescent="0.3">
      <c r="H25157" t="str">
        <f t="shared" si="442"/>
        <v/>
      </c>
    </row>
    <row r="25158" spans="8:8" x14ac:dyDescent="0.3">
      <c r="H25158" t="str">
        <f t="shared" si="442"/>
        <v/>
      </c>
    </row>
    <row r="25159" spans="8:8" x14ac:dyDescent="0.3">
      <c r="H25159" t="str">
        <f t="shared" si="442"/>
        <v/>
      </c>
    </row>
    <row r="25160" spans="8:8" x14ac:dyDescent="0.3">
      <c r="H25160" t="str">
        <f t="shared" si="442"/>
        <v/>
      </c>
    </row>
    <row r="25161" spans="8:8" x14ac:dyDescent="0.3">
      <c r="H25161" t="str">
        <f t="shared" si="442"/>
        <v/>
      </c>
    </row>
    <row r="25162" spans="8:8" x14ac:dyDescent="0.3">
      <c r="H25162" t="str">
        <f t="shared" si="442"/>
        <v/>
      </c>
    </row>
    <row r="25163" spans="8:8" x14ac:dyDescent="0.3">
      <c r="H25163" t="str">
        <f t="shared" si="442"/>
        <v/>
      </c>
    </row>
    <row r="25164" spans="8:8" x14ac:dyDescent="0.3">
      <c r="H25164" t="str">
        <f t="shared" si="442"/>
        <v/>
      </c>
    </row>
    <row r="25165" spans="8:8" x14ac:dyDescent="0.3">
      <c r="H25165" t="str">
        <f t="shared" si="442"/>
        <v/>
      </c>
    </row>
    <row r="25166" spans="8:8" x14ac:dyDescent="0.3">
      <c r="H25166" t="str">
        <f t="shared" si="442"/>
        <v/>
      </c>
    </row>
    <row r="25167" spans="8:8" x14ac:dyDescent="0.3">
      <c r="H25167" t="str">
        <f t="shared" si="442"/>
        <v/>
      </c>
    </row>
    <row r="25168" spans="8:8" x14ac:dyDescent="0.3">
      <c r="H25168" t="str">
        <f t="shared" si="442"/>
        <v/>
      </c>
    </row>
    <row r="25169" spans="8:8" x14ac:dyDescent="0.3">
      <c r="H25169" t="str">
        <f t="shared" si="442"/>
        <v/>
      </c>
    </row>
    <row r="25170" spans="8:8" x14ac:dyDescent="0.3">
      <c r="H25170" t="str">
        <f t="shared" si="442"/>
        <v/>
      </c>
    </row>
    <row r="25171" spans="8:8" x14ac:dyDescent="0.3">
      <c r="H25171" t="str">
        <f t="shared" si="442"/>
        <v/>
      </c>
    </row>
    <row r="25172" spans="8:8" x14ac:dyDescent="0.3">
      <c r="H25172" t="str">
        <f t="shared" si="442"/>
        <v/>
      </c>
    </row>
    <row r="25173" spans="8:8" x14ac:dyDescent="0.3">
      <c r="H25173" t="str">
        <f t="shared" si="442"/>
        <v/>
      </c>
    </row>
    <row r="25174" spans="8:8" x14ac:dyDescent="0.3">
      <c r="H25174" t="str">
        <f t="shared" si="442"/>
        <v/>
      </c>
    </row>
    <row r="25175" spans="8:8" x14ac:dyDescent="0.3">
      <c r="H25175" t="str">
        <f t="shared" ref="H25175:H25238" si="443">IF(B25175="","",$C$12)</f>
        <v/>
      </c>
    </row>
    <row r="25176" spans="8:8" x14ac:dyDescent="0.3">
      <c r="H25176" t="str">
        <f t="shared" si="443"/>
        <v/>
      </c>
    </row>
    <row r="25177" spans="8:8" x14ac:dyDescent="0.3">
      <c r="H25177" t="str">
        <f t="shared" si="443"/>
        <v/>
      </c>
    </row>
    <row r="25178" spans="8:8" x14ac:dyDescent="0.3">
      <c r="H25178" t="str">
        <f t="shared" si="443"/>
        <v/>
      </c>
    </row>
    <row r="25179" spans="8:8" x14ac:dyDescent="0.3">
      <c r="H25179" t="str">
        <f t="shared" si="443"/>
        <v/>
      </c>
    </row>
    <row r="25180" spans="8:8" x14ac:dyDescent="0.3">
      <c r="H25180" t="str">
        <f t="shared" si="443"/>
        <v/>
      </c>
    </row>
    <row r="25181" spans="8:8" x14ac:dyDescent="0.3">
      <c r="H25181" t="str">
        <f t="shared" si="443"/>
        <v/>
      </c>
    </row>
    <row r="25182" spans="8:8" x14ac:dyDescent="0.3">
      <c r="H25182" t="str">
        <f t="shared" si="443"/>
        <v/>
      </c>
    </row>
    <row r="25183" spans="8:8" x14ac:dyDescent="0.3">
      <c r="H25183" t="str">
        <f t="shared" si="443"/>
        <v/>
      </c>
    </row>
    <row r="25184" spans="8:8" x14ac:dyDescent="0.3">
      <c r="H25184" t="str">
        <f t="shared" si="443"/>
        <v/>
      </c>
    </row>
    <row r="25185" spans="8:8" x14ac:dyDescent="0.3">
      <c r="H25185" t="str">
        <f t="shared" si="443"/>
        <v/>
      </c>
    </row>
    <row r="25186" spans="8:8" x14ac:dyDescent="0.3">
      <c r="H25186" t="str">
        <f t="shared" si="443"/>
        <v/>
      </c>
    </row>
    <row r="25187" spans="8:8" x14ac:dyDescent="0.3">
      <c r="H25187" t="str">
        <f t="shared" si="443"/>
        <v/>
      </c>
    </row>
    <row r="25188" spans="8:8" x14ac:dyDescent="0.3">
      <c r="H25188" t="str">
        <f t="shared" si="443"/>
        <v/>
      </c>
    </row>
    <row r="25189" spans="8:8" x14ac:dyDescent="0.3">
      <c r="H25189" t="str">
        <f t="shared" si="443"/>
        <v/>
      </c>
    </row>
    <row r="25190" spans="8:8" x14ac:dyDescent="0.3">
      <c r="H25190" t="str">
        <f t="shared" si="443"/>
        <v/>
      </c>
    </row>
    <row r="25191" spans="8:8" x14ac:dyDescent="0.3">
      <c r="H25191" t="str">
        <f t="shared" si="443"/>
        <v/>
      </c>
    </row>
    <row r="25192" spans="8:8" x14ac:dyDescent="0.3">
      <c r="H25192" t="str">
        <f t="shared" si="443"/>
        <v/>
      </c>
    </row>
    <row r="25193" spans="8:8" x14ac:dyDescent="0.3">
      <c r="H25193" t="str">
        <f t="shared" si="443"/>
        <v/>
      </c>
    </row>
    <row r="25194" spans="8:8" x14ac:dyDescent="0.3">
      <c r="H25194" t="str">
        <f t="shared" si="443"/>
        <v/>
      </c>
    </row>
    <row r="25195" spans="8:8" x14ac:dyDescent="0.3">
      <c r="H25195" t="str">
        <f t="shared" si="443"/>
        <v/>
      </c>
    </row>
    <row r="25196" spans="8:8" x14ac:dyDescent="0.3">
      <c r="H25196" t="str">
        <f t="shared" si="443"/>
        <v/>
      </c>
    </row>
    <row r="25197" spans="8:8" x14ac:dyDescent="0.3">
      <c r="H25197" t="str">
        <f t="shared" si="443"/>
        <v/>
      </c>
    </row>
    <row r="25198" spans="8:8" x14ac:dyDescent="0.3">
      <c r="H25198" t="str">
        <f t="shared" si="443"/>
        <v/>
      </c>
    </row>
    <row r="25199" spans="8:8" x14ac:dyDescent="0.3">
      <c r="H25199" t="str">
        <f t="shared" si="443"/>
        <v/>
      </c>
    </row>
    <row r="25200" spans="8:8" x14ac:dyDescent="0.3">
      <c r="H25200" t="str">
        <f t="shared" si="443"/>
        <v/>
      </c>
    </row>
    <row r="25201" spans="8:8" x14ac:dyDescent="0.3">
      <c r="H25201" t="str">
        <f t="shared" si="443"/>
        <v/>
      </c>
    </row>
    <row r="25202" spans="8:8" x14ac:dyDescent="0.3">
      <c r="H25202" t="str">
        <f t="shared" si="443"/>
        <v/>
      </c>
    </row>
    <row r="25203" spans="8:8" x14ac:dyDescent="0.3">
      <c r="H25203" t="str">
        <f t="shared" si="443"/>
        <v/>
      </c>
    </row>
    <row r="25204" spans="8:8" x14ac:dyDescent="0.3">
      <c r="H25204" t="str">
        <f t="shared" si="443"/>
        <v/>
      </c>
    </row>
    <row r="25205" spans="8:8" x14ac:dyDescent="0.3">
      <c r="H25205" t="str">
        <f t="shared" si="443"/>
        <v/>
      </c>
    </row>
    <row r="25206" spans="8:8" x14ac:dyDescent="0.3">
      <c r="H25206" t="str">
        <f t="shared" si="443"/>
        <v/>
      </c>
    </row>
    <row r="25207" spans="8:8" x14ac:dyDescent="0.3">
      <c r="H25207" t="str">
        <f t="shared" si="443"/>
        <v/>
      </c>
    </row>
    <row r="25208" spans="8:8" x14ac:dyDescent="0.3">
      <c r="H25208" t="str">
        <f t="shared" si="443"/>
        <v/>
      </c>
    </row>
    <row r="25209" spans="8:8" x14ac:dyDescent="0.3">
      <c r="H25209" t="str">
        <f t="shared" si="443"/>
        <v/>
      </c>
    </row>
    <row r="25210" spans="8:8" x14ac:dyDescent="0.3">
      <c r="H25210" t="str">
        <f t="shared" si="443"/>
        <v/>
      </c>
    </row>
    <row r="25211" spans="8:8" x14ac:dyDescent="0.3">
      <c r="H25211" t="str">
        <f t="shared" si="443"/>
        <v/>
      </c>
    </row>
    <row r="25212" spans="8:8" x14ac:dyDescent="0.3">
      <c r="H25212" t="str">
        <f t="shared" si="443"/>
        <v/>
      </c>
    </row>
    <row r="25213" spans="8:8" x14ac:dyDescent="0.3">
      <c r="H25213" t="str">
        <f t="shared" si="443"/>
        <v/>
      </c>
    </row>
    <row r="25214" spans="8:8" x14ac:dyDescent="0.3">
      <c r="H25214" t="str">
        <f t="shared" si="443"/>
        <v/>
      </c>
    </row>
    <row r="25215" spans="8:8" x14ac:dyDescent="0.3">
      <c r="H25215" t="str">
        <f t="shared" si="443"/>
        <v/>
      </c>
    </row>
    <row r="25216" spans="8:8" x14ac:dyDescent="0.3">
      <c r="H25216" t="str">
        <f t="shared" si="443"/>
        <v/>
      </c>
    </row>
    <row r="25217" spans="8:8" x14ac:dyDescent="0.3">
      <c r="H25217" t="str">
        <f t="shared" si="443"/>
        <v/>
      </c>
    </row>
    <row r="25218" spans="8:8" x14ac:dyDescent="0.3">
      <c r="H25218" t="str">
        <f t="shared" si="443"/>
        <v/>
      </c>
    </row>
    <row r="25219" spans="8:8" x14ac:dyDescent="0.3">
      <c r="H25219" t="str">
        <f t="shared" si="443"/>
        <v/>
      </c>
    </row>
    <row r="25220" spans="8:8" x14ac:dyDescent="0.3">
      <c r="H25220" t="str">
        <f t="shared" si="443"/>
        <v/>
      </c>
    </row>
    <row r="25221" spans="8:8" x14ac:dyDescent="0.3">
      <c r="H25221" t="str">
        <f t="shared" si="443"/>
        <v/>
      </c>
    </row>
    <row r="25222" spans="8:8" x14ac:dyDescent="0.3">
      <c r="H25222" t="str">
        <f t="shared" si="443"/>
        <v/>
      </c>
    </row>
    <row r="25223" spans="8:8" x14ac:dyDescent="0.3">
      <c r="H25223" t="str">
        <f t="shared" si="443"/>
        <v/>
      </c>
    </row>
    <row r="25224" spans="8:8" x14ac:dyDescent="0.3">
      <c r="H25224" t="str">
        <f t="shared" si="443"/>
        <v/>
      </c>
    </row>
    <row r="25225" spans="8:8" x14ac:dyDescent="0.3">
      <c r="H25225" t="str">
        <f t="shared" si="443"/>
        <v/>
      </c>
    </row>
    <row r="25226" spans="8:8" x14ac:dyDescent="0.3">
      <c r="H25226" t="str">
        <f t="shared" si="443"/>
        <v/>
      </c>
    </row>
    <row r="25227" spans="8:8" x14ac:dyDescent="0.3">
      <c r="H25227" t="str">
        <f t="shared" si="443"/>
        <v/>
      </c>
    </row>
    <row r="25228" spans="8:8" x14ac:dyDescent="0.3">
      <c r="H25228" t="str">
        <f t="shared" si="443"/>
        <v/>
      </c>
    </row>
    <row r="25229" spans="8:8" x14ac:dyDescent="0.3">
      <c r="H25229" t="str">
        <f t="shared" si="443"/>
        <v/>
      </c>
    </row>
    <row r="25230" spans="8:8" x14ac:dyDescent="0.3">
      <c r="H25230" t="str">
        <f t="shared" si="443"/>
        <v/>
      </c>
    </row>
    <row r="25231" spans="8:8" x14ac:dyDescent="0.3">
      <c r="H25231" t="str">
        <f t="shared" si="443"/>
        <v/>
      </c>
    </row>
    <row r="25232" spans="8:8" x14ac:dyDescent="0.3">
      <c r="H25232" t="str">
        <f t="shared" si="443"/>
        <v/>
      </c>
    </row>
    <row r="25233" spans="8:8" x14ac:dyDescent="0.3">
      <c r="H25233" t="str">
        <f t="shared" si="443"/>
        <v/>
      </c>
    </row>
    <row r="25234" spans="8:8" x14ac:dyDescent="0.3">
      <c r="H25234" t="str">
        <f t="shared" si="443"/>
        <v/>
      </c>
    </row>
    <row r="25235" spans="8:8" x14ac:dyDescent="0.3">
      <c r="H25235" t="str">
        <f t="shared" si="443"/>
        <v/>
      </c>
    </row>
    <row r="25236" spans="8:8" x14ac:dyDescent="0.3">
      <c r="H25236" t="str">
        <f t="shared" si="443"/>
        <v/>
      </c>
    </row>
    <row r="25237" spans="8:8" x14ac:dyDescent="0.3">
      <c r="H25237" t="str">
        <f t="shared" si="443"/>
        <v/>
      </c>
    </row>
    <row r="25238" spans="8:8" x14ac:dyDescent="0.3">
      <c r="H25238" t="str">
        <f t="shared" si="443"/>
        <v/>
      </c>
    </row>
    <row r="25239" spans="8:8" x14ac:dyDescent="0.3">
      <c r="H25239" t="str">
        <f t="shared" ref="H25239:H25302" si="444">IF(B25239="","",$C$12)</f>
        <v/>
      </c>
    </row>
    <row r="25240" spans="8:8" x14ac:dyDescent="0.3">
      <c r="H25240" t="str">
        <f t="shared" si="444"/>
        <v/>
      </c>
    </row>
    <row r="25241" spans="8:8" x14ac:dyDescent="0.3">
      <c r="H25241" t="str">
        <f t="shared" si="444"/>
        <v/>
      </c>
    </row>
    <row r="25242" spans="8:8" x14ac:dyDescent="0.3">
      <c r="H25242" t="str">
        <f t="shared" si="444"/>
        <v/>
      </c>
    </row>
    <row r="25243" spans="8:8" x14ac:dyDescent="0.3">
      <c r="H25243" t="str">
        <f t="shared" si="444"/>
        <v/>
      </c>
    </row>
    <row r="25244" spans="8:8" x14ac:dyDescent="0.3">
      <c r="H25244" t="str">
        <f t="shared" si="444"/>
        <v/>
      </c>
    </row>
    <row r="25245" spans="8:8" x14ac:dyDescent="0.3">
      <c r="H25245" t="str">
        <f t="shared" si="444"/>
        <v/>
      </c>
    </row>
    <row r="25246" spans="8:8" x14ac:dyDescent="0.3">
      <c r="H25246" t="str">
        <f t="shared" si="444"/>
        <v/>
      </c>
    </row>
    <row r="25247" spans="8:8" x14ac:dyDescent="0.3">
      <c r="H25247" t="str">
        <f t="shared" si="444"/>
        <v/>
      </c>
    </row>
    <row r="25248" spans="8:8" x14ac:dyDescent="0.3">
      <c r="H25248" t="str">
        <f t="shared" si="444"/>
        <v/>
      </c>
    </row>
    <row r="25249" spans="8:8" x14ac:dyDescent="0.3">
      <c r="H25249" t="str">
        <f t="shared" si="444"/>
        <v/>
      </c>
    </row>
    <row r="25250" spans="8:8" x14ac:dyDescent="0.3">
      <c r="H25250" t="str">
        <f t="shared" si="444"/>
        <v/>
      </c>
    </row>
    <row r="25251" spans="8:8" x14ac:dyDescent="0.3">
      <c r="H25251" t="str">
        <f t="shared" si="444"/>
        <v/>
      </c>
    </row>
    <row r="25252" spans="8:8" x14ac:dyDescent="0.3">
      <c r="H25252" t="str">
        <f t="shared" si="444"/>
        <v/>
      </c>
    </row>
    <row r="25253" spans="8:8" x14ac:dyDescent="0.3">
      <c r="H25253" t="str">
        <f t="shared" si="444"/>
        <v/>
      </c>
    </row>
    <row r="25254" spans="8:8" x14ac:dyDescent="0.3">
      <c r="H25254" t="str">
        <f t="shared" si="444"/>
        <v/>
      </c>
    </row>
    <row r="25255" spans="8:8" x14ac:dyDescent="0.3">
      <c r="H25255" t="str">
        <f t="shared" si="444"/>
        <v/>
      </c>
    </row>
    <row r="25256" spans="8:8" x14ac:dyDescent="0.3">
      <c r="H25256" t="str">
        <f t="shared" si="444"/>
        <v/>
      </c>
    </row>
    <row r="25257" spans="8:8" x14ac:dyDescent="0.3">
      <c r="H25257" t="str">
        <f t="shared" si="444"/>
        <v/>
      </c>
    </row>
    <row r="25258" spans="8:8" x14ac:dyDescent="0.3">
      <c r="H25258" t="str">
        <f t="shared" si="444"/>
        <v/>
      </c>
    </row>
    <row r="25259" spans="8:8" x14ac:dyDescent="0.3">
      <c r="H25259" t="str">
        <f t="shared" si="444"/>
        <v/>
      </c>
    </row>
    <row r="25260" spans="8:8" x14ac:dyDescent="0.3">
      <c r="H25260" t="str">
        <f t="shared" si="444"/>
        <v/>
      </c>
    </row>
    <row r="25261" spans="8:8" x14ac:dyDescent="0.3">
      <c r="H25261" t="str">
        <f t="shared" si="444"/>
        <v/>
      </c>
    </row>
    <row r="25262" spans="8:8" x14ac:dyDescent="0.3">
      <c r="H25262" t="str">
        <f t="shared" si="444"/>
        <v/>
      </c>
    </row>
    <row r="25263" spans="8:8" x14ac:dyDescent="0.3">
      <c r="H25263" t="str">
        <f t="shared" si="444"/>
        <v/>
      </c>
    </row>
    <row r="25264" spans="8:8" x14ac:dyDescent="0.3">
      <c r="H25264" t="str">
        <f t="shared" si="444"/>
        <v/>
      </c>
    </row>
    <row r="25265" spans="8:8" x14ac:dyDescent="0.3">
      <c r="H25265" t="str">
        <f t="shared" si="444"/>
        <v/>
      </c>
    </row>
    <row r="25266" spans="8:8" x14ac:dyDescent="0.3">
      <c r="H25266" t="str">
        <f t="shared" si="444"/>
        <v/>
      </c>
    </row>
    <row r="25267" spans="8:8" x14ac:dyDescent="0.3">
      <c r="H25267" t="str">
        <f t="shared" si="444"/>
        <v/>
      </c>
    </row>
    <row r="25268" spans="8:8" x14ac:dyDescent="0.3">
      <c r="H25268" t="str">
        <f t="shared" si="444"/>
        <v/>
      </c>
    </row>
    <row r="25269" spans="8:8" x14ac:dyDescent="0.3">
      <c r="H25269" t="str">
        <f t="shared" si="444"/>
        <v/>
      </c>
    </row>
    <row r="25270" spans="8:8" x14ac:dyDescent="0.3">
      <c r="H25270" t="str">
        <f t="shared" si="444"/>
        <v/>
      </c>
    </row>
    <row r="25271" spans="8:8" x14ac:dyDescent="0.3">
      <c r="H25271" t="str">
        <f t="shared" si="444"/>
        <v/>
      </c>
    </row>
    <row r="25272" spans="8:8" x14ac:dyDescent="0.3">
      <c r="H25272" t="str">
        <f t="shared" si="444"/>
        <v/>
      </c>
    </row>
    <row r="25273" spans="8:8" x14ac:dyDescent="0.3">
      <c r="H25273" t="str">
        <f t="shared" si="444"/>
        <v/>
      </c>
    </row>
    <row r="25274" spans="8:8" x14ac:dyDescent="0.3">
      <c r="H25274" t="str">
        <f t="shared" si="444"/>
        <v/>
      </c>
    </row>
    <row r="25275" spans="8:8" x14ac:dyDescent="0.3">
      <c r="H25275" t="str">
        <f t="shared" si="444"/>
        <v/>
      </c>
    </row>
    <row r="25276" spans="8:8" x14ac:dyDescent="0.3">
      <c r="H25276" t="str">
        <f t="shared" si="444"/>
        <v/>
      </c>
    </row>
    <row r="25277" spans="8:8" x14ac:dyDescent="0.3">
      <c r="H25277" t="str">
        <f t="shared" si="444"/>
        <v/>
      </c>
    </row>
    <row r="25278" spans="8:8" x14ac:dyDescent="0.3">
      <c r="H25278" t="str">
        <f t="shared" si="444"/>
        <v/>
      </c>
    </row>
    <row r="25279" spans="8:8" x14ac:dyDescent="0.3">
      <c r="H25279" t="str">
        <f t="shared" si="444"/>
        <v/>
      </c>
    </row>
    <row r="25280" spans="8:8" x14ac:dyDescent="0.3">
      <c r="H25280" t="str">
        <f t="shared" si="444"/>
        <v/>
      </c>
    </row>
    <row r="25281" spans="8:8" x14ac:dyDescent="0.3">
      <c r="H25281" t="str">
        <f t="shared" si="444"/>
        <v/>
      </c>
    </row>
    <row r="25282" spans="8:8" x14ac:dyDescent="0.3">
      <c r="H25282" t="str">
        <f t="shared" si="444"/>
        <v/>
      </c>
    </row>
    <row r="25283" spans="8:8" x14ac:dyDescent="0.3">
      <c r="H25283" t="str">
        <f t="shared" si="444"/>
        <v/>
      </c>
    </row>
    <row r="25284" spans="8:8" x14ac:dyDescent="0.3">
      <c r="H25284" t="str">
        <f t="shared" si="444"/>
        <v/>
      </c>
    </row>
    <row r="25285" spans="8:8" x14ac:dyDescent="0.3">
      <c r="H25285" t="str">
        <f t="shared" si="444"/>
        <v/>
      </c>
    </row>
    <row r="25286" spans="8:8" x14ac:dyDescent="0.3">
      <c r="H25286" t="str">
        <f t="shared" si="444"/>
        <v/>
      </c>
    </row>
    <row r="25287" spans="8:8" x14ac:dyDescent="0.3">
      <c r="H25287" t="str">
        <f t="shared" si="444"/>
        <v/>
      </c>
    </row>
    <row r="25288" spans="8:8" x14ac:dyDescent="0.3">
      <c r="H25288" t="str">
        <f t="shared" si="444"/>
        <v/>
      </c>
    </row>
    <row r="25289" spans="8:8" x14ac:dyDescent="0.3">
      <c r="H25289" t="str">
        <f t="shared" si="444"/>
        <v/>
      </c>
    </row>
    <row r="25290" spans="8:8" x14ac:dyDescent="0.3">
      <c r="H25290" t="str">
        <f t="shared" si="444"/>
        <v/>
      </c>
    </row>
    <row r="25291" spans="8:8" x14ac:dyDescent="0.3">
      <c r="H25291" t="str">
        <f t="shared" si="444"/>
        <v/>
      </c>
    </row>
    <row r="25292" spans="8:8" x14ac:dyDescent="0.3">
      <c r="H25292" t="str">
        <f t="shared" si="444"/>
        <v/>
      </c>
    </row>
    <row r="25293" spans="8:8" x14ac:dyDescent="0.3">
      <c r="H25293" t="str">
        <f t="shared" si="444"/>
        <v/>
      </c>
    </row>
    <row r="25294" spans="8:8" x14ac:dyDescent="0.3">
      <c r="H25294" t="str">
        <f t="shared" si="444"/>
        <v/>
      </c>
    </row>
    <row r="25295" spans="8:8" x14ac:dyDescent="0.3">
      <c r="H25295" t="str">
        <f t="shared" si="444"/>
        <v/>
      </c>
    </row>
    <row r="25296" spans="8:8" x14ac:dyDescent="0.3">
      <c r="H25296" t="str">
        <f t="shared" si="444"/>
        <v/>
      </c>
    </row>
    <row r="25297" spans="8:8" x14ac:dyDescent="0.3">
      <c r="H25297" t="str">
        <f t="shared" si="444"/>
        <v/>
      </c>
    </row>
    <row r="25298" spans="8:8" x14ac:dyDescent="0.3">
      <c r="H25298" t="str">
        <f t="shared" si="444"/>
        <v/>
      </c>
    </row>
    <row r="25299" spans="8:8" x14ac:dyDescent="0.3">
      <c r="H25299" t="str">
        <f t="shared" si="444"/>
        <v/>
      </c>
    </row>
    <row r="25300" spans="8:8" x14ac:dyDescent="0.3">
      <c r="H25300" t="str">
        <f t="shared" si="444"/>
        <v/>
      </c>
    </row>
    <row r="25301" spans="8:8" x14ac:dyDescent="0.3">
      <c r="H25301" t="str">
        <f t="shared" si="444"/>
        <v/>
      </c>
    </row>
    <row r="25302" spans="8:8" x14ac:dyDescent="0.3">
      <c r="H25302" t="str">
        <f t="shared" si="444"/>
        <v/>
      </c>
    </row>
    <row r="25303" spans="8:8" x14ac:dyDescent="0.3">
      <c r="H25303" t="str">
        <f t="shared" ref="H25303:H25366" si="445">IF(B25303="","",$C$12)</f>
        <v/>
      </c>
    </row>
    <row r="25304" spans="8:8" x14ac:dyDescent="0.3">
      <c r="H25304" t="str">
        <f t="shared" si="445"/>
        <v/>
      </c>
    </row>
    <row r="25305" spans="8:8" x14ac:dyDescent="0.3">
      <c r="H25305" t="str">
        <f t="shared" si="445"/>
        <v/>
      </c>
    </row>
    <row r="25306" spans="8:8" x14ac:dyDescent="0.3">
      <c r="H25306" t="str">
        <f t="shared" si="445"/>
        <v/>
      </c>
    </row>
    <row r="25307" spans="8:8" x14ac:dyDescent="0.3">
      <c r="H25307" t="str">
        <f t="shared" si="445"/>
        <v/>
      </c>
    </row>
    <row r="25308" spans="8:8" x14ac:dyDescent="0.3">
      <c r="H25308" t="str">
        <f t="shared" si="445"/>
        <v/>
      </c>
    </row>
    <row r="25309" spans="8:8" x14ac:dyDescent="0.3">
      <c r="H25309" t="str">
        <f t="shared" si="445"/>
        <v/>
      </c>
    </row>
    <row r="25310" spans="8:8" x14ac:dyDescent="0.3">
      <c r="H25310" t="str">
        <f t="shared" si="445"/>
        <v/>
      </c>
    </row>
    <row r="25311" spans="8:8" x14ac:dyDescent="0.3">
      <c r="H25311" t="str">
        <f t="shared" si="445"/>
        <v/>
      </c>
    </row>
    <row r="25312" spans="8:8" x14ac:dyDescent="0.3">
      <c r="H25312" t="str">
        <f t="shared" si="445"/>
        <v/>
      </c>
    </row>
    <row r="25313" spans="8:8" x14ac:dyDescent="0.3">
      <c r="H25313" t="str">
        <f t="shared" si="445"/>
        <v/>
      </c>
    </row>
    <row r="25314" spans="8:8" x14ac:dyDescent="0.3">
      <c r="H25314" t="str">
        <f t="shared" si="445"/>
        <v/>
      </c>
    </row>
    <row r="25315" spans="8:8" x14ac:dyDescent="0.3">
      <c r="H25315" t="str">
        <f t="shared" si="445"/>
        <v/>
      </c>
    </row>
    <row r="25316" spans="8:8" x14ac:dyDescent="0.3">
      <c r="H25316" t="str">
        <f t="shared" si="445"/>
        <v/>
      </c>
    </row>
    <row r="25317" spans="8:8" x14ac:dyDescent="0.3">
      <c r="H25317" t="str">
        <f t="shared" si="445"/>
        <v/>
      </c>
    </row>
    <row r="25318" spans="8:8" x14ac:dyDescent="0.3">
      <c r="H25318" t="str">
        <f t="shared" si="445"/>
        <v/>
      </c>
    </row>
    <row r="25319" spans="8:8" x14ac:dyDescent="0.3">
      <c r="H25319" t="str">
        <f t="shared" si="445"/>
        <v/>
      </c>
    </row>
    <row r="25320" spans="8:8" x14ac:dyDescent="0.3">
      <c r="H25320" t="str">
        <f t="shared" si="445"/>
        <v/>
      </c>
    </row>
    <row r="25321" spans="8:8" x14ac:dyDescent="0.3">
      <c r="H25321" t="str">
        <f t="shared" si="445"/>
        <v/>
      </c>
    </row>
    <row r="25322" spans="8:8" x14ac:dyDescent="0.3">
      <c r="H25322" t="str">
        <f t="shared" si="445"/>
        <v/>
      </c>
    </row>
    <row r="25323" spans="8:8" x14ac:dyDescent="0.3">
      <c r="H25323" t="str">
        <f t="shared" si="445"/>
        <v/>
      </c>
    </row>
    <row r="25324" spans="8:8" x14ac:dyDescent="0.3">
      <c r="H25324" t="str">
        <f t="shared" si="445"/>
        <v/>
      </c>
    </row>
    <row r="25325" spans="8:8" x14ac:dyDescent="0.3">
      <c r="H25325" t="str">
        <f t="shared" si="445"/>
        <v/>
      </c>
    </row>
    <row r="25326" spans="8:8" x14ac:dyDescent="0.3">
      <c r="H25326" t="str">
        <f t="shared" si="445"/>
        <v/>
      </c>
    </row>
    <row r="25327" spans="8:8" x14ac:dyDescent="0.3">
      <c r="H25327" t="str">
        <f t="shared" si="445"/>
        <v/>
      </c>
    </row>
    <row r="25328" spans="8:8" x14ac:dyDescent="0.3">
      <c r="H25328" t="str">
        <f t="shared" si="445"/>
        <v/>
      </c>
    </row>
    <row r="25329" spans="8:8" x14ac:dyDescent="0.3">
      <c r="H25329" t="str">
        <f t="shared" si="445"/>
        <v/>
      </c>
    </row>
    <row r="25330" spans="8:8" x14ac:dyDescent="0.3">
      <c r="H25330" t="str">
        <f t="shared" si="445"/>
        <v/>
      </c>
    </row>
    <row r="25331" spans="8:8" x14ac:dyDescent="0.3">
      <c r="H25331" t="str">
        <f t="shared" si="445"/>
        <v/>
      </c>
    </row>
    <row r="25332" spans="8:8" x14ac:dyDescent="0.3">
      <c r="H25332" t="str">
        <f t="shared" si="445"/>
        <v/>
      </c>
    </row>
    <row r="25333" spans="8:8" x14ac:dyDescent="0.3">
      <c r="H25333" t="str">
        <f t="shared" si="445"/>
        <v/>
      </c>
    </row>
    <row r="25334" spans="8:8" x14ac:dyDescent="0.3">
      <c r="H25334" t="str">
        <f t="shared" si="445"/>
        <v/>
      </c>
    </row>
    <row r="25335" spans="8:8" x14ac:dyDescent="0.3">
      <c r="H25335" t="str">
        <f t="shared" si="445"/>
        <v/>
      </c>
    </row>
    <row r="25336" spans="8:8" x14ac:dyDescent="0.3">
      <c r="H25336" t="str">
        <f t="shared" si="445"/>
        <v/>
      </c>
    </row>
    <row r="25337" spans="8:8" x14ac:dyDescent="0.3">
      <c r="H25337" t="str">
        <f t="shared" si="445"/>
        <v/>
      </c>
    </row>
    <row r="25338" spans="8:8" x14ac:dyDescent="0.3">
      <c r="H25338" t="str">
        <f t="shared" si="445"/>
        <v/>
      </c>
    </row>
    <row r="25339" spans="8:8" x14ac:dyDescent="0.3">
      <c r="H25339" t="str">
        <f t="shared" si="445"/>
        <v/>
      </c>
    </row>
    <row r="25340" spans="8:8" x14ac:dyDescent="0.3">
      <c r="H25340" t="str">
        <f t="shared" si="445"/>
        <v/>
      </c>
    </row>
    <row r="25341" spans="8:8" x14ac:dyDescent="0.3">
      <c r="H25341" t="str">
        <f t="shared" si="445"/>
        <v/>
      </c>
    </row>
    <row r="25342" spans="8:8" x14ac:dyDescent="0.3">
      <c r="H25342" t="str">
        <f t="shared" si="445"/>
        <v/>
      </c>
    </row>
    <row r="25343" spans="8:8" x14ac:dyDescent="0.3">
      <c r="H25343" t="str">
        <f t="shared" si="445"/>
        <v/>
      </c>
    </row>
    <row r="25344" spans="8:8" x14ac:dyDescent="0.3">
      <c r="H25344" t="str">
        <f t="shared" si="445"/>
        <v/>
      </c>
    </row>
    <row r="25345" spans="8:8" x14ac:dyDescent="0.3">
      <c r="H25345" t="str">
        <f t="shared" si="445"/>
        <v/>
      </c>
    </row>
    <row r="25346" spans="8:8" x14ac:dyDescent="0.3">
      <c r="H25346" t="str">
        <f t="shared" si="445"/>
        <v/>
      </c>
    </row>
    <row r="25347" spans="8:8" x14ac:dyDescent="0.3">
      <c r="H25347" t="str">
        <f t="shared" si="445"/>
        <v/>
      </c>
    </row>
    <row r="25348" spans="8:8" x14ac:dyDescent="0.3">
      <c r="H25348" t="str">
        <f t="shared" si="445"/>
        <v/>
      </c>
    </row>
    <row r="25349" spans="8:8" x14ac:dyDescent="0.3">
      <c r="H25349" t="str">
        <f t="shared" si="445"/>
        <v/>
      </c>
    </row>
    <row r="25350" spans="8:8" x14ac:dyDescent="0.3">
      <c r="H25350" t="str">
        <f t="shared" si="445"/>
        <v/>
      </c>
    </row>
    <row r="25351" spans="8:8" x14ac:dyDescent="0.3">
      <c r="H25351" t="str">
        <f t="shared" si="445"/>
        <v/>
      </c>
    </row>
    <row r="25352" spans="8:8" x14ac:dyDescent="0.3">
      <c r="H25352" t="str">
        <f t="shared" si="445"/>
        <v/>
      </c>
    </row>
    <row r="25353" spans="8:8" x14ac:dyDescent="0.3">
      <c r="H25353" t="str">
        <f t="shared" si="445"/>
        <v/>
      </c>
    </row>
    <row r="25354" spans="8:8" x14ac:dyDescent="0.3">
      <c r="H25354" t="str">
        <f t="shared" si="445"/>
        <v/>
      </c>
    </row>
    <row r="25355" spans="8:8" x14ac:dyDescent="0.3">
      <c r="H25355" t="str">
        <f t="shared" si="445"/>
        <v/>
      </c>
    </row>
    <row r="25356" spans="8:8" x14ac:dyDescent="0.3">
      <c r="H25356" t="str">
        <f t="shared" si="445"/>
        <v/>
      </c>
    </row>
    <row r="25357" spans="8:8" x14ac:dyDescent="0.3">
      <c r="H25357" t="str">
        <f t="shared" si="445"/>
        <v/>
      </c>
    </row>
    <row r="25358" spans="8:8" x14ac:dyDescent="0.3">
      <c r="H25358" t="str">
        <f t="shared" si="445"/>
        <v/>
      </c>
    </row>
    <row r="25359" spans="8:8" x14ac:dyDescent="0.3">
      <c r="H25359" t="str">
        <f t="shared" si="445"/>
        <v/>
      </c>
    </row>
    <row r="25360" spans="8:8" x14ac:dyDescent="0.3">
      <c r="H25360" t="str">
        <f t="shared" si="445"/>
        <v/>
      </c>
    </row>
    <row r="25361" spans="8:8" x14ac:dyDescent="0.3">
      <c r="H25361" t="str">
        <f t="shared" si="445"/>
        <v/>
      </c>
    </row>
    <row r="25362" spans="8:8" x14ac:dyDescent="0.3">
      <c r="H25362" t="str">
        <f t="shared" si="445"/>
        <v/>
      </c>
    </row>
    <row r="25363" spans="8:8" x14ac:dyDescent="0.3">
      <c r="H25363" t="str">
        <f t="shared" si="445"/>
        <v/>
      </c>
    </row>
    <row r="25364" spans="8:8" x14ac:dyDescent="0.3">
      <c r="H25364" t="str">
        <f t="shared" si="445"/>
        <v/>
      </c>
    </row>
    <row r="25365" spans="8:8" x14ac:dyDescent="0.3">
      <c r="H25365" t="str">
        <f t="shared" si="445"/>
        <v/>
      </c>
    </row>
    <row r="25366" spans="8:8" x14ac:dyDescent="0.3">
      <c r="H25366" t="str">
        <f t="shared" si="445"/>
        <v/>
      </c>
    </row>
    <row r="25367" spans="8:8" x14ac:dyDescent="0.3">
      <c r="H25367" t="str">
        <f t="shared" ref="H25367:H25430" si="446">IF(B25367="","",$C$12)</f>
        <v/>
      </c>
    </row>
    <row r="25368" spans="8:8" x14ac:dyDescent="0.3">
      <c r="H25368" t="str">
        <f t="shared" si="446"/>
        <v/>
      </c>
    </row>
    <row r="25369" spans="8:8" x14ac:dyDescent="0.3">
      <c r="H25369" t="str">
        <f t="shared" si="446"/>
        <v/>
      </c>
    </row>
    <row r="25370" spans="8:8" x14ac:dyDescent="0.3">
      <c r="H25370" t="str">
        <f t="shared" si="446"/>
        <v/>
      </c>
    </row>
    <row r="25371" spans="8:8" x14ac:dyDescent="0.3">
      <c r="H25371" t="str">
        <f t="shared" si="446"/>
        <v/>
      </c>
    </row>
    <row r="25372" spans="8:8" x14ac:dyDescent="0.3">
      <c r="H25372" t="str">
        <f t="shared" si="446"/>
        <v/>
      </c>
    </row>
    <row r="25373" spans="8:8" x14ac:dyDescent="0.3">
      <c r="H25373" t="str">
        <f t="shared" si="446"/>
        <v/>
      </c>
    </row>
    <row r="25374" spans="8:8" x14ac:dyDescent="0.3">
      <c r="H25374" t="str">
        <f t="shared" si="446"/>
        <v/>
      </c>
    </row>
    <row r="25375" spans="8:8" x14ac:dyDescent="0.3">
      <c r="H25375" t="str">
        <f t="shared" si="446"/>
        <v/>
      </c>
    </row>
    <row r="25376" spans="8:8" x14ac:dyDescent="0.3">
      <c r="H25376" t="str">
        <f t="shared" si="446"/>
        <v/>
      </c>
    </row>
    <row r="25377" spans="8:8" x14ac:dyDescent="0.3">
      <c r="H25377" t="str">
        <f t="shared" si="446"/>
        <v/>
      </c>
    </row>
    <row r="25378" spans="8:8" x14ac:dyDescent="0.3">
      <c r="H25378" t="str">
        <f t="shared" si="446"/>
        <v/>
      </c>
    </row>
    <row r="25379" spans="8:8" x14ac:dyDescent="0.3">
      <c r="H25379" t="str">
        <f t="shared" si="446"/>
        <v/>
      </c>
    </row>
    <row r="25380" spans="8:8" x14ac:dyDescent="0.3">
      <c r="H25380" t="str">
        <f t="shared" si="446"/>
        <v/>
      </c>
    </row>
    <row r="25381" spans="8:8" x14ac:dyDescent="0.3">
      <c r="H25381" t="str">
        <f t="shared" si="446"/>
        <v/>
      </c>
    </row>
    <row r="25382" spans="8:8" x14ac:dyDescent="0.3">
      <c r="H25382" t="str">
        <f t="shared" si="446"/>
        <v/>
      </c>
    </row>
    <row r="25383" spans="8:8" x14ac:dyDescent="0.3">
      <c r="H25383" t="str">
        <f t="shared" si="446"/>
        <v/>
      </c>
    </row>
    <row r="25384" spans="8:8" x14ac:dyDescent="0.3">
      <c r="H25384" t="str">
        <f t="shared" si="446"/>
        <v/>
      </c>
    </row>
    <row r="25385" spans="8:8" x14ac:dyDescent="0.3">
      <c r="H25385" t="str">
        <f t="shared" si="446"/>
        <v/>
      </c>
    </row>
    <row r="25386" spans="8:8" x14ac:dyDescent="0.3">
      <c r="H25386" t="str">
        <f t="shared" si="446"/>
        <v/>
      </c>
    </row>
    <row r="25387" spans="8:8" x14ac:dyDescent="0.3">
      <c r="H25387" t="str">
        <f t="shared" si="446"/>
        <v/>
      </c>
    </row>
    <row r="25388" spans="8:8" x14ac:dyDescent="0.3">
      <c r="H25388" t="str">
        <f t="shared" si="446"/>
        <v/>
      </c>
    </row>
    <row r="25389" spans="8:8" x14ac:dyDescent="0.3">
      <c r="H25389" t="str">
        <f t="shared" si="446"/>
        <v/>
      </c>
    </row>
    <row r="25390" spans="8:8" x14ac:dyDescent="0.3">
      <c r="H25390" t="str">
        <f t="shared" si="446"/>
        <v/>
      </c>
    </row>
    <row r="25391" spans="8:8" x14ac:dyDescent="0.3">
      <c r="H25391" t="str">
        <f t="shared" si="446"/>
        <v/>
      </c>
    </row>
    <row r="25392" spans="8:8" x14ac:dyDescent="0.3">
      <c r="H25392" t="str">
        <f t="shared" si="446"/>
        <v/>
      </c>
    </row>
    <row r="25393" spans="8:8" x14ac:dyDescent="0.3">
      <c r="H25393" t="str">
        <f t="shared" si="446"/>
        <v/>
      </c>
    </row>
    <row r="25394" spans="8:8" x14ac:dyDescent="0.3">
      <c r="H25394" t="str">
        <f t="shared" si="446"/>
        <v/>
      </c>
    </row>
    <row r="25395" spans="8:8" x14ac:dyDescent="0.3">
      <c r="H25395" t="str">
        <f t="shared" si="446"/>
        <v/>
      </c>
    </row>
    <row r="25396" spans="8:8" x14ac:dyDescent="0.3">
      <c r="H25396" t="str">
        <f t="shared" si="446"/>
        <v/>
      </c>
    </row>
    <row r="25397" spans="8:8" x14ac:dyDescent="0.3">
      <c r="H25397" t="str">
        <f t="shared" si="446"/>
        <v/>
      </c>
    </row>
    <row r="25398" spans="8:8" x14ac:dyDescent="0.3">
      <c r="H25398" t="str">
        <f t="shared" si="446"/>
        <v/>
      </c>
    </row>
    <row r="25399" spans="8:8" x14ac:dyDescent="0.3">
      <c r="H25399" t="str">
        <f t="shared" si="446"/>
        <v/>
      </c>
    </row>
    <row r="25400" spans="8:8" x14ac:dyDescent="0.3">
      <c r="H25400" t="str">
        <f t="shared" si="446"/>
        <v/>
      </c>
    </row>
    <row r="25401" spans="8:8" x14ac:dyDescent="0.3">
      <c r="H25401" t="str">
        <f t="shared" si="446"/>
        <v/>
      </c>
    </row>
    <row r="25402" spans="8:8" x14ac:dyDescent="0.3">
      <c r="H25402" t="str">
        <f t="shared" si="446"/>
        <v/>
      </c>
    </row>
    <row r="25403" spans="8:8" x14ac:dyDescent="0.3">
      <c r="H25403" t="str">
        <f t="shared" si="446"/>
        <v/>
      </c>
    </row>
    <row r="25404" spans="8:8" x14ac:dyDescent="0.3">
      <c r="H25404" t="str">
        <f t="shared" si="446"/>
        <v/>
      </c>
    </row>
    <row r="25405" spans="8:8" x14ac:dyDescent="0.3">
      <c r="H25405" t="str">
        <f t="shared" si="446"/>
        <v/>
      </c>
    </row>
    <row r="25406" spans="8:8" x14ac:dyDescent="0.3">
      <c r="H25406" t="str">
        <f t="shared" si="446"/>
        <v/>
      </c>
    </row>
    <row r="25407" spans="8:8" x14ac:dyDescent="0.3">
      <c r="H25407" t="str">
        <f t="shared" si="446"/>
        <v/>
      </c>
    </row>
    <row r="25408" spans="8:8" x14ac:dyDescent="0.3">
      <c r="H25408" t="str">
        <f t="shared" si="446"/>
        <v/>
      </c>
    </row>
    <row r="25409" spans="8:8" x14ac:dyDescent="0.3">
      <c r="H25409" t="str">
        <f t="shared" si="446"/>
        <v/>
      </c>
    </row>
    <row r="25410" spans="8:8" x14ac:dyDescent="0.3">
      <c r="H25410" t="str">
        <f t="shared" si="446"/>
        <v/>
      </c>
    </row>
    <row r="25411" spans="8:8" x14ac:dyDescent="0.3">
      <c r="H25411" t="str">
        <f t="shared" si="446"/>
        <v/>
      </c>
    </row>
    <row r="25412" spans="8:8" x14ac:dyDescent="0.3">
      <c r="H25412" t="str">
        <f t="shared" si="446"/>
        <v/>
      </c>
    </row>
    <row r="25413" spans="8:8" x14ac:dyDescent="0.3">
      <c r="H25413" t="str">
        <f t="shared" si="446"/>
        <v/>
      </c>
    </row>
    <row r="25414" spans="8:8" x14ac:dyDescent="0.3">
      <c r="H25414" t="str">
        <f t="shared" si="446"/>
        <v/>
      </c>
    </row>
    <row r="25415" spans="8:8" x14ac:dyDescent="0.3">
      <c r="H25415" t="str">
        <f t="shared" si="446"/>
        <v/>
      </c>
    </row>
    <row r="25416" spans="8:8" x14ac:dyDescent="0.3">
      <c r="H25416" t="str">
        <f t="shared" si="446"/>
        <v/>
      </c>
    </row>
    <row r="25417" spans="8:8" x14ac:dyDescent="0.3">
      <c r="H25417" t="str">
        <f t="shared" si="446"/>
        <v/>
      </c>
    </row>
    <row r="25418" spans="8:8" x14ac:dyDescent="0.3">
      <c r="H25418" t="str">
        <f t="shared" si="446"/>
        <v/>
      </c>
    </row>
    <row r="25419" spans="8:8" x14ac:dyDescent="0.3">
      <c r="H25419" t="str">
        <f t="shared" si="446"/>
        <v/>
      </c>
    </row>
    <row r="25420" spans="8:8" x14ac:dyDescent="0.3">
      <c r="H25420" t="str">
        <f t="shared" si="446"/>
        <v/>
      </c>
    </row>
    <row r="25421" spans="8:8" x14ac:dyDescent="0.3">
      <c r="H25421" t="str">
        <f t="shared" si="446"/>
        <v/>
      </c>
    </row>
    <row r="25422" spans="8:8" x14ac:dyDescent="0.3">
      <c r="H25422" t="str">
        <f t="shared" si="446"/>
        <v/>
      </c>
    </row>
    <row r="25423" spans="8:8" x14ac:dyDescent="0.3">
      <c r="H25423" t="str">
        <f t="shared" si="446"/>
        <v/>
      </c>
    </row>
    <row r="25424" spans="8:8" x14ac:dyDescent="0.3">
      <c r="H25424" t="str">
        <f t="shared" si="446"/>
        <v/>
      </c>
    </row>
    <row r="25425" spans="8:8" x14ac:dyDescent="0.3">
      <c r="H25425" t="str">
        <f t="shared" si="446"/>
        <v/>
      </c>
    </row>
    <row r="25426" spans="8:8" x14ac:dyDescent="0.3">
      <c r="H25426" t="str">
        <f t="shared" si="446"/>
        <v/>
      </c>
    </row>
    <row r="25427" spans="8:8" x14ac:dyDescent="0.3">
      <c r="H25427" t="str">
        <f t="shared" si="446"/>
        <v/>
      </c>
    </row>
    <row r="25428" spans="8:8" x14ac:dyDescent="0.3">
      <c r="H25428" t="str">
        <f t="shared" si="446"/>
        <v/>
      </c>
    </row>
    <row r="25429" spans="8:8" x14ac:dyDescent="0.3">
      <c r="H25429" t="str">
        <f t="shared" si="446"/>
        <v/>
      </c>
    </row>
    <row r="25430" spans="8:8" x14ac:dyDescent="0.3">
      <c r="H25430" t="str">
        <f t="shared" si="446"/>
        <v/>
      </c>
    </row>
    <row r="25431" spans="8:8" x14ac:dyDescent="0.3">
      <c r="H25431" t="str">
        <f t="shared" ref="H25431:H25494" si="447">IF(B25431="","",$C$12)</f>
        <v/>
      </c>
    </row>
    <row r="25432" spans="8:8" x14ac:dyDescent="0.3">
      <c r="H25432" t="str">
        <f t="shared" si="447"/>
        <v/>
      </c>
    </row>
    <row r="25433" spans="8:8" x14ac:dyDescent="0.3">
      <c r="H25433" t="str">
        <f t="shared" si="447"/>
        <v/>
      </c>
    </row>
    <row r="25434" spans="8:8" x14ac:dyDescent="0.3">
      <c r="H25434" t="str">
        <f t="shared" si="447"/>
        <v/>
      </c>
    </row>
    <row r="25435" spans="8:8" x14ac:dyDescent="0.3">
      <c r="H25435" t="str">
        <f t="shared" si="447"/>
        <v/>
      </c>
    </row>
    <row r="25436" spans="8:8" x14ac:dyDescent="0.3">
      <c r="H25436" t="str">
        <f t="shared" si="447"/>
        <v/>
      </c>
    </row>
    <row r="25437" spans="8:8" x14ac:dyDescent="0.3">
      <c r="H25437" t="str">
        <f t="shared" si="447"/>
        <v/>
      </c>
    </row>
    <row r="25438" spans="8:8" x14ac:dyDescent="0.3">
      <c r="H25438" t="str">
        <f t="shared" si="447"/>
        <v/>
      </c>
    </row>
    <row r="25439" spans="8:8" x14ac:dyDescent="0.3">
      <c r="H25439" t="str">
        <f t="shared" si="447"/>
        <v/>
      </c>
    </row>
    <row r="25440" spans="8:8" x14ac:dyDescent="0.3">
      <c r="H25440" t="str">
        <f t="shared" si="447"/>
        <v/>
      </c>
    </row>
    <row r="25441" spans="8:8" x14ac:dyDescent="0.3">
      <c r="H25441" t="str">
        <f t="shared" si="447"/>
        <v/>
      </c>
    </row>
    <row r="25442" spans="8:8" x14ac:dyDescent="0.3">
      <c r="H25442" t="str">
        <f t="shared" si="447"/>
        <v/>
      </c>
    </row>
    <row r="25443" spans="8:8" x14ac:dyDescent="0.3">
      <c r="H25443" t="str">
        <f t="shared" si="447"/>
        <v/>
      </c>
    </row>
    <row r="25444" spans="8:8" x14ac:dyDescent="0.3">
      <c r="H25444" t="str">
        <f t="shared" si="447"/>
        <v/>
      </c>
    </row>
    <row r="25445" spans="8:8" x14ac:dyDescent="0.3">
      <c r="H25445" t="str">
        <f t="shared" si="447"/>
        <v/>
      </c>
    </row>
    <row r="25446" spans="8:8" x14ac:dyDescent="0.3">
      <c r="H25446" t="str">
        <f t="shared" si="447"/>
        <v/>
      </c>
    </row>
    <row r="25447" spans="8:8" x14ac:dyDescent="0.3">
      <c r="H25447" t="str">
        <f t="shared" si="447"/>
        <v/>
      </c>
    </row>
    <row r="25448" spans="8:8" x14ac:dyDescent="0.3">
      <c r="H25448" t="str">
        <f t="shared" si="447"/>
        <v/>
      </c>
    </row>
    <row r="25449" spans="8:8" x14ac:dyDescent="0.3">
      <c r="H25449" t="str">
        <f t="shared" si="447"/>
        <v/>
      </c>
    </row>
    <row r="25450" spans="8:8" x14ac:dyDescent="0.3">
      <c r="H25450" t="str">
        <f t="shared" si="447"/>
        <v/>
      </c>
    </row>
    <row r="25451" spans="8:8" x14ac:dyDescent="0.3">
      <c r="H25451" t="str">
        <f t="shared" si="447"/>
        <v/>
      </c>
    </row>
    <row r="25452" spans="8:8" x14ac:dyDescent="0.3">
      <c r="H25452" t="str">
        <f t="shared" si="447"/>
        <v/>
      </c>
    </row>
    <row r="25453" spans="8:8" x14ac:dyDescent="0.3">
      <c r="H25453" t="str">
        <f t="shared" si="447"/>
        <v/>
      </c>
    </row>
    <row r="25454" spans="8:8" x14ac:dyDescent="0.3">
      <c r="H25454" t="str">
        <f t="shared" si="447"/>
        <v/>
      </c>
    </row>
    <row r="25455" spans="8:8" x14ac:dyDescent="0.3">
      <c r="H25455" t="str">
        <f t="shared" si="447"/>
        <v/>
      </c>
    </row>
    <row r="25456" spans="8:8" x14ac:dyDescent="0.3">
      <c r="H25456" t="str">
        <f t="shared" si="447"/>
        <v/>
      </c>
    </row>
    <row r="25457" spans="8:8" x14ac:dyDescent="0.3">
      <c r="H25457" t="str">
        <f t="shared" si="447"/>
        <v/>
      </c>
    </row>
    <row r="25458" spans="8:8" x14ac:dyDescent="0.3">
      <c r="H25458" t="str">
        <f t="shared" si="447"/>
        <v/>
      </c>
    </row>
    <row r="25459" spans="8:8" x14ac:dyDescent="0.3">
      <c r="H25459" t="str">
        <f t="shared" si="447"/>
        <v/>
      </c>
    </row>
    <row r="25460" spans="8:8" x14ac:dyDescent="0.3">
      <c r="H25460" t="str">
        <f t="shared" si="447"/>
        <v/>
      </c>
    </row>
    <row r="25461" spans="8:8" x14ac:dyDescent="0.3">
      <c r="H25461" t="str">
        <f t="shared" si="447"/>
        <v/>
      </c>
    </row>
    <row r="25462" spans="8:8" x14ac:dyDescent="0.3">
      <c r="H25462" t="str">
        <f t="shared" si="447"/>
        <v/>
      </c>
    </row>
    <row r="25463" spans="8:8" x14ac:dyDescent="0.3">
      <c r="H25463" t="str">
        <f t="shared" si="447"/>
        <v/>
      </c>
    </row>
    <row r="25464" spans="8:8" x14ac:dyDescent="0.3">
      <c r="H25464" t="str">
        <f t="shared" si="447"/>
        <v/>
      </c>
    </row>
    <row r="25465" spans="8:8" x14ac:dyDescent="0.3">
      <c r="H25465" t="str">
        <f t="shared" si="447"/>
        <v/>
      </c>
    </row>
    <row r="25466" spans="8:8" x14ac:dyDescent="0.3">
      <c r="H25466" t="str">
        <f t="shared" si="447"/>
        <v/>
      </c>
    </row>
    <row r="25467" spans="8:8" x14ac:dyDescent="0.3">
      <c r="H25467" t="str">
        <f t="shared" si="447"/>
        <v/>
      </c>
    </row>
    <row r="25468" spans="8:8" x14ac:dyDescent="0.3">
      <c r="H25468" t="str">
        <f t="shared" si="447"/>
        <v/>
      </c>
    </row>
    <row r="25469" spans="8:8" x14ac:dyDescent="0.3">
      <c r="H25469" t="str">
        <f t="shared" si="447"/>
        <v/>
      </c>
    </row>
    <row r="25470" spans="8:8" x14ac:dyDescent="0.3">
      <c r="H25470" t="str">
        <f t="shared" si="447"/>
        <v/>
      </c>
    </row>
    <row r="25471" spans="8:8" x14ac:dyDescent="0.3">
      <c r="H25471" t="str">
        <f t="shared" si="447"/>
        <v/>
      </c>
    </row>
    <row r="25472" spans="8:8" x14ac:dyDescent="0.3">
      <c r="H25472" t="str">
        <f t="shared" si="447"/>
        <v/>
      </c>
    </row>
    <row r="25473" spans="8:8" x14ac:dyDescent="0.3">
      <c r="H25473" t="str">
        <f t="shared" si="447"/>
        <v/>
      </c>
    </row>
    <row r="25474" spans="8:8" x14ac:dyDescent="0.3">
      <c r="H25474" t="str">
        <f t="shared" si="447"/>
        <v/>
      </c>
    </row>
    <row r="25475" spans="8:8" x14ac:dyDescent="0.3">
      <c r="H25475" t="str">
        <f t="shared" si="447"/>
        <v/>
      </c>
    </row>
    <row r="25476" spans="8:8" x14ac:dyDescent="0.3">
      <c r="H25476" t="str">
        <f t="shared" si="447"/>
        <v/>
      </c>
    </row>
    <row r="25477" spans="8:8" x14ac:dyDescent="0.3">
      <c r="H25477" t="str">
        <f t="shared" si="447"/>
        <v/>
      </c>
    </row>
    <row r="25478" spans="8:8" x14ac:dyDescent="0.3">
      <c r="H25478" t="str">
        <f t="shared" si="447"/>
        <v/>
      </c>
    </row>
    <row r="25479" spans="8:8" x14ac:dyDescent="0.3">
      <c r="H25479" t="str">
        <f t="shared" si="447"/>
        <v/>
      </c>
    </row>
    <row r="25480" spans="8:8" x14ac:dyDescent="0.3">
      <c r="H25480" t="str">
        <f t="shared" si="447"/>
        <v/>
      </c>
    </row>
    <row r="25481" spans="8:8" x14ac:dyDescent="0.3">
      <c r="H25481" t="str">
        <f t="shared" si="447"/>
        <v/>
      </c>
    </row>
    <row r="25482" spans="8:8" x14ac:dyDescent="0.3">
      <c r="H25482" t="str">
        <f t="shared" si="447"/>
        <v/>
      </c>
    </row>
    <row r="25483" spans="8:8" x14ac:dyDescent="0.3">
      <c r="H25483" t="str">
        <f t="shared" si="447"/>
        <v/>
      </c>
    </row>
    <row r="25484" spans="8:8" x14ac:dyDescent="0.3">
      <c r="H25484" t="str">
        <f t="shared" si="447"/>
        <v/>
      </c>
    </row>
    <row r="25485" spans="8:8" x14ac:dyDescent="0.3">
      <c r="H25485" t="str">
        <f t="shared" si="447"/>
        <v/>
      </c>
    </row>
    <row r="25486" spans="8:8" x14ac:dyDescent="0.3">
      <c r="H25486" t="str">
        <f t="shared" si="447"/>
        <v/>
      </c>
    </row>
    <row r="25487" spans="8:8" x14ac:dyDescent="0.3">
      <c r="H25487" t="str">
        <f t="shared" si="447"/>
        <v/>
      </c>
    </row>
    <row r="25488" spans="8:8" x14ac:dyDescent="0.3">
      <c r="H25488" t="str">
        <f t="shared" si="447"/>
        <v/>
      </c>
    </row>
    <row r="25489" spans="8:8" x14ac:dyDescent="0.3">
      <c r="H25489" t="str">
        <f t="shared" si="447"/>
        <v/>
      </c>
    </row>
    <row r="25490" spans="8:8" x14ac:dyDescent="0.3">
      <c r="H25490" t="str">
        <f t="shared" si="447"/>
        <v/>
      </c>
    </row>
    <row r="25491" spans="8:8" x14ac:dyDescent="0.3">
      <c r="H25491" t="str">
        <f t="shared" si="447"/>
        <v/>
      </c>
    </row>
    <row r="25492" spans="8:8" x14ac:dyDescent="0.3">
      <c r="H25492" t="str">
        <f t="shared" si="447"/>
        <v/>
      </c>
    </row>
    <row r="25493" spans="8:8" x14ac:dyDescent="0.3">
      <c r="H25493" t="str">
        <f t="shared" si="447"/>
        <v/>
      </c>
    </row>
    <row r="25494" spans="8:8" x14ac:dyDescent="0.3">
      <c r="H25494" t="str">
        <f t="shared" si="447"/>
        <v/>
      </c>
    </row>
    <row r="25495" spans="8:8" x14ac:dyDescent="0.3">
      <c r="H25495" t="str">
        <f t="shared" ref="H25495:H25558" si="448">IF(B25495="","",$C$12)</f>
        <v/>
      </c>
    </row>
    <row r="25496" spans="8:8" x14ac:dyDescent="0.3">
      <c r="H25496" t="str">
        <f t="shared" si="448"/>
        <v/>
      </c>
    </row>
    <row r="25497" spans="8:8" x14ac:dyDescent="0.3">
      <c r="H25497" t="str">
        <f t="shared" si="448"/>
        <v/>
      </c>
    </row>
    <row r="25498" spans="8:8" x14ac:dyDescent="0.3">
      <c r="H25498" t="str">
        <f t="shared" si="448"/>
        <v/>
      </c>
    </row>
    <row r="25499" spans="8:8" x14ac:dyDescent="0.3">
      <c r="H25499" t="str">
        <f t="shared" si="448"/>
        <v/>
      </c>
    </row>
    <row r="25500" spans="8:8" x14ac:dyDescent="0.3">
      <c r="H25500" t="str">
        <f t="shared" si="448"/>
        <v/>
      </c>
    </row>
    <row r="25501" spans="8:8" x14ac:dyDescent="0.3">
      <c r="H25501" t="str">
        <f t="shared" si="448"/>
        <v/>
      </c>
    </row>
    <row r="25502" spans="8:8" x14ac:dyDescent="0.3">
      <c r="H25502" t="str">
        <f t="shared" si="448"/>
        <v/>
      </c>
    </row>
    <row r="25503" spans="8:8" x14ac:dyDescent="0.3">
      <c r="H25503" t="str">
        <f t="shared" si="448"/>
        <v/>
      </c>
    </row>
    <row r="25504" spans="8:8" x14ac:dyDescent="0.3">
      <c r="H25504" t="str">
        <f t="shared" si="448"/>
        <v/>
      </c>
    </row>
    <row r="25505" spans="8:8" x14ac:dyDescent="0.3">
      <c r="H25505" t="str">
        <f t="shared" si="448"/>
        <v/>
      </c>
    </row>
    <row r="25506" spans="8:8" x14ac:dyDescent="0.3">
      <c r="H25506" t="str">
        <f t="shared" si="448"/>
        <v/>
      </c>
    </row>
    <row r="25507" spans="8:8" x14ac:dyDescent="0.3">
      <c r="H25507" t="str">
        <f t="shared" si="448"/>
        <v/>
      </c>
    </row>
    <row r="25508" spans="8:8" x14ac:dyDescent="0.3">
      <c r="H25508" t="str">
        <f t="shared" si="448"/>
        <v/>
      </c>
    </row>
    <row r="25509" spans="8:8" x14ac:dyDescent="0.3">
      <c r="H25509" t="str">
        <f t="shared" si="448"/>
        <v/>
      </c>
    </row>
    <row r="25510" spans="8:8" x14ac:dyDescent="0.3">
      <c r="H25510" t="str">
        <f t="shared" si="448"/>
        <v/>
      </c>
    </row>
    <row r="25511" spans="8:8" x14ac:dyDescent="0.3">
      <c r="H25511" t="str">
        <f t="shared" si="448"/>
        <v/>
      </c>
    </row>
    <row r="25512" spans="8:8" x14ac:dyDescent="0.3">
      <c r="H25512" t="str">
        <f t="shared" si="448"/>
        <v/>
      </c>
    </row>
    <row r="25513" spans="8:8" x14ac:dyDescent="0.3">
      <c r="H25513" t="str">
        <f t="shared" si="448"/>
        <v/>
      </c>
    </row>
    <row r="25514" spans="8:8" x14ac:dyDescent="0.3">
      <c r="H25514" t="str">
        <f t="shared" si="448"/>
        <v/>
      </c>
    </row>
    <row r="25515" spans="8:8" x14ac:dyDescent="0.3">
      <c r="H25515" t="str">
        <f t="shared" si="448"/>
        <v/>
      </c>
    </row>
    <row r="25516" spans="8:8" x14ac:dyDescent="0.3">
      <c r="H25516" t="str">
        <f t="shared" si="448"/>
        <v/>
      </c>
    </row>
    <row r="25517" spans="8:8" x14ac:dyDescent="0.3">
      <c r="H25517" t="str">
        <f t="shared" si="448"/>
        <v/>
      </c>
    </row>
    <row r="25518" spans="8:8" x14ac:dyDescent="0.3">
      <c r="H25518" t="str">
        <f t="shared" si="448"/>
        <v/>
      </c>
    </row>
    <row r="25519" spans="8:8" x14ac:dyDescent="0.3">
      <c r="H25519" t="str">
        <f t="shared" si="448"/>
        <v/>
      </c>
    </row>
    <row r="25520" spans="8:8" x14ac:dyDescent="0.3">
      <c r="H25520" t="str">
        <f t="shared" si="448"/>
        <v/>
      </c>
    </row>
    <row r="25521" spans="8:8" x14ac:dyDescent="0.3">
      <c r="H25521" t="str">
        <f t="shared" si="448"/>
        <v/>
      </c>
    </row>
    <row r="25522" spans="8:8" x14ac:dyDescent="0.3">
      <c r="H25522" t="str">
        <f t="shared" si="448"/>
        <v/>
      </c>
    </row>
    <row r="25523" spans="8:8" x14ac:dyDescent="0.3">
      <c r="H25523" t="str">
        <f t="shared" si="448"/>
        <v/>
      </c>
    </row>
    <row r="25524" spans="8:8" x14ac:dyDescent="0.3">
      <c r="H25524" t="str">
        <f t="shared" si="448"/>
        <v/>
      </c>
    </row>
    <row r="25525" spans="8:8" x14ac:dyDescent="0.3">
      <c r="H25525" t="str">
        <f t="shared" si="448"/>
        <v/>
      </c>
    </row>
    <row r="25526" spans="8:8" x14ac:dyDescent="0.3">
      <c r="H25526" t="str">
        <f t="shared" si="448"/>
        <v/>
      </c>
    </row>
    <row r="25527" spans="8:8" x14ac:dyDescent="0.3">
      <c r="H25527" t="str">
        <f t="shared" si="448"/>
        <v/>
      </c>
    </row>
    <row r="25528" spans="8:8" x14ac:dyDescent="0.3">
      <c r="H25528" t="str">
        <f t="shared" si="448"/>
        <v/>
      </c>
    </row>
    <row r="25529" spans="8:8" x14ac:dyDescent="0.3">
      <c r="H25529" t="str">
        <f t="shared" si="448"/>
        <v/>
      </c>
    </row>
    <row r="25530" spans="8:8" x14ac:dyDescent="0.3">
      <c r="H25530" t="str">
        <f t="shared" si="448"/>
        <v/>
      </c>
    </row>
    <row r="25531" spans="8:8" x14ac:dyDescent="0.3">
      <c r="H25531" t="str">
        <f t="shared" si="448"/>
        <v/>
      </c>
    </row>
    <row r="25532" spans="8:8" x14ac:dyDescent="0.3">
      <c r="H25532" t="str">
        <f t="shared" si="448"/>
        <v/>
      </c>
    </row>
    <row r="25533" spans="8:8" x14ac:dyDescent="0.3">
      <c r="H25533" t="str">
        <f t="shared" si="448"/>
        <v/>
      </c>
    </row>
    <row r="25534" spans="8:8" x14ac:dyDescent="0.3">
      <c r="H25534" t="str">
        <f t="shared" si="448"/>
        <v/>
      </c>
    </row>
    <row r="25535" spans="8:8" x14ac:dyDescent="0.3">
      <c r="H25535" t="str">
        <f t="shared" si="448"/>
        <v/>
      </c>
    </row>
    <row r="25536" spans="8:8" x14ac:dyDescent="0.3">
      <c r="H25536" t="str">
        <f t="shared" si="448"/>
        <v/>
      </c>
    </row>
    <row r="25537" spans="8:8" x14ac:dyDescent="0.3">
      <c r="H25537" t="str">
        <f t="shared" si="448"/>
        <v/>
      </c>
    </row>
    <row r="25538" spans="8:8" x14ac:dyDescent="0.3">
      <c r="H25538" t="str">
        <f t="shared" si="448"/>
        <v/>
      </c>
    </row>
    <row r="25539" spans="8:8" x14ac:dyDescent="0.3">
      <c r="H25539" t="str">
        <f t="shared" si="448"/>
        <v/>
      </c>
    </row>
    <row r="25540" spans="8:8" x14ac:dyDescent="0.3">
      <c r="H25540" t="str">
        <f t="shared" si="448"/>
        <v/>
      </c>
    </row>
    <row r="25541" spans="8:8" x14ac:dyDescent="0.3">
      <c r="H25541" t="str">
        <f t="shared" si="448"/>
        <v/>
      </c>
    </row>
    <row r="25542" spans="8:8" x14ac:dyDescent="0.3">
      <c r="H25542" t="str">
        <f t="shared" si="448"/>
        <v/>
      </c>
    </row>
    <row r="25543" spans="8:8" x14ac:dyDescent="0.3">
      <c r="H25543" t="str">
        <f t="shared" si="448"/>
        <v/>
      </c>
    </row>
    <row r="25544" spans="8:8" x14ac:dyDescent="0.3">
      <c r="H25544" t="str">
        <f t="shared" si="448"/>
        <v/>
      </c>
    </row>
    <row r="25545" spans="8:8" x14ac:dyDescent="0.3">
      <c r="H25545" t="str">
        <f t="shared" si="448"/>
        <v/>
      </c>
    </row>
    <row r="25546" spans="8:8" x14ac:dyDescent="0.3">
      <c r="H25546" t="str">
        <f t="shared" si="448"/>
        <v/>
      </c>
    </row>
    <row r="25547" spans="8:8" x14ac:dyDescent="0.3">
      <c r="H25547" t="str">
        <f t="shared" si="448"/>
        <v/>
      </c>
    </row>
    <row r="25548" spans="8:8" x14ac:dyDescent="0.3">
      <c r="H25548" t="str">
        <f t="shared" si="448"/>
        <v/>
      </c>
    </row>
    <row r="25549" spans="8:8" x14ac:dyDescent="0.3">
      <c r="H25549" t="str">
        <f t="shared" si="448"/>
        <v/>
      </c>
    </row>
    <row r="25550" spans="8:8" x14ac:dyDescent="0.3">
      <c r="H25550" t="str">
        <f t="shared" si="448"/>
        <v/>
      </c>
    </row>
    <row r="25551" spans="8:8" x14ac:dyDescent="0.3">
      <c r="H25551" t="str">
        <f t="shared" si="448"/>
        <v/>
      </c>
    </row>
    <row r="25552" spans="8:8" x14ac:dyDescent="0.3">
      <c r="H25552" t="str">
        <f t="shared" si="448"/>
        <v/>
      </c>
    </row>
    <row r="25553" spans="8:8" x14ac:dyDescent="0.3">
      <c r="H25553" t="str">
        <f t="shared" si="448"/>
        <v/>
      </c>
    </row>
    <row r="25554" spans="8:8" x14ac:dyDescent="0.3">
      <c r="H25554" t="str">
        <f t="shared" si="448"/>
        <v/>
      </c>
    </row>
    <row r="25555" spans="8:8" x14ac:dyDescent="0.3">
      <c r="H25555" t="str">
        <f t="shared" si="448"/>
        <v/>
      </c>
    </row>
    <row r="25556" spans="8:8" x14ac:dyDescent="0.3">
      <c r="H25556" t="str">
        <f t="shared" si="448"/>
        <v/>
      </c>
    </row>
    <row r="25557" spans="8:8" x14ac:dyDescent="0.3">
      <c r="H25557" t="str">
        <f t="shared" si="448"/>
        <v/>
      </c>
    </row>
    <row r="25558" spans="8:8" x14ac:dyDescent="0.3">
      <c r="H25558" t="str">
        <f t="shared" si="448"/>
        <v/>
      </c>
    </row>
    <row r="25559" spans="8:8" x14ac:dyDescent="0.3">
      <c r="H25559" t="str">
        <f t="shared" ref="H25559:H25622" si="449">IF(B25559="","",$C$12)</f>
        <v/>
      </c>
    </row>
    <row r="25560" spans="8:8" x14ac:dyDescent="0.3">
      <c r="H25560" t="str">
        <f t="shared" si="449"/>
        <v/>
      </c>
    </row>
    <row r="25561" spans="8:8" x14ac:dyDescent="0.3">
      <c r="H25561" t="str">
        <f t="shared" si="449"/>
        <v/>
      </c>
    </row>
    <row r="25562" spans="8:8" x14ac:dyDescent="0.3">
      <c r="H25562" t="str">
        <f t="shared" si="449"/>
        <v/>
      </c>
    </row>
    <row r="25563" spans="8:8" x14ac:dyDescent="0.3">
      <c r="H25563" t="str">
        <f t="shared" si="449"/>
        <v/>
      </c>
    </row>
    <row r="25564" spans="8:8" x14ac:dyDescent="0.3">
      <c r="H25564" t="str">
        <f t="shared" si="449"/>
        <v/>
      </c>
    </row>
    <row r="25565" spans="8:8" x14ac:dyDescent="0.3">
      <c r="H25565" t="str">
        <f t="shared" si="449"/>
        <v/>
      </c>
    </row>
    <row r="25566" spans="8:8" x14ac:dyDescent="0.3">
      <c r="H25566" t="str">
        <f t="shared" si="449"/>
        <v/>
      </c>
    </row>
    <row r="25567" spans="8:8" x14ac:dyDescent="0.3">
      <c r="H25567" t="str">
        <f t="shared" si="449"/>
        <v/>
      </c>
    </row>
    <row r="25568" spans="8:8" x14ac:dyDescent="0.3">
      <c r="H25568" t="str">
        <f t="shared" si="449"/>
        <v/>
      </c>
    </row>
    <row r="25569" spans="8:8" x14ac:dyDescent="0.3">
      <c r="H25569" t="str">
        <f t="shared" si="449"/>
        <v/>
      </c>
    </row>
    <row r="25570" spans="8:8" x14ac:dyDescent="0.3">
      <c r="H25570" t="str">
        <f t="shared" si="449"/>
        <v/>
      </c>
    </row>
    <row r="25571" spans="8:8" x14ac:dyDescent="0.3">
      <c r="H25571" t="str">
        <f t="shared" si="449"/>
        <v/>
      </c>
    </row>
    <row r="25572" spans="8:8" x14ac:dyDescent="0.3">
      <c r="H25572" t="str">
        <f t="shared" si="449"/>
        <v/>
      </c>
    </row>
    <row r="25573" spans="8:8" x14ac:dyDescent="0.3">
      <c r="H25573" t="str">
        <f t="shared" si="449"/>
        <v/>
      </c>
    </row>
    <row r="25574" spans="8:8" x14ac:dyDescent="0.3">
      <c r="H25574" t="str">
        <f t="shared" si="449"/>
        <v/>
      </c>
    </row>
    <row r="25575" spans="8:8" x14ac:dyDescent="0.3">
      <c r="H25575" t="str">
        <f t="shared" si="449"/>
        <v/>
      </c>
    </row>
    <row r="25576" spans="8:8" x14ac:dyDescent="0.3">
      <c r="H25576" t="str">
        <f t="shared" si="449"/>
        <v/>
      </c>
    </row>
    <row r="25577" spans="8:8" x14ac:dyDescent="0.3">
      <c r="H25577" t="str">
        <f t="shared" si="449"/>
        <v/>
      </c>
    </row>
    <row r="25578" spans="8:8" x14ac:dyDescent="0.3">
      <c r="H25578" t="str">
        <f t="shared" si="449"/>
        <v/>
      </c>
    </row>
    <row r="25579" spans="8:8" x14ac:dyDescent="0.3">
      <c r="H25579" t="str">
        <f t="shared" si="449"/>
        <v/>
      </c>
    </row>
    <row r="25580" spans="8:8" x14ac:dyDescent="0.3">
      <c r="H25580" t="str">
        <f t="shared" si="449"/>
        <v/>
      </c>
    </row>
    <row r="25581" spans="8:8" x14ac:dyDescent="0.3">
      <c r="H25581" t="str">
        <f t="shared" si="449"/>
        <v/>
      </c>
    </row>
    <row r="25582" spans="8:8" x14ac:dyDescent="0.3">
      <c r="H25582" t="str">
        <f t="shared" si="449"/>
        <v/>
      </c>
    </row>
    <row r="25583" spans="8:8" x14ac:dyDescent="0.3">
      <c r="H25583" t="str">
        <f t="shared" si="449"/>
        <v/>
      </c>
    </row>
    <row r="25584" spans="8:8" x14ac:dyDescent="0.3">
      <c r="H25584" t="str">
        <f t="shared" si="449"/>
        <v/>
      </c>
    </row>
    <row r="25585" spans="8:8" x14ac:dyDescent="0.3">
      <c r="H25585" t="str">
        <f t="shared" si="449"/>
        <v/>
      </c>
    </row>
    <row r="25586" spans="8:8" x14ac:dyDescent="0.3">
      <c r="H25586" t="str">
        <f t="shared" si="449"/>
        <v/>
      </c>
    </row>
    <row r="25587" spans="8:8" x14ac:dyDescent="0.3">
      <c r="H25587" t="str">
        <f t="shared" si="449"/>
        <v/>
      </c>
    </row>
    <row r="25588" spans="8:8" x14ac:dyDescent="0.3">
      <c r="H25588" t="str">
        <f t="shared" si="449"/>
        <v/>
      </c>
    </row>
    <row r="25589" spans="8:8" x14ac:dyDescent="0.3">
      <c r="H25589" t="str">
        <f t="shared" si="449"/>
        <v/>
      </c>
    </row>
    <row r="25590" spans="8:8" x14ac:dyDescent="0.3">
      <c r="H25590" t="str">
        <f t="shared" si="449"/>
        <v/>
      </c>
    </row>
    <row r="25591" spans="8:8" x14ac:dyDescent="0.3">
      <c r="H25591" t="str">
        <f t="shared" si="449"/>
        <v/>
      </c>
    </row>
    <row r="25592" spans="8:8" x14ac:dyDescent="0.3">
      <c r="H25592" t="str">
        <f t="shared" si="449"/>
        <v/>
      </c>
    </row>
    <row r="25593" spans="8:8" x14ac:dyDescent="0.3">
      <c r="H25593" t="str">
        <f t="shared" si="449"/>
        <v/>
      </c>
    </row>
    <row r="25594" spans="8:8" x14ac:dyDescent="0.3">
      <c r="H25594" t="str">
        <f t="shared" si="449"/>
        <v/>
      </c>
    </row>
    <row r="25595" spans="8:8" x14ac:dyDescent="0.3">
      <c r="H25595" t="str">
        <f t="shared" si="449"/>
        <v/>
      </c>
    </row>
    <row r="25596" spans="8:8" x14ac:dyDescent="0.3">
      <c r="H25596" t="str">
        <f t="shared" si="449"/>
        <v/>
      </c>
    </row>
    <row r="25597" spans="8:8" x14ac:dyDescent="0.3">
      <c r="H25597" t="str">
        <f t="shared" si="449"/>
        <v/>
      </c>
    </row>
    <row r="25598" spans="8:8" x14ac:dyDescent="0.3">
      <c r="H25598" t="str">
        <f t="shared" si="449"/>
        <v/>
      </c>
    </row>
    <row r="25599" spans="8:8" x14ac:dyDescent="0.3">
      <c r="H25599" t="str">
        <f t="shared" si="449"/>
        <v/>
      </c>
    </row>
    <row r="25600" spans="8:8" x14ac:dyDescent="0.3">
      <c r="H25600" t="str">
        <f t="shared" si="449"/>
        <v/>
      </c>
    </row>
    <row r="25601" spans="8:8" x14ac:dyDescent="0.3">
      <c r="H25601" t="str">
        <f t="shared" si="449"/>
        <v/>
      </c>
    </row>
    <row r="25602" spans="8:8" x14ac:dyDescent="0.3">
      <c r="H25602" t="str">
        <f t="shared" si="449"/>
        <v/>
      </c>
    </row>
    <row r="25603" spans="8:8" x14ac:dyDescent="0.3">
      <c r="H25603" t="str">
        <f t="shared" si="449"/>
        <v/>
      </c>
    </row>
    <row r="25604" spans="8:8" x14ac:dyDescent="0.3">
      <c r="H25604" t="str">
        <f t="shared" si="449"/>
        <v/>
      </c>
    </row>
    <row r="25605" spans="8:8" x14ac:dyDescent="0.3">
      <c r="H25605" t="str">
        <f t="shared" si="449"/>
        <v/>
      </c>
    </row>
    <row r="25606" spans="8:8" x14ac:dyDescent="0.3">
      <c r="H25606" t="str">
        <f t="shared" si="449"/>
        <v/>
      </c>
    </row>
    <row r="25607" spans="8:8" x14ac:dyDescent="0.3">
      <c r="H25607" t="str">
        <f t="shared" si="449"/>
        <v/>
      </c>
    </row>
    <row r="25608" spans="8:8" x14ac:dyDescent="0.3">
      <c r="H25608" t="str">
        <f t="shared" si="449"/>
        <v/>
      </c>
    </row>
    <row r="25609" spans="8:8" x14ac:dyDescent="0.3">
      <c r="H25609" t="str">
        <f t="shared" si="449"/>
        <v/>
      </c>
    </row>
    <row r="25610" spans="8:8" x14ac:dyDescent="0.3">
      <c r="H25610" t="str">
        <f t="shared" si="449"/>
        <v/>
      </c>
    </row>
    <row r="25611" spans="8:8" x14ac:dyDescent="0.3">
      <c r="H25611" t="str">
        <f t="shared" si="449"/>
        <v/>
      </c>
    </row>
    <row r="25612" spans="8:8" x14ac:dyDescent="0.3">
      <c r="H25612" t="str">
        <f t="shared" si="449"/>
        <v/>
      </c>
    </row>
    <row r="25613" spans="8:8" x14ac:dyDescent="0.3">
      <c r="H25613" t="str">
        <f t="shared" si="449"/>
        <v/>
      </c>
    </row>
    <row r="25614" spans="8:8" x14ac:dyDescent="0.3">
      <c r="H25614" t="str">
        <f t="shared" si="449"/>
        <v/>
      </c>
    </row>
    <row r="25615" spans="8:8" x14ac:dyDescent="0.3">
      <c r="H25615" t="str">
        <f t="shared" si="449"/>
        <v/>
      </c>
    </row>
    <row r="25616" spans="8:8" x14ac:dyDescent="0.3">
      <c r="H25616" t="str">
        <f t="shared" si="449"/>
        <v/>
      </c>
    </row>
    <row r="25617" spans="8:8" x14ac:dyDescent="0.3">
      <c r="H25617" t="str">
        <f t="shared" si="449"/>
        <v/>
      </c>
    </row>
    <row r="25618" spans="8:8" x14ac:dyDescent="0.3">
      <c r="H25618" t="str">
        <f t="shared" si="449"/>
        <v/>
      </c>
    </row>
    <row r="25619" spans="8:8" x14ac:dyDescent="0.3">
      <c r="H25619" t="str">
        <f t="shared" si="449"/>
        <v/>
      </c>
    </row>
    <row r="25620" spans="8:8" x14ac:dyDescent="0.3">
      <c r="H25620" t="str">
        <f t="shared" si="449"/>
        <v/>
      </c>
    </row>
    <row r="25621" spans="8:8" x14ac:dyDescent="0.3">
      <c r="H25621" t="str">
        <f t="shared" si="449"/>
        <v/>
      </c>
    </row>
    <row r="25622" spans="8:8" x14ac:dyDescent="0.3">
      <c r="H25622" t="str">
        <f t="shared" si="449"/>
        <v/>
      </c>
    </row>
    <row r="25623" spans="8:8" x14ac:dyDescent="0.3">
      <c r="H25623" t="str">
        <f t="shared" ref="H25623:H25686" si="450">IF(B25623="","",$C$12)</f>
        <v/>
      </c>
    </row>
    <row r="25624" spans="8:8" x14ac:dyDescent="0.3">
      <c r="H25624" t="str">
        <f t="shared" si="450"/>
        <v/>
      </c>
    </row>
    <row r="25625" spans="8:8" x14ac:dyDescent="0.3">
      <c r="H25625" t="str">
        <f t="shared" si="450"/>
        <v/>
      </c>
    </row>
    <row r="25626" spans="8:8" x14ac:dyDescent="0.3">
      <c r="H25626" t="str">
        <f t="shared" si="450"/>
        <v/>
      </c>
    </row>
    <row r="25627" spans="8:8" x14ac:dyDescent="0.3">
      <c r="H25627" t="str">
        <f t="shared" si="450"/>
        <v/>
      </c>
    </row>
    <row r="25628" spans="8:8" x14ac:dyDescent="0.3">
      <c r="H25628" t="str">
        <f t="shared" si="450"/>
        <v/>
      </c>
    </row>
    <row r="25629" spans="8:8" x14ac:dyDescent="0.3">
      <c r="H25629" t="str">
        <f t="shared" si="450"/>
        <v/>
      </c>
    </row>
    <row r="25630" spans="8:8" x14ac:dyDescent="0.3">
      <c r="H25630" t="str">
        <f t="shared" si="450"/>
        <v/>
      </c>
    </row>
    <row r="25631" spans="8:8" x14ac:dyDescent="0.3">
      <c r="H25631" t="str">
        <f t="shared" si="450"/>
        <v/>
      </c>
    </row>
    <row r="25632" spans="8:8" x14ac:dyDescent="0.3">
      <c r="H25632" t="str">
        <f t="shared" si="450"/>
        <v/>
      </c>
    </row>
    <row r="25633" spans="8:8" x14ac:dyDescent="0.3">
      <c r="H25633" t="str">
        <f t="shared" si="450"/>
        <v/>
      </c>
    </row>
    <row r="25634" spans="8:8" x14ac:dyDescent="0.3">
      <c r="H25634" t="str">
        <f t="shared" si="450"/>
        <v/>
      </c>
    </row>
    <row r="25635" spans="8:8" x14ac:dyDescent="0.3">
      <c r="H25635" t="str">
        <f t="shared" si="450"/>
        <v/>
      </c>
    </row>
    <row r="25636" spans="8:8" x14ac:dyDescent="0.3">
      <c r="H25636" t="str">
        <f t="shared" si="450"/>
        <v/>
      </c>
    </row>
    <row r="25637" spans="8:8" x14ac:dyDescent="0.3">
      <c r="H25637" t="str">
        <f t="shared" si="450"/>
        <v/>
      </c>
    </row>
    <row r="25638" spans="8:8" x14ac:dyDescent="0.3">
      <c r="H25638" t="str">
        <f t="shared" si="450"/>
        <v/>
      </c>
    </row>
    <row r="25639" spans="8:8" x14ac:dyDescent="0.3">
      <c r="H25639" t="str">
        <f t="shared" si="450"/>
        <v/>
      </c>
    </row>
    <row r="25640" spans="8:8" x14ac:dyDescent="0.3">
      <c r="H25640" t="str">
        <f t="shared" si="450"/>
        <v/>
      </c>
    </row>
    <row r="25641" spans="8:8" x14ac:dyDescent="0.3">
      <c r="H25641" t="str">
        <f t="shared" si="450"/>
        <v/>
      </c>
    </row>
    <row r="25642" spans="8:8" x14ac:dyDescent="0.3">
      <c r="H25642" t="str">
        <f t="shared" si="450"/>
        <v/>
      </c>
    </row>
    <row r="25643" spans="8:8" x14ac:dyDescent="0.3">
      <c r="H25643" t="str">
        <f t="shared" si="450"/>
        <v/>
      </c>
    </row>
    <row r="25644" spans="8:8" x14ac:dyDescent="0.3">
      <c r="H25644" t="str">
        <f t="shared" si="450"/>
        <v/>
      </c>
    </row>
    <row r="25645" spans="8:8" x14ac:dyDescent="0.3">
      <c r="H25645" t="str">
        <f t="shared" si="450"/>
        <v/>
      </c>
    </row>
    <row r="25646" spans="8:8" x14ac:dyDescent="0.3">
      <c r="H25646" t="str">
        <f t="shared" si="450"/>
        <v/>
      </c>
    </row>
    <row r="25647" spans="8:8" x14ac:dyDescent="0.3">
      <c r="H25647" t="str">
        <f t="shared" si="450"/>
        <v/>
      </c>
    </row>
    <row r="25648" spans="8:8" x14ac:dyDescent="0.3">
      <c r="H25648" t="str">
        <f t="shared" si="450"/>
        <v/>
      </c>
    </row>
    <row r="25649" spans="8:8" x14ac:dyDescent="0.3">
      <c r="H25649" t="str">
        <f t="shared" si="450"/>
        <v/>
      </c>
    </row>
    <row r="25650" spans="8:8" x14ac:dyDescent="0.3">
      <c r="H25650" t="str">
        <f t="shared" si="450"/>
        <v/>
      </c>
    </row>
    <row r="25651" spans="8:8" x14ac:dyDescent="0.3">
      <c r="H25651" t="str">
        <f t="shared" si="450"/>
        <v/>
      </c>
    </row>
    <row r="25652" spans="8:8" x14ac:dyDescent="0.3">
      <c r="H25652" t="str">
        <f t="shared" si="450"/>
        <v/>
      </c>
    </row>
    <row r="25653" spans="8:8" x14ac:dyDescent="0.3">
      <c r="H25653" t="str">
        <f t="shared" si="450"/>
        <v/>
      </c>
    </row>
    <row r="25654" spans="8:8" x14ac:dyDescent="0.3">
      <c r="H25654" t="str">
        <f t="shared" si="450"/>
        <v/>
      </c>
    </row>
    <row r="25655" spans="8:8" x14ac:dyDescent="0.3">
      <c r="H25655" t="str">
        <f t="shared" si="450"/>
        <v/>
      </c>
    </row>
    <row r="25656" spans="8:8" x14ac:dyDescent="0.3">
      <c r="H25656" t="str">
        <f t="shared" si="450"/>
        <v/>
      </c>
    </row>
    <row r="25657" spans="8:8" x14ac:dyDescent="0.3">
      <c r="H25657" t="str">
        <f t="shared" si="450"/>
        <v/>
      </c>
    </row>
    <row r="25658" spans="8:8" x14ac:dyDescent="0.3">
      <c r="H25658" t="str">
        <f t="shared" si="450"/>
        <v/>
      </c>
    </row>
    <row r="25659" spans="8:8" x14ac:dyDescent="0.3">
      <c r="H25659" t="str">
        <f t="shared" si="450"/>
        <v/>
      </c>
    </row>
    <row r="25660" spans="8:8" x14ac:dyDescent="0.3">
      <c r="H25660" t="str">
        <f t="shared" si="450"/>
        <v/>
      </c>
    </row>
    <row r="25661" spans="8:8" x14ac:dyDescent="0.3">
      <c r="H25661" t="str">
        <f t="shared" si="450"/>
        <v/>
      </c>
    </row>
    <row r="25662" spans="8:8" x14ac:dyDescent="0.3">
      <c r="H25662" t="str">
        <f t="shared" si="450"/>
        <v/>
      </c>
    </row>
    <row r="25663" spans="8:8" x14ac:dyDescent="0.3">
      <c r="H25663" t="str">
        <f t="shared" si="450"/>
        <v/>
      </c>
    </row>
    <row r="25664" spans="8:8" x14ac:dyDescent="0.3">
      <c r="H25664" t="str">
        <f t="shared" si="450"/>
        <v/>
      </c>
    </row>
    <row r="25665" spans="8:8" x14ac:dyDescent="0.3">
      <c r="H25665" t="str">
        <f t="shared" si="450"/>
        <v/>
      </c>
    </row>
    <row r="25666" spans="8:8" x14ac:dyDescent="0.3">
      <c r="H25666" t="str">
        <f t="shared" si="450"/>
        <v/>
      </c>
    </row>
    <row r="25667" spans="8:8" x14ac:dyDescent="0.3">
      <c r="H25667" t="str">
        <f t="shared" si="450"/>
        <v/>
      </c>
    </row>
    <row r="25668" spans="8:8" x14ac:dyDescent="0.3">
      <c r="H25668" t="str">
        <f t="shared" si="450"/>
        <v/>
      </c>
    </row>
    <row r="25669" spans="8:8" x14ac:dyDescent="0.3">
      <c r="H25669" t="str">
        <f t="shared" si="450"/>
        <v/>
      </c>
    </row>
    <row r="25670" spans="8:8" x14ac:dyDescent="0.3">
      <c r="H25670" t="str">
        <f t="shared" si="450"/>
        <v/>
      </c>
    </row>
    <row r="25671" spans="8:8" x14ac:dyDescent="0.3">
      <c r="H25671" t="str">
        <f t="shared" si="450"/>
        <v/>
      </c>
    </row>
    <row r="25672" spans="8:8" x14ac:dyDescent="0.3">
      <c r="H25672" t="str">
        <f t="shared" si="450"/>
        <v/>
      </c>
    </row>
    <row r="25673" spans="8:8" x14ac:dyDescent="0.3">
      <c r="H25673" t="str">
        <f t="shared" si="450"/>
        <v/>
      </c>
    </row>
    <row r="25674" spans="8:8" x14ac:dyDescent="0.3">
      <c r="H25674" t="str">
        <f t="shared" si="450"/>
        <v/>
      </c>
    </row>
    <row r="25675" spans="8:8" x14ac:dyDescent="0.3">
      <c r="H25675" t="str">
        <f t="shared" si="450"/>
        <v/>
      </c>
    </row>
    <row r="25676" spans="8:8" x14ac:dyDescent="0.3">
      <c r="H25676" t="str">
        <f t="shared" si="450"/>
        <v/>
      </c>
    </row>
    <row r="25677" spans="8:8" x14ac:dyDescent="0.3">
      <c r="H25677" t="str">
        <f t="shared" si="450"/>
        <v/>
      </c>
    </row>
    <row r="25678" spans="8:8" x14ac:dyDescent="0.3">
      <c r="H25678" t="str">
        <f t="shared" si="450"/>
        <v/>
      </c>
    </row>
    <row r="25679" spans="8:8" x14ac:dyDescent="0.3">
      <c r="H25679" t="str">
        <f t="shared" si="450"/>
        <v/>
      </c>
    </row>
    <row r="25680" spans="8:8" x14ac:dyDescent="0.3">
      <c r="H25680" t="str">
        <f t="shared" si="450"/>
        <v/>
      </c>
    </row>
    <row r="25681" spans="8:8" x14ac:dyDescent="0.3">
      <c r="H25681" t="str">
        <f t="shared" si="450"/>
        <v/>
      </c>
    </row>
    <row r="25682" spans="8:8" x14ac:dyDescent="0.3">
      <c r="H25682" t="str">
        <f t="shared" si="450"/>
        <v/>
      </c>
    </row>
    <row r="25683" spans="8:8" x14ac:dyDescent="0.3">
      <c r="H25683" t="str">
        <f t="shared" si="450"/>
        <v/>
      </c>
    </row>
    <row r="25684" spans="8:8" x14ac:dyDescent="0.3">
      <c r="H25684" t="str">
        <f t="shared" si="450"/>
        <v/>
      </c>
    </row>
    <row r="25685" spans="8:8" x14ac:dyDescent="0.3">
      <c r="H25685" t="str">
        <f t="shared" si="450"/>
        <v/>
      </c>
    </row>
    <row r="25686" spans="8:8" x14ac:dyDescent="0.3">
      <c r="H25686" t="str">
        <f t="shared" si="450"/>
        <v/>
      </c>
    </row>
    <row r="25687" spans="8:8" x14ac:dyDescent="0.3">
      <c r="H25687" t="str">
        <f t="shared" ref="H25687:H25750" si="451">IF(B25687="","",$C$12)</f>
        <v/>
      </c>
    </row>
    <row r="25688" spans="8:8" x14ac:dyDescent="0.3">
      <c r="H25688" t="str">
        <f t="shared" si="451"/>
        <v/>
      </c>
    </row>
    <row r="25689" spans="8:8" x14ac:dyDescent="0.3">
      <c r="H25689" t="str">
        <f t="shared" si="451"/>
        <v/>
      </c>
    </row>
    <row r="25690" spans="8:8" x14ac:dyDescent="0.3">
      <c r="H25690" t="str">
        <f t="shared" si="451"/>
        <v/>
      </c>
    </row>
    <row r="25691" spans="8:8" x14ac:dyDescent="0.3">
      <c r="H25691" t="str">
        <f t="shared" si="451"/>
        <v/>
      </c>
    </row>
    <row r="25692" spans="8:8" x14ac:dyDescent="0.3">
      <c r="H25692" t="str">
        <f t="shared" si="451"/>
        <v/>
      </c>
    </row>
    <row r="25693" spans="8:8" x14ac:dyDescent="0.3">
      <c r="H25693" t="str">
        <f t="shared" si="451"/>
        <v/>
      </c>
    </row>
    <row r="25694" spans="8:8" x14ac:dyDescent="0.3">
      <c r="H25694" t="str">
        <f t="shared" si="451"/>
        <v/>
      </c>
    </row>
    <row r="25695" spans="8:8" x14ac:dyDescent="0.3">
      <c r="H25695" t="str">
        <f t="shared" si="451"/>
        <v/>
      </c>
    </row>
    <row r="25696" spans="8:8" x14ac:dyDescent="0.3">
      <c r="H25696" t="str">
        <f t="shared" si="451"/>
        <v/>
      </c>
    </row>
    <row r="25697" spans="8:8" x14ac:dyDescent="0.3">
      <c r="H25697" t="str">
        <f t="shared" si="451"/>
        <v/>
      </c>
    </row>
    <row r="25698" spans="8:8" x14ac:dyDescent="0.3">
      <c r="H25698" t="str">
        <f t="shared" si="451"/>
        <v/>
      </c>
    </row>
    <row r="25699" spans="8:8" x14ac:dyDescent="0.3">
      <c r="H25699" t="str">
        <f t="shared" si="451"/>
        <v/>
      </c>
    </row>
    <row r="25700" spans="8:8" x14ac:dyDescent="0.3">
      <c r="H25700" t="str">
        <f t="shared" si="451"/>
        <v/>
      </c>
    </row>
    <row r="25701" spans="8:8" x14ac:dyDescent="0.3">
      <c r="H25701" t="str">
        <f t="shared" si="451"/>
        <v/>
      </c>
    </row>
    <row r="25702" spans="8:8" x14ac:dyDescent="0.3">
      <c r="H25702" t="str">
        <f t="shared" si="451"/>
        <v/>
      </c>
    </row>
    <row r="25703" spans="8:8" x14ac:dyDescent="0.3">
      <c r="H25703" t="str">
        <f t="shared" si="451"/>
        <v/>
      </c>
    </row>
    <row r="25704" spans="8:8" x14ac:dyDescent="0.3">
      <c r="H25704" t="str">
        <f t="shared" si="451"/>
        <v/>
      </c>
    </row>
    <row r="25705" spans="8:8" x14ac:dyDescent="0.3">
      <c r="H25705" t="str">
        <f t="shared" si="451"/>
        <v/>
      </c>
    </row>
    <row r="25706" spans="8:8" x14ac:dyDescent="0.3">
      <c r="H25706" t="str">
        <f t="shared" si="451"/>
        <v/>
      </c>
    </row>
    <row r="25707" spans="8:8" x14ac:dyDescent="0.3">
      <c r="H25707" t="str">
        <f t="shared" si="451"/>
        <v/>
      </c>
    </row>
    <row r="25708" spans="8:8" x14ac:dyDescent="0.3">
      <c r="H25708" t="str">
        <f t="shared" si="451"/>
        <v/>
      </c>
    </row>
    <row r="25709" spans="8:8" x14ac:dyDescent="0.3">
      <c r="H25709" t="str">
        <f t="shared" si="451"/>
        <v/>
      </c>
    </row>
    <row r="25710" spans="8:8" x14ac:dyDescent="0.3">
      <c r="H25710" t="str">
        <f t="shared" si="451"/>
        <v/>
      </c>
    </row>
    <row r="25711" spans="8:8" x14ac:dyDescent="0.3">
      <c r="H25711" t="str">
        <f t="shared" si="451"/>
        <v/>
      </c>
    </row>
    <row r="25712" spans="8:8" x14ac:dyDescent="0.3">
      <c r="H25712" t="str">
        <f t="shared" si="451"/>
        <v/>
      </c>
    </row>
    <row r="25713" spans="8:8" x14ac:dyDescent="0.3">
      <c r="H25713" t="str">
        <f t="shared" si="451"/>
        <v/>
      </c>
    </row>
    <row r="25714" spans="8:8" x14ac:dyDescent="0.3">
      <c r="H25714" t="str">
        <f t="shared" si="451"/>
        <v/>
      </c>
    </row>
    <row r="25715" spans="8:8" x14ac:dyDescent="0.3">
      <c r="H25715" t="str">
        <f t="shared" si="451"/>
        <v/>
      </c>
    </row>
    <row r="25716" spans="8:8" x14ac:dyDescent="0.3">
      <c r="H25716" t="str">
        <f t="shared" si="451"/>
        <v/>
      </c>
    </row>
    <row r="25717" spans="8:8" x14ac:dyDescent="0.3">
      <c r="H25717" t="str">
        <f t="shared" si="451"/>
        <v/>
      </c>
    </row>
    <row r="25718" spans="8:8" x14ac:dyDescent="0.3">
      <c r="H25718" t="str">
        <f t="shared" si="451"/>
        <v/>
      </c>
    </row>
    <row r="25719" spans="8:8" x14ac:dyDescent="0.3">
      <c r="H25719" t="str">
        <f t="shared" si="451"/>
        <v/>
      </c>
    </row>
    <row r="25720" spans="8:8" x14ac:dyDescent="0.3">
      <c r="H25720" t="str">
        <f t="shared" si="451"/>
        <v/>
      </c>
    </row>
    <row r="25721" spans="8:8" x14ac:dyDescent="0.3">
      <c r="H25721" t="str">
        <f t="shared" si="451"/>
        <v/>
      </c>
    </row>
    <row r="25722" spans="8:8" x14ac:dyDescent="0.3">
      <c r="H25722" t="str">
        <f t="shared" si="451"/>
        <v/>
      </c>
    </row>
    <row r="25723" spans="8:8" x14ac:dyDescent="0.3">
      <c r="H25723" t="str">
        <f t="shared" si="451"/>
        <v/>
      </c>
    </row>
    <row r="25724" spans="8:8" x14ac:dyDescent="0.3">
      <c r="H25724" t="str">
        <f t="shared" si="451"/>
        <v/>
      </c>
    </row>
    <row r="25725" spans="8:8" x14ac:dyDescent="0.3">
      <c r="H25725" t="str">
        <f t="shared" si="451"/>
        <v/>
      </c>
    </row>
    <row r="25726" spans="8:8" x14ac:dyDescent="0.3">
      <c r="H25726" t="str">
        <f t="shared" si="451"/>
        <v/>
      </c>
    </row>
    <row r="25727" spans="8:8" x14ac:dyDescent="0.3">
      <c r="H25727" t="str">
        <f t="shared" si="451"/>
        <v/>
      </c>
    </row>
    <row r="25728" spans="8:8" x14ac:dyDescent="0.3">
      <c r="H25728" t="str">
        <f t="shared" si="451"/>
        <v/>
      </c>
    </row>
    <row r="25729" spans="8:8" x14ac:dyDescent="0.3">
      <c r="H25729" t="str">
        <f t="shared" si="451"/>
        <v/>
      </c>
    </row>
    <row r="25730" spans="8:8" x14ac:dyDescent="0.3">
      <c r="H25730" t="str">
        <f t="shared" si="451"/>
        <v/>
      </c>
    </row>
    <row r="25731" spans="8:8" x14ac:dyDescent="0.3">
      <c r="H25731" t="str">
        <f t="shared" si="451"/>
        <v/>
      </c>
    </row>
    <row r="25732" spans="8:8" x14ac:dyDescent="0.3">
      <c r="H25732" t="str">
        <f t="shared" si="451"/>
        <v/>
      </c>
    </row>
    <row r="25733" spans="8:8" x14ac:dyDescent="0.3">
      <c r="H25733" t="str">
        <f t="shared" si="451"/>
        <v/>
      </c>
    </row>
    <row r="25734" spans="8:8" x14ac:dyDescent="0.3">
      <c r="H25734" t="str">
        <f t="shared" si="451"/>
        <v/>
      </c>
    </row>
    <row r="25735" spans="8:8" x14ac:dyDescent="0.3">
      <c r="H25735" t="str">
        <f t="shared" si="451"/>
        <v/>
      </c>
    </row>
    <row r="25736" spans="8:8" x14ac:dyDescent="0.3">
      <c r="H25736" t="str">
        <f t="shared" si="451"/>
        <v/>
      </c>
    </row>
    <row r="25737" spans="8:8" x14ac:dyDescent="0.3">
      <c r="H25737" t="str">
        <f t="shared" si="451"/>
        <v/>
      </c>
    </row>
    <row r="25738" spans="8:8" x14ac:dyDescent="0.3">
      <c r="H25738" t="str">
        <f t="shared" si="451"/>
        <v/>
      </c>
    </row>
    <row r="25739" spans="8:8" x14ac:dyDescent="0.3">
      <c r="H25739" t="str">
        <f t="shared" si="451"/>
        <v/>
      </c>
    </row>
    <row r="25740" spans="8:8" x14ac:dyDescent="0.3">
      <c r="H25740" t="str">
        <f t="shared" si="451"/>
        <v/>
      </c>
    </row>
    <row r="25741" spans="8:8" x14ac:dyDescent="0.3">
      <c r="H25741" t="str">
        <f t="shared" si="451"/>
        <v/>
      </c>
    </row>
    <row r="25742" spans="8:8" x14ac:dyDescent="0.3">
      <c r="H25742" t="str">
        <f t="shared" si="451"/>
        <v/>
      </c>
    </row>
    <row r="25743" spans="8:8" x14ac:dyDescent="0.3">
      <c r="H25743" t="str">
        <f t="shared" si="451"/>
        <v/>
      </c>
    </row>
    <row r="25744" spans="8:8" x14ac:dyDescent="0.3">
      <c r="H25744" t="str">
        <f t="shared" si="451"/>
        <v/>
      </c>
    </row>
    <row r="25745" spans="8:8" x14ac:dyDescent="0.3">
      <c r="H25745" t="str">
        <f t="shared" si="451"/>
        <v/>
      </c>
    </row>
    <row r="25746" spans="8:8" x14ac:dyDescent="0.3">
      <c r="H25746" t="str">
        <f t="shared" si="451"/>
        <v/>
      </c>
    </row>
    <row r="25747" spans="8:8" x14ac:dyDescent="0.3">
      <c r="H25747" t="str">
        <f t="shared" si="451"/>
        <v/>
      </c>
    </row>
    <row r="25748" spans="8:8" x14ac:dyDescent="0.3">
      <c r="H25748" t="str">
        <f t="shared" si="451"/>
        <v/>
      </c>
    </row>
    <row r="25749" spans="8:8" x14ac:dyDescent="0.3">
      <c r="H25749" t="str">
        <f t="shared" si="451"/>
        <v/>
      </c>
    </row>
    <row r="25750" spans="8:8" x14ac:dyDescent="0.3">
      <c r="H25750" t="str">
        <f t="shared" si="451"/>
        <v/>
      </c>
    </row>
    <row r="25751" spans="8:8" x14ac:dyDescent="0.3">
      <c r="H25751" t="str">
        <f t="shared" ref="H25751:H25814" si="452">IF(B25751="","",$C$12)</f>
        <v/>
      </c>
    </row>
    <row r="25752" spans="8:8" x14ac:dyDescent="0.3">
      <c r="H25752" t="str">
        <f t="shared" si="452"/>
        <v/>
      </c>
    </row>
    <row r="25753" spans="8:8" x14ac:dyDescent="0.3">
      <c r="H25753" t="str">
        <f t="shared" si="452"/>
        <v/>
      </c>
    </row>
    <row r="25754" spans="8:8" x14ac:dyDescent="0.3">
      <c r="H25754" t="str">
        <f t="shared" si="452"/>
        <v/>
      </c>
    </row>
    <row r="25755" spans="8:8" x14ac:dyDescent="0.3">
      <c r="H25755" t="str">
        <f t="shared" si="452"/>
        <v/>
      </c>
    </row>
    <row r="25756" spans="8:8" x14ac:dyDescent="0.3">
      <c r="H25756" t="str">
        <f t="shared" si="452"/>
        <v/>
      </c>
    </row>
    <row r="25757" spans="8:8" x14ac:dyDescent="0.3">
      <c r="H25757" t="str">
        <f t="shared" si="452"/>
        <v/>
      </c>
    </row>
    <row r="25758" spans="8:8" x14ac:dyDescent="0.3">
      <c r="H25758" t="str">
        <f t="shared" si="452"/>
        <v/>
      </c>
    </row>
    <row r="25759" spans="8:8" x14ac:dyDescent="0.3">
      <c r="H25759" t="str">
        <f t="shared" si="452"/>
        <v/>
      </c>
    </row>
    <row r="25760" spans="8:8" x14ac:dyDescent="0.3">
      <c r="H25760" t="str">
        <f t="shared" si="452"/>
        <v/>
      </c>
    </row>
    <row r="25761" spans="8:8" x14ac:dyDescent="0.3">
      <c r="H25761" t="str">
        <f t="shared" si="452"/>
        <v/>
      </c>
    </row>
    <row r="25762" spans="8:8" x14ac:dyDescent="0.3">
      <c r="H25762" t="str">
        <f t="shared" si="452"/>
        <v/>
      </c>
    </row>
    <row r="25763" spans="8:8" x14ac:dyDescent="0.3">
      <c r="H25763" t="str">
        <f t="shared" si="452"/>
        <v/>
      </c>
    </row>
    <row r="25764" spans="8:8" x14ac:dyDescent="0.3">
      <c r="H25764" t="str">
        <f t="shared" si="452"/>
        <v/>
      </c>
    </row>
    <row r="25765" spans="8:8" x14ac:dyDescent="0.3">
      <c r="H25765" t="str">
        <f t="shared" si="452"/>
        <v/>
      </c>
    </row>
    <row r="25766" spans="8:8" x14ac:dyDescent="0.3">
      <c r="H25766" t="str">
        <f t="shared" si="452"/>
        <v/>
      </c>
    </row>
    <row r="25767" spans="8:8" x14ac:dyDescent="0.3">
      <c r="H25767" t="str">
        <f t="shared" si="452"/>
        <v/>
      </c>
    </row>
    <row r="25768" spans="8:8" x14ac:dyDescent="0.3">
      <c r="H25768" t="str">
        <f t="shared" si="452"/>
        <v/>
      </c>
    </row>
    <row r="25769" spans="8:8" x14ac:dyDescent="0.3">
      <c r="H25769" t="str">
        <f t="shared" si="452"/>
        <v/>
      </c>
    </row>
    <row r="25770" spans="8:8" x14ac:dyDescent="0.3">
      <c r="H25770" t="str">
        <f t="shared" si="452"/>
        <v/>
      </c>
    </row>
    <row r="25771" spans="8:8" x14ac:dyDescent="0.3">
      <c r="H25771" t="str">
        <f t="shared" si="452"/>
        <v/>
      </c>
    </row>
    <row r="25772" spans="8:8" x14ac:dyDescent="0.3">
      <c r="H25772" t="str">
        <f t="shared" si="452"/>
        <v/>
      </c>
    </row>
    <row r="25773" spans="8:8" x14ac:dyDescent="0.3">
      <c r="H25773" t="str">
        <f t="shared" si="452"/>
        <v/>
      </c>
    </row>
    <row r="25774" spans="8:8" x14ac:dyDescent="0.3">
      <c r="H25774" t="str">
        <f t="shared" si="452"/>
        <v/>
      </c>
    </row>
    <row r="25775" spans="8:8" x14ac:dyDescent="0.3">
      <c r="H25775" t="str">
        <f t="shared" si="452"/>
        <v/>
      </c>
    </row>
    <row r="25776" spans="8:8" x14ac:dyDescent="0.3">
      <c r="H25776" t="str">
        <f t="shared" si="452"/>
        <v/>
      </c>
    </row>
    <row r="25777" spans="8:8" x14ac:dyDescent="0.3">
      <c r="H25777" t="str">
        <f t="shared" si="452"/>
        <v/>
      </c>
    </row>
    <row r="25778" spans="8:8" x14ac:dyDescent="0.3">
      <c r="H25778" t="str">
        <f t="shared" si="452"/>
        <v/>
      </c>
    </row>
    <row r="25779" spans="8:8" x14ac:dyDescent="0.3">
      <c r="H25779" t="str">
        <f t="shared" si="452"/>
        <v/>
      </c>
    </row>
    <row r="25780" spans="8:8" x14ac:dyDescent="0.3">
      <c r="H25780" t="str">
        <f t="shared" si="452"/>
        <v/>
      </c>
    </row>
    <row r="25781" spans="8:8" x14ac:dyDescent="0.3">
      <c r="H25781" t="str">
        <f t="shared" si="452"/>
        <v/>
      </c>
    </row>
    <row r="25782" spans="8:8" x14ac:dyDescent="0.3">
      <c r="H25782" t="str">
        <f t="shared" si="452"/>
        <v/>
      </c>
    </row>
    <row r="25783" spans="8:8" x14ac:dyDescent="0.3">
      <c r="H25783" t="str">
        <f t="shared" si="452"/>
        <v/>
      </c>
    </row>
    <row r="25784" spans="8:8" x14ac:dyDescent="0.3">
      <c r="H25784" t="str">
        <f t="shared" si="452"/>
        <v/>
      </c>
    </row>
    <row r="25785" spans="8:8" x14ac:dyDescent="0.3">
      <c r="H25785" t="str">
        <f t="shared" si="452"/>
        <v/>
      </c>
    </row>
    <row r="25786" spans="8:8" x14ac:dyDescent="0.3">
      <c r="H25786" t="str">
        <f t="shared" si="452"/>
        <v/>
      </c>
    </row>
    <row r="25787" spans="8:8" x14ac:dyDescent="0.3">
      <c r="H25787" t="str">
        <f t="shared" si="452"/>
        <v/>
      </c>
    </row>
    <row r="25788" spans="8:8" x14ac:dyDescent="0.3">
      <c r="H25788" t="str">
        <f t="shared" si="452"/>
        <v/>
      </c>
    </row>
    <row r="25789" spans="8:8" x14ac:dyDescent="0.3">
      <c r="H25789" t="str">
        <f t="shared" si="452"/>
        <v/>
      </c>
    </row>
    <row r="25790" spans="8:8" x14ac:dyDescent="0.3">
      <c r="H25790" t="str">
        <f t="shared" si="452"/>
        <v/>
      </c>
    </row>
    <row r="25791" spans="8:8" x14ac:dyDescent="0.3">
      <c r="H25791" t="str">
        <f t="shared" si="452"/>
        <v/>
      </c>
    </row>
    <row r="25792" spans="8:8" x14ac:dyDescent="0.3">
      <c r="H25792" t="str">
        <f t="shared" si="452"/>
        <v/>
      </c>
    </row>
    <row r="25793" spans="8:8" x14ac:dyDescent="0.3">
      <c r="H25793" t="str">
        <f t="shared" si="452"/>
        <v/>
      </c>
    </row>
    <row r="25794" spans="8:8" x14ac:dyDescent="0.3">
      <c r="H25794" t="str">
        <f t="shared" si="452"/>
        <v/>
      </c>
    </row>
    <row r="25795" spans="8:8" x14ac:dyDescent="0.3">
      <c r="H25795" t="str">
        <f t="shared" si="452"/>
        <v/>
      </c>
    </row>
    <row r="25796" spans="8:8" x14ac:dyDescent="0.3">
      <c r="H25796" t="str">
        <f t="shared" si="452"/>
        <v/>
      </c>
    </row>
    <row r="25797" spans="8:8" x14ac:dyDescent="0.3">
      <c r="H25797" t="str">
        <f t="shared" si="452"/>
        <v/>
      </c>
    </row>
    <row r="25798" spans="8:8" x14ac:dyDescent="0.3">
      <c r="H25798" t="str">
        <f t="shared" si="452"/>
        <v/>
      </c>
    </row>
    <row r="25799" spans="8:8" x14ac:dyDescent="0.3">
      <c r="H25799" t="str">
        <f t="shared" si="452"/>
        <v/>
      </c>
    </row>
    <row r="25800" spans="8:8" x14ac:dyDescent="0.3">
      <c r="H25800" t="str">
        <f t="shared" si="452"/>
        <v/>
      </c>
    </row>
    <row r="25801" spans="8:8" x14ac:dyDescent="0.3">
      <c r="H25801" t="str">
        <f t="shared" si="452"/>
        <v/>
      </c>
    </row>
    <row r="25802" spans="8:8" x14ac:dyDescent="0.3">
      <c r="H25802" t="str">
        <f t="shared" si="452"/>
        <v/>
      </c>
    </row>
    <row r="25803" spans="8:8" x14ac:dyDescent="0.3">
      <c r="H25803" t="str">
        <f t="shared" si="452"/>
        <v/>
      </c>
    </row>
    <row r="25804" spans="8:8" x14ac:dyDescent="0.3">
      <c r="H25804" t="str">
        <f t="shared" si="452"/>
        <v/>
      </c>
    </row>
    <row r="25805" spans="8:8" x14ac:dyDescent="0.3">
      <c r="H25805" t="str">
        <f t="shared" si="452"/>
        <v/>
      </c>
    </row>
    <row r="25806" spans="8:8" x14ac:dyDescent="0.3">
      <c r="H25806" t="str">
        <f t="shared" si="452"/>
        <v/>
      </c>
    </row>
    <row r="25807" spans="8:8" x14ac:dyDescent="0.3">
      <c r="H25807" t="str">
        <f t="shared" si="452"/>
        <v/>
      </c>
    </row>
    <row r="25808" spans="8:8" x14ac:dyDescent="0.3">
      <c r="H25808" t="str">
        <f t="shared" si="452"/>
        <v/>
      </c>
    </row>
    <row r="25809" spans="8:8" x14ac:dyDescent="0.3">
      <c r="H25809" t="str">
        <f t="shared" si="452"/>
        <v/>
      </c>
    </row>
    <row r="25810" spans="8:8" x14ac:dyDescent="0.3">
      <c r="H25810" t="str">
        <f t="shared" si="452"/>
        <v/>
      </c>
    </row>
    <row r="25811" spans="8:8" x14ac:dyDescent="0.3">
      <c r="H25811" t="str">
        <f t="shared" si="452"/>
        <v/>
      </c>
    </row>
    <row r="25812" spans="8:8" x14ac:dyDescent="0.3">
      <c r="H25812" t="str">
        <f t="shared" si="452"/>
        <v/>
      </c>
    </row>
    <row r="25813" spans="8:8" x14ac:dyDescent="0.3">
      <c r="H25813" t="str">
        <f t="shared" si="452"/>
        <v/>
      </c>
    </row>
    <row r="25814" spans="8:8" x14ac:dyDescent="0.3">
      <c r="H25814" t="str">
        <f t="shared" si="452"/>
        <v/>
      </c>
    </row>
    <row r="25815" spans="8:8" x14ac:dyDescent="0.3">
      <c r="H25815" t="str">
        <f t="shared" ref="H25815:H25878" si="453">IF(B25815="","",$C$12)</f>
        <v/>
      </c>
    </row>
    <row r="25816" spans="8:8" x14ac:dyDescent="0.3">
      <c r="H25816" t="str">
        <f t="shared" si="453"/>
        <v/>
      </c>
    </row>
    <row r="25817" spans="8:8" x14ac:dyDescent="0.3">
      <c r="H25817" t="str">
        <f t="shared" si="453"/>
        <v/>
      </c>
    </row>
    <row r="25818" spans="8:8" x14ac:dyDescent="0.3">
      <c r="H25818" t="str">
        <f t="shared" si="453"/>
        <v/>
      </c>
    </row>
    <row r="25819" spans="8:8" x14ac:dyDescent="0.3">
      <c r="H25819" t="str">
        <f t="shared" si="453"/>
        <v/>
      </c>
    </row>
    <row r="25820" spans="8:8" x14ac:dyDescent="0.3">
      <c r="H25820" t="str">
        <f t="shared" si="453"/>
        <v/>
      </c>
    </row>
    <row r="25821" spans="8:8" x14ac:dyDescent="0.3">
      <c r="H25821" t="str">
        <f t="shared" si="453"/>
        <v/>
      </c>
    </row>
    <row r="25822" spans="8:8" x14ac:dyDescent="0.3">
      <c r="H25822" t="str">
        <f t="shared" si="453"/>
        <v/>
      </c>
    </row>
    <row r="25823" spans="8:8" x14ac:dyDescent="0.3">
      <c r="H25823" t="str">
        <f t="shared" si="453"/>
        <v/>
      </c>
    </row>
    <row r="25824" spans="8:8" x14ac:dyDescent="0.3">
      <c r="H25824" t="str">
        <f t="shared" si="453"/>
        <v/>
      </c>
    </row>
    <row r="25825" spans="8:8" x14ac:dyDescent="0.3">
      <c r="H25825" t="str">
        <f t="shared" si="453"/>
        <v/>
      </c>
    </row>
    <row r="25826" spans="8:8" x14ac:dyDescent="0.3">
      <c r="H25826" t="str">
        <f t="shared" si="453"/>
        <v/>
      </c>
    </row>
    <row r="25827" spans="8:8" x14ac:dyDescent="0.3">
      <c r="H25827" t="str">
        <f t="shared" si="453"/>
        <v/>
      </c>
    </row>
    <row r="25828" spans="8:8" x14ac:dyDescent="0.3">
      <c r="H25828" t="str">
        <f t="shared" si="453"/>
        <v/>
      </c>
    </row>
    <row r="25829" spans="8:8" x14ac:dyDescent="0.3">
      <c r="H25829" t="str">
        <f t="shared" si="453"/>
        <v/>
      </c>
    </row>
    <row r="25830" spans="8:8" x14ac:dyDescent="0.3">
      <c r="H25830" t="str">
        <f t="shared" si="453"/>
        <v/>
      </c>
    </row>
    <row r="25831" spans="8:8" x14ac:dyDescent="0.3">
      <c r="H25831" t="str">
        <f t="shared" si="453"/>
        <v/>
      </c>
    </row>
    <row r="25832" spans="8:8" x14ac:dyDescent="0.3">
      <c r="H25832" t="str">
        <f t="shared" si="453"/>
        <v/>
      </c>
    </row>
    <row r="25833" spans="8:8" x14ac:dyDescent="0.3">
      <c r="H25833" t="str">
        <f t="shared" si="453"/>
        <v/>
      </c>
    </row>
    <row r="25834" spans="8:8" x14ac:dyDescent="0.3">
      <c r="H25834" t="str">
        <f t="shared" si="453"/>
        <v/>
      </c>
    </row>
    <row r="25835" spans="8:8" x14ac:dyDescent="0.3">
      <c r="H25835" t="str">
        <f t="shared" si="453"/>
        <v/>
      </c>
    </row>
    <row r="25836" spans="8:8" x14ac:dyDescent="0.3">
      <c r="H25836" t="str">
        <f t="shared" si="453"/>
        <v/>
      </c>
    </row>
    <row r="25837" spans="8:8" x14ac:dyDescent="0.3">
      <c r="H25837" t="str">
        <f t="shared" si="453"/>
        <v/>
      </c>
    </row>
    <row r="25838" spans="8:8" x14ac:dyDescent="0.3">
      <c r="H25838" t="str">
        <f t="shared" si="453"/>
        <v/>
      </c>
    </row>
    <row r="25839" spans="8:8" x14ac:dyDescent="0.3">
      <c r="H25839" t="str">
        <f t="shared" si="453"/>
        <v/>
      </c>
    </row>
    <row r="25840" spans="8:8" x14ac:dyDescent="0.3">
      <c r="H25840" t="str">
        <f t="shared" si="453"/>
        <v/>
      </c>
    </row>
    <row r="25841" spans="8:8" x14ac:dyDescent="0.3">
      <c r="H25841" t="str">
        <f t="shared" si="453"/>
        <v/>
      </c>
    </row>
    <row r="25842" spans="8:8" x14ac:dyDescent="0.3">
      <c r="H25842" t="str">
        <f t="shared" si="453"/>
        <v/>
      </c>
    </row>
    <row r="25843" spans="8:8" x14ac:dyDescent="0.3">
      <c r="H25843" t="str">
        <f t="shared" si="453"/>
        <v/>
      </c>
    </row>
    <row r="25844" spans="8:8" x14ac:dyDescent="0.3">
      <c r="H25844" t="str">
        <f t="shared" si="453"/>
        <v/>
      </c>
    </row>
    <row r="25845" spans="8:8" x14ac:dyDescent="0.3">
      <c r="H25845" t="str">
        <f t="shared" si="453"/>
        <v/>
      </c>
    </row>
    <row r="25846" spans="8:8" x14ac:dyDescent="0.3">
      <c r="H25846" t="str">
        <f t="shared" si="453"/>
        <v/>
      </c>
    </row>
    <row r="25847" spans="8:8" x14ac:dyDescent="0.3">
      <c r="H25847" t="str">
        <f t="shared" si="453"/>
        <v/>
      </c>
    </row>
    <row r="25848" spans="8:8" x14ac:dyDescent="0.3">
      <c r="H25848" t="str">
        <f t="shared" si="453"/>
        <v/>
      </c>
    </row>
    <row r="25849" spans="8:8" x14ac:dyDescent="0.3">
      <c r="H25849" t="str">
        <f t="shared" si="453"/>
        <v/>
      </c>
    </row>
    <row r="25850" spans="8:8" x14ac:dyDescent="0.3">
      <c r="H25850" t="str">
        <f t="shared" si="453"/>
        <v/>
      </c>
    </row>
    <row r="25851" spans="8:8" x14ac:dyDescent="0.3">
      <c r="H25851" t="str">
        <f t="shared" si="453"/>
        <v/>
      </c>
    </row>
    <row r="25852" spans="8:8" x14ac:dyDescent="0.3">
      <c r="H25852" t="str">
        <f t="shared" si="453"/>
        <v/>
      </c>
    </row>
    <row r="25853" spans="8:8" x14ac:dyDescent="0.3">
      <c r="H25853" t="str">
        <f t="shared" si="453"/>
        <v/>
      </c>
    </row>
    <row r="25854" spans="8:8" x14ac:dyDescent="0.3">
      <c r="H25854" t="str">
        <f t="shared" si="453"/>
        <v/>
      </c>
    </row>
    <row r="25855" spans="8:8" x14ac:dyDescent="0.3">
      <c r="H25855" t="str">
        <f t="shared" si="453"/>
        <v/>
      </c>
    </row>
    <row r="25856" spans="8:8" x14ac:dyDescent="0.3">
      <c r="H25856" t="str">
        <f t="shared" si="453"/>
        <v/>
      </c>
    </row>
    <row r="25857" spans="8:8" x14ac:dyDescent="0.3">
      <c r="H25857" t="str">
        <f t="shared" si="453"/>
        <v/>
      </c>
    </row>
    <row r="25858" spans="8:8" x14ac:dyDescent="0.3">
      <c r="H25858" t="str">
        <f t="shared" si="453"/>
        <v/>
      </c>
    </row>
    <row r="25859" spans="8:8" x14ac:dyDescent="0.3">
      <c r="H25859" t="str">
        <f t="shared" si="453"/>
        <v/>
      </c>
    </row>
    <row r="25860" spans="8:8" x14ac:dyDescent="0.3">
      <c r="H25860" t="str">
        <f t="shared" si="453"/>
        <v/>
      </c>
    </row>
    <row r="25861" spans="8:8" x14ac:dyDescent="0.3">
      <c r="H25861" t="str">
        <f t="shared" si="453"/>
        <v/>
      </c>
    </row>
    <row r="25862" spans="8:8" x14ac:dyDescent="0.3">
      <c r="H25862" t="str">
        <f t="shared" si="453"/>
        <v/>
      </c>
    </row>
    <row r="25863" spans="8:8" x14ac:dyDescent="0.3">
      <c r="H25863" t="str">
        <f t="shared" si="453"/>
        <v/>
      </c>
    </row>
    <row r="25864" spans="8:8" x14ac:dyDescent="0.3">
      <c r="H25864" t="str">
        <f t="shared" si="453"/>
        <v/>
      </c>
    </row>
    <row r="25865" spans="8:8" x14ac:dyDescent="0.3">
      <c r="H25865" t="str">
        <f t="shared" si="453"/>
        <v/>
      </c>
    </row>
    <row r="25866" spans="8:8" x14ac:dyDescent="0.3">
      <c r="H25866" t="str">
        <f t="shared" si="453"/>
        <v/>
      </c>
    </row>
    <row r="25867" spans="8:8" x14ac:dyDescent="0.3">
      <c r="H25867" t="str">
        <f t="shared" si="453"/>
        <v/>
      </c>
    </row>
    <row r="25868" spans="8:8" x14ac:dyDescent="0.3">
      <c r="H25868" t="str">
        <f t="shared" si="453"/>
        <v/>
      </c>
    </row>
    <row r="25869" spans="8:8" x14ac:dyDescent="0.3">
      <c r="H25869" t="str">
        <f t="shared" si="453"/>
        <v/>
      </c>
    </row>
    <row r="25870" spans="8:8" x14ac:dyDescent="0.3">
      <c r="H25870" t="str">
        <f t="shared" si="453"/>
        <v/>
      </c>
    </row>
    <row r="25871" spans="8:8" x14ac:dyDescent="0.3">
      <c r="H25871" t="str">
        <f t="shared" si="453"/>
        <v/>
      </c>
    </row>
    <row r="25872" spans="8:8" x14ac:dyDescent="0.3">
      <c r="H25872" t="str">
        <f t="shared" si="453"/>
        <v/>
      </c>
    </row>
    <row r="25873" spans="8:8" x14ac:dyDescent="0.3">
      <c r="H25873" t="str">
        <f t="shared" si="453"/>
        <v/>
      </c>
    </row>
    <row r="25874" spans="8:8" x14ac:dyDescent="0.3">
      <c r="H25874" t="str">
        <f t="shared" si="453"/>
        <v/>
      </c>
    </row>
    <row r="25875" spans="8:8" x14ac:dyDescent="0.3">
      <c r="H25875" t="str">
        <f t="shared" si="453"/>
        <v/>
      </c>
    </row>
    <row r="25876" spans="8:8" x14ac:dyDescent="0.3">
      <c r="H25876" t="str">
        <f t="shared" si="453"/>
        <v/>
      </c>
    </row>
    <row r="25877" spans="8:8" x14ac:dyDescent="0.3">
      <c r="H25877" t="str">
        <f t="shared" si="453"/>
        <v/>
      </c>
    </row>
    <row r="25878" spans="8:8" x14ac:dyDescent="0.3">
      <c r="H25878" t="str">
        <f t="shared" si="453"/>
        <v/>
      </c>
    </row>
    <row r="25879" spans="8:8" x14ac:dyDescent="0.3">
      <c r="H25879" t="str">
        <f t="shared" ref="H25879:H25942" si="454">IF(B25879="","",$C$12)</f>
        <v/>
      </c>
    </row>
    <row r="25880" spans="8:8" x14ac:dyDescent="0.3">
      <c r="H25880" t="str">
        <f t="shared" si="454"/>
        <v/>
      </c>
    </row>
    <row r="25881" spans="8:8" x14ac:dyDescent="0.3">
      <c r="H25881" t="str">
        <f t="shared" si="454"/>
        <v/>
      </c>
    </row>
    <row r="25882" spans="8:8" x14ac:dyDescent="0.3">
      <c r="H25882" t="str">
        <f t="shared" si="454"/>
        <v/>
      </c>
    </row>
    <row r="25883" spans="8:8" x14ac:dyDescent="0.3">
      <c r="H25883" t="str">
        <f t="shared" si="454"/>
        <v/>
      </c>
    </row>
    <row r="25884" spans="8:8" x14ac:dyDescent="0.3">
      <c r="H25884" t="str">
        <f t="shared" si="454"/>
        <v/>
      </c>
    </row>
    <row r="25885" spans="8:8" x14ac:dyDescent="0.3">
      <c r="H25885" t="str">
        <f t="shared" si="454"/>
        <v/>
      </c>
    </row>
    <row r="25886" spans="8:8" x14ac:dyDescent="0.3">
      <c r="H25886" t="str">
        <f t="shared" si="454"/>
        <v/>
      </c>
    </row>
    <row r="25887" spans="8:8" x14ac:dyDescent="0.3">
      <c r="H25887" t="str">
        <f t="shared" si="454"/>
        <v/>
      </c>
    </row>
    <row r="25888" spans="8:8" x14ac:dyDescent="0.3">
      <c r="H25888" t="str">
        <f t="shared" si="454"/>
        <v/>
      </c>
    </row>
    <row r="25889" spans="8:8" x14ac:dyDescent="0.3">
      <c r="H25889" t="str">
        <f t="shared" si="454"/>
        <v/>
      </c>
    </row>
    <row r="25890" spans="8:8" x14ac:dyDescent="0.3">
      <c r="H25890" t="str">
        <f t="shared" si="454"/>
        <v/>
      </c>
    </row>
    <row r="25891" spans="8:8" x14ac:dyDescent="0.3">
      <c r="H25891" t="str">
        <f t="shared" si="454"/>
        <v/>
      </c>
    </row>
    <row r="25892" spans="8:8" x14ac:dyDescent="0.3">
      <c r="H25892" t="str">
        <f t="shared" si="454"/>
        <v/>
      </c>
    </row>
    <row r="25893" spans="8:8" x14ac:dyDescent="0.3">
      <c r="H25893" t="str">
        <f t="shared" si="454"/>
        <v/>
      </c>
    </row>
    <row r="25894" spans="8:8" x14ac:dyDescent="0.3">
      <c r="H25894" t="str">
        <f t="shared" si="454"/>
        <v/>
      </c>
    </row>
    <row r="25895" spans="8:8" x14ac:dyDescent="0.3">
      <c r="H25895" t="str">
        <f t="shared" si="454"/>
        <v/>
      </c>
    </row>
    <row r="25896" spans="8:8" x14ac:dyDescent="0.3">
      <c r="H25896" t="str">
        <f t="shared" si="454"/>
        <v/>
      </c>
    </row>
    <row r="25897" spans="8:8" x14ac:dyDescent="0.3">
      <c r="H25897" t="str">
        <f t="shared" si="454"/>
        <v/>
      </c>
    </row>
    <row r="25898" spans="8:8" x14ac:dyDescent="0.3">
      <c r="H25898" t="str">
        <f t="shared" si="454"/>
        <v/>
      </c>
    </row>
    <row r="25899" spans="8:8" x14ac:dyDescent="0.3">
      <c r="H25899" t="str">
        <f t="shared" si="454"/>
        <v/>
      </c>
    </row>
    <row r="25900" spans="8:8" x14ac:dyDescent="0.3">
      <c r="H25900" t="str">
        <f t="shared" si="454"/>
        <v/>
      </c>
    </row>
    <row r="25901" spans="8:8" x14ac:dyDescent="0.3">
      <c r="H25901" t="str">
        <f t="shared" si="454"/>
        <v/>
      </c>
    </row>
    <row r="25902" spans="8:8" x14ac:dyDescent="0.3">
      <c r="H25902" t="str">
        <f t="shared" si="454"/>
        <v/>
      </c>
    </row>
    <row r="25903" spans="8:8" x14ac:dyDescent="0.3">
      <c r="H25903" t="str">
        <f t="shared" si="454"/>
        <v/>
      </c>
    </row>
    <row r="25904" spans="8:8" x14ac:dyDescent="0.3">
      <c r="H25904" t="str">
        <f t="shared" si="454"/>
        <v/>
      </c>
    </row>
    <row r="25905" spans="8:8" x14ac:dyDescent="0.3">
      <c r="H25905" t="str">
        <f t="shared" si="454"/>
        <v/>
      </c>
    </row>
    <row r="25906" spans="8:8" x14ac:dyDescent="0.3">
      <c r="H25906" t="str">
        <f t="shared" si="454"/>
        <v/>
      </c>
    </row>
    <row r="25907" spans="8:8" x14ac:dyDescent="0.3">
      <c r="H25907" t="str">
        <f t="shared" si="454"/>
        <v/>
      </c>
    </row>
    <row r="25908" spans="8:8" x14ac:dyDescent="0.3">
      <c r="H25908" t="str">
        <f t="shared" si="454"/>
        <v/>
      </c>
    </row>
    <row r="25909" spans="8:8" x14ac:dyDescent="0.3">
      <c r="H25909" t="str">
        <f t="shared" si="454"/>
        <v/>
      </c>
    </row>
    <row r="25910" spans="8:8" x14ac:dyDescent="0.3">
      <c r="H25910" t="str">
        <f t="shared" si="454"/>
        <v/>
      </c>
    </row>
    <row r="25911" spans="8:8" x14ac:dyDescent="0.3">
      <c r="H25911" t="str">
        <f t="shared" si="454"/>
        <v/>
      </c>
    </row>
    <row r="25912" spans="8:8" x14ac:dyDescent="0.3">
      <c r="H25912" t="str">
        <f t="shared" si="454"/>
        <v/>
      </c>
    </row>
    <row r="25913" spans="8:8" x14ac:dyDescent="0.3">
      <c r="H25913" t="str">
        <f t="shared" si="454"/>
        <v/>
      </c>
    </row>
    <row r="25914" spans="8:8" x14ac:dyDescent="0.3">
      <c r="H25914" t="str">
        <f t="shared" si="454"/>
        <v/>
      </c>
    </row>
    <row r="25915" spans="8:8" x14ac:dyDescent="0.3">
      <c r="H25915" t="str">
        <f t="shared" si="454"/>
        <v/>
      </c>
    </row>
    <row r="25916" spans="8:8" x14ac:dyDescent="0.3">
      <c r="H25916" t="str">
        <f t="shared" si="454"/>
        <v/>
      </c>
    </row>
    <row r="25917" spans="8:8" x14ac:dyDescent="0.3">
      <c r="H25917" t="str">
        <f t="shared" si="454"/>
        <v/>
      </c>
    </row>
    <row r="25918" spans="8:8" x14ac:dyDescent="0.3">
      <c r="H25918" t="str">
        <f t="shared" si="454"/>
        <v/>
      </c>
    </row>
    <row r="25919" spans="8:8" x14ac:dyDescent="0.3">
      <c r="H25919" t="str">
        <f t="shared" si="454"/>
        <v/>
      </c>
    </row>
    <row r="25920" spans="8:8" x14ac:dyDescent="0.3">
      <c r="H25920" t="str">
        <f t="shared" si="454"/>
        <v/>
      </c>
    </row>
    <row r="25921" spans="8:8" x14ac:dyDescent="0.3">
      <c r="H25921" t="str">
        <f t="shared" si="454"/>
        <v/>
      </c>
    </row>
    <row r="25922" spans="8:8" x14ac:dyDescent="0.3">
      <c r="H25922" t="str">
        <f t="shared" si="454"/>
        <v/>
      </c>
    </row>
    <row r="25923" spans="8:8" x14ac:dyDescent="0.3">
      <c r="H25923" t="str">
        <f t="shared" si="454"/>
        <v/>
      </c>
    </row>
    <row r="25924" spans="8:8" x14ac:dyDescent="0.3">
      <c r="H25924" t="str">
        <f t="shared" si="454"/>
        <v/>
      </c>
    </row>
    <row r="25925" spans="8:8" x14ac:dyDescent="0.3">
      <c r="H25925" t="str">
        <f t="shared" si="454"/>
        <v/>
      </c>
    </row>
    <row r="25926" spans="8:8" x14ac:dyDescent="0.3">
      <c r="H25926" t="str">
        <f t="shared" si="454"/>
        <v/>
      </c>
    </row>
    <row r="25927" spans="8:8" x14ac:dyDescent="0.3">
      <c r="H25927" t="str">
        <f t="shared" si="454"/>
        <v/>
      </c>
    </row>
    <row r="25928" spans="8:8" x14ac:dyDescent="0.3">
      <c r="H25928" t="str">
        <f t="shared" si="454"/>
        <v/>
      </c>
    </row>
    <row r="25929" spans="8:8" x14ac:dyDescent="0.3">
      <c r="H25929" t="str">
        <f t="shared" si="454"/>
        <v/>
      </c>
    </row>
    <row r="25930" spans="8:8" x14ac:dyDescent="0.3">
      <c r="H25930" t="str">
        <f t="shared" si="454"/>
        <v/>
      </c>
    </row>
    <row r="25931" spans="8:8" x14ac:dyDescent="0.3">
      <c r="H25931" t="str">
        <f t="shared" si="454"/>
        <v/>
      </c>
    </row>
    <row r="25932" spans="8:8" x14ac:dyDescent="0.3">
      <c r="H25932" t="str">
        <f t="shared" si="454"/>
        <v/>
      </c>
    </row>
    <row r="25933" spans="8:8" x14ac:dyDescent="0.3">
      <c r="H25933" t="str">
        <f t="shared" si="454"/>
        <v/>
      </c>
    </row>
    <row r="25934" spans="8:8" x14ac:dyDescent="0.3">
      <c r="H25934" t="str">
        <f t="shared" si="454"/>
        <v/>
      </c>
    </row>
    <row r="25935" spans="8:8" x14ac:dyDescent="0.3">
      <c r="H25935" t="str">
        <f t="shared" si="454"/>
        <v/>
      </c>
    </row>
    <row r="25936" spans="8:8" x14ac:dyDescent="0.3">
      <c r="H25936" t="str">
        <f t="shared" si="454"/>
        <v/>
      </c>
    </row>
    <row r="25937" spans="8:8" x14ac:dyDescent="0.3">
      <c r="H25937" t="str">
        <f t="shared" si="454"/>
        <v/>
      </c>
    </row>
    <row r="25938" spans="8:8" x14ac:dyDescent="0.3">
      <c r="H25938" t="str">
        <f t="shared" si="454"/>
        <v/>
      </c>
    </row>
    <row r="25939" spans="8:8" x14ac:dyDescent="0.3">
      <c r="H25939" t="str">
        <f t="shared" si="454"/>
        <v/>
      </c>
    </row>
    <row r="25940" spans="8:8" x14ac:dyDescent="0.3">
      <c r="H25940" t="str">
        <f t="shared" si="454"/>
        <v/>
      </c>
    </row>
    <row r="25941" spans="8:8" x14ac:dyDescent="0.3">
      <c r="H25941" t="str">
        <f t="shared" si="454"/>
        <v/>
      </c>
    </row>
    <row r="25942" spans="8:8" x14ac:dyDescent="0.3">
      <c r="H25942" t="str">
        <f t="shared" si="454"/>
        <v/>
      </c>
    </row>
    <row r="25943" spans="8:8" x14ac:dyDescent="0.3">
      <c r="H25943" t="str">
        <f t="shared" ref="H25943:H26006" si="455">IF(B25943="","",$C$12)</f>
        <v/>
      </c>
    </row>
    <row r="25944" spans="8:8" x14ac:dyDescent="0.3">
      <c r="H25944" t="str">
        <f t="shared" si="455"/>
        <v/>
      </c>
    </row>
    <row r="25945" spans="8:8" x14ac:dyDescent="0.3">
      <c r="H25945" t="str">
        <f t="shared" si="455"/>
        <v/>
      </c>
    </row>
    <row r="25946" spans="8:8" x14ac:dyDescent="0.3">
      <c r="H25946" t="str">
        <f t="shared" si="455"/>
        <v/>
      </c>
    </row>
    <row r="25947" spans="8:8" x14ac:dyDescent="0.3">
      <c r="H25947" t="str">
        <f t="shared" si="455"/>
        <v/>
      </c>
    </row>
    <row r="25948" spans="8:8" x14ac:dyDescent="0.3">
      <c r="H25948" t="str">
        <f t="shared" si="455"/>
        <v/>
      </c>
    </row>
    <row r="25949" spans="8:8" x14ac:dyDescent="0.3">
      <c r="H25949" t="str">
        <f t="shared" si="455"/>
        <v/>
      </c>
    </row>
    <row r="25950" spans="8:8" x14ac:dyDescent="0.3">
      <c r="H25950" t="str">
        <f t="shared" si="455"/>
        <v/>
      </c>
    </row>
    <row r="25951" spans="8:8" x14ac:dyDescent="0.3">
      <c r="H25951" t="str">
        <f t="shared" si="455"/>
        <v/>
      </c>
    </row>
    <row r="25952" spans="8:8" x14ac:dyDescent="0.3">
      <c r="H25952" t="str">
        <f t="shared" si="455"/>
        <v/>
      </c>
    </row>
    <row r="25953" spans="8:8" x14ac:dyDescent="0.3">
      <c r="H25953" t="str">
        <f t="shared" si="455"/>
        <v/>
      </c>
    </row>
    <row r="25954" spans="8:8" x14ac:dyDescent="0.3">
      <c r="H25954" t="str">
        <f t="shared" si="455"/>
        <v/>
      </c>
    </row>
    <row r="25955" spans="8:8" x14ac:dyDescent="0.3">
      <c r="H25955" t="str">
        <f t="shared" si="455"/>
        <v/>
      </c>
    </row>
    <row r="25956" spans="8:8" x14ac:dyDescent="0.3">
      <c r="H25956" t="str">
        <f t="shared" si="455"/>
        <v/>
      </c>
    </row>
    <row r="25957" spans="8:8" x14ac:dyDescent="0.3">
      <c r="H25957" t="str">
        <f t="shared" si="455"/>
        <v/>
      </c>
    </row>
    <row r="25958" spans="8:8" x14ac:dyDescent="0.3">
      <c r="H25958" t="str">
        <f t="shared" si="455"/>
        <v/>
      </c>
    </row>
    <row r="25959" spans="8:8" x14ac:dyDescent="0.3">
      <c r="H25959" t="str">
        <f t="shared" si="455"/>
        <v/>
      </c>
    </row>
    <row r="25960" spans="8:8" x14ac:dyDescent="0.3">
      <c r="H25960" t="str">
        <f t="shared" si="455"/>
        <v/>
      </c>
    </row>
    <row r="25961" spans="8:8" x14ac:dyDescent="0.3">
      <c r="H25961" t="str">
        <f t="shared" si="455"/>
        <v/>
      </c>
    </row>
    <row r="25962" spans="8:8" x14ac:dyDescent="0.3">
      <c r="H25962" t="str">
        <f t="shared" si="455"/>
        <v/>
      </c>
    </row>
    <row r="25963" spans="8:8" x14ac:dyDescent="0.3">
      <c r="H25963" t="str">
        <f t="shared" si="455"/>
        <v/>
      </c>
    </row>
    <row r="25964" spans="8:8" x14ac:dyDescent="0.3">
      <c r="H25964" t="str">
        <f t="shared" si="455"/>
        <v/>
      </c>
    </row>
    <row r="25965" spans="8:8" x14ac:dyDescent="0.3">
      <c r="H25965" t="str">
        <f t="shared" si="455"/>
        <v/>
      </c>
    </row>
    <row r="25966" spans="8:8" x14ac:dyDescent="0.3">
      <c r="H25966" t="str">
        <f t="shared" si="455"/>
        <v/>
      </c>
    </row>
    <row r="25967" spans="8:8" x14ac:dyDescent="0.3">
      <c r="H25967" t="str">
        <f t="shared" si="455"/>
        <v/>
      </c>
    </row>
    <row r="25968" spans="8:8" x14ac:dyDescent="0.3">
      <c r="H25968" t="str">
        <f t="shared" si="455"/>
        <v/>
      </c>
    </row>
    <row r="25969" spans="8:8" x14ac:dyDescent="0.3">
      <c r="H25969" t="str">
        <f t="shared" si="455"/>
        <v/>
      </c>
    </row>
    <row r="25970" spans="8:8" x14ac:dyDescent="0.3">
      <c r="H25970" t="str">
        <f t="shared" si="455"/>
        <v/>
      </c>
    </row>
    <row r="25971" spans="8:8" x14ac:dyDescent="0.3">
      <c r="H25971" t="str">
        <f t="shared" si="455"/>
        <v/>
      </c>
    </row>
    <row r="25972" spans="8:8" x14ac:dyDescent="0.3">
      <c r="H25972" t="str">
        <f t="shared" si="455"/>
        <v/>
      </c>
    </row>
    <row r="25973" spans="8:8" x14ac:dyDescent="0.3">
      <c r="H25973" t="str">
        <f t="shared" si="455"/>
        <v/>
      </c>
    </row>
    <row r="25974" spans="8:8" x14ac:dyDescent="0.3">
      <c r="H25974" t="str">
        <f t="shared" si="455"/>
        <v/>
      </c>
    </row>
    <row r="25975" spans="8:8" x14ac:dyDescent="0.3">
      <c r="H25975" t="str">
        <f t="shared" si="455"/>
        <v/>
      </c>
    </row>
    <row r="25976" spans="8:8" x14ac:dyDescent="0.3">
      <c r="H25976" t="str">
        <f t="shared" si="455"/>
        <v/>
      </c>
    </row>
    <row r="25977" spans="8:8" x14ac:dyDescent="0.3">
      <c r="H25977" t="str">
        <f t="shared" si="455"/>
        <v/>
      </c>
    </row>
    <row r="25978" spans="8:8" x14ac:dyDescent="0.3">
      <c r="H25978" t="str">
        <f t="shared" si="455"/>
        <v/>
      </c>
    </row>
    <row r="25979" spans="8:8" x14ac:dyDescent="0.3">
      <c r="H25979" t="str">
        <f t="shared" si="455"/>
        <v/>
      </c>
    </row>
    <row r="25980" spans="8:8" x14ac:dyDescent="0.3">
      <c r="H25980" t="str">
        <f t="shared" si="455"/>
        <v/>
      </c>
    </row>
    <row r="25981" spans="8:8" x14ac:dyDescent="0.3">
      <c r="H25981" t="str">
        <f t="shared" si="455"/>
        <v/>
      </c>
    </row>
    <row r="25982" spans="8:8" x14ac:dyDescent="0.3">
      <c r="H25982" t="str">
        <f t="shared" si="455"/>
        <v/>
      </c>
    </row>
    <row r="25983" spans="8:8" x14ac:dyDescent="0.3">
      <c r="H25983" t="str">
        <f t="shared" si="455"/>
        <v/>
      </c>
    </row>
    <row r="25984" spans="8:8" x14ac:dyDescent="0.3">
      <c r="H25984" t="str">
        <f t="shared" si="455"/>
        <v/>
      </c>
    </row>
    <row r="25985" spans="8:8" x14ac:dyDescent="0.3">
      <c r="H25985" t="str">
        <f t="shared" si="455"/>
        <v/>
      </c>
    </row>
    <row r="25986" spans="8:8" x14ac:dyDescent="0.3">
      <c r="H25986" t="str">
        <f t="shared" si="455"/>
        <v/>
      </c>
    </row>
    <row r="25987" spans="8:8" x14ac:dyDescent="0.3">
      <c r="H25987" t="str">
        <f t="shared" si="455"/>
        <v/>
      </c>
    </row>
    <row r="25988" spans="8:8" x14ac:dyDescent="0.3">
      <c r="H25988" t="str">
        <f t="shared" si="455"/>
        <v/>
      </c>
    </row>
    <row r="25989" spans="8:8" x14ac:dyDescent="0.3">
      <c r="H25989" t="str">
        <f t="shared" si="455"/>
        <v/>
      </c>
    </row>
    <row r="25990" spans="8:8" x14ac:dyDescent="0.3">
      <c r="H25990" t="str">
        <f t="shared" si="455"/>
        <v/>
      </c>
    </row>
    <row r="25991" spans="8:8" x14ac:dyDescent="0.3">
      <c r="H25991" t="str">
        <f t="shared" si="455"/>
        <v/>
      </c>
    </row>
    <row r="25992" spans="8:8" x14ac:dyDescent="0.3">
      <c r="H25992" t="str">
        <f t="shared" si="455"/>
        <v/>
      </c>
    </row>
    <row r="25993" spans="8:8" x14ac:dyDescent="0.3">
      <c r="H25993" t="str">
        <f t="shared" si="455"/>
        <v/>
      </c>
    </row>
    <row r="25994" spans="8:8" x14ac:dyDescent="0.3">
      <c r="H25994" t="str">
        <f t="shared" si="455"/>
        <v/>
      </c>
    </row>
    <row r="25995" spans="8:8" x14ac:dyDescent="0.3">
      <c r="H25995" t="str">
        <f t="shared" si="455"/>
        <v/>
      </c>
    </row>
    <row r="25996" spans="8:8" x14ac:dyDescent="0.3">
      <c r="H25996" t="str">
        <f t="shared" si="455"/>
        <v/>
      </c>
    </row>
    <row r="25997" spans="8:8" x14ac:dyDescent="0.3">
      <c r="H25997" t="str">
        <f t="shared" si="455"/>
        <v/>
      </c>
    </row>
    <row r="25998" spans="8:8" x14ac:dyDescent="0.3">
      <c r="H25998" t="str">
        <f t="shared" si="455"/>
        <v/>
      </c>
    </row>
    <row r="25999" spans="8:8" x14ac:dyDescent="0.3">
      <c r="H25999" t="str">
        <f t="shared" si="455"/>
        <v/>
      </c>
    </row>
    <row r="26000" spans="8:8" x14ac:dyDescent="0.3">
      <c r="H26000" t="str">
        <f t="shared" si="455"/>
        <v/>
      </c>
    </row>
    <row r="26001" spans="8:8" x14ac:dyDescent="0.3">
      <c r="H26001" t="str">
        <f t="shared" si="455"/>
        <v/>
      </c>
    </row>
    <row r="26002" spans="8:8" x14ac:dyDescent="0.3">
      <c r="H26002" t="str">
        <f t="shared" si="455"/>
        <v/>
      </c>
    </row>
    <row r="26003" spans="8:8" x14ac:dyDescent="0.3">
      <c r="H26003" t="str">
        <f t="shared" si="455"/>
        <v/>
      </c>
    </row>
    <row r="26004" spans="8:8" x14ac:dyDescent="0.3">
      <c r="H26004" t="str">
        <f t="shared" si="455"/>
        <v/>
      </c>
    </row>
    <row r="26005" spans="8:8" x14ac:dyDescent="0.3">
      <c r="H26005" t="str">
        <f t="shared" si="455"/>
        <v/>
      </c>
    </row>
    <row r="26006" spans="8:8" x14ac:dyDescent="0.3">
      <c r="H26006" t="str">
        <f t="shared" si="455"/>
        <v/>
      </c>
    </row>
    <row r="26007" spans="8:8" x14ac:dyDescent="0.3">
      <c r="H26007" t="str">
        <f t="shared" ref="H26007:H26070" si="456">IF(B26007="","",$C$12)</f>
        <v/>
      </c>
    </row>
    <row r="26008" spans="8:8" x14ac:dyDescent="0.3">
      <c r="H26008" t="str">
        <f t="shared" si="456"/>
        <v/>
      </c>
    </row>
    <row r="26009" spans="8:8" x14ac:dyDescent="0.3">
      <c r="H26009" t="str">
        <f t="shared" si="456"/>
        <v/>
      </c>
    </row>
    <row r="26010" spans="8:8" x14ac:dyDescent="0.3">
      <c r="H26010" t="str">
        <f t="shared" si="456"/>
        <v/>
      </c>
    </row>
    <row r="26011" spans="8:8" x14ac:dyDescent="0.3">
      <c r="H26011" t="str">
        <f t="shared" si="456"/>
        <v/>
      </c>
    </row>
    <row r="26012" spans="8:8" x14ac:dyDescent="0.3">
      <c r="H26012" t="str">
        <f t="shared" si="456"/>
        <v/>
      </c>
    </row>
    <row r="26013" spans="8:8" x14ac:dyDescent="0.3">
      <c r="H26013" t="str">
        <f t="shared" si="456"/>
        <v/>
      </c>
    </row>
    <row r="26014" spans="8:8" x14ac:dyDescent="0.3">
      <c r="H26014" t="str">
        <f t="shared" si="456"/>
        <v/>
      </c>
    </row>
    <row r="26015" spans="8:8" x14ac:dyDescent="0.3">
      <c r="H26015" t="str">
        <f t="shared" si="456"/>
        <v/>
      </c>
    </row>
    <row r="26016" spans="8:8" x14ac:dyDescent="0.3">
      <c r="H26016" t="str">
        <f t="shared" si="456"/>
        <v/>
      </c>
    </row>
    <row r="26017" spans="8:8" x14ac:dyDescent="0.3">
      <c r="H26017" t="str">
        <f t="shared" si="456"/>
        <v/>
      </c>
    </row>
    <row r="26018" spans="8:8" x14ac:dyDescent="0.3">
      <c r="H26018" t="str">
        <f t="shared" si="456"/>
        <v/>
      </c>
    </row>
    <row r="26019" spans="8:8" x14ac:dyDescent="0.3">
      <c r="H26019" t="str">
        <f t="shared" si="456"/>
        <v/>
      </c>
    </row>
    <row r="26020" spans="8:8" x14ac:dyDescent="0.3">
      <c r="H26020" t="str">
        <f t="shared" si="456"/>
        <v/>
      </c>
    </row>
    <row r="26021" spans="8:8" x14ac:dyDescent="0.3">
      <c r="H26021" t="str">
        <f t="shared" si="456"/>
        <v/>
      </c>
    </row>
    <row r="26022" spans="8:8" x14ac:dyDescent="0.3">
      <c r="H26022" t="str">
        <f t="shared" si="456"/>
        <v/>
      </c>
    </row>
    <row r="26023" spans="8:8" x14ac:dyDescent="0.3">
      <c r="H26023" t="str">
        <f t="shared" si="456"/>
        <v/>
      </c>
    </row>
    <row r="26024" spans="8:8" x14ac:dyDescent="0.3">
      <c r="H26024" t="str">
        <f t="shared" si="456"/>
        <v/>
      </c>
    </row>
    <row r="26025" spans="8:8" x14ac:dyDescent="0.3">
      <c r="H26025" t="str">
        <f t="shared" si="456"/>
        <v/>
      </c>
    </row>
    <row r="26026" spans="8:8" x14ac:dyDescent="0.3">
      <c r="H26026" t="str">
        <f t="shared" si="456"/>
        <v/>
      </c>
    </row>
    <row r="26027" spans="8:8" x14ac:dyDescent="0.3">
      <c r="H26027" t="str">
        <f t="shared" si="456"/>
        <v/>
      </c>
    </row>
    <row r="26028" spans="8:8" x14ac:dyDescent="0.3">
      <c r="H26028" t="str">
        <f t="shared" si="456"/>
        <v/>
      </c>
    </row>
    <row r="26029" spans="8:8" x14ac:dyDescent="0.3">
      <c r="H26029" t="str">
        <f t="shared" si="456"/>
        <v/>
      </c>
    </row>
    <row r="26030" spans="8:8" x14ac:dyDescent="0.3">
      <c r="H26030" t="str">
        <f t="shared" si="456"/>
        <v/>
      </c>
    </row>
    <row r="26031" spans="8:8" x14ac:dyDescent="0.3">
      <c r="H26031" t="str">
        <f t="shared" si="456"/>
        <v/>
      </c>
    </row>
    <row r="26032" spans="8:8" x14ac:dyDescent="0.3">
      <c r="H26032" t="str">
        <f t="shared" si="456"/>
        <v/>
      </c>
    </row>
    <row r="26033" spans="8:8" x14ac:dyDescent="0.3">
      <c r="H26033" t="str">
        <f t="shared" si="456"/>
        <v/>
      </c>
    </row>
    <row r="26034" spans="8:8" x14ac:dyDescent="0.3">
      <c r="H26034" t="str">
        <f t="shared" si="456"/>
        <v/>
      </c>
    </row>
    <row r="26035" spans="8:8" x14ac:dyDescent="0.3">
      <c r="H26035" t="str">
        <f t="shared" si="456"/>
        <v/>
      </c>
    </row>
    <row r="26036" spans="8:8" x14ac:dyDescent="0.3">
      <c r="H26036" t="str">
        <f t="shared" si="456"/>
        <v/>
      </c>
    </row>
    <row r="26037" spans="8:8" x14ac:dyDescent="0.3">
      <c r="H26037" t="str">
        <f t="shared" si="456"/>
        <v/>
      </c>
    </row>
    <row r="26038" spans="8:8" x14ac:dyDescent="0.3">
      <c r="H26038" t="str">
        <f t="shared" si="456"/>
        <v/>
      </c>
    </row>
    <row r="26039" spans="8:8" x14ac:dyDescent="0.3">
      <c r="H26039" t="str">
        <f t="shared" si="456"/>
        <v/>
      </c>
    </row>
    <row r="26040" spans="8:8" x14ac:dyDescent="0.3">
      <c r="H26040" t="str">
        <f t="shared" si="456"/>
        <v/>
      </c>
    </row>
    <row r="26041" spans="8:8" x14ac:dyDescent="0.3">
      <c r="H26041" t="str">
        <f t="shared" si="456"/>
        <v/>
      </c>
    </row>
    <row r="26042" spans="8:8" x14ac:dyDescent="0.3">
      <c r="H26042" t="str">
        <f t="shared" si="456"/>
        <v/>
      </c>
    </row>
    <row r="26043" spans="8:8" x14ac:dyDescent="0.3">
      <c r="H26043" t="str">
        <f t="shared" si="456"/>
        <v/>
      </c>
    </row>
    <row r="26044" spans="8:8" x14ac:dyDescent="0.3">
      <c r="H26044" t="str">
        <f t="shared" si="456"/>
        <v/>
      </c>
    </row>
    <row r="26045" spans="8:8" x14ac:dyDescent="0.3">
      <c r="H26045" t="str">
        <f t="shared" si="456"/>
        <v/>
      </c>
    </row>
    <row r="26046" spans="8:8" x14ac:dyDescent="0.3">
      <c r="H26046" t="str">
        <f t="shared" si="456"/>
        <v/>
      </c>
    </row>
    <row r="26047" spans="8:8" x14ac:dyDescent="0.3">
      <c r="H26047" t="str">
        <f t="shared" si="456"/>
        <v/>
      </c>
    </row>
    <row r="26048" spans="8:8" x14ac:dyDescent="0.3">
      <c r="H26048" t="str">
        <f t="shared" si="456"/>
        <v/>
      </c>
    </row>
    <row r="26049" spans="8:8" x14ac:dyDescent="0.3">
      <c r="H26049" t="str">
        <f t="shared" si="456"/>
        <v/>
      </c>
    </row>
    <row r="26050" spans="8:8" x14ac:dyDescent="0.3">
      <c r="H26050" t="str">
        <f t="shared" si="456"/>
        <v/>
      </c>
    </row>
    <row r="26051" spans="8:8" x14ac:dyDescent="0.3">
      <c r="H26051" t="str">
        <f t="shared" si="456"/>
        <v/>
      </c>
    </row>
    <row r="26052" spans="8:8" x14ac:dyDescent="0.3">
      <c r="H26052" t="str">
        <f t="shared" si="456"/>
        <v/>
      </c>
    </row>
    <row r="26053" spans="8:8" x14ac:dyDescent="0.3">
      <c r="H26053" t="str">
        <f t="shared" si="456"/>
        <v/>
      </c>
    </row>
    <row r="26054" spans="8:8" x14ac:dyDescent="0.3">
      <c r="H26054" t="str">
        <f t="shared" si="456"/>
        <v/>
      </c>
    </row>
    <row r="26055" spans="8:8" x14ac:dyDescent="0.3">
      <c r="H26055" t="str">
        <f t="shared" si="456"/>
        <v/>
      </c>
    </row>
    <row r="26056" spans="8:8" x14ac:dyDescent="0.3">
      <c r="H26056" t="str">
        <f t="shared" si="456"/>
        <v/>
      </c>
    </row>
    <row r="26057" spans="8:8" x14ac:dyDescent="0.3">
      <c r="H26057" t="str">
        <f t="shared" si="456"/>
        <v/>
      </c>
    </row>
    <row r="26058" spans="8:8" x14ac:dyDescent="0.3">
      <c r="H26058" t="str">
        <f t="shared" si="456"/>
        <v/>
      </c>
    </row>
    <row r="26059" spans="8:8" x14ac:dyDescent="0.3">
      <c r="H26059" t="str">
        <f t="shared" si="456"/>
        <v/>
      </c>
    </row>
    <row r="26060" spans="8:8" x14ac:dyDescent="0.3">
      <c r="H26060" t="str">
        <f t="shared" si="456"/>
        <v/>
      </c>
    </row>
    <row r="26061" spans="8:8" x14ac:dyDescent="0.3">
      <c r="H26061" t="str">
        <f t="shared" si="456"/>
        <v/>
      </c>
    </row>
    <row r="26062" spans="8:8" x14ac:dyDescent="0.3">
      <c r="H26062" t="str">
        <f t="shared" si="456"/>
        <v/>
      </c>
    </row>
    <row r="26063" spans="8:8" x14ac:dyDescent="0.3">
      <c r="H26063" t="str">
        <f t="shared" si="456"/>
        <v/>
      </c>
    </row>
    <row r="26064" spans="8:8" x14ac:dyDescent="0.3">
      <c r="H26064" t="str">
        <f t="shared" si="456"/>
        <v/>
      </c>
    </row>
    <row r="26065" spans="8:8" x14ac:dyDescent="0.3">
      <c r="H26065" t="str">
        <f t="shared" si="456"/>
        <v/>
      </c>
    </row>
    <row r="26066" spans="8:8" x14ac:dyDescent="0.3">
      <c r="H26066" t="str">
        <f t="shared" si="456"/>
        <v/>
      </c>
    </row>
    <row r="26067" spans="8:8" x14ac:dyDescent="0.3">
      <c r="H26067" t="str">
        <f t="shared" si="456"/>
        <v/>
      </c>
    </row>
    <row r="26068" spans="8:8" x14ac:dyDescent="0.3">
      <c r="H26068" t="str">
        <f t="shared" si="456"/>
        <v/>
      </c>
    </row>
    <row r="26069" spans="8:8" x14ac:dyDescent="0.3">
      <c r="H26069" t="str">
        <f t="shared" si="456"/>
        <v/>
      </c>
    </row>
    <row r="26070" spans="8:8" x14ac:dyDescent="0.3">
      <c r="H26070" t="str">
        <f t="shared" si="456"/>
        <v/>
      </c>
    </row>
    <row r="26071" spans="8:8" x14ac:dyDescent="0.3">
      <c r="H26071" t="str">
        <f t="shared" ref="H26071:H26134" si="457">IF(B26071="","",$C$12)</f>
        <v/>
      </c>
    </row>
    <row r="26072" spans="8:8" x14ac:dyDescent="0.3">
      <c r="H26072" t="str">
        <f t="shared" si="457"/>
        <v/>
      </c>
    </row>
    <row r="26073" spans="8:8" x14ac:dyDescent="0.3">
      <c r="H26073" t="str">
        <f t="shared" si="457"/>
        <v/>
      </c>
    </row>
    <row r="26074" spans="8:8" x14ac:dyDescent="0.3">
      <c r="H26074" t="str">
        <f t="shared" si="457"/>
        <v/>
      </c>
    </row>
    <row r="26075" spans="8:8" x14ac:dyDescent="0.3">
      <c r="H26075" t="str">
        <f t="shared" si="457"/>
        <v/>
      </c>
    </row>
    <row r="26076" spans="8:8" x14ac:dyDescent="0.3">
      <c r="H26076" t="str">
        <f t="shared" si="457"/>
        <v/>
      </c>
    </row>
    <row r="26077" spans="8:8" x14ac:dyDescent="0.3">
      <c r="H26077" t="str">
        <f t="shared" si="457"/>
        <v/>
      </c>
    </row>
    <row r="26078" spans="8:8" x14ac:dyDescent="0.3">
      <c r="H26078" t="str">
        <f t="shared" si="457"/>
        <v/>
      </c>
    </row>
    <row r="26079" spans="8:8" x14ac:dyDescent="0.3">
      <c r="H26079" t="str">
        <f t="shared" si="457"/>
        <v/>
      </c>
    </row>
    <row r="26080" spans="8:8" x14ac:dyDescent="0.3">
      <c r="H26080" t="str">
        <f t="shared" si="457"/>
        <v/>
      </c>
    </row>
    <row r="26081" spans="8:8" x14ac:dyDescent="0.3">
      <c r="H26081" t="str">
        <f t="shared" si="457"/>
        <v/>
      </c>
    </row>
    <row r="26082" spans="8:8" x14ac:dyDescent="0.3">
      <c r="H26082" t="str">
        <f t="shared" si="457"/>
        <v/>
      </c>
    </row>
    <row r="26083" spans="8:8" x14ac:dyDescent="0.3">
      <c r="H26083" t="str">
        <f t="shared" si="457"/>
        <v/>
      </c>
    </row>
    <row r="26084" spans="8:8" x14ac:dyDescent="0.3">
      <c r="H26084" t="str">
        <f t="shared" si="457"/>
        <v/>
      </c>
    </row>
    <row r="26085" spans="8:8" x14ac:dyDescent="0.3">
      <c r="H26085" t="str">
        <f t="shared" si="457"/>
        <v/>
      </c>
    </row>
    <row r="26086" spans="8:8" x14ac:dyDescent="0.3">
      <c r="H26086" t="str">
        <f t="shared" si="457"/>
        <v/>
      </c>
    </row>
    <row r="26087" spans="8:8" x14ac:dyDescent="0.3">
      <c r="H26087" t="str">
        <f t="shared" si="457"/>
        <v/>
      </c>
    </row>
    <row r="26088" spans="8:8" x14ac:dyDescent="0.3">
      <c r="H26088" t="str">
        <f t="shared" si="457"/>
        <v/>
      </c>
    </row>
    <row r="26089" spans="8:8" x14ac:dyDescent="0.3">
      <c r="H26089" t="str">
        <f t="shared" si="457"/>
        <v/>
      </c>
    </row>
    <row r="26090" spans="8:8" x14ac:dyDescent="0.3">
      <c r="H26090" t="str">
        <f t="shared" si="457"/>
        <v/>
      </c>
    </row>
    <row r="26091" spans="8:8" x14ac:dyDescent="0.3">
      <c r="H26091" t="str">
        <f t="shared" si="457"/>
        <v/>
      </c>
    </row>
    <row r="26092" spans="8:8" x14ac:dyDescent="0.3">
      <c r="H26092" t="str">
        <f t="shared" si="457"/>
        <v/>
      </c>
    </row>
    <row r="26093" spans="8:8" x14ac:dyDescent="0.3">
      <c r="H26093" t="str">
        <f t="shared" si="457"/>
        <v/>
      </c>
    </row>
    <row r="26094" spans="8:8" x14ac:dyDescent="0.3">
      <c r="H26094" t="str">
        <f t="shared" si="457"/>
        <v/>
      </c>
    </row>
    <row r="26095" spans="8:8" x14ac:dyDescent="0.3">
      <c r="H26095" t="str">
        <f t="shared" si="457"/>
        <v/>
      </c>
    </row>
    <row r="26096" spans="8:8" x14ac:dyDescent="0.3">
      <c r="H26096" t="str">
        <f t="shared" si="457"/>
        <v/>
      </c>
    </row>
    <row r="26097" spans="8:8" x14ac:dyDescent="0.3">
      <c r="H26097" t="str">
        <f t="shared" si="457"/>
        <v/>
      </c>
    </row>
    <row r="26098" spans="8:8" x14ac:dyDescent="0.3">
      <c r="H26098" t="str">
        <f t="shared" si="457"/>
        <v/>
      </c>
    </row>
    <row r="26099" spans="8:8" x14ac:dyDescent="0.3">
      <c r="H26099" t="str">
        <f t="shared" si="457"/>
        <v/>
      </c>
    </row>
    <row r="26100" spans="8:8" x14ac:dyDescent="0.3">
      <c r="H26100" t="str">
        <f t="shared" si="457"/>
        <v/>
      </c>
    </row>
    <row r="26101" spans="8:8" x14ac:dyDescent="0.3">
      <c r="H26101" t="str">
        <f t="shared" si="457"/>
        <v/>
      </c>
    </row>
    <row r="26102" spans="8:8" x14ac:dyDescent="0.3">
      <c r="H26102" t="str">
        <f t="shared" si="457"/>
        <v/>
      </c>
    </row>
    <row r="26103" spans="8:8" x14ac:dyDescent="0.3">
      <c r="H26103" t="str">
        <f t="shared" si="457"/>
        <v/>
      </c>
    </row>
    <row r="26104" spans="8:8" x14ac:dyDescent="0.3">
      <c r="H26104" t="str">
        <f t="shared" si="457"/>
        <v/>
      </c>
    </row>
    <row r="26105" spans="8:8" x14ac:dyDescent="0.3">
      <c r="H26105" t="str">
        <f t="shared" si="457"/>
        <v/>
      </c>
    </row>
    <row r="26106" spans="8:8" x14ac:dyDescent="0.3">
      <c r="H26106" t="str">
        <f t="shared" si="457"/>
        <v/>
      </c>
    </row>
    <row r="26107" spans="8:8" x14ac:dyDescent="0.3">
      <c r="H26107" t="str">
        <f t="shared" si="457"/>
        <v/>
      </c>
    </row>
    <row r="26108" spans="8:8" x14ac:dyDescent="0.3">
      <c r="H26108" t="str">
        <f t="shared" si="457"/>
        <v/>
      </c>
    </row>
    <row r="26109" spans="8:8" x14ac:dyDescent="0.3">
      <c r="H26109" t="str">
        <f t="shared" si="457"/>
        <v/>
      </c>
    </row>
    <row r="26110" spans="8:8" x14ac:dyDescent="0.3">
      <c r="H26110" t="str">
        <f t="shared" si="457"/>
        <v/>
      </c>
    </row>
    <row r="26111" spans="8:8" x14ac:dyDescent="0.3">
      <c r="H26111" t="str">
        <f t="shared" si="457"/>
        <v/>
      </c>
    </row>
    <row r="26112" spans="8:8" x14ac:dyDescent="0.3">
      <c r="H26112" t="str">
        <f t="shared" si="457"/>
        <v/>
      </c>
    </row>
    <row r="26113" spans="8:8" x14ac:dyDescent="0.3">
      <c r="H26113" t="str">
        <f t="shared" si="457"/>
        <v/>
      </c>
    </row>
    <row r="26114" spans="8:8" x14ac:dyDescent="0.3">
      <c r="H26114" t="str">
        <f t="shared" si="457"/>
        <v/>
      </c>
    </row>
    <row r="26115" spans="8:8" x14ac:dyDescent="0.3">
      <c r="H26115" t="str">
        <f t="shared" si="457"/>
        <v/>
      </c>
    </row>
    <row r="26116" spans="8:8" x14ac:dyDescent="0.3">
      <c r="H26116" t="str">
        <f t="shared" si="457"/>
        <v/>
      </c>
    </row>
    <row r="26117" spans="8:8" x14ac:dyDescent="0.3">
      <c r="H26117" t="str">
        <f t="shared" si="457"/>
        <v/>
      </c>
    </row>
    <row r="26118" spans="8:8" x14ac:dyDescent="0.3">
      <c r="H26118" t="str">
        <f t="shared" si="457"/>
        <v/>
      </c>
    </row>
    <row r="26119" spans="8:8" x14ac:dyDescent="0.3">
      <c r="H26119" t="str">
        <f t="shared" si="457"/>
        <v/>
      </c>
    </row>
    <row r="26120" spans="8:8" x14ac:dyDescent="0.3">
      <c r="H26120" t="str">
        <f t="shared" si="457"/>
        <v/>
      </c>
    </row>
    <row r="26121" spans="8:8" x14ac:dyDescent="0.3">
      <c r="H26121" t="str">
        <f t="shared" si="457"/>
        <v/>
      </c>
    </row>
    <row r="26122" spans="8:8" x14ac:dyDescent="0.3">
      <c r="H26122" t="str">
        <f t="shared" si="457"/>
        <v/>
      </c>
    </row>
    <row r="26123" spans="8:8" x14ac:dyDescent="0.3">
      <c r="H26123" t="str">
        <f t="shared" si="457"/>
        <v/>
      </c>
    </row>
    <row r="26124" spans="8:8" x14ac:dyDescent="0.3">
      <c r="H26124" t="str">
        <f t="shared" si="457"/>
        <v/>
      </c>
    </row>
    <row r="26125" spans="8:8" x14ac:dyDescent="0.3">
      <c r="H26125" t="str">
        <f t="shared" si="457"/>
        <v/>
      </c>
    </row>
    <row r="26126" spans="8:8" x14ac:dyDescent="0.3">
      <c r="H26126" t="str">
        <f t="shared" si="457"/>
        <v/>
      </c>
    </row>
    <row r="26127" spans="8:8" x14ac:dyDescent="0.3">
      <c r="H26127" t="str">
        <f t="shared" si="457"/>
        <v/>
      </c>
    </row>
    <row r="26128" spans="8:8" x14ac:dyDescent="0.3">
      <c r="H26128" t="str">
        <f t="shared" si="457"/>
        <v/>
      </c>
    </row>
    <row r="26129" spans="8:8" x14ac:dyDescent="0.3">
      <c r="H26129" t="str">
        <f t="shared" si="457"/>
        <v/>
      </c>
    </row>
    <row r="26130" spans="8:8" x14ac:dyDescent="0.3">
      <c r="H26130" t="str">
        <f t="shared" si="457"/>
        <v/>
      </c>
    </row>
    <row r="26131" spans="8:8" x14ac:dyDescent="0.3">
      <c r="H26131" t="str">
        <f t="shared" si="457"/>
        <v/>
      </c>
    </row>
    <row r="26132" spans="8:8" x14ac:dyDescent="0.3">
      <c r="H26132" t="str">
        <f t="shared" si="457"/>
        <v/>
      </c>
    </row>
    <row r="26133" spans="8:8" x14ac:dyDescent="0.3">
      <c r="H26133" t="str">
        <f t="shared" si="457"/>
        <v/>
      </c>
    </row>
    <row r="26134" spans="8:8" x14ac:dyDescent="0.3">
      <c r="H26134" t="str">
        <f t="shared" si="457"/>
        <v/>
      </c>
    </row>
    <row r="26135" spans="8:8" x14ac:dyDescent="0.3">
      <c r="H26135" t="str">
        <f t="shared" ref="H26135:H26198" si="458">IF(B26135="","",$C$12)</f>
        <v/>
      </c>
    </row>
    <row r="26136" spans="8:8" x14ac:dyDescent="0.3">
      <c r="H26136" t="str">
        <f t="shared" si="458"/>
        <v/>
      </c>
    </row>
    <row r="26137" spans="8:8" x14ac:dyDescent="0.3">
      <c r="H26137" t="str">
        <f t="shared" si="458"/>
        <v/>
      </c>
    </row>
    <row r="26138" spans="8:8" x14ac:dyDescent="0.3">
      <c r="H26138" t="str">
        <f t="shared" si="458"/>
        <v/>
      </c>
    </row>
    <row r="26139" spans="8:8" x14ac:dyDescent="0.3">
      <c r="H26139" t="str">
        <f t="shared" si="458"/>
        <v/>
      </c>
    </row>
    <row r="26140" spans="8:8" x14ac:dyDescent="0.3">
      <c r="H26140" t="str">
        <f t="shared" si="458"/>
        <v/>
      </c>
    </row>
    <row r="26141" spans="8:8" x14ac:dyDescent="0.3">
      <c r="H26141" t="str">
        <f t="shared" si="458"/>
        <v/>
      </c>
    </row>
    <row r="26142" spans="8:8" x14ac:dyDescent="0.3">
      <c r="H26142" t="str">
        <f t="shared" si="458"/>
        <v/>
      </c>
    </row>
    <row r="26143" spans="8:8" x14ac:dyDescent="0.3">
      <c r="H26143" t="str">
        <f t="shared" si="458"/>
        <v/>
      </c>
    </row>
    <row r="26144" spans="8:8" x14ac:dyDescent="0.3">
      <c r="H26144" t="str">
        <f t="shared" si="458"/>
        <v/>
      </c>
    </row>
    <row r="26145" spans="8:8" x14ac:dyDescent="0.3">
      <c r="H26145" t="str">
        <f t="shared" si="458"/>
        <v/>
      </c>
    </row>
    <row r="26146" spans="8:8" x14ac:dyDescent="0.3">
      <c r="H26146" t="str">
        <f t="shared" si="458"/>
        <v/>
      </c>
    </row>
    <row r="26147" spans="8:8" x14ac:dyDescent="0.3">
      <c r="H26147" t="str">
        <f t="shared" si="458"/>
        <v/>
      </c>
    </row>
    <row r="26148" spans="8:8" x14ac:dyDescent="0.3">
      <c r="H26148" t="str">
        <f t="shared" si="458"/>
        <v/>
      </c>
    </row>
    <row r="26149" spans="8:8" x14ac:dyDescent="0.3">
      <c r="H26149" t="str">
        <f t="shared" si="458"/>
        <v/>
      </c>
    </row>
    <row r="26150" spans="8:8" x14ac:dyDescent="0.3">
      <c r="H26150" t="str">
        <f t="shared" si="458"/>
        <v/>
      </c>
    </row>
    <row r="26151" spans="8:8" x14ac:dyDescent="0.3">
      <c r="H26151" t="str">
        <f t="shared" si="458"/>
        <v/>
      </c>
    </row>
    <row r="26152" spans="8:8" x14ac:dyDescent="0.3">
      <c r="H26152" t="str">
        <f t="shared" si="458"/>
        <v/>
      </c>
    </row>
    <row r="26153" spans="8:8" x14ac:dyDescent="0.3">
      <c r="H26153" t="str">
        <f t="shared" si="458"/>
        <v/>
      </c>
    </row>
    <row r="26154" spans="8:8" x14ac:dyDescent="0.3">
      <c r="H26154" t="str">
        <f t="shared" si="458"/>
        <v/>
      </c>
    </row>
    <row r="26155" spans="8:8" x14ac:dyDescent="0.3">
      <c r="H26155" t="str">
        <f t="shared" si="458"/>
        <v/>
      </c>
    </row>
    <row r="26156" spans="8:8" x14ac:dyDescent="0.3">
      <c r="H26156" t="str">
        <f t="shared" si="458"/>
        <v/>
      </c>
    </row>
    <row r="26157" spans="8:8" x14ac:dyDescent="0.3">
      <c r="H26157" t="str">
        <f t="shared" si="458"/>
        <v/>
      </c>
    </row>
    <row r="26158" spans="8:8" x14ac:dyDescent="0.3">
      <c r="H26158" t="str">
        <f t="shared" si="458"/>
        <v/>
      </c>
    </row>
    <row r="26159" spans="8:8" x14ac:dyDescent="0.3">
      <c r="H26159" t="str">
        <f t="shared" si="458"/>
        <v/>
      </c>
    </row>
    <row r="26160" spans="8:8" x14ac:dyDescent="0.3">
      <c r="H26160" t="str">
        <f t="shared" si="458"/>
        <v/>
      </c>
    </row>
    <row r="26161" spans="8:8" x14ac:dyDescent="0.3">
      <c r="H26161" t="str">
        <f t="shared" si="458"/>
        <v/>
      </c>
    </row>
    <row r="26162" spans="8:8" x14ac:dyDescent="0.3">
      <c r="H26162" t="str">
        <f t="shared" si="458"/>
        <v/>
      </c>
    </row>
    <row r="26163" spans="8:8" x14ac:dyDescent="0.3">
      <c r="H26163" t="str">
        <f t="shared" si="458"/>
        <v/>
      </c>
    </row>
    <row r="26164" spans="8:8" x14ac:dyDescent="0.3">
      <c r="H26164" t="str">
        <f t="shared" si="458"/>
        <v/>
      </c>
    </row>
    <row r="26165" spans="8:8" x14ac:dyDescent="0.3">
      <c r="H26165" t="str">
        <f t="shared" si="458"/>
        <v/>
      </c>
    </row>
    <row r="26166" spans="8:8" x14ac:dyDescent="0.3">
      <c r="H26166" t="str">
        <f t="shared" si="458"/>
        <v/>
      </c>
    </row>
    <row r="26167" spans="8:8" x14ac:dyDescent="0.3">
      <c r="H26167" t="str">
        <f t="shared" si="458"/>
        <v/>
      </c>
    </row>
    <row r="26168" spans="8:8" x14ac:dyDescent="0.3">
      <c r="H26168" t="str">
        <f t="shared" si="458"/>
        <v/>
      </c>
    </row>
    <row r="26169" spans="8:8" x14ac:dyDescent="0.3">
      <c r="H26169" t="str">
        <f t="shared" si="458"/>
        <v/>
      </c>
    </row>
    <row r="26170" spans="8:8" x14ac:dyDescent="0.3">
      <c r="H26170" t="str">
        <f t="shared" si="458"/>
        <v/>
      </c>
    </row>
    <row r="26171" spans="8:8" x14ac:dyDescent="0.3">
      <c r="H26171" t="str">
        <f t="shared" si="458"/>
        <v/>
      </c>
    </row>
    <row r="26172" spans="8:8" x14ac:dyDescent="0.3">
      <c r="H26172" t="str">
        <f t="shared" si="458"/>
        <v/>
      </c>
    </row>
    <row r="26173" spans="8:8" x14ac:dyDescent="0.3">
      <c r="H26173" t="str">
        <f t="shared" si="458"/>
        <v/>
      </c>
    </row>
    <row r="26174" spans="8:8" x14ac:dyDescent="0.3">
      <c r="H26174" t="str">
        <f t="shared" si="458"/>
        <v/>
      </c>
    </row>
    <row r="26175" spans="8:8" x14ac:dyDescent="0.3">
      <c r="H26175" t="str">
        <f t="shared" si="458"/>
        <v/>
      </c>
    </row>
    <row r="26176" spans="8:8" x14ac:dyDescent="0.3">
      <c r="H26176" t="str">
        <f t="shared" si="458"/>
        <v/>
      </c>
    </row>
    <row r="26177" spans="8:8" x14ac:dyDescent="0.3">
      <c r="H26177" t="str">
        <f t="shared" si="458"/>
        <v/>
      </c>
    </row>
    <row r="26178" spans="8:8" x14ac:dyDescent="0.3">
      <c r="H26178" t="str">
        <f t="shared" si="458"/>
        <v/>
      </c>
    </row>
    <row r="26179" spans="8:8" x14ac:dyDescent="0.3">
      <c r="H26179" t="str">
        <f t="shared" si="458"/>
        <v/>
      </c>
    </row>
    <row r="26180" spans="8:8" x14ac:dyDescent="0.3">
      <c r="H26180" t="str">
        <f t="shared" si="458"/>
        <v/>
      </c>
    </row>
    <row r="26181" spans="8:8" x14ac:dyDescent="0.3">
      <c r="H26181" t="str">
        <f t="shared" si="458"/>
        <v/>
      </c>
    </row>
    <row r="26182" spans="8:8" x14ac:dyDescent="0.3">
      <c r="H26182" t="str">
        <f t="shared" si="458"/>
        <v/>
      </c>
    </row>
    <row r="26183" spans="8:8" x14ac:dyDescent="0.3">
      <c r="H26183" t="str">
        <f t="shared" si="458"/>
        <v/>
      </c>
    </row>
    <row r="26184" spans="8:8" x14ac:dyDescent="0.3">
      <c r="H26184" t="str">
        <f t="shared" si="458"/>
        <v/>
      </c>
    </row>
    <row r="26185" spans="8:8" x14ac:dyDescent="0.3">
      <c r="H26185" t="str">
        <f t="shared" si="458"/>
        <v/>
      </c>
    </row>
    <row r="26186" spans="8:8" x14ac:dyDescent="0.3">
      <c r="H26186" t="str">
        <f t="shared" si="458"/>
        <v/>
      </c>
    </row>
    <row r="26187" spans="8:8" x14ac:dyDescent="0.3">
      <c r="H26187" t="str">
        <f t="shared" si="458"/>
        <v/>
      </c>
    </row>
    <row r="26188" spans="8:8" x14ac:dyDescent="0.3">
      <c r="H26188" t="str">
        <f t="shared" si="458"/>
        <v/>
      </c>
    </row>
    <row r="26189" spans="8:8" x14ac:dyDescent="0.3">
      <c r="H26189" t="str">
        <f t="shared" si="458"/>
        <v/>
      </c>
    </row>
    <row r="26190" spans="8:8" x14ac:dyDescent="0.3">
      <c r="H26190" t="str">
        <f t="shared" si="458"/>
        <v/>
      </c>
    </row>
    <row r="26191" spans="8:8" x14ac:dyDescent="0.3">
      <c r="H26191" t="str">
        <f t="shared" si="458"/>
        <v/>
      </c>
    </row>
    <row r="26192" spans="8:8" x14ac:dyDescent="0.3">
      <c r="H26192" t="str">
        <f t="shared" si="458"/>
        <v/>
      </c>
    </row>
    <row r="26193" spans="8:8" x14ac:dyDescent="0.3">
      <c r="H26193" t="str">
        <f t="shared" si="458"/>
        <v/>
      </c>
    </row>
    <row r="26194" spans="8:8" x14ac:dyDescent="0.3">
      <c r="H26194" t="str">
        <f t="shared" si="458"/>
        <v/>
      </c>
    </row>
    <row r="26195" spans="8:8" x14ac:dyDescent="0.3">
      <c r="H26195" t="str">
        <f t="shared" si="458"/>
        <v/>
      </c>
    </row>
    <row r="26196" spans="8:8" x14ac:dyDescent="0.3">
      <c r="H26196" t="str">
        <f t="shared" si="458"/>
        <v/>
      </c>
    </row>
    <row r="26197" spans="8:8" x14ac:dyDescent="0.3">
      <c r="H26197" t="str">
        <f t="shared" si="458"/>
        <v/>
      </c>
    </row>
    <row r="26198" spans="8:8" x14ac:dyDescent="0.3">
      <c r="H26198" t="str">
        <f t="shared" si="458"/>
        <v/>
      </c>
    </row>
    <row r="26199" spans="8:8" x14ac:dyDescent="0.3">
      <c r="H26199" t="str">
        <f t="shared" ref="H26199:H26262" si="459">IF(B26199="","",$C$12)</f>
        <v/>
      </c>
    </row>
    <row r="26200" spans="8:8" x14ac:dyDescent="0.3">
      <c r="H26200" t="str">
        <f t="shared" si="459"/>
        <v/>
      </c>
    </row>
    <row r="26201" spans="8:8" x14ac:dyDescent="0.3">
      <c r="H26201" t="str">
        <f t="shared" si="459"/>
        <v/>
      </c>
    </row>
    <row r="26202" spans="8:8" x14ac:dyDescent="0.3">
      <c r="H26202" t="str">
        <f t="shared" si="459"/>
        <v/>
      </c>
    </row>
    <row r="26203" spans="8:8" x14ac:dyDescent="0.3">
      <c r="H26203" t="str">
        <f t="shared" si="459"/>
        <v/>
      </c>
    </row>
    <row r="26204" spans="8:8" x14ac:dyDescent="0.3">
      <c r="H26204" t="str">
        <f t="shared" si="459"/>
        <v/>
      </c>
    </row>
    <row r="26205" spans="8:8" x14ac:dyDescent="0.3">
      <c r="H26205" t="str">
        <f t="shared" si="459"/>
        <v/>
      </c>
    </row>
    <row r="26206" spans="8:8" x14ac:dyDescent="0.3">
      <c r="H26206" t="str">
        <f t="shared" si="459"/>
        <v/>
      </c>
    </row>
    <row r="26207" spans="8:8" x14ac:dyDescent="0.3">
      <c r="H26207" t="str">
        <f t="shared" si="459"/>
        <v/>
      </c>
    </row>
    <row r="26208" spans="8:8" x14ac:dyDescent="0.3">
      <c r="H26208" t="str">
        <f t="shared" si="459"/>
        <v/>
      </c>
    </row>
    <row r="26209" spans="8:8" x14ac:dyDescent="0.3">
      <c r="H26209" t="str">
        <f t="shared" si="459"/>
        <v/>
      </c>
    </row>
    <row r="26210" spans="8:8" x14ac:dyDescent="0.3">
      <c r="H26210" t="str">
        <f t="shared" si="459"/>
        <v/>
      </c>
    </row>
    <row r="26211" spans="8:8" x14ac:dyDescent="0.3">
      <c r="H26211" t="str">
        <f t="shared" si="459"/>
        <v/>
      </c>
    </row>
    <row r="26212" spans="8:8" x14ac:dyDescent="0.3">
      <c r="H26212" t="str">
        <f t="shared" si="459"/>
        <v/>
      </c>
    </row>
    <row r="26213" spans="8:8" x14ac:dyDescent="0.3">
      <c r="H26213" t="str">
        <f t="shared" si="459"/>
        <v/>
      </c>
    </row>
    <row r="26214" spans="8:8" x14ac:dyDescent="0.3">
      <c r="H26214" t="str">
        <f t="shared" si="459"/>
        <v/>
      </c>
    </row>
    <row r="26215" spans="8:8" x14ac:dyDescent="0.3">
      <c r="H26215" t="str">
        <f t="shared" si="459"/>
        <v/>
      </c>
    </row>
    <row r="26216" spans="8:8" x14ac:dyDescent="0.3">
      <c r="H26216" t="str">
        <f t="shared" si="459"/>
        <v/>
      </c>
    </row>
    <row r="26217" spans="8:8" x14ac:dyDescent="0.3">
      <c r="H26217" t="str">
        <f t="shared" si="459"/>
        <v/>
      </c>
    </row>
    <row r="26218" spans="8:8" x14ac:dyDescent="0.3">
      <c r="H26218" t="str">
        <f t="shared" si="459"/>
        <v/>
      </c>
    </row>
    <row r="26219" spans="8:8" x14ac:dyDescent="0.3">
      <c r="H26219" t="str">
        <f t="shared" si="459"/>
        <v/>
      </c>
    </row>
    <row r="26220" spans="8:8" x14ac:dyDescent="0.3">
      <c r="H26220" t="str">
        <f t="shared" si="459"/>
        <v/>
      </c>
    </row>
    <row r="26221" spans="8:8" x14ac:dyDescent="0.3">
      <c r="H26221" t="str">
        <f t="shared" si="459"/>
        <v/>
      </c>
    </row>
    <row r="26222" spans="8:8" x14ac:dyDescent="0.3">
      <c r="H26222" t="str">
        <f t="shared" si="459"/>
        <v/>
      </c>
    </row>
    <row r="26223" spans="8:8" x14ac:dyDescent="0.3">
      <c r="H26223" t="str">
        <f t="shared" si="459"/>
        <v/>
      </c>
    </row>
    <row r="26224" spans="8:8" x14ac:dyDescent="0.3">
      <c r="H26224" t="str">
        <f t="shared" si="459"/>
        <v/>
      </c>
    </row>
    <row r="26225" spans="8:8" x14ac:dyDescent="0.3">
      <c r="H26225" t="str">
        <f t="shared" si="459"/>
        <v/>
      </c>
    </row>
    <row r="26226" spans="8:8" x14ac:dyDescent="0.3">
      <c r="H26226" t="str">
        <f t="shared" si="459"/>
        <v/>
      </c>
    </row>
    <row r="26227" spans="8:8" x14ac:dyDescent="0.3">
      <c r="H26227" t="str">
        <f t="shared" si="459"/>
        <v/>
      </c>
    </row>
    <row r="26228" spans="8:8" x14ac:dyDescent="0.3">
      <c r="H26228" t="str">
        <f t="shared" si="459"/>
        <v/>
      </c>
    </row>
    <row r="26229" spans="8:8" x14ac:dyDescent="0.3">
      <c r="H26229" t="str">
        <f t="shared" si="459"/>
        <v/>
      </c>
    </row>
    <row r="26230" spans="8:8" x14ac:dyDescent="0.3">
      <c r="H26230" t="str">
        <f t="shared" si="459"/>
        <v/>
      </c>
    </row>
    <row r="26231" spans="8:8" x14ac:dyDescent="0.3">
      <c r="H26231" t="str">
        <f t="shared" si="459"/>
        <v/>
      </c>
    </row>
    <row r="26232" spans="8:8" x14ac:dyDescent="0.3">
      <c r="H26232" t="str">
        <f t="shared" si="459"/>
        <v/>
      </c>
    </row>
    <row r="26233" spans="8:8" x14ac:dyDescent="0.3">
      <c r="H26233" t="str">
        <f t="shared" si="459"/>
        <v/>
      </c>
    </row>
    <row r="26234" spans="8:8" x14ac:dyDescent="0.3">
      <c r="H26234" t="str">
        <f t="shared" si="459"/>
        <v/>
      </c>
    </row>
    <row r="26235" spans="8:8" x14ac:dyDescent="0.3">
      <c r="H26235" t="str">
        <f t="shared" si="459"/>
        <v/>
      </c>
    </row>
    <row r="26236" spans="8:8" x14ac:dyDescent="0.3">
      <c r="H26236" t="str">
        <f t="shared" si="459"/>
        <v/>
      </c>
    </row>
    <row r="26237" spans="8:8" x14ac:dyDescent="0.3">
      <c r="H26237" t="str">
        <f t="shared" si="459"/>
        <v/>
      </c>
    </row>
    <row r="26238" spans="8:8" x14ac:dyDescent="0.3">
      <c r="H26238" t="str">
        <f t="shared" si="459"/>
        <v/>
      </c>
    </row>
    <row r="26239" spans="8:8" x14ac:dyDescent="0.3">
      <c r="H26239" t="str">
        <f t="shared" si="459"/>
        <v/>
      </c>
    </row>
    <row r="26240" spans="8:8" x14ac:dyDescent="0.3">
      <c r="H26240" t="str">
        <f t="shared" si="459"/>
        <v/>
      </c>
    </row>
    <row r="26241" spans="8:8" x14ac:dyDescent="0.3">
      <c r="H26241" t="str">
        <f t="shared" si="459"/>
        <v/>
      </c>
    </row>
    <row r="26242" spans="8:8" x14ac:dyDescent="0.3">
      <c r="H26242" t="str">
        <f t="shared" si="459"/>
        <v/>
      </c>
    </row>
    <row r="26243" spans="8:8" x14ac:dyDescent="0.3">
      <c r="H26243" t="str">
        <f t="shared" si="459"/>
        <v/>
      </c>
    </row>
    <row r="26244" spans="8:8" x14ac:dyDescent="0.3">
      <c r="H26244" t="str">
        <f t="shared" si="459"/>
        <v/>
      </c>
    </row>
    <row r="26245" spans="8:8" x14ac:dyDescent="0.3">
      <c r="H26245" t="str">
        <f t="shared" si="459"/>
        <v/>
      </c>
    </row>
    <row r="26246" spans="8:8" x14ac:dyDescent="0.3">
      <c r="H26246" t="str">
        <f t="shared" si="459"/>
        <v/>
      </c>
    </row>
    <row r="26247" spans="8:8" x14ac:dyDescent="0.3">
      <c r="H26247" t="str">
        <f t="shared" si="459"/>
        <v/>
      </c>
    </row>
    <row r="26248" spans="8:8" x14ac:dyDescent="0.3">
      <c r="H26248" t="str">
        <f t="shared" si="459"/>
        <v/>
      </c>
    </row>
    <row r="26249" spans="8:8" x14ac:dyDescent="0.3">
      <c r="H26249" t="str">
        <f t="shared" si="459"/>
        <v/>
      </c>
    </row>
    <row r="26250" spans="8:8" x14ac:dyDescent="0.3">
      <c r="H26250" t="str">
        <f t="shared" si="459"/>
        <v/>
      </c>
    </row>
    <row r="26251" spans="8:8" x14ac:dyDescent="0.3">
      <c r="H26251" t="str">
        <f t="shared" si="459"/>
        <v/>
      </c>
    </row>
    <row r="26252" spans="8:8" x14ac:dyDescent="0.3">
      <c r="H26252" t="str">
        <f t="shared" si="459"/>
        <v/>
      </c>
    </row>
    <row r="26253" spans="8:8" x14ac:dyDescent="0.3">
      <c r="H26253" t="str">
        <f t="shared" si="459"/>
        <v/>
      </c>
    </row>
    <row r="26254" spans="8:8" x14ac:dyDescent="0.3">
      <c r="H26254" t="str">
        <f t="shared" si="459"/>
        <v/>
      </c>
    </row>
    <row r="26255" spans="8:8" x14ac:dyDescent="0.3">
      <c r="H26255" t="str">
        <f t="shared" si="459"/>
        <v/>
      </c>
    </row>
    <row r="26256" spans="8:8" x14ac:dyDescent="0.3">
      <c r="H26256" t="str">
        <f t="shared" si="459"/>
        <v/>
      </c>
    </row>
    <row r="26257" spans="8:8" x14ac:dyDescent="0.3">
      <c r="H26257" t="str">
        <f t="shared" si="459"/>
        <v/>
      </c>
    </row>
    <row r="26258" spans="8:8" x14ac:dyDescent="0.3">
      <c r="H26258" t="str">
        <f t="shared" si="459"/>
        <v/>
      </c>
    </row>
    <row r="26259" spans="8:8" x14ac:dyDescent="0.3">
      <c r="H26259" t="str">
        <f t="shared" si="459"/>
        <v/>
      </c>
    </row>
    <row r="26260" spans="8:8" x14ac:dyDescent="0.3">
      <c r="H26260" t="str">
        <f t="shared" si="459"/>
        <v/>
      </c>
    </row>
    <row r="26261" spans="8:8" x14ac:dyDescent="0.3">
      <c r="H26261" t="str">
        <f t="shared" si="459"/>
        <v/>
      </c>
    </row>
    <row r="26262" spans="8:8" x14ac:dyDescent="0.3">
      <c r="H26262" t="str">
        <f t="shared" si="459"/>
        <v/>
      </c>
    </row>
    <row r="26263" spans="8:8" x14ac:dyDescent="0.3">
      <c r="H26263" t="str">
        <f t="shared" ref="H26263:H26326" si="460">IF(B26263="","",$C$12)</f>
        <v/>
      </c>
    </row>
    <row r="26264" spans="8:8" x14ac:dyDescent="0.3">
      <c r="H26264" t="str">
        <f t="shared" si="460"/>
        <v/>
      </c>
    </row>
    <row r="26265" spans="8:8" x14ac:dyDescent="0.3">
      <c r="H26265" t="str">
        <f t="shared" si="460"/>
        <v/>
      </c>
    </row>
    <row r="26266" spans="8:8" x14ac:dyDescent="0.3">
      <c r="H26266" t="str">
        <f t="shared" si="460"/>
        <v/>
      </c>
    </row>
    <row r="26267" spans="8:8" x14ac:dyDescent="0.3">
      <c r="H26267" t="str">
        <f t="shared" si="460"/>
        <v/>
      </c>
    </row>
    <row r="26268" spans="8:8" x14ac:dyDescent="0.3">
      <c r="H26268" t="str">
        <f t="shared" si="460"/>
        <v/>
      </c>
    </row>
    <row r="26269" spans="8:8" x14ac:dyDescent="0.3">
      <c r="H26269" t="str">
        <f t="shared" si="460"/>
        <v/>
      </c>
    </row>
    <row r="26270" spans="8:8" x14ac:dyDescent="0.3">
      <c r="H26270" t="str">
        <f t="shared" si="460"/>
        <v/>
      </c>
    </row>
    <row r="26271" spans="8:8" x14ac:dyDescent="0.3">
      <c r="H26271" t="str">
        <f t="shared" si="460"/>
        <v/>
      </c>
    </row>
    <row r="26272" spans="8:8" x14ac:dyDescent="0.3">
      <c r="H26272" t="str">
        <f t="shared" si="460"/>
        <v/>
      </c>
    </row>
    <row r="26273" spans="8:8" x14ac:dyDescent="0.3">
      <c r="H26273" t="str">
        <f t="shared" si="460"/>
        <v/>
      </c>
    </row>
    <row r="26274" spans="8:8" x14ac:dyDescent="0.3">
      <c r="H26274" t="str">
        <f t="shared" si="460"/>
        <v/>
      </c>
    </row>
    <row r="26275" spans="8:8" x14ac:dyDescent="0.3">
      <c r="H26275" t="str">
        <f t="shared" si="460"/>
        <v/>
      </c>
    </row>
    <row r="26276" spans="8:8" x14ac:dyDescent="0.3">
      <c r="H26276" t="str">
        <f t="shared" si="460"/>
        <v/>
      </c>
    </row>
    <row r="26277" spans="8:8" x14ac:dyDescent="0.3">
      <c r="H26277" t="str">
        <f t="shared" si="460"/>
        <v/>
      </c>
    </row>
    <row r="26278" spans="8:8" x14ac:dyDescent="0.3">
      <c r="H26278" t="str">
        <f t="shared" si="460"/>
        <v/>
      </c>
    </row>
    <row r="26279" spans="8:8" x14ac:dyDescent="0.3">
      <c r="H26279" t="str">
        <f t="shared" si="460"/>
        <v/>
      </c>
    </row>
    <row r="26280" spans="8:8" x14ac:dyDescent="0.3">
      <c r="H26280" t="str">
        <f t="shared" si="460"/>
        <v/>
      </c>
    </row>
    <row r="26281" spans="8:8" x14ac:dyDescent="0.3">
      <c r="H26281" t="str">
        <f t="shared" si="460"/>
        <v/>
      </c>
    </row>
    <row r="26282" spans="8:8" x14ac:dyDescent="0.3">
      <c r="H26282" t="str">
        <f t="shared" si="460"/>
        <v/>
      </c>
    </row>
    <row r="26283" spans="8:8" x14ac:dyDescent="0.3">
      <c r="H26283" t="str">
        <f t="shared" si="460"/>
        <v/>
      </c>
    </row>
    <row r="26284" spans="8:8" x14ac:dyDescent="0.3">
      <c r="H26284" t="str">
        <f t="shared" si="460"/>
        <v/>
      </c>
    </row>
    <row r="26285" spans="8:8" x14ac:dyDescent="0.3">
      <c r="H26285" t="str">
        <f t="shared" si="460"/>
        <v/>
      </c>
    </row>
    <row r="26286" spans="8:8" x14ac:dyDescent="0.3">
      <c r="H26286" t="str">
        <f t="shared" si="460"/>
        <v/>
      </c>
    </row>
    <row r="26287" spans="8:8" x14ac:dyDescent="0.3">
      <c r="H26287" t="str">
        <f t="shared" si="460"/>
        <v/>
      </c>
    </row>
    <row r="26288" spans="8:8" x14ac:dyDescent="0.3">
      <c r="H26288" t="str">
        <f t="shared" si="460"/>
        <v/>
      </c>
    </row>
    <row r="26289" spans="8:8" x14ac:dyDescent="0.3">
      <c r="H26289" t="str">
        <f t="shared" si="460"/>
        <v/>
      </c>
    </row>
    <row r="26290" spans="8:8" x14ac:dyDescent="0.3">
      <c r="H26290" t="str">
        <f t="shared" si="460"/>
        <v/>
      </c>
    </row>
    <row r="26291" spans="8:8" x14ac:dyDescent="0.3">
      <c r="H26291" t="str">
        <f t="shared" si="460"/>
        <v/>
      </c>
    </row>
    <row r="26292" spans="8:8" x14ac:dyDescent="0.3">
      <c r="H26292" t="str">
        <f t="shared" si="460"/>
        <v/>
      </c>
    </row>
    <row r="26293" spans="8:8" x14ac:dyDescent="0.3">
      <c r="H26293" t="str">
        <f t="shared" si="460"/>
        <v/>
      </c>
    </row>
    <row r="26294" spans="8:8" x14ac:dyDescent="0.3">
      <c r="H26294" t="str">
        <f t="shared" si="460"/>
        <v/>
      </c>
    </row>
    <row r="26295" spans="8:8" x14ac:dyDescent="0.3">
      <c r="H26295" t="str">
        <f t="shared" si="460"/>
        <v/>
      </c>
    </row>
    <row r="26296" spans="8:8" x14ac:dyDescent="0.3">
      <c r="H26296" t="str">
        <f t="shared" si="460"/>
        <v/>
      </c>
    </row>
    <row r="26297" spans="8:8" x14ac:dyDescent="0.3">
      <c r="H26297" t="str">
        <f t="shared" si="460"/>
        <v/>
      </c>
    </row>
    <row r="26298" spans="8:8" x14ac:dyDescent="0.3">
      <c r="H26298" t="str">
        <f t="shared" si="460"/>
        <v/>
      </c>
    </row>
    <row r="26299" spans="8:8" x14ac:dyDescent="0.3">
      <c r="H26299" t="str">
        <f t="shared" si="460"/>
        <v/>
      </c>
    </row>
    <row r="26300" spans="8:8" x14ac:dyDescent="0.3">
      <c r="H26300" t="str">
        <f t="shared" si="460"/>
        <v/>
      </c>
    </row>
    <row r="26301" spans="8:8" x14ac:dyDescent="0.3">
      <c r="H26301" t="str">
        <f t="shared" si="460"/>
        <v/>
      </c>
    </row>
    <row r="26302" spans="8:8" x14ac:dyDescent="0.3">
      <c r="H26302" t="str">
        <f t="shared" si="460"/>
        <v/>
      </c>
    </row>
    <row r="26303" spans="8:8" x14ac:dyDescent="0.3">
      <c r="H26303" t="str">
        <f t="shared" si="460"/>
        <v/>
      </c>
    </row>
    <row r="26304" spans="8:8" x14ac:dyDescent="0.3">
      <c r="H26304" t="str">
        <f t="shared" si="460"/>
        <v/>
      </c>
    </row>
    <row r="26305" spans="8:8" x14ac:dyDescent="0.3">
      <c r="H26305" t="str">
        <f t="shared" si="460"/>
        <v/>
      </c>
    </row>
    <row r="26306" spans="8:8" x14ac:dyDescent="0.3">
      <c r="H26306" t="str">
        <f t="shared" si="460"/>
        <v/>
      </c>
    </row>
    <row r="26307" spans="8:8" x14ac:dyDescent="0.3">
      <c r="H26307" t="str">
        <f t="shared" si="460"/>
        <v/>
      </c>
    </row>
    <row r="26308" spans="8:8" x14ac:dyDescent="0.3">
      <c r="H26308" t="str">
        <f t="shared" si="460"/>
        <v/>
      </c>
    </row>
    <row r="26309" spans="8:8" x14ac:dyDescent="0.3">
      <c r="H26309" t="str">
        <f t="shared" si="460"/>
        <v/>
      </c>
    </row>
    <row r="26310" spans="8:8" x14ac:dyDescent="0.3">
      <c r="H26310" t="str">
        <f t="shared" si="460"/>
        <v/>
      </c>
    </row>
    <row r="26311" spans="8:8" x14ac:dyDescent="0.3">
      <c r="H26311" t="str">
        <f t="shared" si="460"/>
        <v/>
      </c>
    </row>
    <row r="26312" spans="8:8" x14ac:dyDescent="0.3">
      <c r="H26312" t="str">
        <f t="shared" si="460"/>
        <v/>
      </c>
    </row>
    <row r="26313" spans="8:8" x14ac:dyDescent="0.3">
      <c r="H26313" t="str">
        <f t="shared" si="460"/>
        <v/>
      </c>
    </row>
    <row r="26314" spans="8:8" x14ac:dyDescent="0.3">
      <c r="H26314" t="str">
        <f t="shared" si="460"/>
        <v/>
      </c>
    </row>
    <row r="26315" spans="8:8" x14ac:dyDescent="0.3">
      <c r="H26315" t="str">
        <f t="shared" si="460"/>
        <v/>
      </c>
    </row>
    <row r="26316" spans="8:8" x14ac:dyDescent="0.3">
      <c r="H26316" t="str">
        <f t="shared" si="460"/>
        <v/>
      </c>
    </row>
    <row r="26317" spans="8:8" x14ac:dyDescent="0.3">
      <c r="H26317" t="str">
        <f t="shared" si="460"/>
        <v/>
      </c>
    </row>
    <row r="26318" spans="8:8" x14ac:dyDescent="0.3">
      <c r="H26318" t="str">
        <f t="shared" si="460"/>
        <v/>
      </c>
    </row>
    <row r="26319" spans="8:8" x14ac:dyDescent="0.3">
      <c r="H26319" t="str">
        <f t="shared" si="460"/>
        <v/>
      </c>
    </row>
    <row r="26320" spans="8:8" x14ac:dyDescent="0.3">
      <c r="H26320" t="str">
        <f t="shared" si="460"/>
        <v/>
      </c>
    </row>
    <row r="26321" spans="8:8" x14ac:dyDescent="0.3">
      <c r="H26321" t="str">
        <f t="shared" si="460"/>
        <v/>
      </c>
    </row>
    <row r="26322" spans="8:8" x14ac:dyDescent="0.3">
      <c r="H26322" t="str">
        <f t="shared" si="460"/>
        <v/>
      </c>
    </row>
    <row r="26323" spans="8:8" x14ac:dyDescent="0.3">
      <c r="H26323" t="str">
        <f t="shared" si="460"/>
        <v/>
      </c>
    </row>
    <row r="26324" spans="8:8" x14ac:dyDescent="0.3">
      <c r="H26324" t="str">
        <f t="shared" si="460"/>
        <v/>
      </c>
    </row>
    <row r="26325" spans="8:8" x14ac:dyDescent="0.3">
      <c r="H26325" t="str">
        <f t="shared" si="460"/>
        <v/>
      </c>
    </row>
    <row r="26326" spans="8:8" x14ac:dyDescent="0.3">
      <c r="H26326" t="str">
        <f t="shared" si="460"/>
        <v/>
      </c>
    </row>
    <row r="26327" spans="8:8" x14ac:dyDescent="0.3">
      <c r="H26327" t="str">
        <f t="shared" ref="H26327:H26390" si="461">IF(B26327="","",$C$12)</f>
        <v/>
      </c>
    </row>
    <row r="26328" spans="8:8" x14ac:dyDescent="0.3">
      <c r="H26328" t="str">
        <f t="shared" si="461"/>
        <v/>
      </c>
    </row>
    <row r="26329" spans="8:8" x14ac:dyDescent="0.3">
      <c r="H26329" t="str">
        <f t="shared" si="461"/>
        <v/>
      </c>
    </row>
    <row r="26330" spans="8:8" x14ac:dyDescent="0.3">
      <c r="H26330" t="str">
        <f t="shared" si="461"/>
        <v/>
      </c>
    </row>
    <row r="26331" spans="8:8" x14ac:dyDescent="0.3">
      <c r="H26331" t="str">
        <f t="shared" si="461"/>
        <v/>
      </c>
    </row>
    <row r="26332" spans="8:8" x14ac:dyDescent="0.3">
      <c r="H26332" t="str">
        <f t="shared" si="461"/>
        <v/>
      </c>
    </row>
    <row r="26333" spans="8:8" x14ac:dyDescent="0.3">
      <c r="H26333" t="str">
        <f t="shared" si="461"/>
        <v/>
      </c>
    </row>
    <row r="26334" spans="8:8" x14ac:dyDescent="0.3">
      <c r="H26334" t="str">
        <f t="shared" si="461"/>
        <v/>
      </c>
    </row>
    <row r="26335" spans="8:8" x14ac:dyDescent="0.3">
      <c r="H26335" t="str">
        <f t="shared" si="461"/>
        <v/>
      </c>
    </row>
    <row r="26336" spans="8:8" x14ac:dyDescent="0.3">
      <c r="H26336" t="str">
        <f t="shared" si="461"/>
        <v/>
      </c>
    </row>
    <row r="26337" spans="8:8" x14ac:dyDescent="0.3">
      <c r="H26337" t="str">
        <f t="shared" si="461"/>
        <v/>
      </c>
    </row>
    <row r="26338" spans="8:8" x14ac:dyDescent="0.3">
      <c r="H26338" t="str">
        <f t="shared" si="461"/>
        <v/>
      </c>
    </row>
    <row r="26339" spans="8:8" x14ac:dyDescent="0.3">
      <c r="H26339" t="str">
        <f t="shared" si="461"/>
        <v/>
      </c>
    </row>
    <row r="26340" spans="8:8" x14ac:dyDescent="0.3">
      <c r="H26340" t="str">
        <f t="shared" si="461"/>
        <v/>
      </c>
    </row>
    <row r="26341" spans="8:8" x14ac:dyDescent="0.3">
      <c r="H26341" t="str">
        <f t="shared" si="461"/>
        <v/>
      </c>
    </row>
    <row r="26342" spans="8:8" x14ac:dyDescent="0.3">
      <c r="H26342" t="str">
        <f t="shared" si="461"/>
        <v/>
      </c>
    </row>
    <row r="26343" spans="8:8" x14ac:dyDescent="0.3">
      <c r="H26343" t="str">
        <f t="shared" si="461"/>
        <v/>
      </c>
    </row>
    <row r="26344" spans="8:8" x14ac:dyDescent="0.3">
      <c r="H26344" t="str">
        <f t="shared" si="461"/>
        <v/>
      </c>
    </row>
    <row r="26345" spans="8:8" x14ac:dyDescent="0.3">
      <c r="H26345" t="str">
        <f t="shared" si="461"/>
        <v/>
      </c>
    </row>
    <row r="26346" spans="8:8" x14ac:dyDescent="0.3">
      <c r="H26346" t="str">
        <f t="shared" si="461"/>
        <v/>
      </c>
    </row>
    <row r="26347" spans="8:8" x14ac:dyDescent="0.3">
      <c r="H26347" t="str">
        <f t="shared" si="461"/>
        <v/>
      </c>
    </row>
    <row r="26348" spans="8:8" x14ac:dyDescent="0.3">
      <c r="H26348" t="str">
        <f t="shared" si="461"/>
        <v/>
      </c>
    </row>
    <row r="26349" spans="8:8" x14ac:dyDescent="0.3">
      <c r="H26349" t="str">
        <f t="shared" si="461"/>
        <v/>
      </c>
    </row>
    <row r="26350" spans="8:8" x14ac:dyDescent="0.3">
      <c r="H26350" t="str">
        <f t="shared" si="461"/>
        <v/>
      </c>
    </row>
    <row r="26351" spans="8:8" x14ac:dyDescent="0.3">
      <c r="H26351" t="str">
        <f t="shared" si="461"/>
        <v/>
      </c>
    </row>
    <row r="26352" spans="8:8" x14ac:dyDescent="0.3">
      <c r="H26352" t="str">
        <f t="shared" si="461"/>
        <v/>
      </c>
    </row>
    <row r="26353" spans="8:8" x14ac:dyDescent="0.3">
      <c r="H26353" t="str">
        <f t="shared" si="461"/>
        <v/>
      </c>
    </row>
    <row r="26354" spans="8:8" x14ac:dyDescent="0.3">
      <c r="H26354" t="str">
        <f t="shared" si="461"/>
        <v/>
      </c>
    </row>
    <row r="26355" spans="8:8" x14ac:dyDescent="0.3">
      <c r="H26355" t="str">
        <f t="shared" si="461"/>
        <v/>
      </c>
    </row>
    <row r="26356" spans="8:8" x14ac:dyDescent="0.3">
      <c r="H26356" t="str">
        <f t="shared" si="461"/>
        <v/>
      </c>
    </row>
    <row r="26357" spans="8:8" x14ac:dyDescent="0.3">
      <c r="H26357" t="str">
        <f t="shared" si="461"/>
        <v/>
      </c>
    </row>
    <row r="26358" spans="8:8" x14ac:dyDescent="0.3">
      <c r="H26358" t="str">
        <f t="shared" si="461"/>
        <v/>
      </c>
    </row>
    <row r="26359" spans="8:8" x14ac:dyDescent="0.3">
      <c r="H26359" t="str">
        <f t="shared" si="461"/>
        <v/>
      </c>
    </row>
    <row r="26360" spans="8:8" x14ac:dyDescent="0.3">
      <c r="H26360" t="str">
        <f t="shared" si="461"/>
        <v/>
      </c>
    </row>
    <row r="26361" spans="8:8" x14ac:dyDescent="0.3">
      <c r="H26361" t="str">
        <f t="shared" si="461"/>
        <v/>
      </c>
    </row>
    <row r="26362" spans="8:8" x14ac:dyDescent="0.3">
      <c r="H26362" t="str">
        <f t="shared" si="461"/>
        <v/>
      </c>
    </row>
    <row r="26363" spans="8:8" x14ac:dyDescent="0.3">
      <c r="H26363" t="str">
        <f t="shared" si="461"/>
        <v/>
      </c>
    </row>
    <row r="26364" spans="8:8" x14ac:dyDescent="0.3">
      <c r="H26364" t="str">
        <f t="shared" si="461"/>
        <v/>
      </c>
    </row>
    <row r="26365" spans="8:8" x14ac:dyDescent="0.3">
      <c r="H26365" t="str">
        <f t="shared" si="461"/>
        <v/>
      </c>
    </row>
    <row r="26366" spans="8:8" x14ac:dyDescent="0.3">
      <c r="H26366" t="str">
        <f t="shared" si="461"/>
        <v/>
      </c>
    </row>
    <row r="26367" spans="8:8" x14ac:dyDescent="0.3">
      <c r="H26367" t="str">
        <f t="shared" si="461"/>
        <v/>
      </c>
    </row>
    <row r="26368" spans="8:8" x14ac:dyDescent="0.3">
      <c r="H26368" t="str">
        <f t="shared" si="461"/>
        <v/>
      </c>
    </row>
    <row r="26369" spans="8:8" x14ac:dyDescent="0.3">
      <c r="H26369" t="str">
        <f t="shared" si="461"/>
        <v/>
      </c>
    </row>
    <row r="26370" spans="8:8" x14ac:dyDescent="0.3">
      <c r="H26370" t="str">
        <f t="shared" si="461"/>
        <v/>
      </c>
    </row>
    <row r="26371" spans="8:8" x14ac:dyDescent="0.3">
      <c r="H26371" t="str">
        <f t="shared" si="461"/>
        <v/>
      </c>
    </row>
    <row r="26372" spans="8:8" x14ac:dyDescent="0.3">
      <c r="H26372" t="str">
        <f t="shared" si="461"/>
        <v/>
      </c>
    </row>
    <row r="26373" spans="8:8" x14ac:dyDescent="0.3">
      <c r="H26373" t="str">
        <f t="shared" si="461"/>
        <v/>
      </c>
    </row>
    <row r="26374" spans="8:8" x14ac:dyDescent="0.3">
      <c r="H26374" t="str">
        <f t="shared" si="461"/>
        <v/>
      </c>
    </row>
    <row r="26375" spans="8:8" x14ac:dyDescent="0.3">
      <c r="H26375" t="str">
        <f t="shared" si="461"/>
        <v/>
      </c>
    </row>
    <row r="26376" spans="8:8" x14ac:dyDescent="0.3">
      <c r="H26376" t="str">
        <f t="shared" si="461"/>
        <v/>
      </c>
    </row>
    <row r="26377" spans="8:8" x14ac:dyDescent="0.3">
      <c r="H26377" t="str">
        <f t="shared" si="461"/>
        <v/>
      </c>
    </row>
    <row r="26378" spans="8:8" x14ac:dyDescent="0.3">
      <c r="H26378" t="str">
        <f t="shared" si="461"/>
        <v/>
      </c>
    </row>
    <row r="26379" spans="8:8" x14ac:dyDescent="0.3">
      <c r="H26379" t="str">
        <f t="shared" si="461"/>
        <v/>
      </c>
    </row>
    <row r="26380" spans="8:8" x14ac:dyDescent="0.3">
      <c r="H26380" t="str">
        <f t="shared" si="461"/>
        <v/>
      </c>
    </row>
    <row r="26381" spans="8:8" x14ac:dyDescent="0.3">
      <c r="H26381" t="str">
        <f t="shared" si="461"/>
        <v/>
      </c>
    </row>
    <row r="26382" spans="8:8" x14ac:dyDescent="0.3">
      <c r="H26382" t="str">
        <f t="shared" si="461"/>
        <v/>
      </c>
    </row>
    <row r="26383" spans="8:8" x14ac:dyDescent="0.3">
      <c r="H26383" t="str">
        <f t="shared" si="461"/>
        <v/>
      </c>
    </row>
    <row r="26384" spans="8:8" x14ac:dyDescent="0.3">
      <c r="H26384" t="str">
        <f t="shared" si="461"/>
        <v/>
      </c>
    </row>
    <row r="26385" spans="8:8" x14ac:dyDescent="0.3">
      <c r="H26385" t="str">
        <f t="shared" si="461"/>
        <v/>
      </c>
    </row>
    <row r="26386" spans="8:8" x14ac:dyDescent="0.3">
      <c r="H26386" t="str">
        <f t="shared" si="461"/>
        <v/>
      </c>
    </row>
    <row r="26387" spans="8:8" x14ac:dyDescent="0.3">
      <c r="H26387" t="str">
        <f t="shared" si="461"/>
        <v/>
      </c>
    </row>
    <row r="26388" spans="8:8" x14ac:dyDescent="0.3">
      <c r="H26388" t="str">
        <f t="shared" si="461"/>
        <v/>
      </c>
    </row>
    <row r="26389" spans="8:8" x14ac:dyDescent="0.3">
      <c r="H26389" t="str">
        <f t="shared" si="461"/>
        <v/>
      </c>
    </row>
    <row r="26390" spans="8:8" x14ac:dyDescent="0.3">
      <c r="H26390" t="str">
        <f t="shared" si="461"/>
        <v/>
      </c>
    </row>
    <row r="26391" spans="8:8" x14ac:dyDescent="0.3">
      <c r="H26391" t="str">
        <f t="shared" ref="H26391:H26454" si="462">IF(B26391="","",$C$12)</f>
        <v/>
      </c>
    </row>
    <row r="26392" spans="8:8" x14ac:dyDescent="0.3">
      <c r="H26392" t="str">
        <f t="shared" si="462"/>
        <v/>
      </c>
    </row>
    <row r="26393" spans="8:8" x14ac:dyDescent="0.3">
      <c r="H26393" t="str">
        <f t="shared" si="462"/>
        <v/>
      </c>
    </row>
    <row r="26394" spans="8:8" x14ac:dyDescent="0.3">
      <c r="H26394" t="str">
        <f t="shared" si="462"/>
        <v/>
      </c>
    </row>
    <row r="26395" spans="8:8" x14ac:dyDescent="0.3">
      <c r="H26395" t="str">
        <f t="shared" si="462"/>
        <v/>
      </c>
    </row>
    <row r="26396" spans="8:8" x14ac:dyDescent="0.3">
      <c r="H26396" t="str">
        <f t="shared" si="462"/>
        <v/>
      </c>
    </row>
    <row r="26397" spans="8:8" x14ac:dyDescent="0.3">
      <c r="H26397" t="str">
        <f t="shared" si="462"/>
        <v/>
      </c>
    </row>
    <row r="26398" spans="8:8" x14ac:dyDescent="0.3">
      <c r="H26398" t="str">
        <f t="shared" si="462"/>
        <v/>
      </c>
    </row>
    <row r="26399" spans="8:8" x14ac:dyDescent="0.3">
      <c r="H26399" t="str">
        <f t="shared" si="462"/>
        <v/>
      </c>
    </row>
    <row r="26400" spans="8:8" x14ac:dyDescent="0.3">
      <c r="H26400" t="str">
        <f t="shared" si="462"/>
        <v/>
      </c>
    </row>
    <row r="26401" spans="8:8" x14ac:dyDescent="0.3">
      <c r="H26401" t="str">
        <f t="shared" si="462"/>
        <v/>
      </c>
    </row>
    <row r="26402" spans="8:8" x14ac:dyDescent="0.3">
      <c r="H26402" t="str">
        <f t="shared" si="462"/>
        <v/>
      </c>
    </row>
    <row r="26403" spans="8:8" x14ac:dyDescent="0.3">
      <c r="H26403" t="str">
        <f t="shared" si="462"/>
        <v/>
      </c>
    </row>
    <row r="26404" spans="8:8" x14ac:dyDescent="0.3">
      <c r="H26404" t="str">
        <f t="shared" si="462"/>
        <v/>
      </c>
    </row>
    <row r="26405" spans="8:8" x14ac:dyDescent="0.3">
      <c r="H26405" t="str">
        <f t="shared" si="462"/>
        <v/>
      </c>
    </row>
    <row r="26406" spans="8:8" x14ac:dyDescent="0.3">
      <c r="H26406" t="str">
        <f t="shared" si="462"/>
        <v/>
      </c>
    </row>
    <row r="26407" spans="8:8" x14ac:dyDescent="0.3">
      <c r="H26407" t="str">
        <f t="shared" si="462"/>
        <v/>
      </c>
    </row>
    <row r="26408" spans="8:8" x14ac:dyDescent="0.3">
      <c r="H26408" t="str">
        <f t="shared" si="462"/>
        <v/>
      </c>
    </row>
    <row r="26409" spans="8:8" x14ac:dyDescent="0.3">
      <c r="H26409" t="str">
        <f t="shared" si="462"/>
        <v/>
      </c>
    </row>
    <row r="26410" spans="8:8" x14ac:dyDescent="0.3">
      <c r="H26410" t="str">
        <f t="shared" si="462"/>
        <v/>
      </c>
    </row>
    <row r="26411" spans="8:8" x14ac:dyDescent="0.3">
      <c r="H26411" t="str">
        <f t="shared" si="462"/>
        <v/>
      </c>
    </row>
    <row r="26412" spans="8:8" x14ac:dyDescent="0.3">
      <c r="H26412" t="str">
        <f t="shared" si="462"/>
        <v/>
      </c>
    </row>
    <row r="26413" spans="8:8" x14ac:dyDescent="0.3">
      <c r="H26413" t="str">
        <f t="shared" si="462"/>
        <v/>
      </c>
    </row>
    <row r="26414" spans="8:8" x14ac:dyDescent="0.3">
      <c r="H26414" t="str">
        <f t="shared" si="462"/>
        <v/>
      </c>
    </row>
    <row r="26415" spans="8:8" x14ac:dyDescent="0.3">
      <c r="H26415" t="str">
        <f t="shared" si="462"/>
        <v/>
      </c>
    </row>
    <row r="26416" spans="8:8" x14ac:dyDescent="0.3">
      <c r="H26416" t="str">
        <f t="shared" si="462"/>
        <v/>
      </c>
    </row>
    <row r="26417" spans="8:8" x14ac:dyDescent="0.3">
      <c r="H26417" t="str">
        <f t="shared" si="462"/>
        <v/>
      </c>
    </row>
    <row r="26418" spans="8:8" x14ac:dyDescent="0.3">
      <c r="H26418" t="str">
        <f t="shared" si="462"/>
        <v/>
      </c>
    </row>
    <row r="26419" spans="8:8" x14ac:dyDescent="0.3">
      <c r="H26419" t="str">
        <f t="shared" si="462"/>
        <v/>
      </c>
    </row>
    <row r="26420" spans="8:8" x14ac:dyDescent="0.3">
      <c r="H26420" t="str">
        <f t="shared" si="462"/>
        <v/>
      </c>
    </row>
    <row r="26421" spans="8:8" x14ac:dyDescent="0.3">
      <c r="H26421" t="str">
        <f t="shared" si="462"/>
        <v/>
      </c>
    </row>
    <row r="26422" spans="8:8" x14ac:dyDescent="0.3">
      <c r="H26422" t="str">
        <f t="shared" si="462"/>
        <v/>
      </c>
    </row>
    <row r="26423" spans="8:8" x14ac:dyDescent="0.3">
      <c r="H26423" t="str">
        <f t="shared" si="462"/>
        <v/>
      </c>
    </row>
    <row r="26424" spans="8:8" x14ac:dyDescent="0.3">
      <c r="H26424" t="str">
        <f t="shared" si="462"/>
        <v/>
      </c>
    </row>
    <row r="26425" spans="8:8" x14ac:dyDescent="0.3">
      <c r="H26425" t="str">
        <f t="shared" si="462"/>
        <v/>
      </c>
    </row>
    <row r="26426" spans="8:8" x14ac:dyDescent="0.3">
      <c r="H26426" t="str">
        <f t="shared" si="462"/>
        <v/>
      </c>
    </row>
    <row r="26427" spans="8:8" x14ac:dyDescent="0.3">
      <c r="H26427" t="str">
        <f t="shared" si="462"/>
        <v/>
      </c>
    </row>
    <row r="26428" spans="8:8" x14ac:dyDescent="0.3">
      <c r="H26428" t="str">
        <f t="shared" si="462"/>
        <v/>
      </c>
    </row>
    <row r="26429" spans="8:8" x14ac:dyDescent="0.3">
      <c r="H26429" t="str">
        <f t="shared" si="462"/>
        <v/>
      </c>
    </row>
    <row r="26430" spans="8:8" x14ac:dyDescent="0.3">
      <c r="H26430" t="str">
        <f t="shared" si="462"/>
        <v/>
      </c>
    </row>
    <row r="26431" spans="8:8" x14ac:dyDescent="0.3">
      <c r="H26431" t="str">
        <f t="shared" si="462"/>
        <v/>
      </c>
    </row>
    <row r="26432" spans="8:8" x14ac:dyDescent="0.3">
      <c r="H26432" t="str">
        <f t="shared" si="462"/>
        <v/>
      </c>
    </row>
    <row r="26433" spans="8:8" x14ac:dyDescent="0.3">
      <c r="H26433" t="str">
        <f t="shared" si="462"/>
        <v/>
      </c>
    </row>
    <row r="26434" spans="8:8" x14ac:dyDescent="0.3">
      <c r="H26434" t="str">
        <f t="shared" si="462"/>
        <v/>
      </c>
    </row>
    <row r="26435" spans="8:8" x14ac:dyDescent="0.3">
      <c r="H26435" t="str">
        <f t="shared" si="462"/>
        <v/>
      </c>
    </row>
    <row r="26436" spans="8:8" x14ac:dyDescent="0.3">
      <c r="H26436" t="str">
        <f t="shared" si="462"/>
        <v/>
      </c>
    </row>
    <row r="26437" spans="8:8" x14ac:dyDescent="0.3">
      <c r="H26437" t="str">
        <f t="shared" si="462"/>
        <v/>
      </c>
    </row>
    <row r="26438" spans="8:8" x14ac:dyDescent="0.3">
      <c r="H26438" t="str">
        <f t="shared" si="462"/>
        <v/>
      </c>
    </row>
    <row r="26439" spans="8:8" x14ac:dyDescent="0.3">
      <c r="H26439" t="str">
        <f t="shared" si="462"/>
        <v/>
      </c>
    </row>
    <row r="26440" spans="8:8" x14ac:dyDescent="0.3">
      <c r="H26440" t="str">
        <f t="shared" si="462"/>
        <v/>
      </c>
    </row>
    <row r="26441" spans="8:8" x14ac:dyDescent="0.3">
      <c r="H26441" t="str">
        <f t="shared" si="462"/>
        <v/>
      </c>
    </row>
    <row r="26442" spans="8:8" x14ac:dyDescent="0.3">
      <c r="H26442" t="str">
        <f t="shared" si="462"/>
        <v/>
      </c>
    </row>
    <row r="26443" spans="8:8" x14ac:dyDescent="0.3">
      <c r="H26443" t="str">
        <f t="shared" si="462"/>
        <v/>
      </c>
    </row>
    <row r="26444" spans="8:8" x14ac:dyDescent="0.3">
      <c r="H26444" t="str">
        <f t="shared" si="462"/>
        <v/>
      </c>
    </row>
    <row r="26445" spans="8:8" x14ac:dyDescent="0.3">
      <c r="H26445" t="str">
        <f t="shared" si="462"/>
        <v/>
      </c>
    </row>
    <row r="26446" spans="8:8" x14ac:dyDescent="0.3">
      <c r="H26446" t="str">
        <f t="shared" si="462"/>
        <v/>
      </c>
    </row>
    <row r="26447" spans="8:8" x14ac:dyDescent="0.3">
      <c r="H26447" t="str">
        <f t="shared" si="462"/>
        <v/>
      </c>
    </row>
    <row r="26448" spans="8:8" x14ac:dyDescent="0.3">
      <c r="H26448" t="str">
        <f t="shared" si="462"/>
        <v/>
      </c>
    </row>
    <row r="26449" spans="8:8" x14ac:dyDescent="0.3">
      <c r="H26449" t="str">
        <f t="shared" si="462"/>
        <v/>
      </c>
    </row>
    <row r="26450" spans="8:8" x14ac:dyDescent="0.3">
      <c r="H26450" t="str">
        <f t="shared" si="462"/>
        <v/>
      </c>
    </row>
    <row r="26451" spans="8:8" x14ac:dyDescent="0.3">
      <c r="H26451" t="str">
        <f t="shared" si="462"/>
        <v/>
      </c>
    </row>
    <row r="26452" spans="8:8" x14ac:dyDescent="0.3">
      <c r="H26452" t="str">
        <f t="shared" si="462"/>
        <v/>
      </c>
    </row>
    <row r="26453" spans="8:8" x14ac:dyDescent="0.3">
      <c r="H26453" t="str">
        <f t="shared" si="462"/>
        <v/>
      </c>
    </row>
    <row r="26454" spans="8:8" x14ac:dyDescent="0.3">
      <c r="H26454" t="str">
        <f t="shared" si="462"/>
        <v/>
      </c>
    </row>
    <row r="26455" spans="8:8" x14ac:dyDescent="0.3">
      <c r="H26455" t="str">
        <f t="shared" ref="H26455:H26518" si="463">IF(B26455="","",$C$12)</f>
        <v/>
      </c>
    </row>
    <row r="26456" spans="8:8" x14ac:dyDescent="0.3">
      <c r="H26456" t="str">
        <f t="shared" si="463"/>
        <v/>
      </c>
    </row>
    <row r="26457" spans="8:8" x14ac:dyDescent="0.3">
      <c r="H26457" t="str">
        <f t="shared" si="463"/>
        <v/>
      </c>
    </row>
    <row r="26458" spans="8:8" x14ac:dyDescent="0.3">
      <c r="H26458" t="str">
        <f t="shared" si="463"/>
        <v/>
      </c>
    </row>
    <row r="26459" spans="8:8" x14ac:dyDescent="0.3">
      <c r="H26459" t="str">
        <f t="shared" si="463"/>
        <v/>
      </c>
    </row>
    <row r="26460" spans="8:8" x14ac:dyDescent="0.3">
      <c r="H26460" t="str">
        <f t="shared" si="463"/>
        <v/>
      </c>
    </row>
    <row r="26461" spans="8:8" x14ac:dyDescent="0.3">
      <c r="H26461" t="str">
        <f t="shared" si="463"/>
        <v/>
      </c>
    </row>
    <row r="26462" spans="8:8" x14ac:dyDescent="0.3">
      <c r="H26462" t="str">
        <f t="shared" si="463"/>
        <v/>
      </c>
    </row>
    <row r="26463" spans="8:8" x14ac:dyDescent="0.3">
      <c r="H26463" t="str">
        <f t="shared" si="463"/>
        <v/>
      </c>
    </row>
    <row r="26464" spans="8:8" x14ac:dyDescent="0.3">
      <c r="H26464" t="str">
        <f t="shared" si="463"/>
        <v/>
      </c>
    </row>
    <row r="26465" spans="8:8" x14ac:dyDescent="0.3">
      <c r="H26465" t="str">
        <f t="shared" si="463"/>
        <v/>
      </c>
    </row>
    <row r="26466" spans="8:8" x14ac:dyDescent="0.3">
      <c r="H26466" t="str">
        <f t="shared" si="463"/>
        <v/>
      </c>
    </row>
    <row r="26467" spans="8:8" x14ac:dyDescent="0.3">
      <c r="H26467" t="str">
        <f t="shared" si="463"/>
        <v/>
      </c>
    </row>
    <row r="26468" spans="8:8" x14ac:dyDescent="0.3">
      <c r="H26468" t="str">
        <f t="shared" si="463"/>
        <v/>
      </c>
    </row>
    <row r="26469" spans="8:8" x14ac:dyDescent="0.3">
      <c r="H26469" t="str">
        <f t="shared" si="463"/>
        <v/>
      </c>
    </row>
    <row r="26470" spans="8:8" x14ac:dyDescent="0.3">
      <c r="H26470" t="str">
        <f t="shared" si="463"/>
        <v/>
      </c>
    </row>
    <row r="26471" spans="8:8" x14ac:dyDescent="0.3">
      <c r="H26471" t="str">
        <f t="shared" si="463"/>
        <v/>
      </c>
    </row>
    <row r="26472" spans="8:8" x14ac:dyDescent="0.3">
      <c r="H26472" t="str">
        <f t="shared" si="463"/>
        <v/>
      </c>
    </row>
    <row r="26473" spans="8:8" x14ac:dyDescent="0.3">
      <c r="H26473" t="str">
        <f t="shared" si="463"/>
        <v/>
      </c>
    </row>
    <row r="26474" spans="8:8" x14ac:dyDescent="0.3">
      <c r="H26474" t="str">
        <f t="shared" si="463"/>
        <v/>
      </c>
    </row>
    <row r="26475" spans="8:8" x14ac:dyDescent="0.3">
      <c r="H26475" t="str">
        <f t="shared" si="463"/>
        <v/>
      </c>
    </row>
    <row r="26476" spans="8:8" x14ac:dyDescent="0.3">
      <c r="H26476" t="str">
        <f t="shared" si="463"/>
        <v/>
      </c>
    </row>
    <row r="26477" spans="8:8" x14ac:dyDescent="0.3">
      <c r="H26477" t="str">
        <f t="shared" si="463"/>
        <v/>
      </c>
    </row>
    <row r="26478" spans="8:8" x14ac:dyDescent="0.3">
      <c r="H26478" t="str">
        <f t="shared" si="463"/>
        <v/>
      </c>
    </row>
    <row r="26479" spans="8:8" x14ac:dyDescent="0.3">
      <c r="H26479" t="str">
        <f t="shared" si="463"/>
        <v/>
      </c>
    </row>
    <row r="26480" spans="8:8" x14ac:dyDescent="0.3">
      <c r="H26480" t="str">
        <f t="shared" si="463"/>
        <v/>
      </c>
    </row>
    <row r="26481" spans="8:8" x14ac:dyDescent="0.3">
      <c r="H26481" t="str">
        <f t="shared" si="463"/>
        <v/>
      </c>
    </row>
    <row r="26482" spans="8:8" x14ac:dyDescent="0.3">
      <c r="H26482" t="str">
        <f t="shared" si="463"/>
        <v/>
      </c>
    </row>
    <row r="26483" spans="8:8" x14ac:dyDescent="0.3">
      <c r="H26483" t="str">
        <f t="shared" si="463"/>
        <v/>
      </c>
    </row>
    <row r="26484" spans="8:8" x14ac:dyDescent="0.3">
      <c r="H26484" t="str">
        <f t="shared" si="463"/>
        <v/>
      </c>
    </row>
    <row r="26485" spans="8:8" x14ac:dyDescent="0.3">
      <c r="H26485" t="str">
        <f t="shared" si="463"/>
        <v/>
      </c>
    </row>
    <row r="26486" spans="8:8" x14ac:dyDescent="0.3">
      <c r="H26486" t="str">
        <f t="shared" si="463"/>
        <v/>
      </c>
    </row>
    <row r="26487" spans="8:8" x14ac:dyDescent="0.3">
      <c r="H26487" t="str">
        <f t="shared" si="463"/>
        <v/>
      </c>
    </row>
    <row r="26488" spans="8:8" x14ac:dyDescent="0.3">
      <c r="H26488" t="str">
        <f t="shared" si="463"/>
        <v/>
      </c>
    </row>
    <row r="26489" spans="8:8" x14ac:dyDescent="0.3">
      <c r="H26489" t="str">
        <f t="shared" si="463"/>
        <v/>
      </c>
    </row>
    <row r="26490" spans="8:8" x14ac:dyDescent="0.3">
      <c r="H26490" t="str">
        <f t="shared" si="463"/>
        <v/>
      </c>
    </row>
    <row r="26491" spans="8:8" x14ac:dyDescent="0.3">
      <c r="H26491" t="str">
        <f t="shared" si="463"/>
        <v/>
      </c>
    </row>
    <row r="26492" spans="8:8" x14ac:dyDescent="0.3">
      <c r="H26492" t="str">
        <f t="shared" si="463"/>
        <v/>
      </c>
    </row>
    <row r="26493" spans="8:8" x14ac:dyDescent="0.3">
      <c r="H26493" t="str">
        <f t="shared" si="463"/>
        <v/>
      </c>
    </row>
    <row r="26494" spans="8:8" x14ac:dyDescent="0.3">
      <c r="H26494" t="str">
        <f t="shared" si="463"/>
        <v/>
      </c>
    </row>
    <row r="26495" spans="8:8" x14ac:dyDescent="0.3">
      <c r="H26495" t="str">
        <f t="shared" si="463"/>
        <v/>
      </c>
    </row>
    <row r="26496" spans="8:8" x14ac:dyDescent="0.3">
      <c r="H26496" t="str">
        <f t="shared" si="463"/>
        <v/>
      </c>
    </row>
    <row r="26497" spans="8:8" x14ac:dyDescent="0.3">
      <c r="H26497" t="str">
        <f t="shared" si="463"/>
        <v/>
      </c>
    </row>
    <row r="26498" spans="8:8" x14ac:dyDescent="0.3">
      <c r="H26498" t="str">
        <f t="shared" si="463"/>
        <v/>
      </c>
    </row>
    <row r="26499" spans="8:8" x14ac:dyDescent="0.3">
      <c r="H26499" t="str">
        <f t="shared" si="463"/>
        <v/>
      </c>
    </row>
    <row r="26500" spans="8:8" x14ac:dyDescent="0.3">
      <c r="H26500" t="str">
        <f t="shared" si="463"/>
        <v/>
      </c>
    </row>
    <row r="26501" spans="8:8" x14ac:dyDescent="0.3">
      <c r="H26501" t="str">
        <f t="shared" si="463"/>
        <v/>
      </c>
    </row>
    <row r="26502" spans="8:8" x14ac:dyDescent="0.3">
      <c r="H26502" t="str">
        <f t="shared" si="463"/>
        <v/>
      </c>
    </row>
    <row r="26503" spans="8:8" x14ac:dyDescent="0.3">
      <c r="H26503" t="str">
        <f t="shared" si="463"/>
        <v/>
      </c>
    </row>
    <row r="26504" spans="8:8" x14ac:dyDescent="0.3">
      <c r="H26504" t="str">
        <f t="shared" si="463"/>
        <v/>
      </c>
    </row>
    <row r="26505" spans="8:8" x14ac:dyDescent="0.3">
      <c r="H26505" t="str">
        <f t="shared" si="463"/>
        <v/>
      </c>
    </row>
    <row r="26506" spans="8:8" x14ac:dyDescent="0.3">
      <c r="H26506" t="str">
        <f t="shared" si="463"/>
        <v/>
      </c>
    </row>
    <row r="26507" spans="8:8" x14ac:dyDescent="0.3">
      <c r="H26507" t="str">
        <f t="shared" si="463"/>
        <v/>
      </c>
    </row>
    <row r="26508" spans="8:8" x14ac:dyDescent="0.3">
      <c r="H26508" t="str">
        <f t="shared" si="463"/>
        <v/>
      </c>
    </row>
    <row r="26509" spans="8:8" x14ac:dyDescent="0.3">
      <c r="H26509" t="str">
        <f t="shared" si="463"/>
        <v/>
      </c>
    </row>
    <row r="26510" spans="8:8" x14ac:dyDescent="0.3">
      <c r="H26510" t="str">
        <f t="shared" si="463"/>
        <v/>
      </c>
    </row>
    <row r="26511" spans="8:8" x14ac:dyDescent="0.3">
      <c r="H26511" t="str">
        <f t="shared" si="463"/>
        <v/>
      </c>
    </row>
    <row r="26512" spans="8:8" x14ac:dyDescent="0.3">
      <c r="H26512" t="str">
        <f t="shared" si="463"/>
        <v/>
      </c>
    </row>
    <row r="26513" spans="8:8" x14ac:dyDescent="0.3">
      <c r="H26513" t="str">
        <f t="shared" si="463"/>
        <v/>
      </c>
    </row>
    <row r="26514" spans="8:8" x14ac:dyDescent="0.3">
      <c r="H26514" t="str">
        <f t="shared" si="463"/>
        <v/>
      </c>
    </row>
    <row r="26515" spans="8:8" x14ac:dyDescent="0.3">
      <c r="H26515" t="str">
        <f t="shared" si="463"/>
        <v/>
      </c>
    </row>
    <row r="26516" spans="8:8" x14ac:dyDescent="0.3">
      <c r="H26516" t="str">
        <f t="shared" si="463"/>
        <v/>
      </c>
    </row>
    <row r="26517" spans="8:8" x14ac:dyDescent="0.3">
      <c r="H26517" t="str">
        <f t="shared" si="463"/>
        <v/>
      </c>
    </row>
    <row r="26518" spans="8:8" x14ac:dyDescent="0.3">
      <c r="H26518" t="str">
        <f t="shared" si="463"/>
        <v/>
      </c>
    </row>
    <row r="26519" spans="8:8" x14ac:dyDescent="0.3">
      <c r="H26519" t="str">
        <f t="shared" ref="H26519:H26582" si="464">IF(B26519="","",$C$12)</f>
        <v/>
      </c>
    </row>
    <row r="26520" spans="8:8" x14ac:dyDescent="0.3">
      <c r="H26520" t="str">
        <f t="shared" si="464"/>
        <v/>
      </c>
    </row>
    <row r="26521" spans="8:8" x14ac:dyDescent="0.3">
      <c r="H26521" t="str">
        <f t="shared" si="464"/>
        <v/>
      </c>
    </row>
    <row r="26522" spans="8:8" x14ac:dyDescent="0.3">
      <c r="H26522" t="str">
        <f t="shared" si="464"/>
        <v/>
      </c>
    </row>
    <row r="26523" spans="8:8" x14ac:dyDescent="0.3">
      <c r="H26523" t="str">
        <f t="shared" si="464"/>
        <v/>
      </c>
    </row>
    <row r="26524" spans="8:8" x14ac:dyDescent="0.3">
      <c r="H26524" t="str">
        <f t="shared" si="464"/>
        <v/>
      </c>
    </row>
    <row r="26525" spans="8:8" x14ac:dyDescent="0.3">
      <c r="H26525" t="str">
        <f t="shared" si="464"/>
        <v/>
      </c>
    </row>
    <row r="26526" spans="8:8" x14ac:dyDescent="0.3">
      <c r="H26526" t="str">
        <f t="shared" si="464"/>
        <v/>
      </c>
    </row>
    <row r="26527" spans="8:8" x14ac:dyDescent="0.3">
      <c r="H26527" t="str">
        <f t="shared" si="464"/>
        <v/>
      </c>
    </row>
    <row r="26528" spans="8:8" x14ac:dyDescent="0.3">
      <c r="H26528" t="str">
        <f t="shared" si="464"/>
        <v/>
      </c>
    </row>
    <row r="26529" spans="8:8" x14ac:dyDescent="0.3">
      <c r="H26529" t="str">
        <f t="shared" si="464"/>
        <v/>
      </c>
    </row>
    <row r="26530" spans="8:8" x14ac:dyDescent="0.3">
      <c r="H26530" t="str">
        <f t="shared" si="464"/>
        <v/>
      </c>
    </row>
    <row r="26531" spans="8:8" x14ac:dyDescent="0.3">
      <c r="H26531" t="str">
        <f t="shared" si="464"/>
        <v/>
      </c>
    </row>
    <row r="26532" spans="8:8" x14ac:dyDescent="0.3">
      <c r="H26532" t="str">
        <f t="shared" si="464"/>
        <v/>
      </c>
    </row>
    <row r="26533" spans="8:8" x14ac:dyDescent="0.3">
      <c r="H26533" t="str">
        <f t="shared" si="464"/>
        <v/>
      </c>
    </row>
    <row r="26534" spans="8:8" x14ac:dyDescent="0.3">
      <c r="H26534" t="str">
        <f t="shared" si="464"/>
        <v/>
      </c>
    </row>
    <row r="26535" spans="8:8" x14ac:dyDescent="0.3">
      <c r="H26535" t="str">
        <f t="shared" si="464"/>
        <v/>
      </c>
    </row>
    <row r="26536" spans="8:8" x14ac:dyDescent="0.3">
      <c r="H26536" t="str">
        <f t="shared" si="464"/>
        <v/>
      </c>
    </row>
    <row r="26537" spans="8:8" x14ac:dyDescent="0.3">
      <c r="H26537" t="str">
        <f t="shared" si="464"/>
        <v/>
      </c>
    </row>
    <row r="26538" spans="8:8" x14ac:dyDescent="0.3">
      <c r="H26538" t="str">
        <f t="shared" si="464"/>
        <v/>
      </c>
    </row>
    <row r="26539" spans="8:8" x14ac:dyDescent="0.3">
      <c r="H26539" t="str">
        <f t="shared" si="464"/>
        <v/>
      </c>
    </row>
    <row r="26540" spans="8:8" x14ac:dyDescent="0.3">
      <c r="H26540" t="str">
        <f t="shared" si="464"/>
        <v/>
      </c>
    </row>
    <row r="26541" spans="8:8" x14ac:dyDescent="0.3">
      <c r="H26541" t="str">
        <f t="shared" si="464"/>
        <v/>
      </c>
    </row>
    <row r="26542" spans="8:8" x14ac:dyDescent="0.3">
      <c r="H26542" t="str">
        <f t="shared" si="464"/>
        <v/>
      </c>
    </row>
    <row r="26543" spans="8:8" x14ac:dyDescent="0.3">
      <c r="H26543" t="str">
        <f t="shared" si="464"/>
        <v/>
      </c>
    </row>
    <row r="26544" spans="8:8" x14ac:dyDescent="0.3">
      <c r="H26544" t="str">
        <f t="shared" si="464"/>
        <v/>
      </c>
    </row>
    <row r="26545" spans="8:8" x14ac:dyDescent="0.3">
      <c r="H26545" t="str">
        <f t="shared" si="464"/>
        <v/>
      </c>
    </row>
    <row r="26546" spans="8:8" x14ac:dyDescent="0.3">
      <c r="H26546" t="str">
        <f t="shared" si="464"/>
        <v/>
      </c>
    </row>
    <row r="26547" spans="8:8" x14ac:dyDescent="0.3">
      <c r="H26547" t="str">
        <f t="shared" si="464"/>
        <v/>
      </c>
    </row>
    <row r="26548" spans="8:8" x14ac:dyDescent="0.3">
      <c r="H26548" t="str">
        <f t="shared" si="464"/>
        <v/>
      </c>
    </row>
    <row r="26549" spans="8:8" x14ac:dyDescent="0.3">
      <c r="H26549" t="str">
        <f t="shared" si="464"/>
        <v/>
      </c>
    </row>
    <row r="26550" spans="8:8" x14ac:dyDescent="0.3">
      <c r="H26550" t="str">
        <f t="shared" si="464"/>
        <v/>
      </c>
    </row>
    <row r="26551" spans="8:8" x14ac:dyDescent="0.3">
      <c r="H26551" t="str">
        <f t="shared" si="464"/>
        <v/>
      </c>
    </row>
    <row r="26552" spans="8:8" x14ac:dyDescent="0.3">
      <c r="H26552" t="str">
        <f t="shared" si="464"/>
        <v/>
      </c>
    </row>
    <row r="26553" spans="8:8" x14ac:dyDescent="0.3">
      <c r="H26553" t="str">
        <f t="shared" si="464"/>
        <v/>
      </c>
    </row>
    <row r="26554" spans="8:8" x14ac:dyDescent="0.3">
      <c r="H26554" t="str">
        <f t="shared" si="464"/>
        <v/>
      </c>
    </row>
    <row r="26555" spans="8:8" x14ac:dyDescent="0.3">
      <c r="H26555" t="str">
        <f t="shared" si="464"/>
        <v/>
      </c>
    </row>
    <row r="26556" spans="8:8" x14ac:dyDescent="0.3">
      <c r="H26556" t="str">
        <f t="shared" si="464"/>
        <v/>
      </c>
    </row>
    <row r="26557" spans="8:8" x14ac:dyDescent="0.3">
      <c r="H26557" t="str">
        <f t="shared" si="464"/>
        <v/>
      </c>
    </row>
    <row r="26558" spans="8:8" x14ac:dyDescent="0.3">
      <c r="H26558" t="str">
        <f t="shared" si="464"/>
        <v/>
      </c>
    </row>
    <row r="26559" spans="8:8" x14ac:dyDescent="0.3">
      <c r="H26559" t="str">
        <f t="shared" si="464"/>
        <v/>
      </c>
    </row>
    <row r="26560" spans="8:8" x14ac:dyDescent="0.3">
      <c r="H26560" t="str">
        <f t="shared" si="464"/>
        <v/>
      </c>
    </row>
    <row r="26561" spans="8:8" x14ac:dyDescent="0.3">
      <c r="H26561" t="str">
        <f t="shared" si="464"/>
        <v/>
      </c>
    </row>
    <row r="26562" spans="8:8" x14ac:dyDescent="0.3">
      <c r="H26562" t="str">
        <f t="shared" si="464"/>
        <v/>
      </c>
    </row>
    <row r="26563" spans="8:8" x14ac:dyDescent="0.3">
      <c r="H26563" t="str">
        <f t="shared" si="464"/>
        <v/>
      </c>
    </row>
    <row r="26564" spans="8:8" x14ac:dyDescent="0.3">
      <c r="H26564" t="str">
        <f t="shared" si="464"/>
        <v/>
      </c>
    </row>
    <row r="26565" spans="8:8" x14ac:dyDescent="0.3">
      <c r="H26565" t="str">
        <f t="shared" si="464"/>
        <v/>
      </c>
    </row>
    <row r="26566" spans="8:8" x14ac:dyDescent="0.3">
      <c r="H26566" t="str">
        <f t="shared" si="464"/>
        <v/>
      </c>
    </row>
    <row r="26567" spans="8:8" x14ac:dyDescent="0.3">
      <c r="H26567" t="str">
        <f t="shared" si="464"/>
        <v/>
      </c>
    </row>
    <row r="26568" spans="8:8" x14ac:dyDescent="0.3">
      <c r="H26568" t="str">
        <f t="shared" si="464"/>
        <v/>
      </c>
    </row>
    <row r="26569" spans="8:8" x14ac:dyDescent="0.3">
      <c r="H26569" t="str">
        <f t="shared" si="464"/>
        <v/>
      </c>
    </row>
    <row r="26570" spans="8:8" x14ac:dyDescent="0.3">
      <c r="H26570" t="str">
        <f t="shared" si="464"/>
        <v/>
      </c>
    </row>
    <row r="26571" spans="8:8" x14ac:dyDescent="0.3">
      <c r="H26571" t="str">
        <f t="shared" si="464"/>
        <v/>
      </c>
    </row>
    <row r="26572" spans="8:8" x14ac:dyDescent="0.3">
      <c r="H26572" t="str">
        <f t="shared" si="464"/>
        <v/>
      </c>
    </row>
    <row r="26573" spans="8:8" x14ac:dyDescent="0.3">
      <c r="H26573" t="str">
        <f t="shared" si="464"/>
        <v/>
      </c>
    </row>
    <row r="26574" spans="8:8" x14ac:dyDescent="0.3">
      <c r="H26574" t="str">
        <f t="shared" si="464"/>
        <v/>
      </c>
    </row>
    <row r="26575" spans="8:8" x14ac:dyDescent="0.3">
      <c r="H26575" t="str">
        <f t="shared" si="464"/>
        <v/>
      </c>
    </row>
    <row r="26576" spans="8:8" x14ac:dyDescent="0.3">
      <c r="H26576" t="str">
        <f t="shared" si="464"/>
        <v/>
      </c>
    </row>
    <row r="26577" spans="8:8" x14ac:dyDescent="0.3">
      <c r="H26577" t="str">
        <f t="shared" si="464"/>
        <v/>
      </c>
    </row>
    <row r="26578" spans="8:8" x14ac:dyDescent="0.3">
      <c r="H26578" t="str">
        <f t="shared" si="464"/>
        <v/>
      </c>
    </row>
    <row r="26579" spans="8:8" x14ac:dyDescent="0.3">
      <c r="H26579" t="str">
        <f t="shared" si="464"/>
        <v/>
      </c>
    </row>
    <row r="26580" spans="8:8" x14ac:dyDescent="0.3">
      <c r="H26580" t="str">
        <f t="shared" si="464"/>
        <v/>
      </c>
    </row>
    <row r="26581" spans="8:8" x14ac:dyDescent="0.3">
      <c r="H26581" t="str">
        <f t="shared" si="464"/>
        <v/>
      </c>
    </row>
    <row r="26582" spans="8:8" x14ac:dyDescent="0.3">
      <c r="H26582" t="str">
        <f t="shared" si="464"/>
        <v/>
      </c>
    </row>
    <row r="26583" spans="8:8" x14ac:dyDescent="0.3">
      <c r="H26583" t="str">
        <f t="shared" ref="H26583:H26646" si="465">IF(B26583="","",$C$12)</f>
        <v/>
      </c>
    </row>
    <row r="26584" spans="8:8" x14ac:dyDescent="0.3">
      <c r="H26584" t="str">
        <f t="shared" si="465"/>
        <v/>
      </c>
    </row>
    <row r="26585" spans="8:8" x14ac:dyDescent="0.3">
      <c r="H26585" t="str">
        <f t="shared" si="465"/>
        <v/>
      </c>
    </row>
    <row r="26586" spans="8:8" x14ac:dyDescent="0.3">
      <c r="H26586" t="str">
        <f t="shared" si="465"/>
        <v/>
      </c>
    </row>
    <row r="26587" spans="8:8" x14ac:dyDescent="0.3">
      <c r="H26587" t="str">
        <f t="shared" si="465"/>
        <v/>
      </c>
    </row>
    <row r="26588" spans="8:8" x14ac:dyDescent="0.3">
      <c r="H26588" t="str">
        <f t="shared" si="465"/>
        <v/>
      </c>
    </row>
    <row r="26589" spans="8:8" x14ac:dyDescent="0.3">
      <c r="H26589" t="str">
        <f t="shared" si="465"/>
        <v/>
      </c>
    </row>
    <row r="26590" spans="8:8" x14ac:dyDescent="0.3">
      <c r="H26590" t="str">
        <f t="shared" si="465"/>
        <v/>
      </c>
    </row>
    <row r="26591" spans="8:8" x14ac:dyDescent="0.3">
      <c r="H26591" t="str">
        <f t="shared" si="465"/>
        <v/>
      </c>
    </row>
    <row r="26592" spans="8:8" x14ac:dyDescent="0.3">
      <c r="H26592" t="str">
        <f t="shared" si="465"/>
        <v/>
      </c>
    </row>
    <row r="26593" spans="8:8" x14ac:dyDescent="0.3">
      <c r="H26593" t="str">
        <f t="shared" si="465"/>
        <v/>
      </c>
    </row>
    <row r="26594" spans="8:8" x14ac:dyDescent="0.3">
      <c r="H26594" t="str">
        <f t="shared" si="465"/>
        <v/>
      </c>
    </row>
    <row r="26595" spans="8:8" x14ac:dyDescent="0.3">
      <c r="H26595" t="str">
        <f t="shared" si="465"/>
        <v/>
      </c>
    </row>
    <row r="26596" spans="8:8" x14ac:dyDescent="0.3">
      <c r="H26596" t="str">
        <f t="shared" si="465"/>
        <v/>
      </c>
    </row>
    <row r="26597" spans="8:8" x14ac:dyDescent="0.3">
      <c r="H26597" t="str">
        <f t="shared" si="465"/>
        <v/>
      </c>
    </row>
    <row r="26598" spans="8:8" x14ac:dyDescent="0.3">
      <c r="H26598" t="str">
        <f t="shared" si="465"/>
        <v/>
      </c>
    </row>
    <row r="26599" spans="8:8" x14ac:dyDescent="0.3">
      <c r="H26599" t="str">
        <f t="shared" si="465"/>
        <v/>
      </c>
    </row>
    <row r="26600" spans="8:8" x14ac:dyDescent="0.3">
      <c r="H26600" t="str">
        <f t="shared" si="465"/>
        <v/>
      </c>
    </row>
    <row r="26601" spans="8:8" x14ac:dyDescent="0.3">
      <c r="H26601" t="str">
        <f t="shared" si="465"/>
        <v/>
      </c>
    </row>
    <row r="26602" spans="8:8" x14ac:dyDescent="0.3">
      <c r="H26602" t="str">
        <f t="shared" si="465"/>
        <v/>
      </c>
    </row>
    <row r="26603" spans="8:8" x14ac:dyDescent="0.3">
      <c r="H26603" t="str">
        <f t="shared" si="465"/>
        <v/>
      </c>
    </row>
    <row r="26604" spans="8:8" x14ac:dyDescent="0.3">
      <c r="H26604" t="str">
        <f t="shared" si="465"/>
        <v/>
      </c>
    </row>
    <row r="26605" spans="8:8" x14ac:dyDescent="0.3">
      <c r="H26605" t="str">
        <f t="shared" si="465"/>
        <v/>
      </c>
    </row>
    <row r="26606" spans="8:8" x14ac:dyDescent="0.3">
      <c r="H26606" t="str">
        <f t="shared" si="465"/>
        <v/>
      </c>
    </row>
    <row r="26607" spans="8:8" x14ac:dyDescent="0.3">
      <c r="H26607" t="str">
        <f t="shared" si="465"/>
        <v/>
      </c>
    </row>
    <row r="26608" spans="8:8" x14ac:dyDescent="0.3">
      <c r="H26608" t="str">
        <f t="shared" si="465"/>
        <v/>
      </c>
    </row>
    <row r="26609" spans="8:8" x14ac:dyDescent="0.3">
      <c r="H26609" t="str">
        <f t="shared" si="465"/>
        <v/>
      </c>
    </row>
    <row r="26610" spans="8:8" x14ac:dyDescent="0.3">
      <c r="H26610" t="str">
        <f t="shared" si="465"/>
        <v/>
      </c>
    </row>
    <row r="26611" spans="8:8" x14ac:dyDescent="0.3">
      <c r="H26611" t="str">
        <f t="shared" si="465"/>
        <v/>
      </c>
    </row>
    <row r="26612" spans="8:8" x14ac:dyDescent="0.3">
      <c r="H26612" t="str">
        <f t="shared" si="465"/>
        <v/>
      </c>
    </row>
    <row r="26613" spans="8:8" x14ac:dyDescent="0.3">
      <c r="H26613" t="str">
        <f t="shared" si="465"/>
        <v/>
      </c>
    </row>
    <row r="26614" spans="8:8" x14ac:dyDescent="0.3">
      <c r="H26614" t="str">
        <f t="shared" si="465"/>
        <v/>
      </c>
    </row>
    <row r="26615" spans="8:8" x14ac:dyDescent="0.3">
      <c r="H26615" t="str">
        <f t="shared" si="465"/>
        <v/>
      </c>
    </row>
    <row r="26616" spans="8:8" x14ac:dyDescent="0.3">
      <c r="H26616" t="str">
        <f t="shared" si="465"/>
        <v/>
      </c>
    </row>
    <row r="26617" spans="8:8" x14ac:dyDescent="0.3">
      <c r="H26617" t="str">
        <f t="shared" si="465"/>
        <v/>
      </c>
    </row>
    <row r="26618" spans="8:8" x14ac:dyDescent="0.3">
      <c r="H26618" t="str">
        <f t="shared" si="465"/>
        <v/>
      </c>
    </row>
    <row r="26619" spans="8:8" x14ac:dyDescent="0.3">
      <c r="H26619" t="str">
        <f t="shared" si="465"/>
        <v/>
      </c>
    </row>
    <row r="26620" spans="8:8" x14ac:dyDescent="0.3">
      <c r="H26620" t="str">
        <f t="shared" si="465"/>
        <v/>
      </c>
    </row>
    <row r="26621" spans="8:8" x14ac:dyDescent="0.3">
      <c r="H26621" t="str">
        <f t="shared" si="465"/>
        <v/>
      </c>
    </row>
    <row r="26622" spans="8:8" x14ac:dyDescent="0.3">
      <c r="H26622" t="str">
        <f t="shared" si="465"/>
        <v/>
      </c>
    </row>
    <row r="26623" spans="8:8" x14ac:dyDescent="0.3">
      <c r="H26623" t="str">
        <f t="shared" si="465"/>
        <v/>
      </c>
    </row>
    <row r="26624" spans="8:8" x14ac:dyDescent="0.3">
      <c r="H26624" t="str">
        <f t="shared" si="465"/>
        <v/>
      </c>
    </row>
    <row r="26625" spans="8:8" x14ac:dyDescent="0.3">
      <c r="H26625" t="str">
        <f t="shared" si="465"/>
        <v/>
      </c>
    </row>
    <row r="26626" spans="8:8" x14ac:dyDescent="0.3">
      <c r="H26626" t="str">
        <f t="shared" si="465"/>
        <v/>
      </c>
    </row>
    <row r="26627" spans="8:8" x14ac:dyDescent="0.3">
      <c r="H26627" t="str">
        <f t="shared" si="465"/>
        <v/>
      </c>
    </row>
    <row r="26628" spans="8:8" x14ac:dyDescent="0.3">
      <c r="H26628" t="str">
        <f t="shared" si="465"/>
        <v/>
      </c>
    </row>
    <row r="26629" spans="8:8" x14ac:dyDescent="0.3">
      <c r="H26629" t="str">
        <f t="shared" si="465"/>
        <v/>
      </c>
    </row>
    <row r="26630" spans="8:8" x14ac:dyDescent="0.3">
      <c r="H26630" t="str">
        <f t="shared" si="465"/>
        <v/>
      </c>
    </row>
    <row r="26631" spans="8:8" x14ac:dyDescent="0.3">
      <c r="H26631" t="str">
        <f t="shared" si="465"/>
        <v/>
      </c>
    </row>
    <row r="26632" spans="8:8" x14ac:dyDescent="0.3">
      <c r="H26632" t="str">
        <f t="shared" si="465"/>
        <v/>
      </c>
    </row>
    <row r="26633" spans="8:8" x14ac:dyDescent="0.3">
      <c r="H26633" t="str">
        <f t="shared" si="465"/>
        <v/>
      </c>
    </row>
    <row r="26634" spans="8:8" x14ac:dyDescent="0.3">
      <c r="H26634" t="str">
        <f t="shared" si="465"/>
        <v/>
      </c>
    </row>
    <row r="26635" spans="8:8" x14ac:dyDescent="0.3">
      <c r="H26635" t="str">
        <f t="shared" si="465"/>
        <v/>
      </c>
    </row>
    <row r="26636" spans="8:8" x14ac:dyDescent="0.3">
      <c r="H26636" t="str">
        <f t="shared" si="465"/>
        <v/>
      </c>
    </row>
    <row r="26637" spans="8:8" x14ac:dyDescent="0.3">
      <c r="H26637" t="str">
        <f t="shared" si="465"/>
        <v/>
      </c>
    </row>
    <row r="26638" spans="8:8" x14ac:dyDescent="0.3">
      <c r="H26638" t="str">
        <f t="shared" si="465"/>
        <v/>
      </c>
    </row>
    <row r="26639" spans="8:8" x14ac:dyDescent="0.3">
      <c r="H26639" t="str">
        <f t="shared" si="465"/>
        <v/>
      </c>
    </row>
    <row r="26640" spans="8:8" x14ac:dyDescent="0.3">
      <c r="H26640" t="str">
        <f t="shared" si="465"/>
        <v/>
      </c>
    </row>
    <row r="26641" spans="8:8" x14ac:dyDescent="0.3">
      <c r="H26641" t="str">
        <f t="shared" si="465"/>
        <v/>
      </c>
    </row>
    <row r="26642" spans="8:8" x14ac:dyDescent="0.3">
      <c r="H26642" t="str">
        <f t="shared" si="465"/>
        <v/>
      </c>
    </row>
    <row r="26643" spans="8:8" x14ac:dyDescent="0.3">
      <c r="H26643" t="str">
        <f t="shared" si="465"/>
        <v/>
      </c>
    </row>
    <row r="26644" spans="8:8" x14ac:dyDescent="0.3">
      <c r="H26644" t="str">
        <f t="shared" si="465"/>
        <v/>
      </c>
    </row>
    <row r="26645" spans="8:8" x14ac:dyDescent="0.3">
      <c r="H26645" t="str">
        <f t="shared" si="465"/>
        <v/>
      </c>
    </row>
    <row r="26646" spans="8:8" x14ac:dyDescent="0.3">
      <c r="H26646" t="str">
        <f t="shared" si="465"/>
        <v/>
      </c>
    </row>
    <row r="26647" spans="8:8" x14ac:dyDescent="0.3">
      <c r="H26647" t="str">
        <f t="shared" ref="H26647:H26710" si="466">IF(B26647="","",$C$12)</f>
        <v/>
      </c>
    </row>
    <row r="26648" spans="8:8" x14ac:dyDescent="0.3">
      <c r="H26648" t="str">
        <f t="shared" si="466"/>
        <v/>
      </c>
    </row>
    <row r="26649" spans="8:8" x14ac:dyDescent="0.3">
      <c r="H26649" t="str">
        <f t="shared" si="466"/>
        <v/>
      </c>
    </row>
    <row r="26650" spans="8:8" x14ac:dyDescent="0.3">
      <c r="H26650" t="str">
        <f t="shared" si="466"/>
        <v/>
      </c>
    </row>
    <row r="26651" spans="8:8" x14ac:dyDescent="0.3">
      <c r="H26651" t="str">
        <f t="shared" si="466"/>
        <v/>
      </c>
    </row>
    <row r="26652" spans="8:8" x14ac:dyDescent="0.3">
      <c r="H26652" t="str">
        <f t="shared" si="466"/>
        <v/>
      </c>
    </row>
    <row r="26653" spans="8:8" x14ac:dyDescent="0.3">
      <c r="H26653" t="str">
        <f t="shared" si="466"/>
        <v/>
      </c>
    </row>
    <row r="26654" spans="8:8" x14ac:dyDescent="0.3">
      <c r="H26654" t="str">
        <f t="shared" si="466"/>
        <v/>
      </c>
    </row>
    <row r="26655" spans="8:8" x14ac:dyDescent="0.3">
      <c r="H26655" t="str">
        <f t="shared" si="466"/>
        <v/>
      </c>
    </row>
    <row r="26656" spans="8:8" x14ac:dyDescent="0.3">
      <c r="H26656" t="str">
        <f t="shared" si="466"/>
        <v/>
      </c>
    </row>
    <row r="26657" spans="8:8" x14ac:dyDescent="0.3">
      <c r="H26657" t="str">
        <f t="shared" si="466"/>
        <v/>
      </c>
    </row>
    <row r="26658" spans="8:8" x14ac:dyDescent="0.3">
      <c r="H26658" t="str">
        <f t="shared" si="466"/>
        <v/>
      </c>
    </row>
    <row r="26659" spans="8:8" x14ac:dyDescent="0.3">
      <c r="H26659" t="str">
        <f t="shared" si="466"/>
        <v/>
      </c>
    </row>
    <row r="26660" spans="8:8" x14ac:dyDescent="0.3">
      <c r="H26660" t="str">
        <f t="shared" si="466"/>
        <v/>
      </c>
    </row>
    <row r="26661" spans="8:8" x14ac:dyDescent="0.3">
      <c r="H26661" t="str">
        <f t="shared" si="466"/>
        <v/>
      </c>
    </row>
    <row r="26662" spans="8:8" x14ac:dyDescent="0.3">
      <c r="H26662" t="str">
        <f t="shared" si="466"/>
        <v/>
      </c>
    </row>
    <row r="26663" spans="8:8" x14ac:dyDescent="0.3">
      <c r="H26663" t="str">
        <f t="shared" si="466"/>
        <v/>
      </c>
    </row>
    <row r="26664" spans="8:8" x14ac:dyDescent="0.3">
      <c r="H26664" t="str">
        <f t="shared" si="466"/>
        <v/>
      </c>
    </row>
    <row r="26665" spans="8:8" x14ac:dyDescent="0.3">
      <c r="H26665" t="str">
        <f t="shared" si="466"/>
        <v/>
      </c>
    </row>
    <row r="26666" spans="8:8" x14ac:dyDescent="0.3">
      <c r="H26666" t="str">
        <f t="shared" si="466"/>
        <v/>
      </c>
    </row>
    <row r="26667" spans="8:8" x14ac:dyDescent="0.3">
      <c r="H26667" t="str">
        <f t="shared" si="466"/>
        <v/>
      </c>
    </row>
    <row r="26668" spans="8:8" x14ac:dyDescent="0.3">
      <c r="H26668" t="str">
        <f t="shared" si="466"/>
        <v/>
      </c>
    </row>
    <row r="26669" spans="8:8" x14ac:dyDescent="0.3">
      <c r="H26669" t="str">
        <f t="shared" si="466"/>
        <v/>
      </c>
    </row>
    <row r="26670" spans="8:8" x14ac:dyDescent="0.3">
      <c r="H26670" t="str">
        <f t="shared" si="466"/>
        <v/>
      </c>
    </row>
    <row r="26671" spans="8:8" x14ac:dyDescent="0.3">
      <c r="H26671" t="str">
        <f t="shared" si="466"/>
        <v/>
      </c>
    </row>
    <row r="26672" spans="8:8" x14ac:dyDescent="0.3">
      <c r="H26672" t="str">
        <f t="shared" si="466"/>
        <v/>
      </c>
    </row>
    <row r="26673" spans="8:8" x14ac:dyDescent="0.3">
      <c r="H26673" t="str">
        <f t="shared" si="466"/>
        <v/>
      </c>
    </row>
    <row r="26674" spans="8:8" x14ac:dyDescent="0.3">
      <c r="H26674" t="str">
        <f t="shared" si="466"/>
        <v/>
      </c>
    </row>
    <row r="26675" spans="8:8" x14ac:dyDescent="0.3">
      <c r="H26675" t="str">
        <f t="shared" si="466"/>
        <v/>
      </c>
    </row>
    <row r="26676" spans="8:8" x14ac:dyDescent="0.3">
      <c r="H26676" t="str">
        <f t="shared" si="466"/>
        <v/>
      </c>
    </row>
    <row r="26677" spans="8:8" x14ac:dyDescent="0.3">
      <c r="H26677" t="str">
        <f t="shared" si="466"/>
        <v/>
      </c>
    </row>
    <row r="26678" spans="8:8" x14ac:dyDescent="0.3">
      <c r="H26678" t="str">
        <f t="shared" si="466"/>
        <v/>
      </c>
    </row>
    <row r="26679" spans="8:8" x14ac:dyDescent="0.3">
      <c r="H26679" t="str">
        <f t="shared" si="466"/>
        <v/>
      </c>
    </row>
    <row r="26680" spans="8:8" x14ac:dyDescent="0.3">
      <c r="H26680" t="str">
        <f t="shared" si="466"/>
        <v/>
      </c>
    </row>
    <row r="26681" spans="8:8" x14ac:dyDescent="0.3">
      <c r="H26681" t="str">
        <f t="shared" si="466"/>
        <v/>
      </c>
    </row>
    <row r="26682" spans="8:8" x14ac:dyDescent="0.3">
      <c r="H26682" t="str">
        <f t="shared" si="466"/>
        <v/>
      </c>
    </row>
    <row r="26683" spans="8:8" x14ac:dyDescent="0.3">
      <c r="H26683" t="str">
        <f t="shared" si="466"/>
        <v/>
      </c>
    </row>
    <row r="26684" spans="8:8" x14ac:dyDescent="0.3">
      <c r="H26684" t="str">
        <f t="shared" si="466"/>
        <v/>
      </c>
    </row>
    <row r="26685" spans="8:8" x14ac:dyDescent="0.3">
      <c r="H26685" t="str">
        <f t="shared" si="466"/>
        <v/>
      </c>
    </row>
    <row r="26686" spans="8:8" x14ac:dyDescent="0.3">
      <c r="H26686" t="str">
        <f t="shared" si="466"/>
        <v/>
      </c>
    </row>
    <row r="26687" spans="8:8" x14ac:dyDescent="0.3">
      <c r="H26687" t="str">
        <f t="shared" si="466"/>
        <v/>
      </c>
    </row>
    <row r="26688" spans="8:8" x14ac:dyDescent="0.3">
      <c r="H26688" t="str">
        <f t="shared" si="466"/>
        <v/>
      </c>
    </row>
    <row r="26689" spans="8:8" x14ac:dyDescent="0.3">
      <c r="H26689" t="str">
        <f t="shared" si="466"/>
        <v/>
      </c>
    </row>
    <row r="26690" spans="8:8" x14ac:dyDescent="0.3">
      <c r="H26690" t="str">
        <f t="shared" si="466"/>
        <v/>
      </c>
    </row>
    <row r="26691" spans="8:8" x14ac:dyDescent="0.3">
      <c r="H26691" t="str">
        <f t="shared" si="466"/>
        <v/>
      </c>
    </row>
    <row r="26692" spans="8:8" x14ac:dyDescent="0.3">
      <c r="H26692" t="str">
        <f t="shared" si="466"/>
        <v/>
      </c>
    </row>
    <row r="26693" spans="8:8" x14ac:dyDescent="0.3">
      <c r="H26693" t="str">
        <f t="shared" si="466"/>
        <v/>
      </c>
    </row>
    <row r="26694" spans="8:8" x14ac:dyDescent="0.3">
      <c r="H26694" t="str">
        <f t="shared" si="466"/>
        <v/>
      </c>
    </row>
    <row r="26695" spans="8:8" x14ac:dyDescent="0.3">
      <c r="H26695" t="str">
        <f t="shared" si="466"/>
        <v/>
      </c>
    </row>
    <row r="26696" spans="8:8" x14ac:dyDescent="0.3">
      <c r="H26696" t="str">
        <f t="shared" si="466"/>
        <v/>
      </c>
    </row>
    <row r="26697" spans="8:8" x14ac:dyDescent="0.3">
      <c r="H26697" t="str">
        <f t="shared" si="466"/>
        <v/>
      </c>
    </row>
    <row r="26698" spans="8:8" x14ac:dyDescent="0.3">
      <c r="H26698" t="str">
        <f t="shared" si="466"/>
        <v/>
      </c>
    </row>
    <row r="26699" spans="8:8" x14ac:dyDescent="0.3">
      <c r="H26699" t="str">
        <f t="shared" si="466"/>
        <v/>
      </c>
    </row>
    <row r="26700" spans="8:8" x14ac:dyDescent="0.3">
      <c r="H26700" t="str">
        <f t="shared" si="466"/>
        <v/>
      </c>
    </row>
    <row r="26701" spans="8:8" x14ac:dyDescent="0.3">
      <c r="H26701" t="str">
        <f t="shared" si="466"/>
        <v/>
      </c>
    </row>
    <row r="26702" spans="8:8" x14ac:dyDescent="0.3">
      <c r="H26702" t="str">
        <f t="shared" si="466"/>
        <v/>
      </c>
    </row>
    <row r="26703" spans="8:8" x14ac:dyDescent="0.3">
      <c r="H26703" t="str">
        <f t="shared" si="466"/>
        <v/>
      </c>
    </row>
    <row r="26704" spans="8:8" x14ac:dyDescent="0.3">
      <c r="H26704" t="str">
        <f t="shared" si="466"/>
        <v/>
      </c>
    </row>
    <row r="26705" spans="8:8" x14ac:dyDescent="0.3">
      <c r="H26705" t="str">
        <f t="shared" si="466"/>
        <v/>
      </c>
    </row>
    <row r="26706" spans="8:8" x14ac:dyDescent="0.3">
      <c r="H26706" t="str">
        <f t="shared" si="466"/>
        <v/>
      </c>
    </row>
    <row r="26707" spans="8:8" x14ac:dyDescent="0.3">
      <c r="H26707" t="str">
        <f t="shared" si="466"/>
        <v/>
      </c>
    </row>
    <row r="26708" spans="8:8" x14ac:dyDescent="0.3">
      <c r="H26708" t="str">
        <f t="shared" si="466"/>
        <v/>
      </c>
    </row>
    <row r="26709" spans="8:8" x14ac:dyDescent="0.3">
      <c r="H26709" t="str">
        <f t="shared" si="466"/>
        <v/>
      </c>
    </row>
    <row r="26710" spans="8:8" x14ac:dyDescent="0.3">
      <c r="H26710" t="str">
        <f t="shared" si="466"/>
        <v/>
      </c>
    </row>
    <row r="26711" spans="8:8" x14ac:dyDescent="0.3">
      <c r="H26711" t="str">
        <f t="shared" ref="H26711:H26774" si="467">IF(B26711="","",$C$12)</f>
        <v/>
      </c>
    </row>
    <row r="26712" spans="8:8" x14ac:dyDescent="0.3">
      <c r="H26712" t="str">
        <f t="shared" si="467"/>
        <v/>
      </c>
    </row>
    <row r="26713" spans="8:8" x14ac:dyDescent="0.3">
      <c r="H26713" t="str">
        <f t="shared" si="467"/>
        <v/>
      </c>
    </row>
    <row r="26714" spans="8:8" x14ac:dyDescent="0.3">
      <c r="H26714" t="str">
        <f t="shared" si="467"/>
        <v/>
      </c>
    </row>
    <row r="26715" spans="8:8" x14ac:dyDescent="0.3">
      <c r="H26715" t="str">
        <f t="shared" si="467"/>
        <v/>
      </c>
    </row>
    <row r="26716" spans="8:8" x14ac:dyDescent="0.3">
      <c r="H26716" t="str">
        <f t="shared" si="467"/>
        <v/>
      </c>
    </row>
    <row r="26717" spans="8:8" x14ac:dyDescent="0.3">
      <c r="H26717" t="str">
        <f t="shared" si="467"/>
        <v/>
      </c>
    </row>
    <row r="26718" spans="8:8" x14ac:dyDescent="0.3">
      <c r="H26718" t="str">
        <f t="shared" si="467"/>
        <v/>
      </c>
    </row>
    <row r="26719" spans="8:8" x14ac:dyDescent="0.3">
      <c r="H26719" t="str">
        <f t="shared" si="467"/>
        <v/>
      </c>
    </row>
    <row r="26720" spans="8:8" x14ac:dyDescent="0.3">
      <c r="H26720" t="str">
        <f t="shared" si="467"/>
        <v/>
      </c>
    </row>
    <row r="26721" spans="8:8" x14ac:dyDescent="0.3">
      <c r="H26721" t="str">
        <f t="shared" si="467"/>
        <v/>
      </c>
    </row>
    <row r="26722" spans="8:8" x14ac:dyDescent="0.3">
      <c r="H26722" t="str">
        <f t="shared" si="467"/>
        <v/>
      </c>
    </row>
    <row r="26723" spans="8:8" x14ac:dyDescent="0.3">
      <c r="H26723" t="str">
        <f t="shared" si="467"/>
        <v/>
      </c>
    </row>
    <row r="26724" spans="8:8" x14ac:dyDescent="0.3">
      <c r="H26724" t="str">
        <f t="shared" si="467"/>
        <v/>
      </c>
    </row>
    <row r="26725" spans="8:8" x14ac:dyDescent="0.3">
      <c r="H26725" t="str">
        <f t="shared" si="467"/>
        <v/>
      </c>
    </row>
    <row r="26726" spans="8:8" x14ac:dyDescent="0.3">
      <c r="H26726" t="str">
        <f t="shared" si="467"/>
        <v/>
      </c>
    </row>
    <row r="26727" spans="8:8" x14ac:dyDescent="0.3">
      <c r="H26727" t="str">
        <f t="shared" si="467"/>
        <v/>
      </c>
    </row>
    <row r="26728" spans="8:8" x14ac:dyDescent="0.3">
      <c r="H26728" t="str">
        <f t="shared" si="467"/>
        <v/>
      </c>
    </row>
    <row r="26729" spans="8:8" x14ac:dyDescent="0.3">
      <c r="H26729" t="str">
        <f t="shared" si="467"/>
        <v/>
      </c>
    </row>
    <row r="26730" spans="8:8" x14ac:dyDescent="0.3">
      <c r="H26730" t="str">
        <f t="shared" si="467"/>
        <v/>
      </c>
    </row>
    <row r="26731" spans="8:8" x14ac:dyDescent="0.3">
      <c r="H26731" t="str">
        <f t="shared" si="467"/>
        <v/>
      </c>
    </row>
    <row r="26732" spans="8:8" x14ac:dyDescent="0.3">
      <c r="H26732" t="str">
        <f t="shared" si="467"/>
        <v/>
      </c>
    </row>
    <row r="26733" spans="8:8" x14ac:dyDescent="0.3">
      <c r="H26733" t="str">
        <f t="shared" si="467"/>
        <v/>
      </c>
    </row>
    <row r="26734" spans="8:8" x14ac:dyDescent="0.3">
      <c r="H26734" t="str">
        <f t="shared" si="467"/>
        <v/>
      </c>
    </row>
    <row r="26735" spans="8:8" x14ac:dyDescent="0.3">
      <c r="H26735" t="str">
        <f t="shared" si="467"/>
        <v/>
      </c>
    </row>
    <row r="26736" spans="8:8" x14ac:dyDescent="0.3">
      <c r="H26736" t="str">
        <f t="shared" si="467"/>
        <v/>
      </c>
    </row>
    <row r="26737" spans="8:8" x14ac:dyDescent="0.3">
      <c r="H26737" t="str">
        <f t="shared" si="467"/>
        <v/>
      </c>
    </row>
    <row r="26738" spans="8:8" x14ac:dyDescent="0.3">
      <c r="H26738" t="str">
        <f t="shared" si="467"/>
        <v/>
      </c>
    </row>
    <row r="26739" spans="8:8" x14ac:dyDescent="0.3">
      <c r="H26739" t="str">
        <f t="shared" si="467"/>
        <v/>
      </c>
    </row>
    <row r="26740" spans="8:8" x14ac:dyDescent="0.3">
      <c r="H26740" t="str">
        <f t="shared" si="467"/>
        <v/>
      </c>
    </row>
    <row r="26741" spans="8:8" x14ac:dyDescent="0.3">
      <c r="H26741" t="str">
        <f t="shared" si="467"/>
        <v/>
      </c>
    </row>
    <row r="26742" spans="8:8" x14ac:dyDescent="0.3">
      <c r="H26742" t="str">
        <f t="shared" si="467"/>
        <v/>
      </c>
    </row>
    <row r="26743" spans="8:8" x14ac:dyDescent="0.3">
      <c r="H26743" t="str">
        <f t="shared" si="467"/>
        <v/>
      </c>
    </row>
    <row r="26744" spans="8:8" x14ac:dyDescent="0.3">
      <c r="H26744" t="str">
        <f t="shared" si="467"/>
        <v/>
      </c>
    </row>
    <row r="26745" spans="8:8" x14ac:dyDescent="0.3">
      <c r="H26745" t="str">
        <f t="shared" si="467"/>
        <v/>
      </c>
    </row>
    <row r="26746" spans="8:8" x14ac:dyDescent="0.3">
      <c r="H26746" t="str">
        <f t="shared" si="467"/>
        <v/>
      </c>
    </row>
    <row r="26747" spans="8:8" x14ac:dyDescent="0.3">
      <c r="H26747" t="str">
        <f t="shared" si="467"/>
        <v/>
      </c>
    </row>
    <row r="26748" spans="8:8" x14ac:dyDescent="0.3">
      <c r="H26748" t="str">
        <f t="shared" si="467"/>
        <v/>
      </c>
    </row>
    <row r="26749" spans="8:8" x14ac:dyDescent="0.3">
      <c r="H26749" t="str">
        <f t="shared" si="467"/>
        <v/>
      </c>
    </row>
    <row r="26750" spans="8:8" x14ac:dyDescent="0.3">
      <c r="H26750" t="str">
        <f t="shared" si="467"/>
        <v/>
      </c>
    </row>
    <row r="26751" spans="8:8" x14ac:dyDescent="0.3">
      <c r="H26751" t="str">
        <f t="shared" si="467"/>
        <v/>
      </c>
    </row>
    <row r="26752" spans="8:8" x14ac:dyDescent="0.3">
      <c r="H26752" t="str">
        <f t="shared" si="467"/>
        <v/>
      </c>
    </row>
    <row r="26753" spans="8:8" x14ac:dyDescent="0.3">
      <c r="H26753" t="str">
        <f t="shared" si="467"/>
        <v/>
      </c>
    </row>
    <row r="26754" spans="8:8" x14ac:dyDescent="0.3">
      <c r="H26754" t="str">
        <f t="shared" si="467"/>
        <v/>
      </c>
    </row>
    <row r="26755" spans="8:8" x14ac:dyDescent="0.3">
      <c r="H26755" t="str">
        <f t="shared" si="467"/>
        <v/>
      </c>
    </row>
    <row r="26756" spans="8:8" x14ac:dyDescent="0.3">
      <c r="H26756" t="str">
        <f t="shared" si="467"/>
        <v/>
      </c>
    </row>
    <row r="26757" spans="8:8" x14ac:dyDescent="0.3">
      <c r="H26757" t="str">
        <f t="shared" si="467"/>
        <v/>
      </c>
    </row>
    <row r="26758" spans="8:8" x14ac:dyDescent="0.3">
      <c r="H26758" t="str">
        <f t="shared" si="467"/>
        <v/>
      </c>
    </row>
    <row r="26759" spans="8:8" x14ac:dyDescent="0.3">
      <c r="H26759" t="str">
        <f t="shared" si="467"/>
        <v/>
      </c>
    </row>
    <row r="26760" spans="8:8" x14ac:dyDescent="0.3">
      <c r="H26760" t="str">
        <f t="shared" si="467"/>
        <v/>
      </c>
    </row>
    <row r="26761" spans="8:8" x14ac:dyDescent="0.3">
      <c r="H26761" t="str">
        <f t="shared" si="467"/>
        <v/>
      </c>
    </row>
    <row r="26762" spans="8:8" x14ac:dyDescent="0.3">
      <c r="H26762" t="str">
        <f t="shared" si="467"/>
        <v/>
      </c>
    </row>
    <row r="26763" spans="8:8" x14ac:dyDescent="0.3">
      <c r="H26763" t="str">
        <f t="shared" si="467"/>
        <v/>
      </c>
    </row>
    <row r="26764" spans="8:8" x14ac:dyDescent="0.3">
      <c r="H26764" t="str">
        <f t="shared" si="467"/>
        <v/>
      </c>
    </row>
    <row r="26765" spans="8:8" x14ac:dyDescent="0.3">
      <c r="H26765" t="str">
        <f t="shared" si="467"/>
        <v/>
      </c>
    </row>
    <row r="26766" spans="8:8" x14ac:dyDescent="0.3">
      <c r="H26766" t="str">
        <f t="shared" si="467"/>
        <v/>
      </c>
    </row>
    <row r="26767" spans="8:8" x14ac:dyDescent="0.3">
      <c r="H26767" t="str">
        <f t="shared" si="467"/>
        <v/>
      </c>
    </row>
    <row r="26768" spans="8:8" x14ac:dyDescent="0.3">
      <c r="H26768" t="str">
        <f t="shared" si="467"/>
        <v/>
      </c>
    </row>
    <row r="26769" spans="8:8" x14ac:dyDescent="0.3">
      <c r="H26769" t="str">
        <f t="shared" si="467"/>
        <v/>
      </c>
    </row>
    <row r="26770" spans="8:8" x14ac:dyDescent="0.3">
      <c r="H26770" t="str">
        <f t="shared" si="467"/>
        <v/>
      </c>
    </row>
    <row r="26771" spans="8:8" x14ac:dyDescent="0.3">
      <c r="H26771" t="str">
        <f t="shared" si="467"/>
        <v/>
      </c>
    </row>
    <row r="26772" spans="8:8" x14ac:dyDescent="0.3">
      <c r="H26772" t="str">
        <f t="shared" si="467"/>
        <v/>
      </c>
    </row>
    <row r="26773" spans="8:8" x14ac:dyDescent="0.3">
      <c r="H26773" t="str">
        <f t="shared" si="467"/>
        <v/>
      </c>
    </row>
    <row r="26774" spans="8:8" x14ac:dyDescent="0.3">
      <c r="H26774" t="str">
        <f t="shared" si="467"/>
        <v/>
      </c>
    </row>
    <row r="26775" spans="8:8" x14ac:dyDescent="0.3">
      <c r="H26775" t="str">
        <f t="shared" ref="H26775:H26838" si="468">IF(B26775="","",$C$12)</f>
        <v/>
      </c>
    </row>
    <row r="26776" spans="8:8" x14ac:dyDescent="0.3">
      <c r="H26776" t="str">
        <f t="shared" si="468"/>
        <v/>
      </c>
    </row>
    <row r="26777" spans="8:8" x14ac:dyDescent="0.3">
      <c r="H26777" t="str">
        <f t="shared" si="468"/>
        <v/>
      </c>
    </row>
    <row r="26778" spans="8:8" x14ac:dyDescent="0.3">
      <c r="H26778" t="str">
        <f t="shared" si="468"/>
        <v/>
      </c>
    </row>
    <row r="26779" spans="8:8" x14ac:dyDescent="0.3">
      <c r="H26779" t="str">
        <f t="shared" si="468"/>
        <v/>
      </c>
    </row>
    <row r="26780" spans="8:8" x14ac:dyDescent="0.3">
      <c r="H26780" t="str">
        <f t="shared" si="468"/>
        <v/>
      </c>
    </row>
    <row r="26781" spans="8:8" x14ac:dyDescent="0.3">
      <c r="H26781" t="str">
        <f t="shared" si="468"/>
        <v/>
      </c>
    </row>
    <row r="26782" spans="8:8" x14ac:dyDescent="0.3">
      <c r="H26782" t="str">
        <f t="shared" si="468"/>
        <v/>
      </c>
    </row>
    <row r="26783" spans="8:8" x14ac:dyDescent="0.3">
      <c r="H26783" t="str">
        <f t="shared" si="468"/>
        <v/>
      </c>
    </row>
    <row r="26784" spans="8:8" x14ac:dyDescent="0.3">
      <c r="H26784" t="str">
        <f t="shared" si="468"/>
        <v/>
      </c>
    </row>
    <row r="26785" spans="8:8" x14ac:dyDescent="0.3">
      <c r="H26785" t="str">
        <f t="shared" si="468"/>
        <v/>
      </c>
    </row>
    <row r="26786" spans="8:8" x14ac:dyDescent="0.3">
      <c r="H26786" t="str">
        <f t="shared" si="468"/>
        <v/>
      </c>
    </row>
    <row r="26787" spans="8:8" x14ac:dyDescent="0.3">
      <c r="H26787" t="str">
        <f t="shared" si="468"/>
        <v/>
      </c>
    </row>
    <row r="26788" spans="8:8" x14ac:dyDescent="0.3">
      <c r="H26788" t="str">
        <f t="shared" si="468"/>
        <v/>
      </c>
    </row>
    <row r="26789" spans="8:8" x14ac:dyDescent="0.3">
      <c r="H26789" t="str">
        <f t="shared" si="468"/>
        <v/>
      </c>
    </row>
    <row r="26790" spans="8:8" x14ac:dyDescent="0.3">
      <c r="H26790" t="str">
        <f t="shared" si="468"/>
        <v/>
      </c>
    </row>
    <row r="26791" spans="8:8" x14ac:dyDescent="0.3">
      <c r="H26791" t="str">
        <f t="shared" si="468"/>
        <v/>
      </c>
    </row>
    <row r="26792" spans="8:8" x14ac:dyDescent="0.3">
      <c r="H26792" t="str">
        <f t="shared" si="468"/>
        <v/>
      </c>
    </row>
    <row r="26793" spans="8:8" x14ac:dyDescent="0.3">
      <c r="H26793" t="str">
        <f t="shared" si="468"/>
        <v/>
      </c>
    </row>
    <row r="26794" spans="8:8" x14ac:dyDescent="0.3">
      <c r="H26794" t="str">
        <f t="shared" si="468"/>
        <v/>
      </c>
    </row>
    <row r="26795" spans="8:8" x14ac:dyDescent="0.3">
      <c r="H26795" t="str">
        <f t="shared" si="468"/>
        <v/>
      </c>
    </row>
    <row r="26796" spans="8:8" x14ac:dyDescent="0.3">
      <c r="H26796" t="str">
        <f t="shared" si="468"/>
        <v/>
      </c>
    </row>
    <row r="26797" spans="8:8" x14ac:dyDescent="0.3">
      <c r="H26797" t="str">
        <f t="shared" si="468"/>
        <v/>
      </c>
    </row>
    <row r="26798" spans="8:8" x14ac:dyDescent="0.3">
      <c r="H26798" t="str">
        <f t="shared" si="468"/>
        <v/>
      </c>
    </row>
    <row r="26799" spans="8:8" x14ac:dyDescent="0.3">
      <c r="H26799" t="str">
        <f t="shared" si="468"/>
        <v/>
      </c>
    </row>
    <row r="26800" spans="8:8" x14ac:dyDescent="0.3">
      <c r="H26800" t="str">
        <f t="shared" si="468"/>
        <v/>
      </c>
    </row>
    <row r="26801" spans="8:8" x14ac:dyDescent="0.3">
      <c r="H26801" t="str">
        <f t="shared" si="468"/>
        <v/>
      </c>
    </row>
    <row r="26802" spans="8:8" x14ac:dyDescent="0.3">
      <c r="H26802" t="str">
        <f t="shared" si="468"/>
        <v/>
      </c>
    </row>
    <row r="26803" spans="8:8" x14ac:dyDescent="0.3">
      <c r="H26803" t="str">
        <f t="shared" si="468"/>
        <v/>
      </c>
    </row>
    <row r="26804" spans="8:8" x14ac:dyDescent="0.3">
      <c r="H26804" t="str">
        <f t="shared" si="468"/>
        <v/>
      </c>
    </row>
    <row r="26805" spans="8:8" x14ac:dyDescent="0.3">
      <c r="H26805" t="str">
        <f t="shared" si="468"/>
        <v/>
      </c>
    </row>
    <row r="26806" spans="8:8" x14ac:dyDescent="0.3">
      <c r="H26806" t="str">
        <f t="shared" si="468"/>
        <v/>
      </c>
    </row>
    <row r="26807" spans="8:8" x14ac:dyDescent="0.3">
      <c r="H26807" t="str">
        <f t="shared" si="468"/>
        <v/>
      </c>
    </row>
    <row r="26808" spans="8:8" x14ac:dyDescent="0.3">
      <c r="H26808" t="str">
        <f t="shared" si="468"/>
        <v/>
      </c>
    </row>
    <row r="26809" spans="8:8" x14ac:dyDescent="0.3">
      <c r="H26809" t="str">
        <f t="shared" si="468"/>
        <v/>
      </c>
    </row>
    <row r="26810" spans="8:8" x14ac:dyDescent="0.3">
      <c r="H26810" t="str">
        <f t="shared" si="468"/>
        <v/>
      </c>
    </row>
    <row r="26811" spans="8:8" x14ac:dyDescent="0.3">
      <c r="H26811" t="str">
        <f t="shared" si="468"/>
        <v/>
      </c>
    </row>
    <row r="26812" spans="8:8" x14ac:dyDescent="0.3">
      <c r="H26812" t="str">
        <f t="shared" si="468"/>
        <v/>
      </c>
    </row>
    <row r="26813" spans="8:8" x14ac:dyDescent="0.3">
      <c r="H26813" t="str">
        <f t="shared" si="468"/>
        <v/>
      </c>
    </row>
    <row r="26814" spans="8:8" x14ac:dyDescent="0.3">
      <c r="H26814" t="str">
        <f t="shared" si="468"/>
        <v/>
      </c>
    </row>
    <row r="26815" spans="8:8" x14ac:dyDescent="0.3">
      <c r="H26815" t="str">
        <f t="shared" si="468"/>
        <v/>
      </c>
    </row>
    <row r="26816" spans="8:8" x14ac:dyDescent="0.3">
      <c r="H26816" t="str">
        <f t="shared" si="468"/>
        <v/>
      </c>
    </row>
    <row r="26817" spans="8:8" x14ac:dyDescent="0.3">
      <c r="H26817" t="str">
        <f t="shared" si="468"/>
        <v/>
      </c>
    </row>
    <row r="26818" spans="8:8" x14ac:dyDescent="0.3">
      <c r="H26818" t="str">
        <f t="shared" si="468"/>
        <v/>
      </c>
    </row>
    <row r="26819" spans="8:8" x14ac:dyDescent="0.3">
      <c r="H26819" t="str">
        <f t="shared" si="468"/>
        <v/>
      </c>
    </row>
    <row r="26820" spans="8:8" x14ac:dyDescent="0.3">
      <c r="H26820" t="str">
        <f t="shared" si="468"/>
        <v/>
      </c>
    </row>
    <row r="26821" spans="8:8" x14ac:dyDescent="0.3">
      <c r="H26821" t="str">
        <f t="shared" si="468"/>
        <v/>
      </c>
    </row>
    <row r="26822" spans="8:8" x14ac:dyDescent="0.3">
      <c r="H26822" t="str">
        <f t="shared" si="468"/>
        <v/>
      </c>
    </row>
    <row r="26823" spans="8:8" x14ac:dyDescent="0.3">
      <c r="H26823" t="str">
        <f t="shared" si="468"/>
        <v/>
      </c>
    </row>
    <row r="26824" spans="8:8" x14ac:dyDescent="0.3">
      <c r="H26824" t="str">
        <f t="shared" si="468"/>
        <v/>
      </c>
    </row>
    <row r="26825" spans="8:8" x14ac:dyDescent="0.3">
      <c r="H26825" t="str">
        <f t="shared" si="468"/>
        <v/>
      </c>
    </row>
    <row r="26826" spans="8:8" x14ac:dyDescent="0.3">
      <c r="H26826" t="str">
        <f t="shared" si="468"/>
        <v/>
      </c>
    </row>
    <row r="26827" spans="8:8" x14ac:dyDescent="0.3">
      <c r="H26827" t="str">
        <f t="shared" si="468"/>
        <v/>
      </c>
    </row>
    <row r="26828" spans="8:8" x14ac:dyDescent="0.3">
      <c r="H26828" t="str">
        <f t="shared" si="468"/>
        <v/>
      </c>
    </row>
    <row r="26829" spans="8:8" x14ac:dyDescent="0.3">
      <c r="H26829" t="str">
        <f t="shared" si="468"/>
        <v/>
      </c>
    </row>
    <row r="26830" spans="8:8" x14ac:dyDescent="0.3">
      <c r="H26830" t="str">
        <f t="shared" si="468"/>
        <v/>
      </c>
    </row>
    <row r="26831" spans="8:8" x14ac:dyDescent="0.3">
      <c r="H26831" t="str">
        <f t="shared" si="468"/>
        <v/>
      </c>
    </row>
    <row r="26832" spans="8:8" x14ac:dyDescent="0.3">
      <c r="H26832" t="str">
        <f t="shared" si="468"/>
        <v/>
      </c>
    </row>
    <row r="26833" spans="8:8" x14ac:dyDescent="0.3">
      <c r="H26833" t="str">
        <f t="shared" si="468"/>
        <v/>
      </c>
    </row>
    <row r="26834" spans="8:8" x14ac:dyDescent="0.3">
      <c r="H26834" t="str">
        <f t="shared" si="468"/>
        <v/>
      </c>
    </row>
    <row r="26835" spans="8:8" x14ac:dyDescent="0.3">
      <c r="H26835" t="str">
        <f t="shared" si="468"/>
        <v/>
      </c>
    </row>
    <row r="26836" spans="8:8" x14ac:dyDescent="0.3">
      <c r="H26836" t="str">
        <f t="shared" si="468"/>
        <v/>
      </c>
    </row>
    <row r="26837" spans="8:8" x14ac:dyDescent="0.3">
      <c r="H26837" t="str">
        <f t="shared" si="468"/>
        <v/>
      </c>
    </row>
    <row r="26838" spans="8:8" x14ac:dyDescent="0.3">
      <c r="H26838" t="str">
        <f t="shared" si="468"/>
        <v/>
      </c>
    </row>
    <row r="26839" spans="8:8" x14ac:dyDescent="0.3">
      <c r="H26839" t="str">
        <f t="shared" ref="H26839:H26902" si="469">IF(B26839="","",$C$12)</f>
        <v/>
      </c>
    </row>
    <row r="26840" spans="8:8" x14ac:dyDescent="0.3">
      <c r="H26840" t="str">
        <f t="shared" si="469"/>
        <v/>
      </c>
    </row>
    <row r="26841" spans="8:8" x14ac:dyDescent="0.3">
      <c r="H26841" t="str">
        <f t="shared" si="469"/>
        <v/>
      </c>
    </row>
    <row r="26842" spans="8:8" x14ac:dyDescent="0.3">
      <c r="H26842" t="str">
        <f t="shared" si="469"/>
        <v/>
      </c>
    </row>
    <row r="26843" spans="8:8" x14ac:dyDescent="0.3">
      <c r="H26843" t="str">
        <f t="shared" si="469"/>
        <v/>
      </c>
    </row>
    <row r="26844" spans="8:8" x14ac:dyDescent="0.3">
      <c r="H26844" t="str">
        <f t="shared" si="469"/>
        <v/>
      </c>
    </row>
    <row r="26845" spans="8:8" x14ac:dyDescent="0.3">
      <c r="H26845" t="str">
        <f t="shared" si="469"/>
        <v/>
      </c>
    </row>
    <row r="26846" spans="8:8" x14ac:dyDescent="0.3">
      <c r="H26846" t="str">
        <f t="shared" si="469"/>
        <v/>
      </c>
    </row>
    <row r="26847" spans="8:8" x14ac:dyDescent="0.3">
      <c r="H26847" t="str">
        <f t="shared" si="469"/>
        <v/>
      </c>
    </row>
    <row r="26848" spans="8:8" x14ac:dyDescent="0.3">
      <c r="H26848" t="str">
        <f t="shared" si="469"/>
        <v/>
      </c>
    </row>
    <row r="26849" spans="8:8" x14ac:dyDescent="0.3">
      <c r="H26849" t="str">
        <f t="shared" si="469"/>
        <v/>
      </c>
    </row>
    <row r="26850" spans="8:8" x14ac:dyDescent="0.3">
      <c r="H26850" t="str">
        <f t="shared" si="469"/>
        <v/>
      </c>
    </row>
    <row r="26851" spans="8:8" x14ac:dyDescent="0.3">
      <c r="H26851" t="str">
        <f t="shared" si="469"/>
        <v/>
      </c>
    </row>
    <row r="26852" spans="8:8" x14ac:dyDescent="0.3">
      <c r="H26852" t="str">
        <f t="shared" si="469"/>
        <v/>
      </c>
    </row>
    <row r="26853" spans="8:8" x14ac:dyDescent="0.3">
      <c r="H26853" t="str">
        <f t="shared" si="469"/>
        <v/>
      </c>
    </row>
    <row r="26854" spans="8:8" x14ac:dyDescent="0.3">
      <c r="H26854" t="str">
        <f t="shared" si="469"/>
        <v/>
      </c>
    </row>
    <row r="26855" spans="8:8" x14ac:dyDescent="0.3">
      <c r="H26855" t="str">
        <f t="shared" si="469"/>
        <v/>
      </c>
    </row>
    <row r="26856" spans="8:8" x14ac:dyDescent="0.3">
      <c r="H26856" t="str">
        <f t="shared" si="469"/>
        <v/>
      </c>
    </row>
    <row r="26857" spans="8:8" x14ac:dyDescent="0.3">
      <c r="H26857" t="str">
        <f t="shared" si="469"/>
        <v/>
      </c>
    </row>
    <row r="26858" spans="8:8" x14ac:dyDescent="0.3">
      <c r="H26858" t="str">
        <f t="shared" si="469"/>
        <v/>
      </c>
    </row>
    <row r="26859" spans="8:8" x14ac:dyDescent="0.3">
      <c r="H26859" t="str">
        <f t="shared" si="469"/>
        <v/>
      </c>
    </row>
    <row r="26860" spans="8:8" x14ac:dyDescent="0.3">
      <c r="H26860" t="str">
        <f t="shared" si="469"/>
        <v/>
      </c>
    </row>
    <row r="26861" spans="8:8" x14ac:dyDescent="0.3">
      <c r="H26861" t="str">
        <f t="shared" si="469"/>
        <v/>
      </c>
    </row>
    <row r="26862" spans="8:8" x14ac:dyDescent="0.3">
      <c r="H26862" t="str">
        <f t="shared" si="469"/>
        <v/>
      </c>
    </row>
    <row r="26863" spans="8:8" x14ac:dyDescent="0.3">
      <c r="H26863" t="str">
        <f t="shared" si="469"/>
        <v/>
      </c>
    </row>
    <row r="26864" spans="8:8" x14ac:dyDescent="0.3">
      <c r="H26864" t="str">
        <f t="shared" si="469"/>
        <v/>
      </c>
    </row>
    <row r="26865" spans="8:8" x14ac:dyDescent="0.3">
      <c r="H26865" t="str">
        <f t="shared" si="469"/>
        <v/>
      </c>
    </row>
    <row r="26866" spans="8:8" x14ac:dyDescent="0.3">
      <c r="H26866" t="str">
        <f t="shared" si="469"/>
        <v/>
      </c>
    </row>
    <row r="26867" spans="8:8" x14ac:dyDescent="0.3">
      <c r="H26867" t="str">
        <f t="shared" si="469"/>
        <v/>
      </c>
    </row>
    <row r="26868" spans="8:8" x14ac:dyDescent="0.3">
      <c r="H26868" t="str">
        <f t="shared" si="469"/>
        <v/>
      </c>
    </row>
    <row r="26869" spans="8:8" x14ac:dyDescent="0.3">
      <c r="H26869" t="str">
        <f t="shared" si="469"/>
        <v/>
      </c>
    </row>
    <row r="26870" spans="8:8" x14ac:dyDescent="0.3">
      <c r="H26870" t="str">
        <f t="shared" si="469"/>
        <v/>
      </c>
    </row>
    <row r="26871" spans="8:8" x14ac:dyDescent="0.3">
      <c r="H26871" t="str">
        <f t="shared" si="469"/>
        <v/>
      </c>
    </row>
    <row r="26872" spans="8:8" x14ac:dyDescent="0.3">
      <c r="H26872" t="str">
        <f t="shared" si="469"/>
        <v/>
      </c>
    </row>
    <row r="26873" spans="8:8" x14ac:dyDescent="0.3">
      <c r="H26873" t="str">
        <f t="shared" si="469"/>
        <v/>
      </c>
    </row>
    <row r="26874" spans="8:8" x14ac:dyDescent="0.3">
      <c r="H26874" t="str">
        <f t="shared" si="469"/>
        <v/>
      </c>
    </row>
    <row r="26875" spans="8:8" x14ac:dyDescent="0.3">
      <c r="H26875" t="str">
        <f t="shared" si="469"/>
        <v/>
      </c>
    </row>
    <row r="26876" spans="8:8" x14ac:dyDescent="0.3">
      <c r="H26876" t="str">
        <f t="shared" si="469"/>
        <v/>
      </c>
    </row>
    <row r="26877" spans="8:8" x14ac:dyDescent="0.3">
      <c r="H26877" t="str">
        <f t="shared" si="469"/>
        <v/>
      </c>
    </row>
    <row r="26878" spans="8:8" x14ac:dyDescent="0.3">
      <c r="H26878" t="str">
        <f t="shared" si="469"/>
        <v/>
      </c>
    </row>
    <row r="26879" spans="8:8" x14ac:dyDescent="0.3">
      <c r="H26879" t="str">
        <f t="shared" si="469"/>
        <v/>
      </c>
    </row>
    <row r="26880" spans="8:8" x14ac:dyDescent="0.3">
      <c r="H26880" t="str">
        <f t="shared" si="469"/>
        <v/>
      </c>
    </row>
    <row r="26881" spans="8:8" x14ac:dyDescent="0.3">
      <c r="H26881" t="str">
        <f t="shared" si="469"/>
        <v/>
      </c>
    </row>
    <row r="26882" spans="8:8" x14ac:dyDescent="0.3">
      <c r="H26882" t="str">
        <f t="shared" si="469"/>
        <v/>
      </c>
    </row>
    <row r="26883" spans="8:8" x14ac:dyDescent="0.3">
      <c r="H26883" t="str">
        <f t="shared" si="469"/>
        <v/>
      </c>
    </row>
    <row r="26884" spans="8:8" x14ac:dyDescent="0.3">
      <c r="H26884" t="str">
        <f t="shared" si="469"/>
        <v/>
      </c>
    </row>
    <row r="26885" spans="8:8" x14ac:dyDescent="0.3">
      <c r="H26885" t="str">
        <f t="shared" si="469"/>
        <v/>
      </c>
    </row>
    <row r="26886" spans="8:8" x14ac:dyDescent="0.3">
      <c r="H26886" t="str">
        <f t="shared" si="469"/>
        <v/>
      </c>
    </row>
    <row r="26887" spans="8:8" x14ac:dyDescent="0.3">
      <c r="H26887" t="str">
        <f t="shared" si="469"/>
        <v/>
      </c>
    </row>
    <row r="26888" spans="8:8" x14ac:dyDescent="0.3">
      <c r="H26888" t="str">
        <f t="shared" si="469"/>
        <v/>
      </c>
    </row>
    <row r="26889" spans="8:8" x14ac:dyDescent="0.3">
      <c r="H26889" t="str">
        <f t="shared" si="469"/>
        <v/>
      </c>
    </row>
    <row r="26890" spans="8:8" x14ac:dyDescent="0.3">
      <c r="H26890" t="str">
        <f t="shared" si="469"/>
        <v/>
      </c>
    </row>
    <row r="26891" spans="8:8" x14ac:dyDescent="0.3">
      <c r="H26891" t="str">
        <f t="shared" si="469"/>
        <v/>
      </c>
    </row>
    <row r="26892" spans="8:8" x14ac:dyDescent="0.3">
      <c r="H26892" t="str">
        <f t="shared" si="469"/>
        <v/>
      </c>
    </row>
    <row r="26893" spans="8:8" x14ac:dyDescent="0.3">
      <c r="H26893" t="str">
        <f t="shared" si="469"/>
        <v/>
      </c>
    </row>
    <row r="26894" spans="8:8" x14ac:dyDescent="0.3">
      <c r="H26894" t="str">
        <f t="shared" si="469"/>
        <v/>
      </c>
    </row>
    <row r="26895" spans="8:8" x14ac:dyDescent="0.3">
      <c r="H26895" t="str">
        <f t="shared" si="469"/>
        <v/>
      </c>
    </row>
    <row r="26896" spans="8:8" x14ac:dyDescent="0.3">
      <c r="H26896" t="str">
        <f t="shared" si="469"/>
        <v/>
      </c>
    </row>
    <row r="26897" spans="8:8" x14ac:dyDescent="0.3">
      <c r="H26897" t="str">
        <f t="shared" si="469"/>
        <v/>
      </c>
    </row>
    <row r="26898" spans="8:8" x14ac:dyDescent="0.3">
      <c r="H26898" t="str">
        <f t="shared" si="469"/>
        <v/>
      </c>
    </row>
    <row r="26899" spans="8:8" x14ac:dyDescent="0.3">
      <c r="H26899" t="str">
        <f t="shared" si="469"/>
        <v/>
      </c>
    </row>
    <row r="26900" spans="8:8" x14ac:dyDescent="0.3">
      <c r="H26900" t="str">
        <f t="shared" si="469"/>
        <v/>
      </c>
    </row>
    <row r="26901" spans="8:8" x14ac:dyDescent="0.3">
      <c r="H26901" t="str">
        <f t="shared" si="469"/>
        <v/>
      </c>
    </row>
    <row r="26902" spans="8:8" x14ac:dyDescent="0.3">
      <c r="H26902" t="str">
        <f t="shared" si="469"/>
        <v/>
      </c>
    </row>
    <row r="26903" spans="8:8" x14ac:dyDescent="0.3">
      <c r="H26903" t="str">
        <f t="shared" ref="H26903:H26966" si="470">IF(B26903="","",$C$12)</f>
        <v/>
      </c>
    </row>
    <row r="26904" spans="8:8" x14ac:dyDescent="0.3">
      <c r="H26904" t="str">
        <f t="shared" si="470"/>
        <v/>
      </c>
    </row>
    <row r="26905" spans="8:8" x14ac:dyDescent="0.3">
      <c r="H26905" t="str">
        <f t="shared" si="470"/>
        <v/>
      </c>
    </row>
    <row r="26906" spans="8:8" x14ac:dyDescent="0.3">
      <c r="H26906" t="str">
        <f t="shared" si="470"/>
        <v/>
      </c>
    </row>
    <row r="26907" spans="8:8" x14ac:dyDescent="0.3">
      <c r="H26907" t="str">
        <f t="shared" si="470"/>
        <v/>
      </c>
    </row>
    <row r="26908" spans="8:8" x14ac:dyDescent="0.3">
      <c r="H26908" t="str">
        <f t="shared" si="470"/>
        <v/>
      </c>
    </row>
    <row r="26909" spans="8:8" x14ac:dyDescent="0.3">
      <c r="H26909" t="str">
        <f t="shared" si="470"/>
        <v/>
      </c>
    </row>
    <row r="26910" spans="8:8" x14ac:dyDescent="0.3">
      <c r="H26910" t="str">
        <f t="shared" si="470"/>
        <v/>
      </c>
    </row>
    <row r="26911" spans="8:8" x14ac:dyDescent="0.3">
      <c r="H26911" t="str">
        <f t="shared" si="470"/>
        <v/>
      </c>
    </row>
    <row r="26912" spans="8:8" x14ac:dyDescent="0.3">
      <c r="H26912" t="str">
        <f t="shared" si="470"/>
        <v/>
      </c>
    </row>
    <row r="26913" spans="8:8" x14ac:dyDescent="0.3">
      <c r="H26913" t="str">
        <f t="shared" si="470"/>
        <v/>
      </c>
    </row>
    <row r="26914" spans="8:8" x14ac:dyDescent="0.3">
      <c r="H26914" t="str">
        <f t="shared" si="470"/>
        <v/>
      </c>
    </row>
    <row r="26915" spans="8:8" x14ac:dyDescent="0.3">
      <c r="H26915" t="str">
        <f t="shared" si="470"/>
        <v/>
      </c>
    </row>
    <row r="26916" spans="8:8" x14ac:dyDescent="0.3">
      <c r="H26916" t="str">
        <f t="shared" si="470"/>
        <v/>
      </c>
    </row>
    <row r="26917" spans="8:8" x14ac:dyDescent="0.3">
      <c r="H26917" t="str">
        <f t="shared" si="470"/>
        <v/>
      </c>
    </row>
    <row r="26918" spans="8:8" x14ac:dyDescent="0.3">
      <c r="H26918" t="str">
        <f t="shared" si="470"/>
        <v/>
      </c>
    </row>
    <row r="26919" spans="8:8" x14ac:dyDescent="0.3">
      <c r="H26919" t="str">
        <f t="shared" si="470"/>
        <v/>
      </c>
    </row>
    <row r="26920" spans="8:8" x14ac:dyDescent="0.3">
      <c r="H26920" t="str">
        <f t="shared" si="470"/>
        <v/>
      </c>
    </row>
    <row r="26921" spans="8:8" x14ac:dyDescent="0.3">
      <c r="H26921" t="str">
        <f t="shared" si="470"/>
        <v/>
      </c>
    </row>
    <row r="26922" spans="8:8" x14ac:dyDescent="0.3">
      <c r="H26922" t="str">
        <f t="shared" si="470"/>
        <v/>
      </c>
    </row>
    <row r="26923" spans="8:8" x14ac:dyDescent="0.3">
      <c r="H26923" t="str">
        <f t="shared" si="470"/>
        <v/>
      </c>
    </row>
    <row r="26924" spans="8:8" x14ac:dyDescent="0.3">
      <c r="H26924" t="str">
        <f t="shared" si="470"/>
        <v/>
      </c>
    </row>
    <row r="26925" spans="8:8" x14ac:dyDescent="0.3">
      <c r="H26925" t="str">
        <f t="shared" si="470"/>
        <v/>
      </c>
    </row>
    <row r="26926" spans="8:8" x14ac:dyDescent="0.3">
      <c r="H26926" t="str">
        <f t="shared" si="470"/>
        <v/>
      </c>
    </row>
    <row r="26927" spans="8:8" x14ac:dyDescent="0.3">
      <c r="H26927" t="str">
        <f t="shared" si="470"/>
        <v/>
      </c>
    </row>
    <row r="26928" spans="8:8" x14ac:dyDescent="0.3">
      <c r="H26928" t="str">
        <f t="shared" si="470"/>
        <v/>
      </c>
    </row>
    <row r="26929" spans="8:8" x14ac:dyDescent="0.3">
      <c r="H26929" t="str">
        <f t="shared" si="470"/>
        <v/>
      </c>
    </row>
    <row r="26930" spans="8:8" x14ac:dyDescent="0.3">
      <c r="H26930" t="str">
        <f t="shared" si="470"/>
        <v/>
      </c>
    </row>
    <row r="26931" spans="8:8" x14ac:dyDescent="0.3">
      <c r="H26931" t="str">
        <f t="shared" si="470"/>
        <v/>
      </c>
    </row>
    <row r="26932" spans="8:8" x14ac:dyDescent="0.3">
      <c r="H26932" t="str">
        <f t="shared" si="470"/>
        <v/>
      </c>
    </row>
    <row r="26933" spans="8:8" x14ac:dyDescent="0.3">
      <c r="H26933" t="str">
        <f t="shared" si="470"/>
        <v/>
      </c>
    </row>
    <row r="26934" spans="8:8" x14ac:dyDescent="0.3">
      <c r="H26934" t="str">
        <f t="shared" si="470"/>
        <v/>
      </c>
    </row>
    <row r="26935" spans="8:8" x14ac:dyDescent="0.3">
      <c r="H26935" t="str">
        <f t="shared" si="470"/>
        <v/>
      </c>
    </row>
    <row r="26936" spans="8:8" x14ac:dyDescent="0.3">
      <c r="H26936" t="str">
        <f t="shared" si="470"/>
        <v/>
      </c>
    </row>
    <row r="26937" spans="8:8" x14ac:dyDescent="0.3">
      <c r="H26937" t="str">
        <f t="shared" si="470"/>
        <v/>
      </c>
    </row>
    <row r="26938" spans="8:8" x14ac:dyDescent="0.3">
      <c r="H26938" t="str">
        <f t="shared" si="470"/>
        <v/>
      </c>
    </row>
    <row r="26939" spans="8:8" x14ac:dyDescent="0.3">
      <c r="H26939" t="str">
        <f t="shared" si="470"/>
        <v/>
      </c>
    </row>
    <row r="26940" spans="8:8" x14ac:dyDescent="0.3">
      <c r="H26940" t="str">
        <f t="shared" si="470"/>
        <v/>
      </c>
    </row>
    <row r="26941" spans="8:8" x14ac:dyDescent="0.3">
      <c r="H26941" t="str">
        <f t="shared" si="470"/>
        <v/>
      </c>
    </row>
    <row r="26942" spans="8:8" x14ac:dyDescent="0.3">
      <c r="H26942" t="str">
        <f t="shared" si="470"/>
        <v/>
      </c>
    </row>
    <row r="26943" spans="8:8" x14ac:dyDescent="0.3">
      <c r="H26943" t="str">
        <f t="shared" si="470"/>
        <v/>
      </c>
    </row>
    <row r="26944" spans="8:8" x14ac:dyDescent="0.3">
      <c r="H26944" t="str">
        <f t="shared" si="470"/>
        <v/>
      </c>
    </row>
    <row r="26945" spans="8:8" x14ac:dyDescent="0.3">
      <c r="H26945" t="str">
        <f t="shared" si="470"/>
        <v/>
      </c>
    </row>
    <row r="26946" spans="8:8" x14ac:dyDescent="0.3">
      <c r="H26946" t="str">
        <f t="shared" si="470"/>
        <v/>
      </c>
    </row>
    <row r="26947" spans="8:8" x14ac:dyDescent="0.3">
      <c r="H26947" t="str">
        <f t="shared" si="470"/>
        <v/>
      </c>
    </row>
    <row r="26948" spans="8:8" x14ac:dyDescent="0.3">
      <c r="H26948" t="str">
        <f t="shared" si="470"/>
        <v/>
      </c>
    </row>
    <row r="26949" spans="8:8" x14ac:dyDescent="0.3">
      <c r="H26949" t="str">
        <f t="shared" si="470"/>
        <v/>
      </c>
    </row>
    <row r="26950" spans="8:8" x14ac:dyDescent="0.3">
      <c r="H26950" t="str">
        <f t="shared" si="470"/>
        <v/>
      </c>
    </row>
    <row r="26951" spans="8:8" x14ac:dyDescent="0.3">
      <c r="H26951" t="str">
        <f t="shared" si="470"/>
        <v/>
      </c>
    </row>
    <row r="26952" spans="8:8" x14ac:dyDescent="0.3">
      <c r="H26952" t="str">
        <f t="shared" si="470"/>
        <v/>
      </c>
    </row>
    <row r="26953" spans="8:8" x14ac:dyDescent="0.3">
      <c r="H26953" t="str">
        <f t="shared" si="470"/>
        <v/>
      </c>
    </row>
    <row r="26954" spans="8:8" x14ac:dyDescent="0.3">
      <c r="H26954" t="str">
        <f t="shared" si="470"/>
        <v/>
      </c>
    </row>
    <row r="26955" spans="8:8" x14ac:dyDescent="0.3">
      <c r="H26955" t="str">
        <f t="shared" si="470"/>
        <v/>
      </c>
    </row>
    <row r="26956" spans="8:8" x14ac:dyDescent="0.3">
      <c r="H26956" t="str">
        <f t="shared" si="470"/>
        <v/>
      </c>
    </row>
    <row r="26957" spans="8:8" x14ac:dyDescent="0.3">
      <c r="H26957" t="str">
        <f t="shared" si="470"/>
        <v/>
      </c>
    </row>
    <row r="26958" spans="8:8" x14ac:dyDescent="0.3">
      <c r="H26958" t="str">
        <f t="shared" si="470"/>
        <v/>
      </c>
    </row>
    <row r="26959" spans="8:8" x14ac:dyDescent="0.3">
      <c r="H26959" t="str">
        <f t="shared" si="470"/>
        <v/>
      </c>
    </row>
    <row r="26960" spans="8:8" x14ac:dyDescent="0.3">
      <c r="H26960" t="str">
        <f t="shared" si="470"/>
        <v/>
      </c>
    </row>
    <row r="26961" spans="8:8" x14ac:dyDescent="0.3">
      <c r="H26961" t="str">
        <f t="shared" si="470"/>
        <v/>
      </c>
    </row>
    <row r="26962" spans="8:8" x14ac:dyDescent="0.3">
      <c r="H26962" t="str">
        <f t="shared" si="470"/>
        <v/>
      </c>
    </row>
    <row r="26963" spans="8:8" x14ac:dyDescent="0.3">
      <c r="H26963" t="str">
        <f t="shared" si="470"/>
        <v/>
      </c>
    </row>
    <row r="26964" spans="8:8" x14ac:dyDescent="0.3">
      <c r="H26964" t="str">
        <f t="shared" si="470"/>
        <v/>
      </c>
    </row>
    <row r="26965" spans="8:8" x14ac:dyDescent="0.3">
      <c r="H26965" t="str">
        <f t="shared" si="470"/>
        <v/>
      </c>
    </row>
    <row r="26966" spans="8:8" x14ac:dyDescent="0.3">
      <c r="H26966" t="str">
        <f t="shared" si="470"/>
        <v/>
      </c>
    </row>
    <row r="26967" spans="8:8" x14ac:dyDescent="0.3">
      <c r="H26967" t="str">
        <f t="shared" ref="H26967:H27030" si="471">IF(B26967="","",$C$12)</f>
        <v/>
      </c>
    </row>
    <row r="26968" spans="8:8" x14ac:dyDescent="0.3">
      <c r="H26968" t="str">
        <f t="shared" si="471"/>
        <v/>
      </c>
    </row>
    <row r="26969" spans="8:8" x14ac:dyDescent="0.3">
      <c r="H26969" t="str">
        <f t="shared" si="471"/>
        <v/>
      </c>
    </row>
    <row r="26970" spans="8:8" x14ac:dyDescent="0.3">
      <c r="H26970" t="str">
        <f t="shared" si="471"/>
        <v/>
      </c>
    </row>
    <row r="26971" spans="8:8" x14ac:dyDescent="0.3">
      <c r="H26971" t="str">
        <f t="shared" si="471"/>
        <v/>
      </c>
    </row>
    <row r="26972" spans="8:8" x14ac:dyDescent="0.3">
      <c r="H26972" t="str">
        <f t="shared" si="471"/>
        <v/>
      </c>
    </row>
    <row r="26973" spans="8:8" x14ac:dyDescent="0.3">
      <c r="H26973" t="str">
        <f t="shared" si="471"/>
        <v/>
      </c>
    </row>
    <row r="26974" spans="8:8" x14ac:dyDescent="0.3">
      <c r="H26974" t="str">
        <f t="shared" si="471"/>
        <v/>
      </c>
    </row>
    <row r="26975" spans="8:8" x14ac:dyDescent="0.3">
      <c r="H26975" t="str">
        <f t="shared" si="471"/>
        <v/>
      </c>
    </row>
    <row r="26976" spans="8:8" x14ac:dyDescent="0.3">
      <c r="H26976" t="str">
        <f t="shared" si="471"/>
        <v/>
      </c>
    </row>
    <row r="26977" spans="8:8" x14ac:dyDescent="0.3">
      <c r="H26977" t="str">
        <f t="shared" si="471"/>
        <v/>
      </c>
    </row>
    <row r="26978" spans="8:8" x14ac:dyDescent="0.3">
      <c r="H26978" t="str">
        <f t="shared" si="471"/>
        <v/>
      </c>
    </row>
    <row r="26979" spans="8:8" x14ac:dyDescent="0.3">
      <c r="H26979" t="str">
        <f t="shared" si="471"/>
        <v/>
      </c>
    </row>
    <row r="26980" spans="8:8" x14ac:dyDescent="0.3">
      <c r="H26980" t="str">
        <f t="shared" si="471"/>
        <v/>
      </c>
    </row>
    <row r="26981" spans="8:8" x14ac:dyDescent="0.3">
      <c r="H26981" t="str">
        <f t="shared" si="471"/>
        <v/>
      </c>
    </row>
    <row r="26982" spans="8:8" x14ac:dyDescent="0.3">
      <c r="H26982" t="str">
        <f t="shared" si="471"/>
        <v/>
      </c>
    </row>
    <row r="26983" spans="8:8" x14ac:dyDescent="0.3">
      <c r="H26983" t="str">
        <f t="shared" si="471"/>
        <v/>
      </c>
    </row>
    <row r="26984" spans="8:8" x14ac:dyDescent="0.3">
      <c r="H26984" t="str">
        <f t="shared" si="471"/>
        <v/>
      </c>
    </row>
    <row r="26985" spans="8:8" x14ac:dyDescent="0.3">
      <c r="H26985" t="str">
        <f t="shared" si="471"/>
        <v/>
      </c>
    </row>
    <row r="26986" spans="8:8" x14ac:dyDescent="0.3">
      <c r="H26986" t="str">
        <f t="shared" si="471"/>
        <v/>
      </c>
    </row>
    <row r="26987" spans="8:8" x14ac:dyDescent="0.3">
      <c r="H26987" t="str">
        <f t="shared" si="471"/>
        <v/>
      </c>
    </row>
    <row r="26988" spans="8:8" x14ac:dyDescent="0.3">
      <c r="H26988" t="str">
        <f t="shared" si="471"/>
        <v/>
      </c>
    </row>
    <row r="26989" spans="8:8" x14ac:dyDescent="0.3">
      <c r="H26989" t="str">
        <f t="shared" si="471"/>
        <v/>
      </c>
    </row>
    <row r="26990" spans="8:8" x14ac:dyDescent="0.3">
      <c r="H26990" t="str">
        <f t="shared" si="471"/>
        <v/>
      </c>
    </row>
    <row r="26991" spans="8:8" x14ac:dyDescent="0.3">
      <c r="H26991" t="str">
        <f t="shared" si="471"/>
        <v/>
      </c>
    </row>
    <row r="26992" spans="8:8" x14ac:dyDescent="0.3">
      <c r="H26992" t="str">
        <f t="shared" si="471"/>
        <v/>
      </c>
    </row>
    <row r="26993" spans="8:8" x14ac:dyDescent="0.3">
      <c r="H26993" t="str">
        <f t="shared" si="471"/>
        <v/>
      </c>
    </row>
    <row r="26994" spans="8:8" x14ac:dyDescent="0.3">
      <c r="H26994" t="str">
        <f t="shared" si="471"/>
        <v/>
      </c>
    </row>
    <row r="26995" spans="8:8" x14ac:dyDescent="0.3">
      <c r="H26995" t="str">
        <f t="shared" si="471"/>
        <v/>
      </c>
    </row>
    <row r="26996" spans="8:8" x14ac:dyDescent="0.3">
      <c r="H26996" t="str">
        <f t="shared" si="471"/>
        <v/>
      </c>
    </row>
    <row r="26997" spans="8:8" x14ac:dyDescent="0.3">
      <c r="H26997" t="str">
        <f t="shared" si="471"/>
        <v/>
      </c>
    </row>
    <row r="26998" spans="8:8" x14ac:dyDescent="0.3">
      <c r="H26998" t="str">
        <f t="shared" si="471"/>
        <v/>
      </c>
    </row>
    <row r="26999" spans="8:8" x14ac:dyDescent="0.3">
      <c r="H26999" t="str">
        <f t="shared" si="471"/>
        <v/>
      </c>
    </row>
    <row r="27000" spans="8:8" x14ac:dyDescent="0.3">
      <c r="H27000" t="str">
        <f t="shared" si="471"/>
        <v/>
      </c>
    </row>
    <row r="27001" spans="8:8" x14ac:dyDescent="0.3">
      <c r="H27001" t="str">
        <f t="shared" si="471"/>
        <v/>
      </c>
    </row>
    <row r="27002" spans="8:8" x14ac:dyDescent="0.3">
      <c r="H27002" t="str">
        <f t="shared" si="471"/>
        <v/>
      </c>
    </row>
    <row r="27003" spans="8:8" x14ac:dyDescent="0.3">
      <c r="H27003" t="str">
        <f t="shared" si="471"/>
        <v/>
      </c>
    </row>
    <row r="27004" spans="8:8" x14ac:dyDescent="0.3">
      <c r="H27004" t="str">
        <f t="shared" si="471"/>
        <v/>
      </c>
    </row>
    <row r="27005" spans="8:8" x14ac:dyDescent="0.3">
      <c r="H27005" t="str">
        <f t="shared" si="471"/>
        <v/>
      </c>
    </row>
    <row r="27006" spans="8:8" x14ac:dyDescent="0.3">
      <c r="H27006" t="str">
        <f t="shared" si="471"/>
        <v/>
      </c>
    </row>
    <row r="27007" spans="8:8" x14ac:dyDescent="0.3">
      <c r="H27007" t="str">
        <f t="shared" si="471"/>
        <v/>
      </c>
    </row>
    <row r="27008" spans="8:8" x14ac:dyDescent="0.3">
      <c r="H27008" t="str">
        <f t="shared" si="471"/>
        <v/>
      </c>
    </row>
    <row r="27009" spans="8:8" x14ac:dyDescent="0.3">
      <c r="H27009" t="str">
        <f t="shared" si="471"/>
        <v/>
      </c>
    </row>
    <row r="27010" spans="8:8" x14ac:dyDescent="0.3">
      <c r="H27010" t="str">
        <f t="shared" si="471"/>
        <v/>
      </c>
    </row>
    <row r="27011" spans="8:8" x14ac:dyDescent="0.3">
      <c r="H27011" t="str">
        <f t="shared" si="471"/>
        <v/>
      </c>
    </row>
    <row r="27012" spans="8:8" x14ac:dyDescent="0.3">
      <c r="H27012" t="str">
        <f t="shared" si="471"/>
        <v/>
      </c>
    </row>
    <row r="27013" spans="8:8" x14ac:dyDescent="0.3">
      <c r="H27013" t="str">
        <f t="shared" si="471"/>
        <v/>
      </c>
    </row>
    <row r="27014" spans="8:8" x14ac:dyDescent="0.3">
      <c r="H27014" t="str">
        <f t="shared" si="471"/>
        <v/>
      </c>
    </row>
    <row r="27015" spans="8:8" x14ac:dyDescent="0.3">
      <c r="H27015" t="str">
        <f t="shared" si="471"/>
        <v/>
      </c>
    </row>
    <row r="27016" spans="8:8" x14ac:dyDescent="0.3">
      <c r="H27016" t="str">
        <f t="shared" si="471"/>
        <v/>
      </c>
    </row>
    <row r="27017" spans="8:8" x14ac:dyDescent="0.3">
      <c r="H27017" t="str">
        <f t="shared" si="471"/>
        <v/>
      </c>
    </row>
    <row r="27018" spans="8:8" x14ac:dyDescent="0.3">
      <c r="H27018" t="str">
        <f t="shared" si="471"/>
        <v/>
      </c>
    </row>
    <row r="27019" spans="8:8" x14ac:dyDescent="0.3">
      <c r="H27019" t="str">
        <f t="shared" si="471"/>
        <v/>
      </c>
    </row>
    <row r="27020" spans="8:8" x14ac:dyDescent="0.3">
      <c r="H27020" t="str">
        <f t="shared" si="471"/>
        <v/>
      </c>
    </row>
    <row r="27021" spans="8:8" x14ac:dyDescent="0.3">
      <c r="H27021" t="str">
        <f t="shared" si="471"/>
        <v/>
      </c>
    </row>
    <row r="27022" spans="8:8" x14ac:dyDescent="0.3">
      <c r="H27022" t="str">
        <f t="shared" si="471"/>
        <v/>
      </c>
    </row>
    <row r="27023" spans="8:8" x14ac:dyDescent="0.3">
      <c r="H27023" t="str">
        <f t="shared" si="471"/>
        <v/>
      </c>
    </row>
    <row r="27024" spans="8:8" x14ac:dyDescent="0.3">
      <c r="H27024" t="str">
        <f t="shared" si="471"/>
        <v/>
      </c>
    </row>
    <row r="27025" spans="8:8" x14ac:dyDescent="0.3">
      <c r="H27025" t="str">
        <f t="shared" si="471"/>
        <v/>
      </c>
    </row>
    <row r="27026" spans="8:8" x14ac:dyDescent="0.3">
      <c r="H27026" t="str">
        <f t="shared" si="471"/>
        <v/>
      </c>
    </row>
    <row r="27027" spans="8:8" x14ac:dyDescent="0.3">
      <c r="H27027" t="str">
        <f t="shared" si="471"/>
        <v/>
      </c>
    </row>
    <row r="27028" spans="8:8" x14ac:dyDescent="0.3">
      <c r="H27028" t="str">
        <f t="shared" si="471"/>
        <v/>
      </c>
    </row>
    <row r="27029" spans="8:8" x14ac:dyDescent="0.3">
      <c r="H27029" t="str">
        <f t="shared" si="471"/>
        <v/>
      </c>
    </row>
    <row r="27030" spans="8:8" x14ac:dyDescent="0.3">
      <c r="H27030" t="str">
        <f t="shared" si="471"/>
        <v/>
      </c>
    </row>
    <row r="27031" spans="8:8" x14ac:dyDescent="0.3">
      <c r="H27031" t="str">
        <f t="shared" ref="H27031:H27094" si="472">IF(B27031="","",$C$12)</f>
        <v/>
      </c>
    </row>
    <row r="27032" spans="8:8" x14ac:dyDescent="0.3">
      <c r="H27032" t="str">
        <f t="shared" si="472"/>
        <v/>
      </c>
    </row>
    <row r="27033" spans="8:8" x14ac:dyDescent="0.3">
      <c r="H27033" t="str">
        <f t="shared" si="472"/>
        <v/>
      </c>
    </row>
    <row r="27034" spans="8:8" x14ac:dyDescent="0.3">
      <c r="H27034" t="str">
        <f t="shared" si="472"/>
        <v/>
      </c>
    </row>
    <row r="27035" spans="8:8" x14ac:dyDescent="0.3">
      <c r="H27035" t="str">
        <f t="shared" si="472"/>
        <v/>
      </c>
    </row>
    <row r="27036" spans="8:8" x14ac:dyDescent="0.3">
      <c r="H27036" t="str">
        <f t="shared" si="472"/>
        <v/>
      </c>
    </row>
    <row r="27037" spans="8:8" x14ac:dyDescent="0.3">
      <c r="H27037" t="str">
        <f t="shared" si="472"/>
        <v/>
      </c>
    </row>
    <row r="27038" spans="8:8" x14ac:dyDescent="0.3">
      <c r="H27038" t="str">
        <f t="shared" si="472"/>
        <v/>
      </c>
    </row>
    <row r="27039" spans="8:8" x14ac:dyDescent="0.3">
      <c r="H27039" t="str">
        <f t="shared" si="472"/>
        <v/>
      </c>
    </row>
    <row r="27040" spans="8:8" x14ac:dyDescent="0.3">
      <c r="H27040" t="str">
        <f t="shared" si="472"/>
        <v/>
      </c>
    </row>
    <row r="27041" spans="8:8" x14ac:dyDescent="0.3">
      <c r="H27041" t="str">
        <f t="shared" si="472"/>
        <v/>
      </c>
    </row>
    <row r="27042" spans="8:8" x14ac:dyDescent="0.3">
      <c r="H27042" t="str">
        <f t="shared" si="472"/>
        <v/>
      </c>
    </row>
    <row r="27043" spans="8:8" x14ac:dyDescent="0.3">
      <c r="H27043" t="str">
        <f t="shared" si="472"/>
        <v/>
      </c>
    </row>
    <row r="27044" spans="8:8" x14ac:dyDescent="0.3">
      <c r="H27044" t="str">
        <f t="shared" si="472"/>
        <v/>
      </c>
    </row>
    <row r="27045" spans="8:8" x14ac:dyDescent="0.3">
      <c r="H27045" t="str">
        <f t="shared" si="472"/>
        <v/>
      </c>
    </row>
    <row r="27046" spans="8:8" x14ac:dyDescent="0.3">
      <c r="H27046" t="str">
        <f t="shared" si="472"/>
        <v/>
      </c>
    </row>
    <row r="27047" spans="8:8" x14ac:dyDescent="0.3">
      <c r="H27047" t="str">
        <f t="shared" si="472"/>
        <v/>
      </c>
    </row>
    <row r="27048" spans="8:8" x14ac:dyDescent="0.3">
      <c r="H27048" t="str">
        <f t="shared" si="472"/>
        <v/>
      </c>
    </row>
    <row r="27049" spans="8:8" x14ac:dyDescent="0.3">
      <c r="H27049" t="str">
        <f t="shared" si="472"/>
        <v/>
      </c>
    </row>
    <row r="27050" spans="8:8" x14ac:dyDescent="0.3">
      <c r="H27050" t="str">
        <f t="shared" si="472"/>
        <v/>
      </c>
    </row>
    <row r="27051" spans="8:8" x14ac:dyDescent="0.3">
      <c r="H27051" t="str">
        <f t="shared" si="472"/>
        <v/>
      </c>
    </row>
    <row r="27052" spans="8:8" x14ac:dyDescent="0.3">
      <c r="H27052" t="str">
        <f t="shared" si="472"/>
        <v/>
      </c>
    </row>
    <row r="27053" spans="8:8" x14ac:dyDescent="0.3">
      <c r="H27053" t="str">
        <f t="shared" si="472"/>
        <v/>
      </c>
    </row>
    <row r="27054" spans="8:8" x14ac:dyDescent="0.3">
      <c r="H27054" t="str">
        <f t="shared" si="472"/>
        <v/>
      </c>
    </row>
    <row r="27055" spans="8:8" x14ac:dyDescent="0.3">
      <c r="H27055" t="str">
        <f t="shared" si="472"/>
        <v/>
      </c>
    </row>
    <row r="27056" spans="8:8" x14ac:dyDescent="0.3">
      <c r="H27056" t="str">
        <f t="shared" si="472"/>
        <v/>
      </c>
    </row>
    <row r="27057" spans="8:8" x14ac:dyDescent="0.3">
      <c r="H27057" t="str">
        <f t="shared" si="472"/>
        <v/>
      </c>
    </row>
    <row r="27058" spans="8:8" x14ac:dyDescent="0.3">
      <c r="H27058" t="str">
        <f t="shared" si="472"/>
        <v/>
      </c>
    </row>
    <row r="27059" spans="8:8" x14ac:dyDescent="0.3">
      <c r="H27059" t="str">
        <f t="shared" si="472"/>
        <v/>
      </c>
    </row>
    <row r="27060" spans="8:8" x14ac:dyDescent="0.3">
      <c r="H27060" t="str">
        <f t="shared" si="472"/>
        <v/>
      </c>
    </row>
    <row r="27061" spans="8:8" x14ac:dyDescent="0.3">
      <c r="H27061" t="str">
        <f t="shared" si="472"/>
        <v/>
      </c>
    </row>
    <row r="27062" spans="8:8" x14ac:dyDescent="0.3">
      <c r="H27062" t="str">
        <f t="shared" si="472"/>
        <v/>
      </c>
    </row>
    <row r="27063" spans="8:8" x14ac:dyDescent="0.3">
      <c r="H27063" t="str">
        <f t="shared" si="472"/>
        <v/>
      </c>
    </row>
    <row r="27064" spans="8:8" x14ac:dyDescent="0.3">
      <c r="H27064" t="str">
        <f t="shared" si="472"/>
        <v/>
      </c>
    </row>
    <row r="27065" spans="8:8" x14ac:dyDescent="0.3">
      <c r="H27065" t="str">
        <f t="shared" si="472"/>
        <v/>
      </c>
    </row>
    <row r="27066" spans="8:8" x14ac:dyDescent="0.3">
      <c r="H27066" t="str">
        <f t="shared" si="472"/>
        <v/>
      </c>
    </row>
    <row r="27067" spans="8:8" x14ac:dyDescent="0.3">
      <c r="H27067" t="str">
        <f t="shared" si="472"/>
        <v/>
      </c>
    </row>
    <row r="27068" spans="8:8" x14ac:dyDescent="0.3">
      <c r="H27068" t="str">
        <f t="shared" si="472"/>
        <v/>
      </c>
    </row>
    <row r="27069" spans="8:8" x14ac:dyDescent="0.3">
      <c r="H27069" t="str">
        <f t="shared" si="472"/>
        <v/>
      </c>
    </row>
    <row r="27070" spans="8:8" x14ac:dyDescent="0.3">
      <c r="H27070" t="str">
        <f t="shared" si="472"/>
        <v/>
      </c>
    </row>
    <row r="27071" spans="8:8" x14ac:dyDescent="0.3">
      <c r="H27071" t="str">
        <f t="shared" si="472"/>
        <v/>
      </c>
    </row>
    <row r="27072" spans="8:8" x14ac:dyDescent="0.3">
      <c r="H27072" t="str">
        <f t="shared" si="472"/>
        <v/>
      </c>
    </row>
    <row r="27073" spans="8:8" x14ac:dyDescent="0.3">
      <c r="H27073" t="str">
        <f t="shared" si="472"/>
        <v/>
      </c>
    </row>
    <row r="27074" spans="8:8" x14ac:dyDescent="0.3">
      <c r="H27074" t="str">
        <f t="shared" si="472"/>
        <v/>
      </c>
    </row>
    <row r="27075" spans="8:8" x14ac:dyDescent="0.3">
      <c r="H27075" t="str">
        <f t="shared" si="472"/>
        <v/>
      </c>
    </row>
    <row r="27076" spans="8:8" x14ac:dyDescent="0.3">
      <c r="H27076" t="str">
        <f t="shared" si="472"/>
        <v/>
      </c>
    </row>
    <row r="27077" spans="8:8" x14ac:dyDescent="0.3">
      <c r="H27077" t="str">
        <f t="shared" si="472"/>
        <v/>
      </c>
    </row>
    <row r="27078" spans="8:8" x14ac:dyDescent="0.3">
      <c r="H27078" t="str">
        <f t="shared" si="472"/>
        <v/>
      </c>
    </row>
    <row r="27079" spans="8:8" x14ac:dyDescent="0.3">
      <c r="H27079" t="str">
        <f t="shared" si="472"/>
        <v/>
      </c>
    </row>
    <row r="27080" spans="8:8" x14ac:dyDescent="0.3">
      <c r="H27080" t="str">
        <f t="shared" si="472"/>
        <v/>
      </c>
    </row>
    <row r="27081" spans="8:8" x14ac:dyDescent="0.3">
      <c r="H27081" t="str">
        <f t="shared" si="472"/>
        <v/>
      </c>
    </row>
    <row r="27082" spans="8:8" x14ac:dyDescent="0.3">
      <c r="H27082" t="str">
        <f t="shared" si="472"/>
        <v/>
      </c>
    </row>
    <row r="27083" spans="8:8" x14ac:dyDescent="0.3">
      <c r="H27083" t="str">
        <f t="shared" si="472"/>
        <v/>
      </c>
    </row>
    <row r="27084" spans="8:8" x14ac:dyDescent="0.3">
      <c r="H27084" t="str">
        <f t="shared" si="472"/>
        <v/>
      </c>
    </row>
    <row r="27085" spans="8:8" x14ac:dyDescent="0.3">
      <c r="H27085" t="str">
        <f t="shared" si="472"/>
        <v/>
      </c>
    </row>
    <row r="27086" spans="8:8" x14ac:dyDescent="0.3">
      <c r="H27086" t="str">
        <f t="shared" si="472"/>
        <v/>
      </c>
    </row>
    <row r="27087" spans="8:8" x14ac:dyDescent="0.3">
      <c r="H27087" t="str">
        <f t="shared" si="472"/>
        <v/>
      </c>
    </row>
    <row r="27088" spans="8:8" x14ac:dyDescent="0.3">
      <c r="H27088" t="str">
        <f t="shared" si="472"/>
        <v/>
      </c>
    </row>
    <row r="27089" spans="8:8" x14ac:dyDescent="0.3">
      <c r="H27089" t="str">
        <f t="shared" si="472"/>
        <v/>
      </c>
    </row>
    <row r="27090" spans="8:8" x14ac:dyDescent="0.3">
      <c r="H27090" t="str">
        <f t="shared" si="472"/>
        <v/>
      </c>
    </row>
    <row r="27091" spans="8:8" x14ac:dyDescent="0.3">
      <c r="H27091" t="str">
        <f t="shared" si="472"/>
        <v/>
      </c>
    </row>
    <row r="27092" spans="8:8" x14ac:dyDescent="0.3">
      <c r="H27092" t="str">
        <f t="shared" si="472"/>
        <v/>
      </c>
    </row>
    <row r="27093" spans="8:8" x14ac:dyDescent="0.3">
      <c r="H27093" t="str">
        <f t="shared" si="472"/>
        <v/>
      </c>
    </row>
    <row r="27094" spans="8:8" x14ac:dyDescent="0.3">
      <c r="H27094" t="str">
        <f t="shared" si="472"/>
        <v/>
      </c>
    </row>
    <row r="27095" spans="8:8" x14ac:dyDescent="0.3">
      <c r="H27095" t="str">
        <f t="shared" ref="H27095:H27158" si="473">IF(B27095="","",$C$12)</f>
        <v/>
      </c>
    </row>
    <row r="27096" spans="8:8" x14ac:dyDescent="0.3">
      <c r="H27096" t="str">
        <f t="shared" si="473"/>
        <v/>
      </c>
    </row>
    <row r="27097" spans="8:8" x14ac:dyDescent="0.3">
      <c r="H27097" t="str">
        <f t="shared" si="473"/>
        <v/>
      </c>
    </row>
    <row r="27098" spans="8:8" x14ac:dyDescent="0.3">
      <c r="H27098" t="str">
        <f t="shared" si="473"/>
        <v/>
      </c>
    </row>
    <row r="27099" spans="8:8" x14ac:dyDescent="0.3">
      <c r="H27099" t="str">
        <f t="shared" si="473"/>
        <v/>
      </c>
    </row>
    <row r="27100" spans="8:8" x14ac:dyDescent="0.3">
      <c r="H27100" t="str">
        <f t="shared" si="473"/>
        <v/>
      </c>
    </row>
    <row r="27101" spans="8:8" x14ac:dyDescent="0.3">
      <c r="H27101" t="str">
        <f t="shared" si="473"/>
        <v/>
      </c>
    </row>
    <row r="27102" spans="8:8" x14ac:dyDescent="0.3">
      <c r="H27102" t="str">
        <f t="shared" si="473"/>
        <v/>
      </c>
    </row>
    <row r="27103" spans="8:8" x14ac:dyDescent="0.3">
      <c r="H27103" t="str">
        <f t="shared" si="473"/>
        <v/>
      </c>
    </row>
    <row r="27104" spans="8:8" x14ac:dyDescent="0.3">
      <c r="H27104" t="str">
        <f t="shared" si="473"/>
        <v/>
      </c>
    </row>
    <row r="27105" spans="8:8" x14ac:dyDescent="0.3">
      <c r="H27105" t="str">
        <f t="shared" si="473"/>
        <v/>
      </c>
    </row>
    <row r="27106" spans="8:8" x14ac:dyDescent="0.3">
      <c r="H27106" t="str">
        <f t="shared" si="473"/>
        <v/>
      </c>
    </row>
    <row r="27107" spans="8:8" x14ac:dyDescent="0.3">
      <c r="H27107" t="str">
        <f t="shared" si="473"/>
        <v/>
      </c>
    </row>
    <row r="27108" spans="8:8" x14ac:dyDescent="0.3">
      <c r="H27108" t="str">
        <f t="shared" si="473"/>
        <v/>
      </c>
    </row>
    <row r="27109" spans="8:8" x14ac:dyDescent="0.3">
      <c r="H27109" t="str">
        <f t="shared" si="473"/>
        <v/>
      </c>
    </row>
    <row r="27110" spans="8:8" x14ac:dyDescent="0.3">
      <c r="H27110" t="str">
        <f t="shared" si="473"/>
        <v/>
      </c>
    </row>
    <row r="27111" spans="8:8" x14ac:dyDescent="0.3">
      <c r="H27111" t="str">
        <f t="shared" si="473"/>
        <v/>
      </c>
    </row>
    <row r="27112" spans="8:8" x14ac:dyDescent="0.3">
      <c r="H27112" t="str">
        <f t="shared" si="473"/>
        <v/>
      </c>
    </row>
    <row r="27113" spans="8:8" x14ac:dyDescent="0.3">
      <c r="H27113" t="str">
        <f t="shared" si="473"/>
        <v/>
      </c>
    </row>
    <row r="27114" spans="8:8" x14ac:dyDescent="0.3">
      <c r="H27114" t="str">
        <f t="shared" si="473"/>
        <v/>
      </c>
    </row>
    <row r="27115" spans="8:8" x14ac:dyDescent="0.3">
      <c r="H27115" t="str">
        <f t="shared" si="473"/>
        <v/>
      </c>
    </row>
    <row r="27116" spans="8:8" x14ac:dyDescent="0.3">
      <c r="H27116" t="str">
        <f t="shared" si="473"/>
        <v/>
      </c>
    </row>
    <row r="27117" spans="8:8" x14ac:dyDescent="0.3">
      <c r="H27117" t="str">
        <f t="shared" si="473"/>
        <v/>
      </c>
    </row>
    <row r="27118" spans="8:8" x14ac:dyDescent="0.3">
      <c r="H27118" t="str">
        <f t="shared" si="473"/>
        <v/>
      </c>
    </row>
    <row r="27119" spans="8:8" x14ac:dyDescent="0.3">
      <c r="H27119" t="str">
        <f t="shared" si="473"/>
        <v/>
      </c>
    </row>
    <row r="27120" spans="8:8" x14ac:dyDescent="0.3">
      <c r="H27120" t="str">
        <f t="shared" si="473"/>
        <v/>
      </c>
    </row>
    <row r="27121" spans="8:8" x14ac:dyDescent="0.3">
      <c r="H27121" t="str">
        <f t="shared" si="473"/>
        <v/>
      </c>
    </row>
    <row r="27122" spans="8:8" x14ac:dyDescent="0.3">
      <c r="H27122" t="str">
        <f t="shared" si="473"/>
        <v/>
      </c>
    </row>
    <row r="27123" spans="8:8" x14ac:dyDescent="0.3">
      <c r="H27123" t="str">
        <f t="shared" si="473"/>
        <v/>
      </c>
    </row>
    <row r="27124" spans="8:8" x14ac:dyDescent="0.3">
      <c r="H27124" t="str">
        <f t="shared" si="473"/>
        <v/>
      </c>
    </row>
    <row r="27125" spans="8:8" x14ac:dyDescent="0.3">
      <c r="H27125" t="str">
        <f t="shared" si="473"/>
        <v/>
      </c>
    </row>
    <row r="27126" spans="8:8" x14ac:dyDescent="0.3">
      <c r="H27126" t="str">
        <f t="shared" si="473"/>
        <v/>
      </c>
    </row>
    <row r="27127" spans="8:8" x14ac:dyDescent="0.3">
      <c r="H27127" t="str">
        <f t="shared" si="473"/>
        <v/>
      </c>
    </row>
    <row r="27128" spans="8:8" x14ac:dyDescent="0.3">
      <c r="H27128" t="str">
        <f t="shared" si="473"/>
        <v/>
      </c>
    </row>
    <row r="27129" spans="8:8" x14ac:dyDescent="0.3">
      <c r="H27129" t="str">
        <f t="shared" si="473"/>
        <v/>
      </c>
    </row>
    <row r="27130" spans="8:8" x14ac:dyDescent="0.3">
      <c r="H27130" t="str">
        <f t="shared" si="473"/>
        <v/>
      </c>
    </row>
    <row r="27131" spans="8:8" x14ac:dyDescent="0.3">
      <c r="H27131" t="str">
        <f t="shared" si="473"/>
        <v/>
      </c>
    </row>
    <row r="27132" spans="8:8" x14ac:dyDescent="0.3">
      <c r="H27132" t="str">
        <f t="shared" si="473"/>
        <v/>
      </c>
    </row>
    <row r="27133" spans="8:8" x14ac:dyDescent="0.3">
      <c r="H27133" t="str">
        <f t="shared" si="473"/>
        <v/>
      </c>
    </row>
    <row r="27134" spans="8:8" x14ac:dyDescent="0.3">
      <c r="H27134" t="str">
        <f t="shared" si="473"/>
        <v/>
      </c>
    </row>
    <row r="27135" spans="8:8" x14ac:dyDescent="0.3">
      <c r="H27135" t="str">
        <f t="shared" si="473"/>
        <v/>
      </c>
    </row>
    <row r="27136" spans="8:8" x14ac:dyDescent="0.3">
      <c r="H27136" t="str">
        <f t="shared" si="473"/>
        <v/>
      </c>
    </row>
    <row r="27137" spans="8:8" x14ac:dyDescent="0.3">
      <c r="H27137" t="str">
        <f t="shared" si="473"/>
        <v/>
      </c>
    </row>
    <row r="27138" spans="8:8" x14ac:dyDescent="0.3">
      <c r="H27138" t="str">
        <f t="shared" si="473"/>
        <v/>
      </c>
    </row>
    <row r="27139" spans="8:8" x14ac:dyDescent="0.3">
      <c r="H27139" t="str">
        <f t="shared" si="473"/>
        <v/>
      </c>
    </row>
    <row r="27140" spans="8:8" x14ac:dyDescent="0.3">
      <c r="H27140" t="str">
        <f t="shared" si="473"/>
        <v/>
      </c>
    </row>
    <row r="27141" spans="8:8" x14ac:dyDescent="0.3">
      <c r="H27141" t="str">
        <f t="shared" si="473"/>
        <v/>
      </c>
    </row>
    <row r="27142" spans="8:8" x14ac:dyDescent="0.3">
      <c r="H27142" t="str">
        <f t="shared" si="473"/>
        <v/>
      </c>
    </row>
    <row r="27143" spans="8:8" x14ac:dyDescent="0.3">
      <c r="H27143" t="str">
        <f t="shared" si="473"/>
        <v/>
      </c>
    </row>
    <row r="27144" spans="8:8" x14ac:dyDescent="0.3">
      <c r="H27144" t="str">
        <f t="shared" si="473"/>
        <v/>
      </c>
    </row>
    <row r="27145" spans="8:8" x14ac:dyDescent="0.3">
      <c r="H27145" t="str">
        <f t="shared" si="473"/>
        <v/>
      </c>
    </row>
    <row r="27146" spans="8:8" x14ac:dyDescent="0.3">
      <c r="H27146" t="str">
        <f t="shared" si="473"/>
        <v/>
      </c>
    </row>
    <row r="27147" spans="8:8" x14ac:dyDescent="0.3">
      <c r="H27147" t="str">
        <f t="shared" si="473"/>
        <v/>
      </c>
    </row>
    <row r="27148" spans="8:8" x14ac:dyDescent="0.3">
      <c r="H27148" t="str">
        <f t="shared" si="473"/>
        <v/>
      </c>
    </row>
    <row r="27149" spans="8:8" x14ac:dyDescent="0.3">
      <c r="H27149" t="str">
        <f t="shared" si="473"/>
        <v/>
      </c>
    </row>
    <row r="27150" spans="8:8" x14ac:dyDescent="0.3">
      <c r="H27150" t="str">
        <f t="shared" si="473"/>
        <v/>
      </c>
    </row>
    <row r="27151" spans="8:8" x14ac:dyDescent="0.3">
      <c r="H27151" t="str">
        <f t="shared" si="473"/>
        <v/>
      </c>
    </row>
    <row r="27152" spans="8:8" x14ac:dyDescent="0.3">
      <c r="H27152" t="str">
        <f t="shared" si="473"/>
        <v/>
      </c>
    </row>
    <row r="27153" spans="8:8" x14ac:dyDescent="0.3">
      <c r="H27153" t="str">
        <f t="shared" si="473"/>
        <v/>
      </c>
    </row>
    <row r="27154" spans="8:8" x14ac:dyDescent="0.3">
      <c r="H27154" t="str">
        <f t="shared" si="473"/>
        <v/>
      </c>
    </row>
    <row r="27155" spans="8:8" x14ac:dyDescent="0.3">
      <c r="H27155" t="str">
        <f t="shared" si="473"/>
        <v/>
      </c>
    </row>
    <row r="27156" spans="8:8" x14ac:dyDescent="0.3">
      <c r="H27156" t="str">
        <f t="shared" si="473"/>
        <v/>
      </c>
    </row>
    <row r="27157" spans="8:8" x14ac:dyDescent="0.3">
      <c r="H27157" t="str">
        <f t="shared" si="473"/>
        <v/>
      </c>
    </row>
    <row r="27158" spans="8:8" x14ac:dyDescent="0.3">
      <c r="H27158" t="str">
        <f t="shared" si="473"/>
        <v/>
      </c>
    </row>
    <row r="27159" spans="8:8" x14ac:dyDescent="0.3">
      <c r="H27159" t="str">
        <f t="shared" ref="H27159:H27222" si="474">IF(B27159="","",$C$12)</f>
        <v/>
      </c>
    </row>
    <row r="27160" spans="8:8" x14ac:dyDescent="0.3">
      <c r="H27160" t="str">
        <f t="shared" si="474"/>
        <v/>
      </c>
    </row>
    <row r="27161" spans="8:8" x14ac:dyDescent="0.3">
      <c r="H27161" t="str">
        <f t="shared" si="474"/>
        <v/>
      </c>
    </row>
    <row r="27162" spans="8:8" x14ac:dyDescent="0.3">
      <c r="H27162" t="str">
        <f t="shared" si="474"/>
        <v/>
      </c>
    </row>
    <row r="27163" spans="8:8" x14ac:dyDescent="0.3">
      <c r="H27163" t="str">
        <f t="shared" si="474"/>
        <v/>
      </c>
    </row>
    <row r="27164" spans="8:8" x14ac:dyDescent="0.3">
      <c r="H27164" t="str">
        <f t="shared" si="474"/>
        <v/>
      </c>
    </row>
    <row r="27165" spans="8:8" x14ac:dyDescent="0.3">
      <c r="H27165" t="str">
        <f t="shared" si="474"/>
        <v/>
      </c>
    </row>
    <row r="27166" spans="8:8" x14ac:dyDescent="0.3">
      <c r="H27166" t="str">
        <f t="shared" si="474"/>
        <v/>
      </c>
    </row>
    <row r="27167" spans="8:8" x14ac:dyDescent="0.3">
      <c r="H27167" t="str">
        <f t="shared" si="474"/>
        <v/>
      </c>
    </row>
    <row r="27168" spans="8:8" x14ac:dyDescent="0.3">
      <c r="H27168" t="str">
        <f t="shared" si="474"/>
        <v/>
      </c>
    </row>
    <row r="27169" spans="8:8" x14ac:dyDescent="0.3">
      <c r="H27169" t="str">
        <f t="shared" si="474"/>
        <v/>
      </c>
    </row>
    <row r="27170" spans="8:8" x14ac:dyDescent="0.3">
      <c r="H27170" t="str">
        <f t="shared" si="474"/>
        <v/>
      </c>
    </row>
    <row r="27171" spans="8:8" x14ac:dyDescent="0.3">
      <c r="H27171" t="str">
        <f t="shared" si="474"/>
        <v/>
      </c>
    </row>
    <row r="27172" spans="8:8" x14ac:dyDescent="0.3">
      <c r="H27172" t="str">
        <f t="shared" si="474"/>
        <v/>
      </c>
    </row>
    <row r="27173" spans="8:8" x14ac:dyDescent="0.3">
      <c r="H27173" t="str">
        <f t="shared" si="474"/>
        <v/>
      </c>
    </row>
    <row r="27174" spans="8:8" x14ac:dyDescent="0.3">
      <c r="H27174" t="str">
        <f t="shared" si="474"/>
        <v/>
      </c>
    </row>
    <row r="27175" spans="8:8" x14ac:dyDescent="0.3">
      <c r="H27175" t="str">
        <f t="shared" si="474"/>
        <v/>
      </c>
    </row>
    <row r="27176" spans="8:8" x14ac:dyDescent="0.3">
      <c r="H27176" t="str">
        <f t="shared" si="474"/>
        <v/>
      </c>
    </row>
    <row r="27177" spans="8:8" x14ac:dyDescent="0.3">
      <c r="H27177" t="str">
        <f t="shared" si="474"/>
        <v/>
      </c>
    </row>
    <row r="27178" spans="8:8" x14ac:dyDescent="0.3">
      <c r="H27178" t="str">
        <f t="shared" si="474"/>
        <v/>
      </c>
    </row>
    <row r="27179" spans="8:8" x14ac:dyDescent="0.3">
      <c r="H27179" t="str">
        <f t="shared" si="474"/>
        <v/>
      </c>
    </row>
    <row r="27180" spans="8:8" x14ac:dyDescent="0.3">
      <c r="H27180" t="str">
        <f t="shared" si="474"/>
        <v/>
      </c>
    </row>
    <row r="27181" spans="8:8" x14ac:dyDescent="0.3">
      <c r="H27181" t="str">
        <f t="shared" si="474"/>
        <v/>
      </c>
    </row>
    <row r="27182" spans="8:8" x14ac:dyDescent="0.3">
      <c r="H27182" t="str">
        <f t="shared" si="474"/>
        <v/>
      </c>
    </row>
    <row r="27183" spans="8:8" x14ac:dyDescent="0.3">
      <c r="H27183" t="str">
        <f t="shared" si="474"/>
        <v/>
      </c>
    </row>
    <row r="27184" spans="8:8" x14ac:dyDescent="0.3">
      <c r="H27184" t="str">
        <f t="shared" si="474"/>
        <v/>
      </c>
    </row>
    <row r="27185" spans="8:8" x14ac:dyDescent="0.3">
      <c r="H27185" t="str">
        <f t="shared" si="474"/>
        <v/>
      </c>
    </row>
    <row r="27186" spans="8:8" x14ac:dyDescent="0.3">
      <c r="H27186" t="str">
        <f t="shared" si="474"/>
        <v/>
      </c>
    </row>
    <row r="27187" spans="8:8" x14ac:dyDescent="0.3">
      <c r="H27187" t="str">
        <f t="shared" si="474"/>
        <v/>
      </c>
    </row>
    <row r="27188" spans="8:8" x14ac:dyDescent="0.3">
      <c r="H27188" t="str">
        <f t="shared" si="474"/>
        <v/>
      </c>
    </row>
    <row r="27189" spans="8:8" x14ac:dyDescent="0.3">
      <c r="H27189" t="str">
        <f t="shared" si="474"/>
        <v/>
      </c>
    </row>
    <row r="27190" spans="8:8" x14ac:dyDescent="0.3">
      <c r="H27190" t="str">
        <f t="shared" si="474"/>
        <v/>
      </c>
    </row>
    <row r="27191" spans="8:8" x14ac:dyDescent="0.3">
      <c r="H27191" t="str">
        <f t="shared" si="474"/>
        <v/>
      </c>
    </row>
    <row r="27192" spans="8:8" x14ac:dyDescent="0.3">
      <c r="H27192" t="str">
        <f t="shared" si="474"/>
        <v/>
      </c>
    </row>
    <row r="27193" spans="8:8" x14ac:dyDescent="0.3">
      <c r="H27193" t="str">
        <f t="shared" si="474"/>
        <v/>
      </c>
    </row>
    <row r="27194" spans="8:8" x14ac:dyDescent="0.3">
      <c r="H27194" t="str">
        <f t="shared" si="474"/>
        <v/>
      </c>
    </row>
    <row r="27195" spans="8:8" x14ac:dyDescent="0.3">
      <c r="H27195" t="str">
        <f t="shared" si="474"/>
        <v/>
      </c>
    </row>
    <row r="27196" spans="8:8" x14ac:dyDescent="0.3">
      <c r="H27196" t="str">
        <f t="shared" si="474"/>
        <v/>
      </c>
    </row>
    <row r="27197" spans="8:8" x14ac:dyDescent="0.3">
      <c r="H27197" t="str">
        <f t="shared" si="474"/>
        <v/>
      </c>
    </row>
    <row r="27198" spans="8:8" x14ac:dyDescent="0.3">
      <c r="H27198" t="str">
        <f t="shared" si="474"/>
        <v/>
      </c>
    </row>
    <row r="27199" spans="8:8" x14ac:dyDescent="0.3">
      <c r="H27199" t="str">
        <f t="shared" si="474"/>
        <v/>
      </c>
    </row>
    <row r="27200" spans="8:8" x14ac:dyDescent="0.3">
      <c r="H27200" t="str">
        <f t="shared" si="474"/>
        <v/>
      </c>
    </row>
    <row r="27201" spans="8:8" x14ac:dyDescent="0.3">
      <c r="H27201" t="str">
        <f t="shared" si="474"/>
        <v/>
      </c>
    </row>
    <row r="27202" spans="8:8" x14ac:dyDescent="0.3">
      <c r="H27202" t="str">
        <f t="shared" si="474"/>
        <v/>
      </c>
    </row>
    <row r="27203" spans="8:8" x14ac:dyDescent="0.3">
      <c r="H27203" t="str">
        <f t="shared" si="474"/>
        <v/>
      </c>
    </row>
    <row r="27204" spans="8:8" x14ac:dyDescent="0.3">
      <c r="H27204" t="str">
        <f t="shared" si="474"/>
        <v/>
      </c>
    </row>
    <row r="27205" spans="8:8" x14ac:dyDescent="0.3">
      <c r="H27205" t="str">
        <f t="shared" si="474"/>
        <v/>
      </c>
    </row>
    <row r="27206" spans="8:8" x14ac:dyDescent="0.3">
      <c r="H27206" t="str">
        <f t="shared" si="474"/>
        <v/>
      </c>
    </row>
    <row r="27207" spans="8:8" x14ac:dyDescent="0.3">
      <c r="H27207" t="str">
        <f t="shared" si="474"/>
        <v/>
      </c>
    </row>
    <row r="27208" spans="8:8" x14ac:dyDescent="0.3">
      <c r="H27208" t="str">
        <f t="shared" si="474"/>
        <v/>
      </c>
    </row>
    <row r="27209" spans="8:8" x14ac:dyDescent="0.3">
      <c r="H27209" t="str">
        <f t="shared" si="474"/>
        <v/>
      </c>
    </row>
    <row r="27210" spans="8:8" x14ac:dyDescent="0.3">
      <c r="H27210" t="str">
        <f t="shared" si="474"/>
        <v/>
      </c>
    </row>
    <row r="27211" spans="8:8" x14ac:dyDescent="0.3">
      <c r="H27211" t="str">
        <f t="shared" si="474"/>
        <v/>
      </c>
    </row>
    <row r="27212" spans="8:8" x14ac:dyDescent="0.3">
      <c r="H27212" t="str">
        <f t="shared" si="474"/>
        <v/>
      </c>
    </row>
    <row r="27213" spans="8:8" x14ac:dyDescent="0.3">
      <c r="H27213" t="str">
        <f t="shared" si="474"/>
        <v/>
      </c>
    </row>
    <row r="27214" spans="8:8" x14ac:dyDescent="0.3">
      <c r="H27214" t="str">
        <f t="shared" si="474"/>
        <v/>
      </c>
    </row>
    <row r="27215" spans="8:8" x14ac:dyDescent="0.3">
      <c r="H27215" t="str">
        <f t="shared" si="474"/>
        <v/>
      </c>
    </row>
    <row r="27216" spans="8:8" x14ac:dyDescent="0.3">
      <c r="H27216" t="str">
        <f t="shared" si="474"/>
        <v/>
      </c>
    </row>
    <row r="27217" spans="8:8" x14ac:dyDescent="0.3">
      <c r="H27217" t="str">
        <f t="shared" si="474"/>
        <v/>
      </c>
    </row>
    <row r="27218" spans="8:8" x14ac:dyDescent="0.3">
      <c r="H27218" t="str">
        <f t="shared" si="474"/>
        <v/>
      </c>
    </row>
    <row r="27219" spans="8:8" x14ac:dyDescent="0.3">
      <c r="H27219" t="str">
        <f t="shared" si="474"/>
        <v/>
      </c>
    </row>
    <row r="27220" spans="8:8" x14ac:dyDescent="0.3">
      <c r="H27220" t="str">
        <f t="shared" si="474"/>
        <v/>
      </c>
    </row>
    <row r="27221" spans="8:8" x14ac:dyDescent="0.3">
      <c r="H27221" t="str">
        <f t="shared" si="474"/>
        <v/>
      </c>
    </row>
    <row r="27222" spans="8:8" x14ac:dyDescent="0.3">
      <c r="H27222" t="str">
        <f t="shared" si="474"/>
        <v/>
      </c>
    </row>
    <row r="27223" spans="8:8" x14ac:dyDescent="0.3">
      <c r="H27223" t="str">
        <f t="shared" ref="H27223:H27286" si="475">IF(B27223="","",$C$12)</f>
        <v/>
      </c>
    </row>
    <row r="27224" spans="8:8" x14ac:dyDescent="0.3">
      <c r="H27224" t="str">
        <f t="shared" si="475"/>
        <v/>
      </c>
    </row>
    <row r="27225" spans="8:8" x14ac:dyDescent="0.3">
      <c r="H27225" t="str">
        <f t="shared" si="475"/>
        <v/>
      </c>
    </row>
    <row r="27226" spans="8:8" x14ac:dyDescent="0.3">
      <c r="H27226" t="str">
        <f t="shared" si="475"/>
        <v/>
      </c>
    </row>
    <row r="27227" spans="8:8" x14ac:dyDescent="0.3">
      <c r="H27227" t="str">
        <f t="shared" si="475"/>
        <v/>
      </c>
    </row>
    <row r="27228" spans="8:8" x14ac:dyDescent="0.3">
      <c r="H27228" t="str">
        <f t="shared" si="475"/>
        <v/>
      </c>
    </row>
    <row r="27229" spans="8:8" x14ac:dyDescent="0.3">
      <c r="H27229" t="str">
        <f t="shared" si="475"/>
        <v/>
      </c>
    </row>
    <row r="27230" spans="8:8" x14ac:dyDescent="0.3">
      <c r="H27230" t="str">
        <f t="shared" si="475"/>
        <v/>
      </c>
    </row>
    <row r="27231" spans="8:8" x14ac:dyDescent="0.3">
      <c r="H27231" t="str">
        <f t="shared" si="475"/>
        <v/>
      </c>
    </row>
    <row r="27232" spans="8:8" x14ac:dyDescent="0.3">
      <c r="H27232" t="str">
        <f t="shared" si="475"/>
        <v/>
      </c>
    </row>
    <row r="27233" spans="8:8" x14ac:dyDescent="0.3">
      <c r="H27233" t="str">
        <f t="shared" si="475"/>
        <v/>
      </c>
    </row>
    <row r="27234" spans="8:8" x14ac:dyDescent="0.3">
      <c r="H27234" t="str">
        <f t="shared" si="475"/>
        <v/>
      </c>
    </row>
    <row r="27235" spans="8:8" x14ac:dyDescent="0.3">
      <c r="H27235" t="str">
        <f t="shared" si="475"/>
        <v/>
      </c>
    </row>
    <row r="27236" spans="8:8" x14ac:dyDescent="0.3">
      <c r="H27236" t="str">
        <f t="shared" si="475"/>
        <v/>
      </c>
    </row>
    <row r="27237" spans="8:8" x14ac:dyDescent="0.3">
      <c r="H27237" t="str">
        <f t="shared" si="475"/>
        <v/>
      </c>
    </row>
    <row r="27238" spans="8:8" x14ac:dyDescent="0.3">
      <c r="H27238" t="str">
        <f t="shared" si="475"/>
        <v/>
      </c>
    </row>
    <row r="27239" spans="8:8" x14ac:dyDescent="0.3">
      <c r="H27239" t="str">
        <f t="shared" si="475"/>
        <v/>
      </c>
    </row>
    <row r="27240" spans="8:8" x14ac:dyDescent="0.3">
      <c r="H27240" t="str">
        <f t="shared" si="475"/>
        <v/>
      </c>
    </row>
    <row r="27241" spans="8:8" x14ac:dyDescent="0.3">
      <c r="H27241" t="str">
        <f t="shared" si="475"/>
        <v/>
      </c>
    </row>
    <row r="27242" spans="8:8" x14ac:dyDescent="0.3">
      <c r="H27242" t="str">
        <f t="shared" si="475"/>
        <v/>
      </c>
    </row>
    <row r="27243" spans="8:8" x14ac:dyDescent="0.3">
      <c r="H27243" t="str">
        <f t="shared" si="475"/>
        <v/>
      </c>
    </row>
    <row r="27244" spans="8:8" x14ac:dyDescent="0.3">
      <c r="H27244" t="str">
        <f t="shared" si="475"/>
        <v/>
      </c>
    </row>
    <row r="27245" spans="8:8" x14ac:dyDescent="0.3">
      <c r="H27245" t="str">
        <f t="shared" si="475"/>
        <v/>
      </c>
    </row>
    <row r="27246" spans="8:8" x14ac:dyDescent="0.3">
      <c r="H27246" t="str">
        <f t="shared" si="475"/>
        <v/>
      </c>
    </row>
    <row r="27247" spans="8:8" x14ac:dyDescent="0.3">
      <c r="H27247" t="str">
        <f t="shared" si="475"/>
        <v/>
      </c>
    </row>
    <row r="27248" spans="8:8" x14ac:dyDescent="0.3">
      <c r="H27248" t="str">
        <f t="shared" si="475"/>
        <v/>
      </c>
    </row>
    <row r="27249" spans="8:8" x14ac:dyDescent="0.3">
      <c r="H27249" t="str">
        <f t="shared" si="475"/>
        <v/>
      </c>
    </row>
    <row r="27250" spans="8:8" x14ac:dyDescent="0.3">
      <c r="H27250" t="str">
        <f t="shared" si="475"/>
        <v/>
      </c>
    </row>
    <row r="27251" spans="8:8" x14ac:dyDescent="0.3">
      <c r="H27251" t="str">
        <f t="shared" si="475"/>
        <v/>
      </c>
    </row>
    <row r="27252" spans="8:8" x14ac:dyDescent="0.3">
      <c r="H27252" t="str">
        <f t="shared" si="475"/>
        <v/>
      </c>
    </row>
    <row r="27253" spans="8:8" x14ac:dyDescent="0.3">
      <c r="H27253" t="str">
        <f t="shared" si="475"/>
        <v/>
      </c>
    </row>
    <row r="27254" spans="8:8" x14ac:dyDescent="0.3">
      <c r="H27254" t="str">
        <f t="shared" si="475"/>
        <v/>
      </c>
    </row>
    <row r="27255" spans="8:8" x14ac:dyDescent="0.3">
      <c r="H27255" t="str">
        <f t="shared" si="475"/>
        <v/>
      </c>
    </row>
    <row r="27256" spans="8:8" x14ac:dyDescent="0.3">
      <c r="H27256" t="str">
        <f t="shared" si="475"/>
        <v/>
      </c>
    </row>
    <row r="27257" spans="8:8" x14ac:dyDescent="0.3">
      <c r="H27257" t="str">
        <f t="shared" si="475"/>
        <v/>
      </c>
    </row>
    <row r="27258" spans="8:8" x14ac:dyDescent="0.3">
      <c r="H27258" t="str">
        <f t="shared" si="475"/>
        <v/>
      </c>
    </row>
    <row r="27259" spans="8:8" x14ac:dyDescent="0.3">
      <c r="H27259" t="str">
        <f t="shared" si="475"/>
        <v/>
      </c>
    </row>
    <row r="27260" spans="8:8" x14ac:dyDescent="0.3">
      <c r="H27260" t="str">
        <f t="shared" si="475"/>
        <v/>
      </c>
    </row>
    <row r="27261" spans="8:8" x14ac:dyDescent="0.3">
      <c r="H27261" t="str">
        <f t="shared" si="475"/>
        <v/>
      </c>
    </row>
    <row r="27262" spans="8:8" x14ac:dyDescent="0.3">
      <c r="H27262" t="str">
        <f t="shared" si="475"/>
        <v/>
      </c>
    </row>
    <row r="27263" spans="8:8" x14ac:dyDescent="0.3">
      <c r="H27263" t="str">
        <f t="shared" si="475"/>
        <v/>
      </c>
    </row>
    <row r="27264" spans="8:8" x14ac:dyDescent="0.3">
      <c r="H27264" t="str">
        <f t="shared" si="475"/>
        <v/>
      </c>
    </row>
    <row r="27265" spans="8:8" x14ac:dyDescent="0.3">
      <c r="H27265" t="str">
        <f t="shared" si="475"/>
        <v/>
      </c>
    </row>
    <row r="27266" spans="8:8" x14ac:dyDescent="0.3">
      <c r="H27266" t="str">
        <f t="shared" si="475"/>
        <v/>
      </c>
    </row>
    <row r="27267" spans="8:8" x14ac:dyDescent="0.3">
      <c r="H27267" t="str">
        <f t="shared" si="475"/>
        <v/>
      </c>
    </row>
    <row r="27268" spans="8:8" x14ac:dyDescent="0.3">
      <c r="H27268" t="str">
        <f t="shared" si="475"/>
        <v/>
      </c>
    </row>
    <row r="27269" spans="8:8" x14ac:dyDescent="0.3">
      <c r="H27269" t="str">
        <f t="shared" si="475"/>
        <v/>
      </c>
    </row>
    <row r="27270" spans="8:8" x14ac:dyDescent="0.3">
      <c r="H27270" t="str">
        <f t="shared" si="475"/>
        <v/>
      </c>
    </row>
    <row r="27271" spans="8:8" x14ac:dyDescent="0.3">
      <c r="H27271" t="str">
        <f t="shared" si="475"/>
        <v/>
      </c>
    </row>
    <row r="27272" spans="8:8" x14ac:dyDescent="0.3">
      <c r="H27272" t="str">
        <f t="shared" si="475"/>
        <v/>
      </c>
    </row>
    <row r="27273" spans="8:8" x14ac:dyDescent="0.3">
      <c r="H27273" t="str">
        <f t="shared" si="475"/>
        <v/>
      </c>
    </row>
    <row r="27274" spans="8:8" x14ac:dyDescent="0.3">
      <c r="H27274" t="str">
        <f t="shared" si="475"/>
        <v/>
      </c>
    </row>
    <row r="27275" spans="8:8" x14ac:dyDescent="0.3">
      <c r="H27275" t="str">
        <f t="shared" si="475"/>
        <v/>
      </c>
    </row>
    <row r="27276" spans="8:8" x14ac:dyDescent="0.3">
      <c r="H27276" t="str">
        <f t="shared" si="475"/>
        <v/>
      </c>
    </row>
    <row r="27277" spans="8:8" x14ac:dyDescent="0.3">
      <c r="H27277" t="str">
        <f t="shared" si="475"/>
        <v/>
      </c>
    </row>
    <row r="27278" spans="8:8" x14ac:dyDescent="0.3">
      <c r="H27278" t="str">
        <f t="shared" si="475"/>
        <v/>
      </c>
    </row>
    <row r="27279" spans="8:8" x14ac:dyDescent="0.3">
      <c r="H27279" t="str">
        <f t="shared" si="475"/>
        <v/>
      </c>
    </row>
    <row r="27280" spans="8:8" x14ac:dyDescent="0.3">
      <c r="H27280" t="str">
        <f t="shared" si="475"/>
        <v/>
      </c>
    </row>
    <row r="27281" spans="8:8" x14ac:dyDescent="0.3">
      <c r="H27281" t="str">
        <f t="shared" si="475"/>
        <v/>
      </c>
    </row>
    <row r="27282" spans="8:8" x14ac:dyDescent="0.3">
      <c r="H27282" t="str">
        <f t="shared" si="475"/>
        <v/>
      </c>
    </row>
    <row r="27283" spans="8:8" x14ac:dyDescent="0.3">
      <c r="H27283" t="str">
        <f t="shared" si="475"/>
        <v/>
      </c>
    </row>
    <row r="27284" spans="8:8" x14ac:dyDescent="0.3">
      <c r="H27284" t="str">
        <f t="shared" si="475"/>
        <v/>
      </c>
    </row>
    <row r="27285" spans="8:8" x14ac:dyDescent="0.3">
      <c r="H27285" t="str">
        <f t="shared" si="475"/>
        <v/>
      </c>
    </row>
    <row r="27286" spans="8:8" x14ac:dyDescent="0.3">
      <c r="H27286" t="str">
        <f t="shared" si="475"/>
        <v/>
      </c>
    </row>
    <row r="27287" spans="8:8" x14ac:dyDescent="0.3">
      <c r="H27287" t="str">
        <f t="shared" ref="H27287:H27350" si="476">IF(B27287="","",$C$12)</f>
        <v/>
      </c>
    </row>
    <row r="27288" spans="8:8" x14ac:dyDescent="0.3">
      <c r="H27288" t="str">
        <f t="shared" si="476"/>
        <v/>
      </c>
    </row>
    <row r="27289" spans="8:8" x14ac:dyDescent="0.3">
      <c r="H27289" t="str">
        <f t="shared" si="476"/>
        <v/>
      </c>
    </row>
    <row r="27290" spans="8:8" x14ac:dyDescent="0.3">
      <c r="H27290" t="str">
        <f t="shared" si="476"/>
        <v/>
      </c>
    </row>
    <row r="27291" spans="8:8" x14ac:dyDescent="0.3">
      <c r="H27291" t="str">
        <f t="shared" si="476"/>
        <v/>
      </c>
    </row>
    <row r="27292" spans="8:8" x14ac:dyDescent="0.3">
      <c r="H27292" t="str">
        <f t="shared" si="476"/>
        <v/>
      </c>
    </row>
    <row r="27293" spans="8:8" x14ac:dyDescent="0.3">
      <c r="H27293" t="str">
        <f t="shared" si="476"/>
        <v/>
      </c>
    </row>
    <row r="27294" spans="8:8" x14ac:dyDescent="0.3">
      <c r="H27294" t="str">
        <f t="shared" si="476"/>
        <v/>
      </c>
    </row>
    <row r="27295" spans="8:8" x14ac:dyDescent="0.3">
      <c r="H27295" t="str">
        <f t="shared" si="476"/>
        <v/>
      </c>
    </row>
    <row r="27296" spans="8:8" x14ac:dyDescent="0.3">
      <c r="H27296" t="str">
        <f t="shared" si="476"/>
        <v/>
      </c>
    </row>
    <row r="27297" spans="8:8" x14ac:dyDescent="0.3">
      <c r="H27297" t="str">
        <f t="shared" si="476"/>
        <v/>
      </c>
    </row>
    <row r="27298" spans="8:8" x14ac:dyDescent="0.3">
      <c r="H27298" t="str">
        <f t="shared" si="476"/>
        <v/>
      </c>
    </row>
    <row r="27299" spans="8:8" x14ac:dyDescent="0.3">
      <c r="H27299" t="str">
        <f t="shared" si="476"/>
        <v/>
      </c>
    </row>
    <row r="27300" spans="8:8" x14ac:dyDescent="0.3">
      <c r="H27300" t="str">
        <f t="shared" si="476"/>
        <v/>
      </c>
    </row>
    <row r="27301" spans="8:8" x14ac:dyDescent="0.3">
      <c r="H27301" t="str">
        <f t="shared" si="476"/>
        <v/>
      </c>
    </row>
    <row r="27302" spans="8:8" x14ac:dyDescent="0.3">
      <c r="H27302" t="str">
        <f t="shared" si="476"/>
        <v/>
      </c>
    </row>
    <row r="27303" spans="8:8" x14ac:dyDescent="0.3">
      <c r="H27303" t="str">
        <f t="shared" si="476"/>
        <v/>
      </c>
    </row>
    <row r="27304" spans="8:8" x14ac:dyDescent="0.3">
      <c r="H27304" t="str">
        <f t="shared" si="476"/>
        <v/>
      </c>
    </row>
    <row r="27305" spans="8:8" x14ac:dyDescent="0.3">
      <c r="H27305" t="str">
        <f t="shared" si="476"/>
        <v/>
      </c>
    </row>
    <row r="27306" spans="8:8" x14ac:dyDescent="0.3">
      <c r="H27306" t="str">
        <f t="shared" si="476"/>
        <v/>
      </c>
    </row>
    <row r="27307" spans="8:8" x14ac:dyDescent="0.3">
      <c r="H27307" t="str">
        <f t="shared" si="476"/>
        <v/>
      </c>
    </row>
    <row r="27308" spans="8:8" x14ac:dyDescent="0.3">
      <c r="H27308" t="str">
        <f t="shared" si="476"/>
        <v/>
      </c>
    </row>
    <row r="27309" spans="8:8" x14ac:dyDescent="0.3">
      <c r="H27309" t="str">
        <f t="shared" si="476"/>
        <v/>
      </c>
    </row>
    <row r="27310" spans="8:8" x14ac:dyDescent="0.3">
      <c r="H27310" t="str">
        <f t="shared" si="476"/>
        <v/>
      </c>
    </row>
    <row r="27311" spans="8:8" x14ac:dyDescent="0.3">
      <c r="H27311" t="str">
        <f t="shared" si="476"/>
        <v/>
      </c>
    </row>
    <row r="27312" spans="8:8" x14ac:dyDescent="0.3">
      <c r="H27312" t="str">
        <f t="shared" si="476"/>
        <v/>
      </c>
    </row>
    <row r="27313" spans="8:8" x14ac:dyDescent="0.3">
      <c r="H27313" t="str">
        <f t="shared" si="476"/>
        <v/>
      </c>
    </row>
    <row r="27314" spans="8:8" x14ac:dyDescent="0.3">
      <c r="H27314" t="str">
        <f t="shared" si="476"/>
        <v/>
      </c>
    </row>
    <row r="27315" spans="8:8" x14ac:dyDescent="0.3">
      <c r="H27315" t="str">
        <f t="shared" si="476"/>
        <v/>
      </c>
    </row>
    <row r="27316" spans="8:8" x14ac:dyDescent="0.3">
      <c r="H27316" t="str">
        <f t="shared" si="476"/>
        <v/>
      </c>
    </row>
    <row r="27317" spans="8:8" x14ac:dyDescent="0.3">
      <c r="H27317" t="str">
        <f t="shared" si="476"/>
        <v/>
      </c>
    </row>
    <row r="27318" spans="8:8" x14ac:dyDescent="0.3">
      <c r="H27318" t="str">
        <f t="shared" si="476"/>
        <v/>
      </c>
    </row>
    <row r="27319" spans="8:8" x14ac:dyDescent="0.3">
      <c r="H27319" t="str">
        <f t="shared" si="476"/>
        <v/>
      </c>
    </row>
    <row r="27320" spans="8:8" x14ac:dyDescent="0.3">
      <c r="H27320" t="str">
        <f t="shared" si="476"/>
        <v/>
      </c>
    </row>
    <row r="27321" spans="8:8" x14ac:dyDescent="0.3">
      <c r="H27321" t="str">
        <f t="shared" si="476"/>
        <v/>
      </c>
    </row>
    <row r="27322" spans="8:8" x14ac:dyDescent="0.3">
      <c r="H27322" t="str">
        <f t="shared" si="476"/>
        <v/>
      </c>
    </row>
    <row r="27323" spans="8:8" x14ac:dyDescent="0.3">
      <c r="H27323" t="str">
        <f t="shared" si="476"/>
        <v/>
      </c>
    </row>
    <row r="27324" spans="8:8" x14ac:dyDescent="0.3">
      <c r="H27324" t="str">
        <f t="shared" si="476"/>
        <v/>
      </c>
    </row>
    <row r="27325" spans="8:8" x14ac:dyDescent="0.3">
      <c r="H27325" t="str">
        <f t="shared" si="476"/>
        <v/>
      </c>
    </row>
    <row r="27326" spans="8:8" x14ac:dyDescent="0.3">
      <c r="H27326" t="str">
        <f t="shared" si="476"/>
        <v/>
      </c>
    </row>
    <row r="27327" spans="8:8" x14ac:dyDescent="0.3">
      <c r="H27327" t="str">
        <f t="shared" si="476"/>
        <v/>
      </c>
    </row>
    <row r="27328" spans="8:8" x14ac:dyDescent="0.3">
      <c r="H27328" t="str">
        <f t="shared" si="476"/>
        <v/>
      </c>
    </row>
    <row r="27329" spans="8:8" x14ac:dyDescent="0.3">
      <c r="H27329" t="str">
        <f t="shared" si="476"/>
        <v/>
      </c>
    </row>
    <row r="27330" spans="8:8" x14ac:dyDescent="0.3">
      <c r="H27330" t="str">
        <f t="shared" si="476"/>
        <v/>
      </c>
    </row>
    <row r="27331" spans="8:8" x14ac:dyDescent="0.3">
      <c r="H27331" t="str">
        <f t="shared" si="476"/>
        <v/>
      </c>
    </row>
    <row r="27332" spans="8:8" x14ac:dyDescent="0.3">
      <c r="H27332" t="str">
        <f t="shared" si="476"/>
        <v/>
      </c>
    </row>
    <row r="27333" spans="8:8" x14ac:dyDescent="0.3">
      <c r="H27333" t="str">
        <f t="shared" si="476"/>
        <v/>
      </c>
    </row>
    <row r="27334" spans="8:8" x14ac:dyDescent="0.3">
      <c r="H27334" t="str">
        <f t="shared" si="476"/>
        <v/>
      </c>
    </row>
    <row r="27335" spans="8:8" x14ac:dyDescent="0.3">
      <c r="H27335" t="str">
        <f t="shared" si="476"/>
        <v/>
      </c>
    </row>
    <row r="27336" spans="8:8" x14ac:dyDescent="0.3">
      <c r="H27336" t="str">
        <f t="shared" si="476"/>
        <v/>
      </c>
    </row>
    <row r="27337" spans="8:8" x14ac:dyDescent="0.3">
      <c r="H27337" t="str">
        <f t="shared" si="476"/>
        <v/>
      </c>
    </row>
    <row r="27338" spans="8:8" x14ac:dyDescent="0.3">
      <c r="H27338" t="str">
        <f t="shared" si="476"/>
        <v/>
      </c>
    </row>
    <row r="27339" spans="8:8" x14ac:dyDescent="0.3">
      <c r="H27339" t="str">
        <f t="shared" si="476"/>
        <v/>
      </c>
    </row>
    <row r="27340" spans="8:8" x14ac:dyDescent="0.3">
      <c r="H27340" t="str">
        <f t="shared" si="476"/>
        <v/>
      </c>
    </row>
    <row r="27341" spans="8:8" x14ac:dyDescent="0.3">
      <c r="H27341" t="str">
        <f t="shared" si="476"/>
        <v/>
      </c>
    </row>
    <row r="27342" spans="8:8" x14ac:dyDescent="0.3">
      <c r="H27342" t="str">
        <f t="shared" si="476"/>
        <v/>
      </c>
    </row>
    <row r="27343" spans="8:8" x14ac:dyDescent="0.3">
      <c r="H27343" t="str">
        <f t="shared" si="476"/>
        <v/>
      </c>
    </row>
    <row r="27344" spans="8:8" x14ac:dyDescent="0.3">
      <c r="H27344" t="str">
        <f t="shared" si="476"/>
        <v/>
      </c>
    </row>
    <row r="27345" spans="8:8" x14ac:dyDescent="0.3">
      <c r="H27345" t="str">
        <f t="shared" si="476"/>
        <v/>
      </c>
    </row>
    <row r="27346" spans="8:8" x14ac:dyDescent="0.3">
      <c r="H27346" t="str">
        <f t="shared" si="476"/>
        <v/>
      </c>
    </row>
    <row r="27347" spans="8:8" x14ac:dyDescent="0.3">
      <c r="H27347" t="str">
        <f t="shared" si="476"/>
        <v/>
      </c>
    </row>
    <row r="27348" spans="8:8" x14ac:dyDescent="0.3">
      <c r="H27348" t="str">
        <f t="shared" si="476"/>
        <v/>
      </c>
    </row>
    <row r="27349" spans="8:8" x14ac:dyDescent="0.3">
      <c r="H27349" t="str">
        <f t="shared" si="476"/>
        <v/>
      </c>
    </row>
    <row r="27350" spans="8:8" x14ac:dyDescent="0.3">
      <c r="H27350" t="str">
        <f t="shared" si="476"/>
        <v/>
      </c>
    </row>
    <row r="27351" spans="8:8" x14ac:dyDescent="0.3">
      <c r="H27351" t="str">
        <f t="shared" ref="H27351:H27414" si="477">IF(B27351="","",$C$12)</f>
        <v/>
      </c>
    </row>
    <row r="27352" spans="8:8" x14ac:dyDescent="0.3">
      <c r="H27352" t="str">
        <f t="shared" si="477"/>
        <v/>
      </c>
    </row>
    <row r="27353" spans="8:8" x14ac:dyDescent="0.3">
      <c r="H27353" t="str">
        <f t="shared" si="477"/>
        <v/>
      </c>
    </row>
    <row r="27354" spans="8:8" x14ac:dyDescent="0.3">
      <c r="H27354" t="str">
        <f t="shared" si="477"/>
        <v/>
      </c>
    </row>
    <row r="27355" spans="8:8" x14ac:dyDescent="0.3">
      <c r="H27355" t="str">
        <f t="shared" si="477"/>
        <v/>
      </c>
    </row>
    <row r="27356" spans="8:8" x14ac:dyDescent="0.3">
      <c r="H27356" t="str">
        <f t="shared" si="477"/>
        <v/>
      </c>
    </row>
    <row r="27357" spans="8:8" x14ac:dyDescent="0.3">
      <c r="H27357" t="str">
        <f t="shared" si="477"/>
        <v/>
      </c>
    </row>
    <row r="27358" spans="8:8" x14ac:dyDescent="0.3">
      <c r="H27358" t="str">
        <f t="shared" si="477"/>
        <v/>
      </c>
    </row>
    <row r="27359" spans="8:8" x14ac:dyDescent="0.3">
      <c r="H27359" t="str">
        <f t="shared" si="477"/>
        <v/>
      </c>
    </row>
    <row r="27360" spans="8:8" x14ac:dyDescent="0.3">
      <c r="H27360" t="str">
        <f t="shared" si="477"/>
        <v/>
      </c>
    </row>
    <row r="27361" spans="8:8" x14ac:dyDescent="0.3">
      <c r="H27361" t="str">
        <f t="shared" si="477"/>
        <v/>
      </c>
    </row>
    <row r="27362" spans="8:8" x14ac:dyDescent="0.3">
      <c r="H27362" t="str">
        <f t="shared" si="477"/>
        <v/>
      </c>
    </row>
    <row r="27363" spans="8:8" x14ac:dyDescent="0.3">
      <c r="H27363" t="str">
        <f t="shared" si="477"/>
        <v/>
      </c>
    </row>
    <row r="27364" spans="8:8" x14ac:dyDescent="0.3">
      <c r="H27364" t="str">
        <f t="shared" si="477"/>
        <v/>
      </c>
    </row>
    <row r="27365" spans="8:8" x14ac:dyDescent="0.3">
      <c r="H27365" t="str">
        <f t="shared" si="477"/>
        <v/>
      </c>
    </row>
    <row r="27366" spans="8:8" x14ac:dyDescent="0.3">
      <c r="H27366" t="str">
        <f t="shared" si="477"/>
        <v/>
      </c>
    </row>
    <row r="27367" spans="8:8" x14ac:dyDescent="0.3">
      <c r="H27367" t="str">
        <f t="shared" si="477"/>
        <v/>
      </c>
    </row>
    <row r="27368" spans="8:8" x14ac:dyDescent="0.3">
      <c r="H27368" t="str">
        <f t="shared" si="477"/>
        <v/>
      </c>
    </row>
    <row r="27369" spans="8:8" x14ac:dyDescent="0.3">
      <c r="H27369" t="str">
        <f t="shared" si="477"/>
        <v/>
      </c>
    </row>
    <row r="27370" spans="8:8" x14ac:dyDescent="0.3">
      <c r="H27370" t="str">
        <f t="shared" si="477"/>
        <v/>
      </c>
    </row>
    <row r="27371" spans="8:8" x14ac:dyDescent="0.3">
      <c r="H27371" t="str">
        <f t="shared" si="477"/>
        <v/>
      </c>
    </row>
    <row r="27372" spans="8:8" x14ac:dyDescent="0.3">
      <c r="H27372" t="str">
        <f t="shared" si="477"/>
        <v/>
      </c>
    </row>
    <row r="27373" spans="8:8" x14ac:dyDescent="0.3">
      <c r="H27373" t="str">
        <f t="shared" si="477"/>
        <v/>
      </c>
    </row>
    <row r="27374" spans="8:8" x14ac:dyDescent="0.3">
      <c r="H27374" t="str">
        <f t="shared" si="477"/>
        <v/>
      </c>
    </row>
    <row r="27375" spans="8:8" x14ac:dyDescent="0.3">
      <c r="H27375" t="str">
        <f t="shared" si="477"/>
        <v/>
      </c>
    </row>
    <row r="27376" spans="8:8" x14ac:dyDescent="0.3">
      <c r="H27376" t="str">
        <f t="shared" si="477"/>
        <v/>
      </c>
    </row>
    <row r="27377" spans="8:8" x14ac:dyDescent="0.3">
      <c r="H27377" t="str">
        <f t="shared" si="477"/>
        <v/>
      </c>
    </row>
    <row r="27378" spans="8:8" x14ac:dyDescent="0.3">
      <c r="H27378" t="str">
        <f t="shared" si="477"/>
        <v/>
      </c>
    </row>
    <row r="27379" spans="8:8" x14ac:dyDescent="0.3">
      <c r="H27379" t="str">
        <f t="shared" si="477"/>
        <v/>
      </c>
    </row>
    <row r="27380" spans="8:8" x14ac:dyDescent="0.3">
      <c r="H27380" t="str">
        <f t="shared" si="477"/>
        <v/>
      </c>
    </row>
    <row r="27381" spans="8:8" x14ac:dyDescent="0.3">
      <c r="H27381" t="str">
        <f t="shared" si="477"/>
        <v/>
      </c>
    </row>
    <row r="27382" spans="8:8" x14ac:dyDescent="0.3">
      <c r="H27382" t="str">
        <f t="shared" si="477"/>
        <v/>
      </c>
    </row>
    <row r="27383" spans="8:8" x14ac:dyDescent="0.3">
      <c r="H27383" t="str">
        <f t="shared" si="477"/>
        <v/>
      </c>
    </row>
    <row r="27384" spans="8:8" x14ac:dyDescent="0.3">
      <c r="H27384" t="str">
        <f t="shared" si="477"/>
        <v/>
      </c>
    </row>
    <row r="27385" spans="8:8" x14ac:dyDescent="0.3">
      <c r="H27385" t="str">
        <f t="shared" si="477"/>
        <v/>
      </c>
    </row>
    <row r="27386" spans="8:8" x14ac:dyDescent="0.3">
      <c r="H27386" t="str">
        <f t="shared" si="477"/>
        <v/>
      </c>
    </row>
    <row r="27387" spans="8:8" x14ac:dyDescent="0.3">
      <c r="H27387" t="str">
        <f t="shared" si="477"/>
        <v/>
      </c>
    </row>
    <row r="27388" spans="8:8" x14ac:dyDescent="0.3">
      <c r="H27388" t="str">
        <f t="shared" si="477"/>
        <v/>
      </c>
    </row>
    <row r="27389" spans="8:8" x14ac:dyDescent="0.3">
      <c r="H27389" t="str">
        <f t="shared" si="477"/>
        <v/>
      </c>
    </row>
    <row r="27390" spans="8:8" x14ac:dyDescent="0.3">
      <c r="H27390" t="str">
        <f t="shared" si="477"/>
        <v/>
      </c>
    </row>
    <row r="27391" spans="8:8" x14ac:dyDescent="0.3">
      <c r="H27391" t="str">
        <f t="shared" si="477"/>
        <v/>
      </c>
    </row>
    <row r="27392" spans="8:8" x14ac:dyDescent="0.3">
      <c r="H27392" t="str">
        <f t="shared" si="477"/>
        <v/>
      </c>
    </row>
    <row r="27393" spans="8:8" x14ac:dyDescent="0.3">
      <c r="H27393" t="str">
        <f t="shared" si="477"/>
        <v/>
      </c>
    </row>
    <row r="27394" spans="8:8" x14ac:dyDescent="0.3">
      <c r="H27394" t="str">
        <f t="shared" si="477"/>
        <v/>
      </c>
    </row>
    <row r="27395" spans="8:8" x14ac:dyDescent="0.3">
      <c r="H27395" t="str">
        <f t="shared" si="477"/>
        <v/>
      </c>
    </row>
    <row r="27396" spans="8:8" x14ac:dyDescent="0.3">
      <c r="H27396" t="str">
        <f t="shared" si="477"/>
        <v/>
      </c>
    </row>
    <row r="27397" spans="8:8" x14ac:dyDescent="0.3">
      <c r="H27397" t="str">
        <f t="shared" si="477"/>
        <v/>
      </c>
    </row>
    <row r="27398" spans="8:8" x14ac:dyDescent="0.3">
      <c r="H27398" t="str">
        <f t="shared" si="477"/>
        <v/>
      </c>
    </row>
    <row r="27399" spans="8:8" x14ac:dyDescent="0.3">
      <c r="H27399" t="str">
        <f t="shared" si="477"/>
        <v/>
      </c>
    </row>
    <row r="27400" spans="8:8" x14ac:dyDescent="0.3">
      <c r="H27400" t="str">
        <f t="shared" si="477"/>
        <v/>
      </c>
    </row>
    <row r="27401" spans="8:8" x14ac:dyDescent="0.3">
      <c r="H27401" t="str">
        <f t="shared" si="477"/>
        <v/>
      </c>
    </row>
    <row r="27402" spans="8:8" x14ac:dyDescent="0.3">
      <c r="H27402" t="str">
        <f t="shared" si="477"/>
        <v/>
      </c>
    </row>
    <row r="27403" spans="8:8" x14ac:dyDescent="0.3">
      <c r="H27403" t="str">
        <f t="shared" si="477"/>
        <v/>
      </c>
    </row>
    <row r="27404" spans="8:8" x14ac:dyDescent="0.3">
      <c r="H27404" t="str">
        <f t="shared" si="477"/>
        <v/>
      </c>
    </row>
    <row r="27405" spans="8:8" x14ac:dyDescent="0.3">
      <c r="H27405" t="str">
        <f t="shared" si="477"/>
        <v/>
      </c>
    </row>
    <row r="27406" spans="8:8" x14ac:dyDescent="0.3">
      <c r="H27406" t="str">
        <f t="shared" si="477"/>
        <v/>
      </c>
    </row>
    <row r="27407" spans="8:8" x14ac:dyDescent="0.3">
      <c r="H27407" t="str">
        <f t="shared" si="477"/>
        <v/>
      </c>
    </row>
    <row r="27408" spans="8:8" x14ac:dyDescent="0.3">
      <c r="H27408" t="str">
        <f t="shared" si="477"/>
        <v/>
      </c>
    </row>
    <row r="27409" spans="8:8" x14ac:dyDescent="0.3">
      <c r="H27409" t="str">
        <f t="shared" si="477"/>
        <v/>
      </c>
    </row>
    <row r="27410" spans="8:8" x14ac:dyDescent="0.3">
      <c r="H27410" t="str">
        <f t="shared" si="477"/>
        <v/>
      </c>
    </row>
    <row r="27411" spans="8:8" x14ac:dyDescent="0.3">
      <c r="H27411" t="str">
        <f t="shared" si="477"/>
        <v/>
      </c>
    </row>
    <row r="27412" spans="8:8" x14ac:dyDescent="0.3">
      <c r="H27412" t="str">
        <f t="shared" si="477"/>
        <v/>
      </c>
    </row>
    <row r="27413" spans="8:8" x14ac:dyDescent="0.3">
      <c r="H27413" t="str">
        <f t="shared" si="477"/>
        <v/>
      </c>
    </row>
    <row r="27414" spans="8:8" x14ac:dyDescent="0.3">
      <c r="H27414" t="str">
        <f t="shared" si="477"/>
        <v/>
      </c>
    </row>
    <row r="27415" spans="8:8" x14ac:dyDescent="0.3">
      <c r="H27415" t="str">
        <f t="shared" ref="H27415:H27478" si="478">IF(B27415="","",$C$12)</f>
        <v/>
      </c>
    </row>
    <row r="27416" spans="8:8" x14ac:dyDescent="0.3">
      <c r="H27416" t="str">
        <f t="shared" si="478"/>
        <v/>
      </c>
    </row>
    <row r="27417" spans="8:8" x14ac:dyDescent="0.3">
      <c r="H27417" t="str">
        <f t="shared" si="478"/>
        <v/>
      </c>
    </row>
    <row r="27418" spans="8:8" x14ac:dyDescent="0.3">
      <c r="H27418" t="str">
        <f t="shared" si="478"/>
        <v/>
      </c>
    </row>
    <row r="27419" spans="8:8" x14ac:dyDescent="0.3">
      <c r="H27419" t="str">
        <f t="shared" si="478"/>
        <v/>
      </c>
    </row>
    <row r="27420" spans="8:8" x14ac:dyDescent="0.3">
      <c r="H27420" t="str">
        <f t="shared" si="478"/>
        <v/>
      </c>
    </row>
    <row r="27421" spans="8:8" x14ac:dyDescent="0.3">
      <c r="H27421" t="str">
        <f t="shared" si="478"/>
        <v/>
      </c>
    </row>
    <row r="27422" spans="8:8" x14ac:dyDescent="0.3">
      <c r="H27422" t="str">
        <f t="shared" si="478"/>
        <v/>
      </c>
    </row>
    <row r="27423" spans="8:8" x14ac:dyDescent="0.3">
      <c r="H27423" t="str">
        <f t="shared" si="478"/>
        <v/>
      </c>
    </row>
    <row r="27424" spans="8:8" x14ac:dyDescent="0.3">
      <c r="H27424" t="str">
        <f t="shared" si="478"/>
        <v/>
      </c>
    </row>
    <row r="27425" spans="8:8" x14ac:dyDescent="0.3">
      <c r="H27425" t="str">
        <f t="shared" si="478"/>
        <v/>
      </c>
    </row>
    <row r="27426" spans="8:8" x14ac:dyDescent="0.3">
      <c r="H27426" t="str">
        <f t="shared" si="478"/>
        <v/>
      </c>
    </row>
    <row r="27427" spans="8:8" x14ac:dyDescent="0.3">
      <c r="H27427" t="str">
        <f t="shared" si="478"/>
        <v/>
      </c>
    </row>
    <row r="27428" spans="8:8" x14ac:dyDescent="0.3">
      <c r="H27428" t="str">
        <f t="shared" si="478"/>
        <v/>
      </c>
    </row>
    <row r="27429" spans="8:8" x14ac:dyDescent="0.3">
      <c r="H27429" t="str">
        <f t="shared" si="478"/>
        <v/>
      </c>
    </row>
    <row r="27430" spans="8:8" x14ac:dyDescent="0.3">
      <c r="H27430" t="str">
        <f t="shared" si="478"/>
        <v/>
      </c>
    </row>
    <row r="27431" spans="8:8" x14ac:dyDescent="0.3">
      <c r="H27431" t="str">
        <f t="shared" si="478"/>
        <v/>
      </c>
    </row>
    <row r="27432" spans="8:8" x14ac:dyDescent="0.3">
      <c r="H27432" t="str">
        <f t="shared" si="478"/>
        <v/>
      </c>
    </row>
    <row r="27433" spans="8:8" x14ac:dyDescent="0.3">
      <c r="H27433" t="str">
        <f t="shared" si="478"/>
        <v/>
      </c>
    </row>
    <row r="27434" spans="8:8" x14ac:dyDescent="0.3">
      <c r="H27434" t="str">
        <f t="shared" si="478"/>
        <v/>
      </c>
    </row>
    <row r="27435" spans="8:8" x14ac:dyDescent="0.3">
      <c r="H27435" t="str">
        <f t="shared" si="478"/>
        <v/>
      </c>
    </row>
    <row r="27436" spans="8:8" x14ac:dyDescent="0.3">
      <c r="H27436" t="str">
        <f t="shared" si="478"/>
        <v/>
      </c>
    </row>
    <row r="27437" spans="8:8" x14ac:dyDescent="0.3">
      <c r="H27437" t="str">
        <f t="shared" si="478"/>
        <v/>
      </c>
    </row>
    <row r="27438" spans="8:8" x14ac:dyDescent="0.3">
      <c r="H27438" t="str">
        <f t="shared" si="478"/>
        <v/>
      </c>
    </row>
    <row r="27439" spans="8:8" x14ac:dyDescent="0.3">
      <c r="H27439" t="str">
        <f t="shared" si="478"/>
        <v/>
      </c>
    </row>
    <row r="27440" spans="8:8" x14ac:dyDescent="0.3">
      <c r="H27440" t="str">
        <f t="shared" si="478"/>
        <v/>
      </c>
    </row>
    <row r="27441" spans="8:8" x14ac:dyDescent="0.3">
      <c r="H27441" t="str">
        <f t="shared" si="478"/>
        <v/>
      </c>
    </row>
    <row r="27442" spans="8:8" x14ac:dyDescent="0.3">
      <c r="H27442" t="str">
        <f t="shared" si="478"/>
        <v/>
      </c>
    </row>
    <row r="27443" spans="8:8" x14ac:dyDescent="0.3">
      <c r="H27443" t="str">
        <f t="shared" si="478"/>
        <v/>
      </c>
    </row>
    <row r="27444" spans="8:8" x14ac:dyDescent="0.3">
      <c r="H27444" t="str">
        <f t="shared" si="478"/>
        <v/>
      </c>
    </row>
    <row r="27445" spans="8:8" x14ac:dyDescent="0.3">
      <c r="H27445" t="str">
        <f t="shared" si="478"/>
        <v/>
      </c>
    </row>
    <row r="27446" spans="8:8" x14ac:dyDescent="0.3">
      <c r="H27446" t="str">
        <f t="shared" si="478"/>
        <v/>
      </c>
    </row>
    <row r="27447" spans="8:8" x14ac:dyDescent="0.3">
      <c r="H27447" t="str">
        <f t="shared" si="478"/>
        <v/>
      </c>
    </row>
    <row r="27448" spans="8:8" x14ac:dyDescent="0.3">
      <c r="H27448" t="str">
        <f t="shared" si="478"/>
        <v/>
      </c>
    </row>
    <row r="27449" spans="8:8" x14ac:dyDescent="0.3">
      <c r="H27449" t="str">
        <f t="shared" si="478"/>
        <v/>
      </c>
    </row>
    <row r="27450" spans="8:8" x14ac:dyDescent="0.3">
      <c r="H27450" t="str">
        <f t="shared" si="478"/>
        <v/>
      </c>
    </row>
    <row r="27451" spans="8:8" x14ac:dyDescent="0.3">
      <c r="H27451" t="str">
        <f t="shared" si="478"/>
        <v/>
      </c>
    </row>
    <row r="27452" spans="8:8" x14ac:dyDescent="0.3">
      <c r="H27452" t="str">
        <f t="shared" si="478"/>
        <v/>
      </c>
    </row>
    <row r="27453" spans="8:8" x14ac:dyDescent="0.3">
      <c r="H27453" t="str">
        <f t="shared" si="478"/>
        <v/>
      </c>
    </row>
    <row r="27454" spans="8:8" x14ac:dyDescent="0.3">
      <c r="H27454" t="str">
        <f t="shared" si="478"/>
        <v/>
      </c>
    </row>
    <row r="27455" spans="8:8" x14ac:dyDescent="0.3">
      <c r="H27455" t="str">
        <f t="shared" si="478"/>
        <v/>
      </c>
    </row>
    <row r="27456" spans="8:8" x14ac:dyDescent="0.3">
      <c r="H27456" t="str">
        <f t="shared" si="478"/>
        <v/>
      </c>
    </row>
    <row r="27457" spans="8:8" x14ac:dyDescent="0.3">
      <c r="H27457" t="str">
        <f t="shared" si="478"/>
        <v/>
      </c>
    </row>
    <row r="27458" spans="8:8" x14ac:dyDescent="0.3">
      <c r="H27458" t="str">
        <f t="shared" si="478"/>
        <v/>
      </c>
    </row>
    <row r="27459" spans="8:8" x14ac:dyDescent="0.3">
      <c r="H27459" t="str">
        <f t="shared" si="478"/>
        <v/>
      </c>
    </row>
    <row r="27460" spans="8:8" x14ac:dyDescent="0.3">
      <c r="H27460" t="str">
        <f t="shared" si="478"/>
        <v/>
      </c>
    </row>
    <row r="27461" spans="8:8" x14ac:dyDescent="0.3">
      <c r="H27461" t="str">
        <f t="shared" si="478"/>
        <v/>
      </c>
    </row>
    <row r="27462" spans="8:8" x14ac:dyDescent="0.3">
      <c r="H27462" t="str">
        <f t="shared" si="478"/>
        <v/>
      </c>
    </row>
    <row r="27463" spans="8:8" x14ac:dyDescent="0.3">
      <c r="H27463" t="str">
        <f t="shared" si="478"/>
        <v/>
      </c>
    </row>
    <row r="27464" spans="8:8" x14ac:dyDescent="0.3">
      <c r="H27464" t="str">
        <f t="shared" si="478"/>
        <v/>
      </c>
    </row>
    <row r="27465" spans="8:8" x14ac:dyDescent="0.3">
      <c r="H27465" t="str">
        <f t="shared" si="478"/>
        <v/>
      </c>
    </row>
    <row r="27466" spans="8:8" x14ac:dyDescent="0.3">
      <c r="H27466" t="str">
        <f t="shared" si="478"/>
        <v/>
      </c>
    </row>
    <row r="27467" spans="8:8" x14ac:dyDescent="0.3">
      <c r="H27467" t="str">
        <f t="shared" si="478"/>
        <v/>
      </c>
    </row>
    <row r="27468" spans="8:8" x14ac:dyDescent="0.3">
      <c r="H27468" t="str">
        <f t="shared" si="478"/>
        <v/>
      </c>
    </row>
    <row r="27469" spans="8:8" x14ac:dyDescent="0.3">
      <c r="H27469" t="str">
        <f t="shared" si="478"/>
        <v/>
      </c>
    </row>
    <row r="27470" spans="8:8" x14ac:dyDescent="0.3">
      <c r="H27470" t="str">
        <f t="shared" si="478"/>
        <v/>
      </c>
    </row>
    <row r="27471" spans="8:8" x14ac:dyDescent="0.3">
      <c r="H27471" t="str">
        <f t="shared" si="478"/>
        <v/>
      </c>
    </row>
    <row r="27472" spans="8:8" x14ac:dyDescent="0.3">
      <c r="H27472" t="str">
        <f t="shared" si="478"/>
        <v/>
      </c>
    </row>
    <row r="27473" spans="8:8" x14ac:dyDescent="0.3">
      <c r="H27473" t="str">
        <f t="shared" si="478"/>
        <v/>
      </c>
    </row>
    <row r="27474" spans="8:8" x14ac:dyDescent="0.3">
      <c r="H27474" t="str">
        <f t="shared" si="478"/>
        <v/>
      </c>
    </row>
    <row r="27475" spans="8:8" x14ac:dyDescent="0.3">
      <c r="H27475" t="str">
        <f t="shared" si="478"/>
        <v/>
      </c>
    </row>
    <row r="27476" spans="8:8" x14ac:dyDescent="0.3">
      <c r="H27476" t="str">
        <f t="shared" si="478"/>
        <v/>
      </c>
    </row>
    <row r="27477" spans="8:8" x14ac:dyDescent="0.3">
      <c r="H27477" t="str">
        <f t="shared" si="478"/>
        <v/>
      </c>
    </row>
    <row r="27478" spans="8:8" x14ac:dyDescent="0.3">
      <c r="H27478" t="str">
        <f t="shared" si="478"/>
        <v/>
      </c>
    </row>
    <row r="27479" spans="8:8" x14ac:dyDescent="0.3">
      <c r="H27479" t="str">
        <f t="shared" ref="H27479:H27542" si="479">IF(B27479="","",$C$12)</f>
        <v/>
      </c>
    </row>
    <row r="27480" spans="8:8" x14ac:dyDescent="0.3">
      <c r="H27480" t="str">
        <f t="shared" si="479"/>
        <v/>
      </c>
    </row>
    <row r="27481" spans="8:8" x14ac:dyDescent="0.3">
      <c r="H27481" t="str">
        <f t="shared" si="479"/>
        <v/>
      </c>
    </row>
    <row r="27482" spans="8:8" x14ac:dyDescent="0.3">
      <c r="H27482" t="str">
        <f t="shared" si="479"/>
        <v/>
      </c>
    </row>
    <row r="27483" spans="8:8" x14ac:dyDescent="0.3">
      <c r="H27483" t="str">
        <f t="shared" si="479"/>
        <v/>
      </c>
    </row>
    <row r="27484" spans="8:8" x14ac:dyDescent="0.3">
      <c r="H27484" t="str">
        <f t="shared" si="479"/>
        <v/>
      </c>
    </row>
    <row r="27485" spans="8:8" x14ac:dyDescent="0.3">
      <c r="H27485" t="str">
        <f t="shared" si="479"/>
        <v/>
      </c>
    </row>
    <row r="27486" spans="8:8" x14ac:dyDescent="0.3">
      <c r="H27486" t="str">
        <f t="shared" si="479"/>
        <v/>
      </c>
    </row>
    <row r="27487" spans="8:8" x14ac:dyDescent="0.3">
      <c r="H27487" t="str">
        <f t="shared" si="479"/>
        <v/>
      </c>
    </row>
    <row r="27488" spans="8:8" x14ac:dyDescent="0.3">
      <c r="H27488" t="str">
        <f t="shared" si="479"/>
        <v/>
      </c>
    </row>
    <row r="27489" spans="8:8" x14ac:dyDescent="0.3">
      <c r="H27489" t="str">
        <f t="shared" si="479"/>
        <v/>
      </c>
    </row>
    <row r="27490" spans="8:8" x14ac:dyDescent="0.3">
      <c r="H27490" t="str">
        <f t="shared" si="479"/>
        <v/>
      </c>
    </row>
    <row r="27491" spans="8:8" x14ac:dyDescent="0.3">
      <c r="H27491" t="str">
        <f t="shared" si="479"/>
        <v/>
      </c>
    </row>
    <row r="27492" spans="8:8" x14ac:dyDescent="0.3">
      <c r="H27492" t="str">
        <f t="shared" si="479"/>
        <v/>
      </c>
    </row>
    <row r="27493" spans="8:8" x14ac:dyDescent="0.3">
      <c r="H27493" t="str">
        <f t="shared" si="479"/>
        <v/>
      </c>
    </row>
    <row r="27494" spans="8:8" x14ac:dyDescent="0.3">
      <c r="H27494" t="str">
        <f t="shared" si="479"/>
        <v/>
      </c>
    </row>
    <row r="27495" spans="8:8" x14ac:dyDescent="0.3">
      <c r="H27495" t="str">
        <f t="shared" si="479"/>
        <v/>
      </c>
    </row>
    <row r="27496" spans="8:8" x14ac:dyDescent="0.3">
      <c r="H27496" t="str">
        <f t="shared" si="479"/>
        <v/>
      </c>
    </row>
    <row r="27497" spans="8:8" x14ac:dyDescent="0.3">
      <c r="H27497" t="str">
        <f t="shared" si="479"/>
        <v/>
      </c>
    </row>
    <row r="27498" spans="8:8" x14ac:dyDescent="0.3">
      <c r="H27498" t="str">
        <f t="shared" si="479"/>
        <v/>
      </c>
    </row>
    <row r="27499" spans="8:8" x14ac:dyDescent="0.3">
      <c r="H27499" t="str">
        <f t="shared" si="479"/>
        <v/>
      </c>
    </row>
    <row r="27500" spans="8:8" x14ac:dyDescent="0.3">
      <c r="H27500" t="str">
        <f t="shared" si="479"/>
        <v/>
      </c>
    </row>
    <row r="27501" spans="8:8" x14ac:dyDescent="0.3">
      <c r="H27501" t="str">
        <f t="shared" si="479"/>
        <v/>
      </c>
    </row>
    <row r="27502" spans="8:8" x14ac:dyDescent="0.3">
      <c r="H27502" t="str">
        <f t="shared" si="479"/>
        <v/>
      </c>
    </row>
    <row r="27503" spans="8:8" x14ac:dyDescent="0.3">
      <c r="H27503" t="str">
        <f t="shared" si="479"/>
        <v/>
      </c>
    </row>
    <row r="27504" spans="8:8" x14ac:dyDescent="0.3">
      <c r="H27504" t="str">
        <f t="shared" si="479"/>
        <v/>
      </c>
    </row>
    <row r="27505" spans="8:8" x14ac:dyDescent="0.3">
      <c r="H27505" t="str">
        <f t="shared" si="479"/>
        <v/>
      </c>
    </row>
    <row r="27506" spans="8:8" x14ac:dyDescent="0.3">
      <c r="H27506" t="str">
        <f t="shared" si="479"/>
        <v/>
      </c>
    </row>
    <row r="27507" spans="8:8" x14ac:dyDescent="0.3">
      <c r="H27507" t="str">
        <f t="shared" si="479"/>
        <v/>
      </c>
    </row>
    <row r="27508" spans="8:8" x14ac:dyDescent="0.3">
      <c r="H27508" t="str">
        <f t="shared" si="479"/>
        <v/>
      </c>
    </row>
    <row r="27509" spans="8:8" x14ac:dyDescent="0.3">
      <c r="H27509" t="str">
        <f t="shared" si="479"/>
        <v/>
      </c>
    </row>
    <row r="27510" spans="8:8" x14ac:dyDescent="0.3">
      <c r="H27510" t="str">
        <f t="shared" si="479"/>
        <v/>
      </c>
    </row>
    <row r="27511" spans="8:8" x14ac:dyDescent="0.3">
      <c r="H27511" t="str">
        <f t="shared" si="479"/>
        <v/>
      </c>
    </row>
    <row r="27512" spans="8:8" x14ac:dyDescent="0.3">
      <c r="H27512" t="str">
        <f t="shared" si="479"/>
        <v/>
      </c>
    </row>
    <row r="27513" spans="8:8" x14ac:dyDescent="0.3">
      <c r="H27513" t="str">
        <f t="shared" si="479"/>
        <v/>
      </c>
    </row>
    <row r="27514" spans="8:8" x14ac:dyDescent="0.3">
      <c r="H27514" t="str">
        <f t="shared" si="479"/>
        <v/>
      </c>
    </row>
    <row r="27515" spans="8:8" x14ac:dyDescent="0.3">
      <c r="H27515" t="str">
        <f t="shared" si="479"/>
        <v/>
      </c>
    </row>
    <row r="27516" spans="8:8" x14ac:dyDescent="0.3">
      <c r="H27516" t="str">
        <f t="shared" si="479"/>
        <v/>
      </c>
    </row>
    <row r="27517" spans="8:8" x14ac:dyDescent="0.3">
      <c r="H27517" t="str">
        <f t="shared" si="479"/>
        <v/>
      </c>
    </row>
    <row r="27518" spans="8:8" x14ac:dyDescent="0.3">
      <c r="H27518" t="str">
        <f t="shared" si="479"/>
        <v/>
      </c>
    </row>
    <row r="27519" spans="8:8" x14ac:dyDescent="0.3">
      <c r="H27519" t="str">
        <f t="shared" si="479"/>
        <v/>
      </c>
    </row>
    <row r="27520" spans="8:8" x14ac:dyDescent="0.3">
      <c r="H27520" t="str">
        <f t="shared" si="479"/>
        <v/>
      </c>
    </row>
    <row r="27521" spans="8:8" x14ac:dyDescent="0.3">
      <c r="H27521" t="str">
        <f t="shared" si="479"/>
        <v/>
      </c>
    </row>
    <row r="27522" spans="8:8" x14ac:dyDescent="0.3">
      <c r="H27522" t="str">
        <f t="shared" si="479"/>
        <v/>
      </c>
    </row>
    <row r="27523" spans="8:8" x14ac:dyDescent="0.3">
      <c r="H27523" t="str">
        <f t="shared" si="479"/>
        <v/>
      </c>
    </row>
    <row r="27524" spans="8:8" x14ac:dyDescent="0.3">
      <c r="H27524" t="str">
        <f t="shared" si="479"/>
        <v/>
      </c>
    </row>
    <row r="27525" spans="8:8" x14ac:dyDescent="0.3">
      <c r="H27525" t="str">
        <f t="shared" si="479"/>
        <v/>
      </c>
    </row>
    <row r="27526" spans="8:8" x14ac:dyDescent="0.3">
      <c r="H27526" t="str">
        <f t="shared" si="479"/>
        <v/>
      </c>
    </row>
    <row r="27527" spans="8:8" x14ac:dyDescent="0.3">
      <c r="H27527" t="str">
        <f t="shared" si="479"/>
        <v/>
      </c>
    </row>
    <row r="27528" spans="8:8" x14ac:dyDescent="0.3">
      <c r="H27528" t="str">
        <f t="shared" si="479"/>
        <v/>
      </c>
    </row>
    <row r="27529" spans="8:8" x14ac:dyDescent="0.3">
      <c r="H27529" t="str">
        <f t="shared" si="479"/>
        <v/>
      </c>
    </row>
    <row r="27530" spans="8:8" x14ac:dyDescent="0.3">
      <c r="H27530" t="str">
        <f t="shared" si="479"/>
        <v/>
      </c>
    </row>
    <row r="27531" spans="8:8" x14ac:dyDescent="0.3">
      <c r="H27531" t="str">
        <f t="shared" si="479"/>
        <v/>
      </c>
    </row>
    <row r="27532" spans="8:8" x14ac:dyDescent="0.3">
      <c r="H27532" t="str">
        <f t="shared" si="479"/>
        <v/>
      </c>
    </row>
    <row r="27533" spans="8:8" x14ac:dyDescent="0.3">
      <c r="H27533" t="str">
        <f t="shared" si="479"/>
        <v/>
      </c>
    </row>
    <row r="27534" spans="8:8" x14ac:dyDescent="0.3">
      <c r="H27534" t="str">
        <f t="shared" si="479"/>
        <v/>
      </c>
    </row>
    <row r="27535" spans="8:8" x14ac:dyDescent="0.3">
      <c r="H27535" t="str">
        <f t="shared" si="479"/>
        <v/>
      </c>
    </row>
    <row r="27536" spans="8:8" x14ac:dyDescent="0.3">
      <c r="H27536" t="str">
        <f t="shared" si="479"/>
        <v/>
      </c>
    </row>
    <row r="27537" spans="8:8" x14ac:dyDescent="0.3">
      <c r="H27537" t="str">
        <f t="shared" si="479"/>
        <v/>
      </c>
    </row>
    <row r="27538" spans="8:8" x14ac:dyDescent="0.3">
      <c r="H27538" t="str">
        <f t="shared" si="479"/>
        <v/>
      </c>
    </row>
    <row r="27539" spans="8:8" x14ac:dyDescent="0.3">
      <c r="H27539" t="str">
        <f t="shared" si="479"/>
        <v/>
      </c>
    </row>
    <row r="27540" spans="8:8" x14ac:dyDescent="0.3">
      <c r="H27540" t="str">
        <f t="shared" si="479"/>
        <v/>
      </c>
    </row>
    <row r="27541" spans="8:8" x14ac:dyDescent="0.3">
      <c r="H27541" t="str">
        <f t="shared" si="479"/>
        <v/>
      </c>
    </row>
    <row r="27542" spans="8:8" x14ac:dyDescent="0.3">
      <c r="H27542" t="str">
        <f t="shared" si="479"/>
        <v/>
      </c>
    </row>
    <row r="27543" spans="8:8" x14ac:dyDescent="0.3">
      <c r="H27543" t="str">
        <f t="shared" ref="H27543:H27606" si="480">IF(B27543="","",$C$12)</f>
        <v/>
      </c>
    </row>
    <row r="27544" spans="8:8" x14ac:dyDescent="0.3">
      <c r="H27544" t="str">
        <f t="shared" si="480"/>
        <v/>
      </c>
    </row>
    <row r="27545" spans="8:8" x14ac:dyDescent="0.3">
      <c r="H27545" t="str">
        <f t="shared" si="480"/>
        <v/>
      </c>
    </row>
    <row r="27546" spans="8:8" x14ac:dyDescent="0.3">
      <c r="H27546" t="str">
        <f t="shared" si="480"/>
        <v/>
      </c>
    </row>
    <row r="27547" spans="8:8" x14ac:dyDescent="0.3">
      <c r="H27547" t="str">
        <f t="shared" si="480"/>
        <v/>
      </c>
    </row>
    <row r="27548" spans="8:8" x14ac:dyDescent="0.3">
      <c r="H27548" t="str">
        <f t="shared" si="480"/>
        <v/>
      </c>
    </row>
    <row r="27549" spans="8:8" x14ac:dyDescent="0.3">
      <c r="H27549" t="str">
        <f t="shared" si="480"/>
        <v/>
      </c>
    </row>
    <row r="27550" spans="8:8" x14ac:dyDescent="0.3">
      <c r="H27550" t="str">
        <f t="shared" si="480"/>
        <v/>
      </c>
    </row>
    <row r="27551" spans="8:8" x14ac:dyDescent="0.3">
      <c r="H27551" t="str">
        <f t="shared" si="480"/>
        <v/>
      </c>
    </row>
    <row r="27552" spans="8:8" x14ac:dyDescent="0.3">
      <c r="H27552" t="str">
        <f t="shared" si="480"/>
        <v/>
      </c>
    </row>
    <row r="27553" spans="8:8" x14ac:dyDescent="0.3">
      <c r="H27553" t="str">
        <f t="shared" si="480"/>
        <v/>
      </c>
    </row>
    <row r="27554" spans="8:8" x14ac:dyDescent="0.3">
      <c r="H27554" t="str">
        <f t="shared" si="480"/>
        <v/>
      </c>
    </row>
    <row r="27555" spans="8:8" x14ac:dyDescent="0.3">
      <c r="H27555" t="str">
        <f t="shared" si="480"/>
        <v/>
      </c>
    </row>
    <row r="27556" spans="8:8" x14ac:dyDescent="0.3">
      <c r="H27556" t="str">
        <f t="shared" si="480"/>
        <v/>
      </c>
    </row>
    <row r="27557" spans="8:8" x14ac:dyDescent="0.3">
      <c r="H27557" t="str">
        <f t="shared" si="480"/>
        <v/>
      </c>
    </row>
    <row r="27558" spans="8:8" x14ac:dyDescent="0.3">
      <c r="H27558" t="str">
        <f t="shared" si="480"/>
        <v/>
      </c>
    </row>
    <row r="27559" spans="8:8" x14ac:dyDescent="0.3">
      <c r="H27559" t="str">
        <f t="shared" si="480"/>
        <v/>
      </c>
    </row>
    <row r="27560" spans="8:8" x14ac:dyDescent="0.3">
      <c r="H27560" t="str">
        <f t="shared" si="480"/>
        <v/>
      </c>
    </row>
    <row r="27561" spans="8:8" x14ac:dyDescent="0.3">
      <c r="H27561" t="str">
        <f t="shared" si="480"/>
        <v/>
      </c>
    </row>
    <row r="27562" spans="8:8" x14ac:dyDescent="0.3">
      <c r="H27562" t="str">
        <f t="shared" si="480"/>
        <v/>
      </c>
    </row>
    <row r="27563" spans="8:8" x14ac:dyDescent="0.3">
      <c r="H27563" t="str">
        <f t="shared" si="480"/>
        <v/>
      </c>
    </row>
    <row r="27564" spans="8:8" x14ac:dyDescent="0.3">
      <c r="H27564" t="str">
        <f t="shared" si="480"/>
        <v/>
      </c>
    </row>
    <row r="27565" spans="8:8" x14ac:dyDescent="0.3">
      <c r="H27565" t="str">
        <f t="shared" si="480"/>
        <v/>
      </c>
    </row>
    <row r="27566" spans="8:8" x14ac:dyDescent="0.3">
      <c r="H27566" t="str">
        <f t="shared" si="480"/>
        <v/>
      </c>
    </row>
    <row r="27567" spans="8:8" x14ac:dyDescent="0.3">
      <c r="H27567" t="str">
        <f t="shared" si="480"/>
        <v/>
      </c>
    </row>
    <row r="27568" spans="8:8" x14ac:dyDescent="0.3">
      <c r="H27568" t="str">
        <f t="shared" si="480"/>
        <v/>
      </c>
    </row>
    <row r="27569" spans="8:8" x14ac:dyDescent="0.3">
      <c r="H27569" t="str">
        <f t="shared" si="480"/>
        <v/>
      </c>
    </row>
    <row r="27570" spans="8:8" x14ac:dyDescent="0.3">
      <c r="H27570" t="str">
        <f t="shared" si="480"/>
        <v/>
      </c>
    </row>
    <row r="27571" spans="8:8" x14ac:dyDescent="0.3">
      <c r="H27571" t="str">
        <f t="shared" si="480"/>
        <v/>
      </c>
    </row>
    <row r="27572" spans="8:8" x14ac:dyDescent="0.3">
      <c r="H27572" t="str">
        <f t="shared" si="480"/>
        <v/>
      </c>
    </row>
    <row r="27573" spans="8:8" x14ac:dyDescent="0.3">
      <c r="H27573" t="str">
        <f t="shared" si="480"/>
        <v/>
      </c>
    </row>
    <row r="27574" spans="8:8" x14ac:dyDescent="0.3">
      <c r="H27574" t="str">
        <f t="shared" si="480"/>
        <v/>
      </c>
    </row>
    <row r="27575" spans="8:8" x14ac:dyDescent="0.3">
      <c r="H27575" t="str">
        <f t="shared" si="480"/>
        <v/>
      </c>
    </row>
    <row r="27576" spans="8:8" x14ac:dyDescent="0.3">
      <c r="H27576" t="str">
        <f t="shared" si="480"/>
        <v/>
      </c>
    </row>
    <row r="27577" spans="8:8" x14ac:dyDescent="0.3">
      <c r="H27577" t="str">
        <f t="shared" si="480"/>
        <v/>
      </c>
    </row>
    <row r="27578" spans="8:8" x14ac:dyDescent="0.3">
      <c r="H27578" t="str">
        <f t="shared" si="480"/>
        <v/>
      </c>
    </row>
    <row r="27579" spans="8:8" x14ac:dyDescent="0.3">
      <c r="H27579" t="str">
        <f t="shared" si="480"/>
        <v/>
      </c>
    </row>
    <row r="27580" spans="8:8" x14ac:dyDescent="0.3">
      <c r="H27580" t="str">
        <f t="shared" si="480"/>
        <v/>
      </c>
    </row>
    <row r="27581" spans="8:8" x14ac:dyDescent="0.3">
      <c r="H27581" t="str">
        <f t="shared" si="480"/>
        <v/>
      </c>
    </row>
    <row r="27582" spans="8:8" x14ac:dyDescent="0.3">
      <c r="H27582" t="str">
        <f t="shared" si="480"/>
        <v/>
      </c>
    </row>
    <row r="27583" spans="8:8" x14ac:dyDescent="0.3">
      <c r="H27583" t="str">
        <f t="shared" si="480"/>
        <v/>
      </c>
    </row>
    <row r="27584" spans="8:8" x14ac:dyDescent="0.3">
      <c r="H27584" t="str">
        <f t="shared" si="480"/>
        <v/>
      </c>
    </row>
    <row r="27585" spans="8:8" x14ac:dyDescent="0.3">
      <c r="H27585" t="str">
        <f t="shared" si="480"/>
        <v/>
      </c>
    </row>
    <row r="27586" spans="8:8" x14ac:dyDescent="0.3">
      <c r="H27586" t="str">
        <f t="shared" si="480"/>
        <v/>
      </c>
    </row>
    <row r="27587" spans="8:8" x14ac:dyDescent="0.3">
      <c r="H27587" t="str">
        <f t="shared" si="480"/>
        <v/>
      </c>
    </row>
    <row r="27588" spans="8:8" x14ac:dyDescent="0.3">
      <c r="H27588" t="str">
        <f t="shared" si="480"/>
        <v/>
      </c>
    </row>
    <row r="27589" spans="8:8" x14ac:dyDescent="0.3">
      <c r="H27589" t="str">
        <f t="shared" si="480"/>
        <v/>
      </c>
    </row>
    <row r="27590" spans="8:8" x14ac:dyDescent="0.3">
      <c r="H27590" t="str">
        <f t="shared" si="480"/>
        <v/>
      </c>
    </row>
    <row r="27591" spans="8:8" x14ac:dyDescent="0.3">
      <c r="H27591" t="str">
        <f t="shared" si="480"/>
        <v/>
      </c>
    </row>
    <row r="27592" spans="8:8" x14ac:dyDescent="0.3">
      <c r="H27592" t="str">
        <f t="shared" si="480"/>
        <v/>
      </c>
    </row>
    <row r="27593" spans="8:8" x14ac:dyDescent="0.3">
      <c r="H27593" t="str">
        <f t="shared" si="480"/>
        <v/>
      </c>
    </row>
    <row r="27594" spans="8:8" x14ac:dyDescent="0.3">
      <c r="H27594" t="str">
        <f t="shared" si="480"/>
        <v/>
      </c>
    </row>
    <row r="27595" spans="8:8" x14ac:dyDescent="0.3">
      <c r="H27595" t="str">
        <f t="shared" si="480"/>
        <v/>
      </c>
    </row>
    <row r="27596" spans="8:8" x14ac:dyDescent="0.3">
      <c r="H27596" t="str">
        <f t="shared" si="480"/>
        <v/>
      </c>
    </row>
    <row r="27597" spans="8:8" x14ac:dyDescent="0.3">
      <c r="H27597" t="str">
        <f t="shared" si="480"/>
        <v/>
      </c>
    </row>
    <row r="27598" spans="8:8" x14ac:dyDescent="0.3">
      <c r="H27598" t="str">
        <f t="shared" si="480"/>
        <v/>
      </c>
    </row>
    <row r="27599" spans="8:8" x14ac:dyDescent="0.3">
      <c r="H27599" t="str">
        <f t="shared" si="480"/>
        <v/>
      </c>
    </row>
    <row r="27600" spans="8:8" x14ac:dyDescent="0.3">
      <c r="H27600" t="str">
        <f t="shared" si="480"/>
        <v/>
      </c>
    </row>
    <row r="27601" spans="8:8" x14ac:dyDescent="0.3">
      <c r="H27601" t="str">
        <f t="shared" si="480"/>
        <v/>
      </c>
    </row>
    <row r="27602" spans="8:8" x14ac:dyDescent="0.3">
      <c r="H27602" t="str">
        <f t="shared" si="480"/>
        <v/>
      </c>
    </row>
    <row r="27603" spans="8:8" x14ac:dyDescent="0.3">
      <c r="H27603" t="str">
        <f t="shared" si="480"/>
        <v/>
      </c>
    </row>
    <row r="27604" spans="8:8" x14ac:dyDescent="0.3">
      <c r="H27604" t="str">
        <f t="shared" si="480"/>
        <v/>
      </c>
    </row>
    <row r="27605" spans="8:8" x14ac:dyDescent="0.3">
      <c r="H27605" t="str">
        <f t="shared" si="480"/>
        <v/>
      </c>
    </row>
    <row r="27606" spans="8:8" x14ac:dyDescent="0.3">
      <c r="H27606" t="str">
        <f t="shared" si="480"/>
        <v/>
      </c>
    </row>
    <row r="27607" spans="8:8" x14ac:dyDescent="0.3">
      <c r="H27607" t="str">
        <f t="shared" ref="H27607:H27670" si="481">IF(B27607="","",$C$12)</f>
        <v/>
      </c>
    </row>
    <row r="27608" spans="8:8" x14ac:dyDescent="0.3">
      <c r="H27608" t="str">
        <f t="shared" si="481"/>
        <v/>
      </c>
    </row>
    <row r="27609" spans="8:8" x14ac:dyDescent="0.3">
      <c r="H27609" t="str">
        <f t="shared" si="481"/>
        <v/>
      </c>
    </row>
    <row r="27610" spans="8:8" x14ac:dyDescent="0.3">
      <c r="H27610" t="str">
        <f t="shared" si="481"/>
        <v/>
      </c>
    </row>
    <row r="27611" spans="8:8" x14ac:dyDescent="0.3">
      <c r="H27611" t="str">
        <f t="shared" si="481"/>
        <v/>
      </c>
    </row>
    <row r="27612" spans="8:8" x14ac:dyDescent="0.3">
      <c r="H27612" t="str">
        <f t="shared" si="481"/>
        <v/>
      </c>
    </row>
    <row r="27613" spans="8:8" x14ac:dyDescent="0.3">
      <c r="H27613" t="str">
        <f t="shared" si="481"/>
        <v/>
      </c>
    </row>
    <row r="27614" spans="8:8" x14ac:dyDescent="0.3">
      <c r="H27614" t="str">
        <f t="shared" si="481"/>
        <v/>
      </c>
    </row>
    <row r="27615" spans="8:8" x14ac:dyDescent="0.3">
      <c r="H27615" t="str">
        <f t="shared" si="481"/>
        <v/>
      </c>
    </row>
    <row r="27616" spans="8:8" x14ac:dyDescent="0.3">
      <c r="H27616" t="str">
        <f t="shared" si="481"/>
        <v/>
      </c>
    </row>
    <row r="27617" spans="8:8" x14ac:dyDescent="0.3">
      <c r="H27617" t="str">
        <f t="shared" si="481"/>
        <v/>
      </c>
    </row>
    <row r="27618" spans="8:8" x14ac:dyDescent="0.3">
      <c r="H27618" t="str">
        <f t="shared" si="481"/>
        <v/>
      </c>
    </row>
    <row r="27619" spans="8:8" x14ac:dyDescent="0.3">
      <c r="H27619" t="str">
        <f t="shared" si="481"/>
        <v/>
      </c>
    </row>
    <row r="27620" spans="8:8" x14ac:dyDescent="0.3">
      <c r="H27620" t="str">
        <f t="shared" si="481"/>
        <v/>
      </c>
    </row>
    <row r="27621" spans="8:8" x14ac:dyDescent="0.3">
      <c r="H27621" t="str">
        <f t="shared" si="481"/>
        <v/>
      </c>
    </row>
    <row r="27622" spans="8:8" x14ac:dyDescent="0.3">
      <c r="H27622" t="str">
        <f t="shared" si="481"/>
        <v/>
      </c>
    </row>
    <row r="27623" spans="8:8" x14ac:dyDescent="0.3">
      <c r="H27623" t="str">
        <f t="shared" si="481"/>
        <v/>
      </c>
    </row>
    <row r="27624" spans="8:8" x14ac:dyDescent="0.3">
      <c r="H27624" t="str">
        <f t="shared" si="481"/>
        <v/>
      </c>
    </row>
    <row r="27625" spans="8:8" x14ac:dyDescent="0.3">
      <c r="H27625" t="str">
        <f t="shared" si="481"/>
        <v/>
      </c>
    </row>
    <row r="27626" spans="8:8" x14ac:dyDescent="0.3">
      <c r="H27626" t="str">
        <f t="shared" si="481"/>
        <v/>
      </c>
    </row>
    <row r="27627" spans="8:8" x14ac:dyDescent="0.3">
      <c r="H27627" t="str">
        <f t="shared" si="481"/>
        <v/>
      </c>
    </row>
    <row r="27628" spans="8:8" x14ac:dyDescent="0.3">
      <c r="H27628" t="str">
        <f t="shared" si="481"/>
        <v/>
      </c>
    </row>
    <row r="27629" spans="8:8" x14ac:dyDescent="0.3">
      <c r="H27629" t="str">
        <f t="shared" si="481"/>
        <v/>
      </c>
    </row>
    <row r="27630" spans="8:8" x14ac:dyDescent="0.3">
      <c r="H27630" t="str">
        <f t="shared" si="481"/>
        <v/>
      </c>
    </row>
    <row r="27631" spans="8:8" x14ac:dyDescent="0.3">
      <c r="H27631" t="str">
        <f t="shared" si="481"/>
        <v/>
      </c>
    </row>
    <row r="27632" spans="8:8" x14ac:dyDescent="0.3">
      <c r="H27632" t="str">
        <f t="shared" si="481"/>
        <v/>
      </c>
    </row>
    <row r="27633" spans="8:8" x14ac:dyDescent="0.3">
      <c r="H27633" t="str">
        <f t="shared" si="481"/>
        <v/>
      </c>
    </row>
    <row r="27634" spans="8:8" x14ac:dyDescent="0.3">
      <c r="H27634" t="str">
        <f t="shared" si="481"/>
        <v/>
      </c>
    </row>
    <row r="27635" spans="8:8" x14ac:dyDescent="0.3">
      <c r="H27635" t="str">
        <f t="shared" si="481"/>
        <v/>
      </c>
    </row>
    <row r="27636" spans="8:8" x14ac:dyDescent="0.3">
      <c r="H27636" t="str">
        <f t="shared" si="481"/>
        <v/>
      </c>
    </row>
    <row r="27637" spans="8:8" x14ac:dyDescent="0.3">
      <c r="H27637" t="str">
        <f t="shared" si="481"/>
        <v/>
      </c>
    </row>
    <row r="27638" spans="8:8" x14ac:dyDescent="0.3">
      <c r="H27638" t="str">
        <f t="shared" si="481"/>
        <v/>
      </c>
    </row>
    <row r="27639" spans="8:8" x14ac:dyDescent="0.3">
      <c r="H27639" t="str">
        <f t="shared" si="481"/>
        <v/>
      </c>
    </row>
    <row r="27640" spans="8:8" x14ac:dyDescent="0.3">
      <c r="H27640" t="str">
        <f t="shared" si="481"/>
        <v/>
      </c>
    </row>
    <row r="27641" spans="8:8" x14ac:dyDescent="0.3">
      <c r="H27641" t="str">
        <f t="shared" si="481"/>
        <v/>
      </c>
    </row>
    <row r="27642" spans="8:8" x14ac:dyDescent="0.3">
      <c r="H27642" t="str">
        <f t="shared" si="481"/>
        <v/>
      </c>
    </row>
    <row r="27643" spans="8:8" x14ac:dyDescent="0.3">
      <c r="H27643" t="str">
        <f t="shared" si="481"/>
        <v/>
      </c>
    </row>
    <row r="27644" spans="8:8" x14ac:dyDescent="0.3">
      <c r="H27644" t="str">
        <f t="shared" si="481"/>
        <v/>
      </c>
    </row>
    <row r="27645" spans="8:8" x14ac:dyDescent="0.3">
      <c r="H27645" t="str">
        <f t="shared" si="481"/>
        <v/>
      </c>
    </row>
    <row r="27646" spans="8:8" x14ac:dyDescent="0.3">
      <c r="H27646" t="str">
        <f t="shared" si="481"/>
        <v/>
      </c>
    </row>
    <row r="27647" spans="8:8" x14ac:dyDescent="0.3">
      <c r="H27647" t="str">
        <f t="shared" si="481"/>
        <v/>
      </c>
    </row>
    <row r="27648" spans="8:8" x14ac:dyDescent="0.3">
      <c r="H27648" t="str">
        <f t="shared" si="481"/>
        <v/>
      </c>
    </row>
    <row r="27649" spans="8:8" x14ac:dyDescent="0.3">
      <c r="H27649" t="str">
        <f t="shared" si="481"/>
        <v/>
      </c>
    </row>
    <row r="27650" spans="8:8" x14ac:dyDescent="0.3">
      <c r="H27650" t="str">
        <f t="shared" si="481"/>
        <v/>
      </c>
    </row>
    <row r="27651" spans="8:8" x14ac:dyDescent="0.3">
      <c r="H27651" t="str">
        <f t="shared" si="481"/>
        <v/>
      </c>
    </row>
    <row r="27652" spans="8:8" x14ac:dyDescent="0.3">
      <c r="H27652" t="str">
        <f t="shared" si="481"/>
        <v/>
      </c>
    </row>
    <row r="27653" spans="8:8" x14ac:dyDescent="0.3">
      <c r="H27653" t="str">
        <f t="shared" si="481"/>
        <v/>
      </c>
    </row>
    <row r="27654" spans="8:8" x14ac:dyDescent="0.3">
      <c r="H27654" t="str">
        <f t="shared" si="481"/>
        <v/>
      </c>
    </row>
    <row r="27655" spans="8:8" x14ac:dyDescent="0.3">
      <c r="H27655" t="str">
        <f t="shared" si="481"/>
        <v/>
      </c>
    </row>
    <row r="27656" spans="8:8" x14ac:dyDescent="0.3">
      <c r="H27656" t="str">
        <f t="shared" si="481"/>
        <v/>
      </c>
    </row>
    <row r="27657" spans="8:8" x14ac:dyDescent="0.3">
      <c r="H27657" t="str">
        <f t="shared" si="481"/>
        <v/>
      </c>
    </row>
    <row r="27658" spans="8:8" x14ac:dyDescent="0.3">
      <c r="H27658" t="str">
        <f t="shared" si="481"/>
        <v/>
      </c>
    </row>
    <row r="27659" spans="8:8" x14ac:dyDescent="0.3">
      <c r="H27659" t="str">
        <f t="shared" si="481"/>
        <v/>
      </c>
    </row>
    <row r="27660" spans="8:8" x14ac:dyDescent="0.3">
      <c r="H27660" t="str">
        <f t="shared" si="481"/>
        <v/>
      </c>
    </row>
    <row r="27661" spans="8:8" x14ac:dyDescent="0.3">
      <c r="H27661" t="str">
        <f t="shared" si="481"/>
        <v/>
      </c>
    </row>
    <row r="27662" spans="8:8" x14ac:dyDescent="0.3">
      <c r="H27662" t="str">
        <f t="shared" si="481"/>
        <v/>
      </c>
    </row>
    <row r="27663" spans="8:8" x14ac:dyDescent="0.3">
      <c r="H27663" t="str">
        <f t="shared" si="481"/>
        <v/>
      </c>
    </row>
    <row r="27664" spans="8:8" x14ac:dyDescent="0.3">
      <c r="H27664" t="str">
        <f t="shared" si="481"/>
        <v/>
      </c>
    </row>
    <row r="27665" spans="8:8" x14ac:dyDescent="0.3">
      <c r="H27665" t="str">
        <f t="shared" si="481"/>
        <v/>
      </c>
    </row>
    <row r="27666" spans="8:8" x14ac:dyDescent="0.3">
      <c r="H27666" t="str">
        <f t="shared" si="481"/>
        <v/>
      </c>
    </row>
    <row r="27667" spans="8:8" x14ac:dyDescent="0.3">
      <c r="H27667" t="str">
        <f t="shared" si="481"/>
        <v/>
      </c>
    </row>
    <row r="27668" spans="8:8" x14ac:dyDescent="0.3">
      <c r="H27668" t="str">
        <f t="shared" si="481"/>
        <v/>
      </c>
    </row>
    <row r="27669" spans="8:8" x14ac:dyDescent="0.3">
      <c r="H27669" t="str">
        <f t="shared" si="481"/>
        <v/>
      </c>
    </row>
    <row r="27670" spans="8:8" x14ac:dyDescent="0.3">
      <c r="H27670" t="str">
        <f t="shared" si="481"/>
        <v/>
      </c>
    </row>
    <row r="27671" spans="8:8" x14ac:dyDescent="0.3">
      <c r="H27671" t="str">
        <f t="shared" ref="H27671:H27734" si="482">IF(B27671="","",$C$12)</f>
        <v/>
      </c>
    </row>
    <row r="27672" spans="8:8" x14ac:dyDescent="0.3">
      <c r="H27672" t="str">
        <f t="shared" si="482"/>
        <v/>
      </c>
    </row>
    <row r="27673" spans="8:8" x14ac:dyDescent="0.3">
      <c r="H27673" t="str">
        <f t="shared" si="482"/>
        <v/>
      </c>
    </row>
    <row r="27674" spans="8:8" x14ac:dyDescent="0.3">
      <c r="H27674" t="str">
        <f t="shared" si="482"/>
        <v/>
      </c>
    </row>
    <row r="27675" spans="8:8" x14ac:dyDescent="0.3">
      <c r="H27675" t="str">
        <f t="shared" si="482"/>
        <v/>
      </c>
    </row>
    <row r="27676" spans="8:8" x14ac:dyDescent="0.3">
      <c r="H27676" t="str">
        <f t="shared" si="482"/>
        <v/>
      </c>
    </row>
    <row r="27677" spans="8:8" x14ac:dyDescent="0.3">
      <c r="H27677" t="str">
        <f t="shared" si="482"/>
        <v/>
      </c>
    </row>
    <row r="27678" spans="8:8" x14ac:dyDescent="0.3">
      <c r="H27678" t="str">
        <f t="shared" si="482"/>
        <v/>
      </c>
    </row>
    <row r="27679" spans="8:8" x14ac:dyDescent="0.3">
      <c r="H27679" t="str">
        <f t="shared" si="482"/>
        <v/>
      </c>
    </row>
    <row r="27680" spans="8:8" x14ac:dyDescent="0.3">
      <c r="H27680" t="str">
        <f t="shared" si="482"/>
        <v/>
      </c>
    </row>
    <row r="27681" spans="8:8" x14ac:dyDescent="0.3">
      <c r="H27681" t="str">
        <f t="shared" si="482"/>
        <v/>
      </c>
    </row>
    <row r="27682" spans="8:8" x14ac:dyDescent="0.3">
      <c r="H27682" t="str">
        <f t="shared" si="482"/>
        <v/>
      </c>
    </row>
    <row r="27683" spans="8:8" x14ac:dyDescent="0.3">
      <c r="H27683" t="str">
        <f t="shared" si="482"/>
        <v/>
      </c>
    </row>
    <row r="27684" spans="8:8" x14ac:dyDescent="0.3">
      <c r="H27684" t="str">
        <f t="shared" si="482"/>
        <v/>
      </c>
    </row>
    <row r="27685" spans="8:8" x14ac:dyDescent="0.3">
      <c r="H27685" t="str">
        <f t="shared" si="482"/>
        <v/>
      </c>
    </row>
    <row r="27686" spans="8:8" x14ac:dyDescent="0.3">
      <c r="H27686" t="str">
        <f t="shared" si="482"/>
        <v/>
      </c>
    </row>
    <row r="27687" spans="8:8" x14ac:dyDescent="0.3">
      <c r="H27687" t="str">
        <f t="shared" si="482"/>
        <v/>
      </c>
    </row>
    <row r="27688" spans="8:8" x14ac:dyDescent="0.3">
      <c r="H27688" t="str">
        <f t="shared" si="482"/>
        <v/>
      </c>
    </row>
    <row r="27689" spans="8:8" x14ac:dyDescent="0.3">
      <c r="H27689" t="str">
        <f t="shared" si="482"/>
        <v/>
      </c>
    </row>
    <row r="27690" spans="8:8" x14ac:dyDescent="0.3">
      <c r="H27690" t="str">
        <f t="shared" si="482"/>
        <v/>
      </c>
    </row>
    <row r="27691" spans="8:8" x14ac:dyDescent="0.3">
      <c r="H27691" t="str">
        <f t="shared" si="482"/>
        <v/>
      </c>
    </row>
    <row r="27692" spans="8:8" x14ac:dyDescent="0.3">
      <c r="H27692" t="str">
        <f t="shared" si="482"/>
        <v/>
      </c>
    </row>
    <row r="27693" spans="8:8" x14ac:dyDescent="0.3">
      <c r="H27693" t="str">
        <f t="shared" si="482"/>
        <v/>
      </c>
    </row>
    <row r="27694" spans="8:8" x14ac:dyDescent="0.3">
      <c r="H27694" t="str">
        <f t="shared" si="482"/>
        <v/>
      </c>
    </row>
    <row r="27695" spans="8:8" x14ac:dyDescent="0.3">
      <c r="H27695" t="str">
        <f t="shared" si="482"/>
        <v/>
      </c>
    </row>
    <row r="27696" spans="8:8" x14ac:dyDescent="0.3">
      <c r="H27696" t="str">
        <f t="shared" si="482"/>
        <v/>
      </c>
    </row>
    <row r="27697" spans="8:8" x14ac:dyDescent="0.3">
      <c r="H27697" t="str">
        <f t="shared" si="482"/>
        <v/>
      </c>
    </row>
    <row r="27698" spans="8:8" x14ac:dyDescent="0.3">
      <c r="H27698" t="str">
        <f t="shared" si="482"/>
        <v/>
      </c>
    </row>
    <row r="27699" spans="8:8" x14ac:dyDescent="0.3">
      <c r="H27699" t="str">
        <f t="shared" si="482"/>
        <v/>
      </c>
    </row>
    <row r="27700" spans="8:8" x14ac:dyDescent="0.3">
      <c r="H27700" t="str">
        <f t="shared" si="482"/>
        <v/>
      </c>
    </row>
    <row r="27701" spans="8:8" x14ac:dyDescent="0.3">
      <c r="H27701" t="str">
        <f t="shared" si="482"/>
        <v/>
      </c>
    </row>
    <row r="27702" spans="8:8" x14ac:dyDescent="0.3">
      <c r="H27702" t="str">
        <f t="shared" si="482"/>
        <v/>
      </c>
    </row>
    <row r="27703" spans="8:8" x14ac:dyDescent="0.3">
      <c r="H27703" t="str">
        <f t="shared" si="482"/>
        <v/>
      </c>
    </row>
    <row r="27704" spans="8:8" x14ac:dyDescent="0.3">
      <c r="H27704" t="str">
        <f t="shared" si="482"/>
        <v/>
      </c>
    </row>
    <row r="27705" spans="8:8" x14ac:dyDescent="0.3">
      <c r="H27705" t="str">
        <f t="shared" si="482"/>
        <v/>
      </c>
    </row>
    <row r="27706" spans="8:8" x14ac:dyDescent="0.3">
      <c r="H27706" t="str">
        <f t="shared" si="482"/>
        <v/>
      </c>
    </row>
    <row r="27707" spans="8:8" x14ac:dyDescent="0.3">
      <c r="H27707" t="str">
        <f t="shared" si="482"/>
        <v/>
      </c>
    </row>
    <row r="27708" spans="8:8" x14ac:dyDescent="0.3">
      <c r="H27708" t="str">
        <f t="shared" si="482"/>
        <v/>
      </c>
    </row>
    <row r="27709" spans="8:8" x14ac:dyDescent="0.3">
      <c r="H27709" t="str">
        <f t="shared" si="482"/>
        <v/>
      </c>
    </row>
    <row r="27710" spans="8:8" x14ac:dyDescent="0.3">
      <c r="H27710" t="str">
        <f t="shared" si="482"/>
        <v/>
      </c>
    </row>
    <row r="27711" spans="8:8" x14ac:dyDescent="0.3">
      <c r="H27711" t="str">
        <f t="shared" si="482"/>
        <v/>
      </c>
    </row>
    <row r="27712" spans="8:8" x14ac:dyDescent="0.3">
      <c r="H27712" t="str">
        <f t="shared" si="482"/>
        <v/>
      </c>
    </row>
    <row r="27713" spans="8:8" x14ac:dyDescent="0.3">
      <c r="H27713" t="str">
        <f t="shared" si="482"/>
        <v/>
      </c>
    </row>
    <row r="27714" spans="8:8" x14ac:dyDescent="0.3">
      <c r="H27714" t="str">
        <f t="shared" si="482"/>
        <v/>
      </c>
    </row>
    <row r="27715" spans="8:8" x14ac:dyDescent="0.3">
      <c r="H27715" t="str">
        <f t="shared" si="482"/>
        <v/>
      </c>
    </row>
    <row r="27716" spans="8:8" x14ac:dyDescent="0.3">
      <c r="H27716" t="str">
        <f t="shared" si="482"/>
        <v/>
      </c>
    </row>
    <row r="27717" spans="8:8" x14ac:dyDescent="0.3">
      <c r="H27717" t="str">
        <f t="shared" si="482"/>
        <v/>
      </c>
    </row>
    <row r="27718" spans="8:8" x14ac:dyDescent="0.3">
      <c r="H27718" t="str">
        <f t="shared" si="482"/>
        <v/>
      </c>
    </row>
    <row r="27719" spans="8:8" x14ac:dyDescent="0.3">
      <c r="H27719" t="str">
        <f t="shared" si="482"/>
        <v/>
      </c>
    </row>
    <row r="27720" spans="8:8" x14ac:dyDescent="0.3">
      <c r="H27720" t="str">
        <f t="shared" si="482"/>
        <v/>
      </c>
    </row>
    <row r="27721" spans="8:8" x14ac:dyDescent="0.3">
      <c r="H27721" t="str">
        <f t="shared" si="482"/>
        <v/>
      </c>
    </row>
    <row r="27722" spans="8:8" x14ac:dyDescent="0.3">
      <c r="H27722" t="str">
        <f t="shared" si="482"/>
        <v/>
      </c>
    </row>
    <row r="27723" spans="8:8" x14ac:dyDescent="0.3">
      <c r="H27723" t="str">
        <f t="shared" si="482"/>
        <v/>
      </c>
    </row>
    <row r="27724" spans="8:8" x14ac:dyDescent="0.3">
      <c r="H27724" t="str">
        <f t="shared" si="482"/>
        <v/>
      </c>
    </row>
    <row r="27725" spans="8:8" x14ac:dyDescent="0.3">
      <c r="H27725" t="str">
        <f t="shared" si="482"/>
        <v/>
      </c>
    </row>
    <row r="27726" spans="8:8" x14ac:dyDescent="0.3">
      <c r="H27726" t="str">
        <f t="shared" si="482"/>
        <v/>
      </c>
    </row>
    <row r="27727" spans="8:8" x14ac:dyDescent="0.3">
      <c r="H27727" t="str">
        <f t="shared" si="482"/>
        <v/>
      </c>
    </row>
    <row r="27728" spans="8:8" x14ac:dyDescent="0.3">
      <c r="H27728" t="str">
        <f t="shared" si="482"/>
        <v/>
      </c>
    </row>
    <row r="27729" spans="8:8" x14ac:dyDescent="0.3">
      <c r="H27729" t="str">
        <f t="shared" si="482"/>
        <v/>
      </c>
    </row>
    <row r="27730" spans="8:8" x14ac:dyDescent="0.3">
      <c r="H27730" t="str">
        <f t="shared" si="482"/>
        <v/>
      </c>
    </row>
    <row r="27731" spans="8:8" x14ac:dyDescent="0.3">
      <c r="H27731" t="str">
        <f t="shared" si="482"/>
        <v/>
      </c>
    </row>
    <row r="27732" spans="8:8" x14ac:dyDescent="0.3">
      <c r="H27732" t="str">
        <f t="shared" si="482"/>
        <v/>
      </c>
    </row>
    <row r="27733" spans="8:8" x14ac:dyDescent="0.3">
      <c r="H27733" t="str">
        <f t="shared" si="482"/>
        <v/>
      </c>
    </row>
    <row r="27734" spans="8:8" x14ac:dyDescent="0.3">
      <c r="H27734" t="str">
        <f t="shared" si="482"/>
        <v/>
      </c>
    </row>
    <row r="27735" spans="8:8" x14ac:dyDescent="0.3">
      <c r="H27735" t="str">
        <f t="shared" ref="H27735:H27798" si="483">IF(B27735="","",$C$12)</f>
        <v/>
      </c>
    </row>
    <row r="27736" spans="8:8" x14ac:dyDescent="0.3">
      <c r="H27736" t="str">
        <f t="shared" si="483"/>
        <v/>
      </c>
    </row>
    <row r="27737" spans="8:8" x14ac:dyDescent="0.3">
      <c r="H27737" t="str">
        <f t="shared" si="483"/>
        <v/>
      </c>
    </row>
    <row r="27738" spans="8:8" x14ac:dyDescent="0.3">
      <c r="H27738" t="str">
        <f t="shared" si="483"/>
        <v/>
      </c>
    </row>
    <row r="27739" spans="8:8" x14ac:dyDescent="0.3">
      <c r="H27739" t="str">
        <f t="shared" si="483"/>
        <v/>
      </c>
    </row>
    <row r="27740" spans="8:8" x14ac:dyDescent="0.3">
      <c r="H27740" t="str">
        <f t="shared" si="483"/>
        <v/>
      </c>
    </row>
    <row r="27741" spans="8:8" x14ac:dyDescent="0.3">
      <c r="H27741" t="str">
        <f t="shared" si="483"/>
        <v/>
      </c>
    </row>
    <row r="27742" spans="8:8" x14ac:dyDescent="0.3">
      <c r="H27742" t="str">
        <f t="shared" si="483"/>
        <v/>
      </c>
    </row>
    <row r="27743" spans="8:8" x14ac:dyDescent="0.3">
      <c r="H27743" t="str">
        <f t="shared" si="483"/>
        <v/>
      </c>
    </row>
    <row r="27744" spans="8:8" x14ac:dyDescent="0.3">
      <c r="H27744" t="str">
        <f t="shared" si="483"/>
        <v/>
      </c>
    </row>
    <row r="27745" spans="8:8" x14ac:dyDescent="0.3">
      <c r="H27745" t="str">
        <f t="shared" si="483"/>
        <v/>
      </c>
    </row>
    <row r="27746" spans="8:8" x14ac:dyDescent="0.3">
      <c r="H27746" t="str">
        <f t="shared" si="483"/>
        <v/>
      </c>
    </row>
    <row r="27747" spans="8:8" x14ac:dyDescent="0.3">
      <c r="H27747" t="str">
        <f t="shared" si="483"/>
        <v/>
      </c>
    </row>
    <row r="27748" spans="8:8" x14ac:dyDescent="0.3">
      <c r="H27748" t="str">
        <f t="shared" si="483"/>
        <v/>
      </c>
    </row>
    <row r="27749" spans="8:8" x14ac:dyDescent="0.3">
      <c r="H27749" t="str">
        <f t="shared" si="483"/>
        <v/>
      </c>
    </row>
    <row r="27750" spans="8:8" x14ac:dyDescent="0.3">
      <c r="H27750" t="str">
        <f t="shared" si="483"/>
        <v/>
      </c>
    </row>
    <row r="27751" spans="8:8" x14ac:dyDescent="0.3">
      <c r="H27751" t="str">
        <f t="shared" si="483"/>
        <v/>
      </c>
    </row>
    <row r="27752" spans="8:8" x14ac:dyDescent="0.3">
      <c r="H27752" t="str">
        <f t="shared" si="483"/>
        <v/>
      </c>
    </row>
    <row r="27753" spans="8:8" x14ac:dyDescent="0.3">
      <c r="H27753" t="str">
        <f t="shared" si="483"/>
        <v/>
      </c>
    </row>
    <row r="27754" spans="8:8" x14ac:dyDescent="0.3">
      <c r="H27754" t="str">
        <f t="shared" si="483"/>
        <v/>
      </c>
    </row>
    <row r="27755" spans="8:8" x14ac:dyDescent="0.3">
      <c r="H27755" t="str">
        <f t="shared" si="483"/>
        <v/>
      </c>
    </row>
    <row r="27756" spans="8:8" x14ac:dyDescent="0.3">
      <c r="H27756" t="str">
        <f t="shared" si="483"/>
        <v/>
      </c>
    </row>
    <row r="27757" spans="8:8" x14ac:dyDescent="0.3">
      <c r="H27757" t="str">
        <f t="shared" si="483"/>
        <v/>
      </c>
    </row>
    <row r="27758" spans="8:8" x14ac:dyDescent="0.3">
      <c r="H27758" t="str">
        <f t="shared" si="483"/>
        <v/>
      </c>
    </row>
    <row r="27759" spans="8:8" x14ac:dyDescent="0.3">
      <c r="H27759" t="str">
        <f t="shared" si="483"/>
        <v/>
      </c>
    </row>
    <row r="27760" spans="8:8" x14ac:dyDescent="0.3">
      <c r="H27760" t="str">
        <f t="shared" si="483"/>
        <v/>
      </c>
    </row>
    <row r="27761" spans="8:8" x14ac:dyDescent="0.3">
      <c r="H27761" t="str">
        <f t="shared" si="483"/>
        <v/>
      </c>
    </row>
    <row r="27762" spans="8:8" x14ac:dyDescent="0.3">
      <c r="H27762" t="str">
        <f t="shared" si="483"/>
        <v/>
      </c>
    </row>
    <row r="27763" spans="8:8" x14ac:dyDescent="0.3">
      <c r="H27763" t="str">
        <f t="shared" si="483"/>
        <v/>
      </c>
    </row>
    <row r="27764" spans="8:8" x14ac:dyDescent="0.3">
      <c r="H27764" t="str">
        <f t="shared" si="483"/>
        <v/>
      </c>
    </row>
    <row r="27765" spans="8:8" x14ac:dyDescent="0.3">
      <c r="H27765" t="str">
        <f t="shared" si="483"/>
        <v/>
      </c>
    </row>
    <row r="27766" spans="8:8" x14ac:dyDescent="0.3">
      <c r="H27766" t="str">
        <f t="shared" si="483"/>
        <v/>
      </c>
    </row>
    <row r="27767" spans="8:8" x14ac:dyDescent="0.3">
      <c r="H27767" t="str">
        <f t="shared" si="483"/>
        <v/>
      </c>
    </row>
    <row r="27768" spans="8:8" x14ac:dyDescent="0.3">
      <c r="H27768" t="str">
        <f t="shared" si="483"/>
        <v/>
      </c>
    </row>
    <row r="27769" spans="8:8" x14ac:dyDescent="0.3">
      <c r="H27769" t="str">
        <f t="shared" si="483"/>
        <v/>
      </c>
    </row>
    <row r="27770" spans="8:8" x14ac:dyDescent="0.3">
      <c r="H27770" t="str">
        <f t="shared" si="483"/>
        <v/>
      </c>
    </row>
    <row r="27771" spans="8:8" x14ac:dyDescent="0.3">
      <c r="H27771" t="str">
        <f t="shared" si="483"/>
        <v/>
      </c>
    </row>
    <row r="27772" spans="8:8" x14ac:dyDescent="0.3">
      <c r="H27772" t="str">
        <f t="shared" si="483"/>
        <v/>
      </c>
    </row>
    <row r="27773" spans="8:8" x14ac:dyDescent="0.3">
      <c r="H27773" t="str">
        <f t="shared" si="483"/>
        <v/>
      </c>
    </row>
    <row r="27774" spans="8:8" x14ac:dyDescent="0.3">
      <c r="H27774" t="str">
        <f t="shared" si="483"/>
        <v/>
      </c>
    </row>
    <row r="27775" spans="8:8" x14ac:dyDescent="0.3">
      <c r="H27775" t="str">
        <f t="shared" si="483"/>
        <v/>
      </c>
    </row>
    <row r="27776" spans="8:8" x14ac:dyDescent="0.3">
      <c r="H27776" t="str">
        <f t="shared" si="483"/>
        <v/>
      </c>
    </row>
    <row r="27777" spans="8:8" x14ac:dyDescent="0.3">
      <c r="H27777" t="str">
        <f t="shared" si="483"/>
        <v/>
      </c>
    </row>
    <row r="27778" spans="8:8" x14ac:dyDescent="0.3">
      <c r="H27778" t="str">
        <f t="shared" si="483"/>
        <v/>
      </c>
    </row>
    <row r="27779" spans="8:8" x14ac:dyDescent="0.3">
      <c r="H27779" t="str">
        <f t="shared" si="483"/>
        <v/>
      </c>
    </row>
    <row r="27780" spans="8:8" x14ac:dyDescent="0.3">
      <c r="H27780" t="str">
        <f t="shared" si="483"/>
        <v/>
      </c>
    </row>
    <row r="27781" spans="8:8" x14ac:dyDescent="0.3">
      <c r="H27781" t="str">
        <f t="shared" si="483"/>
        <v/>
      </c>
    </row>
    <row r="27782" spans="8:8" x14ac:dyDescent="0.3">
      <c r="H27782" t="str">
        <f t="shared" si="483"/>
        <v/>
      </c>
    </row>
    <row r="27783" spans="8:8" x14ac:dyDescent="0.3">
      <c r="H27783" t="str">
        <f t="shared" si="483"/>
        <v/>
      </c>
    </row>
    <row r="27784" spans="8:8" x14ac:dyDescent="0.3">
      <c r="H27784" t="str">
        <f t="shared" si="483"/>
        <v/>
      </c>
    </row>
    <row r="27785" spans="8:8" x14ac:dyDescent="0.3">
      <c r="H27785" t="str">
        <f t="shared" si="483"/>
        <v/>
      </c>
    </row>
    <row r="27786" spans="8:8" x14ac:dyDescent="0.3">
      <c r="H27786" t="str">
        <f t="shared" si="483"/>
        <v/>
      </c>
    </row>
    <row r="27787" spans="8:8" x14ac:dyDescent="0.3">
      <c r="H27787" t="str">
        <f t="shared" si="483"/>
        <v/>
      </c>
    </row>
    <row r="27788" spans="8:8" x14ac:dyDescent="0.3">
      <c r="H27788" t="str">
        <f t="shared" si="483"/>
        <v/>
      </c>
    </row>
    <row r="27789" spans="8:8" x14ac:dyDescent="0.3">
      <c r="H27789" t="str">
        <f t="shared" si="483"/>
        <v/>
      </c>
    </row>
    <row r="27790" spans="8:8" x14ac:dyDescent="0.3">
      <c r="H27790" t="str">
        <f t="shared" si="483"/>
        <v/>
      </c>
    </row>
    <row r="27791" spans="8:8" x14ac:dyDescent="0.3">
      <c r="H27791" t="str">
        <f t="shared" si="483"/>
        <v/>
      </c>
    </row>
    <row r="27792" spans="8:8" x14ac:dyDescent="0.3">
      <c r="H27792" t="str">
        <f t="shared" si="483"/>
        <v/>
      </c>
    </row>
    <row r="27793" spans="8:8" x14ac:dyDescent="0.3">
      <c r="H27793" t="str">
        <f t="shared" si="483"/>
        <v/>
      </c>
    </row>
    <row r="27794" spans="8:8" x14ac:dyDescent="0.3">
      <c r="H27794" t="str">
        <f t="shared" si="483"/>
        <v/>
      </c>
    </row>
    <row r="27795" spans="8:8" x14ac:dyDescent="0.3">
      <c r="H27795" t="str">
        <f t="shared" si="483"/>
        <v/>
      </c>
    </row>
    <row r="27796" spans="8:8" x14ac:dyDescent="0.3">
      <c r="H27796" t="str">
        <f t="shared" si="483"/>
        <v/>
      </c>
    </row>
    <row r="27797" spans="8:8" x14ac:dyDescent="0.3">
      <c r="H27797" t="str">
        <f t="shared" si="483"/>
        <v/>
      </c>
    </row>
    <row r="27798" spans="8:8" x14ac:dyDescent="0.3">
      <c r="H27798" t="str">
        <f t="shared" si="483"/>
        <v/>
      </c>
    </row>
    <row r="27799" spans="8:8" x14ac:dyDescent="0.3">
      <c r="H27799" t="str">
        <f t="shared" ref="H27799:H27862" si="484">IF(B27799="","",$C$12)</f>
        <v/>
      </c>
    </row>
    <row r="27800" spans="8:8" x14ac:dyDescent="0.3">
      <c r="H27800" t="str">
        <f t="shared" si="484"/>
        <v/>
      </c>
    </row>
    <row r="27801" spans="8:8" x14ac:dyDescent="0.3">
      <c r="H27801" t="str">
        <f t="shared" si="484"/>
        <v/>
      </c>
    </row>
    <row r="27802" spans="8:8" x14ac:dyDescent="0.3">
      <c r="H27802" t="str">
        <f t="shared" si="484"/>
        <v/>
      </c>
    </row>
    <row r="27803" spans="8:8" x14ac:dyDescent="0.3">
      <c r="H27803" t="str">
        <f t="shared" si="484"/>
        <v/>
      </c>
    </row>
    <row r="27804" spans="8:8" x14ac:dyDescent="0.3">
      <c r="H27804" t="str">
        <f t="shared" si="484"/>
        <v/>
      </c>
    </row>
    <row r="27805" spans="8:8" x14ac:dyDescent="0.3">
      <c r="H27805" t="str">
        <f t="shared" si="484"/>
        <v/>
      </c>
    </row>
    <row r="27806" spans="8:8" x14ac:dyDescent="0.3">
      <c r="H27806" t="str">
        <f t="shared" si="484"/>
        <v/>
      </c>
    </row>
    <row r="27807" spans="8:8" x14ac:dyDescent="0.3">
      <c r="H27807" t="str">
        <f t="shared" si="484"/>
        <v/>
      </c>
    </row>
    <row r="27808" spans="8:8" x14ac:dyDescent="0.3">
      <c r="H27808" t="str">
        <f t="shared" si="484"/>
        <v/>
      </c>
    </row>
    <row r="27809" spans="8:8" x14ac:dyDescent="0.3">
      <c r="H27809" t="str">
        <f t="shared" si="484"/>
        <v/>
      </c>
    </row>
    <row r="27810" spans="8:8" x14ac:dyDescent="0.3">
      <c r="H27810" t="str">
        <f t="shared" si="484"/>
        <v/>
      </c>
    </row>
    <row r="27811" spans="8:8" x14ac:dyDescent="0.3">
      <c r="H27811" t="str">
        <f t="shared" si="484"/>
        <v/>
      </c>
    </row>
    <row r="27812" spans="8:8" x14ac:dyDescent="0.3">
      <c r="H27812" t="str">
        <f t="shared" si="484"/>
        <v/>
      </c>
    </row>
    <row r="27813" spans="8:8" x14ac:dyDescent="0.3">
      <c r="H27813" t="str">
        <f t="shared" si="484"/>
        <v/>
      </c>
    </row>
    <row r="27814" spans="8:8" x14ac:dyDescent="0.3">
      <c r="H27814" t="str">
        <f t="shared" si="484"/>
        <v/>
      </c>
    </row>
    <row r="27815" spans="8:8" x14ac:dyDescent="0.3">
      <c r="H27815" t="str">
        <f t="shared" si="484"/>
        <v/>
      </c>
    </row>
    <row r="27816" spans="8:8" x14ac:dyDescent="0.3">
      <c r="H27816" t="str">
        <f t="shared" si="484"/>
        <v/>
      </c>
    </row>
    <row r="27817" spans="8:8" x14ac:dyDescent="0.3">
      <c r="H27817" t="str">
        <f t="shared" si="484"/>
        <v/>
      </c>
    </row>
    <row r="27818" spans="8:8" x14ac:dyDescent="0.3">
      <c r="H27818" t="str">
        <f t="shared" si="484"/>
        <v/>
      </c>
    </row>
    <row r="27819" spans="8:8" x14ac:dyDescent="0.3">
      <c r="H27819" t="str">
        <f t="shared" si="484"/>
        <v/>
      </c>
    </row>
    <row r="27820" spans="8:8" x14ac:dyDescent="0.3">
      <c r="H27820" t="str">
        <f t="shared" si="484"/>
        <v/>
      </c>
    </row>
    <row r="27821" spans="8:8" x14ac:dyDescent="0.3">
      <c r="H27821" t="str">
        <f t="shared" si="484"/>
        <v/>
      </c>
    </row>
    <row r="27822" spans="8:8" x14ac:dyDescent="0.3">
      <c r="H27822" t="str">
        <f t="shared" si="484"/>
        <v/>
      </c>
    </row>
    <row r="27823" spans="8:8" x14ac:dyDescent="0.3">
      <c r="H27823" t="str">
        <f t="shared" si="484"/>
        <v/>
      </c>
    </row>
    <row r="27824" spans="8:8" x14ac:dyDescent="0.3">
      <c r="H27824" t="str">
        <f t="shared" si="484"/>
        <v/>
      </c>
    </row>
    <row r="27825" spans="8:8" x14ac:dyDescent="0.3">
      <c r="H27825" t="str">
        <f t="shared" si="484"/>
        <v/>
      </c>
    </row>
    <row r="27826" spans="8:8" x14ac:dyDescent="0.3">
      <c r="H27826" t="str">
        <f t="shared" si="484"/>
        <v/>
      </c>
    </row>
    <row r="27827" spans="8:8" x14ac:dyDescent="0.3">
      <c r="H27827" t="str">
        <f t="shared" si="484"/>
        <v/>
      </c>
    </row>
    <row r="27828" spans="8:8" x14ac:dyDescent="0.3">
      <c r="H27828" t="str">
        <f t="shared" si="484"/>
        <v/>
      </c>
    </row>
    <row r="27829" spans="8:8" x14ac:dyDescent="0.3">
      <c r="H27829" t="str">
        <f t="shared" si="484"/>
        <v/>
      </c>
    </row>
    <row r="27830" spans="8:8" x14ac:dyDescent="0.3">
      <c r="H27830" t="str">
        <f t="shared" si="484"/>
        <v/>
      </c>
    </row>
    <row r="27831" spans="8:8" x14ac:dyDescent="0.3">
      <c r="H27831" t="str">
        <f t="shared" si="484"/>
        <v/>
      </c>
    </row>
    <row r="27832" spans="8:8" x14ac:dyDescent="0.3">
      <c r="H27832" t="str">
        <f t="shared" si="484"/>
        <v/>
      </c>
    </row>
    <row r="27833" spans="8:8" x14ac:dyDescent="0.3">
      <c r="H27833" t="str">
        <f t="shared" si="484"/>
        <v/>
      </c>
    </row>
    <row r="27834" spans="8:8" x14ac:dyDescent="0.3">
      <c r="H27834" t="str">
        <f t="shared" si="484"/>
        <v/>
      </c>
    </row>
    <row r="27835" spans="8:8" x14ac:dyDescent="0.3">
      <c r="H27835" t="str">
        <f t="shared" si="484"/>
        <v/>
      </c>
    </row>
    <row r="27836" spans="8:8" x14ac:dyDescent="0.3">
      <c r="H27836" t="str">
        <f t="shared" si="484"/>
        <v/>
      </c>
    </row>
    <row r="27837" spans="8:8" x14ac:dyDescent="0.3">
      <c r="H27837" t="str">
        <f t="shared" si="484"/>
        <v/>
      </c>
    </row>
    <row r="27838" spans="8:8" x14ac:dyDescent="0.3">
      <c r="H27838" t="str">
        <f t="shared" si="484"/>
        <v/>
      </c>
    </row>
    <row r="27839" spans="8:8" x14ac:dyDescent="0.3">
      <c r="H27839" t="str">
        <f t="shared" si="484"/>
        <v/>
      </c>
    </row>
    <row r="27840" spans="8:8" x14ac:dyDescent="0.3">
      <c r="H27840" t="str">
        <f t="shared" si="484"/>
        <v/>
      </c>
    </row>
    <row r="27841" spans="8:8" x14ac:dyDescent="0.3">
      <c r="H27841" t="str">
        <f t="shared" si="484"/>
        <v/>
      </c>
    </row>
    <row r="27842" spans="8:8" x14ac:dyDescent="0.3">
      <c r="H27842" t="str">
        <f t="shared" si="484"/>
        <v/>
      </c>
    </row>
    <row r="27843" spans="8:8" x14ac:dyDescent="0.3">
      <c r="H27843" t="str">
        <f t="shared" si="484"/>
        <v/>
      </c>
    </row>
    <row r="27844" spans="8:8" x14ac:dyDescent="0.3">
      <c r="H27844" t="str">
        <f t="shared" si="484"/>
        <v/>
      </c>
    </row>
    <row r="27845" spans="8:8" x14ac:dyDescent="0.3">
      <c r="H27845" t="str">
        <f t="shared" si="484"/>
        <v/>
      </c>
    </row>
    <row r="27846" spans="8:8" x14ac:dyDescent="0.3">
      <c r="H27846" t="str">
        <f t="shared" si="484"/>
        <v/>
      </c>
    </row>
    <row r="27847" spans="8:8" x14ac:dyDescent="0.3">
      <c r="H27847" t="str">
        <f t="shared" si="484"/>
        <v/>
      </c>
    </row>
    <row r="27848" spans="8:8" x14ac:dyDescent="0.3">
      <c r="H27848" t="str">
        <f t="shared" si="484"/>
        <v/>
      </c>
    </row>
    <row r="27849" spans="8:8" x14ac:dyDescent="0.3">
      <c r="H27849" t="str">
        <f t="shared" si="484"/>
        <v/>
      </c>
    </row>
    <row r="27850" spans="8:8" x14ac:dyDescent="0.3">
      <c r="H27850" t="str">
        <f t="shared" si="484"/>
        <v/>
      </c>
    </row>
    <row r="27851" spans="8:8" x14ac:dyDescent="0.3">
      <c r="H27851" t="str">
        <f t="shared" si="484"/>
        <v/>
      </c>
    </row>
    <row r="27852" spans="8:8" x14ac:dyDescent="0.3">
      <c r="H27852" t="str">
        <f t="shared" si="484"/>
        <v/>
      </c>
    </row>
    <row r="27853" spans="8:8" x14ac:dyDescent="0.3">
      <c r="H27853" t="str">
        <f t="shared" si="484"/>
        <v/>
      </c>
    </row>
    <row r="27854" spans="8:8" x14ac:dyDescent="0.3">
      <c r="H27854" t="str">
        <f t="shared" si="484"/>
        <v/>
      </c>
    </row>
    <row r="27855" spans="8:8" x14ac:dyDescent="0.3">
      <c r="H27855" t="str">
        <f t="shared" si="484"/>
        <v/>
      </c>
    </row>
    <row r="27856" spans="8:8" x14ac:dyDescent="0.3">
      <c r="H27856" t="str">
        <f t="shared" si="484"/>
        <v/>
      </c>
    </row>
    <row r="27857" spans="8:8" x14ac:dyDescent="0.3">
      <c r="H27857" t="str">
        <f t="shared" si="484"/>
        <v/>
      </c>
    </row>
    <row r="27858" spans="8:8" x14ac:dyDescent="0.3">
      <c r="H27858" t="str">
        <f t="shared" si="484"/>
        <v/>
      </c>
    </row>
    <row r="27859" spans="8:8" x14ac:dyDescent="0.3">
      <c r="H27859" t="str">
        <f t="shared" si="484"/>
        <v/>
      </c>
    </row>
    <row r="27860" spans="8:8" x14ac:dyDescent="0.3">
      <c r="H27860" t="str">
        <f t="shared" si="484"/>
        <v/>
      </c>
    </row>
    <row r="27861" spans="8:8" x14ac:dyDescent="0.3">
      <c r="H27861" t="str">
        <f t="shared" si="484"/>
        <v/>
      </c>
    </row>
    <row r="27862" spans="8:8" x14ac:dyDescent="0.3">
      <c r="H27862" t="str">
        <f t="shared" si="484"/>
        <v/>
      </c>
    </row>
    <row r="27863" spans="8:8" x14ac:dyDescent="0.3">
      <c r="H27863" t="str">
        <f t="shared" ref="H27863:H27926" si="485">IF(B27863="","",$C$12)</f>
        <v/>
      </c>
    </row>
    <row r="27864" spans="8:8" x14ac:dyDescent="0.3">
      <c r="H27864" t="str">
        <f t="shared" si="485"/>
        <v/>
      </c>
    </row>
    <row r="27865" spans="8:8" x14ac:dyDescent="0.3">
      <c r="H27865" t="str">
        <f t="shared" si="485"/>
        <v/>
      </c>
    </row>
    <row r="27866" spans="8:8" x14ac:dyDescent="0.3">
      <c r="H27866" t="str">
        <f t="shared" si="485"/>
        <v/>
      </c>
    </row>
    <row r="27867" spans="8:8" x14ac:dyDescent="0.3">
      <c r="H27867" t="str">
        <f t="shared" si="485"/>
        <v/>
      </c>
    </row>
    <row r="27868" spans="8:8" x14ac:dyDescent="0.3">
      <c r="H27868" t="str">
        <f t="shared" si="485"/>
        <v/>
      </c>
    </row>
    <row r="27869" spans="8:8" x14ac:dyDescent="0.3">
      <c r="H27869" t="str">
        <f t="shared" si="485"/>
        <v/>
      </c>
    </row>
    <row r="27870" spans="8:8" x14ac:dyDescent="0.3">
      <c r="H27870" t="str">
        <f t="shared" si="485"/>
        <v/>
      </c>
    </row>
    <row r="27871" spans="8:8" x14ac:dyDescent="0.3">
      <c r="H27871" t="str">
        <f t="shared" si="485"/>
        <v/>
      </c>
    </row>
    <row r="27872" spans="8:8" x14ac:dyDescent="0.3">
      <c r="H27872" t="str">
        <f t="shared" si="485"/>
        <v/>
      </c>
    </row>
    <row r="27873" spans="8:8" x14ac:dyDescent="0.3">
      <c r="H27873" t="str">
        <f t="shared" si="485"/>
        <v/>
      </c>
    </row>
    <row r="27874" spans="8:8" x14ac:dyDescent="0.3">
      <c r="H27874" t="str">
        <f t="shared" si="485"/>
        <v/>
      </c>
    </row>
    <row r="27875" spans="8:8" x14ac:dyDescent="0.3">
      <c r="H27875" t="str">
        <f t="shared" si="485"/>
        <v/>
      </c>
    </row>
    <row r="27876" spans="8:8" x14ac:dyDescent="0.3">
      <c r="H27876" t="str">
        <f t="shared" si="485"/>
        <v/>
      </c>
    </row>
    <row r="27877" spans="8:8" x14ac:dyDescent="0.3">
      <c r="H27877" t="str">
        <f t="shared" si="485"/>
        <v/>
      </c>
    </row>
    <row r="27878" spans="8:8" x14ac:dyDescent="0.3">
      <c r="H27878" t="str">
        <f t="shared" si="485"/>
        <v/>
      </c>
    </row>
    <row r="27879" spans="8:8" x14ac:dyDescent="0.3">
      <c r="H27879" t="str">
        <f t="shared" si="485"/>
        <v/>
      </c>
    </row>
    <row r="27880" spans="8:8" x14ac:dyDescent="0.3">
      <c r="H27880" t="str">
        <f t="shared" si="485"/>
        <v/>
      </c>
    </row>
    <row r="27881" spans="8:8" x14ac:dyDescent="0.3">
      <c r="H27881" t="str">
        <f t="shared" si="485"/>
        <v/>
      </c>
    </row>
    <row r="27882" spans="8:8" x14ac:dyDescent="0.3">
      <c r="H27882" t="str">
        <f t="shared" si="485"/>
        <v/>
      </c>
    </row>
    <row r="27883" spans="8:8" x14ac:dyDescent="0.3">
      <c r="H27883" t="str">
        <f t="shared" si="485"/>
        <v/>
      </c>
    </row>
    <row r="27884" spans="8:8" x14ac:dyDescent="0.3">
      <c r="H27884" t="str">
        <f t="shared" si="485"/>
        <v/>
      </c>
    </row>
    <row r="27885" spans="8:8" x14ac:dyDescent="0.3">
      <c r="H27885" t="str">
        <f t="shared" si="485"/>
        <v/>
      </c>
    </row>
    <row r="27886" spans="8:8" x14ac:dyDescent="0.3">
      <c r="H27886" t="str">
        <f t="shared" si="485"/>
        <v/>
      </c>
    </row>
    <row r="27887" spans="8:8" x14ac:dyDescent="0.3">
      <c r="H27887" t="str">
        <f t="shared" si="485"/>
        <v/>
      </c>
    </row>
    <row r="27888" spans="8:8" x14ac:dyDescent="0.3">
      <c r="H27888" t="str">
        <f t="shared" si="485"/>
        <v/>
      </c>
    </row>
    <row r="27889" spans="8:8" x14ac:dyDescent="0.3">
      <c r="H27889" t="str">
        <f t="shared" si="485"/>
        <v/>
      </c>
    </row>
    <row r="27890" spans="8:8" x14ac:dyDescent="0.3">
      <c r="H27890" t="str">
        <f t="shared" si="485"/>
        <v/>
      </c>
    </row>
    <row r="27891" spans="8:8" x14ac:dyDescent="0.3">
      <c r="H27891" t="str">
        <f t="shared" si="485"/>
        <v/>
      </c>
    </row>
    <row r="27892" spans="8:8" x14ac:dyDescent="0.3">
      <c r="H27892" t="str">
        <f t="shared" si="485"/>
        <v/>
      </c>
    </row>
    <row r="27893" spans="8:8" x14ac:dyDescent="0.3">
      <c r="H27893" t="str">
        <f t="shared" si="485"/>
        <v/>
      </c>
    </row>
    <row r="27894" spans="8:8" x14ac:dyDescent="0.3">
      <c r="H27894" t="str">
        <f t="shared" si="485"/>
        <v/>
      </c>
    </row>
    <row r="27895" spans="8:8" x14ac:dyDescent="0.3">
      <c r="H27895" t="str">
        <f t="shared" si="485"/>
        <v/>
      </c>
    </row>
    <row r="27896" spans="8:8" x14ac:dyDescent="0.3">
      <c r="H27896" t="str">
        <f t="shared" si="485"/>
        <v/>
      </c>
    </row>
    <row r="27897" spans="8:8" x14ac:dyDescent="0.3">
      <c r="H27897" t="str">
        <f t="shared" si="485"/>
        <v/>
      </c>
    </row>
    <row r="27898" spans="8:8" x14ac:dyDescent="0.3">
      <c r="H27898" t="str">
        <f t="shared" si="485"/>
        <v/>
      </c>
    </row>
    <row r="27899" spans="8:8" x14ac:dyDescent="0.3">
      <c r="H27899" t="str">
        <f t="shared" si="485"/>
        <v/>
      </c>
    </row>
    <row r="27900" spans="8:8" x14ac:dyDescent="0.3">
      <c r="H27900" t="str">
        <f t="shared" si="485"/>
        <v/>
      </c>
    </row>
    <row r="27901" spans="8:8" x14ac:dyDescent="0.3">
      <c r="H27901" t="str">
        <f t="shared" si="485"/>
        <v/>
      </c>
    </row>
    <row r="27902" spans="8:8" x14ac:dyDescent="0.3">
      <c r="H27902" t="str">
        <f t="shared" si="485"/>
        <v/>
      </c>
    </row>
    <row r="27903" spans="8:8" x14ac:dyDescent="0.3">
      <c r="H27903" t="str">
        <f t="shared" si="485"/>
        <v/>
      </c>
    </row>
    <row r="27904" spans="8:8" x14ac:dyDescent="0.3">
      <c r="H27904" t="str">
        <f t="shared" si="485"/>
        <v/>
      </c>
    </row>
    <row r="27905" spans="8:8" x14ac:dyDescent="0.3">
      <c r="H27905" t="str">
        <f t="shared" si="485"/>
        <v/>
      </c>
    </row>
    <row r="27906" spans="8:8" x14ac:dyDescent="0.3">
      <c r="H27906" t="str">
        <f t="shared" si="485"/>
        <v/>
      </c>
    </row>
    <row r="27907" spans="8:8" x14ac:dyDescent="0.3">
      <c r="H27907" t="str">
        <f t="shared" si="485"/>
        <v/>
      </c>
    </row>
    <row r="27908" spans="8:8" x14ac:dyDescent="0.3">
      <c r="H27908" t="str">
        <f t="shared" si="485"/>
        <v/>
      </c>
    </row>
    <row r="27909" spans="8:8" x14ac:dyDescent="0.3">
      <c r="H27909" t="str">
        <f t="shared" si="485"/>
        <v/>
      </c>
    </row>
    <row r="27910" spans="8:8" x14ac:dyDescent="0.3">
      <c r="H27910" t="str">
        <f t="shared" si="485"/>
        <v/>
      </c>
    </row>
    <row r="27911" spans="8:8" x14ac:dyDescent="0.3">
      <c r="H27911" t="str">
        <f t="shared" si="485"/>
        <v/>
      </c>
    </row>
    <row r="27912" spans="8:8" x14ac:dyDescent="0.3">
      <c r="H27912" t="str">
        <f t="shared" si="485"/>
        <v/>
      </c>
    </row>
    <row r="27913" spans="8:8" x14ac:dyDescent="0.3">
      <c r="H27913" t="str">
        <f t="shared" si="485"/>
        <v/>
      </c>
    </row>
    <row r="27914" spans="8:8" x14ac:dyDescent="0.3">
      <c r="H27914" t="str">
        <f t="shared" si="485"/>
        <v/>
      </c>
    </row>
    <row r="27915" spans="8:8" x14ac:dyDescent="0.3">
      <c r="H27915" t="str">
        <f t="shared" si="485"/>
        <v/>
      </c>
    </row>
    <row r="27916" spans="8:8" x14ac:dyDescent="0.3">
      <c r="H27916" t="str">
        <f t="shared" si="485"/>
        <v/>
      </c>
    </row>
    <row r="27917" spans="8:8" x14ac:dyDescent="0.3">
      <c r="H27917" t="str">
        <f t="shared" si="485"/>
        <v/>
      </c>
    </row>
    <row r="27918" spans="8:8" x14ac:dyDescent="0.3">
      <c r="H27918" t="str">
        <f t="shared" si="485"/>
        <v/>
      </c>
    </row>
    <row r="27919" spans="8:8" x14ac:dyDescent="0.3">
      <c r="H27919" t="str">
        <f t="shared" si="485"/>
        <v/>
      </c>
    </row>
    <row r="27920" spans="8:8" x14ac:dyDescent="0.3">
      <c r="H27920" t="str">
        <f t="shared" si="485"/>
        <v/>
      </c>
    </row>
    <row r="27921" spans="8:8" x14ac:dyDescent="0.3">
      <c r="H27921" t="str">
        <f t="shared" si="485"/>
        <v/>
      </c>
    </row>
    <row r="27922" spans="8:8" x14ac:dyDescent="0.3">
      <c r="H27922" t="str">
        <f t="shared" si="485"/>
        <v/>
      </c>
    </row>
    <row r="27923" spans="8:8" x14ac:dyDescent="0.3">
      <c r="H27923" t="str">
        <f t="shared" si="485"/>
        <v/>
      </c>
    </row>
    <row r="27924" spans="8:8" x14ac:dyDescent="0.3">
      <c r="H27924" t="str">
        <f t="shared" si="485"/>
        <v/>
      </c>
    </row>
    <row r="27925" spans="8:8" x14ac:dyDescent="0.3">
      <c r="H27925" t="str">
        <f t="shared" si="485"/>
        <v/>
      </c>
    </row>
    <row r="27926" spans="8:8" x14ac:dyDescent="0.3">
      <c r="H27926" t="str">
        <f t="shared" si="485"/>
        <v/>
      </c>
    </row>
    <row r="27927" spans="8:8" x14ac:dyDescent="0.3">
      <c r="H27927" t="str">
        <f t="shared" ref="H27927:H27990" si="486">IF(B27927="","",$C$12)</f>
        <v/>
      </c>
    </row>
    <row r="27928" spans="8:8" x14ac:dyDescent="0.3">
      <c r="H27928" t="str">
        <f t="shared" si="486"/>
        <v/>
      </c>
    </row>
    <row r="27929" spans="8:8" x14ac:dyDescent="0.3">
      <c r="H27929" t="str">
        <f t="shared" si="486"/>
        <v/>
      </c>
    </row>
    <row r="27930" spans="8:8" x14ac:dyDescent="0.3">
      <c r="H27930" t="str">
        <f t="shared" si="486"/>
        <v/>
      </c>
    </row>
    <row r="27931" spans="8:8" x14ac:dyDescent="0.3">
      <c r="H27931" t="str">
        <f t="shared" si="486"/>
        <v/>
      </c>
    </row>
    <row r="27932" spans="8:8" x14ac:dyDescent="0.3">
      <c r="H27932" t="str">
        <f t="shared" si="486"/>
        <v/>
      </c>
    </row>
    <row r="27933" spans="8:8" x14ac:dyDescent="0.3">
      <c r="H27933" t="str">
        <f t="shared" si="486"/>
        <v/>
      </c>
    </row>
    <row r="27934" spans="8:8" x14ac:dyDescent="0.3">
      <c r="H27934" t="str">
        <f t="shared" si="486"/>
        <v/>
      </c>
    </row>
    <row r="27935" spans="8:8" x14ac:dyDescent="0.3">
      <c r="H27935" t="str">
        <f t="shared" si="486"/>
        <v/>
      </c>
    </row>
    <row r="27936" spans="8:8" x14ac:dyDescent="0.3">
      <c r="H27936" t="str">
        <f t="shared" si="486"/>
        <v/>
      </c>
    </row>
    <row r="27937" spans="8:8" x14ac:dyDescent="0.3">
      <c r="H27937" t="str">
        <f t="shared" si="486"/>
        <v/>
      </c>
    </row>
    <row r="27938" spans="8:8" x14ac:dyDescent="0.3">
      <c r="H27938" t="str">
        <f t="shared" si="486"/>
        <v/>
      </c>
    </row>
    <row r="27939" spans="8:8" x14ac:dyDescent="0.3">
      <c r="H27939" t="str">
        <f t="shared" si="486"/>
        <v/>
      </c>
    </row>
    <row r="27940" spans="8:8" x14ac:dyDescent="0.3">
      <c r="H27940" t="str">
        <f t="shared" si="486"/>
        <v/>
      </c>
    </row>
    <row r="27941" spans="8:8" x14ac:dyDescent="0.3">
      <c r="H27941" t="str">
        <f t="shared" si="486"/>
        <v/>
      </c>
    </row>
    <row r="27942" spans="8:8" x14ac:dyDescent="0.3">
      <c r="H27942" t="str">
        <f t="shared" si="486"/>
        <v/>
      </c>
    </row>
    <row r="27943" spans="8:8" x14ac:dyDescent="0.3">
      <c r="H27943" t="str">
        <f t="shared" si="486"/>
        <v/>
      </c>
    </row>
    <row r="27944" spans="8:8" x14ac:dyDescent="0.3">
      <c r="H27944" t="str">
        <f t="shared" si="486"/>
        <v/>
      </c>
    </row>
    <row r="27945" spans="8:8" x14ac:dyDescent="0.3">
      <c r="H27945" t="str">
        <f t="shared" si="486"/>
        <v/>
      </c>
    </row>
    <row r="27946" spans="8:8" x14ac:dyDescent="0.3">
      <c r="H27946" t="str">
        <f t="shared" si="486"/>
        <v/>
      </c>
    </row>
    <row r="27947" spans="8:8" x14ac:dyDescent="0.3">
      <c r="H27947" t="str">
        <f t="shared" si="486"/>
        <v/>
      </c>
    </row>
    <row r="27948" spans="8:8" x14ac:dyDescent="0.3">
      <c r="H27948" t="str">
        <f t="shared" si="486"/>
        <v/>
      </c>
    </row>
    <row r="27949" spans="8:8" x14ac:dyDescent="0.3">
      <c r="H27949" t="str">
        <f t="shared" si="486"/>
        <v/>
      </c>
    </row>
    <row r="27950" spans="8:8" x14ac:dyDescent="0.3">
      <c r="H27950" t="str">
        <f t="shared" si="486"/>
        <v/>
      </c>
    </row>
    <row r="27951" spans="8:8" x14ac:dyDescent="0.3">
      <c r="H27951" t="str">
        <f t="shared" si="486"/>
        <v/>
      </c>
    </row>
    <row r="27952" spans="8:8" x14ac:dyDescent="0.3">
      <c r="H27952" t="str">
        <f t="shared" si="486"/>
        <v/>
      </c>
    </row>
    <row r="27953" spans="8:8" x14ac:dyDescent="0.3">
      <c r="H27953" t="str">
        <f t="shared" si="486"/>
        <v/>
      </c>
    </row>
    <row r="27954" spans="8:8" x14ac:dyDescent="0.3">
      <c r="H27954" t="str">
        <f t="shared" si="486"/>
        <v/>
      </c>
    </row>
    <row r="27955" spans="8:8" x14ac:dyDescent="0.3">
      <c r="H27955" t="str">
        <f t="shared" si="486"/>
        <v/>
      </c>
    </row>
    <row r="27956" spans="8:8" x14ac:dyDescent="0.3">
      <c r="H27956" t="str">
        <f t="shared" si="486"/>
        <v/>
      </c>
    </row>
    <row r="27957" spans="8:8" x14ac:dyDescent="0.3">
      <c r="H27957" t="str">
        <f t="shared" si="486"/>
        <v/>
      </c>
    </row>
    <row r="27958" spans="8:8" x14ac:dyDescent="0.3">
      <c r="H27958" t="str">
        <f t="shared" si="486"/>
        <v/>
      </c>
    </row>
    <row r="27959" spans="8:8" x14ac:dyDescent="0.3">
      <c r="H27959" t="str">
        <f t="shared" si="486"/>
        <v/>
      </c>
    </row>
    <row r="27960" spans="8:8" x14ac:dyDescent="0.3">
      <c r="H27960" t="str">
        <f t="shared" si="486"/>
        <v/>
      </c>
    </row>
    <row r="27961" spans="8:8" x14ac:dyDescent="0.3">
      <c r="H27961" t="str">
        <f t="shared" si="486"/>
        <v/>
      </c>
    </row>
    <row r="27962" spans="8:8" x14ac:dyDescent="0.3">
      <c r="H27962" t="str">
        <f t="shared" si="486"/>
        <v/>
      </c>
    </row>
    <row r="27963" spans="8:8" x14ac:dyDescent="0.3">
      <c r="H27963" t="str">
        <f t="shared" si="486"/>
        <v/>
      </c>
    </row>
    <row r="27964" spans="8:8" x14ac:dyDescent="0.3">
      <c r="H27964" t="str">
        <f t="shared" si="486"/>
        <v/>
      </c>
    </row>
    <row r="27965" spans="8:8" x14ac:dyDescent="0.3">
      <c r="H27965" t="str">
        <f t="shared" si="486"/>
        <v/>
      </c>
    </row>
    <row r="27966" spans="8:8" x14ac:dyDescent="0.3">
      <c r="H27966" t="str">
        <f t="shared" si="486"/>
        <v/>
      </c>
    </row>
    <row r="27967" spans="8:8" x14ac:dyDescent="0.3">
      <c r="H27967" t="str">
        <f t="shared" si="486"/>
        <v/>
      </c>
    </row>
    <row r="27968" spans="8:8" x14ac:dyDescent="0.3">
      <c r="H27968" t="str">
        <f t="shared" si="486"/>
        <v/>
      </c>
    </row>
    <row r="27969" spans="8:8" x14ac:dyDescent="0.3">
      <c r="H27969" t="str">
        <f t="shared" si="486"/>
        <v/>
      </c>
    </row>
    <row r="27970" spans="8:8" x14ac:dyDescent="0.3">
      <c r="H27970" t="str">
        <f t="shared" si="486"/>
        <v/>
      </c>
    </row>
    <row r="27971" spans="8:8" x14ac:dyDescent="0.3">
      <c r="H27971" t="str">
        <f t="shared" si="486"/>
        <v/>
      </c>
    </row>
    <row r="27972" spans="8:8" x14ac:dyDescent="0.3">
      <c r="H27972" t="str">
        <f t="shared" si="486"/>
        <v/>
      </c>
    </row>
    <row r="27973" spans="8:8" x14ac:dyDescent="0.3">
      <c r="H27973" t="str">
        <f t="shared" si="486"/>
        <v/>
      </c>
    </row>
    <row r="27974" spans="8:8" x14ac:dyDescent="0.3">
      <c r="H27974" t="str">
        <f t="shared" si="486"/>
        <v/>
      </c>
    </row>
    <row r="27975" spans="8:8" x14ac:dyDescent="0.3">
      <c r="H27975" t="str">
        <f t="shared" si="486"/>
        <v/>
      </c>
    </row>
    <row r="27976" spans="8:8" x14ac:dyDescent="0.3">
      <c r="H27976" t="str">
        <f t="shared" si="486"/>
        <v/>
      </c>
    </row>
    <row r="27977" spans="8:8" x14ac:dyDescent="0.3">
      <c r="H27977" t="str">
        <f t="shared" si="486"/>
        <v/>
      </c>
    </row>
    <row r="27978" spans="8:8" x14ac:dyDescent="0.3">
      <c r="H27978" t="str">
        <f t="shared" si="486"/>
        <v/>
      </c>
    </row>
    <row r="27979" spans="8:8" x14ac:dyDescent="0.3">
      <c r="H27979" t="str">
        <f t="shared" si="486"/>
        <v/>
      </c>
    </row>
    <row r="27980" spans="8:8" x14ac:dyDescent="0.3">
      <c r="H27980" t="str">
        <f t="shared" si="486"/>
        <v/>
      </c>
    </row>
    <row r="27981" spans="8:8" x14ac:dyDescent="0.3">
      <c r="H27981" t="str">
        <f t="shared" si="486"/>
        <v/>
      </c>
    </row>
    <row r="27982" spans="8:8" x14ac:dyDescent="0.3">
      <c r="H27982" t="str">
        <f t="shared" si="486"/>
        <v/>
      </c>
    </row>
    <row r="27983" spans="8:8" x14ac:dyDescent="0.3">
      <c r="H27983" t="str">
        <f t="shared" si="486"/>
        <v/>
      </c>
    </row>
    <row r="27984" spans="8:8" x14ac:dyDescent="0.3">
      <c r="H27984" t="str">
        <f t="shared" si="486"/>
        <v/>
      </c>
    </row>
    <row r="27985" spans="8:8" x14ac:dyDescent="0.3">
      <c r="H27985" t="str">
        <f t="shared" si="486"/>
        <v/>
      </c>
    </row>
    <row r="27986" spans="8:8" x14ac:dyDescent="0.3">
      <c r="H27986" t="str">
        <f t="shared" si="486"/>
        <v/>
      </c>
    </row>
    <row r="27987" spans="8:8" x14ac:dyDescent="0.3">
      <c r="H27987" t="str">
        <f t="shared" si="486"/>
        <v/>
      </c>
    </row>
    <row r="27988" spans="8:8" x14ac:dyDescent="0.3">
      <c r="H27988" t="str">
        <f t="shared" si="486"/>
        <v/>
      </c>
    </row>
    <row r="27989" spans="8:8" x14ac:dyDescent="0.3">
      <c r="H27989" t="str">
        <f t="shared" si="486"/>
        <v/>
      </c>
    </row>
    <row r="27990" spans="8:8" x14ac:dyDescent="0.3">
      <c r="H27990" t="str">
        <f t="shared" si="486"/>
        <v/>
      </c>
    </row>
    <row r="27991" spans="8:8" x14ac:dyDescent="0.3">
      <c r="H27991" t="str">
        <f t="shared" ref="H27991:H28054" si="487">IF(B27991="","",$C$12)</f>
        <v/>
      </c>
    </row>
    <row r="27992" spans="8:8" x14ac:dyDescent="0.3">
      <c r="H27992" t="str">
        <f t="shared" si="487"/>
        <v/>
      </c>
    </row>
    <row r="27993" spans="8:8" x14ac:dyDescent="0.3">
      <c r="H27993" t="str">
        <f t="shared" si="487"/>
        <v/>
      </c>
    </row>
    <row r="27994" spans="8:8" x14ac:dyDescent="0.3">
      <c r="H27994" t="str">
        <f t="shared" si="487"/>
        <v/>
      </c>
    </row>
    <row r="27995" spans="8:8" x14ac:dyDescent="0.3">
      <c r="H27995" t="str">
        <f t="shared" si="487"/>
        <v/>
      </c>
    </row>
    <row r="27996" spans="8:8" x14ac:dyDescent="0.3">
      <c r="H27996" t="str">
        <f t="shared" si="487"/>
        <v/>
      </c>
    </row>
    <row r="27997" spans="8:8" x14ac:dyDescent="0.3">
      <c r="H27997" t="str">
        <f t="shared" si="487"/>
        <v/>
      </c>
    </row>
    <row r="27998" spans="8:8" x14ac:dyDescent="0.3">
      <c r="H27998" t="str">
        <f t="shared" si="487"/>
        <v/>
      </c>
    </row>
    <row r="27999" spans="8:8" x14ac:dyDescent="0.3">
      <c r="H27999" t="str">
        <f t="shared" si="487"/>
        <v/>
      </c>
    </row>
    <row r="28000" spans="8:8" x14ac:dyDescent="0.3">
      <c r="H28000" t="str">
        <f t="shared" si="487"/>
        <v/>
      </c>
    </row>
    <row r="28001" spans="8:8" x14ac:dyDescent="0.3">
      <c r="H28001" t="str">
        <f t="shared" si="487"/>
        <v/>
      </c>
    </row>
    <row r="28002" spans="8:8" x14ac:dyDescent="0.3">
      <c r="H28002" t="str">
        <f t="shared" si="487"/>
        <v/>
      </c>
    </row>
    <row r="28003" spans="8:8" x14ac:dyDescent="0.3">
      <c r="H28003" t="str">
        <f t="shared" si="487"/>
        <v/>
      </c>
    </row>
    <row r="28004" spans="8:8" x14ac:dyDescent="0.3">
      <c r="H28004" t="str">
        <f t="shared" si="487"/>
        <v/>
      </c>
    </row>
    <row r="28005" spans="8:8" x14ac:dyDescent="0.3">
      <c r="H28005" t="str">
        <f t="shared" si="487"/>
        <v/>
      </c>
    </row>
    <row r="28006" spans="8:8" x14ac:dyDescent="0.3">
      <c r="H28006" t="str">
        <f t="shared" si="487"/>
        <v/>
      </c>
    </row>
    <row r="28007" spans="8:8" x14ac:dyDescent="0.3">
      <c r="H28007" t="str">
        <f t="shared" si="487"/>
        <v/>
      </c>
    </row>
    <row r="28008" spans="8:8" x14ac:dyDescent="0.3">
      <c r="H28008" t="str">
        <f t="shared" si="487"/>
        <v/>
      </c>
    </row>
    <row r="28009" spans="8:8" x14ac:dyDescent="0.3">
      <c r="H28009" t="str">
        <f t="shared" si="487"/>
        <v/>
      </c>
    </row>
    <row r="28010" spans="8:8" x14ac:dyDescent="0.3">
      <c r="H28010" t="str">
        <f t="shared" si="487"/>
        <v/>
      </c>
    </row>
    <row r="28011" spans="8:8" x14ac:dyDescent="0.3">
      <c r="H28011" t="str">
        <f t="shared" si="487"/>
        <v/>
      </c>
    </row>
    <row r="28012" spans="8:8" x14ac:dyDescent="0.3">
      <c r="H28012" t="str">
        <f t="shared" si="487"/>
        <v/>
      </c>
    </row>
    <row r="28013" spans="8:8" x14ac:dyDescent="0.3">
      <c r="H28013" t="str">
        <f t="shared" si="487"/>
        <v/>
      </c>
    </row>
    <row r="28014" spans="8:8" x14ac:dyDescent="0.3">
      <c r="H28014" t="str">
        <f t="shared" si="487"/>
        <v/>
      </c>
    </row>
    <row r="28015" spans="8:8" x14ac:dyDescent="0.3">
      <c r="H28015" t="str">
        <f t="shared" si="487"/>
        <v/>
      </c>
    </row>
    <row r="28016" spans="8:8" x14ac:dyDescent="0.3">
      <c r="H28016" t="str">
        <f t="shared" si="487"/>
        <v/>
      </c>
    </row>
    <row r="28017" spans="8:8" x14ac:dyDescent="0.3">
      <c r="H28017" t="str">
        <f t="shared" si="487"/>
        <v/>
      </c>
    </row>
    <row r="28018" spans="8:8" x14ac:dyDescent="0.3">
      <c r="H28018" t="str">
        <f t="shared" si="487"/>
        <v/>
      </c>
    </row>
    <row r="28019" spans="8:8" x14ac:dyDescent="0.3">
      <c r="H28019" t="str">
        <f t="shared" si="487"/>
        <v/>
      </c>
    </row>
    <row r="28020" spans="8:8" x14ac:dyDescent="0.3">
      <c r="H28020" t="str">
        <f t="shared" si="487"/>
        <v/>
      </c>
    </row>
    <row r="28021" spans="8:8" x14ac:dyDescent="0.3">
      <c r="H28021" t="str">
        <f t="shared" si="487"/>
        <v/>
      </c>
    </row>
    <row r="28022" spans="8:8" x14ac:dyDescent="0.3">
      <c r="H28022" t="str">
        <f t="shared" si="487"/>
        <v/>
      </c>
    </row>
    <row r="28023" spans="8:8" x14ac:dyDescent="0.3">
      <c r="H28023" t="str">
        <f t="shared" si="487"/>
        <v/>
      </c>
    </row>
    <row r="28024" spans="8:8" x14ac:dyDescent="0.3">
      <c r="H28024" t="str">
        <f t="shared" si="487"/>
        <v/>
      </c>
    </row>
    <row r="28025" spans="8:8" x14ac:dyDescent="0.3">
      <c r="H28025" t="str">
        <f t="shared" si="487"/>
        <v/>
      </c>
    </row>
    <row r="28026" spans="8:8" x14ac:dyDescent="0.3">
      <c r="H28026" t="str">
        <f t="shared" si="487"/>
        <v/>
      </c>
    </row>
    <row r="28027" spans="8:8" x14ac:dyDescent="0.3">
      <c r="H28027" t="str">
        <f t="shared" si="487"/>
        <v/>
      </c>
    </row>
    <row r="28028" spans="8:8" x14ac:dyDescent="0.3">
      <c r="H28028" t="str">
        <f t="shared" si="487"/>
        <v/>
      </c>
    </row>
    <row r="28029" spans="8:8" x14ac:dyDescent="0.3">
      <c r="H28029" t="str">
        <f t="shared" si="487"/>
        <v/>
      </c>
    </row>
    <row r="28030" spans="8:8" x14ac:dyDescent="0.3">
      <c r="H28030" t="str">
        <f t="shared" si="487"/>
        <v/>
      </c>
    </row>
    <row r="28031" spans="8:8" x14ac:dyDescent="0.3">
      <c r="H28031" t="str">
        <f t="shared" si="487"/>
        <v/>
      </c>
    </row>
    <row r="28032" spans="8:8" x14ac:dyDescent="0.3">
      <c r="H28032" t="str">
        <f t="shared" si="487"/>
        <v/>
      </c>
    </row>
    <row r="28033" spans="8:8" x14ac:dyDescent="0.3">
      <c r="H28033" t="str">
        <f t="shared" si="487"/>
        <v/>
      </c>
    </row>
    <row r="28034" spans="8:8" x14ac:dyDescent="0.3">
      <c r="H28034" t="str">
        <f t="shared" si="487"/>
        <v/>
      </c>
    </row>
    <row r="28035" spans="8:8" x14ac:dyDescent="0.3">
      <c r="H28035" t="str">
        <f t="shared" si="487"/>
        <v/>
      </c>
    </row>
    <row r="28036" spans="8:8" x14ac:dyDescent="0.3">
      <c r="H28036" t="str">
        <f t="shared" si="487"/>
        <v/>
      </c>
    </row>
    <row r="28037" spans="8:8" x14ac:dyDescent="0.3">
      <c r="H28037" t="str">
        <f t="shared" si="487"/>
        <v/>
      </c>
    </row>
    <row r="28038" spans="8:8" x14ac:dyDescent="0.3">
      <c r="H28038" t="str">
        <f t="shared" si="487"/>
        <v/>
      </c>
    </row>
    <row r="28039" spans="8:8" x14ac:dyDescent="0.3">
      <c r="H28039" t="str">
        <f t="shared" si="487"/>
        <v/>
      </c>
    </row>
    <row r="28040" spans="8:8" x14ac:dyDescent="0.3">
      <c r="H28040" t="str">
        <f t="shared" si="487"/>
        <v/>
      </c>
    </row>
    <row r="28041" spans="8:8" x14ac:dyDescent="0.3">
      <c r="H28041" t="str">
        <f t="shared" si="487"/>
        <v/>
      </c>
    </row>
    <row r="28042" spans="8:8" x14ac:dyDescent="0.3">
      <c r="H28042" t="str">
        <f t="shared" si="487"/>
        <v/>
      </c>
    </row>
    <row r="28043" spans="8:8" x14ac:dyDescent="0.3">
      <c r="H28043" t="str">
        <f t="shared" si="487"/>
        <v/>
      </c>
    </row>
    <row r="28044" spans="8:8" x14ac:dyDescent="0.3">
      <c r="H28044" t="str">
        <f t="shared" si="487"/>
        <v/>
      </c>
    </row>
    <row r="28045" spans="8:8" x14ac:dyDescent="0.3">
      <c r="H28045" t="str">
        <f t="shared" si="487"/>
        <v/>
      </c>
    </row>
    <row r="28046" spans="8:8" x14ac:dyDescent="0.3">
      <c r="H28046" t="str">
        <f t="shared" si="487"/>
        <v/>
      </c>
    </row>
    <row r="28047" spans="8:8" x14ac:dyDescent="0.3">
      <c r="H28047" t="str">
        <f t="shared" si="487"/>
        <v/>
      </c>
    </row>
    <row r="28048" spans="8:8" x14ac:dyDescent="0.3">
      <c r="H28048" t="str">
        <f t="shared" si="487"/>
        <v/>
      </c>
    </row>
    <row r="28049" spans="8:8" x14ac:dyDescent="0.3">
      <c r="H28049" t="str">
        <f t="shared" si="487"/>
        <v/>
      </c>
    </row>
    <row r="28050" spans="8:8" x14ac:dyDescent="0.3">
      <c r="H28050" t="str">
        <f t="shared" si="487"/>
        <v/>
      </c>
    </row>
    <row r="28051" spans="8:8" x14ac:dyDescent="0.3">
      <c r="H28051" t="str">
        <f t="shared" si="487"/>
        <v/>
      </c>
    </row>
    <row r="28052" spans="8:8" x14ac:dyDescent="0.3">
      <c r="H28052" t="str">
        <f t="shared" si="487"/>
        <v/>
      </c>
    </row>
    <row r="28053" spans="8:8" x14ac:dyDescent="0.3">
      <c r="H28053" t="str">
        <f t="shared" si="487"/>
        <v/>
      </c>
    </row>
    <row r="28054" spans="8:8" x14ac:dyDescent="0.3">
      <c r="H28054" t="str">
        <f t="shared" si="487"/>
        <v/>
      </c>
    </row>
    <row r="28055" spans="8:8" x14ac:dyDescent="0.3">
      <c r="H28055" t="str">
        <f t="shared" ref="H28055:H28118" si="488">IF(B28055="","",$C$12)</f>
        <v/>
      </c>
    </row>
    <row r="28056" spans="8:8" x14ac:dyDescent="0.3">
      <c r="H28056" t="str">
        <f t="shared" si="488"/>
        <v/>
      </c>
    </row>
    <row r="28057" spans="8:8" x14ac:dyDescent="0.3">
      <c r="H28057" t="str">
        <f t="shared" si="488"/>
        <v/>
      </c>
    </row>
    <row r="28058" spans="8:8" x14ac:dyDescent="0.3">
      <c r="H28058" t="str">
        <f t="shared" si="488"/>
        <v/>
      </c>
    </row>
    <row r="28059" spans="8:8" x14ac:dyDescent="0.3">
      <c r="H28059" t="str">
        <f t="shared" si="488"/>
        <v/>
      </c>
    </row>
    <row r="28060" spans="8:8" x14ac:dyDescent="0.3">
      <c r="H28060" t="str">
        <f t="shared" si="488"/>
        <v/>
      </c>
    </row>
    <row r="28061" spans="8:8" x14ac:dyDescent="0.3">
      <c r="H28061" t="str">
        <f t="shared" si="488"/>
        <v/>
      </c>
    </row>
    <row r="28062" spans="8:8" x14ac:dyDescent="0.3">
      <c r="H28062" t="str">
        <f t="shared" si="488"/>
        <v/>
      </c>
    </row>
    <row r="28063" spans="8:8" x14ac:dyDescent="0.3">
      <c r="H28063" t="str">
        <f t="shared" si="488"/>
        <v/>
      </c>
    </row>
    <row r="28064" spans="8:8" x14ac:dyDescent="0.3">
      <c r="H28064" t="str">
        <f t="shared" si="488"/>
        <v/>
      </c>
    </row>
    <row r="28065" spans="8:8" x14ac:dyDescent="0.3">
      <c r="H28065" t="str">
        <f t="shared" si="488"/>
        <v/>
      </c>
    </row>
    <row r="28066" spans="8:8" x14ac:dyDescent="0.3">
      <c r="H28066" t="str">
        <f t="shared" si="488"/>
        <v/>
      </c>
    </row>
    <row r="28067" spans="8:8" x14ac:dyDescent="0.3">
      <c r="H28067" t="str">
        <f t="shared" si="488"/>
        <v/>
      </c>
    </row>
    <row r="28068" spans="8:8" x14ac:dyDescent="0.3">
      <c r="H28068" t="str">
        <f t="shared" si="488"/>
        <v/>
      </c>
    </row>
    <row r="28069" spans="8:8" x14ac:dyDescent="0.3">
      <c r="H28069" t="str">
        <f t="shared" si="488"/>
        <v/>
      </c>
    </row>
    <row r="28070" spans="8:8" x14ac:dyDescent="0.3">
      <c r="H28070" t="str">
        <f t="shared" si="488"/>
        <v/>
      </c>
    </row>
    <row r="28071" spans="8:8" x14ac:dyDescent="0.3">
      <c r="H28071" t="str">
        <f t="shared" si="488"/>
        <v/>
      </c>
    </row>
    <row r="28072" spans="8:8" x14ac:dyDescent="0.3">
      <c r="H28072" t="str">
        <f t="shared" si="488"/>
        <v/>
      </c>
    </row>
    <row r="28073" spans="8:8" x14ac:dyDescent="0.3">
      <c r="H28073" t="str">
        <f t="shared" si="488"/>
        <v/>
      </c>
    </row>
    <row r="28074" spans="8:8" x14ac:dyDescent="0.3">
      <c r="H28074" t="str">
        <f t="shared" si="488"/>
        <v/>
      </c>
    </row>
    <row r="28075" spans="8:8" x14ac:dyDescent="0.3">
      <c r="H28075" t="str">
        <f t="shared" si="488"/>
        <v/>
      </c>
    </row>
    <row r="28076" spans="8:8" x14ac:dyDescent="0.3">
      <c r="H28076" t="str">
        <f t="shared" si="488"/>
        <v/>
      </c>
    </row>
    <row r="28077" spans="8:8" x14ac:dyDescent="0.3">
      <c r="H28077" t="str">
        <f t="shared" si="488"/>
        <v/>
      </c>
    </row>
    <row r="28078" spans="8:8" x14ac:dyDescent="0.3">
      <c r="H28078" t="str">
        <f t="shared" si="488"/>
        <v/>
      </c>
    </row>
    <row r="28079" spans="8:8" x14ac:dyDescent="0.3">
      <c r="H28079" t="str">
        <f t="shared" si="488"/>
        <v/>
      </c>
    </row>
    <row r="28080" spans="8:8" x14ac:dyDescent="0.3">
      <c r="H28080" t="str">
        <f t="shared" si="488"/>
        <v/>
      </c>
    </row>
    <row r="28081" spans="8:8" x14ac:dyDescent="0.3">
      <c r="H28081" t="str">
        <f t="shared" si="488"/>
        <v/>
      </c>
    </row>
    <row r="28082" spans="8:8" x14ac:dyDescent="0.3">
      <c r="H28082" t="str">
        <f t="shared" si="488"/>
        <v/>
      </c>
    </row>
    <row r="28083" spans="8:8" x14ac:dyDescent="0.3">
      <c r="H28083" t="str">
        <f t="shared" si="488"/>
        <v/>
      </c>
    </row>
    <row r="28084" spans="8:8" x14ac:dyDescent="0.3">
      <c r="H28084" t="str">
        <f t="shared" si="488"/>
        <v/>
      </c>
    </row>
    <row r="28085" spans="8:8" x14ac:dyDescent="0.3">
      <c r="H28085" t="str">
        <f t="shared" si="488"/>
        <v/>
      </c>
    </row>
    <row r="28086" spans="8:8" x14ac:dyDescent="0.3">
      <c r="H28086" t="str">
        <f t="shared" si="488"/>
        <v/>
      </c>
    </row>
    <row r="28087" spans="8:8" x14ac:dyDescent="0.3">
      <c r="H28087" t="str">
        <f t="shared" si="488"/>
        <v/>
      </c>
    </row>
    <row r="28088" spans="8:8" x14ac:dyDescent="0.3">
      <c r="H28088" t="str">
        <f t="shared" si="488"/>
        <v/>
      </c>
    </row>
    <row r="28089" spans="8:8" x14ac:dyDescent="0.3">
      <c r="H28089" t="str">
        <f t="shared" si="488"/>
        <v/>
      </c>
    </row>
    <row r="28090" spans="8:8" x14ac:dyDescent="0.3">
      <c r="H28090" t="str">
        <f t="shared" si="488"/>
        <v/>
      </c>
    </row>
    <row r="28091" spans="8:8" x14ac:dyDescent="0.3">
      <c r="H28091" t="str">
        <f t="shared" si="488"/>
        <v/>
      </c>
    </row>
    <row r="28092" spans="8:8" x14ac:dyDescent="0.3">
      <c r="H28092" t="str">
        <f t="shared" si="488"/>
        <v/>
      </c>
    </row>
    <row r="28093" spans="8:8" x14ac:dyDescent="0.3">
      <c r="H28093" t="str">
        <f t="shared" si="488"/>
        <v/>
      </c>
    </row>
    <row r="28094" spans="8:8" x14ac:dyDescent="0.3">
      <c r="H28094" t="str">
        <f t="shared" si="488"/>
        <v/>
      </c>
    </row>
    <row r="28095" spans="8:8" x14ac:dyDescent="0.3">
      <c r="H28095" t="str">
        <f t="shared" si="488"/>
        <v/>
      </c>
    </row>
    <row r="28096" spans="8:8" x14ac:dyDescent="0.3">
      <c r="H28096" t="str">
        <f t="shared" si="488"/>
        <v/>
      </c>
    </row>
    <row r="28097" spans="8:8" x14ac:dyDescent="0.3">
      <c r="H28097" t="str">
        <f t="shared" si="488"/>
        <v/>
      </c>
    </row>
    <row r="28098" spans="8:8" x14ac:dyDescent="0.3">
      <c r="H28098" t="str">
        <f t="shared" si="488"/>
        <v/>
      </c>
    </row>
    <row r="28099" spans="8:8" x14ac:dyDescent="0.3">
      <c r="H28099" t="str">
        <f t="shared" si="488"/>
        <v/>
      </c>
    </row>
    <row r="28100" spans="8:8" x14ac:dyDescent="0.3">
      <c r="H28100" t="str">
        <f t="shared" si="488"/>
        <v/>
      </c>
    </row>
    <row r="28101" spans="8:8" x14ac:dyDescent="0.3">
      <c r="H28101" t="str">
        <f t="shared" si="488"/>
        <v/>
      </c>
    </row>
    <row r="28102" spans="8:8" x14ac:dyDescent="0.3">
      <c r="H28102" t="str">
        <f t="shared" si="488"/>
        <v/>
      </c>
    </row>
    <row r="28103" spans="8:8" x14ac:dyDescent="0.3">
      <c r="H28103" t="str">
        <f t="shared" si="488"/>
        <v/>
      </c>
    </row>
    <row r="28104" spans="8:8" x14ac:dyDescent="0.3">
      <c r="H28104" t="str">
        <f t="shared" si="488"/>
        <v/>
      </c>
    </row>
    <row r="28105" spans="8:8" x14ac:dyDescent="0.3">
      <c r="H28105" t="str">
        <f t="shared" si="488"/>
        <v/>
      </c>
    </row>
    <row r="28106" spans="8:8" x14ac:dyDescent="0.3">
      <c r="H28106" t="str">
        <f t="shared" si="488"/>
        <v/>
      </c>
    </row>
    <row r="28107" spans="8:8" x14ac:dyDescent="0.3">
      <c r="H28107" t="str">
        <f t="shared" si="488"/>
        <v/>
      </c>
    </row>
    <row r="28108" spans="8:8" x14ac:dyDescent="0.3">
      <c r="H28108" t="str">
        <f t="shared" si="488"/>
        <v/>
      </c>
    </row>
    <row r="28109" spans="8:8" x14ac:dyDescent="0.3">
      <c r="H28109" t="str">
        <f t="shared" si="488"/>
        <v/>
      </c>
    </row>
    <row r="28110" spans="8:8" x14ac:dyDescent="0.3">
      <c r="H28110" t="str">
        <f t="shared" si="488"/>
        <v/>
      </c>
    </row>
    <row r="28111" spans="8:8" x14ac:dyDescent="0.3">
      <c r="H28111" t="str">
        <f t="shared" si="488"/>
        <v/>
      </c>
    </row>
    <row r="28112" spans="8:8" x14ac:dyDescent="0.3">
      <c r="H28112" t="str">
        <f t="shared" si="488"/>
        <v/>
      </c>
    </row>
    <row r="28113" spans="8:8" x14ac:dyDescent="0.3">
      <c r="H28113" t="str">
        <f t="shared" si="488"/>
        <v/>
      </c>
    </row>
    <row r="28114" spans="8:8" x14ac:dyDescent="0.3">
      <c r="H28114" t="str">
        <f t="shared" si="488"/>
        <v/>
      </c>
    </row>
    <row r="28115" spans="8:8" x14ac:dyDescent="0.3">
      <c r="H28115" t="str">
        <f t="shared" si="488"/>
        <v/>
      </c>
    </row>
    <row r="28116" spans="8:8" x14ac:dyDescent="0.3">
      <c r="H28116" t="str">
        <f t="shared" si="488"/>
        <v/>
      </c>
    </row>
    <row r="28117" spans="8:8" x14ac:dyDescent="0.3">
      <c r="H28117" t="str">
        <f t="shared" si="488"/>
        <v/>
      </c>
    </row>
    <row r="28118" spans="8:8" x14ac:dyDescent="0.3">
      <c r="H28118" t="str">
        <f t="shared" si="488"/>
        <v/>
      </c>
    </row>
    <row r="28119" spans="8:8" x14ac:dyDescent="0.3">
      <c r="H28119" t="str">
        <f t="shared" ref="H28119:H28182" si="489">IF(B28119="","",$C$12)</f>
        <v/>
      </c>
    </row>
    <row r="28120" spans="8:8" x14ac:dyDescent="0.3">
      <c r="H28120" t="str">
        <f t="shared" si="489"/>
        <v/>
      </c>
    </row>
    <row r="28121" spans="8:8" x14ac:dyDescent="0.3">
      <c r="H28121" t="str">
        <f t="shared" si="489"/>
        <v/>
      </c>
    </row>
    <row r="28122" spans="8:8" x14ac:dyDescent="0.3">
      <c r="H28122" t="str">
        <f t="shared" si="489"/>
        <v/>
      </c>
    </row>
    <row r="28123" spans="8:8" x14ac:dyDescent="0.3">
      <c r="H28123" t="str">
        <f t="shared" si="489"/>
        <v/>
      </c>
    </row>
    <row r="28124" spans="8:8" x14ac:dyDescent="0.3">
      <c r="H28124" t="str">
        <f t="shared" si="489"/>
        <v/>
      </c>
    </row>
    <row r="28125" spans="8:8" x14ac:dyDescent="0.3">
      <c r="H28125" t="str">
        <f t="shared" si="489"/>
        <v/>
      </c>
    </row>
    <row r="28126" spans="8:8" x14ac:dyDescent="0.3">
      <c r="H28126" t="str">
        <f t="shared" si="489"/>
        <v/>
      </c>
    </row>
    <row r="28127" spans="8:8" x14ac:dyDescent="0.3">
      <c r="H28127" t="str">
        <f t="shared" si="489"/>
        <v/>
      </c>
    </row>
    <row r="28128" spans="8:8" x14ac:dyDescent="0.3">
      <c r="H28128" t="str">
        <f t="shared" si="489"/>
        <v/>
      </c>
    </row>
    <row r="28129" spans="8:8" x14ac:dyDescent="0.3">
      <c r="H28129" t="str">
        <f t="shared" si="489"/>
        <v/>
      </c>
    </row>
    <row r="28130" spans="8:8" x14ac:dyDescent="0.3">
      <c r="H28130" t="str">
        <f t="shared" si="489"/>
        <v/>
      </c>
    </row>
    <row r="28131" spans="8:8" x14ac:dyDescent="0.3">
      <c r="H28131" t="str">
        <f t="shared" si="489"/>
        <v/>
      </c>
    </row>
    <row r="28132" spans="8:8" x14ac:dyDescent="0.3">
      <c r="H28132" t="str">
        <f t="shared" si="489"/>
        <v/>
      </c>
    </row>
    <row r="28133" spans="8:8" x14ac:dyDescent="0.3">
      <c r="H28133" t="str">
        <f t="shared" si="489"/>
        <v/>
      </c>
    </row>
    <row r="28134" spans="8:8" x14ac:dyDescent="0.3">
      <c r="H28134" t="str">
        <f t="shared" si="489"/>
        <v/>
      </c>
    </row>
    <row r="28135" spans="8:8" x14ac:dyDescent="0.3">
      <c r="H28135" t="str">
        <f t="shared" si="489"/>
        <v/>
      </c>
    </row>
    <row r="28136" spans="8:8" x14ac:dyDescent="0.3">
      <c r="H28136" t="str">
        <f t="shared" si="489"/>
        <v/>
      </c>
    </row>
    <row r="28137" spans="8:8" x14ac:dyDescent="0.3">
      <c r="H28137" t="str">
        <f t="shared" si="489"/>
        <v/>
      </c>
    </row>
    <row r="28138" spans="8:8" x14ac:dyDescent="0.3">
      <c r="H28138" t="str">
        <f t="shared" si="489"/>
        <v/>
      </c>
    </row>
    <row r="28139" spans="8:8" x14ac:dyDescent="0.3">
      <c r="H28139" t="str">
        <f t="shared" si="489"/>
        <v/>
      </c>
    </row>
    <row r="28140" spans="8:8" x14ac:dyDescent="0.3">
      <c r="H28140" t="str">
        <f t="shared" si="489"/>
        <v/>
      </c>
    </row>
    <row r="28141" spans="8:8" x14ac:dyDescent="0.3">
      <c r="H28141" t="str">
        <f t="shared" si="489"/>
        <v/>
      </c>
    </row>
    <row r="28142" spans="8:8" x14ac:dyDescent="0.3">
      <c r="H28142" t="str">
        <f t="shared" si="489"/>
        <v/>
      </c>
    </row>
    <row r="28143" spans="8:8" x14ac:dyDescent="0.3">
      <c r="H28143" t="str">
        <f t="shared" si="489"/>
        <v/>
      </c>
    </row>
    <row r="28144" spans="8:8" x14ac:dyDescent="0.3">
      <c r="H28144" t="str">
        <f t="shared" si="489"/>
        <v/>
      </c>
    </row>
    <row r="28145" spans="8:8" x14ac:dyDescent="0.3">
      <c r="H28145" t="str">
        <f t="shared" si="489"/>
        <v/>
      </c>
    </row>
    <row r="28146" spans="8:8" x14ac:dyDescent="0.3">
      <c r="H28146" t="str">
        <f t="shared" si="489"/>
        <v/>
      </c>
    </row>
    <row r="28147" spans="8:8" x14ac:dyDescent="0.3">
      <c r="H28147" t="str">
        <f t="shared" si="489"/>
        <v/>
      </c>
    </row>
    <row r="28148" spans="8:8" x14ac:dyDescent="0.3">
      <c r="H28148" t="str">
        <f t="shared" si="489"/>
        <v/>
      </c>
    </row>
    <row r="28149" spans="8:8" x14ac:dyDescent="0.3">
      <c r="H28149" t="str">
        <f t="shared" si="489"/>
        <v/>
      </c>
    </row>
    <row r="28150" spans="8:8" x14ac:dyDescent="0.3">
      <c r="H28150" t="str">
        <f t="shared" si="489"/>
        <v/>
      </c>
    </row>
    <row r="28151" spans="8:8" x14ac:dyDescent="0.3">
      <c r="H28151" t="str">
        <f t="shared" si="489"/>
        <v/>
      </c>
    </row>
    <row r="28152" spans="8:8" x14ac:dyDescent="0.3">
      <c r="H28152" t="str">
        <f t="shared" si="489"/>
        <v/>
      </c>
    </row>
    <row r="28153" spans="8:8" x14ac:dyDescent="0.3">
      <c r="H28153" t="str">
        <f t="shared" si="489"/>
        <v/>
      </c>
    </row>
    <row r="28154" spans="8:8" x14ac:dyDescent="0.3">
      <c r="H28154" t="str">
        <f t="shared" si="489"/>
        <v/>
      </c>
    </row>
    <row r="28155" spans="8:8" x14ac:dyDescent="0.3">
      <c r="H28155" t="str">
        <f t="shared" si="489"/>
        <v/>
      </c>
    </row>
    <row r="28156" spans="8:8" x14ac:dyDescent="0.3">
      <c r="H28156" t="str">
        <f t="shared" si="489"/>
        <v/>
      </c>
    </row>
    <row r="28157" spans="8:8" x14ac:dyDescent="0.3">
      <c r="H28157" t="str">
        <f t="shared" si="489"/>
        <v/>
      </c>
    </row>
    <row r="28158" spans="8:8" x14ac:dyDescent="0.3">
      <c r="H28158" t="str">
        <f t="shared" si="489"/>
        <v/>
      </c>
    </row>
    <row r="28159" spans="8:8" x14ac:dyDescent="0.3">
      <c r="H28159" t="str">
        <f t="shared" si="489"/>
        <v/>
      </c>
    </row>
    <row r="28160" spans="8:8" x14ac:dyDescent="0.3">
      <c r="H28160" t="str">
        <f t="shared" si="489"/>
        <v/>
      </c>
    </row>
    <row r="28161" spans="8:8" x14ac:dyDescent="0.3">
      <c r="H28161" t="str">
        <f t="shared" si="489"/>
        <v/>
      </c>
    </row>
    <row r="28162" spans="8:8" x14ac:dyDescent="0.3">
      <c r="H28162" t="str">
        <f t="shared" si="489"/>
        <v/>
      </c>
    </row>
    <row r="28163" spans="8:8" x14ac:dyDescent="0.3">
      <c r="H28163" t="str">
        <f t="shared" si="489"/>
        <v/>
      </c>
    </row>
    <row r="28164" spans="8:8" x14ac:dyDescent="0.3">
      <c r="H28164" t="str">
        <f t="shared" si="489"/>
        <v/>
      </c>
    </row>
    <row r="28165" spans="8:8" x14ac:dyDescent="0.3">
      <c r="H28165" t="str">
        <f t="shared" si="489"/>
        <v/>
      </c>
    </row>
    <row r="28166" spans="8:8" x14ac:dyDescent="0.3">
      <c r="H28166" t="str">
        <f t="shared" si="489"/>
        <v/>
      </c>
    </row>
    <row r="28167" spans="8:8" x14ac:dyDescent="0.3">
      <c r="H28167" t="str">
        <f t="shared" si="489"/>
        <v/>
      </c>
    </row>
    <row r="28168" spans="8:8" x14ac:dyDescent="0.3">
      <c r="H28168" t="str">
        <f t="shared" si="489"/>
        <v/>
      </c>
    </row>
    <row r="28169" spans="8:8" x14ac:dyDescent="0.3">
      <c r="H28169" t="str">
        <f t="shared" si="489"/>
        <v/>
      </c>
    </row>
    <row r="28170" spans="8:8" x14ac:dyDescent="0.3">
      <c r="H28170" t="str">
        <f t="shared" si="489"/>
        <v/>
      </c>
    </row>
    <row r="28171" spans="8:8" x14ac:dyDescent="0.3">
      <c r="H28171" t="str">
        <f t="shared" si="489"/>
        <v/>
      </c>
    </row>
    <row r="28172" spans="8:8" x14ac:dyDescent="0.3">
      <c r="H28172" t="str">
        <f t="shared" si="489"/>
        <v/>
      </c>
    </row>
    <row r="28173" spans="8:8" x14ac:dyDescent="0.3">
      <c r="H28173" t="str">
        <f t="shared" si="489"/>
        <v/>
      </c>
    </row>
    <row r="28174" spans="8:8" x14ac:dyDescent="0.3">
      <c r="H28174" t="str">
        <f t="shared" si="489"/>
        <v/>
      </c>
    </row>
    <row r="28175" spans="8:8" x14ac:dyDescent="0.3">
      <c r="H28175" t="str">
        <f t="shared" si="489"/>
        <v/>
      </c>
    </row>
    <row r="28176" spans="8:8" x14ac:dyDescent="0.3">
      <c r="H28176" t="str">
        <f t="shared" si="489"/>
        <v/>
      </c>
    </row>
    <row r="28177" spans="8:8" x14ac:dyDescent="0.3">
      <c r="H28177" t="str">
        <f t="shared" si="489"/>
        <v/>
      </c>
    </row>
    <row r="28178" spans="8:8" x14ac:dyDescent="0.3">
      <c r="H28178" t="str">
        <f t="shared" si="489"/>
        <v/>
      </c>
    </row>
    <row r="28179" spans="8:8" x14ac:dyDescent="0.3">
      <c r="H28179" t="str">
        <f t="shared" si="489"/>
        <v/>
      </c>
    </row>
    <row r="28180" spans="8:8" x14ac:dyDescent="0.3">
      <c r="H28180" t="str">
        <f t="shared" si="489"/>
        <v/>
      </c>
    </row>
    <row r="28181" spans="8:8" x14ac:dyDescent="0.3">
      <c r="H28181" t="str">
        <f t="shared" si="489"/>
        <v/>
      </c>
    </row>
    <row r="28182" spans="8:8" x14ac:dyDescent="0.3">
      <c r="H28182" t="str">
        <f t="shared" si="489"/>
        <v/>
      </c>
    </row>
    <row r="28183" spans="8:8" x14ac:dyDescent="0.3">
      <c r="H28183" t="str">
        <f t="shared" ref="H28183:H28246" si="490">IF(B28183="","",$C$12)</f>
        <v/>
      </c>
    </row>
    <row r="28184" spans="8:8" x14ac:dyDescent="0.3">
      <c r="H28184" t="str">
        <f t="shared" si="490"/>
        <v/>
      </c>
    </row>
    <row r="28185" spans="8:8" x14ac:dyDescent="0.3">
      <c r="H28185" t="str">
        <f t="shared" si="490"/>
        <v/>
      </c>
    </row>
    <row r="28186" spans="8:8" x14ac:dyDescent="0.3">
      <c r="H28186" t="str">
        <f t="shared" si="490"/>
        <v/>
      </c>
    </row>
    <row r="28187" spans="8:8" x14ac:dyDescent="0.3">
      <c r="H28187" t="str">
        <f t="shared" si="490"/>
        <v/>
      </c>
    </row>
    <row r="28188" spans="8:8" x14ac:dyDescent="0.3">
      <c r="H28188" t="str">
        <f t="shared" si="490"/>
        <v/>
      </c>
    </row>
    <row r="28189" spans="8:8" x14ac:dyDescent="0.3">
      <c r="H28189" t="str">
        <f t="shared" si="490"/>
        <v/>
      </c>
    </row>
    <row r="28190" spans="8:8" x14ac:dyDescent="0.3">
      <c r="H28190" t="str">
        <f t="shared" si="490"/>
        <v/>
      </c>
    </row>
    <row r="28191" spans="8:8" x14ac:dyDescent="0.3">
      <c r="H28191" t="str">
        <f t="shared" si="490"/>
        <v/>
      </c>
    </row>
    <row r="28192" spans="8:8" x14ac:dyDescent="0.3">
      <c r="H28192" t="str">
        <f t="shared" si="490"/>
        <v/>
      </c>
    </row>
    <row r="28193" spans="8:8" x14ac:dyDescent="0.3">
      <c r="H28193" t="str">
        <f t="shared" si="490"/>
        <v/>
      </c>
    </row>
    <row r="28194" spans="8:8" x14ac:dyDescent="0.3">
      <c r="H28194" t="str">
        <f t="shared" si="490"/>
        <v/>
      </c>
    </row>
    <row r="28195" spans="8:8" x14ac:dyDescent="0.3">
      <c r="H28195" t="str">
        <f t="shared" si="490"/>
        <v/>
      </c>
    </row>
    <row r="28196" spans="8:8" x14ac:dyDescent="0.3">
      <c r="H28196" t="str">
        <f t="shared" si="490"/>
        <v/>
      </c>
    </row>
    <row r="28197" spans="8:8" x14ac:dyDescent="0.3">
      <c r="H28197" t="str">
        <f t="shared" si="490"/>
        <v/>
      </c>
    </row>
    <row r="28198" spans="8:8" x14ac:dyDescent="0.3">
      <c r="H28198" t="str">
        <f t="shared" si="490"/>
        <v/>
      </c>
    </row>
    <row r="28199" spans="8:8" x14ac:dyDescent="0.3">
      <c r="H28199" t="str">
        <f t="shared" si="490"/>
        <v/>
      </c>
    </row>
    <row r="28200" spans="8:8" x14ac:dyDescent="0.3">
      <c r="H28200" t="str">
        <f t="shared" si="490"/>
        <v/>
      </c>
    </row>
    <row r="28201" spans="8:8" x14ac:dyDescent="0.3">
      <c r="H28201" t="str">
        <f t="shared" si="490"/>
        <v/>
      </c>
    </row>
    <row r="28202" spans="8:8" x14ac:dyDescent="0.3">
      <c r="H28202" t="str">
        <f t="shared" si="490"/>
        <v/>
      </c>
    </row>
    <row r="28203" spans="8:8" x14ac:dyDescent="0.3">
      <c r="H28203" t="str">
        <f t="shared" si="490"/>
        <v/>
      </c>
    </row>
    <row r="28204" spans="8:8" x14ac:dyDescent="0.3">
      <c r="H28204" t="str">
        <f t="shared" si="490"/>
        <v/>
      </c>
    </row>
    <row r="28205" spans="8:8" x14ac:dyDescent="0.3">
      <c r="H28205" t="str">
        <f t="shared" si="490"/>
        <v/>
      </c>
    </row>
    <row r="28206" spans="8:8" x14ac:dyDescent="0.3">
      <c r="H28206" t="str">
        <f t="shared" si="490"/>
        <v/>
      </c>
    </row>
    <row r="28207" spans="8:8" x14ac:dyDescent="0.3">
      <c r="H28207" t="str">
        <f t="shared" si="490"/>
        <v/>
      </c>
    </row>
    <row r="28208" spans="8:8" x14ac:dyDescent="0.3">
      <c r="H28208" t="str">
        <f t="shared" si="490"/>
        <v/>
      </c>
    </row>
    <row r="28209" spans="8:8" x14ac:dyDescent="0.3">
      <c r="H28209" t="str">
        <f t="shared" si="490"/>
        <v/>
      </c>
    </row>
    <row r="28210" spans="8:8" x14ac:dyDescent="0.3">
      <c r="H28210" t="str">
        <f t="shared" si="490"/>
        <v/>
      </c>
    </row>
    <row r="28211" spans="8:8" x14ac:dyDescent="0.3">
      <c r="H28211" t="str">
        <f t="shared" si="490"/>
        <v/>
      </c>
    </row>
    <row r="28212" spans="8:8" x14ac:dyDescent="0.3">
      <c r="H28212" t="str">
        <f t="shared" si="490"/>
        <v/>
      </c>
    </row>
    <row r="28213" spans="8:8" x14ac:dyDescent="0.3">
      <c r="H28213" t="str">
        <f t="shared" si="490"/>
        <v/>
      </c>
    </row>
    <row r="28214" spans="8:8" x14ac:dyDescent="0.3">
      <c r="H28214" t="str">
        <f t="shared" si="490"/>
        <v/>
      </c>
    </row>
    <row r="28215" spans="8:8" x14ac:dyDescent="0.3">
      <c r="H28215" t="str">
        <f t="shared" si="490"/>
        <v/>
      </c>
    </row>
    <row r="28216" spans="8:8" x14ac:dyDescent="0.3">
      <c r="H28216" t="str">
        <f t="shared" si="490"/>
        <v/>
      </c>
    </row>
    <row r="28217" spans="8:8" x14ac:dyDescent="0.3">
      <c r="H28217" t="str">
        <f t="shared" si="490"/>
        <v/>
      </c>
    </row>
    <row r="28218" spans="8:8" x14ac:dyDescent="0.3">
      <c r="H28218" t="str">
        <f t="shared" si="490"/>
        <v/>
      </c>
    </row>
    <row r="28219" spans="8:8" x14ac:dyDescent="0.3">
      <c r="H28219" t="str">
        <f t="shared" si="490"/>
        <v/>
      </c>
    </row>
    <row r="28220" spans="8:8" x14ac:dyDescent="0.3">
      <c r="H28220" t="str">
        <f t="shared" si="490"/>
        <v/>
      </c>
    </row>
    <row r="28221" spans="8:8" x14ac:dyDescent="0.3">
      <c r="H28221" t="str">
        <f t="shared" si="490"/>
        <v/>
      </c>
    </row>
    <row r="28222" spans="8:8" x14ac:dyDescent="0.3">
      <c r="H28222" t="str">
        <f t="shared" si="490"/>
        <v/>
      </c>
    </row>
    <row r="28223" spans="8:8" x14ac:dyDescent="0.3">
      <c r="H28223" t="str">
        <f t="shared" si="490"/>
        <v/>
      </c>
    </row>
    <row r="28224" spans="8:8" x14ac:dyDescent="0.3">
      <c r="H28224" t="str">
        <f t="shared" si="490"/>
        <v/>
      </c>
    </row>
    <row r="28225" spans="8:8" x14ac:dyDescent="0.3">
      <c r="H28225" t="str">
        <f t="shared" si="490"/>
        <v/>
      </c>
    </row>
    <row r="28226" spans="8:8" x14ac:dyDescent="0.3">
      <c r="H28226" t="str">
        <f t="shared" si="490"/>
        <v/>
      </c>
    </row>
    <row r="28227" spans="8:8" x14ac:dyDescent="0.3">
      <c r="H28227" t="str">
        <f t="shared" si="490"/>
        <v/>
      </c>
    </row>
    <row r="28228" spans="8:8" x14ac:dyDescent="0.3">
      <c r="H28228" t="str">
        <f t="shared" si="490"/>
        <v/>
      </c>
    </row>
    <row r="28229" spans="8:8" x14ac:dyDescent="0.3">
      <c r="H28229" t="str">
        <f t="shared" si="490"/>
        <v/>
      </c>
    </row>
    <row r="28230" spans="8:8" x14ac:dyDescent="0.3">
      <c r="H28230" t="str">
        <f t="shared" si="490"/>
        <v/>
      </c>
    </row>
    <row r="28231" spans="8:8" x14ac:dyDescent="0.3">
      <c r="H28231" t="str">
        <f t="shared" si="490"/>
        <v/>
      </c>
    </row>
    <row r="28232" spans="8:8" x14ac:dyDescent="0.3">
      <c r="H28232" t="str">
        <f t="shared" si="490"/>
        <v/>
      </c>
    </row>
    <row r="28233" spans="8:8" x14ac:dyDescent="0.3">
      <c r="H28233" t="str">
        <f t="shared" si="490"/>
        <v/>
      </c>
    </row>
    <row r="28234" spans="8:8" x14ac:dyDescent="0.3">
      <c r="H28234" t="str">
        <f t="shared" si="490"/>
        <v/>
      </c>
    </row>
    <row r="28235" spans="8:8" x14ac:dyDescent="0.3">
      <c r="H28235" t="str">
        <f t="shared" si="490"/>
        <v/>
      </c>
    </row>
    <row r="28236" spans="8:8" x14ac:dyDescent="0.3">
      <c r="H28236" t="str">
        <f t="shared" si="490"/>
        <v/>
      </c>
    </row>
    <row r="28237" spans="8:8" x14ac:dyDescent="0.3">
      <c r="H28237" t="str">
        <f t="shared" si="490"/>
        <v/>
      </c>
    </row>
    <row r="28238" spans="8:8" x14ac:dyDescent="0.3">
      <c r="H28238" t="str">
        <f t="shared" si="490"/>
        <v/>
      </c>
    </row>
    <row r="28239" spans="8:8" x14ac:dyDescent="0.3">
      <c r="H28239" t="str">
        <f t="shared" si="490"/>
        <v/>
      </c>
    </row>
    <row r="28240" spans="8:8" x14ac:dyDescent="0.3">
      <c r="H28240" t="str">
        <f t="shared" si="490"/>
        <v/>
      </c>
    </row>
    <row r="28241" spans="8:8" x14ac:dyDescent="0.3">
      <c r="H28241" t="str">
        <f t="shared" si="490"/>
        <v/>
      </c>
    </row>
    <row r="28242" spans="8:8" x14ac:dyDescent="0.3">
      <c r="H28242" t="str">
        <f t="shared" si="490"/>
        <v/>
      </c>
    </row>
    <row r="28243" spans="8:8" x14ac:dyDescent="0.3">
      <c r="H28243" t="str">
        <f t="shared" si="490"/>
        <v/>
      </c>
    </row>
    <row r="28244" spans="8:8" x14ac:dyDescent="0.3">
      <c r="H28244" t="str">
        <f t="shared" si="490"/>
        <v/>
      </c>
    </row>
    <row r="28245" spans="8:8" x14ac:dyDescent="0.3">
      <c r="H28245" t="str">
        <f t="shared" si="490"/>
        <v/>
      </c>
    </row>
    <row r="28246" spans="8:8" x14ac:dyDescent="0.3">
      <c r="H28246" t="str">
        <f t="shared" si="490"/>
        <v/>
      </c>
    </row>
    <row r="28247" spans="8:8" x14ac:dyDescent="0.3">
      <c r="H28247" t="str">
        <f t="shared" ref="H28247:H28310" si="491">IF(B28247="","",$C$12)</f>
        <v/>
      </c>
    </row>
    <row r="28248" spans="8:8" x14ac:dyDescent="0.3">
      <c r="H28248" t="str">
        <f t="shared" si="491"/>
        <v/>
      </c>
    </row>
    <row r="28249" spans="8:8" x14ac:dyDescent="0.3">
      <c r="H28249" t="str">
        <f t="shared" si="491"/>
        <v/>
      </c>
    </row>
    <row r="28250" spans="8:8" x14ac:dyDescent="0.3">
      <c r="H28250" t="str">
        <f t="shared" si="491"/>
        <v/>
      </c>
    </row>
    <row r="28251" spans="8:8" x14ac:dyDescent="0.3">
      <c r="H28251" t="str">
        <f t="shared" si="491"/>
        <v/>
      </c>
    </row>
    <row r="28252" spans="8:8" x14ac:dyDescent="0.3">
      <c r="H28252" t="str">
        <f t="shared" si="491"/>
        <v/>
      </c>
    </row>
    <row r="28253" spans="8:8" x14ac:dyDescent="0.3">
      <c r="H28253" t="str">
        <f t="shared" si="491"/>
        <v/>
      </c>
    </row>
    <row r="28254" spans="8:8" x14ac:dyDescent="0.3">
      <c r="H28254" t="str">
        <f t="shared" si="491"/>
        <v/>
      </c>
    </row>
    <row r="28255" spans="8:8" x14ac:dyDescent="0.3">
      <c r="H28255" t="str">
        <f t="shared" si="491"/>
        <v/>
      </c>
    </row>
    <row r="28256" spans="8:8" x14ac:dyDescent="0.3">
      <c r="H28256" t="str">
        <f t="shared" si="491"/>
        <v/>
      </c>
    </row>
    <row r="28257" spans="8:8" x14ac:dyDescent="0.3">
      <c r="H28257" t="str">
        <f t="shared" si="491"/>
        <v/>
      </c>
    </row>
    <row r="28258" spans="8:8" x14ac:dyDescent="0.3">
      <c r="H28258" t="str">
        <f t="shared" si="491"/>
        <v/>
      </c>
    </row>
    <row r="28259" spans="8:8" x14ac:dyDescent="0.3">
      <c r="H28259" t="str">
        <f t="shared" si="491"/>
        <v/>
      </c>
    </row>
    <row r="28260" spans="8:8" x14ac:dyDescent="0.3">
      <c r="H28260" t="str">
        <f t="shared" si="491"/>
        <v/>
      </c>
    </row>
    <row r="28261" spans="8:8" x14ac:dyDescent="0.3">
      <c r="H28261" t="str">
        <f t="shared" si="491"/>
        <v/>
      </c>
    </row>
    <row r="28262" spans="8:8" x14ac:dyDescent="0.3">
      <c r="H28262" t="str">
        <f t="shared" si="491"/>
        <v/>
      </c>
    </row>
    <row r="28263" spans="8:8" x14ac:dyDescent="0.3">
      <c r="H28263" t="str">
        <f t="shared" si="491"/>
        <v/>
      </c>
    </row>
    <row r="28264" spans="8:8" x14ac:dyDescent="0.3">
      <c r="H28264" t="str">
        <f t="shared" si="491"/>
        <v/>
      </c>
    </row>
    <row r="28265" spans="8:8" x14ac:dyDescent="0.3">
      <c r="H28265" t="str">
        <f t="shared" si="491"/>
        <v/>
      </c>
    </row>
    <row r="28266" spans="8:8" x14ac:dyDescent="0.3">
      <c r="H28266" t="str">
        <f t="shared" si="491"/>
        <v/>
      </c>
    </row>
    <row r="28267" spans="8:8" x14ac:dyDescent="0.3">
      <c r="H28267" t="str">
        <f t="shared" si="491"/>
        <v/>
      </c>
    </row>
    <row r="28268" spans="8:8" x14ac:dyDescent="0.3">
      <c r="H28268" t="str">
        <f t="shared" si="491"/>
        <v/>
      </c>
    </row>
    <row r="28269" spans="8:8" x14ac:dyDescent="0.3">
      <c r="H28269" t="str">
        <f t="shared" si="491"/>
        <v/>
      </c>
    </row>
    <row r="28270" spans="8:8" x14ac:dyDescent="0.3">
      <c r="H28270" t="str">
        <f t="shared" si="491"/>
        <v/>
      </c>
    </row>
    <row r="28271" spans="8:8" x14ac:dyDescent="0.3">
      <c r="H28271" t="str">
        <f t="shared" si="491"/>
        <v/>
      </c>
    </row>
    <row r="28272" spans="8:8" x14ac:dyDescent="0.3">
      <c r="H28272" t="str">
        <f t="shared" si="491"/>
        <v/>
      </c>
    </row>
    <row r="28273" spans="8:8" x14ac:dyDescent="0.3">
      <c r="H28273" t="str">
        <f t="shared" si="491"/>
        <v/>
      </c>
    </row>
    <row r="28274" spans="8:8" x14ac:dyDescent="0.3">
      <c r="H28274" t="str">
        <f t="shared" si="491"/>
        <v/>
      </c>
    </row>
    <row r="28275" spans="8:8" x14ac:dyDescent="0.3">
      <c r="H28275" t="str">
        <f t="shared" si="491"/>
        <v/>
      </c>
    </row>
    <row r="28276" spans="8:8" x14ac:dyDescent="0.3">
      <c r="H28276" t="str">
        <f t="shared" si="491"/>
        <v/>
      </c>
    </row>
    <row r="28277" spans="8:8" x14ac:dyDescent="0.3">
      <c r="H28277" t="str">
        <f t="shared" si="491"/>
        <v/>
      </c>
    </row>
    <row r="28278" spans="8:8" x14ac:dyDescent="0.3">
      <c r="H28278" t="str">
        <f t="shared" si="491"/>
        <v/>
      </c>
    </row>
    <row r="28279" spans="8:8" x14ac:dyDescent="0.3">
      <c r="H28279" t="str">
        <f t="shared" si="491"/>
        <v/>
      </c>
    </row>
    <row r="28280" spans="8:8" x14ac:dyDescent="0.3">
      <c r="H28280" t="str">
        <f t="shared" si="491"/>
        <v/>
      </c>
    </row>
    <row r="28281" spans="8:8" x14ac:dyDescent="0.3">
      <c r="H28281" t="str">
        <f t="shared" si="491"/>
        <v/>
      </c>
    </row>
    <row r="28282" spans="8:8" x14ac:dyDescent="0.3">
      <c r="H28282" t="str">
        <f t="shared" si="491"/>
        <v/>
      </c>
    </row>
    <row r="28283" spans="8:8" x14ac:dyDescent="0.3">
      <c r="H28283" t="str">
        <f t="shared" si="491"/>
        <v/>
      </c>
    </row>
    <row r="28284" spans="8:8" x14ac:dyDescent="0.3">
      <c r="H28284" t="str">
        <f t="shared" si="491"/>
        <v/>
      </c>
    </row>
    <row r="28285" spans="8:8" x14ac:dyDescent="0.3">
      <c r="H28285" t="str">
        <f t="shared" si="491"/>
        <v/>
      </c>
    </row>
    <row r="28286" spans="8:8" x14ac:dyDescent="0.3">
      <c r="H28286" t="str">
        <f t="shared" si="491"/>
        <v/>
      </c>
    </row>
    <row r="28287" spans="8:8" x14ac:dyDescent="0.3">
      <c r="H28287" t="str">
        <f t="shared" si="491"/>
        <v/>
      </c>
    </row>
    <row r="28288" spans="8:8" x14ac:dyDescent="0.3">
      <c r="H28288" t="str">
        <f t="shared" si="491"/>
        <v/>
      </c>
    </row>
    <row r="28289" spans="8:8" x14ac:dyDescent="0.3">
      <c r="H28289" t="str">
        <f t="shared" si="491"/>
        <v/>
      </c>
    </row>
    <row r="28290" spans="8:8" x14ac:dyDescent="0.3">
      <c r="H28290" t="str">
        <f t="shared" si="491"/>
        <v/>
      </c>
    </row>
    <row r="28291" spans="8:8" x14ac:dyDescent="0.3">
      <c r="H28291" t="str">
        <f t="shared" si="491"/>
        <v/>
      </c>
    </row>
    <row r="28292" spans="8:8" x14ac:dyDescent="0.3">
      <c r="H28292" t="str">
        <f t="shared" si="491"/>
        <v/>
      </c>
    </row>
    <row r="28293" spans="8:8" x14ac:dyDescent="0.3">
      <c r="H28293" t="str">
        <f t="shared" si="491"/>
        <v/>
      </c>
    </row>
    <row r="28294" spans="8:8" x14ac:dyDescent="0.3">
      <c r="H28294" t="str">
        <f t="shared" si="491"/>
        <v/>
      </c>
    </row>
    <row r="28295" spans="8:8" x14ac:dyDescent="0.3">
      <c r="H28295" t="str">
        <f t="shared" si="491"/>
        <v/>
      </c>
    </row>
    <row r="28296" spans="8:8" x14ac:dyDescent="0.3">
      <c r="H28296" t="str">
        <f t="shared" si="491"/>
        <v/>
      </c>
    </row>
    <row r="28297" spans="8:8" x14ac:dyDescent="0.3">
      <c r="H28297" t="str">
        <f t="shared" si="491"/>
        <v/>
      </c>
    </row>
    <row r="28298" spans="8:8" x14ac:dyDescent="0.3">
      <c r="H28298" t="str">
        <f t="shared" si="491"/>
        <v/>
      </c>
    </row>
    <row r="28299" spans="8:8" x14ac:dyDescent="0.3">
      <c r="H28299" t="str">
        <f t="shared" si="491"/>
        <v/>
      </c>
    </row>
    <row r="28300" spans="8:8" x14ac:dyDescent="0.3">
      <c r="H28300" t="str">
        <f t="shared" si="491"/>
        <v/>
      </c>
    </row>
    <row r="28301" spans="8:8" x14ac:dyDescent="0.3">
      <c r="H28301" t="str">
        <f t="shared" si="491"/>
        <v/>
      </c>
    </row>
    <row r="28302" spans="8:8" x14ac:dyDescent="0.3">
      <c r="H28302" t="str">
        <f t="shared" si="491"/>
        <v/>
      </c>
    </row>
    <row r="28303" spans="8:8" x14ac:dyDescent="0.3">
      <c r="H28303" t="str">
        <f t="shared" si="491"/>
        <v/>
      </c>
    </row>
    <row r="28304" spans="8:8" x14ac:dyDescent="0.3">
      <c r="H28304" t="str">
        <f t="shared" si="491"/>
        <v/>
      </c>
    </row>
    <row r="28305" spans="8:8" x14ac:dyDescent="0.3">
      <c r="H28305" t="str">
        <f t="shared" si="491"/>
        <v/>
      </c>
    </row>
    <row r="28306" spans="8:8" x14ac:dyDescent="0.3">
      <c r="H28306" t="str">
        <f t="shared" si="491"/>
        <v/>
      </c>
    </row>
    <row r="28307" spans="8:8" x14ac:dyDescent="0.3">
      <c r="H28307" t="str">
        <f t="shared" si="491"/>
        <v/>
      </c>
    </row>
    <row r="28308" spans="8:8" x14ac:dyDescent="0.3">
      <c r="H28308" t="str">
        <f t="shared" si="491"/>
        <v/>
      </c>
    </row>
    <row r="28309" spans="8:8" x14ac:dyDescent="0.3">
      <c r="H28309" t="str">
        <f t="shared" si="491"/>
        <v/>
      </c>
    </row>
    <row r="28310" spans="8:8" x14ac:dyDescent="0.3">
      <c r="H28310" t="str">
        <f t="shared" si="491"/>
        <v/>
      </c>
    </row>
    <row r="28311" spans="8:8" x14ac:dyDescent="0.3">
      <c r="H28311" t="str">
        <f t="shared" ref="H28311:H28374" si="492">IF(B28311="","",$C$12)</f>
        <v/>
      </c>
    </row>
    <row r="28312" spans="8:8" x14ac:dyDescent="0.3">
      <c r="H28312" t="str">
        <f t="shared" si="492"/>
        <v/>
      </c>
    </row>
    <row r="28313" spans="8:8" x14ac:dyDescent="0.3">
      <c r="H28313" t="str">
        <f t="shared" si="492"/>
        <v/>
      </c>
    </row>
    <row r="28314" spans="8:8" x14ac:dyDescent="0.3">
      <c r="H28314" t="str">
        <f t="shared" si="492"/>
        <v/>
      </c>
    </row>
    <row r="28315" spans="8:8" x14ac:dyDescent="0.3">
      <c r="H28315" t="str">
        <f t="shared" si="492"/>
        <v/>
      </c>
    </row>
    <row r="28316" spans="8:8" x14ac:dyDescent="0.3">
      <c r="H28316" t="str">
        <f t="shared" si="492"/>
        <v/>
      </c>
    </row>
    <row r="28317" spans="8:8" x14ac:dyDescent="0.3">
      <c r="H28317" t="str">
        <f t="shared" si="492"/>
        <v/>
      </c>
    </row>
    <row r="28318" spans="8:8" x14ac:dyDescent="0.3">
      <c r="H28318" t="str">
        <f t="shared" si="492"/>
        <v/>
      </c>
    </row>
    <row r="28319" spans="8:8" x14ac:dyDescent="0.3">
      <c r="H28319" t="str">
        <f t="shared" si="492"/>
        <v/>
      </c>
    </row>
    <row r="28320" spans="8:8" x14ac:dyDescent="0.3">
      <c r="H28320" t="str">
        <f t="shared" si="492"/>
        <v/>
      </c>
    </row>
    <row r="28321" spans="8:8" x14ac:dyDescent="0.3">
      <c r="H28321" t="str">
        <f t="shared" si="492"/>
        <v/>
      </c>
    </row>
    <row r="28322" spans="8:8" x14ac:dyDescent="0.3">
      <c r="H28322" t="str">
        <f t="shared" si="492"/>
        <v/>
      </c>
    </row>
    <row r="28323" spans="8:8" x14ac:dyDescent="0.3">
      <c r="H28323" t="str">
        <f t="shared" si="492"/>
        <v/>
      </c>
    </row>
    <row r="28324" spans="8:8" x14ac:dyDescent="0.3">
      <c r="H28324" t="str">
        <f t="shared" si="492"/>
        <v/>
      </c>
    </row>
    <row r="28325" spans="8:8" x14ac:dyDescent="0.3">
      <c r="H28325" t="str">
        <f t="shared" si="492"/>
        <v/>
      </c>
    </row>
    <row r="28326" spans="8:8" x14ac:dyDescent="0.3">
      <c r="H28326" t="str">
        <f t="shared" si="492"/>
        <v/>
      </c>
    </row>
    <row r="28327" spans="8:8" x14ac:dyDescent="0.3">
      <c r="H28327" t="str">
        <f t="shared" si="492"/>
        <v/>
      </c>
    </row>
    <row r="28328" spans="8:8" x14ac:dyDescent="0.3">
      <c r="H28328" t="str">
        <f t="shared" si="492"/>
        <v/>
      </c>
    </row>
    <row r="28329" spans="8:8" x14ac:dyDescent="0.3">
      <c r="H28329" t="str">
        <f t="shared" si="492"/>
        <v/>
      </c>
    </row>
    <row r="28330" spans="8:8" x14ac:dyDescent="0.3">
      <c r="H28330" t="str">
        <f t="shared" si="492"/>
        <v/>
      </c>
    </row>
    <row r="28331" spans="8:8" x14ac:dyDescent="0.3">
      <c r="H28331" t="str">
        <f t="shared" si="492"/>
        <v/>
      </c>
    </row>
    <row r="28332" spans="8:8" x14ac:dyDescent="0.3">
      <c r="H28332" t="str">
        <f t="shared" si="492"/>
        <v/>
      </c>
    </row>
    <row r="28333" spans="8:8" x14ac:dyDescent="0.3">
      <c r="H28333" t="str">
        <f t="shared" si="492"/>
        <v/>
      </c>
    </row>
    <row r="28334" spans="8:8" x14ac:dyDescent="0.3">
      <c r="H28334" t="str">
        <f t="shared" si="492"/>
        <v/>
      </c>
    </row>
    <row r="28335" spans="8:8" x14ac:dyDescent="0.3">
      <c r="H28335" t="str">
        <f t="shared" si="492"/>
        <v/>
      </c>
    </row>
    <row r="28336" spans="8:8" x14ac:dyDescent="0.3">
      <c r="H28336" t="str">
        <f t="shared" si="492"/>
        <v/>
      </c>
    </row>
    <row r="28337" spans="8:8" x14ac:dyDescent="0.3">
      <c r="H28337" t="str">
        <f t="shared" si="492"/>
        <v/>
      </c>
    </row>
    <row r="28338" spans="8:8" x14ac:dyDescent="0.3">
      <c r="H28338" t="str">
        <f t="shared" si="492"/>
        <v/>
      </c>
    </row>
    <row r="28339" spans="8:8" x14ac:dyDescent="0.3">
      <c r="H28339" t="str">
        <f t="shared" si="492"/>
        <v/>
      </c>
    </row>
    <row r="28340" spans="8:8" x14ac:dyDescent="0.3">
      <c r="H28340" t="str">
        <f t="shared" si="492"/>
        <v/>
      </c>
    </row>
    <row r="28341" spans="8:8" x14ac:dyDescent="0.3">
      <c r="H28341" t="str">
        <f t="shared" si="492"/>
        <v/>
      </c>
    </row>
    <row r="28342" spans="8:8" x14ac:dyDescent="0.3">
      <c r="H28342" t="str">
        <f t="shared" si="492"/>
        <v/>
      </c>
    </row>
    <row r="28343" spans="8:8" x14ac:dyDescent="0.3">
      <c r="H28343" t="str">
        <f t="shared" si="492"/>
        <v/>
      </c>
    </row>
    <row r="28344" spans="8:8" x14ac:dyDescent="0.3">
      <c r="H28344" t="str">
        <f t="shared" si="492"/>
        <v/>
      </c>
    </row>
    <row r="28345" spans="8:8" x14ac:dyDescent="0.3">
      <c r="H28345" t="str">
        <f t="shared" si="492"/>
        <v/>
      </c>
    </row>
    <row r="28346" spans="8:8" x14ac:dyDescent="0.3">
      <c r="H28346" t="str">
        <f t="shared" si="492"/>
        <v/>
      </c>
    </row>
    <row r="28347" spans="8:8" x14ac:dyDescent="0.3">
      <c r="H28347" t="str">
        <f t="shared" si="492"/>
        <v/>
      </c>
    </row>
    <row r="28348" spans="8:8" x14ac:dyDescent="0.3">
      <c r="H28348" t="str">
        <f t="shared" si="492"/>
        <v/>
      </c>
    </row>
    <row r="28349" spans="8:8" x14ac:dyDescent="0.3">
      <c r="H28349" t="str">
        <f t="shared" si="492"/>
        <v/>
      </c>
    </row>
    <row r="28350" spans="8:8" x14ac:dyDescent="0.3">
      <c r="H28350" t="str">
        <f t="shared" si="492"/>
        <v/>
      </c>
    </row>
    <row r="28351" spans="8:8" x14ac:dyDescent="0.3">
      <c r="H28351" t="str">
        <f t="shared" si="492"/>
        <v/>
      </c>
    </row>
    <row r="28352" spans="8:8" x14ac:dyDescent="0.3">
      <c r="H28352" t="str">
        <f t="shared" si="492"/>
        <v/>
      </c>
    </row>
    <row r="28353" spans="8:8" x14ac:dyDescent="0.3">
      <c r="H28353" t="str">
        <f t="shared" si="492"/>
        <v/>
      </c>
    </row>
    <row r="28354" spans="8:8" x14ac:dyDescent="0.3">
      <c r="H28354" t="str">
        <f t="shared" si="492"/>
        <v/>
      </c>
    </row>
    <row r="28355" spans="8:8" x14ac:dyDescent="0.3">
      <c r="H28355" t="str">
        <f t="shared" si="492"/>
        <v/>
      </c>
    </row>
    <row r="28356" spans="8:8" x14ac:dyDescent="0.3">
      <c r="H28356" t="str">
        <f t="shared" si="492"/>
        <v/>
      </c>
    </row>
    <row r="28357" spans="8:8" x14ac:dyDescent="0.3">
      <c r="H28357" t="str">
        <f t="shared" si="492"/>
        <v/>
      </c>
    </row>
    <row r="28358" spans="8:8" x14ac:dyDescent="0.3">
      <c r="H28358" t="str">
        <f t="shared" si="492"/>
        <v/>
      </c>
    </row>
    <row r="28359" spans="8:8" x14ac:dyDescent="0.3">
      <c r="H28359" t="str">
        <f t="shared" si="492"/>
        <v/>
      </c>
    </row>
    <row r="28360" spans="8:8" x14ac:dyDescent="0.3">
      <c r="H28360" t="str">
        <f t="shared" si="492"/>
        <v/>
      </c>
    </row>
    <row r="28361" spans="8:8" x14ac:dyDescent="0.3">
      <c r="H28361" t="str">
        <f t="shared" si="492"/>
        <v/>
      </c>
    </row>
    <row r="28362" spans="8:8" x14ac:dyDescent="0.3">
      <c r="H28362" t="str">
        <f t="shared" si="492"/>
        <v/>
      </c>
    </row>
    <row r="28363" spans="8:8" x14ac:dyDescent="0.3">
      <c r="H28363" t="str">
        <f t="shared" si="492"/>
        <v/>
      </c>
    </row>
    <row r="28364" spans="8:8" x14ac:dyDescent="0.3">
      <c r="H28364" t="str">
        <f t="shared" si="492"/>
        <v/>
      </c>
    </row>
    <row r="28365" spans="8:8" x14ac:dyDescent="0.3">
      <c r="H28365" t="str">
        <f t="shared" si="492"/>
        <v/>
      </c>
    </row>
    <row r="28366" spans="8:8" x14ac:dyDescent="0.3">
      <c r="H28366" t="str">
        <f t="shared" si="492"/>
        <v/>
      </c>
    </row>
    <row r="28367" spans="8:8" x14ac:dyDescent="0.3">
      <c r="H28367" t="str">
        <f t="shared" si="492"/>
        <v/>
      </c>
    </row>
    <row r="28368" spans="8:8" x14ac:dyDescent="0.3">
      <c r="H28368" t="str">
        <f t="shared" si="492"/>
        <v/>
      </c>
    </row>
    <row r="28369" spans="8:8" x14ac:dyDescent="0.3">
      <c r="H28369" t="str">
        <f t="shared" si="492"/>
        <v/>
      </c>
    </row>
    <row r="28370" spans="8:8" x14ac:dyDescent="0.3">
      <c r="H28370" t="str">
        <f t="shared" si="492"/>
        <v/>
      </c>
    </row>
    <row r="28371" spans="8:8" x14ac:dyDescent="0.3">
      <c r="H28371" t="str">
        <f t="shared" si="492"/>
        <v/>
      </c>
    </row>
    <row r="28372" spans="8:8" x14ac:dyDescent="0.3">
      <c r="H28372" t="str">
        <f t="shared" si="492"/>
        <v/>
      </c>
    </row>
    <row r="28373" spans="8:8" x14ac:dyDescent="0.3">
      <c r="H28373" t="str">
        <f t="shared" si="492"/>
        <v/>
      </c>
    </row>
    <row r="28374" spans="8:8" x14ac:dyDescent="0.3">
      <c r="H28374" t="str">
        <f t="shared" si="492"/>
        <v/>
      </c>
    </row>
    <row r="28375" spans="8:8" x14ac:dyDescent="0.3">
      <c r="H28375" t="str">
        <f t="shared" ref="H28375:H28438" si="493">IF(B28375="","",$C$12)</f>
        <v/>
      </c>
    </row>
    <row r="28376" spans="8:8" x14ac:dyDescent="0.3">
      <c r="H28376" t="str">
        <f t="shared" si="493"/>
        <v/>
      </c>
    </row>
    <row r="28377" spans="8:8" x14ac:dyDescent="0.3">
      <c r="H28377" t="str">
        <f t="shared" si="493"/>
        <v/>
      </c>
    </row>
    <row r="28378" spans="8:8" x14ac:dyDescent="0.3">
      <c r="H28378" t="str">
        <f t="shared" si="493"/>
        <v/>
      </c>
    </row>
    <row r="28379" spans="8:8" x14ac:dyDescent="0.3">
      <c r="H28379" t="str">
        <f t="shared" si="493"/>
        <v/>
      </c>
    </row>
    <row r="28380" spans="8:8" x14ac:dyDescent="0.3">
      <c r="H28380" t="str">
        <f t="shared" si="493"/>
        <v/>
      </c>
    </row>
    <row r="28381" spans="8:8" x14ac:dyDescent="0.3">
      <c r="H28381" t="str">
        <f t="shared" si="493"/>
        <v/>
      </c>
    </row>
    <row r="28382" spans="8:8" x14ac:dyDescent="0.3">
      <c r="H28382" t="str">
        <f t="shared" si="493"/>
        <v/>
      </c>
    </row>
    <row r="28383" spans="8:8" x14ac:dyDescent="0.3">
      <c r="H28383" t="str">
        <f t="shared" si="493"/>
        <v/>
      </c>
    </row>
    <row r="28384" spans="8:8" x14ac:dyDescent="0.3">
      <c r="H28384" t="str">
        <f t="shared" si="493"/>
        <v/>
      </c>
    </row>
    <row r="28385" spans="8:8" x14ac:dyDescent="0.3">
      <c r="H28385" t="str">
        <f t="shared" si="493"/>
        <v/>
      </c>
    </row>
    <row r="28386" spans="8:8" x14ac:dyDescent="0.3">
      <c r="H28386" t="str">
        <f t="shared" si="493"/>
        <v/>
      </c>
    </row>
    <row r="28387" spans="8:8" x14ac:dyDescent="0.3">
      <c r="H28387" t="str">
        <f t="shared" si="493"/>
        <v/>
      </c>
    </row>
    <row r="28388" spans="8:8" x14ac:dyDescent="0.3">
      <c r="H28388" t="str">
        <f t="shared" si="493"/>
        <v/>
      </c>
    </row>
    <row r="28389" spans="8:8" x14ac:dyDescent="0.3">
      <c r="H28389" t="str">
        <f t="shared" si="493"/>
        <v/>
      </c>
    </row>
    <row r="28390" spans="8:8" x14ac:dyDescent="0.3">
      <c r="H28390" t="str">
        <f t="shared" si="493"/>
        <v/>
      </c>
    </row>
    <row r="28391" spans="8:8" x14ac:dyDescent="0.3">
      <c r="H28391" t="str">
        <f t="shared" si="493"/>
        <v/>
      </c>
    </row>
    <row r="28392" spans="8:8" x14ac:dyDescent="0.3">
      <c r="H28392" t="str">
        <f t="shared" si="493"/>
        <v/>
      </c>
    </row>
    <row r="28393" spans="8:8" x14ac:dyDescent="0.3">
      <c r="H28393" t="str">
        <f t="shared" si="493"/>
        <v/>
      </c>
    </row>
    <row r="28394" spans="8:8" x14ac:dyDescent="0.3">
      <c r="H28394" t="str">
        <f t="shared" si="493"/>
        <v/>
      </c>
    </row>
    <row r="28395" spans="8:8" x14ac:dyDescent="0.3">
      <c r="H28395" t="str">
        <f t="shared" si="493"/>
        <v/>
      </c>
    </row>
    <row r="28396" spans="8:8" x14ac:dyDescent="0.3">
      <c r="H28396" t="str">
        <f t="shared" si="493"/>
        <v/>
      </c>
    </row>
    <row r="28397" spans="8:8" x14ac:dyDescent="0.3">
      <c r="H28397" t="str">
        <f t="shared" si="493"/>
        <v/>
      </c>
    </row>
    <row r="28398" spans="8:8" x14ac:dyDescent="0.3">
      <c r="H28398" t="str">
        <f t="shared" si="493"/>
        <v/>
      </c>
    </row>
    <row r="28399" spans="8:8" x14ac:dyDescent="0.3">
      <c r="H28399" t="str">
        <f t="shared" si="493"/>
        <v/>
      </c>
    </row>
    <row r="28400" spans="8:8" x14ac:dyDescent="0.3">
      <c r="H28400" t="str">
        <f t="shared" si="493"/>
        <v/>
      </c>
    </row>
    <row r="28401" spans="8:8" x14ac:dyDescent="0.3">
      <c r="H28401" t="str">
        <f t="shared" si="493"/>
        <v/>
      </c>
    </row>
    <row r="28402" spans="8:8" x14ac:dyDescent="0.3">
      <c r="H28402" t="str">
        <f t="shared" si="493"/>
        <v/>
      </c>
    </row>
    <row r="28403" spans="8:8" x14ac:dyDescent="0.3">
      <c r="H28403" t="str">
        <f t="shared" si="493"/>
        <v/>
      </c>
    </row>
    <row r="28404" spans="8:8" x14ac:dyDescent="0.3">
      <c r="H28404" t="str">
        <f t="shared" si="493"/>
        <v/>
      </c>
    </row>
    <row r="28405" spans="8:8" x14ac:dyDescent="0.3">
      <c r="H28405" t="str">
        <f t="shared" si="493"/>
        <v/>
      </c>
    </row>
    <row r="28406" spans="8:8" x14ac:dyDescent="0.3">
      <c r="H28406" t="str">
        <f t="shared" si="493"/>
        <v/>
      </c>
    </row>
    <row r="28407" spans="8:8" x14ac:dyDescent="0.3">
      <c r="H28407" t="str">
        <f t="shared" si="493"/>
        <v/>
      </c>
    </row>
    <row r="28408" spans="8:8" x14ac:dyDescent="0.3">
      <c r="H28408" t="str">
        <f t="shared" si="493"/>
        <v/>
      </c>
    </row>
    <row r="28409" spans="8:8" x14ac:dyDescent="0.3">
      <c r="H28409" t="str">
        <f t="shared" si="493"/>
        <v/>
      </c>
    </row>
    <row r="28410" spans="8:8" x14ac:dyDescent="0.3">
      <c r="H28410" t="str">
        <f t="shared" si="493"/>
        <v/>
      </c>
    </row>
    <row r="28411" spans="8:8" x14ac:dyDescent="0.3">
      <c r="H28411" t="str">
        <f t="shared" si="493"/>
        <v/>
      </c>
    </row>
    <row r="28412" spans="8:8" x14ac:dyDescent="0.3">
      <c r="H28412" t="str">
        <f t="shared" si="493"/>
        <v/>
      </c>
    </row>
    <row r="28413" spans="8:8" x14ac:dyDescent="0.3">
      <c r="H28413" t="str">
        <f t="shared" si="493"/>
        <v/>
      </c>
    </row>
    <row r="28414" spans="8:8" x14ac:dyDescent="0.3">
      <c r="H28414" t="str">
        <f t="shared" si="493"/>
        <v/>
      </c>
    </row>
    <row r="28415" spans="8:8" x14ac:dyDescent="0.3">
      <c r="H28415" t="str">
        <f t="shared" si="493"/>
        <v/>
      </c>
    </row>
    <row r="28416" spans="8:8" x14ac:dyDescent="0.3">
      <c r="H28416" t="str">
        <f t="shared" si="493"/>
        <v/>
      </c>
    </row>
    <row r="28417" spans="8:8" x14ac:dyDescent="0.3">
      <c r="H28417" t="str">
        <f t="shared" si="493"/>
        <v/>
      </c>
    </row>
    <row r="28418" spans="8:8" x14ac:dyDescent="0.3">
      <c r="H28418" t="str">
        <f t="shared" si="493"/>
        <v/>
      </c>
    </row>
    <row r="28419" spans="8:8" x14ac:dyDescent="0.3">
      <c r="H28419" t="str">
        <f t="shared" si="493"/>
        <v/>
      </c>
    </row>
    <row r="28420" spans="8:8" x14ac:dyDescent="0.3">
      <c r="H28420" t="str">
        <f t="shared" si="493"/>
        <v/>
      </c>
    </row>
    <row r="28421" spans="8:8" x14ac:dyDescent="0.3">
      <c r="H28421" t="str">
        <f t="shared" si="493"/>
        <v/>
      </c>
    </row>
    <row r="28422" spans="8:8" x14ac:dyDescent="0.3">
      <c r="H28422" t="str">
        <f t="shared" si="493"/>
        <v/>
      </c>
    </row>
    <row r="28423" spans="8:8" x14ac:dyDescent="0.3">
      <c r="H28423" t="str">
        <f t="shared" si="493"/>
        <v/>
      </c>
    </row>
    <row r="28424" spans="8:8" x14ac:dyDescent="0.3">
      <c r="H28424" t="str">
        <f t="shared" si="493"/>
        <v/>
      </c>
    </row>
    <row r="28425" spans="8:8" x14ac:dyDescent="0.3">
      <c r="H28425" t="str">
        <f t="shared" si="493"/>
        <v/>
      </c>
    </row>
    <row r="28426" spans="8:8" x14ac:dyDescent="0.3">
      <c r="H28426" t="str">
        <f t="shared" si="493"/>
        <v/>
      </c>
    </row>
    <row r="28427" spans="8:8" x14ac:dyDescent="0.3">
      <c r="H28427" t="str">
        <f t="shared" si="493"/>
        <v/>
      </c>
    </row>
    <row r="28428" spans="8:8" x14ac:dyDescent="0.3">
      <c r="H28428" t="str">
        <f t="shared" si="493"/>
        <v/>
      </c>
    </row>
    <row r="28429" spans="8:8" x14ac:dyDescent="0.3">
      <c r="H28429" t="str">
        <f t="shared" si="493"/>
        <v/>
      </c>
    </row>
    <row r="28430" spans="8:8" x14ac:dyDescent="0.3">
      <c r="H28430" t="str">
        <f t="shared" si="493"/>
        <v/>
      </c>
    </row>
    <row r="28431" spans="8:8" x14ac:dyDescent="0.3">
      <c r="H28431" t="str">
        <f t="shared" si="493"/>
        <v/>
      </c>
    </row>
    <row r="28432" spans="8:8" x14ac:dyDescent="0.3">
      <c r="H28432" t="str">
        <f t="shared" si="493"/>
        <v/>
      </c>
    </row>
    <row r="28433" spans="8:8" x14ac:dyDescent="0.3">
      <c r="H28433" t="str">
        <f t="shared" si="493"/>
        <v/>
      </c>
    </row>
    <row r="28434" spans="8:8" x14ac:dyDescent="0.3">
      <c r="H28434" t="str">
        <f t="shared" si="493"/>
        <v/>
      </c>
    </row>
    <row r="28435" spans="8:8" x14ac:dyDescent="0.3">
      <c r="H28435" t="str">
        <f t="shared" si="493"/>
        <v/>
      </c>
    </row>
    <row r="28436" spans="8:8" x14ac:dyDescent="0.3">
      <c r="H28436" t="str">
        <f t="shared" si="493"/>
        <v/>
      </c>
    </row>
    <row r="28437" spans="8:8" x14ac:dyDescent="0.3">
      <c r="H28437" t="str">
        <f t="shared" si="493"/>
        <v/>
      </c>
    </row>
    <row r="28438" spans="8:8" x14ac:dyDescent="0.3">
      <c r="H28438" t="str">
        <f t="shared" si="493"/>
        <v/>
      </c>
    </row>
    <row r="28439" spans="8:8" x14ac:dyDescent="0.3">
      <c r="H28439" t="str">
        <f t="shared" ref="H28439:H28502" si="494">IF(B28439="","",$C$12)</f>
        <v/>
      </c>
    </row>
    <row r="28440" spans="8:8" x14ac:dyDescent="0.3">
      <c r="H28440" t="str">
        <f t="shared" si="494"/>
        <v/>
      </c>
    </row>
    <row r="28441" spans="8:8" x14ac:dyDescent="0.3">
      <c r="H28441" t="str">
        <f t="shared" si="494"/>
        <v/>
      </c>
    </row>
    <row r="28442" spans="8:8" x14ac:dyDescent="0.3">
      <c r="H28442" t="str">
        <f t="shared" si="494"/>
        <v/>
      </c>
    </row>
    <row r="28443" spans="8:8" x14ac:dyDescent="0.3">
      <c r="H28443" t="str">
        <f t="shared" si="494"/>
        <v/>
      </c>
    </row>
    <row r="28444" spans="8:8" x14ac:dyDescent="0.3">
      <c r="H28444" t="str">
        <f t="shared" si="494"/>
        <v/>
      </c>
    </row>
    <row r="28445" spans="8:8" x14ac:dyDescent="0.3">
      <c r="H28445" t="str">
        <f t="shared" si="494"/>
        <v/>
      </c>
    </row>
    <row r="28446" spans="8:8" x14ac:dyDescent="0.3">
      <c r="H28446" t="str">
        <f t="shared" si="494"/>
        <v/>
      </c>
    </row>
    <row r="28447" spans="8:8" x14ac:dyDescent="0.3">
      <c r="H28447" t="str">
        <f t="shared" si="494"/>
        <v/>
      </c>
    </row>
    <row r="28448" spans="8:8" x14ac:dyDescent="0.3">
      <c r="H28448" t="str">
        <f t="shared" si="494"/>
        <v/>
      </c>
    </row>
    <row r="28449" spans="8:8" x14ac:dyDescent="0.3">
      <c r="H28449" t="str">
        <f t="shared" si="494"/>
        <v/>
      </c>
    </row>
    <row r="28450" spans="8:8" x14ac:dyDescent="0.3">
      <c r="H28450" t="str">
        <f t="shared" si="494"/>
        <v/>
      </c>
    </row>
    <row r="28451" spans="8:8" x14ac:dyDescent="0.3">
      <c r="H28451" t="str">
        <f t="shared" si="494"/>
        <v/>
      </c>
    </row>
    <row r="28452" spans="8:8" x14ac:dyDescent="0.3">
      <c r="H28452" t="str">
        <f t="shared" si="494"/>
        <v/>
      </c>
    </row>
    <row r="28453" spans="8:8" x14ac:dyDescent="0.3">
      <c r="H28453" t="str">
        <f t="shared" si="494"/>
        <v/>
      </c>
    </row>
    <row r="28454" spans="8:8" x14ac:dyDescent="0.3">
      <c r="H28454" t="str">
        <f t="shared" si="494"/>
        <v/>
      </c>
    </row>
    <row r="28455" spans="8:8" x14ac:dyDescent="0.3">
      <c r="H28455" t="str">
        <f t="shared" si="494"/>
        <v/>
      </c>
    </row>
    <row r="28456" spans="8:8" x14ac:dyDescent="0.3">
      <c r="H28456" t="str">
        <f t="shared" si="494"/>
        <v/>
      </c>
    </row>
    <row r="28457" spans="8:8" x14ac:dyDescent="0.3">
      <c r="H28457" t="str">
        <f t="shared" si="494"/>
        <v/>
      </c>
    </row>
    <row r="28458" spans="8:8" x14ac:dyDescent="0.3">
      <c r="H28458" t="str">
        <f t="shared" si="494"/>
        <v/>
      </c>
    </row>
    <row r="28459" spans="8:8" x14ac:dyDescent="0.3">
      <c r="H28459" t="str">
        <f t="shared" si="494"/>
        <v/>
      </c>
    </row>
    <row r="28460" spans="8:8" x14ac:dyDescent="0.3">
      <c r="H28460" t="str">
        <f t="shared" si="494"/>
        <v/>
      </c>
    </row>
    <row r="28461" spans="8:8" x14ac:dyDescent="0.3">
      <c r="H28461" t="str">
        <f t="shared" si="494"/>
        <v/>
      </c>
    </row>
    <row r="28462" spans="8:8" x14ac:dyDescent="0.3">
      <c r="H28462" t="str">
        <f t="shared" si="494"/>
        <v/>
      </c>
    </row>
    <row r="28463" spans="8:8" x14ac:dyDescent="0.3">
      <c r="H28463" t="str">
        <f t="shared" si="494"/>
        <v/>
      </c>
    </row>
    <row r="28464" spans="8:8" x14ac:dyDescent="0.3">
      <c r="H28464" t="str">
        <f t="shared" si="494"/>
        <v/>
      </c>
    </row>
    <row r="28465" spans="8:8" x14ac:dyDescent="0.3">
      <c r="H28465" t="str">
        <f t="shared" si="494"/>
        <v/>
      </c>
    </row>
    <row r="28466" spans="8:8" x14ac:dyDescent="0.3">
      <c r="H28466" t="str">
        <f t="shared" si="494"/>
        <v/>
      </c>
    </row>
    <row r="28467" spans="8:8" x14ac:dyDescent="0.3">
      <c r="H28467" t="str">
        <f t="shared" si="494"/>
        <v/>
      </c>
    </row>
    <row r="28468" spans="8:8" x14ac:dyDescent="0.3">
      <c r="H28468" t="str">
        <f t="shared" si="494"/>
        <v/>
      </c>
    </row>
    <row r="28469" spans="8:8" x14ac:dyDescent="0.3">
      <c r="H28469" t="str">
        <f t="shared" si="494"/>
        <v/>
      </c>
    </row>
    <row r="28470" spans="8:8" x14ac:dyDescent="0.3">
      <c r="H28470" t="str">
        <f t="shared" si="494"/>
        <v/>
      </c>
    </row>
    <row r="28471" spans="8:8" x14ac:dyDescent="0.3">
      <c r="H28471" t="str">
        <f t="shared" si="494"/>
        <v/>
      </c>
    </row>
    <row r="28472" spans="8:8" x14ac:dyDescent="0.3">
      <c r="H28472" t="str">
        <f t="shared" si="494"/>
        <v/>
      </c>
    </row>
    <row r="28473" spans="8:8" x14ac:dyDescent="0.3">
      <c r="H28473" t="str">
        <f t="shared" si="494"/>
        <v/>
      </c>
    </row>
    <row r="28474" spans="8:8" x14ac:dyDescent="0.3">
      <c r="H28474" t="str">
        <f t="shared" si="494"/>
        <v/>
      </c>
    </row>
    <row r="28475" spans="8:8" x14ac:dyDescent="0.3">
      <c r="H28475" t="str">
        <f t="shared" si="494"/>
        <v/>
      </c>
    </row>
    <row r="28476" spans="8:8" x14ac:dyDescent="0.3">
      <c r="H28476" t="str">
        <f t="shared" si="494"/>
        <v/>
      </c>
    </row>
    <row r="28477" spans="8:8" x14ac:dyDescent="0.3">
      <c r="H28477" t="str">
        <f t="shared" si="494"/>
        <v/>
      </c>
    </row>
    <row r="28478" spans="8:8" x14ac:dyDescent="0.3">
      <c r="H28478" t="str">
        <f t="shared" si="494"/>
        <v/>
      </c>
    </row>
    <row r="28479" spans="8:8" x14ac:dyDescent="0.3">
      <c r="H28479" t="str">
        <f t="shared" si="494"/>
        <v/>
      </c>
    </row>
    <row r="28480" spans="8:8" x14ac:dyDescent="0.3">
      <c r="H28480" t="str">
        <f t="shared" si="494"/>
        <v/>
      </c>
    </row>
    <row r="28481" spans="8:8" x14ac:dyDescent="0.3">
      <c r="H28481" t="str">
        <f t="shared" si="494"/>
        <v/>
      </c>
    </row>
    <row r="28482" spans="8:8" x14ac:dyDescent="0.3">
      <c r="H28482" t="str">
        <f t="shared" si="494"/>
        <v/>
      </c>
    </row>
    <row r="28483" spans="8:8" x14ac:dyDescent="0.3">
      <c r="H28483" t="str">
        <f t="shared" si="494"/>
        <v/>
      </c>
    </row>
    <row r="28484" spans="8:8" x14ac:dyDescent="0.3">
      <c r="H28484" t="str">
        <f t="shared" si="494"/>
        <v/>
      </c>
    </row>
    <row r="28485" spans="8:8" x14ac:dyDescent="0.3">
      <c r="H28485" t="str">
        <f t="shared" si="494"/>
        <v/>
      </c>
    </row>
    <row r="28486" spans="8:8" x14ac:dyDescent="0.3">
      <c r="H28486" t="str">
        <f t="shared" si="494"/>
        <v/>
      </c>
    </row>
    <row r="28487" spans="8:8" x14ac:dyDescent="0.3">
      <c r="H28487" t="str">
        <f t="shared" si="494"/>
        <v/>
      </c>
    </row>
    <row r="28488" spans="8:8" x14ac:dyDescent="0.3">
      <c r="H28488" t="str">
        <f t="shared" si="494"/>
        <v/>
      </c>
    </row>
    <row r="28489" spans="8:8" x14ac:dyDescent="0.3">
      <c r="H28489" t="str">
        <f t="shared" si="494"/>
        <v/>
      </c>
    </row>
    <row r="28490" spans="8:8" x14ac:dyDescent="0.3">
      <c r="H28490" t="str">
        <f t="shared" si="494"/>
        <v/>
      </c>
    </row>
    <row r="28491" spans="8:8" x14ac:dyDescent="0.3">
      <c r="H28491" t="str">
        <f t="shared" si="494"/>
        <v/>
      </c>
    </row>
    <row r="28492" spans="8:8" x14ac:dyDescent="0.3">
      <c r="H28492" t="str">
        <f t="shared" si="494"/>
        <v/>
      </c>
    </row>
    <row r="28493" spans="8:8" x14ac:dyDescent="0.3">
      <c r="H28493" t="str">
        <f t="shared" si="494"/>
        <v/>
      </c>
    </row>
    <row r="28494" spans="8:8" x14ac:dyDescent="0.3">
      <c r="H28494" t="str">
        <f t="shared" si="494"/>
        <v/>
      </c>
    </row>
    <row r="28495" spans="8:8" x14ac:dyDescent="0.3">
      <c r="H28495" t="str">
        <f t="shared" si="494"/>
        <v/>
      </c>
    </row>
    <row r="28496" spans="8:8" x14ac:dyDescent="0.3">
      <c r="H28496" t="str">
        <f t="shared" si="494"/>
        <v/>
      </c>
    </row>
    <row r="28497" spans="8:8" x14ac:dyDescent="0.3">
      <c r="H28497" t="str">
        <f t="shared" si="494"/>
        <v/>
      </c>
    </row>
    <row r="28498" spans="8:8" x14ac:dyDescent="0.3">
      <c r="H28498" t="str">
        <f t="shared" si="494"/>
        <v/>
      </c>
    </row>
    <row r="28499" spans="8:8" x14ac:dyDescent="0.3">
      <c r="H28499" t="str">
        <f t="shared" si="494"/>
        <v/>
      </c>
    </row>
    <row r="28500" spans="8:8" x14ac:dyDescent="0.3">
      <c r="H28500" t="str">
        <f t="shared" si="494"/>
        <v/>
      </c>
    </row>
    <row r="28501" spans="8:8" x14ac:dyDescent="0.3">
      <c r="H28501" t="str">
        <f t="shared" si="494"/>
        <v/>
      </c>
    </row>
    <row r="28502" spans="8:8" x14ac:dyDescent="0.3">
      <c r="H28502" t="str">
        <f t="shared" si="494"/>
        <v/>
      </c>
    </row>
    <row r="28503" spans="8:8" x14ac:dyDescent="0.3">
      <c r="H28503" t="str">
        <f t="shared" ref="H28503:H28566" si="495">IF(B28503="","",$C$12)</f>
        <v/>
      </c>
    </row>
    <row r="28504" spans="8:8" x14ac:dyDescent="0.3">
      <c r="H28504" t="str">
        <f t="shared" si="495"/>
        <v/>
      </c>
    </row>
    <row r="28505" spans="8:8" x14ac:dyDescent="0.3">
      <c r="H28505" t="str">
        <f t="shared" si="495"/>
        <v/>
      </c>
    </row>
    <row r="28506" spans="8:8" x14ac:dyDescent="0.3">
      <c r="H28506" t="str">
        <f t="shared" si="495"/>
        <v/>
      </c>
    </row>
    <row r="28507" spans="8:8" x14ac:dyDescent="0.3">
      <c r="H28507" t="str">
        <f t="shared" si="495"/>
        <v/>
      </c>
    </row>
    <row r="28508" spans="8:8" x14ac:dyDescent="0.3">
      <c r="H28508" t="str">
        <f t="shared" si="495"/>
        <v/>
      </c>
    </row>
    <row r="28509" spans="8:8" x14ac:dyDescent="0.3">
      <c r="H28509" t="str">
        <f t="shared" si="495"/>
        <v/>
      </c>
    </row>
    <row r="28510" spans="8:8" x14ac:dyDescent="0.3">
      <c r="H28510" t="str">
        <f t="shared" si="495"/>
        <v/>
      </c>
    </row>
    <row r="28511" spans="8:8" x14ac:dyDescent="0.3">
      <c r="H28511" t="str">
        <f t="shared" si="495"/>
        <v/>
      </c>
    </row>
    <row r="28512" spans="8:8" x14ac:dyDescent="0.3">
      <c r="H28512" t="str">
        <f t="shared" si="495"/>
        <v/>
      </c>
    </row>
    <row r="28513" spans="8:8" x14ac:dyDescent="0.3">
      <c r="H28513" t="str">
        <f t="shared" si="495"/>
        <v/>
      </c>
    </row>
    <row r="28514" spans="8:8" x14ac:dyDescent="0.3">
      <c r="H28514" t="str">
        <f t="shared" si="495"/>
        <v/>
      </c>
    </row>
    <row r="28515" spans="8:8" x14ac:dyDescent="0.3">
      <c r="H28515" t="str">
        <f t="shared" si="495"/>
        <v/>
      </c>
    </row>
    <row r="28516" spans="8:8" x14ac:dyDescent="0.3">
      <c r="H28516" t="str">
        <f t="shared" si="495"/>
        <v/>
      </c>
    </row>
    <row r="28517" spans="8:8" x14ac:dyDescent="0.3">
      <c r="H28517" t="str">
        <f t="shared" si="495"/>
        <v/>
      </c>
    </row>
    <row r="28518" spans="8:8" x14ac:dyDescent="0.3">
      <c r="H28518" t="str">
        <f t="shared" si="495"/>
        <v/>
      </c>
    </row>
    <row r="28519" spans="8:8" x14ac:dyDescent="0.3">
      <c r="H28519" t="str">
        <f t="shared" si="495"/>
        <v/>
      </c>
    </row>
    <row r="28520" spans="8:8" x14ac:dyDescent="0.3">
      <c r="H28520" t="str">
        <f t="shared" si="495"/>
        <v/>
      </c>
    </row>
    <row r="28521" spans="8:8" x14ac:dyDescent="0.3">
      <c r="H28521" t="str">
        <f t="shared" si="495"/>
        <v/>
      </c>
    </row>
    <row r="28522" spans="8:8" x14ac:dyDescent="0.3">
      <c r="H28522" t="str">
        <f t="shared" si="495"/>
        <v/>
      </c>
    </row>
    <row r="28523" spans="8:8" x14ac:dyDescent="0.3">
      <c r="H28523" t="str">
        <f t="shared" si="495"/>
        <v/>
      </c>
    </row>
    <row r="28524" spans="8:8" x14ac:dyDescent="0.3">
      <c r="H28524" t="str">
        <f t="shared" si="495"/>
        <v/>
      </c>
    </row>
    <row r="28525" spans="8:8" x14ac:dyDescent="0.3">
      <c r="H28525" t="str">
        <f t="shared" si="495"/>
        <v/>
      </c>
    </row>
    <row r="28526" spans="8:8" x14ac:dyDescent="0.3">
      <c r="H28526" t="str">
        <f t="shared" si="495"/>
        <v/>
      </c>
    </row>
    <row r="28527" spans="8:8" x14ac:dyDescent="0.3">
      <c r="H28527" t="str">
        <f t="shared" si="495"/>
        <v/>
      </c>
    </row>
    <row r="28528" spans="8:8" x14ac:dyDescent="0.3">
      <c r="H28528" t="str">
        <f t="shared" si="495"/>
        <v/>
      </c>
    </row>
    <row r="28529" spans="8:8" x14ac:dyDescent="0.3">
      <c r="H28529" t="str">
        <f t="shared" si="495"/>
        <v/>
      </c>
    </row>
    <row r="28530" spans="8:8" x14ac:dyDescent="0.3">
      <c r="H28530" t="str">
        <f t="shared" si="495"/>
        <v/>
      </c>
    </row>
    <row r="28531" spans="8:8" x14ac:dyDescent="0.3">
      <c r="H28531" t="str">
        <f t="shared" si="495"/>
        <v/>
      </c>
    </row>
    <row r="28532" spans="8:8" x14ac:dyDescent="0.3">
      <c r="H28532" t="str">
        <f t="shared" si="495"/>
        <v/>
      </c>
    </row>
    <row r="28533" spans="8:8" x14ac:dyDescent="0.3">
      <c r="H28533" t="str">
        <f t="shared" si="495"/>
        <v/>
      </c>
    </row>
    <row r="28534" spans="8:8" x14ac:dyDescent="0.3">
      <c r="H28534" t="str">
        <f t="shared" si="495"/>
        <v/>
      </c>
    </row>
    <row r="28535" spans="8:8" x14ac:dyDescent="0.3">
      <c r="H28535" t="str">
        <f t="shared" si="495"/>
        <v/>
      </c>
    </row>
    <row r="28536" spans="8:8" x14ac:dyDescent="0.3">
      <c r="H28536" t="str">
        <f t="shared" si="495"/>
        <v/>
      </c>
    </row>
    <row r="28537" spans="8:8" x14ac:dyDescent="0.3">
      <c r="H28537" t="str">
        <f t="shared" si="495"/>
        <v/>
      </c>
    </row>
    <row r="28538" spans="8:8" x14ac:dyDescent="0.3">
      <c r="H28538" t="str">
        <f t="shared" si="495"/>
        <v/>
      </c>
    </row>
    <row r="28539" spans="8:8" x14ac:dyDescent="0.3">
      <c r="H28539" t="str">
        <f t="shared" si="495"/>
        <v/>
      </c>
    </row>
    <row r="28540" spans="8:8" x14ac:dyDescent="0.3">
      <c r="H28540" t="str">
        <f t="shared" si="495"/>
        <v/>
      </c>
    </row>
    <row r="28541" spans="8:8" x14ac:dyDescent="0.3">
      <c r="H28541" t="str">
        <f t="shared" si="495"/>
        <v/>
      </c>
    </row>
    <row r="28542" spans="8:8" x14ac:dyDescent="0.3">
      <c r="H28542" t="str">
        <f t="shared" si="495"/>
        <v/>
      </c>
    </row>
    <row r="28543" spans="8:8" x14ac:dyDescent="0.3">
      <c r="H28543" t="str">
        <f t="shared" si="495"/>
        <v/>
      </c>
    </row>
    <row r="28544" spans="8:8" x14ac:dyDescent="0.3">
      <c r="H28544" t="str">
        <f t="shared" si="495"/>
        <v/>
      </c>
    </row>
    <row r="28545" spans="8:8" x14ac:dyDescent="0.3">
      <c r="H28545" t="str">
        <f t="shared" si="495"/>
        <v/>
      </c>
    </row>
    <row r="28546" spans="8:8" x14ac:dyDescent="0.3">
      <c r="H28546" t="str">
        <f t="shared" si="495"/>
        <v/>
      </c>
    </row>
    <row r="28547" spans="8:8" x14ac:dyDescent="0.3">
      <c r="H28547" t="str">
        <f t="shared" si="495"/>
        <v/>
      </c>
    </row>
    <row r="28548" spans="8:8" x14ac:dyDescent="0.3">
      <c r="H28548" t="str">
        <f t="shared" si="495"/>
        <v/>
      </c>
    </row>
    <row r="28549" spans="8:8" x14ac:dyDescent="0.3">
      <c r="H28549" t="str">
        <f t="shared" si="495"/>
        <v/>
      </c>
    </row>
    <row r="28550" spans="8:8" x14ac:dyDescent="0.3">
      <c r="H28550" t="str">
        <f t="shared" si="495"/>
        <v/>
      </c>
    </row>
    <row r="28551" spans="8:8" x14ac:dyDescent="0.3">
      <c r="H28551" t="str">
        <f t="shared" si="495"/>
        <v/>
      </c>
    </row>
    <row r="28552" spans="8:8" x14ac:dyDescent="0.3">
      <c r="H28552" t="str">
        <f t="shared" si="495"/>
        <v/>
      </c>
    </row>
    <row r="28553" spans="8:8" x14ac:dyDescent="0.3">
      <c r="H28553" t="str">
        <f t="shared" si="495"/>
        <v/>
      </c>
    </row>
    <row r="28554" spans="8:8" x14ac:dyDescent="0.3">
      <c r="H28554" t="str">
        <f t="shared" si="495"/>
        <v/>
      </c>
    </row>
    <row r="28555" spans="8:8" x14ac:dyDescent="0.3">
      <c r="H28555" t="str">
        <f t="shared" si="495"/>
        <v/>
      </c>
    </row>
    <row r="28556" spans="8:8" x14ac:dyDescent="0.3">
      <c r="H28556" t="str">
        <f t="shared" si="495"/>
        <v/>
      </c>
    </row>
    <row r="28557" spans="8:8" x14ac:dyDescent="0.3">
      <c r="H28557" t="str">
        <f t="shared" si="495"/>
        <v/>
      </c>
    </row>
    <row r="28558" spans="8:8" x14ac:dyDescent="0.3">
      <c r="H28558" t="str">
        <f t="shared" si="495"/>
        <v/>
      </c>
    </row>
    <row r="28559" spans="8:8" x14ac:dyDescent="0.3">
      <c r="H28559" t="str">
        <f t="shared" si="495"/>
        <v/>
      </c>
    </row>
    <row r="28560" spans="8:8" x14ac:dyDescent="0.3">
      <c r="H28560" t="str">
        <f t="shared" si="495"/>
        <v/>
      </c>
    </row>
    <row r="28561" spans="8:8" x14ac:dyDescent="0.3">
      <c r="H28561" t="str">
        <f t="shared" si="495"/>
        <v/>
      </c>
    </row>
    <row r="28562" spans="8:8" x14ac:dyDescent="0.3">
      <c r="H28562" t="str">
        <f t="shared" si="495"/>
        <v/>
      </c>
    </row>
    <row r="28563" spans="8:8" x14ac:dyDescent="0.3">
      <c r="H28563" t="str">
        <f t="shared" si="495"/>
        <v/>
      </c>
    </row>
    <row r="28564" spans="8:8" x14ac:dyDescent="0.3">
      <c r="H28564" t="str">
        <f t="shared" si="495"/>
        <v/>
      </c>
    </row>
    <row r="28565" spans="8:8" x14ac:dyDescent="0.3">
      <c r="H28565" t="str">
        <f t="shared" si="495"/>
        <v/>
      </c>
    </row>
    <row r="28566" spans="8:8" x14ac:dyDescent="0.3">
      <c r="H28566" t="str">
        <f t="shared" si="495"/>
        <v/>
      </c>
    </row>
    <row r="28567" spans="8:8" x14ac:dyDescent="0.3">
      <c r="H28567" t="str">
        <f t="shared" ref="H28567:H28630" si="496">IF(B28567="","",$C$12)</f>
        <v/>
      </c>
    </row>
    <row r="28568" spans="8:8" x14ac:dyDescent="0.3">
      <c r="H28568" t="str">
        <f t="shared" si="496"/>
        <v/>
      </c>
    </row>
    <row r="28569" spans="8:8" x14ac:dyDescent="0.3">
      <c r="H28569" t="str">
        <f t="shared" si="496"/>
        <v/>
      </c>
    </row>
    <row r="28570" spans="8:8" x14ac:dyDescent="0.3">
      <c r="H28570" t="str">
        <f t="shared" si="496"/>
        <v/>
      </c>
    </row>
    <row r="28571" spans="8:8" x14ac:dyDescent="0.3">
      <c r="H28571" t="str">
        <f t="shared" si="496"/>
        <v/>
      </c>
    </row>
    <row r="28572" spans="8:8" x14ac:dyDescent="0.3">
      <c r="H28572" t="str">
        <f t="shared" si="496"/>
        <v/>
      </c>
    </row>
    <row r="28573" spans="8:8" x14ac:dyDescent="0.3">
      <c r="H28573" t="str">
        <f t="shared" si="496"/>
        <v/>
      </c>
    </row>
    <row r="28574" spans="8:8" x14ac:dyDescent="0.3">
      <c r="H28574" t="str">
        <f t="shared" si="496"/>
        <v/>
      </c>
    </row>
    <row r="28575" spans="8:8" x14ac:dyDescent="0.3">
      <c r="H28575" t="str">
        <f t="shared" si="496"/>
        <v/>
      </c>
    </row>
    <row r="28576" spans="8:8" x14ac:dyDescent="0.3">
      <c r="H28576" t="str">
        <f t="shared" si="496"/>
        <v/>
      </c>
    </row>
    <row r="28577" spans="8:8" x14ac:dyDescent="0.3">
      <c r="H28577" t="str">
        <f t="shared" si="496"/>
        <v/>
      </c>
    </row>
    <row r="28578" spans="8:8" x14ac:dyDescent="0.3">
      <c r="H28578" t="str">
        <f t="shared" si="496"/>
        <v/>
      </c>
    </row>
    <row r="28579" spans="8:8" x14ac:dyDescent="0.3">
      <c r="H28579" t="str">
        <f t="shared" si="496"/>
        <v/>
      </c>
    </row>
    <row r="28580" spans="8:8" x14ac:dyDescent="0.3">
      <c r="H28580" t="str">
        <f t="shared" si="496"/>
        <v/>
      </c>
    </row>
    <row r="28581" spans="8:8" x14ac:dyDescent="0.3">
      <c r="H28581" t="str">
        <f t="shared" si="496"/>
        <v/>
      </c>
    </row>
    <row r="28582" spans="8:8" x14ac:dyDescent="0.3">
      <c r="H28582" t="str">
        <f t="shared" si="496"/>
        <v/>
      </c>
    </row>
    <row r="28583" spans="8:8" x14ac:dyDescent="0.3">
      <c r="H28583" t="str">
        <f t="shared" si="496"/>
        <v/>
      </c>
    </row>
    <row r="28584" spans="8:8" x14ac:dyDescent="0.3">
      <c r="H28584" t="str">
        <f t="shared" si="496"/>
        <v/>
      </c>
    </row>
    <row r="28585" spans="8:8" x14ac:dyDescent="0.3">
      <c r="H28585" t="str">
        <f t="shared" si="496"/>
        <v/>
      </c>
    </row>
    <row r="28586" spans="8:8" x14ac:dyDescent="0.3">
      <c r="H28586" t="str">
        <f t="shared" si="496"/>
        <v/>
      </c>
    </row>
    <row r="28587" spans="8:8" x14ac:dyDescent="0.3">
      <c r="H28587" t="str">
        <f t="shared" si="496"/>
        <v/>
      </c>
    </row>
    <row r="28588" spans="8:8" x14ac:dyDescent="0.3">
      <c r="H28588" t="str">
        <f t="shared" si="496"/>
        <v/>
      </c>
    </row>
    <row r="28589" spans="8:8" x14ac:dyDescent="0.3">
      <c r="H28589" t="str">
        <f t="shared" si="496"/>
        <v/>
      </c>
    </row>
    <row r="28590" spans="8:8" x14ac:dyDescent="0.3">
      <c r="H28590" t="str">
        <f t="shared" si="496"/>
        <v/>
      </c>
    </row>
    <row r="28591" spans="8:8" x14ac:dyDescent="0.3">
      <c r="H28591" t="str">
        <f t="shared" si="496"/>
        <v/>
      </c>
    </row>
    <row r="28592" spans="8:8" x14ac:dyDescent="0.3">
      <c r="H28592" t="str">
        <f t="shared" si="496"/>
        <v/>
      </c>
    </row>
    <row r="28593" spans="8:8" x14ac:dyDescent="0.3">
      <c r="H28593" t="str">
        <f t="shared" si="496"/>
        <v/>
      </c>
    </row>
    <row r="28594" spans="8:8" x14ac:dyDescent="0.3">
      <c r="H28594" t="str">
        <f t="shared" si="496"/>
        <v/>
      </c>
    </row>
    <row r="28595" spans="8:8" x14ac:dyDescent="0.3">
      <c r="H28595" t="str">
        <f t="shared" si="496"/>
        <v/>
      </c>
    </row>
    <row r="28596" spans="8:8" x14ac:dyDescent="0.3">
      <c r="H28596" t="str">
        <f t="shared" si="496"/>
        <v/>
      </c>
    </row>
    <row r="28597" spans="8:8" x14ac:dyDescent="0.3">
      <c r="H28597" t="str">
        <f t="shared" si="496"/>
        <v/>
      </c>
    </row>
    <row r="28598" spans="8:8" x14ac:dyDescent="0.3">
      <c r="H28598" t="str">
        <f t="shared" si="496"/>
        <v/>
      </c>
    </row>
    <row r="28599" spans="8:8" x14ac:dyDescent="0.3">
      <c r="H28599" t="str">
        <f t="shared" si="496"/>
        <v/>
      </c>
    </row>
    <row r="28600" spans="8:8" x14ac:dyDescent="0.3">
      <c r="H28600" t="str">
        <f t="shared" si="496"/>
        <v/>
      </c>
    </row>
    <row r="28601" spans="8:8" x14ac:dyDescent="0.3">
      <c r="H28601" t="str">
        <f t="shared" si="496"/>
        <v/>
      </c>
    </row>
    <row r="28602" spans="8:8" x14ac:dyDescent="0.3">
      <c r="H28602" t="str">
        <f t="shared" si="496"/>
        <v/>
      </c>
    </row>
    <row r="28603" spans="8:8" x14ac:dyDescent="0.3">
      <c r="H28603" t="str">
        <f t="shared" si="496"/>
        <v/>
      </c>
    </row>
    <row r="28604" spans="8:8" x14ac:dyDescent="0.3">
      <c r="H28604" t="str">
        <f t="shared" si="496"/>
        <v/>
      </c>
    </row>
    <row r="28605" spans="8:8" x14ac:dyDescent="0.3">
      <c r="H28605" t="str">
        <f t="shared" si="496"/>
        <v/>
      </c>
    </row>
    <row r="28606" spans="8:8" x14ac:dyDescent="0.3">
      <c r="H28606" t="str">
        <f t="shared" si="496"/>
        <v/>
      </c>
    </row>
    <row r="28607" spans="8:8" x14ac:dyDescent="0.3">
      <c r="H28607" t="str">
        <f t="shared" si="496"/>
        <v/>
      </c>
    </row>
    <row r="28608" spans="8:8" x14ac:dyDescent="0.3">
      <c r="H28608" t="str">
        <f t="shared" si="496"/>
        <v/>
      </c>
    </row>
    <row r="28609" spans="8:8" x14ac:dyDescent="0.3">
      <c r="H28609" t="str">
        <f t="shared" si="496"/>
        <v/>
      </c>
    </row>
    <row r="28610" spans="8:8" x14ac:dyDescent="0.3">
      <c r="H28610" t="str">
        <f t="shared" si="496"/>
        <v/>
      </c>
    </row>
    <row r="28611" spans="8:8" x14ac:dyDescent="0.3">
      <c r="H28611" t="str">
        <f t="shared" si="496"/>
        <v/>
      </c>
    </row>
    <row r="28612" spans="8:8" x14ac:dyDescent="0.3">
      <c r="H28612" t="str">
        <f t="shared" si="496"/>
        <v/>
      </c>
    </row>
    <row r="28613" spans="8:8" x14ac:dyDescent="0.3">
      <c r="H28613" t="str">
        <f t="shared" si="496"/>
        <v/>
      </c>
    </row>
    <row r="28614" spans="8:8" x14ac:dyDescent="0.3">
      <c r="H28614" t="str">
        <f t="shared" si="496"/>
        <v/>
      </c>
    </row>
    <row r="28615" spans="8:8" x14ac:dyDescent="0.3">
      <c r="H28615" t="str">
        <f t="shared" si="496"/>
        <v/>
      </c>
    </row>
    <row r="28616" spans="8:8" x14ac:dyDescent="0.3">
      <c r="H28616" t="str">
        <f t="shared" si="496"/>
        <v/>
      </c>
    </row>
    <row r="28617" spans="8:8" x14ac:dyDescent="0.3">
      <c r="H28617" t="str">
        <f t="shared" si="496"/>
        <v/>
      </c>
    </row>
    <row r="28618" spans="8:8" x14ac:dyDescent="0.3">
      <c r="H28618" t="str">
        <f t="shared" si="496"/>
        <v/>
      </c>
    </row>
    <row r="28619" spans="8:8" x14ac:dyDescent="0.3">
      <c r="H28619" t="str">
        <f t="shared" si="496"/>
        <v/>
      </c>
    </row>
    <row r="28620" spans="8:8" x14ac:dyDescent="0.3">
      <c r="H28620" t="str">
        <f t="shared" si="496"/>
        <v/>
      </c>
    </row>
    <row r="28621" spans="8:8" x14ac:dyDescent="0.3">
      <c r="H28621" t="str">
        <f t="shared" si="496"/>
        <v/>
      </c>
    </row>
    <row r="28622" spans="8:8" x14ac:dyDescent="0.3">
      <c r="H28622" t="str">
        <f t="shared" si="496"/>
        <v/>
      </c>
    </row>
    <row r="28623" spans="8:8" x14ac:dyDescent="0.3">
      <c r="H28623" t="str">
        <f t="shared" si="496"/>
        <v/>
      </c>
    </row>
    <row r="28624" spans="8:8" x14ac:dyDescent="0.3">
      <c r="H28624" t="str">
        <f t="shared" si="496"/>
        <v/>
      </c>
    </row>
    <row r="28625" spans="8:8" x14ac:dyDescent="0.3">
      <c r="H28625" t="str">
        <f t="shared" si="496"/>
        <v/>
      </c>
    </row>
    <row r="28626" spans="8:8" x14ac:dyDescent="0.3">
      <c r="H28626" t="str">
        <f t="shared" si="496"/>
        <v/>
      </c>
    </row>
    <row r="28627" spans="8:8" x14ac:dyDescent="0.3">
      <c r="H28627" t="str">
        <f t="shared" si="496"/>
        <v/>
      </c>
    </row>
    <row r="28628" spans="8:8" x14ac:dyDescent="0.3">
      <c r="H28628" t="str">
        <f t="shared" si="496"/>
        <v/>
      </c>
    </row>
    <row r="28629" spans="8:8" x14ac:dyDescent="0.3">
      <c r="H28629" t="str">
        <f t="shared" si="496"/>
        <v/>
      </c>
    </row>
    <row r="28630" spans="8:8" x14ac:dyDescent="0.3">
      <c r="H28630" t="str">
        <f t="shared" si="496"/>
        <v/>
      </c>
    </row>
    <row r="28631" spans="8:8" x14ac:dyDescent="0.3">
      <c r="H28631" t="str">
        <f t="shared" ref="H28631:H28694" si="497">IF(B28631="","",$C$12)</f>
        <v/>
      </c>
    </row>
    <row r="28632" spans="8:8" x14ac:dyDescent="0.3">
      <c r="H28632" t="str">
        <f t="shared" si="497"/>
        <v/>
      </c>
    </row>
    <row r="28633" spans="8:8" x14ac:dyDescent="0.3">
      <c r="H28633" t="str">
        <f t="shared" si="497"/>
        <v/>
      </c>
    </row>
    <row r="28634" spans="8:8" x14ac:dyDescent="0.3">
      <c r="H28634" t="str">
        <f t="shared" si="497"/>
        <v/>
      </c>
    </row>
    <row r="28635" spans="8:8" x14ac:dyDescent="0.3">
      <c r="H28635" t="str">
        <f t="shared" si="497"/>
        <v/>
      </c>
    </row>
    <row r="28636" spans="8:8" x14ac:dyDescent="0.3">
      <c r="H28636" t="str">
        <f t="shared" si="497"/>
        <v/>
      </c>
    </row>
    <row r="28637" spans="8:8" x14ac:dyDescent="0.3">
      <c r="H28637" t="str">
        <f t="shared" si="497"/>
        <v/>
      </c>
    </row>
    <row r="28638" spans="8:8" x14ac:dyDescent="0.3">
      <c r="H28638" t="str">
        <f t="shared" si="497"/>
        <v/>
      </c>
    </row>
    <row r="28639" spans="8:8" x14ac:dyDescent="0.3">
      <c r="H28639" t="str">
        <f t="shared" si="497"/>
        <v/>
      </c>
    </row>
    <row r="28640" spans="8:8" x14ac:dyDescent="0.3">
      <c r="H28640" t="str">
        <f t="shared" si="497"/>
        <v/>
      </c>
    </row>
    <row r="28641" spans="8:8" x14ac:dyDescent="0.3">
      <c r="H28641" t="str">
        <f t="shared" si="497"/>
        <v/>
      </c>
    </row>
    <row r="28642" spans="8:8" x14ac:dyDescent="0.3">
      <c r="H28642" t="str">
        <f t="shared" si="497"/>
        <v/>
      </c>
    </row>
    <row r="28643" spans="8:8" x14ac:dyDescent="0.3">
      <c r="H28643" t="str">
        <f t="shared" si="497"/>
        <v/>
      </c>
    </row>
    <row r="28644" spans="8:8" x14ac:dyDescent="0.3">
      <c r="H28644" t="str">
        <f t="shared" si="497"/>
        <v/>
      </c>
    </row>
    <row r="28645" spans="8:8" x14ac:dyDescent="0.3">
      <c r="H28645" t="str">
        <f t="shared" si="497"/>
        <v/>
      </c>
    </row>
    <row r="28646" spans="8:8" x14ac:dyDescent="0.3">
      <c r="H28646" t="str">
        <f t="shared" si="497"/>
        <v/>
      </c>
    </row>
    <row r="28647" spans="8:8" x14ac:dyDescent="0.3">
      <c r="H28647" t="str">
        <f t="shared" si="497"/>
        <v/>
      </c>
    </row>
    <row r="28648" spans="8:8" x14ac:dyDescent="0.3">
      <c r="H28648" t="str">
        <f t="shared" si="497"/>
        <v/>
      </c>
    </row>
    <row r="28649" spans="8:8" x14ac:dyDescent="0.3">
      <c r="H28649" t="str">
        <f t="shared" si="497"/>
        <v/>
      </c>
    </row>
    <row r="28650" spans="8:8" x14ac:dyDescent="0.3">
      <c r="H28650" t="str">
        <f t="shared" si="497"/>
        <v/>
      </c>
    </row>
    <row r="28651" spans="8:8" x14ac:dyDescent="0.3">
      <c r="H28651" t="str">
        <f t="shared" si="497"/>
        <v/>
      </c>
    </row>
    <row r="28652" spans="8:8" x14ac:dyDescent="0.3">
      <c r="H28652" t="str">
        <f t="shared" si="497"/>
        <v/>
      </c>
    </row>
    <row r="28653" spans="8:8" x14ac:dyDescent="0.3">
      <c r="H28653" t="str">
        <f t="shared" si="497"/>
        <v/>
      </c>
    </row>
    <row r="28654" spans="8:8" x14ac:dyDescent="0.3">
      <c r="H28654" t="str">
        <f t="shared" si="497"/>
        <v/>
      </c>
    </row>
    <row r="28655" spans="8:8" x14ac:dyDescent="0.3">
      <c r="H28655" t="str">
        <f t="shared" si="497"/>
        <v/>
      </c>
    </row>
    <row r="28656" spans="8:8" x14ac:dyDescent="0.3">
      <c r="H28656" t="str">
        <f t="shared" si="497"/>
        <v/>
      </c>
    </row>
    <row r="28657" spans="8:8" x14ac:dyDescent="0.3">
      <c r="H28657" t="str">
        <f t="shared" si="497"/>
        <v/>
      </c>
    </row>
    <row r="28658" spans="8:8" x14ac:dyDescent="0.3">
      <c r="H28658" t="str">
        <f t="shared" si="497"/>
        <v/>
      </c>
    </row>
    <row r="28659" spans="8:8" x14ac:dyDescent="0.3">
      <c r="H28659" t="str">
        <f t="shared" si="497"/>
        <v/>
      </c>
    </row>
    <row r="28660" spans="8:8" x14ac:dyDescent="0.3">
      <c r="H28660" t="str">
        <f t="shared" si="497"/>
        <v/>
      </c>
    </row>
    <row r="28661" spans="8:8" x14ac:dyDescent="0.3">
      <c r="H28661" t="str">
        <f t="shared" si="497"/>
        <v/>
      </c>
    </row>
    <row r="28662" spans="8:8" x14ac:dyDescent="0.3">
      <c r="H28662" t="str">
        <f t="shared" si="497"/>
        <v/>
      </c>
    </row>
    <row r="28663" spans="8:8" x14ac:dyDescent="0.3">
      <c r="H28663" t="str">
        <f t="shared" si="497"/>
        <v/>
      </c>
    </row>
    <row r="28664" spans="8:8" x14ac:dyDescent="0.3">
      <c r="H28664" t="str">
        <f t="shared" si="497"/>
        <v/>
      </c>
    </row>
    <row r="28665" spans="8:8" x14ac:dyDescent="0.3">
      <c r="H28665" t="str">
        <f t="shared" si="497"/>
        <v/>
      </c>
    </row>
    <row r="28666" spans="8:8" x14ac:dyDescent="0.3">
      <c r="H28666" t="str">
        <f t="shared" si="497"/>
        <v/>
      </c>
    </row>
    <row r="28667" spans="8:8" x14ac:dyDescent="0.3">
      <c r="H28667" t="str">
        <f t="shared" si="497"/>
        <v/>
      </c>
    </row>
    <row r="28668" spans="8:8" x14ac:dyDescent="0.3">
      <c r="H28668" t="str">
        <f t="shared" si="497"/>
        <v/>
      </c>
    </row>
    <row r="28669" spans="8:8" x14ac:dyDescent="0.3">
      <c r="H28669" t="str">
        <f t="shared" si="497"/>
        <v/>
      </c>
    </row>
    <row r="28670" spans="8:8" x14ac:dyDescent="0.3">
      <c r="H28670" t="str">
        <f t="shared" si="497"/>
        <v/>
      </c>
    </row>
    <row r="28671" spans="8:8" x14ac:dyDescent="0.3">
      <c r="H28671" t="str">
        <f t="shared" si="497"/>
        <v/>
      </c>
    </row>
    <row r="28672" spans="8:8" x14ac:dyDescent="0.3">
      <c r="H28672" t="str">
        <f t="shared" si="497"/>
        <v/>
      </c>
    </row>
    <row r="28673" spans="8:8" x14ac:dyDescent="0.3">
      <c r="H28673" t="str">
        <f t="shared" si="497"/>
        <v/>
      </c>
    </row>
    <row r="28674" spans="8:8" x14ac:dyDescent="0.3">
      <c r="H28674" t="str">
        <f t="shared" si="497"/>
        <v/>
      </c>
    </row>
    <row r="28675" spans="8:8" x14ac:dyDescent="0.3">
      <c r="H28675" t="str">
        <f t="shared" si="497"/>
        <v/>
      </c>
    </row>
    <row r="28676" spans="8:8" x14ac:dyDescent="0.3">
      <c r="H28676" t="str">
        <f t="shared" si="497"/>
        <v/>
      </c>
    </row>
    <row r="28677" spans="8:8" x14ac:dyDescent="0.3">
      <c r="H28677" t="str">
        <f t="shared" si="497"/>
        <v/>
      </c>
    </row>
    <row r="28678" spans="8:8" x14ac:dyDescent="0.3">
      <c r="H28678" t="str">
        <f t="shared" si="497"/>
        <v/>
      </c>
    </row>
    <row r="28679" spans="8:8" x14ac:dyDescent="0.3">
      <c r="H28679" t="str">
        <f t="shared" si="497"/>
        <v/>
      </c>
    </row>
    <row r="28680" spans="8:8" x14ac:dyDescent="0.3">
      <c r="H28680" t="str">
        <f t="shared" si="497"/>
        <v/>
      </c>
    </row>
    <row r="28681" spans="8:8" x14ac:dyDescent="0.3">
      <c r="H28681" t="str">
        <f t="shared" si="497"/>
        <v/>
      </c>
    </row>
    <row r="28682" spans="8:8" x14ac:dyDescent="0.3">
      <c r="H28682" t="str">
        <f t="shared" si="497"/>
        <v/>
      </c>
    </row>
    <row r="28683" spans="8:8" x14ac:dyDescent="0.3">
      <c r="H28683" t="str">
        <f t="shared" si="497"/>
        <v/>
      </c>
    </row>
    <row r="28684" spans="8:8" x14ac:dyDescent="0.3">
      <c r="H28684" t="str">
        <f t="shared" si="497"/>
        <v/>
      </c>
    </row>
    <row r="28685" spans="8:8" x14ac:dyDescent="0.3">
      <c r="H28685" t="str">
        <f t="shared" si="497"/>
        <v/>
      </c>
    </row>
    <row r="28686" spans="8:8" x14ac:dyDescent="0.3">
      <c r="H28686" t="str">
        <f t="shared" si="497"/>
        <v/>
      </c>
    </row>
    <row r="28687" spans="8:8" x14ac:dyDescent="0.3">
      <c r="H28687" t="str">
        <f t="shared" si="497"/>
        <v/>
      </c>
    </row>
    <row r="28688" spans="8:8" x14ac:dyDescent="0.3">
      <c r="H28688" t="str">
        <f t="shared" si="497"/>
        <v/>
      </c>
    </row>
    <row r="28689" spans="8:8" x14ac:dyDescent="0.3">
      <c r="H28689" t="str">
        <f t="shared" si="497"/>
        <v/>
      </c>
    </row>
    <row r="28690" spans="8:8" x14ac:dyDescent="0.3">
      <c r="H28690" t="str">
        <f t="shared" si="497"/>
        <v/>
      </c>
    </row>
    <row r="28691" spans="8:8" x14ac:dyDescent="0.3">
      <c r="H28691" t="str">
        <f t="shared" si="497"/>
        <v/>
      </c>
    </row>
    <row r="28692" spans="8:8" x14ac:dyDescent="0.3">
      <c r="H28692" t="str">
        <f t="shared" si="497"/>
        <v/>
      </c>
    </row>
    <row r="28693" spans="8:8" x14ac:dyDescent="0.3">
      <c r="H28693" t="str">
        <f t="shared" si="497"/>
        <v/>
      </c>
    </row>
    <row r="28694" spans="8:8" x14ac:dyDescent="0.3">
      <c r="H28694" t="str">
        <f t="shared" si="497"/>
        <v/>
      </c>
    </row>
    <row r="28695" spans="8:8" x14ac:dyDescent="0.3">
      <c r="H28695" t="str">
        <f t="shared" ref="H28695:H28758" si="498">IF(B28695="","",$C$12)</f>
        <v/>
      </c>
    </row>
    <row r="28696" spans="8:8" x14ac:dyDescent="0.3">
      <c r="H28696" t="str">
        <f t="shared" si="498"/>
        <v/>
      </c>
    </row>
    <row r="28697" spans="8:8" x14ac:dyDescent="0.3">
      <c r="H28697" t="str">
        <f t="shared" si="498"/>
        <v/>
      </c>
    </row>
    <row r="28698" spans="8:8" x14ac:dyDescent="0.3">
      <c r="H28698" t="str">
        <f t="shared" si="498"/>
        <v/>
      </c>
    </row>
    <row r="28699" spans="8:8" x14ac:dyDescent="0.3">
      <c r="H28699" t="str">
        <f t="shared" si="498"/>
        <v/>
      </c>
    </row>
    <row r="28700" spans="8:8" x14ac:dyDescent="0.3">
      <c r="H28700" t="str">
        <f t="shared" si="498"/>
        <v/>
      </c>
    </row>
    <row r="28701" spans="8:8" x14ac:dyDescent="0.3">
      <c r="H28701" t="str">
        <f t="shared" si="498"/>
        <v/>
      </c>
    </row>
    <row r="28702" spans="8:8" x14ac:dyDescent="0.3">
      <c r="H28702" t="str">
        <f t="shared" si="498"/>
        <v/>
      </c>
    </row>
    <row r="28703" spans="8:8" x14ac:dyDescent="0.3">
      <c r="H28703" t="str">
        <f t="shared" si="498"/>
        <v/>
      </c>
    </row>
    <row r="28704" spans="8:8" x14ac:dyDescent="0.3">
      <c r="H28704" t="str">
        <f t="shared" si="498"/>
        <v/>
      </c>
    </row>
    <row r="28705" spans="8:8" x14ac:dyDescent="0.3">
      <c r="H28705" t="str">
        <f t="shared" si="498"/>
        <v/>
      </c>
    </row>
    <row r="28706" spans="8:8" x14ac:dyDescent="0.3">
      <c r="H28706" t="str">
        <f t="shared" si="498"/>
        <v/>
      </c>
    </row>
    <row r="28707" spans="8:8" x14ac:dyDescent="0.3">
      <c r="H28707" t="str">
        <f t="shared" si="498"/>
        <v/>
      </c>
    </row>
    <row r="28708" spans="8:8" x14ac:dyDescent="0.3">
      <c r="H28708" t="str">
        <f t="shared" si="498"/>
        <v/>
      </c>
    </row>
    <row r="28709" spans="8:8" x14ac:dyDescent="0.3">
      <c r="H28709" t="str">
        <f t="shared" si="498"/>
        <v/>
      </c>
    </row>
    <row r="28710" spans="8:8" x14ac:dyDescent="0.3">
      <c r="H28710" t="str">
        <f t="shared" si="498"/>
        <v/>
      </c>
    </row>
    <row r="28711" spans="8:8" x14ac:dyDescent="0.3">
      <c r="H28711" t="str">
        <f t="shared" si="498"/>
        <v/>
      </c>
    </row>
    <row r="28712" spans="8:8" x14ac:dyDescent="0.3">
      <c r="H28712" t="str">
        <f t="shared" si="498"/>
        <v/>
      </c>
    </row>
    <row r="28713" spans="8:8" x14ac:dyDescent="0.3">
      <c r="H28713" t="str">
        <f t="shared" si="498"/>
        <v/>
      </c>
    </row>
    <row r="28714" spans="8:8" x14ac:dyDescent="0.3">
      <c r="H28714" t="str">
        <f t="shared" si="498"/>
        <v/>
      </c>
    </row>
    <row r="28715" spans="8:8" x14ac:dyDescent="0.3">
      <c r="H28715" t="str">
        <f t="shared" si="498"/>
        <v/>
      </c>
    </row>
    <row r="28716" spans="8:8" x14ac:dyDescent="0.3">
      <c r="H28716" t="str">
        <f t="shared" si="498"/>
        <v/>
      </c>
    </row>
    <row r="28717" spans="8:8" x14ac:dyDescent="0.3">
      <c r="H28717" t="str">
        <f t="shared" si="498"/>
        <v/>
      </c>
    </row>
    <row r="28718" spans="8:8" x14ac:dyDescent="0.3">
      <c r="H28718" t="str">
        <f t="shared" si="498"/>
        <v/>
      </c>
    </row>
    <row r="28719" spans="8:8" x14ac:dyDescent="0.3">
      <c r="H28719" t="str">
        <f t="shared" si="498"/>
        <v/>
      </c>
    </row>
    <row r="28720" spans="8:8" x14ac:dyDescent="0.3">
      <c r="H28720" t="str">
        <f t="shared" si="498"/>
        <v/>
      </c>
    </row>
    <row r="28721" spans="8:8" x14ac:dyDescent="0.3">
      <c r="H28721" t="str">
        <f t="shared" si="498"/>
        <v/>
      </c>
    </row>
    <row r="28722" spans="8:8" x14ac:dyDescent="0.3">
      <c r="H28722" t="str">
        <f t="shared" si="498"/>
        <v/>
      </c>
    </row>
    <row r="28723" spans="8:8" x14ac:dyDescent="0.3">
      <c r="H28723" t="str">
        <f t="shared" si="498"/>
        <v/>
      </c>
    </row>
    <row r="28724" spans="8:8" x14ac:dyDescent="0.3">
      <c r="H28724" t="str">
        <f t="shared" si="498"/>
        <v/>
      </c>
    </row>
    <row r="28725" spans="8:8" x14ac:dyDescent="0.3">
      <c r="H28725" t="str">
        <f t="shared" si="498"/>
        <v/>
      </c>
    </row>
    <row r="28726" spans="8:8" x14ac:dyDescent="0.3">
      <c r="H28726" t="str">
        <f t="shared" si="498"/>
        <v/>
      </c>
    </row>
    <row r="28727" spans="8:8" x14ac:dyDescent="0.3">
      <c r="H28727" t="str">
        <f t="shared" si="498"/>
        <v/>
      </c>
    </row>
    <row r="28728" spans="8:8" x14ac:dyDescent="0.3">
      <c r="H28728" t="str">
        <f t="shared" si="498"/>
        <v/>
      </c>
    </row>
    <row r="28729" spans="8:8" x14ac:dyDescent="0.3">
      <c r="H28729" t="str">
        <f t="shared" si="498"/>
        <v/>
      </c>
    </row>
    <row r="28730" spans="8:8" x14ac:dyDescent="0.3">
      <c r="H28730" t="str">
        <f t="shared" si="498"/>
        <v/>
      </c>
    </row>
    <row r="28731" spans="8:8" x14ac:dyDescent="0.3">
      <c r="H28731" t="str">
        <f t="shared" si="498"/>
        <v/>
      </c>
    </row>
    <row r="28732" spans="8:8" x14ac:dyDescent="0.3">
      <c r="H28732" t="str">
        <f t="shared" si="498"/>
        <v/>
      </c>
    </row>
    <row r="28733" spans="8:8" x14ac:dyDescent="0.3">
      <c r="H28733" t="str">
        <f t="shared" si="498"/>
        <v/>
      </c>
    </row>
    <row r="28734" spans="8:8" x14ac:dyDescent="0.3">
      <c r="H28734" t="str">
        <f t="shared" si="498"/>
        <v/>
      </c>
    </row>
    <row r="28735" spans="8:8" x14ac:dyDescent="0.3">
      <c r="H28735" t="str">
        <f t="shared" si="498"/>
        <v/>
      </c>
    </row>
    <row r="28736" spans="8:8" x14ac:dyDescent="0.3">
      <c r="H28736" t="str">
        <f t="shared" si="498"/>
        <v/>
      </c>
    </row>
    <row r="28737" spans="8:8" x14ac:dyDescent="0.3">
      <c r="H28737" t="str">
        <f t="shared" si="498"/>
        <v/>
      </c>
    </row>
    <row r="28738" spans="8:8" x14ac:dyDescent="0.3">
      <c r="H28738" t="str">
        <f t="shared" si="498"/>
        <v/>
      </c>
    </row>
    <row r="28739" spans="8:8" x14ac:dyDescent="0.3">
      <c r="H28739" t="str">
        <f t="shared" si="498"/>
        <v/>
      </c>
    </row>
    <row r="28740" spans="8:8" x14ac:dyDescent="0.3">
      <c r="H28740" t="str">
        <f t="shared" si="498"/>
        <v/>
      </c>
    </row>
    <row r="28741" spans="8:8" x14ac:dyDescent="0.3">
      <c r="H28741" t="str">
        <f t="shared" si="498"/>
        <v/>
      </c>
    </row>
    <row r="28742" spans="8:8" x14ac:dyDescent="0.3">
      <c r="H28742" t="str">
        <f t="shared" si="498"/>
        <v/>
      </c>
    </row>
    <row r="28743" spans="8:8" x14ac:dyDescent="0.3">
      <c r="H28743" t="str">
        <f t="shared" si="498"/>
        <v/>
      </c>
    </row>
    <row r="28744" spans="8:8" x14ac:dyDescent="0.3">
      <c r="H28744" t="str">
        <f t="shared" si="498"/>
        <v/>
      </c>
    </row>
    <row r="28745" spans="8:8" x14ac:dyDescent="0.3">
      <c r="H28745" t="str">
        <f t="shared" si="498"/>
        <v/>
      </c>
    </row>
    <row r="28746" spans="8:8" x14ac:dyDescent="0.3">
      <c r="H28746" t="str">
        <f t="shared" si="498"/>
        <v/>
      </c>
    </row>
    <row r="28747" spans="8:8" x14ac:dyDescent="0.3">
      <c r="H28747" t="str">
        <f t="shared" si="498"/>
        <v/>
      </c>
    </row>
    <row r="28748" spans="8:8" x14ac:dyDescent="0.3">
      <c r="H28748" t="str">
        <f t="shared" si="498"/>
        <v/>
      </c>
    </row>
    <row r="28749" spans="8:8" x14ac:dyDescent="0.3">
      <c r="H28749" t="str">
        <f t="shared" si="498"/>
        <v/>
      </c>
    </row>
    <row r="28750" spans="8:8" x14ac:dyDescent="0.3">
      <c r="H28750" t="str">
        <f t="shared" si="498"/>
        <v/>
      </c>
    </row>
    <row r="28751" spans="8:8" x14ac:dyDescent="0.3">
      <c r="H28751" t="str">
        <f t="shared" si="498"/>
        <v/>
      </c>
    </row>
    <row r="28752" spans="8:8" x14ac:dyDescent="0.3">
      <c r="H28752" t="str">
        <f t="shared" si="498"/>
        <v/>
      </c>
    </row>
    <row r="28753" spans="8:8" x14ac:dyDescent="0.3">
      <c r="H28753" t="str">
        <f t="shared" si="498"/>
        <v/>
      </c>
    </row>
    <row r="28754" spans="8:8" x14ac:dyDescent="0.3">
      <c r="H28754" t="str">
        <f t="shared" si="498"/>
        <v/>
      </c>
    </row>
    <row r="28755" spans="8:8" x14ac:dyDescent="0.3">
      <c r="H28755" t="str">
        <f t="shared" si="498"/>
        <v/>
      </c>
    </row>
    <row r="28756" spans="8:8" x14ac:dyDescent="0.3">
      <c r="H28756" t="str">
        <f t="shared" si="498"/>
        <v/>
      </c>
    </row>
    <row r="28757" spans="8:8" x14ac:dyDescent="0.3">
      <c r="H28757" t="str">
        <f t="shared" si="498"/>
        <v/>
      </c>
    </row>
    <row r="28758" spans="8:8" x14ac:dyDescent="0.3">
      <c r="H28758" t="str">
        <f t="shared" si="498"/>
        <v/>
      </c>
    </row>
    <row r="28759" spans="8:8" x14ac:dyDescent="0.3">
      <c r="H28759" t="str">
        <f t="shared" ref="H28759:H28822" si="499">IF(B28759="","",$C$12)</f>
        <v/>
      </c>
    </row>
    <row r="28760" spans="8:8" x14ac:dyDescent="0.3">
      <c r="H28760" t="str">
        <f t="shared" si="499"/>
        <v/>
      </c>
    </row>
    <row r="28761" spans="8:8" x14ac:dyDescent="0.3">
      <c r="H28761" t="str">
        <f t="shared" si="499"/>
        <v/>
      </c>
    </row>
    <row r="28762" spans="8:8" x14ac:dyDescent="0.3">
      <c r="H28762" t="str">
        <f t="shared" si="499"/>
        <v/>
      </c>
    </row>
    <row r="28763" spans="8:8" x14ac:dyDescent="0.3">
      <c r="H28763" t="str">
        <f t="shared" si="499"/>
        <v/>
      </c>
    </row>
    <row r="28764" spans="8:8" x14ac:dyDescent="0.3">
      <c r="H28764" t="str">
        <f t="shared" si="499"/>
        <v/>
      </c>
    </row>
    <row r="28765" spans="8:8" x14ac:dyDescent="0.3">
      <c r="H28765" t="str">
        <f t="shared" si="499"/>
        <v/>
      </c>
    </row>
    <row r="28766" spans="8:8" x14ac:dyDescent="0.3">
      <c r="H28766" t="str">
        <f t="shared" si="499"/>
        <v/>
      </c>
    </row>
    <row r="28767" spans="8:8" x14ac:dyDescent="0.3">
      <c r="H28767" t="str">
        <f t="shared" si="499"/>
        <v/>
      </c>
    </row>
    <row r="28768" spans="8:8" x14ac:dyDescent="0.3">
      <c r="H28768" t="str">
        <f t="shared" si="499"/>
        <v/>
      </c>
    </row>
    <row r="28769" spans="8:8" x14ac:dyDescent="0.3">
      <c r="H28769" t="str">
        <f t="shared" si="499"/>
        <v/>
      </c>
    </row>
    <row r="28770" spans="8:8" x14ac:dyDescent="0.3">
      <c r="H28770" t="str">
        <f t="shared" si="499"/>
        <v/>
      </c>
    </row>
    <row r="28771" spans="8:8" x14ac:dyDescent="0.3">
      <c r="H28771" t="str">
        <f t="shared" si="499"/>
        <v/>
      </c>
    </row>
    <row r="28772" spans="8:8" x14ac:dyDescent="0.3">
      <c r="H28772" t="str">
        <f t="shared" si="499"/>
        <v/>
      </c>
    </row>
    <row r="28773" spans="8:8" x14ac:dyDescent="0.3">
      <c r="H28773" t="str">
        <f t="shared" si="499"/>
        <v/>
      </c>
    </row>
    <row r="28774" spans="8:8" x14ac:dyDescent="0.3">
      <c r="H28774" t="str">
        <f t="shared" si="499"/>
        <v/>
      </c>
    </row>
    <row r="28775" spans="8:8" x14ac:dyDescent="0.3">
      <c r="H28775" t="str">
        <f t="shared" si="499"/>
        <v/>
      </c>
    </row>
    <row r="28776" spans="8:8" x14ac:dyDescent="0.3">
      <c r="H28776" t="str">
        <f t="shared" si="499"/>
        <v/>
      </c>
    </row>
    <row r="28777" spans="8:8" x14ac:dyDescent="0.3">
      <c r="H28777" t="str">
        <f t="shared" si="499"/>
        <v/>
      </c>
    </row>
    <row r="28778" spans="8:8" x14ac:dyDescent="0.3">
      <c r="H28778" t="str">
        <f t="shared" si="499"/>
        <v/>
      </c>
    </row>
    <row r="28779" spans="8:8" x14ac:dyDescent="0.3">
      <c r="H28779" t="str">
        <f t="shared" si="499"/>
        <v/>
      </c>
    </row>
    <row r="28780" spans="8:8" x14ac:dyDescent="0.3">
      <c r="H28780" t="str">
        <f t="shared" si="499"/>
        <v/>
      </c>
    </row>
    <row r="28781" spans="8:8" x14ac:dyDescent="0.3">
      <c r="H28781" t="str">
        <f t="shared" si="499"/>
        <v/>
      </c>
    </row>
    <row r="28782" spans="8:8" x14ac:dyDescent="0.3">
      <c r="H28782" t="str">
        <f t="shared" si="499"/>
        <v/>
      </c>
    </row>
    <row r="28783" spans="8:8" x14ac:dyDescent="0.3">
      <c r="H28783" t="str">
        <f t="shared" si="499"/>
        <v/>
      </c>
    </row>
    <row r="28784" spans="8:8" x14ac:dyDescent="0.3">
      <c r="H28784" t="str">
        <f t="shared" si="499"/>
        <v/>
      </c>
    </row>
    <row r="28785" spans="8:8" x14ac:dyDescent="0.3">
      <c r="H28785" t="str">
        <f t="shared" si="499"/>
        <v/>
      </c>
    </row>
    <row r="28786" spans="8:8" x14ac:dyDescent="0.3">
      <c r="H28786" t="str">
        <f t="shared" si="499"/>
        <v/>
      </c>
    </row>
    <row r="28787" spans="8:8" x14ac:dyDescent="0.3">
      <c r="H28787" t="str">
        <f t="shared" si="499"/>
        <v/>
      </c>
    </row>
    <row r="28788" spans="8:8" x14ac:dyDescent="0.3">
      <c r="H28788" t="str">
        <f t="shared" si="499"/>
        <v/>
      </c>
    </row>
    <row r="28789" spans="8:8" x14ac:dyDescent="0.3">
      <c r="H28789" t="str">
        <f t="shared" si="499"/>
        <v/>
      </c>
    </row>
    <row r="28790" spans="8:8" x14ac:dyDescent="0.3">
      <c r="H28790" t="str">
        <f t="shared" si="499"/>
        <v/>
      </c>
    </row>
    <row r="28791" spans="8:8" x14ac:dyDescent="0.3">
      <c r="H28791" t="str">
        <f t="shared" si="499"/>
        <v/>
      </c>
    </row>
    <row r="28792" spans="8:8" x14ac:dyDescent="0.3">
      <c r="H28792" t="str">
        <f t="shared" si="499"/>
        <v/>
      </c>
    </row>
    <row r="28793" spans="8:8" x14ac:dyDescent="0.3">
      <c r="H28793" t="str">
        <f t="shared" si="499"/>
        <v/>
      </c>
    </row>
    <row r="28794" spans="8:8" x14ac:dyDescent="0.3">
      <c r="H28794" t="str">
        <f t="shared" si="499"/>
        <v/>
      </c>
    </row>
    <row r="28795" spans="8:8" x14ac:dyDescent="0.3">
      <c r="H28795" t="str">
        <f t="shared" si="499"/>
        <v/>
      </c>
    </row>
    <row r="28796" spans="8:8" x14ac:dyDescent="0.3">
      <c r="H28796" t="str">
        <f t="shared" si="499"/>
        <v/>
      </c>
    </row>
    <row r="28797" spans="8:8" x14ac:dyDescent="0.3">
      <c r="H28797" t="str">
        <f t="shared" si="499"/>
        <v/>
      </c>
    </row>
    <row r="28798" spans="8:8" x14ac:dyDescent="0.3">
      <c r="H28798" t="str">
        <f t="shared" si="499"/>
        <v/>
      </c>
    </row>
    <row r="28799" spans="8:8" x14ac:dyDescent="0.3">
      <c r="H28799" t="str">
        <f t="shared" si="499"/>
        <v/>
      </c>
    </row>
    <row r="28800" spans="8:8" x14ac:dyDescent="0.3">
      <c r="H28800" t="str">
        <f t="shared" si="499"/>
        <v/>
      </c>
    </row>
    <row r="28801" spans="8:8" x14ac:dyDescent="0.3">
      <c r="H28801" t="str">
        <f t="shared" si="499"/>
        <v/>
      </c>
    </row>
    <row r="28802" spans="8:8" x14ac:dyDescent="0.3">
      <c r="H28802" t="str">
        <f t="shared" si="499"/>
        <v/>
      </c>
    </row>
    <row r="28803" spans="8:8" x14ac:dyDescent="0.3">
      <c r="H28803" t="str">
        <f t="shared" si="499"/>
        <v/>
      </c>
    </row>
    <row r="28804" spans="8:8" x14ac:dyDescent="0.3">
      <c r="H28804" t="str">
        <f t="shared" si="499"/>
        <v/>
      </c>
    </row>
    <row r="28805" spans="8:8" x14ac:dyDescent="0.3">
      <c r="H28805" t="str">
        <f t="shared" si="499"/>
        <v/>
      </c>
    </row>
    <row r="28806" spans="8:8" x14ac:dyDescent="0.3">
      <c r="H28806" t="str">
        <f t="shared" si="499"/>
        <v/>
      </c>
    </row>
    <row r="28807" spans="8:8" x14ac:dyDescent="0.3">
      <c r="H28807" t="str">
        <f t="shared" si="499"/>
        <v/>
      </c>
    </row>
    <row r="28808" spans="8:8" x14ac:dyDescent="0.3">
      <c r="H28808" t="str">
        <f t="shared" si="499"/>
        <v/>
      </c>
    </row>
    <row r="28809" spans="8:8" x14ac:dyDescent="0.3">
      <c r="H28809" t="str">
        <f t="shared" si="499"/>
        <v/>
      </c>
    </row>
    <row r="28810" spans="8:8" x14ac:dyDescent="0.3">
      <c r="H28810" t="str">
        <f t="shared" si="499"/>
        <v/>
      </c>
    </row>
    <row r="28811" spans="8:8" x14ac:dyDescent="0.3">
      <c r="H28811" t="str">
        <f t="shared" si="499"/>
        <v/>
      </c>
    </row>
    <row r="28812" spans="8:8" x14ac:dyDescent="0.3">
      <c r="H28812" t="str">
        <f t="shared" si="499"/>
        <v/>
      </c>
    </row>
    <row r="28813" spans="8:8" x14ac:dyDescent="0.3">
      <c r="H28813" t="str">
        <f t="shared" si="499"/>
        <v/>
      </c>
    </row>
    <row r="28814" spans="8:8" x14ac:dyDescent="0.3">
      <c r="H28814" t="str">
        <f t="shared" si="499"/>
        <v/>
      </c>
    </row>
    <row r="28815" spans="8:8" x14ac:dyDescent="0.3">
      <c r="H28815" t="str">
        <f t="shared" si="499"/>
        <v/>
      </c>
    </row>
    <row r="28816" spans="8:8" x14ac:dyDescent="0.3">
      <c r="H28816" t="str">
        <f t="shared" si="499"/>
        <v/>
      </c>
    </row>
    <row r="28817" spans="8:8" x14ac:dyDescent="0.3">
      <c r="H28817" t="str">
        <f t="shared" si="499"/>
        <v/>
      </c>
    </row>
    <row r="28818" spans="8:8" x14ac:dyDescent="0.3">
      <c r="H28818" t="str">
        <f t="shared" si="499"/>
        <v/>
      </c>
    </row>
    <row r="28819" spans="8:8" x14ac:dyDescent="0.3">
      <c r="H28819" t="str">
        <f t="shared" si="499"/>
        <v/>
      </c>
    </row>
    <row r="28820" spans="8:8" x14ac:dyDescent="0.3">
      <c r="H28820" t="str">
        <f t="shared" si="499"/>
        <v/>
      </c>
    </row>
    <row r="28821" spans="8:8" x14ac:dyDescent="0.3">
      <c r="H28821" t="str">
        <f t="shared" si="499"/>
        <v/>
      </c>
    </row>
    <row r="28822" spans="8:8" x14ac:dyDescent="0.3">
      <c r="H28822" t="str">
        <f t="shared" si="499"/>
        <v/>
      </c>
    </row>
    <row r="28823" spans="8:8" x14ac:dyDescent="0.3">
      <c r="H28823" t="str">
        <f t="shared" ref="H28823:H28886" si="500">IF(B28823="","",$C$12)</f>
        <v/>
      </c>
    </row>
    <row r="28824" spans="8:8" x14ac:dyDescent="0.3">
      <c r="H28824" t="str">
        <f t="shared" si="500"/>
        <v/>
      </c>
    </row>
    <row r="28825" spans="8:8" x14ac:dyDescent="0.3">
      <c r="H28825" t="str">
        <f t="shared" si="500"/>
        <v/>
      </c>
    </row>
    <row r="28826" spans="8:8" x14ac:dyDescent="0.3">
      <c r="H28826" t="str">
        <f t="shared" si="500"/>
        <v/>
      </c>
    </row>
    <row r="28827" spans="8:8" x14ac:dyDescent="0.3">
      <c r="H28827" t="str">
        <f t="shared" si="500"/>
        <v/>
      </c>
    </row>
    <row r="28828" spans="8:8" x14ac:dyDescent="0.3">
      <c r="H28828" t="str">
        <f t="shared" si="500"/>
        <v/>
      </c>
    </row>
    <row r="28829" spans="8:8" x14ac:dyDescent="0.3">
      <c r="H28829" t="str">
        <f t="shared" si="500"/>
        <v/>
      </c>
    </row>
    <row r="28830" spans="8:8" x14ac:dyDescent="0.3">
      <c r="H28830" t="str">
        <f t="shared" si="500"/>
        <v/>
      </c>
    </row>
    <row r="28831" spans="8:8" x14ac:dyDescent="0.3">
      <c r="H28831" t="str">
        <f t="shared" si="500"/>
        <v/>
      </c>
    </row>
    <row r="28832" spans="8:8" x14ac:dyDescent="0.3">
      <c r="H28832" t="str">
        <f t="shared" si="500"/>
        <v/>
      </c>
    </row>
    <row r="28833" spans="8:8" x14ac:dyDescent="0.3">
      <c r="H28833" t="str">
        <f t="shared" si="500"/>
        <v/>
      </c>
    </row>
    <row r="28834" spans="8:8" x14ac:dyDescent="0.3">
      <c r="H28834" t="str">
        <f t="shared" si="500"/>
        <v/>
      </c>
    </row>
    <row r="28835" spans="8:8" x14ac:dyDescent="0.3">
      <c r="H28835" t="str">
        <f t="shared" si="500"/>
        <v/>
      </c>
    </row>
    <row r="28836" spans="8:8" x14ac:dyDescent="0.3">
      <c r="H28836" t="str">
        <f t="shared" si="500"/>
        <v/>
      </c>
    </row>
    <row r="28837" spans="8:8" x14ac:dyDescent="0.3">
      <c r="H28837" t="str">
        <f t="shared" si="500"/>
        <v/>
      </c>
    </row>
    <row r="28838" spans="8:8" x14ac:dyDescent="0.3">
      <c r="H28838" t="str">
        <f t="shared" si="500"/>
        <v/>
      </c>
    </row>
    <row r="28839" spans="8:8" x14ac:dyDescent="0.3">
      <c r="H28839" t="str">
        <f t="shared" si="500"/>
        <v/>
      </c>
    </row>
    <row r="28840" spans="8:8" x14ac:dyDescent="0.3">
      <c r="H28840" t="str">
        <f t="shared" si="500"/>
        <v/>
      </c>
    </row>
    <row r="28841" spans="8:8" x14ac:dyDescent="0.3">
      <c r="H28841" t="str">
        <f t="shared" si="500"/>
        <v/>
      </c>
    </row>
    <row r="28842" spans="8:8" x14ac:dyDescent="0.3">
      <c r="H28842" t="str">
        <f t="shared" si="500"/>
        <v/>
      </c>
    </row>
    <row r="28843" spans="8:8" x14ac:dyDescent="0.3">
      <c r="H28843" t="str">
        <f t="shared" si="500"/>
        <v/>
      </c>
    </row>
    <row r="28844" spans="8:8" x14ac:dyDescent="0.3">
      <c r="H28844" t="str">
        <f t="shared" si="500"/>
        <v/>
      </c>
    </row>
    <row r="28845" spans="8:8" x14ac:dyDescent="0.3">
      <c r="H28845" t="str">
        <f t="shared" si="500"/>
        <v/>
      </c>
    </row>
    <row r="28846" spans="8:8" x14ac:dyDescent="0.3">
      <c r="H28846" t="str">
        <f t="shared" si="500"/>
        <v/>
      </c>
    </row>
    <row r="28847" spans="8:8" x14ac:dyDescent="0.3">
      <c r="H28847" t="str">
        <f t="shared" si="500"/>
        <v/>
      </c>
    </row>
    <row r="28848" spans="8:8" x14ac:dyDescent="0.3">
      <c r="H28848" t="str">
        <f t="shared" si="500"/>
        <v/>
      </c>
    </row>
    <row r="28849" spans="8:8" x14ac:dyDescent="0.3">
      <c r="H28849" t="str">
        <f t="shared" si="500"/>
        <v/>
      </c>
    </row>
    <row r="28850" spans="8:8" x14ac:dyDescent="0.3">
      <c r="H28850" t="str">
        <f t="shared" si="500"/>
        <v/>
      </c>
    </row>
    <row r="28851" spans="8:8" x14ac:dyDescent="0.3">
      <c r="H28851" t="str">
        <f t="shared" si="500"/>
        <v/>
      </c>
    </row>
    <row r="28852" spans="8:8" x14ac:dyDescent="0.3">
      <c r="H28852" t="str">
        <f t="shared" si="500"/>
        <v/>
      </c>
    </row>
    <row r="28853" spans="8:8" x14ac:dyDescent="0.3">
      <c r="H28853" t="str">
        <f t="shared" si="500"/>
        <v/>
      </c>
    </row>
    <row r="28854" spans="8:8" x14ac:dyDescent="0.3">
      <c r="H28854" t="str">
        <f t="shared" si="500"/>
        <v/>
      </c>
    </row>
    <row r="28855" spans="8:8" x14ac:dyDescent="0.3">
      <c r="H28855" t="str">
        <f t="shared" si="500"/>
        <v/>
      </c>
    </row>
    <row r="28856" spans="8:8" x14ac:dyDescent="0.3">
      <c r="H28856" t="str">
        <f t="shared" si="500"/>
        <v/>
      </c>
    </row>
    <row r="28857" spans="8:8" x14ac:dyDescent="0.3">
      <c r="H28857" t="str">
        <f t="shared" si="500"/>
        <v/>
      </c>
    </row>
    <row r="28858" spans="8:8" x14ac:dyDescent="0.3">
      <c r="H28858" t="str">
        <f t="shared" si="500"/>
        <v/>
      </c>
    </row>
    <row r="28859" spans="8:8" x14ac:dyDescent="0.3">
      <c r="H28859" t="str">
        <f t="shared" si="500"/>
        <v/>
      </c>
    </row>
    <row r="28860" spans="8:8" x14ac:dyDescent="0.3">
      <c r="H28860" t="str">
        <f t="shared" si="500"/>
        <v/>
      </c>
    </row>
    <row r="28861" spans="8:8" x14ac:dyDescent="0.3">
      <c r="H28861" t="str">
        <f t="shared" si="500"/>
        <v/>
      </c>
    </row>
    <row r="28862" spans="8:8" x14ac:dyDescent="0.3">
      <c r="H28862" t="str">
        <f t="shared" si="500"/>
        <v/>
      </c>
    </row>
    <row r="28863" spans="8:8" x14ac:dyDescent="0.3">
      <c r="H28863" t="str">
        <f t="shared" si="500"/>
        <v/>
      </c>
    </row>
    <row r="28864" spans="8:8" x14ac:dyDescent="0.3">
      <c r="H28864" t="str">
        <f t="shared" si="500"/>
        <v/>
      </c>
    </row>
    <row r="28865" spans="8:8" x14ac:dyDescent="0.3">
      <c r="H28865" t="str">
        <f t="shared" si="500"/>
        <v/>
      </c>
    </row>
    <row r="28866" spans="8:8" x14ac:dyDescent="0.3">
      <c r="H28866" t="str">
        <f t="shared" si="500"/>
        <v/>
      </c>
    </row>
    <row r="28867" spans="8:8" x14ac:dyDescent="0.3">
      <c r="H28867" t="str">
        <f t="shared" si="500"/>
        <v/>
      </c>
    </row>
    <row r="28868" spans="8:8" x14ac:dyDescent="0.3">
      <c r="H28868" t="str">
        <f t="shared" si="500"/>
        <v/>
      </c>
    </row>
    <row r="28869" spans="8:8" x14ac:dyDescent="0.3">
      <c r="H28869" t="str">
        <f t="shared" si="500"/>
        <v/>
      </c>
    </row>
    <row r="28870" spans="8:8" x14ac:dyDescent="0.3">
      <c r="H28870" t="str">
        <f t="shared" si="500"/>
        <v/>
      </c>
    </row>
    <row r="28871" spans="8:8" x14ac:dyDescent="0.3">
      <c r="H28871" t="str">
        <f t="shared" si="500"/>
        <v/>
      </c>
    </row>
    <row r="28872" spans="8:8" x14ac:dyDescent="0.3">
      <c r="H28872" t="str">
        <f t="shared" si="500"/>
        <v/>
      </c>
    </row>
    <row r="28873" spans="8:8" x14ac:dyDescent="0.3">
      <c r="H28873" t="str">
        <f t="shared" si="500"/>
        <v/>
      </c>
    </row>
    <row r="28874" spans="8:8" x14ac:dyDescent="0.3">
      <c r="H28874" t="str">
        <f t="shared" si="500"/>
        <v/>
      </c>
    </row>
    <row r="28875" spans="8:8" x14ac:dyDescent="0.3">
      <c r="H28875" t="str">
        <f t="shared" si="500"/>
        <v/>
      </c>
    </row>
    <row r="28876" spans="8:8" x14ac:dyDescent="0.3">
      <c r="H28876" t="str">
        <f t="shared" si="500"/>
        <v/>
      </c>
    </row>
    <row r="28877" spans="8:8" x14ac:dyDescent="0.3">
      <c r="H28877" t="str">
        <f t="shared" si="500"/>
        <v/>
      </c>
    </row>
    <row r="28878" spans="8:8" x14ac:dyDescent="0.3">
      <c r="H28878" t="str">
        <f t="shared" si="500"/>
        <v/>
      </c>
    </row>
    <row r="28879" spans="8:8" x14ac:dyDescent="0.3">
      <c r="H28879" t="str">
        <f t="shared" si="500"/>
        <v/>
      </c>
    </row>
    <row r="28880" spans="8:8" x14ac:dyDescent="0.3">
      <c r="H28880" t="str">
        <f t="shared" si="500"/>
        <v/>
      </c>
    </row>
    <row r="28881" spans="8:8" x14ac:dyDescent="0.3">
      <c r="H28881" t="str">
        <f t="shared" si="500"/>
        <v/>
      </c>
    </row>
    <row r="28882" spans="8:8" x14ac:dyDescent="0.3">
      <c r="H28882" t="str">
        <f t="shared" si="500"/>
        <v/>
      </c>
    </row>
    <row r="28883" spans="8:8" x14ac:dyDescent="0.3">
      <c r="H28883" t="str">
        <f t="shared" si="500"/>
        <v/>
      </c>
    </row>
    <row r="28884" spans="8:8" x14ac:dyDescent="0.3">
      <c r="H28884" t="str">
        <f t="shared" si="500"/>
        <v/>
      </c>
    </row>
    <row r="28885" spans="8:8" x14ac:dyDescent="0.3">
      <c r="H28885" t="str">
        <f t="shared" si="500"/>
        <v/>
      </c>
    </row>
    <row r="28886" spans="8:8" x14ac:dyDescent="0.3">
      <c r="H28886" t="str">
        <f t="shared" si="500"/>
        <v/>
      </c>
    </row>
    <row r="28887" spans="8:8" x14ac:dyDescent="0.3">
      <c r="H28887" t="str">
        <f t="shared" ref="H28887:H28950" si="501">IF(B28887="","",$C$12)</f>
        <v/>
      </c>
    </row>
    <row r="28888" spans="8:8" x14ac:dyDescent="0.3">
      <c r="H28888" t="str">
        <f t="shared" si="501"/>
        <v/>
      </c>
    </row>
    <row r="28889" spans="8:8" x14ac:dyDescent="0.3">
      <c r="H28889" t="str">
        <f t="shared" si="501"/>
        <v/>
      </c>
    </row>
    <row r="28890" spans="8:8" x14ac:dyDescent="0.3">
      <c r="H28890" t="str">
        <f t="shared" si="501"/>
        <v/>
      </c>
    </row>
    <row r="28891" spans="8:8" x14ac:dyDescent="0.3">
      <c r="H28891" t="str">
        <f t="shared" si="501"/>
        <v/>
      </c>
    </row>
    <row r="28892" spans="8:8" x14ac:dyDescent="0.3">
      <c r="H28892" t="str">
        <f t="shared" si="501"/>
        <v/>
      </c>
    </row>
    <row r="28893" spans="8:8" x14ac:dyDescent="0.3">
      <c r="H28893" t="str">
        <f t="shared" si="501"/>
        <v/>
      </c>
    </row>
    <row r="28894" spans="8:8" x14ac:dyDescent="0.3">
      <c r="H28894" t="str">
        <f t="shared" si="501"/>
        <v/>
      </c>
    </row>
    <row r="28895" spans="8:8" x14ac:dyDescent="0.3">
      <c r="H28895" t="str">
        <f t="shared" si="501"/>
        <v/>
      </c>
    </row>
    <row r="28896" spans="8:8" x14ac:dyDescent="0.3">
      <c r="H28896" t="str">
        <f t="shared" si="501"/>
        <v/>
      </c>
    </row>
    <row r="28897" spans="8:8" x14ac:dyDescent="0.3">
      <c r="H28897" t="str">
        <f t="shared" si="501"/>
        <v/>
      </c>
    </row>
    <row r="28898" spans="8:8" x14ac:dyDescent="0.3">
      <c r="H28898" t="str">
        <f t="shared" si="501"/>
        <v/>
      </c>
    </row>
    <row r="28899" spans="8:8" x14ac:dyDescent="0.3">
      <c r="H28899" t="str">
        <f t="shared" si="501"/>
        <v/>
      </c>
    </row>
    <row r="28900" spans="8:8" x14ac:dyDescent="0.3">
      <c r="H28900" t="str">
        <f t="shared" si="501"/>
        <v/>
      </c>
    </row>
    <row r="28901" spans="8:8" x14ac:dyDescent="0.3">
      <c r="H28901" t="str">
        <f t="shared" si="501"/>
        <v/>
      </c>
    </row>
    <row r="28902" spans="8:8" x14ac:dyDescent="0.3">
      <c r="H28902" t="str">
        <f t="shared" si="501"/>
        <v/>
      </c>
    </row>
    <row r="28903" spans="8:8" x14ac:dyDescent="0.3">
      <c r="H28903" t="str">
        <f t="shared" si="501"/>
        <v/>
      </c>
    </row>
    <row r="28904" spans="8:8" x14ac:dyDescent="0.3">
      <c r="H28904" t="str">
        <f t="shared" si="501"/>
        <v/>
      </c>
    </row>
    <row r="28905" spans="8:8" x14ac:dyDescent="0.3">
      <c r="H28905" t="str">
        <f t="shared" si="501"/>
        <v/>
      </c>
    </row>
    <row r="28906" spans="8:8" x14ac:dyDescent="0.3">
      <c r="H28906" t="str">
        <f t="shared" si="501"/>
        <v/>
      </c>
    </row>
    <row r="28907" spans="8:8" x14ac:dyDescent="0.3">
      <c r="H28907" t="str">
        <f t="shared" si="501"/>
        <v/>
      </c>
    </row>
    <row r="28908" spans="8:8" x14ac:dyDescent="0.3">
      <c r="H28908" t="str">
        <f t="shared" si="501"/>
        <v/>
      </c>
    </row>
    <row r="28909" spans="8:8" x14ac:dyDescent="0.3">
      <c r="H28909" t="str">
        <f t="shared" si="501"/>
        <v/>
      </c>
    </row>
    <row r="28910" spans="8:8" x14ac:dyDescent="0.3">
      <c r="H28910" t="str">
        <f t="shared" si="501"/>
        <v/>
      </c>
    </row>
    <row r="28911" spans="8:8" x14ac:dyDescent="0.3">
      <c r="H28911" t="str">
        <f t="shared" si="501"/>
        <v/>
      </c>
    </row>
    <row r="28912" spans="8:8" x14ac:dyDescent="0.3">
      <c r="H28912" t="str">
        <f t="shared" si="501"/>
        <v/>
      </c>
    </row>
    <row r="28913" spans="8:8" x14ac:dyDescent="0.3">
      <c r="H28913" t="str">
        <f t="shared" si="501"/>
        <v/>
      </c>
    </row>
    <row r="28914" spans="8:8" x14ac:dyDescent="0.3">
      <c r="H28914" t="str">
        <f t="shared" si="501"/>
        <v/>
      </c>
    </row>
    <row r="28915" spans="8:8" x14ac:dyDescent="0.3">
      <c r="H28915" t="str">
        <f t="shared" si="501"/>
        <v/>
      </c>
    </row>
    <row r="28916" spans="8:8" x14ac:dyDescent="0.3">
      <c r="H28916" t="str">
        <f t="shared" si="501"/>
        <v/>
      </c>
    </row>
    <row r="28917" spans="8:8" x14ac:dyDescent="0.3">
      <c r="H28917" t="str">
        <f t="shared" si="501"/>
        <v/>
      </c>
    </row>
    <row r="28918" spans="8:8" x14ac:dyDescent="0.3">
      <c r="H28918" t="str">
        <f t="shared" si="501"/>
        <v/>
      </c>
    </row>
    <row r="28919" spans="8:8" x14ac:dyDescent="0.3">
      <c r="H28919" t="str">
        <f t="shared" si="501"/>
        <v/>
      </c>
    </row>
    <row r="28920" spans="8:8" x14ac:dyDescent="0.3">
      <c r="H28920" t="str">
        <f t="shared" si="501"/>
        <v/>
      </c>
    </row>
    <row r="28921" spans="8:8" x14ac:dyDescent="0.3">
      <c r="H28921" t="str">
        <f t="shared" si="501"/>
        <v/>
      </c>
    </row>
    <row r="28922" spans="8:8" x14ac:dyDescent="0.3">
      <c r="H28922" t="str">
        <f t="shared" si="501"/>
        <v/>
      </c>
    </row>
    <row r="28923" spans="8:8" x14ac:dyDescent="0.3">
      <c r="H28923" t="str">
        <f t="shared" si="501"/>
        <v/>
      </c>
    </row>
    <row r="28924" spans="8:8" x14ac:dyDescent="0.3">
      <c r="H28924" t="str">
        <f t="shared" si="501"/>
        <v/>
      </c>
    </row>
    <row r="28925" spans="8:8" x14ac:dyDescent="0.3">
      <c r="H28925" t="str">
        <f t="shared" si="501"/>
        <v/>
      </c>
    </row>
    <row r="28926" spans="8:8" x14ac:dyDescent="0.3">
      <c r="H28926" t="str">
        <f t="shared" si="501"/>
        <v/>
      </c>
    </row>
    <row r="28927" spans="8:8" x14ac:dyDescent="0.3">
      <c r="H28927" t="str">
        <f t="shared" si="501"/>
        <v/>
      </c>
    </row>
    <row r="28928" spans="8:8" x14ac:dyDescent="0.3">
      <c r="H28928" t="str">
        <f t="shared" si="501"/>
        <v/>
      </c>
    </row>
    <row r="28929" spans="8:8" x14ac:dyDescent="0.3">
      <c r="H28929" t="str">
        <f t="shared" si="501"/>
        <v/>
      </c>
    </row>
    <row r="28930" spans="8:8" x14ac:dyDescent="0.3">
      <c r="H28930" t="str">
        <f t="shared" si="501"/>
        <v/>
      </c>
    </row>
    <row r="28931" spans="8:8" x14ac:dyDescent="0.3">
      <c r="H28931" t="str">
        <f t="shared" si="501"/>
        <v/>
      </c>
    </row>
    <row r="28932" spans="8:8" x14ac:dyDescent="0.3">
      <c r="H28932" t="str">
        <f t="shared" si="501"/>
        <v/>
      </c>
    </row>
    <row r="28933" spans="8:8" x14ac:dyDescent="0.3">
      <c r="H28933" t="str">
        <f t="shared" si="501"/>
        <v/>
      </c>
    </row>
    <row r="28934" spans="8:8" x14ac:dyDescent="0.3">
      <c r="H28934" t="str">
        <f t="shared" si="501"/>
        <v/>
      </c>
    </row>
    <row r="28935" spans="8:8" x14ac:dyDescent="0.3">
      <c r="H28935" t="str">
        <f t="shared" si="501"/>
        <v/>
      </c>
    </row>
    <row r="28936" spans="8:8" x14ac:dyDescent="0.3">
      <c r="H28936" t="str">
        <f t="shared" si="501"/>
        <v/>
      </c>
    </row>
    <row r="28937" spans="8:8" x14ac:dyDescent="0.3">
      <c r="H28937" t="str">
        <f t="shared" si="501"/>
        <v/>
      </c>
    </row>
    <row r="28938" spans="8:8" x14ac:dyDescent="0.3">
      <c r="H28938" t="str">
        <f t="shared" si="501"/>
        <v/>
      </c>
    </row>
    <row r="28939" spans="8:8" x14ac:dyDescent="0.3">
      <c r="H28939" t="str">
        <f t="shared" si="501"/>
        <v/>
      </c>
    </row>
    <row r="28940" spans="8:8" x14ac:dyDescent="0.3">
      <c r="H28940" t="str">
        <f t="shared" si="501"/>
        <v/>
      </c>
    </row>
    <row r="28941" spans="8:8" x14ac:dyDescent="0.3">
      <c r="H28941" t="str">
        <f t="shared" si="501"/>
        <v/>
      </c>
    </row>
    <row r="28942" spans="8:8" x14ac:dyDescent="0.3">
      <c r="H28942" t="str">
        <f t="shared" si="501"/>
        <v/>
      </c>
    </row>
    <row r="28943" spans="8:8" x14ac:dyDescent="0.3">
      <c r="H28943" t="str">
        <f t="shared" si="501"/>
        <v/>
      </c>
    </row>
    <row r="28944" spans="8:8" x14ac:dyDescent="0.3">
      <c r="H28944" t="str">
        <f t="shared" si="501"/>
        <v/>
      </c>
    </row>
    <row r="28945" spans="8:8" x14ac:dyDescent="0.3">
      <c r="H28945" t="str">
        <f t="shared" si="501"/>
        <v/>
      </c>
    </row>
    <row r="28946" spans="8:8" x14ac:dyDescent="0.3">
      <c r="H28946" t="str">
        <f t="shared" si="501"/>
        <v/>
      </c>
    </row>
    <row r="28947" spans="8:8" x14ac:dyDescent="0.3">
      <c r="H28947" t="str">
        <f t="shared" si="501"/>
        <v/>
      </c>
    </row>
    <row r="28948" spans="8:8" x14ac:dyDescent="0.3">
      <c r="H28948" t="str">
        <f t="shared" si="501"/>
        <v/>
      </c>
    </row>
    <row r="28949" spans="8:8" x14ac:dyDescent="0.3">
      <c r="H28949" t="str">
        <f t="shared" si="501"/>
        <v/>
      </c>
    </row>
    <row r="28950" spans="8:8" x14ac:dyDescent="0.3">
      <c r="H28950" t="str">
        <f t="shared" si="501"/>
        <v/>
      </c>
    </row>
    <row r="28951" spans="8:8" x14ac:dyDescent="0.3">
      <c r="H28951" t="str">
        <f t="shared" ref="H28951:H29014" si="502">IF(B28951="","",$C$12)</f>
        <v/>
      </c>
    </row>
    <row r="28952" spans="8:8" x14ac:dyDescent="0.3">
      <c r="H28952" t="str">
        <f t="shared" si="502"/>
        <v/>
      </c>
    </row>
    <row r="28953" spans="8:8" x14ac:dyDescent="0.3">
      <c r="H28953" t="str">
        <f t="shared" si="502"/>
        <v/>
      </c>
    </row>
    <row r="28954" spans="8:8" x14ac:dyDescent="0.3">
      <c r="H28954" t="str">
        <f t="shared" si="502"/>
        <v/>
      </c>
    </row>
    <row r="28955" spans="8:8" x14ac:dyDescent="0.3">
      <c r="H28955" t="str">
        <f t="shared" si="502"/>
        <v/>
      </c>
    </row>
    <row r="28956" spans="8:8" x14ac:dyDescent="0.3">
      <c r="H28956" t="str">
        <f t="shared" si="502"/>
        <v/>
      </c>
    </row>
    <row r="28957" spans="8:8" x14ac:dyDescent="0.3">
      <c r="H28957" t="str">
        <f t="shared" si="502"/>
        <v/>
      </c>
    </row>
    <row r="28958" spans="8:8" x14ac:dyDescent="0.3">
      <c r="H28958" t="str">
        <f t="shared" si="502"/>
        <v/>
      </c>
    </row>
    <row r="28959" spans="8:8" x14ac:dyDescent="0.3">
      <c r="H28959" t="str">
        <f t="shared" si="502"/>
        <v/>
      </c>
    </row>
    <row r="28960" spans="8:8" x14ac:dyDescent="0.3">
      <c r="H28960" t="str">
        <f t="shared" si="502"/>
        <v/>
      </c>
    </row>
    <row r="28961" spans="8:8" x14ac:dyDescent="0.3">
      <c r="H28961" t="str">
        <f t="shared" si="502"/>
        <v/>
      </c>
    </row>
    <row r="28962" spans="8:8" x14ac:dyDescent="0.3">
      <c r="H28962" t="str">
        <f t="shared" si="502"/>
        <v/>
      </c>
    </row>
    <row r="28963" spans="8:8" x14ac:dyDescent="0.3">
      <c r="H28963" t="str">
        <f t="shared" si="502"/>
        <v/>
      </c>
    </row>
    <row r="28964" spans="8:8" x14ac:dyDescent="0.3">
      <c r="H28964" t="str">
        <f t="shared" si="502"/>
        <v/>
      </c>
    </row>
    <row r="28965" spans="8:8" x14ac:dyDescent="0.3">
      <c r="H28965" t="str">
        <f t="shared" si="502"/>
        <v/>
      </c>
    </row>
    <row r="28966" spans="8:8" x14ac:dyDescent="0.3">
      <c r="H28966" t="str">
        <f t="shared" si="502"/>
        <v/>
      </c>
    </row>
    <row r="28967" spans="8:8" x14ac:dyDescent="0.3">
      <c r="H28967" t="str">
        <f t="shared" si="502"/>
        <v/>
      </c>
    </row>
    <row r="28968" spans="8:8" x14ac:dyDescent="0.3">
      <c r="H28968" t="str">
        <f t="shared" si="502"/>
        <v/>
      </c>
    </row>
    <row r="28969" spans="8:8" x14ac:dyDescent="0.3">
      <c r="H28969" t="str">
        <f t="shared" si="502"/>
        <v/>
      </c>
    </row>
    <row r="28970" spans="8:8" x14ac:dyDescent="0.3">
      <c r="H28970" t="str">
        <f t="shared" si="502"/>
        <v/>
      </c>
    </row>
    <row r="28971" spans="8:8" x14ac:dyDescent="0.3">
      <c r="H28971" t="str">
        <f t="shared" si="502"/>
        <v/>
      </c>
    </row>
    <row r="28972" spans="8:8" x14ac:dyDescent="0.3">
      <c r="H28972" t="str">
        <f t="shared" si="502"/>
        <v/>
      </c>
    </row>
    <row r="28973" spans="8:8" x14ac:dyDescent="0.3">
      <c r="H28973" t="str">
        <f t="shared" si="502"/>
        <v/>
      </c>
    </row>
    <row r="28974" spans="8:8" x14ac:dyDescent="0.3">
      <c r="H28974" t="str">
        <f t="shared" si="502"/>
        <v/>
      </c>
    </row>
    <row r="28975" spans="8:8" x14ac:dyDescent="0.3">
      <c r="H28975" t="str">
        <f t="shared" si="502"/>
        <v/>
      </c>
    </row>
    <row r="28976" spans="8:8" x14ac:dyDescent="0.3">
      <c r="H28976" t="str">
        <f t="shared" si="502"/>
        <v/>
      </c>
    </row>
    <row r="28977" spans="8:8" x14ac:dyDescent="0.3">
      <c r="H28977" t="str">
        <f t="shared" si="502"/>
        <v/>
      </c>
    </row>
    <row r="28978" spans="8:8" x14ac:dyDescent="0.3">
      <c r="H28978" t="str">
        <f t="shared" si="502"/>
        <v/>
      </c>
    </row>
    <row r="28979" spans="8:8" x14ac:dyDescent="0.3">
      <c r="H28979" t="str">
        <f t="shared" si="502"/>
        <v/>
      </c>
    </row>
    <row r="28980" spans="8:8" x14ac:dyDescent="0.3">
      <c r="H28980" t="str">
        <f t="shared" si="502"/>
        <v/>
      </c>
    </row>
    <row r="28981" spans="8:8" x14ac:dyDescent="0.3">
      <c r="H28981" t="str">
        <f t="shared" si="502"/>
        <v/>
      </c>
    </row>
    <row r="28982" spans="8:8" x14ac:dyDescent="0.3">
      <c r="H28982" t="str">
        <f t="shared" si="502"/>
        <v/>
      </c>
    </row>
    <row r="28983" spans="8:8" x14ac:dyDescent="0.3">
      <c r="H28983" t="str">
        <f t="shared" si="502"/>
        <v/>
      </c>
    </row>
    <row r="28984" spans="8:8" x14ac:dyDescent="0.3">
      <c r="H28984" t="str">
        <f t="shared" si="502"/>
        <v/>
      </c>
    </row>
    <row r="28985" spans="8:8" x14ac:dyDescent="0.3">
      <c r="H28985" t="str">
        <f t="shared" si="502"/>
        <v/>
      </c>
    </row>
    <row r="28986" spans="8:8" x14ac:dyDescent="0.3">
      <c r="H28986" t="str">
        <f t="shared" si="502"/>
        <v/>
      </c>
    </row>
    <row r="28987" spans="8:8" x14ac:dyDescent="0.3">
      <c r="H28987" t="str">
        <f t="shared" si="502"/>
        <v/>
      </c>
    </row>
    <row r="28988" spans="8:8" x14ac:dyDescent="0.3">
      <c r="H28988" t="str">
        <f t="shared" si="502"/>
        <v/>
      </c>
    </row>
    <row r="28989" spans="8:8" x14ac:dyDescent="0.3">
      <c r="H28989" t="str">
        <f t="shared" si="502"/>
        <v/>
      </c>
    </row>
    <row r="28990" spans="8:8" x14ac:dyDescent="0.3">
      <c r="H28990" t="str">
        <f t="shared" si="502"/>
        <v/>
      </c>
    </row>
    <row r="28991" spans="8:8" x14ac:dyDescent="0.3">
      <c r="H28991" t="str">
        <f t="shared" si="502"/>
        <v/>
      </c>
    </row>
    <row r="28992" spans="8:8" x14ac:dyDescent="0.3">
      <c r="H28992" t="str">
        <f t="shared" si="502"/>
        <v/>
      </c>
    </row>
    <row r="28993" spans="8:8" x14ac:dyDescent="0.3">
      <c r="H28993" t="str">
        <f t="shared" si="502"/>
        <v/>
      </c>
    </row>
    <row r="28994" spans="8:8" x14ac:dyDescent="0.3">
      <c r="H28994" t="str">
        <f t="shared" si="502"/>
        <v/>
      </c>
    </row>
    <row r="28995" spans="8:8" x14ac:dyDescent="0.3">
      <c r="H28995" t="str">
        <f t="shared" si="502"/>
        <v/>
      </c>
    </row>
    <row r="28996" spans="8:8" x14ac:dyDescent="0.3">
      <c r="H28996" t="str">
        <f t="shared" si="502"/>
        <v/>
      </c>
    </row>
    <row r="28997" spans="8:8" x14ac:dyDescent="0.3">
      <c r="H28997" t="str">
        <f t="shared" si="502"/>
        <v/>
      </c>
    </row>
    <row r="28998" spans="8:8" x14ac:dyDescent="0.3">
      <c r="H28998" t="str">
        <f t="shared" si="502"/>
        <v/>
      </c>
    </row>
    <row r="28999" spans="8:8" x14ac:dyDescent="0.3">
      <c r="H28999" t="str">
        <f t="shared" si="502"/>
        <v/>
      </c>
    </row>
    <row r="29000" spans="8:8" x14ac:dyDescent="0.3">
      <c r="H29000" t="str">
        <f t="shared" si="502"/>
        <v/>
      </c>
    </row>
    <row r="29001" spans="8:8" x14ac:dyDescent="0.3">
      <c r="H29001" t="str">
        <f t="shared" si="502"/>
        <v/>
      </c>
    </row>
    <row r="29002" spans="8:8" x14ac:dyDescent="0.3">
      <c r="H29002" t="str">
        <f t="shared" si="502"/>
        <v/>
      </c>
    </row>
    <row r="29003" spans="8:8" x14ac:dyDescent="0.3">
      <c r="H29003" t="str">
        <f t="shared" si="502"/>
        <v/>
      </c>
    </row>
    <row r="29004" spans="8:8" x14ac:dyDescent="0.3">
      <c r="H29004" t="str">
        <f t="shared" si="502"/>
        <v/>
      </c>
    </row>
    <row r="29005" spans="8:8" x14ac:dyDescent="0.3">
      <c r="H29005" t="str">
        <f t="shared" si="502"/>
        <v/>
      </c>
    </row>
    <row r="29006" spans="8:8" x14ac:dyDescent="0.3">
      <c r="H29006" t="str">
        <f t="shared" si="502"/>
        <v/>
      </c>
    </row>
    <row r="29007" spans="8:8" x14ac:dyDescent="0.3">
      <c r="H29007" t="str">
        <f t="shared" si="502"/>
        <v/>
      </c>
    </row>
    <row r="29008" spans="8:8" x14ac:dyDescent="0.3">
      <c r="H29008" t="str">
        <f t="shared" si="502"/>
        <v/>
      </c>
    </row>
    <row r="29009" spans="8:8" x14ac:dyDescent="0.3">
      <c r="H29009" t="str">
        <f t="shared" si="502"/>
        <v/>
      </c>
    </row>
    <row r="29010" spans="8:8" x14ac:dyDescent="0.3">
      <c r="H29010" t="str">
        <f t="shared" si="502"/>
        <v/>
      </c>
    </row>
    <row r="29011" spans="8:8" x14ac:dyDescent="0.3">
      <c r="H29011" t="str">
        <f t="shared" si="502"/>
        <v/>
      </c>
    </row>
    <row r="29012" spans="8:8" x14ac:dyDescent="0.3">
      <c r="H29012" t="str">
        <f t="shared" si="502"/>
        <v/>
      </c>
    </row>
    <row r="29013" spans="8:8" x14ac:dyDescent="0.3">
      <c r="H29013" t="str">
        <f t="shared" si="502"/>
        <v/>
      </c>
    </row>
    <row r="29014" spans="8:8" x14ac:dyDescent="0.3">
      <c r="H29014" t="str">
        <f t="shared" si="502"/>
        <v/>
      </c>
    </row>
    <row r="29015" spans="8:8" x14ac:dyDescent="0.3">
      <c r="H29015" t="str">
        <f t="shared" ref="H29015:H29078" si="503">IF(B29015="","",$C$12)</f>
        <v/>
      </c>
    </row>
    <row r="29016" spans="8:8" x14ac:dyDescent="0.3">
      <c r="H29016" t="str">
        <f t="shared" si="503"/>
        <v/>
      </c>
    </row>
    <row r="29017" spans="8:8" x14ac:dyDescent="0.3">
      <c r="H29017" t="str">
        <f t="shared" si="503"/>
        <v/>
      </c>
    </row>
    <row r="29018" spans="8:8" x14ac:dyDescent="0.3">
      <c r="H29018" t="str">
        <f t="shared" si="503"/>
        <v/>
      </c>
    </row>
    <row r="29019" spans="8:8" x14ac:dyDescent="0.3">
      <c r="H29019" t="str">
        <f t="shared" si="503"/>
        <v/>
      </c>
    </row>
    <row r="29020" spans="8:8" x14ac:dyDescent="0.3">
      <c r="H29020" t="str">
        <f t="shared" si="503"/>
        <v/>
      </c>
    </row>
    <row r="29021" spans="8:8" x14ac:dyDescent="0.3">
      <c r="H29021" t="str">
        <f t="shared" si="503"/>
        <v/>
      </c>
    </row>
    <row r="29022" spans="8:8" x14ac:dyDescent="0.3">
      <c r="H29022" t="str">
        <f t="shared" si="503"/>
        <v/>
      </c>
    </row>
    <row r="29023" spans="8:8" x14ac:dyDescent="0.3">
      <c r="H29023" t="str">
        <f t="shared" si="503"/>
        <v/>
      </c>
    </row>
    <row r="29024" spans="8:8" x14ac:dyDescent="0.3">
      <c r="H29024" t="str">
        <f t="shared" si="503"/>
        <v/>
      </c>
    </row>
    <row r="29025" spans="8:8" x14ac:dyDescent="0.3">
      <c r="H29025" t="str">
        <f t="shared" si="503"/>
        <v/>
      </c>
    </row>
    <row r="29026" spans="8:8" x14ac:dyDescent="0.3">
      <c r="H29026" t="str">
        <f t="shared" si="503"/>
        <v/>
      </c>
    </row>
    <row r="29027" spans="8:8" x14ac:dyDescent="0.3">
      <c r="H29027" t="str">
        <f t="shared" si="503"/>
        <v/>
      </c>
    </row>
    <row r="29028" spans="8:8" x14ac:dyDescent="0.3">
      <c r="H29028" t="str">
        <f t="shared" si="503"/>
        <v/>
      </c>
    </row>
    <row r="29029" spans="8:8" x14ac:dyDescent="0.3">
      <c r="H29029" t="str">
        <f t="shared" si="503"/>
        <v/>
      </c>
    </row>
    <row r="29030" spans="8:8" x14ac:dyDescent="0.3">
      <c r="H29030" t="str">
        <f t="shared" si="503"/>
        <v/>
      </c>
    </row>
    <row r="29031" spans="8:8" x14ac:dyDescent="0.3">
      <c r="H29031" t="str">
        <f t="shared" si="503"/>
        <v/>
      </c>
    </row>
    <row r="29032" spans="8:8" x14ac:dyDescent="0.3">
      <c r="H29032" t="str">
        <f t="shared" si="503"/>
        <v/>
      </c>
    </row>
    <row r="29033" spans="8:8" x14ac:dyDescent="0.3">
      <c r="H29033" t="str">
        <f t="shared" si="503"/>
        <v/>
      </c>
    </row>
    <row r="29034" spans="8:8" x14ac:dyDescent="0.3">
      <c r="H29034" t="str">
        <f t="shared" si="503"/>
        <v/>
      </c>
    </row>
    <row r="29035" spans="8:8" x14ac:dyDescent="0.3">
      <c r="H29035" t="str">
        <f t="shared" si="503"/>
        <v/>
      </c>
    </row>
    <row r="29036" spans="8:8" x14ac:dyDescent="0.3">
      <c r="H29036" t="str">
        <f t="shared" si="503"/>
        <v/>
      </c>
    </row>
    <row r="29037" spans="8:8" x14ac:dyDescent="0.3">
      <c r="H29037" t="str">
        <f t="shared" si="503"/>
        <v/>
      </c>
    </row>
    <row r="29038" spans="8:8" x14ac:dyDescent="0.3">
      <c r="H29038" t="str">
        <f t="shared" si="503"/>
        <v/>
      </c>
    </row>
    <row r="29039" spans="8:8" x14ac:dyDescent="0.3">
      <c r="H29039" t="str">
        <f t="shared" si="503"/>
        <v/>
      </c>
    </row>
    <row r="29040" spans="8:8" x14ac:dyDescent="0.3">
      <c r="H29040" t="str">
        <f t="shared" si="503"/>
        <v/>
      </c>
    </row>
    <row r="29041" spans="8:8" x14ac:dyDescent="0.3">
      <c r="H29041" t="str">
        <f t="shared" si="503"/>
        <v/>
      </c>
    </row>
    <row r="29042" spans="8:8" x14ac:dyDescent="0.3">
      <c r="H29042" t="str">
        <f t="shared" si="503"/>
        <v/>
      </c>
    </row>
    <row r="29043" spans="8:8" x14ac:dyDescent="0.3">
      <c r="H29043" t="str">
        <f t="shared" si="503"/>
        <v/>
      </c>
    </row>
    <row r="29044" spans="8:8" x14ac:dyDescent="0.3">
      <c r="H29044" t="str">
        <f t="shared" si="503"/>
        <v/>
      </c>
    </row>
    <row r="29045" spans="8:8" x14ac:dyDescent="0.3">
      <c r="H29045" t="str">
        <f t="shared" si="503"/>
        <v/>
      </c>
    </row>
    <row r="29046" spans="8:8" x14ac:dyDescent="0.3">
      <c r="H29046" t="str">
        <f t="shared" si="503"/>
        <v/>
      </c>
    </row>
    <row r="29047" spans="8:8" x14ac:dyDescent="0.3">
      <c r="H29047" t="str">
        <f t="shared" si="503"/>
        <v/>
      </c>
    </row>
    <row r="29048" spans="8:8" x14ac:dyDescent="0.3">
      <c r="H29048" t="str">
        <f t="shared" si="503"/>
        <v/>
      </c>
    </row>
    <row r="29049" spans="8:8" x14ac:dyDescent="0.3">
      <c r="H29049" t="str">
        <f t="shared" si="503"/>
        <v/>
      </c>
    </row>
    <row r="29050" spans="8:8" x14ac:dyDescent="0.3">
      <c r="H29050" t="str">
        <f t="shared" si="503"/>
        <v/>
      </c>
    </row>
    <row r="29051" spans="8:8" x14ac:dyDescent="0.3">
      <c r="H29051" t="str">
        <f t="shared" si="503"/>
        <v/>
      </c>
    </row>
    <row r="29052" spans="8:8" x14ac:dyDescent="0.3">
      <c r="H29052" t="str">
        <f t="shared" si="503"/>
        <v/>
      </c>
    </row>
    <row r="29053" spans="8:8" x14ac:dyDescent="0.3">
      <c r="H29053" t="str">
        <f t="shared" si="503"/>
        <v/>
      </c>
    </row>
    <row r="29054" spans="8:8" x14ac:dyDescent="0.3">
      <c r="H29054" t="str">
        <f t="shared" si="503"/>
        <v/>
      </c>
    </row>
    <row r="29055" spans="8:8" x14ac:dyDescent="0.3">
      <c r="H29055" t="str">
        <f t="shared" si="503"/>
        <v/>
      </c>
    </row>
    <row r="29056" spans="8:8" x14ac:dyDescent="0.3">
      <c r="H29056" t="str">
        <f t="shared" si="503"/>
        <v/>
      </c>
    </row>
    <row r="29057" spans="8:8" x14ac:dyDescent="0.3">
      <c r="H29057" t="str">
        <f t="shared" si="503"/>
        <v/>
      </c>
    </row>
    <row r="29058" spans="8:8" x14ac:dyDescent="0.3">
      <c r="H29058" t="str">
        <f t="shared" si="503"/>
        <v/>
      </c>
    </row>
    <row r="29059" spans="8:8" x14ac:dyDescent="0.3">
      <c r="H29059" t="str">
        <f t="shared" si="503"/>
        <v/>
      </c>
    </row>
    <row r="29060" spans="8:8" x14ac:dyDescent="0.3">
      <c r="H29060" t="str">
        <f t="shared" si="503"/>
        <v/>
      </c>
    </row>
    <row r="29061" spans="8:8" x14ac:dyDescent="0.3">
      <c r="H29061" t="str">
        <f t="shared" si="503"/>
        <v/>
      </c>
    </row>
    <row r="29062" spans="8:8" x14ac:dyDescent="0.3">
      <c r="H29062" t="str">
        <f t="shared" si="503"/>
        <v/>
      </c>
    </row>
    <row r="29063" spans="8:8" x14ac:dyDescent="0.3">
      <c r="H29063" t="str">
        <f t="shared" si="503"/>
        <v/>
      </c>
    </row>
    <row r="29064" spans="8:8" x14ac:dyDescent="0.3">
      <c r="H29064" t="str">
        <f t="shared" si="503"/>
        <v/>
      </c>
    </row>
    <row r="29065" spans="8:8" x14ac:dyDescent="0.3">
      <c r="H29065" t="str">
        <f t="shared" si="503"/>
        <v/>
      </c>
    </row>
    <row r="29066" spans="8:8" x14ac:dyDescent="0.3">
      <c r="H29066" t="str">
        <f t="shared" si="503"/>
        <v/>
      </c>
    </row>
    <row r="29067" spans="8:8" x14ac:dyDescent="0.3">
      <c r="H29067" t="str">
        <f t="shared" si="503"/>
        <v/>
      </c>
    </row>
    <row r="29068" spans="8:8" x14ac:dyDescent="0.3">
      <c r="H29068" t="str">
        <f t="shared" si="503"/>
        <v/>
      </c>
    </row>
    <row r="29069" spans="8:8" x14ac:dyDescent="0.3">
      <c r="H29069" t="str">
        <f t="shared" si="503"/>
        <v/>
      </c>
    </row>
    <row r="29070" spans="8:8" x14ac:dyDescent="0.3">
      <c r="H29070" t="str">
        <f t="shared" si="503"/>
        <v/>
      </c>
    </row>
    <row r="29071" spans="8:8" x14ac:dyDescent="0.3">
      <c r="H29071" t="str">
        <f t="shared" si="503"/>
        <v/>
      </c>
    </row>
    <row r="29072" spans="8:8" x14ac:dyDescent="0.3">
      <c r="H29072" t="str">
        <f t="shared" si="503"/>
        <v/>
      </c>
    </row>
    <row r="29073" spans="8:8" x14ac:dyDescent="0.3">
      <c r="H29073" t="str">
        <f t="shared" si="503"/>
        <v/>
      </c>
    </row>
    <row r="29074" spans="8:8" x14ac:dyDescent="0.3">
      <c r="H29074" t="str">
        <f t="shared" si="503"/>
        <v/>
      </c>
    </row>
    <row r="29075" spans="8:8" x14ac:dyDescent="0.3">
      <c r="H29075" t="str">
        <f t="shared" si="503"/>
        <v/>
      </c>
    </row>
    <row r="29076" spans="8:8" x14ac:dyDescent="0.3">
      <c r="H29076" t="str">
        <f t="shared" si="503"/>
        <v/>
      </c>
    </row>
    <row r="29077" spans="8:8" x14ac:dyDescent="0.3">
      <c r="H29077" t="str">
        <f t="shared" si="503"/>
        <v/>
      </c>
    </row>
    <row r="29078" spans="8:8" x14ac:dyDescent="0.3">
      <c r="H29078" t="str">
        <f t="shared" si="503"/>
        <v/>
      </c>
    </row>
    <row r="29079" spans="8:8" x14ac:dyDescent="0.3">
      <c r="H29079" t="str">
        <f t="shared" ref="H29079:H29142" si="504">IF(B29079="","",$C$12)</f>
        <v/>
      </c>
    </row>
    <row r="29080" spans="8:8" x14ac:dyDescent="0.3">
      <c r="H29080" t="str">
        <f t="shared" si="504"/>
        <v/>
      </c>
    </row>
    <row r="29081" spans="8:8" x14ac:dyDescent="0.3">
      <c r="H29081" t="str">
        <f t="shared" si="504"/>
        <v/>
      </c>
    </row>
    <row r="29082" spans="8:8" x14ac:dyDescent="0.3">
      <c r="H29082" t="str">
        <f t="shared" si="504"/>
        <v/>
      </c>
    </row>
    <row r="29083" spans="8:8" x14ac:dyDescent="0.3">
      <c r="H29083" t="str">
        <f t="shared" si="504"/>
        <v/>
      </c>
    </row>
    <row r="29084" spans="8:8" x14ac:dyDescent="0.3">
      <c r="H29084" t="str">
        <f t="shared" si="504"/>
        <v/>
      </c>
    </row>
    <row r="29085" spans="8:8" x14ac:dyDescent="0.3">
      <c r="H29085" t="str">
        <f t="shared" si="504"/>
        <v/>
      </c>
    </row>
    <row r="29086" spans="8:8" x14ac:dyDescent="0.3">
      <c r="H29086" t="str">
        <f t="shared" si="504"/>
        <v/>
      </c>
    </row>
    <row r="29087" spans="8:8" x14ac:dyDescent="0.3">
      <c r="H29087" t="str">
        <f t="shared" si="504"/>
        <v/>
      </c>
    </row>
    <row r="29088" spans="8:8" x14ac:dyDescent="0.3">
      <c r="H29088" t="str">
        <f t="shared" si="504"/>
        <v/>
      </c>
    </row>
    <row r="29089" spans="8:8" x14ac:dyDescent="0.3">
      <c r="H29089" t="str">
        <f t="shared" si="504"/>
        <v/>
      </c>
    </row>
    <row r="29090" spans="8:8" x14ac:dyDescent="0.3">
      <c r="H29090" t="str">
        <f t="shared" si="504"/>
        <v/>
      </c>
    </row>
    <row r="29091" spans="8:8" x14ac:dyDescent="0.3">
      <c r="H29091" t="str">
        <f t="shared" si="504"/>
        <v/>
      </c>
    </row>
    <row r="29092" spans="8:8" x14ac:dyDescent="0.3">
      <c r="H29092" t="str">
        <f t="shared" si="504"/>
        <v/>
      </c>
    </row>
    <row r="29093" spans="8:8" x14ac:dyDescent="0.3">
      <c r="H29093" t="str">
        <f t="shared" si="504"/>
        <v/>
      </c>
    </row>
    <row r="29094" spans="8:8" x14ac:dyDescent="0.3">
      <c r="H29094" t="str">
        <f t="shared" si="504"/>
        <v/>
      </c>
    </row>
    <row r="29095" spans="8:8" x14ac:dyDescent="0.3">
      <c r="H29095" t="str">
        <f t="shared" si="504"/>
        <v/>
      </c>
    </row>
    <row r="29096" spans="8:8" x14ac:dyDescent="0.3">
      <c r="H29096" t="str">
        <f t="shared" si="504"/>
        <v/>
      </c>
    </row>
    <row r="29097" spans="8:8" x14ac:dyDescent="0.3">
      <c r="H29097" t="str">
        <f t="shared" si="504"/>
        <v/>
      </c>
    </row>
    <row r="29098" spans="8:8" x14ac:dyDescent="0.3">
      <c r="H29098" t="str">
        <f t="shared" si="504"/>
        <v/>
      </c>
    </row>
    <row r="29099" spans="8:8" x14ac:dyDescent="0.3">
      <c r="H29099" t="str">
        <f t="shared" si="504"/>
        <v/>
      </c>
    </row>
    <row r="29100" spans="8:8" x14ac:dyDescent="0.3">
      <c r="H29100" t="str">
        <f t="shared" si="504"/>
        <v/>
      </c>
    </row>
    <row r="29101" spans="8:8" x14ac:dyDescent="0.3">
      <c r="H29101" t="str">
        <f t="shared" si="504"/>
        <v/>
      </c>
    </row>
    <row r="29102" spans="8:8" x14ac:dyDescent="0.3">
      <c r="H29102" t="str">
        <f t="shared" si="504"/>
        <v/>
      </c>
    </row>
    <row r="29103" spans="8:8" x14ac:dyDescent="0.3">
      <c r="H29103" t="str">
        <f t="shared" si="504"/>
        <v/>
      </c>
    </row>
    <row r="29104" spans="8:8" x14ac:dyDescent="0.3">
      <c r="H29104" t="str">
        <f t="shared" si="504"/>
        <v/>
      </c>
    </row>
    <row r="29105" spans="8:8" x14ac:dyDescent="0.3">
      <c r="H29105" t="str">
        <f t="shared" si="504"/>
        <v/>
      </c>
    </row>
    <row r="29106" spans="8:8" x14ac:dyDescent="0.3">
      <c r="H29106" t="str">
        <f t="shared" si="504"/>
        <v/>
      </c>
    </row>
    <row r="29107" spans="8:8" x14ac:dyDescent="0.3">
      <c r="H29107" t="str">
        <f t="shared" si="504"/>
        <v/>
      </c>
    </row>
    <row r="29108" spans="8:8" x14ac:dyDescent="0.3">
      <c r="H29108" t="str">
        <f t="shared" si="504"/>
        <v/>
      </c>
    </row>
    <row r="29109" spans="8:8" x14ac:dyDescent="0.3">
      <c r="H29109" t="str">
        <f t="shared" si="504"/>
        <v/>
      </c>
    </row>
    <row r="29110" spans="8:8" x14ac:dyDescent="0.3">
      <c r="H29110" t="str">
        <f t="shared" si="504"/>
        <v/>
      </c>
    </row>
    <row r="29111" spans="8:8" x14ac:dyDescent="0.3">
      <c r="H29111" t="str">
        <f t="shared" si="504"/>
        <v/>
      </c>
    </row>
    <row r="29112" spans="8:8" x14ac:dyDescent="0.3">
      <c r="H29112" t="str">
        <f t="shared" si="504"/>
        <v/>
      </c>
    </row>
    <row r="29113" spans="8:8" x14ac:dyDescent="0.3">
      <c r="H29113" t="str">
        <f t="shared" si="504"/>
        <v/>
      </c>
    </row>
    <row r="29114" spans="8:8" x14ac:dyDescent="0.3">
      <c r="H29114" t="str">
        <f t="shared" si="504"/>
        <v/>
      </c>
    </row>
    <row r="29115" spans="8:8" x14ac:dyDescent="0.3">
      <c r="H29115" t="str">
        <f t="shared" si="504"/>
        <v/>
      </c>
    </row>
    <row r="29116" spans="8:8" x14ac:dyDescent="0.3">
      <c r="H29116" t="str">
        <f t="shared" si="504"/>
        <v/>
      </c>
    </row>
    <row r="29117" spans="8:8" x14ac:dyDescent="0.3">
      <c r="H29117" t="str">
        <f t="shared" si="504"/>
        <v/>
      </c>
    </row>
    <row r="29118" spans="8:8" x14ac:dyDescent="0.3">
      <c r="H29118" t="str">
        <f t="shared" si="504"/>
        <v/>
      </c>
    </row>
    <row r="29119" spans="8:8" x14ac:dyDescent="0.3">
      <c r="H29119" t="str">
        <f t="shared" si="504"/>
        <v/>
      </c>
    </row>
    <row r="29120" spans="8:8" x14ac:dyDescent="0.3">
      <c r="H29120" t="str">
        <f t="shared" si="504"/>
        <v/>
      </c>
    </row>
    <row r="29121" spans="8:8" x14ac:dyDescent="0.3">
      <c r="H29121" t="str">
        <f t="shared" si="504"/>
        <v/>
      </c>
    </row>
    <row r="29122" spans="8:8" x14ac:dyDescent="0.3">
      <c r="H29122" t="str">
        <f t="shared" si="504"/>
        <v/>
      </c>
    </row>
    <row r="29123" spans="8:8" x14ac:dyDescent="0.3">
      <c r="H29123" t="str">
        <f t="shared" si="504"/>
        <v/>
      </c>
    </row>
    <row r="29124" spans="8:8" x14ac:dyDescent="0.3">
      <c r="H29124" t="str">
        <f t="shared" si="504"/>
        <v/>
      </c>
    </row>
    <row r="29125" spans="8:8" x14ac:dyDescent="0.3">
      <c r="H29125" t="str">
        <f t="shared" si="504"/>
        <v/>
      </c>
    </row>
    <row r="29126" spans="8:8" x14ac:dyDescent="0.3">
      <c r="H29126" t="str">
        <f t="shared" si="504"/>
        <v/>
      </c>
    </row>
    <row r="29127" spans="8:8" x14ac:dyDescent="0.3">
      <c r="H29127" t="str">
        <f t="shared" si="504"/>
        <v/>
      </c>
    </row>
    <row r="29128" spans="8:8" x14ac:dyDescent="0.3">
      <c r="H29128" t="str">
        <f t="shared" si="504"/>
        <v/>
      </c>
    </row>
    <row r="29129" spans="8:8" x14ac:dyDescent="0.3">
      <c r="H29129" t="str">
        <f t="shared" si="504"/>
        <v/>
      </c>
    </row>
    <row r="29130" spans="8:8" x14ac:dyDescent="0.3">
      <c r="H29130" t="str">
        <f t="shared" si="504"/>
        <v/>
      </c>
    </row>
    <row r="29131" spans="8:8" x14ac:dyDescent="0.3">
      <c r="H29131" t="str">
        <f t="shared" si="504"/>
        <v/>
      </c>
    </row>
    <row r="29132" spans="8:8" x14ac:dyDescent="0.3">
      <c r="H29132" t="str">
        <f t="shared" si="504"/>
        <v/>
      </c>
    </row>
    <row r="29133" spans="8:8" x14ac:dyDescent="0.3">
      <c r="H29133" t="str">
        <f t="shared" si="504"/>
        <v/>
      </c>
    </row>
    <row r="29134" spans="8:8" x14ac:dyDescent="0.3">
      <c r="H29134" t="str">
        <f t="shared" si="504"/>
        <v/>
      </c>
    </row>
    <row r="29135" spans="8:8" x14ac:dyDescent="0.3">
      <c r="H29135" t="str">
        <f t="shared" si="504"/>
        <v/>
      </c>
    </row>
    <row r="29136" spans="8:8" x14ac:dyDescent="0.3">
      <c r="H29136" t="str">
        <f t="shared" si="504"/>
        <v/>
      </c>
    </row>
    <row r="29137" spans="8:8" x14ac:dyDescent="0.3">
      <c r="H29137" t="str">
        <f t="shared" si="504"/>
        <v/>
      </c>
    </row>
    <row r="29138" spans="8:8" x14ac:dyDescent="0.3">
      <c r="H29138" t="str">
        <f t="shared" si="504"/>
        <v/>
      </c>
    </row>
    <row r="29139" spans="8:8" x14ac:dyDescent="0.3">
      <c r="H29139" t="str">
        <f t="shared" si="504"/>
        <v/>
      </c>
    </row>
    <row r="29140" spans="8:8" x14ac:dyDescent="0.3">
      <c r="H29140" t="str">
        <f t="shared" si="504"/>
        <v/>
      </c>
    </row>
    <row r="29141" spans="8:8" x14ac:dyDescent="0.3">
      <c r="H29141" t="str">
        <f t="shared" si="504"/>
        <v/>
      </c>
    </row>
    <row r="29142" spans="8:8" x14ac:dyDescent="0.3">
      <c r="H29142" t="str">
        <f t="shared" si="504"/>
        <v/>
      </c>
    </row>
    <row r="29143" spans="8:8" x14ac:dyDescent="0.3">
      <c r="H29143" t="str">
        <f t="shared" ref="H29143:H29206" si="505">IF(B29143="","",$C$12)</f>
        <v/>
      </c>
    </row>
    <row r="29144" spans="8:8" x14ac:dyDescent="0.3">
      <c r="H29144" t="str">
        <f t="shared" si="505"/>
        <v/>
      </c>
    </row>
    <row r="29145" spans="8:8" x14ac:dyDescent="0.3">
      <c r="H29145" t="str">
        <f t="shared" si="505"/>
        <v/>
      </c>
    </row>
    <row r="29146" spans="8:8" x14ac:dyDescent="0.3">
      <c r="H29146" t="str">
        <f t="shared" si="505"/>
        <v/>
      </c>
    </row>
    <row r="29147" spans="8:8" x14ac:dyDescent="0.3">
      <c r="H29147" t="str">
        <f t="shared" si="505"/>
        <v/>
      </c>
    </row>
    <row r="29148" spans="8:8" x14ac:dyDescent="0.3">
      <c r="H29148" t="str">
        <f t="shared" si="505"/>
        <v/>
      </c>
    </row>
    <row r="29149" spans="8:8" x14ac:dyDescent="0.3">
      <c r="H29149" t="str">
        <f t="shared" si="505"/>
        <v/>
      </c>
    </row>
    <row r="29150" spans="8:8" x14ac:dyDescent="0.3">
      <c r="H29150" t="str">
        <f t="shared" si="505"/>
        <v/>
      </c>
    </row>
    <row r="29151" spans="8:8" x14ac:dyDescent="0.3">
      <c r="H29151" t="str">
        <f t="shared" si="505"/>
        <v/>
      </c>
    </row>
    <row r="29152" spans="8:8" x14ac:dyDescent="0.3">
      <c r="H29152" t="str">
        <f t="shared" si="505"/>
        <v/>
      </c>
    </row>
    <row r="29153" spans="8:8" x14ac:dyDescent="0.3">
      <c r="H29153" t="str">
        <f t="shared" si="505"/>
        <v/>
      </c>
    </row>
    <row r="29154" spans="8:8" x14ac:dyDescent="0.3">
      <c r="H29154" t="str">
        <f t="shared" si="505"/>
        <v/>
      </c>
    </row>
    <row r="29155" spans="8:8" x14ac:dyDescent="0.3">
      <c r="H29155" t="str">
        <f t="shared" si="505"/>
        <v/>
      </c>
    </row>
    <row r="29156" spans="8:8" x14ac:dyDescent="0.3">
      <c r="H29156" t="str">
        <f t="shared" si="505"/>
        <v/>
      </c>
    </row>
    <row r="29157" spans="8:8" x14ac:dyDescent="0.3">
      <c r="H29157" t="str">
        <f t="shared" si="505"/>
        <v/>
      </c>
    </row>
    <row r="29158" spans="8:8" x14ac:dyDescent="0.3">
      <c r="H29158" t="str">
        <f t="shared" si="505"/>
        <v/>
      </c>
    </row>
    <row r="29159" spans="8:8" x14ac:dyDescent="0.3">
      <c r="H29159" t="str">
        <f t="shared" si="505"/>
        <v/>
      </c>
    </row>
    <row r="29160" spans="8:8" x14ac:dyDescent="0.3">
      <c r="H29160" t="str">
        <f t="shared" si="505"/>
        <v/>
      </c>
    </row>
    <row r="29161" spans="8:8" x14ac:dyDescent="0.3">
      <c r="H29161" t="str">
        <f t="shared" si="505"/>
        <v/>
      </c>
    </row>
    <row r="29162" spans="8:8" x14ac:dyDescent="0.3">
      <c r="H29162" t="str">
        <f t="shared" si="505"/>
        <v/>
      </c>
    </row>
    <row r="29163" spans="8:8" x14ac:dyDescent="0.3">
      <c r="H29163" t="str">
        <f t="shared" si="505"/>
        <v/>
      </c>
    </row>
    <row r="29164" spans="8:8" x14ac:dyDescent="0.3">
      <c r="H29164" t="str">
        <f t="shared" si="505"/>
        <v/>
      </c>
    </row>
    <row r="29165" spans="8:8" x14ac:dyDescent="0.3">
      <c r="H29165" t="str">
        <f t="shared" si="505"/>
        <v/>
      </c>
    </row>
    <row r="29166" spans="8:8" x14ac:dyDescent="0.3">
      <c r="H29166" t="str">
        <f t="shared" si="505"/>
        <v/>
      </c>
    </row>
    <row r="29167" spans="8:8" x14ac:dyDescent="0.3">
      <c r="H29167" t="str">
        <f t="shared" si="505"/>
        <v/>
      </c>
    </row>
    <row r="29168" spans="8:8" x14ac:dyDescent="0.3">
      <c r="H29168" t="str">
        <f t="shared" si="505"/>
        <v/>
      </c>
    </row>
    <row r="29169" spans="8:8" x14ac:dyDescent="0.3">
      <c r="H29169" t="str">
        <f t="shared" si="505"/>
        <v/>
      </c>
    </row>
    <row r="29170" spans="8:8" x14ac:dyDescent="0.3">
      <c r="H29170" t="str">
        <f t="shared" si="505"/>
        <v/>
      </c>
    </row>
    <row r="29171" spans="8:8" x14ac:dyDescent="0.3">
      <c r="H29171" t="str">
        <f t="shared" si="505"/>
        <v/>
      </c>
    </row>
    <row r="29172" spans="8:8" x14ac:dyDescent="0.3">
      <c r="H29172" t="str">
        <f t="shared" si="505"/>
        <v/>
      </c>
    </row>
    <row r="29173" spans="8:8" x14ac:dyDescent="0.3">
      <c r="H29173" t="str">
        <f t="shared" si="505"/>
        <v/>
      </c>
    </row>
    <row r="29174" spans="8:8" x14ac:dyDescent="0.3">
      <c r="H29174" t="str">
        <f t="shared" si="505"/>
        <v/>
      </c>
    </row>
    <row r="29175" spans="8:8" x14ac:dyDescent="0.3">
      <c r="H29175" t="str">
        <f t="shared" si="505"/>
        <v/>
      </c>
    </row>
    <row r="29176" spans="8:8" x14ac:dyDescent="0.3">
      <c r="H29176" t="str">
        <f t="shared" si="505"/>
        <v/>
      </c>
    </row>
    <row r="29177" spans="8:8" x14ac:dyDescent="0.3">
      <c r="H29177" t="str">
        <f t="shared" si="505"/>
        <v/>
      </c>
    </row>
    <row r="29178" spans="8:8" x14ac:dyDescent="0.3">
      <c r="H29178" t="str">
        <f t="shared" si="505"/>
        <v/>
      </c>
    </row>
    <row r="29179" spans="8:8" x14ac:dyDescent="0.3">
      <c r="H29179" t="str">
        <f t="shared" si="505"/>
        <v/>
      </c>
    </row>
    <row r="29180" spans="8:8" x14ac:dyDescent="0.3">
      <c r="H29180" t="str">
        <f t="shared" si="505"/>
        <v/>
      </c>
    </row>
    <row r="29181" spans="8:8" x14ac:dyDescent="0.3">
      <c r="H29181" t="str">
        <f t="shared" si="505"/>
        <v/>
      </c>
    </row>
    <row r="29182" spans="8:8" x14ac:dyDescent="0.3">
      <c r="H29182" t="str">
        <f t="shared" si="505"/>
        <v/>
      </c>
    </row>
    <row r="29183" spans="8:8" x14ac:dyDescent="0.3">
      <c r="H29183" t="str">
        <f t="shared" si="505"/>
        <v/>
      </c>
    </row>
    <row r="29184" spans="8:8" x14ac:dyDescent="0.3">
      <c r="H29184" t="str">
        <f t="shared" si="505"/>
        <v/>
      </c>
    </row>
    <row r="29185" spans="8:8" x14ac:dyDescent="0.3">
      <c r="H29185" t="str">
        <f t="shared" si="505"/>
        <v/>
      </c>
    </row>
    <row r="29186" spans="8:8" x14ac:dyDescent="0.3">
      <c r="H29186" t="str">
        <f t="shared" si="505"/>
        <v/>
      </c>
    </row>
    <row r="29187" spans="8:8" x14ac:dyDescent="0.3">
      <c r="H29187" t="str">
        <f t="shared" si="505"/>
        <v/>
      </c>
    </row>
    <row r="29188" spans="8:8" x14ac:dyDescent="0.3">
      <c r="H29188" t="str">
        <f t="shared" si="505"/>
        <v/>
      </c>
    </row>
    <row r="29189" spans="8:8" x14ac:dyDescent="0.3">
      <c r="H29189" t="str">
        <f t="shared" si="505"/>
        <v/>
      </c>
    </row>
    <row r="29190" spans="8:8" x14ac:dyDescent="0.3">
      <c r="H29190" t="str">
        <f t="shared" si="505"/>
        <v/>
      </c>
    </row>
    <row r="29191" spans="8:8" x14ac:dyDescent="0.3">
      <c r="H29191" t="str">
        <f t="shared" si="505"/>
        <v/>
      </c>
    </row>
    <row r="29192" spans="8:8" x14ac:dyDescent="0.3">
      <c r="H29192" t="str">
        <f t="shared" si="505"/>
        <v/>
      </c>
    </row>
    <row r="29193" spans="8:8" x14ac:dyDescent="0.3">
      <c r="H29193" t="str">
        <f t="shared" si="505"/>
        <v/>
      </c>
    </row>
    <row r="29194" spans="8:8" x14ac:dyDescent="0.3">
      <c r="H29194" t="str">
        <f t="shared" si="505"/>
        <v/>
      </c>
    </row>
    <row r="29195" spans="8:8" x14ac:dyDescent="0.3">
      <c r="H29195" t="str">
        <f t="shared" si="505"/>
        <v/>
      </c>
    </row>
    <row r="29196" spans="8:8" x14ac:dyDescent="0.3">
      <c r="H29196" t="str">
        <f t="shared" si="505"/>
        <v/>
      </c>
    </row>
    <row r="29197" spans="8:8" x14ac:dyDescent="0.3">
      <c r="H29197" t="str">
        <f t="shared" si="505"/>
        <v/>
      </c>
    </row>
    <row r="29198" spans="8:8" x14ac:dyDescent="0.3">
      <c r="H29198" t="str">
        <f t="shared" si="505"/>
        <v/>
      </c>
    </row>
    <row r="29199" spans="8:8" x14ac:dyDescent="0.3">
      <c r="H29199" t="str">
        <f t="shared" si="505"/>
        <v/>
      </c>
    </row>
    <row r="29200" spans="8:8" x14ac:dyDescent="0.3">
      <c r="H29200" t="str">
        <f t="shared" si="505"/>
        <v/>
      </c>
    </row>
    <row r="29201" spans="8:8" x14ac:dyDescent="0.3">
      <c r="H29201" t="str">
        <f t="shared" si="505"/>
        <v/>
      </c>
    </row>
    <row r="29202" spans="8:8" x14ac:dyDescent="0.3">
      <c r="H29202" t="str">
        <f t="shared" si="505"/>
        <v/>
      </c>
    </row>
    <row r="29203" spans="8:8" x14ac:dyDescent="0.3">
      <c r="H29203" t="str">
        <f t="shared" si="505"/>
        <v/>
      </c>
    </row>
    <row r="29204" spans="8:8" x14ac:dyDescent="0.3">
      <c r="H29204" t="str">
        <f t="shared" si="505"/>
        <v/>
      </c>
    </row>
    <row r="29205" spans="8:8" x14ac:dyDescent="0.3">
      <c r="H29205" t="str">
        <f t="shared" si="505"/>
        <v/>
      </c>
    </row>
    <row r="29206" spans="8:8" x14ac:dyDescent="0.3">
      <c r="H29206" t="str">
        <f t="shared" si="505"/>
        <v/>
      </c>
    </row>
    <row r="29207" spans="8:8" x14ac:dyDescent="0.3">
      <c r="H29207" t="str">
        <f t="shared" ref="H29207:H29270" si="506">IF(B29207="","",$C$12)</f>
        <v/>
      </c>
    </row>
    <row r="29208" spans="8:8" x14ac:dyDescent="0.3">
      <c r="H29208" t="str">
        <f t="shared" si="506"/>
        <v/>
      </c>
    </row>
    <row r="29209" spans="8:8" x14ac:dyDescent="0.3">
      <c r="H29209" t="str">
        <f t="shared" si="506"/>
        <v/>
      </c>
    </row>
    <row r="29210" spans="8:8" x14ac:dyDescent="0.3">
      <c r="H29210" t="str">
        <f t="shared" si="506"/>
        <v/>
      </c>
    </row>
    <row r="29211" spans="8:8" x14ac:dyDescent="0.3">
      <c r="H29211" t="str">
        <f t="shared" si="506"/>
        <v/>
      </c>
    </row>
    <row r="29212" spans="8:8" x14ac:dyDescent="0.3">
      <c r="H29212" t="str">
        <f t="shared" si="506"/>
        <v/>
      </c>
    </row>
    <row r="29213" spans="8:8" x14ac:dyDescent="0.3">
      <c r="H29213" t="str">
        <f t="shared" si="506"/>
        <v/>
      </c>
    </row>
    <row r="29214" spans="8:8" x14ac:dyDescent="0.3">
      <c r="H29214" t="str">
        <f t="shared" si="506"/>
        <v/>
      </c>
    </row>
    <row r="29215" spans="8:8" x14ac:dyDescent="0.3">
      <c r="H29215" t="str">
        <f t="shared" si="506"/>
        <v/>
      </c>
    </row>
    <row r="29216" spans="8:8" x14ac:dyDescent="0.3">
      <c r="H29216" t="str">
        <f t="shared" si="506"/>
        <v/>
      </c>
    </row>
    <row r="29217" spans="8:8" x14ac:dyDescent="0.3">
      <c r="H29217" t="str">
        <f t="shared" si="506"/>
        <v/>
      </c>
    </row>
    <row r="29218" spans="8:8" x14ac:dyDescent="0.3">
      <c r="H29218" t="str">
        <f t="shared" si="506"/>
        <v/>
      </c>
    </row>
    <row r="29219" spans="8:8" x14ac:dyDescent="0.3">
      <c r="H29219" t="str">
        <f t="shared" si="506"/>
        <v/>
      </c>
    </row>
    <row r="29220" spans="8:8" x14ac:dyDescent="0.3">
      <c r="H29220" t="str">
        <f t="shared" si="506"/>
        <v/>
      </c>
    </row>
    <row r="29221" spans="8:8" x14ac:dyDescent="0.3">
      <c r="H29221" t="str">
        <f t="shared" si="506"/>
        <v/>
      </c>
    </row>
    <row r="29222" spans="8:8" x14ac:dyDescent="0.3">
      <c r="H29222" t="str">
        <f t="shared" si="506"/>
        <v/>
      </c>
    </row>
    <row r="29223" spans="8:8" x14ac:dyDescent="0.3">
      <c r="H29223" t="str">
        <f t="shared" si="506"/>
        <v/>
      </c>
    </row>
    <row r="29224" spans="8:8" x14ac:dyDescent="0.3">
      <c r="H29224" t="str">
        <f t="shared" si="506"/>
        <v/>
      </c>
    </row>
    <row r="29225" spans="8:8" x14ac:dyDescent="0.3">
      <c r="H29225" t="str">
        <f t="shared" si="506"/>
        <v/>
      </c>
    </row>
    <row r="29226" spans="8:8" x14ac:dyDescent="0.3">
      <c r="H29226" t="str">
        <f t="shared" si="506"/>
        <v/>
      </c>
    </row>
    <row r="29227" spans="8:8" x14ac:dyDescent="0.3">
      <c r="H29227" t="str">
        <f t="shared" si="506"/>
        <v/>
      </c>
    </row>
    <row r="29228" spans="8:8" x14ac:dyDescent="0.3">
      <c r="H29228" t="str">
        <f t="shared" si="506"/>
        <v/>
      </c>
    </row>
    <row r="29229" spans="8:8" x14ac:dyDescent="0.3">
      <c r="H29229" t="str">
        <f t="shared" si="506"/>
        <v/>
      </c>
    </row>
    <row r="29230" spans="8:8" x14ac:dyDescent="0.3">
      <c r="H29230" t="str">
        <f t="shared" si="506"/>
        <v/>
      </c>
    </row>
    <row r="29231" spans="8:8" x14ac:dyDescent="0.3">
      <c r="H29231" t="str">
        <f t="shared" si="506"/>
        <v/>
      </c>
    </row>
    <row r="29232" spans="8:8" x14ac:dyDescent="0.3">
      <c r="H29232" t="str">
        <f t="shared" si="506"/>
        <v/>
      </c>
    </row>
    <row r="29233" spans="8:8" x14ac:dyDescent="0.3">
      <c r="H29233" t="str">
        <f t="shared" si="506"/>
        <v/>
      </c>
    </row>
    <row r="29234" spans="8:8" x14ac:dyDescent="0.3">
      <c r="H29234" t="str">
        <f t="shared" si="506"/>
        <v/>
      </c>
    </row>
    <row r="29235" spans="8:8" x14ac:dyDescent="0.3">
      <c r="H29235" t="str">
        <f t="shared" si="506"/>
        <v/>
      </c>
    </row>
    <row r="29236" spans="8:8" x14ac:dyDescent="0.3">
      <c r="H29236" t="str">
        <f t="shared" si="506"/>
        <v/>
      </c>
    </row>
    <row r="29237" spans="8:8" x14ac:dyDescent="0.3">
      <c r="H29237" t="str">
        <f t="shared" si="506"/>
        <v/>
      </c>
    </row>
    <row r="29238" spans="8:8" x14ac:dyDescent="0.3">
      <c r="H29238" t="str">
        <f t="shared" si="506"/>
        <v/>
      </c>
    </row>
    <row r="29239" spans="8:8" x14ac:dyDescent="0.3">
      <c r="H29239" t="str">
        <f t="shared" si="506"/>
        <v/>
      </c>
    </row>
    <row r="29240" spans="8:8" x14ac:dyDescent="0.3">
      <c r="H29240" t="str">
        <f t="shared" si="506"/>
        <v/>
      </c>
    </row>
    <row r="29241" spans="8:8" x14ac:dyDescent="0.3">
      <c r="H29241" t="str">
        <f t="shared" si="506"/>
        <v/>
      </c>
    </row>
    <row r="29242" spans="8:8" x14ac:dyDescent="0.3">
      <c r="H29242" t="str">
        <f t="shared" si="506"/>
        <v/>
      </c>
    </row>
    <row r="29243" spans="8:8" x14ac:dyDescent="0.3">
      <c r="H29243" t="str">
        <f t="shared" si="506"/>
        <v/>
      </c>
    </row>
    <row r="29244" spans="8:8" x14ac:dyDescent="0.3">
      <c r="H29244" t="str">
        <f t="shared" si="506"/>
        <v/>
      </c>
    </row>
    <row r="29245" spans="8:8" x14ac:dyDescent="0.3">
      <c r="H29245" t="str">
        <f t="shared" si="506"/>
        <v/>
      </c>
    </row>
    <row r="29246" spans="8:8" x14ac:dyDescent="0.3">
      <c r="H29246" t="str">
        <f t="shared" si="506"/>
        <v/>
      </c>
    </row>
    <row r="29247" spans="8:8" x14ac:dyDescent="0.3">
      <c r="H29247" t="str">
        <f t="shared" si="506"/>
        <v/>
      </c>
    </row>
    <row r="29248" spans="8:8" x14ac:dyDescent="0.3">
      <c r="H29248" t="str">
        <f t="shared" si="506"/>
        <v/>
      </c>
    </row>
    <row r="29249" spans="8:8" x14ac:dyDescent="0.3">
      <c r="H29249" t="str">
        <f t="shared" si="506"/>
        <v/>
      </c>
    </row>
    <row r="29250" spans="8:8" x14ac:dyDescent="0.3">
      <c r="H29250" t="str">
        <f t="shared" si="506"/>
        <v/>
      </c>
    </row>
    <row r="29251" spans="8:8" x14ac:dyDescent="0.3">
      <c r="H29251" t="str">
        <f t="shared" si="506"/>
        <v/>
      </c>
    </row>
    <row r="29252" spans="8:8" x14ac:dyDescent="0.3">
      <c r="H29252" t="str">
        <f t="shared" si="506"/>
        <v/>
      </c>
    </row>
    <row r="29253" spans="8:8" x14ac:dyDescent="0.3">
      <c r="H29253" t="str">
        <f t="shared" si="506"/>
        <v/>
      </c>
    </row>
    <row r="29254" spans="8:8" x14ac:dyDescent="0.3">
      <c r="H29254" t="str">
        <f t="shared" si="506"/>
        <v/>
      </c>
    </row>
    <row r="29255" spans="8:8" x14ac:dyDescent="0.3">
      <c r="H29255" t="str">
        <f t="shared" si="506"/>
        <v/>
      </c>
    </row>
    <row r="29256" spans="8:8" x14ac:dyDescent="0.3">
      <c r="H29256" t="str">
        <f t="shared" si="506"/>
        <v/>
      </c>
    </row>
    <row r="29257" spans="8:8" x14ac:dyDescent="0.3">
      <c r="H29257" t="str">
        <f t="shared" si="506"/>
        <v/>
      </c>
    </row>
    <row r="29258" spans="8:8" x14ac:dyDescent="0.3">
      <c r="H29258" t="str">
        <f t="shared" si="506"/>
        <v/>
      </c>
    </row>
    <row r="29259" spans="8:8" x14ac:dyDescent="0.3">
      <c r="H29259" t="str">
        <f t="shared" si="506"/>
        <v/>
      </c>
    </row>
    <row r="29260" spans="8:8" x14ac:dyDescent="0.3">
      <c r="H29260" t="str">
        <f t="shared" si="506"/>
        <v/>
      </c>
    </row>
    <row r="29261" spans="8:8" x14ac:dyDescent="0.3">
      <c r="H29261" t="str">
        <f t="shared" si="506"/>
        <v/>
      </c>
    </row>
    <row r="29262" spans="8:8" x14ac:dyDescent="0.3">
      <c r="H29262" t="str">
        <f t="shared" si="506"/>
        <v/>
      </c>
    </row>
    <row r="29263" spans="8:8" x14ac:dyDescent="0.3">
      <c r="H29263" t="str">
        <f t="shared" si="506"/>
        <v/>
      </c>
    </row>
    <row r="29264" spans="8:8" x14ac:dyDescent="0.3">
      <c r="H29264" t="str">
        <f t="shared" si="506"/>
        <v/>
      </c>
    </row>
    <row r="29265" spans="8:8" x14ac:dyDescent="0.3">
      <c r="H29265" t="str">
        <f t="shared" si="506"/>
        <v/>
      </c>
    </row>
    <row r="29266" spans="8:8" x14ac:dyDescent="0.3">
      <c r="H29266" t="str">
        <f t="shared" si="506"/>
        <v/>
      </c>
    </row>
    <row r="29267" spans="8:8" x14ac:dyDescent="0.3">
      <c r="H29267" t="str">
        <f t="shared" si="506"/>
        <v/>
      </c>
    </row>
    <row r="29268" spans="8:8" x14ac:dyDescent="0.3">
      <c r="H29268" t="str">
        <f t="shared" si="506"/>
        <v/>
      </c>
    </row>
    <row r="29269" spans="8:8" x14ac:dyDescent="0.3">
      <c r="H29269" t="str">
        <f t="shared" si="506"/>
        <v/>
      </c>
    </row>
    <row r="29270" spans="8:8" x14ac:dyDescent="0.3">
      <c r="H29270" t="str">
        <f t="shared" si="506"/>
        <v/>
      </c>
    </row>
    <row r="29271" spans="8:8" x14ac:dyDescent="0.3">
      <c r="H29271" t="str">
        <f t="shared" ref="H29271:H29334" si="507">IF(B29271="","",$C$12)</f>
        <v/>
      </c>
    </row>
    <row r="29272" spans="8:8" x14ac:dyDescent="0.3">
      <c r="H29272" t="str">
        <f t="shared" si="507"/>
        <v/>
      </c>
    </row>
    <row r="29273" spans="8:8" x14ac:dyDescent="0.3">
      <c r="H29273" t="str">
        <f t="shared" si="507"/>
        <v/>
      </c>
    </row>
    <row r="29274" spans="8:8" x14ac:dyDescent="0.3">
      <c r="H29274" t="str">
        <f t="shared" si="507"/>
        <v/>
      </c>
    </row>
    <row r="29275" spans="8:8" x14ac:dyDescent="0.3">
      <c r="H29275" t="str">
        <f t="shared" si="507"/>
        <v/>
      </c>
    </row>
    <row r="29276" spans="8:8" x14ac:dyDescent="0.3">
      <c r="H29276" t="str">
        <f t="shared" si="507"/>
        <v/>
      </c>
    </row>
    <row r="29277" spans="8:8" x14ac:dyDescent="0.3">
      <c r="H29277" t="str">
        <f t="shared" si="507"/>
        <v/>
      </c>
    </row>
    <row r="29278" spans="8:8" x14ac:dyDescent="0.3">
      <c r="H29278" t="str">
        <f t="shared" si="507"/>
        <v/>
      </c>
    </row>
    <row r="29279" spans="8:8" x14ac:dyDescent="0.3">
      <c r="H29279" t="str">
        <f t="shared" si="507"/>
        <v/>
      </c>
    </row>
    <row r="29280" spans="8:8" x14ac:dyDescent="0.3">
      <c r="H29280" t="str">
        <f t="shared" si="507"/>
        <v/>
      </c>
    </row>
    <row r="29281" spans="8:8" x14ac:dyDescent="0.3">
      <c r="H29281" t="str">
        <f t="shared" si="507"/>
        <v/>
      </c>
    </row>
    <row r="29282" spans="8:8" x14ac:dyDescent="0.3">
      <c r="H29282" t="str">
        <f t="shared" si="507"/>
        <v/>
      </c>
    </row>
    <row r="29283" spans="8:8" x14ac:dyDescent="0.3">
      <c r="H29283" t="str">
        <f t="shared" si="507"/>
        <v/>
      </c>
    </row>
    <row r="29284" spans="8:8" x14ac:dyDescent="0.3">
      <c r="H29284" t="str">
        <f t="shared" si="507"/>
        <v/>
      </c>
    </row>
    <row r="29285" spans="8:8" x14ac:dyDescent="0.3">
      <c r="H29285" t="str">
        <f t="shared" si="507"/>
        <v/>
      </c>
    </row>
    <row r="29286" spans="8:8" x14ac:dyDescent="0.3">
      <c r="H29286" t="str">
        <f t="shared" si="507"/>
        <v/>
      </c>
    </row>
    <row r="29287" spans="8:8" x14ac:dyDescent="0.3">
      <c r="H29287" t="str">
        <f t="shared" si="507"/>
        <v/>
      </c>
    </row>
    <row r="29288" spans="8:8" x14ac:dyDescent="0.3">
      <c r="H29288" t="str">
        <f t="shared" si="507"/>
        <v/>
      </c>
    </row>
    <row r="29289" spans="8:8" x14ac:dyDescent="0.3">
      <c r="H29289" t="str">
        <f t="shared" si="507"/>
        <v/>
      </c>
    </row>
    <row r="29290" spans="8:8" x14ac:dyDescent="0.3">
      <c r="H29290" t="str">
        <f t="shared" si="507"/>
        <v/>
      </c>
    </row>
    <row r="29291" spans="8:8" x14ac:dyDescent="0.3">
      <c r="H29291" t="str">
        <f t="shared" si="507"/>
        <v/>
      </c>
    </row>
    <row r="29292" spans="8:8" x14ac:dyDescent="0.3">
      <c r="H29292" t="str">
        <f t="shared" si="507"/>
        <v/>
      </c>
    </row>
    <row r="29293" spans="8:8" x14ac:dyDescent="0.3">
      <c r="H29293" t="str">
        <f t="shared" si="507"/>
        <v/>
      </c>
    </row>
    <row r="29294" spans="8:8" x14ac:dyDescent="0.3">
      <c r="H29294" t="str">
        <f t="shared" si="507"/>
        <v/>
      </c>
    </row>
    <row r="29295" spans="8:8" x14ac:dyDescent="0.3">
      <c r="H29295" t="str">
        <f t="shared" si="507"/>
        <v/>
      </c>
    </row>
    <row r="29296" spans="8:8" x14ac:dyDescent="0.3">
      <c r="H29296" t="str">
        <f t="shared" si="507"/>
        <v/>
      </c>
    </row>
    <row r="29297" spans="8:8" x14ac:dyDescent="0.3">
      <c r="H29297" t="str">
        <f t="shared" si="507"/>
        <v/>
      </c>
    </row>
    <row r="29298" spans="8:8" x14ac:dyDescent="0.3">
      <c r="H29298" t="str">
        <f t="shared" si="507"/>
        <v/>
      </c>
    </row>
    <row r="29299" spans="8:8" x14ac:dyDescent="0.3">
      <c r="H29299" t="str">
        <f t="shared" si="507"/>
        <v/>
      </c>
    </row>
    <row r="29300" spans="8:8" x14ac:dyDescent="0.3">
      <c r="H29300" t="str">
        <f t="shared" si="507"/>
        <v/>
      </c>
    </row>
    <row r="29301" spans="8:8" x14ac:dyDescent="0.3">
      <c r="H29301" t="str">
        <f t="shared" si="507"/>
        <v/>
      </c>
    </row>
    <row r="29302" spans="8:8" x14ac:dyDescent="0.3">
      <c r="H29302" t="str">
        <f t="shared" si="507"/>
        <v/>
      </c>
    </row>
    <row r="29303" spans="8:8" x14ac:dyDescent="0.3">
      <c r="H29303" t="str">
        <f t="shared" si="507"/>
        <v/>
      </c>
    </row>
    <row r="29304" spans="8:8" x14ac:dyDescent="0.3">
      <c r="H29304" t="str">
        <f t="shared" si="507"/>
        <v/>
      </c>
    </row>
    <row r="29305" spans="8:8" x14ac:dyDescent="0.3">
      <c r="H29305" t="str">
        <f t="shared" si="507"/>
        <v/>
      </c>
    </row>
    <row r="29306" spans="8:8" x14ac:dyDescent="0.3">
      <c r="H29306" t="str">
        <f t="shared" si="507"/>
        <v/>
      </c>
    </row>
    <row r="29307" spans="8:8" x14ac:dyDescent="0.3">
      <c r="H29307" t="str">
        <f t="shared" si="507"/>
        <v/>
      </c>
    </row>
    <row r="29308" spans="8:8" x14ac:dyDescent="0.3">
      <c r="H29308" t="str">
        <f t="shared" si="507"/>
        <v/>
      </c>
    </row>
    <row r="29309" spans="8:8" x14ac:dyDescent="0.3">
      <c r="H29309" t="str">
        <f t="shared" si="507"/>
        <v/>
      </c>
    </row>
    <row r="29310" spans="8:8" x14ac:dyDescent="0.3">
      <c r="H29310" t="str">
        <f t="shared" si="507"/>
        <v/>
      </c>
    </row>
    <row r="29311" spans="8:8" x14ac:dyDescent="0.3">
      <c r="H29311" t="str">
        <f t="shared" si="507"/>
        <v/>
      </c>
    </row>
    <row r="29312" spans="8:8" x14ac:dyDescent="0.3">
      <c r="H29312" t="str">
        <f t="shared" si="507"/>
        <v/>
      </c>
    </row>
    <row r="29313" spans="8:8" x14ac:dyDescent="0.3">
      <c r="H29313" t="str">
        <f t="shared" si="507"/>
        <v/>
      </c>
    </row>
    <row r="29314" spans="8:8" x14ac:dyDescent="0.3">
      <c r="H29314" t="str">
        <f t="shared" si="507"/>
        <v/>
      </c>
    </row>
    <row r="29315" spans="8:8" x14ac:dyDescent="0.3">
      <c r="H29315" t="str">
        <f t="shared" si="507"/>
        <v/>
      </c>
    </row>
    <row r="29316" spans="8:8" x14ac:dyDescent="0.3">
      <c r="H29316" t="str">
        <f t="shared" si="507"/>
        <v/>
      </c>
    </row>
    <row r="29317" spans="8:8" x14ac:dyDescent="0.3">
      <c r="H29317" t="str">
        <f t="shared" si="507"/>
        <v/>
      </c>
    </row>
    <row r="29318" spans="8:8" x14ac:dyDescent="0.3">
      <c r="H29318" t="str">
        <f t="shared" si="507"/>
        <v/>
      </c>
    </row>
    <row r="29319" spans="8:8" x14ac:dyDescent="0.3">
      <c r="H29319" t="str">
        <f t="shared" si="507"/>
        <v/>
      </c>
    </row>
    <row r="29320" spans="8:8" x14ac:dyDescent="0.3">
      <c r="H29320" t="str">
        <f t="shared" si="507"/>
        <v/>
      </c>
    </row>
    <row r="29321" spans="8:8" x14ac:dyDescent="0.3">
      <c r="H29321" t="str">
        <f t="shared" si="507"/>
        <v/>
      </c>
    </row>
    <row r="29322" spans="8:8" x14ac:dyDescent="0.3">
      <c r="H29322" t="str">
        <f t="shared" si="507"/>
        <v/>
      </c>
    </row>
    <row r="29323" spans="8:8" x14ac:dyDescent="0.3">
      <c r="H29323" t="str">
        <f t="shared" si="507"/>
        <v/>
      </c>
    </row>
    <row r="29324" spans="8:8" x14ac:dyDescent="0.3">
      <c r="H29324" t="str">
        <f t="shared" si="507"/>
        <v/>
      </c>
    </row>
    <row r="29325" spans="8:8" x14ac:dyDescent="0.3">
      <c r="H29325" t="str">
        <f t="shared" si="507"/>
        <v/>
      </c>
    </row>
    <row r="29326" spans="8:8" x14ac:dyDescent="0.3">
      <c r="H29326" t="str">
        <f t="shared" si="507"/>
        <v/>
      </c>
    </row>
    <row r="29327" spans="8:8" x14ac:dyDescent="0.3">
      <c r="H29327" t="str">
        <f t="shared" si="507"/>
        <v/>
      </c>
    </row>
    <row r="29328" spans="8:8" x14ac:dyDescent="0.3">
      <c r="H29328" t="str">
        <f t="shared" si="507"/>
        <v/>
      </c>
    </row>
    <row r="29329" spans="8:8" x14ac:dyDescent="0.3">
      <c r="H29329" t="str">
        <f t="shared" si="507"/>
        <v/>
      </c>
    </row>
    <row r="29330" spans="8:8" x14ac:dyDescent="0.3">
      <c r="H29330" t="str">
        <f t="shared" si="507"/>
        <v/>
      </c>
    </row>
    <row r="29331" spans="8:8" x14ac:dyDescent="0.3">
      <c r="H29331" t="str">
        <f t="shared" si="507"/>
        <v/>
      </c>
    </row>
    <row r="29332" spans="8:8" x14ac:dyDescent="0.3">
      <c r="H29332" t="str">
        <f t="shared" si="507"/>
        <v/>
      </c>
    </row>
    <row r="29333" spans="8:8" x14ac:dyDescent="0.3">
      <c r="H29333" t="str">
        <f t="shared" si="507"/>
        <v/>
      </c>
    </row>
    <row r="29334" spans="8:8" x14ac:dyDescent="0.3">
      <c r="H29334" t="str">
        <f t="shared" si="507"/>
        <v/>
      </c>
    </row>
    <row r="29335" spans="8:8" x14ac:dyDescent="0.3">
      <c r="H29335" t="str">
        <f t="shared" ref="H29335:H29398" si="508">IF(B29335="","",$C$12)</f>
        <v/>
      </c>
    </row>
    <row r="29336" spans="8:8" x14ac:dyDescent="0.3">
      <c r="H29336" t="str">
        <f t="shared" si="508"/>
        <v/>
      </c>
    </row>
    <row r="29337" spans="8:8" x14ac:dyDescent="0.3">
      <c r="H29337" t="str">
        <f t="shared" si="508"/>
        <v/>
      </c>
    </row>
    <row r="29338" spans="8:8" x14ac:dyDescent="0.3">
      <c r="H29338" t="str">
        <f t="shared" si="508"/>
        <v/>
      </c>
    </row>
    <row r="29339" spans="8:8" x14ac:dyDescent="0.3">
      <c r="H29339" t="str">
        <f t="shared" si="508"/>
        <v/>
      </c>
    </row>
    <row r="29340" spans="8:8" x14ac:dyDescent="0.3">
      <c r="H29340" t="str">
        <f t="shared" si="508"/>
        <v/>
      </c>
    </row>
    <row r="29341" spans="8:8" x14ac:dyDescent="0.3">
      <c r="H29341" t="str">
        <f t="shared" si="508"/>
        <v/>
      </c>
    </row>
    <row r="29342" spans="8:8" x14ac:dyDescent="0.3">
      <c r="H29342" t="str">
        <f t="shared" si="508"/>
        <v/>
      </c>
    </row>
    <row r="29343" spans="8:8" x14ac:dyDescent="0.3">
      <c r="H29343" t="str">
        <f t="shared" si="508"/>
        <v/>
      </c>
    </row>
    <row r="29344" spans="8:8" x14ac:dyDescent="0.3">
      <c r="H29344" t="str">
        <f t="shared" si="508"/>
        <v/>
      </c>
    </row>
    <row r="29345" spans="8:8" x14ac:dyDescent="0.3">
      <c r="H29345" t="str">
        <f t="shared" si="508"/>
        <v/>
      </c>
    </row>
    <row r="29346" spans="8:8" x14ac:dyDescent="0.3">
      <c r="H29346" t="str">
        <f t="shared" si="508"/>
        <v/>
      </c>
    </row>
    <row r="29347" spans="8:8" x14ac:dyDescent="0.3">
      <c r="H29347" t="str">
        <f t="shared" si="508"/>
        <v/>
      </c>
    </row>
    <row r="29348" spans="8:8" x14ac:dyDescent="0.3">
      <c r="H29348" t="str">
        <f t="shared" si="508"/>
        <v/>
      </c>
    </row>
    <row r="29349" spans="8:8" x14ac:dyDescent="0.3">
      <c r="H29349" t="str">
        <f t="shared" si="508"/>
        <v/>
      </c>
    </row>
    <row r="29350" spans="8:8" x14ac:dyDescent="0.3">
      <c r="H29350" t="str">
        <f t="shared" si="508"/>
        <v/>
      </c>
    </row>
    <row r="29351" spans="8:8" x14ac:dyDescent="0.3">
      <c r="H29351" t="str">
        <f t="shared" si="508"/>
        <v/>
      </c>
    </row>
    <row r="29352" spans="8:8" x14ac:dyDescent="0.3">
      <c r="H29352" t="str">
        <f t="shared" si="508"/>
        <v/>
      </c>
    </row>
    <row r="29353" spans="8:8" x14ac:dyDescent="0.3">
      <c r="H29353" t="str">
        <f t="shared" si="508"/>
        <v/>
      </c>
    </row>
    <row r="29354" spans="8:8" x14ac:dyDescent="0.3">
      <c r="H29354" t="str">
        <f t="shared" si="508"/>
        <v/>
      </c>
    </row>
    <row r="29355" spans="8:8" x14ac:dyDescent="0.3">
      <c r="H29355" t="str">
        <f t="shared" si="508"/>
        <v/>
      </c>
    </row>
    <row r="29356" spans="8:8" x14ac:dyDescent="0.3">
      <c r="H29356" t="str">
        <f t="shared" si="508"/>
        <v/>
      </c>
    </row>
    <row r="29357" spans="8:8" x14ac:dyDescent="0.3">
      <c r="H29357" t="str">
        <f t="shared" si="508"/>
        <v/>
      </c>
    </row>
    <row r="29358" spans="8:8" x14ac:dyDescent="0.3">
      <c r="H29358" t="str">
        <f t="shared" si="508"/>
        <v/>
      </c>
    </row>
    <row r="29359" spans="8:8" x14ac:dyDescent="0.3">
      <c r="H29359" t="str">
        <f t="shared" si="508"/>
        <v/>
      </c>
    </row>
    <row r="29360" spans="8:8" x14ac:dyDescent="0.3">
      <c r="H29360" t="str">
        <f t="shared" si="508"/>
        <v/>
      </c>
    </row>
    <row r="29361" spans="8:8" x14ac:dyDescent="0.3">
      <c r="H29361" t="str">
        <f t="shared" si="508"/>
        <v/>
      </c>
    </row>
    <row r="29362" spans="8:8" x14ac:dyDescent="0.3">
      <c r="H29362" t="str">
        <f t="shared" si="508"/>
        <v/>
      </c>
    </row>
    <row r="29363" spans="8:8" x14ac:dyDescent="0.3">
      <c r="H29363" t="str">
        <f t="shared" si="508"/>
        <v/>
      </c>
    </row>
    <row r="29364" spans="8:8" x14ac:dyDescent="0.3">
      <c r="H29364" t="str">
        <f t="shared" si="508"/>
        <v/>
      </c>
    </row>
    <row r="29365" spans="8:8" x14ac:dyDescent="0.3">
      <c r="H29365" t="str">
        <f t="shared" si="508"/>
        <v/>
      </c>
    </row>
    <row r="29366" spans="8:8" x14ac:dyDescent="0.3">
      <c r="H29366" t="str">
        <f t="shared" si="508"/>
        <v/>
      </c>
    </row>
    <row r="29367" spans="8:8" x14ac:dyDescent="0.3">
      <c r="H29367" t="str">
        <f t="shared" si="508"/>
        <v/>
      </c>
    </row>
    <row r="29368" spans="8:8" x14ac:dyDescent="0.3">
      <c r="H29368" t="str">
        <f t="shared" si="508"/>
        <v/>
      </c>
    </row>
    <row r="29369" spans="8:8" x14ac:dyDescent="0.3">
      <c r="H29369" t="str">
        <f t="shared" si="508"/>
        <v/>
      </c>
    </row>
    <row r="29370" spans="8:8" x14ac:dyDescent="0.3">
      <c r="H29370" t="str">
        <f t="shared" si="508"/>
        <v/>
      </c>
    </row>
    <row r="29371" spans="8:8" x14ac:dyDescent="0.3">
      <c r="H29371" t="str">
        <f t="shared" si="508"/>
        <v/>
      </c>
    </row>
    <row r="29372" spans="8:8" x14ac:dyDescent="0.3">
      <c r="H29372" t="str">
        <f t="shared" si="508"/>
        <v/>
      </c>
    </row>
    <row r="29373" spans="8:8" x14ac:dyDescent="0.3">
      <c r="H29373" t="str">
        <f t="shared" si="508"/>
        <v/>
      </c>
    </row>
    <row r="29374" spans="8:8" x14ac:dyDescent="0.3">
      <c r="H29374" t="str">
        <f t="shared" si="508"/>
        <v/>
      </c>
    </row>
    <row r="29375" spans="8:8" x14ac:dyDescent="0.3">
      <c r="H29375" t="str">
        <f t="shared" si="508"/>
        <v/>
      </c>
    </row>
    <row r="29376" spans="8:8" x14ac:dyDescent="0.3">
      <c r="H29376" t="str">
        <f t="shared" si="508"/>
        <v/>
      </c>
    </row>
    <row r="29377" spans="8:8" x14ac:dyDescent="0.3">
      <c r="H29377" t="str">
        <f t="shared" si="508"/>
        <v/>
      </c>
    </row>
    <row r="29378" spans="8:8" x14ac:dyDescent="0.3">
      <c r="H29378" t="str">
        <f t="shared" si="508"/>
        <v/>
      </c>
    </row>
    <row r="29379" spans="8:8" x14ac:dyDescent="0.3">
      <c r="H29379" t="str">
        <f t="shared" si="508"/>
        <v/>
      </c>
    </row>
    <row r="29380" spans="8:8" x14ac:dyDescent="0.3">
      <c r="H29380" t="str">
        <f t="shared" si="508"/>
        <v/>
      </c>
    </row>
    <row r="29381" spans="8:8" x14ac:dyDescent="0.3">
      <c r="H29381" t="str">
        <f t="shared" si="508"/>
        <v/>
      </c>
    </row>
    <row r="29382" spans="8:8" x14ac:dyDescent="0.3">
      <c r="H29382" t="str">
        <f t="shared" si="508"/>
        <v/>
      </c>
    </row>
    <row r="29383" spans="8:8" x14ac:dyDescent="0.3">
      <c r="H29383" t="str">
        <f t="shared" si="508"/>
        <v/>
      </c>
    </row>
    <row r="29384" spans="8:8" x14ac:dyDescent="0.3">
      <c r="H29384" t="str">
        <f t="shared" si="508"/>
        <v/>
      </c>
    </row>
    <row r="29385" spans="8:8" x14ac:dyDescent="0.3">
      <c r="H29385" t="str">
        <f t="shared" si="508"/>
        <v/>
      </c>
    </row>
    <row r="29386" spans="8:8" x14ac:dyDescent="0.3">
      <c r="H29386" t="str">
        <f t="shared" si="508"/>
        <v/>
      </c>
    </row>
    <row r="29387" spans="8:8" x14ac:dyDescent="0.3">
      <c r="H29387" t="str">
        <f t="shared" si="508"/>
        <v/>
      </c>
    </row>
    <row r="29388" spans="8:8" x14ac:dyDescent="0.3">
      <c r="H29388" t="str">
        <f t="shared" si="508"/>
        <v/>
      </c>
    </row>
    <row r="29389" spans="8:8" x14ac:dyDescent="0.3">
      <c r="H29389" t="str">
        <f t="shared" si="508"/>
        <v/>
      </c>
    </row>
    <row r="29390" spans="8:8" x14ac:dyDescent="0.3">
      <c r="H29390" t="str">
        <f t="shared" si="508"/>
        <v/>
      </c>
    </row>
    <row r="29391" spans="8:8" x14ac:dyDescent="0.3">
      <c r="H29391" t="str">
        <f t="shared" si="508"/>
        <v/>
      </c>
    </row>
    <row r="29392" spans="8:8" x14ac:dyDescent="0.3">
      <c r="H29392" t="str">
        <f t="shared" si="508"/>
        <v/>
      </c>
    </row>
    <row r="29393" spans="8:8" x14ac:dyDescent="0.3">
      <c r="H29393" t="str">
        <f t="shared" si="508"/>
        <v/>
      </c>
    </row>
    <row r="29394" spans="8:8" x14ac:dyDescent="0.3">
      <c r="H29394" t="str">
        <f t="shared" si="508"/>
        <v/>
      </c>
    </row>
    <row r="29395" spans="8:8" x14ac:dyDescent="0.3">
      <c r="H29395" t="str">
        <f t="shared" si="508"/>
        <v/>
      </c>
    </row>
    <row r="29396" spans="8:8" x14ac:dyDescent="0.3">
      <c r="H29396" t="str">
        <f t="shared" si="508"/>
        <v/>
      </c>
    </row>
    <row r="29397" spans="8:8" x14ac:dyDescent="0.3">
      <c r="H29397" t="str">
        <f t="shared" si="508"/>
        <v/>
      </c>
    </row>
    <row r="29398" spans="8:8" x14ac:dyDescent="0.3">
      <c r="H29398" t="str">
        <f t="shared" si="508"/>
        <v/>
      </c>
    </row>
    <row r="29399" spans="8:8" x14ac:dyDescent="0.3">
      <c r="H29399" t="str">
        <f t="shared" ref="H29399:H29462" si="509">IF(B29399="","",$C$12)</f>
        <v/>
      </c>
    </row>
    <row r="29400" spans="8:8" x14ac:dyDescent="0.3">
      <c r="H29400" t="str">
        <f t="shared" si="509"/>
        <v/>
      </c>
    </row>
    <row r="29401" spans="8:8" x14ac:dyDescent="0.3">
      <c r="H29401" t="str">
        <f t="shared" si="509"/>
        <v/>
      </c>
    </row>
    <row r="29402" spans="8:8" x14ac:dyDescent="0.3">
      <c r="H29402" t="str">
        <f t="shared" si="509"/>
        <v/>
      </c>
    </row>
    <row r="29403" spans="8:8" x14ac:dyDescent="0.3">
      <c r="H29403" t="str">
        <f t="shared" si="509"/>
        <v/>
      </c>
    </row>
    <row r="29404" spans="8:8" x14ac:dyDescent="0.3">
      <c r="H29404" t="str">
        <f t="shared" si="509"/>
        <v/>
      </c>
    </row>
    <row r="29405" spans="8:8" x14ac:dyDescent="0.3">
      <c r="H29405" t="str">
        <f t="shared" si="509"/>
        <v/>
      </c>
    </row>
    <row r="29406" spans="8:8" x14ac:dyDescent="0.3">
      <c r="H29406" t="str">
        <f t="shared" si="509"/>
        <v/>
      </c>
    </row>
    <row r="29407" spans="8:8" x14ac:dyDescent="0.3">
      <c r="H29407" t="str">
        <f t="shared" si="509"/>
        <v/>
      </c>
    </row>
    <row r="29408" spans="8:8" x14ac:dyDescent="0.3">
      <c r="H29408" t="str">
        <f t="shared" si="509"/>
        <v/>
      </c>
    </row>
    <row r="29409" spans="8:8" x14ac:dyDescent="0.3">
      <c r="H29409" t="str">
        <f t="shared" si="509"/>
        <v/>
      </c>
    </row>
    <row r="29410" spans="8:8" x14ac:dyDescent="0.3">
      <c r="H29410" t="str">
        <f t="shared" si="509"/>
        <v/>
      </c>
    </row>
    <row r="29411" spans="8:8" x14ac:dyDescent="0.3">
      <c r="H29411" t="str">
        <f t="shared" si="509"/>
        <v/>
      </c>
    </row>
    <row r="29412" spans="8:8" x14ac:dyDescent="0.3">
      <c r="H29412" t="str">
        <f t="shared" si="509"/>
        <v/>
      </c>
    </row>
    <row r="29413" spans="8:8" x14ac:dyDescent="0.3">
      <c r="H29413" t="str">
        <f t="shared" si="509"/>
        <v/>
      </c>
    </row>
    <row r="29414" spans="8:8" x14ac:dyDescent="0.3">
      <c r="H29414" t="str">
        <f t="shared" si="509"/>
        <v/>
      </c>
    </row>
    <row r="29415" spans="8:8" x14ac:dyDescent="0.3">
      <c r="H29415" t="str">
        <f t="shared" si="509"/>
        <v/>
      </c>
    </row>
    <row r="29416" spans="8:8" x14ac:dyDescent="0.3">
      <c r="H29416" t="str">
        <f t="shared" si="509"/>
        <v/>
      </c>
    </row>
    <row r="29417" spans="8:8" x14ac:dyDescent="0.3">
      <c r="H29417" t="str">
        <f t="shared" si="509"/>
        <v/>
      </c>
    </row>
    <row r="29418" spans="8:8" x14ac:dyDescent="0.3">
      <c r="H29418" t="str">
        <f t="shared" si="509"/>
        <v/>
      </c>
    </row>
    <row r="29419" spans="8:8" x14ac:dyDescent="0.3">
      <c r="H29419" t="str">
        <f t="shared" si="509"/>
        <v/>
      </c>
    </row>
    <row r="29420" spans="8:8" x14ac:dyDescent="0.3">
      <c r="H29420" t="str">
        <f t="shared" si="509"/>
        <v/>
      </c>
    </row>
    <row r="29421" spans="8:8" x14ac:dyDescent="0.3">
      <c r="H29421" t="str">
        <f t="shared" si="509"/>
        <v/>
      </c>
    </row>
    <row r="29422" spans="8:8" x14ac:dyDescent="0.3">
      <c r="H29422" t="str">
        <f t="shared" si="509"/>
        <v/>
      </c>
    </row>
    <row r="29423" spans="8:8" x14ac:dyDescent="0.3">
      <c r="H29423" t="str">
        <f t="shared" si="509"/>
        <v/>
      </c>
    </row>
    <row r="29424" spans="8:8" x14ac:dyDescent="0.3">
      <c r="H29424" t="str">
        <f t="shared" si="509"/>
        <v/>
      </c>
    </row>
    <row r="29425" spans="8:8" x14ac:dyDescent="0.3">
      <c r="H29425" t="str">
        <f t="shared" si="509"/>
        <v/>
      </c>
    </row>
    <row r="29426" spans="8:8" x14ac:dyDescent="0.3">
      <c r="H29426" t="str">
        <f t="shared" si="509"/>
        <v/>
      </c>
    </row>
    <row r="29427" spans="8:8" x14ac:dyDescent="0.3">
      <c r="H29427" t="str">
        <f t="shared" si="509"/>
        <v/>
      </c>
    </row>
    <row r="29428" spans="8:8" x14ac:dyDescent="0.3">
      <c r="H29428" t="str">
        <f t="shared" si="509"/>
        <v/>
      </c>
    </row>
    <row r="29429" spans="8:8" x14ac:dyDescent="0.3">
      <c r="H29429" t="str">
        <f t="shared" si="509"/>
        <v/>
      </c>
    </row>
    <row r="29430" spans="8:8" x14ac:dyDescent="0.3">
      <c r="H29430" t="str">
        <f t="shared" si="509"/>
        <v/>
      </c>
    </row>
    <row r="29431" spans="8:8" x14ac:dyDescent="0.3">
      <c r="H29431" t="str">
        <f t="shared" si="509"/>
        <v/>
      </c>
    </row>
    <row r="29432" spans="8:8" x14ac:dyDescent="0.3">
      <c r="H29432" t="str">
        <f t="shared" si="509"/>
        <v/>
      </c>
    </row>
    <row r="29433" spans="8:8" x14ac:dyDescent="0.3">
      <c r="H29433" t="str">
        <f t="shared" si="509"/>
        <v/>
      </c>
    </row>
    <row r="29434" spans="8:8" x14ac:dyDescent="0.3">
      <c r="H29434" t="str">
        <f t="shared" si="509"/>
        <v/>
      </c>
    </row>
    <row r="29435" spans="8:8" x14ac:dyDescent="0.3">
      <c r="H29435" t="str">
        <f t="shared" si="509"/>
        <v/>
      </c>
    </row>
    <row r="29436" spans="8:8" x14ac:dyDescent="0.3">
      <c r="H29436" t="str">
        <f t="shared" si="509"/>
        <v/>
      </c>
    </row>
    <row r="29437" spans="8:8" x14ac:dyDescent="0.3">
      <c r="H29437" t="str">
        <f t="shared" si="509"/>
        <v/>
      </c>
    </row>
    <row r="29438" spans="8:8" x14ac:dyDescent="0.3">
      <c r="H29438" t="str">
        <f t="shared" si="509"/>
        <v/>
      </c>
    </row>
    <row r="29439" spans="8:8" x14ac:dyDescent="0.3">
      <c r="H29439" t="str">
        <f t="shared" si="509"/>
        <v/>
      </c>
    </row>
    <row r="29440" spans="8:8" x14ac:dyDescent="0.3">
      <c r="H29440" t="str">
        <f t="shared" si="509"/>
        <v/>
      </c>
    </row>
    <row r="29441" spans="8:8" x14ac:dyDescent="0.3">
      <c r="H29441" t="str">
        <f t="shared" si="509"/>
        <v/>
      </c>
    </row>
    <row r="29442" spans="8:8" x14ac:dyDescent="0.3">
      <c r="H29442" t="str">
        <f t="shared" si="509"/>
        <v/>
      </c>
    </row>
    <row r="29443" spans="8:8" x14ac:dyDescent="0.3">
      <c r="H29443" t="str">
        <f t="shared" si="509"/>
        <v/>
      </c>
    </row>
    <row r="29444" spans="8:8" x14ac:dyDescent="0.3">
      <c r="H29444" t="str">
        <f t="shared" si="509"/>
        <v/>
      </c>
    </row>
    <row r="29445" spans="8:8" x14ac:dyDescent="0.3">
      <c r="H29445" t="str">
        <f t="shared" si="509"/>
        <v/>
      </c>
    </row>
    <row r="29446" spans="8:8" x14ac:dyDescent="0.3">
      <c r="H29446" t="str">
        <f t="shared" si="509"/>
        <v/>
      </c>
    </row>
    <row r="29447" spans="8:8" x14ac:dyDescent="0.3">
      <c r="H29447" t="str">
        <f t="shared" si="509"/>
        <v/>
      </c>
    </row>
    <row r="29448" spans="8:8" x14ac:dyDescent="0.3">
      <c r="H29448" t="str">
        <f t="shared" si="509"/>
        <v/>
      </c>
    </row>
    <row r="29449" spans="8:8" x14ac:dyDescent="0.3">
      <c r="H29449" t="str">
        <f t="shared" si="509"/>
        <v/>
      </c>
    </row>
    <row r="29450" spans="8:8" x14ac:dyDescent="0.3">
      <c r="H29450" t="str">
        <f t="shared" si="509"/>
        <v/>
      </c>
    </row>
    <row r="29451" spans="8:8" x14ac:dyDescent="0.3">
      <c r="H29451" t="str">
        <f t="shared" si="509"/>
        <v/>
      </c>
    </row>
    <row r="29452" spans="8:8" x14ac:dyDescent="0.3">
      <c r="H29452" t="str">
        <f t="shared" si="509"/>
        <v/>
      </c>
    </row>
    <row r="29453" spans="8:8" x14ac:dyDescent="0.3">
      <c r="H29453" t="str">
        <f t="shared" si="509"/>
        <v/>
      </c>
    </row>
    <row r="29454" spans="8:8" x14ac:dyDescent="0.3">
      <c r="H29454" t="str">
        <f t="shared" si="509"/>
        <v/>
      </c>
    </row>
    <row r="29455" spans="8:8" x14ac:dyDescent="0.3">
      <c r="H29455" t="str">
        <f t="shared" si="509"/>
        <v/>
      </c>
    </row>
    <row r="29456" spans="8:8" x14ac:dyDescent="0.3">
      <c r="H29456" t="str">
        <f t="shared" si="509"/>
        <v/>
      </c>
    </row>
    <row r="29457" spans="8:8" x14ac:dyDescent="0.3">
      <c r="H29457" t="str">
        <f t="shared" si="509"/>
        <v/>
      </c>
    </row>
    <row r="29458" spans="8:8" x14ac:dyDescent="0.3">
      <c r="H29458" t="str">
        <f t="shared" si="509"/>
        <v/>
      </c>
    </row>
    <row r="29459" spans="8:8" x14ac:dyDescent="0.3">
      <c r="H29459" t="str">
        <f t="shared" si="509"/>
        <v/>
      </c>
    </row>
    <row r="29460" spans="8:8" x14ac:dyDescent="0.3">
      <c r="H29460" t="str">
        <f t="shared" si="509"/>
        <v/>
      </c>
    </row>
    <row r="29461" spans="8:8" x14ac:dyDescent="0.3">
      <c r="H29461" t="str">
        <f t="shared" si="509"/>
        <v/>
      </c>
    </row>
    <row r="29462" spans="8:8" x14ac:dyDescent="0.3">
      <c r="H29462" t="str">
        <f t="shared" si="509"/>
        <v/>
      </c>
    </row>
    <row r="29463" spans="8:8" x14ac:dyDescent="0.3">
      <c r="H29463" t="str">
        <f t="shared" ref="H29463:H29526" si="510">IF(B29463="","",$C$12)</f>
        <v/>
      </c>
    </row>
    <row r="29464" spans="8:8" x14ac:dyDescent="0.3">
      <c r="H29464" t="str">
        <f t="shared" si="510"/>
        <v/>
      </c>
    </row>
    <row r="29465" spans="8:8" x14ac:dyDescent="0.3">
      <c r="H29465" t="str">
        <f t="shared" si="510"/>
        <v/>
      </c>
    </row>
    <row r="29466" spans="8:8" x14ac:dyDescent="0.3">
      <c r="H29466" t="str">
        <f t="shared" si="510"/>
        <v/>
      </c>
    </row>
    <row r="29467" spans="8:8" x14ac:dyDescent="0.3">
      <c r="H29467" t="str">
        <f t="shared" si="510"/>
        <v/>
      </c>
    </row>
    <row r="29468" spans="8:8" x14ac:dyDescent="0.3">
      <c r="H29468" t="str">
        <f t="shared" si="510"/>
        <v/>
      </c>
    </row>
    <row r="29469" spans="8:8" x14ac:dyDescent="0.3">
      <c r="H29469" t="str">
        <f t="shared" si="510"/>
        <v/>
      </c>
    </row>
    <row r="29470" spans="8:8" x14ac:dyDescent="0.3">
      <c r="H29470" t="str">
        <f t="shared" si="510"/>
        <v/>
      </c>
    </row>
    <row r="29471" spans="8:8" x14ac:dyDescent="0.3">
      <c r="H29471" t="str">
        <f t="shared" si="510"/>
        <v/>
      </c>
    </row>
    <row r="29472" spans="8:8" x14ac:dyDescent="0.3">
      <c r="H29472" t="str">
        <f t="shared" si="510"/>
        <v/>
      </c>
    </row>
    <row r="29473" spans="8:8" x14ac:dyDescent="0.3">
      <c r="H29473" t="str">
        <f t="shared" si="510"/>
        <v/>
      </c>
    </row>
    <row r="29474" spans="8:8" x14ac:dyDescent="0.3">
      <c r="H29474" t="str">
        <f t="shared" si="510"/>
        <v/>
      </c>
    </row>
    <row r="29475" spans="8:8" x14ac:dyDescent="0.3">
      <c r="H29475" t="str">
        <f t="shared" si="510"/>
        <v/>
      </c>
    </row>
    <row r="29476" spans="8:8" x14ac:dyDescent="0.3">
      <c r="H29476" t="str">
        <f t="shared" si="510"/>
        <v/>
      </c>
    </row>
    <row r="29477" spans="8:8" x14ac:dyDescent="0.3">
      <c r="H29477" t="str">
        <f t="shared" si="510"/>
        <v/>
      </c>
    </row>
    <row r="29478" spans="8:8" x14ac:dyDescent="0.3">
      <c r="H29478" t="str">
        <f t="shared" si="510"/>
        <v/>
      </c>
    </row>
    <row r="29479" spans="8:8" x14ac:dyDescent="0.3">
      <c r="H29479" t="str">
        <f t="shared" si="510"/>
        <v/>
      </c>
    </row>
    <row r="29480" spans="8:8" x14ac:dyDescent="0.3">
      <c r="H29480" t="str">
        <f t="shared" si="510"/>
        <v/>
      </c>
    </row>
    <row r="29481" spans="8:8" x14ac:dyDescent="0.3">
      <c r="H29481" t="str">
        <f t="shared" si="510"/>
        <v/>
      </c>
    </row>
    <row r="29482" spans="8:8" x14ac:dyDescent="0.3">
      <c r="H29482" t="str">
        <f t="shared" si="510"/>
        <v/>
      </c>
    </row>
    <row r="29483" spans="8:8" x14ac:dyDescent="0.3">
      <c r="H29483" t="str">
        <f t="shared" si="510"/>
        <v/>
      </c>
    </row>
    <row r="29484" spans="8:8" x14ac:dyDescent="0.3">
      <c r="H29484" t="str">
        <f t="shared" si="510"/>
        <v/>
      </c>
    </row>
    <row r="29485" spans="8:8" x14ac:dyDescent="0.3">
      <c r="H29485" t="str">
        <f t="shared" si="510"/>
        <v/>
      </c>
    </row>
    <row r="29486" spans="8:8" x14ac:dyDescent="0.3">
      <c r="H29486" t="str">
        <f t="shared" si="510"/>
        <v/>
      </c>
    </row>
    <row r="29487" spans="8:8" x14ac:dyDescent="0.3">
      <c r="H29487" t="str">
        <f t="shared" si="510"/>
        <v/>
      </c>
    </row>
    <row r="29488" spans="8:8" x14ac:dyDescent="0.3">
      <c r="H29488" t="str">
        <f t="shared" si="510"/>
        <v/>
      </c>
    </row>
    <row r="29489" spans="8:8" x14ac:dyDescent="0.3">
      <c r="H29489" t="str">
        <f t="shared" si="510"/>
        <v/>
      </c>
    </row>
    <row r="29490" spans="8:8" x14ac:dyDescent="0.3">
      <c r="H29490" t="str">
        <f t="shared" si="510"/>
        <v/>
      </c>
    </row>
    <row r="29491" spans="8:8" x14ac:dyDescent="0.3">
      <c r="H29491" t="str">
        <f t="shared" si="510"/>
        <v/>
      </c>
    </row>
    <row r="29492" spans="8:8" x14ac:dyDescent="0.3">
      <c r="H29492" t="str">
        <f t="shared" si="510"/>
        <v/>
      </c>
    </row>
    <row r="29493" spans="8:8" x14ac:dyDescent="0.3">
      <c r="H29493" t="str">
        <f t="shared" si="510"/>
        <v/>
      </c>
    </row>
    <row r="29494" spans="8:8" x14ac:dyDescent="0.3">
      <c r="H29494" t="str">
        <f t="shared" si="510"/>
        <v/>
      </c>
    </row>
    <row r="29495" spans="8:8" x14ac:dyDescent="0.3">
      <c r="H29495" t="str">
        <f t="shared" si="510"/>
        <v/>
      </c>
    </row>
    <row r="29496" spans="8:8" x14ac:dyDescent="0.3">
      <c r="H29496" t="str">
        <f t="shared" si="510"/>
        <v/>
      </c>
    </row>
    <row r="29497" spans="8:8" x14ac:dyDescent="0.3">
      <c r="H29497" t="str">
        <f t="shared" si="510"/>
        <v/>
      </c>
    </row>
    <row r="29498" spans="8:8" x14ac:dyDescent="0.3">
      <c r="H29498" t="str">
        <f t="shared" si="510"/>
        <v/>
      </c>
    </row>
    <row r="29499" spans="8:8" x14ac:dyDescent="0.3">
      <c r="H29499" t="str">
        <f t="shared" si="510"/>
        <v/>
      </c>
    </row>
    <row r="29500" spans="8:8" x14ac:dyDescent="0.3">
      <c r="H29500" t="str">
        <f t="shared" si="510"/>
        <v/>
      </c>
    </row>
    <row r="29501" spans="8:8" x14ac:dyDescent="0.3">
      <c r="H29501" t="str">
        <f t="shared" si="510"/>
        <v/>
      </c>
    </row>
    <row r="29502" spans="8:8" x14ac:dyDescent="0.3">
      <c r="H29502" t="str">
        <f t="shared" si="510"/>
        <v/>
      </c>
    </row>
    <row r="29503" spans="8:8" x14ac:dyDescent="0.3">
      <c r="H29503" t="str">
        <f t="shared" si="510"/>
        <v/>
      </c>
    </row>
    <row r="29504" spans="8:8" x14ac:dyDescent="0.3">
      <c r="H29504" t="str">
        <f t="shared" si="510"/>
        <v/>
      </c>
    </row>
    <row r="29505" spans="8:8" x14ac:dyDescent="0.3">
      <c r="H29505" t="str">
        <f t="shared" si="510"/>
        <v/>
      </c>
    </row>
    <row r="29506" spans="8:8" x14ac:dyDescent="0.3">
      <c r="H29506" t="str">
        <f t="shared" si="510"/>
        <v/>
      </c>
    </row>
    <row r="29507" spans="8:8" x14ac:dyDescent="0.3">
      <c r="H29507" t="str">
        <f t="shared" si="510"/>
        <v/>
      </c>
    </row>
    <row r="29508" spans="8:8" x14ac:dyDescent="0.3">
      <c r="H29508" t="str">
        <f t="shared" si="510"/>
        <v/>
      </c>
    </row>
    <row r="29509" spans="8:8" x14ac:dyDescent="0.3">
      <c r="H29509" t="str">
        <f t="shared" si="510"/>
        <v/>
      </c>
    </row>
    <row r="29510" spans="8:8" x14ac:dyDescent="0.3">
      <c r="H29510" t="str">
        <f t="shared" si="510"/>
        <v/>
      </c>
    </row>
    <row r="29511" spans="8:8" x14ac:dyDescent="0.3">
      <c r="H29511" t="str">
        <f t="shared" si="510"/>
        <v/>
      </c>
    </row>
    <row r="29512" spans="8:8" x14ac:dyDescent="0.3">
      <c r="H29512" t="str">
        <f t="shared" si="510"/>
        <v/>
      </c>
    </row>
    <row r="29513" spans="8:8" x14ac:dyDescent="0.3">
      <c r="H29513" t="str">
        <f t="shared" si="510"/>
        <v/>
      </c>
    </row>
    <row r="29514" spans="8:8" x14ac:dyDescent="0.3">
      <c r="H29514" t="str">
        <f t="shared" si="510"/>
        <v/>
      </c>
    </row>
    <row r="29515" spans="8:8" x14ac:dyDescent="0.3">
      <c r="H29515" t="str">
        <f t="shared" si="510"/>
        <v/>
      </c>
    </row>
    <row r="29516" spans="8:8" x14ac:dyDescent="0.3">
      <c r="H29516" t="str">
        <f t="shared" si="510"/>
        <v/>
      </c>
    </row>
    <row r="29517" spans="8:8" x14ac:dyDescent="0.3">
      <c r="H29517" t="str">
        <f t="shared" si="510"/>
        <v/>
      </c>
    </row>
    <row r="29518" spans="8:8" x14ac:dyDescent="0.3">
      <c r="H29518" t="str">
        <f t="shared" si="510"/>
        <v/>
      </c>
    </row>
    <row r="29519" spans="8:8" x14ac:dyDescent="0.3">
      <c r="H29519" t="str">
        <f t="shared" si="510"/>
        <v/>
      </c>
    </row>
    <row r="29520" spans="8:8" x14ac:dyDescent="0.3">
      <c r="H29520" t="str">
        <f t="shared" si="510"/>
        <v/>
      </c>
    </row>
    <row r="29521" spans="8:8" x14ac:dyDescent="0.3">
      <c r="H29521" t="str">
        <f t="shared" si="510"/>
        <v/>
      </c>
    </row>
    <row r="29522" spans="8:8" x14ac:dyDescent="0.3">
      <c r="H29522" t="str">
        <f t="shared" si="510"/>
        <v/>
      </c>
    </row>
    <row r="29523" spans="8:8" x14ac:dyDescent="0.3">
      <c r="H29523" t="str">
        <f t="shared" si="510"/>
        <v/>
      </c>
    </row>
    <row r="29524" spans="8:8" x14ac:dyDescent="0.3">
      <c r="H29524" t="str">
        <f t="shared" si="510"/>
        <v/>
      </c>
    </row>
    <row r="29525" spans="8:8" x14ac:dyDescent="0.3">
      <c r="H29525" t="str">
        <f t="shared" si="510"/>
        <v/>
      </c>
    </row>
    <row r="29526" spans="8:8" x14ac:dyDescent="0.3">
      <c r="H29526" t="str">
        <f t="shared" si="510"/>
        <v/>
      </c>
    </row>
    <row r="29527" spans="8:8" x14ac:dyDescent="0.3">
      <c r="H29527" t="str">
        <f t="shared" ref="H29527:H29590" si="511">IF(B29527="","",$C$12)</f>
        <v/>
      </c>
    </row>
    <row r="29528" spans="8:8" x14ac:dyDescent="0.3">
      <c r="H29528" t="str">
        <f t="shared" si="511"/>
        <v/>
      </c>
    </row>
    <row r="29529" spans="8:8" x14ac:dyDescent="0.3">
      <c r="H29529" t="str">
        <f t="shared" si="511"/>
        <v/>
      </c>
    </row>
    <row r="29530" spans="8:8" x14ac:dyDescent="0.3">
      <c r="H29530" t="str">
        <f t="shared" si="511"/>
        <v/>
      </c>
    </row>
    <row r="29531" spans="8:8" x14ac:dyDescent="0.3">
      <c r="H29531" t="str">
        <f t="shared" si="511"/>
        <v/>
      </c>
    </row>
    <row r="29532" spans="8:8" x14ac:dyDescent="0.3">
      <c r="H29532" t="str">
        <f t="shared" si="511"/>
        <v/>
      </c>
    </row>
    <row r="29533" spans="8:8" x14ac:dyDescent="0.3">
      <c r="H29533" t="str">
        <f t="shared" si="511"/>
        <v/>
      </c>
    </row>
    <row r="29534" spans="8:8" x14ac:dyDescent="0.3">
      <c r="H29534" t="str">
        <f t="shared" si="511"/>
        <v/>
      </c>
    </row>
    <row r="29535" spans="8:8" x14ac:dyDescent="0.3">
      <c r="H29535" t="str">
        <f t="shared" si="511"/>
        <v/>
      </c>
    </row>
    <row r="29536" spans="8:8" x14ac:dyDescent="0.3">
      <c r="H29536" t="str">
        <f t="shared" si="511"/>
        <v/>
      </c>
    </row>
    <row r="29537" spans="8:8" x14ac:dyDescent="0.3">
      <c r="H29537" t="str">
        <f t="shared" si="511"/>
        <v/>
      </c>
    </row>
    <row r="29538" spans="8:8" x14ac:dyDescent="0.3">
      <c r="H29538" t="str">
        <f t="shared" si="511"/>
        <v/>
      </c>
    </row>
    <row r="29539" spans="8:8" x14ac:dyDescent="0.3">
      <c r="H29539" t="str">
        <f t="shared" si="511"/>
        <v/>
      </c>
    </row>
    <row r="29540" spans="8:8" x14ac:dyDescent="0.3">
      <c r="H29540" t="str">
        <f t="shared" si="511"/>
        <v/>
      </c>
    </row>
    <row r="29541" spans="8:8" x14ac:dyDescent="0.3">
      <c r="H29541" t="str">
        <f t="shared" si="511"/>
        <v/>
      </c>
    </row>
    <row r="29542" spans="8:8" x14ac:dyDescent="0.3">
      <c r="H29542" t="str">
        <f t="shared" si="511"/>
        <v/>
      </c>
    </row>
    <row r="29543" spans="8:8" x14ac:dyDescent="0.3">
      <c r="H29543" t="str">
        <f t="shared" si="511"/>
        <v/>
      </c>
    </row>
    <row r="29544" spans="8:8" x14ac:dyDescent="0.3">
      <c r="H29544" t="str">
        <f t="shared" si="511"/>
        <v/>
      </c>
    </row>
    <row r="29545" spans="8:8" x14ac:dyDescent="0.3">
      <c r="H29545" t="str">
        <f t="shared" si="511"/>
        <v/>
      </c>
    </row>
    <row r="29546" spans="8:8" x14ac:dyDescent="0.3">
      <c r="H29546" t="str">
        <f t="shared" si="511"/>
        <v/>
      </c>
    </row>
    <row r="29547" spans="8:8" x14ac:dyDescent="0.3">
      <c r="H29547" t="str">
        <f t="shared" si="511"/>
        <v/>
      </c>
    </row>
    <row r="29548" spans="8:8" x14ac:dyDescent="0.3">
      <c r="H29548" t="str">
        <f t="shared" si="511"/>
        <v/>
      </c>
    </row>
    <row r="29549" spans="8:8" x14ac:dyDescent="0.3">
      <c r="H29549" t="str">
        <f t="shared" si="511"/>
        <v/>
      </c>
    </row>
    <row r="29550" spans="8:8" x14ac:dyDescent="0.3">
      <c r="H29550" t="str">
        <f t="shared" si="511"/>
        <v/>
      </c>
    </row>
    <row r="29551" spans="8:8" x14ac:dyDescent="0.3">
      <c r="H29551" t="str">
        <f t="shared" si="511"/>
        <v/>
      </c>
    </row>
    <row r="29552" spans="8:8" x14ac:dyDescent="0.3">
      <c r="H29552" t="str">
        <f t="shared" si="511"/>
        <v/>
      </c>
    </row>
    <row r="29553" spans="8:8" x14ac:dyDescent="0.3">
      <c r="H29553" t="str">
        <f t="shared" si="511"/>
        <v/>
      </c>
    </row>
    <row r="29554" spans="8:8" x14ac:dyDescent="0.3">
      <c r="H29554" t="str">
        <f t="shared" si="511"/>
        <v/>
      </c>
    </row>
    <row r="29555" spans="8:8" x14ac:dyDescent="0.3">
      <c r="H29555" t="str">
        <f t="shared" si="511"/>
        <v/>
      </c>
    </row>
    <row r="29556" spans="8:8" x14ac:dyDescent="0.3">
      <c r="H29556" t="str">
        <f t="shared" si="511"/>
        <v/>
      </c>
    </row>
    <row r="29557" spans="8:8" x14ac:dyDescent="0.3">
      <c r="H29557" t="str">
        <f t="shared" si="511"/>
        <v/>
      </c>
    </row>
    <row r="29558" spans="8:8" x14ac:dyDescent="0.3">
      <c r="H29558" t="str">
        <f t="shared" si="511"/>
        <v/>
      </c>
    </row>
    <row r="29559" spans="8:8" x14ac:dyDescent="0.3">
      <c r="H29559" t="str">
        <f t="shared" si="511"/>
        <v/>
      </c>
    </row>
    <row r="29560" spans="8:8" x14ac:dyDescent="0.3">
      <c r="H29560" t="str">
        <f t="shared" si="511"/>
        <v/>
      </c>
    </row>
    <row r="29561" spans="8:8" x14ac:dyDescent="0.3">
      <c r="H29561" t="str">
        <f t="shared" si="511"/>
        <v/>
      </c>
    </row>
    <row r="29562" spans="8:8" x14ac:dyDescent="0.3">
      <c r="H29562" t="str">
        <f t="shared" si="511"/>
        <v/>
      </c>
    </row>
    <row r="29563" spans="8:8" x14ac:dyDescent="0.3">
      <c r="H29563" t="str">
        <f t="shared" si="511"/>
        <v/>
      </c>
    </row>
    <row r="29564" spans="8:8" x14ac:dyDescent="0.3">
      <c r="H29564" t="str">
        <f t="shared" si="511"/>
        <v/>
      </c>
    </row>
    <row r="29565" spans="8:8" x14ac:dyDescent="0.3">
      <c r="H29565" t="str">
        <f t="shared" si="511"/>
        <v/>
      </c>
    </row>
    <row r="29566" spans="8:8" x14ac:dyDescent="0.3">
      <c r="H29566" t="str">
        <f t="shared" si="511"/>
        <v/>
      </c>
    </row>
    <row r="29567" spans="8:8" x14ac:dyDescent="0.3">
      <c r="H29567" t="str">
        <f t="shared" si="511"/>
        <v/>
      </c>
    </row>
    <row r="29568" spans="8:8" x14ac:dyDescent="0.3">
      <c r="H29568" t="str">
        <f t="shared" si="511"/>
        <v/>
      </c>
    </row>
    <row r="29569" spans="8:8" x14ac:dyDescent="0.3">
      <c r="H29569" t="str">
        <f t="shared" si="511"/>
        <v/>
      </c>
    </row>
    <row r="29570" spans="8:8" x14ac:dyDescent="0.3">
      <c r="H29570" t="str">
        <f t="shared" si="511"/>
        <v/>
      </c>
    </row>
    <row r="29571" spans="8:8" x14ac:dyDescent="0.3">
      <c r="H29571" t="str">
        <f t="shared" si="511"/>
        <v/>
      </c>
    </row>
    <row r="29572" spans="8:8" x14ac:dyDescent="0.3">
      <c r="H29572" t="str">
        <f t="shared" si="511"/>
        <v/>
      </c>
    </row>
    <row r="29573" spans="8:8" x14ac:dyDescent="0.3">
      <c r="H29573" t="str">
        <f t="shared" si="511"/>
        <v/>
      </c>
    </row>
    <row r="29574" spans="8:8" x14ac:dyDescent="0.3">
      <c r="H29574" t="str">
        <f t="shared" si="511"/>
        <v/>
      </c>
    </row>
    <row r="29575" spans="8:8" x14ac:dyDescent="0.3">
      <c r="H29575" t="str">
        <f t="shared" si="511"/>
        <v/>
      </c>
    </row>
    <row r="29576" spans="8:8" x14ac:dyDescent="0.3">
      <c r="H29576" t="str">
        <f t="shared" si="511"/>
        <v/>
      </c>
    </row>
    <row r="29577" spans="8:8" x14ac:dyDescent="0.3">
      <c r="H29577" t="str">
        <f t="shared" si="511"/>
        <v/>
      </c>
    </row>
    <row r="29578" spans="8:8" x14ac:dyDescent="0.3">
      <c r="H29578" t="str">
        <f t="shared" si="511"/>
        <v/>
      </c>
    </row>
    <row r="29579" spans="8:8" x14ac:dyDescent="0.3">
      <c r="H29579" t="str">
        <f t="shared" si="511"/>
        <v/>
      </c>
    </row>
    <row r="29580" spans="8:8" x14ac:dyDescent="0.3">
      <c r="H29580" t="str">
        <f t="shared" si="511"/>
        <v/>
      </c>
    </row>
    <row r="29581" spans="8:8" x14ac:dyDescent="0.3">
      <c r="H29581" t="str">
        <f t="shared" si="511"/>
        <v/>
      </c>
    </row>
    <row r="29582" spans="8:8" x14ac:dyDescent="0.3">
      <c r="H29582" t="str">
        <f t="shared" si="511"/>
        <v/>
      </c>
    </row>
    <row r="29583" spans="8:8" x14ac:dyDescent="0.3">
      <c r="H29583" t="str">
        <f t="shared" si="511"/>
        <v/>
      </c>
    </row>
    <row r="29584" spans="8:8" x14ac:dyDescent="0.3">
      <c r="H29584" t="str">
        <f t="shared" si="511"/>
        <v/>
      </c>
    </row>
    <row r="29585" spans="8:8" x14ac:dyDescent="0.3">
      <c r="H29585" t="str">
        <f t="shared" si="511"/>
        <v/>
      </c>
    </row>
    <row r="29586" spans="8:8" x14ac:dyDescent="0.3">
      <c r="H29586" t="str">
        <f t="shared" si="511"/>
        <v/>
      </c>
    </row>
    <row r="29587" spans="8:8" x14ac:dyDescent="0.3">
      <c r="H29587" t="str">
        <f t="shared" si="511"/>
        <v/>
      </c>
    </row>
    <row r="29588" spans="8:8" x14ac:dyDescent="0.3">
      <c r="H29588" t="str">
        <f t="shared" si="511"/>
        <v/>
      </c>
    </row>
    <row r="29589" spans="8:8" x14ac:dyDescent="0.3">
      <c r="H29589" t="str">
        <f t="shared" si="511"/>
        <v/>
      </c>
    </row>
    <row r="29590" spans="8:8" x14ac:dyDescent="0.3">
      <c r="H29590" t="str">
        <f t="shared" si="511"/>
        <v/>
      </c>
    </row>
    <row r="29591" spans="8:8" x14ac:dyDescent="0.3">
      <c r="H29591" t="str">
        <f t="shared" ref="H29591:H29654" si="512">IF(B29591="","",$C$12)</f>
        <v/>
      </c>
    </row>
    <row r="29592" spans="8:8" x14ac:dyDescent="0.3">
      <c r="H29592" t="str">
        <f t="shared" si="512"/>
        <v/>
      </c>
    </row>
    <row r="29593" spans="8:8" x14ac:dyDescent="0.3">
      <c r="H29593" t="str">
        <f t="shared" si="512"/>
        <v/>
      </c>
    </row>
    <row r="29594" spans="8:8" x14ac:dyDescent="0.3">
      <c r="H29594" t="str">
        <f t="shared" si="512"/>
        <v/>
      </c>
    </row>
    <row r="29595" spans="8:8" x14ac:dyDescent="0.3">
      <c r="H29595" t="str">
        <f t="shared" si="512"/>
        <v/>
      </c>
    </row>
    <row r="29596" spans="8:8" x14ac:dyDescent="0.3">
      <c r="H29596" t="str">
        <f t="shared" si="512"/>
        <v/>
      </c>
    </row>
    <row r="29597" spans="8:8" x14ac:dyDescent="0.3">
      <c r="H29597" t="str">
        <f t="shared" si="512"/>
        <v/>
      </c>
    </row>
    <row r="29598" spans="8:8" x14ac:dyDescent="0.3">
      <c r="H29598" t="str">
        <f t="shared" si="512"/>
        <v/>
      </c>
    </row>
    <row r="29599" spans="8:8" x14ac:dyDescent="0.3">
      <c r="H29599" t="str">
        <f t="shared" si="512"/>
        <v/>
      </c>
    </row>
    <row r="29600" spans="8:8" x14ac:dyDescent="0.3">
      <c r="H29600" t="str">
        <f t="shared" si="512"/>
        <v/>
      </c>
    </row>
    <row r="29601" spans="8:8" x14ac:dyDescent="0.3">
      <c r="H29601" t="str">
        <f t="shared" si="512"/>
        <v/>
      </c>
    </row>
    <row r="29602" spans="8:8" x14ac:dyDescent="0.3">
      <c r="H29602" t="str">
        <f t="shared" si="512"/>
        <v/>
      </c>
    </row>
    <row r="29603" spans="8:8" x14ac:dyDescent="0.3">
      <c r="H29603" t="str">
        <f t="shared" si="512"/>
        <v/>
      </c>
    </row>
    <row r="29604" spans="8:8" x14ac:dyDescent="0.3">
      <c r="H29604" t="str">
        <f t="shared" si="512"/>
        <v/>
      </c>
    </row>
    <row r="29605" spans="8:8" x14ac:dyDescent="0.3">
      <c r="H29605" t="str">
        <f t="shared" si="512"/>
        <v/>
      </c>
    </row>
    <row r="29606" spans="8:8" x14ac:dyDescent="0.3">
      <c r="H29606" t="str">
        <f t="shared" si="512"/>
        <v/>
      </c>
    </row>
    <row r="29607" spans="8:8" x14ac:dyDescent="0.3">
      <c r="H29607" t="str">
        <f t="shared" si="512"/>
        <v/>
      </c>
    </row>
    <row r="29608" spans="8:8" x14ac:dyDescent="0.3">
      <c r="H29608" t="str">
        <f t="shared" si="512"/>
        <v/>
      </c>
    </row>
    <row r="29609" spans="8:8" x14ac:dyDescent="0.3">
      <c r="H29609" t="str">
        <f t="shared" si="512"/>
        <v/>
      </c>
    </row>
    <row r="29610" spans="8:8" x14ac:dyDescent="0.3">
      <c r="H29610" t="str">
        <f t="shared" si="512"/>
        <v/>
      </c>
    </row>
    <row r="29611" spans="8:8" x14ac:dyDescent="0.3">
      <c r="H29611" t="str">
        <f t="shared" si="512"/>
        <v/>
      </c>
    </row>
    <row r="29612" spans="8:8" x14ac:dyDescent="0.3">
      <c r="H29612" t="str">
        <f t="shared" si="512"/>
        <v/>
      </c>
    </row>
    <row r="29613" spans="8:8" x14ac:dyDescent="0.3">
      <c r="H29613" t="str">
        <f t="shared" si="512"/>
        <v/>
      </c>
    </row>
    <row r="29614" spans="8:8" x14ac:dyDescent="0.3">
      <c r="H29614" t="str">
        <f t="shared" si="512"/>
        <v/>
      </c>
    </row>
    <row r="29615" spans="8:8" x14ac:dyDescent="0.3">
      <c r="H29615" t="str">
        <f t="shared" si="512"/>
        <v/>
      </c>
    </row>
    <row r="29616" spans="8:8" x14ac:dyDescent="0.3">
      <c r="H29616" t="str">
        <f t="shared" si="512"/>
        <v/>
      </c>
    </row>
    <row r="29617" spans="8:8" x14ac:dyDescent="0.3">
      <c r="H29617" t="str">
        <f t="shared" si="512"/>
        <v/>
      </c>
    </row>
    <row r="29618" spans="8:8" x14ac:dyDescent="0.3">
      <c r="H29618" t="str">
        <f t="shared" si="512"/>
        <v/>
      </c>
    </row>
    <row r="29619" spans="8:8" x14ac:dyDescent="0.3">
      <c r="H29619" t="str">
        <f t="shared" si="512"/>
        <v/>
      </c>
    </row>
    <row r="29620" spans="8:8" x14ac:dyDescent="0.3">
      <c r="H29620" t="str">
        <f t="shared" si="512"/>
        <v/>
      </c>
    </row>
    <row r="29621" spans="8:8" x14ac:dyDescent="0.3">
      <c r="H29621" t="str">
        <f t="shared" si="512"/>
        <v/>
      </c>
    </row>
    <row r="29622" spans="8:8" x14ac:dyDescent="0.3">
      <c r="H29622" t="str">
        <f t="shared" si="512"/>
        <v/>
      </c>
    </row>
    <row r="29623" spans="8:8" x14ac:dyDescent="0.3">
      <c r="H29623" t="str">
        <f t="shared" si="512"/>
        <v/>
      </c>
    </row>
    <row r="29624" spans="8:8" x14ac:dyDescent="0.3">
      <c r="H29624" t="str">
        <f t="shared" si="512"/>
        <v/>
      </c>
    </row>
    <row r="29625" spans="8:8" x14ac:dyDescent="0.3">
      <c r="H29625" t="str">
        <f t="shared" si="512"/>
        <v/>
      </c>
    </row>
    <row r="29626" spans="8:8" x14ac:dyDescent="0.3">
      <c r="H29626" t="str">
        <f t="shared" si="512"/>
        <v/>
      </c>
    </row>
    <row r="29627" spans="8:8" x14ac:dyDescent="0.3">
      <c r="H29627" t="str">
        <f t="shared" si="512"/>
        <v/>
      </c>
    </row>
    <row r="29628" spans="8:8" x14ac:dyDescent="0.3">
      <c r="H29628" t="str">
        <f t="shared" si="512"/>
        <v/>
      </c>
    </row>
    <row r="29629" spans="8:8" x14ac:dyDescent="0.3">
      <c r="H29629" t="str">
        <f t="shared" si="512"/>
        <v/>
      </c>
    </row>
    <row r="29630" spans="8:8" x14ac:dyDescent="0.3">
      <c r="H29630" t="str">
        <f t="shared" si="512"/>
        <v/>
      </c>
    </row>
    <row r="29631" spans="8:8" x14ac:dyDescent="0.3">
      <c r="H29631" t="str">
        <f t="shared" si="512"/>
        <v/>
      </c>
    </row>
    <row r="29632" spans="8:8" x14ac:dyDescent="0.3">
      <c r="H29632" t="str">
        <f t="shared" si="512"/>
        <v/>
      </c>
    </row>
    <row r="29633" spans="8:8" x14ac:dyDescent="0.3">
      <c r="H29633" t="str">
        <f t="shared" si="512"/>
        <v/>
      </c>
    </row>
    <row r="29634" spans="8:8" x14ac:dyDescent="0.3">
      <c r="H29634" t="str">
        <f t="shared" si="512"/>
        <v/>
      </c>
    </row>
    <row r="29635" spans="8:8" x14ac:dyDescent="0.3">
      <c r="H29635" t="str">
        <f t="shared" si="512"/>
        <v/>
      </c>
    </row>
    <row r="29636" spans="8:8" x14ac:dyDescent="0.3">
      <c r="H29636" t="str">
        <f t="shared" si="512"/>
        <v/>
      </c>
    </row>
    <row r="29637" spans="8:8" x14ac:dyDescent="0.3">
      <c r="H29637" t="str">
        <f t="shared" si="512"/>
        <v/>
      </c>
    </row>
    <row r="29638" spans="8:8" x14ac:dyDescent="0.3">
      <c r="H29638" t="str">
        <f t="shared" si="512"/>
        <v/>
      </c>
    </row>
    <row r="29639" spans="8:8" x14ac:dyDescent="0.3">
      <c r="H29639" t="str">
        <f t="shared" si="512"/>
        <v/>
      </c>
    </row>
    <row r="29640" spans="8:8" x14ac:dyDescent="0.3">
      <c r="H29640" t="str">
        <f t="shared" si="512"/>
        <v/>
      </c>
    </row>
    <row r="29641" spans="8:8" x14ac:dyDescent="0.3">
      <c r="H29641" t="str">
        <f t="shared" si="512"/>
        <v/>
      </c>
    </row>
    <row r="29642" spans="8:8" x14ac:dyDescent="0.3">
      <c r="H29642" t="str">
        <f t="shared" si="512"/>
        <v/>
      </c>
    </row>
    <row r="29643" spans="8:8" x14ac:dyDescent="0.3">
      <c r="H29643" t="str">
        <f t="shared" si="512"/>
        <v/>
      </c>
    </row>
    <row r="29644" spans="8:8" x14ac:dyDescent="0.3">
      <c r="H29644" t="str">
        <f t="shared" si="512"/>
        <v/>
      </c>
    </row>
    <row r="29645" spans="8:8" x14ac:dyDescent="0.3">
      <c r="H29645" t="str">
        <f t="shared" si="512"/>
        <v/>
      </c>
    </row>
    <row r="29646" spans="8:8" x14ac:dyDescent="0.3">
      <c r="H29646" t="str">
        <f t="shared" si="512"/>
        <v/>
      </c>
    </row>
    <row r="29647" spans="8:8" x14ac:dyDescent="0.3">
      <c r="H29647" t="str">
        <f t="shared" si="512"/>
        <v/>
      </c>
    </row>
    <row r="29648" spans="8:8" x14ac:dyDescent="0.3">
      <c r="H29648" t="str">
        <f t="shared" si="512"/>
        <v/>
      </c>
    </row>
    <row r="29649" spans="8:8" x14ac:dyDescent="0.3">
      <c r="H29649" t="str">
        <f t="shared" si="512"/>
        <v/>
      </c>
    </row>
    <row r="29650" spans="8:8" x14ac:dyDescent="0.3">
      <c r="H29650" t="str">
        <f t="shared" si="512"/>
        <v/>
      </c>
    </row>
    <row r="29651" spans="8:8" x14ac:dyDescent="0.3">
      <c r="H29651" t="str">
        <f t="shared" si="512"/>
        <v/>
      </c>
    </row>
    <row r="29652" spans="8:8" x14ac:dyDescent="0.3">
      <c r="H29652" t="str">
        <f t="shared" si="512"/>
        <v/>
      </c>
    </row>
    <row r="29653" spans="8:8" x14ac:dyDescent="0.3">
      <c r="H29653" t="str">
        <f t="shared" si="512"/>
        <v/>
      </c>
    </row>
    <row r="29654" spans="8:8" x14ac:dyDescent="0.3">
      <c r="H29654" t="str">
        <f t="shared" si="512"/>
        <v/>
      </c>
    </row>
    <row r="29655" spans="8:8" x14ac:dyDescent="0.3">
      <c r="H29655" t="str">
        <f t="shared" ref="H29655:H29718" si="513">IF(B29655="","",$C$12)</f>
        <v/>
      </c>
    </row>
    <row r="29656" spans="8:8" x14ac:dyDescent="0.3">
      <c r="H29656" t="str">
        <f t="shared" si="513"/>
        <v/>
      </c>
    </row>
    <row r="29657" spans="8:8" x14ac:dyDescent="0.3">
      <c r="H29657" t="str">
        <f t="shared" si="513"/>
        <v/>
      </c>
    </row>
    <row r="29658" spans="8:8" x14ac:dyDescent="0.3">
      <c r="H29658" t="str">
        <f t="shared" si="513"/>
        <v/>
      </c>
    </row>
    <row r="29659" spans="8:8" x14ac:dyDescent="0.3">
      <c r="H29659" t="str">
        <f t="shared" si="513"/>
        <v/>
      </c>
    </row>
    <row r="29660" spans="8:8" x14ac:dyDescent="0.3">
      <c r="H29660" t="str">
        <f t="shared" si="513"/>
        <v/>
      </c>
    </row>
    <row r="29661" spans="8:8" x14ac:dyDescent="0.3">
      <c r="H29661" t="str">
        <f t="shared" si="513"/>
        <v/>
      </c>
    </row>
    <row r="29662" spans="8:8" x14ac:dyDescent="0.3">
      <c r="H29662" t="str">
        <f t="shared" si="513"/>
        <v/>
      </c>
    </row>
    <row r="29663" spans="8:8" x14ac:dyDescent="0.3">
      <c r="H29663" t="str">
        <f t="shared" si="513"/>
        <v/>
      </c>
    </row>
    <row r="29664" spans="8:8" x14ac:dyDescent="0.3">
      <c r="H29664" t="str">
        <f t="shared" si="513"/>
        <v/>
      </c>
    </row>
    <row r="29665" spans="8:8" x14ac:dyDescent="0.3">
      <c r="H29665" t="str">
        <f t="shared" si="513"/>
        <v/>
      </c>
    </row>
    <row r="29666" spans="8:8" x14ac:dyDescent="0.3">
      <c r="H29666" t="str">
        <f t="shared" si="513"/>
        <v/>
      </c>
    </row>
    <row r="29667" spans="8:8" x14ac:dyDescent="0.3">
      <c r="H29667" t="str">
        <f t="shared" si="513"/>
        <v/>
      </c>
    </row>
    <row r="29668" spans="8:8" x14ac:dyDescent="0.3">
      <c r="H29668" t="str">
        <f t="shared" si="513"/>
        <v/>
      </c>
    </row>
    <row r="29669" spans="8:8" x14ac:dyDescent="0.3">
      <c r="H29669" t="str">
        <f t="shared" si="513"/>
        <v/>
      </c>
    </row>
    <row r="29670" spans="8:8" x14ac:dyDescent="0.3">
      <c r="H29670" t="str">
        <f t="shared" si="513"/>
        <v/>
      </c>
    </row>
    <row r="29671" spans="8:8" x14ac:dyDescent="0.3">
      <c r="H29671" t="str">
        <f t="shared" si="513"/>
        <v/>
      </c>
    </row>
    <row r="29672" spans="8:8" x14ac:dyDescent="0.3">
      <c r="H29672" t="str">
        <f t="shared" si="513"/>
        <v/>
      </c>
    </row>
    <row r="29673" spans="8:8" x14ac:dyDescent="0.3">
      <c r="H29673" t="str">
        <f t="shared" si="513"/>
        <v/>
      </c>
    </row>
    <row r="29674" spans="8:8" x14ac:dyDescent="0.3">
      <c r="H29674" t="str">
        <f t="shared" si="513"/>
        <v/>
      </c>
    </row>
    <row r="29675" spans="8:8" x14ac:dyDescent="0.3">
      <c r="H29675" t="str">
        <f t="shared" si="513"/>
        <v/>
      </c>
    </row>
    <row r="29676" spans="8:8" x14ac:dyDescent="0.3">
      <c r="H29676" t="str">
        <f t="shared" si="513"/>
        <v/>
      </c>
    </row>
    <row r="29677" spans="8:8" x14ac:dyDescent="0.3">
      <c r="H29677" t="str">
        <f t="shared" si="513"/>
        <v/>
      </c>
    </row>
    <row r="29678" spans="8:8" x14ac:dyDescent="0.3">
      <c r="H29678" t="str">
        <f t="shared" si="513"/>
        <v/>
      </c>
    </row>
    <row r="29679" spans="8:8" x14ac:dyDescent="0.3">
      <c r="H29679" t="str">
        <f t="shared" si="513"/>
        <v/>
      </c>
    </row>
    <row r="29680" spans="8:8" x14ac:dyDescent="0.3">
      <c r="H29680" t="str">
        <f t="shared" si="513"/>
        <v/>
      </c>
    </row>
    <row r="29681" spans="8:8" x14ac:dyDescent="0.3">
      <c r="H29681" t="str">
        <f t="shared" si="513"/>
        <v/>
      </c>
    </row>
    <row r="29682" spans="8:8" x14ac:dyDescent="0.3">
      <c r="H29682" t="str">
        <f t="shared" si="513"/>
        <v/>
      </c>
    </row>
    <row r="29683" spans="8:8" x14ac:dyDescent="0.3">
      <c r="H29683" t="str">
        <f t="shared" si="513"/>
        <v/>
      </c>
    </row>
    <row r="29684" spans="8:8" x14ac:dyDescent="0.3">
      <c r="H29684" t="str">
        <f t="shared" si="513"/>
        <v/>
      </c>
    </row>
    <row r="29685" spans="8:8" x14ac:dyDescent="0.3">
      <c r="H29685" t="str">
        <f t="shared" si="513"/>
        <v/>
      </c>
    </row>
    <row r="29686" spans="8:8" x14ac:dyDescent="0.3">
      <c r="H29686" t="str">
        <f t="shared" si="513"/>
        <v/>
      </c>
    </row>
    <row r="29687" spans="8:8" x14ac:dyDescent="0.3">
      <c r="H29687" t="str">
        <f t="shared" si="513"/>
        <v/>
      </c>
    </row>
    <row r="29688" spans="8:8" x14ac:dyDescent="0.3">
      <c r="H29688" t="str">
        <f t="shared" si="513"/>
        <v/>
      </c>
    </row>
    <row r="29689" spans="8:8" x14ac:dyDescent="0.3">
      <c r="H29689" t="str">
        <f t="shared" si="513"/>
        <v/>
      </c>
    </row>
    <row r="29690" spans="8:8" x14ac:dyDescent="0.3">
      <c r="H29690" t="str">
        <f t="shared" si="513"/>
        <v/>
      </c>
    </row>
    <row r="29691" spans="8:8" x14ac:dyDescent="0.3">
      <c r="H29691" t="str">
        <f t="shared" si="513"/>
        <v/>
      </c>
    </row>
    <row r="29692" spans="8:8" x14ac:dyDescent="0.3">
      <c r="H29692" t="str">
        <f t="shared" si="513"/>
        <v/>
      </c>
    </row>
    <row r="29693" spans="8:8" x14ac:dyDescent="0.3">
      <c r="H29693" t="str">
        <f t="shared" si="513"/>
        <v/>
      </c>
    </row>
    <row r="29694" spans="8:8" x14ac:dyDescent="0.3">
      <c r="H29694" t="str">
        <f t="shared" si="513"/>
        <v/>
      </c>
    </row>
    <row r="29695" spans="8:8" x14ac:dyDescent="0.3">
      <c r="H29695" t="str">
        <f t="shared" si="513"/>
        <v/>
      </c>
    </row>
    <row r="29696" spans="8:8" x14ac:dyDescent="0.3">
      <c r="H29696" t="str">
        <f t="shared" si="513"/>
        <v/>
      </c>
    </row>
    <row r="29697" spans="8:8" x14ac:dyDescent="0.3">
      <c r="H29697" t="str">
        <f t="shared" si="513"/>
        <v/>
      </c>
    </row>
    <row r="29698" spans="8:8" x14ac:dyDescent="0.3">
      <c r="H29698" t="str">
        <f t="shared" si="513"/>
        <v/>
      </c>
    </row>
    <row r="29699" spans="8:8" x14ac:dyDescent="0.3">
      <c r="H29699" t="str">
        <f t="shared" si="513"/>
        <v/>
      </c>
    </row>
    <row r="29700" spans="8:8" x14ac:dyDescent="0.3">
      <c r="H29700" t="str">
        <f t="shared" si="513"/>
        <v/>
      </c>
    </row>
    <row r="29701" spans="8:8" x14ac:dyDescent="0.3">
      <c r="H29701" t="str">
        <f t="shared" si="513"/>
        <v/>
      </c>
    </row>
    <row r="29702" spans="8:8" x14ac:dyDescent="0.3">
      <c r="H29702" t="str">
        <f t="shared" si="513"/>
        <v/>
      </c>
    </row>
    <row r="29703" spans="8:8" x14ac:dyDescent="0.3">
      <c r="H29703" t="str">
        <f t="shared" si="513"/>
        <v/>
      </c>
    </row>
    <row r="29704" spans="8:8" x14ac:dyDescent="0.3">
      <c r="H29704" t="str">
        <f t="shared" si="513"/>
        <v/>
      </c>
    </row>
    <row r="29705" spans="8:8" x14ac:dyDescent="0.3">
      <c r="H29705" t="str">
        <f t="shared" si="513"/>
        <v/>
      </c>
    </row>
    <row r="29706" spans="8:8" x14ac:dyDescent="0.3">
      <c r="H29706" t="str">
        <f t="shared" si="513"/>
        <v/>
      </c>
    </row>
    <row r="29707" spans="8:8" x14ac:dyDescent="0.3">
      <c r="H29707" t="str">
        <f t="shared" si="513"/>
        <v/>
      </c>
    </row>
    <row r="29708" spans="8:8" x14ac:dyDescent="0.3">
      <c r="H29708" t="str">
        <f t="shared" si="513"/>
        <v/>
      </c>
    </row>
    <row r="29709" spans="8:8" x14ac:dyDescent="0.3">
      <c r="H29709" t="str">
        <f t="shared" si="513"/>
        <v/>
      </c>
    </row>
    <row r="29710" spans="8:8" x14ac:dyDescent="0.3">
      <c r="H29710" t="str">
        <f t="shared" si="513"/>
        <v/>
      </c>
    </row>
    <row r="29711" spans="8:8" x14ac:dyDescent="0.3">
      <c r="H29711" t="str">
        <f t="shared" si="513"/>
        <v/>
      </c>
    </row>
    <row r="29712" spans="8:8" x14ac:dyDescent="0.3">
      <c r="H29712" t="str">
        <f t="shared" si="513"/>
        <v/>
      </c>
    </row>
    <row r="29713" spans="8:8" x14ac:dyDescent="0.3">
      <c r="H29713" t="str">
        <f t="shared" si="513"/>
        <v/>
      </c>
    </row>
    <row r="29714" spans="8:8" x14ac:dyDescent="0.3">
      <c r="H29714" t="str">
        <f t="shared" si="513"/>
        <v/>
      </c>
    </row>
    <row r="29715" spans="8:8" x14ac:dyDescent="0.3">
      <c r="H29715" t="str">
        <f t="shared" si="513"/>
        <v/>
      </c>
    </row>
    <row r="29716" spans="8:8" x14ac:dyDescent="0.3">
      <c r="H29716" t="str">
        <f t="shared" si="513"/>
        <v/>
      </c>
    </row>
    <row r="29717" spans="8:8" x14ac:dyDescent="0.3">
      <c r="H29717" t="str">
        <f t="shared" si="513"/>
        <v/>
      </c>
    </row>
    <row r="29718" spans="8:8" x14ac:dyDescent="0.3">
      <c r="H29718" t="str">
        <f t="shared" si="513"/>
        <v/>
      </c>
    </row>
    <row r="29719" spans="8:8" x14ac:dyDescent="0.3">
      <c r="H29719" t="str">
        <f t="shared" ref="H29719:H29782" si="514">IF(B29719="","",$C$12)</f>
        <v/>
      </c>
    </row>
    <row r="29720" spans="8:8" x14ac:dyDescent="0.3">
      <c r="H29720" t="str">
        <f t="shared" si="514"/>
        <v/>
      </c>
    </row>
    <row r="29721" spans="8:8" x14ac:dyDescent="0.3">
      <c r="H29721" t="str">
        <f t="shared" si="514"/>
        <v/>
      </c>
    </row>
    <row r="29722" spans="8:8" x14ac:dyDescent="0.3">
      <c r="H29722" t="str">
        <f t="shared" si="514"/>
        <v/>
      </c>
    </row>
    <row r="29723" spans="8:8" x14ac:dyDescent="0.3">
      <c r="H29723" t="str">
        <f t="shared" si="514"/>
        <v/>
      </c>
    </row>
    <row r="29724" spans="8:8" x14ac:dyDescent="0.3">
      <c r="H29724" t="str">
        <f t="shared" si="514"/>
        <v/>
      </c>
    </row>
    <row r="29725" spans="8:8" x14ac:dyDescent="0.3">
      <c r="H29725" t="str">
        <f t="shared" si="514"/>
        <v/>
      </c>
    </row>
    <row r="29726" spans="8:8" x14ac:dyDescent="0.3">
      <c r="H29726" t="str">
        <f t="shared" si="514"/>
        <v/>
      </c>
    </row>
    <row r="29727" spans="8:8" x14ac:dyDescent="0.3">
      <c r="H29727" t="str">
        <f t="shared" si="514"/>
        <v/>
      </c>
    </row>
    <row r="29728" spans="8:8" x14ac:dyDescent="0.3">
      <c r="H29728" t="str">
        <f t="shared" si="514"/>
        <v/>
      </c>
    </row>
    <row r="29729" spans="8:8" x14ac:dyDescent="0.3">
      <c r="H29729" t="str">
        <f t="shared" si="514"/>
        <v/>
      </c>
    </row>
    <row r="29730" spans="8:8" x14ac:dyDescent="0.3">
      <c r="H29730" t="str">
        <f t="shared" si="514"/>
        <v/>
      </c>
    </row>
    <row r="29731" spans="8:8" x14ac:dyDescent="0.3">
      <c r="H29731" t="str">
        <f t="shared" si="514"/>
        <v/>
      </c>
    </row>
    <row r="29732" spans="8:8" x14ac:dyDescent="0.3">
      <c r="H29732" t="str">
        <f t="shared" si="514"/>
        <v/>
      </c>
    </row>
    <row r="29733" spans="8:8" x14ac:dyDescent="0.3">
      <c r="H29733" t="str">
        <f t="shared" si="514"/>
        <v/>
      </c>
    </row>
    <row r="29734" spans="8:8" x14ac:dyDescent="0.3">
      <c r="H29734" t="str">
        <f t="shared" si="514"/>
        <v/>
      </c>
    </row>
    <row r="29735" spans="8:8" x14ac:dyDescent="0.3">
      <c r="H29735" t="str">
        <f t="shared" si="514"/>
        <v/>
      </c>
    </row>
    <row r="29736" spans="8:8" x14ac:dyDescent="0.3">
      <c r="H29736" t="str">
        <f t="shared" si="514"/>
        <v/>
      </c>
    </row>
    <row r="29737" spans="8:8" x14ac:dyDescent="0.3">
      <c r="H29737" t="str">
        <f t="shared" si="514"/>
        <v/>
      </c>
    </row>
    <row r="29738" spans="8:8" x14ac:dyDescent="0.3">
      <c r="H29738" t="str">
        <f t="shared" si="514"/>
        <v/>
      </c>
    </row>
    <row r="29739" spans="8:8" x14ac:dyDescent="0.3">
      <c r="H29739" t="str">
        <f t="shared" si="514"/>
        <v/>
      </c>
    </row>
    <row r="29740" spans="8:8" x14ac:dyDescent="0.3">
      <c r="H29740" t="str">
        <f t="shared" si="514"/>
        <v/>
      </c>
    </row>
    <row r="29741" spans="8:8" x14ac:dyDescent="0.3">
      <c r="H29741" t="str">
        <f t="shared" si="514"/>
        <v/>
      </c>
    </row>
    <row r="29742" spans="8:8" x14ac:dyDescent="0.3">
      <c r="H29742" t="str">
        <f t="shared" si="514"/>
        <v/>
      </c>
    </row>
    <row r="29743" spans="8:8" x14ac:dyDescent="0.3">
      <c r="H29743" t="str">
        <f t="shared" si="514"/>
        <v/>
      </c>
    </row>
    <row r="29744" spans="8:8" x14ac:dyDescent="0.3">
      <c r="H29744" t="str">
        <f t="shared" si="514"/>
        <v/>
      </c>
    </row>
    <row r="29745" spans="8:8" x14ac:dyDescent="0.3">
      <c r="H29745" t="str">
        <f t="shared" si="514"/>
        <v/>
      </c>
    </row>
    <row r="29746" spans="8:8" x14ac:dyDescent="0.3">
      <c r="H29746" t="str">
        <f t="shared" si="514"/>
        <v/>
      </c>
    </row>
    <row r="29747" spans="8:8" x14ac:dyDescent="0.3">
      <c r="H29747" t="str">
        <f t="shared" si="514"/>
        <v/>
      </c>
    </row>
    <row r="29748" spans="8:8" x14ac:dyDescent="0.3">
      <c r="H29748" t="str">
        <f t="shared" si="514"/>
        <v/>
      </c>
    </row>
    <row r="29749" spans="8:8" x14ac:dyDescent="0.3">
      <c r="H29749" t="str">
        <f t="shared" si="514"/>
        <v/>
      </c>
    </row>
    <row r="29750" spans="8:8" x14ac:dyDescent="0.3">
      <c r="H29750" t="str">
        <f t="shared" si="514"/>
        <v/>
      </c>
    </row>
    <row r="29751" spans="8:8" x14ac:dyDescent="0.3">
      <c r="H29751" t="str">
        <f t="shared" si="514"/>
        <v/>
      </c>
    </row>
    <row r="29752" spans="8:8" x14ac:dyDescent="0.3">
      <c r="H29752" t="str">
        <f t="shared" si="514"/>
        <v/>
      </c>
    </row>
    <row r="29753" spans="8:8" x14ac:dyDescent="0.3">
      <c r="H29753" t="str">
        <f t="shared" si="514"/>
        <v/>
      </c>
    </row>
    <row r="29754" spans="8:8" x14ac:dyDescent="0.3">
      <c r="H29754" t="str">
        <f t="shared" si="514"/>
        <v/>
      </c>
    </row>
    <row r="29755" spans="8:8" x14ac:dyDescent="0.3">
      <c r="H29755" t="str">
        <f t="shared" si="514"/>
        <v/>
      </c>
    </row>
    <row r="29756" spans="8:8" x14ac:dyDescent="0.3">
      <c r="H29756" t="str">
        <f t="shared" si="514"/>
        <v/>
      </c>
    </row>
    <row r="29757" spans="8:8" x14ac:dyDescent="0.3">
      <c r="H29757" t="str">
        <f t="shared" si="514"/>
        <v/>
      </c>
    </row>
    <row r="29758" spans="8:8" x14ac:dyDescent="0.3">
      <c r="H29758" t="str">
        <f t="shared" si="514"/>
        <v/>
      </c>
    </row>
    <row r="29759" spans="8:8" x14ac:dyDescent="0.3">
      <c r="H29759" t="str">
        <f t="shared" si="514"/>
        <v/>
      </c>
    </row>
    <row r="29760" spans="8:8" x14ac:dyDescent="0.3">
      <c r="H29760" t="str">
        <f t="shared" si="514"/>
        <v/>
      </c>
    </row>
    <row r="29761" spans="8:8" x14ac:dyDescent="0.3">
      <c r="H29761" t="str">
        <f t="shared" si="514"/>
        <v/>
      </c>
    </row>
    <row r="29762" spans="8:8" x14ac:dyDescent="0.3">
      <c r="H29762" t="str">
        <f t="shared" si="514"/>
        <v/>
      </c>
    </row>
    <row r="29763" spans="8:8" x14ac:dyDescent="0.3">
      <c r="H29763" t="str">
        <f t="shared" si="514"/>
        <v/>
      </c>
    </row>
    <row r="29764" spans="8:8" x14ac:dyDescent="0.3">
      <c r="H29764" t="str">
        <f t="shared" si="514"/>
        <v/>
      </c>
    </row>
    <row r="29765" spans="8:8" x14ac:dyDescent="0.3">
      <c r="H29765" t="str">
        <f t="shared" si="514"/>
        <v/>
      </c>
    </row>
    <row r="29766" spans="8:8" x14ac:dyDescent="0.3">
      <c r="H29766" t="str">
        <f t="shared" si="514"/>
        <v/>
      </c>
    </row>
    <row r="29767" spans="8:8" x14ac:dyDescent="0.3">
      <c r="H29767" t="str">
        <f t="shared" si="514"/>
        <v/>
      </c>
    </row>
    <row r="29768" spans="8:8" x14ac:dyDescent="0.3">
      <c r="H29768" t="str">
        <f t="shared" si="514"/>
        <v/>
      </c>
    </row>
    <row r="29769" spans="8:8" x14ac:dyDescent="0.3">
      <c r="H29769" t="str">
        <f t="shared" si="514"/>
        <v/>
      </c>
    </row>
    <row r="29770" spans="8:8" x14ac:dyDescent="0.3">
      <c r="H29770" t="str">
        <f t="shared" si="514"/>
        <v/>
      </c>
    </row>
    <row r="29771" spans="8:8" x14ac:dyDescent="0.3">
      <c r="H29771" t="str">
        <f t="shared" si="514"/>
        <v/>
      </c>
    </row>
    <row r="29772" spans="8:8" x14ac:dyDescent="0.3">
      <c r="H29772" t="str">
        <f t="shared" si="514"/>
        <v/>
      </c>
    </row>
    <row r="29773" spans="8:8" x14ac:dyDescent="0.3">
      <c r="H29773" t="str">
        <f t="shared" si="514"/>
        <v/>
      </c>
    </row>
    <row r="29774" spans="8:8" x14ac:dyDescent="0.3">
      <c r="H29774" t="str">
        <f t="shared" si="514"/>
        <v/>
      </c>
    </row>
    <row r="29775" spans="8:8" x14ac:dyDescent="0.3">
      <c r="H29775" t="str">
        <f t="shared" si="514"/>
        <v/>
      </c>
    </row>
    <row r="29776" spans="8:8" x14ac:dyDescent="0.3">
      <c r="H29776" t="str">
        <f t="shared" si="514"/>
        <v/>
      </c>
    </row>
    <row r="29777" spans="8:8" x14ac:dyDescent="0.3">
      <c r="H29777" t="str">
        <f t="shared" si="514"/>
        <v/>
      </c>
    </row>
    <row r="29778" spans="8:8" x14ac:dyDescent="0.3">
      <c r="H29778" t="str">
        <f t="shared" si="514"/>
        <v/>
      </c>
    </row>
    <row r="29779" spans="8:8" x14ac:dyDescent="0.3">
      <c r="H29779" t="str">
        <f t="shared" si="514"/>
        <v/>
      </c>
    </row>
    <row r="29780" spans="8:8" x14ac:dyDescent="0.3">
      <c r="H29780" t="str">
        <f t="shared" si="514"/>
        <v/>
      </c>
    </row>
    <row r="29781" spans="8:8" x14ac:dyDescent="0.3">
      <c r="H29781" t="str">
        <f t="shared" si="514"/>
        <v/>
      </c>
    </row>
    <row r="29782" spans="8:8" x14ac:dyDescent="0.3">
      <c r="H29782" t="str">
        <f t="shared" si="514"/>
        <v/>
      </c>
    </row>
    <row r="29783" spans="8:8" x14ac:dyDescent="0.3">
      <c r="H29783" t="str">
        <f t="shared" ref="H29783:H29846" si="515">IF(B29783="","",$C$12)</f>
        <v/>
      </c>
    </row>
    <row r="29784" spans="8:8" x14ac:dyDescent="0.3">
      <c r="H29784" t="str">
        <f t="shared" si="515"/>
        <v/>
      </c>
    </row>
    <row r="29785" spans="8:8" x14ac:dyDescent="0.3">
      <c r="H29785" t="str">
        <f t="shared" si="515"/>
        <v/>
      </c>
    </row>
    <row r="29786" spans="8:8" x14ac:dyDescent="0.3">
      <c r="H29786" t="str">
        <f t="shared" si="515"/>
        <v/>
      </c>
    </row>
    <row r="29787" spans="8:8" x14ac:dyDescent="0.3">
      <c r="H29787" t="str">
        <f t="shared" si="515"/>
        <v/>
      </c>
    </row>
    <row r="29788" spans="8:8" x14ac:dyDescent="0.3">
      <c r="H29788" t="str">
        <f t="shared" si="515"/>
        <v/>
      </c>
    </row>
    <row r="29789" spans="8:8" x14ac:dyDescent="0.3">
      <c r="H29789" t="str">
        <f t="shared" si="515"/>
        <v/>
      </c>
    </row>
    <row r="29790" spans="8:8" x14ac:dyDescent="0.3">
      <c r="H29790" t="str">
        <f t="shared" si="515"/>
        <v/>
      </c>
    </row>
    <row r="29791" spans="8:8" x14ac:dyDescent="0.3">
      <c r="H29791" t="str">
        <f t="shared" si="515"/>
        <v/>
      </c>
    </row>
    <row r="29792" spans="8:8" x14ac:dyDescent="0.3">
      <c r="H29792" t="str">
        <f t="shared" si="515"/>
        <v/>
      </c>
    </row>
    <row r="29793" spans="8:8" x14ac:dyDescent="0.3">
      <c r="H29793" t="str">
        <f t="shared" si="515"/>
        <v/>
      </c>
    </row>
    <row r="29794" spans="8:8" x14ac:dyDescent="0.3">
      <c r="H29794" t="str">
        <f t="shared" si="515"/>
        <v/>
      </c>
    </row>
    <row r="29795" spans="8:8" x14ac:dyDescent="0.3">
      <c r="H29795" t="str">
        <f t="shared" si="515"/>
        <v/>
      </c>
    </row>
    <row r="29796" spans="8:8" x14ac:dyDescent="0.3">
      <c r="H29796" t="str">
        <f t="shared" si="515"/>
        <v/>
      </c>
    </row>
    <row r="29797" spans="8:8" x14ac:dyDescent="0.3">
      <c r="H29797" t="str">
        <f t="shared" si="515"/>
        <v/>
      </c>
    </row>
    <row r="29798" spans="8:8" x14ac:dyDescent="0.3">
      <c r="H29798" t="str">
        <f t="shared" si="515"/>
        <v/>
      </c>
    </row>
    <row r="29799" spans="8:8" x14ac:dyDescent="0.3">
      <c r="H29799" t="str">
        <f t="shared" si="515"/>
        <v/>
      </c>
    </row>
    <row r="29800" spans="8:8" x14ac:dyDescent="0.3">
      <c r="H29800" t="str">
        <f t="shared" si="515"/>
        <v/>
      </c>
    </row>
    <row r="29801" spans="8:8" x14ac:dyDescent="0.3">
      <c r="H29801" t="str">
        <f t="shared" si="515"/>
        <v/>
      </c>
    </row>
    <row r="29802" spans="8:8" x14ac:dyDescent="0.3">
      <c r="H29802" t="str">
        <f t="shared" si="515"/>
        <v/>
      </c>
    </row>
    <row r="29803" spans="8:8" x14ac:dyDescent="0.3">
      <c r="H29803" t="str">
        <f t="shared" si="515"/>
        <v/>
      </c>
    </row>
    <row r="29804" spans="8:8" x14ac:dyDescent="0.3">
      <c r="H29804" t="str">
        <f t="shared" si="515"/>
        <v/>
      </c>
    </row>
    <row r="29805" spans="8:8" x14ac:dyDescent="0.3">
      <c r="H29805" t="str">
        <f t="shared" si="515"/>
        <v/>
      </c>
    </row>
    <row r="29806" spans="8:8" x14ac:dyDescent="0.3">
      <c r="H29806" t="str">
        <f t="shared" si="515"/>
        <v/>
      </c>
    </row>
    <row r="29807" spans="8:8" x14ac:dyDescent="0.3">
      <c r="H29807" t="str">
        <f t="shared" si="515"/>
        <v/>
      </c>
    </row>
    <row r="29808" spans="8:8" x14ac:dyDescent="0.3">
      <c r="H29808" t="str">
        <f t="shared" si="515"/>
        <v/>
      </c>
    </row>
    <row r="29809" spans="8:8" x14ac:dyDescent="0.3">
      <c r="H29809" t="str">
        <f t="shared" si="515"/>
        <v/>
      </c>
    </row>
    <row r="29810" spans="8:8" x14ac:dyDescent="0.3">
      <c r="H29810" t="str">
        <f t="shared" si="515"/>
        <v/>
      </c>
    </row>
    <row r="29811" spans="8:8" x14ac:dyDescent="0.3">
      <c r="H29811" t="str">
        <f t="shared" si="515"/>
        <v/>
      </c>
    </row>
    <row r="29812" spans="8:8" x14ac:dyDescent="0.3">
      <c r="H29812" t="str">
        <f t="shared" si="515"/>
        <v/>
      </c>
    </row>
    <row r="29813" spans="8:8" x14ac:dyDescent="0.3">
      <c r="H29813" t="str">
        <f t="shared" si="515"/>
        <v/>
      </c>
    </row>
    <row r="29814" spans="8:8" x14ac:dyDescent="0.3">
      <c r="H29814" t="str">
        <f t="shared" si="515"/>
        <v/>
      </c>
    </row>
    <row r="29815" spans="8:8" x14ac:dyDescent="0.3">
      <c r="H29815" t="str">
        <f t="shared" si="515"/>
        <v/>
      </c>
    </row>
    <row r="29816" spans="8:8" x14ac:dyDescent="0.3">
      <c r="H29816" t="str">
        <f t="shared" si="515"/>
        <v/>
      </c>
    </row>
    <row r="29817" spans="8:8" x14ac:dyDescent="0.3">
      <c r="H29817" t="str">
        <f t="shared" si="515"/>
        <v/>
      </c>
    </row>
    <row r="29818" spans="8:8" x14ac:dyDescent="0.3">
      <c r="H29818" t="str">
        <f t="shared" si="515"/>
        <v/>
      </c>
    </row>
    <row r="29819" spans="8:8" x14ac:dyDescent="0.3">
      <c r="H29819" t="str">
        <f t="shared" si="515"/>
        <v/>
      </c>
    </row>
    <row r="29820" spans="8:8" x14ac:dyDescent="0.3">
      <c r="H29820" t="str">
        <f t="shared" si="515"/>
        <v/>
      </c>
    </row>
    <row r="29821" spans="8:8" x14ac:dyDescent="0.3">
      <c r="H29821" t="str">
        <f t="shared" si="515"/>
        <v/>
      </c>
    </row>
    <row r="29822" spans="8:8" x14ac:dyDescent="0.3">
      <c r="H29822" t="str">
        <f t="shared" si="515"/>
        <v/>
      </c>
    </row>
    <row r="29823" spans="8:8" x14ac:dyDescent="0.3">
      <c r="H29823" t="str">
        <f t="shared" si="515"/>
        <v/>
      </c>
    </row>
    <row r="29824" spans="8:8" x14ac:dyDescent="0.3">
      <c r="H29824" t="str">
        <f t="shared" si="515"/>
        <v/>
      </c>
    </row>
    <row r="29825" spans="8:8" x14ac:dyDescent="0.3">
      <c r="H29825" t="str">
        <f t="shared" si="515"/>
        <v/>
      </c>
    </row>
    <row r="29826" spans="8:8" x14ac:dyDescent="0.3">
      <c r="H29826" t="str">
        <f t="shared" si="515"/>
        <v/>
      </c>
    </row>
    <row r="29827" spans="8:8" x14ac:dyDescent="0.3">
      <c r="H29827" t="str">
        <f t="shared" si="515"/>
        <v/>
      </c>
    </row>
    <row r="29828" spans="8:8" x14ac:dyDescent="0.3">
      <c r="H29828" t="str">
        <f t="shared" si="515"/>
        <v/>
      </c>
    </row>
    <row r="29829" spans="8:8" x14ac:dyDescent="0.3">
      <c r="H29829" t="str">
        <f t="shared" si="515"/>
        <v/>
      </c>
    </row>
    <row r="29830" spans="8:8" x14ac:dyDescent="0.3">
      <c r="H29830" t="str">
        <f t="shared" si="515"/>
        <v/>
      </c>
    </row>
    <row r="29831" spans="8:8" x14ac:dyDescent="0.3">
      <c r="H29831" t="str">
        <f t="shared" si="515"/>
        <v/>
      </c>
    </row>
    <row r="29832" spans="8:8" x14ac:dyDescent="0.3">
      <c r="H29832" t="str">
        <f t="shared" si="515"/>
        <v/>
      </c>
    </row>
    <row r="29833" spans="8:8" x14ac:dyDescent="0.3">
      <c r="H29833" t="str">
        <f t="shared" si="515"/>
        <v/>
      </c>
    </row>
    <row r="29834" spans="8:8" x14ac:dyDescent="0.3">
      <c r="H29834" t="str">
        <f t="shared" si="515"/>
        <v/>
      </c>
    </row>
    <row r="29835" spans="8:8" x14ac:dyDescent="0.3">
      <c r="H29835" t="str">
        <f t="shared" si="515"/>
        <v/>
      </c>
    </row>
    <row r="29836" spans="8:8" x14ac:dyDescent="0.3">
      <c r="H29836" t="str">
        <f t="shared" si="515"/>
        <v/>
      </c>
    </row>
    <row r="29837" spans="8:8" x14ac:dyDescent="0.3">
      <c r="H29837" t="str">
        <f t="shared" si="515"/>
        <v/>
      </c>
    </row>
    <row r="29838" spans="8:8" x14ac:dyDescent="0.3">
      <c r="H29838" t="str">
        <f t="shared" si="515"/>
        <v/>
      </c>
    </row>
    <row r="29839" spans="8:8" x14ac:dyDescent="0.3">
      <c r="H29839" t="str">
        <f t="shared" si="515"/>
        <v/>
      </c>
    </row>
    <row r="29840" spans="8:8" x14ac:dyDescent="0.3">
      <c r="H29840" t="str">
        <f t="shared" si="515"/>
        <v/>
      </c>
    </row>
    <row r="29841" spans="8:8" x14ac:dyDescent="0.3">
      <c r="H29841" t="str">
        <f t="shared" si="515"/>
        <v/>
      </c>
    </row>
    <row r="29842" spans="8:8" x14ac:dyDescent="0.3">
      <c r="H29842" t="str">
        <f t="shared" si="515"/>
        <v/>
      </c>
    </row>
    <row r="29843" spans="8:8" x14ac:dyDescent="0.3">
      <c r="H29843" t="str">
        <f t="shared" si="515"/>
        <v/>
      </c>
    </row>
    <row r="29844" spans="8:8" x14ac:dyDescent="0.3">
      <c r="H29844" t="str">
        <f t="shared" si="515"/>
        <v/>
      </c>
    </row>
    <row r="29845" spans="8:8" x14ac:dyDescent="0.3">
      <c r="H29845" t="str">
        <f t="shared" si="515"/>
        <v/>
      </c>
    </row>
    <row r="29846" spans="8:8" x14ac:dyDescent="0.3">
      <c r="H29846" t="str">
        <f t="shared" si="515"/>
        <v/>
      </c>
    </row>
    <row r="29847" spans="8:8" x14ac:dyDescent="0.3">
      <c r="H29847" t="str">
        <f t="shared" ref="H29847:H29910" si="516">IF(B29847="","",$C$12)</f>
        <v/>
      </c>
    </row>
    <row r="29848" spans="8:8" x14ac:dyDescent="0.3">
      <c r="H29848" t="str">
        <f t="shared" si="516"/>
        <v/>
      </c>
    </row>
    <row r="29849" spans="8:8" x14ac:dyDescent="0.3">
      <c r="H29849" t="str">
        <f t="shared" si="516"/>
        <v/>
      </c>
    </row>
    <row r="29850" spans="8:8" x14ac:dyDescent="0.3">
      <c r="H29850" t="str">
        <f t="shared" si="516"/>
        <v/>
      </c>
    </row>
    <row r="29851" spans="8:8" x14ac:dyDescent="0.3">
      <c r="H29851" t="str">
        <f t="shared" si="516"/>
        <v/>
      </c>
    </row>
    <row r="29852" spans="8:8" x14ac:dyDescent="0.3">
      <c r="H29852" t="str">
        <f t="shared" si="516"/>
        <v/>
      </c>
    </row>
    <row r="29853" spans="8:8" x14ac:dyDescent="0.3">
      <c r="H29853" t="str">
        <f t="shared" si="516"/>
        <v/>
      </c>
    </row>
    <row r="29854" spans="8:8" x14ac:dyDescent="0.3">
      <c r="H29854" t="str">
        <f t="shared" si="516"/>
        <v/>
      </c>
    </row>
    <row r="29855" spans="8:8" x14ac:dyDescent="0.3">
      <c r="H29855" t="str">
        <f t="shared" si="516"/>
        <v/>
      </c>
    </row>
    <row r="29856" spans="8:8" x14ac:dyDescent="0.3">
      <c r="H29856" t="str">
        <f t="shared" si="516"/>
        <v/>
      </c>
    </row>
    <row r="29857" spans="8:8" x14ac:dyDescent="0.3">
      <c r="H29857" t="str">
        <f t="shared" si="516"/>
        <v/>
      </c>
    </row>
    <row r="29858" spans="8:8" x14ac:dyDescent="0.3">
      <c r="H29858" t="str">
        <f t="shared" si="516"/>
        <v/>
      </c>
    </row>
    <row r="29859" spans="8:8" x14ac:dyDescent="0.3">
      <c r="H29859" t="str">
        <f t="shared" si="516"/>
        <v/>
      </c>
    </row>
    <row r="29860" spans="8:8" x14ac:dyDescent="0.3">
      <c r="H29860" t="str">
        <f t="shared" si="516"/>
        <v/>
      </c>
    </row>
    <row r="29861" spans="8:8" x14ac:dyDescent="0.3">
      <c r="H29861" t="str">
        <f t="shared" si="516"/>
        <v/>
      </c>
    </row>
    <row r="29862" spans="8:8" x14ac:dyDescent="0.3">
      <c r="H29862" t="str">
        <f t="shared" si="516"/>
        <v/>
      </c>
    </row>
    <row r="29863" spans="8:8" x14ac:dyDescent="0.3">
      <c r="H29863" t="str">
        <f t="shared" si="516"/>
        <v/>
      </c>
    </row>
    <row r="29864" spans="8:8" x14ac:dyDescent="0.3">
      <c r="H29864" t="str">
        <f t="shared" si="516"/>
        <v/>
      </c>
    </row>
    <row r="29865" spans="8:8" x14ac:dyDescent="0.3">
      <c r="H29865" t="str">
        <f t="shared" si="516"/>
        <v/>
      </c>
    </row>
    <row r="29866" spans="8:8" x14ac:dyDescent="0.3">
      <c r="H29866" t="str">
        <f t="shared" si="516"/>
        <v/>
      </c>
    </row>
    <row r="29867" spans="8:8" x14ac:dyDescent="0.3">
      <c r="H29867" t="str">
        <f t="shared" si="516"/>
        <v/>
      </c>
    </row>
    <row r="29868" spans="8:8" x14ac:dyDescent="0.3">
      <c r="H29868" t="str">
        <f t="shared" si="516"/>
        <v/>
      </c>
    </row>
    <row r="29869" spans="8:8" x14ac:dyDescent="0.3">
      <c r="H29869" t="str">
        <f t="shared" si="516"/>
        <v/>
      </c>
    </row>
    <row r="29870" spans="8:8" x14ac:dyDescent="0.3">
      <c r="H29870" t="str">
        <f t="shared" si="516"/>
        <v/>
      </c>
    </row>
    <row r="29871" spans="8:8" x14ac:dyDescent="0.3">
      <c r="H29871" t="str">
        <f t="shared" si="516"/>
        <v/>
      </c>
    </row>
    <row r="29872" spans="8:8" x14ac:dyDescent="0.3">
      <c r="H29872" t="str">
        <f t="shared" si="516"/>
        <v/>
      </c>
    </row>
    <row r="29873" spans="8:8" x14ac:dyDescent="0.3">
      <c r="H29873" t="str">
        <f t="shared" si="516"/>
        <v/>
      </c>
    </row>
    <row r="29874" spans="8:8" x14ac:dyDescent="0.3">
      <c r="H29874" t="str">
        <f t="shared" si="516"/>
        <v/>
      </c>
    </row>
    <row r="29875" spans="8:8" x14ac:dyDescent="0.3">
      <c r="H29875" t="str">
        <f t="shared" si="516"/>
        <v/>
      </c>
    </row>
    <row r="29876" spans="8:8" x14ac:dyDescent="0.3">
      <c r="H29876" t="str">
        <f t="shared" si="516"/>
        <v/>
      </c>
    </row>
    <row r="29877" spans="8:8" x14ac:dyDescent="0.3">
      <c r="H29877" t="str">
        <f t="shared" si="516"/>
        <v/>
      </c>
    </row>
    <row r="29878" spans="8:8" x14ac:dyDescent="0.3">
      <c r="H29878" t="str">
        <f t="shared" si="516"/>
        <v/>
      </c>
    </row>
    <row r="29879" spans="8:8" x14ac:dyDescent="0.3">
      <c r="H29879" t="str">
        <f t="shared" si="516"/>
        <v/>
      </c>
    </row>
    <row r="29880" spans="8:8" x14ac:dyDescent="0.3">
      <c r="H29880" t="str">
        <f t="shared" si="516"/>
        <v/>
      </c>
    </row>
    <row r="29881" spans="8:8" x14ac:dyDescent="0.3">
      <c r="H29881" t="str">
        <f t="shared" si="516"/>
        <v/>
      </c>
    </row>
    <row r="29882" spans="8:8" x14ac:dyDescent="0.3">
      <c r="H29882" t="str">
        <f t="shared" si="516"/>
        <v/>
      </c>
    </row>
    <row r="29883" spans="8:8" x14ac:dyDescent="0.3">
      <c r="H29883" t="str">
        <f t="shared" si="516"/>
        <v/>
      </c>
    </row>
    <row r="29884" spans="8:8" x14ac:dyDescent="0.3">
      <c r="H29884" t="str">
        <f t="shared" si="516"/>
        <v/>
      </c>
    </row>
    <row r="29885" spans="8:8" x14ac:dyDescent="0.3">
      <c r="H29885" t="str">
        <f t="shared" si="516"/>
        <v/>
      </c>
    </row>
    <row r="29886" spans="8:8" x14ac:dyDescent="0.3">
      <c r="H29886" t="str">
        <f t="shared" si="516"/>
        <v/>
      </c>
    </row>
    <row r="29887" spans="8:8" x14ac:dyDescent="0.3">
      <c r="H29887" t="str">
        <f t="shared" si="516"/>
        <v/>
      </c>
    </row>
    <row r="29888" spans="8:8" x14ac:dyDescent="0.3">
      <c r="H29888" t="str">
        <f t="shared" si="516"/>
        <v/>
      </c>
    </row>
    <row r="29889" spans="8:8" x14ac:dyDescent="0.3">
      <c r="H29889" t="str">
        <f t="shared" si="516"/>
        <v/>
      </c>
    </row>
    <row r="29890" spans="8:8" x14ac:dyDescent="0.3">
      <c r="H29890" t="str">
        <f t="shared" si="516"/>
        <v/>
      </c>
    </row>
    <row r="29891" spans="8:8" x14ac:dyDescent="0.3">
      <c r="H29891" t="str">
        <f t="shared" si="516"/>
        <v/>
      </c>
    </row>
    <row r="29892" spans="8:8" x14ac:dyDescent="0.3">
      <c r="H29892" t="str">
        <f t="shared" si="516"/>
        <v/>
      </c>
    </row>
    <row r="29893" spans="8:8" x14ac:dyDescent="0.3">
      <c r="H29893" t="str">
        <f t="shared" si="516"/>
        <v/>
      </c>
    </row>
    <row r="29894" spans="8:8" x14ac:dyDescent="0.3">
      <c r="H29894" t="str">
        <f t="shared" si="516"/>
        <v/>
      </c>
    </row>
    <row r="29895" spans="8:8" x14ac:dyDescent="0.3">
      <c r="H29895" t="str">
        <f t="shared" si="516"/>
        <v/>
      </c>
    </row>
    <row r="29896" spans="8:8" x14ac:dyDescent="0.3">
      <c r="H29896" t="str">
        <f t="shared" si="516"/>
        <v/>
      </c>
    </row>
    <row r="29897" spans="8:8" x14ac:dyDescent="0.3">
      <c r="H29897" t="str">
        <f t="shared" si="516"/>
        <v/>
      </c>
    </row>
    <row r="29898" spans="8:8" x14ac:dyDescent="0.3">
      <c r="H29898" t="str">
        <f t="shared" si="516"/>
        <v/>
      </c>
    </row>
    <row r="29899" spans="8:8" x14ac:dyDescent="0.3">
      <c r="H29899" t="str">
        <f t="shared" si="516"/>
        <v/>
      </c>
    </row>
    <row r="29900" spans="8:8" x14ac:dyDescent="0.3">
      <c r="H29900" t="str">
        <f t="shared" si="516"/>
        <v/>
      </c>
    </row>
    <row r="29901" spans="8:8" x14ac:dyDescent="0.3">
      <c r="H29901" t="str">
        <f t="shared" si="516"/>
        <v/>
      </c>
    </row>
    <row r="29902" spans="8:8" x14ac:dyDescent="0.3">
      <c r="H29902" t="str">
        <f t="shared" si="516"/>
        <v/>
      </c>
    </row>
    <row r="29903" spans="8:8" x14ac:dyDescent="0.3">
      <c r="H29903" t="str">
        <f t="shared" si="516"/>
        <v/>
      </c>
    </row>
    <row r="29904" spans="8:8" x14ac:dyDescent="0.3">
      <c r="H29904" t="str">
        <f t="shared" si="516"/>
        <v/>
      </c>
    </row>
    <row r="29905" spans="8:8" x14ac:dyDescent="0.3">
      <c r="H29905" t="str">
        <f t="shared" si="516"/>
        <v/>
      </c>
    </row>
    <row r="29906" spans="8:8" x14ac:dyDescent="0.3">
      <c r="H29906" t="str">
        <f t="shared" si="516"/>
        <v/>
      </c>
    </row>
    <row r="29907" spans="8:8" x14ac:dyDescent="0.3">
      <c r="H29907" t="str">
        <f t="shared" si="516"/>
        <v/>
      </c>
    </row>
    <row r="29908" spans="8:8" x14ac:dyDescent="0.3">
      <c r="H29908" t="str">
        <f t="shared" si="516"/>
        <v/>
      </c>
    </row>
    <row r="29909" spans="8:8" x14ac:dyDescent="0.3">
      <c r="H29909" t="str">
        <f t="shared" si="516"/>
        <v/>
      </c>
    </row>
    <row r="29910" spans="8:8" x14ac:dyDescent="0.3">
      <c r="H29910" t="str">
        <f t="shared" si="516"/>
        <v/>
      </c>
    </row>
    <row r="29911" spans="8:8" x14ac:dyDescent="0.3">
      <c r="H29911" t="str">
        <f t="shared" ref="H29911:H29974" si="517">IF(B29911="","",$C$12)</f>
        <v/>
      </c>
    </row>
    <row r="29912" spans="8:8" x14ac:dyDescent="0.3">
      <c r="H29912" t="str">
        <f t="shared" si="517"/>
        <v/>
      </c>
    </row>
    <row r="29913" spans="8:8" x14ac:dyDescent="0.3">
      <c r="H29913" t="str">
        <f t="shared" si="517"/>
        <v/>
      </c>
    </row>
    <row r="29914" spans="8:8" x14ac:dyDescent="0.3">
      <c r="H29914" t="str">
        <f t="shared" si="517"/>
        <v/>
      </c>
    </row>
    <row r="29915" spans="8:8" x14ac:dyDescent="0.3">
      <c r="H29915" t="str">
        <f t="shared" si="517"/>
        <v/>
      </c>
    </row>
    <row r="29916" spans="8:8" x14ac:dyDescent="0.3">
      <c r="H29916" t="str">
        <f t="shared" si="517"/>
        <v/>
      </c>
    </row>
    <row r="29917" spans="8:8" x14ac:dyDescent="0.3">
      <c r="H29917" t="str">
        <f t="shared" si="517"/>
        <v/>
      </c>
    </row>
    <row r="29918" spans="8:8" x14ac:dyDescent="0.3">
      <c r="H29918" t="str">
        <f t="shared" si="517"/>
        <v/>
      </c>
    </row>
    <row r="29919" spans="8:8" x14ac:dyDescent="0.3">
      <c r="H29919" t="str">
        <f t="shared" si="517"/>
        <v/>
      </c>
    </row>
    <row r="29920" spans="8:8" x14ac:dyDescent="0.3">
      <c r="H29920" t="str">
        <f t="shared" si="517"/>
        <v/>
      </c>
    </row>
    <row r="29921" spans="8:8" x14ac:dyDescent="0.3">
      <c r="H29921" t="str">
        <f t="shared" si="517"/>
        <v/>
      </c>
    </row>
    <row r="29922" spans="8:8" x14ac:dyDescent="0.3">
      <c r="H29922" t="str">
        <f t="shared" si="517"/>
        <v/>
      </c>
    </row>
    <row r="29923" spans="8:8" x14ac:dyDescent="0.3">
      <c r="H29923" t="str">
        <f t="shared" si="517"/>
        <v/>
      </c>
    </row>
    <row r="29924" spans="8:8" x14ac:dyDescent="0.3">
      <c r="H29924" t="str">
        <f t="shared" si="517"/>
        <v/>
      </c>
    </row>
    <row r="29925" spans="8:8" x14ac:dyDescent="0.3">
      <c r="H29925" t="str">
        <f t="shared" si="517"/>
        <v/>
      </c>
    </row>
    <row r="29926" spans="8:8" x14ac:dyDescent="0.3">
      <c r="H29926" t="str">
        <f t="shared" si="517"/>
        <v/>
      </c>
    </row>
    <row r="29927" spans="8:8" x14ac:dyDescent="0.3">
      <c r="H29927" t="str">
        <f t="shared" si="517"/>
        <v/>
      </c>
    </row>
    <row r="29928" spans="8:8" x14ac:dyDescent="0.3">
      <c r="H29928" t="str">
        <f t="shared" si="517"/>
        <v/>
      </c>
    </row>
    <row r="29929" spans="8:8" x14ac:dyDescent="0.3">
      <c r="H29929" t="str">
        <f t="shared" si="517"/>
        <v/>
      </c>
    </row>
    <row r="29930" spans="8:8" x14ac:dyDescent="0.3">
      <c r="H29930" t="str">
        <f t="shared" si="517"/>
        <v/>
      </c>
    </row>
    <row r="29931" spans="8:8" x14ac:dyDescent="0.3">
      <c r="H29931" t="str">
        <f t="shared" si="517"/>
        <v/>
      </c>
    </row>
    <row r="29932" spans="8:8" x14ac:dyDescent="0.3">
      <c r="H29932" t="str">
        <f t="shared" si="517"/>
        <v/>
      </c>
    </row>
    <row r="29933" spans="8:8" x14ac:dyDescent="0.3">
      <c r="H29933" t="str">
        <f t="shared" si="517"/>
        <v/>
      </c>
    </row>
    <row r="29934" spans="8:8" x14ac:dyDescent="0.3">
      <c r="H29934" t="str">
        <f t="shared" si="517"/>
        <v/>
      </c>
    </row>
    <row r="29935" spans="8:8" x14ac:dyDescent="0.3">
      <c r="H29935" t="str">
        <f t="shared" si="517"/>
        <v/>
      </c>
    </row>
    <row r="29936" spans="8:8" x14ac:dyDescent="0.3">
      <c r="H29936" t="str">
        <f t="shared" si="517"/>
        <v/>
      </c>
    </row>
    <row r="29937" spans="8:8" x14ac:dyDescent="0.3">
      <c r="H29937" t="str">
        <f t="shared" si="517"/>
        <v/>
      </c>
    </row>
    <row r="29938" spans="8:8" x14ac:dyDescent="0.3">
      <c r="H29938" t="str">
        <f t="shared" si="517"/>
        <v/>
      </c>
    </row>
    <row r="29939" spans="8:8" x14ac:dyDescent="0.3">
      <c r="H29939" t="str">
        <f t="shared" si="517"/>
        <v/>
      </c>
    </row>
    <row r="29940" spans="8:8" x14ac:dyDescent="0.3">
      <c r="H29940" t="str">
        <f t="shared" si="517"/>
        <v/>
      </c>
    </row>
    <row r="29941" spans="8:8" x14ac:dyDescent="0.3">
      <c r="H29941" t="str">
        <f t="shared" si="517"/>
        <v/>
      </c>
    </row>
    <row r="29942" spans="8:8" x14ac:dyDescent="0.3">
      <c r="H29942" t="str">
        <f t="shared" si="517"/>
        <v/>
      </c>
    </row>
    <row r="29943" spans="8:8" x14ac:dyDescent="0.3">
      <c r="H29943" t="str">
        <f t="shared" si="517"/>
        <v/>
      </c>
    </row>
    <row r="29944" spans="8:8" x14ac:dyDescent="0.3">
      <c r="H29944" t="str">
        <f t="shared" si="517"/>
        <v/>
      </c>
    </row>
    <row r="29945" spans="8:8" x14ac:dyDescent="0.3">
      <c r="H29945" t="str">
        <f t="shared" si="517"/>
        <v/>
      </c>
    </row>
    <row r="29946" spans="8:8" x14ac:dyDescent="0.3">
      <c r="H29946" t="str">
        <f t="shared" si="517"/>
        <v/>
      </c>
    </row>
    <row r="29947" spans="8:8" x14ac:dyDescent="0.3">
      <c r="H29947" t="str">
        <f t="shared" si="517"/>
        <v/>
      </c>
    </row>
    <row r="29948" spans="8:8" x14ac:dyDescent="0.3">
      <c r="H29948" t="str">
        <f t="shared" si="517"/>
        <v/>
      </c>
    </row>
    <row r="29949" spans="8:8" x14ac:dyDescent="0.3">
      <c r="H29949" t="str">
        <f t="shared" si="517"/>
        <v/>
      </c>
    </row>
    <row r="29950" spans="8:8" x14ac:dyDescent="0.3">
      <c r="H29950" t="str">
        <f t="shared" si="517"/>
        <v/>
      </c>
    </row>
    <row r="29951" spans="8:8" x14ac:dyDescent="0.3">
      <c r="H29951" t="str">
        <f t="shared" si="517"/>
        <v/>
      </c>
    </row>
    <row r="29952" spans="8:8" x14ac:dyDescent="0.3">
      <c r="H29952" t="str">
        <f t="shared" si="517"/>
        <v/>
      </c>
    </row>
    <row r="29953" spans="8:8" x14ac:dyDescent="0.3">
      <c r="H29953" t="str">
        <f t="shared" si="517"/>
        <v/>
      </c>
    </row>
    <row r="29954" spans="8:8" x14ac:dyDescent="0.3">
      <c r="H29954" t="str">
        <f t="shared" si="517"/>
        <v/>
      </c>
    </row>
    <row r="29955" spans="8:8" x14ac:dyDescent="0.3">
      <c r="H29955" t="str">
        <f t="shared" si="517"/>
        <v/>
      </c>
    </row>
    <row r="29956" spans="8:8" x14ac:dyDescent="0.3">
      <c r="H29956" t="str">
        <f t="shared" si="517"/>
        <v/>
      </c>
    </row>
    <row r="29957" spans="8:8" x14ac:dyDescent="0.3">
      <c r="H29957" t="str">
        <f t="shared" si="517"/>
        <v/>
      </c>
    </row>
    <row r="29958" spans="8:8" x14ac:dyDescent="0.3">
      <c r="H29958" t="str">
        <f t="shared" si="517"/>
        <v/>
      </c>
    </row>
    <row r="29959" spans="8:8" x14ac:dyDescent="0.3">
      <c r="H29959" t="str">
        <f t="shared" si="517"/>
        <v/>
      </c>
    </row>
    <row r="29960" spans="8:8" x14ac:dyDescent="0.3">
      <c r="H29960" t="str">
        <f t="shared" si="517"/>
        <v/>
      </c>
    </row>
    <row r="29961" spans="8:8" x14ac:dyDescent="0.3">
      <c r="H29961" t="str">
        <f t="shared" si="517"/>
        <v/>
      </c>
    </row>
    <row r="29962" spans="8:8" x14ac:dyDescent="0.3">
      <c r="H29962" t="str">
        <f t="shared" si="517"/>
        <v/>
      </c>
    </row>
    <row r="29963" spans="8:8" x14ac:dyDescent="0.3">
      <c r="H29963" t="str">
        <f t="shared" si="517"/>
        <v/>
      </c>
    </row>
    <row r="29964" spans="8:8" x14ac:dyDescent="0.3">
      <c r="H29964" t="str">
        <f t="shared" si="517"/>
        <v/>
      </c>
    </row>
    <row r="29965" spans="8:8" x14ac:dyDescent="0.3">
      <c r="H29965" t="str">
        <f t="shared" si="517"/>
        <v/>
      </c>
    </row>
    <row r="29966" spans="8:8" x14ac:dyDescent="0.3">
      <c r="H29966" t="str">
        <f t="shared" si="517"/>
        <v/>
      </c>
    </row>
    <row r="29967" spans="8:8" x14ac:dyDescent="0.3">
      <c r="H29967" t="str">
        <f t="shared" si="517"/>
        <v/>
      </c>
    </row>
    <row r="29968" spans="8:8" x14ac:dyDescent="0.3">
      <c r="H29968" t="str">
        <f t="shared" si="517"/>
        <v/>
      </c>
    </row>
    <row r="29969" spans="8:8" x14ac:dyDescent="0.3">
      <c r="H29969" t="str">
        <f t="shared" si="517"/>
        <v/>
      </c>
    </row>
    <row r="29970" spans="8:8" x14ac:dyDescent="0.3">
      <c r="H29970" t="str">
        <f t="shared" si="517"/>
        <v/>
      </c>
    </row>
    <row r="29971" spans="8:8" x14ac:dyDescent="0.3">
      <c r="H29971" t="str">
        <f t="shared" si="517"/>
        <v/>
      </c>
    </row>
    <row r="29972" spans="8:8" x14ac:dyDescent="0.3">
      <c r="H29972" t="str">
        <f t="shared" si="517"/>
        <v/>
      </c>
    </row>
    <row r="29973" spans="8:8" x14ac:dyDescent="0.3">
      <c r="H29973" t="str">
        <f t="shared" si="517"/>
        <v/>
      </c>
    </row>
    <row r="29974" spans="8:8" x14ac:dyDescent="0.3">
      <c r="H29974" t="str">
        <f t="shared" si="517"/>
        <v/>
      </c>
    </row>
    <row r="29975" spans="8:8" x14ac:dyDescent="0.3">
      <c r="H29975" t="str">
        <f t="shared" ref="H29975:H30038" si="518">IF(B29975="","",$C$12)</f>
        <v/>
      </c>
    </row>
    <row r="29976" spans="8:8" x14ac:dyDescent="0.3">
      <c r="H29976" t="str">
        <f t="shared" si="518"/>
        <v/>
      </c>
    </row>
    <row r="29977" spans="8:8" x14ac:dyDescent="0.3">
      <c r="H29977" t="str">
        <f t="shared" si="518"/>
        <v/>
      </c>
    </row>
    <row r="29978" spans="8:8" x14ac:dyDescent="0.3">
      <c r="H29978" t="str">
        <f t="shared" si="518"/>
        <v/>
      </c>
    </row>
    <row r="29979" spans="8:8" x14ac:dyDescent="0.3">
      <c r="H29979" t="str">
        <f t="shared" si="518"/>
        <v/>
      </c>
    </row>
    <row r="29980" spans="8:8" x14ac:dyDescent="0.3">
      <c r="H29980" t="str">
        <f t="shared" si="518"/>
        <v/>
      </c>
    </row>
    <row r="29981" spans="8:8" x14ac:dyDescent="0.3">
      <c r="H29981" t="str">
        <f t="shared" si="518"/>
        <v/>
      </c>
    </row>
    <row r="29982" spans="8:8" x14ac:dyDescent="0.3">
      <c r="H29982" t="str">
        <f t="shared" si="518"/>
        <v/>
      </c>
    </row>
    <row r="29983" spans="8:8" x14ac:dyDescent="0.3">
      <c r="H29983" t="str">
        <f t="shared" si="518"/>
        <v/>
      </c>
    </row>
    <row r="29984" spans="8:8" x14ac:dyDescent="0.3">
      <c r="H29984" t="str">
        <f t="shared" si="518"/>
        <v/>
      </c>
    </row>
    <row r="29985" spans="8:8" x14ac:dyDescent="0.3">
      <c r="H29985" t="str">
        <f t="shared" si="518"/>
        <v/>
      </c>
    </row>
    <row r="29986" spans="8:8" x14ac:dyDescent="0.3">
      <c r="H29986" t="str">
        <f t="shared" si="518"/>
        <v/>
      </c>
    </row>
    <row r="29987" spans="8:8" x14ac:dyDescent="0.3">
      <c r="H29987" t="str">
        <f t="shared" si="518"/>
        <v/>
      </c>
    </row>
    <row r="29988" spans="8:8" x14ac:dyDescent="0.3">
      <c r="H29988" t="str">
        <f t="shared" si="518"/>
        <v/>
      </c>
    </row>
    <row r="29989" spans="8:8" x14ac:dyDescent="0.3">
      <c r="H29989" t="str">
        <f t="shared" si="518"/>
        <v/>
      </c>
    </row>
    <row r="29990" spans="8:8" x14ac:dyDescent="0.3">
      <c r="H29990" t="str">
        <f t="shared" si="518"/>
        <v/>
      </c>
    </row>
    <row r="29991" spans="8:8" x14ac:dyDescent="0.3">
      <c r="H29991" t="str">
        <f t="shared" si="518"/>
        <v/>
      </c>
    </row>
    <row r="29992" spans="8:8" x14ac:dyDescent="0.3">
      <c r="H29992" t="str">
        <f t="shared" si="518"/>
        <v/>
      </c>
    </row>
    <row r="29993" spans="8:8" x14ac:dyDescent="0.3">
      <c r="H29993" t="str">
        <f t="shared" si="518"/>
        <v/>
      </c>
    </row>
    <row r="29994" spans="8:8" x14ac:dyDescent="0.3">
      <c r="H29994" t="str">
        <f t="shared" si="518"/>
        <v/>
      </c>
    </row>
    <row r="29995" spans="8:8" x14ac:dyDescent="0.3">
      <c r="H29995" t="str">
        <f t="shared" si="518"/>
        <v/>
      </c>
    </row>
    <row r="29996" spans="8:8" x14ac:dyDescent="0.3">
      <c r="H29996" t="str">
        <f t="shared" si="518"/>
        <v/>
      </c>
    </row>
    <row r="29997" spans="8:8" x14ac:dyDescent="0.3">
      <c r="H29997" t="str">
        <f t="shared" si="518"/>
        <v/>
      </c>
    </row>
    <row r="29998" spans="8:8" x14ac:dyDescent="0.3">
      <c r="H29998" t="str">
        <f t="shared" si="518"/>
        <v/>
      </c>
    </row>
    <row r="29999" spans="8:8" x14ac:dyDescent="0.3">
      <c r="H29999" t="str">
        <f t="shared" si="518"/>
        <v/>
      </c>
    </row>
    <row r="30000" spans="8:8" x14ac:dyDescent="0.3">
      <c r="H30000" t="str">
        <f t="shared" si="518"/>
        <v/>
      </c>
    </row>
    <row r="30001" spans="8:8" x14ac:dyDescent="0.3">
      <c r="H30001" t="str">
        <f t="shared" si="518"/>
        <v/>
      </c>
    </row>
    <row r="30002" spans="8:8" x14ac:dyDescent="0.3">
      <c r="H30002" t="str">
        <f t="shared" si="518"/>
        <v/>
      </c>
    </row>
    <row r="30003" spans="8:8" x14ac:dyDescent="0.3">
      <c r="H30003" t="str">
        <f t="shared" si="518"/>
        <v/>
      </c>
    </row>
    <row r="30004" spans="8:8" x14ac:dyDescent="0.3">
      <c r="H30004" t="str">
        <f t="shared" si="518"/>
        <v/>
      </c>
    </row>
    <row r="30005" spans="8:8" x14ac:dyDescent="0.3">
      <c r="H30005" t="str">
        <f t="shared" si="518"/>
        <v/>
      </c>
    </row>
    <row r="30006" spans="8:8" x14ac:dyDescent="0.3">
      <c r="H30006" t="str">
        <f t="shared" si="518"/>
        <v/>
      </c>
    </row>
    <row r="30007" spans="8:8" x14ac:dyDescent="0.3">
      <c r="H30007" t="str">
        <f t="shared" si="518"/>
        <v/>
      </c>
    </row>
    <row r="30008" spans="8:8" x14ac:dyDescent="0.3">
      <c r="H30008" t="str">
        <f t="shared" si="518"/>
        <v/>
      </c>
    </row>
    <row r="30009" spans="8:8" x14ac:dyDescent="0.3">
      <c r="H30009" t="str">
        <f t="shared" si="518"/>
        <v/>
      </c>
    </row>
    <row r="30010" spans="8:8" x14ac:dyDescent="0.3">
      <c r="H30010" t="str">
        <f t="shared" si="518"/>
        <v/>
      </c>
    </row>
    <row r="30011" spans="8:8" x14ac:dyDescent="0.3">
      <c r="H30011" t="str">
        <f t="shared" si="518"/>
        <v/>
      </c>
    </row>
    <row r="30012" spans="8:8" x14ac:dyDescent="0.3">
      <c r="H30012" t="str">
        <f t="shared" si="518"/>
        <v/>
      </c>
    </row>
    <row r="30013" spans="8:8" x14ac:dyDescent="0.3">
      <c r="H30013" t="str">
        <f t="shared" si="518"/>
        <v/>
      </c>
    </row>
    <row r="30014" spans="8:8" x14ac:dyDescent="0.3">
      <c r="H30014" t="str">
        <f t="shared" si="518"/>
        <v/>
      </c>
    </row>
    <row r="30015" spans="8:8" x14ac:dyDescent="0.3">
      <c r="H30015" t="str">
        <f t="shared" si="518"/>
        <v/>
      </c>
    </row>
    <row r="30016" spans="8:8" x14ac:dyDescent="0.3">
      <c r="H30016" t="str">
        <f t="shared" si="518"/>
        <v/>
      </c>
    </row>
    <row r="30017" spans="8:8" x14ac:dyDescent="0.3">
      <c r="H30017" t="str">
        <f t="shared" si="518"/>
        <v/>
      </c>
    </row>
    <row r="30018" spans="8:8" x14ac:dyDescent="0.3">
      <c r="H30018" t="str">
        <f t="shared" si="518"/>
        <v/>
      </c>
    </row>
    <row r="30019" spans="8:8" x14ac:dyDescent="0.3">
      <c r="H30019" t="str">
        <f t="shared" si="518"/>
        <v/>
      </c>
    </row>
    <row r="30020" spans="8:8" x14ac:dyDescent="0.3">
      <c r="H30020" t="str">
        <f t="shared" si="518"/>
        <v/>
      </c>
    </row>
    <row r="30021" spans="8:8" x14ac:dyDescent="0.3">
      <c r="H30021" t="str">
        <f t="shared" si="518"/>
        <v/>
      </c>
    </row>
    <row r="30022" spans="8:8" x14ac:dyDescent="0.3">
      <c r="H30022" t="str">
        <f t="shared" si="518"/>
        <v/>
      </c>
    </row>
    <row r="30023" spans="8:8" x14ac:dyDescent="0.3">
      <c r="H30023" t="str">
        <f t="shared" si="518"/>
        <v/>
      </c>
    </row>
    <row r="30024" spans="8:8" x14ac:dyDescent="0.3">
      <c r="H30024" t="str">
        <f t="shared" si="518"/>
        <v/>
      </c>
    </row>
    <row r="30025" spans="8:8" x14ac:dyDescent="0.3">
      <c r="H30025" t="str">
        <f t="shared" si="518"/>
        <v/>
      </c>
    </row>
    <row r="30026" spans="8:8" x14ac:dyDescent="0.3">
      <c r="H30026" t="str">
        <f t="shared" si="518"/>
        <v/>
      </c>
    </row>
    <row r="30027" spans="8:8" x14ac:dyDescent="0.3">
      <c r="H30027" t="str">
        <f t="shared" si="518"/>
        <v/>
      </c>
    </row>
    <row r="30028" spans="8:8" x14ac:dyDescent="0.3">
      <c r="H30028" t="str">
        <f t="shared" si="518"/>
        <v/>
      </c>
    </row>
    <row r="30029" spans="8:8" x14ac:dyDescent="0.3">
      <c r="H30029" t="str">
        <f t="shared" si="518"/>
        <v/>
      </c>
    </row>
    <row r="30030" spans="8:8" x14ac:dyDescent="0.3">
      <c r="H30030" t="str">
        <f t="shared" si="518"/>
        <v/>
      </c>
    </row>
    <row r="30031" spans="8:8" x14ac:dyDescent="0.3">
      <c r="H30031" t="str">
        <f t="shared" si="518"/>
        <v/>
      </c>
    </row>
    <row r="30032" spans="8:8" x14ac:dyDescent="0.3">
      <c r="H30032" t="str">
        <f t="shared" si="518"/>
        <v/>
      </c>
    </row>
    <row r="30033" spans="8:8" x14ac:dyDescent="0.3">
      <c r="H30033" t="str">
        <f t="shared" si="518"/>
        <v/>
      </c>
    </row>
    <row r="30034" spans="8:8" x14ac:dyDescent="0.3">
      <c r="H30034" t="str">
        <f t="shared" si="518"/>
        <v/>
      </c>
    </row>
    <row r="30035" spans="8:8" x14ac:dyDescent="0.3">
      <c r="H30035" t="str">
        <f t="shared" si="518"/>
        <v/>
      </c>
    </row>
    <row r="30036" spans="8:8" x14ac:dyDescent="0.3">
      <c r="H30036" t="str">
        <f t="shared" si="518"/>
        <v/>
      </c>
    </row>
    <row r="30037" spans="8:8" x14ac:dyDescent="0.3">
      <c r="H30037" t="str">
        <f t="shared" si="518"/>
        <v/>
      </c>
    </row>
    <row r="30038" spans="8:8" x14ac:dyDescent="0.3">
      <c r="H30038" t="str">
        <f t="shared" si="518"/>
        <v/>
      </c>
    </row>
    <row r="30039" spans="8:8" x14ac:dyDescent="0.3">
      <c r="H30039" t="str">
        <f t="shared" ref="H30039:H30102" si="519">IF(B30039="","",$C$12)</f>
        <v/>
      </c>
    </row>
    <row r="30040" spans="8:8" x14ac:dyDescent="0.3">
      <c r="H30040" t="str">
        <f t="shared" si="519"/>
        <v/>
      </c>
    </row>
    <row r="30041" spans="8:8" x14ac:dyDescent="0.3">
      <c r="H30041" t="str">
        <f t="shared" si="519"/>
        <v/>
      </c>
    </row>
    <row r="30042" spans="8:8" x14ac:dyDescent="0.3">
      <c r="H30042" t="str">
        <f t="shared" si="519"/>
        <v/>
      </c>
    </row>
    <row r="30043" spans="8:8" x14ac:dyDescent="0.3">
      <c r="H30043" t="str">
        <f t="shared" si="519"/>
        <v/>
      </c>
    </row>
    <row r="30044" spans="8:8" x14ac:dyDescent="0.3">
      <c r="H30044" t="str">
        <f t="shared" si="519"/>
        <v/>
      </c>
    </row>
    <row r="30045" spans="8:8" x14ac:dyDescent="0.3">
      <c r="H30045" t="str">
        <f t="shared" si="519"/>
        <v/>
      </c>
    </row>
    <row r="30046" spans="8:8" x14ac:dyDescent="0.3">
      <c r="H30046" t="str">
        <f t="shared" si="519"/>
        <v/>
      </c>
    </row>
    <row r="30047" spans="8:8" x14ac:dyDescent="0.3">
      <c r="H30047" t="str">
        <f t="shared" si="519"/>
        <v/>
      </c>
    </row>
    <row r="30048" spans="8:8" x14ac:dyDescent="0.3">
      <c r="H30048" t="str">
        <f t="shared" si="519"/>
        <v/>
      </c>
    </row>
    <row r="30049" spans="8:8" x14ac:dyDescent="0.3">
      <c r="H30049" t="str">
        <f t="shared" si="519"/>
        <v/>
      </c>
    </row>
    <row r="30050" spans="8:8" x14ac:dyDescent="0.3">
      <c r="H30050" t="str">
        <f t="shared" si="519"/>
        <v/>
      </c>
    </row>
    <row r="30051" spans="8:8" x14ac:dyDescent="0.3">
      <c r="H30051" t="str">
        <f t="shared" si="519"/>
        <v/>
      </c>
    </row>
    <row r="30052" spans="8:8" x14ac:dyDescent="0.3">
      <c r="H30052" t="str">
        <f t="shared" si="519"/>
        <v/>
      </c>
    </row>
    <row r="30053" spans="8:8" x14ac:dyDescent="0.3">
      <c r="H30053" t="str">
        <f t="shared" si="519"/>
        <v/>
      </c>
    </row>
    <row r="30054" spans="8:8" x14ac:dyDescent="0.3">
      <c r="H30054" t="str">
        <f t="shared" si="519"/>
        <v/>
      </c>
    </row>
    <row r="30055" spans="8:8" x14ac:dyDescent="0.3">
      <c r="H30055" t="str">
        <f t="shared" si="519"/>
        <v/>
      </c>
    </row>
    <row r="30056" spans="8:8" x14ac:dyDescent="0.3">
      <c r="H30056" t="str">
        <f t="shared" si="519"/>
        <v/>
      </c>
    </row>
    <row r="30057" spans="8:8" x14ac:dyDescent="0.3">
      <c r="H30057" t="str">
        <f t="shared" si="519"/>
        <v/>
      </c>
    </row>
    <row r="30058" spans="8:8" x14ac:dyDescent="0.3">
      <c r="H30058" t="str">
        <f t="shared" si="519"/>
        <v/>
      </c>
    </row>
    <row r="30059" spans="8:8" x14ac:dyDescent="0.3">
      <c r="H30059" t="str">
        <f t="shared" si="519"/>
        <v/>
      </c>
    </row>
    <row r="30060" spans="8:8" x14ac:dyDescent="0.3">
      <c r="H30060" t="str">
        <f t="shared" si="519"/>
        <v/>
      </c>
    </row>
    <row r="30061" spans="8:8" x14ac:dyDescent="0.3">
      <c r="H30061" t="str">
        <f t="shared" si="519"/>
        <v/>
      </c>
    </row>
    <row r="30062" spans="8:8" x14ac:dyDescent="0.3">
      <c r="H30062" t="str">
        <f t="shared" si="519"/>
        <v/>
      </c>
    </row>
    <row r="30063" spans="8:8" x14ac:dyDescent="0.3">
      <c r="H30063" t="str">
        <f t="shared" si="519"/>
        <v/>
      </c>
    </row>
    <row r="30064" spans="8:8" x14ac:dyDescent="0.3">
      <c r="H30064" t="str">
        <f t="shared" si="519"/>
        <v/>
      </c>
    </row>
    <row r="30065" spans="8:8" x14ac:dyDescent="0.3">
      <c r="H30065" t="str">
        <f t="shared" si="519"/>
        <v/>
      </c>
    </row>
    <row r="30066" spans="8:8" x14ac:dyDescent="0.3">
      <c r="H30066" t="str">
        <f t="shared" si="519"/>
        <v/>
      </c>
    </row>
    <row r="30067" spans="8:8" x14ac:dyDescent="0.3">
      <c r="H30067" t="str">
        <f t="shared" si="519"/>
        <v/>
      </c>
    </row>
    <row r="30068" spans="8:8" x14ac:dyDescent="0.3">
      <c r="H30068" t="str">
        <f t="shared" si="519"/>
        <v/>
      </c>
    </row>
    <row r="30069" spans="8:8" x14ac:dyDescent="0.3">
      <c r="H30069" t="str">
        <f t="shared" si="519"/>
        <v/>
      </c>
    </row>
    <row r="30070" spans="8:8" x14ac:dyDescent="0.3">
      <c r="H30070" t="str">
        <f t="shared" si="519"/>
        <v/>
      </c>
    </row>
    <row r="30071" spans="8:8" x14ac:dyDescent="0.3">
      <c r="H30071" t="str">
        <f t="shared" si="519"/>
        <v/>
      </c>
    </row>
    <row r="30072" spans="8:8" x14ac:dyDescent="0.3">
      <c r="H30072" t="str">
        <f t="shared" si="519"/>
        <v/>
      </c>
    </row>
    <row r="30073" spans="8:8" x14ac:dyDescent="0.3">
      <c r="H30073" t="str">
        <f t="shared" si="519"/>
        <v/>
      </c>
    </row>
    <row r="30074" spans="8:8" x14ac:dyDescent="0.3">
      <c r="H30074" t="str">
        <f t="shared" si="519"/>
        <v/>
      </c>
    </row>
    <row r="30075" spans="8:8" x14ac:dyDescent="0.3">
      <c r="H30075" t="str">
        <f t="shared" si="519"/>
        <v/>
      </c>
    </row>
    <row r="30076" spans="8:8" x14ac:dyDescent="0.3">
      <c r="H30076" t="str">
        <f t="shared" si="519"/>
        <v/>
      </c>
    </row>
    <row r="30077" spans="8:8" x14ac:dyDescent="0.3">
      <c r="H30077" t="str">
        <f t="shared" si="519"/>
        <v/>
      </c>
    </row>
    <row r="30078" spans="8:8" x14ac:dyDescent="0.3">
      <c r="H30078" t="str">
        <f t="shared" si="519"/>
        <v/>
      </c>
    </row>
    <row r="30079" spans="8:8" x14ac:dyDescent="0.3">
      <c r="H30079" t="str">
        <f t="shared" si="519"/>
        <v/>
      </c>
    </row>
    <row r="30080" spans="8:8" x14ac:dyDescent="0.3">
      <c r="H30080" t="str">
        <f t="shared" si="519"/>
        <v/>
      </c>
    </row>
    <row r="30081" spans="8:8" x14ac:dyDescent="0.3">
      <c r="H30081" t="str">
        <f t="shared" si="519"/>
        <v/>
      </c>
    </row>
    <row r="30082" spans="8:8" x14ac:dyDescent="0.3">
      <c r="H30082" t="str">
        <f t="shared" si="519"/>
        <v/>
      </c>
    </row>
    <row r="30083" spans="8:8" x14ac:dyDescent="0.3">
      <c r="H30083" t="str">
        <f t="shared" si="519"/>
        <v/>
      </c>
    </row>
    <row r="30084" spans="8:8" x14ac:dyDescent="0.3">
      <c r="H30084" t="str">
        <f t="shared" si="519"/>
        <v/>
      </c>
    </row>
    <row r="30085" spans="8:8" x14ac:dyDescent="0.3">
      <c r="H30085" t="str">
        <f t="shared" si="519"/>
        <v/>
      </c>
    </row>
    <row r="30086" spans="8:8" x14ac:dyDescent="0.3">
      <c r="H30086" t="str">
        <f t="shared" si="519"/>
        <v/>
      </c>
    </row>
    <row r="30087" spans="8:8" x14ac:dyDescent="0.3">
      <c r="H30087" t="str">
        <f t="shared" si="519"/>
        <v/>
      </c>
    </row>
    <row r="30088" spans="8:8" x14ac:dyDescent="0.3">
      <c r="H30088" t="str">
        <f t="shared" si="519"/>
        <v/>
      </c>
    </row>
    <row r="30089" spans="8:8" x14ac:dyDescent="0.3">
      <c r="H30089" t="str">
        <f t="shared" si="519"/>
        <v/>
      </c>
    </row>
    <row r="30090" spans="8:8" x14ac:dyDescent="0.3">
      <c r="H30090" t="str">
        <f t="shared" si="519"/>
        <v/>
      </c>
    </row>
    <row r="30091" spans="8:8" x14ac:dyDescent="0.3">
      <c r="H30091" t="str">
        <f t="shared" si="519"/>
        <v/>
      </c>
    </row>
    <row r="30092" spans="8:8" x14ac:dyDescent="0.3">
      <c r="H30092" t="str">
        <f t="shared" si="519"/>
        <v/>
      </c>
    </row>
    <row r="30093" spans="8:8" x14ac:dyDescent="0.3">
      <c r="H30093" t="str">
        <f t="shared" si="519"/>
        <v/>
      </c>
    </row>
    <row r="30094" spans="8:8" x14ac:dyDescent="0.3">
      <c r="H30094" t="str">
        <f t="shared" si="519"/>
        <v/>
      </c>
    </row>
    <row r="30095" spans="8:8" x14ac:dyDescent="0.3">
      <c r="H30095" t="str">
        <f t="shared" si="519"/>
        <v/>
      </c>
    </row>
    <row r="30096" spans="8:8" x14ac:dyDescent="0.3">
      <c r="H30096" t="str">
        <f t="shared" si="519"/>
        <v/>
      </c>
    </row>
    <row r="30097" spans="8:8" x14ac:dyDescent="0.3">
      <c r="H30097" t="str">
        <f t="shared" si="519"/>
        <v/>
      </c>
    </row>
    <row r="30098" spans="8:8" x14ac:dyDescent="0.3">
      <c r="H30098" t="str">
        <f t="shared" si="519"/>
        <v/>
      </c>
    </row>
    <row r="30099" spans="8:8" x14ac:dyDescent="0.3">
      <c r="H30099" t="str">
        <f t="shared" si="519"/>
        <v/>
      </c>
    </row>
    <row r="30100" spans="8:8" x14ac:dyDescent="0.3">
      <c r="H30100" t="str">
        <f t="shared" si="519"/>
        <v/>
      </c>
    </row>
    <row r="30101" spans="8:8" x14ac:dyDescent="0.3">
      <c r="H30101" t="str">
        <f t="shared" si="519"/>
        <v/>
      </c>
    </row>
    <row r="30102" spans="8:8" x14ac:dyDescent="0.3">
      <c r="H30102" t="str">
        <f t="shared" si="519"/>
        <v/>
      </c>
    </row>
    <row r="30103" spans="8:8" x14ac:dyDescent="0.3">
      <c r="H30103" t="str">
        <f t="shared" ref="H30103:H30166" si="520">IF(B30103="","",$C$12)</f>
        <v/>
      </c>
    </row>
    <row r="30104" spans="8:8" x14ac:dyDescent="0.3">
      <c r="H30104" t="str">
        <f t="shared" si="520"/>
        <v/>
      </c>
    </row>
    <row r="30105" spans="8:8" x14ac:dyDescent="0.3">
      <c r="H30105" t="str">
        <f t="shared" si="520"/>
        <v/>
      </c>
    </row>
    <row r="30106" spans="8:8" x14ac:dyDescent="0.3">
      <c r="H30106" t="str">
        <f t="shared" si="520"/>
        <v/>
      </c>
    </row>
    <row r="30107" spans="8:8" x14ac:dyDescent="0.3">
      <c r="H30107" t="str">
        <f t="shared" si="520"/>
        <v/>
      </c>
    </row>
    <row r="30108" spans="8:8" x14ac:dyDescent="0.3">
      <c r="H30108" t="str">
        <f t="shared" si="520"/>
        <v/>
      </c>
    </row>
    <row r="30109" spans="8:8" x14ac:dyDescent="0.3">
      <c r="H30109" t="str">
        <f t="shared" si="520"/>
        <v/>
      </c>
    </row>
    <row r="30110" spans="8:8" x14ac:dyDescent="0.3">
      <c r="H30110" t="str">
        <f t="shared" si="520"/>
        <v/>
      </c>
    </row>
    <row r="30111" spans="8:8" x14ac:dyDescent="0.3">
      <c r="H30111" t="str">
        <f t="shared" si="520"/>
        <v/>
      </c>
    </row>
    <row r="30112" spans="8:8" x14ac:dyDescent="0.3">
      <c r="H30112" t="str">
        <f t="shared" si="520"/>
        <v/>
      </c>
    </row>
    <row r="30113" spans="8:8" x14ac:dyDescent="0.3">
      <c r="H30113" t="str">
        <f t="shared" si="520"/>
        <v/>
      </c>
    </row>
    <row r="30114" spans="8:8" x14ac:dyDescent="0.3">
      <c r="H30114" t="str">
        <f t="shared" si="520"/>
        <v/>
      </c>
    </row>
    <row r="30115" spans="8:8" x14ac:dyDescent="0.3">
      <c r="H30115" t="str">
        <f t="shared" si="520"/>
        <v/>
      </c>
    </row>
    <row r="30116" spans="8:8" x14ac:dyDescent="0.3">
      <c r="H30116" t="str">
        <f t="shared" si="520"/>
        <v/>
      </c>
    </row>
    <row r="30117" spans="8:8" x14ac:dyDescent="0.3">
      <c r="H30117" t="str">
        <f t="shared" si="520"/>
        <v/>
      </c>
    </row>
    <row r="30118" spans="8:8" x14ac:dyDescent="0.3">
      <c r="H30118" t="str">
        <f t="shared" si="520"/>
        <v/>
      </c>
    </row>
    <row r="30119" spans="8:8" x14ac:dyDescent="0.3">
      <c r="H30119" t="str">
        <f t="shared" si="520"/>
        <v/>
      </c>
    </row>
    <row r="30120" spans="8:8" x14ac:dyDescent="0.3">
      <c r="H30120" t="str">
        <f t="shared" si="520"/>
        <v/>
      </c>
    </row>
    <row r="30121" spans="8:8" x14ac:dyDescent="0.3">
      <c r="H30121" t="str">
        <f t="shared" si="520"/>
        <v/>
      </c>
    </row>
    <row r="30122" spans="8:8" x14ac:dyDescent="0.3">
      <c r="H30122" t="str">
        <f t="shared" si="520"/>
        <v/>
      </c>
    </row>
    <row r="30123" spans="8:8" x14ac:dyDescent="0.3">
      <c r="H30123" t="str">
        <f t="shared" si="520"/>
        <v/>
      </c>
    </row>
    <row r="30124" spans="8:8" x14ac:dyDescent="0.3">
      <c r="H30124" t="str">
        <f t="shared" si="520"/>
        <v/>
      </c>
    </row>
    <row r="30125" spans="8:8" x14ac:dyDescent="0.3">
      <c r="H30125" t="str">
        <f t="shared" si="520"/>
        <v/>
      </c>
    </row>
    <row r="30126" spans="8:8" x14ac:dyDescent="0.3">
      <c r="H30126" t="str">
        <f t="shared" si="520"/>
        <v/>
      </c>
    </row>
    <row r="30127" spans="8:8" x14ac:dyDescent="0.3">
      <c r="H30127" t="str">
        <f t="shared" si="520"/>
        <v/>
      </c>
    </row>
    <row r="30128" spans="8:8" x14ac:dyDescent="0.3">
      <c r="H30128" t="str">
        <f t="shared" si="520"/>
        <v/>
      </c>
    </row>
    <row r="30129" spans="8:8" x14ac:dyDescent="0.3">
      <c r="H30129" t="str">
        <f t="shared" si="520"/>
        <v/>
      </c>
    </row>
    <row r="30130" spans="8:8" x14ac:dyDescent="0.3">
      <c r="H30130" t="str">
        <f t="shared" si="520"/>
        <v/>
      </c>
    </row>
    <row r="30131" spans="8:8" x14ac:dyDescent="0.3">
      <c r="H30131" t="str">
        <f t="shared" si="520"/>
        <v/>
      </c>
    </row>
    <row r="30132" spans="8:8" x14ac:dyDescent="0.3">
      <c r="H30132" t="str">
        <f t="shared" si="520"/>
        <v/>
      </c>
    </row>
    <row r="30133" spans="8:8" x14ac:dyDescent="0.3">
      <c r="H30133" t="str">
        <f t="shared" si="520"/>
        <v/>
      </c>
    </row>
    <row r="30134" spans="8:8" x14ac:dyDescent="0.3">
      <c r="H30134" t="str">
        <f t="shared" si="520"/>
        <v/>
      </c>
    </row>
    <row r="30135" spans="8:8" x14ac:dyDescent="0.3">
      <c r="H30135" t="str">
        <f t="shared" si="520"/>
        <v/>
      </c>
    </row>
    <row r="30136" spans="8:8" x14ac:dyDescent="0.3">
      <c r="H30136" t="str">
        <f t="shared" si="520"/>
        <v/>
      </c>
    </row>
    <row r="30137" spans="8:8" x14ac:dyDescent="0.3">
      <c r="H30137" t="str">
        <f t="shared" si="520"/>
        <v/>
      </c>
    </row>
    <row r="30138" spans="8:8" x14ac:dyDescent="0.3">
      <c r="H30138" t="str">
        <f t="shared" si="520"/>
        <v/>
      </c>
    </row>
    <row r="30139" spans="8:8" x14ac:dyDescent="0.3">
      <c r="H30139" t="str">
        <f t="shared" si="520"/>
        <v/>
      </c>
    </row>
    <row r="30140" spans="8:8" x14ac:dyDescent="0.3">
      <c r="H30140" t="str">
        <f t="shared" si="520"/>
        <v/>
      </c>
    </row>
    <row r="30141" spans="8:8" x14ac:dyDescent="0.3">
      <c r="H30141" t="str">
        <f t="shared" si="520"/>
        <v/>
      </c>
    </row>
    <row r="30142" spans="8:8" x14ac:dyDescent="0.3">
      <c r="H30142" t="str">
        <f t="shared" si="520"/>
        <v/>
      </c>
    </row>
    <row r="30143" spans="8:8" x14ac:dyDescent="0.3">
      <c r="H30143" t="str">
        <f t="shared" si="520"/>
        <v/>
      </c>
    </row>
    <row r="30144" spans="8:8" x14ac:dyDescent="0.3">
      <c r="H30144" t="str">
        <f t="shared" si="520"/>
        <v/>
      </c>
    </row>
    <row r="30145" spans="8:8" x14ac:dyDescent="0.3">
      <c r="H30145" t="str">
        <f t="shared" si="520"/>
        <v/>
      </c>
    </row>
    <row r="30146" spans="8:8" x14ac:dyDescent="0.3">
      <c r="H30146" t="str">
        <f t="shared" si="520"/>
        <v/>
      </c>
    </row>
    <row r="30147" spans="8:8" x14ac:dyDescent="0.3">
      <c r="H30147" t="str">
        <f t="shared" si="520"/>
        <v/>
      </c>
    </row>
    <row r="30148" spans="8:8" x14ac:dyDescent="0.3">
      <c r="H30148" t="str">
        <f t="shared" si="520"/>
        <v/>
      </c>
    </row>
    <row r="30149" spans="8:8" x14ac:dyDescent="0.3">
      <c r="H30149" t="str">
        <f t="shared" si="520"/>
        <v/>
      </c>
    </row>
    <row r="30150" spans="8:8" x14ac:dyDescent="0.3">
      <c r="H30150" t="str">
        <f t="shared" si="520"/>
        <v/>
      </c>
    </row>
    <row r="30151" spans="8:8" x14ac:dyDescent="0.3">
      <c r="H30151" t="str">
        <f t="shared" si="520"/>
        <v/>
      </c>
    </row>
    <row r="30152" spans="8:8" x14ac:dyDescent="0.3">
      <c r="H30152" t="str">
        <f t="shared" si="520"/>
        <v/>
      </c>
    </row>
    <row r="30153" spans="8:8" x14ac:dyDescent="0.3">
      <c r="H30153" t="str">
        <f t="shared" si="520"/>
        <v/>
      </c>
    </row>
    <row r="30154" spans="8:8" x14ac:dyDescent="0.3">
      <c r="H30154" t="str">
        <f t="shared" si="520"/>
        <v/>
      </c>
    </row>
    <row r="30155" spans="8:8" x14ac:dyDescent="0.3">
      <c r="H30155" t="str">
        <f t="shared" si="520"/>
        <v/>
      </c>
    </row>
    <row r="30156" spans="8:8" x14ac:dyDescent="0.3">
      <c r="H30156" t="str">
        <f t="shared" si="520"/>
        <v/>
      </c>
    </row>
    <row r="30157" spans="8:8" x14ac:dyDescent="0.3">
      <c r="H30157" t="str">
        <f t="shared" si="520"/>
        <v/>
      </c>
    </row>
    <row r="30158" spans="8:8" x14ac:dyDescent="0.3">
      <c r="H30158" t="str">
        <f t="shared" si="520"/>
        <v/>
      </c>
    </row>
    <row r="30159" spans="8:8" x14ac:dyDescent="0.3">
      <c r="H30159" t="str">
        <f t="shared" si="520"/>
        <v/>
      </c>
    </row>
    <row r="30160" spans="8:8" x14ac:dyDescent="0.3">
      <c r="H30160" t="str">
        <f t="shared" si="520"/>
        <v/>
      </c>
    </row>
    <row r="30161" spans="8:8" x14ac:dyDescent="0.3">
      <c r="H30161" t="str">
        <f t="shared" si="520"/>
        <v/>
      </c>
    </row>
    <row r="30162" spans="8:8" x14ac:dyDescent="0.3">
      <c r="H30162" t="str">
        <f t="shared" si="520"/>
        <v/>
      </c>
    </row>
    <row r="30163" spans="8:8" x14ac:dyDescent="0.3">
      <c r="H30163" t="str">
        <f t="shared" si="520"/>
        <v/>
      </c>
    </row>
    <row r="30164" spans="8:8" x14ac:dyDescent="0.3">
      <c r="H30164" t="str">
        <f t="shared" si="520"/>
        <v/>
      </c>
    </row>
    <row r="30165" spans="8:8" x14ac:dyDescent="0.3">
      <c r="H30165" t="str">
        <f t="shared" si="520"/>
        <v/>
      </c>
    </row>
    <row r="30166" spans="8:8" x14ac:dyDescent="0.3">
      <c r="H30166" t="str">
        <f t="shared" si="520"/>
        <v/>
      </c>
    </row>
    <row r="30167" spans="8:8" x14ac:dyDescent="0.3">
      <c r="H30167" t="str">
        <f t="shared" ref="H30167:H30230" si="521">IF(B30167="","",$C$12)</f>
        <v/>
      </c>
    </row>
    <row r="30168" spans="8:8" x14ac:dyDescent="0.3">
      <c r="H30168" t="str">
        <f t="shared" si="521"/>
        <v/>
      </c>
    </row>
    <row r="30169" spans="8:8" x14ac:dyDescent="0.3">
      <c r="H30169" t="str">
        <f t="shared" si="521"/>
        <v/>
      </c>
    </row>
    <row r="30170" spans="8:8" x14ac:dyDescent="0.3">
      <c r="H30170" t="str">
        <f t="shared" si="521"/>
        <v/>
      </c>
    </row>
    <row r="30171" spans="8:8" x14ac:dyDescent="0.3">
      <c r="H30171" t="str">
        <f t="shared" si="521"/>
        <v/>
      </c>
    </row>
    <row r="30172" spans="8:8" x14ac:dyDescent="0.3">
      <c r="H30172" t="str">
        <f t="shared" si="521"/>
        <v/>
      </c>
    </row>
    <row r="30173" spans="8:8" x14ac:dyDescent="0.3">
      <c r="H30173" t="str">
        <f t="shared" si="521"/>
        <v/>
      </c>
    </row>
    <row r="30174" spans="8:8" x14ac:dyDescent="0.3">
      <c r="H30174" t="str">
        <f t="shared" si="521"/>
        <v/>
      </c>
    </row>
    <row r="30175" spans="8:8" x14ac:dyDescent="0.3">
      <c r="H30175" t="str">
        <f t="shared" si="521"/>
        <v/>
      </c>
    </row>
    <row r="30176" spans="8:8" x14ac:dyDescent="0.3">
      <c r="H30176" t="str">
        <f t="shared" si="521"/>
        <v/>
      </c>
    </row>
    <row r="30177" spans="8:8" x14ac:dyDescent="0.3">
      <c r="H30177" t="str">
        <f t="shared" si="521"/>
        <v/>
      </c>
    </row>
    <row r="30178" spans="8:8" x14ac:dyDescent="0.3">
      <c r="H30178" t="str">
        <f t="shared" si="521"/>
        <v/>
      </c>
    </row>
    <row r="30179" spans="8:8" x14ac:dyDescent="0.3">
      <c r="H30179" t="str">
        <f t="shared" si="521"/>
        <v/>
      </c>
    </row>
    <row r="30180" spans="8:8" x14ac:dyDescent="0.3">
      <c r="H30180" t="str">
        <f t="shared" si="521"/>
        <v/>
      </c>
    </row>
    <row r="30181" spans="8:8" x14ac:dyDescent="0.3">
      <c r="H30181" t="str">
        <f t="shared" si="521"/>
        <v/>
      </c>
    </row>
    <row r="30182" spans="8:8" x14ac:dyDescent="0.3">
      <c r="H30182" t="str">
        <f t="shared" si="521"/>
        <v/>
      </c>
    </row>
    <row r="30183" spans="8:8" x14ac:dyDescent="0.3">
      <c r="H30183" t="str">
        <f t="shared" si="521"/>
        <v/>
      </c>
    </row>
    <row r="30184" spans="8:8" x14ac:dyDescent="0.3">
      <c r="H30184" t="str">
        <f t="shared" si="521"/>
        <v/>
      </c>
    </row>
    <row r="30185" spans="8:8" x14ac:dyDescent="0.3">
      <c r="H30185" t="str">
        <f t="shared" si="521"/>
        <v/>
      </c>
    </row>
    <row r="30186" spans="8:8" x14ac:dyDescent="0.3">
      <c r="H30186" t="str">
        <f t="shared" si="521"/>
        <v/>
      </c>
    </row>
    <row r="30187" spans="8:8" x14ac:dyDescent="0.3">
      <c r="H30187" t="str">
        <f t="shared" si="521"/>
        <v/>
      </c>
    </row>
    <row r="30188" spans="8:8" x14ac:dyDescent="0.3">
      <c r="H30188" t="str">
        <f t="shared" si="521"/>
        <v/>
      </c>
    </row>
    <row r="30189" spans="8:8" x14ac:dyDescent="0.3">
      <c r="H30189" t="str">
        <f t="shared" si="521"/>
        <v/>
      </c>
    </row>
    <row r="30190" spans="8:8" x14ac:dyDescent="0.3">
      <c r="H30190" t="str">
        <f t="shared" si="521"/>
        <v/>
      </c>
    </row>
    <row r="30191" spans="8:8" x14ac:dyDescent="0.3">
      <c r="H30191" t="str">
        <f t="shared" si="521"/>
        <v/>
      </c>
    </row>
    <row r="30192" spans="8:8" x14ac:dyDescent="0.3">
      <c r="H30192" t="str">
        <f t="shared" si="521"/>
        <v/>
      </c>
    </row>
    <row r="30193" spans="8:8" x14ac:dyDescent="0.3">
      <c r="H30193" t="str">
        <f t="shared" si="521"/>
        <v/>
      </c>
    </row>
    <row r="30194" spans="8:8" x14ac:dyDescent="0.3">
      <c r="H30194" t="str">
        <f t="shared" si="521"/>
        <v/>
      </c>
    </row>
    <row r="30195" spans="8:8" x14ac:dyDescent="0.3">
      <c r="H30195" t="str">
        <f t="shared" si="521"/>
        <v/>
      </c>
    </row>
    <row r="30196" spans="8:8" x14ac:dyDescent="0.3">
      <c r="H30196" t="str">
        <f t="shared" si="521"/>
        <v/>
      </c>
    </row>
    <row r="30197" spans="8:8" x14ac:dyDescent="0.3">
      <c r="H30197" t="str">
        <f t="shared" si="521"/>
        <v/>
      </c>
    </row>
    <row r="30198" spans="8:8" x14ac:dyDescent="0.3">
      <c r="H30198" t="str">
        <f t="shared" si="521"/>
        <v/>
      </c>
    </row>
    <row r="30199" spans="8:8" x14ac:dyDescent="0.3">
      <c r="H30199" t="str">
        <f t="shared" si="521"/>
        <v/>
      </c>
    </row>
    <row r="30200" spans="8:8" x14ac:dyDescent="0.3">
      <c r="H30200" t="str">
        <f t="shared" si="521"/>
        <v/>
      </c>
    </row>
    <row r="30201" spans="8:8" x14ac:dyDescent="0.3">
      <c r="H30201" t="str">
        <f t="shared" si="521"/>
        <v/>
      </c>
    </row>
    <row r="30202" spans="8:8" x14ac:dyDescent="0.3">
      <c r="H30202" t="str">
        <f t="shared" si="521"/>
        <v/>
      </c>
    </row>
    <row r="30203" spans="8:8" x14ac:dyDescent="0.3">
      <c r="H30203" t="str">
        <f t="shared" si="521"/>
        <v/>
      </c>
    </row>
    <row r="30204" spans="8:8" x14ac:dyDescent="0.3">
      <c r="H30204" t="str">
        <f t="shared" si="521"/>
        <v/>
      </c>
    </row>
    <row r="30205" spans="8:8" x14ac:dyDescent="0.3">
      <c r="H30205" t="str">
        <f t="shared" si="521"/>
        <v/>
      </c>
    </row>
    <row r="30206" spans="8:8" x14ac:dyDescent="0.3">
      <c r="H30206" t="str">
        <f t="shared" si="521"/>
        <v/>
      </c>
    </row>
    <row r="30207" spans="8:8" x14ac:dyDescent="0.3">
      <c r="H30207" t="str">
        <f t="shared" si="521"/>
        <v/>
      </c>
    </row>
    <row r="30208" spans="8:8" x14ac:dyDescent="0.3">
      <c r="H30208" t="str">
        <f t="shared" si="521"/>
        <v/>
      </c>
    </row>
    <row r="30209" spans="8:8" x14ac:dyDescent="0.3">
      <c r="H30209" t="str">
        <f t="shared" si="521"/>
        <v/>
      </c>
    </row>
    <row r="30210" spans="8:8" x14ac:dyDescent="0.3">
      <c r="H30210" t="str">
        <f t="shared" si="521"/>
        <v/>
      </c>
    </row>
    <row r="30211" spans="8:8" x14ac:dyDescent="0.3">
      <c r="H30211" t="str">
        <f t="shared" si="521"/>
        <v/>
      </c>
    </row>
    <row r="30212" spans="8:8" x14ac:dyDescent="0.3">
      <c r="H30212" t="str">
        <f t="shared" si="521"/>
        <v/>
      </c>
    </row>
    <row r="30213" spans="8:8" x14ac:dyDescent="0.3">
      <c r="H30213" t="str">
        <f t="shared" si="521"/>
        <v/>
      </c>
    </row>
    <row r="30214" spans="8:8" x14ac:dyDescent="0.3">
      <c r="H30214" t="str">
        <f t="shared" si="521"/>
        <v/>
      </c>
    </row>
    <row r="30215" spans="8:8" x14ac:dyDescent="0.3">
      <c r="H30215" t="str">
        <f t="shared" si="521"/>
        <v/>
      </c>
    </row>
    <row r="30216" spans="8:8" x14ac:dyDescent="0.3">
      <c r="H30216" t="str">
        <f t="shared" si="521"/>
        <v/>
      </c>
    </row>
    <row r="30217" spans="8:8" x14ac:dyDescent="0.3">
      <c r="H30217" t="str">
        <f t="shared" si="521"/>
        <v/>
      </c>
    </row>
    <row r="30218" spans="8:8" x14ac:dyDescent="0.3">
      <c r="H30218" t="str">
        <f t="shared" si="521"/>
        <v/>
      </c>
    </row>
    <row r="30219" spans="8:8" x14ac:dyDescent="0.3">
      <c r="H30219" t="str">
        <f t="shared" si="521"/>
        <v/>
      </c>
    </row>
    <row r="30220" spans="8:8" x14ac:dyDescent="0.3">
      <c r="H30220" t="str">
        <f t="shared" si="521"/>
        <v/>
      </c>
    </row>
    <row r="30221" spans="8:8" x14ac:dyDescent="0.3">
      <c r="H30221" t="str">
        <f t="shared" si="521"/>
        <v/>
      </c>
    </row>
    <row r="30222" spans="8:8" x14ac:dyDescent="0.3">
      <c r="H30222" t="str">
        <f t="shared" si="521"/>
        <v/>
      </c>
    </row>
    <row r="30223" spans="8:8" x14ac:dyDescent="0.3">
      <c r="H30223" t="str">
        <f t="shared" si="521"/>
        <v/>
      </c>
    </row>
    <row r="30224" spans="8:8" x14ac:dyDescent="0.3">
      <c r="H30224" t="str">
        <f t="shared" si="521"/>
        <v/>
      </c>
    </row>
    <row r="30225" spans="8:8" x14ac:dyDescent="0.3">
      <c r="H30225" t="str">
        <f t="shared" si="521"/>
        <v/>
      </c>
    </row>
    <row r="30226" spans="8:8" x14ac:dyDescent="0.3">
      <c r="H30226" t="str">
        <f t="shared" si="521"/>
        <v/>
      </c>
    </row>
    <row r="30227" spans="8:8" x14ac:dyDescent="0.3">
      <c r="H30227" t="str">
        <f t="shared" si="521"/>
        <v/>
      </c>
    </row>
    <row r="30228" spans="8:8" x14ac:dyDescent="0.3">
      <c r="H30228" t="str">
        <f t="shared" si="521"/>
        <v/>
      </c>
    </row>
    <row r="30229" spans="8:8" x14ac:dyDescent="0.3">
      <c r="H30229" t="str">
        <f t="shared" si="521"/>
        <v/>
      </c>
    </row>
    <row r="30230" spans="8:8" x14ac:dyDescent="0.3">
      <c r="H30230" t="str">
        <f t="shared" si="521"/>
        <v/>
      </c>
    </row>
    <row r="30231" spans="8:8" x14ac:dyDescent="0.3">
      <c r="H30231" t="str">
        <f t="shared" ref="H30231:H30294" si="522">IF(B30231="","",$C$12)</f>
        <v/>
      </c>
    </row>
    <row r="30232" spans="8:8" x14ac:dyDescent="0.3">
      <c r="H30232" t="str">
        <f t="shared" si="522"/>
        <v/>
      </c>
    </row>
    <row r="30233" spans="8:8" x14ac:dyDescent="0.3">
      <c r="H30233" t="str">
        <f t="shared" si="522"/>
        <v/>
      </c>
    </row>
    <row r="30234" spans="8:8" x14ac:dyDescent="0.3">
      <c r="H30234" t="str">
        <f t="shared" si="522"/>
        <v/>
      </c>
    </row>
    <row r="30235" spans="8:8" x14ac:dyDescent="0.3">
      <c r="H30235" t="str">
        <f t="shared" si="522"/>
        <v/>
      </c>
    </row>
    <row r="30236" spans="8:8" x14ac:dyDescent="0.3">
      <c r="H30236" t="str">
        <f t="shared" si="522"/>
        <v/>
      </c>
    </row>
    <row r="30237" spans="8:8" x14ac:dyDescent="0.3">
      <c r="H30237" t="str">
        <f t="shared" si="522"/>
        <v/>
      </c>
    </row>
    <row r="30238" spans="8:8" x14ac:dyDescent="0.3">
      <c r="H30238" t="str">
        <f t="shared" si="522"/>
        <v/>
      </c>
    </row>
    <row r="30239" spans="8:8" x14ac:dyDescent="0.3">
      <c r="H30239" t="str">
        <f t="shared" si="522"/>
        <v/>
      </c>
    </row>
    <row r="30240" spans="8:8" x14ac:dyDescent="0.3">
      <c r="H30240" t="str">
        <f t="shared" si="522"/>
        <v/>
      </c>
    </row>
    <row r="30241" spans="8:8" x14ac:dyDescent="0.3">
      <c r="H30241" t="str">
        <f t="shared" si="522"/>
        <v/>
      </c>
    </row>
    <row r="30242" spans="8:8" x14ac:dyDescent="0.3">
      <c r="H30242" t="str">
        <f t="shared" si="522"/>
        <v/>
      </c>
    </row>
    <row r="30243" spans="8:8" x14ac:dyDescent="0.3">
      <c r="H30243" t="str">
        <f t="shared" si="522"/>
        <v/>
      </c>
    </row>
    <row r="30244" spans="8:8" x14ac:dyDescent="0.3">
      <c r="H30244" t="str">
        <f t="shared" si="522"/>
        <v/>
      </c>
    </row>
    <row r="30245" spans="8:8" x14ac:dyDescent="0.3">
      <c r="H30245" t="str">
        <f t="shared" si="522"/>
        <v/>
      </c>
    </row>
    <row r="30246" spans="8:8" x14ac:dyDescent="0.3">
      <c r="H30246" t="str">
        <f t="shared" si="522"/>
        <v/>
      </c>
    </row>
    <row r="30247" spans="8:8" x14ac:dyDescent="0.3">
      <c r="H30247" t="str">
        <f t="shared" si="522"/>
        <v/>
      </c>
    </row>
    <row r="30248" spans="8:8" x14ac:dyDescent="0.3">
      <c r="H30248" t="str">
        <f t="shared" si="522"/>
        <v/>
      </c>
    </row>
    <row r="30249" spans="8:8" x14ac:dyDescent="0.3">
      <c r="H30249" t="str">
        <f t="shared" si="522"/>
        <v/>
      </c>
    </row>
    <row r="30250" spans="8:8" x14ac:dyDescent="0.3">
      <c r="H30250" t="str">
        <f t="shared" si="522"/>
        <v/>
      </c>
    </row>
    <row r="30251" spans="8:8" x14ac:dyDescent="0.3">
      <c r="H30251" t="str">
        <f t="shared" si="522"/>
        <v/>
      </c>
    </row>
    <row r="30252" spans="8:8" x14ac:dyDescent="0.3">
      <c r="H30252" t="str">
        <f t="shared" si="522"/>
        <v/>
      </c>
    </row>
    <row r="30253" spans="8:8" x14ac:dyDescent="0.3">
      <c r="H30253" t="str">
        <f t="shared" si="522"/>
        <v/>
      </c>
    </row>
    <row r="30254" spans="8:8" x14ac:dyDescent="0.3">
      <c r="H30254" t="str">
        <f t="shared" si="522"/>
        <v/>
      </c>
    </row>
    <row r="30255" spans="8:8" x14ac:dyDescent="0.3">
      <c r="H30255" t="str">
        <f t="shared" si="522"/>
        <v/>
      </c>
    </row>
    <row r="30256" spans="8:8" x14ac:dyDescent="0.3">
      <c r="H30256" t="str">
        <f t="shared" si="522"/>
        <v/>
      </c>
    </row>
    <row r="30257" spans="8:8" x14ac:dyDescent="0.3">
      <c r="H30257" t="str">
        <f t="shared" si="522"/>
        <v/>
      </c>
    </row>
    <row r="30258" spans="8:8" x14ac:dyDescent="0.3">
      <c r="H30258" t="str">
        <f t="shared" si="522"/>
        <v/>
      </c>
    </row>
    <row r="30259" spans="8:8" x14ac:dyDescent="0.3">
      <c r="H30259" t="str">
        <f t="shared" si="522"/>
        <v/>
      </c>
    </row>
    <row r="30260" spans="8:8" x14ac:dyDescent="0.3">
      <c r="H30260" t="str">
        <f t="shared" si="522"/>
        <v/>
      </c>
    </row>
    <row r="30261" spans="8:8" x14ac:dyDescent="0.3">
      <c r="H30261" t="str">
        <f t="shared" si="522"/>
        <v/>
      </c>
    </row>
    <row r="30262" spans="8:8" x14ac:dyDescent="0.3">
      <c r="H30262" t="str">
        <f t="shared" si="522"/>
        <v/>
      </c>
    </row>
    <row r="30263" spans="8:8" x14ac:dyDescent="0.3">
      <c r="H30263" t="str">
        <f t="shared" si="522"/>
        <v/>
      </c>
    </row>
    <row r="30264" spans="8:8" x14ac:dyDescent="0.3">
      <c r="H30264" t="str">
        <f t="shared" si="522"/>
        <v/>
      </c>
    </row>
    <row r="30265" spans="8:8" x14ac:dyDescent="0.3">
      <c r="H30265" t="str">
        <f t="shared" si="522"/>
        <v/>
      </c>
    </row>
    <row r="30266" spans="8:8" x14ac:dyDescent="0.3">
      <c r="H30266" t="str">
        <f t="shared" si="522"/>
        <v/>
      </c>
    </row>
    <row r="30267" spans="8:8" x14ac:dyDescent="0.3">
      <c r="H30267" t="str">
        <f t="shared" si="522"/>
        <v/>
      </c>
    </row>
    <row r="30268" spans="8:8" x14ac:dyDescent="0.3">
      <c r="H30268" t="str">
        <f t="shared" si="522"/>
        <v/>
      </c>
    </row>
    <row r="30269" spans="8:8" x14ac:dyDescent="0.3">
      <c r="H30269" t="str">
        <f t="shared" si="522"/>
        <v/>
      </c>
    </row>
    <row r="30270" spans="8:8" x14ac:dyDescent="0.3">
      <c r="H30270" t="str">
        <f t="shared" si="522"/>
        <v/>
      </c>
    </row>
    <row r="30271" spans="8:8" x14ac:dyDescent="0.3">
      <c r="H30271" t="str">
        <f t="shared" si="522"/>
        <v/>
      </c>
    </row>
    <row r="30272" spans="8:8" x14ac:dyDescent="0.3">
      <c r="H30272" t="str">
        <f t="shared" si="522"/>
        <v/>
      </c>
    </row>
    <row r="30273" spans="8:8" x14ac:dyDescent="0.3">
      <c r="H30273" t="str">
        <f t="shared" si="522"/>
        <v/>
      </c>
    </row>
    <row r="30274" spans="8:8" x14ac:dyDescent="0.3">
      <c r="H30274" t="str">
        <f t="shared" si="522"/>
        <v/>
      </c>
    </row>
    <row r="30275" spans="8:8" x14ac:dyDescent="0.3">
      <c r="H30275" t="str">
        <f t="shared" si="522"/>
        <v/>
      </c>
    </row>
    <row r="30276" spans="8:8" x14ac:dyDescent="0.3">
      <c r="H30276" t="str">
        <f t="shared" si="522"/>
        <v/>
      </c>
    </row>
    <row r="30277" spans="8:8" x14ac:dyDescent="0.3">
      <c r="H30277" t="str">
        <f t="shared" si="522"/>
        <v/>
      </c>
    </row>
    <row r="30278" spans="8:8" x14ac:dyDescent="0.3">
      <c r="H30278" t="str">
        <f t="shared" si="522"/>
        <v/>
      </c>
    </row>
    <row r="30279" spans="8:8" x14ac:dyDescent="0.3">
      <c r="H30279" t="str">
        <f t="shared" si="522"/>
        <v/>
      </c>
    </row>
    <row r="30280" spans="8:8" x14ac:dyDescent="0.3">
      <c r="H30280" t="str">
        <f t="shared" si="522"/>
        <v/>
      </c>
    </row>
    <row r="30281" spans="8:8" x14ac:dyDescent="0.3">
      <c r="H30281" t="str">
        <f t="shared" si="522"/>
        <v/>
      </c>
    </row>
    <row r="30282" spans="8:8" x14ac:dyDescent="0.3">
      <c r="H30282" t="str">
        <f t="shared" si="522"/>
        <v/>
      </c>
    </row>
    <row r="30283" spans="8:8" x14ac:dyDescent="0.3">
      <c r="H30283" t="str">
        <f t="shared" si="522"/>
        <v/>
      </c>
    </row>
    <row r="30284" spans="8:8" x14ac:dyDescent="0.3">
      <c r="H30284" t="str">
        <f t="shared" si="522"/>
        <v/>
      </c>
    </row>
    <row r="30285" spans="8:8" x14ac:dyDescent="0.3">
      <c r="H30285" t="str">
        <f t="shared" si="522"/>
        <v/>
      </c>
    </row>
    <row r="30286" spans="8:8" x14ac:dyDescent="0.3">
      <c r="H30286" t="str">
        <f t="shared" si="522"/>
        <v/>
      </c>
    </row>
    <row r="30287" spans="8:8" x14ac:dyDescent="0.3">
      <c r="H30287" t="str">
        <f t="shared" si="522"/>
        <v/>
      </c>
    </row>
    <row r="30288" spans="8:8" x14ac:dyDescent="0.3">
      <c r="H30288" t="str">
        <f t="shared" si="522"/>
        <v/>
      </c>
    </row>
    <row r="30289" spans="8:8" x14ac:dyDescent="0.3">
      <c r="H30289" t="str">
        <f t="shared" si="522"/>
        <v/>
      </c>
    </row>
    <row r="30290" spans="8:8" x14ac:dyDescent="0.3">
      <c r="H30290" t="str">
        <f t="shared" si="522"/>
        <v/>
      </c>
    </row>
    <row r="30291" spans="8:8" x14ac:dyDescent="0.3">
      <c r="H30291" t="str">
        <f t="shared" si="522"/>
        <v/>
      </c>
    </row>
    <row r="30292" spans="8:8" x14ac:dyDescent="0.3">
      <c r="H30292" t="str">
        <f t="shared" si="522"/>
        <v/>
      </c>
    </row>
    <row r="30293" spans="8:8" x14ac:dyDescent="0.3">
      <c r="H30293" t="str">
        <f t="shared" si="522"/>
        <v/>
      </c>
    </row>
    <row r="30294" spans="8:8" x14ac:dyDescent="0.3">
      <c r="H30294" t="str">
        <f t="shared" si="522"/>
        <v/>
      </c>
    </row>
    <row r="30295" spans="8:8" x14ac:dyDescent="0.3">
      <c r="H30295" t="str">
        <f t="shared" ref="H30295:H30358" si="523">IF(B30295="","",$C$12)</f>
        <v/>
      </c>
    </row>
    <row r="30296" spans="8:8" x14ac:dyDescent="0.3">
      <c r="H30296" t="str">
        <f t="shared" si="523"/>
        <v/>
      </c>
    </row>
    <row r="30297" spans="8:8" x14ac:dyDescent="0.3">
      <c r="H30297" t="str">
        <f t="shared" si="523"/>
        <v/>
      </c>
    </row>
    <row r="30298" spans="8:8" x14ac:dyDescent="0.3">
      <c r="H30298" t="str">
        <f t="shared" si="523"/>
        <v/>
      </c>
    </row>
    <row r="30299" spans="8:8" x14ac:dyDescent="0.3">
      <c r="H30299" t="str">
        <f t="shared" si="523"/>
        <v/>
      </c>
    </row>
    <row r="30300" spans="8:8" x14ac:dyDescent="0.3">
      <c r="H30300" t="str">
        <f t="shared" si="523"/>
        <v/>
      </c>
    </row>
    <row r="30301" spans="8:8" x14ac:dyDescent="0.3">
      <c r="H30301" t="str">
        <f t="shared" si="523"/>
        <v/>
      </c>
    </row>
    <row r="30302" spans="8:8" x14ac:dyDescent="0.3">
      <c r="H30302" t="str">
        <f t="shared" si="523"/>
        <v/>
      </c>
    </row>
    <row r="30303" spans="8:8" x14ac:dyDescent="0.3">
      <c r="H30303" t="str">
        <f t="shared" si="523"/>
        <v/>
      </c>
    </row>
    <row r="30304" spans="8:8" x14ac:dyDescent="0.3">
      <c r="H30304" t="str">
        <f t="shared" si="523"/>
        <v/>
      </c>
    </row>
    <row r="30305" spans="8:8" x14ac:dyDescent="0.3">
      <c r="H30305" t="str">
        <f t="shared" si="523"/>
        <v/>
      </c>
    </row>
    <row r="30306" spans="8:8" x14ac:dyDescent="0.3">
      <c r="H30306" t="str">
        <f t="shared" si="523"/>
        <v/>
      </c>
    </row>
    <row r="30307" spans="8:8" x14ac:dyDescent="0.3">
      <c r="H30307" t="str">
        <f t="shared" si="523"/>
        <v/>
      </c>
    </row>
    <row r="30308" spans="8:8" x14ac:dyDescent="0.3">
      <c r="H30308" t="str">
        <f t="shared" si="523"/>
        <v/>
      </c>
    </row>
    <row r="30309" spans="8:8" x14ac:dyDescent="0.3">
      <c r="H30309" t="str">
        <f t="shared" si="523"/>
        <v/>
      </c>
    </row>
    <row r="30310" spans="8:8" x14ac:dyDescent="0.3">
      <c r="H30310" t="str">
        <f t="shared" si="523"/>
        <v/>
      </c>
    </row>
    <row r="30311" spans="8:8" x14ac:dyDescent="0.3">
      <c r="H30311" t="str">
        <f t="shared" si="523"/>
        <v/>
      </c>
    </row>
    <row r="30312" spans="8:8" x14ac:dyDescent="0.3">
      <c r="H30312" t="str">
        <f t="shared" si="523"/>
        <v/>
      </c>
    </row>
    <row r="30313" spans="8:8" x14ac:dyDescent="0.3">
      <c r="H30313" t="str">
        <f t="shared" si="523"/>
        <v/>
      </c>
    </row>
    <row r="30314" spans="8:8" x14ac:dyDescent="0.3">
      <c r="H30314" t="str">
        <f t="shared" si="523"/>
        <v/>
      </c>
    </row>
    <row r="30315" spans="8:8" x14ac:dyDescent="0.3">
      <c r="H30315" t="str">
        <f t="shared" si="523"/>
        <v/>
      </c>
    </row>
    <row r="30316" spans="8:8" x14ac:dyDescent="0.3">
      <c r="H30316" t="str">
        <f t="shared" si="523"/>
        <v/>
      </c>
    </row>
    <row r="30317" spans="8:8" x14ac:dyDescent="0.3">
      <c r="H30317" t="str">
        <f t="shared" si="523"/>
        <v/>
      </c>
    </row>
    <row r="30318" spans="8:8" x14ac:dyDescent="0.3">
      <c r="H30318" t="str">
        <f t="shared" si="523"/>
        <v/>
      </c>
    </row>
    <row r="30319" spans="8:8" x14ac:dyDescent="0.3">
      <c r="H30319" t="str">
        <f t="shared" si="523"/>
        <v/>
      </c>
    </row>
    <row r="30320" spans="8:8" x14ac:dyDescent="0.3">
      <c r="H30320" t="str">
        <f t="shared" si="523"/>
        <v/>
      </c>
    </row>
    <row r="30321" spans="8:8" x14ac:dyDescent="0.3">
      <c r="H30321" t="str">
        <f t="shared" si="523"/>
        <v/>
      </c>
    </row>
    <row r="30322" spans="8:8" x14ac:dyDescent="0.3">
      <c r="H30322" t="str">
        <f t="shared" si="523"/>
        <v/>
      </c>
    </row>
    <row r="30323" spans="8:8" x14ac:dyDescent="0.3">
      <c r="H30323" t="str">
        <f t="shared" si="523"/>
        <v/>
      </c>
    </row>
    <row r="30324" spans="8:8" x14ac:dyDescent="0.3">
      <c r="H30324" t="str">
        <f t="shared" si="523"/>
        <v/>
      </c>
    </row>
    <row r="30325" spans="8:8" x14ac:dyDescent="0.3">
      <c r="H30325" t="str">
        <f t="shared" si="523"/>
        <v/>
      </c>
    </row>
    <row r="30326" spans="8:8" x14ac:dyDescent="0.3">
      <c r="H30326" t="str">
        <f t="shared" si="523"/>
        <v/>
      </c>
    </row>
    <row r="30327" spans="8:8" x14ac:dyDescent="0.3">
      <c r="H30327" t="str">
        <f t="shared" si="523"/>
        <v/>
      </c>
    </row>
    <row r="30328" spans="8:8" x14ac:dyDescent="0.3">
      <c r="H30328" t="str">
        <f t="shared" si="523"/>
        <v/>
      </c>
    </row>
    <row r="30329" spans="8:8" x14ac:dyDescent="0.3">
      <c r="H30329" t="str">
        <f t="shared" si="523"/>
        <v/>
      </c>
    </row>
    <row r="30330" spans="8:8" x14ac:dyDescent="0.3">
      <c r="H30330" t="str">
        <f t="shared" si="523"/>
        <v/>
      </c>
    </row>
    <row r="30331" spans="8:8" x14ac:dyDescent="0.3">
      <c r="H30331" t="str">
        <f t="shared" si="523"/>
        <v/>
      </c>
    </row>
    <row r="30332" spans="8:8" x14ac:dyDescent="0.3">
      <c r="H30332" t="str">
        <f t="shared" si="523"/>
        <v/>
      </c>
    </row>
    <row r="30333" spans="8:8" x14ac:dyDescent="0.3">
      <c r="H30333" t="str">
        <f t="shared" si="523"/>
        <v/>
      </c>
    </row>
    <row r="30334" spans="8:8" x14ac:dyDescent="0.3">
      <c r="H30334" t="str">
        <f t="shared" si="523"/>
        <v/>
      </c>
    </row>
    <row r="30335" spans="8:8" x14ac:dyDescent="0.3">
      <c r="H30335" t="str">
        <f t="shared" si="523"/>
        <v/>
      </c>
    </row>
    <row r="30336" spans="8:8" x14ac:dyDescent="0.3">
      <c r="H30336" t="str">
        <f t="shared" si="523"/>
        <v/>
      </c>
    </row>
    <row r="30337" spans="8:8" x14ac:dyDescent="0.3">
      <c r="H30337" t="str">
        <f t="shared" si="523"/>
        <v/>
      </c>
    </row>
    <row r="30338" spans="8:8" x14ac:dyDescent="0.3">
      <c r="H30338" t="str">
        <f t="shared" si="523"/>
        <v/>
      </c>
    </row>
    <row r="30339" spans="8:8" x14ac:dyDescent="0.3">
      <c r="H30339" t="str">
        <f t="shared" si="523"/>
        <v/>
      </c>
    </row>
    <row r="30340" spans="8:8" x14ac:dyDescent="0.3">
      <c r="H30340" t="str">
        <f t="shared" si="523"/>
        <v/>
      </c>
    </row>
    <row r="30341" spans="8:8" x14ac:dyDescent="0.3">
      <c r="H30341" t="str">
        <f t="shared" si="523"/>
        <v/>
      </c>
    </row>
    <row r="30342" spans="8:8" x14ac:dyDescent="0.3">
      <c r="H30342" t="str">
        <f t="shared" si="523"/>
        <v/>
      </c>
    </row>
    <row r="30343" spans="8:8" x14ac:dyDescent="0.3">
      <c r="H30343" t="str">
        <f t="shared" si="523"/>
        <v/>
      </c>
    </row>
    <row r="30344" spans="8:8" x14ac:dyDescent="0.3">
      <c r="H30344" t="str">
        <f t="shared" si="523"/>
        <v/>
      </c>
    </row>
    <row r="30345" spans="8:8" x14ac:dyDescent="0.3">
      <c r="H30345" t="str">
        <f t="shared" si="523"/>
        <v/>
      </c>
    </row>
    <row r="30346" spans="8:8" x14ac:dyDescent="0.3">
      <c r="H30346" t="str">
        <f t="shared" si="523"/>
        <v/>
      </c>
    </row>
    <row r="30347" spans="8:8" x14ac:dyDescent="0.3">
      <c r="H30347" t="str">
        <f t="shared" si="523"/>
        <v/>
      </c>
    </row>
    <row r="30348" spans="8:8" x14ac:dyDescent="0.3">
      <c r="H30348" t="str">
        <f t="shared" si="523"/>
        <v/>
      </c>
    </row>
    <row r="30349" spans="8:8" x14ac:dyDescent="0.3">
      <c r="H30349" t="str">
        <f t="shared" si="523"/>
        <v/>
      </c>
    </row>
    <row r="30350" spans="8:8" x14ac:dyDescent="0.3">
      <c r="H30350" t="str">
        <f t="shared" si="523"/>
        <v/>
      </c>
    </row>
    <row r="30351" spans="8:8" x14ac:dyDescent="0.3">
      <c r="H30351" t="str">
        <f t="shared" si="523"/>
        <v/>
      </c>
    </row>
    <row r="30352" spans="8:8" x14ac:dyDescent="0.3">
      <c r="H30352" t="str">
        <f t="shared" si="523"/>
        <v/>
      </c>
    </row>
    <row r="30353" spans="8:8" x14ac:dyDescent="0.3">
      <c r="H30353" t="str">
        <f t="shared" si="523"/>
        <v/>
      </c>
    </row>
    <row r="30354" spans="8:8" x14ac:dyDescent="0.3">
      <c r="H30354" t="str">
        <f t="shared" si="523"/>
        <v/>
      </c>
    </row>
    <row r="30355" spans="8:8" x14ac:dyDescent="0.3">
      <c r="H30355" t="str">
        <f t="shared" si="523"/>
        <v/>
      </c>
    </row>
    <row r="30356" spans="8:8" x14ac:dyDescent="0.3">
      <c r="H30356" t="str">
        <f t="shared" si="523"/>
        <v/>
      </c>
    </row>
    <row r="30357" spans="8:8" x14ac:dyDescent="0.3">
      <c r="H30357" t="str">
        <f t="shared" si="523"/>
        <v/>
      </c>
    </row>
    <row r="30358" spans="8:8" x14ac:dyDescent="0.3">
      <c r="H30358" t="str">
        <f t="shared" si="523"/>
        <v/>
      </c>
    </row>
    <row r="30359" spans="8:8" x14ac:dyDescent="0.3">
      <c r="H30359" t="str">
        <f t="shared" ref="H30359:H30422" si="524">IF(B30359="","",$C$12)</f>
        <v/>
      </c>
    </row>
    <row r="30360" spans="8:8" x14ac:dyDescent="0.3">
      <c r="H30360" t="str">
        <f t="shared" si="524"/>
        <v/>
      </c>
    </row>
    <row r="30361" spans="8:8" x14ac:dyDescent="0.3">
      <c r="H30361" t="str">
        <f t="shared" si="524"/>
        <v/>
      </c>
    </row>
    <row r="30362" spans="8:8" x14ac:dyDescent="0.3">
      <c r="H30362" t="str">
        <f t="shared" si="524"/>
        <v/>
      </c>
    </row>
    <row r="30363" spans="8:8" x14ac:dyDescent="0.3">
      <c r="H30363" t="str">
        <f t="shared" si="524"/>
        <v/>
      </c>
    </row>
    <row r="30364" spans="8:8" x14ac:dyDescent="0.3">
      <c r="H30364" t="str">
        <f t="shared" si="524"/>
        <v/>
      </c>
    </row>
    <row r="30365" spans="8:8" x14ac:dyDescent="0.3">
      <c r="H30365" t="str">
        <f t="shared" si="524"/>
        <v/>
      </c>
    </row>
    <row r="30366" spans="8:8" x14ac:dyDescent="0.3">
      <c r="H30366" t="str">
        <f t="shared" si="524"/>
        <v/>
      </c>
    </row>
    <row r="30367" spans="8:8" x14ac:dyDescent="0.3">
      <c r="H30367" t="str">
        <f t="shared" si="524"/>
        <v/>
      </c>
    </row>
    <row r="30368" spans="8:8" x14ac:dyDescent="0.3">
      <c r="H30368" t="str">
        <f t="shared" si="524"/>
        <v/>
      </c>
    </row>
    <row r="30369" spans="8:8" x14ac:dyDescent="0.3">
      <c r="H30369" t="str">
        <f t="shared" si="524"/>
        <v/>
      </c>
    </row>
    <row r="30370" spans="8:8" x14ac:dyDescent="0.3">
      <c r="H30370" t="str">
        <f t="shared" si="524"/>
        <v/>
      </c>
    </row>
    <row r="30371" spans="8:8" x14ac:dyDescent="0.3">
      <c r="H30371" t="str">
        <f t="shared" si="524"/>
        <v/>
      </c>
    </row>
    <row r="30372" spans="8:8" x14ac:dyDescent="0.3">
      <c r="H30372" t="str">
        <f t="shared" si="524"/>
        <v/>
      </c>
    </row>
    <row r="30373" spans="8:8" x14ac:dyDescent="0.3">
      <c r="H30373" t="str">
        <f t="shared" si="524"/>
        <v/>
      </c>
    </row>
    <row r="30374" spans="8:8" x14ac:dyDescent="0.3">
      <c r="H30374" t="str">
        <f t="shared" si="524"/>
        <v/>
      </c>
    </row>
    <row r="30375" spans="8:8" x14ac:dyDescent="0.3">
      <c r="H30375" t="str">
        <f t="shared" si="524"/>
        <v/>
      </c>
    </row>
    <row r="30376" spans="8:8" x14ac:dyDescent="0.3">
      <c r="H30376" t="str">
        <f t="shared" si="524"/>
        <v/>
      </c>
    </row>
    <row r="30377" spans="8:8" x14ac:dyDescent="0.3">
      <c r="H30377" t="str">
        <f t="shared" si="524"/>
        <v/>
      </c>
    </row>
    <row r="30378" spans="8:8" x14ac:dyDescent="0.3">
      <c r="H30378" t="str">
        <f t="shared" si="524"/>
        <v/>
      </c>
    </row>
    <row r="30379" spans="8:8" x14ac:dyDescent="0.3">
      <c r="H30379" t="str">
        <f t="shared" si="524"/>
        <v/>
      </c>
    </row>
    <row r="30380" spans="8:8" x14ac:dyDescent="0.3">
      <c r="H30380" t="str">
        <f t="shared" si="524"/>
        <v/>
      </c>
    </row>
    <row r="30381" spans="8:8" x14ac:dyDescent="0.3">
      <c r="H30381" t="str">
        <f t="shared" si="524"/>
        <v/>
      </c>
    </row>
    <row r="30382" spans="8:8" x14ac:dyDescent="0.3">
      <c r="H30382" t="str">
        <f t="shared" si="524"/>
        <v/>
      </c>
    </row>
    <row r="30383" spans="8:8" x14ac:dyDescent="0.3">
      <c r="H30383" t="str">
        <f t="shared" si="524"/>
        <v/>
      </c>
    </row>
    <row r="30384" spans="8:8" x14ac:dyDescent="0.3">
      <c r="H30384" t="str">
        <f t="shared" si="524"/>
        <v/>
      </c>
    </row>
    <row r="30385" spans="8:8" x14ac:dyDescent="0.3">
      <c r="H30385" t="str">
        <f t="shared" si="524"/>
        <v/>
      </c>
    </row>
    <row r="30386" spans="8:8" x14ac:dyDescent="0.3">
      <c r="H30386" t="str">
        <f t="shared" si="524"/>
        <v/>
      </c>
    </row>
    <row r="30387" spans="8:8" x14ac:dyDescent="0.3">
      <c r="H30387" t="str">
        <f t="shared" si="524"/>
        <v/>
      </c>
    </row>
    <row r="30388" spans="8:8" x14ac:dyDescent="0.3">
      <c r="H30388" t="str">
        <f t="shared" si="524"/>
        <v/>
      </c>
    </row>
    <row r="30389" spans="8:8" x14ac:dyDescent="0.3">
      <c r="H30389" t="str">
        <f t="shared" si="524"/>
        <v/>
      </c>
    </row>
    <row r="30390" spans="8:8" x14ac:dyDescent="0.3">
      <c r="H30390" t="str">
        <f t="shared" si="524"/>
        <v/>
      </c>
    </row>
    <row r="30391" spans="8:8" x14ac:dyDescent="0.3">
      <c r="H30391" t="str">
        <f t="shared" si="524"/>
        <v/>
      </c>
    </row>
    <row r="30392" spans="8:8" x14ac:dyDescent="0.3">
      <c r="H30392" t="str">
        <f t="shared" si="524"/>
        <v/>
      </c>
    </row>
    <row r="30393" spans="8:8" x14ac:dyDescent="0.3">
      <c r="H30393" t="str">
        <f t="shared" si="524"/>
        <v/>
      </c>
    </row>
    <row r="30394" spans="8:8" x14ac:dyDescent="0.3">
      <c r="H30394" t="str">
        <f t="shared" si="524"/>
        <v/>
      </c>
    </row>
    <row r="30395" spans="8:8" x14ac:dyDescent="0.3">
      <c r="H30395" t="str">
        <f t="shared" si="524"/>
        <v/>
      </c>
    </row>
    <row r="30396" spans="8:8" x14ac:dyDescent="0.3">
      <c r="H30396" t="str">
        <f t="shared" si="524"/>
        <v/>
      </c>
    </row>
    <row r="30397" spans="8:8" x14ac:dyDescent="0.3">
      <c r="H30397" t="str">
        <f t="shared" si="524"/>
        <v/>
      </c>
    </row>
    <row r="30398" spans="8:8" x14ac:dyDescent="0.3">
      <c r="H30398" t="str">
        <f t="shared" si="524"/>
        <v/>
      </c>
    </row>
    <row r="30399" spans="8:8" x14ac:dyDescent="0.3">
      <c r="H30399" t="str">
        <f t="shared" si="524"/>
        <v/>
      </c>
    </row>
    <row r="30400" spans="8:8" x14ac:dyDescent="0.3">
      <c r="H30400" t="str">
        <f t="shared" si="524"/>
        <v/>
      </c>
    </row>
    <row r="30401" spans="8:8" x14ac:dyDescent="0.3">
      <c r="H30401" t="str">
        <f t="shared" si="524"/>
        <v/>
      </c>
    </row>
    <row r="30402" spans="8:8" x14ac:dyDescent="0.3">
      <c r="H30402" t="str">
        <f t="shared" si="524"/>
        <v/>
      </c>
    </row>
    <row r="30403" spans="8:8" x14ac:dyDescent="0.3">
      <c r="H30403" t="str">
        <f t="shared" si="524"/>
        <v/>
      </c>
    </row>
    <row r="30404" spans="8:8" x14ac:dyDescent="0.3">
      <c r="H30404" t="str">
        <f t="shared" si="524"/>
        <v/>
      </c>
    </row>
    <row r="30405" spans="8:8" x14ac:dyDescent="0.3">
      <c r="H30405" t="str">
        <f t="shared" si="524"/>
        <v/>
      </c>
    </row>
    <row r="30406" spans="8:8" x14ac:dyDescent="0.3">
      <c r="H30406" t="str">
        <f t="shared" si="524"/>
        <v/>
      </c>
    </row>
    <row r="30407" spans="8:8" x14ac:dyDescent="0.3">
      <c r="H30407" t="str">
        <f t="shared" si="524"/>
        <v/>
      </c>
    </row>
    <row r="30408" spans="8:8" x14ac:dyDescent="0.3">
      <c r="H30408" t="str">
        <f t="shared" si="524"/>
        <v/>
      </c>
    </row>
    <row r="30409" spans="8:8" x14ac:dyDescent="0.3">
      <c r="H30409" t="str">
        <f t="shared" si="524"/>
        <v/>
      </c>
    </row>
    <row r="30410" spans="8:8" x14ac:dyDescent="0.3">
      <c r="H30410" t="str">
        <f t="shared" si="524"/>
        <v/>
      </c>
    </row>
    <row r="30411" spans="8:8" x14ac:dyDescent="0.3">
      <c r="H30411" t="str">
        <f t="shared" si="524"/>
        <v/>
      </c>
    </row>
    <row r="30412" spans="8:8" x14ac:dyDescent="0.3">
      <c r="H30412" t="str">
        <f t="shared" si="524"/>
        <v/>
      </c>
    </row>
    <row r="30413" spans="8:8" x14ac:dyDescent="0.3">
      <c r="H30413" t="str">
        <f t="shared" si="524"/>
        <v/>
      </c>
    </row>
    <row r="30414" spans="8:8" x14ac:dyDescent="0.3">
      <c r="H30414" t="str">
        <f t="shared" si="524"/>
        <v/>
      </c>
    </row>
    <row r="30415" spans="8:8" x14ac:dyDescent="0.3">
      <c r="H30415" t="str">
        <f t="shared" si="524"/>
        <v/>
      </c>
    </row>
    <row r="30416" spans="8:8" x14ac:dyDescent="0.3">
      <c r="H30416" t="str">
        <f t="shared" si="524"/>
        <v/>
      </c>
    </row>
    <row r="30417" spans="8:8" x14ac:dyDescent="0.3">
      <c r="H30417" t="str">
        <f t="shared" si="524"/>
        <v/>
      </c>
    </row>
    <row r="30418" spans="8:8" x14ac:dyDescent="0.3">
      <c r="H30418" t="str">
        <f t="shared" si="524"/>
        <v/>
      </c>
    </row>
    <row r="30419" spans="8:8" x14ac:dyDescent="0.3">
      <c r="H30419" t="str">
        <f t="shared" si="524"/>
        <v/>
      </c>
    </row>
    <row r="30420" spans="8:8" x14ac:dyDescent="0.3">
      <c r="H30420" t="str">
        <f t="shared" si="524"/>
        <v/>
      </c>
    </row>
    <row r="30421" spans="8:8" x14ac:dyDescent="0.3">
      <c r="H30421" t="str">
        <f t="shared" si="524"/>
        <v/>
      </c>
    </row>
    <row r="30422" spans="8:8" x14ac:dyDescent="0.3">
      <c r="H30422" t="str">
        <f t="shared" si="524"/>
        <v/>
      </c>
    </row>
    <row r="30423" spans="8:8" x14ac:dyDescent="0.3">
      <c r="H30423" t="str">
        <f t="shared" ref="H30423:H30486" si="525">IF(B30423="","",$C$12)</f>
        <v/>
      </c>
    </row>
    <row r="30424" spans="8:8" x14ac:dyDescent="0.3">
      <c r="H30424" t="str">
        <f t="shared" si="525"/>
        <v/>
      </c>
    </row>
    <row r="30425" spans="8:8" x14ac:dyDescent="0.3">
      <c r="H30425" t="str">
        <f t="shared" si="525"/>
        <v/>
      </c>
    </row>
    <row r="30426" spans="8:8" x14ac:dyDescent="0.3">
      <c r="H30426" t="str">
        <f t="shared" si="525"/>
        <v/>
      </c>
    </row>
    <row r="30427" spans="8:8" x14ac:dyDescent="0.3">
      <c r="H30427" t="str">
        <f t="shared" si="525"/>
        <v/>
      </c>
    </row>
    <row r="30428" spans="8:8" x14ac:dyDescent="0.3">
      <c r="H30428" t="str">
        <f t="shared" si="525"/>
        <v/>
      </c>
    </row>
    <row r="30429" spans="8:8" x14ac:dyDescent="0.3">
      <c r="H30429" t="str">
        <f t="shared" si="525"/>
        <v/>
      </c>
    </row>
    <row r="30430" spans="8:8" x14ac:dyDescent="0.3">
      <c r="H30430" t="str">
        <f t="shared" si="525"/>
        <v/>
      </c>
    </row>
    <row r="30431" spans="8:8" x14ac:dyDescent="0.3">
      <c r="H30431" t="str">
        <f t="shared" si="525"/>
        <v/>
      </c>
    </row>
    <row r="30432" spans="8:8" x14ac:dyDescent="0.3">
      <c r="H30432" t="str">
        <f t="shared" si="525"/>
        <v/>
      </c>
    </row>
    <row r="30433" spans="8:8" x14ac:dyDescent="0.3">
      <c r="H30433" t="str">
        <f t="shared" si="525"/>
        <v/>
      </c>
    </row>
    <row r="30434" spans="8:8" x14ac:dyDescent="0.3">
      <c r="H30434" t="str">
        <f t="shared" si="525"/>
        <v/>
      </c>
    </row>
    <row r="30435" spans="8:8" x14ac:dyDescent="0.3">
      <c r="H30435" t="str">
        <f t="shared" si="525"/>
        <v/>
      </c>
    </row>
    <row r="30436" spans="8:8" x14ac:dyDescent="0.3">
      <c r="H30436" t="str">
        <f t="shared" si="525"/>
        <v/>
      </c>
    </row>
    <row r="30437" spans="8:8" x14ac:dyDescent="0.3">
      <c r="H30437" t="str">
        <f t="shared" si="525"/>
        <v/>
      </c>
    </row>
    <row r="30438" spans="8:8" x14ac:dyDescent="0.3">
      <c r="H30438" t="str">
        <f t="shared" si="525"/>
        <v/>
      </c>
    </row>
    <row r="30439" spans="8:8" x14ac:dyDescent="0.3">
      <c r="H30439" t="str">
        <f t="shared" si="525"/>
        <v/>
      </c>
    </row>
    <row r="30440" spans="8:8" x14ac:dyDescent="0.3">
      <c r="H30440" t="str">
        <f t="shared" si="525"/>
        <v/>
      </c>
    </row>
    <row r="30441" spans="8:8" x14ac:dyDescent="0.3">
      <c r="H30441" t="str">
        <f t="shared" si="525"/>
        <v/>
      </c>
    </row>
    <row r="30442" spans="8:8" x14ac:dyDescent="0.3">
      <c r="H30442" t="str">
        <f t="shared" si="525"/>
        <v/>
      </c>
    </row>
    <row r="30443" spans="8:8" x14ac:dyDescent="0.3">
      <c r="H30443" t="str">
        <f t="shared" si="525"/>
        <v/>
      </c>
    </row>
    <row r="30444" spans="8:8" x14ac:dyDescent="0.3">
      <c r="H30444" t="str">
        <f t="shared" si="525"/>
        <v/>
      </c>
    </row>
    <row r="30445" spans="8:8" x14ac:dyDescent="0.3">
      <c r="H30445" t="str">
        <f t="shared" si="525"/>
        <v/>
      </c>
    </row>
    <row r="30446" spans="8:8" x14ac:dyDescent="0.3">
      <c r="H30446" t="str">
        <f t="shared" si="525"/>
        <v/>
      </c>
    </row>
    <row r="30447" spans="8:8" x14ac:dyDescent="0.3">
      <c r="H30447" t="str">
        <f t="shared" si="525"/>
        <v/>
      </c>
    </row>
    <row r="30448" spans="8:8" x14ac:dyDescent="0.3">
      <c r="H30448" t="str">
        <f t="shared" si="525"/>
        <v/>
      </c>
    </row>
    <row r="30449" spans="8:8" x14ac:dyDescent="0.3">
      <c r="H30449" t="str">
        <f t="shared" si="525"/>
        <v/>
      </c>
    </row>
    <row r="30450" spans="8:8" x14ac:dyDescent="0.3">
      <c r="H30450" t="str">
        <f t="shared" si="525"/>
        <v/>
      </c>
    </row>
    <row r="30451" spans="8:8" x14ac:dyDescent="0.3">
      <c r="H30451" t="str">
        <f t="shared" si="525"/>
        <v/>
      </c>
    </row>
    <row r="30452" spans="8:8" x14ac:dyDescent="0.3">
      <c r="H30452" t="str">
        <f t="shared" si="525"/>
        <v/>
      </c>
    </row>
    <row r="30453" spans="8:8" x14ac:dyDescent="0.3">
      <c r="H30453" t="str">
        <f t="shared" si="525"/>
        <v/>
      </c>
    </row>
    <row r="30454" spans="8:8" x14ac:dyDescent="0.3">
      <c r="H30454" t="str">
        <f t="shared" si="525"/>
        <v/>
      </c>
    </row>
    <row r="30455" spans="8:8" x14ac:dyDescent="0.3">
      <c r="H30455" t="str">
        <f t="shared" si="525"/>
        <v/>
      </c>
    </row>
    <row r="30456" spans="8:8" x14ac:dyDescent="0.3">
      <c r="H30456" t="str">
        <f t="shared" si="525"/>
        <v/>
      </c>
    </row>
    <row r="30457" spans="8:8" x14ac:dyDescent="0.3">
      <c r="H30457" t="str">
        <f t="shared" si="525"/>
        <v/>
      </c>
    </row>
    <row r="30458" spans="8:8" x14ac:dyDescent="0.3">
      <c r="H30458" t="str">
        <f t="shared" si="525"/>
        <v/>
      </c>
    </row>
    <row r="30459" spans="8:8" x14ac:dyDescent="0.3">
      <c r="H30459" t="str">
        <f t="shared" si="525"/>
        <v/>
      </c>
    </row>
    <row r="30460" spans="8:8" x14ac:dyDescent="0.3">
      <c r="H30460" t="str">
        <f t="shared" si="525"/>
        <v/>
      </c>
    </row>
    <row r="30461" spans="8:8" x14ac:dyDescent="0.3">
      <c r="H30461" t="str">
        <f t="shared" si="525"/>
        <v/>
      </c>
    </row>
    <row r="30462" spans="8:8" x14ac:dyDescent="0.3">
      <c r="H30462" t="str">
        <f t="shared" si="525"/>
        <v/>
      </c>
    </row>
    <row r="30463" spans="8:8" x14ac:dyDescent="0.3">
      <c r="H30463" t="str">
        <f t="shared" si="525"/>
        <v/>
      </c>
    </row>
    <row r="30464" spans="8:8" x14ac:dyDescent="0.3">
      <c r="H30464" t="str">
        <f t="shared" si="525"/>
        <v/>
      </c>
    </row>
    <row r="30465" spans="8:8" x14ac:dyDescent="0.3">
      <c r="H30465" t="str">
        <f t="shared" si="525"/>
        <v/>
      </c>
    </row>
    <row r="30466" spans="8:8" x14ac:dyDescent="0.3">
      <c r="H30466" t="str">
        <f t="shared" si="525"/>
        <v/>
      </c>
    </row>
    <row r="30467" spans="8:8" x14ac:dyDescent="0.3">
      <c r="H30467" t="str">
        <f t="shared" si="525"/>
        <v/>
      </c>
    </row>
    <row r="30468" spans="8:8" x14ac:dyDescent="0.3">
      <c r="H30468" t="str">
        <f t="shared" si="525"/>
        <v/>
      </c>
    </row>
    <row r="30469" spans="8:8" x14ac:dyDescent="0.3">
      <c r="H30469" t="str">
        <f t="shared" si="525"/>
        <v/>
      </c>
    </row>
    <row r="30470" spans="8:8" x14ac:dyDescent="0.3">
      <c r="H30470" t="str">
        <f t="shared" si="525"/>
        <v/>
      </c>
    </row>
    <row r="30471" spans="8:8" x14ac:dyDescent="0.3">
      <c r="H30471" t="str">
        <f t="shared" si="525"/>
        <v/>
      </c>
    </row>
    <row r="30472" spans="8:8" x14ac:dyDescent="0.3">
      <c r="H30472" t="str">
        <f t="shared" si="525"/>
        <v/>
      </c>
    </row>
    <row r="30473" spans="8:8" x14ac:dyDescent="0.3">
      <c r="H30473" t="str">
        <f t="shared" si="525"/>
        <v/>
      </c>
    </row>
    <row r="30474" spans="8:8" x14ac:dyDescent="0.3">
      <c r="H30474" t="str">
        <f t="shared" si="525"/>
        <v/>
      </c>
    </row>
    <row r="30475" spans="8:8" x14ac:dyDescent="0.3">
      <c r="H30475" t="str">
        <f t="shared" si="525"/>
        <v/>
      </c>
    </row>
    <row r="30476" spans="8:8" x14ac:dyDescent="0.3">
      <c r="H30476" t="str">
        <f t="shared" si="525"/>
        <v/>
      </c>
    </row>
    <row r="30477" spans="8:8" x14ac:dyDescent="0.3">
      <c r="H30477" t="str">
        <f t="shared" si="525"/>
        <v/>
      </c>
    </row>
    <row r="30478" spans="8:8" x14ac:dyDescent="0.3">
      <c r="H30478" t="str">
        <f t="shared" si="525"/>
        <v/>
      </c>
    </row>
    <row r="30479" spans="8:8" x14ac:dyDescent="0.3">
      <c r="H30479" t="str">
        <f t="shared" si="525"/>
        <v/>
      </c>
    </row>
    <row r="30480" spans="8:8" x14ac:dyDescent="0.3">
      <c r="H30480" t="str">
        <f t="shared" si="525"/>
        <v/>
      </c>
    </row>
    <row r="30481" spans="8:8" x14ac:dyDescent="0.3">
      <c r="H30481" t="str">
        <f t="shared" si="525"/>
        <v/>
      </c>
    </row>
    <row r="30482" spans="8:8" x14ac:dyDescent="0.3">
      <c r="H30482" t="str">
        <f t="shared" si="525"/>
        <v/>
      </c>
    </row>
    <row r="30483" spans="8:8" x14ac:dyDescent="0.3">
      <c r="H30483" t="str">
        <f t="shared" si="525"/>
        <v/>
      </c>
    </row>
    <row r="30484" spans="8:8" x14ac:dyDescent="0.3">
      <c r="H30484" t="str">
        <f t="shared" si="525"/>
        <v/>
      </c>
    </row>
    <row r="30485" spans="8:8" x14ac:dyDescent="0.3">
      <c r="H30485" t="str">
        <f t="shared" si="525"/>
        <v/>
      </c>
    </row>
    <row r="30486" spans="8:8" x14ac:dyDescent="0.3">
      <c r="H30486" t="str">
        <f t="shared" si="525"/>
        <v/>
      </c>
    </row>
    <row r="30487" spans="8:8" x14ac:dyDescent="0.3">
      <c r="H30487" t="str">
        <f t="shared" ref="H30487:H30550" si="526">IF(B30487="","",$C$12)</f>
        <v/>
      </c>
    </row>
    <row r="30488" spans="8:8" x14ac:dyDescent="0.3">
      <c r="H30488" t="str">
        <f t="shared" si="526"/>
        <v/>
      </c>
    </row>
    <row r="30489" spans="8:8" x14ac:dyDescent="0.3">
      <c r="H30489" t="str">
        <f t="shared" si="526"/>
        <v/>
      </c>
    </row>
    <row r="30490" spans="8:8" x14ac:dyDescent="0.3">
      <c r="H30490" t="str">
        <f t="shared" si="526"/>
        <v/>
      </c>
    </row>
    <row r="30491" spans="8:8" x14ac:dyDescent="0.3">
      <c r="H30491" t="str">
        <f t="shared" si="526"/>
        <v/>
      </c>
    </row>
    <row r="30492" spans="8:8" x14ac:dyDescent="0.3">
      <c r="H30492" t="str">
        <f t="shared" si="526"/>
        <v/>
      </c>
    </row>
    <row r="30493" spans="8:8" x14ac:dyDescent="0.3">
      <c r="H30493" t="str">
        <f t="shared" si="526"/>
        <v/>
      </c>
    </row>
    <row r="30494" spans="8:8" x14ac:dyDescent="0.3">
      <c r="H30494" t="str">
        <f t="shared" si="526"/>
        <v/>
      </c>
    </row>
    <row r="30495" spans="8:8" x14ac:dyDescent="0.3">
      <c r="H30495" t="str">
        <f t="shared" si="526"/>
        <v/>
      </c>
    </row>
    <row r="30496" spans="8:8" x14ac:dyDescent="0.3">
      <c r="H30496" t="str">
        <f t="shared" si="526"/>
        <v/>
      </c>
    </row>
    <row r="30497" spans="8:8" x14ac:dyDescent="0.3">
      <c r="H30497" t="str">
        <f t="shared" si="526"/>
        <v/>
      </c>
    </row>
    <row r="30498" spans="8:8" x14ac:dyDescent="0.3">
      <c r="H30498" t="str">
        <f t="shared" si="526"/>
        <v/>
      </c>
    </row>
    <row r="30499" spans="8:8" x14ac:dyDescent="0.3">
      <c r="H30499" t="str">
        <f t="shared" si="526"/>
        <v/>
      </c>
    </row>
    <row r="30500" spans="8:8" x14ac:dyDescent="0.3">
      <c r="H30500" t="str">
        <f t="shared" si="526"/>
        <v/>
      </c>
    </row>
    <row r="30501" spans="8:8" x14ac:dyDescent="0.3">
      <c r="H30501" t="str">
        <f t="shared" si="526"/>
        <v/>
      </c>
    </row>
    <row r="30502" spans="8:8" x14ac:dyDescent="0.3">
      <c r="H30502" t="str">
        <f t="shared" si="526"/>
        <v/>
      </c>
    </row>
    <row r="30503" spans="8:8" x14ac:dyDescent="0.3">
      <c r="H30503" t="str">
        <f t="shared" si="526"/>
        <v/>
      </c>
    </row>
    <row r="30504" spans="8:8" x14ac:dyDescent="0.3">
      <c r="H30504" t="str">
        <f t="shared" si="526"/>
        <v/>
      </c>
    </row>
    <row r="30505" spans="8:8" x14ac:dyDescent="0.3">
      <c r="H30505" t="str">
        <f t="shared" si="526"/>
        <v/>
      </c>
    </row>
    <row r="30506" spans="8:8" x14ac:dyDescent="0.3">
      <c r="H30506" t="str">
        <f t="shared" si="526"/>
        <v/>
      </c>
    </row>
    <row r="30507" spans="8:8" x14ac:dyDescent="0.3">
      <c r="H30507" t="str">
        <f t="shared" si="526"/>
        <v/>
      </c>
    </row>
    <row r="30508" spans="8:8" x14ac:dyDescent="0.3">
      <c r="H30508" t="str">
        <f t="shared" si="526"/>
        <v/>
      </c>
    </row>
    <row r="30509" spans="8:8" x14ac:dyDescent="0.3">
      <c r="H30509" t="str">
        <f t="shared" si="526"/>
        <v/>
      </c>
    </row>
    <row r="30510" spans="8:8" x14ac:dyDescent="0.3">
      <c r="H30510" t="str">
        <f t="shared" si="526"/>
        <v/>
      </c>
    </row>
    <row r="30511" spans="8:8" x14ac:dyDescent="0.3">
      <c r="H30511" t="str">
        <f t="shared" si="526"/>
        <v/>
      </c>
    </row>
    <row r="30512" spans="8:8" x14ac:dyDescent="0.3">
      <c r="H30512" t="str">
        <f t="shared" si="526"/>
        <v/>
      </c>
    </row>
    <row r="30513" spans="8:8" x14ac:dyDescent="0.3">
      <c r="H30513" t="str">
        <f t="shared" si="526"/>
        <v/>
      </c>
    </row>
    <row r="30514" spans="8:8" x14ac:dyDescent="0.3">
      <c r="H30514" t="str">
        <f t="shared" si="526"/>
        <v/>
      </c>
    </row>
    <row r="30515" spans="8:8" x14ac:dyDescent="0.3">
      <c r="H30515" t="str">
        <f t="shared" si="526"/>
        <v/>
      </c>
    </row>
    <row r="30516" spans="8:8" x14ac:dyDescent="0.3">
      <c r="H30516" t="str">
        <f t="shared" si="526"/>
        <v/>
      </c>
    </row>
    <row r="30517" spans="8:8" x14ac:dyDescent="0.3">
      <c r="H30517" t="str">
        <f t="shared" si="526"/>
        <v/>
      </c>
    </row>
    <row r="30518" spans="8:8" x14ac:dyDescent="0.3">
      <c r="H30518" t="str">
        <f t="shared" si="526"/>
        <v/>
      </c>
    </row>
    <row r="30519" spans="8:8" x14ac:dyDescent="0.3">
      <c r="H30519" t="str">
        <f t="shared" si="526"/>
        <v/>
      </c>
    </row>
    <row r="30520" spans="8:8" x14ac:dyDescent="0.3">
      <c r="H30520" t="str">
        <f t="shared" si="526"/>
        <v/>
      </c>
    </row>
    <row r="30521" spans="8:8" x14ac:dyDescent="0.3">
      <c r="H30521" t="str">
        <f t="shared" si="526"/>
        <v/>
      </c>
    </row>
    <row r="30522" spans="8:8" x14ac:dyDescent="0.3">
      <c r="H30522" t="str">
        <f t="shared" si="526"/>
        <v/>
      </c>
    </row>
    <row r="30523" spans="8:8" x14ac:dyDescent="0.3">
      <c r="H30523" t="str">
        <f t="shared" si="526"/>
        <v/>
      </c>
    </row>
    <row r="30524" spans="8:8" x14ac:dyDescent="0.3">
      <c r="H30524" t="str">
        <f t="shared" si="526"/>
        <v/>
      </c>
    </row>
    <row r="30525" spans="8:8" x14ac:dyDescent="0.3">
      <c r="H30525" t="str">
        <f t="shared" si="526"/>
        <v/>
      </c>
    </row>
    <row r="30526" spans="8:8" x14ac:dyDescent="0.3">
      <c r="H30526" t="str">
        <f t="shared" si="526"/>
        <v/>
      </c>
    </row>
    <row r="30527" spans="8:8" x14ac:dyDescent="0.3">
      <c r="H30527" t="str">
        <f t="shared" si="526"/>
        <v/>
      </c>
    </row>
    <row r="30528" spans="8:8" x14ac:dyDescent="0.3">
      <c r="H30528" t="str">
        <f t="shared" si="526"/>
        <v/>
      </c>
    </row>
    <row r="30529" spans="8:8" x14ac:dyDescent="0.3">
      <c r="H30529" t="str">
        <f t="shared" si="526"/>
        <v/>
      </c>
    </row>
    <row r="30530" spans="8:8" x14ac:dyDescent="0.3">
      <c r="H30530" t="str">
        <f t="shared" si="526"/>
        <v/>
      </c>
    </row>
    <row r="30531" spans="8:8" x14ac:dyDescent="0.3">
      <c r="H30531" t="str">
        <f t="shared" si="526"/>
        <v/>
      </c>
    </row>
    <row r="30532" spans="8:8" x14ac:dyDescent="0.3">
      <c r="H30532" t="str">
        <f t="shared" si="526"/>
        <v/>
      </c>
    </row>
    <row r="30533" spans="8:8" x14ac:dyDescent="0.3">
      <c r="H30533" t="str">
        <f t="shared" si="526"/>
        <v/>
      </c>
    </row>
    <row r="30534" spans="8:8" x14ac:dyDescent="0.3">
      <c r="H30534" t="str">
        <f t="shared" si="526"/>
        <v/>
      </c>
    </row>
    <row r="30535" spans="8:8" x14ac:dyDescent="0.3">
      <c r="H30535" t="str">
        <f t="shared" si="526"/>
        <v/>
      </c>
    </row>
    <row r="30536" spans="8:8" x14ac:dyDescent="0.3">
      <c r="H30536" t="str">
        <f t="shared" si="526"/>
        <v/>
      </c>
    </row>
    <row r="30537" spans="8:8" x14ac:dyDescent="0.3">
      <c r="H30537" t="str">
        <f t="shared" si="526"/>
        <v/>
      </c>
    </row>
    <row r="30538" spans="8:8" x14ac:dyDescent="0.3">
      <c r="H30538" t="str">
        <f t="shared" si="526"/>
        <v/>
      </c>
    </row>
    <row r="30539" spans="8:8" x14ac:dyDescent="0.3">
      <c r="H30539" t="str">
        <f t="shared" si="526"/>
        <v/>
      </c>
    </row>
    <row r="30540" spans="8:8" x14ac:dyDescent="0.3">
      <c r="H30540" t="str">
        <f t="shared" si="526"/>
        <v/>
      </c>
    </row>
    <row r="30541" spans="8:8" x14ac:dyDescent="0.3">
      <c r="H30541" t="str">
        <f t="shared" si="526"/>
        <v/>
      </c>
    </row>
    <row r="30542" spans="8:8" x14ac:dyDescent="0.3">
      <c r="H30542" t="str">
        <f t="shared" si="526"/>
        <v/>
      </c>
    </row>
    <row r="30543" spans="8:8" x14ac:dyDescent="0.3">
      <c r="H30543" t="str">
        <f t="shared" si="526"/>
        <v/>
      </c>
    </row>
    <row r="30544" spans="8:8" x14ac:dyDescent="0.3">
      <c r="H30544" t="str">
        <f t="shared" si="526"/>
        <v/>
      </c>
    </row>
    <row r="30545" spans="8:8" x14ac:dyDescent="0.3">
      <c r="H30545" t="str">
        <f t="shared" si="526"/>
        <v/>
      </c>
    </row>
    <row r="30546" spans="8:8" x14ac:dyDescent="0.3">
      <c r="H30546" t="str">
        <f t="shared" si="526"/>
        <v/>
      </c>
    </row>
    <row r="30547" spans="8:8" x14ac:dyDescent="0.3">
      <c r="H30547" t="str">
        <f t="shared" si="526"/>
        <v/>
      </c>
    </row>
    <row r="30548" spans="8:8" x14ac:dyDescent="0.3">
      <c r="H30548" t="str">
        <f t="shared" si="526"/>
        <v/>
      </c>
    </row>
    <row r="30549" spans="8:8" x14ac:dyDescent="0.3">
      <c r="H30549" t="str">
        <f t="shared" si="526"/>
        <v/>
      </c>
    </row>
    <row r="30550" spans="8:8" x14ac:dyDescent="0.3">
      <c r="H30550" t="str">
        <f t="shared" si="526"/>
        <v/>
      </c>
    </row>
    <row r="30551" spans="8:8" x14ac:dyDescent="0.3">
      <c r="H30551" t="str">
        <f t="shared" ref="H30551:H30614" si="527">IF(B30551="","",$C$12)</f>
        <v/>
      </c>
    </row>
    <row r="30552" spans="8:8" x14ac:dyDescent="0.3">
      <c r="H30552" t="str">
        <f t="shared" si="527"/>
        <v/>
      </c>
    </row>
    <row r="30553" spans="8:8" x14ac:dyDescent="0.3">
      <c r="H30553" t="str">
        <f t="shared" si="527"/>
        <v/>
      </c>
    </row>
    <row r="30554" spans="8:8" x14ac:dyDescent="0.3">
      <c r="H30554" t="str">
        <f t="shared" si="527"/>
        <v/>
      </c>
    </row>
    <row r="30555" spans="8:8" x14ac:dyDescent="0.3">
      <c r="H30555" t="str">
        <f t="shared" si="527"/>
        <v/>
      </c>
    </row>
    <row r="30556" spans="8:8" x14ac:dyDescent="0.3">
      <c r="H30556" t="str">
        <f t="shared" si="527"/>
        <v/>
      </c>
    </row>
    <row r="30557" spans="8:8" x14ac:dyDescent="0.3">
      <c r="H30557" t="str">
        <f t="shared" si="527"/>
        <v/>
      </c>
    </row>
    <row r="30558" spans="8:8" x14ac:dyDescent="0.3">
      <c r="H30558" t="str">
        <f t="shared" si="527"/>
        <v/>
      </c>
    </row>
    <row r="30559" spans="8:8" x14ac:dyDescent="0.3">
      <c r="H30559" t="str">
        <f t="shared" si="527"/>
        <v/>
      </c>
    </row>
    <row r="30560" spans="8:8" x14ac:dyDescent="0.3">
      <c r="H30560" t="str">
        <f t="shared" si="527"/>
        <v/>
      </c>
    </row>
    <row r="30561" spans="8:8" x14ac:dyDescent="0.3">
      <c r="H30561" t="str">
        <f t="shared" si="527"/>
        <v/>
      </c>
    </row>
    <row r="30562" spans="8:8" x14ac:dyDescent="0.3">
      <c r="H30562" t="str">
        <f t="shared" si="527"/>
        <v/>
      </c>
    </row>
    <row r="30563" spans="8:8" x14ac:dyDescent="0.3">
      <c r="H30563" t="str">
        <f t="shared" si="527"/>
        <v/>
      </c>
    </row>
    <row r="30564" spans="8:8" x14ac:dyDescent="0.3">
      <c r="H30564" t="str">
        <f t="shared" si="527"/>
        <v/>
      </c>
    </row>
    <row r="30565" spans="8:8" x14ac:dyDescent="0.3">
      <c r="H30565" t="str">
        <f t="shared" si="527"/>
        <v/>
      </c>
    </row>
    <row r="30566" spans="8:8" x14ac:dyDescent="0.3">
      <c r="H30566" t="str">
        <f t="shared" si="527"/>
        <v/>
      </c>
    </row>
    <row r="30567" spans="8:8" x14ac:dyDescent="0.3">
      <c r="H30567" t="str">
        <f t="shared" si="527"/>
        <v/>
      </c>
    </row>
    <row r="30568" spans="8:8" x14ac:dyDescent="0.3">
      <c r="H30568" t="str">
        <f t="shared" si="527"/>
        <v/>
      </c>
    </row>
    <row r="30569" spans="8:8" x14ac:dyDescent="0.3">
      <c r="H30569" t="str">
        <f t="shared" si="527"/>
        <v/>
      </c>
    </row>
    <row r="30570" spans="8:8" x14ac:dyDescent="0.3">
      <c r="H30570" t="str">
        <f t="shared" si="527"/>
        <v/>
      </c>
    </row>
    <row r="30571" spans="8:8" x14ac:dyDescent="0.3">
      <c r="H30571" t="str">
        <f t="shared" si="527"/>
        <v/>
      </c>
    </row>
    <row r="30572" spans="8:8" x14ac:dyDescent="0.3">
      <c r="H30572" t="str">
        <f t="shared" si="527"/>
        <v/>
      </c>
    </row>
    <row r="30573" spans="8:8" x14ac:dyDescent="0.3">
      <c r="H30573" t="str">
        <f t="shared" si="527"/>
        <v/>
      </c>
    </row>
    <row r="30574" spans="8:8" x14ac:dyDescent="0.3">
      <c r="H30574" t="str">
        <f t="shared" si="527"/>
        <v/>
      </c>
    </row>
    <row r="30575" spans="8:8" x14ac:dyDescent="0.3">
      <c r="H30575" t="str">
        <f t="shared" si="527"/>
        <v/>
      </c>
    </row>
    <row r="30576" spans="8:8" x14ac:dyDescent="0.3">
      <c r="H30576" t="str">
        <f t="shared" si="527"/>
        <v/>
      </c>
    </row>
    <row r="30577" spans="8:8" x14ac:dyDescent="0.3">
      <c r="H30577" t="str">
        <f t="shared" si="527"/>
        <v/>
      </c>
    </row>
    <row r="30578" spans="8:8" x14ac:dyDescent="0.3">
      <c r="H30578" t="str">
        <f t="shared" si="527"/>
        <v/>
      </c>
    </row>
    <row r="30579" spans="8:8" x14ac:dyDescent="0.3">
      <c r="H30579" t="str">
        <f t="shared" si="527"/>
        <v/>
      </c>
    </row>
    <row r="30580" spans="8:8" x14ac:dyDescent="0.3">
      <c r="H30580" t="str">
        <f t="shared" si="527"/>
        <v/>
      </c>
    </row>
    <row r="30581" spans="8:8" x14ac:dyDescent="0.3">
      <c r="H30581" t="str">
        <f t="shared" si="527"/>
        <v/>
      </c>
    </row>
    <row r="30582" spans="8:8" x14ac:dyDescent="0.3">
      <c r="H30582" t="str">
        <f t="shared" si="527"/>
        <v/>
      </c>
    </row>
    <row r="30583" spans="8:8" x14ac:dyDescent="0.3">
      <c r="H30583" t="str">
        <f t="shared" si="527"/>
        <v/>
      </c>
    </row>
    <row r="30584" spans="8:8" x14ac:dyDescent="0.3">
      <c r="H30584" t="str">
        <f t="shared" si="527"/>
        <v/>
      </c>
    </row>
    <row r="30585" spans="8:8" x14ac:dyDescent="0.3">
      <c r="H30585" t="str">
        <f t="shared" si="527"/>
        <v/>
      </c>
    </row>
    <row r="30586" spans="8:8" x14ac:dyDescent="0.3">
      <c r="H30586" t="str">
        <f t="shared" si="527"/>
        <v/>
      </c>
    </row>
    <row r="30587" spans="8:8" x14ac:dyDescent="0.3">
      <c r="H30587" t="str">
        <f t="shared" si="527"/>
        <v/>
      </c>
    </row>
    <row r="30588" spans="8:8" x14ac:dyDescent="0.3">
      <c r="H30588" t="str">
        <f t="shared" si="527"/>
        <v/>
      </c>
    </row>
    <row r="30589" spans="8:8" x14ac:dyDescent="0.3">
      <c r="H30589" t="str">
        <f t="shared" si="527"/>
        <v/>
      </c>
    </row>
    <row r="30590" spans="8:8" x14ac:dyDescent="0.3">
      <c r="H30590" t="str">
        <f t="shared" si="527"/>
        <v/>
      </c>
    </row>
    <row r="30591" spans="8:8" x14ac:dyDescent="0.3">
      <c r="H30591" t="str">
        <f t="shared" si="527"/>
        <v/>
      </c>
    </row>
    <row r="30592" spans="8:8" x14ac:dyDescent="0.3">
      <c r="H30592" t="str">
        <f t="shared" si="527"/>
        <v/>
      </c>
    </row>
    <row r="30593" spans="8:8" x14ac:dyDescent="0.3">
      <c r="H30593" t="str">
        <f t="shared" si="527"/>
        <v/>
      </c>
    </row>
    <row r="30594" spans="8:8" x14ac:dyDescent="0.3">
      <c r="H30594" t="str">
        <f t="shared" si="527"/>
        <v/>
      </c>
    </row>
    <row r="30595" spans="8:8" x14ac:dyDescent="0.3">
      <c r="H30595" t="str">
        <f t="shared" si="527"/>
        <v/>
      </c>
    </row>
    <row r="30596" spans="8:8" x14ac:dyDescent="0.3">
      <c r="H30596" t="str">
        <f t="shared" si="527"/>
        <v/>
      </c>
    </row>
    <row r="30597" spans="8:8" x14ac:dyDescent="0.3">
      <c r="H30597" t="str">
        <f t="shared" si="527"/>
        <v/>
      </c>
    </row>
    <row r="30598" spans="8:8" x14ac:dyDescent="0.3">
      <c r="H30598" t="str">
        <f t="shared" si="527"/>
        <v/>
      </c>
    </row>
    <row r="30599" spans="8:8" x14ac:dyDescent="0.3">
      <c r="H30599" t="str">
        <f t="shared" si="527"/>
        <v/>
      </c>
    </row>
    <row r="30600" spans="8:8" x14ac:dyDescent="0.3">
      <c r="H30600" t="str">
        <f t="shared" si="527"/>
        <v/>
      </c>
    </row>
    <row r="30601" spans="8:8" x14ac:dyDescent="0.3">
      <c r="H30601" t="str">
        <f t="shared" si="527"/>
        <v/>
      </c>
    </row>
    <row r="30602" spans="8:8" x14ac:dyDescent="0.3">
      <c r="H30602" t="str">
        <f t="shared" si="527"/>
        <v/>
      </c>
    </row>
    <row r="30603" spans="8:8" x14ac:dyDescent="0.3">
      <c r="H30603" t="str">
        <f t="shared" si="527"/>
        <v/>
      </c>
    </row>
    <row r="30604" spans="8:8" x14ac:dyDescent="0.3">
      <c r="H30604" t="str">
        <f t="shared" si="527"/>
        <v/>
      </c>
    </row>
    <row r="30605" spans="8:8" x14ac:dyDescent="0.3">
      <c r="H30605" t="str">
        <f t="shared" si="527"/>
        <v/>
      </c>
    </row>
    <row r="30606" spans="8:8" x14ac:dyDescent="0.3">
      <c r="H30606" t="str">
        <f t="shared" si="527"/>
        <v/>
      </c>
    </row>
    <row r="30607" spans="8:8" x14ac:dyDescent="0.3">
      <c r="H30607" t="str">
        <f t="shared" si="527"/>
        <v/>
      </c>
    </row>
    <row r="30608" spans="8:8" x14ac:dyDescent="0.3">
      <c r="H30608" t="str">
        <f t="shared" si="527"/>
        <v/>
      </c>
    </row>
    <row r="30609" spans="8:8" x14ac:dyDescent="0.3">
      <c r="H30609" t="str">
        <f t="shared" si="527"/>
        <v/>
      </c>
    </row>
    <row r="30610" spans="8:8" x14ac:dyDescent="0.3">
      <c r="H30610" t="str">
        <f t="shared" si="527"/>
        <v/>
      </c>
    </row>
    <row r="30611" spans="8:8" x14ac:dyDescent="0.3">
      <c r="H30611" t="str">
        <f t="shared" si="527"/>
        <v/>
      </c>
    </row>
    <row r="30612" spans="8:8" x14ac:dyDescent="0.3">
      <c r="H30612" t="str">
        <f t="shared" si="527"/>
        <v/>
      </c>
    </row>
    <row r="30613" spans="8:8" x14ac:dyDescent="0.3">
      <c r="H30613" t="str">
        <f t="shared" si="527"/>
        <v/>
      </c>
    </row>
    <row r="30614" spans="8:8" x14ac:dyDescent="0.3">
      <c r="H30614" t="str">
        <f t="shared" si="527"/>
        <v/>
      </c>
    </row>
    <row r="30615" spans="8:8" x14ac:dyDescent="0.3">
      <c r="H30615" t="str">
        <f t="shared" ref="H30615:H30678" si="528">IF(B30615="","",$C$12)</f>
        <v/>
      </c>
    </row>
    <row r="30616" spans="8:8" x14ac:dyDescent="0.3">
      <c r="H30616" t="str">
        <f t="shared" si="528"/>
        <v/>
      </c>
    </row>
    <row r="30617" spans="8:8" x14ac:dyDescent="0.3">
      <c r="H30617" t="str">
        <f t="shared" si="528"/>
        <v/>
      </c>
    </row>
    <row r="30618" spans="8:8" x14ac:dyDescent="0.3">
      <c r="H30618" t="str">
        <f t="shared" si="528"/>
        <v/>
      </c>
    </row>
    <row r="30619" spans="8:8" x14ac:dyDescent="0.3">
      <c r="H30619" t="str">
        <f t="shared" si="528"/>
        <v/>
      </c>
    </row>
    <row r="30620" spans="8:8" x14ac:dyDescent="0.3">
      <c r="H30620" t="str">
        <f t="shared" si="528"/>
        <v/>
      </c>
    </row>
    <row r="30621" spans="8:8" x14ac:dyDescent="0.3">
      <c r="H30621" t="str">
        <f t="shared" si="528"/>
        <v/>
      </c>
    </row>
    <row r="30622" spans="8:8" x14ac:dyDescent="0.3">
      <c r="H30622" t="str">
        <f t="shared" si="528"/>
        <v/>
      </c>
    </row>
    <row r="30623" spans="8:8" x14ac:dyDescent="0.3">
      <c r="H30623" t="str">
        <f t="shared" si="528"/>
        <v/>
      </c>
    </row>
    <row r="30624" spans="8:8" x14ac:dyDescent="0.3">
      <c r="H30624" t="str">
        <f t="shared" si="528"/>
        <v/>
      </c>
    </row>
    <row r="30625" spans="8:8" x14ac:dyDescent="0.3">
      <c r="H30625" t="str">
        <f t="shared" si="528"/>
        <v/>
      </c>
    </row>
    <row r="30626" spans="8:8" x14ac:dyDescent="0.3">
      <c r="H30626" t="str">
        <f t="shared" si="528"/>
        <v/>
      </c>
    </row>
    <row r="30627" spans="8:8" x14ac:dyDescent="0.3">
      <c r="H30627" t="str">
        <f t="shared" si="528"/>
        <v/>
      </c>
    </row>
    <row r="30628" spans="8:8" x14ac:dyDescent="0.3">
      <c r="H30628" t="str">
        <f t="shared" si="528"/>
        <v/>
      </c>
    </row>
    <row r="30629" spans="8:8" x14ac:dyDescent="0.3">
      <c r="H30629" t="str">
        <f t="shared" si="528"/>
        <v/>
      </c>
    </row>
    <row r="30630" spans="8:8" x14ac:dyDescent="0.3">
      <c r="H30630" t="str">
        <f t="shared" si="528"/>
        <v/>
      </c>
    </row>
    <row r="30631" spans="8:8" x14ac:dyDescent="0.3">
      <c r="H30631" t="str">
        <f t="shared" si="528"/>
        <v/>
      </c>
    </row>
    <row r="30632" spans="8:8" x14ac:dyDescent="0.3">
      <c r="H30632" t="str">
        <f t="shared" si="528"/>
        <v/>
      </c>
    </row>
    <row r="30633" spans="8:8" x14ac:dyDescent="0.3">
      <c r="H30633" t="str">
        <f t="shared" si="528"/>
        <v/>
      </c>
    </row>
    <row r="30634" spans="8:8" x14ac:dyDescent="0.3">
      <c r="H30634" t="str">
        <f t="shared" si="528"/>
        <v/>
      </c>
    </row>
    <row r="30635" spans="8:8" x14ac:dyDescent="0.3">
      <c r="H30635" t="str">
        <f t="shared" si="528"/>
        <v/>
      </c>
    </row>
    <row r="30636" spans="8:8" x14ac:dyDescent="0.3">
      <c r="H30636" t="str">
        <f t="shared" si="528"/>
        <v/>
      </c>
    </row>
    <row r="30637" spans="8:8" x14ac:dyDescent="0.3">
      <c r="H30637" t="str">
        <f t="shared" si="528"/>
        <v/>
      </c>
    </row>
    <row r="30638" spans="8:8" x14ac:dyDescent="0.3">
      <c r="H30638" t="str">
        <f t="shared" si="528"/>
        <v/>
      </c>
    </row>
    <row r="30639" spans="8:8" x14ac:dyDescent="0.3">
      <c r="H30639" t="str">
        <f t="shared" si="528"/>
        <v/>
      </c>
    </row>
    <row r="30640" spans="8:8" x14ac:dyDescent="0.3">
      <c r="H30640" t="str">
        <f t="shared" si="528"/>
        <v/>
      </c>
    </row>
    <row r="30641" spans="8:8" x14ac:dyDescent="0.3">
      <c r="H30641" t="str">
        <f t="shared" si="528"/>
        <v/>
      </c>
    </row>
    <row r="30642" spans="8:8" x14ac:dyDescent="0.3">
      <c r="H30642" t="str">
        <f t="shared" si="528"/>
        <v/>
      </c>
    </row>
    <row r="30643" spans="8:8" x14ac:dyDescent="0.3">
      <c r="H30643" t="str">
        <f t="shared" si="528"/>
        <v/>
      </c>
    </row>
    <row r="30644" spans="8:8" x14ac:dyDescent="0.3">
      <c r="H30644" t="str">
        <f t="shared" si="528"/>
        <v/>
      </c>
    </row>
    <row r="30645" spans="8:8" x14ac:dyDescent="0.3">
      <c r="H30645" t="str">
        <f t="shared" si="528"/>
        <v/>
      </c>
    </row>
    <row r="30646" spans="8:8" x14ac:dyDescent="0.3">
      <c r="H30646" t="str">
        <f t="shared" si="528"/>
        <v/>
      </c>
    </row>
    <row r="30647" spans="8:8" x14ac:dyDescent="0.3">
      <c r="H30647" t="str">
        <f t="shared" si="528"/>
        <v/>
      </c>
    </row>
    <row r="30648" spans="8:8" x14ac:dyDescent="0.3">
      <c r="H30648" t="str">
        <f t="shared" si="528"/>
        <v/>
      </c>
    </row>
    <row r="30649" spans="8:8" x14ac:dyDescent="0.3">
      <c r="H30649" t="str">
        <f t="shared" si="528"/>
        <v/>
      </c>
    </row>
    <row r="30650" spans="8:8" x14ac:dyDescent="0.3">
      <c r="H30650" t="str">
        <f t="shared" si="528"/>
        <v/>
      </c>
    </row>
    <row r="30651" spans="8:8" x14ac:dyDescent="0.3">
      <c r="H30651" t="str">
        <f t="shared" si="528"/>
        <v/>
      </c>
    </row>
    <row r="30652" spans="8:8" x14ac:dyDescent="0.3">
      <c r="H30652" t="str">
        <f t="shared" si="528"/>
        <v/>
      </c>
    </row>
    <row r="30653" spans="8:8" x14ac:dyDescent="0.3">
      <c r="H30653" t="str">
        <f t="shared" si="528"/>
        <v/>
      </c>
    </row>
    <row r="30654" spans="8:8" x14ac:dyDescent="0.3">
      <c r="H30654" t="str">
        <f t="shared" si="528"/>
        <v/>
      </c>
    </row>
    <row r="30655" spans="8:8" x14ac:dyDescent="0.3">
      <c r="H30655" t="str">
        <f t="shared" si="528"/>
        <v/>
      </c>
    </row>
    <row r="30656" spans="8:8" x14ac:dyDescent="0.3">
      <c r="H30656" t="str">
        <f t="shared" si="528"/>
        <v/>
      </c>
    </row>
    <row r="30657" spans="8:8" x14ac:dyDescent="0.3">
      <c r="H30657" t="str">
        <f t="shared" si="528"/>
        <v/>
      </c>
    </row>
    <row r="30658" spans="8:8" x14ac:dyDescent="0.3">
      <c r="H30658" t="str">
        <f t="shared" si="528"/>
        <v/>
      </c>
    </row>
    <row r="30659" spans="8:8" x14ac:dyDescent="0.3">
      <c r="H30659" t="str">
        <f t="shared" si="528"/>
        <v/>
      </c>
    </row>
    <row r="30660" spans="8:8" x14ac:dyDescent="0.3">
      <c r="H30660" t="str">
        <f t="shared" si="528"/>
        <v/>
      </c>
    </row>
    <row r="30661" spans="8:8" x14ac:dyDescent="0.3">
      <c r="H30661" t="str">
        <f t="shared" si="528"/>
        <v/>
      </c>
    </row>
    <row r="30662" spans="8:8" x14ac:dyDescent="0.3">
      <c r="H30662" t="str">
        <f t="shared" si="528"/>
        <v/>
      </c>
    </row>
    <row r="30663" spans="8:8" x14ac:dyDescent="0.3">
      <c r="H30663" t="str">
        <f t="shared" si="528"/>
        <v/>
      </c>
    </row>
    <row r="30664" spans="8:8" x14ac:dyDescent="0.3">
      <c r="H30664" t="str">
        <f t="shared" si="528"/>
        <v/>
      </c>
    </row>
    <row r="30665" spans="8:8" x14ac:dyDescent="0.3">
      <c r="H30665" t="str">
        <f t="shared" si="528"/>
        <v/>
      </c>
    </row>
    <row r="30666" spans="8:8" x14ac:dyDescent="0.3">
      <c r="H30666" t="str">
        <f t="shared" si="528"/>
        <v/>
      </c>
    </row>
    <row r="30667" spans="8:8" x14ac:dyDescent="0.3">
      <c r="H30667" t="str">
        <f t="shared" si="528"/>
        <v/>
      </c>
    </row>
    <row r="30668" spans="8:8" x14ac:dyDescent="0.3">
      <c r="H30668" t="str">
        <f t="shared" si="528"/>
        <v/>
      </c>
    </row>
    <row r="30669" spans="8:8" x14ac:dyDescent="0.3">
      <c r="H30669" t="str">
        <f t="shared" si="528"/>
        <v/>
      </c>
    </row>
    <row r="30670" spans="8:8" x14ac:dyDescent="0.3">
      <c r="H30670" t="str">
        <f t="shared" si="528"/>
        <v/>
      </c>
    </row>
    <row r="30671" spans="8:8" x14ac:dyDescent="0.3">
      <c r="H30671" t="str">
        <f t="shared" si="528"/>
        <v/>
      </c>
    </row>
    <row r="30672" spans="8:8" x14ac:dyDescent="0.3">
      <c r="H30672" t="str">
        <f t="shared" si="528"/>
        <v/>
      </c>
    </row>
    <row r="30673" spans="8:8" x14ac:dyDescent="0.3">
      <c r="H30673" t="str">
        <f t="shared" si="528"/>
        <v/>
      </c>
    </row>
    <row r="30674" spans="8:8" x14ac:dyDescent="0.3">
      <c r="H30674" t="str">
        <f t="shared" si="528"/>
        <v/>
      </c>
    </row>
    <row r="30675" spans="8:8" x14ac:dyDescent="0.3">
      <c r="H30675" t="str">
        <f t="shared" si="528"/>
        <v/>
      </c>
    </row>
    <row r="30676" spans="8:8" x14ac:dyDescent="0.3">
      <c r="H30676" t="str">
        <f t="shared" si="528"/>
        <v/>
      </c>
    </row>
    <row r="30677" spans="8:8" x14ac:dyDescent="0.3">
      <c r="H30677" t="str">
        <f t="shared" si="528"/>
        <v/>
      </c>
    </row>
    <row r="30678" spans="8:8" x14ac:dyDescent="0.3">
      <c r="H30678" t="str">
        <f t="shared" si="528"/>
        <v/>
      </c>
    </row>
    <row r="30679" spans="8:8" x14ac:dyDescent="0.3">
      <c r="H30679" t="str">
        <f t="shared" ref="H30679:H30742" si="529">IF(B30679="","",$C$12)</f>
        <v/>
      </c>
    </row>
    <row r="30680" spans="8:8" x14ac:dyDescent="0.3">
      <c r="H30680" t="str">
        <f t="shared" si="529"/>
        <v/>
      </c>
    </row>
    <row r="30681" spans="8:8" x14ac:dyDescent="0.3">
      <c r="H30681" t="str">
        <f t="shared" si="529"/>
        <v/>
      </c>
    </row>
    <row r="30682" spans="8:8" x14ac:dyDescent="0.3">
      <c r="H30682" t="str">
        <f t="shared" si="529"/>
        <v/>
      </c>
    </row>
    <row r="30683" spans="8:8" x14ac:dyDescent="0.3">
      <c r="H30683" t="str">
        <f t="shared" si="529"/>
        <v/>
      </c>
    </row>
    <row r="30684" spans="8:8" x14ac:dyDescent="0.3">
      <c r="H30684" t="str">
        <f t="shared" si="529"/>
        <v/>
      </c>
    </row>
    <row r="30685" spans="8:8" x14ac:dyDescent="0.3">
      <c r="H30685" t="str">
        <f t="shared" si="529"/>
        <v/>
      </c>
    </row>
    <row r="30686" spans="8:8" x14ac:dyDescent="0.3">
      <c r="H30686" t="str">
        <f t="shared" si="529"/>
        <v/>
      </c>
    </row>
    <row r="30687" spans="8:8" x14ac:dyDescent="0.3">
      <c r="H30687" t="str">
        <f t="shared" si="529"/>
        <v/>
      </c>
    </row>
    <row r="30688" spans="8:8" x14ac:dyDescent="0.3">
      <c r="H30688" t="str">
        <f t="shared" si="529"/>
        <v/>
      </c>
    </row>
    <row r="30689" spans="8:8" x14ac:dyDescent="0.3">
      <c r="H30689" t="str">
        <f t="shared" si="529"/>
        <v/>
      </c>
    </row>
    <row r="30690" spans="8:8" x14ac:dyDescent="0.3">
      <c r="H30690" t="str">
        <f t="shared" si="529"/>
        <v/>
      </c>
    </row>
    <row r="30691" spans="8:8" x14ac:dyDescent="0.3">
      <c r="H30691" t="str">
        <f t="shared" si="529"/>
        <v/>
      </c>
    </row>
    <row r="30692" spans="8:8" x14ac:dyDescent="0.3">
      <c r="H30692" t="str">
        <f t="shared" si="529"/>
        <v/>
      </c>
    </row>
    <row r="30693" spans="8:8" x14ac:dyDescent="0.3">
      <c r="H30693" t="str">
        <f t="shared" si="529"/>
        <v/>
      </c>
    </row>
    <row r="30694" spans="8:8" x14ac:dyDescent="0.3">
      <c r="H30694" t="str">
        <f t="shared" si="529"/>
        <v/>
      </c>
    </row>
    <row r="30695" spans="8:8" x14ac:dyDescent="0.3">
      <c r="H30695" t="str">
        <f t="shared" si="529"/>
        <v/>
      </c>
    </row>
    <row r="30696" spans="8:8" x14ac:dyDescent="0.3">
      <c r="H30696" t="str">
        <f t="shared" si="529"/>
        <v/>
      </c>
    </row>
    <row r="30697" spans="8:8" x14ac:dyDescent="0.3">
      <c r="H30697" t="str">
        <f t="shared" si="529"/>
        <v/>
      </c>
    </row>
    <row r="30698" spans="8:8" x14ac:dyDescent="0.3">
      <c r="H30698" t="str">
        <f t="shared" si="529"/>
        <v/>
      </c>
    </row>
    <row r="30699" spans="8:8" x14ac:dyDescent="0.3">
      <c r="H30699" t="str">
        <f t="shared" si="529"/>
        <v/>
      </c>
    </row>
    <row r="30700" spans="8:8" x14ac:dyDescent="0.3">
      <c r="H30700" t="str">
        <f t="shared" si="529"/>
        <v/>
      </c>
    </row>
    <row r="30701" spans="8:8" x14ac:dyDescent="0.3">
      <c r="H30701" t="str">
        <f t="shared" si="529"/>
        <v/>
      </c>
    </row>
    <row r="30702" spans="8:8" x14ac:dyDescent="0.3">
      <c r="H30702" t="str">
        <f t="shared" si="529"/>
        <v/>
      </c>
    </row>
    <row r="30703" spans="8:8" x14ac:dyDescent="0.3">
      <c r="H30703" t="str">
        <f t="shared" si="529"/>
        <v/>
      </c>
    </row>
    <row r="30704" spans="8:8" x14ac:dyDescent="0.3">
      <c r="H30704" t="str">
        <f t="shared" si="529"/>
        <v/>
      </c>
    </row>
    <row r="30705" spans="8:8" x14ac:dyDescent="0.3">
      <c r="H30705" t="str">
        <f t="shared" si="529"/>
        <v/>
      </c>
    </row>
    <row r="30706" spans="8:8" x14ac:dyDescent="0.3">
      <c r="H30706" t="str">
        <f t="shared" si="529"/>
        <v/>
      </c>
    </row>
    <row r="30707" spans="8:8" x14ac:dyDescent="0.3">
      <c r="H30707" t="str">
        <f t="shared" si="529"/>
        <v/>
      </c>
    </row>
    <row r="30708" spans="8:8" x14ac:dyDescent="0.3">
      <c r="H30708" t="str">
        <f t="shared" si="529"/>
        <v/>
      </c>
    </row>
    <row r="30709" spans="8:8" x14ac:dyDescent="0.3">
      <c r="H30709" t="str">
        <f t="shared" si="529"/>
        <v/>
      </c>
    </row>
    <row r="30710" spans="8:8" x14ac:dyDescent="0.3">
      <c r="H30710" t="str">
        <f t="shared" si="529"/>
        <v/>
      </c>
    </row>
    <row r="30711" spans="8:8" x14ac:dyDescent="0.3">
      <c r="H30711" t="str">
        <f t="shared" si="529"/>
        <v/>
      </c>
    </row>
    <row r="30712" spans="8:8" x14ac:dyDescent="0.3">
      <c r="H30712" t="str">
        <f t="shared" si="529"/>
        <v/>
      </c>
    </row>
    <row r="30713" spans="8:8" x14ac:dyDescent="0.3">
      <c r="H30713" t="str">
        <f t="shared" si="529"/>
        <v/>
      </c>
    </row>
    <row r="30714" spans="8:8" x14ac:dyDescent="0.3">
      <c r="H30714" t="str">
        <f t="shared" si="529"/>
        <v/>
      </c>
    </row>
    <row r="30715" spans="8:8" x14ac:dyDescent="0.3">
      <c r="H30715" t="str">
        <f t="shared" si="529"/>
        <v/>
      </c>
    </row>
    <row r="30716" spans="8:8" x14ac:dyDescent="0.3">
      <c r="H30716" t="str">
        <f t="shared" si="529"/>
        <v/>
      </c>
    </row>
    <row r="30717" spans="8:8" x14ac:dyDescent="0.3">
      <c r="H30717" t="str">
        <f t="shared" si="529"/>
        <v/>
      </c>
    </row>
    <row r="30718" spans="8:8" x14ac:dyDescent="0.3">
      <c r="H30718" t="str">
        <f t="shared" si="529"/>
        <v/>
      </c>
    </row>
    <row r="30719" spans="8:8" x14ac:dyDescent="0.3">
      <c r="H30719" t="str">
        <f t="shared" si="529"/>
        <v/>
      </c>
    </row>
    <row r="30720" spans="8:8" x14ac:dyDescent="0.3">
      <c r="H30720" t="str">
        <f t="shared" si="529"/>
        <v/>
      </c>
    </row>
    <row r="30721" spans="8:8" x14ac:dyDescent="0.3">
      <c r="H30721" t="str">
        <f t="shared" si="529"/>
        <v/>
      </c>
    </row>
    <row r="30722" spans="8:8" x14ac:dyDescent="0.3">
      <c r="H30722" t="str">
        <f t="shared" si="529"/>
        <v/>
      </c>
    </row>
    <row r="30723" spans="8:8" x14ac:dyDescent="0.3">
      <c r="H30723" t="str">
        <f t="shared" si="529"/>
        <v/>
      </c>
    </row>
    <row r="30724" spans="8:8" x14ac:dyDescent="0.3">
      <c r="H30724" t="str">
        <f t="shared" si="529"/>
        <v/>
      </c>
    </row>
    <row r="30725" spans="8:8" x14ac:dyDescent="0.3">
      <c r="H30725" t="str">
        <f t="shared" si="529"/>
        <v/>
      </c>
    </row>
    <row r="30726" spans="8:8" x14ac:dyDescent="0.3">
      <c r="H30726" t="str">
        <f t="shared" si="529"/>
        <v/>
      </c>
    </row>
    <row r="30727" spans="8:8" x14ac:dyDescent="0.3">
      <c r="H30727" t="str">
        <f t="shared" si="529"/>
        <v/>
      </c>
    </row>
    <row r="30728" spans="8:8" x14ac:dyDescent="0.3">
      <c r="H30728" t="str">
        <f t="shared" si="529"/>
        <v/>
      </c>
    </row>
    <row r="30729" spans="8:8" x14ac:dyDescent="0.3">
      <c r="H30729" t="str">
        <f t="shared" si="529"/>
        <v/>
      </c>
    </row>
    <row r="30730" spans="8:8" x14ac:dyDescent="0.3">
      <c r="H30730" t="str">
        <f t="shared" si="529"/>
        <v/>
      </c>
    </row>
    <row r="30731" spans="8:8" x14ac:dyDescent="0.3">
      <c r="H30731" t="str">
        <f t="shared" si="529"/>
        <v/>
      </c>
    </row>
    <row r="30732" spans="8:8" x14ac:dyDescent="0.3">
      <c r="H30732" t="str">
        <f t="shared" si="529"/>
        <v/>
      </c>
    </row>
    <row r="30733" spans="8:8" x14ac:dyDescent="0.3">
      <c r="H30733" t="str">
        <f t="shared" si="529"/>
        <v/>
      </c>
    </row>
    <row r="30734" spans="8:8" x14ac:dyDescent="0.3">
      <c r="H30734" t="str">
        <f t="shared" si="529"/>
        <v/>
      </c>
    </row>
    <row r="30735" spans="8:8" x14ac:dyDescent="0.3">
      <c r="H30735" t="str">
        <f t="shared" si="529"/>
        <v/>
      </c>
    </row>
    <row r="30736" spans="8:8" x14ac:dyDescent="0.3">
      <c r="H30736" t="str">
        <f t="shared" si="529"/>
        <v/>
      </c>
    </row>
    <row r="30737" spans="8:8" x14ac:dyDescent="0.3">
      <c r="H30737" t="str">
        <f t="shared" si="529"/>
        <v/>
      </c>
    </row>
    <row r="30738" spans="8:8" x14ac:dyDescent="0.3">
      <c r="H30738" t="str">
        <f t="shared" si="529"/>
        <v/>
      </c>
    </row>
    <row r="30739" spans="8:8" x14ac:dyDescent="0.3">
      <c r="H30739" t="str">
        <f t="shared" si="529"/>
        <v/>
      </c>
    </row>
    <row r="30740" spans="8:8" x14ac:dyDescent="0.3">
      <c r="H30740" t="str">
        <f t="shared" si="529"/>
        <v/>
      </c>
    </row>
    <row r="30741" spans="8:8" x14ac:dyDescent="0.3">
      <c r="H30741" t="str">
        <f t="shared" si="529"/>
        <v/>
      </c>
    </row>
    <row r="30742" spans="8:8" x14ac:dyDescent="0.3">
      <c r="H30742" t="str">
        <f t="shared" si="529"/>
        <v/>
      </c>
    </row>
    <row r="30743" spans="8:8" x14ac:dyDescent="0.3">
      <c r="H30743" t="str">
        <f t="shared" ref="H30743:H30806" si="530">IF(B30743="","",$C$12)</f>
        <v/>
      </c>
    </row>
    <row r="30744" spans="8:8" x14ac:dyDescent="0.3">
      <c r="H30744" t="str">
        <f t="shared" si="530"/>
        <v/>
      </c>
    </row>
    <row r="30745" spans="8:8" x14ac:dyDescent="0.3">
      <c r="H30745" t="str">
        <f t="shared" si="530"/>
        <v/>
      </c>
    </row>
    <row r="30746" spans="8:8" x14ac:dyDescent="0.3">
      <c r="H30746" t="str">
        <f t="shared" si="530"/>
        <v/>
      </c>
    </row>
    <row r="30747" spans="8:8" x14ac:dyDescent="0.3">
      <c r="H30747" t="str">
        <f t="shared" si="530"/>
        <v/>
      </c>
    </row>
    <row r="30748" spans="8:8" x14ac:dyDescent="0.3">
      <c r="H30748" t="str">
        <f t="shared" si="530"/>
        <v/>
      </c>
    </row>
    <row r="30749" spans="8:8" x14ac:dyDescent="0.3">
      <c r="H30749" t="str">
        <f t="shared" si="530"/>
        <v/>
      </c>
    </row>
    <row r="30750" spans="8:8" x14ac:dyDescent="0.3">
      <c r="H30750" t="str">
        <f t="shared" si="530"/>
        <v/>
      </c>
    </row>
    <row r="30751" spans="8:8" x14ac:dyDescent="0.3">
      <c r="H30751" t="str">
        <f t="shared" si="530"/>
        <v/>
      </c>
    </row>
    <row r="30752" spans="8:8" x14ac:dyDescent="0.3">
      <c r="H30752" t="str">
        <f t="shared" si="530"/>
        <v/>
      </c>
    </row>
    <row r="30753" spans="8:8" x14ac:dyDescent="0.3">
      <c r="H30753" t="str">
        <f t="shared" si="530"/>
        <v/>
      </c>
    </row>
    <row r="30754" spans="8:8" x14ac:dyDescent="0.3">
      <c r="H30754" t="str">
        <f t="shared" si="530"/>
        <v/>
      </c>
    </row>
    <row r="30755" spans="8:8" x14ac:dyDescent="0.3">
      <c r="H30755" t="str">
        <f t="shared" si="530"/>
        <v/>
      </c>
    </row>
    <row r="30756" spans="8:8" x14ac:dyDescent="0.3">
      <c r="H30756" t="str">
        <f t="shared" si="530"/>
        <v/>
      </c>
    </row>
    <row r="30757" spans="8:8" x14ac:dyDescent="0.3">
      <c r="H30757" t="str">
        <f t="shared" si="530"/>
        <v/>
      </c>
    </row>
    <row r="30758" spans="8:8" x14ac:dyDescent="0.3">
      <c r="H30758" t="str">
        <f t="shared" si="530"/>
        <v/>
      </c>
    </row>
    <row r="30759" spans="8:8" x14ac:dyDescent="0.3">
      <c r="H30759" t="str">
        <f t="shared" si="530"/>
        <v/>
      </c>
    </row>
    <row r="30760" spans="8:8" x14ac:dyDescent="0.3">
      <c r="H30760" t="str">
        <f t="shared" si="530"/>
        <v/>
      </c>
    </row>
    <row r="30761" spans="8:8" x14ac:dyDescent="0.3">
      <c r="H30761" t="str">
        <f t="shared" si="530"/>
        <v/>
      </c>
    </row>
    <row r="30762" spans="8:8" x14ac:dyDescent="0.3">
      <c r="H30762" t="str">
        <f t="shared" si="530"/>
        <v/>
      </c>
    </row>
    <row r="30763" spans="8:8" x14ac:dyDescent="0.3">
      <c r="H30763" t="str">
        <f t="shared" si="530"/>
        <v/>
      </c>
    </row>
    <row r="30764" spans="8:8" x14ac:dyDescent="0.3">
      <c r="H30764" t="str">
        <f t="shared" si="530"/>
        <v/>
      </c>
    </row>
    <row r="30765" spans="8:8" x14ac:dyDescent="0.3">
      <c r="H30765" t="str">
        <f t="shared" si="530"/>
        <v/>
      </c>
    </row>
    <row r="30766" spans="8:8" x14ac:dyDescent="0.3">
      <c r="H30766" t="str">
        <f t="shared" si="530"/>
        <v/>
      </c>
    </row>
    <row r="30767" spans="8:8" x14ac:dyDescent="0.3">
      <c r="H30767" t="str">
        <f t="shared" si="530"/>
        <v/>
      </c>
    </row>
    <row r="30768" spans="8:8" x14ac:dyDescent="0.3">
      <c r="H30768" t="str">
        <f t="shared" si="530"/>
        <v/>
      </c>
    </row>
    <row r="30769" spans="8:8" x14ac:dyDescent="0.3">
      <c r="H30769" t="str">
        <f t="shared" si="530"/>
        <v/>
      </c>
    </row>
    <row r="30770" spans="8:8" x14ac:dyDescent="0.3">
      <c r="H30770" t="str">
        <f t="shared" si="530"/>
        <v/>
      </c>
    </row>
    <row r="30771" spans="8:8" x14ac:dyDescent="0.3">
      <c r="H30771" t="str">
        <f t="shared" si="530"/>
        <v/>
      </c>
    </row>
    <row r="30772" spans="8:8" x14ac:dyDescent="0.3">
      <c r="H30772" t="str">
        <f t="shared" si="530"/>
        <v/>
      </c>
    </row>
    <row r="30773" spans="8:8" x14ac:dyDescent="0.3">
      <c r="H30773" t="str">
        <f t="shared" si="530"/>
        <v/>
      </c>
    </row>
    <row r="30774" spans="8:8" x14ac:dyDescent="0.3">
      <c r="H30774" t="str">
        <f t="shared" si="530"/>
        <v/>
      </c>
    </row>
    <row r="30775" spans="8:8" x14ac:dyDescent="0.3">
      <c r="H30775" t="str">
        <f t="shared" si="530"/>
        <v/>
      </c>
    </row>
    <row r="30776" spans="8:8" x14ac:dyDescent="0.3">
      <c r="H30776" t="str">
        <f t="shared" si="530"/>
        <v/>
      </c>
    </row>
    <row r="30777" spans="8:8" x14ac:dyDescent="0.3">
      <c r="H30777" t="str">
        <f t="shared" si="530"/>
        <v/>
      </c>
    </row>
    <row r="30778" spans="8:8" x14ac:dyDescent="0.3">
      <c r="H30778" t="str">
        <f t="shared" si="530"/>
        <v/>
      </c>
    </row>
    <row r="30779" spans="8:8" x14ac:dyDescent="0.3">
      <c r="H30779" t="str">
        <f t="shared" si="530"/>
        <v/>
      </c>
    </row>
    <row r="30780" spans="8:8" x14ac:dyDescent="0.3">
      <c r="H30780" t="str">
        <f t="shared" si="530"/>
        <v/>
      </c>
    </row>
    <row r="30781" spans="8:8" x14ac:dyDescent="0.3">
      <c r="H30781" t="str">
        <f t="shared" si="530"/>
        <v/>
      </c>
    </row>
    <row r="30782" spans="8:8" x14ac:dyDescent="0.3">
      <c r="H30782" t="str">
        <f t="shared" si="530"/>
        <v/>
      </c>
    </row>
    <row r="30783" spans="8:8" x14ac:dyDescent="0.3">
      <c r="H30783" t="str">
        <f t="shared" si="530"/>
        <v/>
      </c>
    </row>
    <row r="30784" spans="8:8" x14ac:dyDescent="0.3">
      <c r="H30784" t="str">
        <f t="shared" si="530"/>
        <v/>
      </c>
    </row>
    <row r="30785" spans="8:8" x14ac:dyDescent="0.3">
      <c r="H30785" t="str">
        <f t="shared" si="530"/>
        <v/>
      </c>
    </row>
    <row r="30786" spans="8:8" x14ac:dyDescent="0.3">
      <c r="H30786" t="str">
        <f t="shared" si="530"/>
        <v/>
      </c>
    </row>
    <row r="30787" spans="8:8" x14ac:dyDescent="0.3">
      <c r="H30787" t="str">
        <f t="shared" si="530"/>
        <v/>
      </c>
    </row>
    <row r="30788" spans="8:8" x14ac:dyDescent="0.3">
      <c r="H30788" t="str">
        <f t="shared" si="530"/>
        <v/>
      </c>
    </row>
    <row r="30789" spans="8:8" x14ac:dyDescent="0.3">
      <c r="H30789" t="str">
        <f t="shared" si="530"/>
        <v/>
      </c>
    </row>
    <row r="30790" spans="8:8" x14ac:dyDescent="0.3">
      <c r="H30790" t="str">
        <f t="shared" si="530"/>
        <v/>
      </c>
    </row>
    <row r="30791" spans="8:8" x14ac:dyDescent="0.3">
      <c r="H30791" t="str">
        <f t="shared" si="530"/>
        <v/>
      </c>
    </row>
    <row r="30792" spans="8:8" x14ac:dyDescent="0.3">
      <c r="H30792" t="str">
        <f t="shared" si="530"/>
        <v/>
      </c>
    </row>
    <row r="30793" spans="8:8" x14ac:dyDescent="0.3">
      <c r="H30793" t="str">
        <f t="shared" si="530"/>
        <v/>
      </c>
    </row>
    <row r="30794" spans="8:8" x14ac:dyDescent="0.3">
      <c r="H30794" t="str">
        <f t="shared" si="530"/>
        <v/>
      </c>
    </row>
    <row r="30795" spans="8:8" x14ac:dyDescent="0.3">
      <c r="H30795" t="str">
        <f t="shared" si="530"/>
        <v/>
      </c>
    </row>
    <row r="30796" spans="8:8" x14ac:dyDescent="0.3">
      <c r="H30796" t="str">
        <f t="shared" si="530"/>
        <v/>
      </c>
    </row>
    <row r="30797" spans="8:8" x14ac:dyDescent="0.3">
      <c r="H30797" t="str">
        <f t="shared" si="530"/>
        <v/>
      </c>
    </row>
    <row r="30798" spans="8:8" x14ac:dyDescent="0.3">
      <c r="H30798" t="str">
        <f t="shared" si="530"/>
        <v/>
      </c>
    </row>
    <row r="30799" spans="8:8" x14ac:dyDescent="0.3">
      <c r="H30799" t="str">
        <f t="shared" si="530"/>
        <v/>
      </c>
    </row>
    <row r="30800" spans="8:8" x14ac:dyDescent="0.3">
      <c r="H30800" t="str">
        <f t="shared" si="530"/>
        <v/>
      </c>
    </row>
    <row r="30801" spans="8:8" x14ac:dyDescent="0.3">
      <c r="H30801" t="str">
        <f t="shared" si="530"/>
        <v/>
      </c>
    </row>
    <row r="30802" spans="8:8" x14ac:dyDescent="0.3">
      <c r="H30802" t="str">
        <f t="shared" si="530"/>
        <v/>
      </c>
    </row>
    <row r="30803" spans="8:8" x14ac:dyDescent="0.3">
      <c r="H30803" t="str">
        <f t="shared" si="530"/>
        <v/>
      </c>
    </row>
    <row r="30804" spans="8:8" x14ac:dyDescent="0.3">
      <c r="H30804" t="str">
        <f t="shared" si="530"/>
        <v/>
      </c>
    </row>
    <row r="30805" spans="8:8" x14ac:dyDescent="0.3">
      <c r="H30805" t="str">
        <f t="shared" si="530"/>
        <v/>
      </c>
    </row>
    <row r="30806" spans="8:8" x14ac:dyDescent="0.3">
      <c r="H30806" t="str">
        <f t="shared" si="530"/>
        <v/>
      </c>
    </row>
    <row r="30807" spans="8:8" x14ac:dyDescent="0.3">
      <c r="H30807" t="str">
        <f t="shared" ref="H30807:H30870" si="531">IF(B30807="","",$C$12)</f>
        <v/>
      </c>
    </row>
    <row r="30808" spans="8:8" x14ac:dyDescent="0.3">
      <c r="H30808" t="str">
        <f t="shared" si="531"/>
        <v/>
      </c>
    </row>
    <row r="30809" spans="8:8" x14ac:dyDescent="0.3">
      <c r="H30809" t="str">
        <f t="shared" si="531"/>
        <v/>
      </c>
    </row>
    <row r="30810" spans="8:8" x14ac:dyDescent="0.3">
      <c r="H30810" t="str">
        <f t="shared" si="531"/>
        <v/>
      </c>
    </row>
    <row r="30811" spans="8:8" x14ac:dyDescent="0.3">
      <c r="H30811" t="str">
        <f t="shared" si="531"/>
        <v/>
      </c>
    </row>
    <row r="30812" spans="8:8" x14ac:dyDescent="0.3">
      <c r="H30812" t="str">
        <f t="shared" si="531"/>
        <v/>
      </c>
    </row>
    <row r="30813" spans="8:8" x14ac:dyDescent="0.3">
      <c r="H30813" t="str">
        <f t="shared" si="531"/>
        <v/>
      </c>
    </row>
    <row r="30814" spans="8:8" x14ac:dyDescent="0.3">
      <c r="H30814" t="str">
        <f t="shared" si="531"/>
        <v/>
      </c>
    </row>
    <row r="30815" spans="8:8" x14ac:dyDescent="0.3">
      <c r="H30815" t="str">
        <f t="shared" si="531"/>
        <v/>
      </c>
    </row>
    <row r="30816" spans="8:8" x14ac:dyDescent="0.3">
      <c r="H30816" t="str">
        <f t="shared" si="531"/>
        <v/>
      </c>
    </row>
    <row r="30817" spans="8:8" x14ac:dyDescent="0.3">
      <c r="H30817" t="str">
        <f t="shared" si="531"/>
        <v/>
      </c>
    </row>
    <row r="30818" spans="8:8" x14ac:dyDescent="0.3">
      <c r="H30818" t="str">
        <f t="shared" si="531"/>
        <v/>
      </c>
    </row>
    <row r="30819" spans="8:8" x14ac:dyDescent="0.3">
      <c r="H30819" t="str">
        <f t="shared" si="531"/>
        <v/>
      </c>
    </row>
    <row r="30820" spans="8:8" x14ac:dyDescent="0.3">
      <c r="H30820" t="str">
        <f t="shared" si="531"/>
        <v/>
      </c>
    </row>
    <row r="30821" spans="8:8" x14ac:dyDescent="0.3">
      <c r="H30821" t="str">
        <f t="shared" si="531"/>
        <v/>
      </c>
    </row>
    <row r="30822" spans="8:8" x14ac:dyDescent="0.3">
      <c r="H30822" t="str">
        <f t="shared" si="531"/>
        <v/>
      </c>
    </row>
    <row r="30823" spans="8:8" x14ac:dyDescent="0.3">
      <c r="H30823" t="str">
        <f t="shared" si="531"/>
        <v/>
      </c>
    </row>
    <row r="30824" spans="8:8" x14ac:dyDescent="0.3">
      <c r="H30824" t="str">
        <f t="shared" si="531"/>
        <v/>
      </c>
    </row>
    <row r="30825" spans="8:8" x14ac:dyDescent="0.3">
      <c r="H30825" t="str">
        <f t="shared" si="531"/>
        <v/>
      </c>
    </row>
    <row r="30826" spans="8:8" x14ac:dyDescent="0.3">
      <c r="H30826" t="str">
        <f t="shared" si="531"/>
        <v/>
      </c>
    </row>
    <row r="30827" spans="8:8" x14ac:dyDescent="0.3">
      <c r="H30827" t="str">
        <f t="shared" si="531"/>
        <v/>
      </c>
    </row>
    <row r="30828" spans="8:8" x14ac:dyDescent="0.3">
      <c r="H30828" t="str">
        <f t="shared" si="531"/>
        <v/>
      </c>
    </row>
    <row r="30829" spans="8:8" x14ac:dyDescent="0.3">
      <c r="H30829" t="str">
        <f t="shared" si="531"/>
        <v/>
      </c>
    </row>
    <row r="30830" spans="8:8" x14ac:dyDescent="0.3">
      <c r="H30830" t="str">
        <f t="shared" si="531"/>
        <v/>
      </c>
    </row>
    <row r="30831" spans="8:8" x14ac:dyDescent="0.3">
      <c r="H30831" t="str">
        <f t="shared" si="531"/>
        <v/>
      </c>
    </row>
    <row r="30832" spans="8:8" x14ac:dyDescent="0.3">
      <c r="H30832" t="str">
        <f t="shared" si="531"/>
        <v/>
      </c>
    </row>
    <row r="30833" spans="8:8" x14ac:dyDescent="0.3">
      <c r="H30833" t="str">
        <f t="shared" si="531"/>
        <v/>
      </c>
    </row>
    <row r="30834" spans="8:8" x14ac:dyDescent="0.3">
      <c r="H30834" t="str">
        <f t="shared" si="531"/>
        <v/>
      </c>
    </row>
    <row r="30835" spans="8:8" x14ac:dyDescent="0.3">
      <c r="H30835" t="str">
        <f t="shared" si="531"/>
        <v/>
      </c>
    </row>
    <row r="30836" spans="8:8" x14ac:dyDescent="0.3">
      <c r="H30836" t="str">
        <f t="shared" si="531"/>
        <v/>
      </c>
    </row>
    <row r="30837" spans="8:8" x14ac:dyDescent="0.3">
      <c r="H30837" t="str">
        <f t="shared" si="531"/>
        <v/>
      </c>
    </row>
    <row r="30838" spans="8:8" x14ac:dyDescent="0.3">
      <c r="H30838" t="str">
        <f t="shared" si="531"/>
        <v/>
      </c>
    </row>
    <row r="30839" spans="8:8" x14ac:dyDescent="0.3">
      <c r="H30839" t="str">
        <f t="shared" si="531"/>
        <v/>
      </c>
    </row>
    <row r="30840" spans="8:8" x14ac:dyDescent="0.3">
      <c r="H30840" t="str">
        <f t="shared" si="531"/>
        <v/>
      </c>
    </row>
    <row r="30841" spans="8:8" x14ac:dyDescent="0.3">
      <c r="H30841" t="str">
        <f t="shared" si="531"/>
        <v/>
      </c>
    </row>
    <row r="30842" spans="8:8" x14ac:dyDescent="0.3">
      <c r="H30842" t="str">
        <f t="shared" si="531"/>
        <v/>
      </c>
    </row>
    <row r="30843" spans="8:8" x14ac:dyDescent="0.3">
      <c r="H30843" t="str">
        <f t="shared" si="531"/>
        <v/>
      </c>
    </row>
    <row r="30844" spans="8:8" x14ac:dyDescent="0.3">
      <c r="H30844" t="str">
        <f t="shared" si="531"/>
        <v/>
      </c>
    </row>
    <row r="30845" spans="8:8" x14ac:dyDescent="0.3">
      <c r="H30845" t="str">
        <f t="shared" si="531"/>
        <v/>
      </c>
    </row>
    <row r="30846" spans="8:8" x14ac:dyDescent="0.3">
      <c r="H30846" t="str">
        <f t="shared" si="531"/>
        <v/>
      </c>
    </row>
    <row r="30847" spans="8:8" x14ac:dyDescent="0.3">
      <c r="H30847" t="str">
        <f t="shared" si="531"/>
        <v/>
      </c>
    </row>
    <row r="30848" spans="8:8" x14ac:dyDescent="0.3">
      <c r="H30848" t="str">
        <f t="shared" si="531"/>
        <v/>
      </c>
    </row>
    <row r="30849" spans="8:8" x14ac:dyDescent="0.3">
      <c r="H30849" t="str">
        <f t="shared" si="531"/>
        <v/>
      </c>
    </row>
    <row r="30850" spans="8:8" x14ac:dyDescent="0.3">
      <c r="H30850" t="str">
        <f t="shared" si="531"/>
        <v/>
      </c>
    </row>
    <row r="30851" spans="8:8" x14ac:dyDescent="0.3">
      <c r="H30851" t="str">
        <f t="shared" si="531"/>
        <v/>
      </c>
    </row>
    <row r="30852" spans="8:8" x14ac:dyDescent="0.3">
      <c r="H30852" t="str">
        <f t="shared" si="531"/>
        <v/>
      </c>
    </row>
    <row r="30853" spans="8:8" x14ac:dyDescent="0.3">
      <c r="H30853" t="str">
        <f t="shared" si="531"/>
        <v/>
      </c>
    </row>
    <row r="30854" spans="8:8" x14ac:dyDescent="0.3">
      <c r="H30854" t="str">
        <f t="shared" si="531"/>
        <v/>
      </c>
    </row>
    <row r="30855" spans="8:8" x14ac:dyDescent="0.3">
      <c r="H30855" t="str">
        <f t="shared" si="531"/>
        <v/>
      </c>
    </row>
    <row r="30856" spans="8:8" x14ac:dyDescent="0.3">
      <c r="H30856" t="str">
        <f t="shared" si="531"/>
        <v/>
      </c>
    </row>
    <row r="30857" spans="8:8" x14ac:dyDescent="0.3">
      <c r="H30857" t="str">
        <f t="shared" si="531"/>
        <v/>
      </c>
    </row>
    <row r="30858" spans="8:8" x14ac:dyDescent="0.3">
      <c r="H30858" t="str">
        <f t="shared" si="531"/>
        <v/>
      </c>
    </row>
    <row r="30859" spans="8:8" x14ac:dyDescent="0.3">
      <c r="H30859" t="str">
        <f t="shared" si="531"/>
        <v/>
      </c>
    </row>
    <row r="30860" spans="8:8" x14ac:dyDescent="0.3">
      <c r="H30860" t="str">
        <f t="shared" si="531"/>
        <v/>
      </c>
    </row>
    <row r="30861" spans="8:8" x14ac:dyDescent="0.3">
      <c r="H30861" t="str">
        <f t="shared" si="531"/>
        <v/>
      </c>
    </row>
    <row r="30862" spans="8:8" x14ac:dyDescent="0.3">
      <c r="H30862" t="str">
        <f t="shared" si="531"/>
        <v/>
      </c>
    </row>
    <row r="30863" spans="8:8" x14ac:dyDescent="0.3">
      <c r="H30863" t="str">
        <f t="shared" si="531"/>
        <v/>
      </c>
    </row>
    <row r="30864" spans="8:8" x14ac:dyDescent="0.3">
      <c r="H30864" t="str">
        <f t="shared" si="531"/>
        <v/>
      </c>
    </row>
    <row r="30865" spans="8:8" x14ac:dyDescent="0.3">
      <c r="H30865" t="str">
        <f t="shared" si="531"/>
        <v/>
      </c>
    </row>
    <row r="30866" spans="8:8" x14ac:dyDescent="0.3">
      <c r="H30866" t="str">
        <f t="shared" si="531"/>
        <v/>
      </c>
    </row>
    <row r="30867" spans="8:8" x14ac:dyDescent="0.3">
      <c r="H30867" t="str">
        <f t="shared" si="531"/>
        <v/>
      </c>
    </row>
    <row r="30868" spans="8:8" x14ac:dyDescent="0.3">
      <c r="H30868" t="str">
        <f t="shared" si="531"/>
        <v/>
      </c>
    </row>
    <row r="30869" spans="8:8" x14ac:dyDescent="0.3">
      <c r="H30869" t="str">
        <f t="shared" si="531"/>
        <v/>
      </c>
    </row>
    <row r="30870" spans="8:8" x14ac:dyDescent="0.3">
      <c r="H30870" t="str">
        <f t="shared" si="531"/>
        <v/>
      </c>
    </row>
    <row r="30871" spans="8:8" x14ac:dyDescent="0.3">
      <c r="H30871" t="str">
        <f t="shared" ref="H30871:H30934" si="532">IF(B30871="","",$C$12)</f>
        <v/>
      </c>
    </row>
    <row r="30872" spans="8:8" x14ac:dyDescent="0.3">
      <c r="H30872" t="str">
        <f t="shared" si="532"/>
        <v/>
      </c>
    </row>
    <row r="30873" spans="8:8" x14ac:dyDescent="0.3">
      <c r="H30873" t="str">
        <f t="shared" si="532"/>
        <v/>
      </c>
    </row>
    <row r="30874" spans="8:8" x14ac:dyDescent="0.3">
      <c r="H30874" t="str">
        <f t="shared" si="532"/>
        <v/>
      </c>
    </row>
    <row r="30875" spans="8:8" x14ac:dyDescent="0.3">
      <c r="H30875" t="str">
        <f t="shared" si="532"/>
        <v/>
      </c>
    </row>
    <row r="30876" spans="8:8" x14ac:dyDescent="0.3">
      <c r="H30876" t="str">
        <f t="shared" si="532"/>
        <v/>
      </c>
    </row>
    <row r="30877" spans="8:8" x14ac:dyDescent="0.3">
      <c r="H30877" t="str">
        <f t="shared" si="532"/>
        <v/>
      </c>
    </row>
    <row r="30878" spans="8:8" x14ac:dyDescent="0.3">
      <c r="H30878" t="str">
        <f t="shared" si="532"/>
        <v/>
      </c>
    </row>
    <row r="30879" spans="8:8" x14ac:dyDescent="0.3">
      <c r="H30879" t="str">
        <f t="shared" si="532"/>
        <v/>
      </c>
    </row>
    <row r="30880" spans="8:8" x14ac:dyDescent="0.3">
      <c r="H30880" t="str">
        <f t="shared" si="532"/>
        <v/>
      </c>
    </row>
    <row r="30881" spans="8:8" x14ac:dyDescent="0.3">
      <c r="H30881" t="str">
        <f t="shared" si="532"/>
        <v/>
      </c>
    </row>
    <row r="30882" spans="8:8" x14ac:dyDescent="0.3">
      <c r="H30882" t="str">
        <f t="shared" si="532"/>
        <v/>
      </c>
    </row>
    <row r="30883" spans="8:8" x14ac:dyDescent="0.3">
      <c r="H30883" t="str">
        <f t="shared" si="532"/>
        <v/>
      </c>
    </row>
    <row r="30884" spans="8:8" x14ac:dyDescent="0.3">
      <c r="H30884" t="str">
        <f t="shared" si="532"/>
        <v/>
      </c>
    </row>
    <row r="30885" spans="8:8" x14ac:dyDescent="0.3">
      <c r="H30885" t="str">
        <f t="shared" si="532"/>
        <v/>
      </c>
    </row>
    <row r="30886" spans="8:8" x14ac:dyDescent="0.3">
      <c r="H30886" t="str">
        <f t="shared" si="532"/>
        <v/>
      </c>
    </row>
    <row r="30887" spans="8:8" x14ac:dyDescent="0.3">
      <c r="H30887" t="str">
        <f t="shared" si="532"/>
        <v/>
      </c>
    </row>
    <row r="30888" spans="8:8" x14ac:dyDescent="0.3">
      <c r="H30888" t="str">
        <f t="shared" si="532"/>
        <v/>
      </c>
    </row>
    <row r="30889" spans="8:8" x14ac:dyDescent="0.3">
      <c r="H30889" t="str">
        <f t="shared" si="532"/>
        <v/>
      </c>
    </row>
    <row r="30890" spans="8:8" x14ac:dyDescent="0.3">
      <c r="H30890" t="str">
        <f t="shared" si="532"/>
        <v/>
      </c>
    </row>
    <row r="30891" spans="8:8" x14ac:dyDescent="0.3">
      <c r="H30891" t="str">
        <f t="shared" si="532"/>
        <v/>
      </c>
    </row>
    <row r="30892" spans="8:8" x14ac:dyDescent="0.3">
      <c r="H30892" t="str">
        <f t="shared" si="532"/>
        <v/>
      </c>
    </row>
    <row r="30893" spans="8:8" x14ac:dyDescent="0.3">
      <c r="H30893" t="str">
        <f t="shared" si="532"/>
        <v/>
      </c>
    </row>
    <row r="30894" spans="8:8" x14ac:dyDescent="0.3">
      <c r="H30894" t="str">
        <f t="shared" si="532"/>
        <v/>
      </c>
    </row>
    <row r="30895" spans="8:8" x14ac:dyDescent="0.3">
      <c r="H30895" t="str">
        <f t="shared" si="532"/>
        <v/>
      </c>
    </row>
    <row r="30896" spans="8:8" x14ac:dyDescent="0.3">
      <c r="H30896" t="str">
        <f t="shared" si="532"/>
        <v/>
      </c>
    </row>
    <row r="30897" spans="8:8" x14ac:dyDescent="0.3">
      <c r="H30897" t="str">
        <f t="shared" si="532"/>
        <v/>
      </c>
    </row>
    <row r="30898" spans="8:8" x14ac:dyDescent="0.3">
      <c r="H30898" t="str">
        <f t="shared" si="532"/>
        <v/>
      </c>
    </row>
    <row r="30899" spans="8:8" x14ac:dyDescent="0.3">
      <c r="H30899" t="str">
        <f t="shared" si="532"/>
        <v/>
      </c>
    </row>
    <row r="30900" spans="8:8" x14ac:dyDescent="0.3">
      <c r="H30900" t="str">
        <f t="shared" si="532"/>
        <v/>
      </c>
    </row>
    <row r="30901" spans="8:8" x14ac:dyDescent="0.3">
      <c r="H30901" t="str">
        <f t="shared" si="532"/>
        <v/>
      </c>
    </row>
    <row r="30902" spans="8:8" x14ac:dyDescent="0.3">
      <c r="H30902" t="str">
        <f t="shared" si="532"/>
        <v/>
      </c>
    </row>
    <row r="30903" spans="8:8" x14ac:dyDescent="0.3">
      <c r="H30903" t="str">
        <f t="shared" si="532"/>
        <v/>
      </c>
    </row>
    <row r="30904" spans="8:8" x14ac:dyDescent="0.3">
      <c r="H30904" t="str">
        <f t="shared" si="532"/>
        <v/>
      </c>
    </row>
    <row r="30905" spans="8:8" x14ac:dyDescent="0.3">
      <c r="H30905" t="str">
        <f t="shared" si="532"/>
        <v/>
      </c>
    </row>
    <row r="30906" spans="8:8" x14ac:dyDescent="0.3">
      <c r="H30906" t="str">
        <f t="shared" si="532"/>
        <v/>
      </c>
    </row>
    <row r="30907" spans="8:8" x14ac:dyDescent="0.3">
      <c r="H30907" t="str">
        <f t="shared" si="532"/>
        <v/>
      </c>
    </row>
    <row r="30908" spans="8:8" x14ac:dyDescent="0.3">
      <c r="H30908" t="str">
        <f t="shared" si="532"/>
        <v/>
      </c>
    </row>
    <row r="30909" spans="8:8" x14ac:dyDescent="0.3">
      <c r="H30909" t="str">
        <f t="shared" si="532"/>
        <v/>
      </c>
    </row>
    <row r="30910" spans="8:8" x14ac:dyDescent="0.3">
      <c r="H30910" t="str">
        <f t="shared" si="532"/>
        <v/>
      </c>
    </row>
    <row r="30911" spans="8:8" x14ac:dyDescent="0.3">
      <c r="H30911" t="str">
        <f t="shared" si="532"/>
        <v/>
      </c>
    </row>
    <row r="30912" spans="8:8" x14ac:dyDescent="0.3">
      <c r="H30912" t="str">
        <f t="shared" si="532"/>
        <v/>
      </c>
    </row>
    <row r="30913" spans="8:8" x14ac:dyDescent="0.3">
      <c r="H30913" t="str">
        <f t="shared" si="532"/>
        <v/>
      </c>
    </row>
    <row r="30914" spans="8:8" x14ac:dyDescent="0.3">
      <c r="H30914" t="str">
        <f t="shared" si="532"/>
        <v/>
      </c>
    </row>
    <row r="30915" spans="8:8" x14ac:dyDescent="0.3">
      <c r="H30915" t="str">
        <f t="shared" si="532"/>
        <v/>
      </c>
    </row>
    <row r="30916" spans="8:8" x14ac:dyDescent="0.3">
      <c r="H30916" t="str">
        <f t="shared" si="532"/>
        <v/>
      </c>
    </row>
    <row r="30917" spans="8:8" x14ac:dyDescent="0.3">
      <c r="H30917" t="str">
        <f t="shared" si="532"/>
        <v/>
      </c>
    </row>
    <row r="30918" spans="8:8" x14ac:dyDescent="0.3">
      <c r="H30918" t="str">
        <f t="shared" si="532"/>
        <v/>
      </c>
    </row>
    <row r="30919" spans="8:8" x14ac:dyDescent="0.3">
      <c r="H30919" t="str">
        <f t="shared" si="532"/>
        <v/>
      </c>
    </row>
    <row r="30920" spans="8:8" x14ac:dyDescent="0.3">
      <c r="H30920" t="str">
        <f t="shared" si="532"/>
        <v/>
      </c>
    </row>
    <row r="30921" spans="8:8" x14ac:dyDescent="0.3">
      <c r="H30921" t="str">
        <f t="shared" si="532"/>
        <v/>
      </c>
    </row>
    <row r="30922" spans="8:8" x14ac:dyDescent="0.3">
      <c r="H30922" t="str">
        <f t="shared" si="532"/>
        <v/>
      </c>
    </row>
    <row r="30923" spans="8:8" x14ac:dyDescent="0.3">
      <c r="H30923" t="str">
        <f t="shared" si="532"/>
        <v/>
      </c>
    </row>
    <row r="30924" spans="8:8" x14ac:dyDescent="0.3">
      <c r="H30924" t="str">
        <f t="shared" si="532"/>
        <v/>
      </c>
    </row>
    <row r="30925" spans="8:8" x14ac:dyDescent="0.3">
      <c r="H30925" t="str">
        <f t="shared" si="532"/>
        <v/>
      </c>
    </row>
    <row r="30926" spans="8:8" x14ac:dyDescent="0.3">
      <c r="H30926" t="str">
        <f t="shared" si="532"/>
        <v/>
      </c>
    </row>
    <row r="30927" spans="8:8" x14ac:dyDescent="0.3">
      <c r="H30927" t="str">
        <f t="shared" si="532"/>
        <v/>
      </c>
    </row>
    <row r="30928" spans="8:8" x14ac:dyDescent="0.3">
      <c r="H30928" t="str">
        <f t="shared" si="532"/>
        <v/>
      </c>
    </row>
    <row r="30929" spans="8:8" x14ac:dyDescent="0.3">
      <c r="H30929" t="str">
        <f t="shared" si="532"/>
        <v/>
      </c>
    </row>
    <row r="30930" spans="8:8" x14ac:dyDescent="0.3">
      <c r="H30930" t="str">
        <f t="shared" si="532"/>
        <v/>
      </c>
    </row>
    <row r="30931" spans="8:8" x14ac:dyDescent="0.3">
      <c r="H30931" t="str">
        <f t="shared" si="532"/>
        <v/>
      </c>
    </row>
    <row r="30932" spans="8:8" x14ac:dyDescent="0.3">
      <c r="H30932" t="str">
        <f t="shared" si="532"/>
        <v/>
      </c>
    </row>
    <row r="30933" spans="8:8" x14ac:dyDescent="0.3">
      <c r="H30933" t="str">
        <f t="shared" si="532"/>
        <v/>
      </c>
    </row>
    <row r="30934" spans="8:8" x14ac:dyDescent="0.3">
      <c r="H30934" t="str">
        <f t="shared" si="532"/>
        <v/>
      </c>
    </row>
    <row r="30935" spans="8:8" x14ac:dyDescent="0.3">
      <c r="H30935" t="str">
        <f t="shared" ref="H30935:H30998" si="533">IF(B30935="","",$C$12)</f>
        <v/>
      </c>
    </row>
    <row r="30936" spans="8:8" x14ac:dyDescent="0.3">
      <c r="H30936" t="str">
        <f t="shared" si="533"/>
        <v/>
      </c>
    </row>
    <row r="30937" spans="8:8" x14ac:dyDescent="0.3">
      <c r="H30937" t="str">
        <f t="shared" si="533"/>
        <v/>
      </c>
    </row>
    <row r="30938" spans="8:8" x14ac:dyDescent="0.3">
      <c r="H30938" t="str">
        <f t="shared" si="533"/>
        <v/>
      </c>
    </row>
    <row r="30939" spans="8:8" x14ac:dyDescent="0.3">
      <c r="H30939" t="str">
        <f t="shared" si="533"/>
        <v/>
      </c>
    </row>
    <row r="30940" spans="8:8" x14ac:dyDescent="0.3">
      <c r="H30940" t="str">
        <f t="shared" si="533"/>
        <v/>
      </c>
    </row>
    <row r="30941" spans="8:8" x14ac:dyDescent="0.3">
      <c r="H30941" t="str">
        <f t="shared" si="533"/>
        <v/>
      </c>
    </row>
    <row r="30942" spans="8:8" x14ac:dyDescent="0.3">
      <c r="H30942" t="str">
        <f t="shared" si="533"/>
        <v/>
      </c>
    </row>
    <row r="30943" spans="8:8" x14ac:dyDescent="0.3">
      <c r="H30943" t="str">
        <f t="shared" si="533"/>
        <v/>
      </c>
    </row>
    <row r="30944" spans="8:8" x14ac:dyDescent="0.3">
      <c r="H30944" t="str">
        <f t="shared" si="533"/>
        <v/>
      </c>
    </row>
    <row r="30945" spans="8:8" x14ac:dyDescent="0.3">
      <c r="H30945" t="str">
        <f t="shared" si="533"/>
        <v/>
      </c>
    </row>
    <row r="30946" spans="8:8" x14ac:dyDescent="0.3">
      <c r="H30946" t="str">
        <f t="shared" si="533"/>
        <v/>
      </c>
    </row>
    <row r="30947" spans="8:8" x14ac:dyDescent="0.3">
      <c r="H30947" t="str">
        <f t="shared" si="533"/>
        <v/>
      </c>
    </row>
    <row r="30948" spans="8:8" x14ac:dyDescent="0.3">
      <c r="H30948" t="str">
        <f t="shared" si="533"/>
        <v/>
      </c>
    </row>
    <row r="30949" spans="8:8" x14ac:dyDescent="0.3">
      <c r="H30949" t="str">
        <f t="shared" si="533"/>
        <v/>
      </c>
    </row>
    <row r="30950" spans="8:8" x14ac:dyDescent="0.3">
      <c r="H30950" t="str">
        <f t="shared" si="533"/>
        <v/>
      </c>
    </row>
    <row r="30951" spans="8:8" x14ac:dyDescent="0.3">
      <c r="H30951" t="str">
        <f t="shared" si="533"/>
        <v/>
      </c>
    </row>
    <row r="30952" spans="8:8" x14ac:dyDescent="0.3">
      <c r="H30952" t="str">
        <f t="shared" si="533"/>
        <v/>
      </c>
    </row>
    <row r="30953" spans="8:8" x14ac:dyDescent="0.3">
      <c r="H30953" t="str">
        <f t="shared" si="533"/>
        <v/>
      </c>
    </row>
    <row r="30954" spans="8:8" x14ac:dyDescent="0.3">
      <c r="H30954" t="str">
        <f t="shared" si="533"/>
        <v/>
      </c>
    </row>
    <row r="30955" spans="8:8" x14ac:dyDescent="0.3">
      <c r="H30955" t="str">
        <f t="shared" si="533"/>
        <v/>
      </c>
    </row>
    <row r="30956" spans="8:8" x14ac:dyDescent="0.3">
      <c r="H30956" t="str">
        <f t="shared" si="533"/>
        <v/>
      </c>
    </row>
    <row r="30957" spans="8:8" x14ac:dyDescent="0.3">
      <c r="H30957" t="str">
        <f t="shared" si="533"/>
        <v/>
      </c>
    </row>
    <row r="30958" spans="8:8" x14ac:dyDescent="0.3">
      <c r="H30958" t="str">
        <f t="shared" si="533"/>
        <v/>
      </c>
    </row>
    <row r="30959" spans="8:8" x14ac:dyDescent="0.3">
      <c r="H30959" t="str">
        <f t="shared" si="533"/>
        <v/>
      </c>
    </row>
    <row r="30960" spans="8:8" x14ac:dyDescent="0.3">
      <c r="H30960" t="str">
        <f t="shared" si="533"/>
        <v/>
      </c>
    </row>
    <row r="30961" spans="8:8" x14ac:dyDescent="0.3">
      <c r="H30961" t="str">
        <f t="shared" si="533"/>
        <v/>
      </c>
    </row>
    <row r="30962" spans="8:8" x14ac:dyDescent="0.3">
      <c r="H30962" t="str">
        <f t="shared" si="533"/>
        <v/>
      </c>
    </row>
    <row r="30963" spans="8:8" x14ac:dyDescent="0.3">
      <c r="H30963" t="str">
        <f t="shared" si="533"/>
        <v/>
      </c>
    </row>
    <row r="30964" spans="8:8" x14ac:dyDescent="0.3">
      <c r="H30964" t="str">
        <f t="shared" si="533"/>
        <v/>
      </c>
    </row>
    <row r="30965" spans="8:8" x14ac:dyDescent="0.3">
      <c r="H30965" t="str">
        <f t="shared" si="533"/>
        <v/>
      </c>
    </row>
    <row r="30966" spans="8:8" x14ac:dyDescent="0.3">
      <c r="H30966" t="str">
        <f t="shared" si="533"/>
        <v/>
      </c>
    </row>
    <row r="30967" spans="8:8" x14ac:dyDescent="0.3">
      <c r="H30967" t="str">
        <f t="shared" si="533"/>
        <v/>
      </c>
    </row>
    <row r="30968" spans="8:8" x14ac:dyDescent="0.3">
      <c r="H30968" t="str">
        <f t="shared" si="533"/>
        <v/>
      </c>
    </row>
    <row r="30969" spans="8:8" x14ac:dyDescent="0.3">
      <c r="H30969" t="str">
        <f t="shared" si="533"/>
        <v/>
      </c>
    </row>
    <row r="30970" spans="8:8" x14ac:dyDescent="0.3">
      <c r="H30970" t="str">
        <f t="shared" si="533"/>
        <v/>
      </c>
    </row>
    <row r="30971" spans="8:8" x14ac:dyDescent="0.3">
      <c r="H30971" t="str">
        <f t="shared" si="533"/>
        <v/>
      </c>
    </row>
    <row r="30972" spans="8:8" x14ac:dyDescent="0.3">
      <c r="H30972" t="str">
        <f t="shared" si="533"/>
        <v/>
      </c>
    </row>
    <row r="30973" spans="8:8" x14ac:dyDescent="0.3">
      <c r="H30973" t="str">
        <f t="shared" si="533"/>
        <v/>
      </c>
    </row>
    <row r="30974" spans="8:8" x14ac:dyDescent="0.3">
      <c r="H30974" t="str">
        <f t="shared" si="533"/>
        <v/>
      </c>
    </row>
    <row r="30975" spans="8:8" x14ac:dyDescent="0.3">
      <c r="H30975" t="str">
        <f t="shared" si="533"/>
        <v/>
      </c>
    </row>
    <row r="30976" spans="8:8" x14ac:dyDescent="0.3">
      <c r="H30976" t="str">
        <f t="shared" si="533"/>
        <v/>
      </c>
    </row>
    <row r="30977" spans="8:8" x14ac:dyDescent="0.3">
      <c r="H30977" t="str">
        <f t="shared" si="533"/>
        <v/>
      </c>
    </row>
    <row r="30978" spans="8:8" x14ac:dyDescent="0.3">
      <c r="H30978" t="str">
        <f t="shared" si="533"/>
        <v/>
      </c>
    </row>
    <row r="30979" spans="8:8" x14ac:dyDescent="0.3">
      <c r="H30979" t="str">
        <f t="shared" si="533"/>
        <v/>
      </c>
    </row>
    <row r="30980" spans="8:8" x14ac:dyDescent="0.3">
      <c r="H30980" t="str">
        <f t="shared" si="533"/>
        <v/>
      </c>
    </row>
    <row r="30981" spans="8:8" x14ac:dyDescent="0.3">
      <c r="H30981" t="str">
        <f t="shared" si="533"/>
        <v/>
      </c>
    </row>
    <row r="30982" spans="8:8" x14ac:dyDescent="0.3">
      <c r="H30982" t="str">
        <f t="shared" si="533"/>
        <v/>
      </c>
    </row>
    <row r="30983" spans="8:8" x14ac:dyDescent="0.3">
      <c r="H30983" t="str">
        <f t="shared" si="533"/>
        <v/>
      </c>
    </row>
    <row r="30984" spans="8:8" x14ac:dyDescent="0.3">
      <c r="H30984" t="str">
        <f t="shared" si="533"/>
        <v/>
      </c>
    </row>
    <row r="30985" spans="8:8" x14ac:dyDescent="0.3">
      <c r="H30985" t="str">
        <f t="shared" si="533"/>
        <v/>
      </c>
    </row>
    <row r="30986" spans="8:8" x14ac:dyDescent="0.3">
      <c r="H30986" t="str">
        <f t="shared" si="533"/>
        <v/>
      </c>
    </row>
    <row r="30987" spans="8:8" x14ac:dyDescent="0.3">
      <c r="H30987" t="str">
        <f t="shared" si="533"/>
        <v/>
      </c>
    </row>
    <row r="30988" spans="8:8" x14ac:dyDescent="0.3">
      <c r="H30988" t="str">
        <f t="shared" si="533"/>
        <v/>
      </c>
    </row>
    <row r="30989" spans="8:8" x14ac:dyDescent="0.3">
      <c r="H30989" t="str">
        <f t="shared" si="533"/>
        <v/>
      </c>
    </row>
    <row r="30990" spans="8:8" x14ac:dyDescent="0.3">
      <c r="H30990" t="str">
        <f t="shared" si="533"/>
        <v/>
      </c>
    </row>
    <row r="30991" spans="8:8" x14ac:dyDescent="0.3">
      <c r="H30991" t="str">
        <f t="shared" si="533"/>
        <v/>
      </c>
    </row>
    <row r="30992" spans="8:8" x14ac:dyDescent="0.3">
      <c r="H30992" t="str">
        <f t="shared" si="533"/>
        <v/>
      </c>
    </row>
    <row r="30993" spans="8:8" x14ac:dyDescent="0.3">
      <c r="H30993" t="str">
        <f t="shared" si="533"/>
        <v/>
      </c>
    </row>
    <row r="30994" spans="8:8" x14ac:dyDescent="0.3">
      <c r="H30994" t="str">
        <f t="shared" si="533"/>
        <v/>
      </c>
    </row>
    <row r="30995" spans="8:8" x14ac:dyDescent="0.3">
      <c r="H30995" t="str">
        <f t="shared" si="533"/>
        <v/>
      </c>
    </row>
    <row r="30996" spans="8:8" x14ac:dyDescent="0.3">
      <c r="H30996" t="str">
        <f t="shared" si="533"/>
        <v/>
      </c>
    </row>
    <row r="30997" spans="8:8" x14ac:dyDescent="0.3">
      <c r="H30997" t="str">
        <f t="shared" si="533"/>
        <v/>
      </c>
    </row>
    <row r="30998" spans="8:8" x14ac:dyDescent="0.3">
      <c r="H30998" t="str">
        <f t="shared" si="533"/>
        <v/>
      </c>
    </row>
    <row r="30999" spans="8:8" x14ac:dyDescent="0.3">
      <c r="H30999" t="str">
        <f t="shared" ref="H30999:H31062" si="534">IF(B30999="","",$C$12)</f>
        <v/>
      </c>
    </row>
    <row r="31000" spans="8:8" x14ac:dyDescent="0.3">
      <c r="H31000" t="str">
        <f t="shared" si="534"/>
        <v/>
      </c>
    </row>
    <row r="31001" spans="8:8" x14ac:dyDescent="0.3">
      <c r="H31001" t="str">
        <f t="shared" si="534"/>
        <v/>
      </c>
    </row>
    <row r="31002" spans="8:8" x14ac:dyDescent="0.3">
      <c r="H31002" t="str">
        <f t="shared" si="534"/>
        <v/>
      </c>
    </row>
    <row r="31003" spans="8:8" x14ac:dyDescent="0.3">
      <c r="H31003" t="str">
        <f t="shared" si="534"/>
        <v/>
      </c>
    </row>
    <row r="31004" spans="8:8" x14ac:dyDescent="0.3">
      <c r="H31004" t="str">
        <f t="shared" si="534"/>
        <v/>
      </c>
    </row>
    <row r="31005" spans="8:8" x14ac:dyDescent="0.3">
      <c r="H31005" t="str">
        <f t="shared" si="534"/>
        <v/>
      </c>
    </row>
    <row r="31006" spans="8:8" x14ac:dyDescent="0.3">
      <c r="H31006" t="str">
        <f t="shared" si="534"/>
        <v/>
      </c>
    </row>
    <row r="31007" spans="8:8" x14ac:dyDescent="0.3">
      <c r="H31007" t="str">
        <f t="shared" si="534"/>
        <v/>
      </c>
    </row>
    <row r="31008" spans="8:8" x14ac:dyDescent="0.3">
      <c r="H31008" t="str">
        <f t="shared" si="534"/>
        <v/>
      </c>
    </row>
    <row r="31009" spans="8:8" x14ac:dyDescent="0.3">
      <c r="H31009" t="str">
        <f t="shared" si="534"/>
        <v/>
      </c>
    </row>
    <row r="31010" spans="8:8" x14ac:dyDescent="0.3">
      <c r="H31010" t="str">
        <f t="shared" si="534"/>
        <v/>
      </c>
    </row>
    <row r="31011" spans="8:8" x14ac:dyDescent="0.3">
      <c r="H31011" t="str">
        <f t="shared" si="534"/>
        <v/>
      </c>
    </row>
    <row r="31012" spans="8:8" x14ac:dyDescent="0.3">
      <c r="H31012" t="str">
        <f t="shared" si="534"/>
        <v/>
      </c>
    </row>
    <row r="31013" spans="8:8" x14ac:dyDescent="0.3">
      <c r="H31013" t="str">
        <f t="shared" si="534"/>
        <v/>
      </c>
    </row>
    <row r="31014" spans="8:8" x14ac:dyDescent="0.3">
      <c r="H31014" t="str">
        <f t="shared" si="534"/>
        <v/>
      </c>
    </row>
    <row r="31015" spans="8:8" x14ac:dyDescent="0.3">
      <c r="H31015" t="str">
        <f t="shared" si="534"/>
        <v/>
      </c>
    </row>
    <row r="31016" spans="8:8" x14ac:dyDescent="0.3">
      <c r="H31016" t="str">
        <f t="shared" si="534"/>
        <v/>
      </c>
    </row>
    <row r="31017" spans="8:8" x14ac:dyDescent="0.3">
      <c r="H31017" t="str">
        <f t="shared" si="534"/>
        <v/>
      </c>
    </row>
    <row r="31018" spans="8:8" x14ac:dyDescent="0.3">
      <c r="H31018" t="str">
        <f t="shared" si="534"/>
        <v/>
      </c>
    </row>
    <row r="31019" spans="8:8" x14ac:dyDescent="0.3">
      <c r="H31019" t="str">
        <f t="shared" si="534"/>
        <v/>
      </c>
    </row>
    <row r="31020" spans="8:8" x14ac:dyDescent="0.3">
      <c r="H31020" t="str">
        <f t="shared" si="534"/>
        <v/>
      </c>
    </row>
    <row r="31021" spans="8:8" x14ac:dyDescent="0.3">
      <c r="H31021" t="str">
        <f t="shared" si="534"/>
        <v/>
      </c>
    </row>
    <row r="31022" spans="8:8" x14ac:dyDescent="0.3">
      <c r="H31022" t="str">
        <f t="shared" si="534"/>
        <v/>
      </c>
    </row>
    <row r="31023" spans="8:8" x14ac:dyDescent="0.3">
      <c r="H31023" t="str">
        <f t="shared" si="534"/>
        <v/>
      </c>
    </row>
    <row r="31024" spans="8:8" x14ac:dyDescent="0.3">
      <c r="H31024" t="str">
        <f t="shared" si="534"/>
        <v/>
      </c>
    </row>
    <row r="31025" spans="8:8" x14ac:dyDescent="0.3">
      <c r="H31025" t="str">
        <f t="shared" si="534"/>
        <v/>
      </c>
    </row>
    <row r="31026" spans="8:8" x14ac:dyDescent="0.3">
      <c r="H31026" t="str">
        <f t="shared" si="534"/>
        <v/>
      </c>
    </row>
    <row r="31027" spans="8:8" x14ac:dyDescent="0.3">
      <c r="H31027" t="str">
        <f t="shared" si="534"/>
        <v/>
      </c>
    </row>
    <row r="31028" spans="8:8" x14ac:dyDescent="0.3">
      <c r="H31028" t="str">
        <f t="shared" si="534"/>
        <v/>
      </c>
    </row>
    <row r="31029" spans="8:8" x14ac:dyDescent="0.3">
      <c r="H31029" t="str">
        <f t="shared" si="534"/>
        <v/>
      </c>
    </row>
    <row r="31030" spans="8:8" x14ac:dyDescent="0.3">
      <c r="H31030" t="str">
        <f t="shared" si="534"/>
        <v/>
      </c>
    </row>
    <row r="31031" spans="8:8" x14ac:dyDescent="0.3">
      <c r="H31031" t="str">
        <f t="shared" si="534"/>
        <v/>
      </c>
    </row>
    <row r="31032" spans="8:8" x14ac:dyDescent="0.3">
      <c r="H31032" t="str">
        <f t="shared" si="534"/>
        <v/>
      </c>
    </row>
    <row r="31033" spans="8:8" x14ac:dyDescent="0.3">
      <c r="H31033" t="str">
        <f t="shared" si="534"/>
        <v/>
      </c>
    </row>
    <row r="31034" spans="8:8" x14ac:dyDescent="0.3">
      <c r="H31034" t="str">
        <f t="shared" si="534"/>
        <v/>
      </c>
    </row>
    <row r="31035" spans="8:8" x14ac:dyDescent="0.3">
      <c r="H31035" t="str">
        <f t="shared" si="534"/>
        <v/>
      </c>
    </row>
    <row r="31036" spans="8:8" x14ac:dyDescent="0.3">
      <c r="H31036" t="str">
        <f t="shared" si="534"/>
        <v/>
      </c>
    </row>
    <row r="31037" spans="8:8" x14ac:dyDescent="0.3">
      <c r="H31037" t="str">
        <f t="shared" si="534"/>
        <v/>
      </c>
    </row>
    <row r="31038" spans="8:8" x14ac:dyDescent="0.3">
      <c r="H31038" t="str">
        <f t="shared" si="534"/>
        <v/>
      </c>
    </row>
    <row r="31039" spans="8:8" x14ac:dyDescent="0.3">
      <c r="H31039" t="str">
        <f t="shared" si="534"/>
        <v/>
      </c>
    </row>
    <row r="31040" spans="8:8" x14ac:dyDescent="0.3">
      <c r="H31040" t="str">
        <f t="shared" si="534"/>
        <v/>
      </c>
    </row>
    <row r="31041" spans="8:8" x14ac:dyDescent="0.3">
      <c r="H31041" t="str">
        <f t="shared" si="534"/>
        <v/>
      </c>
    </row>
    <row r="31042" spans="8:8" x14ac:dyDescent="0.3">
      <c r="H31042" t="str">
        <f t="shared" si="534"/>
        <v/>
      </c>
    </row>
    <row r="31043" spans="8:8" x14ac:dyDescent="0.3">
      <c r="H31043" t="str">
        <f t="shared" si="534"/>
        <v/>
      </c>
    </row>
    <row r="31044" spans="8:8" x14ac:dyDescent="0.3">
      <c r="H31044" t="str">
        <f t="shared" si="534"/>
        <v/>
      </c>
    </row>
    <row r="31045" spans="8:8" x14ac:dyDescent="0.3">
      <c r="H31045" t="str">
        <f t="shared" si="534"/>
        <v/>
      </c>
    </row>
    <row r="31046" spans="8:8" x14ac:dyDescent="0.3">
      <c r="H31046" t="str">
        <f t="shared" si="534"/>
        <v/>
      </c>
    </row>
    <row r="31047" spans="8:8" x14ac:dyDescent="0.3">
      <c r="H31047" t="str">
        <f t="shared" si="534"/>
        <v/>
      </c>
    </row>
    <row r="31048" spans="8:8" x14ac:dyDescent="0.3">
      <c r="H31048" t="str">
        <f t="shared" si="534"/>
        <v/>
      </c>
    </row>
    <row r="31049" spans="8:8" x14ac:dyDescent="0.3">
      <c r="H31049" t="str">
        <f t="shared" si="534"/>
        <v/>
      </c>
    </row>
    <row r="31050" spans="8:8" x14ac:dyDescent="0.3">
      <c r="H31050" t="str">
        <f t="shared" si="534"/>
        <v/>
      </c>
    </row>
    <row r="31051" spans="8:8" x14ac:dyDescent="0.3">
      <c r="H31051" t="str">
        <f t="shared" si="534"/>
        <v/>
      </c>
    </row>
    <row r="31052" spans="8:8" x14ac:dyDescent="0.3">
      <c r="H31052" t="str">
        <f t="shared" si="534"/>
        <v/>
      </c>
    </row>
    <row r="31053" spans="8:8" x14ac:dyDescent="0.3">
      <c r="H31053" t="str">
        <f t="shared" si="534"/>
        <v/>
      </c>
    </row>
    <row r="31054" spans="8:8" x14ac:dyDescent="0.3">
      <c r="H31054" t="str">
        <f t="shared" si="534"/>
        <v/>
      </c>
    </row>
    <row r="31055" spans="8:8" x14ac:dyDescent="0.3">
      <c r="H31055" t="str">
        <f t="shared" si="534"/>
        <v/>
      </c>
    </row>
    <row r="31056" spans="8:8" x14ac:dyDescent="0.3">
      <c r="H31056" t="str">
        <f t="shared" si="534"/>
        <v/>
      </c>
    </row>
    <row r="31057" spans="8:8" x14ac:dyDescent="0.3">
      <c r="H31057" t="str">
        <f t="shared" si="534"/>
        <v/>
      </c>
    </row>
    <row r="31058" spans="8:8" x14ac:dyDescent="0.3">
      <c r="H31058" t="str">
        <f t="shared" si="534"/>
        <v/>
      </c>
    </row>
    <row r="31059" spans="8:8" x14ac:dyDescent="0.3">
      <c r="H31059" t="str">
        <f t="shared" si="534"/>
        <v/>
      </c>
    </row>
    <row r="31060" spans="8:8" x14ac:dyDescent="0.3">
      <c r="H31060" t="str">
        <f t="shared" si="534"/>
        <v/>
      </c>
    </row>
    <row r="31061" spans="8:8" x14ac:dyDescent="0.3">
      <c r="H31061" t="str">
        <f t="shared" si="534"/>
        <v/>
      </c>
    </row>
    <row r="31062" spans="8:8" x14ac:dyDescent="0.3">
      <c r="H31062" t="str">
        <f t="shared" si="534"/>
        <v/>
      </c>
    </row>
    <row r="31063" spans="8:8" x14ac:dyDescent="0.3">
      <c r="H31063" t="str">
        <f t="shared" ref="H31063:H31126" si="535">IF(B31063="","",$C$12)</f>
        <v/>
      </c>
    </row>
    <row r="31064" spans="8:8" x14ac:dyDescent="0.3">
      <c r="H31064" t="str">
        <f t="shared" si="535"/>
        <v/>
      </c>
    </row>
    <row r="31065" spans="8:8" x14ac:dyDescent="0.3">
      <c r="H31065" t="str">
        <f t="shared" si="535"/>
        <v/>
      </c>
    </row>
    <row r="31066" spans="8:8" x14ac:dyDescent="0.3">
      <c r="H31066" t="str">
        <f t="shared" si="535"/>
        <v/>
      </c>
    </row>
    <row r="31067" spans="8:8" x14ac:dyDescent="0.3">
      <c r="H31067" t="str">
        <f t="shared" si="535"/>
        <v/>
      </c>
    </row>
    <row r="31068" spans="8:8" x14ac:dyDescent="0.3">
      <c r="H31068" t="str">
        <f t="shared" si="535"/>
        <v/>
      </c>
    </row>
    <row r="31069" spans="8:8" x14ac:dyDescent="0.3">
      <c r="H31069" t="str">
        <f t="shared" si="535"/>
        <v/>
      </c>
    </row>
    <row r="31070" spans="8:8" x14ac:dyDescent="0.3">
      <c r="H31070" t="str">
        <f t="shared" si="535"/>
        <v/>
      </c>
    </row>
    <row r="31071" spans="8:8" x14ac:dyDescent="0.3">
      <c r="H31071" t="str">
        <f t="shared" si="535"/>
        <v/>
      </c>
    </row>
    <row r="31072" spans="8:8" x14ac:dyDescent="0.3">
      <c r="H31072" t="str">
        <f t="shared" si="535"/>
        <v/>
      </c>
    </row>
    <row r="31073" spans="8:8" x14ac:dyDescent="0.3">
      <c r="H31073" t="str">
        <f t="shared" si="535"/>
        <v/>
      </c>
    </row>
    <row r="31074" spans="8:8" x14ac:dyDescent="0.3">
      <c r="H31074" t="str">
        <f t="shared" si="535"/>
        <v/>
      </c>
    </row>
    <row r="31075" spans="8:8" x14ac:dyDescent="0.3">
      <c r="H31075" t="str">
        <f t="shared" si="535"/>
        <v/>
      </c>
    </row>
    <row r="31076" spans="8:8" x14ac:dyDescent="0.3">
      <c r="H31076" t="str">
        <f t="shared" si="535"/>
        <v/>
      </c>
    </row>
    <row r="31077" spans="8:8" x14ac:dyDescent="0.3">
      <c r="H31077" t="str">
        <f t="shared" si="535"/>
        <v/>
      </c>
    </row>
    <row r="31078" spans="8:8" x14ac:dyDescent="0.3">
      <c r="H31078" t="str">
        <f t="shared" si="535"/>
        <v/>
      </c>
    </row>
    <row r="31079" spans="8:8" x14ac:dyDescent="0.3">
      <c r="H31079" t="str">
        <f t="shared" si="535"/>
        <v/>
      </c>
    </row>
    <row r="31080" spans="8:8" x14ac:dyDescent="0.3">
      <c r="H31080" t="str">
        <f t="shared" si="535"/>
        <v/>
      </c>
    </row>
    <row r="31081" spans="8:8" x14ac:dyDescent="0.3">
      <c r="H31081" t="str">
        <f t="shared" si="535"/>
        <v/>
      </c>
    </row>
    <row r="31082" spans="8:8" x14ac:dyDescent="0.3">
      <c r="H31082" t="str">
        <f t="shared" si="535"/>
        <v/>
      </c>
    </row>
    <row r="31083" spans="8:8" x14ac:dyDescent="0.3">
      <c r="H31083" t="str">
        <f t="shared" si="535"/>
        <v/>
      </c>
    </row>
    <row r="31084" spans="8:8" x14ac:dyDescent="0.3">
      <c r="H31084" t="str">
        <f t="shared" si="535"/>
        <v/>
      </c>
    </row>
    <row r="31085" spans="8:8" x14ac:dyDescent="0.3">
      <c r="H31085" t="str">
        <f t="shared" si="535"/>
        <v/>
      </c>
    </row>
    <row r="31086" spans="8:8" x14ac:dyDescent="0.3">
      <c r="H31086" t="str">
        <f t="shared" si="535"/>
        <v/>
      </c>
    </row>
    <row r="31087" spans="8:8" x14ac:dyDescent="0.3">
      <c r="H31087" t="str">
        <f t="shared" si="535"/>
        <v/>
      </c>
    </row>
    <row r="31088" spans="8:8" x14ac:dyDescent="0.3">
      <c r="H31088" t="str">
        <f t="shared" si="535"/>
        <v/>
      </c>
    </row>
    <row r="31089" spans="8:8" x14ac:dyDescent="0.3">
      <c r="H31089" t="str">
        <f t="shared" si="535"/>
        <v/>
      </c>
    </row>
    <row r="31090" spans="8:8" x14ac:dyDescent="0.3">
      <c r="H31090" t="str">
        <f t="shared" si="535"/>
        <v/>
      </c>
    </row>
    <row r="31091" spans="8:8" x14ac:dyDescent="0.3">
      <c r="H31091" t="str">
        <f t="shared" si="535"/>
        <v/>
      </c>
    </row>
    <row r="31092" spans="8:8" x14ac:dyDescent="0.3">
      <c r="H31092" t="str">
        <f t="shared" si="535"/>
        <v/>
      </c>
    </row>
    <row r="31093" spans="8:8" x14ac:dyDescent="0.3">
      <c r="H31093" t="str">
        <f t="shared" si="535"/>
        <v/>
      </c>
    </row>
    <row r="31094" spans="8:8" x14ac:dyDescent="0.3">
      <c r="H31094" t="str">
        <f t="shared" si="535"/>
        <v/>
      </c>
    </row>
    <row r="31095" spans="8:8" x14ac:dyDescent="0.3">
      <c r="H31095" t="str">
        <f t="shared" si="535"/>
        <v/>
      </c>
    </row>
    <row r="31096" spans="8:8" x14ac:dyDescent="0.3">
      <c r="H31096" t="str">
        <f t="shared" si="535"/>
        <v/>
      </c>
    </row>
    <row r="31097" spans="8:8" x14ac:dyDescent="0.3">
      <c r="H31097" t="str">
        <f t="shared" si="535"/>
        <v/>
      </c>
    </row>
    <row r="31098" spans="8:8" x14ac:dyDescent="0.3">
      <c r="H31098" t="str">
        <f t="shared" si="535"/>
        <v/>
      </c>
    </row>
    <row r="31099" spans="8:8" x14ac:dyDescent="0.3">
      <c r="H31099" t="str">
        <f t="shared" si="535"/>
        <v/>
      </c>
    </row>
    <row r="31100" spans="8:8" x14ac:dyDescent="0.3">
      <c r="H31100" t="str">
        <f t="shared" si="535"/>
        <v/>
      </c>
    </row>
    <row r="31101" spans="8:8" x14ac:dyDescent="0.3">
      <c r="H31101" t="str">
        <f t="shared" si="535"/>
        <v/>
      </c>
    </row>
    <row r="31102" spans="8:8" x14ac:dyDescent="0.3">
      <c r="H31102" t="str">
        <f t="shared" si="535"/>
        <v/>
      </c>
    </row>
    <row r="31103" spans="8:8" x14ac:dyDescent="0.3">
      <c r="H31103" t="str">
        <f t="shared" si="535"/>
        <v/>
      </c>
    </row>
    <row r="31104" spans="8:8" x14ac:dyDescent="0.3">
      <c r="H31104" t="str">
        <f t="shared" si="535"/>
        <v/>
      </c>
    </row>
    <row r="31105" spans="8:8" x14ac:dyDescent="0.3">
      <c r="H31105" t="str">
        <f t="shared" si="535"/>
        <v/>
      </c>
    </row>
    <row r="31106" spans="8:8" x14ac:dyDescent="0.3">
      <c r="H31106" t="str">
        <f t="shared" si="535"/>
        <v/>
      </c>
    </row>
    <row r="31107" spans="8:8" x14ac:dyDescent="0.3">
      <c r="H31107" t="str">
        <f t="shared" si="535"/>
        <v/>
      </c>
    </row>
    <row r="31108" spans="8:8" x14ac:dyDescent="0.3">
      <c r="H31108" t="str">
        <f t="shared" si="535"/>
        <v/>
      </c>
    </row>
    <row r="31109" spans="8:8" x14ac:dyDescent="0.3">
      <c r="H31109" t="str">
        <f t="shared" si="535"/>
        <v/>
      </c>
    </row>
    <row r="31110" spans="8:8" x14ac:dyDescent="0.3">
      <c r="H31110" t="str">
        <f t="shared" si="535"/>
        <v/>
      </c>
    </row>
    <row r="31111" spans="8:8" x14ac:dyDescent="0.3">
      <c r="H31111" t="str">
        <f t="shared" si="535"/>
        <v/>
      </c>
    </row>
    <row r="31112" spans="8:8" x14ac:dyDescent="0.3">
      <c r="H31112" t="str">
        <f t="shared" si="535"/>
        <v/>
      </c>
    </row>
    <row r="31113" spans="8:8" x14ac:dyDescent="0.3">
      <c r="H31113" t="str">
        <f t="shared" si="535"/>
        <v/>
      </c>
    </row>
    <row r="31114" spans="8:8" x14ac:dyDescent="0.3">
      <c r="H31114" t="str">
        <f t="shared" si="535"/>
        <v/>
      </c>
    </row>
    <row r="31115" spans="8:8" x14ac:dyDescent="0.3">
      <c r="H31115" t="str">
        <f t="shared" si="535"/>
        <v/>
      </c>
    </row>
    <row r="31116" spans="8:8" x14ac:dyDescent="0.3">
      <c r="H31116" t="str">
        <f t="shared" si="535"/>
        <v/>
      </c>
    </row>
    <row r="31117" spans="8:8" x14ac:dyDescent="0.3">
      <c r="H31117" t="str">
        <f t="shared" si="535"/>
        <v/>
      </c>
    </row>
    <row r="31118" spans="8:8" x14ac:dyDescent="0.3">
      <c r="H31118" t="str">
        <f t="shared" si="535"/>
        <v/>
      </c>
    </row>
    <row r="31119" spans="8:8" x14ac:dyDescent="0.3">
      <c r="H31119" t="str">
        <f t="shared" si="535"/>
        <v/>
      </c>
    </row>
    <row r="31120" spans="8:8" x14ac:dyDescent="0.3">
      <c r="H31120" t="str">
        <f t="shared" si="535"/>
        <v/>
      </c>
    </row>
    <row r="31121" spans="8:8" x14ac:dyDescent="0.3">
      <c r="H31121" t="str">
        <f t="shared" si="535"/>
        <v/>
      </c>
    </row>
    <row r="31122" spans="8:8" x14ac:dyDescent="0.3">
      <c r="H31122" t="str">
        <f t="shared" si="535"/>
        <v/>
      </c>
    </row>
    <row r="31123" spans="8:8" x14ac:dyDescent="0.3">
      <c r="H31123" t="str">
        <f t="shared" si="535"/>
        <v/>
      </c>
    </row>
    <row r="31124" spans="8:8" x14ac:dyDescent="0.3">
      <c r="H31124" t="str">
        <f t="shared" si="535"/>
        <v/>
      </c>
    </row>
    <row r="31125" spans="8:8" x14ac:dyDescent="0.3">
      <c r="H31125" t="str">
        <f t="shared" si="535"/>
        <v/>
      </c>
    </row>
    <row r="31126" spans="8:8" x14ac:dyDescent="0.3">
      <c r="H31126" t="str">
        <f t="shared" si="535"/>
        <v/>
      </c>
    </row>
    <row r="31127" spans="8:8" x14ac:dyDescent="0.3">
      <c r="H31127" t="str">
        <f t="shared" ref="H31127:H31190" si="536">IF(B31127="","",$C$12)</f>
        <v/>
      </c>
    </row>
    <row r="31128" spans="8:8" x14ac:dyDescent="0.3">
      <c r="H31128" t="str">
        <f t="shared" si="536"/>
        <v/>
      </c>
    </row>
    <row r="31129" spans="8:8" x14ac:dyDescent="0.3">
      <c r="H31129" t="str">
        <f t="shared" si="536"/>
        <v/>
      </c>
    </row>
    <row r="31130" spans="8:8" x14ac:dyDescent="0.3">
      <c r="H31130" t="str">
        <f t="shared" si="536"/>
        <v/>
      </c>
    </row>
    <row r="31131" spans="8:8" x14ac:dyDescent="0.3">
      <c r="H31131" t="str">
        <f t="shared" si="536"/>
        <v/>
      </c>
    </row>
    <row r="31132" spans="8:8" x14ac:dyDescent="0.3">
      <c r="H31132" t="str">
        <f t="shared" si="536"/>
        <v/>
      </c>
    </row>
    <row r="31133" spans="8:8" x14ac:dyDescent="0.3">
      <c r="H31133" t="str">
        <f t="shared" si="536"/>
        <v/>
      </c>
    </row>
    <row r="31134" spans="8:8" x14ac:dyDescent="0.3">
      <c r="H31134" t="str">
        <f t="shared" si="536"/>
        <v/>
      </c>
    </row>
    <row r="31135" spans="8:8" x14ac:dyDescent="0.3">
      <c r="H31135" t="str">
        <f t="shared" si="536"/>
        <v/>
      </c>
    </row>
    <row r="31136" spans="8:8" x14ac:dyDescent="0.3">
      <c r="H31136" t="str">
        <f t="shared" si="536"/>
        <v/>
      </c>
    </row>
    <row r="31137" spans="8:8" x14ac:dyDescent="0.3">
      <c r="H31137" t="str">
        <f t="shared" si="536"/>
        <v/>
      </c>
    </row>
    <row r="31138" spans="8:8" x14ac:dyDescent="0.3">
      <c r="H31138" t="str">
        <f t="shared" si="536"/>
        <v/>
      </c>
    </row>
    <row r="31139" spans="8:8" x14ac:dyDescent="0.3">
      <c r="H31139" t="str">
        <f t="shared" si="536"/>
        <v/>
      </c>
    </row>
    <row r="31140" spans="8:8" x14ac:dyDescent="0.3">
      <c r="H31140" t="str">
        <f t="shared" si="536"/>
        <v/>
      </c>
    </row>
    <row r="31141" spans="8:8" x14ac:dyDescent="0.3">
      <c r="H31141" t="str">
        <f t="shared" si="536"/>
        <v/>
      </c>
    </row>
    <row r="31142" spans="8:8" x14ac:dyDescent="0.3">
      <c r="H31142" t="str">
        <f t="shared" si="536"/>
        <v/>
      </c>
    </row>
    <row r="31143" spans="8:8" x14ac:dyDescent="0.3">
      <c r="H31143" t="str">
        <f t="shared" si="536"/>
        <v/>
      </c>
    </row>
    <row r="31144" spans="8:8" x14ac:dyDescent="0.3">
      <c r="H31144" t="str">
        <f t="shared" si="536"/>
        <v/>
      </c>
    </row>
    <row r="31145" spans="8:8" x14ac:dyDescent="0.3">
      <c r="H31145" t="str">
        <f t="shared" si="536"/>
        <v/>
      </c>
    </row>
    <row r="31146" spans="8:8" x14ac:dyDescent="0.3">
      <c r="H31146" t="str">
        <f t="shared" si="536"/>
        <v/>
      </c>
    </row>
    <row r="31147" spans="8:8" x14ac:dyDescent="0.3">
      <c r="H31147" t="str">
        <f t="shared" si="536"/>
        <v/>
      </c>
    </row>
    <row r="31148" spans="8:8" x14ac:dyDescent="0.3">
      <c r="H31148" t="str">
        <f t="shared" si="536"/>
        <v/>
      </c>
    </row>
    <row r="31149" spans="8:8" x14ac:dyDescent="0.3">
      <c r="H31149" t="str">
        <f t="shared" si="536"/>
        <v/>
      </c>
    </row>
    <row r="31150" spans="8:8" x14ac:dyDescent="0.3">
      <c r="H31150" t="str">
        <f t="shared" si="536"/>
        <v/>
      </c>
    </row>
    <row r="31151" spans="8:8" x14ac:dyDescent="0.3">
      <c r="H31151" t="str">
        <f t="shared" si="536"/>
        <v/>
      </c>
    </row>
    <row r="31152" spans="8:8" x14ac:dyDescent="0.3">
      <c r="H31152" t="str">
        <f t="shared" si="536"/>
        <v/>
      </c>
    </row>
    <row r="31153" spans="8:8" x14ac:dyDescent="0.3">
      <c r="H31153" t="str">
        <f t="shared" si="536"/>
        <v/>
      </c>
    </row>
    <row r="31154" spans="8:8" x14ac:dyDescent="0.3">
      <c r="H31154" t="str">
        <f t="shared" si="536"/>
        <v/>
      </c>
    </row>
    <row r="31155" spans="8:8" x14ac:dyDescent="0.3">
      <c r="H31155" t="str">
        <f t="shared" si="536"/>
        <v/>
      </c>
    </row>
    <row r="31156" spans="8:8" x14ac:dyDescent="0.3">
      <c r="H31156" t="str">
        <f t="shared" si="536"/>
        <v/>
      </c>
    </row>
    <row r="31157" spans="8:8" x14ac:dyDescent="0.3">
      <c r="H31157" t="str">
        <f t="shared" si="536"/>
        <v/>
      </c>
    </row>
    <row r="31158" spans="8:8" x14ac:dyDescent="0.3">
      <c r="H31158" t="str">
        <f t="shared" si="536"/>
        <v/>
      </c>
    </row>
    <row r="31159" spans="8:8" x14ac:dyDescent="0.3">
      <c r="H31159" t="str">
        <f t="shared" si="536"/>
        <v/>
      </c>
    </row>
    <row r="31160" spans="8:8" x14ac:dyDescent="0.3">
      <c r="H31160" t="str">
        <f t="shared" si="536"/>
        <v/>
      </c>
    </row>
    <row r="31161" spans="8:8" x14ac:dyDescent="0.3">
      <c r="H31161" t="str">
        <f t="shared" si="536"/>
        <v/>
      </c>
    </row>
    <row r="31162" spans="8:8" x14ac:dyDescent="0.3">
      <c r="H31162" t="str">
        <f t="shared" si="536"/>
        <v/>
      </c>
    </row>
    <row r="31163" spans="8:8" x14ac:dyDescent="0.3">
      <c r="H31163" t="str">
        <f t="shared" si="536"/>
        <v/>
      </c>
    </row>
    <row r="31164" spans="8:8" x14ac:dyDescent="0.3">
      <c r="H31164" t="str">
        <f t="shared" si="536"/>
        <v/>
      </c>
    </row>
    <row r="31165" spans="8:8" x14ac:dyDescent="0.3">
      <c r="H31165" t="str">
        <f t="shared" si="536"/>
        <v/>
      </c>
    </row>
    <row r="31166" spans="8:8" x14ac:dyDescent="0.3">
      <c r="H31166" t="str">
        <f t="shared" si="536"/>
        <v/>
      </c>
    </row>
    <row r="31167" spans="8:8" x14ac:dyDescent="0.3">
      <c r="H31167" t="str">
        <f t="shared" si="536"/>
        <v/>
      </c>
    </row>
    <row r="31168" spans="8:8" x14ac:dyDescent="0.3">
      <c r="H31168" t="str">
        <f t="shared" si="536"/>
        <v/>
      </c>
    </row>
    <row r="31169" spans="8:8" x14ac:dyDescent="0.3">
      <c r="H31169" t="str">
        <f t="shared" si="536"/>
        <v/>
      </c>
    </row>
    <row r="31170" spans="8:8" x14ac:dyDescent="0.3">
      <c r="H31170" t="str">
        <f t="shared" si="536"/>
        <v/>
      </c>
    </row>
    <row r="31171" spans="8:8" x14ac:dyDescent="0.3">
      <c r="H31171" t="str">
        <f t="shared" si="536"/>
        <v/>
      </c>
    </row>
    <row r="31172" spans="8:8" x14ac:dyDescent="0.3">
      <c r="H31172" t="str">
        <f t="shared" si="536"/>
        <v/>
      </c>
    </row>
    <row r="31173" spans="8:8" x14ac:dyDescent="0.3">
      <c r="H31173" t="str">
        <f t="shared" si="536"/>
        <v/>
      </c>
    </row>
    <row r="31174" spans="8:8" x14ac:dyDescent="0.3">
      <c r="H31174" t="str">
        <f t="shared" si="536"/>
        <v/>
      </c>
    </row>
    <row r="31175" spans="8:8" x14ac:dyDescent="0.3">
      <c r="H31175" t="str">
        <f t="shared" si="536"/>
        <v/>
      </c>
    </row>
    <row r="31176" spans="8:8" x14ac:dyDescent="0.3">
      <c r="H31176" t="str">
        <f t="shared" si="536"/>
        <v/>
      </c>
    </row>
    <row r="31177" spans="8:8" x14ac:dyDescent="0.3">
      <c r="H31177" t="str">
        <f t="shared" si="536"/>
        <v/>
      </c>
    </row>
    <row r="31178" spans="8:8" x14ac:dyDescent="0.3">
      <c r="H31178" t="str">
        <f t="shared" si="536"/>
        <v/>
      </c>
    </row>
    <row r="31179" spans="8:8" x14ac:dyDescent="0.3">
      <c r="H31179" t="str">
        <f t="shared" si="536"/>
        <v/>
      </c>
    </row>
    <row r="31180" spans="8:8" x14ac:dyDescent="0.3">
      <c r="H31180" t="str">
        <f t="shared" si="536"/>
        <v/>
      </c>
    </row>
    <row r="31181" spans="8:8" x14ac:dyDescent="0.3">
      <c r="H31181" t="str">
        <f t="shared" si="536"/>
        <v/>
      </c>
    </row>
    <row r="31182" spans="8:8" x14ac:dyDescent="0.3">
      <c r="H31182" t="str">
        <f t="shared" si="536"/>
        <v/>
      </c>
    </row>
    <row r="31183" spans="8:8" x14ac:dyDescent="0.3">
      <c r="H31183" t="str">
        <f t="shared" si="536"/>
        <v/>
      </c>
    </row>
    <row r="31184" spans="8:8" x14ac:dyDescent="0.3">
      <c r="H31184" t="str">
        <f t="shared" si="536"/>
        <v/>
      </c>
    </row>
    <row r="31185" spans="8:8" x14ac:dyDescent="0.3">
      <c r="H31185" t="str">
        <f t="shared" si="536"/>
        <v/>
      </c>
    </row>
    <row r="31186" spans="8:8" x14ac:dyDescent="0.3">
      <c r="H31186" t="str">
        <f t="shared" si="536"/>
        <v/>
      </c>
    </row>
    <row r="31187" spans="8:8" x14ac:dyDescent="0.3">
      <c r="H31187" t="str">
        <f t="shared" si="536"/>
        <v/>
      </c>
    </row>
    <row r="31188" spans="8:8" x14ac:dyDescent="0.3">
      <c r="H31188" t="str">
        <f t="shared" si="536"/>
        <v/>
      </c>
    </row>
    <row r="31189" spans="8:8" x14ac:dyDescent="0.3">
      <c r="H31189" t="str">
        <f t="shared" si="536"/>
        <v/>
      </c>
    </row>
    <row r="31190" spans="8:8" x14ac:dyDescent="0.3">
      <c r="H31190" t="str">
        <f t="shared" si="536"/>
        <v/>
      </c>
    </row>
    <row r="31191" spans="8:8" x14ac:dyDescent="0.3">
      <c r="H31191" t="str">
        <f t="shared" ref="H31191:H31254" si="537">IF(B31191="","",$C$12)</f>
        <v/>
      </c>
    </row>
    <row r="31192" spans="8:8" x14ac:dyDescent="0.3">
      <c r="H31192" t="str">
        <f t="shared" si="537"/>
        <v/>
      </c>
    </row>
    <row r="31193" spans="8:8" x14ac:dyDescent="0.3">
      <c r="H31193" t="str">
        <f t="shared" si="537"/>
        <v/>
      </c>
    </row>
    <row r="31194" spans="8:8" x14ac:dyDescent="0.3">
      <c r="H31194" t="str">
        <f t="shared" si="537"/>
        <v/>
      </c>
    </row>
    <row r="31195" spans="8:8" x14ac:dyDescent="0.3">
      <c r="H31195" t="str">
        <f t="shared" si="537"/>
        <v/>
      </c>
    </row>
    <row r="31196" spans="8:8" x14ac:dyDescent="0.3">
      <c r="H31196" t="str">
        <f t="shared" si="537"/>
        <v/>
      </c>
    </row>
    <row r="31197" spans="8:8" x14ac:dyDescent="0.3">
      <c r="H31197" t="str">
        <f t="shared" si="537"/>
        <v/>
      </c>
    </row>
    <row r="31198" spans="8:8" x14ac:dyDescent="0.3">
      <c r="H31198" t="str">
        <f t="shared" si="537"/>
        <v/>
      </c>
    </row>
    <row r="31199" spans="8:8" x14ac:dyDescent="0.3">
      <c r="H31199" t="str">
        <f t="shared" si="537"/>
        <v/>
      </c>
    </row>
    <row r="31200" spans="8:8" x14ac:dyDescent="0.3">
      <c r="H31200" t="str">
        <f t="shared" si="537"/>
        <v/>
      </c>
    </row>
    <row r="31201" spans="8:8" x14ac:dyDescent="0.3">
      <c r="H31201" t="str">
        <f t="shared" si="537"/>
        <v/>
      </c>
    </row>
    <row r="31202" spans="8:8" x14ac:dyDescent="0.3">
      <c r="H31202" t="str">
        <f t="shared" si="537"/>
        <v/>
      </c>
    </row>
    <row r="31203" spans="8:8" x14ac:dyDescent="0.3">
      <c r="H31203" t="str">
        <f t="shared" si="537"/>
        <v/>
      </c>
    </row>
    <row r="31204" spans="8:8" x14ac:dyDescent="0.3">
      <c r="H31204" t="str">
        <f t="shared" si="537"/>
        <v/>
      </c>
    </row>
    <row r="31205" spans="8:8" x14ac:dyDescent="0.3">
      <c r="H31205" t="str">
        <f t="shared" si="537"/>
        <v/>
      </c>
    </row>
    <row r="31206" spans="8:8" x14ac:dyDescent="0.3">
      <c r="H31206" t="str">
        <f t="shared" si="537"/>
        <v/>
      </c>
    </row>
    <row r="31207" spans="8:8" x14ac:dyDescent="0.3">
      <c r="H31207" t="str">
        <f t="shared" si="537"/>
        <v/>
      </c>
    </row>
    <row r="31208" spans="8:8" x14ac:dyDescent="0.3">
      <c r="H31208" t="str">
        <f t="shared" si="537"/>
        <v/>
      </c>
    </row>
    <row r="31209" spans="8:8" x14ac:dyDescent="0.3">
      <c r="H31209" t="str">
        <f t="shared" si="537"/>
        <v/>
      </c>
    </row>
    <row r="31210" spans="8:8" x14ac:dyDescent="0.3">
      <c r="H31210" t="str">
        <f t="shared" si="537"/>
        <v/>
      </c>
    </row>
    <row r="31211" spans="8:8" x14ac:dyDescent="0.3">
      <c r="H31211" t="str">
        <f t="shared" si="537"/>
        <v/>
      </c>
    </row>
    <row r="31212" spans="8:8" x14ac:dyDescent="0.3">
      <c r="H31212" t="str">
        <f t="shared" si="537"/>
        <v/>
      </c>
    </row>
    <row r="31213" spans="8:8" x14ac:dyDescent="0.3">
      <c r="H31213" t="str">
        <f t="shared" si="537"/>
        <v/>
      </c>
    </row>
    <row r="31214" spans="8:8" x14ac:dyDescent="0.3">
      <c r="H31214" t="str">
        <f t="shared" si="537"/>
        <v/>
      </c>
    </row>
    <row r="31215" spans="8:8" x14ac:dyDescent="0.3">
      <c r="H31215" t="str">
        <f t="shared" si="537"/>
        <v/>
      </c>
    </row>
    <row r="31216" spans="8:8" x14ac:dyDescent="0.3">
      <c r="H31216" t="str">
        <f t="shared" si="537"/>
        <v/>
      </c>
    </row>
    <row r="31217" spans="8:8" x14ac:dyDescent="0.3">
      <c r="H31217" t="str">
        <f t="shared" si="537"/>
        <v/>
      </c>
    </row>
    <row r="31218" spans="8:8" x14ac:dyDescent="0.3">
      <c r="H31218" t="str">
        <f t="shared" si="537"/>
        <v/>
      </c>
    </row>
    <row r="31219" spans="8:8" x14ac:dyDescent="0.3">
      <c r="H31219" t="str">
        <f t="shared" si="537"/>
        <v/>
      </c>
    </row>
    <row r="31220" spans="8:8" x14ac:dyDescent="0.3">
      <c r="H31220" t="str">
        <f t="shared" si="537"/>
        <v/>
      </c>
    </row>
    <row r="31221" spans="8:8" x14ac:dyDescent="0.3">
      <c r="H31221" t="str">
        <f t="shared" si="537"/>
        <v/>
      </c>
    </row>
    <row r="31222" spans="8:8" x14ac:dyDescent="0.3">
      <c r="H31222" t="str">
        <f t="shared" si="537"/>
        <v/>
      </c>
    </row>
    <row r="31223" spans="8:8" x14ac:dyDescent="0.3">
      <c r="H31223" t="str">
        <f t="shared" si="537"/>
        <v/>
      </c>
    </row>
    <row r="31224" spans="8:8" x14ac:dyDescent="0.3">
      <c r="H31224" t="str">
        <f t="shared" si="537"/>
        <v/>
      </c>
    </row>
    <row r="31225" spans="8:8" x14ac:dyDescent="0.3">
      <c r="H31225" t="str">
        <f t="shared" si="537"/>
        <v/>
      </c>
    </row>
    <row r="31226" spans="8:8" x14ac:dyDescent="0.3">
      <c r="H31226" t="str">
        <f t="shared" si="537"/>
        <v/>
      </c>
    </row>
    <row r="31227" spans="8:8" x14ac:dyDescent="0.3">
      <c r="H31227" t="str">
        <f t="shared" si="537"/>
        <v/>
      </c>
    </row>
    <row r="31228" spans="8:8" x14ac:dyDescent="0.3">
      <c r="H31228" t="str">
        <f t="shared" si="537"/>
        <v/>
      </c>
    </row>
    <row r="31229" spans="8:8" x14ac:dyDescent="0.3">
      <c r="H31229" t="str">
        <f t="shared" si="537"/>
        <v/>
      </c>
    </row>
    <row r="31230" spans="8:8" x14ac:dyDescent="0.3">
      <c r="H31230" t="str">
        <f t="shared" si="537"/>
        <v/>
      </c>
    </row>
    <row r="31231" spans="8:8" x14ac:dyDescent="0.3">
      <c r="H31231" t="str">
        <f t="shared" si="537"/>
        <v/>
      </c>
    </row>
    <row r="31232" spans="8:8" x14ac:dyDescent="0.3">
      <c r="H31232" t="str">
        <f t="shared" si="537"/>
        <v/>
      </c>
    </row>
    <row r="31233" spans="8:8" x14ac:dyDescent="0.3">
      <c r="H31233" t="str">
        <f t="shared" si="537"/>
        <v/>
      </c>
    </row>
    <row r="31234" spans="8:8" x14ac:dyDescent="0.3">
      <c r="H31234" t="str">
        <f t="shared" si="537"/>
        <v/>
      </c>
    </row>
    <row r="31235" spans="8:8" x14ac:dyDescent="0.3">
      <c r="H31235" t="str">
        <f t="shared" si="537"/>
        <v/>
      </c>
    </row>
    <row r="31236" spans="8:8" x14ac:dyDescent="0.3">
      <c r="H31236" t="str">
        <f t="shared" si="537"/>
        <v/>
      </c>
    </row>
    <row r="31237" spans="8:8" x14ac:dyDescent="0.3">
      <c r="H31237" t="str">
        <f t="shared" si="537"/>
        <v/>
      </c>
    </row>
    <row r="31238" spans="8:8" x14ac:dyDescent="0.3">
      <c r="H31238" t="str">
        <f t="shared" si="537"/>
        <v/>
      </c>
    </row>
    <row r="31239" spans="8:8" x14ac:dyDescent="0.3">
      <c r="H31239" t="str">
        <f t="shared" si="537"/>
        <v/>
      </c>
    </row>
    <row r="31240" spans="8:8" x14ac:dyDescent="0.3">
      <c r="H31240" t="str">
        <f t="shared" si="537"/>
        <v/>
      </c>
    </row>
    <row r="31241" spans="8:8" x14ac:dyDescent="0.3">
      <c r="H31241" t="str">
        <f t="shared" si="537"/>
        <v/>
      </c>
    </row>
    <row r="31242" spans="8:8" x14ac:dyDescent="0.3">
      <c r="H31242" t="str">
        <f t="shared" si="537"/>
        <v/>
      </c>
    </row>
    <row r="31243" spans="8:8" x14ac:dyDescent="0.3">
      <c r="H31243" t="str">
        <f t="shared" si="537"/>
        <v/>
      </c>
    </row>
    <row r="31244" spans="8:8" x14ac:dyDescent="0.3">
      <c r="H31244" t="str">
        <f t="shared" si="537"/>
        <v/>
      </c>
    </row>
    <row r="31245" spans="8:8" x14ac:dyDescent="0.3">
      <c r="H31245" t="str">
        <f t="shared" si="537"/>
        <v/>
      </c>
    </row>
    <row r="31246" spans="8:8" x14ac:dyDescent="0.3">
      <c r="H31246" t="str">
        <f t="shared" si="537"/>
        <v/>
      </c>
    </row>
    <row r="31247" spans="8:8" x14ac:dyDescent="0.3">
      <c r="H31247" t="str">
        <f t="shared" si="537"/>
        <v/>
      </c>
    </row>
    <row r="31248" spans="8:8" x14ac:dyDescent="0.3">
      <c r="H31248" t="str">
        <f t="shared" si="537"/>
        <v/>
      </c>
    </row>
    <row r="31249" spans="8:8" x14ac:dyDescent="0.3">
      <c r="H31249" t="str">
        <f t="shared" si="537"/>
        <v/>
      </c>
    </row>
    <row r="31250" spans="8:8" x14ac:dyDescent="0.3">
      <c r="H31250" t="str">
        <f t="shared" si="537"/>
        <v/>
      </c>
    </row>
    <row r="31251" spans="8:8" x14ac:dyDescent="0.3">
      <c r="H31251" t="str">
        <f t="shared" si="537"/>
        <v/>
      </c>
    </row>
    <row r="31252" spans="8:8" x14ac:dyDescent="0.3">
      <c r="H31252" t="str">
        <f t="shared" si="537"/>
        <v/>
      </c>
    </row>
    <row r="31253" spans="8:8" x14ac:dyDescent="0.3">
      <c r="H31253" t="str">
        <f t="shared" si="537"/>
        <v/>
      </c>
    </row>
    <row r="31254" spans="8:8" x14ac:dyDescent="0.3">
      <c r="H31254" t="str">
        <f t="shared" si="537"/>
        <v/>
      </c>
    </row>
    <row r="31255" spans="8:8" x14ac:dyDescent="0.3">
      <c r="H31255" t="str">
        <f t="shared" ref="H31255:H31318" si="538">IF(B31255="","",$C$12)</f>
        <v/>
      </c>
    </row>
    <row r="31256" spans="8:8" x14ac:dyDescent="0.3">
      <c r="H31256" t="str">
        <f t="shared" si="538"/>
        <v/>
      </c>
    </row>
    <row r="31257" spans="8:8" x14ac:dyDescent="0.3">
      <c r="H31257" t="str">
        <f t="shared" si="538"/>
        <v/>
      </c>
    </row>
    <row r="31258" spans="8:8" x14ac:dyDescent="0.3">
      <c r="H31258" t="str">
        <f t="shared" si="538"/>
        <v/>
      </c>
    </row>
    <row r="31259" spans="8:8" x14ac:dyDescent="0.3">
      <c r="H31259" t="str">
        <f t="shared" si="538"/>
        <v/>
      </c>
    </row>
    <row r="31260" spans="8:8" x14ac:dyDescent="0.3">
      <c r="H31260" t="str">
        <f t="shared" si="538"/>
        <v/>
      </c>
    </row>
    <row r="31261" spans="8:8" x14ac:dyDescent="0.3">
      <c r="H31261" t="str">
        <f t="shared" si="538"/>
        <v/>
      </c>
    </row>
    <row r="31262" spans="8:8" x14ac:dyDescent="0.3">
      <c r="H31262" t="str">
        <f t="shared" si="538"/>
        <v/>
      </c>
    </row>
    <row r="31263" spans="8:8" x14ac:dyDescent="0.3">
      <c r="H31263" t="str">
        <f t="shared" si="538"/>
        <v/>
      </c>
    </row>
    <row r="31264" spans="8:8" x14ac:dyDescent="0.3">
      <c r="H31264" t="str">
        <f t="shared" si="538"/>
        <v/>
      </c>
    </row>
    <row r="31265" spans="8:8" x14ac:dyDescent="0.3">
      <c r="H31265" t="str">
        <f t="shared" si="538"/>
        <v/>
      </c>
    </row>
    <row r="31266" spans="8:8" x14ac:dyDescent="0.3">
      <c r="H31266" t="str">
        <f t="shared" si="538"/>
        <v/>
      </c>
    </row>
    <row r="31267" spans="8:8" x14ac:dyDescent="0.3">
      <c r="H31267" t="str">
        <f t="shared" si="538"/>
        <v/>
      </c>
    </row>
    <row r="31268" spans="8:8" x14ac:dyDescent="0.3">
      <c r="H31268" t="str">
        <f t="shared" si="538"/>
        <v/>
      </c>
    </row>
    <row r="31269" spans="8:8" x14ac:dyDescent="0.3">
      <c r="H31269" t="str">
        <f t="shared" si="538"/>
        <v/>
      </c>
    </row>
    <row r="31270" spans="8:8" x14ac:dyDescent="0.3">
      <c r="H31270" t="str">
        <f t="shared" si="538"/>
        <v/>
      </c>
    </row>
    <row r="31271" spans="8:8" x14ac:dyDescent="0.3">
      <c r="H31271" t="str">
        <f t="shared" si="538"/>
        <v/>
      </c>
    </row>
    <row r="31272" spans="8:8" x14ac:dyDescent="0.3">
      <c r="H31272" t="str">
        <f t="shared" si="538"/>
        <v/>
      </c>
    </row>
    <row r="31273" spans="8:8" x14ac:dyDescent="0.3">
      <c r="H31273" t="str">
        <f t="shared" si="538"/>
        <v/>
      </c>
    </row>
    <row r="31274" spans="8:8" x14ac:dyDescent="0.3">
      <c r="H31274" t="str">
        <f t="shared" si="538"/>
        <v/>
      </c>
    </row>
    <row r="31275" spans="8:8" x14ac:dyDescent="0.3">
      <c r="H31275" t="str">
        <f t="shared" si="538"/>
        <v/>
      </c>
    </row>
    <row r="31276" spans="8:8" x14ac:dyDescent="0.3">
      <c r="H31276" t="str">
        <f t="shared" si="538"/>
        <v/>
      </c>
    </row>
    <row r="31277" spans="8:8" x14ac:dyDescent="0.3">
      <c r="H31277" t="str">
        <f t="shared" si="538"/>
        <v/>
      </c>
    </row>
    <row r="31278" spans="8:8" x14ac:dyDescent="0.3">
      <c r="H31278" t="str">
        <f t="shared" si="538"/>
        <v/>
      </c>
    </row>
    <row r="31279" spans="8:8" x14ac:dyDescent="0.3">
      <c r="H31279" t="str">
        <f t="shared" si="538"/>
        <v/>
      </c>
    </row>
    <row r="31280" spans="8:8" x14ac:dyDescent="0.3">
      <c r="H31280" t="str">
        <f t="shared" si="538"/>
        <v/>
      </c>
    </row>
    <row r="31281" spans="8:8" x14ac:dyDescent="0.3">
      <c r="H31281" t="str">
        <f t="shared" si="538"/>
        <v/>
      </c>
    </row>
    <row r="31282" spans="8:8" x14ac:dyDescent="0.3">
      <c r="H31282" t="str">
        <f t="shared" si="538"/>
        <v/>
      </c>
    </row>
    <row r="31283" spans="8:8" x14ac:dyDescent="0.3">
      <c r="H31283" t="str">
        <f t="shared" si="538"/>
        <v/>
      </c>
    </row>
    <row r="31284" spans="8:8" x14ac:dyDescent="0.3">
      <c r="H31284" t="str">
        <f t="shared" si="538"/>
        <v/>
      </c>
    </row>
    <row r="31285" spans="8:8" x14ac:dyDescent="0.3">
      <c r="H31285" t="str">
        <f t="shared" si="538"/>
        <v/>
      </c>
    </row>
    <row r="31286" spans="8:8" x14ac:dyDescent="0.3">
      <c r="H31286" t="str">
        <f t="shared" si="538"/>
        <v/>
      </c>
    </row>
    <row r="31287" spans="8:8" x14ac:dyDescent="0.3">
      <c r="H31287" t="str">
        <f t="shared" si="538"/>
        <v/>
      </c>
    </row>
    <row r="31288" spans="8:8" x14ac:dyDescent="0.3">
      <c r="H31288" t="str">
        <f t="shared" si="538"/>
        <v/>
      </c>
    </row>
    <row r="31289" spans="8:8" x14ac:dyDescent="0.3">
      <c r="H31289" t="str">
        <f t="shared" si="538"/>
        <v/>
      </c>
    </row>
    <row r="31290" spans="8:8" x14ac:dyDescent="0.3">
      <c r="H31290" t="str">
        <f t="shared" si="538"/>
        <v/>
      </c>
    </row>
    <row r="31291" spans="8:8" x14ac:dyDescent="0.3">
      <c r="H31291" t="str">
        <f t="shared" si="538"/>
        <v/>
      </c>
    </row>
    <row r="31292" spans="8:8" x14ac:dyDescent="0.3">
      <c r="H31292" t="str">
        <f t="shared" si="538"/>
        <v/>
      </c>
    </row>
    <row r="31293" spans="8:8" x14ac:dyDescent="0.3">
      <c r="H31293" t="str">
        <f t="shared" si="538"/>
        <v/>
      </c>
    </row>
    <row r="31294" spans="8:8" x14ac:dyDescent="0.3">
      <c r="H31294" t="str">
        <f t="shared" si="538"/>
        <v/>
      </c>
    </row>
    <row r="31295" spans="8:8" x14ac:dyDescent="0.3">
      <c r="H31295" t="str">
        <f t="shared" si="538"/>
        <v/>
      </c>
    </row>
    <row r="31296" spans="8:8" x14ac:dyDescent="0.3">
      <c r="H31296" t="str">
        <f t="shared" si="538"/>
        <v/>
      </c>
    </row>
    <row r="31297" spans="8:8" x14ac:dyDescent="0.3">
      <c r="H31297" t="str">
        <f t="shared" si="538"/>
        <v/>
      </c>
    </row>
    <row r="31298" spans="8:8" x14ac:dyDescent="0.3">
      <c r="H31298" t="str">
        <f t="shared" si="538"/>
        <v/>
      </c>
    </row>
    <row r="31299" spans="8:8" x14ac:dyDescent="0.3">
      <c r="H31299" t="str">
        <f t="shared" si="538"/>
        <v/>
      </c>
    </row>
    <row r="31300" spans="8:8" x14ac:dyDescent="0.3">
      <c r="H31300" t="str">
        <f t="shared" si="538"/>
        <v/>
      </c>
    </row>
    <row r="31301" spans="8:8" x14ac:dyDescent="0.3">
      <c r="H31301" t="str">
        <f t="shared" si="538"/>
        <v/>
      </c>
    </row>
    <row r="31302" spans="8:8" x14ac:dyDescent="0.3">
      <c r="H31302" t="str">
        <f t="shared" si="538"/>
        <v/>
      </c>
    </row>
    <row r="31303" spans="8:8" x14ac:dyDescent="0.3">
      <c r="H31303" t="str">
        <f t="shared" si="538"/>
        <v/>
      </c>
    </row>
    <row r="31304" spans="8:8" x14ac:dyDescent="0.3">
      <c r="H31304" t="str">
        <f t="shared" si="538"/>
        <v/>
      </c>
    </row>
    <row r="31305" spans="8:8" x14ac:dyDescent="0.3">
      <c r="H31305" t="str">
        <f t="shared" si="538"/>
        <v/>
      </c>
    </row>
    <row r="31306" spans="8:8" x14ac:dyDescent="0.3">
      <c r="H31306" t="str">
        <f t="shared" si="538"/>
        <v/>
      </c>
    </row>
    <row r="31307" spans="8:8" x14ac:dyDescent="0.3">
      <c r="H31307" t="str">
        <f t="shared" si="538"/>
        <v/>
      </c>
    </row>
    <row r="31308" spans="8:8" x14ac:dyDescent="0.3">
      <c r="H31308" t="str">
        <f t="shared" si="538"/>
        <v/>
      </c>
    </row>
    <row r="31309" spans="8:8" x14ac:dyDescent="0.3">
      <c r="H31309" t="str">
        <f t="shared" si="538"/>
        <v/>
      </c>
    </row>
    <row r="31310" spans="8:8" x14ac:dyDescent="0.3">
      <c r="H31310" t="str">
        <f t="shared" si="538"/>
        <v/>
      </c>
    </row>
    <row r="31311" spans="8:8" x14ac:dyDescent="0.3">
      <c r="H31311" t="str">
        <f t="shared" si="538"/>
        <v/>
      </c>
    </row>
    <row r="31312" spans="8:8" x14ac:dyDescent="0.3">
      <c r="H31312" t="str">
        <f t="shared" si="538"/>
        <v/>
      </c>
    </row>
    <row r="31313" spans="8:8" x14ac:dyDescent="0.3">
      <c r="H31313" t="str">
        <f t="shared" si="538"/>
        <v/>
      </c>
    </row>
    <row r="31314" spans="8:8" x14ac:dyDescent="0.3">
      <c r="H31314" t="str">
        <f t="shared" si="538"/>
        <v/>
      </c>
    </row>
    <row r="31315" spans="8:8" x14ac:dyDescent="0.3">
      <c r="H31315" t="str">
        <f t="shared" si="538"/>
        <v/>
      </c>
    </row>
    <row r="31316" spans="8:8" x14ac:dyDescent="0.3">
      <c r="H31316" t="str">
        <f t="shared" si="538"/>
        <v/>
      </c>
    </row>
    <row r="31317" spans="8:8" x14ac:dyDescent="0.3">
      <c r="H31317" t="str">
        <f t="shared" si="538"/>
        <v/>
      </c>
    </row>
    <row r="31318" spans="8:8" x14ac:dyDescent="0.3">
      <c r="H31318" t="str">
        <f t="shared" si="538"/>
        <v/>
      </c>
    </row>
    <row r="31319" spans="8:8" x14ac:dyDescent="0.3">
      <c r="H31319" t="str">
        <f t="shared" ref="H31319:H31382" si="539">IF(B31319="","",$C$12)</f>
        <v/>
      </c>
    </row>
    <row r="31320" spans="8:8" x14ac:dyDescent="0.3">
      <c r="H31320" t="str">
        <f t="shared" si="539"/>
        <v/>
      </c>
    </row>
    <row r="31321" spans="8:8" x14ac:dyDescent="0.3">
      <c r="H31321" t="str">
        <f t="shared" si="539"/>
        <v/>
      </c>
    </row>
    <row r="31322" spans="8:8" x14ac:dyDescent="0.3">
      <c r="H31322" t="str">
        <f t="shared" si="539"/>
        <v/>
      </c>
    </row>
    <row r="31323" spans="8:8" x14ac:dyDescent="0.3">
      <c r="H31323" t="str">
        <f t="shared" si="539"/>
        <v/>
      </c>
    </row>
    <row r="31324" spans="8:8" x14ac:dyDescent="0.3">
      <c r="H31324" t="str">
        <f t="shared" si="539"/>
        <v/>
      </c>
    </row>
    <row r="31325" spans="8:8" x14ac:dyDescent="0.3">
      <c r="H31325" t="str">
        <f t="shared" si="539"/>
        <v/>
      </c>
    </row>
    <row r="31326" spans="8:8" x14ac:dyDescent="0.3">
      <c r="H31326" t="str">
        <f t="shared" si="539"/>
        <v/>
      </c>
    </row>
    <row r="31327" spans="8:8" x14ac:dyDescent="0.3">
      <c r="H31327" t="str">
        <f t="shared" si="539"/>
        <v/>
      </c>
    </row>
    <row r="31328" spans="8:8" x14ac:dyDescent="0.3">
      <c r="H31328" t="str">
        <f t="shared" si="539"/>
        <v/>
      </c>
    </row>
    <row r="31329" spans="8:8" x14ac:dyDescent="0.3">
      <c r="H31329" t="str">
        <f t="shared" si="539"/>
        <v/>
      </c>
    </row>
    <row r="31330" spans="8:8" x14ac:dyDescent="0.3">
      <c r="H31330" t="str">
        <f t="shared" si="539"/>
        <v/>
      </c>
    </row>
    <row r="31331" spans="8:8" x14ac:dyDescent="0.3">
      <c r="H31331" t="str">
        <f t="shared" si="539"/>
        <v/>
      </c>
    </row>
    <row r="31332" spans="8:8" x14ac:dyDescent="0.3">
      <c r="H31332" t="str">
        <f t="shared" si="539"/>
        <v/>
      </c>
    </row>
    <row r="31333" spans="8:8" x14ac:dyDescent="0.3">
      <c r="H31333" t="str">
        <f t="shared" si="539"/>
        <v/>
      </c>
    </row>
    <row r="31334" spans="8:8" x14ac:dyDescent="0.3">
      <c r="H31334" t="str">
        <f t="shared" si="539"/>
        <v/>
      </c>
    </row>
    <row r="31335" spans="8:8" x14ac:dyDescent="0.3">
      <c r="H31335" t="str">
        <f t="shared" si="539"/>
        <v/>
      </c>
    </row>
    <row r="31336" spans="8:8" x14ac:dyDescent="0.3">
      <c r="H31336" t="str">
        <f t="shared" si="539"/>
        <v/>
      </c>
    </row>
    <row r="31337" spans="8:8" x14ac:dyDescent="0.3">
      <c r="H31337" t="str">
        <f t="shared" si="539"/>
        <v/>
      </c>
    </row>
    <row r="31338" spans="8:8" x14ac:dyDescent="0.3">
      <c r="H31338" t="str">
        <f t="shared" si="539"/>
        <v/>
      </c>
    </row>
    <row r="31339" spans="8:8" x14ac:dyDescent="0.3">
      <c r="H31339" t="str">
        <f t="shared" si="539"/>
        <v/>
      </c>
    </row>
    <row r="31340" spans="8:8" x14ac:dyDescent="0.3">
      <c r="H31340" t="str">
        <f t="shared" si="539"/>
        <v/>
      </c>
    </row>
    <row r="31341" spans="8:8" x14ac:dyDescent="0.3">
      <c r="H31341" t="str">
        <f t="shared" si="539"/>
        <v/>
      </c>
    </row>
    <row r="31342" spans="8:8" x14ac:dyDescent="0.3">
      <c r="H31342" t="str">
        <f t="shared" si="539"/>
        <v/>
      </c>
    </row>
    <row r="31343" spans="8:8" x14ac:dyDescent="0.3">
      <c r="H31343" t="str">
        <f t="shared" si="539"/>
        <v/>
      </c>
    </row>
    <row r="31344" spans="8:8" x14ac:dyDescent="0.3">
      <c r="H31344" t="str">
        <f t="shared" si="539"/>
        <v/>
      </c>
    </row>
    <row r="31345" spans="8:8" x14ac:dyDescent="0.3">
      <c r="H31345" t="str">
        <f t="shared" si="539"/>
        <v/>
      </c>
    </row>
    <row r="31346" spans="8:8" x14ac:dyDescent="0.3">
      <c r="H31346" t="str">
        <f t="shared" si="539"/>
        <v/>
      </c>
    </row>
    <row r="31347" spans="8:8" x14ac:dyDescent="0.3">
      <c r="H31347" t="str">
        <f t="shared" si="539"/>
        <v/>
      </c>
    </row>
    <row r="31348" spans="8:8" x14ac:dyDescent="0.3">
      <c r="H31348" t="str">
        <f t="shared" si="539"/>
        <v/>
      </c>
    </row>
    <row r="31349" spans="8:8" x14ac:dyDescent="0.3">
      <c r="H31349" t="str">
        <f t="shared" si="539"/>
        <v/>
      </c>
    </row>
    <row r="31350" spans="8:8" x14ac:dyDescent="0.3">
      <c r="H31350" t="str">
        <f t="shared" si="539"/>
        <v/>
      </c>
    </row>
    <row r="31351" spans="8:8" x14ac:dyDescent="0.3">
      <c r="H31351" t="str">
        <f t="shared" si="539"/>
        <v/>
      </c>
    </row>
    <row r="31352" spans="8:8" x14ac:dyDescent="0.3">
      <c r="H31352" t="str">
        <f t="shared" si="539"/>
        <v/>
      </c>
    </row>
    <row r="31353" spans="8:8" x14ac:dyDescent="0.3">
      <c r="H31353" t="str">
        <f t="shared" si="539"/>
        <v/>
      </c>
    </row>
    <row r="31354" spans="8:8" x14ac:dyDescent="0.3">
      <c r="H31354" t="str">
        <f t="shared" si="539"/>
        <v/>
      </c>
    </row>
    <row r="31355" spans="8:8" x14ac:dyDescent="0.3">
      <c r="H31355" t="str">
        <f t="shared" si="539"/>
        <v/>
      </c>
    </row>
    <row r="31356" spans="8:8" x14ac:dyDescent="0.3">
      <c r="H31356" t="str">
        <f t="shared" si="539"/>
        <v/>
      </c>
    </row>
    <row r="31357" spans="8:8" x14ac:dyDescent="0.3">
      <c r="H31357" t="str">
        <f t="shared" si="539"/>
        <v/>
      </c>
    </row>
    <row r="31358" spans="8:8" x14ac:dyDescent="0.3">
      <c r="H31358" t="str">
        <f t="shared" si="539"/>
        <v/>
      </c>
    </row>
    <row r="31359" spans="8:8" x14ac:dyDescent="0.3">
      <c r="H31359" t="str">
        <f t="shared" si="539"/>
        <v/>
      </c>
    </row>
    <row r="31360" spans="8:8" x14ac:dyDescent="0.3">
      <c r="H31360" t="str">
        <f t="shared" si="539"/>
        <v/>
      </c>
    </row>
    <row r="31361" spans="8:8" x14ac:dyDescent="0.3">
      <c r="H31361" t="str">
        <f t="shared" si="539"/>
        <v/>
      </c>
    </row>
    <row r="31362" spans="8:8" x14ac:dyDescent="0.3">
      <c r="H31362" t="str">
        <f t="shared" si="539"/>
        <v/>
      </c>
    </row>
    <row r="31363" spans="8:8" x14ac:dyDescent="0.3">
      <c r="H31363" t="str">
        <f t="shared" si="539"/>
        <v/>
      </c>
    </row>
    <row r="31364" spans="8:8" x14ac:dyDescent="0.3">
      <c r="H31364" t="str">
        <f t="shared" si="539"/>
        <v/>
      </c>
    </row>
    <row r="31365" spans="8:8" x14ac:dyDescent="0.3">
      <c r="H31365" t="str">
        <f t="shared" si="539"/>
        <v/>
      </c>
    </row>
    <row r="31366" spans="8:8" x14ac:dyDescent="0.3">
      <c r="H31366" t="str">
        <f t="shared" si="539"/>
        <v/>
      </c>
    </row>
    <row r="31367" spans="8:8" x14ac:dyDescent="0.3">
      <c r="H31367" t="str">
        <f t="shared" si="539"/>
        <v/>
      </c>
    </row>
    <row r="31368" spans="8:8" x14ac:dyDescent="0.3">
      <c r="H31368" t="str">
        <f t="shared" si="539"/>
        <v/>
      </c>
    </row>
    <row r="31369" spans="8:8" x14ac:dyDescent="0.3">
      <c r="H31369" t="str">
        <f t="shared" si="539"/>
        <v/>
      </c>
    </row>
    <row r="31370" spans="8:8" x14ac:dyDescent="0.3">
      <c r="H31370" t="str">
        <f t="shared" si="539"/>
        <v/>
      </c>
    </row>
    <row r="31371" spans="8:8" x14ac:dyDescent="0.3">
      <c r="H31371" t="str">
        <f t="shared" si="539"/>
        <v/>
      </c>
    </row>
    <row r="31372" spans="8:8" x14ac:dyDescent="0.3">
      <c r="H31372" t="str">
        <f t="shared" si="539"/>
        <v/>
      </c>
    </row>
    <row r="31373" spans="8:8" x14ac:dyDescent="0.3">
      <c r="H31373" t="str">
        <f t="shared" si="539"/>
        <v/>
      </c>
    </row>
    <row r="31374" spans="8:8" x14ac:dyDescent="0.3">
      <c r="H31374" t="str">
        <f t="shared" si="539"/>
        <v/>
      </c>
    </row>
    <row r="31375" spans="8:8" x14ac:dyDescent="0.3">
      <c r="H31375" t="str">
        <f t="shared" si="539"/>
        <v/>
      </c>
    </row>
    <row r="31376" spans="8:8" x14ac:dyDescent="0.3">
      <c r="H31376" t="str">
        <f t="shared" si="539"/>
        <v/>
      </c>
    </row>
    <row r="31377" spans="8:8" x14ac:dyDescent="0.3">
      <c r="H31377" t="str">
        <f t="shared" si="539"/>
        <v/>
      </c>
    </row>
    <row r="31378" spans="8:8" x14ac:dyDescent="0.3">
      <c r="H31378" t="str">
        <f t="shared" si="539"/>
        <v/>
      </c>
    </row>
    <row r="31379" spans="8:8" x14ac:dyDescent="0.3">
      <c r="H31379" t="str">
        <f t="shared" si="539"/>
        <v/>
      </c>
    </row>
    <row r="31380" spans="8:8" x14ac:dyDescent="0.3">
      <c r="H31380" t="str">
        <f t="shared" si="539"/>
        <v/>
      </c>
    </row>
    <row r="31381" spans="8:8" x14ac:dyDescent="0.3">
      <c r="H31381" t="str">
        <f t="shared" si="539"/>
        <v/>
      </c>
    </row>
    <row r="31382" spans="8:8" x14ac:dyDescent="0.3">
      <c r="H31382" t="str">
        <f t="shared" si="539"/>
        <v/>
      </c>
    </row>
    <row r="31383" spans="8:8" x14ac:dyDescent="0.3">
      <c r="H31383" t="str">
        <f t="shared" ref="H31383:H31446" si="540">IF(B31383="","",$C$12)</f>
        <v/>
      </c>
    </row>
    <row r="31384" spans="8:8" x14ac:dyDescent="0.3">
      <c r="H31384" t="str">
        <f t="shared" si="540"/>
        <v/>
      </c>
    </row>
    <row r="31385" spans="8:8" x14ac:dyDescent="0.3">
      <c r="H31385" t="str">
        <f t="shared" si="540"/>
        <v/>
      </c>
    </row>
    <row r="31386" spans="8:8" x14ac:dyDescent="0.3">
      <c r="H31386" t="str">
        <f t="shared" si="540"/>
        <v/>
      </c>
    </row>
    <row r="31387" spans="8:8" x14ac:dyDescent="0.3">
      <c r="H31387" t="str">
        <f t="shared" si="540"/>
        <v/>
      </c>
    </row>
    <row r="31388" spans="8:8" x14ac:dyDescent="0.3">
      <c r="H31388" t="str">
        <f t="shared" si="540"/>
        <v/>
      </c>
    </row>
    <row r="31389" spans="8:8" x14ac:dyDescent="0.3">
      <c r="H31389" t="str">
        <f t="shared" si="540"/>
        <v/>
      </c>
    </row>
    <row r="31390" spans="8:8" x14ac:dyDescent="0.3">
      <c r="H31390" t="str">
        <f t="shared" si="540"/>
        <v/>
      </c>
    </row>
    <row r="31391" spans="8:8" x14ac:dyDescent="0.3">
      <c r="H31391" t="str">
        <f t="shared" si="540"/>
        <v/>
      </c>
    </row>
    <row r="31392" spans="8:8" x14ac:dyDescent="0.3">
      <c r="H31392" t="str">
        <f t="shared" si="540"/>
        <v/>
      </c>
    </row>
    <row r="31393" spans="8:8" x14ac:dyDescent="0.3">
      <c r="H31393" t="str">
        <f t="shared" si="540"/>
        <v/>
      </c>
    </row>
    <row r="31394" spans="8:8" x14ac:dyDescent="0.3">
      <c r="H31394" t="str">
        <f t="shared" si="540"/>
        <v/>
      </c>
    </row>
    <row r="31395" spans="8:8" x14ac:dyDescent="0.3">
      <c r="H31395" t="str">
        <f t="shared" si="540"/>
        <v/>
      </c>
    </row>
    <row r="31396" spans="8:8" x14ac:dyDescent="0.3">
      <c r="H31396" t="str">
        <f t="shared" si="540"/>
        <v/>
      </c>
    </row>
    <row r="31397" spans="8:8" x14ac:dyDescent="0.3">
      <c r="H31397" t="str">
        <f t="shared" si="540"/>
        <v/>
      </c>
    </row>
    <row r="31398" spans="8:8" x14ac:dyDescent="0.3">
      <c r="H31398" t="str">
        <f t="shared" si="540"/>
        <v/>
      </c>
    </row>
    <row r="31399" spans="8:8" x14ac:dyDescent="0.3">
      <c r="H31399" t="str">
        <f t="shared" si="540"/>
        <v/>
      </c>
    </row>
    <row r="31400" spans="8:8" x14ac:dyDescent="0.3">
      <c r="H31400" t="str">
        <f t="shared" si="540"/>
        <v/>
      </c>
    </row>
    <row r="31401" spans="8:8" x14ac:dyDescent="0.3">
      <c r="H31401" t="str">
        <f t="shared" si="540"/>
        <v/>
      </c>
    </row>
    <row r="31402" spans="8:8" x14ac:dyDescent="0.3">
      <c r="H31402" t="str">
        <f t="shared" si="540"/>
        <v/>
      </c>
    </row>
    <row r="31403" spans="8:8" x14ac:dyDescent="0.3">
      <c r="H31403" t="str">
        <f t="shared" si="540"/>
        <v/>
      </c>
    </row>
    <row r="31404" spans="8:8" x14ac:dyDescent="0.3">
      <c r="H31404" t="str">
        <f t="shared" si="540"/>
        <v/>
      </c>
    </row>
    <row r="31405" spans="8:8" x14ac:dyDescent="0.3">
      <c r="H31405" t="str">
        <f t="shared" si="540"/>
        <v/>
      </c>
    </row>
    <row r="31406" spans="8:8" x14ac:dyDescent="0.3">
      <c r="H31406" t="str">
        <f t="shared" si="540"/>
        <v/>
      </c>
    </row>
    <row r="31407" spans="8:8" x14ac:dyDescent="0.3">
      <c r="H31407" t="str">
        <f t="shared" si="540"/>
        <v/>
      </c>
    </row>
    <row r="31408" spans="8:8" x14ac:dyDescent="0.3">
      <c r="H31408" t="str">
        <f t="shared" si="540"/>
        <v/>
      </c>
    </row>
    <row r="31409" spans="8:8" x14ac:dyDescent="0.3">
      <c r="H31409" t="str">
        <f t="shared" si="540"/>
        <v/>
      </c>
    </row>
    <row r="31410" spans="8:8" x14ac:dyDescent="0.3">
      <c r="H31410" t="str">
        <f t="shared" si="540"/>
        <v/>
      </c>
    </row>
    <row r="31411" spans="8:8" x14ac:dyDescent="0.3">
      <c r="H31411" t="str">
        <f t="shared" si="540"/>
        <v/>
      </c>
    </row>
    <row r="31412" spans="8:8" x14ac:dyDescent="0.3">
      <c r="H31412" t="str">
        <f t="shared" si="540"/>
        <v/>
      </c>
    </row>
    <row r="31413" spans="8:8" x14ac:dyDescent="0.3">
      <c r="H31413" t="str">
        <f t="shared" si="540"/>
        <v/>
      </c>
    </row>
    <row r="31414" spans="8:8" x14ac:dyDescent="0.3">
      <c r="H31414" t="str">
        <f t="shared" si="540"/>
        <v/>
      </c>
    </row>
    <row r="31415" spans="8:8" x14ac:dyDescent="0.3">
      <c r="H31415" t="str">
        <f t="shared" si="540"/>
        <v/>
      </c>
    </row>
    <row r="31416" spans="8:8" x14ac:dyDescent="0.3">
      <c r="H31416" t="str">
        <f t="shared" si="540"/>
        <v/>
      </c>
    </row>
    <row r="31417" spans="8:8" x14ac:dyDescent="0.3">
      <c r="H31417" t="str">
        <f t="shared" si="540"/>
        <v/>
      </c>
    </row>
    <row r="31418" spans="8:8" x14ac:dyDescent="0.3">
      <c r="H31418" t="str">
        <f t="shared" si="540"/>
        <v/>
      </c>
    </row>
    <row r="31419" spans="8:8" x14ac:dyDescent="0.3">
      <c r="H31419" t="str">
        <f t="shared" si="540"/>
        <v/>
      </c>
    </row>
    <row r="31420" spans="8:8" x14ac:dyDescent="0.3">
      <c r="H31420" t="str">
        <f t="shared" si="540"/>
        <v/>
      </c>
    </row>
    <row r="31421" spans="8:8" x14ac:dyDescent="0.3">
      <c r="H31421" t="str">
        <f t="shared" si="540"/>
        <v/>
      </c>
    </row>
    <row r="31422" spans="8:8" x14ac:dyDescent="0.3">
      <c r="H31422" t="str">
        <f t="shared" si="540"/>
        <v/>
      </c>
    </row>
    <row r="31423" spans="8:8" x14ac:dyDescent="0.3">
      <c r="H31423" t="str">
        <f t="shared" si="540"/>
        <v/>
      </c>
    </row>
    <row r="31424" spans="8:8" x14ac:dyDescent="0.3">
      <c r="H31424" t="str">
        <f t="shared" si="540"/>
        <v/>
      </c>
    </row>
    <row r="31425" spans="8:8" x14ac:dyDescent="0.3">
      <c r="H31425" t="str">
        <f t="shared" si="540"/>
        <v/>
      </c>
    </row>
    <row r="31426" spans="8:8" x14ac:dyDescent="0.3">
      <c r="H31426" t="str">
        <f t="shared" si="540"/>
        <v/>
      </c>
    </row>
    <row r="31427" spans="8:8" x14ac:dyDescent="0.3">
      <c r="H31427" t="str">
        <f t="shared" si="540"/>
        <v/>
      </c>
    </row>
    <row r="31428" spans="8:8" x14ac:dyDescent="0.3">
      <c r="H31428" t="str">
        <f t="shared" si="540"/>
        <v/>
      </c>
    </row>
    <row r="31429" spans="8:8" x14ac:dyDescent="0.3">
      <c r="H31429" t="str">
        <f t="shared" si="540"/>
        <v/>
      </c>
    </row>
    <row r="31430" spans="8:8" x14ac:dyDescent="0.3">
      <c r="H31430" t="str">
        <f t="shared" si="540"/>
        <v/>
      </c>
    </row>
    <row r="31431" spans="8:8" x14ac:dyDescent="0.3">
      <c r="H31431" t="str">
        <f t="shared" si="540"/>
        <v/>
      </c>
    </row>
    <row r="31432" spans="8:8" x14ac:dyDescent="0.3">
      <c r="H31432" t="str">
        <f t="shared" si="540"/>
        <v/>
      </c>
    </row>
    <row r="31433" spans="8:8" x14ac:dyDescent="0.3">
      <c r="H31433" t="str">
        <f t="shared" si="540"/>
        <v/>
      </c>
    </row>
    <row r="31434" spans="8:8" x14ac:dyDescent="0.3">
      <c r="H31434" t="str">
        <f t="shared" si="540"/>
        <v/>
      </c>
    </row>
    <row r="31435" spans="8:8" x14ac:dyDescent="0.3">
      <c r="H31435" t="str">
        <f t="shared" si="540"/>
        <v/>
      </c>
    </row>
    <row r="31436" spans="8:8" x14ac:dyDescent="0.3">
      <c r="H31436" t="str">
        <f t="shared" si="540"/>
        <v/>
      </c>
    </row>
    <row r="31437" spans="8:8" x14ac:dyDescent="0.3">
      <c r="H31437" t="str">
        <f t="shared" si="540"/>
        <v/>
      </c>
    </row>
    <row r="31438" spans="8:8" x14ac:dyDescent="0.3">
      <c r="H31438" t="str">
        <f t="shared" si="540"/>
        <v/>
      </c>
    </row>
    <row r="31439" spans="8:8" x14ac:dyDescent="0.3">
      <c r="H31439" t="str">
        <f t="shared" si="540"/>
        <v/>
      </c>
    </row>
    <row r="31440" spans="8:8" x14ac:dyDescent="0.3">
      <c r="H31440" t="str">
        <f t="shared" si="540"/>
        <v/>
      </c>
    </row>
    <row r="31441" spans="8:8" x14ac:dyDescent="0.3">
      <c r="H31441" t="str">
        <f t="shared" si="540"/>
        <v/>
      </c>
    </row>
    <row r="31442" spans="8:8" x14ac:dyDescent="0.3">
      <c r="H31442" t="str">
        <f t="shared" si="540"/>
        <v/>
      </c>
    </row>
    <row r="31443" spans="8:8" x14ac:dyDescent="0.3">
      <c r="H31443" t="str">
        <f t="shared" si="540"/>
        <v/>
      </c>
    </row>
    <row r="31444" spans="8:8" x14ac:dyDescent="0.3">
      <c r="H31444" t="str">
        <f t="shared" si="540"/>
        <v/>
      </c>
    </row>
    <row r="31445" spans="8:8" x14ac:dyDescent="0.3">
      <c r="H31445" t="str">
        <f t="shared" si="540"/>
        <v/>
      </c>
    </row>
    <row r="31446" spans="8:8" x14ac:dyDescent="0.3">
      <c r="H31446" t="str">
        <f t="shared" si="540"/>
        <v/>
      </c>
    </row>
    <row r="31447" spans="8:8" x14ac:dyDescent="0.3">
      <c r="H31447" t="str">
        <f t="shared" ref="H31447:H31510" si="541">IF(B31447="","",$C$12)</f>
        <v/>
      </c>
    </row>
    <row r="31448" spans="8:8" x14ac:dyDescent="0.3">
      <c r="H31448" t="str">
        <f t="shared" si="541"/>
        <v/>
      </c>
    </row>
    <row r="31449" spans="8:8" x14ac:dyDescent="0.3">
      <c r="H31449" t="str">
        <f t="shared" si="541"/>
        <v/>
      </c>
    </row>
    <row r="31450" spans="8:8" x14ac:dyDescent="0.3">
      <c r="H31450" t="str">
        <f t="shared" si="541"/>
        <v/>
      </c>
    </row>
    <row r="31451" spans="8:8" x14ac:dyDescent="0.3">
      <c r="H31451" t="str">
        <f t="shared" si="541"/>
        <v/>
      </c>
    </row>
    <row r="31452" spans="8:8" x14ac:dyDescent="0.3">
      <c r="H31452" t="str">
        <f t="shared" si="541"/>
        <v/>
      </c>
    </row>
    <row r="31453" spans="8:8" x14ac:dyDescent="0.3">
      <c r="H31453" t="str">
        <f t="shared" si="541"/>
        <v/>
      </c>
    </row>
    <row r="31454" spans="8:8" x14ac:dyDescent="0.3">
      <c r="H31454" t="str">
        <f t="shared" si="541"/>
        <v/>
      </c>
    </row>
    <row r="31455" spans="8:8" x14ac:dyDescent="0.3">
      <c r="H31455" t="str">
        <f t="shared" si="541"/>
        <v/>
      </c>
    </row>
    <row r="31456" spans="8:8" x14ac:dyDescent="0.3">
      <c r="H31456" t="str">
        <f t="shared" si="541"/>
        <v/>
      </c>
    </row>
    <row r="31457" spans="8:8" x14ac:dyDescent="0.3">
      <c r="H31457" t="str">
        <f t="shared" si="541"/>
        <v/>
      </c>
    </row>
    <row r="31458" spans="8:8" x14ac:dyDescent="0.3">
      <c r="H31458" t="str">
        <f t="shared" si="541"/>
        <v/>
      </c>
    </row>
    <row r="31459" spans="8:8" x14ac:dyDescent="0.3">
      <c r="H31459" t="str">
        <f t="shared" si="541"/>
        <v/>
      </c>
    </row>
    <row r="31460" spans="8:8" x14ac:dyDescent="0.3">
      <c r="H31460" t="str">
        <f t="shared" si="541"/>
        <v/>
      </c>
    </row>
    <row r="31461" spans="8:8" x14ac:dyDescent="0.3">
      <c r="H31461" t="str">
        <f t="shared" si="541"/>
        <v/>
      </c>
    </row>
    <row r="31462" spans="8:8" x14ac:dyDescent="0.3">
      <c r="H31462" t="str">
        <f t="shared" si="541"/>
        <v/>
      </c>
    </row>
    <row r="31463" spans="8:8" x14ac:dyDescent="0.3">
      <c r="H31463" t="str">
        <f t="shared" si="541"/>
        <v/>
      </c>
    </row>
    <row r="31464" spans="8:8" x14ac:dyDescent="0.3">
      <c r="H31464" t="str">
        <f t="shared" si="541"/>
        <v/>
      </c>
    </row>
    <row r="31465" spans="8:8" x14ac:dyDescent="0.3">
      <c r="H31465" t="str">
        <f t="shared" si="541"/>
        <v/>
      </c>
    </row>
    <row r="31466" spans="8:8" x14ac:dyDescent="0.3">
      <c r="H31466" t="str">
        <f t="shared" si="541"/>
        <v/>
      </c>
    </row>
    <row r="31467" spans="8:8" x14ac:dyDescent="0.3">
      <c r="H31467" t="str">
        <f t="shared" si="541"/>
        <v/>
      </c>
    </row>
    <row r="31468" spans="8:8" x14ac:dyDescent="0.3">
      <c r="H31468" t="str">
        <f t="shared" si="541"/>
        <v/>
      </c>
    </row>
    <row r="31469" spans="8:8" x14ac:dyDescent="0.3">
      <c r="H31469" t="str">
        <f t="shared" si="541"/>
        <v/>
      </c>
    </row>
    <row r="31470" spans="8:8" x14ac:dyDescent="0.3">
      <c r="H31470" t="str">
        <f t="shared" si="541"/>
        <v/>
      </c>
    </row>
    <row r="31471" spans="8:8" x14ac:dyDescent="0.3">
      <c r="H31471" t="str">
        <f t="shared" si="541"/>
        <v/>
      </c>
    </row>
    <row r="31472" spans="8:8" x14ac:dyDescent="0.3">
      <c r="H31472" t="str">
        <f t="shared" si="541"/>
        <v/>
      </c>
    </row>
    <row r="31473" spans="8:8" x14ac:dyDescent="0.3">
      <c r="H31473" t="str">
        <f t="shared" si="541"/>
        <v/>
      </c>
    </row>
    <row r="31474" spans="8:8" x14ac:dyDescent="0.3">
      <c r="H31474" t="str">
        <f t="shared" si="541"/>
        <v/>
      </c>
    </row>
    <row r="31475" spans="8:8" x14ac:dyDescent="0.3">
      <c r="H31475" t="str">
        <f t="shared" si="541"/>
        <v/>
      </c>
    </row>
    <row r="31476" spans="8:8" x14ac:dyDescent="0.3">
      <c r="H31476" t="str">
        <f t="shared" si="541"/>
        <v/>
      </c>
    </row>
    <row r="31477" spans="8:8" x14ac:dyDescent="0.3">
      <c r="H31477" t="str">
        <f t="shared" si="541"/>
        <v/>
      </c>
    </row>
    <row r="31478" spans="8:8" x14ac:dyDescent="0.3">
      <c r="H31478" t="str">
        <f t="shared" si="541"/>
        <v/>
      </c>
    </row>
    <row r="31479" spans="8:8" x14ac:dyDescent="0.3">
      <c r="H31479" t="str">
        <f t="shared" si="541"/>
        <v/>
      </c>
    </row>
    <row r="31480" spans="8:8" x14ac:dyDescent="0.3">
      <c r="H31480" t="str">
        <f t="shared" si="541"/>
        <v/>
      </c>
    </row>
    <row r="31481" spans="8:8" x14ac:dyDescent="0.3">
      <c r="H31481" t="str">
        <f t="shared" si="541"/>
        <v/>
      </c>
    </row>
    <row r="31482" spans="8:8" x14ac:dyDescent="0.3">
      <c r="H31482" t="str">
        <f t="shared" si="541"/>
        <v/>
      </c>
    </row>
    <row r="31483" spans="8:8" x14ac:dyDescent="0.3">
      <c r="H31483" t="str">
        <f t="shared" si="541"/>
        <v/>
      </c>
    </row>
    <row r="31484" spans="8:8" x14ac:dyDescent="0.3">
      <c r="H31484" t="str">
        <f t="shared" si="541"/>
        <v/>
      </c>
    </row>
    <row r="31485" spans="8:8" x14ac:dyDescent="0.3">
      <c r="H31485" t="str">
        <f t="shared" si="541"/>
        <v/>
      </c>
    </row>
    <row r="31486" spans="8:8" x14ac:dyDescent="0.3">
      <c r="H31486" t="str">
        <f t="shared" si="541"/>
        <v/>
      </c>
    </row>
    <row r="31487" spans="8:8" x14ac:dyDescent="0.3">
      <c r="H31487" t="str">
        <f t="shared" si="541"/>
        <v/>
      </c>
    </row>
    <row r="31488" spans="8:8" x14ac:dyDescent="0.3">
      <c r="H31488" t="str">
        <f t="shared" si="541"/>
        <v/>
      </c>
    </row>
    <row r="31489" spans="8:8" x14ac:dyDescent="0.3">
      <c r="H31489" t="str">
        <f t="shared" si="541"/>
        <v/>
      </c>
    </row>
    <row r="31490" spans="8:8" x14ac:dyDescent="0.3">
      <c r="H31490" t="str">
        <f t="shared" si="541"/>
        <v/>
      </c>
    </row>
    <row r="31491" spans="8:8" x14ac:dyDescent="0.3">
      <c r="H31491" t="str">
        <f t="shared" si="541"/>
        <v/>
      </c>
    </row>
    <row r="31492" spans="8:8" x14ac:dyDescent="0.3">
      <c r="H31492" t="str">
        <f t="shared" si="541"/>
        <v/>
      </c>
    </row>
    <row r="31493" spans="8:8" x14ac:dyDescent="0.3">
      <c r="H31493" t="str">
        <f t="shared" si="541"/>
        <v/>
      </c>
    </row>
    <row r="31494" spans="8:8" x14ac:dyDescent="0.3">
      <c r="H31494" t="str">
        <f t="shared" si="541"/>
        <v/>
      </c>
    </row>
    <row r="31495" spans="8:8" x14ac:dyDescent="0.3">
      <c r="H31495" t="str">
        <f t="shared" si="541"/>
        <v/>
      </c>
    </row>
    <row r="31496" spans="8:8" x14ac:dyDescent="0.3">
      <c r="H31496" t="str">
        <f t="shared" si="541"/>
        <v/>
      </c>
    </row>
    <row r="31497" spans="8:8" x14ac:dyDescent="0.3">
      <c r="H31497" t="str">
        <f t="shared" si="541"/>
        <v/>
      </c>
    </row>
    <row r="31498" spans="8:8" x14ac:dyDescent="0.3">
      <c r="H31498" t="str">
        <f t="shared" si="541"/>
        <v/>
      </c>
    </row>
    <row r="31499" spans="8:8" x14ac:dyDescent="0.3">
      <c r="H31499" t="str">
        <f t="shared" si="541"/>
        <v/>
      </c>
    </row>
    <row r="31500" spans="8:8" x14ac:dyDescent="0.3">
      <c r="H31500" t="str">
        <f t="shared" si="541"/>
        <v/>
      </c>
    </row>
    <row r="31501" spans="8:8" x14ac:dyDescent="0.3">
      <c r="H31501" t="str">
        <f t="shared" si="541"/>
        <v/>
      </c>
    </row>
    <row r="31502" spans="8:8" x14ac:dyDescent="0.3">
      <c r="H31502" t="str">
        <f t="shared" si="541"/>
        <v/>
      </c>
    </row>
    <row r="31503" spans="8:8" x14ac:dyDescent="0.3">
      <c r="H31503" t="str">
        <f t="shared" si="541"/>
        <v/>
      </c>
    </row>
    <row r="31504" spans="8:8" x14ac:dyDescent="0.3">
      <c r="H31504" t="str">
        <f t="shared" si="541"/>
        <v/>
      </c>
    </row>
    <row r="31505" spans="8:8" x14ac:dyDescent="0.3">
      <c r="H31505" t="str">
        <f t="shared" si="541"/>
        <v/>
      </c>
    </row>
    <row r="31506" spans="8:8" x14ac:dyDescent="0.3">
      <c r="H31506" t="str">
        <f t="shared" si="541"/>
        <v/>
      </c>
    </row>
    <row r="31507" spans="8:8" x14ac:dyDescent="0.3">
      <c r="H31507" t="str">
        <f t="shared" si="541"/>
        <v/>
      </c>
    </row>
    <row r="31508" spans="8:8" x14ac:dyDescent="0.3">
      <c r="H31508" t="str">
        <f t="shared" si="541"/>
        <v/>
      </c>
    </row>
    <row r="31509" spans="8:8" x14ac:dyDescent="0.3">
      <c r="H31509" t="str">
        <f t="shared" si="541"/>
        <v/>
      </c>
    </row>
    <row r="31510" spans="8:8" x14ac:dyDescent="0.3">
      <c r="H31510" t="str">
        <f t="shared" si="541"/>
        <v/>
      </c>
    </row>
    <row r="31511" spans="8:8" x14ac:dyDescent="0.3">
      <c r="H31511" t="str">
        <f t="shared" ref="H31511:H31574" si="542">IF(B31511="","",$C$12)</f>
        <v/>
      </c>
    </row>
    <row r="31512" spans="8:8" x14ac:dyDescent="0.3">
      <c r="H31512" t="str">
        <f t="shared" si="542"/>
        <v/>
      </c>
    </row>
    <row r="31513" spans="8:8" x14ac:dyDescent="0.3">
      <c r="H31513" t="str">
        <f t="shared" si="542"/>
        <v/>
      </c>
    </row>
    <row r="31514" spans="8:8" x14ac:dyDescent="0.3">
      <c r="H31514" t="str">
        <f t="shared" si="542"/>
        <v/>
      </c>
    </row>
    <row r="31515" spans="8:8" x14ac:dyDescent="0.3">
      <c r="H31515" t="str">
        <f t="shared" si="542"/>
        <v/>
      </c>
    </row>
    <row r="31516" spans="8:8" x14ac:dyDescent="0.3">
      <c r="H31516" t="str">
        <f t="shared" si="542"/>
        <v/>
      </c>
    </row>
    <row r="31517" spans="8:8" x14ac:dyDescent="0.3">
      <c r="H31517" t="str">
        <f t="shared" si="542"/>
        <v/>
      </c>
    </row>
    <row r="31518" spans="8:8" x14ac:dyDescent="0.3">
      <c r="H31518" t="str">
        <f t="shared" si="542"/>
        <v/>
      </c>
    </row>
    <row r="31519" spans="8:8" x14ac:dyDescent="0.3">
      <c r="H31519" t="str">
        <f t="shared" si="542"/>
        <v/>
      </c>
    </row>
    <row r="31520" spans="8:8" x14ac:dyDescent="0.3">
      <c r="H31520" t="str">
        <f t="shared" si="542"/>
        <v/>
      </c>
    </row>
    <row r="31521" spans="8:8" x14ac:dyDescent="0.3">
      <c r="H31521" t="str">
        <f t="shared" si="542"/>
        <v/>
      </c>
    </row>
    <row r="31522" spans="8:8" x14ac:dyDescent="0.3">
      <c r="H31522" t="str">
        <f t="shared" si="542"/>
        <v/>
      </c>
    </row>
    <row r="31523" spans="8:8" x14ac:dyDescent="0.3">
      <c r="H31523" t="str">
        <f t="shared" si="542"/>
        <v/>
      </c>
    </row>
    <row r="31524" spans="8:8" x14ac:dyDescent="0.3">
      <c r="H31524" t="str">
        <f t="shared" si="542"/>
        <v/>
      </c>
    </row>
    <row r="31525" spans="8:8" x14ac:dyDescent="0.3">
      <c r="H31525" t="str">
        <f t="shared" si="542"/>
        <v/>
      </c>
    </row>
    <row r="31526" spans="8:8" x14ac:dyDescent="0.3">
      <c r="H31526" t="str">
        <f t="shared" si="542"/>
        <v/>
      </c>
    </row>
    <row r="31527" spans="8:8" x14ac:dyDescent="0.3">
      <c r="H31527" t="str">
        <f t="shared" si="542"/>
        <v/>
      </c>
    </row>
    <row r="31528" spans="8:8" x14ac:dyDescent="0.3">
      <c r="H31528" t="str">
        <f t="shared" si="542"/>
        <v/>
      </c>
    </row>
    <row r="31529" spans="8:8" x14ac:dyDescent="0.3">
      <c r="H31529" t="str">
        <f t="shared" si="542"/>
        <v/>
      </c>
    </row>
    <row r="31530" spans="8:8" x14ac:dyDescent="0.3">
      <c r="H31530" t="str">
        <f t="shared" si="542"/>
        <v/>
      </c>
    </row>
    <row r="31531" spans="8:8" x14ac:dyDescent="0.3">
      <c r="H31531" t="str">
        <f t="shared" si="542"/>
        <v/>
      </c>
    </row>
    <row r="31532" spans="8:8" x14ac:dyDescent="0.3">
      <c r="H31532" t="str">
        <f t="shared" si="542"/>
        <v/>
      </c>
    </row>
    <row r="31533" spans="8:8" x14ac:dyDescent="0.3">
      <c r="H31533" t="str">
        <f t="shared" si="542"/>
        <v/>
      </c>
    </row>
    <row r="31534" spans="8:8" x14ac:dyDescent="0.3">
      <c r="H31534" t="str">
        <f t="shared" si="542"/>
        <v/>
      </c>
    </row>
    <row r="31535" spans="8:8" x14ac:dyDescent="0.3">
      <c r="H31535" t="str">
        <f t="shared" si="542"/>
        <v/>
      </c>
    </row>
    <row r="31536" spans="8:8" x14ac:dyDescent="0.3">
      <c r="H31536" t="str">
        <f t="shared" si="542"/>
        <v/>
      </c>
    </row>
    <row r="31537" spans="8:8" x14ac:dyDescent="0.3">
      <c r="H31537" t="str">
        <f t="shared" si="542"/>
        <v/>
      </c>
    </row>
    <row r="31538" spans="8:8" x14ac:dyDescent="0.3">
      <c r="H31538" t="str">
        <f t="shared" si="542"/>
        <v/>
      </c>
    </row>
    <row r="31539" spans="8:8" x14ac:dyDescent="0.3">
      <c r="H31539" t="str">
        <f t="shared" si="542"/>
        <v/>
      </c>
    </row>
    <row r="31540" spans="8:8" x14ac:dyDescent="0.3">
      <c r="H31540" t="str">
        <f t="shared" si="542"/>
        <v/>
      </c>
    </row>
    <row r="31541" spans="8:8" x14ac:dyDescent="0.3">
      <c r="H31541" t="str">
        <f t="shared" si="542"/>
        <v/>
      </c>
    </row>
    <row r="31542" spans="8:8" x14ac:dyDescent="0.3">
      <c r="H31542" t="str">
        <f t="shared" si="542"/>
        <v/>
      </c>
    </row>
    <row r="31543" spans="8:8" x14ac:dyDescent="0.3">
      <c r="H31543" t="str">
        <f t="shared" si="542"/>
        <v/>
      </c>
    </row>
    <row r="31544" spans="8:8" x14ac:dyDescent="0.3">
      <c r="H31544" t="str">
        <f t="shared" si="542"/>
        <v/>
      </c>
    </row>
    <row r="31545" spans="8:8" x14ac:dyDescent="0.3">
      <c r="H31545" t="str">
        <f t="shared" si="542"/>
        <v/>
      </c>
    </row>
    <row r="31546" spans="8:8" x14ac:dyDescent="0.3">
      <c r="H31546" t="str">
        <f t="shared" si="542"/>
        <v/>
      </c>
    </row>
    <row r="31547" spans="8:8" x14ac:dyDescent="0.3">
      <c r="H31547" t="str">
        <f t="shared" si="542"/>
        <v/>
      </c>
    </row>
    <row r="31548" spans="8:8" x14ac:dyDescent="0.3">
      <c r="H31548" t="str">
        <f t="shared" si="542"/>
        <v/>
      </c>
    </row>
    <row r="31549" spans="8:8" x14ac:dyDescent="0.3">
      <c r="H31549" t="str">
        <f t="shared" si="542"/>
        <v/>
      </c>
    </row>
    <row r="31550" spans="8:8" x14ac:dyDescent="0.3">
      <c r="H31550" t="str">
        <f t="shared" si="542"/>
        <v/>
      </c>
    </row>
    <row r="31551" spans="8:8" x14ac:dyDescent="0.3">
      <c r="H31551" t="str">
        <f t="shared" si="542"/>
        <v/>
      </c>
    </row>
    <row r="31552" spans="8:8" x14ac:dyDescent="0.3">
      <c r="H31552" t="str">
        <f t="shared" si="542"/>
        <v/>
      </c>
    </row>
    <row r="31553" spans="8:8" x14ac:dyDescent="0.3">
      <c r="H31553" t="str">
        <f t="shared" si="542"/>
        <v/>
      </c>
    </row>
    <row r="31554" spans="8:8" x14ac:dyDescent="0.3">
      <c r="H31554" t="str">
        <f t="shared" si="542"/>
        <v/>
      </c>
    </row>
    <row r="31555" spans="8:8" x14ac:dyDescent="0.3">
      <c r="H31555" t="str">
        <f t="shared" si="542"/>
        <v/>
      </c>
    </row>
    <row r="31556" spans="8:8" x14ac:dyDescent="0.3">
      <c r="H31556" t="str">
        <f t="shared" si="542"/>
        <v/>
      </c>
    </row>
    <row r="31557" spans="8:8" x14ac:dyDescent="0.3">
      <c r="H31557" t="str">
        <f t="shared" si="542"/>
        <v/>
      </c>
    </row>
    <row r="31558" spans="8:8" x14ac:dyDescent="0.3">
      <c r="H31558" t="str">
        <f t="shared" si="542"/>
        <v/>
      </c>
    </row>
    <row r="31559" spans="8:8" x14ac:dyDescent="0.3">
      <c r="H31559" t="str">
        <f t="shared" si="542"/>
        <v/>
      </c>
    </row>
    <row r="31560" spans="8:8" x14ac:dyDescent="0.3">
      <c r="H31560" t="str">
        <f t="shared" si="542"/>
        <v/>
      </c>
    </row>
    <row r="31561" spans="8:8" x14ac:dyDescent="0.3">
      <c r="H31561" t="str">
        <f t="shared" si="542"/>
        <v/>
      </c>
    </row>
    <row r="31562" spans="8:8" x14ac:dyDescent="0.3">
      <c r="H31562" t="str">
        <f t="shared" si="542"/>
        <v/>
      </c>
    </row>
    <row r="31563" spans="8:8" x14ac:dyDescent="0.3">
      <c r="H31563" t="str">
        <f t="shared" si="542"/>
        <v/>
      </c>
    </row>
    <row r="31564" spans="8:8" x14ac:dyDescent="0.3">
      <c r="H31564" t="str">
        <f t="shared" si="542"/>
        <v/>
      </c>
    </row>
    <row r="31565" spans="8:8" x14ac:dyDescent="0.3">
      <c r="H31565" t="str">
        <f t="shared" si="542"/>
        <v/>
      </c>
    </row>
    <row r="31566" spans="8:8" x14ac:dyDescent="0.3">
      <c r="H31566" t="str">
        <f t="shared" si="542"/>
        <v/>
      </c>
    </row>
    <row r="31567" spans="8:8" x14ac:dyDescent="0.3">
      <c r="H31567" t="str">
        <f t="shared" si="542"/>
        <v/>
      </c>
    </row>
    <row r="31568" spans="8:8" x14ac:dyDescent="0.3">
      <c r="H31568" t="str">
        <f t="shared" si="542"/>
        <v/>
      </c>
    </row>
    <row r="31569" spans="8:8" x14ac:dyDescent="0.3">
      <c r="H31569" t="str">
        <f t="shared" si="542"/>
        <v/>
      </c>
    </row>
    <row r="31570" spans="8:8" x14ac:dyDescent="0.3">
      <c r="H31570" t="str">
        <f t="shared" si="542"/>
        <v/>
      </c>
    </row>
    <row r="31571" spans="8:8" x14ac:dyDescent="0.3">
      <c r="H31571" t="str">
        <f t="shared" si="542"/>
        <v/>
      </c>
    </row>
    <row r="31572" spans="8:8" x14ac:dyDescent="0.3">
      <c r="H31572" t="str">
        <f t="shared" si="542"/>
        <v/>
      </c>
    </row>
    <row r="31573" spans="8:8" x14ac:dyDescent="0.3">
      <c r="H31573" t="str">
        <f t="shared" si="542"/>
        <v/>
      </c>
    </row>
    <row r="31574" spans="8:8" x14ac:dyDescent="0.3">
      <c r="H31574" t="str">
        <f t="shared" si="542"/>
        <v/>
      </c>
    </row>
    <row r="31575" spans="8:8" x14ac:dyDescent="0.3">
      <c r="H31575" t="str">
        <f t="shared" ref="H31575:H31638" si="543">IF(B31575="","",$C$12)</f>
        <v/>
      </c>
    </row>
    <row r="31576" spans="8:8" x14ac:dyDescent="0.3">
      <c r="H31576" t="str">
        <f t="shared" si="543"/>
        <v/>
      </c>
    </row>
    <row r="31577" spans="8:8" x14ac:dyDescent="0.3">
      <c r="H31577" t="str">
        <f t="shared" si="543"/>
        <v/>
      </c>
    </row>
    <row r="31578" spans="8:8" x14ac:dyDescent="0.3">
      <c r="H31578" t="str">
        <f t="shared" si="543"/>
        <v/>
      </c>
    </row>
    <row r="31579" spans="8:8" x14ac:dyDescent="0.3">
      <c r="H31579" t="str">
        <f t="shared" si="543"/>
        <v/>
      </c>
    </row>
    <row r="31580" spans="8:8" x14ac:dyDescent="0.3">
      <c r="H31580" t="str">
        <f t="shared" si="543"/>
        <v/>
      </c>
    </row>
    <row r="31581" spans="8:8" x14ac:dyDescent="0.3">
      <c r="H31581" t="str">
        <f t="shared" si="543"/>
        <v/>
      </c>
    </row>
    <row r="31582" spans="8:8" x14ac:dyDescent="0.3">
      <c r="H31582" t="str">
        <f t="shared" si="543"/>
        <v/>
      </c>
    </row>
    <row r="31583" spans="8:8" x14ac:dyDescent="0.3">
      <c r="H31583" t="str">
        <f t="shared" si="543"/>
        <v/>
      </c>
    </row>
    <row r="31584" spans="8:8" x14ac:dyDescent="0.3">
      <c r="H31584" t="str">
        <f t="shared" si="543"/>
        <v/>
      </c>
    </row>
    <row r="31585" spans="8:8" x14ac:dyDescent="0.3">
      <c r="H31585" t="str">
        <f t="shared" si="543"/>
        <v/>
      </c>
    </row>
    <row r="31586" spans="8:8" x14ac:dyDescent="0.3">
      <c r="H31586" t="str">
        <f t="shared" si="543"/>
        <v/>
      </c>
    </row>
    <row r="31587" spans="8:8" x14ac:dyDescent="0.3">
      <c r="H31587" t="str">
        <f t="shared" si="543"/>
        <v/>
      </c>
    </row>
    <row r="31588" spans="8:8" x14ac:dyDescent="0.3">
      <c r="H31588" t="str">
        <f t="shared" si="543"/>
        <v/>
      </c>
    </row>
    <row r="31589" spans="8:8" x14ac:dyDescent="0.3">
      <c r="H31589" t="str">
        <f t="shared" si="543"/>
        <v/>
      </c>
    </row>
    <row r="31590" spans="8:8" x14ac:dyDescent="0.3">
      <c r="H31590" t="str">
        <f t="shared" si="543"/>
        <v/>
      </c>
    </row>
    <row r="31591" spans="8:8" x14ac:dyDescent="0.3">
      <c r="H31591" t="str">
        <f t="shared" si="543"/>
        <v/>
      </c>
    </row>
    <row r="31592" spans="8:8" x14ac:dyDescent="0.3">
      <c r="H31592" t="str">
        <f t="shared" si="543"/>
        <v/>
      </c>
    </row>
    <row r="31593" spans="8:8" x14ac:dyDescent="0.3">
      <c r="H31593" t="str">
        <f t="shared" si="543"/>
        <v/>
      </c>
    </row>
    <row r="31594" spans="8:8" x14ac:dyDescent="0.3">
      <c r="H31594" t="str">
        <f t="shared" si="543"/>
        <v/>
      </c>
    </row>
    <row r="31595" spans="8:8" x14ac:dyDescent="0.3">
      <c r="H31595" t="str">
        <f t="shared" si="543"/>
        <v/>
      </c>
    </row>
    <row r="31596" spans="8:8" x14ac:dyDescent="0.3">
      <c r="H31596" t="str">
        <f t="shared" si="543"/>
        <v/>
      </c>
    </row>
    <row r="31597" spans="8:8" x14ac:dyDescent="0.3">
      <c r="H31597" t="str">
        <f t="shared" si="543"/>
        <v/>
      </c>
    </row>
    <row r="31598" spans="8:8" x14ac:dyDescent="0.3">
      <c r="H31598" t="str">
        <f t="shared" si="543"/>
        <v/>
      </c>
    </row>
    <row r="31599" spans="8:8" x14ac:dyDescent="0.3">
      <c r="H31599" t="str">
        <f t="shared" si="543"/>
        <v/>
      </c>
    </row>
    <row r="31600" spans="8:8" x14ac:dyDescent="0.3">
      <c r="H31600" t="str">
        <f t="shared" si="543"/>
        <v/>
      </c>
    </row>
    <row r="31601" spans="8:8" x14ac:dyDescent="0.3">
      <c r="H31601" t="str">
        <f t="shared" si="543"/>
        <v/>
      </c>
    </row>
    <row r="31602" spans="8:8" x14ac:dyDescent="0.3">
      <c r="H31602" t="str">
        <f t="shared" si="543"/>
        <v/>
      </c>
    </row>
    <row r="31603" spans="8:8" x14ac:dyDescent="0.3">
      <c r="H31603" t="str">
        <f t="shared" si="543"/>
        <v/>
      </c>
    </row>
    <row r="31604" spans="8:8" x14ac:dyDescent="0.3">
      <c r="H31604" t="str">
        <f t="shared" si="543"/>
        <v/>
      </c>
    </row>
    <row r="31605" spans="8:8" x14ac:dyDescent="0.3">
      <c r="H31605" t="str">
        <f t="shared" si="543"/>
        <v/>
      </c>
    </row>
    <row r="31606" spans="8:8" x14ac:dyDescent="0.3">
      <c r="H31606" t="str">
        <f t="shared" si="543"/>
        <v/>
      </c>
    </row>
    <row r="31607" spans="8:8" x14ac:dyDescent="0.3">
      <c r="H31607" t="str">
        <f t="shared" si="543"/>
        <v/>
      </c>
    </row>
    <row r="31608" spans="8:8" x14ac:dyDescent="0.3">
      <c r="H31608" t="str">
        <f t="shared" si="543"/>
        <v/>
      </c>
    </row>
    <row r="31609" spans="8:8" x14ac:dyDescent="0.3">
      <c r="H31609" t="str">
        <f t="shared" si="543"/>
        <v/>
      </c>
    </row>
    <row r="31610" spans="8:8" x14ac:dyDescent="0.3">
      <c r="H31610" t="str">
        <f t="shared" si="543"/>
        <v/>
      </c>
    </row>
    <row r="31611" spans="8:8" x14ac:dyDescent="0.3">
      <c r="H31611" t="str">
        <f t="shared" si="543"/>
        <v/>
      </c>
    </row>
    <row r="31612" spans="8:8" x14ac:dyDescent="0.3">
      <c r="H31612" t="str">
        <f t="shared" si="543"/>
        <v/>
      </c>
    </row>
    <row r="31613" spans="8:8" x14ac:dyDescent="0.3">
      <c r="H31613" t="str">
        <f t="shared" si="543"/>
        <v/>
      </c>
    </row>
    <row r="31614" spans="8:8" x14ac:dyDescent="0.3">
      <c r="H31614" t="str">
        <f t="shared" si="543"/>
        <v/>
      </c>
    </row>
    <row r="31615" spans="8:8" x14ac:dyDescent="0.3">
      <c r="H31615" t="str">
        <f t="shared" si="543"/>
        <v/>
      </c>
    </row>
    <row r="31616" spans="8:8" x14ac:dyDescent="0.3">
      <c r="H31616" t="str">
        <f t="shared" si="543"/>
        <v/>
      </c>
    </row>
    <row r="31617" spans="8:8" x14ac:dyDescent="0.3">
      <c r="H31617" t="str">
        <f t="shared" si="543"/>
        <v/>
      </c>
    </row>
    <row r="31618" spans="8:8" x14ac:dyDescent="0.3">
      <c r="H31618" t="str">
        <f t="shared" si="543"/>
        <v/>
      </c>
    </row>
    <row r="31619" spans="8:8" x14ac:dyDescent="0.3">
      <c r="H31619" t="str">
        <f t="shared" si="543"/>
        <v/>
      </c>
    </row>
    <row r="31620" spans="8:8" x14ac:dyDescent="0.3">
      <c r="H31620" t="str">
        <f t="shared" si="543"/>
        <v/>
      </c>
    </row>
    <row r="31621" spans="8:8" x14ac:dyDescent="0.3">
      <c r="H31621" t="str">
        <f t="shared" si="543"/>
        <v/>
      </c>
    </row>
    <row r="31622" spans="8:8" x14ac:dyDescent="0.3">
      <c r="H31622" t="str">
        <f t="shared" si="543"/>
        <v/>
      </c>
    </row>
    <row r="31623" spans="8:8" x14ac:dyDescent="0.3">
      <c r="H31623" t="str">
        <f t="shared" si="543"/>
        <v/>
      </c>
    </row>
    <row r="31624" spans="8:8" x14ac:dyDescent="0.3">
      <c r="H31624" t="str">
        <f t="shared" si="543"/>
        <v/>
      </c>
    </row>
    <row r="31625" spans="8:8" x14ac:dyDescent="0.3">
      <c r="H31625" t="str">
        <f t="shared" si="543"/>
        <v/>
      </c>
    </row>
    <row r="31626" spans="8:8" x14ac:dyDescent="0.3">
      <c r="H31626" t="str">
        <f t="shared" si="543"/>
        <v/>
      </c>
    </row>
    <row r="31627" spans="8:8" x14ac:dyDescent="0.3">
      <c r="H31627" t="str">
        <f t="shared" si="543"/>
        <v/>
      </c>
    </row>
    <row r="31628" spans="8:8" x14ac:dyDescent="0.3">
      <c r="H31628" t="str">
        <f t="shared" si="543"/>
        <v/>
      </c>
    </row>
    <row r="31629" spans="8:8" x14ac:dyDescent="0.3">
      <c r="H31629" t="str">
        <f t="shared" si="543"/>
        <v/>
      </c>
    </row>
    <row r="31630" spans="8:8" x14ac:dyDescent="0.3">
      <c r="H31630" t="str">
        <f t="shared" si="543"/>
        <v/>
      </c>
    </row>
    <row r="31631" spans="8:8" x14ac:dyDescent="0.3">
      <c r="H31631" t="str">
        <f t="shared" si="543"/>
        <v/>
      </c>
    </row>
    <row r="31632" spans="8:8" x14ac:dyDescent="0.3">
      <c r="H31632" t="str">
        <f t="shared" si="543"/>
        <v/>
      </c>
    </row>
    <row r="31633" spans="8:8" x14ac:dyDescent="0.3">
      <c r="H31633" t="str">
        <f t="shared" si="543"/>
        <v/>
      </c>
    </row>
    <row r="31634" spans="8:8" x14ac:dyDescent="0.3">
      <c r="H31634" t="str">
        <f t="shared" si="543"/>
        <v/>
      </c>
    </row>
    <row r="31635" spans="8:8" x14ac:dyDescent="0.3">
      <c r="H31635" t="str">
        <f t="shared" si="543"/>
        <v/>
      </c>
    </row>
    <row r="31636" spans="8:8" x14ac:dyDescent="0.3">
      <c r="H31636" t="str">
        <f t="shared" si="543"/>
        <v/>
      </c>
    </row>
    <row r="31637" spans="8:8" x14ac:dyDescent="0.3">
      <c r="H31637" t="str">
        <f t="shared" si="543"/>
        <v/>
      </c>
    </row>
    <row r="31638" spans="8:8" x14ac:dyDescent="0.3">
      <c r="H31638" t="str">
        <f t="shared" si="543"/>
        <v/>
      </c>
    </row>
    <row r="31639" spans="8:8" x14ac:dyDescent="0.3">
      <c r="H31639" t="str">
        <f t="shared" ref="H31639:H31702" si="544">IF(B31639="","",$C$12)</f>
        <v/>
      </c>
    </row>
    <row r="31640" spans="8:8" x14ac:dyDescent="0.3">
      <c r="H31640" t="str">
        <f t="shared" si="544"/>
        <v/>
      </c>
    </row>
    <row r="31641" spans="8:8" x14ac:dyDescent="0.3">
      <c r="H31641" t="str">
        <f t="shared" si="544"/>
        <v/>
      </c>
    </row>
    <row r="31642" spans="8:8" x14ac:dyDescent="0.3">
      <c r="H31642" t="str">
        <f t="shared" si="544"/>
        <v/>
      </c>
    </row>
    <row r="31643" spans="8:8" x14ac:dyDescent="0.3">
      <c r="H31643" t="str">
        <f t="shared" si="544"/>
        <v/>
      </c>
    </row>
    <row r="31644" spans="8:8" x14ac:dyDescent="0.3">
      <c r="H31644" t="str">
        <f t="shared" si="544"/>
        <v/>
      </c>
    </row>
    <row r="31645" spans="8:8" x14ac:dyDescent="0.3">
      <c r="H31645" t="str">
        <f t="shared" si="544"/>
        <v/>
      </c>
    </row>
    <row r="31646" spans="8:8" x14ac:dyDescent="0.3">
      <c r="H31646" t="str">
        <f t="shared" si="544"/>
        <v/>
      </c>
    </row>
    <row r="31647" spans="8:8" x14ac:dyDescent="0.3">
      <c r="H31647" t="str">
        <f t="shared" si="544"/>
        <v/>
      </c>
    </row>
    <row r="31648" spans="8:8" x14ac:dyDescent="0.3">
      <c r="H31648" t="str">
        <f t="shared" si="544"/>
        <v/>
      </c>
    </row>
    <row r="31649" spans="8:8" x14ac:dyDescent="0.3">
      <c r="H31649" t="str">
        <f t="shared" si="544"/>
        <v/>
      </c>
    </row>
    <row r="31650" spans="8:8" x14ac:dyDescent="0.3">
      <c r="H31650" t="str">
        <f t="shared" si="544"/>
        <v/>
      </c>
    </row>
    <row r="31651" spans="8:8" x14ac:dyDescent="0.3">
      <c r="H31651" t="str">
        <f t="shared" si="544"/>
        <v/>
      </c>
    </row>
    <row r="31652" spans="8:8" x14ac:dyDescent="0.3">
      <c r="H31652" t="str">
        <f t="shared" si="544"/>
        <v/>
      </c>
    </row>
    <row r="31653" spans="8:8" x14ac:dyDescent="0.3">
      <c r="H31653" t="str">
        <f t="shared" si="544"/>
        <v/>
      </c>
    </row>
    <row r="31654" spans="8:8" x14ac:dyDescent="0.3">
      <c r="H31654" t="str">
        <f t="shared" si="544"/>
        <v/>
      </c>
    </row>
    <row r="31655" spans="8:8" x14ac:dyDescent="0.3">
      <c r="H31655" t="str">
        <f t="shared" si="544"/>
        <v/>
      </c>
    </row>
    <row r="31656" spans="8:8" x14ac:dyDescent="0.3">
      <c r="H31656" t="str">
        <f t="shared" si="544"/>
        <v/>
      </c>
    </row>
    <row r="31657" spans="8:8" x14ac:dyDescent="0.3">
      <c r="H31657" t="str">
        <f t="shared" si="544"/>
        <v/>
      </c>
    </row>
    <row r="31658" spans="8:8" x14ac:dyDescent="0.3">
      <c r="H31658" t="str">
        <f t="shared" si="544"/>
        <v/>
      </c>
    </row>
    <row r="31659" spans="8:8" x14ac:dyDescent="0.3">
      <c r="H31659" t="str">
        <f t="shared" si="544"/>
        <v/>
      </c>
    </row>
    <row r="31660" spans="8:8" x14ac:dyDescent="0.3">
      <c r="H31660" t="str">
        <f t="shared" si="544"/>
        <v/>
      </c>
    </row>
    <row r="31661" spans="8:8" x14ac:dyDescent="0.3">
      <c r="H31661" t="str">
        <f t="shared" si="544"/>
        <v/>
      </c>
    </row>
    <row r="31662" spans="8:8" x14ac:dyDescent="0.3">
      <c r="H31662" t="str">
        <f t="shared" si="544"/>
        <v/>
      </c>
    </row>
    <row r="31663" spans="8:8" x14ac:dyDescent="0.3">
      <c r="H31663" t="str">
        <f t="shared" si="544"/>
        <v/>
      </c>
    </row>
    <row r="31664" spans="8:8" x14ac:dyDescent="0.3">
      <c r="H31664" t="str">
        <f t="shared" si="544"/>
        <v/>
      </c>
    </row>
    <row r="31665" spans="8:8" x14ac:dyDescent="0.3">
      <c r="H31665" t="str">
        <f t="shared" si="544"/>
        <v/>
      </c>
    </row>
    <row r="31666" spans="8:8" x14ac:dyDescent="0.3">
      <c r="H31666" t="str">
        <f t="shared" si="544"/>
        <v/>
      </c>
    </row>
    <row r="31667" spans="8:8" x14ac:dyDescent="0.3">
      <c r="H31667" t="str">
        <f t="shared" si="544"/>
        <v/>
      </c>
    </row>
    <row r="31668" spans="8:8" x14ac:dyDescent="0.3">
      <c r="H31668" t="str">
        <f t="shared" si="544"/>
        <v/>
      </c>
    </row>
    <row r="31669" spans="8:8" x14ac:dyDescent="0.3">
      <c r="H31669" t="str">
        <f t="shared" si="544"/>
        <v/>
      </c>
    </row>
    <row r="31670" spans="8:8" x14ac:dyDescent="0.3">
      <c r="H31670" t="str">
        <f t="shared" si="544"/>
        <v/>
      </c>
    </row>
    <row r="31671" spans="8:8" x14ac:dyDescent="0.3">
      <c r="H31671" t="str">
        <f t="shared" si="544"/>
        <v/>
      </c>
    </row>
    <row r="31672" spans="8:8" x14ac:dyDescent="0.3">
      <c r="H31672" t="str">
        <f t="shared" si="544"/>
        <v/>
      </c>
    </row>
    <row r="31673" spans="8:8" x14ac:dyDescent="0.3">
      <c r="H31673" t="str">
        <f t="shared" si="544"/>
        <v/>
      </c>
    </row>
    <row r="31674" spans="8:8" x14ac:dyDescent="0.3">
      <c r="H31674" t="str">
        <f t="shared" si="544"/>
        <v/>
      </c>
    </row>
    <row r="31675" spans="8:8" x14ac:dyDescent="0.3">
      <c r="H31675" t="str">
        <f t="shared" si="544"/>
        <v/>
      </c>
    </row>
    <row r="31676" spans="8:8" x14ac:dyDescent="0.3">
      <c r="H31676" t="str">
        <f t="shared" si="544"/>
        <v/>
      </c>
    </row>
    <row r="31677" spans="8:8" x14ac:dyDescent="0.3">
      <c r="H31677" t="str">
        <f t="shared" si="544"/>
        <v/>
      </c>
    </row>
    <row r="31678" spans="8:8" x14ac:dyDescent="0.3">
      <c r="H31678" t="str">
        <f t="shared" si="544"/>
        <v/>
      </c>
    </row>
    <row r="31679" spans="8:8" x14ac:dyDescent="0.3">
      <c r="H31679" t="str">
        <f t="shared" si="544"/>
        <v/>
      </c>
    </row>
    <row r="31680" spans="8:8" x14ac:dyDescent="0.3">
      <c r="H31680" t="str">
        <f t="shared" si="544"/>
        <v/>
      </c>
    </row>
    <row r="31681" spans="8:8" x14ac:dyDescent="0.3">
      <c r="H31681" t="str">
        <f t="shared" si="544"/>
        <v/>
      </c>
    </row>
    <row r="31682" spans="8:8" x14ac:dyDescent="0.3">
      <c r="H31682" t="str">
        <f t="shared" si="544"/>
        <v/>
      </c>
    </row>
    <row r="31683" spans="8:8" x14ac:dyDescent="0.3">
      <c r="H31683" t="str">
        <f t="shared" si="544"/>
        <v/>
      </c>
    </row>
    <row r="31684" spans="8:8" x14ac:dyDescent="0.3">
      <c r="H31684" t="str">
        <f t="shared" si="544"/>
        <v/>
      </c>
    </row>
    <row r="31685" spans="8:8" x14ac:dyDescent="0.3">
      <c r="H31685" t="str">
        <f t="shared" si="544"/>
        <v/>
      </c>
    </row>
    <row r="31686" spans="8:8" x14ac:dyDescent="0.3">
      <c r="H31686" t="str">
        <f t="shared" si="544"/>
        <v/>
      </c>
    </row>
    <row r="31687" spans="8:8" x14ac:dyDescent="0.3">
      <c r="H31687" t="str">
        <f t="shared" si="544"/>
        <v/>
      </c>
    </row>
    <row r="31688" spans="8:8" x14ac:dyDescent="0.3">
      <c r="H31688" t="str">
        <f t="shared" si="544"/>
        <v/>
      </c>
    </row>
    <row r="31689" spans="8:8" x14ac:dyDescent="0.3">
      <c r="H31689" t="str">
        <f t="shared" si="544"/>
        <v/>
      </c>
    </row>
    <row r="31690" spans="8:8" x14ac:dyDescent="0.3">
      <c r="H31690" t="str">
        <f t="shared" si="544"/>
        <v/>
      </c>
    </row>
    <row r="31691" spans="8:8" x14ac:dyDescent="0.3">
      <c r="H31691" t="str">
        <f t="shared" si="544"/>
        <v/>
      </c>
    </row>
    <row r="31692" spans="8:8" x14ac:dyDescent="0.3">
      <c r="H31692" t="str">
        <f t="shared" si="544"/>
        <v/>
      </c>
    </row>
    <row r="31693" spans="8:8" x14ac:dyDescent="0.3">
      <c r="H31693" t="str">
        <f t="shared" si="544"/>
        <v/>
      </c>
    </row>
    <row r="31694" spans="8:8" x14ac:dyDescent="0.3">
      <c r="H31694" t="str">
        <f t="shared" si="544"/>
        <v/>
      </c>
    </row>
    <row r="31695" spans="8:8" x14ac:dyDescent="0.3">
      <c r="H31695" t="str">
        <f t="shared" si="544"/>
        <v/>
      </c>
    </row>
    <row r="31696" spans="8:8" x14ac:dyDescent="0.3">
      <c r="H31696" t="str">
        <f t="shared" si="544"/>
        <v/>
      </c>
    </row>
    <row r="31697" spans="8:8" x14ac:dyDescent="0.3">
      <c r="H31697" t="str">
        <f t="shared" si="544"/>
        <v/>
      </c>
    </row>
    <row r="31698" spans="8:8" x14ac:dyDescent="0.3">
      <c r="H31698" t="str">
        <f t="shared" si="544"/>
        <v/>
      </c>
    </row>
    <row r="31699" spans="8:8" x14ac:dyDescent="0.3">
      <c r="H31699" t="str">
        <f t="shared" si="544"/>
        <v/>
      </c>
    </row>
    <row r="31700" spans="8:8" x14ac:dyDescent="0.3">
      <c r="H31700" t="str">
        <f t="shared" si="544"/>
        <v/>
      </c>
    </row>
    <row r="31701" spans="8:8" x14ac:dyDescent="0.3">
      <c r="H31701" t="str">
        <f t="shared" si="544"/>
        <v/>
      </c>
    </row>
    <row r="31702" spans="8:8" x14ac:dyDescent="0.3">
      <c r="H31702" t="str">
        <f t="shared" si="544"/>
        <v/>
      </c>
    </row>
    <row r="31703" spans="8:8" x14ac:dyDescent="0.3">
      <c r="H31703" t="str">
        <f t="shared" ref="H31703:H31766" si="545">IF(B31703="","",$C$12)</f>
        <v/>
      </c>
    </row>
    <row r="31704" spans="8:8" x14ac:dyDescent="0.3">
      <c r="H31704" t="str">
        <f t="shared" si="545"/>
        <v/>
      </c>
    </row>
    <row r="31705" spans="8:8" x14ac:dyDescent="0.3">
      <c r="H31705" t="str">
        <f t="shared" si="545"/>
        <v/>
      </c>
    </row>
    <row r="31706" spans="8:8" x14ac:dyDescent="0.3">
      <c r="H31706" t="str">
        <f t="shared" si="545"/>
        <v/>
      </c>
    </row>
    <row r="31707" spans="8:8" x14ac:dyDescent="0.3">
      <c r="H31707" t="str">
        <f t="shared" si="545"/>
        <v/>
      </c>
    </row>
    <row r="31708" spans="8:8" x14ac:dyDescent="0.3">
      <c r="H31708" t="str">
        <f t="shared" si="545"/>
        <v/>
      </c>
    </row>
    <row r="31709" spans="8:8" x14ac:dyDescent="0.3">
      <c r="H31709" t="str">
        <f t="shared" si="545"/>
        <v/>
      </c>
    </row>
    <row r="31710" spans="8:8" x14ac:dyDescent="0.3">
      <c r="H31710" t="str">
        <f t="shared" si="545"/>
        <v/>
      </c>
    </row>
    <row r="31711" spans="8:8" x14ac:dyDescent="0.3">
      <c r="H31711" t="str">
        <f t="shared" si="545"/>
        <v/>
      </c>
    </row>
    <row r="31712" spans="8:8" x14ac:dyDescent="0.3">
      <c r="H31712" t="str">
        <f t="shared" si="545"/>
        <v/>
      </c>
    </row>
    <row r="31713" spans="8:8" x14ac:dyDescent="0.3">
      <c r="H31713" t="str">
        <f t="shared" si="545"/>
        <v/>
      </c>
    </row>
    <row r="31714" spans="8:8" x14ac:dyDescent="0.3">
      <c r="H31714" t="str">
        <f t="shared" si="545"/>
        <v/>
      </c>
    </row>
    <row r="31715" spans="8:8" x14ac:dyDescent="0.3">
      <c r="H31715" t="str">
        <f t="shared" si="545"/>
        <v/>
      </c>
    </row>
    <row r="31716" spans="8:8" x14ac:dyDescent="0.3">
      <c r="H31716" t="str">
        <f t="shared" si="545"/>
        <v/>
      </c>
    </row>
    <row r="31717" spans="8:8" x14ac:dyDescent="0.3">
      <c r="H31717" t="str">
        <f t="shared" si="545"/>
        <v/>
      </c>
    </row>
    <row r="31718" spans="8:8" x14ac:dyDescent="0.3">
      <c r="H31718" t="str">
        <f t="shared" si="545"/>
        <v/>
      </c>
    </row>
    <row r="31719" spans="8:8" x14ac:dyDescent="0.3">
      <c r="H31719" t="str">
        <f t="shared" si="545"/>
        <v/>
      </c>
    </row>
    <row r="31720" spans="8:8" x14ac:dyDescent="0.3">
      <c r="H31720" t="str">
        <f t="shared" si="545"/>
        <v/>
      </c>
    </row>
    <row r="31721" spans="8:8" x14ac:dyDescent="0.3">
      <c r="H31721" t="str">
        <f t="shared" si="545"/>
        <v/>
      </c>
    </row>
    <row r="31722" spans="8:8" x14ac:dyDescent="0.3">
      <c r="H31722" t="str">
        <f t="shared" si="545"/>
        <v/>
      </c>
    </row>
    <row r="31723" spans="8:8" x14ac:dyDescent="0.3">
      <c r="H31723" t="str">
        <f t="shared" si="545"/>
        <v/>
      </c>
    </row>
    <row r="31724" spans="8:8" x14ac:dyDescent="0.3">
      <c r="H31724" t="str">
        <f t="shared" si="545"/>
        <v/>
      </c>
    </row>
    <row r="31725" spans="8:8" x14ac:dyDescent="0.3">
      <c r="H31725" t="str">
        <f t="shared" si="545"/>
        <v/>
      </c>
    </row>
    <row r="31726" spans="8:8" x14ac:dyDescent="0.3">
      <c r="H31726" t="str">
        <f t="shared" si="545"/>
        <v/>
      </c>
    </row>
    <row r="31727" spans="8:8" x14ac:dyDescent="0.3">
      <c r="H31727" t="str">
        <f t="shared" si="545"/>
        <v/>
      </c>
    </row>
    <row r="31728" spans="8:8" x14ac:dyDescent="0.3">
      <c r="H31728" t="str">
        <f t="shared" si="545"/>
        <v/>
      </c>
    </row>
    <row r="31729" spans="8:8" x14ac:dyDescent="0.3">
      <c r="H31729" t="str">
        <f t="shared" si="545"/>
        <v/>
      </c>
    </row>
    <row r="31730" spans="8:8" x14ac:dyDescent="0.3">
      <c r="H31730" t="str">
        <f t="shared" si="545"/>
        <v/>
      </c>
    </row>
    <row r="31731" spans="8:8" x14ac:dyDescent="0.3">
      <c r="H31731" t="str">
        <f t="shared" si="545"/>
        <v/>
      </c>
    </row>
    <row r="31732" spans="8:8" x14ac:dyDescent="0.3">
      <c r="H31732" t="str">
        <f t="shared" si="545"/>
        <v/>
      </c>
    </row>
    <row r="31733" spans="8:8" x14ac:dyDescent="0.3">
      <c r="H31733" t="str">
        <f t="shared" si="545"/>
        <v/>
      </c>
    </row>
    <row r="31734" spans="8:8" x14ac:dyDescent="0.3">
      <c r="H31734" t="str">
        <f t="shared" si="545"/>
        <v/>
      </c>
    </row>
    <row r="31735" spans="8:8" x14ac:dyDescent="0.3">
      <c r="H31735" t="str">
        <f t="shared" si="545"/>
        <v/>
      </c>
    </row>
    <row r="31736" spans="8:8" x14ac:dyDescent="0.3">
      <c r="H31736" t="str">
        <f t="shared" si="545"/>
        <v/>
      </c>
    </row>
    <row r="31737" spans="8:8" x14ac:dyDescent="0.3">
      <c r="H31737" t="str">
        <f t="shared" si="545"/>
        <v/>
      </c>
    </row>
    <row r="31738" spans="8:8" x14ac:dyDescent="0.3">
      <c r="H31738" t="str">
        <f t="shared" si="545"/>
        <v/>
      </c>
    </row>
    <row r="31739" spans="8:8" x14ac:dyDescent="0.3">
      <c r="H31739" t="str">
        <f t="shared" si="545"/>
        <v/>
      </c>
    </row>
    <row r="31740" spans="8:8" x14ac:dyDescent="0.3">
      <c r="H31740" t="str">
        <f t="shared" si="545"/>
        <v/>
      </c>
    </row>
    <row r="31741" spans="8:8" x14ac:dyDescent="0.3">
      <c r="H31741" t="str">
        <f t="shared" si="545"/>
        <v/>
      </c>
    </row>
    <row r="31742" spans="8:8" x14ac:dyDescent="0.3">
      <c r="H31742" t="str">
        <f t="shared" si="545"/>
        <v/>
      </c>
    </row>
    <row r="31743" spans="8:8" x14ac:dyDescent="0.3">
      <c r="H31743" t="str">
        <f t="shared" si="545"/>
        <v/>
      </c>
    </row>
    <row r="31744" spans="8:8" x14ac:dyDescent="0.3">
      <c r="H31744" t="str">
        <f t="shared" si="545"/>
        <v/>
      </c>
    </row>
    <row r="31745" spans="8:8" x14ac:dyDescent="0.3">
      <c r="H31745" t="str">
        <f t="shared" si="545"/>
        <v/>
      </c>
    </row>
    <row r="31746" spans="8:8" x14ac:dyDescent="0.3">
      <c r="H31746" t="str">
        <f t="shared" si="545"/>
        <v/>
      </c>
    </row>
    <row r="31747" spans="8:8" x14ac:dyDescent="0.3">
      <c r="H31747" t="str">
        <f t="shared" si="545"/>
        <v/>
      </c>
    </row>
    <row r="31748" spans="8:8" x14ac:dyDescent="0.3">
      <c r="H31748" t="str">
        <f t="shared" si="545"/>
        <v/>
      </c>
    </row>
    <row r="31749" spans="8:8" x14ac:dyDescent="0.3">
      <c r="H31749" t="str">
        <f t="shared" si="545"/>
        <v/>
      </c>
    </row>
    <row r="31750" spans="8:8" x14ac:dyDescent="0.3">
      <c r="H31750" t="str">
        <f t="shared" si="545"/>
        <v/>
      </c>
    </row>
    <row r="31751" spans="8:8" x14ac:dyDescent="0.3">
      <c r="H31751" t="str">
        <f t="shared" si="545"/>
        <v/>
      </c>
    </row>
    <row r="31752" spans="8:8" x14ac:dyDescent="0.3">
      <c r="H31752" t="str">
        <f t="shared" si="545"/>
        <v/>
      </c>
    </row>
    <row r="31753" spans="8:8" x14ac:dyDescent="0.3">
      <c r="H31753" t="str">
        <f t="shared" si="545"/>
        <v/>
      </c>
    </row>
    <row r="31754" spans="8:8" x14ac:dyDescent="0.3">
      <c r="H31754" t="str">
        <f t="shared" si="545"/>
        <v/>
      </c>
    </row>
    <row r="31755" spans="8:8" x14ac:dyDescent="0.3">
      <c r="H31755" t="str">
        <f t="shared" si="545"/>
        <v/>
      </c>
    </row>
    <row r="31756" spans="8:8" x14ac:dyDescent="0.3">
      <c r="H31756" t="str">
        <f t="shared" si="545"/>
        <v/>
      </c>
    </row>
    <row r="31757" spans="8:8" x14ac:dyDescent="0.3">
      <c r="H31757" t="str">
        <f t="shared" si="545"/>
        <v/>
      </c>
    </row>
    <row r="31758" spans="8:8" x14ac:dyDescent="0.3">
      <c r="H31758" t="str">
        <f t="shared" si="545"/>
        <v/>
      </c>
    </row>
    <row r="31759" spans="8:8" x14ac:dyDescent="0.3">
      <c r="H31759" t="str">
        <f t="shared" si="545"/>
        <v/>
      </c>
    </row>
    <row r="31760" spans="8:8" x14ac:dyDescent="0.3">
      <c r="H31760" t="str">
        <f t="shared" si="545"/>
        <v/>
      </c>
    </row>
    <row r="31761" spans="8:8" x14ac:dyDescent="0.3">
      <c r="H31761" t="str">
        <f t="shared" si="545"/>
        <v/>
      </c>
    </row>
    <row r="31762" spans="8:8" x14ac:dyDescent="0.3">
      <c r="H31762" t="str">
        <f t="shared" si="545"/>
        <v/>
      </c>
    </row>
    <row r="31763" spans="8:8" x14ac:dyDescent="0.3">
      <c r="H31763" t="str">
        <f t="shared" si="545"/>
        <v/>
      </c>
    </row>
    <row r="31764" spans="8:8" x14ac:dyDescent="0.3">
      <c r="H31764" t="str">
        <f t="shared" si="545"/>
        <v/>
      </c>
    </row>
    <row r="31765" spans="8:8" x14ac:dyDescent="0.3">
      <c r="H31765" t="str">
        <f t="shared" si="545"/>
        <v/>
      </c>
    </row>
    <row r="31766" spans="8:8" x14ac:dyDescent="0.3">
      <c r="H31766" t="str">
        <f t="shared" si="545"/>
        <v/>
      </c>
    </row>
    <row r="31767" spans="8:8" x14ac:dyDescent="0.3">
      <c r="H31767" t="str">
        <f t="shared" ref="H31767:H31830" si="546">IF(B31767="","",$C$12)</f>
        <v/>
      </c>
    </row>
    <row r="31768" spans="8:8" x14ac:dyDescent="0.3">
      <c r="H31768" t="str">
        <f t="shared" si="546"/>
        <v/>
      </c>
    </row>
    <row r="31769" spans="8:8" x14ac:dyDescent="0.3">
      <c r="H31769" t="str">
        <f t="shared" si="546"/>
        <v/>
      </c>
    </row>
    <row r="31770" spans="8:8" x14ac:dyDescent="0.3">
      <c r="H31770" t="str">
        <f t="shared" si="546"/>
        <v/>
      </c>
    </row>
    <row r="31771" spans="8:8" x14ac:dyDescent="0.3">
      <c r="H31771" t="str">
        <f t="shared" si="546"/>
        <v/>
      </c>
    </row>
    <row r="31772" spans="8:8" x14ac:dyDescent="0.3">
      <c r="H31772" t="str">
        <f t="shared" si="546"/>
        <v/>
      </c>
    </row>
    <row r="31773" spans="8:8" x14ac:dyDescent="0.3">
      <c r="H31773" t="str">
        <f t="shared" si="546"/>
        <v/>
      </c>
    </row>
    <row r="31774" spans="8:8" x14ac:dyDescent="0.3">
      <c r="H31774" t="str">
        <f t="shared" si="546"/>
        <v/>
      </c>
    </row>
    <row r="31775" spans="8:8" x14ac:dyDescent="0.3">
      <c r="H31775" t="str">
        <f t="shared" si="546"/>
        <v/>
      </c>
    </row>
    <row r="31776" spans="8:8" x14ac:dyDescent="0.3">
      <c r="H31776" t="str">
        <f t="shared" si="546"/>
        <v/>
      </c>
    </row>
    <row r="31777" spans="8:8" x14ac:dyDescent="0.3">
      <c r="H31777" t="str">
        <f t="shared" si="546"/>
        <v/>
      </c>
    </row>
    <row r="31778" spans="8:8" x14ac:dyDescent="0.3">
      <c r="H31778" t="str">
        <f t="shared" si="546"/>
        <v/>
      </c>
    </row>
    <row r="31779" spans="8:8" x14ac:dyDescent="0.3">
      <c r="H31779" t="str">
        <f t="shared" si="546"/>
        <v/>
      </c>
    </row>
    <row r="31780" spans="8:8" x14ac:dyDescent="0.3">
      <c r="H31780" t="str">
        <f t="shared" si="546"/>
        <v/>
      </c>
    </row>
    <row r="31781" spans="8:8" x14ac:dyDescent="0.3">
      <c r="H31781" t="str">
        <f t="shared" si="546"/>
        <v/>
      </c>
    </row>
    <row r="31782" spans="8:8" x14ac:dyDescent="0.3">
      <c r="H31782" t="str">
        <f t="shared" si="546"/>
        <v/>
      </c>
    </row>
    <row r="31783" spans="8:8" x14ac:dyDescent="0.3">
      <c r="H31783" t="str">
        <f t="shared" si="546"/>
        <v/>
      </c>
    </row>
    <row r="31784" spans="8:8" x14ac:dyDescent="0.3">
      <c r="H31784" t="str">
        <f t="shared" si="546"/>
        <v/>
      </c>
    </row>
    <row r="31785" spans="8:8" x14ac:dyDescent="0.3">
      <c r="H31785" t="str">
        <f t="shared" si="546"/>
        <v/>
      </c>
    </row>
    <row r="31786" spans="8:8" x14ac:dyDescent="0.3">
      <c r="H31786" t="str">
        <f t="shared" si="546"/>
        <v/>
      </c>
    </row>
    <row r="31787" spans="8:8" x14ac:dyDescent="0.3">
      <c r="H31787" t="str">
        <f t="shared" si="546"/>
        <v/>
      </c>
    </row>
    <row r="31788" spans="8:8" x14ac:dyDescent="0.3">
      <c r="H31788" t="str">
        <f t="shared" si="546"/>
        <v/>
      </c>
    </row>
    <row r="31789" spans="8:8" x14ac:dyDescent="0.3">
      <c r="H31789" t="str">
        <f t="shared" si="546"/>
        <v/>
      </c>
    </row>
    <row r="31790" spans="8:8" x14ac:dyDescent="0.3">
      <c r="H31790" t="str">
        <f t="shared" si="546"/>
        <v/>
      </c>
    </row>
    <row r="31791" spans="8:8" x14ac:dyDescent="0.3">
      <c r="H31791" t="str">
        <f t="shared" si="546"/>
        <v/>
      </c>
    </row>
    <row r="31792" spans="8:8" x14ac:dyDescent="0.3">
      <c r="H31792" t="str">
        <f t="shared" si="546"/>
        <v/>
      </c>
    </row>
    <row r="31793" spans="8:8" x14ac:dyDescent="0.3">
      <c r="H31793" t="str">
        <f t="shared" si="546"/>
        <v/>
      </c>
    </row>
    <row r="31794" spans="8:8" x14ac:dyDescent="0.3">
      <c r="H31794" t="str">
        <f t="shared" si="546"/>
        <v/>
      </c>
    </row>
    <row r="31795" spans="8:8" x14ac:dyDescent="0.3">
      <c r="H31795" t="str">
        <f t="shared" si="546"/>
        <v/>
      </c>
    </row>
    <row r="31796" spans="8:8" x14ac:dyDescent="0.3">
      <c r="H31796" t="str">
        <f t="shared" si="546"/>
        <v/>
      </c>
    </row>
    <row r="31797" spans="8:8" x14ac:dyDescent="0.3">
      <c r="H31797" t="str">
        <f t="shared" si="546"/>
        <v/>
      </c>
    </row>
    <row r="31798" spans="8:8" x14ac:dyDescent="0.3">
      <c r="H31798" t="str">
        <f t="shared" si="546"/>
        <v/>
      </c>
    </row>
    <row r="31799" spans="8:8" x14ac:dyDescent="0.3">
      <c r="H31799" t="str">
        <f t="shared" si="546"/>
        <v/>
      </c>
    </row>
    <row r="31800" spans="8:8" x14ac:dyDescent="0.3">
      <c r="H31800" t="str">
        <f t="shared" si="546"/>
        <v/>
      </c>
    </row>
    <row r="31801" spans="8:8" x14ac:dyDescent="0.3">
      <c r="H31801" t="str">
        <f t="shared" si="546"/>
        <v/>
      </c>
    </row>
    <row r="31802" spans="8:8" x14ac:dyDescent="0.3">
      <c r="H31802" t="str">
        <f t="shared" si="546"/>
        <v/>
      </c>
    </row>
    <row r="31803" spans="8:8" x14ac:dyDescent="0.3">
      <c r="H31803" t="str">
        <f t="shared" si="546"/>
        <v/>
      </c>
    </row>
    <row r="31804" spans="8:8" x14ac:dyDescent="0.3">
      <c r="H31804" t="str">
        <f t="shared" si="546"/>
        <v/>
      </c>
    </row>
    <row r="31805" spans="8:8" x14ac:dyDescent="0.3">
      <c r="H31805" t="str">
        <f t="shared" si="546"/>
        <v/>
      </c>
    </row>
    <row r="31806" spans="8:8" x14ac:dyDescent="0.3">
      <c r="H31806" t="str">
        <f t="shared" si="546"/>
        <v/>
      </c>
    </row>
    <row r="31807" spans="8:8" x14ac:dyDescent="0.3">
      <c r="H31807" t="str">
        <f t="shared" si="546"/>
        <v/>
      </c>
    </row>
    <row r="31808" spans="8:8" x14ac:dyDescent="0.3">
      <c r="H31808" t="str">
        <f t="shared" si="546"/>
        <v/>
      </c>
    </row>
    <row r="31809" spans="8:8" x14ac:dyDescent="0.3">
      <c r="H31809" t="str">
        <f t="shared" si="546"/>
        <v/>
      </c>
    </row>
    <row r="31810" spans="8:8" x14ac:dyDescent="0.3">
      <c r="H31810" t="str">
        <f t="shared" si="546"/>
        <v/>
      </c>
    </row>
    <row r="31811" spans="8:8" x14ac:dyDescent="0.3">
      <c r="H31811" t="str">
        <f t="shared" si="546"/>
        <v/>
      </c>
    </row>
    <row r="31812" spans="8:8" x14ac:dyDescent="0.3">
      <c r="H31812" t="str">
        <f t="shared" si="546"/>
        <v/>
      </c>
    </row>
    <row r="31813" spans="8:8" x14ac:dyDescent="0.3">
      <c r="H31813" t="str">
        <f t="shared" si="546"/>
        <v/>
      </c>
    </row>
    <row r="31814" spans="8:8" x14ac:dyDescent="0.3">
      <c r="H31814" t="str">
        <f t="shared" si="546"/>
        <v/>
      </c>
    </row>
    <row r="31815" spans="8:8" x14ac:dyDescent="0.3">
      <c r="H31815" t="str">
        <f t="shared" si="546"/>
        <v/>
      </c>
    </row>
    <row r="31816" spans="8:8" x14ac:dyDescent="0.3">
      <c r="H31816" t="str">
        <f t="shared" si="546"/>
        <v/>
      </c>
    </row>
    <row r="31817" spans="8:8" x14ac:dyDescent="0.3">
      <c r="H31817" t="str">
        <f t="shared" si="546"/>
        <v/>
      </c>
    </row>
    <row r="31818" spans="8:8" x14ac:dyDescent="0.3">
      <c r="H31818" t="str">
        <f t="shared" si="546"/>
        <v/>
      </c>
    </row>
    <row r="31819" spans="8:8" x14ac:dyDescent="0.3">
      <c r="H31819" t="str">
        <f t="shared" si="546"/>
        <v/>
      </c>
    </row>
    <row r="31820" spans="8:8" x14ac:dyDescent="0.3">
      <c r="H31820" t="str">
        <f t="shared" si="546"/>
        <v/>
      </c>
    </row>
    <row r="31821" spans="8:8" x14ac:dyDescent="0.3">
      <c r="H31821" t="str">
        <f t="shared" si="546"/>
        <v/>
      </c>
    </row>
    <row r="31822" spans="8:8" x14ac:dyDescent="0.3">
      <c r="H31822" t="str">
        <f t="shared" si="546"/>
        <v/>
      </c>
    </row>
    <row r="31823" spans="8:8" x14ac:dyDescent="0.3">
      <c r="H31823" t="str">
        <f t="shared" si="546"/>
        <v/>
      </c>
    </row>
    <row r="31824" spans="8:8" x14ac:dyDescent="0.3">
      <c r="H31824" t="str">
        <f t="shared" si="546"/>
        <v/>
      </c>
    </row>
    <row r="31825" spans="8:8" x14ac:dyDescent="0.3">
      <c r="H31825" t="str">
        <f t="shared" si="546"/>
        <v/>
      </c>
    </row>
    <row r="31826" spans="8:8" x14ac:dyDescent="0.3">
      <c r="H31826" t="str">
        <f t="shared" si="546"/>
        <v/>
      </c>
    </row>
    <row r="31827" spans="8:8" x14ac:dyDescent="0.3">
      <c r="H31827" t="str">
        <f t="shared" si="546"/>
        <v/>
      </c>
    </row>
    <row r="31828" spans="8:8" x14ac:dyDescent="0.3">
      <c r="H31828" t="str">
        <f t="shared" si="546"/>
        <v/>
      </c>
    </row>
    <row r="31829" spans="8:8" x14ac:dyDescent="0.3">
      <c r="H31829" t="str">
        <f t="shared" si="546"/>
        <v/>
      </c>
    </row>
    <row r="31830" spans="8:8" x14ac:dyDescent="0.3">
      <c r="H31830" t="str">
        <f t="shared" si="546"/>
        <v/>
      </c>
    </row>
    <row r="31831" spans="8:8" x14ac:dyDescent="0.3">
      <c r="H31831" t="str">
        <f t="shared" ref="H31831:H31894" si="547">IF(B31831="","",$C$12)</f>
        <v/>
      </c>
    </row>
    <row r="31832" spans="8:8" x14ac:dyDescent="0.3">
      <c r="H31832" t="str">
        <f t="shared" si="547"/>
        <v/>
      </c>
    </row>
    <row r="31833" spans="8:8" x14ac:dyDescent="0.3">
      <c r="H31833" t="str">
        <f t="shared" si="547"/>
        <v/>
      </c>
    </row>
    <row r="31834" spans="8:8" x14ac:dyDescent="0.3">
      <c r="H31834" t="str">
        <f t="shared" si="547"/>
        <v/>
      </c>
    </row>
    <row r="31835" spans="8:8" x14ac:dyDescent="0.3">
      <c r="H31835" t="str">
        <f t="shared" si="547"/>
        <v/>
      </c>
    </row>
    <row r="31836" spans="8:8" x14ac:dyDescent="0.3">
      <c r="H31836" t="str">
        <f t="shared" si="547"/>
        <v/>
      </c>
    </row>
    <row r="31837" spans="8:8" x14ac:dyDescent="0.3">
      <c r="H31837" t="str">
        <f t="shared" si="547"/>
        <v/>
      </c>
    </row>
    <row r="31838" spans="8:8" x14ac:dyDescent="0.3">
      <c r="H31838" t="str">
        <f t="shared" si="547"/>
        <v/>
      </c>
    </row>
    <row r="31839" spans="8:8" x14ac:dyDescent="0.3">
      <c r="H31839" t="str">
        <f t="shared" si="547"/>
        <v/>
      </c>
    </row>
    <row r="31840" spans="8:8" x14ac:dyDescent="0.3">
      <c r="H31840" t="str">
        <f t="shared" si="547"/>
        <v/>
      </c>
    </row>
    <row r="31841" spans="8:8" x14ac:dyDescent="0.3">
      <c r="H31841" t="str">
        <f t="shared" si="547"/>
        <v/>
      </c>
    </row>
    <row r="31842" spans="8:8" x14ac:dyDescent="0.3">
      <c r="H31842" t="str">
        <f t="shared" si="547"/>
        <v/>
      </c>
    </row>
    <row r="31843" spans="8:8" x14ac:dyDescent="0.3">
      <c r="H31843" t="str">
        <f t="shared" si="547"/>
        <v/>
      </c>
    </row>
    <row r="31844" spans="8:8" x14ac:dyDescent="0.3">
      <c r="H31844" t="str">
        <f t="shared" si="547"/>
        <v/>
      </c>
    </row>
    <row r="31845" spans="8:8" x14ac:dyDescent="0.3">
      <c r="H31845" t="str">
        <f t="shared" si="547"/>
        <v/>
      </c>
    </row>
    <row r="31846" spans="8:8" x14ac:dyDescent="0.3">
      <c r="H31846" t="str">
        <f t="shared" si="547"/>
        <v/>
      </c>
    </row>
    <row r="31847" spans="8:8" x14ac:dyDescent="0.3">
      <c r="H31847" t="str">
        <f t="shared" si="547"/>
        <v/>
      </c>
    </row>
    <row r="31848" spans="8:8" x14ac:dyDescent="0.3">
      <c r="H31848" t="str">
        <f t="shared" si="547"/>
        <v/>
      </c>
    </row>
    <row r="31849" spans="8:8" x14ac:dyDescent="0.3">
      <c r="H31849" t="str">
        <f t="shared" si="547"/>
        <v/>
      </c>
    </row>
    <row r="31850" spans="8:8" x14ac:dyDescent="0.3">
      <c r="H31850" t="str">
        <f t="shared" si="547"/>
        <v/>
      </c>
    </row>
    <row r="31851" spans="8:8" x14ac:dyDescent="0.3">
      <c r="H31851" t="str">
        <f t="shared" si="547"/>
        <v/>
      </c>
    </row>
    <row r="31852" spans="8:8" x14ac:dyDescent="0.3">
      <c r="H31852" t="str">
        <f t="shared" si="547"/>
        <v/>
      </c>
    </row>
    <row r="31853" spans="8:8" x14ac:dyDescent="0.3">
      <c r="H31853" t="str">
        <f t="shared" si="547"/>
        <v/>
      </c>
    </row>
    <row r="31854" spans="8:8" x14ac:dyDescent="0.3">
      <c r="H31854" t="str">
        <f t="shared" si="547"/>
        <v/>
      </c>
    </row>
    <row r="31855" spans="8:8" x14ac:dyDescent="0.3">
      <c r="H31855" t="str">
        <f t="shared" si="547"/>
        <v/>
      </c>
    </row>
    <row r="31856" spans="8:8" x14ac:dyDescent="0.3">
      <c r="H31856" t="str">
        <f t="shared" si="547"/>
        <v/>
      </c>
    </row>
    <row r="31857" spans="8:8" x14ac:dyDescent="0.3">
      <c r="H31857" t="str">
        <f t="shared" si="547"/>
        <v/>
      </c>
    </row>
    <row r="31858" spans="8:8" x14ac:dyDescent="0.3">
      <c r="H31858" t="str">
        <f t="shared" si="547"/>
        <v/>
      </c>
    </row>
    <row r="31859" spans="8:8" x14ac:dyDescent="0.3">
      <c r="H31859" t="str">
        <f t="shared" si="547"/>
        <v/>
      </c>
    </row>
    <row r="31860" spans="8:8" x14ac:dyDescent="0.3">
      <c r="H31860" t="str">
        <f t="shared" si="547"/>
        <v/>
      </c>
    </row>
    <row r="31861" spans="8:8" x14ac:dyDescent="0.3">
      <c r="H31861" t="str">
        <f t="shared" si="547"/>
        <v/>
      </c>
    </row>
    <row r="31862" spans="8:8" x14ac:dyDescent="0.3">
      <c r="H31862" t="str">
        <f t="shared" si="547"/>
        <v/>
      </c>
    </row>
    <row r="31863" spans="8:8" x14ac:dyDescent="0.3">
      <c r="H31863" t="str">
        <f t="shared" si="547"/>
        <v/>
      </c>
    </row>
    <row r="31864" spans="8:8" x14ac:dyDescent="0.3">
      <c r="H31864" t="str">
        <f t="shared" si="547"/>
        <v/>
      </c>
    </row>
    <row r="31865" spans="8:8" x14ac:dyDescent="0.3">
      <c r="H31865" t="str">
        <f t="shared" si="547"/>
        <v/>
      </c>
    </row>
    <row r="31866" spans="8:8" x14ac:dyDescent="0.3">
      <c r="H31866" t="str">
        <f t="shared" si="547"/>
        <v/>
      </c>
    </row>
    <row r="31867" spans="8:8" x14ac:dyDescent="0.3">
      <c r="H31867" t="str">
        <f t="shared" si="547"/>
        <v/>
      </c>
    </row>
    <row r="31868" spans="8:8" x14ac:dyDescent="0.3">
      <c r="H31868" t="str">
        <f t="shared" si="547"/>
        <v/>
      </c>
    </row>
    <row r="31869" spans="8:8" x14ac:dyDescent="0.3">
      <c r="H31869" t="str">
        <f t="shared" si="547"/>
        <v/>
      </c>
    </row>
    <row r="31870" spans="8:8" x14ac:dyDescent="0.3">
      <c r="H31870" t="str">
        <f t="shared" si="547"/>
        <v/>
      </c>
    </row>
    <row r="31871" spans="8:8" x14ac:dyDescent="0.3">
      <c r="H31871" t="str">
        <f t="shared" si="547"/>
        <v/>
      </c>
    </row>
    <row r="31872" spans="8:8" x14ac:dyDescent="0.3">
      <c r="H31872" t="str">
        <f t="shared" si="547"/>
        <v/>
      </c>
    </row>
    <row r="31873" spans="8:8" x14ac:dyDescent="0.3">
      <c r="H31873" t="str">
        <f t="shared" si="547"/>
        <v/>
      </c>
    </row>
    <row r="31874" spans="8:8" x14ac:dyDescent="0.3">
      <c r="H31874" t="str">
        <f t="shared" si="547"/>
        <v/>
      </c>
    </row>
    <row r="31875" spans="8:8" x14ac:dyDescent="0.3">
      <c r="H31875" t="str">
        <f t="shared" si="547"/>
        <v/>
      </c>
    </row>
    <row r="31876" spans="8:8" x14ac:dyDescent="0.3">
      <c r="H31876" t="str">
        <f t="shared" si="547"/>
        <v/>
      </c>
    </row>
    <row r="31877" spans="8:8" x14ac:dyDescent="0.3">
      <c r="H31877" t="str">
        <f t="shared" si="547"/>
        <v/>
      </c>
    </row>
    <row r="31878" spans="8:8" x14ac:dyDescent="0.3">
      <c r="H31878" t="str">
        <f t="shared" si="547"/>
        <v/>
      </c>
    </row>
    <row r="31879" spans="8:8" x14ac:dyDescent="0.3">
      <c r="H31879" t="str">
        <f t="shared" si="547"/>
        <v/>
      </c>
    </row>
    <row r="31880" spans="8:8" x14ac:dyDescent="0.3">
      <c r="H31880" t="str">
        <f t="shared" si="547"/>
        <v/>
      </c>
    </row>
    <row r="31881" spans="8:8" x14ac:dyDescent="0.3">
      <c r="H31881" t="str">
        <f t="shared" si="547"/>
        <v/>
      </c>
    </row>
    <row r="31882" spans="8:8" x14ac:dyDescent="0.3">
      <c r="H31882" t="str">
        <f t="shared" si="547"/>
        <v/>
      </c>
    </row>
    <row r="31883" spans="8:8" x14ac:dyDescent="0.3">
      <c r="H31883" t="str">
        <f t="shared" si="547"/>
        <v/>
      </c>
    </row>
    <row r="31884" spans="8:8" x14ac:dyDescent="0.3">
      <c r="H31884" t="str">
        <f t="shared" si="547"/>
        <v/>
      </c>
    </row>
    <row r="31885" spans="8:8" x14ac:dyDescent="0.3">
      <c r="H31885" t="str">
        <f t="shared" si="547"/>
        <v/>
      </c>
    </row>
    <row r="31886" spans="8:8" x14ac:dyDescent="0.3">
      <c r="H31886" t="str">
        <f t="shared" si="547"/>
        <v/>
      </c>
    </row>
    <row r="31887" spans="8:8" x14ac:dyDescent="0.3">
      <c r="H31887" t="str">
        <f t="shared" si="547"/>
        <v/>
      </c>
    </row>
    <row r="31888" spans="8:8" x14ac:dyDescent="0.3">
      <c r="H31888" t="str">
        <f t="shared" si="547"/>
        <v/>
      </c>
    </row>
    <row r="31889" spans="8:8" x14ac:dyDescent="0.3">
      <c r="H31889" t="str">
        <f t="shared" si="547"/>
        <v/>
      </c>
    </row>
    <row r="31890" spans="8:8" x14ac:dyDescent="0.3">
      <c r="H31890" t="str">
        <f t="shared" si="547"/>
        <v/>
      </c>
    </row>
    <row r="31891" spans="8:8" x14ac:dyDescent="0.3">
      <c r="H31891" t="str">
        <f t="shared" si="547"/>
        <v/>
      </c>
    </row>
    <row r="31892" spans="8:8" x14ac:dyDescent="0.3">
      <c r="H31892" t="str">
        <f t="shared" si="547"/>
        <v/>
      </c>
    </row>
    <row r="31893" spans="8:8" x14ac:dyDescent="0.3">
      <c r="H31893" t="str">
        <f t="shared" si="547"/>
        <v/>
      </c>
    </row>
    <row r="31894" spans="8:8" x14ac:dyDescent="0.3">
      <c r="H31894" t="str">
        <f t="shared" si="547"/>
        <v/>
      </c>
    </row>
    <row r="31895" spans="8:8" x14ac:dyDescent="0.3">
      <c r="H31895" t="str">
        <f t="shared" ref="H31895:H31958" si="548">IF(B31895="","",$C$12)</f>
        <v/>
      </c>
    </row>
    <row r="31896" spans="8:8" x14ac:dyDescent="0.3">
      <c r="H31896" t="str">
        <f t="shared" si="548"/>
        <v/>
      </c>
    </row>
    <row r="31897" spans="8:8" x14ac:dyDescent="0.3">
      <c r="H31897" t="str">
        <f t="shared" si="548"/>
        <v/>
      </c>
    </row>
    <row r="31898" spans="8:8" x14ac:dyDescent="0.3">
      <c r="H31898" t="str">
        <f t="shared" si="548"/>
        <v/>
      </c>
    </row>
    <row r="31899" spans="8:8" x14ac:dyDescent="0.3">
      <c r="H31899" t="str">
        <f t="shared" si="548"/>
        <v/>
      </c>
    </row>
    <row r="31900" spans="8:8" x14ac:dyDescent="0.3">
      <c r="H31900" t="str">
        <f t="shared" si="548"/>
        <v/>
      </c>
    </row>
    <row r="31901" spans="8:8" x14ac:dyDescent="0.3">
      <c r="H31901" t="str">
        <f t="shared" si="548"/>
        <v/>
      </c>
    </row>
    <row r="31902" spans="8:8" x14ac:dyDescent="0.3">
      <c r="H31902" t="str">
        <f t="shared" si="548"/>
        <v/>
      </c>
    </row>
    <row r="31903" spans="8:8" x14ac:dyDescent="0.3">
      <c r="H31903" t="str">
        <f t="shared" si="548"/>
        <v/>
      </c>
    </row>
    <row r="31904" spans="8:8" x14ac:dyDescent="0.3">
      <c r="H31904" t="str">
        <f t="shared" si="548"/>
        <v/>
      </c>
    </row>
    <row r="31905" spans="8:8" x14ac:dyDescent="0.3">
      <c r="H31905" t="str">
        <f t="shared" si="548"/>
        <v/>
      </c>
    </row>
    <row r="31906" spans="8:8" x14ac:dyDescent="0.3">
      <c r="H31906" t="str">
        <f t="shared" si="548"/>
        <v/>
      </c>
    </row>
    <row r="31907" spans="8:8" x14ac:dyDescent="0.3">
      <c r="H31907" t="str">
        <f t="shared" si="548"/>
        <v/>
      </c>
    </row>
    <row r="31908" spans="8:8" x14ac:dyDescent="0.3">
      <c r="H31908" t="str">
        <f t="shared" si="548"/>
        <v/>
      </c>
    </row>
    <row r="31909" spans="8:8" x14ac:dyDescent="0.3">
      <c r="H31909" t="str">
        <f t="shared" si="548"/>
        <v/>
      </c>
    </row>
    <row r="31910" spans="8:8" x14ac:dyDescent="0.3">
      <c r="H31910" t="str">
        <f t="shared" si="548"/>
        <v/>
      </c>
    </row>
    <row r="31911" spans="8:8" x14ac:dyDescent="0.3">
      <c r="H31911" t="str">
        <f t="shared" si="548"/>
        <v/>
      </c>
    </row>
    <row r="31912" spans="8:8" x14ac:dyDescent="0.3">
      <c r="H31912" t="str">
        <f t="shared" si="548"/>
        <v/>
      </c>
    </row>
    <row r="31913" spans="8:8" x14ac:dyDescent="0.3">
      <c r="H31913" t="str">
        <f t="shared" si="548"/>
        <v/>
      </c>
    </row>
    <row r="31914" spans="8:8" x14ac:dyDescent="0.3">
      <c r="H31914" t="str">
        <f t="shared" si="548"/>
        <v/>
      </c>
    </row>
    <row r="31915" spans="8:8" x14ac:dyDescent="0.3">
      <c r="H31915" t="str">
        <f t="shared" si="548"/>
        <v/>
      </c>
    </row>
    <row r="31916" spans="8:8" x14ac:dyDescent="0.3">
      <c r="H31916" t="str">
        <f t="shared" si="548"/>
        <v/>
      </c>
    </row>
    <row r="31917" spans="8:8" x14ac:dyDescent="0.3">
      <c r="H31917" t="str">
        <f t="shared" si="548"/>
        <v/>
      </c>
    </row>
    <row r="31918" spans="8:8" x14ac:dyDescent="0.3">
      <c r="H31918" t="str">
        <f t="shared" si="548"/>
        <v/>
      </c>
    </row>
    <row r="31919" spans="8:8" x14ac:dyDescent="0.3">
      <c r="H31919" t="str">
        <f t="shared" si="548"/>
        <v/>
      </c>
    </row>
    <row r="31920" spans="8:8" x14ac:dyDescent="0.3">
      <c r="H31920" t="str">
        <f t="shared" si="548"/>
        <v/>
      </c>
    </row>
    <row r="31921" spans="8:8" x14ac:dyDescent="0.3">
      <c r="H31921" t="str">
        <f t="shared" si="548"/>
        <v/>
      </c>
    </row>
    <row r="31922" spans="8:8" x14ac:dyDescent="0.3">
      <c r="H31922" t="str">
        <f t="shared" si="548"/>
        <v/>
      </c>
    </row>
    <row r="31923" spans="8:8" x14ac:dyDescent="0.3">
      <c r="H31923" t="str">
        <f t="shared" si="548"/>
        <v/>
      </c>
    </row>
    <row r="31924" spans="8:8" x14ac:dyDescent="0.3">
      <c r="H31924" t="str">
        <f t="shared" si="548"/>
        <v/>
      </c>
    </row>
    <row r="31925" spans="8:8" x14ac:dyDescent="0.3">
      <c r="H31925" t="str">
        <f t="shared" si="548"/>
        <v/>
      </c>
    </row>
    <row r="31926" spans="8:8" x14ac:dyDescent="0.3">
      <c r="H31926" t="str">
        <f t="shared" si="548"/>
        <v/>
      </c>
    </row>
    <row r="31927" spans="8:8" x14ac:dyDescent="0.3">
      <c r="H31927" t="str">
        <f t="shared" si="548"/>
        <v/>
      </c>
    </row>
    <row r="31928" spans="8:8" x14ac:dyDescent="0.3">
      <c r="H31928" t="str">
        <f t="shared" si="548"/>
        <v/>
      </c>
    </row>
    <row r="31929" spans="8:8" x14ac:dyDescent="0.3">
      <c r="H31929" t="str">
        <f t="shared" si="548"/>
        <v/>
      </c>
    </row>
    <row r="31930" spans="8:8" x14ac:dyDescent="0.3">
      <c r="H31930" t="str">
        <f t="shared" si="548"/>
        <v/>
      </c>
    </row>
    <row r="31931" spans="8:8" x14ac:dyDescent="0.3">
      <c r="H31931" t="str">
        <f t="shared" si="548"/>
        <v/>
      </c>
    </row>
    <row r="31932" spans="8:8" x14ac:dyDescent="0.3">
      <c r="H31932" t="str">
        <f t="shared" si="548"/>
        <v/>
      </c>
    </row>
    <row r="31933" spans="8:8" x14ac:dyDescent="0.3">
      <c r="H31933" t="str">
        <f t="shared" si="548"/>
        <v/>
      </c>
    </row>
    <row r="31934" spans="8:8" x14ac:dyDescent="0.3">
      <c r="H31934" t="str">
        <f t="shared" si="548"/>
        <v/>
      </c>
    </row>
    <row r="31935" spans="8:8" x14ac:dyDescent="0.3">
      <c r="H31935" t="str">
        <f t="shared" si="548"/>
        <v/>
      </c>
    </row>
    <row r="31936" spans="8:8" x14ac:dyDescent="0.3">
      <c r="H31936" t="str">
        <f t="shared" si="548"/>
        <v/>
      </c>
    </row>
    <row r="31937" spans="8:8" x14ac:dyDescent="0.3">
      <c r="H31937" t="str">
        <f t="shared" si="548"/>
        <v/>
      </c>
    </row>
    <row r="31938" spans="8:8" x14ac:dyDescent="0.3">
      <c r="H31938" t="str">
        <f t="shared" si="548"/>
        <v/>
      </c>
    </row>
    <row r="31939" spans="8:8" x14ac:dyDescent="0.3">
      <c r="H31939" t="str">
        <f t="shared" si="548"/>
        <v/>
      </c>
    </row>
    <row r="31940" spans="8:8" x14ac:dyDescent="0.3">
      <c r="H31940" t="str">
        <f t="shared" si="548"/>
        <v/>
      </c>
    </row>
    <row r="31941" spans="8:8" x14ac:dyDescent="0.3">
      <c r="H31941" t="str">
        <f t="shared" si="548"/>
        <v/>
      </c>
    </row>
    <row r="31942" spans="8:8" x14ac:dyDescent="0.3">
      <c r="H31942" t="str">
        <f t="shared" si="548"/>
        <v/>
      </c>
    </row>
    <row r="31943" spans="8:8" x14ac:dyDescent="0.3">
      <c r="H31943" t="str">
        <f t="shared" si="548"/>
        <v/>
      </c>
    </row>
    <row r="31944" spans="8:8" x14ac:dyDescent="0.3">
      <c r="H31944" t="str">
        <f t="shared" si="548"/>
        <v/>
      </c>
    </row>
    <row r="31945" spans="8:8" x14ac:dyDescent="0.3">
      <c r="H31945" t="str">
        <f t="shared" si="548"/>
        <v/>
      </c>
    </row>
    <row r="31946" spans="8:8" x14ac:dyDescent="0.3">
      <c r="H31946" t="str">
        <f t="shared" si="548"/>
        <v/>
      </c>
    </row>
    <row r="31947" spans="8:8" x14ac:dyDescent="0.3">
      <c r="H31947" t="str">
        <f t="shared" si="548"/>
        <v/>
      </c>
    </row>
    <row r="31948" spans="8:8" x14ac:dyDescent="0.3">
      <c r="H31948" t="str">
        <f t="shared" si="548"/>
        <v/>
      </c>
    </row>
    <row r="31949" spans="8:8" x14ac:dyDescent="0.3">
      <c r="H31949" t="str">
        <f t="shared" si="548"/>
        <v/>
      </c>
    </row>
    <row r="31950" spans="8:8" x14ac:dyDescent="0.3">
      <c r="H31950" t="str">
        <f t="shared" si="548"/>
        <v/>
      </c>
    </row>
    <row r="31951" spans="8:8" x14ac:dyDescent="0.3">
      <c r="H31951" t="str">
        <f t="shared" si="548"/>
        <v/>
      </c>
    </row>
    <row r="31952" spans="8:8" x14ac:dyDescent="0.3">
      <c r="H31952" t="str">
        <f t="shared" si="548"/>
        <v/>
      </c>
    </row>
    <row r="31953" spans="8:8" x14ac:dyDescent="0.3">
      <c r="H31953" t="str">
        <f t="shared" si="548"/>
        <v/>
      </c>
    </row>
    <row r="31954" spans="8:8" x14ac:dyDescent="0.3">
      <c r="H31954" t="str">
        <f t="shared" si="548"/>
        <v/>
      </c>
    </row>
    <row r="31955" spans="8:8" x14ac:dyDescent="0.3">
      <c r="H31955" t="str">
        <f t="shared" si="548"/>
        <v/>
      </c>
    </row>
    <row r="31956" spans="8:8" x14ac:dyDescent="0.3">
      <c r="H31956" t="str">
        <f t="shared" si="548"/>
        <v/>
      </c>
    </row>
    <row r="31957" spans="8:8" x14ac:dyDescent="0.3">
      <c r="H31957" t="str">
        <f t="shared" si="548"/>
        <v/>
      </c>
    </row>
    <row r="31958" spans="8:8" x14ac:dyDescent="0.3">
      <c r="H31958" t="str">
        <f t="shared" si="548"/>
        <v/>
      </c>
    </row>
    <row r="31959" spans="8:8" x14ac:dyDescent="0.3">
      <c r="H31959" t="str">
        <f t="shared" ref="H31959:H32022" si="549">IF(B31959="","",$C$12)</f>
        <v/>
      </c>
    </row>
    <row r="31960" spans="8:8" x14ac:dyDescent="0.3">
      <c r="H31960" t="str">
        <f t="shared" si="549"/>
        <v/>
      </c>
    </row>
    <row r="31961" spans="8:8" x14ac:dyDescent="0.3">
      <c r="H31961" t="str">
        <f t="shared" si="549"/>
        <v/>
      </c>
    </row>
    <row r="31962" spans="8:8" x14ac:dyDescent="0.3">
      <c r="H31962" t="str">
        <f t="shared" si="549"/>
        <v/>
      </c>
    </row>
    <row r="31963" spans="8:8" x14ac:dyDescent="0.3">
      <c r="H31963" t="str">
        <f t="shared" si="549"/>
        <v/>
      </c>
    </row>
    <row r="31964" spans="8:8" x14ac:dyDescent="0.3">
      <c r="H31964" t="str">
        <f t="shared" si="549"/>
        <v/>
      </c>
    </row>
    <row r="31965" spans="8:8" x14ac:dyDescent="0.3">
      <c r="H31965" t="str">
        <f t="shared" si="549"/>
        <v/>
      </c>
    </row>
    <row r="31966" spans="8:8" x14ac:dyDescent="0.3">
      <c r="H31966" t="str">
        <f t="shared" si="549"/>
        <v/>
      </c>
    </row>
    <row r="31967" spans="8:8" x14ac:dyDescent="0.3">
      <c r="H31967" t="str">
        <f t="shared" si="549"/>
        <v/>
      </c>
    </row>
    <row r="31968" spans="8:8" x14ac:dyDescent="0.3">
      <c r="H31968" t="str">
        <f t="shared" si="549"/>
        <v/>
      </c>
    </row>
    <row r="31969" spans="8:8" x14ac:dyDescent="0.3">
      <c r="H31969" t="str">
        <f t="shared" si="549"/>
        <v/>
      </c>
    </row>
    <row r="31970" spans="8:8" x14ac:dyDescent="0.3">
      <c r="H31970" t="str">
        <f t="shared" si="549"/>
        <v/>
      </c>
    </row>
    <row r="31971" spans="8:8" x14ac:dyDescent="0.3">
      <c r="H31971" t="str">
        <f t="shared" si="549"/>
        <v/>
      </c>
    </row>
    <row r="31972" spans="8:8" x14ac:dyDescent="0.3">
      <c r="H31972" t="str">
        <f t="shared" si="549"/>
        <v/>
      </c>
    </row>
    <row r="31973" spans="8:8" x14ac:dyDescent="0.3">
      <c r="H31973" t="str">
        <f t="shared" si="549"/>
        <v/>
      </c>
    </row>
    <row r="31974" spans="8:8" x14ac:dyDescent="0.3">
      <c r="H31974" t="str">
        <f t="shared" si="549"/>
        <v/>
      </c>
    </row>
    <row r="31975" spans="8:8" x14ac:dyDescent="0.3">
      <c r="H31975" t="str">
        <f t="shared" si="549"/>
        <v/>
      </c>
    </row>
    <row r="31976" spans="8:8" x14ac:dyDescent="0.3">
      <c r="H31976" t="str">
        <f t="shared" si="549"/>
        <v/>
      </c>
    </row>
    <row r="31977" spans="8:8" x14ac:dyDescent="0.3">
      <c r="H31977" t="str">
        <f t="shared" si="549"/>
        <v/>
      </c>
    </row>
    <row r="31978" spans="8:8" x14ac:dyDescent="0.3">
      <c r="H31978" t="str">
        <f t="shared" si="549"/>
        <v/>
      </c>
    </row>
    <row r="31979" spans="8:8" x14ac:dyDescent="0.3">
      <c r="H31979" t="str">
        <f t="shared" si="549"/>
        <v/>
      </c>
    </row>
    <row r="31980" spans="8:8" x14ac:dyDescent="0.3">
      <c r="H31980" t="str">
        <f t="shared" si="549"/>
        <v/>
      </c>
    </row>
    <row r="31981" spans="8:8" x14ac:dyDescent="0.3">
      <c r="H31981" t="str">
        <f t="shared" si="549"/>
        <v/>
      </c>
    </row>
    <row r="31982" spans="8:8" x14ac:dyDescent="0.3">
      <c r="H31982" t="str">
        <f t="shared" si="549"/>
        <v/>
      </c>
    </row>
    <row r="31983" spans="8:8" x14ac:dyDescent="0.3">
      <c r="H31983" t="str">
        <f t="shared" si="549"/>
        <v/>
      </c>
    </row>
    <row r="31984" spans="8:8" x14ac:dyDescent="0.3">
      <c r="H31984" t="str">
        <f t="shared" si="549"/>
        <v/>
      </c>
    </row>
    <row r="31985" spans="8:8" x14ac:dyDescent="0.3">
      <c r="H31985" t="str">
        <f t="shared" si="549"/>
        <v/>
      </c>
    </row>
    <row r="31986" spans="8:8" x14ac:dyDescent="0.3">
      <c r="H31986" t="str">
        <f t="shared" si="549"/>
        <v/>
      </c>
    </row>
    <row r="31987" spans="8:8" x14ac:dyDescent="0.3">
      <c r="H31987" t="str">
        <f t="shared" si="549"/>
        <v/>
      </c>
    </row>
    <row r="31988" spans="8:8" x14ac:dyDescent="0.3">
      <c r="H31988" t="str">
        <f t="shared" si="549"/>
        <v/>
      </c>
    </row>
    <row r="31989" spans="8:8" x14ac:dyDescent="0.3">
      <c r="H31989" t="str">
        <f t="shared" si="549"/>
        <v/>
      </c>
    </row>
    <row r="31990" spans="8:8" x14ac:dyDescent="0.3">
      <c r="H31990" t="str">
        <f t="shared" si="549"/>
        <v/>
      </c>
    </row>
    <row r="31991" spans="8:8" x14ac:dyDescent="0.3">
      <c r="H31991" t="str">
        <f t="shared" si="549"/>
        <v/>
      </c>
    </row>
    <row r="31992" spans="8:8" x14ac:dyDescent="0.3">
      <c r="H31992" t="str">
        <f t="shared" si="549"/>
        <v/>
      </c>
    </row>
    <row r="31993" spans="8:8" x14ac:dyDescent="0.3">
      <c r="H31993" t="str">
        <f t="shared" si="549"/>
        <v/>
      </c>
    </row>
    <row r="31994" spans="8:8" x14ac:dyDescent="0.3">
      <c r="H31994" t="str">
        <f t="shared" si="549"/>
        <v/>
      </c>
    </row>
    <row r="31995" spans="8:8" x14ac:dyDescent="0.3">
      <c r="H31995" t="str">
        <f t="shared" si="549"/>
        <v/>
      </c>
    </row>
    <row r="31996" spans="8:8" x14ac:dyDescent="0.3">
      <c r="H31996" t="str">
        <f t="shared" si="549"/>
        <v/>
      </c>
    </row>
    <row r="31997" spans="8:8" x14ac:dyDescent="0.3">
      <c r="H31997" t="str">
        <f t="shared" si="549"/>
        <v/>
      </c>
    </row>
    <row r="31998" spans="8:8" x14ac:dyDescent="0.3">
      <c r="H31998" t="str">
        <f t="shared" si="549"/>
        <v/>
      </c>
    </row>
    <row r="31999" spans="8:8" x14ac:dyDescent="0.3">
      <c r="H31999" t="str">
        <f t="shared" si="549"/>
        <v/>
      </c>
    </row>
    <row r="32000" spans="8:8" x14ac:dyDescent="0.3">
      <c r="H32000" t="str">
        <f t="shared" si="549"/>
        <v/>
      </c>
    </row>
    <row r="32001" spans="8:8" x14ac:dyDescent="0.3">
      <c r="H32001" t="str">
        <f t="shared" si="549"/>
        <v/>
      </c>
    </row>
    <row r="32002" spans="8:8" x14ac:dyDescent="0.3">
      <c r="H32002" t="str">
        <f t="shared" si="549"/>
        <v/>
      </c>
    </row>
    <row r="32003" spans="8:8" x14ac:dyDescent="0.3">
      <c r="H32003" t="str">
        <f t="shared" si="549"/>
        <v/>
      </c>
    </row>
    <row r="32004" spans="8:8" x14ac:dyDescent="0.3">
      <c r="H32004" t="str">
        <f t="shared" si="549"/>
        <v/>
      </c>
    </row>
    <row r="32005" spans="8:8" x14ac:dyDescent="0.3">
      <c r="H32005" t="str">
        <f t="shared" si="549"/>
        <v/>
      </c>
    </row>
    <row r="32006" spans="8:8" x14ac:dyDescent="0.3">
      <c r="H32006" t="str">
        <f t="shared" si="549"/>
        <v/>
      </c>
    </row>
    <row r="32007" spans="8:8" x14ac:dyDescent="0.3">
      <c r="H32007" t="str">
        <f t="shared" si="549"/>
        <v/>
      </c>
    </row>
    <row r="32008" spans="8:8" x14ac:dyDescent="0.3">
      <c r="H32008" t="str">
        <f t="shared" si="549"/>
        <v/>
      </c>
    </row>
    <row r="32009" spans="8:8" x14ac:dyDescent="0.3">
      <c r="H32009" t="str">
        <f t="shared" si="549"/>
        <v/>
      </c>
    </row>
    <row r="32010" spans="8:8" x14ac:dyDescent="0.3">
      <c r="H32010" t="str">
        <f t="shared" si="549"/>
        <v/>
      </c>
    </row>
    <row r="32011" spans="8:8" x14ac:dyDescent="0.3">
      <c r="H32011" t="str">
        <f t="shared" si="549"/>
        <v/>
      </c>
    </row>
    <row r="32012" spans="8:8" x14ac:dyDescent="0.3">
      <c r="H32012" t="str">
        <f t="shared" si="549"/>
        <v/>
      </c>
    </row>
    <row r="32013" spans="8:8" x14ac:dyDescent="0.3">
      <c r="H32013" t="str">
        <f t="shared" si="549"/>
        <v/>
      </c>
    </row>
    <row r="32014" spans="8:8" x14ac:dyDescent="0.3">
      <c r="H32014" t="str">
        <f t="shared" si="549"/>
        <v/>
      </c>
    </row>
    <row r="32015" spans="8:8" x14ac:dyDescent="0.3">
      <c r="H32015" t="str">
        <f t="shared" si="549"/>
        <v/>
      </c>
    </row>
    <row r="32016" spans="8:8" x14ac:dyDescent="0.3">
      <c r="H32016" t="str">
        <f t="shared" si="549"/>
        <v/>
      </c>
    </row>
    <row r="32017" spans="8:8" x14ac:dyDescent="0.3">
      <c r="H32017" t="str">
        <f t="shared" si="549"/>
        <v/>
      </c>
    </row>
    <row r="32018" spans="8:8" x14ac:dyDescent="0.3">
      <c r="H32018" t="str">
        <f t="shared" si="549"/>
        <v/>
      </c>
    </row>
    <row r="32019" spans="8:8" x14ac:dyDescent="0.3">
      <c r="H32019" t="str">
        <f t="shared" si="549"/>
        <v/>
      </c>
    </row>
    <row r="32020" spans="8:8" x14ac:dyDescent="0.3">
      <c r="H32020" t="str">
        <f t="shared" si="549"/>
        <v/>
      </c>
    </row>
    <row r="32021" spans="8:8" x14ac:dyDescent="0.3">
      <c r="H32021" t="str">
        <f t="shared" si="549"/>
        <v/>
      </c>
    </row>
    <row r="32022" spans="8:8" x14ac:dyDescent="0.3">
      <c r="H32022" t="str">
        <f t="shared" si="549"/>
        <v/>
      </c>
    </row>
    <row r="32023" spans="8:8" x14ac:dyDescent="0.3">
      <c r="H32023" t="str">
        <f t="shared" ref="H32023:H32086" si="550">IF(B32023="","",$C$12)</f>
        <v/>
      </c>
    </row>
    <row r="32024" spans="8:8" x14ac:dyDescent="0.3">
      <c r="H32024" t="str">
        <f t="shared" si="550"/>
        <v/>
      </c>
    </row>
    <row r="32025" spans="8:8" x14ac:dyDescent="0.3">
      <c r="H32025" t="str">
        <f t="shared" si="550"/>
        <v/>
      </c>
    </row>
    <row r="32026" spans="8:8" x14ac:dyDescent="0.3">
      <c r="H32026" t="str">
        <f t="shared" si="550"/>
        <v/>
      </c>
    </row>
    <row r="32027" spans="8:8" x14ac:dyDescent="0.3">
      <c r="H32027" t="str">
        <f t="shared" si="550"/>
        <v/>
      </c>
    </row>
    <row r="32028" spans="8:8" x14ac:dyDescent="0.3">
      <c r="H32028" t="str">
        <f t="shared" si="550"/>
        <v/>
      </c>
    </row>
    <row r="32029" spans="8:8" x14ac:dyDescent="0.3">
      <c r="H32029" t="str">
        <f t="shared" si="550"/>
        <v/>
      </c>
    </row>
    <row r="32030" spans="8:8" x14ac:dyDescent="0.3">
      <c r="H32030" t="str">
        <f t="shared" si="550"/>
        <v/>
      </c>
    </row>
    <row r="32031" spans="8:8" x14ac:dyDescent="0.3">
      <c r="H32031" t="str">
        <f t="shared" si="550"/>
        <v/>
      </c>
    </row>
    <row r="32032" spans="8:8" x14ac:dyDescent="0.3">
      <c r="H32032" t="str">
        <f t="shared" si="550"/>
        <v/>
      </c>
    </row>
    <row r="32033" spans="8:8" x14ac:dyDescent="0.3">
      <c r="H32033" t="str">
        <f t="shared" si="550"/>
        <v/>
      </c>
    </row>
    <row r="32034" spans="8:8" x14ac:dyDescent="0.3">
      <c r="H32034" t="str">
        <f t="shared" si="550"/>
        <v/>
      </c>
    </row>
    <row r="32035" spans="8:8" x14ac:dyDescent="0.3">
      <c r="H32035" t="str">
        <f t="shared" si="550"/>
        <v/>
      </c>
    </row>
    <row r="32036" spans="8:8" x14ac:dyDescent="0.3">
      <c r="H32036" t="str">
        <f t="shared" si="550"/>
        <v/>
      </c>
    </row>
    <row r="32037" spans="8:8" x14ac:dyDescent="0.3">
      <c r="H32037" t="str">
        <f t="shared" si="550"/>
        <v/>
      </c>
    </row>
    <row r="32038" spans="8:8" x14ac:dyDescent="0.3">
      <c r="H32038" t="str">
        <f t="shared" si="550"/>
        <v/>
      </c>
    </row>
    <row r="32039" spans="8:8" x14ac:dyDescent="0.3">
      <c r="H32039" t="str">
        <f t="shared" si="550"/>
        <v/>
      </c>
    </row>
    <row r="32040" spans="8:8" x14ac:dyDescent="0.3">
      <c r="H32040" t="str">
        <f t="shared" si="550"/>
        <v/>
      </c>
    </row>
    <row r="32041" spans="8:8" x14ac:dyDescent="0.3">
      <c r="H32041" t="str">
        <f t="shared" si="550"/>
        <v/>
      </c>
    </row>
    <row r="32042" spans="8:8" x14ac:dyDescent="0.3">
      <c r="H32042" t="str">
        <f t="shared" si="550"/>
        <v/>
      </c>
    </row>
    <row r="32043" spans="8:8" x14ac:dyDescent="0.3">
      <c r="H32043" t="str">
        <f t="shared" si="550"/>
        <v/>
      </c>
    </row>
    <row r="32044" spans="8:8" x14ac:dyDescent="0.3">
      <c r="H32044" t="str">
        <f t="shared" si="550"/>
        <v/>
      </c>
    </row>
    <row r="32045" spans="8:8" x14ac:dyDescent="0.3">
      <c r="H32045" t="str">
        <f t="shared" si="550"/>
        <v/>
      </c>
    </row>
    <row r="32046" spans="8:8" x14ac:dyDescent="0.3">
      <c r="H32046" t="str">
        <f t="shared" si="550"/>
        <v/>
      </c>
    </row>
    <row r="32047" spans="8:8" x14ac:dyDescent="0.3">
      <c r="H32047" t="str">
        <f t="shared" si="550"/>
        <v/>
      </c>
    </row>
    <row r="32048" spans="8:8" x14ac:dyDescent="0.3">
      <c r="H32048" t="str">
        <f t="shared" si="550"/>
        <v/>
      </c>
    </row>
    <row r="32049" spans="8:8" x14ac:dyDescent="0.3">
      <c r="H32049" t="str">
        <f t="shared" si="550"/>
        <v/>
      </c>
    </row>
    <row r="32050" spans="8:8" x14ac:dyDescent="0.3">
      <c r="H32050" t="str">
        <f t="shared" si="550"/>
        <v/>
      </c>
    </row>
    <row r="32051" spans="8:8" x14ac:dyDescent="0.3">
      <c r="H32051" t="str">
        <f t="shared" si="550"/>
        <v/>
      </c>
    </row>
    <row r="32052" spans="8:8" x14ac:dyDescent="0.3">
      <c r="H32052" t="str">
        <f t="shared" si="550"/>
        <v/>
      </c>
    </row>
    <row r="32053" spans="8:8" x14ac:dyDescent="0.3">
      <c r="H32053" t="str">
        <f t="shared" si="550"/>
        <v/>
      </c>
    </row>
    <row r="32054" spans="8:8" x14ac:dyDescent="0.3">
      <c r="H32054" t="str">
        <f t="shared" si="550"/>
        <v/>
      </c>
    </row>
    <row r="32055" spans="8:8" x14ac:dyDescent="0.3">
      <c r="H32055" t="str">
        <f t="shared" si="550"/>
        <v/>
      </c>
    </row>
    <row r="32056" spans="8:8" x14ac:dyDescent="0.3">
      <c r="H32056" t="str">
        <f t="shared" si="550"/>
        <v/>
      </c>
    </row>
    <row r="32057" spans="8:8" x14ac:dyDescent="0.3">
      <c r="H32057" t="str">
        <f t="shared" si="550"/>
        <v/>
      </c>
    </row>
    <row r="32058" spans="8:8" x14ac:dyDescent="0.3">
      <c r="H32058" t="str">
        <f t="shared" si="550"/>
        <v/>
      </c>
    </row>
    <row r="32059" spans="8:8" x14ac:dyDescent="0.3">
      <c r="H32059" t="str">
        <f t="shared" si="550"/>
        <v/>
      </c>
    </row>
    <row r="32060" spans="8:8" x14ac:dyDescent="0.3">
      <c r="H32060" t="str">
        <f t="shared" si="550"/>
        <v/>
      </c>
    </row>
    <row r="32061" spans="8:8" x14ac:dyDescent="0.3">
      <c r="H32061" t="str">
        <f t="shared" si="550"/>
        <v/>
      </c>
    </row>
    <row r="32062" spans="8:8" x14ac:dyDescent="0.3">
      <c r="H32062" t="str">
        <f t="shared" si="550"/>
        <v/>
      </c>
    </row>
    <row r="32063" spans="8:8" x14ac:dyDescent="0.3">
      <c r="H32063" t="str">
        <f t="shared" si="550"/>
        <v/>
      </c>
    </row>
    <row r="32064" spans="8:8" x14ac:dyDescent="0.3">
      <c r="H32064" t="str">
        <f t="shared" si="550"/>
        <v/>
      </c>
    </row>
    <row r="32065" spans="8:8" x14ac:dyDescent="0.3">
      <c r="H32065" t="str">
        <f t="shared" si="550"/>
        <v/>
      </c>
    </row>
    <row r="32066" spans="8:8" x14ac:dyDescent="0.3">
      <c r="H32066" t="str">
        <f t="shared" si="550"/>
        <v/>
      </c>
    </row>
    <row r="32067" spans="8:8" x14ac:dyDescent="0.3">
      <c r="H32067" t="str">
        <f t="shared" si="550"/>
        <v/>
      </c>
    </row>
    <row r="32068" spans="8:8" x14ac:dyDescent="0.3">
      <c r="H32068" t="str">
        <f t="shared" si="550"/>
        <v/>
      </c>
    </row>
    <row r="32069" spans="8:8" x14ac:dyDescent="0.3">
      <c r="H32069" t="str">
        <f t="shared" si="550"/>
        <v/>
      </c>
    </row>
    <row r="32070" spans="8:8" x14ac:dyDescent="0.3">
      <c r="H32070" t="str">
        <f t="shared" si="550"/>
        <v/>
      </c>
    </row>
    <row r="32071" spans="8:8" x14ac:dyDescent="0.3">
      <c r="H32071" t="str">
        <f t="shared" si="550"/>
        <v/>
      </c>
    </row>
    <row r="32072" spans="8:8" x14ac:dyDescent="0.3">
      <c r="H32072" t="str">
        <f t="shared" si="550"/>
        <v/>
      </c>
    </row>
    <row r="32073" spans="8:8" x14ac:dyDescent="0.3">
      <c r="H32073" t="str">
        <f t="shared" si="550"/>
        <v/>
      </c>
    </row>
    <row r="32074" spans="8:8" x14ac:dyDescent="0.3">
      <c r="H32074" t="str">
        <f t="shared" si="550"/>
        <v/>
      </c>
    </row>
    <row r="32075" spans="8:8" x14ac:dyDescent="0.3">
      <c r="H32075" t="str">
        <f t="shared" si="550"/>
        <v/>
      </c>
    </row>
    <row r="32076" spans="8:8" x14ac:dyDescent="0.3">
      <c r="H32076" t="str">
        <f t="shared" si="550"/>
        <v/>
      </c>
    </row>
    <row r="32077" spans="8:8" x14ac:dyDescent="0.3">
      <c r="H32077" t="str">
        <f t="shared" si="550"/>
        <v/>
      </c>
    </row>
    <row r="32078" spans="8:8" x14ac:dyDescent="0.3">
      <c r="H32078" t="str">
        <f t="shared" si="550"/>
        <v/>
      </c>
    </row>
    <row r="32079" spans="8:8" x14ac:dyDescent="0.3">
      <c r="H32079" t="str">
        <f t="shared" si="550"/>
        <v/>
      </c>
    </row>
    <row r="32080" spans="8:8" x14ac:dyDescent="0.3">
      <c r="H32080" t="str">
        <f t="shared" si="550"/>
        <v/>
      </c>
    </row>
    <row r="32081" spans="8:8" x14ac:dyDescent="0.3">
      <c r="H32081" t="str">
        <f t="shared" si="550"/>
        <v/>
      </c>
    </row>
    <row r="32082" spans="8:8" x14ac:dyDescent="0.3">
      <c r="H32082" t="str">
        <f t="shared" si="550"/>
        <v/>
      </c>
    </row>
    <row r="32083" spans="8:8" x14ac:dyDescent="0.3">
      <c r="H32083" t="str">
        <f t="shared" si="550"/>
        <v/>
      </c>
    </row>
    <row r="32084" spans="8:8" x14ac:dyDescent="0.3">
      <c r="H32084" t="str">
        <f t="shared" si="550"/>
        <v/>
      </c>
    </row>
    <row r="32085" spans="8:8" x14ac:dyDescent="0.3">
      <c r="H32085" t="str">
        <f t="shared" si="550"/>
        <v/>
      </c>
    </row>
    <row r="32086" spans="8:8" x14ac:dyDescent="0.3">
      <c r="H32086" t="str">
        <f t="shared" si="550"/>
        <v/>
      </c>
    </row>
    <row r="32087" spans="8:8" x14ac:dyDescent="0.3">
      <c r="H32087" t="str">
        <f t="shared" ref="H32087:H32150" si="551">IF(B32087="","",$C$12)</f>
        <v/>
      </c>
    </row>
    <row r="32088" spans="8:8" x14ac:dyDescent="0.3">
      <c r="H32088" t="str">
        <f t="shared" si="551"/>
        <v/>
      </c>
    </row>
    <row r="32089" spans="8:8" x14ac:dyDescent="0.3">
      <c r="H32089" t="str">
        <f t="shared" si="551"/>
        <v/>
      </c>
    </row>
    <row r="32090" spans="8:8" x14ac:dyDescent="0.3">
      <c r="H32090" t="str">
        <f t="shared" si="551"/>
        <v/>
      </c>
    </row>
    <row r="32091" spans="8:8" x14ac:dyDescent="0.3">
      <c r="H32091" t="str">
        <f t="shared" si="551"/>
        <v/>
      </c>
    </row>
    <row r="32092" spans="8:8" x14ac:dyDescent="0.3">
      <c r="H32092" t="str">
        <f t="shared" si="551"/>
        <v/>
      </c>
    </row>
    <row r="32093" spans="8:8" x14ac:dyDescent="0.3">
      <c r="H32093" t="str">
        <f t="shared" si="551"/>
        <v/>
      </c>
    </row>
    <row r="32094" spans="8:8" x14ac:dyDescent="0.3">
      <c r="H32094" t="str">
        <f t="shared" si="551"/>
        <v/>
      </c>
    </row>
    <row r="32095" spans="8:8" x14ac:dyDescent="0.3">
      <c r="H32095" t="str">
        <f t="shared" si="551"/>
        <v/>
      </c>
    </row>
    <row r="32096" spans="8:8" x14ac:dyDescent="0.3">
      <c r="H32096" t="str">
        <f t="shared" si="551"/>
        <v/>
      </c>
    </row>
    <row r="32097" spans="8:8" x14ac:dyDescent="0.3">
      <c r="H32097" t="str">
        <f t="shared" si="551"/>
        <v/>
      </c>
    </row>
    <row r="32098" spans="8:8" x14ac:dyDescent="0.3">
      <c r="H32098" t="str">
        <f t="shared" si="551"/>
        <v/>
      </c>
    </row>
    <row r="32099" spans="8:8" x14ac:dyDescent="0.3">
      <c r="H32099" t="str">
        <f t="shared" si="551"/>
        <v/>
      </c>
    </row>
    <row r="32100" spans="8:8" x14ac:dyDescent="0.3">
      <c r="H32100" t="str">
        <f t="shared" si="551"/>
        <v/>
      </c>
    </row>
    <row r="32101" spans="8:8" x14ac:dyDescent="0.3">
      <c r="H32101" t="str">
        <f t="shared" si="551"/>
        <v/>
      </c>
    </row>
    <row r="32102" spans="8:8" x14ac:dyDescent="0.3">
      <c r="H32102" t="str">
        <f t="shared" si="551"/>
        <v/>
      </c>
    </row>
    <row r="32103" spans="8:8" x14ac:dyDescent="0.3">
      <c r="H32103" t="str">
        <f t="shared" si="551"/>
        <v/>
      </c>
    </row>
    <row r="32104" spans="8:8" x14ac:dyDescent="0.3">
      <c r="H32104" t="str">
        <f t="shared" si="551"/>
        <v/>
      </c>
    </row>
    <row r="32105" spans="8:8" x14ac:dyDescent="0.3">
      <c r="H32105" t="str">
        <f t="shared" si="551"/>
        <v/>
      </c>
    </row>
    <row r="32106" spans="8:8" x14ac:dyDescent="0.3">
      <c r="H32106" t="str">
        <f t="shared" si="551"/>
        <v/>
      </c>
    </row>
    <row r="32107" spans="8:8" x14ac:dyDescent="0.3">
      <c r="H32107" t="str">
        <f t="shared" si="551"/>
        <v/>
      </c>
    </row>
    <row r="32108" spans="8:8" x14ac:dyDescent="0.3">
      <c r="H32108" t="str">
        <f t="shared" si="551"/>
        <v/>
      </c>
    </row>
    <row r="32109" spans="8:8" x14ac:dyDescent="0.3">
      <c r="H32109" t="str">
        <f t="shared" si="551"/>
        <v/>
      </c>
    </row>
    <row r="32110" spans="8:8" x14ac:dyDescent="0.3">
      <c r="H32110" t="str">
        <f t="shared" si="551"/>
        <v/>
      </c>
    </row>
    <row r="32111" spans="8:8" x14ac:dyDescent="0.3">
      <c r="H32111" t="str">
        <f t="shared" si="551"/>
        <v/>
      </c>
    </row>
    <row r="32112" spans="8:8" x14ac:dyDescent="0.3">
      <c r="H32112" t="str">
        <f t="shared" si="551"/>
        <v/>
      </c>
    </row>
    <row r="32113" spans="8:8" x14ac:dyDescent="0.3">
      <c r="H32113" t="str">
        <f t="shared" si="551"/>
        <v/>
      </c>
    </row>
    <row r="32114" spans="8:8" x14ac:dyDescent="0.3">
      <c r="H32114" t="str">
        <f t="shared" si="551"/>
        <v/>
      </c>
    </row>
    <row r="32115" spans="8:8" x14ac:dyDescent="0.3">
      <c r="H32115" t="str">
        <f t="shared" si="551"/>
        <v/>
      </c>
    </row>
    <row r="32116" spans="8:8" x14ac:dyDescent="0.3">
      <c r="H32116" t="str">
        <f t="shared" si="551"/>
        <v/>
      </c>
    </row>
    <row r="32117" spans="8:8" x14ac:dyDescent="0.3">
      <c r="H32117" t="str">
        <f t="shared" si="551"/>
        <v/>
      </c>
    </row>
    <row r="32118" spans="8:8" x14ac:dyDescent="0.3">
      <c r="H32118" t="str">
        <f t="shared" si="551"/>
        <v/>
      </c>
    </row>
    <row r="32119" spans="8:8" x14ac:dyDescent="0.3">
      <c r="H32119" t="str">
        <f t="shared" si="551"/>
        <v/>
      </c>
    </row>
    <row r="32120" spans="8:8" x14ac:dyDescent="0.3">
      <c r="H32120" t="str">
        <f t="shared" si="551"/>
        <v/>
      </c>
    </row>
    <row r="32121" spans="8:8" x14ac:dyDescent="0.3">
      <c r="H32121" t="str">
        <f t="shared" si="551"/>
        <v/>
      </c>
    </row>
    <row r="32122" spans="8:8" x14ac:dyDescent="0.3">
      <c r="H32122" t="str">
        <f t="shared" si="551"/>
        <v/>
      </c>
    </row>
    <row r="32123" spans="8:8" x14ac:dyDescent="0.3">
      <c r="H32123" t="str">
        <f t="shared" si="551"/>
        <v/>
      </c>
    </row>
    <row r="32124" spans="8:8" x14ac:dyDescent="0.3">
      <c r="H32124" t="str">
        <f t="shared" si="551"/>
        <v/>
      </c>
    </row>
    <row r="32125" spans="8:8" x14ac:dyDescent="0.3">
      <c r="H32125" t="str">
        <f t="shared" si="551"/>
        <v/>
      </c>
    </row>
    <row r="32126" spans="8:8" x14ac:dyDescent="0.3">
      <c r="H32126" t="str">
        <f t="shared" si="551"/>
        <v/>
      </c>
    </row>
    <row r="32127" spans="8:8" x14ac:dyDescent="0.3">
      <c r="H32127" t="str">
        <f t="shared" si="551"/>
        <v/>
      </c>
    </row>
    <row r="32128" spans="8:8" x14ac:dyDescent="0.3">
      <c r="H32128" t="str">
        <f t="shared" si="551"/>
        <v/>
      </c>
    </row>
    <row r="32129" spans="8:8" x14ac:dyDescent="0.3">
      <c r="H32129" t="str">
        <f t="shared" si="551"/>
        <v/>
      </c>
    </row>
    <row r="32130" spans="8:8" x14ac:dyDescent="0.3">
      <c r="H32130" t="str">
        <f t="shared" si="551"/>
        <v/>
      </c>
    </row>
    <row r="32131" spans="8:8" x14ac:dyDescent="0.3">
      <c r="H32131" t="str">
        <f t="shared" si="551"/>
        <v/>
      </c>
    </row>
    <row r="32132" spans="8:8" x14ac:dyDescent="0.3">
      <c r="H32132" t="str">
        <f t="shared" si="551"/>
        <v/>
      </c>
    </row>
    <row r="32133" spans="8:8" x14ac:dyDescent="0.3">
      <c r="H32133" t="str">
        <f t="shared" si="551"/>
        <v/>
      </c>
    </row>
    <row r="32134" spans="8:8" x14ac:dyDescent="0.3">
      <c r="H32134" t="str">
        <f t="shared" si="551"/>
        <v/>
      </c>
    </row>
    <row r="32135" spans="8:8" x14ac:dyDescent="0.3">
      <c r="H32135" t="str">
        <f t="shared" si="551"/>
        <v/>
      </c>
    </row>
    <row r="32136" spans="8:8" x14ac:dyDescent="0.3">
      <c r="H32136" t="str">
        <f t="shared" si="551"/>
        <v/>
      </c>
    </row>
    <row r="32137" spans="8:8" x14ac:dyDescent="0.3">
      <c r="H32137" t="str">
        <f t="shared" si="551"/>
        <v/>
      </c>
    </row>
    <row r="32138" spans="8:8" x14ac:dyDescent="0.3">
      <c r="H32138" t="str">
        <f t="shared" si="551"/>
        <v/>
      </c>
    </row>
    <row r="32139" spans="8:8" x14ac:dyDescent="0.3">
      <c r="H32139" t="str">
        <f t="shared" si="551"/>
        <v/>
      </c>
    </row>
    <row r="32140" spans="8:8" x14ac:dyDescent="0.3">
      <c r="H32140" t="str">
        <f t="shared" si="551"/>
        <v/>
      </c>
    </row>
    <row r="32141" spans="8:8" x14ac:dyDescent="0.3">
      <c r="H32141" t="str">
        <f t="shared" si="551"/>
        <v/>
      </c>
    </row>
    <row r="32142" spans="8:8" x14ac:dyDescent="0.3">
      <c r="H32142" t="str">
        <f t="shared" si="551"/>
        <v/>
      </c>
    </row>
    <row r="32143" spans="8:8" x14ac:dyDescent="0.3">
      <c r="H32143" t="str">
        <f t="shared" si="551"/>
        <v/>
      </c>
    </row>
    <row r="32144" spans="8:8" x14ac:dyDescent="0.3">
      <c r="H32144" t="str">
        <f t="shared" si="551"/>
        <v/>
      </c>
    </row>
    <row r="32145" spans="8:8" x14ac:dyDescent="0.3">
      <c r="H32145" t="str">
        <f t="shared" si="551"/>
        <v/>
      </c>
    </row>
    <row r="32146" spans="8:8" x14ac:dyDescent="0.3">
      <c r="H32146" t="str">
        <f t="shared" si="551"/>
        <v/>
      </c>
    </row>
    <row r="32147" spans="8:8" x14ac:dyDescent="0.3">
      <c r="H32147" t="str">
        <f t="shared" si="551"/>
        <v/>
      </c>
    </row>
    <row r="32148" spans="8:8" x14ac:dyDescent="0.3">
      <c r="H32148" t="str">
        <f t="shared" si="551"/>
        <v/>
      </c>
    </row>
    <row r="32149" spans="8:8" x14ac:dyDescent="0.3">
      <c r="H32149" t="str">
        <f t="shared" si="551"/>
        <v/>
      </c>
    </row>
    <row r="32150" spans="8:8" x14ac:dyDescent="0.3">
      <c r="H32150" t="str">
        <f t="shared" si="551"/>
        <v/>
      </c>
    </row>
    <row r="32151" spans="8:8" x14ac:dyDescent="0.3">
      <c r="H32151" t="str">
        <f t="shared" ref="H32151:H32214" si="552">IF(B32151="","",$C$12)</f>
        <v/>
      </c>
    </row>
    <row r="32152" spans="8:8" x14ac:dyDescent="0.3">
      <c r="H32152" t="str">
        <f t="shared" si="552"/>
        <v/>
      </c>
    </row>
    <row r="32153" spans="8:8" x14ac:dyDescent="0.3">
      <c r="H32153" t="str">
        <f t="shared" si="552"/>
        <v/>
      </c>
    </row>
    <row r="32154" spans="8:8" x14ac:dyDescent="0.3">
      <c r="H32154" t="str">
        <f t="shared" si="552"/>
        <v/>
      </c>
    </row>
    <row r="32155" spans="8:8" x14ac:dyDescent="0.3">
      <c r="H32155" t="str">
        <f t="shared" si="552"/>
        <v/>
      </c>
    </row>
    <row r="32156" spans="8:8" x14ac:dyDescent="0.3">
      <c r="H32156" t="str">
        <f t="shared" si="552"/>
        <v/>
      </c>
    </row>
    <row r="32157" spans="8:8" x14ac:dyDescent="0.3">
      <c r="H32157" t="str">
        <f t="shared" si="552"/>
        <v/>
      </c>
    </row>
    <row r="32158" spans="8:8" x14ac:dyDescent="0.3">
      <c r="H32158" t="str">
        <f t="shared" si="552"/>
        <v/>
      </c>
    </row>
    <row r="32159" spans="8:8" x14ac:dyDescent="0.3">
      <c r="H32159" t="str">
        <f t="shared" si="552"/>
        <v/>
      </c>
    </row>
    <row r="32160" spans="8:8" x14ac:dyDescent="0.3">
      <c r="H32160" t="str">
        <f t="shared" si="552"/>
        <v/>
      </c>
    </row>
    <row r="32161" spans="8:8" x14ac:dyDescent="0.3">
      <c r="H32161" t="str">
        <f t="shared" si="552"/>
        <v/>
      </c>
    </row>
    <row r="32162" spans="8:8" x14ac:dyDescent="0.3">
      <c r="H32162" t="str">
        <f t="shared" si="552"/>
        <v/>
      </c>
    </row>
    <row r="32163" spans="8:8" x14ac:dyDescent="0.3">
      <c r="H32163" t="str">
        <f t="shared" si="552"/>
        <v/>
      </c>
    </row>
    <row r="32164" spans="8:8" x14ac:dyDescent="0.3">
      <c r="H32164" t="str">
        <f t="shared" si="552"/>
        <v/>
      </c>
    </row>
    <row r="32165" spans="8:8" x14ac:dyDescent="0.3">
      <c r="H32165" t="str">
        <f t="shared" si="552"/>
        <v/>
      </c>
    </row>
    <row r="32166" spans="8:8" x14ac:dyDescent="0.3">
      <c r="H32166" t="str">
        <f t="shared" si="552"/>
        <v/>
      </c>
    </row>
    <row r="32167" spans="8:8" x14ac:dyDescent="0.3">
      <c r="H32167" t="str">
        <f t="shared" si="552"/>
        <v/>
      </c>
    </row>
    <row r="32168" spans="8:8" x14ac:dyDescent="0.3">
      <c r="H32168" t="str">
        <f t="shared" si="552"/>
        <v/>
      </c>
    </row>
    <row r="32169" spans="8:8" x14ac:dyDescent="0.3">
      <c r="H32169" t="str">
        <f t="shared" si="552"/>
        <v/>
      </c>
    </row>
    <row r="32170" spans="8:8" x14ac:dyDescent="0.3">
      <c r="H32170" t="str">
        <f t="shared" si="552"/>
        <v/>
      </c>
    </row>
    <row r="32171" spans="8:8" x14ac:dyDescent="0.3">
      <c r="H32171" t="str">
        <f t="shared" si="552"/>
        <v/>
      </c>
    </row>
    <row r="32172" spans="8:8" x14ac:dyDescent="0.3">
      <c r="H32172" t="str">
        <f t="shared" si="552"/>
        <v/>
      </c>
    </row>
    <row r="32173" spans="8:8" x14ac:dyDescent="0.3">
      <c r="H32173" t="str">
        <f t="shared" si="552"/>
        <v/>
      </c>
    </row>
    <row r="32174" spans="8:8" x14ac:dyDescent="0.3">
      <c r="H32174" t="str">
        <f t="shared" si="552"/>
        <v/>
      </c>
    </row>
    <row r="32175" spans="8:8" x14ac:dyDescent="0.3">
      <c r="H32175" t="str">
        <f t="shared" si="552"/>
        <v/>
      </c>
    </row>
    <row r="32176" spans="8:8" x14ac:dyDescent="0.3">
      <c r="H32176" t="str">
        <f t="shared" si="552"/>
        <v/>
      </c>
    </row>
    <row r="32177" spans="8:8" x14ac:dyDescent="0.3">
      <c r="H32177" t="str">
        <f t="shared" si="552"/>
        <v/>
      </c>
    </row>
    <row r="32178" spans="8:8" x14ac:dyDescent="0.3">
      <c r="H32178" t="str">
        <f t="shared" si="552"/>
        <v/>
      </c>
    </row>
    <row r="32179" spans="8:8" x14ac:dyDescent="0.3">
      <c r="H32179" t="str">
        <f t="shared" si="552"/>
        <v/>
      </c>
    </row>
    <row r="32180" spans="8:8" x14ac:dyDescent="0.3">
      <c r="H32180" t="str">
        <f t="shared" si="552"/>
        <v/>
      </c>
    </row>
    <row r="32181" spans="8:8" x14ac:dyDescent="0.3">
      <c r="H32181" t="str">
        <f t="shared" si="552"/>
        <v/>
      </c>
    </row>
    <row r="32182" spans="8:8" x14ac:dyDescent="0.3">
      <c r="H32182" t="str">
        <f t="shared" si="552"/>
        <v/>
      </c>
    </row>
    <row r="32183" spans="8:8" x14ac:dyDescent="0.3">
      <c r="H32183" t="str">
        <f t="shared" si="552"/>
        <v/>
      </c>
    </row>
    <row r="32184" spans="8:8" x14ac:dyDescent="0.3">
      <c r="H32184" t="str">
        <f t="shared" si="552"/>
        <v/>
      </c>
    </row>
    <row r="32185" spans="8:8" x14ac:dyDescent="0.3">
      <c r="H32185" t="str">
        <f t="shared" si="552"/>
        <v/>
      </c>
    </row>
    <row r="32186" spans="8:8" x14ac:dyDescent="0.3">
      <c r="H32186" t="str">
        <f t="shared" si="552"/>
        <v/>
      </c>
    </row>
    <row r="32187" spans="8:8" x14ac:dyDescent="0.3">
      <c r="H32187" t="str">
        <f t="shared" si="552"/>
        <v/>
      </c>
    </row>
    <row r="32188" spans="8:8" x14ac:dyDescent="0.3">
      <c r="H32188" t="str">
        <f t="shared" si="552"/>
        <v/>
      </c>
    </row>
    <row r="32189" spans="8:8" x14ac:dyDescent="0.3">
      <c r="H32189" t="str">
        <f t="shared" si="552"/>
        <v/>
      </c>
    </row>
    <row r="32190" spans="8:8" x14ac:dyDescent="0.3">
      <c r="H32190" t="str">
        <f t="shared" si="552"/>
        <v/>
      </c>
    </row>
    <row r="32191" spans="8:8" x14ac:dyDescent="0.3">
      <c r="H32191" t="str">
        <f t="shared" si="552"/>
        <v/>
      </c>
    </row>
    <row r="32192" spans="8:8" x14ac:dyDescent="0.3">
      <c r="H32192" t="str">
        <f t="shared" si="552"/>
        <v/>
      </c>
    </row>
    <row r="32193" spans="8:8" x14ac:dyDescent="0.3">
      <c r="H32193" t="str">
        <f t="shared" si="552"/>
        <v/>
      </c>
    </row>
    <row r="32194" spans="8:8" x14ac:dyDescent="0.3">
      <c r="H32194" t="str">
        <f t="shared" si="552"/>
        <v/>
      </c>
    </row>
    <row r="32195" spans="8:8" x14ac:dyDescent="0.3">
      <c r="H32195" t="str">
        <f t="shared" si="552"/>
        <v/>
      </c>
    </row>
    <row r="32196" spans="8:8" x14ac:dyDescent="0.3">
      <c r="H32196" t="str">
        <f t="shared" si="552"/>
        <v/>
      </c>
    </row>
    <row r="32197" spans="8:8" x14ac:dyDescent="0.3">
      <c r="H32197" t="str">
        <f t="shared" si="552"/>
        <v/>
      </c>
    </row>
    <row r="32198" spans="8:8" x14ac:dyDescent="0.3">
      <c r="H32198" t="str">
        <f t="shared" si="552"/>
        <v/>
      </c>
    </row>
    <row r="32199" spans="8:8" x14ac:dyDescent="0.3">
      <c r="H32199" t="str">
        <f t="shared" si="552"/>
        <v/>
      </c>
    </row>
    <row r="32200" spans="8:8" x14ac:dyDescent="0.3">
      <c r="H32200" t="str">
        <f t="shared" si="552"/>
        <v/>
      </c>
    </row>
    <row r="32201" spans="8:8" x14ac:dyDescent="0.3">
      <c r="H32201" t="str">
        <f t="shared" si="552"/>
        <v/>
      </c>
    </row>
    <row r="32202" spans="8:8" x14ac:dyDescent="0.3">
      <c r="H32202" t="str">
        <f t="shared" si="552"/>
        <v/>
      </c>
    </row>
    <row r="32203" spans="8:8" x14ac:dyDescent="0.3">
      <c r="H32203" t="str">
        <f t="shared" si="552"/>
        <v/>
      </c>
    </row>
    <row r="32204" spans="8:8" x14ac:dyDescent="0.3">
      <c r="H32204" t="str">
        <f t="shared" si="552"/>
        <v/>
      </c>
    </row>
    <row r="32205" spans="8:8" x14ac:dyDescent="0.3">
      <c r="H32205" t="str">
        <f t="shared" si="552"/>
        <v/>
      </c>
    </row>
    <row r="32206" spans="8:8" x14ac:dyDescent="0.3">
      <c r="H32206" t="str">
        <f t="shared" si="552"/>
        <v/>
      </c>
    </row>
    <row r="32207" spans="8:8" x14ac:dyDescent="0.3">
      <c r="H32207" t="str">
        <f t="shared" si="552"/>
        <v/>
      </c>
    </row>
    <row r="32208" spans="8:8" x14ac:dyDescent="0.3">
      <c r="H32208" t="str">
        <f t="shared" si="552"/>
        <v/>
      </c>
    </row>
    <row r="32209" spans="8:8" x14ac:dyDescent="0.3">
      <c r="H32209" t="str">
        <f t="shared" si="552"/>
        <v/>
      </c>
    </row>
    <row r="32210" spans="8:8" x14ac:dyDescent="0.3">
      <c r="H32210" t="str">
        <f t="shared" si="552"/>
        <v/>
      </c>
    </row>
    <row r="32211" spans="8:8" x14ac:dyDescent="0.3">
      <c r="H32211" t="str">
        <f t="shared" si="552"/>
        <v/>
      </c>
    </row>
    <row r="32212" spans="8:8" x14ac:dyDescent="0.3">
      <c r="H32212" t="str">
        <f t="shared" si="552"/>
        <v/>
      </c>
    </row>
    <row r="32213" spans="8:8" x14ac:dyDescent="0.3">
      <c r="H32213" t="str">
        <f t="shared" si="552"/>
        <v/>
      </c>
    </row>
    <row r="32214" spans="8:8" x14ac:dyDescent="0.3">
      <c r="H32214" t="str">
        <f t="shared" si="552"/>
        <v/>
      </c>
    </row>
    <row r="32215" spans="8:8" x14ac:dyDescent="0.3">
      <c r="H32215" t="str">
        <f t="shared" ref="H32215:H32278" si="553">IF(B32215="","",$C$12)</f>
        <v/>
      </c>
    </row>
    <row r="32216" spans="8:8" x14ac:dyDescent="0.3">
      <c r="H32216" t="str">
        <f t="shared" si="553"/>
        <v/>
      </c>
    </row>
    <row r="32217" spans="8:8" x14ac:dyDescent="0.3">
      <c r="H32217" t="str">
        <f t="shared" si="553"/>
        <v/>
      </c>
    </row>
    <row r="32218" spans="8:8" x14ac:dyDescent="0.3">
      <c r="H32218" t="str">
        <f t="shared" si="553"/>
        <v/>
      </c>
    </row>
    <row r="32219" spans="8:8" x14ac:dyDescent="0.3">
      <c r="H32219" t="str">
        <f t="shared" si="553"/>
        <v/>
      </c>
    </row>
    <row r="32220" spans="8:8" x14ac:dyDescent="0.3">
      <c r="H32220" t="str">
        <f t="shared" si="553"/>
        <v/>
      </c>
    </row>
    <row r="32221" spans="8:8" x14ac:dyDescent="0.3">
      <c r="H32221" t="str">
        <f t="shared" si="553"/>
        <v/>
      </c>
    </row>
    <row r="32222" spans="8:8" x14ac:dyDescent="0.3">
      <c r="H32222" t="str">
        <f t="shared" si="553"/>
        <v/>
      </c>
    </row>
    <row r="32223" spans="8:8" x14ac:dyDescent="0.3">
      <c r="H32223" t="str">
        <f t="shared" si="553"/>
        <v/>
      </c>
    </row>
    <row r="32224" spans="8:8" x14ac:dyDescent="0.3">
      <c r="H32224" t="str">
        <f t="shared" si="553"/>
        <v/>
      </c>
    </row>
    <row r="32225" spans="8:8" x14ac:dyDescent="0.3">
      <c r="H32225" t="str">
        <f t="shared" si="553"/>
        <v/>
      </c>
    </row>
    <row r="32226" spans="8:8" x14ac:dyDescent="0.3">
      <c r="H32226" t="str">
        <f t="shared" si="553"/>
        <v/>
      </c>
    </row>
    <row r="32227" spans="8:8" x14ac:dyDescent="0.3">
      <c r="H32227" t="str">
        <f t="shared" si="553"/>
        <v/>
      </c>
    </row>
    <row r="32228" spans="8:8" x14ac:dyDescent="0.3">
      <c r="H32228" t="str">
        <f t="shared" si="553"/>
        <v/>
      </c>
    </row>
    <row r="32229" spans="8:8" x14ac:dyDescent="0.3">
      <c r="H32229" t="str">
        <f t="shared" si="553"/>
        <v/>
      </c>
    </row>
    <row r="32230" spans="8:8" x14ac:dyDescent="0.3">
      <c r="H32230" t="str">
        <f t="shared" si="553"/>
        <v/>
      </c>
    </row>
    <row r="32231" spans="8:8" x14ac:dyDescent="0.3">
      <c r="H32231" t="str">
        <f t="shared" si="553"/>
        <v/>
      </c>
    </row>
    <row r="32232" spans="8:8" x14ac:dyDescent="0.3">
      <c r="H32232" t="str">
        <f t="shared" si="553"/>
        <v/>
      </c>
    </row>
    <row r="32233" spans="8:8" x14ac:dyDescent="0.3">
      <c r="H32233" t="str">
        <f t="shared" si="553"/>
        <v/>
      </c>
    </row>
    <row r="32234" spans="8:8" x14ac:dyDescent="0.3">
      <c r="H32234" t="str">
        <f t="shared" si="553"/>
        <v/>
      </c>
    </row>
    <row r="32235" spans="8:8" x14ac:dyDescent="0.3">
      <c r="H32235" t="str">
        <f t="shared" si="553"/>
        <v/>
      </c>
    </row>
    <row r="32236" spans="8:8" x14ac:dyDescent="0.3">
      <c r="H32236" t="str">
        <f t="shared" si="553"/>
        <v/>
      </c>
    </row>
    <row r="32237" spans="8:8" x14ac:dyDescent="0.3">
      <c r="H32237" t="str">
        <f t="shared" si="553"/>
        <v/>
      </c>
    </row>
    <row r="32238" spans="8:8" x14ac:dyDescent="0.3">
      <c r="H32238" t="str">
        <f t="shared" si="553"/>
        <v/>
      </c>
    </row>
    <row r="32239" spans="8:8" x14ac:dyDescent="0.3">
      <c r="H32239" t="str">
        <f t="shared" si="553"/>
        <v/>
      </c>
    </row>
    <row r="32240" spans="8:8" x14ac:dyDescent="0.3">
      <c r="H32240" t="str">
        <f t="shared" si="553"/>
        <v/>
      </c>
    </row>
    <row r="32241" spans="8:8" x14ac:dyDescent="0.3">
      <c r="H32241" t="str">
        <f t="shared" si="553"/>
        <v/>
      </c>
    </row>
    <row r="32242" spans="8:8" x14ac:dyDescent="0.3">
      <c r="H32242" t="str">
        <f t="shared" si="553"/>
        <v/>
      </c>
    </row>
    <row r="32243" spans="8:8" x14ac:dyDescent="0.3">
      <c r="H32243" t="str">
        <f t="shared" si="553"/>
        <v/>
      </c>
    </row>
    <row r="32244" spans="8:8" x14ac:dyDescent="0.3">
      <c r="H32244" t="str">
        <f t="shared" si="553"/>
        <v/>
      </c>
    </row>
    <row r="32245" spans="8:8" x14ac:dyDescent="0.3">
      <c r="H32245" t="str">
        <f t="shared" si="553"/>
        <v/>
      </c>
    </row>
    <row r="32246" spans="8:8" x14ac:dyDescent="0.3">
      <c r="H32246" t="str">
        <f t="shared" si="553"/>
        <v/>
      </c>
    </row>
    <row r="32247" spans="8:8" x14ac:dyDescent="0.3">
      <c r="H32247" t="str">
        <f t="shared" si="553"/>
        <v/>
      </c>
    </row>
    <row r="32248" spans="8:8" x14ac:dyDescent="0.3">
      <c r="H32248" t="str">
        <f t="shared" si="553"/>
        <v/>
      </c>
    </row>
    <row r="32249" spans="8:8" x14ac:dyDescent="0.3">
      <c r="H32249" t="str">
        <f t="shared" si="553"/>
        <v/>
      </c>
    </row>
    <row r="32250" spans="8:8" x14ac:dyDescent="0.3">
      <c r="H32250" t="str">
        <f t="shared" si="553"/>
        <v/>
      </c>
    </row>
    <row r="32251" spans="8:8" x14ac:dyDescent="0.3">
      <c r="H32251" t="str">
        <f t="shared" si="553"/>
        <v/>
      </c>
    </row>
    <row r="32252" spans="8:8" x14ac:dyDescent="0.3">
      <c r="H32252" t="str">
        <f t="shared" si="553"/>
        <v/>
      </c>
    </row>
    <row r="32253" spans="8:8" x14ac:dyDescent="0.3">
      <c r="H32253" t="str">
        <f t="shared" si="553"/>
        <v/>
      </c>
    </row>
    <row r="32254" spans="8:8" x14ac:dyDescent="0.3">
      <c r="H32254" t="str">
        <f t="shared" si="553"/>
        <v/>
      </c>
    </row>
    <row r="32255" spans="8:8" x14ac:dyDescent="0.3">
      <c r="H32255" t="str">
        <f t="shared" si="553"/>
        <v/>
      </c>
    </row>
    <row r="32256" spans="8:8" x14ac:dyDescent="0.3">
      <c r="H32256" t="str">
        <f t="shared" si="553"/>
        <v/>
      </c>
    </row>
    <row r="32257" spans="8:8" x14ac:dyDescent="0.3">
      <c r="H32257" t="str">
        <f t="shared" si="553"/>
        <v/>
      </c>
    </row>
    <row r="32258" spans="8:8" x14ac:dyDescent="0.3">
      <c r="H32258" t="str">
        <f t="shared" si="553"/>
        <v/>
      </c>
    </row>
    <row r="32259" spans="8:8" x14ac:dyDescent="0.3">
      <c r="H32259" t="str">
        <f t="shared" si="553"/>
        <v/>
      </c>
    </row>
    <row r="32260" spans="8:8" x14ac:dyDescent="0.3">
      <c r="H32260" t="str">
        <f t="shared" si="553"/>
        <v/>
      </c>
    </row>
    <row r="32261" spans="8:8" x14ac:dyDescent="0.3">
      <c r="H32261" t="str">
        <f t="shared" si="553"/>
        <v/>
      </c>
    </row>
    <row r="32262" spans="8:8" x14ac:dyDescent="0.3">
      <c r="H32262" t="str">
        <f t="shared" si="553"/>
        <v/>
      </c>
    </row>
    <row r="32263" spans="8:8" x14ac:dyDescent="0.3">
      <c r="H32263" t="str">
        <f t="shared" si="553"/>
        <v/>
      </c>
    </row>
    <row r="32264" spans="8:8" x14ac:dyDescent="0.3">
      <c r="H32264" t="str">
        <f t="shared" si="553"/>
        <v/>
      </c>
    </row>
    <row r="32265" spans="8:8" x14ac:dyDescent="0.3">
      <c r="H32265" t="str">
        <f t="shared" si="553"/>
        <v/>
      </c>
    </row>
    <row r="32266" spans="8:8" x14ac:dyDescent="0.3">
      <c r="H32266" t="str">
        <f t="shared" si="553"/>
        <v/>
      </c>
    </row>
    <row r="32267" spans="8:8" x14ac:dyDescent="0.3">
      <c r="H32267" t="str">
        <f t="shared" si="553"/>
        <v/>
      </c>
    </row>
    <row r="32268" spans="8:8" x14ac:dyDescent="0.3">
      <c r="H32268" t="str">
        <f t="shared" si="553"/>
        <v/>
      </c>
    </row>
    <row r="32269" spans="8:8" x14ac:dyDescent="0.3">
      <c r="H32269" t="str">
        <f t="shared" si="553"/>
        <v/>
      </c>
    </row>
    <row r="32270" spans="8:8" x14ac:dyDescent="0.3">
      <c r="H32270" t="str">
        <f t="shared" si="553"/>
        <v/>
      </c>
    </row>
    <row r="32271" spans="8:8" x14ac:dyDescent="0.3">
      <c r="H32271" t="str">
        <f t="shared" si="553"/>
        <v/>
      </c>
    </row>
    <row r="32272" spans="8:8" x14ac:dyDescent="0.3">
      <c r="H32272" t="str">
        <f t="shared" si="553"/>
        <v/>
      </c>
    </row>
    <row r="32273" spans="8:8" x14ac:dyDescent="0.3">
      <c r="H32273" t="str">
        <f t="shared" si="553"/>
        <v/>
      </c>
    </row>
    <row r="32274" spans="8:8" x14ac:dyDescent="0.3">
      <c r="H32274" t="str">
        <f t="shared" si="553"/>
        <v/>
      </c>
    </row>
    <row r="32275" spans="8:8" x14ac:dyDescent="0.3">
      <c r="H32275" t="str">
        <f t="shared" si="553"/>
        <v/>
      </c>
    </row>
    <row r="32276" spans="8:8" x14ac:dyDescent="0.3">
      <c r="H32276" t="str">
        <f t="shared" si="553"/>
        <v/>
      </c>
    </row>
    <row r="32277" spans="8:8" x14ac:dyDescent="0.3">
      <c r="H32277" t="str">
        <f t="shared" si="553"/>
        <v/>
      </c>
    </row>
    <row r="32278" spans="8:8" x14ac:dyDescent="0.3">
      <c r="H32278" t="str">
        <f t="shared" si="553"/>
        <v/>
      </c>
    </row>
    <row r="32279" spans="8:8" x14ac:dyDescent="0.3">
      <c r="H32279" t="str">
        <f t="shared" ref="H32279:H32342" si="554">IF(B32279="","",$C$12)</f>
        <v/>
      </c>
    </row>
    <row r="32280" spans="8:8" x14ac:dyDescent="0.3">
      <c r="H32280" t="str">
        <f t="shared" si="554"/>
        <v/>
      </c>
    </row>
    <row r="32281" spans="8:8" x14ac:dyDescent="0.3">
      <c r="H32281" t="str">
        <f t="shared" si="554"/>
        <v/>
      </c>
    </row>
    <row r="32282" spans="8:8" x14ac:dyDescent="0.3">
      <c r="H32282" t="str">
        <f t="shared" si="554"/>
        <v/>
      </c>
    </row>
    <row r="32283" spans="8:8" x14ac:dyDescent="0.3">
      <c r="H32283" t="str">
        <f t="shared" si="554"/>
        <v/>
      </c>
    </row>
    <row r="32284" spans="8:8" x14ac:dyDescent="0.3">
      <c r="H32284" t="str">
        <f t="shared" si="554"/>
        <v/>
      </c>
    </row>
    <row r="32285" spans="8:8" x14ac:dyDescent="0.3">
      <c r="H32285" t="str">
        <f t="shared" si="554"/>
        <v/>
      </c>
    </row>
    <row r="32286" spans="8:8" x14ac:dyDescent="0.3">
      <c r="H32286" t="str">
        <f t="shared" si="554"/>
        <v/>
      </c>
    </row>
    <row r="32287" spans="8:8" x14ac:dyDescent="0.3">
      <c r="H32287" t="str">
        <f t="shared" si="554"/>
        <v/>
      </c>
    </row>
    <row r="32288" spans="8:8" x14ac:dyDescent="0.3">
      <c r="H32288" t="str">
        <f t="shared" si="554"/>
        <v/>
      </c>
    </row>
    <row r="32289" spans="8:8" x14ac:dyDescent="0.3">
      <c r="H32289" t="str">
        <f t="shared" si="554"/>
        <v/>
      </c>
    </row>
    <row r="32290" spans="8:8" x14ac:dyDescent="0.3">
      <c r="H32290" t="str">
        <f t="shared" si="554"/>
        <v/>
      </c>
    </row>
    <row r="32291" spans="8:8" x14ac:dyDescent="0.3">
      <c r="H32291" t="str">
        <f t="shared" si="554"/>
        <v/>
      </c>
    </row>
    <row r="32292" spans="8:8" x14ac:dyDescent="0.3">
      <c r="H32292" t="str">
        <f t="shared" si="554"/>
        <v/>
      </c>
    </row>
    <row r="32293" spans="8:8" x14ac:dyDescent="0.3">
      <c r="H32293" t="str">
        <f t="shared" si="554"/>
        <v/>
      </c>
    </row>
    <row r="32294" spans="8:8" x14ac:dyDescent="0.3">
      <c r="H32294" t="str">
        <f t="shared" si="554"/>
        <v/>
      </c>
    </row>
    <row r="32295" spans="8:8" x14ac:dyDescent="0.3">
      <c r="H32295" t="str">
        <f t="shared" si="554"/>
        <v/>
      </c>
    </row>
    <row r="32296" spans="8:8" x14ac:dyDescent="0.3">
      <c r="H32296" t="str">
        <f t="shared" si="554"/>
        <v/>
      </c>
    </row>
    <row r="32297" spans="8:8" x14ac:dyDescent="0.3">
      <c r="H32297" t="str">
        <f t="shared" si="554"/>
        <v/>
      </c>
    </row>
    <row r="32298" spans="8:8" x14ac:dyDescent="0.3">
      <c r="H32298" t="str">
        <f t="shared" si="554"/>
        <v/>
      </c>
    </row>
    <row r="32299" spans="8:8" x14ac:dyDescent="0.3">
      <c r="H32299" t="str">
        <f t="shared" si="554"/>
        <v/>
      </c>
    </row>
    <row r="32300" spans="8:8" x14ac:dyDescent="0.3">
      <c r="H32300" t="str">
        <f t="shared" si="554"/>
        <v/>
      </c>
    </row>
    <row r="32301" spans="8:8" x14ac:dyDescent="0.3">
      <c r="H32301" t="str">
        <f t="shared" si="554"/>
        <v/>
      </c>
    </row>
    <row r="32302" spans="8:8" x14ac:dyDescent="0.3">
      <c r="H32302" t="str">
        <f t="shared" si="554"/>
        <v/>
      </c>
    </row>
    <row r="32303" spans="8:8" x14ac:dyDescent="0.3">
      <c r="H32303" t="str">
        <f t="shared" si="554"/>
        <v/>
      </c>
    </row>
    <row r="32304" spans="8:8" x14ac:dyDescent="0.3">
      <c r="H32304" t="str">
        <f t="shared" si="554"/>
        <v/>
      </c>
    </row>
    <row r="32305" spans="8:8" x14ac:dyDescent="0.3">
      <c r="H32305" t="str">
        <f t="shared" si="554"/>
        <v/>
      </c>
    </row>
    <row r="32306" spans="8:8" x14ac:dyDescent="0.3">
      <c r="H32306" t="str">
        <f t="shared" si="554"/>
        <v/>
      </c>
    </row>
    <row r="32307" spans="8:8" x14ac:dyDescent="0.3">
      <c r="H32307" t="str">
        <f t="shared" si="554"/>
        <v/>
      </c>
    </row>
    <row r="32308" spans="8:8" x14ac:dyDescent="0.3">
      <c r="H32308" t="str">
        <f t="shared" si="554"/>
        <v/>
      </c>
    </row>
    <row r="32309" spans="8:8" x14ac:dyDescent="0.3">
      <c r="H32309" t="str">
        <f t="shared" si="554"/>
        <v/>
      </c>
    </row>
    <row r="32310" spans="8:8" x14ac:dyDescent="0.3">
      <c r="H32310" t="str">
        <f t="shared" si="554"/>
        <v/>
      </c>
    </row>
    <row r="32311" spans="8:8" x14ac:dyDescent="0.3">
      <c r="H32311" t="str">
        <f t="shared" si="554"/>
        <v/>
      </c>
    </row>
    <row r="32312" spans="8:8" x14ac:dyDescent="0.3">
      <c r="H32312" t="str">
        <f t="shared" si="554"/>
        <v/>
      </c>
    </row>
    <row r="32313" spans="8:8" x14ac:dyDescent="0.3">
      <c r="H32313" t="str">
        <f t="shared" si="554"/>
        <v/>
      </c>
    </row>
    <row r="32314" spans="8:8" x14ac:dyDescent="0.3">
      <c r="H32314" t="str">
        <f t="shared" si="554"/>
        <v/>
      </c>
    </row>
    <row r="32315" spans="8:8" x14ac:dyDescent="0.3">
      <c r="H32315" t="str">
        <f t="shared" si="554"/>
        <v/>
      </c>
    </row>
    <row r="32316" spans="8:8" x14ac:dyDescent="0.3">
      <c r="H32316" t="str">
        <f t="shared" si="554"/>
        <v/>
      </c>
    </row>
    <row r="32317" spans="8:8" x14ac:dyDescent="0.3">
      <c r="H32317" t="str">
        <f t="shared" si="554"/>
        <v/>
      </c>
    </row>
    <row r="32318" spans="8:8" x14ac:dyDescent="0.3">
      <c r="H32318" t="str">
        <f t="shared" si="554"/>
        <v/>
      </c>
    </row>
    <row r="32319" spans="8:8" x14ac:dyDescent="0.3">
      <c r="H32319" t="str">
        <f t="shared" si="554"/>
        <v/>
      </c>
    </row>
    <row r="32320" spans="8:8" x14ac:dyDescent="0.3">
      <c r="H32320" t="str">
        <f t="shared" si="554"/>
        <v/>
      </c>
    </row>
    <row r="32321" spans="8:8" x14ac:dyDescent="0.3">
      <c r="H32321" t="str">
        <f t="shared" si="554"/>
        <v/>
      </c>
    </row>
    <row r="32322" spans="8:8" x14ac:dyDescent="0.3">
      <c r="H32322" t="str">
        <f t="shared" si="554"/>
        <v/>
      </c>
    </row>
    <row r="32323" spans="8:8" x14ac:dyDescent="0.3">
      <c r="H32323" t="str">
        <f t="shared" si="554"/>
        <v/>
      </c>
    </row>
    <row r="32324" spans="8:8" x14ac:dyDescent="0.3">
      <c r="H32324" t="str">
        <f t="shared" si="554"/>
        <v/>
      </c>
    </row>
    <row r="32325" spans="8:8" x14ac:dyDescent="0.3">
      <c r="H32325" t="str">
        <f t="shared" si="554"/>
        <v/>
      </c>
    </row>
    <row r="32326" spans="8:8" x14ac:dyDescent="0.3">
      <c r="H32326" t="str">
        <f t="shared" si="554"/>
        <v/>
      </c>
    </row>
    <row r="32327" spans="8:8" x14ac:dyDescent="0.3">
      <c r="H32327" t="str">
        <f t="shared" si="554"/>
        <v/>
      </c>
    </row>
    <row r="32328" spans="8:8" x14ac:dyDescent="0.3">
      <c r="H32328" t="str">
        <f t="shared" si="554"/>
        <v/>
      </c>
    </row>
    <row r="32329" spans="8:8" x14ac:dyDescent="0.3">
      <c r="H32329" t="str">
        <f t="shared" si="554"/>
        <v/>
      </c>
    </row>
    <row r="32330" spans="8:8" x14ac:dyDescent="0.3">
      <c r="H32330" t="str">
        <f t="shared" si="554"/>
        <v/>
      </c>
    </row>
    <row r="32331" spans="8:8" x14ac:dyDescent="0.3">
      <c r="H32331" t="str">
        <f t="shared" si="554"/>
        <v/>
      </c>
    </row>
    <row r="32332" spans="8:8" x14ac:dyDescent="0.3">
      <c r="H32332" t="str">
        <f t="shared" si="554"/>
        <v/>
      </c>
    </row>
    <row r="32333" spans="8:8" x14ac:dyDescent="0.3">
      <c r="H32333" t="str">
        <f t="shared" si="554"/>
        <v/>
      </c>
    </row>
    <row r="32334" spans="8:8" x14ac:dyDescent="0.3">
      <c r="H32334" t="str">
        <f t="shared" si="554"/>
        <v/>
      </c>
    </row>
    <row r="32335" spans="8:8" x14ac:dyDescent="0.3">
      <c r="H32335" t="str">
        <f t="shared" si="554"/>
        <v/>
      </c>
    </row>
    <row r="32336" spans="8:8" x14ac:dyDescent="0.3">
      <c r="H32336" t="str">
        <f t="shared" si="554"/>
        <v/>
      </c>
    </row>
    <row r="32337" spans="8:8" x14ac:dyDescent="0.3">
      <c r="H32337" t="str">
        <f t="shared" si="554"/>
        <v/>
      </c>
    </row>
    <row r="32338" spans="8:8" x14ac:dyDescent="0.3">
      <c r="H32338" t="str">
        <f t="shared" si="554"/>
        <v/>
      </c>
    </row>
    <row r="32339" spans="8:8" x14ac:dyDescent="0.3">
      <c r="H32339" t="str">
        <f t="shared" si="554"/>
        <v/>
      </c>
    </row>
    <row r="32340" spans="8:8" x14ac:dyDescent="0.3">
      <c r="H32340" t="str">
        <f t="shared" si="554"/>
        <v/>
      </c>
    </row>
    <row r="32341" spans="8:8" x14ac:dyDescent="0.3">
      <c r="H32341" t="str">
        <f t="shared" si="554"/>
        <v/>
      </c>
    </row>
    <row r="32342" spans="8:8" x14ac:dyDescent="0.3">
      <c r="H32342" t="str">
        <f t="shared" si="554"/>
        <v/>
      </c>
    </row>
    <row r="32343" spans="8:8" x14ac:dyDescent="0.3">
      <c r="H32343" t="str">
        <f t="shared" ref="H32343:H32406" si="555">IF(B32343="","",$C$12)</f>
        <v/>
      </c>
    </row>
    <row r="32344" spans="8:8" x14ac:dyDescent="0.3">
      <c r="H32344" t="str">
        <f t="shared" si="555"/>
        <v/>
      </c>
    </row>
    <row r="32345" spans="8:8" x14ac:dyDescent="0.3">
      <c r="H32345" t="str">
        <f t="shared" si="555"/>
        <v/>
      </c>
    </row>
    <row r="32346" spans="8:8" x14ac:dyDescent="0.3">
      <c r="H32346" t="str">
        <f t="shared" si="555"/>
        <v/>
      </c>
    </row>
    <row r="32347" spans="8:8" x14ac:dyDescent="0.3">
      <c r="H32347" t="str">
        <f t="shared" si="555"/>
        <v/>
      </c>
    </row>
    <row r="32348" spans="8:8" x14ac:dyDescent="0.3">
      <c r="H32348" t="str">
        <f t="shared" si="555"/>
        <v/>
      </c>
    </row>
    <row r="32349" spans="8:8" x14ac:dyDescent="0.3">
      <c r="H32349" t="str">
        <f t="shared" si="555"/>
        <v/>
      </c>
    </row>
    <row r="32350" spans="8:8" x14ac:dyDescent="0.3">
      <c r="H32350" t="str">
        <f t="shared" si="555"/>
        <v/>
      </c>
    </row>
    <row r="32351" spans="8:8" x14ac:dyDescent="0.3">
      <c r="H32351" t="str">
        <f t="shared" si="555"/>
        <v/>
      </c>
    </row>
    <row r="32352" spans="8:8" x14ac:dyDescent="0.3">
      <c r="H32352" t="str">
        <f t="shared" si="555"/>
        <v/>
      </c>
    </row>
    <row r="32353" spans="8:8" x14ac:dyDescent="0.3">
      <c r="H32353" t="str">
        <f t="shared" si="555"/>
        <v/>
      </c>
    </row>
    <row r="32354" spans="8:8" x14ac:dyDescent="0.3">
      <c r="H32354" t="str">
        <f t="shared" si="555"/>
        <v/>
      </c>
    </row>
    <row r="32355" spans="8:8" x14ac:dyDescent="0.3">
      <c r="H32355" t="str">
        <f t="shared" si="555"/>
        <v/>
      </c>
    </row>
    <row r="32356" spans="8:8" x14ac:dyDescent="0.3">
      <c r="H32356" t="str">
        <f t="shared" si="555"/>
        <v/>
      </c>
    </row>
    <row r="32357" spans="8:8" x14ac:dyDescent="0.3">
      <c r="H32357" t="str">
        <f t="shared" si="555"/>
        <v/>
      </c>
    </row>
    <row r="32358" spans="8:8" x14ac:dyDescent="0.3">
      <c r="H32358" t="str">
        <f t="shared" si="555"/>
        <v/>
      </c>
    </row>
    <row r="32359" spans="8:8" x14ac:dyDescent="0.3">
      <c r="H32359" t="str">
        <f t="shared" si="555"/>
        <v/>
      </c>
    </row>
    <row r="32360" spans="8:8" x14ac:dyDescent="0.3">
      <c r="H32360" t="str">
        <f t="shared" si="555"/>
        <v/>
      </c>
    </row>
    <row r="32361" spans="8:8" x14ac:dyDescent="0.3">
      <c r="H32361" t="str">
        <f t="shared" si="555"/>
        <v/>
      </c>
    </row>
    <row r="32362" spans="8:8" x14ac:dyDescent="0.3">
      <c r="H32362" t="str">
        <f t="shared" si="555"/>
        <v/>
      </c>
    </row>
    <row r="32363" spans="8:8" x14ac:dyDescent="0.3">
      <c r="H32363" t="str">
        <f t="shared" si="555"/>
        <v/>
      </c>
    </row>
    <row r="32364" spans="8:8" x14ac:dyDescent="0.3">
      <c r="H32364" t="str">
        <f t="shared" si="555"/>
        <v/>
      </c>
    </row>
    <row r="32365" spans="8:8" x14ac:dyDescent="0.3">
      <c r="H32365" t="str">
        <f t="shared" si="555"/>
        <v/>
      </c>
    </row>
    <row r="32366" spans="8:8" x14ac:dyDescent="0.3">
      <c r="H32366" t="str">
        <f t="shared" si="555"/>
        <v/>
      </c>
    </row>
    <row r="32367" spans="8:8" x14ac:dyDescent="0.3">
      <c r="H32367" t="str">
        <f t="shared" si="555"/>
        <v/>
      </c>
    </row>
    <row r="32368" spans="8:8" x14ac:dyDescent="0.3">
      <c r="H32368" t="str">
        <f t="shared" si="555"/>
        <v/>
      </c>
    </row>
    <row r="32369" spans="8:8" x14ac:dyDescent="0.3">
      <c r="H32369" t="str">
        <f t="shared" si="555"/>
        <v/>
      </c>
    </row>
    <row r="32370" spans="8:8" x14ac:dyDescent="0.3">
      <c r="H32370" t="str">
        <f t="shared" si="555"/>
        <v/>
      </c>
    </row>
    <row r="32371" spans="8:8" x14ac:dyDescent="0.3">
      <c r="H32371" t="str">
        <f t="shared" si="555"/>
        <v/>
      </c>
    </row>
    <row r="32372" spans="8:8" x14ac:dyDescent="0.3">
      <c r="H32372" t="str">
        <f t="shared" si="555"/>
        <v/>
      </c>
    </row>
    <row r="32373" spans="8:8" x14ac:dyDescent="0.3">
      <c r="H32373" t="str">
        <f t="shared" si="555"/>
        <v/>
      </c>
    </row>
    <row r="32374" spans="8:8" x14ac:dyDescent="0.3">
      <c r="H32374" t="str">
        <f t="shared" si="555"/>
        <v/>
      </c>
    </row>
    <row r="32375" spans="8:8" x14ac:dyDescent="0.3">
      <c r="H32375" t="str">
        <f t="shared" si="555"/>
        <v/>
      </c>
    </row>
    <row r="32376" spans="8:8" x14ac:dyDescent="0.3">
      <c r="H32376" t="str">
        <f t="shared" si="555"/>
        <v/>
      </c>
    </row>
    <row r="32377" spans="8:8" x14ac:dyDescent="0.3">
      <c r="H32377" t="str">
        <f t="shared" si="555"/>
        <v/>
      </c>
    </row>
    <row r="32378" spans="8:8" x14ac:dyDescent="0.3">
      <c r="H32378" t="str">
        <f t="shared" si="555"/>
        <v/>
      </c>
    </row>
    <row r="32379" spans="8:8" x14ac:dyDescent="0.3">
      <c r="H32379" t="str">
        <f t="shared" si="555"/>
        <v/>
      </c>
    </row>
    <row r="32380" spans="8:8" x14ac:dyDescent="0.3">
      <c r="H32380" t="str">
        <f t="shared" si="555"/>
        <v/>
      </c>
    </row>
    <row r="32381" spans="8:8" x14ac:dyDescent="0.3">
      <c r="H32381" t="str">
        <f t="shared" si="555"/>
        <v/>
      </c>
    </row>
    <row r="32382" spans="8:8" x14ac:dyDescent="0.3">
      <c r="H32382" t="str">
        <f t="shared" si="555"/>
        <v/>
      </c>
    </row>
    <row r="32383" spans="8:8" x14ac:dyDescent="0.3">
      <c r="H32383" t="str">
        <f t="shared" si="555"/>
        <v/>
      </c>
    </row>
    <row r="32384" spans="8:8" x14ac:dyDescent="0.3">
      <c r="H32384" t="str">
        <f t="shared" si="555"/>
        <v/>
      </c>
    </row>
    <row r="32385" spans="8:8" x14ac:dyDescent="0.3">
      <c r="H32385" t="str">
        <f t="shared" si="555"/>
        <v/>
      </c>
    </row>
    <row r="32386" spans="8:8" x14ac:dyDescent="0.3">
      <c r="H32386" t="str">
        <f t="shared" si="555"/>
        <v/>
      </c>
    </row>
    <row r="32387" spans="8:8" x14ac:dyDescent="0.3">
      <c r="H32387" t="str">
        <f t="shared" si="555"/>
        <v/>
      </c>
    </row>
    <row r="32388" spans="8:8" x14ac:dyDescent="0.3">
      <c r="H32388" t="str">
        <f t="shared" si="555"/>
        <v/>
      </c>
    </row>
    <row r="32389" spans="8:8" x14ac:dyDescent="0.3">
      <c r="H32389" t="str">
        <f t="shared" si="555"/>
        <v/>
      </c>
    </row>
    <row r="32390" spans="8:8" x14ac:dyDescent="0.3">
      <c r="H32390" t="str">
        <f t="shared" si="555"/>
        <v/>
      </c>
    </row>
    <row r="32391" spans="8:8" x14ac:dyDescent="0.3">
      <c r="H32391" t="str">
        <f t="shared" si="555"/>
        <v/>
      </c>
    </row>
    <row r="32392" spans="8:8" x14ac:dyDescent="0.3">
      <c r="H32392" t="str">
        <f t="shared" si="555"/>
        <v/>
      </c>
    </row>
    <row r="32393" spans="8:8" x14ac:dyDescent="0.3">
      <c r="H32393" t="str">
        <f t="shared" si="555"/>
        <v/>
      </c>
    </row>
    <row r="32394" spans="8:8" x14ac:dyDescent="0.3">
      <c r="H32394" t="str">
        <f t="shared" si="555"/>
        <v/>
      </c>
    </row>
    <row r="32395" spans="8:8" x14ac:dyDescent="0.3">
      <c r="H32395" t="str">
        <f t="shared" si="555"/>
        <v/>
      </c>
    </row>
    <row r="32396" spans="8:8" x14ac:dyDescent="0.3">
      <c r="H32396" t="str">
        <f t="shared" si="555"/>
        <v/>
      </c>
    </row>
    <row r="32397" spans="8:8" x14ac:dyDescent="0.3">
      <c r="H32397" t="str">
        <f t="shared" si="555"/>
        <v/>
      </c>
    </row>
    <row r="32398" spans="8:8" x14ac:dyDescent="0.3">
      <c r="H32398" t="str">
        <f t="shared" si="555"/>
        <v/>
      </c>
    </row>
    <row r="32399" spans="8:8" x14ac:dyDescent="0.3">
      <c r="H32399" t="str">
        <f t="shared" si="555"/>
        <v/>
      </c>
    </row>
    <row r="32400" spans="8:8" x14ac:dyDescent="0.3">
      <c r="H32400" t="str">
        <f t="shared" si="555"/>
        <v/>
      </c>
    </row>
    <row r="32401" spans="8:8" x14ac:dyDescent="0.3">
      <c r="H32401" t="str">
        <f t="shared" si="555"/>
        <v/>
      </c>
    </row>
    <row r="32402" spans="8:8" x14ac:dyDescent="0.3">
      <c r="H32402" t="str">
        <f t="shared" si="555"/>
        <v/>
      </c>
    </row>
    <row r="32403" spans="8:8" x14ac:dyDescent="0.3">
      <c r="H32403" t="str">
        <f t="shared" si="555"/>
        <v/>
      </c>
    </row>
    <row r="32404" spans="8:8" x14ac:dyDescent="0.3">
      <c r="H32404" t="str">
        <f t="shared" si="555"/>
        <v/>
      </c>
    </row>
    <row r="32405" spans="8:8" x14ac:dyDescent="0.3">
      <c r="H32405" t="str">
        <f t="shared" si="555"/>
        <v/>
      </c>
    </row>
    <row r="32406" spans="8:8" x14ac:dyDescent="0.3">
      <c r="H32406" t="str">
        <f t="shared" si="555"/>
        <v/>
      </c>
    </row>
    <row r="32407" spans="8:8" x14ac:dyDescent="0.3">
      <c r="H32407" t="str">
        <f t="shared" ref="H32407:H32470" si="556">IF(B32407="","",$C$12)</f>
        <v/>
      </c>
    </row>
    <row r="32408" spans="8:8" x14ac:dyDescent="0.3">
      <c r="H32408" t="str">
        <f t="shared" si="556"/>
        <v/>
      </c>
    </row>
    <row r="32409" spans="8:8" x14ac:dyDescent="0.3">
      <c r="H32409" t="str">
        <f t="shared" si="556"/>
        <v/>
      </c>
    </row>
    <row r="32410" spans="8:8" x14ac:dyDescent="0.3">
      <c r="H32410" t="str">
        <f t="shared" si="556"/>
        <v/>
      </c>
    </row>
    <row r="32411" spans="8:8" x14ac:dyDescent="0.3">
      <c r="H32411" t="str">
        <f t="shared" si="556"/>
        <v/>
      </c>
    </row>
    <row r="32412" spans="8:8" x14ac:dyDescent="0.3">
      <c r="H32412" t="str">
        <f t="shared" si="556"/>
        <v/>
      </c>
    </row>
    <row r="32413" spans="8:8" x14ac:dyDescent="0.3">
      <c r="H32413" t="str">
        <f t="shared" si="556"/>
        <v/>
      </c>
    </row>
    <row r="32414" spans="8:8" x14ac:dyDescent="0.3">
      <c r="H32414" t="str">
        <f t="shared" si="556"/>
        <v/>
      </c>
    </row>
    <row r="32415" spans="8:8" x14ac:dyDescent="0.3">
      <c r="H32415" t="str">
        <f t="shared" si="556"/>
        <v/>
      </c>
    </row>
    <row r="32416" spans="8:8" x14ac:dyDescent="0.3">
      <c r="H32416" t="str">
        <f t="shared" si="556"/>
        <v/>
      </c>
    </row>
    <row r="32417" spans="8:8" x14ac:dyDescent="0.3">
      <c r="H32417" t="str">
        <f t="shared" si="556"/>
        <v/>
      </c>
    </row>
    <row r="32418" spans="8:8" x14ac:dyDescent="0.3">
      <c r="H32418" t="str">
        <f t="shared" si="556"/>
        <v/>
      </c>
    </row>
    <row r="32419" spans="8:8" x14ac:dyDescent="0.3">
      <c r="H32419" t="str">
        <f t="shared" si="556"/>
        <v/>
      </c>
    </row>
    <row r="32420" spans="8:8" x14ac:dyDescent="0.3">
      <c r="H32420" t="str">
        <f t="shared" si="556"/>
        <v/>
      </c>
    </row>
    <row r="32421" spans="8:8" x14ac:dyDescent="0.3">
      <c r="H32421" t="str">
        <f t="shared" si="556"/>
        <v/>
      </c>
    </row>
    <row r="32422" spans="8:8" x14ac:dyDescent="0.3">
      <c r="H32422" t="str">
        <f t="shared" si="556"/>
        <v/>
      </c>
    </row>
    <row r="32423" spans="8:8" x14ac:dyDescent="0.3">
      <c r="H32423" t="str">
        <f t="shared" si="556"/>
        <v/>
      </c>
    </row>
    <row r="32424" spans="8:8" x14ac:dyDescent="0.3">
      <c r="H32424" t="str">
        <f t="shared" si="556"/>
        <v/>
      </c>
    </row>
    <row r="32425" spans="8:8" x14ac:dyDescent="0.3">
      <c r="H32425" t="str">
        <f t="shared" si="556"/>
        <v/>
      </c>
    </row>
    <row r="32426" spans="8:8" x14ac:dyDescent="0.3">
      <c r="H32426" t="str">
        <f t="shared" si="556"/>
        <v/>
      </c>
    </row>
    <row r="32427" spans="8:8" x14ac:dyDescent="0.3">
      <c r="H32427" t="str">
        <f t="shared" si="556"/>
        <v/>
      </c>
    </row>
    <row r="32428" spans="8:8" x14ac:dyDescent="0.3">
      <c r="H32428" t="str">
        <f t="shared" si="556"/>
        <v/>
      </c>
    </row>
    <row r="32429" spans="8:8" x14ac:dyDescent="0.3">
      <c r="H32429" t="str">
        <f t="shared" si="556"/>
        <v/>
      </c>
    </row>
    <row r="32430" spans="8:8" x14ac:dyDescent="0.3">
      <c r="H32430" t="str">
        <f t="shared" si="556"/>
        <v/>
      </c>
    </row>
    <row r="32431" spans="8:8" x14ac:dyDescent="0.3">
      <c r="H32431" t="str">
        <f t="shared" si="556"/>
        <v/>
      </c>
    </row>
    <row r="32432" spans="8:8" x14ac:dyDescent="0.3">
      <c r="H32432" t="str">
        <f t="shared" si="556"/>
        <v/>
      </c>
    </row>
    <row r="32433" spans="8:8" x14ac:dyDescent="0.3">
      <c r="H32433" t="str">
        <f t="shared" si="556"/>
        <v/>
      </c>
    </row>
    <row r="32434" spans="8:8" x14ac:dyDescent="0.3">
      <c r="H32434" t="str">
        <f t="shared" si="556"/>
        <v/>
      </c>
    </row>
    <row r="32435" spans="8:8" x14ac:dyDescent="0.3">
      <c r="H32435" t="str">
        <f t="shared" si="556"/>
        <v/>
      </c>
    </row>
    <row r="32436" spans="8:8" x14ac:dyDescent="0.3">
      <c r="H32436" t="str">
        <f t="shared" si="556"/>
        <v/>
      </c>
    </row>
    <row r="32437" spans="8:8" x14ac:dyDescent="0.3">
      <c r="H32437" t="str">
        <f t="shared" si="556"/>
        <v/>
      </c>
    </row>
    <row r="32438" spans="8:8" x14ac:dyDescent="0.3">
      <c r="H32438" t="str">
        <f t="shared" si="556"/>
        <v/>
      </c>
    </row>
    <row r="32439" spans="8:8" x14ac:dyDescent="0.3">
      <c r="H32439" t="str">
        <f t="shared" si="556"/>
        <v/>
      </c>
    </row>
    <row r="32440" spans="8:8" x14ac:dyDescent="0.3">
      <c r="H32440" t="str">
        <f t="shared" si="556"/>
        <v/>
      </c>
    </row>
    <row r="32441" spans="8:8" x14ac:dyDescent="0.3">
      <c r="H32441" t="str">
        <f t="shared" si="556"/>
        <v/>
      </c>
    </row>
    <row r="32442" spans="8:8" x14ac:dyDescent="0.3">
      <c r="H32442" t="str">
        <f t="shared" si="556"/>
        <v/>
      </c>
    </row>
    <row r="32443" spans="8:8" x14ac:dyDescent="0.3">
      <c r="H32443" t="str">
        <f t="shared" si="556"/>
        <v/>
      </c>
    </row>
    <row r="32444" spans="8:8" x14ac:dyDescent="0.3">
      <c r="H32444" t="str">
        <f t="shared" si="556"/>
        <v/>
      </c>
    </row>
    <row r="32445" spans="8:8" x14ac:dyDescent="0.3">
      <c r="H32445" t="str">
        <f t="shared" si="556"/>
        <v/>
      </c>
    </row>
    <row r="32446" spans="8:8" x14ac:dyDescent="0.3">
      <c r="H32446" t="str">
        <f t="shared" si="556"/>
        <v/>
      </c>
    </row>
    <row r="32447" spans="8:8" x14ac:dyDescent="0.3">
      <c r="H32447" t="str">
        <f t="shared" si="556"/>
        <v/>
      </c>
    </row>
    <row r="32448" spans="8:8" x14ac:dyDescent="0.3">
      <c r="H32448" t="str">
        <f t="shared" si="556"/>
        <v/>
      </c>
    </row>
    <row r="32449" spans="8:8" x14ac:dyDescent="0.3">
      <c r="H32449" t="str">
        <f t="shared" si="556"/>
        <v/>
      </c>
    </row>
    <row r="32450" spans="8:8" x14ac:dyDescent="0.3">
      <c r="H32450" t="str">
        <f t="shared" si="556"/>
        <v/>
      </c>
    </row>
    <row r="32451" spans="8:8" x14ac:dyDescent="0.3">
      <c r="H32451" t="str">
        <f t="shared" si="556"/>
        <v/>
      </c>
    </row>
    <row r="32452" spans="8:8" x14ac:dyDescent="0.3">
      <c r="H32452" t="str">
        <f t="shared" si="556"/>
        <v/>
      </c>
    </row>
    <row r="32453" spans="8:8" x14ac:dyDescent="0.3">
      <c r="H32453" t="str">
        <f t="shared" si="556"/>
        <v/>
      </c>
    </row>
    <row r="32454" spans="8:8" x14ac:dyDescent="0.3">
      <c r="H32454" t="str">
        <f t="shared" si="556"/>
        <v/>
      </c>
    </row>
    <row r="32455" spans="8:8" x14ac:dyDescent="0.3">
      <c r="H32455" t="str">
        <f t="shared" si="556"/>
        <v/>
      </c>
    </row>
    <row r="32456" spans="8:8" x14ac:dyDescent="0.3">
      <c r="H32456" t="str">
        <f t="shared" si="556"/>
        <v/>
      </c>
    </row>
    <row r="32457" spans="8:8" x14ac:dyDescent="0.3">
      <c r="H32457" t="str">
        <f t="shared" si="556"/>
        <v/>
      </c>
    </row>
    <row r="32458" spans="8:8" x14ac:dyDescent="0.3">
      <c r="H32458" t="str">
        <f t="shared" si="556"/>
        <v/>
      </c>
    </row>
    <row r="32459" spans="8:8" x14ac:dyDescent="0.3">
      <c r="H32459" t="str">
        <f t="shared" si="556"/>
        <v/>
      </c>
    </row>
    <row r="32460" spans="8:8" x14ac:dyDescent="0.3">
      <c r="H32460" t="str">
        <f t="shared" si="556"/>
        <v/>
      </c>
    </row>
    <row r="32461" spans="8:8" x14ac:dyDescent="0.3">
      <c r="H32461" t="str">
        <f t="shared" si="556"/>
        <v/>
      </c>
    </row>
    <row r="32462" spans="8:8" x14ac:dyDescent="0.3">
      <c r="H32462" t="str">
        <f t="shared" si="556"/>
        <v/>
      </c>
    </row>
    <row r="32463" spans="8:8" x14ac:dyDescent="0.3">
      <c r="H32463" t="str">
        <f t="shared" si="556"/>
        <v/>
      </c>
    </row>
    <row r="32464" spans="8:8" x14ac:dyDescent="0.3">
      <c r="H32464" t="str">
        <f t="shared" si="556"/>
        <v/>
      </c>
    </row>
    <row r="32465" spans="8:8" x14ac:dyDescent="0.3">
      <c r="H32465" t="str">
        <f t="shared" si="556"/>
        <v/>
      </c>
    </row>
    <row r="32466" spans="8:8" x14ac:dyDescent="0.3">
      <c r="H32466" t="str">
        <f t="shared" si="556"/>
        <v/>
      </c>
    </row>
    <row r="32467" spans="8:8" x14ac:dyDescent="0.3">
      <c r="H32467" t="str">
        <f t="shared" si="556"/>
        <v/>
      </c>
    </row>
    <row r="32468" spans="8:8" x14ac:dyDescent="0.3">
      <c r="H32468" t="str">
        <f t="shared" si="556"/>
        <v/>
      </c>
    </row>
    <row r="32469" spans="8:8" x14ac:dyDescent="0.3">
      <c r="H32469" t="str">
        <f t="shared" si="556"/>
        <v/>
      </c>
    </row>
    <row r="32470" spans="8:8" x14ac:dyDescent="0.3">
      <c r="H32470" t="str">
        <f t="shared" si="556"/>
        <v/>
      </c>
    </row>
    <row r="32471" spans="8:8" x14ac:dyDescent="0.3">
      <c r="H32471" t="str">
        <f t="shared" ref="H32471:H32534" si="557">IF(B32471="","",$C$12)</f>
        <v/>
      </c>
    </row>
    <row r="32472" spans="8:8" x14ac:dyDescent="0.3">
      <c r="H32472" t="str">
        <f t="shared" si="557"/>
        <v/>
      </c>
    </row>
    <row r="32473" spans="8:8" x14ac:dyDescent="0.3">
      <c r="H32473" t="str">
        <f t="shared" si="557"/>
        <v/>
      </c>
    </row>
    <row r="32474" spans="8:8" x14ac:dyDescent="0.3">
      <c r="H32474" t="str">
        <f t="shared" si="557"/>
        <v/>
      </c>
    </row>
    <row r="32475" spans="8:8" x14ac:dyDescent="0.3">
      <c r="H32475" t="str">
        <f t="shared" si="557"/>
        <v/>
      </c>
    </row>
    <row r="32476" spans="8:8" x14ac:dyDescent="0.3">
      <c r="H32476" t="str">
        <f t="shared" si="557"/>
        <v/>
      </c>
    </row>
    <row r="32477" spans="8:8" x14ac:dyDescent="0.3">
      <c r="H32477" t="str">
        <f t="shared" si="557"/>
        <v/>
      </c>
    </row>
    <row r="32478" spans="8:8" x14ac:dyDescent="0.3">
      <c r="H32478" t="str">
        <f t="shared" si="557"/>
        <v/>
      </c>
    </row>
    <row r="32479" spans="8:8" x14ac:dyDescent="0.3">
      <c r="H32479" t="str">
        <f t="shared" si="557"/>
        <v/>
      </c>
    </row>
    <row r="32480" spans="8:8" x14ac:dyDescent="0.3">
      <c r="H32480" t="str">
        <f t="shared" si="557"/>
        <v/>
      </c>
    </row>
    <row r="32481" spans="8:8" x14ac:dyDescent="0.3">
      <c r="H32481" t="str">
        <f t="shared" si="557"/>
        <v/>
      </c>
    </row>
    <row r="32482" spans="8:8" x14ac:dyDescent="0.3">
      <c r="H32482" t="str">
        <f t="shared" si="557"/>
        <v/>
      </c>
    </row>
    <row r="32483" spans="8:8" x14ac:dyDescent="0.3">
      <c r="H32483" t="str">
        <f t="shared" si="557"/>
        <v/>
      </c>
    </row>
    <row r="32484" spans="8:8" x14ac:dyDescent="0.3">
      <c r="H32484" t="str">
        <f t="shared" si="557"/>
        <v/>
      </c>
    </row>
    <row r="32485" spans="8:8" x14ac:dyDescent="0.3">
      <c r="H32485" t="str">
        <f t="shared" si="557"/>
        <v/>
      </c>
    </row>
    <row r="32486" spans="8:8" x14ac:dyDescent="0.3">
      <c r="H32486" t="str">
        <f t="shared" si="557"/>
        <v/>
      </c>
    </row>
    <row r="32487" spans="8:8" x14ac:dyDescent="0.3">
      <c r="H32487" t="str">
        <f t="shared" si="557"/>
        <v/>
      </c>
    </row>
    <row r="32488" spans="8:8" x14ac:dyDescent="0.3">
      <c r="H32488" t="str">
        <f t="shared" si="557"/>
        <v/>
      </c>
    </row>
    <row r="32489" spans="8:8" x14ac:dyDescent="0.3">
      <c r="H32489" t="str">
        <f t="shared" si="557"/>
        <v/>
      </c>
    </row>
    <row r="32490" spans="8:8" x14ac:dyDescent="0.3">
      <c r="H32490" t="str">
        <f t="shared" si="557"/>
        <v/>
      </c>
    </row>
    <row r="32491" spans="8:8" x14ac:dyDescent="0.3">
      <c r="H32491" t="str">
        <f t="shared" si="557"/>
        <v/>
      </c>
    </row>
    <row r="32492" spans="8:8" x14ac:dyDescent="0.3">
      <c r="H32492" t="str">
        <f t="shared" si="557"/>
        <v/>
      </c>
    </row>
    <row r="32493" spans="8:8" x14ac:dyDescent="0.3">
      <c r="H32493" t="str">
        <f t="shared" si="557"/>
        <v/>
      </c>
    </row>
    <row r="32494" spans="8:8" x14ac:dyDescent="0.3">
      <c r="H32494" t="str">
        <f t="shared" si="557"/>
        <v/>
      </c>
    </row>
    <row r="32495" spans="8:8" x14ac:dyDescent="0.3">
      <c r="H32495" t="str">
        <f t="shared" si="557"/>
        <v/>
      </c>
    </row>
    <row r="32496" spans="8:8" x14ac:dyDescent="0.3">
      <c r="H32496" t="str">
        <f t="shared" si="557"/>
        <v/>
      </c>
    </row>
    <row r="32497" spans="8:8" x14ac:dyDescent="0.3">
      <c r="H32497" t="str">
        <f t="shared" si="557"/>
        <v/>
      </c>
    </row>
    <row r="32498" spans="8:8" x14ac:dyDescent="0.3">
      <c r="H32498" t="str">
        <f t="shared" si="557"/>
        <v/>
      </c>
    </row>
    <row r="32499" spans="8:8" x14ac:dyDescent="0.3">
      <c r="H32499" t="str">
        <f t="shared" si="557"/>
        <v/>
      </c>
    </row>
    <row r="32500" spans="8:8" x14ac:dyDescent="0.3">
      <c r="H32500" t="str">
        <f t="shared" si="557"/>
        <v/>
      </c>
    </row>
    <row r="32501" spans="8:8" x14ac:dyDescent="0.3">
      <c r="H32501" t="str">
        <f t="shared" si="557"/>
        <v/>
      </c>
    </row>
    <row r="32502" spans="8:8" x14ac:dyDescent="0.3">
      <c r="H32502" t="str">
        <f t="shared" si="557"/>
        <v/>
      </c>
    </row>
    <row r="32503" spans="8:8" x14ac:dyDescent="0.3">
      <c r="H32503" t="str">
        <f t="shared" si="557"/>
        <v/>
      </c>
    </row>
    <row r="32504" spans="8:8" x14ac:dyDescent="0.3">
      <c r="H32504" t="str">
        <f t="shared" si="557"/>
        <v/>
      </c>
    </row>
    <row r="32505" spans="8:8" x14ac:dyDescent="0.3">
      <c r="H32505" t="str">
        <f t="shared" si="557"/>
        <v/>
      </c>
    </row>
    <row r="32506" spans="8:8" x14ac:dyDescent="0.3">
      <c r="H32506" t="str">
        <f t="shared" si="557"/>
        <v/>
      </c>
    </row>
    <row r="32507" spans="8:8" x14ac:dyDescent="0.3">
      <c r="H32507" t="str">
        <f t="shared" si="557"/>
        <v/>
      </c>
    </row>
    <row r="32508" spans="8:8" x14ac:dyDescent="0.3">
      <c r="H32508" t="str">
        <f t="shared" si="557"/>
        <v/>
      </c>
    </row>
    <row r="32509" spans="8:8" x14ac:dyDescent="0.3">
      <c r="H32509" t="str">
        <f t="shared" si="557"/>
        <v/>
      </c>
    </row>
    <row r="32510" spans="8:8" x14ac:dyDescent="0.3">
      <c r="H32510" t="str">
        <f t="shared" si="557"/>
        <v/>
      </c>
    </row>
    <row r="32511" spans="8:8" x14ac:dyDescent="0.3">
      <c r="H32511" t="str">
        <f t="shared" si="557"/>
        <v/>
      </c>
    </row>
    <row r="32512" spans="8:8" x14ac:dyDescent="0.3">
      <c r="H32512" t="str">
        <f t="shared" si="557"/>
        <v/>
      </c>
    </row>
    <row r="32513" spans="8:8" x14ac:dyDescent="0.3">
      <c r="H32513" t="str">
        <f t="shared" si="557"/>
        <v/>
      </c>
    </row>
    <row r="32514" spans="8:8" x14ac:dyDescent="0.3">
      <c r="H32514" t="str">
        <f t="shared" si="557"/>
        <v/>
      </c>
    </row>
    <row r="32515" spans="8:8" x14ac:dyDescent="0.3">
      <c r="H32515" t="str">
        <f t="shared" si="557"/>
        <v/>
      </c>
    </row>
    <row r="32516" spans="8:8" x14ac:dyDescent="0.3">
      <c r="H32516" t="str">
        <f t="shared" si="557"/>
        <v/>
      </c>
    </row>
    <row r="32517" spans="8:8" x14ac:dyDescent="0.3">
      <c r="H32517" t="str">
        <f t="shared" si="557"/>
        <v/>
      </c>
    </row>
    <row r="32518" spans="8:8" x14ac:dyDescent="0.3">
      <c r="H32518" t="str">
        <f t="shared" si="557"/>
        <v/>
      </c>
    </row>
    <row r="32519" spans="8:8" x14ac:dyDescent="0.3">
      <c r="H32519" t="str">
        <f t="shared" si="557"/>
        <v/>
      </c>
    </row>
    <row r="32520" spans="8:8" x14ac:dyDescent="0.3">
      <c r="H32520" t="str">
        <f t="shared" si="557"/>
        <v/>
      </c>
    </row>
    <row r="32521" spans="8:8" x14ac:dyDescent="0.3">
      <c r="H32521" t="str">
        <f t="shared" si="557"/>
        <v/>
      </c>
    </row>
    <row r="32522" spans="8:8" x14ac:dyDescent="0.3">
      <c r="H32522" t="str">
        <f t="shared" si="557"/>
        <v/>
      </c>
    </row>
    <row r="32523" spans="8:8" x14ac:dyDescent="0.3">
      <c r="H32523" t="str">
        <f t="shared" si="557"/>
        <v/>
      </c>
    </row>
    <row r="32524" spans="8:8" x14ac:dyDescent="0.3">
      <c r="H32524" t="str">
        <f t="shared" si="557"/>
        <v/>
      </c>
    </row>
    <row r="32525" spans="8:8" x14ac:dyDescent="0.3">
      <c r="H32525" t="str">
        <f t="shared" si="557"/>
        <v/>
      </c>
    </row>
    <row r="32526" spans="8:8" x14ac:dyDescent="0.3">
      <c r="H32526" t="str">
        <f t="shared" si="557"/>
        <v/>
      </c>
    </row>
    <row r="32527" spans="8:8" x14ac:dyDescent="0.3">
      <c r="H32527" t="str">
        <f t="shared" si="557"/>
        <v/>
      </c>
    </row>
    <row r="32528" spans="8:8" x14ac:dyDescent="0.3">
      <c r="H32528" t="str">
        <f t="shared" si="557"/>
        <v/>
      </c>
    </row>
    <row r="32529" spans="8:8" x14ac:dyDescent="0.3">
      <c r="H32529" t="str">
        <f t="shared" si="557"/>
        <v/>
      </c>
    </row>
    <row r="32530" spans="8:8" x14ac:dyDescent="0.3">
      <c r="H32530" t="str">
        <f t="shared" si="557"/>
        <v/>
      </c>
    </row>
    <row r="32531" spans="8:8" x14ac:dyDescent="0.3">
      <c r="H32531" t="str">
        <f t="shared" si="557"/>
        <v/>
      </c>
    </row>
    <row r="32532" spans="8:8" x14ac:dyDescent="0.3">
      <c r="H32532" t="str">
        <f t="shared" si="557"/>
        <v/>
      </c>
    </row>
    <row r="32533" spans="8:8" x14ac:dyDescent="0.3">
      <c r="H32533" t="str">
        <f t="shared" si="557"/>
        <v/>
      </c>
    </row>
    <row r="32534" spans="8:8" x14ac:dyDescent="0.3">
      <c r="H32534" t="str">
        <f t="shared" si="557"/>
        <v/>
      </c>
    </row>
    <row r="32535" spans="8:8" x14ac:dyDescent="0.3">
      <c r="H32535" t="str">
        <f t="shared" ref="H32535:H32598" si="558">IF(B32535="","",$C$12)</f>
        <v/>
      </c>
    </row>
    <row r="32536" spans="8:8" x14ac:dyDescent="0.3">
      <c r="H32536" t="str">
        <f t="shared" si="558"/>
        <v/>
      </c>
    </row>
    <row r="32537" spans="8:8" x14ac:dyDescent="0.3">
      <c r="H32537" t="str">
        <f t="shared" si="558"/>
        <v/>
      </c>
    </row>
    <row r="32538" spans="8:8" x14ac:dyDescent="0.3">
      <c r="H32538" t="str">
        <f t="shared" si="558"/>
        <v/>
      </c>
    </row>
    <row r="32539" spans="8:8" x14ac:dyDescent="0.3">
      <c r="H32539" t="str">
        <f t="shared" si="558"/>
        <v/>
      </c>
    </row>
    <row r="32540" spans="8:8" x14ac:dyDescent="0.3">
      <c r="H32540" t="str">
        <f t="shared" si="558"/>
        <v/>
      </c>
    </row>
    <row r="32541" spans="8:8" x14ac:dyDescent="0.3">
      <c r="H32541" t="str">
        <f t="shared" si="558"/>
        <v/>
      </c>
    </row>
    <row r="32542" spans="8:8" x14ac:dyDescent="0.3">
      <c r="H32542" t="str">
        <f t="shared" si="558"/>
        <v/>
      </c>
    </row>
    <row r="32543" spans="8:8" x14ac:dyDescent="0.3">
      <c r="H32543" t="str">
        <f t="shared" si="558"/>
        <v/>
      </c>
    </row>
    <row r="32544" spans="8:8" x14ac:dyDescent="0.3">
      <c r="H32544" t="str">
        <f t="shared" si="558"/>
        <v/>
      </c>
    </row>
    <row r="32545" spans="8:8" x14ac:dyDescent="0.3">
      <c r="H32545" t="str">
        <f t="shared" si="558"/>
        <v/>
      </c>
    </row>
    <row r="32546" spans="8:8" x14ac:dyDescent="0.3">
      <c r="H32546" t="str">
        <f t="shared" si="558"/>
        <v/>
      </c>
    </row>
    <row r="32547" spans="8:8" x14ac:dyDescent="0.3">
      <c r="H32547" t="str">
        <f t="shared" si="558"/>
        <v/>
      </c>
    </row>
    <row r="32548" spans="8:8" x14ac:dyDescent="0.3">
      <c r="H32548" t="str">
        <f t="shared" si="558"/>
        <v/>
      </c>
    </row>
    <row r="32549" spans="8:8" x14ac:dyDescent="0.3">
      <c r="H32549" t="str">
        <f t="shared" si="558"/>
        <v/>
      </c>
    </row>
    <row r="32550" spans="8:8" x14ac:dyDescent="0.3">
      <c r="H32550" t="str">
        <f t="shared" si="558"/>
        <v/>
      </c>
    </row>
    <row r="32551" spans="8:8" x14ac:dyDescent="0.3">
      <c r="H32551" t="str">
        <f t="shared" si="558"/>
        <v/>
      </c>
    </row>
    <row r="32552" spans="8:8" x14ac:dyDescent="0.3">
      <c r="H32552" t="str">
        <f t="shared" si="558"/>
        <v/>
      </c>
    </row>
    <row r="32553" spans="8:8" x14ac:dyDescent="0.3">
      <c r="H32553" t="str">
        <f t="shared" si="558"/>
        <v/>
      </c>
    </row>
    <row r="32554" spans="8:8" x14ac:dyDescent="0.3">
      <c r="H32554" t="str">
        <f t="shared" si="558"/>
        <v/>
      </c>
    </row>
    <row r="32555" spans="8:8" x14ac:dyDescent="0.3">
      <c r="H32555" t="str">
        <f t="shared" si="558"/>
        <v/>
      </c>
    </row>
    <row r="32556" spans="8:8" x14ac:dyDescent="0.3">
      <c r="H32556" t="str">
        <f t="shared" si="558"/>
        <v/>
      </c>
    </row>
    <row r="32557" spans="8:8" x14ac:dyDescent="0.3">
      <c r="H32557" t="str">
        <f t="shared" si="558"/>
        <v/>
      </c>
    </row>
    <row r="32558" spans="8:8" x14ac:dyDescent="0.3">
      <c r="H32558" t="str">
        <f t="shared" si="558"/>
        <v/>
      </c>
    </row>
    <row r="32559" spans="8:8" x14ac:dyDescent="0.3">
      <c r="H32559" t="str">
        <f t="shared" si="558"/>
        <v/>
      </c>
    </row>
    <row r="32560" spans="8:8" x14ac:dyDescent="0.3">
      <c r="H32560" t="str">
        <f t="shared" si="558"/>
        <v/>
      </c>
    </row>
    <row r="32561" spans="8:8" x14ac:dyDescent="0.3">
      <c r="H32561" t="str">
        <f t="shared" si="558"/>
        <v/>
      </c>
    </row>
    <row r="32562" spans="8:8" x14ac:dyDescent="0.3">
      <c r="H32562" t="str">
        <f t="shared" si="558"/>
        <v/>
      </c>
    </row>
    <row r="32563" spans="8:8" x14ac:dyDescent="0.3">
      <c r="H32563" t="str">
        <f t="shared" si="558"/>
        <v/>
      </c>
    </row>
    <row r="32564" spans="8:8" x14ac:dyDescent="0.3">
      <c r="H32564" t="str">
        <f t="shared" si="558"/>
        <v/>
      </c>
    </row>
    <row r="32565" spans="8:8" x14ac:dyDescent="0.3">
      <c r="H32565" t="str">
        <f t="shared" si="558"/>
        <v/>
      </c>
    </row>
    <row r="32566" spans="8:8" x14ac:dyDescent="0.3">
      <c r="H32566" t="str">
        <f t="shared" si="558"/>
        <v/>
      </c>
    </row>
    <row r="32567" spans="8:8" x14ac:dyDescent="0.3">
      <c r="H32567" t="str">
        <f t="shared" si="558"/>
        <v/>
      </c>
    </row>
    <row r="32568" spans="8:8" x14ac:dyDescent="0.3">
      <c r="H32568" t="str">
        <f t="shared" si="558"/>
        <v/>
      </c>
    </row>
    <row r="32569" spans="8:8" x14ac:dyDescent="0.3">
      <c r="H32569" t="str">
        <f t="shared" si="558"/>
        <v/>
      </c>
    </row>
    <row r="32570" spans="8:8" x14ac:dyDescent="0.3">
      <c r="H32570" t="str">
        <f t="shared" si="558"/>
        <v/>
      </c>
    </row>
    <row r="32571" spans="8:8" x14ac:dyDescent="0.3">
      <c r="H32571" t="str">
        <f t="shared" si="558"/>
        <v/>
      </c>
    </row>
    <row r="32572" spans="8:8" x14ac:dyDescent="0.3">
      <c r="H32572" t="str">
        <f t="shared" si="558"/>
        <v/>
      </c>
    </row>
    <row r="32573" spans="8:8" x14ac:dyDescent="0.3">
      <c r="H32573" t="str">
        <f t="shared" si="558"/>
        <v/>
      </c>
    </row>
    <row r="32574" spans="8:8" x14ac:dyDescent="0.3">
      <c r="H32574" t="str">
        <f t="shared" si="558"/>
        <v/>
      </c>
    </row>
    <row r="32575" spans="8:8" x14ac:dyDescent="0.3">
      <c r="H32575" t="str">
        <f t="shared" si="558"/>
        <v/>
      </c>
    </row>
    <row r="32576" spans="8:8" x14ac:dyDescent="0.3">
      <c r="H32576" t="str">
        <f t="shared" si="558"/>
        <v/>
      </c>
    </row>
    <row r="32577" spans="8:8" x14ac:dyDescent="0.3">
      <c r="H32577" t="str">
        <f t="shared" si="558"/>
        <v/>
      </c>
    </row>
    <row r="32578" spans="8:8" x14ac:dyDescent="0.3">
      <c r="H32578" t="str">
        <f t="shared" si="558"/>
        <v/>
      </c>
    </row>
    <row r="32579" spans="8:8" x14ac:dyDescent="0.3">
      <c r="H32579" t="str">
        <f t="shared" si="558"/>
        <v/>
      </c>
    </row>
    <row r="32580" spans="8:8" x14ac:dyDescent="0.3">
      <c r="H32580" t="str">
        <f t="shared" si="558"/>
        <v/>
      </c>
    </row>
    <row r="32581" spans="8:8" x14ac:dyDescent="0.3">
      <c r="H32581" t="str">
        <f t="shared" si="558"/>
        <v/>
      </c>
    </row>
    <row r="32582" spans="8:8" x14ac:dyDescent="0.3">
      <c r="H32582" t="str">
        <f t="shared" si="558"/>
        <v/>
      </c>
    </row>
    <row r="32583" spans="8:8" x14ac:dyDescent="0.3">
      <c r="H32583" t="str">
        <f t="shared" si="558"/>
        <v/>
      </c>
    </row>
    <row r="32584" spans="8:8" x14ac:dyDescent="0.3">
      <c r="H32584" t="str">
        <f t="shared" si="558"/>
        <v/>
      </c>
    </row>
    <row r="32585" spans="8:8" x14ac:dyDescent="0.3">
      <c r="H32585" t="str">
        <f t="shared" si="558"/>
        <v/>
      </c>
    </row>
    <row r="32586" spans="8:8" x14ac:dyDescent="0.3">
      <c r="H32586" t="str">
        <f t="shared" si="558"/>
        <v/>
      </c>
    </row>
    <row r="32587" spans="8:8" x14ac:dyDescent="0.3">
      <c r="H32587" t="str">
        <f t="shared" si="558"/>
        <v/>
      </c>
    </row>
    <row r="32588" spans="8:8" x14ac:dyDescent="0.3">
      <c r="H32588" t="str">
        <f t="shared" si="558"/>
        <v/>
      </c>
    </row>
    <row r="32589" spans="8:8" x14ac:dyDescent="0.3">
      <c r="H32589" t="str">
        <f t="shared" si="558"/>
        <v/>
      </c>
    </row>
    <row r="32590" spans="8:8" x14ac:dyDescent="0.3">
      <c r="H32590" t="str">
        <f t="shared" si="558"/>
        <v/>
      </c>
    </row>
    <row r="32591" spans="8:8" x14ac:dyDescent="0.3">
      <c r="H32591" t="str">
        <f t="shared" si="558"/>
        <v/>
      </c>
    </row>
    <row r="32592" spans="8:8" x14ac:dyDescent="0.3">
      <c r="H32592" t="str">
        <f t="shared" si="558"/>
        <v/>
      </c>
    </row>
    <row r="32593" spans="8:8" x14ac:dyDescent="0.3">
      <c r="H32593" t="str">
        <f t="shared" si="558"/>
        <v/>
      </c>
    </row>
    <row r="32594" spans="8:8" x14ac:dyDescent="0.3">
      <c r="H32594" t="str">
        <f t="shared" si="558"/>
        <v/>
      </c>
    </row>
    <row r="32595" spans="8:8" x14ac:dyDescent="0.3">
      <c r="H32595" t="str">
        <f t="shared" si="558"/>
        <v/>
      </c>
    </row>
    <row r="32596" spans="8:8" x14ac:dyDescent="0.3">
      <c r="H32596" t="str">
        <f t="shared" si="558"/>
        <v/>
      </c>
    </row>
    <row r="32597" spans="8:8" x14ac:dyDescent="0.3">
      <c r="H32597" t="str">
        <f t="shared" si="558"/>
        <v/>
      </c>
    </row>
    <row r="32598" spans="8:8" x14ac:dyDescent="0.3">
      <c r="H32598" t="str">
        <f t="shared" si="558"/>
        <v/>
      </c>
    </row>
    <row r="32599" spans="8:8" x14ac:dyDescent="0.3">
      <c r="H32599" t="str">
        <f t="shared" ref="H32599:H32662" si="559">IF(B32599="","",$C$12)</f>
        <v/>
      </c>
    </row>
    <row r="32600" spans="8:8" x14ac:dyDescent="0.3">
      <c r="H32600" t="str">
        <f t="shared" si="559"/>
        <v/>
      </c>
    </row>
    <row r="32601" spans="8:8" x14ac:dyDescent="0.3">
      <c r="H32601" t="str">
        <f t="shared" si="559"/>
        <v/>
      </c>
    </row>
    <row r="32602" spans="8:8" x14ac:dyDescent="0.3">
      <c r="H32602" t="str">
        <f t="shared" si="559"/>
        <v/>
      </c>
    </row>
    <row r="32603" spans="8:8" x14ac:dyDescent="0.3">
      <c r="H32603" t="str">
        <f t="shared" si="559"/>
        <v/>
      </c>
    </row>
    <row r="32604" spans="8:8" x14ac:dyDescent="0.3">
      <c r="H32604" t="str">
        <f t="shared" si="559"/>
        <v/>
      </c>
    </row>
    <row r="32605" spans="8:8" x14ac:dyDescent="0.3">
      <c r="H32605" t="str">
        <f t="shared" si="559"/>
        <v/>
      </c>
    </row>
    <row r="32606" spans="8:8" x14ac:dyDescent="0.3">
      <c r="H32606" t="str">
        <f t="shared" si="559"/>
        <v/>
      </c>
    </row>
    <row r="32607" spans="8:8" x14ac:dyDescent="0.3">
      <c r="H32607" t="str">
        <f t="shared" si="559"/>
        <v/>
      </c>
    </row>
    <row r="32608" spans="8:8" x14ac:dyDescent="0.3">
      <c r="H32608" t="str">
        <f t="shared" si="559"/>
        <v/>
      </c>
    </row>
    <row r="32609" spans="8:8" x14ac:dyDescent="0.3">
      <c r="H32609" t="str">
        <f t="shared" si="559"/>
        <v/>
      </c>
    </row>
    <row r="32610" spans="8:8" x14ac:dyDescent="0.3">
      <c r="H32610" t="str">
        <f t="shared" si="559"/>
        <v/>
      </c>
    </row>
    <row r="32611" spans="8:8" x14ac:dyDescent="0.3">
      <c r="H32611" t="str">
        <f t="shared" si="559"/>
        <v/>
      </c>
    </row>
    <row r="32612" spans="8:8" x14ac:dyDescent="0.3">
      <c r="H32612" t="str">
        <f t="shared" si="559"/>
        <v/>
      </c>
    </row>
    <row r="32613" spans="8:8" x14ac:dyDescent="0.3">
      <c r="H32613" t="str">
        <f t="shared" si="559"/>
        <v/>
      </c>
    </row>
    <row r="32614" spans="8:8" x14ac:dyDescent="0.3">
      <c r="H32614" t="str">
        <f t="shared" si="559"/>
        <v/>
      </c>
    </row>
    <row r="32615" spans="8:8" x14ac:dyDescent="0.3">
      <c r="H32615" t="str">
        <f t="shared" si="559"/>
        <v/>
      </c>
    </row>
    <row r="32616" spans="8:8" x14ac:dyDescent="0.3">
      <c r="H32616" t="str">
        <f t="shared" si="559"/>
        <v/>
      </c>
    </row>
    <row r="32617" spans="8:8" x14ac:dyDescent="0.3">
      <c r="H32617" t="str">
        <f t="shared" si="559"/>
        <v/>
      </c>
    </row>
    <row r="32618" spans="8:8" x14ac:dyDescent="0.3">
      <c r="H32618" t="str">
        <f t="shared" si="559"/>
        <v/>
      </c>
    </row>
    <row r="32619" spans="8:8" x14ac:dyDescent="0.3">
      <c r="H32619" t="str">
        <f t="shared" si="559"/>
        <v/>
      </c>
    </row>
    <row r="32620" spans="8:8" x14ac:dyDescent="0.3">
      <c r="H32620" t="str">
        <f t="shared" si="559"/>
        <v/>
      </c>
    </row>
    <row r="32621" spans="8:8" x14ac:dyDescent="0.3">
      <c r="H32621" t="str">
        <f t="shared" si="559"/>
        <v/>
      </c>
    </row>
    <row r="32622" spans="8:8" x14ac:dyDescent="0.3">
      <c r="H32622" t="str">
        <f t="shared" si="559"/>
        <v/>
      </c>
    </row>
    <row r="32623" spans="8:8" x14ac:dyDescent="0.3">
      <c r="H32623" t="str">
        <f t="shared" si="559"/>
        <v/>
      </c>
    </row>
    <row r="32624" spans="8:8" x14ac:dyDescent="0.3">
      <c r="H32624" t="str">
        <f t="shared" si="559"/>
        <v/>
      </c>
    </row>
    <row r="32625" spans="8:8" x14ac:dyDescent="0.3">
      <c r="H32625" t="str">
        <f t="shared" si="559"/>
        <v/>
      </c>
    </row>
    <row r="32626" spans="8:8" x14ac:dyDescent="0.3">
      <c r="H32626" t="str">
        <f t="shared" si="559"/>
        <v/>
      </c>
    </row>
    <row r="32627" spans="8:8" x14ac:dyDescent="0.3">
      <c r="H32627" t="str">
        <f t="shared" si="559"/>
        <v/>
      </c>
    </row>
    <row r="32628" spans="8:8" x14ac:dyDescent="0.3">
      <c r="H32628" t="str">
        <f t="shared" si="559"/>
        <v/>
      </c>
    </row>
    <row r="32629" spans="8:8" x14ac:dyDescent="0.3">
      <c r="H32629" t="str">
        <f t="shared" si="559"/>
        <v/>
      </c>
    </row>
    <row r="32630" spans="8:8" x14ac:dyDescent="0.3">
      <c r="H32630" t="str">
        <f t="shared" si="559"/>
        <v/>
      </c>
    </row>
    <row r="32631" spans="8:8" x14ac:dyDescent="0.3">
      <c r="H32631" t="str">
        <f t="shared" si="559"/>
        <v/>
      </c>
    </row>
    <row r="32632" spans="8:8" x14ac:dyDescent="0.3">
      <c r="H32632" t="str">
        <f t="shared" si="559"/>
        <v/>
      </c>
    </row>
    <row r="32633" spans="8:8" x14ac:dyDescent="0.3">
      <c r="H32633" t="str">
        <f t="shared" si="559"/>
        <v/>
      </c>
    </row>
    <row r="32634" spans="8:8" x14ac:dyDescent="0.3">
      <c r="H32634" t="str">
        <f t="shared" si="559"/>
        <v/>
      </c>
    </row>
    <row r="32635" spans="8:8" x14ac:dyDescent="0.3">
      <c r="H32635" t="str">
        <f t="shared" si="559"/>
        <v/>
      </c>
    </row>
    <row r="32636" spans="8:8" x14ac:dyDescent="0.3">
      <c r="H32636" t="str">
        <f t="shared" si="559"/>
        <v/>
      </c>
    </row>
    <row r="32637" spans="8:8" x14ac:dyDescent="0.3">
      <c r="H32637" t="str">
        <f t="shared" si="559"/>
        <v/>
      </c>
    </row>
    <row r="32638" spans="8:8" x14ac:dyDescent="0.3">
      <c r="H32638" t="str">
        <f t="shared" si="559"/>
        <v/>
      </c>
    </row>
    <row r="32639" spans="8:8" x14ac:dyDescent="0.3">
      <c r="H32639" t="str">
        <f t="shared" si="559"/>
        <v/>
      </c>
    </row>
    <row r="32640" spans="8:8" x14ac:dyDescent="0.3">
      <c r="H32640" t="str">
        <f t="shared" si="559"/>
        <v/>
      </c>
    </row>
    <row r="32641" spans="8:8" x14ac:dyDescent="0.3">
      <c r="H32641" t="str">
        <f t="shared" si="559"/>
        <v/>
      </c>
    </row>
    <row r="32642" spans="8:8" x14ac:dyDescent="0.3">
      <c r="H32642" t="str">
        <f t="shared" si="559"/>
        <v/>
      </c>
    </row>
    <row r="32643" spans="8:8" x14ac:dyDescent="0.3">
      <c r="H32643" t="str">
        <f t="shared" si="559"/>
        <v/>
      </c>
    </row>
    <row r="32644" spans="8:8" x14ac:dyDescent="0.3">
      <c r="H32644" t="str">
        <f t="shared" si="559"/>
        <v/>
      </c>
    </row>
    <row r="32645" spans="8:8" x14ac:dyDescent="0.3">
      <c r="H32645" t="str">
        <f t="shared" si="559"/>
        <v/>
      </c>
    </row>
    <row r="32646" spans="8:8" x14ac:dyDescent="0.3">
      <c r="H32646" t="str">
        <f t="shared" si="559"/>
        <v/>
      </c>
    </row>
    <row r="32647" spans="8:8" x14ac:dyDescent="0.3">
      <c r="H32647" t="str">
        <f t="shared" si="559"/>
        <v/>
      </c>
    </row>
    <row r="32648" spans="8:8" x14ac:dyDescent="0.3">
      <c r="H32648" t="str">
        <f t="shared" si="559"/>
        <v/>
      </c>
    </row>
    <row r="32649" spans="8:8" x14ac:dyDescent="0.3">
      <c r="H32649" t="str">
        <f t="shared" si="559"/>
        <v/>
      </c>
    </row>
    <row r="32650" spans="8:8" x14ac:dyDescent="0.3">
      <c r="H32650" t="str">
        <f t="shared" si="559"/>
        <v/>
      </c>
    </row>
    <row r="32651" spans="8:8" x14ac:dyDescent="0.3">
      <c r="H32651" t="str">
        <f t="shared" si="559"/>
        <v/>
      </c>
    </row>
    <row r="32652" spans="8:8" x14ac:dyDescent="0.3">
      <c r="H32652" t="str">
        <f t="shared" si="559"/>
        <v/>
      </c>
    </row>
    <row r="32653" spans="8:8" x14ac:dyDescent="0.3">
      <c r="H32653" t="str">
        <f t="shared" si="559"/>
        <v/>
      </c>
    </row>
    <row r="32654" spans="8:8" x14ac:dyDescent="0.3">
      <c r="H32654" t="str">
        <f t="shared" si="559"/>
        <v/>
      </c>
    </row>
    <row r="32655" spans="8:8" x14ac:dyDescent="0.3">
      <c r="H32655" t="str">
        <f t="shared" si="559"/>
        <v/>
      </c>
    </row>
    <row r="32656" spans="8:8" x14ac:dyDescent="0.3">
      <c r="H32656" t="str">
        <f t="shared" si="559"/>
        <v/>
      </c>
    </row>
    <row r="32657" spans="8:8" x14ac:dyDescent="0.3">
      <c r="H32657" t="str">
        <f t="shared" si="559"/>
        <v/>
      </c>
    </row>
    <row r="32658" spans="8:8" x14ac:dyDescent="0.3">
      <c r="H32658" t="str">
        <f t="shared" si="559"/>
        <v/>
      </c>
    </row>
    <row r="32659" spans="8:8" x14ac:dyDescent="0.3">
      <c r="H32659" t="str">
        <f t="shared" si="559"/>
        <v/>
      </c>
    </row>
    <row r="32660" spans="8:8" x14ac:dyDescent="0.3">
      <c r="H32660" t="str">
        <f t="shared" si="559"/>
        <v/>
      </c>
    </row>
    <row r="32661" spans="8:8" x14ac:dyDescent="0.3">
      <c r="H32661" t="str">
        <f t="shared" si="559"/>
        <v/>
      </c>
    </row>
    <row r="32662" spans="8:8" x14ac:dyDescent="0.3">
      <c r="H32662" t="str">
        <f t="shared" si="559"/>
        <v/>
      </c>
    </row>
    <row r="32663" spans="8:8" x14ac:dyDescent="0.3">
      <c r="H32663" t="str">
        <f t="shared" ref="H32663:H32726" si="560">IF(B32663="","",$C$12)</f>
        <v/>
      </c>
    </row>
    <row r="32664" spans="8:8" x14ac:dyDescent="0.3">
      <c r="H32664" t="str">
        <f t="shared" si="560"/>
        <v/>
      </c>
    </row>
    <row r="32665" spans="8:8" x14ac:dyDescent="0.3">
      <c r="H32665" t="str">
        <f t="shared" si="560"/>
        <v/>
      </c>
    </row>
    <row r="32666" spans="8:8" x14ac:dyDescent="0.3">
      <c r="H32666" t="str">
        <f t="shared" si="560"/>
        <v/>
      </c>
    </row>
    <row r="32667" spans="8:8" x14ac:dyDescent="0.3">
      <c r="H32667" t="str">
        <f t="shared" si="560"/>
        <v/>
      </c>
    </row>
    <row r="32668" spans="8:8" x14ac:dyDescent="0.3">
      <c r="H32668" t="str">
        <f t="shared" si="560"/>
        <v/>
      </c>
    </row>
    <row r="32669" spans="8:8" x14ac:dyDescent="0.3">
      <c r="H32669" t="str">
        <f t="shared" si="560"/>
        <v/>
      </c>
    </row>
    <row r="32670" spans="8:8" x14ac:dyDescent="0.3">
      <c r="H32670" t="str">
        <f t="shared" si="560"/>
        <v/>
      </c>
    </row>
    <row r="32671" spans="8:8" x14ac:dyDescent="0.3">
      <c r="H32671" t="str">
        <f t="shared" si="560"/>
        <v/>
      </c>
    </row>
    <row r="32672" spans="8:8" x14ac:dyDescent="0.3">
      <c r="H32672" t="str">
        <f t="shared" si="560"/>
        <v/>
      </c>
    </row>
    <row r="32673" spans="8:8" x14ac:dyDescent="0.3">
      <c r="H32673" t="str">
        <f t="shared" si="560"/>
        <v/>
      </c>
    </row>
    <row r="32674" spans="8:8" x14ac:dyDescent="0.3">
      <c r="H32674" t="str">
        <f t="shared" si="560"/>
        <v/>
      </c>
    </row>
    <row r="32675" spans="8:8" x14ac:dyDescent="0.3">
      <c r="H32675" t="str">
        <f t="shared" si="560"/>
        <v/>
      </c>
    </row>
    <row r="32676" spans="8:8" x14ac:dyDescent="0.3">
      <c r="H32676" t="str">
        <f t="shared" si="560"/>
        <v/>
      </c>
    </row>
    <row r="32677" spans="8:8" x14ac:dyDescent="0.3">
      <c r="H32677" t="str">
        <f t="shared" si="560"/>
        <v/>
      </c>
    </row>
    <row r="32678" spans="8:8" x14ac:dyDescent="0.3">
      <c r="H32678" t="str">
        <f t="shared" si="560"/>
        <v/>
      </c>
    </row>
    <row r="32679" spans="8:8" x14ac:dyDescent="0.3">
      <c r="H32679" t="str">
        <f t="shared" si="560"/>
        <v/>
      </c>
    </row>
    <row r="32680" spans="8:8" x14ac:dyDescent="0.3">
      <c r="H32680" t="str">
        <f t="shared" si="560"/>
        <v/>
      </c>
    </row>
    <row r="32681" spans="8:8" x14ac:dyDescent="0.3">
      <c r="H32681" t="str">
        <f t="shared" si="560"/>
        <v/>
      </c>
    </row>
    <row r="32682" spans="8:8" x14ac:dyDescent="0.3">
      <c r="H32682" t="str">
        <f t="shared" si="560"/>
        <v/>
      </c>
    </row>
    <row r="32683" spans="8:8" x14ac:dyDescent="0.3">
      <c r="H32683" t="str">
        <f t="shared" si="560"/>
        <v/>
      </c>
    </row>
    <row r="32684" spans="8:8" x14ac:dyDescent="0.3">
      <c r="H32684" t="str">
        <f t="shared" si="560"/>
        <v/>
      </c>
    </row>
    <row r="32685" spans="8:8" x14ac:dyDescent="0.3">
      <c r="H32685" t="str">
        <f t="shared" si="560"/>
        <v/>
      </c>
    </row>
    <row r="32686" spans="8:8" x14ac:dyDescent="0.3">
      <c r="H32686" t="str">
        <f t="shared" si="560"/>
        <v/>
      </c>
    </row>
    <row r="32687" spans="8:8" x14ac:dyDescent="0.3">
      <c r="H32687" t="str">
        <f t="shared" si="560"/>
        <v/>
      </c>
    </row>
    <row r="32688" spans="8:8" x14ac:dyDescent="0.3">
      <c r="H32688" t="str">
        <f t="shared" si="560"/>
        <v/>
      </c>
    </row>
    <row r="32689" spans="8:8" x14ac:dyDescent="0.3">
      <c r="H32689" t="str">
        <f t="shared" si="560"/>
        <v/>
      </c>
    </row>
    <row r="32690" spans="8:8" x14ac:dyDescent="0.3">
      <c r="H32690" t="str">
        <f t="shared" si="560"/>
        <v/>
      </c>
    </row>
    <row r="32691" spans="8:8" x14ac:dyDescent="0.3">
      <c r="H32691" t="str">
        <f t="shared" si="560"/>
        <v/>
      </c>
    </row>
    <row r="32692" spans="8:8" x14ac:dyDescent="0.3">
      <c r="H32692" t="str">
        <f t="shared" si="560"/>
        <v/>
      </c>
    </row>
    <row r="32693" spans="8:8" x14ac:dyDescent="0.3">
      <c r="H32693" t="str">
        <f t="shared" si="560"/>
        <v/>
      </c>
    </row>
    <row r="32694" spans="8:8" x14ac:dyDescent="0.3">
      <c r="H32694" t="str">
        <f t="shared" si="560"/>
        <v/>
      </c>
    </row>
    <row r="32695" spans="8:8" x14ac:dyDescent="0.3">
      <c r="H32695" t="str">
        <f t="shared" si="560"/>
        <v/>
      </c>
    </row>
    <row r="32696" spans="8:8" x14ac:dyDescent="0.3">
      <c r="H32696" t="str">
        <f t="shared" si="560"/>
        <v/>
      </c>
    </row>
    <row r="32697" spans="8:8" x14ac:dyDescent="0.3">
      <c r="H32697" t="str">
        <f t="shared" si="560"/>
        <v/>
      </c>
    </row>
    <row r="32698" spans="8:8" x14ac:dyDescent="0.3">
      <c r="H32698" t="str">
        <f t="shared" si="560"/>
        <v/>
      </c>
    </row>
    <row r="32699" spans="8:8" x14ac:dyDescent="0.3">
      <c r="H32699" t="str">
        <f t="shared" si="560"/>
        <v/>
      </c>
    </row>
    <row r="32700" spans="8:8" x14ac:dyDescent="0.3">
      <c r="H32700" t="str">
        <f t="shared" si="560"/>
        <v/>
      </c>
    </row>
    <row r="32701" spans="8:8" x14ac:dyDescent="0.3">
      <c r="H32701" t="str">
        <f t="shared" si="560"/>
        <v/>
      </c>
    </row>
    <row r="32702" spans="8:8" x14ac:dyDescent="0.3">
      <c r="H32702" t="str">
        <f t="shared" si="560"/>
        <v/>
      </c>
    </row>
    <row r="32703" spans="8:8" x14ac:dyDescent="0.3">
      <c r="H32703" t="str">
        <f t="shared" si="560"/>
        <v/>
      </c>
    </row>
    <row r="32704" spans="8:8" x14ac:dyDescent="0.3">
      <c r="H32704" t="str">
        <f t="shared" si="560"/>
        <v/>
      </c>
    </row>
    <row r="32705" spans="8:8" x14ac:dyDescent="0.3">
      <c r="H32705" t="str">
        <f t="shared" si="560"/>
        <v/>
      </c>
    </row>
    <row r="32706" spans="8:8" x14ac:dyDescent="0.3">
      <c r="H32706" t="str">
        <f t="shared" si="560"/>
        <v/>
      </c>
    </row>
    <row r="32707" spans="8:8" x14ac:dyDescent="0.3">
      <c r="H32707" t="str">
        <f t="shared" si="560"/>
        <v/>
      </c>
    </row>
    <row r="32708" spans="8:8" x14ac:dyDescent="0.3">
      <c r="H32708" t="str">
        <f t="shared" si="560"/>
        <v/>
      </c>
    </row>
    <row r="32709" spans="8:8" x14ac:dyDescent="0.3">
      <c r="H32709" t="str">
        <f t="shared" si="560"/>
        <v/>
      </c>
    </row>
    <row r="32710" spans="8:8" x14ac:dyDescent="0.3">
      <c r="H32710" t="str">
        <f t="shared" si="560"/>
        <v/>
      </c>
    </row>
    <row r="32711" spans="8:8" x14ac:dyDescent="0.3">
      <c r="H32711" t="str">
        <f t="shared" si="560"/>
        <v/>
      </c>
    </row>
    <row r="32712" spans="8:8" x14ac:dyDescent="0.3">
      <c r="H32712" t="str">
        <f t="shared" si="560"/>
        <v/>
      </c>
    </row>
    <row r="32713" spans="8:8" x14ac:dyDescent="0.3">
      <c r="H32713" t="str">
        <f t="shared" si="560"/>
        <v/>
      </c>
    </row>
    <row r="32714" spans="8:8" x14ac:dyDescent="0.3">
      <c r="H32714" t="str">
        <f t="shared" si="560"/>
        <v/>
      </c>
    </row>
    <row r="32715" spans="8:8" x14ac:dyDescent="0.3">
      <c r="H32715" t="str">
        <f t="shared" si="560"/>
        <v/>
      </c>
    </row>
    <row r="32716" spans="8:8" x14ac:dyDescent="0.3">
      <c r="H32716" t="str">
        <f t="shared" si="560"/>
        <v/>
      </c>
    </row>
    <row r="32717" spans="8:8" x14ac:dyDescent="0.3">
      <c r="H32717" t="str">
        <f t="shared" si="560"/>
        <v/>
      </c>
    </row>
    <row r="32718" spans="8:8" x14ac:dyDescent="0.3">
      <c r="H32718" t="str">
        <f t="shared" si="560"/>
        <v/>
      </c>
    </row>
    <row r="32719" spans="8:8" x14ac:dyDescent="0.3">
      <c r="H32719" t="str">
        <f t="shared" si="560"/>
        <v/>
      </c>
    </row>
    <row r="32720" spans="8:8" x14ac:dyDescent="0.3">
      <c r="H32720" t="str">
        <f t="shared" si="560"/>
        <v/>
      </c>
    </row>
    <row r="32721" spans="8:8" x14ac:dyDescent="0.3">
      <c r="H32721" t="str">
        <f t="shared" si="560"/>
        <v/>
      </c>
    </row>
    <row r="32722" spans="8:8" x14ac:dyDescent="0.3">
      <c r="H32722" t="str">
        <f t="shared" si="560"/>
        <v/>
      </c>
    </row>
    <row r="32723" spans="8:8" x14ac:dyDescent="0.3">
      <c r="H32723" t="str">
        <f t="shared" si="560"/>
        <v/>
      </c>
    </row>
    <row r="32724" spans="8:8" x14ac:dyDescent="0.3">
      <c r="H32724" t="str">
        <f t="shared" si="560"/>
        <v/>
      </c>
    </row>
    <row r="32725" spans="8:8" x14ac:dyDescent="0.3">
      <c r="H32725" t="str">
        <f t="shared" si="560"/>
        <v/>
      </c>
    </row>
    <row r="32726" spans="8:8" x14ac:dyDescent="0.3">
      <c r="H32726" t="str">
        <f t="shared" si="560"/>
        <v/>
      </c>
    </row>
    <row r="32727" spans="8:8" x14ac:dyDescent="0.3">
      <c r="H32727" t="str">
        <f t="shared" ref="H32727:H32790" si="561">IF(B32727="","",$C$12)</f>
        <v/>
      </c>
    </row>
    <row r="32728" spans="8:8" x14ac:dyDescent="0.3">
      <c r="H32728" t="str">
        <f t="shared" si="561"/>
        <v/>
      </c>
    </row>
    <row r="32729" spans="8:8" x14ac:dyDescent="0.3">
      <c r="H32729" t="str">
        <f t="shared" si="561"/>
        <v/>
      </c>
    </row>
    <row r="32730" spans="8:8" x14ac:dyDescent="0.3">
      <c r="H32730" t="str">
        <f t="shared" si="561"/>
        <v/>
      </c>
    </row>
    <row r="32731" spans="8:8" x14ac:dyDescent="0.3">
      <c r="H32731" t="str">
        <f t="shared" si="561"/>
        <v/>
      </c>
    </row>
    <row r="32732" spans="8:8" x14ac:dyDescent="0.3">
      <c r="H32732" t="str">
        <f t="shared" si="561"/>
        <v/>
      </c>
    </row>
    <row r="32733" spans="8:8" x14ac:dyDescent="0.3">
      <c r="H32733" t="str">
        <f t="shared" si="561"/>
        <v/>
      </c>
    </row>
    <row r="32734" spans="8:8" x14ac:dyDescent="0.3">
      <c r="H32734" t="str">
        <f t="shared" si="561"/>
        <v/>
      </c>
    </row>
    <row r="32735" spans="8:8" x14ac:dyDescent="0.3">
      <c r="H32735" t="str">
        <f t="shared" si="561"/>
        <v/>
      </c>
    </row>
    <row r="32736" spans="8:8" x14ac:dyDescent="0.3">
      <c r="H32736" t="str">
        <f t="shared" si="561"/>
        <v/>
      </c>
    </row>
    <row r="32737" spans="8:8" x14ac:dyDescent="0.3">
      <c r="H32737" t="str">
        <f t="shared" si="561"/>
        <v/>
      </c>
    </row>
    <row r="32738" spans="8:8" x14ac:dyDescent="0.3">
      <c r="H32738" t="str">
        <f t="shared" si="561"/>
        <v/>
      </c>
    </row>
    <row r="32739" spans="8:8" x14ac:dyDescent="0.3">
      <c r="H32739" t="str">
        <f t="shared" si="561"/>
        <v/>
      </c>
    </row>
    <row r="32740" spans="8:8" x14ac:dyDescent="0.3">
      <c r="H32740" t="str">
        <f t="shared" si="561"/>
        <v/>
      </c>
    </row>
    <row r="32741" spans="8:8" x14ac:dyDescent="0.3">
      <c r="H32741" t="str">
        <f t="shared" si="561"/>
        <v/>
      </c>
    </row>
    <row r="32742" spans="8:8" x14ac:dyDescent="0.3">
      <c r="H32742" t="str">
        <f t="shared" si="561"/>
        <v/>
      </c>
    </row>
    <row r="32743" spans="8:8" x14ac:dyDescent="0.3">
      <c r="H32743" t="str">
        <f t="shared" si="561"/>
        <v/>
      </c>
    </row>
    <row r="32744" spans="8:8" x14ac:dyDescent="0.3">
      <c r="H32744" t="str">
        <f t="shared" si="561"/>
        <v/>
      </c>
    </row>
    <row r="32745" spans="8:8" x14ac:dyDescent="0.3">
      <c r="H32745" t="str">
        <f t="shared" si="561"/>
        <v/>
      </c>
    </row>
    <row r="32746" spans="8:8" x14ac:dyDescent="0.3">
      <c r="H32746" t="str">
        <f t="shared" si="561"/>
        <v/>
      </c>
    </row>
    <row r="32747" spans="8:8" x14ac:dyDescent="0.3">
      <c r="H32747" t="str">
        <f t="shared" si="561"/>
        <v/>
      </c>
    </row>
    <row r="32748" spans="8:8" x14ac:dyDescent="0.3">
      <c r="H32748" t="str">
        <f t="shared" si="561"/>
        <v/>
      </c>
    </row>
    <row r="32749" spans="8:8" x14ac:dyDescent="0.3">
      <c r="H32749" t="str">
        <f t="shared" si="561"/>
        <v/>
      </c>
    </row>
    <row r="32750" spans="8:8" x14ac:dyDescent="0.3">
      <c r="H32750" t="str">
        <f t="shared" si="561"/>
        <v/>
      </c>
    </row>
    <row r="32751" spans="8:8" x14ac:dyDescent="0.3">
      <c r="H32751" t="str">
        <f t="shared" si="561"/>
        <v/>
      </c>
    </row>
    <row r="32752" spans="8:8" x14ac:dyDescent="0.3">
      <c r="H32752" t="str">
        <f t="shared" si="561"/>
        <v/>
      </c>
    </row>
    <row r="32753" spans="8:8" x14ac:dyDescent="0.3">
      <c r="H32753" t="str">
        <f t="shared" si="561"/>
        <v/>
      </c>
    </row>
    <row r="32754" spans="8:8" x14ac:dyDescent="0.3">
      <c r="H32754" t="str">
        <f t="shared" si="561"/>
        <v/>
      </c>
    </row>
    <row r="32755" spans="8:8" x14ac:dyDescent="0.3">
      <c r="H32755" t="str">
        <f t="shared" si="561"/>
        <v/>
      </c>
    </row>
    <row r="32756" spans="8:8" x14ac:dyDescent="0.3">
      <c r="H32756" t="str">
        <f t="shared" si="561"/>
        <v/>
      </c>
    </row>
    <row r="32757" spans="8:8" x14ac:dyDescent="0.3">
      <c r="H32757" t="str">
        <f t="shared" si="561"/>
        <v/>
      </c>
    </row>
    <row r="32758" spans="8:8" x14ac:dyDescent="0.3">
      <c r="H32758" t="str">
        <f t="shared" si="561"/>
        <v/>
      </c>
    </row>
    <row r="32759" spans="8:8" x14ac:dyDescent="0.3">
      <c r="H32759" t="str">
        <f t="shared" si="561"/>
        <v/>
      </c>
    </row>
    <row r="32760" spans="8:8" x14ac:dyDescent="0.3">
      <c r="H32760" t="str">
        <f t="shared" si="561"/>
        <v/>
      </c>
    </row>
    <row r="32761" spans="8:8" x14ac:dyDescent="0.3">
      <c r="H32761" t="str">
        <f t="shared" si="561"/>
        <v/>
      </c>
    </row>
    <row r="32762" spans="8:8" x14ac:dyDescent="0.3">
      <c r="H32762" t="str">
        <f t="shared" si="561"/>
        <v/>
      </c>
    </row>
    <row r="32763" spans="8:8" x14ac:dyDescent="0.3">
      <c r="H32763" t="str">
        <f t="shared" si="561"/>
        <v/>
      </c>
    </row>
    <row r="32764" spans="8:8" x14ac:dyDescent="0.3">
      <c r="H32764" t="str">
        <f t="shared" si="561"/>
        <v/>
      </c>
    </row>
    <row r="32765" spans="8:8" x14ac:dyDescent="0.3">
      <c r="H32765" t="str">
        <f t="shared" si="561"/>
        <v/>
      </c>
    </row>
    <row r="32766" spans="8:8" x14ac:dyDescent="0.3">
      <c r="H32766" t="str">
        <f t="shared" si="561"/>
        <v/>
      </c>
    </row>
    <row r="32767" spans="8:8" x14ac:dyDescent="0.3">
      <c r="H32767" t="str">
        <f t="shared" si="561"/>
        <v/>
      </c>
    </row>
    <row r="32768" spans="8:8" x14ac:dyDescent="0.3">
      <c r="H32768" t="str">
        <f t="shared" si="561"/>
        <v/>
      </c>
    </row>
    <row r="32769" spans="8:8" x14ac:dyDescent="0.3">
      <c r="H32769" t="str">
        <f t="shared" si="561"/>
        <v/>
      </c>
    </row>
    <row r="32770" spans="8:8" x14ac:dyDescent="0.3">
      <c r="H32770" t="str">
        <f t="shared" si="561"/>
        <v/>
      </c>
    </row>
    <row r="32771" spans="8:8" x14ac:dyDescent="0.3">
      <c r="H32771" t="str">
        <f t="shared" si="561"/>
        <v/>
      </c>
    </row>
    <row r="32772" spans="8:8" x14ac:dyDescent="0.3">
      <c r="H32772" t="str">
        <f t="shared" si="561"/>
        <v/>
      </c>
    </row>
    <row r="32773" spans="8:8" x14ac:dyDescent="0.3">
      <c r="H32773" t="str">
        <f t="shared" si="561"/>
        <v/>
      </c>
    </row>
    <row r="32774" spans="8:8" x14ac:dyDescent="0.3">
      <c r="H32774" t="str">
        <f t="shared" si="561"/>
        <v/>
      </c>
    </row>
    <row r="32775" spans="8:8" x14ac:dyDescent="0.3">
      <c r="H32775" t="str">
        <f t="shared" si="561"/>
        <v/>
      </c>
    </row>
    <row r="32776" spans="8:8" x14ac:dyDescent="0.3">
      <c r="H32776" t="str">
        <f t="shared" si="561"/>
        <v/>
      </c>
    </row>
    <row r="32777" spans="8:8" x14ac:dyDescent="0.3">
      <c r="H32777" t="str">
        <f t="shared" si="561"/>
        <v/>
      </c>
    </row>
    <row r="32778" spans="8:8" x14ac:dyDescent="0.3">
      <c r="H32778" t="str">
        <f t="shared" si="561"/>
        <v/>
      </c>
    </row>
    <row r="32779" spans="8:8" x14ac:dyDescent="0.3">
      <c r="H32779" t="str">
        <f t="shared" si="561"/>
        <v/>
      </c>
    </row>
    <row r="32780" spans="8:8" x14ac:dyDescent="0.3">
      <c r="H32780" t="str">
        <f t="shared" si="561"/>
        <v/>
      </c>
    </row>
    <row r="32781" spans="8:8" x14ac:dyDescent="0.3">
      <c r="H32781" t="str">
        <f t="shared" si="561"/>
        <v/>
      </c>
    </row>
    <row r="32782" spans="8:8" x14ac:dyDescent="0.3">
      <c r="H32782" t="str">
        <f t="shared" si="561"/>
        <v/>
      </c>
    </row>
    <row r="32783" spans="8:8" x14ac:dyDescent="0.3">
      <c r="H32783" t="str">
        <f t="shared" si="561"/>
        <v/>
      </c>
    </row>
    <row r="32784" spans="8:8" x14ac:dyDescent="0.3">
      <c r="H32784" t="str">
        <f t="shared" si="561"/>
        <v/>
      </c>
    </row>
    <row r="32785" spans="8:8" x14ac:dyDescent="0.3">
      <c r="H32785" t="str">
        <f t="shared" si="561"/>
        <v/>
      </c>
    </row>
    <row r="32786" spans="8:8" x14ac:dyDescent="0.3">
      <c r="H32786" t="str">
        <f t="shared" si="561"/>
        <v/>
      </c>
    </row>
    <row r="32787" spans="8:8" x14ac:dyDescent="0.3">
      <c r="H32787" t="str">
        <f t="shared" si="561"/>
        <v/>
      </c>
    </row>
    <row r="32788" spans="8:8" x14ac:dyDescent="0.3">
      <c r="H32788" t="str">
        <f t="shared" si="561"/>
        <v/>
      </c>
    </row>
    <row r="32789" spans="8:8" x14ac:dyDescent="0.3">
      <c r="H32789" t="str">
        <f t="shared" si="561"/>
        <v/>
      </c>
    </row>
    <row r="32790" spans="8:8" x14ac:dyDescent="0.3">
      <c r="H32790" t="str">
        <f t="shared" si="561"/>
        <v/>
      </c>
    </row>
    <row r="32791" spans="8:8" x14ac:dyDescent="0.3">
      <c r="H32791" t="str">
        <f t="shared" ref="H32791:H32854" si="562">IF(B32791="","",$C$12)</f>
        <v/>
      </c>
    </row>
    <row r="32792" spans="8:8" x14ac:dyDescent="0.3">
      <c r="H32792" t="str">
        <f t="shared" si="562"/>
        <v/>
      </c>
    </row>
    <row r="32793" spans="8:8" x14ac:dyDescent="0.3">
      <c r="H32793" t="str">
        <f t="shared" si="562"/>
        <v/>
      </c>
    </row>
    <row r="32794" spans="8:8" x14ac:dyDescent="0.3">
      <c r="H32794" t="str">
        <f t="shared" si="562"/>
        <v/>
      </c>
    </row>
    <row r="32795" spans="8:8" x14ac:dyDescent="0.3">
      <c r="H32795" t="str">
        <f t="shared" si="562"/>
        <v/>
      </c>
    </row>
    <row r="32796" spans="8:8" x14ac:dyDescent="0.3">
      <c r="H32796" t="str">
        <f t="shared" si="562"/>
        <v/>
      </c>
    </row>
    <row r="32797" spans="8:8" x14ac:dyDescent="0.3">
      <c r="H32797" t="str">
        <f t="shared" si="562"/>
        <v/>
      </c>
    </row>
    <row r="32798" spans="8:8" x14ac:dyDescent="0.3">
      <c r="H32798" t="str">
        <f t="shared" si="562"/>
        <v/>
      </c>
    </row>
    <row r="32799" spans="8:8" x14ac:dyDescent="0.3">
      <c r="H32799" t="str">
        <f t="shared" si="562"/>
        <v/>
      </c>
    </row>
    <row r="32800" spans="8:8" x14ac:dyDescent="0.3">
      <c r="H32800" t="str">
        <f t="shared" si="562"/>
        <v/>
      </c>
    </row>
    <row r="32801" spans="8:8" x14ac:dyDescent="0.3">
      <c r="H32801" t="str">
        <f t="shared" si="562"/>
        <v/>
      </c>
    </row>
    <row r="32802" spans="8:8" x14ac:dyDescent="0.3">
      <c r="H32802" t="str">
        <f t="shared" si="562"/>
        <v/>
      </c>
    </row>
    <row r="32803" spans="8:8" x14ac:dyDescent="0.3">
      <c r="H32803" t="str">
        <f t="shared" si="562"/>
        <v/>
      </c>
    </row>
    <row r="32804" spans="8:8" x14ac:dyDescent="0.3">
      <c r="H32804" t="str">
        <f t="shared" si="562"/>
        <v/>
      </c>
    </row>
    <row r="32805" spans="8:8" x14ac:dyDescent="0.3">
      <c r="H32805" t="str">
        <f t="shared" si="562"/>
        <v/>
      </c>
    </row>
    <row r="32806" spans="8:8" x14ac:dyDescent="0.3">
      <c r="H32806" t="str">
        <f t="shared" si="562"/>
        <v/>
      </c>
    </row>
    <row r="32807" spans="8:8" x14ac:dyDescent="0.3">
      <c r="H32807" t="str">
        <f t="shared" si="562"/>
        <v/>
      </c>
    </row>
    <row r="32808" spans="8:8" x14ac:dyDescent="0.3">
      <c r="H32808" t="str">
        <f t="shared" si="562"/>
        <v/>
      </c>
    </row>
    <row r="32809" spans="8:8" x14ac:dyDescent="0.3">
      <c r="H32809" t="str">
        <f t="shared" si="562"/>
        <v/>
      </c>
    </row>
    <row r="32810" spans="8:8" x14ac:dyDescent="0.3">
      <c r="H32810" t="str">
        <f t="shared" si="562"/>
        <v/>
      </c>
    </row>
    <row r="32811" spans="8:8" x14ac:dyDescent="0.3">
      <c r="H32811" t="str">
        <f t="shared" si="562"/>
        <v/>
      </c>
    </row>
    <row r="32812" spans="8:8" x14ac:dyDescent="0.3">
      <c r="H32812" t="str">
        <f t="shared" si="562"/>
        <v/>
      </c>
    </row>
    <row r="32813" spans="8:8" x14ac:dyDescent="0.3">
      <c r="H32813" t="str">
        <f t="shared" si="562"/>
        <v/>
      </c>
    </row>
    <row r="32814" spans="8:8" x14ac:dyDescent="0.3">
      <c r="H32814" t="str">
        <f t="shared" si="562"/>
        <v/>
      </c>
    </row>
    <row r="32815" spans="8:8" x14ac:dyDescent="0.3">
      <c r="H32815" t="str">
        <f t="shared" si="562"/>
        <v/>
      </c>
    </row>
    <row r="32816" spans="8:8" x14ac:dyDescent="0.3">
      <c r="H32816" t="str">
        <f t="shared" si="562"/>
        <v/>
      </c>
    </row>
    <row r="32817" spans="8:8" x14ac:dyDescent="0.3">
      <c r="H32817" t="str">
        <f t="shared" si="562"/>
        <v/>
      </c>
    </row>
    <row r="32818" spans="8:8" x14ac:dyDescent="0.3">
      <c r="H32818" t="str">
        <f t="shared" si="562"/>
        <v/>
      </c>
    </row>
    <row r="32819" spans="8:8" x14ac:dyDescent="0.3">
      <c r="H32819" t="str">
        <f t="shared" si="562"/>
        <v/>
      </c>
    </row>
    <row r="32820" spans="8:8" x14ac:dyDescent="0.3">
      <c r="H32820" t="str">
        <f t="shared" si="562"/>
        <v/>
      </c>
    </row>
    <row r="32821" spans="8:8" x14ac:dyDescent="0.3">
      <c r="H32821" t="str">
        <f t="shared" si="562"/>
        <v/>
      </c>
    </row>
    <row r="32822" spans="8:8" x14ac:dyDescent="0.3">
      <c r="H32822" t="str">
        <f t="shared" si="562"/>
        <v/>
      </c>
    </row>
    <row r="32823" spans="8:8" x14ac:dyDescent="0.3">
      <c r="H32823" t="str">
        <f t="shared" si="562"/>
        <v/>
      </c>
    </row>
    <row r="32824" spans="8:8" x14ac:dyDescent="0.3">
      <c r="H32824" t="str">
        <f t="shared" si="562"/>
        <v/>
      </c>
    </row>
    <row r="32825" spans="8:8" x14ac:dyDescent="0.3">
      <c r="H32825" t="str">
        <f t="shared" si="562"/>
        <v/>
      </c>
    </row>
    <row r="32826" spans="8:8" x14ac:dyDescent="0.3">
      <c r="H32826" t="str">
        <f t="shared" si="562"/>
        <v/>
      </c>
    </row>
    <row r="32827" spans="8:8" x14ac:dyDescent="0.3">
      <c r="H32827" t="str">
        <f t="shared" si="562"/>
        <v/>
      </c>
    </row>
    <row r="32828" spans="8:8" x14ac:dyDescent="0.3">
      <c r="H32828" t="str">
        <f t="shared" si="562"/>
        <v/>
      </c>
    </row>
    <row r="32829" spans="8:8" x14ac:dyDescent="0.3">
      <c r="H32829" t="str">
        <f t="shared" si="562"/>
        <v/>
      </c>
    </row>
    <row r="32830" spans="8:8" x14ac:dyDescent="0.3">
      <c r="H32830" t="str">
        <f t="shared" si="562"/>
        <v/>
      </c>
    </row>
    <row r="32831" spans="8:8" x14ac:dyDescent="0.3">
      <c r="H32831" t="str">
        <f t="shared" si="562"/>
        <v/>
      </c>
    </row>
    <row r="32832" spans="8:8" x14ac:dyDescent="0.3">
      <c r="H32832" t="str">
        <f t="shared" si="562"/>
        <v/>
      </c>
    </row>
    <row r="32833" spans="8:8" x14ac:dyDescent="0.3">
      <c r="H32833" t="str">
        <f t="shared" si="562"/>
        <v/>
      </c>
    </row>
    <row r="32834" spans="8:8" x14ac:dyDescent="0.3">
      <c r="H32834" t="str">
        <f t="shared" si="562"/>
        <v/>
      </c>
    </row>
    <row r="32835" spans="8:8" x14ac:dyDescent="0.3">
      <c r="H32835" t="str">
        <f t="shared" si="562"/>
        <v/>
      </c>
    </row>
    <row r="32836" spans="8:8" x14ac:dyDescent="0.3">
      <c r="H32836" t="str">
        <f t="shared" si="562"/>
        <v/>
      </c>
    </row>
    <row r="32837" spans="8:8" x14ac:dyDescent="0.3">
      <c r="H32837" t="str">
        <f t="shared" si="562"/>
        <v/>
      </c>
    </row>
    <row r="32838" spans="8:8" x14ac:dyDescent="0.3">
      <c r="H32838" t="str">
        <f t="shared" si="562"/>
        <v/>
      </c>
    </row>
    <row r="32839" spans="8:8" x14ac:dyDescent="0.3">
      <c r="H32839" t="str">
        <f t="shared" si="562"/>
        <v/>
      </c>
    </row>
    <row r="32840" spans="8:8" x14ac:dyDescent="0.3">
      <c r="H32840" t="str">
        <f t="shared" si="562"/>
        <v/>
      </c>
    </row>
    <row r="32841" spans="8:8" x14ac:dyDescent="0.3">
      <c r="H32841" t="str">
        <f t="shared" si="562"/>
        <v/>
      </c>
    </row>
    <row r="32842" spans="8:8" x14ac:dyDescent="0.3">
      <c r="H32842" t="str">
        <f t="shared" si="562"/>
        <v/>
      </c>
    </row>
    <row r="32843" spans="8:8" x14ac:dyDescent="0.3">
      <c r="H32843" t="str">
        <f t="shared" si="562"/>
        <v/>
      </c>
    </row>
    <row r="32844" spans="8:8" x14ac:dyDescent="0.3">
      <c r="H32844" t="str">
        <f t="shared" si="562"/>
        <v/>
      </c>
    </row>
    <row r="32845" spans="8:8" x14ac:dyDescent="0.3">
      <c r="H32845" t="str">
        <f t="shared" si="562"/>
        <v/>
      </c>
    </row>
    <row r="32846" spans="8:8" x14ac:dyDescent="0.3">
      <c r="H32846" t="str">
        <f t="shared" si="562"/>
        <v/>
      </c>
    </row>
    <row r="32847" spans="8:8" x14ac:dyDescent="0.3">
      <c r="H32847" t="str">
        <f t="shared" si="562"/>
        <v/>
      </c>
    </row>
    <row r="32848" spans="8:8" x14ac:dyDescent="0.3">
      <c r="H32848" t="str">
        <f t="shared" si="562"/>
        <v/>
      </c>
    </row>
    <row r="32849" spans="8:8" x14ac:dyDescent="0.3">
      <c r="H32849" t="str">
        <f t="shared" si="562"/>
        <v/>
      </c>
    </row>
    <row r="32850" spans="8:8" x14ac:dyDescent="0.3">
      <c r="H32850" t="str">
        <f t="shared" si="562"/>
        <v/>
      </c>
    </row>
    <row r="32851" spans="8:8" x14ac:dyDescent="0.3">
      <c r="H32851" t="str">
        <f t="shared" si="562"/>
        <v/>
      </c>
    </row>
    <row r="32852" spans="8:8" x14ac:dyDescent="0.3">
      <c r="H32852" t="str">
        <f t="shared" si="562"/>
        <v/>
      </c>
    </row>
    <row r="32853" spans="8:8" x14ac:dyDescent="0.3">
      <c r="H32853" t="str">
        <f t="shared" si="562"/>
        <v/>
      </c>
    </row>
    <row r="32854" spans="8:8" x14ac:dyDescent="0.3">
      <c r="H32854" t="str">
        <f t="shared" si="562"/>
        <v/>
      </c>
    </row>
    <row r="32855" spans="8:8" x14ac:dyDescent="0.3">
      <c r="H32855" t="str">
        <f t="shared" ref="H32855:H32918" si="563">IF(B32855="","",$C$12)</f>
        <v/>
      </c>
    </row>
    <row r="32856" spans="8:8" x14ac:dyDescent="0.3">
      <c r="H32856" t="str">
        <f t="shared" si="563"/>
        <v/>
      </c>
    </row>
    <row r="32857" spans="8:8" x14ac:dyDescent="0.3">
      <c r="H32857" t="str">
        <f t="shared" si="563"/>
        <v/>
      </c>
    </row>
    <row r="32858" spans="8:8" x14ac:dyDescent="0.3">
      <c r="H32858" t="str">
        <f t="shared" si="563"/>
        <v/>
      </c>
    </row>
    <row r="32859" spans="8:8" x14ac:dyDescent="0.3">
      <c r="H32859" t="str">
        <f t="shared" si="563"/>
        <v/>
      </c>
    </row>
    <row r="32860" spans="8:8" x14ac:dyDescent="0.3">
      <c r="H32860" t="str">
        <f t="shared" si="563"/>
        <v/>
      </c>
    </row>
    <row r="32861" spans="8:8" x14ac:dyDescent="0.3">
      <c r="H32861" t="str">
        <f t="shared" si="563"/>
        <v/>
      </c>
    </row>
    <row r="32862" spans="8:8" x14ac:dyDescent="0.3">
      <c r="H32862" t="str">
        <f t="shared" si="563"/>
        <v/>
      </c>
    </row>
    <row r="32863" spans="8:8" x14ac:dyDescent="0.3">
      <c r="H32863" t="str">
        <f t="shared" si="563"/>
        <v/>
      </c>
    </row>
    <row r="32864" spans="8:8" x14ac:dyDescent="0.3">
      <c r="H32864" t="str">
        <f t="shared" si="563"/>
        <v/>
      </c>
    </row>
    <row r="32865" spans="8:8" x14ac:dyDescent="0.3">
      <c r="H32865" t="str">
        <f t="shared" si="563"/>
        <v/>
      </c>
    </row>
    <row r="32866" spans="8:8" x14ac:dyDescent="0.3">
      <c r="H32866" t="str">
        <f t="shared" si="563"/>
        <v/>
      </c>
    </row>
    <row r="32867" spans="8:8" x14ac:dyDescent="0.3">
      <c r="H32867" t="str">
        <f t="shared" si="563"/>
        <v/>
      </c>
    </row>
    <row r="32868" spans="8:8" x14ac:dyDescent="0.3">
      <c r="H32868" t="str">
        <f t="shared" si="563"/>
        <v/>
      </c>
    </row>
    <row r="32869" spans="8:8" x14ac:dyDescent="0.3">
      <c r="H32869" t="str">
        <f t="shared" si="563"/>
        <v/>
      </c>
    </row>
    <row r="32870" spans="8:8" x14ac:dyDescent="0.3">
      <c r="H32870" t="str">
        <f t="shared" si="563"/>
        <v/>
      </c>
    </row>
    <row r="32871" spans="8:8" x14ac:dyDescent="0.3">
      <c r="H32871" t="str">
        <f t="shared" si="563"/>
        <v/>
      </c>
    </row>
    <row r="32872" spans="8:8" x14ac:dyDescent="0.3">
      <c r="H32872" t="str">
        <f t="shared" si="563"/>
        <v/>
      </c>
    </row>
    <row r="32873" spans="8:8" x14ac:dyDescent="0.3">
      <c r="H32873" t="str">
        <f t="shared" si="563"/>
        <v/>
      </c>
    </row>
    <row r="32874" spans="8:8" x14ac:dyDescent="0.3">
      <c r="H32874" t="str">
        <f t="shared" si="563"/>
        <v/>
      </c>
    </row>
    <row r="32875" spans="8:8" x14ac:dyDescent="0.3">
      <c r="H32875" t="str">
        <f t="shared" si="563"/>
        <v/>
      </c>
    </row>
    <row r="32876" spans="8:8" x14ac:dyDescent="0.3">
      <c r="H32876" t="str">
        <f t="shared" si="563"/>
        <v/>
      </c>
    </row>
    <row r="32877" spans="8:8" x14ac:dyDescent="0.3">
      <c r="H32877" t="str">
        <f t="shared" si="563"/>
        <v/>
      </c>
    </row>
    <row r="32878" spans="8:8" x14ac:dyDescent="0.3">
      <c r="H32878" t="str">
        <f t="shared" si="563"/>
        <v/>
      </c>
    </row>
    <row r="32879" spans="8:8" x14ac:dyDescent="0.3">
      <c r="H32879" t="str">
        <f t="shared" si="563"/>
        <v/>
      </c>
    </row>
    <row r="32880" spans="8:8" x14ac:dyDescent="0.3">
      <c r="H32880" t="str">
        <f t="shared" si="563"/>
        <v/>
      </c>
    </row>
    <row r="32881" spans="8:8" x14ac:dyDescent="0.3">
      <c r="H32881" t="str">
        <f t="shared" si="563"/>
        <v/>
      </c>
    </row>
    <row r="32882" spans="8:8" x14ac:dyDescent="0.3">
      <c r="H32882" t="str">
        <f t="shared" si="563"/>
        <v/>
      </c>
    </row>
    <row r="32883" spans="8:8" x14ac:dyDescent="0.3">
      <c r="H32883" t="str">
        <f t="shared" si="563"/>
        <v/>
      </c>
    </row>
    <row r="32884" spans="8:8" x14ac:dyDescent="0.3">
      <c r="H32884" t="str">
        <f t="shared" si="563"/>
        <v/>
      </c>
    </row>
    <row r="32885" spans="8:8" x14ac:dyDescent="0.3">
      <c r="H32885" t="str">
        <f t="shared" si="563"/>
        <v/>
      </c>
    </row>
    <row r="32886" spans="8:8" x14ac:dyDescent="0.3">
      <c r="H32886" t="str">
        <f t="shared" si="563"/>
        <v/>
      </c>
    </row>
    <row r="32887" spans="8:8" x14ac:dyDescent="0.3">
      <c r="H32887" t="str">
        <f t="shared" si="563"/>
        <v/>
      </c>
    </row>
    <row r="32888" spans="8:8" x14ac:dyDescent="0.3">
      <c r="H32888" t="str">
        <f t="shared" si="563"/>
        <v/>
      </c>
    </row>
    <row r="32889" spans="8:8" x14ac:dyDescent="0.3">
      <c r="H32889" t="str">
        <f t="shared" si="563"/>
        <v/>
      </c>
    </row>
    <row r="32890" spans="8:8" x14ac:dyDescent="0.3">
      <c r="H32890" t="str">
        <f t="shared" si="563"/>
        <v/>
      </c>
    </row>
    <row r="32891" spans="8:8" x14ac:dyDescent="0.3">
      <c r="H32891" t="str">
        <f t="shared" si="563"/>
        <v/>
      </c>
    </row>
    <row r="32892" spans="8:8" x14ac:dyDescent="0.3">
      <c r="H32892" t="str">
        <f t="shared" si="563"/>
        <v/>
      </c>
    </row>
    <row r="32893" spans="8:8" x14ac:dyDescent="0.3">
      <c r="H32893" t="str">
        <f t="shared" si="563"/>
        <v/>
      </c>
    </row>
    <row r="32894" spans="8:8" x14ac:dyDescent="0.3">
      <c r="H32894" t="str">
        <f t="shared" si="563"/>
        <v/>
      </c>
    </row>
    <row r="32895" spans="8:8" x14ac:dyDescent="0.3">
      <c r="H32895" t="str">
        <f t="shared" si="563"/>
        <v/>
      </c>
    </row>
    <row r="32896" spans="8:8" x14ac:dyDescent="0.3">
      <c r="H32896" t="str">
        <f t="shared" si="563"/>
        <v/>
      </c>
    </row>
    <row r="32897" spans="8:8" x14ac:dyDescent="0.3">
      <c r="H32897" t="str">
        <f t="shared" si="563"/>
        <v/>
      </c>
    </row>
    <row r="32898" spans="8:8" x14ac:dyDescent="0.3">
      <c r="H32898" t="str">
        <f t="shared" si="563"/>
        <v/>
      </c>
    </row>
    <row r="32899" spans="8:8" x14ac:dyDescent="0.3">
      <c r="H32899" t="str">
        <f t="shared" si="563"/>
        <v/>
      </c>
    </row>
    <row r="32900" spans="8:8" x14ac:dyDescent="0.3">
      <c r="H32900" t="str">
        <f t="shared" si="563"/>
        <v/>
      </c>
    </row>
    <row r="32901" spans="8:8" x14ac:dyDescent="0.3">
      <c r="H32901" t="str">
        <f t="shared" si="563"/>
        <v/>
      </c>
    </row>
    <row r="32902" spans="8:8" x14ac:dyDescent="0.3">
      <c r="H32902" t="str">
        <f t="shared" si="563"/>
        <v/>
      </c>
    </row>
    <row r="32903" spans="8:8" x14ac:dyDescent="0.3">
      <c r="H32903" t="str">
        <f t="shared" si="563"/>
        <v/>
      </c>
    </row>
    <row r="32904" spans="8:8" x14ac:dyDescent="0.3">
      <c r="H32904" t="str">
        <f t="shared" si="563"/>
        <v/>
      </c>
    </row>
    <row r="32905" spans="8:8" x14ac:dyDescent="0.3">
      <c r="H32905" t="str">
        <f t="shared" si="563"/>
        <v/>
      </c>
    </row>
    <row r="32906" spans="8:8" x14ac:dyDescent="0.3">
      <c r="H32906" t="str">
        <f t="shared" si="563"/>
        <v/>
      </c>
    </row>
    <row r="32907" spans="8:8" x14ac:dyDescent="0.3">
      <c r="H32907" t="str">
        <f t="shared" si="563"/>
        <v/>
      </c>
    </row>
    <row r="32908" spans="8:8" x14ac:dyDescent="0.3">
      <c r="H32908" t="str">
        <f t="shared" si="563"/>
        <v/>
      </c>
    </row>
    <row r="32909" spans="8:8" x14ac:dyDescent="0.3">
      <c r="H32909" t="str">
        <f t="shared" si="563"/>
        <v/>
      </c>
    </row>
    <row r="32910" spans="8:8" x14ac:dyDescent="0.3">
      <c r="H32910" t="str">
        <f t="shared" si="563"/>
        <v/>
      </c>
    </row>
    <row r="32911" spans="8:8" x14ac:dyDescent="0.3">
      <c r="H32911" t="str">
        <f t="shared" si="563"/>
        <v/>
      </c>
    </row>
    <row r="32912" spans="8:8" x14ac:dyDescent="0.3">
      <c r="H32912" t="str">
        <f t="shared" si="563"/>
        <v/>
      </c>
    </row>
    <row r="32913" spans="8:8" x14ac:dyDescent="0.3">
      <c r="H32913" t="str">
        <f t="shared" si="563"/>
        <v/>
      </c>
    </row>
    <row r="32914" spans="8:8" x14ac:dyDescent="0.3">
      <c r="H32914" t="str">
        <f t="shared" si="563"/>
        <v/>
      </c>
    </row>
    <row r="32915" spans="8:8" x14ac:dyDescent="0.3">
      <c r="H32915" t="str">
        <f t="shared" si="563"/>
        <v/>
      </c>
    </row>
    <row r="32916" spans="8:8" x14ac:dyDescent="0.3">
      <c r="H32916" t="str">
        <f t="shared" si="563"/>
        <v/>
      </c>
    </row>
    <row r="32917" spans="8:8" x14ac:dyDescent="0.3">
      <c r="H32917" t="str">
        <f t="shared" si="563"/>
        <v/>
      </c>
    </row>
    <row r="32918" spans="8:8" x14ac:dyDescent="0.3">
      <c r="H32918" t="str">
        <f t="shared" si="563"/>
        <v/>
      </c>
    </row>
    <row r="32919" spans="8:8" x14ac:dyDescent="0.3">
      <c r="H32919" t="str">
        <f t="shared" ref="H32919:H32982" si="564">IF(B32919="","",$C$12)</f>
        <v/>
      </c>
    </row>
    <row r="32920" spans="8:8" x14ac:dyDescent="0.3">
      <c r="H32920" t="str">
        <f t="shared" si="564"/>
        <v/>
      </c>
    </row>
    <row r="32921" spans="8:8" x14ac:dyDescent="0.3">
      <c r="H32921" t="str">
        <f t="shared" si="564"/>
        <v/>
      </c>
    </row>
    <row r="32922" spans="8:8" x14ac:dyDescent="0.3">
      <c r="H32922" t="str">
        <f t="shared" si="564"/>
        <v/>
      </c>
    </row>
    <row r="32923" spans="8:8" x14ac:dyDescent="0.3">
      <c r="H32923" t="str">
        <f t="shared" si="564"/>
        <v/>
      </c>
    </row>
    <row r="32924" spans="8:8" x14ac:dyDescent="0.3">
      <c r="H32924" t="str">
        <f t="shared" si="564"/>
        <v/>
      </c>
    </row>
    <row r="32925" spans="8:8" x14ac:dyDescent="0.3">
      <c r="H32925" t="str">
        <f t="shared" si="564"/>
        <v/>
      </c>
    </row>
    <row r="32926" spans="8:8" x14ac:dyDescent="0.3">
      <c r="H32926" t="str">
        <f t="shared" si="564"/>
        <v/>
      </c>
    </row>
    <row r="32927" spans="8:8" x14ac:dyDescent="0.3">
      <c r="H32927" t="str">
        <f t="shared" si="564"/>
        <v/>
      </c>
    </row>
    <row r="32928" spans="8:8" x14ac:dyDescent="0.3">
      <c r="H32928" t="str">
        <f t="shared" si="564"/>
        <v/>
      </c>
    </row>
    <row r="32929" spans="8:8" x14ac:dyDescent="0.3">
      <c r="H32929" t="str">
        <f t="shared" si="564"/>
        <v/>
      </c>
    </row>
    <row r="32930" spans="8:8" x14ac:dyDescent="0.3">
      <c r="H32930" t="str">
        <f t="shared" si="564"/>
        <v/>
      </c>
    </row>
    <row r="32931" spans="8:8" x14ac:dyDescent="0.3">
      <c r="H32931" t="str">
        <f t="shared" si="564"/>
        <v/>
      </c>
    </row>
    <row r="32932" spans="8:8" x14ac:dyDescent="0.3">
      <c r="H32932" t="str">
        <f t="shared" si="564"/>
        <v/>
      </c>
    </row>
    <row r="32933" spans="8:8" x14ac:dyDescent="0.3">
      <c r="H32933" t="str">
        <f t="shared" si="564"/>
        <v/>
      </c>
    </row>
    <row r="32934" spans="8:8" x14ac:dyDescent="0.3">
      <c r="H32934" t="str">
        <f t="shared" si="564"/>
        <v/>
      </c>
    </row>
    <row r="32935" spans="8:8" x14ac:dyDescent="0.3">
      <c r="H32935" t="str">
        <f t="shared" si="564"/>
        <v/>
      </c>
    </row>
    <row r="32936" spans="8:8" x14ac:dyDescent="0.3">
      <c r="H32936" t="str">
        <f t="shared" si="564"/>
        <v/>
      </c>
    </row>
    <row r="32937" spans="8:8" x14ac:dyDescent="0.3">
      <c r="H32937" t="str">
        <f t="shared" si="564"/>
        <v/>
      </c>
    </row>
    <row r="32938" spans="8:8" x14ac:dyDescent="0.3">
      <c r="H32938" t="str">
        <f t="shared" si="564"/>
        <v/>
      </c>
    </row>
    <row r="32939" spans="8:8" x14ac:dyDescent="0.3">
      <c r="H32939" t="str">
        <f t="shared" si="564"/>
        <v/>
      </c>
    </row>
    <row r="32940" spans="8:8" x14ac:dyDescent="0.3">
      <c r="H32940" t="str">
        <f t="shared" si="564"/>
        <v/>
      </c>
    </row>
    <row r="32941" spans="8:8" x14ac:dyDescent="0.3">
      <c r="H32941" t="str">
        <f t="shared" si="564"/>
        <v/>
      </c>
    </row>
    <row r="32942" spans="8:8" x14ac:dyDescent="0.3">
      <c r="H32942" t="str">
        <f t="shared" si="564"/>
        <v/>
      </c>
    </row>
    <row r="32943" spans="8:8" x14ac:dyDescent="0.3">
      <c r="H32943" t="str">
        <f t="shared" si="564"/>
        <v/>
      </c>
    </row>
    <row r="32944" spans="8:8" x14ac:dyDescent="0.3">
      <c r="H32944" t="str">
        <f t="shared" si="564"/>
        <v/>
      </c>
    </row>
    <row r="32945" spans="8:8" x14ac:dyDescent="0.3">
      <c r="H32945" t="str">
        <f t="shared" si="564"/>
        <v/>
      </c>
    </row>
    <row r="32946" spans="8:8" x14ac:dyDescent="0.3">
      <c r="H32946" t="str">
        <f t="shared" si="564"/>
        <v/>
      </c>
    </row>
    <row r="32947" spans="8:8" x14ac:dyDescent="0.3">
      <c r="H32947" t="str">
        <f t="shared" si="564"/>
        <v/>
      </c>
    </row>
    <row r="32948" spans="8:8" x14ac:dyDescent="0.3">
      <c r="H32948" t="str">
        <f t="shared" si="564"/>
        <v/>
      </c>
    </row>
    <row r="32949" spans="8:8" x14ac:dyDescent="0.3">
      <c r="H32949" t="str">
        <f t="shared" si="564"/>
        <v/>
      </c>
    </row>
    <row r="32950" spans="8:8" x14ac:dyDescent="0.3">
      <c r="H32950" t="str">
        <f t="shared" si="564"/>
        <v/>
      </c>
    </row>
    <row r="32951" spans="8:8" x14ac:dyDescent="0.3">
      <c r="H32951" t="str">
        <f t="shared" si="564"/>
        <v/>
      </c>
    </row>
    <row r="32952" spans="8:8" x14ac:dyDescent="0.3">
      <c r="H32952" t="str">
        <f t="shared" si="564"/>
        <v/>
      </c>
    </row>
    <row r="32953" spans="8:8" x14ac:dyDescent="0.3">
      <c r="H32953" t="str">
        <f t="shared" si="564"/>
        <v/>
      </c>
    </row>
    <row r="32954" spans="8:8" x14ac:dyDescent="0.3">
      <c r="H32954" t="str">
        <f t="shared" si="564"/>
        <v/>
      </c>
    </row>
    <row r="32955" spans="8:8" x14ac:dyDescent="0.3">
      <c r="H32955" t="str">
        <f t="shared" si="564"/>
        <v/>
      </c>
    </row>
    <row r="32956" spans="8:8" x14ac:dyDescent="0.3">
      <c r="H32956" t="str">
        <f t="shared" si="564"/>
        <v/>
      </c>
    </row>
    <row r="32957" spans="8:8" x14ac:dyDescent="0.3">
      <c r="H32957" t="str">
        <f t="shared" si="564"/>
        <v/>
      </c>
    </row>
    <row r="32958" spans="8:8" x14ac:dyDescent="0.3">
      <c r="H32958" t="str">
        <f t="shared" si="564"/>
        <v/>
      </c>
    </row>
    <row r="32959" spans="8:8" x14ac:dyDescent="0.3">
      <c r="H32959" t="str">
        <f t="shared" si="564"/>
        <v/>
      </c>
    </row>
    <row r="32960" spans="8:8" x14ac:dyDescent="0.3">
      <c r="H32960" t="str">
        <f t="shared" si="564"/>
        <v/>
      </c>
    </row>
    <row r="32961" spans="8:8" x14ac:dyDescent="0.3">
      <c r="H32961" t="str">
        <f t="shared" si="564"/>
        <v/>
      </c>
    </row>
    <row r="32962" spans="8:8" x14ac:dyDescent="0.3">
      <c r="H32962" t="str">
        <f t="shared" si="564"/>
        <v/>
      </c>
    </row>
    <row r="32963" spans="8:8" x14ac:dyDescent="0.3">
      <c r="H32963" t="str">
        <f t="shared" si="564"/>
        <v/>
      </c>
    </row>
    <row r="32964" spans="8:8" x14ac:dyDescent="0.3">
      <c r="H32964" t="str">
        <f t="shared" si="564"/>
        <v/>
      </c>
    </row>
    <row r="32965" spans="8:8" x14ac:dyDescent="0.3">
      <c r="H32965" t="str">
        <f t="shared" si="564"/>
        <v/>
      </c>
    </row>
    <row r="32966" spans="8:8" x14ac:dyDescent="0.3">
      <c r="H32966" t="str">
        <f t="shared" si="564"/>
        <v/>
      </c>
    </row>
    <row r="32967" spans="8:8" x14ac:dyDescent="0.3">
      <c r="H32967" t="str">
        <f t="shared" si="564"/>
        <v/>
      </c>
    </row>
    <row r="32968" spans="8:8" x14ac:dyDescent="0.3">
      <c r="H32968" t="str">
        <f t="shared" si="564"/>
        <v/>
      </c>
    </row>
    <row r="32969" spans="8:8" x14ac:dyDescent="0.3">
      <c r="H32969" t="str">
        <f t="shared" si="564"/>
        <v/>
      </c>
    </row>
    <row r="32970" spans="8:8" x14ac:dyDescent="0.3">
      <c r="H32970" t="str">
        <f t="shared" si="564"/>
        <v/>
      </c>
    </row>
    <row r="32971" spans="8:8" x14ac:dyDescent="0.3">
      <c r="H32971" t="str">
        <f t="shared" si="564"/>
        <v/>
      </c>
    </row>
    <row r="32972" spans="8:8" x14ac:dyDescent="0.3">
      <c r="H32972" t="str">
        <f t="shared" si="564"/>
        <v/>
      </c>
    </row>
    <row r="32973" spans="8:8" x14ac:dyDescent="0.3">
      <c r="H32973" t="str">
        <f t="shared" si="564"/>
        <v/>
      </c>
    </row>
    <row r="32974" spans="8:8" x14ac:dyDescent="0.3">
      <c r="H32974" t="str">
        <f t="shared" si="564"/>
        <v/>
      </c>
    </row>
    <row r="32975" spans="8:8" x14ac:dyDescent="0.3">
      <c r="H32975" t="str">
        <f t="shared" si="564"/>
        <v/>
      </c>
    </row>
    <row r="32976" spans="8:8" x14ac:dyDescent="0.3">
      <c r="H32976" t="str">
        <f t="shared" si="564"/>
        <v/>
      </c>
    </row>
    <row r="32977" spans="8:8" x14ac:dyDescent="0.3">
      <c r="H32977" t="str">
        <f t="shared" si="564"/>
        <v/>
      </c>
    </row>
    <row r="32978" spans="8:8" x14ac:dyDescent="0.3">
      <c r="H32978" t="str">
        <f t="shared" si="564"/>
        <v/>
      </c>
    </row>
    <row r="32979" spans="8:8" x14ac:dyDescent="0.3">
      <c r="H32979" t="str">
        <f t="shared" si="564"/>
        <v/>
      </c>
    </row>
    <row r="32980" spans="8:8" x14ac:dyDescent="0.3">
      <c r="H32980" t="str">
        <f t="shared" si="564"/>
        <v/>
      </c>
    </row>
    <row r="32981" spans="8:8" x14ac:dyDescent="0.3">
      <c r="H32981" t="str">
        <f t="shared" si="564"/>
        <v/>
      </c>
    </row>
    <row r="32982" spans="8:8" x14ac:dyDescent="0.3">
      <c r="H32982" t="str">
        <f t="shared" si="564"/>
        <v/>
      </c>
    </row>
    <row r="32983" spans="8:8" x14ac:dyDescent="0.3">
      <c r="H32983" t="str">
        <f t="shared" ref="H32983:H33046" si="565">IF(B32983="","",$C$12)</f>
        <v/>
      </c>
    </row>
    <row r="32984" spans="8:8" x14ac:dyDescent="0.3">
      <c r="H32984" t="str">
        <f t="shared" si="565"/>
        <v/>
      </c>
    </row>
    <row r="32985" spans="8:8" x14ac:dyDescent="0.3">
      <c r="H32985" t="str">
        <f t="shared" si="565"/>
        <v/>
      </c>
    </row>
    <row r="32986" spans="8:8" x14ac:dyDescent="0.3">
      <c r="H32986" t="str">
        <f t="shared" si="565"/>
        <v/>
      </c>
    </row>
    <row r="32987" spans="8:8" x14ac:dyDescent="0.3">
      <c r="H32987" t="str">
        <f t="shared" si="565"/>
        <v/>
      </c>
    </row>
    <row r="32988" spans="8:8" x14ac:dyDescent="0.3">
      <c r="H32988" t="str">
        <f t="shared" si="565"/>
        <v/>
      </c>
    </row>
    <row r="32989" spans="8:8" x14ac:dyDescent="0.3">
      <c r="H32989" t="str">
        <f t="shared" si="565"/>
        <v/>
      </c>
    </row>
    <row r="32990" spans="8:8" x14ac:dyDescent="0.3">
      <c r="H32990" t="str">
        <f t="shared" si="565"/>
        <v/>
      </c>
    </row>
    <row r="32991" spans="8:8" x14ac:dyDescent="0.3">
      <c r="H32991" t="str">
        <f t="shared" si="565"/>
        <v/>
      </c>
    </row>
    <row r="32992" spans="8:8" x14ac:dyDescent="0.3">
      <c r="H32992" t="str">
        <f t="shared" si="565"/>
        <v/>
      </c>
    </row>
    <row r="32993" spans="8:8" x14ac:dyDescent="0.3">
      <c r="H32993" t="str">
        <f t="shared" si="565"/>
        <v/>
      </c>
    </row>
    <row r="32994" spans="8:8" x14ac:dyDescent="0.3">
      <c r="H32994" t="str">
        <f t="shared" si="565"/>
        <v/>
      </c>
    </row>
    <row r="32995" spans="8:8" x14ac:dyDescent="0.3">
      <c r="H32995" t="str">
        <f t="shared" si="565"/>
        <v/>
      </c>
    </row>
    <row r="32996" spans="8:8" x14ac:dyDescent="0.3">
      <c r="H32996" t="str">
        <f t="shared" si="565"/>
        <v/>
      </c>
    </row>
    <row r="32997" spans="8:8" x14ac:dyDescent="0.3">
      <c r="H32997" t="str">
        <f t="shared" si="565"/>
        <v/>
      </c>
    </row>
    <row r="32998" spans="8:8" x14ac:dyDescent="0.3">
      <c r="H32998" t="str">
        <f t="shared" si="565"/>
        <v/>
      </c>
    </row>
    <row r="32999" spans="8:8" x14ac:dyDescent="0.3">
      <c r="H32999" t="str">
        <f t="shared" si="565"/>
        <v/>
      </c>
    </row>
    <row r="33000" spans="8:8" x14ac:dyDescent="0.3">
      <c r="H33000" t="str">
        <f t="shared" si="565"/>
        <v/>
      </c>
    </row>
    <row r="33001" spans="8:8" x14ac:dyDescent="0.3">
      <c r="H33001" t="str">
        <f t="shared" si="565"/>
        <v/>
      </c>
    </row>
    <row r="33002" spans="8:8" x14ac:dyDescent="0.3">
      <c r="H33002" t="str">
        <f t="shared" si="565"/>
        <v/>
      </c>
    </row>
    <row r="33003" spans="8:8" x14ac:dyDescent="0.3">
      <c r="H33003" t="str">
        <f t="shared" si="565"/>
        <v/>
      </c>
    </row>
    <row r="33004" spans="8:8" x14ac:dyDescent="0.3">
      <c r="H33004" t="str">
        <f t="shared" si="565"/>
        <v/>
      </c>
    </row>
    <row r="33005" spans="8:8" x14ac:dyDescent="0.3">
      <c r="H33005" t="str">
        <f t="shared" si="565"/>
        <v/>
      </c>
    </row>
    <row r="33006" spans="8:8" x14ac:dyDescent="0.3">
      <c r="H33006" t="str">
        <f t="shared" si="565"/>
        <v/>
      </c>
    </row>
    <row r="33007" spans="8:8" x14ac:dyDescent="0.3">
      <c r="H33007" t="str">
        <f t="shared" si="565"/>
        <v/>
      </c>
    </row>
    <row r="33008" spans="8:8" x14ac:dyDescent="0.3">
      <c r="H33008" t="str">
        <f t="shared" si="565"/>
        <v/>
      </c>
    </row>
    <row r="33009" spans="8:8" x14ac:dyDescent="0.3">
      <c r="H33009" t="str">
        <f t="shared" si="565"/>
        <v/>
      </c>
    </row>
    <row r="33010" spans="8:8" x14ac:dyDescent="0.3">
      <c r="H33010" t="str">
        <f t="shared" si="565"/>
        <v/>
      </c>
    </row>
    <row r="33011" spans="8:8" x14ac:dyDescent="0.3">
      <c r="H33011" t="str">
        <f t="shared" si="565"/>
        <v/>
      </c>
    </row>
    <row r="33012" spans="8:8" x14ac:dyDescent="0.3">
      <c r="H33012" t="str">
        <f t="shared" si="565"/>
        <v/>
      </c>
    </row>
    <row r="33013" spans="8:8" x14ac:dyDescent="0.3">
      <c r="H33013" t="str">
        <f t="shared" si="565"/>
        <v/>
      </c>
    </row>
    <row r="33014" spans="8:8" x14ac:dyDescent="0.3">
      <c r="H33014" t="str">
        <f t="shared" si="565"/>
        <v/>
      </c>
    </row>
    <row r="33015" spans="8:8" x14ac:dyDescent="0.3">
      <c r="H33015" t="str">
        <f t="shared" si="565"/>
        <v/>
      </c>
    </row>
    <row r="33016" spans="8:8" x14ac:dyDescent="0.3">
      <c r="H33016" t="str">
        <f t="shared" si="565"/>
        <v/>
      </c>
    </row>
    <row r="33017" spans="8:8" x14ac:dyDescent="0.3">
      <c r="H33017" t="str">
        <f t="shared" si="565"/>
        <v/>
      </c>
    </row>
    <row r="33018" spans="8:8" x14ac:dyDescent="0.3">
      <c r="H33018" t="str">
        <f t="shared" si="565"/>
        <v/>
      </c>
    </row>
    <row r="33019" spans="8:8" x14ac:dyDescent="0.3">
      <c r="H33019" t="str">
        <f t="shared" si="565"/>
        <v/>
      </c>
    </row>
    <row r="33020" spans="8:8" x14ac:dyDescent="0.3">
      <c r="H33020" t="str">
        <f t="shared" si="565"/>
        <v/>
      </c>
    </row>
    <row r="33021" spans="8:8" x14ac:dyDescent="0.3">
      <c r="H33021" t="str">
        <f t="shared" si="565"/>
        <v/>
      </c>
    </row>
    <row r="33022" spans="8:8" x14ac:dyDescent="0.3">
      <c r="H33022" t="str">
        <f t="shared" si="565"/>
        <v/>
      </c>
    </row>
    <row r="33023" spans="8:8" x14ac:dyDescent="0.3">
      <c r="H33023" t="str">
        <f t="shared" si="565"/>
        <v/>
      </c>
    </row>
    <row r="33024" spans="8:8" x14ac:dyDescent="0.3">
      <c r="H33024" t="str">
        <f t="shared" si="565"/>
        <v/>
      </c>
    </row>
    <row r="33025" spans="8:8" x14ac:dyDescent="0.3">
      <c r="H33025" t="str">
        <f t="shared" si="565"/>
        <v/>
      </c>
    </row>
    <row r="33026" spans="8:8" x14ac:dyDescent="0.3">
      <c r="H33026" t="str">
        <f t="shared" si="565"/>
        <v/>
      </c>
    </row>
    <row r="33027" spans="8:8" x14ac:dyDescent="0.3">
      <c r="H33027" t="str">
        <f t="shared" si="565"/>
        <v/>
      </c>
    </row>
    <row r="33028" spans="8:8" x14ac:dyDescent="0.3">
      <c r="H33028" t="str">
        <f t="shared" si="565"/>
        <v/>
      </c>
    </row>
    <row r="33029" spans="8:8" x14ac:dyDescent="0.3">
      <c r="H33029" t="str">
        <f t="shared" si="565"/>
        <v/>
      </c>
    </row>
    <row r="33030" spans="8:8" x14ac:dyDescent="0.3">
      <c r="H33030" t="str">
        <f t="shared" si="565"/>
        <v/>
      </c>
    </row>
    <row r="33031" spans="8:8" x14ac:dyDescent="0.3">
      <c r="H33031" t="str">
        <f t="shared" si="565"/>
        <v/>
      </c>
    </row>
    <row r="33032" spans="8:8" x14ac:dyDescent="0.3">
      <c r="H33032" t="str">
        <f t="shared" si="565"/>
        <v/>
      </c>
    </row>
    <row r="33033" spans="8:8" x14ac:dyDescent="0.3">
      <c r="H33033" t="str">
        <f t="shared" si="565"/>
        <v/>
      </c>
    </row>
    <row r="33034" spans="8:8" x14ac:dyDescent="0.3">
      <c r="H33034" t="str">
        <f t="shared" si="565"/>
        <v/>
      </c>
    </row>
    <row r="33035" spans="8:8" x14ac:dyDescent="0.3">
      <c r="H33035" t="str">
        <f t="shared" si="565"/>
        <v/>
      </c>
    </row>
    <row r="33036" spans="8:8" x14ac:dyDescent="0.3">
      <c r="H33036" t="str">
        <f t="shared" si="565"/>
        <v/>
      </c>
    </row>
    <row r="33037" spans="8:8" x14ac:dyDescent="0.3">
      <c r="H33037" t="str">
        <f t="shared" si="565"/>
        <v/>
      </c>
    </row>
    <row r="33038" spans="8:8" x14ac:dyDescent="0.3">
      <c r="H33038" t="str">
        <f t="shared" si="565"/>
        <v/>
      </c>
    </row>
    <row r="33039" spans="8:8" x14ac:dyDescent="0.3">
      <c r="H33039" t="str">
        <f t="shared" si="565"/>
        <v/>
      </c>
    </row>
    <row r="33040" spans="8:8" x14ac:dyDescent="0.3">
      <c r="H33040" t="str">
        <f t="shared" si="565"/>
        <v/>
      </c>
    </row>
    <row r="33041" spans="8:8" x14ac:dyDescent="0.3">
      <c r="H33041" t="str">
        <f t="shared" si="565"/>
        <v/>
      </c>
    </row>
    <row r="33042" spans="8:8" x14ac:dyDescent="0.3">
      <c r="H33042" t="str">
        <f t="shared" si="565"/>
        <v/>
      </c>
    </row>
    <row r="33043" spans="8:8" x14ac:dyDescent="0.3">
      <c r="H33043" t="str">
        <f t="shared" si="565"/>
        <v/>
      </c>
    </row>
    <row r="33044" spans="8:8" x14ac:dyDescent="0.3">
      <c r="H33044" t="str">
        <f t="shared" si="565"/>
        <v/>
      </c>
    </row>
    <row r="33045" spans="8:8" x14ac:dyDescent="0.3">
      <c r="H33045" t="str">
        <f t="shared" si="565"/>
        <v/>
      </c>
    </row>
    <row r="33046" spans="8:8" x14ac:dyDescent="0.3">
      <c r="H33046" t="str">
        <f t="shared" si="565"/>
        <v/>
      </c>
    </row>
    <row r="33047" spans="8:8" x14ac:dyDescent="0.3">
      <c r="H33047" t="str">
        <f t="shared" ref="H33047:H33110" si="566">IF(B33047="","",$C$12)</f>
        <v/>
      </c>
    </row>
    <row r="33048" spans="8:8" x14ac:dyDescent="0.3">
      <c r="H33048" t="str">
        <f t="shared" si="566"/>
        <v/>
      </c>
    </row>
    <row r="33049" spans="8:8" x14ac:dyDescent="0.3">
      <c r="H33049" t="str">
        <f t="shared" si="566"/>
        <v/>
      </c>
    </row>
    <row r="33050" spans="8:8" x14ac:dyDescent="0.3">
      <c r="H33050" t="str">
        <f t="shared" si="566"/>
        <v/>
      </c>
    </row>
    <row r="33051" spans="8:8" x14ac:dyDescent="0.3">
      <c r="H33051" t="str">
        <f t="shared" si="566"/>
        <v/>
      </c>
    </row>
    <row r="33052" spans="8:8" x14ac:dyDescent="0.3">
      <c r="H33052" t="str">
        <f t="shared" si="566"/>
        <v/>
      </c>
    </row>
    <row r="33053" spans="8:8" x14ac:dyDescent="0.3">
      <c r="H33053" t="str">
        <f t="shared" si="566"/>
        <v/>
      </c>
    </row>
    <row r="33054" spans="8:8" x14ac:dyDescent="0.3">
      <c r="H33054" t="str">
        <f t="shared" si="566"/>
        <v/>
      </c>
    </row>
    <row r="33055" spans="8:8" x14ac:dyDescent="0.3">
      <c r="H33055" t="str">
        <f t="shared" si="566"/>
        <v/>
      </c>
    </row>
    <row r="33056" spans="8:8" x14ac:dyDescent="0.3">
      <c r="H33056" t="str">
        <f t="shared" si="566"/>
        <v/>
      </c>
    </row>
    <row r="33057" spans="8:8" x14ac:dyDescent="0.3">
      <c r="H33057" t="str">
        <f t="shared" si="566"/>
        <v/>
      </c>
    </row>
    <row r="33058" spans="8:8" x14ac:dyDescent="0.3">
      <c r="H33058" t="str">
        <f t="shared" si="566"/>
        <v/>
      </c>
    </row>
    <row r="33059" spans="8:8" x14ac:dyDescent="0.3">
      <c r="H33059" t="str">
        <f t="shared" si="566"/>
        <v/>
      </c>
    </row>
    <row r="33060" spans="8:8" x14ac:dyDescent="0.3">
      <c r="H33060" t="str">
        <f t="shared" si="566"/>
        <v/>
      </c>
    </row>
    <row r="33061" spans="8:8" x14ac:dyDescent="0.3">
      <c r="H33061" t="str">
        <f t="shared" si="566"/>
        <v/>
      </c>
    </row>
    <row r="33062" spans="8:8" x14ac:dyDescent="0.3">
      <c r="H33062" t="str">
        <f t="shared" si="566"/>
        <v/>
      </c>
    </row>
    <row r="33063" spans="8:8" x14ac:dyDescent="0.3">
      <c r="H33063" t="str">
        <f t="shared" si="566"/>
        <v/>
      </c>
    </row>
    <row r="33064" spans="8:8" x14ac:dyDescent="0.3">
      <c r="H33064" t="str">
        <f t="shared" si="566"/>
        <v/>
      </c>
    </row>
    <row r="33065" spans="8:8" x14ac:dyDescent="0.3">
      <c r="H33065" t="str">
        <f t="shared" si="566"/>
        <v/>
      </c>
    </row>
    <row r="33066" spans="8:8" x14ac:dyDescent="0.3">
      <c r="H33066" t="str">
        <f t="shared" si="566"/>
        <v/>
      </c>
    </row>
    <row r="33067" spans="8:8" x14ac:dyDescent="0.3">
      <c r="H33067" t="str">
        <f t="shared" si="566"/>
        <v/>
      </c>
    </row>
    <row r="33068" spans="8:8" x14ac:dyDescent="0.3">
      <c r="H33068" t="str">
        <f t="shared" si="566"/>
        <v/>
      </c>
    </row>
    <row r="33069" spans="8:8" x14ac:dyDescent="0.3">
      <c r="H33069" t="str">
        <f t="shared" si="566"/>
        <v/>
      </c>
    </row>
    <row r="33070" spans="8:8" x14ac:dyDescent="0.3">
      <c r="H33070" t="str">
        <f t="shared" si="566"/>
        <v/>
      </c>
    </row>
    <row r="33071" spans="8:8" x14ac:dyDescent="0.3">
      <c r="H33071" t="str">
        <f t="shared" si="566"/>
        <v/>
      </c>
    </row>
    <row r="33072" spans="8:8" x14ac:dyDescent="0.3">
      <c r="H33072" t="str">
        <f t="shared" si="566"/>
        <v/>
      </c>
    </row>
    <row r="33073" spans="8:8" x14ac:dyDescent="0.3">
      <c r="H33073" t="str">
        <f t="shared" si="566"/>
        <v/>
      </c>
    </row>
    <row r="33074" spans="8:8" x14ac:dyDescent="0.3">
      <c r="H33074" t="str">
        <f t="shared" si="566"/>
        <v/>
      </c>
    </row>
    <row r="33075" spans="8:8" x14ac:dyDescent="0.3">
      <c r="H33075" t="str">
        <f t="shared" si="566"/>
        <v/>
      </c>
    </row>
    <row r="33076" spans="8:8" x14ac:dyDescent="0.3">
      <c r="H33076" t="str">
        <f t="shared" si="566"/>
        <v/>
      </c>
    </row>
    <row r="33077" spans="8:8" x14ac:dyDescent="0.3">
      <c r="H33077" t="str">
        <f t="shared" si="566"/>
        <v/>
      </c>
    </row>
    <row r="33078" spans="8:8" x14ac:dyDescent="0.3">
      <c r="H33078" t="str">
        <f t="shared" si="566"/>
        <v/>
      </c>
    </row>
    <row r="33079" spans="8:8" x14ac:dyDescent="0.3">
      <c r="H33079" t="str">
        <f t="shared" si="566"/>
        <v/>
      </c>
    </row>
    <row r="33080" spans="8:8" x14ac:dyDescent="0.3">
      <c r="H33080" t="str">
        <f t="shared" si="566"/>
        <v/>
      </c>
    </row>
    <row r="33081" spans="8:8" x14ac:dyDescent="0.3">
      <c r="H33081" t="str">
        <f t="shared" si="566"/>
        <v/>
      </c>
    </row>
    <row r="33082" spans="8:8" x14ac:dyDescent="0.3">
      <c r="H33082" t="str">
        <f t="shared" si="566"/>
        <v/>
      </c>
    </row>
    <row r="33083" spans="8:8" x14ac:dyDescent="0.3">
      <c r="H33083" t="str">
        <f t="shared" si="566"/>
        <v/>
      </c>
    </row>
    <row r="33084" spans="8:8" x14ac:dyDescent="0.3">
      <c r="H33084" t="str">
        <f t="shared" si="566"/>
        <v/>
      </c>
    </row>
    <row r="33085" spans="8:8" x14ac:dyDescent="0.3">
      <c r="H33085" t="str">
        <f t="shared" si="566"/>
        <v/>
      </c>
    </row>
    <row r="33086" spans="8:8" x14ac:dyDescent="0.3">
      <c r="H33086" t="str">
        <f t="shared" si="566"/>
        <v/>
      </c>
    </row>
    <row r="33087" spans="8:8" x14ac:dyDescent="0.3">
      <c r="H33087" t="str">
        <f t="shared" si="566"/>
        <v/>
      </c>
    </row>
    <row r="33088" spans="8:8" x14ac:dyDescent="0.3">
      <c r="H33088" t="str">
        <f t="shared" si="566"/>
        <v/>
      </c>
    </row>
    <row r="33089" spans="8:8" x14ac:dyDescent="0.3">
      <c r="H33089" t="str">
        <f t="shared" si="566"/>
        <v/>
      </c>
    </row>
    <row r="33090" spans="8:8" x14ac:dyDescent="0.3">
      <c r="H33090" t="str">
        <f t="shared" si="566"/>
        <v/>
      </c>
    </row>
    <row r="33091" spans="8:8" x14ac:dyDescent="0.3">
      <c r="H33091" t="str">
        <f t="shared" si="566"/>
        <v/>
      </c>
    </row>
    <row r="33092" spans="8:8" x14ac:dyDescent="0.3">
      <c r="H33092" t="str">
        <f t="shared" si="566"/>
        <v/>
      </c>
    </row>
    <row r="33093" spans="8:8" x14ac:dyDescent="0.3">
      <c r="H33093" t="str">
        <f t="shared" si="566"/>
        <v/>
      </c>
    </row>
    <row r="33094" spans="8:8" x14ac:dyDescent="0.3">
      <c r="H33094" t="str">
        <f t="shared" si="566"/>
        <v/>
      </c>
    </row>
    <row r="33095" spans="8:8" x14ac:dyDescent="0.3">
      <c r="H33095" t="str">
        <f t="shared" si="566"/>
        <v/>
      </c>
    </row>
    <row r="33096" spans="8:8" x14ac:dyDescent="0.3">
      <c r="H33096" t="str">
        <f t="shared" si="566"/>
        <v/>
      </c>
    </row>
    <row r="33097" spans="8:8" x14ac:dyDescent="0.3">
      <c r="H33097" t="str">
        <f t="shared" si="566"/>
        <v/>
      </c>
    </row>
    <row r="33098" spans="8:8" x14ac:dyDescent="0.3">
      <c r="H33098" t="str">
        <f t="shared" si="566"/>
        <v/>
      </c>
    </row>
    <row r="33099" spans="8:8" x14ac:dyDescent="0.3">
      <c r="H33099" t="str">
        <f t="shared" si="566"/>
        <v/>
      </c>
    </row>
    <row r="33100" spans="8:8" x14ac:dyDescent="0.3">
      <c r="H33100" t="str">
        <f t="shared" si="566"/>
        <v/>
      </c>
    </row>
    <row r="33101" spans="8:8" x14ac:dyDescent="0.3">
      <c r="H33101" t="str">
        <f t="shared" si="566"/>
        <v/>
      </c>
    </row>
    <row r="33102" spans="8:8" x14ac:dyDescent="0.3">
      <c r="H33102" t="str">
        <f t="shared" si="566"/>
        <v/>
      </c>
    </row>
    <row r="33103" spans="8:8" x14ac:dyDescent="0.3">
      <c r="H33103" t="str">
        <f t="shared" si="566"/>
        <v/>
      </c>
    </row>
    <row r="33104" spans="8:8" x14ac:dyDescent="0.3">
      <c r="H33104" t="str">
        <f t="shared" si="566"/>
        <v/>
      </c>
    </row>
    <row r="33105" spans="8:8" x14ac:dyDescent="0.3">
      <c r="H33105" t="str">
        <f t="shared" si="566"/>
        <v/>
      </c>
    </row>
    <row r="33106" spans="8:8" x14ac:dyDescent="0.3">
      <c r="H33106" t="str">
        <f t="shared" si="566"/>
        <v/>
      </c>
    </row>
    <row r="33107" spans="8:8" x14ac:dyDescent="0.3">
      <c r="H33107" t="str">
        <f t="shared" si="566"/>
        <v/>
      </c>
    </row>
    <row r="33108" spans="8:8" x14ac:dyDescent="0.3">
      <c r="H33108" t="str">
        <f t="shared" si="566"/>
        <v/>
      </c>
    </row>
    <row r="33109" spans="8:8" x14ac:dyDescent="0.3">
      <c r="H33109" t="str">
        <f t="shared" si="566"/>
        <v/>
      </c>
    </row>
    <row r="33110" spans="8:8" x14ac:dyDescent="0.3">
      <c r="H33110" t="str">
        <f t="shared" si="566"/>
        <v/>
      </c>
    </row>
    <row r="33111" spans="8:8" x14ac:dyDescent="0.3">
      <c r="H33111" t="str">
        <f t="shared" ref="H33111:H33174" si="567">IF(B33111="","",$C$12)</f>
        <v/>
      </c>
    </row>
    <row r="33112" spans="8:8" x14ac:dyDescent="0.3">
      <c r="H33112" t="str">
        <f t="shared" si="567"/>
        <v/>
      </c>
    </row>
    <row r="33113" spans="8:8" x14ac:dyDescent="0.3">
      <c r="H33113" t="str">
        <f t="shared" si="567"/>
        <v/>
      </c>
    </row>
    <row r="33114" spans="8:8" x14ac:dyDescent="0.3">
      <c r="H33114" t="str">
        <f t="shared" si="567"/>
        <v/>
      </c>
    </row>
    <row r="33115" spans="8:8" x14ac:dyDescent="0.3">
      <c r="H33115" t="str">
        <f t="shared" si="567"/>
        <v/>
      </c>
    </row>
    <row r="33116" spans="8:8" x14ac:dyDescent="0.3">
      <c r="H33116" t="str">
        <f t="shared" si="567"/>
        <v/>
      </c>
    </row>
    <row r="33117" spans="8:8" x14ac:dyDescent="0.3">
      <c r="H33117" t="str">
        <f t="shared" si="567"/>
        <v/>
      </c>
    </row>
    <row r="33118" spans="8:8" x14ac:dyDescent="0.3">
      <c r="H33118" t="str">
        <f t="shared" si="567"/>
        <v/>
      </c>
    </row>
    <row r="33119" spans="8:8" x14ac:dyDescent="0.3">
      <c r="H33119" t="str">
        <f t="shared" si="567"/>
        <v/>
      </c>
    </row>
    <row r="33120" spans="8:8" x14ac:dyDescent="0.3">
      <c r="H33120" t="str">
        <f t="shared" si="567"/>
        <v/>
      </c>
    </row>
    <row r="33121" spans="8:8" x14ac:dyDescent="0.3">
      <c r="H33121" t="str">
        <f t="shared" si="567"/>
        <v/>
      </c>
    </row>
    <row r="33122" spans="8:8" x14ac:dyDescent="0.3">
      <c r="H33122" t="str">
        <f t="shared" si="567"/>
        <v/>
      </c>
    </row>
    <row r="33123" spans="8:8" x14ac:dyDescent="0.3">
      <c r="H33123" t="str">
        <f t="shared" si="567"/>
        <v/>
      </c>
    </row>
    <row r="33124" spans="8:8" x14ac:dyDescent="0.3">
      <c r="H33124" t="str">
        <f t="shared" si="567"/>
        <v/>
      </c>
    </row>
    <row r="33125" spans="8:8" x14ac:dyDescent="0.3">
      <c r="H33125" t="str">
        <f t="shared" si="567"/>
        <v/>
      </c>
    </row>
    <row r="33126" spans="8:8" x14ac:dyDescent="0.3">
      <c r="H33126" t="str">
        <f t="shared" si="567"/>
        <v/>
      </c>
    </row>
    <row r="33127" spans="8:8" x14ac:dyDescent="0.3">
      <c r="H33127" t="str">
        <f t="shared" si="567"/>
        <v/>
      </c>
    </row>
    <row r="33128" spans="8:8" x14ac:dyDescent="0.3">
      <c r="H33128" t="str">
        <f t="shared" si="567"/>
        <v/>
      </c>
    </row>
    <row r="33129" spans="8:8" x14ac:dyDescent="0.3">
      <c r="H33129" t="str">
        <f t="shared" si="567"/>
        <v/>
      </c>
    </row>
    <row r="33130" spans="8:8" x14ac:dyDescent="0.3">
      <c r="H33130" t="str">
        <f t="shared" si="567"/>
        <v/>
      </c>
    </row>
    <row r="33131" spans="8:8" x14ac:dyDescent="0.3">
      <c r="H33131" t="str">
        <f t="shared" si="567"/>
        <v/>
      </c>
    </row>
    <row r="33132" spans="8:8" x14ac:dyDescent="0.3">
      <c r="H33132" t="str">
        <f t="shared" si="567"/>
        <v/>
      </c>
    </row>
    <row r="33133" spans="8:8" x14ac:dyDescent="0.3">
      <c r="H33133" t="str">
        <f t="shared" si="567"/>
        <v/>
      </c>
    </row>
    <row r="33134" spans="8:8" x14ac:dyDescent="0.3">
      <c r="H33134" t="str">
        <f t="shared" si="567"/>
        <v/>
      </c>
    </row>
    <row r="33135" spans="8:8" x14ac:dyDescent="0.3">
      <c r="H33135" t="str">
        <f t="shared" si="567"/>
        <v/>
      </c>
    </row>
    <row r="33136" spans="8:8" x14ac:dyDescent="0.3">
      <c r="H33136" t="str">
        <f t="shared" si="567"/>
        <v/>
      </c>
    </row>
    <row r="33137" spans="8:8" x14ac:dyDescent="0.3">
      <c r="H33137" t="str">
        <f t="shared" si="567"/>
        <v/>
      </c>
    </row>
    <row r="33138" spans="8:8" x14ac:dyDescent="0.3">
      <c r="H33138" t="str">
        <f t="shared" si="567"/>
        <v/>
      </c>
    </row>
    <row r="33139" spans="8:8" x14ac:dyDescent="0.3">
      <c r="H33139" t="str">
        <f t="shared" si="567"/>
        <v/>
      </c>
    </row>
    <row r="33140" spans="8:8" x14ac:dyDescent="0.3">
      <c r="H33140" t="str">
        <f t="shared" si="567"/>
        <v/>
      </c>
    </row>
    <row r="33141" spans="8:8" x14ac:dyDescent="0.3">
      <c r="H33141" t="str">
        <f t="shared" si="567"/>
        <v/>
      </c>
    </row>
    <row r="33142" spans="8:8" x14ac:dyDescent="0.3">
      <c r="H33142" t="str">
        <f t="shared" si="567"/>
        <v/>
      </c>
    </row>
    <row r="33143" spans="8:8" x14ac:dyDescent="0.3">
      <c r="H33143" t="str">
        <f t="shared" si="567"/>
        <v/>
      </c>
    </row>
    <row r="33144" spans="8:8" x14ac:dyDescent="0.3">
      <c r="H33144" t="str">
        <f t="shared" si="567"/>
        <v/>
      </c>
    </row>
    <row r="33145" spans="8:8" x14ac:dyDescent="0.3">
      <c r="H33145" t="str">
        <f t="shared" si="567"/>
        <v/>
      </c>
    </row>
    <row r="33146" spans="8:8" x14ac:dyDescent="0.3">
      <c r="H33146" t="str">
        <f t="shared" si="567"/>
        <v/>
      </c>
    </row>
    <row r="33147" spans="8:8" x14ac:dyDescent="0.3">
      <c r="H33147" t="str">
        <f t="shared" si="567"/>
        <v/>
      </c>
    </row>
    <row r="33148" spans="8:8" x14ac:dyDescent="0.3">
      <c r="H33148" t="str">
        <f t="shared" si="567"/>
        <v/>
      </c>
    </row>
    <row r="33149" spans="8:8" x14ac:dyDescent="0.3">
      <c r="H33149" t="str">
        <f t="shared" si="567"/>
        <v/>
      </c>
    </row>
    <row r="33150" spans="8:8" x14ac:dyDescent="0.3">
      <c r="H33150" t="str">
        <f t="shared" si="567"/>
        <v/>
      </c>
    </row>
    <row r="33151" spans="8:8" x14ac:dyDescent="0.3">
      <c r="H33151" t="str">
        <f t="shared" si="567"/>
        <v/>
      </c>
    </row>
    <row r="33152" spans="8:8" x14ac:dyDescent="0.3">
      <c r="H33152" t="str">
        <f t="shared" si="567"/>
        <v/>
      </c>
    </row>
    <row r="33153" spans="8:8" x14ac:dyDescent="0.3">
      <c r="H33153" t="str">
        <f t="shared" si="567"/>
        <v/>
      </c>
    </row>
    <row r="33154" spans="8:8" x14ac:dyDescent="0.3">
      <c r="H33154" t="str">
        <f t="shared" si="567"/>
        <v/>
      </c>
    </row>
    <row r="33155" spans="8:8" x14ac:dyDescent="0.3">
      <c r="H33155" t="str">
        <f t="shared" si="567"/>
        <v/>
      </c>
    </row>
    <row r="33156" spans="8:8" x14ac:dyDescent="0.3">
      <c r="H33156" t="str">
        <f t="shared" si="567"/>
        <v/>
      </c>
    </row>
    <row r="33157" spans="8:8" x14ac:dyDescent="0.3">
      <c r="H33157" t="str">
        <f t="shared" si="567"/>
        <v/>
      </c>
    </row>
    <row r="33158" spans="8:8" x14ac:dyDescent="0.3">
      <c r="H33158" t="str">
        <f t="shared" si="567"/>
        <v/>
      </c>
    </row>
    <row r="33159" spans="8:8" x14ac:dyDescent="0.3">
      <c r="H33159" t="str">
        <f t="shared" si="567"/>
        <v/>
      </c>
    </row>
    <row r="33160" spans="8:8" x14ac:dyDescent="0.3">
      <c r="H33160" t="str">
        <f t="shared" si="567"/>
        <v/>
      </c>
    </row>
    <row r="33161" spans="8:8" x14ac:dyDescent="0.3">
      <c r="H33161" t="str">
        <f t="shared" si="567"/>
        <v/>
      </c>
    </row>
    <row r="33162" spans="8:8" x14ac:dyDescent="0.3">
      <c r="H33162" t="str">
        <f t="shared" si="567"/>
        <v/>
      </c>
    </row>
    <row r="33163" spans="8:8" x14ac:dyDescent="0.3">
      <c r="H33163" t="str">
        <f t="shared" si="567"/>
        <v/>
      </c>
    </row>
    <row r="33164" spans="8:8" x14ac:dyDescent="0.3">
      <c r="H33164" t="str">
        <f t="shared" si="567"/>
        <v/>
      </c>
    </row>
    <row r="33165" spans="8:8" x14ac:dyDescent="0.3">
      <c r="H33165" t="str">
        <f t="shared" si="567"/>
        <v/>
      </c>
    </row>
    <row r="33166" spans="8:8" x14ac:dyDescent="0.3">
      <c r="H33166" t="str">
        <f t="shared" si="567"/>
        <v/>
      </c>
    </row>
    <row r="33167" spans="8:8" x14ac:dyDescent="0.3">
      <c r="H33167" t="str">
        <f t="shared" si="567"/>
        <v/>
      </c>
    </row>
    <row r="33168" spans="8:8" x14ac:dyDescent="0.3">
      <c r="H33168" t="str">
        <f t="shared" si="567"/>
        <v/>
      </c>
    </row>
    <row r="33169" spans="8:8" x14ac:dyDescent="0.3">
      <c r="H33169" t="str">
        <f t="shared" si="567"/>
        <v/>
      </c>
    </row>
    <row r="33170" spans="8:8" x14ac:dyDescent="0.3">
      <c r="H33170" t="str">
        <f t="shared" si="567"/>
        <v/>
      </c>
    </row>
    <row r="33171" spans="8:8" x14ac:dyDescent="0.3">
      <c r="H33171" t="str">
        <f t="shared" si="567"/>
        <v/>
      </c>
    </row>
    <row r="33172" spans="8:8" x14ac:dyDescent="0.3">
      <c r="H33172" t="str">
        <f t="shared" si="567"/>
        <v/>
      </c>
    </row>
    <row r="33173" spans="8:8" x14ac:dyDescent="0.3">
      <c r="H33173" t="str">
        <f t="shared" si="567"/>
        <v/>
      </c>
    </row>
    <row r="33174" spans="8:8" x14ac:dyDescent="0.3">
      <c r="H33174" t="str">
        <f t="shared" si="567"/>
        <v/>
      </c>
    </row>
    <row r="33175" spans="8:8" x14ac:dyDescent="0.3">
      <c r="H33175" t="str">
        <f t="shared" ref="H33175:H33238" si="568">IF(B33175="","",$C$12)</f>
        <v/>
      </c>
    </row>
    <row r="33176" spans="8:8" x14ac:dyDescent="0.3">
      <c r="H33176" t="str">
        <f t="shared" si="568"/>
        <v/>
      </c>
    </row>
    <row r="33177" spans="8:8" x14ac:dyDescent="0.3">
      <c r="H33177" t="str">
        <f t="shared" si="568"/>
        <v/>
      </c>
    </row>
    <row r="33178" spans="8:8" x14ac:dyDescent="0.3">
      <c r="H33178" t="str">
        <f t="shared" si="568"/>
        <v/>
      </c>
    </row>
    <row r="33179" spans="8:8" x14ac:dyDescent="0.3">
      <c r="H33179" t="str">
        <f t="shared" si="568"/>
        <v/>
      </c>
    </row>
    <row r="33180" spans="8:8" x14ac:dyDescent="0.3">
      <c r="H33180" t="str">
        <f t="shared" si="568"/>
        <v/>
      </c>
    </row>
    <row r="33181" spans="8:8" x14ac:dyDescent="0.3">
      <c r="H33181" t="str">
        <f t="shared" si="568"/>
        <v/>
      </c>
    </row>
    <row r="33182" spans="8:8" x14ac:dyDescent="0.3">
      <c r="H33182" t="str">
        <f t="shared" si="568"/>
        <v/>
      </c>
    </row>
    <row r="33183" spans="8:8" x14ac:dyDescent="0.3">
      <c r="H33183" t="str">
        <f t="shared" si="568"/>
        <v/>
      </c>
    </row>
    <row r="33184" spans="8:8" x14ac:dyDescent="0.3">
      <c r="H33184" t="str">
        <f t="shared" si="568"/>
        <v/>
      </c>
    </row>
    <row r="33185" spans="8:8" x14ac:dyDescent="0.3">
      <c r="H33185" t="str">
        <f t="shared" si="568"/>
        <v/>
      </c>
    </row>
    <row r="33186" spans="8:8" x14ac:dyDescent="0.3">
      <c r="H33186" t="str">
        <f t="shared" si="568"/>
        <v/>
      </c>
    </row>
    <row r="33187" spans="8:8" x14ac:dyDescent="0.3">
      <c r="H33187" t="str">
        <f t="shared" si="568"/>
        <v/>
      </c>
    </row>
    <row r="33188" spans="8:8" x14ac:dyDescent="0.3">
      <c r="H33188" t="str">
        <f t="shared" si="568"/>
        <v/>
      </c>
    </row>
    <row r="33189" spans="8:8" x14ac:dyDescent="0.3">
      <c r="H33189" t="str">
        <f t="shared" si="568"/>
        <v/>
      </c>
    </row>
    <row r="33190" spans="8:8" x14ac:dyDescent="0.3">
      <c r="H33190" t="str">
        <f t="shared" si="568"/>
        <v/>
      </c>
    </row>
    <row r="33191" spans="8:8" x14ac:dyDescent="0.3">
      <c r="H33191" t="str">
        <f t="shared" si="568"/>
        <v/>
      </c>
    </row>
    <row r="33192" spans="8:8" x14ac:dyDescent="0.3">
      <c r="H33192" t="str">
        <f t="shared" si="568"/>
        <v/>
      </c>
    </row>
    <row r="33193" spans="8:8" x14ac:dyDescent="0.3">
      <c r="H33193" t="str">
        <f t="shared" si="568"/>
        <v/>
      </c>
    </row>
    <row r="33194" spans="8:8" x14ac:dyDescent="0.3">
      <c r="H33194" t="str">
        <f t="shared" si="568"/>
        <v/>
      </c>
    </row>
    <row r="33195" spans="8:8" x14ac:dyDescent="0.3">
      <c r="H33195" t="str">
        <f t="shared" si="568"/>
        <v/>
      </c>
    </row>
    <row r="33196" spans="8:8" x14ac:dyDescent="0.3">
      <c r="H33196" t="str">
        <f t="shared" si="568"/>
        <v/>
      </c>
    </row>
    <row r="33197" spans="8:8" x14ac:dyDescent="0.3">
      <c r="H33197" t="str">
        <f t="shared" si="568"/>
        <v/>
      </c>
    </row>
    <row r="33198" spans="8:8" x14ac:dyDescent="0.3">
      <c r="H33198" t="str">
        <f t="shared" si="568"/>
        <v/>
      </c>
    </row>
    <row r="33199" spans="8:8" x14ac:dyDescent="0.3">
      <c r="H33199" t="str">
        <f t="shared" si="568"/>
        <v/>
      </c>
    </row>
    <row r="33200" spans="8:8" x14ac:dyDescent="0.3">
      <c r="H33200" t="str">
        <f t="shared" si="568"/>
        <v/>
      </c>
    </row>
    <row r="33201" spans="8:8" x14ac:dyDescent="0.3">
      <c r="H33201" t="str">
        <f t="shared" si="568"/>
        <v/>
      </c>
    </row>
    <row r="33202" spans="8:8" x14ac:dyDescent="0.3">
      <c r="H33202" t="str">
        <f t="shared" si="568"/>
        <v/>
      </c>
    </row>
    <row r="33203" spans="8:8" x14ac:dyDescent="0.3">
      <c r="H33203" t="str">
        <f t="shared" si="568"/>
        <v/>
      </c>
    </row>
    <row r="33204" spans="8:8" x14ac:dyDescent="0.3">
      <c r="H33204" t="str">
        <f t="shared" si="568"/>
        <v/>
      </c>
    </row>
    <row r="33205" spans="8:8" x14ac:dyDescent="0.3">
      <c r="H33205" t="str">
        <f t="shared" si="568"/>
        <v/>
      </c>
    </row>
    <row r="33206" spans="8:8" x14ac:dyDescent="0.3">
      <c r="H33206" t="str">
        <f t="shared" si="568"/>
        <v/>
      </c>
    </row>
    <row r="33207" spans="8:8" x14ac:dyDescent="0.3">
      <c r="H33207" t="str">
        <f t="shared" si="568"/>
        <v/>
      </c>
    </row>
    <row r="33208" spans="8:8" x14ac:dyDescent="0.3">
      <c r="H33208" t="str">
        <f t="shared" si="568"/>
        <v/>
      </c>
    </row>
    <row r="33209" spans="8:8" x14ac:dyDescent="0.3">
      <c r="H33209" t="str">
        <f t="shared" si="568"/>
        <v/>
      </c>
    </row>
    <row r="33210" spans="8:8" x14ac:dyDescent="0.3">
      <c r="H33210" t="str">
        <f t="shared" si="568"/>
        <v/>
      </c>
    </row>
    <row r="33211" spans="8:8" x14ac:dyDescent="0.3">
      <c r="H33211" t="str">
        <f t="shared" si="568"/>
        <v/>
      </c>
    </row>
    <row r="33212" spans="8:8" x14ac:dyDescent="0.3">
      <c r="H33212" t="str">
        <f t="shared" si="568"/>
        <v/>
      </c>
    </row>
    <row r="33213" spans="8:8" x14ac:dyDescent="0.3">
      <c r="H33213" t="str">
        <f t="shared" si="568"/>
        <v/>
      </c>
    </row>
    <row r="33214" spans="8:8" x14ac:dyDescent="0.3">
      <c r="H33214" t="str">
        <f t="shared" si="568"/>
        <v/>
      </c>
    </row>
    <row r="33215" spans="8:8" x14ac:dyDescent="0.3">
      <c r="H33215" t="str">
        <f t="shared" si="568"/>
        <v/>
      </c>
    </row>
    <row r="33216" spans="8:8" x14ac:dyDescent="0.3">
      <c r="H33216" t="str">
        <f t="shared" si="568"/>
        <v/>
      </c>
    </row>
    <row r="33217" spans="8:8" x14ac:dyDescent="0.3">
      <c r="H33217" t="str">
        <f t="shared" si="568"/>
        <v/>
      </c>
    </row>
    <row r="33218" spans="8:8" x14ac:dyDescent="0.3">
      <c r="H33218" t="str">
        <f t="shared" si="568"/>
        <v/>
      </c>
    </row>
    <row r="33219" spans="8:8" x14ac:dyDescent="0.3">
      <c r="H33219" t="str">
        <f t="shared" si="568"/>
        <v/>
      </c>
    </row>
    <row r="33220" spans="8:8" x14ac:dyDescent="0.3">
      <c r="H33220" t="str">
        <f t="shared" si="568"/>
        <v/>
      </c>
    </row>
    <row r="33221" spans="8:8" x14ac:dyDescent="0.3">
      <c r="H33221" t="str">
        <f t="shared" si="568"/>
        <v/>
      </c>
    </row>
    <row r="33222" spans="8:8" x14ac:dyDescent="0.3">
      <c r="H33222" t="str">
        <f t="shared" si="568"/>
        <v/>
      </c>
    </row>
    <row r="33223" spans="8:8" x14ac:dyDescent="0.3">
      <c r="H33223" t="str">
        <f t="shared" si="568"/>
        <v/>
      </c>
    </row>
    <row r="33224" spans="8:8" x14ac:dyDescent="0.3">
      <c r="H33224" t="str">
        <f t="shared" si="568"/>
        <v/>
      </c>
    </row>
    <row r="33225" spans="8:8" x14ac:dyDescent="0.3">
      <c r="H33225" t="str">
        <f t="shared" si="568"/>
        <v/>
      </c>
    </row>
    <row r="33226" spans="8:8" x14ac:dyDescent="0.3">
      <c r="H33226" t="str">
        <f t="shared" si="568"/>
        <v/>
      </c>
    </row>
    <row r="33227" spans="8:8" x14ac:dyDescent="0.3">
      <c r="H33227" t="str">
        <f t="shared" si="568"/>
        <v/>
      </c>
    </row>
    <row r="33228" spans="8:8" x14ac:dyDescent="0.3">
      <c r="H33228" t="str">
        <f t="shared" si="568"/>
        <v/>
      </c>
    </row>
    <row r="33229" spans="8:8" x14ac:dyDescent="0.3">
      <c r="H33229" t="str">
        <f t="shared" si="568"/>
        <v/>
      </c>
    </row>
    <row r="33230" spans="8:8" x14ac:dyDescent="0.3">
      <c r="H33230" t="str">
        <f t="shared" si="568"/>
        <v/>
      </c>
    </row>
    <row r="33231" spans="8:8" x14ac:dyDescent="0.3">
      <c r="H33231" t="str">
        <f t="shared" si="568"/>
        <v/>
      </c>
    </row>
    <row r="33232" spans="8:8" x14ac:dyDescent="0.3">
      <c r="H33232" t="str">
        <f t="shared" si="568"/>
        <v/>
      </c>
    </row>
    <row r="33233" spans="8:8" x14ac:dyDescent="0.3">
      <c r="H33233" t="str">
        <f t="shared" si="568"/>
        <v/>
      </c>
    </row>
    <row r="33234" spans="8:8" x14ac:dyDescent="0.3">
      <c r="H33234" t="str">
        <f t="shared" si="568"/>
        <v/>
      </c>
    </row>
    <row r="33235" spans="8:8" x14ac:dyDescent="0.3">
      <c r="H33235" t="str">
        <f t="shared" si="568"/>
        <v/>
      </c>
    </row>
    <row r="33236" spans="8:8" x14ac:dyDescent="0.3">
      <c r="H33236" t="str">
        <f t="shared" si="568"/>
        <v/>
      </c>
    </row>
    <row r="33237" spans="8:8" x14ac:dyDescent="0.3">
      <c r="H33237" t="str">
        <f t="shared" si="568"/>
        <v/>
      </c>
    </row>
    <row r="33238" spans="8:8" x14ac:dyDescent="0.3">
      <c r="H33238" t="str">
        <f t="shared" si="568"/>
        <v/>
      </c>
    </row>
    <row r="33239" spans="8:8" x14ac:dyDescent="0.3">
      <c r="H33239" t="str">
        <f t="shared" ref="H33239:H33302" si="569">IF(B33239="","",$C$12)</f>
        <v/>
      </c>
    </row>
    <row r="33240" spans="8:8" x14ac:dyDescent="0.3">
      <c r="H33240" t="str">
        <f t="shared" si="569"/>
        <v/>
      </c>
    </row>
    <row r="33241" spans="8:8" x14ac:dyDescent="0.3">
      <c r="H33241" t="str">
        <f t="shared" si="569"/>
        <v/>
      </c>
    </row>
    <row r="33242" spans="8:8" x14ac:dyDescent="0.3">
      <c r="H33242" t="str">
        <f t="shared" si="569"/>
        <v/>
      </c>
    </row>
    <row r="33243" spans="8:8" x14ac:dyDescent="0.3">
      <c r="H33243" t="str">
        <f t="shared" si="569"/>
        <v/>
      </c>
    </row>
    <row r="33244" spans="8:8" x14ac:dyDescent="0.3">
      <c r="H33244" t="str">
        <f t="shared" si="569"/>
        <v/>
      </c>
    </row>
    <row r="33245" spans="8:8" x14ac:dyDescent="0.3">
      <c r="H33245" t="str">
        <f t="shared" si="569"/>
        <v/>
      </c>
    </row>
    <row r="33246" spans="8:8" x14ac:dyDescent="0.3">
      <c r="H33246" t="str">
        <f t="shared" si="569"/>
        <v/>
      </c>
    </row>
    <row r="33247" spans="8:8" x14ac:dyDescent="0.3">
      <c r="H33247" t="str">
        <f t="shared" si="569"/>
        <v/>
      </c>
    </row>
    <row r="33248" spans="8:8" x14ac:dyDescent="0.3">
      <c r="H33248" t="str">
        <f t="shared" si="569"/>
        <v/>
      </c>
    </row>
    <row r="33249" spans="8:8" x14ac:dyDescent="0.3">
      <c r="H33249" t="str">
        <f t="shared" si="569"/>
        <v/>
      </c>
    </row>
    <row r="33250" spans="8:8" x14ac:dyDescent="0.3">
      <c r="H33250" t="str">
        <f t="shared" si="569"/>
        <v/>
      </c>
    </row>
    <row r="33251" spans="8:8" x14ac:dyDescent="0.3">
      <c r="H33251" t="str">
        <f t="shared" si="569"/>
        <v/>
      </c>
    </row>
    <row r="33252" spans="8:8" x14ac:dyDescent="0.3">
      <c r="H33252" t="str">
        <f t="shared" si="569"/>
        <v/>
      </c>
    </row>
    <row r="33253" spans="8:8" x14ac:dyDescent="0.3">
      <c r="H33253" t="str">
        <f t="shared" si="569"/>
        <v/>
      </c>
    </row>
    <row r="33254" spans="8:8" x14ac:dyDescent="0.3">
      <c r="H33254" t="str">
        <f t="shared" si="569"/>
        <v/>
      </c>
    </row>
    <row r="33255" spans="8:8" x14ac:dyDescent="0.3">
      <c r="H33255" t="str">
        <f t="shared" si="569"/>
        <v/>
      </c>
    </row>
    <row r="33256" spans="8:8" x14ac:dyDescent="0.3">
      <c r="H33256" t="str">
        <f t="shared" si="569"/>
        <v/>
      </c>
    </row>
    <row r="33257" spans="8:8" x14ac:dyDescent="0.3">
      <c r="H33257" t="str">
        <f t="shared" si="569"/>
        <v/>
      </c>
    </row>
    <row r="33258" spans="8:8" x14ac:dyDescent="0.3">
      <c r="H33258" t="str">
        <f t="shared" si="569"/>
        <v/>
      </c>
    </row>
    <row r="33259" spans="8:8" x14ac:dyDescent="0.3">
      <c r="H33259" t="str">
        <f t="shared" si="569"/>
        <v/>
      </c>
    </row>
    <row r="33260" spans="8:8" x14ac:dyDescent="0.3">
      <c r="H33260" t="str">
        <f t="shared" si="569"/>
        <v/>
      </c>
    </row>
    <row r="33261" spans="8:8" x14ac:dyDescent="0.3">
      <c r="H33261" t="str">
        <f t="shared" si="569"/>
        <v/>
      </c>
    </row>
    <row r="33262" spans="8:8" x14ac:dyDescent="0.3">
      <c r="H33262" t="str">
        <f t="shared" si="569"/>
        <v/>
      </c>
    </row>
    <row r="33263" spans="8:8" x14ac:dyDescent="0.3">
      <c r="H33263" t="str">
        <f t="shared" si="569"/>
        <v/>
      </c>
    </row>
    <row r="33264" spans="8:8" x14ac:dyDescent="0.3">
      <c r="H33264" t="str">
        <f t="shared" si="569"/>
        <v/>
      </c>
    </row>
    <row r="33265" spans="8:8" x14ac:dyDescent="0.3">
      <c r="H33265" t="str">
        <f t="shared" si="569"/>
        <v/>
      </c>
    </row>
    <row r="33266" spans="8:8" x14ac:dyDescent="0.3">
      <c r="H33266" t="str">
        <f t="shared" si="569"/>
        <v/>
      </c>
    </row>
    <row r="33267" spans="8:8" x14ac:dyDescent="0.3">
      <c r="H33267" t="str">
        <f t="shared" si="569"/>
        <v/>
      </c>
    </row>
    <row r="33268" spans="8:8" x14ac:dyDescent="0.3">
      <c r="H33268" t="str">
        <f t="shared" si="569"/>
        <v/>
      </c>
    </row>
    <row r="33269" spans="8:8" x14ac:dyDescent="0.3">
      <c r="H33269" t="str">
        <f t="shared" si="569"/>
        <v/>
      </c>
    </row>
    <row r="33270" spans="8:8" x14ac:dyDescent="0.3">
      <c r="H33270" t="str">
        <f t="shared" si="569"/>
        <v/>
      </c>
    </row>
    <row r="33271" spans="8:8" x14ac:dyDescent="0.3">
      <c r="H33271" t="str">
        <f t="shared" si="569"/>
        <v/>
      </c>
    </row>
    <row r="33272" spans="8:8" x14ac:dyDescent="0.3">
      <c r="H33272" t="str">
        <f t="shared" si="569"/>
        <v/>
      </c>
    </row>
    <row r="33273" spans="8:8" x14ac:dyDescent="0.3">
      <c r="H33273" t="str">
        <f t="shared" si="569"/>
        <v/>
      </c>
    </row>
    <row r="33274" spans="8:8" x14ac:dyDescent="0.3">
      <c r="H33274" t="str">
        <f t="shared" si="569"/>
        <v/>
      </c>
    </row>
    <row r="33275" spans="8:8" x14ac:dyDescent="0.3">
      <c r="H33275" t="str">
        <f t="shared" si="569"/>
        <v/>
      </c>
    </row>
    <row r="33276" spans="8:8" x14ac:dyDescent="0.3">
      <c r="H33276" t="str">
        <f t="shared" si="569"/>
        <v/>
      </c>
    </row>
    <row r="33277" spans="8:8" x14ac:dyDescent="0.3">
      <c r="H33277" t="str">
        <f t="shared" si="569"/>
        <v/>
      </c>
    </row>
    <row r="33278" spans="8:8" x14ac:dyDescent="0.3">
      <c r="H33278" t="str">
        <f t="shared" si="569"/>
        <v/>
      </c>
    </row>
    <row r="33279" spans="8:8" x14ac:dyDescent="0.3">
      <c r="H33279" t="str">
        <f t="shared" si="569"/>
        <v/>
      </c>
    </row>
    <row r="33280" spans="8:8" x14ac:dyDescent="0.3">
      <c r="H33280" t="str">
        <f t="shared" si="569"/>
        <v/>
      </c>
    </row>
    <row r="33281" spans="8:8" x14ac:dyDescent="0.3">
      <c r="H33281" t="str">
        <f t="shared" si="569"/>
        <v/>
      </c>
    </row>
    <row r="33282" spans="8:8" x14ac:dyDescent="0.3">
      <c r="H33282" t="str">
        <f t="shared" si="569"/>
        <v/>
      </c>
    </row>
    <row r="33283" spans="8:8" x14ac:dyDescent="0.3">
      <c r="H33283" t="str">
        <f t="shared" si="569"/>
        <v/>
      </c>
    </row>
    <row r="33284" spans="8:8" x14ac:dyDescent="0.3">
      <c r="H33284" t="str">
        <f t="shared" si="569"/>
        <v/>
      </c>
    </row>
    <row r="33285" spans="8:8" x14ac:dyDescent="0.3">
      <c r="H33285" t="str">
        <f t="shared" si="569"/>
        <v/>
      </c>
    </row>
    <row r="33286" spans="8:8" x14ac:dyDescent="0.3">
      <c r="H33286" t="str">
        <f t="shared" si="569"/>
        <v/>
      </c>
    </row>
    <row r="33287" spans="8:8" x14ac:dyDescent="0.3">
      <c r="H33287" t="str">
        <f t="shared" si="569"/>
        <v/>
      </c>
    </row>
    <row r="33288" spans="8:8" x14ac:dyDescent="0.3">
      <c r="H33288" t="str">
        <f t="shared" si="569"/>
        <v/>
      </c>
    </row>
    <row r="33289" spans="8:8" x14ac:dyDescent="0.3">
      <c r="H33289" t="str">
        <f t="shared" si="569"/>
        <v/>
      </c>
    </row>
    <row r="33290" spans="8:8" x14ac:dyDescent="0.3">
      <c r="H33290" t="str">
        <f t="shared" si="569"/>
        <v/>
      </c>
    </row>
    <row r="33291" spans="8:8" x14ac:dyDescent="0.3">
      <c r="H33291" t="str">
        <f t="shared" si="569"/>
        <v/>
      </c>
    </row>
    <row r="33292" spans="8:8" x14ac:dyDescent="0.3">
      <c r="H33292" t="str">
        <f t="shared" si="569"/>
        <v/>
      </c>
    </row>
    <row r="33293" spans="8:8" x14ac:dyDescent="0.3">
      <c r="H33293" t="str">
        <f t="shared" si="569"/>
        <v/>
      </c>
    </row>
    <row r="33294" spans="8:8" x14ac:dyDescent="0.3">
      <c r="H33294" t="str">
        <f t="shared" si="569"/>
        <v/>
      </c>
    </row>
    <row r="33295" spans="8:8" x14ac:dyDescent="0.3">
      <c r="H33295" t="str">
        <f t="shared" si="569"/>
        <v/>
      </c>
    </row>
    <row r="33296" spans="8:8" x14ac:dyDescent="0.3">
      <c r="H33296" t="str">
        <f t="shared" si="569"/>
        <v/>
      </c>
    </row>
    <row r="33297" spans="8:8" x14ac:dyDescent="0.3">
      <c r="H33297" t="str">
        <f t="shared" si="569"/>
        <v/>
      </c>
    </row>
    <row r="33298" spans="8:8" x14ac:dyDescent="0.3">
      <c r="H33298" t="str">
        <f t="shared" si="569"/>
        <v/>
      </c>
    </row>
    <row r="33299" spans="8:8" x14ac:dyDescent="0.3">
      <c r="H33299" t="str">
        <f t="shared" si="569"/>
        <v/>
      </c>
    </row>
    <row r="33300" spans="8:8" x14ac:dyDescent="0.3">
      <c r="H33300" t="str">
        <f t="shared" si="569"/>
        <v/>
      </c>
    </row>
    <row r="33301" spans="8:8" x14ac:dyDescent="0.3">
      <c r="H33301" t="str">
        <f t="shared" si="569"/>
        <v/>
      </c>
    </row>
    <row r="33302" spans="8:8" x14ac:dyDescent="0.3">
      <c r="H33302" t="str">
        <f t="shared" si="569"/>
        <v/>
      </c>
    </row>
    <row r="33303" spans="8:8" x14ac:dyDescent="0.3">
      <c r="H33303" t="str">
        <f t="shared" ref="H33303:H33366" si="570">IF(B33303="","",$C$12)</f>
        <v/>
      </c>
    </row>
    <row r="33304" spans="8:8" x14ac:dyDescent="0.3">
      <c r="H33304" t="str">
        <f t="shared" si="570"/>
        <v/>
      </c>
    </row>
    <row r="33305" spans="8:8" x14ac:dyDescent="0.3">
      <c r="H33305" t="str">
        <f t="shared" si="570"/>
        <v/>
      </c>
    </row>
    <row r="33306" spans="8:8" x14ac:dyDescent="0.3">
      <c r="H33306" t="str">
        <f t="shared" si="570"/>
        <v/>
      </c>
    </row>
    <row r="33307" spans="8:8" x14ac:dyDescent="0.3">
      <c r="H33307" t="str">
        <f t="shared" si="570"/>
        <v/>
      </c>
    </row>
    <row r="33308" spans="8:8" x14ac:dyDescent="0.3">
      <c r="H33308" t="str">
        <f t="shared" si="570"/>
        <v/>
      </c>
    </row>
    <row r="33309" spans="8:8" x14ac:dyDescent="0.3">
      <c r="H33309" t="str">
        <f t="shared" si="570"/>
        <v/>
      </c>
    </row>
    <row r="33310" spans="8:8" x14ac:dyDescent="0.3">
      <c r="H33310" t="str">
        <f t="shared" si="570"/>
        <v/>
      </c>
    </row>
    <row r="33311" spans="8:8" x14ac:dyDescent="0.3">
      <c r="H33311" t="str">
        <f t="shared" si="570"/>
        <v/>
      </c>
    </row>
    <row r="33312" spans="8:8" x14ac:dyDescent="0.3">
      <c r="H33312" t="str">
        <f t="shared" si="570"/>
        <v/>
      </c>
    </row>
    <row r="33313" spans="8:8" x14ac:dyDescent="0.3">
      <c r="H33313" t="str">
        <f t="shared" si="570"/>
        <v/>
      </c>
    </row>
    <row r="33314" spans="8:8" x14ac:dyDescent="0.3">
      <c r="H33314" t="str">
        <f t="shared" si="570"/>
        <v/>
      </c>
    </row>
    <row r="33315" spans="8:8" x14ac:dyDescent="0.3">
      <c r="H33315" t="str">
        <f t="shared" si="570"/>
        <v/>
      </c>
    </row>
    <row r="33316" spans="8:8" x14ac:dyDescent="0.3">
      <c r="H33316" t="str">
        <f t="shared" si="570"/>
        <v/>
      </c>
    </row>
    <row r="33317" spans="8:8" x14ac:dyDescent="0.3">
      <c r="H33317" t="str">
        <f t="shared" si="570"/>
        <v/>
      </c>
    </row>
    <row r="33318" spans="8:8" x14ac:dyDescent="0.3">
      <c r="H33318" t="str">
        <f t="shared" si="570"/>
        <v/>
      </c>
    </row>
    <row r="33319" spans="8:8" x14ac:dyDescent="0.3">
      <c r="H33319" t="str">
        <f t="shared" si="570"/>
        <v/>
      </c>
    </row>
    <row r="33320" spans="8:8" x14ac:dyDescent="0.3">
      <c r="H33320" t="str">
        <f t="shared" si="570"/>
        <v/>
      </c>
    </row>
    <row r="33321" spans="8:8" x14ac:dyDescent="0.3">
      <c r="H33321" t="str">
        <f t="shared" si="570"/>
        <v/>
      </c>
    </row>
    <row r="33322" spans="8:8" x14ac:dyDescent="0.3">
      <c r="H33322" t="str">
        <f t="shared" si="570"/>
        <v/>
      </c>
    </row>
    <row r="33323" spans="8:8" x14ac:dyDescent="0.3">
      <c r="H33323" t="str">
        <f t="shared" si="570"/>
        <v/>
      </c>
    </row>
    <row r="33324" spans="8:8" x14ac:dyDescent="0.3">
      <c r="H33324" t="str">
        <f t="shared" si="570"/>
        <v/>
      </c>
    </row>
    <row r="33325" spans="8:8" x14ac:dyDescent="0.3">
      <c r="H33325" t="str">
        <f t="shared" si="570"/>
        <v/>
      </c>
    </row>
    <row r="33326" spans="8:8" x14ac:dyDescent="0.3">
      <c r="H33326" t="str">
        <f t="shared" si="570"/>
        <v/>
      </c>
    </row>
    <row r="33327" spans="8:8" x14ac:dyDescent="0.3">
      <c r="H33327" t="str">
        <f t="shared" si="570"/>
        <v/>
      </c>
    </row>
    <row r="33328" spans="8:8" x14ac:dyDescent="0.3">
      <c r="H33328" t="str">
        <f t="shared" si="570"/>
        <v/>
      </c>
    </row>
    <row r="33329" spans="8:8" x14ac:dyDescent="0.3">
      <c r="H33329" t="str">
        <f t="shared" si="570"/>
        <v/>
      </c>
    </row>
    <row r="33330" spans="8:8" x14ac:dyDescent="0.3">
      <c r="H33330" t="str">
        <f t="shared" si="570"/>
        <v/>
      </c>
    </row>
    <row r="33331" spans="8:8" x14ac:dyDescent="0.3">
      <c r="H33331" t="str">
        <f t="shared" si="570"/>
        <v/>
      </c>
    </row>
    <row r="33332" spans="8:8" x14ac:dyDescent="0.3">
      <c r="H33332" t="str">
        <f t="shared" si="570"/>
        <v/>
      </c>
    </row>
    <row r="33333" spans="8:8" x14ac:dyDescent="0.3">
      <c r="H33333" t="str">
        <f t="shared" si="570"/>
        <v/>
      </c>
    </row>
    <row r="33334" spans="8:8" x14ac:dyDescent="0.3">
      <c r="H33334" t="str">
        <f t="shared" si="570"/>
        <v/>
      </c>
    </row>
    <row r="33335" spans="8:8" x14ac:dyDescent="0.3">
      <c r="H33335" t="str">
        <f t="shared" si="570"/>
        <v/>
      </c>
    </row>
    <row r="33336" spans="8:8" x14ac:dyDescent="0.3">
      <c r="H33336" t="str">
        <f t="shared" si="570"/>
        <v/>
      </c>
    </row>
    <row r="33337" spans="8:8" x14ac:dyDescent="0.3">
      <c r="H33337" t="str">
        <f t="shared" si="570"/>
        <v/>
      </c>
    </row>
    <row r="33338" spans="8:8" x14ac:dyDescent="0.3">
      <c r="H33338" t="str">
        <f t="shared" si="570"/>
        <v/>
      </c>
    </row>
    <row r="33339" spans="8:8" x14ac:dyDescent="0.3">
      <c r="H33339" t="str">
        <f t="shared" si="570"/>
        <v/>
      </c>
    </row>
    <row r="33340" spans="8:8" x14ac:dyDescent="0.3">
      <c r="H33340" t="str">
        <f t="shared" si="570"/>
        <v/>
      </c>
    </row>
    <row r="33341" spans="8:8" x14ac:dyDescent="0.3">
      <c r="H33341" t="str">
        <f t="shared" si="570"/>
        <v/>
      </c>
    </row>
    <row r="33342" spans="8:8" x14ac:dyDescent="0.3">
      <c r="H33342" t="str">
        <f t="shared" si="570"/>
        <v/>
      </c>
    </row>
    <row r="33343" spans="8:8" x14ac:dyDescent="0.3">
      <c r="H33343" t="str">
        <f t="shared" si="570"/>
        <v/>
      </c>
    </row>
    <row r="33344" spans="8:8" x14ac:dyDescent="0.3">
      <c r="H33344" t="str">
        <f t="shared" si="570"/>
        <v/>
      </c>
    </row>
    <row r="33345" spans="8:8" x14ac:dyDescent="0.3">
      <c r="H33345" t="str">
        <f t="shared" si="570"/>
        <v/>
      </c>
    </row>
    <row r="33346" spans="8:8" x14ac:dyDescent="0.3">
      <c r="H33346" t="str">
        <f t="shared" si="570"/>
        <v/>
      </c>
    </row>
    <row r="33347" spans="8:8" x14ac:dyDescent="0.3">
      <c r="H33347" t="str">
        <f t="shared" si="570"/>
        <v/>
      </c>
    </row>
    <row r="33348" spans="8:8" x14ac:dyDescent="0.3">
      <c r="H33348" t="str">
        <f t="shared" si="570"/>
        <v/>
      </c>
    </row>
    <row r="33349" spans="8:8" x14ac:dyDescent="0.3">
      <c r="H33349" t="str">
        <f t="shared" si="570"/>
        <v/>
      </c>
    </row>
    <row r="33350" spans="8:8" x14ac:dyDescent="0.3">
      <c r="H33350" t="str">
        <f t="shared" si="570"/>
        <v/>
      </c>
    </row>
    <row r="33351" spans="8:8" x14ac:dyDescent="0.3">
      <c r="H33351" t="str">
        <f t="shared" si="570"/>
        <v/>
      </c>
    </row>
    <row r="33352" spans="8:8" x14ac:dyDescent="0.3">
      <c r="H33352" t="str">
        <f t="shared" si="570"/>
        <v/>
      </c>
    </row>
    <row r="33353" spans="8:8" x14ac:dyDescent="0.3">
      <c r="H33353" t="str">
        <f t="shared" si="570"/>
        <v/>
      </c>
    </row>
    <row r="33354" spans="8:8" x14ac:dyDescent="0.3">
      <c r="H33354" t="str">
        <f t="shared" si="570"/>
        <v/>
      </c>
    </row>
    <row r="33355" spans="8:8" x14ac:dyDescent="0.3">
      <c r="H33355" t="str">
        <f t="shared" si="570"/>
        <v/>
      </c>
    </row>
    <row r="33356" spans="8:8" x14ac:dyDescent="0.3">
      <c r="H33356" t="str">
        <f t="shared" si="570"/>
        <v/>
      </c>
    </row>
    <row r="33357" spans="8:8" x14ac:dyDescent="0.3">
      <c r="H33357" t="str">
        <f t="shared" si="570"/>
        <v/>
      </c>
    </row>
    <row r="33358" spans="8:8" x14ac:dyDescent="0.3">
      <c r="H33358" t="str">
        <f t="shared" si="570"/>
        <v/>
      </c>
    </row>
    <row r="33359" spans="8:8" x14ac:dyDescent="0.3">
      <c r="H33359" t="str">
        <f t="shared" si="570"/>
        <v/>
      </c>
    </row>
    <row r="33360" spans="8:8" x14ac:dyDescent="0.3">
      <c r="H33360" t="str">
        <f t="shared" si="570"/>
        <v/>
      </c>
    </row>
    <row r="33361" spans="8:8" x14ac:dyDescent="0.3">
      <c r="H33361" t="str">
        <f t="shared" si="570"/>
        <v/>
      </c>
    </row>
    <row r="33362" spans="8:8" x14ac:dyDescent="0.3">
      <c r="H33362" t="str">
        <f t="shared" si="570"/>
        <v/>
      </c>
    </row>
    <row r="33363" spans="8:8" x14ac:dyDescent="0.3">
      <c r="H33363" t="str">
        <f t="shared" si="570"/>
        <v/>
      </c>
    </row>
    <row r="33364" spans="8:8" x14ac:dyDescent="0.3">
      <c r="H33364" t="str">
        <f t="shared" si="570"/>
        <v/>
      </c>
    </row>
    <row r="33365" spans="8:8" x14ac:dyDescent="0.3">
      <c r="H33365" t="str">
        <f t="shared" si="570"/>
        <v/>
      </c>
    </row>
    <row r="33366" spans="8:8" x14ac:dyDescent="0.3">
      <c r="H33366" t="str">
        <f t="shared" si="570"/>
        <v/>
      </c>
    </row>
    <row r="33367" spans="8:8" x14ac:dyDescent="0.3">
      <c r="H33367" t="str">
        <f t="shared" ref="H33367:H33430" si="571">IF(B33367="","",$C$12)</f>
        <v/>
      </c>
    </row>
    <row r="33368" spans="8:8" x14ac:dyDescent="0.3">
      <c r="H33368" t="str">
        <f t="shared" si="571"/>
        <v/>
      </c>
    </row>
    <row r="33369" spans="8:8" x14ac:dyDescent="0.3">
      <c r="H33369" t="str">
        <f t="shared" si="571"/>
        <v/>
      </c>
    </row>
    <row r="33370" spans="8:8" x14ac:dyDescent="0.3">
      <c r="H33370" t="str">
        <f t="shared" si="571"/>
        <v/>
      </c>
    </row>
    <row r="33371" spans="8:8" x14ac:dyDescent="0.3">
      <c r="H33371" t="str">
        <f t="shared" si="571"/>
        <v/>
      </c>
    </row>
    <row r="33372" spans="8:8" x14ac:dyDescent="0.3">
      <c r="H33372" t="str">
        <f t="shared" si="571"/>
        <v/>
      </c>
    </row>
    <row r="33373" spans="8:8" x14ac:dyDescent="0.3">
      <c r="H33373" t="str">
        <f t="shared" si="571"/>
        <v/>
      </c>
    </row>
    <row r="33374" spans="8:8" x14ac:dyDescent="0.3">
      <c r="H33374" t="str">
        <f t="shared" si="571"/>
        <v/>
      </c>
    </row>
    <row r="33375" spans="8:8" x14ac:dyDescent="0.3">
      <c r="H33375" t="str">
        <f t="shared" si="571"/>
        <v/>
      </c>
    </row>
    <row r="33376" spans="8:8" x14ac:dyDescent="0.3">
      <c r="H33376" t="str">
        <f t="shared" si="571"/>
        <v/>
      </c>
    </row>
    <row r="33377" spans="8:8" x14ac:dyDescent="0.3">
      <c r="H33377" t="str">
        <f t="shared" si="571"/>
        <v/>
      </c>
    </row>
    <row r="33378" spans="8:8" x14ac:dyDescent="0.3">
      <c r="H33378" t="str">
        <f t="shared" si="571"/>
        <v/>
      </c>
    </row>
    <row r="33379" spans="8:8" x14ac:dyDescent="0.3">
      <c r="H33379" t="str">
        <f t="shared" si="571"/>
        <v/>
      </c>
    </row>
    <row r="33380" spans="8:8" x14ac:dyDescent="0.3">
      <c r="H33380" t="str">
        <f t="shared" si="571"/>
        <v/>
      </c>
    </row>
    <row r="33381" spans="8:8" x14ac:dyDescent="0.3">
      <c r="H33381" t="str">
        <f t="shared" si="571"/>
        <v/>
      </c>
    </row>
    <row r="33382" spans="8:8" x14ac:dyDescent="0.3">
      <c r="H33382" t="str">
        <f t="shared" si="571"/>
        <v/>
      </c>
    </row>
    <row r="33383" spans="8:8" x14ac:dyDescent="0.3">
      <c r="H33383" t="str">
        <f t="shared" si="571"/>
        <v/>
      </c>
    </row>
    <row r="33384" spans="8:8" x14ac:dyDescent="0.3">
      <c r="H33384" t="str">
        <f t="shared" si="571"/>
        <v/>
      </c>
    </row>
    <row r="33385" spans="8:8" x14ac:dyDescent="0.3">
      <c r="H33385" t="str">
        <f t="shared" si="571"/>
        <v/>
      </c>
    </row>
    <row r="33386" spans="8:8" x14ac:dyDescent="0.3">
      <c r="H33386" t="str">
        <f t="shared" si="571"/>
        <v/>
      </c>
    </row>
    <row r="33387" spans="8:8" x14ac:dyDescent="0.3">
      <c r="H33387" t="str">
        <f t="shared" si="571"/>
        <v/>
      </c>
    </row>
    <row r="33388" spans="8:8" x14ac:dyDescent="0.3">
      <c r="H33388" t="str">
        <f t="shared" si="571"/>
        <v/>
      </c>
    </row>
    <row r="33389" spans="8:8" x14ac:dyDescent="0.3">
      <c r="H33389" t="str">
        <f t="shared" si="571"/>
        <v/>
      </c>
    </row>
    <row r="33390" spans="8:8" x14ac:dyDescent="0.3">
      <c r="H33390" t="str">
        <f t="shared" si="571"/>
        <v/>
      </c>
    </row>
    <row r="33391" spans="8:8" x14ac:dyDescent="0.3">
      <c r="H33391" t="str">
        <f t="shared" si="571"/>
        <v/>
      </c>
    </row>
    <row r="33392" spans="8:8" x14ac:dyDescent="0.3">
      <c r="H33392" t="str">
        <f t="shared" si="571"/>
        <v/>
      </c>
    </row>
    <row r="33393" spans="8:8" x14ac:dyDescent="0.3">
      <c r="H33393" t="str">
        <f t="shared" si="571"/>
        <v/>
      </c>
    </row>
    <row r="33394" spans="8:8" x14ac:dyDescent="0.3">
      <c r="H33394" t="str">
        <f t="shared" si="571"/>
        <v/>
      </c>
    </row>
    <row r="33395" spans="8:8" x14ac:dyDescent="0.3">
      <c r="H33395" t="str">
        <f t="shared" si="571"/>
        <v/>
      </c>
    </row>
    <row r="33396" spans="8:8" x14ac:dyDescent="0.3">
      <c r="H33396" t="str">
        <f t="shared" si="571"/>
        <v/>
      </c>
    </row>
    <row r="33397" spans="8:8" x14ac:dyDescent="0.3">
      <c r="H33397" t="str">
        <f t="shared" si="571"/>
        <v/>
      </c>
    </row>
    <row r="33398" spans="8:8" x14ac:dyDescent="0.3">
      <c r="H33398" t="str">
        <f t="shared" si="571"/>
        <v/>
      </c>
    </row>
    <row r="33399" spans="8:8" x14ac:dyDescent="0.3">
      <c r="H33399" t="str">
        <f t="shared" si="571"/>
        <v/>
      </c>
    </row>
    <row r="33400" spans="8:8" x14ac:dyDescent="0.3">
      <c r="H33400" t="str">
        <f t="shared" si="571"/>
        <v/>
      </c>
    </row>
    <row r="33401" spans="8:8" x14ac:dyDescent="0.3">
      <c r="H33401" t="str">
        <f t="shared" si="571"/>
        <v/>
      </c>
    </row>
    <row r="33402" spans="8:8" x14ac:dyDescent="0.3">
      <c r="H33402" t="str">
        <f t="shared" si="571"/>
        <v/>
      </c>
    </row>
    <row r="33403" spans="8:8" x14ac:dyDescent="0.3">
      <c r="H33403" t="str">
        <f t="shared" si="571"/>
        <v/>
      </c>
    </row>
    <row r="33404" spans="8:8" x14ac:dyDescent="0.3">
      <c r="H33404" t="str">
        <f t="shared" si="571"/>
        <v/>
      </c>
    </row>
    <row r="33405" spans="8:8" x14ac:dyDescent="0.3">
      <c r="H33405" t="str">
        <f t="shared" si="571"/>
        <v/>
      </c>
    </row>
    <row r="33406" spans="8:8" x14ac:dyDescent="0.3">
      <c r="H33406" t="str">
        <f t="shared" si="571"/>
        <v/>
      </c>
    </row>
    <row r="33407" spans="8:8" x14ac:dyDescent="0.3">
      <c r="H33407" t="str">
        <f t="shared" si="571"/>
        <v/>
      </c>
    </row>
    <row r="33408" spans="8:8" x14ac:dyDescent="0.3">
      <c r="H33408" t="str">
        <f t="shared" si="571"/>
        <v/>
      </c>
    </row>
    <row r="33409" spans="8:8" x14ac:dyDescent="0.3">
      <c r="H33409" t="str">
        <f t="shared" si="571"/>
        <v/>
      </c>
    </row>
    <row r="33410" spans="8:8" x14ac:dyDescent="0.3">
      <c r="H33410" t="str">
        <f t="shared" si="571"/>
        <v/>
      </c>
    </row>
    <row r="33411" spans="8:8" x14ac:dyDescent="0.3">
      <c r="H33411" t="str">
        <f t="shared" si="571"/>
        <v/>
      </c>
    </row>
    <row r="33412" spans="8:8" x14ac:dyDescent="0.3">
      <c r="H33412" t="str">
        <f t="shared" si="571"/>
        <v/>
      </c>
    </row>
    <row r="33413" spans="8:8" x14ac:dyDescent="0.3">
      <c r="H33413" t="str">
        <f t="shared" si="571"/>
        <v/>
      </c>
    </row>
    <row r="33414" spans="8:8" x14ac:dyDescent="0.3">
      <c r="H33414" t="str">
        <f t="shared" si="571"/>
        <v/>
      </c>
    </row>
    <row r="33415" spans="8:8" x14ac:dyDescent="0.3">
      <c r="H33415" t="str">
        <f t="shared" si="571"/>
        <v/>
      </c>
    </row>
    <row r="33416" spans="8:8" x14ac:dyDescent="0.3">
      <c r="H33416" t="str">
        <f t="shared" si="571"/>
        <v/>
      </c>
    </row>
    <row r="33417" spans="8:8" x14ac:dyDescent="0.3">
      <c r="H33417" t="str">
        <f t="shared" si="571"/>
        <v/>
      </c>
    </row>
    <row r="33418" spans="8:8" x14ac:dyDescent="0.3">
      <c r="H33418" t="str">
        <f t="shared" si="571"/>
        <v/>
      </c>
    </row>
    <row r="33419" spans="8:8" x14ac:dyDescent="0.3">
      <c r="H33419" t="str">
        <f t="shared" si="571"/>
        <v/>
      </c>
    </row>
    <row r="33420" spans="8:8" x14ac:dyDescent="0.3">
      <c r="H33420" t="str">
        <f t="shared" si="571"/>
        <v/>
      </c>
    </row>
    <row r="33421" spans="8:8" x14ac:dyDescent="0.3">
      <c r="H33421" t="str">
        <f t="shared" si="571"/>
        <v/>
      </c>
    </row>
    <row r="33422" spans="8:8" x14ac:dyDescent="0.3">
      <c r="H33422" t="str">
        <f t="shared" si="571"/>
        <v/>
      </c>
    </row>
    <row r="33423" spans="8:8" x14ac:dyDescent="0.3">
      <c r="H33423" t="str">
        <f t="shared" si="571"/>
        <v/>
      </c>
    </row>
    <row r="33424" spans="8:8" x14ac:dyDescent="0.3">
      <c r="H33424" t="str">
        <f t="shared" si="571"/>
        <v/>
      </c>
    </row>
    <row r="33425" spans="8:8" x14ac:dyDescent="0.3">
      <c r="H33425" t="str">
        <f t="shared" si="571"/>
        <v/>
      </c>
    </row>
    <row r="33426" spans="8:8" x14ac:dyDescent="0.3">
      <c r="H33426" t="str">
        <f t="shared" si="571"/>
        <v/>
      </c>
    </row>
    <row r="33427" spans="8:8" x14ac:dyDescent="0.3">
      <c r="H33427" t="str">
        <f t="shared" si="571"/>
        <v/>
      </c>
    </row>
    <row r="33428" spans="8:8" x14ac:dyDescent="0.3">
      <c r="H33428" t="str">
        <f t="shared" si="571"/>
        <v/>
      </c>
    </row>
    <row r="33429" spans="8:8" x14ac:dyDescent="0.3">
      <c r="H33429" t="str">
        <f t="shared" si="571"/>
        <v/>
      </c>
    </row>
    <row r="33430" spans="8:8" x14ac:dyDescent="0.3">
      <c r="H33430" t="str">
        <f t="shared" si="571"/>
        <v/>
      </c>
    </row>
    <row r="33431" spans="8:8" x14ac:dyDescent="0.3">
      <c r="H33431" t="str">
        <f t="shared" ref="H33431:H33494" si="572">IF(B33431="","",$C$12)</f>
        <v/>
      </c>
    </row>
    <row r="33432" spans="8:8" x14ac:dyDescent="0.3">
      <c r="H33432" t="str">
        <f t="shared" si="572"/>
        <v/>
      </c>
    </row>
    <row r="33433" spans="8:8" x14ac:dyDescent="0.3">
      <c r="H33433" t="str">
        <f t="shared" si="572"/>
        <v/>
      </c>
    </row>
    <row r="33434" spans="8:8" x14ac:dyDescent="0.3">
      <c r="H33434" t="str">
        <f t="shared" si="572"/>
        <v/>
      </c>
    </row>
    <row r="33435" spans="8:8" x14ac:dyDescent="0.3">
      <c r="H33435" t="str">
        <f t="shared" si="572"/>
        <v/>
      </c>
    </row>
    <row r="33436" spans="8:8" x14ac:dyDescent="0.3">
      <c r="H33436" t="str">
        <f t="shared" si="572"/>
        <v/>
      </c>
    </row>
    <row r="33437" spans="8:8" x14ac:dyDescent="0.3">
      <c r="H33437" t="str">
        <f t="shared" si="572"/>
        <v/>
      </c>
    </row>
    <row r="33438" spans="8:8" x14ac:dyDescent="0.3">
      <c r="H33438" t="str">
        <f t="shared" si="572"/>
        <v/>
      </c>
    </row>
    <row r="33439" spans="8:8" x14ac:dyDescent="0.3">
      <c r="H33439" t="str">
        <f t="shared" si="572"/>
        <v/>
      </c>
    </row>
    <row r="33440" spans="8:8" x14ac:dyDescent="0.3">
      <c r="H33440" t="str">
        <f t="shared" si="572"/>
        <v/>
      </c>
    </row>
    <row r="33441" spans="8:8" x14ac:dyDescent="0.3">
      <c r="H33441" t="str">
        <f t="shared" si="572"/>
        <v/>
      </c>
    </row>
    <row r="33442" spans="8:8" x14ac:dyDescent="0.3">
      <c r="H33442" t="str">
        <f t="shared" si="572"/>
        <v/>
      </c>
    </row>
    <row r="33443" spans="8:8" x14ac:dyDescent="0.3">
      <c r="H33443" t="str">
        <f t="shared" si="572"/>
        <v/>
      </c>
    </row>
    <row r="33444" spans="8:8" x14ac:dyDescent="0.3">
      <c r="H33444" t="str">
        <f t="shared" si="572"/>
        <v/>
      </c>
    </row>
    <row r="33445" spans="8:8" x14ac:dyDescent="0.3">
      <c r="H33445" t="str">
        <f t="shared" si="572"/>
        <v/>
      </c>
    </row>
    <row r="33446" spans="8:8" x14ac:dyDescent="0.3">
      <c r="H33446" t="str">
        <f t="shared" si="572"/>
        <v/>
      </c>
    </row>
    <row r="33447" spans="8:8" x14ac:dyDescent="0.3">
      <c r="H33447" t="str">
        <f t="shared" si="572"/>
        <v/>
      </c>
    </row>
    <row r="33448" spans="8:8" x14ac:dyDescent="0.3">
      <c r="H33448" t="str">
        <f t="shared" si="572"/>
        <v/>
      </c>
    </row>
    <row r="33449" spans="8:8" x14ac:dyDescent="0.3">
      <c r="H33449" t="str">
        <f t="shared" si="572"/>
        <v/>
      </c>
    </row>
    <row r="33450" spans="8:8" x14ac:dyDescent="0.3">
      <c r="H33450" t="str">
        <f t="shared" si="572"/>
        <v/>
      </c>
    </row>
    <row r="33451" spans="8:8" x14ac:dyDescent="0.3">
      <c r="H33451" t="str">
        <f t="shared" si="572"/>
        <v/>
      </c>
    </row>
    <row r="33452" spans="8:8" x14ac:dyDescent="0.3">
      <c r="H33452" t="str">
        <f t="shared" si="572"/>
        <v/>
      </c>
    </row>
    <row r="33453" spans="8:8" x14ac:dyDescent="0.3">
      <c r="H33453" t="str">
        <f t="shared" si="572"/>
        <v/>
      </c>
    </row>
    <row r="33454" spans="8:8" x14ac:dyDescent="0.3">
      <c r="H33454" t="str">
        <f t="shared" si="572"/>
        <v/>
      </c>
    </row>
    <row r="33455" spans="8:8" x14ac:dyDescent="0.3">
      <c r="H33455" t="str">
        <f t="shared" si="572"/>
        <v/>
      </c>
    </row>
    <row r="33456" spans="8:8" x14ac:dyDescent="0.3">
      <c r="H33456" t="str">
        <f t="shared" si="572"/>
        <v/>
      </c>
    </row>
    <row r="33457" spans="8:8" x14ac:dyDescent="0.3">
      <c r="H33457" t="str">
        <f t="shared" si="572"/>
        <v/>
      </c>
    </row>
    <row r="33458" spans="8:8" x14ac:dyDescent="0.3">
      <c r="H33458" t="str">
        <f t="shared" si="572"/>
        <v/>
      </c>
    </row>
    <row r="33459" spans="8:8" x14ac:dyDescent="0.3">
      <c r="H33459" t="str">
        <f t="shared" si="572"/>
        <v/>
      </c>
    </row>
    <row r="33460" spans="8:8" x14ac:dyDescent="0.3">
      <c r="H33460" t="str">
        <f t="shared" si="572"/>
        <v/>
      </c>
    </row>
    <row r="33461" spans="8:8" x14ac:dyDescent="0.3">
      <c r="H33461" t="str">
        <f t="shared" si="572"/>
        <v/>
      </c>
    </row>
    <row r="33462" spans="8:8" x14ac:dyDescent="0.3">
      <c r="H33462" t="str">
        <f t="shared" si="572"/>
        <v/>
      </c>
    </row>
    <row r="33463" spans="8:8" x14ac:dyDescent="0.3">
      <c r="H33463" t="str">
        <f t="shared" si="572"/>
        <v/>
      </c>
    </row>
    <row r="33464" spans="8:8" x14ac:dyDescent="0.3">
      <c r="H33464" t="str">
        <f t="shared" si="572"/>
        <v/>
      </c>
    </row>
    <row r="33465" spans="8:8" x14ac:dyDescent="0.3">
      <c r="H33465" t="str">
        <f t="shared" si="572"/>
        <v/>
      </c>
    </row>
    <row r="33466" spans="8:8" x14ac:dyDescent="0.3">
      <c r="H33466" t="str">
        <f t="shared" si="572"/>
        <v/>
      </c>
    </row>
    <row r="33467" spans="8:8" x14ac:dyDescent="0.3">
      <c r="H33467" t="str">
        <f t="shared" si="572"/>
        <v/>
      </c>
    </row>
    <row r="33468" spans="8:8" x14ac:dyDescent="0.3">
      <c r="H33468" t="str">
        <f t="shared" si="572"/>
        <v/>
      </c>
    </row>
    <row r="33469" spans="8:8" x14ac:dyDescent="0.3">
      <c r="H33469" t="str">
        <f t="shared" si="572"/>
        <v/>
      </c>
    </row>
    <row r="33470" spans="8:8" x14ac:dyDescent="0.3">
      <c r="H33470" t="str">
        <f t="shared" si="572"/>
        <v/>
      </c>
    </row>
    <row r="33471" spans="8:8" x14ac:dyDescent="0.3">
      <c r="H33471" t="str">
        <f t="shared" si="572"/>
        <v/>
      </c>
    </row>
    <row r="33472" spans="8:8" x14ac:dyDescent="0.3">
      <c r="H33472" t="str">
        <f t="shared" si="572"/>
        <v/>
      </c>
    </row>
    <row r="33473" spans="8:8" x14ac:dyDescent="0.3">
      <c r="H33473" t="str">
        <f t="shared" si="572"/>
        <v/>
      </c>
    </row>
    <row r="33474" spans="8:8" x14ac:dyDescent="0.3">
      <c r="H33474" t="str">
        <f t="shared" si="572"/>
        <v/>
      </c>
    </row>
    <row r="33475" spans="8:8" x14ac:dyDescent="0.3">
      <c r="H33475" t="str">
        <f t="shared" si="572"/>
        <v/>
      </c>
    </row>
    <row r="33476" spans="8:8" x14ac:dyDescent="0.3">
      <c r="H33476" t="str">
        <f t="shared" si="572"/>
        <v/>
      </c>
    </row>
    <row r="33477" spans="8:8" x14ac:dyDescent="0.3">
      <c r="H33477" t="str">
        <f t="shared" si="572"/>
        <v/>
      </c>
    </row>
    <row r="33478" spans="8:8" x14ac:dyDescent="0.3">
      <c r="H33478" t="str">
        <f t="shared" si="572"/>
        <v/>
      </c>
    </row>
    <row r="33479" spans="8:8" x14ac:dyDescent="0.3">
      <c r="H33479" t="str">
        <f t="shared" si="572"/>
        <v/>
      </c>
    </row>
    <row r="33480" spans="8:8" x14ac:dyDescent="0.3">
      <c r="H33480" t="str">
        <f t="shared" si="572"/>
        <v/>
      </c>
    </row>
    <row r="33481" spans="8:8" x14ac:dyDescent="0.3">
      <c r="H33481" t="str">
        <f t="shared" si="572"/>
        <v/>
      </c>
    </row>
    <row r="33482" spans="8:8" x14ac:dyDescent="0.3">
      <c r="H33482" t="str">
        <f t="shared" si="572"/>
        <v/>
      </c>
    </row>
    <row r="33483" spans="8:8" x14ac:dyDescent="0.3">
      <c r="H33483" t="str">
        <f t="shared" si="572"/>
        <v/>
      </c>
    </row>
    <row r="33484" spans="8:8" x14ac:dyDescent="0.3">
      <c r="H33484" t="str">
        <f t="shared" si="572"/>
        <v/>
      </c>
    </row>
    <row r="33485" spans="8:8" x14ac:dyDescent="0.3">
      <c r="H33485" t="str">
        <f t="shared" si="572"/>
        <v/>
      </c>
    </row>
    <row r="33486" spans="8:8" x14ac:dyDescent="0.3">
      <c r="H33486" t="str">
        <f t="shared" si="572"/>
        <v/>
      </c>
    </row>
    <row r="33487" spans="8:8" x14ac:dyDescent="0.3">
      <c r="H33487" t="str">
        <f t="shared" si="572"/>
        <v/>
      </c>
    </row>
    <row r="33488" spans="8:8" x14ac:dyDescent="0.3">
      <c r="H33488" t="str">
        <f t="shared" si="572"/>
        <v/>
      </c>
    </row>
    <row r="33489" spans="8:8" x14ac:dyDescent="0.3">
      <c r="H33489" t="str">
        <f t="shared" si="572"/>
        <v/>
      </c>
    </row>
    <row r="33490" spans="8:8" x14ac:dyDescent="0.3">
      <c r="H33490" t="str">
        <f t="shared" si="572"/>
        <v/>
      </c>
    </row>
    <row r="33491" spans="8:8" x14ac:dyDescent="0.3">
      <c r="H33491" t="str">
        <f t="shared" si="572"/>
        <v/>
      </c>
    </row>
    <row r="33492" spans="8:8" x14ac:dyDescent="0.3">
      <c r="H33492" t="str">
        <f t="shared" si="572"/>
        <v/>
      </c>
    </row>
    <row r="33493" spans="8:8" x14ac:dyDescent="0.3">
      <c r="H33493" t="str">
        <f t="shared" si="572"/>
        <v/>
      </c>
    </row>
    <row r="33494" spans="8:8" x14ac:dyDescent="0.3">
      <c r="H33494" t="str">
        <f t="shared" si="572"/>
        <v/>
      </c>
    </row>
    <row r="33495" spans="8:8" x14ac:dyDescent="0.3">
      <c r="H33495" t="str">
        <f t="shared" ref="H33495:H33558" si="573">IF(B33495="","",$C$12)</f>
        <v/>
      </c>
    </row>
    <row r="33496" spans="8:8" x14ac:dyDescent="0.3">
      <c r="H33496" t="str">
        <f t="shared" si="573"/>
        <v/>
      </c>
    </row>
    <row r="33497" spans="8:8" x14ac:dyDescent="0.3">
      <c r="H33497" t="str">
        <f t="shared" si="573"/>
        <v/>
      </c>
    </row>
    <row r="33498" spans="8:8" x14ac:dyDescent="0.3">
      <c r="H33498" t="str">
        <f t="shared" si="573"/>
        <v/>
      </c>
    </row>
    <row r="33499" spans="8:8" x14ac:dyDescent="0.3">
      <c r="H33499" t="str">
        <f t="shared" si="573"/>
        <v/>
      </c>
    </row>
    <row r="33500" spans="8:8" x14ac:dyDescent="0.3">
      <c r="H33500" t="str">
        <f t="shared" si="573"/>
        <v/>
      </c>
    </row>
    <row r="33501" spans="8:8" x14ac:dyDescent="0.3">
      <c r="H33501" t="str">
        <f t="shared" si="573"/>
        <v/>
      </c>
    </row>
    <row r="33502" spans="8:8" x14ac:dyDescent="0.3">
      <c r="H33502" t="str">
        <f t="shared" si="573"/>
        <v/>
      </c>
    </row>
    <row r="33503" spans="8:8" x14ac:dyDescent="0.3">
      <c r="H33503" t="str">
        <f t="shared" si="573"/>
        <v/>
      </c>
    </row>
    <row r="33504" spans="8:8" x14ac:dyDescent="0.3">
      <c r="H33504" t="str">
        <f t="shared" si="573"/>
        <v/>
      </c>
    </row>
    <row r="33505" spans="8:8" x14ac:dyDescent="0.3">
      <c r="H33505" t="str">
        <f t="shared" si="573"/>
        <v/>
      </c>
    </row>
    <row r="33506" spans="8:8" x14ac:dyDescent="0.3">
      <c r="H33506" t="str">
        <f t="shared" si="573"/>
        <v/>
      </c>
    </row>
    <row r="33507" spans="8:8" x14ac:dyDescent="0.3">
      <c r="H33507" t="str">
        <f t="shared" si="573"/>
        <v/>
      </c>
    </row>
    <row r="33508" spans="8:8" x14ac:dyDescent="0.3">
      <c r="H33508" t="str">
        <f t="shared" si="573"/>
        <v/>
      </c>
    </row>
    <row r="33509" spans="8:8" x14ac:dyDescent="0.3">
      <c r="H33509" t="str">
        <f t="shared" si="573"/>
        <v/>
      </c>
    </row>
    <row r="33510" spans="8:8" x14ac:dyDescent="0.3">
      <c r="H33510" t="str">
        <f t="shared" si="573"/>
        <v/>
      </c>
    </row>
    <row r="33511" spans="8:8" x14ac:dyDescent="0.3">
      <c r="H33511" t="str">
        <f t="shared" si="573"/>
        <v/>
      </c>
    </row>
    <row r="33512" spans="8:8" x14ac:dyDescent="0.3">
      <c r="H33512" t="str">
        <f t="shared" si="573"/>
        <v/>
      </c>
    </row>
    <row r="33513" spans="8:8" x14ac:dyDescent="0.3">
      <c r="H33513" t="str">
        <f t="shared" si="573"/>
        <v/>
      </c>
    </row>
    <row r="33514" spans="8:8" x14ac:dyDescent="0.3">
      <c r="H33514" t="str">
        <f t="shared" si="573"/>
        <v/>
      </c>
    </row>
    <row r="33515" spans="8:8" x14ac:dyDescent="0.3">
      <c r="H33515" t="str">
        <f t="shared" si="573"/>
        <v/>
      </c>
    </row>
    <row r="33516" spans="8:8" x14ac:dyDescent="0.3">
      <c r="H33516" t="str">
        <f t="shared" si="573"/>
        <v/>
      </c>
    </row>
    <row r="33517" spans="8:8" x14ac:dyDescent="0.3">
      <c r="H33517" t="str">
        <f t="shared" si="573"/>
        <v/>
      </c>
    </row>
    <row r="33518" spans="8:8" x14ac:dyDescent="0.3">
      <c r="H33518" t="str">
        <f t="shared" si="573"/>
        <v/>
      </c>
    </row>
    <row r="33519" spans="8:8" x14ac:dyDescent="0.3">
      <c r="H33519" t="str">
        <f t="shared" si="573"/>
        <v/>
      </c>
    </row>
    <row r="33520" spans="8:8" x14ac:dyDescent="0.3">
      <c r="H33520" t="str">
        <f t="shared" si="573"/>
        <v/>
      </c>
    </row>
    <row r="33521" spans="8:8" x14ac:dyDescent="0.3">
      <c r="H33521" t="str">
        <f t="shared" si="573"/>
        <v/>
      </c>
    </row>
    <row r="33522" spans="8:8" x14ac:dyDescent="0.3">
      <c r="H33522" t="str">
        <f t="shared" si="573"/>
        <v/>
      </c>
    </row>
    <row r="33523" spans="8:8" x14ac:dyDescent="0.3">
      <c r="H33523" t="str">
        <f t="shared" si="573"/>
        <v/>
      </c>
    </row>
    <row r="33524" spans="8:8" x14ac:dyDescent="0.3">
      <c r="H33524" t="str">
        <f t="shared" si="573"/>
        <v/>
      </c>
    </row>
    <row r="33525" spans="8:8" x14ac:dyDescent="0.3">
      <c r="H33525" t="str">
        <f t="shared" si="573"/>
        <v/>
      </c>
    </row>
    <row r="33526" spans="8:8" x14ac:dyDescent="0.3">
      <c r="H33526" t="str">
        <f t="shared" si="573"/>
        <v/>
      </c>
    </row>
    <row r="33527" spans="8:8" x14ac:dyDescent="0.3">
      <c r="H33527" t="str">
        <f t="shared" si="573"/>
        <v/>
      </c>
    </row>
    <row r="33528" spans="8:8" x14ac:dyDescent="0.3">
      <c r="H33528" t="str">
        <f t="shared" si="573"/>
        <v/>
      </c>
    </row>
    <row r="33529" spans="8:8" x14ac:dyDescent="0.3">
      <c r="H33529" t="str">
        <f t="shared" si="573"/>
        <v/>
      </c>
    </row>
    <row r="33530" spans="8:8" x14ac:dyDescent="0.3">
      <c r="H33530" t="str">
        <f t="shared" si="573"/>
        <v/>
      </c>
    </row>
    <row r="33531" spans="8:8" x14ac:dyDescent="0.3">
      <c r="H33531" t="str">
        <f t="shared" si="573"/>
        <v/>
      </c>
    </row>
    <row r="33532" spans="8:8" x14ac:dyDescent="0.3">
      <c r="H33532" t="str">
        <f t="shared" si="573"/>
        <v/>
      </c>
    </row>
    <row r="33533" spans="8:8" x14ac:dyDescent="0.3">
      <c r="H33533" t="str">
        <f t="shared" si="573"/>
        <v/>
      </c>
    </row>
    <row r="33534" spans="8:8" x14ac:dyDescent="0.3">
      <c r="H33534" t="str">
        <f t="shared" si="573"/>
        <v/>
      </c>
    </row>
    <row r="33535" spans="8:8" x14ac:dyDescent="0.3">
      <c r="H33535" t="str">
        <f t="shared" si="573"/>
        <v/>
      </c>
    </row>
    <row r="33536" spans="8:8" x14ac:dyDescent="0.3">
      <c r="H33536" t="str">
        <f t="shared" si="573"/>
        <v/>
      </c>
    </row>
    <row r="33537" spans="8:8" x14ac:dyDescent="0.3">
      <c r="H33537" t="str">
        <f t="shared" si="573"/>
        <v/>
      </c>
    </row>
    <row r="33538" spans="8:8" x14ac:dyDescent="0.3">
      <c r="H33538" t="str">
        <f t="shared" si="573"/>
        <v/>
      </c>
    </row>
    <row r="33539" spans="8:8" x14ac:dyDescent="0.3">
      <c r="H33539" t="str">
        <f t="shared" si="573"/>
        <v/>
      </c>
    </row>
    <row r="33540" spans="8:8" x14ac:dyDescent="0.3">
      <c r="H33540" t="str">
        <f t="shared" si="573"/>
        <v/>
      </c>
    </row>
    <row r="33541" spans="8:8" x14ac:dyDescent="0.3">
      <c r="H33541" t="str">
        <f t="shared" si="573"/>
        <v/>
      </c>
    </row>
    <row r="33542" spans="8:8" x14ac:dyDescent="0.3">
      <c r="H33542" t="str">
        <f t="shared" si="573"/>
        <v/>
      </c>
    </row>
    <row r="33543" spans="8:8" x14ac:dyDescent="0.3">
      <c r="H33543" t="str">
        <f t="shared" si="573"/>
        <v/>
      </c>
    </row>
    <row r="33544" spans="8:8" x14ac:dyDescent="0.3">
      <c r="H33544" t="str">
        <f t="shared" si="573"/>
        <v/>
      </c>
    </row>
    <row r="33545" spans="8:8" x14ac:dyDescent="0.3">
      <c r="H33545" t="str">
        <f t="shared" si="573"/>
        <v/>
      </c>
    </row>
    <row r="33546" spans="8:8" x14ac:dyDescent="0.3">
      <c r="H33546" t="str">
        <f t="shared" si="573"/>
        <v/>
      </c>
    </row>
    <row r="33547" spans="8:8" x14ac:dyDescent="0.3">
      <c r="H33547" t="str">
        <f t="shared" si="573"/>
        <v/>
      </c>
    </row>
    <row r="33548" spans="8:8" x14ac:dyDescent="0.3">
      <c r="H33548" t="str">
        <f t="shared" si="573"/>
        <v/>
      </c>
    </row>
    <row r="33549" spans="8:8" x14ac:dyDescent="0.3">
      <c r="H33549" t="str">
        <f t="shared" si="573"/>
        <v/>
      </c>
    </row>
    <row r="33550" spans="8:8" x14ac:dyDescent="0.3">
      <c r="H33550" t="str">
        <f t="shared" si="573"/>
        <v/>
      </c>
    </row>
    <row r="33551" spans="8:8" x14ac:dyDescent="0.3">
      <c r="H33551" t="str">
        <f t="shared" si="573"/>
        <v/>
      </c>
    </row>
    <row r="33552" spans="8:8" x14ac:dyDescent="0.3">
      <c r="H33552" t="str">
        <f t="shared" si="573"/>
        <v/>
      </c>
    </row>
    <row r="33553" spans="8:8" x14ac:dyDescent="0.3">
      <c r="H33553" t="str">
        <f t="shared" si="573"/>
        <v/>
      </c>
    </row>
    <row r="33554" spans="8:8" x14ac:dyDescent="0.3">
      <c r="H33554" t="str">
        <f t="shared" si="573"/>
        <v/>
      </c>
    </row>
    <row r="33555" spans="8:8" x14ac:dyDescent="0.3">
      <c r="H33555" t="str">
        <f t="shared" si="573"/>
        <v/>
      </c>
    </row>
    <row r="33556" spans="8:8" x14ac:dyDescent="0.3">
      <c r="H33556" t="str">
        <f t="shared" si="573"/>
        <v/>
      </c>
    </row>
    <row r="33557" spans="8:8" x14ac:dyDescent="0.3">
      <c r="H33557" t="str">
        <f t="shared" si="573"/>
        <v/>
      </c>
    </row>
    <row r="33558" spans="8:8" x14ac:dyDescent="0.3">
      <c r="H33558" t="str">
        <f t="shared" si="573"/>
        <v/>
      </c>
    </row>
    <row r="33559" spans="8:8" x14ac:dyDescent="0.3">
      <c r="H33559" t="str">
        <f t="shared" ref="H33559:H33622" si="574">IF(B33559="","",$C$12)</f>
        <v/>
      </c>
    </row>
    <row r="33560" spans="8:8" x14ac:dyDescent="0.3">
      <c r="H33560" t="str">
        <f t="shared" si="574"/>
        <v/>
      </c>
    </row>
    <row r="33561" spans="8:8" x14ac:dyDescent="0.3">
      <c r="H33561" t="str">
        <f t="shared" si="574"/>
        <v/>
      </c>
    </row>
    <row r="33562" spans="8:8" x14ac:dyDescent="0.3">
      <c r="H33562" t="str">
        <f t="shared" si="574"/>
        <v/>
      </c>
    </row>
    <row r="33563" spans="8:8" x14ac:dyDescent="0.3">
      <c r="H33563" t="str">
        <f t="shared" si="574"/>
        <v/>
      </c>
    </row>
    <row r="33564" spans="8:8" x14ac:dyDescent="0.3">
      <c r="H33564" t="str">
        <f t="shared" si="574"/>
        <v/>
      </c>
    </row>
    <row r="33565" spans="8:8" x14ac:dyDescent="0.3">
      <c r="H33565" t="str">
        <f t="shared" si="574"/>
        <v/>
      </c>
    </row>
    <row r="33566" spans="8:8" x14ac:dyDescent="0.3">
      <c r="H33566" t="str">
        <f t="shared" si="574"/>
        <v/>
      </c>
    </row>
    <row r="33567" spans="8:8" x14ac:dyDescent="0.3">
      <c r="H33567" t="str">
        <f t="shared" si="574"/>
        <v/>
      </c>
    </row>
    <row r="33568" spans="8:8" x14ac:dyDescent="0.3">
      <c r="H33568" t="str">
        <f t="shared" si="574"/>
        <v/>
      </c>
    </row>
    <row r="33569" spans="8:8" x14ac:dyDescent="0.3">
      <c r="H33569" t="str">
        <f t="shared" si="574"/>
        <v/>
      </c>
    </row>
    <row r="33570" spans="8:8" x14ac:dyDescent="0.3">
      <c r="H33570" t="str">
        <f t="shared" si="574"/>
        <v/>
      </c>
    </row>
    <row r="33571" spans="8:8" x14ac:dyDescent="0.3">
      <c r="H33571" t="str">
        <f t="shared" si="574"/>
        <v/>
      </c>
    </row>
    <row r="33572" spans="8:8" x14ac:dyDescent="0.3">
      <c r="H33572" t="str">
        <f t="shared" si="574"/>
        <v/>
      </c>
    </row>
    <row r="33573" spans="8:8" x14ac:dyDescent="0.3">
      <c r="H33573" t="str">
        <f t="shared" si="574"/>
        <v/>
      </c>
    </row>
    <row r="33574" spans="8:8" x14ac:dyDescent="0.3">
      <c r="H33574" t="str">
        <f t="shared" si="574"/>
        <v/>
      </c>
    </row>
    <row r="33575" spans="8:8" x14ac:dyDescent="0.3">
      <c r="H33575" t="str">
        <f t="shared" si="574"/>
        <v/>
      </c>
    </row>
    <row r="33576" spans="8:8" x14ac:dyDescent="0.3">
      <c r="H33576" t="str">
        <f t="shared" si="574"/>
        <v/>
      </c>
    </row>
    <row r="33577" spans="8:8" x14ac:dyDescent="0.3">
      <c r="H33577" t="str">
        <f t="shared" si="574"/>
        <v/>
      </c>
    </row>
    <row r="33578" spans="8:8" x14ac:dyDescent="0.3">
      <c r="H33578" t="str">
        <f t="shared" si="574"/>
        <v/>
      </c>
    </row>
    <row r="33579" spans="8:8" x14ac:dyDescent="0.3">
      <c r="H33579" t="str">
        <f t="shared" si="574"/>
        <v/>
      </c>
    </row>
    <row r="33580" spans="8:8" x14ac:dyDescent="0.3">
      <c r="H33580" t="str">
        <f t="shared" si="574"/>
        <v/>
      </c>
    </row>
    <row r="33581" spans="8:8" x14ac:dyDescent="0.3">
      <c r="H33581" t="str">
        <f t="shared" si="574"/>
        <v/>
      </c>
    </row>
    <row r="33582" spans="8:8" x14ac:dyDescent="0.3">
      <c r="H33582" t="str">
        <f t="shared" si="574"/>
        <v/>
      </c>
    </row>
    <row r="33583" spans="8:8" x14ac:dyDescent="0.3">
      <c r="H33583" t="str">
        <f t="shared" si="574"/>
        <v/>
      </c>
    </row>
    <row r="33584" spans="8:8" x14ac:dyDescent="0.3">
      <c r="H33584" t="str">
        <f t="shared" si="574"/>
        <v/>
      </c>
    </row>
    <row r="33585" spans="8:8" x14ac:dyDescent="0.3">
      <c r="H33585" t="str">
        <f t="shared" si="574"/>
        <v/>
      </c>
    </row>
    <row r="33586" spans="8:8" x14ac:dyDescent="0.3">
      <c r="H33586" t="str">
        <f t="shared" si="574"/>
        <v/>
      </c>
    </row>
    <row r="33587" spans="8:8" x14ac:dyDescent="0.3">
      <c r="H33587" t="str">
        <f t="shared" si="574"/>
        <v/>
      </c>
    </row>
    <row r="33588" spans="8:8" x14ac:dyDescent="0.3">
      <c r="H33588" t="str">
        <f t="shared" si="574"/>
        <v/>
      </c>
    </row>
    <row r="33589" spans="8:8" x14ac:dyDescent="0.3">
      <c r="H33589" t="str">
        <f t="shared" si="574"/>
        <v/>
      </c>
    </row>
    <row r="33590" spans="8:8" x14ac:dyDescent="0.3">
      <c r="H33590" t="str">
        <f t="shared" si="574"/>
        <v/>
      </c>
    </row>
    <row r="33591" spans="8:8" x14ac:dyDescent="0.3">
      <c r="H33591" t="str">
        <f t="shared" si="574"/>
        <v/>
      </c>
    </row>
    <row r="33592" spans="8:8" x14ac:dyDescent="0.3">
      <c r="H33592" t="str">
        <f t="shared" si="574"/>
        <v/>
      </c>
    </row>
    <row r="33593" spans="8:8" x14ac:dyDescent="0.3">
      <c r="H33593" t="str">
        <f t="shared" si="574"/>
        <v/>
      </c>
    </row>
    <row r="33594" spans="8:8" x14ac:dyDescent="0.3">
      <c r="H33594" t="str">
        <f t="shared" si="574"/>
        <v/>
      </c>
    </row>
    <row r="33595" spans="8:8" x14ac:dyDescent="0.3">
      <c r="H33595" t="str">
        <f t="shared" si="574"/>
        <v/>
      </c>
    </row>
    <row r="33596" spans="8:8" x14ac:dyDescent="0.3">
      <c r="H33596" t="str">
        <f t="shared" si="574"/>
        <v/>
      </c>
    </row>
    <row r="33597" spans="8:8" x14ac:dyDescent="0.3">
      <c r="H33597" t="str">
        <f t="shared" si="574"/>
        <v/>
      </c>
    </row>
    <row r="33598" spans="8:8" x14ac:dyDescent="0.3">
      <c r="H33598" t="str">
        <f t="shared" si="574"/>
        <v/>
      </c>
    </row>
    <row r="33599" spans="8:8" x14ac:dyDescent="0.3">
      <c r="H33599" t="str">
        <f t="shared" si="574"/>
        <v/>
      </c>
    </row>
    <row r="33600" spans="8:8" x14ac:dyDescent="0.3">
      <c r="H33600" t="str">
        <f t="shared" si="574"/>
        <v/>
      </c>
    </row>
    <row r="33601" spans="8:8" x14ac:dyDescent="0.3">
      <c r="H33601" t="str">
        <f t="shared" si="574"/>
        <v/>
      </c>
    </row>
    <row r="33602" spans="8:8" x14ac:dyDescent="0.3">
      <c r="H33602" t="str">
        <f t="shared" si="574"/>
        <v/>
      </c>
    </row>
    <row r="33603" spans="8:8" x14ac:dyDescent="0.3">
      <c r="H33603" t="str">
        <f t="shared" si="574"/>
        <v/>
      </c>
    </row>
    <row r="33604" spans="8:8" x14ac:dyDescent="0.3">
      <c r="H33604" t="str">
        <f t="shared" si="574"/>
        <v/>
      </c>
    </row>
    <row r="33605" spans="8:8" x14ac:dyDescent="0.3">
      <c r="H33605" t="str">
        <f t="shared" si="574"/>
        <v/>
      </c>
    </row>
    <row r="33606" spans="8:8" x14ac:dyDescent="0.3">
      <c r="H33606" t="str">
        <f t="shared" si="574"/>
        <v/>
      </c>
    </row>
    <row r="33607" spans="8:8" x14ac:dyDescent="0.3">
      <c r="H33607" t="str">
        <f t="shared" si="574"/>
        <v/>
      </c>
    </row>
    <row r="33608" spans="8:8" x14ac:dyDescent="0.3">
      <c r="H33608" t="str">
        <f t="shared" si="574"/>
        <v/>
      </c>
    </row>
    <row r="33609" spans="8:8" x14ac:dyDescent="0.3">
      <c r="H33609" t="str">
        <f t="shared" si="574"/>
        <v/>
      </c>
    </row>
    <row r="33610" spans="8:8" x14ac:dyDescent="0.3">
      <c r="H33610" t="str">
        <f t="shared" si="574"/>
        <v/>
      </c>
    </row>
    <row r="33611" spans="8:8" x14ac:dyDescent="0.3">
      <c r="H33611" t="str">
        <f t="shared" si="574"/>
        <v/>
      </c>
    </row>
    <row r="33612" spans="8:8" x14ac:dyDescent="0.3">
      <c r="H33612" t="str">
        <f t="shared" si="574"/>
        <v/>
      </c>
    </row>
    <row r="33613" spans="8:8" x14ac:dyDescent="0.3">
      <c r="H33613" t="str">
        <f t="shared" si="574"/>
        <v/>
      </c>
    </row>
    <row r="33614" spans="8:8" x14ac:dyDescent="0.3">
      <c r="H33614" t="str">
        <f t="shared" si="574"/>
        <v/>
      </c>
    </row>
    <row r="33615" spans="8:8" x14ac:dyDescent="0.3">
      <c r="H33615" t="str">
        <f t="shared" si="574"/>
        <v/>
      </c>
    </row>
    <row r="33616" spans="8:8" x14ac:dyDescent="0.3">
      <c r="H33616" t="str">
        <f t="shared" si="574"/>
        <v/>
      </c>
    </row>
    <row r="33617" spans="8:8" x14ac:dyDescent="0.3">
      <c r="H33617" t="str">
        <f t="shared" si="574"/>
        <v/>
      </c>
    </row>
    <row r="33618" spans="8:8" x14ac:dyDescent="0.3">
      <c r="H33618" t="str">
        <f t="shared" si="574"/>
        <v/>
      </c>
    </row>
    <row r="33619" spans="8:8" x14ac:dyDescent="0.3">
      <c r="H33619" t="str">
        <f t="shared" si="574"/>
        <v/>
      </c>
    </row>
    <row r="33620" spans="8:8" x14ac:dyDescent="0.3">
      <c r="H33620" t="str">
        <f t="shared" si="574"/>
        <v/>
      </c>
    </row>
    <row r="33621" spans="8:8" x14ac:dyDescent="0.3">
      <c r="H33621" t="str">
        <f t="shared" si="574"/>
        <v/>
      </c>
    </row>
    <row r="33622" spans="8:8" x14ac:dyDescent="0.3">
      <c r="H33622" t="str">
        <f t="shared" si="574"/>
        <v/>
      </c>
    </row>
    <row r="33623" spans="8:8" x14ac:dyDescent="0.3">
      <c r="H33623" t="str">
        <f t="shared" ref="H33623:H33686" si="575">IF(B33623="","",$C$12)</f>
        <v/>
      </c>
    </row>
    <row r="33624" spans="8:8" x14ac:dyDescent="0.3">
      <c r="H33624" t="str">
        <f t="shared" si="575"/>
        <v/>
      </c>
    </row>
    <row r="33625" spans="8:8" x14ac:dyDescent="0.3">
      <c r="H33625" t="str">
        <f t="shared" si="575"/>
        <v/>
      </c>
    </row>
    <row r="33626" spans="8:8" x14ac:dyDescent="0.3">
      <c r="H33626" t="str">
        <f t="shared" si="575"/>
        <v/>
      </c>
    </row>
    <row r="33627" spans="8:8" x14ac:dyDescent="0.3">
      <c r="H33627" t="str">
        <f t="shared" si="575"/>
        <v/>
      </c>
    </row>
    <row r="33628" spans="8:8" x14ac:dyDescent="0.3">
      <c r="H33628" t="str">
        <f t="shared" si="575"/>
        <v/>
      </c>
    </row>
    <row r="33629" spans="8:8" x14ac:dyDescent="0.3">
      <c r="H33629" t="str">
        <f t="shared" si="575"/>
        <v/>
      </c>
    </row>
    <row r="33630" spans="8:8" x14ac:dyDescent="0.3">
      <c r="H33630" t="str">
        <f t="shared" si="575"/>
        <v/>
      </c>
    </row>
    <row r="33631" spans="8:8" x14ac:dyDescent="0.3">
      <c r="H33631" t="str">
        <f t="shared" si="575"/>
        <v/>
      </c>
    </row>
    <row r="33632" spans="8:8" x14ac:dyDescent="0.3">
      <c r="H33632" t="str">
        <f t="shared" si="575"/>
        <v/>
      </c>
    </row>
    <row r="33633" spans="8:8" x14ac:dyDescent="0.3">
      <c r="H33633" t="str">
        <f t="shared" si="575"/>
        <v/>
      </c>
    </row>
    <row r="33634" spans="8:8" x14ac:dyDescent="0.3">
      <c r="H33634" t="str">
        <f t="shared" si="575"/>
        <v/>
      </c>
    </row>
    <row r="33635" spans="8:8" x14ac:dyDescent="0.3">
      <c r="H33635" t="str">
        <f t="shared" si="575"/>
        <v/>
      </c>
    </row>
    <row r="33636" spans="8:8" x14ac:dyDescent="0.3">
      <c r="H33636" t="str">
        <f t="shared" si="575"/>
        <v/>
      </c>
    </row>
    <row r="33637" spans="8:8" x14ac:dyDescent="0.3">
      <c r="H33637" t="str">
        <f t="shared" si="575"/>
        <v/>
      </c>
    </row>
    <row r="33638" spans="8:8" x14ac:dyDescent="0.3">
      <c r="H33638" t="str">
        <f t="shared" si="575"/>
        <v/>
      </c>
    </row>
    <row r="33639" spans="8:8" x14ac:dyDescent="0.3">
      <c r="H33639" t="str">
        <f t="shared" si="575"/>
        <v/>
      </c>
    </row>
    <row r="33640" spans="8:8" x14ac:dyDescent="0.3">
      <c r="H33640" t="str">
        <f t="shared" si="575"/>
        <v/>
      </c>
    </row>
    <row r="33641" spans="8:8" x14ac:dyDescent="0.3">
      <c r="H33641" t="str">
        <f t="shared" si="575"/>
        <v/>
      </c>
    </row>
    <row r="33642" spans="8:8" x14ac:dyDescent="0.3">
      <c r="H33642" t="str">
        <f t="shared" si="575"/>
        <v/>
      </c>
    </row>
    <row r="33643" spans="8:8" x14ac:dyDescent="0.3">
      <c r="H33643" t="str">
        <f t="shared" si="575"/>
        <v/>
      </c>
    </row>
    <row r="33644" spans="8:8" x14ac:dyDescent="0.3">
      <c r="H33644" t="str">
        <f t="shared" si="575"/>
        <v/>
      </c>
    </row>
    <row r="33645" spans="8:8" x14ac:dyDescent="0.3">
      <c r="H33645" t="str">
        <f t="shared" si="575"/>
        <v/>
      </c>
    </row>
    <row r="33646" spans="8:8" x14ac:dyDescent="0.3">
      <c r="H33646" t="str">
        <f t="shared" si="575"/>
        <v/>
      </c>
    </row>
    <row r="33647" spans="8:8" x14ac:dyDescent="0.3">
      <c r="H33647" t="str">
        <f t="shared" si="575"/>
        <v/>
      </c>
    </row>
    <row r="33648" spans="8:8" x14ac:dyDescent="0.3">
      <c r="H33648" t="str">
        <f t="shared" si="575"/>
        <v/>
      </c>
    </row>
    <row r="33649" spans="8:8" x14ac:dyDescent="0.3">
      <c r="H33649" t="str">
        <f t="shared" si="575"/>
        <v/>
      </c>
    </row>
    <row r="33650" spans="8:8" x14ac:dyDescent="0.3">
      <c r="H33650" t="str">
        <f t="shared" si="575"/>
        <v/>
      </c>
    </row>
    <row r="33651" spans="8:8" x14ac:dyDescent="0.3">
      <c r="H33651" t="str">
        <f t="shared" si="575"/>
        <v/>
      </c>
    </row>
    <row r="33652" spans="8:8" x14ac:dyDescent="0.3">
      <c r="H33652" t="str">
        <f t="shared" si="575"/>
        <v/>
      </c>
    </row>
    <row r="33653" spans="8:8" x14ac:dyDescent="0.3">
      <c r="H33653" t="str">
        <f t="shared" si="575"/>
        <v/>
      </c>
    </row>
    <row r="33654" spans="8:8" x14ac:dyDescent="0.3">
      <c r="H33654" t="str">
        <f t="shared" si="575"/>
        <v/>
      </c>
    </row>
    <row r="33655" spans="8:8" x14ac:dyDescent="0.3">
      <c r="H33655" t="str">
        <f t="shared" si="575"/>
        <v/>
      </c>
    </row>
    <row r="33656" spans="8:8" x14ac:dyDescent="0.3">
      <c r="H33656" t="str">
        <f t="shared" si="575"/>
        <v/>
      </c>
    </row>
    <row r="33657" spans="8:8" x14ac:dyDescent="0.3">
      <c r="H33657" t="str">
        <f t="shared" si="575"/>
        <v/>
      </c>
    </row>
    <row r="33658" spans="8:8" x14ac:dyDescent="0.3">
      <c r="H33658" t="str">
        <f t="shared" si="575"/>
        <v/>
      </c>
    </row>
    <row r="33659" spans="8:8" x14ac:dyDescent="0.3">
      <c r="H33659" t="str">
        <f t="shared" si="575"/>
        <v/>
      </c>
    </row>
    <row r="33660" spans="8:8" x14ac:dyDescent="0.3">
      <c r="H33660" t="str">
        <f t="shared" si="575"/>
        <v/>
      </c>
    </row>
    <row r="33661" spans="8:8" x14ac:dyDescent="0.3">
      <c r="H33661" t="str">
        <f t="shared" si="575"/>
        <v/>
      </c>
    </row>
    <row r="33662" spans="8:8" x14ac:dyDescent="0.3">
      <c r="H33662" t="str">
        <f t="shared" si="575"/>
        <v/>
      </c>
    </row>
    <row r="33663" spans="8:8" x14ac:dyDescent="0.3">
      <c r="H33663" t="str">
        <f t="shared" si="575"/>
        <v/>
      </c>
    </row>
    <row r="33664" spans="8:8" x14ac:dyDescent="0.3">
      <c r="H33664" t="str">
        <f t="shared" si="575"/>
        <v/>
      </c>
    </row>
    <row r="33665" spans="8:8" x14ac:dyDescent="0.3">
      <c r="H33665" t="str">
        <f t="shared" si="575"/>
        <v/>
      </c>
    </row>
    <row r="33666" spans="8:8" x14ac:dyDescent="0.3">
      <c r="H33666" t="str">
        <f t="shared" si="575"/>
        <v/>
      </c>
    </row>
    <row r="33667" spans="8:8" x14ac:dyDescent="0.3">
      <c r="H33667" t="str">
        <f t="shared" si="575"/>
        <v/>
      </c>
    </row>
    <row r="33668" spans="8:8" x14ac:dyDescent="0.3">
      <c r="H33668" t="str">
        <f t="shared" si="575"/>
        <v/>
      </c>
    </row>
    <row r="33669" spans="8:8" x14ac:dyDescent="0.3">
      <c r="H33669" t="str">
        <f t="shared" si="575"/>
        <v/>
      </c>
    </row>
    <row r="33670" spans="8:8" x14ac:dyDescent="0.3">
      <c r="H33670" t="str">
        <f t="shared" si="575"/>
        <v/>
      </c>
    </row>
    <row r="33671" spans="8:8" x14ac:dyDescent="0.3">
      <c r="H33671" t="str">
        <f t="shared" si="575"/>
        <v/>
      </c>
    </row>
    <row r="33672" spans="8:8" x14ac:dyDescent="0.3">
      <c r="H33672" t="str">
        <f t="shared" si="575"/>
        <v/>
      </c>
    </row>
    <row r="33673" spans="8:8" x14ac:dyDescent="0.3">
      <c r="H33673" t="str">
        <f t="shared" si="575"/>
        <v/>
      </c>
    </row>
    <row r="33674" spans="8:8" x14ac:dyDescent="0.3">
      <c r="H33674" t="str">
        <f t="shared" si="575"/>
        <v/>
      </c>
    </row>
    <row r="33675" spans="8:8" x14ac:dyDescent="0.3">
      <c r="H33675" t="str">
        <f t="shared" si="575"/>
        <v/>
      </c>
    </row>
    <row r="33676" spans="8:8" x14ac:dyDescent="0.3">
      <c r="H33676" t="str">
        <f t="shared" si="575"/>
        <v/>
      </c>
    </row>
    <row r="33677" spans="8:8" x14ac:dyDescent="0.3">
      <c r="H33677" t="str">
        <f t="shared" si="575"/>
        <v/>
      </c>
    </row>
    <row r="33678" spans="8:8" x14ac:dyDescent="0.3">
      <c r="H33678" t="str">
        <f t="shared" si="575"/>
        <v/>
      </c>
    </row>
    <row r="33679" spans="8:8" x14ac:dyDescent="0.3">
      <c r="H33679" t="str">
        <f t="shared" si="575"/>
        <v/>
      </c>
    </row>
    <row r="33680" spans="8:8" x14ac:dyDescent="0.3">
      <c r="H33680" t="str">
        <f t="shared" si="575"/>
        <v/>
      </c>
    </row>
    <row r="33681" spans="8:8" x14ac:dyDescent="0.3">
      <c r="H33681" t="str">
        <f t="shared" si="575"/>
        <v/>
      </c>
    </row>
    <row r="33682" spans="8:8" x14ac:dyDescent="0.3">
      <c r="H33682" t="str">
        <f t="shared" si="575"/>
        <v/>
      </c>
    </row>
    <row r="33683" spans="8:8" x14ac:dyDescent="0.3">
      <c r="H33683" t="str">
        <f t="shared" si="575"/>
        <v/>
      </c>
    </row>
    <row r="33684" spans="8:8" x14ac:dyDescent="0.3">
      <c r="H33684" t="str">
        <f t="shared" si="575"/>
        <v/>
      </c>
    </row>
    <row r="33685" spans="8:8" x14ac:dyDescent="0.3">
      <c r="H33685" t="str">
        <f t="shared" si="575"/>
        <v/>
      </c>
    </row>
    <row r="33686" spans="8:8" x14ac:dyDescent="0.3">
      <c r="H33686" t="str">
        <f t="shared" si="575"/>
        <v/>
      </c>
    </row>
    <row r="33687" spans="8:8" x14ac:dyDescent="0.3">
      <c r="H33687" t="str">
        <f t="shared" ref="H33687:H33750" si="576">IF(B33687="","",$C$12)</f>
        <v/>
      </c>
    </row>
    <row r="33688" spans="8:8" x14ac:dyDescent="0.3">
      <c r="H33688" t="str">
        <f t="shared" si="576"/>
        <v/>
      </c>
    </row>
    <row r="33689" spans="8:8" x14ac:dyDescent="0.3">
      <c r="H33689" t="str">
        <f t="shared" si="576"/>
        <v/>
      </c>
    </row>
    <row r="33690" spans="8:8" x14ac:dyDescent="0.3">
      <c r="H33690" t="str">
        <f t="shared" si="576"/>
        <v/>
      </c>
    </row>
    <row r="33691" spans="8:8" x14ac:dyDescent="0.3">
      <c r="H33691" t="str">
        <f t="shared" si="576"/>
        <v/>
      </c>
    </row>
    <row r="33692" spans="8:8" x14ac:dyDescent="0.3">
      <c r="H33692" t="str">
        <f t="shared" si="576"/>
        <v/>
      </c>
    </row>
    <row r="33693" spans="8:8" x14ac:dyDescent="0.3">
      <c r="H33693" t="str">
        <f t="shared" si="576"/>
        <v/>
      </c>
    </row>
    <row r="33694" spans="8:8" x14ac:dyDescent="0.3">
      <c r="H33694" t="str">
        <f t="shared" si="576"/>
        <v/>
      </c>
    </row>
    <row r="33695" spans="8:8" x14ac:dyDescent="0.3">
      <c r="H33695" t="str">
        <f t="shared" si="576"/>
        <v/>
      </c>
    </row>
    <row r="33696" spans="8:8" x14ac:dyDescent="0.3">
      <c r="H33696" t="str">
        <f t="shared" si="576"/>
        <v/>
      </c>
    </row>
    <row r="33697" spans="8:8" x14ac:dyDescent="0.3">
      <c r="H33697" t="str">
        <f t="shared" si="576"/>
        <v/>
      </c>
    </row>
    <row r="33698" spans="8:8" x14ac:dyDescent="0.3">
      <c r="H33698" t="str">
        <f t="shared" si="576"/>
        <v/>
      </c>
    </row>
    <row r="33699" spans="8:8" x14ac:dyDescent="0.3">
      <c r="H33699" t="str">
        <f t="shared" si="576"/>
        <v/>
      </c>
    </row>
    <row r="33700" spans="8:8" x14ac:dyDescent="0.3">
      <c r="H33700" t="str">
        <f t="shared" si="576"/>
        <v/>
      </c>
    </row>
    <row r="33701" spans="8:8" x14ac:dyDescent="0.3">
      <c r="H33701" t="str">
        <f t="shared" si="576"/>
        <v/>
      </c>
    </row>
    <row r="33702" spans="8:8" x14ac:dyDescent="0.3">
      <c r="H33702" t="str">
        <f t="shared" si="576"/>
        <v/>
      </c>
    </row>
    <row r="33703" spans="8:8" x14ac:dyDescent="0.3">
      <c r="H33703" t="str">
        <f t="shared" si="576"/>
        <v/>
      </c>
    </row>
    <row r="33704" spans="8:8" x14ac:dyDescent="0.3">
      <c r="H33704" t="str">
        <f t="shared" si="576"/>
        <v/>
      </c>
    </row>
    <row r="33705" spans="8:8" x14ac:dyDescent="0.3">
      <c r="H33705" t="str">
        <f t="shared" si="576"/>
        <v/>
      </c>
    </row>
    <row r="33706" spans="8:8" x14ac:dyDescent="0.3">
      <c r="H33706" t="str">
        <f t="shared" si="576"/>
        <v/>
      </c>
    </row>
    <row r="33707" spans="8:8" x14ac:dyDescent="0.3">
      <c r="H33707" t="str">
        <f t="shared" si="576"/>
        <v/>
      </c>
    </row>
    <row r="33708" spans="8:8" x14ac:dyDescent="0.3">
      <c r="H33708" t="str">
        <f t="shared" si="576"/>
        <v/>
      </c>
    </row>
    <row r="33709" spans="8:8" x14ac:dyDescent="0.3">
      <c r="H33709" t="str">
        <f t="shared" si="576"/>
        <v/>
      </c>
    </row>
    <row r="33710" spans="8:8" x14ac:dyDescent="0.3">
      <c r="H33710" t="str">
        <f t="shared" si="576"/>
        <v/>
      </c>
    </row>
    <row r="33711" spans="8:8" x14ac:dyDescent="0.3">
      <c r="H33711" t="str">
        <f t="shared" si="576"/>
        <v/>
      </c>
    </row>
    <row r="33712" spans="8:8" x14ac:dyDescent="0.3">
      <c r="H33712" t="str">
        <f t="shared" si="576"/>
        <v/>
      </c>
    </row>
    <row r="33713" spans="8:8" x14ac:dyDescent="0.3">
      <c r="H33713" t="str">
        <f t="shared" si="576"/>
        <v/>
      </c>
    </row>
    <row r="33714" spans="8:8" x14ac:dyDescent="0.3">
      <c r="H33714" t="str">
        <f t="shared" si="576"/>
        <v/>
      </c>
    </row>
    <row r="33715" spans="8:8" x14ac:dyDescent="0.3">
      <c r="H33715" t="str">
        <f t="shared" si="576"/>
        <v/>
      </c>
    </row>
    <row r="33716" spans="8:8" x14ac:dyDescent="0.3">
      <c r="H33716" t="str">
        <f t="shared" si="576"/>
        <v/>
      </c>
    </row>
    <row r="33717" spans="8:8" x14ac:dyDescent="0.3">
      <c r="H33717" t="str">
        <f t="shared" si="576"/>
        <v/>
      </c>
    </row>
    <row r="33718" spans="8:8" x14ac:dyDescent="0.3">
      <c r="H33718" t="str">
        <f t="shared" si="576"/>
        <v/>
      </c>
    </row>
    <row r="33719" spans="8:8" x14ac:dyDescent="0.3">
      <c r="H33719" t="str">
        <f t="shared" si="576"/>
        <v/>
      </c>
    </row>
    <row r="33720" spans="8:8" x14ac:dyDescent="0.3">
      <c r="H33720" t="str">
        <f t="shared" si="576"/>
        <v/>
      </c>
    </row>
    <row r="33721" spans="8:8" x14ac:dyDescent="0.3">
      <c r="H33721" t="str">
        <f t="shared" si="576"/>
        <v/>
      </c>
    </row>
    <row r="33722" spans="8:8" x14ac:dyDescent="0.3">
      <c r="H33722" t="str">
        <f t="shared" si="576"/>
        <v/>
      </c>
    </row>
    <row r="33723" spans="8:8" x14ac:dyDescent="0.3">
      <c r="H33723" t="str">
        <f t="shared" si="576"/>
        <v/>
      </c>
    </row>
    <row r="33724" spans="8:8" x14ac:dyDescent="0.3">
      <c r="H33724" t="str">
        <f t="shared" si="576"/>
        <v/>
      </c>
    </row>
    <row r="33725" spans="8:8" x14ac:dyDescent="0.3">
      <c r="H33725" t="str">
        <f t="shared" si="576"/>
        <v/>
      </c>
    </row>
    <row r="33726" spans="8:8" x14ac:dyDescent="0.3">
      <c r="H33726" t="str">
        <f t="shared" si="576"/>
        <v/>
      </c>
    </row>
    <row r="33727" spans="8:8" x14ac:dyDescent="0.3">
      <c r="H33727" t="str">
        <f t="shared" si="576"/>
        <v/>
      </c>
    </row>
    <row r="33728" spans="8:8" x14ac:dyDescent="0.3">
      <c r="H33728" t="str">
        <f t="shared" si="576"/>
        <v/>
      </c>
    </row>
    <row r="33729" spans="8:8" x14ac:dyDescent="0.3">
      <c r="H33729" t="str">
        <f t="shared" si="576"/>
        <v/>
      </c>
    </row>
    <row r="33730" spans="8:8" x14ac:dyDescent="0.3">
      <c r="H33730" t="str">
        <f t="shared" si="576"/>
        <v/>
      </c>
    </row>
    <row r="33731" spans="8:8" x14ac:dyDescent="0.3">
      <c r="H33731" t="str">
        <f t="shared" si="576"/>
        <v/>
      </c>
    </row>
    <row r="33732" spans="8:8" x14ac:dyDescent="0.3">
      <c r="H33732" t="str">
        <f t="shared" si="576"/>
        <v/>
      </c>
    </row>
    <row r="33733" spans="8:8" x14ac:dyDescent="0.3">
      <c r="H33733" t="str">
        <f t="shared" si="576"/>
        <v/>
      </c>
    </row>
    <row r="33734" spans="8:8" x14ac:dyDescent="0.3">
      <c r="H33734" t="str">
        <f t="shared" si="576"/>
        <v/>
      </c>
    </row>
    <row r="33735" spans="8:8" x14ac:dyDescent="0.3">
      <c r="H33735" t="str">
        <f t="shared" si="576"/>
        <v/>
      </c>
    </row>
    <row r="33736" spans="8:8" x14ac:dyDescent="0.3">
      <c r="H33736" t="str">
        <f t="shared" si="576"/>
        <v/>
      </c>
    </row>
    <row r="33737" spans="8:8" x14ac:dyDescent="0.3">
      <c r="H33737" t="str">
        <f t="shared" si="576"/>
        <v/>
      </c>
    </row>
    <row r="33738" spans="8:8" x14ac:dyDescent="0.3">
      <c r="H33738" t="str">
        <f t="shared" si="576"/>
        <v/>
      </c>
    </row>
    <row r="33739" spans="8:8" x14ac:dyDescent="0.3">
      <c r="H33739" t="str">
        <f t="shared" si="576"/>
        <v/>
      </c>
    </row>
    <row r="33740" spans="8:8" x14ac:dyDescent="0.3">
      <c r="H33740" t="str">
        <f t="shared" si="576"/>
        <v/>
      </c>
    </row>
    <row r="33741" spans="8:8" x14ac:dyDescent="0.3">
      <c r="H33741" t="str">
        <f t="shared" si="576"/>
        <v/>
      </c>
    </row>
    <row r="33742" spans="8:8" x14ac:dyDescent="0.3">
      <c r="H33742" t="str">
        <f t="shared" si="576"/>
        <v/>
      </c>
    </row>
    <row r="33743" spans="8:8" x14ac:dyDescent="0.3">
      <c r="H33743" t="str">
        <f t="shared" si="576"/>
        <v/>
      </c>
    </row>
    <row r="33744" spans="8:8" x14ac:dyDescent="0.3">
      <c r="H33744" t="str">
        <f t="shared" si="576"/>
        <v/>
      </c>
    </row>
    <row r="33745" spans="8:8" x14ac:dyDescent="0.3">
      <c r="H33745" t="str">
        <f t="shared" si="576"/>
        <v/>
      </c>
    </row>
    <row r="33746" spans="8:8" x14ac:dyDescent="0.3">
      <c r="H33746" t="str">
        <f t="shared" si="576"/>
        <v/>
      </c>
    </row>
    <row r="33747" spans="8:8" x14ac:dyDescent="0.3">
      <c r="H33747" t="str">
        <f t="shared" si="576"/>
        <v/>
      </c>
    </row>
    <row r="33748" spans="8:8" x14ac:dyDescent="0.3">
      <c r="H33748" t="str">
        <f t="shared" si="576"/>
        <v/>
      </c>
    </row>
    <row r="33749" spans="8:8" x14ac:dyDescent="0.3">
      <c r="H33749" t="str">
        <f t="shared" si="576"/>
        <v/>
      </c>
    </row>
    <row r="33750" spans="8:8" x14ac:dyDescent="0.3">
      <c r="H33750" t="str">
        <f t="shared" si="576"/>
        <v/>
      </c>
    </row>
    <row r="33751" spans="8:8" x14ac:dyDescent="0.3">
      <c r="H33751" t="str">
        <f t="shared" ref="H33751:H33814" si="577">IF(B33751="","",$C$12)</f>
        <v/>
      </c>
    </row>
    <row r="33752" spans="8:8" x14ac:dyDescent="0.3">
      <c r="H33752" t="str">
        <f t="shared" si="577"/>
        <v/>
      </c>
    </row>
    <row r="33753" spans="8:8" x14ac:dyDescent="0.3">
      <c r="H33753" t="str">
        <f t="shared" si="577"/>
        <v/>
      </c>
    </row>
    <row r="33754" spans="8:8" x14ac:dyDescent="0.3">
      <c r="H33754" t="str">
        <f t="shared" si="577"/>
        <v/>
      </c>
    </row>
    <row r="33755" spans="8:8" x14ac:dyDescent="0.3">
      <c r="H33755" t="str">
        <f t="shared" si="577"/>
        <v/>
      </c>
    </row>
    <row r="33756" spans="8:8" x14ac:dyDescent="0.3">
      <c r="H33756" t="str">
        <f t="shared" si="577"/>
        <v/>
      </c>
    </row>
    <row r="33757" spans="8:8" x14ac:dyDescent="0.3">
      <c r="H33757" t="str">
        <f t="shared" si="577"/>
        <v/>
      </c>
    </row>
    <row r="33758" spans="8:8" x14ac:dyDescent="0.3">
      <c r="H33758" t="str">
        <f t="shared" si="577"/>
        <v/>
      </c>
    </row>
    <row r="33759" spans="8:8" x14ac:dyDescent="0.3">
      <c r="H33759" t="str">
        <f t="shared" si="577"/>
        <v/>
      </c>
    </row>
    <row r="33760" spans="8:8" x14ac:dyDescent="0.3">
      <c r="H33760" t="str">
        <f t="shared" si="577"/>
        <v/>
      </c>
    </row>
    <row r="33761" spans="8:8" x14ac:dyDescent="0.3">
      <c r="H33761" t="str">
        <f t="shared" si="577"/>
        <v/>
      </c>
    </row>
    <row r="33762" spans="8:8" x14ac:dyDescent="0.3">
      <c r="H33762" t="str">
        <f t="shared" si="577"/>
        <v/>
      </c>
    </row>
    <row r="33763" spans="8:8" x14ac:dyDescent="0.3">
      <c r="H33763" t="str">
        <f t="shared" si="577"/>
        <v/>
      </c>
    </row>
    <row r="33764" spans="8:8" x14ac:dyDescent="0.3">
      <c r="H33764" t="str">
        <f t="shared" si="577"/>
        <v/>
      </c>
    </row>
    <row r="33765" spans="8:8" x14ac:dyDescent="0.3">
      <c r="H33765" t="str">
        <f t="shared" si="577"/>
        <v/>
      </c>
    </row>
    <row r="33766" spans="8:8" x14ac:dyDescent="0.3">
      <c r="H33766" t="str">
        <f t="shared" si="577"/>
        <v/>
      </c>
    </row>
    <row r="33767" spans="8:8" x14ac:dyDescent="0.3">
      <c r="H33767" t="str">
        <f t="shared" si="577"/>
        <v/>
      </c>
    </row>
    <row r="33768" spans="8:8" x14ac:dyDescent="0.3">
      <c r="H33768" t="str">
        <f t="shared" si="577"/>
        <v/>
      </c>
    </row>
    <row r="33769" spans="8:8" x14ac:dyDescent="0.3">
      <c r="H33769" t="str">
        <f t="shared" si="577"/>
        <v/>
      </c>
    </row>
    <row r="33770" spans="8:8" x14ac:dyDescent="0.3">
      <c r="H33770" t="str">
        <f t="shared" si="577"/>
        <v/>
      </c>
    </row>
    <row r="33771" spans="8:8" x14ac:dyDescent="0.3">
      <c r="H33771" t="str">
        <f t="shared" si="577"/>
        <v/>
      </c>
    </row>
    <row r="33772" spans="8:8" x14ac:dyDescent="0.3">
      <c r="H33772" t="str">
        <f t="shared" si="577"/>
        <v/>
      </c>
    </row>
    <row r="33773" spans="8:8" x14ac:dyDescent="0.3">
      <c r="H33773" t="str">
        <f t="shared" si="577"/>
        <v/>
      </c>
    </row>
    <row r="33774" spans="8:8" x14ac:dyDescent="0.3">
      <c r="H33774" t="str">
        <f t="shared" si="577"/>
        <v/>
      </c>
    </row>
    <row r="33775" spans="8:8" x14ac:dyDescent="0.3">
      <c r="H33775" t="str">
        <f t="shared" si="577"/>
        <v/>
      </c>
    </row>
    <row r="33776" spans="8:8" x14ac:dyDescent="0.3">
      <c r="H33776" t="str">
        <f t="shared" si="577"/>
        <v/>
      </c>
    </row>
    <row r="33777" spans="8:8" x14ac:dyDescent="0.3">
      <c r="H33777" t="str">
        <f t="shared" si="577"/>
        <v/>
      </c>
    </row>
    <row r="33778" spans="8:8" x14ac:dyDescent="0.3">
      <c r="H33778" t="str">
        <f t="shared" si="577"/>
        <v/>
      </c>
    </row>
    <row r="33779" spans="8:8" x14ac:dyDescent="0.3">
      <c r="H33779" t="str">
        <f t="shared" si="577"/>
        <v/>
      </c>
    </row>
    <row r="33780" spans="8:8" x14ac:dyDescent="0.3">
      <c r="H33780" t="str">
        <f t="shared" si="577"/>
        <v/>
      </c>
    </row>
    <row r="33781" spans="8:8" x14ac:dyDescent="0.3">
      <c r="H33781" t="str">
        <f t="shared" si="577"/>
        <v/>
      </c>
    </row>
    <row r="33782" spans="8:8" x14ac:dyDescent="0.3">
      <c r="H33782" t="str">
        <f t="shared" si="577"/>
        <v/>
      </c>
    </row>
    <row r="33783" spans="8:8" x14ac:dyDescent="0.3">
      <c r="H33783" t="str">
        <f t="shared" si="577"/>
        <v/>
      </c>
    </row>
    <row r="33784" spans="8:8" x14ac:dyDescent="0.3">
      <c r="H33784" t="str">
        <f t="shared" si="577"/>
        <v/>
      </c>
    </row>
    <row r="33785" spans="8:8" x14ac:dyDescent="0.3">
      <c r="H33785" t="str">
        <f t="shared" si="577"/>
        <v/>
      </c>
    </row>
    <row r="33786" spans="8:8" x14ac:dyDescent="0.3">
      <c r="H33786" t="str">
        <f t="shared" si="577"/>
        <v/>
      </c>
    </row>
    <row r="33787" spans="8:8" x14ac:dyDescent="0.3">
      <c r="H33787" t="str">
        <f t="shared" si="577"/>
        <v/>
      </c>
    </row>
    <row r="33788" spans="8:8" x14ac:dyDescent="0.3">
      <c r="H33788" t="str">
        <f t="shared" si="577"/>
        <v/>
      </c>
    </row>
    <row r="33789" spans="8:8" x14ac:dyDescent="0.3">
      <c r="H33789" t="str">
        <f t="shared" si="577"/>
        <v/>
      </c>
    </row>
    <row r="33790" spans="8:8" x14ac:dyDescent="0.3">
      <c r="H33790" t="str">
        <f t="shared" si="577"/>
        <v/>
      </c>
    </row>
    <row r="33791" spans="8:8" x14ac:dyDescent="0.3">
      <c r="H33791" t="str">
        <f t="shared" si="577"/>
        <v/>
      </c>
    </row>
    <row r="33792" spans="8:8" x14ac:dyDescent="0.3">
      <c r="H33792" t="str">
        <f t="shared" si="577"/>
        <v/>
      </c>
    </row>
    <row r="33793" spans="8:8" x14ac:dyDescent="0.3">
      <c r="H33793" t="str">
        <f t="shared" si="577"/>
        <v/>
      </c>
    </row>
    <row r="33794" spans="8:8" x14ac:dyDescent="0.3">
      <c r="H33794" t="str">
        <f t="shared" si="577"/>
        <v/>
      </c>
    </row>
    <row r="33795" spans="8:8" x14ac:dyDescent="0.3">
      <c r="H33795" t="str">
        <f t="shared" si="577"/>
        <v/>
      </c>
    </row>
    <row r="33796" spans="8:8" x14ac:dyDescent="0.3">
      <c r="H33796" t="str">
        <f t="shared" si="577"/>
        <v/>
      </c>
    </row>
    <row r="33797" spans="8:8" x14ac:dyDescent="0.3">
      <c r="H33797" t="str">
        <f t="shared" si="577"/>
        <v/>
      </c>
    </row>
    <row r="33798" spans="8:8" x14ac:dyDescent="0.3">
      <c r="H33798" t="str">
        <f t="shared" si="577"/>
        <v/>
      </c>
    </row>
    <row r="33799" spans="8:8" x14ac:dyDescent="0.3">
      <c r="H33799" t="str">
        <f t="shared" si="577"/>
        <v/>
      </c>
    </row>
    <row r="33800" spans="8:8" x14ac:dyDescent="0.3">
      <c r="H33800" t="str">
        <f t="shared" si="577"/>
        <v/>
      </c>
    </row>
    <row r="33801" spans="8:8" x14ac:dyDescent="0.3">
      <c r="H33801" t="str">
        <f t="shared" si="577"/>
        <v/>
      </c>
    </row>
    <row r="33802" spans="8:8" x14ac:dyDescent="0.3">
      <c r="H33802" t="str">
        <f t="shared" si="577"/>
        <v/>
      </c>
    </row>
    <row r="33803" spans="8:8" x14ac:dyDescent="0.3">
      <c r="H33803" t="str">
        <f t="shared" si="577"/>
        <v/>
      </c>
    </row>
    <row r="33804" spans="8:8" x14ac:dyDescent="0.3">
      <c r="H33804" t="str">
        <f t="shared" si="577"/>
        <v/>
      </c>
    </row>
    <row r="33805" spans="8:8" x14ac:dyDescent="0.3">
      <c r="H33805" t="str">
        <f t="shared" si="577"/>
        <v/>
      </c>
    </row>
    <row r="33806" spans="8:8" x14ac:dyDescent="0.3">
      <c r="H33806" t="str">
        <f t="shared" si="577"/>
        <v/>
      </c>
    </row>
    <row r="33807" spans="8:8" x14ac:dyDescent="0.3">
      <c r="H33807" t="str">
        <f t="shared" si="577"/>
        <v/>
      </c>
    </row>
    <row r="33808" spans="8:8" x14ac:dyDescent="0.3">
      <c r="H33808" t="str">
        <f t="shared" si="577"/>
        <v/>
      </c>
    </row>
    <row r="33809" spans="8:8" x14ac:dyDescent="0.3">
      <c r="H33809" t="str">
        <f t="shared" si="577"/>
        <v/>
      </c>
    </row>
    <row r="33810" spans="8:8" x14ac:dyDescent="0.3">
      <c r="H33810" t="str">
        <f t="shared" si="577"/>
        <v/>
      </c>
    </row>
    <row r="33811" spans="8:8" x14ac:dyDescent="0.3">
      <c r="H33811" t="str">
        <f t="shared" si="577"/>
        <v/>
      </c>
    </row>
    <row r="33812" spans="8:8" x14ac:dyDescent="0.3">
      <c r="H33812" t="str">
        <f t="shared" si="577"/>
        <v/>
      </c>
    </row>
    <row r="33813" spans="8:8" x14ac:dyDescent="0.3">
      <c r="H33813" t="str">
        <f t="shared" si="577"/>
        <v/>
      </c>
    </row>
    <row r="33814" spans="8:8" x14ac:dyDescent="0.3">
      <c r="H33814" t="str">
        <f t="shared" si="577"/>
        <v/>
      </c>
    </row>
    <row r="33815" spans="8:8" x14ac:dyDescent="0.3">
      <c r="H33815" t="str">
        <f t="shared" ref="H33815:H33878" si="578">IF(B33815="","",$C$12)</f>
        <v/>
      </c>
    </row>
    <row r="33816" spans="8:8" x14ac:dyDescent="0.3">
      <c r="H33816" t="str">
        <f t="shared" si="578"/>
        <v/>
      </c>
    </row>
    <row r="33817" spans="8:8" x14ac:dyDescent="0.3">
      <c r="H33817" t="str">
        <f t="shared" si="578"/>
        <v/>
      </c>
    </row>
    <row r="33818" spans="8:8" x14ac:dyDescent="0.3">
      <c r="H33818" t="str">
        <f t="shared" si="578"/>
        <v/>
      </c>
    </row>
    <row r="33819" spans="8:8" x14ac:dyDescent="0.3">
      <c r="H33819" t="str">
        <f t="shared" si="578"/>
        <v/>
      </c>
    </row>
    <row r="33820" spans="8:8" x14ac:dyDescent="0.3">
      <c r="H33820" t="str">
        <f t="shared" si="578"/>
        <v/>
      </c>
    </row>
    <row r="33821" spans="8:8" x14ac:dyDescent="0.3">
      <c r="H33821" t="str">
        <f t="shared" si="578"/>
        <v/>
      </c>
    </row>
    <row r="33822" spans="8:8" x14ac:dyDescent="0.3">
      <c r="H33822" t="str">
        <f t="shared" si="578"/>
        <v/>
      </c>
    </row>
    <row r="33823" spans="8:8" x14ac:dyDescent="0.3">
      <c r="H33823" t="str">
        <f t="shared" si="578"/>
        <v/>
      </c>
    </row>
    <row r="33824" spans="8:8" x14ac:dyDescent="0.3">
      <c r="H33824" t="str">
        <f t="shared" si="578"/>
        <v/>
      </c>
    </row>
    <row r="33825" spans="8:8" x14ac:dyDescent="0.3">
      <c r="H33825" t="str">
        <f t="shared" si="578"/>
        <v/>
      </c>
    </row>
    <row r="33826" spans="8:8" x14ac:dyDescent="0.3">
      <c r="H33826" t="str">
        <f t="shared" si="578"/>
        <v/>
      </c>
    </row>
    <row r="33827" spans="8:8" x14ac:dyDescent="0.3">
      <c r="H33827" t="str">
        <f t="shared" si="578"/>
        <v/>
      </c>
    </row>
    <row r="33828" spans="8:8" x14ac:dyDescent="0.3">
      <c r="H33828" t="str">
        <f t="shared" si="578"/>
        <v/>
      </c>
    </row>
    <row r="33829" spans="8:8" x14ac:dyDescent="0.3">
      <c r="H33829" t="str">
        <f t="shared" si="578"/>
        <v/>
      </c>
    </row>
    <row r="33830" spans="8:8" x14ac:dyDescent="0.3">
      <c r="H33830" t="str">
        <f t="shared" si="578"/>
        <v/>
      </c>
    </row>
    <row r="33831" spans="8:8" x14ac:dyDescent="0.3">
      <c r="H33831" t="str">
        <f t="shared" si="578"/>
        <v/>
      </c>
    </row>
    <row r="33832" spans="8:8" x14ac:dyDescent="0.3">
      <c r="H33832" t="str">
        <f t="shared" si="578"/>
        <v/>
      </c>
    </row>
    <row r="33833" spans="8:8" x14ac:dyDescent="0.3">
      <c r="H33833" t="str">
        <f t="shared" si="578"/>
        <v/>
      </c>
    </row>
    <row r="33834" spans="8:8" x14ac:dyDescent="0.3">
      <c r="H33834" t="str">
        <f t="shared" si="578"/>
        <v/>
      </c>
    </row>
    <row r="33835" spans="8:8" x14ac:dyDescent="0.3">
      <c r="H33835" t="str">
        <f t="shared" si="578"/>
        <v/>
      </c>
    </row>
    <row r="33836" spans="8:8" x14ac:dyDescent="0.3">
      <c r="H33836" t="str">
        <f t="shared" si="578"/>
        <v/>
      </c>
    </row>
    <row r="33837" spans="8:8" x14ac:dyDescent="0.3">
      <c r="H33837" t="str">
        <f t="shared" si="578"/>
        <v/>
      </c>
    </row>
    <row r="33838" spans="8:8" x14ac:dyDescent="0.3">
      <c r="H33838" t="str">
        <f t="shared" si="578"/>
        <v/>
      </c>
    </row>
    <row r="33839" spans="8:8" x14ac:dyDescent="0.3">
      <c r="H33839" t="str">
        <f t="shared" si="578"/>
        <v/>
      </c>
    </row>
    <row r="33840" spans="8:8" x14ac:dyDescent="0.3">
      <c r="H33840" t="str">
        <f t="shared" si="578"/>
        <v/>
      </c>
    </row>
    <row r="33841" spans="8:8" x14ac:dyDescent="0.3">
      <c r="H33841" t="str">
        <f t="shared" si="578"/>
        <v/>
      </c>
    </row>
    <row r="33842" spans="8:8" x14ac:dyDescent="0.3">
      <c r="H33842" t="str">
        <f t="shared" si="578"/>
        <v/>
      </c>
    </row>
    <row r="33843" spans="8:8" x14ac:dyDescent="0.3">
      <c r="H33843" t="str">
        <f t="shared" si="578"/>
        <v/>
      </c>
    </row>
    <row r="33844" spans="8:8" x14ac:dyDescent="0.3">
      <c r="H33844" t="str">
        <f t="shared" si="578"/>
        <v/>
      </c>
    </row>
    <row r="33845" spans="8:8" x14ac:dyDescent="0.3">
      <c r="H33845" t="str">
        <f t="shared" si="578"/>
        <v/>
      </c>
    </row>
    <row r="33846" spans="8:8" x14ac:dyDescent="0.3">
      <c r="H33846" t="str">
        <f t="shared" si="578"/>
        <v/>
      </c>
    </row>
    <row r="33847" spans="8:8" x14ac:dyDescent="0.3">
      <c r="H33847" t="str">
        <f t="shared" si="578"/>
        <v/>
      </c>
    </row>
    <row r="33848" spans="8:8" x14ac:dyDescent="0.3">
      <c r="H33848" t="str">
        <f t="shared" si="578"/>
        <v/>
      </c>
    </row>
    <row r="33849" spans="8:8" x14ac:dyDescent="0.3">
      <c r="H33849" t="str">
        <f t="shared" si="578"/>
        <v/>
      </c>
    </row>
    <row r="33850" spans="8:8" x14ac:dyDescent="0.3">
      <c r="H33850" t="str">
        <f t="shared" si="578"/>
        <v/>
      </c>
    </row>
    <row r="33851" spans="8:8" x14ac:dyDescent="0.3">
      <c r="H33851" t="str">
        <f t="shared" si="578"/>
        <v/>
      </c>
    </row>
    <row r="33852" spans="8:8" x14ac:dyDescent="0.3">
      <c r="H33852" t="str">
        <f t="shared" si="578"/>
        <v/>
      </c>
    </row>
    <row r="33853" spans="8:8" x14ac:dyDescent="0.3">
      <c r="H33853" t="str">
        <f t="shared" si="578"/>
        <v/>
      </c>
    </row>
    <row r="33854" spans="8:8" x14ac:dyDescent="0.3">
      <c r="H33854" t="str">
        <f t="shared" si="578"/>
        <v/>
      </c>
    </row>
    <row r="33855" spans="8:8" x14ac:dyDescent="0.3">
      <c r="H33855" t="str">
        <f t="shared" si="578"/>
        <v/>
      </c>
    </row>
    <row r="33856" spans="8:8" x14ac:dyDescent="0.3">
      <c r="H33856" t="str">
        <f t="shared" si="578"/>
        <v/>
      </c>
    </row>
    <row r="33857" spans="8:8" x14ac:dyDescent="0.3">
      <c r="H33857" t="str">
        <f t="shared" si="578"/>
        <v/>
      </c>
    </row>
    <row r="33858" spans="8:8" x14ac:dyDescent="0.3">
      <c r="H33858" t="str">
        <f t="shared" si="578"/>
        <v/>
      </c>
    </row>
    <row r="33859" spans="8:8" x14ac:dyDescent="0.3">
      <c r="H33859" t="str">
        <f t="shared" si="578"/>
        <v/>
      </c>
    </row>
    <row r="33860" spans="8:8" x14ac:dyDescent="0.3">
      <c r="H33860" t="str">
        <f t="shared" si="578"/>
        <v/>
      </c>
    </row>
    <row r="33861" spans="8:8" x14ac:dyDescent="0.3">
      <c r="H33861" t="str">
        <f t="shared" si="578"/>
        <v/>
      </c>
    </row>
    <row r="33862" spans="8:8" x14ac:dyDescent="0.3">
      <c r="H33862" t="str">
        <f t="shared" si="578"/>
        <v/>
      </c>
    </row>
    <row r="33863" spans="8:8" x14ac:dyDescent="0.3">
      <c r="H33863" t="str">
        <f t="shared" si="578"/>
        <v/>
      </c>
    </row>
    <row r="33864" spans="8:8" x14ac:dyDescent="0.3">
      <c r="H33864" t="str">
        <f t="shared" si="578"/>
        <v/>
      </c>
    </row>
    <row r="33865" spans="8:8" x14ac:dyDescent="0.3">
      <c r="H33865" t="str">
        <f t="shared" si="578"/>
        <v/>
      </c>
    </row>
    <row r="33866" spans="8:8" x14ac:dyDescent="0.3">
      <c r="H33866" t="str">
        <f t="shared" si="578"/>
        <v/>
      </c>
    </row>
    <row r="33867" spans="8:8" x14ac:dyDescent="0.3">
      <c r="H33867" t="str">
        <f t="shared" si="578"/>
        <v/>
      </c>
    </row>
    <row r="33868" spans="8:8" x14ac:dyDescent="0.3">
      <c r="H33868" t="str">
        <f t="shared" si="578"/>
        <v/>
      </c>
    </row>
    <row r="33869" spans="8:8" x14ac:dyDescent="0.3">
      <c r="H33869" t="str">
        <f t="shared" si="578"/>
        <v/>
      </c>
    </row>
    <row r="33870" spans="8:8" x14ac:dyDescent="0.3">
      <c r="H33870" t="str">
        <f t="shared" si="578"/>
        <v/>
      </c>
    </row>
    <row r="33871" spans="8:8" x14ac:dyDescent="0.3">
      <c r="H33871" t="str">
        <f t="shared" si="578"/>
        <v/>
      </c>
    </row>
    <row r="33872" spans="8:8" x14ac:dyDescent="0.3">
      <c r="H33872" t="str">
        <f t="shared" si="578"/>
        <v/>
      </c>
    </row>
    <row r="33873" spans="8:8" x14ac:dyDescent="0.3">
      <c r="H33873" t="str">
        <f t="shared" si="578"/>
        <v/>
      </c>
    </row>
    <row r="33874" spans="8:8" x14ac:dyDescent="0.3">
      <c r="H33874" t="str">
        <f t="shared" si="578"/>
        <v/>
      </c>
    </row>
    <row r="33875" spans="8:8" x14ac:dyDescent="0.3">
      <c r="H33875" t="str">
        <f t="shared" si="578"/>
        <v/>
      </c>
    </row>
    <row r="33876" spans="8:8" x14ac:dyDescent="0.3">
      <c r="H33876" t="str">
        <f t="shared" si="578"/>
        <v/>
      </c>
    </row>
    <row r="33877" spans="8:8" x14ac:dyDescent="0.3">
      <c r="H33877" t="str">
        <f t="shared" si="578"/>
        <v/>
      </c>
    </row>
    <row r="33878" spans="8:8" x14ac:dyDescent="0.3">
      <c r="H33878" t="str">
        <f t="shared" si="578"/>
        <v/>
      </c>
    </row>
    <row r="33879" spans="8:8" x14ac:dyDescent="0.3">
      <c r="H33879" t="str">
        <f t="shared" ref="H33879:H33942" si="579">IF(B33879="","",$C$12)</f>
        <v/>
      </c>
    </row>
    <row r="33880" spans="8:8" x14ac:dyDescent="0.3">
      <c r="H33880" t="str">
        <f t="shared" si="579"/>
        <v/>
      </c>
    </row>
    <row r="33881" spans="8:8" x14ac:dyDescent="0.3">
      <c r="H33881" t="str">
        <f t="shared" si="579"/>
        <v/>
      </c>
    </row>
    <row r="33882" spans="8:8" x14ac:dyDescent="0.3">
      <c r="H33882" t="str">
        <f t="shared" si="579"/>
        <v/>
      </c>
    </row>
    <row r="33883" spans="8:8" x14ac:dyDescent="0.3">
      <c r="H33883" t="str">
        <f t="shared" si="579"/>
        <v/>
      </c>
    </row>
    <row r="33884" spans="8:8" x14ac:dyDescent="0.3">
      <c r="H33884" t="str">
        <f t="shared" si="579"/>
        <v/>
      </c>
    </row>
    <row r="33885" spans="8:8" x14ac:dyDescent="0.3">
      <c r="H33885" t="str">
        <f t="shared" si="579"/>
        <v/>
      </c>
    </row>
    <row r="33886" spans="8:8" x14ac:dyDescent="0.3">
      <c r="H33886" t="str">
        <f t="shared" si="579"/>
        <v/>
      </c>
    </row>
    <row r="33887" spans="8:8" x14ac:dyDescent="0.3">
      <c r="H33887" t="str">
        <f t="shared" si="579"/>
        <v/>
      </c>
    </row>
    <row r="33888" spans="8:8" x14ac:dyDescent="0.3">
      <c r="H33888" t="str">
        <f t="shared" si="579"/>
        <v/>
      </c>
    </row>
    <row r="33889" spans="8:8" x14ac:dyDescent="0.3">
      <c r="H33889" t="str">
        <f t="shared" si="579"/>
        <v/>
      </c>
    </row>
    <row r="33890" spans="8:8" x14ac:dyDescent="0.3">
      <c r="H33890" t="str">
        <f t="shared" si="579"/>
        <v/>
      </c>
    </row>
    <row r="33891" spans="8:8" x14ac:dyDescent="0.3">
      <c r="H33891" t="str">
        <f t="shared" si="579"/>
        <v/>
      </c>
    </row>
    <row r="33892" spans="8:8" x14ac:dyDescent="0.3">
      <c r="H33892" t="str">
        <f t="shared" si="579"/>
        <v/>
      </c>
    </row>
    <row r="33893" spans="8:8" x14ac:dyDescent="0.3">
      <c r="H33893" t="str">
        <f t="shared" si="579"/>
        <v/>
      </c>
    </row>
    <row r="33894" spans="8:8" x14ac:dyDescent="0.3">
      <c r="H33894" t="str">
        <f t="shared" si="579"/>
        <v/>
      </c>
    </row>
    <row r="33895" spans="8:8" x14ac:dyDescent="0.3">
      <c r="H33895" t="str">
        <f t="shared" si="579"/>
        <v/>
      </c>
    </row>
    <row r="33896" spans="8:8" x14ac:dyDescent="0.3">
      <c r="H33896" t="str">
        <f t="shared" si="579"/>
        <v/>
      </c>
    </row>
    <row r="33897" spans="8:8" x14ac:dyDescent="0.3">
      <c r="H33897" t="str">
        <f t="shared" si="579"/>
        <v/>
      </c>
    </row>
    <row r="33898" spans="8:8" x14ac:dyDescent="0.3">
      <c r="H33898" t="str">
        <f t="shared" si="579"/>
        <v/>
      </c>
    </row>
    <row r="33899" spans="8:8" x14ac:dyDescent="0.3">
      <c r="H33899" t="str">
        <f t="shared" si="579"/>
        <v/>
      </c>
    </row>
    <row r="33900" spans="8:8" x14ac:dyDescent="0.3">
      <c r="H33900" t="str">
        <f t="shared" si="579"/>
        <v/>
      </c>
    </row>
    <row r="33901" spans="8:8" x14ac:dyDescent="0.3">
      <c r="H33901" t="str">
        <f t="shared" si="579"/>
        <v/>
      </c>
    </row>
    <row r="33902" spans="8:8" x14ac:dyDescent="0.3">
      <c r="H33902" t="str">
        <f t="shared" si="579"/>
        <v/>
      </c>
    </row>
    <row r="33903" spans="8:8" x14ac:dyDescent="0.3">
      <c r="H33903" t="str">
        <f t="shared" si="579"/>
        <v/>
      </c>
    </row>
    <row r="33904" spans="8:8" x14ac:dyDescent="0.3">
      <c r="H33904" t="str">
        <f t="shared" si="579"/>
        <v/>
      </c>
    </row>
    <row r="33905" spans="8:8" x14ac:dyDescent="0.3">
      <c r="H33905" t="str">
        <f t="shared" si="579"/>
        <v/>
      </c>
    </row>
    <row r="33906" spans="8:8" x14ac:dyDescent="0.3">
      <c r="H33906" t="str">
        <f t="shared" si="579"/>
        <v/>
      </c>
    </row>
    <row r="33907" spans="8:8" x14ac:dyDescent="0.3">
      <c r="H33907" t="str">
        <f t="shared" si="579"/>
        <v/>
      </c>
    </row>
    <row r="33908" spans="8:8" x14ac:dyDescent="0.3">
      <c r="H33908" t="str">
        <f t="shared" si="579"/>
        <v/>
      </c>
    </row>
    <row r="33909" spans="8:8" x14ac:dyDescent="0.3">
      <c r="H33909" t="str">
        <f t="shared" si="579"/>
        <v/>
      </c>
    </row>
    <row r="33910" spans="8:8" x14ac:dyDescent="0.3">
      <c r="H33910" t="str">
        <f t="shared" si="579"/>
        <v/>
      </c>
    </row>
    <row r="33911" spans="8:8" x14ac:dyDescent="0.3">
      <c r="H33911" t="str">
        <f t="shared" si="579"/>
        <v/>
      </c>
    </row>
    <row r="33912" spans="8:8" x14ac:dyDescent="0.3">
      <c r="H33912" t="str">
        <f t="shared" si="579"/>
        <v/>
      </c>
    </row>
    <row r="33913" spans="8:8" x14ac:dyDescent="0.3">
      <c r="H33913" t="str">
        <f t="shared" si="579"/>
        <v/>
      </c>
    </row>
    <row r="33914" spans="8:8" x14ac:dyDescent="0.3">
      <c r="H33914" t="str">
        <f t="shared" si="579"/>
        <v/>
      </c>
    </row>
    <row r="33915" spans="8:8" x14ac:dyDescent="0.3">
      <c r="H33915" t="str">
        <f t="shared" si="579"/>
        <v/>
      </c>
    </row>
    <row r="33916" spans="8:8" x14ac:dyDescent="0.3">
      <c r="H33916" t="str">
        <f t="shared" si="579"/>
        <v/>
      </c>
    </row>
    <row r="33917" spans="8:8" x14ac:dyDescent="0.3">
      <c r="H33917" t="str">
        <f t="shared" si="579"/>
        <v/>
      </c>
    </row>
    <row r="33918" spans="8:8" x14ac:dyDescent="0.3">
      <c r="H33918" t="str">
        <f t="shared" si="579"/>
        <v/>
      </c>
    </row>
    <row r="33919" spans="8:8" x14ac:dyDescent="0.3">
      <c r="H33919" t="str">
        <f t="shared" si="579"/>
        <v/>
      </c>
    </row>
    <row r="33920" spans="8:8" x14ac:dyDescent="0.3">
      <c r="H33920" t="str">
        <f t="shared" si="579"/>
        <v/>
      </c>
    </row>
    <row r="33921" spans="8:8" x14ac:dyDescent="0.3">
      <c r="H33921" t="str">
        <f t="shared" si="579"/>
        <v/>
      </c>
    </row>
    <row r="33922" spans="8:8" x14ac:dyDescent="0.3">
      <c r="H33922" t="str">
        <f t="shared" si="579"/>
        <v/>
      </c>
    </row>
    <row r="33923" spans="8:8" x14ac:dyDescent="0.3">
      <c r="H33923" t="str">
        <f t="shared" si="579"/>
        <v/>
      </c>
    </row>
    <row r="33924" spans="8:8" x14ac:dyDescent="0.3">
      <c r="H33924" t="str">
        <f t="shared" si="579"/>
        <v/>
      </c>
    </row>
    <row r="33925" spans="8:8" x14ac:dyDescent="0.3">
      <c r="H33925" t="str">
        <f t="shared" si="579"/>
        <v/>
      </c>
    </row>
    <row r="33926" spans="8:8" x14ac:dyDescent="0.3">
      <c r="H33926" t="str">
        <f t="shared" si="579"/>
        <v/>
      </c>
    </row>
    <row r="33927" spans="8:8" x14ac:dyDescent="0.3">
      <c r="H33927" t="str">
        <f t="shared" si="579"/>
        <v/>
      </c>
    </row>
    <row r="33928" spans="8:8" x14ac:dyDescent="0.3">
      <c r="H33928" t="str">
        <f t="shared" si="579"/>
        <v/>
      </c>
    </row>
    <row r="33929" spans="8:8" x14ac:dyDescent="0.3">
      <c r="H33929" t="str">
        <f t="shared" si="579"/>
        <v/>
      </c>
    </row>
    <row r="33930" spans="8:8" x14ac:dyDescent="0.3">
      <c r="H33930" t="str">
        <f t="shared" si="579"/>
        <v/>
      </c>
    </row>
    <row r="33931" spans="8:8" x14ac:dyDescent="0.3">
      <c r="H33931" t="str">
        <f t="shared" si="579"/>
        <v/>
      </c>
    </row>
    <row r="33932" spans="8:8" x14ac:dyDescent="0.3">
      <c r="H33932" t="str">
        <f t="shared" si="579"/>
        <v/>
      </c>
    </row>
    <row r="33933" spans="8:8" x14ac:dyDescent="0.3">
      <c r="H33933" t="str">
        <f t="shared" si="579"/>
        <v/>
      </c>
    </row>
    <row r="33934" spans="8:8" x14ac:dyDescent="0.3">
      <c r="H33934" t="str">
        <f t="shared" si="579"/>
        <v/>
      </c>
    </row>
    <row r="33935" spans="8:8" x14ac:dyDescent="0.3">
      <c r="H33935" t="str">
        <f t="shared" si="579"/>
        <v/>
      </c>
    </row>
    <row r="33936" spans="8:8" x14ac:dyDescent="0.3">
      <c r="H33936" t="str">
        <f t="shared" si="579"/>
        <v/>
      </c>
    </row>
    <row r="33937" spans="8:8" x14ac:dyDescent="0.3">
      <c r="H33937" t="str">
        <f t="shared" si="579"/>
        <v/>
      </c>
    </row>
    <row r="33938" spans="8:8" x14ac:dyDescent="0.3">
      <c r="H33938" t="str">
        <f t="shared" si="579"/>
        <v/>
      </c>
    </row>
    <row r="33939" spans="8:8" x14ac:dyDescent="0.3">
      <c r="H33939" t="str">
        <f t="shared" si="579"/>
        <v/>
      </c>
    </row>
    <row r="33940" spans="8:8" x14ac:dyDescent="0.3">
      <c r="H33940" t="str">
        <f t="shared" si="579"/>
        <v/>
      </c>
    </row>
    <row r="33941" spans="8:8" x14ac:dyDescent="0.3">
      <c r="H33941" t="str">
        <f t="shared" si="579"/>
        <v/>
      </c>
    </row>
    <row r="33942" spans="8:8" x14ac:dyDescent="0.3">
      <c r="H33942" t="str">
        <f t="shared" si="579"/>
        <v/>
      </c>
    </row>
    <row r="33943" spans="8:8" x14ac:dyDescent="0.3">
      <c r="H33943" t="str">
        <f t="shared" ref="H33943:H34006" si="580">IF(B33943="","",$C$12)</f>
        <v/>
      </c>
    </row>
    <row r="33944" spans="8:8" x14ac:dyDescent="0.3">
      <c r="H33944" t="str">
        <f t="shared" si="580"/>
        <v/>
      </c>
    </row>
    <row r="33945" spans="8:8" x14ac:dyDescent="0.3">
      <c r="H33945" t="str">
        <f t="shared" si="580"/>
        <v/>
      </c>
    </row>
    <row r="33946" spans="8:8" x14ac:dyDescent="0.3">
      <c r="H33946" t="str">
        <f t="shared" si="580"/>
        <v/>
      </c>
    </row>
    <row r="33947" spans="8:8" x14ac:dyDescent="0.3">
      <c r="H33947" t="str">
        <f t="shared" si="580"/>
        <v/>
      </c>
    </row>
    <row r="33948" spans="8:8" x14ac:dyDescent="0.3">
      <c r="H33948" t="str">
        <f t="shared" si="580"/>
        <v/>
      </c>
    </row>
    <row r="33949" spans="8:8" x14ac:dyDescent="0.3">
      <c r="H33949" t="str">
        <f t="shared" si="580"/>
        <v/>
      </c>
    </row>
    <row r="33950" spans="8:8" x14ac:dyDescent="0.3">
      <c r="H33950" t="str">
        <f t="shared" si="580"/>
        <v/>
      </c>
    </row>
    <row r="33951" spans="8:8" x14ac:dyDescent="0.3">
      <c r="H33951" t="str">
        <f t="shared" si="580"/>
        <v/>
      </c>
    </row>
    <row r="33952" spans="8:8" x14ac:dyDescent="0.3">
      <c r="H33952" t="str">
        <f t="shared" si="580"/>
        <v/>
      </c>
    </row>
    <row r="33953" spans="8:8" x14ac:dyDescent="0.3">
      <c r="H33953" t="str">
        <f t="shared" si="580"/>
        <v/>
      </c>
    </row>
    <row r="33954" spans="8:8" x14ac:dyDescent="0.3">
      <c r="H33954" t="str">
        <f t="shared" si="580"/>
        <v/>
      </c>
    </row>
    <row r="33955" spans="8:8" x14ac:dyDescent="0.3">
      <c r="H33955" t="str">
        <f t="shared" si="580"/>
        <v/>
      </c>
    </row>
    <row r="33956" spans="8:8" x14ac:dyDescent="0.3">
      <c r="H33956" t="str">
        <f t="shared" si="580"/>
        <v/>
      </c>
    </row>
    <row r="33957" spans="8:8" x14ac:dyDescent="0.3">
      <c r="H33957" t="str">
        <f t="shared" si="580"/>
        <v/>
      </c>
    </row>
    <row r="33958" spans="8:8" x14ac:dyDescent="0.3">
      <c r="H33958" t="str">
        <f t="shared" si="580"/>
        <v/>
      </c>
    </row>
    <row r="33959" spans="8:8" x14ac:dyDescent="0.3">
      <c r="H33959" t="str">
        <f t="shared" si="580"/>
        <v/>
      </c>
    </row>
    <row r="33960" spans="8:8" x14ac:dyDescent="0.3">
      <c r="H33960" t="str">
        <f t="shared" si="580"/>
        <v/>
      </c>
    </row>
    <row r="33961" spans="8:8" x14ac:dyDescent="0.3">
      <c r="H33961" t="str">
        <f t="shared" si="580"/>
        <v/>
      </c>
    </row>
    <row r="33962" spans="8:8" x14ac:dyDescent="0.3">
      <c r="H33962" t="str">
        <f t="shared" si="580"/>
        <v/>
      </c>
    </row>
    <row r="33963" spans="8:8" x14ac:dyDescent="0.3">
      <c r="H33963" t="str">
        <f t="shared" si="580"/>
        <v/>
      </c>
    </row>
    <row r="33964" spans="8:8" x14ac:dyDescent="0.3">
      <c r="H33964" t="str">
        <f t="shared" si="580"/>
        <v/>
      </c>
    </row>
    <row r="33965" spans="8:8" x14ac:dyDescent="0.3">
      <c r="H33965" t="str">
        <f t="shared" si="580"/>
        <v/>
      </c>
    </row>
    <row r="33966" spans="8:8" x14ac:dyDescent="0.3">
      <c r="H33966" t="str">
        <f t="shared" si="580"/>
        <v/>
      </c>
    </row>
    <row r="33967" spans="8:8" x14ac:dyDescent="0.3">
      <c r="H33967" t="str">
        <f t="shared" si="580"/>
        <v/>
      </c>
    </row>
    <row r="33968" spans="8:8" x14ac:dyDescent="0.3">
      <c r="H33968" t="str">
        <f t="shared" si="580"/>
        <v/>
      </c>
    </row>
    <row r="33969" spans="8:8" x14ac:dyDescent="0.3">
      <c r="H33969" t="str">
        <f t="shared" si="580"/>
        <v/>
      </c>
    </row>
    <row r="33970" spans="8:8" x14ac:dyDescent="0.3">
      <c r="H33970" t="str">
        <f t="shared" si="580"/>
        <v/>
      </c>
    </row>
    <row r="33971" spans="8:8" x14ac:dyDescent="0.3">
      <c r="H33971" t="str">
        <f t="shared" si="580"/>
        <v/>
      </c>
    </row>
    <row r="33972" spans="8:8" x14ac:dyDescent="0.3">
      <c r="H33972" t="str">
        <f t="shared" si="580"/>
        <v/>
      </c>
    </row>
    <row r="33973" spans="8:8" x14ac:dyDescent="0.3">
      <c r="H33973" t="str">
        <f t="shared" si="580"/>
        <v/>
      </c>
    </row>
    <row r="33974" spans="8:8" x14ac:dyDescent="0.3">
      <c r="H33974" t="str">
        <f t="shared" si="580"/>
        <v/>
      </c>
    </row>
    <row r="33975" spans="8:8" x14ac:dyDescent="0.3">
      <c r="H33975" t="str">
        <f t="shared" si="580"/>
        <v/>
      </c>
    </row>
    <row r="33976" spans="8:8" x14ac:dyDescent="0.3">
      <c r="H33976" t="str">
        <f t="shared" si="580"/>
        <v/>
      </c>
    </row>
    <row r="33977" spans="8:8" x14ac:dyDescent="0.3">
      <c r="H33977" t="str">
        <f t="shared" si="580"/>
        <v/>
      </c>
    </row>
    <row r="33978" spans="8:8" x14ac:dyDescent="0.3">
      <c r="H33978" t="str">
        <f t="shared" si="580"/>
        <v/>
      </c>
    </row>
    <row r="33979" spans="8:8" x14ac:dyDescent="0.3">
      <c r="H33979" t="str">
        <f t="shared" si="580"/>
        <v/>
      </c>
    </row>
    <row r="33980" spans="8:8" x14ac:dyDescent="0.3">
      <c r="H33980" t="str">
        <f t="shared" si="580"/>
        <v/>
      </c>
    </row>
    <row r="33981" spans="8:8" x14ac:dyDescent="0.3">
      <c r="H33981" t="str">
        <f t="shared" si="580"/>
        <v/>
      </c>
    </row>
    <row r="33982" spans="8:8" x14ac:dyDescent="0.3">
      <c r="H33982" t="str">
        <f t="shared" si="580"/>
        <v/>
      </c>
    </row>
    <row r="33983" spans="8:8" x14ac:dyDescent="0.3">
      <c r="H33983" t="str">
        <f t="shared" si="580"/>
        <v/>
      </c>
    </row>
    <row r="33984" spans="8:8" x14ac:dyDescent="0.3">
      <c r="H33984" t="str">
        <f t="shared" si="580"/>
        <v/>
      </c>
    </row>
    <row r="33985" spans="8:8" x14ac:dyDescent="0.3">
      <c r="H33985" t="str">
        <f t="shared" si="580"/>
        <v/>
      </c>
    </row>
    <row r="33986" spans="8:8" x14ac:dyDescent="0.3">
      <c r="H33986" t="str">
        <f t="shared" si="580"/>
        <v/>
      </c>
    </row>
    <row r="33987" spans="8:8" x14ac:dyDescent="0.3">
      <c r="H33987" t="str">
        <f t="shared" si="580"/>
        <v/>
      </c>
    </row>
    <row r="33988" spans="8:8" x14ac:dyDescent="0.3">
      <c r="H33988" t="str">
        <f t="shared" si="580"/>
        <v/>
      </c>
    </row>
    <row r="33989" spans="8:8" x14ac:dyDescent="0.3">
      <c r="H33989" t="str">
        <f t="shared" si="580"/>
        <v/>
      </c>
    </row>
    <row r="33990" spans="8:8" x14ac:dyDescent="0.3">
      <c r="H33990" t="str">
        <f t="shared" si="580"/>
        <v/>
      </c>
    </row>
    <row r="33991" spans="8:8" x14ac:dyDescent="0.3">
      <c r="H33991" t="str">
        <f t="shared" si="580"/>
        <v/>
      </c>
    </row>
    <row r="33992" spans="8:8" x14ac:dyDescent="0.3">
      <c r="H33992" t="str">
        <f t="shared" si="580"/>
        <v/>
      </c>
    </row>
    <row r="33993" spans="8:8" x14ac:dyDescent="0.3">
      <c r="H33993" t="str">
        <f t="shared" si="580"/>
        <v/>
      </c>
    </row>
    <row r="33994" spans="8:8" x14ac:dyDescent="0.3">
      <c r="H33994" t="str">
        <f t="shared" si="580"/>
        <v/>
      </c>
    </row>
    <row r="33995" spans="8:8" x14ac:dyDescent="0.3">
      <c r="H33995" t="str">
        <f t="shared" si="580"/>
        <v/>
      </c>
    </row>
    <row r="33996" spans="8:8" x14ac:dyDescent="0.3">
      <c r="H33996" t="str">
        <f t="shared" si="580"/>
        <v/>
      </c>
    </row>
    <row r="33997" spans="8:8" x14ac:dyDescent="0.3">
      <c r="H33997" t="str">
        <f t="shared" si="580"/>
        <v/>
      </c>
    </row>
    <row r="33998" spans="8:8" x14ac:dyDescent="0.3">
      <c r="H33998" t="str">
        <f t="shared" si="580"/>
        <v/>
      </c>
    </row>
    <row r="33999" spans="8:8" x14ac:dyDescent="0.3">
      <c r="H33999" t="str">
        <f t="shared" si="580"/>
        <v/>
      </c>
    </row>
    <row r="34000" spans="8:8" x14ac:dyDescent="0.3">
      <c r="H34000" t="str">
        <f t="shared" si="580"/>
        <v/>
      </c>
    </row>
    <row r="34001" spans="8:8" x14ac:dyDescent="0.3">
      <c r="H34001" t="str">
        <f t="shared" si="580"/>
        <v/>
      </c>
    </row>
    <row r="34002" spans="8:8" x14ac:dyDescent="0.3">
      <c r="H34002" t="str">
        <f t="shared" si="580"/>
        <v/>
      </c>
    </row>
    <row r="34003" spans="8:8" x14ac:dyDescent="0.3">
      <c r="H34003" t="str">
        <f t="shared" si="580"/>
        <v/>
      </c>
    </row>
    <row r="34004" spans="8:8" x14ac:dyDescent="0.3">
      <c r="H34004" t="str">
        <f t="shared" si="580"/>
        <v/>
      </c>
    </row>
    <row r="34005" spans="8:8" x14ac:dyDescent="0.3">
      <c r="H34005" t="str">
        <f t="shared" si="580"/>
        <v/>
      </c>
    </row>
    <row r="34006" spans="8:8" x14ac:dyDescent="0.3">
      <c r="H34006" t="str">
        <f t="shared" si="580"/>
        <v/>
      </c>
    </row>
    <row r="34007" spans="8:8" x14ac:dyDescent="0.3">
      <c r="H34007" t="str">
        <f t="shared" ref="H34007:H34070" si="581">IF(B34007="","",$C$12)</f>
        <v/>
      </c>
    </row>
    <row r="34008" spans="8:8" x14ac:dyDescent="0.3">
      <c r="H34008" t="str">
        <f t="shared" si="581"/>
        <v/>
      </c>
    </row>
    <row r="34009" spans="8:8" x14ac:dyDescent="0.3">
      <c r="H34009" t="str">
        <f t="shared" si="581"/>
        <v/>
      </c>
    </row>
    <row r="34010" spans="8:8" x14ac:dyDescent="0.3">
      <c r="H34010" t="str">
        <f t="shared" si="581"/>
        <v/>
      </c>
    </row>
    <row r="34011" spans="8:8" x14ac:dyDescent="0.3">
      <c r="H34011" t="str">
        <f t="shared" si="581"/>
        <v/>
      </c>
    </row>
    <row r="34012" spans="8:8" x14ac:dyDescent="0.3">
      <c r="H34012" t="str">
        <f t="shared" si="581"/>
        <v/>
      </c>
    </row>
    <row r="34013" spans="8:8" x14ac:dyDescent="0.3">
      <c r="H34013" t="str">
        <f t="shared" si="581"/>
        <v/>
      </c>
    </row>
    <row r="34014" spans="8:8" x14ac:dyDescent="0.3">
      <c r="H34014" t="str">
        <f t="shared" si="581"/>
        <v/>
      </c>
    </row>
    <row r="34015" spans="8:8" x14ac:dyDescent="0.3">
      <c r="H34015" t="str">
        <f t="shared" si="581"/>
        <v/>
      </c>
    </row>
    <row r="34016" spans="8:8" x14ac:dyDescent="0.3">
      <c r="H34016" t="str">
        <f t="shared" si="581"/>
        <v/>
      </c>
    </row>
    <row r="34017" spans="8:8" x14ac:dyDescent="0.3">
      <c r="H34017" t="str">
        <f t="shared" si="581"/>
        <v/>
      </c>
    </row>
    <row r="34018" spans="8:8" x14ac:dyDescent="0.3">
      <c r="H34018" t="str">
        <f t="shared" si="581"/>
        <v/>
      </c>
    </row>
    <row r="34019" spans="8:8" x14ac:dyDescent="0.3">
      <c r="H34019" t="str">
        <f t="shared" si="581"/>
        <v/>
      </c>
    </row>
    <row r="34020" spans="8:8" x14ac:dyDescent="0.3">
      <c r="H34020" t="str">
        <f t="shared" si="581"/>
        <v/>
      </c>
    </row>
    <row r="34021" spans="8:8" x14ac:dyDescent="0.3">
      <c r="H34021" t="str">
        <f t="shared" si="581"/>
        <v/>
      </c>
    </row>
    <row r="34022" spans="8:8" x14ac:dyDescent="0.3">
      <c r="H34022" t="str">
        <f t="shared" si="581"/>
        <v/>
      </c>
    </row>
    <row r="34023" spans="8:8" x14ac:dyDescent="0.3">
      <c r="H34023" t="str">
        <f t="shared" si="581"/>
        <v/>
      </c>
    </row>
    <row r="34024" spans="8:8" x14ac:dyDescent="0.3">
      <c r="H34024" t="str">
        <f t="shared" si="581"/>
        <v/>
      </c>
    </row>
    <row r="34025" spans="8:8" x14ac:dyDescent="0.3">
      <c r="H34025" t="str">
        <f t="shared" si="581"/>
        <v/>
      </c>
    </row>
    <row r="34026" spans="8:8" x14ac:dyDescent="0.3">
      <c r="H34026" t="str">
        <f t="shared" si="581"/>
        <v/>
      </c>
    </row>
    <row r="34027" spans="8:8" x14ac:dyDescent="0.3">
      <c r="H34027" t="str">
        <f t="shared" si="581"/>
        <v/>
      </c>
    </row>
    <row r="34028" spans="8:8" x14ac:dyDescent="0.3">
      <c r="H34028" t="str">
        <f t="shared" si="581"/>
        <v/>
      </c>
    </row>
    <row r="34029" spans="8:8" x14ac:dyDescent="0.3">
      <c r="H34029" t="str">
        <f t="shared" si="581"/>
        <v/>
      </c>
    </row>
    <row r="34030" spans="8:8" x14ac:dyDescent="0.3">
      <c r="H34030" t="str">
        <f t="shared" si="581"/>
        <v/>
      </c>
    </row>
    <row r="34031" spans="8:8" x14ac:dyDescent="0.3">
      <c r="H34031" t="str">
        <f t="shared" si="581"/>
        <v/>
      </c>
    </row>
    <row r="34032" spans="8:8" x14ac:dyDescent="0.3">
      <c r="H34032" t="str">
        <f t="shared" si="581"/>
        <v/>
      </c>
    </row>
    <row r="34033" spans="8:8" x14ac:dyDescent="0.3">
      <c r="H34033" t="str">
        <f t="shared" si="581"/>
        <v/>
      </c>
    </row>
    <row r="34034" spans="8:8" x14ac:dyDescent="0.3">
      <c r="H34034" t="str">
        <f t="shared" si="581"/>
        <v/>
      </c>
    </row>
    <row r="34035" spans="8:8" x14ac:dyDescent="0.3">
      <c r="H34035" t="str">
        <f t="shared" si="581"/>
        <v/>
      </c>
    </row>
    <row r="34036" spans="8:8" x14ac:dyDescent="0.3">
      <c r="H34036" t="str">
        <f t="shared" si="581"/>
        <v/>
      </c>
    </row>
    <row r="34037" spans="8:8" x14ac:dyDescent="0.3">
      <c r="H34037" t="str">
        <f t="shared" si="581"/>
        <v/>
      </c>
    </row>
    <row r="34038" spans="8:8" x14ac:dyDescent="0.3">
      <c r="H34038" t="str">
        <f t="shared" si="581"/>
        <v/>
      </c>
    </row>
    <row r="34039" spans="8:8" x14ac:dyDescent="0.3">
      <c r="H34039" t="str">
        <f t="shared" si="581"/>
        <v/>
      </c>
    </row>
    <row r="34040" spans="8:8" x14ac:dyDescent="0.3">
      <c r="H34040" t="str">
        <f t="shared" si="581"/>
        <v/>
      </c>
    </row>
    <row r="34041" spans="8:8" x14ac:dyDescent="0.3">
      <c r="H34041" t="str">
        <f t="shared" si="581"/>
        <v/>
      </c>
    </row>
    <row r="34042" spans="8:8" x14ac:dyDescent="0.3">
      <c r="H34042" t="str">
        <f t="shared" si="581"/>
        <v/>
      </c>
    </row>
    <row r="34043" spans="8:8" x14ac:dyDescent="0.3">
      <c r="H34043" t="str">
        <f t="shared" si="581"/>
        <v/>
      </c>
    </row>
    <row r="34044" spans="8:8" x14ac:dyDescent="0.3">
      <c r="H34044" t="str">
        <f t="shared" si="581"/>
        <v/>
      </c>
    </row>
    <row r="34045" spans="8:8" x14ac:dyDescent="0.3">
      <c r="H34045" t="str">
        <f t="shared" si="581"/>
        <v/>
      </c>
    </row>
    <row r="34046" spans="8:8" x14ac:dyDescent="0.3">
      <c r="H34046" t="str">
        <f t="shared" si="581"/>
        <v/>
      </c>
    </row>
    <row r="34047" spans="8:8" x14ac:dyDescent="0.3">
      <c r="H34047" t="str">
        <f t="shared" si="581"/>
        <v/>
      </c>
    </row>
    <row r="34048" spans="8:8" x14ac:dyDescent="0.3">
      <c r="H34048" t="str">
        <f t="shared" si="581"/>
        <v/>
      </c>
    </row>
    <row r="34049" spans="8:8" x14ac:dyDescent="0.3">
      <c r="H34049" t="str">
        <f t="shared" si="581"/>
        <v/>
      </c>
    </row>
    <row r="34050" spans="8:8" x14ac:dyDescent="0.3">
      <c r="H34050" t="str">
        <f t="shared" si="581"/>
        <v/>
      </c>
    </row>
    <row r="34051" spans="8:8" x14ac:dyDescent="0.3">
      <c r="H34051" t="str">
        <f t="shared" si="581"/>
        <v/>
      </c>
    </row>
    <row r="34052" spans="8:8" x14ac:dyDescent="0.3">
      <c r="H34052" t="str">
        <f t="shared" si="581"/>
        <v/>
      </c>
    </row>
    <row r="34053" spans="8:8" x14ac:dyDescent="0.3">
      <c r="H34053" t="str">
        <f t="shared" si="581"/>
        <v/>
      </c>
    </row>
    <row r="34054" spans="8:8" x14ac:dyDescent="0.3">
      <c r="H34054" t="str">
        <f t="shared" si="581"/>
        <v/>
      </c>
    </row>
    <row r="34055" spans="8:8" x14ac:dyDescent="0.3">
      <c r="H34055" t="str">
        <f t="shared" si="581"/>
        <v/>
      </c>
    </row>
    <row r="34056" spans="8:8" x14ac:dyDescent="0.3">
      <c r="H34056" t="str">
        <f t="shared" si="581"/>
        <v/>
      </c>
    </row>
    <row r="34057" spans="8:8" x14ac:dyDescent="0.3">
      <c r="H34057" t="str">
        <f t="shared" si="581"/>
        <v/>
      </c>
    </row>
    <row r="34058" spans="8:8" x14ac:dyDescent="0.3">
      <c r="H34058" t="str">
        <f t="shared" si="581"/>
        <v/>
      </c>
    </row>
    <row r="34059" spans="8:8" x14ac:dyDescent="0.3">
      <c r="H34059" t="str">
        <f t="shared" si="581"/>
        <v/>
      </c>
    </row>
    <row r="34060" spans="8:8" x14ac:dyDescent="0.3">
      <c r="H34060" t="str">
        <f t="shared" si="581"/>
        <v/>
      </c>
    </row>
    <row r="34061" spans="8:8" x14ac:dyDescent="0.3">
      <c r="H34061" t="str">
        <f t="shared" si="581"/>
        <v/>
      </c>
    </row>
    <row r="34062" spans="8:8" x14ac:dyDescent="0.3">
      <c r="H34062" t="str">
        <f t="shared" si="581"/>
        <v/>
      </c>
    </row>
    <row r="34063" spans="8:8" x14ac:dyDescent="0.3">
      <c r="H34063" t="str">
        <f t="shared" si="581"/>
        <v/>
      </c>
    </row>
    <row r="34064" spans="8:8" x14ac:dyDescent="0.3">
      <c r="H34064" t="str">
        <f t="shared" si="581"/>
        <v/>
      </c>
    </row>
    <row r="34065" spans="8:8" x14ac:dyDescent="0.3">
      <c r="H34065" t="str">
        <f t="shared" si="581"/>
        <v/>
      </c>
    </row>
    <row r="34066" spans="8:8" x14ac:dyDescent="0.3">
      <c r="H34066" t="str">
        <f t="shared" si="581"/>
        <v/>
      </c>
    </row>
    <row r="34067" spans="8:8" x14ac:dyDescent="0.3">
      <c r="H34067" t="str">
        <f t="shared" si="581"/>
        <v/>
      </c>
    </row>
    <row r="34068" spans="8:8" x14ac:dyDescent="0.3">
      <c r="H34068" t="str">
        <f t="shared" si="581"/>
        <v/>
      </c>
    </row>
    <row r="34069" spans="8:8" x14ac:dyDescent="0.3">
      <c r="H34069" t="str">
        <f t="shared" si="581"/>
        <v/>
      </c>
    </row>
    <row r="34070" spans="8:8" x14ac:dyDescent="0.3">
      <c r="H34070" t="str">
        <f t="shared" si="581"/>
        <v/>
      </c>
    </row>
    <row r="34071" spans="8:8" x14ac:dyDescent="0.3">
      <c r="H34071" t="str">
        <f t="shared" ref="H34071:H34134" si="582">IF(B34071="","",$C$12)</f>
        <v/>
      </c>
    </row>
    <row r="34072" spans="8:8" x14ac:dyDescent="0.3">
      <c r="H34072" t="str">
        <f t="shared" si="582"/>
        <v/>
      </c>
    </row>
    <row r="34073" spans="8:8" x14ac:dyDescent="0.3">
      <c r="H34073" t="str">
        <f t="shared" si="582"/>
        <v/>
      </c>
    </row>
    <row r="34074" spans="8:8" x14ac:dyDescent="0.3">
      <c r="H34074" t="str">
        <f t="shared" si="582"/>
        <v/>
      </c>
    </row>
    <row r="34075" spans="8:8" x14ac:dyDescent="0.3">
      <c r="H34075" t="str">
        <f t="shared" si="582"/>
        <v/>
      </c>
    </row>
    <row r="34076" spans="8:8" x14ac:dyDescent="0.3">
      <c r="H34076" t="str">
        <f t="shared" si="582"/>
        <v/>
      </c>
    </row>
    <row r="34077" spans="8:8" x14ac:dyDescent="0.3">
      <c r="H34077" t="str">
        <f t="shared" si="582"/>
        <v/>
      </c>
    </row>
    <row r="34078" spans="8:8" x14ac:dyDescent="0.3">
      <c r="H34078" t="str">
        <f t="shared" si="582"/>
        <v/>
      </c>
    </row>
    <row r="34079" spans="8:8" x14ac:dyDescent="0.3">
      <c r="H34079" t="str">
        <f t="shared" si="582"/>
        <v/>
      </c>
    </row>
    <row r="34080" spans="8:8" x14ac:dyDescent="0.3">
      <c r="H34080" t="str">
        <f t="shared" si="582"/>
        <v/>
      </c>
    </row>
    <row r="34081" spans="8:8" x14ac:dyDescent="0.3">
      <c r="H34081" t="str">
        <f t="shared" si="582"/>
        <v/>
      </c>
    </row>
    <row r="34082" spans="8:8" x14ac:dyDescent="0.3">
      <c r="H34082" t="str">
        <f t="shared" si="582"/>
        <v/>
      </c>
    </row>
    <row r="34083" spans="8:8" x14ac:dyDescent="0.3">
      <c r="H34083" t="str">
        <f t="shared" si="582"/>
        <v/>
      </c>
    </row>
    <row r="34084" spans="8:8" x14ac:dyDescent="0.3">
      <c r="H34084" t="str">
        <f t="shared" si="582"/>
        <v/>
      </c>
    </row>
    <row r="34085" spans="8:8" x14ac:dyDescent="0.3">
      <c r="H34085" t="str">
        <f t="shared" si="582"/>
        <v/>
      </c>
    </row>
    <row r="34086" spans="8:8" x14ac:dyDescent="0.3">
      <c r="H34086" t="str">
        <f t="shared" si="582"/>
        <v/>
      </c>
    </row>
    <row r="34087" spans="8:8" x14ac:dyDescent="0.3">
      <c r="H34087" t="str">
        <f t="shared" si="582"/>
        <v/>
      </c>
    </row>
    <row r="34088" spans="8:8" x14ac:dyDescent="0.3">
      <c r="H34088" t="str">
        <f t="shared" si="582"/>
        <v/>
      </c>
    </row>
    <row r="34089" spans="8:8" x14ac:dyDescent="0.3">
      <c r="H34089" t="str">
        <f t="shared" si="582"/>
        <v/>
      </c>
    </row>
    <row r="34090" spans="8:8" x14ac:dyDescent="0.3">
      <c r="H34090" t="str">
        <f t="shared" si="582"/>
        <v/>
      </c>
    </row>
    <row r="34091" spans="8:8" x14ac:dyDescent="0.3">
      <c r="H34091" t="str">
        <f t="shared" si="582"/>
        <v/>
      </c>
    </row>
    <row r="34092" spans="8:8" x14ac:dyDescent="0.3">
      <c r="H34092" t="str">
        <f t="shared" si="582"/>
        <v/>
      </c>
    </row>
    <row r="34093" spans="8:8" x14ac:dyDescent="0.3">
      <c r="H34093" t="str">
        <f t="shared" si="582"/>
        <v/>
      </c>
    </row>
    <row r="34094" spans="8:8" x14ac:dyDescent="0.3">
      <c r="H34094" t="str">
        <f t="shared" si="582"/>
        <v/>
      </c>
    </row>
    <row r="34095" spans="8:8" x14ac:dyDescent="0.3">
      <c r="H34095" t="str">
        <f t="shared" si="582"/>
        <v/>
      </c>
    </row>
    <row r="34096" spans="8:8" x14ac:dyDescent="0.3">
      <c r="H34096" t="str">
        <f t="shared" si="582"/>
        <v/>
      </c>
    </row>
    <row r="34097" spans="8:8" x14ac:dyDescent="0.3">
      <c r="H34097" t="str">
        <f t="shared" si="582"/>
        <v/>
      </c>
    </row>
    <row r="34098" spans="8:8" x14ac:dyDescent="0.3">
      <c r="H34098" t="str">
        <f t="shared" si="582"/>
        <v/>
      </c>
    </row>
    <row r="34099" spans="8:8" x14ac:dyDescent="0.3">
      <c r="H34099" t="str">
        <f t="shared" si="582"/>
        <v/>
      </c>
    </row>
    <row r="34100" spans="8:8" x14ac:dyDescent="0.3">
      <c r="H34100" t="str">
        <f t="shared" si="582"/>
        <v/>
      </c>
    </row>
    <row r="34101" spans="8:8" x14ac:dyDescent="0.3">
      <c r="H34101" t="str">
        <f t="shared" si="582"/>
        <v/>
      </c>
    </row>
    <row r="34102" spans="8:8" x14ac:dyDescent="0.3">
      <c r="H34102" t="str">
        <f t="shared" si="582"/>
        <v/>
      </c>
    </row>
    <row r="34103" spans="8:8" x14ac:dyDescent="0.3">
      <c r="H34103" t="str">
        <f t="shared" si="582"/>
        <v/>
      </c>
    </row>
    <row r="34104" spans="8:8" x14ac:dyDescent="0.3">
      <c r="H34104" t="str">
        <f t="shared" si="582"/>
        <v/>
      </c>
    </row>
    <row r="34105" spans="8:8" x14ac:dyDescent="0.3">
      <c r="H34105" t="str">
        <f t="shared" si="582"/>
        <v/>
      </c>
    </row>
    <row r="34106" spans="8:8" x14ac:dyDescent="0.3">
      <c r="H34106" t="str">
        <f t="shared" si="582"/>
        <v/>
      </c>
    </row>
    <row r="34107" spans="8:8" x14ac:dyDescent="0.3">
      <c r="H34107" t="str">
        <f t="shared" si="582"/>
        <v/>
      </c>
    </row>
    <row r="34108" spans="8:8" x14ac:dyDescent="0.3">
      <c r="H34108" t="str">
        <f t="shared" si="582"/>
        <v/>
      </c>
    </row>
    <row r="34109" spans="8:8" x14ac:dyDescent="0.3">
      <c r="H34109" t="str">
        <f t="shared" si="582"/>
        <v/>
      </c>
    </row>
    <row r="34110" spans="8:8" x14ac:dyDescent="0.3">
      <c r="H34110" t="str">
        <f t="shared" si="582"/>
        <v/>
      </c>
    </row>
    <row r="34111" spans="8:8" x14ac:dyDescent="0.3">
      <c r="H34111" t="str">
        <f t="shared" si="582"/>
        <v/>
      </c>
    </row>
    <row r="34112" spans="8:8" x14ac:dyDescent="0.3">
      <c r="H34112" t="str">
        <f t="shared" si="582"/>
        <v/>
      </c>
    </row>
    <row r="34113" spans="8:8" x14ac:dyDescent="0.3">
      <c r="H34113" t="str">
        <f t="shared" si="582"/>
        <v/>
      </c>
    </row>
    <row r="34114" spans="8:8" x14ac:dyDescent="0.3">
      <c r="H34114" t="str">
        <f t="shared" si="582"/>
        <v/>
      </c>
    </row>
    <row r="34115" spans="8:8" x14ac:dyDescent="0.3">
      <c r="H34115" t="str">
        <f t="shared" si="582"/>
        <v/>
      </c>
    </row>
    <row r="34116" spans="8:8" x14ac:dyDescent="0.3">
      <c r="H34116" t="str">
        <f t="shared" si="582"/>
        <v/>
      </c>
    </row>
    <row r="34117" spans="8:8" x14ac:dyDescent="0.3">
      <c r="H34117" t="str">
        <f t="shared" si="582"/>
        <v/>
      </c>
    </row>
    <row r="34118" spans="8:8" x14ac:dyDescent="0.3">
      <c r="H34118" t="str">
        <f t="shared" si="582"/>
        <v/>
      </c>
    </row>
    <row r="34119" spans="8:8" x14ac:dyDescent="0.3">
      <c r="H34119" t="str">
        <f t="shared" si="582"/>
        <v/>
      </c>
    </row>
    <row r="34120" spans="8:8" x14ac:dyDescent="0.3">
      <c r="H34120" t="str">
        <f t="shared" si="582"/>
        <v/>
      </c>
    </row>
    <row r="34121" spans="8:8" x14ac:dyDescent="0.3">
      <c r="H34121" t="str">
        <f t="shared" si="582"/>
        <v/>
      </c>
    </row>
    <row r="34122" spans="8:8" x14ac:dyDescent="0.3">
      <c r="H34122" t="str">
        <f t="shared" si="582"/>
        <v/>
      </c>
    </row>
    <row r="34123" spans="8:8" x14ac:dyDescent="0.3">
      <c r="H34123" t="str">
        <f t="shared" si="582"/>
        <v/>
      </c>
    </row>
    <row r="34124" spans="8:8" x14ac:dyDescent="0.3">
      <c r="H34124" t="str">
        <f t="shared" si="582"/>
        <v/>
      </c>
    </row>
    <row r="34125" spans="8:8" x14ac:dyDescent="0.3">
      <c r="H34125" t="str">
        <f t="shared" si="582"/>
        <v/>
      </c>
    </row>
    <row r="34126" spans="8:8" x14ac:dyDescent="0.3">
      <c r="H34126" t="str">
        <f t="shared" si="582"/>
        <v/>
      </c>
    </row>
    <row r="34127" spans="8:8" x14ac:dyDescent="0.3">
      <c r="H34127" t="str">
        <f t="shared" si="582"/>
        <v/>
      </c>
    </row>
    <row r="34128" spans="8:8" x14ac:dyDescent="0.3">
      <c r="H34128" t="str">
        <f t="shared" si="582"/>
        <v/>
      </c>
    </row>
    <row r="34129" spans="8:8" x14ac:dyDescent="0.3">
      <c r="H34129" t="str">
        <f t="shared" si="582"/>
        <v/>
      </c>
    </row>
    <row r="34130" spans="8:8" x14ac:dyDescent="0.3">
      <c r="H34130" t="str">
        <f t="shared" si="582"/>
        <v/>
      </c>
    </row>
    <row r="34131" spans="8:8" x14ac:dyDescent="0.3">
      <c r="H34131" t="str">
        <f t="shared" si="582"/>
        <v/>
      </c>
    </row>
    <row r="34132" spans="8:8" x14ac:dyDescent="0.3">
      <c r="H34132" t="str">
        <f t="shared" si="582"/>
        <v/>
      </c>
    </row>
    <row r="34133" spans="8:8" x14ac:dyDescent="0.3">
      <c r="H34133" t="str">
        <f t="shared" si="582"/>
        <v/>
      </c>
    </row>
    <row r="34134" spans="8:8" x14ac:dyDescent="0.3">
      <c r="H34134" t="str">
        <f t="shared" si="582"/>
        <v/>
      </c>
    </row>
    <row r="34135" spans="8:8" x14ac:dyDescent="0.3">
      <c r="H34135" t="str">
        <f t="shared" ref="H34135:H34198" si="583">IF(B34135="","",$C$12)</f>
        <v/>
      </c>
    </row>
    <row r="34136" spans="8:8" x14ac:dyDescent="0.3">
      <c r="H34136" t="str">
        <f t="shared" si="583"/>
        <v/>
      </c>
    </row>
    <row r="34137" spans="8:8" x14ac:dyDescent="0.3">
      <c r="H34137" t="str">
        <f t="shared" si="583"/>
        <v/>
      </c>
    </row>
    <row r="34138" spans="8:8" x14ac:dyDescent="0.3">
      <c r="H34138" t="str">
        <f t="shared" si="583"/>
        <v/>
      </c>
    </row>
    <row r="34139" spans="8:8" x14ac:dyDescent="0.3">
      <c r="H34139" t="str">
        <f t="shared" si="583"/>
        <v/>
      </c>
    </row>
    <row r="34140" spans="8:8" x14ac:dyDescent="0.3">
      <c r="H34140" t="str">
        <f t="shared" si="583"/>
        <v/>
      </c>
    </row>
    <row r="34141" spans="8:8" x14ac:dyDescent="0.3">
      <c r="H34141" t="str">
        <f t="shared" si="583"/>
        <v/>
      </c>
    </row>
    <row r="34142" spans="8:8" x14ac:dyDescent="0.3">
      <c r="H34142" t="str">
        <f t="shared" si="583"/>
        <v/>
      </c>
    </row>
    <row r="34143" spans="8:8" x14ac:dyDescent="0.3">
      <c r="H34143" t="str">
        <f t="shared" si="583"/>
        <v/>
      </c>
    </row>
    <row r="34144" spans="8:8" x14ac:dyDescent="0.3">
      <c r="H34144" t="str">
        <f t="shared" si="583"/>
        <v/>
      </c>
    </row>
    <row r="34145" spans="8:8" x14ac:dyDescent="0.3">
      <c r="H34145" t="str">
        <f t="shared" si="583"/>
        <v/>
      </c>
    </row>
    <row r="34146" spans="8:8" x14ac:dyDescent="0.3">
      <c r="H34146" t="str">
        <f t="shared" si="583"/>
        <v/>
      </c>
    </row>
    <row r="34147" spans="8:8" x14ac:dyDescent="0.3">
      <c r="H34147" t="str">
        <f t="shared" si="583"/>
        <v/>
      </c>
    </row>
    <row r="34148" spans="8:8" x14ac:dyDescent="0.3">
      <c r="H34148" t="str">
        <f t="shared" si="583"/>
        <v/>
      </c>
    </row>
    <row r="34149" spans="8:8" x14ac:dyDescent="0.3">
      <c r="H34149" t="str">
        <f t="shared" si="583"/>
        <v/>
      </c>
    </row>
    <row r="34150" spans="8:8" x14ac:dyDescent="0.3">
      <c r="H34150" t="str">
        <f t="shared" si="583"/>
        <v/>
      </c>
    </row>
    <row r="34151" spans="8:8" x14ac:dyDescent="0.3">
      <c r="H34151" t="str">
        <f t="shared" si="583"/>
        <v/>
      </c>
    </row>
    <row r="34152" spans="8:8" x14ac:dyDescent="0.3">
      <c r="H34152" t="str">
        <f t="shared" si="583"/>
        <v/>
      </c>
    </row>
    <row r="34153" spans="8:8" x14ac:dyDescent="0.3">
      <c r="H34153" t="str">
        <f t="shared" si="583"/>
        <v/>
      </c>
    </row>
    <row r="34154" spans="8:8" x14ac:dyDescent="0.3">
      <c r="H34154" t="str">
        <f t="shared" si="583"/>
        <v/>
      </c>
    </row>
    <row r="34155" spans="8:8" x14ac:dyDescent="0.3">
      <c r="H34155" t="str">
        <f t="shared" si="583"/>
        <v/>
      </c>
    </row>
    <row r="34156" spans="8:8" x14ac:dyDescent="0.3">
      <c r="H34156" t="str">
        <f t="shared" si="583"/>
        <v/>
      </c>
    </row>
    <row r="34157" spans="8:8" x14ac:dyDescent="0.3">
      <c r="H34157" t="str">
        <f t="shared" si="583"/>
        <v/>
      </c>
    </row>
    <row r="34158" spans="8:8" x14ac:dyDescent="0.3">
      <c r="H34158" t="str">
        <f t="shared" si="583"/>
        <v/>
      </c>
    </row>
    <row r="34159" spans="8:8" x14ac:dyDescent="0.3">
      <c r="H34159" t="str">
        <f t="shared" si="583"/>
        <v/>
      </c>
    </row>
    <row r="34160" spans="8:8" x14ac:dyDescent="0.3">
      <c r="H34160" t="str">
        <f t="shared" si="583"/>
        <v/>
      </c>
    </row>
    <row r="34161" spans="8:8" x14ac:dyDescent="0.3">
      <c r="H34161" t="str">
        <f t="shared" si="583"/>
        <v/>
      </c>
    </row>
    <row r="34162" spans="8:8" x14ac:dyDescent="0.3">
      <c r="H34162" t="str">
        <f t="shared" si="583"/>
        <v/>
      </c>
    </row>
    <row r="34163" spans="8:8" x14ac:dyDescent="0.3">
      <c r="H34163" t="str">
        <f t="shared" si="583"/>
        <v/>
      </c>
    </row>
    <row r="34164" spans="8:8" x14ac:dyDescent="0.3">
      <c r="H34164" t="str">
        <f t="shared" si="583"/>
        <v/>
      </c>
    </row>
    <row r="34165" spans="8:8" x14ac:dyDescent="0.3">
      <c r="H34165" t="str">
        <f t="shared" si="583"/>
        <v/>
      </c>
    </row>
    <row r="34166" spans="8:8" x14ac:dyDescent="0.3">
      <c r="H34166" t="str">
        <f t="shared" si="583"/>
        <v/>
      </c>
    </row>
    <row r="34167" spans="8:8" x14ac:dyDescent="0.3">
      <c r="H34167" t="str">
        <f t="shared" si="583"/>
        <v/>
      </c>
    </row>
    <row r="34168" spans="8:8" x14ac:dyDescent="0.3">
      <c r="H34168" t="str">
        <f t="shared" si="583"/>
        <v/>
      </c>
    </row>
    <row r="34169" spans="8:8" x14ac:dyDescent="0.3">
      <c r="H34169" t="str">
        <f t="shared" si="583"/>
        <v/>
      </c>
    </row>
    <row r="34170" spans="8:8" x14ac:dyDescent="0.3">
      <c r="H34170" t="str">
        <f t="shared" si="583"/>
        <v/>
      </c>
    </row>
    <row r="34171" spans="8:8" x14ac:dyDescent="0.3">
      <c r="H34171" t="str">
        <f t="shared" si="583"/>
        <v/>
      </c>
    </row>
    <row r="34172" spans="8:8" x14ac:dyDescent="0.3">
      <c r="H34172" t="str">
        <f t="shared" si="583"/>
        <v/>
      </c>
    </row>
    <row r="34173" spans="8:8" x14ac:dyDescent="0.3">
      <c r="H34173" t="str">
        <f t="shared" si="583"/>
        <v/>
      </c>
    </row>
    <row r="34174" spans="8:8" x14ac:dyDescent="0.3">
      <c r="H34174" t="str">
        <f t="shared" si="583"/>
        <v/>
      </c>
    </row>
    <row r="34175" spans="8:8" x14ac:dyDescent="0.3">
      <c r="H34175" t="str">
        <f t="shared" si="583"/>
        <v/>
      </c>
    </row>
    <row r="34176" spans="8:8" x14ac:dyDescent="0.3">
      <c r="H34176" t="str">
        <f t="shared" si="583"/>
        <v/>
      </c>
    </row>
    <row r="34177" spans="8:8" x14ac:dyDescent="0.3">
      <c r="H34177" t="str">
        <f t="shared" si="583"/>
        <v/>
      </c>
    </row>
    <row r="34178" spans="8:8" x14ac:dyDescent="0.3">
      <c r="H34178" t="str">
        <f t="shared" si="583"/>
        <v/>
      </c>
    </row>
    <row r="34179" spans="8:8" x14ac:dyDescent="0.3">
      <c r="H34179" t="str">
        <f t="shared" si="583"/>
        <v/>
      </c>
    </row>
    <row r="34180" spans="8:8" x14ac:dyDescent="0.3">
      <c r="H34180" t="str">
        <f t="shared" si="583"/>
        <v/>
      </c>
    </row>
    <row r="34181" spans="8:8" x14ac:dyDescent="0.3">
      <c r="H34181" t="str">
        <f t="shared" si="583"/>
        <v/>
      </c>
    </row>
    <row r="34182" spans="8:8" x14ac:dyDescent="0.3">
      <c r="H34182" t="str">
        <f t="shared" si="583"/>
        <v/>
      </c>
    </row>
    <row r="34183" spans="8:8" x14ac:dyDescent="0.3">
      <c r="H34183" t="str">
        <f t="shared" si="583"/>
        <v/>
      </c>
    </row>
    <row r="34184" spans="8:8" x14ac:dyDescent="0.3">
      <c r="H34184" t="str">
        <f t="shared" si="583"/>
        <v/>
      </c>
    </row>
    <row r="34185" spans="8:8" x14ac:dyDescent="0.3">
      <c r="H34185" t="str">
        <f t="shared" si="583"/>
        <v/>
      </c>
    </row>
    <row r="34186" spans="8:8" x14ac:dyDescent="0.3">
      <c r="H34186" t="str">
        <f t="shared" si="583"/>
        <v/>
      </c>
    </row>
    <row r="34187" spans="8:8" x14ac:dyDescent="0.3">
      <c r="H34187" t="str">
        <f t="shared" si="583"/>
        <v/>
      </c>
    </row>
    <row r="34188" spans="8:8" x14ac:dyDescent="0.3">
      <c r="H34188" t="str">
        <f t="shared" si="583"/>
        <v/>
      </c>
    </row>
    <row r="34189" spans="8:8" x14ac:dyDescent="0.3">
      <c r="H34189" t="str">
        <f t="shared" si="583"/>
        <v/>
      </c>
    </row>
    <row r="34190" spans="8:8" x14ac:dyDescent="0.3">
      <c r="H34190" t="str">
        <f t="shared" si="583"/>
        <v/>
      </c>
    </row>
    <row r="34191" spans="8:8" x14ac:dyDescent="0.3">
      <c r="H34191" t="str">
        <f t="shared" si="583"/>
        <v/>
      </c>
    </row>
    <row r="34192" spans="8:8" x14ac:dyDescent="0.3">
      <c r="H34192" t="str">
        <f t="shared" si="583"/>
        <v/>
      </c>
    </row>
    <row r="34193" spans="8:8" x14ac:dyDescent="0.3">
      <c r="H34193" t="str">
        <f t="shared" si="583"/>
        <v/>
      </c>
    </row>
    <row r="34194" spans="8:8" x14ac:dyDescent="0.3">
      <c r="H34194" t="str">
        <f t="shared" si="583"/>
        <v/>
      </c>
    </row>
    <row r="34195" spans="8:8" x14ac:dyDescent="0.3">
      <c r="H34195" t="str">
        <f t="shared" si="583"/>
        <v/>
      </c>
    </row>
    <row r="34196" spans="8:8" x14ac:dyDescent="0.3">
      <c r="H34196" t="str">
        <f t="shared" si="583"/>
        <v/>
      </c>
    </row>
    <row r="34197" spans="8:8" x14ac:dyDescent="0.3">
      <c r="H34197" t="str">
        <f t="shared" si="583"/>
        <v/>
      </c>
    </row>
    <row r="34198" spans="8:8" x14ac:dyDescent="0.3">
      <c r="H34198" t="str">
        <f t="shared" si="583"/>
        <v/>
      </c>
    </row>
    <row r="34199" spans="8:8" x14ac:dyDescent="0.3">
      <c r="H34199" t="str">
        <f t="shared" ref="H34199:H34262" si="584">IF(B34199="","",$C$12)</f>
        <v/>
      </c>
    </row>
    <row r="34200" spans="8:8" x14ac:dyDescent="0.3">
      <c r="H34200" t="str">
        <f t="shared" si="584"/>
        <v/>
      </c>
    </row>
    <row r="34201" spans="8:8" x14ac:dyDescent="0.3">
      <c r="H34201" t="str">
        <f t="shared" si="584"/>
        <v/>
      </c>
    </row>
    <row r="34202" spans="8:8" x14ac:dyDescent="0.3">
      <c r="H34202" t="str">
        <f t="shared" si="584"/>
        <v/>
      </c>
    </row>
    <row r="34203" spans="8:8" x14ac:dyDescent="0.3">
      <c r="H34203" t="str">
        <f t="shared" si="584"/>
        <v/>
      </c>
    </row>
    <row r="34204" spans="8:8" x14ac:dyDescent="0.3">
      <c r="H34204" t="str">
        <f t="shared" si="584"/>
        <v/>
      </c>
    </row>
    <row r="34205" spans="8:8" x14ac:dyDescent="0.3">
      <c r="H34205" t="str">
        <f t="shared" si="584"/>
        <v/>
      </c>
    </row>
    <row r="34206" spans="8:8" x14ac:dyDescent="0.3">
      <c r="H34206" t="str">
        <f t="shared" si="584"/>
        <v/>
      </c>
    </row>
    <row r="34207" spans="8:8" x14ac:dyDescent="0.3">
      <c r="H34207" t="str">
        <f t="shared" si="584"/>
        <v/>
      </c>
    </row>
    <row r="34208" spans="8:8" x14ac:dyDescent="0.3">
      <c r="H34208" t="str">
        <f t="shared" si="584"/>
        <v/>
      </c>
    </row>
    <row r="34209" spans="8:8" x14ac:dyDescent="0.3">
      <c r="H34209" t="str">
        <f t="shared" si="584"/>
        <v/>
      </c>
    </row>
    <row r="34210" spans="8:8" x14ac:dyDescent="0.3">
      <c r="H34210" t="str">
        <f t="shared" si="584"/>
        <v/>
      </c>
    </row>
    <row r="34211" spans="8:8" x14ac:dyDescent="0.3">
      <c r="H34211" t="str">
        <f t="shared" si="584"/>
        <v/>
      </c>
    </row>
    <row r="34212" spans="8:8" x14ac:dyDescent="0.3">
      <c r="H34212" t="str">
        <f t="shared" si="584"/>
        <v/>
      </c>
    </row>
    <row r="34213" spans="8:8" x14ac:dyDescent="0.3">
      <c r="H34213" t="str">
        <f t="shared" si="584"/>
        <v/>
      </c>
    </row>
    <row r="34214" spans="8:8" x14ac:dyDescent="0.3">
      <c r="H34214" t="str">
        <f t="shared" si="584"/>
        <v/>
      </c>
    </row>
    <row r="34215" spans="8:8" x14ac:dyDescent="0.3">
      <c r="H34215" t="str">
        <f t="shared" si="584"/>
        <v/>
      </c>
    </row>
    <row r="34216" spans="8:8" x14ac:dyDescent="0.3">
      <c r="H34216" t="str">
        <f t="shared" si="584"/>
        <v/>
      </c>
    </row>
    <row r="34217" spans="8:8" x14ac:dyDescent="0.3">
      <c r="H34217" t="str">
        <f t="shared" si="584"/>
        <v/>
      </c>
    </row>
    <row r="34218" spans="8:8" x14ac:dyDescent="0.3">
      <c r="H34218" t="str">
        <f t="shared" si="584"/>
        <v/>
      </c>
    </row>
    <row r="34219" spans="8:8" x14ac:dyDescent="0.3">
      <c r="H34219" t="str">
        <f t="shared" si="584"/>
        <v/>
      </c>
    </row>
    <row r="34220" spans="8:8" x14ac:dyDescent="0.3">
      <c r="H34220" t="str">
        <f t="shared" si="584"/>
        <v/>
      </c>
    </row>
    <row r="34221" spans="8:8" x14ac:dyDescent="0.3">
      <c r="H34221" t="str">
        <f t="shared" si="584"/>
        <v/>
      </c>
    </row>
    <row r="34222" spans="8:8" x14ac:dyDescent="0.3">
      <c r="H34222" t="str">
        <f t="shared" si="584"/>
        <v/>
      </c>
    </row>
    <row r="34223" spans="8:8" x14ac:dyDescent="0.3">
      <c r="H34223" t="str">
        <f t="shared" si="584"/>
        <v/>
      </c>
    </row>
    <row r="34224" spans="8:8" x14ac:dyDescent="0.3">
      <c r="H34224" t="str">
        <f t="shared" si="584"/>
        <v/>
      </c>
    </row>
    <row r="34225" spans="8:8" x14ac:dyDescent="0.3">
      <c r="H34225" t="str">
        <f t="shared" si="584"/>
        <v/>
      </c>
    </row>
    <row r="34226" spans="8:8" x14ac:dyDescent="0.3">
      <c r="H34226" t="str">
        <f t="shared" si="584"/>
        <v/>
      </c>
    </row>
    <row r="34227" spans="8:8" x14ac:dyDescent="0.3">
      <c r="H34227" t="str">
        <f t="shared" si="584"/>
        <v/>
      </c>
    </row>
    <row r="34228" spans="8:8" x14ac:dyDescent="0.3">
      <c r="H34228" t="str">
        <f t="shared" si="584"/>
        <v/>
      </c>
    </row>
    <row r="34229" spans="8:8" x14ac:dyDescent="0.3">
      <c r="H34229" t="str">
        <f t="shared" si="584"/>
        <v/>
      </c>
    </row>
    <row r="34230" spans="8:8" x14ac:dyDescent="0.3">
      <c r="H34230" t="str">
        <f t="shared" si="584"/>
        <v/>
      </c>
    </row>
    <row r="34231" spans="8:8" x14ac:dyDescent="0.3">
      <c r="H34231" t="str">
        <f t="shared" si="584"/>
        <v/>
      </c>
    </row>
    <row r="34232" spans="8:8" x14ac:dyDescent="0.3">
      <c r="H34232" t="str">
        <f t="shared" si="584"/>
        <v/>
      </c>
    </row>
    <row r="34233" spans="8:8" x14ac:dyDescent="0.3">
      <c r="H34233" t="str">
        <f t="shared" si="584"/>
        <v/>
      </c>
    </row>
    <row r="34234" spans="8:8" x14ac:dyDescent="0.3">
      <c r="H34234" t="str">
        <f t="shared" si="584"/>
        <v/>
      </c>
    </row>
    <row r="34235" spans="8:8" x14ac:dyDescent="0.3">
      <c r="H34235" t="str">
        <f t="shared" si="584"/>
        <v/>
      </c>
    </row>
    <row r="34236" spans="8:8" x14ac:dyDescent="0.3">
      <c r="H34236" t="str">
        <f t="shared" si="584"/>
        <v/>
      </c>
    </row>
    <row r="34237" spans="8:8" x14ac:dyDescent="0.3">
      <c r="H34237" t="str">
        <f t="shared" si="584"/>
        <v/>
      </c>
    </row>
    <row r="34238" spans="8:8" x14ac:dyDescent="0.3">
      <c r="H34238" t="str">
        <f t="shared" si="584"/>
        <v/>
      </c>
    </row>
    <row r="34239" spans="8:8" x14ac:dyDescent="0.3">
      <c r="H34239" t="str">
        <f t="shared" si="584"/>
        <v/>
      </c>
    </row>
    <row r="34240" spans="8:8" x14ac:dyDescent="0.3">
      <c r="H34240" t="str">
        <f t="shared" si="584"/>
        <v/>
      </c>
    </row>
    <row r="34241" spans="8:8" x14ac:dyDescent="0.3">
      <c r="H34241" t="str">
        <f t="shared" si="584"/>
        <v/>
      </c>
    </row>
    <row r="34242" spans="8:8" x14ac:dyDescent="0.3">
      <c r="H34242" t="str">
        <f t="shared" si="584"/>
        <v/>
      </c>
    </row>
    <row r="34243" spans="8:8" x14ac:dyDescent="0.3">
      <c r="H34243" t="str">
        <f t="shared" si="584"/>
        <v/>
      </c>
    </row>
    <row r="34244" spans="8:8" x14ac:dyDescent="0.3">
      <c r="H34244" t="str">
        <f t="shared" si="584"/>
        <v/>
      </c>
    </row>
    <row r="34245" spans="8:8" x14ac:dyDescent="0.3">
      <c r="H34245" t="str">
        <f t="shared" si="584"/>
        <v/>
      </c>
    </row>
    <row r="34246" spans="8:8" x14ac:dyDescent="0.3">
      <c r="H34246" t="str">
        <f t="shared" si="584"/>
        <v/>
      </c>
    </row>
    <row r="34247" spans="8:8" x14ac:dyDescent="0.3">
      <c r="H34247" t="str">
        <f t="shared" si="584"/>
        <v/>
      </c>
    </row>
    <row r="34248" spans="8:8" x14ac:dyDescent="0.3">
      <c r="H34248" t="str">
        <f t="shared" si="584"/>
        <v/>
      </c>
    </row>
    <row r="34249" spans="8:8" x14ac:dyDescent="0.3">
      <c r="H34249" t="str">
        <f t="shared" si="584"/>
        <v/>
      </c>
    </row>
    <row r="34250" spans="8:8" x14ac:dyDescent="0.3">
      <c r="H34250" t="str">
        <f t="shared" si="584"/>
        <v/>
      </c>
    </row>
    <row r="34251" spans="8:8" x14ac:dyDescent="0.3">
      <c r="H34251" t="str">
        <f t="shared" si="584"/>
        <v/>
      </c>
    </row>
    <row r="34252" spans="8:8" x14ac:dyDescent="0.3">
      <c r="H34252" t="str">
        <f t="shared" si="584"/>
        <v/>
      </c>
    </row>
    <row r="34253" spans="8:8" x14ac:dyDescent="0.3">
      <c r="H34253" t="str">
        <f t="shared" si="584"/>
        <v/>
      </c>
    </row>
    <row r="34254" spans="8:8" x14ac:dyDescent="0.3">
      <c r="H34254" t="str">
        <f t="shared" si="584"/>
        <v/>
      </c>
    </row>
    <row r="34255" spans="8:8" x14ac:dyDescent="0.3">
      <c r="H34255" t="str">
        <f t="shared" si="584"/>
        <v/>
      </c>
    </row>
    <row r="34256" spans="8:8" x14ac:dyDescent="0.3">
      <c r="H34256" t="str">
        <f t="shared" si="584"/>
        <v/>
      </c>
    </row>
    <row r="34257" spans="8:8" x14ac:dyDescent="0.3">
      <c r="H34257" t="str">
        <f t="shared" si="584"/>
        <v/>
      </c>
    </row>
    <row r="34258" spans="8:8" x14ac:dyDescent="0.3">
      <c r="H34258" t="str">
        <f t="shared" si="584"/>
        <v/>
      </c>
    </row>
    <row r="34259" spans="8:8" x14ac:dyDescent="0.3">
      <c r="H34259" t="str">
        <f t="shared" si="584"/>
        <v/>
      </c>
    </row>
    <row r="34260" spans="8:8" x14ac:dyDescent="0.3">
      <c r="H34260" t="str">
        <f t="shared" si="584"/>
        <v/>
      </c>
    </row>
    <row r="34261" spans="8:8" x14ac:dyDescent="0.3">
      <c r="H34261" t="str">
        <f t="shared" si="584"/>
        <v/>
      </c>
    </row>
    <row r="34262" spans="8:8" x14ac:dyDescent="0.3">
      <c r="H34262" t="str">
        <f t="shared" si="584"/>
        <v/>
      </c>
    </row>
    <row r="34263" spans="8:8" x14ac:dyDescent="0.3">
      <c r="H34263" t="str">
        <f t="shared" ref="H34263:H34326" si="585">IF(B34263="","",$C$12)</f>
        <v/>
      </c>
    </row>
    <row r="34264" spans="8:8" x14ac:dyDescent="0.3">
      <c r="H34264" t="str">
        <f t="shared" si="585"/>
        <v/>
      </c>
    </row>
    <row r="34265" spans="8:8" x14ac:dyDescent="0.3">
      <c r="H34265" t="str">
        <f t="shared" si="585"/>
        <v/>
      </c>
    </row>
    <row r="34266" spans="8:8" x14ac:dyDescent="0.3">
      <c r="H34266" t="str">
        <f t="shared" si="585"/>
        <v/>
      </c>
    </row>
    <row r="34267" spans="8:8" x14ac:dyDescent="0.3">
      <c r="H34267" t="str">
        <f t="shared" si="585"/>
        <v/>
      </c>
    </row>
    <row r="34268" spans="8:8" x14ac:dyDescent="0.3">
      <c r="H34268" t="str">
        <f t="shared" si="585"/>
        <v/>
      </c>
    </row>
    <row r="34269" spans="8:8" x14ac:dyDescent="0.3">
      <c r="H34269" t="str">
        <f t="shared" si="585"/>
        <v/>
      </c>
    </row>
    <row r="34270" spans="8:8" x14ac:dyDescent="0.3">
      <c r="H34270" t="str">
        <f t="shared" si="585"/>
        <v/>
      </c>
    </row>
    <row r="34271" spans="8:8" x14ac:dyDescent="0.3">
      <c r="H34271" t="str">
        <f t="shared" si="585"/>
        <v/>
      </c>
    </row>
    <row r="34272" spans="8:8" x14ac:dyDescent="0.3">
      <c r="H34272" t="str">
        <f t="shared" si="585"/>
        <v/>
      </c>
    </row>
    <row r="34273" spans="8:8" x14ac:dyDescent="0.3">
      <c r="H34273" t="str">
        <f t="shared" si="585"/>
        <v/>
      </c>
    </row>
    <row r="34274" spans="8:8" x14ac:dyDescent="0.3">
      <c r="H34274" t="str">
        <f t="shared" si="585"/>
        <v/>
      </c>
    </row>
    <row r="34275" spans="8:8" x14ac:dyDescent="0.3">
      <c r="H34275" t="str">
        <f t="shared" si="585"/>
        <v/>
      </c>
    </row>
    <row r="34276" spans="8:8" x14ac:dyDescent="0.3">
      <c r="H34276" t="str">
        <f t="shared" si="585"/>
        <v/>
      </c>
    </row>
    <row r="34277" spans="8:8" x14ac:dyDescent="0.3">
      <c r="H34277" t="str">
        <f t="shared" si="585"/>
        <v/>
      </c>
    </row>
    <row r="34278" spans="8:8" x14ac:dyDescent="0.3">
      <c r="H34278" t="str">
        <f t="shared" si="585"/>
        <v/>
      </c>
    </row>
    <row r="34279" spans="8:8" x14ac:dyDescent="0.3">
      <c r="H34279" t="str">
        <f t="shared" si="585"/>
        <v/>
      </c>
    </row>
    <row r="34280" spans="8:8" x14ac:dyDescent="0.3">
      <c r="H34280" t="str">
        <f t="shared" si="585"/>
        <v/>
      </c>
    </row>
    <row r="34281" spans="8:8" x14ac:dyDescent="0.3">
      <c r="H34281" t="str">
        <f t="shared" si="585"/>
        <v/>
      </c>
    </row>
    <row r="34282" spans="8:8" x14ac:dyDescent="0.3">
      <c r="H34282" t="str">
        <f t="shared" si="585"/>
        <v/>
      </c>
    </row>
    <row r="34283" spans="8:8" x14ac:dyDescent="0.3">
      <c r="H34283" t="str">
        <f t="shared" si="585"/>
        <v/>
      </c>
    </row>
    <row r="34284" spans="8:8" x14ac:dyDescent="0.3">
      <c r="H34284" t="str">
        <f t="shared" si="585"/>
        <v/>
      </c>
    </row>
    <row r="34285" spans="8:8" x14ac:dyDescent="0.3">
      <c r="H34285" t="str">
        <f t="shared" si="585"/>
        <v/>
      </c>
    </row>
    <row r="34286" spans="8:8" x14ac:dyDescent="0.3">
      <c r="H34286" t="str">
        <f t="shared" si="585"/>
        <v/>
      </c>
    </row>
    <row r="34287" spans="8:8" x14ac:dyDescent="0.3">
      <c r="H34287" t="str">
        <f t="shared" si="585"/>
        <v/>
      </c>
    </row>
    <row r="34288" spans="8:8" x14ac:dyDescent="0.3">
      <c r="H34288" t="str">
        <f t="shared" si="585"/>
        <v/>
      </c>
    </row>
    <row r="34289" spans="8:8" x14ac:dyDescent="0.3">
      <c r="H34289" t="str">
        <f t="shared" si="585"/>
        <v/>
      </c>
    </row>
    <row r="34290" spans="8:8" x14ac:dyDescent="0.3">
      <c r="H34290" t="str">
        <f t="shared" si="585"/>
        <v/>
      </c>
    </row>
    <row r="34291" spans="8:8" x14ac:dyDescent="0.3">
      <c r="H34291" t="str">
        <f t="shared" si="585"/>
        <v/>
      </c>
    </row>
    <row r="34292" spans="8:8" x14ac:dyDescent="0.3">
      <c r="H34292" t="str">
        <f t="shared" si="585"/>
        <v/>
      </c>
    </row>
    <row r="34293" spans="8:8" x14ac:dyDescent="0.3">
      <c r="H34293" t="str">
        <f t="shared" si="585"/>
        <v/>
      </c>
    </row>
    <row r="34294" spans="8:8" x14ac:dyDescent="0.3">
      <c r="H34294" t="str">
        <f t="shared" si="585"/>
        <v/>
      </c>
    </row>
    <row r="34295" spans="8:8" x14ac:dyDescent="0.3">
      <c r="H34295" t="str">
        <f t="shared" si="585"/>
        <v/>
      </c>
    </row>
    <row r="34296" spans="8:8" x14ac:dyDescent="0.3">
      <c r="H34296" t="str">
        <f t="shared" si="585"/>
        <v/>
      </c>
    </row>
    <row r="34297" spans="8:8" x14ac:dyDescent="0.3">
      <c r="H34297" t="str">
        <f t="shared" si="585"/>
        <v/>
      </c>
    </row>
    <row r="34298" spans="8:8" x14ac:dyDescent="0.3">
      <c r="H34298" t="str">
        <f t="shared" si="585"/>
        <v/>
      </c>
    </row>
    <row r="34299" spans="8:8" x14ac:dyDescent="0.3">
      <c r="H34299" t="str">
        <f t="shared" si="585"/>
        <v/>
      </c>
    </row>
    <row r="34300" spans="8:8" x14ac:dyDescent="0.3">
      <c r="H34300" t="str">
        <f t="shared" si="585"/>
        <v/>
      </c>
    </row>
    <row r="34301" spans="8:8" x14ac:dyDescent="0.3">
      <c r="H34301" t="str">
        <f t="shared" si="585"/>
        <v/>
      </c>
    </row>
    <row r="34302" spans="8:8" x14ac:dyDescent="0.3">
      <c r="H34302" t="str">
        <f t="shared" si="585"/>
        <v/>
      </c>
    </row>
    <row r="34303" spans="8:8" x14ac:dyDescent="0.3">
      <c r="H34303" t="str">
        <f t="shared" si="585"/>
        <v/>
      </c>
    </row>
    <row r="34304" spans="8:8" x14ac:dyDescent="0.3">
      <c r="H34304" t="str">
        <f t="shared" si="585"/>
        <v/>
      </c>
    </row>
    <row r="34305" spans="8:8" x14ac:dyDescent="0.3">
      <c r="H34305" t="str">
        <f t="shared" si="585"/>
        <v/>
      </c>
    </row>
    <row r="34306" spans="8:8" x14ac:dyDescent="0.3">
      <c r="H34306" t="str">
        <f t="shared" si="585"/>
        <v/>
      </c>
    </row>
    <row r="34307" spans="8:8" x14ac:dyDescent="0.3">
      <c r="H34307" t="str">
        <f t="shared" si="585"/>
        <v/>
      </c>
    </row>
    <row r="34308" spans="8:8" x14ac:dyDescent="0.3">
      <c r="H34308" t="str">
        <f t="shared" si="585"/>
        <v/>
      </c>
    </row>
    <row r="34309" spans="8:8" x14ac:dyDescent="0.3">
      <c r="H34309" t="str">
        <f t="shared" si="585"/>
        <v/>
      </c>
    </row>
    <row r="34310" spans="8:8" x14ac:dyDescent="0.3">
      <c r="H34310" t="str">
        <f t="shared" si="585"/>
        <v/>
      </c>
    </row>
    <row r="34311" spans="8:8" x14ac:dyDescent="0.3">
      <c r="H34311" t="str">
        <f t="shared" si="585"/>
        <v/>
      </c>
    </row>
    <row r="34312" spans="8:8" x14ac:dyDescent="0.3">
      <c r="H34312" t="str">
        <f t="shared" si="585"/>
        <v/>
      </c>
    </row>
    <row r="34313" spans="8:8" x14ac:dyDescent="0.3">
      <c r="H34313" t="str">
        <f t="shared" si="585"/>
        <v/>
      </c>
    </row>
    <row r="34314" spans="8:8" x14ac:dyDescent="0.3">
      <c r="H34314" t="str">
        <f t="shared" si="585"/>
        <v/>
      </c>
    </row>
    <row r="34315" spans="8:8" x14ac:dyDescent="0.3">
      <c r="H34315" t="str">
        <f t="shared" si="585"/>
        <v/>
      </c>
    </row>
    <row r="34316" spans="8:8" x14ac:dyDescent="0.3">
      <c r="H34316" t="str">
        <f t="shared" si="585"/>
        <v/>
      </c>
    </row>
    <row r="34317" spans="8:8" x14ac:dyDescent="0.3">
      <c r="H34317" t="str">
        <f t="shared" si="585"/>
        <v/>
      </c>
    </row>
    <row r="34318" spans="8:8" x14ac:dyDescent="0.3">
      <c r="H34318" t="str">
        <f t="shared" si="585"/>
        <v/>
      </c>
    </row>
    <row r="34319" spans="8:8" x14ac:dyDescent="0.3">
      <c r="H34319" t="str">
        <f t="shared" si="585"/>
        <v/>
      </c>
    </row>
    <row r="34320" spans="8:8" x14ac:dyDescent="0.3">
      <c r="H34320" t="str">
        <f t="shared" si="585"/>
        <v/>
      </c>
    </row>
    <row r="34321" spans="8:8" x14ac:dyDescent="0.3">
      <c r="H34321" t="str">
        <f t="shared" si="585"/>
        <v/>
      </c>
    </row>
    <row r="34322" spans="8:8" x14ac:dyDescent="0.3">
      <c r="H34322" t="str">
        <f t="shared" si="585"/>
        <v/>
      </c>
    </row>
    <row r="34323" spans="8:8" x14ac:dyDescent="0.3">
      <c r="H34323" t="str">
        <f t="shared" si="585"/>
        <v/>
      </c>
    </row>
    <row r="34324" spans="8:8" x14ac:dyDescent="0.3">
      <c r="H34324" t="str">
        <f t="shared" si="585"/>
        <v/>
      </c>
    </row>
    <row r="34325" spans="8:8" x14ac:dyDescent="0.3">
      <c r="H34325" t="str">
        <f t="shared" si="585"/>
        <v/>
      </c>
    </row>
    <row r="34326" spans="8:8" x14ac:dyDescent="0.3">
      <c r="H34326" t="str">
        <f t="shared" si="585"/>
        <v/>
      </c>
    </row>
    <row r="34327" spans="8:8" x14ac:dyDescent="0.3">
      <c r="H34327" t="str">
        <f t="shared" ref="H34327:H34390" si="586">IF(B34327="","",$C$12)</f>
        <v/>
      </c>
    </row>
    <row r="34328" spans="8:8" x14ac:dyDescent="0.3">
      <c r="H34328" t="str">
        <f t="shared" si="586"/>
        <v/>
      </c>
    </row>
    <row r="34329" spans="8:8" x14ac:dyDescent="0.3">
      <c r="H34329" t="str">
        <f t="shared" si="586"/>
        <v/>
      </c>
    </row>
    <row r="34330" spans="8:8" x14ac:dyDescent="0.3">
      <c r="H34330" t="str">
        <f t="shared" si="586"/>
        <v/>
      </c>
    </row>
    <row r="34331" spans="8:8" x14ac:dyDescent="0.3">
      <c r="H34331" t="str">
        <f t="shared" si="586"/>
        <v/>
      </c>
    </row>
    <row r="34332" spans="8:8" x14ac:dyDescent="0.3">
      <c r="H34332" t="str">
        <f t="shared" si="586"/>
        <v/>
      </c>
    </row>
    <row r="34333" spans="8:8" x14ac:dyDescent="0.3">
      <c r="H34333" t="str">
        <f t="shared" si="586"/>
        <v/>
      </c>
    </row>
    <row r="34334" spans="8:8" x14ac:dyDescent="0.3">
      <c r="H34334" t="str">
        <f t="shared" si="586"/>
        <v/>
      </c>
    </row>
    <row r="34335" spans="8:8" x14ac:dyDescent="0.3">
      <c r="H34335" t="str">
        <f t="shared" si="586"/>
        <v/>
      </c>
    </row>
    <row r="34336" spans="8:8" x14ac:dyDescent="0.3">
      <c r="H34336" t="str">
        <f t="shared" si="586"/>
        <v/>
      </c>
    </row>
    <row r="34337" spans="8:8" x14ac:dyDescent="0.3">
      <c r="H34337" t="str">
        <f t="shared" si="586"/>
        <v/>
      </c>
    </row>
    <row r="34338" spans="8:8" x14ac:dyDescent="0.3">
      <c r="H34338" t="str">
        <f t="shared" si="586"/>
        <v/>
      </c>
    </row>
    <row r="34339" spans="8:8" x14ac:dyDescent="0.3">
      <c r="H34339" t="str">
        <f t="shared" si="586"/>
        <v/>
      </c>
    </row>
    <row r="34340" spans="8:8" x14ac:dyDescent="0.3">
      <c r="H34340" t="str">
        <f t="shared" si="586"/>
        <v/>
      </c>
    </row>
    <row r="34341" spans="8:8" x14ac:dyDescent="0.3">
      <c r="H34341" t="str">
        <f t="shared" si="586"/>
        <v/>
      </c>
    </row>
    <row r="34342" spans="8:8" x14ac:dyDescent="0.3">
      <c r="H34342" t="str">
        <f t="shared" si="586"/>
        <v/>
      </c>
    </row>
    <row r="34343" spans="8:8" x14ac:dyDescent="0.3">
      <c r="H34343" t="str">
        <f t="shared" si="586"/>
        <v/>
      </c>
    </row>
    <row r="34344" spans="8:8" x14ac:dyDescent="0.3">
      <c r="H34344" t="str">
        <f t="shared" si="586"/>
        <v/>
      </c>
    </row>
    <row r="34345" spans="8:8" x14ac:dyDescent="0.3">
      <c r="H34345" t="str">
        <f t="shared" si="586"/>
        <v/>
      </c>
    </row>
    <row r="34346" spans="8:8" x14ac:dyDescent="0.3">
      <c r="H34346" t="str">
        <f t="shared" si="586"/>
        <v/>
      </c>
    </row>
    <row r="34347" spans="8:8" x14ac:dyDescent="0.3">
      <c r="H34347" t="str">
        <f t="shared" si="586"/>
        <v/>
      </c>
    </row>
    <row r="34348" spans="8:8" x14ac:dyDescent="0.3">
      <c r="H34348" t="str">
        <f t="shared" si="586"/>
        <v/>
      </c>
    </row>
    <row r="34349" spans="8:8" x14ac:dyDescent="0.3">
      <c r="H34349" t="str">
        <f t="shared" si="586"/>
        <v/>
      </c>
    </row>
    <row r="34350" spans="8:8" x14ac:dyDescent="0.3">
      <c r="H34350" t="str">
        <f t="shared" si="586"/>
        <v/>
      </c>
    </row>
    <row r="34351" spans="8:8" x14ac:dyDescent="0.3">
      <c r="H34351" t="str">
        <f t="shared" si="586"/>
        <v/>
      </c>
    </row>
    <row r="34352" spans="8:8" x14ac:dyDescent="0.3">
      <c r="H34352" t="str">
        <f t="shared" si="586"/>
        <v/>
      </c>
    </row>
    <row r="34353" spans="8:8" x14ac:dyDescent="0.3">
      <c r="H34353" t="str">
        <f t="shared" si="586"/>
        <v/>
      </c>
    </row>
    <row r="34354" spans="8:8" x14ac:dyDescent="0.3">
      <c r="H34354" t="str">
        <f t="shared" si="586"/>
        <v/>
      </c>
    </row>
    <row r="34355" spans="8:8" x14ac:dyDescent="0.3">
      <c r="H34355" t="str">
        <f t="shared" si="586"/>
        <v/>
      </c>
    </row>
    <row r="34356" spans="8:8" x14ac:dyDescent="0.3">
      <c r="H34356" t="str">
        <f t="shared" si="586"/>
        <v/>
      </c>
    </row>
    <row r="34357" spans="8:8" x14ac:dyDescent="0.3">
      <c r="H34357" t="str">
        <f t="shared" si="586"/>
        <v/>
      </c>
    </row>
    <row r="34358" spans="8:8" x14ac:dyDescent="0.3">
      <c r="H34358" t="str">
        <f t="shared" si="586"/>
        <v/>
      </c>
    </row>
    <row r="34359" spans="8:8" x14ac:dyDescent="0.3">
      <c r="H34359" t="str">
        <f t="shared" si="586"/>
        <v/>
      </c>
    </row>
    <row r="34360" spans="8:8" x14ac:dyDescent="0.3">
      <c r="H34360" t="str">
        <f t="shared" si="586"/>
        <v/>
      </c>
    </row>
    <row r="34361" spans="8:8" x14ac:dyDescent="0.3">
      <c r="H34361" t="str">
        <f t="shared" si="586"/>
        <v/>
      </c>
    </row>
    <row r="34362" spans="8:8" x14ac:dyDescent="0.3">
      <c r="H34362" t="str">
        <f t="shared" si="586"/>
        <v/>
      </c>
    </row>
    <row r="34363" spans="8:8" x14ac:dyDescent="0.3">
      <c r="H34363" t="str">
        <f t="shared" si="586"/>
        <v/>
      </c>
    </row>
    <row r="34364" spans="8:8" x14ac:dyDescent="0.3">
      <c r="H34364" t="str">
        <f t="shared" si="586"/>
        <v/>
      </c>
    </row>
    <row r="34365" spans="8:8" x14ac:dyDescent="0.3">
      <c r="H34365" t="str">
        <f t="shared" si="586"/>
        <v/>
      </c>
    </row>
    <row r="34366" spans="8:8" x14ac:dyDescent="0.3">
      <c r="H34366" t="str">
        <f t="shared" si="586"/>
        <v/>
      </c>
    </row>
    <row r="34367" spans="8:8" x14ac:dyDescent="0.3">
      <c r="H34367" t="str">
        <f t="shared" si="586"/>
        <v/>
      </c>
    </row>
    <row r="34368" spans="8:8" x14ac:dyDescent="0.3">
      <c r="H34368" t="str">
        <f t="shared" si="586"/>
        <v/>
      </c>
    </row>
    <row r="34369" spans="8:8" x14ac:dyDescent="0.3">
      <c r="H34369" t="str">
        <f t="shared" si="586"/>
        <v/>
      </c>
    </row>
    <row r="34370" spans="8:8" x14ac:dyDescent="0.3">
      <c r="H34370" t="str">
        <f t="shared" si="586"/>
        <v/>
      </c>
    </row>
    <row r="34371" spans="8:8" x14ac:dyDescent="0.3">
      <c r="H34371" t="str">
        <f t="shared" si="586"/>
        <v/>
      </c>
    </row>
    <row r="34372" spans="8:8" x14ac:dyDescent="0.3">
      <c r="H34372" t="str">
        <f t="shared" si="586"/>
        <v/>
      </c>
    </row>
    <row r="34373" spans="8:8" x14ac:dyDescent="0.3">
      <c r="H34373" t="str">
        <f t="shared" si="586"/>
        <v/>
      </c>
    </row>
    <row r="34374" spans="8:8" x14ac:dyDescent="0.3">
      <c r="H34374" t="str">
        <f t="shared" si="586"/>
        <v/>
      </c>
    </row>
    <row r="34375" spans="8:8" x14ac:dyDescent="0.3">
      <c r="H34375" t="str">
        <f t="shared" si="586"/>
        <v/>
      </c>
    </row>
    <row r="34376" spans="8:8" x14ac:dyDescent="0.3">
      <c r="H34376" t="str">
        <f t="shared" si="586"/>
        <v/>
      </c>
    </row>
    <row r="34377" spans="8:8" x14ac:dyDescent="0.3">
      <c r="H34377" t="str">
        <f t="shared" si="586"/>
        <v/>
      </c>
    </row>
    <row r="34378" spans="8:8" x14ac:dyDescent="0.3">
      <c r="H34378" t="str">
        <f t="shared" si="586"/>
        <v/>
      </c>
    </row>
    <row r="34379" spans="8:8" x14ac:dyDescent="0.3">
      <c r="H34379" t="str">
        <f t="shared" si="586"/>
        <v/>
      </c>
    </row>
    <row r="34380" spans="8:8" x14ac:dyDescent="0.3">
      <c r="H34380" t="str">
        <f t="shared" si="586"/>
        <v/>
      </c>
    </row>
    <row r="34381" spans="8:8" x14ac:dyDescent="0.3">
      <c r="H34381" t="str">
        <f t="shared" si="586"/>
        <v/>
      </c>
    </row>
    <row r="34382" spans="8:8" x14ac:dyDescent="0.3">
      <c r="H34382" t="str">
        <f t="shared" si="586"/>
        <v/>
      </c>
    </row>
    <row r="34383" spans="8:8" x14ac:dyDescent="0.3">
      <c r="H34383" t="str">
        <f t="shared" si="586"/>
        <v/>
      </c>
    </row>
    <row r="34384" spans="8:8" x14ac:dyDescent="0.3">
      <c r="H34384" t="str">
        <f t="shared" si="586"/>
        <v/>
      </c>
    </row>
    <row r="34385" spans="8:8" x14ac:dyDescent="0.3">
      <c r="H34385" t="str">
        <f t="shared" si="586"/>
        <v/>
      </c>
    </row>
    <row r="34386" spans="8:8" x14ac:dyDescent="0.3">
      <c r="H34386" t="str">
        <f t="shared" si="586"/>
        <v/>
      </c>
    </row>
    <row r="34387" spans="8:8" x14ac:dyDescent="0.3">
      <c r="H34387" t="str">
        <f t="shared" si="586"/>
        <v/>
      </c>
    </row>
    <row r="34388" spans="8:8" x14ac:dyDescent="0.3">
      <c r="H34388" t="str">
        <f t="shared" si="586"/>
        <v/>
      </c>
    </row>
    <row r="34389" spans="8:8" x14ac:dyDescent="0.3">
      <c r="H34389" t="str">
        <f t="shared" si="586"/>
        <v/>
      </c>
    </row>
    <row r="34390" spans="8:8" x14ac:dyDescent="0.3">
      <c r="H34390" t="str">
        <f t="shared" si="586"/>
        <v/>
      </c>
    </row>
    <row r="34391" spans="8:8" x14ac:dyDescent="0.3">
      <c r="H34391" t="str">
        <f t="shared" ref="H34391:H34454" si="587">IF(B34391="","",$C$12)</f>
        <v/>
      </c>
    </row>
    <row r="34392" spans="8:8" x14ac:dyDescent="0.3">
      <c r="H34392" t="str">
        <f t="shared" si="587"/>
        <v/>
      </c>
    </row>
    <row r="34393" spans="8:8" x14ac:dyDescent="0.3">
      <c r="H34393" t="str">
        <f t="shared" si="587"/>
        <v/>
      </c>
    </row>
    <row r="34394" spans="8:8" x14ac:dyDescent="0.3">
      <c r="H34394" t="str">
        <f t="shared" si="587"/>
        <v/>
      </c>
    </row>
    <row r="34395" spans="8:8" x14ac:dyDescent="0.3">
      <c r="H34395" t="str">
        <f t="shared" si="587"/>
        <v/>
      </c>
    </row>
    <row r="34396" spans="8:8" x14ac:dyDescent="0.3">
      <c r="H34396" t="str">
        <f t="shared" si="587"/>
        <v/>
      </c>
    </row>
    <row r="34397" spans="8:8" x14ac:dyDescent="0.3">
      <c r="H34397" t="str">
        <f t="shared" si="587"/>
        <v/>
      </c>
    </row>
    <row r="34398" spans="8:8" x14ac:dyDescent="0.3">
      <c r="H34398" t="str">
        <f t="shared" si="587"/>
        <v/>
      </c>
    </row>
    <row r="34399" spans="8:8" x14ac:dyDescent="0.3">
      <c r="H34399" t="str">
        <f t="shared" si="587"/>
        <v/>
      </c>
    </row>
    <row r="34400" spans="8:8" x14ac:dyDescent="0.3">
      <c r="H34400" t="str">
        <f t="shared" si="587"/>
        <v/>
      </c>
    </row>
    <row r="34401" spans="8:8" x14ac:dyDescent="0.3">
      <c r="H34401" t="str">
        <f t="shared" si="587"/>
        <v/>
      </c>
    </row>
    <row r="34402" spans="8:8" x14ac:dyDescent="0.3">
      <c r="H34402" t="str">
        <f t="shared" si="587"/>
        <v/>
      </c>
    </row>
    <row r="34403" spans="8:8" x14ac:dyDescent="0.3">
      <c r="H34403" t="str">
        <f t="shared" si="587"/>
        <v/>
      </c>
    </row>
    <row r="34404" spans="8:8" x14ac:dyDescent="0.3">
      <c r="H34404" t="str">
        <f t="shared" si="587"/>
        <v/>
      </c>
    </row>
    <row r="34405" spans="8:8" x14ac:dyDescent="0.3">
      <c r="H34405" t="str">
        <f t="shared" si="587"/>
        <v/>
      </c>
    </row>
    <row r="34406" spans="8:8" x14ac:dyDescent="0.3">
      <c r="H34406" t="str">
        <f t="shared" si="587"/>
        <v/>
      </c>
    </row>
    <row r="34407" spans="8:8" x14ac:dyDescent="0.3">
      <c r="H34407" t="str">
        <f t="shared" si="587"/>
        <v/>
      </c>
    </row>
    <row r="34408" spans="8:8" x14ac:dyDescent="0.3">
      <c r="H34408" t="str">
        <f t="shared" si="587"/>
        <v/>
      </c>
    </row>
    <row r="34409" spans="8:8" x14ac:dyDescent="0.3">
      <c r="H34409" t="str">
        <f t="shared" si="587"/>
        <v/>
      </c>
    </row>
    <row r="34410" spans="8:8" x14ac:dyDescent="0.3">
      <c r="H34410" t="str">
        <f t="shared" si="587"/>
        <v/>
      </c>
    </row>
    <row r="34411" spans="8:8" x14ac:dyDescent="0.3">
      <c r="H34411" t="str">
        <f t="shared" si="587"/>
        <v/>
      </c>
    </row>
    <row r="34412" spans="8:8" x14ac:dyDescent="0.3">
      <c r="H34412" t="str">
        <f t="shared" si="587"/>
        <v/>
      </c>
    </row>
    <row r="34413" spans="8:8" x14ac:dyDescent="0.3">
      <c r="H34413" t="str">
        <f t="shared" si="587"/>
        <v/>
      </c>
    </row>
    <row r="34414" spans="8:8" x14ac:dyDescent="0.3">
      <c r="H34414" t="str">
        <f t="shared" si="587"/>
        <v/>
      </c>
    </row>
    <row r="34415" spans="8:8" x14ac:dyDescent="0.3">
      <c r="H34415" t="str">
        <f t="shared" si="587"/>
        <v/>
      </c>
    </row>
    <row r="34416" spans="8:8" x14ac:dyDescent="0.3">
      <c r="H34416" t="str">
        <f t="shared" si="587"/>
        <v/>
      </c>
    </row>
    <row r="34417" spans="8:8" x14ac:dyDescent="0.3">
      <c r="H34417" t="str">
        <f t="shared" si="587"/>
        <v/>
      </c>
    </row>
    <row r="34418" spans="8:8" x14ac:dyDescent="0.3">
      <c r="H34418" t="str">
        <f t="shared" si="587"/>
        <v/>
      </c>
    </row>
    <row r="34419" spans="8:8" x14ac:dyDescent="0.3">
      <c r="H34419" t="str">
        <f t="shared" si="587"/>
        <v/>
      </c>
    </row>
    <row r="34420" spans="8:8" x14ac:dyDescent="0.3">
      <c r="H34420" t="str">
        <f t="shared" si="587"/>
        <v/>
      </c>
    </row>
    <row r="34421" spans="8:8" x14ac:dyDescent="0.3">
      <c r="H34421" t="str">
        <f t="shared" si="587"/>
        <v/>
      </c>
    </row>
    <row r="34422" spans="8:8" x14ac:dyDescent="0.3">
      <c r="H34422" t="str">
        <f t="shared" si="587"/>
        <v/>
      </c>
    </row>
    <row r="34423" spans="8:8" x14ac:dyDescent="0.3">
      <c r="H34423" t="str">
        <f t="shared" si="587"/>
        <v/>
      </c>
    </row>
    <row r="34424" spans="8:8" x14ac:dyDescent="0.3">
      <c r="H34424" t="str">
        <f t="shared" si="587"/>
        <v/>
      </c>
    </row>
    <row r="34425" spans="8:8" x14ac:dyDescent="0.3">
      <c r="H34425" t="str">
        <f t="shared" si="587"/>
        <v/>
      </c>
    </row>
    <row r="34426" spans="8:8" x14ac:dyDescent="0.3">
      <c r="H34426" t="str">
        <f t="shared" si="587"/>
        <v/>
      </c>
    </row>
    <row r="34427" spans="8:8" x14ac:dyDescent="0.3">
      <c r="H34427" t="str">
        <f t="shared" si="587"/>
        <v/>
      </c>
    </row>
    <row r="34428" spans="8:8" x14ac:dyDescent="0.3">
      <c r="H34428" t="str">
        <f t="shared" si="587"/>
        <v/>
      </c>
    </row>
    <row r="34429" spans="8:8" x14ac:dyDescent="0.3">
      <c r="H34429" t="str">
        <f t="shared" si="587"/>
        <v/>
      </c>
    </row>
    <row r="34430" spans="8:8" x14ac:dyDescent="0.3">
      <c r="H34430" t="str">
        <f t="shared" si="587"/>
        <v/>
      </c>
    </row>
    <row r="34431" spans="8:8" x14ac:dyDescent="0.3">
      <c r="H34431" t="str">
        <f t="shared" si="587"/>
        <v/>
      </c>
    </row>
    <row r="34432" spans="8:8" x14ac:dyDescent="0.3">
      <c r="H34432" t="str">
        <f t="shared" si="587"/>
        <v/>
      </c>
    </row>
    <row r="34433" spans="8:8" x14ac:dyDescent="0.3">
      <c r="H34433" t="str">
        <f t="shared" si="587"/>
        <v/>
      </c>
    </row>
    <row r="34434" spans="8:8" x14ac:dyDescent="0.3">
      <c r="H34434" t="str">
        <f t="shared" si="587"/>
        <v/>
      </c>
    </row>
    <row r="34435" spans="8:8" x14ac:dyDescent="0.3">
      <c r="H34435" t="str">
        <f t="shared" si="587"/>
        <v/>
      </c>
    </row>
    <row r="34436" spans="8:8" x14ac:dyDescent="0.3">
      <c r="H34436" t="str">
        <f t="shared" si="587"/>
        <v/>
      </c>
    </row>
    <row r="34437" spans="8:8" x14ac:dyDescent="0.3">
      <c r="H34437" t="str">
        <f t="shared" si="587"/>
        <v/>
      </c>
    </row>
    <row r="34438" spans="8:8" x14ac:dyDescent="0.3">
      <c r="H34438" t="str">
        <f t="shared" si="587"/>
        <v/>
      </c>
    </row>
    <row r="34439" spans="8:8" x14ac:dyDescent="0.3">
      <c r="H34439" t="str">
        <f t="shared" si="587"/>
        <v/>
      </c>
    </row>
    <row r="34440" spans="8:8" x14ac:dyDescent="0.3">
      <c r="H34440" t="str">
        <f t="shared" si="587"/>
        <v/>
      </c>
    </row>
    <row r="34441" spans="8:8" x14ac:dyDescent="0.3">
      <c r="H34441" t="str">
        <f t="shared" si="587"/>
        <v/>
      </c>
    </row>
    <row r="34442" spans="8:8" x14ac:dyDescent="0.3">
      <c r="H34442" t="str">
        <f t="shared" si="587"/>
        <v/>
      </c>
    </row>
    <row r="34443" spans="8:8" x14ac:dyDescent="0.3">
      <c r="H34443" t="str">
        <f t="shared" si="587"/>
        <v/>
      </c>
    </row>
    <row r="34444" spans="8:8" x14ac:dyDescent="0.3">
      <c r="H34444" t="str">
        <f t="shared" si="587"/>
        <v/>
      </c>
    </row>
    <row r="34445" spans="8:8" x14ac:dyDescent="0.3">
      <c r="H34445" t="str">
        <f t="shared" si="587"/>
        <v/>
      </c>
    </row>
    <row r="34446" spans="8:8" x14ac:dyDescent="0.3">
      <c r="H34446" t="str">
        <f t="shared" si="587"/>
        <v/>
      </c>
    </row>
    <row r="34447" spans="8:8" x14ac:dyDescent="0.3">
      <c r="H34447" t="str">
        <f t="shared" si="587"/>
        <v/>
      </c>
    </row>
    <row r="34448" spans="8:8" x14ac:dyDescent="0.3">
      <c r="H34448" t="str">
        <f t="shared" si="587"/>
        <v/>
      </c>
    </row>
    <row r="34449" spans="8:8" x14ac:dyDescent="0.3">
      <c r="H34449" t="str">
        <f t="shared" si="587"/>
        <v/>
      </c>
    </row>
    <row r="34450" spans="8:8" x14ac:dyDescent="0.3">
      <c r="H34450" t="str">
        <f t="shared" si="587"/>
        <v/>
      </c>
    </row>
    <row r="34451" spans="8:8" x14ac:dyDescent="0.3">
      <c r="H34451" t="str">
        <f t="shared" si="587"/>
        <v/>
      </c>
    </row>
    <row r="34452" spans="8:8" x14ac:dyDescent="0.3">
      <c r="H34452" t="str">
        <f t="shared" si="587"/>
        <v/>
      </c>
    </row>
    <row r="34453" spans="8:8" x14ac:dyDescent="0.3">
      <c r="H34453" t="str">
        <f t="shared" si="587"/>
        <v/>
      </c>
    </row>
    <row r="34454" spans="8:8" x14ac:dyDescent="0.3">
      <c r="H34454" t="str">
        <f t="shared" si="587"/>
        <v/>
      </c>
    </row>
    <row r="34455" spans="8:8" x14ac:dyDescent="0.3">
      <c r="H34455" t="str">
        <f t="shared" ref="H34455:H34518" si="588">IF(B34455="","",$C$12)</f>
        <v/>
      </c>
    </row>
    <row r="34456" spans="8:8" x14ac:dyDescent="0.3">
      <c r="H34456" t="str">
        <f t="shared" si="588"/>
        <v/>
      </c>
    </row>
    <row r="34457" spans="8:8" x14ac:dyDescent="0.3">
      <c r="H34457" t="str">
        <f t="shared" si="588"/>
        <v/>
      </c>
    </row>
    <row r="34458" spans="8:8" x14ac:dyDescent="0.3">
      <c r="H34458" t="str">
        <f t="shared" si="588"/>
        <v/>
      </c>
    </row>
    <row r="34459" spans="8:8" x14ac:dyDescent="0.3">
      <c r="H34459" t="str">
        <f t="shared" si="588"/>
        <v/>
      </c>
    </row>
    <row r="34460" spans="8:8" x14ac:dyDescent="0.3">
      <c r="H34460" t="str">
        <f t="shared" si="588"/>
        <v/>
      </c>
    </row>
    <row r="34461" spans="8:8" x14ac:dyDescent="0.3">
      <c r="H34461" t="str">
        <f t="shared" si="588"/>
        <v/>
      </c>
    </row>
    <row r="34462" spans="8:8" x14ac:dyDescent="0.3">
      <c r="H34462" t="str">
        <f t="shared" si="588"/>
        <v/>
      </c>
    </row>
    <row r="34463" spans="8:8" x14ac:dyDescent="0.3">
      <c r="H34463" t="str">
        <f t="shared" si="588"/>
        <v/>
      </c>
    </row>
    <row r="34464" spans="8:8" x14ac:dyDescent="0.3">
      <c r="H34464" t="str">
        <f t="shared" si="588"/>
        <v/>
      </c>
    </row>
    <row r="34465" spans="8:8" x14ac:dyDescent="0.3">
      <c r="H34465" t="str">
        <f t="shared" si="588"/>
        <v/>
      </c>
    </row>
    <row r="34466" spans="8:8" x14ac:dyDescent="0.3">
      <c r="H34466" t="str">
        <f t="shared" si="588"/>
        <v/>
      </c>
    </row>
    <row r="34467" spans="8:8" x14ac:dyDescent="0.3">
      <c r="H34467" t="str">
        <f t="shared" si="588"/>
        <v/>
      </c>
    </row>
    <row r="34468" spans="8:8" x14ac:dyDescent="0.3">
      <c r="H34468" t="str">
        <f t="shared" si="588"/>
        <v/>
      </c>
    </row>
    <row r="34469" spans="8:8" x14ac:dyDescent="0.3">
      <c r="H34469" t="str">
        <f t="shared" si="588"/>
        <v/>
      </c>
    </row>
    <row r="34470" spans="8:8" x14ac:dyDescent="0.3">
      <c r="H34470" t="str">
        <f t="shared" si="588"/>
        <v/>
      </c>
    </row>
    <row r="34471" spans="8:8" x14ac:dyDescent="0.3">
      <c r="H34471" t="str">
        <f t="shared" si="588"/>
        <v/>
      </c>
    </row>
    <row r="34472" spans="8:8" x14ac:dyDescent="0.3">
      <c r="H34472" t="str">
        <f t="shared" si="588"/>
        <v/>
      </c>
    </row>
    <row r="34473" spans="8:8" x14ac:dyDescent="0.3">
      <c r="H34473" t="str">
        <f t="shared" si="588"/>
        <v/>
      </c>
    </row>
    <row r="34474" spans="8:8" x14ac:dyDescent="0.3">
      <c r="H34474" t="str">
        <f t="shared" si="588"/>
        <v/>
      </c>
    </row>
    <row r="34475" spans="8:8" x14ac:dyDescent="0.3">
      <c r="H34475" t="str">
        <f t="shared" si="588"/>
        <v/>
      </c>
    </row>
    <row r="34476" spans="8:8" x14ac:dyDescent="0.3">
      <c r="H34476" t="str">
        <f t="shared" si="588"/>
        <v/>
      </c>
    </row>
    <row r="34477" spans="8:8" x14ac:dyDescent="0.3">
      <c r="H34477" t="str">
        <f t="shared" si="588"/>
        <v/>
      </c>
    </row>
    <row r="34478" spans="8:8" x14ac:dyDescent="0.3">
      <c r="H34478" t="str">
        <f t="shared" si="588"/>
        <v/>
      </c>
    </row>
    <row r="34479" spans="8:8" x14ac:dyDescent="0.3">
      <c r="H34479" t="str">
        <f t="shared" si="588"/>
        <v/>
      </c>
    </row>
    <row r="34480" spans="8:8" x14ac:dyDescent="0.3">
      <c r="H34480" t="str">
        <f t="shared" si="588"/>
        <v/>
      </c>
    </row>
    <row r="34481" spans="8:8" x14ac:dyDescent="0.3">
      <c r="H34481" t="str">
        <f t="shared" si="588"/>
        <v/>
      </c>
    </row>
    <row r="34482" spans="8:8" x14ac:dyDescent="0.3">
      <c r="H34482" t="str">
        <f t="shared" si="588"/>
        <v/>
      </c>
    </row>
    <row r="34483" spans="8:8" x14ac:dyDescent="0.3">
      <c r="H34483" t="str">
        <f t="shared" si="588"/>
        <v/>
      </c>
    </row>
    <row r="34484" spans="8:8" x14ac:dyDescent="0.3">
      <c r="H34484" t="str">
        <f t="shared" si="588"/>
        <v/>
      </c>
    </row>
    <row r="34485" spans="8:8" x14ac:dyDescent="0.3">
      <c r="H34485" t="str">
        <f t="shared" si="588"/>
        <v/>
      </c>
    </row>
    <row r="34486" spans="8:8" x14ac:dyDescent="0.3">
      <c r="H34486" t="str">
        <f t="shared" si="588"/>
        <v/>
      </c>
    </row>
    <row r="34487" spans="8:8" x14ac:dyDescent="0.3">
      <c r="H34487" t="str">
        <f t="shared" si="588"/>
        <v/>
      </c>
    </row>
    <row r="34488" spans="8:8" x14ac:dyDescent="0.3">
      <c r="H34488" t="str">
        <f t="shared" si="588"/>
        <v/>
      </c>
    </row>
    <row r="34489" spans="8:8" x14ac:dyDescent="0.3">
      <c r="H34489" t="str">
        <f t="shared" si="588"/>
        <v/>
      </c>
    </row>
    <row r="34490" spans="8:8" x14ac:dyDescent="0.3">
      <c r="H34490" t="str">
        <f t="shared" si="588"/>
        <v/>
      </c>
    </row>
    <row r="34491" spans="8:8" x14ac:dyDescent="0.3">
      <c r="H34491" t="str">
        <f t="shared" si="588"/>
        <v/>
      </c>
    </row>
    <row r="34492" spans="8:8" x14ac:dyDescent="0.3">
      <c r="H34492" t="str">
        <f t="shared" si="588"/>
        <v/>
      </c>
    </row>
    <row r="34493" spans="8:8" x14ac:dyDescent="0.3">
      <c r="H34493" t="str">
        <f t="shared" si="588"/>
        <v/>
      </c>
    </row>
    <row r="34494" spans="8:8" x14ac:dyDescent="0.3">
      <c r="H34494" t="str">
        <f t="shared" si="588"/>
        <v/>
      </c>
    </row>
    <row r="34495" spans="8:8" x14ac:dyDescent="0.3">
      <c r="H34495" t="str">
        <f t="shared" si="588"/>
        <v/>
      </c>
    </row>
    <row r="34496" spans="8:8" x14ac:dyDescent="0.3">
      <c r="H34496" t="str">
        <f t="shared" si="588"/>
        <v/>
      </c>
    </row>
    <row r="34497" spans="8:8" x14ac:dyDescent="0.3">
      <c r="H34497" t="str">
        <f t="shared" si="588"/>
        <v/>
      </c>
    </row>
    <row r="34498" spans="8:8" x14ac:dyDescent="0.3">
      <c r="H34498" t="str">
        <f t="shared" si="588"/>
        <v/>
      </c>
    </row>
    <row r="34499" spans="8:8" x14ac:dyDescent="0.3">
      <c r="H34499" t="str">
        <f t="shared" si="588"/>
        <v/>
      </c>
    </row>
    <row r="34500" spans="8:8" x14ac:dyDescent="0.3">
      <c r="H34500" t="str">
        <f t="shared" si="588"/>
        <v/>
      </c>
    </row>
    <row r="34501" spans="8:8" x14ac:dyDescent="0.3">
      <c r="H34501" t="str">
        <f t="shared" si="588"/>
        <v/>
      </c>
    </row>
    <row r="34502" spans="8:8" x14ac:dyDescent="0.3">
      <c r="H34502" t="str">
        <f t="shared" si="588"/>
        <v/>
      </c>
    </row>
    <row r="34503" spans="8:8" x14ac:dyDescent="0.3">
      <c r="H34503" t="str">
        <f t="shared" si="588"/>
        <v/>
      </c>
    </row>
    <row r="34504" spans="8:8" x14ac:dyDescent="0.3">
      <c r="H34504" t="str">
        <f t="shared" si="588"/>
        <v/>
      </c>
    </row>
    <row r="34505" spans="8:8" x14ac:dyDescent="0.3">
      <c r="H34505" t="str">
        <f t="shared" si="588"/>
        <v/>
      </c>
    </row>
    <row r="34506" spans="8:8" x14ac:dyDescent="0.3">
      <c r="H34506" t="str">
        <f t="shared" si="588"/>
        <v/>
      </c>
    </row>
    <row r="34507" spans="8:8" x14ac:dyDescent="0.3">
      <c r="H34507" t="str">
        <f t="shared" si="588"/>
        <v/>
      </c>
    </row>
    <row r="34508" spans="8:8" x14ac:dyDescent="0.3">
      <c r="H34508" t="str">
        <f t="shared" si="588"/>
        <v/>
      </c>
    </row>
    <row r="34509" spans="8:8" x14ac:dyDescent="0.3">
      <c r="H34509" t="str">
        <f t="shared" si="588"/>
        <v/>
      </c>
    </row>
    <row r="34510" spans="8:8" x14ac:dyDescent="0.3">
      <c r="H34510" t="str">
        <f t="shared" si="588"/>
        <v/>
      </c>
    </row>
    <row r="34511" spans="8:8" x14ac:dyDescent="0.3">
      <c r="H34511" t="str">
        <f t="shared" si="588"/>
        <v/>
      </c>
    </row>
    <row r="34512" spans="8:8" x14ac:dyDescent="0.3">
      <c r="H34512" t="str">
        <f t="shared" si="588"/>
        <v/>
      </c>
    </row>
    <row r="34513" spans="8:8" x14ac:dyDescent="0.3">
      <c r="H34513" t="str">
        <f t="shared" si="588"/>
        <v/>
      </c>
    </row>
    <row r="34514" spans="8:8" x14ac:dyDescent="0.3">
      <c r="H34514" t="str">
        <f t="shared" si="588"/>
        <v/>
      </c>
    </row>
    <row r="34515" spans="8:8" x14ac:dyDescent="0.3">
      <c r="H34515" t="str">
        <f t="shared" si="588"/>
        <v/>
      </c>
    </row>
    <row r="34516" spans="8:8" x14ac:dyDescent="0.3">
      <c r="H34516" t="str">
        <f t="shared" si="588"/>
        <v/>
      </c>
    </row>
    <row r="34517" spans="8:8" x14ac:dyDescent="0.3">
      <c r="H34517" t="str">
        <f t="shared" si="588"/>
        <v/>
      </c>
    </row>
    <row r="34518" spans="8:8" x14ac:dyDescent="0.3">
      <c r="H34518" t="str">
        <f t="shared" si="588"/>
        <v/>
      </c>
    </row>
    <row r="34519" spans="8:8" x14ac:dyDescent="0.3">
      <c r="H34519" t="str">
        <f t="shared" ref="H34519:H34582" si="589">IF(B34519="","",$C$12)</f>
        <v/>
      </c>
    </row>
    <row r="34520" spans="8:8" x14ac:dyDescent="0.3">
      <c r="H34520" t="str">
        <f t="shared" si="589"/>
        <v/>
      </c>
    </row>
    <row r="34521" spans="8:8" x14ac:dyDescent="0.3">
      <c r="H34521" t="str">
        <f t="shared" si="589"/>
        <v/>
      </c>
    </row>
    <row r="34522" spans="8:8" x14ac:dyDescent="0.3">
      <c r="H34522" t="str">
        <f t="shared" si="589"/>
        <v/>
      </c>
    </row>
    <row r="34523" spans="8:8" x14ac:dyDescent="0.3">
      <c r="H34523" t="str">
        <f t="shared" si="589"/>
        <v/>
      </c>
    </row>
    <row r="34524" spans="8:8" x14ac:dyDescent="0.3">
      <c r="H34524" t="str">
        <f t="shared" si="589"/>
        <v/>
      </c>
    </row>
    <row r="34525" spans="8:8" x14ac:dyDescent="0.3">
      <c r="H34525" t="str">
        <f t="shared" si="589"/>
        <v/>
      </c>
    </row>
    <row r="34526" spans="8:8" x14ac:dyDescent="0.3">
      <c r="H34526" t="str">
        <f t="shared" si="589"/>
        <v/>
      </c>
    </row>
    <row r="34527" spans="8:8" x14ac:dyDescent="0.3">
      <c r="H34527" t="str">
        <f t="shared" si="589"/>
        <v/>
      </c>
    </row>
    <row r="34528" spans="8:8" x14ac:dyDescent="0.3">
      <c r="H34528" t="str">
        <f t="shared" si="589"/>
        <v/>
      </c>
    </row>
    <row r="34529" spans="8:8" x14ac:dyDescent="0.3">
      <c r="H34529" t="str">
        <f t="shared" si="589"/>
        <v/>
      </c>
    </row>
    <row r="34530" spans="8:8" x14ac:dyDescent="0.3">
      <c r="H34530" t="str">
        <f t="shared" si="589"/>
        <v/>
      </c>
    </row>
    <row r="34531" spans="8:8" x14ac:dyDescent="0.3">
      <c r="H34531" t="str">
        <f t="shared" si="589"/>
        <v/>
      </c>
    </row>
    <row r="34532" spans="8:8" x14ac:dyDescent="0.3">
      <c r="H34532" t="str">
        <f t="shared" si="589"/>
        <v/>
      </c>
    </row>
    <row r="34533" spans="8:8" x14ac:dyDescent="0.3">
      <c r="H34533" t="str">
        <f t="shared" si="589"/>
        <v/>
      </c>
    </row>
    <row r="34534" spans="8:8" x14ac:dyDescent="0.3">
      <c r="H34534" t="str">
        <f t="shared" si="589"/>
        <v/>
      </c>
    </row>
    <row r="34535" spans="8:8" x14ac:dyDescent="0.3">
      <c r="H34535" t="str">
        <f t="shared" si="589"/>
        <v/>
      </c>
    </row>
    <row r="34536" spans="8:8" x14ac:dyDescent="0.3">
      <c r="H34536" t="str">
        <f t="shared" si="589"/>
        <v/>
      </c>
    </row>
    <row r="34537" spans="8:8" x14ac:dyDescent="0.3">
      <c r="H34537" t="str">
        <f t="shared" si="589"/>
        <v/>
      </c>
    </row>
    <row r="34538" spans="8:8" x14ac:dyDescent="0.3">
      <c r="H34538" t="str">
        <f t="shared" si="589"/>
        <v/>
      </c>
    </row>
    <row r="34539" spans="8:8" x14ac:dyDescent="0.3">
      <c r="H34539" t="str">
        <f t="shared" si="589"/>
        <v/>
      </c>
    </row>
    <row r="34540" spans="8:8" x14ac:dyDescent="0.3">
      <c r="H34540" t="str">
        <f t="shared" si="589"/>
        <v/>
      </c>
    </row>
    <row r="34541" spans="8:8" x14ac:dyDescent="0.3">
      <c r="H34541" t="str">
        <f t="shared" si="589"/>
        <v/>
      </c>
    </row>
    <row r="34542" spans="8:8" x14ac:dyDescent="0.3">
      <c r="H34542" t="str">
        <f t="shared" si="589"/>
        <v/>
      </c>
    </row>
    <row r="34543" spans="8:8" x14ac:dyDescent="0.3">
      <c r="H34543" t="str">
        <f t="shared" si="589"/>
        <v/>
      </c>
    </row>
    <row r="34544" spans="8:8" x14ac:dyDescent="0.3">
      <c r="H34544" t="str">
        <f t="shared" si="589"/>
        <v/>
      </c>
    </row>
    <row r="34545" spans="8:8" x14ac:dyDescent="0.3">
      <c r="H34545" t="str">
        <f t="shared" si="589"/>
        <v/>
      </c>
    </row>
    <row r="34546" spans="8:8" x14ac:dyDescent="0.3">
      <c r="H34546" t="str">
        <f t="shared" si="589"/>
        <v/>
      </c>
    </row>
    <row r="34547" spans="8:8" x14ac:dyDescent="0.3">
      <c r="H34547" t="str">
        <f t="shared" si="589"/>
        <v/>
      </c>
    </row>
    <row r="34548" spans="8:8" x14ac:dyDescent="0.3">
      <c r="H34548" t="str">
        <f t="shared" si="589"/>
        <v/>
      </c>
    </row>
    <row r="34549" spans="8:8" x14ac:dyDescent="0.3">
      <c r="H34549" t="str">
        <f t="shared" si="589"/>
        <v/>
      </c>
    </row>
    <row r="34550" spans="8:8" x14ac:dyDescent="0.3">
      <c r="H34550" t="str">
        <f t="shared" si="589"/>
        <v/>
      </c>
    </row>
    <row r="34551" spans="8:8" x14ac:dyDescent="0.3">
      <c r="H34551" t="str">
        <f t="shared" si="589"/>
        <v/>
      </c>
    </row>
    <row r="34552" spans="8:8" x14ac:dyDescent="0.3">
      <c r="H34552" t="str">
        <f t="shared" si="589"/>
        <v/>
      </c>
    </row>
    <row r="34553" spans="8:8" x14ac:dyDescent="0.3">
      <c r="H34553" t="str">
        <f t="shared" si="589"/>
        <v/>
      </c>
    </row>
    <row r="34554" spans="8:8" x14ac:dyDescent="0.3">
      <c r="H34554" t="str">
        <f t="shared" si="589"/>
        <v/>
      </c>
    </row>
    <row r="34555" spans="8:8" x14ac:dyDescent="0.3">
      <c r="H34555" t="str">
        <f t="shared" si="589"/>
        <v/>
      </c>
    </row>
    <row r="34556" spans="8:8" x14ac:dyDescent="0.3">
      <c r="H34556" t="str">
        <f t="shared" si="589"/>
        <v/>
      </c>
    </row>
    <row r="34557" spans="8:8" x14ac:dyDescent="0.3">
      <c r="H34557" t="str">
        <f t="shared" si="589"/>
        <v/>
      </c>
    </row>
    <row r="34558" spans="8:8" x14ac:dyDescent="0.3">
      <c r="H34558" t="str">
        <f t="shared" si="589"/>
        <v/>
      </c>
    </row>
    <row r="34559" spans="8:8" x14ac:dyDescent="0.3">
      <c r="H34559" t="str">
        <f t="shared" si="589"/>
        <v/>
      </c>
    </row>
    <row r="34560" spans="8:8" x14ac:dyDescent="0.3">
      <c r="H34560" t="str">
        <f t="shared" si="589"/>
        <v/>
      </c>
    </row>
    <row r="34561" spans="8:8" x14ac:dyDescent="0.3">
      <c r="H34561" t="str">
        <f t="shared" si="589"/>
        <v/>
      </c>
    </row>
    <row r="34562" spans="8:8" x14ac:dyDescent="0.3">
      <c r="H34562" t="str">
        <f t="shared" si="589"/>
        <v/>
      </c>
    </row>
    <row r="34563" spans="8:8" x14ac:dyDescent="0.3">
      <c r="H34563" t="str">
        <f t="shared" si="589"/>
        <v/>
      </c>
    </row>
    <row r="34564" spans="8:8" x14ac:dyDescent="0.3">
      <c r="H34564" t="str">
        <f t="shared" si="589"/>
        <v/>
      </c>
    </row>
    <row r="34565" spans="8:8" x14ac:dyDescent="0.3">
      <c r="H34565" t="str">
        <f t="shared" si="589"/>
        <v/>
      </c>
    </row>
    <row r="34566" spans="8:8" x14ac:dyDescent="0.3">
      <c r="H34566" t="str">
        <f t="shared" si="589"/>
        <v/>
      </c>
    </row>
    <row r="34567" spans="8:8" x14ac:dyDescent="0.3">
      <c r="H34567" t="str">
        <f t="shared" si="589"/>
        <v/>
      </c>
    </row>
    <row r="34568" spans="8:8" x14ac:dyDescent="0.3">
      <c r="H34568" t="str">
        <f t="shared" si="589"/>
        <v/>
      </c>
    </row>
    <row r="34569" spans="8:8" x14ac:dyDescent="0.3">
      <c r="H34569" t="str">
        <f t="shared" si="589"/>
        <v/>
      </c>
    </row>
    <row r="34570" spans="8:8" x14ac:dyDescent="0.3">
      <c r="H34570" t="str">
        <f t="shared" si="589"/>
        <v/>
      </c>
    </row>
    <row r="34571" spans="8:8" x14ac:dyDescent="0.3">
      <c r="H34571" t="str">
        <f t="shared" si="589"/>
        <v/>
      </c>
    </row>
    <row r="34572" spans="8:8" x14ac:dyDescent="0.3">
      <c r="H34572" t="str">
        <f t="shared" si="589"/>
        <v/>
      </c>
    </row>
    <row r="34573" spans="8:8" x14ac:dyDescent="0.3">
      <c r="H34573" t="str">
        <f t="shared" si="589"/>
        <v/>
      </c>
    </row>
    <row r="34574" spans="8:8" x14ac:dyDescent="0.3">
      <c r="H34574" t="str">
        <f t="shared" si="589"/>
        <v/>
      </c>
    </row>
    <row r="34575" spans="8:8" x14ac:dyDescent="0.3">
      <c r="H34575" t="str">
        <f t="shared" si="589"/>
        <v/>
      </c>
    </row>
    <row r="34576" spans="8:8" x14ac:dyDescent="0.3">
      <c r="H34576" t="str">
        <f t="shared" si="589"/>
        <v/>
      </c>
    </row>
    <row r="34577" spans="8:8" x14ac:dyDescent="0.3">
      <c r="H34577" t="str">
        <f t="shared" si="589"/>
        <v/>
      </c>
    </row>
    <row r="34578" spans="8:8" x14ac:dyDescent="0.3">
      <c r="H34578" t="str">
        <f t="shared" si="589"/>
        <v/>
      </c>
    </row>
    <row r="34579" spans="8:8" x14ac:dyDescent="0.3">
      <c r="H34579" t="str">
        <f t="shared" si="589"/>
        <v/>
      </c>
    </row>
    <row r="34580" spans="8:8" x14ac:dyDescent="0.3">
      <c r="H34580" t="str">
        <f t="shared" si="589"/>
        <v/>
      </c>
    </row>
    <row r="34581" spans="8:8" x14ac:dyDescent="0.3">
      <c r="H34581" t="str">
        <f t="shared" si="589"/>
        <v/>
      </c>
    </row>
    <row r="34582" spans="8:8" x14ac:dyDescent="0.3">
      <c r="H34582" t="str">
        <f t="shared" si="589"/>
        <v/>
      </c>
    </row>
    <row r="34583" spans="8:8" x14ac:dyDescent="0.3">
      <c r="H34583" t="str">
        <f t="shared" ref="H34583:H34646" si="590">IF(B34583="","",$C$12)</f>
        <v/>
      </c>
    </row>
    <row r="34584" spans="8:8" x14ac:dyDescent="0.3">
      <c r="H34584" t="str">
        <f t="shared" si="590"/>
        <v/>
      </c>
    </row>
    <row r="34585" spans="8:8" x14ac:dyDescent="0.3">
      <c r="H34585" t="str">
        <f t="shared" si="590"/>
        <v/>
      </c>
    </row>
    <row r="34586" spans="8:8" x14ac:dyDescent="0.3">
      <c r="H34586" t="str">
        <f t="shared" si="590"/>
        <v/>
      </c>
    </row>
    <row r="34587" spans="8:8" x14ac:dyDescent="0.3">
      <c r="H34587" t="str">
        <f t="shared" si="590"/>
        <v/>
      </c>
    </row>
    <row r="34588" spans="8:8" x14ac:dyDescent="0.3">
      <c r="H34588" t="str">
        <f t="shared" si="590"/>
        <v/>
      </c>
    </row>
    <row r="34589" spans="8:8" x14ac:dyDescent="0.3">
      <c r="H34589" t="str">
        <f t="shared" si="590"/>
        <v/>
      </c>
    </row>
    <row r="34590" spans="8:8" x14ac:dyDescent="0.3">
      <c r="H34590" t="str">
        <f t="shared" si="590"/>
        <v/>
      </c>
    </row>
    <row r="34591" spans="8:8" x14ac:dyDescent="0.3">
      <c r="H34591" t="str">
        <f t="shared" si="590"/>
        <v/>
      </c>
    </row>
    <row r="34592" spans="8:8" x14ac:dyDescent="0.3">
      <c r="H34592" t="str">
        <f t="shared" si="590"/>
        <v/>
      </c>
    </row>
    <row r="34593" spans="8:8" x14ac:dyDescent="0.3">
      <c r="H34593" t="str">
        <f t="shared" si="590"/>
        <v/>
      </c>
    </row>
    <row r="34594" spans="8:8" x14ac:dyDescent="0.3">
      <c r="H34594" t="str">
        <f t="shared" si="590"/>
        <v/>
      </c>
    </row>
    <row r="34595" spans="8:8" x14ac:dyDescent="0.3">
      <c r="H34595" t="str">
        <f t="shared" si="590"/>
        <v/>
      </c>
    </row>
    <row r="34596" spans="8:8" x14ac:dyDescent="0.3">
      <c r="H34596" t="str">
        <f t="shared" si="590"/>
        <v/>
      </c>
    </row>
    <row r="34597" spans="8:8" x14ac:dyDescent="0.3">
      <c r="H34597" t="str">
        <f t="shared" si="590"/>
        <v/>
      </c>
    </row>
    <row r="34598" spans="8:8" x14ac:dyDescent="0.3">
      <c r="H34598" t="str">
        <f t="shared" si="590"/>
        <v/>
      </c>
    </row>
    <row r="34599" spans="8:8" x14ac:dyDescent="0.3">
      <c r="H34599" t="str">
        <f t="shared" si="590"/>
        <v/>
      </c>
    </row>
    <row r="34600" spans="8:8" x14ac:dyDescent="0.3">
      <c r="H34600" t="str">
        <f t="shared" si="590"/>
        <v/>
      </c>
    </row>
    <row r="34601" spans="8:8" x14ac:dyDescent="0.3">
      <c r="H34601" t="str">
        <f t="shared" si="590"/>
        <v/>
      </c>
    </row>
    <row r="34602" spans="8:8" x14ac:dyDescent="0.3">
      <c r="H34602" t="str">
        <f t="shared" si="590"/>
        <v/>
      </c>
    </row>
    <row r="34603" spans="8:8" x14ac:dyDescent="0.3">
      <c r="H34603" t="str">
        <f t="shared" si="590"/>
        <v/>
      </c>
    </row>
    <row r="34604" spans="8:8" x14ac:dyDescent="0.3">
      <c r="H34604" t="str">
        <f t="shared" si="590"/>
        <v/>
      </c>
    </row>
    <row r="34605" spans="8:8" x14ac:dyDescent="0.3">
      <c r="H34605" t="str">
        <f t="shared" si="590"/>
        <v/>
      </c>
    </row>
    <row r="34606" spans="8:8" x14ac:dyDescent="0.3">
      <c r="H34606" t="str">
        <f t="shared" si="590"/>
        <v/>
      </c>
    </row>
    <row r="34607" spans="8:8" x14ac:dyDescent="0.3">
      <c r="H34607" t="str">
        <f t="shared" si="590"/>
        <v/>
      </c>
    </row>
    <row r="34608" spans="8:8" x14ac:dyDescent="0.3">
      <c r="H34608" t="str">
        <f t="shared" si="590"/>
        <v/>
      </c>
    </row>
    <row r="34609" spans="8:8" x14ac:dyDescent="0.3">
      <c r="H34609" t="str">
        <f t="shared" si="590"/>
        <v/>
      </c>
    </row>
    <row r="34610" spans="8:8" x14ac:dyDescent="0.3">
      <c r="H34610" t="str">
        <f t="shared" si="590"/>
        <v/>
      </c>
    </row>
    <row r="34611" spans="8:8" x14ac:dyDescent="0.3">
      <c r="H34611" t="str">
        <f t="shared" si="590"/>
        <v/>
      </c>
    </row>
    <row r="34612" spans="8:8" x14ac:dyDescent="0.3">
      <c r="H34612" t="str">
        <f t="shared" si="590"/>
        <v/>
      </c>
    </row>
    <row r="34613" spans="8:8" x14ac:dyDescent="0.3">
      <c r="H34613" t="str">
        <f t="shared" si="590"/>
        <v/>
      </c>
    </row>
    <row r="34614" spans="8:8" x14ac:dyDescent="0.3">
      <c r="H34614" t="str">
        <f t="shared" si="590"/>
        <v/>
      </c>
    </row>
    <row r="34615" spans="8:8" x14ac:dyDescent="0.3">
      <c r="H34615" t="str">
        <f t="shared" si="590"/>
        <v/>
      </c>
    </row>
    <row r="34616" spans="8:8" x14ac:dyDescent="0.3">
      <c r="H34616" t="str">
        <f t="shared" si="590"/>
        <v/>
      </c>
    </row>
    <row r="34617" spans="8:8" x14ac:dyDescent="0.3">
      <c r="H34617" t="str">
        <f t="shared" si="590"/>
        <v/>
      </c>
    </row>
    <row r="34618" spans="8:8" x14ac:dyDescent="0.3">
      <c r="H34618" t="str">
        <f t="shared" si="590"/>
        <v/>
      </c>
    </row>
    <row r="34619" spans="8:8" x14ac:dyDescent="0.3">
      <c r="H34619" t="str">
        <f t="shared" si="590"/>
        <v/>
      </c>
    </row>
    <row r="34620" spans="8:8" x14ac:dyDescent="0.3">
      <c r="H34620" t="str">
        <f t="shared" si="590"/>
        <v/>
      </c>
    </row>
    <row r="34621" spans="8:8" x14ac:dyDescent="0.3">
      <c r="H34621" t="str">
        <f t="shared" si="590"/>
        <v/>
      </c>
    </row>
    <row r="34622" spans="8:8" x14ac:dyDescent="0.3">
      <c r="H34622" t="str">
        <f t="shared" si="590"/>
        <v/>
      </c>
    </row>
    <row r="34623" spans="8:8" x14ac:dyDescent="0.3">
      <c r="H34623" t="str">
        <f t="shared" si="590"/>
        <v/>
      </c>
    </row>
    <row r="34624" spans="8:8" x14ac:dyDescent="0.3">
      <c r="H34624" t="str">
        <f t="shared" si="590"/>
        <v/>
      </c>
    </row>
    <row r="34625" spans="8:8" x14ac:dyDescent="0.3">
      <c r="H34625" t="str">
        <f t="shared" si="590"/>
        <v/>
      </c>
    </row>
    <row r="34626" spans="8:8" x14ac:dyDescent="0.3">
      <c r="H34626" t="str">
        <f t="shared" si="590"/>
        <v/>
      </c>
    </row>
    <row r="34627" spans="8:8" x14ac:dyDescent="0.3">
      <c r="H34627" t="str">
        <f t="shared" si="590"/>
        <v/>
      </c>
    </row>
    <row r="34628" spans="8:8" x14ac:dyDescent="0.3">
      <c r="H34628" t="str">
        <f t="shared" si="590"/>
        <v/>
      </c>
    </row>
    <row r="34629" spans="8:8" x14ac:dyDescent="0.3">
      <c r="H34629" t="str">
        <f t="shared" si="590"/>
        <v/>
      </c>
    </row>
    <row r="34630" spans="8:8" x14ac:dyDescent="0.3">
      <c r="H34630" t="str">
        <f t="shared" si="590"/>
        <v/>
      </c>
    </row>
    <row r="34631" spans="8:8" x14ac:dyDescent="0.3">
      <c r="H34631" t="str">
        <f t="shared" si="590"/>
        <v/>
      </c>
    </row>
    <row r="34632" spans="8:8" x14ac:dyDescent="0.3">
      <c r="H34632" t="str">
        <f t="shared" si="590"/>
        <v/>
      </c>
    </row>
    <row r="34633" spans="8:8" x14ac:dyDescent="0.3">
      <c r="H34633" t="str">
        <f t="shared" si="590"/>
        <v/>
      </c>
    </row>
    <row r="34634" spans="8:8" x14ac:dyDescent="0.3">
      <c r="H34634" t="str">
        <f t="shared" si="590"/>
        <v/>
      </c>
    </row>
    <row r="34635" spans="8:8" x14ac:dyDescent="0.3">
      <c r="H34635" t="str">
        <f t="shared" si="590"/>
        <v/>
      </c>
    </row>
    <row r="34636" spans="8:8" x14ac:dyDescent="0.3">
      <c r="H34636" t="str">
        <f t="shared" si="590"/>
        <v/>
      </c>
    </row>
    <row r="34637" spans="8:8" x14ac:dyDescent="0.3">
      <c r="H34637" t="str">
        <f t="shared" si="590"/>
        <v/>
      </c>
    </row>
    <row r="34638" spans="8:8" x14ac:dyDescent="0.3">
      <c r="H34638" t="str">
        <f t="shared" si="590"/>
        <v/>
      </c>
    </row>
    <row r="34639" spans="8:8" x14ac:dyDescent="0.3">
      <c r="H34639" t="str">
        <f t="shared" si="590"/>
        <v/>
      </c>
    </row>
    <row r="34640" spans="8:8" x14ac:dyDescent="0.3">
      <c r="H34640" t="str">
        <f t="shared" si="590"/>
        <v/>
      </c>
    </row>
    <row r="34641" spans="8:8" x14ac:dyDescent="0.3">
      <c r="H34641" t="str">
        <f t="shared" si="590"/>
        <v/>
      </c>
    </row>
    <row r="34642" spans="8:8" x14ac:dyDescent="0.3">
      <c r="H34642" t="str">
        <f t="shared" si="590"/>
        <v/>
      </c>
    </row>
    <row r="34643" spans="8:8" x14ac:dyDescent="0.3">
      <c r="H34643" t="str">
        <f t="shared" si="590"/>
        <v/>
      </c>
    </row>
    <row r="34644" spans="8:8" x14ac:dyDescent="0.3">
      <c r="H34644" t="str">
        <f t="shared" si="590"/>
        <v/>
      </c>
    </row>
    <row r="34645" spans="8:8" x14ac:dyDescent="0.3">
      <c r="H34645" t="str">
        <f t="shared" si="590"/>
        <v/>
      </c>
    </row>
    <row r="34646" spans="8:8" x14ac:dyDescent="0.3">
      <c r="H34646" t="str">
        <f t="shared" si="590"/>
        <v/>
      </c>
    </row>
    <row r="34647" spans="8:8" x14ac:dyDescent="0.3">
      <c r="H34647" t="str">
        <f t="shared" ref="H34647:H34710" si="591">IF(B34647="","",$C$12)</f>
        <v/>
      </c>
    </row>
    <row r="34648" spans="8:8" x14ac:dyDescent="0.3">
      <c r="H34648" t="str">
        <f t="shared" si="591"/>
        <v/>
      </c>
    </row>
    <row r="34649" spans="8:8" x14ac:dyDescent="0.3">
      <c r="H34649" t="str">
        <f t="shared" si="591"/>
        <v/>
      </c>
    </row>
    <row r="34650" spans="8:8" x14ac:dyDescent="0.3">
      <c r="H34650" t="str">
        <f t="shared" si="591"/>
        <v/>
      </c>
    </row>
    <row r="34651" spans="8:8" x14ac:dyDescent="0.3">
      <c r="H34651" t="str">
        <f t="shared" si="591"/>
        <v/>
      </c>
    </row>
    <row r="34652" spans="8:8" x14ac:dyDescent="0.3">
      <c r="H34652" t="str">
        <f t="shared" si="591"/>
        <v/>
      </c>
    </row>
    <row r="34653" spans="8:8" x14ac:dyDescent="0.3">
      <c r="H34653" t="str">
        <f t="shared" si="591"/>
        <v/>
      </c>
    </row>
    <row r="34654" spans="8:8" x14ac:dyDescent="0.3">
      <c r="H34654" t="str">
        <f t="shared" si="591"/>
        <v/>
      </c>
    </row>
    <row r="34655" spans="8:8" x14ac:dyDescent="0.3">
      <c r="H34655" t="str">
        <f t="shared" si="591"/>
        <v/>
      </c>
    </row>
    <row r="34656" spans="8:8" x14ac:dyDescent="0.3">
      <c r="H34656" t="str">
        <f t="shared" si="591"/>
        <v/>
      </c>
    </row>
    <row r="34657" spans="8:8" x14ac:dyDescent="0.3">
      <c r="H34657" t="str">
        <f t="shared" si="591"/>
        <v/>
      </c>
    </row>
    <row r="34658" spans="8:8" x14ac:dyDescent="0.3">
      <c r="H34658" t="str">
        <f t="shared" si="591"/>
        <v/>
      </c>
    </row>
    <row r="34659" spans="8:8" x14ac:dyDescent="0.3">
      <c r="H34659" t="str">
        <f t="shared" si="591"/>
        <v/>
      </c>
    </row>
    <row r="34660" spans="8:8" x14ac:dyDescent="0.3">
      <c r="H34660" t="str">
        <f t="shared" si="591"/>
        <v/>
      </c>
    </row>
    <row r="34661" spans="8:8" x14ac:dyDescent="0.3">
      <c r="H34661" t="str">
        <f t="shared" si="591"/>
        <v/>
      </c>
    </row>
    <row r="34662" spans="8:8" x14ac:dyDescent="0.3">
      <c r="H34662" t="str">
        <f t="shared" si="591"/>
        <v/>
      </c>
    </row>
    <row r="34663" spans="8:8" x14ac:dyDescent="0.3">
      <c r="H34663" t="str">
        <f t="shared" si="591"/>
        <v/>
      </c>
    </row>
    <row r="34664" spans="8:8" x14ac:dyDescent="0.3">
      <c r="H34664" t="str">
        <f t="shared" si="591"/>
        <v/>
      </c>
    </row>
    <row r="34665" spans="8:8" x14ac:dyDescent="0.3">
      <c r="H34665" t="str">
        <f t="shared" si="591"/>
        <v/>
      </c>
    </row>
    <row r="34666" spans="8:8" x14ac:dyDescent="0.3">
      <c r="H34666" t="str">
        <f t="shared" si="591"/>
        <v/>
      </c>
    </row>
    <row r="34667" spans="8:8" x14ac:dyDescent="0.3">
      <c r="H34667" t="str">
        <f t="shared" si="591"/>
        <v/>
      </c>
    </row>
    <row r="34668" spans="8:8" x14ac:dyDescent="0.3">
      <c r="H34668" t="str">
        <f t="shared" si="591"/>
        <v/>
      </c>
    </row>
    <row r="34669" spans="8:8" x14ac:dyDescent="0.3">
      <c r="H34669" t="str">
        <f t="shared" si="591"/>
        <v/>
      </c>
    </row>
    <row r="34670" spans="8:8" x14ac:dyDescent="0.3">
      <c r="H34670" t="str">
        <f t="shared" si="591"/>
        <v/>
      </c>
    </row>
    <row r="34671" spans="8:8" x14ac:dyDescent="0.3">
      <c r="H34671" t="str">
        <f t="shared" si="591"/>
        <v/>
      </c>
    </row>
    <row r="34672" spans="8:8" x14ac:dyDescent="0.3">
      <c r="H34672" t="str">
        <f t="shared" si="591"/>
        <v/>
      </c>
    </row>
    <row r="34673" spans="8:8" x14ac:dyDescent="0.3">
      <c r="H34673" t="str">
        <f t="shared" si="591"/>
        <v/>
      </c>
    </row>
    <row r="34674" spans="8:8" x14ac:dyDescent="0.3">
      <c r="H34674" t="str">
        <f t="shared" si="591"/>
        <v/>
      </c>
    </row>
    <row r="34675" spans="8:8" x14ac:dyDescent="0.3">
      <c r="H34675" t="str">
        <f t="shared" si="591"/>
        <v/>
      </c>
    </row>
    <row r="34676" spans="8:8" x14ac:dyDescent="0.3">
      <c r="H34676" t="str">
        <f t="shared" si="591"/>
        <v/>
      </c>
    </row>
    <row r="34677" spans="8:8" x14ac:dyDescent="0.3">
      <c r="H34677" t="str">
        <f t="shared" si="591"/>
        <v/>
      </c>
    </row>
    <row r="34678" spans="8:8" x14ac:dyDescent="0.3">
      <c r="H34678" t="str">
        <f t="shared" si="591"/>
        <v/>
      </c>
    </row>
    <row r="34679" spans="8:8" x14ac:dyDescent="0.3">
      <c r="H34679" t="str">
        <f t="shared" si="591"/>
        <v/>
      </c>
    </row>
    <row r="34680" spans="8:8" x14ac:dyDescent="0.3">
      <c r="H34680" t="str">
        <f t="shared" si="591"/>
        <v/>
      </c>
    </row>
    <row r="34681" spans="8:8" x14ac:dyDescent="0.3">
      <c r="H34681" t="str">
        <f t="shared" si="591"/>
        <v/>
      </c>
    </row>
    <row r="34682" spans="8:8" x14ac:dyDescent="0.3">
      <c r="H34682" t="str">
        <f t="shared" si="591"/>
        <v/>
      </c>
    </row>
    <row r="34683" spans="8:8" x14ac:dyDescent="0.3">
      <c r="H34683" t="str">
        <f t="shared" si="591"/>
        <v/>
      </c>
    </row>
    <row r="34684" spans="8:8" x14ac:dyDescent="0.3">
      <c r="H34684" t="str">
        <f t="shared" si="591"/>
        <v/>
      </c>
    </row>
    <row r="34685" spans="8:8" x14ac:dyDescent="0.3">
      <c r="H34685" t="str">
        <f t="shared" si="591"/>
        <v/>
      </c>
    </row>
    <row r="34686" spans="8:8" x14ac:dyDescent="0.3">
      <c r="H34686" t="str">
        <f t="shared" si="591"/>
        <v/>
      </c>
    </row>
    <row r="34687" spans="8:8" x14ac:dyDescent="0.3">
      <c r="H34687" t="str">
        <f t="shared" si="591"/>
        <v/>
      </c>
    </row>
    <row r="34688" spans="8:8" x14ac:dyDescent="0.3">
      <c r="H34688" t="str">
        <f t="shared" si="591"/>
        <v/>
      </c>
    </row>
    <row r="34689" spans="8:8" x14ac:dyDescent="0.3">
      <c r="H34689" t="str">
        <f t="shared" si="591"/>
        <v/>
      </c>
    </row>
    <row r="34690" spans="8:8" x14ac:dyDescent="0.3">
      <c r="H34690" t="str">
        <f t="shared" si="591"/>
        <v/>
      </c>
    </row>
    <row r="34691" spans="8:8" x14ac:dyDescent="0.3">
      <c r="H34691" t="str">
        <f t="shared" si="591"/>
        <v/>
      </c>
    </row>
    <row r="34692" spans="8:8" x14ac:dyDescent="0.3">
      <c r="H34692" t="str">
        <f t="shared" si="591"/>
        <v/>
      </c>
    </row>
    <row r="34693" spans="8:8" x14ac:dyDescent="0.3">
      <c r="H34693" t="str">
        <f t="shared" si="591"/>
        <v/>
      </c>
    </row>
    <row r="34694" spans="8:8" x14ac:dyDescent="0.3">
      <c r="H34694" t="str">
        <f t="shared" si="591"/>
        <v/>
      </c>
    </row>
    <row r="34695" spans="8:8" x14ac:dyDescent="0.3">
      <c r="H34695" t="str">
        <f t="shared" si="591"/>
        <v/>
      </c>
    </row>
    <row r="34696" spans="8:8" x14ac:dyDescent="0.3">
      <c r="H34696" t="str">
        <f t="shared" si="591"/>
        <v/>
      </c>
    </row>
    <row r="34697" spans="8:8" x14ac:dyDescent="0.3">
      <c r="H34697" t="str">
        <f t="shared" si="591"/>
        <v/>
      </c>
    </row>
    <row r="34698" spans="8:8" x14ac:dyDescent="0.3">
      <c r="H34698" t="str">
        <f t="shared" si="591"/>
        <v/>
      </c>
    </row>
    <row r="34699" spans="8:8" x14ac:dyDescent="0.3">
      <c r="H34699" t="str">
        <f t="shared" si="591"/>
        <v/>
      </c>
    </row>
    <row r="34700" spans="8:8" x14ac:dyDescent="0.3">
      <c r="H34700" t="str">
        <f t="shared" si="591"/>
        <v/>
      </c>
    </row>
    <row r="34701" spans="8:8" x14ac:dyDescent="0.3">
      <c r="H34701" t="str">
        <f t="shared" si="591"/>
        <v/>
      </c>
    </row>
    <row r="34702" spans="8:8" x14ac:dyDescent="0.3">
      <c r="H34702" t="str">
        <f t="shared" si="591"/>
        <v/>
      </c>
    </row>
    <row r="34703" spans="8:8" x14ac:dyDescent="0.3">
      <c r="H34703" t="str">
        <f t="shared" si="591"/>
        <v/>
      </c>
    </row>
    <row r="34704" spans="8:8" x14ac:dyDescent="0.3">
      <c r="H34704" t="str">
        <f t="shared" si="591"/>
        <v/>
      </c>
    </row>
    <row r="34705" spans="8:8" x14ac:dyDescent="0.3">
      <c r="H34705" t="str">
        <f t="shared" si="591"/>
        <v/>
      </c>
    </row>
    <row r="34706" spans="8:8" x14ac:dyDescent="0.3">
      <c r="H34706" t="str">
        <f t="shared" si="591"/>
        <v/>
      </c>
    </row>
    <row r="34707" spans="8:8" x14ac:dyDescent="0.3">
      <c r="H34707" t="str">
        <f t="shared" si="591"/>
        <v/>
      </c>
    </row>
    <row r="34708" spans="8:8" x14ac:dyDescent="0.3">
      <c r="H34708" t="str">
        <f t="shared" si="591"/>
        <v/>
      </c>
    </row>
    <row r="34709" spans="8:8" x14ac:dyDescent="0.3">
      <c r="H34709" t="str">
        <f t="shared" si="591"/>
        <v/>
      </c>
    </row>
    <row r="34710" spans="8:8" x14ac:dyDescent="0.3">
      <c r="H34710" t="str">
        <f t="shared" si="591"/>
        <v/>
      </c>
    </row>
    <row r="34711" spans="8:8" x14ac:dyDescent="0.3">
      <c r="H34711" t="str">
        <f t="shared" ref="H34711:H34774" si="592">IF(B34711="","",$C$12)</f>
        <v/>
      </c>
    </row>
    <row r="34712" spans="8:8" x14ac:dyDescent="0.3">
      <c r="H34712" t="str">
        <f t="shared" si="592"/>
        <v/>
      </c>
    </row>
    <row r="34713" spans="8:8" x14ac:dyDescent="0.3">
      <c r="H34713" t="str">
        <f t="shared" si="592"/>
        <v/>
      </c>
    </row>
    <row r="34714" spans="8:8" x14ac:dyDescent="0.3">
      <c r="H34714" t="str">
        <f t="shared" si="592"/>
        <v/>
      </c>
    </row>
    <row r="34715" spans="8:8" x14ac:dyDescent="0.3">
      <c r="H34715" t="str">
        <f t="shared" si="592"/>
        <v/>
      </c>
    </row>
    <row r="34716" spans="8:8" x14ac:dyDescent="0.3">
      <c r="H34716" t="str">
        <f t="shared" si="592"/>
        <v/>
      </c>
    </row>
    <row r="34717" spans="8:8" x14ac:dyDescent="0.3">
      <c r="H34717" t="str">
        <f t="shared" si="592"/>
        <v/>
      </c>
    </row>
    <row r="34718" spans="8:8" x14ac:dyDescent="0.3">
      <c r="H34718" t="str">
        <f t="shared" si="592"/>
        <v/>
      </c>
    </row>
    <row r="34719" spans="8:8" x14ac:dyDescent="0.3">
      <c r="H34719" t="str">
        <f t="shared" si="592"/>
        <v/>
      </c>
    </row>
    <row r="34720" spans="8:8" x14ac:dyDescent="0.3">
      <c r="H34720" t="str">
        <f t="shared" si="592"/>
        <v/>
      </c>
    </row>
    <row r="34721" spans="8:8" x14ac:dyDescent="0.3">
      <c r="H34721" t="str">
        <f t="shared" si="592"/>
        <v/>
      </c>
    </row>
    <row r="34722" spans="8:8" x14ac:dyDescent="0.3">
      <c r="H34722" t="str">
        <f t="shared" si="592"/>
        <v/>
      </c>
    </row>
    <row r="34723" spans="8:8" x14ac:dyDescent="0.3">
      <c r="H34723" t="str">
        <f t="shared" si="592"/>
        <v/>
      </c>
    </row>
    <row r="34724" spans="8:8" x14ac:dyDescent="0.3">
      <c r="H34724" t="str">
        <f t="shared" si="592"/>
        <v/>
      </c>
    </row>
    <row r="34725" spans="8:8" x14ac:dyDescent="0.3">
      <c r="H34725" t="str">
        <f t="shared" si="592"/>
        <v/>
      </c>
    </row>
    <row r="34726" spans="8:8" x14ac:dyDescent="0.3">
      <c r="H34726" t="str">
        <f t="shared" si="592"/>
        <v/>
      </c>
    </row>
    <row r="34727" spans="8:8" x14ac:dyDescent="0.3">
      <c r="H34727" t="str">
        <f t="shared" si="592"/>
        <v/>
      </c>
    </row>
    <row r="34728" spans="8:8" x14ac:dyDescent="0.3">
      <c r="H34728" t="str">
        <f t="shared" si="592"/>
        <v/>
      </c>
    </row>
    <row r="34729" spans="8:8" x14ac:dyDescent="0.3">
      <c r="H34729" t="str">
        <f t="shared" si="592"/>
        <v/>
      </c>
    </row>
    <row r="34730" spans="8:8" x14ac:dyDescent="0.3">
      <c r="H34730" t="str">
        <f t="shared" si="592"/>
        <v/>
      </c>
    </row>
    <row r="34731" spans="8:8" x14ac:dyDescent="0.3">
      <c r="H34731" t="str">
        <f t="shared" si="592"/>
        <v/>
      </c>
    </row>
    <row r="34732" spans="8:8" x14ac:dyDescent="0.3">
      <c r="H34732" t="str">
        <f t="shared" si="592"/>
        <v/>
      </c>
    </row>
    <row r="34733" spans="8:8" x14ac:dyDescent="0.3">
      <c r="H34733" t="str">
        <f t="shared" si="592"/>
        <v/>
      </c>
    </row>
    <row r="34734" spans="8:8" x14ac:dyDescent="0.3">
      <c r="H34734" t="str">
        <f t="shared" si="592"/>
        <v/>
      </c>
    </row>
    <row r="34735" spans="8:8" x14ac:dyDescent="0.3">
      <c r="H34735" t="str">
        <f t="shared" si="592"/>
        <v/>
      </c>
    </row>
    <row r="34736" spans="8:8" x14ac:dyDescent="0.3">
      <c r="H34736" t="str">
        <f t="shared" si="592"/>
        <v/>
      </c>
    </row>
    <row r="34737" spans="8:8" x14ac:dyDescent="0.3">
      <c r="H34737" t="str">
        <f t="shared" si="592"/>
        <v/>
      </c>
    </row>
    <row r="34738" spans="8:8" x14ac:dyDescent="0.3">
      <c r="H34738" t="str">
        <f t="shared" si="592"/>
        <v/>
      </c>
    </row>
    <row r="34739" spans="8:8" x14ac:dyDescent="0.3">
      <c r="H34739" t="str">
        <f t="shared" si="592"/>
        <v/>
      </c>
    </row>
    <row r="34740" spans="8:8" x14ac:dyDescent="0.3">
      <c r="H34740" t="str">
        <f t="shared" si="592"/>
        <v/>
      </c>
    </row>
    <row r="34741" spans="8:8" x14ac:dyDescent="0.3">
      <c r="H34741" t="str">
        <f t="shared" si="592"/>
        <v/>
      </c>
    </row>
    <row r="34742" spans="8:8" x14ac:dyDescent="0.3">
      <c r="H34742" t="str">
        <f t="shared" si="592"/>
        <v/>
      </c>
    </row>
    <row r="34743" spans="8:8" x14ac:dyDescent="0.3">
      <c r="H34743" t="str">
        <f t="shared" si="592"/>
        <v/>
      </c>
    </row>
    <row r="34744" spans="8:8" x14ac:dyDescent="0.3">
      <c r="H34744" t="str">
        <f t="shared" si="592"/>
        <v/>
      </c>
    </row>
    <row r="34745" spans="8:8" x14ac:dyDescent="0.3">
      <c r="H34745" t="str">
        <f t="shared" si="592"/>
        <v/>
      </c>
    </row>
    <row r="34746" spans="8:8" x14ac:dyDescent="0.3">
      <c r="H34746" t="str">
        <f t="shared" si="592"/>
        <v/>
      </c>
    </row>
    <row r="34747" spans="8:8" x14ac:dyDescent="0.3">
      <c r="H34747" t="str">
        <f t="shared" si="592"/>
        <v/>
      </c>
    </row>
    <row r="34748" spans="8:8" x14ac:dyDescent="0.3">
      <c r="H34748" t="str">
        <f t="shared" si="592"/>
        <v/>
      </c>
    </row>
    <row r="34749" spans="8:8" x14ac:dyDescent="0.3">
      <c r="H34749" t="str">
        <f t="shared" si="592"/>
        <v/>
      </c>
    </row>
    <row r="34750" spans="8:8" x14ac:dyDescent="0.3">
      <c r="H34750" t="str">
        <f t="shared" si="592"/>
        <v/>
      </c>
    </row>
    <row r="34751" spans="8:8" x14ac:dyDescent="0.3">
      <c r="H34751" t="str">
        <f t="shared" si="592"/>
        <v/>
      </c>
    </row>
    <row r="34752" spans="8:8" x14ac:dyDescent="0.3">
      <c r="H34752" t="str">
        <f t="shared" si="592"/>
        <v/>
      </c>
    </row>
    <row r="34753" spans="8:8" x14ac:dyDescent="0.3">
      <c r="H34753" t="str">
        <f t="shared" si="592"/>
        <v/>
      </c>
    </row>
    <row r="34754" spans="8:8" x14ac:dyDescent="0.3">
      <c r="H34754" t="str">
        <f t="shared" si="592"/>
        <v/>
      </c>
    </row>
    <row r="34755" spans="8:8" x14ac:dyDescent="0.3">
      <c r="H34755" t="str">
        <f t="shared" si="592"/>
        <v/>
      </c>
    </row>
    <row r="34756" spans="8:8" x14ac:dyDescent="0.3">
      <c r="H34756" t="str">
        <f t="shared" si="592"/>
        <v/>
      </c>
    </row>
    <row r="34757" spans="8:8" x14ac:dyDescent="0.3">
      <c r="H34757" t="str">
        <f t="shared" si="592"/>
        <v/>
      </c>
    </row>
    <row r="34758" spans="8:8" x14ac:dyDescent="0.3">
      <c r="H34758" t="str">
        <f t="shared" si="592"/>
        <v/>
      </c>
    </row>
    <row r="34759" spans="8:8" x14ac:dyDescent="0.3">
      <c r="H34759" t="str">
        <f t="shared" si="592"/>
        <v/>
      </c>
    </row>
    <row r="34760" spans="8:8" x14ac:dyDescent="0.3">
      <c r="H34760" t="str">
        <f t="shared" si="592"/>
        <v/>
      </c>
    </row>
    <row r="34761" spans="8:8" x14ac:dyDescent="0.3">
      <c r="H34761" t="str">
        <f t="shared" si="592"/>
        <v/>
      </c>
    </row>
    <row r="34762" spans="8:8" x14ac:dyDescent="0.3">
      <c r="H34762" t="str">
        <f t="shared" si="592"/>
        <v/>
      </c>
    </row>
    <row r="34763" spans="8:8" x14ac:dyDescent="0.3">
      <c r="H34763" t="str">
        <f t="shared" si="592"/>
        <v/>
      </c>
    </row>
    <row r="34764" spans="8:8" x14ac:dyDescent="0.3">
      <c r="H34764" t="str">
        <f t="shared" si="592"/>
        <v/>
      </c>
    </row>
    <row r="34765" spans="8:8" x14ac:dyDescent="0.3">
      <c r="H34765" t="str">
        <f t="shared" si="592"/>
        <v/>
      </c>
    </row>
    <row r="34766" spans="8:8" x14ac:dyDescent="0.3">
      <c r="H34766" t="str">
        <f t="shared" si="592"/>
        <v/>
      </c>
    </row>
    <row r="34767" spans="8:8" x14ac:dyDescent="0.3">
      <c r="H34767" t="str">
        <f t="shared" si="592"/>
        <v/>
      </c>
    </row>
    <row r="34768" spans="8:8" x14ac:dyDescent="0.3">
      <c r="H34768" t="str">
        <f t="shared" si="592"/>
        <v/>
      </c>
    </row>
    <row r="34769" spans="8:8" x14ac:dyDescent="0.3">
      <c r="H34769" t="str">
        <f t="shared" si="592"/>
        <v/>
      </c>
    </row>
    <row r="34770" spans="8:8" x14ac:dyDescent="0.3">
      <c r="H34770" t="str">
        <f t="shared" si="592"/>
        <v/>
      </c>
    </row>
    <row r="34771" spans="8:8" x14ac:dyDescent="0.3">
      <c r="H34771" t="str">
        <f t="shared" si="592"/>
        <v/>
      </c>
    </row>
    <row r="34772" spans="8:8" x14ac:dyDescent="0.3">
      <c r="H34772" t="str">
        <f t="shared" si="592"/>
        <v/>
      </c>
    </row>
    <row r="34773" spans="8:8" x14ac:dyDescent="0.3">
      <c r="H34773" t="str">
        <f t="shared" si="592"/>
        <v/>
      </c>
    </row>
    <row r="34774" spans="8:8" x14ac:dyDescent="0.3">
      <c r="H34774" t="str">
        <f t="shared" si="592"/>
        <v/>
      </c>
    </row>
    <row r="34775" spans="8:8" x14ac:dyDescent="0.3">
      <c r="H34775" t="str">
        <f t="shared" ref="H34775:H34838" si="593">IF(B34775="","",$C$12)</f>
        <v/>
      </c>
    </row>
    <row r="34776" spans="8:8" x14ac:dyDescent="0.3">
      <c r="H34776" t="str">
        <f t="shared" si="593"/>
        <v/>
      </c>
    </row>
    <row r="34777" spans="8:8" x14ac:dyDescent="0.3">
      <c r="H34777" t="str">
        <f t="shared" si="593"/>
        <v/>
      </c>
    </row>
    <row r="34778" spans="8:8" x14ac:dyDescent="0.3">
      <c r="H34778" t="str">
        <f t="shared" si="593"/>
        <v/>
      </c>
    </row>
    <row r="34779" spans="8:8" x14ac:dyDescent="0.3">
      <c r="H34779" t="str">
        <f t="shared" si="593"/>
        <v/>
      </c>
    </row>
    <row r="34780" spans="8:8" x14ac:dyDescent="0.3">
      <c r="H34780" t="str">
        <f t="shared" si="593"/>
        <v/>
      </c>
    </row>
    <row r="34781" spans="8:8" x14ac:dyDescent="0.3">
      <c r="H34781" t="str">
        <f t="shared" si="593"/>
        <v/>
      </c>
    </row>
    <row r="34782" spans="8:8" x14ac:dyDescent="0.3">
      <c r="H34782" t="str">
        <f t="shared" si="593"/>
        <v/>
      </c>
    </row>
    <row r="34783" spans="8:8" x14ac:dyDescent="0.3">
      <c r="H34783" t="str">
        <f t="shared" si="593"/>
        <v/>
      </c>
    </row>
    <row r="34784" spans="8:8" x14ac:dyDescent="0.3">
      <c r="H34784" t="str">
        <f t="shared" si="593"/>
        <v/>
      </c>
    </row>
    <row r="34785" spans="8:8" x14ac:dyDescent="0.3">
      <c r="H34785" t="str">
        <f t="shared" si="593"/>
        <v/>
      </c>
    </row>
    <row r="34786" spans="8:8" x14ac:dyDescent="0.3">
      <c r="H34786" t="str">
        <f t="shared" si="593"/>
        <v/>
      </c>
    </row>
    <row r="34787" spans="8:8" x14ac:dyDescent="0.3">
      <c r="H34787" t="str">
        <f t="shared" si="593"/>
        <v/>
      </c>
    </row>
    <row r="34788" spans="8:8" x14ac:dyDescent="0.3">
      <c r="H34788" t="str">
        <f t="shared" si="593"/>
        <v/>
      </c>
    </row>
    <row r="34789" spans="8:8" x14ac:dyDescent="0.3">
      <c r="H34789" t="str">
        <f t="shared" si="593"/>
        <v/>
      </c>
    </row>
    <row r="34790" spans="8:8" x14ac:dyDescent="0.3">
      <c r="H34790" t="str">
        <f t="shared" si="593"/>
        <v/>
      </c>
    </row>
    <row r="34791" spans="8:8" x14ac:dyDescent="0.3">
      <c r="H34791" t="str">
        <f t="shared" si="593"/>
        <v/>
      </c>
    </row>
    <row r="34792" spans="8:8" x14ac:dyDescent="0.3">
      <c r="H34792" t="str">
        <f t="shared" si="593"/>
        <v/>
      </c>
    </row>
    <row r="34793" spans="8:8" x14ac:dyDescent="0.3">
      <c r="H34793" t="str">
        <f t="shared" si="593"/>
        <v/>
      </c>
    </row>
    <row r="34794" spans="8:8" x14ac:dyDescent="0.3">
      <c r="H34794" t="str">
        <f t="shared" si="593"/>
        <v/>
      </c>
    </row>
    <row r="34795" spans="8:8" x14ac:dyDescent="0.3">
      <c r="H34795" t="str">
        <f t="shared" si="593"/>
        <v/>
      </c>
    </row>
    <row r="34796" spans="8:8" x14ac:dyDescent="0.3">
      <c r="H34796" t="str">
        <f t="shared" si="593"/>
        <v/>
      </c>
    </row>
    <row r="34797" spans="8:8" x14ac:dyDescent="0.3">
      <c r="H34797" t="str">
        <f t="shared" si="593"/>
        <v/>
      </c>
    </row>
    <row r="34798" spans="8:8" x14ac:dyDescent="0.3">
      <c r="H34798" t="str">
        <f t="shared" si="593"/>
        <v/>
      </c>
    </row>
    <row r="34799" spans="8:8" x14ac:dyDescent="0.3">
      <c r="H34799" t="str">
        <f t="shared" si="593"/>
        <v/>
      </c>
    </row>
    <row r="34800" spans="8:8" x14ac:dyDescent="0.3">
      <c r="H34800" t="str">
        <f t="shared" si="593"/>
        <v/>
      </c>
    </row>
    <row r="34801" spans="8:8" x14ac:dyDescent="0.3">
      <c r="H34801" t="str">
        <f t="shared" si="593"/>
        <v/>
      </c>
    </row>
    <row r="34802" spans="8:8" x14ac:dyDescent="0.3">
      <c r="H34802" t="str">
        <f t="shared" si="593"/>
        <v/>
      </c>
    </row>
    <row r="34803" spans="8:8" x14ac:dyDescent="0.3">
      <c r="H34803" t="str">
        <f t="shared" si="593"/>
        <v/>
      </c>
    </row>
    <row r="34804" spans="8:8" x14ac:dyDescent="0.3">
      <c r="H34804" t="str">
        <f t="shared" si="593"/>
        <v/>
      </c>
    </row>
    <row r="34805" spans="8:8" x14ac:dyDescent="0.3">
      <c r="H34805" t="str">
        <f t="shared" si="593"/>
        <v/>
      </c>
    </row>
    <row r="34806" spans="8:8" x14ac:dyDescent="0.3">
      <c r="H34806" t="str">
        <f t="shared" si="593"/>
        <v/>
      </c>
    </row>
    <row r="34807" spans="8:8" x14ac:dyDescent="0.3">
      <c r="H34807" t="str">
        <f t="shared" si="593"/>
        <v/>
      </c>
    </row>
    <row r="34808" spans="8:8" x14ac:dyDescent="0.3">
      <c r="H34808" t="str">
        <f t="shared" si="593"/>
        <v/>
      </c>
    </row>
    <row r="34809" spans="8:8" x14ac:dyDescent="0.3">
      <c r="H34809" t="str">
        <f t="shared" si="593"/>
        <v/>
      </c>
    </row>
    <row r="34810" spans="8:8" x14ac:dyDescent="0.3">
      <c r="H34810" t="str">
        <f t="shared" si="593"/>
        <v/>
      </c>
    </row>
    <row r="34811" spans="8:8" x14ac:dyDescent="0.3">
      <c r="H34811" t="str">
        <f t="shared" si="593"/>
        <v/>
      </c>
    </row>
    <row r="34812" spans="8:8" x14ac:dyDescent="0.3">
      <c r="H34812" t="str">
        <f t="shared" si="593"/>
        <v/>
      </c>
    </row>
    <row r="34813" spans="8:8" x14ac:dyDescent="0.3">
      <c r="H34813" t="str">
        <f t="shared" si="593"/>
        <v/>
      </c>
    </row>
    <row r="34814" spans="8:8" x14ac:dyDescent="0.3">
      <c r="H34814" t="str">
        <f t="shared" si="593"/>
        <v/>
      </c>
    </row>
    <row r="34815" spans="8:8" x14ac:dyDescent="0.3">
      <c r="H34815" t="str">
        <f t="shared" si="593"/>
        <v/>
      </c>
    </row>
    <row r="34816" spans="8:8" x14ac:dyDescent="0.3">
      <c r="H34816" t="str">
        <f t="shared" si="593"/>
        <v/>
      </c>
    </row>
    <row r="34817" spans="8:8" x14ac:dyDescent="0.3">
      <c r="H34817" t="str">
        <f t="shared" si="593"/>
        <v/>
      </c>
    </row>
    <row r="34818" spans="8:8" x14ac:dyDescent="0.3">
      <c r="H34818" t="str">
        <f t="shared" si="593"/>
        <v/>
      </c>
    </row>
    <row r="34819" spans="8:8" x14ac:dyDescent="0.3">
      <c r="H34819" t="str">
        <f t="shared" si="593"/>
        <v/>
      </c>
    </row>
    <row r="34820" spans="8:8" x14ac:dyDescent="0.3">
      <c r="H34820" t="str">
        <f t="shared" si="593"/>
        <v/>
      </c>
    </row>
    <row r="34821" spans="8:8" x14ac:dyDescent="0.3">
      <c r="H34821" t="str">
        <f t="shared" si="593"/>
        <v/>
      </c>
    </row>
    <row r="34822" spans="8:8" x14ac:dyDescent="0.3">
      <c r="H34822" t="str">
        <f t="shared" si="593"/>
        <v/>
      </c>
    </row>
    <row r="34823" spans="8:8" x14ac:dyDescent="0.3">
      <c r="H34823" t="str">
        <f t="shared" si="593"/>
        <v/>
      </c>
    </row>
    <row r="34824" spans="8:8" x14ac:dyDescent="0.3">
      <c r="H34824" t="str">
        <f t="shared" si="593"/>
        <v/>
      </c>
    </row>
    <row r="34825" spans="8:8" x14ac:dyDescent="0.3">
      <c r="H34825" t="str">
        <f t="shared" si="593"/>
        <v/>
      </c>
    </row>
    <row r="34826" spans="8:8" x14ac:dyDescent="0.3">
      <c r="H34826" t="str">
        <f t="shared" si="593"/>
        <v/>
      </c>
    </row>
    <row r="34827" spans="8:8" x14ac:dyDescent="0.3">
      <c r="H34827" t="str">
        <f t="shared" si="593"/>
        <v/>
      </c>
    </row>
    <row r="34828" spans="8:8" x14ac:dyDescent="0.3">
      <c r="H34828" t="str">
        <f t="shared" si="593"/>
        <v/>
      </c>
    </row>
    <row r="34829" spans="8:8" x14ac:dyDescent="0.3">
      <c r="H34829" t="str">
        <f t="shared" si="593"/>
        <v/>
      </c>
    </row>
    <row r="34830" spans="8:8" x14ac:dyDescent="0.3">
      <c r="H34830" t="str">
        <f t="shared" si="593"/>
        <v/>
      </c>
    </row>
    <row r="34831" spans="8:8" x14ac:dyDescent="0.3">
      <c r="H34831" t="str">
        <f t="shared" si="593"/>
        <v/>
      </c>
    </row>
    <row r="34832" spans="8:8" x14ac:dyDescent="0.3">
      <c r="H34832" t="str">
        <f t="shared" si="593"/>
        <v/>
      </c>
    </row>
    <row r="34833" spans="8:8" x14ac:dyDescent="0.3">
      <c r="H34833" t="str">
        <f t="shared" si="593"/>
        <v/>
      </c>
    </row>
    <row r="34834" spans="8:8" x14ac:dyDescent="0.3">
      <c r="H34834" t="str">
        <f t="shared" si="593"/>
        <v/>
      </c>
    </row>
    <row r="34835" spans="8:8" x14ac:dyDescent="0.3">
      <c r="H34835" t="str">
        <f t="shared" si="593"/>
        <v/>
      </c>
    </row>
    <row r="34836" spans="8:8" x14ac:dyDescent="0.3">
      <c r="H34836" t="str">
        <f t="shared" si="593"/>
        <v/>
      </c>
    </row>
    <row r="34837" spans="8:8" x14ac:dyDescent="0.3">
      <c r="H34837" t="str">
        <f t="shared" si="593"/>
        <v/>
      </c>
    </row>
    <row r="34838" spans="8:8" x14ac:dyDescent="0.3">
      <c r="H34838" t="str">
        <f t="shared" si="593"/>
        <v/>
      </c>
    </row>
    <row r="34839" spans="8:8" x14ac:dyDescent="0.3">
      <c r="H34839" t="str">
        <f t="shared" ref="H34839:H34902" si="594">IF(B34839="","",$C$12)</f>
        <v/>
      </c>
    </row>
    <row r="34840" spans="8:8" x14ac:dyDescent="0.3">
      <c r="H34840" t="str">
        <f t="shared" si="594"/>
        <v/>
      </c>
    </row>
    <row r="34841" spans="8:8" x14ac:dyDescent="0.3">
      <c r="H34841" t="str">
        <f t="shared" si="594"/>
        <v/>
      </c>
    </row>
    <row r="34842" spans="8:8" x14ac:dyDescent="0.3">
      <c r="H34842" t="str">
        <f t="shared" si="594"/>
        <v/>
      </c>
    </row>
    <row r="34843" spans="8:8" x14ac:dyDescent="0.3">
      <c r="H34843" t="str">
        <f t="shared" si="594"/>
        <v/>
      </c>
    </row>
    <row r="34844" spans="8:8" x14ac:dyDescent="0.3">
      <c r="H34844" t="str">
        <f t="shared" si="594"/>
        <v/>
      </c>
    </row>
    <row r="34845" spans="8:8" x14ac:dyDescent="0.3">
      <c r="H34845" t="str">
        <f t="shared" si="594"/>
        <v/>
      </c>
    </row>
    <row r="34846" spans="8:8" x14ac:dyDescent="0.3">
      <c r="H34846" t="str">
        <f t="shared" si="594"/>
        <v/>
      </c>
    </row>
    <row r="34847" spans="8:8" x14ac:dyDescent="0.3">
      <c r="H34847" t="str">
        <f t="shared" si="594"/>
        <v/>
      </c>
    </row>
    <row r="34848" spans="8:8" x14ac:dyDescent="0.3">
      <c r="H34848" t="str">
        <f t="shared" si="594"/>
        <v/>
      </c>
    </row>
    <row r="34849" spans="8:8" x14ac:dyDescent="0.3">
      <c r="H34849" t="str">
        <f t="shared" si="594"/>
        <v/>
      </c>
    </row>
    <row r="34850" spans="8:8" x14ac:dyDescent="0.3">
      <c r="H34850" t="str">
        <f t="shared" si="594"/>
        <v/>
      </c>
    </row>
    <row r="34851" spans="8:8" x14ac:dyDescent="0.3">
      <c r="H34851" t="str">
        <f t="shared" si="594"/>
        <v/>
      </c>
    </row>
    <row r="34852" spans="8:8" x14ac:dyDescent="0.3">
      <c r="H34852" t="str">
        <f t="shared" si="594"/>
        <v/>
      </c>
    </row>
    <row r="34853" spans="8:8" x14ac:dyDescent="0.3">
      <c r="H34853" t="str">
        <f t="shared" si="594"/>
        <v/>
      </c>
    </row>
    <row r="34854" spans="8:8" x14ac:dyDescent="0.3">
      <c r="H34854" t="str">
        <f t="shared" si="594"/>
        <v/>
      </c>
    </row>
    <row r="34855" spans="8:8" x14ac:dyDescent="0.3">
      <c r="H34855" t="str">
        <f t="shared" si="594"/>
        <v/>
      </c>
    </row>
    <row r="34856" spans="8:8" x14ac:dyDescent="0.3">
      <c r="H34856" t="str">
        <f t="shared" si="594"/>
        <v/>
      </c>
    </row>
    <row r="34857" spans="8:8" x14ac:dyDescent="0.3">
      <c r="H34857" t="str">
        <f t="shared" si="594"/>
        <v/>
      </c>
    </row>
    <row r="34858" spans="8:8" x14ac:dyDescent="0.3">
      <c r="H34858" t="str">
        <f t="shared" si="594"/>
        <v/>
      </c>
    </row>
    <row r="34859" spans="8:8" x14ac:dyDescent="0.3">
      <c r="H34859" t="str">
        <f t="shared" si="594"/>
        <v/>
      </c>
    </row>
    <row r="34860" spans="8:8" x14ac:dyDescent="0.3">
      <c r="H34860" t="str">
        <f t="shared" si="594"/>
        <v/>
      </c>
    </row>
    <row r="34861" spans="8:8" x14ac:dyDescent="0.3">
      <c r="H34861" t="str">
        <f t="shared" si="594"/>
        <v/>
      </c>
    </row>
    <row r="34862" spans="8:8" x14ac:dyDescent="0.3">
      <c r="H34862" t="str">
        <f t="shared" si="594"/>
        <v/>
      </c>
    </row>
    <row r="34863" spans="8:8" x14ac:dyDescent="0.3">
      <c r="H34863" t="str">
        <f t="shared" si="594"/>
        <v/>
      </c>
    </row>
    <row r="34864" spans="8:8" x14ac:dyDescent="0.3">
      <c r="H34864" t="str">
        <f t="shared" si="594"/>
        <v/>
      </c>
    </row>
    <row r="34865" spans="8:8" x14ac:dyDescent="0.3">
      <c r="H34865" t="str">
        <f t="shared" si="594"/>
        <v/>
      </c>
    </row>
    <row r="34866" spans="8:8" x14ac:dyDescent="0.3">
      <c r="H34866" t="str">
        <f t="shared" si="594"/>
        <v/>
      </c>
    </row>
    <row r="34867" spans="8:8" x14ac:dyDescent="0.3">
      <c r="H34867" t="str">
        <f t="shared" si="594"/>
        <v/>
      </c>
    </row>
    <row r="34868" spans="8:8" x14ac:dyDescent="0.3">
      <c r="H34868" t="str">
        <f t="shared" si="594"/>
        <v/>
      </c>
    </row>
    <row r="34869" spans="8:8" x14ac:dyDescent="0.3">
      <c r="H34869" t="str">
        <f t="shared" si="594"/>
        <v/>
      </c>
    </row>
    <row r="34870" spans="8:8" x14ac:dyDescent="0.3">
      <c r="H34870" t="str">
        <f t="shared" si="594"/>
        <v/>
      </c>
    </row>
    <row r="34871" spans="8:8" x14ac:dyDescent="0.3">
      <c r="H34871" t="str">
        <f t="shared" si="594"/>
        <v/>
      </c>
    </row>
    <row r="34872" spans="8:8" x14ac:dyDescent="0.3">
      <c r="H34872" t="str">
        <f t="shared" si="594"/>
        <v/>
      </c>
    </row>
    <row r="34873" spans="8:8" x14ac:dyDescent="0.3">
      <c r="H34873" t="str">
        <f t="shared" si="594"/>
        <v/>
      </c>
    </row>
    <row r="34874" spans="8:8" x14ac:dyDescent="0.3">
      <c r="H34874" t="str">
        <f t="shared" si="594"/>
        <v/>
      </c>
    </row>
    <row r="34875" spans="8:8" x14ac:dyDescent="0.3">
      <c r="H34875" t="str">
        <f t="shared" si="594"/>
        <v/>
      </c>
    </row>
    <row r="34876" spans="8:8" x14ac:dyDescent="0.3">
      <c r="H34876" t="str">
        <f t="shared" si="594"/>
        <v/>
      </c>
    </row>
    <row r="34877" spans="8:8" x14ac:dyDescent="0.3">
      <c r="H34877" t="str">
        <f t="shared" si="594"/>
        <v/>
      </c>
    </row>
    <row r="34878" spans="8:8" x14ac:dyDescent="0.3">
      <c r="H34878" t="str">
        <f t="shared" si="594"/>
        <v/>
      </c>
    </row>
    <row r="34879" spans="8:8" x14ac:dyDescent="0.3">
      <c r="H34879" t="str">
        <f t="shared" si="594"/>
        <v/>
      </c>
    </row>
    <row r="34880" spans="8:8" x14ac:dyDescent="0.3">
      <c r="H34880" t="str">
        <f t="shared" si="594"/>
        <v/>
      </c>
    </row>
    <row r="34881" spans="8:8" x14ac:dyDescent="0.3">
      <c r="H34881" t="str">
        <f t="shared" si="594"/>
        <v/>
      </c>
    </row>
    <row r="34882" spans="8:8" x14ac:dyDescent="0.3">
      <c r="H34882" t="str">
        <f t="shared" si="594"/>
        <v/>
      </c>
    </row>
    <row r="34883" spans="8:8" x14ac:dyDescent="0.3">
      <c r="H34883" t="str">
        <f t="shared" si="594"/>
        <v/>
      </c>
    </row>
    <row r="34884" spans="8:8" x14ac:dyDescent="0.3">
      <c r="H34884" t="str">
        <f t="shared" si="594"/>
        <v/>
      </c>
    </row>
    <row r="34885" spans="8:8" x14ac:dyDescent="0.3">
      <c r="H34885" t="str">
        <f t="shared" si="594"/>
        <v/>
      </c>
    </row>
    <row r="34886" spans="8:8" x14ac:dyDescent="0.3">
      <c r="H34886" t="str">
        <f t="shared" si="594"/>
        <v/>
      </c>
    </row>
    <row r="34887" spans="8:8" x14ac:dyDescent="0.3">
      <c r="H34887" t="str">
        <f t="shared" si="594"/>
        <v/>
      </c>
    </row>
    <row r="34888" spans="8:8" x14ac:dyDescent="0.3">
      <c r="H34888" t="str">
        <f t="shared" si="594"/>
        <v/>
      </c>
    </row>
    <row r="34889" spans="8:8" x14ac:dyDescent="0.3">
      <c r="H34889" t="str">
        <f t="shared" si="594"/>
        <v/>
      </c>
    </row>
    <row r="34890" spans="8:8" x14ac:dyDescent="0.3">
      <c r="H34890" t="str">
        <f t="shared" si="594"/>
        <v/>
      </c>
    </row>
    <row r="34891" spans="8:8" x14ac:dyDescent="0.3">
      <c r="H34891" t="str">
        <f t="shared" si="594"/>
        <v/>
      </c>
    </row>
    <row r="34892" spans="8:8" x14ac:dyDescent="0.3">
      <c r="H34892" t="str">
        <f t="shared" si="594"/>
        <v/>
      </c>
    </row>
    <row r="34893" spans="8:8" x14ac:dyDescent="0.3">
      <c r="H34893" t="str">
        <f t="shared" si="594"/>
        <v/>
      </c>
    </row>
    <row r="34894" spans="8:8" x14ac:dyDescent="0.3">
      <c r="H34894" t="str">
        <f t="shared" si="594"/>
        <v/>
      </c>
    </row>
    <row r="34895" spans="8:8" x14ac:dyDescent="0.3">
      <c r="H34895" t="str">
        <f t="shared" si="594"/>
        <v/>
      </c>
    </row>
    <row r="34896" spans="8:8" x14ac:dyDescent="0.3">
      <c r="H34896" t="str">
        <f t="shared" si="594"/>
        <v/>
      </c>
    </row>
    <row r="34897" spans="8:8" x14ac:dyDescent="0.3">
      <c r="H34897" t="str">
        <f t="shared" si="594"/>
        <v/>
      </c>
    </row>
    <row r="34898" spans="8:8" x14ac:dyDescent="0.3">
      <c r="H34898" t="str">
        <f t="shared" si="594"/>
        <v/>
      </c>
    </row>
    <row r="34899" spans="8:8" x14ac:dyDescent="0.3">
      <c r="H34899" t="str">
        <f t="shared" si="594"/>
        <v/>
      </c>
    </row>
    <row r="34900" spans="8:8" x14ac:dyDescent="0.3">
      <c r="H34900" t="str">
        <f t="shared" si="594"/>
        <v/>
      </c>
    </row>
    <row r="34901" spans="8:8" x14ac:dyDescent="0.3">
      <c r="H34901" t="str">
        <f t="shared" si="594"/>
        <v/>
      </c>
    </row>
    <row r="34902" spans="8:8" x14ac:dyDescent="0.3">
      <c r="H34902" t="str">
        <f t="shared" si="594"/>
        <v/>
      </c>
    </row>
    <row r="34903" spans="8:8" x14ac:dyDescent="0.3">
      <c r="H34903" t="str">
        <f t="shared" ref="H34903:H34966" si="595">IF(B34903="","",$C$12)</f>
        <v/>
      </c>
    </row>
    <row r="34904" spans="8:8" x14ac:dyDescent="0.3">
      <c r="H34904" t="str">
        <f t="shared" si="595"/>
        <v/>
      </c>
    </row>
    <row r="34905" spans="8:8" x14ac:dyDescent="0.3">
      <c r="H34905" t="str">
        <f t="shared" si="595"/>
        <v/>
      </c>
    </row>
    <row r="34906" spans="8:8" x14ac:dyDescent="0.3">
      <c r="H34906" t="str">
        <f t="shared" si="595"/>
        <v/>
      </c>
    </row>
    <row r="34907" spans="8:8" x14ac:dyDescent="0.3">
      <c r="H34907" t="str">
        <f t="shared" si="595"/>
        <v/>
      </c>
    </row>
    <row r="34908" spans="8:8" x14ac:dyDescent="0.3">
      <c r="H34908" t="str">
        <f t="shared" si="595"/>
        <v/>
      </c>
    </row>
    <row r="34909" spans="8:8" x14ac:dyDescent="0.3">
      <c r="H34909" t="str">
        <f t="shared" si="595"/>
        <v/>
      </c>
    </row>
    <row r="34910" spans="8:8" x14ac:dyDescent="0.3">
      <c r="H34910" t="str">
        <f t="shared" si="595"/>
        <v/>
      </c>
    </row>
    <row r="34911" spans="8:8" x14ac:dyDescent="0.3">
      <c r="H34911" t="str">
        <f t="shared" si="595"/>
        <v/>
      </c>
    </row>
    <row r="34912" spans="8:8" x14ac:dyDescent="0.3">
      <c r="H34912" t="str">
        <f t="shared" si="595"/>
        <v/>
      </c>
    </row>
    <row r="34913" spans="8:8" x14ac:dyDescent="0.3">
      <c r="H34913" t="str">
        <f t="shared" si="595"/>
        <v/>
      </c>
    </row>
    <row r="34914" spans="8:8" x14ac:dyDescent="0.3">
      <c r="H34914" t="str">
        <f t="shared" si="595"/>
        <v/>
      </c>
    </row>
    <row r="34915" spans="8:8" x14ac:dyDescent="0.3">
      <c r="H34915" t="str">
        <f t="shared" si="595"/>
        <v/>
      </c>
    </row>
    <row r="34916" spans="8:8" x14ac:dyDescent="0.3">
      <c r="H34916" t="str">
        <f t="shared" si="595"/>
        <v/>
      </c>
    </row>
    <row r="34917" spans="8:8" x14ac:dyDescent="0.3">
      <c r="H34917" t="str">
        <f t="shared" si="595"/>
        <v/>
      </c>
    </row>
    <row r="34918" spans="8:8" x14ac:dyDescent="0.3">
      <c r="H34918" t="str">
        <f t="shared" si="595"/>
        <v/>
      </c>
    </row>
    <row r="34919" spans="8:8" x14ac:dyDescent="0.3">
      <c r="H34919" t="str">
        <f t="shared" si="595"/>
        <v/>
      </c>
    </row>
    <row r="34920" spans="8:8" x14ac:dyDescent="0.3">
      <c r="H34920" t="str">
        <f t="shared" si="595"/>
        <v/>
      </c>
    </row>
    <row r="34921" spans="8:8" x14ac:dyDescent="0.3">
      <c r="H34921" t="str">
        <f t="shared" si="595"/>
        <v/>
      </c>
    </row>
    <row r="34922" spans="8:8" x14ac:dyDescent="0.3">
      <c r="H34922" t="str">
        <f t="shared" si="595"/>
        <v/>
      </c>
    </row>
    <row r="34923" spans="8:8" x14ac:dyDescent="0.3">
      <c r="H34923" t="str">
        <f t="shared" si="595"/>
        <v/>
      </c>
    </row>
    <row r="34924" spans="8:8" x14ac:dyDescent="0.3">
      <c r="H34924" t="str">
        <f t="shared" si="595"/>
        <v/>
      </c>
    </row>
    <row r="34925" spans="8:8" x14ac:dyDescent="0.3">
      <c r="H34925" t="str">
        <f t="shared" si="595"/>
        <v/>
      </c>
    </row>
    <row r="34926" spans="8:8" x14ac:dyDescent="0.3">
      <c r="H34926" t="str">
        <f t="shared" si="595"/>
        <v/>
      </c>
    </row>
    <row r="34927" spans="8:8" x14ac:dyDescent="0.3">
      <c r="H34927" t="str">
        <f t="shared" si="595"/>
        <v/>
      </c>
    </row>
    <row r="34928" spans="8:8" x14ac:dyDescent="0.3">
      <c r="H34928" t="str">
        <f t="shared" si="595"/>
        <v/>
      </c>
    </row>
    <row r="34929" spans="8:8" x14ac:dyDescent="0.3">
      <c r="H34929" t="str">
        <f t="shared" si="595"/>
        <v/>
      </c>
    </row>
    <row r="34930" spans="8:8" x14ac:dyDescent="0.3">
      <c r="H34930" t="str">
        <f t="shared" si="595"/>
        <v/>
      </c>
    </row>
    <row r="34931" spans="8:8" x14ac:dyDescent="0.3">
      <c r="H34931" t="str">
        <f t="shared" si="595"/>
        <v/>
      </c>
    </row>
    <row r="34932" spans="8:8" x14ac:dyDescent="0.3">
      <c r="H34932" t="str">
        <f t="shared" si="595"/>
        <v/>
      </c>
    </row>
    <row r="34933" spans="8:8" x14ac:dyDescent="0.3">
      <c r="H34933" t="str">
        <f t="shared" si="595"/>
        <v/>
      </c>
    </row>
    <row r="34934" spans="8:8" x14ac:dyDescent="0.3">
      <c r="H34934" t="str">
        <f t="shared" si="595"/>
        <v/>
      </c>
    </row>
    <row r="34935" spans="8:8" x14ac:dyDescent="0.3">
      <c r="H34935" t="str">
        <f t="shared" si="595"/>
        <v/>
      </c>
    </row>
    <row r="34936" spans="8:8" x14ac:dyDescent="0.3">
      <c r="H34936" t="str">
        <f t="shared" si="595"/>
        <v/>
      </c>
    </row>
    <row r="34937" spans="8:8" x14ac:dyDescent="0.3">
      <c r="H34937" t="str">
        <f t="shared" si="595"/>
        <v/>
      </c>
    </row>
    <row r="34938" spans="8:8" x14ac:dyDescent="0.3">
      <c r="H34938" t="str">
        <f t="shared" si="595"/>
        <v/>
      </c>
    </row>
    <row r="34939" spans="8:8" x14ac:dyDescent="0.3">
      <c r="H34939" t="str">
        <f t="shared" si="595"/>
        <v/>
      </c>
    </row>
    <row r="34940" spans="8:8" x14ac:dyDescent="0.3">
      <c r="H34940" t="str">
        <f t="shared" si="595"/>
        <v/>
      </c>
    </row>
    <row r="34941" spans="8:8" x14ac:dyDescent="0.3">
      <c r="H34941" t="str">
        <f t="shared" si="595"/>
        <v/>
      </c>
    </row>
    <row r="34942" spans="8:8" x14ac:dyDescent="0.3">
      <c r="H34942" t="str">
        <f t="shared" si="595"/>
        <v/>
      </c>
    </row>
    <row r="34943" spans="8:8" x14ac:dyDescent="0.3">
      <c r="H34943" t="str">
        <f t="shared" si="595"/>
        <v/>
      </c>
    </row>
    <row r="34944" spans="8:8" x14ac:dyDescent="0.3">
      <c r="H34944" t="str">
        <f t="shared" si="595"/>
        <v/>
      </c>
    </row>
    <row r="34945" spans="8:8" x14ac:dyDescent="0.3">
      <c r="H34945" t="str">
        <f t="shared" si="595"/>
        <v/>
      </c>
    </row>
    <row r="34946" spans="8:8" x14ac:dyDescent="0.3">
      <c r="H34946" t="str">
        <f t="shared" si="595"/>
        <v/>
      </c>
    </row>
    <row r="34947" spans="8:8" x14ac:dyDescent="0.3">
      <c r="H34947" t="str">
        <f t="shared" si="595"/>
        <v/>
      </c>
    </row>
    <row r="34948" spans="8:8" x14ac:dyDescent="0.3">
      <c r="H34948" t="str">
        <f t="shared" si="595"/>
        <v/>
      </c>
    </row>
    <row r="34949" spans="8:8" x14ac:dyDescent="0.3">
      <c r="H34949" t="str">
        <f t="shared" si="595"/>
        <v/>
      </c>
    </row>
    <row r="34950" spans="8:8" x14ac:dyDescent="0.3">
      <c r="H34950" t="str">
        <f t="shared" si="595"/>
        <v/>
      </c>
    </row>
    <row r="34951" spans="8:8" x14ac:dyDescent="0.3">
      <c r="H34951" t="str">
        <f t="shared" si="595"/>
        <v/>
      </c>
    </row>
    <row r="34952" spans="8:8" x14ac:dyDescent="0.3">
      <c r="H34952" t="str">
        <f t="shared" si="595"/>
        <v/>
      </c>
    </row>
    <row r="34953" spans="8:8" x14ac:dyDescent="0.3">
      <c r="H34953" t="str">
        <f t="shared" si="595"/>
        <v/>
      </c>
    </row>
    <row r="34954" spans="8:8" x14ac:dyDescent="0.3">
      <c r="H34954" t="str">
        <f t="shared" si="595"/>
        <v/>
      </c>
    </row>
    <row r="34955" spans="8:8" x14ac:dyDescent="0.3">
      <c r="H34955" t="str">
        <f t="shared" si="595"/>
        <v/>
      </c>
    </row>
    <row r="34956" spans="8:8" x14ac:dyDescent="0.3">
      <c r="H34956" t="str">
        <f t="shared" si="595"/>
        <v/>
      </c>
    </row>
    <row r="34957" spans="8:8" x14ac:dyDescent="0.3">
      <c r="H34957" t="str">
        <f t="shared" si="595"/>
        <v/>
      </c>
    </row>
    <row r="34958" spans="8:8" x14ac:dyDescent="0.3">
      <c r="H34958" t="str">
        <f t="shared" si="595"/>
        <v/>
      </c>
    </row>
    <row r="34959" spans="8:8" x14ac:dyDescent="0.3">
      <c r="H34959" t="str">
        <f t="shared" si="595"/>
        <v/>
      </c>
    </row>
    <row r="34960" spans="8:8" x14ac:dyDescent="0.3">
      <c r="H34960" t="str">
        <f t="shared" si="595"/>
        <v/>
      </c>
    </row>
    <row r="34961" spans="8:8" x14ac:dyDescent="0.3">
      <c r="H34961" t="str">
        <f t="shared" si="595"/>
        <v/>
      </c>
    </row>
    <row r="34962" spans="8:8" x14ac:dyDescent="0.3">
      <c r="H34962" t="str">
        <f t="shared" si="595"/>
        <v/>
      </c>
    </row>
    <row r="34963" spans="8:8" x14ac:dyDescent="0.3">
      <c r="H34963" t="str">
        <f t="shared" si="595"/>
        <v/>
      </c>
    </row>
    <row r="34964" spans="8:8" x14ac:dyDescent="0.3">
      <c r="H34964" t="str">
        <f t="shared" si="595"/>
        <v/>
      </c>
    </row>
    <row r="34965" spans="8:8" x14ac:dyDescent="0.3">
      <c r="H34965" t="str">
        <f t="shared" si="595"/>
        <v/>
      </c>
    </row>
    <row r="34966" spans="8:8" x14ac:dyDescent="0.3">
      <c r="H34966" t="str">
        <f t="shared" si="595"/>
        <v/>
      </c>
    </row>
    <row r="34967" spans="8:8" x14ac:dyDescent="0.3">
      <c r="H34967" t="str">
        <f t="shared" ref="H34967:H35030" si="596">IF(B34967="","",$C$12)</f>
        <v/>
      </c>
    </row>
    <row r="34968" spans="8:8" x14ac:dyDescent="0.3">
      <c r="H34968" t="str">
        <f t="shared" si="596"/>
        <v/>
      </c>
    </row>
    <row r="34969" spans="8:8" x14ac:dyDescent="0.3">
      <c r="H34969" t="str">
        <f t="shared" si="596"/>
        <v/>
      </c>
    </row>
    <row r="34970" spans="8:8" x14ac:dyDescent="0.3">
      <c r="H34970" t="str">
        <f t="shared" si="596"/>
        <v/>
      </c>
    </row>
    <row r="34971" spans="8:8" x14ac:dyDescent="0.3">
      <c r="H34971" t="str">
        <f t="shared" si="596"/>
        <v/>
      </c>
    </row>
    <row r="34972" spans="8:8" x14ac:dyDescent="0.3">
      <c r="H34972" t="str">
        <f t="shared" si="596"/>
        <v/>
      </c>
    </row>
    <row r="34973" spans="8:8" x14ac:dyDescent="0.3">
      <c r="H34973" t="str">
        <f t="shared" si="596"/>
        <v/>
      </c>
    </row>
    <row r="34974" spans="8:8" x14ac:dyDescent="0.3">
      <c r="H34974" t="str">
        <f t="shared" si="596"/>
        <v/>
      </c>
    </row>
    <row r="34975" spans="8:8" x14ac:dyDescent="0.3">
      <c r="H34975" t="str">
        <f t="shared" si="596"/>
        <v/>
      </c>
    </row>
    <row r="34976" spans="8:8" x14ac:dyDescent="0.3">
      <c r="H34976" t="str">
        <f t="shared" si="596"/>
        <v/>
      </c>
    </row>
    <row r="34977" spans="8:8" x14ac:dyDescent="0.3">
      <c r="H34977" t="str">
        <f t="shared" si="596"/>
        <v/>
      </c>
    </row>
    <row r="34978" spans="8:8" x14ac:dyDescent="0.3">
      <c r="H34978" t="str">
        <f t="shared" si="596"/>
        <v/>
      </c>
    </row>
    <row r="34979" spans="8:8" x14ac:dyDescent="0.3">
      <c r="H34979" t="str">
        <f t="shared" si="596"/>
        <v/>
      </c>
    </row>
    <row r="34980" spans="8:8" x14ac:dyDescent="0.3">
      <c r="H34980" t="str">
        <f t="shared" si="596"/>
        <v/>
      </c>
    </row>
    <row r="34981" spans="8:8" x14ac:dyDescent="0.3">
      <c r="H34981" t="str">
        <f t="shared" si="596"/>
        <v/>
      </c>
    </row>
    <row r="34982" spans="8:8" x14ac:dyDescent="0.3">
      <c r="H34982" t="str">
        <f t="shared" si="596"/>
        <v/>
      </c>
    </row>
    <row r="34983" spans="8:8" x14ac:dyDescent="0.3">
      <c r="H34983" t="str">
        <f t="shared" si="596"/>
        <v/>
      </c>
    </row>
    <row r="34984" spans="8:8" x14ac:dyDescent="0.3">
      <c r="H34984" t="str">
        <f t="shared" si="596"/>
        <v/>
      </c>
    </row>
    <row r="34985" spans="8:8" x14ac:dyDescent="0.3">
      <c r="H34985" t="str">
        <f t="shared" si="596"/>
        <v/>
      </c>
    </row>
    <row r="34986" spans="8:8" x14ac:dyDescent="0.3">
      <c r="H34986" t="str">
        <f t="shared" si="596"/>
        <v/>
      </c>
    </row>
    <row r="34987" spans="8:8" x14ac:dyDescent="0.3">
      <c r="H34987" t="str">
        <f t="shared" si="596"/>
        <v/>
      </c>
    </row>
    <row r="34988" spans="8:8" x14ac:dyDescent="0.3">
      <c r="H34988" t="str">
        <f t="shared" si="596"/>
        <v/>
      </c>
    </row>
    <row r="34989" spans="8:8" x14ac:dyDescent="0.3">
      <c r="H34989" t="str">
        <f t="shared" si="596"/>
        <v/>
      </c>
    </row>
    <row r="34990" spans="8:8" x14ac:dyDescent="0.3">
      <c r="H34990" t="str">
        <f t="shared" si="596"/>
        <v/>
      </c>
    </row>
    <row r="34991" spans="8:8" x14ac:dyDescent="0.3">
      <c r="H34991" t="str">
        <f t="shared" si="596"/>
        <v/>
      </c>
    </row>
    <row r="34992" spans="8:8" x14ac:dyDescent="0.3">
      <c r="H34992" t="str">
        <f t="shared" si="596"/>
        <v/>
      </c>
    </row>
    <row r="34993" spans="8:8" x14ac:dyDescent="0.3">
      <c r="H34993" t="str">
        <f t="shared" si="596"/>
        <v/>
      </c>
    </row>
    <row r="34994" spans="8:8" x14ac:dyDescent="0.3">
      <c r="H34994" t="str">
        <f t="shared" si="596"/>
        <v/>
      </c>
    </row>
    <row r="34995" spans="8:8" x14ac:dyDescent="0.3">
      <c r="H34995" t="str">
        <f t="shared" si="596"/>
        <v/>
      </c>
    </row>
    <row r="34996" spans="8:8" x14ac:dyDescent="0.3">
      <c r="H34996" t="str">
        <f t="shared" si="596"/>
        <v/>
      </c>
    </row>
    <row r="34997" spans="8:8" x14ac:dyDescent="0.3">
      <c r="H34997" t="str">
        <f t="shared" si="596"/>
        <v/>
      </c>
    </row>
    <row r="34998" spans="8:8" x14ac:dyDescent="0.3">
      <c r="H34998" t="str">
        <f t="shared" si="596"/>
        <v/>
      </c>
    </row>
    <row r="34999" spans="8:8" x14ac:dyDescent="0.3">
      <c r="H34999" t="str">
        <f t="shared" si="596"/>
        <v/>
      </c>
    </row>
    <row r="35000" spans="8:8" x14ac:dyDescent="0.3">
      <c r="H35000" t="str">
        <f t="shared" si="596"/>
        <v/>
      </c>
    </row>
    <row r="35001" spans="8:8" x14ac:dyDescent="0.3">
      <c r="H35001" t="str">
        <f t="shared" si="596"/>
        <v/>
      </c>
    </row>
    <row r="35002" spans="8:8" x14ac:dyDescent="0.3">
      <c r="H35002" t="str">
        <f t="shared" si="596"/>
        <v/>
      </c>
    </row>
    <row r="35003" spans="8:8" x14ac:dyDescent="0.3">
      <c r="H35003" t="str">
        <f t="shared" si="596"/>
        <v/>
      </c>
    </row>
    <row r="35004" spans="8:8" x14ac:dyDescent="0.3">
      <c r="H35004" t="str">
        <f t="shared" si="596"/>
        <v/>
      </c>
    </row>
    <row r="35005" spans="8:8" x14ac:dyDescent="0.3">
      <c r="H35005" t="str">
        <f t="shared" si="596"/>
        <v/>
      </c>
    </row>
    <row r="35006" spans="8:8" x14ac:dyDescent="0.3">
      <c r="H35006" t="str">
        <f t="shared" si="596"/>
        <v/>
      </c>
    </row>
    <row r="35007" spans="8:8" x14ac:dyDescent="0.3">
      <c r="H35007" t="str">
        <f t="shared" si="596"/>
        <v/>
      </c>
    </row>
    <row r="35008" spans="8:8" x14ac:dyDescent="0.3">
      <c r="H35008" t="str">
        <f t="shared" si="596"/>
        <v/>
      </c>
    </row>
    <row r="35009" spans="8:8" x14ac:dyDescent="0.3">
      <c r="H35009" t="str">
        <f t="shared" si="596"/>
        <v/>
      </c>
    </row>
    <row r="35010" spans="8:8" x14ac:dyDescent="0.3">
      <c r="H35010" t="str">
        <f t="shared" si="596"/>
        <v/>
      </c>
    </row>
    <row r="35011" spans="8:8" x14ac:dyDescent="0.3">
      <c r="H35011" t="str">
        <f t="shared" si="596"/>
        <v/>
      </c>
    </row>
    <row r="35012" spans="8:8" x14ac:dyDescent="0.3">
      <c r="H35012" t="str">
        <f t="shared" si="596"/>
        <v/>
      </c>
    </row>
    <row r="35013" spans="8:8" x14ac:dyDescent="0.3">
      <c r="H35013" t="str">
        <f t="shared" si="596"/>
        <v/>
      </c>
    </row>
    <row r="35014" spans="8:8" x14ac:dyDescent="0.3">
      <c r="H35014" t="str">
        <f t="shared" si="596"/>
        <v/>
      </c>
    </row>
    <row r="35015" spans="8:8" x14ac:dyDescent="0.3">
      <c r="H35015" t="str">
        <f t="shared" si="596"/>
        <v/>
      </c>
    </row>
    <row r="35016" spans="8:8" x14ac:dyDescent="0.3">
      <c r="H35016" t="str">
        <f t="shared" si="596"/>
        <v/>
      </c>
    </row>
    <row r="35017" spans="8:8" x14ac:dyDescent="0.3">
      <c r="H35017" t="str">
        <f t="shared" si="596"/>
        <v/>
      </c>
    </row>
    <row r="35018" spans="8:8" x14ac:dyDescent="0.3">
      <c r="H35018" t="str">
        <f t="shared" si="596"/>
        <v/>
      </c>
    </row>
    <row r="35019" spans="8:8" x14ac:dyDescent="0.3">
      <c r="H35019" t="str">
        <f t="shared" si="596"/>
        <v/>
      </c>
    </row>
    <row r="35020" spans="8:8" x14ac:dyDescent="0.3">
      <c r="H35020" t="str">
        <f t="shared" si="596"/>
        <v/>
      </c>
    </row>
    <row r="35021" spans="8:8" x14ac:dyDescent="0.3">
      <c r="H35021" t="str">
        <f t="shared" si="596"/>
        <v/>
      </c>
    </row>
    <row r="35022" spans="8:8" x14ac:dyDescent="0.3">
      <c r="H35022" t="str">
        <f t="shared" si="596"/>
        <v/>
      </c>
    </row>
    <row r="35023" spans="8:8" x14ac:dyDescent="0.3">
      <c r="H35023" t="str">
        <f t="shared" si="596"/>
        <v/>
      </c>
    </row>
    <row r="35024" spans="8:8" x14ac:dyDescent="0.3">
      <c r="H35024" t="str">
        <f t="shared" si="596"/>
        <v/>
      </c>
    </row>
    <row r="35025" spans="8:8" x14ac:dyDescent="0.3">
      <c r="H35025" t="str">
        <f t="shared" si="596"/>
        <v/>
      </c>
    </row>
    <row r="35026" spans="8:8" x14ac:dyDescent="0.3">
      <c r="H35026" t="str">
        <f t="shared" si="596"/>
        <v/>
      </c>
    </row>
    <row r="35027" spans="8:8" x14ac:dyDescent="0.3">
      <c r="H35027" t="str">
        <f t="shared" si="596"/>
        <v/>
      </c>
    </row>
    <row r="35028" spans="8:8" x14ac:dyDescent="0.3">
      <c r="H35028" t="str">
        <f t="shared" si="596"/>
        <v/>
      </c>
    </row>
    <row r="35029" spans="8:8" x14ac:dyDescent="0.3">
      <c r="H35029" t="str">
        <f t="shared" si="596"/>
        <v/>
      </c>
    </row>
    <row r="35030" spans="8:8" x14ac:dyDescent="0.3">
      <c r="H35030" t="str">
        <f t="shared" si="596"/>
        <v/>
      </c>
    </row>
    <row r="35031" spans="8:8" x14ac:dyDescent="0.3">
      <c r="H35031" t="str">
        <f t="shared" ref="H35031:H35094" si="597">IF(B35031="","",$C$12)</f>
        <v/>
      </c>
    </row>
    <row r="35032" spans="8:8" x14ac:dyDescent="0.3">
      <c r="H35032" t="str">
        <f t="shared" si="597"/>
        <v/>
      </c>
    </row>
    <row r="35033" spans="8:8" x14ac:dyDescent="0.3">
      <c r="H35033" t="str">
        <f t="shared" si="597"/>
        <v/>
      </c>
    </row>
    <row r="35034" spans="8:8" x14ac:dyDescent="0.3">
      <c r="H35034" t="str">
        <f t="shared" si="597"/>
        <v/>
      </c>
    </row>
    <row r="35035" spans="8:8" x14ac:dyDescent="0.3">
      <c r="H35035" t="str">
        <f t="shared" si="597"/>
        <v/>
      </c>
    </row>
    <row r="35036" spans="8:8" x14ac:dyDescent="0.3">
      <c r="H35036" t="str">
        <f t="shared" si="597"/>
        <v/>
      </c>
    </row>
    <row r="35037" spans="8:8" x14ac:dyDescent="0.3">
      <c r="H35037" t="str">
        <f t="shared" si="597"/>
        <v/>
      </c>
    </row>
    <row r="35038" spans="8:8" x14ac:dyDescent="0.3">
      <c r="H35038" t="str">
        <f t="shared" si="597"/>
        <v/>
      </c>
    </row>
    <row r="35039" spans="8:8" x14ac:dyDescent="0.3">
      <c r="H35039" t="str">
        <f t="shared" si="597"/>
        <v/>
      </c>
    </row>
    <row r="35040" spans="8:8" x14ac:dyDescent="0.3">
      <c r="H35040" t="str">
        <f t="shared" si="597"/>
        <v/>
      </c>
    </row>
    <row r="35041" spans="8:8" x14ac:dyDescent="0.3">
      <c r="H35041" t="str">
        <f t="shared" si="597"/>
        <v/>
      </c>
    </row>
    <row r="35042" spans="8:8" x14ac:dyDescent="0.3">
      <c r="H35042" t="str">
        <f t="shared" si="597"/>
        <v/>
      </c>
    </row>
    <row r="35043" spans="8:8" x14ac:dyDescent="0.3">
      <c r="H35043" t="str">
        <f t="shared" si="597"/>
        <v/>
      </c>
    </row>
    <row r="35044" spans="8:8" x14ac:dyDescent="0.3">
      <c r="H35044" t="str">
        <f t="shared" si="597"/>
        <v/>
      </c>
    </row>
    <row r="35045" spans="8:8" x14ac:dyDescent="0.3">
      <c r="H35045" t="str">
        <f t="shared" si="597"/>
        <v/>
      </c>
    </row>
    <row r="35046" spans="8:8" x14ac:dyDescent="0.3">
      <c r="H35046" t="str">
        <f t="shared" si="597"/>
        <v/>
      </c>
    </row>
    <row r="35047" spans="8:8" x14ac:dyDescent="0.3">
      <c r="H35047" t="str">
        <f t="shared" si="597"/>
        <v/>
      </c>
    </row>
    <row r="35048" spans="8:8" x14ac:dyDescent="0.3">
      <c r="H35048" t="str">
        <f t="shared" si="597"/>
        <v/>
      </c>
    </row>
    <row r="35049" spans="8:8" x14ac:dyDescent="0.3">
      <c r="H35049" t="str">
        <f t="shared" si="597"/>
        <v/>
      </c>
    </row>
    <row r="35050" spans="8:8" x14ac:dyDescent="0.3">
      <c r="H35050" t="str">
        <f t="shared" si="597"/>
        <v/>
      </c>
    </row>
    <row r="35051" spans="8:8" x14ac:dyDescent="0.3">
      <c r="H35051" t="str">
        <f t="shared" si="597"/>
        <v/>
      </c>
    </row>
    <row r="35052" spans="8:8" x14ac:dyDescent="0.3">
      <c r="H35052" t="str">
        <f t="shared" si="597"/>
        <v/>
      </c>
    </row>
    <row r="35053" spans="8:8" x14ac:dyDescent="0.3">
      <c r="H35053" t="str">
        <f t="shared" si="597"/>
        <v/>
      </c>
    </row>
    <row r="35054" spans="8:8" x14ac:dyDescent="0.3">
      <c r="H35054" t="str">
        <f t="shared" si="597"/>
        <v/>
      </c>
    </row>
    <row r="35055" spans="8:8" x14ac:dyDescent="0.3">
      <c r="H35055" t="str">
        <f t="shared" si="597"/>
        <v/>
      </c>
    </row>
    <row r="35056" spans="8:8" x14ac:dyDescent="0.3">
      <c r="H35056" t="str">
        <f t="shared" si="597"/>
        <v/>
      </c>
    </row>
    <row r="35057" spans="8:8" x14ac:dyDescent="0.3">
      <c r="H35057" t="str">
        <f t="shared" si="597"/>
        <v/>
      </c>
    </row>
    <row r="35058" spans="8:8" x14ac:dyDescent="0.3">
      <c r="H35058" t="str">
        <f t="shared" si="597"/>
        <v/>
      </c>
    </row>
    <row r="35059" spans="8:8" x14ac:dyDescent="0.3">
      <c r="H35059" t="str">
        <f t="shared" si="597"/>
        <v/>
      </c>
    </row>
    <row r="35060" spans="8:8" x14ac:dyDescent="0.3">
      <c r="H35060" t="str">
        <f t="shared" si="597"/>
        <v/>
      </c>
    </row>
    <row r="35061" spans="8:8" x14ac:dyDescent="0.3">
      <c r="H35061" t="str">
        <f t="shared" si="597"/>
        <v/>
      </c>
    </row>
    <row r="35062" spans="8:8" x14ac:dyDescent="0.3">
      <c r="H35062" t="str">
        <f t="shared" si="597"/>
        <v/>
      </c>
    </row>
    <row r="35063" spans="8:8" x14ac:dyDescent="0.3">
      <c r="H35063" t="str">
        <f t="shared" si="597"/>
        <v/>
      </c>
    </row>
    <row r="35064" spans="8:8" x14ac:dyDescent="0.3">
      <c r="H35064" t="str">
        <f t="shared" si="597"/>
        <v/>
      </c>
    </row>
    <row r="35065" spans="8:8" x14ac:dyDescent="0.3">
      <c r="H35065" t="str">
        <f t="shared" si="597"/>
        <v/>
      </c>
    </row>
    <row r="35066" spans="8:8" x14ac:dyDescent="0.3">
      <c r="H35066" t="str">
        <f t="shared" si="597"/>
        <v/>
      </c>
    </row>
    <row r="35067" spans="8:8" x14ac:dyDescent="0.3">
      <c r="H35067" t="str">
        <f t="shared" si="597"/>
        <v/>
      </c>
    </row>
    <row r="35068" spans="8:8" x14ac:dyDescent="0.3">
      <c r="H35068" t="str">
        <f t="shared" si="597"/>
        <v/>
      </c>
    </row>
    <row r="35069" spans="8:8" x14ac:dyDescent="0.3">
      <c r="H35069" t="str">
        <f t="shared" si="597"/>
        <v/>
      </c>
    </row>
    <row r="35070" spans="8:8" x14ac:dyDescent="0.3">
      <c r="H35070" t="str">
        <f t="shared" si="597"/>
        <v/>
      </c>
    </row>
    <row r="35071" spans="8:8" x14ac:dyDescent="0.3">
      <c r="H35071" t="str">
        <f t="shared" si="597"/>
        <v/>
      </c>
    </row>
    <row r="35072" spans="8:8" x14ac:dyDescent="0.3">
      <c r="H35072" t="str">
        <f t="shared" si="597"/>
        <v/>
      </c>
    </row>
    <row r="35073" spans="8:8" x14ac:dyDescent="0.3">
      <c r="H35073" t="str">
        <f t="shared" si="597"/>
        <v/>
      </c>
    </row>
    <row r="35074" spans="8:8" x14ac:dyDescent="0.3">
      <c r="H35074" t="str">
        <f t="shared" si="597"/>
        <v/>
      </c>
    </row>
    <row r="35075" spans="8:8" x14ac:dyDescent="0.3">
      <c r="H35075" t="str">
        <f t="shared" si="597"/>
        <v/>
      </c>
    </row>
    <row r="35076" spans="8:8" x14ac:dyDescent="0.3">
      <c r="H35076" t="str">
        <f t="shared" si="597"/>
        <v/>
      </c>
    </row>
    <row r="35077" spans="8:8" x14ac:dyDescent="0.3">
      <c r="H35077" t="str">
        <f t="shared" si="597"/>
        <v/>
      </c>
    </row>
    <row r="35078" spans="8:8" x14ac:dyDescent="0.3">
      <c r="H35078" t="str">
        <f t="shared" si="597"/>
        <v/>
      </c>
    </row>
    <row r="35079" spans="8:8" x14ac:dyDescent="0.3">
      <c r="H35079" t="str">
        <f t="shared" si="597"/>
        <v/>
      </c>
    </row>
    <row r="35080" spans="8:8" x14ac:dyDescent="0.3">
      <c r="H35080" t="str">
        <f t="shared" si="597"/>
        <v/>
      </c>
    </row>
    <row r="35081" spans="8:8" x14ac:dyDescent="0.3">
      <c r="H35081" t="str">
        <f t="shared" si="597"/>
        <v/>
      </c>
    </row>
    <row r="35082" spans="8:8" x14ac:dyDescent="0.3">
      <c r="H35082" t="str">
        <f t="shared" si="597"/>
        <v/>
      </c>
    </row>
    <row r="35083" spans="8:8" x14ac:dyDescent="0.3">
      <c r="H35083" t="str">
        <f t="shared" si="597"/>
        <v/>
      </c>
    </row>
    <row r="35084" spans="8:8" x14ac:dyDescent="0.3">
      <c r="H35084" t="str">
        <f t="shared" si="597"/>
        <v/>
      </c>
    </row>
    <row r="35085" spans="8:8" x14ac:dyDescent="0.3">
      <c r="H35085" t="str">
        <f t="shared" si="597"/>
        <v/>
      </c>
    </row>
    <row r="35086" spans="8:8" x14ac:dyDescent="0.3">
      <c r="H35086" t="str">
        <f t="shared" si="597"/>
        <v/>
      </c>
    </row>
    <row r="35087" spans="8:8" x14ac:dyDescent="0.3">
      <c r="H35087" t="str">
        <f t="shared" si="597"/>
        <v/>
      </c>
    </row>
    <row r="35088" spans="8:8" x14ac:dyDescent="0.3">
      <c r="H35088" t="str">
        <f t="shared" si="597"/>
        <v/>
      </c>
    </row>
    <row r="35089" spans="8:8" x14ac:dyDescent="0.3">
      <c r="H35089" t="str">
        <f t="shared" si="597"/>
        <v/>
      </c>
    </row>
    <row r="35090" spans="8:8" x14ac:dyDescent="0.3">
      <c r="H35090" t="str">
        <f t="shared" si="597"/>
        <v/>
      </c>
    </row>
    <row r="35091" spans="8:8" x14ac:dyDescent="0.3">
      <c r="H35091" t="str">
        <f t="shared" si="597"/>
        <v/>
      </c>
    </row>
    <row r="35092" spans="8:8" x14ac:dyDescent="0.3">
      <c r="H35092" t="str">
        <f t="shared" si="597"/>
        <v/>
      </c>
    </row>
    <row r="35093" spans="8:8" x14ac:dyDescent="0.3">
      <c r="H35093" t="str">
        <f t="shared" si="597"/>
        <v/>
      </c>
    </row>
    <row r="35094" spans="8:8" x14ac:dyDescent="0.3">
      <c r="H35094" t="str">
        <f t="shared" si="597"/>
        <v/>
      </c>
    </row>
    <row r="35095" spans="8:8" x14ac:dyDescent="0.3">
      <c r="H35095" t="str">
        <f t="shared" ref="H35095:H35158" si="598">IF(B35095="","",$C$12)</f>
        <v/>
      </c>
    </row>
    <row r="35096" spans="8:8" x14ac:dyDescent="0.3">
      <c r="H35096" t="str">
        <f t="shared" si="598"/>
        <v/>
      </c>
    </row>
    <row r="35097" spans="8:8" x14ac:dyDescent="0.3">
      <c r="H35097" t="str">
        <f t="shared" si="598"/>
        <v/>
      </c>
    </row>
    <row r="35098" spans="8:8" x14ac:dyDescent="0.3">
      <c r="H35098" t="str">
        <f t="shared" si="598"/>
        <v/>
      </c>
    </row>
    <row r="35099" spans="8:8" x14ac:dyDescent="0.3">
      <c r="H35099" t="str">
        <f t="shared" si="598"/>
        <v/>
      </c>
    </row>
    <row r="35100" spans="8:8" x14ac:dyDescent="0.3">
      <c r="H35100" t="str">
        <f t="shared" si="598"/>
        <v/>
      </c>
    </row>
    <row r="35101" spans="8:8" x14ac:dyDescent="0.3">
      <c r="H35101" t="str">
        <f t="shared" si="598"/>
        <v/>
      </c>
    </row>
    <row r="35102" spans="8:8" x14ac:dyDescent="0.3">
      <c r="H35102" t="str">
        <f t="shared" si="598"/>
        <v/>
      </c>
    </row>
    <row r="35103" spans="8:8" x14ac:dyDescent="0.3">
      <c r="H35103" t="str">
        <f t="shared" si="598"/>
        <v/>
      </c>
    </row>
    <row r="35104" spans="8:8" x14ac:dyDescent="0.3">
      <c r="H35104" t="str">
        <f t="shared" si="598"/>
        <v/>
      </c>
    </row>
    <row r="35105" spans="8:8" x14ac:dyDescent="0.3">
      <c r="H35105" t="str">
        <f t="shared" si="598"/>
        <v/>
      </c>
    </row>
    <row r="35106" spans="8:8" x14ac:dyDescent="0.3">
      <c r="H35106" t="str">
        <f t="shared" si="598"/>
        <v/>
      </c>
    </row>
    <row r="35107" spans="8:8" x14ac:dyDescent="0.3">
      <c r="H35107" t="str">
        <f t="shared" si="598"/>
        <v/>
      </c>
    </row>
    <row r="35108" spans="8:8" x14ac:dyDescent="0.3">
      <c r="H35108" t="str">
        <f t="shared" si="598"/>
        <v/>
      </c>
    </row>
    <row r="35109" spans="8:8" x14ac:dyDescent="0.3">
      <c r="H35109" t="str">
        <f t="shared" si="598"/>
        <v/>
      </c>
    </row>
    <row r="35110" spans="8:8" x14ac:dyDescent="0.3">
      <c r="H35110" t="str">
        <f t="shared" si="598"/>
        <v/>
      </c>
    </row>
    <row r="35111" spans="8:8" x14ac:dyDescent="0.3">
      <c r="H35111" t="str">
        <f t="shared" si="598"/>
        <v/>
      </c>
    </row>
    <row r="35112" spans="8:8" x14ac:dyDescent="0.3">
      <c r="H35112" t="str">
        <f t="shared" si="598"/>
        <v/>
      </c>
    </row>
    <row r="35113" spans="8:8" x14ac:dyDescent="0.3">
      <c r="H35113" t="str">
        <f t="shared" si="598"/>
        <v/>
      </c>
    </row>
    <row r="35114" spans="8:8" x14ac:dyDescent="0.3">
      <c r="H35114" t="str">
        <f t="shared" si="598"/>
        <v/>
      </c>
    </row>
    <row r="35115" spans="8:8" x14ac:dyDescent="0.3">
      <c r="H35115" t="str">
        <f t="shared" si="598"/>
        <v/>
      </c>
    </row>
    <row r="35116" spans="8:8" x14ac:dyDescent="0.3">
      <c r="H35116" t="str">
        <f t="shared" si="598"/>
        <v/>
      </c>
    </row>
    <row r="35117" spans="8:8" x14ac:dyDescent="0.3">
      <c r="H35117" t="str">
        <f t="shared" si="598"/>
        <v/>
      </c>
    </row>
    <row r="35118" spans="8:8" x14ac:dyDescent="0.3">
      <c r="H35118" t="str">
        <f t="shared" si="598"/>
        <v/>
      </c>
    </row>
    <row r="35119" spans="8:8" x14ac:dyDescent="0.3">
      <c r="H35119" t="str">
        <f t="shared" si="598"/>
        <v/>
      </c>
    </row>
    <row r="35120" spans="8:8" x14ac:dyDescent="0.3">
      <c r="H35120" t="str">
        <f t="shared" si="598"/>
        <v/>
      </c>
    </row>
    <row r="35121" spans="8:8" x14ac:dyDescent="0.3">
      <c r="H35121" t="str">
        <f t="shared" si="598"/>
        <v/>
      </c>
    </row>
    <row r="35122" spans="8:8" x14ac:dyDescent="0.3">
      <c r="H35122" t="str">
        <f t="shared" si="598"/>
        <v/>
      </c>
    </row>
    <row r="35123" spans="8:8" x14ac:dyDescent="0.3">
      <c r="H35123" t="str">
        <f t="shared" si="598"/>
        <v/>
      </c>
    </row>
    <row r="35124" spans="8:8" x14ac:dyDescent="0.3">
      <c r="H35124" t="str">
        <f t="shared" si="598"/>
        <v/>
      </c>
    </row>
    <row r="35125" spans="8:8" x14ac:dyDescent="0.3">
      <c r="H35125" t="str">
        <f t="shared" si="598"/>
        <v/>
      </c>
    </row>
    <row r="35126" spans="8:8" x14ac:dyDescent="0.3">
      <c r="H35126" t="str">
        <f t="shared" si="598"/>
        <v/>
      </c>
    </row>
    <row r="35127" spans="8:8" x14ac:dyDescent="0.3">
      <c r="H35127" t="str">
        <f t="shared" si="598"/>
        <v/>
      </c>
    </row>
    <row r="35128" spans="8:8" x14ac:dyDescent="0.3">
      <c r="H35128" t="str">
        <f t="shared" si="598"/>
        <v/>
      </c>
    </row>
    <row r="35129" spans="8:8" x14ac:dyDescent="0.3">
      <c r="H35129" t="str">
        <f t="shared" si="598"/>
        <v/>
      </c>
    </row>
    <row r="35130" spans="8:8" x14ac:dyDescent="0.3">
      <c r="H35130" t="str">
        <f t="shared" si="598"/>
        <v/>
      </c>
    </row>
    <row r="35131" spans="8:8" x14ac:dyDescent="0.3">
      <c r="H35131" t="str">
        <f t="shared" si="598"/>
        <v/>
      </c>
    </row>
    <row r="35132" spans="8:8" x14ac:dyDescent="0.3">
      <c r="H35132" t="str">
        <f t="shared" si="598"/>
        <v/>
      </c>
    </row>
    <row r="35133" spans="8:8" x14ac:dyDescent="0.3">
      <c r="H35133" t="str">
        <f t="shared" si="598"/>
        <v/>
      </c>
    </row>
    <row r="35134" spans="8:8" x14ac:dyDescent="0.3">
      <c r="H35134" t="str">
        <f t="shared" si="598"/>
        <v/>
      </c>
    </row>
    <row r="35135" spans="8:8" x14ac:dyDescent="0.3">
      <c r="H35135" t="str">
        <f t="shared" si="598"/>
        <v/>
      </c>
    </row>
    <row r="35136" spans="8:8" x14ac:dyDescent="0.3">
      <c r="H35136" t="str">
        <f t="shared" si="598"/>
        <v/>
      </c>
    </row>
    <row r="35137" spans="8:8" x14ac:dyDescent="0.3">
      <c r="H35137" t="str">
        <f t="shared" si="598"/>
        <v/>
      </c>
    </row>
    <row r="35138" spans="8:8" x14ac:dyDescent="0.3">
      <c r="H35138" t="str">
        <f t="shared" si="598"/>
        <v/>
      </c>
    </row>
    <row r="35139" spans="8:8" x14ac:dyDescent="0.3">
      <c r="H35139" t="str">
        <f t="shared" si="598"/>
        <v/>
      </c>
    </row>
    <row r="35140" spans="8:8" x14ac:dyDescent="0.3">
      <c r="H35140" t="str">
        <f t="shared" si="598"/>
        <v/>
      </c>
    </row>
    <row r="35141" spans="8:8" x14ac:dyDescent="0.3">
      <c r="H35141" t="str">
        <f t="shared" si="598"/>
        <v/>
      </c>
    </row>
    <row r="35142" spans="8:8" x14ac:dyDescent="0.3">
      <c r="H35142" t="str">
        <f t="shared" si="598"/>
        <v/>
      </c>
    </row>
    <row r="35143" spans="8:8" x14ac:dyDescent="0.3">
      <c r="H35143" t="str">
        <f t="shared" si="598"/>
        <v/>
      </c>
    </row>
    <row r="35144" spans="8:8" x14ac:dyDescent="0.3">
      <c r="H35144" t="str">
        <f t="shared" si="598"/>
        <v/>
      </c>
    </row>
    <row r="35145" spans="8:8" x14ac:dyDescent="0.3">
      <c r="H35145" t="str">
        <f t="shared" si="598"/>
        <v/>
      </c>
    </row>
    <row r="35146" spans="8:8" x14ac:dyDescent="0.3">
      <c r="H35146" t="str">
        <f t="shared" si="598"/>
        <v/>
      </c>
    </row>
    <row r="35147" spans="8:8" x14ac:dyDescent="0.3">
      <c r="H35147" t="str">
        <f t="shared" si="598"/>
        <v/>
      </c>
    </row>
    <row r="35148" spans="8:8" x14ac:dyDescent="0.3">
      <c r="H35148" t="str">
        <f t="shared" si="598"/>
        <v/>
      </c>
    </row>
    <row r="35149" spans="8:8" x14ac:dyDescent="0.3">
      <c r="H35149" t="str">
        <f t="shared" si="598"/>
        <v/>
      </c>
    </row>
    <row r="35150" spans="8:8" x14ac:dyDescent="0.3">
      <c r="H35150" t="str">
        <f t="shared" si="598"/>
        <v/>
      </c>
    </row>
    <row r="35151" spans="8:8" x14ac:dyDescent="0.3">
      <c r="H35151" t="str">
        <f t="shared" si="598"/>
        <v/>
      </c>
    </row>
    <row r="35152" spans="8:8" x14ac:dyDescent="0.3">
      <c r="H35152" t="str">
        <f t="shared" si="598"/>
        <v/>
      </c>
    </row>
    <row r="35153" spans="8:8" x14ac:dyDescent="0.3">
      <c r="H35153" t="str">
        <f t="shared" si="598"/>
        <v/>
      </c>
    </row>
    <row r="35154" spans="8:8" x14ac:dyDescent="0.3">
      <c r="H35154" t="str">
        <f t="shared" si="598"/>
        <v/>
      </c>
    </row>
    <row r="35155" spans="8:8" x14ac:dyDescent="0.3">
      <c r="H35155" t="str">
        <f t="shared" si="598"/>
        <v/>
      </c>
    </row>
    <row r="35156" spans="8:8" x14ac:dyDescent="0.3">
      <c r="H35156" t="str">
        <f t="shared" si="598"/>
        <v/>
      </c>
    </row>
    <row r="35157" spans="8:8" x14ac:dyDescent="0.3">
      <c r="H35157" t="str">
        <f t="shared" si="598"/>
        <v/>
      </c>
    </row>
    <row r="35158" spans="8:8" x14ac:dyDescent="0.3">
      <c r="H35158" t="str">
        <f t="shared" si="598"/>
        <v/>
      </c>
    </row>
    <row r="35159" spans="8:8" x14ac:dyDescent="0.3">
      <c r="H35159" t="str">
        <f t="shared" ref="H35159:H35222" si="599">IF(B35159="","",$C$12)</f>
        <v/>
      </c>
    </row>
    <row r="35160" spans="8:8" x14ac:dyDescent="0.3">
      <c r="H35160" t="str">
        <f t="shared" si="599"/>
        <v/>
      </c>
    </row>
    <row r="35161" spans="8:8" x14ac:dyDescent="0.3">
      <c r="H35161" t="str">
        <f t="shared" si="599"/>
        <v/>
      </c>
    </row>
    <row r="35162" spans="8:8" x14ac:dyDescent="0.3">
      <c r="H35162" t="str">
        <f t="shared" si="599"/>
        <v/>
      </c>
    </row>
    <row r="35163" spans="8:8" x14ac:dyDescent="0.3">
      <c r="H35163" t="str">
        <f t="shared" si="599"/>
        <v/>
      </c>
    </row>
    <row r="35164" spans="8:8" x14ac:dyDescent="0.3">
      <c r="H35164" t="str">
        <f t="shared" si="599"/>
        <v/>
      </c>
    </row>
    <row r="35165" spans="8:8" x14ac:dyDescent="0.3">
      <c r="H35165" t="str">
        <f t="shared" si="599"/>
        <v/>
      </c>
    </row>
    <row r="35166" spans="8:8" x14ac:dyDescent="0.3">
      <c r="H35166" t="str">
        <f t="shared" si="599"/>
        <v/>
      </c>
    </row>
    <row r="35167" spans="8:8" x14ac:dyDescent="0.3">
      <c r="H35167" t="str">
        <f t="shared" si="599"/>
        <v/>
      </c>
    </row>
    <row r="35168" spans="8:8" x14ac:dyDescent="0.3">
      <c r="H35168" t="str">
        <f t="shared" si="599"/>
        <v/>
      </c>
    </row>
    <row r="35169" spans="8:8" x14ac:dyDescent="0.3">
      <c r="H35169" t="str">
        <f t="shared" si="599"/>
        <v/>
      </c>
    </row>
    <row r="35170" spans="8:8" x14ac:dyDescent="0.3">
      <c r="H35170" t="str">
        <f t="shared" si="599"/>
        <v/>
      </c>
    </row>
    <row r="35171" spans="8:8" x14ac:dyDescent="0.3">
      <c r="H35171" t="str">
        <f t="shared" si="599"/>
        <v/>
      </c>
    </row>
    <row r="35172" spans="8:8" x14ac:dyDescent="0.3">
      <c r="H35172" t="str">
        <f t="shared" si="599"/>
        <v/>
      </c>
    </row>
    <row r="35173" spans="8:8" x14ac:dyDescent="0.3">
      <c r="H35173" t="str">
        <f t="shared" si="599"/>
        <v/>
      </c>
    </row>
    <row r="35174" spans="8:8" x14ac:dyDescent="0.3">
      <c r="H35174" t="str">
        <f t="shared" si="599"/>
        <v/>
      </c>
    </row>
    <row r="35175" spans="8:8" x14ac:dyDescent="0.3">
      <c r="H35175" t="str">
        <f t="shared" si="599"/>
        <v/>
      </c>
    </row>
    <row r="35176" spans="8:8" x14ac:dyDescent="0.3">
      <c r="H35176" t="str">
        <f t="shared" si="599"/>
        <v/>
      </c>
    </row>
    <row r="35177" spans="8:8" x14ac:dyDescent="0.3">
      <c r="H35177" t="str">
        <f t="shared" si="599"/>
        <v/>
      </c>
    </row>
    <row r="35178" spans="8:8" x14ac:dyDescent="0.3">
      <c r="H35178" t="str">
        <f t="shared" si="599"/>
        <v/>
      </c>
    </row>
    <row r="35179" spans="8:8" x14ac:dyDescent="0.3">
      <c r="H35179" t="str">
        <f t="shared" si="599"/>
        <v/>
      </c>
    </row>
    <row r="35180" spans="8:8" x14ac:dyDescent="0.3">
      <c r="H35180" t="str">
        <f t="shared" si="599"/>
        <v/>
      </c>
    </row>
    <row r="35181" spans="8:8" x14ac:dyDescent="0.3">
      <c r="H35181" t="str">
        <f t="shared" si="599"/>
        <v/>
      </c>
    </row>
    <row r="35182" spans="8:8" x14ac:dyDescent="0.3">
      <c r="H35182" t="str">
        <f t="shared" si="599"/>
        <v/>
      </c>
    </row>
    <row r="35183" spans="8:8" x14ac:dyDescent="0.3">
      <c r="H35183" t="str">
        <f t="shared" si="599"/>
        <v/>
      </c>
    </row>
    <row r="35184" spans="8:8" x14ac:dyDescent="0.3">
      <c r="H35184" t="str">
        <f t="shared" si="599"/>
        <v/>
      </c>
    </row>
    <row r="35185" spans="8:8" x14ac:dyDescent="0.3">
      <c r="H35185" t="str">
        <f t="shared" si="599"/>
        <v/>
      </c>
    </row>
    <row r="35186" spans="8:8" x14ac:dyDescent="0.3">
      <c r="H35186" t="str">
        <f t="shared" si="599"/>
        <v/>
      </c>
    </row>
    <row r="35187" spans="8:8" x14ac:dyDescent="0.3">
      <c r="H35187" t="str">
        <f t="shared" si="599"/>
        <v/>
      </c>
    </row>
    <row r="35188" spans="8:8" x14ac:dyDescent="0.3">
      <c r="H35188" t="str">
        <f t="shared" si="599"/>
        <v/>
      </c>
    </row>
    <row r="35189" spans="8:8" x14ac:dyDescent="0.3">
      <c r="H35189" t="str">
        <f t="shared" si="599"/>
        <v/>
      </c>
    </row>
    <row r="35190" spans="8:8" x14ac:dyDescent="0.3">
      <c r="H35190" t="str">
        <f t="shared" si="599"/>
        <v/>
      </c>
    </row>
    <row r="35191" spans="8:8" x14ac:dyDescent="0.3">
      <c r="H35191" t="str">
        <f t="shared" si="599"/>
        <v/>
      </c>
    </row>
    <row r="35192" spans="8:8" x14ac:dyDescent="0.3">
      <c r="H35192" t="str">
        <f t="shared" si="599"/>
        <v/>
      </c>
    </row>
    <row r="35193" spans="8:8" x14ac:dyDescent="0.3">
      <c r="H35193" t="str">
        <f t="shared" si="599"/>
        <v/>
      </c>
    </row>
    <row r="35194" spans="8:8" x14ac:dyDescent="0.3">
      <c r="H35194" t="str">
        <f t="shared" si="599"/>
        <v/>
      </c>
    </row>
    <row r="35195" spans="8:8" x14ac:dyDescent="0.3">
      <c r="H35195" t="str">
        <f t="shared" si="599"/>
        <v/>
      </c>
    </row>
    <row r="35196" spans="8:8" x14ac:dyDescent="0.3">
      <c r="H35196" t="str">
        <f t="shared" si="599"/>
        <v/>
      </c>
    </row>
    <row r="35197" spans="8:8" x14ac:dyDescent="0.3">
      <c r="H35197" t="str">
        <f t="shared" si="599"/>
        <v/>
      </c>
    </row>
    <row r="35198" spans="8:8" x14ac:dyDescent="0.3">
      <c r="H35198" t="str">
        <f t="shared" si="599"/>
        <v/>
      </c>
    </row>
    <row r="35199" spans="8:8" x14ac:dyDescent="0.3">
      <c r="H35199" t="str">
        <f t="shared" si="599"/>
        <v/>
      </c>
    </row>
    <row r="35200" spans="8:8" x14ac:dyDescent="0.3">
      <c r="H35200" t="str">
        <f t="shared" si="599"/>
        <v/>
      </c>
    </row>
    <row r="35201" spans="8:8" x14ac:dyDescent="0.3">
      <c r="H35201" t="str">
        <f t="shared" si="599"/>
        <v/>
      </c>
    </row>
    <row r="35202" spans="8:8" x14ac:dyDescent="0.3">
      <c r="H35202" t="str">
        <f t="shared" si="599"/>
        <v/>
      </c>
    </row>
    <row r="35203" spans="8:8" x14ac:dyDescent="0.3">
      <c r="H35203" t="str">
        <f t="shared" si="599"/>
        <v/>
      </c>
    </row>
    <row r="35204" spans="8:8" x14ac:dyDescent="0.3">
      <c r="H35204" t="str">
        <f t="shared" si="599"/>
        <v/>
      </c>
    </row>
    <row r="35205" spans="8:8" x14ac:dyDescent="0.3">
      <c r="H35205" t="str">
        <f t="shared" si="599"/>
        <v/>
      </c>
    </row>
    <row r="35206" spans="8:8" x14ac:dyDescent="0.3">
      <c r="H35206" t="str">
        <f t="shared" si="599"/>
        <v/>
      </c>
    </row>
    <row r="35207" spans="8:8" x14ac:dyDescent="0.3">
      <c r="H35207" t="str">
        <f t="shared" si="599"/>
        <v/>
      </c>
    </row>
    <row r="35208" spans="8:8" x14ac:dyDescent="0.3">
      <c r="H35208" t="str">
        <f t="shared" si="599"/>
        <v/>
      </c>
    </row>
    <row r="35209" spans="8:8" x14ac:dyDescent="0.3">
      <c r="H35209" t="str">
        <f t="shared" si="599"/>
        <v/>
      </c>
    </row>
    <row r="35210" spans="8:8" x14ac:dyDescent="0.3">
      <c r="H35210" t="str">
        <f t="shared" si="599"/>
        <v/>
      </c>
    </row>
    <row r="35211" spans="8:8" x14ac:dyDescent="0.3">
      <c r="H35211" t="str">
        <f t="shared" si="599"/>
        <v/>
      </c>
    </row>
    <row r="35212" spans="8:8" x14ac:dyDescent="0.3">
      <c r="H35212" t="str">
        <f t="shared" si="599"/>
        <v/>
      </c>
    </row>
    <row r="35213" spans="8:8" x14ac:dyDescent="0.3">
      <c r="H35213" t="str">
        <f t="shared" si="599"/>
        <v/>
      </c>
    </row>
    <row r="35214" spans="8:8" x14ac:dyDescent="0.3">
      <c r="H35214" t="str">
        <f t="shared" si="599"/>
        <v/>
      </c>
    </row>
    <row r="35215" spans="8:8" x14ac:dyDescent="0.3">
      <c r="H35215" t="str">
        <f t="shared" si="599"/>
        <v/>
      </c>
    </row>
    <row r="35216" spans="8:8" x14ac:dyDescent="0.3">
      <c r="H35216" t="str">
        <f t="shared" si="599"/>
        <v/>
      </c>
    </row>
    <row r="35217" spans="8:8" x14ac:dyDescent="0.3">
      <c r="H35217" t="str">
        <f t="shared" si="599"/>
        <v/>
      </c>
    </row>
    <row r="35218" spans="8:8" x14ac:dyDescent="0.3">
      <c r="H35218" t="str">
        <f t="shared" si="599"/>
        <v/>
      </c>
    </row>
    <row r="35219" spans="8:8" x14ac:dyDescent="0.3">
      <c r="H35219" t="str">
        <f t="shared" si="599"/>
        <v/>
      </c>
    </row>
    <row r="35220" spans="8:8" x14ac:dyDescent="0.3">
      <c r="H35220" t="str">
        <f t="shared" si="599"/>
        <v/>
      </c>
    </row>
    <row r="35221" spans="8:8" x14ac:dyDescent="0.3">
      <c r="H35221" t="str">
        <f t="shared" si="599"/>
        <v/>
      </c>
    </row>
    <row r="35222" spans="8:8" x14ac:dyDescent="0.3">
      <c r="H35222" t="str">
        <f t="shared" si="599"/>
        <v/>
      </c>
    </row>
    <row r="35223" spans="8:8" x14ac:dyDescent="0.3">
      <c r="H35223" t="str">
        <f t="shared" ref="H35223:H35286" si="600">IF(B35223="","",$C$12)</f>
        <v/>
      </c>
    </row>
    <row r="35224" spans="8:8" x14ac:dyDescent="0.3">
      <c r="H35224" t="str">
        <f t="shared" si="600"/>
        <v/>
      </c>
    </row>
    <row r="35225" spans="8:8" x14ac:dyDescent="0.3">
      <c r="H35225" t="str">
        <f t="shared" si="600"/>
        <v/>
      </c>
    </row>
    <row r="35226" spans="8:8" x14ac:dyDescent="0.3">
      <c r="H35226" t="str">
        <f t="shared" si="600"/>
        <v/>
      </c>
    </row>
    <row r="35227" spans="8:8" x14ac:dyDescent="0.3">
      <c r="H35227" t="str">
        <f t="shared" si="600"/>
        <v/>
      </c>
    </row>
    <row r="35228" spans="8:8" x14ac:dyDescent="0.3">
      <c r="H35228" t="str">
        <f t="shared" si="600"/>
        <v/>
      </c>
    </row>
    <row r="35229" spans="8:8" x14ac:dyDescent="0.3">
      <c r="H35229" t="str">
        <f t="shared" si="600"/>
        <v/>
      </c>
    </row>
    <row r="35230" spans="8:8" x14ac:dyDescent="0.3">
      <c r="H35230" t="str">
        <f t="shared" si="600"/>
        <v/>
      </c>
    </row>
    <row r="35231" spans="8:8" x14ac:dyDescent="0.3">
      <c r="H35231" t="str">
        <f t="shared" si="600"/>
        <v/>
      </c>
    </row>
    <row r="35232" spans="8:8" x14ac:dyDescent="0.3">
      <c r="H35232" t="str">
        <f t="shared" si="600"/>
        <v/>
      </c>
    </row>
    <row r="35233" spans="8:8" x14ac:dyDescent="0.3">
      <c r="H35233" t="str">
        <f t="shared" si="600"/>
        <v/>
      </c>
    </row>
    <row r="35234" spans="8:8" x14ac:dyDescent="0.3">
      <c r="H35234" t="str">
        <f t="shared" si="600"/>
        <v/>
      </c>
    </row>
    <row r="35235" spans="8:8" x14ac:dyDescent="0.3">
      <c r="H35235" t="str">
        <f t="shared" si="600"/>
        <v/>
      </c>
    </row>
    <row r="35236" spans="8:8" x14ac:dyDescent="0.3">
      <c r="H35236" t="str">
        <f t="shared" si="600"/>
        <v/>
      </c>
    </row>
    <row r="35237" spans="8:8" x14ac:dyDescent="0.3">
      <c r="H35237" t="str">
        <f t="shared" si="600"/>
        <v/>
      </c>
    </row>
    <row r="35238" spans="8:8" x14ac:dyDescent="0.3">
      <c r="H35238" t="str">
        <f t="shared" si="600"/>
        <v/>
      </c>
    </row>
    <row r="35239" spans="8:8" x14ac:dyDescent="0.3">
      <c r="H35239" t="str">
        <f t="shared" si="600"/>
        <v/>
      </c>
    </row>
    <row r="35240" spans="8:8" x14ac:dyDescent="0.3">
      <c r="H35240" t="str">
        <f t="shared" si="600"/>
        <v/>
      </c>
    </row>
    <row r="35241" spans="8:8" x14ac:dyDescent="0.3">
      <c r="H35241" t="str">
        <f t="shared" si="600"/>
        <v/>
      </c>
    </row>
    <row r="35242" spans="8:8" x14ac:dyDescent="0.3">
      <c r="H35242" t="str">
        <f t="shared" si="600"/>
        <v/>
      </c>
    </row>
    <row r="35243" spans="8:8" x14ac:dyDescent="0.3">
      <c r="H35243" t="str">
        <f t="shared" si="600"/>
        <v/>
      </c>
    </row>
    <row r="35244" spans="8:8" x14ac:dyDescent="0.3">
      <c r="H35244" t="str">
        <f t="shared" si="600"/>
        <v/>
      </c>
    </row>
    <row r="35245" spans="8:8" x14ac:dyDescent="0.3">
      <c r="H35245" t="str">
        <f t="shared" si="600"/>
        <v/>
      </c>
    </row>
    <row r="35246" spans="8:8" x14ac:dyDescent="0.3">
      <c r="H35246" t="str">
        <f t="shared" si="600"/>
        <v/>
      </c>
    </row>
    <row r="35247" spans="8:8" x14ac:dyDescent="0.3">
      <c r="H35247" t="str">
        <f t="shared" si="600"/>
        <v/>
      </c>
    </row>
    <row r="35248" spans="8:8" x14ac:dyDescent="0.3">
      <c r="H35248" t="str">
        <f t="shared" si="600"/>
        <v/>
      </c>
    </row>
    <row r="35249" spans="8:8" x14ac:dyDescent="0.3">
      <c r="H35249" t="str">
        <f t="shared" si="600"/>
        <v/>
      </c>
    </row>
    <row r="35250" spans="8:8" x14ac:dyDescent="0.3">
      <c r="H35250" t="str">
        <f t="shared" si="600"/>
        <v/>
      </c>
    </row>
    <row r="35251" spans="8:8" x14ac:dyDescent="0.3">
      <c r="H35251" t="str">
        <f t="shared" si="600"/>
        <v/>
      </c>
    </row>
    <row r="35252" spans="8:8" x14ac:dyDescent="0.3">
      <c r="H35252" t="str">
        <f t="shared" si="600"/>
        <v/>
      </c>
    </row>
    <row r="35253" spans="8:8" x14ac:dyDescent="0.3">
      <c r="H35253" t="str">
        <f t="shared" si="600"/>
        <v/>
      </c>
    </row>
    <row r="35254" spans="8:8" x14ac:dyDescent="0.3">
      <c r="H35254" t="str">
        <f t="shared" si="600"/>
        <v/>
      </c>
    </row>
    <row r="35255" spans="8:8" x14ac:dyDescent="0.3">
      <c r="H35255" t="str">
        <f t="shared" si="600"/>
        <v/>
      </c>
    </row>
    <row r="35256" spans="8:8" x14ac:dyDescent="0.3">
      <c r="H35256" t="str">
        <f t="shared" si="600"/>
        <v/>
      </c>
    </row>
    <row r="35257" spans="8:8" x14ac:dyDescent="0.3">
      <c r="H35257" t="str">
        <f t="shared" si="600"/>
        <v/>
      </c>
    </row>
    <row r="35258" spans="8:8" x14ac:dyDescent="0.3">
      <c r="H35258" t="str">
        <f t="shared" si="600"/>
        <v/>
      </c>
    </row>
    <row r="35259" spans="8:8" x14ac:dyDescent="0.3">
      <c r="H35259" t="str">
        <f t="shared" si="600"/>
        <v/>
      </c>
    </row>
    <row r="35260" spans="8:8" x14ac:dyDescent="0.3">
      <c r="H35260" t="str">
        <f t="shared" si="600"/>
        <v/>
      </c>
    </row>
    <row r="35261" spans="8:8" x14ac:dyDescent="0.3">
      <c r="H35261" t="str">
        <f t="shared" si="600"/>
        <v/>
      </c>
    </row>
    <row r="35262" spans="8:8" x14ac:dyDescent="0.3">
      <c r="H35262" t="str">
        <f t="shared" si="600"/>
        <v/>
      </c>
    </row>
    <row r="35263" spans="8:8" x14ac:dyDescent="0.3">
      <c r="H35263" t="str">
        <f t="shared" si="600"/>
        <v/>
      </c>
    </row>
    <row r="35264" spans="8:8" x14ac:dyDescent="0.3">
      <c r="H35264" t="str">
        <f t="shared" si="600"/>
        <v/>
      </c>
    </row>
    <row r="35265" spans="8:8" x14ac:dyDescent="0.3">
      <c r="H35265" t="str">
        <f t="shared" si="600"/>
        <v/>
      </c>
    </row>
    <row r="35266" spans="8:8" x14ac:dyDescent="0.3">
      <c r="H35266" t="str">
        <f t="shared" si="600"/>
        <v/>
      </c>
    </row>
    <row r="35267" spans="8:8" x14ac:dyDescent="0.3">
      <c r="H35267" t="str">
        <f t="shared" si="600"/>
        <v/>
      </c>
    </row>
    <row r="35268" spans="8:8" x14ac:dyDescent="0.3">
      <c r="H35268" t="str">
        <f t="shared" si="600"/>
        <v/>
      </c>
    </row>
    <row r="35269" spans="8:8" x14ac:dyDescent="0.3">
      <c r="H35269" t="str">
        <f t="shared" si="600"/>
        <v/>
      </c>
    </row>
    <row r="35270" spans="8:8" x14ac:dyDescent="0.3">
      <c r="H35270" t="str">
        <f t="shared" si="600"/>
        <v/>
      </c>
    </row>
    <row r="35271" spans="8:8" x14ac:dyDescent="0.3">
      <c r="H35271" t="str">
        <f t="shared" si="600"/>
        <v/>
      </c>
    </row>
    <row r="35272" spans="8:8" x14ac:dyDescent="0.3">
      <c r="H35272" t="str">
        <f t="shared" si="600"/>
        <v/>
      </c>
    </row>
    <row r="35273" spans="8:8" x14ac:dyDescent="0.3">
      <c r="H35273" t="str">
        <f t="shared" si="600"/>
        <v/>
      </c>
    </row>
    <row r="35274" spans="8:8" x14ac:dyDescent="0.3">
      <c r="H35274" t="str">
        <f t="shared" si="600"/>
        <v/>
      </c>
    </row>
    <row r="35275" spans="8:8" x14ac:dyDescent="0.3">
      <c r="H35275" t="str">
        <f t="shared" si="600"/>
        <v/>
      </c>
    </row>
    <row r="35276" spans="8:8" x14ac:dyDescent="0.3">
      <c r="H35276" t="str">
        <f t="shared" si="600"/>
        <v/>
      </c>
    </row>
    <row r="35277" spans="8:8" x14ac:dyDescent="0.3">
      <c r="H35277" t="str">
        <f t="shared" si="600"/>
        <v/>
      </c>
    </row>
    <row r="35278" spans="8:8" x14ac:dyDescent="0.3">
      <c r="H35278" t="str">
        <f t="shared" si="600"/>
        <v/>
      </c>
    </row>
    <row r="35279" spans="8:8" x14ac:dyDescent="0.3">
      <c r="H35279" t="str">
        <f t="shared" si="600"/>
        <v/>
      </c>
    </row>
    <row r="35280" spans="8:8" x14ac:dyDescent="0.3">
      <c r="H35280" t="str">
        <f t="shared" si="600"/>
        <v/>
      </c>
    </row>
    <row r="35281" spans="8:8" x14ac:dyDescent="0.3">
      <c r="H35281" t="str">
        <f t="shared" si="600"/>
        <v/>
      </c>
    </row>
    <row r="35282" spans="8:8" x14ac:dyDescent="0.3">
      <c r="H35282" t="str">
        <f t="shared" si="600"/>
        <v/>
      </c>
    </row>
    <row r="35283" spans="8:8" x14ac:dyDescent="0.3">
      <c r="H35283" t="str">
        <f t="shared" si="600"/>
        <v/>
      </c>
    </row>
    <row r="35284" spans="8:8" x14ac:dyDescent="0.3">
      <c r="H35284" t="str">
        <f t="shared" si="600"/>
        <v/>
      </c>
    </row>
    <row r="35285" spans="8:8" x14ac:dyDescent="0.3">
      <c r="H35285" t="str">
        <f t="shared" si="600"/>
        <v/>
      </c>
    </row>
    <row r="35286" spans="8:8" x14ac:dyDescent="0.3">
      <c r="H35286" t="str">
        <f t="shared" si="600"/>
        <v/>
      </c>
    </row>
    <row r="35287" spans="8:8" x14ac:dyDescent="0.3">
      <c r="H35287" t="str">
        <f t="shared" ref="H35287:H35350" si="601">IF(B35287="","",$C$12)</f>
        <v/>
      </c>
    </row>
    <row r="35288" spans="8:8" x14ac:dyDescent="0.3">
      <c r="H35288" t="str">
        <f t="shared" si="601"/>
        <v/>
      </c>
    </row>
    <row r="35289" spans="8:8" x14ac:dyDescent="0.3">
      <c r="H35289" t="str">
        <f t="shared" si="601"/>
        <v/>
      </c>
    </row>
    <row r="35290" spans="8:8" x14ac:dyDescent="0.3">
      <c r="H35290" t="str">
        <f t="shared" si="601"/>
        <v/>
      </c>
    </row>
    <row r="35291" spans="8:8" x14ac:dyDescent="0.3">
      <c r="H35291" t="str">
        <f t="shared" si="601"/>
        <v/>
      </c>
    </row>
    <row r="35292" spans="8:8" x14ac:dyDescent="0.3">
      <c r="H35292" t="str">
        <f t="shared" si="601"/>
        <v/>
      </c>
    </row>
    <row r="35293" spans="8:8" x14ac:dyDescent="0.3">
      <c r="H35293" t="str">
        <f t="shared" si="601"/>
        <v/>
      </c>
    </row>
    <row r="35294" spans="8:8" x14ac:dyDescent="0.3">
      <c r="H35294" t="str">
        <f t="shared" si="601"/>
        <v/>
      </c>
    </row>
    <row r="35295" spans="8:8" x14ac:dyDescent="0.3">
      <c r="H35295" t="str">
        <f t="shared" si="601"/>
        <v/>
      </c>
    </row>
    <row r="35296" spans="8:8" x14ac:dyDescent="0.3">
      <c r="H35296" t="str">
        <f t="shared" si="601"/>
        <v/>
      </c>
    </row>
    <row r="35297" spans="8:8" x14ac:dyDescent="0.3">
      <c r="H35297" t="str">
        <f t="shared" si="601"/>
        <v/>
      </c>
    </row>
    <row r="35298" spans="8:8" x14ac:dyDescent="0.3">
      <c r="H35298" t="str">
        <f t="shared" si="601"/>
        <v/>
      </c>
    </row>
    <row r="35299" spans="8:8" x14ac:dyDescent="0.3">
      <c r="H35299" t="str">
        <f t="shared" si="601"/>
        <v/>
      </c>
    </row>
    <row r="35300" spans="8:8" x14ac:dyDescent="0.3">
      <c r="H35300" t="str">
        <f t="shared" si="601"/>
        <v/>
      </c>
    </row>
    <row r="35301" spans="8:8" x14ac:dyDescent="0.3">
      <c r="H35301" t="str">
        <f t="shared" si="601"/>
        <v/>
      </c>
    </row>
    <row r="35302" spans="8:8" x14ac:dyDescent="0.3">
      <c r="H35302" t="str">
        <f t="shared" si="601"/>
        <v/>
      </c>
    </row>
    <row r="35303" spans="8:8" x14ac:dyDescent="0.3">
      <c r="H35303" t="str">
        <f t="shared" si="601"/>
        <v/>
      </c>
    </row>
    <row r="35304" spans="8:8" x14ac:dyDescent="0.3">
      <c r="H35304" t="str">
        <f t="shared" si="601"/>
        <v/>
      </c>
    </row>
    <row r="35305" spans="8:8" x14ac:dyDescent="0.3">
      <c r="H35305" t="str">
        <f t="shared" si="601"/>
        <v/>
      </c>
    </row>
    <row r="35306" spans="8:8" x14ac:dyDescent="0.3">
      <c r="H35306" t="str">
        <f t="shared" si="601"/>
        <v/>
      </c>
    </row>
    <row r="35307" spans="8:8" x14ac:dyDescent="0.3">
      <c r="H35307" t="str">
        <f t="shared" si="601"/>
        <v/>
      </c>
    </row>
    <row r="35308" spans="8:8" x14ac:dyDescent="0.3">
      <c r="H35308" t="str">
        <f t="shared" si="601"/>
        <v/>
      </c>
    </row>
    <row r="35309" spans="8:8" x14ac:dyDescent="0.3">
      <c r="H35309" t="str">
        <f t="shared" si="601"/>
        <v/>
      </c>
    </row>
    <row r="35310" spans="8:8" x14ac:dyDescent="0.3">
      <c r="H35310" t="str">
        <f t="shared" si="601"/>
        <v/>
      </c>
    </row>
    <row r="35311" spans="8:8" x14ac:dyDescent="0.3">
      <c r="H35311" t="str">
        <f t="shared" si="601"/>
        <v/>
      </c>
    </row>
    <row r="35312" spans="8:8" x14ac:dyDescent="0.3">
      <c r="H35312" t="str">
        <f t="shared" si="601"/>
        <v/>
      </c>
    </row>
    <row r="35313" spans="8:8" x14ac:dyDescent="0.3">
      <c r="H35313" t="str">
        <f t="shared" si="601"/>
        <v/>
      </c>
    </row>
    <row r="35314" spans="8:8" x14ac:dyDescent="0.3">
      <c r="H35314" t="str">
        <f t="shared" si="601"/>
        <v/>
      </c>
    </row>
    <row r="35315" spans="8:8" x14ac:dyDescent="0.3">
      <c r="H35315" t="str">
        <f t="shared" si="601"/>
        <v/>
      </c>
    </row>
    <row r="35316" spans="8:8" x14ac:dyDescent="0.3">
      <c r="H35316" t="str">
        <f t="shared" si="601"/>
        <v/>
      </c>
    </row>
    <row r="35317" spans="8:8" x14ac:dyDescent="0.3">
      <c r="H35317" t="str">
        <f t="shared" si="601"/>
        <v/>
      </c>
    </row>
    <row r="35318" spans="8:8" x14ac:dyDescent="0.3">
      <c r="H35318" t="str">
        <f t="shared" si="601"/>
        <v/>
      </c>
    </row>
    <row r="35319" spans="8:8" x14ac:dyDescent="0.3">
      <c r="H35319" t="str">
        <f t="shared" si="601"/>
        <v/>
      </c>
    </row>
    <row r="35320" spans="8:8" x14ac:dyDescent="0.3">
      <c r="H35320" t="str">
        <f t="shared" si="601"/>
        <v/>
      </c>
    </row>
    <row r="35321" spans="8:8" x14ac:dyDescent="0.3">
      <c r="H35321" t="str">
        <f t="shared" si="601"/>
        <v/>
      </c>
    </row>
    <row r="35322" spans="8:8" x14ac:dyDescent="0.3">
      <c r="H35322" t="str">
        <f t="shared" si="601"/>
        <v/>
      </c>
    </row>
    <row r="35323" spans="8:8" x14ac:dyDescent="0.3">
      <c r="H35323" t="str">
        <f t="shared" si="601"/>
        <v/>
      </c>
    </row>
    <row r="35324" spans="8:8" x14ac:dyDescent="0.3">
      <c r="H35324" t="str">
        <f t="shared" si="601"/>
        <v/>
      </c>
    </row>
    <row r="35325" spans="8:8" x14ac:dyDescent="0.3">
      <c r="H35325" t="str">
        <f t="shared" si="601"/>
        <v/>
      </c>
    </row>
    <row r="35326" spans="8:8" x14ac:dyDescent="0.3">
      <c r="H35326" t="str">
        <f t="shared" si="601"/>
        <v/>
      </c>
    </row>
    <row r="35327" spans="8:8" x14ac:dyDescent="0.3">
      <c r="H35327" t="str">
        <f t="shared" si="601"/>
        <v/>
      </c>
    </row>
    <row r="35328" spans="8:8" x14ac:dyDescent="0.3">
      <c r="H35328" t="str">
        <f t="shared" si="601"/>
        <v/>
      </c>
    </row>
    <row r="35329" spans="8:8" x14ac:dyDescent="0.3">
      <c r="H35329" t="str">
        <f t="shared" si="601"/>
        <v/>
      </c>
    </row>
    <row r="35330" spans="8:8" x14ac:dyDescent="0.3">
      <c r="H35330" t="str">
        <f t="shared" si="601"/>
        <v/>
      </c>
    </row>
    <row r="35331" spans="8:8" x14ac:dyDescent="0.3">
      <c r="H35331" t="str">
        <f t="shared" si="601"/>
        <v/>
      </c>
    </row>
    <row r="35332" spans="8:8" x14ac:dyDescent="0.3">
      <c r="H35332" t="str">
        <f t="shared" si="601"/>
        <v/>
      </c>
    </row>
    <row r="35333" spans="8:8" x14ac:dyDescent="0.3">
      <c r="H35333" t="str">
        <f t="shared" si="601"/>
        <v/>
      </c>
    </row>
    <row r="35334" spans="8:8" x14ac:dyDescent="0.3">
      <c r="H35334" t="str">
        <f t="shared" si="601"/>
        <v/>
      </c>
    </row>
    <row r="35335" spans="8:8" x14ac:dyDescent="0.3">
      <c r="H35335" t="str">
        <f t="shared" si="601"/>
        <v/>
      </c>
    </row>
    <row r="35336" spans="8:8" x14ac:dyDescent="0.3">
      <c r="H35336" t="str">
        <f t="shared" si="601"/>
        <v/>
      </c>
    </row>
    <row r="35337" spans="8:8" x14ac:dyDescent="0.3">
      <c r="H35337" t="str">
        <f t="shared" si="601"/>
        <v/>
      </c>
    </row>
    <row r="35338" spans="8:8" x14ac:dyDescent="0.3">
      <c r="H35338" t="str">
        <f t="shared" si="601"/>
        <v/>
      </c>
    </row>
    <row r="35339" spans="8:8" x14ac:dyDescent="0.3">
      <c r="H35339" t="str">
        <f t="shared" si="601"/>
        <v/>
      </c>
    </row>
    <row r="35340" spans="8:8" x14ac:dyDescent="0.3">
      <c r="H35340" t="str">
        <f t="shared" si="601"/>
        <v/>
      </c>
    </row>
    <row r="35341" spans="8:8" x14ac:dyDescent="0.3">
      <c r="H35341" t="str">
        <f t="shared" si="601"/>
        <v/>
      </c>
    </row>
    <row r="35342" spans="8:8" x14ac:dyDescent="0.3">
      <c r="H35342" t="str">
        <f t="shared" si="601"/>
        <v/>
      </c>
    </row>
    <row r="35343" spans="8:8" x14ac:dyDescent="0.3">
      <c r="H35343" t="str">
        <f t="shared" si="601"/>
        <v/>
      </c>
    </row>
    <row r="35344" spans="8:8" x14ac:dyDescent="0.3">
      <c r="H35344" t="str">
        <f t="shared" si="601"/>
        <v/>
      </c>
    </row>
    <row r="35345" spans="8:8" x14ac:dyDescent="0.3">
      <c r="H35345" t="str">
        <f t="shared" si="601"/>
        <v/>
      </c>
    </row>
    <row r="35346" spans="8:8" x14ac:dyDescent="0.3">
      <c r="H35346" t="str">
        <f t="shared" si="601"/>
        <v/>
      </c>
    </row>
    <row r="35347" spans="8:8" x14ac:dyDescent="0.3">
      <c r="H35347" t="str">
        <f t="shared" si="601"/>
        <v/>
      </c>
    </row>
    <row r="35348" spans="8:8" x14ac:dyDescent="0.3">
      <c r="H35348" t="str">
        <f t="shared" si="601"/>
        <v/>
      </c>
    </row>
    <row r="35349" spans="8:8" x14ac:dyDescent="0.3">
      <c r="H35349" t="str">
        <f t="shared" si="601"/>
        <v/>
      </c>
    </row>
    <row r="35350" spans="8:8" x14ac:dyDescent="0.3">
      <c r="H35350" t="str">
        <f t="shared" si="601"/>
        <v/>
      </c>
    </row>
    <row r="35351" spans="8:8" x14ac:dyDescent="0.3">
      <c r="H35351" t="str">
        <f t="shared" ref="H35351:H35414" si="602">IF(B35351="","",$C$12)</f>
        <v/>
      </c>
    </row>
    <row r="35352" spans="8:8" x14ac:dyDescent="0.3">
      <c r="H35352" t="str">
        <f t="shared" si="602"/>
        <v/>
      </c>
    </row>
    <row r="35353" spans="8:8" x14ac:dyDescent="0.3">
      <c r="H35353" t="str">
        <f t="shared" si="602"/>
        <v/>
      </c>
    </row>
    <row r="35354" spans="8:8" x14ac:dyDescent="0.3">
      <c r="H35354" t="str">
        <f t="shared" si="602"/>
        <v/>
      </c>
    </row>
    <row r="35355" spans="8:8" x14ac:dyDescent="0.3">
      <c r="H35355" t="str">
        <f t="shared" si="602"/>
        <v/>
      </c>
    </row>
    <row r="35356" spans="8:8" x14ac:dyDescent="0.3">
      <c r="H35356" t="str">
        <f t="shared" si="602"/>
        <v/>
      </c>
    </row>
    <row r="35357" spans="8:8" x14ac:dyDescent="0.3">
      <c r="H35357" t="str">
        <f t="shared" si="602"/>
        <v/>
      </c>
    </row>
    <row r="35358" spans="8:8" x14ac:dyDescent="0.3">
      <c r="H35358" t="str">
        <f t="shared" si="602"/>
        <v/>
      </c>
    </row>
    <row r="35359" spans="8:8" x14ac:dyDescent="0.3">
      <c r="H35359" t="str">
        <f t="shared" si="602"/>
        <v/>
      </c>
    </row>
    <row r="35360" spans="8:8" x14ac:dyDescent="0.3">
      <c r="H35360" t="str">
        <f t="shared" si="602"/>
        <v/>
      </c>
    </row>
    <row r="35361" spans="8:8" x14ac:dyDescent="0.3">
      <c r="H35361" t="str">
        <f t="shared" si="602"/>
        <v/>
      </c>
    </row>
    <row r="35362" spans="8:8" x14ac:dyDescent="0.3">
      <c r="H35362" t="str">
        <f t="shared" si="602"/>
        <v/>
      </c>
    </row>
    <row r="35363" spans="8:8" x14ac:dyDescent="0.3">
      <c r="H35363" t="str">
        <f t="shared" si="602"/>
        <v/>
      </c>
    </row>
    <row r="35364" spans="8:8" x14ac:dyDescent="0.3">
      <c r="H35364" t="str">
        <f t="shared" si="602"/>
        <v/>
      </c>
    </row>
    <row r="35365" spans="8:8" x14ac:dyDescent="0.3">
      <c r="H35365" t="str">
        <f t="shared" si="602"/>
        <v/>
      </c>
    </row>
    <row r="35366" spans="8:8" x14ac:dyDescent="0.3">
      <c r="H35366" t="str">
        <f t="shared" si="602"/>
        <v/>
      </c>
    </row>
    <row r="35367" spans="8:8" x14ac:dyDescent="0.3">
      <c r="H35367" t="str">
        <f t="shared" si="602"/>
        <v/>
      </c>
    </row>
    <row r="35368" spans="8:8" x14ac:dyDescent="0.3">
      <c r="H35368" t="str">
        <f t="shared" si="602"/>
        <v/>
      </c>
    </row>
    <row r="35369" spans="8:8" x14ac:dyDescent="0.3">
      <c r="H35369" t="str">
        <f t="shared" si="602"/>
        <v/>
      </c>
    </row>
    <row r="35370" spans="8:8" x14ac:dyDescent="0.3">
      <c r="H35370" t="str">
        <f t="shared" si="602"/>
        <v/>
      </c>
    </row>
    <row r="35371" spans="8:8" x14ac:dyDescent="0.3">
      <c r="H35371" t="str">
        <f t="shared" si="602"/>
        <v/>
      </c>
    </row>
    <row r="35372" spans="8:8" x14ac:dyDescent="0.3">
      <c r="H35372" t="str">
        <f t="shared" si="602"/>
        <v/>
      </c>
    </row>
    <row r="35373" spans="8:8" x14ac:dyDescent="0.3">
      <c r="H35373" t="str">
        <f t="shared" si="602"/>
        <v/>
      </c>
    </row>
    <row r="35374" spans="8:8" x14ac:dyDescent="0.3">
      <c r="H35374" t="str">
        <f t="shared" si="602"/>
        <v/>
      </c>
    </row>
    <row r="35375" spans="8:8" x14ac:dyDescent="0.3">
      <c r="H35375" t="str">
        <f t="shared" si="602"/>
        <v/>
      </c>
    </row>
    <row r="35376" spans="8:8" x14ac:dyDescent="0.3">
      <c r="H35376" t="str">
        <f t="shared" si="602"/>
        <v/>
      </c>
    </row>
    <row r="35377" spans="8:8" x14ac:dyDescent="0.3">
      <c r="H35377" t="str">
        <f t="shared" si="602"/>
        <v/>
      </c>
    </row>
    <row r="35378" spans="8:8" x14ac:dyDescent="0.3">
      <c r="H35378" t="str">
        <f t="shared" si="602"/>
        <v/>
      </c>
    </row>
    <row r="35379" spans="8:8" x14ac:dyDescent="0.3">
      <c r="H35379" t="str">
        <f t="shared" si="602"/>
        <v/>
      </c>
    </row>
    <row r="35380" spans="8:8" x14ac:dyDescent="0.3">
      <c r="H35380" t="str">
        <f t="shared" si="602"/>
        <v/>
      </c>
    </row>
    <row r="35381" spans="8:8" x14ac:dyDescent="0.3">
      <c r="H35381" t="str">
        <f t="shared" si="602"/>
        <v/>
      </c>
    </row>
    <row r="35382" spans="8:8" x14ac:dyDescent="0.3">
      <c r="H35382" t="str">
        <f t="shared" si="602"/>
        <v/>
      </c>
    </row>
    <row r="35383" spans="8:8" x14ac:dyDescent="0.3">
      <c r="H35383" t="str">
        <f t="shared" si="602"/>
        <v/>
      </c>
    </row>
    <row r="35384" spans="8:8" x14ac:dyDescent="0.3">
      <c r="H35384" t="str">
        <f t="shared" si="602"/>
        <v/>
      </c>
    </row>
    <row r="35385" spans="8:8" x14ac:dyDescent="0.3">
      <c r="H35385" t="str">
        <f t="shared" si="602"/>
        <v/>
      </c>
    </row>
    <row r="35386" spans="8:8" x14ac:dyDescent="0.3">
      <c r="H35386" t="str">
        <f t="shared" si="602"/>
        <v/>
      </c>
    </row>
    <row r="35387" spans="8:8" x14ac:dyDescent="0.3">
      <c r="H35387" t="str">
        <f t="shared" si="602"/>
        <v/>
      </c>
    </row>
    <row r="35388" spans="8:8" x14ac:dyDescent="0.3">
      <c r="H35388" t="str">
        <f t="shared" si="602"/>
        <v/>
      </c>
    </row>
    <row r="35389" spans="8:8" x14ac:dyDescent="0.3">
      <c r="H35389" t="str">
        <f t="shared" si="602"/>
        <v/>
      </c>
    </row>
    <row r="35390" spans="8:8" x14ac:dyDescent="0.3">
      <c r="H35390" t="str">
        <f t="shared" si="602"/>
        <v/>
      </c>
    </row>
    <row r="35391" spans="8:8" x14ac:dyDescent="0.3">
      <c r="H35391" t="str">
        <f t="shared" si="602"/>
        <v/>
      </c>
    </row>
    <row r="35392" spans="8:8" x14ac:dyDescent="0.3">
      <c r="H35392" t="str">
        <f t="shared" si="602"/>
        <v/>
      </c>
    </row>
    <row r="35393" spans="8:8" x14ac:dyDescent="0.3">
      <c r="H35393" t="str">
        <f t="shared" si="602"/>
        <v/>
      </c>
    </row>
    <row r="35394" spans="8:8" x14ac:dyDescent="0.3">
      <c r="H35394" t="str">
        <f t="shared" si="602"/>
        <v/>
      </c>
    </row>
    <row r="35395" spans="8:8" x14ac:dyDescent="0.3">
      <c r="H35395" t="str">
        <f t="shared" si="602"/>
        <v/>
      </c>
    </row>
    <row r="35396" spans="8:8" x14ac:dyDescent="0.3">
      <c r="H35396" t="str">
        <f t="shared" si="602"/>
        <v/>
      </c>
    </row>
    <row r="35397" spans="8:8" x14ac:dyDescent="0.3">
      <c r="H35397" t="str">
        <f t="shared" si="602"/>
        <v/>
      </c>
    </row>
    <row r="35398" spans="8:8" x14ac:dyDescent="0.3">
      <c r="H35398" t="str">
        <f t="shared" si="602"/>
        <v/>
      </c>
    </row>
    <row r="35399" spans="8:8" x14ac:dyDescent="0.3">
      <c r="H35399" t="str">
        <f t="shared" si="602"/>
        <v/>
      </c>
    </row>
    <row r="35400" spans="8:8" x14ac:dyDescent="0.3">
      <c r="H35400" t="str">
        <f t="shared" si="602"/>
        <v/>
      </c>
    </row>
    <row r="35401" spans="8:8" x14ac:dyDescent="0.3">
      <c r="H35401" t="str">
        <f t="shared" si="602"/>
        <v/>
      </c>
    </row>
    <row r="35402" spans="8:8" x14ac:dyDescent="0.3">
      <c r="H35402" t="str">
        <f t="shared" si="602"/>
        <v/>
      </c>
    </row>
    <row r="35403" spans="8:8" x14ac:dyDescent="0.3">
      <c r="H35403" t="str">
        <f t="shared" si="602"/>
        <v/>
      </c>
    </row>
    <row r="35404" spans="8:8" x14ac:dyDescent="0.3">
      <c r="H35404" t="str">
        <f t="shared" si="602"/>
        <v/>
      </c>
    </row>
    <row r="35405" spans="8:8" x14ac:dyDescent="0.3">
      <c r="H35405" t="str">
        <f t="shared" si="602"/>
        <v/>
      </c>
    </row>
    <row r="35406" spans="8:8" x14ac:dyDescent="0.3">
      <c r="H35406" t="str">
        <f t="shared" si="602"/>
        <v/>
      </c>
    </row>
    <row r="35407" spans="8:8" x14ac:dyDescent="0.3">
      <c r="H35407" t="str">
        <f t="shared" si="602"/>
        <v/>
      </c>
    </row>
    <row r="35408" spans="8:8" x14ac:dyDescent="0.3">
      <c r="H35408" t="str">
        <f t="shared" si="602"/>
        <v/>
      </c>
    </row>
    <row r="35409" spans="8:8" x14ac:dyDescent="0.3">
      <c r="H35409" t="str">
        <f t="shared" si="602"/>
        <v/>
      </c>
    </row>
    <row r="35410" spans="8:8" x14ac:dyDescent="0.3">
      <c r="H35410" t="str">
        <f t="shared" si="602"/>
        <v/>
      </c>
    </row>
    <row r="35411" spans="8:8" x14ac:dyDescent="0.3">
      <c r="H35411" t="str">
        <f t="shared" si="602"/>
        <v/>
      </c>
    </row>
    <row r="35412" spans="8:8" x14ac:dyDescent="0.3">
      <c r="H35412" t="str">
        <f t="shared" si="602"/>
        <v/>
      </c>
    </row>
    <row r="35413" spans="8:8" x14ac:dyDescent="0.3">
      <c r="H35413" t="str">
        <f t="shared" si="602"/>
        <v/>
      </c>
    </row>
    <row r="35414" spans="8:8" x14ac:dyDescent="0.3">
      <c r="H35414" t="str">
        <f t="shared" si="602"/>
        <v/>
      </c>
    </row>
    <row r="35415" spans="8:8" x14ac:dyDescent="0.3">
      <c r="H35415" t="str">
        <f t="shared" ref="H35415:H35478" si="603">IF(B35415="","",$C$12)</f>
        <v/>
      </c>
    </row>
    <row r="35416" spans="8:8" x14ac:dyDescent="0.3">
      <c r="H35416" t="str">
        <f t="shared" si="603"/>
        <v/>
      </c>
    </row>
    <row r="35417" spans="8:8" x14ac:dyDescent="0.3">
      <c r="H35417" t="str">
        <f t="shared" si="603"/>
        <v/>
      </c>
    </row>
    <row r="35418" spans="8:8" x14ac:dyDescent="0.3">
      <c r="H35418" t="str">
        <f t="shared" si="603"/>
        <v/>
      </c>
    </row>
    <row r="35419" spans="8:8" x14ac:dyDescent="0.3">
      <c r="H35419" t="str">
        <f t="shared" si="603"/>
        <v/>
      </c>
    </row>
    <row r="35420" spans="8:8" x14ac:dyDescent="0.3">
      <c r="H35420" t="str">
        <f t="shared" si="603"/>
        <v/>
      </c>
    </row>
    <row r="35421" spans="8:8" x14ac:dyDescent="0.3">
      <c r="H35421" t="str">
        <f t="shared" si="603"/>
        <v/>
      </c>
    </row>
    <row r="35422" spans="8:8" x14ac:dyDescent="0.3">
      <c r="H35422" t="str">
        <f t="shared" si="603"/>
        <v/>
      </c>
    </row>
    <row r="35423" spans="8:8" x14ac:dyDescent="0.3">
      <c r="H35423" t="str">
        <f t="shared" si="603"/>
        <v/>
      </c>
    </row>
    <row r="35424" spans="8:8" x14ac:dyDescent="0.3">
      <c r="H35424" t="str">
        <f t="shared" si="603"/>
        <v/>
      </c>
    </row>
    <row r="35425" spans="8:8" x14ac:dyDescent="0.3">
      <c r="H35425" t="str">
        <f t="shared" si="603"/>
        <v/>
      </c>
    </row>
    <row r="35426" spans="8:8" x14ac:dyDescent="0.3">
      <c r="H35426" t="str">
        <f t="shared" si="603"/>
        <v/>
      </c>
    </row>
    <row r="35427" spans="8:8" x14ac:dyDescent="0.3">
      <c r="H35427" t="str">
        <f t="shared" si="603"/>
        <v/>
      </c>
    </row>
    <row r="35428" spans="8:8" x14ac:dyDescent="0.3">
      <c r="H35428" t="str">
        <f t="shared" si="603"/>
        <v/>
      </c>
    </row>
    <row r="35429" spans="8:8" x14ac:dyDescent="0.3">
      <c r="H35429" t="str">
        <f t="shared" si="603"/>
        <v/>
      </c>
    </row>
    <row r="35430" spans="8:8" x14ac:dyDescent="0.3">
      <c r="H35430" t="str">
        <f t="shared" si="603"/>
        <v/>
      </c>
    </row>
    <row r="35431" spans="8:8" x14ac:dyDescent="0.3">
      <c r="H35431" t="str">
        <f t="shared" si="603"/>
        <v/>
      </c>
    </row>
    <row r="35432" spans="8:8" x14ac:dyDescent="0.3">
      <c r="H35432" t="str">
        <f t="shared" si="603"/>
        <v/>
      </c>
    </row>
    <row r="35433" spans="8:8" x14ac:dyDescent="0.3">
      <c r="H35433" t="str">
        <f t="shared" si="603"/>
        <v/>
      </c>
    </row>
    <row r="35434" spans="8:8" x14ac:dyDescent="0.3">
      <c r="H35434" t="str">
        <f t="shared" si="603"/>
        <v/>
      </c>
    </row>
    <row r="35435" spans="8:8" x14ac:dyDescent="0.3">
      <c r="H35435" t="str">
        <f t="shared" si="603"/>
        <v/>
      </c>
    </row>
    <row r="35436" spans="8:8" x14ac:dyDescent="0.3">
      <c r="H35436" t="str">
        <f t="shared" si="603"/>
        <v/>
      </c>
    </row>
    <row r="35437" spans="8:8" x14ac:dyDescent="0.3">
      <c r="H35437" t="str">
        <f t="shared" si="603"/>
        <v/>
      </c>
    </row>
    <row r="35438" spans="8:8" x14ac:dyDescent="0.3">
      <c r="H35438" t="str">
        <f t="shared" si="603"/>
        <v/>
      </c>
    </row>
    <row r="35439" spans="8:8" x14ac:dyDescent="0.3">
      <c r="H35439" t="str">
        <f t="shared" si="603"/>
        <v/>
      </c>
    </row>
    <row r="35440" spans="8:8" x14ac:dyDescent="0.3">
      <c r="H35440" t="str">
        <f t="shared" si="603"/>
        <v/>
      </c>
    </row>
    <row r="35441" spans="8:8" x14ac:dyDescent="0.3">
      <c r="H35441" t="str">
        <f t="shared" si="603"/>
        <v/>
      </c>
    </row>
    <row r="35442" spans="8:8" x14ac:dyDescent="0.3">
      <c r="H35442" t="str">
        <f t="shared" si="603"/>
        <v/>
      </c>
    </row>
    <row r="35443" spans="8:8" x14ac:dyDescent="0.3">
      <c r="H35443" t="str">
        <f t="shared" si="603"/>
        <v/>
      </c>
    </row>
    <row r="35444" spans="8:8" x14ac:dyDescent="0.3">
      <c r="H35444" t="str">
        <f t="shared" si="603"/>
        <v/>
      </c>
    </row>
    <row r="35445" spans="8:8" x14ac:dyDescent="0.3">
      <c r="H35445" t="str">
        <f t="shared" si="603"/>
        <v/>
      </c>
    </row>
    <row r="35446" spans="8:8" x14ac:dyDescent="0.3">
      <c r="H35446" t="str">
        <f t="shared" si="603"/>
        <v/>
      </c>
    </row>
    <row r="35447" spans="8:8" x14ac:dyDescent="0.3">
      <c r="H35447" t="str">
        <f t="shared" si="603"/>
        <v/>
      </c>
    </row>
    <row r="35448" spans="8:8" x14ac:dyDescent="0.3">
      <c r="H35448" t="str">
        <f t="shared" si="603"/>
        <v/>
      </c>
    </row>
    <row r="35449" spans="8:8" x14ac:dyDescent="0.3">
      <c r="H35449" t="str">
        <f t="shared" si="603"/>
        <v/>
      </c>
    </row>
    <row r="35450" spans="8:8" x14ac:dyDescent="0.3">
      <c r="H35450" t="str">
        <f t="shared" si="603"/>
        <v/>
      </c>
    </row>
    <row r="35451" spans="8:8" x14ac:dyDescent="0.3">
      <c r="H35451" t="str">
        <f t="shared" si="603"/>
        <v/>
      </c>
    </row>
    <row r="35452" spans="8:8" x14ac:dyDescent="0.3">
      <c r="H35452" t="str">
        <f t="shared" si="603"/>
        <v/>
      </c>
    </row>
    <row r="35453" spans="8:8" x14ac:dyDescent="0.3">
      <c r="H35453" t="str">
        <f t="shared" si="603"/>
        <v/>
      </c>
    </row>
    <row r="35454" spans="8:8" x14ac:dyDescent="0.3">
      <c r="H35454" t="str">
        <f t="shared" si="603"/>
        <v/>
      </c>
    </row>
    <row r="35455" spans="8:8" x14ac:dyDescent="0.3">
      <c r="H35455" t="str">
        <f t="shared" si="603"/>
        <v/>
      </c>
    </row>
    <row r="35456" spans="8:8" x14ac:dyDescent="0.3">
      <c r="H35456" t="str">
        <f t="shared" si="603"/>
        <v/>
      </c>
    </row>
    <row r="35457" spans="8:8" x14ac:dyDescent="0.3">
      <c r="H35457" t="str">
        <f t="shared" si="603"/>
        <v/>
      </c>
    </row>
    <row r="35458" spans="8:8" x14ac:dyDescent="0.3">
      <c r="H35458" t="str">
        <f t="shared" si="603"/>
        <v/>
      </c>
    </row>
    <row r="35459" spans="8:8" x14ac:dyDescent="0.3">
      <c r="H35459" t="str">
        <f t="shared" si="603"/>
        <v/>
      </c>
    </row>
    <row r="35460" spans="8:8" x14ac:dyDescent="0.3">
      <c r="H35460" t="str">
        <f t="shared" si="603"/>
        <v/>
      </c>
    </row>
    <row r="35461" spans="8:8" x14ac:dyDescent="0.3">
      <c r="H35461" t="str">
        <f t="shared" si="603"/>
        <v/>
      </c>
    </row>
    <row r="35462" spans="8:8" x14ac:dyDescent="0.3">
      <c r="H35462" t="str">
        <f t="shared" si="603"/>
        <v/>
      </c>
    </row>
    <row r="35463" spans="8:8" x14ac:dyDescent="0.3">
      <c r="H35463" t="str">
        <f t="shared" si="603"/>
        <v/>
      </c>
    </row>
    <row r="35464" spans="8:8" x14ac:dyDescent="0.3">
      <c r="H35464" t="str">
        <f t="shared" si="603"/>
        <v/>
      </c>
    </row>
    <row r="35465" spans="8:8" x14ac:dyDescent="0.3">
      <c r="H35465" t="str">
        <f t="shared" si="603"/>
        <v/>
      </c>
    </row>
    <row r="35466" spans="8:8" x14ac:dyDescent="0.3">
      <c r="H35466" t="str">
        <f t="shared" si="603"/>
        <v/>
      </c>
    </row>
    <row r="35467" spans="8:8" x14ac:dyDescent="0.3">
      <c r="H35467" t="str">
        <f t="shared" si="603"/>
        <v/>
      </c>
    </row>
    <row r="35468" spans="8:8" x14ac:dyDescent="0.3">
      <c r="H35468" t="str">
        <f t="shared" si="603"/>
        <v/>
      </c>
    </row>
    <row r="35469" spans="8:8" x14ac:dyDescent="0.3">
      <c r="H35469" t="str">
        <f t="shared" si="603"/>
        <v/>
      </c>
    </row>
    <row r="35470" spans="8:8" x14ac:dyDescent="0.3">
      <c r="H35470" t="str">
        <f t="shared" si="603"/>
        <v/>
      </c>
    </row>
    <row r="35471" spans="8:8" x14ac:dyDescent="0.3">
      <c r="H35471" t="str">
        <f t="shared" si="603"/>
        <v/>
      </c>
    </row>
    <row r="35472" spans="8:8" x14ac:dyDescent="0.3">
      <c r="H35472" t="str">
        <f t="shared" si="603"/>
        <v/>
      </c>
    </row>
    <row r="35473" spans="8:8" x14ac:dyDescent="0.3">
      <c r="H35473" t="str">
        <f t="shared" si="603"/>
        <v/>
      </c>
    </row>
    <row r="35474" spans="8:8" x14ac:dyDescent="0.3">
      <c r="H35474" t="str">
        <f t="shared" si="603"/>
        <v/>
      </c>
    </row>
    <row r="35475" spans="8:8" x14ac:dyDescent="0.3">
      <c r="H35475" t="str">
        <f t="shared" si="603"/>
        <v/>
      </c>
    </row>
    <row r="35476" spans="8:8" x14ac:dyDescent="0.3">
      <c r="H35476" t="str">
        <f t="shared" si="603"/>
        <v/>
      </c>
    </row>
    <row r="35477" spans="8:8" x14ac:dyDescent="0.3">
      <c r="H35477" t="str">
        <f t="shared" si="603"/>
        <v/>
      </c>
    </row>
    <row r="35478" spans="8:8" x14ac:dyDescent="0.3">
      <c r="H35478" t="str">
        <f t="shared" si="603"/>
        <v/>
      </c>
    </row>
    <row r="35479" spans="8:8" x14ac:dyDescent="0.3">
      <c r="H35479" t="str">
        <f t="shared" ref="H35479:H35542" si="604">IF(B35479="","",$C$12)</f>
        <v/>
      </c>
    </row>
    <row r="35480" spans="8:8" x14ac:dyDescent="0.3">
      <c r="H35480" t="str">
        <f t="shared" si="604"/>
        <v/>
      </c>
    </row>
    <row r="35481" spans="8:8" x14ac:dyDescent="0.3">
      <c r="H35481" t="str">
        <f t="shared" si="604"/>
        <v/>
      </c>
    </row>
    <row r="35482" spans="8:8" x14ac:dyDescent="0.3">
      <c r="H35482" t="str">
        <f t="shared" si="604"/>
        <v/>
      </c>
    </row>
    <row r="35483" spans="8:8" x14ac:dyDescent="0.3">
      <c r="H35483" t="str">
        <f t="shared" si="604"/>
        <v/>
      </c>
    </row>
    <row r="35484" spans="8:8" x14ac:dyDescent="0.3">
      <c r="H35484" t="str">
        <f t="shared" si="604"/>
        <v/>
      </c>
    </row>
    <row r="35485" spans="8:8" x14ac:dyDescent="0.3">
      <c r="H35485" t="str">
        <f t="shared" si="604"/>
        <v/>
      </c>
    </row>
    <row r="35486" spans="8:8" x14ac:dyDescent="0.3">
      <c r="H35486" t="str">
        <f t="shared" si="604"/>
        <v/>
      </c>
    </row>
    <row r="35487" spans="8:8" x14ac:dyDescent="0.3">
      <c r="H35487" t="str">
        <f t="shared" si="604"/>
        <v/>
      </c>
    </row>
    <row r="35488" spans="8:8" x14ac:dyDescent="0.3">
      <c r="H35488" t="str">
        <f t="shared" si="604"/>
        <v/>
      </c>
    </row>
    <row r="35489" spans="8:8" x14ac:dyDescent="0.3">
      <c r="H35489" t="str">
        <f t="shared" si="604"/>
        <v/>
      </c>
    </row>
    <row r="35490" spans="8:8" x14ac:dyDescent="0.3">
      <c r="H35490" t="str">
        <f t="shared" si="604"/>
        <v/>
      </c>
    </row>
    <row r="35491" spans="8:8" x14ac:dyDescent="0.3">
      <c r="H35491" t="str">
        <f t="shared" si="604"/>
        <v/>
      </c>
    </row>
    <row r="35492" spans="8:8" x14ac:dyDescent="0.3">
      <c r="H35492" t="str">
        <f t="shared" si="604"/>
        <v/>
      </c>
    </row>
    <row r="35493" spans="8:8" x14ac:dyDescent="0.3">
      <c r="H35493" t="str">
        <f t="shared" si="604"/>
        <v/>
      </c>
    </row>
    <row r="35494" spans="8:8" x14ac:dyDescent="0.3">
      <c r="H35494" t="str">
        <f t="shared" si="604"/>
        <v/>
      </c>
    </row>
    <row r="35495" spans="8:8" x14ac:dyDescent="0.3">
      <c r="H35495" t="str">
        <f t="shared" si="604"/>
        <v/>
      </c>
    </row>
    <row r="35496" spans="8:8" x14ac:dyDescent="0.3">
      <c r="H35496" t="str">
        <f t="shared" si="604"/>
        <v/>
      </c>
    </row>
    <row r="35497" spans="8:8" x14ac:dyDescent="0.3">
      <c r="H35497" t="str">
        <f t="shared" si="604"/>
        <v/>
      </c>
    </row>
    <row r="35498" spans="8:8" x14ac:dyDescent="0.3">
      <c r="H35498" t="str">
        <f t="shared" si="604"/>
        <v/>
      </c>
    </row>
    <row r="35499" spans="8:8" x14ac:dyDescent="0.3">
      <c r="H35499" t="str">
        <f t="shared" si="604"/>
        <v/>
      </c>
    </row>
    <row r="35500" spans="8:8" x14ac:dyDescent="0.3">
      <c r="H35500" t="str">
        <f t="shared" si="604"/>
        <v/>
      </c>
    </row>
    <row r="35501" spans="8:8" x14ac:dyDescent="0.3">
      <c r="H35501" t="str">
        <f t="shared" si="604"/>
        <v/>
      </c>
    </row>
    <row r="35502" spans="8:8" x14ac:dyDescent="0.3">
      <c r="H35502" t="str">
        <f t="shared" si="604"/>
        <v/>
      </c>
    </row>
    <row r="35503" spans="8:8" x14ac:dyDescent="0.3">
      <c r="H35503" t="str">
        <f t="shared" si="604"/>
        <v/>
      </c>
    </row>
    <row r="35504" spans="8:8" x14ac:dyDescent="0.3">
      <c r="H35504" t="str">
        <f t="shared" si="604"/>
        <v/>
      </c>
    </row>
    <row r="35505" spans="8:8" x14ac:dyDescent="0.3">
      <c r="H35505" t="str">
        <f t="shared" si="604"/>
        <v/>
      </c>
    </row>
    <row r="35506" spans="8:8" x14ac:dyDescent="0.3">
      <c r="H35506" t="str">
        <f t="shared" si="604"/>
        <v/>
      </c>
    </row>
    <row r="35507" spans="8:8" x14ac:dyDescent="0.3">
      <c r="H35507" t="str">
        <f t="shared" si="604"/>
        <v/>
      </c>
    </row>
    <row r="35508" spans="8:8" x14ac:dyDescent="0.3">
      <c r="H35508" t="str">
        <f t="shared" si="604"/>
        <v/>
      </c>
    </row>
    <row r="35509" spans="8:8" x14ac:dyDescent="0.3">
      <c r="H35509" t="str">
        <f t="shared" si="604"/>
        <v/>
      </c>
    </row>
    <row r="35510" spans="8:8" x14ac:dyDescent="0.3">
      <c r="H35510" t="str">
        <f t="shared" si="604"/>
        <v/>
      </c>
    </row>
    <row r="35511" spans="8:8" x14ac:dyDescent="0.3">
      <c r="H35511" t="str">
        <f t="shared" si="604"/>
        <v/>
      </c>
    </row>
    <row r="35512" spans="8:8" x14ac:dyDescent="0.3">
      <c r="H35512" t="str">
        <f t="shared" si="604"/>
        <v/>
      </c>
    </row>
    <row r="35513" spans="8:8" x14ac:dyDescent="0.3">
      <c r="H35513" t="str">
        <f t="shared" si="604"/>
        <v/>
      </c>
    </row>
    <row r="35514" spans="8:8" x14ac:dyDescent="0.3">
      <c r="H35514" t="str">
        <f t="shared" si="604"/>
        <v/>
      </c>
    </row>
    <row r="35515" spans="8:8" x14ac:dyDescent="0.3">
      <c r="H35515" t="str">
        <f t="shared" si="604"/>
        <v/>
      </c>
    </row>
    <row r="35516" spans="8:8" x14ac:dyDescent="0.3">
      <c r="H35516" t="str">
        <f t="shared" si="604"/>
        <v/>
      </c>
    </row>
    <row r="35517" spans="8:8" x14ac:dyDescent="0.3">
      <c r="H35517" t="str">
        <f t="shared" si="604"/>
        <v/>
      </c>
    </row>
    <row r="35518" spans="8:8" x14ac:dyDescent="0.3">
      <c r="H35518" t="str">
        <f t="shared" si="604"/>
        <v/>
      </c>
    </row>
    <row r="35519" spans="8:8" x14ac:dyDescent="0.3">
      <c r="H35519" t="str">
        <f t="shared" si="604"/>
        <v/>
      </c>
    </row>
    <row r="35520" spans="8:8" x14ac:dyDescent="0.3">
      <c r="H35520" t="str">
        <f t="shared" si="604"/>
        <v/>
      </c>
    </row>
    <row r="35521" spans="8:8" x14ac:dyDescent="0.3">
      <c r="H35521" t="str">
        <f t="shared" si="604"/>
        <v/>
      </c>
    </row>
    <row r="35522" spans="8:8" x14ac:dyDescent="0.3">
      <c r="H35522" t="str">
        <f t="shared" si="604"/>
        <v/>
      </c>
    </row>
    <row r="35523" spans="8:8" x14ac:dyDescent="0.3">
      <c r="H35523" t="str">
        <f t="shared" si="604"/>
        <v/>
      </c>
    </row>
    <row r="35524" spans="8:8" x14ac:dyDescent="0.3">
      <c r="H35524" t="str">
        <f t="shared" si="604"/>
        <v/>
      </c>
    </row>
    <row r="35525" spans="8:8" x14ac:dyDescent="0.3">
      <c r="H35525" t="str">
        <f t="shared" si="604"/>
        <v/>
      </c>
    </row>
    <row r="35526" spans="8:8" x14ac:dyDescent="0.3">
      <c r="H35526" t="str">
        <f t="shared" si="604"/>
        <v/>
      </c>
    </row>
    <row r="35527" spans="8:8" x14ac:dyDescent="0.3">
      <c r="H35527" t="str">
        <f t="shared" si="604"/>
        <v/>
      </c>
    </row>
    <row r="35528" spans="8:8" x14ac:dyDescent="0.3">
      <c r="H35528" t="str">
        <f t="shared" si="604"/>
        <v/>
      </c>
    </row>
    <row r="35529" spans="8:8" x14ac:dyDescent="0.3">
      <c r="H35529" t="str">
        <f t="shared" si="604"/>
        <v/>
      </c>
    </row>
    <row r="35530" spans="8:8" x14ac:dyDescent="0.3">
      <c r="H35530" t="str">
        <f t="shared" si="604"/>
        <v/>
      </c>
    </row>
    <row r="35531" spans="8:8" x14ac:dyDescent="0.3">
      <c r="H35531" t="str">
        <f t="shared" si="604"/>
        <v/>
      </c>
    </row>
    <row r="35532" spans="8:8" x14ac:dyDescent="0.3">
      <c r="H35532" t="str">
        <f t="shared" si="604"/>
        <v/>
      </c>
    </row>
    <row r="35533" spans="8:8" x14ac:dyDescent="0.3">
      <c r="H35533" t="str">
        <f t="shared" si="604"/>
        <v/>
      </c>
    </row>
    <row r="35534" spans="8:8" x14ac:dyDescent="0.3">
      <c r="H35534" t="str">
        <f t="shared" si="604"/>
        <v/>
      </c>
    </row>
    <row r="35535" spans="8:8" x14ac:dyDescent="0.3">
      <c r="H35535" t="str">
        <f t="shared" si="604"/>
        <v/>
      </c>
    </row>
    <row r="35536" spans="8:8" x14ac:dyDescent="0.3">
      <c r="H35536" t="str">
        <f t="shared" si="604"/>
        <v/>
      </c>
    </row>
    <row r="35537" spans="8:8" x14ac:dyDescent="0.3">
      <c r="H35537" t="str">
        <f t="shared" si="604"/>
        <v/>
      </c>
    </row>
    <row r="35538" spans="8:8" x14ac:dyDescent="0.3">
      <c r="H35538" t="str">
        <f t="shared" si="604"/>
        <v/>
      </c>
    </row>
    <row r="35539" spans="8:8" x14ac:dyDescent="0.3">
      <c r="H35539" t="str">
        <f t="shared" si="604"/>
        <v/>
      </c>
    </row>
    <row r="35540" spans="8:8" x14ac:dyDescent="0.3">
      <c r="H35540" t="str">
        <f t="shared" si="604"/>
        <v/>
      </c>
    </row>
    <row r="35541" spans="8:8" x14ac:dyDescent="0.3">
      <c r="H35541" t="str">
        <f t="shared" si="604"/>
        <v/>
      </c>
    </row>
    <row r="35542" spans="8:8" x14ac:dyDescent="0.3">
      <c r="H35542" t="str">
        <f t="shared" si="604"/>
        <v/>
      </c>
    </row>
    <row r="35543" spans="8:8" x14ac:dyDescent="0.3">
      <c r="H35543" t="str">
        <f t="shared" ref="H35543:H35606" si="605">IF(B35543="","",$C$12)</f>
        <v/>
      </c>
    </row>
    <row r="35544" spans="8:8" x14ac:dyDescent="0.3">
      <c r="H35544" t="str">
        <f t="shared" si="605"/>
        <v/>
      </c>
    </row>
    <row r="35545" spans="8:8" x14ac:dyDescent="0.3">
      <c r="H35545" t="str">
        <f t="shared" si="605"/>
        <v/>
      </c>
    </row>
    <row r="35546" spans="8:8" x14ac:dyDescent="0.3">
      <c r="H35546" t="str">
        <f t="shared" si="605"/>
        <v/>
      </c>
    </row>
    <row r="35547" spans="8:8" x14ac:dyDescent="0.3">
      <c r="H35547" t="str">
        <f t="shared" si="605"/>
        <v/>
      </c>
    </row>
    <row r="35548" spans="8:8" x14ac:dyDescent="0.3">
      <c r="H35548" t="str">
        <f t="shared" si="605"/>
        <v/>
      </c>
    </row>
    <row r="35549" spans="8:8" x14ac:dyDescent="0.3">
      <c r="H35549" t="str">
        <f t="shared" si="605"/>
        <v/>
      </c>
    </row>
    <row r="35550" spans="8:8" x14ac:dyDescent="0.3">
      <c r="H35550" t="str">
        <f t="shared" si="605"/>
        <v/>
      </c>
    </row>
    <row r="35551" spans="8:8" x14ac:dyDescent="0.3">
      <c r="H35551" t="str">
        <f t="shared" si="605"/>
        <v/>
      </c>
    </row>
    <row r="35552" spans="8:8" x14ac:dyDescent="0.3">
      <c r="H35552" t="str">
        <f t="shared" si="605"/>
        <v/>
      </c>
    </row>
    <row r="35553" spans="8:8" x14ac:dyDescent="0.3">
      <c r="H35553" t="str">
        <f t="shared" si="605"/>
        <v/>
      </c>
    </row>
    <row r="35554" spans="8:8" x14ac:dyDescent="0.3">
      <c r="H35554" t="str">
        <f t="shared" si="605"/>
        <v/>
      </c>
    </row>
    <row r="35555" spans="8:8" x14ac:dyDescent="0.3">
      <c r="H35555" t="str">
        <f t="shared" si="605"/>
        <v/>
      </c>
    </row>
    <row r="35556" spans="8:8" x14ac:dyDescent="0.3">
      <c r="H35556" t="str">
        <f t="shared" si="605"/>
        <v/>
      </c>
    </row>
    <row r="35557" spans="8:8" x14ac:dyDescent="0.3">
      <c r="H35557" t="str">
        <f t="shared" si="605"/>
        <v/>
      </c>
    </row>
    <row r="35558" spans="8:8" x14ac:dyDescent="0.3">
      <c r="H35558" t="str">
        <f t="shared" si="605"/>
        <v/>
      </c>
    </row>
    <row r="35559" spans="8:8" x14ac:dyDescent="0.3">
      <c r="H35559" t="str">
        <f t="shared" si="605"/>
        <v/>
      </c>
    </row>
    <row r="35560" spans="8:8" x14ac:dyDescent="0.3">
      <c r="H35560" t="str">
        <f t="shared" si="605"/>
        <v/>
      </c>
    </row>
    <row r="35561" spans="8:8" x14ac:dyDescent="0.3">
      <c r="H35561" t="str">
        <f t="shared" si="605"/>
        <v/>
      </c>
    </row>
    <row r="35562" spans="8:8" x14ac:dyDescent="0.3">
      <c r="H35562" t="str">
        <f t="shared" si="605"/>
        <v/>
      </c>
    </row>
    <row r="35563" spans="8:8" x14ac:dyDescent="0.3">
      <c r="H35563" t="str">
        <f t="shared" si="605"/>
        <v/>
      </c>
    </row>
    <row r="35564" spans="8:8" x14ac:dyDescent="0.3">
      <c r="H35564" t="str">
        <f t="shared" si="605"/>
        <v/>
      </c>
    </row>
    <row r="35565" spans="8:8" x14ac:dyDescent="0.3">
      <c r="H35565" t="str">
        <f t="shared" si="605"/>
        <v/>
      </c>
    </row>
    <row r="35566" spans="8:8" x14ac:dyDescent="0.3">
      <c r="H35566" t="str">
        <f t="shared" si="605"/>
        <v/>
      </c>
    </row>
    <row r="35567" spans="8:8" x14ac:dyDescent="0.3">
      <c r="H35567" t="str">
        <f t="shared" si="605"/>
        <v/>
      </c>
    </row>
    <row r="35568" spans="8:8" x14ac:dyDescent="0.3">
      <c r="H35568" t="str">
        <f t="shared" si="605"/>
        <v/>
      </c>
    </row>
    <row r="35569" spans="8:8" x14ac:dyDescent="0.3">
      <c r="H35569" t="str">
        <f t="shared" si="605"/>
        <v/>
      </c>
    </row>
    <row r="35570" spans="8:8" x14ac:dyDescent="0.3">
      <c r="H35570" t="str">
        <f t="shared" si="605"/>
        <v/>
      </c>
    </row>
    <row r="35571" spans="8:8" x14ac:dyDescent="0.3">
      <c r="H35571" t="str">
        <f t="shared" si="605"/>
        <v/>
      </c>
    </row>
    <row r="35572" spans="8:8" x14ac:dyDescent="0.3">
      <c r="H35572" t="str">
        <f t="shared" si="605"/>
        <v/>
      </c>
    </row>
    <row r="35573" spans="8:8" x14ac:dyDescent="0.3">
      <c r="H35573" t="str">
        <f t="shared" si="605"/>
        <v/>
      </c>
    </row>
    <row r="35574" spans="8:8" x14ac:dyDescent="0.3">
      <c r="H35574" t="str">
        <f t="shared" si="605"/>
        <v/>
      </c>
    </row>
    <row r="35575" spans="8:8" x14ac:dyDescent="0.3">
      <c r="H35575" t="str">
        <f t="shared" si="605"/>
        <v/>
      </c>
    </row>
    <row r="35576" spans="8:8" x14ac:dyDescent="0.3">
      <c r="H35576" t="str">
        <f t="shared" si="605"/>
        <v/>
      </c>
    </row>
    <row r="35577" spans="8:8" x14ac:dyDescent="0.3">
      <c r="H35577" t="str">
        <f t="shared" si="605"/>
        <v/>
      </c>
    </row>
    <row r="35578" spans="8:8" x14ac:dyDescent="0.3">
      <c r="H35578" t="str">
        <f t="shared" si="605"/>
        <v/>
      </c>
    </row>
    <row r="35579" spans="8:8" x14ac:dyDescent="0.3">
      <c r="H35579" t="str">
        <f t="shared" si="605"/>
        <v/>
      </c>
    </row>
    <row r="35580" spans="8:8" x14ac:dyDescent="0.3">
      <c r="H35580" t="str">
        <f t="shared" si="605"/>
        <v/>
      </c>
    </row>
    <row r="35581" spans="8:8" x14ac:dyDescent="0.3">
      <c r="H35581" t="str">
        <f t="shared" si="605"/>
        <v/>
      </c>
    </row>
    <row r="35582" spans="8:8" x14ac:dyDescent="0.3">
      <c r="H35582" t="str">
        <f t="shared" si="605"/>
        <v/>
      </c>
    </row>
    <row r="35583" spans="8:8" x14ac:dyDescent="0.3">
      <c r="H35583" t="str">
        <f t="shared" si="605"/>
        <v/>
      </c>
    </row>
    <row r="35584" spans="8:8" x14ac:dyDescent="0.3">
      <c r="H35584" t="str">
        <f t="shared" si="605"/>
        <v/>
      </c>
    </row>
    <row r="35585" spans="8:8" x14ac:dyDescent="0.3">
      <c r="H35585" t="str">
        <f t="shared" si="605"/>
        <v/>
      </c>
    </row>
    <row r="35586" spans="8:8" x14ac:dyDescent="0.3">
      <c r="H35586" t="str">
        <f t="shared" si="605"/>
        <v/>
      </c>
    </row>
    <row r="35587" spans="8:8" x14ac:dyDescent="0.3">
      <c r="H35587" t="str">
        <f t="shared" si="605"/>
        <v/>
      </c>
    </row>
    <row r="35588" spans="8:8" x14ac:dyDescent="0.3">
      <c r="H35588" t="str">
        <f t="shared" si="605"/>
        <v/>
      </c>
    </row>
    <row r="35589" spans="8:8" x14ac:dyDescent="0.3">
      <c r="H35589" t="str">
        <f t="shared" si="605"/>
        <v/>
      </c>
    </row>
    <row r="35590" spans="8:8" x14ac:dyDescent="0.3">
      <c r="H35590" t="str">
        <f t="shared" si="605"/>
        <v/>
      </c>
    </row>
    <row r="35591" spans="8:8" x14ac:dyDescent="0.3">
      <c r="H35591" t="str">
        <f t="shared" si="605"/>
        <v/>
      </c>
    </row>
    <row r="35592" spans="8:8" x14ac:dyDescent="0.3">
      <c r="H35592" t="str">
        <f t="shared" si="605"/>
        <v/>
      </c>
    </row>
    <row r="35593" spans="8:8" x14ac:dyDescent="0.3">
      <c r="H35593" t="str">
        <f t="shared" si="605"/>
        <v/>
      </c>
    </row>
    <row r="35594" spans="8:8" x14ac:dyDescent="0.3">
      <c r="H35594" t="str">
        <f t="shared" si="605"/>
        <v/>
      </c>
    </row>
    <row r="35595" spans="8:8" x14ac:dyDescent="0.3">
      <c r="H35595" t="str">
        <f t="shared" si="605"/>
        <v/>
      </c>
    </row>
    <row r="35596" spans="8:8" x14ac:dyDescent="0.3">
      <c r="H35596" t="str">
        <f t="shared" si="605"/>
        <v/>
      </c>
    </row>
    <row r="35597" spans="8:8" x14ac:dyDescent="0.3">
      <c r="H35597" t="str">
        <f t="shared" si="605"/>
        <v/>
      </c>
    </row>
    <row r="35598" spans="8:8" x14ac:dyDescent="0.3">
      <c r="H35598" t="str">
        <f t="shared" si="605"/>
        <v/>
      </c>
    </row>
    <row r="35599" spans="8:8" x14ac:dyDescent="0.3">
      <c r="H35599" t="str">
        <f t="shared" si="605"/>
        <v/>
      </c>
    </row>
    <row r="35600" spans="8:8" x14ac:dyDescent="0.3">
      <c r="H35600" t="str">
        <f t="shared" si="605"/>
        <v/>
      </c>
    </row>
    <row r="35601" spans="8:8" x14ac:dyDescent="0.3">
      <c r="H35601" t="str">
        <f t="shared" si="605"/>
        <v/>
      </c>
    </row>
    <row r="35602" spans="8:8" x14ac:dyDescent="0.3">
      <c r="H35602" t="str">
        <f t="shared" si="605"/>
        <v/>
      </c>
    </row>
    <row r="35603" spans="8:8" x14ac:dyDescent="0.3">
      <c r="H35603" t="str">
        <f t="shared" si="605"/>
        <v/>
      </c>
    </row>
    <row r="35604" spans="8:8" x14ac:dyDescent="0.3">
      <c r="H35604" t="str">
        <f t="shared" si="605"/>
        <v/>
      </c>
    </row>
    <row r="35605" spans="8:8" x14ac:dyDescent="0.3">
      <c r="H35605" t="str">
        <f t="shared" si="605"/>
        <v/>
      </c>
    </row>
    <row r="35606" spans="8:8" x14ac:dyDescent="0.3">
      <c r="H35606" t="str">
        <f t="shared" si="605"/>
        <v/>
      </c>
    </row>
    <row r="35607" spans="8:8" x14ac:dyDescent="0.3">
      <c r="H35607" t="str">
        <f t="shared" ref="H35607:H35670" si="606">IF(B35607="","",$C$12)</f>
        <v/>
      </c>
    </row>
    <row r="35608" spans="8:8" x14ac:dyDescent="0.3">
      <c r="H35608" t="str">
        <f t="shared" si="606"/>
        <v/>
      </c>
    </row>
    <row r="35609" spans="8:8" x14ac:dyDescent="0.3">
      <c r="H35609" t="str">
        <f t="shared" si="606"/>
        <v/>
      </c>
    </row>
    <row r="35610" spans="8:8" x14ac:dyDescent="0.3">
      <c r="H35610" t="str">
        <f t="shared" si="606"/>
        <v/>
      </c>
    </row>
    <row r="35611" spans="8:8" x14ac:dyDescent="0.3">
      <c r="H35611" t="str">
        <f t="shared" si="606"/>
        <v/>
      </c>
    </row>
    <row r="35612" spans="8:8" x14ac:dyDescent="0.3">
      <c r="H35612" t="str">
        <f t="shared" si="606"/>
        <v/>
      </c>
    </row>
    <row r="35613" spans="8:8" x14ac:dyDescent="0.3">
      <c r="H35613" t="str">
        <f t="shared" si="606"/>
        <v/>
      </c>
    </row>
    <row r="35614" spans="8:8" x14ac:dyDescent="0.3">
      <c r="H35614" t="str">
        <f t="shared" si="606"/>
        <v/>
      </c>
    </row>
    <row r="35615" spans="8:8" x14ac:dyDescent="0.3">
      <c r="H35615" t="str">
        <f t="shared" si="606"/>
        <v/>
      </c>
    </row>
    <row r="35616" spans="8:8" x14ac:dyDescent="0.3">
      <c r="H35616" t="str">
        <f t="shared" si="606"/>
        <v/>
      </c>
    </row>
    <row r="35617" spans="8:8" x14ac:dyDescent="0.3">
      <c r="H35617" t="str">
        <f t="shared" si="606"/>
        <v/>
      </c>
    </row>
    <row r="35618" spans="8:8" x14ac:dyDescent="0.3">
      <c r="H35618" t="str">
        <f t="shared" si="606"/>
        <v/>
      </c>
    </row>
    <row r="35619" spans="8:8" x14ac:dyDescent="0.3">
      <c r="H35619" t="str">
        <f t="shared" si="606"/>
        <v/>
      </c>
    </row>
    <row r="35620" spans="8:8" x14ac:dyDescent="0.3">
      <c r="H35620" t="str">
        <f t="shared" si="606"/>
        <v/>
      </c>
    </row>
    <row r="35621" spans="8:8" x14ac:dyDescent="0.3">
      <c r="H35621" t="str">
        <f t="shared" si="606"/>
        <v/>
      </c>
    </row>
    <row r="35622" spans="8:8" x14ac:dyDescent="0.3">
      <c r="H35622" t="str">
        <f t="shared" si="606"/>
        <v/>
      </c>
    </row>
    <row r="35623" spans="8:8" x14ac:dyDescent="0.3">
      <c r="H35623" t="str">
        <f t="shared" si="606"/>
        <v/>
      </c>
    </row>
    <row r="35624" spans="8:8" x14ac:dyDescent="0.3">
      <c r="H35624" t="str">
        <f t="shared" si="606"/>
        <v/>
      </c>
    </row>
    <row r="35625" spans="8:8" x14ac:dyDescent="0.3">
      <c r="H35625" t="str">
        <f t="shared" si="606"/>
        <v/>
      </c>
    </row>
    <row r="35626" spans="8:8" x14ac:dyDescent="0.3">
      <c r="H35626" t="str">
        <f t="shared" si="606"/>
        <v/>
      </c>
    </row>
    <row r="35627" spans="8:8" x14ac:dyDescent="0.3">
      <c r="H35627" t="str">
        <f t="shared" si="606"/>
        <v/>
      </c>
    </row>
    <row r="35628" spans="8:8" x14ac:dyDescent="0.3">
      <c r="H35628" t="str">
        <f t="shared" si="606"/>
        <v/>
      </c>
    </row>
    <row r="35629" spans="8:8" x14ac:dyDescent="0.3">
      <c r="H35629" t="str">
        <f t="shared" si="606"/>
        <v/>
      </c>
    </row>
    <row r="35630" spans="8:8" x14ac:dyDescent="0.3">
      <c r="H35630" t="str">
        <f t="shared" si="606"/>
        <v/>
      </c>
    </row>
    <row r="35631" spans="8:8" x14ac:dyDescent="0.3">
      <c r="H35631" t="str">
        <f t="shared" si="606"/>
        <v/>
      </c>
    </row>
    <row r="35632" spans="8:8" x14ac:dyDescent="0.3">
      <c r="H35632" t="str">
        <f t="shared" si="606"/>
        <v/>
      </c>
    </row>
    <row r="35633" spans="8:8" x14ac:dyDescent="0.3">
      <c r="H35633" t="str">
        <f t="shared" si="606"/>
        <v/>
      </c>
    </row>
    <row r="35634" spans="8:8" x14ac:dyDescent="0.3">
      <c r="H35634" t="str">
        <f t="shared" si="606"/>
        <v/>
      </c>
    </row>
    <row r="35635" spans="8:8" x14ac:dyDescent="0.3">
      <c r="H35635" t="str">
        <f t="shared" si="606"/>
        <v/>
      </c>
    </row>
    <row r="35636" spans="8:8" x14ac:dyDescent="0.3">
      <c r="H35636" t="str">
        <f t="shared" si="606"/>
        <v/>
      </c>
    </row>
    <row r="35637" spans="8:8" x14ac:dyDescent="0.3">
      <c r="H35637" t="str">
        <f t="shared" si="606"/>
        <v/>
      </c>
    </row>
    <row r="35638" spans="8:8" x14ac:dyDescent="0.3">
      <c r="H35638" t="str">
        <f t="shared" si="606"/>
        <v/>
      </c>
    </row>
    <row r="35639" spans="8:8" x14ac:dyDescent="0.3">
      <c r="H35639" t="str">
        <f t="shared" si="606"/>
        <v/>
      </c>
    </row>
    <row r="35640" spans="8:8" x14ac:dyDescent="0.3">
      <c r="H35640" t="str">
        <f t="shared" si="606"/>
        <v/>
      </c>
    </row>
    <row r="35641" spans="8:8" x14ac:dyDescent="0.3">
      <c r="H35641" t="str">
        <f t="shared" si="606"/>
        <v/>
      </c>
    </row>
    <row r="35642" spans="8:8" x14ac:dyDescent="0.3">
      <c r="H35642" t="str">
        <f t="shared" si="606"/>
        <v/>
      </c>
    </row>
    <row r="35643" spans="8:8" x14ac:dyDescent="0.3">
      <c r="H35643" t="str">
        <f t="shared" si="606"/>
        <v/>
      </c>
    </row>
    <row r="35644" spans="8:8" x14ac:dyDescent="0.3">
      <c r="H35644" t="str">
        <f t="shared" si="606"/>
        <v/>
      </c>
    </row>
    <row r="35645" spans="8:8" x14ac:dyDescent="0.3">
      <c r="H35645" t="str">
        <f t="shared" si="606"/>
        <v/>
      </c>
    </row>
    <row r="35646" spans="8:8" x14ac:dyDescent="0.3">
      <c r="H35646" t="str">
        <f t="shared" si="606"/>
        <v/>
      </c>
    </row>
    <row r="35647" spans="8:8" x14ac:dyDescent="0.3">
      <c r="H35647" t="str">
        <f t="shared" si="606"/>
        <v/>
      </c>
    </row>
    <row r="35648" spans="8:8" x14ac:dyDescent="0.3">
      <c r="H35648" t="str">
        <f t="shared" si="606"/>
        <v/>
      </c>
    </row>
    <row r="35649" spans="8:8" x14ac:dyDescent="0.3">
      <c r="H35649" t="str">
        <f t="shared" si="606"/>
        <v/>
      </c>
    </row>
    <row r="35650" spans="8:8" x14ac:dyDescent="0.3">
      <c r="H35650" t="str">
        <f t="shared" si="606"/>
        <v/>
      </c>
    </row>
    <row r="35651" spans="8:8" x14ac:dyDescent="0.3">
      <c r="H35651" t="str">
        <f t="shared" si="606"/>
        <v/>
      </c>
    </row>
    <row r="35652" spans="8:8" x14ac:dyDescent="0.3">
      <c r="H35652" t="str">
        <f t="shared" si="606"/>
        <v/>
      </c>
    </row>
    <row r="35653" spans="8:8" x14ac:dyDescent="0.3">
      <c r="H35653" t="str">
        <f t="shared" si="606"/>
        <v/>
      </c>
    </row>
    <row r="35654" spans="8:8" x14ac:dyDescent="0.3">
      <c r="H35654" t="str">
        <f t="shared" si="606"/>
        <v/>
      </c>
    </row>
    <row r="35655" spans="8:8" x14ac:dyDescent="0.3">
      <c r="H35655" t="str">
        <f t="shared" si="606"/>
        <v/>
      </c>
    </row>
    <row r="35656" spans="8:8" x14ac:dyDescent="0.3">
      <c r="H35656" t="str">
        <f t="shared" si="606"/>
        <v/>
      </c>
    </row>
    <row r="35657" spans="8:8" x14ac:dyDescent="0.3">
      <c r="H35657" t="str">
        <f t="shared" si="606"/>
        <v/>
      </c>
    </row>
    <row r="35658" spans="8:8" x14ac:dyDescent="0.3">
      <c r="H35658" t="str">
        <f t="shared" si="606"/>
        <v/>
      </c>
    </row>
    <row r="35659" spans="8:8" x14ac:dyDescent="0.3">
      <c r="H35659" t="str">
        <f t="shared" si="606"/>
        <v/>
      </c>
    </row>
    <row r="35660" spans="8:8" x14ac:dyDescent="0.3">
      <c r="H35660" t="str">
        <f t="shared" si="606"/>
        <v/>
      </c>
    </row>
    <row r="35661" spans="8:8" x14ac:dyDescent="0.3">
      <c r="H35661" t="str">
        <f t="shared" si="606"/>
        <v/>
      </c>
    </row>
    <row r="35662" spans="8:8" x14ac:dyDescent="0.3">
      <c r="H35662" t="str">
        <f t="shared" si="606"/>
        <v/>
      </c>
    </row>
    <row r="35663" spans="8:8" x14ac:dyDescent="0.3">
      <c r="H35663" t="str">
        <f t="shared" si="606"/>
        <v/>
      </c>
    </row>
    <row r="35664" spans="8:8" x14ac:dyDescent="0.3">
      <c r="H35664" t="str">
        <f t="shared" si="606"/>
        <v/>
      </c>
    </row>
    <row r="35665" spans="8:8" x14ac:dyDescent="0.3">
      <c r="H35665" t="str">
        <f t="shared" si="606"/>
        <v/>
      </c>
    </row>
    <row r="35666" spans="8:8" x14ac:dyDescent="0.3">
      <c r="H35666" t="str">
        <f t="shared" si="606"/>
        <v/>
      </c>
    </row>
    <row r="35667" spans="8:8" x14ac:dyDescent="0.3">
      <c r="H35667" t="str">
        <f t="shared" si="606"/>
        <v/>
      </c>
    </row>
    <row r="35668" spans="8:8" x14ac:dyDescent="0.3">
      <c r="H35668" t="str">
        <f t="shared" si="606"/>
        <v/>
      </c>
    </row>
    <row r="35669" spans="8:8" x14ac:dyDescent="0.3">
      <c r="H35669" t="str">
        <f t="shared" si="606"/>
        <v/>
      </c>
    </row>
    <row r="35670" spans="8:8" x14ac:dyDescent="0.3">
      <c r="H35670" t="str">
        <f t="shared" si="606"/>
        <v/>
      </c>
    </row>
    <row r="35671" spans="8:8" x14ac:dyDescent="0.3">
      <c r="H35671" t="str">
        <f t="shared" ref="H35671:H35734" si="607">IF(B35671="","",$C$12)</f>
        <v/>
      </c>
    </row>
    <row r="35672" spans="8:8" x14ac:dyDescent="0.3">
      <c r="H35672" t="str">
        <f t="shared" si="607"/>
        <v/>
      </c>
    </row>
    <row r="35673" spans="8:8" x14ac:dyDescent="0.3">
      <c r="H35673" t="str">
        <f t="shared" si="607"/>
        <v/>
      </c>
    </row>
    <row r="35674" spans="8:8" x14ac:dyDescent="0.3">
      <c r="H35674" t="str">
        <f t="shared" si="607"/>
        <v/>
      </c>
    </row>
    <row r="35675" spans="8:8" x14ac:dyDescent="0.3">
      <c r="H35675" t="str">
        <f t="shared" si="607"/>
        <v/>
      </c>
    </row>
    <row r="35676" spans="8:8" x14ac:dyDescent="0.3">
      <c r="H35676" t="str">
        <f t="shared" si="607"/>
        <v/>
      </c>
    </row>
    <row r="35677" spans="8:8" x14ac:dyDescent="0.3">
      <c r="H35677" t="str">
        <f t="shared" si="607"/>
        <v/>
      </c>
    </row>
    <row r="35678" spans="8:8" x14ac:dyDescent="0.3">
      <c r="H35678" t="str">
        <f t="shared" si="607"/>
        <v/>
      </c>
    </row>
    <row r="35679" spans="8:8" x14ac:dyDescent="0.3">
      <c r="H35679" t="str">
        <f t="shared" si="607"/>
        <v/>
      </c>
    </row>
    <row r="35680" spans="8:8" x14ac:dyDescent="0.3">
      <c r="H35680" t="str">
        <f t="shared" si="607"/>
        <v/>
      </c>
    </row>
    <row r="35681" spans="8:8" x14ac:dyDescent="0.3">
      <c r="H35681" t="str">
        <f t="shared" si="607"/>
        <v/>
      </c>
    </row>
    <row r="35682" spans="8:8" x14ac:dyDescent="0.3">
      <c r="H35682" t="str">
        <f t="shared" si="607"/>
        <v/>
      </c>
    </row>
    <row r="35683" spans="8:8" x14ac:dyDescent="0.3">
      <c r="H35683" t="str">
        <f t="shared" si="607"/>
        <v/>
      </c>
    </row>
    <row r="35684" spans="8:8" x14ac:dyDescent="0.3">
      <c r="H35684" t="str">
        <f t="shared" si="607"/>
        <v/>
      </c>
    </row>
    <row r="35685" spans="8:8" x14ac:dyDescent="0.3">
      <c r="H35685" t="str">
        <f t="shared" si="607"/>
        <v/>
      </c>
    </row>
    <row r="35686" spans="8:8" x14ac:dyDescent="0.3">
      <c r="H35686" t="str">
        <f t="shared" si="607"/>
        <v/>
      </c>
    </row>
    <row r="35687" spans="8:8" x14ac:dyDescent="0.3">
      <c r="H35687" t="str">
        <f t="shared" si="607"/>
        <v/>
      </c>
    </row>
    <row r="35688" spans="8:8" x14ac:dyDescent="0.3">
      <c r="H35688" t="str">
        <f t="shared" si="607"/>
        <v/>
      </c>
    </row>
    <row r="35689" spans="8:8" x14ac:dyDescent="0.3">
      <c r="H35689" t="str">
        <f t="shared" si="607"/>
        <v/>
      </c>
    </row>
    <row r="35690" spans="8:8" x14ac:dyDescent="0.3">
      <c r="H35690" t="str">
        <f t="shared" si="607"/>
        <v/>
      </c>
    </row>
    <row r="35691" spans="8:8" x14ac:dyDescent="0.3">
      <c r="H35691" t="str">
        <f t="shared" si="607"/>
        <v/>
      </c>
    </row>
    <row r="35692" spans="8:8" x14ac:dyDescent="0.3">
      <c r="H35692" t="str">
        <f t="shared" si="607"/>
        <v/>
      </c>
    </row>
    <row r="35693" spans="8:8" x14ac:dyDescent="0.3">
      <c r="H35693" t="str">
        <f t="shared" si="607"/>
        <v/>
      </c>
    </row>
    <row r="35694" spans="8:8" x14ac:dyDescent="0.3">
      <c r="H35694" t="str">
        <f t="shared" si="607"/>
        <v/>
      </c>
    </row>
    <row r="35695" spans="8:8" x14ac:dyDescent="0.3">
      <c r="H35695" t="str">
        <f t="shared" si="607"/>
        <v/>
      </c>
    </row>
    <row r="35696" spans="8:8" x14ac:dyDescent="0.3">
      <c r="H35696" t="str">
        <f t="shared" si="607"/>
        <v/>
      </c>
    </row>
    <row r="35697" spans="8:8" x14ac:dyDescent="0.3">
      <c r="H35697" t="str">
        <f t="shared" si="607"/>
        <v/>
      </c>
    </row>
    <row r="35698" spans="8:8" x14ac:dyDescent="0.3">
      <c r="H35698" t="str">
        <f t="shared" si="607"/>
        <v/>
      </c>
    </row>
    <row r="35699" spans="8:8" x14ac:dyDescent="0.3">
      <c r="H35699" t="str">
        <f t="shared" si="607"/>
        <v/>
      </c>
    </row>
    <row r="35700" spans="8:8" x14ac:dyDescent="0.3">
      <c r="H35700" t="str">
        <f t="shared" si="607"/>
        <v/>
      </c>
    </row>
    <row r="35701" spans="8:8" x14ac:dyDescent="0.3">
      <c r="H35701" t="str">
        <f t="shared" si="607"/>
        <v/>
      </c>
    </row>
    <row r="35702" spans="8:8" x14ac:dyDescent="0.3">
      <c r="H35702" t="str">
        <f t="shared" si="607"/>
        <v/>
      </c>
    </row>
    <row r="35703" spans="8:8" x14ac:dyDescent="0.3">
      <c r="H35703" t="str">
        <f t="shared" si="607"/>
        <v/>
      </c>
    </row>
    <row r="35704" spans="8:8" x14ac:dyDescent="0.3">
      <c r="H35704" t="str">
        <f t="shared" si="607"/>
        <v/>
      </c>
    </row>
    <row r="35705" spans="8:8" x14ac:dyDescent="0.3">
      <c r="H35705" t="str">
        <f t="shared" si="607"/>
        <v/>
      </c>
    </row>
    <row r="35706" spans="8:8" x14ac:dyDescent="0.3">
      <c r="H35706" t="str">
        <f t="shared" si="607"/>
        <v/>
      </c>
    </row>
    <row r="35707" spans="8:8" x14ac:dyDescent="0.3">
      <c r="H35707" t="str">
        <f t="shared" si="607"/>
        <v/>
      </c>
    </row>
    <row r="35708" spans="8:8" x14ac:dyDescent="0.3">
      <c r="H35708" t="str">
        <f t="shared" si="607"/>
        <v/>
      </c>
    </row>
    <row r="35709" spans="8:8" x14ac:dyDescent="0.3">
      <c r="H35709" t="str">
        <f t="shared" si="607"/>
        <v/>
      </c>
    </row>
    <row r="35710" spans="8:8" x14ac:dyDescent="0.3">
      <c r="H35710" t="str">
        <f t="shared" si="607"/>
        <v/>
      </c>
    </row>
    <row r="35711" spans="8:8" x14ac:dyDescent="0.3">
      <c r="H35711" t="str">
        <f t="shared" si="607"/>
        <v/>
      </c>
    </row>
    <row r="35712" spans="8:8" x14ac:dyDescent="0.3">
      <c r="H35712" t="str">
        <f t="shared" si="607"/>
        <v/>
      </c>
    </row>
    <row r="35713" spans="8:8" x14ac:dyDescent="0.3">
      <c r="H35713" t="str">
        <f t="shared" si="607"/>
        <v/>
      </c>
    </row>
    <row r="35714" spans="8:8" x14ac:dyDescent="0.3">
      <c r="H35714" t="str">
        <f t="shared" si="607"/>
        <v/>
      </c>
    </row>
    <row r="35715" spans="8:8" x14ac:dyDescent="0.3">
      <c r="H35715" t="str">
        <f t="shared" si="607"/>
        <v/>
      </c>
    </row>
    <row r="35716" spans="8:8" x14ac:dyDescent="0.3">
      <c r="H35716" t="str">
        <f t="shared" si="607"/>
        <v/>
      </c>
    </row>
    <row r="35717" spans="8:8" x14ac:dyDescent="0.3">
      <c r="H35717" t="str">
        <f t="shared" si="607"/>
        <v/>
      </c>
    </row>
    <row r="35718" spans="8:8" x14ac:dyDescent="0.3">
      <c r="H35718" t="str">
        <f t="shared" si="607"/>
        <v/>
      </c>
    </row>
    <row r="35719" spans="8:8" x14ac:dyDescent="0.3">
      <c r="H35719" t="str">
        <f t="shared" si="607"/>
        <v/>
      </c>
    </row>
    <row r="35720" spans="8:8" x14ac:dyDescent="0.3">
      <c r="H35720" t="str">
        <f t="shared" si="607"/>
        <v/>
      </c>
    </row>
    <row r="35721" spans="8:8" x14ac:dyDescent="0.3">
      <c r="H35721" t="str">
        <f t="shared" si="607"/>
        <v/>
      </c>
    </row>
    <row r="35722" spans="8:8" x14ac:dyDescent="0.3">
      <c r="H35722" t="str">
        <f t="shared" si="607"/>
        <v/>
      </c>
    </row>
    <row r="35723" spans="8:8" x14ac:dyDescent="0.3">
      <c r="H35723" t="str">
        <f t="shared" si="607"/>
        <v/>
      </c>
    </row>
    <row r="35724" spans="8:8" x14ac:dyDescent="0.3">
      <c r="H35724" t="str">
        <f t="shared" si="607"/>
        <v/>
      </c>
    </row>
    <row r="35725" spans="8:8" x14ac:dyDescent="0.3">
      <c r="H35725" t="str">
        <f t="shared" si="607"/>
        <v/>
      </c>
    </row>
    <row r="35726" spans="8:8" x14ac:dyDescent="0.3">
      <c r="H35726" t="str">
        <f t="shared" si="607"/>
        <v/>
      </c>
    </row>
    <row r="35727" spans="8:8" x14ac:dyDescent="0.3">
      <c r="H35727" t="str">
        <f t="shared" si="607"/>
        <v/>
      </c>
    </row>
    <row r="35728" spans="8:8" x14ac:dyDescent="0.3">
      <c r="H35728" t="str">
        <f t="shared" si="607"/>
        <v/>
      </c>
    </row>
    <row r="35729" spans="8:8" x14ac:dyDescent="0.3">
      <c r="H35729" t="str">
        <f t="shared" si="607"/>
        <v/>
      </c>
    </row>
    <row r="35730" spans="8:8" x14ac:dyDescent="0.3">
      <c r="H35730" t="str">
        <f t="shared" si="607"/>
        <v/>
      </c>
    </row>
    <row r="35731" spans="8:8" x14ac:dyDescent="0.3">
      <c r="H35731" t="str">
        <f t="shared" si="607"/>
        <v/>
      </c>
    </row>
    <row r="35732" spans="8:8" x14ac:dyDescent="0.3">
      <c r="H35732" t="str">
        <f t="shared" si="607"/>
        <v/>
      </c>
    </row>
    <row r="35733" spans="8:8" x14ac:dyDescent="0.3">
      <c r="H35733" t="str">
        <f t="shared" si="607"/>
        <v/>
      </c>
    </row>
    <row r="35734" spans="8:8" x14ac:dyDescent="0.3">
      <c r="H35734" t="str">
        <f t="shared" si="607"/>
        <v/>
      </c>
    </row>
    <row r="35735" spans="8:8" x14ac:dyDescent="0.3">
      <c r="H35735" t="str">
        <f t="shared" ref="H35735:H35798" si="608">IF(B35735="","",$C$12)</f>
        <v/>
      </c>
    </row>
    <row r="35736" spans="8:8" x14ac:dyDescent="0.3">
      <c r="H35736" t="str">
        <f t="shared" si="608"/>
        <v/>
      </c>
    </row>
    <row r="35737" spans="8:8" x14ac:dyDescent="0.3">
      <c r="H35737" t="str">
        <f t="shared" si="608"/>
        <v/>
      </c>
    </row>
    <row r="35738" spans="8:8" x14ac:dyDescent="0.3">
      <c r="H35738" t="str">
        <f t="shared" si="608"/>
        <v/>
      </c>
    </row>
    <row r="35739" spans="8:8" x14ac:dyDescent="0.3">
      <c r="H35739" t="str">
        <f t="shared" si="608"/>
        <v/>
      </c>
    </row>
    <row r="35740" spans="8:8" x14ac:dyDescent="0.3">
      <c r="H35740" t="str">
        <f t="shared" si="608"/>
        <v/>
      </c>
    </row>
    <row r="35741" spans="8:8" x14ac:dyDescent="0.3">
      <c r="H35741" t="str">
        <f t="shared" si="608"/>
        <v/>
      </c>
    </row>
    <row r="35742" spans="8:8" x14ac:dyDescent="0.3">
      <c r="H35742" t="str">
        <f t="shared" si="608"/>
        <v/>
      </c>
    </row>
    <row r="35743" spans="8:8" x14ac:dyDescent="0.3">
      <c r="H35743" t="str">
        <f t="shared" si="608"/>
        <v/>
      </c>
    </row>
    <row r="35744" spans="8:8" x14ac:dyDescent="0.3">
      <c r="H35744" t="str">
        <f t="shared" si="608"/>
        <v/>
      </c>
    </row>
    <row r="35745" spans="8:8" x14ac:dyDescent="0.3">
      <c r="H35745" t="str">
        <f t="shared" si="608"/>
        <v/>
      </c>
    </row>
    <row r="35746" spans="8:8" x14ac:dyDescent="0.3">
      <c r="H35746" t="str">
        <f t="shared" si="608"/>
        <v/>
      </c>
    </row>
    <row r="35747" spans="8:8" x14ac:dyDescent="0.3">
      <c r="H35747" t="str">
        <f t="shared" si="608"/>
        <v/>
      </c>
    </row>
    <row r="35748" spans="8:8" x14ac:dyDescent="0.3">
      <c r="H35748" t="str">
        <f t="shared" si="608"/>
        <v/>
      </c>
    </row>
    <row r="35749" spans="8:8" x14ac:dyDescent="0.3">
      <c r="H35749" t="str">
        <f t="shared" si="608"/>
        <v/>
      </c>
    </row>
    <row r="35750" spans="8:8" x14ac:dyDescent="0.3">
      <c r="H35750" t="str">
        <f t="shared" si="608"/>
        <v/>
      </c>
    </row>
    <row r="35751" spans="8:8" x14ac:dyDescent="0.3">
      <c r="H35751" t="str">
        <f t="shared" si="608"/>
        <v/>
      </c>
    </row>
    <row r="35752" spans="8:8" x14ac:dyDescent="0.3">
      <c r="H35752" t="str">
        <f t="shared" si="608"/>
        <v/>
      </c>
    </row>
    <row r="35753" spans="8:8" x14ac:dyDescent="0.3">
      <c r="H35753" t="str">
        <f t="shared" si="608"/>
        <v/>
      </c>
    </row>
    <row r="35754" spans="8:8" x14ac:dyDescent="0.3">
      <c r="H35754" t="str">
        <f t="shared" si="608"/>
        <v/>
      </c>
    </row>
    <row r="35755" spans="8:8" x14ac:dyDescent="0.3">
      <c r="H35755" t="str">
        <f t="shared" si="608"/>
        <v/>
      </c>
    </row>
    <row r="35756" spans="8:8" x14ac:dyDescent="0.3">
      <c r="H35756" t="str">
        <f t="shared" si="608"/>
        <v/>
      </c>
    </row>
    <row r="35757" spans="8:8" x14ac:dyDescent="0.3">
      <c r="H35757" t="str">
        <f t="shared" si="608"/>
        <v/>
      </c>
    </row>
    <row r="35758" spans="8:8" x14ac:dyDescent="0.3">
      <c r="H35758" t="str">
        <f t="shared" si="608"/>
        <v/>
      </c>
    </row>
    <row r="35759" spans="8:8" x14ac:dyDescent="0.3">
      <c r="H35759" t="str">
        <f t="shared" si="608"/>
        <v/>
      </c>
    </row>
    <row r="35760" spans="8:8" x14ac:dyDescent="0.3">
      <c r="H35760" t="str">
        <f t="shared" si="608"/>
        <v/>
      </c>
    </row>
    <row r="35761" spans="8:8" x14ac:dyDescent="0.3">
      <c r="H35761" t="str">
        <f t="shared" si="608"/>
        <v/>
      </c>
    </row>
    <row r="35762" spans="8:8" x14ac:dyDescent="0.3">
      <c r="H35762" t="str">
        <f t="shared" si="608"/>
        <v/>
      </c>
    </row>
    <row r="35763" spans="8:8" x14ac:dyDescent="0.3">
      <c r="H35763" t="str">
        <f t="shared" si="608"/>
        <v/>
      </c>
    </row>
    <row r="35764" spans="8:8" x14ac:dyDescent="0.3">
      <c r="H35764" t="str">
        <f t="shared" si="608"/>
        <v/>
      </c>
    </row>
    <row r="35765" spans="8:8" x14ac:dyDescent="0.3">
      <c r="H35765" t="str">
        <f t="shared" si="608"/>
        <v/>
      </c>
    </row>
    <row r="35766" spans="8:8" x14ac:dyDescent="0.3">
      <c r="H35766" t="str">
        <f t="shared" si="608"/>
        <v/>
      </c>
    </row>
    <row r="35767" spans="8:8" x14ac:dyDescent="0.3">
      <c r="H35767" t="str">
        <f t="shared" si="608"/>
        <v/>
      </c>
    </row>
    <row r="35768" spans="8:8" x14ac:dyDescent="0.3">
      <c r="H35768" t="str">
        <f t="shared" si="608"/>
        <v/>
      </c>
    </row>
    <row r="35769" spans="8:8" x14ac:dyDescent="0.3">
      <c r="H35769" t="str">
        <f t="shared" si="608"/>
        <v/>
      </c>
    </row>
    <row r="35770" spans="8:8" x14ac:dyDescent="0.3">
      <c r="H35770" t="str">
        <f t="shared" si="608"/>
        <v/>
      </c>
    </row>
    <row r="35771" spans="8:8" x14ac:dyDescent="0.3">
      <c r="H35771" t="str">
        <f t="shared" si="608"/>
        <v/>
      </c>
    </row>
    <row r="35772" spans="8:8" x14ac:dyDescent="0.3">
      <c r="H35772" t="str">
        <f t="shared" si="608"/>
        <v/>
      </c>
    </row>
    <row r="35773" spans="8:8" x14ac:dyDescent="0.3">
      <c r="H35773" t="str">
        <f t="shared" si="608"/>
        <v/>
      </c>
    </row>
    <row r="35774" spans="8:8" x14ac:dyDescent="0.3">
      <c r="H35774" t="str">
        <f t="shared" si="608"/>
        <v/>
      </c>
    </row>
    <row r="35775" spans="8:8" x14ac:dyDescent="0.3">
      <c r="H35775" t="str">
        <f t="shared" si="608"/>
        <v/>
      </c>
    </row>
    <row r="35776" spans="8:8" x14ac:dyDescent="0.3">
      <c r="H35776" t="str">
        <f t="shared" si="608"/>
        <v/>
      </c>
    </row>
    <row r="35777" spans="8:8" x14ac:dyDescent="0.3">
      <c r="H35777" t="str">
        <f t="shared" si="608"/>
        <v/>
      </c>
    </row>
    <row r="35778" spans="8:8" x14ac:dyDescent="0.3">
      <c r="H35778" t="str">
        <f t="shared" si="608"/>
        <v/>
      </c>
    </row>
    <row r="35779" spans="8:8" x14ac:dyDescent="0.3">
      <c r="H35779" t="str">
        <f t="shared" si="608"/>
        <v/>
      </c>
    </row>
    <row r="35780" spans="8:8" x14ac:dyDescent="0.3">
      <c r="H35780" t="str">
        <f t="shared" si="608"/>
        <v/>
      </c>
    </row>
    <row r="35781" spans="8:8" x14ac:dyDescent="0.3">
      <c r="H35781" t="str">
        <f t="shared" si="608"/>
        <v/>
      </c>
    </row>
    <row r="35782" spans="8:8" x14ac:dyDescent="0.3">
      <c r="H35782" t="str">
        <f t="shared" si="608"/>
        <v/>
      </c>
    </row>
    <row r="35783" spans="8:8" x14ac:dyDescent="0.3">
      <c r="H35783" t="str">
        <f t="shared" si="608"/>
        <v/>
      </c>
    </row>
    <row r="35784" spans="8:8" x14ac:dyDescent="0.3">
      <c r="H35784" t="str">
        <f t="shared" si="608"/>
        <v/>
      </c>
    </row>
    <row r="35785" spans="8:8" x14ac:dyDescent="0.3">
      <c r="H35785" t="str">
        <f t="shared" si="608"/>
        <v/>
      </c>
    </row>
    <row r="35786" spans="8:8" x14ac:dyDescent="0.3">
      <c r="H35786" t="str">
        <f t="shared" si="608"/>
        <v/>
      </c>
    </row>
    <row r="35787" spans="8:8" x14ac:dyDescent="0.3">
      <c r="H35787" t="str">
        <f t="shared" si="608"/>
        <v/>
      </c>
    </row>
    <row r="35788" spans="8:8" x14ac:dyDescent="0.3">
      <c r="H35788" t="str">
        <f t="shared" si="608"/>
        <v/>
      </c>
    </row>
    <row r="35789" spans="8:8" x14ac:dyDescent="0.3">
      <c r="H35789" t="str">
        <f t="shared" si="608"/>
        <v/>
      </c>
    </row>
    <row r="35790" spans="8:8" x14ac:dyDescent="0.3">
      <c r="H35790" t="str">
        <f t="shared" si="608"/>
        <v/>
      </c>
    </row>
    <row r="35791" spans="8:8" x14ac:dyDescent="0.3">
      <c r="H35791" t="str">
        <f t="shared" si="608"/>
        <v/>
      </c>
    </row>
    <row r="35792" spans="8:8" x14ac:dyDescent="0.3">
      <c r="H35792" t="str">
        <f t="shared" si="608"/>
        <v/>
      </c>
    </row>
    <row r="35793" spans="8:8" x14ac:dyDescent="0.3">
      <c r="H35793" t="str">
        <f t="shared" si="608"/>
        <v/>
      </c>
    </row>
    <row r="35794" spans="8:8" x14ac:dyDescent="0.3">
      <c r="H35794" t="str">
        <f t="shared" si="608"/>
        <v/>
      </c>
    </row>
    <row r="35795" spans="8:8" x14ac:dyDescent="0.3">
      <c r="H35795" t="str">
        <f t="shared" si="608"/>
        <v/>
      </c>
    </row>
    <row r="35796" spans="8:8" x14ac:dyDescent="0.3">
      <c r="H35796" t="str">
        <f t="shared" si="608"/>
        <v/>
      </c>
    </row>
    <row r="35797" spans="8:8" x14ac:dyDescent="0.3">
      <c r="H35797" t="str">
        <f t="shared" si="608"/>
        <v/>
      </c>
    </row>
    <row r="35798" spans="8:8" x14ac:dyDescent="0.3">
      <c r="H35798" t="str">
        <f t="shared" si="608"/>
        <v/>
      </c>
    </row>
    <row r="35799" spans="8:8" x14ac:dyDescent="0.3">
      <c r="H35799" t="str">
        <f t="shared" ref="H35799:H35862" si="609">IF(B35799="","",$C$12)</f>
        <v/>
      </c>
    </row>
    <row r="35800" spans="8:8" x14ac:dyDescent="0.3">
      <c r="H35800" t="str">
        <f t="shared" si="609"/>
        <v/>
      </c>
    </row>
    <row r="35801" spans="8:8" x14ac:dyDescent="0.3">
      <c r="H35801" t="str">
        <f t="shared" si="609"/>
        <v/>
      </c>
    </row>
    <row r="35802" spans="8:8" x14ac:dyDescent="0.3">
      <c r="H35802" t="str">
        <f t="shared" si="609"/>
        <v/>
      </c>
    </row>
    <row r="35803" spans="8:8" x14ac:dyDescent="0.3">
      <c r="H35803" t="str">
        <f t="shared" si="609"/>
        <v/>
      </c>
    </row>
    <row r="35804" spans="8:8" x14ac:dyDescent="0.3">
      <c r="H35804" t="str">
        <f t="shared" si="609"/>
        <v/>
      </c>
    </row>
    <row r="35805" spans="8:8" x14ac:dyDescent="0.3">
      <c r="H35805" t="str">
        <f t="shared" si="609"/>
        <v/>
      </c>
    </row>
    <row r="35806" spans="8:8" x14ac:dyDescent="0.3">
      <c r="H35806" t="str">
        <f t="shared" si="609"/>
        <v/>
      </c>
    </row>
    <row r="35807" spans="8:8" x14ac:dyDescent="0.3">
      <c r="H35807" t="str">
        <f t="shared" si="609"/>
        <v/>
      </c>
    </row>
    <row r="35808" spans="8:8" x14ac:dyDescent="0.3">
      <c r="H35808" t="str">
        <f t="shared" si="609"/>
        <v/>
      </c>
    </row>
    <row r="35809" spans="8:8" x14ac:dyDescent="0.3">
      <c r="H35809" t="str">
        <f t="shared" si="609"/>
        <v/>
      </c>
    </row>
    <row r="35810" spans="8:8" x14ac:dyDescent="0.3">
      <c r="H35810" t="str">
        <f t="shared" si="609"/>
        <v/>
      </c>
    </row>
    <row r="35811" spans="8:8" x14ac:dyDescent="0.3">
      <c r="H35811" t="str">
        <f t="shared" si="609"/>
        <v/>
      </c>
    </row>
    <row r="35812" spans="8:8" x14ac:dyDescent="0.3">
      <c r="H35812" t="str">
        <f t="shared" si="609"/>
        <v/>
      </c>
    </row>
    <row r="35813" spans="8:8" x14ac:dyDescent="0.3">
      <c r="H35813" t="str">
        <f t="shared" si="609"/>
        <v/>
      </c>
    </row>
    <row r="35814" spans="8:8" x14ac:dyDescent="0.3">
      <c r="H35814" t="str">
        <f t="shared" si="609"/>
        <v/>
      </c>
    </row>
    <row r="35815" spans="8:8" x14ac:dyDescent="0.3">
      <c r="H35815" t="str">
        <f t="shared" si="609"/>
        <v/>
      </c>
    </row>
    <row r="35816" spans="8:8" x14ac:dyDescent="0.3">
      <c r="H35816" t="str">
        <f t="shared" si="609"/>
        <v/>
      </c>
    </row>
    <row r="35817" spans="8:8" x14ac:dyDescent="0.3">
      <c r="H35817" t="str">
        <f t="shared" si="609"/>
        <v/>
      </c>
    </row>
    <row r="35818" spans="8:8" x14ac:dyDescent="0.3">
      <c r="H35818" t="str">
        <f t="shared" si="609"/>
        <v/>
      </c>
    </row>
    <row r="35819" spans="8:8" x14ac:dyDescent="0.3">
      <c r="H35819" t="str">
        <f t="shared" si="609"/>
        <v/>
      </c>
    </row>
    <row r="35820" spans="8:8" x14ac:dyDescent="0.3">
      <c r="H35820" t="str">
        <f t="shared" si="609"/>
        <v/>
      </c>
    </row>
    <row r="35821" spans="8:8" x14ac:dyDescent="0.3">
      <c r="H35821" t="str">
        <f t="shared" si="609"/>
        <v/>
      </c>
    </row>
    <row r="35822" spans="8:8" x14ac:dyDescent="0.3">
      <c r="H35822" t="str">
        <f t="shared" si="609"/>
        <v/>
      </c>
    </row>
    <row r="35823" spans="8:8" x14ac:dyDescent="0.3">
      <c r="H35823" t="str">
        <f t="shared" si="609"/>
        <v/>
      </c>
    </row>
    <row r="35824" spans="8:8" x14ac:dyDescent="0.3">
      <c r="H35824" t="str">
        <f t="shared" si="609"/>
        <v/>
      </c>
    </row>
    <row r="35825" spans="8:8" x14ac:dyDescent="0.3">
      <c r="H35825" t="str">
        <f t="shared" si="609"/>
        <v/>
      </c>
    </row>
    <row r="35826" spans="8:8" x14ac:dyDescent="0.3">
      <c r="H35826" t="str">
        <f t="shared" si="609"/>
        <v/>
      </c>
    </row>
    <row r="35827" spans="8:8" x14ac:dyDescent="0.3">
      <c r="H35827" t="str">
        <f t="shared" si="609"/>
        <v/>
      </c>
    </row>
    <row r="35828" spans="8:8" x14ac:dyDescent="0.3">
      <c r="H35828" t="str">
        <f t="shared" si="609"/>
        <v/>
      </c>
    </row>
    <row r="35829" spans="8:8" x14ac:dyDescent="0.3">
      <c r="H35829" t="str">
        <f t="shared" si="609"/>
        <v/>
      </c>
    </row>
    <row r="35830" spans="8:8" x14ac:dyDescent="0.3">
      <c r="H35830" t="str">
        <f t="shared" si="609"/>
        <v/>
      </c>
    </row>
    <row r="35831" spans="8:8" x14ac:dyDescent="0.3">
      <c r="H35831" t="str">
        <f t="shared" si="609"/>
        <v/>
      </c>
    </row>
    <row r="35832" spans="8:8" x14ac:dyDescent="0.3">
      <c r="H35832" t="str">
        <f t="shared" si="609"/>
        <v/>
      </c>
    </row>
    <row r="35833" spans="8:8" x14ac:dyDescent="0.3">
      <c r="H35833" t="str">
        <f t="shared" si="609"/>
        <v/>
      </c>
    </row>
    <row r="35834" spans="8:8" x14ac:dyDescent="0.3">
      <c r="H35834" t="str">
        <f t="shared" si="609"/>
        <v/>
      </c>
    </row>
    <row r="35835" spans="8:8" x14ac:dyDescent="0.3">
      <c r="H35835" t="str">
        <f t="shared" si="609"/>
        <v/>
      </c>
    </row>
    <row r="35836" spans="8:8" x14ac:dyDescent="0.3">
      <c r="H35836" t="str">
        <f t="shared" si="609"/>
        <v/>
      </c>
    </row>
    <row r="35837" spans="8:8" x14ac:dyDescent="0.3">
      <c r="H35837" t="str">
        <f t="shared" si="609"/>
        <v/>
      </c>
    </row>
    <row r="35838" spans="8:8" x14ac:dyDescent="0.3">
      <c r="H35838" t="str">
        <f t="shared" si="609"/>
        <v/>
      </c>
    </row>
    <row r="35839" spans="8:8" x14ac:dyDescent="0.3">
      <c r="H35839" t="str">
        <f t="shared" si="609"/>
        <v/>
      </c>
    </row>
    <row r="35840" spans="8:8" x14ac:dyDescent="0.3">
      <c r="H35840" t="str">
        <f t="shared" si="609"/>
        <v/>
      </c>
    </row>
    <row r="35841" spans="8:8" x14ac:dyDescent="0.3">
      <c r="H35841" t="str">
        <f t="shared" si="609"/>
        <v/>
      </c>
    </row>
    <row r="35842" spans="8:8" x14ac:dyDescent="0.3">
      <c r="H35842" t="str">
        <f t="shared" si="609"/>
        <v/>
      </c>
    </row>
    <row r="35843" spans="8:8" x14ac:dyDescent="0.3">
      <c r="H35843" t="str">
        <f t="shared" si="609"/>
        <v/>
      </c>
    </row>
    <row r="35844" spans="8:8" x14ac:dyDescent="0.3">
      <c r="H35844" t="str">
        <f t="shared" si="609"/>
        <v/>
      </c>
    </row>
    <row r="35845" spans="8:8" x14ac:dyDescent="0.3">
      <c r="H35845" t="str">
        <f t="shared" si="609"/>
        <v/>
      </c>
    </row>
    <row r="35846" spans="8:8" x14ac:dyDescent="0.3">
      <c r="H35846" t="str">
        <f t="shared" si="609"/>
        <v/>
      </c>
    </row>
    <row r="35847" spans="8:8" x14ac:dyDescent="0.3">
      <c r="H35847" t="str">
        <f t="shared" si="609"/>
        <v/>
      </c>
    </row>
    <row r="35848" spans="8:8" x14ac:dyDescent="0.3">
      <c r="H35848" t="str">
        <f t="shared" si="609"/>
        <v/>
      </c>
    </row>
    <row r="35849" spans="8:8" x14ac:dyDescent="0.3">
      <c r="H35849" t="str">
        <f t="shared" si="609"/>
        <v/>
      </c>
    </row>
    <row r="35850" spans="8:8" x14ac:dyDescent="0.3">
      <c r="H35850" t="str">
        <f t="shared" si="609"/>
        <v/>
      </c>
    </row>
    <row r="35851" spans="8:8" x14ac:dyDescent="0.3">
      <c r="H35851" t="str">
        <f t="shared" si="609"/>
        <v/>
      </c>
    </row>
    <row r="35852" spans="8:8" x14ac:dyDescent="0.3">
      <c r="H35852" t="str">
        <f t="shared" si="609"/>
        <v/>
      </c>
    </row>
    <row r="35853" spans="8:8" x14ac:dyDescent="0.3">
      <c r="H35853" t="str">
        <f t="shared" si="609"/>
        <v/>
      </c>
    </row>
    <row r="35854" spans="8:8" x14ac:dyDescent="0.3">
      <c r="H35854" t="str">
        <f t="shared" si="609"/>
        <v/>
      </c>
    </row>
    <row r="35855" spans="8:8" x14ac:dyDescent="0.3">
      <c r="H35855" t="str">
        <f t="shared" si="609"/>
        <v/>
      </c>
    </row>
    <row r="35856" spans="8:8" x14ac:dyDescent="0.3">
      <c r="H35856" t="str">
        <f t="shared" si="609"/>
        <v/>
      </c>
    </row>
    <row r="35857" spans="8:8" x14ac:dyDescent="0.3">
      <c r="H35857" t="str">
        <f t="shared" si="609"/>
        <v/>
      </c>
    </row>
    <row r="35858" spans="8:8" x14ac:dyDescent="0.3">
      <c r="H35858" t="str">
        <f t="shared" si="609"/>
        <v/>
      </c>
    </row>
    <row r="35859" spans="8:8" x14ac:dyDescent="0.3">
      <c r="H35859" t="str">
        <f t="shared" si="609"/>
        <v/>
      </c>
    </row>
    <row r="35860" spans="8:8" x14ac:dyDescent="0.3">
      <c r="H35860" t="str">
        <f t="shared" si="609"/>
        <v/>
      </c>
    </row>
    <row r="35861" spans="8:8" x14ac:dyDescent="0.3">
      <c r="H35861" t="str">
        <f t="shared" si="609"/>
        <v/>
      </c>
    </row>
    <row r="35862" spans="8:8" x14ac:dyDescent="0.3">
      <c r="H35862" t="str">
        <f t="shared" si="609"/>
        <v/>
      </c>
    </row>
    <row r="35863" spans="8:8" x14ac:dyDescent="0.3">
      <c r="H35863" t="str">
        <f t="shared" ref="H35863:H35926" si="610">IF(B35863="","",$C$12)</f>
        <v/>
      </c>
    </row>
    <row r="35864" spans="8:8" x14ac:dyDescent="0.3">
      <c r="H35864" t="str">
        <f t="shared" si="610"/>
        <v/>
      </c>
    </row>
    <row r="35865" spans="8:8" x14ac:dyDescent="0.3">
      <c r="H35865" t="str">
        <f t="shared" si="610"/>
        <v/>
      </c>
    </row>
    <row r="35866" spans="8:8" x14ac:dyDescent="0.3">
      <c r="H35866" t="str">
        <f t="shared" si="610"/>
        <v/>
      </c>
    </row>
    <row r="35867" spans="8:8" x14ac:dyDescent="0.3">
      <c r="H35867" t="str">
        <f t="shared" si="610"/>
        <v/>
      </c>
    </row>
    <row r="35868" spans="8:8" x14ac:dyDescent="0.3">
      <c r="H35868" t="str">
        <f t="shared" si="610"/>
        <v/>
      </c>
    </row>
    <row r="35869" spans="8:8" x14ac:dyDescent="0.3">
      <c r="H35869" t="str">
        <f t="shared" si="610"/>
        <v/>
      </c>
    </row>
    <row r="35870" spans="8:8" x14ac:dyDescent="0.3">
      <c r="H35870" t="str">
        <f t="shared" si="610"/>
        <v/>
      </c>
    </row>
    <row r="35871" spans="8:8" x14ac:dyDescent="0.3">
      <c r="H35871" t="str">
        <f t="shared" si="610"/>
        <v/>
      </c>
    </row>
    <row r="35872" spans="8:8" x14ac:dyDescent="0.3">
      <c r="H35872" t="str">
        <f t="shared" si="610"/>
        <v/>
      </c>
    </row>
    <row r="35873" spans="8:8" x14ac:dyDescent="0.3">
      <c r="H35873" t="str">
        <f t="shared" si="610"/>
        <v/>
      </c>
    </row>
    <row r="35874" spans="8:8" x14ac:dyDescent="0.3">
      <c r="H35874" t="str">
        <f t="shared" si="610"/>
        <v/>
      </c>
    </row>
    <row r="35875" spans="8:8" x14ac:dyDescent="0.3">
      <c r="H35875" t="str">
        <f t="shared" si="610"/>
        <v/>
      </c>
    </row>
    <row r="35876" spans="8:8" x14ac:dyDescent="0.3">
      <c r="H35876" t="str">
        <f t="shared" si="610"/>
        <v/>
      </c>
    </row>
    <row r="35877" spans="8:8" x14ac:dyDescent="0.3">
      <c r="H35877" t="str">
        <f t="shared" si="610"/>
        <v/>
      </c>
    </row>
    <row r="35878" spans="8:8" x14ac:dyDescent="0.3">
      <c r="H35878" t="str">
        <f t="shared" si="610"/>
        <v/>
      </c>
    </row>
    <row r="35879" spans="8:8" x14ac:dyDescent="0.3">
      <c r="H35879" t="str">
        <f t="shared" si="610"/>
        <v/>
      </c>
    </row>
    <row r="35880" spans="8:8" x14ac:dyDescent="0.3">
      <c r="H35880" t="str">
        <f t="shared" si="610"/>
        <v/>
      </c>
    </row>
    <row r="35881" spans="8:8" x14ac:dyDescent="0.3">
      <c r="H35881" t="str">
        <f t="shared" si="610"/>
        <v/>
      </c>
    </row>
    <row r="35882" spans="8:8" x14ac:dyDescent="0.3">
      <c r="H35882" t="str">
        <f t="shared" si="610"/>
        <v/>
      </c>
    </row>
    <row r="35883" spans="8:8" x14ac:dyDescent="0.3">
      <c r="H35883" t="str">
        <f t="shared" si="610"/>
        <v/>
      </c>
    </row>
    <row r="35884" spans="8:8" x14ac:dyDescent="0.3">
      <c r="H35884" t="str">
        <f t="shared" si="610"/>
        <v/>
      </c>
    </row>
    <row r="35885" spans="8:8" x14ac:dyDescent="0.3">
      <c r="H35885" t="str">
        <f t="shared" si="610"/>
        <v/>
      </c>
    </row>
    <row r="35886" spans="8:8" x14ac:dyDescent="0.3">
      <c r="H35886" t="str">
        <f t="shared" si="610"/>
        <v/>
      </c>
    </row>
    <row r="35887" spans="8:8" x14ac:dyDescent="0.3">
      <c r="H35887" t="str">
        <f t="shared" si="610"/>
        <v/>
      </c>
    </row>
    <row r="35888" spans="8:8" x14ac:dyDescent="0.3">
      <c r="H35888" t="str">
        <f t="shared" si="610"/>
        <v/>
      </c>
    </row>
    <row r="35889" spans="8:8" x14ac:dyDescent="0.3">
      <c r="H35889" t="str">
        <f t="shared" si="610"/>
        <v/>
      </c>
    </row>
    <row r="35890" spans="8:8" x14ac:dyDescent="0.3">
      <c r="H35890" t="str">
        <f t="shared" si="610"/>
        <v/>
      </c>
    </row>
    <row r="35891" spans="8:8" x14ac:dyDescent="0.3">
      <c r="H35891" t="str">
        <f t="shared" si="610"/>
        <v/>
      </c>
    </row>
    <row r="35892" spans="8:8" x14ac:dyDescent="0.3">
      <c r="H35892" t="str">
        <f t="shared" si="610"/>
        <v/>
      </c>
    </row>
    <row r="35893" spans="8:8" x14ac:dyDescent="0.3">
      <c r="H35893" t="str">
        <f t="shared" si="610"/>
        <v/>
      </c>
    </row>
    <row r="35894" spans="8:8" x14ac:dyDescent="0.3">
      <c r="H35894" t="str">
        <f t="shared" si="610"/>
        <v/>
      </c>
    </row>
    <row r="35895" spans="8:8" x14ac:dyDescent="0.3">
      <c r="H35895" t="str">
        <f t="shared" si="610"/>
        <v/>
      </c>
    </row>
    <row r="35896" spans="8:8" x14ac:dyDescent="0.3">
      <c r="H35896" t="str">
        <f t="shared" si="610"/>
        <v/>
      </c>
    </row>
    <row r="35897" spans="8:8" x14ac:dyDescent="0.3">
      <c r="H35897" t="str">
        <f t="shared" si="610"/>
        <v/>
      </c>
    </row>
    <row r="35898" spans="8:8" x14ac:dyDescent="0.3">
      <c r="H35898" t="str">
        <f t="shared" si="610"/>
        <v/>
      </c>
    </row>
    <row r="35899" spans="8:8" x14ac:dyDescent="0.3">
      <c r="H35899" t="str">
        <f t="shared" si="610"/>
        <v/>
      </c>
    </row>
    <row r="35900" spans="8:8" x14ac:dyDescent="0.3">
      <c r="H35900" t="str">
        <f t="shared" si="610"/>
        <v/>
      </c>
    </row>
    <row r="35901" spans="8:8" x14ac:dyDescent="0.3">
      <c r="H35901" t="str">
        <f t="shared" si="610"/>
        <v/>
      </c>
    </row>
    <row r="35902" spans="8:8" x14ac:dyDescent="0.3">
      <c r="H35902" t="str">
        <f t="shared" si="610"/>
        <v/>
      </c>
    </row>
    <row r="35903" spans="8:8" x14ac:dyDescent="0.3">
      <c r="H35903" t="str">
        <f t="shared" si="610"/>
        <v/>
      </c>
    </row>
    <row r="35904" spans="8:8" x14ac:dyDescent="0.3">
      <c r="H35904" t="str">
        <f t="shared" si="610"/>
        <v/>
      </c>
    </row>
    <row r="35905" spans="8:8" x14ac:dyDescent="0.3">
      <c r="H35905" t="str">
        <f t="shared" si="610"/>
        <v/>
      </c>
    </row>
    <row r="35906" spans="8:8" x14ac:dyDescent="0.3">
      <c r="H35906" t="str">
        <f t="shared" si="610"/>
        <v/>
      </c>
    </row>
    <row r="35907" spans="8:8" x14ac:dyDescent="0.3">
      <c r="H35907" t="str">
        <f t="shared" si="610"/>
        <v/>
      </c>
    </row>
    <row r="35908" spans="8:8" x14ac:dyDescent="0.3">
      <c r="H35908" t="str">
        <f t="shared" si="610"/>
        <v/>
      </c>
    </row>
    <row r="35909" spans="8:8" x14ac:dyDescent="0.3">
      <c r="H35909" t="str">
        <f t="shared" si="610"/>
        <v/>
      </c>
    </row>
    <row r="35910" spans="8:8" x14ac:dyDescent="0.3">
      <c r="H35910" t="str">
        <f t="shared" si="610"/>
        <v/>
      </c>
    </row>
    <row r="35911" spans="8:8" x14ac:dyDescent="0.3">
      <c r="H35911" t="str">
        <f t="shared" si="610"/>
        <v/>
      </c>
    </row>
    <row r="35912" spans="8:8" x14ac:dyDescent="0.3">
      <c r="H35912" t="str">
        <f t="shared" si="610"/>
        <v/>
      </c>
    </row>
    <row r="35913" spans="8:8" x14ac:dyDescent="0.3">
      <c r="H35913" t="str">
        <f t="shared" si="610"/>
        <v/>
      </c>
    </row>
    <row r="35914" spans="8:8" x14ac:dyDescent="0.3">
      <c r="H35914" t="str">
        <f t="shared" si="610"/>
        <v/>
      </c>
    </row>
    <row r="35915" spans="8:8" x14ac:dyDescent="0.3">
      <c r="H35915" t="str">
        <f t="shared" si="610"/>
        <v/>
      </c>
    </row>
    <row r="35916" spans="8:8" x14ac:dyDescent="0.3">
      <c r="H35916" t="str">
        <f t="shared" si="610"/>
        <v/>
      </c>
    </row>
    <row r="35917" spans="8:8" x14ac:dyDescent="0.3">
      <c r="H35917" t="str">
        <f t="shared" si="610"/>
        <v/>
      </c>
    </row>
    <row r="35918" spans="8:8" x14ac:dyDescent="0.3">
      <c r="H35918" t="str">
        <f t="shared" si="610"/>
        <v/>
      </c>
    </row>
    <row r="35919" spans="8:8" x14ac:dyDescent="0.3">
      <c r="H35919" t="str">
        <f t="shared" si="610"/>
        <v/>
      </c>
    </row>
    <row r="35920" spans="8:8" x14ac:dyDescent="0.3">
      <c r="H35920" t="str">
        <f t="shared" si="610"/>
        <v/>
      </c>
    </row>
    <row r="35921" spans="8:8" x14ac:dyDescent="0.3">
      <c r="H35921" t="str">
        <f t="shared" si="610"/>
        <v/>
      </c>
    </row>
    <row r="35922" spans="8:8" x14ac:dyDescent="0.3">
      <c r="H35922" t="str">
        <f t="shared" si="610"/>
        <v/>
      </c>
    </row>
    <row r="35923" spans="8:8" x14ac:dyDescent="0.3">
      <c r="H35923" t="str">
        <f t="shared" si="610"/>
        <v/>
      </c>
    </row>
    <row r="35924" spans="8:8" x14ac:dyDescent="0.3">
      <c r="H35924" t="str">
        <f t="shared" si="610"/>
        <v/>
      </c>
    </row>
    <row r="35925" spans="8:8" x14ac:dyDescent="0.3">
      <c r="H35925" t="str">
        <f t="shared" si="610"/>
        <v/>
      </c>
    </row>
    <row r="35926" spans="8:8" x14ac:dyDescent="0.3">
      <c r="H35926" t="str">
        <f t="shared" si="610"/>
        <v/>
      </c>
    </row>
    <row r="35927" spans="8:8" x14ac:dyDescent="0.3">
      <c r="H35927" t="str">
        <f t="shared" ref="H35927:H35990" si="611">IF(B35927="","",$C$12)</f>
        <v/>
      </c>
    </row>
    <row r="35928" spans="8:8" x14ac:dyDescent="0.3">
      <c r="H35928" t="str">
        <f t="shared" si="611"/>
        <v/>
      </c>
    </row>
    <row r="35929" spans="8:8" x14ac:dyDescent="0.3">
      <c r="H35929" t="str">
        <f t="shared" si="611"/>
        <v/>
      </c>
    </row>
    <row r="35930" spans="8:8" x14ac:dyDescent="0.3">
      <c r="H35930" t="str">
        <f t="shared" si="611"/>
        <v/>
      </c>
    </row>
    <row r="35931" spans="8:8" x14ac:dyDescent="0.3">
      <c r="H35931" t="str">
        <f t="shared" si="611"/>
        <v/>
      </c>
    </row>
    <row r="35932" spans="8:8" x14ac:dyDescent="0.3">
      <c r="H35932" t="str">
        <f t="shared" si="611"/>
        <v/>
      </c>
    </row>
    <row r="35933" spans="8:8" x14ac:dyDescent="0.3">
      <c r="H35933" t="str">
        <f t="shared" si="611"/>
        <v/>
      </c>
    </row>
    <row r="35934" spans="8:8" x14ac:dyDescent="0.3">
      <c r="H35934" t="str">
        <f t="shared" si="611"/>
        <v/>
      </c>
    </row>
    <row r="35935" spans="8:8" x14ac:dyDescent="0.3">
      <c r="H35935" t="str">
        <f t="shared" si="611"/>
        <v/>
      </c>
    </row>
    <row r="35936" spans="8:8" x14ac:dyDescent="0.3">
      <c r="H35936" t="str">
        <f t="shared" si="611"/>
        <v/>
      </c>
    </row>
    <row r="35937" spans="8:8" x14ac:dyDescent="0.3">
      <c r="H35937" t="str">
        <f t="shared" si="611"/>
        <v/>
      </c>
    </row>
    <row r="35938" spans="8:8" x14ac:dyDescent="0.3">
      <c r="H35938" t="str">
        <f t="shared" si="611"/>
        <v/>
      </c>
    </row>
    <row r="35939" spans="8:8" x14ac:dyDescent="0.3">
      <c r="H35939" t="str">
        <f t="shared" si="611"/>
        <v/>
      </c>
    </row>
    <row r="35940" spans="8:8" x14ac:dyDescent="0.3">
      <c r="H35940" t="str">
        <f t="shared" si="611"/>
        <v/>
      </c>
    </row>
    <row r="35941" spans="8:8" x14ac:dyDescent="0.3">
      <c r="H35941" t="str">
        <f t="shared" si="611"/>
        <v/>
      </c>
    </row>
    <row r="35942" spans="8:8" x14ac:dyDescent="0.3">
      <c r="H35942" t="str">
        <f t="shared" si="611"/>
        <v/>
      </c>
    </row>
    <row r="35943" spans="8:8" x14ac:dyDescent="0.3">
      <c r="H35943" t="str">
        <f t="shared" si="611"/>
        <v/>
      </c>
    </row>
    <row r="35944" spans="8:8" x14ac:dyDescent="0.3">
      <c r="H35944" t="str">
        <f t="shared" si="611"/>
        <v/>
      </c>
    </row>
    <row r="35945" spans="8:8" x14ac:dyDescent="0.3">
      <c r="H35945" t="str">
        <f t="shared" si="611"/>
        <v/>
      </c>
    </row>
    <row r="35946" spans="8:8" x14ac:dyDescent="0.3">
      <c r="H35946" t="str">
        <f t="shared" si="611"/>
        <v/>
      </c>
    </row>
    <row r="35947" spans="8:8" x14ac:dyDescent="0.3">
      <c r="H35947" t="str">
        <f t="shared" si="611"/>
        <v/>
      </c>
    </row>
    <row r="35948" spans="8:8" x14ac:dyDescent="0.3">
      <c r="H35948" t="str">
        <f t="shared" si="611"/>
        <v/>
      </c>
    </row>
    <row r="35949" spans="8:8" x14ac:dyDescent="0.3">
      <c r="H35949" t="str">
        <f t="shared" si="611"/>
        <v/>
      </c>
    </row>
    <row r="35950" spans="8:8" x14ac:dyDescent="0.3">
      <c r="H35950" t="str">
        <f t="shared" si="611"/>
        <v/>
      </c>
    </row>
    <row r="35951" spans="8:8" x14ac:dyDescent="0.3">
      <c r="H35951" t="str">
        <f t="shared" si="611"/>
        <v/>
      </c>
    </row>
    <row r="35952" spans="8:8" x14ac:dyDescent="0.3">
      <c r="H35952" t="str">
        <f t="shared" si="611"/>
        <v/>
      </c>
    </row>
    <row r="35953" spans="8:8" x14ac:dyDescent="0.3">
      <c r="H35953" t="str">
        <f t="shared" si="611"/>
        <v/>
      </c>
    </row>
    <row r="35954" spans="8:8" x14ac:dyDescent="0.3">
      <c r="H35954" t="str">
        <f t="shared" si="611"/>
        <v/>
      </c>
    </row>
    <row r="35955" spans="8:8" x14ac:dyDescent="0.3">
      <c r="H35955" t="str">
        <f t="shared" si="611"/>
        <v/>
      </c>
    </row>
    <row r="35956" spans="8:8" x14ac:dyDescent="0.3">
      <c r="H35956" t="str">
        <f t="shared" si="611"/>
        <v/>
      </c>
    </row>
    <row r="35957" spans="8:8" x14ac:dyDescent="0.3">
      <c r="H35957" t="str">
        <f t="shared" si="611"/>
        <v/>
      </c>
    </row>
    <row r="35958" spans="8:8" x14ac:dyDescent="0.3">
      <c r="H35958" t="str">
        <f t="shared" si="611"/>
        <v/>
      </c>
    </row>
    <row r="35959" spans="8:8" x14ac:dyDescent="0.3">
      <c r="H35959" t="str">
        <f t="shared" si="611"/>
        <v/>
      </c>
    </row>
    <row r="35960" spans="8:8" x14ac:dyDescent="0.3">
      <c r="H35960" t="str">
        <f t="shared" si="611"/>
        <v/>
      </c>
    </row>
    <row r="35961" spans="8:8" x14ac:dyDescent="0.3">
      <c r="H35961" t="str">
        <f t="shared" si="611"/>
        <v/>
      </c>
    </row>
    <row r="35962" spans="8:8" x14ac:dyDescent="0.3">
      <c r="H35962" t="str">
        <f t="shared" si="611"/>
        <v/>
      </c>
    </row>
    <row r="35963" spans="8:8" x14ac:dyDescent="0.3">
      <c r="H35963" t="str">
        <f t="shared" si="611"/>
        <v/>
      </c>
    </row>
    <row r="35964" spans="8:8" x14ac:dyDescent="0.3">
      <c r="H35964" t="str">
        <f t="shared" si="611"/>
        <v/>
      </c>
    </row>
    <row r="35965" spans="8:8" x14ac:dyDescent="0.3">
      <c r="H35965" t="str">
        <f t="shared" si="611"/>
        <v/>
      </c>
    </row>
    <row r="35966" spans="8:8" x14ac:dyDescent="0.3">
      <c r="H35966" t="str">
        <f t="shared" si="611"/>
        <v/>
      </c>
    </row>
    <row r="35967" spans="8:8" x14ac:dyDescent="0.3">
      <c r="H35967" t="str">
        <f t="shared" si="611"/>
        <v/>
      </c>
    </row>
    <row r="35968" spans="8:8" x14ac:dyDescent="0.3">
      <c r="H35968" t="str">
        <f t="shared" si="611"/>
        <v/>
      </c>
    </row>
    <row r="35969" spans="8:8" x14ac:dyDescent="0.3">
      <c r="H35969" t="str">
        <f t="shared" si="611"/>
        <v/>
      </c>
    </row>
    <row r="35970" spans="8:8" x14ac:dyDescent="0.3">
      <c r="H35970" t="str">
        <f t="shared" si="611"/>
        <v/>
      </c>
    </row>
    <row r="35971" spans="8:8" x14ac:dyDescent="0.3">
      <c r="H35971" t="str">
        <f t="shared" si="611"/>
        <v/>
      </c>
    </row>
    <row r="35972" spans="8:8" x14ac:dyDescent="0.3">
      <c r="H35972" t="str">
        <f t="shared" si="611"/>
        <v/>
      </c>
    </row>
    <row r="35973" spans="8:8" x14ac:dyDescent="0.3">
      <c r="H35973" t="str">
        <f t="shared" si="611"/>
        <v/>
      </c>
    </row>
    <row r="35974" spans="8:8" x14ac:dyDescent="0.3">
      <c r="H35974" t="str">
        <f t="shared" si="611"/>
        <v/>
      </c>
    </row>
    <row r="35975" spans="8:8" x14ac:dyDescent="0.3">
      <c r="H35975" t="str">
        <f t="shared" si="611"/>
        <v/>
      </c>
    </row>
    <row r="35976" spans="8:8" x14ac:dyDescent="0.3">
      <c r="H35976" t="str">
        <f t="shared" si="611"/>
        <v/>
      </c>
    </row>
    <row r="35977" spans="8:8" x14ac:dyDescent="0.3">
      <c r="H35977" t="str">
        <f t="shared" si="611"/>
        <v/>
      </c>
    </row>
    <row r="35978" spans="8:8" x14ac:dyDescent="0.3">
      <c r="H35978" t="str">
        <f t="shared" si="611"/>
        <v/>
      </c>
    </row>
    <row r="35979" spans="8:8" x14ac:dyDescent="0.3">
      <c r="H35979" t="str">
        <f t="shared" si="611"/>
        <v/>
      </c>
    </row>
    <row r="35980" spans="8:8" x14ac:dyDescent="0.3">
      <c r="H35980" t="str">
        <f t="shared" si="611"/>
        <v/>
      </c>
    </row>
    <row r="35981" spans="8:8" x14ac:dyDescent="0.3">
      <c r="H35981" t="str">
        <f t="shared" si="611"/>
        <v/>
      </c>
    </row>
    <row r="35982" spans="8:8" x14ac:dyDescent="0.3">
      <c r="H35982" t="str">
        <f t="shared" si="611"/>
        <v/>
      </c>
    </row>
    <row r="35983" spans="8:8" x14ac:dyDescent="0.3">
      <c r="H35983" t="str">
        <f t="shared" si="611"/>
        <v/>
      </c>
    </row>
    <row r="35984" spans="8:8" x14ac:dyDescent="0.3">
      <c r="H35984" t="str">
        <f t="shared" si="611"/>
        <v/>
      </c>
    </row>
    <row r="35985" spans="8:8" x14ac:dyDescent="0.3">
      <c r="H35985" t="str">
        <f t="shared" si="611"/>
        <v/>
      </c>
    </row>
    <row r="35986" spans="8:8" x14ac:dyDescent="0.3">
      <c r="H35986" t="str">
        <f t="shared" si="611"/>
        <v/>
      </c>
    </row>
    <row r="35987" spans="8:8" x14ac:dyDescent="0.3">
      <c r="H35987" t="str">
        <f t="shared" si="611"/>
        <v/>
      </c>
    </row>
    <row r="35988" spans="8:8" x14ac:dyDescent="0.3">
      <c r="H35988" t="str">
        <f t="shared" si="611"/>
        <v/>
      </c>
    </row>
    <row r="35989" spans="8:8" x14ac:dyDescent="0.3">
      <c r="H35989" t="str">
        <f t="shared" si="611"/>
        <v/>
      </c>
    </row>
    <row r="35990" spans="8:8" x14ac:dyDescent="0.3">
      <c r="H35990" t="str">
        <f t="shared" si="611"/>
        <v/>
      </c>
    </row>
    <row r="35991" spans="8:8" x14ac:dyDescent="0.3">
      <c r="H35991" t="str">
        <f t="shared" ref="H35991:H36054" si="612">IF(B35991="","",$C$12)</f>
        <v/>
      </c>
    </row>
    <row r="35992" spans="8:8" x14ac:dyDescent="0.3">
      <c r="H35992" t="str">
        <f t="shared" si="612"/>
        <v/>
      </c>
    </row>
    <row r="35993" spans="8:8" x14ac:dyDescent="0.3">
      <c r="H35993" t="str">
        <f t="shared" si="612"/>
        <v/>
      </c>
    </row>
    <row r="35994" spans="8:8" x14ac:dyDescent="0.3">
      <c r="H35994" t="str">
        <f t="shared" si="612"/>
        <v/>
      </c>
    </row>
    <row r="35995" spans="8:8" x14ac:dyDescent="0.3">
      <c r="H35995" t="str">
        <f t="shared" si="612"/>
        <v/>
      </c>
    </row>
    <row r="35996" spans="8:8" x14ac:dyDescent="0.3">
      <c r="H35996" t="str">
        <f t="shared" si="612"/>
        <v/>
      </c>
    </row>
    <row r="35997" spans="8:8" x14ac:dyDescent="0.3">
      <c r="H35997" t="str">
        <f t="shared" si="612"/>
        <v/>
      </c>
    </row>
    <row r="35998" spans="8:8" x14ac:dyDescent="0.3">
      <c r="H35998" t="str">
        <f t="shared" si="612"/>
        <v/>
      </c>
    </row>
    <row r="35999" spans="8:8" x14ac:dyDescent="0.3">
      <c r="H35999" t="str">
        <f t="shared" si="612"/>
        <v/>
      </c>
    </row>
    <row r="36000" spans="8:8" x14ac:dyDescent="0.3">
      <c r="H36000" t="str">
        <f t="shared" si="612"/>
        <v/>
      </c>
    </row>
    <row r="36001" spans="8:8" x14ac:dyDescent="0.3">
      <c r="H36001" t="str">
        <f t="shared" si="612"/>
        <v/>
      </c>
    </row>
    <row r="36002" spans="8:8" x14ac:dyDescent="0.3">
      <c r="H36002" t="str">
        <f t="shared" si="612"/>
        <v/>
      </c>
    </row>
    <row r="36003" spans="8:8" x14ac:dyDescent="0.3">
      <c r="H36003" t="str">
        <f t="shared" si="612"/>
        <v/>
      </c>
    </row>
    <row r="36004" spans="8:8" x14ac:dyDescent="0.3">
      <c r="H36004" t="str">
        <f t="shared" si="612"/>
        <v/>
      </c>
    </row>
    <row r="36005" spans="8:8" x14ac:dyDescent="0.3">
      <c r="H36005" t="str">
        <f t="shared" si="612"/>
        <v/>
      </c>
    </row>
    <row r="36006" spans="8:8" x14ac:dyDescent="0.3">
      <c r="H36006" t="str">
        <f t="shared" si="612"/>
        <v/>
      </c>
    </row>
    <row r="36007" spans="8:8" x14ac:dyDescent="0.3">
      <c r="H36007" t="str">
        <f t="shared" si="612"/>
        <v/>
      </c>
    </row>
    <row r="36008" spans="8:8" x14ac:dyDescent="0.3">
      <c r="H36008" t="str">
        <f t="shared" si="612"/>
        <v/>
      </c>
    </row>
    <row r="36009" spans="8:8" x14ac:dyDescent="0.3">
      <c r="H36009" t="str">
        <f t="shared" si="612"/>
        <v/>
      </c>
    </row>
    <row r="36010" spans="8:8" x14ac:dyDescent="0.3">
      <c r="H36010" t="str">
        <f t="shared" si="612"/>
        <v/>
      </c>
    </row>
    <row r="36011" spans="8:8" x14ac:dyDescent="0.3">
      <c r="H36011" t="str">
        <f t="shared" si="612"/>
        <v/>
      </c>
    </row>
    <row r="36012" spans="8:8" x14ac:dyDescent="0.3">
      <c r="H36012" t="str">
        <f t="shared" si="612"/>
        <v/>
      </c>
    </row>
    <row r="36013" spans="8:8" x14ac:dyDescent="0.3">
      <c r="H36013" t="str">
        <f t="shared" si="612"/>
        <v/>
      </c>
    </row>
    <row r="36014" spans="8:8" x14ac:dyDescent="0.3">
      <c r="H36014" t="str">
        <f t="shared" si="612"/>
        <v/>
      </c>
    </row>
    <row r="36015" spans="8:8" x14ac:dyDescent="0.3">
      <c r="H36015" t="str">
        <f t="shared" si="612"/>
        <v/>
      </c>
    </row>
    <row r="36016" spans="8:8" x14ac:dyDescent="0.3">
      <c r="H36016" t="str">
        <f t="shared" si="612"/>
        <v/>
      </c>
    </row>
    <row r="36017" spans="8:8" x14ac:dyDescent="0.3">
      <c r="H36017" t="str">
        <f t="shared" si="612"/>
        <v/>
      </c>
    </row>
    <row r="36018" spans="8:8" x14ac:dyDescent="0.3">
      <c r="H36018" t="str">
        <f t="shared" si="612"/>
        <v/>
      </c>
    </row>
    <row r="36019" spans="8:8" x14ac:dyDescent="0.3">
      <c r="H36019" t="str">
        <f t="shared" si="612"/>
        <v/>
      </c>
    </row>
    <row r="36020" spans="8:8" x14ac:dyDescent="0.3">
      <c r="H36020" t="str">
        <f t="shared" si="612"/>
        <v/>
      </c>
    </row>
    <row r="36021" spans="8:8" x14ac:dyDescent="0.3">
      <c r="H36021" t="str">
        <f t="shared" si="612"/>
        <v/>
      </c>
    </row>
    <row r="36022" spans="8:8" x14ac:dyDescent="0.3">
      <c r="H36022" t="str">
        <f t="shared" si="612"/>
        <v/>
      </c>
    </row>
    <row r="36023" spans="8:8" x14ac:dyDescent="0.3">
      <c r="H36023" t="str">
        <f t="shared" si="612"/>
        <v/>
      </c>
    </row>
    <row r="36024" spans="8:8" x14ac:dyDescent="0.3">
      <c r="H36024" t="str">
        <f t="shared" si="612"/>
        <v/>
      </c>
    </row>
    <row r="36025" spans="8:8" x14ac:dyDescent="0.3">
      <c r="H36025" t="str">
        <f t="shared" si="612"/>
        <v/>
      </c>
    </row>
    <row r="36026" spans="8:8" x14ac:dyDescent="0.3">
      <c r="H36026" t="str">
        <f t="shared" si="612"/>
        <v/>
      </c>
    </row>
    <row r="36027" spans="8:8" x14ac:dyDescent="0.3">
      <c r="H36027" t="str">
        <f t="shared" si="612"/>
        <v/>
      </c>
    </row>
    <row r="36028" spans="8:8" x14ac:dyDescent="0.3">
      <c r="H36028" t="str">
        <f t="shared" si="612"/>
        <v/>
      </c>
    </row>
    <row r="36029" spans="8:8" x14ac:dyDescent="0.3">
      <c r="H36029" t="str">
        <f t="shared" si="612"/>
        <v/>
      </c>
    </row>
    <row r="36030" spans="8:8" x14ac:dyDescent="0.3">
      <c r="H36030" t="str">
        <f t="shared" si="612"/>
        <v/>
      </c>
    </row>
    <row r="36031" spans="8:8" x14ac:dyDescent="0.3">
      <c r="H36031" t="str">
        <f t="shared" si="612"/>
        <v/>
      </c>
    </row>
    <row r="36032" spans="8:8" x14ac:dyDescent="0.3">
      <c r="H36032" t="str">
        <f t="shared" si="612"/>
        <v/>
      </c>
    </row>
    <row r="36033" spans="8:8" x14ac:dyDescent="0.3">
      <c r="H36033" t="str">
        <f t="shared" si="612"/>
        <v/>
      </c>
    </row>
    <row r="36034" spans="8:8" x14ac:dyDescent="0.3">
      <c r="H36034" t="str">
        <f t="shared" si="612"/>
        <v/>
      </c>
    </row>
    <row r="36035" spans="8:8" x14ac:dyDescent="0.3">
      <c r="H36035" t="str">
        <f t="shared" si="612"/>
        <v/>
      </c>
    </row>
    <row r="36036" spans="8:8" x14ac:dyDescent="0.3">
      <c r="H36036" t="str">
        <f t="shared" si="612"/>
        <v/>
      </c>
    </row>
    <row r="36037" spans="8:8" x14ac:dyDescent="0.3">
      <c r="H36037" t="str">
        <f t="shared" si="612"/>
        <v/>
      </c>
    </row>
    <row r="36038" spans="8:8" x14ac:dyDescent="0.3">
      <c r="H36038" t="str">
        <f t="shared" si="612"/>
        <v/>
      </c>
    </row>
    <row r="36039" spans="8:8" x14ac:dyDescent="0.3">
      <c r="H36039" t="str">
        <f t="shared" si="612"/>
        <v/>
      </c>
    </row>
    <row r="36040" spans="8:8" x14ac:dyDescent="0.3">
      <c r="H36040" t="str">
        <f t="shared" si="612"/>
        <v/>
      </c>
    </row>
    <row r="36041" spans="8:8" x14ac:dyDescent="0.3">
      <c r="H36041" t="str">
        <f t="shared" si="612"/>
        <v/>
      </c>
    </row>
    <row r="36042" spans="8:8" x14ac:dyDescent="0.3">
      <c r="H36042" t="str">
        <f t="shared" si="612"/>
        <v/>
      </c>
    </row>
    <row r="36043" spans="8:8" x14ac:dyDescent="0.3">
      <c r="H36043" t="str">
        <f t="shared" si="612"/>
        <v/>
      </c>
    </row>
    <row r="36044" spans="8:8" x14ac:dyDescent="0.3">
      <c r="H36044" t="str">
        <f t="shared" si="612"/>
        <v/>
      </c>
    </row>
    <row r="36045" spans="8:8" x14ac:dyDescent="0.3">
      <c r="H36045" t="str">
        <f t="shared" si="612"/>
        <v/>
      </c>
    </row>
    <row r="36046" spans="8:8" x14ac:dyDescent="0.3">
      <c r="H36046" t="str">
        <f t="shared" si="612"/>
        <v/>
      </c>
    </row>
    <row r="36047" spans="8:8" x14ac:dyDescent="0.3">
      <c r="H36047" t="str">
        <f t="shared" si="612"/>
        <v/>
      </c>
    </row>
    <row r="36048" spans="8:8" x14ac:dyDescent="0.3">
      <c r="H36048" t="str">
        <f t="shared" si="612"/>
        <v/>
      </c>
    </row>
    <row r="36049" spans="8:8" x14ac:dyDescent="0.3">
      <c r="H36049" t="str">
        <f t="shared" si="612"/>
        <v/>
      </c>
    </row>
    <row r="36050" spans="8:8" x14ac:dyDescent="0.3">
      <c r="H36050" t="str">
        <f t="shared" si="612"/>
        <v/>
      </c>
    </row>
    <row r="36051" spans="8:8" x14ac:dyDescent="0.3">
      <c r="H36051" t="str">
        <f t="shared" si="612"/>
        <v/>
      </c>
    </row>
    <row r="36052" spans="8:8" x14ac:dyDescent="0.3">
      <c r="H36052" t="str">
        <f t="shared" si="612"/>
        <v/>
      </c>
    </row>
    <row r="36053" spans="8:8" x14ac:dyDescent="0.3">
      <c r="H36053" t="str">
        <f t="shared" si="612"/>
        <v/>
      </c>
    </row>
    <row r="36054" spans="8:8" x14ac:dyDescent="0.3">
      <c r="H36054" t="str">
        <f t="shared" si="612"/>
        <v/>
      </c>
    </row>
    <row r="36055" spans="8:8" x14ac:dyDescent="0.3">
      <c r="H36055" t="str">
        <f t="shared" ref="H36055:H36118" si="613">IF(B36055="","",$C$12)</f>
        <v/>
      </c>
    </row>
    <row r="36056" spans="8:8" x14ac:dyDescent="0.3">
      <c r="H36056" t="str">
        <f t="shared" si="613"/>
        <v/>
      </c>
    </row>
    <row r="36057" spans="8:8" x14ac:dyDescent="0.3">
      <c r="H36057" t="str">
        <f t="shared" si="613"/>
        <v/>
      </c>
    </row>
    <row r="36058" spans="8:8" x14ac:dyDescent="0.3">
      <c r="H36058" t="str">
        <f t="shared" si="613"/>
        <v/>
      </c>
    </row>
    <row r="36059" spans="8:8" x14ac:dyDescent="0.3">
      <c r="H36059" t="str">
        <f t="shared" si="613"/>
        <v/>
      </c>
    </row>
    <row r="36060" spans="8:8" x14ac:dyDescent="0.3">
      <c r="H36060" t="str">
        <f t="shared" si="613"/>
        <v/>
      </c>
    </row>
    <row r="36061" spans="8:8" x14ac:dyDescent="0.3">
      <c r="H36061" t="str">
        <f t="shared" si="613"/>
        <v/>
      </c>
    </row>
    <row r="36062" spans="8:8" x14ac:dyDescent="0.3">
      <c r="H36062" t="str">
        <f t="shared" si="613"/>
        <v/>
      </c>
    </row>
    <row r="36063" spans="8:8" x14ac:dyDescent="0.3">
      <c r="H36063" t="str">
        <f t="shared" si="613"/>
        <v/>
      </c>
    </row>
    <row r="36064" spans="8:8" x14ac:dyDescent="0.3">
      <c r="H36064" t="str">
        <f t="shared" si="613"/>
        <v/>
      </c>
    </row>
    <row r="36065" spans="8:8" x14ac:dyDescent="0.3">
      <c r="H36065" t="str">
        <f t="shared" si="613"/>
        <v/>
      </c>
    </row>
    <row r="36066" spans="8:8" x14ac:dyDescent="0.3">
      <c r="H36066" t="str">
        <f t="shared" si="613"/>
        <v/>
      </c>
    </row>
    <row r="36067" spans="8:8" x14ac:dyDescent="0.3">
      <c r="H36067" t="str">
        <f t="shared" si="613"/>
        <v/>
      </c>
    </row>
    <row r="36068" spans="8:8" x14ac:dyDescent="0.3">
      <c r="H36068" t="str">
        <f t="shared" si="613"/>
        <v/>
      </c>
    </row>
    <row r="36069" spans="8:8" x14ac:dyDescent="0.3">
      <c r="H36069" t="str">
        <f t="shared" si="613"/>
        <v/>
      </c>
    </row>
    <row r="36070" spans="8:8" x14ac:dyDescent="0.3">
      <c r="H36070" t="str">
        <f t="shared" si="613"/>
        <v/>
      </c>
    </row>
    <row r="36071" spans="8:8" x14ac:dyDescent="0.3">
      <c r="H36071" t="str">
        <f t="shared" si="613"/>
        <v/>
      </c>
    </row>
    <row r="36072" spans="8:8" x14ac:dyDescent="0.3">
      <c r="H36072" t="str">
        <f t="shared" si="613"/>
        <v/>
      </c>
    </row>
    <row r="36073" spans="8:8" x14ac:dyDescent="0.3">
      <c r="H36073" t="str">
        <f t="shared" si="613"/>
        <v/>
      </c>
    </row>
    <row r="36074" spans="8:8" x14ac:dyDescent="0.3">
      <c r="H36074" t="str">
        <f t="shared" si="613"/>
        <v/>
      </c>
    </row>
    <row r="36075" spans="8:8" x14ac:dyDescent="0.3">
      <c r="H36075" t="str">
        <f t="shared" si="613"/>
        <v/>
      </c>
    </row>
    <row r="36076" spans="8:8" x14ac:dyDescent="0.3">
      <c r="H36076" t="str">
        <f t="shared" si="613"/>
        <v/>
      </c>
    </row>
    <row r="36077" spans="8:8" x14ac:dyDescent="0.3">
      <c r="H36077" t="str">
        <f t="shared" si="613"/>
        <v/>
      </c>
    </row>
    <row r="36078" spans="8:8" x14ac:dyDescent="0.3">
      <c r="H36078" t="str">
        <f t="shared" si="613"/>
        <v/>
      </c>
    </row>
    <row r="36079" spans="8:8" x14ac:dyDescent="0.3">
      <c r="H36079" t="str">
        <f t="shared" si="613"/>
        <v/>
      </c>
    </row>
    <row r="36080" spans="8:8" x14ac:dyDescent="0.3">
      <c r="H36080" t="str">
        <f t="shared" si="613"/>
        <v/>
      </c>
    </row>
    <row r="36081" spans="8:8" x14ac:dyDescent="0.3">
      <c r="H36081" t="str">
        <f t="shared" si="613"/>
        <v/>
      </c>
    </row>
    <row r="36082" spans="8:8" x14ac:dyDescent="0.3">
      <c r="H36082" t="str">
        <f t="shared" si="613"/>
        <v/>
      </c>
    </row>
    <row r="36083" spans="8:8" x14ac:dyDescent="0.3">
      <c r="H36083" t="str">
        <f t="shared" si="613"/>
        <v/>
      </c>
    </row>
    <row r="36084" spans="8:8" x14ac:dyDescent="0.3">
      <c r="H36084" t="str">
        <f t="shared" si="613"/>
        <v/>
      </c>
    </row>
    <row r="36085" spans="8:8" x14ac:dyDescent="0.3">
      <c r="H36085" t="str">
        <f t="shared" si="613"/>
        <v/>
      </c>
    </row>
    <row r="36086" spans="8:8" x14ac:dyDescent="0.3">
      <c r="H36086" t="str">
        <f t="shared" si="613"/>
        <v/>
      </c>
    </row>
    <row r="36087" spans="8:8" x14ac:dyDescent="0.3">
      <c r="H36087" t="str">
        <f t="shared" si="613"/>
        <v/>
      </c>
    </row>
    <row r="36088" spans="8:8" x14ac:dyDescent="0.3">
      <c r="H36088" t="str">
        <f t="shared" si="613"/>
        <v/>
      </c>
    </row>
    <row r="36089" spans="8:8" x14ac:dyDescent="0.3">
      <c r="H36089" t="str">
        <f t="shared" si="613"/>
        <v/>
      </c>
    </row>
    <row r="36090" spans="8:8" x14ac:dyDescent="0.3">
      <c r="H36090" t="str">
        <f t="shared" si="613"/>
        <v/>
      </c>
    </row>
    <row r="36091" spans="8:8" x14ac:dyDescent="0.3">
      <c r="H36091" t="str">
        <f t="shared" si="613"/>
        <v/>
      </c>
    </row>
    <row r="36092" spans="8:8" x14ac:dyDescent="0.3">
      <c r="H36092" t="str">
        <f t="shared" si="613"/>
        <v/>
      </c>
    </row>
    <row r="36093" spans="8:8" x14ac:dyDescent="0.3">
      <c r="H36093" t="str">
        <f t="shared" si="613"/>
        <v/>
      </c>
    </row>
    <row r="36094" spans="8:8" x14ac:dyDescent="0.3">
      <c r="H36094" t="str">
        <f t="shared" si="613"/>
        <v/>
      </c>
    </row>
    <row r="36095" spans="8:8" x14ac:dyDescent="0.3">
      <c r="H36095" t="str">
        <f t="shared" si="613"/>
        <v/>
      </c>
    </row>
    <row r="36096" spans="8:8" x14ac:dyDescent="0.3">
      <c r="H36096" t="str">
        <f t="shared" si="613"/>
        <v/>
      </c>
    </row>
    <row r="36097" spans="8:8" x14ac:dyDescent="0.3">
      <c r="H36097" t="str">
        <f t="shared" si="613"/>
        <v/>
      </c>
    </row>
    <row r="36098" spans="8:8" x14ac:dyDescent="0.3">
      <c r="H36098" t="str">
        <f t="shared" si="613"/>
        <v/>
      </c>
    </row>
    <row r="36099" spans="8:8" x14ac:dyDescent="0.3">
      <c r="H36099" t="str">
        <f t="shared" si="613"/>
        <v/>
      </c>
    </row>
    <row r="36100" spans="8:8" x14ac:dyDescent="0.3">
      <c r="H36100" t="str">
        <f t="shared" si="613"/>
        <v/>
      </c>
    </row>
    <row r="36101" spans="8:8" x14ac:dyDescent="0.3">
      <c r="H36101" t="str">
        <f t="shared" si="613"/>
        <v/>
      </c>
    </row>
    <row r="36102" spans="8:8" x14ac:dyDescent="0.3">
      <c r="H36102" t="str">
        <f t="shared" si="613"/>
        <v/>
      </c>
    </row>
    <row r="36103" spans="8:8" x14ac:dyDescent="0.3">
      <c r="H36103" t="str">
        <f t="shared" si="613"/>
        <v/>
      </c>
    </row>
    <row r="36104" spans="8:8" x14ac:dyDescent="0.3">
      <c r="H36104" t="str">
        <f t="shared" si="613"/>
        <v/>
      </c>
    </row>
    <row r="36105" spans="8:8" x14ac:dyDescent="0.3">
      <c r="H36105" t="str">
        <f t="shared" si="613"/>
        <v/>
      </c>
    </row>
    <row r="36106" spans="8:8" x14ac:dyDescent="0.3">
      <c r="H36106" t="str">
        <f t="shared" si="613"/>
        <v/>
      </c>
    </row>
    <row r="36107" spans="8:8" x14ac:dyDescent="0.3">
      <c r="H36107" t="str">
        <f t="shared" si="613"/>
        <v/>
      </c>
    </row>
    <row r="36108" spans="8:8" x14ac:dyDescent="0.3">
      <c r="H36108" t="str">
        <f t="shared" si="613"/>
        <v/>
      </c>
    </row>
    <row r="36109" spans="8:8" x14ac:dyDescent="0.3">
      <c r="H36109" t="str">
        <f t="shared" si="613"/>
        <v/>
      </c>
    </row>
    <row r="36110" spans="8:8" x14ac:dyDescent="0.3">
      <c r="H36110" t="str">
        <f t="shared" si="613"/>
        <v/>
      </c>
    </row>
    <row r="36111" spans="8:8" x14ac:dyDescent="0.3">
      <c r="H36111" t="str">
        <f t="shared" si="613"/>
        <v/>
      </c>
    </row>
    <row r="36112" spans="8:8" x14ac:dyDescent="0.3">
      <c r="H36112" t="str">
        <f t="shared" si="613"/>
        <v/>
      </c>
    </row>
    <row r="36113" spans="8:8" x14ac:dyDescent="0.3">
      <c r="H36113" t="str">
        <f t="shared" si="613"/>
        <v/>
      </c>
    </row>
    <row r="36114" spans="8:8" x14ac:dyDescent="0.3">
      <c r="H36114" t="str">
        <f t="shared" si="613"/>
        <v/>
      </c>
    </row>
    <row r="36115" spans="8:8" x14ac:dyDescent="0.3">
      <c r="H36115" t="str">
        <f t="shared" si="613"/>
        <v/>
      </c>
    </row>
    <row r="36116" spans="8:8" x14ac:dyDescent="0.3">
      <c r="H36116" t="str">
        <f t="shared" si="613"/>
        <v/>
      </c>
    </row>
    <row r="36117" spans="8:8" x14ac:dyDescent="0.3">
      <c r="H36117" t="str">
        <f t="shared" si="613"/>
        <v/>
      </c>
    </row>
    <row r="36118" spans="8:8" x14ac:dyDescent="0.3">
      <c r="H36118" t="str">
        <f t="shared" si="613"/>
        <v/>
      </c>
    </row>
    <row r="36119" spans="8:8" x14ac:dyDescent="0.3">
      <c r="H36119" t="str">
        <f t="shared" ref="H36119:H36182" si="614">IF(B36119="","",$C$12)</f>
        <v/>
      </c>
    </row>
    <row r="36120" spans="8:8" x14ac:dyDescent="0.3">
      <c r="H36120" t="str">
        <f t="shared" si="614"/>
        <v/>
      </c>
    </row>
    <row r="36121" spans="8:8" x14ac:dyDescent="0.3">
      <c r="H36121" t="str">
        <f t="shared" si="614"/>
        <v/>
      </c>
    </row>
    <row r="36122" spans="8:8" x14ac:dyDescent="0.3">
      <c r="H36122" t="str">
        <f t="shared" si="614"/>
        <v/>
      </c>
    </row>
    <row r="36123" spans="8:8" x14ac:dyDescent="0.3">
      <c r="H36123" t="str">
        <f t="shared" si="614"/>
        <v/>
      </c>
    </row>
    <row r="36124" spans="8:8" x14ac:dyDescent="0.3">
      <c r="H36124" t="str">
        <f t="shared" si="614"/>
        <v/>
      </c>
    </row>
    <row r="36125" spans="8:8" x14ac:dyDescent="0.3">
      <c r="H36125" t="str">
        <f t="shared" si="614"/>
        <v/>
      </c>
    </row>
    <row r="36126" spans="8:8" x14ac:dyDescent="0.3">
      <c r="H36126" t="str">
        <f t="shared" si="614"/>
        <v/>
      </c>
    </row>
    <row r="36127" spans="8:8" x14ac:dyDescent="0.3">
      <c r="H36127" t="str">
        <f t="shared" si="614"/>
        <v/>
      </c>
    </row>
    <row r="36128" spans="8:8" x14ac:dyDescent="0.3">
      <c r="H36128" t="str">
        <f t="shared" si="614"/>
        <v/>
      </c>
    </row>
    <row r="36129" spans="8:8" x14ac:dyDescent="0.3">
      <c r="H36129" t="str">
        <f t="shared" si="614"/>
        <v/>
      </c>
    </row>
    <row r="36130" spans="8:8" x14ac:dyDescent="0.3">
      <c r="H36130" t="str">
        <f t="shared" si="614"/>
        <v/>
      </c>
    </row>
    <row r="36131" spans="8:8" x14ac:dyDescent="0.3">
      <c r="H36131" t="str">
        <f t="shared" si="614"/>
        <v/>
      </c>
    </row>
    <row r="36132" spans="8:8" x14ac:dyDescent="0.3">
      <c r="H36132" t="str">
        <f t="shared" si="614"/>
        <v/>
      </c>
    </row>
    <row r="36133" spans="8:8" x14ac:dyDescent="0.3">
      <c r="H36133" t="str">
        <f t="shared" si="614"/>
        <v/>
      </c>
    </row>
    <row r="36134" spans="8:8" x14ac:dyDescent="0.3">
      <c r="H36134" t="str">
        <f t="shared" si="614"/>
        <v/>
      </c>
    </row>
    <row r="36135" spans="8:8" x14ac:dyDescent="0.3">
      <c r="H36135" t="str">
        <f t="shared" si="614"/>
        <v/>
      </c>
    </row>
    <row r="36136" spans="8:8" x14ac:dyDescent="0.3">
      <c r="H36136" t="str">
        <f t="shared" si="614"/>
        <v/>
      </c>
    </row>
    <row r="36137" spans="8:8" x14ac:dyDescent="0.3">
      <c r="H36137" t="str">
        <f t="shared" si="614"/>
        <v/>
      </c>
    </row>
    <row r="36138" spans="8:8" x14ac:dyDescent="0.3">
      <c r="H36138" t="str">
        <f t="shared" si="614"/>
        <v/>
      </c>
    </row>
    <row r="36139" spans="8:8" x14ac:dyDescent="0.3">
      <c r="H36139" t="str">
        <f t="shared" si="614"/>
        <v/>
      </c>
    </row>
    <row r="36140" spans="8:8" x14ac:dyDescent="0.3">
      <c r="H36140" t="str">
        <f t="shared" si="614"/>
        <v/>
      </c>
    </row>
    <row r="36141" spans="8:8" x14ac:dyDescent="0.3">
      <c r="H36141" t="str">
        <f t="shared" si="614"/>
        <v/>
      </c>
    </row>
    <row r="36142" spans="8:8" x14ac:dyDescent="0.3">
      <c r="H36142" t="str">
        <f t="shared" si="614"/>
        <v/>
      </c>
    </row>
    <row r="36143" spans="8:8" x14ac:dyDescent="0.3">
      <c r="H36143" t="str">
        <f t="shared" si="614"/>
        <v/>
      </c>
    </row>
    <row r="36144" spans="8:8" x14ac:dyDescent="0.3">
      <c r="H36144" t="str">
        <f t="shared" si="614"/>
        <v/>
      </c>
    </row>
    <row r="36145" spans="8:8" x14ac:dyDescent="0.3">
      <c r="H36145" t="str">
        <f t="shared" si="614"/>
        <v/>
      </c>
    </row>
    <row r="36146" spans="8:8" x14ac:dyDescent="0.3">
      <c r="H36146" t="str">
        <f t="shared" si="614"/>
        <v/>
      </c>
    </row>
    <row r="36147" spans="8:8" x14ac:dyDescent="0.3">
      <c r="H36147" t="str">
        <f t="shared" si="614"/>
        <v/>
      </c>
    </row>
    <row r="36148" spans="8:8" x14ac:dyDescent="0.3">
      <c r="H36148" t="str">
        <f t="shared" si="614"/>
        <v/>
      </c>
    </row>
    <row r="36149" spans="8:8" x14ac:dyDescent="0.3">
      <c r="H36149" t="str">
        <f t="shared" si="614"/>
        <v/>
      </c>
    </row>
    <row r="36150" spans="8:8" x14ac:dyDescent="0.3">
      <c r="H36150" t="str">
        <f t="shared" si="614"/>
        <v/>
      </c>
    </row>
    <row r="36151" spans="8:8" x14ac:dyDescent="0.3">
      <c r="H36151" t="str">
        <f t="shared" si="614"/>
        <v/>
      </c>
    </row>
    <row r="36152" spans="8:8" x14ac:dyDescent="0.3">
      <c r="H36152" t="str">
        <f t="shared" si="614"/>
        <v/>
      </c>
    </row>
    <row r="36153" spans="8:8" x14ac:dyDescent="0.3">
      <c r="H36153" t="str">
        <f t="shared" si="614"/>
        <v/>
      </c>
    </row>
    <row r="36154" spans="8:8" x14ac:dyDescent="0.3">
      <c r="H36154" t="str">
        <f t="shared" si="614"/>
        <v/>
      </c>
    </row>
    <row r="36155" spans="8:8" x14ac:dyDescent="0.3">
      <c r="H36155" t="str">
        <f t="shared" si="614"/>
        <v/>
      </c>
    </row>
    <row r="36156" spans="8:8" x14ac:dyDescent="0.3">
      <c r="H36156" t="str">
        <f t="shared" si="614"/>
        <v/>
      </c>
    </row>
    <row r="36157" spans="8:8" x14ac:dyDescent="0.3">
      <c r="H36157" t="str">
        <f t="shared" si="614"/>
        <v/>
      </c>
    </row>
    <row r="36158" spans="8:8" x14ac:dyDescent="0.3">
      <c r="H36158" t="str">
        <f t="shared" si="614"/>
        <v/>
      </c>
    </row>
    <row r="36159" spans="8:8" x14ac:dyDescent="0.3">
      <c r="H36159" t="str">
        <f t="shared" si="614"/>
        <v/>
      </c>
    </row>
    <row r="36160" spans="8:8" x14ac:dyDescent="0.3">
      <c r="H36160" t="str">
        <f t="shared" si="614"/>
        <v/>
      </c>
    </row>
    <row r="36161" spans="8:8" x14ac:dyDescent="0.3">
      <c r="H36161" t="str">
        <f t="shared" si="614"/>
        <v/>
      </c>
    </row>
    <row r="36162" spans="8:8" x14ac:dyDescent="0.3">
      <c r="H36162" t="str">
        <f t="shared" si="614"/>
        <v/>
      </c>
    </row>
    <row r="36163" spans="8:8" x14ac:dyDescent="0.3">
      <c r="H36163" t="str">
        <f t="shared" si="614"/>
        <v/>
      </c>
    </row>
    <row r="36164" spans="8:8" x14ac:dyDescent="0.3">
      <c r="H36164" t="str">
        <f t="shared" si="614"/>
        <v/>
      </c>
    </row>
    <row r="36165" spans="8:8" x14ac:dyDescent="0.3">
      <c r="H36165" t="str">
        <f t="shared" si="614"/>
        <v/>
      </c>
    </row>
    <row r="36166" spans="8:8" x14ac:dyDescent="0.3">
      <c r="H36166" t="str">
        <f t="shared" si="614"/>
        <v/>
      </c>
    </row>
    <row r="36167" spans="8:8" x14ac:dyDescent="0.3">
      <c r="H36167" t="str">
        <f t="shared" si="614"/>
        <v/>
      </c>
    </row>
    <row r="36168" spans="8:8" x14ac:dyDescent="0.3">
      <c r="H36168" t="str">
        <f t="shared" si="614"/>
        <v/>
      </c>
    </row>
    <row r="36169" spans="8:8" x14ac:dyDescent="0.3">
      <c r="H36169" t="str">
        <f t="shared" si="614"/>
        <v/>
      </c>
    </row>
    <row r="36170" spans="8:8" x14ac:dyDescent="0.3">
      <c r="H36170" t="str">
        <f t="shared" si="614"/>
        <v/>
      </c>
    </row>
    <row r="36171" spans="8:8" x14ac:dyDescent="0.3">
      <c r="H36171" t="str">
        <f t="shared" si="614"/>
        <v/>
      </c>
    </row>
    <row r="36172" spans="8:8" x14ac:dyDescent="0.3">
      <c r="H36172" t="str">
        <f t="shared" si="614"/>
        <v/>
      </c>
    </row>
    <row r="36173" spans="8:8" x14ac:dyDescent="0.3">
      <c r="H36173" t="str">
        <f t="shared" si="614"/>
        <v/>
      </c>
    </row>
    <row r="36174" spans="8:8" x14ac:dyDescent="0.3">
      <c r="H36174" t="str">
        <f t="shared" si="614"/>
        <v/>
      </c>
    </row>
    <row r="36175" spans="8:8" x14ac:dyDescent="0.3">
      <c r="H36175" t="str">
        <f t="shared" si="614"/>
        <v/>
      </c>
    </row>
    <row r="36176" spans="8:8" x14ac:dyDescent="0.3">
      <c r="H36176" t="str">
        <f t="shared" si="614"/>
        <v/>
      </c>
    </row>
    <row r="36177" spans="8:8" x14ac:dyDescent="0.3">
      <c r="H36177" t="str">
        <f t="shared" si="614"/>
        <v/>
      </c>
    </row>
    <row r="36178" spans="8:8" x14ac:dyDescent="0.3">
      <c r="H36178" t="str">
        <f t="shared" si="614"/>
        <v/>
      </c>
    </row>
    <row r="36179" spans="8:8" x14ac:dyDescent="0.3">
      <c r="H36179" t="str">
        <f t="shared" si="614"/>
        <v/>
      </c>
    </row>
    <row r="36180" spans="8:8" x14ac:dyDescent="0.3">
      <c r="H36180" t="str">
        <f t="shared" si="614"/>
        <v/>
      </c>
    </row>
    <row r="36181" spans="8:8" x14ac:dyDescent="0.3">
      <c r="H36181" t="str">
        <f t="shared" si="614"/>
        <v/>
      </c>
    </row>
    <row r="36182" spans="8:8" x14ac:dyDescent="0.3">
      <c r="H36182" t="str">
        <f t="shared" si="614"/>
        <v/>
      </c>
    </row>
    <row r="36183" spans="8:8" x14ac:dyDescent="0.3">
      <c r="H36183" t="str">
        <f t="shared" ref="H36183:H36246" si="615">IF(B36183="","",$C$12)</f>
        <v/>
      </c>
    </row>
    <row r="36184" spans="8:8" x14ac:dyDescent="0.3">
      <c r="H36184" t="str">
        <f t="shared" si="615"/>
        <v/>
      </c>
    </row>
    <row r="36185" spans="8:8" x14ac:dyDescent="0.3">
      <c r="H36185" t="str">
        <f t="shared" si="615"/>
        <v/>
      </c>
    </row>
    <row r="36186" spans="8:8" x14ac:dyDescent="0.3">
      <c r="H36186" t="str">
        <f t="shared" si="615"/>
        <v/>
      </c>
    </row>
    <row r="36187" spans="8:8" x14ac:dyDescent="0.3">
      <c r="H36187" t="str">
        <f t="shared" si="615"/>
        <v/>
      </c>
    </row>
    <row r="36188" spans="8:8" x14ac:dyDescent="0.3">
      <c r="H36188" t="str">
        <f t="shared" si="615"/>
        <v/>
      </c>
    </row>
    <row r="36189" spans="8:8" x14ac:dyDescent="0.3">
      <c r="H36189" t="str">
        <f t="shared" si="615"/>
        <v/>
      </c>
    </row>
    <row r="36190" spans="8:8" x14ac:dyDescent="0.3">
      <c r="H36190" t="str">
        <f t="shared" si="615"/>
        <v/>
      </c>
    </row>
    <row r="36191" spans="8:8" x14ac:dyDescent="0.3">
      <c r="H36191" t="str">
        <f t="shared" si="615"/>
        <v/>
      </c>
    </row>
    <row r="36192" spans="8:8" x14ac:dyDescent="0.3">
      <c r="H36192" t="str">
        <f t="shared" si="615"/>
        <v/>
      </c>
    </row>
    <row r="36193" spans="8:8" x14ac:dyDescent="0.3">
      <c r="H36193" t="str">
        <f t="shared" si="615"/>
        <v/>
      </c>
    </row>
    <row r="36194" spans="8:8" x14ac:dyDescent="0.3">
      <c r="H36194" t="str">
        <f t="shared" si="615"/>
        <v/>
      </c>
    </row>
    <row r="36195" spans="8:8" x14ac:dyDescent="0.3">
      <c r="H36195" t="str">
        <f t="shared" si="615"/>
        <v/>
      </c>
    </row>
    <row r="36196" spans="8:8" x14ac:dyDescent="0.3">
      <c r="H36196" t="str">
        <f t="shared" si="615"/>
        <v/>
      </c>
    </row>
    <row r="36197" spans="8:8" x14ac:dyDescent="0.3">
      <c r="H36197" t="str">
        <f t="shared" si="615"/>
        <v/>
      </c>
    </row>
    <row r="36198" spans="8:8" x14ac:dyDescent="0.3">
      <c r="H36198" t="str">
        <f t="shared" si="615"/>
        <v/>
      </c>
    </row>
    <row r="36199" spans="8:8" x14ac:dyDescent="0.3">
      <c r="H36199" t="str">
        <f t="shared" si="615"/>
        <v/>
      </c>
    </row>
    <row r="36200" spans="8:8" x14ac:dyDescent="0.3">
      <c r="H36200" t="str">
        <f t="shared" si="615"/>
        <v/>
      </c>
    </row>
    <row r="36201" spans="8:8" x14ac:dyDescent="0.3">
      <c r="H36201" t="str">
        <f t="shared" si="615"/>
        <v/>
      </c>
    </row>
    <row r="36202" spans="8:8" x14ac:dyDescent="0.3">
      <c r="H36202" t="str">
        <f t="shared" si="615"/>
        <v/>
      </c>
    </row>
    <row r="36203" spans="8:8" x14ac:dyDescent="0.3">
      <c r="H36203" t="str">
        <f t="shared" si="615"/>
        <v/>
      </c>
    </row>
    <row r="36204" spans="8:8" x14ac:dyDescent="0.3">
      <c r="H36204" t="str">
        <f t="shared" si="615"/>
        <v/>
      </c>
    </row>
    <row r="36205" spans="8:8" x14ac:dyDescent="0.3">
      <c r="H36205" t="str">
        <f t="shared" si="615"/>
        <v/>
      </c>
    </row>
    <row r="36206" spans="8:8" x14ac:dyDescent="0.3">
      <c r="H36206" t="str">
        <f t="shared" si="615"/>
        <v/>
      </c>
    </row>
    <row r="36207" spans="8:8" x14ac:dyDescent="0.3">
      <c r="H36207" t="str">
        <f t="shared" si="615"/>
        <v/>
      </c>
    </row>
    <row r="36208" spans="8:8" x14ac:dyDescent="0.3">
      <c r="H36208" t="str">
        <f t="shared" si="615"/>
        <v/>
      </c>
    </row>
    <row r="36209" spans="8:8" x14ac:dyDescent="0.3">
      <c r="H36209" t="str">
        <f t="shared" si="615"/>
        <v/>
      </c>
    </row>
    <row r="36210" spans="8:8" x14ac:dyDescent="0.3">
      <c r="H36210" t="str">
        <f t="shared" si="615"/>
        <v/>
      </c>
    </row>
    <row r="36211" spans="8:8" x14ac:dyDescent="0.3">
      <c r="H36211" t="str">
        <f t="shared" si="615"/>
        <v/>
      </c>
    </row>
    <row r="36212" spans="8:8" x14ac:dyDescent="0.3">
      <c r="H36212" t="str">
        <f t="shared" si="615"/>
        <v/>
      </c>
    </row>
    <row r="36213" spans="8:8" x14ac:dyDescent="0.3">
      <c r="H36213" t="str">
        <f t="shared" si="615"/>
        <v/>
      </c>
    </row>
    <row r="36214" spans="8:8" x14ac:dyDescent="0.3">
      <c r="H36214" t="str">
        <f t="shared" si="615"/>
        <v/>
      </c>
    </row>
    <row r="36215" spans="8:8" x14ac:dyDescent="0.3">
      <c r="H36215" t="str">
        <f t="shared" si="615"/>
        <v/>
      </c>
    </row>
    <row r="36216" spans="8:8" x14ac:dyDescent="0.3">
      <c r="H36216" t="str">
        <f t="shared" si="615"/>
        <v/>
      </c>
    </row>
    <row r="36217" spans="8:8" x14ac:dyDescent="0.3">
      <c r="H36217" t="str">
        <f t="shared" si="615"/>
        <v/>
      </c>
    </row>
    <row r="36218" spans="8:8" x14ac:dyDescent="0.3">
      <c r="H36218" t="str">
        <f t="shared" si="615"/>
        <v/>
      </c>
    </row>
    <row r="36219" spans="8:8" x14ac:dyDescent="0.3">
      <c r="H36219" t="str">
        <f t="shared" si="615"/>
        <v/>
      </c>
    </row>
    <row r="36220" spans="8:8" x14ac:dyDescent="0.3">
      <c r="H36220" t="str">
        <f t="shared" si="615"/>
        <v/>
      </c>
    </row>
    <row r="36221" spans="8:8" x14ac:dyDescent="0.3">
      <c r="H36221" t="str">
        <f t="shared" si="615"/>
        <v/>
      </c>
    </row>
    <row r="36222" spans="8:8" x14ac:dyDescent="0.3">
      <c r="H36222" t="str">
        <f t="shared" si="615"/>
        <v/>
      </c>
    </row>
    <row r="36223" spans="8:8" x14ac:dyDescent="0.3">
      <c r="H36223" t="str">
        <f t="shared" si="615"/>
        <v/>
      </c>
    </row>
    <row r="36224" spans="8:8" x14ac:dyDescent="0.3">
      <c r="H36224" t="str">
        <f t="shared" si="615"/>
        <v/>
      </c>
    </row>
    <row r="36225" spans="8:8" x14ac:dyDescent="0.3">
      <c r="H36225" t="str">
        <f t="shared" si="615"/>
        <v/>
      </c>
    </row>
    <row r="36226" spans="8:8" x14ac:dyDescent="0.3">
      <c r="H36226" t="str">
        <f t="shared" si="615"/>
        <v/>
      </c>
    </row>
    <row r="36227" spans="8:8" x14ac:dyDescent="0.3">
      <c r="H36227" t="str">
        <f t="shared" si="615"/>
        <v/>
      </c>
    </row>
    <row r="36228" spans="8:8" x14ac:dyDescent="0.3">
      <c r="H36228" t="str">
        <f t="shared" si="615"/>
        <v/>
      </c>
    </row>
    <row r="36229" spans="8:8" x14ac:dyDescent="0.3">
      <c r="H36229" t="str">
        <f t="shared" si="615"/>
        <v/>
      </c>
    </row>
    <row r="36230" spans="8:8" x14ac:dyDescent="0.3">
      <c r="H36230" t="str">
        <f t="shared" si="615"/>
        <v/>
      </c>
    </row>
    <row r="36231" spans="8:8" x14ac:dyDescent="0.3">
      <c r="H36231" t="str">
        <f t="shared" si="615"/>
        <v/>
      </c>
    </row>
    <row r="36232" spans="8:8" x14ac:dyDescent="0.3">
      <c r="H36232" t="str">
        <f t="shared" si="615"/>
        <v/>
      </c>
    </row>
    <row r="36233" spans="8:8" x14ac:dyDescent="0.3">
      <c r="H36233" t="str">
        <f t="shared" si="615"/>
        <v/>
      </c>
    </row>
    <row r="36234" spans="8:8" x14ac:dyDescent="0.3">
      <c r="H36234" t="str">
        <f t="shared" si="615"/>
        <v/>
      </c>
    </row>
    <row r="36235" spans="8:8" x14ac:dyDescent="0.3">
      <c r="H36235" t="str">
        <f t="shared" si="615"/>
        <v/>
      </c>
    </row>
    <row r="36236" spans="8:8" x14ac:dyDescent="0.3">
      <c r="H36236" t="str">
        <f t="shared" si="615"/>
        <v/>
      </c>
    </row>
    <row r="36237" spans="8:8" x14ac:dyDescent="0.3">
      <c r="H36237" t="str">
        <f t="shared" si="615"/>
        <v/>
      </c>
    </row>
    <row r="36238" spans="8:8" x14ac:dyDescent="0.3">
      <c r="H36238" t="str">
        <f t="shared" si="615"/>
        <v/>
      </c>
    </row>
    <row r="36239" spans="8:8" x14ac:dyDescent="0.3">
      <c r="H36239" t="str">
        <f t="shared" si="615"/>
        <v/>
      </c>
    </row>
    <row r="36240" spans="8:8" x14ac:dyDescent="0.3">
      <c r="H36240" t="str">
        <f t="shared" si="615"/>
        <v/>
      </c>
    </row>
    <row r="36241" spans="8:8" x14ac:dyDescent="0.3">
      <c r="H36241" t="str">
        <f t="shared" si="615"/>
        <v/>
      </c>
    </row>
    <row r="36242" spans="8:8" x14ac:dyDescent="0.3">
      <c r="H36242" t="str">
        <f t="shared" si="615"/>
        <v/>
      </c>
    </row>
    <row r="36243" spans="8:8" x14ac:dyDescent="0.3">
      <c r="H36243" t="str">
        <f t="shared" si="615"/>
        <v/>
      </c>
    </row>
    <row r="36244" spans="8:8" x14ac:dyDescent="0.3">
      <c r="H36244" t="str">
        <f t="shared" si="615"/>
        <v/>
      </c>
    </row>
    <row r="36245" spans="8:8" x14ac:dyDescent="0.3">
      <c r="H36245" t="str">
        <f t="shared" si="615"/>
        <v/>
      </c>
    </row>
    <row r="36246" spans="8:8" x14ac:dyDescent="0.3">
      <c r="H36246" t="str">
        <f t="shared" si="615"/>
        <v/>
      </c>
    </row>
    <row r="36247" spans="8:8" x14ac:dyDescent="0.3">
      <c r="H36247" t="str">
        <f t="shared" ref="H36247:H36310" si="616">IF(B36247="","",$C$12)</f>
        <v/>
      </c>
    </row>
    <row r="36248" spans="8:8" x14ac:dyDescent="0.3">
      <c r="H36248" t="str">
        <f t="shared" si="616"/>
        <v/>
      </c>
    </row>
    <row r="36249" spans="8:8" x14ac:dyDescent="0.3">
      <c r="H36249" t="str">
        <f t="shared" si="616"/>
        <v/>
      </c>
    </row>
    <row r="36250" spans="8:8" x14ac:dyDescent="0.3">
      <c r="H36250" t="str">
        <f t="shared" si="616"/>
        <v/>
      </c>
    </row>
    <row r="36251" spans="8:8" x14ac:dyDescent="0.3">
      <c r="H36251" t="str">
        <f t="shared" si="616"/>
        <v/>
      </c>
    </row>
    <row r="36252" spans="8:8" x14ac:dyDescent="0.3">
      <c r="H36252" t="str">
        <f t="shared" si="616"/>
        <v/>
      </c>
    </row>
    <row r="36253" spans="8:8" x14ac:dyDescent="0.3">
      <c r="H36253" t="str">
        <f t="shared" si="616"/>
        <v/>
      </c>
    </row>
    <row r="36254" spans="8:8" x14ac:dyDescent="0.3">
      <c r="H36254" t="str">
        <f t="shared" si="616"/>
        <v/>
      </c>
    </row>
    <row r="36255" spans="8:8" x14ac:dyDescent="0.3">
      <c r="H36255" t="str">
        <f t="shared" si="616"/>
        <v/>
      </c>
    </row>
    <row r="36256" spans="8:8" x14ac:dyDescent="0.3">
      <c r="H36256" t="str">
        <f t="shared" si="616"/>
        <v/>
      </c>
    </row>
    <row r="36257" spans="8:8" x14ac:dyDescent="0.3">
      <c r="H36257" t="str">
        <f t="shared" si="616"/>
        <v/>
      </c>
    </row>
    <row r="36258" spans="8:8" x14ac:dyDescent="0.3">
      <c r="H36258" t="str">
        <f t="shared" si="616"/>
        <v/>
      </c>
    </row>
    <row r="36259" spans="8:8" x14ac:dyDescent="0.3">
      <c r="H36259" t="str">
        <f t="shared" si="616"/>
        <v/>
      </c>
    </row>
    <row r="36260" spans="8:8" x14ac:dyDescent="0.3">
      <c r="H36260" t="str">
        <f t="shared" si="616"/>
        <v/>
      </c>
    </row>
    <row r="36261" spans="8:8" x14ac:dyDescent="0.3">
      <c r="H36261" t="str">
        <f t="shared" si="616"/>
        <v/>
      </c>
    </row>
    <row r="36262" spans="8:8" x14ac:dyDescent="0.3">
      <c r="H36262" t="str">
        <f t="shared" si="616"/>
        <v/>
      </c>
    </row>
    <row r="36263" spans="8:8" x14ac:dyDescent="0.3">
      <c r="H36263" t="str">
        <f t="shared" si="616"/>
        <v/>
      </c>
    </row>
    <row r="36264" spans="8:8" x14ac:dyDescent="0.3">
      <c r="H36264" t="str">
        <f t="shared" si="616"/>
        <v/>
      </c>
    </row>
    <row r="36265" spans="8:8" x14ac:dyDescent="0.3">
      <c r="H36265" t="str">
        <f t="shared" si="616"/>
        <v/>
      </c>
    </row>
    <row r="36266" spans="8:8" x14ac:dyDescent="0.3">
      <c r="H36266" t="str">
        <f t="shared" si="616"/>
        <v/>
      </c>
    </row>
    <row r="36267" spans="8:8" x14ac:dyDescent="0.3">
      <c r="H36267" t="str">
        <f t="shared" si="616"/>
        <v/>
      </c>
    </row>
    <row r="36268" spans="8:8" x14ac:dyDescent="0.3">
      <c r="H36268" t="str">
        <f t="shared" si="616"/>
        <v/>
      </c>
    </row>
    <row r="36269" spans="8:8" x14ac:dyDescent="0.3">
      <c r="H36269" t="str">
        <f t="shared" si="616"/>
        <v/>
      </c>
    </row>
    <row r="36270" spans="8:8" x14ac:dyDescent="0.3">
      <c r="H36270" t="str">
        <f t="shared" si="616"/>
        <v/>
      </c>
    </row>
    <row r="36271" spans="8:8" x14ac:dyDescent="0.3">
      <c r="H36271" t="str">
        <f t="shared" si="616"/>
        <v/>
      </c>
    </row>
    <row r="36272" spans="8:8" x14ac:dyDescent="0.3">
      <c r="H36272" t="str">
        <f t="shared" si="616"/>
        <v/>
      </c>
    </row>
    <row r="36273" spans="8:8" x14ac:dyDescent="0.3">
      <c r="H36273" t="str">
        <f t="shared" si="616"/>
        <v/>
      </c>
    </row>
    <row r="36274" spans="8:8" x14ac:dyDescent="0.3">
      <c r="H36274" t="str">
        <f t="shared" si="616"/>
        <v/>
      </c>
    </row>
    <row r="36275" spans="8:8" x14ac:dyDescent="0.3">
      <c r="H36275" t="str">
        <f t="shared" si="616"/>
        <v/>
      </c>
    </row>
    <row r="36276" spans="8:8" x14ac:dyDescent="0.3">
      <c r="H36276" t="str">
        <f t="shared" si="616"/>
        <v/>
      </c>
    </row>
    <row r="36277" spans="8:8" x14ac:dyDescent="0.3">
      <c r="H36277" t="str">
        <f t="shared" si="616"/>
        <v/>
      </c>
    </row>
    <row r="36278" spans="8:8" x14ac:dyDescent="0.3">
      <c r="H36278" t="str">
        <f t="shared" si="616"/>
        <v/>
      </c>
    </row>
    <row r="36279" spans="8:8" x14ac:dyDescent="0.3">
      <c r="H36279" t="str">
        <f t="shared" si="616"/>
        <v/>
      </c>
    </row>
    <row r="36280" spans="8:8" x14ac:dyDescent="0.3">
      <c r="H36280" t="str">
        <f t="shared" si="616"/>
        <v/>
      </c>
    </row>
    <row r="36281" spans="8:8" x14ac:dyDescent="0.3">
      <c r="H36281" t="str">
        <f t="shared" si="616"/>
        <v/>
      </c>
    </row>
    <row r="36282" spans="8:8" x14ac:dyDescent="0.3">
      <c r="H36282" t="str">
        <f t="shared" si="616"/>
        <v/>
      </c>
    </row>
    <row r="36283" spans="8:8" x14ac:dyDescent="0.3">
      <c r="H36283" t="str">
        <f t="shared" si="616"/>
        <v/>
      </c>
    </row>
    <row r="36284" spans="8:8" x14ac:dyDescent="0.3">
      <c r="H36284" t="str">
        <f t="shared" si="616"/>
        <v/>
      </c>
    </row>
    <row r="36285" spans="8:8" x14ac:dyDescent="0.3">
      <c r="H36285" t="str">
        <f t="shared" si="616"/>
        <v/>
      </c>
    </row>
    <row r="36286" spans="8:8" x14ac:dyDescent="0.3">
      <c r="H36286" t="str">
        <f t="shared" si="616"/>
        <v/>
      </c>
    </row>
    <row r="36287" spans="8:8" x14ac:dyDescent="0.3">
      <c r="H36287" t="str">
        <f t="shared" si="616"/>
        <v/>
      </c>
    </row>
    <row r="36288" spans="8:8" x14ac:dyDescent="0.3">
      <c r="H36288" t="str">
        <f t="shared" si="616"/>
        <v/>
      </c>
    </row>
    <row r="36289" spans="8:8" x14ac:dyDescent="0.3">
      <c r="H36289" t="str">
        <f t="shared" si="616"/>
        <v/>
      </c>
    </row>
    <row r="36290" spans="8:8" x14ac:dyDescent="0.3">
      <c r="H36290" t="str">
        <f t="shared" si="616"/>
        <v/>
      </c>
    </row>
    <row r="36291" spans="8:8" x14ac:dyDescent="0.3">
      <c r="H36291" t="str">
        <f t="shared" si="616"/>
        <v/>
      </c>
    </row>
    <row r="36292" spans="8:8" x14ac:dyDescent="0.3">
      <c r="H36292" t="str">
        <f t="shared" si="616"/>
        <v/>
      </c>
    </row>
    <row r="36293" spans="8:8" x14ac:dyDescent="0.3">
      <c r="H36293" t="str">
        <f t="shared" si="616"/>
        <v/>
      </c>
    </row>
    <row r="36294" spans="8:8" x14ac:dyDescent="0.3">
      <c r="H36294" t="str">
        <f t="shared" si="616"/>
        <v/>
      </c>
    </row>
    <row r="36295" spans="8:8" x14ac:dyDescent="0.3">
      <c r="H36295" t="str">
        <f t="shared" si="616"/>
        <v/>
      </c>
    </row>
    <row r="36296" spans="8:8" x14ac:dyDescent="0.3">
      <c r="H36296" t="str">
        <f t="shared" si="616"/>
        <v/>
      </c>
    </row>
    <row r="36297" spans="8:8" x14ac:dyDescent="0.3">
      <c r="H36297" t="str">
        <f t="shared" si="616"/>
        <v/>
      </c>
    </row>
    <row r="36298" spans="8:8" x14ac:dyDescent="0.3">
      <c r="H36298" t="str">
        <f t="shared" si="616"/>
        <v/>
      </c>
    </row>
    <row r="36299" spans="8:8" x14ac:dyDescent="0.3">
      <c r="H36299" t="str">
        <f t="shared" si="616"/>
        <v/>
      </c>
    </row>
    <row r="36300" spans="8:8" x14ac:dyDescent="0.3">
      <c r="H36300" t="str">
        <f t="shared" si="616"/>
        <v/>
      </c>
    </row>
    <row r="36301" spans="8:8" x14ac:dyDescent="0.3">
      <c r="H36301" t="str">
        <f t="shared" si="616"/>
        <v/>
      </c>
    </row>
    <row r="36302" spans="8:8" x14ac:dyDescent="0.3">
      <c r="H36302" t="str">
        <f t="shared" si="616"/>
        <v/>
      </c>
    </row>
    <row r="36303" spans="8:8" x14ac:dyDescent="0.3">
      <c r="H36303" t="str">
        <f t="shared" si="616"/>
        <v/>
      </c>
    </row>
    <row r="36304" spans="8:8" x14ac:dyDescent="0.3">
      <c r="H36304" t="str">
        <f t="shared" si="616"/>
        <v/>
      </c>
    </row>
    <row r="36305" spans="8:8" x14ac:dyDescent="0.3">
      <c r="H36305" t="str">
        <f t="shared" si="616"/>
        <v/>
      </c>
    </row>
    <row r="36306" spans="8:8" x14ac:dyDescent="0.3">
      <c r="H36306" t="str">
        <f t="shared" si="616"/>
        <v/>
      </c>
    </row>
    <row r="36307" spans="8:8" x14ac:dyDescent="0.3">
      <c r="H36307" t="str">
        <f t="shared" si="616"/>
        <v/>
      </c>
    </row>
    <row r="36308" spans="8:8" x14ac:dyDescent="0.3">
      <c r="H36308" t="str">
        <f t="shared" si="616"/>
        <v/>
      </c>
    </row>
    <row r="36309" spans="8:8" x14ac:dyDescent="0.3">
      <c r="H36309" t="str">
        <f t="shared" si="616"/>
        <v/>
      </c>
    </row>
    <row r="36310" spans="8:8" x14ac:dyDescent="0.3">
      <c r="H36310" t="str">
        <f t="shared" si="616"/>
        <v/>
      </c>
    </row>
    <row r="36311" spans="8:8" x14ac:dyDescent="0.3">
      <c r="H36311" t="str">
        <f t="shared" ref="H36311:H36374" si="617">IF(B36311="","",$C$12)</f>
        <v/>
      </c>
    </row>
    <row r="36312" spans="8:8" x14ac:dyDescent="0.3">
      <c r="H36312" t="str">
        <f t="shared" si="617"/>
        <v/>
      </c>
    </row>
    <row r="36313" spans="8:8" x14ac:dyDescent="0.3">
      <c r="H36313" t="str">
        <f t="shared" si="617"/>
        <v/>
      </c>
    </row>
    <row r="36314" spans="8:8" x14ac:dyDescent="0.3">
      <c r="H36314" t="str">
        <f t="shared" si="617"/>
        <v/>
      </c>
    </row>
    <row r="36315" spans="8:8" x14ac:dyDescent="0.3">
      <c r="H36315" t="str">
        <f t="shared" si="617"/>
        <v/>
      </c>
    </row>
    <row r="36316" spans="8:8" x14ac:dyDescent="0.3">
      <c r="H36316" t="str">
        <f t="shared" si="617"/>
        <v/>
      </c>
    </row>
    <row r="36317" spans="8:8" x14ac:dyDescent="0.3">
      <c r="H36317" t="str">
        <f t="shared" si="617"/>
        <v/>
      </c>
    </row>
    <row r="36318" spans="8:8" x14ac:dyDescent="0.3">
      <c r="H36318" t="str">
        <f t="shared" si="617"/>
        <v/>
      </c>
    </row>
    <row r="36319" spans="8:8" x14ac:dyDescent="0.3">
      <c r="H36319" t="str">
        <f t="shared" si="617"/>
        <v/>
      </c>
    </row>
    <row r="36320" spans="8:8" x14ac:dyDescent="0.3">
      <c r="H36320" t="str">
        <f t="shared" si="617"/>
        <v/>
      </c>
    </row>
    <row r="36321" spans="8:8" x14ac:dyDescent="0.3">
      <c r="H36321" t="str">
        <f t="shared" si="617"/>
        <v/>
      </c>
    </row>
    <row r="36322" spans="8:8" x14ac:dyDescent="0.3">
      <c r="H36322" t="str">
        <f t="shared" si="617"/>
        <v/>
      </c>
    </row>
    <row r="36323" spans="8:8" x14ac:dyDescent="0.3">
      <c r="H36323" t="str">
        <f t="shared" si="617"/>
        <v/>
      </c>
    </row>
    <row r="36324" spans="8:8" x14ac:dyDescent="0.3">
      <c r="H36324" t="str">
        <f t="shared" si="617"/>
        <v/>
      </c>
    </row>
    <row r="36325" spans="8:8" x14ac:dyDescent="0.3">
      <c r="H36325" t="str">
        <f t="shared" si="617"/>
        <v/>
      </c>
    </row>
    <row r="36326" spans="8:8" x14ac:dyDescent="0.3">
      <c r="H36326" t="str">
        <f t="shared" si="617"/>
        <v/>
      </c>
    </row>
    <row r="36327" spans="8:8" x14ac:dyDescent="0.3">
      <c r="H36327" t="str">
        <f t="shared" si="617"/>
        <v/>
      </c>
    </row>
    <row r="36328" spans="8:8" x14ac:dyDescent="0.3">
      <c r="H36328" t="str">
        <f t="shared" si="617"/>
        <v/>
      </c>
    </row>
    <row r="36329" spans="8:8" x14ac:dyDescent="0.3">
      <c r="H36329" t="str">
        <f t="shared" si="617"/>
        <v/>
      </c>
    </row>
    <row r="36330" spans="8:8" x14ac:dyDescent="0.3">
      <c r="H36330" t="str">
        <f t="shared" si="617"/>
        <v/>
      </c>
    </row>
    <row r="36331" spans="8:8" x14ac:dyDescent="0.3">
      <c r="H36331" t="str">
        <f t="shared" si="617"/>
        <v/>
      </c>
    </row>
    <row r="36332" spans="8:8" x14ac:dyDescent="0.3">
      <c r="H36332" t="str">
        <f t="shared" si="617"/>
        <v/>
      </c>
    </row>
    <row r="36333" spans="8:8" x14ac:dyDescent="0.3">
      <c r="H36333" t="str">
        <f t="shared" si="617"/>
        <v/>
      </c>
    </row>
    <row r="36334" spans="8:8" x14ac:dyDescent="0.3">
      <c r="H36334" t="str">
        <f t="shared" si="617"/>
        <v/>
      </c>
    </row>
    <row r="36335" spans="8:8" x14ac:dyDescent="0.3">
      <c r="H36335" t="str">
        <f t="shared" si="617"/>
        <v/>
      </c>
    </row>
    <row r="36336" spans="8:8" x14ac:dyDescent="0.3">
      <c r="H36336" t="str">
        <f t="shared" si="617"/>
        <v/>
      </c>
    </row>
    <row r="36337" spans="8:8" x14ac:dyDescent="0.3">
      <c r="H36337" t="str">
        <f t="shared" si="617"/>
        <v/>
      </c>
    </row>
    <row r="36338" spans="8:8" x14ac:dyDescent="0.3">
      <c r="H36338" t="str">
        <f t="shared" si="617"/>
        <v/>
      </c>
    </row>
    <row r="36339" spans="8:8" x14ac:dyDescent="0.3">
      <c r="H36339" t="str">
        <f t="shared" si="617"/>
        <v/>
      </c>
    </row>
    <row r="36340" spans="8:8" x14ac:dyDescent="0.3">
      <c r="H36340" t="str">
        <f t="shared" si="617"/>
        <v/>
      </c>
    </row>
    <row r="36341" spans="8:8" x14ac:dyDescent="0.3">
      <c r="H36341" t="str">
        <f t="shared" si="617"/>
        <v/>
      </c>
    </row>
    <row r="36342" spans="8:8" x14ac:dyDescent="0.3">
      <c r="H36342" t="str">
        <f t="shared" si="617"/>
        <v/>
      </c>
    </row>
    <row r="36343" spans="8:8" x14ac:dyDescent="0.3">
      <c r="H36343" t="str">
        <f t="shared" si="617"/>
        <v/>
      </c>
    </row>
    <row r="36344" spans="8:8" x14ac:dyDescent="0.3">
      <c r="H36344" t="str">
        <f t="shared" si="617"/>
        <v/>
      </c>
    </row>
    <row r="36345" spans="8:8" x14ac:dyDescent="0.3">
      <c r="H36345" t="str">
        <f t="shared" si="617"/>
        <v/>
      </c>
    </row>
    <row r="36346" spans="8:8" x14ac:dyDescent="0.3">
      <c r="H36346" t="str">
        <f t="shared" si="617"/>
        <v/>
      </c>
    </row>
    <row r="36347" spans="8:8" x14ac:dyDescent="0.3">
      <c r="H36347" t="str">
        <f t="shared" si="617"/>
        <v/>
      </c>
    </row>
    <row r="36348" spans="8:8" x14ac:dyDescent="0.3">
      <c r="H36348" t="str">
        <f t="shared" si="617"/>
        <v/>
      </c>
    </row>
    <row r="36349" spans="8:8" x14ac:dyDescent="0.3">
      <c r="H36349" t="str">
        <f t="shared" si="617"/>
        <v/>
      </c>
    </row>
    <row r="36350" spans="8:8" x14ac:dyDescent="0.3">
      <c r="H36350" t="str">
        <f t="shared" si="617"/>
        <v/>
      </c>
    </row>
    <row r="36351" spans="8:8" x14ac:dyDescent="0.3">
      <c r="H36351" t="str">
        <f t="shared" si="617"/>
        <v/>
      </c>
    </row>
    <row r="36352" spans="8:8" x14ac:dyDescent="0.3">
      <c r="H36352" t="str">
        <f t="shared" si="617"/>
        <v/>
      </c>
    </row>
    <row r="36353" spans="8:8" x14ac:dyDescent="0.3">
      <c r="H36353" t="str">
        <f t="shared" si="617"/>
        <v/>
      </c>
    </row>
    <row r="36354" spans="8:8" x14ac:dyDescent="0.3">
      <c r="H36354" t="str">
        <f t="shared" si="617"/>
        <v/>
      </c>
    </row>
    <row r="36355" spans="8:8" x14ac:dyDescent="0.3">
      <c r="H36355" t="str">
        <f t="shared" si="617"/>
        <v/>
      </c>
    </row>
    <row r="36356" spans="8:8" x14ac:dyDescent="0.3">
      <c r="H36356" t="str">
        <f t="shared" si="617"/>
        <v/>
      </c>
    </row>
    <row r="36357" spans="8:8" x14ac:dyDescent="0.3">
      <c r="H36357" t="str">
        <f t="shared" si="617"/>
        <v/>
      </c>
    </row>
    <row r="36358" spans="8:8" x14ac:dyDescent="0.3">
      <c r="H36358" t="str">
        <f t="shared" si="617"/>
        <v/>
      </c>
    </row>
    <row r="36359" spans="8:8" x14ac:dyDescent="0.3">
      <c r="H36359" t="str">
        <f t="shared" si="617"/>
        <v/>
      </c>
    </row>
    <row r="36360" spans="8:8" x14ac:dyDescent="0.3">
      <c r="H36360" t="str">
        <f t="shared" si="617"/>
        <v/>
      </c>
    </row>
    <row r="36361" spans="8:8" x14ac:dyDescent="0.3">
      <c r="H36361" t="str">
        <f t="shared" si="617"/>
        <v/>
      </c>
    </row>
    <row r="36362" spans="8:8" x14ac:dyDescent="0.3">
      <c r="H36362" t="str">
        <f t="shared" si="617"/>
        <v/>
      </c>
    </row>
    <row r="36363" spans="8:8" x14ac:dyDescent="0.3">
      <c r="H36363" t="str">
        <f t="shared" si="617"/>
        <v/>
      </c>
    </row>
    <row r="36364" spans="8:8" x14ac:dyDescent="0.3">
      <c r="H36364" t="str">
        <f t="shared" si="617"/>
        <v/>
      </c>
    </row>
    <row r="36365" spans="8:8" x14ac:dyDescent="0.3">
      <c r="H36365" t="str">
        <f t="shared" si="617"/>
        <v/>
      </c>
    </row>
    <row r="36366" spans="8:8" x14ac:dyDescent="0.3">
      <c r="H36366" t="str">
        <f t="shared" si="617"/>
        <v/>
      </c>
    </row>
    <row r="36367" spans="8:8" x14ac:dyDescent="0.3">
      <c r="H36367" t="str">
        <f t="shared" si="617"/>
        <v/>
      </c>
    </row>
    <row r="36368" spans="8:8" x14ac:dyDescent="0.3">
      <c r="H36368" t="str">
        <f t="shared" si="617"/>
        <v/>
      </c>
    </row>
    <row r="36369" spans="8:8" x14ac:dyDescent="0.3">
      <c r="H36369" t="str">
        <f t="shared" si="617"/>
        <v/>
      </c>
    </row>
    <row r="36370" spans="8:8" x14ac:dyDescent="0.3">
      <c r="H36370" t="str">
        <f t="shared" si="617"/>
        <v/>
      </c>
    </row>
    <row r="36371" spans="8:8" x14ac:dyDescent="0.3">
      <c r="H36371" t="str">
        <f t="shared" si="617"/>
        <v/>
      </c>
    </row>
    <row r="36372" spans="8:8" x14ac:dyDescent="0.3">
      <c r="H36372" t="str">
        <f t="shared" si="617"/>
        <v/>
      </c>
    </row>
    <row r="36373" spans="8:8" x14ac:dyDescent="0.3">
      <c r="H36373" t="str">
        <f t="shared" si="617"/>
        <v/>
      </c>
    </row>
    <row r="36374" spans="8:8" x14ac:dyDescent="0.3">
      <c r="H36374" t="str">
        <f t="shared" si="617"/>
        <v/>
      </c>
    </row>
    <row r="36375" spans="8:8" x14ac:dyDescent="0.3">
      <c r="H36375" t="str">
        <f t="shared" ref="H36375:H36438" si="618">IF(B36375="","",$C$12)</f>
        <v/>
      </c>
    </row>
    <row r="36376" spans="8:8" x14ac:dyDescent="0.3">
      <c r="H36376" t="str">
        <f t="shared" si="618"/>
        <v/>
      </c>
    </row>
    <row r="36377" spans="8:8" x14ac:dyDescent="0.3">
      <c r="H36377" t="str">
        <f t="shared" si="618"/>
        <v/>
      </c>
    </row>
    <row r="36378" spans="8:8" x14ac:dyDescent="0.3">
      <c r="H36378" t="str">
        <f t="shared" si="618"/>
        <v/>
      </c>
    </row>
    <row r="36379" spans="8:8" x14ac:dyDescent="0.3">
      <c r="H36379" t="str">
        <f t="shared" si="618"/>
        <v/>
      </c>
    </row>
    <row r="36380" spans="8:8" x14ac:dyDescent="0.3">
      <c r="H36380" t="str">
        <f t="shared" si="618"/>
        <v/>
      </c>
    </row>
    <row r="36381" spans="8:8" x14ac:dyDescent="0.3">
      <c r="H36381" t="str">
        <f t="shared" si="618"/>
        <v/>
      </c>
    </row>
    <row r="36382" spans="8:8" x14ac:dyDescent="0.3">
      <c r="H36382" t="str">
        <f t="shared" si="618"/>
        <v/>
      </c>
    </row>
    <row r="36383" spans="8:8" x14ac:dyDescent="0.3">
      <c r="H36383" t="str">
        <f t="shared" si="618"/>
        <v/>
      </c>
    </row>
    <row r="36384" spans="8:8" x14ac:dyDescent="0.3">
      <c r="H36384" t="str">
        <f t="shared" si="618"/>
        <v/>
      </c>
    </row>
    <row r="36385" spans="8:8" x14ac:dyDescent="0.3">
      <c r="H36385" t="str">
        <f t="shared" si="618"/>
        <v/>
      </c>
    </row>
    <row r="36386" spans="8:8" x14ac:dyDescent="0.3">
      <c r="H36386" t="str">
        <f t="shared" si="618"/>
        <v/>
      </c>
    </row>
    <row r="36387" spans="8:8" x14ac:dyDescent="0.3">
      <c r="H36387" t="str">
        <f t="shared" si="618"/>
        <v/>
      </c>
    </row>
    <row r="36388" spans="8:8" x14ac:dyDescent="0.3">
      <c r="H36388" t="str">
        <f t="shared" si="618"/>
        <v/>
      </c>
    </row>
    <row r="36389" spans="8:8" x14ac:dyDescent="0.3">
      <c r="H36389" t="str">
        <f t="shared" si="618"/>
        <v/>
      </c>
    </row>
    <row r="36390" spans="8:8" x14ac:dyDescent="0.3">
      <c r="H36390" t="str">
        <f t="shared" si="618"/>
        <v/>
      </c>
    </row>
    <row r="36391" spans="8:8" x14ac:dyDescent="0.3">
      <c r="H36391" t="str">
        <f t="shared" si="618"/>
        <v/>
      </c>
    </row>
    <row r="36392" spans="8:8" x14ac:dyDescent="0.3">
      <c r="H36392" t="str">
        <f t="shared" si="618"/>
        <v/>
      </c>
    </row>
    <row r="36393" spans="8:8" x14ac:dyDescent="0.3">
      <c r="H36393" t="str">
        <f t="shared" si="618"/>
        <v/>
      </c>
    </row>
    <row r="36394" spans="8:8" x14ac:dyDescent="0.3">
      <c r="H36394" t="str">
        <f t="shared" si="618"/>
        <v/>
      </c>
    </row>
    <row r="36395" spans="8:8" x14ac:dyDescent="0.3">
      <c r="H36395" t="str">
        <f t="shared" si="618"/>
        <v/>
      </c>
    </row>
    <row r="36396" spans="8:8" x14ac:dyDescent="0.3">
      <c r="H36396" t="str">
        <f t="shared" si="618"/>
        <v/>
      </c>
    </row>
    <row r="36397" spans="8:8" x14ac:dyDescent="0.3">
      <c r="H36397" t="str">
        <f t="shared" si="618"/>
        <v/>
      </c>
    </row>
    <row r="36398" spans="8:8" x14ac:dyDescent="0.3">
      <c r="H36398" t="str">
        <f t="shared" si="618"/>
        <v/>
      </c>
    </row>
    <row r="36399" spans="8:8" x14ac:dyDescent="0.3">
      <c r="H36399" t="str">
        <f t="shared" si="618"/>
        <v/>
      </c>
    </row>
    <row r="36400" spans="8:8" x14ac:dyDescent="0.3">
      <c r="H36400" t="str">
        <f t="shared" si="618"/>
        <v/>
      </c>
    </row>
    <row r="36401" spans="8:8" x14ac:dyDescent="0.3">
      <c r="H36401" t="str">
        <f t="shared" si="618"/>
        <v/>
      </c>
    </row>
    <row r="36402" spans="8:8" x14ac:dyDescent="0.3">
      <c r="H36402" t="str">
        <f t="shared" si="618"/>
        <v/>
      </c>
    </row>
    <row r="36403" spans="8:8" x14ac:dyDescent="0.3">
      <c r="H36403" t="str">
        <f t="shared" si="618"/>
        <v/>
      </c>
    </row>
    <row r="36404" spans="8:8" x14ac:dyDescent="0.3">
      <c r="H36404" t="str">
        <f t="shared" si="618"/>
        <v/>
      </c>
    </row>
    <row r="36405" spans="8:8" x14ac:dyDescent="0.3">
      <c r="H36405" t="str">
        <f t="shared" si="618"/>
        <v/>
      </c>
    </row>
    <row r="36406" spans="8:8" x14ac:dyDescent="0.3">
      <c r="H36406" t="str">
        <f t="shared" si="618"/>
        <v/>
      </c>
    </row>
    <row r="36407" spans="8:8" x14ac:dyDescent="0.3">
      <c r="H36407" t="str">
        <f t="shared" si="618"/>
        <v/>
      </c>
    </row>
    <row r="36408" spans="8:8" x14ac:dyDescent="0.3">
      <c r="H36408" t="str">
        <f t="shared" si="618"/>
        <v/>
      </c>
    </row>
    <row r="36409" spans="8:8" x14ac:dyDescent="0.3">
      <c r="H36409" t="str">
        <f t="shared" si="618"/>
        <v/>
      </c>
    </row>
    <row r="36410" spans="8:8" x14ac:dyDescent="0.3">
      <c r="H36410" t="str">
        <f t="shared" si="618"/>
        <v/>
      </c>
    </row>
    <row r="36411" spans="8:8" x14ac:dyDescent="0.3">
      <c r="H36411" t="str">
        <f t="shared" si="618"/>
        <v/>
      </c>
    </row>
    <row r="36412" spans="8:8" x14ac:dyDescent="0.3">
      <c r="H36412" t="str">
        <f t="shared" si="618"/>
        <v/>
      </c>
    </row>
    <row r="36413" spans="8:8" x14ac:dyDescent="0.3">
      <c r="H36413" t="str">
        <f t="shared" si="618"/>
        <v/>
      </c>
    </row>
    <row r="36414" spans="8:8" x14ac:dyDescent="0.3">
      <c r="H36414" t="str">
        <f t="shared" si="618"/>
        <v/>
      </c>
    </row>
    <row r="36415" spans="8:8" x14ac:dyDescent="0.3">
      <c r="H36415" t="str">
        <f t="shared" si="618"/>
        <v/>
      </c>
    </row>
    <row r="36416" spans="8:8" x14ac:dyDescent="0.3">
      <c r="H36416" t="str">
        <f t="shared" si="618"/>
        <v/>
      </c>
    </row>
    <row r="36417" spans="8:8" x14ac:dyDescent="0.3">
      <c r="H36417" t="str">
        <f t="shared" si="618"/>
        <v/>
      </c>
    </row>
    <row r="36418" spans="8:8" x14ac:dyDescent="0.3">
      <c r="H36418" t="str">
        <f t="shared" si="618"/>
        <v/>
      </c>
    </row>
    <row r="36419" spans="8:8" x14ac:dyDescent="0.3">
      <c r="H36419" t="str">
        <f t="shared" si="618"/>
        <v/>
      </c>
    </row>
    <row r="36420" spans="8:8" x14ac:dyDescent="0.3">
      <c r="H36420" t="str">
        <f t="shared" si="618"/>
        <v/>
      </c>
    </row>
    <row r="36421" spans="8:8" x14ac:dyDescent="0.3">
      <c r="H36421" t="str">
        <f t="shared" si="618"/>
        <v/>
      </c>
    </row>
    <row r="36422" spans="8:8" x14ac:dyDescent="0.3">
      <c r="H36422" t="str">
        <f t="shared" si="618"/>
        <v/>
      </c>
    </row>
    <row r="36423" spans="8:8" x14ac:dyDescent="0.3">
      <c r="H36423" t="str">
        <f t="shared" si="618"/>
        <v/>
      </c>
    </row>
    <row r="36424" spans="8:8" x14ac:dyDescent="0.3">
      <c r="H36424" t="str">
        <f t="shared" si="618"/>
        <v/>
      </c>
    </row>
    <row r="36425" spans="8:8" x14ac:dyDescent="0.3">
      <c r="H36425" t="str">
        <f t="shared" si="618"/>
        <v/>
      </c>
    </row>
    <row r="36426" spans="8:8" x14ac:dyDescent="0.3">
      <c r="H36426" t="str">
        <f t="shared" si="618"/>
        <v/>
      </c>
    </row>
    <row r="36427" spans="8:8" x14ac:dyDescent="0.3">
      <c r="H36427" t="str">
        <f t="shared" si="618"/>
        <v/>
      </c>
    </row>
    <row r="36428" spans="8:8" x14ac:dyDescent="0.3">
      <c r="H36428" t="str">
        <f t="shared" si="618"/>
        <v/>
      </c>
    </row>
    <row r="36429" spans="8:8" x14ac:dyDescent="0.3">
      <c r="H36429" t="str">
        <f t="shared" si="618"/>
        <v/>
      </c>
    </row>
    <row r="36430" spans="8:8" x14ac:dyDescent="0.3">
      <c r="H36430" t="str">
        <f t="shared" si="618"/>
        <v/>
      </c>
    </row>
    <row r="36431" spans="8:8" x14ac:dyDescent="0.3">
      <c r="H36431" t="str">
        <f t="shared" si="618"/>
        <v/>
      </c>
    </row>
    <row r="36432" spans="8:8" x14ac:dyDescent="0.3">
      <c r="H36432" t="str">
        <f t="shared" si="618"/>
        <v/>
      </c>
    </row>
    <row r="36433" spans="8:8" x14ac:dyDescent="0.3">
      <c r="H36433" t="str">
        <f t="shared" si="618"/>
        <v/>
      </c>
    </row>
    <row r="36434" spans="8:8" x14ac:dyDescent="0.3">
      <c r="H36434" t="str">
        <f t="shared" si="618"/>
        <v/>
      </c>
    </row>
    <row r="36435" spans="8:8" x14ac:dyDescent="0.3">
      <c r="H36435" t="str">
        <f t="shared" si="618"/>
        <v/>
      </c>
    </row>
    <row r="36436" spans="8:8" x14ac:dyDescent="0.3">
      <c r="H36436" t="str">
        <f t="shared" si="618"/>
        <v/>
      </c>
    </row>
    <row r="36437" spans="8:8" x14ac:dyDescent="0.3">
      <c r="H36437" t="str">
        <f t="shared" si="618"/>
        <v/>
      </c>
    </row>
    <row r="36438" spans="8:8" x14ac:dyDescent="0.3">
      <c r="H36438" t="str">
        <f t="shared" si="618"/>
        <v/>
      </c>
    </row>
    <row r="36439" spans="8:8" x14ac:dyDescent="0.3">
      <c r="H36439" t="str">
        <f t="shared" ref="H36439:H36502" si="619">IF(B36439="","",$C$12)</f>
        <v/>
      </c>
    </row>
    <row r="36440" spans="8:8" x14ac:dyDescent="0.3">
      <c r="H36440" t="str">
        <f t="shared" si="619"/>
        <v/>
      </c>
    </row>
    <row r="36441" spans="8:8" x14ac:dyDescent="0.3">
      <c r="H36441" t="str">
        <f t="shared" si="619"/>
        <v/>
      </c>
    </row>
    <row r="36442" spans="8:8" x14ac:dyDescent="0.3">
      <c r="H36442" t="str">
        <f t="shared" si="619"/>
        <v/>
      </c>
    </row>
    <row r="36443" spans="8:8" x14ac:dyDescent="0.3">
      <c r="H36443" t="str">
        <f t="shared" si="619"/>
        <v/>
      </c>
    </row>
    <row r="36444" spans="8:8" x14ac:dyDescent="0.3">
      <c r="H36444" t="str">
        <f t="shared" si="619"/>
        <v/>
      </c>
    </row>
    <row r="36445" spans="8:8" x14ac:dyDescent="0.3">
      <c r="H36445" t="str">
        <f t="shared" si="619"/>
        <v/>
      </c>
    </row>
    <row r="36446" spans="8:8" x14ac:dyDescent="0.3">
      <c r="H36446" t="str">
        <f t="shared" si="619"/>
        <v/>
      </c>
    </row>
    <row r="36447" spans="8:8" x14ac:dyDescent="0.3">
      <c r="H36447" t="str">
        <f t="shared" si="619"/>
        <v/>
      </c>
    </row>
    <row r="36448" spans="8:8" x14ac:dyDescent="0.3">
      <c r="H36448" t="str">
        <f t="shared" si="619"/>
        <v/>
      </c>
    </row>
    <row r="36449" spans="8:8" x14ac:dyDescent="0.3">
      <c r="H36449" t="str">
        <f t="shared" si="619"/>
        <v/>
      </c>
    </row>
    <row r="36450" spans="8:8" x14ac:dyDescent="0.3">
      <c r="H36450" t="str">
        <f t="shared" si="619"/>
        <v/>
      </c>
    </row>
    <row r="36451" spans="8:8" x14ac:dyDescent="0.3">
      <c r="H36451" t="str">
        <f t="shared" si="619"/>
        <v/>
      </c>
    </row>
    <row r="36452" spans="8:8" x14ac:dyDescent="0.3">
      <c r="H36452" t="str">
        <f t="shared" si="619"/>
        <v/>
      </c>
    </row>
    <row r="36453" spans="8:8" x14ac:dyDescent="0.3">
      <c r="H36453" t="str">
        <f t="shared" si="619"/>
        <v/>
      </c>
    </row>
    <row r="36454" spans="8:8" x14ac:dyDescent="0.3">
      <c r="H36454" t="str">
        <f t="shared" si="619"/>
        <v/>
      </c>
    </row>
    <row r="36455" spans="8:8" x14ac:dyDescent="0.3">
      <c r="H36455" t="str">
        <f t="shared" si="619"/>
        <v/>
      </c>
    </row>
    <row r="36456" spans="8:8" x14ac:dyDescent="0.3">
      <c r="H36456" t="str">
        <f t="shared" si="619"/>
        <v/>
      </c>
    </row>
    <row r="36457" spans="8:8" x14ac:dyDescent="0.3">
      <c r="H36457" t="str">
        <f t="shared" si="619"/>
        <v/>
      </c>
    </row>
    <row r="36458" spans="8:8" x14ac:dyDescent="0.3">
      <c r="H36458" t="str">
        <f t="shared" si="619"/>
        <v/>
      </c>
    </row>
    <row r="36459" spans="8:8" x14ac:dyDescent="0.3">
      <c r="H36459" t="str">
        <f t="shared" si="619"/>
        <v/>
      </c>
    </row>
    <row r="36460" spans="8:8" x14ac:dyDescent="0.3">
      <c r="H36460" t="str">
        <f t="shared" si="619"/>
        <v/>
      </c>
    </row>
    <row r="36461" spans="8:8" x14ac:dyDescent="0.3">
      <c r="H36461" t="str">
        <f t="shared" si="619"/>
        <v/>
      </c>
    </row>
    <row r="36462" spans="8:8" x14ac:dyDescent="0.3">
      <c r="H36462" t="str">
        <f t="shared" si="619"/>
        <v/>
      </c>
    </row>
    <row r="36463" spans="8:8" x14ac:dyDescent="0.3">
      <c r="H36463" t="str">
        <f t="shared" si="619"/>
        <v/>
      </c>
    </row>
    <row r="36464" spans="8:8" x14ac:dyDescent="0.3">
      <c r="H36464" t="str">
        <f t="shared" si="619"/>
        <v/>
      </c>
    </row>
    <row r="36465" spans="8:8" x14ac:dyDescent="0.3">
      <c r="H36465" t="str">
        <f t="shared" si="619"/>
        <v/>
      </c>
    </row>
    <row r="36466" spans="8:8" x14ac:dyDescent="0.3">
      <c r="H36466" t="str">
        <f t="shared" si="619"/>
        <v/>
      </c>
    </row>
    <row r="36467" spans="8:8" x14ac:dyDescent="0.3">
      <c r="H36467" t="str">
        <f t="shared" si="619"/>
        <v/>
      </c>
    </row>
    <row r="36468" spans="8:8" x14ac:dyDescent="0.3">
      <c r="H36468" t="str">
        <f t="shared" si="619"/>
        <v/>
      </c>
    </row>
    <row r="36469" spans="8:8" x14ac:dyDescent="0.3">
      <c r="H36469" t="str">
        <f t="shared" si="619"/>
        <v/>
      </c>
    </row>
    <row r="36470" spans="8:8" x14ac:dyDescent="0.3">
      <c r="H36470" t="str">
        <f t="shared" si="619"/>
        <v/>
      </c>
    </row>
    <row r="36471" spans="8:8" x14ac:dyDescent="0.3">
      <c r="H36471" t="str">
        <f t="shared" si="619"/>
        <v/>
      </c>
    </row>
    <row r="36472" spans="8:8" x14ac:dyDescent="0.3">
      <c r="H36472" t="str">
        <f t="shared" si="619"/>
        <v/>
      </c>
    </row>
    <row r="36473" spans="8:8" x14ac:dyDescent="0.3">
      <c r="H36473" t="str">
        <f t="shared" si="619"/>
        <v/>
      </c>
    </row>
    <row r="36474" spans="8:8" x14ac:dyDescent="0.3">
      <c r="H36474" t="str">
        <f t="shared" si="619"/>
        <v/>
      </c>
    </row>
    <row r="36475" spans="8:8" x14ac:dyDescent="0.3">
      <c r="H36475" t="str">
        <f t="shared" si="619"/>
        <v/>
      </c>
    </row>
    <row r="36476" spans="8:8" x14ac:dyDescent="0.3">
      <c r="H36476" t="str">
        <f t="shared" si="619"/>
        <v/>
      </c>
    </row>
    <row r="36477" spans="8:8" x14ac:dyDescent="0.3">
      <c r="H36477" t="str">
        <f t="shared" si="619"/>
        <v/>
      </c>
    </row>
    <row r="36478" spans="8:8" x14ac:dyDescent="0.3">
      <c r="H36478" t="str">
        <f t="shared" si="619"/>
        <v/>
      </c>
    </row>
    <row r="36479" spans="8:8" x14ac:dyDescent="0.3">
      <c r="H36479" t="str">
        <f t="shared" si="619"/>
        <v/>
      </c>
    </row>
    <row r="36480" spans="8:8" x14ac:dyDescent="0.3">
      <c r="H36480" t="str">
        <f t="shared" si="619"/>
        <v/>
      </c>
    </row>
    <row r="36481" spans="8:8" x14ac:dyDescent="0.3">
      <c r="H36481" t="str">
        <f t="shared" si="619"/>
        <v/>
      </c>
    </row>
    <row r="36482" spans="8:8" x14ac:dyDescent="0.3">
      <c r="H36482" t="str">
        <f t="shared" si="619"/>
        <v/>
      </c>
    </row>
    <row r="36483" spans="8:8" x14ac:dyDescent="0.3">
      <c r="H36483" t="str">
        <f t="shared" si="619"/>
        <v/>
      </c>
    </row>
    <row r="36484" spans="8:8" x14ac:dyDescent="0.3">
      <c r="H36484" t="str">
        <f t="shared" si="619"/>
        <v/>
      </c>
    </row>
    <row r="36485" spans="8:8" x14ac:dyDescent="0.3">
      <c r="H36485" t="str">
        <f t="shared" si="619"/>
        <v/>
      </c>
    </row>
    <row r="36486" spans="8:8" x14ac:dyDescent="0.3">
      <c r="H36486" t="str">
        <f t="shared" si="619"/>
        <v/>
      </c>
    </row>
    <row r="36487" spans="8:8" x14ac:dyDescent="0.3">
      <c r="H36487" t="str">
        <f t="shared" si="619"/>
        <v/>
      </c>
    </row>
    <row r="36488" spans="8:8" x14ac:dyDescent="0.3">
      <c r="H36488" t="str">
        <f t="shared" si="619"/>
        <v/>
      </c>
    </row>
    <row r="36489" spans="8:8" x14ac:dyDescent="0.3">
      <c r="H36489" t="str">
        <f t="shared" si="619"/>
        <v/>
      </c>
    </row>
    <row r="36490" spans="8:8" x14ac:dyDescent="0.3">
      <c r="H36490" t="str">
        <f t="shared" si="619"/>
        <v/>
      </c>
    </row>
    <row r="36491" spans="8:8" x14ac:dyDescent="0.3">
      <c r="H36491" t="str">
        <f t="shared" si="619"/>
        <v/>
      </c>
    </row>
    <row r="36492" spans="8:8" x14ac:dyDescent="0.3">
      <c r="H36492" t="str">
        <f t="shared" si="619"/>
        <v/>
      </c>
    </row>
    <row r="36493" spans="8:8" x14ac:dyDescent="0.3">
      <c r="H36493" t="str">
        <f t="shared" si="619"/>
        <v/>
      </c>
    </row>
    <row r="36494" spans="8:8" x14ac:dyDescent="0.3">
      <c r="H36494" t="str">
        <f t="shared" si="619"/>
        <v/>
      </c>
    </row>
    <row r="36495" spans="8:8" x14ac:dyDescent="0.3">
      <c r="H36495" t="str">
        <f t="shared" si="619"/>
        <v/>
      </c>
    </row>
    <row r="36496" spans="8:8" x14ac:dyDescent="0.3">
      <c r="H36496" t="str">
        <f t="shared" si="619"/>
        <v/>
      </c>
    </row>
    <row r="36497" spans="8:8" x14ac:dyDescent="0.3">
      <c r="H36497" t="str">
        <f t="shared" si="619"/>
        <v/>
      </c>
    </row>
    <row r="36498" spans="8:8" x14ac:dyDescent="0.3">
      <c r="H36498" t="str">
        <f t="shared" si="619"/>
        <v/>
      </c>
    </row>
    <row r="36499" spans="8:8" x14ac:dyDescent="0.3">
      <c r="H36499" t="str">
        <f t="shared" si="619"/>
        <v/>
      </c>
    </row>
    <row r="36500" spans="8:8" x14ac:dyDescent="0.3">
      <c r="H36500" t="str">
        <f t="shared" si="619"/>
        <v/>
      </c>
    </row>
    <row r="36501" spans="8:8" x14ac:dyDescent="0.3">
      <c r="H36501" t="str">
        <f t="shared" si="619"/>
        <v/>
      </c>
    </row>
    <row r="36502" spans="8:8" x14ac:dyDescent="0.3">
      <c r="H36502" t="str">
        <f t="shared" si="619"/>
        <v/>
      </c>
    </row>
    <row r="36503" spans="8:8" x14ac:dyDescent="0.3">
      <c r="H36503" t="str">
        <f t="shared" ref="H36503:H36566" si="620">IF(B36503="","",$C$12)</f>
        <v/>
      </c>
    </row>
    <row r="36504" spans="8:8" x14ac:dyDescent="0.3">
      <c r="H36504" t="str">
        <f t="shared" si="620"/>
        <v/>
      </c>
    </row>
    <row r="36505" spans="8:8" x14ac:dyDescent="0.3">
      <c r="H36505" t="str">
        <f t="shared" si="620"/>
        <v/>
      </c>
    </row>
    <row r="36506" spans="8:8" x14ac:dyDescent="0.3">
      <c r="H36506" t="str">
        <f t="shared" si="620"/>
        <v/>
      </c>
    </row>
    <row r="36507" spans="8:8" x14ac:dyDescent="0.3">
      <c r="H36507" t="str">
        <f t="shared" si="620"/>
        <v/>
      </c>
    </row>
    <row r="36508" spans="8:8" x14ac:dyDescent="0.3">
      <c r="H36508" t="str">
        <f t="shared" si="620"/>
        <v/>
      </c>
    </row>
    <row r="36509" spans="8:8" x14ac:dyDescent="0.3">
      <c r="H36509" t="str">
        <f t="shared" si="620"/>
        <v/>
      </c>
    </row>
    <row r="36510" spans="8:8" x14ac:dyDescent="0.3">
      <c r="H36510" t="str">
        <f t="shared" si="620"/>
        <v/>
      </c>
    </row>
    <row r="36511" spans="8:8" x14ac:dyDescent="0.3">
      <c r="H36511" t="str">
        <f t="shared" si="620"/>
        <v/>
      </c>
    </row>
    <row r="36512" spans="8:8" x14ac:dyDescent="0.3">
      <c r="H36512" t="str">
        <f t="shared" si="620"/>
        <v/>
      </c>
    </row>
    <row r="36513" spans="8:8" x14ac:dyDescent="0.3">
      <c r="H36513" t="str">
        <f t="shared" si="620"/>
        <v/>
      </c>
    </row>
    <row r="36514" spans="8:8" x14ac:dyDescent="0.3">
      <c r="H36514" t="str">
        <f t="shared" si="620"/>
        <v/>
      </c>
    </row>
    <row r="36515" spans="8:8" x14ac:dyDescent="0.3">
      <c r="H36515" t="str">
        <f t="shared" si="620"/>
        <v/>
      </c>
    </row>
    <row r="36516" spans="8:8" x14ac:dyDescent="0.3">
      <c r="H36516" t="str">
        <f t="shared" si="620"/>
        <v/>
      </c>
    </row>
    <row r="36517" spans="8:8" x14ac:dyDescent="0.3">
      <c r="H36517" t="str">
        <f t="shared" si="620"/>
        <v/>
      </c>
    </row>
    <row r="36518" spans="8:8" x14ac:dyDescent="0.3">
      <c r="H36518" t="str">
        <f t="shared" si="620"/>
        <v/>
      </c>
    </row>
    <row r="36519" spans="8:8" x14ac:dyDescent="0.3">
      <c r="H36519" t="str">
        <f t="shared" si="620"/>
        <v/>
      </c>
    </row>
    <row r="36520" spans="8:8" x14ac:dyDescent="0.3">
      <c r="H36520" t="str">
        <f t="shared" si="620"/>
        <v/>
      </c>
    </row>
    <row r="36521" spans="8:8" x14ac:dyDescent="0.3">
      <c r="H36521" t="str">
        <f t="shared" si="620"/>
        <v/>
      </c>
    </row>
    <row r="36522" spans="8:8" x14ac:dyDescent="0.3">
      <c r="H36522" t="str">
        <f t="shared" si="620"/>
        <v/>
      </c>
    </row>
    <row r="36523" spans="8:8" x14ac:dyDescent="0.3">
      <c r="H36523" t="str">
        <f t="shared" si="620"/>
        <v/>
      </c>
    </row>
    <row r="36524" spans="8:8" x14ac:dyDescent="0.3">
      <c r="H36524" t="str">
        <f t="shared" si="620"/>
        <v/>
      </c>
    </row>
    <row r="36525" spans="8:8" x14ac:dyDescent="0.3">
      <c r="H36525" t="str">
        <f t="shared" si="620"/>
        <v/>
      </c>
    </row>
    <row r="36526" spans="8:8" x14ac:dyDescent="0.3">
      <c r="H36526" t="str">
        <f t="shared" si="620"/>
        <v/>
      </c>
    </row>
    <row r="36527" spans="8:8" x14ac:dyDescent="0.3">
      <c r="H36527" t="str">
        <f t="shared" si="620"/>
        <v/>
      </c>
    </row>
    <row r="36528" spans="8:8" x14ac:dyDescent="0.3">
      <c r="H36528" t="str">
        <f t="shared" si="620"/>
        <v/>
      </c>
    </row>
    <row r="36529" spans="8:8" x14ac:dyDescent="0.3">
      <c r="H36529" t="str">
        <f t="shared" si="620"/>
        <v/>
      </c>
    </row>
    <row r="36530" spans="8:8" x14ac:dyDescent="0.3">
      <c r="H36530" t="str">
        <f t="shared" si="620"/>
        <v/>
      </c>
    </row>
    <row r="36531" spans="8:8" x14ac:dyDescent="0.3">
      <c r="H36531" t="str">
        <f t="shared" si="620"/>
        <v/>
      </c>
    </row>
    <row r="36532" spans="8:8" x14ac:dyDescent="0.3">
      <c r="H36532" t="str">
        <f t="shared" si="620"/>
        <v/>
      </c>
    </row>
    <row r="36533" spans="8:8" x14ac:dyDescent="0.3">
      <c r="H36533" t="str">
        <f t="shared" si="620"/>
        <v/>
      </c>
    </row>
    <row r="36534" spans="8:8" x14ac:dyDescent="0.3">
      <c r="H36534" t="str">
        <f t="shared" si="620"/>
        <v/>
      </c>
    </row>
    <row r="36535" spans="8:8" x14ac:dyDescent="0.3">
      <c r="H36535" t="str">
        <f t="shared" si="620"/>
        <v/>
      </c>
    </row>
    <row r="36536" spans="8:8" x14ac:dyDescent="0.3">
      <c r="H36536" t="str">
        <f t="shared" si="620"/>
        <v/>
      </c>
    </row>
    <row r="36537" spans="8:8" x14ac:dyDescent="0.3">
      <c r="H36537" t="str">
        <f t="shared" si="620"/>
        <v/>
      </c>
    </row>
    <row r="36538" spans="8:8" x14ac:dyDescent="0.3">
      <c r="H36538" t="str">
        <f t="shared" si="620"/>
        <v/>
      </c>
    </row>
    <row r="36539" spans="8:8" x14ac:dyDescent="0.3">
      <c r="H36539" t="str">
        <f t="shared" si="620"/>
        <v/>
      </c>
    </row>
    <row r="36540" spans="8:8" x14ac:dyDescent="0.3">
      <c r="H36540" t="str">
        <f t="shared" si="620"/>
        <v/>
      </c>
    </row>
    <row r="36541" spans="8:8" x14ac:dyDescent="0.3">
      <c r="H36541" t="str">
        <f t="shared" si="620"/>
        <v/>
      </c>
    </row>
    <row r="36542" spans="8:8" x14ac:dyDescent="0.3">
      <c r="H36542" t="str">
        <f t="shared" si="620"/>
        <v/>
      </c>
    </row>
    <row r="36543" spans="8:8" x14ac:dyDescent="0.3">
      <c r="H36543" t="str">
        <f t="shared" si="620"/>
        <v/>
      </c>
    </row>
    <row r="36544" spans="8:8" x14ac:dyDescent="0.3">
      <c r="H36544" t="str">
        <f t="shared" si="620"/>
        <v/>
      </c>
    </row>
    <row r="36545" spans="8:8" x14ac:dyDescent="0.3">
      <c r="H36545" t="str">
        <f t="shared" si="620"/>
        <v/>
      </c>
    </row>
    <row r="36546" spans="8:8" x14ac:dyDescent="0.3">
      <c r="H36546" t="str">
        <f t="shared" si="620"/>
        <v/>
      </c>
    </row>
    <row r="36547" spans="8:8" x14ac:dyDescent="0.3">
      <c r="H36547" t="str">
        <f t="shared" si="620"/>
        <v/>
      </c>
    </row>
    <row r="36548" spans="8:8" x14ac:dyDescent="0.3">
      <c r="H36548" t="str">
        <f t="shared" si="620"/>
        <v/>
      </c>
    </row>
    <row r="36549" spans="8:8" x14ac:dyDescent="0.3">
      <c r="H36549" t="str">
        <f t="shared" si="620"/>
        <v/>
      </c>
    </row>
    <row r="36550" spans="8:8" x14ac:dyDescent="0.3">
      <c r="H36550" t="str">
        <f t="shared" si="620"/>
        <v/>
      </c>
    </row>
    <row r="36551" spans="8:8" x14ac:dyDescent="0.3">
      <c r="H36551" t="str">
        <f t="shared" si="620"/>
        <v/>
      </c>
    </row>
    <row r="36552" spans="8:8" x14ac:dyDescent="0.3">
      <c r="H36552" t="str">
        <f t="shared" si="620"/>
        <v/>
      </c>
    </row>
    <row r="36553" spans="8:8" x14ac:dyDescent="0.3">
      <c r="H36553" t="str">
        <f t="shared" si="620"/>
        <v/>
      </c>
    </row>
    <row r="36554" spans="8:8" x14ac:dyDescent="0.3">
      <c r="H36554" t="str">
        <f t="shared" si="620"/>
        <v/>
      </c>
    </row>
    <row r="36555" spans="8:8" x14ac:dyDescent="0.3">
      <c r="H36555" t="str">
        <f t="shared" si="620"/>
        <v/>
      </c>
    </row>
    <row r="36556" spans="8:8" x14ac:dyDescent="0.3">
      <c r="H36556" t="str">
        <f t="shared" si="620"/>
        <v/>
      </c>
    </row>
    <row r="36557" spans="8:8" x14ac:dyDescent="0.3">
      <c r="H36557" t="str">
        <f t="shared" si="620"/>
        <v/>
      </c>
    </row>
    <row r="36558" spans="8:8" x14ac:dyDescent="0.3">
      <c r="H36558" t="str">
        <f t="shared" si="620"/>
        <v/>
      </c>
    </row>
    <row r="36559" spans="8:8" x14ac:dyDescent="0.3">
      <c r="H36559" t="str">
        <f t="shared" si="620"/>
        <v/>
      </c>
    </row>
    <row r="36560" spans="8:8" x14ac:dyDescent="0.3">
      <c r="H36560" t="str">
        <f t="shared" si="620"/>
        <v/>
      </c>
    </row>
    <row r="36561" spans="8:8" x14ac:dyDescent="0.3">
      <c r="H36561" t="str">
        <f t="shared" si="620"/>
        <v/>
      </c>
    </row>
    <row r="36562" spans="8:8" x14ac:dyDescent="0.3">
      <c r="H36562" t="str">
        <f t="shared" si="620"/>
        <v/>
      </c>
    </row>
    <row r="36563" spans="8:8" x14ac:dyDescent="0.3">
      <c r="H36563" t="str">
        <f t="shared" si="620"/>
        <v/>
      </c>
    </row>
    <row r="36564" spans="8:8" x14ac:dyDescent="0.3">
      <c r="H36564" t="str">
        <f t="shared" si="620"/>
        <v/>
      </c>
    </row>
    <row r="36565" spans="8:8" x14ac:dyDescent="0.3">
      <c r="H36565" t="str">
        <f t="shared" si="620"/>
        <v/>
      </c>
    </row>
    <row r="36566" spans="8:8" x14ac:dyDescent="0.3">
      <c r="H36566" t="str">
        <f t="shared" si="620"/>
        <v/>
      </c>
    </row>
    <row r="36567" spans="8:8" x14ac:dyDescent="0.3">
      <c r="H36567" t="str">
        <f t="shared" ref="H36567:H36630" si="621">IF(B36567="","",$C$12)</f>
        <v/>
      </c>
    </row>
    <row r="36568" spans="8:8" x14ac:dyDescent="0.3">
      <c r="H36568" t="str">
        <f t="shared" si="621"/>
        <v/>
      </c>
    </row>
    <row r="36569" spans="8:8" x14ac:dyDescent="0.3">
      <c r="H36569" t="str">
        <f t="shared" si="621"/>
        <v/>
      </c>
    </row>
    <row r="36570" spans="8:8" x14ac:dyDescent="0.3">
      <c r="H36570" t="str">
        <f t="shared" si="621"/>
        <v/>
      </c>
    </row>
    <row r="36571" spans="8:8" x14ac:dyDescent="0.3">
      <c r="H36571" t="str">
        <f t="shared" si="621"/>
        <v/>
      </c>
    </row>
    <row r="36572" spans="8:8" x14ac:dyDescent="0.3">
      <c r="H36572" t="str">
        <f t="shared" si="621"/>
        <v/>
      </c>
    </row>
    <row r="36573" spans="8:8" x14ac:dyDescent="0.3">
      <c r="H36573" t="str">
        <f t="shared" si="621"/>
        <v/>
      </c>
    </row>
    <row r="36574" spans="8:8" x14ac:dyDescent="0.3">
      <c r="H36574" t="str">
        <f t="shared" si="621"/>
        <v/>
      </c>
    </row>
    <row r="36575" spans="8:8" x14ac:dyDescent="0.3">
      <c r="H36575" t="str">
        <f t="shared" si="621"/>
        <v/>
      </c>
    </row>
    <row r="36576" spans="8:8" x14ac:dyDescent="0.3">
      <c r="H36576" t="str">
        <f t="shared" si="621"/>
        <v/>
      </c>
    </row>
    <row r="36577" spans="8:8" x14ac:dyDescent="0.3">
      <c r="H36577" t="str">
        <f t="shared" si="621"/>
        <v/>
      </c>
    </row>
    <row r="36578" spans="8:8" x14ac:dyDescent="0.3">
      <c r="H36578" t="str">
        <f t="shared" si="621"/>
        <v/>
      </c>
    </row>
    <row r="36579" spans="8:8" x14ac:dyDescent="0.3">
      <c r="H36579" t="str">
        <f t="shared" si="621"/>
        <v/>
      </c>
    </row>
    <row r="36580" spans="8:8" x14ac:dyDescent="0.3">
      <c r="H36580" t="str">
        <f t="shared" si="621"/>
        <v/>
      </c>
    </row>
    <row r="36581" spans="8:8" x14ac:dyDescent="0.3">
      <c r="H36581" t="str">
        <f t="shared" si="621"/>
        <v/>
      </c>
    </row>
    <row r="36582" spans="8:8" x14ac:dyDescent="0.3">
      <c r="H36582" t="str">
        <f t="shared" si="621"/>
        <v/>
      </c>
    </row>
    <row r="36583" spans="8:8" x14ac:dyDescent="0.3">
      <c r="H36583" t="str">
        <f t="shared" si="621"/>
        <v/>
      </c>
    </row>
    <row r="36584" spans="8:8" x14ac:dyDescent="0.3">
      <c r="H36584" t="str">
        <f t="shared" si="621"/>
        <v/>
      </c>
    </row>
    <row r="36585" spans="8:8" x14ac:dyDescent="0.3">
      <c r="H36585" t="str">
        <f t="shared" si="621"/>
        <v/>
      </c>
    </row>
    <row r="36586" spans="8:8" x14ac:dyDescent="0.3">
      <c r="H36586" t="str">
        <f t="shared" si="621"/>
        <v/>
      </c>
    </row>
    <row r="36587" spans="8:8" x14ac:dyDescent="0.3">
      <c r="H36587" t="str">
        <f t="shared" si="621"/>
        <v/>
      </c>
    </row>
    <row r="36588" spans="8:8" x14ac:dyDescent="0.3">
      <c r="H36588" t="str">
        <f t="shared" si="621"/>
        <v/>
      </c>
    </row>
    <row r="36589" spans="8:8" x14ac:dyDescent="0.3">
      <c r="H36589" t="str">
        <f t="shared" si="621"/>
        <v/>
      </c>
    </row>
    <row r="36590" spans="8:8" x14ac:dyDescent="0.3">
      <c r="H36590" t="str">
        <f t="shared" si="621"/>
        <v/>
      </c>
    </row>
    <row r="36591" spans="8:8" x14ac:dyDescent="0.3">
      <c r="H36591" t="str">
        <f t="shared" si="621"/>
        <v/>
      </c>
    </row>
    <row r="36592" spans="8:8" x14ac:dyDescent="0.3">
      <c r="H36592" t="str">
        <f t="shared" si="621"/>
        <v/>
      </c>
    </row>
    <row r="36593" spans="8:8" x14ac:dyDescent="0.3">
      <c r="H36593" t="str">
        <f t="shared" si="621"/>
        <v/>
      </c>
    </row>
    <row r="36594" spans="8:8" x14ac:dyDescent="0.3">
      <c r="H36594" t="str">
        <f t="shared" si="621"/>
        <v/>
      </c>
    </row>
    <row r="36595" spans="8:8" x14ac:dyDescent="0.3">
      <c r="H36595" t="str">
        <f t="shared" si="621"/>
        <v/>
      </c>
    </row>
    <row r="36596" spans="8:8" x14ac:dyDescent="0.3">
      <c r="H36596" t="str">
        <f t="shared" si="621"/>
        <v/>
      </c>
    </row>
    <row r="36597" spans="8:8" x14ac:dyDescent="0.3">
      <c r="H36597" t="str">
        <f t="shared" si="621"/>
        <v/>
      </c>
    </row>
    <row r="36598" spans="8:8" x14ac:dyDescent="0.3">
      <c r="H36598" t="str">
        <f t="shared" si="621"/>
        <v/>
      </c>
    </row>
    <row r="36599" spans="8:8" x14ac:dyDescent="0.3">
      <c r="H36599" t="str">
        <f t="shared" si="621"/>
        <v/>
      </c>
    </row>
    <row r="36600" spans="8:8" x14ac:dyDescent="0.3">
      <c r="H36600" t="str">
        <f t="shared" si="621"/>
        <v/>
      </c>
    </row>
    <row r="36601" spans="8:8" x14ac:dyDescent="0.3">
      <c r="H36601" t="str">
        <f t="shared" si="621"/>
        <v/>
      </c>
    </row>
    <row r="36602" spans="8:8" x14ac:dyDescent="0.3">
      <c r="H36602" t="str">
        <f t="shared" si="621"/>
        <v/>
      </c>
    </row>
    <row r="36603" spans="8:8" x14ac:dyDescent="0.3">
      <c r="H36603" t="str">
        <f t="shared" si="621"/>
        <v/>
      </c>
    </row>
    <row r="36604" spans="8:8" x14ac:dyDescent="0.3">
      <c r="H36604" t="str">
        <f t="shared" si="621"/>
        <v/>
      </c>
    </row>
    <row r="36605" spans="8:8" x14ac:dyDescent="0.3">
      <c r="H36605" t="str">
        <f t="shared" si="621"/>
        <v/>
      </c>
    </row>
    <row r="36606" spans="8:8" x14ac:dyDescent="0.3">
      <c r="H36606" t="str">
        <f t="shared" si="621"/>
        <v/>
      </c>
    </row>
    <row r="36607" spans="8:8" x14ac:dyDescent="0.3">
      <c r="H36607" t="str">
        <f t="shared" si="621"/>
        <v/>
      </c>
    </row>
    <row r="36608" spans="8:8" x14ac:dyDescent="0.3">
      <c r="H36608" t="str">
        <f t="shared" si="621"/>
        <v/>
      </c>
    </row>
    <row r="36609" spans="8:8" x14ac:dyDescent="0.3">
      <c r="H36609" t="str">
        <f t="shared" si="621"/>
        <v/>
      </c>
    </row>
    <row r="36610" spans="8:8" x14ac:dyDescent="0.3">
      <c r="H36610" t="str">
        <f t="shared" si="621"/>
        <v/>
      </c>
    </row>
    <row r="36611" spans="8:8" x14ac:dyDescent="0.3">
      <c r="H36611" t="str">
        <f t="shared" si="621"/>
        <v/>
      </c>
    </row>
    <row r="36612" spans="8:8" x14ac:dyDescent="0.3">
      <c r="H36612" t="str">
        <f t="shared" si="621"/>
        <v/>
      </c>
    </row>
    <row r="36613" spans="8:8" x14ac:dyDescent="0.3">
      <c r="H36613" t="str">
        <f t="shared" si="621"/>
        <v/>
      </c>
    </row>
    <row r="36614" spans="8:8" x14ac:dyDescent="0.3">
      <c r="H36614" t="str">
        <f t="shared" si="621"/>
        <v/>
      </c>
    </row>
    <row r="36615" spans="8:8" x14ac:dyDescent="0.3">
      <c r="H36615" t="str">
        <f t="shared" si="621"/>
        <v/>
      </c>
    </row>
    <row r="36616" spans="8:8" x14ac:dyDescent="0.3">
      <c r="H36616" t="str">
        <f t="shared" si="621"/>
        <v/>
      </c>
    </row>
    <row r="36617" spans="8:8" x14ac:dyDescent="0.3">
      <c r="H36617" t="str">
        <f t="shared" si="621"/>
        <v/>
      </c>
    </row>
    <row r="36618" spans="8:8" x14ac:dyDescent="0.3">
      <c r="H36618" t="str">
        <f t="shared" si="621"/>
        <v/>
      </c>
    </row>
    <row r="36619" spans="8:8" x14ac:dyDescent="0.3">
      <c r="H36619" t="str">
        <f t="shared" si="621"/>
        <v/>
      </c>
    </row>
    <row r="36620" spans="8:8" x14ac:dyDescent="0.3">
      <c r="H36620" t="str">
        <f t="shared" si="621"/>
        <v/>
      </c>
    </row>
    <row r="36621" spans="8:8" x14ac:dyDescent="0.3">
      <c r="H36621" t="str">
        <f t="shared" si="621"/>
        <v/>
      </c>
    </row>
    <row r="36622" spans="8:8" x14ac:dyDescent="0.3">
      <c r="H36622" t="str">
        <f t="shared" si="621"/>
        <v/>
      </c>
    </row>
    <row r="36623" spans="8:8" x14ac:dyDescent="0.3">
      <c r="H36623" t="str">
        <f t="shared" si="621"/>
        <v/>
      </c>
    </row>
    <row r="36624" spans="8:8" x14ac:dyDescent="0.3">
      <c r="H36624" t="str">
        <f t="shared" si="621"/>
        <v/>
      </c>
    </row>
    <row r="36625" spans="8:8" x14ac:dyDescent="0.3">
      <c r="H36625" t="str">
        <f t="shared" si="621"/>
        <v/>
      </c>
    </row>
    <row r="36626" spans="8:8" x14ac:dyDescent="0.3">
      <c r="H36626" t="str">
        <f t="shared" si="621"/>
        <v/>
      </c>
    </row>
    <row r="36627" spans="8:8" x14ac:dyDescent="0.3">
      <c r="H36627" t="str">
        <f t="shared" si="621"/>
        <v/>
      </c>
    </row>
    <row r="36628" spans="8:8" x14ac:dyDescent="0.3">
      <c r="H36628" t="str">
        <f t="shared" si="621"/>
        <v/>
      </c>
    </row>
    <row r="36629" spans="8:8" x14ac:dyDescent="0.3">
      <c r="H36629" t="str">
        <f t="shared" si="621"/>
        <v/>
      </c>
    </row>
    <row r="36630" spans="8:8" x14ac:dyDescent="0.3">
      <c r="H36630" t="str">
        <f t="shared" si="621"/>
        <v/>
      </c>
    </row>
    <row r="36631" spans="8:8" x14ac:dyDescent="0.3">
      <c r="H36631" t="str">
        <f t="shared" ref="H36631:H36694" si="622">IF(B36631="","",$C$12)</f>
        <v/>
      </c>
    </row>
    <row r="36632" spans="8:8" x14ac:dyDescent="0.3">
      <c r="H36632" t="str">
        <f t="shared" si="622"/>
        <v/>
      </c>
    </row>
    <row r="36633" spans="8:8" x14ac:dyDescent="0.3">
      <c r="H36633" t="str">
        <f t="shared" si="622"/>
        <v/>
      </c>
    </row>
    <row r="36634" spans="8:8" x14ac:dyDescent="0.3">
      <c r="H36634" t="str">
        <f t="shared" si="622"/>
        <v/>
      </c>
    </row>
    <row r="36635" spans="8:8" x14ac:dyDescent="0.3">
      <c r="H36635" t="str">
        <f t="shared" si="622"/>
        <v/>
      </c>
    </row>
    <row r="36636" spans="8:8" x14ac:dyDescent="0.3">
      <c r="H36636" t="str">
        <f t="shared" si="622"/>
        <v/>
      </c>
    </row>
    <row r="36637" spans="8:8" x14ac:dyDescent="0.3">
      <c r="H36637" t="str">
        <f t="shared" si="622"/>
        <v/>
      </c>
    </row>
    <row r="36638" spans="8:8" x14ac:dyDescent="0.3">
      <c r="H36638" t="str">
        <f t="shared" si="622"/>
        <v/>
      </c>
    </row>
    <row r="36639" spans="8:8" x14ac:dyDescent="0.3">
      <c r="H36639" t="str">
        <f t="shared" si="622"/>
        <v/>
      </c>
    </row>
    <row r="36640" spans="8:8" x14ac:dyDescent="0.3">
      <c r="H36640" t="str">
        <f t="shared" si="622"/>
        <v/>
      </c>
    </row>
    <row r="36641" spans="8:8" x14ac:dyDescent="0.3">
      <c r="H36641" t="str">
        <f t="shared" si="622"/>
        <v/>
      </c>
    </row>
    <row r="36642" spans="8:8" x14ac:dyDescent="0.3">
      <c r="H36642" t="str">
        <f t="shared" si="622"/>
        <v/>
      </c>
    </row>
    <row r="36643" spans="8:8" x14ac:dyDescent="0.3">
      <c r="H36643" t="str">
        <f t="shared" si="622"/>
        <v/>
      </c>
    </row>
    <row r="36644" spans="8:8" x14ac:dyDescent="0.3">
      <c r="H36644" t="str">
        <f t="shared" si="622"/>
        <v/>
      </c>
    </row>
    <row r="36645" spans="8:8" x14ac:dyDescent="0.3">
      <c r="H36645" t="str">
        <f t="shared" si="622"/>
        <v/>
      </c>
    </row>
    <row r="36646" spans="8:8" x14ac:dyDescent="0.3">
      <c r="H36646" t="str">
        <f t="shared" si="622"/>
        <v/>
      </c>
    </row>
    <row r="36647" spans="8:8" x14ac:dyDescent="0.3">
      <c r="H36647" t="str">
        <f t="shared" si="622"/>
        <v/>
      </c>
    </row>
    <row r="36648" spans="8:8" x14ac:dyDescent="0.3">
      <c r="H36648" t="str">
        <f t="shared" si="622"/>
        <v/>
      </c>
    </row>
    <row r="36649" spans="8:8" x14ac:dyDescent="0.3">
      <c r="H36649" t="str">
        <f t="shared" si="622"/>
        <v/>
      </c>
    </row>
    <row r="36650" spans="8:8" x14ac:dyDescent="0.3">
      <c r="H36650" t="str">
        <f t="shared" si="622"/>
        <v/>
      </c>
    </row>
    <row r="36651" spans="8:8" x14ac:dyDescent="0.3">
      <c r="H36651" t="str">
        <f t="shared" si="622"/>
        <v/>
      </c>
    </row>
    <row r="36652" spans="8:8" x14ac:dyDescent="0.3">
      <c r="H36652" t="str">
        <f t="shared" si="622"/>
        <v/>
      </c>
    </row>
    <row r="36653" spans="8:8" x14ac:dyDescent="0.3">
      <c r="H36653" t="str">
        <f t="shared" si="622"/>
        <v/>
      </c>
    </row>
    <row r="36654" spans="8:8" x14ac:dyDescent="0.3">
      <c r="H36654" t="str">
        <f t="shared" si="622"/>
        <v/>
      </c>
    </row>
    <row r="36655" spans="8:8" x14ac:dyDescent="0.3">
      <c r="H36655" t="str">
        <f t="shared" si="622"/>
        <v/>
      </c>
    </row>
    <row r="36656" spans="8:8" x14ac:dyDescent="0.3">
      <c r="H36656" t="str">
        <f t="shared" si="622"/>
        <v/>
      </c>
    </row>
    <row r="36657" spans="8:8" x14ac:dyDescent="0.3">
      <c r="H36657" t="str">
        <f t="shared" si="622"/>
        <v/>
      </c>
    </row>
    <row r="36658" spans="8:8" x14ac:dyDescent="0.3">
      <c r="H36658" t="str">
        <f t="shared" si="622"/>
        <v/>
      </c>
    </row>
    <row r="36659" spans="8:8" x14ac:dyDescent="0.3">
      <c r="H36659" t="str">
        <f t="shared" si="622"/>
        <v/>
      </c>
    </row>
    <row r="36660" spans="8:8" x14ac:dyDescent="0.3">
      <c r="H36660" t="str">
        <f t="shared" si="622"/>
        <v/>
      </c>
    </row>
    <row r="36661" spans="8:8" x14ac:dyDescent="0.3">
      <c r="H36661" t="str">
        <f t="shared" si="622"/>
        <v/>
      </c>
    </row>
    <row r="36662" spans="8:8" x14ac:dyDescent="0.3">
      <c r="H36662" t="str">
        <f t="shared" si="622"/>
        <v/>
      </c>
    </row>
    <row r="36663" spans="8:8" x14ac:dyDescent="0.3">
      <c r="H36663" t="str">
        <f t="shared" si="622"/>
        <v/>
      </c>
    </row>
    <row r="36664" spans="8:8" x14ac:dyDescent="0.3">
      <c r="H36664" t="str">
        <f t="shared" si="622"/>
        <v/>
      </c>
    </row>
    <row r="36665" spans="8:8" x14ac:dyDescent="0.3">
      <c r="H36665" t="str">
        <f t="shared" si="622"/>
        <v/>
      </c>
    </row>
    <row r="36666" spans="8:8" x14ac:dyDescent="0.3">
      <c r="H36666" t="str">
        <f t="shared" si="622"/>
        <v/>
      </c>
    </row>
    <row r="36667" spans="8:8" x14ac:dyDescent="0.3">
      <c r="H36667" t="str">
        <f t="shared" si="622"/>
        <v/>
      </c>
    </row>
    <row r="36668" spans="8:8" x14ac:dyDescent="0.3">
      <c r="H36668" t="str">
        <f t="shared" si="622"/>
        <v/>
      </c>
    </row>
    <row r="36669" spans="8:8" x14ac:dyDescent="0.3">
      <c r="H36669" t="str">
        <f t="shared" si="622"/>
        <v/>
      </c>
    </row>
    <row r="36670" spans="8:8" x14ac:dyDescent="0.3">
      <c r="H36670" t="str">
        <f t="shared" si="622"/>
        <v/>
      </c>
    </row>
    <row r="36671" spans="8:8" x14ac:dyDescent="0.3">
      <c r="H36671" t="str">
        <f t="shared" si="622"/>
        <v/>
      </c>
    </row>
    <row r="36672" spans="8:8" x14ac:dyDescent="0.3">
      <c r="H36672" t="str">
        <f t="shared" si="622"/>
        <v/>
      </c>
    </row>
    <row r="36673" spans="8:8" x14ac:dyDescent="0.3">
      <c r="H36673" t="str">
        <f t="shared" si="622"/>
        <v/>
      </c>
    </row>
    <row r="36674" spans="8:8" x14ac:dyDescent="0.3">
      <c r="H36674" t="str">
        <f t="shared" si="622"/>
        <v/>
      </c>
    </row>
    <row r="36675" spans="8:8" x14ac:dyDescent="0.3">
      <c r="H36675" t="str">
        <f t="shared" si="622"/>
        <v/>
      </c>
    </row>
    <row r="36676" spans="8:8" x14ac:dyDescent="0.3">
      <c r="H36676" t="str">
        <f t="shared" si="622"/>
        <v/>
      </c>
    </row>
    <row r="36677" spans="8:8" x14ac:dyDescent="0.3">
      <c r="H36677" t="str">
        <f t="shared" si="622"/>
        <v/>
      </c>
    </row>
    <row r="36678" spans="8:8" x14ac:dyDescent="0.3">
      <c r="H36678" t="str">
        <f t="shared" si="622"/>
        <v/>
      </c>
    </row>
    <row r="36679" spans="8:8" x14ac:dyDescent="0.3">
      <c r="H36679" t="str">
        <f t="shared" si="622"/>
        <v/>
      </c>
    </row>
    <row r="36680" spans="8:8" x14ac:dyDescent="0.3">
      <c r="H36680" t="str">
        <f t="shared" si="622"/>
        <v/>
      </c>
    </row>
    <row r="36681" spans="8:8" x14ac:dyDescent="0.3">
      <c r="H36681" t="str">
        <f t="shared" si="622"/>
        <v/>
      </c>
    </row>
    <row r="36682" spans="8:8" x14ac:dyDescent="0.3">
      <c r="H36682" t="str">
        <f t="shared" si="622"/>
        <v/>
      </c>
    </row>
    <row r="36683" spans="8:8" x14ac:dyDescent="0.3">
      <c r="H36683" t="str">
        <f t="shared" si="622"/>
        <v/>
      </c>
    </row>
    <row r="36684" spans="8:8" x14ac:dyDescent="0.3">
      <c r="H36684" t="str">
        <f t="shared" si="622"/>
        <v/>
      </c>
    </row>
    <row r="36685" spans="8:8" x14ac:dyDescent="0.3">
      <c r="H36685" t="str">
        <f t="shared" si="622"/>
        <v/>
      </c>
    </row>
    <row r="36686" spans="8:8" x14ac:dyDescent="0.3">
      <c r="H36686" t="str">
        <f t="shared" si="622"/>
        <v/>
      </c>
    </row>
    <row r="36687" spans="8:8" x14ac:dyDescent="0.3">
      <c r="H36687" t="str">
        <f t="shared" si="622"/>
        <v/>
      </c>
    </row>
    <row r="36688" spans="8:8" x14ac:dyDescent="0.3">
      <c r="H36688" t="str">
        <f t="shared" si="622"/>
        <v/>
      </c>
    </row>
    <row r="36689" spans="8:8" x14ac:dyDescent="0.3">
      <c r="H36689" t="str">
        <f t="shared" si="622"/>
        <v/>
      </c>
    </row>
    <row r="36690" spans="8:8" x14ac:dyDescent="0.3">
      <c r="H36690" t="str">
        <f t="shared" si="622"/>
        <v/>
      </c>
    </row>
    <row r="36691" spans="8:8" x14ac:dyDescent="0.3">
      <c r="H36691" t="str">
        <f t="shared" si="622"/>
        <v/>
      </c>
    </row>
    <row r="36692" spans="8:8" x14ac:dyDescent="0.3">
      <c r="H36692" t="str">
        <f t="shared" si="622"/>
        <v/>
      </c>
    </row>
    <row r="36693" spans="8:8" x14ac:dyDescent="0.3">
      <c r="H36693" t="str">
        <f t="shared" si="622"/>
        <v/>
      </c>
    </row>
    <row r="36694" spans="8:8" x14ac:dyDescent="0.3">
      <c r="H36694" t="str">
        <f t="shared" si="622"/>
        <v/>
      </c>
    </row>
    <row r="36695" spans="8:8" x14ac:dyDescent="0.3">
      <c r="H36695" t="str">
        <f t="shared" ref="H36695:H36758" si="623">IF(B36695="","",$C$12)</f>
        <v/>
      </c>
    </row>
    <row r="36696" spans="8:8" x14ac:dyDescent="0.3">
      <c r="H36696" t="str">
        <f t="shared" si="623"/>
        <v/>
      </c>
    </row>
    <row r="36697" spans="8:8" x14ac:dyDescent="0.3">
      <c r="H36697" t="str">
        <f t="shared" si="623"/>
        <v/>
      </c>
    </row>
    <row r="36698" spans="8:8" x14ac:dyDescent="0.3">
      <c r="H36698" t="str">
        <f t="shared" si="623"/>
        <v/>
      </c>
    </row>
    <row r="36699" spans="8:8" x14ac:dyDescent="0.3">
      <c r="H36699" t="str">
        <f t="shared" si="623"/>
        <v/>
      </c>
    </row>
    <row r="36700" spans="8:8" x14ac:dyDescent="0.3">
      <c r="H36700" t="str">
        <f t="shared" si="623"/>
        <v/>
      </c>
    </row>
    <row r="36701" spans="8:8" x14ac:dyDescent="0.3">
      <c r="H36701" t="str">
        <f t="shared" si="623"/>
        <v/>
      </c>
    </row>
    <row r="36702" spans="8:8" x14ac:dyDescent="0.3">
      <c r="H36702" t="str">
        <f t="shared" si="623"/>
        <v/>
      </c>
    </row>
    <row r="36703" spans="8:8" x14ac:dyDescent="0.3">
      <c r="H36703" t="str">
        <f t="shared" si="623"/>
        <v/>
      </c>
    </row>
    <row r="36704" spans="8:8" x14ac:dyDescent="0.3">
      <c r="H36704" t="str">
        <f t="shared" si="623"/>
        <v/>
      </c>
    </row>
    <row r="36705" spans="8:8" x14ac:dyDescent="0.3">
      <c r="H36705" t="str">
        <f t="shared" si="623"/>
        <v/>
      </c>
    </row>
    <row r="36706" spans="8:8" x14ac:dyDescent="0.3">
      <c r="H36706" t="str">
        <f t="shared" si="623"/>
        <v/>
      </c>
    </row>
    <row r="36707" spans="8:8" x14ac:dyDescent="0.3">
      <c r="H36707" t="str">
        <f t="shared" si="623"/>
        <v/>
      </c>
    </row>
    <row r="36708" spans="8:8" x14ac:dyDescent="0.3">
      <c r="H36708" t="str">
        <f t="shared" si="623"/>
        <v/>
      </c>
    </row>
    <row r="36709" spans="8:8" x14ac:dyDescent="0.3">
      <c r="H36709" t="str">
        <f t="shared" si="623"/>
        <v/>
      </c>
    </row>
    <row r="36710" spans="8:8" x14ac:dyDescent="0.3">
      <c r="H36710" t="str">
        <f t="shared" si="623"/>
        <v/>
      </c>
    </row>
    <row r="36711" spans="8:8" x14ac:dyDescent="0.3">
      <c r="H36711" t="str">
        <f t="shared" si="623"/>
        <v/>
      </c>
    </row>
    <row r="36712" spans="8:8" x14ac:dyDescent="0.3">
      <c r="H36712" t="str">
        <f t="shared" si="623"/>
        <v/>
      </c>
    </row>
    <row r="36713" spans="8:8" x14ac:dyDescent="0.3">
      <c r="H36713" t="str">
        <f t="shared" si="623"/>
        <v/>
      </c>
    </row>
    <row r="36714" spans="8:8" x14ac:dyDescent="0.3">
      <c r="H36714" t="str">
        <f t="shared" si="623"/>
        <v/>
      </c>
    </row>
    <row r="36715" spans="8:8" x14ac:dyDescent="0.3">
      <c r="H36715" t="str">
        <f t="shared" si="623"/>
        <v/>
      </c>
    </row>
    <row r="36716" spans="8:8" x14ac:dyDescent="0.3">
      <c r="H36716" t="str">
        <f t="shared" si="623"/>
        <v/>
      </c>
    </row>
    <row r="36717" spans="8:8" x14ac:dyDescent="0.3">
      <c r="H36717" t="str">
        <f t="shared" si="623"/>
        <v/>
      </c>
    </row>
    <row r="36718" spans="8:8" x14ac:dyDescent="0.3">
      <c r="H36718" t="str">
        <f t="shared" si="623"/>
        <v/>
      </c>
    </row>
    <row r="36719" spans="8:8" x14ac:dyDescent="0.3">
      <c r="H36719" t="str">
        <f t="shared" si="623"/>
        <v/>
      </c>
    </row>
    <row r="36720" spans="8:8" x14ac:dyDescent="0.3">
      <c r="H36720" t="str">
        <f t="shared" si="623"/>
        <v/>
      </c>
    </row>
    <row r="36721" spans="8:8" x14ac:dyDescent="0.3">
      <c r="H36721" t="str">
        <f t="shared" si="623"/>
        <v/>
      </c>
    </row>
    <row r="36722" spans="8:8" x14ac:dyDescent="0.3">
      <c r="H36722" t="str">
        <f t="shared" si="623"/>
        <v/>
      </c>
    </row>
    <row r="36723" spans="8:8" x14ac:dyDescent="0.3">
      <c r="H36723" t="str">
        <f t="shared" si="623"/>
        <v/>
      </c>
    </row>
    <row r="36724" spans="8:8" x14ac:dyDescent="0.3">
      <c r="H36724" t="str">
        <f t="shared" si="623"/>
        <v/>
      </c>
    </row>
    <row r="36725" spans="8:8" x14ac:dyDescent="0.3">
      <c r="H36725" t="str">
        <f t="shared" si="623"/>
        <v/>
      </c>
    </row>
    <row r="36726" spans="8:8" x14ac:dyDescent="0.3">
      <c r="H36726" t="str">
        <f t="shared" si="623"/>
        <v/>
      </c>
    </row>
    <row r="36727" spans="8:8" x14ac:dyDescent="0.3">
      <c r="H36727" t="str">
        <f t="shared" si="623"/>
        <v/>
      </c>
    </row>
    <row r="36728" spans="8:8" x14ac:dyDescent="0.3">
      <c r="H36728" t="str">
        <f t="shared" si="623"/>
        <v/>
      </c>
    </row>
    <row r="36729" spans="8:8" x14ac:dyDescent="0.3">
      <c r="H36729" t="str">
        <f t="shared" si="623"/>
        <v/>
      </c>
    </row>
    <row r="36730" spans="8:8" x14ac:dyDescent="0.3">
      <c r="H36730" t="str">
        <f t="shared" si="623"/>
        <v/>
      </c>
    </row>
    <row r="36731" spans="8:8" x14ac:dyDescent="0.3">
      <c r="H36731" t="str">
        <f t="shared" si="623"/>
        <v/>
      </c>
    </row>
    <row r="36732" spans="8:8" x14ac:dyDescent="0.3">
      <c r="H36732" t="str">
        <f t="shared" si="623"/>
        <v/>
      </c>
    </row>
    <row r="36733" spans="8:8" x14ac:dyDescent="0.3">
      <c r="H36733" t="str">
        <f t="shared" si="623"/>
        <v/>
      </c>
    </row>
    <row r="36734" spans="8:8" x14ac:dyDescent="0.3">
      <c r="H36734" t="str">
        <f t="shared" si="623"/>
        <v/>
      </c>
    </row>
    <row r="36735" spans="8:8" x14ac:dyDescent="0.3">
      <c r="H36735" t="str">
        <f t="shared" si="623"/>
        <v/>
      </c>
    </row>
    <row r="36736" spans="8:8" x14ac:dyDescent="0.3">
      <c r="H36736" t="str">
        <f t="shared" si="623"/>
        <v/>
      </c>
    </row>
    <row r="36737" spans="8:8" x14ac:dyDescent="0.3">
      <c r="H36737" t="str">
        <f t="shared" si="623"/>
        <v/>
      </c>
    </row>
    <row r="36738" spans="8:8" x14ac:dyDescent="0.3">
      <c r="H36738" t="str">
        <f t="shared" si="623"/>
        <v/>
      </c>
    </row>
    <row r="36739" spans="8:8" x14ac:dyDescent="0.3">
      <c r="H36739" t="str">
        <f t="shared" si="623"/>
        <v/>
      </c>
    </row>
    <row r="36740" spans="8:8" x14ac:dyDescent="0.3">
      <c r="H36740" t="str">
        <f t="shared" si="623"/>
        <v/>
      </c>
    </row>
    <row r="36741" spans="8:8" x14ac:dyDescent="0.3">
      <c r="H36741" t="str">
        <f t="shared" si="623"/>
        <v/>
      </c>
    </row>
    <row r="36742" spans="8:8" x14ac:dyDescent="0.3">
      <c r="H36742" t="str">
        <f t="shared" si="623"/>
        <v/>
      </c>
    </row>
    <row r="36743" spans="8:8" x14ac:dyDescent="0.3">
      <c r="H36743" t="str">
        <f t="shared" si="623"/>
        <v/>
      </c>
    </row>
    <row r="36744" spans="8:8" x14ac:dyDescent="0.3">
      <c r="H36744" t="str">
        <f t="shared" si="623"/>
        <v/>
      </c>
    </row>
    <row r="36745" spans="8:8" x14ac:dyDescent="0.3">
      <c r="H36745" t="str">
        <f t="shared" si="623"/>
        <v/>
      </c>
    </row>
    <row r="36746" spans="8:8" x14ac:dyDescent="0.3">
      <c r="H36746" t="str">
        <f t="shared" si="623"/>
        <v/>
      </c>
    </row>
    <row r="36747" spans="8:8" x14ac:dyDescent="0.3">
      <c r="H36747" t="str">
        <f t="shared" si="623"/>
        <v/>
      </c>
    </row>
    <row r="36748" spans="8:8" x14ac:dyDescent="0.3">
      <c r="H36748" t="str">
        <f t="shared" si="623"/>
        <v/>
      </c>
    </row>
    <row r="36749" spans="8:8" x14ac:dyDescent="0.3">
      <c r="H36749" t="str">
        <f t="shared" si="623"/>
        <v/>
      </c>
    </row>
    <row r="36750" spans="8:8" x14ac:dyDescent="0.3">
      <c r="H36750" t="str">
        <f t="shared" si="623"/>
        <v/>
      </c>
    </row>
    <row r="36751" spans="8:8" x14ac:dyDescent="0.3">
      <c r="H36751" t="str">
        <f t="shared" si="623"/>
        <v/>
      </c>
    </row>
    <row r="36752" spans="8:8" x14ac:dyDescent="0.3">
      <c r="H36752" t="str">
        <f t="shared" si="623"/>
        <v/>
      </c>
    </row>
    <row r="36753" spans="8:8" x14ac:dyDescent="0.3">
      <c r="H36753" t="str">
        <f t="shared" si="623"/>
        <v/>
      </c>
    </row>
    <row r="36754" spans="8:8" x14ac:dyDescent="0.3">
      <c r="H36754" t="str">
        <f t="shared" si="623"/>
        <v/>
      </c>
    </row>
    <row r="36755" spans="8:8" x14ac:dyDescent="0.3">
      <c r="H36755" t="str">
        <f t="shared" si="623"/>
        <v/>
      </c>
    </row>
    <row r="36756" spans="8:8" x14ac:dyDescent="0.3">
      <c r="H36756" t="str">
        <f t="shared" si="623"/>
        <v/>
      </c>
    </row>
    <row r="36757" spans="8:8" x14ac:dyDescent="0.3">
      <c r="H36757" t="str">
        <f t="shared" si="623"/>
        <v/>
      </c>
    </row>
    <row r="36758" spans="8:8" x14ac:dyDescent="0.3">
      <c r="H36758" t="str">
        <f t="shared" si="623"/>
        <v/>
      </c>
    </row>
    <row r="36759" spans="8:8" x14ac:dyDescent="0.3">
      <c r="H36759" t="str">
        <f t="shared" ref="H36759:H36822" si="624">IF(B36759="","",$C$12)</f>
        <v/>
      </c>
    </row>
    <row r="36760" spans="8:8" x14ac:dyDescent="0.3">
      <c r="H36760" t="str">
        <f t="shared" si="624"/>
        <v/>
      </c>
    </row>
    <row r="36761" spans="8:8" x14ac:dyDescent="0.3">
      <c r="H36761" t="str">
        <f t="shared" si="624"/>
        <v/>
      </c>
    </row>
    <row r="36762" spans="8:8" x14ac:dyDescent="0.3">
      <c r="H36762" t="str">
        <f t="shared" si="624"/>
        <v/>
      </c>
    </row>
    <row r="36763" spans="8:8" x14ac:dyDescent="0.3">
      <c r="H36763" t="str">
        <f t="shared" si="624"/>
        <v/>
      </c>
    </row>
    <row r="36764" spans="8:8" x14ac:dyDescent="0.3">
      <c r="H36764" t="str">
        <f t="shared" si="624"/>
        <v/>
      </c>
    </row>
    <row r="36765" spans="8:8" x14ac:dyDescent="0.3">
      <c r="H36765" t="str">
        <f t="shared" si="624"/>
        <v/>
      </c>
    </row>
    <row r="36766" spans="8:8" x14ac:dyDescent="0.3">
      <c r="H36766" t="str">
        <f t="shared" si="624"/>
        <v/>
      </c>
    </row>
    <row r="36767" spans="8:8" x14ac:dyDescent="0.3">
      <c r="H36767" t="str">
        <f t="shared" si="624"/>
        <v/>
      </c>
    </row>
    <row r="36768" spans="8:8" x14ac:dyDescent="0.3">
      <c r="H36768" t="str">
        <f t="shared" si="624"/>
        <v/>
      </c>
    </row>
    <row r="36769" spans="8:8" x14ac:dyDescent="0.3">
      <c r="H36769" t="str">
        <f t="shared" si="624"/>
        <v/>
      </c>
    </row>
    <row r="36770" spans="8:8" x14ac:dyDescent="0.3">
      <c r="H36770" t="str">
        <f t="shared" si="624"/>
        <v/>
      </c>
    </row>
    <row r="36771" spans="8:8" x14ac:dyDescent="0.3">
      <c r="H36771" t="str">
        <f t="shared" si="624"/>
        <v/>
      </c>
    </row>
    <row r="36772" spans="8:8" x14ac:dyDescent="0.3">
      <c r="H36772" t="str">
        <f t="shared" si="624"/>
        <v/>
      </c>
    </row>
    <row r="36773" spans="8:8" x14ac:dyDescent="0.3">
      <c r="H36773" t="str">
        <f t="shared" si="624"/>
        <v/>
      </c>
    </row>
    <row r="36774" spans="8:8" x14ac:dyDescent="0.3">
      <c r="H36774" t="str">
        <f t="shared" si="624"/>
        <v/>
      </c>
    </row>
    <row r="36775" spans="8:8" x14ac:dyDescent="0.3">
      <c r="H36775" t="str">
        <f t="shared" si="624"/>
        <v/>
      </c>
    </row>
    <row r="36776" spans="8:8" x14ac:dyDescent="0.3">
      <c r="H36776" t="str">
        <f t="shared" si="624"/>
        <v/>
      </c>
    </row>
    <row r="36777" spans="8:8" x14ac:dyDescent="0.3">
      <c r="H36777" t="str">
        <f t="shared" si="624"/>
        <v/>
      </c>
    </row>
    <row r="36778" spans="8:8" x14ac:dyDescent="0.3">
      <c r="H36778" t="str">
        <f t="shared" si="624"/>
        <v/>
      </c>
    </row>
    <row r="36779" spans="8:8" x14ac:dyDescent="0.3">
      <c r="H36779" t="str">
        <f t="shared" si="624"/>
        <v/>
      </c>
    </row>
    <row r="36780" spans="8:8" x14ac:dyDescent="0.3">
      <c r="H36780" t="str">
        <f t="shared" si="624"/>
        <v/>
      </c>
    </row>
    <row r="36781" spans="8:8" x14ac:dyDescent="0.3">
      <c r="H36781" t="str">
        <f t="shared" si="624"/>
        <v/>
      </c>
    </row>
    <row r="36782" spans="8:8" x14ac:dyDescent="0.3">
      <c r="H36782" t="str">
        <f t="shared" si="624"/>
        <v/>
      </c>
    </row>
    <row r="36783" spans="8:8" x14ac:dyDescent="0.3">
      <c r="H36783" t="str">
        <f t="shared" si="624"/>
        <v/>
      </c>
    </row>
    <row r="36784" spans="8:8" x14ac:dyDescent="0.3">
      <c r="H36784" t="str">
        <f t="shared" si="624"/>
        <v/>
      </c>
    </row>
    <row r="36785" spans="8:8" x14ac:dyDescent="0.3">
      <c r="H36785" t="str">
        <f t="shared" si="624"/>
        <v/>
      </c>
    </row>
    <row r="36786" spans="8:8" x14ac:dyDescent="0.3">
      <c r="H36786" t="str">
        <f t="shared" si="624"/>
        <v/>
      </c>
    </row>
    <row r="36787" spans="8:8" x14ac:dyDescent="0.3">
      <c r="H36787" t="str">
        <f t="shared" si="624"/>
        <v/>
      </c>
    </row>
    <row r="36788" spans="8:8" x14ac:dyDescent="0.3">
      <c r="H36788" t="str">
        <f t="shared" si="624"/>
        <v/>
      </c>
    </row>
    <row r="36789" spans="8:8" x14ac:dyDescent="0.3">
      <c r="H36789" t="str">
        <f t="shared" si="624"/>
        <v/>
      </c>
    </row>
    <row r="36790" spans="8:8" x14ac:dyDescent="0.3">
      <c r="H36790" t="str">
        <f t="shared" si="624"/>
        <v/>
      </c>
    </row>
    <row r="36791" spans="8:8" x14ac:dyDescent="0.3">
      <c r="H36791" t="str">
        <f t="shared" si="624"/>
        <v/>
      </c>
    </row>
    <row r="36792" spans="8:8" x14ac:dyDescent="0.3">
      <c r="H36792" t="str">
        <f t="shared" si="624"/>
        <v/>
      </c>
    </row>
    <row r="36793" spans="8:8" x14ac:dyDescent="0.3">
      <c r="H36793" t="str">
        <f t="shared" si="624"/>
        <v/>
      </c>
    </row>
    <row r="36794" spans="8:8" x14ac:dyDescent="0.3">
      <c r="H36794" t="str">
        <f t="shared" si="624"/>
        <v/>
      </c>
    </row>
    <row r="36795" spans="8:8" x14ac:dyDescent="0.3">
      <c r="H36795" t="str">
        <f t="shared" si="624"/>
        <v/>
      </c>
    </row>
    <row r="36796" spans="8:8" x14ac:dyDescent="0.3">
      <c r="H36796" t="str">
        <f t="shared" si="624"/>
        <v/>
      </c>
    </row>
    <row r="36797" spans="8:8" x14ac:dyDescent="0.3">
      <c r="H36797" t="str">
        <f t="shared" si="624"/>
        <v/>
      </c>
    </row>
    <row r="36798" spans="8:8" x14ac:dyDescent="0.3">
      <c r="H36798" t="str">
        <f t="shared" si="624"/>
        <v/>
      </c>
    </row>
    <row r="36799" spans="8:8" x14ac:dyDescent="0.3">
      <c r="H36799" t="str">
        <f t="shared" si="624"/>
        <v/>
      </c>
    </row>
    <row r="36800" spans="8:8" x14ac:dyDescent="0.3">
      <c r="H36800" t="str">
        <f t="shared" si="624"/>
        <v/>
      </c>
    </row>
    <row r="36801" spans="8:8" x14ac:dyDescent="0.3">
      <c r="H36801" t="str">
        <f t="shared" si="624"/>
        <v/>
      </c>
    </row>
    <row r="36802" spans="8:8" x14ac:dyDescent="0.3">
      <c r="H36802" t="str">
        <f t="shared" si="624"/>
        <v/>
      </c>
    </row>
    <row r="36803" spans="8:8" x14ac:dyDescent="0.3">
      <c r="H36803" t="str">
        <f t="shared" si="624"/>
        <v/>
      </c>
    </row>
    <row r="36804" spans="8:8" x14ac:dyDescent="0.3">
      <c r="H36804" t="str">
        <f t="shared" si="624"/>
        <v/>
      </c>
    </row>
    <row r="36805" spans="8:8" x14ac:dyDescent="0.3">
      <c r="H36805" t="str">
        <f t="shared" si="624"/>
        <v/>
      </c>
    </row>
    <row r="36806" spans="8:8" x14ac:dyDescent="0.3">
      <c r="H36806" t="str">
        <f t="shared" si="624"/>
        <v/>
      </c>
    </row>
    <row r="36807" spans="8:8" x14ac:dyDescent="0.3">
      <c r="H36807" t="str">
        <f t="shared" si="624"/>
        <v/>
      </c>
    </row>
    <row r="36808" spans="8:8" x14ac:dyDescent="0.3">
      <c r="H36808" t="str">
        <f t="shared" si="624"/>
        <v/>
      </c>
    </row>
    <row r="36809" spans="8:8" x14ac:dyDescent="0.3">
      <c r="H36809" t="str">
        <f t="shared" si="624"/>
        <v/>
      </c>
    </row>
    <row r="36810" spans="8:8" x14ac:dyDescent="0.3">
      <c r="H36810" t="str">
        <f t="shared" si="624"/>
        <v/>
      </c>
    </row>
    <row r="36811" spans="8:8" x14ac:dyDescent="0.3">
      <c r="H36811" t="str">
        <f t="shared" si="624"/>
        <v/>
      </c>
    </row>
    <row r="36812" spans="8:8" x14ac:dyDescent="0.3">
      <c r="H36812" t="str">
        <f t="shared" si="624"/>
        <v/>
      </c>
    </row>
    <row r="36813" spans="8:8" x14ac:dyDescent="0.3">
      <c r="H36813" t="str">
        <f t="shared" si="624"/>
        <v/>
      </c>
    </row>
    <row r="36814" spans="8:8" x14ac:dyDescent="0.3">
      <c r="H36814" t="str">
        <f t="shared" si="624"/>
        <v/>
      </c>
    </row>
    <row r="36815" spans="8:8" x14ac:dyDescent="0.3">
      <c r="H36815" t="str">
        <f t="shared" si="624"/>
        <v/>
      </c>
    </row>
    <row r="36816" spans="8:8" x14ac:dyDescent="0.3">
      <c r="H36816" t="str">
        <f t="shared" si="624"/>
        <v/>
      </c>
    </row>
    <row r="36817" spans="8:8" x14ac:dyDescent="0.3">
      <c r="H36817" t="str">
        <f t="shared" si="624"/>
        <v/>
      </c>
    </row>
    <row r="36818" spans="8:8" x14ac:dyDescent="0.3">
      <c r="H36818" t="str">
        <f t="shared" si="624"/>
        <v/>
      </c>
    </row>
    <row r="36819" spans="8:8" x14ac:dyDescent="0.3">
      <c r="H36819" t="str">
        <f t="shared" si="624"/>
        <v/>
      </c>
    </row>
    <row r="36820" spans="8:8" x14ac:dyDescent="0.3">
      <c r="H36820" t="str">
        <f t="shared" si="624"/>
        <v/>
      </c>
    </row>
    <row r="36821" spans="8:8" x14ac:dyDescent="0.3">
      <c r="H36821" t="str">
        <f t="shared" si="624"/>
        <v/>
      </c>
    </row>
    <row r="36822" spans="8:8" x14ac:dyDescent="0.3">
      <c r="H36822" t="str">
        <f t="shared" si="624"/>
        <v/>
      </c>
    </row>
    <row r="36823" spans="8:8" x14ac:dyDescent="0.3">
      <c r="H36823" t="str">
        <f t="shared" ref="H36823:H36886" si="625">IF(B36823="","",$C$12)</f>
        <v/>
      </c>
    </row>
    <row r="36824" spans="8:8" x14ac:dyDescent="0.3">
      <c r="H36824" t="str">
        <f t="shared" si="625"/>
        <v/>
      </c>
    </row>
    <row r="36825" spans="8:8" x14ac:dyDescent="0.3">
      <c r="H36825" t="str">
        <f t="shared" si="625"/>
        <v/>
      </c>
    </row>
    <row r="36826" spans="8:8" x14ac:dyDescent="0.3">
      <c r="H36826" t="str">
        <f t="shared" si="625"/>
        <v/>
      </c>
    </row>
    <row r="36827" spans="8:8" x14ac:dyDescent="0.3">
      <c r="H36827" t="str">
        <f t="shared" si="625"/>
        <v/>
      </c>
    </row>
    <row r="36828" spans="8:8" x14ac:dyDescent="0.3">
      <c r="H36828" t="str">
        <f t="shared" si="625"/>
        <v/>
      </c>
    </row>
    <row r="36829" spans="8:8" x14ac:dyDescent="0.3">
      <c r="H36829" t="str">
        <f t="shared" si="625"/>
        <v/>
      </c>
    </row>
    <row r="36830" spans="8:8" x14ac:dyDescent="0.3">
      <c r="H36830" t="str">
        <f t="shared" si="625"/>
        <v/>
      </c>
    </row>
    <row r="36831" spans="8:8" x14ac:dyDescent="0.3">
      <c r="H36831" t="str">
        <f t="shared" si="625"/>
        <v/>
      </c>
    </row>
    <row r="36832" spans="8:8" x14ac:dyDescent="0.3">
      <c r="H36832" t="str">
        <f t="shared" si="625"/>
        <v/>
      </c>
    </row>
    <row r="36833" spans="8:8" x14ac:dyDescent="0.3">
      <c r="H36833" t="str">
        <f t="shared" si="625"/>
        <v/>
      </c>
    </row>
    <row r="36834" spans="8:8" x14ac:dyDescent="0.3">
      <c r="H36834" t="str">
        <f t="shared" si="625"/>
        <v/>
      </c>
    </row>
    <row r="36835" spans="8:8" x14ac:dyDescent="0.3">
      <c r="H36835" t="str">
        <f t="shared" si="625"/>
        <v/>
      </c>
    </row>
    <row r="36836" spans="8:8" x14ac:dyDescent="0.3">
      <c r="H36836" t="str">
        <f t="shared" si="625"/>
        <v/>
      </c>
    </row>
    <row r="36837" spans="8:8" x14ac:dyDescent="0.3">
      <c r="H36837" t="str">
        <f t="shared" si="625"/>
        <v/>
      </c>
    </row>
    <row r="36838" spans="8:8" x14ac:dyDescent="0.3">
      <c r="H36838" t="str">
        <f t="shared" si="625"/>
        <v/>
      </c>
    </row>
    <row r="36839" spans="8:8" x14ac:dyDescent="0.3">
      <c r="H36839" t="str">
        <f t="shared" si="625"/>
        <v/>
      </c>
    </row>
    <row r="36840" spans="8:8" x14ac:dyDescent="0.3">
      <c r="H36840" t="str">
        <f t="shared" si="625"/>
        <v/>
      </c>
    </row>
    <row r="36841" spans="8:8" x14ac:dyDescent="0.3">
      <c r="H36841" t="str">
        <f t="shared" si="625"/>
        <v/>
      </c>
    </row>
    <row r="36842" spans="8:8" x14ac:dyDescent="0.3">
      <c r="H36842" t="str">
        <f t="shared" si="625"/>
        <v/>
      </c>
    </row>
    <row r="36843" spans="8:8" x14ac:dyDescent="0.3">
      <c r="H36843" t="str">
        <f t="shared" si="625"/>
        <v/>
      </c>
    </row>
    <row r="36844" spans="8:8" x14ac:dyDescent="0.3">
      <c r="H36844" t="str">
        <f t="shared" si="625"/>
        <v/>
      </c>
    </row>
    <row r="36845" spans="8:8" x14ac:dyDescent="0.3">
      <c r="H36845" t="str">
        <f t="shared" si="625"/>
        <v/>
      </c>
    </row>
    <row r="36846" spans="8:8" x14ac:dyDescent="0.3">
      <c r="H36846" t="str">
        <f t="shared" si="625"/>
        <v/>
      </c>
    </row>
    <row r="36847" spans="8:8" x14ac:dyDescent="0.3">
      <c r="H36847" t="str">
        <f t="shared" si="625"/>
        <v/>
      </c>
    </row>
    <row r="36848" spans="8:8" x14ac:dyDescent="0.3">
      <c r="H36848" t="str">
        <f t="shared" si="625"/>
        <v/>
      </c>
    </row>
    <row r="36849" spans="8:8" x14ac:dyDescent="0.3">
      <c r="H36849" t="str">
        <f t="shared" si="625"/>
        <v/>
      </c>
    </row>
    <row r="36850" spans="8:8" x14ac:dyDescent="0.3">
      <c r="H36850" t="str">
        <f t="shared" si="625"/>
        <v/>
      </c>
    </row>
    <row r="36851" spans="8:8" x14ac:dyDescent="0.3">
      <c r="H36851" t="str">
        <f t="shared" si="625"/>
        <v/>
      </c>
    </row>
    <row r="36852" spans="8:8" x14ac:dyDescent="0.3">
      <c r="H36852" t="str">
        <f t="shared" si="625"/>
        <v/>
      </c>
    </row>
    <row r="36853" spans="8:8" x14ac:dyDescent="0.3">
      <c r="H36853" t="str">
        <f t="shared" si="625"/>
        <v/>
      </c>
    </row>
    <row r="36854" spans="8:8" x14ac:dyDescent="0.3">
      <c r="H36854" t="str">
        <f t="shared" si="625"/>
        <v/>
      </c>
    </row>
    <row r="36855" spans="8:8" x14ac:dyDescent="0.3">
      <c r="H36855" t="str">
        <f t="shared" si="625"/>
        <v/>
      </c>
    </row>
    <row r="36856" spans="8:8" x14ac:dyDescent="0.3">
      <c r="H36856" t="str">
        <f t="shared" si="625"/>
        <v/>
      </c>
    </row>
    <row r="36857" spans="8:8" x14ac:dyDescent="0.3">
      <c r="H36857" t="str">
        <f t="shared" si="625"/>
        <v/>
      </c>
    </row>
    <row r="36858" spans="8:8" x14ac:dyDescent="0.3">
      <c r="H36858" t="str">
        <f t="shared" si="625"/>
        <v/>
      </c>
    </row>
    <row r="36859" spans="8:8" x14ac:dyDescent="0.3">
      <c r="H36859" t="str">
        <f t="shared" si="625"/>
        <v/>
      </c>
    </row>
    <row r="36860" spans="8:8" x14ac:dyDescent="0.3">
      <c r="H36860" t="str">
        <f t="shared" si="625"/>
        <v/>
      </c>
    </row>
    <row r="36861" spans="8:8" x14ac:dyDescent="0.3">
      <c r="H36861" t="str">
        <f t="shared" si="625"/>
        <v/>
      </c>
    </row>
    <row r="36862" spans="8:8" x14ac:dyDescent="0.3">
      <c r="H36862" t="str">
        <f t="shared" si="625"/>
        <v/>
      </c>
    </row>
    <row r="36863" spans="8:8" x14ac:dyDescent="0.3">
      <c r="H36863" t="str">
        <f t="shared" si="625"/>
        <v/>
      </c>
    </row>
    <row r="36864" spans="8:8" x14ac:dyDescent="0.3">
      <c r="H36864" t="str">
        <f t="shared" si="625"/>
        <v/>
      </c>
    </row>
    <row r="36865" spans="8:8" x14ac:dyDescent="0.3">
      <c r="H36865" t="str">
        <f t="shared" si="625"/>
        <v/>
      </c>
    </row>
    <row r="36866" spans="8:8" x14ac:dyDescent="0.3">
      <c r="H36866" t="str">
        <f t="shared" si="625"/>
        <v/>
      </c>
    </row>
    <row r="36867" spans="8:8" x14ac:dyDescent="0.3">
      <c r="H36867" t="str">
        <f t="shared" si="625"/>
        <v/>
      </c>
    </row>
    <row r="36868" spans="8:8" x14ac:dyDescent="0.3">
      <c r="H36868" t="str">
        <f t="shared" si="625"/>
        <v/>
      </c>
    </row>
    <row r="36869" spans="8:8" x14ac:dyDescent="0.3">
      <c r="H36869" t="str">
        <f t="shared" si="625"/>
        <v/>
      </c>
    </row>
    <row r="36870" spans="8:8" x14ac:dyDescent="0.3">
      <c r="H36870" t="str">
        <f t="shared" si="625"/>
        <v/>
      </c>
    </row>
    <row r="36871" spans="8:8" x14ac:dyDescent="0.3">
      <c r="H36871" t="str">
        <f t="shared" si="625"/>
        <v/>
      </c>
    </row>
    <row r="36872" spans="8:8" x14ac:dyDescent="0.3">
      <c r="H36872" t="str">
        <f t="shared" si="625"/>
        <v/>
      </c>
    </row>
    <row r="36873" spans="8:8" x14ac:dyDescent="0.3">
      <c r="H36873" t="str">
        <f t="shared" si="625"/>
        <v/>
      </c>
    </row>
    <row r="36874" spans="8:8" x14ac:dyDescent="0.3">
      <c r="H36874" t="str">
        <f t="shared" si="625"/>
        <v/>
      </c>
    </row>
    <row r="36875" spans="8:8" x14ac:dyDescent="0.3">
      <c r="H36875" t="str">
        <f t="shared" si="625"/>
        <v/>
      </c>
    </row>
    <row r="36876" spans="8:8" x14ac:dyDescent="0.3">
      <c r="H36876" t="str">
        <f t="shared" si="625"/>
        <v/>
      </c>
    </row>
    <row r="36877" spans="8:8" x14ac:dyDescent="0.3">
      <c r="H36877" t="str">
        <f t="shared" si="625"/>
        <v/>
      </c>
    </row>
    <row r="36878" spans="8:8" x14ac:dyDescent="0.3">
      <c r="H36878" t="str">
        <f t="shared" si="625"/>
        <v/>
      </c>
    </row>
    <row r="36879" spans="8:8" x14ac:dyDescent="0.3">
      <c r="H36879" t="str">
        <f t="shared" si="625"/>
        <v/>
      </c>
    </row>
    <row r="36880" spans="8:8" x14ac:dyDescent="0.3">
      <c r="H36880" t="str">
        <f t="shared" si="625"/>
        <v/>
      </c>
    </row>
    <row r="36881" spans="8:8" x14ac:dyDescent="0.3">
      <c r="H36881" t="str">
        <f t="shared" si="625"/>
        <v/>
      </c>
    </row>
    <row r="36882" spans="8:8" x14ac:dyDescent="0.3">
      <c r="H36882" t="str">
        <f t="shared" si="625"/>
        <v/>
      </c>
    </row>
    <row r="36883" spans="8:8" x14ac:dyDescent="0.3">
      <c r="H36883" t="str">
        <f t="shared" si="625"/>
        <v/>
      </c>
    </row>
    <row r="36884" spans="8:8" x14ac:dyDescent="0.3">
      <c r="H36884" t="str">
        <f t="shared" si="625"/>
        <v/>
      </c>
    </row>
    <row r="36885" spans="8:8" x14ac:dyDescent="0.3">
      <c r="H36885" t="str">
        <f t="shared" si="625"/>
        <v/>
      </c>
    </row>
    <row r="36886" spans="8:8" x14ac:dyDescent="0.3">
      <c r="H36886" t="str">
        <f t="shared" si="625"/>
        <v/>
      </c>
    </row>
    <row r="36887" spans="8:8" x14ac:dyDescent="0.3">
      <c r="H36887" t="str">
        <f t="shared" ref="H36887:H36950" si="626">IF(B36887="","",$C$12)</f>
        <v/>
      </c>
    </row>
    <row r="36888" spans="8:8" x14ac:dyDescent="0.3">
      <c r="H36888" t="str">
        <f t="shared" si="626"/>
        <v/>
      </c>
    </row>
    <row r="36889" spans="8:8" x14ac:dyDescent="0.3">
      <c r="H36889" t="str">
        <f t="shared" si="626"/>
        <v/>
      </c>
    </row>
    <row r="36890" spans="8:8" x14ac:dyDescent="0.3">
      <c r="H36890" t="str">
        <f t="shared" si="626"/>
        <v/>
      </c>
    </row>
    <row r="36891" spans="8:8" x14ac:dyDescent="0.3">
      <c r="H36891" t="str">
        <f t="shared" si="626"/>
        <v/>
      </c>
    </row>
    <row r="36892" spans="8:8" x14ac:dyDescent="0.3">
      <c r="H36892" t="str">
        <f t="shared" si="626"/>
        <v/>
      </c>
    </row>
    <row r="36893" spans="8:8" x14ac:dyDescent="0.3">
      <c r="H36893" t="str">
        <f t="shared" si="626"/>
        <v/>
      </c>
    </row>
    <row r="36894" spans="8:8" x14ac:dyDescent="0.3">
      <c r="H36894" t="str">
        <f t="shared" si="626"/>
        <v/>
      </c>
    </row>
    <row r="36895" spans="8:8" x14ac:dyDescent="0.3">
      <c r="H36895" t="str">
        <f t="shared" si="626"/>
        <v/>
      </c>
    </row>
    <row r="36896" spans="8:8" x14ac:dyDescent="0.3">
      <c r="H36896" t="str">
        <f t="shared" si="626"/>
        <v/>
      </c>
    </row>
    <row r="36897" spans="8:8" x14ac:dyDescent="0.3">
      <c r="H36897" t="str">
        <f t="shared" si="626"/>
        <v/>
      </c>
    </row>
    <row r="36898" spans="8:8" x14ac:dyDescent="0.3">
      <c r="H36898" t="str">
        <f t="shared" si="626"/>
        <v/>
      </c>
    </row>
    <row r="36899" spans="8:8" x14ac:dyDescent="0.3">
      <c r="H36899" t="str">
        <f t="shared" si="626"/>
        <v/>
      </c>
    </row>
    <row r="36900" spans="8:8" x14ac:dyDescent="0.3">
      <c r="H36900" t="str">
        <f t="shared" si="626"/>
        <v/>
      </c>
    </row>
    <row r="36901" spans="8:8" x14ac:dyDescent="0.3">
      <c r="H36901" t="str">
        <f t="shared" si="626"/>
        <v/>
      </c>
    </row>
    <row r="36902" spans="8:8" x14ac:dyDescent="0.3">
      <c r="H36902" t="str">
        <f t="shared" si="626"/>
        <v/>
      </c>
    </row>
    <row r="36903" spans="8:8" x14ac:dyDescent="0.3">
      <c r="H36903" t="str">
        <f t="shared" si="626"/>
        <v/>
      </c>
    </row>
    <row r="36904" spans="8:8" x14ac:dyDescent="0.3">
      <c r="H36904" t="str">
        <f t="shared" si="626"/>
        <v/>
      </c>
    </row>
    <row r="36905" spans="8:8" x14ac:dyDescent="0.3">
      <c r="H36905" t="str">
        <f t="shared" si="626"/>
        <v/>
      </c>
    </row>
    <row r="36906" spans="8:8" x14ac:dyDescent="0.3">
      <c r="H36906" t="str">
        <f t="shared" si="626"/>
        <v/>
      </c>
    </row>
    <row r="36907" spans="8:8" x14ac:dyDescent="0.3">
      <c r="H36907" t="str">
        <f t="shared" si="626"/>
        <v/>
      </c>
    </row>
    <row r="36908" spans="8:8" x14ac:dyDescent="0.3">
      <c r="H36908" t="str">
        <f t="shared" si="626"/>
        <v/>
      </c>
    </row>
    <row r="36909" spans="8:8" x14ac:dyDescent="0.3">
      <c r="H36909" t="str">
        <f t="shared" si="626"/>
        <v/>
      </c>
    </row>
    <row r="36910" spans="8:8" x14ac:dyDescent="0.3">
      <c r="H36910" t="str">
        <f t="shared" si="626"/>
        <v/>
      </c>
    </row>
    <row r="36911" spans="8:8" x14ac:dyDescent="0.3">
      <c r="H36911" t="str">
        <f t="shared" si="626"/>
        <v/>
      </c>
    </row>
    <row r="36912" spans="8:8" x14ac:dyDescent="0.3">
      <c r="H36912" t="str">
        <f t="shared" si="626"/>
        <v/>
      </c>
    </row>
    <row r="36913" spans="8:8" x14ac:dyDescent="0.3">
      <c r="H36913" t="str">
        <f t="shared" si="626"/>
        <v/>
      </c>
    </row>
    <row r="36914" spans="8:8" x14ac:dyDescent="0.3">
      <c r="H36914" t="str">
        <f t="shared" si="626"/>
        <v/>
      </c>
    </row>
    <row r="36915" spans="8:8" x14ac:dyDescent="0.3">
      <c r="H36915" t="str">
        <f t="shared" si="626"/>
        <v/>
      </c>
    </row>
    <row r="36916" spans="8:8" x14ac:dyDescent="0.3">
      <c r="H36916" t="str">
        <f t="shared" si="626"/>
        <v/>
      </c>
    </row>
    <row r="36917" spans="8:8" x14ac:dyDescent="0.3">
      <c r="H36917" t="str">
        <f t="shared" si="626"/>
        <v/>
      </c>
    </row>
    <row r="36918" spans="8:8" x14ac:dyDescent="0.3">
      <c r="H36918" t="str">
        <f t="shared" si="626"/>
        <v/>
      </c>
    </row>
    <row r="36919" spans="8:8" x14ac:dyDescent="0.3">
      <c r="H36919" t="str">
        <f t="shared" si="626"/>
        <v/>
      </c>
    </row>
    <row r="36920" spans="8:8" x14ac:dyDescent="0.3">
      <c r="H36920" t="str">
        <f t="shared" si="626"/>
        <v/>
      </c>
    </row>
    <row r="36921" spans="8:8" x14ac:dyDescent="0.3">
      <c r="H36921" t="str">
        <f t="shared" si="626"/>
        <v/>
      </c>
    </row>
    <row r="36922" spans="8:8" x14ac:dyDescent="0.3">
      <c r="H36922" t="str">
        <f t="shared" si="626"/>
        <v/>
      </c>
    </row>
    <row r="36923" spans="8:8" x14ac:dyDescent="0.3">
      <c r="H36923" t="str">
        <f t="shared" si="626"/>
        <v/>
      </c>
    </row>
    <row r="36924" spans="8:8" x14ac:dyDescent="0.3">
      <c r="H36924" t="str">
        <f t="shared" si="626"/>
        <v/>
      </c>
    </row>
    <row r="36925" spans="8:8" x14ac:dyDescent="0.3">
      <c r="H36925" t="str">
        <f t="shared" si="626"/>
        <v/>
      </c>
    </row>
    <row r="36926" spans="8:8" x14ac:dyDescent="0.3">
      <c r="H36926" t="str">
        <f t="shared" si="626"/>
        <v/>
      </c>
    </row>
    <row r="36927" spans="8:8" x14ac:dyDescent="0.3">
      <c r="H36927" t="str">
        <f t="shared" si="626"/>
        <v/>
      </c>
    </row>
    <row r="36928" spans="8:8" x14ac:dyDescent="0.3">
      <c r="H36928" t="str">
        <f t="shared" si="626"/>
        <v/>
      </c>
    </row>
    <row r="36929" spans="8:8" x14ac:dyDescent="0.3">
      <c r="H36929" t="str">
        <f t="shared" si="626"/>
        <v/>
      </c>
    </row>
    <row r="36930" spans="8:8" x14ac:dyDescent="0.3">
      <c r="H36930" t="str">
        <f t="shared" si="626"/>
        <v/>
      </c>
    </row>
    <row r="36931" spans="8:8" x14ac:dyDescent="0.3">
      <c r="H36931" t="str">
        <f t="shared" si="626"/>
        <v/>
      </c>
    </row>
    <row r="36932" spans="8:8" x14ac:dyDescent="0.3">
      <c r="H36932" t="str">
        <f t="shared" si="626"/>
        <v/>
      </c>
    </row>
    <row r="36933" spans="8:8" x14ac:dyDescent="0.3">
      <c r="H36933" t="str">
        <f t="shared" si="626"/>
        <v/>
      </c>
    </row>
    <row r="36934" spans="8:8" x14ac:dyDescent="0.3">
      <c r="H36934" t="str">
        <f t="shared" si="626"/>
        <v/>
      </c>
    </row>
    <row r="36935" spans="8:8" x14ac:dyDescent="0.3">
      <c r="H36935" t="str">
        <f t="shared" si="626"/>
        <v/>
      </c>
    </row>
    <row r="36936" spans="8:8" x14ac:dyDescent="0.3">
      <c r="H36936" t="str">
        <f t="shared" si="626"/>
        <v/>
      </c>
    </row>
    <row r="36937" spans="8:8" x14ac:dyDescent="0.3">
      <c r="H36937" t="str">
        <f t="shared" si="626"/>
        <v/>
      </c>
    </row>
    <row r="36938" spans="8:8" x14ac:dyDescent="0.3">
      <c r="H36938" t="str">
        <f t="shared" si="626"/>
        <v/>
      </c>
    </row>
    <row r="36939" spans="8:8" x14ac:dyDescent="0.3">
      <c r="H36939" t="str">
        <f t="shared" si="626"/>
        <v/>
      </c>
    </row>
    <row r="36940" spans="8:8" x14ac:dyDescent="0.3">
      <c r="H36940" t="str">
        <f t="shared" si="626"/>
        <v/>
      </c>
    </row>
    <row r="36941" spans="8:8" x14ac:dyDescent="0.3">
      <c r="H36941" t="str">
        <f t="shared" si="626"/>
        <v/>
      </c>
    </row>
    <row r="36942" spans="8:8" x14ac:dyDescent="0.3">
      <c r="H36942" t="str">
        <f t="shared" si="626"/>
        <v/>
      </c>
    </row>
    <row r="36943" spans="8:8" x14ac:dyDescent="0.3">
      <c r="H36943" t="str">
        <f t="shared" si="626"/>
        <v/>
      </c>
    </row>
    <row r="36944" spans="8:8" x14ac:dyDescent="0.3">
      <c r="H36944" t="str">
        <f t="shared" si="626"/>
        <v/>
      </c>
    </row>
    <row r="36945" spans="8:8" x14ac:dyDescent="0.3">
      <c r="H36945" t="str">
        <f t="shared" si="626"/>
        <v/>
      </c>
    </row>
    <row r="36946" spans="8:8" x14ac:dyDescent="0.3">
      <c r="H36946" t="str">
        <f t="shared" si="626"/>
        <v/>
      </c>
    </row>
    <row r="36947" spans="8:8" x14ac:dyDescent="0.3">
      <c r="H36947" t="str">
        <f t="shared" si="626"/>
        <v/>
      </c>
    </row>
    <row r="36948" spans="8:8" x14ac:dyDescent="0.3">
      <c r="H36948" t="str">
        <f t="shared" si="626"/>
        <v/>
      </c>
    </row>
    <row r="36949" spans="8:8" x14ac:dyDescent="0.3">
      <c r="H36949" t="str">
        <f t="shared" si="626"/>
        <v/>
      </c>
    </row>
    <row r="36950" spans="8:8" x14ac:dyDescent="0.3">
      <c r="H36950" t="str">
        <f t="shared" si="626"/>
        <v/>
      </c>
    </row>
    <row r="36951" spans="8:8" x14ac:dyDescent="0.3">
      <c r="H36951" t="str">
        <f t="shared" ref="H36951:H37014" si="627">IF(B36951="","",$C$12)</f>
        <v/>
      </c>
    </row>
    <row r="36952" spans="8:8" x14ac:dyDescent="0.3">
      <c r="H36952" t="str">
        <f t="shared" si="627"/>
        <v/>
      </c>
    </row>
    <row r="36953" spans="8:8" x14ac:dyDescent="0.3">
      <c r="H36953" t="str">
        <f t="shared" si="627"/>
        <v/>
      </c>
    </row>
    <row r="36954" spans="8:8" x14ac:dyDescent="0.3">
      <c r="H36954" t="str">
        <f t="shared" si="627"/>
        <v/>
      </c>
    </row>
    <row r="36955" spans="8:8" x14ac:dyDescent="0.3">
      <c r="H36955" t="str">
        <f t="shared" si="627"/>
        <v/>
      </c>
    </row>
    <row r="36956" spans="8:8" x14ac:dyDescent="0.3">
      <c r="H36956" t="str">
        <f t="shared" si="627"/>
        <v/>
      </c>
    </row>
    <row r="36957" spans="8:8" x14ac:dyDescent="0.3">
      <c r="H36957" t="str">
        <f t="shared" si="627"/>
        <v/>
      </c>
    </row>
    <row r="36958" spans="8:8" x14ac:dyDescent="0.3">
      <c r="H36958" t="str">
        <f t="shared" si="627"/>
        <v/>
      </c>
    </row>
    <row r="36959" spans="8:8" x14ac:dyDescent="0.3">
      <c r="H36959" t="str">
        <f t="shared" si="627"/>
        <v/>
      </c>
    </row>
    <row r="36960" spans="8:8" x14ac:dyDescent="0.3">
      <c r="H36960" t="str">
        <f t="shared" si="627"/>
        <v/>
      </c>
    </row>
    <row r="36961" spans="8:8" x14ac:dyDescent="0.3">
      <c r="H36961" t="str">
        <f t="shared" si="627"/>
        <v/>
      </c>
    </row>
    <row r="36962" spans="8:8" x14ac:dyDescent="0.3">
      <c r="H36962" t="str">
        <f t="shared" si="627"/>
        <v/>
      </c>
    </row>
    <row r="36963" spans="8:8" x14ac:dyDescent="0.3">
      <c r="H36963" t="str">
        <f t="shared" si="627"/>
        <v/>
      </c>
    </row>
    <row r="36964" spans="8:8" x14ac:dyDescent="0.3">
      <c r="H36964" t="str">
        <f t="shared" si="627"/>
        <v/>
      </c>
    </row>
    <row r="36965" spans="8:8" x14ac:dyDescent="0.3">
      <c r="H36965" t="str">
        <f t="shared" si="627"/>
        <v/>
      </c>
    </row>
    <row r="36966" spans="8:8" x14ac:dyDescent="0.3">
      <c r="H36966" t="str">
        <f t="shared" si="627"/>
        <v/>
      </c>
    </row>
    <row r="36967" spans="8:8" x14ac:dyDescent="0.3">
      <c r="H36967" t="str">
        <f t="shared" si="627"/>
        <v/>
      </c>
    </row>
    <row r="36968" spans="8:8" x14ac:dyDescent="0.3">
      <c r="H36968" t="str">
        <f t="shared" si="627"/>
        <v/>
      </c>
    </row>
    <row r="36969" spans="8:8" x14ac:dyDescent="0.3">
      <c r="H36969" t="str">
        <f t="shared" si="627"/>
        <v/>
      </c>
    </row>
    <row r="36970" spans="8:8" x14ac:dyDescent="0.3">
      <c r="H36970" t="str">
        <f t="shared" si="627"/>
        <v/>
      </c>
    </row>
    <row r="36971" spans="8:8" x14ac:dyDescent="0.3">
      <c r="H36971" t="str">
        <f t="shared" si="627"/>
        <v/>
      </c>
    </row>
    <row r="36972" spans="8:8" x14ac:dyDescent="0.3">
      <c r="H36972" t="str">
        <f t="shared" si="627"/>
        <v/>
      </c>
    </row>
    <row r="36973" spans="8:8" x14ac:dyDescent="0.3">
      <c r="H36973" t="str">
        <f t="shared" si="627"/>
        <v/>
      </c>
    </row>
    <row r="36974" spans="8:8" x14ac:dyDescent="0.3">
      <c r="H36974" t="str">
        <f t="shared" si="627"/>
        <v/>
      </c>
    </row>
    <row r="36975" spans="8:8" x14ac:dyDescent="0.3">
      <c r="H36975" t="str">
        <f t="shared" si="627"/>
        <v/>
      </c>
    </row>
    <row r="36976" spans="8:8" x14ac:dyDescent="0.3">
      <c r="H36976" t="str">
        <f t="shared" si="627"/>
        <v/>
      </c>
    </row>
    <row r="36977" spans="8:8" x14ac:dyDescent="0.3">
      <c r="H36977" t="str">
        <f t="shared" si="627"/>
        <v/>
      </c>
    </row>
    <row r="36978" spans="8:8" x14ac:dyDescent="0.3">
      <c r="H36978" t="str">
        <f t="shared" si="627"/>
        <v/>
      </c>
    </row>
    <row r="36979" spans="8:8" x14ac:dyDescent="0.3">
      <c r="H36979" t="str">
        <f t="shared" si="627"/>
        <v/>
      </c>
    </row>
    <row r="36980" spans="8:8" x14ac:dyDescent="0.3">
      <c r="H36980" t="str">
        <f t="shared" si="627"/>
        <v/>
      </c>
    </row>
    <row r="36981" spans="8:8" x14ac:dyDescent="0.3">
      <c r="H36981" t="str">
        <f t="shared" si="627"/>
        <v/>
      </c>
    </row>
    <row r="36982" spans="8:8" x14ac:dyDescent="0.3">
      <c r="H36982" t="str">
        <f t="shared" si="627"/>
        <v/>
      </c>
    </row>
    <row r="36983" spans="8:8" x14ac:dyDescent="0.3">
      <c r="H36983" t="str">
        <f t="shared" si="627"/>
        <v/>
      </c>
    </row>
    <row r="36984" spans="8:8" x14ac:dyDescent="0.3">
      <c r="H36984" t="str">
        <f t="shared" si="627"/>
        <v/>
      </c>
    </row>
    <row r="36985" spans="8:8" x14ac:dyDescent="0.3">
      <c r="H36985" t="str">
        <f t="shared" si="627"/>
        <v/>
      </c>
    </row>
    <row r="36986" spans="8:8" x14ac:dyDescent="0.3">
      <c r="H36986" t="str">
        <f t="shared" si="627"/>
        <v/>
      </c>
    </row>
    <row r="36987" spans="8:8" x14ac:dyDescent="0.3">
      <c r="H36987" t="str">
        <f t="shared" si="627"/>
        <v/>
      </c>
    </row>
    <row r="36988" spans="8:8" x14ac:dyDescent="0.3">
      <c r="H36988" t="str">
        <f t="shared" si="627"/>
        <v/>
      </c>
    </row>
    <row r="36989" spans="8:8" x14ac:dyDescent="0.3">
      <c r="H36989" t="str">
        <f t="shared" si="627"/>
        <v/>
      </c>
    </row>
    <row r="36990" spans="8:8" x14ac:dyDescent="0.3">
      <c r="H36990" t="str">
        <f t="shared" si="627"/>
        <v/>
      </c>
    </row>
    <row r="36991" spans="8:8" x14ac:dyDescent="0.3">
      <c r="H36991" t="str">
        <f t="shared" si="627"/>
        <v/>
      </c>
    </row>
    <row r="36992" spans="8:8" x14ac:dyDescent="0.3">
      <c r="H36992" t="str">
        <f t="shared" si="627"/>
        <v/>
      </c>
    </row>
    <row r="36993" spans="8:8" x14ac:dyDescent="0.3">
      <c r="H36993" t="str">
        <f t="shared" si="627"/>
        <v/>
      </c>
    </row>
    <row r="36994" spans="8:8" x14ac:dyDescent="0.3">
      <c r="H36994" t="str">
        <f t="shared" si="627"/>
        <v/>
      </c>
    </row>
    <row r="36995" spans="8:8" x14ac:dyDescent="0.3">
      <c r="H36995" t="str">
        <f t="shared" si="627"/>
        <v/>
      </c>
    </row>
    <row r="36996" spans="8:8" x14ac:dyDescent="0.3">
      <c r="H36996" t="str">
        <f t="shared" si="627"/>
        <v/>
      </c>
    </row>
    <row r="36997" spans="8:8" x14ac:dyDescent="0.3">
      <c r="H36997" t="str">
        <f t="shared" si="627"/>
        <v/>
      </c>
    </row>
    <row r="36998" spans="8:8" x14ac:dyDescent="0.3">
      <c r="H36998" t="str">
        <f t="shared" si="627"/>
        <v/>
      </c>
    </row>
    <row r="36999" spans="8:8" x14ac:dyDescent="0.3">
      <c r="H36999" t="str">
        <f t="shared" si="627"/>
        <v/>
      </c>
    </row>
    <row r="37000" spans="8:8" x14ac:dyDescent="0.3">
      <c r="H37000" t="str">
        <f t="shared" si="627"/>
        <v/>
      </c>
    </row>
    <row r="37001" spans="8:8" x14ac:dyDescent="0.3">
      <c r="H37001" t="str">
        <f t="shared" si="627"/>
        <v/>
      </c>
    </row>
    <row r="37002" spans="8:8" x14ac:dyDescent="0.3">
      <c r="H37002" t="str">
        <f t="shared" si="627"/>
        <v/>
      </c>
    </row>
    <row r="37003" spans="8:8" x14ac:dyDescent="0.3">
      <c r="H37003" t="str">
        <f t="shared" si="627"/>
        <v/>
      </c>
    </row>
    <row r="37004" spans="8:8" x14ac:dyDescent="0.3">
      <c r="H37004" t="str">
        <f t="shared" si="627"/>
        <v/>
      </c>
    </row>
    <row r="37005" spans="8:8" x14ac:dyDescent="0.3">
      <c r="H37005" t="str">
        <f t="shared" si="627"/>
        <v/>
      </c>
    </row>
    <row r="37006" spans="8:8" x14ac:dyDescent="0.3">
      <c r="H37006" t="str">
        <f t="shared" si="627"/>
        <v/>
      </c>
    </row>
    <row r="37007" spans="8:8" x14ac:dyDescent="0.3">
      <c r="H37007" t="str">
        <f t="shared" si="627"/>
        <v/>
      </c>
    </row>
    <row r="37008" spans="8:8" x14ac:dyDescent="0.3">
      <c r="H37008" t="str">
        <f t="shared" si="627"/>
        <v/>
      </c>
    </row>
    <row r="37009" spans="8:8" x14ac:dyDescent="0.3">
      <c r="H37009" t="str">
        <f t="shared" si="627"/>
        <v/>
      </c>
    </row>
    <row r="37010" spans="8:8" x14ac:dyDescent="0.3">
      <c r="H37010" t="str">
        <f t="shared" si="627"/>
        <v/>
      </c>
    </row>
    <row r="37011" spans="8:8" x14ac:dyDescent="0.3">
      <c r="H37011" t="str">
        <f t="shared" si="627"/>
        <v/>
      </c>
    </row>
    <row r="37012" spans="8:8" x14ac:dyDescent="0.3">
      <c r="H37012" t="str">
        <f t="shared" si="627"/>
        <v/>
      </c>
    </row>
    <row r="37013" spans="8:8" x14ac:dyDescent="0.3">
      <c r="H37013" t="str">
        <f t="shared" si="627"/>
        <v/>
      </c>
    </row>
    <row r="37014" spans="8:8" x14ac:dyDescent="0.3">
      <c r="H37014" t="str">
        <f t="shared" si="627"/>
        <v/>
      </c>
    </row>
    <row r="37015" spans="8:8" x14ac:dyDescent="0.3">
      <c r="H37015" t="str">
        <f t="shared" ref="H37015:H37078" si="628">IF(B37015="","",$C$12)</f>
        <v/>
      </c>
    </row>
    <row r="37016" spans="8:8" x14ac:dyDescent="0.3">
      <c r="H37016" t="str">
        <f t="shared" si="628"/>
        <v/>
      </c>
    </row>
    <row r="37017" spans="8:8" x14ac:dyDescent="0.3">
      <c r="H37017" t="str">
        <f t="shared" si="628"/>
        <v/>
      </c>
    </row>
    <row r="37018" spans="8:8" x14ac:dyDescent="0.3">
      <c r="H37018" t="str">
        <f t="shared" si="628"/>
        <v/>
      </c>
    </row>
    <row r="37019" spans="8:8" x14ac:dyDescent="0.3">
      <c r="H37019" t="str">
        <f t="shared" si="628"/>
        <v/>
      </c>
    </row>
    <row r="37020" spans="8:8" x14ac:dyDescent="0.3">
      <c r="H37020" t="str">
        <f t="shared" si="628"/>
        <v/>
      </c>
    </row>
    <row r="37021" spans="8:8" x14ac:dyDescent="0.3">
      <c r="H37021" t="str">
        <f t="shared" si="628"/>
        <v/>
      </c>
    </row>
    <row r="37022" spans="8:8" x14ac:dyDescent="0.3">
      <c r="H37022" t="str">
        <f t="shared" si="628"/>
        <v/>
      </c>
    </row>
    <row r="37023" spans="8:8" x14ac:dyDescent="0.3">
      <c r="H37023" t="str">
        <f t="shared" si="628"/>
        <v/>
      </c>
    </row>
    <row r="37024" spans="8:8" x14ac:dyDescent="0.3">
      <c r="H37024" t="str">
        <f t="shared" si="628"/>
        <v/>
      </c>
    </row>
    <row r="37025" spans="8:8" x14ac:dyDescent="0.3">
      <c r="H37025" t="str">
        <f t="shared" si="628"/>
        <v/>
      </c>
    </row>
    <row r="37026" spans="8:8" x14ac:dyDescent="0.3">
      <c r="H37026" t="str">
        <f t="shared" si="628"/>
        <v/>
      </c>
    </row>
    <row r="37027" spans="8:8" x14ac:dyDescent="0.3">
      <c r="H37027" t="str">
        <f t="shared" si="628"/>
        <v/>
      </c>
    </row>
    <row r="37028" spans="8:8" x14ac:dyDescent="0.3">
      <c r="H37028" t="str">
        <f t="shared" si="628"/>
        <v/>
      </c>
    </row>
    <row r="37029" spans="8:8" x14ac:dyDescent="0.3">
      <c r="H37029" t="str">
        <f t="shared" si="628"/>
        <v/>
      </c>
    </row>
    <row r="37030" spans="8:8" x14ac:dyDescent="0.3">
      <c r="H37030" t="str">
        <f t="shared" si="628"/>
        <v/>
      </c>
    </row>
    <row r="37031" spans="8:8" x14ac:dyDescent="0.3">
      <c r="H37031" t="str">
        <f t="shared" si="628"/>
        <v/>
      </c>
    </row>
    <row r="37032" spans="8:8" x14ac:dyDescent="0.3">
      <c r="H37032" t="str">
        <f t="shared" si="628"/>
        <v/>
      </c>
    </row>
    <row r="37033" spans="8:8" x14ac:dyDescent="0.3">
      <c r="H37033" t="str">
        <f t="shared" si="628"/>
        <v/>
      </c>
    </row>
    <row r="37034" spans="8:8" x14ac:dyDescent="0.3">
      <c r="H37034" t="str">
        <f t="shared" si="628"/>
        <v/>
      </c>
    </row>
    <row r="37035" spans="8:8" x14ac:dyDescent="0.3">
      <c r="H37035" t="str">
        <f t="shared" si="628"/>
        <v/>
      </c>
    </row>
    <row r="37036" spans="8:8" x14ac:dyDescent="0.3">
      <c r="H37036" t="str">
        <f t="shared" si="628"/>
        <v/>
      </c>
    </row>
    <row r="37037" spans="8:8" x14ac:dyDescent="0.3">
      <c r="H37037" t="str">
        <f t="shared" si="628"/>
        <v/>
      </c>
    </row>
    <row r="37038" spans="8:8" x14ac:dyDescent="0.3">
      <c r="H37038" t="str">
        <f t="shared" si="628"/>
        <v/>
      </c>
    </row>
    <row r="37039" spans="8:8" x14ac:dyDescent="0.3">
      <c r="H37039" t="str">
        <f t="shared" si="628"/>
        <v/>
      </c>
    </row>
    <row r="37040" spans="8:8" x14ac:dyDescent="0.3">
      <c r="H37040" t="str">
        <f t="shared" si="628"/>
        <v/>
      </c>
    </row>
    <row r="37041" spans="8:8" x14ac:dyDescent="0.3">
      <c r="H37041" t="str">
        <f t="shared" si="628"/>
        <v/>
      </c>
    </row>
    <row r="37042" spans="8:8" x14ac:dyDescent="0.3">
      <c r="H37042" t="str">
        <f t="shared" si="628"/>
        <v/>
      </c>
    </row>
    <row r="37043" spans="8:8" x14ac:dyDescent="0.3">
      <c r="H37043" t="str">
        <f t="shared" si="628"/>
        <v/>
      </c>
    </row>
    <row r="37044" spans="8:8" x14ac:dyDescent="0.3">
      <c r="H37044" t="str">
        <f t="shared" si="628"/>
        <v/>
      </c>
    </row>
    <row r="37045" spans="8:8" x14ac:dyDescent="0.3">
      <c r="H37045" t="str">
        <f t="shared" si="628"/>
        <v/>
      </c>
    </row>
    <row r="37046" spans="8:8" x14ac:dyDescent="0.3">
      <c r="H37046" t="str">
        <f t="shared" si="628"/>
        <v/>
      </c>
    </row>
    <row r="37047" spans="8:8" x14ac:dyDescent="0.3">
      <c r="H37047" t="str">
        <f t="shared" si="628"/>
        <v/>
      </c>
    </row>
    <row r="37048" spans="8:8" x14ac:dyDescent="0.3">
      <c r="H37048" t="str">
        <f t="shared" si="628"/>
        <v/>
      </c>
    </row>
    <row r="37049" spans="8:8" x14ac:dyDescent="0.3">
      <c r="H37049" t="str">
        <f t="shared" si="628"/>
        <v/>
      </c>
    </row>
    <row r="37050" spans="8:8" x14ac:dyDescent="0.3">
      <c r="H37050" t="str">
        <f t="shared" si="628"/>
        <v/>
      </c>
    </row>
    <row r="37051" spans="8:8" x14ac:dyDescent="0.3">
      <c r="H37051" t="str">
        <f t="shared" si="628"/>
        <v/>
      </c>
    </row>
    <row r="37052" spans="8:8" x14ac:dyDescent="0.3">
      <c r="H37052" t="str">
        <f t="shared" si="628"/>
        <v/>
      </c>
    </row>
    <row r="37053" spans="8:8" x14ac:dyDescent="0.3">
      <c r="H37053" t="str">
        <f t="shared" si="628"/>
        <v/>
      </c>
    </row>
    <row r="37054" spans="8:8" x14ac:dyDescent="0.3">
      <c r="H37054" t="str">
        <f t="shared" si="628"/>
        <v/>
      </c>
    </row>
    <row r="37055" spans="8:8" x14ac:dyDescent="0.3">
      <c r="H37055" t="str">
        <f t="shared" si="628"/>
        <v/>
      </c>
    </row>
    <row r="37056" spans="8:8" x14ac:dyDescent="0.3">
      <c r="H37056" t="str">
        <f t="shared" si="628"/>
        <v/>
      </c>
    </row>
    <row r="37057" spans="8:8" x14ac:dyDescent="0.3">
      <c r="H37057" t="str">
        <f t="shared" si="628"/>
        <v/>
      </c>
    </row>
    <row r="37058" spans="8:8" x14ac:dyDescent="0.3">
      <c r="H37058" t="str">
        <f t="shared" si="628"/>
        <v/>
      </c>
    </row>
    <row r="37059" spans="8:8" x14ac:dyDescent="0.3">
      <c r="H37059" t="str">
        <f t="shared" si="628"/>
        <v/>
      </c>
    </row>
    <row r="37060" spans="8:8" x14ac:dyDescent="0.3">
      <c r="H37060" t="str">
        <f t="shared" si="628"/>
        <v/>
      </c>
    </row>
    <row r="37061" spans="8:8" x14ac:dyDescent="0.3">
      <c r="H37061" t="str">
        <f t="shared" si="628"/>
        <v/>
      </c>
    </row>
    <row r="37062" spans="8:8" x14ac:dyDescent="0.3">
      <c r="H37062" t="str">
        <f t="shared" si="628"/>
        <v/>
      </c>
    </row>
    <row r="37063" spans="8:8" x14ac:dyDescent="0.3">
      <c r="H37063" t="str">
        <f t="shared" si="628"/>
        <v/>
      </c>
    </row>
    <row r="37064" spans="8:8" x14ac:dyDescent="0.3">
      <c r="H37064" t="str">
        <f t="shared" si="628"/>
        <v/>
      </c>
    </row>
    <row r="37065" spans="8:8" x14ac:dyDescent="0.3">
      <c r="H37065" t="str">
        <f t="shared" si="628"/>
        <v/>
      </c>
    </row>
    <row r="37066" spans="8:8" x14ac:dyDescent="0.3">
      <c r="H37066" t="str">
        <f t="shared" si="628"/>
        <v/>
      </c>
    </row>
    <row r="37067" spans="8:8" x14ac:dyDescent="0.3">
      <c r="H37067" t="str">
        <f t="shared" si="628"/>
        <v/>
      </c>
    </row>
    <row r="37068" spans="8:8" x14ac:dyDescent="0.3">
      <c r="H37068" t="str">
        <f t="shared" si="628"/>
        <v/>
      </c>
    </row>
    <row r="37069" spans="8:8" x14ac:dyDescent="0.3">
      <c r="H37069" t="str">
        <f t="shared" si="628"/>
        <v/>
      </c>
    </row>
    <row r="37070" spans="8:8" x14ac:dyDescent="0.3">
      <c r="H37070" t="str">
        <f t="shared" si="628"/>
        <v/>
      </c>
    </row>
    <row r="37071" spans="8:8" x14ac:dyDescent="0.3">
      <c r="H37071" t="str">
        <f t="shared" si="628"/>
        <v/>
      </c>
    </row>
    <row r="37072" spans="8:8" x14ac:dyDescent="0.3">
      <c r="H37072" t="str">
        <f t="shared" si="628"/>
        <v/>
      </c>
    </row>
    <row r="37073" spans="8:8" x14ac:dyDescent="0.3">
      <c r="H37073" t="str">
        <f t="shared" si="628"/>
        <v/>
      </c>
    </row>
    <row r="37074" spans="8:8" x14ac:dyDescent="0.3">
      <c r="H37074" t="str">
        <f t="shared" si="628"/>
        <v/>
      </c>
    </row>
    <row r="37075" spans="8:8" x14ac:dyDescent="0.3">
      <c r="H37075" t="str">
        <f t="shared" si="628"/>
        <v/>
      </c>
    </row>
    <row r="37076" spans="8:8" x14ac:dyDescent="0.3">
      <c r="H37076" t="str">
        <f t="shared" si="628"/>
        <v/>
      </c>
    </row>
    <row r="37077" spans="8:8" x14ac:dyDescent="0.3">
      <c r="H37077" t="str">
        <f t="shared" si="628"/>
        <v/>
      </c>
    </row>
    <row r="37078" spans="8:8" x14ac:dyDescent="0.3">
      <c r="H37078" t="str">
        <f t="shared" si="628"/>
        <v/>
      </c>
    </row>
    <row r="37079" spans="8:8" x14ac:dyDescent="0.3">
      <c r="H37079" t="str">
        <f t="shared" ref="H37079:H37142" si="629">IF(B37079="","",$C$12)</f>
        <v/>
      </c>
    </row>
    <row r="37080" spans="8:8" x14ac:dyDescent="0.3">
      <c r="H37080" t="str">
        <f t="shared" si="629"/>
        <v/>
      </c>
    </row>
    <row r="37081" spans="8:8" x14ac:dyDescent="0.3">
      <c r="H37081" t="str">
        <f t="shared" si="629"/>
        <v/>
      </c>
    </row>
    <row r="37082" spans="8:8" x14ac:dyDescent="0.3">
      <c r="H37082" t="str">
        <f t="shared" si="629"/>
        <v/>
      </c>
    </row>
    <row r="37083" spans="8:8" x14ac:dyDescent="0.3">
      <c r="H37083" t="str">
        <f t="shared" si="629"/>
        <v/>
      </c>
    </row>
    <row r="37084" spans="8:8" x14ac:dyDescent="0.3">
      <c r="H37084" t="str">
        <f t="shared" si="629"/>
        <v/>
      </c>
    </row>
    <row r="37085" spans="8:8" x14ac:dyDescent="0.3">
      <c r="H37085" t="str">
        <f t="shared" si="629"/>
        <v/>
      </c>
    </row>
    <row r="37086" spans="8:8" x14ac:dyDescent="0.3">
      <c r="H37086" t="str">
        <f t="shared" si="629"/>
        <v/>
      </c>
    </row>
    <row r="37087" spans="8:8" x14ac:dyDescent="0.3">
      <c r="H37087" t="str">
        <f t="shared" si="629"/>
        <v/>
      </c>
    </row>
    <row r="37088" spans="8:8" x14ac:dyDescent="0.3">
      <c r="H37088" t="str">
        <f t="shared" si="629"/>
        <v/>
      </c>
    </row>
    <row r="37089" spans="8:8" x14ac:dyDescent="0.3">
      <c r="H37089" t="str">
        <f t="shared" si="629"/>
        <v/>
      </c>
    </row>
    <row r="37090" spans="8:8" x14ac:dyDescent="0.3">
      <c r="H37090" t="str">
        <f t="shared" si="629"/>
        <v/>
      </c>
    </row>
    <row r="37091" spans="8:8" x14ac:dyDescent="0.3">
      <c r="H37091" t="str">
        <f t="shared" si="629"/>
        <v/>
      </c>
    </row>
    <row r="37092" spans="8:8" x14ac:dyDescent="0.3">
      <c r="H37092" t="str">
        <f t="shared" si="629"/>
        <v/>
      </c>
    </row>
    <row r="37093" spans="8:8" x14ac:dyDescent="0.3">
      <c r="H37093" t="str">
        <f t="shared" si="629"/>
        <v/>
      </c>
    </row>
    <row r="37094" spans="8:8" x14ac:dyDescent="0.3">
      <c r="H37094" t="str">
        <f t="shared" si="629"/>
        <v/>
      </c>
    </row>
    <row r="37095" spans="8:8" x14ac:dyDescent="0.3">
      <c r="H37095" t="str">
        <f t="shared" si="629"/>
        <v/>
      </c>
    </row>
    <row r="37096" spans="8:8" x14ac:dyDescent="0.3">
      <c r="H37096" t="str">
        <f t="shared" si="629"/>
        <v/>
      </c>
    </row>
    <row r="37097" spans="8:8" x14ac:dyDescent="0.3">
      <c r="H37097" t="str">
        <f t="shared" si="629"/>
        <v/>
      </c>
    </row>
    <row r="37098" spans="8:8" x14ac:dyDescent="0.3">
      <c r="H37098" t="str">
        <f t="shared" si="629"/>
        <v/>
      </c>
    </row>
    <row r="37099" spans="8:8" x14ac:dyDescent="0.3">
      <c r="H37099" t="str">
        <f t="shared" si="629"/>
        <v/>
      </c>
    </row>
    <row r="37100" spans="8:8" x14ac:dyDescent="0.3">
      <c r="H37100" t="str">
        <f t="shared" si="629"/>
        <v/>
      </c>
    </row>
    <row r="37101" spans="8:8" x14ac:dyDescent="0.3">
      <c r="H37101" t="str">
        <f t="shared" si="629"/>
        <v/>
      </c>
    </row>
    <row r="37102" spans="8:8" x14ac:dyDescent="0.3">
      <c r="H37102" t="str">
        <f t="shared" si="629"/>
        <v/>
      </c>
    </row>
    <row r="37103" spans="8:8" x14ac:dyDescent="0.3">
      <c r="H37103" t="str">
        <f t="shared" si="629"/>
        <v/>
      </c>
    </row>
    <row r="37104" spans="8:8" x14ac:dyDescent="0.3">
      <c r="H37104" t="str">
        <f t="shared" si="629"/>
        <v/>
      </c>
    </row>
    <row r="37105" spans="8:8" x14ac:dyDescent="0.3">
      <c r="H37105" t="str">
        <f t="shared" si="629"/>
        <v/>
      </c>
    </row>
    <row r="37106" spans="8:8" x14ac:dyDescent="0.3">
      <c r="H37106" t="str">
        <f t="shared" si="629"/>
        <v/>
      </c>
    </row>
    <row r="37107" spans="8:8" x14ac:dyDescent="0.3">
      <c r="H37107" t="str">
        <f t="shared" si="629"/>
        <v/>
      </c>
    </row>
    <row r="37108" spans="8:8" x14ac:dyDescent="0.3">
      <c r="H37108" t="str">
        <f t="shared" si="629"/>
        <v/>
      </c>
    </row>
    <row r="37109" spans="8:8" x14ac:dyDescent="0.3">
      <c r="H37109" t="str">
        <f t="shared" si="629"/>
        <v/>
      </c>
    </row>
    <row r="37110" spans="8:8" x14ac:dyDescent="0.3">
      <c r="H37110" t="str">
        <f t="shared" si="629"/>
        <v/>
      </c>
    </row>
    <row r="37111" spans="8:8" x14ac:dyDescent="0.3">
      <c r="H37111" t="str">
        <f t="shared" si="629"/>
        <v/>
      </c>
    </row>
    <row r="37112" spans="8:8" x14ac:dyDescent="0.3">
      <c r="H37112" t="str">
        <f t="shared" si="629"/>
        <v/>
      </c>
    </row>
    <row r="37113" spans="8:8" x14ac:dyDescent="0.3">
      <c r="H37113" t="str">
        <f t="shared" si="629"/>
        <v/>
      </c>
    </row>
    <row r="37114" spans="8:8" x14ac:dyDescent="0.3">
      <c r="H37114" t="str">
        <f t="shared" si="629"/>
        <v/>
      </c>
    </row>
    <row r="37115" spans="8:8" x14ac:dyDescent="0.3">
      <c r="H37115" t="str">
        <f t="shared" si="629"/>
        <v/>
      </c>
    </row>
    <row r="37116" spans="8:8" x14ac:dyDescent="0.3">
      <c r="H37116" t="str">
        <f t="shared" si="629"/>
        <v/>
      </c>
    </row>
    <row r="37117" spans="8:8" x14ac:dyDescent="0.3">
      <c r="H37117" t="str">
        <f t="shared" si="629"/>
        <v/>
      </c>
    </row>
    <row r="37118" spans="8:8" x14ac:dyDescent="0.3">
      <c r="H37118" t="str">
        <f t="shared" si="629"/>
        <v/>
      </c>
    </row>
    <row r="37119" spans="8:8" x14ac:dyDescent="0.3">
      <c r="H37119" t="str">
        <f t="shared" si="629"/>
        <v/>
      </c>
    </row>
    <row r="37120" spans="8:8" x14ac:dyDescent="0.3">
      <c r="H37120" t="str">
        <f t="shared" si="629"/>
        <v/>
      </c>
    </row>
    <row r="37121" spans="8:8" x14ac:dyDescent="0.3">
      <c r="H37121" t="str">
        <f t="shared" si="629"/>
        <v/>
      </c>
    </row>
    <row r="37122" spans="8:8" x14ac:dyDescent="0.3">
      <c r="H37122" t="str">
        <f t="shared" si="629"/>
        <v/>
      </c>
    </row>
    <row r="37123" spans="8:8" x14ac:dyDescent="0.3">
      <c r="H37123" t="str">
        <f t="shared" si="629"/>
        <v/>
      </c>
    </row>
    <row r="37124" spans="8:8" x14ac:dyDescent="0.3">
      <c r="H37124" t="str">
        <f t="shared" si="629"/>
        <v/>
      </c>
    </row>
    <row r="37125" spans="8:8" x14ac:dyDescent="0.3">
      <c r="H37125" t="str">
        <f t="shared" si="629"/>
        <v/>
      </c>
    </row>
    <row r="37126" spans="8:8" x14ac:dyDescent="0.3">
      <c r="H37126" t="str">
        <f t="shared" si="629"/>
        <v/>
      </c>
    </row>
    <row r="37127" spans="8:8" x14ac:dyDescent="0.3">
      <c r="H37127" t="str">
        <f t="shared" si="629"/>
        <v/>
      </c>
    </row>
    <row r="37128" spans="8:8" x14ac:dyDescent="0.3">
      <c r="H37128" t="str">
        <f t="shared" si="629"/>
        <v/>
      </c>
    </row>
    <row r="37129" spans="8:8" x14ac:dyDescent="0.3">
      <c r="H37129" t="str">
        <f t="shared" si="629"/>
        <v/>
      </c>
    </row>
    <row r="37130" spans="8:8" x14ac:dyDescent="0.3">
      <c r="H37130" t="str">
        <f t="shared" si="629"/>
        <v/>
      </c>
    </row>
    <row r="37131" spans="8:8" x14ac:dyDescent="0.3">
      <c r="H37131" t="str">
        <f t="shared" si="629"/>
        <v/>
      </c>
    </row>
    <row r="37132" spans="8:8" x14ac:dyDescent="0.3">
      <c r="H37132" t="str">
        <f t="shared" si="629"/>
        <v/>
      </c>
    </row>
    <row r="37133" spans="8:8" x14ac:dyDescent="0.3">
      <c r="H37133" t="str">
        <f t="shared" si="629"/>
        <v/>
      </c>
    </row>
    <row r="37134" spans="8:8" x14ac:dyDescent="0.3">
      <c r="H37134" t="str">
        <f t="shared" si="629"/>
        <v/>
      </c>
    </row>
    <row r="37135" spans="8:8" x14ac:dyDescent="0.3">
      <c r="H37135" t="str">
        <f t="shared" si="629"/>
        <v/>
      </c>
    </row>
    <row r="37136" spans="8:8" x14ac:dyDescent="0.3">
      <c r="H37136" t="str">
        <f t="shared" si="629"/>
        <v/>
      </c>
    </row>
    <row r="37137" spans="8:8" x14ac:dyDescent="0.3">
      <c r="H37137" t="str">
        <f t="shared" si="629"/>
        <v/>
      </c>
    </row>
    <row r="37138" spans="8:8" x14ac:dyDescent="0.3">
      <c r="H37138" t="str">
        <f t="shared" si="629"/>
        <v/>
      </c>
    </row>
    <row r="37139" spans="8:8" x14ac:dyDescent="0.3">
      <c r="H37139" t="str">
        <f t="shared" si="629"/>
        <v/>
      </c>
    </row>
    <row r="37140" spans="8:8" x14ac:dyDescent="0.3">
      <c r="H37140" t="str">
        <f t="shared" si="629"/>
        <v/>
      </c>
    </row>
    <row r="37141" spans="8:8" x14ac:dyDescent="0.3">
      <c r="H37141" t="str">
        <f t="shared" si="629"/>
        <v/>
      </c>
    </row>
    <row r="37142" spans="8:8" x14ac:dyDescent="0.3">
      <c r="H37142" t="str">
        <f t="shared" si="629"/>
        <v/>
      </c>
    </row>
    <row r="37143" spans="8:8" x14ac:dyDescent="0.3">
      <c r="H37143" t="str">
        <f t="shared" ref="H37143:H37206" si="630">IF(B37143="","",$C$12)</f>
        <v/>
      </c>
    </row>
    <row r="37144" spans="8:8" x14ac:dyDescent="0.3">
      <c r="H37144" t="str">
        <f t="shared" si="630"/>
        <v/>
      </c>
    </row>
    <row r="37145" spans="8:8" x14ac:dyDescent="0.3">
      <c r="H37145" t="str">
        <f t="shared" si="630"/>
        <v/>
      </c>
    </row>
    <row r="37146" spans="8:8" x14ac:dyDescent="0.3">
      <c r="H37146" t="str">
        <f t="shared" si="630"/>
        <v/>
      </c>
    </row>
    <row r="37147" spans="8:8" x14ac:dyDescent="0.3">
      <c r="H37147" t="str">
        <f t="shared" si="630"/>
        <v/>
      </c>
    </row>
    <row r="37148" spans="8:8" x14ac:dyDescent="0.3">
      <c r="H37148" t="str">
        <f t="shared" si="630"/>
        <v/>
      </c>
    </row>
    <row r="37149" spans="8:8" x14ac:dyDescent="0.3">
      <c r="H37149" t="str">
        <f t="shared" si="630"/>
        <v/>
      </c>
    </row>
    <row r="37150" spans="8:8" x14ac:dyDescent="0.3">
      <c r="H37150" t="str">
        <f t="shared" si="630"/>
        <v/>
      </c>
    </row>
    <row r="37151" spans="8:8" x14ac:dyDescent="0.3">
      <c r="H37151" t="str">
        <f t="shared" si="630"/>
        <v/>
      </c>
    </row>
    <row r="37152" spans="8:8" x14ac:dyDescent="0.3">
      <c r="H37152" t="str">
        <f t="shared" si="630"/>
        <v/>
      </c>
    </row>
    <row r="37153" spans="8:8" x14ac:dyDescent="0.3">
      <c r="H37153" t="str">
        <f t="shared" si="630"/>
        <v/>
      </c>
    </row>
    <row r="37154" spans="8:8" x14ac:dyDescent="0.3">
      <c r="H37154" t="str">
        <f t="shared" si="630"/>
        <v/>
      </c>
    </row>
    <row r="37155" spans="8:8" x14ac:dyDescent="0.3">
      <c r="H37155" t="str">
        <f t="shared" si="630"/>
        <v/>
      </c>
    </row>
    <row r="37156" spans="8:8" x14ac:dyDescent="0.3">
      <c r="H37156" t="str">
        <f t="shared" si="630"/>
        <v/>
      </c>
    </row>
    <row r="37157" spans="8:8" x14ac:dyDescent="0.3">
      <c r="H37157" t="str">
        <f t="shared" si="630"/>
        <v/>
      </c>
    </row>
    <row r="37158" spans="8:8" x14ac:dyDescent="0.3">
      <c r="H37158" t="str">
        <f t="shared" si="630"/>
        <v/>
      </c>
    </row>
    <row r="37159" spans="8:8" x14ac:dyDescent="0.3">
      <c r="H37159" t="str">
        <f t="shared" si="630"/>
        <v/>
      </c>
    </row>
    <row r="37160" spans="8:8" x14ac:dyDescent="0.3">
      <c r="H37160" t="str">
        <f t="shared" si="630"/>
        <v/>
      </c>
    </row>
    <row r="37161" spans="8:8" x14ac:dyDescent="0.3">
      <c r="H37161" t="str">
        <f t="shared" si="630"/>
        <v/>
      </c>
    </row>
    <row r="37162" spans="8:8" x14ac:dyDescent="0.3">
      <c r="H37162" t="str">
        <f t="shared" si="630"/>
        <v/>
      </c>
    </row>
    <row r="37163" spans="8:8" x14ac:dyDescent="0.3">
      <c r="H37163" t="str">
        <f t="shared" si="630"/>
        <v/>
      </c>
    </row>
    <row r="37164" spans="8:8" x14ac:dyDescent="0.3">
      <c r="H37164" t="str">
        <f t="shared" si="630"/>
        <v/>
      </c>
    </row>
    <row r="37165" spans="8:8" x14ac:dyDescent="0.3">
      <c r="H37165" t="str">
        <f t="shared" si="630"/>
        <v/>
      </c>
    </row>
    <row r="37166" spans="8:8" x14ac:dyDescent="0.3">
      <c r="H37166" t="str">
        <f t="shared" si="630"/>
        <v/>
      </c>
    </row>
    <row r="37167" spans="8:8" x14ac:dyDescent="0.3">
      <c r="H37167" t="str">
        <f t="shared" si="630"/>
        <v/>
      </c>
    </row>
    <row r="37168" spans="8:8" x14ac:dyDescent="0.3">
      <c r="H37168" t="str">
        <f t="shared" si="630"/>
        <v/>
      </c>
    </row>
    <row r="37169" spans="8:8" x14ac:dyDescent="0.3">
      <c r="H37169" t="str">
        <f t="shared" si="630"/>
        <v/>
      </c>
    </row>
    <row r="37170" spans="8:8" x14ac:dyDescent="0.3">
      <c r="H37170" t="str">
        <f t="shared" si="630"/>
        <v/>
      </c>
    </row>
    <row r="37171" spans="8:8" x14ac:dyDescent="0.3">
      <c r="H37171" t="str">
        <f t="shared" si="630"/>
        <v/>
      </c>
    </row>
    <row r="37172" spans="8:8" x14ac:dyDescent="0.3">
      <c r="H37172" t="str">
        <f t="shared" si="630"/>
        <v/>
      </c>
    </row>
    <row r="37173" spans="8:8" x14ac:dyDescent="0.3">
      <c r="H37173" t="str">
        <f t="shared" si="630"/>
        <v/>
      </c>
    </row>
    <row r="37174" spans="8:8" x14ac:dyDescent="0.3">
      <c r="H37174" t="str">
        <f t="shared" si="630"/>
        <v/>
      </c>
    </row>
    <row r="37175" spans="8:8" x14ac:dyDescent="0.3">
      <c r="H37175" t="str">
        <f t="shared" si="630"/>
        <v/>
      </c>
    </row>
    <row r="37176" spans="8:8" x14ac:dyDescent="0.3">
      <c r="H37176" t="str">
        <f t="shared" si="630"/>
        <v/>
      </c>
    </row>
    <row r="37177" spans="8:8" x14ac:dyDescent="0.3">
      <c r="H37177" t="str">
        <f t="shared" si="630"/>
        <v/>
      </c>
    </row>
    <row r="37178" spans="8:8" x14ac:dyDescent="0.3">
      <c r="H37178" t="str">
        <f t="shared" si="630"/>
        <v/>
      </c>
    </row>
    <row r="37179" spans="8:8" x14ac:dyDescent="0.3">
      <c r="H37179" t="str">
        <f t="shared" si="630"/>
        <v/>
      </c>
    </row>
    <row r="37180" spans="8:8" x14ac:dyDescent="0.3">
      <c r="H37180" t="str">
        <f t="shared" si="630"/>
        <v/>
      </c>
    </row>
    <row r="37181" spans="8:8" x14ac:dyDescent="0.3">
      <c r="H37181" t="str">
        <f t="shared" si="630"/>
        <v/>
      </c>
    </row>
    <row r="37182" spans="8:8" x14ac:dyDescent="0.3">
      <c r="H37182" t="str">
        <f t="shared" si="630"/>
        <v/>
      </c>
    </row>
    <row r="37183" spans="8:8" x14ac:dyDescent="0.3">
      <c r="H37183" t="str">
        <f t="shared" si="630"/>
        <v/>
      </c>
    </row>
    <row r="37184" spans="8:8" x14ac:dyDescent="0.3">
      <c r="H37184" t="str">
        <f t="shared" si="630"/>
        <v/>
      </c>
    </row>
    <row r="37185" spans="8:8" x14ac:dyDescent="0.3">
      <c r="H37185" t="str">
        <f t="shared" si="630"/>
        <v/>
      </c>
    </row>
    <row r="37186" spans="8:8" x14ac:dyDescent="0.3">
      <c r="H37186" t="str">
        <f t="shared" si="630"/>
        <v/>
      </c>
    </row>
    <row r="37187" spans="8:8" x14ac:dyDescent="0.3">
      <c r="H37187" t="str">
        <f t="shared" si="630"/>
        <v/>
      </c>
    </row>
    <row r="37188" spans="8:8" x14ac:dyDescent="0.3">
      <c r="H37188" t="str">
        <f t="shared" si="630"/>
        <v/>
      </c>
    </row>
    <row r="37189" spans="8:8" x14ac:dyDescent="0.3">
      <c r="H37189" t="str">
        <f t="shared" si="630"/>
        <v/>
      </c>
    </row>
    <row r="37190" spans="8:8" x14ac:dyDescent="0.3">
      <c r="H37190" t="str">
        <f t="shared" si="630"/>
        <v/>
      </c>
    </row>
    <row r="37191" spans="8:8" x14ac:dyDescent="0.3">
      <c r="H37191" t="str">
        <f t="shared" si="630"/>
        <v/>
      </c>
    </row>
    <row r="37192" spans="8:8" x14ac:dyDescent="0.3">
      <c r="H37192" t="str">
        <f t="shared" si="630"/>
        <v/>
      </c>
    </row>
    <row r="37193" spans="8:8" x14ac:dyDescent="0.3">
      <c r="H37193" t="str">
        <f t="shared" si="630"/>
        <v/>
      </c>
    </row>
    <row r="37194" spans="8:8" x14ac:dyDescent="0.3">
      <c r="H37194" t="str">
        <f t="shared" si="630"/>
        <v/>
      </c>
    </row>
    <row r="37195" spans="8:8" x14ac:dyDescent="0.3">
      <c r="H37195" t="str">
        <f t="shared" si="630"/>
        <v/>
      </c>
    </row>
    <row r="37196" spans="8:8" x14ac:dyDescent="0.3">
      <c r="H37196" t="str">
        <f t="shared" si="630"/>
        <v/>
      </c>
    </row>
    <row r="37197" spans="8:8" x14ac:dyDescent="0.3">
      <c r="H37197" t="str">
        <f t="shared" si="630"/>
        <v/>
      </c>
    </row>
    <row r="37198" spans="8:8" x14ac:dyDescent="0.3">
      <c r="H37198" t="str">
        <f t="shared" si="630"/>
        <v/>
      </c>
    </row>
    <row r="37199" spans="8:8" x14ac:dyDescent="0.3">
      <c r="H37199" t="str">
        <f t="shared" si="630"/>
        <v/>
      </c>
    </row>
    <row r="37200" spans="8:8" x14ac:dyDescent="0.3">
      <c r="H37200" t="str">
        <f t="shared" si="630"/>
        <v/>
      </c>
    </row>
    <row r="37201" spans="8:8" x14ac:dyDescent="0.3">
      <c r="H37201" t="str">
        <f t="shared" si="630"/>
        <v/>
      </c>
    </row>
    <row r="37202" spans="8:8" x14ac:dyDescent="0.3">
      <c r="H37202" t="str">
        <f t="shared" si="630"/>
        <v/>
      </c>
    </row>
    <row r="37203" spans="8:8" x14ac:dyDescent="0.3">
      <c r="H37203" t="str">
        <f t="shared" si="630"/>
        <v/>
      </c>
    </row>
    <row r="37204" spans="8:8" x14ac:dyDescent="0.3">
      <c r="H37204" t="str">
        <f t="shared" si="630"/>
        <v/>
      </c>
    </row>
    <row r="37205" spans="8:8" x14ac:dyDescent="0.3">
      <c r="H37205" t="str">
        <f t="shared" si="630"/>
        <v/>
      </c>
    </row>
    <row r="37206" spans="8:8" x14ac:dyDescent="0.3">
      <c r="H37206" t="str">
        <f t="shared" si="630"/>
        <v/>
      </c>
    </row>
    <row r="37207" spans="8:8" x14ac:dyDescent="0.3">
      <c r="H37207" t="str">
        <f t="shared" ref="H37207:H37270" si="631">IF(B37207="","",$C$12)</f>
        <v/>
      </c>
    </row>
    <row r="37208" spans="8:8" x14ac:dyDescent="0.3">
      <c r="H37208" t="str">
        <f t="shared" si="631"/>
        <v/>
      </c>
    </row>
    <row r="37209" spans="8:8" x14ac:dyDescent="0.3">
      <c r="H37209" t="str">
        <f t="shared" si="631"/>
        <v/>
      </c>
    </row>
    <row r="37210" spans="8:8" x14ac:dyDescent="0.3">
      <c r="H37210" t="str">
        <f t="shared" si="631"/>
        <v/>
      </c>
    </row>
    <row r="37211" spans="8:8" x14ac:dyDescent="0.3">
      <c r="H37211" t="str">
        <f t="shared" si="631"/>
        <v/>
      </c>
    </row>
    <row r="37212" spans="8:8" x14ac:dyDescent="0.3">
      <c r="H37212" t="str">
        <f t="shared" si="631"/>
        <v/>
      </c>
    </row>
    <row r="37213" spans="8:8" x14ac:dyDescent="0.3">
      <c r="H37213" t="str">
        <f t="shared" si="631"/>
        <v/>
      </c>
    </row>
    <row r="37214" spans="8:8" x14ac:dyDescent="0.3">
      <c r="H37214" t="str">
        <f t="shared" si="631"/>
        <v/>
      </c>
    </row>
    <row r="37215" spans="8:8" x14ac:dyDescent="0.3">
      <c r="H37215" t="str">
        <f t="shared" si="631"/>
        <v/>
      </c>
    </row>
    <row r="37216" spans="8:8" x14ac:dyDescent="0.3">
      <c r="H37216" t="str">
        <f t="shared" si="631"/>
        <v/>
      </c>
    </row>
    <row r="37217" spans="8:8" x14ac:dyDescent="0.3">
      <c r="H37217" t="str">
        <f t="shared" si="631"/>
        <v/>
      </c>
    </row>
    <row r="37218" spans="8:8" x14ac:dyDescent="0.3">
      <c r="H37218" t="str">
        <f t="shared" si="631"/>
        <v/>
      </c>
    </row>
    <row r="37219" spans="8:8" x14ac:dyDescent="0.3">
      <c r="H37219" t="str">
        <f t="shared" si="631"/>
        <v/>
      </c>
    </row>
    <row r="37220" spans="8:8" x14ac:dyDescent="0.3">
      <c r="H37220" t="str">
        <f t="shared" si="631"/>
        <v/>
      </c>
    </row>
    <row r="37221" spans="8:8" x14ac:dyDescent="0.3">
      <c r="H37221" t="str">
        <f t="shared" si="631"/>
        <v/>
      </c>
    </row>
    <row r="37222" spans="8:8" x14ac:dyDescent="0.3">
      <c r="H37222" t="str">
        <f t="shared" si="631"/>
        <v/>
      </c>
    </row>
    <row r="37223" spans="8:8" x14ac:dyDescent="0.3">
      <c r="H37223" t="str">
        <f t="shared" si="631"/>
        <v/>
      </c>
    </row>
    <row r="37224" spans="8:8" x14ac:dyDescent="0.3">
      <c r="H37224" t="str">
        <f t="shared" si="631"/>
        <v/>
      </c>
    </row>
    <row r="37225" spans="8:8" x14ac:dyDescent="0.3">
      <c r="H37225" t="str">
        <f t="shared" si="631"/>
        <v/>
      </c>
    </row>
    <row r="37226" spans="8:8" x14ac:dyDescent="0.3">
      <c r="H37226" t="str">
        <f t="shared" si="631"/>
        <v/>
      </c>
    </row>
    <row r="37227" spans="8:8" x14ac:dyDescent="0.3">
      <c r="H37227" t="str">
        <f t="shared" si="631"/>
        <v/>
      </c>
    </row>
    <row r="37228" spans="8:8" x14ac:dyDescent="0.3">
      <c r="H37228" t="str">
        <f t="shared" si="631"/>
        <v/>
      </c>
    </row>
    <row r="37229" spans="8:8" x14ac:dyDescent="0.3">
      <c r="H37229" t="str">
        <f t="shared" si="631"/>
        <v/>
      </c>
    </row>
    <row r="37230" spans="8:8" x14ac:dyDescent="0.3">
      <c r="H37230" t="str">
        <f t="shared" si="631"/>
        <v/>
      </c>
    </row>
    <row r="37231" spans="8:8" x14ac:dyDescent="0.3">
      <c r="H37231" t="str">
        <f t="shared" si="631"/>
        <v/>
      </c>
    </row>
    <row r="37232" spans="8:8" x14ac:dyDescent="0.3">
      <c r="H37232" t="str">
        <f t="shared" si="631"/>
        <v/>
      </c>
    </row>
    <row r="37233" spans="8:8" x14ac:dyDescent="0.3">
      <c r="H37233" t="str">
        <f t="shared" si="631"/>
        <v/>
      </c>
    </row>
    <row r="37234" spans="8:8" x14ac:dyDescent="0.3">
      <c r="H37234" t="str">
        <f t="shared" si="631"/>
        <v/>
      </c>
    </row>
    <row r="37235" spans="8:8" x14ac:dyDescent="0.3">
      <c r="H37235" t="str">
        <f t="shared" si="631"/>
        <v/>
      </c>
    </row>
    <row r="37236" spans="8:8" x14ac:dyDescent="0.3">
      <c r="H37236" t="str">
        <f t="shared" si="631"/>
        <v/>
      </c>
    </row>
    <row r="37237" spans="8:8" x14ac:dyDescent="0.3">
      <c r="H37237" t="str">
        <f t="shared" si="631"/>
        <v/>
      </c>
    </row>
    <row r="37238" spans="8:8" x14ac:dyDescent="0.3">
      <c r="H37238" t="str">
        <f t="shared" si="631"/>
        <v/>
      </c>
    </row>
    <row r="37239" spans="8:8" x14ac:dyDescent="0.3">
      <c r="H37239" t="str">
        <f t="shared" si="631"/>
        <v/>
      </c>
    </row>
    <row r="37240" spans="8:8" x14ac:dyDescent="0.3">
      <c r="H37240" t="str">
        <f t="shared" si="631"/>
        <v/>
      </c>
    </row>
    <row r="37241" spans="8:8" x14ac:dyDescent="0.3">
      <c r="H37241" t="str">
        <f t="shared" si="631"/>
        <v/>
      </c>
    </row>
    <row r="37242" spans="8:8" x14ac:dyDescent="0.3">
      <c r="H37242" t="str">
        <f t="shared" si="631"/>
        <v/>
      </c>
    </row>
    <row r="37243" spans="8:8" x14ac:dyDescent="0.3">
      <c r="H37243" t="str">
        <f t="shared" si="631"/>
        <v/>
      </c>
    </row>
    <row r="37244" spans="8:8" x14ac:dyDescent="0.3">
      <c r="H37244" t="str">
        <f t="shared" si="631"/>
        <v/>
      </c>
    </row>
    <row r="37245" spans="8:8" x14ac:dyDescent="0.3">
      <c r="H37245" t="str">
        <f t="shared" si="631"/>
        <v/>
      </c>
    </row>
    <row r="37246" spans="8:8" x14ac:dyDescent="0.3">
      <c r="H37246" t="str">
        <f t="shared" si="631"/>
        <v/>
      </c>
    </row>
    <row r="37247" spans="8:8" x14ac:dyDescent="0.3">
      <c r="H37247" t="str">
        <f t="shared" si="631"/>
        <v/>
      </c>
    </row>
    <row r="37248" spans="8:8" x14ac:dyDescent="0.3">
      <c r="H37248" t="str">
        <f t="shared" si="631"/>
        <v/>
      </c>
    </row>
    <row r="37249" spans="8:8" x14ac:dyDescent="0.3">
      <c r="H37249" t="str">
        <f t="shared" si="631"/>
        <v/>
      </c>
    </row>
    <row r="37250" spans="8:8" x14ac:dyDescent="0.3">
      <c r="H37250" t="str">
        <f t="shared" si="631"/>
        <v/>
      </c>
    </row>
    <row r="37251" spans="8:8" x14ac:dyDescent="0.3">
      <c r="H37251" t="str">
        <f t="shared" si="631"/>
        <v/>
      </c>
    </row>
    <row r="37252" spans="8:8" x14ac:dyDescent="0.3">
      <c r="H37252" t="str">
        <f t="shared" si="631"/>
        <v/>
      </c>
    </row>
    <row r="37253" spans="8:8" x14ac:dyDescent="0.3">
      <c r="H37253" t="str">
        <f t="shared" si="631"/>
        <v/>
      </c>
    </row>
    <row r="37254" spans="8:8" x14ac:dyDescent="0.3">
      <c r="H37254" t="str">
        <f t="shared" si="631"/>
        <v/>
      </c>
    </row>
    <row r="37255" spans="8:8" x14ac:dyDescent="0.3">
      <c r="H37255" t="str">
        <f t="shared" si="631"/>
        <v/>
      </c>
    </row>
    <row r="37256" spans="8:8" x14ac:dyDescent="0.3">
      <c r="H37256" t="str">
        <f t="shared" si="631"/>
        <v/>
      </c>
    </row>
    <row r="37257" spans="8:8" x14ac:dyDescent="0.3">
      <c r="H37257" t="str">
        <f t="shared" si="631"/>
        <v/>
      </c>
    </row>
    <row r="37258" spans="8:8" x14ac:dyDescent="0.3">
      <c r="H37258" t="str">
        <f t="shared" si="631"/>
        <v/>
      </c>
    </row>
    <row r="37259" spans="8:8" x14ac:dyDescent="0.3">
      <c r="H37259" t="str">
        <f t="shared" si="631"/>
        <v/>
      </c>
    </row>
    <row r="37260" spans="8:8" x14ac:dyDescent="0.3">
      <c r="H37260" t="str">
        <f t="shared" si="631"/>
        <v/>
      </c>
    </row>
    <row r="37261" spans="8:8" x14ac:dyDescent="0.3">
      <c r="H37261" t="str">
        <f t="shared" si="631"/>
        <v/>
      </c>
    </row>
    <row r="37262" spans="8:8" x14ac:dyDescent="0.3">
      <c r="H37262" t="str">
        <f t="shared" si="631"/>
        <v/>
      </c>
    </row>
    <row r="37263" spans="8:8" x14ac:dyDescent="0.3">
      <c r="H37263" t="str">
        <f t="shared" si="631"/>
        <v/>
      </c>
    </row>
    <row r="37264" spans="8:8" x14ac:dyDescent="0.3">
      <c r="H37264" t="str">
        <f t="shared" si="631"/>
        <v/>
      </c>
    </row>
    <row r="37265" spans="8:8" x14ac:dyDescent="0.3">
      <c r="H37265" t="str">
        <f t="shared" si="631"/>
        <v/>
      </c>
    </row>
    <row r="37266" spans="8:8" x14ac:dyDescent="0.3">
      <c r="H37266" t="str">
        <f t="shared" si="631"/>
        <v/>
      </c>
    </row>
    <row r="37267" spans="8:8" x14ac:dyDescent="0.3">
      <c r="H37267" t="str">
        <f t="shared" si="631"/>
        <v/>
      </c>
    </row>
    <row r="37268" spans="8:8" x14ac:dyDescent="0.3">
      <c r="H37268" t="str">
        <f t="shared" si="631"/>
        <v/>
      </c>
    </row>
    <row r="37269" spans="8:8" x14ac:dyDescent="0.3">
      <c r="H37269" t="str">
        <f t="shared" si="631"/>
        <v/>
      </c>
    </row>
    <row r="37270" spans="8:8" x14ac:dyDescent="0.3">
      <c r="H37270" t="str">
        <f t="shared" si="631"/>
        <v/>
      </c>
    </row>
    <row r="37271" spans="8:8" x14ac:dyDescent="0.3">
      <c r="H37271" t="str">
        <f t="shared" ref="H37271:H37334" si="632">IF(B37271="","",$C$12)</f>
        <v/>
      </c>
    </row>
    <row r="37272" spans="8:8" x14ac:dyDescent="0.3">
      <c r="H37272" t="str">
        <f t="shared" si="632"/>
        <v/>
      </c>
    </row>
    <row r="37273" spans="8:8" x14ac:dyDescent="0.3">
      <c r="H37273" t="str">
        <f t="shared" si="632"/>
        <v/>
      </c>
    </row>
    <row r="37274" spans="8:8" x14ac:dyDescent="0.3">
      <c r="H37274" t="str">
        <f t="shared" si="632"/>
        <v/>
      </c>
    </row>
    <row r="37275" spans="8:8" x14ac:dyDescent="0.3">
      <c r="H37275" t="str">
        <f t="shared" si="632"/>
        <v/>
      </c>
    </row>
    <row r="37276" spans="8:8" x14ac:dyDescent="0.3">
      <c r="H37276" t="str">
        <f t="shared" si="632"/>
        <v/>
      </c>
    </row>
    <row r="37277" spans="8:8" x14ac:dyDescent="0.3">
      <c r="H37277" t="str">
        <f t="shared" si="632"/>
        <v/>
      </c>
    </row>
    <row r="37278" spans="8:8" x14ac:dyDescent="0.3">
      <c r="H37278" t="str">
        <f t="shared" si="632"/>
        <v/>
      </c>
    </row>
    <row r="37279" spans="8:8" x14ac:dyDescent="0.3">
      <c r="H37279" t="str">
        <f t="shared" si="632"/>
        <v/>
      </c>
    </row>
    <row r="37280" spans="8:8" x14ac:dyDescent="0.3">
      <c r="H37280" t="str">
        <f t="shared" si="632"/>
        <v/>
      </c>
    </row>
    <row r="37281" spans="8:8" x14ac:dyDescent="0.3">
      <c r="H37281" t="str">
        <f t="shared" si="632"/>
        <v/>
      </c>
    </row>
    <row r="37282" spans="8:8" x14ac:dyDescent="0.3">
      <c r="H37282" t="str">
        <f t="shared" si="632"/>
        <v/>
      </c>
    </row>
    <row r="37283" spans="8:8" x14ac:dyDescent="0.3">
      <c r="H37283" t="str">
        <f t="shared" si="632"/>
        <v/>
      </c>
    </row>
    <row r="37284" spans="8:8" x14ac:dyDescent="0.3">
      <c r="H37284" t="str">
        <f t="shared" si="632"/>
        <v/>
      </c>
    </row>
    <row r="37285" spans="8:8" x14ac:dyDescent="0.3">
      <c r="H37285" t="str">
        <f t="shared" si="632"/>
        <v/>
      </c>
    </row>
    <row r="37286" spans="8:8" x14ac:dyDescent="0.3">
      <c r="H37286" t="str">
        <f t="shared" si="632"/>
        <v/>
      </c>
    </row>
    <row r="37287" spans="8:8" x14ac:dyDescent="0.3">
      <c r="H37287" t="str">
        <f t="shared" si="632"/>
        <v/>
      </c>
    </row>
    <row r="37288" spans="8:8" x14ac:dyDescent="0.3">
      <c r="H37288" t="str">
        <f t="shared" si="632"/>
        <v/>
      </c>
    </row>
    <row r="37289" spans="8:8" x14ac:dyDescent="0.3">
      <c r="H37289" t="str">
        <f t="shared" si="632"/>
        <v/>
      </c>
    </row>
    <row r="37290" spans="8:8" x14ac:dyDescent="0.3">
      <c r="H37290" t="str">
        <f t="shared" si="632"/>
        <v/>
      </c>
    </row>
    <row r="37291" spans="8:8" x14ac:dyDescent="0.3">
      <c r="H37291" t="str">
        <f t="shared" si="632"/>
        <v/>
      </c>
    </row>
    <row r="37292" spans="8:8" x14ac:dyDescent="0.3">
      <c r="H37292" t="str">
        <f t="shared" si="632"/>
        <v/>
      </c>
    </row>
    <row r="37293" spans="8:8" x14ac:dyDescent="0.3">
      <c r="H37293" t="str">
        <f t="shared" si="632"/>
        <v/>
      </c>
    </row>
    <row r="37294" spans="8:8" x14ac:dyDescent="0.3">
      <c r="H37294" t="str">
        <f t="shared" si="632"/>
        <v/>
      </c>
    </row>
    <row r="37295" spans="8:8" x14ac:dyDescent="0.3">
      <c r="H37295" t="str">
        <f t="shared" si="632"/>
        <v/>
      </c>
    </row>
    <row r="37296" spans="8:8" x14ac:dyDescent="0.3">
      <c r="H37296" t="str">
        <f t="shared" si="632"/>
        <v/>
      </c>
    </row>
    <row r="37297" spans="8:8" x14ac:dyDescent="0.3">
      <c r="H37297" t="str">
        <f t="shared" si="632"/>
        <v/>
      </c>
    </row>
    <row r="37298" spans="8:8" x14ac:dyDescent="0.3">
      <c r="H37298" t="str">
        <f t="shared" si="632"/>
        <v/>
      </c>
    </row>
    <row r="37299" spans="8:8" x14ac:dyDescent="0.3">
      <c r="H37299" t="str">
        <f t="shared" si="632"/>
        <v/>
      </c>
    </row>
    <row r="37300" spans="8:8" x14ac:dyDescent="0.3">
      <c r="H37300" t="str">
        <f t="shared" si="632"/>
        <v/>
      </c>
    </row>
    <row r="37301" spans="8:8" x14ac:dyDescent="0.3">
      <c r="H37301" t="str">
        <f t="shared" si="632"/>
        <v/>
      </c>
    </row>
    <row r="37302" spans="8:8" x14ac:dyDescent="0.3">
      <c r="H37302" t="str">
        <f t="shared" si="632"/>
        <v/>
      </c>
    </row>
    <row r="37303" spans="8:8" x14ac:dyDescent="0.3">
      <c r="H37303" t="str">
        <f t="shared" si="632"/>
        <v/>
      </c>
    </row>
    <row r="37304" spans="8:8" x14ac:dyDescent="0.3">
      <c r="H37304" t="str">
        <f t="shared" si="632"/>
        <v/>
      </c>
    </row>
    <row r="37305" spans="8:8" x14ac:dyDescent="0.3">
      <c r="H37305" t="str">
        <f t="shared" si="632"/>
        <v/>
      </c>
    </row>
    <row r="37306" spans="8:8" x14ac:dyDescent="0.3">
      <c r="H37306" t="str">
        <f t="shared" si="632"/>
        <v/>
      </c>
    </row>
    <row r="37307" spans="8:8" x14ac:dyDescent="0.3">
      <c r="H37307" t="str">
        <f t="shared" si="632"/>
        <v/>
      </c>
    </row>
    <row r="37308" spans="8:8" x14ac:dyDescent="0.3">
      <c r="H37308" t="str">
        <f t="shared" si="632"/>
        <v/>
      </c>
    </row>
    <row r="37309" spans="8:8" x14ac:dyDescent="0.3">
      <c r="H37309" t="str">
        <f t="shared" si="632"/>
        <v/>
      </c>
    </row>
    <row r="37310" spans="8:8" x14ac:dyDescent="0.3">
      <c r="H37310" t="str">
        <f t="shared" si="632"/>
        <v/>
      </c>
    </row>
    <row r="37311" spans="8:8" x14ac:dyDescent="0.3">
      <c r="H37311" t="str">
        <f t="shared" si="632"/>
        <v/>
      </c>
    </row>
    <row r="37312" spans="8:8" x14ac:dyDescent="0.3">
      <c r="H37312" t="str">
        <f t="shared" si="632"/>
        <v/>
      </c>
    </row>
    <row r="37313" spans="8:8" x14ac:dyDescent="0.3">
      <c r="H37313" t="str">
        <f t="shared" si="632"/>
        <v/>
      </c>
    </row>
    <row r="37314" spans="8:8" x14ac:dyDescent="0.3">
      <c r="H37314" t="str">
        <f t="shared" si="632"/>
        <v/>
      </c>
    </row>
    <row r="37315" spans="8:8" x14ac:dyDescent="0.3">
      <c r="H37315" t="str">
        <f t="shared" si="632"/>
        <v/>
      </c>
    </row>
    <row r="37316" spans="8:8" x14ac:dyDescent="0.3">
      <c r="H37316" t="str">
        <f t="shared" si="632"/>
        <v/>
      </c>
    </row>
    <row r="37317" spans="8:8" x14ac:dyDescent="0.3">
      <c r="H37317" t="str">
        <f t="shared" si="632"/>
        <v/>
      </c>
    </row>
    <row r="37318" spans="8:8" x14ac:dyDescent="0.3">
      <c r="H37318" t="str">
        <f t="shared" si="632"/>
        <v/>
      </c>
    </row>
    <row r="37319" spans="8:8" x14ac:dyDescent="0.3">
      <c r="H37319" t="str">
        <f t="shared" si="632"/>
        <v/>
      </c>
    </row>
    <row r="37320" spans="8:8" x14ac:dyDescent="0.3">
      <c r="H37320" t="str">
        <f t="shared" si="632"/>
        <v/>
      </c>
    </row>
    <row r="37321" spans="8:8" x14ac:dyDescent="0.3">
      <c r="H37321" t="str">
        <f t="shared" si="632"/>
        <v/>
      </c>
    </row>
    <row r="37322" spans="8:8" x14ac:dyDescent="0.3">
      <c r="H37322" t="str">
        <f t="shared" si="632"/>
        <v/>
      </c>
    </row>
    <row r="37323" spans="8:8" x14ac:dyDescent="0.3">
      <c r="H37323" t="str">
        <f t="shared" si="632"/>
        <v/>
      </c>
    </row>
    <row r="37324" spans="8:8" x14ac:dyDescent="0.3">
      <c r="H37324" t="str">
        <f t="shared" si="632"/>
        <v/>
      </c>
    </row>
    <row r="37325" spans="8:8" x14ac:dyDescent="0.3">
      <c r="H37325" t="str">
        <f t="shared" si="632"/>
        <v/>
      </c>
    </row>
    <row r="37326" spans="8:8" x14ac:dyDescent="0.3">
      <c r="H37326" t="str">
        <f t="shared" si="632"/>
        <v/>
      </c>
    </row>
    <row r="37327" spans="8:8" x14ac:dyDescent="0.3">
      <c r="H37327" t="str">
        <f t="shared" si="632"/>
        <v/>
      </c>
    </row>
    <row r="37328" spans="8:8" x14ac:dyDescent="0.3">
      <c r="H37328" t="str">
        <f t="shared" si="632"/>
        <v/>
      </c>
    </row>
    <row r="37329" spans="8:8" x14ac:dyDescent="0.3">
      <c r="H37329" t="str">
        <f t="shared" si="632"/>
        <v/>
      </c>
    </row>
    <row r="37330" spans="8:8" x14ac:dyDescent="0.3">
      <c r="H37330" t="str">
        <f t="shared" si="632"/>
        <v/>
      </c>
    </row>
    <row r="37331" spans="8:8" x14ac:dyDescent="0.3">
      <c r="H37331" t="str">
        <f t="shared" si="632"/>
        <v/>
      </c>
    </row>
    <row r="37332" spans="8:8" x14ac:dyDescent="0.3">
      <c r="H37332" t="str">
        <f t="shared" si="632"/>
        <v/>
      </c>
    </row>
    <row r="37333" spans="8:8" x14ac:dyDescent="0.3">
      <c r="H37333" t="str">
        <f t="shared" si="632"/>
        <v/>
      </c>
    </row>
    <row r="37334" spans="8:8" x14ac:dyDescent="0.3">
      <c r="H37334" t="str">
        <f t="shared" si="632"/>
        <v/>
      </c>
    </row>
    <row r="37335" spans="8:8" x14ac:dyDescent="0.3">
      <c r="H37335" t="str">
        <f t="shared" ref="H37335:H37398" si="633">IF(B37335="","",$C$12)</f>
        <v/>
      </c>
    </row>
    <row r="37336" spans="8:8" x14ac:dyDescent="0.3">
      <c r="H37336" t="str">
        <f t="shared" si="633"/>
        <v/>
      </c>
    </row>
    <row r="37337" spans="8:8" x14ac:dyDescent="0.3">
      <c r="H37337" t="str">
        <f t="shared" si="633"/>
        <v/>
      </c>
    </row>
    <row r="37338" spans="8:8" x14ac:dyDescent="0.3">
      <c r="H37338" t="str">
        <f t="shared" si="633"/>
        <v/>
      </c>
    </row>
    <row r="37339" spans="8:8" x14ac:dyDescent="0.3">
      <c r="H37339" t="str">
        <f t="shared" si="633"/>
        <v/>
      </c>
    </row>
    <row r="37340" spans="8:8" x14ac:dyDescent="0.3">
      <c r="H37340" t="str">
        <f t="shared" si="633"/>
        <v/>
      </c>
    </row>
    <row r="37341" spans="8:8" x14ac:dyDescent="0.3">
      <c r="H37341" t="str">
        <f t="shared" si="633"/>
        <v/>
      </c>
    </row>
    <row r="37342" spans="8:8" x14ac:dyDescent="0.3">
      <c r="H37342" t="str">
        <f t="shared" si="633"/>
        <v/>
      </c>
    </row>
    <row r="37343" spans="8:8" x14ac:dyDescent="0.3">
      <c r="H37343" t="str">
        <f t="shared" si="633"/>
        <v/>
      </c>
    </row>
    <row r="37344" spans="8:8" x14ac:dyDescent="0.3">
      <c r="H37344" t="str">
        <f t="shared" si="633"/>
        <v/>
      </c>
    </row>
    <row r="37345" spans="8:8" x14ac:dyDescent="0.3">
      <c r="H37345" t="str">
        <f t="shared" si="633"/>
        <v/>
      </c>
    </row>
    <row r="37346" spans="8:8" x14ac:dyDescent="0.3">
      <c r="H37346" t="str">
        <f t="shared" si="633"/>
        <v/>
      </c>
    </row>
    <row r="37347" spans="8:8" x14ac:dyDescent="0.3">
      <c r="H37347" t="str">
        <f t="shared" si="633"/>
        <v/>
      </c>
    </row>
    <row r="37348" spans="8:8" x14ac:dyDescent="0.3">
      <c r="H37348" t="str">
        <f t="shared" si="633"/>
        <v/>
      </c>
    </row>
    <row r="37349" spans="8:8" x14ac:dyDescent="0.3">
      <c r="H37349" t="str">
        <f t="shared" si="633"/>
        <v/>
      </c>
    </row>
    <row r="37350" spans="8:8" x14ac:dyDescent="0.3">
      <c r="H37350" t="str">
        <f t="shared" si="633"/>
        <v/>
      </c>
    </row>
    <row r="37351" spans="8:8" x14ac:dyDescent="0.3">
      <c r="H37351" t="str">
        <f t="shared" si="633"/>
        <v/>
      </c>
    </row>
    <row r="37352" spans="8:8" x14ac:dyDescent="0.3">
      <c r="H37352" t="str">
        <f t="shared" si="633"/>
        <v/>
      </c>
    </row>
    <row r="37353" spans="8:8" x14ac:dyDescent="0.3">
      <c r="H37353" t="str">
        <f t="shared" si="633"/>
        <v/>
      </c>
    </row>
    <row r="37354" spans="8:8" x14ac:dyDescent="0.3">
      <c r="H37354" t="str">
        <f t="shared" si="633"/>
        <v/>
      </c>
    </row>
    <row r="37355" spans="8:8" x14ac:dyDescent="0.3">
      <c r="H37355" t="str">
        <f t="shared" si="633"/>
        <v/>
      </c>
    </row>
    <row r="37356" spans="8:8" x14ac:dyDescent="0.3">
      <c r="H37356" t="str">
        <f t="shared" si="633"/>
        <v/>
      </c>
    </row>
    <row r="37357" spans="8:8" x14ac:dyDescent="0.3">
      <c r="H37357" t="str">
        <f t="shared" si="633"/>
        <v/>
      </c>
    </row>
    <row r="37358" spans="8:8" x14ac:dyDescent="0.3">
      <c r="H37358" t="str">
        <f t="shared" si="633"/>
        <v/>
      </c>
    </row>
    <row r="37359" spans="8:8" x14ac:dyDescent="0.3">
      <c r="H37359" t="str">
        <f t="shared" si="633"/>
        <v/>
      </c>
    </row>
    <row r="37360" spans="8:8" x14ac:dyDescent="0.3">
      <c r="H37360" t="str">
        <f t="shared" si="633"/>
        <v/>
      </c>
    </row>
    <row r="37361" spans="8:8" x14ac:dyDescent="0.3">
      <c r="H37361" t="str">
        <f t="shared" si="633"/>
        <v/>
      </c>
    </row>
    <row r="37362" spans="8:8" x14ac:dyDescent="0.3">
      <c r="H37362" t="str">
        <f t="shared" si="633"/>
        <v/>
      </c>
    </row>
    <row r="37363" spans="8:8" x14ac:dyDescent="0.3">
      <c r="H37363" t="str">
        <f t="shared" si="633"/>
        <v/>
      </c>
    </row>
    <row r="37364" spans="8:8" x14ac:dyDescent="0.3">
      <c r="H37364" t="str">
        <f t="shared" si="633"/>
        <v/>
      </c>
    </row>
    <row r="37365" spans="8:8" x14ac:dyDescent="0.3">
      <c r="H37365" t="str">
        <f t="shared" si="633"/>
        <v/>
      </c>
    </row>
    <row r="37366" spans="8:8" x14ac:dyDescent="0.3">
      <c r="H37366" t="str">
        <f t="shared" si="633"/>
        <v/>
      </c>
    </row>
    <row r="37367" spans="8:8" x14ac:dyDescent="0.3">
      <c r="H37367" t="str">
        <f t="shared" si="633"/>
        <v/>
      </c>
    </row>
    <row r="37368" spans="8:8" x14ac:dyDescent="0.3">
      <c r="H37368" t="str">
        <f t="shared" si="633"/>
        <v/>
      </c>
    </row>
    <row r="37369" spans="8:8" x14ac:dyDescent="0.3">
      <c r="H37369" t="str">
        <f t="shared" si="633"/>
        <v/>
      </c>
    </row>
    <row r="37370" spans="8:8" x14ac:dyDescent="0.3">
      <c r="H37370" t="str">
        <f t="shared" si="633"/>
        <v/>
      </c>
    </row>
    <row r="37371" spans="8:8" x14ac:dyDescent="0.3">
      <c r="H37371" t="str">
        <f t="shared" si="633"/>
        <v/>
      </c>
    </row>
    <row r="37372" spans="8:8" x14ac:dyDescent="0.3">
      <c r="H37372" t="str">
        <f t="shared" si="633"/>
        <v/>
      </c>
    </row>
    <row r="37373" spans="8:8" x14ac:dyDescent="0.3">
      <c r="H37373" t="str">
        <f t="shared" si="633"/>
        <v/>
      </c>
    </row>
    <row r="37374" spans="8:8" x14ac:dyDescent="0.3">
      <c r="H37374" t="str">
        <f t="shared" si="633"/>
        <v/>
      </c>
    </row>
    <row r="37375" spans="8:8" x14ac:dyDescent="0.3">
      <c r="H37375" t="str">
        <f t="shared" si="633"/>
        <v/>
      </c>
    </row>
    <row r="37376" spans="8:8" x14ac:dyDescent="0.3">
      <c r="H37376" t="str">
        <f t="shared" si="633"/>
        <v/>
      </c>
    </row>
    <row r="37377" spans="8:8" x14ac:dyDescent="0.3">
      <c r="H37377" t="str">
        <f t="shared" si="633"/>
        <v/>
      </c>
    </row>
    <row r="37378" spans="8:8" x14ac:dyDescent="0.3">
      <c r="H37378" t="str">
        <f t="shared" si="633"/>
        <v/>
      </c>
    </row>
    <row r="37379" spans="8:8" x14ac:dyDescent="0.3">
      <c r="H37379" t="str">
        <f t="shared" si="633"/>
        <v/>
      </c>
    </row>
    <row r="37380" spans="8:8" x14ac:dyDescent="0.3">
      <c r="H37380" t="str">
        <f t="shared" si="633"/>
        <v/>
      </c>
    </row>
    <row r="37381" spans="8:8" x14ac:dyDescent="0.3">
      <c r="H37381" t="str">
        <f t="shared" si="633"/>
        <v/>
      </c>
    </row>
    <row r="37382" spans="8:8" x14ac:dyDescent="0.3">
      <c r="H37382" t="str">
        <f t="shared" si="633"/>
        <v/>
      </c>
    </row>
    <row r="37383" spans="8:8" x14ac:dyDescent="0.3">
      <c r="H37383" t="str">
        <f t="shared" si="633"/>
        <v/>
      </c>
    </row>
    <row r="37384" spans="8:8" x14ac:dyDescent="0.3">
      <c r="H37384" t="str">
        <f t="shared" si="633"/>
        <v/>
      </c>
    </row>
    <row r="37385" spans="8:8" x14ac:dyDescent="0.3">
      <c r="H37385" t="str">
        <f t="shared" si="633"/>
        <v/>
      </c>
    </row>
    <row r="37386" spans="8:8" x14ac:dyDescent="0.3">
      <c r="H37386" t="str">
        <f t="shared" si="633"/>
        <v/>
      </c>
    </row>
    <row r="37387" spans="8:8" x14ac:dyDescent="0.3">
      <c r="H37387" t="str">
        <f t="shared" si="633"/>
        <v/>
      </c>
    </row>
    <row r="37388" spans="8:8" x14ac:dyDescent="0.3">
      <c r="H37388" t="str">
        <f t="shared" si="633"/>
        <v/>
      </c>
    </row>
    <row r="37389" spans="8:8" x14ac:dyDescent="0.3">
      <c r="H37389" t="str">
        <f t="shared" si="633"/>
        <v/>
      </c>
    </row>
    <row r="37390" spans="8:8" x14ac:dyDescent="0.3">
      <c r="H37390" t="str">
        <f t="shared" si="633"/>
        <v/>
      </c>
    </row>
    <row r="37391" spans="8:8" x14ac:dyDescent="0.3">
      <c r="H37391" t="str">
        <f t="shared" si="633"/>
        <v/>
      </c>
    </row>
    <row r="37392" spans="8:8" x14ac:dyDescent="0.3">
      <c r="H37392" t="str">
        <f t="shared" si="633"/>
        <v/>
      </c>
    </row>
    <row r="37393" spans="8:8" x14ac:dyDescent="0.3">
      <c r="H37393" t="str">
        <f t="shared" si="633"/>
        <v/>
      </c>
    </row>
    <row r="37394" spans="8:8" x14ac:dyDescent="0.3">
      <c r="H37394" t="str">
        <f t="shared" si="633"/>
        <v/>
      </c>
    </row>
    <row r="37395" spans="8:8" x14ac:dyDescent="0.3">
      <c r="H37395" t="str">
        <f t="shared" si="633"/>
        <v/>
      </c>
    </row>
    <row r="37396" spans="8:8" x14ac:dyDescent="0.3">
      <c r="H37396" t="str">
        <f t="shared" si="633"/>
        <v/>
      </c>
    </row>
    <row r="37397" spans="8:8" x14ac:dyDescent="0.3">
      <c r="H37397" t="str">
        <f t="shared" si="633"/>
        <v/>
      </c>
    </row>
    <row r="37398" spans="8:8" x14ac:dyDescent="0.3">
      <c r="H37398" t="str">
        <f t="shared" si="633"/>
        <v/>
      </c>
    </row>
    <row r="37399" spans="8:8" x14ac:dyDescent="0.3">
      <c r="H37399" t="str">
        <f t="shared" ref="H37399:H37462" si="634">IF(B37399="","",$C$12)</f>
        <v/>
      </c>
    </row>
    <row r="37400" spans="8:8" x14ac:dyDescent="0.3">
      <c r="H37400" t="str">
        <f t="shared" si="634"/>
        <v/>
      </c>
    </row>
    <row r="37401" spans="8:8" x14ac:dyDescent="0.3">
      <c r="H37401" t="str">
        <f t="shared" si="634"/>
        <v/>
      </c>
    </row>
    <row r="37402" spans="8:8" x14ac:dyDescent="0.3">
      <c r="H37402" t="str">
        <f t="shared" si="634"/>
        <v/>
      </c>
    </row>
    <row r="37403" spans="8:8" x14ac:dyDescent="0.3">
      <c r="H37403" t="str">
        <f t="shared" si="634"/>
        <v/>
      </c>
    </row>
    <row r="37404" spans="8:8" x14ac:dyDescent="0.3">
      <c r="H37404" t="str">
        <f t="shared" si="634"/>
        <v/>
      </c>
    </row>
    <row r="37405" spans="8:8" x14ac:dyDescent="0.3">
      <c r="H37405" t="str">
        <f t="shared" si="634"/>
        <v/>
      </c>
    </row>
    <row r="37406" spans="8:8" x14ac:dyDescent="0.3">
      <c r="H37406" t="str">
        <f t="shared" si="634"/>
        <v/>
      </c>
    </row>
    <row r="37407" spans="8:8" x14ac:dyDescent="0.3">
      <c r="H37407" t="str">
        <f t="shared" si="634"/>
        <v/>
      </c>
    </row>
    <row r="37408" spans="8:8" x14ac:dyDescent="0.3">
      <c r="H37408" t="str">
        <f t="shared" si="634"/>
        <v/>
      </c>
    </row>
    <row r="37409" spans="8:8" x14ac:dyDescent="0.3">
      <c r="H37409" t="str">
        <f t="shared" si="634"/>
        <v/>
      </c>
    </row>
    <row r="37410" spans="8:8" x14ac:dyDescent="0.3">
      <c r="H37410" t="str">
        <f t="shared" si="634"/>
        <v/>
      </c>
    </row>
    <row r="37411" spans="8:8" x14ac:dyDescent="0.3">
      <c r="H37411" t="str">
        <f t="shared" si="634"/>
        <v/>
      </c>
    </row>
    <row r="37412" spans="8:8" x14ac:dyDescent="0.3">
      <c r="H37412" t="str">
        <f t="shared" si="634"/>
        <v/>
      </c>
    </row>
    <row r="37413" spans="8:8" x14ac:dyDescent="0.3">
      <c r="H37413" t="str">
        <f t="shared" si="634"/>
        <v/>
      </c>
    </row>
    <row r="37414" spans="8:8" x14ac:dyDescent="0.3">
      <c r="H37414" t="str">
        <f t="shared" si="634"/>
        <v/>
      </c>
    </row>
    <row r="37415" spans="8:8" x14ac:dyDescent="0.3">
      <c r="H37415" t="str">
        <f t="shared" si="634"/>
        <v/>
      </c>
    </row>
    <row r="37416" spans="8:8" x14ac:dyDescent="0.3">
      <c r="H37416" t="str">
        <f t="shared" si="634"/>
        <v/>
      </c>
    </row>
    <row r="37417" spans="8:8" x14ac:dyDescent="0.3">
      <c r="H37417" t="str">
        <f t="shared" si="634"/>
        <v/>
      </c>
    </row>
    <row r="37418" spans="8:8" x14ac:dyDescent="0.3">
      <c r="H37418" t="str">
        <f t="shared" si="634"/>
        <v/>
      </c>
    </row>
    <row r="37419" spans="8:8" x14ac:dyDescent="0.3">
      <c r="H37419" t="str">
        <f t="shared" si="634"/>
        <v/>
      </c>
    </row>
    <row r="37420" spans="8:8" x14ac:dyDescent="0.3">
      <c r="H37420" t="str">
        <f t="shared" si="634"/>
        <v/>
      </c>
    </row>
    <row r="37421" spans="8:8" x14ac:dyDescent="0.3">
      <c r="H37421" t="str">
        <f t="shared" si="634"/>
        <v/>
      </c>
    </row>
    <row r="37422" spans="8:8" x14ac:dyDescent="0.3">
      <c r="H37422" t="str">
        <f t="shared" si="634"/>
        <v/>
      </c>
    </row>
    <row r="37423" spans="8:8" x14ac:dyDescent="0.3">
      <c r="H37423" t="str">
        <f t="shared" si="634"/>
        <v/>
      </c>
    </row>
    <row r="37424" spans="8:8" x14ac:dyDescent="0.3">
      <c r="H37424" t="str">
        <f t="shared" si="634"/>
        <v/>
      </c>
    </row>
    <row r="37425" spans="8:8" x14ac:dyDescent="0.3">
      <c r="H37425" t="str">
        <f t="shared" si="634"/>
        <v/>
      </c>
    </row>
    <row r="37426" spans="8:8" x14ac:dyDescent="0.3">
      <c r="H37426" t="str">
        <f t="shared" si="634"/>
        <v/>
      </c>
    </row>
    <row r="37427" spans="8:8" x14ac:dyDescent="0.3">
      <c r="H37427" t="str">
        <f t="shared" si="634"/>
        <v/>
      </c>
    </row>
    <row r="37428" spans="8:8" x14ac:dyDescent="0.3">
      <c r="H37428" t="str">
        <f t="shared" si="634"/>
        <v/>
      </c>
    </row>
    <row r="37429" spans="8:8" x14ac:dyDescent="0.3">
      <c r="H37429" t="str">
        <f t="shared" si="634"/>
        <v/>
      </c>
    </row>
    <row r="37430" spans="8:8" x14ac:dyDescent="0.3">
      <c r="H37430" t="str">
        <f t="shared" si="634"/>
        <v/>
      </c>
    </row>
    <row r="37431" spans="8:8" x14ac:dyDescent="0.3">
      <c r="H37431" t="str">
        <f t="shared" si="634"/>
        <v/>
      </c>
    </row>
    <row r="37432" spans="8:8" x14ac:dyDescent="0.3">
      <c r="H37432" t="str">
        <f t="shared" si="634"/>
        <v/>
      </c>
    </row>
    <row r="37433" spans="8:8" x14ac:dyDescent="0.3">
      <c r="H37433" t="str">
        <f t="shared" si="634"/>
        <v/>
      </c>
    </row>
    <row r="37434" spans="8:8" x14ac:dyDescent="0.3">
      <c r="H37434" t="str">
        <f t="shared" si="634"/>
        <v/>
      </c>
    </row>
    <row r="37435" spans="8:8" x14ac:dyDescent="0.3">
      <c r="H37435" t="str">
        <f t="shared" si="634"/>
        <v/>
      </c>
    </row>
    <row r="37436" spans="8:8" x14ac:dyDescent="0.3">
      <c r="H37436" t="str">
        <f t="shared" si="634"/>
        <v/>
      </c>
    </row>
    <row r="37437" spans="8:8" x14ac:dyDescent="0.3">
      <c r="H37437" t="str">
        <f t="shared" si="634"/>
        <v/>
      </c>
    </row>
    <row r="37438" spans="8:8" x14ac:dyDescent="0.3">
      <c r="H37438" t="str">
        <f t="shared" si="634"/>
        <v/>
      </c>
    </row>
    <row r="37439" spans="8:8" x14ac:dyDescent="0.3">
      <c r="H37439" t="str">
        <f t="shared" si="634"/>
        <v/>
      </c>
    </row>
    <row r="37440" spans="8:8" x14ac:dyDescent="0.3">
      <c r="H37440" t="str">
        <f t="shared" si="634"/>
        <v/>
      </c>
    </row>
    <row r="37441" spans="8:8" x14ac:dyDescent="0.3">
      <c r="H37441" t="str">
        <f t="shared" si="634"/>
        <v/>
      </c>
    </row>
    <row r="37442" spans="8:8" x14ac:dyDescent="0.3">
      <c r="H37442" t="str">
        <f t="shared" si="634"/>
        <v/>
      </c>
    </row>
    <row r="37443" spans="8:8" x14ac:dyDescent="0.3">
      <c r="H37443" t="str">
        <f t="shared" si="634"/>
        <v/>
      </c>
    </row>
    <row r="37444" spans="8:8" x14ac:dyDescent="0.3">
      <c r="H37444" t="str">
        <f t="shared" si="634"/>
        <v/>
      </c>
    </row>
    <row r="37445" spans="8:8" x14ac:dyDescent="0.3">
      <c r="H37445" t="str">
        <f t="shared" si="634"/>
        <v/>
      </c>
    </row>
    <row r="37446" spans="8:8" x14ac:dyDescent="0.3">
      <c r="H37446" t="str">
        <f t="shared" si="634"/>
        <v/>
      </c>
    </row>
    <row r="37447" spans="8:8" x14ac:dyDescent="0.3">
      <c r="H37447" t="str">
        <f t="shared" si="634"/>
        <v/>
      </c>
    </row>
    <row r="37448" spans="8:8" x14ac:dyDescent="0.3">
      <c r="H37448" t="str">
        <f t="shared" si="634"/>
        <v/>
      </c>
    </row>
    <row r="37449" spans="8:8" x14ac:dyDescent="0.3">
      <c r="H37449" t="str">
        <f t="shared" si="634"/>
        <v/>
      </c>
    </row>
    <row r="37450" spans="8:8" x14ac:dyDescent="0.3">
      <c r="H37450" t="str">
        <f t="shared" si="634"/>
        <v/>
      </c>
    </row>
    <row r="37451" spans="8:8" x14ac:dyDescent="0.3">
      <c r="H37451" t="str">
        <f t="shared" si="634"/>
        <v/>
      </c>
    </row>
    <row r="37452" spans="8:8" x14ac:dyDescent="0.3">
      <c r="H37452" t="str">
        <f t="shared" si="634"/>
        <v/>
      </c>
    </row>
    <row r="37453" spans="8:8" x14ac:dyDescent="0.3">
      <c r="H37453" t="str">
        <f t="shared" si="634"/>
        <v/>
      </c>
    </row>
    <row r="37454" spans="8:8" x14ac:dyDescent="0.3">
      <c r="H37454" t="str">
        <f t="shared" si="634"/>
        <v/>
      </c>
    </row>
    <row r="37455" spans="8:8" x14ac:dyDescent="0.3">
      <c r="H37455" t="str">
        <f t="shared" si="634"/>
        <v/>
      </c>
    </row>
    <row r="37456" spans="8:8" x14ac:dyDescent="0.3">
      <c r="H37456" t="str">
        <f t="shared" si="634"/>
        <v/>
      </c>
    </row>
    <row r="37457" spans="8:8" x14ac:dyDescent="0.3">
      <c r="H37457" t="str">
        <f t="shared" si="634"/>
        <v/>
      </c>
    </row>
    <row r="37458" spans="8:8" x14ac:dyDescent="0.3">
      <c r="H37458" t="str">
        <f t="shared" si="634"/>
        <v/>
      </c>
    </row>
    <row r="37459" spans="8:8" x14ac:dyDescent="0.3">
      <c r="H37459" t="str">
        <f t="shared" si="634"/>
        <v/>
      </c>
    </row>
    <row r="37460" spans="8:8" x14ac:dyDescent="0.3">
      <c r="H37460" t="str">
        <f t="shared" si="634"/>
        <v/>
      </c>
    </row>
    <row r="37461" spans="8:8" x14ac:dyDescent="0.3">
      <c r="H37461" t="str">
        <f t="shared" si="634"/>
        <v/>
      </c>
    </row>
    <row r="37462" spans="8:8" x14ac:dyDescent="0.3">
      <c r="H37462" t="str">
        <f t="shared" si="634"/>
        <v/>
      </c>
    </row>
    <row r="37463" spans="8:8" x14ac:dyDescent="0.3">
      <c r="H37463" t="str">
        <f t="shared" ref="H37463:H37526" si="635">IF(B37463="","",$C$12)</f>
        <v/>
      </c>
    </row>
    <row r="37464" spans="8:8" x14ac:dyDescent="0.3">
      <c r="H37464" t="str">
        <f t="shared" si="635"/>
        <v/>
      </c>
    </row>
    <row r="37465" spans="8:8" x14ac:dyDescent="0.3">
      <c r="H37465" t="str">
        <f t="shared" si="635"/>
        <v/>
      </c>
    </row>
    <row r="37466" spans="8:8" x14ac:dyDescent="0.3">
      <c r="H37466" t="str">
        <f t="shared" si="635"/>
        <v/>
      </c>
    </row>
    <row r="37467" spans="8:8" x14ac:dyDescent="0.3">
      <c r="H37467" t="str">
        <f t="shared" si="635"/>
        <v/>
      </c>
    </row>
    <row r="37468" spans="8:8" x14ac:dyDescent="0.3">
      <c r="H37468" t="str">
        <f t="shared" si="635"/>
        <v/>
      </c>
    </row>
    <row r="37469" spans="8:8" x14ac:dyDescent="0.3">
      <c r="H37469" t="str">
        <f t="shared" si="635"/>
        <v/>
      </c>
    </row>
    <row r="37470" spans="8:8" x14ac:dyDescent="0.3">
      <c r="H37470" t="str">
        <f t="shared" si="635"/>
        <v/>
      </c>
    </row>
    <row r="37471" spans="8:8" x14ac:dyDescent="0.3">
      <c r="H37471" t="str">
        <f t="shared" si="635"/>
        <v/>
      </c>
    </row>
    <row r="37472" spans="8:8" x14ac:dyDescent="0.3">
      <c r="H37472" t="str">
        <f t="shared" si="635"/>
        <v/>
      </c>
    </row>
    <row r="37473" spans="8:8" x14ac:dyDescent="0.3">
      <c r="H37473" t="str">
        <f t="shared" si="635"/>
        <v/>
      </c>
    </row>
    <row r="37474" spans="8:8" x14ac:dyDescent="0.3">
      <c r="H37474" t="str">
        <f t="shared" si="635"/>
        <v/>
      </c>
    </row>
    <row r="37475" spans="8:8" x14ac:dyDescent="0.3">
      <c r="H37475" t="str">
        <f t="shared" si="635"/>
        <v/>
      </c>
    </row>
    <row r="37476" spans="8:8" x14ac:dyDescent="0.3">
      <c r="H37476" t="str">
        <f t="shared" si="635"/>
        <v/>
      </c>
    </row>
    <row r="37477" spans="8:8" x14ac:dyDescent="0.3">
      <c r="H37477" t="str">
        <f t="shared" si="635"/>
        <v/>
      </c>
    </row>
    <row r="37478" spans="8:8" x14ac:dyDescent="0.3">
      <c r="H37478" t="str">
        <f t="shared" si="635"/>
        <v/>
      </c>
    </row>
    <row r="37479" spans="8:8" x14ac:dyDescent="0.3">
      <c r="H37479" t="str">
        <f t="shared" si="635"/>
        <v/>
      </c>
    </row>
    <row r="37480" spans="8:8" x14ac:dyDescent="0.3">
      <c r="H37480" t="str">
        <f t="shared" si="635"/>
        <v/>
      </c>
    </row>
    <row r="37481" spans="8:8" x14ac:dyDescent="0.3">
      <c r="H37481" t="str">
        <f t="shared" si="635"/>
        <v/>
      </c>
    </row>
    <row r="37482" spans="8:8" x14ac:dyDescent="0.3">
      <c r="H37482" t="str">
        <f t="shared" si="635"/>
        <v/>
      </c>
    </row>
    <row r="37483" spans="8:8" x14ac:dyDescent="0.3">
      <c r="H37483" t="str">
        <f t="shared" si="635"/>
        <v/>
      </c>
    </row>
    <row r="37484" spans="8:8" x14ac:dyDescent="0.3">
      <c r="H37484" t="str">
        <f t="shared" si="635"/>
        <v/>
      </c>
    </row>
    <row r="37485" spans="8:8" x14ac:dyDescent="0.3">
      <c r="H37485" t="str">
        <f t="shared" si="635"/>
        <v/>
      </c>
    </row>
    <row r="37486" spans="8:8" x14ac:dyDescent="0.3">
      <c r="H37486" t="str">
        <f t="shared" si="635"/>
        <v/>
      </c>
    </row>
    <row r="37487" spans="8:8" x14ac:dyDescent="0.3">
      <c r="H37487" t="str">
        <f t="shared" si="635"/>
        <v/>
      </c>
    </row>
    <row r="37488" spans="8:8" x14ac:dyDescent="0.3">
      <c r="H37488" t="str">
        <f t="shared" si="635"/>
        <v/>
      </c>
    </row>
    <row r="37489" spans="8:8" x14ac:dyDescent="0.3">
      <c r="H37489" t="str">
        <f t="shared" si="635"/>
        <v/>
      </c>
    </row>
    <row r="37490" spans="8:8" x14ac:dyDescent="0.3">
      <c r="H37490" t="str">
        <f t="shared" si="635"/>
        <v/>
      </c>
    </row>
    <row r="37491" spans="8:8" x14ac:dyDescent="0.3">
      <c r="H37491" t="str">
        <f t="shared" si="635"/>
        <v/>
      </c>
    </row>
    <row r="37492" spans="8:8" x14ac:dyDescent="0.3">
      <c r="H37492" t="str">
        <f t="shared" si="635"/>
        <v/>
      </c>
    </row>
    <row r="37493" spans="8:8" x14ac:dyDescent="0.3">
      <c r="H37493" t="str">
        <f t="shared" si="635"/>
        <v/>
      </c>
    </row>
    <row r="37494" spans="8:8" x14ac:dyDescent="0.3">
      <c r="H37494" t="str">
        <f t="shared" si="635"/>
        <v/>
      </c>
    </row>
    <row r="37495" spans="8:8" x14ac:dyDescent="0.3">
      <c r="H37495" t="str">
        <f t="shared" si="635"/>
        <v/>
      </c>
    </row>
    <row r="37496" spans="8:8" x14ac:dyDescent="0.3">
      <c r="H37496" t="str">
        <f t="shared" si="635"/>
        <v/>
      </c>
    </row>
    <row r="37497" spans="8:8" x14ac:dyDescent="0.3">
      <c r="H37497" t="str">
        <f t="shared" si="635"/>
        <v/>
      </c>
    </row>
    <row r="37498" spans="8:8" x14ac:dyDescent="0.3">
      <c r="H37498" t="str">
        <f t="shared" si="635"/>
        <v/>
      </c>
    </row>
    <row r="37499" spans="8:8" x14ac:dyDescent="0.3">
      <c r="H37499" t="str">
        <f t="shared" si="635"/>
        <v/>
      </c>
    </row>
    <row r="37500" spans="8:8" x14ac:dyDescent="0.3">
      <c r="H37500" t="str">
        <f t="shared" si="635"/>
        <v/>
      </c>
    </row>
    <row r="37501" spans="8:8" x14ac:dyDescent="0.3">
      <c r="H37501" t="str">
        <f t="shared" si="635"/>
        <v/>
      </c>
    </row>
    <row r="37502" spans="8:8" x14ac:dyDescent="0.3">
      <c r="H37502" t="str">
        <f t="shared" si="635"/>
        <v/>
      </c>
    </row>
    <row r="37503" spans="8:8" x14ac:dyDescent="0.3">
      <c r="H37503" t="str">
        <f t="shared" si="635"/>
        <v/>
      </c>
    </row>
    <row r="37504" spans="8:8" x14ac:dyDescent="0.3">
      <c r="H37504" t="str">
        <f t="shared" si="635"/>
        <v/>
      </c>
    </row>
    <row r="37505" spans="8:8" x14ac:dyDescent="0.3">
      <c r="H37505" t="str">
        <f t="shared" si="635"/>
        <v/>
      </c>
    </row>
    <row r="37506" spans="8:8" x14ac:dyDescent="0.3">
      <c r="H37506" t="str">
        <f t="shared" si="635"/>
        <v/>
      </c>
    </row>
    <row r="37507" spans="8:8" x14ac:dyDescent="0.3">
      <c r="H37507" t="str">
        <f t="shared" si="635"/>
        <v/>
      </c>
    </row>
    <row r="37508" spans="8:8" x14ac:dyDescent="0.3">
      <c r="H37508" t="str">
        <f t="shared" si="635"/>
        <v/>
      </c>
    </row>
    <row r="37509" spans="8:8" x14ac:dyDescent="0.3">
      <c r="H37509" t="str">
        <f t="shared" si="635"/>
        <v/>
      </c>
    </row>
    <row r="37510" spans="8:8" x14ac:dyDescent="0.3">
      <c r="H37510" t="str">
        <f t="shared" si="635"/>
        <v/>
      </c>
    </row>
    <row r="37511" spans="8:8" x14ac:dyDescent="0.3">
      <c r="H37511" t="str">
        <f t="shared" si="635"/>
        <v/>
      </c>
    </row>
    <row r="37512" spans="8:8" x14ac:dyDescent="0.3">
      <c r="H37512" t="str">
        <f t="shared" si="635"/>
        <v/>
      </c>
    </row>
    <row r="37513" spans="8:8" x14ac:dyDescent="0.3">
      <c r="H37513" t="str">
        <f t="shared" si="635"/>
        <v/>
      </c>
    </row>
    <row r="37514" spans="8:8" x14ac:dyDescent="0.3">
      <c r="H37514" t="str">
        <f t="shared" si="635"/>
        <v/>
      </c>
    </row>
    <row r="37515" spans="8:8" x14ac:dyDescent="0.3">
      <c r="H37515" t="str">
        <f t="shared" si="635"/>
        <v/>
      </c>
    </row>
    <row r="37516" spans="8:8" x14ac:dyDescent="0.3">
      <c r="H37516" t="str">
        <f t="shared" si="635"/>
        <v/>
      </c>
    </row>
    <row r="37517" spans="8:8" x14ac:dyDescent="0.3">
      <c r="H37517" t="str">
        <f t="shared" si="635"/>
        <v/>
      </c>
    </row>
    <row r="37518" spans="8:8" x14ac:dyDescent="0.3">
      <c r="H37518" t="str">
        <f t="shared" si="635"/>
        <v/>
      </c>
    </row>
    <row r="37519" spans="8:8" x14ac:dyDescent="0.3">
      <c r="H37519" t="str">
        <f t="shared" si="635"/>
        <v/>
      </c>
    </row>
    <row r="37520" spans="8:8" x14ac:dyDescent="0.3">
      <c r="H37520" t="str">
        <f t="shared" si="635"/>
        <v/>
      </c>
    </row>
    <row r="37521" spans="8:8" x14ac:dyDescent="0.3">
      <c r="H37521" t="str">
        <f t="shared" si="635"/>
        <v/>
      </c>
    </row>
    <row r="37522" spans="8:8" x14ac:dyDescent="0.3">
      <c r="H37522" t="str">
        <f t="shared" si="635"/>
        <v/>
      </c>
    </row>
    <row r="37523" spans="8:8" x14ac:dyDescent="0.3">
      <c r="H37523" t="str">
        <f t="shared" si="635"/>
        <v/>
      </c>
    </row>
    <row r="37524" spans="8:8" x14ac:dyDescent="0.3">
      <c r="H37524" t="str">
        <f t="shared" si="635"/>
        <v/>
      </c>
    </row>
    <row r="37525" spans="8:8" x14ac:dyDescent="0.3">
      <c r="H37525" t="str">
        <f t="shared" si="635"/>
        <v/>
      </c>
    </row>
    <row r="37526" spans="8:8" x14ac:dyDescent="0.3">
      <c r="H37526" t="str">
        <f t="shared" si="635"/>
        <v/>
      </c>
    </row>
    <row r="37527" spans="8:8" x14ac:dyDescent="0.3">
      <c r="H37527" t="str">
        <f t="shared" ref="H37527:H37590" si="636">IF(B37527="","",$C$12)</f>
        <v/>
      </c>
    </row>
    <row r="37528" spans="8:8" x14ac:dyDescent="0.3">
      <c r="H37528" t="str">
        <f t="shared" si="636"/>
        <v/>
      </c>
    </row>
    <row r="37529" spans="8:8" x14ac:dyDescent="0.3">
      <c r="H37529" t="str">
        <f t="shared" si="636"/>
        <v/>
      </c>
    </row>
    <row r="37530" spans="8:8" x14ac:dyDescent="0.3">
      <c r="H37530" t="str">
        <f t="shared" si="636"/>
        <v/>
      </c>
    </row>
    <row r="37531" spans="8:8" x14ac:dyDescent="0.3">
      <c r="H37531" t="str">
        <f t="shared" si="636"/>
        <v/>
      </c>
    </row>
    <row r="37532" spans="8:8" x14ac:dyDescent="0.3">
      <c r="H37532" t="str">
        <f t="shared" si="636"/>
        <v/>
      </c>
    </row>
    <row r="37533" spans="8:8" x14ac:dyDescent="0.3">
      <c r="H37533" t="str">
        <f t="shared" si="636"/>
        <v/>
      </c>
    </row>
    <row r="37534" spans="8:8" x14ac:dyDescent="0.3">
      <c r="H37534" t="str">
        <f t="shared" si="636"/>
        <v/>
      </c>
    </row>
    <row r="37535" spans="8:8" x14ac:dyDescent="0.3">
      <c r="H37535" t="str">
        <f t="shared" si="636"/>
        <v/>
      </c>
    </row>
    <row r="37536" spans="8:8" x14ac:dyDescent="0.3">
      <c r="H37536" t="str">
        <f t="shared" si="636"/>
        <v/>
      </c>
    </row>
    <row r="37537" spans="8:8" x14ac:dyDescent="0.3">
      <c r="H37537" t="str">
        <f t="shared" si="636"/>
        <v/>
      </c>
    </row>
    <row r="37538" spans="8:8" x14ac:dyDescent="0.3">
      <c r="H37538" t="str">
        <f t="shared" si="636"/>
        <v/>
      </c>
    </row>
    <row r="37539" spans="8:8" x14ac:dyDescent="0.3">
      <c r="H37539" t="str">
        <f t="shared" si="636"/>
        <v/>
      </c>
    </row>
    <row r="37540" spans="8:8" x14ac:dyDescent="0.3">
      <c r="H37540" t="str">
        <f t="shared" si="636"/>
        <v/>
      </c>
    </row>
    <row r="37541" spans="8:8" x14ac:dyDescent="0.3">
      <c r="H37541" t="str">
        <f t="shared" si="636"/>
        <v/>
      </c>
    </row>
    <row r="37542" spans="8:8" x14ac:dyDescent="0.3">
      <c r="H37542" t="str">
        <f t="shared" si="636"/>
        <v/>
      </c>
    </row>
    <row r="37543" spans="8:8" x14ac:dyDescent="0.3">
      <c r="H37543" t="str">
        <f t="shared" si="636"/>
        <v/>
      </c>
    </row>
    <row r="37544" spans="8:8" x14ac:dyDescent="0.3">
      <c r="H37544" t="str">
        <f t="shared" si="636"/>
        <v/>
      </c>
    </row>
    <row r="37545" spans="8:8" x14ac:dyDescent="0.3">
      <c r="H37545" t="str">
        <f t="shared" si="636"/>
        <v/>
      </c>
    </row>
    <row r="37546" spans="8:8" x14ac:dyDescent="0.3">
      <c r="H37546" t="str">
        <f t="shared" si="636"/>
        <v/>
      </c>
    </row>
    <row r="37547" spans="8:8" x14ac:dyDescent="0.3">
      <c r="H37547" t="str">
        <f t="shared" si="636"/>
        <v/>
      </c>
    </row>
    <row r="37548" spans="8:8" x14ac:dyDescent="0.3">
      <c r="H37548" t="str">
        <f t="shared" si="636"/>
        <v/>
      </c>
    </row>
    <row r="37549" spans="8:8" x14ac:dyDescent="0.3">
      <c r="H37549" t="str">
        <f t="shared" si="636"/>
        <v/>
      </c>
    </row>
    <row r="37550" spans="8:8" x14ac:dyDescent="0.3">
      <c r="H37550" t="str">
        <f t="shared" si="636"/>
        <v/>
      </c>
    </row>
    <row r="37551" spans="8:8" x14ac:dyDescent="0.3">
      <c r="H37551" t="str">
        <f t="shared" si="636"/>
        <v/>
      </c>
    </row>
    <row r="37552" spans="8:8" x14ac:dyDescent="0.3">
      <c r="H37552" t="str">
        <f t="shared" si="636"/>
        <v/>
      </c>
    </row>
    <row r="37553" spans="8:8" x14ac:dyDescent="0.3">
      <c r="H37553" t="str">
        <f t="shared" si="636"/>
        <v/>
      </c>
    </row>
    <row r="37554" spans="8:8" x14ac:dyDescent="0.3">
      <c r="H37554" t="str">
        <f t="shared" si="636"/>
        <v/>
      </c>
    </row>
    <row r="37555" spans="8:8" x14ac:dyDescent="0.3">
      <c r="H37555" t="str">
        <f t="shared" si="636"/>
        <v/>
      </c>
    </row>
    <row r="37556" spans="8:8" x14ac:dyDescent="0.3">
      <c r="H37556" t="str">
        <f t="shared" si="636"/>
        <v/>
      </c>
    </row>
    <row r="37557" spans="8:8" x14ac:dyDescent="0.3">
      <c r="H37557" t="str">
        <f t="shared" si="636"/>
        <v/>
      </c>
    </row>
    <row r="37558" spans="8:8" x14ac:dyDescent="0.3">
      <c r="H37558" t="str">
        <f t="shared" si="636"/>
        <v/>
      </c>
    </row>
    <row r="37559" spans="8:8" x14ac:dyDescent="0.3">
      <c r="H37559" t="str">
        <f t="shared" si="636"/>
        <v/>
      </c>
    </row>
    <row r="37560" spans="8:8" x14ac:dyDescent="0.3">
      <c r="H37560" t="str">
        <f t="shared" si="636"/>
        <v/>
      </c>
    </row>
    <row r="37561" spans="8:8" x14ac:dyDescent="0.3">
      <c r="H37561" t="str">
        <f t="shared" si="636"/>
        <v/>
      </c>
    </row>
    <row r="37562" spans="8:8" x14ac:dyDescent="0.3">
      <c r="H37562" t="str">
        <f t="shared" si="636"/>
        <v/>
      </c>
    </row>
    <row r="37563" spans="8:8" x14ac:dyDescent="0.3">
      <c r="H37563" t="str">
        <f t="shared" si="636"/>
        <v/>
      </c>
    </row>
    <row r="37564" spans="8:8" x14ac:dyDescent="0.3">
      <c r="H37564" t="str">
        <f t="shared" si="636"/>
        <v/>
      </c>
    </row>
    <row r="37565" spans="8:8" x14ac:dyDescent="0.3">
      <c r="H37565" t="str">
        <f t="shared" si="636"/>
        <v/>
      </c>
    </row>
    <row r="37566" spans="8:8" x14ac:dyDescent="0.3">
      <c r="H37566" t="str">
        <f t="shared" si="636"/>
        <v/>
      </c>
    </row>
    <row r="37567" spans="8:8" x14ac:dyDescent="0.3">
      <c r="H37567" t="str">
        <f t="shared" si="636"/>
        <v/>
      </c>
    </row>
    <row r="37568" spans="8:8" x14ac:dyDescent="0.3">
      <c r="H37568" t="str">
        <f t="shared" si="636"/>
        <v/>
      </c>
    </row>
    <row r="37569" spans="8:8" x14ac:dyDescent="0.3">
      <c r="H37569" t="str">
        <f t="shared" si="636"/>
        <v/>
      </c>
    </row>
    <row r="37570" spans="8:8" x14ac:dyDescent="0.3">
      <c r="H37570" t="str">
        <f t="shared" si="636"/>
        <v/>
      </c>
    </row>
    <row r="37571" spans="8:8" x14ac:dyDescent="0.3">
      <c r="H37571" t="str">
        <f t="shared" si="636"/>
        <v/>
      </c>
    </row>
    <row r="37572" spans="8:8" x14ac:dyDescent="0.3">
      <c r="H37572" t="str">
        <f t="shared" si="636"/>
        <v/>
      </c>
    </row>
    <row r="37573" spans="8:8" x14ac:dyDescent="0.3">
      <c r="H37573" t="str">
        <f t="shared" si="636"/>
        <v/>
      </c>
    </row>
    <row r="37574" spans="8:8" x14ac:dyDescent="0.3">
      <c r="H37574" t="str">
        <f t="shared" si="636"/>
        <v/>
      </c>
    </row>
    <row r="37575" spans="8:8" x14ac:dyDescent="0.3">
      <c r="H37575" t="str">
        <f t="shared" si="636"/>
        <v/>
      </c>
    </row>
    <row r="37576" spans="8:8" x14ac:dyDescent="0.3">
      <c r="H37576" t="str">
        <f t="shared" si="636"/>
        <v/>
      </c>
    </row>
    <row r="37577" spans="8:8" x14ac:dyDescent="0.3">
      <c r="H37577" t="str">
        <f t="shared" si="636"/>
        <v/>
      </c>
    </row>
    <row r="37578" spans="8:8" x14ac:dyDescent="0.3">
      <c r="H37578" t="str">
        <f t="shared" si="636"/>
        <v/>
      </c>
    </row>
    <row r="37579" spans="8:8" x14ac:dyDescent="0.3">
      <c r="H37579" t="str">
        <f t="shared" si="636"/>
        <v/>
      </c>
    </row>
    <row r="37580" spans="8:8" x14ac:dyDescent="0.3">
      <c r="H37580" t="str">
        <f t="shared" si="636"/>
        <v/>
      </c>
    </row>
    <row r="37581" spans="8:8" x14ac:dyDescent="0.3">
      <c r="H37581" t="str">
        <f t="shared" si="636"/>
        <v/>
      </c>
    </row>
    <row r="37582" spans="8:8" x14ac:dyDescent="0.3">
      <c r="H37582" t="str">
        <f t="shared" si="636"/>
        <v/>
      </c>
    </row>
    <row r="37583" spans="8:8" x14ac:dyDescent="0.3">
      <c r="H37583" t="str">
        <f t="shared" si="636"/>
        <v/>
      </c>
    </row>
    <row r="37584" spans="8:8" x14ac:dyDescent="0.3">
      <c r="H37584" t="str">
        <f t="shared" si="636"/>
        <v/>
      </c>
    </row>
    <row r="37585" spans="8:8" x14ac:dyDescent="0.3">
      <c r="H37585" t="str">
        <f t="shared" si="636"/>
        <v/>
      </c>
    </row>
    <row r="37586" spans="8:8" x14ac:dyDescent="0.3">
      <c r="H37586" t="str">
        <f t="shared" si="636"/>
        <v/>
      </c>
    </row>
    <row r="37587" spans="8:8" x14ac:dyDescent="0.3">
      <c r="H37587" t="str">
        <f t="shared" si="636"/>
        <v/>
      </c>
    </row>
    <row r="37588" spans="8:8" x14ac:dyDescent="0.3">
      <c r="H37588" t="str">
        <f t="shared" si="636"/>
        <v/>
      </c>
    </row>
    <row r="37589" spans="8:8" x14ac:dyDescent="0.3">
      <c r="H37589" t="str">
        <f t="shared" si="636"/>
        <v/>
      </c>
    </row>
    <row r="37590" spans="8:8" x14ac:dyDescent="0.3">
      <c r="H37590" t="str">
        <f t="shared" si="636"/>
        <v/>
      </c>
    </row>
    <row r="37591" spans="8:8" x14ac:dyDescent="0.3">
      <c r="H37591" t="str">
        <f t="shared" ref="H37591:H37654" si="637">IF(B37591="","",$C$12)</f>
        <v/>
      </c>
    </row>
    <row r="37592" spans="8:8" x14ac:dyDescent="0.3">
      <c r="H37592" t="str">
        <f t="shared" si="637"/>
        <v/>
      </c>
    </row>
    <row r="37593" spans="8:8" x14ac:dyDescent="0.3">
      <c r="H37593" t="str">
        <f t="shared" si="637"/>
        <v/>
      </c>
    </row>
    <row r="37594" spans="8:8" x14ac:dyDescent="0.3">
      <c r="H37594" t="str">
        <f t="shared" si="637"/>
        <v/>
      </c>
    </row>
    <row r="37595" spans="8:8" x14ac:dyDescent="0.3">
      <c r="H37595" t="str">
        <f t="shared" si="637"/>
        <v/>
      </c>
    </row>
    <row r="37596" spans="8:8" x14ac:dyDescent="0.3">
      <c r="H37596" t="str">
        <f t="shared" si="637"/>
        <v/>
      </c>
    </row>
    <row r="37597" spans="8:8" x14ac:dyDescent="0.3">
      <c r="H37597" t="str">
        <f t="shared" si="637"/>
        <v/>
      </c>
    </row>
    <row r="37598" spans="8:8" x14ac:dyDescent="0.3">
      <c r="H37598" t="str">
        <f t="shared" si="637"/>
        <v/>
      </c>
    </row>
    <row r="37599" spans="8:8" x14ac:dyDescent="0.3">
      <c r="H37599" t="str">
        <f t="shared" si="637"/>
        <v/>
      </c>
    </row>
    <row r="37600" spans="8:8" x14ac:dyDescent="0.3">
      <c r="H37600" t="str">
        <f t="shared" si="637"/>
        <v/>
      </c>
    </row>
    <row r="37601" spans="8:8" x14ac:dyDescent="0.3">
      <c r="H37601" t="str">
        <f t="shared" si="637"/>
        <v/>
      </c>
    </row>
    <row r="37602" spans="8:8" x14ac:dyDescent="0.3">
      <c r="H37602" t="str">
        <f t="shared" si="637"/>
        <v/>
      </c>
    </row>
    <row r="37603" spans="8:8" x14ac:dyDescent="0.3">
      <c r="H37603" t="str">
        <f t="shared" si="637"/>
        <v/>
      </c>
    </row>
    <row r="37604" spans="8:8" x14ac:dyDescent="0.3">
      <c r="H37604" t="str">
        <f t="shared" si="637"/>
        <v/>
      </c>
    </row>
    <row r="37605" spans="8:8" x14ac:dyDescent="0.3">
      <c r="H37605" t="str">
        <f t="shared" si="637"/>
        <v/>
      </c>
    </row>
    <row r="37606" spans="8:8" x14ac:dyDescent="0.3">
      <c r="H37606" t="str">
        <f t="shared" si="637"/>
        <v/>
      </c>
    </row>
    <row r="37607" spans="8:8" x14ac:dyDescent="0.3">
      <c r="H37607" t="str">
        <f t="shared" si="637"/>
        <v/>
      </c>
    </row>
    <row r="37608" spans="8:8" x14ac:dyDescent="0.3">
      <c r="H37608" t="str">
        <f t="shared" si="637"/>
        <v/>
      </c>
    </row>
    <row r="37609" spans="8:8" x14ac:dyDescent="0.3">
      <c r="H37609" t="str">
        <f t="shared" si="637"/>
        <v/>
      </c>
    </row>
    <row r="37610" spans="8:8" x14ac:dyDescent="0.3">
      <c r="H37610" t="str">
        <f t="shared" si="637"/>
        <v/>
      </c>
    </row>
    <row r="37611" spans="8:8" x14ac:dyDescent="0.3">
      <c r="H37611" t="str">
        <f t="shared" si="637"/>
        <v/>
      </c>
    </row>
    <row r="37612" spans="8:8" x14ac:dyDescent="0.3">
      <c r="H37612" t="str">
        <f t="shared" si="637"/>
        <v/>
      </c>
    </row>
    <row r="37613" spans="8:8" x14ac:dyDescent="0.3">
      <c r="H37613" t="str">
        <f t="shared" si="637"/>
        <v/>
      </c>
    </row>
    <row r="37614" spans="8:8" x14ac:dyDescent="0.3">
      <c r="H37614" t="str">
        <f t="shared" si="637"/>
        <v/>
      </c>
    </row>
    <row r="37615" spans="8:8" x14ac:dyDescent="0.3">
      <c r="H37615" t="str">
        <f t="shared" si="637"/>
        <v/>
      </c>
    </row>
    <row r="37616" spans="8:8" x14ac:dyDescent="0.3">
      <c r="H37616" t="str">
        <f t="shared" si="637"/>
        <v/>
      </c>
    </row>
    <row r="37617" spans="8:8" x14ac:dyDescent="0.3">
      <c r="H37617" t="str">
        <f t="shared" si="637"/>
        <v/>
      </c>
    </row>
    <row r="37618" spans="8:8" x14ac:dyDescent="0.3">
      <c r="H37618" t="str">
        <f t="shared" si="637"/>
        <v/>
      </c>
    </row>
    <row r="37619" spans="8:8" x14ac:dyDescent="0.3">
      <c r="H37619" t="str">
        <f t="shared" si="637"/>
        <v/>
      </c>
    </row>
    <row r="37620" spans="8:8" x14ac:dyDescent="0.3">
      <c r="H37620" t="str">
        <f t="shared" si="637"/>
        <v/>
      </c>
    </row>
    <row r="37621" spans="8:8" x14ac:dyDescent="0.3">
      <c r="H37621" t="str">
        <f t="shared" si="637"/>
        <v/>
      </c>
    </row>
    <row r="37622" spans="8:8" x14ac:dyDescent="0.3">
      <c r="H37622" t="str">
        <f t="shared" si="637"/>
        <v/>
      </c>
    </row>
    <row r="37623" spans="8:8" x14ac:dyDescent="0.3">
      <c r="H37623" t="str">
        <f t="shared" si="637"/>
        <v/>
      </c>
    </row>
    <row r="37624" spans="8:8" x14ac:dyDescent="0.3">
      <c r="H37624" t="str">
        <f t="shared" si="637"/>
        <v/>
      </c>
    </row>
    <row r="37625" spans="8:8" x14ac:dyDescent="0.3">
      <c r="H37625" t="str">
        <f t="shared" si="637"/>
        <v/>
      </c>
    </row>
    <row r="37626" spans="8:8" x14ac:dyDescent="0.3">
      <c r="H37626" t="str">
        <f t="shared" si="637"/>
        <v/>
      </c>
    </row>
    <row r="37627" spans="8:8" x14ac:dyDescent="0.3">
      <c r="H37627" t="str">
        <f t="shared" si="637"/>
        <v/>
      </c>
    </row>
    <row r="37628" spans="8:8" x14ac:dyDescent="0.3">
      <c r="H37628" t="str">
        <f t="shared" si="637"/>
        <v/>
      </c>
    </row>
    <row r="37629" spans="8:8" x14ac:dyDescent="0.3">
      <c r="H37629" t="str">
        <f t="shared" si="637"/>
        <v/>
      </c>
    </row>
    <row r="37630" spans="8:8" x14ac:dyDescent="0.3">
      <c r="H37630" t="str">
        <f t="shared" si="637"/>
        <v/>
      </c>
    </row>
    <row r="37631" spans="8:8" x14ac:dyDescent="0.3">
      <c r="H37631" t="str">
        <f t="shared" si="637"/>
        <v/>
      </c>
    </row>
    <row r="37632" spans="8:8" x14ac:dyDescent="0.3">
      <c r="H37632" t="str">
        <f t="shared" si="637"/>
        <v/>
      </c>
    </row>
    <row r="37633" spans="8:8" x14ac:dyDescent="0.3">
      <c r="H37633" t="str">
        <f t="shared" si="637"/>
        <v/>
      </c>
    </row>
    <row r="37634" spans="8:8" x14ac:dyDescent="0.3">
      <c r="H37634" t="str">
        <f t="shared" si="637"/>
        <v/>
      </c>
    </row>
    <row r="37635" spans="8:8" x14ac:dyDescent="0.3">
      <c r="H37635" t="str">
        <f t="shared" si="637"/>
        <v/>
      </c>
    </row>
    <row r="37636" spans="8:8" x14ac:dyDescent="0.3">
      <c r="H37636" t="str">
        <f t="shared" si="637"/>
        <v/>
      </c>
    </row>
    <row r="37637" spans="8:8" x14ac:dyDescent="0.3">
      <c r="H37637" t="str">
        <f t="shared" si="637"/>
        <v/>
      </c>
    </row>
    <row r="37638" spans="8:8" x14ac:dyDescent="0.3">
      <c r="H37638" t="str">
        <f t="shared" si="637"/>
        <v/>
      </c>
    </row>
    <row r="37639" spans="8:8" x14ac:dyDescent="0.3">
      <c r="H37639" t="str">
        <f t="shared" si="637"/>
        <v/>
      </c>
    </row>
    <row r="37640" spans="8:8" x14ac:dyDescent="0.3">
      <c r="H37640" t="str">
        <f t="shared" si="637"/>
        <v/>
      </c>
    </row>
    <row r="37641" spans="8:8" x14ac:dyDescent="0.3">
      <c r="H37641" t="str">
        <f t="shared" si="637"/>
        <v/>
      </c>
    </row>
    <row r="37642" spans="8:8" x14ac:dyDescent="0.3">
      <c r="H37642" t="str">
        <f t="shared" si="637"/>
        <v/>
      </c>
    </row>
    <row r="37643" spans="8:8" x14ac:dyDescent="0.3">
      <c r="H37643" t="str">
        <f t="shared" si="637"/>
        <v/>
      </c>
    </row>
    <row r="37644" spans="8:8" x14ac:dyDescent="0.3">
      <c r="H37644" t="str">
        <f t="shared" si="637"/>
        <v/>
      </c>
    </row>
    <row r="37645" spans="8:8" x14ac:dyDescent="0.3">
      <c r="H37645" t="str">
        <f t="shared" si="637"/>
        <v/>
      </c>
    </row>
    <row r="37646" spans="8:8" x14ac:dyDescent="0.3">
      <c r="H37646" t="str">
        <f t="shared" si="637"/>
        <v/>
      </c>
    </row>
    <row r="37647" spans="8:8" x14ac:dyDescent="0.3">
      <c r="H37647" t="str">
        <f t="shared" si="637"/>
        <v/>
      </c>
    </row>
    <row r="37648" spans="8:8" x14ac:dyDescent="0.3">
      <c r="H37648" t="str">
        <f t="shared" si="637"/>
        <v/>
      </c>
    </row>
    <row r="37649" spans="8:8" x14ac:dyDescent="0.3">
      <c r="H37649" t="str">
        <f t="shared" si="637"/>
        <v/>
      </c>
    </row>
    <row r="37650" spans="8:8" x14ac:dyDescent="0.3">
      <c r="H37650" t="str">
        <f t="shared" si="637"/>
        <v/>
      </c>
    </row>
    <row r="37651" spans="8:8" x14ac:dyDescent="0.3">
      <c r="H37651" t="str">
        <f t="shared" si="637"/>
        <v/>
      </c>
    </row>
    <row r="37652" spans="8:8" x14ac:dyDescent="0.3">
      <c r="H37652" t="str">
        <f t="shared" si="637"/>
        <v/>
      </c>
    </row>
    <row r="37653" spans="8:8" x14ac:dyDescent="0.3">
      <c r="H37653" t="str">
        <f t="shared" si="637"/>
        <v/>
      </c>
    </row>
    <row r="37654" spans="8:8" x14ac:dyDescent="0.3">
      <c r="H37654" t="str">
        <f t="shared" si="637"/>
        <v/>
      </c>
    </row>
    <row r="37655" spans="8:8" x14ac:dyDescent="0.3">
      <c r="H37655" t="str">
        <f t="shared" ref="H37655:H37718" si="638">IF(B37655="","",$C$12)</f>
        <v/>
      </c>
    </row>
    <row r="37656" spans="8:8" x14ac:dyDescent="0.3">
      <c r="H37656" t="str">
        <f t="shared" si="638"/>
        <v/>
      </c>
    </row>
    <row r="37657" spans="8:8" x14ac:dyDescent="0.3">
      <c r="H37657" t="str">
        <f t="shared" si="638"/>
        <v/>
      </c>
    </row>
    <row r="37658" spans="8:8" x14ac:dyDescent="0.3">
      <c r="H37658" t="str">
        <f t="shared" si="638"/>
        <v/>
      </c>
    </row>
    <row r="37659" spans="8:8" x14ac:dyDescent="0.3">
      <c r="H37659" t="str">
        <f t="shared" si="638"/>
        <v/>
      </c>
    </row>
    <row r="37660" spans="8:8" x14ac:dyDescent="0.3">
      <c r="H37660" t="str">
        <f t="shared" si="638"/>
        <v/>
      </c>
    </row>
    <row r="37661" spans="8:8" x14ac:dyDescent="0.3">
      <c r="H37661" t="str">
        <f t="shared" si="638"/>
        <v/>
      </c>
    </row>
    <row r="37662" spans="8:8" x14ac:dyDescent="0.3">
      <c r="H37662" t="str">
        <f t="shared" si="638"/>
        <v/>
      </c>
    </row>
    <row r="37663" spans="8:8" x14ac:dyDescent="0.3">
      <c r="H37663" t="str">
        <f t="shared" si="638"/>
        <v/>
      </c>
    </row>
    <row r="37664" spans="8:8" x14ac:dyDescent="0.3">
      <c r="H37664" t="str">
        <f t="shared" si="638"/>
        <v/>
      </c>
    </row>
    <row r="37665" spans="8:8" x14ac:dyDescent="0.3">
      <c r="H37665" t="str">
        <f t="shared" si="638"/>
        <v/>
      </c>
    </row>
    <row r="37666" spans="8:8" x14ac:dyDescent="0.3">
      <c r="H37666" t="str">
        <f t="shared" si="638"/>
        <v/>
      </c>
    </row>
    <row r="37667" spans="8:8" x14ac:dyDescent="0.3">
      <c r="H37667" t="str">
        <f t="shared" si="638"/>
        <v/>
      </c>
    </row>
    <row r="37668" spans="8:8" x14ac:dyDescent="0.3">
      <c r="H37668" t="str">
        <f t="shared" si="638"/>
        <v/>
      </c>
    </row>
    <row r="37669" spans="8:8" x14ac:dyDescent="0.3">
      <c r="H37669" t="str">
        <f t="shared" si="638"/>
        <v/>
      </c>
    </row>
    <row r="37670" spans="8:8" x14ac:dyDescent="0.3">
      <c r="H37670" t="str">
        <f t="shared" si="638"/>
        <v/>
      </c>
    </row>
    <row r="37671" spans="8:8" x14ac:dyDescent="0.3">
      <c r="H37671" t="str">
        <f t="shared" si="638"/>
        <v/>
      </c>
    </row>
    <row r="37672" spans="8:8" x14ac:dyDescent="0.3">
      <c r="H37672" t="str">
        <f t="shared" si="638"/>
        <v/>
      </c>
    </row>
    <row r="37673" spans="8:8" x14ac:dyDescent="0.3">
      <c r="H37673" t="str">
        <f t="shared" si="638"/>
        <v/>
      </c>
    </row>
    <row r="37674" spans="8:8" x14ac:dyDescent="0.3">
      <c r="H37674" t="str">
        <f t="shared" si="638"/>
        <v/>
      </c>
    </row>
    <row r="37675" spans="8:8" x14ac:dyDescent="0.3">
      <c r="H37675" t="str">
        <f t="shared" si="638"/>
        <v/>
      </c>
    </row>
    <row r="37676" spans="8:8" x14ac:dyDescent="0.3">
      <c r="H37676" t="str">
        <f t="shared" si="638"/>
        <v/>
      </c>
    </row>
    <row r="37677" spans="8:8" x14ac:dyDescent="0.3">
      <c r="H37677" t="str">
        <f t="shared" si="638"/>
        <v/>
      </c>
    </row>
    <row r="37678" spans="8:8" x14ac:dyDescent="0.3">
      <c r="H37678" t="str">
        <f t="shared" si="638"/>
        <v/>
      </c>
    </row>
    <row r="37679" spans="8:8" x14ac:dyDescent="0.3">
      <c r="H37679" t="str">
        <f t="shared" si="638"/>
        <v/>
      </c>
    </row>
    <row r="37680" spans="8:8" x14ac:dyDescent="0.3">
      <c r="H37680" t="str">
        <f t="shared" si="638"/>
        <v/>
      </c>
    </row>
    <row r="37681" spans="8:8" x14ac:dyDescent="0.3">
      <c r="H37681" t="str">
        <f t="shared" si="638"/>
        <v/>
      </c>
    </row>
    <row r="37682" spans="8:8" x14ac:dyDescent="0.3">
      <c r="H37682" t="str">
        <f t="shared" si="638"/>
        <v/>
      </c>
    </row>
    <row r="37683" spans="8:8" x14ac:dyDescent="0.3">
      <c r="H37683" t="str">
        <f t="shared" si="638"/>
        <v/>
      </c>
    </row>
    <row r="37684" spans="8:8" x14ac:dyDescent="0.3">
      <c r="H37684" t="str">
        <f t="shared" si="638"/>
        <v/>
      </c>
    </row>
    <row r="37685" spans="8:8" x14ac:dyDescent="0.3">
      <c r="H37685" t="str">
        <f t="shared" si="638"/>
        <v/>
      </c>
    </row>
    <row r="37686" spans="8:8" x14ac:dyDescent="0.3">
      <c r="H37686" t="str">
        <f t="shared" si="638"/>
        <v/>
      </c>
    </row>
    <row r="37687" spans="8:8" x14ac:dyDescent="0.3">
      <c r="H37687" t="str">
        <f t="shared" si="638"/>
        <v/>
      </c>
    </row>
    <row r="37688" spans="8:8" x14ac:dyDescent="0.3">
      <c r="H37688" t="str">
        <f t="shared" si="638"/>
        <v/>
      </c>
    </row>
    <row r="37689" spans="8:8" x14ac:dyDescent="0.3">
      <c r="H37689" t="str">
        <f t="shared" si="638"/>
        <v/>
      </c>
    </row>
    <row r="37690" spans="8:8" x14ac:dyDescent="0.3">
      <c r="H37690" t="str">
        <f t="shared" si="638"/>
        <v/>
      </c>
    </row>
    <row r="37691" spans="8:8" x14ac:dyDescent="0.3">
      <c r="H37691" t="str">
        <f t="shared" si="638"/>
        <v/>
      </c>
    </row>
    <row r="37692" spans="8:8" x14ac:dyDescent="0.3">
      <c r="H37692" t="str">
        <f t="shared" si="638"/>
        <v/>
      </c>
    </row>
    <row r="37693" spans="8:8" x14ac:dyDescent="0.3">
      <c r="H37693" t="str">
        <f t="shared" si="638"/>
        <v/>
      </c>
    </row>
    <row r="37694" spans="8:8" x14ac:dyDescent="0.3">
      <c r="H37694" t="str">
        <f t="shared" si="638"/>
        <v/>
      </c>
    </row>
    <row r="37695" spans="8:8" x14ac:dyDescent="0.3">
      <c r="H37695" t="str">
        <f t="shared" si="638"/>
        <v/>
      </c>
    </row>
    <row r="37696" spans="8:8" x14ac:dyDescent="0.3">
      <c r="H37696" t="str">
        <f t="shared" si="638"/>
        <v/>
      </c>
    </row>
    <row r="37697" spans="8:8" x14ac:dyDescent="0.3">
      <c r="H37697" t="str">
        <f t="shared" si="638"/>
        <v/>
      </c>
    </row>
    <row r="37698" spans="8:8" x14ac:dyDescent="0.3">
      <c r="H37698" t="str">
        <f t="shared" si="638"/>
        <v/>
      </c>
    </row>
    <row r="37699" spans="8:8" x14ac:dyDescent="0.3">
      <c r="H37699" t="str">
        <f t="shared" si="638"/>
        <v/>
      </c>
    </row>
    <row r="37700" spans="8:8" x14ac:dyDescent="0.3">
      <c r="H37700" t="str">
        <f t="shared" si="638"/>
        <v/>
      </c>
    </row>
    <row r="37701" spans="8:8" x14ac:dyDescent="0.3">
      <c r="H37701" t="str">
        <f t="shared" si="638"/>
        <v/>
      </c>
    </row>
    <row r="37702" spans="8:8" x14ac:dyDescent="0.3">
      <c r="H37702" t="str">
        <f t="shared" si="638"/>
        <v/>
      </c>
    </row>
    <row r="37703" spans="8:8" x14ac:dyDescent="0.3">
      <c r="H37703" t="str">
        <f t="shared" si="638"/>
        <v/>
      </c>
    </row>
    <row r="37704" spans="8:8" x14ac:dyDescent="0.3">
      <c r="H37704" t="str">
        <f t="shared" si="638"/>
        <v/>
      </c>
    </row>
    <row r="37705" spans="8:8" x14ac:dyDescent="0.3">
      <c r="H37705" t="str">
        <f t="shared" si="638"/>
        <v/>
      </c>
    </row>
    <row r="37706" spans="8:8" x14ac:dyDescent="0.3">
      <c r="H37706" t="str">
        <f t="shared" si="638"/>
        <v/>
      </c>
    </row>
    <row r="37707" spans="8:8" x14ac:dyDescent="0.3">
      <c r="H37707" t="str">
        <f t="shared" si="638"/>
        <v/>
      </c>
    </row>
    <row r="37708" spans="8:8" x14ac:dyDescent="0.3">
      <c r="H37708" t="str">
        <f t="shared" si="638"/>
        <v/>
      </c>
    </row>
    <row r="37709" spans="8:8" x14ac:dyDescent="0.3">
      <c r="H37709" t="str">
        <f t="shared" si="638"/>
        <v/>
      </c>
    </row>
    <row r="37710" spans="8:8" x14ac:dyDescent="0.3">
      <c r="H37710" t="str">
        <f t="shared" si="638"/>
        <v/>
      </c>
    </row>
    <row r="37711" spans="8:8" x14ac:dyDescent="0.3">
      <c r="H37711" t="str">
        <f t="shared" si="638"/>
        <v/>
      </c>
    </row>
    <row r="37712" spans="8:8" x14ac:dyDescent="0.3">
      <c r="H37712" t="str">
        <f t="shared" si="638"/>
        <v/>
      </c>
    </row>
    <row r="37713" spans="8:8" x14ac:dyDescent="0.3">
      <c r="H37713" t="str">
        <f t="shared" si="638"/>
        <v/>
      </c>
    </row>
    <row r="37714" spans="8:8" x14ac:dyDescent="0.3">
      <c r="H37714" t="str">
        <f t="shared" si="638"/>
        <v/>
      </c>
    </row>
    <row r="37715" spans="8:8" x14ac:dyDescent="0.3">
      <c r="H37715" t="str">
        <f t="shared" si="638"/>
        <v/>
      </c>
    </row>
    <row r="37716" spans="8:8" x14ac:dyDescent="0.3">
      <c r="H37716" t="str">
        <f t="shared" si="638"/>
        <v/>
      </c>
    </row>
    <row r="37717" spans="8:8" x14ac:dyDescent="0.3">
      <c r="H37717" t="str">
        <f t="shared" si="638"/>
        <v/>
      </c>
    </row>
    <row r="37718" spans="8:8" x14ac:dyDescent="0.3">
      <c r="H37718" t="str">
        <f t="shared" si="638"/>
        <v/>
      </c>
    </row>
    <row r="37719" spans="8:8" x14ac:dyDescent="0.3">
      <c r="H37719" t="str">
        <f t="shared" ref="H37719:H37782" si="639">IF(B37719="","",$C$12)</f>
        <v/>
      </c>
    </row>
    <row r="37720" spans="8:8" x14ac:dyDescent="0.3">
      <c r="H37720" t="str">
        <f t="shared" si="639"/>
        <v/>
      </c>
    </row>
    <row r="37721" spans="8:8" x14ac:dyDescent="0.3">
      <c r="H37721" t="str">
        <f t="shared" si="639"/>
        <v/>
      </c>
    </row>
    <row r="37722" spans="8:8" x14ac:dyDescent="0.3">
      <c r="H37722" t="str">
        <f t="shared" si="639"/>
        <v/>
      </c>
    </row>
    <row r="37723" spans="8:8" x14ac:dyDescent="0.3">
      <c r="H37723" t="str">
        <f t="shared" si="639"/>
        <v/>
      </c>
    </row>
    <row r="37724" spans="8:8" x14ac:dyDescent="0.3">
      <c r="H37724" t="str">
        <f t="shared" si="639"/>
        <v/>
      </c>
    </row>
    <row r="37725" spans="8:8" x14ac:dyDescent="0.3">
      <c r="H37725" t="str">
        <f t="shared" si="639"/>
        <v/>
      </c>
    </row>
    <row r="37726" spans="8:8" x14ac:dyDescent="0.3">
      <c r="H37726" t="str">
        <f t="shared" si="639"/>
        <v/>
      </c>
    </row>
    <row r="37727" spans="8:8" x14ac:dyDescent="0.3">
      <c r="H37727" t="str">
        <f t="shared" si="639"/>
        <v/>
      </c>
    </row>
    <row r="37728" spans="8:8" x14ac:dyDescent="0.3">
      <c r="H37728" t="str">
        <f t="shared" si="639"/>
        <v/>
      </c>
    </row>
    <row r="37729" spans="8:8" x14ac:dyDescent="0.3">
      <c r="H37729" t="str">
        <f t="shared" si="639"/>
        <v/>
      </c>
    </row>
    <row r="37730" spans="8:8" x14ac:dyDescent="0.3">
      <c r="H37730" t="str">
        <f t="shared" si="639"/>
        <v/>
      </c>
    </row>
    <row r="37731" spans="8:8" x14ac:dyDescent="0.3">
      <c r="H37731" t="str">
        <f t="shared" si="639"/>
        <v/>
      </c>
    </row>
    <row r="37732" spans="8:8" x14ac:dyDescent="0.3">
      <c r="H37732" t="str">
        <f t="shared" si="639"/>
        <v/>
      </c>
    </row>
    <row r="37733" spans="8:8" x14ac:dyDescent="0.3">
      <c r="H37733" t="str">
        <f t="shared" si="639"/>
        <v/>
      </c>
    </row>
    <row r="37734" spans="8:8" x14ac:dyDescent="0.3">
      <c r="H37734" t="str">
        <f t="shared" si="639"/>
        <v/>
      </c>
    </row>
    <row r="37735" spans="8:8" x14ac:dyDescent="0.3">
      <c r="H37735" t="str">
        <f t="shared" si="639"/>
        <v/>
      </c>
    </row>
    <row r="37736" spans="8:8" x14ac:dyDescent="0.3">
      <c r="H37736" t="str">
        <f t="shared" si="639"/>
        <v/>
      </c>
    </row>
    <row r="37737" spans="8:8" x14ac:dyDescent="0.3">
      <c r="H37737" t="str">
        <f t="shared" si="639"/>
        <v/>
      </c>
    </row>
    <row r="37738" spans="8:8" x14ac:dyDescent="0.3">
      <c r="H37738" t="str">
        <f t="shared" si="639"/>
        <v/>
      </c>
    </row>
    <row r="37739" spans="8:8" x14ac:dyDescent="0.3">
      <c r="H37739" t="str">
        <f t="shared" si="639"/>
        <v/>
      </c>
    </row>
    <row r="37740" spans="8:8" x14ac:dyDescent="0.3">
      <c r="H37740" t="str">
        <f t="shared" si="639"/>
        <v/>
      </c>
    </row>
    <row r="37741" spans="8:8" x14ac:dyDescent="0.3">
      <c r="H37741" t="str">
        <f t="shared" si="639"/>
        <v/>
      </c>
    </row>
    <row r="37742" spans="8:8" x14ac:dyDescent="0.3">
      <c r="H37742" t="str">
        <f t="shared" si="639"/>
        <v/>
      </c>
    </row>
    <row r="37743" spans="8:8" x14ac:dyDescent="0.3">
      <c r="H37743" t="str">
        <f t="shared" si="639"/>
        <v/>
      </c>
    </row>
    <row r="37744" spans="8:8" x14ac:dyDescent="0.3">
      <c r="H37744" t="str">
        <f t="shared" si="639"/>
        <v/>
      </c>
    </row>
    <row r="37745" spans="8:8" x14ac:dyDescent="0.3">
      <c r="H37745" t="str">
        <f t="shared" si="639"/>
        <v/>
      </c>
    </row>
    <row r="37746" spans="8:8" x14ac:dyDescent="0.3">
      <c r="H37746" t="str">
        <f t="shared" si="639"/>
        <v/>
      </c>
    </row>
    <row r="37747" spans="8:8" x14ac:dyDescent="0.3">
      <c r="H37747" t="str">
        <f t="shared" si="639"/>
        <v/>
      </c>
    </row>
    <row r="37748" spans="8:8" x14ac:dyDescent="0.3">
      <c r="H37748" t="str">
        <f t="shared" si="639"/>
        <v/>
      </c>
    </row>
    <row r="37749" spans="8:8" x14ac:dyDescent="0.3">
      <c r="H37749" t="str">
        <f t="shared" si="639"/>
        <v/>
      </c>
    </row>
    <row r="37750" spans="8:8" x14ac:dyDescent="0.3">
      <c r="H37750" t="str">
        <f t="shared" si="639"/>
        <v/>
      </c>
    </row>
    <row r="37751" spans="8:8" x14ac:dyDescent="0.3">
      <c r="H37751" t="str">
        <f t="shared" si="639"/>
        <v/>
      </c>
    </row>
    <row r="37752" spans="8:8" x14ac:dyDescent="0.3">
      <c r="H37752" t="str">
        <f t="shared" si="639"/>
        <v/>
      </c>
    </row>
    <row r="37753" spans="8:8" x14ac:dyDescent="0.3">
      <c r="H37753" t="str">
        <f t="shared" si="639"/>
        <v/>
      </c>
    </row>
    <row r="37754" spans="8:8" x14ac:dyDescent="0.3">
      <c r="H37754" t="str">
        <f t="shared" si="639"/>
        <v/>
      </c>
    </row>
    <row r="37755" spans="8:8" x14ac:dyDescent="0.3">
      <c r="H37755" t="str">
        <f t="shared" si="639"/>
        <v/>
      </c>
    </row>
    <row r="37756" spans="8:8" x14ac:dyDescent="0.3">
      <c r="H37756" t="str">
        <f t="shared" si="639"/>
        <v/>
      </c>
    </row>
    <row r="37757" spans="8:8" x14ac:dyDescent="0.3">
      <c r="H37757" t="str">
        <f t="shared" si="639"/>
        <v/>
      </c>
    </row>
    <row r="37758" spans="8:8" x14ac:dyDescent="0.3">
      <c r="H37758" t="str">
        <f t="shared" si="639"/>
        <v/>
      </c>
    </row>
    <row r="37759" spans="8:8" x14ac:dyDescent="0.3">
      <c r="H37759" t="str">
        <f t="shared" si="639"/>
        <v/>
      </c>
    </row>
    <row r="37760" spans="8:8" x14ac:dyDescent="0.3">
      <c r="H37760" t="str">
        <f t="shared" si="639"/>
        <v/>
      </c>
    </row>
    <row r="37761" spans="8:8" x14ac:dyDescent="0.3">
      <c r="H37761" t="str">
        <f t="shared" si="639"/>
        <v/>
      </c>
    </row>
    <row r="37762" spans="8:8" x14ac:dyDescent="0.3">
      <c r="H37762" t="str">
        <f t="shared" si="639"/>
        <v/>
      </c>
    </row>
    <row r="37763" spans="8:8" x14ac:dyDescent="0.3">
      <c r="H37763" t="str">
        <f t="shared" si="639"/>
        <v/>
      </c>
    </row>
    <row r="37764" spans="8:8" x14ac:dyDescent="0.3">
      <c r="H37764" t="str">
        <f t="shared" si="639"/>
        <v/>
      </c>
    </row>
    <row r="37765" spans="8:8" x14ac:dyDescent="0.3">
      <c r="H37765" t="str">
        <f t="shared" si="639"/>
        <v/>
      </c>
    </row>
    <row r="37766" spans="8:8" x14ac:dyDescent="0.3">
      <c r="H37766" t="str">
        <f t="shared" si="639"/>
        <v/>
      </c>
    </row>
    <row r="37767" spans="8:8" x14ac:dyDescent="0.3">
      <c r="H37767" t="str">
        <f t="shared" si="639"/>
        <v/>
      </c>
    </row>
    <row r="37768" spans="8:8" x14ac:dyDescent="0.3">
      <c r="H37768" t="str">
        <f t="shared" si="639"/>
        <v/>
      </c>
    </row>
    <row r="37769" spans="8:8" x14ac:dyDescent="0.3">
      <c r="H37769" t="str">
        <f t="shared" si="639"/>
        <v/>
      </c>
    </row>
    <row r="37770" spans="8:8" x14ac:dyDescent="0.3">
      <c r="H37770" t="str">
        <f t="shared" si="639"/>
        <v/>
      </c>
    </row>
    <row r="37771" spans="8:8" x14ac:dyDescent="0.3">
      <c r="H37771" t="str">
        <f t="shared" si="639"/>
        <v/>
      </c>
    </row>
    <row r="37772" spans="8:8" x14ac:dyDescent="0.3">
      <c r="H37772" t="str">
        <f t="shared" si="639"/>
        <v/>
      </c>
    </row>
    <row r="37773" spans="8:8" x14ac:dyDescent="0.3">
      <c r="H37773" t="str">
        <f t="shared" si="639"/>
        <v/>
      </c>
    </row>
    <row r="37774" spans="8:8" x14ac:dyDescent="0.3">
      <c r="H37774" t="str">
        <f t="shared" si="639"/>
        <v/>
      </c>
    </row>
    <row r="37775" spans="8:8" x14ac:dyDescent="0.3">
      <c r="H37775" t="str">
        <f t="shared" si="639"/>
        <v/>
      </c>
    </row>
    <row r="37776" spans="8:8" x14ac:dyDescent="0.3">
      <c r="H37776" t="str">
        <f t="shared" si="639"/>
        <v/>
      </c>
    </row>
    <row r="37777" spans="8:8" x14ac:dyDescent="0.3">
      <c r="H37777" t="str">
        <f t="shared" si="639"/>
        <v/>
      </c>
    </row>
    <row r="37778" spans="8:8" x14ac:dyDescent="0.3">
      <c r="H37778" t="str">
        <f t="shared" si="639"/>
        <v/>
      </c>
    </row>
    <row r="37779" spans="8:8" x14ac:dyDescent="0.3">
      <c r="H37779" t="str">
        <f t="shared" si="639"/>
        <v/>
      </c>
    </row>
    <row r="37780" spans="8:8" x14ac:dyDescent="0.3">
      <c r="H37780" t="str">
        <f t="shared" si="639"/>
        <v/>
      </c>
    </row>
    <row r="37781" spans="8:8" x14ac:dyDescent="0.3">
      <c r="H37781" t="str">
        <f t="shared" si="639"/>
        <v/>
      </c>
    </row>
    <row r="37782" spans="8:8" x14ac:dyDescent="0.3">
      <c r="H37782" t="str">
        <f t="shared" si="639"/>
        <v/>
      </c>
    </row>
    <row r="37783" spans="8:8" x14ac:dyDescent="0.3">
      <c r="H37783" t="str">
        <f t="shared" ref="H37783:H37846" si="640">IF(B37783="","",$C$12)</f>
        <v/>
      </c>
    </row>
    <row r="37784" spans="8:8" x14ac:dyDescent="0.3">
      <c r="H37784" t="str">
        <f t="shared" si="640"/>
        <v/>
      </c>
    </row>
    <row r="37785" spans="8:8" x14ac:dyDescent="0.3">
      <c r="H37785" t="str">
        <f t="shared" si="640"/>
        <v/>
      </c>
    </row>
    <row r="37786" spans="8:8" x14ac:dyDescent="0.3">
      <c r="H37786" t="str">
        <f t="shared" si="640"/>
        <v/>
      </c>
    </row>
    <row r="37787" spans="8:8" x14ac:dyDescent="0.3">
      <c r="H37787" t="str">
        <f t="shared" si="640"/>
        <v/>
      </c>
    </row>
    <row r="37788" spans="8:8" x14ac:dyDescent="0.3">
      <c r="H37788" t="str">
        <f t="shared" si="640"/>
        <v/>
      </c>
    </row>
    <row r="37789" spans="8:8" x14ac:dyDescent="0.3">
      <c r="H37789" t="str">
        <f t="shared" si="640"/>
        <v/>
      </c>
    </row>
    <row r="37790" spans="8:8" x14ac:dyDescent="0.3">
      <c r="H37790" t="str">
        <f t="shared" si="640"/>
        <v/>
      </c>
    </row>
    <row r="37791" spans="8:8" x14ac:dyDescent="0.3">
      <c r="H37791" t="str">
        <f t="shared" si="640"/>
        <v/>
      </c>
    </row>
    <row r="37792" spans="8:8" x14ac:dyDescent="0.3">
      <c r="H37792" t="str">
        <f t="shared" si="640"/>
        <v/>
      </c>
    </row>
    <row r="37793" spans="8:8" x14ac:dyDescent="0.3">
      <c r="H37793" t="str">
        <f t="shared" si="640"/>
        <v/>
      </c>
    </row>
    <row r="37794" spans="8:8" x14ac:dyDescent="0.3">
      <c r="H37794" t="str">
        <f t="shared" si="640"/>
        <v/>
      </c>
    </row>
    <row r="37795" spans="8:8" x14ac:dyDescent="0.3">
      <c r="H37795" t="str">
        <f t="shared" si="640"/>
        <v/>
      </c>
    </row>
    <row r="37796" spans="8:8" x14ac:dyDescent="0.3">
      <c r="H37796" t="str">
        <f t="shared" si="640"/>
        <v/>
      </c>
    </row>
    <row r="37797" spans="8:8" x14ac:dyDescent="0.3">
      <c r="H37797" t="str">
        <f t="shared" si="640"/>
        <v/>
      </c>
    </row>
    <row r="37798" spans="8:8" x14ac:dyDescent="0.3">
      <c r="H37798" t="str">
        <f t="shared" si="640"/>
        <v/>
      </c>
    </row>
    <row r="37799" spans="8:8" x14ac:dyDescent="0.3">
      <c r="H37799" t="str">
        <f t="shared" si="640"/>
        <v/>
      </c>
    </row>
    <row r="37800" spans="8:8" x14ac:dyDescent="0.3">
      <c r="H37800" t="str">
        <f t="shared" si="640"/>
        <v/>
      </c>
    </row>
    <row r="37801" spans="8:8" x14ac:dyDescent="0.3">
      <c r="H37801" t="str">
        <f t="shared" si="640"/>
        <v/>
      </c>
    </row>
    <row r="37802" spans="8:8" x14ac:dyDescent="0.3">
      <c r="H37802" t="str">
        <f t="shared" si="640"/>
        <v/>
      </c>
    </row>
    <row r="37803" spans="8:8" x14ac:dyDescent="0.3">
      <c r="H37803" t="str">
        <f t="shared" si="640"/>
        <v/>
      </c>
    </row>
    <row r="37804" spans="8:8" x14ac:dyDescent="0.3">
      <c r="H37804" t="str">
        <f t="shared" si="640"/>
        <v/>
      </c>
    </row>
    <row r="37805" spans="8:8" x14ac:dyDescent="0.3">
      <c r="H37805" t="str">
        <f t="shared" si="640"/>
        <v/>
      </c>
    </row>
    <row r="37806" spans="8:8" x14ac:dyDescent="0.3">
      <c r="H37806" t="str">
        <f t="shared" si="640"/>
        <v/>
      </c>
    </row>
    <row r="37807" spans="8:8" x14ac:dyDescent="0.3">
      <c r="H37807" t="str">
        <f t="shared" si="640"/>
        <v/>
      </c>
    </row>
    <row r="37808" spans="8:8" x14ac:dyDescent="0.3">
      <c r="H37808" t="str">
        <f t="shared" si="640"/>
        <v/>
      </c>
    </row>
    <row r="37809" spans="8:8" x14ac:dyDescent="0.3">
      <c r="H37809" t="str">
        <f t="shared" si="640"/>
        <v/>
      </c>
    </row>
    <row r="37810" spans="8:8" x14ac:dyDescent="0.3">
      <c r="H37810" t="str">
        <f t="shared" si="640"/>
        <v/>
      </c>
    </row>
    <row r="37811" spans="8:8" x14ac:dyDescent="0.3">
      <c r="H37811" t="str">
        <f t="shared" si="640"/>
        <v/>
      </c>
    </row>
    <row r="37812" spans="8:8" x14ac:dyDescent="0.3">
      <c r="H37812" t="str">
        <f t="shared" si="640"/>
        <v/>
      </c>
    </row>
    <row r="37813" spans="8:8" x14ac:dyDescent="0.3">
      <c r="H37813" t="str">
        <f t="shared" si="640"/>
        <v/>
      </c>
    </row>
    <row r="37814" spans="8:8" x14ac:dyDescent="0.3">
      <c r="H37814" t="str">
        <f t="shared" si="640"/>
        <v/>
      </c>
    </row>
    <row r="37815" spans="8:8" x14ac:dyDescent="0.3">
      <c r="H37815" t="str">
        <f t="shared" si="640"/>
        <v/>
      </c>
    </row>
    <row r="37816" spans="8:8" x14ac:dyDescent="0.3">
      <c r="H37816" t="str">
        <f t="shared" si="640"/>
        <v/>
      </c>
    </row>
    <row r="37817" spans="8:8" x14ac:dyDescent="0.3">
      <c r="H37817" t="str">
        <f t="shared" si="640"/>
        <v/>
      </c>
    </row>
    <row r="37818" spans="8:8" x14ac:dyDescent="0.3">
      <c r="H37818" t="str">
        <f t="shared" si="640"/>
        <v/>
      </c>
    </row>
    <row r="37819" spans="8:8" x14ac:dyDescent="0.3">
      <c r="H37819" t="str">
        <f t="shared" si="640"/>
        <v/>
      </c>
    </row>
    <row r="37820" spans="8:8" x14ac:dyDescent="0.3">
      <c r="H37820" t="str">
        <f t="shared" si="640"/>
        <v/>
      </c>
    </row>
    <row r="37821" spans="8:8" x14ac:dyDescent="0.3">
      <c r="H37821" t="str">
        <f t="shared" si="640"/>
        <v/>
      </c>
    </row>
    <row r="37822" spans="8:8" x14ac:dyDescent="0.3">
      <c r="H37822" t="str">
        <f t="shared" si="640"/>
        <v/>
      </c>
    </row>
    <row r="37823" spans="8:8" x14ac:dyDescent="0.3">
      <c r="H37823" t="str">
        <f t="shared" si="640"/>
        <v/>
      </c>
    </row>
    <row r="37824" spans="8:8" x14ac:dyDescent="0.3">
      <c r="H37824" t="str">
        <f t="shared" si="640"/>
        <v/>
      </c>
    </row>
    <row r="37825" spans="8:8" x14ac:dyDescent="0.3">
      <c r="H37825" t="str">
        <f t="shared" si="640"/>
        <v/>
      </c>
    </row>
    <row r="37826" spans="8:8" x14ac:dyDescent="0.3">
      <c r="H37826" t="str">
        <f t="shared" si="640"/>
        <v/>
      </c>
    </row>
    <row r="37827" spans="8:8" x14ac:dyDescent="0.3">
      <c r="H37827" t="str">
        <f t="shared" si="640"/>
        <v/>
      </c>
    </row>
    <row r="37828" spans="8:8" x14ac:dyDescent="0.3">
      <c r="H37828" t="str">
        <f t="shared" si="640"/>
        <v/>
      </c>
    </row>
    <row r="37829" spans="8:8" x14ac:dyDescent="0.3">
      <c r="H37829" t="str">
        <f t="shared" si="640"/>
        <v/>
      </c>
    </row>
    <row r="37830" spans="8:8" x14ac:dyDescent="0.3">
      <c r="H37830" t="str">
        <f t="shared" si="640"/>
        <v/>
      </c>
    </row>
    <row r="37831" spans="8:8" x14ac:dyDescent="0.3">
      <c r="H37831" t="str">
        <f t="shared" si="640"/>
        <v/>
      </c>
    </row>
    <row r="37832" spans="8:8" x14ac:dyDescent="0.3">
      <c r="H37832" t="str">
        <f t="shared" si="640"/>
        <v/>
      </c>
    </row>
    <row r="37833" spans="8:8" x14ac:dyDescent="0.3">
      <c r="H37833" t="str">
        <f t="shared" si="640"/>
        <v/>
      </c>
    </row>
    <row r="37834" spans="8:8" x14ac:dyDescent="0.3">
      <c r="H37834" t="str">
        <f t="shared" si="640"/>
        <v/>
      </c>
    </row>
    <row r="37835" spans="8:8" x14ac:dyDescent="0.3">
      <c r="H37835" t="str">
        <f t="shared" si="640"/>
        <v/>
      </c>
    </row>
    <row r="37836" spans="8:8" x14ac:dyDescent="0.3">
      <c r="H37836" t="str">
        <f t="shared" si="640"/>
        <v/>
      </c>
    </row>
    <row r="37837" spans="8:8" x14ac:dyDescent="0.3">
      <c r="H37837" t="str">
        <f t="shared" si="640"/>
        <v/>
      </c>
    </row>
    <row r="37838" spans="8:8" x14ac:dyDescent="0.3">
      <c r="H37838" t="str">
        <f t="shared" si="640"/>
        <v/>
      </c>
    </row>
    <row r="37839" spans="8:8" x14ac:dyDescent="0.3">
      <c r="H37839" t="str">
        <f t="shared" si="640"/>
        <v/>
      </c>
    </row>
    <row r="37840" spans="8:8" x14ac:dyDescent="0.3">
      <c r="H37840" t="str">
        <f t="shared" si="640"/>
        <v/>
      </c>
    </row>
    <row r="37841" spans="8:8" x14ac:dyDescent="0.3">
      <c r="H37841" t="str">
        <f t="shared" si="640"/>
        <v/>
      </c>
    </row>
    <row r="37842" spans="8:8" x14ac:dyDescent="0.3">
      <c r="H37842" t="str">
        <f t="shared" si="640"/>
        <v/>
      </c>
    </row>
    <row r="37843" spans="8:8" x14ac:dyDescent="0.3">
      <c r="H37843" t="str">
        <f t="shared" si="640"/>
        <v/>
      </c>
    </row>
    <row r="37844" spans="8:8" x14ac:dyDescent="0.3">
      <c r="H37844" t="str">
        <f t="shared" si="640"/>
        <v/>
      </c>
    </row>
    <row r="37845" spans="8:8" x14ac:dyDescent="0.3">
      <c r="H37845" t="str">
        <f t="shared" si="640"/>
        <v/>
      </c>
    </row>
    <row r="37846" spans="8:8" x14ac:dyDescent="0.3">
      <c r="H37846" t="str">
        <f t="shared" si="640"/>
        <v/>
      </c>
    </row>
    <row r="37847" spans="8:8" x14ac:dyDescent="0.3">
      <c r="H37847" t="str">
        <f t="shared" ref="H37847:H37910" si="641">IF(B37847="","",$C$12)</f>
        <v/>
      </c>
    </row>
    <row r="37848" spans="8:8" x14ac:dyDescent="0.3">
      <c r="H37848" t="str">
        <f t="shared" si="641"/>
        <v/>
      </c>
    </row>
    <row r="37849" spans="8:8" x14ac:dyDescent="0.3">
      <c r="H37849" t="str">
        <f t="shared" si="641"/>
        <v/>
      </c>
    </row>
    <row r="37850" spans="8:8" x14ac:dyDescent="0.3">
      <c r="H37850" t="str">
        <f t="shared" si="641"/>
        <v/>
      </c>
    </row>
    <row r="37851" spans="8:8" x14ac:dyDescent="0.3">
      <c r="H37851" t="str">
        <f t="shared" si="641"/>
        <v/>
      </c>
    </row>
    <row r="37852" spans="8:8" x14ac:dyDescent="0.3">
      <c r="H37852" t="str">
        <f t="shared" si="641"/>
        <v/>
      </c>
    </row>
    <row r="37853" spans="8:8" x14ac:dyDescent="0.3">
      <c r="H37853" t="str">
        <f t="shared" si="641"/>
        <v/>
      </c>
    </row>
    <row r="37854" spans="8:8" x14ac:dyDescent="0.3">
      <c r="H37854" t="str">
        <f t="shared" si="641"/>
        <v/>
      </c>
    </row>
    <row r="37855" spans="8:8" x14ac:dyDescent="0.3">
      <c r="H37855" t="str">
        <f t="shared" si="641"/>
        <v/>
      </c>
    </row>
    <row r="37856" spans="8:8" x14ac:dyDescent="0.3">
      <c r="H37856" t="str">
        <f t="shared" si="641"/>
        <v/>
      </c>
    </row>
    <row r="37857" spans="8:8" x14ac:dyDescent="0.3">
      <c r="H37857" t="str">
        <f t="shared" si="641"/>
        <v/>
      </c>
    </row>
    <row r="37858" spans="8:8" x14ac:dyDescent="0.3">
      <c r="H37858" t="str">
        <f t="shared" si="641"/>
        <v/>
      </c>
    </row>
    <row r="37859" spans="8:8" x14ac:dyDescent="0.3">
      <c r="H37859" t="str">
        <f t="shared" si="641"/>
        <v/>
      </c>
    </row>
    <row r="37860" spans="8:8" x14ac:dyDescent="0.3">
      <c r="H37860" t="str">
        <f t="shared" si="641"/>
        <v/>
      </c>
    </row>
    <row r="37861" spans="8:8" x14ac:dyDescent="0.3">
      <c r="H37861" t="str">
        <f t="shared" si="641"/>
        <v/>
      </c>
    </row>
    <row r="37862" spans="8:8" x14ac:dyDescent="0.3">
      <c r="H37862" t="str">
        <f t="shared" si="641"/>
        <v/>
      </c>
    </row>
    <row r="37863" spans="8:8" x14ac:dyDescent="0.3">
      <c r="H37863" t="str">
        <f t="shared" si="641"/>
        <v/>
      </c>
    </row>
    <row r="37864" spans="8:8" x14ac:dyDescent="0.3">
      <c r="H37864" t="str">
        <f t="shared" si="641"/>
        <v/>
      </c>
    </row>
    <row r="37865" spans="8:8" x14ac:dyDescent="0.3">
      <c r="H37865" t="str">
        <f t="shared" si="641"/>
        <v/>
      </c>
    </row>
    <row r="37866" spans="8:8" x14ac:dyDescent="0.3">
      <c r="H37866" t="str">
        <f t="shared" si="641"/>
        <v/>
      </c>
    </row>
    <row r="37867" spans="8:8" x14ac:dyDescent="0.3">
      <c r="H37867" t="str">
        <f t="shared" si="641"/>
        <v/>
      </c>
    </row>
    <row r="37868" spans="8:8" x14ac:dyDescent="0.3">
      <c r="H37868" t="str">
        <f t="shared" si="641"/>
        <v/>
      </c>
    </row>
    <row r="37869" spans="8:8" x14ac:dyDescent="0.3">
      <c r="H37869" t="str">
        <f t="shared" si="641"/>
        <v/>
      </c>
    </row>
    <row r="37870" spans="8:8" x14ac:dyDescent="0.3">
      <c r="H37870" t="str">
        <f t="shared" si="641"/>
        <v/>
      </c>
    </row>
    <row r="37871" spans="8:8" x14ac:dyDescent="0.3">
      <c r="H37871" t="str">
        <f t="shared" si="641"/>
        <v/>
      </c>
    </row>
    <row r="37872" spans="8:8" x14ac:dyDescent="0.3">
      <c r="H37872" t="str">
        <f t="shared" si="641"/>
        <v/>
      </c>
    </row>
    <row r="37873" spans="8:8" x14ac:dyDescent="0.3">
      <c r="H37873" t="str">
        <f t="shared" si="641"/>
        <v/>
      </c>
    </row>
    <row r="37874" spans="8:8" x14ac:dyDescent="0.3">
      <c r="H37874" t="str">
        <f t="shared" si="641"/>
        <v/>
      </c>
    </row>
    <row r="37875" spans="8:8" x14ac:dyDescent="0.3">
      <c r="H37875" t="str">
        <f t="shared" si="641"/>
        <v/>
      </c>
    </row>
    <row r="37876" spans="8:8" x14ac:dyDescent="0.3">
      <c r="H37876" t="str">
        <f t="shared" si="641"/>
        <v/>
      </c>
    </row>
    <row r="37877" spans="8:8" x14ac:dyDescent="0.3">
      <c r="H37877" t="str">
        <f t="shared" si="641"/>
        <v/>
      </c>
    </row>
    <row r="37878" spans="8:8" x14ac:dyDescent="0.3">
      <c r="H37878" t="str">
        <f t="shared" si="641"/>
        <v/>
      </c>
    </row>
    <row r="37879" spans="8:8" x14ac:dyDescent="0.3">
      <c r="H37879" t="str">
        <f t="shared" si="641"/>
        <v/>
      </c>
    </row>
    <row r="37880" spans="8:8" x14ac:dyDescent="0.3">
      <c r="H37880" t="str">
        <f t="shared" si="641"/>
        <v/>
      </c>
    </row>
    <row r="37881" spans="8:8" x14ac:dyDescent="0.3">
      <c r="H37881" t="str">
        <f t="shared" si="641"/>
        <v/>
      </c>
    </row>
    <row r="37882" spans="8:8" x14ac:dyDescent="0.3">
      <c r="H37882" t="str">
        <f t="shared" si="641"/>
        <v/>
      </c>
    </row>
    <row r="37883" spans="8:8" x14ac:dyDescent="0.3">
      <c r="H37883" t="str">
        <f t="shared" si="641"/>
        <v/>
      </c>
    </row>
    <row r="37884" spans="8:8" x14ac:dyDescent="0.3">
      <c r="H37884" t="str">
        <f t="shared" si="641"/>
        <v/>
      </c>
    </row>
    <row r="37885" spans="8:8" x14ac:dyDescent="0.3">
      <c r="H37885" t="str">
        <f t="shared" si="641"/>
        <v/>
      </c>
    </row>
    <row r="37886" spans="8:8" x14ac:dyDescent="0.3">
      <c r="H37886" t="str">
        <f t="shared" si="641"/>
        <v/>
      </c>
    </row>
    <row r="37887" spans="8:8" x14ac:dyDescent="0.3">
      <c r="H37887" t="str">
        <f t="shared" si="641"/>
        <v/>
      </c>
    </row>
    <row r="37888" spans="8:8" x14ac:dyDescent="0.3">
      <c r="H37888" t="str">
        <f t="shared" si="641"/>
        <v/>
      </c>
    </row>
    <row r="37889" spans="8:8" x14ac:dyDescent="0.3">
      <c r="H37889" t="str">
        <f t="shared" si="641"/>
        <v/>
      </c>
    </row>
    <row r="37890" spans="8:8" x14ac:dyDescent="0.3">
      <c r="H37890" t="str">
        <f t="shared" si="641"/>
        <v/>
      </c>
    </row>
    <row r="37891" spans="8:8" x14ac:dyDescent="0.3">
      <c r="H37891" t="str">
        <f t="shared" si="641"/>
        <v/>
      </c>
    </row>
    <row r="37892" spans="8:8" x14ac:dyDescent="0.3">
      <c r="H37892" t="str">
        <f t="shared" si="641"/>
        <v/>
      </c>
    </row>
    <row r="37893" spans="8:8" x14ac:dyDescent="0.3">
      <c r="H37893" t="str">
        <f t="shared" si="641"/>
        <v/>
      </c>
    </row>
    <row r="37894" spans="8:8" x14ac:dyDescent="0.3">
      <c r="H37894" t="str">
        <f t="shared" si="641"/>
        <v/>
      </c>
    </row>
    <row r="37895" spans="8:8" x14ac:dyDescent="0.3">
      <c r="H37895" t="str">
        <f t="shared" si="641"/>
        <v/>
      </c>
    </row>
    <row r="37896" spans="8:8" x14ac:dyDescent="0.3">
      <c r="H37896" t="str">
        <f t="shared" si="641"/>
        <v/>
      </c>
    </row>
    <row r="37897" spans="8:8" x14ac:dyDescent="0.3">
      <c r="H37897" t="str">
        <f t="shared" si="641"/>
        <v/>
      </c>
    </row>
    <row r="37898" spans="8:8" x14ac:dyDescent="0.3">
      <c r="H37898" t="str">
        <f t="shared" si="641"/>
        <v/>
      </c>
    </row>
    <row r="37899" spans="8:8" x14ac:dyDescent="0.3">
      <c r="H37899" t="str">
        <f t="shared" si="641"/>
        <v/>
      </c>
    </row>
    <row r="37900" spans="8:8" x14ac:dyDescent="0.3">
      <c r="H37900" t="str">
        <f t="shared" si="641"/>
        <v/>
      </c>
    </row>
    <row r="37901" spans="8:8" x14ac:dyDescent="0.3">
      <c r="H37901" t="str">
        <f t="shared" si="641"/>
        <v/>
      </c>
    </row>
    <row r="37902" spans="8:8" x14ac:dyDescent="0.3">
      <c r="H37902" t="str">
        <f t="shared" si="641"/>
        <v/>
      </c>
    </row>
    <row r="37903" spans="8:8" x14ac:dyDescent="0.3">
      <c r="H37903" t="str">
        <f t="shared" si="641"/>
        <v/>
      </c>
    </row>
    <row r="37904" spans="8:8" x14ac:dyDescent="0.3">
      <c r="H37904" t="str">
        <f t="shared" si="641"/>
        <v/>
      </c>
    </row>
    <row r="37905" spans="8:8" x14ac:dyDescent="0.3">
      <c r="H37905" t="str">
        <f t="shared" si="641"/>
        <v/>
      </c>
    </row>
    <row r="37906" spans="8:8" x14ac:dyDescent="0.3">
      <c r="H37906" t="str">
        <f t="shared" si="641"/>
        <v/>
      </c>
    </row>
    <row r="37907" spans="8:8" x14ac:dyDescent="0.3">
      <c r="H37907" t="str">
        <f t="shared" si="641"/>
        <v/>
      </c>
    </row>
    <row r="37908" spans="8:8" x14ac:dyDescent="0.3">
      <c r="H37908" t="str">
        <f t="shared" si="641"/>
        <v/>
      </c>
    </row>
    <row r="37909" spans="8:8" x14ac:dyDescent="0.3">
      <c r="H37909" t="str">
        <f t="shared" si="641"/>
        <v/>
      </c>
    </row>
    <row r="37910" spans="8:8" x14ac:dyDescent="0.3">
      <c r="H37910" t="str">
        <f t="shared" si="641"/>
        <v/>
      </c>
    </row>
    <row r="37911" spans="8:8" x14ac:dyDescent="0.3">
      <c r="H37911" t="str">
        <f t="shared" ref="H37911:H37974" si="642">IF(B37911="","",$C$12)</f>
        <v/>
      </c>
    </row>
    <row r="37912" spans="8:8" x14ac:dyDescent="0.3">
      <c r="H37912" t="str">
        <f t="shared" si="642"/>
        <v/>
      </c>
    </row>
    <row r="37913" spans="8:8" x14ac:dyDescent="0.3">
      <c r="H37913" t="str">
        <f t="shared" si="642"/>
        <v/>
      </c>
    </row>
    <row r="37914" spans="8:8" x14ac:dyDescent="0.3">
      <c r="H37914" t="str">
        <f t="shared" si="642"/>
        <v/>
      </c>
    </row>
    <row r="37915" spans="8:8" x14ac:dyDescent="0.3">
      <c r="H37915" t="str">
        <f t="shared" si="642"/>
        <v/>
      </c>
    </row>
    <row r="37916" spans="8:8" x14ac:dyDescent="0.3">
      <c r="H37916" t="str">
        <f t="shared" si="642"/>
        <v/>
      </c>
    </row>
    <row r="37917" spans="8:8" x14ac:dyDescent="0.3">
      <c r="H37917" t="str">
        <f t="shared" si="642"/>
        <v/>
      </c>
    </row>
    <row r="37918" spans="8:8" x14ac:dyDescent="0.3">
      <c r="H37918" t="str">
        <f t="shared" si="642"/>
        <v/>
      </c>
    </row>
    <row r="37919" spans="8:8" x14ac:dyDescent="0.3">
      <c r="H37919" t="str">
        <f t="shared" si="642"/>
        <v/>
      </c>
    </row>
    <row r="37920" spans="8:8" x14ac:dyDescent="0.3">
      <c r="H37920" t="str">
        <f t="shared" si="642"/>
        <v/>
      </c>
    </row>
    <row r="37921" spans="8:8" x14ac:dyDescent="0.3">
      <c r="H37921" t="str">
        <f t="shared" si="642"/>
        <v/>
      </c>
    </row>
    <row r="37922" spans="8:8" x14ac:dyDescent="0.3">
      <c r="H37922" t="str">
        <f t="shared" si="642"/>
        <v/>
      </c>
    </row>
    <row r="37923" spans="8:8" x14ac:dyDescent="0.3">
      <c r="H37923" t="str">
        <f t="shared" si="642"/>
        <v/>
      </c>
    </row>
    <row r="37924" spans="8:8" x14ac:dyDescent="0.3">
      <c r="H37924" t="str">
        <f t="shared" si="642"/>
        <v/>
      </c>
    </row>
    <row r="37925" spans="8:8" x14ac:dyDescent="0.3">
      <c r="H37925" t="str">
        <f t="shared" si="642"/>
        <v/>
      </c>
    </row>
    <row r="37926" spans="8:8" x14ac:dyDescent="0.3">
      <c r="H37926" t="str">
        <f t="shared" si="642"/>
        <v/>
      </c>
    </row>
    <row r="37927" spans="8:8" x14ac:dyDescent="0.3">
      <c r="H37927" t="str">
        <f t="shared" si="642"/>
        <v/>
      </c>
    </row>
    <row r="37928" spans="8:8" x14ac:dyDescent="0.3">
      <c r="H37928" t="str">
        <f t="shared" si="642"/>
        <v/>
      </c>
    </row>
    <row r="37929" spans="8:8" x14ac:dyDescent="0.3">
      <c r="H37929" t="str">
        <f t="shared" si="642"/>
        <v/>
      </c>
    </row>
    <row r="37930" spans="8:8" x14ac:dyDescent="0.3">
      <c r="H37930" t="str">
        <f t="shared" si="642"/>
        <v/>
      </c>
    </row>
    <row r="37931" spans="8:8" x14ac:dyDescent="0.3">
      <c r="H37931" t="str">
        <f t="shared" si="642"/>
        <v/>
      </c>
    </row>
    <row r="37932" spans="8:8" x14ac:dyDescent="0.3">
      <c r="H37932" t="str">
        <f t="shared" si="642"/>
        <v/>
      </c>
    </row>
    <row r="37933" spans="8:8" x14ac:dyDescent="0.3">
      <c r="H37933" t="str">
        <f t="shared" si="642"/>
        <v/>
      </c>
    </row>
    <row r="37934" spans="8:8" x14ac:dyDescent="0.3">
      <c r="H37934" t="str">
        <f t="shared" si="642"/>
        <v/>
      </c>
    </row>
    <row r="37935" spans="8:8" x14ac:dyDescent="0.3">
      <c r="H37935" t="str">
        <f t="shared" si="642"/>
        <v/>
      </c>
    </row>
    <row r="37936" spans="8:8" x14ac:dyDescent="0.3">
      <c r="H37936" t="str">
        <f t="shared" si="642"/>
        <v/>
      </c>
    </row>
    <row r="37937" spans="8:8" x14ac:dyDescent="0.3">
      <c r="H37937" t="str">
        <f t="shared" si="642"/>
        <v/>
      </c>
    </row>
    <row r="37938" spans="8:8" x14ac:dyDescent="0.3">
      <c r="H37938" t="str">
        <f t="shared" si="642"/>
        <v/>
      </c>
    </row>
    <row r="37939" spans="8:8" x14ac:dyDescent="0.3">
      <c r="H37939" t="str">
        <f t="shared" si="642"/>
        <v/>
      </c>
    </row>
    <row r="37940" spans="8:8" x14ac:dyDescent="0.3">
      <c r="H37940" t="str">
        <f t="shared" si="642"/>
        <v/>
      </c>
    </row>
    <row r="37941" spans="8:8" x14ac:dyDescent="0.3">
      <c r="H37941" t="str">
        <f t="shared" si="642"/>
        <v/>
      </c>
    </row>
    <row r="37942" spans="8:8" x14ac:dyDescent="0.3">
      <c r="H37942" t="str">
        <f t="shared" si="642"/>
        <v/>
      </c>
    </row>
    <row r="37943" spans="8:8" x14ac:dyDescent="0.3">
      <c r="H37943" t="str">
        <f t="shared" si="642"/>
        <v/>
      </c>
    </row>
    <row r="37944" spans="8:8" x14ac:dyDescent="0.3">
      <c r="H37944" t="str">
        <f t="shared" si="642"/>
        <v/>
      </c>
    </row>
    <row r="37945" spans="8:8" x14ac:dyDescent="0.3">
      <c r="H37945" t="str">
        <f t="shared" si="642"/>
        <v/>
      </c>
    </row>
    <row r="37946" spans="8:8" x14ac:dyDescent="0.3">
      <c r="H37946" t="str">
        <f t="shared" si="642"/>
        <v/>
      </c>
    </row>
    <row r="37947" spans="8:8" x14ac:dyDescent="0.3">
      <c r="H37947" t="str">
        <f t="shared" si="642"/>
        <v/>
      </c>
    </row>
    <row r="37948" spans="8:8" x14ac:dyDescent="0.3">
      <c r="H37948" t="str">
        <f t="shared" si="642"/>
        <v/>
      </c>
    </row>
    <row r="37949" spans="8:8" x14ac:dyDescent="0.3">
      <c r="H37949" t="str">
        <f t="shared" si="642"/>
        <v/>
      </c>
    </row>
    <row r="37950" spans="8:8" x14ac:dyDescent="0.3">
      <c r="H37950" t="str">
        <f t="shared" si="642"/>
        <v/>
      </c>
    </row>
    <row r="37951" spans="8:8" x14ac:dyDescent="0.3">
      <c r="H37951" t="str">
        <f t="shared" si="642"/>
        <v/>
      </c>
    </row>
    <row r="37952" spans="8:8" x14ac:dyDescent="0.3">
      <c r="H37952" t="str">
        <f t="shared" si="642"/>
        <v/>
      </c>
    </row>
    <row r="37953" spans="8:8" x14ac:dyDescent="0.3">
      <c r="H37953" t="str">
        <f t="shared" si="642"/>
        <v/>
      </c>
    </row>
    <row r="37954" spans="8:8" x14ac:dyDescent="0.3">
      <c r="H37954" t="str">
        <f t="shared" si="642"/>
        <v/>
      </c>
    </row>
    <row r="37955" spans="8:8" x14ac:dyDescent="0.3">
      <c r="H37955" t="str">
        <f t="shared" si="642"/>
        <v/>
      </c>
    </row>
    <row r="37956" spans="8:8" x14ac:dyDescent="0.3">
      <c r="H37956" t="str">
        <f t="shared" si="642"/>
        <v/>
      </c>
    </row>
    <row r="37957" spans="8:8" x14ac:dyDescent="0.3">
      <c r="H37957" t="str">
        <f t="shared" si="642"/>
        <v/>
      </c>
    </row>
    <row r="37958" spans="8:8" x14ac:dyDescent="0.3">
      <c r="H37958" t="str">
        <f t="shared" si="642"/>
        <v/>
      </c>
    </row>
    <row r="37959" spans="8:8" x14ac:dyDescent="0.3">
      <c r="H37959" t="str">
        <f t="shared" si="642"/>
        <v/>
      </c>
    </row>
    <row r="37960" spans="8:8" x14ac:dyDescent="0.3">
      <c r="H37960" t="str">
        <f t="shared" si="642"/>
        <v/>
      </c>
    </row>
    <row r="37961" spans="8:8" x14ac:dyDescent="0.3">
      <c r="H37961" t="str">
        <f t="shared" si="642"/>
        <v/>
      </c>
    </row>
    <row r="37962" spans="8:8" x14ac:dyDescent="0.3">
      <c r="H37962" t="str">
        <f t="shared" si="642"/>
        <v/>
      </c>
    </row>
    <row r="37963" spans="8:8" x14ac:dyDescent="0.3">
      <c r="H37963" t="str">
        <f t="shared" si="642"/>
        <v/>
      </c>
    </row>
    <row r="37964" spans="8:8" x14ac:dyDescent="0.3">
      <c r="H37964" t="str">
        <f t="shared" si="642"/>
        <v/>
      </c>
    </row>
    <row r="37965" spans="8:8" x14ac:dyDescent="0.3">
      <c r="H37965" t="str">
        <f t="shared" si="642"/>
        <v/>
      </c>
    </row>
    <row r="37966" spans="8:8" x14ac:dyDescent="0.3">
      <c r="H37966" t="str">
        <f t="shared" si="642"/>
        <v/>
      </c>
    </row>
    <row r="37967" spans="8:8" x14ac:dyDescent="0.3">
      <c r="H37967" t="str">
        <f t="shared" si="642"/>
        <v/>
      </c>
    </row>
    <row r="37968" spans="8:8" x14ac:dyDescent="0.3">
      <c r="H37968" t="str">
        <f t="shared" si="642"/>
        <v/>
      </c>
    </row>
    <row r="37969" spans="8:8" x14ac:dyDescent="0.3">
      <c r="H37969" t="str">
        <f t="shared" si="642"/>
        <v/>
      </c>
    </row>
    <row r="37970" spans="8:8" x14ac:dyDescent="0.3">
      <c r="H37970" t="str">
        <f t="shared" si="642"/>
        <v/>
      </c>
    </row>
    <row r="37971" spans="8:8" x14ac:dyDescent="0.3">
      <c r="H37971" t="str">
        <f t="shared" si="642"/>
        <v/>
      </c>
    </row>
    <row r="37972" spans="8:8" x14ac:dyDescent="0.3">
      <c r="H37972" t="str">
        <f t="shared" si="642"/>
        <v/>
      </c>
    </row>
    <row r="37973" spans="8:8" x14ac:dyDescent="0.3">
      <c r="H37973" t="str">
        <f t="shared" si="642"/>
        <v/>
      </c>
    </row>
    <row r="37974" spans="8:8" x14ac:dyDescent="0.3">
      <c r="H37974" t="str">
        <f t="shared" si="642"/>
        <v/>
      </c>
    </row>
    <row r="37975" spans="8:8" x14ac:dyDescent="0.3">
      <c r="H37975" t="str">
        <f t="shared" ref="H37975:H38038" si="643">IF(B37975="","",$C$12)</f>
        <v/>
      </c>
    </row>
    <row r="37976" spans="8:8" x14ac:dyDescent="0.3">
      <c r="H37976" t="str">
        <f t="shared" si="643"/>
        <v/>
      </c>
    </row>
    <row r="37977" spans="8:8" x14ac:dyDescent="0.3">
      <c r="H37977" t="str">
        <f t="shared" si="643"/>
        <v/>
      </c>
    </row>
    <row r="37978" spans="8:8" x14ac:dyDescent="0.3">
      <c r="H37978" t="str">
        <f t="shared" si="643"/>
        <v/>
      </c>
    </row>
    <row r="37979" spans="8:8" x14ac:dyDescent="0.3">
      <c r="H37979" t="str">
        <f t="shared" si="643"/>
        <v/>
      </c>
    </row>
    <row r="37980" spans="8:8" x14ac:dyDescent="0.3">
      <c r="H37980" t="str">
        <f t="shared" si="643"/>
        <v/>
      </c>
    </row>
    <row r="37981" spans="8:8" x14ac:dyDescent="0.3">
      <c r="H37981" t="str">
        <f t="shared" si="643"/>
        <v/>
      </c>
    </row>
    <row r="37982" spans="8:8" x14ac:dyDescent="0.3">
      <c r="H37982" t="str">
        <f t="shared" si="643"/>
        <v/>
      </c>
    </row>
    <row r="37983" spans="8:8" x14ac:dyDescent="0.3">
      <c r="H37983" t="str">
        <f t="shared" si="643"/>
        <v/>
      </c>
    </row>
    <row r="37984" spans="8:8" x14ac:dyDescent="0.3">
      <c r="H37984" t="str">
        <f t="shared" si="643"/>
        <v/>
      </c>
    </row>
    <row r="37985" spans="8:8" x14ac:dyDescent="0.3">
      <c r="H37985" t="str">
        <f t="shared" si="643"/>
        <v/>
      </c>
    </row>
    <row r="37986" spans="8:8" x14ac:dyDescent="0.3">
      <c r="H37986" t="str">
        <f t="shared" si="643"/>
        <v/>
      </c>
    </row>
    <row r="37987" spans="8:8" x14ac:dyDescent="0.3">
      <c r="H37987" t="str">
        <f t="shared" si="643"/>
        <v/>
      </c>
    </row>
    <row r="37988" spans="8:8" x14ac:dyDescent="0.3">
      <c r="H37988" t="str">
        <f t="shared" si="643"/>
        <v/>
      </c>
    </row>
    <row r="37989" spans="8:8" x14ac:dyDescent="0.3">
      <c r="H37989" t="str">
        <f t="shared" si="643"/>
        <v/>
      </c>
    </row>
    <row r="37990" spans="8:8" x14ac:dyDescent="0.3">
      <c r="H37990" t="str">
        <f t="shared" si="643"/>
        <v/>
      </c>
    </row>
    <row r="37991" spans="8:8" x14ac:dyDescent="0.3">
      <c r="H37991" t="str">
        <f t="shared" si="643"/>
        <v/>
      </c>
    </row>
    <row r="37992" spans="8:8" x14ac:dyDescent="0.3">
      <c r="H37992" t="str">
        <f t="shared" si="643"/>
        <v/>
      </c>
    </row>
    <row r="37993" spans="8:8" x14ac:dyDescent="0.3">
      <c r="H37993" t="str">
        <f t="shared" si="643"/>
        <v/>
      </c>
    </row>
    <row r="37994" spans="8:8" x14ac:dyDescent="0.3">
      <c r="H37994" t="str">
        <f t="shared" si="643"/>
        <v/>
      </c>
    </row>
    <row r="37995" spans="8:8" x14ac:dyDescent="0.3">
      <c r="H37995" t="str">
        <f t="shared" si="643"/>
        <v/>
      </c>
    </row>
    <row r="37996" spans="8:8" x14ac:dyDescent="0.3">
      <c r="H37996" t="str">
        <f t="shared" si="643"/>
        <v/>
      </c>
    </row>
    <row r="37997" spans="8:8" x14ac:dyDescent="0.3">
      <c r="H37997" t="str">
        <f t="shared" si="643"/>
        <v/>
      </c>
    </row>
    <row r="37998" spans="8:8" x14ac:dyDescent="0.3">
      <c r="H37998" t="str">
        <f t="shared" si="643"/>
        <v/>
      </c>
    </row>
    <row r="37999" spans="8:8" x14ac:dyDescent="0.3">
      <c r="H37999" t="str">
        <f t="shared" si="643"/>
        <v/>
      </c>
    </row>
    <row r="38000" spans="8:8" x14ac:dyDescent="0.3">
      <c r="H38000" t="str">
        <f t="shared" si="643"/>
        <v/>
      </c>
    </row>
    <row r="38001" spans="8:8" x14ac:dyDescent="0.3">
      <c r="H38001" t="str">
        <f t="shared" si="643"/>
        <v/>
      </c>
    </row>
    <row r="38002" spans="8:8" x14ac:dyDescent="0.3">
      <c r="H38002" t="str">
        <f t="shared" si="643"/>
        <v/>
      </c>
    </row>
    <row r="38003" spans="8:8" x14ac:dyDescent="0.3">
      <c r="H38003" t="str">
        <f t="shared" si="643"/>
        <v/>
      </c>
    </row>
    <row r="38004" spans="8:8" x14ac:dyDescent="0.3">
      <c r="H38004" t="str">
        <f t="shared" si="643"/>
        <v/>
      </c>
    </row>
    <row r="38005" spans="8:8" x14ac:dyDescent="0.3">
      <c r="H38005" t="str">
        <f t="shared" si="643"/>
        <v/>
      </c>
    </row>
    <row r="38006" spans="8:8" x14ac:dyDescent="0.3">
      <c r="H38006" t="str">
        <f t="shared" si="643"/>
        <v/>
      </c>
    </row>
    <row r="38007" spans="8:8" x14ac:dyDescent="0.3">
      <c r="H38007" t="str">
        <f t="shared" si="643"/>
        <v/>
      </c>
    </row>
    <row r="38008" spans="8:8" x14ac:dyDescent="0.3">
      <c r="H38008" t="str">
        <f t="shared" si="643"/>
        <v/>
      </c>
    </row>
    <row r="38009" spans="8:8" x14ac:dyDescent="0.3">
      <c r="H38009" t="str">
        <f t="shared" si="643"/>
        <v/>
      </c>
    </row>
    <row r="38010" spans="8:8" x14ac:dyDescent="0.3">
      <c r="H38010" t="str">
        <f t="shared" si="643"/>
        <v/>
      </c>
    </row>
    <row r="38011" spans="8:8" x14ac:dyDescent="0.3">
      <c r="H38011" t="str">
        <f t="shared" si="643"/>
        <v/>
      </c>
    </row>
    <row r="38012" spans="8:8" x14ac:dyDescent="0.3">
      <c r="H38012" t="str">
        <f t="shared" si="643"/>
        <v/>
      </c>
    </row>
    <row r="38013" spans="8:8" x14ac:dyDescent="0.3">
      <c r="H38013" t="str">
        <f t="shared" si="643"/>
        <v/>
      </c>
    </row>
    <row r="38014" spans="8:8" x14ac:dyDescent="0.3">
      <c r="H38014" t="str">
        <f t="shared" si="643"/>
        <v/>
      </c>
    </row>
    <row r="38015" spans="8:8" x14ac:dyDescent="0.3">
      <c r="H38015" t="str">
        <f t="shared" si="643"/>
        <v/>
      </c>
    </row>
    <row r="38016" spans="8:8" x14ac:dyDescent="0.3">
      <c r="H38016" t="str">
        <f t="shared" si="643"/>
        <v/>
      </c>
    </row>
    <row r="38017" spans="8:8" x14ac:dyDescent="0.3">
      <c r="H38017" t="str">
        <f t="shared" si="643"/>
        <v/>
      </c>
    </row>
    <row r="38018" spans="8:8" x14ac:dyDescent="0.3">
      <c r="H38018" t="str">
        <f t="shared" si="643"/>
        <v/>
      </c>
    </row>
    <row r="38019" spans="8:8" x14ac:dyDescent="0.3">
      <c r="H38019" t="str">
        <f t="shared" si="643"/>
        <v/>
      </c>
    </row>
    <row r="38020" spans="8:8" x14ac:dyDescent="0.3">
      <c r="H38020" t="str">
        <f t="shared" si="643"/>
        <v/>
      </c>
    </row>
    <row r="38021" spans="8:8" x14ac:dyDescent="0.3">
      <c r="H38021" t="str">
        <f t="shared" si="643"/>
        <v/>
      </c>
    </row>
    <row r="38022" spans="8:8" x14ac:dyDescent="0.3">
      <c r="H38022" t="str">
        <f t="shared" si="643"/>
        <v/>
      </c>
    </row>
    <row r="38023" spans="8:8" x14ac:dyDescent="0.3">
      <c r="H38023" t="str">
        <f t="shared" si="643"/>
        <v/>
      </c>
    </row>
    <row r="38024" spans="8:8" x14ac:dyDescent="0.3">
      <c r="H38024" t="str">
        <f t="shared" si="643"/>
        <v/>
      </c>
    </row>
    <row r="38025" spans="8:8" x14ac:dyDescent="0.3">
      <c r="H38025" t="str">
        <f t="shared" si="643"/>
        <v/>
      </c>
    </row>
    <row r="38026" spans="8:8" x14ac:dyDescent="0.3">
      <c r="H38026" t="str">
        <f t="shared" si="643"/>
        <v/>
      </c>
    </row>
    <row r="38027" spans="8:8" x14ac:dyDescent="0.3">
      <c r="H38027" t="str">
        <f t="shared" si="643"/>
        <v/>
      </c>
    </row>
    <row r="38028" spans="8:8" x14ac:dyDescent="0.3">
      <c r="H38028" t="str">
        <f t="shared" si="643"/>
        <v/>
      </c>
    </row>
    <row r="38029" spans="8:8" x14ac:dyDescent="0.3">
      <c r="H38029" t="str">
        <f t="shared" si="643"/>
        <v/>
      </c>
    </row>
    <row r="38030" spans="8:8" x14ac:dyDescent="0.3">
      <c r="H38030" t="str">
        <f t="shared" si="643"/>
        <v/>
      </c>
    </row>
    <row r="38031" spans="8:8" x14ac:dyDescent="0.3">
      <c r="H38031" t="str">
        <f t="shared" si="643"/>
        <v/>
      </c>
    </row>
    <row r="38032" spans="8:8" x14ac:dyDescent="0.3">
      <c r="H38032" t="str">
        <f t="shared" si="643"/>
        <v/>
      </c>
    </row>
    <row r="38033" spans="8:8" x14ac:dyDescent="0.3">
      <c r="H38033" t="str">
        <f t="shared" si="643"/>
        <v/>
      </c>
    </row>
    <row r="38034" spans="8:8" x14ac:dyDescent="0.3">
      <c r="H38034" t="str">
        <f t="shared" si="643"/>
        <v/>
      </c>
    </row>
    <row r="38035" spans="8:8" x14ac:dyDescent="0.3">
      <c r="H38035" t="str">
        <f t="shared" si="643"/>
        <v/>
      </c>
    </row>
    <row r="38036" spans="8:8" x14ac:dyDescent="0.3">
      <c r="H38036" t="str">
        <f t="shared" si="643"/>
        <v/>
      </c>
    </row>
    <row r="38037" spans="8:8" x14ac:dyDescent="0.3">
      <c r="H38037" t="str">
        <f t="shared" si="643"/>
        <v/>
      </c>
    </row>
    <row r="38038" spans="8:8" x14ac:dyDescent="0.3">
      <c r="H38038" t="str">
        <f t="shared" si="643"/>
        <v/>
      </c>
    </row>
    <row r="38039" spans="8:8" x14ac:dyDescent="0.3">
      <c r="H38039" t="str">
        <f t="shared" ref="H38039:H38102" si="644">IF(B38039="","",$C$12)</f>
        <v/>
      </c>
    </row>
    <row r="38040" spans="8:8" x14ac:dyDescent="0.3">
      <c r="H38040" t="str">
        <f t="shared" si="644"/>
        <v/>
      </c>
    </row>
    <row r="38041" spans="8:8" x14ac:dyDescent="0.3">
      <c r="H38041" t="str">
        <f t="shared" si="644"/>
        <v/>
      </c>
    </row>
    <row r="38042" spans="8:8" x14ac:dyDescent="0.3">
      <c r="H38042" t="str">
        <f t="shared" si="644"/>
        <v/>
      </c>
    </row>
    <row r="38043" spans="8:8" x14ac:dyDescent="0.3">
      <c r="H38043" t="str">
        <f t="shared" si="644"/>
        <v/>
      </c>
    </row>
    <row r="38044" spans="8:8" x14ac:dyDescent="0.3">
      <c r="H38044" t="str">
        <f t="shared" si="644"/>
        <v/>
      </c>
    </row>
    <row r="38045" spans="8:8" x14ac:dyDescent="0.3">
      <c r="H38045" t="str">
        <f t="shared" si="644"/>
        <v/>
      </c>
    </row>
    <row r="38046" spans="8:8" x14ac:dyDescent="0.3">
      <c r="H38046" t="str">
        <f t="shared" si="644"/>
        <v/>
      </c>
    </row>
    <row r="38047" spans="8:8" x14ac:dyDescent="0.3">
      <c r="H38047" t="str">
        <f t="shared" si="644"/>
        <v/>
      </c>
    </row>
    <row r="38048" spans="8:8" x14ac:dyDescent="0.3">
      <c r="H38048" t="str">
        <f t="shared" si="644"/>
        <v/>
      </c>
    </row>
    <row r="38049" spans="8:8" x14ac:dyDescent="0.3">
      <c r="H38049" t="str">
        <f t="shared" si="644"/>
        <v/>
      </c>
    </row>
    <row r="38050" spans="8:8" x14ac:dyDescent="0.3">
      <c r="H38050" t="str">
        <f t="shared" si="644"/>
        <v/>
      </c>
    </row>
    <row r="38051" spans="8:8" x14ac:dyDescent="0.3">
      <c r="H38051" t="str">
        <f t="shared" si="644"/>
        <v/>
      </c>
    </row>
    <row r="38052" spans="8:8" x14ac:dyDescent="0.3">
      <c r="H38052" t="str">
        <f t="shared" si="644"/>
        <v/>
      </c>
    </row>
    <row r="38053" spans="8:8" x14ac:dyDescent="0.3">
      <c r="H38053" t="str">
        <f t="shared" si="644"/>
        <v/>
      </c>
    </row>
    <row r="38054" spans="8:8" x14ac:dyDescent="0.3">
      <c r="H38054" t="str">
        <f t="shared" si="644"/>
        <v/>
      </c>
    </row>
    <row r="38055" spans="8:8" x14ac:dyDescent="0.3">
      <c r="H38055" t="str">
        <f t="shared" si="644"/>
        <v/>
      </c>
    </row>
    <row r="38056" spans="8:8" x14ac:dyDescent="0.3">
      <c r="H38056" t="str">
        <f t="shared" si="644"/>
        <v/>
      </c>
    </row>
    <row r="38057" spans="8:8" x14ac:dyDescent="0.3">
      <c r="H38057" t="str">
        <f t="shared" si="644"/>
        <v/>
      </c>
    </row>
    <row r="38058" spans="8:8" x14ac:dyDescent="0.3">
      <c r="H38058" t="str">
        <f t="shared" si="644"/>
        <v/>
      </c>
    </row>
    <row r="38059" spans="8:8" x14ac:dyDescent="0.3">
      <c r="H38059" t="str">
        <f t="shared" si="644"/>
        <v/>
      </c>
    </row>
    <row r="38060" spans="8:8" x14ac:dyDescent="0.3">
      <c r="H38060" t="str">
        <f t="shared" si="644"/>
        <v/>
      </c>
    </row>
    <row r="38061" spans="8:8" x14ac:dyDescent="0.3">
      <c r="H38061" t="str">
        <f t="shared" si="644"/>
        <v/>
      </c>
    </row>
    <row r="38062" spans="8:8" x14ac:dyDescent="0.3">
      <c r="H38062" t="str">
        <f t="shared" si="644"/>
        <v/>
      </c>
    </row>
    <row r="38063" spans="8:8" x14ac:dyDescent="0.3">
      <c r="H38063" t="str">
        <f t="shared" si="644"/>
        <v/>
      </c>
    </row>
    <row r="38064" spans="8:8" x14ac:dyDescent="0.3">
      <c r="H38064" t="str">
        <f t="shared" si="644"/>
        <v/>
      </c>
    </row>
    <row r="38065" spans="8:8" x14ac:dyDescent="0.3">
      <c r="H38065" t="str">
        <f t="shared" si="644"/>
        <v/>
      </c>
    </row>
    <row r="38066" spans="8:8" x14ac:dyDescent="0.3">
      <c r="H38066" t="str">
        <f t="shared" si="644"/>
        <v/>
      </c>
    </row>
    <row r="38067" spans="8:8" x14ac:dyDescent="0.3">
      <c r="H38067" t="str">
        <f t="shared" si="644"/>
        <v/>
      </c>
    </row>
    <row r="38068" spans="8:8" x14ac:dyDescent="0.3">
      <c r="H38068" t="str">
        <f t="shared" si="644"/>
        <v/>
      </c>
    </row>
    <row r="38069" spans="8:8" x14ac:dyDescent="0.3">
      <c r="H38069" t="str">
        <f t="shared" si="644"/>
        <v/>
      </c>
    </row>
    <row r="38070" spans="8:8" x14ac:dyDescent="0.3">
      <c r="H38070" t="str">
        <f t="shared" si="644"/>
        <v/>
      </c>
    </row>
    <row r="38071" spans="8:8" x14ac:dyDescent="0.3">
      <c r="H38071" t="str">
        <f t="shared" si="644"/>
        <v/>
      </c>
    </row>
    <row r="38072" spans="8:8" x14ac:dyDescent="0.3">
      <c r="H38072" t="str">
        <f t="shared" si="644"/>
        <v/>
      </c>
    </row>
    <row r="38073" spans="8:8" x14ac:dyDescent="0.3">
      <c r="H38073" t="str">
        <f t="shared" si="644"/>
        <v/>
      </c>
    </row>
    <row r="38074" spans="8:8" x14ac:dyDescent="0.3">
      <c r="H38074" t="str">
        <f t="shared" si="644"/>
        <v/>
      </c>
    </row>
    <row r="38075" spans="8:8" x14ac:dyDescent="0.3">
      <c r="H38075" t="str">
        <f t="shared" si="644"/>
        <v/>
      </c>
    </row>
    <row r="38076" spans="8:8" x14ac:dyDescent="0.3">
      <c r="H38076" t="str">
        <f t="shared" si="644"/>
        <v/>
      </c>
    </row>
    <row r="38077" spans="8:8" x14ac:dyDescent="0.3">
      <c r="H38077" t="str">
        <f t="shared" si="644"/>
        <v/>
      </c>
    </row>
    <row r="38078" spans="8:8" x14ac:dyDescent="0.3">
      <c r="H38078" t="str">
        <f t="shared" si="644"/>
        <v/>
      </c>
    </row>
    <row r="38079" spans="8:8" x14ac:dyDescent="0.3">
      <c r="H38079" t="str">
        <f t="shared" si="644"/>
        <v/>
      </c>
    </row>
    <row r="38080" spans="8:8" x14ac:dyDescent="0.3">
      <c r="H38080" t="str">
        <f t="shared" si="644"/>
        <v/>
      </c>
    </row>
    <row r="38081" spans="8:8" x14ac:dyDescent="0.3">
      <c r="H38081" t="str">
        <f t="shared" si="644"/>
        <v/>
      </c>
    </row>
    <row r="38082" spans="8:8" x14ac:dyDescent="0.3">
      <c r="H38082" t="str">
        <f t="shared" si="644"/>
        <v/>
      </c>
    </row>
    <row r="38083" spans="8:8" x14ac:dyDescent="0.3">
      <c r="H38083" t="str">
        <f t="shared" si="644"/>
        <v/>
      </c>
    </row>
    <row r="38084" spans="8:8" x14ac:dyDescent="0.3">
      <c r="H38084" t="str">
        <f t="shared" si="644"/>
        <v/>
      </c>
    </row>
    <row r="38085" spans="8:8" x14ac:dyDescent="0.3">
      <c r="H38085" t="str">
        <f t="shared" si="644"/>
        <v/>
      </c>
    </row>
    <row r="38086" spans="8:8" x14ac:dyDescent="0.3">
      <c r="H38086" t="str">
        <f t="shared" si="644"/>
        <v/>
      </c>
    </row>
    <row r="38087" spans="8:8" x14ac:dyDescent="0.3">
      <c r="H38087" t="str">
        <f t="shared" si="644"/>
        <v/>
      </c>
    </row>
    <row r="38088" spans="8:8" x14ac:dyDescent="0.3">
      <c r="H38088" t="str">
        <f t="shared" si="644"/>
        <v/>
      </c>
    </row>
    <row r="38089" spans="8:8" x14ac:dyDescent="0.3">
      <c r="H38089" t="str">
        <f t="shared" si="644"/>
        <v/>
      </c>
    </row>
    <row r="38090" spans="8:8" x14ac:dyDescent="0.3">
      <c r="H38090" t="str">
        <f t="shared" si="644"/>
        <v/>
      </c>
    </row>
    <row r="38091" spans="8:8" x14ac:dyDescent="0.3">
      <c r="H38091" t="str">
        <f t="shared" si="644"/>
        <v/>
      </c>
    </row>
    <row r="38092" spans="8:8" x14ac:dyDescent="0.3">
      <c r="H38092" t="str">
        <f t="shared" si="644"/>
        <v/>
      </c>
    </row>
    <row r="38093" spans="8:8" x14ac:dyDescent="0.3">
      <c r="H38093" t="str">
        <f t="shared" si="644"/>
        <v/>
      </c>
    </row>
    <row r="38094" spans="8:8" x14ac:dyDescent="0.3">
      <c r="H38094" t="str">
        <f t="shared" si="644"/>
        <v/>
      </c>
    </row>
    <row r="38095" spans="8:8" x14ac:dyDescent="0.3">
      <c r="H38095" t="str">
        <f t="shared" si="644"/>
        <v/>
      </c>
    </row>
    <row r="38096" spans="8:8" x14ac:dyDescent="0.3">
      <c r="H38096" t="str">
        <f t="shared" si="644"/>
        <v/>
      </c>
    </row>
    <row r="38097" spans="8:8" x14ac:dyDescent="0.3">
      <c r="H38097" t="str">
        <f t="shared" si="644"/>
        <v/>
      </c>
    </row>
    <row r="38098" spans="8:8" x14ac:dyDescent="0.3">
      <c r="H38098" t="str">
        <f t="shared" si="644"/>
        <v/>
      </c>
    </row>
    <row r="38099" spans="8:8" x14ac:dyDescent="0.3">
      <c r="H38099" t="str">
        <f t="shared" si="644"/>
        <v/>
      </c>
    </row>
    <row r="38100" spans="8:8" x14ac:dyDescent="0.3">
      <c r="H38100" t="str">
        <f t="shared" si="644"/>
        <v/>
      </c>
    </row>
    <row r="38101" spans="8:8" x14ac:dyDescent="0.3">
      <c r="H38101" t="str">
        <f t="shared" si="644"/>
        <v/>
      </c>
    </row>
    <row r="38102" spans="8:8" x14ac:dyDescent="0.3">
      <c r="H38102" t="str">
        <f t="shared" si="644"/>
        <v/>
      </c>
    </row>
    <row r="38103" spans="8:8" x14ac:dyDescent="0.3">
      <c r="H38103" t="str">
        <f t="shared" ref="H38103:H38166" si="645">IF(B38103="","",$C$12)</f>
        <v/>
      </c>
    </row>
    <row r="38104" spans="8:8" x14ac:dyDescent="0.3">
      <c r="H38104" t="str">
        <f t="shared" si="645"/>
        <v/>
      </c>
    </row>
    <row r="38105" spans="8:8" x14ac:dyDescent="0.3">
      <c r="H38105" t="str">
        <f t="shared" si="645"/>
        <v/>
      </c>
    </row>
    <row r="38106" spans="8:8" x14ac:dyDescent="0.3">
      <c r="H38106" t="str">
        <f t="shared" si="645"/>
        <v/>
      </c>
    </row>
    <row r="38107" spans="8:8" x14ac:dyDescent="0.3">
      <c r="H38107" t="str">
        <f t="shared" si="645"/>
        <v/>
      </c>
    </row>
    <row r="38108" spans="8:8" x14ac:dyDescent="0.3">
      <c r="H38108" t="str">
        <f t="shared" si="645"/>
        <v/>
      </c>
    </row>
    <row r="38109" spans="8:8" x14ac:dyDescent="0.3">
      <c r="H38109" t="str">
        <f t="shared" si="645"/>
        <v/>
      </c>
    </row>
    <row r="38110" spans="8:8" x14ac:dyDescent="0.3">
      <c r="H38110" t="str">
        <f t="shared" si="645"/>
        <v/>
      </c>
    </row>
    <row r="38111" spans="8:8" x14ac:dyDescent="0.3">
      <c r="H38111" t="str">
        <f t="shared" si="645"/>
        <v/>
      </c>
    </row>
    <row r="38112" spans="8:8" x14ac:dyDescent="0.3">
      <c r="H38112" t="str">
        <f t="shared" si="645"/>
        <v/>
      </c>
    </row>
    <row r="38113" spans="8:8" x14ac:dyDescent="0.3">
      <c r="H38113" t="str">
        <f t="shared" si="645"/>
        <v/>
      </c>
    </row>
    <row r="38114" spans="8:8" x14ac:dyDescent="0.3">
      <c r="H38114" t="str">
        <f t="shared" si="645"/>
        <v/>
      </c>
    </row>
    <row r="38115" spans="8:8" x14ac:dyDescent="0.3">
      <c r="H38115" t="str">
        <f t="shared" si="645"/>
        <v/>
      </c>
    </row>
    <row r="38116" spans="8:8" x14ac:dyDescent="0.3">
      <c r="H38116" t="str">
        <f t="shared" si="645"/>
        <v/>
      </c>
    </row>
    <row r="38117" spans="8:8" x14ac:dyDescent="0.3">
      <c r="H38117" t="str">
        <f t="shared" si="645"/>
        <v/>
      </c>
    </row>
    <row r="38118" spans="8:8" x14ac:dyDescent="0.3">
      <c r="H38118" t="str">
        <f t="shared" si="645"/>
        <v/>
      </c>
    </row>
    <row r="38119" spans="8:8" x14ac:dyDescent="0.3">
      <c r="H38119" t="str">
        <f t="shared" si="645"/>
        <v/>
      </c>
    </row>
    <row r="38120" spans="8:8" x14ac:dyDescent="0.3">
      <c r="H38120" t="str">
        <f t="shared" si="645"/>
        <v/>
      </c>
    </row>
    <row r="38121" spans="8:8" x14ac:dyDescent="0.3">
      <c r="H38121" t="str">
        <f t="shared" si="645"/>
        <v/>
      </c>
    </row>
    <row r="38122" spans="8:8" x14ac:dyDescent="0.3">
      <c r="H38122" t="str">
        <f t="shared" si="645"/>
        <v/>
      </c>
    </row>
    <row r="38123" spans="8:8" x14ac:dyDescent="0.3">
      <c r="H38123" t="str">
        <f t="shared" si="645"/>
        <v/>
      </c>
    </row>
    <row r="38124" spans="8:8" x14ac:dyDescent="0.3">
      <c r="H38124" t="str">
        <f t="shared" si="645"/>
        <v/>
      </c>
    </row>
    <row r="38125" spans="8:8" x14ac:dyDescent="0.3">
      <c r="H38125" t="str">
        <f t="shared" si="645"/>
        <v/>
      </c>
    </row>
    <row r="38126" spans="8:8" x14ac:dyDescent="0.3">
      <c r="H38126" t="str">
        <f t="shared" si="645"/>
        <v/>
      </c>
    </row>
    <row r="38127" spans="8:8" x14ac:dyDescent="0.3">
      <c r="H38127" t="str">
        <f t="shared" si="645"/>
        <v/>
      </c>
    </row>
    <row r="38128" spans="8:8" x14ac:dyDescent="0.3">
      <c r="H38128" t="str">
        <f t="shared" si="645"/>
        <v/>
      </c>
    </row>
    <row r="38129" spans="8:8" x14ac:dyDescent="0.3">
      <c r="H38129" t="str">
        <f t="shared" si="645"/>
        <v/>
      </c>
    </row>
    <row r="38130" spans="8:8" x14ac:dyDescent="0.3">
      <c r="H38130" t="str">
        <f t="shared" si="645"/>
        <v/>
      </c>
    </row>
    <row r="38131" spans="8:8" x14ac:dyDescent="0.3">
      <c r="H38131" t="str">
        <f t="shared" si="645"/>
        <v/>
      </c>
    </row>
    <row r="38132" spans="8:8" x14ac:dyDescent="0.3">
      <c r="H38132" t="str">
        <f t="shared" si="645"/>
        <v/>
      </c>
    </row>
    <row r="38133" spans="8:8" x14ac:dyDescent="0.3">
      <c r="H38133" t="str">
        <f t="shared" si="645"/>
        <v/>
      </c>
    </row>
    <row r="38134" spans="8:8" x14ac:dyDescent="0.3">
      <c r="H38134" t="str">
        <f t="shared" si="645"/>
        <v/>
      </c>
    </row>
    <row r="38135" spans="8:8" x14ac:dyDescent="0.3">
      <c r="H38135" t="str">
        <f t="shared" si="645"/>
        <v/>
      </c>
    </row>
    <row r="38136" spans="8:8" x14ac:dyDescent="0.3">
      <c r="H38136" t="str">
        <f t="shared" si="645"/>
        <v/>
      </c>
    </row>
    <row r="38137" spans="8:8" x14ac:dyDescent="0.3">
      <c r="H38137" t="str">
        <f t="shared" si="645"/>
        <v/>
      </c>
    </row>
    <row r="38138" spans="8:8" x14ac:dyDescent="0.3">
      <c r="H38138" t="str">
        <f t="shared" si="645"/>
        <v/>
      </c>
    </row>
    <row r="38139" spans="8:8" x14ac:dyDescent="0.3">
      <c r="H38139" t="str">
        <f t="shared" si="645"/>
        <v/>
      </c>
    </row>
    <row r="38140" spans="8:8" x14ac:dyDescent="0.3">
      <c r="H38140" t="str">
        <f t="shared" si="645"/>
        <v/>
      </c>
    </row>
    <row r="38141" spans="8:8" x14ac:dyDescent="0.3">
      <c r="H38141" t="str">
        <f t="shared" si="645"/>
        <v/>
      </c>
    </row>
    <row r="38142" spans="8:8" x14ac:dyDescent="0.3">
      <c r="H38142" t="str">
        <f t="shared" si="645"/>
        <v/>
      </c>
    </row>
    <row r="38143" spans="8:8" x14ac:dyDescent="0.3">
      <c r="H38143" t="str">
        <f t="shared" si="645"/>
        <v/>
      </c>
    </row>
    <row r="38144" spans="8:8" x14ac:dyDescent="0.3">
      <c r="H38144" t="str">
        <f t="shared" si="645"/>
        <v/>
      </c>
    </row>
    <row r="38145" spans="8:8" x14ac:dyDescent="0.3">
      <c r="H38145" t="str">
        <f t="shared" si="645"/>
        <v/>
      </c>
    </row>
    <row r="38146" spans="8:8" x14ac:dyDescent="0.3">
      <c r="H38146" t="str">
        <f t="shared" si="645"/>
        <v/>
      </c>
    </row>
    <row r="38147" spans="8:8" x14ac:dyDescent="0.3">
      <c r="H38147" t="str">
        <f t="shared" si="645"/>
        <v/>
      </c>
    </row>
    <row r="38148" spans="8:8" x14ac:dyDescent="0.3">
      <c r="H38148" t="str">
        <f t="shared" si="645"/>
        <v/>
      </c>
    </row>
    <row r="38149" spans="8:8" x14ac:dyDescent="0.3">
      <c r="H38149" t="str">
        <f t="shared" si="645"/>
        <v/>
      </c>
    </row>
    <row r="38150" spans="8:8" x14ac:dyDescent="0.3">
      <c r="H38150" t="str">
        <f t="shared" si="645"/>
        <v/>
      </c>
    </row>
    <row r="38151" spans="8:8" x14ac:dyDescent="0.3">
      <c r="H38151" t="str">
        <f t="shared" si="645"/>
        <v/>
      </c>
    </row>
    <row r="38152" spans="8:8" x14ac:dyDescent="0.3">
      <c r="H38152" t="str">
        <f t="shared" si="645"/>
        <v/>
      </c>
    </row>
    <row r="38153" spans="8:8" x14ac:dyDescent="0.3">
      <c r="H38153" t="str">
        <f t="shared" si="645"/>
        <v/>
      </c>
    </row>
    <row r="38154" spans="8:8" x14ac:dyDescent="0.3">
      <c r="H38154" t="str">
        <f t="shared" si="645"/>
        <v/>
      </c>
    </row>
    <row r="38155" spans="8:8" x14ac:dyDescent="0.3">
      <c r="H38155" t="str">
        <f t="shared" si="645"/>
        <v/>
      </c>
    </row>
    <row r="38156" spans="8:8" x14ac:dyDescent="0.3">
      <c r="H38156" t="str">
        <f t="shared" si="645"/>
        <v/>
      </c>
    </row>
    <row r="38157" spans="8:8" x14ac:dyDescent="0.3">
      <c r="H38157" t="str">
        <f t="shared" si="645"/>
        <v/>
      </c>
    </row>
    <row r="38158" spans="8:8" x14ac:dyDescent="0.3">
      <c r="H38158" t="str">
        <f t="shared" si="645"/>
        <v/>
      </c>
    </row>
    <row r="38159" spans="8:8" x14ac:dyDescent="0.3">
      <c r="H38159" t="str">
        <f t="shared" si="645"/>
        <v/>
      </c>
    </row>
    <row r="38160" spans="8:8" x14ac:dyDescent="0.3">
      <c r="H38160" t="str">
        <f t="shared" si="645"/>
        <v/>
      </c>
    </row>
    <row r="38161" spans="8:8" x14ac:dyDescent="0.3">
      <c r="H38161" t="str">
        <f t="shared" si="645"/>
        <v/>
      </c>
    </row>
    <row r="38162" spans="8:8" x14ac:dyDescent="0.3">
      <c r="H38162" t="str">
        <f t="shared" si="645"/>
        <v/>
      </c>
    </row>
    <row r="38163" spans="8:8" x14ac:dyDescent="0.3">
      <c r="H38163" t="str">
        <f t="shared" si="645"/>
        <v/>
      </c>
    </row>
    <row r="38164" spans="8:8" x14ac:dyDescent="0.3">
      <c r="H38164" t="str">
        <f t="shared" si="645"/>
        <v/>
      </c>
    </row>
    <row r="38165" spans="8:8" x14ac:dyDescent="0.3">
      <c r="H38165" t="str">
        <f t="shared" si="645"/>
        <v/>
      </c>
    </row>
    <row r="38166" spans="8:8" x14ac:dyDescent="0.3">
      <c r="H38166" t="str">
        <f t="shared" si="645"/>
        <v/>
      </c>
    </row>
    <row r="38167" spans="8:8" x14ac:dyDescent="0.3">
      <c r="H38167" t="str">
        <f t="shared" ref="H38167:H38230" si="646">IF(B38167="","",$C$12)</f>
        <v/>
      </c>
    </row>
    <row r="38168" spans="8:8" x14ac:dyDescent="0.3">
      <c r="H38168" t="str">
        <f t="shared" si="646"/>
        <v/>
      </c>
    </row>
    <row r="38169" spans="8:8" x14ac:dyDescent="0.3">
      <c r="H38169" t="str">
        <f t="shared" si="646"/>
        <v/>
      </c>
    </row>
    <row r="38170" spans="8:8" x14ac:dyDescent="0.3">
      <c r="H38170" t="str">
        <f t="shared" si="646"/>
        <v/>
      </c>
    </row>
    <row r="38171" spans="8:8" x14ac:dyDescent="0.3">
      <c r="H38171" t="str">
        <f t="shared" si="646"/>
        <v/>
      </c>
    </row>
    <row r="38172" spans="8:8" x14ac:dyDescent="0.3">
      <c r="H38172" t="str">
        <f t="shared" si="646"/>
        <v/>
      </c>
    </row>
    <row r="38173" spans="8:8" x14ac:dyDescent="0.3">
      <c r="H38173" t="str">
        <f t="shared" si="646"/>
        <v/>
      </c>
    </row>
    <row r="38174" spans="8:8" x14ac:dyDescent="0.3">
      <c r="H38174" t="str">
        <f t="shared" si="646"/>
        <v/>
      </c>
    </row>
    <row r="38175" spans="8:8" x14ac:dyDescent="0.3">
      <c r="H38175" t="str">
        <f t="shared" si="646"/>
        <v/>
      </c>
    </row>
    <row r="38176" spans="8:8" x14ac:dyDescent="0.3">
      <c r="H38176" t="str">
        <f t="shared" si="646"/>
        <v/>
      </c>
    </row>
    <row r="38177" spans="8:8" x14ac:dyDescent="0.3">
      <c r="H38177" t="str">
        <f t="shared" si="646"/>
        <v/>
      </c>
    </row>
    <row r="38178" spans="8:8" x14ac:dyDescent="0.3">
      <c r="H38178" t="str">
        <f t="shared" si="646"/>
        <v/>
      </c>
    </row>
    <row r="38179" spans="8:8" x14ac:dyDescent="0.3">
      <c r="H38179" t="str">
        <f t="shared" si="646"/>
        <v/>
      </c>
    </row>
    <row r="38180" spans="8:8" x14ac:dyDescent="0.3">
      <c r="H38180" t="str">
        <f t="shared" si="646"/>
        <v/>
      </c>
    </row>
    <row r="38181" spans="8:8" x14ac:dyDescent="0.3">
      <c r="H38181" t="str">
        <f t="shared" si="646"/>
        <v/>
      </c>
    </row>
    <row r="38182" spans="8:8" x14ac:dyDescent="0.3">
      <c r="H38182" t="str">
        <f t="shared" si="646"/>
        <v/>
      </c>
    </row>
    <row r="38183" spans="8:8" x14ac:dyDescent="0.3">
      <c r="H38183" t="str">
        <f t="shared" si="646"/>
        <v/>
      </c>
    </row>
    <row r="38184" spans="8:8" x14ac:dyDescent="0.3">
      <c r="H38184" t="str">
        <f t="shared" si="646"/>
        <v/>
      </c>
    </row>
    <row r="38185" spans="8:8" x14ac:dyDescent="0.3">
      <c r="H38185" t="str">
        <f t="shared" si="646"/>
        <v/>
      </c>
    </row>
    <row r="38186" spans="8:8" x14ac:dyDescent="0.3">
      <c r="H38186" t="str">
        <f t="shared" si="646"/>
        <v/>
      </c>
    </row>
    <row r="38187" spans="8:8" x14ac:dyDescent="0.3">
      <c r="H38187" t="str">
        <f t="shared" si="646"/>
        <v/>
      </c>
    </row>
    <row r="38188" spans="8:8" x14ac:dyDescent="0.3">
      <c r="H38188" t="str">
        <f t="shared" si="646"/>
        <v/>
      </c>
    </row>
    <row r="38189" spans="8:8" x14ac:dyDescent="0.3">
      <c r="H38189" t="str">
        <f t="shared" si="646"/>
        <v/>
      </c>
    </row>
    <row r="38190" spans="8:8" x14ac:dyDescent="0.3">
      <c r="H38190" t="str">
        <f t="shared" si="646"/>
        <v/>
      </c>
    </row>
    <row r="38191" spans="8:8" x14ac:dyDescent="0.3">
      <c r="H38191" t="str">
        <f t="shared" si="646"/>
        <v/>
      </c>
    </row>
    <row r="38192" spans="8:8" x14ac:dyDescent="0.3">
      <c r="H38192" t="str">
        <f t="shared" si="646"/>
        <v/>
      </c>
    </row>
    <row r="38193" spans="8:8" x14ac:dyDescent="0.3">
      <c r="H38193" t="str">
        <f t="shared" si="646"/>
        <v/>
      </c>
    </row>
    <row r="38194" spans="8:8" x14ac:dyDescent="0.3">
      <c r="H38194" t="str">
        <f t="shared" si="646"/>
        <v/>
      </c>
    </row>
    <row r="38195" spans="8:8" x14ac:dyDescent="0.3">
      <c r="H38195" t="str">
        <f t="shared" si="646"/>
        <v/>
      </c>
    </row>
    <row r="38196" spans="8:8" x14ac:dyDescent="0.3">
      <c r="H38196" t="str">
        <f t="shared" si="646"/>
        <v/>
      </c>
    </row>
    <row r="38197" spans="8:8" x14ac:dyDescent="0.3">
      <c r="H38197" t="str">
        <f t="shared" si="646"/>
        <v/>
      </c>
    </row>
    <row r="38198" spans="8:8" x14ac:dyDescent="0.3">
      <c r="H38198" t="str">
        <f t="shared" si="646"/>
        <v/>
      </c>
    </row>
    <row r="38199" spans="8:8" x14ac:dyDescent="0.3">
      <c r="H38199" t="str">
        <f t="shared" si="646"/>
        <v/>
      </c>
    </row>
    <row r="38200" spans="8:8" x14ac:dyDescent="0.3">
      <c r="H38200" t="str">
        <f t="shared" si="646"/>
        <v/>
      </c>
    </row>
    <row r="38201" spans="8:8" x14ac:dyDescent="0.3">
      <c r="H38201" t="str">
        <f t="shared" si="646"/>
        <v/>
      </c>
    </row>
    <row r="38202" spans="8:8" x14ac:dyDescent="0.3">
      <c r="H38202" t="str">
        <f t="shared" si="646"/>
        <v/>
      </c>
    </row>
    <row r="38203" spans="8:8" x14ac:dyDescent="0.3">
      <c r="H38203" t="str">
        <f t="shared" si="646"/>
        <v/>
      </c>
    </row>
    <row r="38204" spans="8:8" x14ac:dyDescent="0.3">
      <c r="H38204" t="str">
        <f t="shared" si="646"/>
        <v/>
      </c>
    </row>
    <row r="38205" spans="8:8" x14ac:dyDescent="0.3">
      <c r="H38205" t="str">
        <f t="shared" si="646"/>
        <v/>
      </c>
    </row>
    <row r="38206" spans="8:8" x14ac:dyDescent="0.3">
      <c r="H38206" t="str">
        <f t="shared" si="646"/>
        <v/>
      </c>
    </row>
    <row r="38207" spans="8:8" x14ac:dyDescent="0.3">
      <c r="H38207" t="str">
        <f t="shared" si="646"/>
        <v/>
      </c>
    </row>
    <row r="38208" spans="8:8" x14ac:dyDescent="0.3">
      <c r="H38208" t="str">
        <f t="shared" si="646"/>
        <v/>
      </c>
    </row>
    <row r="38209" spans="8:8" x14ac:dyDescent="0.3">
      <c r="H38209" t="str">
        <f t="shared" si="646"/>
        <v/>
      </c>
    </row>
    <row r="38210" spans="8:8" x14ac:dyDescent="0.3">
      <c r="H38210" t="str">
        <f t="shared" si="646"/>
        <v/>
      </c>
    </row>
    <row r="38211" spans="8:8" x14ac:dyDescent="0.3">
      <c r="H38211" t="str">
        <f t="shared" si="646"/>
        <v/>
      </c>
    </row>
    <row r="38212" spans="8:8" x14ac:dyDescent="0.3">
      <c r="H38212" t="str">
        <f t="shared" si="646"/>
        <v/>
      </c>
    </row>
    <row r="38213" spans="8:8" x14ac:dyDescent="0.3">
      <c r="H38213" t="str">
        <f t="shared" si="646"/>
        <v/>
      </c>
    </row>
    <row r="38214" spans="8:8" x14ac:dyDescent="0.3">
      <c r="H38214" t="str">
        <f t="shared" si="646"/>
        <v/>
      </c>
    </row>
    <row r="38215" spans="8:8" x14ac:dyDescent="0.3">
      <c r="H38215" t="str">
        <f t="shared" si="646"/>
        <v/>
      </c>
    </row>
    <row r="38216" spans="8:8" x14ac:dyDescent="0.3">
      <c r="H38216" t="str">
        <f t="shared" si="646"/>
        <v/>
      </c>
    </row>
    <row r="38217" spans="8:8" x14ac:dyDescent="0.3">
      <c r="H38217" t="str">
        <f t="shared" si="646"/>
        <v/>
      </c>
    </row>
    <row r="38218" spans="8:8" x14ac:dyDescent="0.3">
      <c r="H38218" t="str">
        <f t="shared" si="646"/>
        <v/>
      </c>
    </row>
    <row r="38219" spans="8:8" x14ac:dyDescent="0.3">
      <c r="H38219" t="str">
        <f t="shared" si="646"/>
        <v/>
      </c>
    </row>
    <row r="38220" spans="8:8" x14ac:dyDescent="0.3">
      <c r="H38220" t="str">
        <f t="shared" si="646"/>
        <v/>
      </c>
    </row>
    <row r="38221" spans="8:8" x14ac:dyDescent="0.3">
      <c r="H38221" t="str">
        <f t="shared" si="646"/>
        <v/>
      </c>
    </row>
    <row r="38222" spans="8:8" x14ac:dyDescent="0.3">
      <c r="H38222" t="str">
        <f t="shared" si="646"/>
        <v/>
      </c>
    </row>
    <row r="38223" spans="8:8" x14ac:dyDescent="0.3">
      <c r="H38223" t="str">
        <f t="shared" si="646"/>
        <v/>
      </c>
    </row>
    <row r="38224" spans="8:8" x14ac:dyDescent="0.3">
      <c r="H38224" t="str">
        <f t="shared" si="646"/>
        <v/>
      </c>
    </row>
    <row r="38225" spans="8:8" x14ac:dyDescent="0.3">
      <c r="H38225" t="str">
        <f t="shared" si="646"/>
        <v/>
      </c>
    </row>
    <row r="38226" spans="8:8" x14ac:dyDescent="0.3">
      <c r="H38226" t="str">
        <f t="shared" si="646"/>
        <v/>
      </c>
    </row>
    <row r="38227" spans="8:8" x14ac:dyDescent="0.3">
      <c r="H38227" t="str">
        <f t="shared" si="646"/>
        <v/>
      </c>
    </row>
    <row r="38228" spans="8:8" x14ac:dyDescent="0.3">
      <c r="H38228" t="str">
        <f t="shared" si="646"/>
        <v/>
      </c>
    </row>
    <row r="38229" spans="8:8" x14ac:dyDescent="0.3">
      <c r="H38229" t="str">
        <f t="shared" si="646"/>
        <v/>
      </c>
    </row>
    <row r="38230" spans="8:8" x14ac:dyDescent="0.3">
      <c r="H38230" t="str">
        <f t="shared" si="646"/>
        <v/>
      </c>
    </row>
    <row r="38231" spans="8:8" x14ac:dyDescent="0.3">
      <c r="H38231" t="str">
        <f t="shared" ref="H38231:H38294" si="647">IF(B38231="","",$C$12)</f>
        <v/>
      </c>
    </row>
    <row r="38232" spans="8:8" x14ac:dyDescent="0.3">
      <c r="H38232" t="str">
        <f t="shared" si="647"/>
        <v/>
      </c>
    </row>
    <row r="38233" spans="8:8" x14ac:dyDescent="0.3">
      <c r="H38233" t="str">
        <f t="shared" si="647"/>
        <v/>
      </c>
    </row>
    <row r="38234" spans="8:8" x14ac:dyDescent="0.3">
      <c r="H38234" t="str">
        <f t="shared" si="647"/>
        <v/>
      </c>
    </row>
    <row r="38235" spans="8:8" x14ac:dyDescent="0.3">
      <c r="H38235" t="str">
        <f t="shared" si="647"/>
        <v/>
      </c>
    </row>
    <row r="38236" spans="8:8" x14ac:dyDescent="0.3">
      <c r="H38236" t="str">
        <f t="shared" si="647"/>
        <v/>
      </c>
    </row>
    <row r="38237" spans="8:8" x14ac:dyDescent="0.3">
      <c r="H38237" t="str">
        <f t="shared" si="647"/>
        <v/>
      </c>
    </row>
    <row r="38238" spans="8:8" x14ac:dyDescent="0.3">
      <c r="H38238" t="str">
        <f t="shared" si="647"/>
        <v/>
      </c>
    </row>
    <row r="38239" spans="8:8" x14ac:dyDescent="0.3">
      <c r="H38239" t="str">
        <f t="shared" si="647"/>
        <v/>
      </c>
    </row>
    <row r="38240" spans="8:8" x14ac:dyDescent="0.3">
      <c r="H38240" t="str">
        <f t="shared" si="647"/>
        <v/>
      </c>
    </row>
    <row r="38241" spans="8:8" x14ac:dyDescent="0.3">
      <c r="H38241" t="str">
        <f t="shared" si="647"/>
        <v/>
      </c>
    </row>
    <row r="38242" spans="8:8" x14ac:dyDescent="0.3">
      <c r="H38242" t="str">
        <f t="shared" si="647"/>
        <v/>
      </c>
    </row>
    <row r="38243" spans="8:8" x14ac:dyDescent="0.3">
      <c r="H38243" t="str">
        <f t="shared" si="647"/>
        <v/>
      </c>
    </row>
    <row r="38244" spans="8:8" x14ac:dyDescent="0.3">
      <c r="H38244" t="str">
        <f t="shared" si="647"/>
        <v/>
      </c>
    </row>
    <row r="38245" spans="8:8" x14ac:dyDescent="0.3">
      <c r="H38245" t="str">
        <f t="shared" si="647"/>
        <v/>
      </c>
    </row>
    <row r="38246" spans="8:8" x14ac:dyDescent="0.3">
      <c r="H38246" t="str">
        <f t="shared" si="647"/>
        <v/>
      </c>
    </row>
    <row r="38247" spans="8:8" x14ac:dyDescent="0.3">
      <c r="H38247" t="str">
        <f t="shared" si="647"/>
        <v/>
      </c>
    </row>
    <row r="38248" spans="8:8" x14ac:dyDescent="0.3">
      <c r="H38248" t="str">
        <f t="shared" si="647"/>
        <v/>
      </c>
    </row>
    <row r="38249" spans="8:8" x14ac:dyDescent="0.3">
      <c r="H38249" t="str">
        <f t="shared" si="647"/>
        <v/>
      </c>
    </row>
    <row r="38250" spans="8:8" x14ac:dyDescent="0.3">
      <c r="H38250" t="str">
        <f t="shared" si="647"/>
        <v/>
      </c>
    </row>
    <row r="38251" spans="8:8" x14ac:dyDescent="0.3">
      <c r="H38251" t="str">
        <f t="shared" si="647"/>
        <v/>
      </c>
    </row>
    <row r="38252" spans="8:8" x14ac:dyDescent="0.3">
      <c r="H38252" t="str">
        <f t="shared" si="647"/>
        <v/>
      </c>
    </row>
    <row r="38253" spans="8:8" x14ac:dyDescent="0.3">
      <c r="H38253" t="str">
        <f t="shared" si="647"/>
        <v/>
      </c>
    </row>
    <row r="38254" spans="8:8" x14ac:dyDescent="0.3">
      <c r="H38254" t="str">
        <f t="shared" si="647"/>
        <v/>
      </c>
    </row>
    <row r="38255" spans="8:8" x14ac:dyDescent="0.3">
      <c r="H38255" t="str">
        <f t="shared" si="647"/>
        <v/>
      </c>
    </row>
    <row r="38256" spans="8:8" x14ac:dyDescent="0.3">
      <c r="H38256" t="str">
        <f t="shared" si="647"/>
        <v/>
      </c>
    </row>
    <row r="38257" spans="8:8" x14ac:dyDescent="0.3">
      <c r="H38257" t="str">
        <f t="shared" si="647"/>
        <v/>
      </c>
    </row>
    <row r="38258" spans="8:8" x14ac:dyDescent="0.3">
      <c r="H38258" t="str">
        <f t="shared" si="647"/>
        <v/>
      </c>
    </row>
    <row r="38259" spans="8:8" x14ac:dyDescent="0.3">
      <c r="H38259" t="str">
        <f t="shared" si="647"/>
        <v/>
      </c>
    </row>
    <row r="38260" spans="8:8" x14ac:dyDescent="0.3">
      <c r="H38260" t="str">
        <f t="shared" si="647"/>
        <v/>
      </c>
    </row>
    <row r="38261" spans="8:8" x14ac:dyDescent="0.3">
      <c r="H38261" t="str">
        <f t="shared" si="647"/>
        <v/>
      </c>
    </row>
    <row r="38262" spans="8:8" x14ac:dyDescent="0.3">
      <c r="H38262" t="str">
        <f t="shared" si="647"/>
        <v/>
      </c>
    </row>
    <row r="38263" spans="8:8" x14ac:dyDescent="0.3">
      <c r="H38263" t="str">
        <f t="shared" si="647"/>
        <v/>
      </c>
    </row>
    <row r="38264" spans="8:8" x14ac:dyDescent="0.3">
      <c r="H38264" t="str">
        <f t="shared" si="647"/>
        <v/>
      </c>
    </row>
    <row r="38265" spans="8:8" x14ac:dyDescent="0.3">
      <c r="H38265" t="str">
        <f t="shared" si="647"/>
        <v/>
      </c>
    </row>
    <row r="38266" spans="8:8" x14ac:dyDescent="0.3">
      <c r="H38266" t="str">
        <f t="shared" si="647"/>
        <v/>
      </c>
    </row>
    <row r="38267" spans="8:8" x14ac:dyDescent="0.3">
      <c r="H38267" t="str">
        <f t="shared" si="647"/>
        <v/>
      </c>
    </row>
    <row r="38268" spans="8:8" x14ac:dyDescent="0.3">
      <c r="H38268" t="str">
        <f t="shared" si="647"/>
        <v/>
      </c>
    </row>
    <row r="38269" spans="8:8" x14ac:dyDescent="0.3">
      <c r="H38269" t="str">
        <f t="shared" si="647"/>
        <v/>
      </c>
    </row>
    <row r="38270" spans="8:8" x14ac:dyDescent="0.3">
      <c r="H38270" t="str">
        <f t="shared" si="647"/>
        <v/>
      </c>
    </row>
    <row r="38271" spans="8:8" x14ac:dyDescent="0.3">
      <c r="H38271" t="str">
        <f t="shared" si="647"/>
        <v/>
      </c>
    </row>
    <row r="38272" spans="8:8" x14ac:dyDescent="0.3">
      <c r="H38272" t="str">
        <f t="shared" si="647"/>
        <v/>
      </c>
    </row>
    <row r="38273" spans="8:8" x14ac:dyDescent="0.3">
      <c r="H38273" t="str">
        <f t="shared" si="647"/>
        <v/>
      </c>
    </row>
    <row r="38274" spans="8:8" x14ac:dyDescent="0.3">
      <c r="H38274" t="str">
        <f t="shared" si="647"/>
        <v/>
      </c>
    </row>
    <row r="38275" spans="8:8" x14ac:dyDescent="0.3">
      <c r="H38275" t="str">
        <f t="shared" si="647"/>
        <v/>
      </c>
    </row>
    <row r="38276" spans="8:8" x14ac:dyDescent="0.3">
      <c r="H38276" t="str">
        <f t="shared" si="647"/>
        <v/>
      </c>
    </row>
    <row r="38277" spans="8:8" x14ac:dyDescent="0.3">
      <c r="H38277" t="str">
        <f t="shared" si="647"/>
        <v/>
      </c>
    </row>
    <row r="38278" spans="8:8" x14ac:dyDescent="0.3">
      <c r="H38278" t="str">
        <f t="shared" si="647"/>
        <v/>
      </c>
    </row>
    <row r="38279" spans="8:8" x14ac:dyDescent="0.3">
      <c r="H38279" t="str">
        <f t="shared" si="647"/>
        <v/>
      </c>
    </row>
    <row r="38280" spans="8:8" x14ac:dyDescent="0.3">
      <c r="H38280" t="str">
        <f t="shared" si="647"/>
        <v/>
      </c>
    </row>
    <row r="38281" spans="8:8" x14ac:dyDescent="0.3">
      <c r="H38281" t="str">
        <f t="shared" si="647"/>
        <v/>
      </c>
    </row>
    <row r="38282" spans="8:8" x14ac:dyDescent="0.3">
      <c r="H38282" t="str">
        <f t="shared" si="647"/>
        <v/>
      </c>
    </row>
    <row r="38283" spans="8:8" x14ac:dyDescent="0.3">
      <c r="H38283" t="str">
        <f t="shared" si="647"/>
        <v/>
      </c>
    </row>
    <row r="38284" spans="8:8" x14ac:dyDescent="0.3">
      <c r="H38284" t="str">
        <f t="shared" si="647"/>
        <v/>
      </c>
    </row>
    <row r="38285" spans="8:8" x14ac:dyDescent="0.3">
      <c r="H38285" t="str">
        <f t="shared" si="647"/>
        <v/>
      </c>
    </row>
    <row r="38286" spans="8:8" x14ac:dyDescent="0.3">
      <c r="H38286" t="str">
        <f t="shared" si="647"/>
        <v/>
      </c>
    </row>
    <row r="38287" spans="8:8" x14ac:dyDescent="0.3">
      <c r="H38287" t="str">
        <f t="shared" si="647"/>
        <v/>
      </c>
    </row>
    <row r="38288" spans="8:8" x14ac:dyDescent="0.3">
      <c r="H38288" t="str">
        <f t="shared" si="647"/>
        <v/>
      </c>
    </row>
    <row r="38289" spans="8:8" x14ac:dyDescent="0.3">
      <c r="H38289" t="str">
        <f t="shared" si="647"/>
        <v/>
      </c>
    </row>
    <row r="38290" spans="8:8" x14ac:dyDescent="0.3">
      <c r="H38290" t="str">
        <f t="shared" si="647"/>
        <v/>
      </c>
    </row>
    <row r="38291" spans="8:8" x14ac:dyDescent="0.3">
      <c r="H38291" t="str">
        <f t="shared" si="647"/>
        <v/>
      </c>
    </row>
    <row r="38292" spans="8:8" x14ac:dyDescent="0.3">
      <c r="H38292" t="str">
        <f t="shared" si="647"/>
        <v/>
      </c>
    </row>
    <row r="38293" spans="8:8" x14ac:dyDescent="0.3">
      <c r="H38293" t="str">
        <f t="shared" si="647"/>
        <v/>
      </c>
    </row>
    <row r="38294" spans="8:8" x14ac:dyDescent="0.3">
      <c r="H38294" t="str">
        <f t="shared" si="647"/>
        <v/>
      </c>
    </row>
    <row r="38295" spans="8:8" x14ac:dyDescent="0.3">
      <c r="H38295" t="str">
        <f t="shared" ref="H38295:H38358" si="648">IF(B38295="","",$C$12)</f>
        <v/>
      </c>
    </row>
    <row r="38296" spans="8:8" x14ac:dyDescent="0.3">
      <c r="H38296" t="str">
        <f t="shared" si="648"/>
        <v/>
      </c>
    </row>
    <row r="38297" spans="8:8" x14ac:dyDescent="0.3">
      <c r="H38297" t="str">
        <f t="shared" si="648"/>
        <v/>
      </c>
    </row>
    <row r="38298" spans="8:8" x14ac:dyDescent="0.3">
      <c r="H38298" t="str">
        <f t="shared" si="648"/>
        <v/>
      </c>
    </row>
    <row r="38299" spans="8:8" x14ac:dyDescent="0.3">
      <c r="H38299" t="str">
        <f t="shared" si="648"/>
        <v/>
      </c>
    </row>
    <row r="38300" spans="8:8" x14ac:dyDescent="0.3">
      <c r="H38300" t="str">
        <f t="shared" si="648"/>
        <v/>
      </c>
    </row>
    <row r="38301" spans="8:8" x14ac:dyDescent="0.3">
      <c r="H38301" t="str">
        <f t="shared" si="648"/>
        <v/>
      </c>
    </row>
    <row r="38302" spans="8:8" x14ac:dyDescent="0.3">
      <c r="H38302" t="str">
        <f t="shared" si="648"/>
        <v/>
      </c>
    </row>
    <row r="38303" spans="8:8" x14ac:dyDescent="0.3">
      <c r="H38303" t="str">
        <f t="shared" si="648"/>
        <v/>
      </c>
    </row>
    <row r="38304" spans="8:8" x14ac:dyDescent="0.3">
      <c r="H38304" t="str">
        <f t="shared" si="648"/>
        <v/>
      </c>
    </row>
    <row r="38305" spans="8:8" x14ac:dyDescent="0.3">
      <c r="H38305" t="str">
        <f t="shared" si="648"/>
        <v/>
      </c>
    </row>
    <row r="38306" spans="8:8" x14ac:dyDescent="0.3">
      <c r="H38306" t="str">
        <f t="shared" si="648"/>
        <v/>
      </c>
    </row>
    <row r="38307" spans="8:8" x14ac:dyDescent="0.3">
      <c r="H38307" t="str">
        <f t="shared" si="648"/>
        <v/>
      </c>
    </row>
    <row r="38308" spans="8:8" x14ac:dyDescent="0.3">
      <c r="H38308" t="str">
        <f t="shared" si="648"/>
        <v/>
      </c>
    </row>
    <row r="38309" spans="8:8" x14ac:dyDescent="0.3">
      <c r="H38309" t="str">
        <f t="shared" si="648"/>
        <v/>
      </c>
    </row>
    <row r="38310" spans="8:8" x14ac:dyDescent="0.3">
      <c r="H38310" t="str">
        <f t="shared" si="648"/>
        <v/>
      </c>
    </row>
    <row r="38311" spans="8:8" x14ac:dyDescent="0.3">
      <c r="H38311" t="str">
        <f t="shared" si="648"/>
        <v/>
      </c>
    </row>
    <row r="38312" spans="8:8" x14ac:dyDescent="0.3">
      <c r="H38312" t="str">
        <f t="shared" si="648"/>
        <v/>
      </c>
    </row>
    <row r="38313" spans="8:8" x14ac:dyDescent="0.3">
      <c r="H38313" t="str">
        <f t="shared" si="648"/>
        <v/>
      </c>
    </row>
    <row r="38314" spans="8:8" x14ac:dyDescent="0.3">
      <c r="H38314" t="str">
        <f t="shared" si="648"/>
        <v/>
      </c>
    </row>
    <row r="38315" spans="8:8" x14ac:dyDescent="0.3">
      <c r="H38315" t="str">
        <f t="shared" si="648"/>
        <v/>
      </c>
    </row>
    <row r="38316" spans="8:8" x14ac:dyDescent="0.3">
      <c r="H38316" t="str">
        <f t="shared" si="648"/>
        <v/>
      </c>
    </row>
    <row r="38317" spans="8:8" x14ac:dyDescent="0.3">
      <c r="H38317" t="str">
        <f t="shared" si="648"/>
        <v/>
      </c>
    </row>
    <row r="38318" spans="8:8" x14ac:dyDescent="0.3">
      <c r="H38318" t="str">
        <f t="shared" si="648"/>
        <v/>
      </c>
    </row>
    <row r="38319" spans="8:8" x14ac:dyDescent="0.3">
      <c r="H38319" t="str">
        <f t="shared" si="648"/>
        <v/>
      </c>
    </row>
    <row r="38320" spans="8:8" x14ac:dyDescent="0.3">
      <c r="H38320" t="str">
        <f t="shared" si="648"/>
        <v/>
      </c>
    </row>
    <row r="38321" spans="8:8" x14ac:dyDescent="0.3">
      <c r="H38321" t="str">
        <f t="shared" si="648"/>
        <v/>
      </c>
    </row>
    <row r="38322" spans="8:8" x14ac:dyDescent="0.3">
      <c r="H38322" t="str">
        <f t="shared" si="648"/>
        <v/>
      </c>
    </row>
    <row r="38323" spans="8:8" x14ac:dyDescent="0.3">
      <c r="H38323" t="str">
        <f t="shared" si="648"/>
        <v/>
      </c>
    </row>
    <row r="38324" spans="8:8" x14ac:dyDescent="0.3">
      <c r="H38324" t="str">
        <f t="shared" si="648"/>
        <v/>
      </c>
    </row>
    <row r="38325" spans="8:8" x14ac:dyDescent="0.3">
      <c r="H38325" t="str">
        <f t="shared" si="648"/>
        <v/>
      </c>
    </row>
    <row r="38326" spans="8:8" x14ac:dyDescent="0.3">
      <c r="H38326" t="str">
        <f t="shared" si="648"/>
        <v/>
      </c>
    </row>
    <row r="38327" spans="8:8" x14ac:dyDescent="0.3">
      <c r="H38327" t="str">
        <f t="shared" si="648"/>
        <v/>
      </c>
    </row>
    <row r="38328" spans="8:8" x14ac:dyDescent="0.3">
      <c r="H38328" t="str">
        <f t="shared" si="648"/>
        <v/>
      </c>
    </row>
    <row r="38329" spans="8:8" x14ac:dyDescent="0.3">
      <c r="H38329" t="str">
        <f t="shared" si="648"/>
        <v/>
      </c>
    </row>
    <row r="38330" spans="8:8" x14ac:dyDescent="0.3">
      <c r="H38330" t="str">
        <f t="shared" si="648"/>
        <v/>
      </c>
    </row>
    <row r="38331" spans="8:8" x14ac:dyDescent="0.3">
      <c r="H38331" t="str">
        <f t="shared" si="648"/>
        <v/>
      </c>
    </row>
    <row r="38332" spans="8:8" x14ac:dyDescent="0.3">
      <c r="H38332" t="str">
        <f t="shared" si="648"/>
        <v/>
      </c>
    </row>
    <row r="38333" spans="8:8" x14ac:dyDescent="0.3">
      <c r="H38333" t="str">
        <f t="shared" si="648"/>
        <v/>
      </c>
    </row>
    <row r="38334" spans="8:8" x14ac:dyDescent="0.3">
      <c r="H38334" t="str">
        <f t="shared" si="648"/>
        <v/>
      </c>
    </row>
    <row r="38335" spans="8:8" x14ac:dyDescent="0.3">
      <c r="H38335" t="str">
        <f t="shared" si="648"/>
        <v/>
      </c>
    </row>
    <row r="38336" spans="8:8" x14ac:dyDescent="0.3">
      <c r="H38336" t="str">
        <f t="shared" si="648"/>
        <v/>
      </c>
    </row>
    <row r="38337" spans="8:8" x14ac:dyDescent="0.3">
      <c r="H38337" t="str">
        <f t="shared" si="648"/>
        <v/>
      </c>
    </row>
    <row r="38338" spans="8:8" x14ac:dyDescent="0.3">
      <c r="H38338" t="str">
        <f t="shared" si="648"/>
        <v/>
      </c>
    </row>
    <row r="38339" spans="8:8" x14ac:dyDescent="0.3">
      <c r="H38339" t="str">
        <f t="shared" si="648"/>
        <v/>
      </c>
    </row>
    <row r="38340" spans="8:8" x14ac:dyDescent="0.3">
      <c r="H38340" t="str">
        <f t="shared" si="648"/>
        <v/>
      </c>
    </row>
    <row r="38341" spans="8:8" x14ac:dyDescent="0.3">
      <c r="H38341" t="str">
        <f t="shared" si="648"/>
        <v/>
      </c>
    </row>
    <row r="38342" spans="8:8" x14ac:dyDescent="0.3">
      <c r="H38342" t="str">
        <f t="shared" si="648"/>
        <v/>
      </c>
    </row>
    <row r="38343" spans="8:8" x14ac:dyDescent="0.3">
      <c r="H38343" t="str">
        <f t="shared" si="648"/>
        <v/>
      </c>
    </row>
    <row r="38344" spans="8:8" x14ac:dyDescent="0.3">
      <c r="H38344" t="str">
        <f t="shared" si="648"/>
        <v/>
      </c>
    </row>
    <row r="38345" spans="8:8" x14ac:dyDescent="0.3">
      <c r="H38345" t="str">
        <f t="shared" si="648"/>
        <v/>
      </c>
    </row>
    <row r="38346" spans="8:8" x14ac:dyDescent="0.3">
      <c r="H38346" t="str">
        <f t="shared" si="648"/>
        <v/>
      </c>
    </row>
    <row r="38347" spans="8:8" x14ac:dyDescent="0.3">
      <c r="H38347" t="str">
        <f t="shared" si="648"/>
        <v/>
      </c>
    </row>
    <row r="38348" spans="8:8" x14ac:dyDescent="0.3">
      <c r="H38348" t="str">
        <f t="shared" si="648"/>
        <v/>
      </c>
    </row>
    <row r="38349" spans="8:8" x14ac:dyDescent="0.3">
      <c r="H38349" t="str">
        <f t="shared" si="648"/>
        <v/>
      </c>
    </row>
    <row r="38350" spans="8:8" x14ac:dyDescent="0.3">
      <c r="H38350" t="str">
        <f t="shared" si="648"/>
        <v/>
      </c>
    </row>
    <row r="38351" spans="8:8" x14ac:dyDescent="0.3">
      <c r="H38351" t="str">
        <f t="shared" si="648"/>
        <v/>
      </c>
    </row>
    <row r="38352" spans="8:8" x14ac:dyDescent="0.3">
      <c r="H38352" t="str">
        <f t="shared" si="648"/>
        <v/>
      </c>
    </row>
    <row r="38353" spans="8:8" x14ac:dyDescent="0.3">
      <c r="H38353" t="str">
        <f t="shared" si="648"/>
        <v/>
      </c>
    </row>
    <row r="38354" spans="8:8" x14ac:dyDescent="0.3">
      <c r="H38354" t="str">
        <f t="shared" si="648"/>
        <v/>
      </c>
    </row>
    <row r="38355" spans="8:8" x14ac:dyDescent="0.3">
      <c r="H38355" t="str">
        <f t="shared" si="648"/>
        <v/>
      </c>
    </row>
    <row r="38356" spans="8:8" x14ac:dyDescent="0.3">
      <c r="H38356" t="str">
        <f t="shared" si="648"/>
        <v/>
      </c>
    </row>
    <row r="38357" spans="8:8" x14ac:dyDescent="0.3">
      <c r="H38357" t="str">
        <f t="shared" si="648"/>
        <v/>
      </c>
    </row>
    <row r="38358" spans="8:8" x14ac:dyDescent="0.3">
      <c r="H38358" t="str">
        <f t="shared" si="648"/>
        <v/>
      </c>
    </row>
    <row r="38359" spans="8:8" x14ac:dyDescent="0.3">
      <c r="H38359" t="str">
        <f t="shared" ref="H38359:H38422" si="649">IF(B38359="","",$C$12)</f>
        <v/>
      </c>
    </row>
    <row r="38360" spans="8:8" x14ac:dyDescent="0.3">
      <c r="H38360" t="str">
        <f t="shared" si="649"/>
        <v/>
      </c>
    </row>
    <row r="38361" spans="8:8" x14ac:dyDescent="0.3">
      <c r="H38361" t="str">
        <f t="shared" si="649"/>
        <v/>
      </c>
    </row>
    <row r="38362" spans="8:8" x14ac:dyDescent="0.3">
      <c r="H38362" t="str">
        <f t="shared" si="649"/>
        <v/>
      </c>
    </row>
    <row r="38363" spans="8:8" x14ac:dyDescent="0.3">
      <c r="H38363" t="str">
        <f t="shared" si="649"/>
        <v/>
      </c>
    </row>
    <row r="38364" spans="8:8" x14ac:dyDescent="0.3">
      <c r="H38364" t="str">
        <f t="shared" si="649"/>
        <v/>
      </c>
    </row>
    <row r="38365" spans="8:8" x14ac:dyDescent="0.3">
      <c r="H38365" t="str">
        <f t="shared" si="649"/>
        <v/>
      </c>
    </row>
    <row r="38366" spans="8:8" x14ac:dyDescent="0.3">
      <c r="H38366" t="str">
        <f t="shared" si="649"/>
        <v/>
      </c>
    </row>
    <row r="38367" spans="8:8" x14ac:dyDescent="0.3">
      <c r="H38367" t="str">
        <f t="shared" si="649"/>
        <v/>
      </c>
    </row>
    <row r="38368" spans="8:8" x14ac:dyDescent="0.3">
      <c r="H38368" t="str">
        <f t="shared" si="649"/>
        <v/>
      </c>
    </row>
    <row r="38369" spans="8:8" x14ac:dyDescent="0.3">
      <c r="H38369" t="str">
        <f t="shared" si="649"/>
        <v/>
      </c>
    </row>
    <row r="38370" spans="8:8" x14ac:dyDescent="0.3">
      <c r="H38370" t="str">
        <f t="shared" si="649"/>
        <v/>
      </c>
    </row>
    <row r="38371" spans="8:8" x14ac:dyDescent="0.3">
      <c r="H38371" t="str">
        <f t="shared" si="649"/>
        <v/>
      </c>
    </row>
    <row r="38372" spans="8:8" x14ac:dyDescent="0.3">
      <c r="H38372" t="str">
        <f t="shared" si="649"/>
        <v/>
      </c>
    </row>
    <row r="38373" spans="8:8" x14ac:dyDescent="0.3">
      <c r="H38373" t="str">
        <f t="shared" si="649"/>
        <v/>
      </c>
    </row>
    <row r="38374" spans="8:8" x14ac:dyDescent="0.3">
      <c r="H38374" t="str">
        <f t="shared" si="649"/>
        <v/>
      </c>
    </row>
    <row r="38375" spans="8:8" x14ac:dyDescent="0.3">
      <c r="H38375" t="str">
        <f t="shared" si="649"/>
        <v/>
      </c>
    </row>
    <row r="38376" spans="8:8" x14ac:dyDescent="0.3">
      <c r="H38376" t="str">
        <f t="shared" si="649"/>
        <v/>
      </c>
    </row>
    <row r="38377" spans="8:8" x14ac:dyDescent="0.3">
      <c r="H38377" t="str">
        <f t="shared" si="649"/>
        <v/>
      </c>
    </row>
    <row r="38378" spans="8:8" x14ac:dyDescent="0.3">
      <c r="H38378" t="str">
        <f t="shared" si="649"/>
        <v/>
      </c>
    </row>
    <row r="38379" spans="8:8" x14ac:dyDescent="0.3">
      <c r="H38379" t="str">
        <f t="shared" si="649"/>
        <v/>
      </c>
    </row>
    <row r="38380" spans="8:8" x14ac:dyDescent="0.3">
      <c r="H38380" t="str">
        <f t="shared" si="649"/>
        <v/>
      </c>
    </row>
    <row r="38381" spans="8:8" x14ac:dyDescent="0.3">
      <c r="H38381" t="str">
        <f t="shared" si="649"/>
        <v/>
      </c>
    </row>
    <row r="38382" spans="8:8" x14ac:dyDescent="0.3">
      <c r="H38382" t="str">
        <f t="shared" si="649"/>
        <v/>
      </c>
    </row>
    <row r="38383" spans="8:8" x14ac:dyDescent="0.3">
      <c r="H38383" t="str">
        <f t="shared" si="649"/>
        <v/>
      </c>
    </row>
    <row r="38384" spans="8:8" x14ac:dyDescent="0.3">
      <c r="H38384" t="str">
        <f t="shared" si="649"/>
        <v/>
      </c>
    </row>
    <row r="38385" spans="8:8" x14ac:dyDescent="0.3">
      <c r="H38385" t="str">
        <f t="shared" si="649"/>
        <v/>
      </c>
    </row>
    <row r="38386" spans="8:8" x14ac:dyDescent="0.3">
      <c r="H38386" t="str">
        <f t="shared" si="649"/>
        <v/>
      </c>
    </row>
    <row r="38387" spans="8:8" x14ac:dyDescent="0.3">
      <c r="H38387" t="str">
        <f t="shared" si="649"/>
        <v/>
      </c>
    </row>
    <row r="38388" spans="8:8" x14ac:dyDescent="0.3">
      <c r="H38388" t="str">
        <f t="shared" si="649"/>
        <v/>
      </c>
    </row>
    <row r="38389" spans="8:8" x14ac:dyDescent="0.3">
      <c r="H38389" t="str">
        <f t="shared" si="649"/>
        <v/>
      </c>
    </row>
    <row r="38390" spans="8:8" x14ac:dyDescent="0.3">
      <c r="H38390" t="str">
        <f t="shared" si="649"/>
        <v/>
      </c>
    </row>
    <row r="38391" spans="8:8" x14ac:dyDescent="0.3">
      <c r="H38391" t="str">
        <f t="shared" si="649"/>
        <v/>
      </c>
    </row>
    <row r="38392" spans="8:8" x14ac:dyDescent="0.3">
      <c r="H38392" t="str">
        <f t="shared" si="649"/>
        <v/>
      </c>
    </row>
    <row r="38393" spans="8:8" x14ac:dyDescent="0.3">
      <c r="H38393" t="str">
        <f t="shared" si="649"/>
        <v/>
      </c>
    </row>
    <row r="38394" spans="8:8" x14ac:dyDescent="0.3">
      <c r="H38394" t="str">
        <f t="shared" si="649"/>
        <v/>
      </c>
    </row>
    <row r="38395" spans="8:8" x14ac:dyDescent="0.3">
      <c r="H38395" t="str">
        <f t="shared" si="649"/>
        <v/>
      </c>
    </row>
    <row r="38396" spans="8:8" x14ac:dyDescent="0.3">
      <c r="H38396" t="str">
        <f t="shared" si="649"/>
        <v/>
      </c>
    </row>
    <row r="38397" spans="8:8" x14ac:dyDescent="0.3">
      <c r="H38397" t="str">
        <f t="shared" si="649"/>
        <v/>
      </c>
    </row>
    <row r="38398" spans="8:8" x14ac:dyDescent="0.3">
      <c r="H38398" t="str">
        <f t="shared" si="649"/>
        <v/>
      </c>
    </row>
    <row r="38399" spans="8:8" x14ac:dyDescent="0.3">
      <c r="H38399" t="str">
        <f t="shared" si="649"/>
        <v/>
      </c>
    </row>
    <row r="38400" spans="8:8" x14ac:dyDescent="0.3">
      <c r="H38400" t="str">
        <f t="shared" si="649"/>
        <v/>
      </c>
    </row>
    <row r="38401" spans="8:8" x14ac:dyDescent="0.3">
      <c r="H38401" t="str">
        <f t="shared" si="649"/>
        <v/>
      </c>
    </row>
    <row r="38402" spans="8:8" x14ac:dyDescent="0.3">
      <c r="H38402" t="str">
        <f t="shared" si="649"/>
        <v/>
      </c>
    </row>
    <row r="38403" spans="8:8" x14ac:dyDescent="0.3">
      <c r="H38403" t="str">
        <f t="shared" si="649"/>
        <v/>
      </c>
    </row>
    <row r="38404" spans="8:8" x14ac:dyDescent="0.3">
      <c r="H38404" t="str">
        <f t="shared" si="649"/>
        <v/>
      </c>
    </row>
    <row r="38405" spans="8:8" x14ac:dyDescent="0.3">
      <c r="H38405" t="str">
        <f t="shared" si="649"/>
        <v/>
      </c>
    </row>
    <row r="38406" spans="8:8" x14ac:dyDescent="0.3">
      <c r="H38406" t="str">
        <f t="shared" si="649"/>
        <v/>
      </c>
    </row>
    <row r="38407" spans="8:8" x14ac:dyDescent="0.3">
      <c r="H38407" t="str">
        <f t="shared" si="649"/>
        <v/>
      </c>
    </row>
    <row r="38408" spans="8:8" x14ac:dyDescent="0.3">
      <c r="H38408" t="str">
        <f t="shared" si="649"/>
        <v/>
      </c>
    </row>
    <row r="38409" spans="8:8" x14ac:dyDescent="0.3">
      <c r="H38409" t="str">
        <f t="shared" si="649"/>
        <v/>
      </c>
    </row>
    <row r="38410" spans="8:8" x14ac:dyDescent="0.3">
      <c r="H38410" t="str">
        <f t="shared" si="649"/>
        <v/>
      </c>
    </row>
    <row r="38411" spans="8:8" x14ac:dyDescent="0.3">
      <c r="H38411" t="str">
        <f t="shared" si="649"/>
        <v/>
      </c>
    </row>
    <row r="38412" spans="8:8" x14ac:dyDescent="0.3">
      <c r="H38412" t="str">
        <f t="shared" si="649"/>
        <v/>
      </c>
    </row>
    <row r="38413" spans="8:8" x14ac:dyDescent="0.3">
      <c r="H38413" t="str">
        <f t="shared" si="649"/>
        <v/>
      </c>
    </row>
    <row r="38414" spans="8:8" x14ac:dyDescent="0.3">
      <c r="H38414" t="str">
        <f t="shared" si="649"/>
        <v/>
      </c>
    </row>
    <row r="38415" spans="8:8" x14ac:dyDescent="0.3">
      <c r="H38415" t="str">
        <f t="shared" si="649"/>
        <v/>
      </c>
    </row>
    <row r="38416" spans="8:8" x14ac:dyDescent="0.3">
      <c r="H38416" t="str">
        <f t="shared" si="649"/>
        <v/>
      </c>
    </row>
    <row r="38417" spans="8:8" x14ac:dyDescent="0.3">
      <c r="H38417" t="str">
        <f t="shared" si="649"/>
        <v/>
      </c>
    </row>
    <row r="38418" spans="8:8" x14ac:dyDescent="0.3">
      <c r="H38418" t="str">
        <f t="shared" si="649"/>
        <v/>
      </c>
    </row>
    <row r="38419" spans="8:8" x14ac:dyDescent="0.3">
      <c r="H38419" t="str">
        <f t="shared" si="649"/>
        <v/>
      </c>
    </row>
    <row r="38420" spans="8:8" x14ac:dyDescent="0.3">
      <c r="H38420" t="str">
        <f t="shared" si="649"/>
        <v/>
      </c>
    </row>
    <row r="38421" spans="8:8" x14ac:dyDescent="0.3">
      <c r="H38421" t="str">
        <f t="shared" si="649"/>
        <v/>
      </c>
    </row>
    <row r="38422" spans="8:8" x14ac:dyDescent="0.3">
      <c r="H38422" t="str">
        <f t="shared" si="649"/>
        <v/>
      </c>
    </row>
    <row r="38423" spans="8:8" x14ac:dyDescent="0.3">
      <c r="H38423" t="str">
        <f t="shared" ref="H38423:H38486" si="650">IF(B38423="","",$C$12)</f>
        <v/>
      </c>
    </row>
    <row r="38424" spans="8:8" x14ac:dyDescent="0.3">
      <c r="H38424" t="str">
        <f t="shared" si="650"/>
        <v/>
      </c>
    </row>
    <row r="38425" spans="8:8" x14ac:dyDescent="0.3">
      <c r="H38425" t="str">
        <f t="shared" si="650"/>
        <v/>
      </c>
    </row>
    <row r="38426" spans="8:8" x14ac:dyDescent="0.3">
      <c r="H38426" t="str">
        <f t="shared" si="650"/>
        <v/>
      </c>
    </row>
    <row r="38427" spans="8:8" x14ac:dyDescent="0.3">
      <c r="H38427" t="str">
        <f t="shared" si="650"/>
        <v/>
      </c>
    </row>
    <row r="38428" spans="8:8" x14ac:dyDescent="0.3">
      <c r="H38428" t="str">
        <f t="shared" si="650"/>
        <v/>
      </c>
    </row>
    <row r="38429" spans="8:8" x14ac:dyDescent="0.3">
      <c r="H38429" t="str">
        <f t="shared" si="650"/>
        <v/>
      </c>
    </row>
    <row r="38430" spans="8:8" x14ac:dyDescent="0.3">
      <c r="H38430" t="str">
        <f t="shared" si="650"/>
        <v/>
      </c>
    </row>
    <row r="38431" spans="8:8" x14ac:dyDescent="0.3">
      <c r="H38431" t="str">
        <f t="shared" si="650"/>
        <v/>
      </c>
    </row>
    <row r="38432" spans="8:8" x14ac:dyDescent="0.3">
      <c r="H38432" t="str">
        <f t="shared" si="650"/>
        <v/>
      </c>
    </row>
    <row r="38433" spans="8:8" x14ac:dyDescent="0.3">
      <c r="H38433" t="str">
        <f t="shared" si="650"/>
        <v/>
      </c>
    </row>
    <row r="38434" spans="8:8" x14ac:dyDescent="0.3">
      <c r="H38434" t="str">
        <f t="shared" si="650"/>
        <v/>
      </c>
    </row>
    <row r="38435" spans="8:8" x14ac:dyDescent="0.3">
      <c r="H38435" t="str">
        <f t="shared" si="650"/>
        <v/>
      </c>
    </row>
    <row r="38436" spans="8:8" x14ac:dyDescent="0.3">
      <c r="H38436" t="str">
        <f t="shared" si="650"/>
        <v/>
      </c>
    </row>
    <row r="38437" spans="8:8" x14ac:dyDescent="0.3">
      <c r="H38437" t="str">
        <f t="shared" si="650"/>
        <v/>
      </c>
    </row>
    <row r="38438" spans="8:8" x14ac:dyDescent="0.3">
      <c r="H38438" t="str">
        <f t="shared" si="650"/>
        <v/>
      </c>
    </row>
    <row r="38439" spans="8:8" x14ac:dyDescent="0.3">
      <c r="H38439" t="str">
        <f t="shared" si="650"/>
        <v/>
      </c>
    </row>
    <row r="38440" spans="8:8" x14ac:dyDescent="0.3">
      <c r="H38440" t="str">
        <f t="shared" si="650"/>
        <v/>
      </c>
    </row>
    <row r="38441" spans="8:8" x14ac:dyDescent="0.3">
      <c r="H38441" t="str">
        <f t="shared" si="650"/>
        <v/>
      </c>
    </row>
    <row r="38442" spans="8:8" x14ac:dyDescent="0.3">
      <c r="H38442" t="str">
        <f t="shared" si="650"/>
        <v/>
      </c>
    </row>
    <row r="38443" spans="8:8" x14ac:dyDescent="0.3">
      <c r="H38443" t="str">
        <f t="shared" si="650"/>
        <v/>
      </c>
    </row>
    <row r="38444" spans="8:8" x14ac:dyDescent="0.3">
      <c r="H38444" t="str">
        <f t="shared" si="650"/>
        <v/>
      </c>
    </row>
    <row r="38445" spans="8:8" x14ac:dyDescent="0.3">
      <c r="H38445" t="str">
        <f t="shared" si="650"/>
        <v/>
      </c>
    </row>
    <row r="38446" spans="8:8" x14ac:dyDescent="0.3">
      <c r="H38446" t="str">
        <f t="shared" si="650"/>
        <v/>
      </c>
    </row>
    <row r="38447" spans="8:8" x14ac:dyDescent="0.3">
      <c r="H38447" t="str">
        <f t="shared" si="650"/>
        <v/>
      </c>
    </row>
    <row r="38448" spans="8:8" x14ac:dyDescent="0.3">
      <c r="H38448" t="str">
        <f t="shared" si="650"/>
        <v/>
      </c>
    </row>
    <row r="38449" spans="8:8" x14ac:dyDescent="0.3">
      <c r="H38449" t="str">
        <f t="shared" si="650"/>
        <v/>
      </c>
    </row>
    <row r="38450" spans="8:8" x14ac:dyDescent="0.3">
      <c r="H38450" t="str">
        <f t="shared" si="650"/>
        <v/>
      </c>
    </row>
    <row r="38451" spans="8:8" x14ac:dyDescent="0.3">
      <c r="H38451" t="str">
        <f t="shared" si="650"/>
        <v/>
      </c>
    </row>
    <row r="38452" spans="8:8" x14ac:dyDescent="0.3">
      <c r="H38452" t="str">
        <f t="shared" si="650"/>
        <v/>
      </c>
    </row>
    <row r="38453" spans="8:8" x14ac:dyDescent="0.3">
      <c r="H38453" t="str">
        <f t="shared" si="650"/>
        <v/>
      </c>
    </row>
    <row r="38454" spans="8:8" x14ac:dyDescent="0.3">
      <c r="H38454" t="str">
        <f t="shared" si="650"/>
        <v/>
      </c>
    </row>
    <row r="38455" spans="8:8" x14ac:dyDescent="0.3">
      <c r="H38455" t="str">
        <f t="shared" si="650"/>
        <v/>
      </c>
    </row>
    <row r="38456" spans="8:8" x14ac:dyDescent="0.3">
      <c r="H38456" t="str">
        <f t="shared" si="650"/>
        <v/>
      </c>
    </row>
    <row r="38457" spans="8:8" x14ac:dyDescent="0.3">
      <c r="H38457" t="str">
        <f t="shared" si="650"/>
        <v/>
      </c>
    </row>
    <row r="38458" spans="8:8" x14ac:dyDescent="0.3">
      <c r="H38458" t="str">
        <f t="shared" si="650"/>
        <v/>
      </c>
    </row>
    <row r="38459" spans="8:8" x14ac:dyDescent="0.3">
      <c r="H38459" t="str">
        <f t="shared" si="650"/>
        <v/>
      </c>
    </row>
    <row r="38460" spans="8:8" x14ac:dyDescent="0.3">
      <c r="H38460" t="str">
        <f t="shared" si="650"/>
        <v/>
      </c>
    </row>
    <row r="38461" spans="8:8" x14ac:dyDescent="0.3">
      <c r="H38461" t="str">
        <f t="shared" si="650"/>
        <v/>
      </c>
    </row>
    <row r="38462" spans="8:8" x14ac:dyDescent="0.3">
      <c r="H38462" t="str">
        <f t="shared" si="650"/>
        <v/>
      </c>
    </row>
    <row r="38463" spans="8:8" x14ac:dyDescent="0.3">
      <c r="H38463" t="str">
        <f t="shared" si="650"/>
        <v/>
      </c>
    </row>
    <row r="38464" spans="8:8" x14ac:dyDescent="0.3">
      <c r="H38464" t="str">
        <f t="shared" si="650"/>
        <v/>
      </c>
    </row>
    <row r="38465" spans="8:8" x14ac:dyDescent="0.3">
      <c r="H38465" t="str">
        <f t="shared" si="650"/>
        <v/>
      </c>
    </row>
    <row r="38466" spans="8:8" x14ac:dyDescent="0.3">
      <c r="H38466" t="str">
        <f t="shared" si="650"/>
        <v/>
      </c>
    </row>
    <row r="38467" spans="8:8" x14ac:dyDescent="0.3">
      <c r="H38467" t="str">
        <f t="shared" si="650"/>
        <v/>
      </c>
    </row>
    <row r="38468" spans="8:8" x14ac:dyDescent="0.3">
      <c r="H38468" t="str">
        <f t="shared" si="650"/>
        <v/>
      </c>
    </row>
    <row r="38469" spans="8:8" x14ac:dyDescent="0.3">
      <c r="H38469" t="str">
        <f t="shared" si="650"/>
        <v/>
      </c>
    </row>
    <row r="38470" spans="8:8" x14ac:dyDescent="0.3">
      <c r="H38470" t="str">
        <f t="shared" si="650"/>
        <v/>
      </c>
    </row>
    <row r="38471" spans="8:8" x14ac:dyDescent="0.3">
      <c r="H38471" t="str">
        <f t="shared" si="650"/>
        <v/>
      </c>
    </row>
    <row r="38472" spans="8:8" x14ac:dyDescent="0.3">
      <c r="H38472" t="str">
        <f t="shared" si="650"/>
        <v/>
      </c>
    </row>
    <row r="38473" spans="8:8" x14ac:dyDescent="0.3">
      <c r="H38473" t="str">
        <f t="shared" si="650"/>
        <v/>
      </c>
    </row>
    <row r="38474" spans="8:8" x14ac:dyDescent="0.3">
      <c r="H38474" t="str">
        <f t="shared" si="650"/>
        <v/>
      </c>
    </row>
    <row r="38475" spans="8:8" x14ac:dyDescent="0.3">
      <c r="H38475" t="str">
        <f t="shared" si="650"/>
        <v/>
      </c>
    </row>
    <row r="38476" spans="8:8" x14ac:dyDescent="0.3">
      <c r="H38476" t="str">
        <f t="shared" si="650"/>
        <v/>
      </c>
    </row>
    <row r="38477" spans="8:8" x14ac:dyDescent="0.3">
      <c r="H38477" t="str">
        <f t="shared" si="650"/>
        <v/>
      </c>
    </row>
    <row r="38478" spans="8:8" x14ac:dyDescent="0.3">
      <c r="H38478" t="str">
        <f t="shared" si="650"/>
        <v/>
      </c>
    </row>
    <row r="38479" spans="8:8" x14ac:dyDescent="0.3">
      <c r="H38479" t="str">
        <f t="shared" si="650"/>
        <v/>
      </c>
    </row>
    <row r="38480" spans="8:8" x14ac:dyDescent="0.3">
      <c r="H38480" t="str">
        <f t="shared" si="650"/>
        <v/>
      </c>
    </row>
    <row r="38481" spans="8:8" x14ac:dyDescent="0.3">
      <c r="H38481" t="str">
        <f t="shared" si="650"/>
        <v/>
      </c>
    </row>
    <row r="38482" spans="8:8" x14ac:dyDescent="0.3">
      <c r="H38482" t="str">
        <f t="shared" si="650"/>
        <v/>
      </c>
    </row>
    <row r="38483" spans="8:8" x14ac:dyDescent="0.3">
      <c r="H38483" t="str">
        <f t="shared" si="650"/>
        <v/>
      </c>
    </row>
    <row r="38484" spans="8:8" x14ac:dyDescent="0.3">
      <c r="H38484" t="str">
        <f t="shared" si="650"/>
        <v/>
      </c>
    </row>
    <row r="38485" spans="8:8" x14ac:dyDescent="0.3">
      <c r="H38485" t="str">
        <f t="shared" si="650"/>
        <v/>
      </c>
    </row>
    <row r="38486" spans="8:8" x14ac:dyDescent="0.3">
      <c r="H38486" t="str">
        <f t="shared" si="650"/>
        <v/>
      </c>
    </row>
    <row r="38487" spans="8:8" x14ac:dyDescent="0.3">
      <c r="H38487" t="str">
        <f t="shared" ref="H38487:H38550" si="651">IF(B38487="","",$C$12)</f>
        <v/>
      </c>
    </row>
    <row r="38488" spans="8:8" x14ac:dyDescent="0.3">
      <c r="H38488" t="str">
        <f t="shared" si="651"/>
        <v/>
      </c>
    </row>
    <row r="38489" spans="8:8" x14ac:dyDescent="0.3">
      <c r="H38489" t="str">
        <f t="shared" si="651"/>
        <v/>
      </c>
    </row>
    <row r="38490" spans="8:8" x14ac:dyDescent="0.3">
      <c r="H38490" t="str">
        <f t="shared" si="651"/>
        <v/>
      </c>
    </row>
    <row r="38491" spans="8:8" x14ac:dyDescent="0.3">
      <c r="H38491" t="str">
        <f t="shared" si="651"/>
        <v/>
      </c>
    </row>
    <row r="38492" spans="8:8" x14ac:dyDescent="0.3">
      <c r="H38492" t="str">
        <f t="shared" si="651"/>
        <v/>
      </c>
    </row>
    <row r="38493" spans="8:8" x14ac:dyDescent="0.3">
      <c r="H38493" t="str">
        <f t="shared" si="651"/>
        <v/>
      </c>
    </row>
    <row r="38494" spans="8:8" x14ac:dyDescent="0.3">
      <c r="H38494" t="str">
        <f t="shared" si="651"/>
        <v/>
      </c>
    </row>
    <row r="38495" spans="8:8" x14ac:dyDescent="0.3">
      <c r="H38495" t="str">
        <f t="shared" si="651"/>
        <v/>
      </c>
    </row>
    <row r="38496" spans="8:8" x14ac:dyDescent="0.3">
      <c r="H38496" t="str">
        <f t="shared" si="651"/>
        <v/>
      </c>
    </row>
    <row r="38497" spans="8:8" x14ac:dyDescent="0.3">
      <c r="H38497" t="str">
        <f t="shared" si="651"/>
        <v/>
      </c>
    </row>
    <row r="38498" spans="8:8" x14ac:dyDescent="0.3">
      <c r="H38498" t="str">
        <f t="shared" si="651"/>
        <v/>
      </c>
    </row>
    <row r="38499" spans="8:8" x14ac:dyDescent="0.3">
      <c r="H38499" t="str">
        <f t="shared" si="651"/>
        <v/>
      </c>
    </row>
    <row r="38500" spans="8:8" x14ac:dyDescent="0.3">
      <c r="H38500" t="str">
        <f t="shared" si="651"/>
        <v/>
      </c>
    </row>
    <row r="38501" spans="8:8" x14ac:dyDescent="0.3">
      <c r="H38501" t="str">
        <f t="shared" si="651"/>
        <v/>
      </c>
    </row>
    <row r="38502" spans="8:8" x14ac:dyDescent="0.3">
      <c r="H38502" t="str">
        <f t="shared" si="651"/>
        <v/>
      </c>
    </row>
    <row r="38503" spans="8:8" x14ac:dyDescent="0.3">
      <c r="H38503" t="str">
        <f t="shared" si="651"/>
        <v/>
      </c>
    </row>
    <row r="38504" spans="8:8" x14ac:dyDescent="0.3">
      <c r="H38504" t="str">
        <f t="shared" si="651"/>
        <v/>
      </c>
    </row>
    <row r="38505" spans="8:8" x14ac:dyDescent="0.3">
      <c r="H38505" t="str">
        <f t="shared" si="651"/>
        <v/>
      </c>
    </row>
    <row r="38506" spans="8:8" x14ac:dyDescent="0.3">
      <c r="H38506" t="str">
        <f t="shared" si="651"/>
        <v/>
      </c>
    </row>
    <row r="38507" spans="8:8" x14ac:dyDescent="0.3">
      <c r="H38507" t="str">
        <f t="shared" si="651"/>
        <v/>
      </c>
    </row>
    <row r="38508" spans="8:8" x14ac:dyDescent="0.3">
      <c r="H38508" t="str">
        <f t="shared" si="651"/>
        <v/>
      </c>
    </row>
    <row r="38509" spans="8:8" x14ac:dyDescent="0.3">
      <c r="H38509" t="str">
        <f t="shared" si="651"/>
        <v/>
      </c>
    </row>
    <row r="38510" spans="8:8" x14ac:dyDescent="0.3">
      <c r="H38510" t="str">
        <f t="shared" si="651"/>
        <v/>
      </c>
    </row>
    <row r="38511" spans="8:8" x14ac:dyDescent="0.3">
      <c r="H38511" t="str">
        <f t="shared" si="651"/>
        <v/>
      </c>
    </row>
    <row r="38512" spans="8:8" x14ac:dyDescent="0.3">
      <c r="H38512" t="str">
        <f t="shared" si="651"/>
        <v/>
      </c>
    </row>
    <row r="38513" spans="8:8" x14ac:dyDescent="0.3">
      <c r="H38513" t="str">
        <f t="shared" si="651"/>
        <v/>
      </c>
    </row>
    <row r="38514" spans="8:8" x14ac:dyDescent="0.3">
      <c r="H38514" t="str">
        <f t="shared" si="651"/>
        <v/>
      </c>
    </row>
    <row r="38515" spans="8:8" x14ac:dyDescent="0.3">
      <c r="H38515" t="str">
        <f t="shared" si="651"/>
        <v/>
      </c>
    </row>
    <row r="38516" spans="8:8" x14ac:dyDescent="0.3">
      <c r="H38516" t="str">
        <f t="shared" si="651"/>
        <v/>
      </c>
    </row>
    <row r="38517" spans="8:8" x14ac:dyDescent="0.3">
      <c r="H38517" t="str">
        <f t="shared" si="651"/>
        <v/>
      </c>
    </row>
    <row r="38518" spans="8:8" x14ac:dyDescent="0.3">
      <c r="H38518" t="str">
        <f t="shared" si="651"/>
        <v/>
      </c>
    </row>
    <row r="38519" spans="8:8" x14ac:dyDescent="0.3">
      <c r="H38519" t="str">
        <f t="shared" si="651"/>
        <v/>
      </c>
    </row>
    <row r="38520" spans="8:8" x14ac:dyDescent="0.3">
      <c r="H38520" t="str">
        <f t="shared" si="651"/>
        <v/>
      </c>
    </row>
    <row r="38521" spans="8:8" x14ac:dyDescent="0.3">
      <c r="H38521" t="str">
        <f t="shared" si="651"/>
        <v/>
      </c>
    </row>
    <row r="38522" spans="8:8" x14ac:dyDescent="0.3">
      <c r="H38522" t="str">
        <f t="shared" si="651"/>
        <v/>
      </c>
    </row>
    <row r="38523" spans="8:8" x14ac:dyDescent="0.3">
      <c r="H38523" t="str">
        <f t="shared" si="651"/>
        <v/>
      </c>
    </row>
    <row r="38524" spans="8:8" x14ac:dyDescent="0.3">
      <c r="H38524" t="str">
        <f t="shared" si="651"/>
        <v/>
      </c>
    </row>
    <row r="38525" spans="8:8" x14ac:dyDescent="0.3">
      <c r="H38525" t="str">
        <f t="shared" si="651"/>
        <v/>
      </c>
    </row>
    <row r="38526" spans="8:8" x14ac:dyDescent="0.3">
      <c r="H38526" t="str">
        <f t="shared" si="651"/>
        <v/>
      </c>
    </row>
    <row r="38527" spans="8:8" x14ac:dyDescent="0.3">
      <c r="H38527" t="str">
        <f t="shared" si="651"/>
        <v/>
      </c>
    </row>
    <row r="38528" spans="8:8" x14ac:dyDescent="0.3">
      <c r="H38528" t="str">
        <f t="shared" si="651"/>
        <v/>
      </c>
    </row>
    <row r="38529" spans="8:8" x14ac:dyDescent="0.3">
      <c r="H38529" t="str">
        <f t="shared" si="651"/>
        <v/>
      </c>
    </row>
    <row r="38530" spans="8:8" x14ac:dyDescent="0.3">
      <c r="H38530" t="str">
        <f t="shared" si="651"/>
        <v/>
      </c>
    </row>
    <row r="38531" spans="8:8" x14ac:dyDescent="0.3">
      <c r="H38531" t="str">
        <f t="shared" si="651"/>
        <v/>
      </c>
    </row>
    <row r="38532" spans="8:8" x14ac:dyDescent="0.3">
      <c r="H38532" t="str">
        <f t="shared" si="651"/>
        <v/>
      </c>
    </row>
    <row r="38533" spans="8:8" x14ac:dyDescent="0.3">
      <c r="H38533" t="str">
        <f t="shared" si="651"/>
        <v/>
      </c>
    </row>
    <row r="38534" spans="8:8" x14ac:dyDescent="0.3">
      <c r="H38534" t="str">
        <f t="shared" si="651"/>
        <v/>
      </c>
    </row>
    <row r="38535" spans="8:8" x14ac:dyDescent="0.3">
      <c r="H38535" t="str">
        <f t="shared" si="651"/>
        <v/>
      </c>
    </row>
    <row r="38536" spans="8:8" x14ac:dyDescent="0.3">
      <c r="H38536" t="str">
        <f t="shared" si="651"/>
        <v/>
      </c>
    </row>
    <row r="38537" spans="8:8" x14ac:dyDescent="0.3">
      <c r="H38537" t="str">
        <f t="shared" si="651"/>
        <v/>
      </c>
    </row>
    <row r="38538" spans="8:8" x14ac:dyDescent="0.3">
      <c r="H38538" t="str">
        <f t="shared" si="651"/>
        <v/>
      </c>
    </row>
    <row r="38539" spans="8:8" x14ac:dyDescent="0.3">
      <c r="H38539" t="str">
        <f t="shared" si="651"/>
        <v/>
      </c>
    </row>
    <row r="38540" spans="8:8" x14ac:dyDescent="0.3">
      <c r="H38540" t="str">
        <f t="shared" si="651"/>
        <v/>
      </c>
    </row>
    <row r="38541" spans="8:8" x14ac:dyDescent="0.3">
      <c r="H38541" t="str">
        <f t="shared" si="651"/>
        <v/>
      </c>
    </row>
    <row r="38542" spans="8:8" x14ac:dyDescent="0.3">
      <c r="H38542" t="str">
        <f t="shared" si="651"/>
        <v/>
      </c>
    </row>
    <row r="38543" spans="8:8" x14ac:dyDescent="0.3">
      <c r="H38543" t="str">
        <f t="shared" si="651"/>
        <v/>
      </c>
    </row>
    <row r="38544" spans="8:8" x14ac:dyDescent="0.3">
      <c r="H38544" t="str">
        <f t="shared" si="651"/>
        <v/>
      </c>
    </row>
    <row r="38545" spans="8:8" x14ac:dyDescent="0.3">
      <c r="H38545" t="str">
        <f t="shared" si="651"/>
        <v/>
      </c>
    </row>
    <row r="38546" spans="8:8" x14ac:dyDescent="0.3">
      <c r="H38546" t="str">
        <f t="shared" si="651"/>
        <v/>
      </c>
    </row>
    <row r="38547" spans="8:8" x14ac:dyDescent="0.3">
      <c r="H38547" t="str">
        <f t="shared" si="651"/>
        <v/>
      </c>
    </row>
    <row r="38548" spans="8:8" x14ac:dyDescent="0.3">
      <c r="H38548" t="str">
        <f t="shared" si="651"/>
        <v/>
      </c>
    </row>
    <row r="38549" spans="8:8" x14ac:dyDescent="0.3">
      <c r="H38549" t="str">
        <f t="shared" si="651"/>
        <v/>
      </c>
    </row>
    <row r="38550" spans="8:8" x14ac:dyDescent="0.3">
      <c r="H38550" t="str">
        <f t="shared" si="651"/>
        <v/>
      </c>
    </row>
    <row r="38551" spans="8:8" x14ac:dyDescent="0.3">
      <c r="H38551" t="str">
        <f t="shared" ref="H38551:H38614" si="652">IF(B38551="","",$C$12)</f>
        <v/>
      </c>
    </row>
    <row r="38552" spans="8:8" x14ac:dyDescent="0.3">
      <c r="H38552" t="str">
        <f t="shared" si="652"/>
        <v/>
      </c>
    </row>
    <row r="38553" spans="8:8" x14ac:dyDescent="0.3">
      <c r="H38553" t="str">
        <f t="shared" si="652"/>
        <v/>
      </c>
    </row>
    <row r="38554" spans="8:8" x14ac:dyDescent="0.3">
      <c r="H38554" t="str">
        <f t="shared" si="652"/>
        <v/>
      </c>
    </row>
    <row r="38555" spans="8:8" x14ac:dyDescent="0.3">
      <c r="H38555" t="str">
        <f t="shared" si="652"/>
        <v/>
      </c>
    </row>
    <row r="38556" spans="8:8" x14ac:dyDescent="0.3">
      <c r="H38556" t="str">
        <f t="shared" si="652"/>
        <v/>
      </c>
    </row>
    <row r="38557" spans="8:8" x14ac:dyDescent="0.3">
      <c r="H38557" t="str">
        <f t="shared" si="652"/>
        <v/>
      </c>
    </row>
    <row r="38558" spans="8:8" x14ac:dyDescent="0.3">
      <c r="H38558" t="str">
        <f t="shared" si="652"/>
        <v/>
      </c>
    </row>
    <row r="38559" spans="8:8" x14ac:dyDescent="0.3">
      <c r="H38559" t="str">
        <f t="shared" si="652"/>
        <v/>
      </c>
    </row>
    <row r="38560" spans="8:8" x14ac:dyDescent="0.3">
      <c r="H38560" t="str">
        <f t="shared" si="652"/>
        <v/>
      </c>
    </row>
    <row r="38561" spans="8:8" x14ac:dyDescent="0.3">
      <c r="H38561" t="str">
        <f t="shared" si="652"/>
        <v/>
      </c>
    </row>
    <row r="38562" spans="8:8" x14ac:dyDescent="0.3">
      <c r="H38562" t="str">
        <f t="shared" si="652"/>
        <v/>
      </c>
    </row>
    <row r="38563" spans="8:8" x14ac:dyDescent="0.3">
      <c r="H38563" t="str">
        <f t="shared" si="652"/>
        <v/>
      </c>
    </row>
    <row r="38564" spans="8:8" x14ac:dyDescent="0.3">
      <c r="H38564" t="str">
        <f t="shared" si="652"/>
        <v/>
      </c>
    </row>
    <row r="38565" spans="8:8" x14ac:dyDescent="0.3">
      <c r="H38565" t="str">
        <f t="shared" si="652"/>
        <v/>
      </c>
    </row>
    <row r="38566" spans="8:8" x14ac:dyDescent="0.3">
      <c r="H38566" t="str">
        <f t="shared" si="652"/>
        <v/>
      </c>
    </row>
    <row r="38567" spans="8:8" x14ac:dyDescent="0.3">
      <c r="H38567" t="str">
        <f t="shared" si="652"/>
        <v/>
      </c>
    </row>
    <row r="38568" spans="8:8" x14ac:dyDescent="0.3">
      <c r="H38568" t="str">
        <f t="shared" si="652"/>
        <v/>
      </c>
    </row>
    <row r="38569" spans="8:8" x14ac:dyDescent="0.3">
      <c r="H38569" t="str">
        <f t="shared" si="652"/>
        <v/>
      </c>
    </row>
    <row r="38570" spans="8:8" x14ac:dyDescent="0.3">
      <c r="H38570" t="str">
        <f t="shared" si="652"/>
        <v/>
      </c>
    </row>
    <row r="38571" spans="8:8" x14ac:dyDescent="0.3">
      <c r="H38571" t="str">
        <f t="shared" si="652"/>
        <v/>
      </c>
    </row>
    <row r="38572" spans="8:8" x14ac:dyDescent="0.3">
      <c r="H38572" t="str">
        <f t="shared" si="652"/>
        <v/>
      </c>
    </row>
    <row r="38573" spans="8:8" x14ac:dyDescent="0.3">
      <c r="H38573" t="str">
        <f t="shared" si="652"/>
        <v/>
      </c>
    </row>
    <row r="38574" spans="8:8" x14ac:dyDescent="0.3">
      <c r="H38574" t="str">
        <f t="shared" si="652"/>
        <v/>
      </c>
    </row>
    <row r="38575" spans="8:8" x14ac:dyDescent="0.3">
      <c r="H38575" t="str">
        <f t="shared" si="652"/>
        <v/>
      </c>
    </row>
    <row r="38576" spans="8:8" x14ac:dyDescent="0.3">
      <c r="H38576" t="str">
        <f t="shared" si="652"/>
        <v/>
      </c>
    </row>
    <row r="38577" spans="8:8" x14ac:dyDescent="0.3">
      <c r="H38577" t="str">
        <f t="shared" si="652"/>
        <v/>
      </c>
    </row>
    <row r="38578" spans="8:8" x14ac:dyDescent="0.3">
      <c r="H38578" t="str">
        <f t="shared" si="652"/>
        <v/>
      </c>
    </row>
    <row r="38579" spans="8:8" x14ac:dyDescent="0.3">
      <c r="H38579" t="str">
        <f t="shared" si="652"/>
        <v/>
      </c>
    </row>
    <row r="38580" spans="8:8" x14ac:dyDescent="0.3">
      <c r="H38580" t="str">
        <f t="shared" si="652"/>
        <v/>
      </c>
    </row>
    <row r="38581" spans="8:8" x14ac:dyDescent="0.3">
      <c r="H38581" t="str">
        <f t="shared" si="652"/>
        <v/>
      </c>
    </row>
    <row r="38582" spans="8:8" x14ac:dyDescent="0.3">
      <c r="H38582" t="str">
        <f t="shared" si="652"/>
        <v/>
      </c>
    </row>
    <row r="38583" spans="8:8" x14ac:dyDescent="0.3">
      <c r="H38583" t="str">
        <f t="shared" si="652"/>
        <v/>
      </c>
    </row>
    <row r="38584" spans="8:8" x14ac:dyDescent="0.3">
      <c r="H38584" t="str">
        <f t="shared" si="652"/>
        <v/>
      </c>
    </row>
    <row r="38585" spans="8:8" x14ac:dyDescent="0.3">
      <c r="H38585" t="str">
        <f t="shared" si="652"/>
        <v/>
      </c>
    </row>
    <row r="38586" spans="8:8" x14ac:dyDescent="0.3">
      <c r="H38586" t="str">
        <f t="shared" si="652"/>
        <v/>
      </c>
    </row>
    <row r="38587" spans="8:8" x14ac:dyDescent="0.3">
      <c r="H38587" t="str">
        <f t="shared" si="652"/>
        <v/>
      </c>
    </row>
    <row r="38588" spans="8:8" x14ac:dyDescent="0.3">
      <c r="H38588" t="str">
        <f t="shared" si="652"/>
        <v/>
      </c>
    </row>
    <row r="38589" spans="8:8" x14ac:dyDescent="0.3">
      <c r="H38589" t="str">
        <f t="shared" si="652"/>
        <v/>
      </c>
    </row>
    <row r="38590" spans="8:8" x14ac:dyDescent="0.3">
      <c r="H38590" t="str">
        <f t="shared" si="652"/>
        <v/>
      </c>
    </row>
    <row r="38591" spans="8:8" x14ac:dyDescent="0.3">
      <c r="H38591" t="str">
        <f t="shared" si="652"/>
        <v/>
      </c>
    </row>
    <row r="38592" spans="8:8" x14ac:dyDescent="0.3">
      <c r="H38592" t="str">
        <f t="shared" si="652"/>
        <v/>
      </c>
    </row>
    <row r="38593" spans="8:8" x14ac:dyDescent="0.3">
      <c r="H38593" t="str">
        <f t="shared" si="652"/>
        <v/>
      </c>
    </row>
    <row r="38594" spans="8:8" x14ac:dyDescent="0.3">
      <c r="H38594" t="str">
        <f t="shared" si="652"/>
        <v/>
      </c>
    </row>
    <row r="38595" spans="8:8" x14ac:dyDescent="0.3">
      <c r="H38595" t="str">
        <f t="shared" si="652"/>
        <v/>
      </c>
    </row>
    <row r="38596" spans="8:8" x14ac:dyDescent="0.3">
      <c r="H38596" t="str">
        <f t="shared" si="652"/>
        <v/>
      </c>
    </row>
    <row r="38597" spans="8:8" x14ac:dyDescent="0.3">
      <c r="H38597" t="str">
        <f t="shared" si="652"/>
        <v/>
      </c>
    </row>
    <row r="38598" spans="8:8" x14ac:dyDescent="0.3">
      <c r="H38598" t="str">
        <f t="shared" si="652"/>
        <v/>
      </c>
    </row>
    <row r="38599" spans="8:8" x14ac:dyDescent="0.3">
      <c r="H38599" t="str">
        <f t="shared" si="652"/>
        <v/>
      </c>
    </row>
    <row r="38600" spans="8:8" x14ac:dyDescent="0.3">
      <c r="H38600" t="str">
        <f t="shared" si="652"/>
        <v/>
      </c>
    </row>
    <row r="38601" spans="8:8" x14ac:dyDescent="0.3">
      <c r="H38601" t="str">
        <f t="shared" si="652"/>
        <v/>
      </c>
    </row>
    <row r="38602" spans="8:8" x14ac:dyDescent="0.3">
      <c r="H38602" t="str">
        <f t="shared" si="652"/>
        <v/>
      </c>
    </row>
    <row r="38603" spans="8:8" x14ac:dyDescent="0.3">
      <c r="H38603" t="str">
        <f t="shared" si="652"/>
        <v/>
      </c>
    </row>
    <row r="38604" spans="8:8" x14ac:dyDescent="0.3">
      <c r="H38604" t="str">
        <f t="shared" si="652"/>
        <v/>
      </c>
    </row>
    <row r="38605" spans="8:8" x14ac:dyDescent="0.3">
      <c r="H38605" t="str">
        <f t="shared" si="652"/>
        <v/>
      </c>
    </row>
    <row r="38606" spans="8:8" x14ac:dyDescent="0.3">
      <c r="H38606" t="str">
        <f t="shared" si="652"/>
        <v/>
      </c>
    </row>
    <row r="38607" spans="8:8" x14ac:dyDescent="0.3">
      <c r="H38607" t="str">
        <f t="shared" si="652"/>
        <v/>
      </c>
    </row>
    <row r="38608" spans="8:8" x14ac:dyDescent="0.3">
      <c r="H38608" t="str">
        <f t="shared" si="652"/>
        <v/>
      </c>
    </row>
    <row r="38609" spans="8:8" x14ac:dyDescent="0.3">
      <c r="H38609" t="str">
        <f t="shared" si="652"/>
        <v/>
      </c>
    </row>
    <row r="38610" spans="8:8" x14ac:dyDescent="0.3">
      <c r="H38610" t="str">
        <f t="shared" si="652"/>
        <v/>
      </c>
    </row>
    <row r="38611" spans="8:8" x14ac:dyDescent="0.3">
      <c r="H38611" t="str">
        <f t="shared" si="652"/>
        <v/>
      </c>
    </row>
    <row r="38612" spans="8:8" x14ac:dyDescent="0.3">
      <c r="H38612" t="str">
        <f t="shared" si="652"/>
        <v/>
      </c>
    </row>
    <row r="38613" spans="8:8" x14ac:dyDescent="0.3">
      <c r="H38613" t="str">
        <f t="shared" si="652"/>
        <v/>
      </c>
    </row>
    <row r="38614" spans="8:8" x14ac:dyDescent="0.3">
      <c r="H38614" t="str">
        <f t="shared" si="652"/>
        <v/>
      </c>
    </row>
    <row r="38615" spans="8:8" x14ac:dyDescent="0.3">
      <c r="H38615" t="str">
        <f t="shared" ref="H38615:H38678" si="653">IF(B38615="","",$C$12)</f>
        <v/>
      </c>
    </row>
    <row r="38616" spans="8:8" x14ac:dyDescent="0.3">
      <c r="H38616" t="str">
        <f t="shared" si="653"/>
        <v/>
      </c>
    </row>
    <row r="38617" spans="8:8" x14ac:dyDescent="0.3">
      <c r="H38617" t="str">
        <f t="shared" si="653"/>
        <v/>
      </c>
    </row>
    <row r="38618" spans="8:8" x14ac:dyDescent="0.3">
      <c r="H38618" t="str">
        <f t="shared" si="653"/>
        <v/>
      </c>
    </row>
    <row r="38619" spans="8:8" x14ac:dyDescent="0.3">
      <c r="H38619" t="str">
        <f t="shared" si="653"/>
        <v/>
      </c>
    </row>
    <row r="38620" spans="8:8" x14ac:dyDescent="0.3">
      <c r="H38620" t="str">
        <f t="shared" si="653"/>
        <v/>
      </c>
    </row>
    <row r="38621" spans="8:8" x14ac:dyDescent="0.3">
      <c r="H38621" t="str">
        <f t="shared" si="653"/>
        <v/>
      </c>
    </row>
    <row r="38622" spans="8:8" x14ac:dyDescent="0.3">
      <c r="H38622" t="str">
        <f t="shared" si="653"/>
        <v/>
      </c>
    </row>
    <row r="38623" spans="8:8" x14ac:dyDescent="0.3">
      <c r="H38623" t="str">
        <f t="shared" si="653"/>
        <v/>
      </c>
    </row>
    <row r="38624" spans="8:8" x14ac:dyDescent="0.3">
      <c r="H38624" t="str">
        <f t="shared" si="653"/>
        <v/>
      </c>
    </row>
    <row r="38625" spans="8:8" x14ac:dyDescent="0.3">
      <c r="H38625" t="str">
        <f t="shared" si="653"/>
        <v/>
      </c>
    </row>
    <row r="38626" spans="8:8" x14ac:dyDescent="0.3">
      <c r="H38626" t="str">
        <f t="shared" si="653"/>
        <v/>
      </c>
    </row>
    <row r="38627" spans="8:8" x14ac:dyDescent="0.3">
      <c r="H38627" t="str">
        <f t="shared" si="653"/>
        <v/>
      </c>
    </row>
    <row r="38628" spans="8:8" x14ac:dyDescent="0.3">
      <c r="H38628" t="str">
        <f t="shared" si="653"/>
        <v/>
      </c>
    </row>
    <row r="38629" spans="8:8" x14ac:dyDescent="0.3">
      <c r="H38629" t="str">
        <f t="shared" si="653"/>
        <v/>
      </c>
    </row>
    <row r="38630" spans="8:8" x14ac:dyDescent="0.3">
      <c r="H38630" t="str">
        <f t="shared" si="653"/>
        <v/>
      </c>
    </row>
    <row r="38631" spans="8:8" x14ac:dyDescent="0.3">
      <c r="H38631" t="str">
        <f t="shared" si="653"/>
        <v/>
      </c>
    </row>
    <row r="38632" spans="8:8" x14ac:dyDescent="0.3">
      <c r="H38632" t="str">
        <f t="shared" si="653"/>
        <v/>
      </c>
    </row>
    <row r="38633" spans="8:8" x14ac:dyDescent="0.3">
      <c r="H38633" t="str">
        <f t="shared" si="653"/>
        <v/>
      </c>
    </row>
    <row r="38634" spans="8:8" x14ac:dyDescent="0.3">
      <c r="H38634" t="str">
        <f t="shared" si="653"/>
        <v/>
      </c>
    </row>
    <row r="38635" spans="8:8" x14ac:dyDescent="0.3">
      <c r="H38635" t="str">
        <f t="shared" si="653"/>
        <v/>
      </c>
    </row>
    <row r="38636" spans="8:8" x14ac:dyDescent="0.3">
      <c r="H38636" t="str">
        <f t="shared" si="653"/>
        <v/>
      </c>
    </row>
    <row r="38637" spans="8:8" x14ac:dyDescent="0.3">
      <c r="H38637" t="str">
        <f t="shared" si="653"/>
        <v/>
      </c>
    </row>
    <row r="38638" spans="8:8" x14ac:dyDescent="0.3">
      <c r="H38638" t="str">
        <f t="shared" si="653"/>
        <v/>
      </c>
    </row>
    <row r="38639" spans="8:8" x14ac:dyDescent="0.3">
      <c r="H38639" t="str">
        <f t="shared" si="653"/>
        <v/>
      </c>
    </row>
    <row r="38640" spans="8:8" x14ac:dyDescent="0.3">
      <c r="H38640" t="str">
        <f t="shared" si="653"/>
        <v/>
      </c>
    </row>
    <row r="38641" spans="8:8" x14ac:dyDescent="0.3">
      <c r="H38641" t="str">
        <f t="shared" si="653"/>
        <v/>
      </c>
    </row>
    <row r="38642" spans="8:8" x14ac:dyDescent="0.3">
      <c r="H38642" t="str">
        <f t="shared" si="653"/>
        <v/>
      </c>
    </row>
    <row r="38643" spans="8:8" x14ac:dyDescent="0.3">
      <c r="H38643" t="str">
        <f t="shared" si="653"/>
        <v/>
      </c>
    </row>
    <row r="38644" spans="8:8" x14ac:dyDescent="0.3">
      <c r="H38644" t="str">
        <f t="shared" si="653"/>
        <v/>
      </c>
    </row>
    <row r="38645" spans="8:8" x14ac:dyDescent="0.3">
      <c r="H38645" t="str">
        <f t="shared" si="653"/>
        <v/>
      </c>
    </row>
    <row r="38646" spans="8:8" x14ac:dyDescent="0.3">
      <c r="H38646" t="str">
        <f t="shared" si="653"/>
        <v/>
      </c>
    </row>
    <row r="38647" spans="8:8" x14ac:dyDescent="0.3">
      <c r="H38647" t="str">
        <f t="shared" si="653"/>
        <v/>
      </c>
    </row>
    <row r="38648" spans="8:8" x14ac:dyDescent="0.3">
      <c r="H38648" t="str">
        <f t="shared" si="653"/>
        <v/>
      </c>
    </row>
    <row r="38649" spans="8:8" x14ac:dyDescent="0.3">
      <c r="H38649" t="str">
        <f t="shared" si="653"/>
        <v/>
      </c>
    </row>
    <row r="38650" spans="8:8" x14ac:dyDescent="0.3">
      <c r="H38650" t="str">
        <f t="shared" si="653"/>
        <v/>
      </c>
    </row>
    <row r="38651" spans="8:8" x14ac:dyDescent="0.3">
      <c r="H38651" t="str">
        <f t="shared" si="653"/>
        <v/>
      </c>
    </row>
    <row r="38652" spans="8:8" x14ac:dyDescent="0.3">
      <c r="H38652" t="str">
        <f t="shared" si="653"/>
        <v/>
      </c>
    </row>
    <row r="38653" spans="8:8" x14ac:dyDescent="0.3">
      <c r="H38653" t="str">
        <f t="shared" si="653"/>
        <v/>
      </c>
    </row>
    <row r="38654" spans="8:8" x14ac:dyDescent="0.3">
      <c r="H38654" t="str">
        <f t="shared" si="653"/>
        <v/>
      </c>
    </row>
    <row r="38655" spans="8:8" x14ac:dyDescent="0.3">
      <c r="H38655" t="str">
        <f t="shared" si="653"/>
        <v/>
      </c>
    </row>
    <row r="38656" spans="8:8" x14ac:dyDescent="0.3">
      <c r="H38656" t="str">
        <f t="shared" si="653"/>
        <v/>
      </c>
    </row>
    <row r="38657" spans="8:8" x14ac:dyDescent="0.3">
      <c r="H38657" t="str">
        <f t="shared" si="653"/>
        <v/>
      </c>
    </row>
    <row r="38658" spans="8:8" x14ac:dyDescent="0.3">
      <c r="H38658" t="str">
        <f t="shared" si="653"/>
        <v/>
      </c>
    </row>
    <row r="38659" spans="8:8" x14ac:dyDescent="0.3">
      <c r="H38659" t="str">
        <f t="shared" si="653"/>
        <v/>
      </c>
    </row>
    <row r="38660" spans="8:8" x14ac:dyDescent="0.3">
      <c r="H38660" t="str">
        <f t="shared" si="653"/>
        <v/>
      </c>
    </row>
    <row r="38661" spans="8:8" x14ac:dyDescent="0.3">
      <c r="H38661" t="str">
        <f t="shared" si="653"/>
        <v/>
      </c>
    </row>
    <row r="38662" spans="8:8" x14ac:dyDescent="0.3">
      <c r="H38662" t="str">
        <f t="shared" si="653"/>
        <v/>
      </c>
    </row>
    <row r="38663" spans="8:8" x14ac:dyDescent="0.3">
      <c r="H38663" t="str">
        <f t="shared" si="653"/>
        <v/>
      </c>
    </row>
    <row r="38664" spans="8:8" x14ac:dyDescent="0.3">
      <c r="H38664" t="str">
        <f t="shared" si="653"/>
        <v/>
      </c>
    </row>
    <row r="38665" spans="8:8" x14ac:dyDescent="0.3">
      <c r="H38665" t="str">
        <f t="shared" si="653"/>
        <v/>
      </c>
    </row>
    <row r="38666" spans="8:8" x14ac:dyDescent="0.3">
      <c r="H38666" t="str">
        <f t="shared" si="653"/>
        <v/>
      </c>
    </row>
    <row r="38667" spans="8:8" x14ac:dyDescent="0.3">
      <c r="H38667" t="str">
        <f t="shared" si="653"/>
        <v/>
      </c>
    </row>
    <row r="38668" spans="8:8" x14ac:dyDescent="0.3">
      <c r="H38668" t="str">
        <f t="shared" si="653"/>
        <v/>
      </c>
    </row>
    <row r="38669" spans="8:8" x14ac:dyDescent="0.3">
      <c r="H38669" t="str">
        <f t="shared" si="653"/>
        <v/>
      </c>
    </row>
    <row r="38670" spans="8:8" x14ac:dyDescent="0.3">
      <c r="H38670" t="str">
        <f t="shared" si="653"/>
        <v/>
      </c>
    </row>
    <row r="38671" spans="8:8" x14ac:dyDescent="0.3">
      <c r="H38671" t="str">
        <f t="shared" si="653"/>
        <v/>
      </c>
    </row>
    <row r="38672" spans="8:8" x14ac:dyDescent="0.3">
      <c r="H38672" t="str">
        <f t="shared" si="653"/>
        <v/>
      </c>
    </row>
    <row r="38673" spans="8:8" x14ac:dyDescent="0.3">
      <c r="H38673" t="str">
        <f t="shared" si="653"/>
        <v/>
      </c>
    </row>
    <row r="38674" spans="8:8" x14ac:dyDescent="0.3">
      <c r="H38674" t="str">
        <f t="shared" si="653"/>
        <v/>
      </c>
    </row>
    <row r="38675" spans="8:8" x14ac:dyDescent="0.3">
      <c r="H38675" t="str">
        <f t="shared" si="653"/>
        <v/>
      </c>
    </row>
    <row r="38676" spans="8:8" x14ac:dyDescent="0.3">
      <c r="H38676" t="str">
        <f t="shared" si="653"/>
        <v/>
      </c>
    </row>
    <row r="38677" spans="8:8" x14ac:dyDescent="0.3">
      <c r="H38677" t="str">
        <f t="shared" si="653"/>
        <v/>
      </c>
    </row>
    <row r="38678" spans="8:8" x14ac:dyDescent="0.3">
      <c r="H38678" t="str">
        <f t="shared" si="653"/>
        <v/>
      </c>
    </row>
    <row r="38679" spans="8:8" x14ac:dyDescent="0.3">
      <c r="H38679" t="str">
        <f t="shared" ref="H38679:H38742" si="654">IF(B38679="","",$C$12)</f>
        <v/>
      </c>
    </row>
    <row r="38680" spans="8:8" x14ac:dyDescent="0.3">
      <c r="H38680" t="str">
        <f t="shared" si="654"/>
        <v/>
      </c>
    </row>
    <row r="38681" spans="8:8" x14ac:dyDescent="0.3">
      <c r="H38681" t="str">
        <f t="shared" si="654"/>
        <v/>
      </c>
    </row>
    <row r="38682" spans="8:8" x14ac:dyDescent="0.3">
      <c r="H38682" t="str">
        <f t="shared" si="654"/>
        <v/>
      </c>
    </row>
    <row r="38683" spans="8:8" x14ac:dyDescent="0.3">
      <c r="H38683" t="str">
        <f t="shared" si="654"/>
        <v/>
      </c>
    </row>
    <row r="38684" spans="8:8" x14ac:dyDescent="0.3">
      <c r="H38684" t="str">
        <f t="shared" si="654"/>
        <v/>
      </c>
    </row>
    <row r="38685" spans="8:8" x14ac:dyDescent="0.3">
      <c r="H38685" t="str">
        <f t="shared" si="654"/>
        <v/>
      </c>
    </row>
    <row r="38686" spans="8:8" x14ac:dyDescent="0.3">
      <c r="H38686" t="str">
        <f t="shared" si="654"/>
        <v/>
      </c>
    </row>
    <row r="38687" spans="8:8" x14ac:dyDescent="0.3">
      <c r="H38687" t="str">
        <f t="shared" si="654"/>
        <v/>
      </c>
    </row>
    <row r="38688" spans="8:8" x14ac:dyDescent="0.3">
      <c r="H38688" t="str">
        <f t="shared" si="654"/>
        <v/>
      </c>
    </row>
    <row r="38689" spans="8:8" x14ac:dyDescent="0.3">
      <c r="H38689" t="str">
        <f t="shared" si="654"/>
        <v/>
      </c>
    </row>
    <row r="38690" spans="8:8" x14ac:dyDescent="0.3">
      <c r="H38690" t="str">
        <f t="shared" si="654"/>
        <v/>
      </c>
    </row>
    <row r="38691" spans="8:8" x14ac:dyDescent="0.3">
      <c r="H38691" t="str">
        <f t="shared" si="654"/>
        <v/>
      </c>
    </row>
    <row r="38692" spans="8:8" x14ac:dyDescent="0.3">
      <c r="H38692" t="str">
        <f t="shared" si="654"/>
        <v/>
      </c>
    </row>
    <row r="38693" spans="8:8" x14ac:dyDescent="0.3">
      <c r="H38693" t="str">
        <f t="shared" si="654"/>
        <v/>
      </c>
    </row>
    <row r="38694" spans="8:8" x14ac:dyDescent="0.3">
      <c r="H38694" t="str">
        <f t="shared" si="654"/>
        <v/>
      </c>
    </row>
    <row r="38695" spans="8:8" x14ac:dyDescent="0.3">
      <c r="H38695" t="str">
        <f t="shared" si="654"/>
        <v/>
      </c>
    </row>
    <row r="38696" spans="8:8" x14ac:dyDescent="0.3">
      <c r="H38696" t="str">
        <f t="shared" si="654"/>
        <v/>
      </c>
    </row>
    <row r="38697" spans="8:8" x14ac:dyDescent="0.3">
      <c r="H38697" t="str">
        <f t="shared" si="654"/>
        <v/>
      </c>
    </row>
    <row r="38698" spans="8:8" x14ac:dyDescent="0.3">
      <c r="H38698" t="str">
        <f t="shared" si="654"/>
        <v/>
      </c>
    </row>
    <row r="38699" spans="8:8" x14ac:dyDescent="0.3">
      <c r="H38699" t="str">
        <f t="shared" si="654"/>
        <v/>
      </c>
    </row>
    <row r="38700" spans="8:8" x14ac:dyDescent="0.3">
      <c r="H38700" t="str">
        <f t="shared" si="654"/>
        <v/>
      </c>
    </row>
    <row r="38701" spans="8:8" x14ac:dyDescent="0.3">
      <c r="H38701" t="str">
        <f t="shared" si="654"/>
        <v/>
      </c>
    </row>
    <row r="38702" spans="8:8" x14ac:dyDescent="0.3">
      <c r="H38702" t="str">
        <f t="shared" si="654"/>
        <v/>
      </c>
    </row>
    <row r="38703" spans="8:8" x14ac:dyDescent="0.3">
      <c r="H38703" t="str">
        <f t="shared" si="654"/>
        <v/>
      </c>
    </row>
    <row r="38704" spans="8:8" x14ac:dyDescent="0.3">
      <c r="H38704" t="str">
        <f t="shared" si="654"/>
        <v/>
      </c>
    </row>
    <row r="38705" spans="8:8" x14ac:dyDescent="0.3">
      <c r="H38705" t="str">
        <f t="shared" si="654"/>
        <v/>
      </c>
    </row>
    <row r="38706" spans="8:8" x14ac:dyDescent="0.3">
      <c r="H38706" t="str">
        <f t="shared" si="654"/>
        <v/>
      </c>
    </row>
    <row r="38707" spans="8:8" x14ac:dyDescent="0.3">
      <c r="H38707" t="str">
        <f t="shared" si="654"/>
        <v/>
      </c>
    </row>
    <row r="38708" spans="8:8" x14ac:dyDescent="0.3">
      <c r="H38708" t="str">
        <f t="shared" si="654"/>
        <v/>
      </c>
    </row>
    <row r="38709" spans="8:8" x14ac:dyDescent="0.3">
      <c r="H38709" t="str">
        <f t="shared" si="654"/>
        <v/>
      </c>
    </row>
    <row r="38710" spans="8:8" x14ac:dyDescent="0.3">
      <c r="H38710" t="str">
        <f t="shared" si="654"/>
        <v/>
      </c>
    </row>
    <row r="38711" spans="8:8" x14ac:dyDescent="0.3">
      <c r="H38711" t="str">
        <f t="shared" si="654"/>
        <v/>
      </c>
    </row>
    <row r="38712" spans="8:8" x14ac:dyDescent="0.3">
      <c r="H38712" t="str">
        <f t="shared" si="654"/>
        <v/>
      </c>
    </row>
    <row r="38713" spans="8:8" x14ac:dyDescent="0.3">
      <c r="H38713" t="str">
        <f t="shared" si="654"/>
        <v/>
      </c>
    </row>
    <row r="38714" spans="8:8" x14ac:dyDescent="0.3">
      <c r="H38714" t="str">
        <f t="shared" si="654"/>
        <v/>
      </c>
    </row>
    <row r="38715" spans="8:8" x14ac:dyDescent="0.3">
      <c r="H38715" t="str">
        <f t="shared" si="654"/>
        <v/>
      </c>
    </row>
    <row r="38716" spans="8:8" x14ac:dyDescent="0.3">
      <c r="H38716" t="str">
        <f t="shared" si="654"/>
        <v/>
      </c>
    </row>
    <row r="38717" spans="8:8" x14ac:dyDescent="0.3">
      <c r="H38717" t="str">
        <f t="shared" si="654"/>
        <v/>
      </c>
    </row>
    <row r="38718" spans="8:8" x14ac:dyDescent="0.3">
      <c r="H38718" t="str">
        <f t="shared" si="654"/>
        <v/>
      </c>
    </row>
    <row r="38719" spans="8:8" x14ac:dyDescent="0.3">
      <c r="H38719" t="str">
        <f t="shared" si="654"/>
        <v/>
      </c>
    </row>
    <row r="38720" spans="8:8" x14ac:dyDescent="0.3">
      <c r="H38720" t="str">
        <f t="shared" si="654"/>
        <v/>
      </c>
    </row>
    <row r="38721" spans="8:8" x14ac:dyDescent="0.3">
      <c r="H38721" t="str">
        <f t="shared" si="654"/>
        <v/>
      </c>
    </row>
    <row r="38722" spans="8:8" x14ac:dyDescent="0.3">
      <c r="H38722" t="str">
        <f t="shared" si="654"/>
        <v/>
      </c>
    </row>
    <row r="38723" spans="8:8" x14ac:dyDescent="0.3">
      <c r="H38723" t="str">
        <f t="shared" si="654"/>
        <v/>
      </c>
    </row>
    <row r="38724" spans="8:8" x14ac:dyDescent="0.3">
      <c r="H38724" t="str">
        <f t="shared" si="654"/>
        <v/>
      </c>
    </row>
    <row r="38725" spans="8:8" x14ac:dyDescent="0.3">
      <c r="H38725" t="str">
        <f t="shared" si="654"/>
        <v/>
      </c>
    </row>
    <row r="38726" spans="8:8" x14ac:dyDescent="0.3">
      <c r="H38726" t="str">
        <f t="shared" si="654"/>
        <v/>
      </c>
    </row>
    <row r="38727" spans="8:8" x14ac:dyDescent="0.3">
      <c r="H38727" t="str">
        <f t="shared" si="654"/>
        <v/>
      </c>
    </row>
    <row r="38728" spans="8:8" x14ac:dyDescent="0.3">
      <c r="H38728" t="str">
        <f t="shared" si="654"/>
        <v/>
      </c>
    </row>
    <row r="38729" spans="8:8" x14ac:dyDescent="0.3">
      <c r="H38729" t="str">
        <f t="shared" si="654"/>
        <v/>
      </c>
    </row>
    <row r="38730" spans="8:8" x14ac:dyDescent="0.3">
      <c r="H38730" t="str">
        <f t="shared" si="654"/>
        <v/>
      </c>
    </row>
    <row r="38731" spans="8:8" x14ac:dyDescent="0.3">
      <c r="H38731" t="str">
        <f t="shared" si="654"/>
        <v/>
      </c>
    </row>
    <row r="38732" spans="8:8" x14ac:dyDescent="0.3">
      <c r="H38732" t="str">
        <f t="shared" si="654"/>
        <v/>
      </c>
    </row>
    <row r="38733" spans="8:8" x14ac:dyDescent="0.3">
      <c r="H38733" t="str">
        <f t="shared" si="654"/>
        <v/>
      </c>
    </row>
    <row r="38734" spans="8:8" x14ac:dyDescent="0.3">
      <c r="H38734" t="str">
        <f t="shared" si="654"/>
        <v/>
      </c>
    </row>
    <row r="38735" spans="8:8" x14ac:dyDescent="0.3">
      <c r="H38735" t="str">
        <f t="shared" si="654"/>
        <v/>
      </c>
    </row>
    <row r="38736" spans="8:8" x14ac:dyDescent="0.3">
      <c r="H38736" t="str">
        <f t="shared" si="654"/>
        <v/>
      </c>
    </row>
    <row r="38737" spans="8:8" x14ac:dyDescent="0.3">
      <c r="H38737" t="str">
        <f t="shared" si="654"/>
        <v/>
      </c>
    </row>
    <row r="38738" spans="8:8" x14ac:dyDescent="0.3">
      <c r="H38738" t="str">
        <f t="shared" si="654"/>
        <v/>
      </c>
    </row>
    <row r="38739" spans="8:8" x14ac:dyDescent="0.3">
      <c r="H38739" t="str">
        <f t="shared" si="654"/>
        <v/>
      </c>
    </row>
    <row r="38740" spans="8:8" x14ac:dyDescent="0.3">
      <c r="H38740" t="str">
        <f t="shared" si="654"/>
        <v/>
      </c>
    </row>
    <row r="38741" spans="8:8" x14ac:dyDescent="0.3">
      <c r="H38741" t="str">
        <f t="shared" si="654"/>
        <v/>
      </c>
    </row>
    <row r="38742" spans="8:8" x14ac:dyDescent="0.3">
      <c r="H38742" t="str">
        <f t="shared" si="654"/>
        <v/>
      </c>
    </row>
    <row r="38743" spans="8:8" x14ac:dyDescent="0.3">
      <c r="H38743" t="str">
        <f t="shared" ref="H38743:H38806" si="655">IF(B38743="","",$C$12)</f>
        <v/>
      </c>
    </row>
    <row r="38744" spans="8:8" x14ac:dyDescent="0.3">
      <c r="H38744" t="str">
        <f t="shared" si="655"/>
        <v/>
      </c>
    </row>
    <row r="38745" spans="8:8" x14ac:dyDescent="0.3">
      <c r="H38745" t="str">
        <f t="shared" si="655"/>
        <v/>
      </c>
    </row>
    <row r="38746" spans="8:8" x14ac:dyDescent="0.3">
      <c r="H38746" t="str">
        <f t="shared" si="655"/>
        <v/>
      </c>
    </row>
    <row r="38747" spans="8:8" x14ac:dyDescent="0.3">
      <c r="H38747" t="str">
        <f t="shared" si="655"/>
        <v/>
      </c>
    </row>
    <row r="38748" spans="8:8" x14ac:dyDescent="0.3">
      <c r="H38748" t="str">
        <f t="shared" si="655"/>
        <v/>
      </c>
    </row>
    <row r="38749" spans="8:8" x14ac:dyDescent="0.3">
      <c r="H38749" t="str">
        <f t="shared" si="655"/>
        <v/>
      </c>
    </row>
    <row r="38750" spans="8:8" x14ac:dyDescent="0.3">
      <c r="H38750" t="str">
        <f t="shared" si="655"/>
        <v/>
      </c>
    </row>
    <row r="38751" spans="8:8" x14ac:dyDescent="0.3">
      <c r="H38751" t="str">
        <f t="shared" si="655"/>
        <v/>
      </c>
    </row>
    <row r="38752" spans="8:8" x14ac:dyDescent="0.3">
      <c r="H38752" t="str">
        <f t="shared" si="655"/>
        <v/>
      </c>
    </row>
    <row r="38753" spans="8:8" x14ac:dyDescent="0.3">
      <c r="H38753" t="str">
        <f t="shared" si="655"/>
        <v/>
      </c>
    </row>
    <row r="38754" spans="8:8" x14ac:dyDescent="0.3">
      <c r="H38754" t="str">
        <f t="shared" si="655"/>
        <v/>
      </c>
    </row>
    <row r="38755" spans="8:8" x14ac:dyDescent="0.3">
      <c r="H38755" t="str">
        <f t="shared" si="655"/>
        <v/>
      </c>
    </row>
    <row r="38756" spans="8:8" x14ac:dyDescent="0.3">
      <c r="H38756" t="str">
        <f t="shared" si="655"/>
        <v/>
      </c>
    </row>
    <row r="38757" spans="8:8" x14ac:dyDescent="0.3">
      <c r="H38757" t="str">
        <f t="shared" si="655"/>
        <v/>
      </c>
    </row>
    <row r="38758" spans="8:8" x14ac:dyDescent="0.3">
      <c r="H38758" t="str">
        <f t="shared" si="655"/>
        <v/>
      </c>
    </row>
    <row r="38759" spans="8:8" x14ac:dyDescent="0.3">
      <c r="H38759" t="str">
        <f t="shared" si="655"/>
        <v/>
      </c>
    </row>
    <row r="38760" spans="8:8" x14ac:dyDescent="0.3">
      <c r="H38760" t="str">
        <f t="shared" si="655"/>
        <v/>
      </c>
    </row>
    <row r="38761" spans="8:8" x14ac:dyDescent="0.3">
      <c r="H38761" t="str">
        <f t="shared" si="655"/>
        <v/>
      </c>
    </row>
    <row r="38762" spans="8:8" x14ac:dyDescent="0.3">
      <c r="H38762" t="str">
        <f t="shared" si="655"/>
        <v/>
      </c>
    </row>
    <row r="38763" spans="8:8" x14ac:dyDescent="0.3">
      <c r="H38763" t="str">
        <f t="shared" si="655"/>
        <v/>
      </c>
    </row>
    <row r="38764" spans="8:8" x14ac:dyDescent="0.3">
      <c r="H38764" t="str">
        <f t="shared" si="655"/>
        <v/>
      </c>
    </row>
    <row r="38765" spans="8:8" x14ac:dyDescent="0.3">
      <c r="H38765" t="str">
        <f t="shared" si="655"/>
        <v/>
      </c>
    </row>
    <row r="38766" spans="8:8" x14ac:dyDescent="0.3">
      <c r="H38766" t="str">
        <f t="shared" si="655"/>
        <v/>
      </c>
    </row>
    <row r="38767" spans="8:8" x14ac:dyDescent="0.3">
      <c r="H38767" t="str">
        <f t="shared" si="655"/>
        <v/>
      </c>
    </row>
    <row r="38768" spans="8:8" x14ac:dyDescent="0.3">
      <c r="H38768" t="str">
        <f t="shared" si="655"/>
        <v/>
      </c>
    </row>
    <row r="38769" spans="8:8" x14ac:dyDescent="0.3">
      <c r="H38769" t="str">
        <f t="shared" si="655"/>
        <v/>
      </c>
    </row>
    <row r="38770" spans="8:8" x14ac:dyDescent="0.3">
      <c r="H38770" t="str">
        <f t="shared" si="655"/>
        <v/>
      </c>
    </row>
    <row r="38771" spans="8:8" x14ac:dyDescent="0.3">
      <c r="H38771" t="str">
        <f t="shared" si="655"/>
        <v/>
      </c>
    </row>
    <row r="38772" spans="8:8" x14ac:dyDescent="0.3">
      <c r="H38772" t="str">
        <f t="shared" si="655"/>
        <v/>
      </c>
    </row>
    <row r="38773" spans="8:8" x14ac:dyDescent="0.3">
      <c r="H38773" t="str">
        <f t="shared" si="655"/>
        <v/>
      </c>
    </row>
    <row r="38774" spans="8:8" x14ac:dyDescent="0.3">
      <c r="H38774" t="str">
        <f t="shared" si="655"/>
        <v/>
      </c>
    </row>
    <row r="38775" spans="8:8" x14ac:dyDescent="0.3">
      <c r="H38775" t="str">
        <f t="shared" si="655"/>
        <v/>
      </c>
    </row>
    <row r="38776" spans="8:8" x14ac:dyDescent="0.3">
      <c r="H38776" t="str">
        <f t="shared" si="655"/>
        <v/>
      </c>
    </row>
    <row r="38777" spans="8:8" x14ac:dyDescent="0.3">
      <c r="H38777" t="str">
        <f t="shared" si="655"/>
        <v/>
      </c>
    </row>
    <row r="38778" spans="8:8" x14ac:dyDescent="0.3">
      <c r="H38778" t="str">
        <f t="shared" si="655"/>
        <v/>
      </c>
    </row>
    <row r="38779" spans="8:8" x14ac:dyDescent="0.3">
      <c r="H38779" t="str">
        <f t="shared" si="655"/>
        <v/>
      </c>
    </row>
    <row r="38780" spans="8:8" x14ac:dyDescent="0.3">
      <c r="H38780" t="str">
        <f t="shared" si="655"/>
        <v/>
      </c>
    </row>
    <row r="38781" spans="8:8" x14ac:dyDescent="0.3">
      <c r="H38781" t="str">
        <f t="shared" si="655"/>
        <v/>
      </c>
    </row>
    <row r="38782" spans="8:8" x14ac:dyDescent="0.3">
      <c r="H38782" t="str">
        <f t="shared" si="655"/>
        <v/>
      </c>
    </row>
    <row r="38783" spans="8:8" x14ac:dyDescent="0.3">
      <c r="H38783" t="str">
        <f t="shared" si="655"/>
        <v/>
      </c>
    </row>
    <row r="38784" spans="8:8" x14ac:dyDescent="0.3">
      <c r="H38784" t="str">
        <f t="shared" si="655"/>
        <v/>
      </c>
    </row>
    <row r="38785" spans="8:8" x14ac:dyDescent="0.3">
      <c r="H38785" t="str">
        <f t="shared" si="655"/>
        <v/>
      </c>
    </row>
    <row r="38786" spans="8:8" x14ac:dyDescent="0.3">
      <c r="H38786" t="str">
        <f t="shared" si="655"/>
        <v/>
      </c>
    </row>
    <row r="38787" spans="8:8" x14ac:dyDescent="0.3">
      <c r="H38787" t="str">
        <f t="shared" si="655"/>
        <v/>
      </c>
    </row>
    <row r="38788" spans="8:8" x14ac:dyDescent="0.3">
      <c r="H38788" t="str">
        <f t="shared" si="655"/>
        <v/>
      </c>
    </row>
    <row r="38789" spans="8:8" x14ac:dyDescent="0.3">
      <c r="H38789" t="str">
        <f t="shared" si="655"/>
        <v/>
      </c>
    </row>
    <row r="38790" spans="8:8" x14ac:dyDescent="0.3">
      <c r="H38790" t="str">
        <f t="shared" si="655"/>
        <v/>
      </c>
    </row>
    <row r="38791" spans="8:8" x14ac:dyDescent="0.3">
      <c r="H38791" t="str">
        <f t="shared" si="655"/>
        <v/>
      </c>
    </row>
    <row r="38792" spans="8:8" x14ac:dyDescent="0.3">
      <c r="H38792" t="str">
        <f t="shared" si="655"/>
        <v/>
      </c>
    </row>
    <row r="38793" spans="8:8" x14ac:dyDescent="0.3">
      <c r="H38793" t="str">
        <f t="shared" si="655"/>
        <v/>
      </c>
    </row>
    <row r="38794" spans="8:8" x14ac:dyDescent="0.3">
      <c r="H38794" t="str">
        <f t="shared" si="655"/>
        <v/>
      </c>
    </row>
    <row r="38795" spans="8:8" x14ac:dyDescent="0.3">
      <c r="H38795" t="str">
        <f t="shared" si="655"/>
        <v/>
      </c>
    </row>
    <row r="38796" spans="8:8" x14ac:dyDescent="0.3">
      <c r="H38796" t="str">
        <f t="shared" si="655"/>
        <v/>
      </c>
    </row>
    <row r="38797" spans="8:8" x14ac:dyDescent="0.3">
      <c r="H38797" t="str">
        <f t="shared" si="655"/>
        <v/>
      </c>
    </row>
    <row r="38798" spans="8:8" x14ac:dyDescent="0.3">
      <c r="H38798" t="str">
        <f t="shared" si="655"/>
        <v/>
      </c>
    </row>
    <row r="38799" spans="8:8" x14ac:dyDescent="0.3">
      <c r="H38799" t="str">
        <f t="shared" si="655"/>
        <v/>
      </c>
    </row>
    <row r="38800" spans="8:8" x14ac:dyDescent="0.3">
      <c r="H38800" t="str">
        <f t="shared" si="655"/>
        <v/>
      </c>
    </row>
    <row r="38801" spans="8:8" x14ac:dyDescent="0.3">
      <c r="H38801" t="str">
        <f t="shared" si="655"/>
        <v/>
      </c>
    </row>
    <row r="38802" spans="8:8" x14ac:dyDescent="0.3">
      <c r="H38802" t="str">
        <f t="shared" si="655"/>
        <v/>
      </c>
    </row>
    <row r="38803" spans="8:8" x14ac:dyDescent="0.3">
      <c r="H38803" t="str">
        <f t="shared" si="655"/>
        <v/>
      </c>
    </row>
    <row r="38804" spans="8:8" x14ac:dyDescent="0.3">
      <c r="H38804" t="str">
        <f t="shared" si="655"/>
        <v/>
      </c>
    </row>
    <row r="38805" spans="8:8" x14ac:dyDescent="0.3">
      <c r="H38805" t="str">
        <f t="shared" si="655"/>
        <v/>
      </c>
    </row>
    <row r="38806" spans="8:8" x14ac:dyDescent="0.3">
      <c r="H38806" t="str">
        <f t="shared" si="655"/>
        <v/>
      </c>
    </row>
    <row r="38807" spans="8:8" x14ac:dyDescent="0.3">
      <c r="H38807" t="str">
        <f t="shared" ref="H38807:H38870" si="656">IF(B38807="","",$C$12)</f>
        <v/>
      </c>
    </row>
    <row r="38808" spans="8:8" x14ac:dyDescent="0.3">
      <c r="H38808" t="str">
        <f t="shared" si="656"/>
        <v/>
      </c>
    </row>
    <row r="38809" spans="8:8" x14ac:dyDescent="0.3">
      <c r="H38809" t="str">
        <f t="shared" si="656"/>
        <v/>
      </c>
    </row>
    <row r="38810" spans="8:8" x14ac:dyDescent="0.3">
      <c r="H38810" t="str">
        <f t="shared" si="656"/>
        <v/>
      </c>
    </row>
    <row r="38811" spans="8:8" x14ac:dyDescent="0.3">
      <c r="H38811" t="str">
        <f t="shared" si="656"/>
        <v/>
      </c>
    </row>
    <row r="38812" spans="8:8" x14ac:dyDescent="0.3">
      <c r="H38812" t="str">
        <f t="shared" si="656"/>
        <v/>
      </c>
    </row>
    <row r="38813" spans="8:8" x14ac:dyDescent="0.3">
      <c r="H38813" t="str">
        <f t="shared" si="656"/>
        <v/>
      </c>
    </row>
    <row r="38814" spans="8:8" x14ac:dyDescent="0.3">
      <c r="H38814" t="str">
        <f t="shared" si="656"/>
        <v/>
      </c>
    </row>
    <row r="38815" spans="8:8" x14ac:dyDescent="0.3">
      <c r="H38815" t="str">
        <f t="shared" si="656"/>
        <v/>
      </c>
    </row>
    <row r="38816" spans="8:8" x14ac:dyDescent="0.3">
      <c r="H38816" t="str">
        <f t="shared" si="656"/>
        <v/>
      </c>
    </row>
    <row r="38817" spans="8:8" x14ac:dyDescent="0.3">
      <c r="H38817" t="str">
        <f t="shared" si="656"/>
        <v/>
      </c>
    </row>
    <row r="38818" spans="8:8" x14ac:dyDescent="0.3">
      <c r="H38818" t="str">
        <f t="shared" si="656"/>
        <v/>
      </c>
    </row>
    <row r="38819" spans="8:8" x14ac:dyDescent="0.3">
      <c r="H38819" t="str">
        <f t="shared" si="656"/>
        <v/>
      </c>
    </row>
    <row r="38820" spans="8:8" x14ac:dyDescent="0.3">
      <c r="H38820" t="str">
        <f t="shared" si="656"/>
        <v/>
      </c>
    </row>
    <row r="38821" spans="8:8" x14ac:dyDescent="0.3">
      <c r="H38821" t="str">
        <f t="shared" si="656"/>
        <v/>
      </c>
    </row>
    <row r="38822" spans="8:8" x14ac:dyDescent="0.3">
      <c r="H38822" t="str">
        <f t="shared" si="656"/>
        <v/>
      </c>
    </row>
    <row r="38823" spans="8:8" x14ac:dyDescent="0.3">
      <c r="H38823" t="str">
        <f t="shared" si="656"/>
        <v/>
      </c>
    </row>
    <row r="38824" spans="8:8" x14ac:dyDescent="0.3">
      <c r="H38824" t="str">
        <f t="shared" si="656"/>
        <v/>
      </c>
    </row>
    <row r="38825" spans="8:8" x14ac:dyDescent="0.3">
      <c r="H38825" t="str">
        <f t="shared" si="656"/>
        <v/>
      </c>
    </row>
    <row r="38826" spans="8:8" x14ac:dyDescent="0.3">
      <c r="H38826" t="str">
        <f t="shared" si="656"/>
        <v/>
      </c>
    </row>
    <row r="38827" spans="8:8" x14ac:dyDescent="0.3">
      <c r="H38827" t="str">
        <f t="shared" si="656"/>
        <v/>
      </c>
    </row>
    <row r="38828" spans="8:8" x14ac:dyDescent="0.3">
      <c r="H38828" t="str">
        <f t="shared" si="656"/>
        <v/>
      </c>
    </row>
    <row r="38829" spans="8:8" x14ac:dyDescent="0.3">
      <c r="H38829" t="str">
        <f t="shared" si="656"/>
        <v/>
      </c>
    </row>
    <row r="38830" spans="8:8" x14ac:dyDescent="0.3">
      <c r="H38830" t="str">
        <f t="shared" si="656"/>
        <v/>
      </c>
    </row>
    <row r="38831" spans="8:8" x14ac:dyDescent="0.3">
      <c r="H38831" t="str">
        <f t="shared" si="656"/>
        <v/>
      </c>
    </row>
    <row r="38832" spans="8:8" x14ac:dyDescent="0.3">
      <c r="H38832" t="str">
        <f t="shared" si="656"/>
        <v/>
      </c>
    </row>
    <row r="38833" spans="8:8" x14ac:dyDescent="0.3">
      <c r="H38833" t="str">
        <f t="shared" si="656"/>
        <v/>
      </c>
    </row>
    <row r="38834" spans="8:8" x14ac:dyDescent="0.3">
      <c r="H38834" t="str">
        <f t="shared" si="656"/>
        <v/>
      </c>
    </row>
    <row r="38835" spans="8:8" x14ac:dyDescent="0.3">
      <c r="H38835" t="str">
        <f t="shared" si="656"/>
        <v/>
      </c>
    </row>
    <row r="38836" spans="8:8" x14ac:dyDescent="0.3">
      <c r="H38836" t="str">
        <f t="shared" si="656"/>
        <v/>
      </c>
    </row>
    <row r="38837" spans="8:8" x14ac:dyDescent="0.3">
      <c r="H38837" t="str">
        <f t="shared" si="656"/>
        <v/>
      </c>
    </row>
    <row r="38838" spans="8:8" x14ac:dyDescent="0.3">
      <c r="H38838" t="str">
        <f t="shared" si="656"/>
        <v/>
      </c>
    </row>
    <row r="38839" spans="8:8" x14ac:dyDescent="0.3">
      <c r="H38839" t="str">
        <f t="shared" si="656"/>
        <v/>
      </c>
    </row>
    <row r="38840" spans="8:8" x14ac:dyDescent="0.3">
      <c r="H38840" t="str">
        <f t="shared" si="656"/>
        <v/>
      </c>
    </row>
    <row r="38841" spans="8:8" x14ac:dyDescent="0.3">
      <c r="H38841" t="str">
        <f t="shared" si="656"/>
        <v/>
      </c>
    </row>
    <row r="38842" spans="8:8" x14ac:dyDescent="0.3">
      <c r="H38842" t="str">
        <f t="shared" si="656"/>
        <v/>
      </c>
    </row>
    <row r="38843" spans="8:8" x14ac:dyDescent="0.3">
      <c r="H38843" t="str">
        <f t="shared" si="656"/>
        <v/>
      </c>
    </row>
    <row r="38844" spans="8:8" x14ac:dyDescent="0.3">
      <c r="H38844" t="str">
        <f t="shared" si="656"/>
        <v/>
      </c>
    </row>
    <row r="38845" spans="8:8" x14ac:dyDescent="0.3">
      <c r="H38845" t="str">
        <f t="shared" si="656"/>
        <v/>
      </c>
    </row>
    <row r="38846" spans="8:8" x14ac:dyDescent="0.3">
      <c r="H38846" t="str">
        <f t="shared" si="656"/>
        <v/>
      </c>
    </row>
    <row r="38847" spans="8:8" x14ac:dyDescent="0.3">
      <c r="H38847" t="str">
        <f t="shared" si="656"/>
        <v/>
      </c>
    </row>
    <row r="38848" spans="8:8" x14ac:dyDescent="0.3">
      <c r="H38848" t="str">
        <f t="shared" si="656"/>
        <v/>
      </c>
    </row>
    <row r="38849" spans="8:8" x14ac:dyDescent="0.3">
      <c r="H38849" t="str">
        <f t="shared" si="656"/>
        <v/>
      </c>
    </row>
    <row r="38850" spans="8:8" x14ac:dyDescent="0.3">
      <c r="H38850" t="str">
        <f t="shared" si="656"/>
        <v/>
      </c>
    </row>
    <row r="38851" spans="8:8" x14ac:dyDescent="0.3">
      <c r="H38851" t="str">
        <f t="shared" si="656"/>
        <v/>
      </c>
    </row>
    <row r="38852" spans="8:8" x14ac:dyDescent="0.3">
      <c r="H38852" t="str">
        <f t="shared" si="656"/>
        <v/>
      </c>
    </row>
    <row r="38853" spans="8:8" x14ac:dyDescent="0.3">
      <c r="H38853" t="str">
        <f t="shared" si="656"/>
        <v/>
      </c>
    </row>
    <row r="38854" spans="8:8" x14ac:dyDescent="0.3">
      <c r="H38854" t="str">
        <f t="shared" si="656"/>
        <v/>
      </c>
    </row>
    <row r="38855" spans="8:8" x14ac:dyDescent="0.3">
      <c r="H38855" t="str">
        <f t="shared" si="656"/>
        <v/>
      </c>
    </row>
    <row r="38856" spans="8:8" x14ac:dyDescent="0.3">
      <c r="H38856" t="str">
        <f t="shared" si="656"/>
        <v/>
      </c>
    </row>
    <row r="38857" spans="8:8" x14ac:dyDescent="0.3">
      <c r="H38857" t="str">
        <f t="shared" si="656"/>
        <v/>
      </c>
    </row>
    <row r="38858" spans="8:8" x14ac:dyDescent="0.3">
      <c r="H38858" t="str">
        <f t="shared" si="656"/>
        <v/>
      </c>
    </row>
    <row r="38859" spans="8:8" x14ac:dyDescent="0.3">
      <c r="H38859" t="str">
        <f t="shared" si="656"/>
        <v/>
      </c>
    </row>
    <row r="38860" spans="8:8" x14ac:dyDescent="0.3">
      <c r="H38860" t="str">
        <f t="shared" si="656"/>
        <v/>
      </c>
    </row>
    <row r="38861" spans="8:8" x14ac:dyDescent="0.3">
      <c r="H38861" t="str">
        <f t="shared" si="656"/>
        <v/>
      </c>
    </row>
    <row r="38862" spans="8:8" x14ac:dyDescent="0.3">
      <c r="H38862" t="str">
        <f t="shared" si="656"/>
        <v/>
      </c>
    </row>
    <row r="38863" spans="8:8" x14ac:dyDescent="0.3">
      <c r="H38863" t="str">
        <f t="shared" si="656"/>
        <v/>
      </c>
    </row>
    <row r="38864" spans="8:8" x14ac:dyDescent="0.3">
      <c r="H38864" t="str">
        <f t="shared" si="656"/>
        <v/>
      </c>
    </row>
    <row r="38865" spans="8:8" x14ac:dyDescent="0.3">
      <c r="H38865" t="str">
        <f t="shared" si="656"/>
        <v/>
      </c>
    </row>
    <row r="38866" spans="8:8" x14ac:dyDescent="0.3">
      <c r="H38866" t="str">
        <f t="shared" si="656"/>
        <v/>
      </c>
    </row>
    <row r="38867" spans="8:8" x14ac:dyDescent="0.3">
      <c r="H38867" t="str">
        <f t="shared" si="656"/>
        <v/>
      </c>
    </row>
    <row r="38868" spans="8:8" x14ac:dyDescent="0.3">
      <c r="H38868" t="str">
        <f t="shared" si="656"/>
        <v/>
      </c>
    </row>
    <row r="38869" spans="8:8" x14ac:dyDescent="0.3">
      <c r="H38869" t="str">
        <f t="shared" si="656"/>
        <v/>
      </c>
    </row>
    <row r="38870" spans="8:8" x14ac:dyDescent="0.3">
      <c r="H38870" t="str">
        <f t="shared" si="656"/>
        <v/>
      </c>
    </row>
    <row r="38871" spans="8:8" x14ac:dyDescent="0.3">
      <c r="H38871" t="str">
        <f t="shared" ref="H38871:H38934" si="657">IF(B38871="","",$C$12)</f>
        <v/>
      </c>
    </row>
    <row r="38872" spans="8:8" x14ac:dyDescent="0.3">
      <c r="H38872" t="str">
        <f t="shared" si="657"/>
        <v/>
      </c>
    </row>
    <row r="38873" spans="8:8" x14ac:dyDescent="0.3">
      <c r="H38873" t="str">
        <f t="shared" si="657"/>
        <v/>
      </c>
    </row>
    <row r="38874" spans="8:8" x14ac:dyDescent="0.3">
      <c r="H38874" t="str">
        <f t="shared" si="657"/>
        <v/>
      </c>
    </row>
    <row r="38875" spans="8:8" x14ac:dyDescent="0.3">
      <c r="H38875" t="str">
        <f t="shared" si="657"/>
        <v/>
      </c>
    </row>
    <row r="38876" spans="8:8" x14ac:dyDescent="0.3">
      <c r="H38876" t="str">
        <f t="shared" si="657"/>
        <v/>
      </c>
    </row>
    <row r="38877" spans="8:8" x14ac:dyDescent="0.3">
      <c r="H38877" t="str">
        <f t="shared" si="657"/>
        <v/>
      </c>
    </row>
    <row r="38878" spans="8:8" x14ac:dyDescent="0.3">
      <c r="H38878" t="str">
        <f t="shared" si="657"/>
        <v/>
      </c>
    </row>
    <row r="38879" spans="8:8" x14ac:dyDescent="0.3">
      <c r="H38879" t="str">
        <f t="shared" si="657"/>
        <v/>
      </c>
    </row>
    <row r="38880" spans="8:8" x14ac:dyDescent="0.3">
      <c r="H38880" t="str">
        <f t="shared" si="657"/>
        <v/>
      </c>
    </row>
    <row r="38881" spans="8:8" x14ac:dyDescent="0.3">
      <c r="H38881" t="str">
        <f t="shared" si="657"/>
        <v/>
      </c>
    </row>
    <row r="38882" spans="8:8" x14ac:dyDescent="0.3">
      <c r="H38882" t="str">
        <f t="shared" si="657"/>
        <v/>
      </c>
    </row>
    <row r="38883" spans="8:8" x14ac:dyDescent="0.3">
      <c r="H38883" t="str">
        <f t="shared" si="657"/>
        <v/>
      </c>
    </row>
    <row r="38884" spans="8:8" x14ac:dyDescent="0.3">
      <c r="H38884" t="str">
        <f t="shared" si="657"/>
        <v/>
      </c>
    </row>
    <row r="38885" spans="8:8" x14ac:dyDescent="0.3">
      <c r="H38885" t="str">
        <f t="shared" si="657"/>
        <v/>
      </c>
    </row>
    <row r="38886" spans="8:8" x14ac:dyDescent="0.3">
      <c r="H38886" t="str">
        <f t="shared" si="657"/>
        <v/>
      </c>
    </row>
    <row r="38887" spans="8:8" x14ac:dyDescent="0.3">
      <c r="H38887" t="str">
        <f t="shared" si="657"/>
        <v/>
      </c>
    </row>
    <row r="38888" spans="8:8" x14ac:dyDescent="0.3">
      <c r="H38888" t="str">
        <f t="shared" si="657"/>
        <v/>
      </c>
    </row>
    <row r="38889" spans="8:8" x14ac:dyDescent="0.3">
      <c r="H38889" t="str">
        <f t="shared" si="657"/>
        <v/>
      </c>
    </row>
    <row r="38890" spans="8:8" x14ac:dyDescent="0.3">
      <c r="H38890" t="str">
        <f t="shared" si="657"/>
        <v/>
      </c>
    </row>
    <row r="38891" spans="8:8" x14ac:dyDescent="0.3">
      <c r="H38891" t="str">
        <f t="shared" si="657"/>
        <v/>
      </c>
    </row>
    <row r="38892" spans="8:8" x14ac:dyDescent="0.3">
      <c r="H38892" t="str">
        <f t="shared" si="657"/>
        <v/>
      </c>
    </row>
    <row r="38893" spans="8:8" x14ac:dyDescent="0.3">
      <c r="H38893" t="str">
        <f t="shared" si="657"/>
        <v/>
      </c>
    </row>
    <row r="38894" spans="8:8" x14ac:dyDescent="0.3">
      <c r="H38894" t="str">
        <f t="shared" si="657"/>
        <v/>
      </c>
    </row>
    <row r="38895" spans="8:8" x14ac:dyDescent="0.3">
      <c r="H38895" t="str">
        <f t="shared" si="657"/>
        <v/>
      </c>
    </row>
    <row r="38896" spans="8:8" x14ac:dyDescent="0.3">
      <c r="H38896" t="str">
        <f t="shared" si="657"/>
        <v/>
      </c>
    </row>
    <row r="38897" spans="8:8" x14ac:dyDescent="0.3">
      <c r="H38897" t="str">
        <f t="shared" si="657"/>
        <v/>
      </c>
    </row>
    <row r="38898" spans="8:8" x14ac:dyDescent="0.3">
      <c r="H38898" t="str">
        <f t="shared" si="657"/>
        <v/>
      </c>
    </row>
    <row r="38899" spans="8:8" x14ac:dyDescent="0.3">
      <c r="H38899" t="str">
        <f t="shared" si="657"/>
        <v/>
      </c>
    </row>
    <row r="38900" spans="8:8" x14ac:dyDescent="0.3">
      <c r="H38900" t="str">
        <f t="shared" si="657"/>
        <v/>
      </c>
    </row>
    <row r="38901" spans="8:8" x14ac:dyDescent="0.3">
      <c r="H38901" t="str">
        <f t="shared" si="657"/>
        <v/>
      </c>
    </row>
    <row r="38902" spans="8:8" x14ac:dyDescent="0.3">
      <c r="H38902" t="str">
        <f t="shared" si="657"/>
        <v/>
      </c>
    </row>
    <row r="38903" spans="8:8" x14ac:dyDescent="0.3">
      <c r="H38903" t="str">
        <f t="shared" si="657"/>
        <v/>
      </c>
    </row>
    <row r="38904" spans="8:8" x14ac:dyDescent="0.3">
      <c r="H38904" t="str">
        <f t="shared" si="657"/>
        <v/>
      </c>
    </row>
    <row r="38905" spans="8:8" x14ac:dyDescent="0.3">
      <c r="H38905" t="str">
        <f t="shared" si="657"/>
        <v/>
      </c>
    </row>
    <row r="38906" spans="8:8" x14ac:dyDescent="0.3">
      <c r="H38906" t="str">
        <f t="shared" si="657"/>
        <v/>
      </c>
    </row>
    <row r="38907" spans="8:8" x14ac:dyDescent="0.3">
      <c r="H38907" t="str">
        <f t="shared" si="657"/>
        <v/>
      </c>
    </row>
    <row r="38908" spans="8:8" x14ac:dyDescent="0.3">
      <c r="H38908" t="str">
        <f t="shared" si="657"/>
        <v/>
      </c>
    </row>
    <row r="38909" spans="8:8" x14ac:dyDescent="0.3">
      <c r="H38909" t="str">
        <f t="shared" si="657"/>
        <v/>
      </c>
    </row>
    <row r="38910" spans="8:8" x14ac:dyDescent="0.3">
      <c r="H38910" t="str">
        <f t="shared" si="657"/>
        <v/>
      </c>
    </row>
    <row r="38911" spans="8:8" x14ac:dyDescent="0.3">
      <c r="H38911" t="str">
        <f t="shared" si="657"/>
        <v/>
      </c>
    </row>
    <row r="38912" spans="8:8" x14ac:dyDescent="0.3">
      <c r="H38912" t="str">
        <f t="shared" si="657"/>
        <v/>
      </c>
    </row>
    <row r="38913" spans="8:8" x14ac:dyDescent="0.3">
      <c r="H38913" t="str">
        <f t="shared" si="657"/>
        <v/>
      </c>
    </row>
    <row r="38914" spans="8:8" x14ac:dyDescent="0.3">
      <c r="H38914" t="str">
        <f t="shared" si="657"/>
        <v/>
      </c>
    </row>
    <row r="38915" spans="8:8" x14ac:dyDescent="0.3">
      <c r="H38915" t="str">
        <f t="shared" si="657"/>
        <v/>
      </c>
    </row>
    <row r="38916" spans="8:8" x14ac:dyDescent="0.3">
      <c r="H38916" t="str">
        <f t="shared" si="657"/>
        <v/>
      </c>
    </row>
    <row r="38917" spans="8:8" x14ac:dyDescent="0.3">
      <c r="H38917" t="str">
        <f t="shared" si="657"/>
        <v/>
      </c>
    </row>
    <row r="38918" spans="8:8" x14ac:dyDescent="0.3">
      <c r="H38918" t="str">
        <f t="shared" si="657"/>
        <v/>
      </c>
    </row>
    <row r="38919" spans="8:8" x14ac:dyDescent="0.3">
      <c r="H38919" t="str">
        <f t="shared" si="657"/>
        <v/>
      </c>
    </row>
    <row r="38920" spans="8:8" x14ac:dyDescent="0.3">
      <c r="H38920" t="str">
        <f t="shared" si="657"/>
        <v/>
      </c>
    </row>
    <row r="38921" spans="8:8" x14ac:dyDescent="0.3">
      <c r="H38921" t="str">
        <f t="shared" si="657"/>
        <v/>
      </c>
    </row>
    <row r="38922" spans="8:8" x14ac:dyDescent="0.3">
      <c r="H38922" t="str">
        <f t="shared" si="657"/>
        <v/>
      </c>
    </row>
    <row r="38923" spans="8:8" x14ac:dyDescent="0.3">
      <c r="H38923" t="str">
        <f t="shared" si="657"/>
        <v/>
      </c>
    </row>
    <row r="38924" spans="8:8" x14ac:dyDescent="0.3">
      <c r="H38924" t="str">
        <f t="shared" si="657"/>
        <v/>
      </c>
    </row>
    <row r="38925" spans="8:8" x14ac:dyDescent="0.3">
      <c r="H38925" t="str">
        <f t="shared" si="657"/>
        <v/>
      </c>
    </row>
    <row r="38926" spans="8:8" x14ac:dyDescent="0.3">
      <c r="H38926" t="str">
        <f t="shared" si="657"/>
        <v/>
      </c>
    </row>
    <row r="38927" spans="8:8" x14ac:dyDescent="0.3">
      <c r="H38927" t="str">
        <f t="shared" si="657"/>
        <v/>
      </c>
    </row>
    <row r="38928" spans="8:8" x14ac:dyDescent="0.3">
      <c r="H38928" t="str">
        <f t="shared" si="657"/>
        <v/>
      </c>
    </row>
    <row r="38929" spans="8:8" x14ac:dyDescent="0.3">
      <c r="H38929" t="str">
        <f t="shared" si="657"/>
        <v/>
      </c>
    </row>
    <row r="38930" spans="8:8" x14ac:dyDescent="0.3">
      <c r="H38930" t="str">
        <f t="shared" si="657"/>
        <v/>
      </c>
    </row>
    <row r="38931" spans="8:8" x14ac:dyDescent="0.3">
      <c r="H38931" t="str">
        <f t="shared" si="657"/>
        <v/>
      </c>
    </row>
    <row r="38932" spans="8:8" x14ac:dyDescent="0.3">
      <c r="H38932" t="str">
        <f t="shared" si="657"/>
        <v/>
      </c>
    </row>
    <row r="38933" spans="8:8" x14ac:dyDescent="0.3">
      <c r="H38933" t="str">
        <f t="shared" si="657"/>
        <v/>
      </c>
    </row>
    <row r="38934" spans="8:8" x14ac:dyDescent="0.3">
      <c r="H38934" t="str">
        <f t="shared" si="657"/>
        <v/>
      </c>
    </row>
    <row r="38935" spans="8:8" x14ac:dyDescent="0.3">
      <c r="H38935" t="str">
        <f t="shared" ref="H38935:H38998" si="658">IF(B38935="","",$C$12)</f>
        <v/>
      </c>
    </row>
    <row r="38936" spans="8:8" x14ac:dyDescent="0.3">
      <c r="H38936" t="str">
        <f t="shared" si="658"/>
        <v/>
      </c>
    </row>
    <row r="38937" spans="8:8" x14ac:dyDescent="0.3">
      <c r="H38937" t="str">
        <f t="shared" si="658"/>
        <v/>
      </c>
    </row>
    <row r="38938" spans="8:8" x14ac:dyDescent="0.3">
      <c r="H38938" t="str">
        <f t="shared" si="658"/>
        <v/>
      </c>
    </row>
    <row r="38939" spans="8:8" x14ac:dyDescent="0.3">
      <c r="H38939" t="str">
        <f t="shared" si="658"/>
        <v/>
      </c>
    </row>
    <row r="38940" spans="8:8" x14ac:dyDescent="0.3">
      <c r="H38940" t="str">
        <f t="shared" si="658"/>
        <v/>
      </c>
    </row>
    <row r="38941" spans="8:8" x14ac:dyDescent="0.3">
      <c r="H38941" t="str">
        <f t="shared" si="658"/>
        <v/>
      </c>
    </row>
    <row r="38942" spans="8:8" x14ac:dyDescent="0.3">
      <c r="H38942" t="str">
        <f t="shared" si="658"/>
        <v/>
      </c>
    </row>
    <row r="38943" spans="8:8" x14ac:dyDescent="0.3">
      <c r="H38943" t="str">
        <f t="shared" si="658"/>
        <v/>
      </c>
    </row>
    <row r="38944" spans="8:8" x14ac:dyDescent="0.3">
      <c r="H38944" t="str">
        <f t="shared" si="658"/>
        <v/>
      </c>
    </row>
    <row r="38945" spans="8:8" x14ac:dyDescent="0.3">
      <c r="H38945" t="str">
        <f t="shared" si="658"/>
        <v/>
      </c>
    </row>
    <row r="38946" spans="8:8" x14ac:dyDescent="0.3">
      <c r="H38946" t="str">
        <f t="shared" si="658"/>
        <v/>
      </c>
    </row>
    <row r="38947" spans="8:8" x14ac:dyDescent="0.3">
      <c r="H38947" t="str">
        <f t="shared" si="658"/>
        <v/>
      </c>
    </row>
    <row r="38948" spans="8:8" x14ac:dyDescent="0.3">
      <c r="H38948" t="str">
        <f t="shared" si="658"/>
        <v/>
      </c>
    </row>
    <row r="38949" spans="8:8" x14ac:dyDescent="0.3">
      <c r="H38949" t="str">
        <f t="shared" si="658"/>
        <v/>
      </c>
    </row>
    <row r="38950" spans="8:8" x14ac:dyDescent="0.3">
      <c r="H38950" t="str">
        <f t="shared" si="658"/>
        <v/>
      </c>
    </row>
    <row r="38951" spans="8:8" x14ac:dyDescent="0.3">
      <c r="H38951" t="str">
        <f t="shared" si="658"/>
        <v/>
      </c>
    </row>
    <row r="38952" spans="8:8" x14ac:dyDescent="0.3">
      <c r="H38952" t="str">
        <f t="shared" si="658"/>
        <v/>
      </c>
    </row>
    <row r="38953" spans="8:8" x14ac:dyDescent="0.3">
      <c r="H38953" t="str">
        <f t="shared" si="658"/>
        <v/>
      </c>
    </row>
    <row r="38954" spans="8:8" x14ac:dyDescent="0.3">
      <c r="H38954" t="str">
        <f t="shared" si="658"/>
        <v/>
      </c>
    </row>
    <row r="38955" spans="8:8" x14ac:dyDescent="0.3">
      <c r="H38955" t="str">
        <f t="shared" si="658"/>
        <v/>
      </c>
    </row>
    <row r="38956" spans="8:8" x14ac:dyDescent="0.3">
      <c r="H38956" t="str">
        <f t="shared" si="658"/>
        <v/>
      </c>
    </row>
    <row r="38957" spans="8:8" x14ac:dyDescent="0.3">
      <c r="H38957" t="str">
        <f t="shared" si="658"/>
        <v/>
      </c>
    </row>
    <row r="38958" spans="8:8" x14ac:dyDescent="0.3">
      <c r="H38958" t="str">
        <f t="shared" si="658"/>
        <v/>
      </c>
    </row>
    <row r="38959" spans="8:8" x14ac:dyDescent="0.3">
      <c r="H38959" t="str">
        <f t="shared" si="658"/>
        <v/>
      </c>
    </row>
    <row r="38960" spans="8:8" x14ac:dyDescent="0.3">
      <c r="H38960" t="str">
        <f t="shared" si="658"/>
        <v/>
      </c>
    </row>
    <row r="38961" spans="8:8" x14ac:dyDescent="0.3">
      <c r="H38961" t="str">
        <f t="shared" si="658"/>
        <v/>
      </c>
    </row>
    <row r="38962" spans="8:8" x14ac:dyDescent="0.3">
      <c r="H38962" t="str">
        <f t="shared" si="658"/>
        <v/>
      </c>
    </row>
    <row r="38963" spans="8:8" x14ac:dyDescent="0.3">
      <c r="H38963" t="str">
        <f t="shared" si="658"/>
        <v/>
      </c>
    </row>
    <row r="38964" spans="8:8" x14ac:dyDescent="0.3">
      <c r="H38964" t="str">
        <f t="shared" si="658"/>
        <v/>
      </c>
    </row>
    <row r="38965" spans="8:8" x14ac:dyDescent="0.3">
      <c r="H38965" t="str">
        <f t="shared" si="658"/>
        <v/>
      </c>
    </row>
    <row r="38966" spans="8:8" x14ac:dyDescent="0.3">
      <c r="H38966" t="str">
        <f t="shared" si="658"/>
        <v/>
      </c>
    </row>
    <row r="38967" spans="8:8" x14ac:dyDescent="0.3">
      <c r="H38967" t="str">
        <f t="shared" si="658"/>
        <v/>
      </c>
    </row>
    <row r="38968" spans="8:8" x14ac:dyDescent="0.3">
      <c r="H38968" t="str">
        <f t="shared" si="658"/>
        <v/>
      </c>
    </row>
    <row r="38969" spans="8:8" x14ac:dyDescent="0.3">
      <c r="H38969" t="str">
        <f t="shared" si="658"/>
        <v/>
      </c>
    </row>
    <row r="38970" spans="8:8" x14ac:dyDescent="0.3">
      <c r="H38970" t="str">
        <f t="shared" si="658"/>
        <v/>
      </c>
    </row>
    <row r="38971" spans="8:8" x14ac:dyDescent="0.3">
      <c r="H38971" t="str">
        <f t="shared" si="658"/>
        <v/>
      </c>
    </row>
    <row r="38972" spans="8:8" x14ac:dyDescent="0.3">
      <c r="H38972" t="str">
        <f t="shared" si="658"/>
        <v/>
      </c>
    </row>
    <row r="38973" spans="8:8" x14ac:dyDescent="0.3">
      <c r="H38973" t="str">
        <f t="shared" si="658"/>
        <v/>
      </c>
    </row>
    <row r="38974" spans="8:8" x14ac:dyDescent="0.3">
      <c r="H38974" t="str">
        <f t="shared" si="658"/>
        <v/>
      </c>
    </row>
    <row r="38975" spans="8:8" x14ac:dyDescent="0.3">
      <c r="H38975" t="str">
        <f t="shared" si="658"/>
        <v/>
      </c>
    </row>
    <row r="38976" spans="8:8" x14ac:dyDescent="0.3">
      <c r="H38976" t="str">
        <f t="shared" si="658"/>
        <v/>
      </c>
    </row>
    <row r="38977" spans="8:8" x14ac:dyDescent="0.3">
      <c r="H38977" t="str">
        <f t="shared" si="658"/>
        <v/>
      </c>
    </row>
    <row r="38978" spans="8:8" x14ac:dyDescent="0.3">
      <c r="H38978" t="str">
        <f t="shared" si="658"/>
        <v/>
      </c>
    </row>
    <row r="38979" spans="8:8" x14ac:dyDescent="0.3">
      <c r="H38979" t="str">
        <f t="shared" si="658"/>
        <v/>
      </c>
    </row>
    <row r="38980" spans="8:8" x14ac:dyDescent="0.3">
      <c r="H38980" t="str">
        <f t="shared" si="658"/>
        <v/>
      </c>
    </row>
    <row r="38981" spans="8:8" x14ac:dyDescent="0.3">
      <c r="H38981" t="str">
        <f t="shared" si="658"/>
        <v/>
      </c>
    </row>
    <row r="38982" spans="8:8" x14ac:dyDescent="0.3">
      <c r="H38982" t="str">
        <f t="shared" si="658"/>
        <v/>
      </c>
    </row>
    <row r="38983" spans="8:8" x14ac:dyDescent="0.3">
      <c r="H38983" t="str">
        <f t="shared" si="658"/>
        <v/>
      </c>
    </row>
    <row r="38984" spans="8:8" x14ac:dyDescent="0.3">
      <c r="H38984" t="str">
        <f t="shared" si="658"/>
        <v/>
      </c>
    </row>
    <row r="38985" spans="8:8" x14ac:dyDescent="0.3">
      <c r="H38985" t="str">
        <f t="shared" si="658"/>
        <v/>
      </c>
    </row>
    <row r="38986" spans="8:8" x14ac:dyDescent="0.3">
      <c r="H38986" t="str">
        <f t="shared" si="658"/>
        <v/>
      </c>
    </row>
    <row r="38987" spans="8:8" x14ac:dyDescent="0.3">
      <c r="H38987" t="str">
        <f t="shared" si="658"/>
        <v/>
      </c>
    </row>
    <row r="38988" spans="8:8" x14ac:dyDescent="0.3">
      <c r="H38988" t="str">
        <f t="shared" si="658"/>
        <v/>
      </c>
    </row>
    <row r="38989" spans="8:8" x14ac:dyDescent="0.3">
      <c r="H38989" t="str">
        <f t="shared" si="658"/>
        <v/>
      </c>
    </row>
    <row r="38990" spans="8:8" x14ac:dyDescent="0.3">
      <c r="H38990" t="str">
        <f t="shared" si="658"/>
        <v/>
      </c>
    </row>
    <row r="38991" spans="8:8" x14ac:dyDescent="0.3">
      <c r="H38991" t="str">
        <f t="shared" si="658"/>
        <v/>
      </c>
    </row>
    <row r="38992" spans="8:8" x14ac:dyDescent="0.3">
      <c r="H38992" t="str">
        <f t="shared" si="658"/>
        <v/>
      </c>
    </row>
    <row r="38993" spans="8:8" x14ac:dyDescent="0.3">
      <c r="H38993" t="str">
        <f t="shared" si="658"/>
        <v/>
      </c>
    </row>
    <row r="38994" spans="8:8" x14ac:dyDescent="0.3">
      <c r="H38994" t="str">
        <f t="shared" si="658"/>
        <v/>
      </c>
    </row>
    <row r="38995" spans="8:8" x14ac:dyDescent="0.3">
      <c r="H38995" t="str">
        <f t="shared" si="658"/>
        <v/>
      </c>
    </row>
    <row r="38996" spans="8:8" x14ac:dyDescent="0.3">
      <c r="H38996" t="str">
        <f t="shared" si="658"/>
        <v/>
      </c>
    </row>
    <row r="38997" spans="8:8" x14ac:dyDescent="0.3">
      <c r="H38997" t="str">
        <f t="shared" si="658"/>
        <v/>
      </c>
    </row>
    <row r="38998" spans="8:8" x14ac:dyDescent="0.3">
      <c r="H38998" t="str">
        <f t="shared" si="658"/>
        <v/>
      </c>
    </row>
    <row r="38999" spans="8:8" x14ac:dyDescent="0.3">
      <c r="H38999" t="str">
        <f t="shared" ref="H38999:H39062" si="659">IF(B38999="","",$C$12)</f>
        <v/>
      </c>
    </row>
    <row r="39000" spans="8:8" x14ac:dyDescent="0.3">
      <c r="H39000" t="str">
        <f t="shared" si="659"/>
        <v/>
      </c>
    </row>
    <row r="39001" spans="8:8" x14ac:dyDescent="0.3">
      <c r="H39001" t="str">
        <f t="shared" si="659"/>
        <v/>
      </c>
    </row>
    <row r="39002" spans="8:8" x14ac:dyDescent="0.3">
      <c r="H39002" t="str">
        <f t="shared" si="659"/>
        <v/>
      </c>
    </row>
    <row r="39003" spans="8:8" x14ac:dyDescent="0.3">
      <c r="H39003" t="str">
        <f t="shared" si="659"/>
        <v/>
      </c>
    </row>
    <row r="39004" spans="8:8" x14ac:dyDescent="0.3">
      <c r="H39004" t="str">
        <f t="shared" si="659"/>
        <v/>
      </c>
    </row>
    <row r="39005" spans="8:8" x14ac:dyDescent="0.3">
      <c r="H39005" t="str">
        <f t="shared" si="659"/>
        <v/>
      </c>
    </row>
    <row r="39006" spans="8:8" x14ac:dyDescent="0.3">
      <c r="H39006" t="str">
        <f t="shared" si="659"/>
        <v/>
      </c>
    </row>
    <row r="39007" spans="8:8" x14ac:dyDescent="0.3">
      <c r="H39007" t="str">
        <f t="shared" si="659"/>
        <v/>
      </c>
    </row>
    <row r="39008" spans="8:8" x14ac:dyDescent="0.3">
      <c r="H39008" t="str">
        <f t="shared" si="659"/>
        <v/>
      </c>
    </row>
    <row r="39009" spans="8:8" x14ac:dyDescent="0.3">
      <c r="H39009" t="str">
        <f t="shared" si="659"/>
        <v/>
      </c>
    </row>
    <row r="39010" spans="8:8" x14ac:dyDescent="0.3">
      <c r="H39010" t="str">
        <f t="shared" si="659"/>
        <v/>
      </c>
    </row>
    <row r="39011" spans="8:8" x14ac:dyDescent="0.3">
      <c r="H39011" t="str">
        <f t="shared" si="659"/>
        <v/>
      </c>
    </row>
    <row r="39012" spans="8:8" x14ac:dyDescent="0.3">
      <c r="H39012" t="str">
        <f t="shared" si="659"/>
        <v/>
      </c>
    </row>
    <row r="39013" spans="8:8" x14ac:dyDescent="0.3">
      <c r="H39013" t="str">
        <f t="shared" si="659"/>
        <v/>
      </c>
    </row>
    <row r="39014" spans="8:8" x14ac:dyDescent="0.3">
      <c r="H39014" t="str">
        <f t="shared" si="659"/>
        <v/>
      </c>
    </row>
    <row r="39015" spans="8:8" x14ac:dyDescent="0.3">
      <c r="H39015" t="str">
        <f t="shared" si="659"/>
        <v/>
      </c>
    </row>
    <row r="39016" spans="8:8" x14ac:dyDescent="0.3">
      <c r="H39016" t="str">
        <f t="shared" si="659"/>
        <v/>
      </c>
    </row>
    <row r="39017" spans="8:8" x14ac:dyDescent="0.3">
      <c r="H39017" t="str">
        <f t="shared" si="659"/>
        <v/>
      </c>
    </row>
    <row r="39018" spans="8:8" x14ac:dyDescent="0.3">
      <c r="H39018" t="str">
        <f t="shared" si="659"/>
        <v/>
      </c>
    </row>
    <row r="39019" spans="8:8" x14ac:dyDescent="0.3">
      <c r="H39019" t="str">
        <f t="shared" si="659"/>
        <v/>
      </c>
    </row>
    <row r="39020" spans="8:8" x14ac:dyDescent="0.3">
      <c r="H39020" t="str">
        <f t="shared" si="659"/>
        <v/>
      </c>
    </row>
    <row r="39021" spans="8:8" x14ac:dyDescent="0.3">
      <c r="H39021" t="str">
        <f t="shared" si="659"/>
        <v/>
      </c>
    </row>
    <row r="39022" spans="8:8" x14ac:dyDescent="0.3">
      <c r="H39022" t="str">
        <f t="shared" si="659"/>
        <v/>
      </c>
    </row>
    <row r="39023" spans="8:8" x14ac:dyDescent="0.3">
      <c r="H39023" t="str">
        <f t="shared" si="659"/>
        <v/>
      </c>
    </row>
    <row r="39024" spans="8:8" x14ac:dyDescent="0.3">
      <c r="H39024" t="str">
        <f t="shared" si="659"/>
        <v/>
      </c>
    </row>
    <row r="39025" spans="8:8" x14ac:dyDescent="0.3">
      <c r="H39025" t="str">
        <f t="shared" si="659"/>
        <v/>
      </c>
    </row>
    <row r="39026" spans="8:8" x14ac:dyDescent="0.3">
      <c r="H39026" t="str">
        <f t="shared" si="659"/>
        <v/>
      </c>
    </row>
    <row r="39027" spans="8:8" x14ac:dyDescent="0.3">
      <c r="H39027" t="str">
        <f t="shared" si="659"/>
        <v/>
      </c>
    </row>
    <row r="39028" spans="8:8" x14ac:dyDescent="0.3">
      <c r="H39028" t="str">
        <f t="shared" si="659"/>
        <v/>
      </c>
    </row>
    <row r="39029" spans="8:8" x14ac:dyDescent="0.3">
      <c r="H39029" t="str">
        <f t="shared" si="659"/>
        <v/>
      </c>
    </row>
    <row r="39030" spans="8:8" x14ac:dyDescent="0.3">
      <c r="H39030" t="str">
        <f t="shared" si="659"/>
        <v/>
      </c>
    </row>
    <row r="39031" spans="8:8" x14ac:dyDescent="0.3">
      <c r="H39031" t="str">
        <f t="shared" si="659"/>
        <v/>
      </c>
    </row>
    <row r="39032" spans="8:8" x14ac:dyDescent="0.3">
      <c r="H39032" t="str">
        <f t="shared" si="659"/>
        <v/>
      </c>
    </row>
    <row r="39033" spans="8:8" x14ac:dyDescent="0.3">
      <c r="H39033" t="str">
        <f t="shared" si="659"/>
        <v/>
      </c>
    </row>
    <row r="39034" spans="8:8" x14ac:dyDescent="0.3">
      <c r="H39034" t="str">
        <f t="shared" si="659"/>
        <v/>
      </c>
    </row>
    <row r="39035" spans="8:8" x14ac:dyDescent="0.3">
      <c r="H39035" t="str">
        <f t="shared" si="659"/>
        <v/>
      </c>
    </row>
    <row r="39036" spans="8:8" x14ac:dyDescent="0.3">
      <c r="H39036" t="str">
        <f t="shared" si="659"/>
        <v/>
      </c>
    </row>
    <row r="39037" spans="8:8" x14ac:dyDescent="0.3">
      <c r="H39037" t="str">
        <f t="shared" si="659"/>
        <v/>
      </c>
    </row>
    <row r="39038" spans="8:8" x14ac:dyDescent="0.3">
      <c r="H39038" t="str">
        <f t="shared" si="659"/>
        <v/>
      </c>
    </row>
    <row r="39039" spans="8:8" x14ac:dyDescent="0.3">
      <c r="H39039" t="str">
        <f t="shared" si="659"/>
        <v/>
      </c>
    </row>
    <row r="39040" spans="8:8" x14ac:dyDescent="0.3">
      <c r="H39040" t="str">
        <f t="shared" si="659"/>
        <v/>
      </c>
    </row>
    <row r="39041" spans="8:8" x14ac:dyDescent="0.3">
      <c r="H39041" t="str">
        <f t="shared" si="659"/>
        <v/>
      </c>
    </row>
    <row r="39042" spans="8:8" x14ac:dyDescent="0.3">
      <c r="H39042" t="str">
        <f t="shared" si="659"/>
        <v/>
      </c>
    </row>
    <row r="39043" spans="8:8" x14ac:dyDescent="0.3">
      <c r="H39043" t="str">
        <f t="shared" si="659"/>
        <v/>
      </c>
    </row>
    <row r="39044" spans="8:8" x14ac:dyDescent="0.3">
      <c r="H39044" t="str">
        <f t="shared" si="659"/>
        <v/>
      </c>
    </row>
    <row r="39045" spans="8:8" x14ac:dyDescent="0.3">
      <c r="H39045" t="str">
        <f t="shared" si="659"/>
        <v/>
      </c>
    </row>
    <row r="39046" spans="8:8" x14ac:dyDescent="0.3">
      <c r="H39046" t="str">
        <f t="shared" si="659"/>
        <v/>
      </c>
    </row>
    <row r="39047" spans="8:8" x14ac:dyDescent="0.3">
      <c r="H39047" t="str">
        <f t="shared" si="659"/>
        <v/>
      </c>
    </row>
    <row r="39048" spans="8:8" x14ac:dyDescent="0.3">
      <c r="H39048" t="str">
        <f t="shared" si="659"/>
        <v/>
      </c>
    </row>
    <row r="39049" spans="8:8" x14ac:dyDescent="0.3">
      <c r="H39049" t="str">
        <f t="shared" si="659"/>
        <v/>
      </c>
    </row>
    <row r="39050" spans="8:8" x14ac:dyDescent="0.3">
      <c r="H39050" t="str">
        <f t="shared" si="659"/>
        <v/>
      </c>
    </row>
    <row r="39051" spans="8:8" x14ac:dyDescent="0.3">
      <c r="H39051" t="str">
        <f t="shared" si="659"/>
        <v/>
      </c>
    </row>
    <row r="39052" spans="8:8" x14ac:dyDescent="0.3">
      <c r="H39052" t="str">
        <f t="shared" si="659"/>
        <v/>
      </c>
    </row>
    <row r="39053" spans="8:8" x14ac:dyDescent="0.3">
      <c r="H39053" t="str">
        <f t="shared" si="659"/>
        <v/>
      </c>
    </row>
    <row r="39054" spans="8:8" x14ac:dyDescent="0.3">
      <c r="H39054" t="str">
        <f t="shared" si="659"/>
        <v/>
      </c>
    </row>
    <row r="39055" spans="8:8" x14ac:dyDescent="0.3">
      <c r="H39055" t="str">
        <f t="shared" si="659"/>
        <v/>
      </c>
    </row>
    <row r="39056" spans="8:8" x14ac:dyDescent="0.3">
      <c r="H39056" t="str">
        <f t="shared" si="659"/>
        <v/>
      </c>
    </row>
    <row r="39057" spans="8:8" x14ac:dyDescent="0.3">
      <c r="H39057" t="str">
        <f t="shared" si="659"/>
        <v/>
      </c>
    </row>
    <row r="39058" spans="8:8" x14ac:dyDescent="0.3">
      <c r="H39058" t="str">
        <f t="shared" si="659"/>
        <v/>
      </c>
    </row>
    <row r="39059" spans="8:8" x14ac:dyDescent="0.3">
      <c r="H39059" t="str">
        <f t="shared" si="659"/>
        <v/>
      </c>
    </row>
    <row r="39060" spans="8:8" x14ac:dyDescent="0.3">
      <c r="H39060" t="str">
        <f t="shared" si="659"/>
        <v/>
      </c>
    </row>
    <row r="39061" spans="8:8" x14ac:dyDescent="0.3">
      <c r="H39061" t="str">
        <f t="shared" si="659"/>
        <v/>
      </c>
    </row>
    <row r="39062" spans="8:8" x14ac:dyDescent="0.3">
      <c r="H39062" t="str">
        <f t="shared" si="659"/>
        <v/>
      </c>
    </row>
    <row r="39063" spans="8:8" x14ac:dyDescent="0.3">
      <c r="H39063" t="str">
        <f t="shared" ref="H39063:H39126" si="660">IF(B39063="","",$C$12)</f>
        <v/>
      </c>
    </row>
    <row r="39064" spans="8:8" x14ac:dyDescent="0.3">
      <c r="H39064" t="str">
        <f t="shared" si="660"/>
        <v/>
      </c>
    </row>
    <row r="39065" spans="8:8" x14ac:dyDescent="0.3">
      <c r="H39065" t="str">
        <f t="shared" si="660"/>
        <v/>
      </c>
    </row>
    <row r="39066" spans="8:8" x14ac:dyDescent="0.3">
      <c r="H39066" t="str">
        <f t="shared" si="660"/>
        <v/>
      </c>
    </row>
    <row r="39067" spans="8:8" x14ac:dyDescent="0.3">
      <c r="H39067" t="str">
        <f t="shared" si="660"/>
        <v/>
      </c>
    </row>
    <row r="39068" spans="8:8" x14ac:dyDescent="0.3">
      <c r="H39068" t="str">
        <f t="shared" si="660"/>
        <v/>
      </c>
    </row>
    <row r="39069" spans="8:8" x14ac:dyDescent="0.3">
      <c r="H39069" t="str">
        <f t="shared" si="660"/>
        <v/>
      </c>
    </row>
    <row r="39070" spans="8:8" x14ac:dyDescent="0.3">
      <c r="H39070" t="str">
        <f t="shared" si="660"/>
        <v/>
      </c>
    </row>
    <row r="39071" spans="8:8" x14ac:dyDescent="0.3">
      <c r="H39071" t="str">
        <f t="shared" si="660"/>
        <v/>
      </c>
    </row>
    <row r="39072" spans="8:8" x14ac:dyDescent="0.3">
      <c r="H39072" t="str">
        <f t="shared" si="660"/>
        <v/>
      </c>
    </row>
    <row r="39073" spans="8:8" x14ac:dyDescent="0.3">
      <c r="H39073" t="str">
        <f t="shared" si="660"/>
        <v/>
      </c>
    </row>
    <row r="39074" spans="8:8" x14ac:dyDescent="0.3">
      <c r="H39074" t="str">
        <f t="shared" si="660"/>
        <v/>
      </c>
    </row>
    <row r="39075" spans="8:8" x14ac:dyDescent="0.3">
      <c r="H39075" t="str">
        <f t="shared" si="660"/>
        <v/>
      </c>
    </row>
    <row r="39076" spans="8:8" x14ac:dyDescent="0.3">
      <c r="H39076" t="str">
        <f t="shared" si="660"/>
        <v/>
      </c>
    </row>
    <row r="39077" spans="8:8" x14ac:dyDescent="0.3">
      <c r="H39077" t="str">
        <f t="shared" si="660"/>
        <v/>
      </c>
    </row>
    <row r="39078" spans="8:8" x14ac:dyDescent="0.3">
      <c r="H39078" t="str">
        <f t="shared" si="660"/>
        <v/>
      </c>
    </row>
    <row r="39079" spans="8:8" x14ac:dyDescent="0.3">
      <c r="H39079" t="str">
        <f t="shared" si="660"/>
        <v/>
      </c>
    </row>
    <row r="39080" spans="8:8" x14ac:dyDescent="0.3">
      <c r="H39080" t="str">
        <f t="shared" si="660"/>
        <v/>
      </c>
    </row>
    <row r="39081" spans="8:8" x14ac:dyDescent="0.3">
      <c r="H39081" t="str">
        <f t="shared" si="660"/>
        <v/>
      </c>
    </row>
    <row r="39082" spans="8:8" x14ac:dyDescent="0.3">
      <c r="H39082" t="str">
        <f t="shared" si="660"/>
        <v/>
      </c>
    </row>
    <row r="39083" spans="8:8" x14ac:dyDescent="0.3">
      <c r="H39083" t="str">
        <f t="shared" si="660"/>
        <v/>
      </c>
    </row>
    <row r="39084" spans="8:8" x14ac:dyDescent="0.3">
      <c r="H39084" t="str">
        <f t="shared" si="660"/>
        <v/>
      </c>
    </row>
    <row r="39085" spans="8:8" x14ac:dyDescent="0.3">
      <c r="H39085" t="str">
        <f t="shared" si="660"/>
        <v/>
      </c>
    </row>
    <row r="39086" spans="8:8" x14ac:dyDescent="0.3">
      <c r="H39086" t="str">
        <f t="shared" si="660"/>
        <v/>
      </c>
    </row>
    <row r="39087" spans="8:8" x14ac:dyDescent="0.3">
      <c r="H39087" t="str">
        <f t="shared" si="660"/>
        <v/>
      </c>
    </row>
    <row r="39088" spans="8:8" x14ac:dyDescent="0.3">
      <c r="H39088" t="str">
        <f t="shared" si="660"/>
        <v/>
      </c>
    </row>
    <row r="39089" spans="8:8" x14ac:dyDescent="0.3">
      <c r="H39089" t="str">
        <f t="shared" si="660"/>
        <v/>
      </c>
    </row>
    <row r="39090" spans="8:8" x14ac:dyDescent="0.3">
      <c r="H39090" t="str">
        <f t="shared" si="660"/>
        <v/>
      </c>
    </row>
    <row r="39091" spans="8:8" x14ac:dyDescent="0.3">
      <c r="H39091" t="str">
        <f t="shared" si="660"/>
        <v/>
      </c>
    </row>
    <row r="39092" spans="8:8" x14ac:dyDescent="0.3">
      <c r="H39092" t="str">
        <f t="shared" si="660"/>
        <v/>
      </c>
    </row>
    <row r="39093" spans="8:8" x14ac:dyDescent="0.3">
      <c r="H39093" t="str">
        <f t="shared" si="660"/>
        <v/>
      </c>
    </row>
    <row r="39094" spans="8:8" x14ac:dyDescent="0.3">
      <c r="H39094" t="str">
        <f t="shared" si="660"/>
        <v/>
      </c>
    </row>
    <row r="39095" spans="8:8" x14ac:dyDescent="0.3">
      <c r="H39095" t="str">
        <f t="shared" si="660"/>
        <v/>
      </c>
    </row>
    <row r="39096" spans="8:8" x14ac:dyDescent="0.3">
      <c r="H39096" t="str">
        <f t="shared" si="660"/>
        <v/>
      </c>
    </row>
    <row r="39097" spans="8:8" x14ac:dyDescent="0.3">
      <c r="H39097" t="str">
        <f t="shared" si="660"/>
        <v/>
      </c>
    </row>
    <row r="39098" spans="8:8" x14ac:dyDescent="0.3">
      <c r="H39098" t="str">
        <f t="shared" si="660"/>
        <v/>
      </c>
    </row>
    <row r="39099" spans="8:8" x14ac:dyDescent="0.3">
      <c r="H39099" t="str">
        <f t="shared" si="660"/>
        <v/>
      </c>
    </row>
    <row r="39100" spans="8:8" x14ac:dyDescent="0.3">
      <c r="H39100" t="str">
        <f t="shared" si="660"/>
        <v/>
      </c>
    </row>
    <row r="39101" spans="8:8" x14ac:dyDescent="0.3">
      <c r="H39101" t="str">
        <f t="shared" si="660"/>
        <v/>
      </c>
    </row>
    <row r="39102" spans="8:8" x14ac:dyDescent="0.3">
      <c r="H39102" t="str">
        <f t="shared" si="660"/>
        <v/>
      </c>
    </row>
    <row r="39103" spans="8:8" x14ac:dyDescent="0.3">
      <c r="H39103" t="str">
        <f t="shared" si="660"/>
        <v/>
      </c>
    </row>
    <row r="39104" spans="8:8" x14ac:dyDescent="0.3">
      <c r="H39104" t="str">
        <f t="shared" si="660"/>
        <v/>
      </c>
    </row>
    <row r="39105" spans="8:8" x14ac:dyDescent="0.3">
      <c r="H39105" t="str">
        <f t="shared" si="660"/>
        <v/>
      </c>
    </row>
    <row r="39106" spans="8:8" x14ac:dyDescent="0.3">
      <c r="H39106" t="str">
        <f t="shared" si="660"/>
        <v/>
      </c>
    </row>
    <row r="39107" spans="8:8" x14ac:dyDescent="0.3">
      <c r="H39107" t="str">
        <f t="shared" si="660"/>
        <v/>
      </c>
    </row>
    <row r="39108" spans="8:8" x14ac:dyDescent="0.3">
      <c r="H39108" t="str">
        <f t="shared" si="660"/>
        <v/>
      </c>
    </row>
    <row r="39109" spans="8:8" x14ac:dyDescent="0.3">
      <c r="H39109" t="str">
        <f t="shared" si="660"/>
        <v/>
      </c>
    </row>
    <row r="39110" spans="8:8" x14ac:dyDescent="0.3">
      <c r="H39110" t="str">
        <f t="shared" si="660"/>
        <v/>
      </c>
    </row>
    <row r="39111" spans="8:8" x14ac:dyDescent="0.3">
      <c r="H39111" t="str">
        <f t="shared" si="660"/>
        <v/>
      </c>
    </row>
    <row r="39112" spans="8:8" x14ac:dyDescent="0.3">
      <c r="H39112" t="str">
        <f t="shared" si="660"/>
        <v/>
      </c>
    </row>
    <row r="39113" spans="8:8" x14ac:dyDescent="0.3">
      <c r="H39113" t="str">
        <f t="shared" si="660"/>
        <v/>
      </c>
    </row>
    <row r="39114" spans="8:8" x14ac:dyDescent="0.3">
      <c r="H39114" t="str">
        <f t="shared" si="660"/>
        <v/>
      </c>
    </row>
    <row r="39115" spans="8:8" x14ac:dyDescent="0.3">
      <c r="H39115" t="str">
        <f t="shared" si="660"/>
        <v/>
      </c>
    </row>
    <row r="39116" spans="8:8" x14ac:dyDescent="0.3">
      <c r="H39116" t="str">
        <f t="shared" si="660"/>
        <v/>
      </c>
    </row>
    <row r="39117" spans="8:8" x14ac:dyDescent="0.3">
      <c r="H39117" t="str">
        <f t="shared" si="660"/>
        <v/>
      </c>
    </row>
    <row r="39118" spans="8:8" x14ac:dyDescent="0.3">
      <c r="H39118" t="str">
        <f t="shared" si="660"/>
        <v/>
      </c>
    </row>
    <row r="39119" spans="8:8" x14ac:dyDescent="0.3">
      <c r="H39119" t="str">
        <f t="shared" si="660"/>
        <v/>
      </c>
    </row>
    <row r="39120" spans="8:8" x14ac:dyDescent="0.3">
      <c r="H39120" t="str">
        <f t="shared" si="660"/>
        <v/>
      </c>
    </row>
    <row r="39121" spans="8:8" x14ac:dyDescent="0.3">
      <c r="H39121" t="str">
        <f t="shared" si="660"/>
        <v/>
      </c>
    </row>
    <row r="39122" spans="8:8" x14ac:dyDescent="0.3">
      <c r="H39122" t="str">
        <f t="shared" si="660"/>
        <v/>
      </c>
    </row>
    <row r="39123" spans="8:8" x14ac:dyDescent="0.3">
      <c r="H39123" t="str">
        <f t="shared" si="660"/>
        <v/>
      </c>
    </row>
    <row r="39124" spans="8:8" x14ac:dyDescent="0.3">
      <c r="H39124" t="str">
        <f t="shared" si="660"/>
        <v/>
      </c>
    </row>
    <row r="39125" spans="8:8" x14ac:dyDescent="0.3">
      <c r="H39125" t="str">
        <f t="shared" si="660"/>
        <v/>
      </c>
    </row>
    <row r="39126" spans="8:8" x14ac:dyDescent="0.3">
      <c r="H39126" t="str">
        <f t="shared" si="660"/>
        <v/>
      </c>
    </row>
    <row r="39127" spans="8:8" x14ac:dyDescent="0.3">
      <c r="H39127" t="str">
        <f t="shared" ref="H39127:H39190" si="661">IF(B39127="","",$C$12)</f>
        <v/>
      </c>
    </row>
    <row r="39128" spans="8:8" x14ac:dyDescent="0.3">
      <c r="H39128" t="str">
        <f t="shared" si="661"/>
        <v/>
      </c>
    </row>
    <row r="39129" spans="8:8" x14ac:dyDescent="0.3">
      <c r="H39129" t="str">
        <f t="shared" si="661"/>
        <v/>
      </c>
    </row>
    <row r="39130" spans="8:8" x14ac:dyDescent="0.3">
      <c r="H39130" t="str">
        <f t="shared" si="661"/>
        <v/>
      </c>
    </row>
    <row r="39131" spans="8:8" x14ac:dyDescent="0.3">
      <c r="H39131" t="str">
        <f t="shared" si="661"/>
        <v/>
      </c>
    </row>
    <row r="39132" spans="8:8" x14ac:dyDescent="0.3">
      <c r="H39132" t="str">
        <f t="shared" si="661"/>
        <v/>
      </c>
    </row>
    <row r="39133" spans="8:8" x14ac:dyDescent="0.3">
      <c r="H39133" t="str">
        <f t="shared" si="661"/>
        <v/>
      </c>
    </row>
    <row r="39134" spans="8:8" x14ac:dyDescent="0.3">
      <c r="H39134" t="str">
        <f t="shared" si="661"/>
        <v/>
      </c>
    </row>
    <row r="39135" spans="8:8" x14ac:dyDescent="0.3">
      <c r="H39135" t="str">
        <f t="shared" si="661"/>
        <v/>
      </c>
    </row>
    <row r="39136" spans="8:8" x14ac:dyDescent="0.3">
      <c r="H39136" t="str">
        <f t="shared" si="661"/>
        <v/>
      </c>
    </row>
    <row r="39137" spans="8:8" x14ac:dyDescent="0.3">
      <c r="H39137" t="str">
        <f t="shared" si="661"/>
        <v/>
      </c>
    </row>
    <row r="39138" spans="8:8" x14ac:dyDescent="0.3">
      <c r="H39138" t="str">
        <f t="shared" si="661"/>
        <v/>
      </c>
    </row>
    <row r="39139" spans="8:8" x14ac:dyDescent="0.3">
      <c r="H39139" t="str">
        <f t="shared" si="661"/>
        <v/>
      </c>
    </row>
    <row r="39140" spans="8:8" x14ac:dyDescent="0.3">
      <c r="H39140" t="str">
        <f t="shared" si="661"/>
        <v/>
      </c>
    </row>
    <row r="39141" spans="8:8" x14ac:dyDescent="0.3">
      <c r="H39141" t="str">
        <f t="shared" si="661"/>
        <v/>
      </c>
    </row>
    <row r="39142" spans="8:8" x14ac:dyDescent="0.3">
      <c r="H39142" t="str">
        <f t="shared" si="661"/>
        <v/>
      </c>
    </row>
    <row r="39143" spans="8:8" x14ac:dyDescent="0.3">
      <c r="H39143" t="str">
        <f t="shared" si="661"/>
        <v/>
      </c>
    </row>
    <row r="39144" spans="8:8" x14ac:dyDescent="0.3">
      <c r="H39144" t="str">
        <f t="shared" si="661"/>
        <v/>
      </c>
    </row>
    <row r="39145" spans="8:8" x14ac:dyDescent="0.3">
      <c r="H39145" t="str">
        <f t="shared" si="661"/>
        <v/>
      </c>
    </row>
    <row r="39146" spans="8:8" x14ac:dyDescent="0.3">
      <c r="H39146" t="str">
        <f t="shared" si="661"/>
        <v/>
      </c>
    </row>
    <row r="39147" spans="8:8" x14ac:dyDescent="0.3">
      <c r="H39147" t="str">
        <f t="shared" si="661"/>
        <v/>
      </c>
    </row>
    <row r="39148" spans="8:8" x14ac:dyDescent="0.3">
      <c r="H39148" t="str">
        <f t="shared" si="661"/>
        <v/>
      </c>
    </row>
    <row r="39149" spans="8:8" x14ac:dyDescent="0.3">
      <c r="H39149" t="str">
        <f t="shared" si="661"/>
        <v/>
      </c>
    </row>
    <row r="39150" spans="8:8" x14ac:dyDescent="0.3">
      <c r="H39150" t="str">
        <f t="shared" si="661"/>
        <v/>
      </c>
    </row>
    <row r="39151" spans="8:8" x14ac:dyDescent="0.3">
      <c r="H39151" t="str">
        <f t="shared" si="661"/>
        <v/>
      </c>
    </row>
    <row r="39152" spans="8:8" x14ac:dyDescent="0.3">
      <c r="H39152" t="str">
        <f t="shared" si="661"/>
        <v/>
      </c>
    </row>
    <row r="39153" spans="8:8" x14ac:dyDescent="0.3">
      <c r="H39153" t="str">
        <f t="shared" si="661"/>
        <v/>
      </c>
    </row>
    <row r="39154" spans="8:8" x14ac:dyDescent="0.3">
      <c r="H39154" t="str">
        <f t="shared" si="661"/>
        <v/>
      </c>
    </row>
    <row r="39155" spans="8:8" x14ac:dyDescent="0.3">
      <c r="H39155" t="str">
        <f t="shared" si="661"/>
        <v/>
      </c>
    </row>
    <row r="39156" spans="8:8" x14ac:dyDescent="0.3">
      <c r="H39156" t="str">
        <f t="shared" si="661"/>
        <v/>
      </c>
    </row>
    <row r="39157" spans="8:8" x14ac:dyDescent="0.3">
      <c r="H39157" t="str">
        <f t="shared" si="661"/>
        <v/>
      </c>
    </row>
    <row r="39158" spans="8:8" x14ac:dyDescent="0.3">
      <c r="H39158" t="str">
        <f t="shared" si="661"/>
        <v/>
      </c>
    </row>
    <row r="39159" spans="8:8" x14ac:dyDescent="0.3">
      <c r="H39159" t="str">
        <f t="shared" si="661"/>
        <v/>
      </c>
    </row>
    <row r="39160" spans="8:8" x14ac:dyDescent="0.3">
      <c r="H39160" t="str">
        <f t="shared" si="661"/>
        <v/>
      </c>
    </row>
    <row r="39161" spans="8:8" x14ac:dyDescent="0.3">
      <c r="H39161" t="str">
        <f t="shared" si="661"/>
        <v/>
      </c>
    </row>
    <row r="39162" spans="8:8" x14ac:dyDescent="0.3">
      <c r="H39162" t="str">
        <f t="shared" si="661"/>
        <v/>
      </c>
    </row>
    <row r="39163" spans="8:8" x14ac:dyDescent="0.3">
      <c r="H39163" t="str">
        <f t="shared" si="661"/>
        <v/>
      </c>
    </row>
    <row r="39164" spans="8:8" x14ac:dyDescent="0.3">
      <c r="H39164" t="str">
        <f t="shared" si="661"/>
        <v/>
      </c>
    </row>
    <row r="39165" spans="8:8" x14ac:dyDescent="0.3">
      <c r="H39165" t="str">
        <f t="shared" si="661"/>
        <v/>
      </c>
    </row>
    <row r="39166" spans="8:8" x14ac:dyDescent="0.3">
      <c r="H39166" t="str">
        <f t="shared" si="661"/>
        <v/>
      </c>
    </row>
    <row r="39167" spans="8:8" x14ac:dyDescent="0.3">
      <c r="H39167" t="str">
        <f t="shared" si="661"/>
        <v/>
      </c>
    </row>
    <row r="39168" spans="8:8" x14ac:dyDescent="0.3">
      <c r="H39168" t="str">
        <f t="shared" si="661"/>
        <v/>
      </c>
    </row>
    <row r="39169" spans="8:8" x14ac:dyDescent="0.3">
      <c r="H39169" t="str">
        <f t="shared" si="661"/>
        <v/>
      </c>
    </row>
    <row r="39170" spans="8:8" x14ac:dyDescent="0.3">
      <c r="H39170" t="str">
        <f t="shared" si="661"/>
        <v/>
      </c>
    </row>
    <row r="39171" spans="8:8" x14ac:dyDescent="0.3">
      <c r="H39171" t="str">
        <f t="shared" si="661"/>
        <v/>
      </c>
    </row>
    <row r="39172" spans="8:8" x14ac:dyDescent="0.3">
      <c r="H39172" t="str">
        <f t="shared" si="661"/>
        <v/>
      </c>
    </row>
    <row r="39173" spans="8:8" x14ac:dyDescent="0.3">
      <c r="H39173" t="str">
        <f t="shared" si="661"/>
        <v/>
      </c>
    </row>
    <row r="39174" spans="8:8" x14ac:dyDescent="0.3">
      <c r="H39174" t="str">
        <f t="shared" si="661"/>
        <v/>
      </c>
    </row>
    <row r="39175" spans="8:8" x14ac:dyDescent="0.3">
      <c r="H39175" t="str">
        <f t="shared" si="661"/>
        <v/>
      </c>
    </row>
    <row r="39176" spans="8:8" x14ac:dyDescent="0.3">
      <c r="H39176" t="str">
        <f t="shared" si="661"/>
        <v/>
      </c>
    </row>
    <row r="39177" spans="8:8" x14ac:dyDescent="0.3">
      <c r="H39177" t="str">
        <f t="shared" si="661"/>
        <v/>
      </c>
    </row>
    <row r="39178" spans="8:8" x14ac:dyDescent="0.3">
      <c r="H39178" t="str">
        <f t="shared" si="661"/>
        <v/>
      </c>
    </row>
    <row r="39179" spans="8:8" x14ac:dyDescent="0.3">
      <c r="H39179" t="str">
        <f t="shared" si="661"/>
        <v/>
      </c>
    </row>
    <row r="39180" spans="8:8" x14ac:dyDescent="0.3">
      <c r="H39180" t="str">
        <f t="shared" si="661"/>
        <v/>
      </c>
    </row>
    <row r="39181" spans="8:8" x14ac:dyDescent="0.3">
      <c r="H39181" t="str">
        <f t="shared" si="661"/>
        <v/>
      </c>
    </row>
    <row r="39182" spans="8:8" x14ac:dyDescent="0.3">
      <c r="H39182" t="str">
        <f t="shared" si="661"/>
        <v/>
      </c>
    </row>
    <row r="39183" spans="8:8" x14ac:dyDescent="0.3">
      <c r="H39183" t="str">
        <f t="shared" si="661"/>
        <v/>
      </c>
    </row>
    <row r="39184" spans="8:8" x14ac:dyDescent="0.3">
      <c r="H39184" t="str">
        <f t="shared" si="661"/>
        <v/>
      </c>
    </row>
    <row r="39185" spans="8:8" x14ac:dyDescent="0.3">
      <c r="H39185" t="str">
        <f t="shared" si="661"/>
        <v/>
      </c>
    </row>
    <row r="39186" spans="8:8" x14ac:dyDescent="0.3">
      <c r="H39186" t="str">
        <f t="shared" si="661"/>
        <v/>
      </c>
    </row>
    <row r="39187" spans="8:8" x14ac:dyDescent="0.3">
      <c r="H39187" t="str">
        <f t="shared" si="661"/>
        <v/>
      </c>
    </row>
    <row r="39188" spans="8:8" x14ac:dyDescent="0.3">
      <c r="H39188" t="str">
        <f t="shared" si="661"/>
        <v/>
      </c>
    </row>
    <row r="39189" spans="8:8" x14ac:dyDescent="0.3">
      <c r="H39189" t="str">
        <f t="shared" si="661"/>
        <v/>
      </c>
    </row>
    <row r="39190" spans="8:8" x14ac:dyDescent="0.3">
      <c r="H39190" t="str">
        <f t="shared" si="661"/>
        <v/>
      </c>
    </row>
    <row r="39191" spans="8:8" x14ac:dyDescent="0.3">
      <c r="H39191" t="str">
        <f t="shared" ref="H39191:H39254" si="662">IF(B39191="","",$C$12)</f>
        <v/>
      </c>
    </row>
    <row r="39192" spans="8:8" x14ac:dyDescent="0.3">
      <c r="H39192" t="str">
        <f t="shared" si="662"/>
        <v/>
      </c>
    </row>
    <row r="39193" spans="8:8" x14ac:dyDescent="0.3">
      <c r="H39193" t="str">
        <f t="shared" si="662"/>
        <v/>
      </c>
    </row>
    <row r="39194" spans="8:8" x14ac:dyDescent="0.3">
      <c r="H39194" t="str">
        <f t="shared" si="662"/>
        <v/>
      </c>
    </row>
    <row r="39195" spans="8:8" x14ac:dyDescent="0.3">
      <c r="H39195" t="str">
        <f t="shared" si="662"/>
        <v/>
      </c>
    </row>
    <row r="39196" spans="8:8" x14ac:dyDescent="0.3">
      <c r="H39196" t="str">
        <f t="shared" si="662"/>
        <v/>
      </c>
    </row>
    <row r="39197" spans="8:8" x14ac:dyDescent="0.3">
      <c r="H39197" t="str">
        <f t="shared" si="662"/>
        <v/>
      </c>
    </row>
    <row r="39198" spans="8:8" x14ac:dyDescent="0.3">
      <c r="H39198" t="str">
        <f t="shared" si="662"/>
        <v/>
      </c>
    </row>
    <row r="39199" spans="8:8" x14ac:dyDescent="0.3">
      <c r="H39199" t="str">
        <f t="shared" si="662"/>
        <v/>
      </c>
    </row>
    <row r="39200" spans="8:8" x14ac:dyDescent="0.3">
      <c r="H39200" t="str">
        <f t="shared" si="662"/>
        <v/>
      </c>
    </row>
    <row r="39201" spans="8:8" x14ac:dyDescent="0.3">
      <c r="H39201" t="str">
        <f t="shared" si="662"/>
        <v/>
      </c>
    </row>
    <row r="39202" spans="8:8" x14ac:dyDescent="0.3">
      <c r="H39202" t="str">
        <f t="shared" si="662"/>
        <v/>
      </c>
    </row>
    <row r="39203" spans="8:8" x14ac:dyDescent="0.3">
      <c r="H39203" t="str">
        <f t="shared" si="662"/>
        <v/>
      </c>
    </row>
    <row r="39204" spans="8:8" x14ac:dyDescent="0.3">
      <c r="H39204" t="str">
        <f t="shared" si="662"/>
        <v/>
      </c>
    </row>
    <row r="39205" spans="8:8" x14ac:dyDescent="0.3">
      <c r="H39205" t="str">
        <f t="shared" si="662"/>
        <v/>
      </c>
    </row>
    <row r="39206" spans="8:8" x14ac:dyDescent="0.3">
      <c r="H39206" t="str">
        <f t="shared" si="662"/>
        <v/>
      </c>
    </row>
    <row r="39207" spans="8:8" x14ac:dyDescent="0.3">
      <c r="H39207" t="str">
        <f t="shared" si="662"/>
        <v/>
      </c>
    </row>
    <row r="39208" spans="8:8" x14ac:dyDescent="0.3">
      <c r="H39208" t="str">
        <f t="shared" si="662"/>
        <v/>
      </c>
    </row>
    <row r="39209" spans="8:8" x14ac:dyDescent="0.3">
      <c r="H39209" t="str">
        <f t="shared" si="662"/>
        <v/>
      </c>
    </row>
    <row r="39210" spans="8:8" x14ac:dyDescent="0.3">
      <c r="H39210" t="str">
        <f t="shared" si="662"/>
        <v/>
      </c>
    </row>
    <row r="39211" spans="8:8" x14ac:dyDescent="0.3">
      <c r="H39211" t="str">
        <f t="shared" si="662"/>
        <v/>
      </c>
    </row>
    <row r="39212" spans="8:8" x14ac:dyDescent="0.3">
      <c r="H39212" t="str">
        <f t="shared" si="662"/>
        <v/>
      </c>
    </row>
    <row r="39213" spans="8:8" x14ac:dyDescent="0.3">
      <c r="H39213" t="str">
        <f t="shared" si="662"/>
        <v/>
      </c>
    </row>
    <row r="39214" spans="8:8" x14ac:dyDescent="0.3">
      <c r="H39214" t="str">
        <f t="shared" si="662"/>
        <v/>
      </c>
    </row>
    <row r="39215" spans="8:8" x14ac:dyDescent="0.3">
      <c r="H39215" t="str">
        <f t="shared" si="662"/>
        <v/>
      </c>
    </row>
    <row r="39216" spans="8:8" x14ac:dyDescent="0.3">
      <c r="H39216" t="str">
        <f t="shared" si="662"/>
        <v/>
      </c>
    </row>
    <row r="39217" spans="8:8" x14ac:dyDescent="0.3">
      <c r="H39217" t="str">
        <f t="shared" si="662"/>
        <v/>
      </c>
    </row>
    <row r="39218" spans="8:8" x14ac:dyDescent="0.3">
      <c r="H39218" t="str">
        <f t="shared" si="662"/>
        <v/>
      </c>
    </row>
    <row r="39219" spans="8:8" x14ac:dyDescent="0.3">
      <c r="H39219" t="str">
        <f t="shared" si="662"/>
        <v/>
      </c>
    </row>
    <row r="39220" spans="8:8" x14ac:dyDescent="0.3">
      <c r="H39220" t="str">
        <f t="shared" si="662"/>
        <v/>
      </c>
    </row>
    <row r="39221" spans="8:8" x14ac:dyDescent="0.3">
      <c r="H39221" t="str">
        <f t="shared" si="662"/>
        <v/>
      </c>
    </row>
    <row r="39222" spans="8:8" x14ac:dyDescent="0.3">
      <c r="H39222" t="str">
        <f t="shared" si="662"/>
        <v/>
      </c>
    </row>
    <row r="39223" spans="8:8" x14ac:dyDescent="0.3">
      <c r="H39223" t="str">
        <f t="shared" si="662"/>
        <v/>
      </c>
    </row>
    <row r="39224" spans="8:8" x14ac:dyDescent="0.3">
      <c r="H39224" t="str">
        <f t="shared" si="662"/>
        <v/>
      </c>
    </row>
    <row r="39225" spans="8:8" x14ac:dyDescent="0.3">
      <c r="H39225" t="str">
        <f t="shared" si="662"/>
        <v/>
      </c>
    </row>
    <row r="39226" spans="8:8" x14ac:dyDescent="0.3">
      <c r="H39226" t="str">
        <f t="shared" si="662"/>
        <v/>
      </c>
    </row>
    <row r="39227" spans="8:8" x14ac:dyDescent="0.3">
      <c r="H39227" t="str">
        <f t="shared" si="662"/>
        <v/>
      </c>
    </row>
    <row r="39228" spans="8:8" x14ac:dyDescent="0.3">
      <c r="H39228" t="str">
        <f t="shared" si="662"/>
        <v/>
      </c>
    </row>
    <row r="39229" spans="8:8" x14ac:dyDescent="0.3">
      <c r="H39229" t="str">
        <f t="shared" si="662"/>
        <v/>
      </c>
    </row>
    <row r="39230" spans="8:8" x14ac:dyDescent="0.3">
      <c r="H39230" t="str">
        <f t="shared" si="662"/>
        <v/>
      </c>
    </row>
    <row r="39231" spans="8:8" x14ac:dyDescent="0.3">
      <c r="H39231" t="str">
        <f t="shared" si="662"/>
        <v/>
      </c>
    </row>
    <row r="39232" spans="8:8" x14ac:dyDescent="0.3">
      <c r="H39232" t="str">
        <f t="shared" si="662"/>
        <v/>
      </c>
    </row>
    <row r="39233" spans="8:8" x14ac:dyDescent="0.3">
      <c r="H39233" t="str">
        <f t="shared" si="662"/>
        <v/>
      </c>
    </row>
    <row r="39234" spans="8:8" x14ac:dyDescent="0.3">
      <c r="H39234" t="str">
        <f t="shared" si="662"/>
        <v/>
      </c>
    </row>
    <row r="39235" spans="8:8" x14ac:dyDescent="0.3">
      <c r="H39235" t="str">
        <f t="shared" si="662"/>
        <v/>
      </c>
    </row>
    <row r="39236" spans="8:8" x14ac:dyDescent="0.3">
      <c r="H39236" t="str">
        <f t="shared" si="662"/>
        <v/>
      </c>
    </row>
    <row r="39237" spans="8:8" x14ac:dyDescent="0.3">
      <c r="H39237" t="str">
        <f t="shared" si="662"/>
        <v/>
      </c>
    </row>
    <row r="39238" spans="8:8" x14ac:dyDescent="0.3">
      <c r="H39238" t="str">
        <f t="shared" si="662"/>
        <v/>
      </c>
    </row>
    <row r="39239" spans="8:8" x14ac:dyDescent="0.3">
      <c r="H39239" t="str">
        <f t="shared" si="662"/>
        <v/>
      </c>
    </row>
    <row r="39240" spans="8:8" x14ac:dyDescent="0.3">
      <c r="H39240" t="str">
        <f t="shared" si="662"/>
        <v/>
      </c>
    </row>
    <row r="39241" spans="8:8" x14ac:dyDescent="0.3">
      <c r="H39241" t="str">
        <f t="shared" si="662"/>
        <v/>
      </c>
    </row>
    <row r="39242" spans="8:8" x14ac:dyDescent="0.3">
      <c r="H39242" t="str">
        <f t="shared" si="662"/>
        <v/>
      </c>
    </row>
    <row r="39243" spans="8:8" x14ac:dyDescent="0.3">
      <c r="H39243" t="str">
        <f t="shared" si="662"/>
        <v/>
      </c>
    </row>
    <row r="39244" spans="8:8" x14ac:dyDescent="0.3">
      <c r="H39244" t="str">
        <f t="shared" si="662"/>
        <v/>
      </c>
    </row>
    <row r="39245" spans="8:8" x14ac:dyDescent="0.3">
      <c r="H39245" t="str">
        <f t="shared" si="662"/>
        <v/>
      </c>
    </row>
    <row r="39246" spans="8:8" x14ac:dyDescent="0.3">
      <c r="H39246" t="str">
        <f t="shared" si="662"/>
        <v/>
      </c>
    </row>
    <row r="39247" spans="8:8" x14ac:dyDescent="0.3">
      <c r="H39247" t="str">
        <f t="shared" si="662"/>
        <v/>
      </c>
    </row>
    <row r="39248" spans="8:8" x14ac:dyDescent="0.3">
      <c r="H39248" t="str">
        <f t="shared" si="662"/>
        <v/>
      </c>
    </row>
    <row r="39249" spans="8:8" x14ac:dyDescent="0.3">
      <c r="H39249" t="str">
        <f t="shared" si="662"/>
        <v/>
      </c>
    </row>
    <row r="39250" spans="8:8" x14ac:dyDescent="0.3">
      <c r="H39250" t="str">
        <f t="shared" si="662"/>
        <v/>
      </c>
    </row>
    <row r="39251" spans="8:8" x14ac:dyDescent="0.3">
      <c r="H39251" t="str">
        <f t="shared" si="662"/>
        <v/>
      </c>
    </row>
    <row r="39252" spans="8:8" x14ac:dyDescent="0.3">
      <c r="H39252" t="str">
        <f t="shared" si="662"/>
        <v/>
      </c>
    </row>
    <row r="39253" spans="8:8" x14ac:dyDescent="0.3">
      <c r="H39253" t="str">
        <f t="shared" si="662"/>
        <v/>
      </c>
    </row>
    <row r="39254" spans="8:8" x14ac:dyDescent="0.3">
      <c r="H39254" t="str">
        <f t="shared" si="662"/>
        <v/>
      </c>
    </row>
    <row r="39255" spans="8:8" x14ac:dyDescent="0.3">
      <c r="H39255" t="str">
        <f t="shared" ref="H39255:H39318" si="663">IF(B39255="","",$C$12)</f>
        <v/>
      </c>
    </row>
    <row r="39256" spans="8:8" x14ac:dyDescent="0.3">
      <c r="H39256" t="str">
        <f t="shared" si="663"/>
        <v/>
      </c>
    </row>
    <row r="39257" spans="8:8" x14ac:dyDescent="0.3">
      <c r="H39257" t="str">
        <f t="shared" si="663"/>
        <v/>
      </c>
    </row>
    <row r="39258" spans="8:8" x14ac:dyDescent="0.3">
      <c r="H39258" t="str">
        <f t="shared" si="663"/>
        <v/>
      </c>
    </row>
    <row r="39259" spans="8:8" x14ac:dyDescent="0.3">
      <c r="H39259" t="str">
        <f t="shared" si="663"/>
        <v/>
      </c>
    </row>
    <row r="39260" spans="8:8" x14ac:dyDescent="0.3">
      <c r="H39260" t="str">
        <f t="shared" si="663"/>
        <v/>
      </c>
    </row>
    <row r="39261" spans="8:8" x14ac:dyDescent="0.3">
      <c r="H39261" t="str">
        <f t="shared" si="663"/>
        <v/>
      </c>
    </row>
    <row r="39262" spans="8:8" x14ac:dyDescent="0.3">
      <c r="H39262" t="str">
        <f t="shared" si="663"/>
        <v/>
      </c>
    </row>
    <row r="39263" spans="8:8" x14ac:dyDescent="0.3">
      <c r="H39263" t="str">
        <f t="shared" si="663"/>
        <v/>
      </c>
    </row>
    <row r="39264" spans="8:8" x14ac:dyDescent="0.3">
      <c r="H39264" t="str">
        <f t="shared" si="663"/>
        <v/>
      </c>
    </row>
    <row r="39265" spans="8:8" x14ac:dyDescent="0.3">
      <c r="H39265" t="str">
        <f t="shared" si="663"/>
        <v/>
      </c>
    </row>
    <row r="39266" spans="8:8" x14ac:dyDescent="0.3">
      <c r="H39266" t="str">
        <f t="shared" si="663"/>
        <v/>
      </c>
    </row>
    <row r="39267" spans="8:8" x14ac:dyDescent="0.3">
      <c r="H39267" t="str">
        <f t="shared" si="663"/>
        <v/>
      </c>
    </row>
    <row r="39268" spans="8:8" x14ac:dyDescent="0.3">
      <c r="H39268" t="str">
        <f t="shared" si="663"/>
        <v/>
      </c>
    </row>
    <row r="39269" spans="8:8" x14ac:dyDescent="0.3">
      <c r="H39269" t="str">
        <f t="shared" si="663"/>
        <v/>
      </c>
    </row>
    <row r="39270" spans="8:8" x14ac:dyDescent="0.3">
      <c r="H39270" t="str">
        <f t="shared" si="663"/>
        <v/>
      </c>
    </row>
    <row r="39271" spans="8:8" x14ac:dyDescent="0.3">
      <c r="H39271" t="str">
        <f t="shared" si="663"/>
        <v/>
      </c>
    </row>
    <row r="39272" spans="8:8" x14ac:dyDescent="0.3">
      <c r="H39272" t="str">
        <f t="shared" si="663"/>
        <v/>
      </c>
    </row>
    <row r="39273" spans="8:8" x14ac:dyDescent="0.3">
      <c r="H39273" t="str">
        <f t="shared" si="663"/>
        <v/>
      </c>
    </row>
    <row r="39274" spans="8:8" x14ac:dyDescent="0.3">
      <c r="H39274" t="str">
        <f t="shared" si="663"/>
        <v/>
      </c>
    </row>
    <row r="39275" spans="8:8" x14ac:dyDescent="0.3">
      <c r="H39275" t="str">
        <f t="shared" si="663"/>
        <v/>
      </c>
    </row>
    <row r="39276" spans="8:8" x14ac:dyDescent="0.3">
      <c r="H39276" t="str">
        <f t="shared" si="663"/>
        <v/>
      </c>
    </row>
    <row r="39277" spans="8:8" x14ac:dyDescent="0.3">
      <c r="H39277" t="str">
        <f t="shared" si="663"/>
        <v/>
      </c>
    </row>
    <row r="39278" spans="8:8" x14ac:dyDescent="0.3">
      <c r="H39278" t="str">
        <f t="shared" si="663"/>
        <v/>
      </c>
    </row>
    <row r="39279" spans="8:8" x14ac:dyDescent="0.3">
      <c r="H39279" t="str">
        <f t="shared" si="663"/>
        <v/>
      </c>
    </row>
    <row r="39280" spans="8:8" x14ac:dyDescent="0.3">
      <c r="H39280" t="str">
        <f t="shared" si="663"/>
        <v/>
      </c>
    </row>
    <row r="39281" spans="8:8" x14ac:dyDescent="0.3">
      <c r="H39281" t="str">
        <f t="shared" si="663"/>
        <v/>
      </c>
    </row>
    <row r="39282" spans="8:8" x14ac:dyDescent="0.3">
      <c r="H39282" t="str">
        <f t="shared" si="663"/>
        <v/>
      </c>
    </row>
    <row r="39283" spans="8:8" x14ac:dyDescent="0.3">
      <c r="H39283" t="str">
        <f t="shared" si="663"/>
        <v/>
      </c>
    </row>
    <row r="39284" spans="8:8" x14ac:dyDescent="0.3">
      <c r="H39284" t="str">
        <f t="shared" si="663"/>
        <v/>
      </c>
    </row>
    <row r="39285" spans="8:8" x14ac:dyDescent="0.3">
      <c r="H39285" t="str">
        <f t="shared" si="663"/>
        <v/>
      </c>
    </row>
    <row r="39286" spans="8:8" x14ac:dyDescent="0.3">
      <c r="H39286" t="str">
        <f t="shared" si="663"/>
        <v/>
      </c>
    </row>
    <row r="39287" spans="8:8" x14ac:dyDescent="0.3">
      <c r="H39287" t="str">
        <f t="shared" si="663"/>
        <v/>
      </c>
    </row>
    <row r="39288" spans="8:8" x14ac:dyDescent="0.3">
      <c r="H39288" t="str">
        <f t="shared" si="663"/>
        <v/>
      </c>
    </row>
    <row r="39289" spans="8:8" x14ac:dyDescent="0.3">
      <c r="H39289" t="str">
        <f t="shared" si="663"/>
        <v/>
      </c>
    </row>
    <row r="39290" spans="8:8" x14ac:dyDescent="0.3">
      <c r="H39290" t="str">
        <f t="shared" si="663"/>
        <v/>
      </c>
    </row>
    <row r="39291" spans="8:8" x14ac:dyDescent="0.3">
      <c r="H39291" t="str">
        <f t="shared" si="663"/>
        <v/>
      </c>
    </row>
    <row r="39292" spans="8:8" x14ac:dyDescent="0.3">
      <c r="H39292" t="str">
        <f t="shared" si="663"/>
        <v/>
      </c>
    </row>
    <row r="39293" spans="8:8" x14ac:dyDescent="0.3">
      <c r="H39293" t="str">
        <f t="shared" si="663"/>
        <v/>
      </c>
    </row>
    <row r="39294" spans="8:8" x14ac:dyDescent="0.3">
      <c r="H39294" t="str">
        <f t="shared" si="663"/>
        <v/>
      </c>
    </row>
    <row r="39295" spans="8:8" x14ac:dyDescent="0.3">
      <c r="H39295" t="str">
        <f t="shared" si="663"/>
        <v/>
      </c>
    </row>
    <row r="39296" spans="8:8" x14ac:dyDescent="0.3">
      <c r="H39296" t="str">
        <f t="shared" si="663"/>
        <v/>
      </c>
    </row>
    <row r="39297" spans="8:8" x14ac:dyDescent="0.3">
      <c r="H39297" t="str">
        <f t="shared" si="663"/>
        <v/>
      </c>
    </row>
    <row r="39298" spans="8:8" x14ac:dyDescent="0.3">
      <c r="H39298" t="str">
        <f t="shared" si="663"/>
        <v/>
      </c>
    </row>
    <row r="39299" spans="8:8" x14ac:dyDescent="0.3">
      <c r="H39299" t="str">
        <f t="shared" si="663"/>
        <v/>
      </c>
    </row>
    <row r="39300" spans="8:8" x14ac:dyDescent="0.3">
      <c r="H39300" t="str">
        <f t="shared" si="663"/>
        <v/>
      </c>
    </row>
    <row r="39301" spans="8:8" x14ac:dyDescent="0.3">
      <c r="H39301" t="str">
        <f t="shared" si="663"/>
        <v/>
      </c>
    </row>
    <row r="39302" spans="8:8" x14ac:dyDescent="0.3">
      <c r="H39302" t="str">
        <f t="shared" si="663"/>
        <v/>
      </c>
    </row>
    <row r="39303" spans="8:8" x14ac:dyDescent="0.3">
      <c r="H39303" t="str">
        <f t="shared" si="663"/>
        <v/>
      </c>
    </row>
    <row r="39304" spans="8:8" x14ac:dyDescent="0.3">
      <c r="H39304" t="str">
        <f t="shared" si="663"/>
        <v/>
      </c>
    </row>
    <row r="39305" spans="8:8" x14ac:dyDescent="0.3">
      <c r="H39305" t="str">
        <f t="shared" si="663"/>
        <v/>
      </c>
    </row>
    <row r="39306" spans="8:8" x14ac:dyDescent="0.3">
      <c r="H39306" t="str">
        <f t="shared" si="663"/>
        <v/>
      </c>
    </row>
    <row r="39307" spans="8:8" x14ac:dyDescent="0.3">
      <c r="H39307" t="str">
        <f t="shared" si="663"/>
        <v/>
      </c>
    </row>
    <row r="39308" spans="8:8" x14ac:dyDescent="0.3">
      <c r="H39308" t="str">
        <f t="shared" si="663"/>
        <v/>
      </c>
    </row>
    <row r="39309" spans="8:8" x14ac:dyDescent="0.3">
      <c r="H39309" t="str">
        <f t="shared" si="663"/>
        <v/>
      </c>
    </row>
    <row r="39310" spans="8:8" x14ac:dyDescent="0.3">
      <c r="H39310" t="str">
        <f t="shared" si="663"/>
        <v/>
      </c>
    </row>
    <row r="39311" spans="8:8" x14ac:dyDescent="0.3">
      <c r="H39311" t="str">
        <f t="shared" si="663"/>
        <v/>
      </c>
    </row>
    <row r="39312" spans="8:8" x14ac:dyDescent="0.3">
      <c r="H39312" t="str">
        <f t="shared" si="663"/>
        <v/>
      </c>
    </row>
    <row r="39313" spans="8:8" x14ac:dyDescent="0.3">
      <c r="H39313" t="str">
        <f t="shared" si="663"/>
        <v/>
      </c>
    </row>
    <row r="39314" spans="8:8" x14ac:dyDescent="0.3">
      <c r="H39314" t="str">
        <f t="shared" si="663"/>
        <v/>
      </c>
    </row>
    <row r="39315" spans="8:8" x14ac:dyDescent="0.3">
      <c r="H39315" t="str">
        <f t="shared" si="663"/>
        <v/>
      </c>
    </row>
    <row r="39316" spans="8:8" x14ac:dyDescent="0.3">
      <c r="H39316" t="str">
        <f t="shared" si="663"/>
        <v/>
      </c>
    </row>
    <row r="39317" spans="8:8" x14ac:dyDescent="0.3">
      <c r="H39317" t="str">
        <f t="shared" si="663"/>
        <v/>
      </c>
    </row>
    <row r="39318" spans="8:8" x14ac:dyDescent="0.3">
      <c r="H39318" t="str">
        <f t="shared" si="663"/>
        <v/>
      </c>
    </row>
    <row r="39319" spans="8:8" x14ac:dyDescent="0.3">
      <c r="H39319" t="str">
        <f t="shared" ref="H39319:H39382" si="664">IF(B39319="","",$C$12)</f>
        <v/>
      </c>
    </row>
    <row r="39320" spans="8:8" x14ac:dyDescent="0.3">
      <c r="H39320" t="str">
        <f t="shared" si="664"/>
        <v/>
      </c>
    </row>
    <row r="39321" spans="8:8" x14ac:dyDescent="0.3">
      <c r="H39321" t="str">
        <f t="shared" si="664"/>
        <v/>
      </c>
    </row>
    <row r="39322" spans="8:8" x14ac:dyDescent="0.3">
      <c r="H39322" t="str">
        <f t="shared" si="664"/>
        <v/>
      </c>
    </row>
    <row r="39323" spans="8:8" x14ac:dyDescent="0.3">
      <c r="H39323" t="str">
        <f t="shared" si="664"/>
        <v/>
      </c>
    </row>
    <row r="39324" spans="8:8" x14ac:dyDescent="0.3">
      <c r="H39324" t="str">
        <f t="shared" si="664"/>
        <v/>
      </c>
    </row>
    <row r="39325" spans="8:8" x14ac:dyDescent="0.3">
      <c r="H39325" t="str">
        <f t="shared" si="664"/>
        <v/>
      </c>
    </row>
    <row r="39326" spans="8:8" x14ac:dyDescent="0.3">
      <c r="H39326" t="str">
        <f t="shared" si="664"/>
        <v/>
      </c>
    </row>
    <row r="39327" spans="8:8" x14ac:dyDescent="0.3">
      <c r="H39327" t="str">
        <f t="shared" si="664"/>
        <v/>
      </c>
    </row>
    <row r="39328" spans="8:8" x14ac:dyDescent="0.3">
      <c r="H39328" t="str">
        <f t="shared" si="664"/>
        <v/>
      </c>
    </row>
    <row r="39329" spans="8:8" x14ac:dyDescent="0.3">
      <c r="H39329" t="str">
        <f t="shared" si="664"/>
        <v/>
      </c>
    </row>
    <row r="39330" spans="8:8" x14ac:dyDescent="0.3">
      <c r="H39330" t="str">
        <f t="shared" si="664"/>
        <v/>
      </c>
    </row>
    <row r="39331" spans="8:8" x14ac:dyDescent="0.3">
      <c r="H39331" t="str">
        <f t="shared" si="664"/>
        <v/>
      </c>
    </row>
    <row r="39332" spans="8:8" x14ac:dyDescent="0.3">
      <c r="H39332" t="str">
        <f t="shared" si="664"/>
        <v/>
      </c>
    </row>
    <row r="39333" spans="8:8" x14ac:dyDescent="0.3">
      <c r="H39333" t="str">
        <f t="shared" si="664"/>
        <v/>
      </c>
    </row>
    <row r="39334" spans="8:8" x14ac:dyDescent="0.3">
      <c r="H39334" t="str">
        <f t="shared" si="664"/>
        <v/>
      </c>
    </row>
    <row r="39335" spans="8:8" x14ac:dyDescent="0.3">
      <c r="H39335" t="str">
        <f t="shared" si="664"/>
        <v/>
      </c>
    </row>
    <row r="39336" spans="8:8" x14ac:dyDescent="0.3">
      <c r="H39336" t="str">
        <f t="shared" si="664"/>
        <v/>
      </c>
    </row>
    <row r="39337" spans="8:8" x14ac:dyDescent="0.3">
      <c r="H39337" t="str">
        <f t="shared" si="664"/>
        <v/>
      </c>
    </row>
    <row r="39338" spans="8:8" x14ac:dyDescent="0.3">
      <c r="H39338" t="str">
        <f t="shared" si="664"/>
        <v/>
      </c>
    </row>
    <row r="39339" spans="8:8" x14ac:dyDescent="0.3">
      <c r="H39339" t="str">
        <f t="shared" si="664"/>
        <v/>
      </c>
    </row>
    <row r="39340" spans="8:8" x14ac:dyDescent="0.3">
      <c r="H39340" t="str">
        <f t="shared" si="664"/>
        <v/>
      </c>
    </row>
    <row r="39341" spans="8:8" x14ac:dyDescent="0.3">
      <c r="H39341" t="str">
        <f t="shared" si="664"/>
        <v/>
      </c>
    </row>
    <row r="39342" spans="8:8" x14ac:dyDescent="0.3">
      <c r="H39342" t="str">
        <f t="shared" si="664"/>
        <v/>
      </c>
    </row>
    <row r="39343" spans="8:8" x14ac:dyDescent="0.3">
      <c r="H39343" t="str">
        <f t="shared" si="664"/>
        <v/>
      </c>
    </row>
    <row r="39344" spans="8:8" x14ac:dyDescent="0.3">
      <c r="H39344" t="str">
        <f t="shared" si="664"/>
        <v/>
      </c>
    </row>
    <row r="39345" spans="8:8" x14ac:dyDescent="0.3">
      <c r="H39345" t="str">
        <f t="shared" si="664"/>
        <v/>
      </c>
    </row>
    <row r="39346" spans="8:8" x14ac:dyDescent="0.3">
      <c r="H39346" t="str">
        <f t="shared" si="664"/>
        <v/>
      </c>
    </row>
    <row r="39347" spans="8:8" x14ac:dyDescent="0.3">
      <c r="H39347" t="str">
        <f t="shared" si="664"/>
        <v/>
      </c>
    </row>
    <row r="39348" spans="8:8" x14ac:dyDescent="0.3">
      <c r="H39348" t="str">
        <f t="shared" si="664"/>
        <v/>
      </c>
    </row>
    <row r="39349" spans="8:8" x14ac:dyDescent="0.3">
      <c r="H39349" t="str">
        <f t="shared" si="664"/>
        <v/>
      </c>
    </row>
    <row r="39350" spans="8:8" x14ac:dyDescent="0.3">
      <c r="H39350" t="str">
        <f t="shared" si="664"/>
        <v/>
      </c>
    </row>
    <row r="39351" spans="8:8" x14ac:dyDescent="0.3">
      <c r="H39351" t="str">
        <f t="shared" si="664"/>
        <v/>
      </c>
    </row>
    <row r="39352" spans="8:8" x14ac:dyDescent="0.3">
      <c r="H39352" t="str">
        <f t="shared" si="664"/>
        <v/>
      </c>
    </row>
    <row r="39353" spans="8:8" x14ac:dyDescent="0.3">
      <c r="H39353" t="str">
        <f t="shared" si="664"/>
        <v/>
      </c>
    </row>
    <row r="39354" spans="8:8" x14ac:dyDescent="0.3">
      <c r="H39354" t="str">
        <f t="shared" si="664"/>
        <v/>
      </c>
    </row>
    <row r="39355" spans="8:8" x14ac:dyDescent="0.3">
      <c r="H39355" t="str">
        <f t="shared" si="664"/>
        <v/>
      </c>
    </row>
    <row r="39356" spans="8:8" x14ac:dyDescent="0.3">
      <c r="H39356" t="str">
        <f t="shared" si="664"/>
        <v/>
      </c>
    </row>
    <row r="39357" spans="8:8" x14ac:dyDescent="0.3">
      <c r="H39357" t="str">
        <f t="shared" si="664"/>
        <v/>
      </c>
    </row>
    <row r="39358" spans="8:8" x14ac:dyDescent="0.3">
      <c r="H39358" t="str">
        <f t="shared" si="664"/>
        <v/>
      </c>
    </row>
    <row r="39359" spans="8:8" x14ac:dyDescent="0.3">
      <c r="H39359" t="str">
        <f t="shared" si="664"/>
        <v/>
      </c>
    </row>
    <row r="39360" spans="8:8" x14ac:dyDescent="0.3">
      <c r="H39360" t="str">
        <f t="shared" si="664"/>
        <v/>
      </c>
    </row>
    <row r="39361" spans="8:8" x14ac:dyDescent="0.3">
      <c r="H39361" t="str">
        <f t="shared" si="664"/>
        <v/>
      </c>
    </row>
    <row r="39362" spans="8:8" x14ac:dyDescent="0.3">
      <c r="H39362" t="str">
        <f t="shared" si="664"/>
        <v/>
      </c>
    </row>
    <row r="39363" spans="8:8" x14ac:dyDescent="0.3">
      <c r="H39363" t="str">
        <f t="shared" si="664"/>
        <v/>
      </c>
    </row>
    <row r="39364" spans="8:8" x14ac:dyDescent="0.3">
      <c r="H39364" t="str">
        <f t="shared" si="664"/>
        <v/>
      </c>
    </row>
    <row r="39365" spans="8:8" x14ac:dyDescent="0.3">
      <c r="H39365" t="str">
        <f t="shared" si="664"/>
        <v/>
      </c>
    </row>
    <row r="39366" spans="8:8" x14ac:dyDescent="0.3">
      <c r="H39366" t="str">
        <f t="shared" si="664"/>
        <v/>
      </c>
    </row>
    <row r="39367" spans="8:8" x14ac:dyDescent="0.3">
      <c r="H39367" t="str">
        <f t="shared" si="664"/>
        <v/>
      </c>
    </row>
    <row r="39368" spans="8:8" x14ac:dyDescent="0.3">
      <c r="H39368" t="str">
        <f t="shared" si="664"/>
        <v/>
      </c>
    </row>
    <row r="39369" spans="8:8" x14ac:dyDescent="0.3">
      <c r="H39369" t="str">
        <f t="shared" si="664"/>
        <v/>
      </c>
    </row>
    <row r="39370" spans="8:8" x14ac:dyDescent="0.3">
      <c r="H39370" t="str">
        <f t="shared" si="664"/>
        <v/>
      </c>
    </row>
    <row r="39371" spans="8:8" x14ac:dyDescent="0.3">
      <c r="H39371" t="str">
        <f t="shared" si="664"/>
        <v/>
      </c>
    </row>
    <row r="39372" spans="8:8" x14ac:dyDescent="0.3">
      <c r="H39372" t="str">
        <f t="shared" si="664"/>
        <v/>
      </c>
    </row>
    <row r="39373" spans="8:8" x14ac:dyDescent="0.3">
      <c r="H39373" t="str">
        <f t="shared" si="664"/>
        <v/>
      </c>
    </row>
    <row r="39374" spans="8:8" x14ac:dyDescent="0.3">
      <c r="H39374" t="str">
        <f t="shared" si="664"/>
        <v/>
      </c>
    </row>
    <row r="39375" spans="8:8" x14ac:dyDescent="0.3">
      <c r="H39375" t="str">
        <f t="shared" si="664"/>
        <v/>
      </c>
    </row>
    <row r="39376" spans="8:8" x14ac:dyDescent="0.3">
      <c r="H39376" t="str">
        <f t="shared" si="664"/>
        <v/>
      </c>
    </row>
    <row r="39377" spans="8:8" x14ac:dyDescent="0.3">
      <c r="H39377" t="str">
        <f t="shared" si="664"/>
        <v/>
      </c>
    </row>
    <row r="39378" spans="8:8" x14ac:dyDescent="0.3">
      <c r="H39378" t="str">
        <f t="shared" si="664"/>
        <v/>
      </c>
    </row>
    <row r="39379" spans="8:8" x14ac:dyDescent="0.3">
      <c r="H39379" t="str">
        <f t="shared" si="664"/>
        <v/>
      </c>
    </row>
    <row r="39380" spans="8:8" x14ac:dyDescent="0.3">
      <c r="H39380" t="str">
        <f t="shared" si="664"/>
        <v/>
      </c>
    </row>
    <row r="39381" spans="8:8" x14ac:dyDescent="0.3">
      <c r="H39381" t="str">
        <f t="shared" si="664"/>
        <v/>
      </c>
    </row>
    <row r="39382" spans="8:8" x14ac:dyDescent="0.3">
      <c r="H39382" t="str">
        <f t="shared" si="664"/>
        <v/>
      </c>
    </row>
    <row r="39383" spans="8:8" x14ac:dyDescent="0.3">
      <c r="H39383" t="str">
        <f t="shared" ref="H39383:H39446" si="665">IF(B39383="","",$C$12)</f>
        <v/>
      </c>
    </row>
    <row r="39384" spans="8:8" x14ac:dyDescent="0.3">
      <c r="H39384" t="str">
        <f t="shared" si="665"/>
        <v/>
      </c>
    </row>
    <row r="39385" spans="8:8" x14ac:dyDescent="0.3">
      <c r="H39385" t="str">
        <f t="shared" si="665"/>
        <v/>
      </c>
    </row>
    <row r="39386" spans="8:8" x14ac:dyDescent="0.3">
      <c r="H39386" t="str">
        <f t="shared" si="665"/>
        <v/>
      </c>
    </row>
    <row r="39387" spans="8:8" x14ac:dyDescent="0.3">
      <c r="H39387" t="str">
        <f t="shared" si="665"/>
        <v/>
      </c>
    </row>
    <row r="39388" spans="8:8" x14ac:dyDescent="0.3">
      <c r="H39388" t="str">
        <f t="shared" si="665"/>
        <v/>
      </c>
    </row>
    <row r="39389" spans="8:8" x14ac:dyDescent="0.3">
      <c r="H39389" t="str">
        <f t="shared" si="665"/>
        <v/>
      </c>
    </row>
    <row r="39390" spans="8:8" x14ac:dyDescent="0.3">
      <c r="H39390" t="str">
        <f t="shared" si="665"/>
        <v/>
      </c>
    </row>
    <row r="39391" spans="8:8" x14ac:dyDescent="0.3">
      <c r="H39391" t="str">
        <f t="shared" si="665"/>
        <v/>
      </c>
    </row>
    <row r="39392" spans="8:8" x14ac:dyDescent="0.3">
      <c r="H39392" t="str">
        <f t="shared" si="665"/>
        <v/>
      </c>
    </row>
    <row r="39393" spans="8:8" x14ac:dyDescent="0.3">
      <c r="H39393" t="str">
        <f t="shared" si="665"/>
        <v/>
      </c>
    </row>
    <row r="39394" spans="8:8" x14ac:dyDescent="0.3">
      <c r="H39394" t="str">
        <f t="shared" si="665"/>
        <v/>
      </c>
    </row>
    <row r="39395" spans="8:8" x14ac:dyDescent="0.3">
      <c r="H39395" t="str">
        <f t="shared" si="665"/>
        <v/>
      </c>
    </row>
    <row r="39396" spans="8:8" x14ac:dyDescent="0.3">
      <c r="H39396" t="str">
        <f t="shared" si="665"/>
        <v/>
      </c>
    </row>
    <row r="39397" spans="8:8" x14ac:dyDescent="0.3">
      <c r="H39397" t="str">
        <f t="shared" si="665"/>
        <v/>
      </c>
    </row>
    <row r="39398" spans="8:8" x14ac:dyDescent="0.3">
      <c r="H39398" t="str">
        <f t="shared" si="665"/>
        <v/>
      </c>
    </row>
    <row r="39399" spans="8:8" x14ac:dyDescent="0.3">
      <c r="H39399" t="str">
        <f t="shared" si="665"/>
        <v/>
      </c>
    </row>
    <row r="39400" spans="8:8" x14ac:dyDescent="0.3">
      <c r="H39400" t="str">
        <f t="shared" si="665"/>
        <v/>
      </c>
    </row>
    <row r="39401" spans="8:8" x14ac:dyDescent="0.3">
      <c r="H39401" t="str">
        <f t="shared" si="665"/>
        <v/>
      </c>
    </row>
    <row r="39402" spans="8:8" x14ac:dyDescent="0.3">
      <c r="H39402" t="str">
        <f t="shared" si="665"/>
        <v/>
      </c>
    </row>
    <row r="39403" spans="8:8" x14ac:dyDescent="0.3">
      <c r="H39403" t="str">
        <f t="shared" si="665"/>
        <v/>
      </c>
    </row>
    <row r="39404" spans="8:8" x14ac:dyDescent="0.3">
      <c r="H39404" t="str">
        <f t="shared" si="665"/>
        <v/>
      </c>
    </row>
    <row r="39405" spans="8:8" x14ac:dyDescent="0.3">
      <c r="H39405" t="str">
        <f t="shared" si="665"/>
        <v/>
      </c>
    </row>
    <row r="39406" spans="8:8" x14ac:dyDescent="0.3">
      <c r="H39406" t="str">
        <f t="shared" si="665"/>
        <v/>
      </c>
    </row>
    <row r="39407" spans="8:8" x14ac:dyDescent="0.3">
      <c r="H39407" t="str">
        <f t="shared" si="665"/>
        <v/>
      </c>
    </row>
    <row r="39408" spans="8:8" x14ac:dyDescent="0.3">
      <c r="H39408" t="str">
        <f t="shared" si="665"/>
        <v/>
      </c>
    </row>
    <row r="39409" spans="8:8" x14ac:dyDescent="0.3">
      <c r="H39409" t="str">
        <f t="shared" si="665"/>
        <v/>
      </c>
    </row>
    <row r="39410" spans="8:8" x14ac:dyDescent="0.3">
      <c r="H39410" t="str">
        <f t="shared" si="665"/>
        <v/>
      </c>
    </row>
    <row r="39411" spans="8:8" x14ac:dyDescent="0.3">
      <c r="H39411" t="str">
        <f t="shared" si="665"/>
        <v/>
      </c>
    </row>
    <row r="39412" spans="8:8" x14ac:dyDescent="0.3">
      <c r="H39412" t="str">
        <f t="shared" si="665"/>
        <v/>
      </c>
    </row>
    <row r="39413" spans="8:8" x14ac:dyDescent="0.3">
      <c r="H39413" t="str">
        <f t="shared" si="665"/>
        <v/>
      </c>
    </row>
    <row r="39414" spans="8:8" x14ac:dyDescent="0.3">
      <c r="H39414" t="str">
        <f t="shared" si="665"/>
        <v/>
      </c>
    </row>
    <row r="39415" spans="8:8" x14ac:dyDescent="0.3">
      <c r="H39415" t="str">
        <f t="shared" si="665"/>
        <v/>
      </c>
    </row>
    <row r="39416" spans="8:8" x14ac:dyDescent="0.3">
      <c r="H39416" t="str">
        <f t="shared" si="665"/>
        <v/>
      </c>
    </row>
    <row r="39417" spans="8:8" x14ac:dyDescent="0.3">
      <c r="H39417" t="str">
        <f t="shared" si="665"/>
        <v/>
      </c>
    </row>
    <row r="39418" spans="8:8" x14ac:dyDescent="0.3">
      <c r="H39418" t="str">
        <f t="shared" si="665"/>
        <v/>
      </c>
    </row>
    <row r="39419" spans="8:8" x14ac:dyDescent="0.3">
      <c r="H39419" t="str">
        <f t="shared" si="665"/>
        <v/>
      </c>
    </row>
    <row r="39420" spans="8:8" x14ac:dyDescent="0.3">
      <c r="H39420" t="str">
        <f t="shared" si="665"/>
        <v/>
      </c>
    </row>
    <row r="39421" spans="8:8" x14ac:dyDescent="0.3">
      <c r="H39421" t="str">
        <f t="shared" si="665"/>
        <v/>
      </c>
    </row>
    <row r="39422" spans="8:8" x14ac:dyDescent="0.3">
      <c r="H39422" t="str">
        <f t="shared" si="665"/>
        <v/>
      </c>
    </row>
    <row r="39423" spans="8:8" x14ac:dyDescent="0.3">
      <c r="H39423" t="str">
        <f t="shared" si="665"/>
        <v/>
      </c>
    </row>
    <row r="39424" spans="8:8" x14ac:dyDescent="0.3">
      <c r="H39424" t="str">
        <f t="shared" si="665"/>
        <v/>
      </c>
    </row>
    <row r="39425" spans="8:8" x14ac:dyDescent="0.3">
      <c r="H39425" t="str">
        <f t="shared" si="665"/>
        <v/>
      </c>
    </row>
    <row r="39426" spans="8:8" x14ac:dyDescent="0.3">
      <c r="H39426" t="str">
        <f t="shared" si="665"/>
        <v/>
      </c>
    </row>
    <row r="39427" spans="8:8" x14ac:dyDescent="0.3">
      <c r="H39427" t="str">
        <f t="shared" si="665"/>
        <v/>
      </c>
    </row>
    <row r="39428" spans="8:8" x14ac:dyDescent="0.3">
      <c r="H39428" t="str">
        <f t="shared" si="665"/>
        <v/>
      </c>
    </row>
    <row r="39429" spans="8:8" x14ac:dyDescent="0.3">
      <c r="H39429" t="str">
        <f t="shared" si="665"/>
        <v/>
      </c>
    </row>
    <row r="39430" spans="8:8" x14ac:dyDescent="0.3">
      <c r="H39430" t="str">
        <f t="shared" si="665"/>
        <v/>
      </c>
    </row>
    <row r="39431" spans="8:8" x14ac:dyDescent="0.3">
      <c r="H39431" t="str">
        <f t="shared" si="665"/>
        <v/>
      </c>
    </row>
    <row r="39432" spans="8:8" x14ac:dyDescent="0.3">
      <c r="H39432" t="str">
        <f t="shared" si="665"/>
        <v/>
      </c>
    </row>
    <row r="39433" spans="8:8" x14ac:dyDescent="0.3">
      <c r="H39433" t="str">
        <f t="shared" si="665"/>
        <v/>
      </c>
    </row>
    <row r="39434" spans="8:8" x14ac:dyDescent="0.3">
      <c r="H39434" t="str">
        <f t="shared" si="665"/>
        <v/>
      </c>
    </row>
    <row r="39435" spans="8:8" x14ac:dyDescent="0.3">
      <c r="H39435" t="str">
        <f t="shared" si="665"/>
        <v/>
      </c>
    </row>
    <row r="39436" spans="8:8" x14ac:dyDescent="0.3">
      <c r="H39436" t="str">
        <f t="shared" si="665"/>
        <v/>
      </c>
    </row>
    <row r="39437" spans="8:8" x14ac:dyDescent="0.3">
      <c r="H39437" t="str">
        <f t="shared" si="665"/>
        <v/>
      </c>
    </row>
    <row r="39438" spans="8:8" x14ac:dyDescent="0.3">
      <c r="H39438" t="str">
        <f t="shared" si="665"/>
        <v/>
      </c>
    </row>
    <row r="39439" spans="8:8" x14ac:dyDescent="0.3">
      <c r="H39439" t="str">
        <f t="shared" si="665"/>
        <v/>
      </c>
    </row>
    <row r="39440" spans="8:8" x14ac:dyDescent="0.3">
      <c r="H39440" t="str">
        <f t="shared" si="665"/>
        <v/>
      </c>
    </row>
    <row r="39441" spans="8:8" x14ac:dyDescent="0.3">
      <c r="H39441" t="str">
        <f t="shared" si="665"/>
        <v/>
      </c>
    </row>
    <row r="39442" spans="8:8" x14ac:dyDescent="0.3">
      <c r="H39442" t="str">
        <f t="shared" si="665"/>
        <v/>
      </c>
    </row>
    <row r="39443" spans="8:8" x14ac:dyDescent="0.3">
      <c r="H39443" t="str">
        <f t="shared" si="665"/>
        <v/>
      </c>
    </row>
    <row r="39444" spans="8:8" x14ac:dyDescent="0.3">
      <c r="H39444" t="str">
        <f t="shared" si="665"/>
        <v/>
      </c>
    </row>
    <row r="39445" spans="8:8" x14ac:dyDescent="0.3">
      <c r="H39445" t="str">
        <f t="shared" si="665"/>
        <v/>
      </c>
    </row>
    <row r="39446" spans="8:8" x14ac:dyDescent="0.3">
      <c r="H39446" t="str">
        <f t="shared" si="665"/>
        <v/>
      </c>
    </row>
    <row r="39447" spans="8:8" x14ac:dyDescent="0.3">
      <c r="H39447" t="str">
        <f t="shared" ref="H39447:H39510" si="666">IF(B39447="","",$C$12)</f>
        <v/>
      </c>
    </row>
    <row r="39448" spans="8:8" x14ac:dyDescent="0.3">
      <c r="H39448" t="str">
        <f t="shared" si="666"/>
        <v/>
      </c>
    </row>
    <row r="39449" spans="8:8" x14ac:dyDescent="0.3">
      <c r="H39449" t="str">
        <f t="shared" si="666"/>
        <v/>
      </c>
    </row>
    <row r="39450" spans="8:8" x14ac:dyDescent="0.3">
      <c r="H39450" t="str">
        <f t="shared" si="666"/>
        <v/>
      </c>
    </row>
    <row r="39451" spans="8:8" x14ac:dyDescent="0.3">
      <c r="H39451" t="str">
        <f t="shared" si="666"/>
        <v/>
      </c>
    </row>
    <row r="39452" spans="8:8" x14ac:dyDescent="0.3">
      <c r="H39452" t="str">
        <f t="shared" si="666"/>
        <v/>
      </c>
    </row>
    <row r="39453" spans="8:8" x14ac:dyDescent="0.3">
      <c r="H39453" t="str">
        <f t="shared" si="666"/>
        <v/>
      </c>
    </row>
    <row r="39454" spans="8:8" x14ac:dyDescent="0.3">
      <c r="H39454" t="str">
        <f t="shared" si="666"/>
        <v/>
      </c>
    </row>
    <row r="39455" spans="8:8" x14ac:dyDescent="0.3">
      <c r="H39455" t="str">
        <f t="shared" si="666"/>
        <v/>
      </c>
    </row>
    <row r="39456" spans="8:8" x14ac:dyDescent="0.3">
      <c r="H39456" t="str">
        <f t="shared" si="666"/>
        <v/>
      </c>
    </row>
    <row r="39457" spans="8:8" x14ac:dyDescent="0.3">
      <c r="H39457" t="str">
        <f t="shared" si="666"/>
        <v/>
      </c>
    </row>
    <row r="39458" spans="8:8" x14ac:dyDescent="0.3">
      <c r="H39458" t="str">
        <f t="shared" si="666"/>
        <v/>
      </c>
    </row>
    <row r="39459" spans="8:8" x14ac:dyDescent="0.3">
      <c r="H39459" t="str">
        <f t="shared" si="666"/>
        <v/>
      </c>
    </row>
    <row r="39460" spans="8:8" x14ac:dyDescent="0.3">
      <c r="H39460" t="str">
        <f t="shared" si="666"/>
        <v/>
      </c>
    </row>
    <row r="39461" spans="8:8" x14ac:dyDescent="0.3">
      <c r="H39461" t="str">
        <f t="shared" si="666"/>
        <v/>
      </c>
    </row>
    <row r="39462" spans="8:8" x14ac:dyDescent="0.3">
      <c r="H39462" t="str">
        <f t="shared" si="666"/>
        <v/>
      </c>
    </row>
    <row r="39463" spans="8:8" x14ac:dyDescent="0.3">
      <c r="H39463" t="str">
        <f t="shared" si="666"/>
        <v/>
      </c>
    </row>
    <row r="39464" spans="8:8" x14ac:dyDescent="0.3">
      <c r="H39464" t="str">
        <f t="shared" si="666"/>
        <v/>
      </c>
    </row>
    <row r="39465" spans="8:8" x14ac:dyDescent="0.3">
      <c r="H39465" t="str">
        <f t="shared" si="666"/>
        <v/>
      </c>
    </row>
    <row r="39466" spans="8:8" x14ac:dyDescent="0.3">
      <c r="H39466" t="str">
        <f t="shared" si="666"/>
        <v/>
      </c>
    </row>
    <row r="39467" spans="8:8" x14ac:dyDescent="0.3">
      <c r="H39467" t="str">
        <f t="shared" si="666"/>
        <v/>
      </c>
    </row>
    <row r="39468" spans="8:8" x14ac:dyDescent="0.3">
      <c r="H39468" t="str">
        <f t="shared" si="666"/>
        <v/>
      </c>
    </row>
    <row r="39469" spans="8:8" x14ac:dyDescent="0.3">
      <c r="H39469" t="str">
        <f t="shared" si="666"/>
        <v/>
      </c>
    </row>
    <row r="39470" spans="8:8" x14ac:dyDescent="0.3">
      <c r="H39470" t="str">
        <f t="shared" si="666"/>
        <v/>
      </c>
    </row>
    <row r="39471" spans="8:8" x14ac:dyDescent="0.3">
      <c r="H39471" t="str">
        <f t="shared" si="666"/>
        <v/>
      </c>
    </row>
    <row r="39472" spans="8:8" x14ac:dyDescent="0.3">
      <c r="H39472" t="str">
        <f t="shared" si="666"/>
        <v/>
      </c>
    </row>
    <row r="39473" spans="8:8" x14ac:dyDescent="0.3">
      <c r="H39473" t="str">
        <f t="shared" si="666"/>
        <v/>
      </c>
    </row>
    <row r="39474" spans="8:8" x14ac:dyDescent="0.3">
      <c r="H39474" t="str">
        <f t="shared" si="666"/>
        <v/>
      </c>
    </row>
    <row r="39475" spans="8:8" x14ac:dyDescent="0.3">
      <c r="H39475" t="str">
        <f t="shared" si="666"/>
        <v/>
      </c>
    </row>
    <row r="39476" spans="8:8" x14ac:dyDescent="0.3">
      <c r="H39476" t="str">
        <f t="shared" si="666"/>
        <v/>
      </c>
    </row>
    <row r="39477" spans="8:8" x14ac:dyDescent="0.3">
      <c r="H39477" t="str">
        <f t="shared" si="666"/>
        <v/>
      </c>
    </row>
    <row r="39478" spans="8:8" x14ac:dyDescent="0.3">
      <c r="H39478" t="str">
        <f t="shared" si="666"/>
        <v/>
      </c>
    </row>
    <row r="39479" spans="8:8" x14ac:dyDescent="0.3">
      <c r="H39479" t="str">
        <f t="shared" si="666"/>
        <v/>
      </c>
    </row>
    <row r="39480" spans="8:8" x14ac:dyDescent="0.3">
      <c r="H39480" t="str">
        <f t="shared" si="666"/>
        <v/>
      </c>
    </row>
    <row r="39481" spans="8:8" x14ac:dyDescent="0.3">
      <c r="H39481" t="str">
        <f t="shared" si="666"/>
        <v/>
      </c>
    </row>
    <row r="39482" spans="8:8" x14ac:dyDescent="0.3">
      <c r="H39482" t="str">
        <f t="shared" si="666"/>
        <v/>
      </c>
    </row>
    <row r="39483" spans="8:8" x14ac:dyDescent="0.3">
      <c r="H39483" t="str">
        <f t="shared" si="666"/>
        <v/>
      </c>
    </row>
    <row r="39484" spans="8:8" x14ac:dyDescent="0.3">
      <c r="H39484" t="str">
        <f t="shared" si="666"/>
        <v/>
      </c>
    </row>
    <row r="39485" spans="8:8" x14ac:dyDescent="0.3">
      <c r="H39485" t="str">
        <f t="shared" si="666"/>
        <v/>
      </c>
    </row>
    <row r="39486" spans="8:8" x14ac:dyDescent="0.3">
      <c r="H39486" t="str">
        <f t="shared" si="666"/>
        <v/>
      </c>
    </row>
    <row r="39487" spans="8:8" x14ac:dyDescent="0.3">
      <c r="H39487" t="str">
        <f t="shared" si="666"/>
        <v/>
      </c>
    </row>
    <row r="39488" spans="8:8" x14ac:dyDescent="0.3">
      <c r="H39488" t="str">
        <f t="shared" si="666"/>
        <v/>
      </c>
    </row>
    <row r="39489" spans="8:8" x14ac:dyDescent="0.3">
      <c r="H39489" t="str">
        <f t="shared" si="666"/>
        <v/>
      </c>
    </row>
    <row r="39490" spans="8:8" x14ac:dyDescent="0.3">
      <c r="H39490" t="str">
        <f t="shared" si="666"/>
        <v/>
      </c>
    </row>
    <row r="39491" spans="8:8" x14ac:dyDescent="0.3">
      <c r="H39491" t="str">
        <f t="shared" si="666"/>
        <v/>
      </c>
    </row>
    <row r="39492" spans="8:8" x14ac:dyDescent="0.3">
      <c r="H39492" t="str">
        <f t="shared" si="666"/>
        <v/>
      </c>
    </row>
    <row r="39493" spans="8:8" x14ac:dyDescent="0.3">
      <c r="H39493" t="str">
        <f t="shared" si="666"/>
        <v/>
      </c>
    </row>
    <row r="39494" spans="8:8" x14ac:dyDescent="0.3">
      <c r="H39494" t="str">
        <f t="shared" si="666"/>
        <v/>
      </c>
    </row>
    <row r="39495" spans="8:8" x14ac:dyDescent="0.3">
      <c r="H39495" t="str">
        <f t="shared" si="666"/>
        <v/>
      </c>
    </row>
    <row r="39496" spans="8:8" x14ac:dyDescent="0.3">
      <c r="H39496" t="str">
        <f t="shared" si="666"/>
        <v/>
      </c>
    </row>
    <row r="39497" spans="8:8" x14ac:dyDescent="0.3">
      <c r="H39497" t="str">
        <f t="shared" si="666"/>
        <v/>
      </c>
    </row>
    <row r="39498" spans="8:8" x14ac:dyDescent="0.3">
      <c r="H39498" t="str">
        <f t="shared" si="666"/>
        <v/>
      </c>
    </row>
    <row r="39499" spans="8:8" x14ac:dyDescent="0.3">
      <c r="H39499" t="str">
        <f t="shared" si="666"/>
        <v/>
      </c>
    </row>
    <row r="39500" spans="8:8" x14ac:dyDescent="0.3">
      <c r="H39500" t="str">
        <f t="shared" si="666"/>
        <v/>
      </c>
    </row>
    <row r="39501" spans="8:8" x14ac:dyDescent="0.3">
      <c r="H39501" t="str">
        <f t="shared" si="666"/>
        <v/>
      </c>
    </row>
    <row r="39502" spans="8:8" x14ac:dyDescent="0.3">
      <c r="H39502" t="str">
        <f t="shared" si="666"/>
        <v/>
      </c>
    </row>
    <row r="39503" spans="8:8" x14ac:dyDescent="0.3">
      <c r="H39503" t="str">
        <f t="shared" si="666"/>
        <v/>
      </c>
    </row>
    <row r="39504" spans="8:8" x14ac:dyDescent="0.3">
      <c r="H39504" t="str">
        <f t="shared" si="666"/>
        <v/>
      </c>
    </row>
    <row r="39505" spans="8:8" x14ac:dyDescent="0.3">
      <c r="H39505" t="str">
        <f t="shared" si="666"/>
        <v/>
      </c>
    </row>
    <row r="39506" spans="8:8" x14ac:dyDescent="0.3">
      <c r="H39506" t="str">
        <f t="shared" si="666"/>
        <v/>
      </c>
    </row>
    <row r="39507" spans="8:8" x14ac:dyDescent="0.3">
      <c r="H39507" t="str">
        <f t="shared" si="666"/>
        <v/>
      </c>
    </row>
    <row r="39508" spans="8:8" x14ac:dyDescent="0.3">
      <c r="H39508" t="str">
        <f t="shared" si="666"/>
        <v/>
      </c>
    </row>
    <row r="39509" spans="8:8" x14ac:dyDescent="0.3">
      <c r="H39509" t="str">
        <f t="shared" si="666"/>
        <v/>
      </c>
    </row>
    <row r="39510" spans="8:8" x14ac:dyDescent="0.3">
      <c r="H39510" t="str">
        <f t="shared" si="666"/>
        <v/>
      </c>
    </row>
    <row r="39511" spans="8:8" x14ac:dyDescent="0.3">
      <c r="H39511" t="str">
        <f t="shared" ref="H39511:H39574" si="667">IF(B39511="","",$C$12)</f>
        <v/>
      </c>
    </row>
    <row r="39512" spans="8:8" x14ac:dyDescent="0.3">
      <c r="H39512" t="str">
        <f t="shared" si="667"/>
        <v/>
      </c>
    </row>
    <row r="39513" spans="8:8" x14ac:dyDescent="0.3">
      <c r="H39513" t="str">
        <f t="shared" si="667"/>
        <v/>
      </c>
    </row>
    <row r="39514" spans="8:8" x14ac:dyDescent="0.3">
      <c r="H39514" t="str">
        <f t="shared" si="667"/>
        <v/>
      </c>
    </row>
    <row r="39515" spans="8:8" x14ac:dyDescent="0.3">
      <c r="H39515" t="str">
        <f t="shared" si="667"/>
        <v/>
      </c>
    </row>
    <row r="39516" spans="8:8" x14ac:dyDescent="0.3">
      <c r="H39516" t="str">
        <f t="shared" si="667"/>
        <v/>
      </c>
    </row>
    <row r="39517" spans="8:8" x14ac:dyDescent="0.3">
      <c r="H39517" t="str">
        <f t="shared" si="667"/>
        <v/>
      </c>
    </row>
    <row r="39518" spans="8:8" x14ac:dyDescent="0.3">
      <c r="H39518" t="str">
        <f t="shared" si="667"/>
        <v/>
      </c>
    </row>
    <row r="39519" spans="8:8" x14ac:dyDescent="0.3">
      <c r="H39519" t="str">
        <f t="shared" si="667"/>
        <v/>
      </c>
    </row>
    <row r="39520" spans="8:8" x14ac:dyDescent="0.3">
      <c r="H39520" t="str">
        <f t="shared" si="667"/>
        <v/>
      </c>
    </row>
    <row r="39521" spans="8:8" x14ac:dyDescent="0.3">
      <c r="H39521" t="str">
        <f t="shared" si="667"/>
        <v/>
      </c>
    </row>
    <row r="39522" spans="8:8" x14ac:dyDescent="0.3">
      <c r="H39522" t="str">
        <f t="shared" si="667"/>
        <v/>
      </c>
    </row>
    <row r="39523" spans="8:8" x14ac:dyDescent="0.3">
      <c r="H39523" t="str">
        <f t="shared" si="667"/>
        <v/>
      </c>
    </row>
    <row r="39524" spans="8:8" x14ac:dyDescent="0.3">
      <c r="H39524" t="str">
        <f t="shared" si="667"/>
        <v/>
      </c>
    </row>
    <row r="39525" spans="8:8" x14ac:dyDescent="0.3">
      <c r="H39525" t="str">
        <f t="shared" si="667"/>
        <v/>
      </c>
    </row>
    <row r="39526" spans="8:8" x14ac:dyDescent="0.3">
      <c r="H39526" t="str">
        <f t="shared" si="667"/>
        <v/>
      </c>
    </row>
    <row r="39527" spans="8:8" x14ac:dyDescent="0.3">
      <c r="H39527" t="str">
        <f t="shared" si="667"/>
        <v/>
      </c>
    </row>
    <row r="39528" spans="8:8" x14ac:dyDescent="0.3">
      <c r="H39528" t="str">
        <f t="shared" si="667"/>
        <v/>
      </c>
    </row>
    <row r="39529" spans="8:8" x14ac:dyDescent="0.3">
      <c r="H39529" t="str">
        <f t="shared" si="667"/>
        <v/>
      </c>
    </row>
    <row r="39530" spans="8:8" x14ac:dyDescent="0.3">
      <c r="H39530" t="str">
        <f t="shared" si="667"/>
        <v/>
      </c>
    </row>
    <row r="39531" spans="8:8" x14ac:dyDescent="0.3">
      <c r="H39531" t="str">
        <f t="shared" si="667"/>
        <v/>
      </c>
    </row>
    <row r="39532" spans="8:8" x14ac:dyDescent="0.3">
      <c r="H39532" t="str">
        <f t="shared" si="667"/>
        <v/>
      </c>
    </row>
    <row r="39533" spans="8:8" x14ac:dyDescent="0.3">
      <c r="H39533" t="str">
        <f t="shared" si="667"/>
        <v/>
      </c>
    </row>
    <row r="39534" spans="8:8" x14ac:dyDescent="0.3">
      <c r="H39534" t="str">
        <f t="shared" si="667"/>
        <v/>
      </c>
    </row>
    <row r="39535" spans="8:8" x14ac:dyDescent="0.3">
      <c r="H39535" t="str">
        <f t="shared" si="667"/>
        <v/>
      </c>
    </row>
    <row r="39536" spans="8:8" x14ac:dyDescent="0.3">
      <c r="H39536" t="str">
        <f t="shared" si="667"/>
        <v/>
      </c>
    </row>
    <row r="39537" spans="8:8" x14ac:dyDescent="0.3">
      <c r="H39537" t="str">
        <f t="shared" si="667"/>
        <v/>
      </c>
    </row>
    <row r="39538" spans="8:8" x14ac:dyDescent="0.3">
      <c r="H39538" t="str">
        <f t="shared" si="667"/>
        <v/>
      </c>
    </row>
    <row r="39539" spans="8:8" x14ac:dyDescent="0.3">
      <c r="H39539" t="str">
        <f t="shared" si="667"/>
        <v/>
      </c>
    </row>
    <row r="39540" spans="8:8" x14ac:dyDescent="0.3">
      <c r="H39540" t="str">
        <f t="shared" si="667"/>
        <v/>
      </c>
    </row>
    <row r="39541" spans="8:8" x14ac:dyDescent="0.3">
      <c r="H39541" t="str">
        <f t="shared" si="667"/>
        <v/>
      </c>
    </row>
    <row r="39542" spans="8:8" x14ac:dyDescent="0.3">
      <c r="H39542" t="str">
        <f t="shared" si="667"/>
        <v/>
      </c>
    </row>
    <row r="39543" spans="8:8" x14ac:dyDescent="0.3">
      <c r="H39543" t="str">
        <f t="shared" si="667"/>
        <v/>
      </c>
    </row>
    <row r="39544" spans="8:8" x14ac:dyDescent="0.3">
      <c r="H39544" t="str">
        <f t="shared" si="667"/>
        <v/>
      </c>
    </row>
    <row r="39545" spans="8:8" x14ac:dyDescent="0.3">
      <c r="H39545" t="str">
        <f t="shared" si="667"/>
        <v/>
      </c>
    </row>
    <row r="39546" spans="8:8" x14ac:dyDescent="0.3">
      <c r="H39546" t="str">
        <f t="shared" si="667"/>
        <v/>
      </c>
    </row>
    <row r="39547" spans="8:8" x14ac:dyDescent="0.3">
      <c r="H39547" t="str">
        <f t="shared" si="667"/>
        <v/>
      </c>
    </row>
    <row r="39548" spans="8:8" x14ac:dyDescent="0.3">
      <c r="H39548" t="str">
        <f t="shared" si="667"/>
        <v/>
      </c>
    </row>
    <row r="39549" spans="8:8" x14ac:dyDescent="0.3">
      <c r="H39549" t="str">
        <f t="shared" si="667"/>
        <v/>
      </c>
    </row>
    <row r="39550" spans="8:8" x14ac:dyDescent="0.3">
      <c r="H39550" t="str">
        <f t="shared" si="667"/>
        <v/>
      </c>
    </row>
    <row r="39551" spans="8:8" x14ac:dyDescent="0.3">
      <c r="H39551" t="str">
        <f t="shared" si="667"/>
        <v/>
      </c>
    </row>
    <row r="39552" spans="8:8" x14ac:dyDescent="0.3">
      <c r="H39552" t="str">
        <f t="shared" si="667"/>
        <v/>
      </c>
    </row>
    <row r="39553" spans="8:8" x14ac:dyDescent="0.3">
      <c r="H39553" t="str">
        <f t="shared" si="667"/>
        <v/>
      </c>
    </row>
    <row r="39554" spans="8:8" x14ac:dyDescent="0.3">
      <c r="H39554" t="str">
        <f t="shared" si="667"/>
        <v/>
      </c>
    </row>
    <row r="39555" spans="8:8" x14ac:dyDescent="0.3">
      <c r="H39555" t="str">
        <f t="shared" si="667"/>
        <v/>
      </c>
    </row>
    <row r="39556" spans="8:8" x14ac:dyDescent="0.3">
      <c r="H39556" t="str">
        <f t="shared" si="667"/>
        <v/>
      </c>
    </row>
    <row r="39557" spans="8:8" x14ac:dyDescent="0.3">
      <c r="H39557" t="str">
        <f t="shared" si="667"/>
        <v/>
      </c>
    </row>
    <row r="39558" spans="8:8" x14ac:dyDescent="0.3">
      <c r="H39558" t="str">
        <f t="shared" si="667"/>
        <v/>
      </c>
    </row>
    <row r="39559" spans="8:8" x14ac:dyDescent="0.3">
      <c r="H39559" t="str">
        <f t="shared" si="667"/>
        <v/>
      </c>
    </row>
    <row r="39560" spans="8:8" x14ac:dyDescent="0.3">
      <c r="H39560" t="str">
        <f t="shared" si="667"/>
        <v/>
      </c>
    </row>
    <row r="39561" spans="8:8" x14ac:dyDescent="0.3">
      <c r="H39561" t="str">
        <f t="shared" si="667"/>
        <v/>
      </c>
    </row>
    <row r="39562" spans="8:8" x14ac:dyDescent="0.3">
      <c r="H39562" t="str">
        <f t="shared" si="667"/>
        <v/>
      </c>
    </row>
    <row r="39563" spans="8:8" x14ac:dyDescent="0.3">
      <c r="H39563" t="str">
        <f t="shared" si="667"/>
        <v/>
      </c>
    </row>
    <row r="39564" spans="8:8" x14ac:dyDescent="0.3">
      <c r="H39564" t="str">
        <f t="shared" si="667"/>
        <v/>
      </c>
    </row>
    <row r="39565" spans="8:8" x14ac:dyDescent="0.3">
      <c r="H39565" t="str">
        <f t="shared" si="667"/>
        <v/>
      </c>
    </row>
    <row r="39566" spans="8:8" x14ac:dyDescent="0.3">
      <c r="H39566" t="str">
        <f t="shared" si="667"/>
        <v/>
      </c>
    </row>
    <row r="39567" spans="8:8" x14ac:dyDescent="0.3">
      <c r="H39567" t="str">
        <f t="shared" si="667"/>
        <v/>
      </c>
    </row>
    <row r="39568" spans="8:8" x14ac:dyDescent="0.3">
      <c r="H39568" t="str">
        <f t="shared" si="667"/>
        <v/>
      </c>
    </row>
    <row r="39569" spans="8:8" x14ac:dyDescent="0.3">
      <c r="H39569" t="str">
        <f t="shared" si="667"/>
        <v/>
      </c>
    </row>
    <row r="39570" spans="8:8" x14ac:dyDescent="0.3">
      <c r="H39570" t="str">
        <f t="shared" si="667"/>
        <v/>
      </c>
    </row>
    <row r="39571" spans="8:8" x14ac:dyDescent="0.3">
      <c r="H39571" t="str">
        <f t="shared" si="667"/>
        <v/>
      </c>
    </row>
    <row r="39572" spans="8:8" x14ac:dyDescent="0.3">
      <c r="H39572" t="str">
        <f t="shared" si="667"/>
        <v/>
      </c>
    </row>
    <row r="39573" spans="8:8" x14ac:dyDescent="0.3">
      <c r="H39573" t="str">
        <f t="shared" si="667"/>
        <v/>
      </c>
    </row>
    <row r="39574" spans="8:8" x14ac:dyDescent="0.3">
      <c r="H39574" t="str">
        <f t="shared" si="667"/>
        <v/>
      </c>
    </row>
    <row r="39575" spans="8:8" x14ac:dyDescent="0.3">
      <c r="H39575" t="str">
        <f t="shared" ref="H39575:H39638" si="668">IF(B39575="","",$C$12)</f>
        <v/>
      </c>
    </row>
    <row r="39576" spans="8:8" x14ac:dyDescent="0.3">
      <c r="H39576" t="str">
        <f t="shared" si="668"/>
        <v/>
      </c>
    </row>
    <row r="39577" spans="8:8" x14ac:dyDescent="0.3">
      <c r="H39577" t="str">
        <f t="shared" si="668"/>
        <v/>
      </c>
    </row>
    <row r="39578" spans="8:8" x14ac:dyDescent="0.3">
      <c r="H39578" t="str">
        <f t="shared" si="668"/>
        <v/>
      </c>
    </row>
    <row r="39579" spans="8:8" x14ac:dyDescent="0.3">
      <c r="H39579" t="str">
        <f t="shared" si="668"/>
        <v/>
      </c>
    </row>
    <row r="39580" spans="8:8" x14ac:dyDescent="0.3">
      <c r="H39580" t="str">
        <f t="shared" si="668"/>
        <v/>
      </c>
    </row>
    <row r="39581" spans="8:8" x14ac:dyDescent="0.3">
      <c r="H39581" t="str">
        <f t="shared" si="668"/>
        <v/>
      </c>
    </row>
    <row r="39582" spans="8:8" x14ac:dyDescent="0.3">
      <c r="H39582" t="str">
        <f t="shared" si="668"/>
        <v/>
      </c>
    </row>
    <row r="39583" spans="8:8" x14ac:dyDescent="0.3">
      <c r="H39583" t="str">
        <f t="shared" si="668"/>
        <v/>
      </c>
    </row>
    <row r="39584" spans="8:8" x14ac:dyDescent="0.3">
      <c r="H39584" t="str">
        <f t="shared" si="668"/>
        <v/>
      </c>
    </row>
    <row r="39585" spans="8:8" x14ac:dyDescent="0.3">
      <c r="H39585" t="str">
        <f t="shared" si="668"/>
        <v/>
      </c>
    </row>
    <row r="39586" spans="8:8" x14ac:dyDescent="0.3">
      <c r="H39586" t="str">
        <f t="shared" si="668"/>
        <v/>
      </c>
    </row>
    <row r="39587" spans="8:8" x14ac:dyDescent="0.3">
      <c r="H39587" t="str">
        <f t="shared" si="668"/>
        <v/>
      </c>
    </row>
    <row r="39588" spans="8:8" x14ac:dyDescent="0.3">
      <c r="H39588" t="str">
        <f t="shared" si="668"/>
        <v/>
      </c>
    </row>
    <row r="39589" spans="8:8" x14ac:dyDescent="0.3">
      <c r="H39589" t="str">
        <f t="shared" si="668"/>
        <v/>
      </c>
    </row>
    <row r="39590" spans="8:8" x14ac:dyDescent="0.3">
      <c r="H39590" t="str">
        <f t="shared" si="668"/>
        <v/>
      </c>
    </row>
    <row r="39591" spans="8:8" x14ac:dyDescent="0.3">
      <c r="H39591" t="str">
        <f t="shared" si="668"/>
        <v/>
      </c>
    </row>
    <row r="39592" spans="8:8" x14ac:dyDescent="0.3">
      <c r="H39592" t="str">
        <f t="shared" si="668"/>
        <v/>
      </c>
    </row>
    <row r="39593" spans="8:8" x14ac:dyDescent="0.3">
      <c r="H39593" t="str">
        <f t="shared" si="668"/>
        <v/>
      </c>
    </row>
    <row r="39594" spans="8:8" x14ac:dyDescent="0.3">
      <c r="H39594" t="str">
        <f t="shared" si="668"/>
        <v/>
      </c>
    </row>
    <row r="39595" spans="8:8" x14ac:dyDescent="0.3">
      <c r="H39595" t="str">
        <f t="shared" si="668"/>
        <v/>
      </c>
    </row>
    <row r="39596" spans="8:8" x14ac:dyDescent="0.3">
      <c r="H39596" t="str">
        <f t="shared" si="668"/>
        <v/>
      </c>
    </row>
    <row r="39597" spans="8:8" x14ac:dyDescent="0.3">
      <c r="H39597" t="str">
        <f t="shared" si="668"/>
        <v/>
      </c>
    </row>
    <row r="39598" spans="8:8" x14ac:dyDescent="0.3">
      <c r="H39598" t="str">
        <f t="shared" si="668"/>
        <v/>
      </c>
    </row>
    <row r="39599" spans="8:8" x14ac:dyDescent="0.3">
      <c r="H39599" t="str">
        <f t="shared" si="668"/>
        <v/>
      </c>
    </row>
    <row r="39600" spans="8:8" x14ac:dyDescent="0.3">
      <c r="H39600" t="str">
        <f t="shared" si="668"/>
        <v/>
      </c>
    </row>
    <row r="39601" spans="8:8" x14ac:dyDescent="0.3">
      <c r="H39601" t="str">
        <f t="shared" si="668"/>
        <v/>
      </c>
    </row>
    <row r="39602" spans="8:8" x14ac:dyDescent="0.3">
      <c r="H39602" t="str">
        <f t="shared" si="668"/>
        <v/>
      </c>
    </row>
    <row r="39603" spans="8:8" x14ac:dyDescent="0.3">
      <c r="H39603" t="str">
        <f t="shared" si="668"/>
        <v/>
      </c>
    </row>
    <row r="39604" spans="8:8" x14ac:dyDescent="0.3">
      <c r="H39604" t="str">
        <f t="shared" si="668"/>
        <v/>
      </c>
    </row>
    <row r="39605" spans="8:8" x14ac:dyDescent="0.3">
      <c r="H39605" t="str">
        <f t="shared" si="668"/>
        <v/>
      </c>
    </row>
    <row r="39606" spans="8:8" x14ac:dyDescent="0.3">
      <c r="H39606" t="str">
        <f t="shared" si="668"/>
        <v/>
      </c>
    </row>
    <row r="39607" spans="8:8" x14ac:dyDescent="0.3">
      <c r="H39607" t="str">
        <f t="shared" si="668"/>
        <v/>
      </c>
    </row>
    <row r="39608" spans="8:8" x14ac:dyDescent="0.3">
      <c r="H39608" t="str">
        <f t="shared" si="668"/>
        <v/>
      </c>
    </row>
    <row r="39609" spans="8:8" x14ac:dyDescent="0.3">
      <c r="H39609" t="str">
        <f t="shared" si="668"/>
        <v/>
      </c>
    </row>
    <row r="39610" spans="8:8" x14ac:dyDescent="0.3">
      <c r="H39610" t="str">
        <f t="shared" si="668"/>
        <v/>
      </c>
    </row>
    <row r="39611" spans="8:8" x14ac:dyDescent="0.3">
      <c r="H39611" t="str">
        <f t="shared" si="668"/>
        <v/>
      </c>
    </row>
    <row r="39612" spans="8:8" x14ac:dyDescent="0.3">
      <c r="H39612" t="str">
        <f t="shared" si="668"/>
        <v/>
      </c>
    </row>
    <row r="39613" spans="8:8" x14ac:dyDescent="0.3">
      <c r="H39613" t="str">
        <f t="shared" si="668"/>
        <v/>
      </c>
    </row>
    <row r="39614" spans="8:8" x14ac:dyDescent="0.3">
      <c r="H39614" t="str">
        <f t="shared" si="668"/>
        <v/>
      </c>
    </row>
    <row r="39615" spans="8:8" x14ac:dyDescent="0.3">
      <c r="H39615" t="str">
        <f t="shared" si="668"/>
        <v/>
      </c>
    </row>
    <row r="39616" spans="8:8" x14ac:dyDescent="0.3">
      <c r="H39616" t="str">
        <f t="shared" si="668"/>
        <v/>
      </c>
    </row>
    <row r="39617" spans="8:8" x14ac:dyDescent="0.3">
      <c r="H39617" t="str">
        <f t="shared" si="668"/>
        <v/>
      </c>
    </row>
    <row r="39618" spans="8:8" x14ac:dyDescent="0.3">
      <c r="H39618" t="str">
        <f t="shared" si="668"/>
        <v/>
      </c>
    </row>
    <row r="39619" spans="8:8" x14ac:dyDescent="0.3">
      <c r="H39619" t="str">
        <f t="shared" si="668"/>
        <v/>
      </c>
    </row>
    <row r="39620" spans="8:8" x14ac:dyDescent="0.3">
      <c r="H39620" t="str">
        <f t="shared" si="668"/>
        <v/>
      </c>
    </row>
    <row r="39621" spans="8:8" x14ac:dyDescent="0.3">
      <c r="H39621" t="str">
        <f t="shared" si="668"/>
        <v/>
      </c>
    </row>
    <row r="39622" spans="8:8" x14ac:dyDescent="0.3">
      <c r="H39622" t="str">
        <f t="shared" si="668"/>
        <v/>
      </c>
    </row>
    <row r="39623" spans="8:8" x14ac:dyDescent="0.3">
      <c r="H39623" t="str">
        <f t="shared" si="668"/>
        <v/>
      </c>
    </row>
    <row r="39624" spans="8:8" x14ac:dyDescent="0.3">
      <c r="H39624" t="str">
        <f t="shared" si="668"/>
        <v/>
      </c>
    </row>
    <row r="39625" spans="8:8" x14ac:dyDescent="0.3">
      <c r="H39625" t="str">
        <f t="shared" si="668"/>
        <v/>
      </c>
    </row>
    <row r="39626" spans="8:8" x14ac:dyDescent="0.3">
      <c r="H39626" t="str">
        <f t="shared" si="668"/>
        <v/>
      </c>
    </row>
    <row r="39627" spans="8:8" x14ac:dyDescent="0.3">
      <c r="H39627" t="str">
        <f t="shared" si="668"/>
        <v/>
      </c>
    </row>
    <row r="39628" spans="8:8" x14ac:dyDescent="0.3">
      <c r="H39628" t="str">
        <f t="shared" si="668"/>
        <v/>
      </c>
    </row>
    <row r="39629" spans="8:8" x14ac:dyDescent="0.3">
      <c r="H39629" t="str">
        <f t="shared" si="668"/>
        <v/>
      </c>
    </row>
    <row r="39630" spans="8:8" x14ac:dyDescent="0.3">
      <c r="H39630" t="str">
        <f t="shared" si="668"/>
        <v/>
      </c>
    </row>
    <row r="39631" spans="8:8" x14ac:dyDescent="0.3">
      <c r="H39631" t="str">
        <f t="shared" si="668"/>
        <v/>
      </c>
    </row>
    <row r="39632" spans="8:8" x14ac:dyDescent="0.3">
      <c r="H39632" t="str">
        <f t="shared" si="668"/>
        <v/>
      </c>
    </row>
    <row r="39633" spans="8:8" x14ac:dyDescent="0.3">
      <c r="H39633" t="str">
        <f t="shared" si="668"/>
        <v/>
      </c>
    </row>
    <row r="39634" spans="8:8" x14ac:dyDescent="0.3">
      <c r="H39634" t="str">
        <f t="shared" si="668"/>
        <v/>
      </c>
    </row>
    <row r="39635" spans="8:8" x14ac:dyDescent="0.3">
      <c r="H39635" t="str">
        <f t="shared" si="668"/>
        <v/>
      </c>
    </row>
    <row r="39636" spans="8:8" x14ac:dyDescent="0.3">
      <c r="H39636" t="str">
        <f t="shared" si="668"/>
        <v/>
      </c>
    </row>
    <row r="39637" spans="8:8" x14ac:dyDescent="0.3">
      <c r="H39637" t="str">
        <f t="shared" si="668"/>
        <v/>
      </c>
    </row>
    <row r="39638" spans="8:8" x14ac:dyDescent="0.3">
      <c r="H39638" t="str">
        <f t="shared" si="668"/>
        <v/>
      </c>
    </row>
    <row r="39639" spans="8:8" x14ac:dyDescent="0.3">
      <c r="H39639" t="str">
        <f t="shared" ref="H39639:H39702" si="669">IF(B39639="","",$C$12)</f>
        <v/>
      </c>
    </row>
    <row r="39640" spans="8:8" x14ac:dyDescent="0.3">
      <c r="H39640" t="str">
        <f t="shared" si="669"/>
        <v/>
      </c>
    </row>
    <row r="39641" spans="8:8" x14ac:dyDescent="0.3">
      <c r="H39641" t="str">
        <f t="shared" si="669"/>
        <v/>
      </c>
    </row>
    <row r="39642" spans="8:8" x14ac:dyDescent="0.3">
      <c r="H39642" t="str">
        <f t="shared" si="669"/>
        <v/>
      </c>
    </row>
    <row r="39643" spans="8:8" x14ac:dyDescent="0.3">
      <c r="H39643" t="str">
        <f t="shared" si="669"/>
        <v/>
      </c>
    </row>
    <row r="39644" spans="8:8" x14ac:dyDescent="0.3">
      <c r="H39644" t="str">
        <f t="shared" si="669"/>
        <v/>
      </c>
    </row>
    <row r="39645" spans="8:8" x14ac:dyDescent="0.3">
      <c r="H39645" t="str">
        <f t="shared" si="669"/>
        <v/>
      </c>
    </row>
    <row r="39646" spans="8:8" x14ac:dyDescent="0.3">
      <c r="H39646" t="str">
        <f t="shared" si="669"/>
        <v/>
      </c>
    </row>
    <row r="39647" spans="8:8" x14ac:dyDescent="0.3">
      <c r="H39647" t="str">
        <f t="shared" si="669"/>
        <v/>
      </c>
    </row>
    <row r="39648" spans="8:8" x14ac:dyDescent="0.3">
      <c r="H39648" t="str">
        <f t="shared" si="669"/>
        <v/>
      </c>
    </row>
    <row r="39649" spans="8:8" x14ac:dyDescent="0.3">
      <c r="H39649" t="str">
        <f t="shared" si="669"/>
        <v/>
      </c>
    </row>
    <row r="39650" spans="8:8" x14ac:dyDescent="0.3">
      <c r="H39650" t="str">
        <f t="shared" si="669"/>
        <v/>
      </c>
    </row>
    <row r="39651" spans="8:8" x14ac:dyDescent="0.3">
      <c r="H39651" t="str">
        <f t="shared" si="669"/>
        <v/>
      </c>
    </row>
    <row r="39652" spans="8:8" x14ac:dyDescent="0.3">
      <c r="H39652" t="str">
        <f t="shared" si="669"/>
        <v/>
      </c>
    </row>
    <row r="39653" spans="8:8" x14ac:dyDescent="0.3">
      <c r="H39653" t="str">
        <f t="shared" si="669"/>
        <v/>
      </c>
    </row>
    <row r="39654" spans="8:8" x14ac:dyDescent="0.3">
      <c r="H39654" t="str">
        <f t="shared" si="669"/>
        <v/>
      </c>
    </row>
    <row r="39655" spans="8:8" x14ac:dyDescent="0.3">
      <c r="H39655" t="str">
        <f t="shared" si="669"/>
        <v/>
      </c>
    </row>
    <row r="39656" spans="8:8" x14ac:dyDescent="0.3">
      <c r="H39656" t="str">
        <f t="shared" si="669"/>
        <v/>
      </c>
    </row>
    <row r="39657" spans="8:8" x14ac:dyDescent="0.3">
      <c r="H39657" t="str">
        <f t="shared" si="669"/>
        <v/>
      </c>
    </row>
    <row r="39658" spans="8:8" x14ac:dyDescent="0.3">
      <c r="H39658" t="str">
        <f t="shared" si="669"/>
        <v/>
      </c>
    </row>
    <row r="39659" spans="8:8" x14ac:dyDescent="0.3">
      <c r="H39659" t="str">
        <f t="shared" si="669"/>
        <v/>
      </c>
    </row>
    <row r="39660" spans="8:8" x14ac:dyDescent="0.3">
      <c r="H39660" t="str">
        <f t="shared" si="669"/>
        <v/>
      </c>
    </row>
    <row r="39661" spans="8:8" x14ac:dyDescent="0.3">
      <c r="H39661" t="str">
        <f t="shared" si="669"/>
        <v/>
      </c>
    </row>
    <row r="39662" spans="8:8" x14ac:dyDescent="0.3">
      <c r="H39662" t="str">
        <f t="shared" si="669"/>
        <v/>
      </c>
    </row>
    <row r="39663" spans="8:8" x14ac:dyDescent="0.3">
      <c r="H39663" t="str">
        <f t="shared" si="669"/>
        <v/>
      </c>
    </row>
    <row r="39664" spans="8:8" x14ac:dyDescent="0.3">
      <c r="H39664" t="str">
        <f t="shared" si="669"/>
        <v/>
      </c>
    </row>
    <row r="39665" spans="8:8" x14ac:dyDescent="0.3">
      <c r="H39665" t="str">
        <f t="shared" si="669"/>
        <v/>
      </c>
    </row>
    <row r="39666" spans="8:8" x14ac:dyDescent="0.3">
      <c r="H39666" t="str">
        <f t="shared" si="669"/>
        <v/>
      </c>
    </row>
    <row r="39667" spans="8:8" x14ac:dyDescent="0.3">
      <c r="H39667" t="str">
        <f t="shared" si="669"/>
        <v/>
      </c>
    </row>
    <row r="39668" spans="8:8" x14ac:dyDescent="0.3">
      <c r="H39668" t="str">
        <f t="shared" si="669"/>
        <v/>
      </c>
    </row>
    <row r="39669" spans="8:8" x14ac:dyDescent="0.3">
      <c r="H39669" t="str">
        <f t="shared" si="669"/>
        <v/>
      </c>
    </row>
    <row r="39670" spans="8:8" x14ac:dyDescent="0.3">
      <c r="H39670" t="str">
        <f t="shared" si="669"/>
        <v/>
      </c>
    </row>
    <row r="39671" spans="8:8" x14ac:dyDescent="0.3">
      <c r="H39671" t="str">
        <f t="shared" si="669"/>
        <v/>
      </c>
    </row>
    <row r="39672" spans="8:8" x14ac:dyDescent="0.3">
      <c r="H39672" t="str">
        <f t="shared" si="669"/>
        <v/>
      </c>
    </row>
    <row r="39673" spans="8:8" x14ac:dyDescent="0.3">
      <c r="H39673" t="str">
        <f t="shared" si="669"/>
        <v/>
      </c>
    </row>
    <row r="39674" spans="8:8" x14ac:dyDescent="0.3">
      <c r="H39674" t="str">
        <f t="shared" si="669"/>
        <v/>
      </c>
    </row>
    <row r="39675" spans="8:8" x14ac:dyDescent="0.3">
      <c r="H39675" t="str">
        <f t="shared" si="669"/>
        <v/>
      </c>
    </row>
    <row r="39676" spans="8:8" x14ac:dyDescent="0.3">
      <c r="H39676" t="str">
        <f t="shared" si="669"/>
        <v/>
      </c>
    </row>
    <row r="39677" spans="8:8" x14ac:dyDescent="0.3">
      <c r="H39677" t="str">
        <f t="shared" si="669"/>
        <v/>
      </c>
    </row>
    <row r="39678" spans="8:8" x14ac:dyDescent="0.3">
      <c r="H39678" t="str">
        <f t="shared" si="669"/>
        <v/>
      </c>
    </row>
    <row r="39679" spans="8:8" x14ac:dyDescent="0.3">
      <c r="H39679" t="str">
        <f t="shared" si="669"/>
        <v/>
      </c>
    </row>
    <row r="39680" spans="8:8" x14ac:dyDescent="0.3">
      <c r="H39680" t="str">
        <f t="shared" si="669"/>
        <v/>
      </c>
    </row>
    <row r="39681" spans="8:8" x14ac:dyDescent="0.3">
      <c r="H39681" t="str">
        <f t="shared" si="669"/>
        <v/>
      </c>
    </row>
    <row r="39682" spans="8:8" x14ac:dyDescent="0.3">
      <c r="H39682" t="str">
        <f t="shared" si="669"/>
        <v/>
      </c>
    </row>
    <row r="39683" spans="8:8" x14ac:dyDescent="0.3">
      <c r="H39683" t="str">
        <f t="shared" si="669"/>
        <v/>
      </c>
    </row>
    <row r="39684" spans="8:8" x14ac:dyDescent="0.3">
      <c r="H39684" t="str">
        <f t="shared" si="669"/>
        <v/>
      </c>
    </row>
    <row r="39685" spans="8:8" x14ac:dyDescent="0.3">
      <c r="H39685" t="str">
        <f t="shared" si="669"/>
        <v/>
      </c>
    </row>
    <row r="39686" spans="8:8" x14ac:dyDescent="0.3">
      <c r="H39686" t="str">
        <f t="shared" si="669"/>
        <v/>
      </c>
    </row>
    <row r="39687" spans="8:8" x14ac:dyDescent="0.3">
      <c r="H39687" t="str">
        <f t="shared" si="669"/>
        <v/>
      </c>
    </row>
    <row r="39688" spans="8:8" x14ac:dyDescent="0.3">
      <c r="H39688" t="str">
        <f t="shared" si="669"/>
        <v/>
      </c>
    </row>
    <row r="39689" spans="8:8" x14ac:dyDescent="0.3">
      <c r="H39689" t="str">
        <f t="shared" si="669"/>
        <v/>
      </c>
    </row>
    <row r="39690" spans="8:8" x14ac:dyDescent="0.3">
      <c r="H39690" t="str">
        <f t="shared" si="669"/>
        <v/>
      </c>
    </row>
    <row r="39691" spans="8:8" x14ac:dyDescent="0.3">
      <c r="H39691" t="str">
        <f t="shared" si="669"/>
        <v/>
      </c>
    </row>
    <row r="39692" spans="8:8" x14ac:dyDescent="0.3">
      <c r="H39692" t="str">
        <f t="shared" si="669"/>
        <v/>
      </c>
    </row>
    <row r="39693" spans="8:8" x14ac:dyDescent="0.3">
      <c r="H39693" t="str">
        <f t="shared" si="669"/>
        <v/>
      </c>
    </row>
    <row r="39694" spans="8:8" x14ac:dyDescent="0.3">
      <c r="H39694" t="str">
        <f t="shared" si="669"/>
        <v/>
      </c>
    </row>
    <row r="39695" spans="8:8" x14ac:dyDescent="0.3">
      <c r="H39695" t="str">
        <f t="shared" si="669"/>
        <v/>
      </c>
    </row>
    <row r="39696" spans="8:8" x14ac:dyDescent="0.3">
      <c r="H39696" t="str">
        <f t="shared" si="669"/>
        <v/>
      </c>
    </row>
    <row r="39697" spans="8:8" x14ac:dyDescent="0.3">
      <c r="H39697" t="str">
        <f t="shared" si="669"/>
        <v/>
      </c>
    </row>
    <row r="39698" spans="8:8" x14ac:dyDescent="0.3">
      <c r="H39698" t="str">
        <f t="shared" si="669"/>
        <v/>
      </c>
    </row>
    <row r="39699" spans="8:8" x14ac:dyDescent="0.3">
      <c r="H39699" t="str">
        <f t="shared" si="669"/>
        <v/>
      </c>
    </row>
    <row r="39700" spans="8:8" x14ac:dyDescent="0.3">
      <c r="H39700" t="str">
        <f t="shared" si="669"/>
        <v/>
      </c>
    </row>
    <row r="39701" spans="8:8" x14ac:dyDescent="0.3">
      <c r="H39701" t="str">
        <f t="shared" si="669"/>
        <v/>
      </c>
    </row>
    <row r="39702" spans="8:8" x14ac:dyDescent="0.3">
      <c r="H39702" t="str">
        <f t="shared" si="669"/>
        <v/>
      </c>
    </row>
    <row r="39703" spans="8:8" x14ac:dyDescent="0.3">
      <c r="H39703" t="str">
        <f t="shared" ref="H39703:H39766" si="670">IF(B39703="","",$C$12)</f>
        <v/>
      </c>
    </row>
    <row r="39704" spans="8:8" x14ac:dyDescent="0.3">
      <c r="H39704" t="str">
        <f t="shared" si="670"/>
        <v/>
      </c>
    </row>
    <row r="39705" spans="8:8" x14ac:dyDescent="0.3">
      <c r="H39705" t="str">
        <f t="shared" si="670"/>
        <v/>
      </c>
    </row>
    <row r="39706" spans="8:8" x14ac:dyDescent="0.3">
      <c r="H39706" t="str">
        <f t="shared" si="670"/>
        <v/>
      </c>
    </row>
    <row r="39707" spans="8:8" x14ac:dyDescent="0.3">
      <c r="H39707" t="str">
        <f t="shared" si="670"/>
        <v/>
      </c>
    </row>
    <row r="39708" spans="8:8" x14ac:dyDescent="0.3">
      <c r="H39708" t="str">
        <f t="shared" si="670"/>
        <v/>
      </c>
    </row>
    <row r="39709" spans="8:8" x14ac:dyDescent="0.3">
      <c r="H39709" t="str">
        <f t="shared" si="670"/>
        <v/>
      </c>
    </row>
    <row r="39710" spans="8:8" x14ac:dyDescent="0.3">
      <c r="H39710" t="str">
        <f t="shared" si="670"/>
        <v/>
      </c>
    </row>
    <row r="39711" spans="8:8" x14ac:dyDescent="0.3">
      <c r="H39711" t="str">
        <f t="shared" si="670"/>
        <v/>
      </c>
    </row>
    <row r="39712" spans="8:8" x14ac:dyDescent="0.3">
      <c r="H39712" t="str">
        <f t="shared" si="670"/>
        <v/>
      </c>
    </row>
    <row r="39713" spans="8:8" x14ac:dyDescent="0.3">
      <c r="H39713" t="str">
        <f t="shared" si="670"/>
        <v/>
      </c>
    </row>
    <row r="39714" spans="8:8" x14ac:dyDescent="0.3">
      <c r="H39714" t="str">
        <f t="shared" si="670"/>
        <v/>
      </c>
    </row>
    <row r="39715" spans="8:8" x14ac:dyDescent="0.3">
      <c r="H39715" t="str">
        <f t="shared" si="670"/>
        <v/>
      </c>
    </row>
    <row r="39716" spans="8:8" x14ac:dyDescent="0.3">
      <c r="H39716" t="str">
        <f t="shared" si="670"/>
        <v/>
      </c>
    </row>
    <row r="39717" spans="8:8" x14ac:dyDescent="0.3">
      <c r="H39717" t="str">
        <f t="shared" si="670"/>
        <v/>
      </c>
    </row>
    <row r="39718" spans="8:8" x14ac:dyDescent="0.3">
      <c r="H39718" t="str">
        <f t="shared" si="670"/>
        <v/>
      </c>
    </row>
    <row r="39719" spans="8:8" x14ac:dyDescent="0.3">
      <c r="H39719" t="str">
        <f t="shared" si="670"/>
        <v/>
      </c>
    </row>
    <row r="39720" spans="8:8" x14ac:dyDescent="0.3">
      <c r="H39720" t="str">
        <f t="shared" si="670"/>
        <v/>
      </c>
    </row>
    <row r="39721" spans="8:8" x14ac:dyDescent="0.3">
      <c r="H39721" t="str">
        <f t="shared" si="670"/>
        <v/>
      </c>
    </row>
    <row r="39722" spans="8:8" x14ac:dyDescent="0.3">
      <c r="H39722" t="str">
        <f t="shared" si="670"/>
        <v/>
      </c>
    </row>
    <row r="39723" spans="8:8" x14ac:dyDescent="0.3">
      <c r="H39723" t="str">
        <f t="shared" si="670"/>
        <v/>
      </c>
    </row>
    <row r="39724" spans="8:8" x14ac:dyDescent="0.3">
      <c r="H39724" t="str">
        <f t="shared" si="670"/>
        <v/>
      </c>
    </row>
    <row r="39725" spans="8:8" x14ac:dyDescent="0.3">
      <c r="H39725" t="str">
        <f t="shared" si="670"/>
        <v/>
      </c>
    </row>
    <row r="39726" spans="8:8" x14ac:dyDescent="0.3">
      <c r="H39726" t="str">
        <f t="shared" si="670"/>
        <v/>
      </c>
    </row>
    <row r="39727" spans="8:8" x14ac:dyDescent="0.3">
      <c r="H39727" t="str">
        <f t="shared" si="670"/>
        <v/>
      </c>
    </row>
    <row r="39728" spans="8:8" x14ac:dyDescent="0.3">
      <c r="H39728" t="str">
        <f t="shared" si="670"/>
        <v/>
      </c>
    </row>
    <row r="39729" spans="8:8" x14ac:dyDescent="0.3">
      <c r="H39729" t="str">
        <f t="shared" si="670"/>
        <v/>
      </c>
    </row>
    <row r="39730" spans="8:8" x14ac:dyDescent="0.3">
      <c r="H39730" t="str">
        <f t="shared" si="670"/>
        <v/>
      </c>
    </row>
    <row r="39731" spans="8:8" x14ac:dyDescent="0.3">
      <c r="H39731" t="str">
        <f t="shared" si="670"/>
        <v/>
      </c>
    </row>
    <row r="39732" spans="8:8" x14ac:dyDescent="0.3">
      <c r="H39732" t="str">
        <f t="shared" si="670"/>
        <v/>
      </c>
    </row>
    <row r="39733" spans="8:8" x14ac:dyDescent="0.3">
      <c r="H39733" t="str">
        <f t="shared" si="670"/>
        <v/>
      </c>
    </row>
    <row r="39734" spans="8:8" x14ac:dyDescent="0.3">
      <c r="H39734" t="str">
        <f t="shared" si="670"/>
        <v/>
      </c>
    </row>
    <row r="39735" spans="8:8" x14ac:dyDescent="0.3">
      <c r="H39735" t="str">
        <f t="shared" si="670"/>
        <v/>
      </c>
    </row>
    <row r="39736" spans="8:8" x14ac:dyDescent="0.3">
      <c r="H39736" t="str">
        <f t="shared" si="670"/>
        <v/>
      </c>
    </row>
    <row r="39737" spans="8:8" x14ac:dyDescent="0.3">
      <c r="H39737" t="str">
        <f t="shared" si="670"/>
        <v/>
      </c>
    </row>
    <row r="39738" spans="8:8" x14ac:dyDescent="0.3">
      <c r="H39738" t="str">
        <f t="shared" si="670"/>
        <v/>
      </c>
    </row>
    <row r="39739" spans="8:8" x14ac:dyDescent="0.3">
      <c r="H39739" t="str">
        <f t="shared" si="670"/>
        <v/>
      </c>
    </row>
    <row r="39740" spans="8:8" x14ac:dyDescent="0.3">
      <c r="H39740" t="str">
        <f t="shared" si="670"/>
        <v/>
      </c>
    </row>
    <row r="39741" spans="8:8" x14ac:dyDescent="0.3">
      <c r="H39741" t="str">
        <f t="shared" si="670"/>
        <v/>
      </c>
    </row>
    <row r="39742" spans="8:8" x14ac:dyDescent="0.3">
      <c r="H39742" t="str">
        <f t="shared" si="670"/>
        <v/>
      </c>
    </row>
    <row r="39743" spans="8:8" x14ac:dyDescent="0.3">
      <c r="H39743" t="str">
        <f t="shared" si="670"/>
        <v/>
      </c>
    </row>
    <row r="39744" spans="8:8" x14ac:dyDescent="0.3">
      <c r="H39744" t="str">
        <f t="shared" si="670"/>
        <v/>
      </c>
    </row>
    <row r="39745" spans="8:8" x14ac:dyDescent="0.3">
      <c r="H39745" t="str">
        <f t="shared" si="670"/>
        <v/>
      </c>
    </row>
    <row r="39746" spans="8:8" x14ac:dyDescent="0.3">
      <c r="H39746" t="str">
        <f t="shared" si="670"/>
        <v/>
      </c>
    </row>
    <row r="39747" spans="8:8" x14ac:dyDescent="0.3">
      <c r="H39747" t="str">
        <f t="shared" si="670"/>
        <v/>
      </c>
    </row>
    <row r="39748" spans="8:8" x14ac:dyDescent="0.3">
      <c r="H39748" t="str">
        <f t="shared" si="670"/>
        <v/>
      </c>
    </row>
    <row r="39749" spans="8:8" x14ac:dyDescent="0.3">
      <c r="H39749" t="str">
        <f t="shared" si="670"/>
        <v/>
      </c>
    </row>
    <row r="39750" spans="8:8" x14ac:dyDescent="0.3">
      <c r="H39750" t="str">
        <f t="shared" si="670"/>
        <v/>
      </c>
    </row>
    <row r="39751" spans="8:8" x14ac:dyDescent="0.3">
      <c r="H39751" t="str">
        <f t="shared" si="670"/>
        <v/>
      </c>
    </row>
    <row r="39752" spans="8:8" x14ac:dyDescent="0.3">
      <c r="H39752" t="str">
        <f t="shared" si="670"/>
        <v/>
      </c>
    </row>
    <row r="39753" spans="8:8" x14ac:dyDescent="0.3">
      <c r="H39753" t="str">
        <f t="shared" si="670"/>
        <v/>
      </c>
    </row>
    <row r="39754" spans="8:8" x14ac:dyDescent="0.3">
      <c r="H39754" t="str">
        <f t="shared" si="670"/>
        <v/>
      </c>
    </row>
    <row r="39755" spans="8:8" x14ac:dyDescent="0.3">
      <c r="H39755" t="str">
        <f t="shared" si="670"/>
        <v/>
      </c>
    </row>
    <row r="39756" spans="8:8" x14ac:dyDescent="0.3">
      <c r="H39756" t="str">
        <f t="shared" si="670"/>
        <v/>
      </c>
    </row>
    <row r="39757" spans="8:8" x14ac:dyDescent="0.3">
      <c r="H39757" t="str">
        <f t="shared" si="670"/>
        <v/>
      </c>
    </row>
    <row r="39758" spans="8:8" x14ac:dyDescent="0.3">
      <c r="H39758" t="str">
        <f t="shared" si="670"/>
        <v/>
      </c>
    </row>
    <row r="39759" spans="8:8" x14ac:dyDescent="0.3">
      <c r="H39759" t="str">
        <f t="shared" si="670"/>
        <v/>
      </c>
    </row>
    <row r="39760" spans="8:8" x14ac:dyDescent="0.3">
      <c r="H39760" t="str">
        <f t="shared" si="670"/>
        <v/>
      </c>
    </row>
    <row r="39761" spans="8:8" x14ac:dyDescent="0.3">
      <c r="H39761" t="str">
        <f t="shared" si="670"/>
        <v/>
      </c>
    </row>
    <row r="39762" spans="8:8" x14ac:dyDescent="0.3">
      <c r="H39762" t="str">
        <f t="shared" si="670"/>
        <v/>
      </c>
    </row>
    <row r="39763" spans="8:8" x14ac:dyDescent="0.3">
      <c r="H39763" t="str">
        <f t="shared" si="670"/>
        <v/>
      </c>
    </row>
    <row r="39764" spans="8:8" x14ac:dyDescent="0.3">
      <c r="H39764" t="str">
        <f t="shared" si="670"/>
        <v/>
      </c>
    </row>
    <row r="39765" spans="8:8" x14ac:dyDescent="0.3">
      <c r="H39765" t="str">
        <f t="shared" si="670"/>
        <v/>
      </c>
    </row>
    <row r="39766" spans="8:8" x14ac:dyDescent="0.3">
      <c r="H39766" t="str">
        <f t="shared" si="670"/>
        <v/>
      </c>
    </row>
    <row r="39767" spans="8:8" x14ac:dyDescent="0.3">
      <c r="H39767" t="str">
        <f t="shared" ref="H39767:H39830" si="671">IF(B39767="","",$C$12)</f>
        <v/>
      </c>
    </row>
    <row r="39768" spans="8:8" x14ac:dyDescent="0.3">
      <c r="H39768" t="str">
        <f t="shared" si="671"/>
        <v/>
      </c>
    </row>
    <row r="39769" spans="8:8" x14ac:dyDescent="0.3">
      <c r="H39769" t="str">
        <f t="shared" si="671"/>
        <v/>
      </c>
    </row>
    <row r="39770" spans="8:8" x14ac:dyDescent="0.3">
      <c r="H39770" t="str">
        <f t="shared" si="671"/>
        <v/>
      </c>
    </row>
    <row r="39771" spans="8:8" x14ac:dyDescent="0.3">
      <c r="H39771" t="str">
        <f t="shared" si="671"/>
        <v/>
      </c>
    </row>
    <row r="39772" spans="8:8" x14ac:dyDescent="0.3">
      <c r="H39772" t="str">
        <f t="shared" si="671"/>
        <v/>
      </c>
    </row>
    <row r="39773" spans="8:8" x14ac:dyDescent="0.3">
      <c r="H39773" t="str">
        <f t="shared" si="671"/>
        <v/>
      </c>
    </row>
    <row r="39774" spans="8:8" x14ac:dyDescent="0.3">
      <c r="H39774" t="str">
        <f t="shared" si="671"/>
        <v/>
      </c>
    </row>
    <row r="39775" spans="8:8" x14ac:dyDescent="0.3">
      <c r="H39775" t="str">
        <f t="shared" si="671"/>
        <v/>
      </c>
    </row>
    <row r="39776" spans="8:8" x14ac:dyDescent="0.3">
      <c r="H39776" t="str">
        <f t="shared" si="671"/>
        <v/>
      </c>
    </row>
    <row r="39777" spans="8:8" x14ac:dyDescent="0.3">
      <c r="H39777" t="str">
        <f t="shared" si="671"/>
        <v/>
      </c>
    </row>
    <row r="39778" spans="8:8" x14ac:dyDescent="0.3">
      <c r="H39778" t="str">
        <f t="shared" si="671"/>
        <v/>
      </c>
    </row>
    <row r="39779" spans="8:8" x14ac:dyDescent="0.3">
      <c r="H39779" t="str">
        <f t="shared" si="671"/>
        <v/>
      </c>
    </row>
    <row r="39780" spans="8:8" x14ac:dyDescent="0.3">
      <c r="H39780" t="str">
        <f t="shared" si="671"/>
        <v/>
      </c>
    </row>
    <row r="39781" spans="8:8" x14ac:dyDescent="0.3">
      <c r="H39781" t="str">
        <f t="shared" si="671"/>
        <v/>
      </c>
    </row>
    <row r="39782" spans="8:8" x14ac:dyDescent="0.3">
      <c r="H39782" t="str">
        <f t="shared" si="671"/>
        <v/>
      </c>
    </row>
    <row r="39783" spans="8:8" x14ac:dyDescent="0.3">
      <c r="H39783" t="str">
        <f t="shared" si="671"/>
        <v/>
      </c>
    </row>
    <row r="39784" spans="8:8" x14ac:dyDescent="0.3">
      <c r="H39784" t="str">
        <f t="shared" si="671"/>
        <v/>
      </c>
    </row>
    <row r="39785" spans="8:8" x14ac:dyDescent="0.3">
      <c r="H39785" t="str">
        <f t="shared" si="671"/>
        <v/>
      </c>
    </row>
    <row r="39786" spans="8:8" x14ac:dyDescent="0.3">
      <c r="H39786" t="str">
        <f t="shared" si="671"/>
        <v/>
      </c>
    </row>
    <row r="39787" spans="8:8" x14ac:dyDescent="0.3">
      <c r="H39787" t="str">
        <f t="shared" si="671"/>
        <v/>
      </c>
    </row>
    <row r="39788" spans="8:8" x14ac:dyDescent="0.3">
      <c r="H39788" t="str">
        <f t="shared" si="671"/>
        <v/>
      </c>
    </row>
    <row r="39789" spans="8:8" x14ac:dyDescent="0.3">
      <c r="H39789" t="str">
        <f t="shared" si="671"/>
        <v/>
      </c>
    </row>
    <row r="39790" spans="8:8" x14ac:dyDescent="0.3">
      <c r="H39790" t="str">
        <f t="shared" si="671"/>
        <v/>
      </c>
    </row>
    <row r="39791" spans="8:8" x14ac:dyDescent="0.3">
      <c r="H39791" t="str">
        <f t="shared" si="671"/>
        <v/>
      </c>
    </row>
    <row r="39792" spans="8:8" x14ac:dyDescent="0.3">
      <c r="H39792" t="str">
        <f t="shared" si="671"/>
        <v/>
      </c>
    </row>
    <row r="39793" spans="8:8" x14ac:dyDescent="0.3">
      <c r="H39793" t="str">
        <f t="shared" si="671"/>
        <v/>
      </c>
    </row>
    <row r="39794" spans="8:8" x14ac:dyDescent="0.3">
      <c r="H39794" t="str">
        <f t="shared" si="671"/>
        <v/>
      </c>
    </row>
    <row r="39795" spans="8:8" x14ac:dyDescent="0.3">
      <c r="H39795" t="str">
        <f t="shared" si="671"/>
        <v/>
      </c>
    </row>
    <row r="39796" spans="8:8" x14ac:dyDescent="0.3">
      <c r="H39796" t="str">
        <f t="shared" si="671"/>
        <v/>
      </c>
    </row>
    <row r="39797" spans="8:8" x14ac:dyDescent="0.3">
      <c r="H39797" t="str">
        <f t="shared" si="671"/>
        <v/>
      </c>
    </row>
    <row r="39798" spans="8:8" x14ac:dyDescent="0.3">
      <c r="H39798" t="str">
        <f t="shared" si="671"/>
        <v/>
      </c>
    </row>
    <row r="39799" spans="8:8" x14ac:dyDescent="0.3">
      <c r="H39799" t="str">
        <f t="shared" si="671"/>
        <v/>
      </c>
    </row>
    <row r="39800" spans="8:8" x14ac:dyDescent="0.3">
      <c r="H39800" t="str">
        <f t="shared" si="671"/>
        <v/>
      </c>
    </row>
    <row r="39801" spans="8:8" x14ac:dyDescent="0.3">
      <c r="H39801" t="str">
        <f t="shared" si="671"/>
        <v/>
      </c>
    </row>
    <row r="39802" spans="8:8" x14ac:dyDescent="0.3">
      <c r="H39802" t="str">
        <f t="shared" si="671"/>
        <v/>
      </c>
    </row>
    <row r="39803" spans="8:8" x14ac:dyDescent="0.3">
      <c r="H39803" t="str">
        <f t="shared" si="671"/>
        <v/>
      </c>
    </row>
    <row r="39804" spans="8:8" x14ac:dyDescent="0.3">
      <c r="H39804" t="str">
        <f t="shared" si="671"/>
        <v/>
      </c>
    </row>
    <row r="39805" spans="8:8" x14ac:dyDescent="0.3">
      <c r="H39805" t="str">
        <f t="shared" si="671"/>
        <v/>
      </c>
    </row>
    <row r="39806" spans="8:8" x14ac:dyDescent="0.3">
      <c r="H39806" t="str">
        <f t="shared" si="671"/>
        <v/>
      </c>
    </row>
    <row r="39807" spans="8:8" x14ac:dyDescent="0.3">
      <c r="H39807" t="str">
        <f t="shared" si="671"/>
        <v/>
      </c>
    </row>
    <row r="39808" spans="8:8" x14ac:dyDescent="0.3">
      <c r="H39808" t="str">
        <f t="shared" si="671"/>
        <v/>
      </c>
    </row>
    <row r="39809" spans="8:8" x14ac:dyDescent="0.3">
      <c r="H39809" t="str">
        <f t="shared" si="671"/>
        <v/>
      </c>
    </row>
    <row r="39810" spans="8:8" x14ac:dyDescent="0.3">
      <c r="H39810" t="str">
        <f t="shared" si="671"/>
        <v/>
      </c>
    </row>
    <row r="39811" spans="8:8" x14ac:dyDescent="0.3">
      <c r="H39811" t="str">
        <f t="shared" si="671"/>
        <v/>
      </c>
    </row>
    <row r="39812" spans="8:8" x14ac:dyDescent="0.3">
      <c r="H39812" t="str">
        <f t="shared" si="671"/>
        <v/>
      </c>
    </row>
    <row r="39813" spans="8:8" x14ac:dyDescent="0.3">
      <c r="H39813" t="str">
        <f t="shared" si="671"/>
        <v/>
      </c>
    </row>
    <row r="39814" spans="8:8" x14ac:dyDescent="0.3">
      <c r="H39814" t="str">
        <f t="shared" si="671"/>
        <v/>
      </c>
    </row>
    <row r="39815" spans="8:8" x14ac:dyDescent="0.3">
      <c r="H39815" t="str">
        <f t="shared" si="671"/>
        <v/>
      </c>
    </row>
    <row r="39816" spans="8:8" x14ac:dyDescent="0.3">
      <c r="H39816" t="str">
        <f t="shared" si="671"/>
        <v/>
      </c>
    </row>
    <row r="39817" spans="8:8" x14ac:dyDescent="0.3">
      <c r="H39817" t="str">
        <f t="shared" si="671"/>
        <v/>
      </c>
    </row>
    <row r="39818" spans="8:8" x14ac:dyDescent="0.3">
      <c r="H39818" t="str">
        <f t="shared" si="671"/>
        <v/>
      </c>
    </row>
    <row r="39819" spans="8:8" x14ac:dyDescent="0.3">
      <c r="H39819" t="str">
        <f t="shared" si="671"/>
        <v/>
      </c>
    </row>
    <row r="39820" spans="8:8" x14ac:dyDescent="0.3">
      <c r="H39820" t="str">
        <f t="shared" si="671"/>
        <v/>
      </c>
    </row>
    <row r="39821" spans="8:8" x14ac:dyDescent="0.3">
      <c r="H39821" t="str">
        <f t="shared" si="671"/>
        <v/>
      </c>
    </row>
    <row r="39822" spans="8:8" x14ac:dyDescent="0.3">
      <c r="H39822" t="str">
        <f t="shared" si="671"/>
        <v/>
      </c>
    </row>
    <row r="39823" spans="8:8" x14ac:dyDescent="0.3">
      <c r="H39823" t="str">
        <f t="shared" si="671"/>
        <v/>
      </c>
    </row>
    <row r="39824" spans="8:8" x14ac:dyDescent="0.3">
      <c r="H39824" t="str">
        <f t="shared" si="671"/>
        <v/>
      </c>
    </row>
    <row r="39825" spans="8:8" x14ac:dyDescent="0.3">
      <c r="H39825" t="str">
        <f t="shared" si="671"/>
        <v/>
      </c>
    </row>
    <row r="39826" spans="8:8" x14ac:dyDescent="0.3">
      <c r="H39826" t="str">
        <f t="shared" si="671"/>
        <v/>
      </c>
    </row>
    <row r="39827" spans="8:8" x14ac:dyDescent="0.3">
      <c r="H39827" t="str">
        <f t="shared" si="671"/>
        <v/>
      </c>
    </row>
    <row r="39828" spans="8:8" x14ac:dyDescent="0.3">
      <c r="H39828" t="str">
        <f t="shared" si="671"/>
        <v/>
      </c>
    </row>
    <row r="39829" spans="8:8" x14ac:dyDescent="0.3">
      <c r="H39829" t="str">
        <f t="shared" si="671"/>
        <v/>
      </c>
    </row>
    <row r="39830" spans="8:8" x14ac:dyDescent="0.3">
      <c r="H39830" t="str">
        <f t="shared" si="671"/>
        <v/>
      </c>
    </row>
    <row r="39831" spans="8:8" x14ac:dyDescent="0.3">
      <c r="H39831" t="str">
        <f t="shared" ref="H39831:H39894" si="672">IF(B39831="","",$C$12)</f>
        <v/>
      </c>
    </row>
    <row r="39832" spans="8:8" x14ac:dyDescent="0.3">
      <c r="H39832" t="str">
        <f t="shared" si="672"/>
        <v/>
      </c>
    </row>
    <row r="39833" spans="8:8" x14ac:dyDescent="0.3">
      <c r="H39833" t="str">
        <f t="shared" si="672"/>
        <v/>
      </c>
    </row>
    <row r="39834" spans="8:8" x14ac:dyDescent="0.3">
      <c r="H39834" t="str">
        <f t="shared" si="672"/>
        <v/>
      </c>
    </row>
    <row r="39835" spans="8:8" x14ac:dyDescent="0.3">
      <c r="H39835" t="str">
        <f t="shared" si="672"/>
        <v/>
      </c>
    </row>
    <row r="39836" spans="8:8" x14ac:dyDescent="0.3">
      <c r="H39836" t="str">
        <f t="shared" si="672"/>
        <v/>
      </c>
    </row>
    <row r="39837" spans="8:8" x14ac:dyDescent="0.3">
      <c r="H39837" t="str">
        <f t="shared" si="672"/>
        <v/>
      </c>
    </row>
    <row r="39838" spans="8:8" x14ac:dyDescent="0.3">
      <c r="H39838" t="str">
        <f t="shared" si="672"/>
        <v/>
      </c>
    </row>
    <row r="39839" spans="8:8" x14ac:dyDescent="0.3">
      <c r="H39839" t="str">
        <f t="shared" si="672"/>
        <v/>
      </c>
    </row>
    <row r="39840" spans="8:8" x14ac:dyDescent="0.3">
      <c r="H39840" t="str">
        <f t="shared" si="672"/>
        <v/>
      </c>
    </row>
    <row r="39841" spans="8:8" x14ac:dyDescent="0.3">
      <c r="H39841" t="str">
        <f t="shared" si="672"/>
        <v/>
      </c>
    </row>
    <row r="39842" spans="8:8" x14ac:dyDescent="0.3">
      <c r="H39842" t="str">
        <f t="shared" si="672"/>
        <v/>
      </c>
    </row>
    <row r="39843" spans="8:8" x14ac:dyDescent="0.3">
      <c r="H39843" t="str">
        <f t="shared" si="672"/>
        <v/>
      </c>
    </row>
    <row r="39844" spans="8:8" x14ac:dyDescent="0.3">
      <c r="H39844" t="str">
        <f t="shared" si="672"/>
        <v/>
      </c>
    </row>
    <row r="39845" spans="8:8" x14ac:dyDescent="0.3">
      <c r="H39845" t="str">
        <f t="shared" si="672"/>
        <v/>
      </c>
    </row>
    <row r="39846" spans="8:8" x14ac:dyDescent="0.3">
      <c r="H39846" t="str">
        <f t="shared" si="672"/>
        <v/>
      </c>
    </row>
    <row r="39847" spans="8:8" x14ac:dyDescent="0.3">
      <c r="H39847" t="str">
        <f t="shared" si="672"/>
        <v/>
      </c>
    </row>
    <row r="39848" spans="8:8" x14ac:dyDescent="0.3">
      <c r="H39848" t="str">
        <f t="shared" si="672"/>
        <v/>
      </c>
    </row>
    <row r="39849" spans="8:8" x14ac:dyDescent="0.3">
      <c r="H39849" t="str">
        <f t="shared" si="672"/>
        <v/>
      </c>
    </row>
    <row r="39850" spans="8:8" x14ac:dyDescent="0.3">
      <c r="H39850" t="str">
        <f t="shared" si="672"/>
        <v/>
      </c>
    </row>
    <row r="39851" spans="8:8" x14ac:dyDescent="0.3">
      <c r="H39851" t="str">
        <f t="shared" si="672"/>
        <v/>
      </c>
    </row>
    <row r="39852" spans="8:8" x14ac:dyDescent="0.3">
      <c r="H39852" t="str">
        <f t="shared" si="672"/>
        <v/>
      </c>
    </row>
    <row r="39853" spans="8:8" x14ac:dyDescent="0.3">
      <c r="H39853" t="str">
        <f t="shared" si="672"/>
        <v/>
      </c>
    </row>
    <row r="39854" spans="8:8" x14ac:dyDescent="0.3">
      <c r="H39854" t="str">
        <f t="shared" si="672"/>
        <v/>
      </c>
    </row>
    <row r="39855" spans="8:8" x14ac:dyDescent="0.3">
      <c r="H39855" t="str">
        <f t="shared" si="672"/>
        <v/>
      </c>
    </row>
    <row r="39856" spans="8:8" x14ac:dyDescent="0.3">
      <c r="H39856" t="str">
        <f t="shared" si="672"/>
        <v/>
      </c>
    </row>
    <row r="39857" spans="8:8" x14ac:dyDescent="0.3">
      <c r="H39857" t="str">
        <f t="shared" si="672"/>
        <v/>
      </c>
    </row>
    <row r="39858" spans="8:8" x14ac:dyDescent="0.3">
      <c r="H39858" t="str">
        <f t="shared" si="672"/>
        <v/>
      </c>
    </row>
    <row r="39859" spans="8:8" x14ac:dyDescent="0.3">
      <c r="H39859" t="str">
        <f t="shared" si="672"/>
        <v/>
      </c>
    </row>
    <row r="39860" spans="8:8" x14ac:dyDescent="0.3">
      <c r="H39860" t="str">
        <f t="shared" si="672"/>
        <v/>
      </c>
    </row>
    <row r="39861" spans="8:8" x14ac:dyDescent="0.3">
      <c r="H39861" t="str">
        <f t="shared" si="672"/>
        <v/>
      </c>
    </row>
    <row r="39862" spans="8:8" x14ac:dyDescent="0.3">
      <c r="H39862" t="str">
        <f t="shared" si="672"/>
        <v/>
      </c>
    </row>
    <row r="39863" spans="8:8" x14ac:dyDescent="0.3">
      <c r="H39863" t="str">
        <f t="shared" si="672"/>
        <v/>
      </c>
    </row>
    <row r="39864" spans="8:8" x14ac:dyDescent="0.3">
      <c r="H39864" t="str">
        <f t="shared" si="672"/>
        <v/>
      </c>
    </row>
    <row r="39865" spans="8:8" x14ac:dyDescent="0.3">
      <c r="H39865" t="str">
        <f t="shared" si="672"/>
        <v/>
      </c>
    </row>
    <row r="39866" spans="8:8" x14ac:dyDescent="0.3">
      <c r="H39866" t="str">
        <f t="shared" si="672"/>
        <v/>
      </c>
    </row>
    <row r="39867" spans="8:8" x14ac:dyDescent="0.3">
      <c r="H39867" t="str">
        <f t="shared" si="672"/>
        <v/>
      </c>
    </row>
    <row r="39868" spans="8:8" x14ac:dyDescent="0.3">
      <c r="H39868" t="str">
        <f t="shared" si="672"/>
        <v/>
      </c>
    </row>
    <row r="39869" spans="8:8" x14ac:dyDescent="0.3">
      <c r="H39869" t="str">
        <f t="shared" si="672"/>
        <v/>
      </c>
    </row>
    <row r="39870" spans="8:8" x14ac:dyDescent="0.3">
      <c r="H39870" t="str">
        <f t="shared" si="672"/>
        <v/>
      </c>
    </row>
    <row r="39871" spans="8:8" x14ac:dyDescent="0.3">
      <c r="H39871" t="str">
        <f t="shared" si="672"/>
        <v/>
      </c>
    </row>
    <row r="39872" spans="8:8" x14ac:dyDescent="0.3">
      <c r="H39872" t="str">
        <f t="shared" si="672"/>
        <v/>
      </c>
    </row>
    <row r="39873" spans="8:8" x14ac:dyDescent="0.3">
      <c r="H39873" t="str">
        <f t="shared" si="672"/>
        <v/>
      </c>
    </row>
    <row r="39874" spans="8:8" x14ac:dyDescent="0.3">
      <c r="H39874" t="str">
        <f t="shared" si="672"/>
        <v/>
      </c>
    </row>
    <row r="39875" spans="8:8" x14ac:dyDescent="0.3">
      <c r="H39875" t="str">
        <f t="shared" si="672"/>
        <v/>
      </c>
    </row>
    <row r="39876" spans="8:8" x14ac:dyDescent="0.3">
      <c r="H39876" t="str">
        <f t="shared" si="672"/>
        <v/>
      </c>
    </row>
    <row r="39877" spans="8:8" x14ac:dyDescent="0.3">
      <c r="H39877" t="str">
        <f t="shared" si="672"/>
        <v/>
      </c>
    </row>
    <row r="39878" spans="8:8" x14ac:dyDescent="0.3">
      <c r="H39878" t="str">
        <f t="shared" si="672"/>
        <v/>
      </c>
    </row>
    <row r="39879" spans="8:8" x14ac:dyDescent="0.3">
      <c r="H39879" t="str">
        <f t="shared" si="672"/>
        <v/>
      </c>
    </row>
    <row r="39880" spans="8:8" x14ac:dyDescent="0.3">
      <c r="H39880" t="str">
        <f t="shared" si="672"/>
        <v/>
      </c>
    </row>
    <row r="39881" spans="8:8" x14ac:dyDescent="0.3">
      <c r="H39881" t="str">
        <f t="shared" si="672"/>
        <v/>
      </c>
    </row>
    <row r="39882" spans="8:8" x14ac:dyDescent="0.3">
      <c r="H39882" t="str">
        <f t="shared" si="672"/>
        <v/>
      </c>
    </row>
    <row r="39883" spans="8:8" x14ac:dyDescent="0.3">
      <c r="H39883" t="str">
        <f t="shared" si="672"/>
        <v/>
      </c>
    </row>
    <row r="39884" spans="8:8" x14ac:dyDescent="0.3">
      <c r="H39884" t="str">
        <f t="shared" si="672"/>
        <v/>
      </c>
    </row>
    <row r="39885" spans="8:8" x14ac:dyDescent="0.3">
      <c r="H39885" t="str">
        <f t="shared" si="672"/>
        <v/>
      </c>
    </row>
    <row r="39886" spans="8:8" x14ac:dyDescent="0.3">
      <c r="H39886" t="str">
        <f t="shared" si="672"/>
        <v/>
      </c>
    </row>
    <row r="39887" spans="8:8" x14ac:dyDescent="0.3">
      <c r="H39887" t="str">
        <f t="shared" si="672"/>
        <v/>
      </c>
    </row>
    <row r="39888" spans="8:8" x14ac:dyDescent="0.3">
      <c r="H39888" t="str">
        <f t="shared" si="672"/>
        <v/>
      </c>
    </row>
    <row r="39889" spans="8:8" x14ac:dyDescent="0.3">
      <c r="H39889" t="str">
        <f t="shared" si="672"/>
        <v/>
      </c>
    </row>
    <row r="39890" spans="8:8" x14ac:dyDescent="0.3">
      <c r="H39890" t="str">
        <f t="shared" si="672"/>
        <v/>
      </c>
    </row>
    <row r="39891" spans="8:8" x14ac:dyDescent="0.3">
      <c r="H39891" t="str">
        <f t="shared" si="672"/>
        <v/>
      </c>
    </row>
    <row r="39892" spans="8:8" x14ac:dyDescent="0.3">
      <c r="H39892" t="str">
        <f t="shared" si="672"/>
        <v/>
      </c>
    </row>
    <row r="39893" spans="8:8" x14ac:dyDescent="0.3">
      <c r="H39893" t="str">
        <f t="shared" si="672"/>
        <v/>
      </c>
    </row>
    <row r="39894" spans="8:8" x14ac:dyDescent="0.3">
      <c r="H39894" t="str">
        <f t="shared" si="672"/>
        <v/>
      </c>
    </row>
    <row r="39895" spans="8:8" x14ac:dyDescent="0.3">
      <c r="H39895" t="str">
        <f t="shared" ref="H39895:H39958" si="673">IF(B39895="","",$C$12)</f>
        <v/>
      </c>
    </row>
    <row r="39896" spans="8:8" x14ac:dyDescent="0.3">
      <c r="H39896" t="str">
        <f t="shared" si="673"/>
        <v/>
      </c>
    </row>
    <row r="39897" spans="8:8" x14ac:dyDescent="0.3">
      <c r="H39897" t="str">
        <f t="shared" si="673"/>
        <v/>
      </c>
    </row>
    <row r="39898" spans="8:8" x14ac:dyDescent="0.3">
      <c r="H39898" t="str">
        <f t="shared" si="673"/>
        <v/>
      </c>
    </row>
    <row r="39899" spans="8:8" x14ac:dyDescent="0.3">
      <c r="H39899" t="str">
        <f t="shared" si="673"/>
        <v/>
      </c>
    </row>
    <row r="39900" spans="8:8" x14ac:dyDescent="0.3">
      <c r="H39900" t="str">
        <f t="shared" si="673"/>
        <v/>
      </c>
    </row>
    <row r="39901" spans="8:8" x14ac:dyDescent="0.3">
      <c r="H39901" t="str">
        <f t="shared" si="673"/>
        <v/>
      </c>
    </row>
    <row r="39902" spans="8:8" x14ac:dyDescent="0.3">
      <c r="H39902" t="str">
        <f t="shared" si="673"/>
        <v/>
      </c>
    </row>
    <row r="39903" spans="8:8" x14ac:dyDescent="0.3">
      <c r="H39903" t="str">
        <f t="shared" si="673"/>
        <v/>
      </c>
    </row>
    <row r="39904" spans="8:8" x14ac:dyDescent="0.3">
      <c r="H39904" t="str">
        <f t="shared" si="673"/>
        <v/>
      </c>
    </row>
    <row r="39905" spans="8:8" x14ac:dyDescent="0.3">
      <c r="H39905" t="str">
        <f t="shared" si="673"/>
        <v/>
      </c>
    </row>
    <row r="39906" spans="8:8" x14ac:dyDescent="0.3">
      <c r="H39906" t="str">
        <f t="shared" si="673"/>
        <v/>
      </c>
    </row>
    <row r="39907" spans="8:8" x14ac:dyDescent="0.3">
      <c r="H39907" t="str">
        <f t="shared" si="673"/>
        <v/>
      </c>
    </row>
    <row r="39908" spans="8:8" x14ac:dyDescent="0.3">
      <c r="H39908" t="str">
        <f t="shared" si="673"/>
        <v/>
      </c>
    </row>
    <row r="39909" spans="8:8" x14ac:dyDescent="0.3">
      <c r="H39909" t="str">
        <f t="shared" si="673"/>
        <v/>
      </c>
    </row>
    <row r="39910" spans="8:8" x14ac:dyDescent="0.3">
      <c r="H39910" t="str">
        <f t="shared" si="673"/>
        <v/>
      </c>
    </row>
    <row r="39911" spans="8:8" x14ac:dyDescent="0.3">
      <c r="H39911" t="str">
        <f t="shared" si="673"/>
        <v/>
      </c>
    </row>
    <row r="39912" spans="8:8" x14ac:dyDescent="0.3">
      <c r="H39912" t="str">
        <f t="shared" si="673"/>
        <v/>
      </c>
    </row>
    <row r="39913" spans="8:8" x14ac:dyDescent="0.3">
      <c r="H39913" t="str">
        <f t="shared" si="673"/>
        <v/>
      </c>
    </row>
    <row r="39914" spans="8:8" x14ac:dyDescent="0.3">
      <c r="H39914" t="str">
        <f t="shared" si="673"/>
        <v/>
      </c>
    </row>
    <row r="39915" spans="8:8" x14ac:dyDescent="0.3">
      <c r="H39915" t="str">
        <f t="shared" si="673"/>
        <v/>
      </c>
    </row>
    <row r="39916" spans="8:8" x14ac:dyDescent="0.3">
      <c r="H39916" t="str">
        <f t="shared" si="673"/>
        <v/>
      </c>
    </row>
    <row r="39917" spans="8:8" x14ac:dyDescent="0.3">
      <c r="H39917" t="str">
        <f t="shared" si="673"/>
        <v/>
      </c>
    </row>
    <row r="39918" spans="8:8" x14ac:dyDescent="0.3">
      <c r="H39918" t="str">
        <f t="shared" si="673"/>
        <v/>
      </c>
    </row>
    <row r="39919" spans="8:8" x14ac:dyDescent="0.3">
      <c r="H39919" t="str">
        <f t="shared" si="673"/>
        <v/>
      </c>
    </row>
    <row r="39920" spans="8:8" x14ac:dyDescent="0.3">
      <c r="H39920" t="str">
        <f t="shared" si="673"/>
        <v/>
      </c>
    </row>
    <row r="39921" spans="8:8" x14ac:dyDescent="0.3">
      <c r="H39921" t="str">
        <f t="shared" si="673"/>
        <v/>
      </c>
    </row>
    <row r="39922" spans="8:8" x14ac:dyDescent="0.3">
      <c r="H39922" t="str">
        <f t="shared" si="673"/>
        <v/>
      </c>
    </row>
    <row r="39923" spans="8:8" x14ac:dyDescent="0.3">
      <c r="H39923" t="str">
        <f t="shared" si="673"/>
        <v/>
      </c>
    </row>
    <row r="39924" spans="8:8" x14ac:dyDescent="0.3">
      <c r="H39924" t="str">
        <f t="shared" si="673"/>
        <v/>
      </c>
    </row>
    <row r="39925" spans="8:8" x14ac:dyDescent="0.3">
      <c r="H39925" t="str">
        <f t="shared" si="673"/>
        <v/>
      </c>
    </row>
    <row r="39926" spans="8:8" x14ac:dyDescent="0.3">
      <c r="H39926" t="str">
        <f t="shared" si="673"/>
        <v/>
      </c>
    </row>
    <row r="39927" spans="8:8" x14ac:dyDescent="0.3">
      <c r="H39927" t="str">
        <f t="shared" si="673"/>
        <v/>
      </c>
    </row>
    <row r="39928" spans="8:8" x14ac:dyDescent="0.3">
      <c r="H39928" t="str">
        <f t="shared" si="673"/>
        <v/>
      </c>
    </row>
    <row r="39929" spans="8:8" x14ac:dyDescent="0.3">
      <c r="H39929" t="str">
        <f t="shared" si="673"/>
        <v/>
      </c>
    </row>
    <row r="39930" spans="8:8" x14ac:dyDescent="0.3">
      <c r="H39930" t="str">
        <f t="shared" si="673"/>
        <v/>
      </c>
    </row>
    <row r="39931" spans="8:8" x14ac:dyDescent="0.3">
      <c r="H39931" t="str">
        <f t="shared" si="673"/>
        <v/>
      </c>
    </row>
    <row r="39932" spans="8:8" x14ac:dyDescent="0.3">
      <c r="H39932" t="str">
        <f t="shared" si="673"/>
        <v/>
      </c>
    </row>
    <row r="39933" spans="8:8" x14ac:dyDescent="0.3">
      <c r="H39933" t="str">
        <f t="shared" si="673"/>
        <v/>
      </c>
    </row>
    <row r="39934" spans="8:8" x14ac:dyDescent="0.3">
      <c r="H39934" t="str">
        <f t="shared" si="673"/>
        <v/>
      </c>
    </row>
    <row r="39935" spans="8:8" x14ac:dyDescent="0.3">
      <c r="H39935" t="str">
        <f t="shared" si="673"/>
        <v/>
      </c>
    </row>
    <row r="39936" spans="8:8" x14ac:dyDescent="0.3">
      <c r="H39936" t="str">
        <f t="shared" si="673"/>
        <v/>
      </c>
    </row>
    <row r="39937" spans="8:8" x14ac:dyDescent="0.3">
      <c r="H39937" t="str">
        <f t="shared" si="673"/>
        <v/>
      </c>
    </row>
    <row r="39938" spans="8:8" x14ac:dyDescent="0.3">
      <c r="H39938" t="str">
        <f t="shared" si="673"/>
        <v/>
      </c>
    </row>
    <row r="39939" spans="8:8" x14ac:dyDescent="0.3">
      <c r="H39939" t="str">
        <f t="shared" si="673"/>
        <v/>
      </c>
    </row>
    <row r="39940" spans="8:8" x14ac:dyDescent="0.3">
      <c r="H39940" t="str">
        <f t="shared" si="673"/>
        <v/>
      </c>
    </row>
    <row r="39941" spans="8:8" x14ac:dyDescent="0.3">
      <c r="H39941" t="str">
        <f t="shared" si="673"/>
        <v/>
      </c>
    </row>
    <row r="39942" spans="8:8" x14ac:dyDescent="0.3">
      <c r="H39942" t="str">
        <f t="shared" si="673"/>
        <v/>
      </c>
    </row>
    <row r="39943" spans="8:8" x14ac:dyDescent="0.3">
      <c r="H39943" t="str">
        <f t="shared" si="673"/>
        <v/>
      </c>
    </row>
    <row r="39944" spans="8:8" x14ac:dyDescent="0.3">
      <c r="H39944" t="str">
        <f t="shared" si="673"/>
        <v/>
      </c>
    </row>
    <row r="39945" spans="8:8" x14ac:dyDescent="0.3">
      <c r="H39945" t="str">
        <f t="shared" si="673"/>
        <v/>
      </c>
    </row>
    <row r="39946" spans="8:8" x14ac:dyDescent="0.3">
      <c r="H39946" t="str">
        <f t="shared" si="673"/>
        <v/>
      </c>
    </row>
    <row r="39947" spans="8:8" x14ac:dyDescent="0.3">
      <c r="H39947" t="str">
        <f t="shared" si="673"/>
        <v/>
      </c>
    </row>
    <row r="39948" spans="8:8" x14ac:dyDescent="0.3">
      <c r="H39948" t="str">
        <f t="shared" si="673"/>
        <v/>
      </c>
    </row>
    <row r="39949" spans="8:8" x14ac:dyDescent="0.3">
      <c r="H39949" t="str">
        <f t="shared" si="673"/>
        <v/>
      </c>
    </row>
    <row r="39950" spans="8:8" x14ac:dyDescent="0.3">
      <c r="H39950" t="str">
        <f t="shared" si="673"/>
        <v/>
      </c>
    </row>
    <row r="39951" spans="8:8" x14ac:dyDescent="0.3">
      <c r="H39951" t="str">
        <f t="shared" si="673"/>
        <v/>
      </c>
    </row>
    <row r="39952" spans="8:8" x14ac:dyDescent="0.3">
      <c r="H39952" t="str">
        <f t="shared" si="673"/>
        <v/>
      </c>
    </row>
    <row r="39953" spans="8:8" x14ac:dyDescent="0.3">
      <c r="H39953" t="str">
        <f t="shared" si="673"/>
        <v/>
      </c>
    </row>
    <row r="39954" spans="8:8" x14ac:dyDescent="0.3">
      <c r="H39954" t="str">
        <f t="shared" si="673"/>
        <v/>
      </c>
    </row>
    <row r="39955" spans="8:8" x14ac:dyDescent="0.3">
      <c r="H39955" t="str">
        <f t="shared" si="673"/>
        <v/>
      </c>
    </row>
    <row r="39956" spans="8:8" x14ac:dyDescent="0.3">
      <c r="H39956" t="str">
        <f t="shared" si="673"/>
        <v/>
      </c>
    </row>
    <row r="39957" spans="8:8" x14ac:dyDescent="0.3">
      <c r="H39957" t="str">
        <f t="shared" si="673"/>
        <v/>
      </c>
    </row>
    <row r="39958" spans="8:8" x14ac:dyDescent="0.3">
      <c r="H39958" t="str">
        <f t="shared" si="673"/>
        <v/>
      </c>
    </row>
    <row r="39959" spans="8:8" x14ac:dyDescent="0.3">
      <c r="H39959" t="str">
        <f t="shared" ref="H39959:H40022" si="674">IF(B39959="","",$C$12)</f>
        <v/>
      </c>
    </row>
    <row r="39960" spans="8:8" x14ac:dyDescent="0.3">
      <c r="H39960" t="str">
        <f t="shared" si="674"/>
        <v/>
      </c>
    </row>
    <row r="39961" spans="8:8" x14ac:dyDescent="0.3">
      <c r="H39961" t="str">
        <f t="shared" si="674"/>
        <v/>
      </c>
    </row>
    <row r="39962" spans="8:8" x14ac:dyDescent="0.3">
      <c r="H39962" t="str">
        <f t="shared" si="674"/>
        <v/>
      </c>
    </row>
    <row r="39963" spans="8:8" x14ac:dyDescent="0.3">
      <c r="H39963" t="str">
        <f t="shared" si="674"/>
        <v/>
      </c>
    </row>
    <row r="39964" spans="8:8" x14ac:dyDescent="0.3">
      <c r="H39964" t="str">
        <f t="shared" si="674"/>
        <v/>
      </c>
    </row>
    <row r="39965" spans="8:8" x14ac:dyDescent="0.3">
      <c r="H39965" t="str">
        <f t="shared" si="674"/>
        <v/>
      </c>
    </row>
    <row r="39966" spans="8:8" x14ac:dyDescent="0.3">
      <c r="H39966" t="str">
        <f t="shared" si="674"/>
        <v/>
      </c>
    </row>
    <row r="39967" spans="8:8" x14ac:dyDescent="0.3">
      <c r="H39967" t="str">
        <f t="shared" si="674"/>
        <v/>
      </c>
    </row>
    <row r="39968" spans="8:8" x14ac:dyDescent="0.3">
      <c r="H39968" t="str">
        <f t="shared" si="674"/>
        <v/>
      </c>
    </row>
    <row r="39969" spans="8:8" x14ac:dyDescent="0.3">
      <c r="H39969" t="str">
        <f t="shared" si="674"/>
        <v/>
      </c>
    </row>
    <row r="39970" spans="8:8" x14ac:dyDescent="0.3">
      <c r="H39970" t="str">
        <f t="shared" si="674"/>
        <v/>
      </c>
    </row>
    <row r="39971" spans="8:8" x14ac:dyDescent="0.3">
      <c r="H39971" t="str">
        <f t="shared" si="674"/>
        <v/>
      </c>
    </row>
    <row r="39972" spans="8:8" x14ac:dyDescent="0.3">
      <c r="H39972" t="str">
        <f t="shared" si="674"/>
        <v/>
      </c>
    </row>
    <row r="39973" spans="8:8" x14ac:dyDescent="0.3">
      <c r="H39973" t="str">
        <f t="shared" si="674"/>
        <v/>
      </c>
    </row>
    <row r="39974" spans="8:8" x14ac:dyDescent="0.3">
      <c r="H39974" t="str">
        <f t="shared" si="674"/>
        <v/>
      </c>
    </row>
    <row r="39975" spans="8:8" x14ac:dyDescent="0.3">
      <c r="H39975" t="str">
        <f t="shared" si="674"/>
        <v/>
      </c>
    </row>
    <row r="39976" spans="8:8" x14ac:dyDescent="0.3">
      <c r="H39976" t="str">
        <f t="shared" si="674"/>
        <v/>
      </c>
    </row>
    <row r="39977" spans="8:8" x14ac:dyDescent="0.3">
      <c r="H39977" t="str">
        <f t="shared" si="674"/>
        <v/>
      </c>
    </row>
    <row r="39978" spans="8:8" x14ac:dyDescent="0.3">
      <c r="H39978" t="str">
        <f t="shared" si="674"/>
        <v/>
      </c>
    </row>
    <row r="39979" spans="8:8" x14ac:dyDescent="0.3">
      <c r="H39979" t="str">
        <f t="shared" si="674"/>
        <v/>
      </c>
    </row>
    <row r="39980" spans="8:8" x14ac:dyDescent="0.3">
      <c r="H39980" t="str">
        <f t="shared" si="674"/>
        <v/>
      </c>
    </row>
    <row r="39981" spans="8:8" x14ac:dyDescent="0.3">
      <c r="H39981" t="str">
        <f t="shared" si="674"/>
        <v/>
      </c>
    </row>
    <row r="39982" spans="8:8" x14ac:dyDescent="0.3">
      <c r="H39982" t="str">
        <f t="shared" si="674"/>
        <v/>
      </c>
    </row>
    <row r="39983" spans="8:8" x14ac:dyDescent="0.3">
      <c r="H39983" t="str">
        <f t="shared" si="674"/>
        <v/>
      </c>
    </row>
    <row r="39984" spans="8:8" x14ac:dyDescent="0.3">
      <c r="H39984" t="str">
        <f t="shared" si="674"/>
        <v/>
      </c>
    </row>
    <row r="39985" spans="8:8" x14ac:dyDescent="0.3">
      <c r="H39985" t="str">
        <f t="shared" si="674"/>
        <v/>
      </c>
    </row>
    <row r="39986" spans="8:8" x14ac:dyDescent="0.3">
      <c r="H39986" t="str">
        <f t="shared" si="674"/>
        <v/>
      </c>
    </row>
    <row r="39987" spans="8:8" x14ac:dyDescent="0.3">
      <c r="H39987" t="str">
        <f t="shared" si="674"/>
        <v/>
      </c>
    </row>
    <row r="39988" spans="8:8" x14ac:dyDescent="0.3">
      <c r="H39988" t="str">
        <f t="shared" si="674"/>
        <v/>
      </c>
    </row>
    <row r="39989" spans="8:8" x14ac:dyDescent="0.3">
      <c r="H39989" t="str">
        <f t="shared" si="674"/>
        <v/>
      </c>
    </row>
    <row r="39990" spans="8:8" x14ac:dyDescent="0.3">
      <c r="H39990" t="str">
        <f t="shared" si="674"/>
        <v/>
      </c>
    </row>
    <row r="39991" spans="8:8" x14ac:dyDescent="0.3">
      <c r="H39991" t="str">
        <f t="shared" si="674"/>
        <v/>
      </c>
    </row>
    <row r="39992" spans="8:8" x14ac:dyDescent="0.3">
      <c r="H39992" t="str">
        <f t="shared" si="674"/>
        <v/>
      </c>
    </row>
    <row r="39993" spans="8:8" x14ac:dyDescent="0.3">
      <c r="H39993" t="str">
        <f t="shared" si="674"/>
        <v/>
      </c>
    </row>
    <row r="39994" spans="8:8" x14ac:dyDescent="0.3">
      <c r="H39994" t="str">
        <f t="shared" si="674"/>
        <v/>
      </c>
    </row>
    <row r="39995" spans="8:8" x14ac:dyDescent="0.3">
      <c r="H39995" t="str">
        <f t="shared" si="674"/>
        <v/>
      </c>
    </row>
    <row r="39996" spans="8:8" x14ac:dyDescent="0.3">
      <c r="H39996" t="str">
        <f t="shared" si="674"/>
        <v/>
      </c>
    </row>
    <row r="39997" spans="8:8" x14ac:dyDescent="0.3">
      <c r="H39997" t="str">
        <f t="shared" si="674"/>
        <v/>
      </c>
    </row>
    <row r="39998" spans="8:8" x14ac:dyDescent="0.3">
      <c r="H39998" t="str">
        <f t="shared" si="674"/>
        <v/>
      </c>
    </row>
    <row r="39999" spans="8:8" x14ac:dyDescent="0.3">
      <c r="H39999" t="str">
        <f t="shared" si="674"/>
        <v/>
      </c>
    </row>
    <row r="40000" spans="8:8" x14ac:dyDescent="0.3">
      <c r="H40000" t="str">
        <f t="shared" si="674"/>
        <v/>
      </c>
    </row>
    <row r="40001" spans="8:8" x14ac:dyDescent="0.3">
      <c r="H40001" t="str">
        <f t="shared" si="674"/>
        <v/>
      </c>
    </row>
    <row r="40002" spans="8:8" x14ac:dyDescent="0.3">
      <c r="H40002" t="str">
        <f t="shared" si="674"/>
        <v/>
      </c>
    </row>
    <row r="40003" spans="8:8" x14ac:dyDescent="0.3">
      <c r="H40003" t="str">
        <f t="shared" si="674"/>
        <v/>
      </c>
    </row>
    <row r="40004" spans="8:8" x14ac:dyDescent="0.3">
      <c r="H40004" t="str">
        <f t="shared" si="674"/>
        <v/>
      </c>
    </row>
    <row r="40005" spans="8:8" x14ac:dyDescent="0.3">
      <c r="H40005" t="str">
        <f t="shared" si="674"/>
        <v/>
      </c>
    </row>
    <row r="40006" spans="8:8" x14ac:dyDescent="0.3">
      <c r="H40006" t="str">
        <f t="shared" si="674"/>
        <v/>
      </c>
    </row>
    <row r="40007" spans="8:8" x14ac:dyDescent="0.3">
      <c r="H40007" t="str">
        <f t="shared" si="674"/>
        <v/>
      </c>
    </row>
    <row r="40008" spans="8:8" x14ac:dyDescent="0.3">
      <c r="H40008" t="str">
        <f t="shared" si="674"/>
        <v/>
      </c>
    </row>
    <row r="40009" spans="8:8" x14ac:dyDescent="0.3">
      <c r="H40009" t="str">
        <f t="shared" si="674"/>
        <v/>
      </c>
    </row>
    <row r="40010" spans="8:8" x14ac:dyDescent="0.3">
      <c r="H40010" t="str">
        <f t="shared" si="674"/>
        <v/>
      </c>
    </row>
    <row r="40011" spans="8:8" x14ac:dyDescent="0.3">
      <c r="H40011" t="str">
        <f t="shared" si="674"/>
        <v/>
      </c>
    </row>
    <row r="40012" spans="8:8" x14ac:dyDescent="0.3">
      <c r="H40012" t="str">
        <f t="shared" si="674"/>
        <v/>
      </c>
    </row>
    <row r="40013" spans="8:8" x14ac:dyDescent="0.3">
      <c r="H40013" t="str">
        <f t="shared" si="674"/>
        <v/>
      </c>
    </row>
    <row r="40014" spans="8:8" x14ac:dyDescent="0.3">
      <c r="H40014" t="str">
        <f t="shared" si="674"/>
        <v/>
      </c>
    </row>
    <row r="40015" spans="8:8" x14ac:dyDescent="0.3">
      <c r="H40015" t="str">
        <f t="shared" si="674"/>
        <v/>
      </c>
    </row>
    <row r="40016" spans="8:8" x14ac:dyDescent="0.3">
      <c r="H40016" t="str">
        <f t="shared" si="674"/>
        <v/>
      </c>
    </row>
    <row r="40017" spans="8:8" x14ac:dyDescent="0.3">
      <c r="H40017" t="str">
        <f t="shared" si="674"/>
        <v/>
      </c>
    </row>
    <row r="40018" spans="8:8" x14ac:dyDescent="0.3">
      <c r="H40018" t="str">
        <f t="shared" si="674"/>
        <v/>
      </c>
    </row>
    <row r="40019" spans="8:8" x14ac:dyDescent="0.3">
      <c r="H40019" t="str">
        <f t="shared" si="674"/>
        <v/>
      </c>
    </row>
    <row r="40020" spans="8:8" x14ac:dyDescent="0.3">
      <c r="H40020" t="str">
        <f t="shared" si="674"/>
        <v/>
      </c>
    </row>
    <row r="40021" spans="8:8" x14ac:dyDescent="0.3">
      <c r="H40021" t="str">
        <f t="shared" si="674"/>
        <v/>
      </c>
    </row>
    <row r="40022" spans="8:8" x14ac:dyDescent="0.3">
      <c r="H40022" t="str">
        <f t="shared" si="674"/>
        <v/>
      </c>
    </row>
    <row r="40023" spans="8:8" x14ac:dyDescent="0.3">
      <c r="H40023" t="str">
        <f t="shared" ref="H40023:H40086" si="675">IF(B40023="","",$C$12)</f>
        <v/>
      </c>
    </row>
    <row r="40024" spans="8:8" x14ac:dyDescent="0.3">
      <c r="H40024" t="str">
        <f t="shared" si="675"/>
        <v/>
      </c>
    </row>
    <row r="40025" spans="8:8" x14ac:dyDescent="0.3">
      <c r="H40025" t="str">
        <f t="shared" si="675"/>
        <v/>
      </c>
    </row>
    <row r="40026" spans="8:8" x14ac:dyDescent="0.3">
      <c r="H40026" t="str">
        <f t="shared" si="675"/>
        <v/>
      </c>
    </row>
    <row r="40027" spans="8:8" x14ac:dyDescent="0.3">
      <c r="H40027" t="str">
        <f t="shared" si="675"/>
        <v/>
      </c>
    </row>
    <row r="40028" spans="8:8" x14ac:dyDescent="0.3">
      <c r="H40028" t="str">
        <f t="shared" si="675"/>
        <v/>
      </c>
    </row>
    <row r="40029" spans="8:8" x14ac:dyDescent="0.3">
      <c r="H40029" t="str">
        <f t="shared" si="675"/>
        <v/>
      </c>
    </row>
    <row r="40030" spans="8:8" x14ac:dyDescent="0.3">
      <c r="H40030" t="str">
        <f t="shared" si="675"/>
        <v/>
      </c>
    </row>
    <row r="40031" spans="8:8" x14ac:dyDescent="0.3">
      <c r="H40031" t="str">
        <f t="shared" si="675"/>
        <v/>
      </c>
    </row>
    <row r="40032" spans="8:8" x14ac:dyDescent="0.3">
      <c r="H40032" t="str">
        <f t="shared" si="675"/>
        <v/>
      </c>
    </row>
    <row r="40033" spans="8:8" x14ac:dyDescent="0.3">
      <c r="H40033" t="str">
        <f t="shared" si="675"/>
        <v/>
      </c>
    </row>
    <row r="40034" spans="8:8" x14ac:dyDescent="0.3">
      <c r="H40034" t="str">
        <f t="shared" si="675"/>
        <v/>
      </c>
    </row>
    <row r="40035" spans="8:8" x14ac:dyDescent="0.3">
      <c r="H40035" t="str">
        <f t="shared" si="675"/>
        <v/>
      </c>
    </row>
    <row r="40036" spans="8:8" x14ac:dyDescent="0.3">
      <c r="H40036" t="str">
        <f t="shared" si="675"/>
        <v/>
      </c>
    </row>
    <row r="40037" spans="8:8" x14ac:dyDescent="0.3">
      <c r="H40037" t="str">
        <f t="shared" si="675"/>
        <v/>
      </c>
    </row>
    <row r="40038" spans="8:8" x14ac:dyDescent="0.3">
      <c r="H40038" t="str">
        <f t="shared" si="675"/>
        <v/>
      </c>
    </row>
    <row r="40039" spans="8:8" x14ac:dyDescent="0.3">
      <c r="H40039" t="str">
        <f t="shared" si="675"/>
        <v/>
      </c>
    </row>
    <row r="40040" spans="8:8" x14ac:dyDescent="0.3">
      <c r="H40040" t="str">
        <f t="shared" si="675"/>
        <v/>
      </c>
    </row>
    <row r="40041" spans="8:8" x14ac:dyDescent="0.3">
      <c r="H40041" t="str">
        <f t="shared" si="675"/>
        <v/>
      </c>
    </row>
    <row r="40042" spans="8:8" x14ac:dyDescent="0.3">
      <c r="H40042" t="str">
        <f t="shared" si="675"/>
        <v/>
      </c>
    </row>
    <row r="40043" spans="8:8" x14ac:dyDescent="0.3">
      <c r="H40043" t="str">
        <f t="shared" si="675"/>
        <v/>
      </c>
    </row>
    <row r="40044" spans="8:8" x14ac:dyDescent="0.3">
      <c r="H40044" t="str">
        <f t="shared" si="675"/>
        <v/>
      </c>
    </row>
    <row r="40045" spans="8:8" x14ac:dyDescent="0.3">
      <c r="H40045" t="str">
        <f t="shared" si="675"/>
        <v/>
      </c>
    </row>
    <row r="40046" spans="8:8" x14ac:dyDescent="0.3">
      <c r="H40046" t="str">
        <f t="shared" si="675"/>
        <v/>
      </c>
    </row>
    <row r="40047" spans="8:8" x14ac:dyDescent="0.3">
      <c r="H40047" t="str">
        <f t="shared" si="675"/>
        <v/>
      </c>
    </row>
    <row r="40048" spans="8:8" x14ac:dyDescent="0.3">
      <c r="H40048" t="str">
        <f t="shared" si="675"/>
        <v/>
      </c>
    </row>
    <row r="40049" spans="8:8" x14ac:dyDescent="0.3">
      <c r="H40049" t="str">
        <f t="shared" si="675"/>
        <v/>
      </c>
    </row>
    <row r="40050" spans="8:8" x14ac:dyDescent="0.3">
      <c r="H40050" t="str">
        <f t="shared" si="675"/>
        <v/>
      </c>
    </row>
    <row r="40051" spans="8:8" x14ac:dyDescent="0.3">
      <c r="H40051" t="str">
        <f t="shared" si="675"/>
        <v/>
      </c>
    </row>
    <row r="40052" spans="8:8" x14ac:dyDescent="0.3">
      <c r="H40052" t="str">
        <f t="shared" si="675"/>
        <v/>
      </c>
    </row>
    <row r="40053" spans="8:8" x14ac:dyDescent="0.3">
      <c r="H40053" t="str">
        <f t="shared" si="675"/>
        <v/>
      </c>
    </row>
    <row r="40054" spans="8:8" x14ac:dyDescent="0.3">
      <c r="H40054" t="str">
        <f t="shared" si="675"/>
        <v/>
      </c>
    </row>
    <row r="40055" spans="8:8" x14ac:dyDescent="0.3">
      <c r="H40055" t="str">
        <f t="shared" si="675"/>
        <v/>
      </c>
    </row>
    <row r="40056" spans="8:8" x14ac:dyDescent="0.3">
      <c r="H40056" t="str">
        <f t="shared" si="675"/>
        <v/>
      </c>
    </row>
    <row r="40057" spans="8:8" x14ac:dyDescent="0.3">
      <c r="H40057" t="str">
        <f t="shared" si="675"/>
        <v/>
      </c>
    </row>
    <row r="40058" spans="8:8" x14ac:dyDescent="0.3">
      <c r="H40058" t="str">
        <f t="shared" si="675"/>
        <v/>
      </c>
    </row>
    <row r="40059" spans="8:8" x14ac:dyDescent="0.3">
      <c r="H40059" t="str">
        <f t="shared" si="675"/>
        <v/>
      </c>
    </row>
    <row r="40060" spans="8:8" x14ac:dyDescent="0.3">
      <c r="H40060" t="str">
        <f t="shared" si="675"/>
        <v/>
      </c>
    </row>
    <row r="40061" spans="8:8" x14ac:dyDescent="0.3">
      <c r="H40061" t="str">
        <f t="shared" si="675"/>
        <v/>
      </c>
    </row>
    <row r="40062" spans="8:8" x14ac:dyDescent="0.3">
      <c r="H40062" t="str">
        <f t="shared" si="675"/>
        <v/>
      </c>
    </row>
    <row r="40063" spans="8:8" x14ac:dyDescent="0.3">
      <c r="H40063" t="str">
        <f t="shared" si="675"/>
        <v/>
      </c>
    </row>
    <row r="40064" spans="8:8" x14ac:dyDescent="0.3">
      <c r="H40064" t="str">
        <f t="shared" si="675"/>
        <v/>
      </c>
    </row>
    <row r="40065" spans="8:8" x14ac:dyDescent="0.3">
      <c r="H40065" t="str">
        <f t="shared" si="675"/>
        <v/>
      </c>
    </row>
    <row r="40066" spans="8:8" x14ac:dyDescent="0.3">
      <c r="H40066" t="str">
        <f t="shared" si="675"/>
        <v/>
      </c>
    </row>
    <row r="40067" spans="8:8" x14ac:dyDescent="0.3">
      <c r="H40067" t="str">
        <f t="shared" si="675"/>
        <v/>
      </c>
    </row>
    <row r="40068" spans="8:8" x14ac:dyDescent="0.3">
      <c r="H40068" t="str">
        <f t="shared" si="675"/>
        <v/>
      </c>
    </row>
    <row r="40069" spans="8:8" x14ac:dyDescent="0.3">
      <c r="H40069" t="str">
        <f t="shared" si="675"/>
        <v/>
      </c>
    </row>
    <row r="40070" spans="8:8" x14ac:dyDescent="0.3">
      <c r="H40070" t="str">
        <f t="shared" si="675"/>
        <v/>
      </c>
    </row>
    <row r="40071" spans="8:8" x14ac:dyDescent="0.3">
      <c r="H40071" t="str">
        <f t="shared" si="675"/>
        <v/>
      </c>
    </row>
    <row r="40072" spans="8:8" x14ac:dyDescent="0.3">
      <c r="H40072" t="str">
        <f t="shared" si="675"/>
        <v/>
      </c>
    </row>
    <row r="40073" spans="8:8" x14ac:dyDescent="0.3">
      <c r="H40073" t="str">
        <f t="shared" si="675"/>
        <v/>
      </c>
    </row>
    <row r="40074" spans="8:8" x14ac:dyDescent="0.3">
      <c r="H40074" t="str">
        <f t="shared" si="675"/>
        <v/>
      </c>
    </row>
    <row r="40075" spans="8:8" x14ac:dyDescent="0.3">
      <c r="H40075" t="str">
        <f t="shared" si="675"/>
        <v/>
      </c>
    </row>
    <row r="40076" spans="8:8" x14ac:dyDescent="0.3">
      <c r="H40076" t="str">
        <f t="shared" si="675"/>
        <v/>
      </c>
    </row>
    <row r="40077" spans="8:8" x14ac:dyDescent="0.3">
      <c r="H40077" t="str">
        <f t="shared" si="675"/>
        <v/>
      </c>
    </row>
    <row r="40078" spans="8:8" x14ac:dyDescent="0.3">
      <c r="H40078" t="str">
        <f t="shared" si="675"/>
        <v/>
      </c>
    </row>
    <row r="40079" spans="8:8" x14ac:dyDescent="0.3">
      <c r="H40079" t="str">
        <f t="shared" si="675"/>
        <v/>
      </c>
    </row>
    <row r="40080" spans="8:8" x14ac:dyDescent="0.3">
      <c r="H40080" t="str">
        <f t="shared" si="675"/>
        <v/>
      </c>
    </row>
    <row r="40081" spans="8:8" x14ac:dyDescent="0.3">
      <c r="H40081" t="str">
        <f t="shared" si="675"/>
        <v/>
      </c>
    </row>
    <row r="40082" spans="8:8" x14ac:dyDescent="0.3">
      <c r="H40082" t="str">
        <f t="shared" si="675"/>
        <v/>
      </c>
    </row>
    <row r="40083" spans="8:8" x14ac:dyDescent="0.3">
      <c r="H40083" t="str">
        <f t="shared" si="675"/>
        <v/>
      </c>
    </row>
    <row r="40084" spans="8:8" x14ac:dyDescent="0.3">
      <c r="H40084" t="str">
        <f t="shared" si="675"/>
        <v/>
      </c>
    </row>
    <row r="40085" spans="8:8" x14ac:dyDescent="0.3">
      <c r="H40085" t="str">
        <f t="shared" si="675"/>
        <v/>
      </c>
    </row>
    <row r="40086" spans="8:8" x14ac:dyDescent="0.3">
      <c r="H40086" t="str">
        <f t="shared" si="675"/>
        <v/>
      </c>
    </row>
    <row r="40087" spans="8:8" x14ac:dyDescent="0.3">
      <c r="H40087" t="str">
        <f t="shared" ref="H40087:H40150" si="676">IF(B40087="","",$C$12)</f>
        <v/>
      </c>
    </row>
    <row r="40088" spans="8:8" x14ac:dyDescent="0.3">
      <c r="H40088" t="str">
        <f t="shared" si="676"/>
        <v/>
      </c>
    </row>
    <row r="40089" spans="8:8" x14ac:dyDescent="0.3">
      <c r="H40089" t="str">
        <f t="shared" si="676"/>
        <v/>
      </c>
    </row>
    <row r="40090" spans="8:8" x14ac:dyDescent="0.3">
      <c r="H40090" t="str">
        <f t="shared" si="676"/>
        <v/>
      </c>
    </row>
    <row r="40091" spans="8:8" x14ac:dyDescent="0.3">
      <c r="H40091" t="str">
        <f t="shared" si="676"/>
        <v/>
      </c>
    </row>
    <row r="40092" spans="8:8" x14ac:dyDescent="0.3">
      <c r="H40092" t="str">
        <f t="shared" si="676"/>
        <v/>
      </c>
    </row>
    <row r="40093" spans="8:8" x14ac:dyDescent="0.3">
      <c r="H40093" t="str">
        <f t="shared" si="676"/>
        <v/>
      </c>
    </row>
    <row r="40094" spans="8:8" x14ac:dyDescent="0.3">
      <c r="H40094" t="str">
        <f t="shared" si="676"/>
        <v/>
      </c>
    </row>
    <row r="40095" spans="8:8" x14ac:dyDescent="0.3">
      <c r="H40095" t="str">
        <f t="shared" si="676"/>
        <v/>
      </c>
    </row>
    <row r="40096" spans="8:8" x14ac:dyDescent="0.3">
      <c r="H40096" t="str">
        <f t="shared" si="676"/>
        <v/>
      </c>
    </row>
    <row r="40097" spans="8:8" x14ac:dyDescent="0.3">
      <c r="H40097" t="str">
        <f t="shared" si="676"/>
        <v/>
      </c>
    </row>
    <row r="40098" spans="8:8" x14ac:dyDescent="0.3">
      <c r="H40098" t="str">
        <f t="shared" si="676"/>
        <v/>
      </c>
    </row>
    <row r="40099" spans="8:8" x14ac:dyDescent="0.3">
      <c r="H40099" t="str">
        <f t="shared" si="676"/>
        <v/>
      </c>
    </row>
    <row r="40100" spans="8:8" x14ac:dyDescent="0.3">
      <c r="H40100" t="str">
        <f t="shared" si="676"/>
        <v/>
      </c>
    </row>
    <row r="40101" spans="8:8" x14ac:dyDescent="0.3">
      <c r="H40101" t="str">
        <f t="shared" si="676"/>
        <v/>
      </c>
    </row>
    <row r="40102" spans="8:8" x14ac:dyDescent="0.3">
      <c r="H40102" t="str">
        <f t="shared" si="676"/>
        <v/>
      </c>
    </row>
    <row r="40103" spans="8:8" x14ac:dyDescent="0.3">
      <c r="H40103" t="str">
        <f t="shared" si="676"/>
        <v/>
      </c>
    </row>
    <row r="40104" spans="8:8" x14ac:dyDescent="0.3">
      <c r="H40104" t="str">
        <f t="shared" si="676"/>
        <v/>
      </c>
    </row>
    <row r="40105" spans="8:8" x14ac:dyDescent="0.3">
      <c r="H40105" t="str">
        <f t="shared" si="676"/>
        <v/>
      </c>
    </row>
    <row r="40106" spans="8:8" x14ac:dyDescent="0.3">
      <c r="H40106" t="str">
        <f t="shared" si="676"/>
        <v/>
      </c>
    </row>
    <row r="40107" spans="8:8" x14ac:dyDescent="0.3">
      <c r="H40107" t="str">
        <f t="shared" si="676"/>
        <v/>
      </c>
    </row>
    <row r="40108" spans="8:8" x14ac:dyDescent="0.3">
      <c r="H40108" t="str">
        <f t="shared" si="676"/>
        <v/>
      </c>
    </row>
    <row r="40109" spans="8:8" x14ac:dyDescent="0.3">
      <c r="H40109" t="str">
        <f t="shared" si="676"/>
        <v/>
      </c>
    </row>
    <row r="40110" spans="8:8" x14ac:dyDescent="0.3">
      <c r="H40110" t="str">
        <f t="shared" si="676"/>
        <v/>
      </c>
    </row>
    <row r="40111" spans="8:8" x14ac:dyDescent="0.3">
      <c r="H40111" t="str">
        <f t="shared" si="676"/>
        <v/>
      </c>
    </row>
    <row r="40112" spans="8:8" x14ac:dyDescent="0.3">
      <c r="H40112" t="str">
        <f t="shared" si="676"/>
        <v/>
      </c>
    </row>
    <row r="40113" spans="8:8" x14ac:dyDescent="0.3">
      <c r="H40113" t="str">
        <f t="shared" si="676"/>
        <v/>
      </c>
    </row>
    <row r="40114" spans="8:8" x14ac:dyDescent="0.3">
      <c r="H40114" t="str">
        <f t="shared" si="676"/>
        <v/>
      </c>
    </row>
    <row r="40115" spans="8:8" x14ac:dyDescent="0.3">
      <c r="H40115" t="str">
        <f t="shared" si="676"/>
        <v/>
      </c>
    </row>
    <row r="40116" spans="8:8" x14ac:dyDescent="0.3">
      <c r="H40116" t="str">
        <f t="shared" si="676"/>
        <v/>
      </c>
    </row>
    <row r="40117" spans="8:8" x14ac:dyDescent="0.3">
      <c r="H40117" t="str">
        <f t="shared" si="676"/>
        <v/>
      </c>
    </row>
    <row r="40118" spans="8:8" x14ac:dyDescent="0.3">
      <c r="H40118" t="str">
        <f t="shared" si="676"/>
        <v/>
      </c>
    </row>
    <row r="40119" spans="8:8" x14ac:dyDescent="0.3">
      <c r="H40119" t="str">
        <f t="shared" si="676"/>
        <v/>
      </c>
    </row>
    <row r="40120" spans="8:8" x14ac:dyDescent="0.3">
      <c r="H40120" t="str">
        <f t="shared" si="676"/>
        <v/>
      </c>
    </row>
    <row r="40121" spans="8:8" x14ac:dyDescent="0.3">
      <c r="H40121" t="str">
        <f t="shared" si="676"/>
        <v/>
      </c>
    </row>
    <row r="40122" spans="8:8" x14ac:dyDescent="0.3">
      <c r="H40122" t="str">
        <f t="shared" si="676"/>
        <v/>
      </c>
    </row>
    <row r="40123" spans="8:8" x14ac:dyDescent="0.3">
      <c r="H40123" t="str">
        <f t="shared" si="676"/>
        <v/>
      </c>
    </row>
    <row r="40124" spans="8:8" x14ac:dyDescent="0.3">
      <c r="H40124" t="str">
        <f t="shared" si="676"/>
        <v/>
      </c>
    </row>
    <row r="40125" spans="8:8" x14ac:dyDescent="0.3">
      <c r="H40125" t="str">
        <f t="shared" si="676"/>
        <v/>
      </c>
    </row>
    <row r="40126" spans="8:8" x14ac:dyDescent="0.3">
      <c r="H40126" t="str">
        <f t="shared" si="676"/>
        <v/>
      </c>
    </row>
    <row r="40127" spans="8:8" x14ac:dyDescent="0.3">
      <c r="H40127" t="str">
        <f t="shared" si="676"/>
        <v/>
      </c>
    </row>
    <row r="40128" spans="8:8" x14ac:dyDescent="0.3">
      <c r="H40128" t="str">
        <f t="shared" si="676"/>
        <v/>
      </c>
    </row>
    <row r="40129" spans="8:8" x14ac:dyDescent="0.3">
      <c r="H40129" t="str">
        <f t="shared" si="676"/>
        <v/>
      </c>
    </row>
    <row r="40130" spans="8:8" x14ac:dyDescent="0.3">
      <c r="H40130" t="str">
        <f t="shared" si="676"/>
        <v/>
      </c>
    </row>
    <row r="40131" spans="8:8" x14ac:dyDescent="0.3">
      <c r="H40131" t="str">
        <f t="shared" si="676"/>
        <v/>
      </c>
    </row>
    <row r="40132" spans="8:8" x14ac:dyDescent="0.3">
      <c r="H40132" t="str">
        <f t="shared" si="676"/>
        <v/>
      </c>
    </row>
    <row r="40133" spans="8:8" x14ac:dyDescent="0.3">
      <c r="H40133" t="str">
        <f t="shared" si="676"/>
        <v/>
      </c>
    </row>
    <row r="40134" spans="8:8" x14ac:dyDescent="0.3">
      <c r="H40134" t="str">
        <f t="shared" si="676"/>
        <v/>
      </c>
    </row>
    <row r="40135" spans="8:8" x14ac:dyDescent="0.3">
      <c r="H40135" t="str">
        <f t="shared" si="676"/>
        <v/>
      </c>
    </row>
    <row r="40136" spans="8:8" x14ac:dyDescent="0.3">
      <c r="H40136" t="str">
        <f t="shared" si="676"/>
        <v/>
      </c>
    </row>
    <row r="40137" spans="8:8" x14ac:dyDescent="0.3">
      <c r="H40137" t="str">
        <f t="shared" si="676"/>
        <v/>
      </c>
    </row>
    <row r="40138" spans="8:8" x14ac:dyDescent="0.3">
      <c r="H40138" t="str">
        <f t="shared" si="676"/>
        <v/>
      </c>
    </row>
    <row r="40139" spans="8:8" x14ac:dyDescent="0.3">
      <c r="H40139" t="str">
        <f t="shared" si="676"/>
        <v/>
      </c>
    </row>
    <row r="40140" spans="8:8" x14ac:dyDescent="0.3">
      <c r="H40140" t="str">
        <f t="shared" si="676"/>
        <v/>
      </c>
    </row>
    <row r="40141" spans="8:8" x14ac:dyDescent="0.3">
      <c r="H40141" t="str">
        <f t="shared" si="676"/>
        <v/>
      </c>
    </row>
    <row r="40142" spans="8:8" x14ac:dyDescent="0.3">
      <c r="H40142" t="str">
        <f t="shared" si="676"/>
        <v/>
      </c>
    </row>
    <row r="40143" spans="8:8" x14ac:dyDescent="0.3">
      <c r="H40143" t="str">
        <f t="shared" si="676"/>
        <v/>
      </c>
    </row>
    <row r="40144" spans="8:8" x14ac:dyDescent="0.3">
      <c r="H40144" t="str">
        <f t="shared" si="676"/>
        <v/>
      </c>
    </row>
    <row r="40145" spans="8:8" x14ac:dyDescent="0.3">
      <c r="H40145" t="str">
        <f t="shared" si="676"/>
        <v/>
      </c>
    </row>
    <row r="40146" spans="8:8" x14ac:dyDescent="0.3">
      <c r="H40146" t="str">
        <f t="shared" si="676"/>
        <v/>
      </c>
    </row>
    <row r="40147" spans="8:8" x14ac:dyDescent="0.3">
      <c r="H40147" t="str">
        <f t="shared" si="676"/>
        <v/>
      </c>
    </row>
    <row r="40148" spans="8:8" x14ac:dyDescent="0.3">
      <c r="H40148" t="str">
        <f t="shared" si="676"/>
        <v/>
      </c>
    </row>
    <row r="40149" spans="8:8" x14ac:dyDescent="0.3">
      <c r="H40149" t="str">
        <f t="shared" si="676"/>
        <v/>
      </c>
    </row>
    <row r="40150" spans="8:8" x14ac:dyDescent="0.3">
      <c r="H40150" t="str">
        <f t="shared" si="676"/>
        <v/>
      </c>
    </row>
    <row r="40151" spans="8:8" x14ac:dyDescent="0.3">
      <c r="H40151" t="str">
        <f t="shared" ref="H40151:H40214" si="677">IF(B40151="","",$C$12)</f>
        <v/>
      </c>
    </row>
    <row r="40152" spans="8:8" x14ac:dyDescent="0.3">
      <c r="H40152" t="str">
        <f t="shared" si="677"/>
        <v/>
      </c>
    </row>
    <row r="40153" spans="8:8" x14ac:dyDescent="0.3">
      <c r="H40153" t="str">
        <f t="shared" si="677"/>
        <v/>
      </c>
    </row>
    <row r="40154" spans="8:8" x14ac:dyDescent="0.3">
      <c r="H40154" t="str">
        <f t="shared" si="677"/>
        <v/>
      </c>
    </row>
    <row r="40155" spans="8:8" x14ac:dyDescent="0.3">
      <c r="H40155" t="str">
        <f t="shared" si="677"/>
        <v/>
      </c>
    </row>
    <row r="40156" spans="8:8" x14ac:dyDescent="0.3">
      <c r="H40156" t="str">
        <f t="shared" si="677"/>
        <v/>
      </c>
    </row>
    <row r="40157" spans="8:8" x14ac:dyDescent="0.3">
      <c r="H40157" t="str">
        <f t="shared" si="677"/>
        <v/>
      </c>
    </row>
    <row r="40158" spans="8:8" x14ac:dyDescent="0.3">
      <c r="H40158" t="str">
        <f t="shared" si="677"/>
        <v/>
      </c>
    </row>
    <row r="40159" spans="8:8" x14ac:dyDescent="0.3">
      <c r="H40159" t="str">
        <f t="shared" si="677"/>
        <v/>
      </c>
    </row>
    <row r="40160" spans="8:8" x14ac:dyDescent="0.3">
      <c r="H40160" t="str">
        <f t="shared" si="677"/>
        <v/>
      </c>
    </row>
    <row r="40161" spans="8:8" x14ac:dyDescent="0.3">
      <c r="H40161" t="str">
        <f t="shared" si="677"/>
        <v/>
      </c>
    </row>
    <row r="40162" spans="8:8" x14ac:dyDescent="0.3">
      <c r="H40162" t="str">
        <f t="shared" si="677"/>
        <v/>
      </c>
    </row>
    <row r="40163" spans="8:8" x14ac:dyDescent="0.3">
      <c r="H40163" t="str">
        <f t="shared" si="677"/>
        <v/>
      </c>
    </row>
    <row r="40164" spans="8:8" x14ac:dyDescent="0.3">
      <c r="H40164" t="str">
        <f t="shared" si="677"/>
        <v/>
      </c>
    </row>
    <row r="40165" spans="8:8" x14ac:dyDescent="0.3">
      <c r="H40165" t="str">
        <f t="shared" si="677"/>
        <v/>
      </c>
    </row>
    <row r="40166" spans="8:8" x14ac:dyDescent="0.3">
      <c r="H40166" t="str">
        <f t="shared" si="677"/>
        <v/>
      </c>
    </row>
    <row r="40167" spans="8:8" x14ac:dyDescent="0.3">
      <c r="H40167" t="str">
        <f t="shared" si="677"/>
        <v/>
      </c>
    </row>
    <row r="40168" spans="8:8" x14ac:dyDescent="0.3">
      <c r="H40168" t="str">
        <f t="shared" si="677"/>
        <v/>
      </c>
    </row>
    <row r="40169" spans="8:8" x14ac:dyDescent="0.3">
      <c r="H40169" t="str">
        <f t="shared" si="677"/>
        <v/>
      </c>
    </row>
    <row r="40170" spans="8:8" x14ac:dyDescent="0.3">
      <c r="H40170" t="str">
        <f t="shared" si="677"/>
        <v/>
      </c>
    </row>
    <row r="40171" spans="8:8" x14ac:dyDescent="0.3">
      <c r="H40171" t="str">
        <f t="shared" si="677"/>
        <v/>
      </c>
    </row>
    <row r="40172" spans="8:8" x14ac:dyDescent="0.3">
      <c r="H40172" t="str">
        <f t="shared" si="677"/>
        <v/>
      </c>
    </row>
    <row r="40173" spans="8:8" x14ac:dyDescent="0.3">
      <c r="H40173" t="str">
        <f t="shared" si="677"/>
        <v/>
      </c>
    </row>
    <row r="40174" spans="8:8" x14ac:dyDescent="0.3">
      <c r="H40174" t="str">
        <f t="shared" si="677"/>
        <v/>
      </c>
    </row>
    <row r="40175" spans="8:8" x14ac:dyDescent="0.3">
      <c r="H40175" t="str">
        <f t="shared" si="677"/>
        <v/>
      </c>
    </row>
    <row r="40176" spans="8:8" x14ac:dyDescent="0.3">
      <c r="H40176" t="str">
        <f t="shared" si="677"/>
        <v/>
      </c>
    </row>
    <row r="40177" spans="8:8" x14ac:dyDescent="0.3">
      <c r="H40177" t="str">
        <f t="shared" si="677"/>
        <v/>
      </c>
    </row>
    <row r="40178" spans="8:8" x14ac:dyDescent="0.3">
      <c r="H40178" t="str">
        <f t="shared" si="677"/>
        <v/>
      </c>
    </row>
    <row r="40179" spans="8:8" x14ac:dyDescent="0.3">
      <c r="H40179" t="str">
        <f t="shared" si="677"/>
        <v/>
      </c>
    </row>
    <row r="40180" spans="8:8" x14ac:dyDescent="0.3">
      <c r="H40180" t="str">
        <f t="shared" si="677"/>
        <v/>
      </c>
    </row>
    <row r="40181" spans="8:8" x14ac:dyDescent="0.3">
      <c r="H40181" t="str">
        <f t="shared" si="677"/>
        <v/>
      </c>
    </row>
    <row r="40182" spans="8:8" x14ac:dyDescent="0.3">
      <c r="H40182" t="str">
        <f t="shared" si="677"/>
        <v/>
      </c>
    </row>
    <row r="40183" spans="8:8" x14ac:dyDescent="0.3">
      <c r="H40183" t="str">
        <f t="shared" si="677"/>
        <v/>
      </c>
    </row>
    <row r="40184" spans="8:8" x14ac:dyDescent="0.3">
      <c r="H40184" t="str">
        <f t="shared" si="677"/>
        <v/>
      </c>
    </row>
    <row r="40185" spans="8:8" x14ac:dyDescent="0.3">
      <c r="H40185" t="str">
        <f t="shared" si="677"/>
        <v/>
      </c>
    </row>
    <row r="40186" spans="8:8" x14ac:dyDescent="0.3">
      <c r="H40186" t="str">
        <f t="shared" si="677"/>
        <v/>
      </c>
    </row>
    <row r="40187" spans="8:8" x14ac:dyDescent="0.3">
      <c r="H40187" t="str">
        <f t="shared" si="677"/>
        <v/>
      </c>
    </row>
    <row r="40188" spans="8:8" x14ac:dyDescent="0.3">
      <c r="H40188" t="str">
        <f t="shared" si="677"/>
        <v/>
      </c>
    </row>
    <row r="40189" spans="8:8" x14ac:dyDescent="0.3">
      <c r="H40189" t="str">
        <f t="shared" si="677"/>
        <v/>
      </c>
    </row>
    <row r="40190" spans="8:8" x14ac:dyDescent="0.3">
      <c r="H40190" t="str">
        <f t="shared" si="677"/>
        <v/>
      </c>
    </row>
    <row r="40191" spans="8:8" x14ac:dyDescent="0.3">
      <c r="H40191" t="str">
        <f t="shared" si="677"/>
        <v/>
      </c>
    </row>
    <row r="40192" spans="8:8" x14ac:dyDescent="0.3">
      <c r="H40192" t="str">
        <f t="shared" si="677"/>
        <v/>
      </c>
    </row>
    <row r="40193" spans="8:8" x14ac:dyDescent="0.3">
      <c r="H40193" t="str">
        <f t="shared" si="677"/>
        <v/>
      </c>
    </row>
    <row r="40194" spans="8:8" x14ac:dyDescent="0.3">
      <c r="H40194" t="str">
        <f t="shared" si="677"/>
        <v/>
      </c>
    </row>
    <row r="40195" spans="8:8" x14ac:dyDescent="0.3">
      <c r="H40195" t="str">
        <f t="shared" si="677"/>
        <v/>
      </c>
    </row>
    <row r="40196" spans="8:8" x14ac:dyDescent="0.3">
      <c r="H40196" t="str">
        <f t="shared" si="677"/>
        <v/>
      </c>
    </row>
    <row r="40197" spans="8:8" x14ac:dyDescent="0.3">
      <c r="H40197" t="str">
        <f t="shared" si="677"/>
        <v/>
      </c>
    </row>
    <row r="40198" spans="8:8" x14ac:dyDescent="0.3">
      <c r="H40198" t="str">
        <f t="shared" si="677"/>
        <v/>
      </c>
    </row>
    <row r="40199" spans="8:8" x14ac:dyDescent="0.3">
      <c r="H40199" t="str">
        <f t="shared" si="677"/>
        <v/>
      </c>
    </row>
    <row r="40200" spans="8:8" x14ac:dyDescent="0.3">
      <c r="H40200" t="str">
        <f t="shared" si="677"/>
        <v/>
      </c>
    </row>
    <row r="40201" spans="8:8" x14ac:dyDescent="0.3">
      <c r="H40201" t="str">
        <f t="shared" si="677"/>
        <v/>
      </c>
    </row>
    <row r="40202" spans="8:8" x14ac:dyDescent="0.3">
      <c r="H40202" t="str">
        <f t="shared" si="677"/>
        <v/>
      </c>
    </row>
    <row r="40203" spans="8:8" x14ac:dyDescent="0.3">
      <c r="H40203" t="str">
        <f t="shared" si="677"/>
        <v/>
      </c>
    </row>
    <row r="40204" spans="8:8" x14ac:dyDescent="0.3">
      <c r="H40204" t="str">
        <f t="shared" si="677"/>
        <v/>
      </c>
    </row>
    <row r="40205" spans="8:8" x14ac:dyDescent="0.3">
      <c r="H40205" t="str">
        <f t="shared" si="677"/>
        <v/>
      </c>
    </row>
    <row r="40206" spans="8:8" x14ac:dyDescent="0.3">
      <c r="H40206" t="str">
        <f t="shared" si="677"/>
        <v/>
      </c>
    </row>
    <row r="40207" spans="8:8" x14ac:dyDescent="0.3">
      <c r="H40207" t="str">
        <f t="shared" si="677"/>
        <v/>
      </c>
    </row>
    <row r="40208" spans="8:8" x14ac:dyDescent="0.3">
      <c r="H40208" t="str">
        <f t="shared" si="677"/>
        <v/>
      </c>
    </row>
    <row r="40209" spans="8:8" x14ac:dyDescent="0.3">
      <c r="H40209" t="str">
        <f t="shared" si="677"/>
        <v/>
      </c>
    </row>
    <row r="40210" spans="8:8" x14ac:dyDescent="0.3">
      <c r="H40210" t="str">
        <f t="shared" si="677"/>
        <v/>
      </c>
    </row>
    <row r="40211" spans="8:8" x14ac:dyDescent="0.3">
      <c r="H40211" t="str">
        <f t="shared" si="677"/>
        <v/>
      </c>
    </row>
    <row r="40212" spans="8:8" x14ac:dyDescent="0.3">
      <c r="H40212" t="str">
        <f t="shared" si="677"/>
        <v/>
      </c>
    </row>
    <row r="40213" spans="8:8" x14ac:dyDescent="0.3">
      <c r="H40213" t="str">
        <f t="shared" si="677"/>
        <v/>
      </c>
    </row>
    <row r="40214" spans="8:8" x14ac:dyDescent="0.3">
      <c r="H40214" t="str">
        <f t="shared" si="677"/>
        <v/>
      </c>
    </row>
    <row r="40215" spans="8:8" x14ac:dyDescent="0.3">
      <c r="H40215" t="str">
        <f t="shared" ref="H40215:H40278" si="678">IF(B40215="","",$C$12)</f>
        <v/>
      </c>
    </row>
    <row r="40216" spans="8:8" x14ac:dyDescent="0.3">
      <c r="H40216" t="str">
        <f t="shared" si="678"/>
        <v/>
      </c>
    </row>
    <row r="40217" spans="8:8" x14ac:dyDescent="0.3">
      <c r="H40217" t="str">
        <f t="shared" si="678"/>
        <v/>
      </c>
    </row>
    <row r="40218" spans="8:8" x14ac:dyDescent="0.3">
      <c r="H40218" t="str">
        <f t="shared" si="678"/>
        <v/>
      </c>
    </row>
    <row r="40219" spans="8:8" x14ac:dyDescent="0.3">
      <c r="H40219" t="str">
        <f t="shared" si="678"/>
        <v/>
      </c>
    </row>
    <row r="40220" spans="8:8" x14ac:dyDescent="0.3">
      <c r="H40220" t="str">
        <f t="shared" si="678"/>
        <v/>
      </c>
    </row>
    <row r="40221" spans="8:8" x14ac:dyDescent="0.3">
      <c r="H40221" t="str">
        <f t="shared" si="678"/>
        <v/>
      </c>
    </row>
    <row r="40222" spans="8:8" x14ac:dyDescent="0.3">
      <c r="H40222" t="str">
        <f t="shared" si="678"/>
        <v/>
      </c>
    </row>
    <row r="40223" spans="8:8" x14ac:dyDescent="0.3">
      <c r="H40223" t="str">
        <f t="shared" si="678"/>
        <v/>
      </c>
    </row>
    <row r="40224" spans="8:8" x14ac:dyDescent="0.3">
      <c r="H40224" t="str">
        <f t="shared" si="678"/>
        <v/>
      </c>
    </row>
    <row r="40225" spans="8:8" x14ac:dyDescent="0.3">
      <c r="H40225" t="str">
        <f t="shared" si="678"/>
        <v/>
      </c>
    </row>
    <row r="40226" spans="8:8" x14ac:dyDescent="0.3">
      <c r="H40226" t="str">
        <f t="shared" si="678"/>
        <v/>
      </c>
    </row>
    <row r="40227" spans="8:8" x14ac:dyDescent="0.3">
      <c r="H40227" t="str">
        <f t="shared" si="678"/>
        <v/>
      </c>
    </row>
    <row r="40228" spans="8:8" x14ac:dyDescent="0.3">
      <c r="H40228" t="str">
        <f t="shared" si="678"/>
        <v/>
      </c>
    </row>
    <row r="40229" spans="8:8" x14ac:dyDescent="0.3">
      <c r="H40229" t="str">
        <f t="shared" si="678"/>
        <v/>
      </c>
    </row>
    <row r="40230" spans="8:8" x14ac:dyDescent="0.3">
      <c r="H40230" t="str">
        <f t="shared" si="678"/>
        <v/>
      </c>
    </row>
    <row r="40231" spans="8:8" x14ac:dyDescent="0.3">
      <c r="H40231" t="str">
        <f t="shared" si="678"/>
        <v/>
      </c>
    </row>
    <row r="40232" spans="8:8" x14ac:dyDescent="0.3">
      <c r="H40232" t="str">
        <f t="shared" si="678"/>
        <v/>
      </c>
    </row>
    <row r="40233" spans="8:8" x14ac:dyDescent="0.3">
      <c r="H40233" t="str">
        <f t="shared" si="678"/>
        <v/>
      </c>
    </row>
    <row r="40234" spans="8:8" x14ac:dyDescent="0.3">
      <c r="H40234" t="str">
        <f t="shared" si="678"/>
        <v/>
      </c>
    </row>
    <row r="40235" spans="8:8" x14ac:dyDescent="0.3">
      <c r="H40235" t="str">
        <f t="shared" si="678"/>
        <v/>
      </c>
    </row>
    <row r="40236" spans="8:8" x14ac:dyDescent="0.3">
      <c r="H40236" t="str">
        <f t="shared" si="678"/>
        <v/>
      </c>
    </row>
    <row r="40237" spans="8:8" x14ac:dyDescent="0.3">
      <c r="H40237" t="str">
        <f t="shared" si="678"/>
        <v/>
      </c>
    </row>
    <row r="40238" spans="8:8" x14ac:dyDescent="0.3">
      <c r="H40238" t="str">
        <f t="shared" si="678"/>
        <v/>
      </c>
    </row>
    <row r="40239" spans="8:8" x14ac:dyDescent="0.3">
      <c r="H40239" t="str">
        <f t="shared" si="678"/>
        <v/>
      </c>
    </row>
    <row r="40240" spans="8:8" x14ac:dyDescent="0.3">
      <c r="H40240" t="str">
        <f t="shared" si="678"/>
        <v/>
      </c>
    </row>
    <row r="40241" spans="8:8" x14ac:dyDescent="0.3">
      <c r="H40241" t="str">
        <f t="shared" si="678"/>
        <v/>
      </c>
    </row>
    <row r="40242" spans="8:8" x14ac:dyDescent="0.3">
      <c r="H40242" t="str">
        <f t="shared" si="678"/>
        <v/>
      </c>
    </row>
    <row r="40243" spans="8:8" x14ac:dyDescent="0.3">
      <c r="H40243" t="str">
        <f t="shared" si="678"/>
        <v/>
      </c>
    </row>
    <row r="40244" spans="8:8" x14ac:dyDescent="0.3">
      <c r="H40244" t="str">
        <f t="shared" si="678"/>
        <v/>
      </c>
    </row>
    <row r="40245" spans="8:8" x14ac:dyDescent="0.3">
      <c r="H40245" t="str">
        <f t="shared" si="678"/>
        <v/>
      </c>
    </row>
    <row r="40246" spans="8:8" x14ac:dyDescent="0.3">
      <c r="H40246" t="str">
        <f t="shared" si="678"/>
        <v/>
      </c>
    </row>
    <row r="40247" spans="8:8" x14ac:dyDescent="0.3">
      <c r="H40247" t="str">
        <f t="shared" si="678"/>
        <v/>
      </c>
    </row>
    <row r="40248" spans="8:8" x14ac:dyDescent="0.3">
      <c r="H40248" t="str">
        <f t="shared" si="678"/>
        <v/>
      </c>
    </row>
    <row r="40249" spans="8:8" x14ac:dyDescent="0.3">
      <c r="H40249" t="str">
        <f t="shared" si="678"/>
        <v/>
      </c>
    </row>
    <row r="40250" spans="8:8" x14ac:dyDescent="0.3">
      <c r="H40250" t="str">
        <f t="shared" si="678"/>
        <v/>
      </c>
    </row>
    <row r="40251" spans="8:8" x14ac:dyDescent="0.3">
      <c r="H40251" t="str">
        <f t="shared" si="678"/>
        <v/>
      </c>
    </row>
    <row r="40252" spans="8:8" x14ac:dyDescent="0.3">
      <c r="H40252" t="str">
        <f t="shared" si="678"/>
        <v/>
      </c>
    </row>
    <row r="40253" spans="8:8" x14ac:dyDescent="0.3">
      <c r="H40253" t="str">
        <f t="shared" si="678"/>
        <v/>
      </c>
    </row>
    <row r="40254" spans="8:8" x14ac:dyDescent="0.3">
      <c r="H40254" t="str">
        <f t="shared" si="678"/>
        <v/>
      </c>
    </row>
    <row r="40255" spans="8:8" x14ac:dyDescent="0.3">
      <c r="H40255" t="str">
        <f t="shared" si="678"/>
        <v/>
      </c>
    </row>
    <row r="40256" spans="8:8" x14ac:dyDescent="0.3">
      <c r="H40256" t="str">
        <f t="shared" si="678"/>
        <v/>
      </c>
    </row>
    <row r="40257" spans="8:8" x14ac:dyDescent="0.3">
      <c r="H40257" t="str">
        <f t="shared" si="678"/>
        <v/>
      </c>
    </row>
    <row r="40258" spans="8:8" x14ac:dyDescent="0.3">
      <c r="H40258" t="str">
        <f t="shared" si="678"/>
        <v/>
      </c>
    </row>
    <row r="40259" spans="8:8" x14ac:dyDescent="0.3">
      <c r="H40259" t="str">
        <f t="shared" si="678"/>
        <v/>
      </c>
    </row>
    <row r="40260" spans="8:8" x14ac:dyDescent="0.3">
      <c r="H40260" t="str">
        <f t="shared" si="678"/>
        <v/>
      </c>
    </row>
    <row r="40261" spans="8:8" x14ac:dyDescent="0.3">
      <c r="H40261" t="str">
        <f t="shared" si="678"/>
        <v/>
      </c>
    </row>
    <row r="40262" spans="8:8" x14ac:dyDescent="0.3">
      <c r="H40262" t="str">
        <f t="shared" si="678"/>
        <v/>
      </c>
    </row>
    <row r="40263" spans="8:8" x14ac:dyDescent="0.3">
      <c r="H40263" t="str">
        <f t="shared" si="678"/>
        <v/>
      </c>
    </row>
    <row r="40264" spans="8:8" x14ac:dyDescent="0.3">
      <c r="H40264" t="str">
        <f t="shared" si="678"/>
        <v/>
      </c>
    </row>
    <row r="40265" spans="8:8" x14ac:dyDescent="0.3">
      <c r="H40265" t="str">
        <f t="shared" si="678"/>
        <v/>
      </c>
    </row>
    <row r="40266" spans="8:8" x14ac:dyDescent="0.3">
      <c r="H40266" t="str">
        <f t="shared" si="678"/>
        <v/>
      </c>
    </row>
    <row r="40267" spans="8:8" x14ac:dyDescent="0.3">
      <c r="H40267" t="str">
        <f t="shared" si="678"/>
        <v/>
      </c>
    </row>
    <row r="40268" spans="8:8" x14ac:dyDescent="0.3">
      <c r="H40268" t="str">
        <f t="shared" si="678"/>
        <v/>
      </c>
    </row>
    <row r="40269" spans="8:8" x14ac:dyDescent="0.3">
      <c r="H40269" t="str">
        <f t="shared" si="678"/>
        <v/>
      </c>
    </row>
    <row r="40270" spans="8:8" x14ac:dyDescent="0.3">
      <c r="H40270" t="str">
        <f t="shared" si="678"/>
        <v/>
      </c>
    </row>
    <row r="40271" spans="8:8" x14ac:dyDescent="0.3">
      <c r="H40271" t="str">
        <f t="shared" si="678"/>
        <v/>
      </c>
    </row>
    <row r="40272" spans="8:8" x14ac:dyDescent="0.3">
      <c r="H40272" t="str">
        <f t="shared" si="678"/>
        <v/>
      </c>
    </row>
    <row r="40273" spans="8:8" x14ac:dyDescent="0.3">
      <c r="H40273" t="str">
        <f t="shared" si="678"/>
        <v/>
      </c>
    </row>
    <row r="40274" spans="8:8" x14ac:dyDescent="0.3">
      <c r="H40274" t="str">
        <f t="shared" si="678"/>
        <v/>
      </c>
    </row>
    <row r="40275" spans="8:8" x14ac:dyDescent="0.3">
      <c r="H40275" t="str">
        <f t="shared" si="678"/>
        <v/>
      </c>
    </row>
    <row r="40276" spans="8:8" x14ac:dyDescent="0.3">
      <c r="H40276" t="str">
        <f t="shared" si="678"/>
        <v/>
      </c>
    </row>
    <row r="40277" spans="8:8" x14ac:dyDescent="0.3">
      <c r="H40277" t="str">
        <f t="shared" si="678"/>
        <v/>
      </c>
    </row>
    <row r="40278" spans="8:8" x14ac:dyDescent="0.3">
      <c r="H40278" t="str">
        <f t="shared" si="678"/>
        <v/>
      </c>
    </row>
    <row r="40279" spans="8:8" x14ac:dyDescent="0.3">
      <c r="H40279" t="str">
        <f t="shared" ref="H40279:H40342" si="679">IF(B40279="","",$C$12)</f>
        <v/>
      </c>
    </row>
    <row r="40280" spans="8:8" x14ac:dyDescent="0.3">
      <c r="H40280" t="str">
        <f t="shared" si="679"/>
        <v/>
      </c>
    </row>
    <row r="40281" spans="8:8" x14ac:dyDescent="0.3">
      <c r="H40281" t="str">
        <f t="shared" si="679"/>
        <v/>
      </c>
    </row>
    <row r="40282" spans="8:8" x14ac:dyDescent="0.3">
      <c r="H40282" t="str">
        <f t="shared" si="679"/>
        <v/>
      </c>
    </row>
    <row r="40283" spans="8:8" x14ac:dyDescent="0.3">
      <c r="H40283" t="str">
        <f t="shared" si="679"/>
        <v/>
      </c>
    </row>
    <row r="40284" spans="8:8" x14ac:dyDescent="0.3">
      <c r="H40284" t="str">
        <f t="shared" si="679"/>
        <v/>
      </c>
    </row>
    <row r="40285" spans="8:8" x14ac:dyDescent="0.3">
      <c r="H40285" t="str">
        <f t="shared" si="679"/>
        <v/>
      </c>
    </row>
    <row r="40286" spans="8:8" x14ac:dyDescent="0.3">
      <c r="H40286" t="str">
        <f t="shared" si="679"/>
        <v/>
      </c>
    </row>
    <row r="40287" spans="8:8" x14ac:dyDescent="0.3">
      <c r="H40287" t="str">
        <f t="shared" si="679"/>
        <v/>
      </c>
    </row>
    <row r="40288" spans="8:8" x14ac:dyDescent="0.3">
      <c r="H40288" t="str">
        <f t="shared" si="679"/>
        <v/>
      </c>
    </row>
    <row r="40289" spans="8:8" x14ac:dyDescent="0.3">
      <c r="H40289" t="str">
        <f t="shared" si="679"/>
        <v/>
      </c>
    </row>
    <row r="40290" spans="8:8" x14ac:dyDescent="0.3">
      <c r="H40290" t="str">
        <f t="shared" si="679"/>
        <v/>
      </c>
    </row>
    <row r="40291" spans="8:8" x14ac:dyDescent="0.3">
      <c r="H40291" t="str">
        <f t="shared" si="679"/>
        <v/>
      </c>
    </row>
    <row r="40292" spans="8:8" x14ac:dyDescent="0.3">
      <c r="H40292" t="str">
        <f t="shared" si="679"/>
        <v/>
      </c>
    </row>
    <row r="40293" spans="8:8" x14ac:dyDescent="0.3">
      <c r="H40293" t="str">
        <f t="shared" si="679"/>
        <v/>
      </c>
    </row>
    <row r="40294" spans="8:8" x14ac:dyDescent="0.3">
      <c r="H40294" t="str">
        <f t="shared" si="679"/>
        <v/>
      </c>
    </row>
    <row r="40295" spans="8:8" x14ac:dyDescent="0.3">
      <c r="H40295" t="str">
        <f t="shared" si="679"/>
        <v/>
      </c>
    </row>
    <row r="40296" spans="8:8" x14ac:dyDescent="0.3">
      <c r="H40296" t="str">
        <f t="shared" si="679"/>
        <v/>
      </c>
    </row>
    <row r="40297" spans="8:8" x14ac:dyDescent="0.3">
      <c r="H40297" t="str">
        <f t="shared" si="679"/>
        <v/>
      </c>
    </row>
    <row r="40298" spans="8:8" x14ac:dyDescent="0.3">
      <c r="H40298" t="str">
        <f t="shared" si="679"/>
        <v/>
      </c>
    </row>
    <row r="40299" spans="8:8" x14ac:dyDescent="0.3">
      <c r="H40299" t="str">
        <f t="shared" si="679"/>
        <v/>
      </c>
    </row>
    <row r="40300" spans="8:8" x14ac:dyDescent="0.3">
      <c r="H40300" t="str">
        <f t="shared" si="679"/>
        <v/>
      </c>
    </row>
    <row r="40301" spans="8:8" x14ac:dyDescent="0.3">
      <c r="H40301" t="str">
        <f t="shared" si="679"/>
        <v/>
      </c>
    </row>
    <row r="40302" spans="8:8" x14ac:dyDescent="0.3">
      <c r="H40302" t="str">
        <f t="shared" si="679"/>
        <v/>
      </c>
    </row>
    <row r="40303" spans="8:8" x14ac:dyDescent="0.3">
      <c r="H40303" t="str">
        <f t="shared" si="679"/>
        <v/>
      </c>
    </row>
    <row r="40304" spans="8:8" x14ac:dyDescent="0.3">
      <c r="H40304" t="str">
        <f t="shared" si="679"/>
        <v/>
      </c>
    </row>
    <row r="40305" spans="8:8" x14ac:dyDescent="0.3">
      <c r="H40305" t="str">
        <f t="shared" si="679"/>
        <v/>
      </c>
    </row>
    <row r="40306" spans="8:8" x14ac:dyDescent="0.3">
      <c r="H40306" t="str">
        <f t="shared" si="679"/>
        <v/>
      </c>
    </row>
    <row r="40307" spans="8:8" x14ac:dyDescent="0.3">
      <c r="H40307" t="str">
        <f t="shared" si="679"/>
        <v/>
      </c>
    </row>
    <row r="40308" spans="8:8" x14ac:dyDescent="0.3">
      <c r="H40308" t="str">
        <f t="shared" si="679"/>
        <v/>
      </c>
    </row>
    <row r="40309" spans="8:8" x14ac:dyDescent="0.3">
      <c r="H40309" t="str">
        <f t="shared" si="679"/>
        <v/>
      </c>
    </row>
    <row r="40310" spans="8:8" x14ac:dyDescent="0.3">
      <c r="H40310" t="str">
        <f t="shared" si="679"/>
        <v/>
      </c>
    </row>
    <row r="40311" spans="8:8" x14ac:dyDescent="0.3">
      <c r="H40311" t="str">
        <f t="shared" si="679"/>
        <v/>
      </c>
    </row>
    <row r="40312" spans="8:8" x14ac:dyDescent="0.3">
      <c r="H40312" t="str">
        <f t="shared" si="679"/>
        <v/>
      </c>
    </row>
    <row r="40313" spans="8:8" x14ac:dyDescent="0.3">
      <c r="H40313" t="str">
        <f t="shared" si="679"/>
        <v/>
      </c>
    </row>
    <row r="40314" spans="8:8" x14ac:dyDescent="0.3">
      <c r="H40314" t="str">
        <f t="shared" si="679"/>
        <v/>
      </c>
    </row>
    <row r="40315" spans="8:8" x14ac:dyDescent="0.3">
      <c r="H40315" t="str">
        <f t="shared" si="679"/>
        <v/>
      </c>
    </row>
    <row r="40316" spans="8:8" x14ac:dyDescent="0.3">
      <c r="H40316" t="str">
        <f t="shared" si="679"/>
        <v/>
      </c>
    </row>
    <row r="40317" spans="8:8" x14ac:dyDescent="0.3">
      <c r="H40317" t="str">
        <f t="shared" si="679"/>
        <v/>
      </c>
    </row>
    <row r="40318" spans="8:8" x14ac:dyDescent="0.3">
      <c r="H40318" t="str">
        <f t="shared" si="679"/>
        <v/>
      </c>
    </row>
    <row r="40319" spans="8:8" x14ac:dyDescent="0.3">
      <c r="H40319" t="str">
        <f t="shared" si="679"/>
        <v/>
      </c>
    </row>
    <row r="40320" spans="8:8" x14ac:dyDescent="0.3">
      <c r="H40320" t="str">
        <f t="shared" si="679"/>
        <v/>
      </c>
    </row>
    <row r="40321" spans="8:8" x14ac:dyDescent="0.3">
      <c r="H40321" t="str">
        <f t="shared" si="679"/>
        <v/>
      </c>
    </row>
    <row r="40322" spans="8:8" x14ac:dyDescent="0.3">
      <c r="H40322" t="str">
        <f t="shared" si="679"/>
        <v/>
      </c>
    </row>
    <row r="40323" spans="8:8" x14ac:dyDescent="0.3">
      <c r="H40323" t="str">
        <f t="shared" si="679"/>
        <v/>
      </c>
    </row>
    <row r="40324" spans="8:8" x14ac:dyDescent="0.3">
      <c r="H40324" t="str">
        <f t="shared" si="679"/>
        <v/>
      </c>
    </row>
    <row r="40325" spans="8:8" x14ac:dyDescent="0.3">
      <c r="H40325" t="str">
        <f t="shared" si="679"/>
        <v/>
      </c>
    </row>
    <row r="40326" spans="8:8" x14ac:dyDescent="0.3">
      <c r="H40326" t="str">
        <f t="shared" si="679"/>
        <v/>
      </c>
    </row>
    <row r="40327" spans="8:8" x14ac:dyDescent="0.3">
      <c r="H40327" t="str">
        <f t="shared" si="679"/>
        <v/>
      </c>
    </row>
    <row r="40328" spans="8:8" x14ac:dyDescent="0.3">
      <c r="H40328" t="str">
        <f t="shared" si="679"/>
        <v/>
      </c>
    </row>
    <row r="40329" spans="8:8" x14ac:dyDescent="0.3">
      <c r="H40329" t="str">
        <f t="shared" si="679"/>
        <v/>
      </c>
    </row>
    <row r="40330" spans="8:8" x14ac:dyDescent="0.3">
      <c r="H40330" t="str">
        <f t="shared" si="679"/>
        <v/>
      </c>
    </row>
    <row r="40331" spans="8:8" x14ac:dyDescent="0.3">
      <c r="H40331" t="str">
        <f t="shared" si="679"/>
        <v/>
      </c>
    </row>
    <row r="40332" spans="8:8" x14ac:dyDescent="0.3">
      <c r="H40332" t="str">
        <f t="shared" si="679"/>
        <v/>
      </c>
    </row>
    <row r="40333" spans="8:8" x14ac:dyDescent="0.3">
      <c r="H40333" t="str">
        <f t="shared" si="679"/>
        <v/>
      </c>
    </row>
    <row r="40334" spans="8:8" x14ac:dyDescent="0.3">
      <c r="H40334" t="str">
        <f t="shared" si="679"/>
        <v/>
      </c>
    </row>
    <row r="40335" spans="8:8" x14ac:dyDescent="0.3">
      <c r="H40335" t="str">
        <f t="shared" si="679"/>
        <v/>
      </c>
    </row>
    <row r="40336" spans="8:8" x14ac:dyDescent="0.3">
      <c r="H40336" t="str">
        <f t="shared" si="679"/>
        <v/>
      </c>
    </row>
    <row r="40337" spans="8:8" x14ac:dyDescent="0.3">
      <c r="H40337" t="str">
        <f t="shared" si="679"/>
        <v/>
      </c>
    </row>
    <row r="40338" spans="8:8" x14ac:dyDescent="0.3">
      <c r="H40338" t="str">
        <f t="shared" si="679"/>
        <v/>
      </c>
    </row>
    <row r="40339" spans="8:8" x14ac:dyDescent="0.3">
      <c r="H40339" t="str">
        <f t="shared" si="679"/>
        <v/>
      </c>
    </row>
    <row r="40340" spans="8:8" x14ac:dyDescent="0.3">
      <c r="H40340" t="str">
        <f t="shared" si="679"/>
        <v/>
      </c>
    </row>
    <row r="40341" spans="8:8" x14ac:dyDescent="0.3">
      <c r="H40341" t="str">
        <f t="shared" si="679"/>
        <v/>
      </c>
    </row>
    <row r="40342" spans="8:8" x14ac:dyDescent="0.3">
      <c r="H40342" t="str">
        <f t="shared" si="679"/>
        <v/>
      </c>
    </row>
    <row r="40343" spans="8:8" x14ac:dyDescent="0.3">
      <c r="H40343" t="str">
        <f t="shared" ref="H40343:H40406" si="680">IF(B40343="","",$C$12)</f>
        <v/>
      </c>
    </row>
    <row r="40344" spans="8:8" x14ac:dyDescent="0.3">
      <c r="H40344" t="str">
        <f t="shared" si="680"/>
        <v/>
      </c>
    </row>
    <row r="40345" spans="8:8" x14ac:dyDescent="0.3">
      <c r="H40345" t="str">
        <f t="shared" si="680"/>
        <v/>
      </c>
    </row>
    <row r="40346" spans="8:8" x14ac:dyDescent="0.3">
      <c r="H40346" t="str">
        <f t="shared" si="680"/>
        <v/>
      </c>
    </row>
    <row r="40347" spans="8:8" x14ac:dyDescent="0.3">
      <c r="H40347" t="str">
        <f t="shared" si="680"/>
        <v/>
      </c>
    </row>
    <row r="40348" spans="8:8" x14ac:dyDescent="0.3">
      <c r="H40348" t="str">
        <f t="shared" si="680"/>
        <v/>
      </c>
    </row>
    <row r="40349" spans="8:8" x14ac:dyDescent="0.3">
      <c r="H40349" t="str">
        <f t="shared" si="680"/>
        <v/>
      </c>
    </row>
    <row r="40350" spans="8:8" x14ac:dyDescent="0.3">
      <c r="H40350" t="str">
        <f t="shared" si="680"/>
        <v/>
      </c>
    </row>
    <row r="40351" spans="8:8" x14ac:dyDescent="0.3">
      <c r="H40351" t="str">
        <f t="shared" si="680"/>
        <v/>
      </c>
    </row>
    <row r="40352" spans="8:8" x14ac:dyDescent="0.3">
      <c r="H40352" t="str">
        <f t="shared" si="680"/>
        <v/>
      </c>
    </row>
    <row r="40353" spans="8:8" x14ac:dyDescent="0.3">
      <c r="H40353" t="str">
        <f t="shared" si="680"/>
        <v/>
      </c>
    </row>
    <row r="40354" spans="8:8" x14ac:dyDescent="0.3">
      <c r="H40354" t="str">
        <f t="shared" si="680"/>
        <v/>
      </c>
    </row>
    <row r="40355" spans="8:8" x14ac:dyDescent="0.3">
      <c r="H40355" t="str">
        <f t="shared" si="680"/>
        <v/>
      </c>
    </row>
    <row r="40356" spans="8:8" x14ac:dyDescent="0.3">
      <c r="H40356" t="str">
        <f t="shared" si="680"/>
        <v/>
      </c>
    </row>
    <row r="40357" spans="8:8" x14ac:dyDescent="0.3">
      <c r="H40357" t="str">
        <f t="shared" si="680"/>
        <v/>
      </c>
    </row>
    <row r="40358" spans="8:8" x14ac:dyDescent="0.3">
      <c r="H40358" t="str">
        <f t="shared" si="680"/>
        <v/>
      </c>
    </row>
    <row r="40359" spans="8:8" x14ac:dyDescent="0.3">
      <c r="H40359" t="str">
        <f t="shared" si="680"/>
        <v/>
      </c>
    </row>
    <row r="40360" spans="8:8" x14ac:dyDescent="0.3">
      <c r="H40360" t="str">
        <f t="shared" si="680"/>
        <v/>
      </c>
    </row>
    <row r="40361" spans="8:8" x14ac:dyDescent="0.3">
      <c r="H40361" t="str">
        <f t="shared" si="680"/>
        <v/>
      </c>
    </row>
    <row r="40362" spans="8:8" x14ac:dyDescent="0.3">
      <c r="H40362" t="str">
        <f t="shared" si="680"/>
        <v/>
      </c>
    </row>
    <row r="40363" spans="8:8" x14ac:dyDescent="0.3">
      <c r="H40363" t="str">
        <f t="shared" si="680"/>
        <v/>
      </c>
    </row>
    <row r="40364" spans="8:8" x14ac:dyDescent="0.3">
      <c r="H40364" t="str">
        <f t="shared" si="680"/>
        <v/>
      </c>
    </row>
    <row r="40365" spans="8:8" x14ac:dyDescent="0.3">
      <c r="H40365" t="str">
        <f t="shared" si="680"/>
        <v/>
      </c>
    </row>
    <row r="40366" spans="8:8" x14ac:dyDescent="0.3">
      <c r="H40366" t="str">
        <f t="shared" si="680"/>
        <v/>
      </c>
    </row>
    <row r="40367" spans="8:8" x14ac:dyDescent="0.3">
      <c r="H40367" t="str">
        <f t="shared" si="680"/>
        <v/>
      </c>
    </row>
    <row r="40368" spans="8:8" x14ac:dyDescent="0.3">
      <c r="H40368" t="str">
        <f t="shared" si="680"/>
        <v/>
      </c>
    </row>
    <row r="40369" spans="8:8" x14ac:dyDescent="0.3">
      <c r="H40369" t="str">
        <f t="shared" si="680"/>
        <v/>
      </c>
    </row>
    <row r="40370" spans="8:8" x14ac:dyDescent="0.3">
      <c r="H40370" t="str">
        <f t="shared" si="680"/>
        <v/>
      </c>
    </row>
    <row r="40371" spans="8:8" x14ac:dyDescent="0.3">
      <c r="H40371" t="str">
        <f t="shared" si="680"/>
        <v/>
      </c>
    </row>
    <row r="40372" spans="8:8" x14ac:dyDescent="0.3">
      <c r="H40372" t="str">
        <f t="shared" si="680"/>
        <v/>
      </c>
    </row>
    <row r="40373" spans="8:8" x14ac:dyDescent="0.3">
      <c r="H40373" t="str">
        <f t="shared" si="680"/>
        <v/>
      </c>
    </row>
    <row r="40374" spans="8:8" x14ac:dyDescent="0.3">
      <c r="H40374" t="str">
        <f t="shared" si="680"/>
        <v/>
      </c>
    </row>
    <row r="40375" spans="8:8" x14ac:dyDescent="0.3">
      <c r="H40375" t="str">
        <f t="shared" si="680"/>
        <v/>
      </c>
    </row>
    <row r="40376" spans="8:8" x14ac:dyDescent="0.3">
      <c r="H40376" t="str">
        <f t="shared" si="680"/>
        <v/>
      </c>
    </row>
    <row r="40377" spans="8:8" x14ac:dyDescent="0.3">
      <c r="H40377" t="str">
        <f t="shared" si="680"/>
        <v/>
      </c>
    </row>
    <row r="40378" spans="8:8" x14ac:dyDescent="0.3">
      <c r="H40378" t="str">
        <f t="shared" si="680"/>
        <v/>
      </c>
    </row>
    <row r="40379" spans="8:8" x14ac:dyDescent="0.3">
      <c r="H40379" t="str">
        <f t="shared" si="680"/>
        <v/>
      </c>
    </row>
    <row r="40380" spans="8:8" x14ac:dyDescent="0.3">
      <c r="H40380" t="str">
        <f t="shared" si="680"/>
        <v/>
      </c>
    </row>
    <row r="40381" spans="8:8" x14ac:dyDescent="0.3">
      <c r="H40381" t="str">
        <f t="shared" si="680"/>
        <v/>
      </c>
    </row>
    <row r="40382" spans="8:8" x14ac:dyDescent="0.3">
      <c r="H40382" t="str">
        <f t="shared" si="680"/>
        <v/>
      </c>
    </row>
    <row r="40383" spans="8:8" x14ac:dyDescent="0.3">
      <c r="H40383" t="str">
        <f t="shared" si="680"/>
        <v/>
      </c>
    </row>
    <row r="40384" spans="8:8" x14ac:dyDescent="0.3">
      <c r="H40384" t="str">
        <f t="shared" si="680"/>
        <v/>
      </c>
    </row>
    <row r="40385" spans="8:8" x14ac:dyDescent="0.3">
      <c r="H40385" t="str">
        <f t="shared" si="680"/>
        <v/>
      </c>
    </row>
    <row r="40386" spans="8:8" x14ac:dyDescent="0.3">
      <c r="H40386" t="str">
        <f t="shared" si="680"/>
        <v/>
      </c>
    </row>
    <row r="40387" spans="8:8" x14ac:dyDescent="0.3">
      <c r="H40387" t="str">
        <f t="shared" si="680"/>
        <v/>
      </c>
    </row>
    <row r="40388" spans="8:8" x14ac:dyDescent="0.3">
      <c r="H40388" t="str">
        <f t="shared" si="680"/>
        <v/>
      </c>
    </row>
    <row r="40389" spans="8:8" x14ac:dyDescent="0.3">
      <c r="H40389" t="str">
        <f t="shared" si="680"/>
        <v/>
      </c>
    </row>
    <row r="40390" spans="8:8" x14ac:dyDescent="0.3">
      <c r="H40390" t="str">
        <f t="shared" si="680"/>
        <v/>
      </c>
    </row>
    <row r="40391" spans="8:8" x14ac:dyDescent="0.3">
      <c r="H40391" t="str">
        <f t="shared" si="680"/>
        <v/>
      </c>
    </row>
    <row r="40392" spans="8:8" x14ac:dyDescent="0.3">
      <c r="H40392" t="str">
        <f t="shared" si="680"/>
        <v/>
      </c>
    </row>
    <row r="40393" spans="8:8" x14ac:dyDescent="0.3">
      <c r="H40393" t="str">
        <f t="shared" si="680"/>
        <v/>
      </c>
    </row>
    <row r="40394" spans="8:8" x14ac:dyDescent="0.3">
      <c r="H40394" t="str">
        <f t="shared" si="680"/>
        <v/>
      </c>
    </row>
    <row r="40395" spans="8:8" x14ac:dyDescent="0.3">
      <c r="H40395" t="str">
        <f t="shared" si="680"/>
        <v/>
      </c>
    </row>
    <row r="40396" spans="8:8" x14ac:dyDescent="0.3">
      <c r="H40396" t="str">
        <f t="shared" si="680"/>
        <v/>
      </c>
    </row>
    <row r="40397" spans="8:8" x14ac:dyDescent="0.3">
      <c r="H40397" t="str">
        <f t="shared" si="680"/>
        <v/>
      </c>
    </row>
    <row r="40398" spans="8:8" x14ac:dyDescent="0.3">
      <c r="H40398" t="str">
        <f t="shared" si="680"/>
        <v/>
      </c>
    </row>
    <row r="40399" spans="8:8" x14ac:dyDescent="0.3">
      <c r="H40399" t="str">
        <f t="shared" si="680"/>
        <v/>
      </c>
    </row>
    <row r="40400" spans="8:8" x14ac:dyDescent="0.3">
      <c r="H40400" t="str">
        <f t="shared" si="680"/>
        <v/>
      </c>
    </row>
    <row r="40401" spans="8:8" x14ac:dyDescent="0.3">
      <c r="H40401" t="str">
        <f t="shared" si="680"/>
        <v/>
      </c>
    </row>
    <row r="40402" spans="8:8" x14ac:dyDescent="0.3">
      <c r="H40402" t="str">
        <f t="shared" si="680"/>
        <v/>
      </c>
    </row>
    <row r="40403" spans="8:8" x14ac:dyDescent="0.3">
      <c r="H40403" t="str">
        <f t="shared" si="680"/>
        <v/>
      </c>
    </row>
    <row r="40404" spans="8:8" x14ac:dyDescent="0.3">
      <c r="H40404" t="str">
        <f t="shared" si="680"/>
        <v/>
      </c>
    </row>
    <row r="40405" spans="8:8" x14ac:dyDescent="0.3">
      <c r="H40405" t="str">
        <f t="shared" si="680"/>
        <v/>
      </c>
    </row>
    <row r="40406" spans="8:8" x14ac:dyDescent="0.3">
      <c r="H40406" t="str">
        <f t="shared" si="680"/>
        <v/>
      </c>
    </row>
    <row r="40407" spans="8:8" x14ac:dyDescent="0.3">
      <c r="H40407" t="str">
        <f t="shared" ref="H40407:H40470" si="681">IF(B40407="","",$C$12)</f>
        <v/>
      </c>
    </row>
    <row r="40408" spans="8:8" x14ac:dyDescent="0.3">
      <c r="H40408" t="str">
        <f t="shared" si="681"/>
        <v/>
      </c>
    </row>
    <row r="40409" spans="8:8" x14ac:dyDescent="0.3">
      <c r="H40409" t="str">
        <f t="shared" si="681"/>
        <v/>
      </c>
    </row>
    <row r="40410" spans="8:8" x14ac:dyDescent="0.3">
      <c r="H40410" t="str">
        <f t="shared" si="681"/>
        <v/>
      </c>
    </row>
    <row r="40411" spans="8:8" x14ac:dyDescent="0.3">
      <c r="H40411" t="str">
        <f t="shared" si="681"/>
        <v/>
      </c>
    </row>
    <row r="40412" spans="8:8" x14ac:dyDescent="0.3">
      <c r="H40412" t="str">
        <f t="shared" si="681"/>
        <v/>
      </c>
    </row>
    <row r="40413" spans="8:8" x14ac:dyDescent="0.3">
      <c r="H40413" t="str">
        <f t="shared" si="681"/>
        <v/>
      </c>
    </row>
    <row r="40414" spans="8:8" x14ac:dyDescent="0.3">
      <c r="H40414" t="str">
        <f t="shared" si="681"/>
        <v/>
      </c>
    </row>
    <row r="40415" spans="8:8" x14ac:dyDescent="0.3">
      <c r="H40415" t="str">
        <f t="shared" si="681"/>
        <v/>
      </c>
    </row>
    <row r="40416" spans="8:8" x14ac:dyDescent="0.3">
      <c r="H40416" t="str">
        <f t="shared" si="681"/>
        <v/>
      </c>
    </row>
    <row r="40417" spans="8:8" x14ac:dyDescent="0.3">
      <c r="H40417" t="str">
        <f t="shared" si="681"/>
        <v/>
      </c>
    </row>
    <row r="40418" spans="8:8" x14ac:dyDescent="0.3">
      <c r="H40418" t="str">
        <f t="shared" si="681"/>
        <v/>
      </c>
    </row>
    <row r="40419" spans="8:8" x14ac:dyDescent="0.3">
      <c r="H40419" t="str">
        <f t="shared" si="681"/>
        <v/>
      </c>
    </row>
    <row r="40420" spans="8:8" x14ac:dyDescent="0.3">
      <c r="H40420" t="str">
        <f t="shared" si="681"/>
        <v/>
      </c>
    </row>
    <row r="40421" spans="8:8" x14ac:dyDescent="0.3">
      <c r="H40421" t="str">
        <f t="shared" si="681"/>
        <v/>
      </c>
    </row>
    <row r="40422" spans="8:8" x14ac:dyDescent="0.3">
      <c r="H40422" t="str">
        <f t="shared" si="681"/>
        <v/>
      </c>
    </row>
    <row r="40423" spans="8:8" x14ac:dyDescent="0.3">
      <c r="H40423" t="str">
        <f t="shared" si="681"/>
        <v/>
      </c>
    </row>
    <row r="40424" spans="8:8" x14ac:dyDescent="0.3">
      <c r="H40424" t="str">
        <f t="shared" si="681"/>
        <v/>
      </c>
    </row>
    <row r="40425" spans="8:8" x14ac:dyDescent="0.3">
      <c r="H40425" t="str">
        <f t="shared" si="681"/>
        <v/>
      </c>
    </row>
    <row r="40426" spans="8:8" x14ac:dyDescent="0.3">
      <c r="H40426" t="str">
        <f t="shared" si="681"/>
        <v/>
      </c>
    </row>
    <row r="40427" spans="8:8" x14ac:dyDescent="0.3">
      <c r="H40427" t="str">
        <f t="shared" si="681"/>
        <v/>
      </c>
    </row>
    <row r="40428" spans="8:8" x14ac:dyDescent="0.3">
      <c r="H40428" t="str">
        <f t="shared" si="681"/>
        <v/>
      </c>
    </row>
    <row r="40429" spans="8:8" x14ac:dyDescent="0.3">
      <c r="H40429" t="str">
        <f t="shared" si="681"/>
        <v/>
      </c>
    </row>
    <row r="40430" spans="8:8" x14ac:dyDescent="0.3">
      <c r="H40430" t="str">
        <f t="shared" si="681"/>
        <v/>
      </c>
    </row>
    <row r="40431" spans="8:8" x14ac:dyDescent="0.3">
      <c r="H40431" t="str">
        <f t="shared" si="681"/>
        <v/>
      </c>
    </row>
    <row r="40432" spans="8:8" x14ac:dyDescent="0.3">
      <c r="H40432" t="str">
        <f t="shared" si="681"/>
        <v/>
      </c>
    </row>
    <row r="40433" spans="8:8" x14ac:dyDescent="0.3">
      <c r="H40433" t="str">
        <f t="shared" si="681"/>
        <v/>
      </c>
    </row>
    <row r="40434" spans="8:8" x14ac:dyDescent="0.3">
      <c r="H40434" t="str">
        <f t="shared" si="681"/>
        <v/>
      </c>
    </row>
    <row r="40435" spans="8:8" x14ac:dyDescent="0.3">
      <c r="H40435" t="str">
        <f t="shared" si="681"/>
        <v/>
      </c>
    </row>
    <row r="40436" spans="8:8" x14ac:dyDescent="0.3">
      <c r="H40436" t="str">
        <f t="shared" si="681"/>
        <v/>
      </c>
    </row>
    <row r="40437" spans="8:8" x14ac:dyDescent="0.3">
      <c r="H40437" t="str">
        <f t="shared" si="681"/>
        <v/>
      </c>
    </row>
    <row r="40438" spans="8:8" x14ac:dyDescent="0.3">
      <c r="H40438" t="str">
        <f t="shared" si="681"/>
        <v/>
      </c>
    </row>
    <row r="40439" spans="8:8" x14ac:dyDescent="0.3">
      <c r="H40439" t="str">
        <f t="shared" si="681"/>
        <v/>
      </c>
    </row>
    <row r="40440" spans="8:8" x14ac:dyDescent="0.3">
      <c r="H40440" t="str">
        <f t="shared" si="681"/>
        <v/>
      </c>
    </row>
    <row r="40441" spans="8:8" x14ac:dyDescent="0.3">
      <c r="H40441" t="str">
        <f t="shared" si="681"/>
        <v/>
      </c>
    </row>
    <row r="40442" spans="8:8" x14ac:dyDescent="0.3">
      <c r="H40442" t="str">
        <f t="shared" si="681"/>
        <v/>
      </c>
    </row>
    <row r="40443" spans="8:8" x14ac:dyDescent="0.3">
      <c r="H40443" t="str">
        <f t="shared" si="681"/>
        <v/>
      </c>
    </row>
    <row r="40444" spans="8:8" x14ac:dyDescent="0.3">
      <c r="H40444" t="str">
        <f t="shared" si="681"/>
        <v/>
      </c>
    </row>
    <row r="40445" spans="8:8" x14ac:dyDescent="0.3">
      <c r="H40445" t="str">
        <f t="shared" si="681"/>
        <v/>
      </c>
    </row>
    <row r="40446" spans="8:8" x14ac:dyDescent="0.3">
      <c r="H40446" t="str">
        <f t="shared" si="681"/>
        <v/>
      </c>
    </row>
    <row r="40447" spans="8:8" x14ac:dyDescent="0.3">
      <c r="H40447" t="str">
        <f t="shared" si="681"/>
        <v/>
      </c>
    </row>
    <row r="40448" spans="8:8" x14ac:dyDescent="0.3">
      <c r="H40448" t="str">
        <f t="shared" si="681"/>
        <v/>
      </c>
    </row>
    <row r="40449" spans="8:8" x14ac:dyDescent="0.3">
      <c r="H40449" t="str">
        <f t="shared" si="681"/>
        <v/>
      </c>
    </row>
    <row r="40450" spans="8:8" x14ac:dyDescent="0.3">
      <c r="H40450" t="str">
        <f t="shared" si="681"/>
        <v/>
      </c>
    </row>
    <row r="40451" spans="8:8" x14ac:dyDescent="0.3">
      <c r="H40451" t="str">
        <f t="shared" si="681"/>
        <v/>
      </c>
    </row>
    <row r="40452" spans="8:8" x14ac:dyDescent="0.3">
      <c r="H40452" t="str">
        <f t="shared" si="681"/>
        <v/>
      </c>
    </row>
    <row r="40453" spans="8:8" x14ac:dyDescent="0.3">
      <c r="H40453" t="str">
        <f t="shared" si="681"/>
        <v/>
      </c>
    </row>
    <row r="40454" spans="8:8" x14ac:dyDescent="0.3">
      <c r="H40454" t="str">
        <f t="shared" si="681"/>
        <v/>
      </c>
    </row>
    <row r="40455" spans="8:8" x14ac:dyDescent="0.3">
      <c r="H40455" t="str">
        <f t="shared" si="681"/>
        <v/>
      </c>
    </row>
    <row r="40456" spans="8:8" x14ac:dyDescent="0.3">
      <c r="H40456" t="str">
        <f t="shared" si="681"/>
        <v/>
      </c>
    </row>
    <row r="40457" spans="8:8" x14ac:dyDescent="0.3">
      <c r="H40457" t="str">
        <f t="shared" si="681"/>
        <v/>
      </c>
    </row>
    <row r="40458" spans="8:8" x14ac:dyDescent="0.3">
      <c r="H40458" t="str">
        <f t="shared" si="681"/>
        <v/>
      </c>
    </row>
    <row r="40459" spans="8:8" x14ac:dyDescent="0.3">
      <c r="H40459" t="str">
        <f t="shared" si="681"/>
        <v/>
      </c>
    </row>
    <row r="40460" spans="8:8" x14ac:dyDescent="0.3">
      <c r="H40460" t="str">
        <f t="shared" si="681"/>
        <v/>
      </c>
    </row>
    <row r="40461" spans="8:8" x14ac:dyDescent="0.3">
      <c r="H40461" t="str">
        <f t="shared" si="681"/>
        <v/>
      </c>
    </row>
    <row r="40462" spans="8:8" x14ac:dyDescent="0.3">
      <c r="H40462" t="str">
        <f t="shared" si="681"/>
        <v/>
      </c>
    </row>
    <row r="40463" spans="8:8" x14ac:dyDescent="0.3">
      <c r="H40463" t="str">
        <f t="shared" si="681"/>
        <v/>
      </c>
    </row>
    <row r="40464" spans="8:8" x14ac:dyDescent="0.3">
      <c r="H40464" t="str">
        <f t="shared" si="681"/>
        <v/>
      </c>
    </row>
    <row r="40465" spans="8:8" x14ac:dyDescent="0.3">
      <c r="H40465" t="str">
        <f t="shared" si="681"/>
        <v/>
      </c>
    </row>
    <row r="40466" spans="8:8" x14ac:dyDescent="0.3">
      <c r="H40466" t="str">
        <f t="shared" si="681"/>
        <v/>
      </c>
    </row>
    <row r="40467" spans="8:8" x14ac:dyDescent="0.3">
      <c r="H40467" t="str">
        <f t="shared" si="681"/>
        <v/>
      </c>
    </row>
    <row r="40468" spans="8:8" x14ac:dyDescent="0.3">
      <c r="H40468" t="str">
        <f t="shared" si="681"/>
        <v/>
      </c>
    </row>
    <row r="40469" spans="8:8" x14ac:dyDescent="0.3">
      <c r="H40469" t="str">
        <f t="shared" si="681"/>
        <v/>
      </c>
    </row>
    <row r="40470" spans="8:8" x14ac:dyDescent="0.3">
      <c r="H40470" t="str">
        <f t="shared" si="681"/>
        <v/>
      </c>
    </row>
    <row r="40471" spans="8:8" x14ac:dyDescent="0.3">
      <c r="H40471" t="str">
        <f t="shared" ref="H40471:H40534" si="682">IF(B40471="","",$C$12)</f>
        <v/>
      </c>
    </row>
    <row r="40472" spans="8:8" x14ac:dyDescent="0.3">
      <c r="H40472" t="str">
        <f t="shared" si="682"/>
        <v/>
      </c>
    </row>
    <row r="40473" spans="8:8" x14ac:dyDescent="0.3">
      <c r="H40473" t="str">
        <f t="shared" si="682"/>
        <v/>
      </c>
    </row>
    <row r="40474" spans="8:8" x14ac:dyDescent="0.3">
      <c r="H40474" t="str">
        <f t="shared" si="682"/>
        <v/>
      </c>
    </row>
    <row r="40475" spans="8:8" x14ac:dyDescent="0.3">
      <c r="H40475" t="str">
        <f t="shared" si="682"/>
        <v/>
      </c>
    </row>
    <row r="40476" spans="8:8" x14ac:dyDescent="0.3">
      <c r="H40476" t="str">
        <f t="shared" si="682"/>
        <v/>
      </c>
    </row>
    <row r="40477" spans="8:8" x14ac:dyDescent="0.3">
      <c r="H40477" t="str">
        <f t="shared" si="682"/>
        <v/>
      </c>
    </row>
    <row r="40478" spans="8:8" x14ac:dyDescent="0.3">
      <c r="H40478" t="str">
        <f t="shared" si="682"/>
        <v/>
      </c>
    </row>
    <row r="40479" spans="8:8" x14ac:dyDescent="0.3">
      <c r="H40479" t="str">
        <f t="shared" si="682"/>
        <v/>
      </c>
    </row>
    <row r="40480" spans="8:8" x14ac:dyDescent="0.3">
      <c r="H40480" t="str">
        <f t="shared" si="682"/>
        <v/>
      </c>
    </row>
    <row r="40481" spans="8:8" x14ac:dyDescent="0.3">
      <c r="H40481" t="str">
        <f t="shared" si="682"/>
        <v/>
      </c>
    </row>
    <row r="40482" spans="8:8" x14ac:dyDescent="0.3">
      <c r="H40482" t="str">
        <f t="shared" si="682"/>
        <v/>
      </c>
    </row>
    <row r="40483" spans="8:8" x14ac:dyDescent="0.3">
      <c r="H40483" t="str">
        <f t="shared" si="682"/>
        <v/>
      </c>
    </row>
    <row r="40484" spans="8:8" x14ac:dyDescent="0.3">
      <c r="H40484" t="str">
        <f t="shared" si="682"/>
        <v/>
      </c>
    </row>
    <row r="40485" spans="8:8" x14ac:dyDescent="0.3">
      <c r="H40485" t="str">
        <f t="shared" si="682"/>
        <v/>
      </c>
    </row>
    <row r="40486" spans="8:8" x14ac:dyDescent="0.3">
      <c r="H40486" t="str">
        <f t="shared" si="682"/>
        <v/>
      </c>
    </row>
    <row r="40487" spans="8:8" x14ac:dyDescent="0.3">
      <c r="H40487" t="str">
        <f t="shared" si="682"/>
        <v/>
      </c>
    </row>
    <row r="40488" spans="8:8" x14ac:dyDescent="0.3">
      <c r="H40488" t="str">
        <f t="shared" si="682"/>
        <v/>
      </c>
    </row>
    <row r="40489" spans="8:8" x14ac:dyDescent="0.3">
      <c r="H40489" t="str">
        <f t="shared" si="682"/>
        <v/>
      </c>
    </row>
    <row r="40490" spans="8:8" x14ac:dyDescent="0.3">
      <c r="H40490" t="str">
        <f t="shared" si="682"/>
        <v/>
      </c>
    </row>
    <row r="40491" spans="8:8" x14ac:dyDescent="0.3">
      <c r="H40491" t="str">
        <f t="shared" si="682"/>
        <v/>
      </c>
    </row>
    <row r="40492" spans="8:8" x14ac:dyDescent="0.3">
      <c r="H40492" t="str">
        <f t="shared" si="682"/>
        <v/>
      </c>
    </row>
    <row r="40493" spans="8:8" x14ac:dyDescent="0.3">
      <c r="H40493" t="str">
        <f t="shared" si="682"/>
        <v/>
      </c>
    </row>
    <row r="40494" spans="8:8" x14ac:dyDescent="0.3">
      <c r="H40494" t="str">
        <f t="shared" si="682"/>
        <v/>
      </c>
    </row>
    <row r="40495" spans="8:8" x14ac:dyDescent="0.3">
      <c r="H40495" t="str">
        <f t="shared" si="682"/>
        <v/>
      </c>
    </row>
    <row r="40496" spans="8:8" x14ac:dyDescent="0.3">
      <c r="H40496" t="str">
        <f t="shared" si="682"/>
        <v/>
      </c>
    </row>
    <row r="40497" spans="8:8" x14ac:dyDescent="0.3">
      <c r="H40497" t="str">
        <f t="shared" si="682"/>
        <v/>
      </c>
    </row>
    <row r="40498" spans="8:8" x14ac:dyDescent="0.3">
      <c r="H40498" t="str">
        <f t="shared" si="682"/>
        <v/>
      </c>
    </row>
    <row r="40499" spans="8:8" x14ac:dyDescent="0.3">
      <c r="H40499" t="str">
        <f t="shared" si="682"/>
        <v/>
      </c>
    </row>
    <row r="40500" spans="8:8" x14ac:dyDescent="0.3">
      <c r="H40500" t="str">
        <f t="shared" si="682"/>
        <v/>
      </c>
    </row>
    <row r="40501" spans="8:8" x14ac:dyDescent="0.3">
      <c r="H40501" t="str">
        <f t="shared" si="682"/>
        <v/>
      </c>
    </row>
    <row r="40502" spans="8:8" x14ac:dyDescent="0.3">
      <c r="H40502" t="str">
        <f t="shared" si="682"/>
        <v/>
      </c>
    </row>
    <row r="40503" spans="8:8" x14ac:dyDescent="0.3">
      <c r="H40503" t="str">
        <f t="shared" si="682"/>
        <v/>
      </c>
    </row>
    <row r="40504" spans="8:8" x14ac:dyDescent="0.3">
      <c r="H40504" t="str">
        <f t="shared" si="682"/>
        <v/>
      </c>
    </row>
    <row r="40505" spans="8:8" x14ac:dyDescent="0.3">
      <c r="H40505" t="str">
        <f t="shared" si="682"/>
        <v/>
      </c>
    </row>
    <row r="40506" spans="8:8" x14ac:dyDescent="0.3">
      <c r="H40506" t="str">
        <f t="shared" si="682"/>
        <v/>
      </c>
    </row>
    <row r="40507" spans="8:8" x14ac:dyDescent="0.3">
      <c r="H40507" t="str">
        <f t="shared" si="682"/>
        <v/>
      </c>
    </row>
    <row r="40508" spans="8:8" x14ac:dyDescent="0.3">
      <c r="H40508" t="str">
        <f t="shared" si="682"/>
        <v/>
      </c>
    </row>
    <row r="40509" spans="8:8" x14ac:dyDescent="0.3">
      <c r="H40509" t="str">
        <f t="shared" si="682"/>
        <v/>
      </c>
    </row>
    <row r="40510" spans="8:8" x14ac:dyDescent="0.3">
      <c r="H40510" t="str">
        <f t="shared" si="682"/>
        <v/>
      </c>
    </row>
    <row r="40511" spans="8:8" x14ac:dyDescent="0.3">
      <c r="H40511" t="str">
        <f t="shared" si="682"/>
        <v/>
      </c>
    </row>
    <row r="40512" spans="8:8" x14ac:dyDescent="0.3">
      <c r="H40512" t="str">
        <f t="shared" si="682"/>
        <v/>
      </c>
    </row>
    <row r="40513" spans="8:8" x14ac:dyDescent="0.3">
      <c r="H40513" t="str">
        <f t="shared" si="682"/>
        <v/>
      </c>
    </row>
    <row r="40514" spans="8:8" x14ac:dyDescent="0.3">
      <c r="H40514" t="str">
        <f t="shared" si="682"/>
        <v/>
      </c>
    </row>
    <row r="40515" spans="8:8" x14ac:dyDescent="0.3">
      <c r="H40515" t="str">
        <f t="shared" si="682"/>
        <v/>
      </c>
    </row>
    <row r="40516" spans="8:8" x14ac:dyDescent="0.3">
      <c r="H40516" t="str">
        <f t="shared" si="682"/>
        <v/>
      </c>
    </row>
    <row r="40517" spans="8:8" x14ac:dyDescent="0.3">
      <c r="H40517" t="str">
        <f t="shared" si="682"/>
        <v/>
      </c>
    </row>
    <row r="40518" spans="8:8" x14ac:dyDescent="0.3">
      <c r="H40518" t="str">
        <f t="shared" si="682"/>
        <v/>
      </c>
    </row>
    <row r="40519" spans="8:8" x14ac:dyDescent="0.3">
      <c r="H40519" t="str">
        <f t="shared" si="682"/>
        <v/>
      </c>
    </row>
    <row r="40520" spans="8:8" x14ac:dyDescent="0.3">
      <c r="H40520" t="str">
        <f t="shared" si="682"/>
        <v/>
      </c>
    </row>
    <row r="40521" spans="8:8" x14ac:dyDescent="0.3">
      <c r="H40521" t="str">
        <f t="shared" si="682"/>
        <v/>
      </c>
    </row>
    <row r="40522" spans="8:8" x14ac:dyDescent="0.3">
      <c r="H40522" t="str">
        <f t="shared" si="682"/>
        <v/>
      </c>
    </row>
    <row r="40523" spans="8:8" x14ac:dyDescent="0.3">
      <c r="H40523" t="str">
        <f t="shared" si="682"/>
        <v/>
      </c>
    </row>
    <row r="40524" spans="8:8" x14ac:dyDescent="0.3">
      <c r="H40524" t="str">
        <f t="shared" si="682"/>
        <v/>
      </c>
    </row>
    <row r="40525" spans="8:8" x14ac:dyDescent="0.3">
      <c r="H40525" t="str">
        <f t="shared" si="682"/>
        <v/>
      </c>
    </row>
    <row r="40526" spans="8:8" x14ac:dyDescent="0.3">
      <c r="H40526" t="str">
        <f t="shared" si="682"/>
        <v/>
      </c>
    </row>
    <row r="40527" spans="8:8" x14ac:dyDescent="0.3">
      <c r="H40527" t="str">
        <f t="shared" si="682"/>
        <v/>
      </c>
    </row>
    <row r="40528" spans="8:8" x14ac:dyDescent="0.3">
      <c r="H40528" t="str">
        <f t="shared" si="682"/>
        <v/>
      </c>
    </row>
    <row r="40529" spans="8:8" x14ac:dyDescent="0.3">
      <c r="H40529" t="str">
        <f t="shared" si="682"/>
        <v/>
      </c>
    </row>
    <row r="40530" spans="8:8" x14ac:dyDescent="0.3">
      <c r="H40530" t="str">
        <f t="shared" si="682"/>
        <v/>
      </c>
    </row>
    <row r="40531" spans="8:8" x14ac:dyDescent="0.3">
      <c r="H40531" t="str">
        <f t="shared" si="682"/>
        <v/>
      </c>
    </row>
    <row r="40532" spans="8:8" x14ac:dyDescent="0.3">
      <c r="H40532" t="str">
        <f t="shared" si="682"/>
        <v/>
      </c>
    </row>
    <row r="40533" spans="8:8" x14ac:dyDescent="0.3">
      <c r="H40533" t="str">
        <f t="shared" si="682"/>
        <v/>
      </c>
    </row>
    <row r="40534" spans="8:8" x14ac:dyDescent="0.3">
      <c r="H40534" t="str">
        <f t="shared" si="682"/>
        <v/>
      </c>
    </row>
    <row r="40535" spans="8:8" x14ac:dyDescent="0.3">
      <c r="H40535" t="str">
        <f t="shared" ref="H40535:H40598" si="683">IF(B40535="","",$C$12)</f>
        <v/>
      </c>
    </row>
    <row r="40536" spans="8:8" x14ac:dyDescent="0.3">
      <c r="H40536" t="str">
        <f t="shared" si="683"/>
        <v/>
      </c>
    </row>
    <row r="40537" spans="8:8" x14ac:dyDescent="0.3">
      <c r="H40537" t="str">
        <f t="shared" si="683"/>
        <v/>
      </c>
    </row>
    <row r="40538" spans="8:8" x14ac:dyDescent="0.3">
      <c r="H40538" t="str">
        <f t="shared" si="683"/>
        <v/>
      </c>
    </row>
    <row r="40539" spans="8:8" x14ac:dyDescent="0.3">
      <c r="H40539" t="str">
        <f t="shared" si="683"/>
        <v/>
      </c>
    </row>
    <row r="40540" spans="8:8" x14ac:dyDescent="0.3">
      <c r="H40540" t="str">
        <f t="shared" si="683"/>
        <v/>
      </c>
    </row>
    <row r="40541" spans="8:8" x14ac:dyDescent="0.3">
      <c r="H40541" t="str">
        <f t="shared" si="683"/>
        <v/>
      </c>
    </row>
    <row r="40542" spans="8:8" x14ac:dyDescent="0.3">
      <c r="H40542" t="str">
        <f t="shared" si="683"/>
        <v/>
      </c>
    </row>
    <row r="40543" spans="8:8" x14ac:dyDescent="0.3">
      <c r="H40543" t="str">
        <f t="shared" si="683"/>
        <v/>
      </c>
    </row>
    <row r="40544" spans="8:8" x14ac:dyDescent="0.3">
      <c r="H40544" t="str">
        <f t="shared" si="683"/>
        <v/>
      </c>
    </row>
    <row r="40545" spans="8:8" x14ac:dyDescent="0.3">
      <c r="H40545" t="str">
        <f t="shared" si="683"/>
        <v/>
      </c>
    </row>
    <row r="40546" spans="8:8" x14ac:dyDescent="0.3">
      <c r="H40546" t="str">
        <f t="shared" si="683"/>
        <v/>
      </c>
    </row>
    <row r="40547" spans="8:8" x14ac:dyDescent="0.3">
      <c r="H40547" t="str">
        <f t="shared" si="683"/>
        <v/>
      </c>
    </row>
    <row r="40548" spans="8:8" x14ac:dyDescent="0.3">
      <c r="H40548" t="str">
        <f t="shared" si="683"/>
        <v/>
      </c>
    </row>
    <row r="40549" spans="8:8" x14ac:dyDescent="0.3">
      <c r="H40549" t="str">
        <f t="shared" si="683"/>
        <v/>
      </c>
    </row>
    <row r="40550" spans="8:8" x14ac:dyDescent="0.3">
      <c r="H40550" t="str">
        <f t="shared" si="683"/>
        <v/>
      </c>
    </row>
    <row r="40551" spans="8:8" x14ac:dyDescent="0.3">
      <c r="H40551" t="str">
        <f t="shared" si="683"/>
        <v/>
      </c>
    </row>
    <row r="40552" spans="8:8" x14ac:dyDescent="0.3">
      <c r="H40552" t="str">
        <f t="shared" si="683"/>
        <v/>
      </c>
    </row>
    <row r="40553" spans="8:8" x14ac:dyDescent="0.3">
      <c r="H40553" t="str">
        <f t="shared" si="683"/>
        <v/>
      </c>
    </row>
    <row r="40554" spans="8:8" x14ac:dyDescent="0.3">
      <c r="H40554" t="str">
        <f t="shared" si="683"/>
        <v/>
      </c>
    </row>
    <row r="40555" spans="8:8" x14ac:dyDescent="0.3">
      <c r="H40555" t="str">
        <f t="shared" si="683"/>
        <v/>
      </c>
    </row>
    <row r="40556" spans="8:8" x14ac:dyDescent="0.3">
      <c r="H40556" t="str">
        <f t="shared" si="683"/>
        <v/>
      </c>
    </row>
    <row r="40557" spans="8:8" x14ac:dyDescent="0.3">
      <c r="H40557" t="str">
        <f t="shared" si="683"/>
        <v/>
      </c>
    </row>
    <row r="40558" spans="8:8" x14ac:dyDescent="0.3">
      <c r="H40558" t="str">
        <f t="shared" si="683"/>
        <v/>
      </c>
    </row>
    <row r="40559" spans="8:8" x14ac:dyDescent="0.3">
      <c r="H40559" t="str">
        <f t="shared" si="683"/>
        <v/>
      </c>
    </row>
    <row r="40560" spans="8:8" x14ac:dyDescent="0.3">
      <c r="H40560" t="str">
        <f t="shared" si="683"/>
        <v/>
      </c>
    </row>
    <row r="40561" spans="8:8" x14ac:dyDescent="0.3">
      <c r="H40561" t="str">
        <f t="shared" si="683"/>
        <v/>
      </c>
    </row>
    <row r="40562" spans="8:8" x14ac:dyDescent="0.3">
      <c r="H40562" t="str">
        <f t="shared" si="683"/>
        <v/>
      </c>
    </row>
    <row r="40563" spans="8:8" x14ac:dyDescent="0.3">
      <c r="H40563" t="str">
        <f t="shared" si="683"/>
        <v/>
      </c>
    </row>
    <row r="40564" spans="8:8" x14ac:dyDescent="0.3">
      <c r="H40564" t="str">
        <f t="shared" si="683"/>
        <v/>
      </c>
    </row>
    <row r="40565" spans="8:8" x14ac:dyDescent="0.3">
      <c r="H40565" t="str">
        <f t="shared" si="683"/>
        <v/>
      </c>
    </row>
    <row r="40566" spans="8:8" x14ac:dyDescent="0.3">
      <c r="H40566" t="str">
        <f t="shared" si="683"/>
        <v/>
      </c>
    </row>
    <row r="40567" spans="8:8" x14ac:dyDescent="0.3">
      <c r="H40567" t="str">
        <f t="shared" si="683"/>
        <v/>
      </c>
    </row>
    <row r="40568" spans="8:8" x14ac:dyDescent="0.3">
      <c r="H40568" t="str">
        <f t="shared" si="683"/>
        <v/>
      </c>
    </row>
    <row r="40569" spans="8:8" x14ac:dyDescent="0.3">
      <c r="H40569" t="str">
        <f t="shared" si="683"/>
        <v/>
      </c>
    </row>
    <row r="40570" spans="8:8" x14ac:dyDescent="0.3">
      <c r="H40570" t="str">
        <f t="shared" si="683"/>
        <v/>
      </c>
    </row>
    <row r="40571" spans="8:8" x14ac:dyDescent="0.3">
      <c r="H40571" t="str">
        <f t="shared" si="683"/>
        <v/>
      </c>
    </row>
    <row r="40572" spans="8:8" x14ac:dyDescent="0.3">
      <c r="H40572" t="str">
        <f t="shared" si="683"/>
        <v/>
      </c>
    </row>
    <row r="40573" spans="8:8" x14ac:dyDescent="0.3">
      <c r="H40573" t="str">
        <f t="shared" si="683"/>
        <v/>
      </c>
    </row>
    <row r="40574" spans="8:8" x14ac:dyDescent="0.3">
      <c r="H40574" t="str">
        <f t="shared" si="683"/>
        <v/>
      </c>
    </row>
    <row r="40575" spans="8:8" x14ac:dyDescent="0.3">
      <c r="H40575" t="str">
        <f t="shared" si="683"/>
        <v/>
      </c>
    </row>
    <row r="40576" spans="8:8" x14ac:dyDescent="0.3">
      <c r="H40576" t="str">
        <f t="shared" si="683"/>
        <v/>
      </c>
    </row>
    <row r="40577" spans="8:8" x14ac:dyDescent="0.3">
      <c r="H40577" t="str">
        <f t="shared" si="683"/>
        <v/>
      </c>
    </row>
    <row r="40578" spans="8:8" x14ac:dyDescent="0.3">
      <c r="H40578" t="str">
        <f t="shared" si="683"/>
        <v/>
      </c>
    </row>
    <row r="40579" spans="8:8" x14ac:dyDescent="0.3">
      <c r="H40579" t="str">
        <f t="shared" si="683"/>
        <v/>
      </c>
    </row>
    <row r="40580" spans="8:8" x14ac:dyDescent="0.3">
      <c r="H40580" t="str">
        <f t="shared" si="683"/>
        <v/>
      </c>
    </row>
    <row r="40581" spans="8:8" x14ac:dyDescent="0.3">
      <c r="H40581" t="str">
        <f t="shared" si="683"/>
        <v/>
      </c>
    </row>
    <row r="40582" spans="8:8" x14ac:dyDescent="0.3">
      <c r="H40582" t="str">
        <f t="shared" si="683"/>
        <v/>
      </c>
    </row>
    <row r="40583" spans="8:8" x14ac:dyDescent="0.3">
      <c r="H40583" t="str">
        <f t="shared" si="683"/>
        <v/>
      </c>
    </row>
    <row r="40584" spans="8:8" x14ac:dyDescent="0.3">
      <c r="H40584" t="str">
        <f t="shared" si="683"/>
        <v/>
      </c>
    </row>
    <row r="40585" spans="8:8" x14ac:dyDescent="0.3">
      <c r="H40585" t="str">
        <f t="shared" si="683"/>
        <v/>
      </c>
    </row>
    <row r="40586" spans="8:8" x14ac:dyDescent="0.3">
      <c r="H40586" t="str">
        <f t="shared" si="683"/>
        <v/>
      </c>
    </row>
    <row r="40587" spans="8:8" x14ac:dyDescent="0.3">
      <c r="H40587" t="str">
        <f t="shared" si="683"/>
        <v/>
      </c>
    </row>
    <row r="40588" spans="8:8" x14ac:dyDescent="0.3">
      <c r="H40588" t="str">
        <f t="shared" si="683"/>
        <v/>
      </c>
    </row>
    <row r="40589" spans="8:8" x14ac:dyDescent="0.3">
      <c r="H40589" t="str">
        <f t="shared" si="683"/>
        <v/>
      </c>
    </row>
    <row r="40590" spans="8:8" x14ac:dyDescent="0.3">
      <c r="H40590" t="str">
        <f t="shared" si="683"/>
        <v/>
      </c>
    </row>
    <row r="40591" spans="8:8" x14ac:dyDescent="0.3">
      <c r="H40591" t="str">
        <f t="shared" si="683"/>
        <v/>
      </c>
    </row>
    <row r="40592" spans="8:8" x14ac:dyDescent="0.3">
      <c r="H40592" t="str">
        <f t="shared" si="683"/>
        <v/>
      </c>
    </row>
    <row r="40593" spans="8:8" x14ac:dyDescent="0.3">
      <c r="H40593" t="str">
        <f t="shared" si="683"/>
        <v/>
      </c>
    </row>
    <row r="40594" spans="8:8" x14ac:dyDescent="0.3">
      <c r="H40594" t="str">
        <f t="shared" si="683"/>
        <v/>
      </c>
    </row>
    <row r="40595" spans="8:8" x14ac:dyDescent="0.3">
      <c r="H40595" t="str">
        <f t="shared" si="683"/>
        <v/>
      </c>
    </row>
    <row r="40596" spans="8:8" x14ac:dyDescent="0.3">
      <c r="H40596" t="str">
        <f t="shared" si="683"/>
        <v/>
      </c>
    </row>
    <row r="40597" spans="8:8" x14ac:dyDescent="0.3">
      <c r="H40597" t="str">
        <f t="shared" si="683"/>
        <v/>
      </c>
    </row>
    <row r="40598" spans="8:8" x14ac:dyDescent="0.3">
      <c r="H40598" t="str">
        <f t="shared" si="683"/>
        <v/>
      </c>
    </row>
    <row r="40599" spans="8:8" x14ac:dyDescent="0.3">
      <c r="H40599" t="str">
        <f t="shared" ref="H40599:H40662" si="684">IF(B40599="","",$C$12)</f>
        <v/>
      </c>
    </row>
    <row r="40600" spans="8:8" x14ac:dyDescent="0.3">
      <c r="H40600" t="str">
        <f t="shared" si="684"/>
        <v/>
      </c>
    </row>
    <row r="40601" spans="8:8" x14ac:dyDescent="0.3">
      <c r="H40601" t="str">
        <f t="shared" si="684"/>
        <v/>
      </c>
    </row>
    <row r="40602" spans="8:8" x14ac:dyDescent="0.3">
      <c r="H40602" t="str">
        <f t="shared" si="684"/>
        <v/>
      </c>
    </row>
    <row r="40603" spans="8:8" x14ac:dyDescent="0.3">
      <c r="H40603" t="str">
        <f t="shared" si="684"/>
        <v/>
      </c>
    </row>
    <row r="40604" spans="8:8" x14ac:dyDescent="0.3">
      <c r="H40604" t="str">
        <f t="shared" si="684"/>
        <v/>
      </c>
    </row>
    <row r="40605" spans="8:8" x14ac:dyDescent="0.3">
      <c r="H40605" t="str">
        <f t="shared" si="684"/>
        <v/>
      </c>
    </row>
    <row r="40606" spans="8:8" x14ac:dyDescent="0.3">
      <c r="H40606" t="str">
        <f t="shared" si="684"/>
        <v/>
      </c>
    </row>
    <row r="40607" spans="8:8" x14ac:dyDescent="0.3">
      <c r="H40607" t="str">
        <f t="shared" si="684"/>
        <v/>
      </c>
    </row>
    <row r="40608" spans="8:8" x14ac:dyDescent="0.3">
      <c r="H40608" t="str">
        <f t="shared" si="684"/>
        <v/>
      </c>
    </row>
    <row r="40609" spans="8:8" x14ac:dyDescent="0.3">
      <c r="H40609" t="str">
        <f t="shared" si="684"/>
        <v/>
      </c>
    </row>
    <row r="40610" spans="8:8" x14ac:dyDescent="0.3">
      <c r="H40610" t="str">
        <f t="shared" si="684"/>
        <v/>
      </c>
    </row>
    <row r="40611" spans="8:8" x14ac:dyDescent="0.3">
      <c r="H40611" t="str">
        <f t="shared" si="684"/>
        <v/>
      </c>
    </row>
    <row r="40612" spans="8:8" x14ac:dyDescent="0.3">
      <c r="H40612" t="str">
        <f t="shared" si="684"/>
        <v/>
      </c>
    </row>
    <row r="40613" spans="8:8" x14ac:dyDescent="0.3">
      <c r="H40613" t="str">
        <f t="shared" si="684"/>
        <v/>
      </c>
    </row>
    <row r="40614" spans="8:8" x14ac:dyDescent="0.3">
      <c r="H40614" t="str">
        <f t="shared" si="684"/>
        <v/>
      </c>
    </row>
    <row r="40615" spans="8:8" x14ac:dyDescent="0.3">
      <c r="H40615" t="str">
        <f t="shared" si="684"/>
        <v/>
      </c>
    </row>
    <row r="40616" spans="8:8" x14ac:dyDescent="0.3">
      <c r="H40616" t="str">
        <f t="shared" si="684"/>
        <v/>
      </c>
    </row>
    <row r="40617" spans="8:8" x14ac:dyDescent="0.3">
      <c r="H40617" t="str">
        <f t="shared" si="684"/>
        <v/>
      </c>
    </row>
    <row r="40618" spans="8:8" x14ac:dyDescent="0.3">
      <c r="H40618" t="str">
        <f t="shared" si="684"/>
        <v/>
      </c>
    </row>
    <row r="40619" spans="8:8" x14ac:dyDescent="0.3">
      <c r="H40619" t="str">
        <f t="shared" si="684"/>
        <v/>
      </c>
    </row>
    <row r="40620" spans="8:8" x14ac:dyDescent="0.3">
      <c r="H40620" t="str">
        <f t="shared" si="684"/>
        <v/>
      </c>
    </row>
    <row r="40621" spans="8:8" x14ac:dyDescent="0.3">
      <c r="H40621" t="str">
        <f t="shared" si="684"/>
        <v/>
      </c>
    </row>
    <row r="40622" spans="8:8" x14ac:dyDescent="0.3">
      <c r="H40622" t="str">
        <f t="shared" si="684"/>
        <v/>
      </c>
    </row>
    <row r="40623" spans="8:8" x14ac:dyDescent="0.3">
      <c r="H40623" t="str">
        <f t="shared" si="684"/>
        <v/>
      </c>
    </row>
    <row r="40624" spans="8:8" x14ac:dyDescent="0.3">
      <c r="H40624" t="str">
        <f t="shared" si="684"/>
        <v/>
      </c>
    </row>
    <row r="40625" spans="8:8" x14ac:dyDescent="0.3">
      <c r="H40625" t="str">
        <f t="shared" si="684"/>
        <v/>
      </c>
    </row>
    <row r="40626" spans="8:8" x14ac:dyDescent="0.3">
      <c r="H40626" t="str">
        <f t="shared" si="684"/>
        <v/>
      </c>
    </row>
    <row r="40627" spans="8:8" x14ac:dyDescent="0.3">
      <c r="H40627" t="str">
        <f t="shared" si="684"/>
        <v/>
      </c>
    </row>
    <row r="40628" spans="8:8" x14ac:dyDescent="0.3">
      <c r="H40628" t="str">
        <f t="shared" si="684"/>
        <v/>
      </c>
    </row>
    <row r="40629" spans="8:8" x14ac:dyDescent="0.3">
      <c r="H40629" t="str">
        <f t="shared" si="684"/>
        <v/>
      </c>
    </row>
    <row r="40630" spans="8:8" x14ac:dyDescent="0.3">
      <c r="H40630" t="str">
        <f t="shared" si="684"/>
        <v/>
      </c>
    </row>
    <row r="40631" spans="8:8" x14ac:dyDescent="0.3">
      <c r="H40631" t="str">
        <f t="shared" si="684"/>
        <v/>
      </c>
    </row>
    <row r="40632" spans="8:8" x14ac:dyDescent="0.3">
      <c r="H40632" t="str">
        <f t="shared" si="684"/>
        <v/>
      </c>
    </row>
    <row r="40633" spans="8:8" x14ac:dyDescent="0.3">
      <c r="H40633" t="str">
        <f t="shared" si="684"/>
        <v/>
      </c>
    </row>
    <row r="40634" spans="8:8" x14ac:dyDescent="0.3">
      <c r="H40634" t="str">
        <f t="shared" si="684"/>
        <v/>
      </c>
    </row>
    <row r="40635" spans="8:8" x14ac:dyDescent="0.3">
      <c r="H40635" t="str">
        <f t="shared" si="684"/>
        <v/>
      </c>
    </row>
    <row r="40636" spans="8:8" x14ac:dyDescent="0.3">
      <c r="H40636" t="str">
        <f t="shared" si="684"/>
        <v/>
      </c>
    </row>
    <row r="40637" spans="8:8" x14ac:dyDescent="0.3">
      <c r="H40637" t="str">
        <f t="shared" si="684"/>
        <v/>
      </c>
    </row>
    <row r="40638" spans="8:8" x14ac:dyDescent="0.3">
      <c r="H40638" t="str">
        <f t="shared" si="684"/>
        <v/>
      </c>
    </row>
    <row r="40639" spans="8:8" x14ac:dyDescent="0.3">
      <c r="H40639" t="str">
        <f t="shared" si="684"/>
        <v/>
      </c>
    </row>
    <row r="40640" spans="8:8" x14ac:dyDescent="0.3">
      <c r="H40640" t="str">
        <f t="shared" si="684"/>
        <v/>
      </c>
    </row>
    <row r="40641" spans="8:8" x14ac:dyDescent="0.3">
      <c r="H40641" t="str">
        <f t="shared" si="684"/>
        <v/>
      </c>
    </row>
    <row r="40642" spans="8:8" x14ac:dyDescent="0.3">
      <c r="H40642" t="str">
        <f t="shared" si="684"/>
        <v/>
      </c>
    </row>
    <row r="40643" spans="8:8" x14ac:dyDescent="0.3">
      <c r="H40643" t="str">
        <f t="shared" si="684"/>
        <v/>
      </c>
    </row>
    <row r="40644" spans="8:8" x14ac:dyDescent="0.3">
      <c r="H40644" t="str">
        <f t="shared" si="684"/>
        <v/>
      </c>
    </row>
    <row r="40645" spans="8:8" x14ac:dyDescent="0.3">
      <c r="H40645" t="str">
        <f t="shared" si="684"/>
        <v/>
      </c>
    </row>
    <row r="40646" spans="8:8" x14ac:dyDescent="0.3">
      <c r="H40646" t="str">
        <f t="shared" si="684"/>
        <v/>
      </c>
    </row>
    <row r="40647" spans="8:8" x14ac:dyDescent="0.3">
      <c r="H40647" t="str">
        <f t="shared" si="684"/>
        <v/>
      </c>
    </row>
    <row r="40648" spans="8:8" x14ac:dyDescent="0.3">
      <c r="H40648" t="str">
        <f t="shared" si="684"/>
        <v/>
      </c>
    </row>
    <row r="40649" spans="8:8" x14ac:dyDescent="0.3">
      <c r="H40649" t="str">
        <f t="shared" si="684"/>
        <v/>
      </c>
    </row>
    <row r="40650" spans="8:8" x14ac:dyDescent="0.3">
      <c r="H40650" t="str">
        <f t="shared" si="684"/>
        <v/>
      </c>
    </row>
    <row r="40651" spans="8:8" x14ac:dyDescent="0.3">
      <c r="H40651" t="str">
        <f t="shared" si="684"/>
        <v/>
      </c>
    </row>
    <row r="40652" spans="8:8" x14ac:dyDescent="0.3">
      <c r="H40652" t="str">
        <f t="shared" si="684"/>
        <v/>
      </c>
    </row>
    <row r="40653" spans="8:8" x14ac:dyDescent="0.3">
      <c r="H40653" t="str">
        <f t="shared" si="684"/>
        <v/>
      </c>
    </row>
    <row r="40654" spans="8:8" x14ac:dyDescent="0.3">
      <c r="H40654" t="str">
        <f t="shared" si="684"/>
        <v/>
      </c>
    </row>
    <row r="40655" spans="8:8" x14ac:dyDescent="0.3">
      <c r="H40655" t="str">
        <f t="shared" si="684"/>
        <v/>
      </c>
    </row>
    <row r="40656" spans="8:8" x14ac:dyDescent="0.3">
      <c r="H40656" t="str">
        <f t="shared" si="684"/>
        <v/>
      </c>
    </row>
    <row r="40657" spans="8:8" x14ac:dyDescent="0.3">
      <c r="H40657" t="str">
        <f t="shared" si="684"/>
        <v/>
      </c>
    </row>
    <row r="40658" spans="8:8" x14ac:dyDescent="0.3">
      <c r="H40658" t="str">
        <f t="shared" si="684"/>
        <v/>
      </c>
    </row>
    <row r="40659" spans="8:8" x14ac:dyDescent="0.3">
      <c r="H40659" t="str">
        <f t="shared" si="684"/>
        <v/>
      </c>
    </row>
    <row r="40660" spans="8:8" x14ac:dyDescent="0.3">
      <c r="H40660" t="str">
        <f t="shared" si="684"/>
        <v/>
      </c>
    </row>
    <row r="40661" spans="8:8" x14ac:dyDescent="0.3">
      <c r="H40661" t="str">
        <f t="shared" si="684"/>
        <v/>
      </c>
    </row>
    <row r="40662" spans="8:8" x14ac:dyDescent="0.3">
      <c r="H40662" t="str">
        <f t="shared" si="684"/>
        <v/>
      </c>
    </row>
    <row r="40663" spans="8:8" x14ac:dyDescent="0.3">
      <c r="H40663" t="str">
        <f t="shared" ref="H40663:H40726" si="685">IF(B40663="","",$C$12)</f>
        <v/>
      </c>
    </row>
    <row r="40664" spans="8:8" x14ac:dyDescent="0.3">
      <c r="H40664" t="str">
        <f t="shared" si="685"/>
        <v/>
      </c>
    </row>
    <row r="40665" spans="8:8" x14ac:dyDescent="0.3">
      <c r="H40665" t="str">
        <f t="shared" si="685"/>
        <v/>
      </c>
    </row>
    <row r="40666" spans="8:8" x14ac:dyDescent="0.3">
      <c r="H40666" t="str">
        <f t="shared" si="685"/>
        <v/>
      </c>
    </row>
    <row r="40667" spans="8:8" x14ac:dyDescent="0.3">
      <c r="H40667" t="str">
        <f t="shared" si="685"/>
        <v/>
      </c>
    </row>
    <row r="40668" spans="8:8" x14ac:dyDescent="0.3">
      <c r="H40668" t="str">
        <f t="shared" si="685"/>
        <v/>
      </c>
    </row>
    <row r="40669" spans="8:8" x14ac:dyDescent="0.3">
      <c r="H40669" t="str">
        <f t="shared" si="685"/>
        <v/>
      </c>
    </row>
    <row r="40670" spans="8:8" x14ac:dyDescent="0.3">
      <c r="H40670" t="str">
        <f t="shared" si="685"/>
        <v/>
      </c>
    </row>
    <row r="40671" spans="8:8" x14ac:dyDescent="0.3">
      <c r="H40671" t="str">
        <f t="shared" si="685"/>
        <v/>
      </c>
    </row>
    <row r="40672" spans="8:8" x14ac:dyDescent="0.3">
      <c r="H40672" t="str">
        <f t="shared" si="685"/>
        <v/>
      </c>
    </row>
    <row r="40673" spans="8:8" x14ac:dyDescent="0.3">
      <c r="H40673" t="str">
        <f t="shared" si="685"/>
        <v/>
      </c>
    </row>
    <row r="40674" spans="8:8" x14ac:dyDescent="0.3">
      <c r="H40674" t="str">
        <f t="shared" si="685"/>
        <v/>
      </c>
    </row>
    <row r="40675" spans="8:8" x14ac:dyDescent="0.3">
      <c r="H40675" t="str">
        <f t="shared" si="685"/>
        <v/>
      </c>
    </row>
    <row r="40676" spans="8:8" x14ac:dyDescent="0.3">
      <c r="H40676" t="str">
        <f t="shared" si="685"/>
        <v/>
      </c>
    </row>
    <row r="40677" spans="8:8" x14ac:dyDescent="0.3">
      <c r="H40677" t="str">
        <f t="shared" si="685"/>
        <v/>
      </c>
    </row>
    <row r="40678" spans="8:8" x14ac:dyDescent="0.3">
      <c r="H40678" t="str">
        <f t="shared" si="685"/>
        <v/>
      </c>
    </row>
    <row r="40679" spans="8:8" x14ac:dyDescent="0.3">
      <c r="H40679" t="str">
        <f t="shared" si="685"/>
        <v/>
      </c>
    </row>
    <row r="40680" spans="8:8" x14ac:dyDescent="0.3">
      <c r="H40680" t="str">
        <f t="shared" si="685"/>
        <v/>
      </c>
    </row>
    <row r="40681" spans="8:8" x14ac:dyDescent="0.3">
      <c r="H40681" t="str">
        <f t="shared" si="685"/>
        <v/>
      </c>
    </row>
    <row r="40682" spans="8:8" x14ac:dyDescent="0.3">
      <c r="H40682" t="str">
        <f t="shared" si="685"/>
        <v/>
      </c>
    </row>
    <row r="40683" spans="8:8" x14ac:dyDescent="0.3">
      <c r="H40683" t="str">
        <f t="shared" si="685"/>
        <v/>
      </c>
    </row>
    <row r="40684" spans="8:8" x14ac:dyDescent="0.3">
      <c r="H40684" t="str">
        <f t="shared" si="685"/>
        <v/>
      </c>
    </row>
    <row r="40685" spans="8:8" x14ac:dyDescent="0.3">
      <c r="H40685" t="str">
        <f t="shared" si="685"/>
        <v/>
      </c>
    </row>
    <row r="40686" spans="8:8" x14ac:dyDescent="0.3">
      <c r="H40686" t="str">
        <f t="shared" si="685"/>
        <v/>
      </c>
    </row>
    <row r="40687" spans="8:8" x14ac:dyDescent="0.3">
      <c r="H40687" t="str">
        <f t="shared" si="685"/>
        <v/>
      </c>
    </row>
    <row r="40688" spans="8:8" x14ac:dyDescent="0.3">
      <c r="H40688" t="str">
        <f t="shared" si="685"/>
        <v/>
      </c>
    </row>
    <row r="40689" spans="8:8" x14ac:dyDescent="0.3">
      <c r="H40689" t="str">
        <f t="shared" si="685"/>
        <v/>
      </c>
    </row>
    <row r="40690" spans="8:8" x14ac:dyDescent="0.3">
      <c r="H40690" t="str">
        <f t="shared" si="685"/>
        <v/>
      </c>
    </row>
    <row r="40691" spans="8:8" x14ac:dyDescent="0.3">
      <c r="H40691" t="str">
        <f t="shared" si="685"/>
        <v/>
      </c>
    </row>
    <row r="40692" spans="8:8" x14ac:dyDescent="0.3">
      <c r="H40692" t="str">
        <f t="shared" si="685"/>
        <v/>
      </c>
    </row>
    <row r="40693" spans="8:8" x14ac:dyDescent="0.3">
      <c r="H40693" t="str">
        <f t="shared" si="685"/>
        <v/>
      </c>
    </row>
    <row r="40694" spans="8:8" x14ac:dyDescent="0.3">
      <c r="H40694" t="str">
        <f t="shared" si="685"/>
        <v/>
      </c>
    </row>
    <row r="40695" spans="8:8" x14ac:dyDescent="0.3">
      <c r="H40695" t="str">
        <f t="shared" si="685"/>
        <v/>
      </c>
    </row>
    <row r="40696" spans="8:8" x14ac:dyDescent="0.3">
      <c r="H40696" t="str">
        <f t="shared" si="685"/>
        <v/>
      </c>
    </row>
    <row r="40697" spans="8:8" x14ac:dyDescent="0.3">
      <c r="H40697" t="str">
        <f t="shared" si="685"/>
        <v/>
      </c>
    </row>
    <row r="40698" spans="8:8" x14ac:dyDescent="0.3">
      <c r="H40698" t="str">
        <f t="shared" si="685"/>
        <v/>
      </c>
    </row>
    <row r="40699" spans="8:8" x14ac:dyDescent="0.3">
      <c r="H40699" t="str">
        <f t="shared" si="685"/>
        <v/>
      </c>
    </row>
    <row r="40700" spans="8:8" x14ac:dyDescent="0.3">
      <c r="H40700" t="str">
        <f t="shared" si="685"/>
        <v/>
      </c>
    </row>
    <row r="40701" spans="8:8" x14ac:dyDescent="0.3">
      <c r="H40701" t="str">
        <f t="shared" si="685"/>
        <v/>
      </c>
    </row>
    <row r="40702" spans="8:8" x14ac:dyDescent="0.3">
      <c r="H40702" t="str">
        <f t="shared" si="685"/>
        <v/>
      </c>
    </row>
    <row r="40703" spans="8:8" x14ac:dyDescent="0.3">
      <c r="H40703" t="str">
        <f t="shared" si="685"/>
        <v/>
      </c>
    </row>
    <row r="40704" spans="8:8" x14ac:dyDescent="0.3">
      <c r="H40704" t="str">
        <f t="shared" si="685"/>
        <v/>
      </c>
    </row>
    <row r="40705" spans="8:8" x14ac:dyDescent="0.3">
      <c r="H40705" t="str">
        <f t="shared" si="685"/>
        <v/>
      </c>
    </row>
    <row r="40706" spans="8:8" x14ac:dyDescent="0.3">
      <c r="H40706" t="str">
        <f t="shared" si="685"/>
        <v/>
      </c>
    </row>
    <row r="40707" spans="8:8" x14ac:dyDescent="0.3">
      <c r="H40707" t="str">
        <f t="shared" si="685"/>
        <v/>
      </c>
    </row>
    <row r="40708" spans="8:8" x14ac:dyDescent="0.3">
      <c r="H40708" t="str">
        <f t="shared" si="685"/>
        <v/>
      </c>
    </row>
    <row r="40709" spans="8:8" x14ac:dyDescent="0.3">
      <c r="H40709" t="str">
        <f t="shared" si="685"/>
        <v/>
      </c>
    </row>
    <row r="40710" spans="8:8" x14ac:dyDescent="0.3">
      <c r="H40710" t="str">
        <f t="shared" si="685"/>
        <v/>
      </c>
    </row>
    <row r="40711" spans="8:8" x14ac:dyDescent="0.3">
      <c r="H40711" t="str">
        <f t="shared" si="685"/>
        <v/>
      </c>
    </row>
    <row r="40712" spans="8:8" x14ac:dyDescent="0.3">
      <c r="H40712" t="str">
        <f t="shared" si="685"/>
        <v/>
      </c>
    </row>
    <row r="40713" spans="8:8" x14ac:dyDescent="0.3">
      <c r="H40713" t="str">
        <f t="shared" si="685"/>
        <v/>
      </c>
    </row>
    <row r="40714" spans="8:8" x14ac:dyDescent="0.3">
      <c r="H40714" t="str">
        <f t="shared" si="685"/>
        <v/>
      </c>
    </row>
    <row r="40715" spans="8:8" x14ac:dyDescent="0.3">
      <c r="H40715" t="str">
        <f t="shared" si="685"/>
        <v/>
      </c>
    </row>
    <row r="40716" spans="8:8" x14ac:dyDescent="0.3">
      <c r="H40716" t="str">
        <f t="shared" si="685"/>
        <v/>
      </c>
    </row>
    <row r="40717" spans="8:8" x14ac:dyDescent="0.3">
      <c r="H40717" t="str">
        <f t="shared" si="685"/>
        <v/>
      </c>
    </row>
    <row r="40718" spans="8:8" x14ac:dyDescent="0.3">
      <c r="H40718" t="str">
        <f t="shared" si="685"/>
        <v/>
      </c>
    </row>
    <row r="40719" spans="8:8" x14ac:dyDescent="0.3">
      <c r="H40719" t="str">
        <f t="shared" si="685"/>
        <v/>
      </c>
    </row>
    <row r="40720" spans="8:8" x14ac:dyDescent="0.3">
      <c r="H40720" t="str">
        <f t="shared" si="685"/>
        <v/>
      </c>
    </row>
    <row r="40721" spans="8:8" x14ac:dyDescent="0.3">
      <c r="H40721" t="str">
        <f t="shared" si="685"/>
        <v/>
      </c>
    </row>
    <row r="40722" spans="8:8" x14ac:dyDescent="0.3">
      <c r="H40722" t="str">
        <f t="shared" si="685"/>
        <v/>
      </c>
    </row>
    <row r="40723" spans="8:8" x14ac:dyDescent="0.3">
      <c r="H40723" t="str">
        <f t="shared" si="685"/>
        <v/>
      </c>
    </row>
    <row r="40724" spans="8:8" x14ac:dyDescent="0.3">
      <c r="H40724" t="str">
        <f t="shared" si="685"/>
        <v/>
      </c>
    </row>
    <row r="40725" spans="8:8" x14ac:dyDescent="0.3">
      <c r="H40725" t="str">
        <f t="shared" si="685"/>
        <v/>
      </c>
    </row>
    <row r="40726" spans="8:8" x14ac:dyDescent="0.3">
      <c r="H40726" t="str">
        <f t="shared" si="685"/>
        <v/>
      </c>
    </row>
    <row r="40727" spans="8:8" x14ac:dyDescent="0.3">
      <c r="H40727" t="str">
        <f t="shared" ref="H40727:H40790" si="686">IF(B40727="","",$C$12)</f>
        <v/>
      </c>
    </row>
    <row r="40728" spans="8:8" x14ac:dyDescent="0.3">
      <c r="H40728" t="str">
        <f t="shared" si="686"/>
        <v/>
      </c>
    </row>
    <row r="40729" spans="8:8" x14ac:dyDescent="0.3">
      <c r="H40729" t="str">
        <f t="shared" si="686"/>
        <v/>
      </c>
    </row>
    <row r="40730" spans="8:8" x14ac:dyDescent="0.3">
      <c r="H40730" t="str">
        <f t="shared" si="686"/>
        <v/>
      </c>
    </row>
    <row r="40731" spans="8:8" x14ac:dyDescent="0.3">
      <c r="H40731" t="str">
        <f t="shared" si="686"/>
        <v/>
      </c>
    </row>
    <row r="40732" spans="8:8" x14ac:dyDescent="0.3">
      <c r="H40732" t="str">
        <f t="shared" si="686"/>
        <v/>
      </c>
    </row>
    <row r="40733" spans="8:8" x14ac:dyDescent="0.3">
      <c r="H40733" t="str">
        <f t="shared" si="686"/>
        <v/>
      </c>
    </row>
    <row r="40734" spans="8:8" x14ac:dyDescent="0.3">
      <c r="H40734" t="str">
        <f t="shared" si="686"/>
        <v/>
      </c>
    </row>
    <row r="40735" spans="8:8" x14ac:dyDescent="0.3">
      <c r="H40735" t="str">
        <f t="shared" si="686"/>
        <v/>
      </c>
    </row>
    <row r="40736" spans="8:8" x14ac:dyDescent="0.3">
      <c r="H40736" t="str">
        <f t="shared" si="686"/>
        <v/>
      </c>
    </row>
    <row r="40737" spans="8:8" x14ac:dyDescent="0.3">
      <c r="H40737" t="str">
        <f t="shared" si="686"/>
        <v/>
      </c>
    </row>
    <row r="40738" spans="8:8" x14ac:dyDescent="0.3">
      <c r="H40738" t="str">
        <f t="shared" si="686"/>
        <v/>
      </c>
    </row>
    <row r="40739" spans="8:8" x14ac:dyDescent="0.3">
      <c r="H40739" t="str">
        <f t="shared" si="686"/>
        <v/>
      </c>
    </row>
    <row r="40740" spans="8:8" x14ac:dyDescent="0.3">
      <c r="H40740" t="str">
        <f t="shared" si="686"/>
        <v/>
      </c>
    </row>
    <row r="40741" spans="8:8" x14ac:dyDescent="0.3">
      <c r="H40741" t="str">
        <f t="shared" si="686"/>
        <v/>
      </c>
    </row>
    <row r="40742" spans="8:8" x14ac:dyDescent="0.3">
      <c r="H40742" t="str">
        <f t="shared" si="686"/>
        <v/>
      </c>
    </row>
    <row r="40743" spans="8:8" x14ac:dyDescent="0.3">
      <c r="H40743" t="str">
        <f t="shared" si="686"/>
        <v/>
      </c>
    </row>
    <row r="40744" spans="8:8" x14ac:dyDescent="0.3">
      <c r="H40744" t="str">
        <f t="shared" si="686"/>
        <v/>
      </c>
    </row>
    <row r="40745" spans="8:8" x14ac:dyDescent="0.3">
      <c r="H40745" t="str">
        <f t="shared" si="686"/>
        <v/>
      </c>
    </row>
    <row r="40746" spans="8:8" x14ac:dyDescent="0.3">
      <c r="H40746" t="str">
        <f t="shared" si="686"/>
        <v/>
      </c>
    </row>
    <row r="40747" spans="8:8" x14ac:dyDescent="0.3">
      <c r="H40747" t="str">
        <f t="shared" si="686"/>
        <v/>
      </c>
    </row>
    <row r="40748" spans="8:8" x14ac:dyDescent="0.3">
      <c r="H40748" t="str">
        <f t="shared" si="686"/>
        <v/>
      </c>
    </row>
    <row r="40749" spans="8:8" x14ac:dyDescent="0.3">
      <c r="H40749" t="str">
        <f t="shared" si="686"/>
        <v/>
      </c>
    </row>
    <row r="40750" spans="8:8" x14ac:dyDescent="0.3">
      <c r="H40750" t="str">
        <f t="shared" si="686"/>
        <v/>
      </c>
    </row>
    <row r="40751" spans="8:8" x14ac:dyDescent="0.3">
      <c r="H40751" t="str">
        <f t="shared" si="686"/>
        <v/>
      </c>
    </row>
    <row r="40752" spans="8:8" x14ac:dyDescent="0.3">
      <c r="H40752" t="str">
        <f t="shared" si="686"/>
        <v/>
      </c>
    </row>
    <row r="40753" spans="8:8" x14ac:dyDescent="0.3">
      <c r="H40753" t="str">
        <f t="shared" si="686"/>
        <v/>
      </c>
    </row>
    <row r="40754" spans="8:8" x14ac:dyDescent="0.3">
      <c r="H40754" t="str">
        <f t="shared" si="686"/>
        <v/>
      </c>
    </row>
    <row r="40755" spans="8:8" x14ac:dyDescent="0.3">
      <c r="H40755" t="str">
        <f t="shared" si="686"/>
        <v/>
      </c>
    </row>
    <row r="40756" spans="8:8" x14ac:dyDescent="0.3">
      <c r="H40756" t="str">
        <f t="shared" si="686"/>
        <v/>
      </c>
    </row>
    <row r="40757" spans="8:8" x14ac:dyDescent="0.3">
      <c r="H40757" t="str">
        <f t="shared" si="686"/>
        <v/>
      </c>
    </row>
    <row r="40758" spans="8:8" x14ac:dyDescent="0.3">
      <c r="H40758" t="str">
        <f t="shared" si="686"/>
        <v/>
      </c>
    </row>
    <row r="40759" spans="8:8" x14ac:dyDescent="0.3">
      <c r="H40759" t="str">
        <f t="shared" si="686"/>
        <v/>
      </c>
    </row>
    <row r="40760" spans="8:8" x14ac:dyDescent="0.3">
      <c r="H40760" t="str">
        <f t="shared" si="686"/>
        <v/>
      </c>
    </row>
    <row r="40761" spans="8:8" x14ac:dyDescent="0.3">
      <c r="H40761" t="str">
        <f t="shared" si="686"/>
        <v/>
      </c>
    </row>
    <row r="40762" spans="8:8" x14ac:dyDescent="0.3">
      <c r="H40762" t="str">
        <f t="shared" si="686"/>
        <v/>
      </c>
    </row>
    <row r="40763" spans="8:8" x14ac:dyDescent="0.3">
      <c r="H40763" t="str">
        <f t="shared" si="686"/>
        <v/>
      </c>
    </row>
    <row r="40764" spans="8:8" x14ac:dyDescent="0.3">
      <c r="H40764" t="str">
        <f t="shared" si="686"/>
        <v/>
      </c>
    </row>
    <row r="40765" spans="8:8" x14ac:dyDescent="0.3">
      <c r="H40765" t="str">
        <f t="shared" si="686"/>
        <v/>
      </c>
    </row>
    <row r="40766" spans="8:8" x14ac:dyDescent="0.3">
      <c r="H40766" t="str">
        <f t="shared" si="686"/>
        <v/>
      </c>
    </row>
    <row r="40767" spans="8:8" x14ac:dyDescent="0.3">
      <c r="H40767" t="str">
        <f t="shared" si="686"/>
        <v/>
      </c>
    </row>
    <row r="40768" spans="8:8" x14ac:dyDescent="0.3">
      <c r="H40768" t="str">
        <f t="shared" si="686"/>
        <v/>
      </c>
    </row>
    <row r="40769" spans="8:8" x14ac:dyDescent="0.3">
      <c r="H40769" t="str">
        <f t="shared" si="686"/>
        <v/>
      </c>
    </row>
    <row r="40770" spans="8:8" x14ac:dyDescent="0.3">
      <c r="H40770" t="str">
        <f t="shared" si="686"/>
        <v/>
      </c>
    </row>
    <row r="40771" spans="8:8" x14ac:dyDescent="0.3">
      <c r="H40771" t="str">
        <f t="shared" si="686"/>
        <v/>
      </c>
    </row>
    <row r="40772" spans="8:8" x14ac:dyDescent="0.3">
      <c r="H40772" t="str">
        <f t="shared" si="686"/>
        <v/>
      </c>
    </row>
    <row r="40773" spans="8:8" x14ac:dyDescent="0.3">
      <c r="H40773" t="str">
        <f t="shared" si="686"/>
        <v/>
      </c>
    </row>
    <row r="40774" spans="8:8" x14ac:dyDescent="0.3">
      <c r="H40774" t="str">
        <f t="shared" si="686"/>
        <v/>
      </c>
    </row>
    <row r="40775" spans="8:8" x14ac:dyDescent="0.3">
      <c r="H40775" t="str">
        <f t="shared" si="686"/>
        <v/>
      </c>
    </row>
    <row r="40776" spans="8:8" x14ac:dyDescent="0.3">
      <c r="H40776" t="str">
        <f t="shared" si="686"/>
        <v/>
      </c>
    </row>
    <row r="40777" spans="8:8" x14ac:dyDescent="0.3">
      <c r="H40777" t="str">
        <f t="shared" si="686"/>
        <v/>
      </c>
    </row>
    <row r="40778" spans="8:8" x14ac:dyDescent="0.3">
      <c r="H40778" t="str">
        <f t="shared" si="686"/>
        <v/>
      </c>
    </row>
    <row r="40779" spans="8:8" x14ac:dyDescent="0.3">
      <c r="H40779" t="str">
        <f t="shared" si="686"/>
        <v/>
      </c>
    </row>
    <row r="40780" spans="8:8" x14ac:dyDescent="0.3">
      <c r="H40780" t="str">
        <f t="shared" si="686"/>
        <v/>
      </c>
    </row>
    <row r="40781" spans="8:8" x14ac:dyDescent="0.3">
      <c r="H40781" t="str">
        <f t="shared" si="686"/>
        <v/>
      </c>
    </row>
    <row r="40782" spans="8:8" x14ac:dyDescent="0.3">
      <c r="H40782" t="str">
        <f t="shared" si="686"/>
        <v/>
      </c>
    </row>
    <row r="40783" spans="8:8" x14ac:dyDescent="0.3">
      <c r="H40783" t="str">
        <f t="shared" si="686"/>
        <v/>
      </c>
    </row>
    <row r="40784" spans="8:8" x14ac:dyDescent="0.3">
      <c r="H40784" t="str">
        <f t="shared" si="686"/>
        <v/>
      </c>
    </row>
    <row r="40785" spans="8:8" x14ac:dyDescent="0.3">
      <c r="H40785" t="str">
        <f t="shared" si="686"/>
        <v/>
      </c>
    </row>
    <row r="40786" spans="8:8" x14ac:dyDescent="0.3">
      <c r="H40786" t="str">
        <f t="shared" si="686"/>
        <v/>
      </c>
    </row>
    <row r="40787" spans="8:8" x14ac:dyDescent="0.3">
      <c r="H40787" t="str">
        <f t="shared" si="686"/>
        <v/>
      </c>
    </row>
    <row r="40788" spans="8:8" x14ac:dyDescent="0.3">
      <c r="H40788" t="str">
        <f t="shared" si="686"/>
        <v/>
      </c>
    </row>
    <row r="40789" spans="8:8" x14ac:dyDescent="0.3">
      <c r="H40789" t="str">
        <f t="shared" si="686"/>
        <v/>
      </c>
    </row>
    <row r="40790" spans="8:8" x14ac:dyDescent="0.3">
      <c r="H40790" t="str">
        <f t="shared" si="686"/>
        <v/>
      </c>
    </row>
    <row r="40791" spans="8:8" x14ac:dyDescent="0.3">
      <c r="H40791" t="str">
        <f t="shared" ref="H40791:H40854" si="687">IF(B40791="","",$C$12)</f>
        <v/>
      </c>
    </row>
    <row r="40792" spans="8:8" x14ac:dyDescent="0.3">
      <c r="H40792" t="str">
        <f t="shared" si="687"/>
        <v/>
      </c>
    </row>
    <row r="40793" spans="8:8" x14ac:dyDescent="0.3">
      <c r="H40793" t="str">
        <f t="shared" si="687"/>
        <v/>
      </c>
    </row>
    <row r="40794" spans="8:8" x14ac:dyDescent="0.3">
      <c r="H40794" t="str">
        <f t="shared" si="687"/>
        <v/>
      </c>
    </row>
    <row r="40795" spans="8:8" x14ac:dyDescent="0.3">
      <c r="H40795" t="str">
        <f t="shared" si="687"/>
        <v/>
      </c>
    </row>
    <row r="40796" spans="8:8" x14ac:dyDescent="0.3">
      <c r="H40796" t="str">
        <f t="shared" si="687"/>
        <v/>
      </c>
    </row>
    <row r="40797" spans="8:8" x14ac:dyDescent="0.3">
      <c r="H40797" t="str">
        <f t="shared" si="687"/>
        <v/>
      </c>
    </row>
    <row r="40798" spans="8:8" x14ac:dyDescent="0.3">
      <c r="H40798" t="str">
        <f t="shared" si="687"/>
        <v/>
      </c>
    </row>
    <row r="40799" spans="8:8" x14ac:dyDescent="0.3">
      <c r="H40799" t="str">
        <f t="shared" si="687"/>
        <v/>
      </c>
    </row>
    <row r="40800" spans="8:8" x14ac:dyDescent="0.3">
      <c r="H40800" t="str">
        <f t="shared" si="687"/>
        <v/>
      </c>
    </row>
    <row r="40801" spans="8:8" x14ac:dyDescent="0.3">
      <c r="H40801" t="str">
        <f t="shared" si="687"/>
        <v/>
      </c>
    </row>
    <row r="40802" spans="8:8" x14ac:dyDescent="0.3">
      <c r="H40802" t="str">
        <f t="shared" si="687"/>
        <v/>
      </c>
    </row>
    <row r="40803" spans="8:8" x14ac:dyDescent="0.3">
      <c r="H40803" t="str">
        <f t="shared" si="687"/>
        <v/>
      </c>
    </row>
    <row r="40804" spans="8:8" x14ac:dyDescent="0.3">
      <c r="H40804" t="str">
        <f t="shared" si="687"/>
        <v/>
      </c>
    </row>
    <row r="40805" spans="8:8" x14ac:dyDescent="0.3">
      <c r="H40805" t="str">
        <f t="shared" si="687"/>
        <v/>
      </c>
    </row>
    <row r="40806" spans="8:8" x14ac:dyDescent="0.3">
      <c r="H40806" t="str">
        <f t="shared" si="687"/>
        <v/>
      </c>
    </row>
    <row r="40807" spans="8:8" x14ac:dyDescent="0.3">
      <c r="H40807" t="str">
        <f t="shared" si="687"/>
        <v/>
      </c>
    </row>
    <row r="40808" spans="8:8" x14ac:dyDescent="0.3">
      <c r="H40808" t="str">
        <f t="shared" si="687"/>
        <v/>
      </c>
    </row>
    <row r="40809" spans="8:8" x14ac:dyDescent="0.3">
      <c r="H40809" t="str">
        <f t="shared" si="687"/>
        <v/>
      </c>
    </row>
    <row r="40810" spans="8:8" x14ac:dyDescent="0.3">
      <c r="H40810" t="str">
        <f t="shared" si="687"/>
        <v/>
      </c>
    </row>
    <row r="40811" spans="8:8" x14ac:dyDescent="0.3">
      <c r="H40811" t="str">
        <f t="shared" si="687"/>
        <v/>
      </c>
    </row>
    <row r="40812" spans="8:8" x14ac:dyDescent="0.3">
      <c r="H40812" t="str">
        <f t="shared" si="687"/>
        <v/>
      </c>
    </row>
    <row r="40813" spans="8:8" x14ac:dyDescent="0.3">
      <c r="H40813" t="str">
        <f t="shared" si="687"/>
        <v/>
      </c>
    </row>
    <row r="40814" spans="8:8" x14ac:dyDescent="0.3">
      <c r="H40814" t="str">
        <f t="shared" si="687"/>
        <v/>
      </c>
    </row>
    <row r="40815" spans="8:8" x14ac:dyDescent="0.3">
      <c r="H40815" t="str">
        <f t="shared" si="687"/>
        <v/>
      </c>
    </row>
    <row r="40816" spans="8:8" x14ac:dyDescent="0.3">
      <c r="H40816" t="str">
        <f t="shared" si="687"/>
        <v/>
      </c>
    </row>
    <row r="40817" spans="8:8" x14ac:dyDescent="0.3">
      <c r="H40817" t="str">
        <f t="shared" si="687"/>
        <v/>
      </c>
    </row>
    <row r="40818" spans="8:8" x14ac:dyDescent="0.3">
      <c r="H40818" t="str">
        <f t="shared" si="687"/>
        <v/>
      </c>
    </row>
    <row r="40819" spans="8:8" x14ac:dyDescent="0.3">
      <c r="H40819" t="str">
        <f t="shared" si="687"/>
        <v/>
      </c>
    </row>
    <row r="40820" spans="8:8" x14ac:dyDescent="0.3">
      <c r="H40820" t="str">
        <f t="shared" si="687"/>
        <v/>
      </c>
    </row>
    <row r="40821" spans="8:8" x14ac:dyDescent="0.3">
      <c r="H40821" t="str">
        <f t="shared" si="687"/>
        <v/>
      </c>
    </row>
    <row r="40822" spans="8:8" x14ac:dyDescent="0.3">
      <c r="H40822" t="str">
        <f t="shared" si="687"/>
        <v/>
      </c>
    </row>
    <row r="40823" spans="8:8" x14ac:dyDescent="0.3">
      <c r="H40823" t="str">
        <f t="shared" si="687"/>
        <v/>
      </c>
    </row>
    <row r="40824" spans="8:8" x14ac:dyDescent="0.3">
      <c r="H40824" t="str">
        <f t="shared" si="687"/>
        <v/>
      </c>
    </row>
    <row r="40825" spans="8:8" x14ac:dyDescent="0.3">
      <c r="H40825" t="str">
        <f t="shared" si="687"/>
        <v/>
      </c>
    </row>
    <row r="40826" spans="8:8" x14ac:dyDescent="0.3">
      <c r="H40826" t="str">
        <f t="shared" si="687"/>
        <v/>
      </c>
    </row>
    <row r="40827" spans="8:8" x14ac:dyDescent="0.3">
      <c r="H40827" t="str">
        <f t="shared" si="687"/>
        <v/>
      </c>
    </row>
    <row r="40828" spans="8:8" x14ac:dyDescent="0.3">
      <c r="H40828" t="str">
        <f t="shared" si="687"/>
        <v/>
      </c>
    </row>
    <row r="40829" spans="8:8" x14ac:dyDescent="0.3">
      <c r="H40829" t="str">
        <f t="shared" si="687"/>
        <v/>
      </c>
    </row>
    <row r="40830" spans="8:8" x14ac:dyDescent="0.3">
      <c r="H40830" t="str">
        <f t="shared" si="687"/>
        <v/>
      </c>
    </row>
    <row r="40831" spans="8:8" x14ac:dyDescent="0.3">
      <c r="H40831" t="str">
        <f t="shared" si="687"/>
        <v/>
      </c>
    </row>
    <row r="40832" spans="8:8" x14ac:dyDescent="0.3">
      <c r="H40832" t="str">
        <f t="shared" si="687"/>
        <v/>
      </c>
    </row>
    <row r="40833" spans="8:8" x14ac:dyDescent="0.3">
      <c r="H40833" t="str">
        <f t="shared" si="687"/>
        <v/>
      </c>
    </row>
    <row r="40834" spans="8:8" x14ac:dyDescent="0.3">
      <c r="H40834" t="str">
        <f t="shared" si="687"/>
        <v/>
      </c>
    </row>
    <row r="40835" spans="8:8" x14ac:dyDescent="0.3">
      <c r="H40835" t="str">
        <f t="shared" si="687"/>
        <v/>
      </c>
    </row>
    <row r="40836" spans="8:8" x14ac:dyDescent="0.3">
      <c r="H40836" t="str">
        <f t="shared" si="687"/>
        <v/>
      </c>
    </row>
    <row r="40837" spans="8:8" x14ac:dyDescent="0.3">
      <c r="H40837" t="str">
        <f t="shared" si="687"/>
        <v/>
      </c>
    </row>
    <row r="40838" spans="8:8" x14ac:dyDescent="0.3">
      <c r="H40838" t="str">
        <f t="shared" si="687"/>
        <v/>
      </c>
    </row>
    <row r="40839" spans="8:8" x14ac:dyDescent="0.3">
      <c r="H40839" t="str">
        <f t="shared" si="687"/>
        <v/>
      </c>
    </row>
    <row r="40840" spans="8:8" x14ac:dyDescent="0.3">
      <c r="H40840" t="str">
        <f t="shared" si="687"/>
        <v/>
      </c>
    </row>
    <row r="40841" spans="8:8" x14ac:dyDescent="0.3">
      <c r="H40841" t="str">
        <f t="shared" si="687"/>
        <v/>
      </c>
    </row>
    <row r="40842" spans="8:8" x14ac:dyDescent="0.3">
      <c r="H40842" t="str">
        <f t="shared" si="687"/>
        <v/>
      </c>
    </row>
    <row r="40843" spans="8:8" x14ac:dyDescent="0.3">
      <c r="H40843" t="str">
        <f t="shared" si="687"/>
        <v/>
      </c>
    </row>
    <row r="40844" spans="8:8" x14ac:dyDescent="0.3">
      <c r="H40844" t="str">
        <f t="shared" si="687"/>
        <v/>
      </c>
    </row>
    <row r="40845" spans="8:8" x14ac:dyDescent="0.3">
      <c r="H40845" t="str">
        <f t="shared" si="687"/>
        <v/>
      </c>
    </row>
    <row r="40846" spans="8:8" x14ac:dyDescent="0.3">
      <c r="H40846" t="str">
        <f t="shared" si="687"/>
        <v/>
      </c>
    </row>
    <row r="40847" spans="8:8" x14ac:dyDescent="0.3">
      <c r="H40847" t="str">
        <f t="shared" si="687"/>
        <v/>
      </c>
    </row>
    <row r="40848" spans="8:8" x14ac:dyDescent="0.3">
      <c r="H40848" t="str">
        <f t="shared" si="687"/>
        <v/>
      </c>
    </row>
    <row r="40849" spans="8:8" x14ac:dyDescent="0.3">
      <c r="H40849" t="str">
        <f t="shared" si="687"/>
        <v/>
      </c>
    </row>
    <row r="40850" spans="8:8" x14ac:dyDescent="0.3">
      <c r="H40850" t="str">
        <f t="shared" si="687"/>
        <v/>
      </c>
    </row>
    <row r="40851" spans="8:8" x14ac:dyDescent="0.3">
      <c r="H40851" t="str">
        <f t="shared" si="687"/>
        <v/>
      </c>
    </row>
    <row r="40852" spans="8:8" x14ac:dyDescent="0.3">
      <c r="H40852" t="str">
        <f t="shared" si="687"/>
        <v/>
      </c>
    </row>
    <row r="40853" spans="8:8" x14ac:dyDescent="0.3">
      <c r="H40853" t="str">
        <f t="shared" si="687"/>
        <v/>
      </c>
    </row>
    <row r="40854" spans="8:8" x14ac:dyDescent="0.3">
      <c r="H40854" t="str">
        <f t="shared" si="687"/>
        <v/>
      </c>
    </row>
    <row r="40855" spans="8:8" x14ac:dyDescent="0.3">
      <c r="H40855" t="str">
        <f t="shared" ref="H40855:H40918" si="688">IF(B40855="","",$C$12)</f>
        <v/>
      </c>
    </row>
    <row r="40856" spans="8:8" x14ac:dyDescent="0.3">
      <c r="H40856" t="str">
        <f t="shared" si="688"/>
        <v/>
      </c>
    </row>
    <row r="40857" spans="8:8" x14ac:dyDescent="0.3">
      <c r="H40857" t="str">
        <f t="shared" si="688"/>
        <v/>
      </c>
    </row>
    <row r="40858" spans="8:8" x14ac:dyDescent="0.3">
      <c r="H40858" t="str">
        <f t="shared" si="688"/>
        <v/>
      </c>
    </row>
    <row r="40859" spans="8:8" x14ac:dyDescent="0.3">
      <c r="H40859" t="str">
        <f t="shared" si="688"/>
        <v/>
      </c>
    </row>
    <row r="40860" spans="8:8" x14ac:dyDescent="0.3">
      <c r="H40860" t="str">
        <f t="shared" si="688"/>
        <v/>
      </c>
    </row>
    <row r="40861" spans="8:8" x14ac:dyDescent="0.3">
      <c r="H40861" t="str">
        <f t="shared" si="688"/>
        <v/>
      </c>
    </row>
    <row r="40862" spans="8:8" x14ac:dyDescent="0.3">
      <c r="H40862" t="str">
        <f t="shared" si="688"/>
        <v/>
      </c>
    </row>
    <row r="40863" spans="8:8" x14ac:dyDescent="0.3">
      <c r="H40863" t="str">
        <f t="shared" si="688"/>
        <v/>
      </c>
    </row>
    <row r="40864" spans="8:8" x14ac:dyDescent="0.3">
      <c r="H40864" t="str">
        <f t="shared" si="688"/>
        <v/>
      </c>
    </row>
    <row r="40865" spans="8:8" x14ac:dyDescent="0.3">
      <c r="H40865" t="str">
        <f t="shared" si="688"/>
        <v/>
      </c>
    </row>
    <row r="40866" spans="8:8" x14ac:dyDescent="0.3">
      <c r="H40866" t="str">
        <f t="shared" si="688"/>
        <v/>
      </c>
    </row>
    <row r="40867" spans="8:8" x14ac:dyDescent="0.3">
      <c r="H40867" t="str">
        <f t="shared" si="688"/>
        <v/>
      </c>
    </row>
    <row r="40868" spans="8:8" x14ac:dyDescent="0.3">
      <c r="H40868" t="str">
        <f t="shared" si="688"/>
        <v/>
      </c>
    </row>
    <row r="40869" spans="8:8" x14ac:dyDescent="0.3">
      <c r="H40869" t="str">
        <f t="shared" si="688"/>
        <v/>
      </c>
    </row>
    <row r="40870" spans="8:8" x14ac:dyDescent="0.3">
      <c r="H40870" t="str">
        <f t="shared" si="688"/>
        <v/>
      </c>
    </row>
    <row r="40871" spans="8:8" x14ac:dyDescent="0.3">
      <c r="H40871" t="str">
        <f t="shared" si="688"/>
        <v/>
      </c>
    </row>
    <row r="40872" spans="8:8" x14ac:dyDescent="0.3">
      <c r="H40872" t="str">
        <f t="shared" si="688"/>
        <v/>
      </c>
    </row>
    <row r="40873" spans="8:8" x14ac:dyDescent="0.3">
      <c r="H40873" t="str">
        <f t="shared" si="688"/>
        <v/>
      </c>
    </row>
    <row r="40874" spans="8:8" x14ac:dyDescent="0.3">
      <c r="H40874" t="str">
        <f t="shared" si="688"/>
        <v/>
      </c>
    </row>
    <row r="40875" spans="8:8" x14ac:dyDescent="0.3">
      <c r="H40875" t="str">
        <f t="shared" si="688"/>
        <v/>
      </c>
    </row>
    <row r="40876" spans="8:8" x14ac:dyDescent="0.3">
      <c r="H40876" t="str">
        <f t="shared" si="688"/>
        <v/>
      </c>
    </row>
    <row r="40877" spans="8:8" x14ac:dyDescent="0.3">
      <c r="H40877" t="str">
        <f t="shared" si="688"/>
        <v/>
      </c>
    </row>
    <row r="40878" spans="8:8" x14ac:dyDescent="0.3">
      <c r="H40878" t="str">
        <f t="shared" si="688"/>
        <v/>
      </c>
    </row>
    <row r="40879" spans="8:8" x14ac:dyDescent="0.3">
      <c r="H40879" t="str">
        <f t="shared" si="688"/>
        <v/>
      </c>
    </row>
    <row r="40880" spans="8:8" x14ac:dyDescent="0.3">
      <c r="H40880" t="str">
        <f t="shared" si="688"/>
        <v/>
      </c>
    </row>
    <row r="40881" spans="8:8" x14ac:dyDescent="0.3">
      <c r="H40881" t="str">
        <f t="shared" si="688"/>
        <v/>
      </c>
    </row>
    <row r="40882" spans="8:8" x14ac:dyDescent="0.3">
      <c r="H40882" t="str">
        <f t="shared" si="688"/>
        <v/>
      </c>
    </row>
    <row r="40883" spans="8:8" x14ac:dyDescent="0.3">
      <c r="H40883" t="str">
        <f t="shared" si="688"/>
        <v/>
      </c>
    </row>
    <row r="40884" spans="8:8" x14ac:dyDescent="0.3">
      <c r="H40884" t="str">
        <f t="shared" si="688"/>
        <v/>
      </c>
    </row>
    <row r="40885" spans="8:8" x14ac:dyDescent="0.3">
      <c r="H40885" t="str">
        <f t="shared" si="688"/>
        <v/>
      </c>
    </row>
    <row r="40886" spans="8:8" x14ac:dyDescent="0.3">
      <c r="H40886" t="str">
        <f t="shared" si="688"/>
        <v/>
      </c>
    </row>
    <row r="40887" spans="8:8" x14ac:dyDescent="0.3">
      <c r="H40887" t="str">
        <f t="shared" si="688"/>
        <v/>
      </c>
    </row>
    <row r="40888" spans="8:8" x14ac:dyDescent="0.3">
      <c r="H40888" t="str">
        <f t="shared" si="688"/>
        <v/>
      </c>
    </row>
    <row r="40889" spans="8:8" x14ac:dyDescent="0.3">
      <c r="H40889" t="str">
        <f t="shared" si="688"/>
        <v/>
      </c>
    </row>
    <row r="40890" spans="8:8" x14ac:dyDescent="0.3">
      <c r="H40890" t="str">
        <f t="shared" si="688"/>
        <v/>
      </c>
    </row>
    <row r="40891" spans="8:8" x14ac:dyDescent="0.3">
      <c r="H40891" t="str">
        <f t="shared" si="688"/>
        <v/>
      </c>
    </row>
    <row r="40892" spans="8:8" x14ac:dyDescent="0.3">
      <c r="H40892" t="str">
        <f t="shared" si="688"/>
        <v/>
      </c>
    </row>
    <row r="40893" spans="8:8" x14ac:dyDescent="0.3">
      <c r="H40893" t="str">
        <f t="shared" si="688"/>
        <v/>
      </c>
    </row>
    <row r="40894" spans="8:8" x14ac:dyDescent="0.3">
      <c r="H40894" t="str">
        <f t="shared" si="688"/>
        <v/>
      </c>
    </row>
    <row r="40895" spans="8:8" x14ac:dyDescent="0.3">
      <c r="H40895" t="str">
        <f t="shared" si="688"/>
        <v/>
      </c>
    </row>
    <row r="40896" spans="8:8" x14ac:dyDescent="0.3">
      <c r="H40896" t="str">
        <f t="shared" si="688"/>
        <v/>
      </c>
    </row>
    <row r="40897" spans="8:8" x14ac:dyDescent="0.3">
      <c r="H40897" t="str">
        <f t="shared" si="688"/>
        <v/>
      </c>
    </row>
    <row r="40898" spans="8:8" x14ac:dyDescent="0.3">
      <c r="H40898" t="str">
        <f t="shared" si="688"/>
        <v/>
      </c>
    </row>
    <row r="40899" spans="8:8" x14ac:dyDescent="0.3">
      <c r="H40899" t="str">
        <f t="shared" si="688"/>
        <v/>
      </c>
    </row>
    <row r="40900" spans="8:8" x14ac:dyDescent="0.3">
      <c r="H40900" t="str">
        <f t="shared" si="688"/>
        <v/>
      </c>
    </row>
    <row r="40901" spans="8:8" x14ac:dyDescent="0.3">
      <c r="H40901" t="str">
        <f t="shared" si="688"/>
        <v/>
      </c>
    </row>
    <row r="40902" spans="8:8" x14ac:dyDescent="0.3">
      <c r="H40902" t="str">
        <f t="shared" si="688"/>
        <v/>
      </c>
    </row>
    <row r="40903" spans="8:8" x14ac:dyDescent="0.3">
      <c r="H40903" t="str">
        <f t="shared" si="688"/>
        <v/>
      </c>
    </row>
    <row r="40904" spans="8:8" x14ac:dyDescent="0.3">
      <c r="H40904" t="str">
        <f t="shared" si="688"/>
        <v/>
      </c>
    </row>
    <row r="40905" spans="8:8" x14ac:dyDescent="0.3">
      <c r="H40905" t="str">
        <f t="shared" si="688"/>
        <v/>
      </c>
    </row>
    <row r="40906" spans="8:8" x14ac:dyDescent="0.3">
      <c r="H40906" t="str">
        <f t="shared" si="688"/>
        <v/>
      </c>
    </row>
    <row r="40907" spans="8:8" x14ac:dyDescent="0.3">
      <c r="H40907" t="str">
        <f t="shared" si="688"/>
        <v/>
      </c>
    </row>
    <row r="40908" spans="8:8" x14ac:dyDescent="0.3">
      <c r="H40908" t="str">
        <f t="shared" si="688"/>
        <v/>
      </c>
    </row>
    <row r="40909" spans="8:8" x14ac:dyDescent="0.3">
      <c r="H40909" t="str">
        <f t="shared" si="688"/>
        <v/>
      </c>
    </row>
    <row r="40910" spans="8:8" x14ac:dyDescent="0.3">
      <c r="H40910" t="str">
        <f t="shared" si="688"/>
        <v/>
      </c>
    </row>
    <row r="40911" spans="8:8" x14ac:dyDescent="0.3">
      <c r="H40911" t="str">
        <f t="shared" si="688"/>
        <v/>
      </c>
    </row>
    <row r="40912" spans="8:8" x14ac:dyDescent="0.3">
      <c r="H40912" t="str">
        <f t="shared" si="688"/>
        <v/>
      </c>
    </row>
    <row r="40913" spans="8:8" x14ac:dyDescent="0.3">
      <c r="H40913" t="str">
        <f t="shared" si="688"/>
        <v/>
      </c>
    </row>
    <row r="40914" spans="8:8" x14ac:dyDescent="0.3">
      <c r="H40914" t="str">
        <f t="shared" si="688"/>
        <v/>
      </c>
    </row>
    <row r="40915" spans="8:8" x14ac:dyDescent="0.3">
      <c r="H40915" t="str">
        <f t="shared" si="688"/>
        <v/>
      </c>
    </row>
    <row r="40916" spans="8:8" x14ac:dyDescent="0.3">
      <c r="H40916" t="str">
        <f t="shared" si="688"/>
        <v/>
      </c>
    </row>
    <row r="40917" spans="8:8" x14ac:dyDescent="0.3">
      <c r="H40917" t="str">
        <f t="shared" si="688"/>
        <v/>
      </c>
    </row>
    <row r="40918" spans="8:8" x14ac:dyDescent="0.3">
      <c r="H40918" t="str">
        <f t="shared" si="688"/>
        <v/>
      </c>
    </row>
    <row r="40919" spans="8:8" x14ac:dyDescent="0.3">
      <c r="H40919" t="str">
        <f t="shared" ref="H40919:H40982" si="689">IF(B40919="","",$C$12)</f>
        <v/>
      </c>
    </row>
    <row r="40920" spans="8:8" x14ac:dyDescent="0.3">
      <c r="H40920" t="str">
        <f t="shared" si="689"/>
        <v/>
      </c>
    </row>
    <row r="40921" spans="8:8" x14ac:dyDescent="0.3">
      <c r="H40921" t="str">
        <f t="shared" si="689"/>
        <v/>
      </c>
    </row>
    <row r="40922" spans="8:8" x14ac:dyDescent="0.3">
      <c r="H40922" t="str">
        <f t="shared" si="689"/>
        <v/>
      </c>
    </row>
    <row r="40923" spans="8:8" x14ac:dyDescent="0.3">
      <c r="H40923" t="str">
        <f t="shared" si="689"/>
        <v/>
      </c>
    </row>
    <row r="40924" spans="8:8" x14ac:dyDescent="0.3">
      <c r="H40924" t="str">
        <f t="shared" si="689"/>
        <v/>
      </c>
    </row>
    <row r="40925" spans="8:8" x14ac:dyDescent="0.3">
      <c r="H40925" t="str">
        <f t="shared" si="689"/>
        <v/>
      </c>
    </row>
    <row r="40926" spans="8:8" x14ac:dyDescent="0.3">
      <c r="H40926" t="str">
        <f t="shared" si="689"/>
        <v/>
      </c>
    </row>
    <row r="40927" spans="8:8" x14ac:dyDescent="0.3">
      <c r="H40927" t="str">
        <f t="shared" si="689"/>
        <v/>
      </c>
    </row>
    <row r="40928" spans="8:8" x14ac:dyDescent="0.3">
      <c r="H40928" t="str">
        <f t="shared" si="689"/>
        <v/>
      </c>
    </row>
    <row r="40929" spans="8:8" x14ac:dyDescent="0.3">
      <c r="H40929" t="str">
        <f t="shared" si="689"/>
        <v/>
      </c>
    </row>
    <row r="40930" spans="8:8" x14ac:dyDescent="0.3">
      <c r="H40930" t="str">
        <f t="shared" si="689"/>
        <v/>
      </c>
    </row>
    <row r="40931" spans="8:8" x14ac:dyDescent="0.3">
      <c r="H40931" t="str">
        <f t="shared" si="689"/>
        <v/>
      </c>
    </row>
    <row r="40932" spans="8:8" x14ac:dyDescent="0.3">
      <c r="H40932" t="str">
        <f t="shared" si="689"/>
        <v/>
      </c>
    </row>
    <row r="40933" spans="8:8" x14ac:dyDescent="0.3">
      <c r="H40933" t="str">
        <f t="shared" si="689"/>
        <v/>
      </c>
    </row>
    <row r="40934" spans="8:8" x14ac:dyDescent="0.3">
      <c r="H40934" t="str">
        <f t="shared" si="689"/>
        <v/>
      </c>
    </row>
    <row r="40935" spans="8:8" x14ac:dyDescent="0.3">
      <c r="H40935" t="str">
        <f t="shared" si="689"/>
        <v/>
      </c>
    </row>
    <row r="40936" spans="8:8" x14ac:dyDescent="0.3">
      <c r="H40936" t="str">
        <f t="shared" si="689"/>
        <v/>
      </c>
    </row>
    <row r="40937" spans="8:8" x14ac:dyDescent="0.3">
      <c r="H40937" t="str">
        <f t="shared" si="689"/>
        <v/>
      </c>
    </row>
    <row r="40938" spans="8:8" x14ac:dyDescent="0.3">
      <c r="H40938" t="str">
        <f t="shared" si="689"/>
        <v/>
      </c>
    </row>
    <row r="40939" spans="8:8" x14ac:dyDescent="0.3">
      <c r="H40939" t="str">
        <f t="shared" si="689"/>
        <v/>
      </c>
    </row>
    <row r="40940" spans="8:8" x14ac:dyDescent="0.3">
      <c r="H40940" t="str">
        <f t="shared" si="689"/>
        <v/>
      </c>
    </row>
    <row r="40941" spans="8:8" x14ac:dyDescent="0.3">
      <c r="H40941" t="str">
        <f t="shared" si="689"/>
        <v/>
      </c>
    </row>
    <row r="40942" spans="8:8" x14ac:dyDescent="0.3">
      <c r="H40942" t="str">
        <f t="shared" si="689"/>
        <v/>
      </c>
    </row>
    <row r="40943" spans="8:8" x14ac:dyDescent="0.3">
      <c r="H40943" t="str">
        <f t="shared" si="689"/>
        <v/>
      </c>
    </row>
    <row r="40944" spans="8:8" x14ac:dyDescent="0.3">
      <c r="H40944" t="str">
        <f t="shared" si="689"/>
        <v/>
      </c>
    </row>
    <row r="40945" spans="8:8" x14ac:dyDescent="0.3">
      <c r="H40945" t="str">
        <f t="shared" si="689"/>
        <v/>
      </c>
    </row>
    <row r="40946" spans="8:8" x14ac:dyDescent="0.3">
      <c r="H40946" t="str">
        <f t="shared" si="689"/>
        <v/>
      </c>
    </row>
    <row r="40947" spans="8:8" x14ac:dyDescent="0.3">
      <c r="H40947" t="str">
        <f t="shared" si="689"/>
        <v/>
      </c>
    </row>
    <row r="40948" spans="8:8" x14ac:dyDescent="0.3">
      <c r="H40948" t="str">
        <f t="shared" si="689"/>
        <v/>
      </c>
    </row>
    <row r="40949" spans="8:8" x14ac:dyDescent="0.3">
      <c r="H40949" t="str">
        <f t="shared" si="689"/>
        <v/>
      </c>
    </row>
    <row r="40950" spans="8:8" x14ac:dyDescent="0.3">
      <c r="H40950" t="str">
        <f t="shared" si="689"/>
        <v/>
      </c>
    </row>
    <row r="40951" spans="8:8" x14ac:dyDescent="0.3">
      <c r="H40951" t="str">
        <f t="shared" si="689"/>
        <v/>
      </c>
    </row>
    <row r="40952" spans="8:8" x14ac:dyDescent="0.3">
      <c r="H40952" t="str">
        <f t="shared" si="689"/>
        <v/>
      </c>
    </row>
    <row r="40953" spans="8:8" x14ac:dyDescent="0.3">
      <c r="H40953" t="str">
        <f t="shared" si="689"/>
        <v/>
      </c>
    </row>
    <row r="40954" spans="8:8" x14ac:dyDescent="0.3">
      <c r="H40954" t="str">
        <f t="shared" si="689"/>
        <v/>
      </c>
    </row>
    <row r="40955" spans="8:8" x14ac:dyDescent="0.3">
      <c r="H40955" t="str">
        <f t="shared" si="689"/>
        <v/>
      </c>
    </row>
    <row r="40956" spans="8:8" x14ac:dyDescent="0.3">
      <c r="H40956" t="str">
        <f t="shared" si="689"/>
        <v/>
      </c>
    </row>
    <row r="40957" spans="8:8" x14ac:dyDescent="0.3">
      <c r="H40957" t="str">
        <f t="shared" si="689"/>
        <v/>
      </c>
    </row>
    <row r="40958" spans="8:8" x14ac:dyDescent="0.3">
      <c r="H40958" t="str">
        <f t="shared" si="689"/>
        <v/>
      </c>
    </row>
    <row r="40959" spans="8:8" x14ac:dyDescent="0.3">
      <c r="H40959" t="str">
        <f t="shared" si="689"/>
        <v/>
      </c>
    </row>
    <row r="40960" spans="8:8" x14ac:dyDescent="0.3">
      <c r="H40960" t="str">
        <f t="shared" si="689"/>
        <v/>
      </c>
    </row>
    <row r="40961" spans="8:8" x14ac:dyDescent="0.3">
      <c r="H40961" t="str">
        <f t="shared" si="689"/>
        <v/>
      </c>
    </row>
    <row r="40962" spans="8:8" x14ac:dyDescent="0.3">
      <c r="H40962" t="str">
        <f t="shared" si="689"/>
        <v/>
      </c>
    </row>
    <row r="40963" spans="8:8" x14ac:dyDescent="0.3">
      <c r="H40963" t="str">
        <f t="shared" si="689"/>
        <v/>
      </c>
    </row>
    <row r="40964" spans="8:8" x14ac:dyDescent="0.3">
      <c r="H40964" t="str">
        <f t="shared" si="689"/>
        <v/>
      </c>
    </row>
    <row r="40965" spans="8:8" x14ac:dyDescent="0.3">
      <c r="H40965" t="str">
        <f t="shared" si="689"/>
        <v/>
      </c>
    </row>
    <row r="40966" spans="8:8" x14ac:dyDescent="0.3">
      <c r="H40966" t="str">
        <f t="shared" si="689"/>
        <v/>
      </c>
    </row>
    <row r="40967" spans="8:8" x14ac:dyDescent="0.3">
      <c r="H40967" t="str">
        <f t="shared" si="689"/>
        <v/>
      </c>
    </row>
    <row r="40968" spans="8:8" x14ac:dyDescent="0.3">
      <c r="H40968" t="str">
        <f t="shared" si="689"/>
        <v/>
      </c>
    </row>
    <row r="40969" spans="8:8" x14ac:dyDescent="0.3">
      <c r="H40969" t="str">
        <f t="shared" si="689"/>
        <v/>
      </c>
    </row>
    <row r="40970" spans="8:8" x14ac:dyDescent="0.3">
      <c r="H40970" t="str">
        <f t="shared" si="689"/>
        <v/>
      </c>
    </row>
    <row r="40971" spans="8:8" x14ac:dyDescent="0.3">
      <c r="H40971" t="str">
        <f t="shared" si="689"/>
        <v/>
      </c>
    </row>
    <row r="40972" spans="8:8" x14ac:dyDescent="0.3">
      <c r="H40972" t="str">
        <f t="shared" si="689"/>
        <v/>
      </c>
    </row>
    <row r="40973" spans="8:8" x14ac:dyDescent="0.3">
      <c r="H40973" t="str">
        <f t="shared" si="689"/>
        <v/>
      </c>
    </row>
    <row r="40974" spans="8:8" x14ac:dyDescent="0.3">
      <c r="H40974" t="str">
        <f t="shared" si="689"/>
        <v/>
      </c>
    </row>
    <row r="40975" spans="8:8" x14ac:dyDescent="0.3">
      <c r="H40975" t="str">
        <f t="shared" si="689"/>
        <v/>
      </c>
    </row>
    <row r="40976" spans="8:8" x14ac:dyDescent="0.3">
      <c r="H40976" t="str">
        <f t="shared" si="689"/>
        <v/>
      </c>
    </row>
    <row r="40977" spans="8:8" x14ac:dyDescent="0.3">
      <c r="H40977" t="str">
        <f t="shared" si="689"/>
        <v/>
      </c>
    </row>
    <row r="40978" spans="8:8" x14ac:dyDescent="0.3">
      <c r="H40978" t="str">
        <f t="shared" si="689"/>
        <v/>
      </c>
    </row>
    <row r="40979" spans="8:8" x14ac:dyDescent="0.3">
      <c r="H40979" t="str">
        <f t="shared" si="689"/>
        <v/>
      </c>
    </row>
    <row r="40980" spans="8:8" x14ac:dyDescent="0.3">
      <c r="H40980" t="str">
        <f t="shared" si="689"/>
        <v/>
      </c>
    </row>
    <row r="40981" spans="8:8" x14ac:dyDescent="0.3">
      <c r="H40981" t="str">
        <f t="shared" si="689"/>
        <v/>
      </c>
    </row>
    <row r="40982" spans="8:8" x14ac:dyDescent="0.3">
      <c r="H40982" t="str">
        <f t="shared" si="689"/>
        <v/>
      </c>
    </row>
    <row r="40983" spans="8:8" x14ac:dyDescent="0.3">
      <c r="H40983" t="str">
        <f t="shared" ref="H40983:H41046" si="690">IF(B40983="","",$C$12)</f>
        <v/>
      </c>
    </row>
    <row r="40984" spans="8:8" x14ac:dyDescent="0.3">
      <c r="H40984" t="str">
        <f t="shared" si="690"/>
        <v/>
      </c>
    </row>
    <row r="40985" spans="8:8" x14ac:dyDescent="0.3">
      <c r="H40985" t="str">
        <f t="shared" si="690"/>
        <v/>
      </c>
    </row>
    <row r="40986" spans="8:8" x14ac:dyDescent="0.3">
      <c r="H40986" t="str">
        <f t="shared" si="690"/>
        <v/>
      </c>
    </row>
    <row r="40987" spans="8:8" x14ac:dyDescent="0.3">
      <c r="H40987" t="str">
        <f t="shared" si="690"/>
        <v/>
      </c>
    </row>
    <row r="40988" spans="8:8" x14ac:dyDescent="0.3">
      <c r="H40988" t="str">
        <f t="shared" si="690"/>
        <v/>
      </c>
    </row>
    <row r="40989" spans="8:8" x14ac:dyDescent="0.3">
      <c r="H40989" t="str">
        <f t="shared" si="690"/>
        <v/>
      </c>
    </row>
    <row r="40990" spans="8:8" x14ac:dyDescent="0.3">
      <c r="H40990" t="str">
        <f t="shared" si="690"/>
        <v/>
      </c>
    </row>
    <row r="40991" spans="8:8" x14ac:dyDescent="0.3">
      <c r="H40991" t="str">
        <f t="shared" si="690"/>
        <v/>
      </c>
    </row>
    <row r="40992" spans="8:8" x14ac:dyDescent="0.3">
      <c r="H40992" t="str">
        <f t="shared" si="690"/>
        <v/>
      </c>
    </row>
    <row r="40993" spans="8:8" x14ac:dyDescent="0.3">
      <c r="H40993" t="str">
        <f t="shared" si="690"/>
        <v/>
      </c>
    </row>
    <row r="40994" spans="8:8" x14ac:dyDescent="0.3">
      <c r="H40994" t="str">
        <f t="shared" si="690"/>
        <v/>
      </c>
    </row>
    <row r="40995" spans="8:8" x14ac:dyDescent="0.3">
      <c r="H40995" t="str">
        <f t="shared" si="690"/>
        <v/>
      </c>
    </row>
    <row r="40996" spans="8:8" x14ac:dyDescent="0.3">
      <c r="H40996" t="str">
        <f t="shared" si="690"/>
        <v/>
      </c>
    </row>
    <row r="40997" spans="8:8" x14ac:dyDescent="0.3">
      <c r="H40997" t="str">
        <f t="shared" si="690"/>
        <v/>
      </c>
    </row>
    <row r="40998" spans="8:8" x14ac:dyDescent="0.3">
      <c r="H40998" t="str">
        <f t="shared" si="690"/>
        <v/>
      </c>
    </row>
    <row r="40999" spans="8:8" x14ac:dyDescent="0.3">
      <c r="H40999" t="str">
        <f t="shared" si="690"/>
        <v/>
      </c>
    </row>
    <row r="41000" spans="8:8" x14ac:dyDescent="0.3">
      <c r="H41000" t="str">
        <f t="shared" si="690"/>
        <v/>
      </c>
    </row>
    <row r="41001" spans="8:8" x14ac:dyDescent="0.3">
      <c r="H41001" t="str">
        <f t="shared" si="690"/>
        <v/>
      </c>
    </row>
    <row r="41002" spans="8:8" x14ac:dyDescent="0.3">
      <c r="H41002" t="str">
        <f t="shared" si="690"/>
        <v/>
      </c>
    </row>
    <row r="41003" spans="8:8" x14ac:dyDescent="0.3">
      <c r="H41003" t="str">
        <f t="shared" si="690"/>
        <v/>
      </c>
    </row>
    <row r="41004" spans="8:8" x14ac:dyDescent="0.3">
      <c r="H41004" t="str">
        <f t="shared" si="690"/>
        <v/>
      </c>
    </row>
    <row r="41005" spans="8:8" x14ac:dyDescent="0.3">
      <c r="H41005" t="str">
        <f t="shared" si="690"/>
        <v/>
      </c>
    </row>
    <row r="41006" spans="8:8" x14ac:dyDescent="0.3">
      <c r="H41006" t="str">
        <f t="shared" si="690"/>
        <v/>
      </c>
    </row>
    <row r="41007" spans="8:8" x14ac:dyDescent="0.3">
      <c r="H41007" t="str">
        <f t="shared" si="690"/>
        <v/>
      </c>
    </row>
    <row r="41008" spans="8:8" x14ac:dyDescent="0.3">
      <c r="H41008" t="str">
        <f t="shared" si="690"/>
        <v/>
      </c>
    </row>
    <row r="41009" spans="8:8" x14ac:dyDescent="0.3">
      <c r="H41009" t="str">
        <f t="shared" si="690"/>
        <v/>
      </c>
    </row>
    <row r="41010" spans="8:8" x14ac:dyDescent="0.3">
      <c r="H41010" t="str">
        <f t="shared" si="690"/>
        <v/>
      </c>
    </row>
    <row r="41011" spans="8:8" x14ac:dyDescent="0.3">
      <c r="H41011" t="str">
        <f t="shared" si="690"/>
        <v/>
      </c>
    </row>
    <row r="41012" spans="8:8" x14ac:dyDescent="0.3">
      <c r="H41012" t="str">
        <f t="shared" si="690"/>
        <v/>
      </c>
    </row>
    <row r="41013" spans="8:8" x14ac:dyDescent="0.3">
      <c r="H41013" t="str">
        <f t="shared" si="690"/>
        <v/>
      </c>
    </row>
    <row r="41014" spans="8:8" x14ac:dyDescent="0.3">
      <c r="H41014" t="str">
        <f t="shared" si="690"/>
        <v/>
      </c>
    </row>
    <row r="41015" spans="8:8" x14ac:dyDescent="0.3">
      <c r="H41015" t="str">
        <f t="shared" si="690"/>
        <v/>
      </c>
    </row>
    <row r="41016" spans="8:8" x14ac:dyDescent="0.3">
      <c r="H41016" t="str">
        <f t="shared" si="690"/>
        <v/>
      </c>
    </row>
    <row r="41017" spans="8:8" x14ac:dyDescent="0.3">
      <c r="H41017" t="str">
        <f t="shared" si="690"/>
        <v/>
      </c>
    </row>
    <row r="41018" spans="8:8" x14ac:dyDescent="0.3">
      <c r="H41018" t="str">
        <f t="shared" si="690"/>
        <v/>
      </c>
    </row>
    <row r="41019" spans="8:8" x14ac:dyDescent="0.3">
      <c r="H41019" t="str">
        <f t="shared" si="690"/>
        <v/>
      </c>
    </row>
    <row r="41020" spans="8:8" x14ac:dyDescent="0.3">
      <c r="H41020" t="str">
        <f t="shared" si="690"/>
        <v/>
      </c>
    </row>
    <row r="41021" spans="8:8" x14ac:dyDescent="0.3">
      <c r="H41021" t="str">
        <f t="shared" si="690"/>
        <v/>
      </c>
    </row>
    <row r="41022" spans="8:8" x14ac:dyDescent="0.3">
      <c r="H41022" t="str">
        <f t="shared" si="690"/>
        <v/>
      </c>
    </row>
    <row r="41023" spans="8:8" x14ac:dyDescent="0.3">
      <c r="H41023" t="str">
        <f t="shared" si="690"/>
        <v/>
      </c>
    </row>
    <row r="41024" spans="8:8" x14ac:dyDescent="0.3">
      <c r="H41024" t="str">
        <f t="shared" si="690"/>
        <v/>
      </c>
    </row>
    <row r="41025" spans="8:8" x14ac:dyDescent="0.3">
      <c r="H41025" t="str">
        <f t="shared" si="690"/>
        <v/>
      </c>
    </row>
    <row r="41026" spans="8:8" x14ac:dyDescent="0.3">
      <c r="H41026" t="str">
        <f t="shared" si="690"/>
        <v/>
      </c>
    </row>
    <row r="41027" spans="8:8" x14ac:dyDescent="0.3">
      <c r="H41027" t="str">
        <f t="shared" si="690"/>
        <v/>
      </c>
    </row>
    <row r="41028" spans="8:8" x14ac:dyDescent="0.3">
      <c r="H41028" t="str">
        <f t="shared" si="690"/>
        <v/>
      </c>
    </row>
    <row r="41029" spans="8:8" x14ac:dyDescent="0.3">
      <c r="H41029" t="str">
        <f t="shared" si="690"/>
        <v/>
      </c>
    </row>
    <row r="41030" spans="8:8" x14ac:dyDescent="0.3">
      <c r="H41030" t="str">
        <f t="shared" si="690"/>
        <v/>
      </c>
    </row>
    <row r="41031" spans="8:8" x14ac:dyDescent="0.3">
      <c r="H41031" t="str">
        <f t="shared" si="690"/>
        <v/>
      </c>
    </row>
    <row r="41032" spans="8:8" x14ac:dyDescent="0.3">
      <c r="H41032" t="str">
        <f t="shared" si="690"/>
        <v/>
      </c>
    </row>
    <row r="41033" spans="8:8" x14ac:dyDescent="0.3">
      <c r="H41033" t="str">
        <f t="shared" si="690"/>
        <v/>
      </c>
    </row>
    <row r="41034" spans="8:8" x14ac:dyDescent="0.3">
      <c r="H41034" t="str">
        <f t="shared" si="690"/>
        <v/>
      </c>
    </row>
    <row r="41035" spans="8:8" x14ac:dyDescent="0.3">
      <c r="H41035" t="str">
        <f t="shared" si="690"/>
        <v/>
      </c>
    </row>
    <row r="41036" spans="8:8" x14ac:dyDescent="0.3">
      <c r="H41036" t="str">
        <f t="shared" si="690"/>
        <v/>
      </c>
    </row>
    <row r="41037" spans="8:8" x14ac:dyDescent="0.3">
      <c r="H41037" t="str">
        <f t="shared" si="690"/>
        <v/>
      </c>
    </row>
    <row r="41038" spans="8:8" x14ac:dyDescent="0.3">
      <c r="H41038" t="str">
        <f t="shared" si="690"/>
        <v/>
      </c>
    </row>
    <row r="41039" spans="8:8" x14ac:dyDescent="0.3">
      <c r="H41039" t="str">
        <f t="shared" si="690"/>
        <v/>
      </c>
    </row>
    <row r="41040" spans="8:8" x14ac:dyDescent="0.3">
      <c r="H41040" t="str">
        <f t="shared" si="690"/>
        <v/>
      </c>
    </row>
    <row r="41041" spans="8:8" x14ac:dyDescent="0.3">
      <c r="H41041" t="str">
        <f t="shared" si="690"/>
        <v/>
      </c>
    </row>
    <row r="41042" spans="8:8" x14ac:dyDescent="0.3">
      <c r="H41042" t="str">
        <f t="shared" si="690"/>
        <v/>
      </c>
    </row>
    <row r="41043" spans="8:8" x14ac:dyDescent="0.3">
      <c r="H41043" t="str">
        <f t="shared" si="690"/>
        <v/>
      </c>
    </row>
    <row r="41044" spans="8:8" x14ac:dyDescent="0.3">
      <c r="H41044" t="str">
        <f t="shared" si="690"/>
        <v/>
      </c>
    </row>
    <row r="41045" spans="8:8" x14ac:dyDescent="0.3">
      <c r="H41045" t="str">
        <f t="shared" si="690"/>
        <v/>
      </c>
    </row>
    <row r="41046" spans="8:8" x14ac:dyDescent="0.3">
      <c r="H41046" t="str">
        <f t="shared" si="690"/>
        <v/>
      </c>
    </row>
    <row r="41047" spans="8:8" x14ac:dyDescent="0.3">
      <c r="H41047" t="str">
        <f t="shared" ref="H41047:H41110" si="691">IF(B41047="","",$C$12)</f>
        <v/>
      </c>
    </row>
    <row r="41048" spans="8:8" x14ac:dyDescent="0.3">
      <c r="H41048" t="str">
        <f t="shared" si="691"/>
        <v/>
      </c>
    </row>
    <row r="41049" spans="8:8" x14ac:dyDescent="0.3">
      <c r="H41049" t="str">
        <f t="shared" si="691"/>
        <v/>
      </c>
    </row>
    <row r="41050" spans="8:8" x14ac:dyDescent="0.3">
      <c r="H41050" t="str">
        <f t="shared" si="691"/>
        <v/>
      </c>
    </row>
    <row r="41051" spans="8:8" x14ac:dyDescent="0.3">
      <c r="H41051" t="str">
        <f t="shared" si="691"/>
        <v/>
      </c>
    </row>
    <row r="41052" spans="8:8" x14ac:dyDescent="0.3">
      <c r="H41052" t="str">
        <f t="shared" si="691"/>
        <v/>
      </c>
    </row>
    <row r="41053" spans="8:8" x14ac:dyDescent="0.3">
      <c r="H41053" t="str">
        <f t="shared" si="691"/>
        <v/>
      </c>
    </row>
    <row r="41054" spans="8:8" x14ac:dyDescent="0.3">
      <c r="H41054" t="str">
        <f t="shared" si="691"/>
        <v/>
      </c>
    </row>
    <row r="41055" spans="8:8" x14ac:dyDescent="0.3">
      <c r="H41055" t="str">
        <f t="shared" si="691"/>
        <v/>
      </c>
    </row>
    <row r="41056" spans="8:8" x14ac:dyDescent="0.3">
      <c r="H41056" t="str">
        <f t="shared" si="691"/>
        <v/>
      </c>
    </row>
    <row r="41057" spans="8:8" x14ac:dyDescent="0.3">
      <c r="H41057" t="str">
        <f t="shared" si="691"/>
        <v/>
      </c>
    </row>
    <row r="41058" spans="8:8" x14ac:dyDescent="0.3">
      <c r="H41058" t="str">
        <f t="shared" si="691"/>
        <v/>
      </c>
    </row>
    <row r="41059" spans="8:8" x14ac:dyDescent="0.3">
      <c r="H41059" t="str">
        <f t="shared" si="691"/>
        <v/>
      </c>
    </row>
    <row r="41060" spans="8:8" x14ac:dyDescent="0.3">
      <c r="H41060" t="str">
        <f t="shared" si="691"/>
        <v/>
      </c>
    </row>
    <row r="41061" spans="8:8" x14ac:dyDescent="0.3">
      <c r="H41061" t="str">
        <f t="shared" si="691"/>
        <v/>
      </c>
    </row>
    <row r="41062" spans="8:8" x14ac:dyDescent="0.3">
      <c r="H41062" t="str">
        <f t="shared" si="691"/>
        <v/>
      </c>
    </row>
    <row r="41063" spans="8:8" x14ac:dyDescent="0.3">
      <c r="H41063" t="str">
        <f t="shared" si="691"/>
        <v/>
      </c>
    </row>
    <row r="41064" spans="8:8" x14ac:dyDescent="0.3">
      <c r="H41064" t="str">
        <f t="shared" si="691"/>
        <v/>
      </c>
    </row>
    <row r="41065" spans="8:8" x14ac:dyDescent="0.3">
      <c r="H41065" t="str">
        <f t="shared" si="691"/>
        <v/>
      </c>
    </row>
    <row r="41066" spans="8:8" x14ac:dyDescent="0.3">
      <c r="H41066" t="str">
        <f t="shared" si="691"/>
        <v/>
      </c>
    </row>
    <row r="41067" spans="8:8" x14ac:dyDescent="0.3">
      <c r="H41067" t="str">
        <f t="shared" si="691"/>
        <v/>
      </c>
    </row>
    <row r="41068" spans="8:8" x14ac:dyDescent="0.3">
      <c r="H41068" t="str">
        <f t="shared" si="691"/>
        <v/>
      </c>
    </row>
    <row r="41069" spans="8:8" x14ac:dyDescent="0.3">
      <c r="H41069" t="str">
        <f t="shared" si="691"/>
        <v/>
      </c>
    </row>
    <row r="41070" spans="8:8" x14ac:dyDescent="0.3">
      <c r="H41070" t="str">
        <f t="shared" si="691"/>
        <v/>
      </c>
    </row>
    <row r="41071" spans="8:8" x14ac:dyDescent="0.3">
      <c r="H41071" t="str">
        <f t="shared" si="691"/>
        <v/>
      </c>
    </row>
    <row r="41072" spans="8:8" x14ac:dyDescent="0.3">
      <c r="H41072" t="str">
        <f t="shared" si="691"/>
        <v/>
      </c>
    </row>
    <row r="41073" spans="8:8" x14ac:dyDescent="0.3">
      <c r="H41073" t="str">
        <f t="shared" si="691"/>
        <v/>
      </c>
    </row>
    <row r="41074" spans="8:8" x14ac:dyDescent="0.3">
      <c r="H41074" t="str">
        <f t="shared" si="691"/>
        <v/>
      </c>
    </row>
    <row r="41075" spans="8:8" x14ac:dyDescent="0.3">
      <c r="H41075" t="str">
        <f t="shared" si="691"/>
        <v/>
      </c>
    </row>
    <row r="41076" spans="8:8" x14ac:dyDescent="0.3">
      <c r="H41076" t="str">
        <f t="shared" si="691"/>
        <v/>
      </c>
    </row>
    <row r="41077" spans="8:8" x14ac:dyDescent="0.3">
      <c r="H41077" t="str">
        <f t="shared" si="691"/>
        <v/>
      </c>
    </row>
    <row r="41078" spans="8:8" x14ac:dyDescent="0.3">
      <c r="H41078" t="str">
        <f t="shared" si="691"/>
        <v/>
      </c>
    </row>
    <row r="41079" spans="8:8" x14ac:dyDescent="0.3">
      <c r="H41079" t="str">
        <f t="shared" si="691"/>
        <v/>
      </c>
    </row>
    <row r="41080" spans="8:8" x14ac:dyDescent="0.3">
      <c r="H41080" t="str">
        <f t="shared" si="691"/>
        <v/>
      </c>
    </row>
    <row r="41081" spans="8:8" x14ac:dyDescent="0.3">
      <c r="H41081" t="str">
        <f t="shared" si="691"/>
        <v/>
      </c>
    </row>
    <row r="41082" spans="8:8" x14ac:dyDescent="0.3">
      <c r="H41082" t="str">
        <f t="shared" si="691"/>
        <v/>
      </c>
    </row>
    <row r="41083" spans="8:8" x14ac:dyDescent="0.3">
      <c r="H41083" t="str">
        <f t="shared" si="691"/>
        <v/>
      </c>
    </row>
    <row r="41084" spans="8:8" x14ac:dyDescent="0.3">
      <c r="H41084" t="str">
        <f t="shared" si="691"/>
        <v/>
      </c>
    </row>
    <row r="41085" spans="8:8" x14ac:dyDescent="0.3">
      <c r="H41085" t="str">
        <f t="shared" si="691"/>
        <v/>
      </c>
    </row>
    <row r="41086" spans="8:8" x14ac:dyDescent="0.3">
      <c r="H41086" t="str">
        <f t="shared" si="691"/>
        <v/>
      </c>
    </row>
    <row r="41087" spans="8:8" x14ac:dyDescent="0.3">
      <c r="H41087" t="str">
        <f t="shared" si="691"/>
        <v/>
      </c>
    </row>
    <row r="41088" spans="8:8" x14ac:dyDescent="0.3">
      <c r="H41088" t="str">
        <f t="shared" si="691"/>
        <v/>
      </c>
    </row>
    <row r="41089" spans="8:8" x14ac:dyDescent="0.3">
      <c r="H41089" t="str">
        <f t="shared" si="691"/>
        <v/>
      </c>
    </row>
    <row r="41090" spans="8:8" x14ac:dyDescent="0.3">
      <c r="H41090" t="str">
        <f t="shared" si="691"/>
        <v/>
      </c>
    </row>
    <row r="41091" spans="8:8" x14ac:dyDescent="0.3">
      <c r="H41091" t="str">
        <f t="shared" si="691"/>
        <v/>
      </c>
    </row>
    <row r="41092" spans="8:8" x14ac:dyDescent="0.3">
      <c r="H41092" t="str">
        <f t="shared" si="691"/>
        <v/>
      </c>
    </row>
    <row r="41093" spans="8:8" x14ac:dyDescent="0.3">
      <c r="H41093" t="str">
        <f t="shared" si="691"/>
        <v/>
      </c>
    </row>
    <row r="41094" spans="8:8" x14ac:dyDescent="0.3">
      <c r="H41094" t="str">
        <f t="shared" si="691"/>
        <v/>
      </c>
    </row>
    <row r="41095" spans="8:8" x14ac:dyDescent="0.3">
      <c r="H41095" t="str">
        <f t="shared" si="691"/>
        <v/>
      </c>
    </row>
    <row r="41096" spans="8:8" x14ac:dyDescent="0.3">
      <c r="H41096" t="str">
        <f t="shared" si="691"/>
        <v/>
      </c>
    </row>
    <row r="41097" spans="8:8" x14ac:dyDescent="0.3">
      <c r="H41097" t="str">
        <f t="shared" si="691"/>
        <v/>
      </c>
    </row>
    <row r="41098" spans="8:8" x14ac:dyDescent="0.3">
      <c r="H41098" t="str">
        <f t="shared" si="691"/>
        <v/>
      </c>
    </row>
    <row r="41099" spans="8:8" x14ac:dyDescent="0.3">
      <c r="H41099" t="str">
        <f t="shared" si="691"/>
        <v/>
      </c>
    </row>
    <row r="41100" spans="8:8" x14ac:dyDescent="0.3">
      <c r="H41100" t="str">
        <f t="shared" si="691"/>
        <v/>
      </c>
    </row>
    <row r="41101" spans="8:8" x14ac:dyDescent="0.3">
      <c r="H41101" t="str">
        <f t="shared" si="691"/>
        <v/>
      </c>
    </row>
    <row r="41102" spans="8:8" x14ac:dyDescent="0.3">
      <c r="H41102" t="str">
        <f t="shared" si="691"/>
        <v/>
      </c>
    </row>
    <row r="41103" spans="8:8" x14ac:dyDescent="0.3">
      <c r="H41103" t="str">
        <f t="shared" si="691"/>
        <v/>
      </c>
    </row>
    <row r="41104" spans="8:8" x14ac:dyDescent="0.3">
      <c r="H41104" t="str">
        <f t="shared" si="691"/>
        <v/>
      </c>
    </row>
    <row r="41105" spans="8:8" x14ac:dyDescent="0.3">
      <c r="H41105" t="str">
        <f t="shared" si="691"/>
        <v/>
      </c>
    </row>
    <row r="41106" spans="8:8" x14ac:dyDescent="0.3">
      <c r="H41106" t="str">
        <f t="shared" si="691"/>
        <v/>
      </c>
    </row>
    <row r="41107" spans="8:8" x14ac:dyDescent="0.3">
      <c r="H41107" t="str">
        <f t="shared" si="691"/>
        <v/>
      </c>
    </row>
    <row r="41108" spans="8:8" x14ac:dyDescent="0.3">
      <c r="H41108" t="str">
        <f t="shared" si="691"/>
        <v/>
      </c>
    </row>
    <row r="41109" spans="8:8" x14ac:dyDescent="0.3">
      <c r="H41109" t="str">
        <f t="shared" si="691"/>
        <v/>
      </c>
    </row>
    <row r="41110" spans="8:8" x14ac:dyDescent="0.3">
      <c r="H41110" t="str">
        <f t="shared" si="691"/>
        <v/>
      </c>
    </row>
    <row r="41111" spans="8:8" x14ac:dyDescent="0.3">
      <c r="H41111" t="str">
        <f t="shared" ref="H41111:H41174" si="692">IF(B41111="","",$C$12)</f>
        <v/>
      </c>
    </row>
    <row r="41112" spans="8:8" x14ac:dyDescent="0.3">
      <c r="H41112" t="str">
        <f t="shared" si="692"/>
        <v/>
      </c>
    </row>
    <row r="41113" spans="8:8" x14ac:dyDescent="0.3">
      <c r="H41113" t="str">
        <f t="shared" si="692"/>
        <v/>
      </c>
    </row>
    <row r="41114" spans="8:8" x14ac:dyDescent="0.3">
      <c r="H41114" t="str">
        <f t="shared" si="692"/>
        <v/>
      </c>
    </row>
    <row r="41115" spans="8:8" x14ac:dyDescent="0.3">
      <c r="H41115" t="str">
        <f t="shared" si="692"/>
        <v/>
      </c>
    </row>
    <row r="41116" spans="8:8" x14ac:dyDescent="0.3">
      <c r="H41116" t="str">
        <f t="shared" si="692"/>
        <v/>
      </c>
    </row>
    <row r="41117" spans="8:8" x14ac:dyDescent="0.3">
      <c r="H41117" t="str">
        <f t="shared" si="692"/>
        <v/>
      </c>
    </row>
    <row r="41118" spans="8:8" x14ac:dyDescent="0.3">
      <c r="H41118" t="str">
        <f t="shared" si="692"/>
        <v/>
      </c>
    </row>
    <row r="41119" spans="8:8" x14ac:dyDescent="0.3">
      <c r="H41119" t="str">
        <f t="shared" si="692"/>
        <v/>
      </c>
    </row>
    <row r="41120" spans="8:8" x14ac:dyDescent="0.3">
      <c r="H41120" t="str">
        <f t="shared" si="692"/>
        <v/>
      </c>
    </row>
    <row r="41121" spans="8:8" x14ac:dyDescent="0.3">
      <c r="H41121" t="str">
        <f t="shared" si="692"/>
        <v/>
      </c>
    </row>
    <row r="41122" spans="8:8" x14ac:dyDescent="0.3">
      <c r="H41122" t="str">
        <f t="shared" si="692"/>
        <v/>
      </c>
    </row>
    <row r="41123" spans="8:8" x14ac:dyDescent="0.3">
      <c r="H41123" t="str">
        <f t="shared" si="692"/>
        <v/>
      </c>
    </row>
    <row r="41124" spans="8:8" x14ac:dyDescent="0.3">
      <c r="H41124" t="str">
        <f t="shared" si="692"/>
        <v/>
      </c>
    </row>
    <row r="41125" spans="8:8" x14ac:dyDescent="0.3">
      <c r="H41125" t="str">
        <f t="shared" si="692"/>
        <v/>
      </c>
    </row>
    <row r="41126" spans="8:8" x14ac:dyDescent="0.3">
      <c r="H41126" t="str">
        <f t="shared" si="692"/>
        <v/>
      </c>
    </row>
    <row r="41127" spans="8:8" x14ac:dyDescent="0.3">
      <c r="H41127" t="str">
        <f t="shared" si="692"/>
        <v/>
      </c>
    </row>
    <row r="41128" spans="8:8" x14ac:dyDescent="0.3">
      <c r="H41128" t="str">
        <f t="shared" si="692"/>
        <v/>
      </c>
    </row>
    <row r="41129" spans="8:8" x14ac:dyDescent="0.3">
      <c r="H41129" t="str">
        <f t="shared" si="692"/>
        <v/>
      </c>
    </row>
    <row r="41130" spans="8:8" x14ac:dyDescent="0.3">
      <c r="H41130" t="str">
        <f t="shared" si="692"/>
        <v/>
      </c>
    </row>
    <row r="41131" spans="8:8" x14ac:dyDescent="0.3">
      <c r="H41131" t="str">
        <f t="shared" si="692"/>
        <v/>
      </c>
    </row>
    <row r="41132" spans="8:8" x14ac:dyDescent="0.3">
      <c r="H41132" t="str">
        <f t="shared" si="692"/>
        <v/>
      </c>
    </row>
    <row r="41133" spans="8:8" x14ac:dyDescent="0.3">
      <c r="H41133" t="str">
        <f t="shared" si="692"/>
        <v/>
      </c>
    </row>
    <row r="41134" spans="8:8" x14ac:dyDescent="0.3">
      <c r="H41134" t="str">
        <f t="shared" si="692"/>
        <v/>
      </c>
    </row>
    <row r="41135" spans="8:8" x14ac:dyDescent="0.3">
      <c r="H41135" t="str">
        <f t="shared" si="692"/>
        <v/>
      </c>
    </row>
    <row r="41136" spans="8:8" x14ac:dyDescent="0.3">
      <c r="H41136" t="str">
        <f t="shared" si="692"/>
        <v/>
      </c>
    </row>
    <row r="41137" spans="8:8" x14ac:dyDescent="0.3">
      <c r="H41137" t="str">
        <f t="shared" si="692"/>
        <v/>
      </c>
    </row>
    <row r="41138" spans="8:8" x14ac:dyDescent="0.3">
      <c r="H41138" t="str">
        <f t="shared" si="692"/>
        <v/>
      </c>
    </row>
    <row r="41139" spans="8:8" x14ac:dyDescent="0.3">
      <c r="H41139" t="str">
        <f t="shared" si="692"/>
        <v/>
      </c>
    </row>
    <row r="41140" spans="8:8" x14ac:dyDescent="0.3">
      <c r="H41140" t="str">
        <f t="shared" si="692"/>
        <v/>
      </c>
    </row>
    <row r="41141" spans="8:8" x14ac:dyDescent="0.3">
      <c r="H41141" t="str">
        <f t="shared" si="692"/>
        <v/>
      </c>
    </row>
    <row r="41142" spans="8:8" x14ac:dyDescent="0.3">
      <c r="H41142" t="str">
        <f t="shared" si="692"/>
        <v/>
      </c>
    </row>
    <row r="41143" spans="8:8" x14ac:dyDescent="0.3">
      <c r="H41143" t="str">
        <f t="shared" si="692"/>
        <v/>
      </c>
    </row>
    <row r="41144" spans="8:8" x14ac:dyDescent="0.3">
      <c r="H41144" t="str">
        <f t="shared" si="692"/>
        <v/>
      </c>
    </row>
    <row r="41145" spans="8:8" x14ac:dyDescent="0.3">
      <c r="H41145" t="str">
        <f t="shared" si="692"/>
        <v/>
      </c>
    </row>
    <row r="41146" spans="8:8" x14ac:dyDescent="0.3">
      <c r="H41146" t="str">
        <f t="shared" si="692"/>
        <v/>
      </c>
    </row>
    <row r="41147" spans="8:8" x14ac:dyDescent="0.3">
      <c r="H41147" t="str">
        <f t="shared" si="692"/>
        <v/>
      </c>
    </row>
    <row r="41148" spans="8:8" x14ac:dyDescent="0.3">
      <c r="H41148" t="str">
        <f t="shared" si="692"/>
        <v/>
      </c>
    </row>
    <row r="41149" spans="8:8" x14ac:dyDescent="0.3">
      <c r="H41149" t="str">
        <f t="shared" si="692"/>
        <v/>
      </c>
    </row>
    <row r="41150" spans="8:8" x14ac:dyDescent="0.3">
      <c r="H41150" t="str">
        <f t="shared" si="692"/>
        <v/>
      </c>
    </row>
    <row r="41151" spans="8:8" x14ac:dyDescent="0.3">
      <c r="H41151" t="str">
        <f t="shared" si="692"/>
        <v/>
      </c>
    </row>
    <row r="41152" spans="8:8" x14ac:dyDescent="0.3">
      <c r="H41152" t="str">
        <f t="shared" si="692"/>
        <v/>
      </c>
    </row>
    <row r="41153" spans="8:8" x14ac:dyDescent="0.3">
      <c r="H41153" t="str">
        <f t="shared" si="692"/>
        <v/>
      </c>
    </row>
    <row r="41154" spans="8:8" x14ac:dyDescent="0.3">
      <c r="H41154" t="str">
        <f t="shared" si="692"/>
        <v/>
      </c>
    </row>
    <row r="41155" spans="8:8" x14ac:dyDescent="0.3">
      <c r="H41155" t="str">
        <f t="shared" si="692"/>
        <v/>
      </c>
    </row>
    <row r="41156" spans="8:8" x14ac:dyDescent="0.3">
      <c r="H41156" t="str">
        <f t="shared" si="692"/>
        <v/>
      </c>
    </row>
    <row r="41157" spans="8:8" x14ac:dyDescent="0.3">
      <c r="H41157" t="str">
        <f t="shared" si="692"/>
        <v/>
      </c>
    </row>
    <row r="41158" spans="8:8" x14ac:dyDescent="0.3">
      <c r="H41158" t="str">
        <f t="shared" si="692"/>
        <v/>
      </c>
    </row>
    <row r="41159" spans="8:8" x14ac:dyDescent="0.3">
      <c r="H41159" t="str">
        <f t="shared" si="692"/>
        <v/>
      </c>
    </row>
    <row r="41160" spans="8:8" x14ac:dyDescent="0.3">
      <c r="H41160" t="str">
        <f t="shared" si="692"/>
        <v/>
      </c>
    </row>
    <row r="41161" spans="8:8" x14ac:dyDescent="0.3">
      <c r="H41161" t="str">
        <f t="shared" si="692"/>
        <v/>
      </c>
    </row>
    <row r="41162" spans="8:8" x14ac:dyDescent="0.3">
      <c r="H41162" t="str">
        <f t="shared" si="692"/>
        <v/>
      </c>
    </row>
    <row r="41163" spans="8:8" x14ac:dyDescent="0.3">
      <c r="H41163" t="str">
        <f t="shared" si="692"/>
        <v/>
      </c>
    </row>
    <row r="41164" spans="8:8" x14ac:dyDescent="0.3">
      <c r="H41164" t="str">
        <f t="shared" si="692"/>
        <v/>
      </c>
    </row>
    <row r="41165" spans="8:8" x14ac:dyDescent="0.3">
      <c r="H41165" t="str">
        <f t="shared" si="692"/>
        <v/>
      </c>
    </row>
    <row r="41166" spans="8:8" x14ac:dyDescent="0.3">
      <c r="H41166" t="str">
        <f t="shared" si="692"/>
        <v/>
      </c>
    </row>
    <row r="41167" spans="8:8" x14ac:dyDescent="0.3">
      <c r="H41167" t="str">
        <f t="shared" si="692"/>
        <v/>
      </c>
    </row>
    <row r="41168" spans="8:8" x14ac:dyDescent="0.3">
      <c r="H41168" t="str">
        <f t="shared" si="692"/>
        <v/>
      </c>
    </row>
    <row r="41169" spans="8:8" x14ac:dyDescent="0.3">
      <c r="H41169" t="str">
        <f t="shared" si="692"/>
        <v/>
      </c>
    </row>
    <row r="41170" spans="8:8" x14ac:dyDescent="0.3">
      <c r="H41170" t="str">
        <f t="shared" si="692"/>
        <v/>
      </c>
    </row>
    <row r="41171" spans="8:8" x14ac:dyDescent="0.3">
      <c r="H41171" t="str">
        <f t="shared" si="692"/>
        <v/>
      </c>
    </row>
    <row r="41172" spans="8:8" x14ac:dyDescent="0.3">
      <c r="H41172" t="str">
        <f t="shared" si="692"/>
        <v/>
      </c>
    </row>
    <row r="41173" spans="8:8" x14ac:dyDescent="0.3">
      <c r="H41173" t="str">
        <f t="shared" si="692"/>
        <v/>
      </c>
    </row>
    <row r="41174" spans="8:8" x14ac:dyDescent="0.3">
      <c r="H41174" t="str">
        <f t="shared" si="692"/>
        <v/>
      </c>
    </row>
    <row r="41175" spans="8:8" x14ac:dyDescent="0.3">
      <c r="H41175" t="str">
        <f t="shared" ref="H41175:H41238" si="693">IF(B41175="","",$C$12)</f>
        <v/>
      </c>
    </row>
    <row r="41176" spans="8:8" x14ac:dyDescent="0.3">
      <c r="H41176" t="str">
        <f t="shared" si="693"/>
        <v/>
      </c>
    </row>
    <row r="41177" spans="8:8" x14ac:dyDescent="0.3">
      <c r="H41177" t="str">
        <f t="shared" si="693"/>
        <v/>
      </c>
    </row>
    <row r="41178" spans="8:8" x14ac:dyDescent="0.3">
      <c r="H41178" t="str">
        <f t="shared" si="693"/>
        <v/>
      </c>
    </row>
    <row r="41179" spans="8:8" x14ac:dyDescent="0.3">
      <c r="H41179" t="str">
        <f t="shared" si="693"/>
        <v/>
      </c>
    </row>
    <row r="41180" spans="8:8" x14ac:dyDescent="0.3">
      <c r="H41180" t="str">
        <f t="shared" si="693"/>
        <v/>
      </c>
    </row>
    <row r="41181" spans="8:8" x14ac:dyDescent="0.3">
      <c r="H41181" t="str">
        <f t="shared" si="693"/>
        <v/>
      </c>
    </row>
    <row r="41182" spans="8:8" x14ac:dyDescent="0.3">
      <c r="H41182" t="str">
        <f t="shared" si="693"/>
        <v/>
      </c>
    </row>
    <row r="41183" spans="8:8" x14ac:dyDescent="0.3">
      <c r="H41183" t="str">
        <f t="shared" si="693"/>
        <v/>
      </c>
    </row>
    <row r="41184" spans="8:8" x14ac:dyDescent="0.3">
      <c r="H41184" t="str">
        <f t="shared" si="693"/>
        <v/>
      </c>
    </row>
    <row r="41185" spans="8:8" x14ac:dyDescent="0.3">
      <c r="H41185" t="str">
        <f t="shared" si="693"/>
        <v/>
      </c>
    </row>
    <row r="41186" spans="8:8" x14ac:dyDescent="0.3">
      <c r="H41186" t="str">
        <f t="shared" si="693"/>
        <v/>
      </c>
    </row>
    <row r="41187" spans="8:8" x14ac:dyDescent="0.3">
      <c r="H41187" t="str">
        <f t="shared" si="693"/>
        <v/>
      </c>
    </row>
    <row r="41188" spans="8:8" x14ac:dyDescent="0.3">
      <c r="H41188" t="str">
        <f t="shared" si="693"/>
        <v/>
      </c>
    </row>
    <row r="41189" spans="8:8" x14ac:dyDescent="0.3">
      <c r="H41189" t="str">
        <f t="shared" si="693"/>
        <v/>
      </c>
    </row>
    <row r="41190" spans="8:8" x14ac:dyDescent="0.3">
      <c r="H41190" t="str">
        <f t="shared" si="693"/>
        <v/>
      </c>
    </row>
    <row r="41191" spans="8:8" x14ac:dyDescent="0.3">
      <c r="H41191" t="str">
        <f t="shared" si="693"/>
        <v/>
      </c>
    </row>
    <row r="41192" spans="8:8" x14ac:dyDescent="0.3">
      <c r="H41192" t="str">
        <f t="shared" si="693"/>
        <v/>
      </c>
    </row>
    <row r="41193" spans="8:8" x14ac:dyDescent="0.3">
      <c r="H41193" t="str">
        <f t="shared" si="693"/>
        <v/>
      </c>
    </row>
    <row r="41194" spans="8:8" x14ac:dyDescent="0.3">
      <c r="H41194" t="str">
        <f t="shared" si="693"/>
        <v/>
      </c>
    </row>
    <row r="41195" spans="8:8" x14ac:dyDescent="0.3">
      <c r="H41195" t="str">
        <f t="shared" si="693"/>
        <v/>
      </c>
    </row>
    <row r="41196" spans="8:8" x14ac:dyDescent="0.3">
      <c r="H41196" t="str">
        <f t="shared" si="693"/>
        <v/>
      </c>
    </row>
    <row r="41197" spans="8:8" x14ac:dyDescent="0.3">
      <c r="H41197" t="str">
        <f t="shared" si="693"/>
        <v/>
      </c>
    </row>
    <row r="41198" spans="8:8" x14ac:dyDescent="0.3">
      <c r="H41198" t="str">
        <f t="shared" si="693"/>
        <v/>
      </c>
    </row>
    <row r="41199" spans="8:8" x14ac:dyDescent="0.3">
      <c r="H41199" t="str">
        <f t="shared" si="693"/>
        <v/>
      </c>
    </row>
    <row r="41200" spans="8:8" x14ac:dyDescent="0.3">
      <c r="H41200" t="str">
        <f t="shared" si="693"/>
        <v/>
      </c>
    </row>
    <row r="41201" spans="8:8" x14ac:dyDescent="0.3">
      <c r="H41201" t="str">
        <f t="shared" si="693"/>
        <v/>
      </c>
    </row>
    <row r="41202" spans="8:8" x14ac:dyDescent="0.3">
      <c r="H41202" t="str">
        <f t="shared" si="693"/>
        <v/>
      </c>
    </row>
    <row r="41203" spans="8:8" x14ac:dyDescent="0.3">
      <c r="H41203" t="str">
        <f t="shared" si="693"/>
        <v/>
      </c>
    </row>
    <row r="41204" spans="8:8" x14ac:dyDescent="0.3">
      <c r="H41204" t="str">
        <f t="shared" si="693"/>
        <v/>
      </c>
    </row>
    <row r="41205" spans="8:8" x14ac:dyDescent="0.3">
      <c r="H41205" t="str">
        <f t="shared" si="693"/>
        <v/>
      </c>
    </row>
    <row r="41206" spans="8:8" x14ac:dyDescent="0.3">
      <c r="H41206" t="str">
        <f t="shared" si="693"/>
        <v/>
      </c>
    </row>
    <row r="41207" spans="8:8" x14ac:dyDescent="0.3">
      <c r="H41207" t="str">
        <f t="shared" si="693"/>
        <v/>
      </c>
    </row>
    <row r="41208" spans="8:8" x14ac:dyDescent="0.3">
      <c r="H41208" t="str">
        <f t="shared" si="693"/>
        <v/>
      </c>
    </row>
    <row r="41209" spans="8:8" x14ac:dyDescent="0.3">
      <c r="H41209" t="str">
        <f t="shared" si="693"/>
        <v/>
      </c>
    </row>
    <row r="41210" spans="8:8" x14ac:dyDescent="0.3">
      <c r="H41210" t="str">
        <f t="shared" si="693"/>
        <v/>
      </c>
    </row>
    <row r="41211" spans="8:8" x14ac:dyDescent="0.3">
      <c r="H41211" t="str">
        <f t="shared" si="693"/>
        <v/>
      </c>
    </row>
    <row r="41212" spans="8:8" x14ac:dyDescent="0.3">
      <c r="H41212" t="str">
        <f t="shared" si="693"/>
        <v/>
      </c>
    </row>
    <row r="41213" spans="8:8" x14ac:dyDescent="0.3">
      <c r="H41213" t="str">
        <f t="shared" si="693"/>
        <v/>
      </c>
    </row>
    <row r="41214" spans="8:8" x14ac:dyDescent="0.3">
      <c r="H41214" t="str">
        <f t="shared" si="693"/>
        <v/>
      </c>
    </row>
    <row r="41215" spans="8:8" x14ac:dyDescent="0.3">
      <c r="H41215" t="str">
        <f t="shared" si="693"/>
        <v/>
      </c>
    </row>
    <row r="41216" spans="8:8" x14ac:dyDescent="0.3">
      <c r="H41216" t="str">
        <f t="shared" si="693"/>
        <v/>
      </c>
    </row>
    <row r="41217" spans="8:8" x14ac:dyDescent="0.3">
      <c r="H41217" t="str">
        <f t="shared" si="693"/>
        <v/>
      </c>
    </row>
    <row r="41218" spans="8:8" x14ac:dyDescent="0.3">
      <c r="H41218" t="str">
        <f t="shared" si="693"/>
        <v/>
      </c>
    </row>
    <row r="41219" spans="8:8" x14ac:dyDescent="0.3">
      <c r="H41219" t="str">
        <f t="shared" si="693"/>
        <v/>
      </c>
    </row>
    <row r="41220" spans="8:8" x14ac:dyDescent="0.3">
      <c r="H41220" t="str">
        <f t="shared" si="693"/>
        <v/>
      </c>
    </row>
    <row r="41221" spans="8:8" x14ac:dyDescent="0.3">
      <c r="H41221" t="str">
        <f t="shared" si="693"/>
        <v/>
      </c>
    </row>
    <row r="41222" spans="8:8" x14ac:dyDescent="0.3">
      <c r="H41222" t="str">
        <f t="shared" si="693"/>
        <v/>
      </c>
    </row>
    <row r="41223" spans="8:8" x14ac:dyDescent="0.3">
      <c r="H41223" t="str">
        <f t="shared" si="693"/>
        <v/>
      </c>
    </row>
    <row r="41224" spans="8:8" x14ac:dyDescent="0.3">
      <c r="H41224" t="str">
        <f t="shared" si="693"/>
        <v/>
      </c>
    </row>
    <row r="41225" spans="8:8" x14ac:dyDescent="0.3">
      <c r="H41225" t="str">
        <f t="shared" si="693"/>
        <v/>
      </c>
    </row>
    <row r="41226" spans="8:8" x14ac:dyDescent="0.3">
      <c r="H41226" t="str">
        <f t="shared" si="693"/>
        <v/>
      </c>
    </row>
    <row r="41227" spans="8:8" x14ac:dyDescent="0.3">
      <c r="H41227" t="str">
        <f t="shared" si="693"/>
        <v/>
      </c>
    </row>
    <row r="41228" spans="8:8" x14ac:dyDescent="0.3">
      <c r="H41228" t="str">
        <f t="shared" si="693"/>
        <v/>
      </c>
    </row>
    <row r="41229" spans="8:8" x14ac:dyDescent="0.3">
      <c r="H41229" t="str">
        <f t="shared" si="693"/>
        <v/>
      </c>
    </row>
    <row r="41230" spans="8:8" x14ac:dyDescent="0.3">
      <c r="H41230" t="str">
        <f t="shared" si="693"/>
        <v/>
      </c>
    </row>
    <row r="41231" spans="8:8" x14ac:dyDescent="0.3">
      <c r="H41231" t="str">
        <f t="shared" si="693"/>
        <v/>
      </c>
    </row>
    <row r="41232" spans="8:8" x14ac:dyDescent="0.3">
      <c r="H41232" t="str">
        <f t="shared" si="693"/>
        <v/>
      </c>
    </row>
    <row r="41233" spans="8:8" x14ac:dyDescent="0.3">
      <c r="H41233" t="str">
        <f t="shared" si="693"/>
        <v/>
      </c>
    </row>
    <row r="41234" spans="8:8" x14ac:dyDescent="0.3">
      <c r="H41234" t="str">
        <f t="shared" si="693"/>
        <v/>
      </c>
    </row>
    <row r="41235" spans="8:8" x14ac:dyDescent="0.3">
      <c r="H41235" t="str">
        <f t="shared" si="693"/>
        <v/>
      </c>
    </row>
    <row r="41236" spans="8:8" x14ac:dyDescent="0.3">
      <c r="H41236" t="str">
        <f t="shared" si="693"/>
        <v/>
      </c>
    </row>
    <row r="41237" spans="8:8" x14ac:dyDescent="0.3">
      <c r="H41237" t="str">
        <f t="shared" si="693"/>
        <v/>
      </c>
    </row>
    <row r="41238" spans="8:8" x14ac:dyDescent="0.3">
      <c r="H41238" t="str">
        <f t="shared" si="693"/>
        <v/>
      </c>
    </row>
    <row r="41239" spans="8:8" x14ac:dyDescent="0.3">
      <c r="H41239" t="str">
        <f t="shared" ref="H41239:H41302" si="694">IF(B41239="","",$C$12)</f>
        <v/>
      </c>
    </row>
    <row r="41240" spans="8:8" x14ac:dyDescent="0.3">
      <c r="H41240" t="str">
        <f t="shared" si="694"/>
        <v/>
      </c>
    </row>
    <row r="41241" spans="8:8" x14ac:dyDescent="0.3">
      <c r="H41241" t="str">
        <f t="shared" si="694"/>
        <v/>
      </c>
    </row>
    <row r="41242" spans="8:8" x14ac:dyDescent="0.3">
      <c r="H41242" t="str">
        <f t="shared" si="694"/>
        <v/>
      </c>
    </row>
    <row r="41243" spans="8:8" x14ac:dyDescent="0.3">
      <c r="H41243" t="str">
        <f t="shared" si="694"/>
        <v/>
      </c>
    </row>
    <row r="41244" spans="8:8" x14ac:dyDescent="0.3">
      <c r="H41244" t="str">
        <f t="shared" si="694"/>
        <v/>
      </c>
    </row>
    <row r="41245" spans="8:8" x14ac:dyDescent="0.3">
      <c r="H41245" t="str">
        <f t="shared" si="694"/>
        <v/>
      </c>
    </row>
    <row r="41246" spans="8:8" x14ac:dyDescent="0.3">
      <c r="H41246" t="str">
        <f t="shared" si="694"/>
        <v/>
      </c>
    </row>
    <row r="41247" spans="8:8" x14ac:dyDescent="0.3">
      <c r="H41247" t="str">
        <f t="shared" si="694"/>
        <v/>
      </c>
    </row>
    <row r="41248" spans="8:8" x14ac:dyDescent="0.3">
      <c r="H41248" t="str">
        <f t="shared" si="694"/>
        <v/>
      </c>
    </row>
    <row r="41249" spans="8:8" x14ac:dyDescent="0.3">
      <c r="H41249" t="str">
        <f t="shared" si="694"/>
        <v/>
      </c>
    </row>
    <row r="41250" spans="8:8" x14ac:dyDescent="0.3">
      <c r="H41250" t="str">
        <f t="shared" si="694"/>
        <v/>
      </c>
    </row>
    <row r="41251" spans="8:8" x14ac:dyDescent="0.3">
      <c r="H41251" t="str">
        <f t="shared" si="694"/>
        <v/>
      </c>
    </row>
    <row r="41252" spans="8:8" x14ac:dyDescent="0.3">
      <c r="H41252" t="str">
        <f t="shared" si="694"/>
        <v/>
      </c>
    </row>
    <row r="41253" spans="8:8" x14ac:dyDescent="0.3">
      <c r="H41253" t="str">
        <f t="shared" si="694"/>
        <v/>
      </c>
    </row>
    <row r="41254" spans="8:8" x14ac:dyDescent="0.3">
      <c r="H41254" t="str">
        <f t="shared" si="694"/>
        <v/>
      </c>
    </row>
    <row r="41255" spans="8:8" x14ac:dyDescent="0.3">
      <c r="H41255" t="str">
        <f t="shared" si="694"/>
        <v/>
      </c>
    </row>
    <row r="41256" spans="8:8" x14ac:dyDescent="0.3">
      <c r="H41256" t="str">
        <f t="shared" si="694"/>
        <v/>
      </c>
    </row>
    <row r="41257" spans="8:8" x14ac:dyDescent="0.3">
      <c r="H41257" t="str">
        <f t="shared" si="694"/>
        <v/>
      </c>
    </row>
    <row r="41258" spans="8:8" x14ac:dyDescent="0.3">
      <c r="H41258" t="str">
        <f t="shared" si="694"/>
        <v/>
      </c>
    </row>
    <row r="41259" spans="8:8" x14ac:dyDescent="0.3">
      <c r="H41259" t="str">
        <f t="shared" si="694"/>
        <v/>
      </c>
    </row>
    <row r="41260" spans="8:8" x14ac:dyDescent="0.3">
      <c r="H41260" t="str">
        <f t="shared" si="694"/>
        <v/>
      </c>
    </row>
    <row r="41261" spans="8:8" x14ac:dyDescent="0.3">
      <c r="H41261" t="str">
        <f t="shared" si="694"/>
        <v/>
      </c>
    </row>
    <row r="41262" spans="8:8" x14ac:dyDescent="0.3">
      <c r="H41262" t="str">
        <f t="shared" si="694"/>
        <v/>
      </c>
    </row>
    <row r="41263" spans="8:8" x14ac:dyDescent="0.3">
      <c r="H41263" t="str">
        <f t="shared" si="694"/>
        <v/>
      </c>
    </row>
    <row r="41264" spans="8:8" x14ac:dyDescent="0.3">
      <c r="H41264" t="str">
        <f t="shared" si="694"/>
        <v/>
      </c>
    </row>
    <row r="41265" spans="8:8" x14ac:dyDescent="0.3">
      <c r="H41265" t="str">
        <f t="shared" si="694"/>
        <v/>
      </c>
    </row>
    <row r="41266" spans="8:8" x14ac:dyDescent="0.3">
      <c r="H41266" t="str">
        <f t="shared" si="694"/>
        <v/>
      </c>
    </row>
    <row r="41267" spans="8:8" x14ac:dyDescent="0.3">
      <c r="H41267" t="str">
        <f t="shared" si="694"/>
        <v/>
      </c>
    </row>
    <row r="41268" spans="8:8" x14ac:dyDescent="0.3">
      <c r="H41268" t="str">
        <f t="shared" si="694"/>
        <v/>
      </c>
    </row>
    <row r="41269" spans="8:8" x14ac:dyDescent="0.3">
      <c r="H41269" t="str">
        <f t="shared" si="694"/>
        <v/>
      </c>
    </row>
    <row r="41270" spans="8:8" x14ac:dyDescent="0.3">
      <c r="H41270" t="str">
        <f t="shared" si="694"/>
        <v/>
      </c>
    </row>
    <row r="41271" spans="8:8" x14ac:dyDescent="0.3">
      <c r="H41271" t="str">
        <f t="shared" si="694"/>
        <v/>
      </c>
    </row>
    <row r="41272" spans="8:8" x14ac:dyDescent="0.3">
      <c r="H41272" t="str">
        <f t="shared" si="694"/>
        <v/>
      </c>
    </row>
    <row r="41273" spans="8:8" x14ac:dyDescent="0.3">
      <c r="H41273" t="str">
        <f t="shared" si="694"/>
        <v/>
      </c>
    </row>
    <row r="41274" spans="8:8" x14ac:dyDescent="0.3">
      <c r="H41274" t="str">
        <f t="shared" si="694"/>
        <v/>
      </c>
    </row>
    <row r="41275" spans="8:8" x14ac:dyDescent="0.3">
      <c r="H41275" t="str">
        <f t="shared" si="694"/>
        <v/>
      </c>
    </row>
    <row r="41276" spans="8:8" x14ac:dyDescent="0.3">
      <c r="H41276" t="str">
        <f t="shared" si="694"/>
        <v/>
      </c>
    </row>
    <row r="41277" spans="8:8" x14ac:dyDescent="0.3">
      <c r="H41277" t="str">
        <f t="shared" si="694"/>
        <v/>
      </c>
    </row>
    <row r="41278" spans="8:8" x14ac:dyDescent="0.3">
      <c r="H41278" t="str">
        <f t="shared" si="694"/>
        <v/>
      </c>
    </row>
    <row r="41279" spans="8:8" x14ac:dyDescent="0.3">
      <c r="H41279" t="str">
        <f t="shared" si="694"/>
        <v/>
      </c>
    </row>
    <row r="41280" spans="8:8" x14ac:dyDescent="0.3">
      <c r="H41280" t="str">
        <f t="shared" si="694"/>
        <v/>
      </c>
    </row>
    <row r="41281" spans="8:8" x14ac:dyDescent="0.3">
      <c r="H41281" t="str">
        <f t="shared" si="694"/>
        <v/>
      </c>
    </row>
    <row r="41282" spans="8:8" x14ac:dyDescent="0.3">
      <c r="H41282" t="str">
        <f t="shared" si="694"/>
        <v/>
      </c>
    </row>
    <row r="41283" spans="8:8" x14ac:dyDescent="0.3">
      <c r="H41283" t="str">
        <f t="shared" si="694"/>
        <v/>
      </c>
    </row>
    <row r="41284" spans="8:8" x14ac:dyDescent="0.3">
      <c r="H41284" t="str">
        <f t="shared" si="694"/>
        <v/>
      </c>
    </row>
    <row r="41285" spans="8:8" x14ac:dyDescent="0.3">
      <c r="H41285" t="str">
        <f t="shared" si="694"/>
        <v/>
      </c>
    </row>
    <row r="41286" spans="8:8" x14ac:dyDescent="0.3">
      <c r="H41286" t="str">
        <f t="shared" si="694"/>
        <v/>
      </c>
    </row>
    <row r="41287" spans="8:8" x14ac:dyDescent="0.3">
      <c r="H41287" t="str">
        <f t="shared" si="694"/>
        <v/>
      </c>
    </row>
    <row r="41288" spans="8:8" x14ac:dyDescent="0.3">
      <c r="H41288" t="str">
        <f t="shared" si="694"/>
        <v/>
      </c>
    </row>
    <row r="41289" spans="8:8" x14ac:dyDescent="0.3">
      <c r="H41289" t="str">
        <f t="shared" si="694"/>
        <v/>
      </c>
    </row>
    <row r="41290" spans="8:8" x14ac:dyDescent="0.3">
      <c r="H41290" t="str">
        <f t="shared" si="694"/>
        <v/>
      </c>
    </row>
    <row r="41291" spans="8:8" x14ac:dyDescent="0.3">
      <c r="H41291" t="str">
        <f t="shared" si="694"/>
        <v/>
      </c>
    </row>
    <row r="41292" spans="8:8" x14ac:dyDescent="0.3">
      <c r="H41292" t="str">
        <f t="shared" si="694"/>
        <v/>
      </c>
    </row>
    <row r="41293" spans="8:8" x14ac:dyDescent="0.3">
      <c r="H41293" t="str">
        <f t="shared" si="694"/>
        <v/>
      </c>
    </row>
    <row r="41294" spans="8:8" x14ac:dyDescent="0.3">
      <c r="H41294" t="str">
        <f t="shared" si="694"/>
        <v/>
      </c>
    </row>
    <row r="41295" spans="8:8" x14ac:dyDescent="0.3">
      <c r="H41295" t="str">
        <f t="shared" si="694"/>
        <v/>
      </c>
    </row>
    <row r="41296" spans="8:8" x14ac:dyDescent="0.3">
      <c r="H41296" t="str">
        <f t="shared" si="694"/>
        <v/>
      </c>
    </row>
    <row r="41297" spans="8:8" x14ac:dyDescent="0.3">
      <c r="H41297" t="str">
        <f t="shared" si="694"/>
        <v/>
      </c>
    </row>
    <row r="41298" spans="8:8" x14ac:dyDescent="0.3">
      <c r="H41298" t="str">
        <f t="shared" si="694"/>
        <v/>
      </c>
    </row>
    <row r="41299" spans="8:8" x14ac:dyDescent="0.3">
      <c r="H41299" t="str">
        <f t="shared" si="694"/>
        <v/>
      </c>
    </row>
    <row r="41300" spans="8:8" x14ac:dyDescent="0.3">
      <c r="H41300" t="str">
        <f t="shared" si="694"/>
        <v/>
      </c>
    </row>
    <row r="41301" spans="8:8" x14ac:dyDescent="0.3">
      <c r="H41301" t="str">
        <f t="shared" si="694"/>
        <v/>
      </c>
    </row>
    <row r="41302" spans="8:8" x14ac:dyDescent="0.3">
      <c r="H41302" t="str">
        <f t="shared" si="694"/>
        <v/>
      </c>
    </row>
    <row r="41303" spans="8:8" x14ac:dyDescent="0.3">
      <c r="H41303" t="str">
        <f t="shared" ref="H41303:H41366" si="695">IF(B41303="","",$C$12)</f>
        <v/>
      </c>
    </row>
    <row r="41304" spans="8:8" x14ac:dyDescent="0.3">
      <c r="H41304" t="str">
        <f t="shared" si="695"/>
        <v/>
      </c>
    </row>
    <row r="41305" spans="8:8" x14ac:dyDescent="0.3">
      <c r="H41305" t="str">
        <f t="shared" si="695"/>
        <v/>
      </c>
    </row>
    <row r="41306" spans="8:8" x14ac:dyDescent="0.3">
      <c r="H41306" t="str">
        <f t="shared" si="695"/>
        <v/>
      </c>
    </row>
    <row r="41307" spans="8:8" x14ac:dyDescent="0.3">
      <c r="H41307" t="str">
        <f t="shared" si="695"/>
        <v/>
      </c>
    </row>
    <row r="41308" spans="8:8" x14ac:dyDescent="0.3">
      <c r="H41308" t="str">
        <f t="shared" si="695"/>
        <v/>
      </c>
    </row>
    <row r="41309" spans="8:8" x14ac:dyDescent="0.3">
      <c r="H41309" t="str">
        <f t="shared" si="695"/>
        <v/>
      </c>
    </row>
    <row r="41310" spans="8:8" x14ac:dyDescent="0.3">
      <c r="H41310" t="str">
        <f t="shared" si="695"/>
        <v/>
      </c>
    </row>
    <row r="41311" spans="8:8" x14ac:dyDescent="0.3">
      <c r="H41311" t="str">
        <f t="shared" si="695"/>
        <v/>
      </c>
    </row>
    <row r="41312" spans="8:8" x14ac:dyDescent="0.3">
      <c r="H41312" t="str">
        <f t="shared" si="695"/>
        <v/>
      </c>
    </row>
    <row r="41313" spans="8:8" x14ac:dyDescent="0.3">
      <c r="H41313" t="str">
        <f t="shared" si="695"/>
        <v/>
      </c>
    </row>
    <row r="41314" spans="8:8" x14ac:dyDescent="0.3">
      <c r="H41314" t="str">
        <f t="shared" si="695"/>
        <v/>
      </c>
    </row>
    <row r="41315" spans="8:8" x14ac:dyDescent="0.3">
      <c r="H41315" t="str">
        <f t="shared" si="695"/>
        <v/>
      </c>
    </row>
    <row r="41316" spans="8:8" x14ac:dyDescent="0.3">
      <c r="H41316" t="str">
        <f t="shared" si="695"/>
        <v/>
      </c>
    </row>
    <row r="41317" spans="8:8" x14ac:dyDescent="0.3">
      <c r="H41317" t="str">
        <f t="shared" si="695"/>
        <v/>
      </c>
    </row>
    <row r="41318" spans="8:8" x14ac:dyDescent="0.3">
      <c r="H41318" t="str">
        <f t="shared" si="695"/>
        <v/>
      </c>
    </row>
    <row r="41319" spans="8:8" x14ac:dyDescent="0.3">
      <c r="H41319" t="str">
        <f t="shared" si="695"/>
        <v/>
      </c>
    </row>
    <row r="41320" spans="8:8" x14ac:dyDescent="0.3">
      <c r="H41320" t="str">
        <f t="shared" si="695"/>
        <v/>
      </c>
    </row>
    <row r="41321" spans="8:8" x14ac:dyDescent="0.3">
      <c r="H41321" t="str">
        <f t="shared" si="695"/>
        <v/>
      </c>
    </row>
    <row r="41322" spans="8:8" x14ac:dyDescent="0.3">
      <c r="H41322" t="str">
        <f t="shared" si="695"/>
        <v/>
      </c>
    </row>
    <row r="41323" spans="8:8" x14ac:dyDescent="0.3">
      <c r="H41323" t="str">
        <f t="shared" si="695"/>
        <v/>
      </c>
    </row>
    <row r="41324" spans="8:8" x14ac:dyDescent="0.3">
      <c r="H41324" t="str">
        <f t="shared" si="695"/>
        <v/>
      </c>
    </row>
    <row r="41325" spans="8:8" x14ac:dyDescent="0.3">
      <c r="H41325" t="str">
        <f t="shared" si="695"/>
        <v/>
      </c>
    </row>
    <row r="41326" spans="8:8" x14ac:dyDescent="0.3">
      <c r="H41326" t="str">
        <f t="shared" si="695"/>
        <v/>
      </c>
    </row>
    <row r="41327" spans="8:8" x14ac:dyDescent="0.3">
      <c r="H41327" t="str">
        <f t="shared" si="695"/>
        <v/>
      </c>
    </row>
    <row r="41328" spans="8:8" x14ac:dyDescent="0.3">
      <c r="H41328" t="str">
        <f t="shared" si="695"/>
        <v/>
      </c>
    </row>
    <row r="41329" spans="8:8" x14ac:dyDescent="0.3">
      <c r="H41329" t="str">
        <f t="shared" si="695"/>
        <v/>
      </c>
    </row>
    <row r="41330" spans="8:8" x14ac:dyDescent="0.3">
      <c r="H41330" t="str">
        <f t="shared" si="695"/>
        <v/>
      </c>
    </row>
    <row r="41331" spans="8:8" x14ac:dyDescent="0.3">
      <c r="H41331" t="str">
        <f t="shared" si="695"/>
        <v/>
      </c>
    </row>
    <row r="41332" spans="8:8" x14ac:dyDescent="0.3">
      <c r="H41332" t="str">
        <f t="shared" si="695"/>
        <v/>
      </c>
    </row>
    <row r="41333" spans="8:8" x14ac:dyDescent="0.3">
      <c r="H41333" t="str">
        <f t="shared" si="695"/>
        <v/>
      </c>
    </row>
    <row r="41334" spans="8:8" x14ac:dyDescent="0.3">
      <c r="H41334" t="str">
        <f t="shared" si="695"/>
        <v/>
      </c>
    </row>
    <row r="41335" spans="8:8" x14ac:dyDescent="0.3">
      <c r="H41335" t="str">
        <f t="shared" si="695"/>
        <v/>
      </c>
    </row>
    <row r="41336" spans="8:8" x14ac:dyDescent="0.3">
      <c r="H41336" t="str">
        <f t="shared" si="695"/>
        <v/>
      </c>
    </row>
    <row r="41337" spans="8:8" x14ac:dyDescent="0.3">
      <c r="H41337" t="str">
        <f t="shared" si="695"/>
        <v/>
      </c>
    </row>
    <row r="41338" spans="8:8" x14ac:dyDescent="0.3">
      <c r="H41338" t="str">
        <f t="shared" si="695"/>
        <v/>
      </c>
    </row>
    <row r="41339" spans="8:8" x14ac:dyDescent="0.3">
      <c r="H41339" t="str">
        <f t="shared" si="695"/>
        <v/>
      </c>
    </row>
    <row r="41340" spans="8:8" x14ac:dyDescent="0.3">
      <c r="H41340" t="str">
        <f t="shared" si="695"/>
        <v/>
      </c>
    </row>
    <row r="41341" spans="8:8" x14ac:dyDescent="0.3">
      <c r="H41341" t="str">
        <f t="shared" si="695"/>
        <v/>
      </c>
    </row>
    <row r="41342" spans="8:8" x14ac:dyDescent="0.3">
      <c r="H41342" t="str">
        <f t="shared" si="695"/>
        <v/>
      </c>
    </row>
    <row r="41343" spans="8:8" x14ac:dyDescent="0.3">
      <c r="H41343" t="str">
        <f t="shared" si="695"/>
        <v/>
      </c>
    </row>
    <row r="41344" spans="8:8" x14ac:dyDescent="0.3">
      <c r="H41344" t="str">
        <f t="shared" si="695"/>
        <v/>
      </c>
    </row>
    <row r="41345" spans="8:8" x14ac:dyDescent="0.3">
      <c r="H41345" t="str">
        <f t="shared" si="695"/>
        <v/>
      </c>
    </row>
    <row r="41346" spans="8:8" x14ac:dyDescent="0.3">
      <c r="H41346" t="str">
        <f t="shared" si="695"/>
        <v/>
      </c>
    </row>
    <row r="41347" spans="8:8" x14ac:dyDescent="0.3">
      <c r="H41347" t="str">
        <f t="shared" si="695"/>
        <v/>
      </c>
    </row>
    <row r="41348" spans="8:8" x14ac:dyDescent="0.3">
      <c r="H41348" t="str">
        <f t="shared" si="695"/>
        <v/>
      </c>
    </row>
    <row r="41349" spans="8:8" x14ac:dyDescent="0.3">
      <c r="H41349" t="str">
        <f t="shared" si="695"/>
        <v/>
      </c>
    </row>
    <row r="41350" spans="8:8" x14ac:dyDescent="0.3">
      <c r="H41350" t="str">
        <f t="shared" si="695"/>
        <v/>
      </c>
    </row>
    <row r="41351" spans="8:8" x14ac:dyDescent="0.3">
      <c r="H41351" t="str">
        <f t="shared" si="695"/>
        <v/>
      </c>
    </row>
    <row r="41352" spans="8:8" x14ac:dyDescent="0.3">
      <c r="H41352" t="str">
        <f t="shared" si="695"/>
        <v/>
      </c>
    </row>
    <row r="41353" spans="8:8" x14ac:dyDescent="0.3">
      <c r="H41353" t="str">
        <f t="shared" si="695"/>
        <v/>
      </c>
    </row>
    <row r="41354" spans="8:8" x14ac:dyDescent="0.3">
      <c r="H41354" t="str">
        <f t="shared" si="695"/>
        <v/>
      </c>
    </row>
    <row r="41355" spans="8:8" x14ac:dyDescent="0.3">
      <c r="H41355" t="str">
        <f t="shared" si="695"/>
        <v/>
      </c>
    </row>
    <row r="41356" spans="8:8" x14ac:dyDescent="0.3">
      <c r="H41356" t="str">
        <f t="shared" si="695"/>
        <v/>
      </c>
    </row>
    <row r="41357" spans="8:8" x14ac:dyDescent="0.3">
      <c r="H41357" t="str">
        <f t="shared" si="695"/>
        <v/>
      </c>
    </row>
    <row r="41358" spans="8:8" x14ac:dyDescent="0.3">
      <c r="H41358" t="str">
        <f t="shared" si="695"/>
        <v/>
      </c>
    </row>
    <row r="41359" spans="8:8" x14ac:dyDescent="0.3">
      <c r="H41359" t="str">
        <f t="shared" si="695"/>
        <v/>
      </c>
    </row>
    <row r="41360" spans="8:8" x14ac:dyDescent="0.3">
      <c r="H41360" t="str">
        <f t="shared" si="695"/>
        <v/>
      </c>
    </row>
    <row r="41361" spans="8:8" x14ac:dyDescent="0.3">
      <c r="H41361" t="str">
        <f t="shared" si="695"/>
        <v/>
      </c>
    </row>
    <row r="41362" spans="8:8" x14ac:dyDescent="0.3">
      <c r="H41362" t="str">
        <f t="shared" si="695"/>
        <v/>
      </c>
    </row>
    <row r="41363" spans="8:8" x14ac:dyDescent="0.3">
      <c r="H41363" t="str">
        <f t="shared" si="695"/>
        <v/>
      </c>
    </row>
    <row r="41364" spans="8:8" x14ac:dyDescent="0.3">
      <c r="H41364" t="str">
        <f t="shared" si="695"/>
        <v/>
      </c>
    </row>
    <row r="41365" spans="8:8" x14ac:dyDescent="0.3">
      <c r="H41365" t="str">
        <f t="shared" si="695"/>
        <v/>
      </c>
    </row>
    <row r="41366" spans="8:8" x14ac:dyDescent="0.3">
      <c r="H41366" t="str">
        <f t="shared" si="695"/>
        <v/>
      </c>
    </row>
    <row r="41367" spans="8:8" x14ac:dyDescent="0.3">
      <c r="H41367" t="str">
        <f t="shared" ref="H41367:H41430" si="696">IF(B41367="","",$C$12)</f>
        <v/>
      </c>
    </row>
    <row r="41368" spans="8:8" x14ac:dyDescent="0.3">
      <c r="H41368" t="str">
        <f t="shared" si="696"/>
        <v/>
      </c>
    </row>
    <row r="41369" spans="8:8" x14ac:dyDescent="0.3">
      <c r="H41369" t="str">
        <f t="shared" si="696"/>
        <v/>
      </c>
    </row>
    <row r="41370" spans="8:8" x14ac:dyDescent="0.3">
      <c r="H41370" t="str">
        <f t="shared" si="696"/>
        <v/>
      </c>
    </row>
    <row r="41371" spans="8:8" x14ac:dyDescent="0.3">
      <c r="H41371" t="str">
        <f t="shared" si="696"/>
        <v/>
      </c>
    </row>
    <row r="41372" spans="8:8" x14ac:dyDescent="0.3">
      <c r="H41372" t="str">
        <f t="shared" si="696"/>
        <v/>
      </c>
    </row>
    <row r="41373" spans="8:8" x14ac:dyDescent="0.3">
      <c r="H41373" t="str">
        <f t="shared" si="696"/>
        <v/>
      </c>
    </row>
    <row r="41374" spans="8:8" x14ac:dyDescent="0.3">
      <c r="H41374" t="str">
        <f t="shared" si="696"/>
        <v/>
      </c>
    </row>
    <row r="41375" spans="8:8" x14ac:dyDescent="0.3">
      <c r="H41375" t="str">
        <f t="shared" si="696"/>
        <v/>
      </c>
    </row>
    <row r="41376" spans="8:8" x14ac:dyDescent="0.3">
      <c r="H41376" t="str">
        <f t="shared" si="696"/>
        <v/>
      </c>
    </row>
    <row r="41377" spans="8:8" x14ac:dyDescent="0.3">
      <c r="H41377" t="str">
        <f t="shared" si="696"/>
        <v/>
      </c>
    </row>
    <row r="41378" spans="8:8" x14ac:dyDescent="0.3">
      <c r="H41378" t="str">
        <f t="shared" si="696"/>
        <v/>
      </c>
    </row>
    <row r="41379" spans="8:8" x14ac:dyDescent="0.3">
      <c r="H41379" t="str">
        <f t="shared" si="696"/>
        <v/>
      </c>
    </row>
    <row r="41380" spans="8:8" x14ac:dyDescent="0.3">
      <c r="H41380" t="str">
        <f t="shared" si="696"/>
        <v/>
      </c>
    </row>
    <row r="41381" spans="8:8" x14ac:dyDescent="0.3">
      <c r="H41381" t="str">
        <f t="shared" si="696"/>
        <v/>
      </c>
    </row>
    <row r="41382" spans="8:8" x14ac:dyDescent="0.3">
      <c r="H41382" t="str">
        <f t="shared" si="696"/>
        <v/>
      </c>
    </row>
    <row r="41383" spans="8:8" x14ac:dyDescent="0.3">
      <c r="H41383" t="str">
        <f t="shared" si="696"/>
        <v/>
      </c>
    </row>
    <row r="41384" spans="8:8" x14ac:dyDescent="0.3">
      <c r="H41384" t="str">
        <f t="shared" si="696"/>
        <v/>
      </c>
    </row>
    <row r="41385" spans="8:8" x14ac:dyDescent="0.3">
      <c r="H41385" t="str">
        <f t="shared" si="696"/>
        <v/>
      </c>
    </row>
    <row r="41386" spans="8:8" x14ac:dyDescent="0.3">
      <c r="H41386" t="str">
        <f t="shared" si="696"/>
        <v/>
      </c>
    </row>
    <row r="41387" spans="8:8" x14ac:dyDescent="0.3">
      <c r="H41387" t="str">
        <f t="shared" si="696"/>
        <v/>
      </c>
    </row>
    <row r="41388" spans="8:8" x14ac:dyDescent="0.3">
      <c r="H41388" t="str">
        <f t="shared" si="696"/>
        <v/>
      </c>
    </row>
    <row r="41389" spans="8:8" x14ac:dyDescent="0.3">
      <c r="H41389" t="str">
        <f t="shared" si="696"/>
        <v/>
      </c>
    </row>
    <row r="41390" spans="8:8" x14ac:dyDescent="0.3">
      <c r="H41390" t="str">
        <f t="shared" si="696"/>
        <v/>
      </c>
    </row>
    <row r="41391" spans="8:8" x14ac:dyDescent="0.3">
      <c r="H41391" t="str">
        <f t="shared" si="696"/>
        <v/>
      </c>
    </row>
    <row r="41392" spans="8:8" x14ac:dyDescent="0.3">
      <c r="H41392" t="str">
        <f t="shared" si="696"/>
        <v/>
      </c>
    </row>
    <row r="41393" spans="8:8" x14ac:dyDescent="0.3">
      <c r="H41393" t="str">
        <f t="shared" si="696"/>
        <v/>
      </c>
    </row>
    <row r="41394" spans="8:8" x14ac:dyDescent="0.3">
      <c r="H41394" t="str">
        <f t="shared" si="696"/>
        <v/>
      </c>
    </row>
    <row r="41395" spans="8:8" x14ac:dyDescent="0.3">
      <c r="H41395" t="str">
        <f t="shared" si="696"/>
        <v/>
      </c>
    </row>
    <row r="41396" spans="8:8" x14ac:dyDescent="0.3">
      <c r="H41396" t="str">
        <f t="shared" si="696"/>
        <v/>
      </c>
    </row>
    <row r="41397" spans="8:8" x14ac:dyDescent="0.3">
      <c r="H41397" t="str">
        <f t="shared" si="696"/>
        <v/>
      </c>
    </row>
    <row r="41398" spans="8:8" x14ac:dyDescent="0.3">
      <c r="H41398" t="str">
        <f t="shared" si="696"/>
        <v/>
      </c>
    </row>
    <row r="41399" spans="8:8" x14ac:dyDescent="0.3">
      <c r="H41399" t="str">
        <f t="shared" si="696"/>
        <v/>
      </c>
    </row>
    <row r="41400" spans="8:8" x14ac:dyDescent="0.3">
      <c r="H41400" t="str">
        <f t="shared" si="696"/>
        <v/>
      </c>
    </row>
    <row r="41401" spans="8:8" x14ac:dyDescent="0.3">
      <c r="H41401" t="str">
        <f t="shared" si="696"/>
        <v/>
      </c>
    </row>
    <row r="41402" spans="8:8" x14ac:dyDescent="0.3">
      <c r="H41402" t="str">
        <f t="shared" si="696"/>
        <v/>
      </c>
    </row>
    <row r="41403" spans="8:8" x14ac:dyDescent="0.3">
      <c r="H41403" t="str">
        <f t="shared" si="696"/>
        <v/>
      </c>
    </row>
    <row r="41404" spans="8:8" x14ac:dyDescent="0.3">
      <c r="H41404" t="str">
        <f t="shared" si="696"/>
        <v/>
      </c>
    </row>
    <row r="41405" spans="8:8" x14ac:dyDescent="0.3">
      <c r="H41405" t="str">
        <f t="shared" si="696"/>
        <v/>
      </c>
    </row>
    <row r="41406" spans="8:8" x14ac:dyDescent="0.3">
      <c r="H41406" t="str">
        <f t="shared" si="696"/>
        <v/>
      </c>
    </row>
    <row r="41407" spans="8:8" x14ac:dyDescent="0.3">
      <c r="H41407" t="str">
        <f t="shared" si="696"/>
        <v/>
      </c>
    </row>
    <row r="41408" spans="8:8" x14ac:dyDescent="0.3">
      <c r="H41408" t="str">
        <f t="shared" si="696"/>
        <v/>
      </c>
    </row>
    <row r="41409" spans="8:8" x14ac:dyDescent="0.3">
      <c r="H41409" t="str">
        <f t="shared" si="696"/>
        <v/>
      </c>
    </row>
    <row r="41410" spans="8:8" x14ac:dyDescent="0.3">
      <c r="H41410" t="str">
        <f t="shared" si="696"/>
        <v/>
      </c>
    </row>
    <row r="41411" spans="8:8" x14ac:dyDescent="0.3">
      <c r="H41411" t="str">
        <f t="shared" si="696"/>
        <v/>
      </c>
    </row>
    <row r="41412" spans="8:8" x14ac:dyDescent="0.3">
      <c r="H41412" t="str">
        <f t="shared" si="696"/>
        <v/>
      </c>
    </row>
    <row r="41413" spans="8:8" x14ac:dyDescent="0.3">
      <c r="H41413" t="str">
        <f t="shared" si="696"/>
        <v/>
      </c>
    </row>
    <row r="41414" spans="8:8" x14ac:dyDescent="0.3">
      <c r="H41414" t="str">
        <f t="shared" si="696"/>
        <v/>
      </c>
    </row>
    <row r="41415" spans="8:8" x14ac:dyDescent="0.3">
      <c r="H41415" t="str">
        <f t="shared" si="696"/>
        <v/>
      </c>
    </row>
    <row r="41416" spans="8:8" x14ac:dyDescent="0.3">
      <c r="H41416" t="str">
        <f t="shared" si="696"/>
        <v/>
      </c>
    </row>
    <row r="41417" spans="8:8" x14ac:dyDescent="0.3">
      <c r="H41417" t="str">
        <f t="shared" si="696"/>
        <v/>
      </c>
    </row>
    <row r="41418" spans="8:8" x14ac:dyDescent="0.3">
      <c r="H41418" t="str">
        <f t="shared" si="696"/>
        <v/>
      </c>
    </row>
    <row r="41419" spans="8:8" x14ac:dyDescent="0.3">
      <c r="H41419" t="str">
        <f t="shared" si="696"/>
        <v/>
      </c>
    </row>
    <row r="41420" spans="8:8" x14ac:dyDescent="0.3">
      <c r="H41420" t="str">
        <f t="shared" si="696"/>
        <v/>
      </c>
    </row>
    <row r="41421" spans="8:8" x14ac:dyDescent="0.3">
      <c r="H41421" t="str">
        <f t="shared" si="696"/>
        <v/>
      </c>
    </row>
    <row r="41422" spans="8:8" x14ac:dyDescent="0.3">
      <c r="H41422" t="str">
        <f t="shared" si="696"/>
        <v/>
      </c>
    </row>
    <row r="41423" spans="8:8" x14ac:dyDescent="0.3">
      <c r="H41423" t="str">
        <f t="shared" si="696"/>
        <v/>
      </c>
    </row>
    <row r="41424" spans="8:8" x14ac:dyDescent="0.3">
      <c r="H41424" t="str">
        <f t="shared" si="696"/>
        <v/>
      </c>
    </row>
    <row r="41425" spans="8:8" x14ac:dyDescent="0.3">
      <c r="H41425" t="str">
        <f t="shared" si="696"/>
        <v/>
      </c>
    </row>
    <row r="41426" spans="8:8" x14ac:dyDescent="0.3">
      <c r="H41426" t="str">
        <f t="shared" si="696"/>
        <v/>
      </c>
    </row>
    <row r="41427" spans="8:8" x14ac:dyDescent="0.3">
      <c r="H41427" t="str">
        <f t="shared" si="696"/>
        <v/>
      </c>
    </row>
    <row r="41428" spans="8:8" x14ac:dyDescent="0.3">
      <c r="H41428" t="str">
        <f t="shared" si="696"/>
        <v/>
      </c>
    </row>
    <row r="41429" spans="8:8" x14ac:dyDescent="0.3">
      <c r="H41429" t="str">
        <f t="shared" si="696"/>
        <v/>
      </c>
    </row>
    <row r="41430" spans="8:8" x14ac:dyDescent="0.3">
      <c r="H41430" t="str">
        <f t="shared" si="696"/>
        <v/>
      </c>
    </row>
    <row r="41431" spans="8:8" x14ac:dyDescent="0.3">
      <c r="H41431" t="str">
        <f t="shared" ref="H41431:H41494" si="697">IF(B41431="","",$C$12)</f>
        <v/>
      </c>
    </row>
    <row r="41432" spans="8:8" x14ac:dyDescent="0.3">
      <c r="H41432" t="str">
        <f t="shared" si="697"/>
        <v/>
      </c>
    </row>
    <row r="41433" spans="8:8" x14ac:dyDescent="0.3">
      <c r="H41433" t="str">
        <f t="shared" si="697"/>
        <v/>
      </c>
    </row>
    <row r="41434" spans="8:8" x14ac:dyDescent="0.3">
      <c r="H41434" t="str">
        <f t="shared" si="697"/>
        <v/>
      </c>
    </row>
    <row r="41435" spans="8:8" x14ac:dyDescent="0.3">
      <c r="H41435" t="str">
        <f t="shared" si="697"/>
        <v/>
      </c>
    </row>
    <row r="41436" spans="8:8" x14ac:dyDescent="0.3">
      <c r="H41436" t="str">
        <f t="shared" si="697"/>
        <v/>
      </c>
    </row>
    <row r="41437" spans="8:8" x14ac:dyDescent="0.3">
      <c r="H41437" t="str">
        <f t="shared" si="697"/>
        <v/>
      </c>
    </row>
    <row r="41438" spans="8:8" x14ac:dyDescent="0.3">
      <c r="H41438" t="str">
        <f t="shared" si="697"/>
        <v/>
      </c>
    </row>
    <row r="41439" spans="8:8" x14ac:dyDescent="0.3">
      <c r="H41439" t="str">
        <f t="shared" si="697"/>
        <v/>
      </c>
    </row>
    <row r="41440" spans="8:8" x14ac:dyDescent="0.3">
      <c r="H41440" t="str">
        <f t="shared" si="697"/>
        <v/>
      </c>
    </row>
    <row r="41441" spans="8:8" x14ac:dyDescent="0.3">
      <c r="H41441" t="str">
        <f t="shared" si="697"/>
        <v/>
      </c>
    </row>
    <row r="41442" spans="8:8" x14ac:dyDescent="0.3">
      <c r="H41442" t="str">
        <f t="shared" si="697"/>
        <v/>
      </c>
    </row>
    <row r="41443" spans="8:8" x14ac:dyDescent="0.3">
      <c r="H41443" t="str">
        <f t="shared" si="697"/>
        <v/>
      </c>
    </row>
    <row r="41444" spans="8:8" x14ac:dyDescent="0.3">
      <c r="H41444" t="str">
        <f t="shared" si="697"/>
        <v/>
      </c>
    </row>
    <row r="41445" spans="8:8" x14ac:dyDescent="0.3">
      <c r="H41445" t="str">
        <f t="shared" si="697"/>
        <v/>
      </c>
    </row>
    <row r="41446" spans="8:8" x14ac:dyDescent="0.3">
      <c r="H41446" t="str">
        <f t="shared" si="697"/>
        <v/>
      </c>
    </row>
    <row r="41447" spans="8:8" x14ac:dyDescent="0.3">
      <c r="H41447" t="str">
        <f t="shared" si="697"/>
        <v/>
      </c>
    </row>
    <row r="41448" spans="8:8" x14ac:dyDescent="0.3">
      <c r="H41448" t="str">
        <f t="shared" si="697"/>
        <v/>
      </c>
    </row>
    <row r="41449" spans="8:8" x14ac:dyDescent="0.3">
      <c r="H41449" t="str">
        <f t="shared" si="697"/>
        <v/>
      </c>
    </row>
    <row r="41450" spans="8:8" x14ac:dyDescent="0.3">
      <c r="H41450" t="str">
        <f t="shared" si="697"/>
        <v/>
      </c>
    </row>
    <row r="41451" spans="8:8" x14ac:dyDescent="0.3">
      <c r="H41451" t="str">
        <f t="shared" si="697"/>
        <v/>
      </c>
    </row>
    <row r="41452" spans="8:8" x14ac:dyDescent="0.3">
      <c r="H41452" t="str">
        <f t="shared" si="697"/>
        <v/>
      </c>
    </row>
    <row r="41453" spans="8:8" x14ac:dyDescent="0.3">
      <c r="H41453" t="str">
        <f t="shared" si="697"/>
        <v/>
      </c>
    </row>
    <row r="41454" spans="8:8" x14ac:dyDescent="0.3">
      <c r="H41454" t="str">
        <f t="shared" si="697"/>
        <v/>
      </c>
    </row>
    <row r="41455" spans="8:8" x14ac:dyDescent="0.3">
      <c r="H41455" t="str">
        <f t="shared" si="697"/>
        <v/>
      </c>
    </row>
    <row r="41456" spans="8:8" x14ac:dyDescent="0.3">
      <c r="H41456" t="str">
        <f t="shared" si="697"/>
        <v/>
      </c>
    </row>
    <row r="41457" spans="8:8" x14ac:dyDescent="0.3">
      <c r="H41457" t="str">
        <f t="shared" si="697"/>
        <v/>
      </c>
    </row>
    <row r="41458" spans="8:8" x14ac:dyDescent="0.3">
      <c r="H41458" t="str">
        <f t="shared" si="697"/>
        <v/>
      </c>
    </row>
    <row r="41459" spans="8:8" x14ac:dyDescent="0.3">
      <c r="H41459" t="str">
        <f t="shared" si="697"/>
        <v/>
      </c>
    </row>
    <row r="41460" spans="8:8" x14ac:dyDescent="0.3">
      <c r="H41460" t="str">
        <f t="shared" si="697"/>
        <v/>
      </c>
    </row>
    <row r="41461" spans="8:8" x14ac:dyDescent="0.3">
      <c r="H41461" t="str">
        <f t="shared" si="697"/>
        <v/>
      </c>
    </row>
    <row r="41462" spans="8:8" x14ac:dyDescent="0.3">
      <c r="H41462" t="str">
        <f t="shared" si="697"/>
        <v/>
      </c>
    </row>
    <row r="41463" spans="8:8" x14ac:dyDescent="0.3">
      <c r="H41463" t="str">
        <f t="shared" si="697"/>
        <v/>
      </c>
    </row>
    <row r="41464" spans="8:8" x14ac:dyDescent="0.3">
      <c r="H41464" t="str">
        <f t="shared" si="697"/>
        <v/>
      </c>
    </row>
    <row r="41465" spans="8:8" x14ac:dyDescent="0.3">
      <c r="H41465" t="str">
        <f t="shared" si="697"/>
        <v/>
      </c>
    </row>
    <row r="41466" spans="8:8" x14ac:dyDescent="0.3">
      <c r="H41466" t="str">
        <f t="shared" si="697"/>
        <v/>
      </c>
    </row>
    <row r="41467" spans="8:8" x14ac:dyDescent="0.3">
      <c r="H41467" t="str">
        <f t="shared" si="697"/>
        <v/>
      </c>
    </row>
    <row r="41468" spans="8:8" x14ac:dyDescent="0.3">
      <c r="H41468" t="str">
        <f t="shared" si="697"/>
        <v/>
      </c>
    </row>
    <row r="41469" spans="8:8" x14ac:dyDescent="0.3">
      <c r="H41469" t="str">
        <f t="shared" si="697"/>
        <v/>
      </c>
    </row>
    <row r="41470" spans="8:8" x14ac:dyDescent="0.3">
      <c r="H41470" t="str">
        <f t="shared" si="697"/>
        <v/>
      </c>
    </row>
    <row r="41471" spans="8:8" x14ac:dyDescent="0.3">
      <c r="H41471" t="str">
        <f t="shared" si="697"/>
        <v/>
      </c>
    </row>
    <row r="41472" spans="8:8" x14ac:dyDescent="0.3">
      <c r="H41472" t="str">
        <f t="shared" si="697"/>
        <v/>
      </c>
    </row>
    <row r="41473" spans="8:8" x14ac:dyDescent="0.3">
      <c r="H41473" t="str">
        <f t="shared" si="697"/>
        <v/>
      </c>
    </row>
    <row r="41474" spans="8:8" x14ac:dyDescent="0.3">
      <c r="H41474" t="str">
        <f t="shared" si="697"/>
        <v/>
      </c>
    </row>
    <row r="41475" spans="8:8" x14ac:dyDescent="0.3">
      <c r="H41475" t="str">
        <f t="shared" si="697"/>
        <v/>
      </c>
    </row>
    <row r="41476" spans="8:8" x14ac:dyDescent="0.3">
      <c r="H41476" t="str">
        <f t="shared" si="697"/>
        <v/>
      </c>
    </row>
    <row r="41477" spans="8:8" x14ac:dyDescent="0.3">
      <c r="H41477" t="str">
        <f t="shared" si="697"/>
        <v/>
      </c>
    </row>
    <row r="41478" spans="8:8" x14ac:dyDescent="0.3">
      <c r="H41478" t="str">
        <f t="shared" si="697"/>
        <v/>
      </c>
    </row>
    <row r="41479" spans="8:8" x14ac:dyDescent="0.3">
      <c r="H41479" t="str">
        <f t="shared" si="697"/>
        <v/>
      </c>
    </row>
    <row r="41480" spans="8:8" x14ac:dyDescent="0.3">
      <c r="H41480" t="str">
        <f t="shared" si="697"/>
        <v/>
      </c>
    </row>
    <row r="41481" spans="8:8" x14ac:dyDescent="0.3">
      <c r="H41481" t="str">
        <f t="shared" si="697"/>
        <v/>
      </c>
    </row>
    <row r="41482" spans="8:8" x14ac:dyDescent="0.3">
      <c r="H41482" t="str">
        <f t="shared" si="697"/>
        <v/>
      </c>
    </row>
    <row r="41483" spans="8:8" x14ac:dyDescent="0.3">
      <c r="H41483" t="str">
        <f t="shared" si="697"/>
        <v/>
      </c>
    </row>
    <row r="41484" spans="8:8" x14ac:dyDescent="0.3">
      <c r="H41484" t="str">
        <f t="shared" si="697"/>
        <v/>
      </c>
    </row>
    <row r="41485" spans="8:8" x14ac:dyDescent="0.3">
      <c r="H41485" t="str">
        <f t="shared" si="697"/>
        <v/>
      </c>
    </row>
    <row r="41486" spans="8:8" x14ac:dyDescent="0.3">
      <c r="H41486" t="str">
        <f t="shared" si="697"/>
        <v/>
      </c>
    </row>
    <row r="41487" spans="8:8" x14ac:dyDescent="0.3">
      <c r="H41487" t="str">
        <f t="shared" si="697"/>
        <v/>
      </c>
    </row>
    <row r="41488" spans="8:8" x14ac:dyDescent="0.3">
      <c r="H41488" t="str">
        <f t="shared" si="697"/>
        <v/>
      </c>
    </row>
    <row r="41489" spans="8:8" x14ac:dyDescent="0.3">
      <c r="H41489" t="str">
        <f t="shared" si="697"/>
        <v/>
      </c>
    </row>
    <row r="41490" spans="8:8" x14ac:dyDescent="0.3">
      <c r="H41490" t="str">
        <f t="shared" si="697"/>
        <v/>
      </c>
    </row>
    <row r="41491" spans="8:8" x14ac:dyDescent="0.3">
      <c r="H41491" t="str">
        <f t="shared" si="697"/>
        <v/>
      </c>
    </row>
    <row r="41492" spans="8:8" x14ac:dyDescent="0.3">
      <c r="H41492" t="str">
        <f t="shared" si="697"/>
        <v/>
      </c>
    </row>
    <row r="41493" spans="8:8" x14ac:dyDescent="0.3">
      <c r="H41493" t="str">
        <f t="shared" si="697"/>
        <v/>
      </c>
    </row>
    <row r="41494" spans="8:8" x14ac:dyDescent="0.3">
      <c r="H41494" t="str">
        <f t="shared" si="697"/>
        <v/>
      </c>
    </row>
    <row r="41495" spans="8:8" x14ac:dyDescent="0.3">
      <c r="H41495" t="str">
        <f t="shared" ref="H41495:H41558" si="698">IF(B41495="","",$C$12)</f>
        <v/>
      </c>
    </row>
    <row r="41496" spans="8:8" x14ac:dyDescent="0.3">
      <c r="H41496" t="str">
        <f t="shared" si="698"/>
        <v/>
      </c>
    </row>
    <row r="41497" spans="8:8" x14ac:dyDescent="0.3">
      <c r="H41497" t="str">
        <f t="shared" si="698"/>
        <v/>
      </c>
    </row>
    <row r="41498" spans="8:8" x14ac:dyDescent="0.3">
      <c r="H41498" t="str">
        <f t="shared" si="698"/>
        <v/>
      </c>
    </row>
    <row r="41499" spans="8:8" x14ac:dyDescent="0.3">
      <c r="H41499" t="str">
        <f t="shared" si="698"/>
        <v/>
      </c>
    </row>
    <row r="41500" spans="8:8" x14ac:dyDescent="0.3">
      <c r="H41500" t="str">
        <f t="shared" si="698"/>
        <v/>
      </c>
    </row>
    <row r="41501" spans="8:8" x14ac:dyDescent="0.3">
      <c r="H41501" t="str">
        <f t="shared" si="698"/>
        <v/>
      </c>
    </row>
    <row r="41502" spans="8:8" x14ac:dyDescent="0.3">
      <c r="H41502" t="str">
        <f t="shared" si="698"/>
        <v/>
      </c>
    </row>
    <row r="41503" spans="8:8" x14ac:dyDescent="0.3">
      <c r="H41503" t="str">
        <f t="shared" si="698"/>
        <v/>
      </c>
    </row>
    <row r="41504" spans="8:8" x14ac:dyDescent="0.3">
      <c r="H41504" t="str">
        <f t="shared" si="698"/>
        <v/>
      </c>
    </row>
    <row r="41505" spans="8:8" x14ac:dyDescent="0.3">
      <c r="H41505" t="str">
        <f t="shared" si="698"/>
        <v/>
      </c>
    </row>
    <row r="41506" spans="8:8" x14ac:dyDescent="0.3">
      <c r="H41506" t="str">
        <f t="shared" si="698"/>
        <v/>
      </c>
    </row>
    <row r="41507" spans="8:8" x14ac:dyDescent="0.3">
      <c r="H41507" t="str">
        <f t="shared" si="698"/>
        <v/>
      </c>
    </row>
    <row r="41508" spans="8:8" x14ac:dyDescent="0.3">
      <c r="H41508" t="str">
        <f t="shared" si="698"/>
        <v/>
      </c>
    </row>
    <row r="41509" spans="8:8" x14ac:dyDescent="0.3">
      <c r="H41509" t="str">
        <f t="shared" si="698"/>
        <v/>
      </c>
    </row>
    <row r="41510" spans="8:8" x14ac:dyDescent="0.3">
      <c r="H41510" t="str">
        <f t="shared" si="698"/>
        <v/>
      </c>
    </row>
    <row r="41511" spans="8:8" x14ac:dyDescent="0.3">
      <c r="H41511" t="str">
        <f t="shared" si="698"/>
        <v/>
      </c>
    </row>
    <row r="41512" spans="8:8" x14ac:dyDescent="0.3">
      <c r="H41512" t="str">
        <f t="shared" si="698"/>
        <v/>
      </c>
    </row>
    <row r="41513" spans="8:8" x14ac:dyDescent="0.3">
      <c r="H41513" t="str">
        <f t="shared" si="698"/>
        <v/>
      </c>
    </row>
    <row r="41514" spans="8:8" x14ac:dyDescent="0.3">
      <c r="H41514" t="str">
        <f t="shared" si="698"/>
        <v/>
      </c>
    </row>
    <row r="41515" spans="8:8" x14ac:dyDescent="0.3">
      <c r="H41515" t="str">
        <f t="shared" si="698"/>
        <v/>
      </c>
    </row>
    <row r="41516" spans="8:8" x14ac:dyDescent="0.3">
      <c r="H41516" t="str">
        <f t="shared" si="698"/>
        <v/>
      </c>
    </row>
    <row r="41517" spans="8:8" x14ac:dyDescent="0.3">
      <c r="H41517" t="str">
        <f t="shared" si="698"/>
        <v/>
      </c>
    </row>
    <row r="41518" spans="8:8" x14ac:dyDescent="0.3">
      <c r="H41518" t="str">
        <f t="shared" si="698"/>
        <v/>
      </c>
    </row>
    <row r="41519" spans="8:8" x14ac:dyDescent="0.3">
      <c r="H41519" t="str">
        <f t="shared" si="698"/>
        <v/>
      </c>
    </row>
    <row r="41520" spans="8:8" x14ac:dyDescent="0.3">
      <c r="H41520" t="str">
        <f t="shared" si="698"/>
        <v/>
      </c>
    </row>
    <row r="41521" spans="8:8" x14ac:dyDescent="0.3">
      <c r="H41521" t="str">
        <f t="shared" si="698"/>
        <v/>
      </c>
    </row>
    <row r="41522" spans="8:8" x14ac:dyDescent="0.3">
      <c r="H41522" t="str">
        <f t="shared" si="698"/>
        <v/>
      </c>
    </row>
    <row r="41523" spans="8:8" x14ac:dyDescent="0.3">
      <c r="H41523" t="str">
        <f t="shared" si="698"/>
        <v/>
      </c>
    </row>
    <row r="41524" spans="8:8" x14ac:dyDescent="0.3">
      <c r="H41524" t="str">
        <f t="shared" si="698"/>
        <v/>
      </c>
    </row>
    <row r="41525" spans="8:8" x14ac:dyDescent="0.3">
      <c r="H41525" t="str">
        <f t="shared" si="698"/>
        <v/>
      </c>
    </row>
    <row r="41526" spans="8:8" x14ac:dyDescent="0.3">
      <c r="H41526" t="str">
        <f t="shared" si="698"/>
        <v/>
      </c>
    </row>
    <row r="41527" spans="8:8" x14ac:dyDescent="0.3">
      <c r="H41527" t="str">
        <f t="shared" si="698"/>
        <v/>
      </c>
    </row>
    <row r="41528" spans="8:8" x14ac:dyDescent="0.3">
      <c r="H41528" t="str">
        <f t="shared" si="698"/>
        <v/>
      </c>
    </row>
    <row r="41529" spans="8:8" x14ac:dyDescent="0.3">
      <c r="H41529" t="str">
        <f t="shared" si="698"/>
        <v/>
      </c>
    </row>
    <row r="41530" spans="8:8" x14ac:dyDescent="0.3">
      <c r="H41530" t="str">
        <f t="shared" si="698"/>
        <v/>
      </c>
    </row>
    <row r="41531" spans="8:8" x14ac:dyDescent="0.3">
      <c r="H41531" t="str">
        <f t="shared" si="698"/>
        <v/>
      </c>
    </row>
    <row r="41532" spans="8:8" x14ac:dyDescent="0.3">
      <c r="H41532" t="str">
        <f t="shared" si="698"/>
        <v/>
      </c>
    </row>
    <row r="41533" spans="8:8" x14ac:dyDescent="0.3">
      <c r="H41533" t="str">
        <f t="shared" si="698"/>
        <v/>
      </c>
    </row>
    <row r="41534" spans="8:8" x14ac:dyDescent="0.3">
      <c r="H41534" t="str">
        <f t="shared" si="698"/>
        <v/>
      </c>
    </row>
    <row r="41535" spans="8:8" x14ac:dyDescent="0.3">
      <c r="H41535" t="str">
        <f t="shared" si="698"/>
        <v/>
      </c>
    </row>
    <row r="41536" spans="8:8" x14ac:dyDescent="0.3">
      <c r="H41536" t="str">
        <f t="shared" si="698"/>
        <v/>
      </c>
    </row>
    <row r="41537" spans="8:8" x14ac:dyDescent="0.3">
      <c r="H41537" t="str">
        <f t="shared" si="698"/>
        <v/>
      </c>
    </row>
    <row r="41538" spans="8:8" x14ac:dyDescent="0.3">
      <c r="H41538" t="str">
        <f t="shared" si="698"/>
        <v/>
      </c>
    </row>
    <row r="41539" spans="8:8" x14ac:dyDescent="0.3">
      <c r="H41539" t="str">
        <f t="shared" si="698"/>
        <v/>
      </c>
    </row>
    <row r="41540" spans="8:8" x14ac:dyDescent="0.3">
      <c r="H41540" t="str">
        <f t="shared" si="698"/>
        <v/>
      </c>
    </row>
    <row r="41541" spans="8:8" x14ac:dyDescent="0.3">
      <c r="H41541" t="str">
        <f t="shared" si="698"/>
        <v/>
      </c>
    </row>
    <row r="41542" spans="8:8" x14ac:dyDescent="0.3">
      <c r="H41542" t="str">
        <f t="shared" si="698"/>
        <v/>
      </c>
    </row>
    <row r="41543" spans="8:8" x14ac:dyDescent="0.3">
      <c r="H41543" t="str">
        <f t="shared" si="698"/>
        <v/>
      </c>
    </row>
    <row r="41544" spans="8:8" x14ac:dyDescent="0.3">
      <c r="H41544" t="str">
        <f t="shared" si="698"/>
        <v/>
      </c>
    </row>
    <row r="41545" spans="8:8" x14ac:dyDescent="0.3">
      <c r="H41545" t="str">
        <f t="shared" si="698"/>
        <v/>
      </c>
    </row>
    <row r="41546" spans="8:8" x14ac:dyDescent="0.3">
      <c r="H41546" t="str">
        <f t="shared" si="698"/>
        <v/>
      </c>
    </row>
    <row r="41547" spans="8:8" x14ac:dyDescent="0.3">
      <c r="H41547" t="str">
        <f t="shared" si="698"/>
        <v/>
      </c>
    </row>
    <row r="41548" spans="8:8" x14ac:dyDescent="0.3">
      <c r="H41548" t="str">
        <f t="shared" si="698"/>
        <v/>
      </c>
    </row>
    <row r="41549" spans="8:8" x14ac:dyDescent="0.3">
      <c r="H41549" t="str">
        <f t="shared" si="698"/>
        <v/>
      </c>
    </row>
    <row r="41550" spans="8:8" x14ac:dyDescent="0.3">
      <c r="H41550" t="str">
        <f t="shared" si="698"/>
        <v/>
      </c>
    </row>
    <row r="41551" spans="8:8" x14ac:dyDescent="0.3">
      <c r="H41551" t="str">
        <f t="shared" si="698"/>
        <v/>
      </c>
    </row>
    <row r="41552" spans="8:8" x14ac:dyDescent="0.3">
      <c r="H41552" t="str">
        <f t="shared" si="698"/>
        <v/>
      </c>
    </row>
    <row r="41553" spans="8:8" x14ac:dyDescent="0.3">
      <c r="H41553" t="str">
        <f t="shared" si="698"/>
        <v/>
      </c>
    </row>
    <row r="41554" spans="8:8" x14ac:dyDescent="0.3">
      <c r="H41554" t="str">
        <f t="shared" si="698"/>
        <v/>
      </c>
    </row>
    <row r="41555" spans="8:8" x14ac:dyDescent="0.3">
      <c r="H41555" t="str">
        <f t="shared" si="698"/>
        <v/>
      </c>
    </row>
    <row r="41556" spans="8:8" x14ac:dyDescent="0.3">
      <c r="H41556" t="str">
        <f t="shared" si="698"/>
        <v/>
      </c>
    </row>
    <row r="41557" spans="8:8" x14ac:dyDescent="0.3">
      <c r="H41557" t="str">
        <f t="shared" si="698"/>
        <v/>
      </c>
    </row>
    <row r="41558" spans="8:8" x14ac:dyDescent="0.3">
      <c r="H41558" t="str">
        <f t="shared" si="698"/>
        <v/>
      </c>
    </row>
    <row r="41559" spans="8:8" x14ac:dyDescent="0.3">
      <c r="H41559" t="str">
        <f t="shared" ref="H41559:H41622" si="699">IF(B41559="","",$C$12)</f>
        <v/>
      </c>
    </row>
    <row r="41560" spans="8:8" x14ac:dyDescent="0.3">
      <c r="H41560" t="str">
        <f t="shared" si="699"/>
        <v/>
      </c>
    </row>
    <row r="41561" spans="8:8" x14ac:dyDescent="0.3">
      <c r="H41561" t="str">
        <f t="shared" si="699"/>
        <v/>
      </c>
    </row>
    <row r="41562" spans="8:8" x14ac:dyDescent="0.3">
      <c r="H41562" t="str">
        <f t="shared" si="699"/>
        <v/>
      </c>
    </row>
    <row r="41563" spans="8:8" x14ac:dyDescent="0.3">
      <c r="H41563" t="str">
        <f t="shared" si="699"/>
        <v/>
      </c>
    </row>
    <row r="41564" spans="8:8" x14ac:dyDescent="0.3">
      <c r="H41564" t="str">
        <f t="shared" si="699"/>
        <v/>
      </c>
    </row>
    <row r="41565" spans="8:8" x14ac:dyDescent="0.3">
      <c r="H41565" t="str">
        <f t="shared" si="699"/>
        <v/>
      </c>
    </row>
    <row r="41566" spans="8:8" x14ac:dyDescent="0.3">
      <c r="H41566" t="str">
        <f t="shared" si="699"/>
        <v/>
      </c>
    </row>
    <row r="41567" spans="8:8" x14ac:dyDescent="0.3">
      <c r="H41567" t="str">
        <f t="shared" si="699"/>
        <v/>
      </c>
    </row>
    <row r="41568" spans="8:8" x14ac:dyDescent="0.3">
      <c r="H41568" t="str">
        <f t="shared" si="699"/>
        <v/>
      </c>
    </row>
    <row r="41569" spans="8:8" x14ac:dyDescent="0.3">
      <c r="H41569" t="str">
        <f t="shared" si="699"/>
        <v/>
      </c>
    </row>
    <row r="41570" spans="8:8" x14ac:dyDescent="0.3">
      <c r="H41570" t="str">
        <f t="shared" si="699"/>
        <v/>
      </c>
    </row>
    <row r="41571" spans="8:8" x14ac:dyDescent="0.3">
      <c r="H41571" t="str">
        <f t="shared" si="699"/>
        <v/>
      </c>
    </row>
    <row r="41572" spans="8:8" x14ac:dyDescent="0.3">
      <c r="H41572" t="str">
        <f t="shared" si="699"/>
        <v/>
      </c>
    </row>
    <row r="41573" spans="8:8" x14ac:dyDescent="0.3">
      <c r="H41573" t="str">
        <f t="shared" si="699"/>
        <v/>
      </c>
    </row>
    <row r="41574" spans="8:8" x14ac:dyDescent="0.3">
      <c r="H41574" t="str">
        <f t="shared" si="699"/>
        <v/>
      </c>
    </row>
    <row r="41575" spans="8:8" x14ac:dyDescent="0.3">
      <c r="H41575" t="str">
        <f t="shared" si="699"/>
        <v/>
      </c>
    </row>
    <row r="41576" spans="8:8" x14ac:dyDescent="0.3">
      <c r="H41576" t="str">
        <f t="shared" si="699"/>
        <v/>
      </c>
    </row>
    <row r="41577" spans="8:8" x14ac:dyDescent="0.3">
      <c r="H41577" t="str">
        <f t="shared" si="699"/>
        <v/>
      </c>
    </row>
    <row r="41578" spans="8:8" x14ac:dyDescent="0.3">
      <c r="H41578" t="str">
        <f t="shared" si="699"/>
        <v/>
      </c>
    </row>
    <row r="41579" spans="8:8" x14ac:dyDescent="0.3">
      <c r="H41579" t="str">
        <f t="shared" si="699"/>
        <v/>
      </c>
    </row>
    <row r="41580" spans="8:8" x14ac:dyDescent="0.3">
      <c r="H41580" t="str">
        <f t="shared" si="699"/>
        <v/>
      </c>
    </row>
    <row r="41581" spans="8:8" x14ac:dyDescent="0.3">
      <c r="H41581" t="str">
        <f t="shared" si="699"/>
        <v/>
      </c>
    </row>
    <row r="41582" spans="8:8" x14ac:dyDescent="0.3">
      <c r="H41582" t="str">
        <f t="shared" si="699"/>
        <v/>
      </c>
    </row>
    <row r="41583" spans="8:8" x14ac:dyDescent="0.3">
      <c r="H41583" t="str">
        <f t="shared" si="699"/>
        <v/>
      </c>
    </row>
    <row r="41584" spans="8:8" x14ac:dyDescent="0.3">
      <c r="H41584" t="str">
        <f t="shared" si="699"/>
        <v/>
      </c>
    </row>
    <row r="41585" spans="8:8" x14ac:dyDescent="0.3">
      <c r="H41585" t="str">
        <f t="shared" si="699"/>
        <v/>
      </c>
    </row>
    <row r="41586" spans="8:8" x14ac:dyDescent="0.3">
      <c r="H41586" t="str">
        <f t="shared" si="699"/>
        <v/>
      </c>
    </row>
    <row r="41587" spans="8:8" x14ac:dyDescent="0.3">
      <c r="H41587" t="str">
        <f t="shared" si="699"/>
        <v/>
      </c>
    </row>
    <row r="41588" spans="8:8" x14ac:dyDescent="0.3">
      <c r="H41588" t="str">
        <f t="shared" si="699"/>
        <v/>
      </c>
    </row>
    <row r="41589" spans="8:8" x14ac:dyDescent="0.3">
      <c r="H41589" t="str">
        <f t="shared" si="699"/>
        <v/>
      </c>
    </row>
    <row r="41590" spans="8:8" x14ac:dyDescent="0.3">
      <c r="H41590" t="str">
        <f t="shared" si="699"/>
        <v/>
      </c>
    </row>
    <row r="41591" spans="8:8" x14ac:dyDescent="0.3">
      <c r="H41591" t="str">
        <f t="shared" si="699"/>
        <v/>
      </c>
    </row>
    <row r="41592" spans="8:8" x14ac:dyDescent="0.3">
      <c r="H41592" t="str">
        <f t="shared" si="699"/>
        <v/>
      </c>
    </row>
    <row r="41593" spans="8:8" x14ac:dyDescent="0.3">
      <c r="H41593" t="str">
        <f t="shared" si="699"/>
        <v/>
      </c>
    </row>
    <row r="41594" spans="8:8" x14ac:dyDescent="0.3">
      <c r="H41594" t="str">
        <f t="shared" si="699"/>
        <v/>
      </c>
    </row>
    <row r="41595" spans="8:8" x14ac:dyDescent="0.3">
      <c r="H41595" t="str">
        <f t="shared" si="699"/>
        <v/>
      </c>
    </row>
    <row r="41596" spans="8:8" x14ac:dyDescent="0.3">
      <c r="H41596" t="str">
        <f t="shared" si="699"/>
        <v/>
      </c>
    </row>
    <row r="41597" spans="8:8" x14ac:dyDescent="0.3">
      <c r="H41597" t="str">
        <f t="shared" si="699"/>
        <v/>
      </c>
    </row>
    <row r="41598" spans="8:8" x14ac:dyDescent="0.3">
      <c r="H41598" t="str">
        <f t="shared" si="699"/>
        <v/>
      </c>
    </row>
    <row r="41599" spans="8:8" x14ac:dyDescent="0.3">
      <c r="H41599" t="str">
        <f t="shared" si="699"/>
        <v/>
      </c>
    </row>
    <row r="41600" spans="8:8" x14ac:dyDescent="0.3">
      <c r="H41600" t="str">
        <f t="shared" si="699"/>
        <v/>
      </c>
    </row>
    <row r="41601" spans="8:8" x14ac:dyDescent="0.3">
      <c r="H41601" t="str">
        <f t="shared" si="699"/>
        <v/>
      </c>
    </row>
    <row r="41602" spans="8:8" x14ac:dyDescent="0.3">
      <c r="H41602" t="str">
        <f t="shared" si="699"/>
        <v/>
      </c>
    </row>
    <row r="41603" spans="8:8" x14ac:dyDescent="0.3">
      <c r="H41603" t="str">
        <f t="shared" si="699"/>
        <v/>
      </c>
    </row>
    <row r="41604" spans="8:8" x14ac:dyDescent="0.3">
      <c r="H41604" t="str">
        <f t="shared" si="699"/>
        <v/>
      </c>
    </row>
    <row r="41605" spans="8:8" x14ac:dyDescent="0.3">
      <c r="H41605" t="str">
        <f t="shared" si="699"/>
        <v/>
      </c>
    </row>
    <row r="41606" spans="8:8" x14ac:dyDescent="0.3">
      <c r="H41606" t="str">
        <f t="shared" si="699"/>
        <v/>
      </c>
    </row>
    <row r="41607" spans="8:8" x14ac:dyDescent="0.3">
      <c r="H41607" t="str">
        <f t="shared" si="699"/>
        <v/>
      </c>
    </row>
    <row r="41608" spans="8:8" x14ac:dyDescent="0.3">
      <c r="H41608" t="str">
        <f t="shared" si="699"/>
        <v/>
      </c>
    </row>
    <row r="41609" spans="8:8" x14ac:dyDescent="0.3">
      <c r="H41609" t="str">
        <f t="shared" si="699"/>
        <v/>
      </c>
    </row>
    <row r="41610" spans="8:8" x14ac:dyDescent="0.3">
      <c r="H41610" t="str">
        <f t="shared" si="699"/>
        <v/>
      </c>
    </row>
    <row r="41611" spans="8:8" x14ac:dyDescent="0.3">
      <c r="H41611" t="str">
        <f t="shared" si="699"/>
        <v/>
      </c>
    </row>
    <row r="41612" spans="8:8" x14ac:dyDescent="0.3">
      <c r="H41612" t="str">
        <f t="shared" si="699"/>
        <v/>
      </c>
    </row>
    <row r="41613" spans="8:8" x14ac:dyDescent="0.3">
      <c r="H41613" t="str">
        <f t="shared" si="699"/>
        <v/>
      </c>
    </row>
    <row r="41614" spans="8:8" x14ac:dyDescent="0.3">
      <c r="H41614" t="str">
        <f t="shared" si="699"/>
        <v/>
      </c>
    </row>
    <row r="41615" spans="8:8" x14ac:dyDescent="0.3">
      <c r="H41615" t="str">
        <f t="shared" si="699"/>
        <v/>
      </c>
    </row>
    <row r="41616" spans="8:8" x14ac:dyDescent="0.3">
      <c r="H41616" t="str">
        <f t="shared" si="699"/>
        <v/>
      </c>
    </row>
    <row r="41617" spans="8:8" x14ac:dyDescent="0.3">
      <c r="H41617" t="str">
        <f t="shared" si="699"/>
        <v/>
      </c>
    </row>
    <row r="41618" spans="8:8" x14ac:dyDescent="0.3">
      <c r="H41618" t="str">
        <f t="shared" si="699"/>
        <v/>
      </c>
    </row>
    <row r="41619" spans="8:8" x14ac:dyDescent="0.3">
      <c r="H41619" t="str">
        <f t="shared" si="699"/>
        <v/>
      </c>
    </row>
    <row r="41620" spans="8:8" x14ac:dyDescent="0.3">
      <c r="H41620" t="str">
        <f t="shared" si="699"/>
        <v/>
      </c>
    </row>
    <row r="41621" spans="8:8" x14ac:dyDescent="0.3">
      <c r="H41621" t="str">
        <f t="shared" si="699"/>
        <v/>
      </c>
    </row>
    <row r="41622" spans="8:8" x14ac:dyDescent="0.3">
      <c r="H41622" t="str">
        <f t="shared" si="699"/>
        <v/>
      </c>
    </row>
    <row r="41623" spans="8:8" x14ac:dyDescent="0.3">
      <c r="H41623" t="str">
        <f t="shared" ref="H41623:H41686" si="700">IF(B41623="","",$C$12)</f>
        <v/>
      </c>
    </row>
    <row r="41624" spans="8:8" x14ac:dyDescent="0.3">
      <c r="H41624" t="str">
        <f t="shared" si="700"/>
        <v/>
      </c>
    </row>
    <row r="41625" spans="8:8" x14ac:dyDescent="0.3">
      <c r="H41625" t="str">
        <f t="shared" si="700"/>
        <v/>
      </c>
    </row>
    <row r="41626" spans="8:8" x14ac:dyDescent="0.3">
      <c r="H41626" t="str">
        <f t="shared" si="700"/>
        <v/>
      </c>
    </row>
    <row r="41627" spans="8:8" x14ac:dyDescent="0.3">
      <c r="H41627" t="str">
        <f t="shared" si="700"/>
        <v/>
      </c>
    </row>
    <row r="41628" spans="8:8" x14ac:dyDescent="0.3">
      <c r="H41628" t="str">
        <f t="shared" si="700"/>
        <v/>
      </c>
    </row>
    <row r="41629" spans="8:8" x14ac:dyDescent="0.3">
      <c r="H41629" t="str">
        <f t="shared" si="700"/>
        <v/>
      </c>
    </row>
    <row r="41630" spans="8:8" x14ac:dyDescent="0.3">
      <c r="H41630" t="str">
        <f t="shared" si="700"/>
        <v/>
      </c>
    </row>
    <row r="41631" spans="8:8" x14ac:dyDescent="0.3">
      <c r="H41631" t="str">
        <f t="shared" si="700"/>
        <v/>
      </c>
    </row>
    <row r="41632" spans="8:8" x14ac:dyDescent="0.3">
      <c r="H41632" t="str">
        <f t="shared" si="700"/>
        <v/>
      </c>
    </row>
    <row r="41633" spans="8:8" x14ac:dyDescent="0.3">
      <c r="H41633" t="str">
        <f t="shared" si="700"/>
        <v/>
      </c>
    </row>
    <row r="41634" spans="8:8" x14ac:dyDescent="0.3">
      <c r="H41634" t="str">
        <f t="shared" si="700"/>
        <v/>
      </c>
    </row>
    <row r="41635" spans="8:8" x14ac:dyDescent="0.3">
      <c r="H41635" t="str">
        <f t="shared" si="700"/>
        <v/>
      </c>
    </row>
    <row r="41636" spans="8:8" x14ac:dyDescent="0.3">
      <c r="H41636" t="str">
        <f t="shared" si="700"/>
        <v/>
      </c>
    </row>
    <row r="41637" spans="8:8" x14ac:dyDescent="0.3">
      <c r="H41637" t="str">
        <f t="shared" si="700"/>
        <v/>
      </c>
    </row>
    <row r="41638" spans="8:8" x14ac:dyDescent="0.3">
      <c r="H41638" t="str">
        <f t="shared" si="700"/>
        <v/>
      </c>
    </row>
    <row r="41639" spans="8:8" x14ac:dyDescent="0.3">
      <c r="H41639" t="str">
        <f t="shared" si="700"/>
        <v/>
      </c>
    </row>
    <row r="41640" spans="8:8" x14ac:dyDescent="0.3">
      <c r="H41640" t="str">
        <f t="shared" si="700"/>
        <v/>
      </c>
    </row>
    <row r="41641" spans="8:8" x14ac:dyDescent="0.3">
      <c r="H41641" t="str">
        <f t="shared" si="700"/>
        <v/>
      </c>
    </row>
    <row r="41642" spans="8:8" x14ac:dyDescent="0.3">
      <c r="H41642" t="str">
        <f t="shared" si="700"/>
        <v/>
      </c>
    </row>
    <row r="41643" spans="8:8" x14ac:dyDescent="0.3">
      <c r="H41643" t="str">
        <f t="shared" si="700"/>
        <v/>
      </c>
    </row>
    <row r="41644" spans="8:8" x14ac:dyDescent="0.3">
      <c r="H41644" t="str">
        <f t="shared" si="700"/>
        <v/>
      </c>
    </row>
    <row r="41645" spans="8:8" x14ac:dyDescent="0.3">
      <c r="H41645" t="str">
        <f t="shared" si="700"/>
        <v/>
      </c>
    </row>
    <row r="41646" spans="8:8" x14ac:dyDescent="0.3">
      <c r="H41646" t="str">
        <f t="shared" si="700"/>
        <v/>
      </c>
    </row>
    <row r="41647" spans="8:8" x14ac:dyDescent="0.3">
      <c r="H41647" t="str">
        <f t="shared" si="700"/>
        <v/>
      </c>
    </row>
    <row r="41648" spans="8:8" x14ac:dyDescent="0.3">
      <c r="H41648" t="str">
        <f t="shared" si="700"/>
        <v/>
      </c>
    </row>
    <row r="41649" spans="8:8" x14ac:dyDescent="0.3">
      <c r="H41649" t="str">
        <f t="shared" si="700"/>
        <v/>
      </c>
    </row>
    <row r="41650" spans="8:8" x14ac:dyDescent="0.3">
      <c r="H41650" t="str">
        <f t="shared" si="700"/>
        <v/>
      </c>
    </row>
    <row r="41651" spans="8:8" x14ac:dyDescent="0.3">
      <c r="H41651" t="str">
        <f t="shared" si="700"/>
        <v/>
      </c>
    </row>
    <row r="41652" spans="8:8" x14ac:dyDescent="0.3">
      <c r="H41652" t="str">
        <f t="shared" si="700"/>
        <v/>
      </c>
    </row>
    <row r="41653" spans="8:8" x14ac:dyDescent="0.3">
      <c r="H41653" t="str">
        <f t="shared" si="700"/>
        <v/>
      </c>
    </row>
    <row r="41654" spans="8:8" x14ac:dyDescent="0.3">
      <c r="H41654" t="str">
        <f t="shared" si="700"/>
        <v/>
      </c>
    </row>
    <row r="41655" spans="8:8" x14ac:dyDescent="0.3">
      <c r="H41655" t="str">
        <f t="shared" si="700"/>
        <v/>
      </c>
    </row>
    <row r="41656" spans="8:8" x14ac:dyDescent="0.3">
      <c r="H41656" t="str">
        <f t="shared" si="700"/>
        <v/>
      </c>
    </row>
    <row r="41657" spans="8:8" x14ac:dyDescent="0.3">
      <c r="H41657" t="str">
        <f t="shared" si="700"/>
        <v/>
      </c>
    </row>
    <row r="41658" spans="8:8" x14ac:dyDescent="0.3">
      <c r="H41658" t="str">
        <f t="shared" si="700"/>
        <v/>
      </c>
    </row>
    <row r="41659" spans="8:8" x14ac:dyDescent="0.3">
      <c r="H41659" t="str">
        <f t="shared" si="700"/>
        <v/>
      </c>
    </row>
    <row r="41660" spans="8:8" x14ac:dyDescent="0.3">
      <c r="H41660" t="str">
        <f t="shared" si="700"/>
        <v/>
      </c>
    </row>
    <row r="41661" spans="8:8" x14ac:dyDescent="0.3">
      <c r="H41661" t="str">
        <f t="shared" si="700"/>
        <v/>
      </c>
    </row>
    <row r="41662" spans="8:8" x14ac:dyDescent="0.3">
      <c r="H41662" t="str">
        <f t="shared" si="700"/>
        <v/>
      </c>
    </row>
    <row r="41663" spans="8:8" x14ac:dyDescent="0.3">
      <c r="H41663" t="str">
        <f t="shared" si="700"/>
        <v/>
      </c>
    </row>
    <row r="41664" spans="8:8" x14ac:dyDescent="0.3">
      <c r="H41664" t="str">
        <f t="shared" si="700"/>
        <v/>
      </c>
    </row>
    <row r="41665" spans="8:8" x14ac:dyDescent="0.3">
      <c r="H41665" t="str">
        <f t="shared" si="700"/>
        <v/>
      </c>
    </row>
    <row r="41666" spans="8:8" x14ac:dyDescent="0.3">
      <c r="H41666" t="str">
        <f t="shared" si="700"/>
        <v/>
      </c>
    </row>
    <row r="41667" spans="8:8" x14ac:dyDescent="0.3">
      <c r="H41667" t="str">
        <f t="shared" si="700"/>
        <v/>
      </c>
    </row>
    <row r="41668" spans="8:8" x14ac:dyDescent="0.3">
      <c r="H41668" t="str">
        <f t="shared" si="700"/>
        <v/>
      </c>
    </row>
    <row r="41669" spans="8:8" x14ac:dyDescent="0.3">
      <c r="H41669" t="str">
        <f t="shared" si="700"/>
        <v/>
      </c>
    </row>
    <row r="41670" spans="8:8" x14ac:dyDescent="0.3">
      <c r="H41670" t="str">
        <f t="shared" si="700"/>
        <v/>
      </c>
    </row>
    <row r="41671" spans="8:8" x14ac:dyDescent="0.3">
      <c r="H41671" t="str">
        <f t="shared" si="700"/>
        <v/>
      </c>
    </row>
    <row r="41672" spans="8:8" x14ac:dyDescent="0.3">
      <c r="H41672" t="str">
        <f t="shared" si="700"/>
        <v/>
      </c>
    </row>
    <row r="41673" spans="8:8" x14ac:dyDescent="0.3">
      <c r="H41673" t="str">
        <f t="shared" si="700"/>
        <v/>
      </c>
    </row>
    <row r="41674" spans="8:8" x14ac:dyDescent="0.3">
      <c r="H41674" t="str">
        <f t="shared" si="700"/>
        <v/>
      </c>
    </row>
    <row r="41675" spans="8:8" x14ac:dyDescent="0.3">
      <c r="H41675" t="str">
        <f t="shared" si="700"/>
        <v/>
      </c>
    </row>
    <row r="41676" spans="8:8" x14ac:dyDescent="0.3">
      <c r="H41676" t="str">
        <f t="shared" si="700"/>
        <v/>
      </c>
    </row>
    <row r="41677" spans="8:8" x14ac:dyDescent="0.3">
      <c r="H41677" t="str">
        <f t="shared" si="700"/>
        <v/>
      </c>
    </row>
    <row r="41678" spans="8:8" x14ac:dyDescent="0.3">
      <c r="H41678" t="str">
        <f t="shared" si="700"/>
        <v/>
      </c>
    </row>
    <row r="41679" spans="8:8" x14ac:dyDescent="0.3">
      <c r="H41679" t="str">
        <f t="shared" si="700"/>
        <v/>
      </c>
    </row>
    <row r="41680" spans="8:8" x14ac:dyDescent="0.3">
      <c r="H41680" t="str">
        <f t="shared" si="700"/>
        <v/>
      </c>
    </row>
    <row r="41681" spans="8:8" x14ac:dyDescent="0.3">
      <c r="H41681" t="str">
        <f t="shared" si="700"/>
        <v/>
      </c>
    </row>
    <row r="41682" spans="8:8" x14ac:dyDescent="0.3">
      <c r="H41682" t="str">
        <f t="shared" si="700"/>
        <v/>
      </c>
    </row>
    <row r="41683" spans="8:8" x14ac:dyDescent="0.3">
      <c r="H41683" t="str">
        <f t="shared" si="700"/>
        <v/>
      </c>
    </row>
    <row r="41684" spans="8:8" x14ac:dyDescent="0.3">
      <c r="H41684" t="str">
        <f t="shared" si="700"/>
        <v/>
      </c>
    </row>
    <row r="41685" spans="8:8" x14ac:dyDescent="0.3">
      <c r="H41685" t="str">
        <f t="shared" si="700"/>
        <v/>
      </c>
    </row>
    <row r="41686" spans="8:8" x14ac:dyDescent="0.3">
      <c r="H41686" t="str">
        <f t="shared" si="700"/>
        <v/>
      </c>
    </row>
    <row r="41687" spans="8:8" x14ac:dyDescent="0.3">
      <c r="H41687" t="str">
        <f t="shared" ref="H41687:H41750" si="701">IF(B41687="","",$C$12)</f>
        <v/>
      </c>
    </row>
    <row r="41688" spans="8:8" x14ac:dyDescent="0.3">
      <c r="H41688" t="str">
        <f t="shared" si="701"/>
        <v/>
      </c>
    </row>
    <row r="41689" spans="8:8" x14ac:dyDescent="0.3">
      <c r="H41689" t="str">
        <f t="shared" si="701"/>
        <v/>
      </c>
    </row>
    <row r="41690" spans="8:8" x14ac:dyDescent="0.3">
      <c r="H41690" t="str">
        <f t="shared" si="701"/>
        <v/>
      </c>
    </row>
    <row r="41691" spans="8:8" x14ac:dyDescent="0.3">
      <c r="H41691" t="str">
        <f t="shared" si="701"/>
        <v/>
      </c>
    </row>
    <row r="41692" spans="8:8" x14ac:dyDescent="0.3">
      <c r="H41692" t="str">
        <f t="shared" si="701"/>
        <v/>
      </c>
    </row>
    <row r="41693" spans="8:8" x14ac:dyDescent="0.3">
      <c r="H41693" t="str">
        <f t="shared" si="701"/>
        <v/>
      </c>
    </row>
    <row r="41694" spans="8:8" x14ac:dyDescent="0.3">
      <c r="H41694" t="str">
        <f t="shared" si="701"/>
        <v/>
      </c>
    </row>
    <row r="41695" spans="8:8" x14ac:dyDescent="0.3">
      <c r="H41695" t="str">
        <f t="shared" si="701"/>
        <v/>
      </c>
    </row>
    <row r="41696" spans="8:8" x14ac:dyDescent="0.3">
      <c r="H41696" t="str">
        <f t="shared" si="701"/>
        <v/>
      </c>
    </row>
    <row r="41697" spans="8:8" x14ac:dyDescent="0.3">
      <c r="H41697" t="str">
        <f t="shared" si="701"/>
        <v/>
      </c>
    </row>
    <row r="41698" spans="8:8" x14ac:dyDescent="0.3">
      <c r="H41698" t="str">
        <f t="shared" si="701"/>
        <v/>
      </c>
    </row>
    <row r="41699" spans="8:8" x14ac:dyDescent="0.3">
      <c r="H41699" t="str">
        <f t="shared" si="701"/>
        <v/>
      </c>
    </row>
    <row r="41700" spans="8:8" x14ac:dyDescent="0.3">
      <c r="H41700" t="str">
        <f t="shared" si="701"/>
        <v/>
      </c>
    </row>
    <row r="41701" spans="8:8" x14ac:dyDescent="0.3">
      <c r="H41701" t="str">
        <f t="shared" si="701"/>
        <v/>
      </c>
    </row>
    <row r="41702" spans="8:8" x14ac:dyDescent="0.3">
      <c r="H41702" t="str">
        <f t="shared" si="701"/>
        <v/>
      </c>
    </row>
    <row r="41703" spans="8:8" x14ac:dyDescent="0.3">
      <c r="H41703" t="str">
        <f t="shared" si="701"/>
        <v/>
      </c>
    </row>
    <row r="41704" spans="8:8" x14ac:dyDescent="0.3">
      <c r="H41704" t="str">
        <f t="shared" si="701"/>
        <v/>
      </c>
    </row>
    <row r="41705" spans="8:8" x14ac:dyDescent="0.3">
      <c r="H41705" t="str">
        <f t="shared" si="701"/>
        <v/>
      </c>
    </row>
    <row r="41706" spans="8:8" x14ac:dyDescent="0.3">
      <c r="H41706" t="str">
        <f t="shared" si="701"/>
        <v/>
      </c>
    </row>
    <row r="41707" spans="8:8" x14ac:dyDescent="0.3">
      <c r="H41707" t="str">
        <f t="shared" si="701"/>
        <v/>
      </c>
    </row>
    <row r="41708" spans="8:8" x14ac:dyDescent="0.3">
      <c r="H41708" t="str">
        <f t="shared" si="701"/>
        <v/>
      </c>
    </row>
    <row r="41709" spans="8:8" x14ac:dyDescent="0.3">
      <c r="H41709" t="str">
        <f t="shared" si="701"/>
        <v/>
      </c>
    </row>
    <row r="41710" spans="8:8" x14ac:dyDescent="0.3">
      <c r="H41710" t="str">
        <f t="shared" si="701"/>
        <v/>
      </c>
    </row>
    <row r="41711" spans="8:8" x14ac:dyDescent="0.3">
      <c r="H41711" t="str">
        <f t="shared" si="701"/>
        <v/>
      </c>
    </row>
    <row r="41712" spans="8:8" x14ac:dyDescent="0.3">
      <c r="H41712" t="str">
        <f t="shared" si="701"/>
        <v/>
      </c>
    </row>
    <row r="41713" spans="8:8" x14ac:dyDescent="0.3">
      <c r="H41713" t="str">
        <f t="shared" si="701"/>
        <v/>
      </c>
    </row>
    <row r="41714" spans="8:8" x14ac:dyDescent="0.3">
      <c r="H41714" t="str">
        <f t="shared" si="701"/>
        <v/>
      </c>
    </row>
    <row r="41715" spans="8:8" x14ac:dyDescent="0.3">
      <c r="H41715" t="str">
        <f t="shared" si="701"/>
        <v/>
      </c>
    </row>
    <row r="41716" spans="8:8" x14ac:dyDescent="0.3">
      <c r="H41716" t="str">
        <f t="shared" si="701"/>
        <v/>
      </c>
    </row>
    <row r="41717" spans="8:8" x14ac:dyDescent="0.3">
      <c r="H41717" t="str">
        <f t="shared" si="701"/>
        <v/>
      </c>
    </row>
    <row r="41718" spans="8:8" x14ac:dyDescent="0.3">
      <c r="H41718" t="str">
        <f t="shared" si="701"/>
        <v/>
      </c>
    </row>
    <row r="41719" spans="8:8" x14ac:dyDescent="0.3">
      <c r="H41719" t="str">
        <f t="shared" si="701"/>
        <v/>
      </c>
    </row>
    <row r="41720" spans="8:8" x14ac:dyDescent="0.3">
      <c r="H41720" t="str">
        <f t="shared" si="701"/>
        <v/>
      </c>
    </row>
    <row r="41721" spans="8:8" x14ac:dyDescent="0.3">
      <c r="H41721" t="str">
        <f t="shared" si="701"/>
        <v/>
      </c>
    </row>
    <row r="41722" spans="8:8" x14ac:dyDescent="0.3">
      <c r="H41722" t="str">
        <f t="shared" si="701"/>
        <v/>
      </c>
    </row>
    <row r="41723" spans="8:8" x14ac:dyDescent="0.3">
      <c r="H41723" t="str">
        <f t="shared" si="701"/>
        <v/>
      </c>
    </row>
    <row r="41724" spans="8:8" x14ac:dyDescent="0.3">
      <c r="H41724" t="str">
        <f t="shared" si="701"/>
        <v/>
      </c>
    </row>
    <row r="41725" spans="8:8" x14ac:dyDescent="0.3">
      <c r="H41725" t="str">
        <f t="shared" si="701"/>
        <v/>
      </c>
    </row>
    <row r="41726" spans="8:8" x14ac:dyDescent="0.3">
      <c r="H41726" t="str">
        <f t="shared" si="701"/>
        <v/>
      </c>
    </row>
    <row r="41727" spans="8:8" x14ac:dyDescent="0.3">
      <c r="H41727" t="str">
        <f t="shared" si="701"/>
        <v/>
      </c>
    </row>
    <row r="41728" spans="8:8" x14ac:dyDescent="0.3">
      <c r="H41728" t="str">
        <f t="shared" si="701"/>
        <v/>
      </c>
    </row>
    <row r="41729" spans="8:8" x14ac:dyDescent="0.3">
      <c r="H41729" t="str">
        <f t="shared" si="701"/>
        <v/>
      </c>
    </row>
    <row r="41730" spans="8:8" x14ac:dyDescent="0.3">
      <c r="H41730" t="str">
        <f t="shared" si="701"/>
        <v/>
      </c>
    </row>
    <row r="41731" spans="8:8" x14ac:dyDescent="0.3">
      <c r="H41731" t="str">
        <f t="shared" si="701"/>
        <v/>
      </c>
    </row>
    <row r="41732" spans="8:8" x14ac:dyDescent="0.3">
      <c r="H41732" t="str">
        <f t="shared" si="701"/>
        <v/>
      </c>
    </row>
    <row r="41733" spans="8:8" x14ac:dyDescent="0.3">
      <c r="H41733" t="str">
        <f t="shared" si="701"/>
        <v/>
      </c>
    </row>
    <row r="41734" spans="8:8" x14ac:dyDescent="0.3">
      <c r="H41734" t="str">
        <f t="shared" si="701"/>
        <v/>
      </c>
    </row>
    <row r="41735" spans="8:8" x14ac:dyDescent="0.3">
      <c r="H41735" t="str">
        <f t="shared" si="701"/>
        <v/>
      </c>
    </row>
    <row r="41736" spans="8:8" x14ac:dyDescent="0.3">
      <c r="H41736" t="str">
        <f t="shared" si="701"/>
        <v/>
      </c>
    </row>
    <row r="41737" spans="8:8" x14ac:dyDescent="0.3">
      <c r="H41737" t="str">
        <f t="shared" si="701"/>
        <v/>
      </c>
    </row>
    <row r="41738" spans="8:8" x14ac:dyDescent="0.3">
      <c r="H41738" t="str">
        <f t="shared" si="701"/>
        <v/>
      </c>
    </row>
    <row r="41739" spans="8:8" x14ac:dyDescent="0.3">
      <c r="H41739" t="str">
        <f t="shared" si="701"/>
        <v/>
      </c>
    </row>
    <row r="41740" spans="8:8" x14ac:dyDescent="0.3">
      <c r="H41740" t="str">
        <f t="shared" si="701"/>
        <v/>
      </c>
    </row>
    <row r="41741" spans="8:8" x14ac:dyDescent="0.3">
      <c r="H41741" t="str">
        <f t="shared" si="701"/>
        <v/>
      </c>
    </row>
    <row r="41742" spans="8:8" x14ac:dyDescent="0.3">
      <c r="H41742" t="str">
        <f t="shared" si="701"/>
        <v/>
      </c>
    </row>
    <row r="41743" spans="8:8" x14ac:dyDescent="0.3">
      <c r="H41743" t="str">
        <f t="shared" si="701"/>
        <v/>
      </c>
    </row>
    <row r="41744" spans="8:8" x14ac:dyDescent="0.3">
      <c r="H41744" t="str">
        <f t="shared" si="701"/>
        <v/>
      </c>
    </row>
    <row r="41745" spans="8:8" x14ac:dyDescent="0.3">
      <c r="H41745" t="str">
        <f t="shared" si="701"/>
        <v/>
      </c>
    </row>
    <row r="41746" spans="8:8" x14ac:dyDescent="0.3">
      <c r="H41746" t="str">
        <f t="shared" si="701"/>
        <v/>
      </c>
    </row>
    <row r="41747" spans="8:8" x14ac:dyDescent="0.3">
      <c r="H41747" t="str">
        <f t="shared" si="701"/>
        <v/>
      </c>
    </row>
    <row r="41748" spans="8:8" x14ac:dyDescent="0.3">
      <c r="H41748" t="str">
        <f t="shared" si="701"/>
        <v/>
      </c>
    </row>
    <row r="41749" spans="8:8" x14ac:dyDescent="0.3">
      <c r="H41749" t="str">
        <f t="shared" si="701"/>
        <v/>
      </c>
    </row>
    <row r="41750" spans="8:8" x14ac:dyDescent="0.3">
      <c r="H41750" t="str">
        <f t="shared" si="701"/>
        <v/>
      </c>
    </row>
    <row r="41751" spans="8:8" x14ac:dyDescent="0.3">
      <c r="H41751" t="str">
        <f t="shared" ref="H41751:H41814" si="702">IF(B41751="","",$C$12)</f>
        <v/>
      </c>
    </row>
    <row r="41752" spans="8:8" x14ac:dyDescent="0.3">
      <c r="H41752" t="str">
        <f t="shared" si="702"/>
        <v/>
      </c>
    </row>
    <row r="41753" spans="8:8" x14ac:dyDescent="0.3">
      <c r="H41753" t="str">
        <f t="shared" si="702"/>
        <v/>
      </c>
    </row>
    <row r="41754" spans="8:8" x14ac:dyDescent="0.3">
      <c r="H41754" t="str">
        <f t="shared" si="702"/>
        <v/>
      </c>
    </row>
    <row r="41755" spans="8:8" x14ac:dyDescent="0.3">
      <c r="H41755" t="str">
        <f t="shared" si="702"/>
        <v/>
      </c>
    </row>
    <row r="41756" spans="8:8" x14ac:dyDescent="0.3">
      <c r="H41756" t="str">
        <f t="shared" si="702"/>
        <v/>
      </c>
    </row>
    <row r="41757" spans="8:8" x14ac:dyDescent="0.3">
      <c r="H41757" t="str">
        <f t="shared" si="702"/>
        <v/>
      </c>
    </row>
    <row r="41758" spans="8:8" x14ac:dyDescent="0.3">
      <c r="H41758" t="str">
        <f t="shared" si="702"/>
        <v/>
      </c>
    </row>
    <row r="41759" spans="8:8" x14ac:dyDescent="0.3">
      <c r="H41759" t="str">
        <f t="shared" si="702"/>
        <v/>
      </c>
    </row>
    <row r="41760" spans="8:8" x14ac:dyDescent="0.3">
      <c r="H41760" t="str">
        <f t="shared" si="702"/>
        <v/>
      </c>
    </row>
    <row r="41761" spans="8:8" x14ac:dyDescent="0.3">
      <c r="H41761" t="str">
        <f t="shared" si="702"/>
        <v/>
      </c>
    </row>
    <row r="41762" spans="8:8" x14ac:dyDescent="0.3">
      <c r="H41762" t="str">
        <f t="shared" si="702"/>
        <v/>
      </c>
    </row>
    <row r="41763" spans="8:8" x14ac:dyDescent="0.3">
      <c r="H41763" t="str">
        <f t="shared" si="702"/>
        <v/>
      </c>
    </row>
    <row r="41764" spans="8:8" x14ac:dyDescent="0.3">
      <c r="H41764" t="str">
        <f t="shared" si="702"/>
        <v/>
      </c>
    </row>
    <row r="41765" spans="8:8" x14ac:dyDescent="0.3">
      <c r="H41765" t="str">
        <f t="shared" si="702"/>
        <v/>
      </c>
    </row>
    <row r="41766" spans="8:8" x14ac:dyDescent="0.3">
      <c r="H41766" t="str">
        <f t="shared" si="702"/>
        <v/>
      </c>
    </row>
    <row r="41767" spans="8:8" x14ac:dyDescent="0.3">
      <c r="H41767" t="str">
        <f t="shared" si="702"/>
        <v/>
      </c>
    </row>
    <row r="41768" spans="8:8" x14ac:dyDescent="0.3">
      <c r="H41768" t="str">
        <f t="shared" si="702"/>
        <v/>
      </c>
    </row>
    <row r="41769" spans="8:8" x14ac:dyDescent="0.3">
      <c r="H41769" t="str">
        <f t="shared" si="702"/>
        <v/>
      </c>
    </row>
    <row r="41770" spans="8:8" x14ac:dyDescent="0.3">
      <c r="H41770" t="str">
        <f t="shared" si="702"/>
        <v/>
      </c>
    </row>
    <row r="41771" spans="8:8" x14ac:dyDescent="0.3">
      <c r="H41771" t="str">
        <f t="shared" si="702"/>
        <v/>
      </c>
    </row>
    <row r="41772" spans="8:8" x14ac:dyDescent="0.3">
      <c r="H41772" t="str">
        <f t="shared" si="702"/>
        <v/>
      </c>
    </row>
    <row r="41773" spans="8:8" x14ac:dyDescent="0.3">
      <c r="H41773" t="str">
        <f t="shared" si="702"/>
        <v/>
      </c>
    </row>
    <row r="41774" spans="8:8" x14ac:dyDescent="0.3">
      <c r="H41774" t="str">
        <f t="shared" si="702"/>
        <v/>
      </c>
    </row>
    <row r="41775" spans="8:8" x14ac:dyDescent="0.3">
      <c r="H41775" t="str">
        <f t="shared" si="702"/>
        <v/>
      </c>
    </row>
    <row r="41776" spans="8:8" x14ac:dyDescent="0.3">
      <c r="H41776" t="str">
        <f t="shared" si="702"/>
        <v/>
      </c>
    </row>
    <row r="41777" spans="8:8" x14ac:dyDescent="0.3">
      <c r="H41777" t="str">
        <f t="shared" si="702"/>
        <v/>
      </c>
    </row>
    <row r="41778" spans="8:8" x14ac:dyDescent="0.3">
      <c r="H41778" t="str">
        <f t="shared" si="702"/>
        <v/>
      </c>
    </row>
    <row r="41779" spans="8:8" x14ac:dyDescent="0.3">
      <c r="H41779" t="str">
        <f t="shared" si="702"/>
        <v/>
      </c>
    </row>
    <row r="41780" spans="8:8" x14ac:dyDescent="0.3">
      <c r="H41780" t="str">
        <f t="shared" si="702"/>
        <v/>
      </c>
    </row>
    <row r="41781" spans="8:8" x14ac:dyDescent="0.3">
      <c r="H41781" t="str">
        <f t="shared" si="702"/>
        <v/>
      </c>
    </row>
    <row r="41782" spans="8:8" x14ac:dyDescent="0.3">
      <c r="H41782" t="str">
        <f t="shared" si="702"/>
        <v/>
      </c>
    </row>
    <row r="41783" spans="8:8" x14ac:dyDescent="0.3">
      <c r="H41783" t="str">
        <f t="shared" si="702"/>
        <v/>
      </c>
    </row>
    <row r="41784" spans="8:8" x14ac:dyDescent="0.3">
      <c r="H41784" t="str">
        <f t="shared" si="702"/>
        <v/>
      </c>
    </row>
    <row r="41785" spans="8:8" x14ac:dyDescent="0.3">
      <c r="H41785" t="str">
        <f t="shared" si="702"/>
        <v/>
      </c>
    </row>
    <row r="41786" spans="8:8" x14ac:dyDescent="0.3">
      <c r="H41786" t="str">
        <f t="shared" si="702"/>
        <v/>
      </c>
    </row>
    <row r="41787" spans="8:8" x14ac:dyDescent="0.3">
      <c r="H41787" t="str">
        <f t="shared" si="702"/>
        <v/>
      </c>
    </row>
    <row r="41788" spans="8:8" x14ac:dyDescent="0.3">
      <c r="H41788" t="str">
        <f t="shared" si="702"/>
        <v/>
      </c>
    </row>
    <row r="41789" spans="8:8" x14ac:dyDescent="0.3">
      <c r="H41789" t="str">
        <f t="shared" si="702"/>
        <v/>
      </c>
    </row>
    <row r="41790" spans="8:8" x14ac:dyDescent="0.3">
      <c r="H41790" t="str">
        <f t="shared" si="702"/>
        <v/>
      </c>
    </row>
    <row r="41791" spans="8:8" x14ac:dyDescent="0.3">
      <c r="H41791" t="str">
        <f t="shared" si="702"/>
        <v/>
      </c>
    </row>
    <row r="41792" spans="8:8" x14ac:dyDescent="0.3">
      <c r="H41792" t="str">
        <f t="shared" si="702"/>
        <v/>
      </c>
    </row>
    <row r="41793" spans="8:8" x14ac:dyDescent="0.3">
      <c r="H41793" t="str">
        <f t="shared" si="702"/>
        <v/>
      </c>
    </row>
    <row r="41794" spans="8:8" x14ac:dyDescent="0.3">
      <c r="H41794" t="str">
        <f t="shared" si="702"/>
        <v/>
      </c>
    </row>
    <row r="41795" spans="8:8" x14ac:dyDescent="0.3">
      <c r="H41795" t="str">
        <f t="shared" si="702"/>
        <v/>
      </c>
    </row>
    <row r="41796" spans="8:8" x14ac:dyDescent="0.3">
      <c r="H41796" t="str">
        <f t="shared" si="702"/>
        <v/>
      </c>
    </row>
    <row r="41797" spans="8:8" x14ac:dyDescent="0.3">
      <c r="H41797" t="str">
        <f t="shared" si="702"/>
        <v/>
      </c>
    </row>
    <row r="41798" spans="8:8" x14ac:dyDescent="0.3">
      <c r="H41798" t="str">
        <f t="shared" si="702"/>
        <v/>
      </c>
    </row>
    <row r="41799" spans="8:8" x14ac:dyDescent="0.3">
      <c r="H41799" t="str">
        <f t="shared" si="702"/>
        <v/>
      </c>
    </row>
    <row r="41800" spans="8:8" x14ac:dyDescent="0.3">
      <c r="H41800" t="str">
        <f t="shared" si="702"/>
        <v/>
      </c>
    </row>
    <row r="41801" spans="8:8" x14ac:dyDescent="0.3">
      <c r="H41801" t="str">
        <f t="shared" si="702"/>
        <v/>
      </c>
    </row>
    <row r="41802" spans="8:8" x14ac:dyDescent="0.3">
      <c r="H41802" t="str">
        <f t="shared" si="702"/>
        <v/>
      </c>
    </row>
    <row r="41803" spans="8:8" x14ac:dyDescent="0.3">
      <c r="H41803" t="str">
        <f t="shared" si="702"/>
        <v/>
      </c>
    </row>
    <row r="41804" spans="8:8" x14ac:dyDescent="0.3">
      <c r="H41804" t="str">
        <f t="shared" si="702"/>
        <v/>
      </c>
    </row>
    <row r="41805" spans="8:8" x14ac:dyDescent="0.3">
      <c r="H41805" t="str">
        <f t="shared" si="702"/>
        <v/>
      </c>
    </row>
    <row r="41806" spans="8:8" x14ac:dyDescent="0.3">
      <c r="H41806" t="str">
        <f t="shared" si="702"/>
        <v/>
      </c>
    </row>
    <row r="41807" spans="8:8" x14ac:dyDescent="0.3">
      <c r="H41807" t="str">
        <f t="shared" si="702"/>
        <v/>
      </c>
    </row>
    <row r="41808" spans="8:8" x14ac:dyDescent="0.3">
      <c r="H41808" t="str">
        <f t="shared" si="702"/>
        <v/>
      </c>
    </row>
    <row r="41809" spans="8:8" x14ac:dyDescent="0.3">
      <c r="H41809" t="str">
        <f t="shared" si="702"/>
        <v/>
      </c>
    </row>
    <row r="41810" spans="8:8" x14ac:dyDescent="0.3">
      <c r="H41810" t="str">
        <f t="shared" si="702"/>
        <v/>
      </c>
    </row>
    <row r="41811" spans="8:8" x14ac:dyDescent="0.3">
      <c r="H41811" t="str">
        <f t="shared" si="702"/>
        <v/>
      </c>
    </row>
    <row r="41812" spans="8:8" x14ac:dyDescent="0.3">
      <c r="H41812" t="str">
        <f t="shared" si="702"/>
        <v/>
      </c>
    </row>
    <row r="41813" spans="8:8" x14ac:dyDescent="0.3">
      <c r="H41813" t="str">
        <f t="shared" si="702"/>
        <v/>
      </c>
    </row>
    <row r="41814" spans="8:8" x14ac:dyDescent="0.3">
      <c r="H41814" t="str">
        <f t="shared" si="702"/>
        <v/>
      </c>
    </row>
    <row r="41815" spans="8:8" x14ac:dyDescent="0.3">
      <c r="H41815" t="str">
        <f t="shared" ref="H41815:H41878" si="703">IF(B41815="","",$C$12)</f>
        <v/>
      </c>
    </row>
    <row r="41816" spans="8:8" x14ac:dyDescent="0.3">
      <c r="H41816" t="str">
        <f t="shared" si="703"/>
        <v/>
      </c>
    </row>
    <row r="41817" spans="8:8" x14ac:dyDescent="0.3">
      <c r="H41817" t="str">
        <f t="shared" si="703"/>
        <v/>
      </c>
    </row>
    <row r="41818" spans="8:8" x14ac:dyDescent="0.3">
      <c r="H41818" t="str">
        <f t="shared" si="703"/>
        <v/>
      </c>
    </row>
    <row r="41819" spans="8:8" x14ac:dyDescent="0.3">
      <c r="H41819" t="str">
        <f t="shared" si="703"/>
        <v/>
      </c>
    </row>
    <row r="41820" spans="8:8" x14ac:dyDescent="0.3">
      <c r="H41820" t="str">
        <f t="shared" si="703"/>
        <v/>
      </c>
    </row>
    <row r="41821" spans="8:8" x14ac:dyDescent="0.3">
      <c r="H41821" t="str">
        <f t="shared" si="703"/>
        <v/>
      </c>
    </row>
    <row r="41822" spans="8:8" x14ac:dyDescent="0.3">
      <c r="H41822" t="str">
        <f t="shared" si="703"/>
        <v/>
      </c>
    </row>
    <row r="41823" spans="8:8" x14ac:dyDescent="0.3">
      <c r="H41823" t="str">
        <f t="shared" si="703"/>
        <v/>
      </c>
    </row>
    <row r="41824" spans="8:8" x14ac:dyDescent="0.3">
      <c r="H41824" t="str">
        <f t="shared" si="703"/>
        <v/>
      </c>
    </row>
    <row r="41825" spans="8:8" x14ac:dyDescent="0.3">
      <c r="H41825" t="str">
        <f t="shared" si="703"/>
        <v/>
      </c>
    </row>
    <row r="41826" spans="8:8" x14ac:dyDescent="0.3">
      <c r="H41826" t="str">
        <f t="shared" si="703"/>
        <v/>
      </c>
    </row>
    <row r="41827" spans="8:8" x14ac:dyDescent="0.3">
      <c r="H41827" t="str">
        <f t="shared" si="703"/>
        <v/>
      </c>
    </row>
    <row r="41828" spans="8:8" x14ac:dyDescent="0.3">
      <c r="H41828" t="str">
        <f t="shared" si="703"/>
        <v/>
      </c>
    </row>
    <row r="41829" spans="8:8" x14ac:dyDescent="0.3">
      <c r="H41829" t="str">
        <f t="shared" si="703"/>
        <v/>
      </c>
    </row>
    <row r="41830" spans="8:8" x14ac:dyDescent="0.3">
      <c r="H41830" t="str">
        <f t="shared" si="703"/>
        <v/>
      </c>
    </row>
    <row r="41831" spans="8:8" x14ac:dyDescent="0.3">
      <c r="H41831" t="str">
        <f t="shared" si="703"/>
        <v/>
      </c>
    </row>
    <row r="41832" spans="8:8" x14ac:dyDescent="0.3">
      <c r="H41832" t="str">
        <f t="shared" si="703"/>
        <v/>
      </c>
    </row>
    <row r="41833" spans="8:8" x14ac:dyDescent="0.3">
      <c r="H41833" t="str">
        <f t="shared" si="703"/>
        <v/>
      </c>
    </row>
    <row r="41834" spans="8:8" x14ac:dyDescent="0.3">
      <c r="H41834" t="str">
        <f t="shared" si="703"/>
        <v/>
      </c>
    </row>
    <row r="41835" spans="8:8" x14ac:dyDescent="0.3">
      <c r="H41835" t="str">
        <f t="shared" si="703"/>
        <v/>
      </c>
    </row>
    <row r="41836" spans="8:8" x14ac:dyDescent="0.3">
      <c r="H41836" t="str">
        <f t="shared" si="703"/>
        <v/>
      </c>
    </row>
    <row r="41837" spans="8:8" x14ac:dyDescent="0.3">
      <c r="H41837" t="str">
        <f t="shared" si="703"/>
        <v/>
      </c>
    </row>
    <row r="41838" spans="8:8" x14ac:dyDescent="0.3">
      <c r="H41838" t="str">
        <f t="shared" si="703"/>
        <v/>
      </c>
    </row>
    <row r="41839" spans="8:8" x14ac:dyDescent="0.3">
      <c r="H41839" t="str">
        <f t="shared" si="703"/>
        <v/>
      </c>
    </row>
    <row r="41840" spans="8:8" x14ac:dyDescent="0.3">
      <c r="H41840" t="str">
        <f t="shared" si="703"/>
        <v/>
      </c>
    </row>
    <row r="41841" spans="8:8" x14ac:dyDescent="0.3">
      <c r="H41841" t="str">
        <f t="shared" si="703"/>
        <v/>
      </c>
    </row>
    <row r="41842" spans="8:8" x14ac:dyDescent="0.3">
      <c r="H41842" t="str">
        <f t="shared" si="703"/>
        <v/>
      </c>
    </row>
    <row r="41843" spans="8:8" x14ac:dyDescent="0.3">
      <c r="H41843" t="str">
        <f t="shared" si="703"/>
        <v/>
      </c>
    </row>
    <row r="41844" spans="8:8" x14ac:dyDescent="0.3">
      <c r="H41844" t="str">
        <f t="shared" si="703"/>
        <v/>
      </c>
    </row>
    <row r="41845" spans="8:8" x14ac:dyDescent="0.3">
      <c r="H41845" t="str">
        <f t="shared" si="703"/>
        <v/>
      </c>
    </row>
    <row r="41846" spans="8:8" x14ac:dyDescent="0.3">
      <c r="H41846" t="str">
        <f t="shared" si="703"/>
        <v/>
      </c>
    </row>
    <row r="41847" spans="8:8" x14ac:dyDescent="0.3">
      <c r="H41847" t="str">
        <f t="shared" si="703"/>
        <v/>
      </c>
    </row>
    <row r="41848" spans="8:8" x14ac:dyDescent="0.3">
      <c r="H41848" t="str">
        <f t="shared" si="703"/>
        <v/>
      </c>
    </row>
    <row r="41849" spans="8:8" x14ac:dyDescent="0.3">
      <c r="H41849" t="str">
        <f t="shared" si="703"/>
        <v/>
      </c>
    </row>
    <row r="41850" spans="8:8" x14ac:dyDescent="0.3">
      <c r="H41850" t="str">
        <f t="shared" si="703"/>
        <v/>
      </c>
    </row>
    <row r="41851" spans="8:8" x14ac:dyDescent="0.3">
      <c r="H41851" t="str">
        <f t="shared" si="703"/>
        <v/>
      </c>
    </row>
    <row r="41852" spans="8:8" x14ac:dyDescent="0.3">
      <c r="H41852" t="str">
        <f t="shared" si="703"/>
        <v/>
      </c>
    </row>
    <row r="41853" spans="8:8" x14ac:dyDescent="0.3">
      <c r="H41853" t="str">
        <f t="shared" si="703"/>
        <v/>
      </c>
    </row>
    <row r="41854" spans="8:8" x14ac:dyDescent="0.3">
      <c r="H41854" t="str">
        <f t="shared" si="703"/>
        <v/>
      </c>
    </row>
    <row r="41855" spans="8:8" x14ac:dyDescent="0.3">
      <c r="H41855" t="str">
        <f t="shared" si="703"/>
        <v/>
      </c>
    </row>
    <row r="41856" spans="8:8" x14ac:dyDescent="0.3">
      <c r="H41856" t="str">
        <f t="shared" si="703"/>
        <v/>
      </c>
    </row>
    <row r="41857" spans="8:8" x14ac:dyDescent="0.3">
      <c r="H41857" t="str">
        <f t="shared" si="703"/>
        <v/>
      </c>
    </row>
    <row r="41858" spans="8:8" x14ac:dyDescent="0.3">
      <c r="H41858" t="str">
        <f t="shared" si="703"/>
        <v/>
      </c>
    </row>
    <row r="41859" spans="8:8" x14ac:dyDescent="0.3">
      <c r="H41859" t="str">
        <f t="shared" si="703"/>
        <v/>
      </c>
    </row>
    <row r="41860" spans="8:8" x14ac:dyDescent="0.3">
      <c r="H41860" t="str">
        <f t="shared" si="703"/>
        <v/>
      </c>
    </row>
    <row r="41861" spans="8:8" x14ac:dyDescent="0.3">
      <c r="H41861" t="str">
        <f t="shared" si="703"/>
        <v/>
      </c>
    </row>
    <row r="41862" spans="8:8" x14ac:dyDescent="0.3">
      <c r="H41862" t="str">
        <f t="shared" si="703"/>
        <v/>
      </c>
    </row>
    <row r="41863" spans="8:8" x14ac:dyDescent="0.3">
      <c r="H41863" t="str">
        <f t="shared" si="703"/>
        <v/>
      </c>
    </row>
    <row r="41864" spans="8:8" x14ac:dyDescent="0.3">
      <c r="H41864" t="str">
        <f t="shared" si="703"/>
        <v/>
      </c>
    </row>
    <row r="41865" spans="8:8" x14ac:dyDescent="0.3">
      <c r="H41865" t="str">
        <f t="shared" si="703"/>
        <v/>
      </c>
    </row>
    <row r="41866" spans="8:8" x14ac:dyDescent="0.3">
      <c r="H41866" t="str">
        <f t="shared" si="703"/>
        <v/>
      </c>
    </row>
    <row r="41867" spans="8:8" x14ac:dyDescent="0.3">
      <c r="H41867" t="str">
        <f t="shared" si="703"/>
        <v/>
      </c>
    </row>
    <row r="41868" spans="8:8" x14ac:dyDescent="0.3">
      <c r="H41868" t="str">
        <f t="shared" si="703"/>
        <v/>
      </c>
    </row>
    <row r="41869" spans="8:8" x14ac:dyDescent="0.3">
      <c r="H41869" t="str">
        <f t="shared" si="703"/>
        <v/>
      </c>
    </row>
    <row r="41870" spans="8:8" x14ac:dyDescent="0.3">
      <c r="H41870" t="str">
        <f t="shared" si="703"/>
        <v/>
      </c>
    </row>
    <row r="41871" spans="8:8" x14ac:dyDescent="0.3">
      <c r="H41871" t="str">
        <f t="shared" si="703"/>
        <v/>
      </c>
    </row>
    <row r="41872" spans="8:8" x14ac:dyDescent="0.3">
      <c r="H41872" t="str">
        <f t="shared" si="703"/>
        <v/>
      </c>
    </row>
    <row r="41873" spans="8:8" x14ac:dyDescent="0.3">
      <c r="H41873" t="str">
        <f t="shared" si="703"/>
        <v/>
      </c>
    </row>
    <row r="41874" spans="8:8" x14ac:dyDescent="0.3">
      <c r="H41874" t="str">
        <f t="shared" si="703"/>
        <v/>
      </c>
    </row>
    <row r="41875" spans="8:8" x14ac:dyDescent="0.3">
      <c r="H41875" t="str">
        <f t="shared" si="703"/>
        <v/>
      </c>
    </row>
    <row r="41876" spans="8:8" x14ac:dyDescent="0.3">
      <c r="H41876" t="str">
        <f t="shared" si="703"/>
        <v/>
      </c>
    </row>
    <row r="41877" spans="8:8" x14ac:dyDescent="0.3">
      <c r="H41877" t="str">
        <f t="shared" si="703"/>
        <v/>
      </c>
    </row>
    <row r="41878" spans="8:8" x14ac:dyDescent="0.3">
      <c r="H41878" t="str">
        <f t="shared" si="703"/>
        <v/>
      </c>
    </row>
    <row r="41879" spans="8:8" x14ac:dyDescent="0.3">
      <c r="H41879" t="str">
        <f t="shared" ref="H41879:H41942" si="704">IF(B41879="","",$C$12)</f>
        <v/>
      </c>
    </row>
    <row r="41880" spans="8:8" x14ac:dyDescent="0.3">
      <c r="H41880" t="str">
        <f t="shared" si="704"/>
        <v/>
      </c>
    </row>
    <row r="41881" spans="8:8" x14ac:dyDescent="0.3">
      <c r="H41881" t="str">
        <f t="shared" si="704"/>
        <v/>
      </c>
    </row>
    <row r="41882" spans="8:8" x14ac:dyDescent="0.3">
      <c r="H41882" t="str">
        <f t="shared" si="704"/>
        <v/>
      </c>
    </row>
    <row r="41883" spans="8:8" x14ac:dyDescent="0.3">
      <c r="H41883" t="str">
        <f t="shared" si="704"/>
        <v/>
      </c>
    </row>
    <row r="41884" spans="8:8" x14ac:dyDescent="0.3">
      <c r="H41884" t="str">
        <f t="shared" si="704"/>
        <v/>
      </c>
    </row>
    <row r="41885" spans="8:8" x14ac:dyDescent="0.3">
      <c r="H41885" t="str">
        <f t="shared" si="704"/>
        <v/>
      </c>
    </row>
    <row r="41886" spans="8:8" x14ac:dyDescent="0.3">
      <c r="H41886" t="str">
        <f t="shared" si="704"/>
        <v/>
      </c>
    </row>
    <row r="41887" spans="8:8" x14ac:dyDescent="0.3">
      <c r="H41887" t="str">
        <f t="shared" si="704"/>
        <v/>
      </c>
    </row>
    <row r="41888" spans="8:8" x14ac:dyDescent="0.3">
      <c r="H41888" t="str">
        <f t="shared" si="704"/>
        <v/>
      </c>
    </row>
    <row r="41889" spans="8:8" x14ac:dyDescent="0.3">
      <c r="H41889" t="str">
        <f t="shared" si="704"/>
        <v/>
      </c>
    </row>
    <row r="41890" spans="8:8" x14ac:dyDescent="0.3">
      <c r="H41890" t="str">
        <f t="shared" si="704"/>
        <v/>
      </c>
    </row>
    <row r="41891" spans="8:8" x14ac:dyDescent="0.3">
      <c r="H41891" t="str">
        <f t="shared" si="704"/>
        <v/>
      </c>
    </row>
    <row r="41892" spans="8:8" x14ac:dyDescent="0.3">
      <c r="H41892" t="str">
        <f t="shared" si="704"/>
        <v/>
      </c>
    </row>
    <row r="41893" spans="8:8" x14ac:dyDescent="0.3">
      <c r="H41893" t="str">
        <f t="shared" si="704"/>
        <v/>
      </c>
    </row>
    <row r="41894" spans="8:8" x14ac:dyDescent="0.3">
      <c r="H41894" t="str">
        <f t="shared" si="704"/>
        <v/>
      </c>
    </row>
    <row r="41895" spans="8:8" x14ac:dyDescent="0.3">
      <c r="H41895" t="str">
        <f t="shared" si="704"/>
        <v/>
      </c>
    </row>
    <row r="41896" spans="8:8" x14ac:dyDescent="0.3">
      <c r="H41896" t="str">
        <f t="shared" si="704"/>
        <v/>
      </c>
    </row>
    <row r="41897" spans="8:8" x14ac:dyDescent="0.3">
      <c r="H41897" t="str">
        <f t="shared" si="704"/>
        <v/>
      </c>
    </row>
    <row r="41898" spans="8:8" x14ac:dyDescent="0.3">
      <c r="H41898" t="str">
        <f t="shared" si="704"/>
        <v/>
      </c>
    </row>
    <row r="41899" spans="8:8" x14ac:dyDescent="0.3">
      <c r="H41899" t="str">
        <f t="shared" si="704"/>
        <v/>
      </c>
    </row>
    <row r="41900" spans="8:8" x14ac:dyDescent="0.3">
      <c r="H41900" t="str">
        <f t="shared" si="704"/>
        <v/>
      </c>
    </row>
    <row r="41901" spans="8:8" x14ac:dyDescent="0.3">
      <c r="H41901" t="str">
        <f t="shared" si="704"/>
        <v/>
      </c>
    </row>
    <row r="41902" spans="8:8" x14ac:dyDescent="0.3">
      <c r="H41902" t="str">
        <f t="shared" si="704"/>
        <v/>
      </c>
    </row>
    <row r="41903" spans="8:8" x14ac:dyDescent="0.3">
      <c r="H41903" t="str">
        <f t="shared" si="704"/>
        <v/>
      </c>
    </row>
    <row r="41904" spans="8:8" x14ac:dyDescent="0.3">
      <c r="H41904" t="str">
        <f t="shared" si="704"/>
        <v/>
      </c>
    </row>
    <row r="41905" spans="8:8" x14ac:dyDescent="0.3">
      <c r="H41905" t="str">
        <f t="shared" si="704"/>
        <v/>
      </c>
    </row>
    <row r="41906" spans="8:8" x14ac:dyDescent="0.3">
      <c r="H41906" t="str">
        <f t="shared" si="704"/>
        <v/>
      </c>
    </row>
    <row r="41907" spans="8:8" x14ac:dyDescent="0.3">
      <c r="H41907" t="str">
        <f t="shared" si="704"/>
        <v/>
      </c>
    </row>
    <row r="41908" spans="8:8" x14ac:dyDescent="0.3">
      <c r="H41908" t="str">
        <f t="shared" si="704"/>
        <v/>
      </c>
    </row>
    <row r="41909" spans="8:8" x14ac:dyDescent="0.3">
      <c r="H41909" t="str">
        <f t="shared" si="704"/>
        <v/>
      </c>
    </row>
    <row r="41910" spans="8:8" x14ac:dyDescent="0.3">
      <c r="H41910" t="str">
        <f t="shared" si="704"/>
        <v/>
      </c>
    </row>
    <row r="41911" spans="8:8" x14ac:dyDescent="0.3">
      <c r="H41911" t="str">
        <f t="shared" si="704"/>
        <v/>
      </c>
    </row>
    <row r="41912" spans="8:8" x14ac:dyDescent="0.3">
      <c r="H41912" t="str">
        <f t="shared" si="704"/>
        <v/>
      </c>
    </row>
    <row r="41913" spans="8:8" x14ac:dyDescent="0.3">
      <c r="H41913" t="str">
        <f t="shared" si="704"/>
        <v/>
      </c>
    </row>
    <row r="41914" spans="8:8" x14ac:dyDescent="0.3">
      <c r="H41914" t="str">
        <f t="shared" si="704"/>
        <v/>
      </c>
    </row>
    <row r="41915" spans="8:8" x14ac:dyDescent="0.3">
      <c r="H41915" t="str">
        <f t="shared" si="704"/>
        <v/>
      </c>
    </row>
    <row r="41916" spans="8:8" x14ac:dyDescent="0.3">
      <c r="H41916" t="str">
        <f t="shared" si="704"/>
        <v/>
      </c>
    </row>
    <row r="41917" spans="8:8" x14ac:dyDescent="0.3">
      <c r="H41917" t="str">
        <f t="shared" si="704"/>
        <v/>
      </c>
    </row>
    <row r="41918" spans="8:8" x14ac:dyDescent="0.3">
      <c r="H41918" t="str">
        <f t="shared" si="704"/>
        <v/>
      </c>
    </row>
    <row r="41919" spans="8:8" x14ac:dyDescent="0.3">
      <c r="H41919" t="str">
        <f t="shared" si="704"/>
        <v/>
      </c>
    </row>
    <row r="41920" spans="8:8" x14ac:dyDescent="0.3">
      <c r="H41920" t="str">
        <f t="shared" si="704"/>
        <v/>
      </c>
    </row>
    <row r="41921" spans="8:8" x14ac:dyDescent="0.3">
      <c r="H41921" t="str">
        <f t="shared" si="704"/>
        <v/>
      </c>
    </row>
    <row r="41922" spans="8:8" x14ac:dyDescent="0.3">
      <c r="H41922" t="str">
        <f t="shared" si="704"/>
        <v/>
      </c>
    </row>
    <row r="41923" spans="8:8" x14ac:dyDescent="0.3">
      <c r="H41923" t="str">
        <f t="shared" si="704"/>
        <v/>
      </c>
    </row>
    <row r="41924" spans="8:8" x14ac:dyDescent="0.3">
      <c r="H41924" t="str">
        <f t="shared" si="704"/>
        <v/>
      </c>
    </row>
    <row r="41925" spans="8:8" x14ac:dyDescent="0.3">
      <c r="H41925" t="str">
        <f t="shared" si="704"/>
        <v/>
      </c>
    </row>
    <row r="41926" spans="8:8" x14ac:dyDescent="0.3">
      <c r="H41926" t="str">
        <f t="shared" si="704"/>
        <v/>
      </c>
    </row>
    <row r="41927" spans="8:8" x14ac:dyDescent="0.3">
      <c r="H41927" t="str">
        <f t="shared" si="704"/>
        <v/>
      </c>
    </row>
    <row r="41928" spans="8:8" x14ac:dyDescent="0.3">
      <c r="H41928" t="str">
        <f t="shared" si="704"/>
        <v/>
      </c>
    </row>
    <row r="41929" spans="8:8" x14ac:dyDescent="0.3">
      <c r="H41929" t="str">
        <f t="shared" si="704"/>
        <v/>
      </c>
    </row>
    <row r="41930" spans="8:8" x14ac:dyDescent="0.3">
      <c r="H41930" t="str">
        <f t="shared" si="704"/>
        <v/>
      </c>
    </row>
    <row r="41931" spans="8:8" x14ac:dyDescent="0.3">
      <c r="H41931" t="str">
        <f t="shared" si="704"/>
        <v/>
      </c>
    </row>
    <row r="41932" spans="8:8" x14ac:dyDescent="0.3">
      <c r="H41932" t="str">
        <f t="shared" si="704"/>
        <v/>
      </c>
    </row>
    <row r="41933" spans="8:8" x14ac:dyDescent="0.3">
      <c r="H41933" t="str">
        <f t="shared" si="704"/>
        <v/>
      </c>
    </row>
    <row r="41934" spans="8:8" x14ac:dyDescent="0.3">
      <c r="H41934" t="str">
        <f t="shared" si="704"/>
        <v/>
      </c>
    </row>
    <row r="41935" spans="8:8" x14ac:dyDescent="0.3">
      <c r="H41935" t="str">
        <f t="shared" si="704"/>
        <v/>
      </c>
    </row>
    <row r="41936" spans="8:8" x14ac:dyDescent="0.3">
      <c r="H41936" t="str">
        <f t="shared" si="704"/>
        <v/>
      </c>
    </row>
    <row r="41937" spans="8:8" x14ac:dyDescent="0.3">
      <c r="H41937" t="str">
        <f t="shared" si="704"/>
        <v/>
      </c>
    </row>
    <row r="41938" spans="8:8" x14ac:dyDescent="0.3">
      <c r="H41938" t="str">
        <f t="shared" si="704"/>
        <v/>
      </c>
    </row>
    <row r="41939" spans="8:8" x14ac:dyDescent="0.3">
      <c r="H41939" t="str">
        <f t="shared" si="704"/>
        <v/>
      </c>
    </row>
    <row r="41940" spans="8:8" x14ac:dyDescent="0.3">
      <c r="H41940" t="str">
        <f t="shared" si="704"/>
        <v/>
      </c>
    </row>
    <row r="41941" spans="8:8" x14ac:dyDescent="0.3">
      <c r="H41941" t="str">
        <f t="shared" si="704"/>
        <v/>
      </c>
    </row>
    <row r="41942" spans="8:8" x14ac:dyDescent="0.3">
      <c r="H41942" t="str">
        <f t="shared" si="704"/>
        <v/>
      </c>
    </row>
    <row r="41943" spans="8:8" x14ac:dyDescent="0.3">
      <c r="H41943" t="str">
        <f t="shared" ref="H41943:H42006" si="705">IF(B41943="","",$C$12)</f>
        <v/>
      </c>
    </row>
    <row r="41944" spans="8:8" x14ac:dyDescent="0.3">
      <c r="H41944" t="str">
        <f t="shared" si="705"/>
        <v/>
      </c>
    </row>
    <row r="41945" spans="8:8" x14ac:dyDescent="0.3">
      <c r="H41945" t="str">
        <f t="shared" si="705"/>
        <v/>
      </c>
    </row>
    <row r="41946" spans="8:8" x14ac:dyDescent="0.3">
      <c r="H41946" t="str">
        <f t="shared" si="705"/>
        <v/>
      </c>
    </row>
    <row r="41947" spans="8:8" x14ac:dyDescent="0.3">
      <c r="H41947" t="str">
        <f t="shared" si="705"/>
        <v/>
      </c>
    </row>
    <row r="41948" spans="8:8" x14ac:dyDescent="0.3">
      <c r="H41948" t="str">
        <f t="shared" si="705"/>
        <v/>
      </c>
    </row>
    <row r="41949" spans="8:8" x14ac:dyDescent="0.3">
      <c r="H41949" t="str">
        <f t="shared" si="705"/>
        <v/>
      </c>
    </row>
    <row r="41950" spans="8:8" x14ac:dyDescent="0.3">
      <c r="H41950" t="str">
        <f t="shared" si="705"/>
        <v/>
      </c>
    </row>
    <row r="41951" spans="8:8" x14ac:dyDescent="0.3">
      <c r="H41951" t="str">
        <f t="shared" si="705"/>
        <v/>
      </c>
    </row>
    <row r="41952" spans="8:8" x14ac:dyDescent="0.3">
      <c r="H41952" t="str">
        <f t="shared" si="705"/>
        <v/>
      </c>
    </row>
    <row r="41953" spans="8:8" x14ac:dyDescent="0.3">
      <c r="H41953" t="str">
        <f t="shared" si="705"/>
        <v/>
      </c>
    </row>
    <row r="41954" spans="8:8" x14ac:dyDescent="0.3">
      <c r="H41954" t="str">
        <f t="shared" si="705"/>
        <v/>
      </c>
    </row>
    <row r="41955" spans="8:8" x14ac:dyDescent="0.3">
      <c r="H41955" t="str">
        <f t="shared" si="705"/>
        <v/>
      </c>
    </row>
    <row r="41956" spans="8:8" x14ac:dyDescent="0.3">
      <c r="H41956" t="str">
        <f t="shared" si="705"/>
        <v/>
      </c>
    </row>
    <row r="41957" spans="8:8" x14ac:dyDescent="0.3">
      <c r="H41957" t="str">
        <f t="shared" si="705"/>
        <v/>
      </c>
    </row>
    <row r="41958" spans="8:8" x14ac:dyDescent="0.3">
      <c r="H41958" t="str">
        <f t="shared" si="705"/>
        <v/>
      </c>
    </row>
    <row r="41959" spans="8:8" x14ac:dyDescent="0.3">
      <c r="H41959" t="str">
        <f t="shared" si="705"/>
        <v/>
      </c>
    </row>
    <row r="41960" spans="8:8" x14ac:dyDescent="0.3">
      <c r="H41960" t="str">
        <f t="shared" si="705"/>
        <v/>
      </c>
    </row>
    <row r="41961" spans="8:8" x14ac:dyDescent="0.3">
      <c r="H41961" t="str">
        <f t="shared" si="705"/>
        <v/>
      </c>
    </row>
    <row r="41962" spans="8:8" x14ac:dyDescent="0.3">
      <c r="H41962" t="str">
        <f t="shared" si="705"/>
        <v/>
      </c>
    </row>
    <row r="41963" spans="8:8" x14ac:dyDescent="0.3">
      <c r="H41963" t="str">
        <f t="shared" si="705"/>
        <v/>
      </c>
    </row>
    <row r="41964" spans="8:8" x14ac:dyDescent="0.3">
      <c r="H41964" t="str">
        <f t="shared" si="705"/>
        <v/>
      </c>
    </row>
    <row r="41965" spans="8:8" x14ac:dyDescent="0.3">
      <c r="H41965" t="str">
        <f t="shared" si="705"/>
        <v/>
      </c>
    </row>
    <row r="41966" spans="8:8" x14ac:dyDescent="0.3">
      <c r="H41966" t="str">
        <f t="shared" si="705"/>
        <v/>
      </c>
    </row>
    <row r="41967" spans="8:8" x14ac:dyDescent="0.3">
      <c r="H41967" t="str">
        <f t="shared" si="705"/>
        <v/>
      </c>
    </row>
    <row r="41968" spans="8:8" x14ac:dyDescent="0.3">
      <c r="H41968" t="str">
        <f t="shared" si="705"/>
        <v/>
      </c>
    </row>
    <row r="41969" spans="8:8" x14ac:dyDescent="0.3">
      <c r="H41969" t="str">
        <f t="shared" si="705"/>
        <v/>
      </c>
    </row>
    <row r="41970" spans="8:8" x14ac:dyDescent="0.3">
      <c r="H41970" t="str">
        <f t="shared" si="705"/>
        <v/>
      </c>
    </row>
    <row r="41971" spans="8:8" x14ac:dyDescent="0.3">
      <c r="H41971" t="str">
        <f t="shared" si="705"/>
        <v/>
      </c>
    </row>
    <row r="41972" spans="8:8" x14ac:dyDescent="0.3">
      <c r="H41972" t="str">
        <f t="shared" si="705"/>
        <v/>
      </c>
    </row>
    <row r="41973" spans="8:8" x14ac:dyDescent="0.3">
      <c r="H41973" t="str">
        <f t="shared" si="705"/>
        <v/>
      </c>
    </row>
    <row r="41974" spans="8:8" x14ac:dyDescent="0.3">
      <c r="H41974" t="str">
        <f t="shared" si="705"/>
        <v/>
      </c>
    </row>
    <row r="41975" spans="8:8" x14ac:dyDescent="0.3">
      <c r="H41975" t="str">
        <f t="shared" si="705"/>
        <v/>
      </c>
    </row>
    <row r="41976" spans="8:8" x14ac:dyDescent="0.3">
      <c r="H41976" t="str">
        <f t="shared" si="705"/>
        <v/>
      </c>
    </row>
    <row r="41977" spans="8:8" x14ac:dyDescent="0.3">
      <c r="H41977" t="str">
        <f t="shared" si="705"/>
        <v/>
      </c>
    </row>
    <row r="41978" spans="8:8" x14ac:dyDescent="0.3">
      <c r="H41978" t="str">
        <f t="shared" si="705"/>
        <v/>
      </c>
    </row>
    <row r="41979" spans="8:8" x14ac:dyDescent="0.3">
      <c r="H41979" t="str">
        <f t="shared" si="705"/>
        <v/>
      </c>
    </row>
    <row r="41980" spans="8:8" x14ac:dyDescent="0.3">
      <c r="H41980" t="str">
        <f t="shared" si="705"/>
        <v/>
      </c>
    </row>
    <row r="41981" spans="8:8" x14ac:dyDescent="0.3">
      <c r="H41981" t="str">
        <f t="shared" si="705"/>
        <v/>
      </c>
    </row>
    <row r="41982" spans="8:8" x14ac:dyDescent="0.3">
      <c r="H41982" t="str">
        <f t="shared" si="705"/>
        <v/>
      </c>
    </row>
    <row r="41983" spans="8:8" x14ac:dyDescent="0.3">
      <c r="H41983" t="str">
        <f t="shared" si="705"/>
        <v/>
      </c>
    </row>
    <row r="41984" spans="8:8" x14ac:dyDescent="0.3">
      <c r="H41984" t="str">
        <f t="shared" si="705"/>
        <v/>
      </c>
    </row>
    <row r="41985" spans="8:8" x14ac:dyDescent="0.3">
      <c r="H41985" t="str">
        <f t="shared" si="705"/>
        <v/>
      </c>
    </row>
    <row r="41986" spans="8:8" x14ac:dyDescent="0.3">
      <c r="H41986" t="str">
        <f t="shared" si="705"/>
        <v/>
      </c>
    </row>
    <row r="41987" spans="8:8" x14ac:dyDescent="0.3">
      <c r="H41987" t="str">
        <f t="shared" si="705"/>
        <v/>
      </c>
    </row>
    <row r="41988" spans="8:8" x14ac:dyDescent="0.3">
      <c r="H41988" t="str">
        <f t="shared" si="705"/>
        <v/>
      </c>
    </row>
    <row r="41989" spans="8:8" x14ac:dyDescent="0.3">
      <c r="H41989" t="str">
        <f t="shared" si="705"/>
        <v/>
      </c>
    </row>
    <row r="41990" spans="8:8" x14ac:dyDescent="0.3">
      <c r="H41990" t="str">
        <f t="shared" si="705"/>
        <v/>
      </c>
    </row>
    <row r="41991" spans="8:8" x14ac:dyDescent="0.3">
      <c r="H41991" t="str">
        <f t="shared" si="705"/>
        <v/>
      </c>
    </row>
    <row r="41992" spans="8:8" x14ac:dyDescent="0.3">
      <c r="H41992" t="str">
        <f t="shared" si="705"/>
        <v/>
      </c>
    </row>
    <row r="41993" spans="8:8" x14ac:dyDescent="0.3">
      <c r="H41993" t="str">
        <f t="shared" si="705"/>
        <v/>
      </c>
    </row>
    <row r="41994" spans="8:8" x14ac:dyDescent="0.3">
      <c r="H41994" t="str">
        <f t="shared" si="705"/>
        <v/>
      </c>
    </row>
    <row r="41995" spans="8:8" x14ac:dyDescent="0.3">
      <c r="H41995" t="str">
        <f t="shared" si="705"/>
        <v/>
      </c>
    </row>
    <row r="41996" spans="8:8" x14ac:dyDescent="0.3">
      <c r="H41996" t="str">
        <f t="shared" si="705"/>
        <v/>
      </c>
    </row>
    <row r="41997" spans="8:8" x14ac:dyDescent="0.3">
      <c r="H41997" t="str">
        <f t="shared" si="705"/>
        <v/>
      </c>
    </row>
    <row r="41998" spans="8:8" x14ac:dyDescent="0.3">
      <c r="H41998" t="str">
        <f t="shared" si="705"/>
        <v/>
      </c>
    </row>
    <row r="41999" spans="8:8" x14ac:dyDescent="0.3">
      <c r="H41999" t="str">
        <f t="shared" si="705"/>
        <v/>
      </c>
    </row>
    <row r="42000" spans="8:8" x14ac:dyDescent="0.3">
      <c r="H42000" t="str">
        <f t="shared" si="705"/>
        <v/>
      </c>
    </row>
    <row r="42001" spans="8:8" x14ac:dyDescent="0.3">
      <c r="H42001" t="str">
        <f t="shared" si="705"/>
        <v/>
      </c>
    </row>
    <row r="42002" spans="8:8" x14ac:dyDescent="0.3">
      <c r="H42002" t="str">
        <f t="shared" si="705"/>
        <v/>
      </c>
    </row>
    <row r="42003" spans="8:8" x14ac:dyDescent="0.3">
      <c r="H42003" t="str">
        <f t="shared" si="705"/>
        <v/>
      </c>
    </row>
    <row r="42004" spans="8:8" x14ac:dyDescent="0.3">
      <c r="H42004" t="str">
        <f t="shared" si="705"/>
        <v/>
      </c>
    </row>
    <row r="42005" spans="8:8" x14ac:dyDescent="0.3">
      <c r="H42005" t="str">
        <f t="shared" si="705"/>
        <v/>
      </c>
    </row>
    <row r="42006" spans="8:8" x14ac:dyDescent="0.3">
      <c r="H42006" t="str">
        <f t="shared" si="705"/>
        <v/>
      </c>
    </row>
    <row r="42007" spans="8:8" x14ac:dyDescent="0.3">
      <c r="H42007" t="str">
        <f t="shared" ref="H42007:H42070" si="706">IF(B42007="","",$C$12)</f>
        <v/>
      </c>
    </row>
    <row r="42008" spans="8:8" x14ac:dyDescent="0.3">
      <c r="H42008" t="str">
        <f t="shared" si="706"/>
        <v/>
      </c>
    </row>
    <row r="42009" spans="8:8" x14ac:dyDescent="0.3">
      <c r="H42009" t="str">
        <f t="shared" si="706"/>
        <v/>
      </c>
    </row>
    <row r="42010" spans="8:8" x14ac:dyDescent="0.3">
      <c r="H42010" t="str">
        <f t="shared" si="706"/>
        <v/>
      </c>
    </row>
    <row r="42011" spans="8:8" x14ac:dyDescent="0.3">
      <c r="H42011" t="str">
        <f t="shared" si="706"/>
        <v/>
      </c>
    </row>
    <row r="42012" spans="8:8" x14ac:dyDescent="0.3">
      <c r="H42012" t="str">
        <f t="shared" si="706"/>
        <v/>
      </c>
    </row>
    <row r="42013" spans="8:8" x14ac:dyDescent="0.3">
      <c r="H42013" t="str">
        <f t="shared" si="706"/>
        <v/>
      </c>
    </row>
    <row r="42014" spans="8:8" x14ac:dyDescent="0.3">
      <c r="H42014" t="str">
        <f t="shared" si="706"/>
        <v/>
      </c>
    </row>
    <row r="42015" spans="8:8" x14ac:dyDescent="0.3">
      <c r="H42015" t="str">
        <f t="shared" si="706"/>
        <v/>
      </c>
    </row>
    <row r="42016" spans="8:8" x14ac:dyDescent="0.3">
      <c r="H42016" t="str">
        <f t="shared" si="706"/>
        <v/>
      </c>
    </row>
    <row r="42017" spans="8:8" x14ac:dyDescent="0.3">
      <c r="H42017" t="str">
        <f t="shared" si="706"/>
        <v/>
      </c>
    </row>
    <row r="42018" spans="8:8" x14ac:dyDescent="0.3">
      <c r="H42018" t="str">
        <f t="shared" si="706"/>
        <v/>
      </c>
    </row>
    <row r="42019" spans="8:8" x14ac:dyDescent="0.3">
      <c r="H42019" t="str">
        <f t="shared" si="706"/>
        <v/>
      </c>
    </row>
    <row r="42020" spans="8:8" x14ac:dyDescent="0.3">
      <c r="H42020" t="str">
        <f t="shared" si="706"/>
        <v/>
      </c>
    </row>
    <row r="42021" spans="8:8" x14ac:dyDescent="0.3">
      <c r="H42021" t="str">
        <f t="shared" si="706"/>
        <v/>
      </c>
    </row>
    <row r="42022" spans="8:8" x14ac:dyDescent="0.3">
      <c r="H42022" t="str">
        <f t="shared" si="706"/>
        <v/>
      </c>
    </row>
    <row r="42023" spans="8:8" x14ac:dyDescent="0.3">
      <c r="H42023" t="str">
        <f t="shared" si="706"/>
        <v/>
      </c>
    </row>
    <row r="42024" spans="8:8" x14ac:dyDescent="0.3">
      <c r="H42024" t="str">
        <f t="shared" si="706"/>
        <v/>
      </c>
    </row>
    <row r="42025" spans="8:8" x14ac:dyDescent="0.3">
      <c r="H42025" t="str">
        <f t="shared" si="706"/>
        <v/>
      </c>
    </row>
    <row r="42026" spans="8:8" x14ac:dyDescent="0.3">
      <c r="H42026" t="str">
        <f t="shared" si="706"/>
        <v/>
      </c>
    </row>
    <row r="42027" spans="8:8" x14ac:dyDescent="0.3">
      <c r="H42027" t="str">
        <f t="shared" si="706"/>
        <v/>
      </c>
    </row>
    <row r="42028" spans="8:8" x14ac:dyDescent="0.3">
      <c r="H42028" t="str">
        <f t="shared" si="706"/>
        <v/>
      </c>
    </row>
    <row r="42029" spans="8:8" x14ac:dyDescent="0.3">
      <c r="H42029" t="str">
        <f t="shared" si="706"/>
        <v/>
      </c>
    </row>
    <row r="42030" spans="8:8" x14ac:dyDescent="0.3">
      <c r="H42030" t="str">
        <f t="shared" si="706"/>
        <v/>
      </c>
    </row>
    <row r="42031" spans="8:8" x14ac:dyDescent="0.3">
      <c r="H42031" t="str">
        <f t="shared" si="706"/>
        <v/>
      </c>
    </row>
    <row r="42032" spans="8:8" x14ac:dyDescent="0.3">
      <c r="H42032" t="str">
        <f t="shared" si="706"/>
        <v/>
      </c>
    </row>
    <row r="42033" spans="8:8" x14ac:dyDescent="0.3">
      <c r="H42033" t="str">
        <f t="shared" si="706"/>
        <v/>
      </c>
    </row>
    <row r="42034" spans="8:8" x14ac:dyDescent="0.3">
      <c r="H42034" t="str">
        <f t="shared" si="706"/>
        <v/>
      </c>
    </row>
    <row r="42035" spans="8:8" x14ac:dyDescent="0.3">
      <c r="H42035" t="str">
        <f t="shared" si="706"/>
        <v/>
      </c>
    </row>
    <row r="42036" spans="8:8" x14ac:dyDescent="0.3">
      <c r="H42036" t="str">
        <f t="shared" si="706"/>
        <v/>
      </c>
    </row>
    <row r="42037" spans="8:8" x14ac:dyDescent="0.3">
      <c r="H42037" t="str">
        <f t="shared" si="706"/>
        <v/>
      </c>
    </row>
    <row r="42038" spans="8:8" x14ac:dyDescent="0.3">
      <c r="H42038" t="str">
        <f t="shared" si="706"/>
        <v/>
      </c>
    </row>
    <row r="42039" spans="8:8" x14ac:dyDescent="0.3">
      <c r="H42039" t="str">
        <f t="shared" si="706"/>
        <v/>
      </c>
    </row>
    <row r="42040" spans="8:8" x14ac:dyDescent="0.3">
      <c r="H42040" t="str">
        <f t="shared" si="706"/>
        <v/>
      </c>
    </row>
    <row r="42041" spans="8:8" x14ac:dyDescent="0.3">
      <c r="H42041" t="str">
        <f t="shared" si="706"/>
        <v/>
      </c>
    </row>
    <row r="42042" spans="8:8" x14ac:dyDescent="0.3">
      <c r="H42042" t="str">
        <f t="shared" si="706"/>
        <v/>
      </c>
    </row>
    <row r="42043" spans="8:8" x14ac:dyDescent="0.3">
      <c r="H42043" t="str">
        <f t="shared" si="706"/>
        <v/>
      </c>
    </row>
    <row r="42044" spans="8:8" x14ac:dyDescent="0.3">
      <c r="H42044" t="str">
        <f t="shared" si="706"/>
        <v/>
      </c>
    </row>
    <row r="42045" spans="8:8" x14ac:dyDescent="0.3">
      <c r="H42045" t="str">
        <f t="shared" si="706"/>
        <v/>
      </c>
    </row>
    <row r="42046" spans="8:8" x14ac:dyDescent="0.3">
      <c r="H42046" t="str">
        <f t="shared" si="706"/>
        <v/>
      </c>
    </row>
    <row r="42047" spans="8:8" x14ac:dyDescent="0.3">
      <c r="H42047" t="str">
        <f t="shared" si="706"/>
        <v/>
      </c>
    </row>
    <row r="42048" spans="8:8" x14ac:dyDescent="0.3">
      <c r="H42048" t="str">
        <f t="shared" si="706"/>
        <v/>
      </c>
    </row>
    <row r="42049" spans="8:8" x14ac:dyDescent="0.3">
      <c r="H42049" t="str">
        <f t="shared" si="706"/>
        <v/>
      </c>
    </row>
    <row r="42050" spans="8:8" x14ac:dyDescent="0.3">
      <c r="H42050" t="str">
        <f t="shared" si="706"/>
        <v/>
      </c>
    </row>
    <row r="42051" spans="8:8" x14ac:dyDescent="0.3">
      <c r="H42051" t="str">
        <f t="shared" si="706"/>
        <v/>
      </c>
    </row>
    <row r="42052" spans="8:8" x14ac:dyDescent="0.3">
      <c r="H42052" t="str">
        <f t="shared" si="706"/>
        <v/>
      </c>
    </row>
    <row r="42053" spans="8:8" x14ac:dyDescent="0.3">
      <c r="H42053" t="str">
        <f t="shared" si="706"/>
        <v/>
      </c>
    </row>
    <row r="42054" spans="8:8" x14ac:dyDescent="0.3">
      <c r="H42054" t="str">
        <f t="shared" si="706"/>
        <v/>
      </c>
    </row>
    <row r="42055" spans="8:8" x14ac:dyDescent="0.3">
      <c r="H42055" t="str">
        <f t="shared" si="706"/>
        <v/>
      </c>
    </row>
    <row r="42056" spans="8:8" x14ac:dyDescent="0.3">
      <c r="H42056" t="str">
        <f t="shared" si="706"/>
        <v/>
      </c>
    </row>
    <row r="42057" spans="8:8" x14ac:dyDescent="0.3">
      <c r="H42057" t="str">
        <f t="shared" si="706"/>
        <v/>
      </c>
    </row>
    <row r="42058" spans="8:8" x14ac:dyDescent="0.3">
      <c r="H42058" t="str">
        <f t="shared" si="706"/>
        <v/>
      </c>
    </row>
    <row r="42059" spans="8:8" x14ac:dyDescent="0.3">
      <c r="H42059" t="str">
        <f t="shared" si="706"/>
        <v/>
      </c>
    </row>
    <row r="42060" spans="8:8" x14ac:dyDescent="0.3">
      <c r="H42060" t="str">
        <f t="shared" si="706"/>
        <v/>
      </c>
    </row>
    <row r="42061" spans="8:8" x14ac:dyDescent="0.3">
      <c r="H42061" t="str">
        <f t="shared" si="706"/>
        <v/>
      </c>
    </row>
    <row r="42062" spans="8:8" x14ac:dyDescent="0.3">
      <c r="H42062" t="str">
        <f t="shared" si="706"/>
        <v/>
      </c>
    </row>
    <row r="42063" spans="8:8" x14ac:dyDescent="0.3">
      <c r="H42063" t="str">
        <f t="shared" si="706"/>
        <v/>
      </c>
    </row>
    <row r="42064" spans="8:8" x14ac:dyDescent="0.3">
      <c r="H42064" t="str">
        <f t="shared" si="706"/>
        <v/>
      </c>
    </row>
    <row r="42065" spans="8:8" x14ac:dyDescent="0.3">
      <c r="H42065" t="str">
        <f t="shared" si="706"/>
        <v/>
      </c>
    </row>
    <row r="42066" spans="8:8" x14ac:dyDescent="0.3">
      <c r="H42066" t="str">
        <f t="shared" si="706"/>
        <v/>
      </c>
    </row>
    <row r="42067" spans="8:8" x14ac:dyDescent="0.3">
      <c r="H42067" t="str">
        <f t="shared" si="706"/>
        <v/>
      </c>
    </row>
    <row r="42068" spans="8:8" x14ac:dyDescent="0.3">
      <c r="H42068" t="str">
        <f t="shared" si="706"/>
        <v/>
      </c>
    </row>
    <row r="42069" spans="8:8" x14ac:dyDescent="0.3">
      <c r="H42069" t="str">
        <f t="shared" si="706"/>
        <v/>
      </c>
    </row>
    <row r="42070" spans="8:8" x14ac:dyDescent="0.3">
      <c r="H42070" t="str">
        <f t="shared" si="706"/>
        <v/>
      </c>
    </row>
    <row r="42071" spans="8:8" x14ac:dyDescent="0.3">
      <c r="H42071" t="str">
        <f t="shared" ref="H42071:H42134" si="707">IF(B42071="","",$C$12)</f>
        <v/>
      </c>
    </row>
    <row r="42072" spans="8:8" x14ac:dyDescent="0.3">
      <c r="H42072" t="str">
        <f t="shared" si="707"/>
        <v/>
      </c>
    </row>
    <row r="42073" spans="8:8" x14ac:dyDescent="0.3">
      <c r="H42073" t="str">
        <f t="shared" si="707"/>
        <v/>
      </c>
    </row>
    <row r="42074" spans="8:8" x14ac:dyDescent="0.3">
      <c r="H42074" t="str">
        <f t="shared" si="707"/>
        <v/>
      </c>
    </row>
    <row r="42075" spans="8:8" x14ac:dyDescent="0.3">
      <c r="H42075" t="str">
        <f t="shared" si="707"/>
        <v/>
      </c>
    </row>
    <row r="42076" spans="8:8" x14ac:dyDescent="0.3">
      <c r="H42076" t="str">
        <f t="shared" si="707"/>
        <v/>
      </c>
    </row>
    <row r="42077" spans="8:8" x14ac:dyDescent="0.3">
      <c r="H42077" t="str">
        <f t="shared" si="707"/>
        <v/>
      </c>
    </row>
    <row r="42078" spans="8:8" x14ac:dyDescent="0.3">
      <c r="H42078" t="str">
        <f t="shared" si="707"/>
        <v/>
      </c>
    </row>
    <row r="42079" spans="8:8" x14ac:dyDescent="0.3">
      <c r="H42079" t="str">
        <f t="shared" si="707"/>
        <v/>
      </c>
    </row>
    <row r="42080" spans="8:8" x14ac:dyDescent="0.3">
      <c r="H42080" t="str">
        <f t="shared" si="707"/>
        <v/>
      </c>
    </row>
    <row r="42081" spans="8:8" x14ac:dyDescent="0.3">
      <c r="H42081" t="str">
        <f t="shared" si="707"/>
        <v/>
      </c>
    </row>
    <row r="42082" spans="8:8" x14ac:dyDescent="0.3">
      <c r="H42082" t="str">
        <f t="shared" si="707"/>
        <v/>
      </c>
    </row>
    <row r="42083" spans="8:8" x14ac:dyDescent="0.3">
      <c r="H42083" t="str">
        <f t="shared" si="707"/>
        <v/>
      </c>
    </row>
    <row r="42084" spans="8:8" x14ac:dyDescent="0.3">
      <c r="H42084" t="str">
        <f t="shared" si="707"/>
        <v/>
      </c>
    </row>
    <row r="42085" spans="8:8" x14ac:dyDescent="0.3">
      <c r="H42085" t="str">
        <f t="shared" si="707"/>
        <v/>
      </c>
    </row>
    <row r="42086" spans="8:8" x14ac:dyDescent="0.3">
      <c r="H42086" t="str">
        <f t="shared" si="707"/>
        <v/>
      </c>
    </row>
    <row r="42087" spans="8:8" x14ac:dyDescent="0.3">
      <c r="H42087" t="str">
        <f t="shared" si="707"/>
        <v/>
      </c>
    </row>
    <row r="42088" spans="8:8" x14ac:dyDescent="0.3">
      <c r="H42088" t="str">
        <f t="shared" si="707"/>
        <v/>
      </c>
    </row>
    <row r="42089" spans="8:8" x14ac:dyDescent="0.3">
      <c r="H42089" t="str">
        <f t="shared" si="707"/>
        <v/>
      </c>
    </row>
    <row r="42090" spans="8:8" x14ac:dyDescent="0.3">
      <c r="H42090" t="str">
        <f t="shared" si="707"/>
        <v/>
      </c>
    </row>
    <row r="42091" spans="8:8" x14ac:dyDescent="0.3">
      <c r="H42091" t="str">
        <f t="shared" si="707"/>
        <v/>
      </c>
    </row>
    <row r="42092" spans="8:8" x14ac:dyDescent="0.3">
      <c r="H42092" t="str">
        <f t="shared" si="707"/>
        <v/>
      </c>
    </row>
    <row r="42093" spans="8:8" x14ac:dyDescent="0.3">
      <c r="H42093" t="str">
        <f t="shared" si="707"/>
        <v/>
      </c>
    </row>
    <row r="42094" spans="8:8" x14ac:dyDescent="0.3">
      <c r="H42094" t="str">
        <f t="shared" si="707"/>
        <v/>
      </c>
    </row>
    <row r="42095" spans="8:8" x14ac:dyDescent="0.3">
      <c r="H42095" t="str">
        <f t="shared" si="707"/>
        <v/>
      </c>
    </row>
    <row r="42096" spans="8:8" x14ac:dyDescent="0.3">
      <c r="H42096" t="str">
        <f t="shared" si="707"/>
        <v/>
      </c>
    </row>
    <row r="42097" spans="8:8" x14ac:dyDescent="0.3">
      <c r="H42097" t="str">
        <f t="shared" si="707"/>
        <v/>
      </c>
    </row>
    <row r="42098" spans="8:8" x14ac:dyDescent="0.3">
      <c r="H42098" t="str">
        <f t="shared" si="707"/>
        <v/>
      </c>
    </row>
    <row r="42099" spans="8:8" x14ac:dyDescent="0.3">
      <c r="H42099" t="str">
        <f t="shared" si="707"/>
        <v/>
      </c>
    </row>
    <row r="42100" spans="8:8" x14ac:dyDescent="0.3">
      <c r="H42100" t="str">
        <f t="shared" si="707"/>
        <v/>
      </c>
    </row>
    <row r="42101" spans="8:8" x14ac:dyDescent="0.3">
      <c r="H42101" t="str">
        <f t="shared" si="707"/>
        <v/>
      </c>
    </row>
    <row r="42102" spans="8:8" x14ac:dyDescent="0.3">
      <c r="H42102" t="str">
        <f t="shared" si="707"/>
        <v/>
      </c>
    </row>
    <row r="42103" spans="8:8" x14ac:dyDescent="0.3">
      <c r="H42103" t="str">
        <f t="shared" si="707"/>
        <v/>
      </c>
    </row>
    <row r="42104" spans="8:8" x14ac:dyDescent="0.3">
      <c r="H42104" t="str">
        <f t="shared" si="707"/>
        <v/>
      </c>
    </row>
    <row r="42105" spans="8:8" x14ac:dyDescent="0.3">
      <c r="H42105" t="str">
        <f t="shared" si="707"/>
        <v/>
      </c>
    </row>
    <row r="42106" spans="8:8" x14ac:dyDescent="0.3">
      <c r="H42106" t="str">
        <f t="shared" si="707"/>
        <v/>
      </c>
    </row>
    <row r="42107" spans="8:8" x14ac:dyDescent="0.3">
      <c r="H42107" t="str">
        <f t="shared" si="707"/>
        <v/>
      </c>
    </row>
    <row r="42108" spans="8:8" x14ac:dyDescent="0.3">
      <c r="H42108" t="str">
        <f t="shared" si="707"/>
        <v/>
      </c>
    </row>
    <row r="42109" spans="8:8" x14ac:dyDescent="0.3">
      <c r="H42109" t="str">
        <f t="shared" si="707"/>
        <v/>
      </c>
    </row>
    <row r="42110" spans="8:8" x14ac:dyDescent="0.3">
      <c r="H42110" t="str">
        <f t="shared" si="707"/>
        <v/>
      </c>
    </row>
    <row r="42111" spans="8:8" x14ac:dyDescent="0.3">
      <c r="H42111" t="str">
        <f t="shared" si="707"/>
        <v/>
      </c>
    </row>
    <row r="42112" spans="8:8" x14ac:dyDescent="0.3">
      <c r="H42112" t="str">
        <f t="shared" si="707"/>
        <v/>
      </c>
    </row>
    <row r="42113" spans="8:8" x14ac:dyDescent="0.3">
      <c r="H42113" t="str">
        <f t="shared" si="707"/>
        <v/>
      </c>
    </row>
    <row r="42114" spans="8:8" x14ac:dyDescent="0.3">
      <c r="H42114" t="str">
        <f t="shared" si="707"/>
        <v/>
      </c>
    </row>
    <row r="42115" spans="8:8" x14ac:dyDescent="0.3">
      <c r="H42115" t="str">
        <f t="shared" si="707"/>
        <v/>
      </c>
    </row>
    <row r="42116" spans="8:8" x14ac:dyDescent="0.3">
      <c r="H42116" t="str">
        <f t="shared" si="707"/>
        <v/>
      </c>
    </row>
    <row r="42117" spans="8:8" x14ac:dyDescent="0.3">
      <c r="H42117" t="str">
        <f t="shared" si="707"/>
        <v/>
      </c>
    </row>
    <row r="42118" spans="8:8" x14ac:dyDescent="0.3">
      <c r="H42118" t="str">
        <f t="shared" si="707"/>
        <v/>
      </c>
    </row>
    <row r="42119" spans="8:8" x14ac:dyDescent="0.3">
      <c r="H42119" t="str">
        <f t="shared" si="707"/>
        <v/>
      </c>
    </row>
    <row r="42120" spans="8:8" x14ac:dyDescent="0.3">
      <c r="H42120" t="str">
        <f t="shared" si="707"/>
        <v/>
      </c>
    </row>
    <row r="42121" spans="8:8" x14ac:dyDescent="0.3">
      <c r="H42121" t="str">
        <f t="shared" si="707"/>
        <v/>
      </c>
    </row>
    <row r="42122" spans="8:8" x14ac:dyDescent="0.3">
      <c r="H42122" t="str">
        <f t="shared" si="707"/>
        <v/>
      </c>
    </row>
    <row r="42123" spans="8:8" x14ac:dyDescent="0.3">
      <c r="H42123" t="str">
        <f t="shared" si="707"/>
        <v/>
      </c>
    </row>
    <row r="42124" spans="8:8" x14ac:dyDescent="0.3">
      <c r="H42124" t="str">
        <f t="shared" si="707"/>
        <v/>
      </c>
    </row>
    <row r="42125" spans="8:8" x14ac:dyDescent="0.3">
      <c r="H42125" t="str">
        <f t="shared" si="707"/>
        <v/>
      </c>
    </row>
    <row r="42126" spans="8:8" x14ac:dyDescent="0.3">
      <c r="H42126" t="str">
        <f t="shared" si="707"/>
        <v/>
      </c>
    </row>
    <row r="42127" spans="8:8" x14ac:dyDescent="0.3">
      <c r="H42127" t="str">
        <f t="shared" si="707"/>
        <v/>
      </c>
    </row>
    <row r="42128" spans="8:8" x14ac:dyDescent="0.3">
      <c r="H42128" t="str">
        <f t="shared" si="707"/>
        <v/>
      </c>
    </row>
    <row r="42129" spans="8:8" x14ac:dyDescent="0.3">
      <c r="H42129" t="str">
        <f t="shared" si="707"/>
        <v/>
      </c>
    </row>
    <row r="42130" spans="8:8" x14ac:dyDescent="0.3">
      <c r="H42130" t="str">
        <f t="shared" si="707"/>
        <v/>
      </c>
    </row>
    <row r="42131" spans="8:8" x14ac:dyDescent="0.3">
      <c r="H42131" t="str">
        <f t="shared" si="707"/>
        <v/>
      </c>
    </row>
    <row r="42132" spans="8:8" x14ac:dyDescent="0.3">
      <c r="H42132" t="str">
        <f t="shared" si="707"/>
        <v/>
      </c>
    </row>
    <row r="42133" spans="8:8" x14ac:dyDescent="0.3">
      <c r="H42133" t="str">
        <f t="shared" si="707"/>
        <v/>
      </c>
    </row>
    <row r="42134" spans="8:8" x14ac:dyDescent="0.3">
      <c r="H42134" t="str">
        <f t="shared" si="707"/>
        <v/>
      </c>
    </row>
    <row r="42135" spans="8:8" x14ac:dyDescent="0.3">
      <c r="H42135" t="str">
        <f t="shared" ref="H42135:H42198" si="708">IF(B42135="","",$C$12)</f>
        <v/>
      </c>
    </row>
    <row r="42136" spans="8:8" x14ac:dyDescent="0.3">
      <c r="H42136" t="str">
        <f t="shared" si="708"/>
        <v/>
      </c>
    </row>
    <row r="42137" spans="8:8" x14ac:dyDescent="0.3">
      <c r="H42137" t="str">
        <f t="shared" si="708"/>
        <v/>
      </c>
    </row>
    <row r="42138" spans="8:8" x14ac:dyDescent="0.3">
      <c r="H42138" t="str">
        <f t="shared" si="708"/>
        <v/>
      </c>
    </row>
    <row r="42139" spans="8:8" x14ac:dyDescent="0.3">
      <c r="H42139" t="str">
        <f t="shared" si="708"/>
        <v/>
      </c>
    </row>
    <row r="42140" spans="8:8" x14ac:dyDescent="0.3">
      <c r="H42140" t="str">
        <f t="shared" si="708"/>
        <v/>
      </c>
    </row>
    <row r="42141" spans="8:8" x14ac:dyDescent="0.3">
      <c r="H42141" t="str">
        <f t="shared" si="708"/>
        <v/>
      </c>
    </row>
    <row r="42142" spans="8:8" x14ac:dyDescent="0.3">
      <c r="H42142" t="str">
        <f t="shared" si="708"/>
        <v/>
      </c>
    </row>
    <row r="42143" spans="8:8" x14ac:dyDescent="0.3">
      <c r="H42143" t="str">
        <f t="shared" si="708"/>
        <v/>
      </c>
    </row>
    <row r="42144" spans="8:8" x14ac:dyDescent="0.3">
      <c r="H42144" t="str">
        <f t="shared" si="708"/>
        <v/>
      </c>
    </row>
    <row r="42145" spans="8:8" x14ac:dyDescent="0.3">
      <c r="H42145" t="str">
        <f t="shared" si="708"/>
        <v/>
      </c>
    </row>
    <row r="42146" spans="8:8" x14ac:dyDescent="0.3">
      <c r="H42146" t="str">
        <f t="shared" si="708"/>
        <v/>
      </c>
    </row>
    <row r="42147" spans="8:8" x14ac:dyDescent="0.3">
      <c r="H42147" t="str">
        <f t="shared" si="708"/>
        <v/>
      </c>
    </row>
    <row r="42148" spans="8:8" x14ac:dyDescent="0.3">
      <c r="H42148" t="str">
        <f t="shared" si="708"/>
        <v/>
      </c>
    </row>
    <row r="42149" spans="8:8" x14ac:dyDescent="0.3">
      <c r="H42149" t="str">
        <f t="shared" si="708"/>
        <v/>
      </c>
    </row>
    <row r="42150" spans="8:8" x14ac:dyDescent="0.3">
      <c r="H42150" t="str">
        <f t="shared" si="708"/>
        <v/>
      </c>
    </row>
    <row r="42151" spans="8:8" x14ac:dyDescent="0.3">
      <c r="H42151" t="str">
        <f t="shared" si="708"/>
        <v/>
      </c>
    </row>
    <row r="42152" spans="8:8" x14ac:dyDescent="0.3">
      <c r="H42152" t="str">
        <f t="shared" si="708"/>
        <v/>
      </c>
    </row>
    <row r="42153" spans="8:8" x14ac:dyDescent="0.3">
      <c r="H42153" t="str">
        <f t="shared" si="708"/>
        <v/>
      </c>
    </row>
    <row r="42154" spans="8:8" x14ac:dyDescent="0.3">
      <c r="H42154" t="str">
        <f t="shared" si="708"/>
        <v/>
      </c>
    </row>
    <row r="42155" spans="8:8" x14ac:dyDescent="0.3">
      <c r="H42155" t="str">
        <f t="shared" si="708"/>
        <v/>
      </c>
    </row>
    <row r="42156" spans="8:8" x14ac:dyDescent="0.3">
      <c r="H42156" t="str">
        <f t="shared" si="708"/>
        <v/>
      </c>
    </row>
    <row r="42157" spans="8:8" x14ac:dyDescent="0.3">
      <c r="H42157" t="str">
        <f t="shared" si="708"/>
        <v/>
      </c>
    </row>
    <row r="42158" spans="8:8" x14ac:dyDescent="0.3">
      <c r="H42158" t="str">
        <f t="shared" si="708"/>
        <v/>
      </c>
    </row>
    <row r="42159" spans="8:8" x14ac:dyDescent="0.3">
      <c r="H42159" t="str">
        <f t="shared" si="708"/>
        <v/>
      </c>
    </row>
    <row r="42160" spans="8:8" x14ac:dyDescent="0.3">
      <c r="H42160" t="str">
        <f t="shared" si="708"/>
        <v/>
      </c>
    </row>
    <row r="42161" spans="8:8" x14ac:dyDescent="0.3">
      <c r="H42161" t="str">
        <f t="shared" si="708"/>
        <v/>
      </c>
    </row>
    <row r="42162" spans="8:8" x14ac:dyDescent="0.3">
      <c r="H42162" t="str">
        <f t="shared" si="708"/>
        <v/>
      </c>
    </row>
    <row r="42163" spans="8:8" x14ac:dyDescent="0.3">
      <c r="H42163" t="str">
        <f t="shared" si="708"/>
        <v/>
      </c>
    </row>
    <row r="42164" spans="8:8" x14ac:dyDescent="0.3">
      <c r="H42164" t="str">
        <f t="shared" si="708"/>
        <v/>
      </c>
    </row>
    <row r="42165" spans="8:8" x14ac:dyDescent="0.3">
      <c r="H42165" t="str">
        <f t="shared" si="708"/>
        <v/>
      </c>
    </row>
    <row r="42166" spans="8:8" x14ac:dyDescent="0.3">
      <c r="H42166" t="str">
        <f t="shared" si="708"/>
        <v/>
      </c>
    </row>
    <row r="42167" spans="8:8" x14ac:dyDescent="0.3">
      <c r="H42167" t="str">
        <f t="shared" si="708"/>
        <v/>
      </c>
    </row>
    <row r="42168" spans="8:8" x14ac:dyDescent="0.3">
      <c r="H42168" t="str">
        <f t="shared" si="708"/>
        <v/>
      </c>
    </row>
    <row r="42169" spans="8:8" x14ac:dyDescent="0.3">
      <c r="H42169" t="str">
        <f t="shared" si="708"/>
        <v/>
      </c>
    </row>
    <row r="42170" spans="8:8" x14ac:dyDescent="0.3">
      <c r="H42170" t="str">
        <f t="shared" si="708"/>
        <v/>
      </c>
    </row>
    <row r="42171" spans="8:8" x14ac:dyDescent="0.3">
      <c r="H42171" t="str">
        <f t="shared" si="708"/>
        <v/>
      </c>
    </row>
    <row r="42172" spans="8:8" x14ac:dyDescent="0.3">
      <c r="H42172" t="str">
        <f t="shared" si="708"/>
        <v/>
      </c>
    </row>
    <row r="42173" spans="8:8" x14ac:dyDescent="0.3">
      <c r="H42173" t="str">
        <f t="shared" si="708"/>
        <v/>
      </c>
    </row>
    <row r="42174" spans="8:8" x14ac:dyDescent="0.3">
      <c r="H42174" t="str">
        <f t="shared" si="708"/>
        <v/>
      </c>
    </row>
    <row r="42175" spans="8:8" x14ac:dyDescent="0.3">
      <c r="H42175" t="str">
        <f t="shared" si="708"/>
        <v/>
      </c>
    </row>
    <row r="42176" spans="8:8" x14ac:dyDescent="0.3">
      <c r="H42176" t="str">
        <f t="shared" si="708"/>
        <v/>
      </c>
    </row>
    <row r="42177" spans="8:8" x14ac:dyDescent="0.3">
      <c r="H42177" t="str">
        <f t="shared" si="708"/>
        <v/>
      </c>
    </row>
    <row r="42178" spans="8:8" x14ac:dyDescent="0.3">
      <c r="H42178" t="str">
        <f t="shared" si="708"/>
        <v/>
      </c>
    </row>
    <row r="42179" spans="8:8" x14ac:dyDescent="0.3">
      <c r="H42179" t="str">
        <f t="shared" si="708"/>
        <v/>
      </c>
    </row>
    <row r="42180" spans="8:8" x14ac:dyDescent="0.3">
      <c r="H42180" t="str">
        <f t="shared" si="708"/>
        <v/>
      </c>
    </row>
    <row r="42181" spans="8:8" x14ac:dyDescent="0.3">
      <c r="H42181" t="str">
        <f t="shared" si="708"/>
        <v/>
      </c>
    </row>
    <row r="42182" spans="8:8" x14ac:dyDescent="0.3">
      <c r="H42182" t="str">
        <f t="shared" si="708"/>
        <v/>
      </c>
    </row>
    <row r="42183" spans="8:8" x14ac:dyDescent="0.3">
      <c r="H42183" t="str">
        <f t="shared" si="708"/>
        <v/>
      </c>
    </row>
    <row r="42184" spans="8:8" x14ac:dyDescent="0.3">
      <c r="H42184" t="str">
        <f t="shared" si="708"/>
        <v/>
      </c>
    </row>
    <row r="42185" spans="8:8" x14ac:dyDescent="0.3">
      <c r="H42185" t="str">
        <f t="shared" si="708"/>
        <v/>
      </c>
    </row>
    <row r="42186" spans="8:8" x14ac:dyDescent="0.3">
      <c r="H42186" t="str">
        <f t="shared" si="708"/>
        <v/>
      </c>
    </row>
    <row r="42187" spans="8:8" x14ac:dyDescent="0.3">
      <c r="H42187" t="str">
        <f t="shared" si="708"/>
        <v/>
      </c>
    </row>
    <row r="42188" spans="8:8" x14ac:dyDescent="0.3">
      <c r="H42188" t="str">
        <f t="shared" si="708"/>
        <v/>
      </c>
    </row>
    <row r="42189" spans="8:8" x14ac:dyDescent="0.3">
      <c r="H42189" t="str">
        <f t="shared" si="708"/>
        <v/>
      </c>
    </row>
    <row r="42190" spans="8:8" x14ac:dyDescent="0.3">
      <c r="H42190" t="str">
        <f t="shared" si="708"/>
        <v/>
      </c>
    </row>
    <row r="42191" spans="8:8" x14ac:dyDescent="0.3">
      <c r="H42191" t="str">
        <f t="shared" si="708"/>
        <v/>
      </c>
    </row>
    <row r="42192" spans="8:8" x14ac:dyDescent="0.3">
      <c r="H42192" t="str">
        <f t="shared" si="708"/>
        <v/>
      </c>
    </row>
    <row r="42193" spans="8:8" x14ac:dyDescent="0.3">
      <c r="H42193" t="str">
        <f t="shared" si="708"/>
        <v/>
      </c>
    </row>
    <row r="42194" spans="8:8" x14ac:dyDescent="0.3">
      <c r="H42194" t="str">
        <f t="shared" si="708"/>
        <v/>
      </c>
    </row>
    <row r="42195" spans="8:8" x14ac:dyDescent="0.3">
      <c r="H42195" t="str">
        <f t="shared" si="708"/>
        <v/>
      </c>
    </row>
    <row r="42196" spans="8:8" x14ac:dyDescent="0.3">
      <c r="H42196" t="str">
        <f t="shared" si="708"/>
        <v/>
      </c>
    </row>
    <row r="42197" spans="8:8" x14ac:dyDescent="0.3">
      <c r="H42197" t="str">
        <f t="shared" si="708"/>
        <v/>
      </c>
    </row>
    <row r="42198" spans="8:8" x14ac:dyDescent="0.3">
      <c r="H42198" t="str">
        <f t="shared" si="708"/>
        <v/>
      </c>
    </row>
    <row r="42199" spans="8:8" x14ac:dyDescent="0.3">
      <c r="H42199" t="str">
        <f t="shared" ref="H42199:H42262" si="709">IF(B42199="","",$C$12)</f>
        <v/>
      </c>
    </row>
    <row r="42200" spans="8:8" x14ac:dyDescent="0.3">
      <c r="H42200" t="str">
        <f t="shared" si="709"/>
        <v/>
      </c>
    </row>
    <row r="42201" spans="8:8" x14ac:dyDescent="0.3">
      <c r="H42201" t="str">
        <f t="shared" si="709"/>
        <v/>
      </c>
    </row>
    <row r="42202" spans="8:8" x14ac:dyDescent="0.3">
      <c r="H42202" t="str">
        <f t="shared" si="709"/>
        <v/>
      </c>
    </row>
    <row r="42203" spans="8:8" x14ac:dyDescent="0.3">
      <c r="H42203" t="str">
        <f t="shared" si="709"/>
        <v/>
      </c>
    </row>
    <row r="42204" spans="8:8" x14ac:dyDescent="0.3">
      <c r="H42204" t="str">
        <f t="shared" si="709"/>
        <v/>
      </c>
    </row>
    <row r="42205" spans="8:8" x14ac:dyDescent="0.3">
      <c r="H42205" t="str">
        <f t="shared" si="709"/>
        <v/>
      </c>
    </row>
    <row r="42206" spans="8:8" x14ac:dyDescent="0.3">
      <c r="H42206" t="str">
        <f t="shared" si="709"/>
        <v/>
      </c>
    </row>
    <row r="42207" spans="8:8" x14ac:dyDescent="0.3">
      <c r="H42207" t="str">
        <f t="shared" si="709"/>
        <v/>
      </c>
    </row>
    <row r="42208" spans="8:8" x14ac:dyDescent="0.3">
      <c r="H42208" t="str">
        <f t="shared" si="709"/>
        <v/>
      </c>
    </row>
    <row r="42209" spans="8:8" x14ac:dyDescent="0.3">
      <c r="H42209" t="str">
        <f t="shared" si="709"/>
        <v/>
      </c>
    </row>
    <row r="42210" spans="8:8" x14ac:dyDescent="0.3">
      <c r="H42210" t="str">
        <f t="shared" si="709"/>
        <v/>
      </c>
    </row>
    <row r="42211" spans="8:8" x14ac:dyDescent="0.3">
      <c r="H42211" t="str">
        <f t="shared" si="709"/>
        <v/>
      </c>
    </row>
    <row r="42212" spans="8:8" x14ac:dyDescent="0.3">
      <c r="H42212" t="str">
        <f t="shared" si="709"/>
        <v/>
      </c>
    </row>
    <row r="42213" spans="8:8" x14ac:dyDescent="0.3">
      <c r="H42213" t="str">
        <f t="shared" si="709"/>
        <v/>
      </c>
    </row>
    <row r="42214" spans="8:8" x14ac:dyDescent="0.3">
      <c r="H42214" t="str">
        <f t="shared" si="709"/>
        <v/>
      </c>
    </row>
    <row r="42215" spans="8:8" x14ac:dyDescent="0.3">
      <c r="H42215" t="str">
        <f t="shared" si="709"/>
        <v/>
      </c>
    </row>
    <row r="42216" spans="8:8" x14ac:dyDescent="0.3">
      <c r="H42216" t="str">
        <f t="shared" si="709"/>
        <v/>
      </c>
    </row>
    <row r="42217" spans="8:8" x14ac:dyDescent="0.3">
      <c r="H42217" t="str">
        <f t="shared" si="709"/>
        <v/>
      </c>
    </row>
    <row r="42218" spans="8:8" x14ac:dyDescent="0.3">
      <c r="H42218" t="str">
        <f t="shared" si="709"/>
        <v/>
      </c>
    </row>
    <row r="42219" spans="8:8" x14ac:dyDescent="0.3">
      <c r="H42219" t="str">
        <f t="shared" si="709"/>
        <v/>
      </c>
    </row>
    <row r="42220" spans="8:8" x14ac:dyDescent="0.3">
      <c r="H42220" t="str">
        <f t="shared" si="709"/>
        <v/>
      </c>
    </row>
    <row r="42221" spans="8:8" x14ac:dyDescent="0.3">
      <c r="H42221" t="str">
        <f t="shared" si="709"/>
        <v/>
      </c>
    </row>
    <row r="42222" spans="8:8" x14ac:dyDescent="0.3">
      <c r="H42222" t="str">
        <f t="shared" si="709"/>
        <v/>
      </c>
    </row>
    <row r="42223" spans="8:8" x14ac:dyDescent="0.3">
      <c r="H42223" t="str">
        <f t="shared" si="709"/>
        <v/>
      </c>
    </row>
    <row r="42224" spans="8:8" x14ac:dyDescent="0.3">
      <c r="H42224" t="str">
        <f t="shared" si="709"/>
        <v/>
      </c>
    </row>
    <row r="42225" spans="8:8" x14ac:dyDescent="0.3">
      <c r="H42225" t="str">
        <f t="shared" si="709"/>
        <v/>
      </c>
    </row>
    <row r="42226" spans="8:8" x14ac:dyDescent="0.3">
      <c r="H42226" t="str">
        <f t="shared" si="709"/>
        <v/>
      </c>
    </row>
    <row r="42227" spans="8:8" x14ac:dyDescent="0.3">
      <c r="H42227" t="str">
        <f t="shared" si="709"/>
        <v/>
      </c>
    </row>
    <row r="42228" spans="8:8" x14ac:dyDescent="0.3">
      <c r="H42228" t="str">
        <f t="shared" si="709"/>
        <v/>
      </c>
    </row>
    <row r="42229" spans="8:8" x14ac:dyDescent="0.3">
      <c r="H42229" t="str">
        <f t="shared" si="709"/>
        <v/>
      </c>
    </row>
    <row r="42230" spans="8:8" x14ac:dyDescent="0.3">
      <c r="H42230" t="str">
        <f t="shared" si="709"/>
        <v/>
      </c>
    </row>
    <row r="42231" spans="8:8" x14ac:dyDescent="0.3">
      <c r="H42231" t="str">
        <f t="shared" si="709"/>
        <v/>
      </c>
    </row>
    <row r="42232" spans="8:8" x14ac:dyDescent="0.3">
      <c r="H42232" t="str">
        <f t="shared" si="709"/>
        <v/>
      </c>
    </row>
    <row r="42233" spans="8:8" x14ac:dyDescent="0.3">
      <c r="H42233" t="str">
        <f t="shared" si="709"/>
        <v/>
      </c>
    </row>
    <row r="42234" spans="8:8" x14ac:dyDescent="0.3">
      <c r="H42234" t="str">
        <f t="shared" si="709"/>
        <v/>
      </c>
    </row>
    <row r="42235" spans="8:8" x14ac:dyDescent="0.3">
      <c r="H42235" t="str">
        <f t="shared" si="709"/>
        <v/>
      </c>
    </row>
    <row r="42236" spans="8:8" x14ac:dyDescent="0.3">
      <c r="H42236" t="str">
        <f t="shared" si="709"/>
        <v/>
      </c>
    </row>
    <row r="42237" spans="8:8" x14ac:dyDescent="0.3">
      <c r="H42237" t="str">
        <f t="shared" si="709"/>
        <v/>
      </c>
    </row>
    <row r="42238" spans="8:8" x14ac:dyDescent="0.3">
      <c r="H42238" t="str">
        <f t="shared" si="709"/>
        <v/>
      </c>
    </row>
    <row r="42239" spans="8:8" x14ac:dyDescent="0.3">
      <c r="H42239" t="str">
        <f t="shared" si="709"/>
        <v/>
      </c>
    </row>
    <row r="42240" spans="8:8" x14ac:dyDescent="0.3">
      <c r="H42240" t="str">
        <f t="shared" si="709"/>
        <v/>
      </c>
    </row>
    <row r="42241" spans="8:8" x14ac:dyDescent="0.3">
      <c r="H42241" t="str">
        <f t="shared" si="709"/>
        <v/>
      </c>
    </row>
    <row r="42242" spans="8:8" x14ac:dyDescent="0.3">
      <c r="H42242" t="str">
        <f t="shared" si="709"/>
        <v/>
      </c>
    </row>
    <row r="42243" spans="8:8" x14ac:dyDescent="0.3">
      <c r="H42243" t="str">
        <f t="shared" si="709"/>
        <v/>
      </c>
    </row>
    <row r="42244" spans="8:8" x14ac:dyDescent="0.3">
      <c r="H42244" t="str">
        <f t="shared" si="709"/>
        <v/>
      </c>
    </row>
    <row r="42245" spans="8:8" x14ac:dyDescent="0.3">
      <c r="H42245" t="str">
        <f t="shared" si="709"/>
        <v/>
      </c>
    </row>
    <row r="42246" spans="8:8" x14ac:dyDescent="0.3">
      <c r="H42246" t="str">
        <f t="shared" si="709"/>
        <v/>
      </c>
    </row>
    <row r="42247" spans="8:8" x14ac:dyDescent="0.3">
      <c r="H42247" t="str">
        <f t="shared" si="709"/>
        <v/>
      </c>
    </row>
    <row r="42248" spans="8:8" x14ac:dyDescent="0.3">
      <c r="H42248" t="str">
        <f t="shared" si="709"/>
        <v/>
      </c>
    </row>
    <row r="42249" spans="8:8" x14ac:dyDescent="0.3">
      <c r="H42249" t="str">
        <f t="shared" si="709"/>
        <v/>
      </c>
    </row>
    <row r="42250" spans="8:8" x14ac:dyDescent="0.3">
      <c r="H42250" t="str">
        <f t="shared" si="709"/>
        <v/>
      </c>
    </row>
    <row r="42251" spans="8:8" x14ac:dyDescent="0.3">
      <c r="H42251" t="str">
        <f t="shared" si="709"/>
        <v/>
      </c>
    </row>
    <row r="42252" spans="8:8" x14ac:dyDescent="0.3">
      <c r="H42252" t="str">
        <f t="shared" si="709"/>
        <v/>
      </c>
    </row>
    <row r="42253" spans="8:8" x14ac:dyDescent="0.3">
      <c r="H42253" t="str">
        <f t="shared" si="709"/>
        <v/>
      </c>
    </row>
    <row r="42254" spans="8:8" x14ac:dyDescent="0.3">
      <c r="H42254" t="str">
        <f t="shared" si="709"/>
        <v/>
      </c>
    </row>
    <row r="42255" spans="8:8" x14ac:dyDescent="0.3">
      <c r="H42255" t="str">
        <f t="shared" si="709"/>
        <v/>
      </c>
    </row>
    <row r="42256" spans="8:8" x14ac:dyDescent="0.3">
      <c r="H42256" t="str">
        <f t="shared" si="709"/>
        <v/>
      </c>
    </row>
    <row r="42257" spans="8:8" x14ac:dyDescent="0.3">
      <c r="H42257" t="str">
        <f t="shared" si="709"/>
        <v/>
      </c>
    </row>
    <row r="42258" spans="8:8" x14ac:dyDescent="0.3">
      <c r="H42258" t="str">
        <f t="shared" si="709"/>
        <v/>
      </c>
    </row>
    <row r="42259" spans="8:8" x14ac:dyDescent="0.3">
      <c r="H42259" t="str">
        <f t="shared" si="709"/>
        <v/>
      </c>
    </row>
    <row r="42260" spans="8:8" x14ac:dyDescent="0.3">
      <c r="H42260" t="str">
        <f t="shared" si="709"/>
        <v/>
      </c>
    </row>
    <row r="42261" spans="8:8" x14ac:dyDescent="0.3">
      <c r="H42261" t="str">
        <f t="shared" si="709"/>
        <v/>
      </c>
    </row>
    <row r="42262" spans="8:8" x14ac:dyDescent="0.3">
      <c r="H42262" t="str">
        <f t="shared" si="709"/>
        <v/>
      </c>
    </row>
    <row r="42263" spans="8:8" x14ac:dyDescent="0.3">
      <c r="H42263" t="str">
        <f t="shared" ref="H42263:H42326" si="710">IF(B42263="","",$C$12)</f>
        <v/>
      </c>
    </row>
    <row r="42264" spans="8:8" x14ac:dyDescent="0.3">
      <c r="H42264" t="str">
        <f t="shared" si="710"/>
        <v/>
      </c>
    </row>
    <row r="42265" spans="8:8" x14ac:dyDescent="0.3">
      <c r="H42265" t="str">
        <f t="shared" si="710"/>
        <v/>
      </c>
    </row>
    <row r="42266" spans="8:8" x14ac:dyDescent="0.3">
      <c r="H42266" t="str">
        <f t="shared" si="710"/>
        <v/>
      </c>
    </row>
    <row r="42267" spans="8:8" x14ac:dyDescent="0.3">
      <c r="H42267" t="str">
        <f t="shared" si="710"/>
        <v/>
      </c>
    </row>
    <row r="42268" spans="8:8" x14ac:dyDescent="0.3">
      <c r="H42268" t="str">
        <f t="shared" si="710"/>
        <v/>
      </c>
    </row>
    <row r="42269" spans="8:8" x14ac:dyDescent="0.3">
      <c r="H42269" t="str">
        <f t="shared" si="710"/>
        <v/>
      </c>
    </row>
    <row r="42270" spans="8:8" x14ac:dyDescent="0.3">
      <c r="H42270" t="str">
        <f t="shared" si="710"/>
        <v/>
      </c>
    </row>
    <row r="42271" spans="8:8" x14ac:dyDescent="0.3">
      <c r="H42271" t="str">
        <f t="shared" si="710"/>
        <v/>
      </c>
    </row>
    <row r="42272" spans="8:8" x14ac:dyDescent="0.3">
      <c r="H42272" t="str">
        <f t="shared" si="710"/>
        <v/>
      </c>
    </row>
    <row r="42273" spans="8:8" x14ac:dyDescent="0.3">
      <c r="H42273" t="str">
        <f t="shared" si="710"/>
        <v/>
      </c>
    </row>
    <row r="42274" spans="8:8" x14ac:dyDescent="0.3">
      <c r="H42274" t="str">
        <f t="shared" si="710"/>
        <v/>
      </c>
    </row>
    <row r="42275" spans="8:8" x14ac:dyDescent="0.3">
      <c r="H42275" t="str">
        <f t="shared" si="710"/>
        <v/>
      </c>
    </row>
    <row r="42276" spans="8:8" x14ac:dyDescent="0.3">
      <c r="H42276" t="str">
        <f t="shared" si="710"/>
        <v/>
      </c>
    </row>
    <row r="42277" spans="8:8" x14ac:dyDescent="0.3">
      <c r="H42277" t="str">
        <f t="shared" si="710"/>
        <v/>
      </c>
    </row>
    <row r="42278" spans="8:8" x14ac:dyDescent="0.3">
      <c r="H42278" t="str">
        <f t="shared" si="710"/>
        <v/>
      </c>
    </row>
    <row r="42279" spans="8:8" x14ac:dyDescent="0.3">
      <c r="H42279" t="str">
        <f t="shared" si="710"/>
        <v/>
      </c>
    </row>
    <row r="42280" spans="8:8" x14ac:dyDescent="0.3">
      <c r="H42280" t="str">
        <f t="shared" si="710"/>
        <v/>
      </c>
    </row>
    <row r="42281" spans="8:8" x14ac:dyDescent="0.3">
      <c r="H42281" t="str">
        <f t="shared" si="710"/>
        <v/>
      </c>
    </row>
    <row r="42282" spans="8:8" x14ac:dyDescent="0.3">
      <c r="H42282" t="str">
        <f t="shared" si="710"/>
        <v/>
      </c>
    </row>
    <row r="42283" spans="8:8" x14ac:dyDescent="0.3">
      <c r="H42283" t="str">
        <f t="shared" si="710"/>
        <v/>
      </c>
    </row>
    <row r="42284" spans="8:8" x14ac:dyDescent="0.3">
      <c r="H42284" t="str">
        <f t="shared" si="710"/>
        <v/>
      </c>
    </row>
    <row r="42285" spans="8:8" x14ac:dyDescent="0.3">
      <c r="H42285" t="str">
        <f t="shared" si="710"/>
        <v/>
      </c>
    </row>
    <row r="42286" spans="8:8" x14ac:dyDescent="0.3">
      <c r="H42286" t="str">
        <f t="shared" si="710"/>
        <v/>
      </c>
    </row>
    <row r="42287" spans="8:8" x14ac:dyDescent="0.3">
      <c r="H42287" t="str">
        <f t="shared" si="710"/>
        <v/>
      </c>
    </row>
    <row r="42288" spans="8:8" x14ac:dyDescent="0.3">
      <c r="H42288" t="str">
        <f t="shared" si="710"/>
        <v/>
      </c>
    </row>
    <row r="42289" spans="8:8" x14ac:dyDescent="0.3">
      <c r="H42289" t="str">
        <f t="shared" si="710"/>
        <v/>
      </c>
    </row>
    <row r="42290" spans="8:8" x14ac:dyDescent="0.3">
      <c r="H42290" t="str">
        <f t="shared" si="710"/>
        <v/>
      </c>
    </row>
    <row r="42291" spans="8:8" x14ac:dyDescent="0.3">
      <c r="H42291" t="str">
        <f t="shared" si="710"/>
        <v/>
      </c>
    </row>
    <row r="42292" spans="8:8" x14ac:dyDescent="0.3">
      <c r="H42292" t="str">
        <f t="shared" si="710"/>
        <v/>
      </c>
    </row>
    <row r="42293" spans="8:8" x14ac:dyDescent="0.3">
      <c r="H42293" t="str">
        <f t="shared" si="710"/>
        <v/>
      </c>
    </row>
    <row r="42294" spans="8:8" x14ac:dyDescent="0.3">
      <c r="H42294" t="str">
        <f t="shared" si="710"/>
        <v/>
      </c>
    </row>
    <row r="42295" spans="8:8" x14ac:dyDescent="0.3">
      <c r="H42295" t="str">
        <f t="shared" si="710"/>
        <v/>
      </c>
    </row>
    <row r="42296" spans="8:8" x14ac:dyDescent="0.3">
      <c r="H42296" t="str">
        <f t="shared" si="710"/>
        <v/>
      </c>
    </row>
    <row r="42297" spans="8:8" x14ac:dyDescent="0.3">
      <c r="H42297" t="str">
        <f t="shared" si="710"/>
        <v/>
      </c>
    </row>
    <row r="42298" spans="8:8" x14ac:dyDescent="0.3">
      <c r="H42298" t="str">
        <f t="shared" si="710"/>
        <v/>
      </c>
    </row>
    <row r="42299" spans="8:8" x14ac:dyDescent="0.3">
      <c r="H42299" t="str">
        <f t="shared" si="710"/>
        <v/>
      </c>
    </row>
    <row r="42300" spans="8:8" x14ac:dyDescent="0.3">
      <c r="H42300" t="str">
        <f t="shared" si="710"/>
        <v/>
      </c>
    </row>
    <row r="42301" spans="8:8" x14ac:dyDescent="0.3">
      <c r="H42301" t="str">
        <f t="shared" si="710"/>
        <v/>
      </c>
    </row>
    <row r="42302" spans="8:8" x14ac:dyDescent="0.3">
      <c r="H42302" t="str">
        <f t="shared" si="710"/>
        <v/>
      </c>
    </row>
    <row r="42303" spans="8:8" x14ac:dyDescent="0.3">
      <c r="H42303" t="str">
        <f t="shared" si="710"/>
        <v/>
      </c>
    </row>
    <row r="42304" spans="8:8" x14ac:dyDescent="0.3">
      <c r="H42304" t="str">
        <f t="shared" si="710"/>
        <v/>
      </c>
    </row>
    <row r="42305" spans="8:8" x14ac:dyDescent="0.3">
      <c r="H42305" t="str">
        <f t="shared" si="710"/>
        <v/>
      </c>
    </row>
    <row r="42306" spans="8:8" x14ac:dyDescent="0.3">
      <c r="H42306" t="str">
        <f t="shared" si="710"/>
        <v/>
      </c>
    </row>
    <row r="42307" spans="8:8" x14ac:dyDescent="0.3">
      <c r="H42307" t="str">
        <f t="shared" si="710"/>
        <v/>
      </c>
    </row>
    <row r="42308" spans="8:8" x14ac:dyDescent="0.3">
      <c r="H42308" t="str">
        <f t="shared" si="710"/>
        <v/>
      </c>
    </row>
    <row r="42309" spans="8:8" x14ac:dyDescent="0.3">
      <c r="H42309" t="str">
        <f t="shared" si="710"/>
        <v/>
      </c>
    </row>
    <row r="42310" spans="8:8" x14ac:dyDescent="0.3">
      <c r="H42310" t="str">
        <f t="shared" si="710"/>
        <v/>
      </c>
    </row>
    <row r="42311" spans="8:8" x14ac:dyDescent="0.3">
      <c r="H42311" t="str">
        <f t="shared" si="710"/>
        <v/>
      </c>
    </row>
    <row r="42312" spans="8:8" x14ac:dyDescent="0.3">
      <c r="H42312" t="str">
        <f t="shared" si="710"/>
        <v/>
      </c>
    </row>
    <row r="42313" spans="8:8" x14ac:dyDescent="0.3">
      <c r="H42313" t="str">
        <f t="shared" si="710"/>
        <v/>
      </c>
    </row>
    <row r="42314" spans="8:8" x14ac:dyDescent="0.3">
      <c r="H42314" t="str">
        <f t="shared" si="710"/>
        <v/>
      </c>
    </row>
    <row r="42315" spans="8:8" x14ac:dyDescent="0.3">
      <c r="H42315" t="str">
        <f t="shared" si="710"/>
        <v/>
      </c>
    </row>
    <row r="42316" spans="8:8" x14ac:dyDescent="0.3">
      <c r="H42316" t="str">
        <f t="shared" si="710"/>
        <v/>
      </c>
    </row>
    <row r="42317" spans="8:8" x14ac:dyDescent="0.3">
      <c r="H42317" t="str">
        <f t="shared" si="710"/>
        <v/>
      </c>
    </row>
    <row r="42318" spans="8:8" x14ac:dyDescent="0.3">
      <c r="H42318" t="str">
        <f t="shared" si="710"/>
        <v/>
      </c>
    </row>
    <row r="42319" spans="8:8" x14ac:dyDescent="0.3">
      <c r="H42319" t="str">
        <f t="shared" si="710"/>
        <v/>
      </c>
    </row>
    <row r="42320" spans="8:8" x14ac:dyDescent="0.3">
      <c r="H42320" t="str">
        <f t="shared" si="710"/>
        <v/>
      </c>
    </row>
    <row r="42321" spans="8:8" x14ac:dyDescent="0.3">
      <c r="H42321" t="str">
        <f t="shared" si="710"/>
        <v/>
      </c>
    </row>
    <row r="42322" spans="8:8" x14ac:dyDescent="0.3">
      <c r="H42322" t="str">
        <f t="shared" si="710"/>
        <v/>
      </c>
    </row>
    <row r="42323" spans="8:8" x14ac:dyDescent="0.3">
      <c r="H42323" t="str">
        <f t="shared" si="710"/>
        <v/>
      </c>
    </row>
    <row r="42324" spans="8:8" x14ac:dyDescent="0.3">
      <c r="H42324" t="str">
        <f t="shared" si="710"/>
        <v/>
      </c>
    </row>
    <row r="42325" spans="8:8" x14ac:dyDescent="0.3">
      <c r="H42325" t="str">
        <f t="shared" si="710"/>
        <v/>
      </c>
    </row>
    <row r="42326" spans="8:8" x14ac:dyDescent="0.3">
      <c r="H42326" t="str">
        <f t="shared" si="710"/>
        <v/>
      </c>
    </row>
    <row r="42327" spans="8:8" x14ac:dyDescent="0.3">
      <c r="H42327" t="str">
        <f t="shared" ref="H42327:H42390" si="711">IF(B42327="","",$C$12)</f>
        <v/>
      </c>
    </row>
    <row r="42328" spans="8:8" x14ac:dyDescent="0.3">
      <c r="H42328" t="str">
        <f t="shared" si="711"/>
        <v/>
      </c>
    </row>
    <row r="42329" spans="8:8" x14ac:dyDescent="0.3">
      <c r="H42329" t="str">
        <f t="shared" si="711"/>
        <v/>
      </c>
    </row>
    <row r="42330" spans="8:8" x14ac:dyDescent="0.3">
      <c r="H42330" t="str">
        <f t="shared" si="711"/>
        <v/>
      </c>
    </row>
    <row r="42331" spans="8:8" x14ac:dyDescent="0.3">
      <c r="H42331" t="str">
        <f t="shared" si="711"/>
        <v/>
      </c>
    </row>
    <row r="42332" spans="8:8" x14ac:dyDescent="0.3">
      <c r="H42332" t="str">
        <f t="shared" si="711"/>
        <v/>
      </c>
    </row>
    <row r="42333" spans="8:8" x14ac:dyDescent="0.3">
      <c r="H42333" t="str">
        <f t="shared" si="711"/>
        <v/>
      </c>
    </row>
    <row r="42334" spans="8:8" x14ac:dyDescent="0.3">
      <c r="H42334" t="str">
        <f t="shared" si="711"/>
        <v/>
      </c>
    </row>
    <row r="42335" spans="8:8" x14ac:dyDescent="0.3">
      <c r="H42335" t="str">
        <f t="shared" si="711"/>
        <v/>
      </c>
    </row>
    <row r="42336" spans="8:8" x14ac:dyDescent="0.3">
      <c r="H42336" t="str">
        <f t="shared" si="711"/>
        <v/>
      </c>
    </row>
    <row r="42337" spans="8:8" x14ac:dyDescent="0.3">
      <c r="H42337" t="str">
        <f t="shared" si="711"/>
        <v/>
      </c>
    </row>
    <row r="42338" spans="8:8" x14ac:dyDescent="0.3">
      <c r="H42338" t="str">
        <f t="shared" si="711"/>
        <v/>
      </c>
    </row>
    <row r="42339" spans="8:8" x14ac:dyDescent="0.3">
      <c r="H42339" t="str">
        <f t="shared" si="711"/>
        <v/>
      </c>
    </row>
    <row r="42340" spans="8:8" x14ac:dyDescent="0.3">
      <c r="H42340" t="str">
        <f t="shared" si="711"/>
        <v/>
      </c>
    </row>
    <row r="42341" spans="8:8" x14ac:dyDescent="0.3">
      <c r="H42341" t="str">
        <f t="shared" si="711"/>
        <v/>
      </c>
    </row>
    <row r="42342" spans="8:8" x14ac:dyDescent="0.3">
      <c r="H42342" t="str">
        <f t="shared" si="711"/>
        <v/>
      </c>
    </row>
    <row r="42343" spans="8:8" x14ac:dyDescent="0.3">
      <c r="H42343" t="str">
        <f t="shared" si="711"/>
        <v/>
      </c>
    </row>
    <row r="42344" spans="8:8" x14ac:dyDescent="0.3">
      <c r="H42344" t="str">
        <f t="shared" si="711"/>
        <v/>
      </c>
    </row>
    <row r="42345" spans="8:8" x14ac:dyDescent="0.3">
      <c r="H42345" t="str">
        <f t="shared" si="711"/>
        <v/>
      </c>
    </row>
    <row r="42346" spans="8:8" x14ac:dyDescent="0.3">
      <c r="H42346" t="str">
        <f t="shared" si="711"/>
        <v/>
      </c>
    </row>
    <row r="42347" spans="8:8" x14ac:dyDescent="0.3">
      <c r="H42347" t="str">
        <f t="shared" si="711"/>
        <v/>
      </c>
    </row>
    <row r="42348" spans="8:8" x14ac:dyDescent="0.3">
      <c r="H42348" t="str">
        <f t="shared" si="711"/>
        <v/>
      </c>
    </row>
    <row r="42349" spans="8:8" x14ac:dyDescent="0.3">
      <c r="H42349" t="str">
        <f t="shared" si="711"/>
        <v/>
      </c>
    </row>
    <row r="42350" spans="8:8" x14ac:dyDescent="0.3">
      <c r="H42350" t="str">
        <f t="shared" si="711"/>
        <v/>
      </c>
    </row>
    <row r="42351" spans="8:8" x14ac:dyDescent="0.3">
      <c r="H42351" t="str">
        <f t="shared" si="711"/>
        <v/>
      </c>
    </row>
    <row r="42352" spans="8:8" x14ac:dyDescent="0.3">
      <c r="H42352" t="str">
        <f t="shared" si="711"/>
        <v/>
      </c>
    </row>
    <row r="42353" spans="8:8" x14ac:dyDescent="0.3">
      <c r="H42353" t="str">
        <f t="shared" si="711"/>
        <v/>
      </c>
    </row>
    <row r="42354" spans="8:8" x14ac:dyDescent="0.3">
      <c r="H42354" t="str">
        <f t="shared" si="711"/>
        <v/>
      </c>
    </row>
    <row r="42355" spans="8:8" x14ac:dyDescent="0.3">
      <c r="H42355" t="str">
        <f t="shared" si="711"/>
        <v/>
      </c>
    </row>
    <row r="42356" spans="8:8" x14ac:dyDescent="0.3">
      <c r="H42356" t="str">
        <f t="shared" si="711"/>
        <v/>
      </c>
    </row>
    <row r="42357" spans="8:8" x14ac:dyDescent="0.3">
      <c r="H42357" t="str">
        <f t="shared" si="711"/>
        <v/>
      </c>
    </row>
    <row r="42358" spans="8:8" x14ac:dyDescent="0.3">
      <c r="H42358" t="str">
        <f t="shared" si="711"/>
        <v/>
      </c>
    </row>
    <row r="42359" spans="8:8" x14ac:dyDescent="0.3">
      <c r="H42359" t="str">
        <f t="shared" si="711"/>
        <v/>
      </c>
    </row>
    <row r="42360" spans="8:8" x14ac:dyDescent="0.3">
      <c r="H42360" t="str">
        <f t="shared" si="711"/>
        <v/>
      </c>
    </row>
    <row r="42361" spans="8:8" x14ac:dyDescent="0.3">
      <c r="H42361" t="str">
        <f t="shared" si="711"/>
        <v/>
      </c>
    </row>
    <row r="42362" spans="8:8" x14ac:dyDescent="0.3">
      <c r="H42362" t="str">
        <f t="shared" si="711"/>
        <v/>
      </c>
    </row>
    <row r="42363" spans="8:8" x14ac:dyDescent="0.3">
      <c r="H42363" t="str">
        <f t="shared" si="711"/>
        <v/>
      </c>
    </row>
    <row r="42364" spans="8:8" x14ac:dyDescent="0.3">
      <c r="H42364" t="str">
        <f t="shared" si="711"/>
        <v/>
      </c>
    </row>
    <row r="42365" spans="8:8" x14ac:dyDescent="0.3">
      <c r="H42365" t="str">
        <f t="shared" si="711"/>
        <v/>
      </c>
    </row>
    <row r="42366" spans="8:8" x14ac:dyDescent="0.3">
      <c r="H42366" t="str">
        <f t="shared" si="711"/>
        <v/>
      </c>
    </row>
    <row r="42367" spans="8:8" x14ac:dyDescent="0.3">
      <c r="H42367" t="str">
        <f t="shared" si="711"/>
        <v/>
      </c>
    </row>
    <row r="42368" spans="8:8" x14ac:dyDescent="0.3">
      <c r="H42368" t="str">
        <f t="shared" si="711"/>
        <v/>
      </c>
    </row>
    <row r="42369" spans="8:8" x14ac:dyDescent="0.3">
      <c r="H42369" t="str">
        <f t="shared" si="711"/>
        <v/>
      </c>
    </row>
    <row r="42370" spans="8:8" x14ac:dyDescent="0.3">
      <c r="H42370" t="str">
        <f t="shared" si="711"/>
        <v/>
      </c>
    </row>
    <row r="42371" spans="8:8" x14ac:dyDescent="0.3">
      <c r="H42371" t="str">
        <f t="shared" si="711"/>
        <v/>
      </c>
    </row>
    <row r="42372" spans="8:8" x14ac:dyDescent="0.3">
      <c r="H42372" t="str">
        <f t="shared" si="711"/>
        <v/>
      </c>
    </row>
    <row r="42373" spans="8:8" x14ac:dyDescent="0.3">
      <c r="H42373" t="str">
        <f t="shared" si="711"/>
        <v/>
      </c>
    </row>
    <row r="42374" spans="8:8" x14ac:dyDescent="0.3">
      <c r="H42374" t="str">
        <f t="shared" si="711"/>
        <v/>
      </c>
    </row>
    <row r="42375" spans="8:8" x14ac:dyDescent="0.3">
      <c r="H42375" t="str">
        <f t="shared" si="711"/>
        <v/>
      </c>
    </row>
    <row r="42376" spans="8:8" x14ac:dyDescent="0.3">
      <c r="H42376" t="str">
        <f t="shared" si="711"/>
        <v/>
      </c>
    </row>
    <row r="42377" spans="8:8" x14ac:dyDescent="0.3">
      <c r="H42377" t="str">
        <f t="shared" si="711"/>
        <v/>
      </c>
    </row>
    <row r="42378" spans="8:8" x14ac:dyDescent="0.3">
      <c r="H42378" t="str">
        <f t="shared" si="711"/>
        <v/>
      </c>
    </row>
    <row r="42379" spans="8:8" x14ac:dyDescent="0.3">
      <c r="H42379" t="str">
        <f t="shared" si="711"/>
        <v/>
      </c>
    </row>
    <row r="42380" spans="8:8" x14ac:dyDescent="0.3">
      <c r="H42380" t="str">
        <f t="shared" si="711"/>
        <v/>
      </c>
    </row>
    <row r="42381" spans="8:8" x14ac:dyDescent="0.3">
      <c r="H42381" t="str">
        <f t="shared" si="711"/>
        <v/>
      </c>
    </row>
    <row r="42382" spans="8:8" x14ac:dyDescent="0.3">
      <c r="H42382" t="str">
        <f t="shared" si="711"/>
        <v/>
      </c>
    </row>
    <row r="42383" spans="8:8" x14ac:dyDescent="0.3">
      <c r="H42383" t="str">
        <f t="shared" si="711"/>
        <v/>
      </c>
    </row>
    <row r="42384" spans="8:8" x14ac:dyDescent="0.3">
      <c r="H42384" t="str">
        <f t="shared" si="711"/>
        <v/>
      </c>
    </row>
    <row r="42385" spans="8:8" x14ac:dyDescent="0.3">
      <c r="H42385" t="str">
        <f t="shared" si="711"/>
        <v/>
      </c>
    </row>
    <row r="42386" spans="8:8" x14ac:dyDescent="0.3">
      <c r="H42386" t="str">
        <f t="shared" si="711"/>
        <v/>
      </c>
    </row>
    <row r="42387" spans="8:8" x14ac:dyDescent="0.3">
      <c r="H42387" t="str">
        <f t="shared" si="711"/>
        <v/>
      </c>
    </row>
    <row r="42388" spans="8:8" x14ac:dyDescent="0.3">
      <c r="H42388" t="str">
        <f t="shared" si="711"/>
        <v/>
      </c>
    </row>
    <row r="42389" spans="8:8" x14ac:dyDescent="0.3">
      <c r="H42389" t="str">
        <f t="shared" si="711"/>
        <v/>
      </c>
    </row>
    <row r="42390" spans="8:8" x14ac:dyDescent="0.3">
      <c r="H42390" t="str">
        <f t="shared" si="711"/>
        <v/>
      </c>
    </row>
    <row r="42391" spans="8:8" x14ac:dyDescent="0.3">
      <c r="H42391" t="str">
        <f t="shared" ref="H42391:H42454" si="712">IF(B42391="","",$C$12)</f>
        <v/>
      </c>
    </row>
    <row r="42392" spans="8:8" x14ac:dyDescent="0.3">
      <c r="H42392" t="str">
        <f t="shared" si="712"/>
        <v/>
      </c>
    </row>
    <row r="42393" spans="8:8" x14ac:dyDescent="0.3">
      <c r="H42393" t="str">
        <f t="shared" si="712"/>
        <v/>
      </c>
    </row>
    <row r="42394" spans="8:8" x14ac:dyDescent="0.3">
      <c r="H42394" t="str">
        <f t="shared" si="712"/>
        <v/>
      </c>
    </row>
    <row r="42395" spans="8:8" x14ac:dyDescent="0.3">
      <c r="H42395" t="str">
        <f t="shared" si="712"/>
        <v/>
      </c>
    </row>
    <row r="42396" spans="8:8" x14ac:dyDescent="0.3">
      <c r="H42396" t="str">
        <f t="shared" si="712"/>
        <v/>
      </c>
    </row>
    <row r="42397" spans="8:8" x14ac:dyDescent="0.3">
      <c r="H42397" t="str">
        <f t="shared" si="712"/>
        <v/>
      </c>
    </row>
    <row r="42398" spans="8:8" x14ac:dyDescent="0.3">
      <c r="H42398" t="str">
        <f t="shared" si="712"/>
        <v/>
      </c>
    </row>
    <row r="42399" spans="8:8" x14ac:dyDescent="0.3">
      <c r="H42399" t="str">
        <f t="shared" si="712"/>
        <v/>
      </c>
    </row>
    <row r="42400" spans="8:8" x14ac:dyDescent="0.3">
      <c r="H42400" t="str">
        <f t="shared" si="712"/>
        <v/>
      </c>
    </row>
    <row r="42401" spans="8:8" x14ac:dyDescent="0.3">
      <c r="H42401" t="str">
        <f t="shared" si="712"/>
        <v/>
      </c>
    </row>
    <row r="42402" spans="8:8" x14ac:dyDescent="0.3">
      <c r="H42402" t="str">
        <f t="shared" si="712"/>
        <v/>
      </c>
    </row>
    <row r="42403" spans="8:8" x14ac:dyDescent="0.3">
      <c r="H42403" t="str">
        <f t="shared" si="712"/>
        <v/>
      </c>
    </row>
    <row r="42404" spans="8:8" x14ac:dyDescent="0.3">
      <c r="H42404" t="str">
        <f t="shared" si="712"/>
        <v/>
      </c>
    </row>
    <row r="42405" spans="8:8" x14ac:dyDescent="0.3">
      <c r="H42405" t="str">
        <f t="shared" si="712"/>
        <v/>
      </c>
    </row>
    <row r="42406" spans="8:8" x14ac:dyDescent="0.3">
      <c r="H42406" t="str">
        <f t="shared" si="712"/>
        <v/>
      </c>
    </row>
    <row r="42407" spans="8:8" x14ac:dyDescent="0.3">
      <c r="H42407" t="str">
        <f t="shared" si="712"/>
        <v/>
      </c>
    </row>
    <row r="42408" spans="8:8" x14ac:dyDescent="0.3">
      <c r="H42408" t="str">
        <f t="shared" si="712"/>
        <v/>
      </c>
    </row>
    <row r="42409" spans="8:8" x14ac:dyDescent="0.3">
      <c r="H42409" t="str">
        <f t="shared" si="712"/>
        <v/>
      </c>
    </row>
    <row r="42410" spans="8:8" x14ac:dyDescent="0.3">
      <c r="H42410" t="str">
        <f t="shared" si="712"/>
        <v/>
      </c>
    </row>
    <row r="42411" spans="8:8" x14ac:dyDescent="0.3">
      <c r="H42411" t="str">
        <f t="shared" si="712"/>
        <v/>
      </c>
    </row>
    <row r="42412" spans="8:8" x14ac:dyDescent="0.3">
      <c r="H42412" t="str">
        <f t="shared" si="712"/>
        <v/>
      </c>
    </row>
    <row r="42413" spans="8:8" x14ac:dyDescent="0.3">
      <c r="H42413" t="str">
        <f t="shared" si="712"/>
        <v/>
      </c>
    </row>
    <row r="42414" spans="8:8" x14ac:dyDescent="0.3">
      <c r="H42414" t="str">
        <f t="shared" si="712"/>
        <v/>
      </c>
    </row>
    <row r="42415" spans="8:8" x14ac:dyDescent="0.3">
      <c r="H42415" t="str">
        <f t="shared" si="712"/>
        <v/>
      </c>
    </row>
    <row r="42416" spans="8:8" x14ac:dyDescent="0.3">
      <c r="H42416" t="str">
        <f t="shared" si="712"/>
        <v/>
      </c>
    </row>
    <row r="42417" spans="8:8" x14ac:dyDescent="0.3">
      <c r="H42417" t="str">
        <f t="shared" si="712"/>
        <v/>
      </c>
    </row>
    <row r="42418" spans="8:8" x14ac:dyDescent="0.3">
      <c r="H42418" t="str">
        <f t="shared" si="712"/>
        <v/>
      </c>
    </row>
    <row r="42419" spans="8:8" x14ac:dyDescent="0.3">
      <c r="H42419" t="str">
        <f t="shared" si="712"/>
        <v/>
      </c>
    </row>
    <row r="42420" spans="8:8" x14ac:dyDescent="0.3">
      <c r="H42420" t="str">
        <f t="shared" si="712"/>
        <v/>
      </c>
    </row>
    <row r="42421" spans="8:8" x14ac:dyDescent="0.3">
      <c r="H42421" t="str">
        <f t="shared" si="712"/>
        <v/>
      </c>
    </row>
    <row r="42422" spans="8:8" x14ac:dyDescent="0.3">
      <c r="H42422" t="str">
        <f t="shared" si="712"/>
        <v/>
      </c>
    </row>
    <row r="42423" spans="8:8" x14ac:dyDescent="0.3">
      <c r="H42423" t="str">
        <f t="shared" si="712"/>
        <v/>
      </c>
    </row>
    <row r="42424" spans="8:8" x14ac:dyDescent="0.3">
      <c r="H42424" t="str">
        <f t="shared" si="712"/>
        <v/>
      </c>
    </row>
    <row r="42425" spans="8:8" x14ac:dyDescent="0.3">
      <c r="H42425" t="str">
        <f t="shared" si="712"/>
        <v/>
      </c>
    </row>
    <row r="42426" spans="8:8" x14ac:dyDescent="0.3">
      <c r="H42426" t="str">
        <f t="shared" si="712"/>
        <v/>
      </c>
    </row>
    <row r="42427" spans="8:8" x14ac:dyDescent="0.3">
      <c r="H42427" t="str">
        <f t="shared" si="712"/>
        <v/>
      </c>
    </row>
    <row r="42428" spans="8:8" x14ac:dyDescent="0.3">
      <c r="H42428" t="str">
        <f t="shared" si="712"/>
        <v/>
      </c>
    </row>
    <row r="42429" spans="8:8" x14ac:dyDescent="0.3">
      <c r="H42429" t="str">
        <f t="shared" si="712"/>
        <v/>
      </c>
    </row>
    <row r="42430" spans="8:8" x14ac:dyDescent="0.3">
      <c r="H42430" t="str">
        <f t="shared" si="712"/>
        <v/>
      </c>
    </row>
    <row r="42431" spans="8:8" x14ac:dyDescent="0.3">
      <c r="H42431" t="str">
        <f t="shared" si="712"/>
        <v/>
      </c>
    </row>
    <row r="42432" spans="8:8" x14ac:dyDescent="0.3">
      <c r="H42432" t="str">
        <f t="shared" si="712"/>
        <v/>
      </c>
    </row>
    <row r="42433" spans="8:8" x14ac:dyDescent="0.3">
      <c r="H42433" t="str">
        <f t="shared" si="712"/>
        <v/>
      </c>
    </row>
    <row r="42434" spans="8:8" x14ac:dyDescent="0.3">
      <c r="H42434" t="str">
        <f t="shared" si="712"/>
        <v/>
      </c>
    </row>
    <row r="42435" spans="8:8" x14ac:dyDescent="0.3">
      <c r="H42435" t="str">
        <f t="shared" si="712"/>
        <v/>
      </c>
    </row>
    <row r="42436" spans="8:8" x14ac:dyDescent="0.3">
      <c r="H42436" t="str">
        <f t="shared" si="712"/>
        <v/>
      </c>
    </row>
    <row r="42437" spans="8:8" x14ac:dyDescent="0.3">
      <c r="H42437" t="str">
        <f t="shared" si="712"/>
        <v/>
      </c>
    </row>
    <row r="42438" spans="8:8" x14ac:dyDescent="0.3">
      <c r="H42438" t="str">
        <f t="shared" si="712"/>
        <v/>
      </c>
    </row>
    <row r="42439" spans="8:8" x14ac:dyDescent="0.3">
      <c r="H42439" t="str">
        <f t="shared" si="712"/>
        <v/>
      </c>
    </row>
    <row r="42440" spans="8:8" x14ac:dyDescent="0.3">
      <c r="H42440" t="str">
        <f t="shared" si="712"/>
        <v/>
      </c>
    </row>
    <row r="42441" spans="8:8" x14ac:dyDescent="0.3">
      <c r="H42441" t="str">
        <f t="shared" si="712"/>
        <v/>
      </c>
    </row>
    <row r="42442" spans="8:8" x14ac:dyDescent="0.3">
      <c r="H42442" t="str">
        <f t="shared" si="712"/>
        <v/>
      </c>
    </row>
    <row r="42443" spans="8:8" x14ac:dyDescent="0.3">
      <c r="H42443" t="str">
        <f t="shared" si="712"/>
        <v/>
      </c>
    </row>
    <row r="42444" spans="8:8" x14ac:dyDescent="0.3">
      <c r="H42444" t="str">
        <f t="shared" si="712"/>
        <v/>
      </c>
    </row>
    <row r="42445" spans="8:8" x14ac:dyDescent="0.3">
      <c r="H42445" t="str">
        <f t="shared" si="712"/>
        <v/>
      </c>
    </row>
    <row r="42446" spans="8:8" x14ac:dyDescent="0.3">
      <c r="H42446" t="str">
        <f t="shared" si="712"/>
        <v/>
      </c>
    </row>
    <row r="42447" spans="8:8" x14ac:dyDescent="0.3">
      <c r="H42447" t="str">
        <f t="shared" si="712"/>
        <v/>
      </c>
    </row>
    <row r="42448" spans="8:8" x14ac:dyDescent="0.3">
      <c r="H42448" t="str">
        <f t="shared" si="712"/>
        <v/>
      </c>
    </row>
    <row r="42449" spans="8:8" x14ac:dyDescent="0.3">
      <c r="H42449" t="str">
        <f t="shared" si="712"/>
        <v/>
      </c>
    </row>
    <row r="42450" spans="8:8" x14ac:dyDescent="0.3">
      <c r="H42450" t="str">
        <f t="shared" si="712"/>
        <v/>
      </c>
    </row>
    <row r="42451" spans="8:8" x14ac:dyDescent="0.3">
      <c r="H42451" t="str">
        <f t="shared" si="712"/>
        <v/>
      </c>
    </row>
    <row r="42452" spans="8:8" x14ac:dyDescent="0.3">
      <c r="H42452" t="str">
        <f t="shared" si="712"/>
        <v/>
      </c>
    </row>
    <row r="42453" spans="8:8" x14ac:dyDescent="0.3">
      <c r="H42453" t="str">
        <f t="shared" si="712"/>
        <v/>
      </c>
    </row>
    <row r="42454" spans="8:8" x14ac:dyDescent="0.3">
      <c r="H42454" t="str">
        <f t="shared" si="712"/>
        <v/>
      </c>
    </row>
    <row r="42455" spans="8:8" x14ac:dyDescent="0.3">
      <c r="H42455" t="str">
        <f t="shared" ref="H42455:H42518" si="713">IF(B42455="","",$C$12)</f>
        <v/>
      </c>
    </row>
    <row r="42456" spans="8:8" x14ac:dyDescent="0.3">
      <c r="H42456" t="str">
        <f t="shared" si="713"/>
        <v/>
      </c>
    </row>
    <row r="42457" spans="8:8" x14ac:dyDescent="0.3">
      <c r="H42457" t="str">
        <f t="shared" si="713"/>
        <v/>
      </c>
    </row>
    <row r="42458" spans="8:8" x14ac:dyDescent="0.3">
      <c r="H42458" t="str">
        <f t="shared" si="713"/>
        <v/>
      </c>
    </row>
    <row r="42459" spans="8:8" x14ac:dyDescent="0.3">
      <c r="H42459" t="str">
        <f t="shared" si="713"/>
        <v/>
      </c>
    </row>
    <row r="42460" spans="8:8" x14ac:dyDescent="0.3">
      <c r="H42460" t="str">
        <f t="shared" si="713"/>
        <v/>
      </c>
    </row>
    <row r="42461" spans="8:8" x14ac:dyDescent="0.3">
      <c r="H42461" t="str">
        <f t="shared" si="713"/>
        <v/>
      </c>
    </row>
    <row r="42462" spans="8:8" x14ac:dyDescent="0.3">
      <c r="H42462" t="str">
        <f t="shared" si="713"/>
        <v/>
      </c>
    </row>
    <row r="42463" spans="8:8" x14ac:dyDescent="0.3">
      <c r="H42463" t="str">
        <f t="shared" si="713"/>
        <v/>
      </c>
    </row>
    <row r="42464" spans="8:8" x14ac:dyDescent="0.3">
      <c r="H42464" t="str">
        <f t="shared" si="713"/>
        <v/>
      </c>
    </row>
    <row r="42465" spans="8:8" x14ac:dyDescent="0.3">
      <c r="H42465" t="str">
        <f t="shared" si="713"/>
        <v/>
      </c>
    </row>
    <row r="42466" spans="8:8" x14ac:dyDescent="0.3">
      <c r="H42466" t="str">
        <f t="shared" si="713"/>
        <v/>
      </c>
    </row>
    <row r="42467" spans="8:8" x14ac:dyDescent="0.3">
      <c r="H42467" t="str">
        <f t="shared" si="713"/>
        <v/>
      </c>
    </row>
    <row r="42468" spans="8:8" x14ac:dyDescent="0.3">
      <c r="H42468" t="str">
        <f t="shared" si="713"/>
        <v/>
      </c>
    </row>
    <row r="42469" spans="8:8" x14ac:dyDescent="0.3">
      <c r="H42469" t="str">
        <f t="shared" si="713"/>
        <v/>
      </c>
    </row>
    <row r="42470" spans="8:8" x14ac:dyDescent="0.3">
      <c r="H42470" t="str">
        <f t="shared" si="713"/>
        <v/>
      </c>
    </row>
    <row r="42471" spans="8:8" x14ac:dyDescent="0.3">
      <c r="H42471" t="str">
        <f t="shared" si="713"/>
        <v/>
      </c>
    </row>
    <row r="42472" spans="8:8" x14ac:dyDescent="0.3">
      <c r="H42472" t="str">
        <f t="shared" si="713"/>
        <v/>
      </c>
    </row>
    <row r="42473" spans="8:8" x14ac:dyDescent="0.3">
      <c r="H42473" t="str">
        <f t="shared" si="713"/>
        <v/>
      </c>
    </row>
    <row r="42474" spans="8:8" x14ac:dyDescent="0.3">
      <c r="H42474" t="str">
        <f t="shared" si="713"/>
        <v/>
      </c>
    </row>
    <row r="42475" spans="8:8" x14ac:dyDescent="0.3">
      <c r="H42475" t="str">
        <f t="shared" si="713"/>
        <v/>
      </c>
    </row>
    <row r="42476" spans="8:8" x14ac:dyDescent="0.3">
      <c r="H42476" t="str">
        <f t="shared" si="713"/>
        <v/>
      </c>
    </row>
    <row r="42477" spans="8:8" x14ac:dyDescent="0.3">
      <c r="H42477" t="str">
        <f t="shared" si="713"/>
        <v/>
      </c>
    </row>
    <row r="42478" spans="8:8" x14ac:dyDescent="0.3">
      <c r="H42478" t="str">
        <f t="shared" si="713"/>
        <v/>
      </c>
    </row>
    <row r="42479" spans="8:8" x14ac:dyDescent="0.3">
      <c r="H42479" t="str">
        <f t="shared" si="713"/>
        <v/>
      </c>
    </row>
    <row r="42480" spans="8:8" x14ac:dyDescent="0.3">
      <c r="H42480" t="str">
        <f t="shared" si="713"/>
        <v/>
      </c>
    </row>
    <row r="42481" spans="8:8" x14ac:dyDescent="0.3">
      <c r="H42481" t="str">
        <f t="shared" si="713"/>
        <v/>
      </c>
    </row>
    <row r="42482" spans="8:8" x14ac:dyDescent="0.3">
      <c r="H42482" t="str">
        <f t="shared" si="713"/>
        <v/>
      </c>
    </row>
    <row r="42483" spans="8:8" x14ac:dyDescent="0.3">
      <c r="H42483" t="str">
        <f t="shared" si="713"/>
        <v/>
      </c>
    </row>
    <row r="42484" spans="8:8" x14ac:dyDescent="0.3">
      <c r="H42484" t="str">
        <f t="shared" si="713"/>
        <v/>
      </c>
    </row>
    <row r="42485" spans="8:8" x14ac:dyDescent="0.3">
      <c r="H42485" t="str">
        <f t="shared" si="713"/>
        <v/>
      </c>
    </row>
    <row r="42486" spans="8:8" x14ac:dyDescent="0.3">
      <c r="H42486" t="str">
        <f t="shared" si="713"/>
        <v/>
      </c>
    </row>
    <row r="42487" spans="8:8" x14ac:dyDescent="0.3">
      <c r="H42487" t="str">
        <f t="shared" si="713"/>
        <v/>
      </c>
    </row>
    <row r="42488" spans="8:8" x14ac:dyDescent="0.3">
      <c r="H42488" t="str">
        <f t="shared" si="713"/>
        <v/>
      </c>
    </row>
    <row r="42489" spans="8:8" x14ac:dyDescent="0.3">
      <c r="H42489" t="str">
        <f t="shared" si="713"/>
        <v/>
      </c>
    </row>
    <row r="42490" spans="8:8" x14ac:dyDescent="0.3">
      <c r="H42490" t="str">
        <f t="shared" si="713"/>
        <v/>
      </c>
    </row>
    <row r="42491" spans="8:8" x14ac:dyDescent="0.3">
      <c r="H42491" t="str">
        <f t="shared" si="713"/>
        <v/>
      </c>
    </row>
    <row r="42492" spans="8:8" x14ac:dyDescent="0.3">
      <c r="H42492" t="str">
        <f t="shared" si="713"/>
        <v/>
      </c>
    </row>
    <row r="42493" spans="8:8" x14ac:dyDescent="0.3">
      <c r="H42493" t="str">
        <f t="shared" si="713"/>
        <v/>
      </c>
    </row>
    <row r="42494" spans="8:8" x14ac:dyDescent="0.3">
      <c r="H42494" t="str">
        <f t="shared" si="713"/>
        <v/>
      </c>
    </row>
    <row r="42495" spans="8:8" x14ac:dyDescent="0.3">
      <c r="H42495" t="str">
        <f t="shared" si="713"/>
        <v/>
      </c>
    </row>
    <row r="42496" spans="8:8" x14ac:dyDescent="0.3">
      <c r="H42496" t="str">
        <f t="shared" si="713"/>
        <v/>
      </c>
    </row>
    <row r="42497" spans="8:8" x14ac:dyDescent="0.3">
      <c r="H42497" t="str">
        <f t="shared" si="713"/>
        <v/>
      </c>
    </row>
    <row r="42498" spans="8:8" x14ac:dyDescent="0.3">
      <c r="H42498" t="str">
        <f t="shared" si="713"/>
        <v/>
      </c>
    </row>
    <row r="42499" spans="8:8" x14ac:dyDescent="0.3">
      <c r="H42499" t="str">
        <f t="shared" si="713"/>
        <v/>
      </c>
    </row>
    <row r="42500" spans="8:8" x14ac:dyDescent="0.3">
      <c r="H42500" t="str">
        <f t="shared" si="713"/>
        <v/>
      </c>
    </row>
    <row r="42501" spans="8:8" x14ac:dyDescent="0.3">
      <c r="H42501" t="str">
        <f t="shared" si="713"/>
        <v/>
      </c>
    </row>
    <row r="42502" spans="8:8" x14ac:dyDescent="0.3">
      <c r="H42502" t="str">
        <f t="shared" si="713"/>
        <v/>
      </c>
    </row>
    <row r="42503" spans="8:8" x14ac:dyDescent="0.3">
      <c r="H42503" t="str">
        <f t="shared" si="713"/>
        <v/>
      </c>
    </row>
    <row r="42504" spans="8:8" x14ac:dyDescent="0.3">
      <c r="H42504" t="str">
        <f t="shared" si="713"/>
        <v/>
      </c>
    </row>
    <row r="42505" spans="8:8" x14ac:dyDescent="0.3">
      <c r="H42505" t="str">
        <f t="shared" si="713"/>
        <v/>
      </c>
    </row>
    <row r="42506" spans="8:8" x14ac:dyDescent="0.3">
      <c r="H42506" t="str">
        <f t="shared" si="713"/>
        <v/>
      </c>
    </row>
    <row r="42507" spans="8:8" x14ac:dyDescent="0.3">
      <c r="H42507" t="str">
        <f t="shared" si="713"/>
        <v/>
      </c>
    </row>
    <row r="42508" spans="8:8" x14ac:dyDescent="0.3">
      <c r="H42508" t="str">
        <f t="shared" si="713"/>
        <v/>
      </c>
    </row>
    <row r="42509" spans="8:8" x14ac:dyDescent="0.3">
      <c r="H42509" t="str">
        <f t="shared" si="713"/>
        <v/>
      </c>
    </row>
    <row r="42510" spans="8:8" x14ac:dyDescent="0.3">
      <c r="H42510" t="str">
        <f t="shared" si="713"/>
        <v/>
      </c>
    </row>
    <row r="42511" spans="8:8" x14ac:dyDescent="0.3">
      <c r="H42511" t="str">
        <f t="shared" si="713"/>
        <v/>
      </c>
    </row>
    <row r="42512" spans="8:8" x14ac:dyDescent="0.3">
      <c r="H42512" t="str">
        <f t="shared" si="713"/>
        <v/>
      </c>
    </row>
    <row r="42513" spans="8:8" x14ac:dyDescent="0.3">
      <c r="H42513" t="str">
        <f t="shared" si="713"/>
        <v/>
      </c>
    </row>
    <row r="42514" spans="8:8" x14ac:dyDescent="0.3">
      <c r="H42514" t="str">
        <f t="shared" si="713"/>
        <v/>
      </c>
    </row>
    <row r="42515" spans="8:8" x14ac:dyDescent="0.3">
      <c r="H42515" t="str">
        <f t="shared" si="713"/>
        <v/>
      </c>
    </row>
    <row r="42516" spans="8:8" x14ac:dyDescent="0.3">
      <c r="H42516" t="str">
        <f t="shared" si="713"/>
        <v/>
      </c>
    </row>
    <row r="42517" spans="8:8" x14ac:dyDescent="0.3">
      <c r="H42517" t="str">
        <f t="shared" si="713"/>
        <v/>
      </c>
    </row>
    <row r="42518" spans="8:8" x14ac:dyDescent="0.3">
      <c r="H42518" t="str">
        <f t="shared" si="713"/>
        <v/>
      </c>
    </row>
    <row r="42519" spans="8:8" x14ac:dyDescent="0.3">
      <c r="H42519" t="str">
        <f t="shared" ref="H42519:H42582" si="714">IF(B42519="","",$C$12)</f>
        <v/>
      </c>
    </row>
    <row r="42520" spans="8:8" x14ac:dyDescent="0.3">
      <c r="H42520" t="str">
        <f t="shared" si="714"/>
        <v/>
      </c>
    </row>
    <row r="42521" spans="8:8" x14ac:dyDescent="0.3">
      <c r="H42521" t="str">
        <f t="shared" si="714"/>
        <v/>
      </c>
    </row>
    <row r="42522" spans="8:8" x14ac:dyDescent="0.3">
      <c r="H42522" t="str">
        <f t="shared" si="714"/>
        <v/>
      </c>
    </row>
    <row r="42523" spans="8:8" x14ac:dyDescent="0.3">
      <c r="H42523" t="str">
        <f t="shared" si="714"/>
        <v/>
      </c>
    </row>
    <row r="42524" spans="8:8" x14ac:dyDescent="0.3">
      <c r="H42524" t="str">
        <f t="shared" si="714"/>
        <v/>
      </c>
    </row>
    <row r="42525" spans="8:8" x14ac:dyDescent="0.3">
      <c r="H42525" t="str">
        <f t="shared" si="714"/>
        <v/>
      </c>
    </row>
    <row r="42526" spans="8:8" x14ac:dyDescent="0.3">
      <c r="H42526" t="str">
        <f t="shared" si="714"/>
        <v/>
      </c>
    </row>
    <row r="42527" spans="8:8" x14ac:dyDescent="0.3">
      <c r="H42527" t="str">
        <f t="shared" si="714"/>
        <v/>
      </c>
    </row>
    <row r="42528" spans="8:8" x14ac:dyDescent="0.3">
      <c r="H42528" t="str">
        <f t="shared" si="714"/>
        <v/>
      </c>
    </row>
    <row r="42529" spans="8:8" x14ac:dyDescent="0.3">
      <c r="H42529" t="str">
        <f t="shared" si="714"/>
        <v/>
      </c>
    </row>
    <row r="42530" spans="8:8" x14ac:dyDescent="0.3">
      <c r="H42530" t="str">
        <f t="shared" si="714"/>
        <v/>
      </c>
    </row>
    <row r="42531" spans="8:8" x14ac:dyDescent="0.3">
      <c r="H42531" t="str">
        <f t="shared" si="714"/>
        <v/>
      </c>
    </row>
    <row r="42532" spans="8:8" x14ac:dyDescent="0.3">
      <c r="H42532" t="str">
        <f t="shared" si="714"/>
        <v/>
      </c>
    </row>
    <row r="42533" spans="8:8" x14ac:dyDescent="0.3">
      <c r="H42533" t="str">
        <f t="shared" si="714"/>
        <v/>
      </c>
    </row>
    <row r="42534" spans="8:8" x14ac:dyDescent="0.3">
      <c r="H42534" t="str">
        <f t="shared" si="714"/>
        <v/>
      </c>
    </row>
    <row r="42535" spans="8:8" x14ac:dyDescent="0.3">
      <c r="H42535" t="str">
        <f t="shared" si="714"/>
        <v/>
      </c>
    </row>
    <row r="42536" spans="8:8" x14ac:dyDescent="0.3">
      <c r="H42536" t="str">
        <f t="shared" si="714"/>
        <v/>
      </c>
    </row>
    <row r="42537" spans="8:8" x14ac:dyDescent="0.3">
      <c r="H42537" t="str">
        <f t="shared" si="714"/>
        <v/>
      </c>
    </row>
    <row r="42538" spans="8:8" x14ac:dyDescent="0.3">
      <c r="H42538" t="str">
        <f t="shared" si="714"/>
        <v/>
      </c>
    </row>
    <row r="42539" spans="8:8" x14ac:dyDescent="0.3">
      <c r="H42539" t="str">
        <f t="shared" si="714"/>
        <v/>
      </c>
    </row>
    <row r="42540" spans="8:8" x14ac:dyDescent="0.3">
      <c r="H42540" t="str">
        <f t="shared" si="714"/>
        <v/>
      </c>
    </row>
    <row r="42541" spans="8:8" x14ac:dyDescent="0.3">
      <c r="H42541" t="str">
        <f t="shared" si="714"/>
        <v/>
      </c>
    </row>
    <row r="42542" spans="8:8" x14ac:dyDescent="0.3">
      <c r="H42542" t="str">
        <f t="shared" si="714"/>
        <v/>
      </c>
    </row>
    <row r="42543" spans="8:8" x14ac:dyDescent="0.3">
      <c r="H42543" t="str">
        <f t="shared" si="714"/>
        <v/>
      </c>
    </row>
    <row r="42544" spans="8:8" x14ac:dyDescent="0.3">
      <c r="H42544" t="str">
        <f t="shared" si="714"/>
        <v/>
      </c>
    </row>
    <row r="42545" spans="8:8" x14ac:dyDescent="0.3">
      <c r="H42545" t="str">
        <f t="shared" si="714"/>
        <v/>
      </c>
    </row>
    <row r="42546" spans="8:8" x14ac:dyDescent="0.3">
      <c r="H42546" t="str">
        <f t="shared" si="714"/>
        <v/>
      </c>
    </row>
    <row r="42547" spans="8:8" x14ac:dyDescent="0.3">
      <c r="H42547" t="str">
        <f t="shared" si="714"/>
        <v/>
      </c>
    </row>
    <row r="42548" spans="8:8" x14ac:dyDescent="0.3">
      <c r="H42548" t="str">
        <f t="shared" si="714"/>
        <v/>
      </c>
    </row>
    <row r="42549" spans="8:8" x14ac:dyDescent="0.3">
      <c r="H42549" t="str">
        <f t="shared" si="714"/>
        <v/>
      </c>
    </row>
    <row r="42550" spans="8:8" x14ac:dyDescent="0.3">
      <c r="H42550" t="str">
        <f t="shared" si="714"/>
        <v/>
      </c>
    </row>
    <row r="42551" spans="8:8" x14ac:dyDescent="0.3">
      <c r="H42551" t="str">
        <f t="shared" si="714"/>
        <v/>
      </c>
    </row>
    <row r="42552" spans="8:8" x14ac:dyDescent="0.3">
      <c r="H42552" t="str">
        <f t="shared" si="714"/>
        <v/>
      </c>
    </row>
    <row r="42553" spans="8:8" x14ac:dyDescent="0.3">
      <c r="H42553" t="str">
        <f t="shared" si="714"/>
        <v/>
      </c>
    </row>
    <row r="42554" spans="8:8" x14ac:dyDescent="0.3">
      <c r="H42554" t="str">
        <f t="shared" si="714"/>
        <v/>
      </c>
    </row>
    <row r="42555" spans="8:8" x14ac:dyDescent="0.3">
      <c r="H42555" t="str">
        <f t="shared" si="714"/>
        <v/>
      </c>
    </row>
    <row r="42556" spans="8:8" x14ac:dyDescent="0.3">
      <c r="H42556" t="str">
        <f t="shared" si="714"/>
        <v/>
      </c>
    </row>
    <row r="42557" spans="8:8" x14ac:dyDescent="0.3">
      <c r="H42557" t="str">
        <f t="shared" si="714"/>
        <v/>
      </c>
    </row>
    <row r="42558" spans="8:8" x14ac:dyDescent="0.3">
      <c r="H42558" t="str">
        <f t="shared" si="714"/>
        <v/>
      </c>
    </row>
    <row r="42559" spans="8:8" x14ac:dyDescent="0.3">
      <c r="H42559" t="str">
        <f t="shared" si="714"/>
        <v/>
      </c>
    </row>
    <row r="42560" spans="8:8" x14ac:dyDescent="0.3">
      <c r="H42560" t="str">
        <f t="shared" si="714"/>
        <v/>
      </c>
    </row>
    <row r="42561" spans="8:8" x14ac:dyDescent="0.3">
      <c r="H42561" t="str">
        <f t="shared" si="714"/>
        <v/>
      </c>
    </row>
    <row r="42562" spans="8:8" x14ac:dyDescent="0.3">
      <c r="H42562" t="str">
        <f t="shared" si="714"/>
        <v/>
      </c>
    </row>
    <row r="42563" spans="8:8" x14ac:dyDescent="0.3">
      <c r="H42563" t="str">
        <f t="shared" si="714"/>
        <v/>
      </c>
    </row>
    <row r="42564" spans="8:8" x14ac:dyDescent="0.3">
      <c r="H42564" t="str">
        <f t="shared" si="714"/>
        <v/>
      </c>
    </row>
    <row r="42565" spans="8:8" x14ac:dyDescent="0.3">
      <c r="H42565" t="str">
        <f t="shared" si="714"/>
        <v/>
      </c>
    </row>
    <row r="42566" spans="8:8" x14ac:dyDescent="0.3">
      <c r="H42566" t="str">
        <f t="shared" si="714"/>
        <v/>
      </c>
    </row>
    <row r="42567" spans="8:8" x14ac:dyDescent="0.3">
      <c r="H42567" t="str">
        <f t="shared" si="714"/>
        <v/>
      </c>
    </row>
    <row r="42568" spans="8:8" x14ac:dyDescent="0.3">
      <c r="H42568" t="str">
        <f t="shared" si="714"/>
        <v/>
      </c>
    </row>
    <row r="42569" spans="8:8" x14ac:dyDescent="0.3">
      <c r="H42569" t="str">
        <f t="shared" si="714"/>
        <v/>
      </c>
    </row>
    <row r="42570" spans="8:8" x14ac:dyDescent="0.3">
      <c r="H42570" t="str">
        <f t="shared" si="714"/>
        <v/>
      </c>
    </row>
    <row r="42571" spans="8:8" x14ac:dyDescent="0.3">
      <c r="H42571" t="str">
        <f t="shared" si="714"/>
        <v/>
      </c>
    </row>
    <row r="42572" spans="8:8" x14ac:dyDescent="0.3">
      <c r="H42572" t="str">
        <f t="shared" si="714"/>
        <v/>
      </c>
    </row>
    <row r="42573" spans="8:8" x14ac:dyDescent="0.3">
      <c r="H42573" t="str">
        <f t="shared" si="714"/>
        <v/>
      </c>
    </row>
    <row r="42574" spans="8:8" x14ac:dyDescent="0.3">
      <c r="H42574" t="str">
        <f t="shared" si="714"/>
        <v/>
      </c>
    </row>
    <row r="42575" spans="8:8" x14ac:dyDescent="0.3">
      <c r="H42575" t="str">
        <f t="shared" si="714"/>
        <v/>
      </c>
    </row>
    <row r="42576" spans="8:8" x14ac:dyDescent="0.3">
      <c r="H42576" t="str">
        <f t="shared" si="714"/>
        <v/>
      </c>
    </row>
    <row r="42577" spans="8:8" x14ac:dyDescent="0.3">
      <c r="H42577" t="str">
        <f t="shared" si="714"/>
        <v/>
      </c>
    </row>
    <row r="42578" spans="8:8" x14ac:dyDescent="0.3">
      <c r="H42578" t="str">
        <f t="shared" si="714"/>
        <v/>
      </c>
    </row>
    <row r="42579" spans="8:8" x14ac:dyDescent="0.3">
      <c r="H42579" t="str">
        <f t="shared" si="714"/>
        <v/>
      </c>
    </row>
    <row r="42580" spans="8:8" x14ac:dyDescent="0.3">
      <c r="H42580" t="str">
        <f t="shared" si="714"/>
        <v/>
      </c>
    </row>
    <row r="42581" spans="8:8" x14ac:dyDescent="0.3">
      <c r="H42581" t="str">
        <f t="shared" si="714"/>
        <v/>
      </c>
    </row>
    <row r="42582" spans="8:8" x14ac:dyDescent="0.3">
      <c r="H42582" t="str">
        <f t="shared" si="714"/>
        <v/>
      </c>
    </row>
    <row r="42583" spans="8:8" x14ac:dyDescent="0.3">
      <c r="H42583" t="str">
        <f t="shared" ref="H42583:H42646" si="715">IF(B42583="","",$C$12)</f>
        <v/>
      </c>
    </row>
    <row r="42584" spans="8:8" x14ac:dyDescent="0.3">
      <c r="H42584" t="str">
        <f t="shared" si="715"/>
        <v/>
      </c>
    </row>
    <row r="42585" spans="8:8" x14ac:dyDescent="0.3">
      <c r="H42585" t="str">
        <f t="shared" si="715"/>
        <v/>
      </c>
    </row>
    <row r="42586" spans="8:8" x14ac:dyDescent="0.3">
      <c r="H42586" t="str">
        <f t="shared" si="715"/>
        <v/>
      </c>
    </row>
    <row r="42587" spans="8:8" x14ac:dyDescent="0.3">
      <c r="H42587" t="str">
        <f t="shared" si="715"/>
        <v/>
      </c>
    </row>
    <row r="42588" spans="8:8" x14ac:dyDescent="0.3">
      <c r="H42588" t="str">
        <f t="shared" si="715"/>
        <v/>
      </c>
    </row>
    <row r="42589" spans="8:8" x14ac:dyDescent="0.3">
      <c r="H42589" t="str">
        <f t="shared" si="715"/>
        <v/>
      </c>
    </row>
    <row r="42590" spans="8:8" x14ac:dyDescent="0.3">
      <c r="H42590" t="str">
        <f t="shared" si="715"/>
        <v/>
      </c>
    </row>
    <row r="42591" spans="8:8" x14ac:dyDescent="0.3">
      <c r="H42591" t="str">
        <f t="shared" si="715"/>
        <v/>
      </c>
    </row>
    <row r="42592" spans="8:8" x14ac:dyDescent="0.3">
      <c r="H42592" t="str">
        <f t="shared" si="715"/>
        <v/>
      </c>
    </row>
    <row r="42593" spans="8:8" x14ac:dyDescent="0.3">
      <c r="H42593" t="str">
        <f t="shared" si="715"/>
        <v/>
      </c>
    </row>
    <row r="42594" spans="8:8" x14ac:dyDescent="0.3">
      <c r="H42594" t="str">
        <f t="shared" si="715"/>
        <v/>
      </c>
    </row>
    <row r="42595" spans="8:8" x14ac:dyDescent="0.3">
      <c r="H42595" t="str">
        <f t="shared" si="715"/>
        <v/>
      </c>
    </row>
    <row r="42596" spans="8:8" x14ac:dyDescent="0.3">
      <c r="H42596" t="str">
        <f t="shared" si="715"/>
        <v/>
      </c>
    </row>
    <row r="42597" spans="8:8" x14ac:dyDescent="0.3">
      <c r="H42597" t="str">
        <f t="shared" si="715"/>
        <v/>
      </c>
    </row>
    <row r="42598" spans="8:8" x14ac:dyDescent="0.3">
      <c r="H42598" t="str">
        <f t="shared" si="715"/>
        <v/>
      </c>
    </row>
    <row r="42599" spans="8:8" x14ac:dyDescent="0.3">
      <c r="H42599" t="str">
        <f t="shared" si="715"/>
        <v/>
      </c>
    </row>
    <row r="42600" spans="8:8" x14ac:dyDescent="0.3">
      <c r="H42600" t="str">
        <f t="shared" si="715"/>
        <v/>
      </c>
    </row>
    <row r="42601" spans="8:8" x14ac:dyDescent="0.3">
      <c r="H42601" t="str">
        <f t="shared" si="715"/>
        <v/>
      </c>
    </row>
    <row r="42602" spans="8:8" x14ac:dyDescent="0.3">
      <c r="H42602" t="str">
        <f t="shared" si="715"/>
        <v/>
      </c>
    </row>
    <row r="42603" spans="8:8" x14ac:dyDescent="0.3">
      <c r="H42603" t="str">
        <f t="shared" si="715"/>
        <v/>
      </c>
    </row>
    <row r="42604" spans="8:8" x14ac:dyDescent="0.3">
      <c r="H42604" t="str">
        <f t="shared" si="715"/>
        <v/>
      </c>
    </row>
    <row r="42605" spans="8:8" x14ac:dyDescent="0.3">
      <c r="H42605" t="str">
        <f t="shared" si="715"/>
        <v/>
      </c>
    </row>
    <row r="42606" spans="8:8" x14ac:dyDescent="0.3">
      <c r="H42606" t="str">
        <f t="shared" si="715"/>
        <v/>
      </c>
    </row>
    <row r="42607" spans="8:8" x14ac:dyDescent="0.3">
      <c r="H42607" t="str">
        <f t="shared" si="715"/>
        <v/>
      </c>
    </row>
    <row r="42608" spans="8:8" x14ac:dyDescent="0.3">
      <c r="H42608" t="str">
        <f t="shared" si="715"/>
        <v/>
      </c>
    </row>
    <row r="42609" spans="8:8" x14ac:dyDescent="0.3">
      <c r="H42609" t="str">
        <f t="shared" si="715"/>
        <v/>
      </c>
    </row>
    <row r="42610" spans="8:8" x14ac:dyDescent="0.3">
      <c r="H42610" t="str">
        <f t="shared" si="715"/>
        <v/>
      </c>
    </row>
    <row r="42611" spans="8:8" x14ac:dyDescent="0.3">
      <c r="H42611" t="str">
        <f t="shared" si="715"/>
        <v/>
      </c>
    </row>
    <row r="42612" spans="8:8" x14ac:dyDescent="0.3">
      <c r="H42612" t="str">
        <f t="shared" si="715"/>
        <v/>
      </c>
    </row>
    <row r="42613" spans="8:8" x14ac:dyDescent="0.3">
      <c r="H42613" t="str">
        <f t="shared" si="715"/>
        <v/>
      </c>
    </row>
    <row r="42614" spans="8:8" x14ac:dyDescent="0.3">
      <c r="H42614" t="str">
        <f t="shared" si="715"/>
        <v/>
      </c>
    </row>
    <row r="42615" spans="8:8" x14ac:dyDescent="0.3">
      <c r="H42615" t="str">
        <f t="shared" si="715"/>
        <v/>
      </c>
    </row>
    <row r="42616" spans="8:8" x14ac:dyDescent="0.3">
      <c r="H42616" t="str">
        <f t="shared" si="715"/>
        <v/>
      </c>
    </row>
    <row r="42617" spans="8:8" x14ac:dyDescent="0.3">
      <c r="H42617" t="str">
        <f t="shared" si="715"/>
        <v/>
      </c>
    </row>
    <row r="42618" spans="8:8" x14ac:dyDescent="0.3">
      <c r="H42618" t="str">
        <f t="shared" si="715"/>
        <v/>
      </c>
    </row>
    <row r="42619" spans="8:8" x14ac:dyDescent="0.3">
      <c r="H42619" t="str">
        <f t="shared" si="715"/>
        <v/>
      </c>
    </row>
    <row r="42620" spans="8:8" x14ac:dyDescent="0.3">
      <c r="H42620" t="str">
        <f t="shared" si="715"/>
        <v/>
      </c>
    </row>
    <row r="42621" spans="8:8" x14ac:dyDescent="0.3">
      <c r="H42621" t="str">
        <f t="shared" si="715"/>
        <v/>
      </c>
    </row>
    <row r="42622" spans="8:8" x14ac:dyDescent="0.3">
      <c r="H42622" t="str">
        <f t="shared" si="715"/>
        <v/>
      </c>
    </row>
    <row r="42623" spans="8:8" x14ac:dyDescent="0.3">
      <c r="H42623" t="str">
        <f t="shared" si="715"/>
        <v/>
      </c>
    </row>
    <row r="42624" spans="8:8" x14ac:dyDescent="0.3">
      <c r="H42624" t="str">
        <f t="shared" si="715"/>
        <v/>
      </c>
    </row>
    <row r="42625" spans="8:8" x14ac:dyDescent="0.3">
      <c r="H42625" t="str">
        <f t="shared" si="715"/>
        <v/>
      </c>
    </row>
    <row r="42626" spans="8:8" x14ac:dyDescent="0.3">
      <c r="H42626" t="str">
        <f t="shared" si="715"/>
        <v/>
      </c>
    </row>
    <row r="42627" spans="8:8" x14ac:dyDescent="0.3">
      <c r="H42627" t="str">
        <f t="shared" si="715"/>
        <v/>
      </c>
    </row>
    <row r="42628" spans="8:8" x14ac:dyDescent="0.3">
      <c r="H42628" t="str">
        <f t="shared" si="715"/>
        <v/>
      </c>
    </row>
    <row r="42629" spans="8:8" x14ac:dyDescent="0.3">
      <c r="H42629" t="str">
        <f t="shared" si="715"/>
        <v/>
      </c>
    </row>
    <row r="42630" spans="8:8" x14ac:dyDescent="0.3">
      <c r="H42630" t="str">
        <f t="shared" si="715"/>
        <v/>
      </c>
    </row>
    <row r="42631" spans="8:8" x14ac:dyDescent="0.3">
      <c r="H42631" t="str">
        <f t="shared" si="715"/>
        <v/>
      </c>
    </row>
    <row r="42632" spans="8:8" x14ac:dyDescent="0.3">
      <c r="H42632" t="str">
        <f t="shared" si="715"/>
        <v/>
      </c>
    </row>
    <row r="42633" spans="8:8" x14ac:dyDescent="0.3">
      <c r="H42633" t="str">
        <f t="shared" si="715"/>
        <v/>
      </c>
    </row>
    <row r="42634" spans="8:8" x14ac:dyDescent="0.3">
      <c r="H42634" t="str">
        <f t="shared" si="715"/>
        <v/>
      </c>
    </row>
    <row r="42635" spans="8:8" x14ac:dyDescent="0.3">
      <c r="H42635" t="str">
        <f t="shared" si="715"/>
        <v/>
      </c>
    </row>
    <row r="42636" spans="8:8" x14ac:dyDescent="0.3">
      <c r="H42636" t="str">
        <f t="shared" si="715"/>
        <v/>
      </c>
    </row>
    <row r="42637" spans="8:8" x14ac:dyDescent="0.3">
      <c r="H42637" t="str">
        <f t="shared" si="715"/>
        <v/>
      </c>
    </row>
    <row r="42638" spans="8:8" x14ac:dyDescent="0.3">
      <c r="H42638" t="str">
        <f t="shared" si="715"/>
        <v/>
      </c>
    </row>
    <row r="42639" spans="8:8" x14ac:dyDescent="0.3">
      <c r="H42639" t="str">
        <f t="shared" si="715"/>
        <v/>
      </c>
    </row>
    <row r="42640" spans="8:8" x14ac:dyDescent="0.3">
      <c r="H42640" t="str">
        <f t="shared" si="715"/>
        <v/>
      </c>
    </row>
    <row r="42641" spans="8:8" x14ac:dyDescent="0.3">
      <c r="H42641" t="str">
        <f t="shared" si="715"/>
        <v/>
      </c>
    </row>
    <row r="42642" spans="8:8" x14ac:dyDescent="0.3">
      <c r="H42642" t="str">
        <f t="shared" si="715"/>
        <v/>
      </c>
    </row>
    <row r="42643" spans="8:8" x14ac:dyDescent="0.3">
      <c r="H42643" t="str">
        <f t="shared" si="715"/>
        <v/>
      </c>
    </row>
    <row r="42644" spans="8:8" x14ac:dyDescent="0.3">
      <c r="H42644" t="str">
        <f t="shared" si="715"/>
        <v/>
      </c>
    </row>
    <row r="42645" spans="8:8" x14ac:dyDescent="0.3">
      <c r="H42645" t="str">
        <f t="shared" si="715"/>
        <v/>
      </c>
    </row>
    <row r="42646" spans="8:8" x14ac:dyDescent="0.3">
      <c r="H42646" t="str">
        <f t="shared" si="715"/>
        <v/>
      </c>
    </row>
    <row r="42647" spans="8:8" x14ac:dyDescent="0.3">
      <c r="H42647" t="str">
        <f t="shared" ref="H42647:H42710" si="716">IF(B42647="","",$C$12)</f>
        <v/>
      </c>
    </row>
    <row r="42648" spans="8:8" x14ac:dyDescent="0.3">
      <c r="H42648" t="str">
        <f t="shared" si="716"/>
        <v/>
      </c>
    </row>
    <row r="42649" spans="8:8" x14ac:dyDescent="0.3">
      <c r="H42649" t="str">
        <f t="shared" si="716"/>
        <v/>
      </c>
    </row>
    <row r="42650" spans="8:8" x14ac:dyDescent="0.3">
      <c r="H42650" t="str">
        <f t="shared" si="716"/>
        <v/>
      </c>
    </row>
    <row r="42651" spans="8:8" x14ac:dyDescent="0.3">
      <c r="H42651" t="str">
        <f t="shared" si="716"/>
        <v/>
      </c>
    </row>
    <row r="42652" spans="8:8" x14ac:dyDescent="0.3">
      <c r="H42652" t="str">
        <f t="shared" si="716"/>
        <v/>
      </c>
    </row>
    <row r="42653" spans="8:8" x14ac:dyDescent="0.3">
      <c r="H42653" t="str">
        <f t="shared" si="716"/>
        <v/>
      </c>
    </row>
    <row r="42654" spans="8:8" x14ac:dyDescent="0.3">
      <c r="H42654" t="str">
        <f t="shared" si="716"/>
        <v/>
      </c>
    </row>
    <row r="42655" spans="8:8" x14ac:dyDescent="0.3">
      <c r="H42655" t="str">
        <f t="shared" si="716"/>
        <v/>
      </c>
    </row>
    <row r="42656" spans="8:8" x14ac:dyDescent="0.3">
      <c r="H42656" t="str">
        <f t="shared" si="716"/>
        <v/>
      </c>
    </row>
    <row r="42657" spans="8:8" x14ac:dyDescent="0.3">
      <c r="H42657" t="str">
        <f t="shared" si="716"/>
        <v/>
      </c>
    </row>
    <row r="42658" spans="8:8" x14ac:dyDescent="0.3">
      <c r="H42658" t="str">
        <f t="shared" si="716"/>
        <v/>
      </c>
    </row>
    <row r="42659" spans="8:8" x14ac:dyDescent="0.3">
      <c r="H42659" t="str">
        <f t="shared" si="716"/>
        <v/>
      </c>
    </row>
    <row r="42660" spans="8:8" x14ac:dyDescent="0.3">
      <c r="H42660" t="str">
        <f t="shared" si="716"/>
        <v/>
      </c>
    </row>
    <row r="42661" spans="8:8" x14ac:dyDescent="0.3">
      <c r="H42661" t="str">
        <f t="shared" si="716"/>
        <v/>
      </c>
    </row>
    <row r="42662" spans="8:8" x14ac:dyDescent="0.3">
      <c r="H42662" t="str">
        <f t="shared" si="716"/>
        <v/>
      </c>
    </row>
    <row r="42663" spans="8:8" x14ac:dyDescent="0.3">
      <c r="H42663" t="str">
        <f t="shared" si="716"/>
        <v/>
      </c>
    </row>
    <row r="42664" spans="8:8" x14ac:dyDescent="0.3">
      <c r="H42664" t="str">
        <f t="shared" si="716"/>
        <v/>
      </c>
    </row>
    <row r="42665" spans="8:8" x14ac:dyDescent="0.3">
      <c r="H42665" t="str">
        <f t="shared" si="716"/>
        <v/>
      </c>
    </row>
    <row r="42666" spans="8:8" x14ac:dyDescent="0.3">
      <c r="H42666" t="str">
        <f t="shared" si="716"/>
        <v/>
      </c>
    </row>
    <row r="42667" spans="8:8" x14ac:dyDescent="0.3">
      <c r="H42667" t="str">
        <f t="shared" si="716"/>
        <v/>
      </c>
    </row>
    <row r="42668" spans="8:8" x14ac:dyDescent="0.3">
      <c r="H42668" t="str">
        <f t="shared" si="716"/>
        <v/>
      </c>
    </row>
    <row r="42669" spans="8:8" x14ac:dyDescent="0.3">
      <c r="H42669" t="str">
        <f t="shared" si="716"/>
        <v/>
      </c>
    </row>
    <row r="42670" spans="8:8" x14ac:dyDescent="0.3">
      <c r="H42670" t="str">
        <f t="shared" si="716"/>
        <v/>
      </c>
    </row>
    <row r="42671" spans="8:8" x14ac:dyDescent="0.3">
      <c r="H42671" t="str">
        <f t="shared" si="716"/>
        <v/>
      </c>
    </row>
    <row r="42672" spans="8:8" x14ac:dyDescent="0.3">
      <c r="H42672" t="str">
        <f t="shared" si="716"/>
        <v/>
      </c>
    </row>
    <row r="42673" spans="8:8" x14ac:dyDescent="0.3">
      <c r="H42673" t="str">
        <f t="shared" si="716"/>
        <v/>
      </c>
    </row>
    <row r="42674" spans="8:8" x14ac:dyDescent="0.3">
      <c r="H42674" t="str">
        <f t="shared" si="716"/>
        <v/>
      </c>
    </row>
    <row r="42675" spans="8:8" x14ac:dyDescent="0.3">
      <c r="H42675" t="str">
        <f t="shared" si="716"/>
        <v/>
      </c>
    </row>
    <row r="42676" spans="8:8" x14ac:dyDescent="0.3">
      <c r="H42676" t="str">
        <f t="shared" si="716"/>
        <v/>
      </c>
    </row>
    <row r="42677" spans="8:8" x14ac:dyDescent="0.3">
      <c r="H42677" t="str">
        <f t="shared" si="716"/>
        <v/>
      </c>
    </row>
    <row r="42678" spans="8:8" x14ac:dyDescent="0.3">
      <c r="H42678" t="str">
        <f t="shared" si="716"/>
        <v/>
      </c>
    </row>
    <row r="42679" spans="8:8" x14ac:dyDescent="0.3">
      <c r="H42679" t="str">
        <f t="shared" si="716"/>
        <v/>
      </c>
    </row>
    <row r="42680" spans="8:8" x14ac:dyDescent="0.3">
      <c r="H42680" t="str">
        <f t="shared" si="716"/>
        <v/>
      </c>
    </row>
    <row r="42681" spans="8:8" x14ac:dyDescent="0.3">
      <c r="H42681" t="str">
        <f t="shared" si="716"/>
        <v/>
      </c>
    </row>
    <row r="42682" spans="8:8" x14ac:dyDescent="0.3">
      <c r="H42682" t="str">
        <f t="shared" si="716"/>
        <v/>
      </c>
    </row>
    <row r="42683" spans="8:8" x14ac:dyDescent="0.3">
      <c r="H42683" t="str">
        <f t="shared" si="716"/>
        <v/>
      </c>
    </row>
    <row r="42684" spans="8:8" x14ac:dyDescent="0.3">
      <c r="H42684" t="str">
        <f t="shared" si="716"/>
        <v/>
      </c>
    </row>
    <row r="42685" spans="8:8" x14ac:dyDescent="0.3">
      <c r="H42685" t="str">
        <f t="shared" si="716"/>
        <v/>
      </c>
    </row>
    <row r="42686" spans="8:8" x14ac:dyDescent="0.3">
      <c r="H42686" t="str">
        <f t="shared" si="716"/>
        <v/>
      </c>
    </row>
    <row r="42687" spans="8:8" x14ac:dyDescent="0.3">
      <c r="H42687" t="str">
        <f t="shared" si="716"/>
        <v/>
      </c>
    </row>
    <row r="42688" spans="8:8" x14ac:dyDescent="0.3">
      <c r="H42688" t="str">
        <f t="shared" si="716"/>
        <v/>
      </c>
    </row>
    <row r="42689" spans="8:8" x14ac:dyDescent="0.3">
      <c r="H42689" t="str">
        <f t="shared" si="716"/>
        <v/>
      </c>
    </row>
    <row r="42690" spans="8:8" x14ac:dyDescent="0.3">
      <c r="H42690" t="str">
        <f t="shared" si="716"/>
        <v/>
      </c>
    </row>
    <row r="42691" spans="8:8" x14ac:dyDescent="0.3">
      <c r="H42691" t="str">
        <f t="shared" si="716"/>
        <v/>
      </c>
    </row>
    <row r="42692" spans="8:8" x14ac:dyDescent="0.3">
      <c r="H42692" t="str">
        <f t="shared" si="716"/>
        <v/>
      </c>
    </row>
    <row r="42693" spans="8:8" x14ac:dyDescent="0.3">
      <c r="H42693" t="str">
        <f t="shared" si="716"/>
        <v/>
      </c>
    </row>
    <row r="42694" spans="8:8" x14ac:dyDescent="0.3">
      <c r="H42694" t="str">
        <f t="shared" si="716"/>
        <v/>
      </c>
    </row>
    <row r="42695" spans="8:8" x14ac:dyDescent="0.3">
      <c r="H42695" t="str">
        <f t="shared" si="716"/>
        <v/>
      </c>
    </row>
    <row r="42696" spans="8:8" x14ac:dyDescent="0.3">
      <c r="H42696" t="str">
        <f t="shared" si="716"/>
        <v/>
      </c>
    </row>
    <row r="42697" spans="8:8" x14ac:dyDescent="0.3">
      <c r="H42697" t="str">
        <f t="shared" si="716"/>
        <v/>
      </c>
    </row>
    <row r="42698" spans="8:8" x14ac:dyDescent="0.3">
      <c r="H42698" t="str">
        <f t="shared" si="716"/>
        <v/>
      </c>
    </row>
    <row r="42699" spans="8:8" x14ac:dyDescent="0.3">
      <c r="H42699" t="str">
        <f t="shared" si="716"/>
        <v/>
      </c>
    </row>
    <row r="42700" spans="8:8" x14ac:dyDescent="0.3">
      <c r="H42700" t="str">
        <f t="shared" si="716"/>
        <v/>
      </c>
    </row>
    <row r="42701" spans="8:8" x14ac:dyDescent="0.3">
      <c r="H42701" t="str">
        <f t="shared" si="716"/>
        <v/>
      </c>
    </row>
    <row r="42702" spans="8:8" x14ac:dyDescent="0.3">
      <c r="H42702" t="str">
        <f t="shared" si="716"/>
        <v/>
      </c>
    </row>
    <row r="42703" spans="8:8" x14ac:dyDescent="0.3">
      <c r="H42703" t="str">
        <f t="shared" si="716"/>
        <v/>
      </c>
    </row>
    <row r="42704" spans="8:8" x14ac:dyDescent="0.3">
      <c r="H42704" t="str">
        <f t="shared" si="716"/>
        <v/>
      </c>
    </row>
    <row r="42705" spans="8:8" x14ac:dyDescent="0.3">
      <c r="H42705" t="str">
        <f t="shared" si="716"/>
        <v/>
      </c>
    </row>
    <row r="42706" spans="8:8" x14ac:dyDescent="0.3">
      <c r="H42706" t="str">
        <f t="shared" si="716"/>
        <v/>
      </c>
    </row>
    <row r="42707" spans="8:8" x14ac:dyDescent="0.3">
      <c r="H42707" t="str">
        <f t="shared" si="716"/>
        <v/>
      </c>
    </row>
    <row r="42708" spans="8:8" x14ac:dyDescent="0.3">
      <c r="H42708" t="str">
        <f t="shared" si="716"/>
        <v/>
      </c>
    </row>
    <row r="42709" spans="8:8" x14ac:dyDescent="0.3">
      <c r="H42709" t="str">
        <f t="shared" si="716"/>
        <v/>
      </c>
    </row>
    <row r="42710" spans="8:8" x14ac:dyDescent="0.3">
      <c r="H42710" t="str">
        <f t="shared" si="716"/>
        <v/>
      </c>
    </row>
    <row r="42711" spans="8:8" x14ac:dyDescent="0.3">
      <c r="H42711" t="str">
        <f t="shared" ref="H42711:H42774" si="717">IF(B42711="","",$C$12)</f>
        <v/>
      </c>
    </row>
    <row r="42712" spans="8:8" x14ac:dyDescent="0.3">
      <c r="H42712" t="str">
        <f t="shared" si="717"/>
        <v/>
      </c>
    </row>
    <row r="42713" spans="8:8" x14ac:dyDescent="0.3">
      <c r="H42713" t="str">
        <f t="shared" si="717"/>
        <v/>
      </c>
    </row>
    <row r="42714" spans="8:8" x14ac:dyDescent="0.3">
      <c r="H42714" t="str">
        <f t="shared" si="717"/>
        <v/>
      </c>
    </row>
    <row r="42715" spans="8:8" x14ac:dyDescent="0.3">
      <c r="H42715" t="str">
        <f t="shared" si="717"/>
        <v/>
      </c>
    </row>
    <row r="42716" spans="8:8" x14ac:dyDescent="0.3">
      <c r="H42716" t="str">
        <f t="shared" si="717"/>
        <v/>
      </c>
    </row>
    <row r="42717" spans="8:8" x14ac:dyDescent="0.3">
      <c r="H42717" t="str">
        <f t="shared" si="717"/>
        <v/>
      </c>
    </row>
    <row r="42718" spans="8:8" x14ac:dyDescent="0.3">
      <c r="H42718" t="str">
        <f t="shared" si="717"/>
        <v/>
      </c>
    </row>
    <row r="42719" spans="8:8" x14ac:dyDescent="0.3">
      <c r="H42719" t="str">
        <f t="shared" si="717"/>
        <v/>
      </c>
    </row>
    <row r="42720" spans="8:8" x14ac:dyDescent="0.3">
      <c r="H42720" t="str">
        <f t="shared" si="717"/>
        <v/>
      </c>
    </row>
    <row r="42721" spans="8:8" x14ac:dyDescent="0.3">
      <c r="H42721" t="str">
        <f t="shared" si="717"/>
        <v/>
      </c>
    </row>
    <row r="42722" spans="8:8" x14ac:dyDescent="0.3">
      <c r="H42722" t="str">
        <f t="shared" si="717"/>
        <v/>
      </c>
    </row>
    <row r="42723" spans="8:8" x14ac:dyDescent="0.3">
      <c r="H42723" t="str">
        <f t="shared" si="717"/>
        <v/>
      </c>
    </row>
    <row r="42724" spans="8:8" x14ac:dyDescent="0.3">
      <c r="H42724" t="str">
        <f t="shared" si="717"/>
        <v/>
      </c>
    </row>
    <row r="42725" spans="8:8" x14ac:dyDescent="0.3">
      <c r="H42725" t="str">
        <f t="shared" si="717"/>
        <v/>
      </c>
    </row>
    <row r="42726" spans="8:8" x14ac:dyDescent="0.3">
      <c r="H42726" t="str">
        <f t="shared" si="717"/>
        <v/>
      </c>
    </row>
    <row r="42727" spans="8:8" x14ac:dyDescent="0.3">
      <c r="H42727" t="str">
        <f t="shared" si="717"/>
        <v/>
      </c>
    </row>
    <row r="42728" spans="8:8" x14ac:dyDescent="0.3">
      <c r="H42728" t="str">
        <f t="shared" si="717"/>
        <v/>
      </c>
    </row>
    <row r="42729" spans="8:8" x14ac:dyDescent="0.3">
      <c r="H42729" t="str">
        <f t="shared" si="717"/>
        <v/>
      </c>
    </row>
    <row r="42730" spans="8:8" x14ac:dyDescent="0.3">
      <c r="H42730" t="str">
        <f t="shared" si="717"/>
        <v/>
      </c>
    </row>
    <row r="42731" spans="8:8" x14ac:dyDescent="0.3">
      <c r="H42731" t="str">
        <f t="shared" si="717"/>
        <v/>
      </c>
    </row>
    <row r="42732" spans="8:8" x14ac:dyDescent="0.3">
      <c r="H42732" t="str">
        <f t="shared" si="717"/>
        <v/>
      </c>
    </row>
    <row r="42733" spans="8:8" x14ac:dyDescent="0.3">
      <c r="H42733" t="str">
        <f t="shared" si="717"/>
        <v/>
      </c>
    </row>
    <row r="42734" spans="8:8" x14ac:dyDescent="0.3">
      <c r="H42734" t="str">
        <f t="shared" si="717"/>
        <v/>
      </c>
    </row>
    <row r="42735" spans="8:8" x14ac:dyDescent="0.3">
      <c r="H42735" t="str">
        <f t="shared" si="717"/>
        <v/>
      </c>
    </row>
    <row r="42736" spans="8:8" x14ac:dyDescent="0.3">
      <c r="H42736" t="str">
        <f t="shared" si="717"/>
        <v/>
      </c>
    </row>
    <row r="42737" spans="8:8" x14ac:dyDescent="0.3">
      <c r="H42737" t="str">
        <f t="shared" si="717"/>
        <v/>
      </c>
    </row>
    <row r="42738" spans="8:8" x14ac:dyDescent="0.3">
      <c r="H42738" t="str">
        <f t="shared" si="717"/>
        <v/>
      </c>
    </row>
    <row r="42739" spans="8:8" x14ac:dyDescent="0.3">
      <c r="H42739" t="str">
        <f t="shared" si="717"/>
        <v/>
      </c>
    </row>
    <row r="42740" spans="8:8" x14ac:dyDescent="0.3">
      <c r="H42740" t="str">
        <f t="shared" si="717"/>
        <v/>
      </c>
    </row>
    <row r="42741" spans="8:8" x14ac:dyDescent="0.3">
      <c r="H42741" t="str">
        <f t="shared" si="717"/>
        <v/>
      </c>
    </row>
    <row r="42742" spans="8:8" x14ac:dyDescent="0.3">
      <c r="H42742" t="str">
        <f t="shared" si="717"/>
        <v/>
      </c>
    </row>
    <row r="42743" spans="8:8" x14ac:dyDescent="0.3">
      <c r="H42743" t="str">
        <f t="shared" si="717"/>
        <v/>
      </c>
    </row>
    <row r="42744" spans="8:8" x14ac:dyDescent="0.3">
      <c r="H42744" t="str">
        <f t="shared" si="717"/>
        <v/>
      </c>
    </row>
    <row r="42745" spans="8:8" x14ac:dyDescent="0.3">
      <c r="H42745" t="str">
        <f t="shared" si="717"/>
        <v/>
      </c>
    </row>
    <row r="42746" spans="8:8" x14ac:dyDescent="0.3">
      <c r="H42746" t="str">
        <f t="shared" si="717"/>
        <v/>
      </c>
    </row>
    <row r="42747" spans="8:8" x14ac:dyDescent="0.3">
      <c r="H42747" t="str">
        <f t="shared" si="717"/>
        <v/>
      </c>
    </row>
    <row r="42748" spans="8:8" x14ac:dyDescent="0.3">
      <c r="H42748" t="str">
        <f t="shared" si="717"/>
        <v/>
      </c>
    </row>
    <row r="42749" spans="8:8" x14ac:dyDescent="0.3">
      <c r="H42749" t="str">
        <f t="shared" si="717"/>
        <v/>
      </c>
    </row>
    <row r="42750" spans="8:8" x14ac:dyDescent="0.3">
      <c r="H42750" t="str">
        <f t="shared" si="717"/>
        <v/>
      </c>
    </row>
    <row r="42751" spans="8:8" x14ac:dyDescent="0.3">
      <c r="H42751" t="str">
        <f t="shared" si="717"/>
        <v/>
      </c>
    </row>
    <row r="42752" spans="8:8" x14ac:dyDescent="0.3">
      <c r="H42752" t="str">
        <f t="shared" si="717"/>
        <v/>
      </c>
    </row>
    <row r="42753" spans="8:8" x14ac:dyDescent="0.3">
      <c r="H42753" t="str">
        <f t="shared" si="717"/>
        <v/>
      </c>
    </row>
    <row r="42754" spans="8:8" x14ac:dyDescent="0.3">
      <c r="H42754" t="str">
        <f t="shared" si="717"/>
        <v/>
      </c>
    </row>
    <row r="42755" spans="8:8" x14ac:dyDescent="0.3">
      <c r="H42755" t="str">
        <f t="shared" si="717"/>
        <v/>
      </c>
    </row>
    <row r="42756" spans="8:8" x14ac:dyDescent="0.3">
      <c r="H42756" t="str">
        <f t="shared" si="717"/>
        <v/>
      </c>
    </row>
    <row r="42757" spans="8:8" x14ac:dyDescent="0.3">
      <c r="H42757" t="str">
        <f t="shared" si="717"/>
        <v/>
      </c>
    </row>
    <row r="42758" spans="8:8" x14ac:dyDescent="0.3">
      <c r="H42758" t="str">
        <f t="shared" si="717"/>
        <v/>
      </c>
    </row>
    <row r="42759" spans="8:8" x14ac:dyDescent="0.3">
      <c r="H42759" t="str">
        <f t="shared" si="717"/>
        <v/>
      </c>
    </row>
    <row r="42760" spans="8:8" x14ac:dyDescent="0.3">
      <c r="H42760" t="str">
        <f t="shared" si="717"/>
        <v/>
      </c>
    </row>
    <row r="42761" spans="8:8" x14ac:dyDescent="0.3">
      <c r="H42761" t="str">
        <f t="shared" si="717"/>
        <v/>
      </c>
    </row>
    <row r="42762" spans="8:8" x14ac:dyDescent="0.3">
      <c r="H42762" t="str">
        <f t="shared" si="717"/>
        <v/>
      </c>
    </row>
    <row r="42763" spans="8:8" x14ac:dyDescent="0.3">
      <c r="H42763" t="str">
        <f t="shared" si="717"/>
        <v/>
      </c>
    </row>
    <row r="42764" spans="8:8" x14ac:dyDescent="0.3">
      <c r="H42764" t="str">
        <f t="shared" si="717"/>
        <v/>
      </c>
    </row>
    <row r="42765" spans="8:8" x14ac:dyDescent="0.3">
      <c r="H42765" t="str">
        <f t="shared" si="717"/>
        <v/>
      </c>
    </row>
    <row r="42766" spans="8:8" x14ac:dyDescent="0.3">
      <c r="H42766" t="str">
        <f t="shared" si="717"/>
        <v/>
      </c>
    </row>
    <row r="42767" spans="8:8" x14ac:dyDescent="0.3">
      <c r="H42767" t="str">
        <f t="shared" si="717"/>
        <v/>
      </c>
    </row>
    <row r="42768" spans="8:8" x14ac:dyDescent="0.3">
      <c r="H42768" t="str">
        <f t="shared" si="717"/>
        <v/>
      </c>
    </row>
    <row r="42769" spans="8:8" x14ac:dyDescent="0.3">
      <c r="H42769" t="str">
        <f t="shared" si="717"/>
        <v/>
      </c>
    </row>
    <row r="42770" spans="8:8" x14ac:dyDescent="0.3">
      <c r="H42770" t="str">
        <f t="shared" si="717"/>
        <v/>
      </c>
    </row>
    <row r="42771" spans="8:8" x14ac:dyDescent="0.3">
      <c r="H42771" t="str">
        <f t="shared" si="717"/>
        <v/>
      </c>
    </row>
    <row r="42772" spans="8:8" x14ac:dyDescent="0.3">
      <c r="H42772" t="str">
        <f t="shared" si="717"/>
        <v/>
      </c>
    </row>
    <row r="42773" spans="8:8" x14ac:dyDescent="0.3">
      <c r="H42773" t="str">
        <f t="shared" si="717"/>
        <v/>
      </c>
    </row>
    <row r="42774" spans="8:8" x14ac:dyDescent="0.3">
      <c r="H42774" t="str">
        <f t="shared" si="717"/>
        <v/>
      </c>
    </row>
    <row r="42775" spans="8:8" x14ac:dyDescent="0.3">
      <c r="H42775" t="str">
        <f t="shared" ref="H42775:H42838" si="718">IF(B42775="","",$C$12)</f>
        <v/>
      </c>
    </row>
    <row r="42776" spans="8:8" x14ac:dyDescent="0.3">
      <c r="H42776" t="str">
        <f t="shared" si="718"/>
        <v/>
      </c>
    </row>
    <row r="42777" spans="8:8" x14ac:dyDescent="0.3">
      <c r="H42777" t="str">
        <f t="shared" si="718"/>
        <v/>
      </c>
    </row>
    <row r="42778" spans="8:8" x14ac:dyDescent="0.3">
      <c r="H42778" t="str">
        <f t="shared" si="718"/>
        <v/>
      </c>
    </row>
    <row r="42779" spans="8:8" x14ac:dyDescent="0.3">
      <c r="H42779" t="str">
        <f t="shared" si="718"/>
        <v/>
      </c>
    </row>
    <row r="42780" spans="8:8" x14ac:dyDescent="0.3">
      <c r="H42780" t="str">
        <f t="shared" si="718"/>
        <v/>
      </c>
    </row>
    <row r="42781" spans="8:8" x14ac:dyDescent="0.3">
      <c r="H42781" t="str">
        <f t="shared" si="718"/>
        <v/>
      </c>
    </row>
    <row r="42782" spans="8:8" x14ac:dyDescent="0.3">
      <c r="H42782" t="str">
        <f t="shared" si="718"/>
        <v/>
      </c>
    </row>
    <row r="42783" spans="8:8" x14ac:dyDescent="0.3">
      <c r="H42783" t="str">
        <f t="shared" si="718"/>
        <v/>
      </c>
    </row>
    <row r="42784" spans="8:8" x14ac:dyDescent="0.3">
      <c r="H42784" t="str">
        <f t="shared" si="718"/>
        <v/>
      </c>
    </row>
    <row r="42785" spans="8:8" x14ac:dyDescent="0.3">
      <c r="H42785" t="str">
        <f t="shared" si="718"/>
        <v/>
      </c>
    </row>
    <row r="42786" spans="8:8" x14ac:dyDescent="0.3">
      <c r="H42786" t="str">
        <f t="shared" si="718"/>
        <v/>
      </c>
    </row>
    <row r="42787" spans="8:8" x14ac:dyDescent="0.3">
      <c r="H42787" t="str">
        <f t="shared" si="718"/>
        <v/>
      </c>
    </row>
    <row r="42788" spans="8:8" x14ac:dyDescent="0.3">
      <c r="H42788" t="str">
        <f t="shared" si="718"/>
        <v/>
      </c>
    </row>
    <row r="42789" spans="8:8" x14ac:dyDescent="0.3">
      <c r="H42789" t="str">
        <f t="shared" si="718"/>
        <v/>
      </c>
    </row>
    <row r="42790" spans="8:8" x14ac:dyDescent="0.3">
      <c r="H42790" t="str">
        <f t="shared" si="718"/>
        <v/>
      </c>
    </row>
    <row r="42791" spans="8:8" x14ac:dyDescent="0.3">
      <c r="H42791" t="str">
        <f t="shared" si="718"/>
        <v/>
      </c>
    </row>
    <row r="42792" spans="8:8" x14ac:dyDescent="0.3">
      <c r="H42792" t="str">
        <f t="shared" si="718"/>
        <v/>
      </c>
    </row>
    <row r="42793" spans="8:8" x14ac:dyDescent="0.3">
      <c r="H42793" t="str">
        <f t="shared" si="718"/>
        <v/>
      </c>
    </row>
    <row r="42794" spans="8:8" x14ac:dyDescent="0.3">
      <c r="H42794" t="str">
        <f t="shared" si="718"/>
        <v/>
      </c>
    </row>
    <row r="42795" spans="8:8" x14ac:dyDescent="0.3">
      <c r="H42795" t="str">
        <f t="shared" si="718"/>
        <v/>
      </c>
    </row>
    <row r="42796" spans="8:8" x14ac:dyDescent="0.3">
      <c r="H42796" t="str">
        <f t="shared" si="718"/>
        <v/>
      </c>
    </row>
    <row r="42797" spans="8:8" x14ac:dyDescent="0.3">
      <c r="H42797" t="str">
        <f t="shared" si="718"/>
        <v/>
      </c>
    </row>
    <row r="42798" spans="8:8" x14ac:dyDescent="0.3">
      <c r="H42798" t="str">
        <f t="shared" si="718"/>
        <v/>
      </c>
    </row>
    <row r="42799" spans="8:8" x14ac:dyDescent="0.3">
      <c r="H42799" t="str">
        <f t="shared" si="718"/>
        <v/>
      </c>
    </row>
    <row r="42800" spans="8:8" x14ac:dyDescent="0.3">
      <c r="H42800" t="str">
        <f t="shared" si="718"/>
        <v/>
      </c>
    </row>
    <row r="42801" spans="8:8" x14ac:dyDescent="0.3">
      <c r="H42801" t="str">
        <f t="shared" si="718"/>
        <v/>
      </c>
    </row>
    <row r="42802" spans="8:8" x14ac:dyDescent="0.3">
      <c r="H42802" t="str">
        <f t="shared" si="718"/>
        <v/>
      </c>
    </row>
    <row r="42803" spans="8:8" x14ac:dyDescent="0.3">
      <c r="H42803" t="str">
        <f t="shared" si="718"/>
        <v/>
      </c>
    </row>
    <row r="42804" spans="8:8" x14ac:dyDescent="0.3">
      <c r="H42804" t="str">
        <f t="shared" si="718"/>
        <v/>
      </c>
    </row>
    <row r="42805" spans="8:8" x14ac:dyDescent="0.3">
      <c r="H42805" t="str">
        <f t="shared" si="718"/>
        <v/>
      </c>
    </row>
    <row r="42806" spans="8:8" x14ac:dyDescent="0.3">
      <c r="H42806" t="str">
        <f t="shared" si="718"/>
        <v/>
      </c>
    </row>
    <row r="42807" spans="8:8" x14ac:dyDescent="0.3">
      <c r="H42807" t="str">
        <f t="shared" si="718"/>
        <v/>
      </c>
    </row>
    <row r="42808" spans="8:8" x14ac:dyDescent="0.3">
      <c r="H42808" t="str">
        <f t="shared" si="718"/>
        <v/>
      </c>
    </row>
    <row r="42809" spans="8:8" x14ac:dyDescent="0.3">
      <c r="H42809" t="str">
        <f t="shared" si="718"/>
        <v/>
      </c>
    </row>
    <row r="42810" spans="8:8" x14ac:dyDescent="0.3">
      <c r="H42810" t="str">
        <f t="shared" si="718"/>
        <v/>
      </c>
    </row>
    <row r="42811" spans="8:8" x14ac:dyDescent="0.3">
      <c r="H42811" t="str">
        <f t="shared" si="718"/>
        <v/>
      </c>
    </row>
    <row r="42812" spans="8:8" x14ac:dyDescent="0.3">
      <c r="H42812" t="str">
        <f t="shared" si="718"/>
        <v/>
      </c>
    </row>
    <row r="42813" spans="8:8" x14ac:dyDescent="0.3">
      <c r="H42813" t="str">
        <f t="shared" si="718"/>
        <v/>
      </c>
    </row>
    <row r="42814" spans="8:8" x14ac:dyDescent="0.3">
      <c r="H42814" t="str">
        <f t="shared" si="718"/>
        <v/>
      </c>
    </row>
    <row r="42815" spans="8:8" x14ac:dyDescent="0.3">
      <c r="H42815" t="str">
        <f t="shared" si="718"/>
        <v/>
      </c>
    </row>
    <row r="42816" spans="8:8" x14ac:dyDescent="0.3">
      <c r="H42816" t="str">
        <f t="shared" si="718"/>
        <v/>
      </c>
    </row>
    <row r="42817" spans="8:8" x14ac:dyDescent="0.3">
      <c r="H42817" t="str">
        <f t="shared" si="718"/>
        <v/>
      </c>
    </row>
    <row r="42818" spans="8:8" x14ac:dyDescent="0.3">
      <c r="H42818" t="str">
        <f t="shared" si="718"/>
        <v/>
      </c>
    </row>
    <row r="42819" spans="8:8" x14ac:dyDescent="0.3">
      <c r="H42819" t="str">
        <f t="shared" si="718"/>
        <v/>
      </c>
    </row>
    <row r="42820" spans="8:8" x14ac:dyDescent="0.3">
      <c r="H42820" t="str">
        <f t="shared" si="718"/>
        <v/>
      </c>
    </row>
    <row r="42821" spans="8:8" x14ac:dyDescent="0.3">
      <c r="H42821" t="str">
        <f t="shared" si="718"/>
        <v/>
      </c>
    </row>
    <row r="42822" spans="8:8" x14ac:dyDescent="0.3">
      <c r="H42822" t="str">
        <f t="shared" si="718"/>
        <v/>
      </c>
    </row>
    <row r="42823" spans="8:8" x14ac:dyDescent="0.3">
      <c r="H42823" t="str">
        <f t="shared" si="718"/>
        <v/>
      </c>
    </row>
    <row r="42824" spans="8:8" x14ac:dyDescent="0.3">
      <c r="H42824" t="str">
        <f t="shared" si="718"/>
        <v/>
      </c>
    </row>
    <row r="42825" spans="8:8" x14ac:dyDescent="0.3">
      <c r="H42825" t="str">
        <f t="shared" si="718"/>
        <v/>
      </c>
    </row>
    <row r="42826" spans="8:8" x14ac:dyDescent="0.3">
      <c r="H42826" t="str">
        <f t="shared" si="718"/>
        <v/>
      </c>
    </row>
    <row r="42827" spans="8:8" x14ac:dyDescent="0.3">
      <c r="H42827" t="str">
        <f t="shared" si="718"/>
        <v/>
      </c>
    </row>
    <row r="42828" spans="8:8" x14ac:dyDescent="0.3">
      <c r="H42828" t="str">
        <f t="shared" si="718"/>
        <v/>
      </c>
    </row>
    <row r="42829" spans="8:8" x14ac:dyDescent="0.3">
      <c r="H42829" t="str">
        <f t="shared" si="718"/>
        <v/>
      </c>
    </row>
    <row r="42830" spans="8:8" x14ac:dyDescent="0.3">
      <c r="H42830" t="str">
        <f t="shared" si="718"/>
        <v/>
      </c>
    </row>
    <row r="42831" spans="8:8" x14ac:dyDescent="0.3">
      <c r="H42831" t="str">
        <f t="shared" si="718"/>
        <v/>
      </c>
    </row>
    <row r="42832" spans="8:8" x14ac:dyDescent="0.3">
      <c r="H42832" t="str">
        <f t="shared" si="718"/>
        <v/>
      </c>
    </row>
    <row r="42833" spans="8:8" x14ac:dyDescent="0.3">
      <c r="H42833" t="str">
        <f t="shared" si="718"/>
        <v/>
      </c>
    </row>
    <row r="42834" spans="8:8" x14ac:dyDescent="0.3">
      <c r="H42834" t="str">
        <f t="shared" si="718"/>
        <v/>
      </c>
    </row>
    <row r="42835" spans="8:8" x14ac:dyDescent="0.3">
      <c r="H42835" t="str">
        <f t="shared" si="718"/>
        <v/>
      </c>
    </row>
    <row r="42836" spans="8:8" x14ac:dyDescent="0.3">
      <c r="H42836" t="str">
        <f t="shared" si="718"/>
        <v/>
      </c>
    </row>
    <row r="42837" spans="8:8" x14ac:dyDescent="0.3">
      <c r="H42837" t="str">
        <f t="shared" si="718"/>
        <v/>
      </c>
    </row>
    <row r="42838" spans="8:8" x14ac:dyDescent="0.3">
      <c r="H42838" t="str">
        <f t="shared" si="718"/>
        <v/>
      </c>
    </row>
    <row r="42839" spans="8:8" x14ac:dyDescent="0.3">
      <c r="H42839" t="str">
        <f t="shared" ref="H42839:H42902" si="719">IF(B42839="","",$C$12)</f>
        <v/>
      </c>
    </row>
    <row r="42840" spans="8:8" x14ac:dyDescent="0.3">
      <c r="H42840" t="str">
        <f t="shared" si="719"/>
        <v/>
      </c>
    </row>
    <row r="42841" spans="8:8" x14ac:dyDescent="0.3">
      <c r="H42841" t="str">
        <f t="shared" si="719"/>
        <v/>
      </c>
    </row>
    <row r="42842" spans="8:8" x14ac:dyDescent="0.3">
      <c r="H42842" t="str">
        <f t="shared" si="719"/>
        <v/>
      </c>
    </row>
    <row r="42843" spans="8:8" x14ac:dyDescent="0.3">
      <c r="H42843" t="str">
        <f t="shared" si="719"/>
        <v/>
      </c>
    </row>
    <row r="42844" spans="8:8" x14ac:dyDescent="0.3">
      <c r="H42844" t="str">
        <f t="shared" si="719"/>
        <v/>
      </c>
    </row>
    <row r="42845" spans="8:8" x14ac:dyDescent="0.3">
      <c r="H42845" t="str">
        <f t="shared" si="719"/>
        <v/>
      </c>
    </row>
    <row r="42846" spans="8:8" x14ac:dyDescent="0.3">
      <c r="H42846" t="str">
        <f t="shared" si="719"/>
        <v/>
      </c>
    </row>
    <row r="42847" spans="8:8" x14ac:dyDescent="0.3">
      <c r="H42847" t="str">
        <f t="shared" si="719"/>
        <v/>
      </c>
    </row>
    <row r="42848" spans="8:8" x14ac:dyDescent="0.3">
      <c r="H42848" t="str">
        <f t="shared" si="719"/>
        <v/>
      </c>
    </row>
    <row r="42849" spans="8:8" x14ac:dyDescent="0.3">
      <c r="H42849" t="str">
        <f t="shared" si="719"/>
        <v/>
      </c>
    </row>
    <row r="42850" spans="8:8" x14ac:dyDescent="0.3">
      <c r="H42850" t="str">
        <f t="shared" si="719"/>
        <v/>
      </c>
    </row>
    <row r="42851" spans="8:8" x14ac:dyDescent="0.3">
      <c r="H42851" t="str">
        <f t="shared" si="719"/>
        <v/>
      </c>
    </row>
    <row r="42852" spans="8:8" x14ac:dyDescent="0.3">
      <c r="H42852" t="str">
        <f t="shared" si="719"/>
        <v/>
      </c>
    </row>
    <row r="42853" spans="8:8" x14ac:dyDescent="0.3">
      <c r="H42853" t="str">
        <f t="shared" si="719"/>
        <v/>
      </c>
    </row>
    <row r="42854" spans="8:8" x14ac:dyDescent="0.3">
      <c r="H42854" t="str">
        <f t="shared" si="719"/>
        <v/>
      </c>
    </row>
    <row r="42855" spans="8:8" x14ac:dyDescent="0.3">
      <c r="H42855" t="str">
        <f t="shared" si="719"/>
        <v/>
      </c>
    </row>
    <row r="42856" spans="8:8" x14ac:dyDescent="0.3">
      <c r="H42856" t="str">
        <f t="shared" si="719"/>
        <v/>
      </c>
    </row>
    <row r="42857" spans="8:8" x14ac:dyDescent="0.3">
      <c r="H42857" t="str">
        <f t="shared" si="719"/>
        <v/>
      </c>
    </row>
    <row r="42858" spans="8:8" x14ac:dyDescent="0.3">
      <c r="H42858" t="str">
        <f t="shared" si="719"/>
        <v/>
      </c>
    </row>
    <row r="42859" spans="8:8" x14ac:dyDescent="0.3">
      <c r="H42859" t="str">
        <f t="shared" si="719"/>
        <v/>
      </c>
    </row>
    <row r="42860" spans="8:8" x14ac:dyDescent="0.3">
      <c r="H42860" t="str">
        <f t="shared" si="719"/>
        <v/>
      </c>
    </row>
    <row r="42861" spans="8:8" x14ac:dyDescent="0.3">
      <c r="H42861" t="str">
        <f t="shared" si="719"/>
        <v/>
      </c>
    </row>
    <row r="42862" spans="8:8" x14ac:dyDescent="0.3">
      <c r="H42862" t="str">
        <f t="shared" si="719"/>
        <v/>
      </c>
    </row>
    <row r="42863" spans="8:8" x14ac:dyDescent="0.3">
      <c r="H42863" t="str">
        <f t="shared" si="719"/>
        <v/>
      </c>
    </row>
    <row r="42864" spans="8:8" x14ac:dyDescent="0.3">
      <c r="H42864" t="str">
        <f t="shared" si="719"/>
        <v/>
      </c>
    </row>
    <row r="42865" spans="8:8" x14ac:dyDescent="0.3">
      <c r="H42865" t="str">
        <f t="shared" si="719"/>
        <v/>
      </c>
    </row>
    <row r="42866" spans="8:8" x14ac:dyDescent="0.3">
      <c r="H42866" t="str">
        <f t="shared" si="719"/>
        <v/>
      </c>
    </row>
    <row r="42867" spans="8:8" x14ac:dyDescent="0.3">
      <c r="H42867" t="str">
        <f t="shared" si="719"/>
        <v/>
      </c>
    </row>
    <row r="42868" spans="8:8" x14ac:dyDescent="0.3">
      <c r="H42868" t="str">
        <f t="shared" si="719"/>
        <v/>
      </c>
    </row>
    <row r="42869" spans="8:8" x14ac:dyDescent="0.3">
      <c r="H42869" t="str">
        <f t="shared" si="719"/>
        <v/>
      </c>
    </row>
    <row r="42870" spans="8:8" x14ac:dyDescent="0.3">
      <c r="H42870" t="str">
        <f t="shared" si="719"/>
        <v/>
      </c>
    </row>
    <row r="42871" spans="8:8" x14ac:dyDescent="0.3">
      <c r="H42871" t="str">
        <f t="shared" si="719"/>
        <v/>
      </c>
    </row>
    <row r="42872" spans="8:8" x14ac:dyDescent="0.3">
      <c r="H42872" t="str">
        <f t="shared" si="719"/>
        <v/>
      </c>
    </row>
    <row r="42873" spans="8:8" x14ac:dyDescent="0.3">
      <c r="H42873" t="str">
        <f t="shared" si="719"/>
        <v/>
      </c>
    </row>
    <row r="42874" spans="8:8" x14ac:dyDescent="0.3">
      <c r="H42874" t="str">
        <f t="shared" si="719"/>
        <v/>
      </c>
    </row>
    <row r="42875" spans="8:8" x14ac:dyDescent="0.3">
      <c r="H42875" t="str">
        <f t="shared" si="719"/>
        <v/>
      </c>
    </row>
    <row r="42876" spans="8:8" x14ac:dyDescent="0.3">
      <c r="H42876" t="str">
        <f t="shared" si="719"/>
        <v/>
      </c>
    </row>
    <row r="42877" spans="8:8" x14ac:dyDescent="0.3">
      <c r="H42877" t="str">
        <f t="shared" si="719"/>
        <v/>
      </c>
    </row>
    <row r="42878" spans="8:8" x14ac:dyDescent="0.3">
      <c r="H42878" t="str">
        <f t="shared" si="719"/>
        <v/>
      </c>
    </row>
    <row r="42879" spans="8:8" x14ac:dyDescent="0.3">
      <c r="H42879" t="str">
        <f t="shared" si="719"/>
        <v/>
      </c>
    </row>
    <row r="42880" spans="8:8" x14ac:dyDescent="0.3">
      <c r="H42880" t="str">
        <f t="shared" si="719"/>
        <v/>
      </c>
    </row>
    <row r="42881" spans="8:8" x14ac:dyDescent="0.3">
      <c r="H42881" t="str">
        <f t="shared" si="719"/>
        <v/>
      </c>
    </row>
    <row r="42882" spans="8:8" x14ac:dyDescent="0.3">
      <c r="H42882" t="str">
        <f t="shared" si="719"/>
        <v/>
      </c>
    </row>
    <row r="42883" spans="8:8" x14ac:dyDescent="0.3">
      <c r="H42883" t="str">
        <f t="shared" si="719"/>
        <v/>
      </c>
    </row>
    <row r="42884" spans="8:8" x14ac:dyDescent="0.3">
      <c r="H42884" t="str">
        <f t="shared" si="719"/>
        <v/>
      </c>
    </row>
    <row r="42885" spans="8:8" x14ac:dyDescent="0.3">
      <c r="H42885" t="str">
        <f t="shared" si="719"/>
        <v/>
      </c>
    </row>
    <row r="42886" spans="8:8" x14ac:dyDescent="0.3">
      <c r="H42886" t="str">
        <f t="shared" si="719"/>
        <v/>
      </c>
    </row>
    <row r="42887" spans="8:8" x14ac:dyDescent="0.3">
      <c r="H42887" t="str">
        <f t="shared" si="719"/>
        <v/>
      </c>
    </row>
    <row r="42888" spans="8:8" x14ac:dyDescent="0.3">
      <c r="H42888" t="str">
        <f t="shared" si="719"/>
        <v/>
      </c>
    </row>
    <row r="42889" spans="8:8" x14ac:dyDescent="0.3">
      <c r="H42889" t="str">
        <f t="shared" si="719"/>
        <v/>
      </c>
    </row>
    <row r="42890" spans="8:8" x14ac:dyDescent="0.3">
      <c r="H42890" t="str">
        <f t="shared" si="719"/>
        <v/>
      </c>
    </row>
    <row r="42891" spans="8:8" x14ac:dyDescent="0.3">
      <c r="H42891" t="str">
        <f t="shared" si="719"/>
        <v/>
      </c>
    </row>
    <row r="42892" spans="8:8" x14ac:dyDescent="0.3">
      <c r="H42892" t="str">
        <f t="shared" si="719"/>
        <v/>
      </c>
    </row>
    <row r="42893" spans="8:8" x14ac:dyDescent="0.3">
      <c r="H42893" t="str">
        <f t="shared" si="719"/>
        <v/>
      </c>
    </row>
    <row r="42894" spans="8:8" x14ac:dyDescent="0.3">
      <c r="H42894" t="str">
        <f t="shared" si="719"/>
        <v/>
      </c>
    </row>
    <row r="42895" spans="8:8" x14ac:dyDescent="0.3">
      <c r="H42895" t="str">
        <f t="shared" si="719"/>
        <v/>
      </c>
    </row>
    <row r="42896" spans="8:8" x14ac:dyDescent="0.3">
      <c r="H42896" t="str">
        <f t="shared" si="719"/>
        <v/>
      </c>
    </row>
    <row r="42897" spans="8:8" x14ac:dyDescent="0.3">
      <c r="H42897" t="str">
        <f t="shared" si="719"/>
        <v/>
      </c>
    </row>
    <row r="42898" spans="8:8" x14ac:dyDescent="0.3">
      <c r="H42898" t="str">
        <f t="shared" si="719"/>
        <v/>
      </c>
    </row>
    <row r="42899" spans="8:8" x14ac:dyDescent="0.3">
      <c r="H42899" t="str">
        <f t="shared" si="719"/>
        <v/>
      </c>
    </row>
    <row r="42900" spans="8:8" x14ac:dyDescent="0.3">
      <c r="H42900" t="str">
        <f t="shared" si="719"/>
        <v/>
      </c>
    </row>
    <row r="42901" spans="8:8" x14ac:dyDescent="0.3">
      <c r="H42901" t="str">
        <f t="shared" si="719"/>
        <v/>
      </c>
    </row>
    <row r="42902" spans="8:8" x14ac:dyDescent="0.3">
      <c r="H42902" t="str">
        <f t="shared" si="719"/>
        <v/>
      </c>
    </row>
    <row r="42903" spans="8:8" x14ac:dyDescent="0.3">
      <c r="H42903" t="str">
        <f t="shared" ref="H42903:H42966" si="720">IF(B42903="","",$C$12)</f>
        <v/>
      </c>
    </row>
    <row r="42904" spans="8:8" x14ac:dyDescent="0.3">
      <c r="H42904" t="str">
        <f t="shared" si="720"/>
        <v/>
      </c>
    </row>
    <row r="42905" spans="8:8" x14ac:dyDescent="0.3">
      <c r="H42905" t="str">
        <f t="shared" si="720"/>
        <v/>
      </c>
    </row>
    <row r="42906" spans="8:8" x14ac:dyDescent="0.3">
      <c r="H42906" t="str">
        <f t="shared" si="720"/>
        <v/>
      </c>
    </row>
    <row r="42907" spans="8:8" x14ac:dyDescent="0.3">
      <c r="H42907" t="str">
        <f t="shared" si="720"/>
        <v/>
      </c>
    </row>
    <row r="42908" spans="8:8" x14ac:dyDescent="0.3">
      <c r="H42908" t="str">
        <f t="shared" si="720"/>
        <v/>
      </c>
    </row>
    <row r="42909" spans="8:8" x14ac:dyDescent="0.3">
      <c r="H42909" t="str">
        <f t="shared" si="720"/>
        <v/>
      </c>
    </row>
    <row r="42910" spans="8:8" x14ac:dyDescent="0.3">
      <c r="H42910" t="str">
        <f t="shared" si="720"/>
        <v/>
      </c>
    </row>
    <row r="42911" spans="8:8" x14ac:dyDescent="0.3">
      <c r="H42911" t="str">
        <f t="shared" si="720"/>
        <v/>
      </c>
    </row>
    <row r="42912" spans="8:8" x14ac:dyDescent="0.3">
      <c r="H42912" t="str">
        <f t="shared" si="720"/>
        <v/>
      </c>
    </row>
    <row r="42913" spans="8:8" x14ac:dyDescent="0.3">
      <c r="H42913" t="str">
        <f t="shared" si="720"/>
        <v/>
      </c>
    </row>
    <row r="42914" spans="8:8" x14ac:dyDescent="0.3">
      <c r="H42914" t="str">
        <f t="shared" si="720"/>
        <v/>
      </c>
    </row>
    <row r="42915" spans="8:8" x14ac:dyDescent="0.3">
      <c r="H42915" t="str">
        <f t="shared" si="720"/>
        <v/>
      </c>
    </row>
    <row r="42916" spans="8:8" x14ac:dyDescent="0.3">
      <c r="H42916" t="str">
        <f t="shared" si="720"/>
        <v/>
      </c>
    </row>
    <row r="42917" spans="8:8" x14ac:dyDescent="0.3">
      <c r="H42917" t="str">
        <f t="shared" si="720"/>
        <v/>
      </c>
    </row>
    <row r="42918" spans="8:8" x14ac:dyDescent="0.3">
      <c r="H42918" t="str">
        <f t="shared" si="720"/>
        <v/>
      </c>
    </row>
    <row r="42919" spans="8:8" x14ac:dyDescent="0.3">
      <c r="H42919" t="str">
        <f t="shared" si="720"/>
        <v/>
      </c>
    </row>
    <row r="42920" spans="8:8" x14ac:dyDescent="0.3">
      <c r="H42920" t="str">
        <f t="shared" si="720"/>
        <v/>
      </c>
    </row>
    <row r="42921" spans="8:8" x14ac:dyDescent="0.3">
      <c r="H42921" t="str">
        <f t="shared" si="720"/>
        <v/>
      </c>
    </row>
    <row r="42922" spans="8:8" x14ac:dyDescent="0.3">
      <c r="H42922" t="str">
        <f t="shared" si="720"/>
        <v/>
      </c>
    </row>
    <row r="42923" spans="8:8" x14ac:dyDescent="0.3">
      <c r="H42923" t="str">
        <f t="shared" si="720"/>
        <v/>
      </c>
    </row>
    <row r="42924" spans="8:8" x14ac:dyDescent="0.3">
      <c r="H42924" t="str">
        <f t="shared" si="720"/>
        <v/>
      </c>
    </row>
    <row r="42925" spans="8:8" x14ac:dyDescent="0.3">
      <c r="H42925" t="str">
        <f t="shared" si="720"/>
        <v/>
      </c>
    </row>
    <row r="42926" spans="8:8" x14ac:dyDescent="0.3">
      <c r="H42926" t="str">
        <f t="shared" si="720"/>
        <v/>
      </c>
    </row>
    <row r="42927" spans="8:8" x14ac:dyDescent="0.3">
      <c r="H42927" t="str">
        <f t="shared" si="720"/>
        <v/>
      </c>
    </row>
    <row r="42928" spans="8:8" x14ac:dyDescent="0.3">
      <c r="H42928" t="str">
        <f t="shared" si="720"/>
        <v/>
      </c>
    </row>
    <row r="42929" spans="8:8" x14ac:dyDescent="0.3">
      <c r="H42929" t="str">
        <f t="shared" si="720"/>
        <v/>
      </c>
    </row>
    <row r="42930" spans="8:8" x14ac:dyDescent="0.3">
      <c r="H42930" t="str">
        <f t="shared" si="720"/>
        <v/>
      </c>
    </row>
    <row r="42931" spans="8:8" x14ac:dyDescent="0.3">
      <c r="H42931" t="str">
        <f t="shared" si="720"/>
        <v/>
      </c>
    </row>
    <row r="42932" spans="8:8" x14ac:dyDescent="0.3">
      <c r="H42932" t="str">
        <f t="shared" si="720"/>
        <v/>
      </c>
    </row>
    <row r="42933" spans="8:8" x14ac:dyDescent="0.3">
      <c r="H42933" t="str">
        <f t="shared" si="720"/>
        <v/>
      </c>
    </row>
    <row r="42934" spans="8:8" x14ac:dyDescent="0.3">
      <c r="H42934" t="str">
        <f t="shared" si="720"/>
        <v/>
      </c>
    </row>
    <row r="42935" spans="8:8" x14ac:dyDescent="0.3">
      <c r="H42935" t="str">
        <f t="shared" si="720"/>
        <v/>
      </c>
    </row>
    <row r="42936" spans="8:8" x14ac:dyDescent="0.3">
      <c r="H42936" t="str">
        <f t="shared" si="720"/>
        <v/>
      </c>
    </row>
    <row r="42937" spans="8:8" x14ac:dyDescent="0.3">
      <c r="H42937" t="str">
        <f t="shared" si="720"/>
        <v/>
      </c>
    </row>
    <row r="42938" spans="8:8" x14ac:dyDescent="0.3">
      <c r="H42938" t="str">
        <f t="shared" si="720"/>
        <v/>
      </c>
    </row>
    <row r="42939" spans="8:8" x14ac:dyDescent="0.3">
      <c r="H42939" t="str">
        <f t="shared" si="720"/>
        <v/>
      </c>
    </row>
    <row r="42940" spans="8:8" x14ac:dyDescent="0.3">
      <c r="H42940" t="str">
        <f t="shared" si="720"/>
        <v/>
      </c>
    </row>
    <row r="42941" spans="8:8" x14ac:dyDescent="0.3">
      <c r="H42941" t="str">
        <f t="shared" si="720"/>
        <v/>
      </c>
    </row>
    <row r="42942" spans="8:8" x14ac:dyDescent="0.3">
      <c r="H42942" t="str">
        <f t="shared" si="720"/>
        <v/>
      </c>
    </row>
    <row r="42943" spans="8:8" x14ac:dyDescent="0.3">
      <c r="H42943" t="str">
        <f t="shared" si="720"/>
        <v/>
      </c>
    </row>
    <row r="42944" spans="8:8" x14ac:dyDescent="0.3">
      <c r="H42944" t="str">
        <f t="shared" si="720"/>
        <v/>
      </c>
    </row>
    <row r="42945" spans="8:8" x14ac:dyDescent="0.3">
      <c r="H42945" t="str">
        <f t="shared" si="720"/>
        <v/>
      </c>
    </row>
    <row r="42946" spans="8:8" x14ac:dyDescent="0.3">
      <c r="H42946" t="str">
        <f t="shared" si="720"/>
        <v/>
      </c>
    </row>
    <row r="42947" spans="8:8" x14ac:dyDescent="0.3">
      <c r="H42947" t="str">
        <f t="shared" si="720"/>
        <v/>
      </c>
    </row>
    <row r="42948" spans="8:8" x14ac:dyDescent="0.3">
      <c r="H42948" t="str">
        <f t="shared" si="720"/>
        <v/>
      </c>
    </row>
    <row r="42949" spans="8:8" x14ac:dyDescent="0.3">
      <c r="H42949" t="str">
        <f t="shared" si="720"/>
        <v/>
      </c>
    </row>
    <row r="42950" spans="8:8" x14ac:dyDescent="0.3">
      <c r="H42950" t="str">
        <f t="shared" si="720"/>
        <v/>
      </c>
    </row>
    <row r="42951" spans="8:8" x14ac:dyDescent="0.3">
      <c r="H42951" t="str">
        <f t="shared" si="720"/>
        <v/>
      </c>
    </row>
    <row r="42952" spans="8:8" x14ac:dyDescent="0.3">
      <c r="H42952" t="str">
        <f t="shared" si="720"/>
        <v/>
      </c>
    </row>
    <row r="42953" spans="8:8" x14ac:dyDescent="0.3">
      <c r="H42953" t="str">
        <f t="shared" si="720"/>
        <v/>
      </c>
    </row>
    <row r="42954" spans="8:8" x14ac:dyDescent="0.3">
      <c r="H42954" t="str">
        <f t="shared" si="720"/>
        <v/>
      </c>
    </row>
    <row r="42955" spans="8:8" x14ac:dyDescent="0.3">
      <c r="H42955" t="str">
        <f t="shared" si="720"/>
        <v/>
      </c>
    </row>
    <row r="42956" spans="8:8" x14ac:dyDescent="0.3">
      <c r="H42956" t="str">
        <f t="shared" si="720"/>
        <v/>
      </c>
    </row>
    <row r="42957" spans="8:8" x14ac:dyDescent="0.3">
      <c r="H42957" t="str">
        <f t="shared" si="720"/>
        <v/>
      </c>
    </row>
    <row r="42958" spans="8:8" x14ac:dyDescent="0.3">
      <c r="H42958" t="str">
        <f t="shared" si="720"/>
        <v/>
      </c>
    </row>
    <row r="42959" spans="8:8" x14ac:dyDescent="0.3">
      <c r="H42959" t="str">
        <f t="shared" si="720"/>
        <v/>
      </c>
    </row>
    <row r="42960" spans="8:8" x14ac:dyDescent="0.3">
      <c r="H42960" t="str">
        <f t="shared" si="720"/>
        <v/>
      </c>
    </row>
    <row r="42961" spans="8:8" x14ac:dyDescent="0.3">
      <c r="H42961" t="str">
        <f t="shared" si="720"/>
        <v/>
      </c>
    </row>
    <row r="42962" spans="8:8" x14ac:dyDescent="0.3">
      <c r="H42962" t="str">
        <f t="shared" si="720"/>
        <v/>
      </c>
    </row>
    <row r="42963" spans="8:8" x14ac:dyDescent="0.3">
      <c r="H42963" t="str">
        <f t="shared" si="720"/>
        <v/>
      </c>
    </row>
    <row r="42964" spans="8:8" x14ac:dyDescent="0.3">
      <c r="H42964" t="str">
        <f t="shared" si="720"/>
        <v/>
      </c>
    </row>
    <row r="42965" spans="8:8" x14ac:dyDescent="0.3">
      <c r="H42965" t="str">
        <f t="shared" si="720"/>
        <v/>
      </c>
    </row>
    <row r="42966" spans="8:8" x14ac:dyDescent="0.3">
      <c r="H42966" t="str">
        <f t="shared" si="720"/>
        <v/>
      </c>
    </row>
    <row r="42967" spans="8:8" x14ac:dyDescent="0.3">
      <c r="H42967" t="str">
        <f t="shared" ref="H42967:H43030" si="721">IF(B42967="","",$C$12)</f>
        <v/>
      </c>
    </row>
    <row r="42968" spans="8:8" x14ac:dyDescent="0.3">
      <c r="H42968" t="str">
        <f t="shared" si="721"/>
        <v/>
      </c>
    </row>
    <row r="42969" spans="8:8" x14ac:dyDescent="0.3">
      <c r="H42969" t="str">
        <f t="shared" si="721"/>
        <v/>
      </c>
    </row>
    <row r="42970" spans="8:8" x14ac:dyDescent="0.3">
      <c r="H42970" t="str">
        <f t="shared" si="721"/>
        <v/>
      </c>
    </row>
    <row r="42971" spans="8:8" x14ac:dyDescent="0.3">
      <c r="H42971" t="str">
        <f t="shared" si="721"/>
        <v/>
      </c>
    </row>
    <row r="42972" spans="8:8" x14ac:dyDescent="0.3">
      <c r="H42972" t="str">
        <f t="shared" si="721"/>
        <v/>
      </c>
    </row>
    <row r="42973" spans="8:8" x14ac:dyDescent="0.3">
      <c r="H42973" t="str">
        <f t="shared" si="721"/>
        <v/>
      </c>
    </row>
    <row r="42974" spans="8:8" x14ac:dyDescent="0.3">
      <c r="H42974" t="str">
        <f t="shared" si="721"/>
        <v/>
      </c>
    </row>
    <row r="42975" spans="8:8" x14ac:dyDescent="0.3">
      <c r="H42975" t="str">
        <f t="shared" si="721"/>
        <v/>
      </c>
    </row>
    <row r="42976" spans="8:8" x14ac:dyDescent="0.3">
      <c r="H42976" t="str">
        <f t="shared" si="721"/>
        <v/>
      </c>
    </row>
    <row r="42977" spans="8:8" x14ac:dyDescent="0.3">
      <c r="H42977" t="str">
        <f t="shared" si="721"/>
        <v/>
      </c>
    </row>
    <row r="42978" spans="8:8" x14ac:dyDescent="0.3">
      <c r="H42978" t="str">
        <f t="shared" si="721"/>
        <v/>
      </c>
    </row>
    <row r="42979" spans="8:8" x14ac:dyDescent="0.3">
      <c r="H42979" t="str">
        <f t="shared" si="721"/>
        <v/>
      </c>
    </row>
    <row r="42980" spans="8:8" x14ac:dyDescent="0.3">
      <c r="H42980" t="str">
        <f t="shared" si="721"/>
        <v/>
      </c>
    </row>
    <row r="42981" spans="8:8" x14ac:dyDescent="0.3">
      <c r="H42981" t="str">
        <f t="shared" si="721"/>
        <v/>
      </c>
    </row>
    <row r="42982" spans="8:8" x14ac:dyDescent="0.3">
      <c r="H42982" t="str">
        <f t="shared" si="721"/>
        <v/>
      </c>
    </row>
    <row r="42983" spans="8:8" x14ac:dyDescent="0.3">
      <c r="H42983" t="str">
        <f t="shared" si="721"/>
        <v/>
      </c>
    </row>
    <row r="42984" spans="8:8" x14ac:dyDescent="0.3">
      <c r="H42984" t="str">
        <f t="shared" si="721"/>
        <v/>
      </c>
    </row>
    <row r="42985" spans="8:8" x14ac:dyDescent="0.3">
      <c r="H42985" t="str">
        <f t="shared" si="721"/>
        <v/>
      </c>
    </row>
    <row r="42986" spans="8:8" x14ac:dyDescent="0.3">
      <c r="H42986" t="str">
        <f t="shared" si="721"/>
        <v/>
      </c>
    </row>
    <row r="42987" spans="8:8" x14ac:dyDescent="0.3">
      <c r="H42987" t="str">
        <f t="shared" si="721"/>
        <v/>
      </c>
    </row>
    <row r="42988" spans="8:8" x14ac:dyDescent="0.3">
      <c r="H42988" t="str">
        <f t="shared" si="721"/>
        <v/>
      </c>
    </row>
    <row r="42989" spans="8:8" x14ac:dyDescent="0.3">
      <c r="H42989" t="str">
        <f t="shared" si="721"/>
        <v/>
      </c>
    </row>
    <row r="42990" spans="8:8" x14ac:dyDescent="0.3">
      <c r="H42990" t="str">
        <f t="shared" si="721"/>
        <v/>
      </c>
    </row>
    <row r="42991" spans="8:8" x14ac:dyDescent="0.3">
      <c r="H42991" t="str">
        <f t="shared" si="721"/>
        <v/>
      </c>
    </row>
    <row r="42992" spans="8:8" x14ac:dyDescent="0.3">
      <c r="H42992" t="str">
        <f t="shared" si="721"/>
        <v/>
      </c>
    </row>
    <row r="42993" spans="8:8" x14ac:dyDescent="0.3">
      <c r="H42993" t="str">
        <f t="shared" si="721"/>
        <v/>
      </c>
    </row>
    <row r="42994" spans="8:8" x14ac:dyDescent="0.3">
      <c r="H42994" t="str">
        <f t="shared" si="721"/>
        <v/>
      </c>
    </row>
    <row r="42995" spans="8:8" x14ac:dyDescent="0.3">
      <c r="H42995" t="str">
        <f t="shared" si="721"/>
        <v/>
      </c>
    </row>
    <row r="42996" spans="8:8" x14ac:dyDescent="0.3">
      <c r="H42996" t="str">
        <f t="shared" si="721"/>
        <v/>
      </c>
    </row>
    <row r="42997" spans="8:8" x14ac:dyDescent="0.3">
      <c r="H42997" t="str">
        <f t="shared" si="721"/>
        <v/>
      </c>
    </row>
    <row r="42998" spans="8:8" x14ac:dyDescent="0.3">
      <c r="H42998" t="str">
        <f t="shared" si="721"/>
        <v/>
      </c>
    </row>
    <row r="42999" spans="8:8" x14ac:dyDescent="0.3">
      <c r="H42999" t="str">
        <f t="shared" si="721"/>
        <v/>
      </c>
    </row>
    <row r="43000" spans="8:8" x14ac:dyDescent="0.3">
      <c r="H43000" t="str">
        <f t="shared" si="721"/>
        <v/>
      </c>
    </row>
    <row r="43001" spans="8:8" x14ac:dyDescent="0.3">
      <c r="H43001" t="str">
        <f t="shared" si="721"/>
        <v/>
      </c>
    </row>
    <row r="43002" spans="8:8" x14ac:dyDescent="0.3">
      <c r="H43002" t="str">
        <f t="shared" si="721"/>
        <v/>
      </c>
    </row>
    <row r="43003" spans="8:8" x14ac:dyDescent="0.3">
      <c r="H43003" t="str">
        <f t="shared" si="721"/>
        <v/>
      </c>
    </row>
    <row r="43004" spans="8:8" x14ac:dyDescent="0.3">
      <c r="H43004" t="str">
        <f t="shared" si="721"/>
        <v/>
      </c>
    </row>
    <row r="43005" spans="8:8" x14ac:dyDescent="0.3">
      <c r="H43005" t="str">
        <f t="shared" si="721"/>
        <v/>
      </c>
    </row>
    <row r="43006" spans="8:8" x14ac:dyDescent="0.3">
      <c r="H43006" t="str">
        <f t="shared" si="721"/>
        <v/>
      </c>
    </row>
    <row r="43007" spans="8:8" x14ac:dyDescent="0.3">
      <c r="H43007" t="str">
        <f t="shared" si="721"/>
        <v/>
      </c>
    </row>
    <row r="43008" spans="8:8" x14ac:dyDescent="0.3">
      <c r="H43008" t="str">
        <f t="shared" si="721"/>
        <v/>
      </c>
    </row>
    <row r="43009" spans="8:8" x14ac:dyDescent="0.3">
      <c r="H43009" t="str">
        <f t="shared" si="721"/>
        <v/>
      </c>
    </row>
    <row r="43010" spans="8:8" x14ac:dyDescent="0.3">
      <c r="H43010" t="str">
        <f t="shared" si="721"/>
        <v/>
      </c>
    </row>
    <row r="43011" spans="8:8" x14ac:dyDescent="0.3">
      <c r="H43011" t="str">
        <f t="shared" si="721"/>
        <v/>
      </c>
    </row>
    <row r="43012" spans="8:8" x14ac:dyDescent="0.3">
      <c r="H43012" t="str">
        <f t="shared" si="721"/>
        <v/>
      </c>
    </row>
    <row r="43013" spans="8:8" x14ac:dyDescent="0.3">
      <c r="H43013" t="str">
        <f t="shared" si="721"/>
        <v/>
      </c>
    </row>
    <row r="43014" spans="8:8" x14ac:dyDescent="0.3">
      <c r="H43014" t="str">
        <f t="shared" si="721"/>
        <v/>
      </c>
    </row>
    <row r="43015" spans="8:8" x14ac:dyDescent="0.3">
      <c r="H43015" t="str">
        <f t="shared" si="721"/>
        <v/>
      </c>
    </row>
    <row r="43016" spans="8:8" x14ac:dyDescent="0.3">
      <c r="H43016" t="str">
        <f t="shared" si="721"/>
        <v/>
      </c>
    </row>
    <row r="43017" spans="8:8" x14ac:dyDescent="0.3">
      <c r="H43017" t="str">
        <f t="shared" si="721"/>
        <v/>
      </c>
    </row>
    <row r="43018" spans="8:8" x14ac:dyDescent="0.3">
      <c r="H43018" t="str">
        <f t="shared" si="721"/>
        <v/>
      </c>
    </row>
    <row r="43019" spans="8:8" x14ac:dyDescent="0.3">
      <c r="H43019" t="str">
        <f t="shared" si="721"/>
        <v/>
      </c>
    </row>
    <row r="43020" spans="8:8" x14ac:dyDescent="0.3">
      <c r="H43020" t="str">
        <f t="shared" si="721"/>
        <v/>
      </c>
    </row>
    <row r="43021" spans="8:8" x14ac:dyDescent="0.3">
      <c r="H43021" t="str">
        <f t="shared" si="721"/>
        <v/>
      </c>
    </row>
    <row r="43022" spans="8:8" x14ac:dyDescent="0.3">
      <c r="H43022" t="str">
        <f t="shared" si="721"/>
        <v/>
      </c>
    </row>
    <row r="43023" spans="8:8" x14ac:dyDescent="0.3">
      <c r="H43023" t="str">
        <f t="shared" si="721"/>
        <v/>
      </c>
    </row>
    <row r="43024" spans="8:8" x14ac:dyDescent="0.3">
      <c r="H43024" t="str">
        <f t="shared" si="721"/>
        <v/>
      </c>
    </row>
    <row r="43025" spans="8:8" x14ac:dyDescent="0.3">
      <c r="H43025" t="str">
        <f t="shared" si="721"/>
        <v/>
      </c>
    </row>
    <row r="43026" spans="8:8" x14ac:dyDescent="0.3">
      <c r="H43026" t="str">
        <f t="shared" si="721"/>
        <v/>
      </c>
    </row>
    <row r="43027" spans="8:8" x14ac:dyDescent="0.3">
      <c r="H43027" t="str">
        <f t="shared" si="721"/>
        <v/>
      </c>
    </row>
    <row r="43028" spans="8:8" x14ac:dyDescent="0.3">
      <c r="H43028" t="str">
        <f t="shared" si="721"/>
        <v/>
      </c>
    </row>
    <row r="43029" spans="8:8" x14ac:dyDescent="0.3">
      <c r="H43029" t="str">
        <f t="shared" si="721"/>
        <v/>
      </c>
    </row>
    <row r="43030" spans="8:8" x14ac:dyDescent="0.3">
      <c r="H43030" t="str">
        <f t="shared" si="721"/>
        <v/>
      </c>
    </row>
    <row r="43031" spans="8:8" x14ac:dyDescent="0.3">
      <c r="H43031" t="str">
        <f t="shared" ref="H43031:H43094" si="722">IF(B43031="","",$C$12)</f>
        <v/>
      </c>
    </row>
    <row r="43032" spans="8:8" x14ac:dyDescent="0.3">
      <c r="H43032" t="str">
        <f t="shared" si="722"/>
        <v/>
      </c>
    </row>
    <row r="43033" spans="8:8" x14ac:dyDescent="0.3">
      <c r="H43033" t="str">
        <f t="shared" si="722"/>
        <v/>
      </c>
    </row>
    <row r="43034" spans="8:8" x14ac:dyDescent="0.3">
      <c r="H43034" t="str">
        <f t="shared" si="722"/>
        <v/>
      </c>
    </row>
    <row r="43035" spans="8:8" x14ac:dyDescent="0.3">
      <c r="H43035" t="str">
        <f t="shared" si="722"/>
        <v/>
      </c>
    </row>
    <row r="43036" spans="8:8" x14ac:dyDescent="0.3">
      <c r="H43036" t="str">
        <f t="shared" si="722"/>
        <v/>
      </c>
    </row>
    <row r="43037" spans="8:8" x14ac:dyDescent="0.3">
      <c r="H43037" t="str">
        <f t="shared" si="722"/>
        <v/>
      </c>
    </row>
    <row r="43038" spans="8:8" x14ac:dyDescent="0.3">
      <c r="H43038" t="str">
        <f t="shared" si="722"/>
        <v/>
      </c>
    </row>
    <row r="43039" spans="8:8" x14ac:dyDescent="0.3">
      <c r="H43039" t="str">
        <f t="shared" si="722"/>
        <v/>
      </c>
    </row>
    <row r="43040" spans="8:8" x14ac:dyDescent="0.3">
      <c r="H43040" t="str">
        <f t="shared" si="722"/>
        <v/>
      </c>
    </row>
    <row r="43041" spans="8:8" x14ac:dyDescent="0.3">
      <c r="H43041" t="str">
        <f t="shared" si="722"/>
        <v/>
      </c>
    </row>
    <row r="43042" spans="8:8" x14ac:dyDescent="0.3">
      <c r="H43042" t="str">
        <f t="shared" si="722"/>
        <v/>
      </c>
    </row>
    <row r="43043" spans="8:8" x14ac:dyDescent="0.3">
      <c r="H43043" t="str">
        <f t="shared" si="722"/>
        <v/>
      </c>
    </row>
    <row r="43044" spans="8:8" x14ac:dyDescent="0.3">
      <c r="H43044" t="str">
        <f t="shared" si="722"/>
        <v/>
      </c>
    </row>
    <row r="43045" spans="8:8" x14ac:dyDescent="0.3">
      <c r="H43045" t="str">
        <f t="shared" si="722"/>
        <v/>
      </c>
    </row>
    <row r="43046" spans="8:8" x14ac:dyDescent="0.3">
      <c r="H43046" t="str">
        <f t="shared" si="722"/>
        <v/>
      </c>
    </row>
    <row r="43047" spans="8:8" x14ac:dyDescent="0.3">
      <c r="H43047" t="str">
        <f t="shared" si="722"/>
        <v/>
      </c>
    </row>
    <row r="43048" spans="8:8" x14ac:dyDescent="0.3">
      <c r="H43048" t="str">
        <f t="shared" si="722"/>
        <v/>
      </c>
    </row>
    <row r="43049" spans="8:8" x14ac:dyDescent="0.3">
      <c r="H43049" t="str">
        <f t="shared" si="722"/>
        <v/>
      </c>
    </row>
    <row r="43050" spans="8:8" x14ac:dyDescent="0.3">
      <c r="H43050" t="str">
        <f t="shared" si="722"/>
        <v/>
      </c>
    </row>
    <row r="43051" spans="8:8" x14ac:dyDescent="0.3">
      <c r="H43051" t="str">
        <f t="shared" si="722"/>
        <v/>
      </c>
    </row>
    <row r="43052" spans="8:8" x14ac:dyDescent="0.3">
      <c r="H43052" t="str">
        <f t="shared" si="722"/>
        <v/>
      </c>
    </row>
    <row r="43053" spans="8:8" x14ac:dyDescent="0.3">
      <c r="H43053" t="str">
        <f t="shared" si="722"/>
        <v/>
      </c>
    </row>
    <row r="43054" spans="8:8" x14ac:dyDescent="0.3">
      <c r="H43054" t="str">
        <f t="shared" si="722"/>
        <v/>
      </c>
    </row>
    <row r="43055" spans="8:8" x14ac:dyDescent="0.3">
      <c r="H43055" t="str">
        <f t="shared" si="722"/>
        <v/>
      </c>
    </row>
    <row r="43056" spans="8:8" x14ac:dyDescent="0.3">
      <c r="H43056" t="str">
        <f t="shared" si="722"/>
        <v/>
      </c>
    </row>
    <row r="43057" spans="8:8" x14ac:dyDescent="0.3">
      <c r="H43057" t="str">
        <f t="shared" si="722"/>
        <v/>
      </c>
    </row>
    <row r="43058" spans="8:8" x14ac:dyDescent="0.3">
      <c r="H43058" t="str">
        <f t="shared" si="722"/>
        <v/>
      </c>
    </row>
    <row r="43059" spans="8:8" x14ac:dyDescent="0.3">
      <c r="H43059" t="str">
        <f t="shared" si="722"/>
        <v/>
      </c>
    </row>
    <row r="43060" spans="8:8" x14ac:dyDescent="0.3">
      <c r="H43060" t="str">
        <f t="shared" si="722"/>
        <v/>
      </c>
    </row>
    <row r="43061" spans="8:8" x14ac:dyDescent="0.3">
      <c r="H43061" t="str">
        <f t="shared" si="722"/>
        <v/>
      </c>
    </row>
    <row r="43062" spans="8:8" x14ac:dyDescent="0.3">
      <c r="H43062" t="str">
        <f t="shared" si="722"/>
        <v/>
      </c>
    </row>
    <row r="43063" spans="8:8" x14ac:dyDescent="0.3">
      <c r="H43063" t="str">
        <f t="shared" si="722"/>
        <v/>
      </c>
    </row>
    <row r="43064" spans="8:8" x14ac:dyDescent="0.3">
      <c r="H43064" t="str">
        <f t="shared" si="722"/>
        <v/>
      </c>
    </row>
    <row r="43065" spans="8:8" x14ac:dyDescent="0.3">
      <c r="H43065" t="str">
        <f t="shared" si="722"/>
        <v/>
      </c>
    </row>
    <row r="43066" spans="8:8" x14ac:dyDescent="0.3">
      <c r="H43066" t="str">
        <f t="shared" si="722"/>
        <v/>
      </c>
    </row>
    <row r="43067" spans="8:8" x14ac:dyDescent="0.3">
      <c r="H43067" t="str">
        <f t="shared" si="722"/>
        <v/>
      </c>
    </row>
    <row r="43068" spans="8:8" x14ac:dyDescent="0.3">
      <c r="H43068" t="str">
        <f t="shared" si="722"/>
        <v/>
      </c>
    </row>
    <row r="43069" spans="8:8" x14ac:dyDescent="0.3">
      <c r="H43069" t="str">
        <f t="shared" si="722"/>
        <v/>
      </c>
    </row>
    <row r="43070" spans="8:8" x14ac:dyDescent="0.3">
      <c r="H43070" t="str">
        <f t="shared" si="722"/>
        <v/>
      </c>
    </row>
    <row r="43071" spans="8:8" x14ac:dyDescent="0.3">
      <c r="H43071" t="str">
        <f t="shared" si="722"/>
        <v/>
      </c>
    </row>
    <row r="43072" spans="8:8" x14ac:dyDescent="0.3">
      <c r="H43072" t="str">
        <f t="shared" si="722"/>
        <v/>
      </c>
    </row>
    <row r="43073" spans="8:8" x14ac:dyDescent="0.3">
      <c r="H43073" t="str">
        <f t="shared" si="722"/>
        <v/>
      </c>
    </row>
    <row r="43074" spans="8:8" x14ac:dyDescent="0.3">
      <c r="H43074" t="str">
        <f t="shared" si="722"/>
        <v/>
      </c>
    </row>
    <row r="43075" spans="8:8" x14ac:dyDescent="0.3">
      <c r="H43075" t="str">
        <f t="shared" si="722"/>
        <v/>
      </c>
    </row>
    <row r="43076" spans="8:8" x14ac:dyDescent="0.3">
      <c r="H43076" t="str">
        <f t="shared" si="722"/>
        <v/>
      </c>
    </row>
    <row r="43077" spans="8:8" x14ac:dyDescent="0.3">
      <c r="H43077" t="str">
        <f t="shared" si="722"/>
        <v/>
      </c>
    </row>
    <row r="43078" spans="8:8" x14ac:dyDescent="0.3">
      <c r="H43078" t="str">
        <f t="shared" si="722"/>
        <v/>
      </c>
    </row>
    <row r="43079" spans="8:8" x14ac:dyDescent="0.3">
      <c r="H43079" t="str">
        <f t="shared" si="722"/>
        <v/>
      </c>
    </row>
    <row r="43080" spans="8:8" x14ac:dyDescent="0.3">
      <c r="H43080" t="str">
        <f t="shared" si="722"/>
        <v/>
      </c>
    </row>
    <row r="43081" spans="8:8" x14ac:dyDescent="0.3">
      <c r="H43081" t="str">
        <f t="shared" si="722"/>
        <v/>
      </c>
    </row>
    <row r="43082" spans="8:8" x14ac:dyDescent="0.3">
      <c r="H43082" t="str">
        <f t="shared" si="722"/>
        <v/>
      </c>
    </row>
    <row r="43083" spans="8:8" x14ac:dyDescent="0.3">
      <c r="H43083" t="str">
        <f t="shared" si="722"/>
        <v/>
      </c>
    </row>
    <row r="43084" spans="8:8" x14ac:dyDescent="0.3">
      <c r="H43084" t="str">
        <f t="shared" si="722"/>
        <v/>
      </c>
    </row>
    <row r="43085" spans="8:8" x14ac:dyDescent="0.3">
      <c r="H43085" t="str">
        <f t="shared" si="722"/>
        <v/>
      </c>
    </row>
    <row r="43086" spans="8:8" x14ac:dyDescent="0.3">
      <c r="H43086" t="str">
        <f t="shared" si="722"/>
        <v/>
      </c>
    </row>
    <row r="43087" spans="8:8" x14ac:dyDescent="0.3">
      <c r="H43087" t="str">
        <f t="shared" si="722"/>
        <v/>
      </c>
    </row>
    <row r="43088" spans="8:8" x14ac:dyDescent="0.3">
      <c r="H43088" t="str">
        <f t="shared" si="722"/>
        <v/>
      </c>
    </row>
    <row r="43089" spans="8:8" x14ac:dyDescent="0.3">
      <c r="H43089" t="str">
        <f t="shared" si="722"/>
        <v/>
      </c>
    </row>
    <row r="43090" spans="8:8" x14ac:dyDescent="0.3">
      <c r="H43090" t="str">
        <f t="shared" si="722"/>
        <v/>
      </c>
    </row>
    <row r="43091" spans="8:8" x14ac:dyDescent="0.3">
      <c r="H43091" t="str">
        <f t="shared" si="722"/>
        <v/>
      </c>
    </row>
    <row r="43092" spans="8:8" x14ac:dyDescent="0.3">
      <c r="H43092" t="str">
        <f t="shared" si="722"/>
        <v/>
      </c>
    </row>
    <row r="43093" spans="8:8" x14ac:dyDescent="0.3">
      <c r="H43093" t="str">
        <f t="shared" si="722"/>
        <v/>
      </c>
    </row>
    <row r="43094" spans="8:8" x14ac:dyDescent="0.3">
      <c r="H43094" t="str">
        <f t="shared" si="722"/>
        <v/>
      </c>
    </row>
    <row r="43095" spans="8:8" x14ac:dyDescent="0.3">
      <c r="H43095" t="str">
        <f t="shared" ref="H43095:H43158" si="723">IF(B43095="","",$C$12)</f>
        <v/>
      </c>
    </row>
    <row r="43096" spans="8:8" x14ac:dyDescent="0.3">
      <c r="H43096" t="str">
        <f t="shared" si="723"/>
        <v/>
      </c>
    </row>
    <row r="43097" spans="8:8" x14ac:dyDescent="0.3">
      <c r="H43097" t="str">
        <f t="shared" si="723"/>
        <v/>
      </c>
    </row>
    <row r="43098" spans="8:8" x14ac:dyDescent="0.3">
      <c r="H43098" t="str">
        <f t="shared" si="723"/>
        <v/>
      </c>
    </row>
    <row r="43099" spans="8:8" x14ac:dyDescent="0.3">
      <c r="H43099" t="str">
        <f t="shared" si="723"/>
        <v/>
      </c>
    </row>
    <row r="43100" spans="8:8" x14ac:dyDescent="0.3">
      <c r="H43100" t="str">
        <f t="shared" si="723"/>
        <v/>
      </c>
    </row>
    <row r="43101" spans="8:8" x14ac:dyDescent="0.3">
      <c r="H43101" t="str">
        <f t="shared" si="723"/>
        <v/>
      </c>
    </row>
    <row r="43102" spans="8:8" x14ac:dyDescent="0.3">
      <c r="H43102" t="str">
        <f t="shared" si="723"/>
        <v/>
      </c>
    </row>
    <row r="43103" spans="8:8" x14ac:dyDescent="0.3">
      <c r="H43103" t="str">
        <f t="shared" si="723"/>
        <v/>
      </c>
    </row>
    <row r="43104" spans="8:8" x14ac:dyDescent="0.3">
      <c r="H43104" t="str">
        <f t="shared" si="723"/>
        <v/>
      </c>
    </row>
    <row r="43105" spans="8:8" x14ac:dyDescent="0.3">
      <c r="H43105" t="str">
        <f t="shared" si="723"/>
        <v/>
      </c>
    </row>
    <row r="43106" spans="8:8" x14ac:dyDescent="0.3">
      <c r="H43106" t="str">
        <f t="shared" si="723"/>
        <v/>
      </c>
    </row>
    <row r="43107" spans="8:8" x14ac:dyDescent="0.3">
      <c r="H43107" t="str">
        <f t="shared" si="723"/>
        <v/>
      </c>
    </row>
    <row r="43108" spans="8:8" x14ac:dyDescent="0.3">
      <c r="H43108" t="str">
        <f t="shared" si="723"/>
        <v/>
      </c>
    </row>
    <row r="43109" spans="8:8" x14ac:dyDescent="0.3">
      <c r="H43109" t="str">
        <f t="shared" si="723"/>
        <v/>
      </c>
    </row>
    <row r="43110" spans="8:8" x14ac:dyDescent="0.3">
      <c r="H43110" t="str">
        <f t="shared" si="723"/>
        <v/>
      </c>
    </row>
    <row r="43111" spans="8:8" x14ac:dyDescent="0.3">
      <c r="H43111" t="str">
        <f t="shared" si="723"/>
        <v/>
      </c>
    </row>
    <row r="43112" spans="8:8" x14ac:dyDescent="0.3">
      <c r="H43112" t="str">
        <f t="shared" si="723"/>
        <v/>
      </c>
    </row>
    <row r="43113" spans="8:8" x14ac:dyDescent="0.3">
      <c r="H43113" t="str">
        <f t="shared" si="723"/>
        <v/>
      </c>
    </row>
    <row r="43114" spans="8:8" x14ac:dyDescent="0.3">
      <c r="H43114" t="str">
        <f t="shared" si="723"/>
        <v/>
      </c>
    </row>
    <row r="43115" spans="8:8" x14ac:dyDescent="0.3">
      <c r="H43115" t="str">
        <f t="shared" si="723"/>
        <v/>
      </c>
    </row>
    <row r="43116" spans="8:8" x14ac:dyDescent="0.3">
      <c r="H43116" t="str">
        <f t="shared" si="723"/>
        <v/>
      </c>
    </row>
    <row r="43117" spans="8:8" x14ac:dyDescent="0.3">
      <c r="H43117" t="str">
        <f t="shared" si="723"/>
        <v/>
      </c>
    </row>
    <row r="43118" spans="8:8" x14ac:dyDescent="0.3">
      <c r="H43118" t="str">
        <f t="shared" si="723"/>
        <v/>
      </c>
    </row>
    <row r="43119" spans="8:8" x14ac:dyDescent="0.3">
      <c r="H43119" t="str">
        <f t="shared" si="723"/>
        <v/>
      </c>
    </row>
    <row r="43120" spans="8:8" x14ac:dyDescent="0.3">
      <c r="H43120" t="str">
        <f t="shared" si="723"/>
        <v/>
      </c>
    </row>
    <row r="43121" spans="8:8" x14ac:dyDescent="0.3">
      <c r="H43121" t="str">
        <f t="shared" si="723"/>
        <v/>
      </c>
    </row>
    <row r="43122" spans="8:8" x14ac:dyDescent="0.3">
      <c r="H43122" t="str">
        <f t="shared" si="723"/>
        <v/>
      </c>
    </row>
    <row r="43123" spans="8:8" x14ac:dyDescent="0.3">
      <c r="H43123" t="str">
        <f t="shared" si="723"/>
        <v/>
      </c>
    </row>
    <row r="43124" spans="8:8" x14ac:dyDescent="0.3">
      <c r="H43124" t="str">
        <f t="shared" si="723"/>
        <v/>
      </c>
    </row>
    <row r="43125" spans="8:8" x14ac:dyDescent="0.3">
      <c r="H43125" t="str">
        <f t="shared" si="723"/>
        <v/>
      </c>
    </row>
    <row r="43126" spans="8:8" x14ac:dyDescent="0.3">
      <c r="H43126" t="str">
        <f t="shared" si="723"/>
        <v/>
      </c>
    </row>
    <row r="43127" spans="8:8" x14ac:dyDescent="0.3">
      <c r="H43127" t="str">
        <f t="shared" si="723"/>
        <v/>
      </c>
    </row>
    <row r="43128" spans="8:8" x14ac:dyDescent="0.3">
      <c r="H43128" t="str">
        <f t="shared" si="723"/>
        <v/>
      </c>
    </row>
    <row r="43129" spans="8:8" x14ac:dyDescent="0.3">
      <c r="H43129" t="str">
        <f t="shared" si="723"/>
        <v/>
      </c>
    </row>
    <row r="43130" spans="8:8" x14ac:dyDescent="0.3">
      <c r="H43130" t="str">
        <f t="shared" si="723"/>
        <v/>
      </c>
    </row>
    <row r="43131" spans="8:8" x14ac:dyDescent="0.3">
      <c r="H43131" t="str">
        <f t="shared" si="723"/>
        <v/>
      </c>
    </row>
    <row r="43132" spans="8:8" x14ac:dyDescent="0.3">
      <c r="H43132" t="str">
        <f t="shared" si="723"/>
        <v/>
      </c>
    </row>
    <row r="43133" spans="8:8" x14ac:dyDescent="0.3">
      <c r="H43133" t="str">
        <f t="shared" si="723"/>
        <v/>
      </c>
    </row>
    <row r="43134" spans="8:8" x14ac:dyDescent="0.3">
      <c r="H43134" t="str">
        <f t="shared" si="723"/>
        <v/>
      </c>
    </row>
    <row r="43135" spans="8:8" x14ac:dyDescent="0.3">
      <c r="H43135" t="str">
        <f t="shared" si="723"/>
        <v/>
      </c>
    </row>
    <row r="43136" spans="8:8" x14ac:dyDescent="0.3">
      <c r="H43136" t="str">
        <f t="shared" si="723"/>
        <v/>
      </c>
    </row>
    <row r="43137" spans="8:8" x14ac:dyDescent="0.3">
      <c r="H43137" t="str">
        <f t="shared" si="723"/>
        <v/>
      </c>
    </row>
    <row r="43138" spans="8:8" x14ac:dyDescent="0.3">
      <c r="H43138" t="str">
        <f t="shared" si="723"/>
        <v/>
      </c>
    </row>
    <row r="43139" spans="8:8" x14ac:dyDescent="0.3">
      <c r="H43139" t="str">
        <f t="shared" si="723"/>
        <v/>
      </c>
    </row>
    <row r="43140" spans="8:8" x14ac:dyDescent="0.3">
      <c r="H43140" t="str">
        <f t="shared" si="723"/>
        <v/>
      </c>
    </row>
    <row r="43141" spans="8:8" x14ac:dyDescent="0.3">
      <c r="H43141" t="str">
        <f t="shared" si="723"/>
        <v/>
      </c>
    </row>
    <row r="43142" spans="8:8" x14ac:dyDescent="0.3">
      <c r="H43142" t="str">
        <f t="shared" si="723"/>
        <v/>
      </c>
    </row>
    <row r="43143" spans="8:8" x14ac:dyDescent="0.3">
      <c r="H43143" t="str">
        <f t="shared" si="723"/>
        <v/>
      </c>
    </row>
    <row r="43144" spans="8:8" x14ac:dyDescent="0.3">
      <c r="H43144" t="str">
        <f t="shared" si="723"/>
        <v/>
      </c>
    </row>
    <row r="43145" spans="8:8" x14ac:dyDescent="0.3">
      <c r="H43145" t="str">
        <f t="shared" si="723"/>
        <v/>
      </c>
    </row>
    <row r="43146" spans="8:8" x14ac:dyDescent="0.3">
      <c r="H43146" t="str">
        <f t="shared" si="723"/>
        <v/>
      </c>
    </row>
    <row r="43147" spans="8:8" x14ac:dyDescent="0.3">
      <c r="H43147" t="str">
        <f t="shared" si="723"/>
        <v/>
      </c>
    </row>
    <row r="43148" spans="8:8" x14ac:dyDescent="0.3">
      <c r="H43148" t="str">
        <f t="shared" si="723"/>
        <v/>
      </c>
    </row>
    <row r="43149" spans="8:8" x14ac:dyDescent="0.3">
      <c r="H43149" t="str">
        <f t="shared" si="723"/>
        <v/>
      </c>
    </row>
    <row r="43150" spans="8:8" x14ac:dyDescent="0.3">
      <c r="H43150" t="str">
        <f t="shared" si="723"/>
        <v/>
      </c>
    </row>
    <row r="43151" spans="8:8" x14ac:dyDescent="0.3">
      <c r="H43151" t="str">
        <f t="shared" si="723"/>
        <v/>
      </c>
    </row>
    <row r="43152" spans="8:8" x14ac:dyDescent="0.3">
      <c r="H43152" t="str">
        <f t="shared" si="723"/>
        <v/>
      </c>
    </row>
    <row r="43153" spans="8:8" x14ac:dyDescent="0.3">
      <c r="H43153" t="str">
        <f t="shared" si="723"/>
        <v/>
      </c>
    </row>
    <row r="43154" spans="8:8" x14ac:dyDescent="0.3">
      <c r="H43154" t="str">
        <f t="shared" si="723"/>
        <v/>
      </c>
    </row>
    <row r="43155" spans="8:8" x14ac:dyDescent="0.3">
      <c r="H43155" t="str">
        <f t="shared" si="723"/>
        <v/>
      </c>
    </row>
    <row r="43156" spans="8:8" x14ac:dyDescent="0.3">
      <c r="H43156" t="str">
        <f t="shared" si="723"/>
        <v/>
      </c>
    </row>
    <row r="43157" spans="8:8" x14ac:dyDescent="0.3">
      <c r="H43157" t="str">
        <f t="shared" si="723"/>
        <v/>
      </c>
    </row>
    <row r="43158" spans="8:8" x14ac:dyDescent="0.3">
      <c r="H43158" t="str">
        <f t="shared" si="723"/>
        <v/>
      </c>
    </row>
    <row r="43159" spans="8:8" x14ac:dyDescent="0.3">
      <c r="H43159" t="str">
        <f t="shared" ref="H43159:H43222" si="724">IF(B43159="","",$C$12)</f>
        <v/>
      </c>
    </row>
    <row r="43160" spans="8:8" x14ac:dyDescent="0.3">
      <c r="H43160" t="str">
        <f t="shared" si="724"/>
        <v/>
      </c>
    </row>
    <row r="43161" spans="8:8" x14ac:dyDescent="0.3">
      <c r="H43161" t="str">
        <f t="shared" si="724"/>
        <v/>
      </c>
    </row>
    <row r="43162" spans="8:8" x14ac:dyDescent="0.3">
      <c r="H43162" t="str">
        <f t="shared" si="724"/>
        <v/>
      </c>
    </row>
    <row r="43163" spans="8:8" x14ac:dyDescent="0.3">
      <c r="H43163" t="str">
        <f t="shared" si="724"/>
        <v/>
      </c>
    </row>
    <row r="43164" spans="8:8" x14ac:dyDescent="0.3">
      <c r="H43164" t="str">
        <f t="shared" si="724"/>
        <v/>
      </c>
    </row>
    <row r="43165" spans="8:8" x14ac:dyDescent="0.3">
      <c r="H43165" t="str">
        <f t="shared" si="724"/>
        <v/>
      </c>
    </row>
    <row r="43166" spans="8:8" x14ac:dyDescent="0.3">
      <c r="H43166" t="str">
        <f t="shared" si="724"/>
        <v/>
      </c>
    </row>
    <row r="43167" spans="8:8" x14ac:dyDescent="0.3">
      <c r="H43167" t="str">
        <f t="shared" si="724"/>
        <v/>
      </c>
    </row>
    <row r="43168" spans="8:8" x14ac:dyDescent="0.3">
      <c r="H43168" t="str">
        <f t="shared" si="724"/>
        <v/>
      </c>
    </row>
    <row r="43169" spans="8:8" x14ac:dyDescent="0.3">
      <c r="H43169" t="str">
        <f t="shared" si="724"/>
        <v/>
      </c>
    </row>
    <row r="43170" spans="8:8" x14ac:dyDescent="0.3">
      <c r="H43170" t="str">
        <f t="shared" si="724"/>
        <v/>
      </c>
    </row>
    <row r="43171" spans="8:8" x14ac:dyDescent="0.3">
      <c r="H43171" t="str">
        <f t="shared" si="724"/>
        <v/>
      </c>
    </row>
    <row r="43172" spans="8:8" x14ac:dyDescent="0.3">
      <c r="H43172" t="str">
        <f t="shared" si="724"/>
        <v/>
      </c>
    </row>
    <row r="43173" spans="8:8" x14ac:dyDescent="0.3">
      <c r="H43173" t="str">
        <f t="shared" si="724"/>
        <v/>
      </c>
    </row>
    <row r="43174" spans="8:8" x14ac:dyDescent="0.3">
      <c r="H43174" t="str">
        <f t="shared" si="724"/>
        <v/>
      </c>
    </row>
    <row r="43175" spans="8:8" x14ac:dyDescent="0.3">
      <c r="H43175" t="str">
        <f t="shared" si="724"/>
        <v/>
      </c>
    </row>
    <row r="43176" spans="8:8" x14ac:dyDescent="0.3">
      <c r="H43176" t="str">
        <f t="shared" si="724"/>
        <v/>
      </c>
    </row>
    <row r="43177" spans="8:8" x14ac:dyDescent="0.3">
      <c r="H43177" t="str">
        <f t="shared" si="724"/>
        <v/>
      </c>
    </row>
    <row r="43178" spans="8:8" x14ac:dyDescent="0.3">
      <c r="H43178" t="str">
        <f t="shared" si="724"/>
        <v/>
      </c>
    </row>
    <row r="43179" spans="8:8" x14ac:dyDescent="0.3">
      <c r="H43179" t="str">
        <f t="shared" si="724"/>
        <v/>
      </c>
    </row>
    <row r="43180" spans="8:8" x14ac:dyDescent="0.3">
      <c r="H43180" t="str">
        <f t="shared" si="724"/>
        <v/>
      </c>
    </row>
    <row r="43181" spans="8:8" x14ac:dyDescent="0.3">
      <c r="H43181" t="str">
        <f t="shared" si="724"/>
        <v/>
      </c>
    </row>
    <row r="43182" spans="8:8" x14ac:dyDescent="0.3">
      <c r="H43182" t="str">
        <f t="shared" si="724"/>
        <v/>
      </c>
    </row>
    <row r="43183" spans="8:8" x14ac:dyDescent="0.3">
      <c r="H43183" t="str">
        <f t="shared" si="724"/>
        <v/>
      </c>
    </row>
    <row r="43184" spans="8:8" x14ac:dyDescent="0.3">
      <c r="H43184" t="str">
        <f t="shared" si="724"/>
        <v/>
      </c>
    </row>
    <row r="43185" spans="8:8" x14ac:dyDescent="0.3">
      <c r="H43185" t="str">
        <f t="shared" si="724"/>
        <v/>
      </c>
    </row>
    <row r="43186" spans="8:8" x14ac:dyDescent="0.3">
      <c r="H43186" t="str">
        <f t="shared" si="724"/>
        <v/>
      </c>
    </row>
    <row r="43187" spans="8:8" x14ac:dyDescent="0.3">
      <c r="H43187" t="str">
        <f t="shared" si="724"/>
        <v/>
      </c>
    </row>
    <row r="43188" spans="8:8" x14ac:dyDescent="0.3">
      <c r="H43188" t="str">
        <f t="shared" si="724"/>
        <v/>
      </c>
    </row>
    <row r="43189" spans="8:8" x14ac:dyDescent="0.3">
      <c r="H43189" t="str">
        <f t="shared" si="724"/>
        <v/>
      </c>
    </row>
    <row r="43190" spans="8:8" x14ac:dyDescent="0.3">
      <c r="H43190" t="str">
        <f t="shared" si="724"/>
        <v/>
      </c>
    </row>
    <row r="43191" spans="8:8" x14ac:dyDescent="0.3">
      <c r="H43191" t="str">
        <f t="shared" si="724"/>
        <v/>
      </c>
    </row>
    <row r="43192" spans="8:8" x14ac:dyDescent="0.3">
      <c r="H43192" t="str">
        <f t="shared" si="724"/>
        <v/>
      </c>
    </row>
    <row r="43193" spans="8:8" x14ac:dyDescent="0.3">
      <c r="H43193" t="str">
        <f t="shared" si="724"/>
        <v/>
      </c>
    </row>
    <row r="43194" spans="8:8" x14ac:dyDescent="0.3">
      <c r="H43194" t="str">
        <f t="shared" si="724"/>
        <v/>
      </c>
    </row>
    <row r="43195" spans="8:8" x14ac:dyDescent="0.3">
      <c r="H43195" t="str">
        <f t="shared" si="724"/>
        <v/>
      </c>
    </row>
    <row r="43196" spans="8:8" x14ac:dyDescent="0.3">
      <c r="H43196" t="str">
        <f t="shared" si="724"/>
        <v/>
      </c>
    </row>
    <row r="43197" spans="8:8" x14ac:dyDescent="0.3">
      <c r="H43197" t="str">
        <f t="shared" si="724"/>
        <v/>
      </c>
    </row>
    <row r="43198" spans="8:8" x14ac:dyDescent="0.3">
      <c r="H43198" t="str">
        <f t="shared" si="724"/>
        <v/>
      </c>
    </row>
    <row r="43199" spans="8:8" x14ac:dyDescent="0.3">
      <c r="H43199" t="str">
        <f t="shared" si="724"/>
        <v/>
      </c>
    </row>
    <row r="43200" spans="8:8" x14ac:dyDescent="0.3">
      <c r="H43200" t="str">
        <f t="shared" si="724"/>
        <v/>
      </c>
    </row>
    <row r="43201" spans="8:8" x14ac:dyDescent="0.3">
      <c r="H43201" t="str">
        <f t="shared" si="724"/>
        <v/>
      </c>
    </row>
    <row r="43202" spans="8:8" x14ac:dyDescent="0.3">
      <c r="H43202" t="str">
        <f t="shared" si="724"/>
        <v/>
      </c>
    </row>
    <row r="43203" spans="8:8" x14ac:dyDescent="0.3">
      <c r="H43203" t="str">
        <f t="shared" si="724"/>
        <v/>
      </c>
    </row>
    <row r="43204" spans="8:8" x14ac:dyDescent="0.3">
      <c r="H43204" t="str">
        <f t="shared" si="724"/>
        <v/>
      </c>
    </row>
    <row r="43205" spans="8:8" x14ac:dyDescent="0.3">
      <c r="H43205" t="str">
        <f t="shared" si="724"/>
        <v/>
      </c>
    </row>
    <row r="43206" spans="8:8" x14ac:dyDescent="0.3">
      <c r="H43206" t="str">
        <f t="shared" si="724"/>
        <v/>
      </c>
    </row>
    <row r="43207" spans="8:8" x14ac:dyDescent="0.3">
      <c r="H43207" t="str">
        <f t="shared" si="724"/>
        <v/>
      </c>
    </row>
    <row r="43208" spans="8:8" x14ac:dyDescent="0.3">
      <c r="H43208" t="str">
        <f t="shared" si="724"/>
        <v/>
      </c>
    </row>
    <row r="43209" spans="8:8" x14ac:dyDescent="0.3">
      <c r="H43209" t="str">
        <f t="shared" si="724"/>
        <v/>
      </c>
    </row>
    <row r="43210" spans="8:8" x14ac:dyDescent="0.3">
      <c r="H43210" t="str">
        <f t="shared" si="724"/>
        <v/>
      </c>
    </row>
    <row r="43211" spans="8:8" x14ac:dyDescent="0.3">
      <c r="H43211" t="str">
        <f t="shared" si="724"/>
        <v/>
      </c>
    </row>
    <row r="43212" spans="8:8" x14ac:dyDescent="0.3">
      <c r="H43212" t="str">
        <f t="shared" si="724"/>
        <v/>
      </c>
    </row>
    <row r="43213" spans="8:8" x14ac:dyDescent="0.3">
      <c r="H43213" t="str">
        <f t="shared" si="724"/>
        <v/>
      </c>
    </row>
    <row r="43214" spans="8:8" x14ac:dyDescent="0.3">
      <c r="H43214" t="str">
        <f t="shared" si="724"/>
        <v/>
      </c>
    </row>
    <row r="43215" spans="8:8" x14ac:dyDescent="0.3">
      <c r="H43215" t="str">
        <f t="shared" si="724"/>
        <v/>
      </c>
    </row>
    <row r="43216" spans="8:8" x14ac:dyDescent="0.3">
      <c r="H43216" t="str">
        <f t="shared" si="724"/>
        <v/>
      </c>
    </row>
    <row r="43217" spans="8:8" x14ac:dyDescent="0.3">
      <c r="H43217" t="str">
        <f t="shared" si="724"/>
        <v/>
      </c>
    </row>
    <row r="43218" spans="8:8" x14ac:dyDescent="0.3">
      <c r="H43218" t="str">
        <f t="shared" si="724"/>
        <v/>
      </c>
    </row>
    <row r="43219" spans="8:8" x14ac:dyDescent="0.3">
      <c r="H43219" t="str">
        <f t="shared" si="724"/>
        <v/>
      </c>
    </row>
    <row r="43220" spans="8:8" x14ac:dyDescent="0.3">
      <c r="H43220" t="str">
        <f t="shared" si="724"/>
        <v/>
      </c>
    </row>
    <row r="43221" spans="8:8" x14ac:dyDescent="0.3">
      <c r="H43221" t="str">
        <f t="shared" si="724"/>
        <v/>
      </c>
    </row>
    <row r="43222" spans="8:8" x14ac:dyDescent="0.3">
      <c r="H43222" t="str">
        <f t="shared" si="724"/>
        <v/>
      </c>
    </row>
    <row r="43223" spans="8:8" x14ac:dyDescent="0.3">
      <c r="H43223" t="str">
        <f t="shared" ref="H43223:H43286" si="725">IF(B43223="","",$C$12)</f>
        <v/>
      </c>
    </row>
    <row r="43224" spans="8:8" x14ac:dyDescent="0.3">
      <c r="H43224" t="str">
        <f t="shared" si="725"/>
        <v/>
      </c>
    </row>
    <row r="43225" spans="8:8" x14ac:dyDescent="0.3">
      <c r="H43225" t="str">
        <f t="shared" si="725"/>
        <v/>
      </c>
    </row>
    <row r="43226" spans="8:8" x14ac:dyDescent="0.3">
      <c r="H43226" t="str">
        <f t="shared" si="725"/>
        <v/>
      </c>
    </row>
    <row r="43227" spans="8:8" x14ac:dyDescent="0.3">
      <c r="H43227" t="str">
        <f t="shared" si="725"/>
        <v/>
      </c>
    </row>
    <row r="43228" spans="8:8" x14ac:dyDescent="0.3">
      <c r="H43228" t="str">
        <f t="shared" si="725"/>
        <v/>
      </c>
    </row>
    <row r="43229" spans="8:8" x14ac:dyDescent="0.3">
      <c r="H43229" t="str">
        <f t="shared" si="725"/>
        <v/>
      </c>
    </row>
    <row r="43230" spans="8:8" x14ac:dyDescent="0.3">
      <c r="H43230" t="str">
        <f t="shared" si="725"/>
        <v/>
      </c>
    </row>
    <row r="43231" spans="8:8" x14ac:dyDescent="0.3">
      <c r="H43231" t="str">
        <f t="shared" si="725"/>
        <v/>
      </c>
    </row>
    <row r="43232" spans="8:8" x14ac:dyDescent="0.3">
      <c r="H43232" t="str">
        <f t="shared" si="725"/>
        <v/>
      </c>
    </row>
    <row r="43233" spans="8:8" x14ac:dyDescent="0.3">
      <c r="H43233" t="str">
        <f t="shared" si="725"/>
        <v/>
      </c>
    </row>
    <row r="43234" spans="8:8" x14ac:dyDescent="0.3">
      <c r="H43234" t="str">
        <f t="shared" si="725"/>
        <v/>
      </c>
    </row>
    <row r="43235" spans="8:8" x14ac:dyDescent="0.3">
      <c r="H43235" t="str">
        <f t="shared" si="725"/>
        <v/>
      </c>
    </row>
    <row r="43236" spans="8:8" x14ac:dyDescent="0.3">
      <c r="H43236" t="str">
        <f t="shared" si="725"/>
        <v/>
      </c>
    </row>
    <row r="43237" spans="8:8" x14ac:dyDescent="0.3">
      <c r="H43237" t="str">
        <f t="shared" si="725"/>
        <v/>
      </c>
    </row>
    <row r="43238" spans="8:8" x14ac:dyDescent="0.3">
      <c r="H43238" t="str">
        <f t="shared" si="725"/>
        <v/>
      </c>
    </row>
    <row r="43239" spans="8:8" x14ac:dyDescent="0.3">
      <c r="H43239" t="str">
        <f t="shared" si="725"/>
        <v/>
      </c>
    </row>
    <row r="43240" spans="8:8" x14ac:dyDescent="0.3">
      <c r="H43240" t="str">
        <f t="shared" si="725"/>
        <v/>
      </c>
    </row>
    <row r="43241" spans="8:8" x14ac:dyDescent="0.3">
      <c r="H43241" t="str">
        <f t="shared" si="725"/>
        <v/>
      </c>
    </row>
    <row r="43242" spans="8:8" x14ac:dyDescent="0.3">
      <c r="H43242" t="str">
        <f t="shared" si="725"/>
        <v/>
      </c>
    </row>
    <row r="43243" spans="8:8" x14ac:dyDescent="0.3">
      <c r="H43243" t="str">
        <f t="shared" si="725"/>
        <v/>
      </c>
    </row>
    <row r="43244" spans="8:8" x14ac:dyDescent="0.3">
      <c r="H43244" t="str">
        <f t="shared" si="725"/>
        <v/>
      </c>
    </row>
    <row r="43245" spans="8:8" x14ac:dyDescent="0.3">
      <c r="H43245" t="str">
        <f t="shared" si="725"/>
        <v/>
      </c>
    </row>
    <row r="43246" spans="8:8" x14ac:dyDescent="0.3">
      <c r="H43246" t="str">
        <f t="shared" si="725"/>
        <v/>
      </c>
    </row>
    <row r="43247" spans="8:8" x14ac:dyDescent="0.3">
      <c r="H43247" t="str">
        <f t="shared" si="725"/>
        <v/>
      </c>
    </row>
    <row r="43248" spans="8:8" x14ac:dyDescent="0.3">
      <c r="H43248" t="str">
        <f t="shared" si="725"/>
        <v/>
      </c>
    </row>
    <row r="43249" spans="8:8" x14ac:dyDescent="0.3">
      <c r="H43249" t="str">
        <f t="shared" si="725"/>
        <v/>
      </c>
    </row>
    <row r="43250" spans="8:8" x14ac:dyDescent="0.3">
      <c r="H43250" t="str">
        <f t="shared" si="725"/>
        <v/>
      </c>
    </row>
    <row r="43251" spans="8:8" x14ac:dyDescent="0.3">
      <c r="H43251" t="str">
        <f t="shared" si="725"/>
        <v/>
      </c>
    </row>
    <row r="43252" spans="8:8" x14ac:dyDescent="0.3">
      <c r="H43252" t="str">
        <f t="shared" si="725"/>
        <v/>
      </c>
    </row>
    <row r="43253" spans="8:8" x14ac:dyDescent="0.3">
      <c r="H43253" t="str">
        <f t="shared" si="725"/>
        <v/>
      </c>
    </row>
    <row r="43254" spans="8:8" x14ac:dyDescent="0.3">
      <c r="H43254" t="str">
        <f t="shared" si="725"/>
        <v/>
      </c>
    </row>
    <row r="43255" spans="8:8" x14ac:dyDescent="0.3">
      <c r="H43255" t="str">
        <f t="shared" si="725"/>
        <v/>
      </c>
    </row>
    <row r="43256" spans="8:8" x14ac:dyDescent="0.3">
      <c r="H43256" t="str">
        <f t="shared" si="725"/>
        <v/>
      </c>
    </row>
    <row r="43257" spans="8:8" x14ac:dyDescent="0.3">
      <c r="H43257" t="str">
        <f t="shared" si="725"/>
        <v/>
      </c>
    </row>
    <row r="43258" spans="8:8" x14ac:dyDescent="0.3">
      <c r="H43258" t="str">
        <f t="shared" si="725"/>
        <v/>
      </c>
    </row>
    <row r="43259" spans="8:8" x14ac:dyDescent="0.3">
      <c r="H43259" t="str">
        <f t="shared" si="725"/>
        <v/>
      </c>
    </row>
    <row r="43260" spans="8:8" x14ac:dyDescent="0.3">
      <c r="H43260" t="str">
        <f t="shared" si="725"/>
        <v/>
      </c>
    </row>
    <row r="43261" spans="8:8" x14ac:dyDescent="0.3">
      <c r="H43261" t="str">
        <f t="shared" si="725"/>
        <v/>
      </c>
    </row>
    <row r="43262" spans="8:8" x14ac:dyDescent="0.3">
      <c r="H43262" t="str">
        <f t="shared" si="725"/>
        <v/>
      </c>
    </row>
    <row r="43263" spans="8:8" x14ac:dyDescent="0.3">
      <c r="H43263" t="str">
        <f t="shared" si="725"/>
        <v/>
      </c>
    </row>
    <row r="43264" spans="8:8" x14ac:dyDescent="0.3">
      <c r="H43264" t="str">
        <f t="shared" si="725"/>
        <v/>
      </c>
    </row>
    <row r="43265" spans="8:8" x14ac:dyDescent="0.3">
      <c r="H43265" t="str">
        <f t="shared" si="725"/>
        <v/>
      </c>
    </row>
    <row r="43266" spans="8:8" x14ac:dyDescent="0.3">
      <c r="H43266" t="str">
        <f t="shared" si="725"/>
        <v/>
      </c>
    </row>
    <row r="43267" spans="8:8" x14ac:dyDescent="0.3">
      <c r="H43267" t="str">
        <f t="shared" si="725"/>
        <v/>
      </c>
    </row>
    <row r="43268" spans="8:8" x14ac:dyDescent="0.3">
      <c r="H43268" t="str">
        <f t="shared" si="725"/>
        <v/>
      </c>
    </row>
    <row r="43269" spans="8:8" x14ac:dyDescent="0.3">
      <c r="H43269" t="str">
        <f t="shared" si="725"/>
        <v/>
      </c>
    </row>
    <row r="43270" spans="8:8" x14ac:dyDescent="0.3">
      <c r="H43270" t="str">
        <f t="shared" si="725"/>
        <v/>
      </c>
    </row>
    <row r="43271" spans="8:8" x14ac:dyDescent="0.3">
      <c r="H43271" t="str">
        <f t="shared" si="725"/>
        <v/>
      </c>
    </row>
    <row r="43272" spans="8:8" x14ac:dyDescent="0.3">
      <c r="H43272" t="str">
        <f t="shared" si="725"/>
        <v/>
      </c>
    </row>
    <row r="43273" spans="8:8" x14ac:dyDescent="0.3">
      <c r="H43273" t="str">
        <f t="shared" si="725"/>
        <v/>
      </c>
    </row>
    <row r="43274" spans="8:8" x14ac:dyDescent="0.3">
      <c r="H43274" t="str">
        <f t="shared" si="725"/>
        <v/>
      </c>
    </row>
    <row r="43275" spans="8:8" x14ac:dyDescent="0.3">
      <c r="H43275" t="str">
        <f t="shared" si="725"/>
        <v/>
      </c>
    </row>
    <row r="43276" spans="8:8" x14ac:dyDescent="0.3">
      <c r="H43276" t="str">
        <f t="shared" si="725"/>
        <v/>
      </c>
    </row>
    <row r="43277" spans="8:8" x14ac:dyDescent="0.3">
      <c r="H43277" t="str">
        <f t="shared" si="725"/>
        <v/>
      </c>
    </row>
    <row r="43278" spans="8:8" x14ac:dyDescent="0.3">
      <c r="H43278" t="str">
        <f t="shared" si="725"/>
        <v/>
      </c>
    </row>
    <row r="43279" spans="8:8" x14ac:dyDescent="0.3">
      <c r="H43279" t="str">
        <f t="shared" si="725"/>
        <v/>
      </c>
    </row>
    <row r="43280" spans="8:8" x14ac:dyDescent="0.3">
      <c r="H43280" t="str">
        <f t="shared" si="725"/>
        <v/>
      </c>
    </row>
    <row r="43281" spans="8:8" x14ac:dyDescent="0.3">
      <c r="H43281" t="str">
        <f t="shared" si="725"/>
        <v/>
      </c>
    </row>
    <row r="43282" spans="8:8" x14ac:dyDescent="0.3">
      <c r="H43282" t="str">
        <f t="shared" si="725"/>
        <v/>
      </c>
    </row>
    <row r="43283" spans="8:8" x14ac:dyDescent="0.3">
      <c r="H43283" t="str">
        <f t="shared" si="725"/>
        <v/>
      </c>
    </row>
    <row r="43284" spans="8:8" x14ac:dyDescent="0.3">
      <c r="H43284" t="str">
        <f t="shared" si="725"/>
        <v/>
      </c>
    </row>
    <row r="43285" spans="8:8" x14ac:dyDescent="0.3">
      <c r="H43285" t="str">
        <f t="shared" si="725"/>
        <v/>
      </c>
    </row>
    <row r="43286" spans="8:8" x14ac:dyDescent="0.3">
      <c r="H43286" t="str">
        <f t="shared" si="725"/>
        <v/>
      </c>
    </row>
    <row r="43287" spans="8:8" x14ac:dyDescent="0.3">
      <c r="H43287" t="str">
        <f t="shared" ref="H43287:H43350" si="726">IF(B43287="","",$C$12)</f>
        <v/>
      </c>
    </row>
    <row r="43288" spans="8:8" x14ac:dyDescent="0.3">
      <c r="H43288" t="str">
        <f t="shared" si="726"/>
        <v/>
      </c>
    </row>
    <row r="43289" spans="8:8" x14ac:dyDescent="0.3">
      <c r="H43289" t="str">
        <f t="shared" si="726"/>
        <v/>
      </c>
    </row>
    <row r="43290" spans="8:8" x14ac:dyDescent="0.3">
      <c r="H43290" t="str">
        <f t="shared" si="726"/>
        <v/>
      </c>
    </row>
    <row r="43291" spans="8:8" x14ac:dyDescent="0.3">
      <c r="H43291" t="str">
        <f t="shared" si="726"/>
        <v/>
      </c>
    </row>
    <row r="43292" spans="8:8" x14ac:dyDescent="0.3">
      <c r="H43292" t="str">
        <f t="shared" si="726"/>
        <v/>
      </c>
    </row>
    <row r="43293" spans="8:8" x14ac:dyDescent="0.3">
      <c r="H43293" t="str">
        <f t="shared" si="726"/>
        <v/>
      </c>
    </row>
    <row r="43294" spans="8:8" x14ac:dyDescent="0.3">
      <c r="H43294" t="str">
        <f t="shared" si="726"/>
        <v/>
      </c>
    </row>
    <row r="43295" spans="8:8" x14ac:dyDescent="0.3">
      <c r="H43295" t="str">
        <f t="shared" si="726"/>
        <v/>
      </c>
    </row>
    <row r="43296" spans="8:8" x14ac:dyDescent="0.3">
      <c r="H43296" t="str">
        <f t="shared" si="726"/>
        <v/>
      </c>
    </row>
    <row r="43297" spans="8:8" x14ac:dyDescent="0.3">
      <c r="H43297" t="str">
        <f t="shared" si="726"/>
        <v/>
      </c>
    </row>
    <row r="43298" spans="8:8" x14ac:dyDescent="0.3">
      <c r="H43298" t="str">
        <f t="shared" si="726"/>
        <v/>
      </c>
    </row>
    <row r="43299" spans="8:8" x14ac:dyDescent="0.3">
      <c r="H43299" t="str">
        <f t="shared" si="726"/>
        <v/>
      </c>
    </row>
    <row r="43300" spans="8:8" x14ac:dyDescent="0.3">
      <c r="H43300" t="str">
        <f t="shared" si="726"/>
        <v/>
      </c>
    </row>
    <row r="43301" spans="8:8" x14ac:dyDescent="0.3">
      <c r="H43301" t="str">
        <f t="shared" si="726"/>
        <v/>
      </c>
    </row>
    <row r="43302" spans="8:8" x14ac:dyDescent="0.3">
      <c r="H43302" t="str">
        <f t="shared" si="726"/>
        <v/>
      </c>
    </row>
    <row r="43303" spans="8:8" x14ac:dyDescent="0.3">
      <c r="H43303" t="str">
        <f t="shared" si="726"/>
        <v/>
      </c>
    </row>
    <row r="43304" spans="8:8" x14ac:dyDescent="0.3">
      <c r="H43304" t="str">
        <f t="shared" si="726"/>
        <v/>
      </c>
    </row>
    <row r="43305" spans="8:8" x14ac:dyDescent="0.3">
      <c r="H43305" t="str">
        <f t="shared" si="726"/>
        <v/>
      </c>
    </row>
    <row r="43306" spans="8:8" x14ac:dyDescent="0.3">
      <c r="H43306" t="str">
        <f t="shared" si="726"/>
        <v/>
      </c>
    </row>
    <row r="43307" spans="8:8" x14ac:dyDescent="0.3">
      <c r="H43307" t="str">
        <f t="shared" si="726"/>
        <v/>
      </c>
    </row>
    <row r="43308" spans="8:8" x14ac:dyDescent="0.3">
      <c r="H43308" t="str">
        <f t="shared" si="726"/>
        <v/>
      </c>
    </row>
    <row r="43309" spans="8:8" x14ac:dyDescent="0.3">
      <c r="H43309" t="str">
        <f t="shared" si="726"/>
        <v/>
      </c>
    </row>
    <row r="43310" spans="8:8" x14ac:dyDescent="0.3">
      <c r="H43310" t="str">
        <f t="shared" si="726"/>
        <v/>
      </c>
    </row>
    <row r="43311" spans="8:8" x14ac:dyDescent="0.3">
      <c r="H43311" t="str">
        <f t="shared" si="726"/>
        <v/>
      </c>
    </row>
    <row r="43312" spans="8:8" x14ac:dyDescent="0.3">
      <c r="H43312" t="str">
        <f t="shared" si="726"/>
        <v/>
      </c>
    </row>
    <row r="43313" spans="8:8" x14ac:dyDescent="0.3">
      <c r="H43313" t="str">
        <f t="shared" si="726"/>
        <v/>
      </c>
    </row>
    <row r="43314" spans="8:8" x14ac:dyDescent="0.3">
      <c r="H43314" t="str">
        <f t="shared" si="726"/>
        <v/>
      </c>
    </row>
    <row r="43315" spans="8:8" x14ac:dyDescent="0.3">
      <c r="H43315" t="str">
        <f t="shared" si="726"/>
        <v/>
      </c>
    </row>
    <row r="43316" spans="8:8" x14ac:dyDescent="0.3">
      <c r="H43316" t="str">
        <f t="shared" si="726"/>
        <v/>
      </c>
    </row>
    <row r="43317" spans="8:8" x14ac:dyDescent="0.3">
      <c r="H43317" t="str">
        <f t="shared" si="726"/>
        <v/>
      </c>
    </row>
    <row r="43318" spans="8:8" x14ac:dyDescent="0.3">
      <c r="H43318" t="str">
        <f t="shared" si="726"/>
        <v/>
      </c>
    </row>
    <row r="43319" spans="8:8" x14ac:dyDescent="0.3">
      <c r="H43319" t="str">
        <f t="shared" si="726"/>
        <v/>
      </c>
    </row>
    <row r="43320" spans="8:8" x14ac:dyDescent="0.3">
      <c r="H43320" t="str">
        <f t="shared" si="726"/>
        <v/>
      </c>
    </row>
    <row r="43321" spans="8:8" x14ac:dyDescent="0.3">
      <c r="H43321" t="str">
        <f t="shared" si="726"/>
        <v/>
      </c>
    </row>
    <row r="43322" spans="8:8" x14ac:dyDescent="0.3">
      <c r="H43322" t="str">
        <f t="shared" si="726"/>
        <v/>
      </c>
    </row>
    <row r="43323" spans="8:8" x14ac:dyDescent="0.3">
      <c r="H43323" t="str">
        <f t="shared" si="726"/>
        <v/>
      </c>
    </row>
    <row r="43324" spans="8:8" x14ac:dyDescent="0.3">
      <c r="H43324" t="str">
        <f t="shared" si="726"/>
        <v/>
      </c>
    </row>
    <row r="43325" spans="8:8" x14ac:dyDescent="0.3">
      <c r="H43325" t="str">
        <f t="shared" si="726"/>
        <v/>
      </c>
    </row>
    <row r="43326" spans="8:8" x14ac:dyDescent="0.3">
      <c r="H43326" t="str">
        <f t="shared" si="726"/>
        <v/>
      </c>
    </row>
    <row r="43327" spans="8:8" x14ac:dyDescent="0.3">
      <c r="H43327" t="str">
        <f t="shared" si="726"/>
        <v/>
      </c>
    </row>
    <row r="43328" spans="8:8" x14ac:dyDescent="0.3">
      <c r="H43328" t="str">
        <f t="shared" si="726"/>
        <v/>
      </c>
    </row>
    <row r="43329" spans="8:8" x14ac:dyDescent="0.3">
      <c r="H43329" t="str">
        <f t="shared" si="726"/>
        <v/>
      </c>
    </row>
    <row r="43330" spans="8:8" x14ac:dyDescent="0.3">
      <c r="H43330" t="str">
        <f t="shared" si="726"/>
        <v/>
      </c>
    </row>
    <row r="43331" spans="8:8" x14ac:dyDescent="0.3">
      <c r="H43331" t="str">
        <f t="shared" si="726"/>
        <v/>
      </c>
    </row>
    <row r="43332" spans="8:8" x14ac:dyDescent="0.3">
      <c r="H43332" t="str">
        <f t="shared" si="726"/>
        <v/>
      </c>
    </row>
    <row r="43333" spans="8:8" x14ac:dyDescent="0.3">
      <c r="H43333" t="str">
        <f t="shared" si="726"/>
        <v/>
      </c>
    </row>
    <row r="43334" spans="8:8" x14ac:dyDescent="0.3">
      <c r="H43334" t="str">
        <f t="shared" si="726"/>
        <v/>
      </c>
    </row>
    <row r="43335" spans="8:8" x14ac:dyDescent="0.3">
      <c r="H43335" t="str">
        <f t="shared" si="726"/>
        <v/>
      </c>
    </row>
    <row r="43336" spans="8:8" x14ac:dyDescent="0.3">
      <c r="H43336" t="str">
        <f t="shared" si="726"/>
        <v/>
      </c>
    </row>
    <row r="43337" spans="8:8" x14ac:dyDescent="0.3">
      <c r="H43337" t="str">
        <f t="shared" si="726"/>
        <v/>
      </c>
    </row>
    <row r="43338" spans="8:8" x14ac:dyDescent="0.3">
      <c r="H43338" t="str">
        <f t="shared" si="726"/>
        <v/>
      </c>
    </row>
    <row r="43339" spans="8:8" x14ac:dyDescent="0.3">
      <c r="H43339" t="str">
        <f t="shared" si="726"/>
        <v/>
      </c>
    </row>
    <row r="43340" spans="8:8" x14ac:dyDescent="0.3">
      <c r="H43340" t="str">
        <f t="shared" si="726"/>
        <v/>
      </c>
    </row>
    <row r="43341" spans="8:8" x14ac:dyDescent="0.3">
      <c r="H43341" t="str">
        <f t="shared" si="726"/>
        <v/>
      </c>
    </row>
    <row r="43342" spans="8:8" x14ac:dyDescent="0.3">
      <c r="H43342" t="str">
        <f t="shared" si="726"/>
        <v/>
      </c>
    </row>
    <row r="43343" spans="8:8" x14ac:dyDescent="0.3">
      <c r="H43343" t="str">
        <f t="shared" si="726"/>
        <v/>
      </c>
    </row>
    <row r="43344" spans="8:8" x14ac:dyDescent="0.3">
      <c r="H43344" t="str">
        <f t="shared" si="726"/>
        <v/>
      </c>
    </row>
    <row r="43345" spans="8:8" x14ac:dyDescent="0.3">
      <c r="H43345" t="str">
        <f t="shared" si="726"/>
        <v/>
      </c>
    </row>
    <row r="43346" spans="8:8" x14ac:dyDescent="0.3">
      <c r="H43346" t="str">
        <f t="shared" si="726"/>
        <v/>
      </c>
    </row>
    <row r="43347" spans="8:8" x14ac:dyDescent="0.3">
      <c r="H43347" t="str">
        <f t="shared" si="726"/>
        <v/>
      </c>
    </row>
    <row r="43348" spans="8:8" x14ac:dyDescent="0.3">
      <c r="H43348" t="str">
        <f t="shared" si="726"/>
        <v/>
      </c>
    </row>
    <row r="43349" spans="8:8" x14ac:dyDescent="0.3">
      <c r="H43349" t="str">
        <f t="shared" si="726"/>
        <v/>
      </c>
    </row>
    <row r="43350" spans="8:8" x14ac:dyDescent="0.3">
      <c r="H43350" t="str">
        <f t="shared" si="726"/>
        <v/>
      </c>
    </row>
    <row r="43351" spans="8:8" x14ac:dyDescent="0.3">
      <c r="H43351" t="str">
        <f t="shared" ref="H43351:H43414" si="727">IF(B43351="","",$C$12)</f>
        <v/>
      </c>
    </row>
    <row r="43352" spans="8:8" x14ac:dyDescent="0.3">
      <c r="H43352" t="str">
        <f t="shared" si="727"/>
        <v/>
      </c>
    </row>
    <row r="43353" spans="8:8" x14ac:dyDescent="0.3">
      <c r="H43353" t="str">
        <f t="shared" si="727"/>
        <v/>
      </c>
    </row>
    <row r="43354" spans="8:8" x14ac:dyDescent="0.3">
      <c r="H43354" t="str">
        <f t="shared" si="727"/>
        <v/>
      </c>
    </row>
    <row r="43355" spans="8:8" x14ac:dyDescent="0.3">
      <c r="H43355" t="str">
        <f t="shared" si="727"/>
        <v/>
      </c>
    </row>
    <row r="43356" spans="8:8" x14ac:dyDescent="0.3">
      <c r="H43356" t="str">
        <f t="shared" si="727"/>
        <v/>
      </c>
    </row>
    <row r="43357" spans="8:8" x14ac:dyDescent="0.3">
      <c r="H43357" t="str">
        <f t="shared" si="727"/>
        <v/>
      </c>
    </row>
    <row r="43358" spans="8:8" x14ac:dyDescent="0.3">
      <c r="H43358" t="str">
        <f t="shared" si="727"/>
        <v/>
      </c>
    </row>
    <row r="43359" spans="8:8" x14ac:dyDescent="0.3">
      <c r="H43359" t="str">
        <f t="shared" si="727"/>
        <v/>
      </c>
    </row>
    <row r="43360" spans="8:8" x14ac:dyDescent="0.3">
      <c r="H43360" t="str">
        <f t="shared" si="727"/>
        <v/>
      </c>
    </row>
    <row r="43361" spans="8:8" x14ac:dyDescent="0.3">
      <c r="H43361" t="str">
        <f t="shared" si="727"/>
        <v/>
      </c>
    </row>
    <row r="43362" spans="8:8" x14ac:dyDescent="0.3">
      <c r="H43362" t="str">
        <f t="shared" si="727"/>
        <v/>
      </c>
    </row>
    <row r="43363" spans="8:8" x14ac:dyDescent="0.3">
      <c r="H43363" t="str">
        <f t="shared" si="727"/>
        <v/>
      </c>
    </row>
    <row r="43364" spans="8:8" x14ac:dyDescent="0.3">
      <c r="H43364" t="str">
        <f t="shared" si="727"/>
        <v/>
      </c>
    </row>
    <row r="43365" spans="8:8" x14ac:dyDescent="0.3">
      <c r="H43365" t="str">
        <f t="shared" si="727"/>
        <v/>
      </c>
    </row>
    <row r="43366" spans="8:8" x14ac:dyDescent="0.3">
      <c r="H43366" t="str">
        <f t="shared" si="727"/>
        <v/>
      </c>
    </row>
    <row r="43367" spans="8:8" x14ac:dyDescent="0.3">
      <c r="H43367" t="str">
        <f t="shared" si="727"/>
        <v/>
      </c>
    </row>
    <row r="43368" spans="8:8" x14ac:dyDescent="0.3">
      <c r="H43368" t="str">
        <f t="shared" si="727"/>
        <v/>
      </c>
    </row>
    <row r="43369" spans="8:8" x14ac:dyDescent="0.3">
      <c r="H43369" t="str">
        <f t="shared" si="727"/>
        <v/>
      </c>
    </row>
    <row r="43370" spans="8:8" x14ac:dyDescent="0.3">
      <c r="H43370" t="str">
        <f t="shared" si="727"/>
        <v/>
      </c>
    </row>
    <row r="43371" spans="8:8" x14ac:dyDescent="0.3">
      <c r="H43371" t="str">
        <f t="shared" si="727"/>
        <v/>
      </c>
    </row>
    <row r="43372" spans="8:8" x14ac:dyDescent="0.3">
      <c r="H43372" t="str">
        <f t="shared" si="727"/>
        <v/>
      </c>
    </row>
    <row r="43373" spans="8:8" x14ac:dyDescent="0.3">
      <c r="H43373" t="str">
        <f t="shared" si="727"/>
        <v/>
      </c>
    </row>
    <row r="43374" spans="8:8" x14ac:dyDescent="0.3">
      <c r="H43374" t="str">
        <f t="shared" si="727"/>
        <v/>
      </c>
    </row>
    <row r="43375" spans="8:8" x14ac:dyDescent="0.3">
      <c r="H43375" t="str">
        <f t="shared" si="727"/>
        <v/>
      </c>
    </row>
    <row r="43376" spans="8:8" x14ac:dyDescent="0.3">
      <c r="H43376" t="str">
        <f t="shared" si="727"/>
        <v/>
      </c>
    </row>
    <row r="43377" spans="8:8" x14ac:dyDescent="0.3">
      <c r="H43377" t="str">
        <f t="shared" si="727"/>
        <v/>
      </c>
    </row>
    <row r="43378" spans="8:8" x14ac:dyDescent="0.3">
      <c r="H43378" t="str">
        <f t="shared" si="727"/>
        <v/>
      </c>
    </row>
    <row r="43379" spans="8:8" x14ac:dyDescent="0.3">
      <c r="H43379" t="str">
        <f t="shared" si="727"/>
        <v/>
      </c>
    </row>
    <row r="43380" spans="8:8" x14ac:dyDescent="0.3">
      <c r="H43380" t="str">
        <f t="shared" si="727"/>
        <v/>
      </c>
    </row>
    <row r="43381" spans="8:8" x14ac:dyDescent="0.3">
      <c r="H43381" t="str">
        <f t="shared" si="727"/>
        <v/>
      </c>
    </row>
    <row r="43382" spans="8:8" x14ac:dyDescent="0.3">
      <c r="H43382" t="str">
        <f t="shared" si="727"/>
        <v/>
      </c>
    </row>
    <row r="43383" spans="8:8" x14ac:dyDescent="0.3">
      <c r="H43383" t="str">
        <f t="shared" si="727"/>
        <v/>
      </c>
    </row>
    <row r="43384" spans="8:8" x14ac:dyDescent="0.3">
      <c r="H43384" t="str">
        <f t="shared" si="727"/>
        <v/>
      </c>
    </row>
    <row r="43385" spans="8:8" x14ac:dyDescent="0.3">
      <c r="H43385" t="str">
        <f t="shared" si="727"/>
        <v/>
      </c>
    </row>
    <row r="43386" spans="8:8" x14ac:dyDescent="0.3">
      <c r="H43386" t="str">
        <f t="shared" si="727"/>
        <v/>
      </c>
    </row>
    <row r="43387" spans="8:8" x14ac:dyDescent="0.3">
      <c r="H43387" t="str">
        <f t="shared" si="727"/>
        <v/>
      </c>
    </row>
    <row r="43388" spans="8:8" x14ac:dyDescent="0.3">
      <c r="H43388" t="str">
        <f t="shared" si="727"/>
        <v/>
      </c>
    </row>
    <row r="43389" spans="8:8" x14ac:dyDescent="0.3">
      <c r="H43389" t="str">
        <f t="shared" si="727"/>
        <v/>
      </c>
    </row>
    <row r="43390" spans="8:8" x14ac:dyDescent="0.3">
      <c r="H43390" t="str">
        <f t="shared" si="727"/>
        <v/>
      </c>
    </row>
    <row r="43391" spans="8:8" x14ac:dyDescent="0.3">
      <c r="H43391" t="str">
        <f t="shared" si="727"/>
        <v/>
      </c>
    </row>
    <row r="43392" spans="8:8" x14ac:dyDescent="0.3">
      <c r="H43392" t="str">
        <f t="shared" si="727"/>
        <v/>
      </c>
    </row>
    <row r="43393" spans="8:8" x14ac:dyDescent="0.3">
      <c r="H43393" t="str">
        <f t="shared" si="727"/>
        <v/>
      </c>
    </row>
    <row r="43394" spans="8:8" x14ac:dyDescent="0.3">
      <c r="H43394" t="str">
        <f t="shared" si="727"/>
        <v/>
      </c>
    </row>
    <row r="43395" spans="8:8" x14ac:dyDescent="0.3">
      <c r="H43395" t="str">
        <f t="shared" si="727"/>
        <v/>
      </c>
    </row>
    <row r="43396" spans="8:8" x14ac:dyDescent="0.3">
      <c r="H43396" t="str">
        <f t="shared" si="727"/>
        <v/>
      </c>
    </row>
    <row r="43397" spans="8:8" x14ac:dyDescent="0.3">
      <c r="H43397" t="str">
        <f t="shared" si="727"/>
        <v/>
      </c>
    </row>
    <row r="43398" spans="8:8" x14ac:dyDescent="0.3">
      <c r="H43398" t="str">
        <f t="shared" si="727"/>
        <v/>
      </c>
    </row>
    <row r="43399" spans="8:8" x14ac:dyDescent="0.3">
      <c r="H43399" t="str">
        <f t="shared" si="727"/>
        <v/>
      </c>
    </row>
    <row r="43400" spans="8:8" x14ac:dyDescent="0.3">
      <c r="H43400" t="str">
        <f t="shared" si="727"/>
        <v/>
      </c>
    </row>
    <row r="43401" spans="8:8" x14ac:dyDescent="0.3">
      <c r="H43401" t="str">
        <f t="shared" si="727"/>
        <v/>
      </c>
    </row>
    <row r="43402" spans="8:8" x14ac:dyDescent="0.3">
      <c r="H43402" t="str">
        <f t="shared" si="727"/>
        <v/>
      </c>
    </row>
    <row r="43403" spans="8:8" x14ac:dyDescent="0.3">
      <c r="H43403" t="str">
        <f t="shared" si="727"/>
        <v/>
      </c>
    </row>
    <row r="43404" spans="8:8" x14ac:dyDescent="0.3">
      <c r="H43404" t="str">
        <f t="shared" si="727"/>
        <v/>
      </c>
    </row>
    <row r="43405" spans="8:8" x14ac:dyDescent="0.3">
      <c r="H43405" t="str">
        <f t="shared" si="727"/>
        <v/>
      </c>
    </row>
    <row r="43406" spans="8:8" x14ac:dyDescent="0.3">
      <c r="H43406" t="str">
        <f t="shared" si="727"/>
        <v/>
      </c>
    </row>
    <row r="43407" spans="8:8" x14ac:dyDescent="0.3">
      <c r="H43407" t="str">
        <f t="shared" si="727"/>
        <v/>
      </c>
    </row>
    <row r="43408" spans="8:8" x14ac:dyDescent="0.3">
      <c r="H43408" t="str">
        <f t="shared" si="727"/>
        <v/>
      </c>
    </row>
    <row r="43409" spans="8:8" x14ac:dyDescent="0.3">
      <c r="H43409" t="str">
        <f t="shared" si="727"/>
        <v/>
      </c>
    </row>
    <row r="43410" spans="8:8" x14ac:dyDescent="0.3">
      <c r="H43410" t="str">
        <f t="shared" si="727"/>
        <v/>
      </c>
    </row>
    <row r="43411" spans="8:8" x14ac:dyDescent="0.3">
      <c r="H43411" t="str">
        <f t="shared" si="727"/>
        <v/>
      </c>
    </row>
    <row r="43412" spans="8:8" x14ac:dyDescent="0.3">
      <c r="H43412" t="str">
        <f t="shared" si="727"/>
        <v/>
      </c>
    </row>
    <row r="43413" spans="8:8" x14ac:dyDescent="0.3">
      <c r="H43413" t="str">
        <f t="shared" si="727"/>
        <v/>
      </c>
    </row>
    <row r="43414" spans="8:8" x14ac:dyDescent="0.3">
      <c r="H43414" t="str">
        <f t="shared" si="727"/>
        <v/>
      </c>
    </row>
    <row r="43415" spans="8:8" x14ac:dyDescent="0.3">
      <c r="H43415" t="str">
        <f t="shared" ref="H43415:H43478" si="728">IF(B43415="","",$C$12)</f>
        <v/>
      </c>
    </row>
    <row r="43416" spans="8:8" x14ac:dyDescent="0.3">
      <c r="H43416" t="str">
        <f t="shared" si="728"/>
        <v/>
      </c>
    </row>
    <row r="43417" spans="8:8" x14ac:dyDescent="0.3">
      <c r="H43417" t="str">
        <f t="shared" si="728"/>
        <v/>
      </c>
    </row>
    <row r="43418" spans="8:8" x14ac:dyDescent="0.3">
      <c r="H43418" t="str">
        <f t="shared" si="728"/>
        <v/>
      </c>
    </row>
    <row r="43419" spans="8:8" x14ac:dyDescent="0.3">
      <c r="H43419" t="str">
        <f t="shared" si="728"/>
        <v/>
      </c>
    </row>
    <row r="43420" spans="8:8" x14ac:dyDescent="0.3">
      <c r="H43420" t="str">
        <f t="shared" si="728"/>
        <v/>
      </c>
    </row>
    <row r="43421" spans="8:8" x14ac:dyDescent="0.3">
      <c r="H43421" t="str">
        <f t="shared" si="728"/>
        <v/>
      </c>
    </row>
    <row r="43422" spans="8:8" x14ac:dyDescent="0.3">
      <c r="H43422" t="str">
        <f t="shared" si="728"/>
        <v/>
      </c>
    </row>
    <row r="43423" spans="8:8" x14ac:dyDescent="0.3">
      <c r="H43423" t="str">
        <f t="shared" si="728"/>
        <v/>
      </c>
    </row>
    <row r="43424" spans="8:8" x14ac:dyDescent="0.3">
      <c r="H43424" t="str">
        <f t="shared" si="728"/>
        <v/>
      </c>
    </row>
    <row r="43425" spans="8:8" x14ac:dyDescent="0.3">
      <c r="H43425" t="str">
        <f t="shared" si="728"/>
        <v/>
      </c>
    </row>
    <row r="43426" spans="8:8" x14ac:dyDescent="0.3">
      <c r="H43426" t="str">
        <f t="shared" si="728"/>
        <v/>
      </c>
    </row>
    <row r="43427" spans="8:8" x14ac:dyDescent="0.3">
      <c r="H43427" t="str">
        <f t="shared" si="728"/>
        <v/>
      </c>
    </row>
    <row r="43428" spans="8:8" x14ac:dyDescent="0.3">
      <c r="H43428" t="str">
        <f t="shared" si="728"/>
        <v/>
      </c>
    </row>
    <row r="43429" spans="8:8" x14ac:dyDescent="0.3">
      <c r="H43429" t="str">
        <f t="shared" si="728"/>
        <v/>
      </c>
    </row>
    <row r="43430" spans="8:8" x14ac:dyDescent="0.3">
      <c r="H43430" t="str">
        <f t="shared" si="728"/>
        <v/>
      </c>
    </row>
    <row r="43431" spans="8:8" x14ac:dyDescent="0.3">
      <c r="H43431" t="str">
        <f t="shared" si="728"/>
        <v/>
      </c>
    </row>
    <row r="43432" spans="8:8" x14ac:dyDescent="0.3">
      <c r="H43432" t="str">
        <f t="shared" si="728"/>
        <v/>
      </c>
    </row>
    <row r="43433" spans="8:8" x14ac:dyDescent="0.3">
      <c r="H43433" t="str">
        <f t="shared" si="728"/>
        <v/>
      </c>
    </row>
    <row r="43434" spans="8:8" x14ac:dyDescent="0.3">
      <c r="H43434" t="str">
        <f t="shared" si="728"/>
        <v/>
      </c>
    </row>
    <row r="43435" spans="8:8" x14ac:dyDescent="0.3">
      <c r="H43435" t="str">
        <f t="shared" si="728"/>
        <v/>
      </c>
    </row>
    <row r="43436" spans="8:8" x14ac:dyDescent="0.3">
      <c r="H43436" t="str">
        <f t="shared" si="728"/>
        <v/>
      </c>
    </row>
    <row r="43437" spans="8:8" x14ac:dyDescent="0.3">
      <c r="H43437" t="str">
        <f t="shared" si="728"/>
        <v/>
      </c>
    </row>
    <row r="43438" spans="8:8" x14ac:dyDescent="0.3">
      <c r="H43438" t="str">
        <f t="shared" si="728"/>
        <v/>
      </c>
    </row>
    <row r="43439" spans="8:8" x14ac:dyDescent="0.3">
      <c r="H43439" t="str">
        <f t="shared" si="728"/>
        <v/>
      </c>
    </row>
    <row r="43440" spans="8:8" x14ac:dyDescent="0.3">
      <c r="H43440" t="str">
        <f t="shared" si="728"/>
        <v/>
      </c>
    </row>
    <row r="43441" spans="8:8" x14ac:dyDescent="0.3">
      <c r="H43441" t="str">
        <f t="shared" si="728"/>
        <v/>
      </c>
    </row>
    <row r="43442" spans="8:8" x14ac:dyDescent="0.3">
      <c r="H43442" t="str">
        <f t="shared" si="728"/>
        <v/>
      </c>
    </row>
    <row r="43443" spans="8:8" x14ac:dyDescent="0.3">
      <c r="H43443" t="str">
        <f t="shared" si="728"/>
        <v/>
      </c>
    </row>
    <row r="43444" spans="8:8" x14ac:dyDescent="0.3">
      <c r="H43444" t="str">
        <f t="shared" si="728"/>
        <v/>
      </c>
    </row>
    <row r="43445" spans="8:8" x14ac:dyDescent="0.3">
      <c r="H43445" t="str">
        <f t="shared" si="728"/>
        <v/>
      </c>
    </row>
    <row r="43446" spans="8:8" x14ac:dyDescent="0.3">
      <c r="H43446" t="str">
        <f t="shared" si="728"/>
        <v/>
      </c>
    </row>
    <row r="43447" spans="8:8" x14ac:dyDescent="0.3">
      <c r="H43447" t="str">
        <f t="shared" si="728"/>
        <v/>
      </c>
    </row>
    <row r="43448" spans="8:8" x14ac:dyDescent="0.3">
      <c r="H43448" t="str">
        <f t="shared" si="728"/>
        <v/>
      </c>
    </row>
    <row r="43449" spans="8:8" x14ac:dyDescent="0.3">
      <c r="H43449" t="str">
        <f t="shared" si="728"/>
        <v/>
      </c>
    </row>
    <row r="43450" spans="8:8" x14ac:dyDescent="0.3">
      <c r="H43450" t="str">
        <f t="shared" si="728"/>
        <v/>
      </c>
    </row>
    <row r="43451" spans="8:8" x14ac:dyDescent="0.3">
      <c r="H43451" t="str">
        <f t="shared" si="728"/>
        <v/>
      </c>
    </row>
    <row r="43452" spans="8:8" x14ac:dyDescent="0.3">
      <c r="H43452" t="str">
        <f t="shared" si="728"/>
        <v/>
      </c>
    </row>
    <row r="43453" spans="8:8" x14ac:dyDescent="0.3">
      <c r="H43453" t="str">
        <f t="shared" si="728"/>
        <v/>
      </c>
    </row>
    <row r="43454" spans="8:8" x14ac:dyDescent="0.3">
      <c r="H43454" t="str">
        <f t="shared" si="728"/>
        <v/>
      </c>
    </row>
    <row r="43455" spans="8:8" x14ac:dyDescent="0.3">
      <c r="H43455" t="str">
        <f t="shared" si="728"/>
        <v/>
      </c>
    </row>
    <row r="43456" spans="8:8" x14ac:dyDescent="0.3">
      <c r="H43456" t="str">
        <f t="shared" si="728"/>
        <v/>
      </c>
    </row>
    <row r="43457" spans="8:8" x14ac:dyDescent="0.3">
      <c r="H43457" t="str">
        <f t="shared" si="728"/>
        <v/>
      </c>
    </row>
    <row r="43458" spans="8:8" x14ac:dyDescent="0.3">
      <c r="H43458" t="str">
        <f t="shared" si="728"/>
        <v/>
      </c>
    </row>
    <row r="43459" spans="8:8" x14ac:dyDescent="0.3">
      <c r="H43459" t="str">
        <f t="shared" si="728"/>
        <v/>
      </c>
    </row>
    <row r="43460" spans="8:8" x14ac:dyDescent="0.3">
      <c r="H43460" t="str">
        <f t="shared" si="728"/>
        <v/>
      </c>
    </row>
    <row r="43461" spans="8:8" x14ac:dyDescent="0.3">
      <c r="H43461" t="str">
        <f t="shared" si="728"/>
        <v/>
      </c>
    </row>
    <row r="43462" spans="8:8" x14ac:dyDescent="0.3">
      <c r="H43462" t="str">
        <f t="shared" si="728"/>
        <v/>
      </c>
    </row>
    <row r="43463" spans="8:8" x14ac:dyDescent="0.3">
      <c r="H43463" t="str">
        <f t="shared" si="728"/>
        <v/>
      </c>
    </row>
    <row r="43464" spans="8:8" x14ac:dyDescent="0.3">
      <c r="H43464" t="str">
        <f t="shared" si="728"/>
        <v/>
      </c>
    </row>
    <row r="43465" spans="8:8" x14ac:dyDescent="0.3">
      <c r="H43465" t="str">
        <f t="shared" si="728"/>
        <v/>
      </c>
    </row>
    <row r="43466" spans="8:8" x14ac:dyDescent="0.3">
      <c r="H43466" t="str">
        <f t="shared" si="728"/>
        <v/>
      </c>
    </row>
    <row r="43467" spans="8:8" x14ac:dyDescent="0.3">
      <c r="H43467" t="str">
        <f t="shared" si="728"/>
        <v/>
      </c>
    </row>
    <row r="43468" spans="8:8" x14ac:dyDescent="0.3">
      <c r="H43468" t="str">
        <f t="shared" si="728"/>
        <v/>
      </c>
    </row>
    <row r="43469" spans="8:8" x14ac:dyDescent="0.3">
      <c r="H43469" t="str">
        <f t="shared" si="728"/>
        <v/>
      </c>
    </row>
    <row r="43470" spans="8:8" x14ac:dyDescent="0.3">
      <c r="H43470" t="str">
        <f t="shared" si="728"/>
        <v/>
      </c>
    </row>
    <row r="43471" spans="8:8" x14ac:dyDescent="0.3">
      <c r="H43471" t="str">
        <f t="shared" si="728"/>
        <v/>
      </c>
    </row>
    <row r="43472" spans="8:8" x14ac:dyDescent="0.3">
      <c r="H43472" t="str">
        <f t="shared" si="728"/>
        <v/>
      </c>
    </row>
    <row r="43473" spans="8:8" x14ac:dyDescent="0.3">
      <c r="H43473" t="str">
        <f t="shared" si="728"/>
        <v/>
      </c>
    </row>
    <row r="43474" spans="8:8" x14ac:dyDescent="0.3">
      <c r="H43474" t="str">
        <f t="shared" si="728"/>
        <v/>
      </c>
    </row>
    <row r="43475" spans="8:8" x14ac:dyDescent="0.3">
      <c r="H43475" t="str">
        <f t="shared" si="728"/>
        <v/>
      </c>
    </row>
    <row r="43476" spans="8:8" x14ac:dyDescent="0.3">
      <c r="H43476" t="str">
        <f t="shared" si="728"/>
        <v/>
      </c>
    </row>
    <row r="43477" spans="8:8" x14ac:dyDescent="0.3">
      <c r="H43477" t="str">
        <f t="shared" si="728"/>
        <v/>
      </c>
    </row>
    <row r="43478" spans="8:8" x14ac:dyDescent="0.3">
      <c r="H43478" t="str">
        <f t="shared" si="728"/>
        <v/>
      </c>
    </row>
    <row r="43479" spans="8:8" x14ac:dyDescent="0.3">
      <c r="H43479" t="str">
        <f t="shared" ref="H43479:H43542" si="729">IF(B43479="","",$C$12)</f>
        <v/>
      </c>
    </row>
    <row r="43480" spans="8:8" x14ac:dyDescent="0.3">
      <c r="H43480" t="str">
        <f t="shared" si="729"/>
        <v/>
      </c>
    </row>
    <row r="43481" spans="8:8" x14ac:dyDescent="0.3">
      <c r="H43481" t="str">
        <f t="shared" si="729"/>
        <v/>
      </c>
    </row>
    <row r="43482" spans="8:8" x14ac:dyDescent="0.3">
      <c r="H43482" t="str">
        <f t="shared" si="729"/>
        <v/>
      </c>
    </row>
    <row r="43483" spans="8:8" x14ac:dyDescent="0.3">
      <c r="H43483" t="str">
        <f t="shared" si="729"/>
        <v/>
      </c>
    </row>
    <row r="43484" spans="8:8" x14ac:dyDescent="0.3">
      <c r="H43484" t="str">
        <f t="shared" si="729"/>
        <v/>
      </c>
    </row>
    <row r="43485" spans="8:8" x14ac:dyDescent="0.3">
      <c r="H43485" t="str">
        <f t="shared" si="729"/>
        <v/>
      </c>
    </row>
    <row r="43486" spans="8:8" x14ac:dyDescent="0.3">
      <c r="H43486" t="str">
        <f t="shared" si="729"/>
        <v/>
      </c>
    </row>
    <row r="43487" spans="8:8" x14ac:dyDescent="0.3">
      <c r="H43487" t="str">
        <f t="shared" si="729"/>
        <v/>
      </c>
    </row>
    <row r="43488" spans="8:8" x14ac:dyDescent="0.3">
      <c r="H43488" t="str">
        <f t="shared" si="729"/>
        <v/>
      </c>
    </row>
    <row r="43489" spans="8:8" x14ac:dyDescent="0.3">
      <c r="H43489" t="str">
        <f t="shared" si="729"/>
        <v/>
      </c>
    </row>
    <row r="43490" spans="8:8" x14ac:dyDescent="0.3">
      <c r="H43490" t="str">
        <f t="shared" si="729"/>
        <v/>
      </c>
    </row>
    <row r="43491" spans="8:8" x14ac:dyDescent="0.3">
      <c r="H43491" t="str">
        <f t="shared" si="729"/>
        <v/>
      </c>
    </row>
    <row r="43492" spans="8:8" x14ac:dyDescent="0.3">
      <c r="H43492" t="str">
        <f t="shared" si="729"/>
        <v/>
      </c>
    </row>
    <row r="43493" spans="8:8" x14ac:dyDescent="0.3">
      <c r="H43493" t="str">
        <f t="shared" si="729"/>
        <v/>
      </c>
    </row>
    <row r="43494" spans="8:8" x14ac:dyDescent="0.3">
      <c r="H43494" t="str">
        <f t="shared" si="729"/>
        <v/>
      </c>
    </row>
    <row r="43495" spans="8:8" x14ac:dyDescent="0.3">
      <c r="H43495" t="str">
        <f t="shared" si="729"/>
        <v/>
      </c>
    </row>
    <row r="43496" spans="8:8" x14ac:dyDescent="0.3">
      <c r="H43496" t="str">
        <f t="shared" si="729"/>
        <v/>
      </c>
    </row>
    <row r="43497" spans="8:8" x14ac:dyDescent="0.3">
      <c r="H43497" t="str">
        <f t="shared" si="729"/>
        <v/>
      </c>
    </row>
    <row r="43498" spans="8:8" x14ac:dyDescent="0.3">
      <c r="H43498" t="str">
        <f t="shared" si="729"/>
        <v/>
      </c>
    </row>
    <row r="43499" spans="8:8" x14ac:dyDescent="0.3">
      <c r="H43499" t="str">
        <f t="shared" si="729"/>
        <v/>
      </c>
    </row>
    <row r="43500" spans="8:8" x14ac:dyDescent="0.3">
      <c r="H43500" t="str">
        <f t="shared" si="729"/>
        <v/>
      </c>
    </row>
    <row r="43501" spans="8:8" x14ac:dyDescent="0.3">
      <c r="H43501" t="str">
        <f t="shared" si="729"/>
        <v/>
      </c>
    </row>
    <row r="43502" spans="8:8" x14ac:dyDescent="0.3">
      <c r="H43502" t="str">
        <f t="shared" si="729"/>
        <v/>
      </c>
    </row>
    <row r="43503" spans="8:8" x14ac:dyDescent="0.3">
      <c r="H43503" t="str">
        <f t="shared" si="729"/>
        <v/>
      </c>
    </row>
    <row r="43504" spans="8:8" x14ac:dyDescent="0.3">
      <c r="H43504" t="str">
        <f t="shared" si="729"/>
        <v/>
      </c>
    </row>
    <row r="43505" spans="8:8" x14ac:dyDescent="0.3">
      <c r="H43505" t="str">
        <f t="shared" si="729"/>
        <v/>
      </c>
    </row>
    <row r="43506" spans="8:8" x14ac:dyDescent="0.3">
      <c r="H43506" t="str">
        <f t="shared" si="729"/>
        <v/>
      </c>
    </row>
    <row r="43507" spans="8:8" x14ac:dyDescent="0.3">
      <c r="H43507" t="str">
        <f t="shared" si="729"/>
        <v/>
      </c>
    </row>
    <row r="43508" spans="8:8" x14ac:dyDescent="0.3">
      <c r="H43508" t="str">
        <f t="shared" si="729"/>
        <v/>
      </c>
    </row>
    <row r="43509" spans="8:8" x14ac:dyDescent="0.3">
      <c r="H43509" t="str">
        <f t="shared" si="729"/>
        <v/>
      </c>
    </row>
    <row r="43510" spans="8:8" x14ac:dyDescent="0.3">
      <c r="H43510" t="str">
        <f t="shared" si="729"/>
        <v/>
      </c>
    </row>
    <row r="43511" spans="8:8" x14ac:dyDescent="0.3">
      <c r="H43511" t="str">
        <f t="shared" si="729"/>
        <v/>
      </c>
    </row>
    <row r="43512" spans="8:8" x14ac:dyDescent="0.3">
      <c r="H43512" t="str">
        <f t="shared" si="729"/>
        <v/>
      </c>
    </row>
    <row r="43513" spans="8:8" x14ac:dyDescent="0.3">
      <c r="H43513" t="str">
        <f t="shared" si="729"/>
        <v/>
      </c>
    </row>
    <row r="43514" spans="8:8" x14ac:dyDescent="0.3">
      <c r="H43514" t="str">
        <f t="shared" si="729"/>
        <v/>
      </c>
    </row>
    <row r="43515" spans="8:8" x14ac:dyDescent="0.3">
      <c r="H43515" t="str">
        <f t="shared" si="729"/>
        <v/>
      </c>
    </row>
    <row r="43516" spans="8:8" x14ac:dyDescent="0.3">
      <c r="H43516" t="str">
        <f t="shared" si="729"/>
        <v/>
      </c>
    </row>
    <row r="43517" spans="8:8" x14ac:dyDescent="0.3">
      <c r="H43517" t="str">
        <f t="shared" si="729"/>
        <v/>
      </c>
    </row>
    <row r="43518" spans="8:8" x14ac:dyDescent="0.3">
      <c r="H43518" t="str">
        <f t="shared" si="729"/>
        <v/>
      </c>
    </row>
    <row r="43519" spans="8:8" x14ac:dyDescent="0.3">
      <c r="H43519" t="str">
        <f t="shared" si="729"/>
        <v/>
      </c>
    </row>
    <row r="43520" spans="8:8" x14ac:dyDescent="0.3">
      <c r="H43520" t="str">
        <f t="shared" si="729"/>
        <v/>
      </c>
    </row>
    <row r="43521" spans="8:8" x14ac:dyDescent="0.3">
      <c r="H43521" t="str">
        <f t="shared" si="729"/>
        <v/>
      </c>
    </row>
    <row r="43522" spans="8:8" x14ac:dyDescent="0.3">
      <c r="H43522" t="str">
        <f t="shared" si="729"/>
        <v/>
      </c>
    </row>
    <row r="43523" spans="8:8" x14ac:dyDescent="0.3">
      <c r="H43523" t="str">
        <f t="shared" si="729"/>
        <v/>
      </c>
    </row>
    <row r="43524" spans="8:8" x14ac:dyDescent="0.3">
      <c r="H43524" t="str">
        <f t="shared" si="729"/>
        <v/>
      </c>
    </row>
    <row r="43525" spans="8:8" x14ac:dyDescent="0.3">
      <c r="H43525" t="str">
        <f t="shared" si="729"/>
        <v/>
      </c>
    </row>
    <row r="43526" spans="8:8" x14ac:dyDescent="0.3">
      <c r="H43526" t="str">
        <f t="shared" si="729"/>
        <v/>
      </c>
    </row>
    <row r="43527" spans="8:8" x14ac:dyDescent="0.3">
      <c r="H43527" t="str">
        <f t="shared" si="729"/>
        <v/>
      </c>
    </row>
    <row r="43528" spans="8:8" x14ac:dyDescent="0.3">
      <c r="H43528" t="str">
        <f t="shared" si="729"/>
        <v/>
      </c>
    </row>
    <row r="43529" spans="8:8" x14ac:dyDescent="0.3">
      <c r="H43529" t="str">
        <f t="shared" si="729"/>
        <v/>
      </c>
    </row>
    <row r="43530" spans="8:8" x14ac:dyDescent="0.3">
      <c r="H43530" t="str">
        <f t="shared" si="729"/>
        <v/>
      </c>
    </row>
    <row r="43531" spans="8:8" x14ac:dyDescent="0.3">
      <c r="H43531" t="str">
        <f t="shared" si="729"/>
        <v/>
      </c>
    </row>
    <row r="43532" spans="8:8" x14ac:dyDescent="0.3">
      <c r="H43532" t="str">
        <f t="shared" si="729"/>
        <v/>
      </c>
    </row>
    <row r="43533" spans="8:8" x14ac:dyDescent="0.3">
      <c r="H43533" t="str">
        <f t="shared" si="729"/>
        <v/>
      </c>
    </row>
    <row r="43534" spans="8:8" x14ac:dyDescent="0.3">
      <c r="H43534" t="str">
        <f t="shared" si="729"/>
        <v/>
      </c>
    </row>
    <row r="43535" spans="8:8" x14ac:dyDescent="0.3">
      <c r="H43535" t="str">
        <f t="shared" si="729"/>
        <v/>
      </c>
    </row>
    <row r="43536" spans="8:8" x14ac:dyDescent="0.3">
      <c r="H43536" t="str">
        <f t="shared" si="729"/>
        <v/>
      </c>
    </row>
    <row r="43537" spans="8:8" x14ac:dyDescent="0.3">
      <c r="H43537" t="str">
        <f t="shared" si="729"/>
        <v/>
      </c>
    </row>
    <row r="43538" spans="8:8" x14ac:dyDescent="0.3">
      <c r="H43538" t="str">
        <f t="shared" si="729"/>
        <v/>
      </c>
    </row>
    <row r="43539" spans="8:8" x14ac:dyDescent="0.3">
      <c r="H43539" t="str">
        <f t="shared" si="729"/>
        <v/>
      </c>
    </row>
    <row r="43540" spans="8:8" x14ac:dyDescent="0.3">
      <c r="H43540" t="str">
        <f t="shared" si="729"/>
        <v/>
      </c>
    </row>
    <row r="43541" spans="8:8" x14ac:dyDescent="0.3">
      <c r="H43541" t="str">
        <f t="shared" si="729"/>
        <v/>
      </c>
    </row>
    <row r="43542" spans="8:8" x14ac:dyDescent="0.3">
      <c r="H43542" t="str">
        <f t="shared" si="729"/>
        <v/>
      </c>
    </row>
    <row r="43543" spans="8:8" x14ac:dyDescent="0.3">
      <c r="H43543" t="str">
        <f t="shared" ref="H43543:H43606" si="730">IF(B43543="","",$C$12)</f>
        <v/>
      </c>
    </row>
    <row r="43544" spans="8:8" x14ac:dyDescent="0.3">
      <c r="H43544" t="str">
        <f t="shared" si="730"/>
        <v/>
      </c>
    </row>
    <row r="43545" spans="8:8" x14ac:dyDescent="0.3">
      <c r="H43545" t="str">
        <f t="shared" si="730"/>
        <v/>
      </c>
    </row>
    <row r="43546" spans="8:8" x14ac:dyDescent="0.3">
      <c r="H43546" t="str">
        <f t="shared" si="730"/>
        <v/>
      </c>
    </row>
    <row r="43547" spans="8:8" x14ac:dyDescent="0.3">
      <c r="H43547" t="str">
        <f t="shared" si="730"/>
        <v/>
      </c>
    </row>
    <row r="43548" spans="8:8" x14ac:dyDescent="0.3">
      <c r="H43548" t="str">
        <f t="shared" si="730"/>
        <v/>
      </c>
    </row>
    <row r="43549" spans="8:8" x14ac:dyDescent="0.3">
      <c r="H43549" t="str">
        <f t="shared" si="730"/>
        <v/>
      </c>
    </row>
    <row r="43550" spans="8:8" x14ac:dyDescent="0.3">
      <c r="H43550" t="str">
        <f t="shared" si="730"/>
        <v/>
      </c>
    </row>
    <row r="43551" spans="8:8" x14ac:dyDescent="0.3">
      <c r="H43551" t="str">
        <f t="shared" si="730"/>
        <v/>
      </c>
    </row>
    <row r="43552" spans="8:8" x14ac:dyDescent="0.3">
      <c r="H43552" t="str">
        <f t="shared" si="730"/>
        <v/>
      </c>
    </row>
    <row r="43553" spans="8:8" x14ac:dyDescent="0.3">
      <c r="H43553" t="str">
        <f t="shared" si="730"/>
        <v/>
      </c>
    </row>
    <row r="43554" spans="8:8" x14ac:dyDescent="0.3">
      <c r="H43554" t="str">
        <f t="shared" si="730"/>
        <v/>
      </c>
    </row>
    <row r="43555" spans="8:8" x14ac:dyDescent="0.3">
      <c r="H43555" t="str">
        <f t="shared" si="730"/>
        <v/>
      </c>
    </row>
    <row r="43556" spans="8:8" x14ac:dyDescent="0.3">
      <c r="H43556" t="str">
        <f t="shared" si="730"/>
        <v/>
      </c>
    </row>
    <row r="43557" spans="8:8" x14ac:dyDescent="0.3">
      <c r="H43557" t="str">
        <f t="shared" si="730"/>
        <v/>
      </c>
    </row>
    <row r="43558" spans="8:8" x14ac:dyDescent="0.3">
      <c r="H43558" t="str">
        <f t="shared" si="730"/>
        <v/>
      </c>
    </row>
    <row r="43559" spans="8:8" x14ac:dyDescent="0.3">
      <c r="H43559" t="str">
        <f t="shared" si="730"/>
        <v/>
      </c>
    </row>
    <row r="43560" spans="8:8" x14ac:dyDescent="0.3">
      <c r="H43560" t="str">
        <f t="shared" si="730"/>
        <v/>
      </c>
    </row>
    <row r="43561" spans="8:8" x14ac:dyDescent="0.3">
      <c r="H43561" t="str">
        <f t="shared" si="730"/>
        <v/>
      </c>
    </row>
    <row r="43562" spans="8:8" x14ac:dyDescent="0.3">
      <c r="H43562" t="str">
        <f t="shared" si="730"/>
        <v/>
      </c>
    </row>
    <row r="43563" spans="8:8" x14ac:dyDescent="0.3">
      <c r="H43563" t="str">
        <f t="shared" si="730"/>
        <v/>
      </c>
    </row>
    <row r="43564" spans="8:8" x14ac:dyDescent="0.3">
      <c r="H43564" t="str">
        <f t="shared" si="730"/>
        <v/>
      </c>
    </row>
    <row r="43565" spans="8:8" x14ac:dyDescent="0.3">
      <c r="H43565" t="str">
        <f t="shared" si="730"/>
        <v/>
      </c>
    </row>
    <row r="43566" spans="8:8" x14ac:dyDescent="0.3">
      <c r="H43566" t="str">
        <f t="shared" si="730"/>
        <v/>
      </c>
    </row>
    <row r="43567" spans="8:8" x14ac:dyDescent="0.3">
      <c r="H43567" t="str">
        <f t="shared" si="730"/>
        <v/>
      </c>
    </row>
    <row r="43568" spans="8:8" x14ac:dyDescent="0.3">
      <c r="H43568" t="str">
        <f t="shared" si="730"/>
        <v/>
      </c>
    </row>
    <row r="43569" spans="8:8" x14ac:dyDescent="0.3">
      <c r="H43569" t="str">
        <f t="shared" si="730"/>
        <v/>
      </c>
    </row>
    <row r="43570" spans="8:8" x14ac:dyDescent="0.3">
      <c r="H43570" t="str">
        <f t="shared" si="730"/>
        <v/>
      </c>
    </row>
    <row r="43571" spans="8:8" x14ac:dyDescent="0.3">
      <c r="H43571" t="str">
        <f t="shared" si="730"/>
        <v/>
      </c>
    </row>
    <row r="43572" spans="8:8" x14ac:dyDescent="0.3">
      <c r="H43572" t="str">
        <f t="shared" si="730"/>
        <v/>
      </c>
    </row>
    <row r="43573" spans="8:8" x14ac:dyDescent="0.3">
      <c r="H43573" t="str">
        <f t="shared" si="730"/>
        <v/>
      </c>
    </row>
    <row r="43574" spans="8:8" x14ac:dyDescent="0.3">
      <c r="H43574" t="str">
        <f t="shared" si="730"/>
        <v/>
      </c>
    </row>
    <row r="43575" spans="8:8" x14ac:dyDescent="0.3">
      <c r="H43575" t="str">
        <f t="shared" si="730"/>
        <v/>
      </c>
    </row>
    <row r="43576" spans="8:8" x14ac:dyDescent="0.3">
      <c r="H43576" t="str">
        <f t="shared" si="730"/>
        <v/>
      </c>
    </row>
    <row r="43577" spans="8:8" x14ac:dyDescent="0.3">
      <c r="H43577" t="str">
        <f t="shared" si="730"/>
        <v/>
      </c>
    </row>
    <row r="43578" spans="8:8" x14ac:dyDescent="0.3">
      <c r="H43578" t="str">
        <f t="shared" si="730"/>
        <v/>
      </c>
    </row>
    <row r="43579" spans="8:8" x14ac:dyDescent="0.3">
      <c r="H43579" t="str">
        <f t="shared" si="730"/>
        <v/>
      </c>
    </row>
    <row r="43580" spans="8:8" x14ac:dyDescent="0.3">
      <c r="H43580" t="str">
        <f t="shared" si="730"/>
        <v/>
      </c>
    </row>
    <row r="43581" spans="8:8" x14ac:dyDescent="0.3">
      <c r="H43581" t="str">
        <f t="shared" si="730"/>
        <v/>
      </c>
    </row>
    <row r="43582" spans="8:8" x14ac:dyDescent="0.3">
      <c r="H43582" t="str">
        <f t="shared" si="730"/>
        <v/>
      </c>
    </row>
    <row r="43583" spans="8:8" x14ac:dyDescent="0.3">
      <c r="H43583" t="str">
        <f t="shared" si="730"/>
        <v/>
      </c>
    </row>
    <row r="43584" spans="8:8" x14ac:dyDescent="0.3">
      <c r="H43584" t="str">
        <f t="shared" si="730"/>
        <v/>
      </c>
    </row>
    <row r="43585" spans="8:8" x14ac:dyDescent="0.3">
      <c r="H43585" t="str">
        <f t="shared" si="730"/>
        <v/>
      </c>
    </row>
    <row r="43586" spans="8:8" x14ac:dyDescent="0.3">
      <c r="H43586" t="str">
        <f t="shared" si="730"/>
        <v/>
      </c>
    </row>
    <row r="43587" spans="8:8" x14ac:dyDescent="0.3">
      <c r="H43587" t="str">
        <f t="shared" si="730"/>
        <v/>
      </c>
    </row>
    <row r="43588" spans="8:8" x14ac:dyDescent="0.3">
      <c r="H43588" t="str">
        <f t="shared" si="730"/>
        <v/>
      </c>
    </row>
    <row r="43589" spans="8:8" x14ac:dyDescent="0.3">
      <c r="H43589" t="str">
        <f t="shared" si="730"/>
        <v/>
      </c>
    </row>
    <row r="43590" spans="8:8" x14ac:dyDescent="0.3">
      <c r="H43590" t="str">
        <f t="shared" si="730"/>
        <v/>
      </c>
    </row>
    <row r="43591" spans="8:8" x14ac:dyDescent="0.3">
      <c r="H43591" t="str">
        <f t="shared" si="730"/>
        <v/>
      </c>
    </row>
    <row r="43592" spans="8:8" x14ac:dyDescent="0.3">
      <c r="H43592" t="str">
        <f t="shared" si="730"/>
        <v/>
      </c>
    </row>
    <row r="43593" spans="8:8" x14ac:dyDescent="0.3">
      <c r="H43593" t="str">
        <f t="shared" si="730"/>
        <v/>
      </c>
    </row>
    <row r="43594" spans="8:8" x14ac:dyDescent="0.3">
      <c r="H43594" t="str">
        <f t="shared" si="730"/>
        <v/>
      </c>
    </row>
    <row r="43595" spans="8:8" x14ac:dyDescent="0.3">
      <c r="H43595" t="str">
        <f t="shared" si="730"/>
        <v/>
      </c>
    </row>
    <row r="43596" spans="8:8" x14ac:dyDescent="0.3">
      <c r="H43596" t="str">
        <f t="shared" si="730"/>
        <v/>
      </c>
    </row>
    <row r="43597" spans="8:8" x14ac:dyDescent="0.3">
      <c r="H43597" t="str">
        <f t="shared" si="730"/>
        <v/>
      </c>
    </row>
    <row r="43598" spans="8:8" x14ac:dyDescent="0.3">
      <c r="H43598" t="str">
        <f t="shared" si="730"/>
        <v/>
      </c>
    </row>
    <row r="43599" spans="8:8" x14ac:dyDescent="0.3">
      <c r="H43599" t="str">
        <f t="shared" si="730"/>
        <v/>
      </c>
    </row>
    <row r="43600" spans="8:8" x14ac:dyDescent="0.3">
      <c r="H43600" t="str">
        <f t="shared" si="730"/>
        <v/>
      </c>
    </row>
    <row r="43601" spans="8:8" x14ac:dyDescent="0.3">
      <c r="H43601" t="str">
        <f t="shared" si="730"/>
        <v/>
      </c>
    </row>
    <row r="43602" spans="8:8" x14ac:dyDescent="0.3">
      <c r="H43602" t="str">
        <f t="shared" si="730"/>
        <v/>
      </c>
    </row>
    <row r="43603" spans="8:8" x14ac:dyDescent="0.3">
      <c r="H43603" t="str">
        <f t="shared" si="730"/>
        <v/>
      </c>
    </row>
    <row r="43604" spans="8:8" x14ac:dyDescent="0.3">
      <c r="H43604" t="str">
        <f t="shared" si="730"/>
        <v/>
      </c>
    </row>
    <row r="43605" spans="8:8" x14ac:dyDescent="0.3">
      <c r="H43605" t="str">
        <f t="shared" si="730"/>
        <v/>
      </c>
    </row>
    <row r="43606" spans="8:8" x14ac:dyDescent="0.3">
      <c r="H43606" t="str">
        <f t="shared" si="730"/>
        <v/>
      </c>
    </row>
    <row r="43607" spans="8:8" x14ac:dyDescent="0.3">
      <c r="H43607" t="str">
        <f t="shared" ref="H43607:H43670" si="731">IF(B43607="","",$C$12)</f>
        <v/>
      </c>
    </row>
    <row r="43608" spans="8:8" x14ac:dyDescent="0.3">
      <c r="H43608" t="str">
        <f t="shared" si="731"/>
        <v/>
      </c>
    </row>
    <row r="43609" spans="8:8" x14ac:dyDescent="0.3">
      <c r="H43609" t="str">
        <f t="shared" si="731"/>
        <v/>
      </c>
    </row>
    <row r="43610" spans="8:8" x14ac:dyDescent="0.3">
      <c r="H43610" t="str">
        <f t="shared" si="731"/>
        <v/>
      </c>
    </row>
    <row r="43611" spans="8:8" x14ac:dyDescent="0.3">
      <c r="H43611" t="str">
        <f t="shared" si="731"/>
        <v/>
      </c>
    </row>
    <row r="43612" spans="8:8" x14ac:dyDescent="0.3">
      <c r="H43612" t="str">
        <f t="shared" si="731"/>
        <v/>
      </c>
    </row>
    <row r="43613" spans="8:8" x14ac:dyDescent="0.3">
      <c r="H43613" t="str">
        <f t="shared" si="731"/>
        <v/>
      </c>
    </row>
    <row r="43614" spans="8:8" x14ac:dyDescent="0.3">
      <c r="H43614" t="str">
        <f t="shared" si="731"/>
        <v/>
      </c>
    </row>
    <row r="43615" spans="8:8" x14ac:dyDescent="0.3">
      <c r="H43615" t="str">
        <f t="shared" si="731"/>
        <v/>
      </c>
    </row>
    <row r="43616" spans="8:8" x14ac:dyDescent="0.3">
      <c r="H43616" t="str">
        <f t="shared" si="731"/>
        <v/>
      </c>
    </row>
    <row r="43617" spans="8:8" x14ac:dyDescent="0.3">
      <c r="H43617" t="str">
        <f t="shared" si="731"/>
        <v/>
      </c>
    </row>
    <row r="43618" spans="8:8" x14ac:dyDescent="0.3">
      <c r="H43618" t="str">
        <f t="shared" si="731"/>
        <v/>
      </c>
    </row>
    <row r="43619" spans="8:8" x14ac:dyDescent="0.3">
      <c r="H43619" t="str">
        <f t="shared" si="731"/>
        <v/>
      </c>
    </row>
    <row r="43620" spans="8:8" x14ac:dyDescent="0.3">
      <c r="H43620" t="str">
        <f t="shared" si="731"/>
        <v/>
      </c>
    </row>
    <row r="43621" spans="8:8" x14ac:dyDescent="0.3">
      <c r="H43621" t="str">
        <f t="shared" si="731"/>
        <v/>
      </c>
    </row>
    <row r="43622" spans="8:8" x14ac:dyDescent="0.3">
      <c r="H43622" t="str">
        <f t="shared" si="731"/>
        <v/>
      </c>
    </row>
    <row r="43623" spans="8:8" x14ac:dyDescent="0.3">
      <c r="H43623" t="str">
        <f t="shared" si="731"/>
        <v/>
      </c>
    </row>
    <row r="43624" spans="8:8" x14ac:dyDescent="0.3">
      <c r="H43624" t="str">
        <f t="shared" si="731"/>
        <v/>
      </c>
    </row>
    <row r="43625" spans="8:8" x14ac:dyDescent="0.3">
      <c r="H43625" t="str">
        <f t="shared" si="731"/>
        <v/>
      </c>
    </row>
    <row r="43626" spans="8:8" x14ac:dyDescent="0.3">
      <c r="H43626" t="str">
        <f t="shared" si="731"/>
        <v/>
      </c>
    </row>
    <row r="43627" spans="8:8" x14ac:dyDescent="0.3">
      <c r="H43627" t="str">
        <f t="shared" si="731"/>
        <v/>
      </c>
    </row>
    <row r="43628" spans="8:8" x14ac:dyDescent="0.3">
      <c r="H43628" t="str">
        <f t="shared" si="731"/>
        <v/>
      </c>
    </row>
    <row r="43629" spans="8:8" x14ac:dyDescent="0.3">
      <c r="H43629" t="str">
        <f t="shared" si="731"/>
        <v/>
      </c>
    </row>
    <row r="43630" spans="8:8" x14ac:dyDescent="0.3">
      <c r="H43630" t="str">
        <f t="shared" si="731"/>
        <v/>
      </c>
    </row>
    <row r="43631" spans="8:8" x14ac:dyDescent="0.3">
      <c r="H43631" t="str">
        <f t="shared" si="731"/>
        <v/>
      </c>
    </row>
    <row r="43632" spans="8:8" x14ac:dyDescent="0.3">
      <c r="H43632" t="str">
        <f t="shared" si="731"/>
        <v/>
      </c>
    </row>
    <row r="43633" spans="8:8" x14ac:dyDescent="0.3">
      <c r="H43633" t="str">
        <f t="shared" si="731"/>
        <v/>
      </c>
    </row>
    <row r="43634" spans="8:8" x14ac:dyDescent="0.3">
      <c r="H43634" t="str">
        <f t="shared" si="731"/>
        <v/>
      </c>
    </row>
    <row r="43635" spans="8:8" x14ac:dyDescent="0.3">
      <c r="H43635" t="str">
        <f t="shared" si="731"/>
        <v/>
      </c>
    </row>
    <row r="43636" spans="8:8" x14ac:dyDescent="0.3">
      <c r="H43636" t="str">
        <f t="shared" si="731"/>
        <v/>
      </c>
    </row>
    <row r="43637" spans="8:8" x14ac:dyDescent="0.3">
      <c r="H43637" t="str">
        <f t="shared" si="731"/>
        <v/>
      </c>
    </row>
    <row r="43638" spans="8:8" x14ac:dyDescent="0.3">
      <c r="H43638" t="str">
        <f t="shared" si="731"/>
        <v/>
      </c>
    </row>
    <row r="43639" spans="8:8" x14ac:dyDescent="0.3">
      <c r="H43639" t="str">
        <f t="shared" si="731"/>
        <v/>
      </c>
    </row>
    <row r="43640" spans="8:8" x14ac:dyDescent="0.3">
      <c r="H43640" t="str">
        <f t="shared" si="731"/>
        <v/>
      </c>
    </row>
    <row r="43641" spans="8:8" x14ac:dyDescent="0.3">
      <c r="H43641" t="str">
        <f t="shared" si="731"/>
        <v/>
      </c>
    </row>
    <row r="43642" spans="8:8" x14ac:dyDescent="0.3">
      <c r="H43642" t="str">
        <f t="shared" si="731"/>
        <v/>
      </c>
    </row>
    <row r="43643" spans="8:8" x14ac:dyDescent="0.3">
      <c r="H43643" t="str">
        <f t="shared" si="731"/>
        <v/>
      </c>
    </row>
    <row r="43644" spans="8:8" x14ac:dyDescent="0.3">
      <c r="H43644" t="str">
        <f t="shared" si="731"/>
        <v/>
      </c>
    </row>
    <row r="43645" spans="8:8" x14ac:dyDescent="0.3">
      <c r="H43645" t="str">
        <f t="shared" si="731"/>
        <v/>
      </c>
    </row>
    <row r="43646" spans="8:8" x14ac:dyDescent="0.3">
      <c r="H43646" t="str">
        <f t="shared" si="731"/>
        <v/>
      </c>
    </row>
    <row r="43647" spans="8:8" x14ac:dyDescent="0.3">
      <c r="H43647" t="str">
        <f t="shared" si="731"/>
        <v/>
      </c>
    </row>
    <row r="43648" spans="8:8" x14ac:dyDescent="0.3">
      <c r="H43648" t="str">
        <f t="shared" si="731"/>
        <v/>
      </c>
    </row>
    <row r="43649" spans="8:8" x14ac:dyDescent="0.3">
      <c r="H43649" t="str">
        <f t="shared" si="731"/>
        <v/>
      </c>
    </row>
    <row r="43650" spans="8:8" x14ac:dyDescent="0.3">
      <c r="H43650" t="str">
        <f t="shared" si="731"/>
        <v/>
      </c>
    </row>
    <row r="43651" spans="8:8" x14ac:dyDescent="0.3">
      <c r="H43651" t="str">
        <f t="shared" si="731"/>
        <v/>
      </c>
    </row>
    <row r="43652" spans="8:8" x14ac:dyDescent="0.3">
      <c r="H43652" t="str">
        <f t="shared" si="731"/>
        <v/>
      </c>
    </row>
    <row r="43653" spans="8:8" x14ac:dyDescent="0.3">
      <c r="H43653" t="str">
        <f t="shared" si="731"/>
        <v/>
      </c>
    </row>
    <row r="43654" spans="8:8" x14ac:dyDescent="0.3">
      <c r="H43654" t="str">
        <f t="shared" si="731"/>
        <v/>
      </c>
    </row>
    <row r="43655" spans="8:8" x14ac:dyDescent="0.3">
      <c r="H43655" t="str">
        <f t="shared" si="731"/>
        <v/>
      </c>
    </row>
    <row r="43656" spans="8:8" x14ac:dyDescent="0.3">
      <c r="H43656" t="str">
        <f t="shared" si="731"/>
        <v/>
      </c>
    </row>
    <row r="43657" spans="8:8" x14ac:dyDescent="0.3">
      <c r="H43657" t="str">
        <f t="shared" si="731"/>
        <v/>
      </c>
    </row>
    <row r="43658" spans="8:8" x14ac:dyDescent="0.3">
      <c r="H43658" t="str">
        <f t="shared" si="731"/>
        <v/>
      </c>
    </row>
    <row r="43659" spans="8:8" x14ac:dyDescent="0.3">
      <c r="H43659" t="str">
        <f t="shared" si="731"/>
        <v/>
      </c>
    </row>
    <row r="43660" spans="8:8" x14ac:dyDescent="0.3">
      <c r="H43660" t="str">
        <f t="shared" si="731"/>
        <v/>
      </c>
    </row>
    <row r="43661" spans="8:8" x14ac:dyDescent="0.3">
      <c r="H43661" t="str">
        <f t="shared" si="731"/>
        <v/>
      </c>
    </row>
    <row r="43662" spans="8:8" x14ac:dyDescent="0.3">
      <c r="H43662" t="str">
        <f t="shared" si="731"/>
        <v/>
      </c>
    </row>
    <row r="43663" spans="8:8" x14ac:dyDescent="0.3">
      <c r="H43663" t="str">
        <f t="shared" si="731"/>
        <v/>
      </c>
    </row>
    <row r="43664" spans="8:8" x14ac:dyDescent="0.3">
      <c r="H43664" t="str">
        <f t="shared" si="731"/>
        <v/>
      </c>
    </row>
    <row r="43665" spans="8:8" x14ac:dyDescent="0.3">
      <c r="H43665" t="str">
        <f t="shared" si="731"/>
        <v/>
      </c>
    </row>
    <row r="43666" spans="8:8" x14ac:dyDescent="0.3">
      <c r="H43666" t="str">
        <f t="shared" si="731"/>
        <v/>
      </c>
    </row>
    <row r="43667" spans="8:8" x14ac:dyDescent="0.3">
      <c r="H43667" t="str">
        <f t="shared" si="731"/>
        <v/>
      </c>
    </row>
    <row r="43668" spans="8:8" x14ac:dyDescent="0.3">
      <c r="H43668" t="str">
        <f t="shared" si="731"/>
        <v/>
      </c>
    </row>
    <row r="43669" spans="8:8" x14ac:dyDescent="0.3">
      <c r="H43669" t="str">
        <f t="shared" si="731"/>
        <v/>
      </c>
    </row>
    <row r="43670" spans="8:8" x14ac:dyDescent="0.3">
      <c r="H43670" t="str">
        <f t="shared" si="731"/>
        <v/>
      </c>
    </row>
    <row r="43671" spans="8:8" x14ac:dyDescent="0.3">
      <c r="H43671" t="str">
        <f t="shared" ref="H43671:H43734" si="732">IF(B43671="","",$C$12)</f>
        <v/>
      </c>
    </row>
    <row r="43672" spans="8:8" x14ac:dyDescent="0.3">
      <c r="H43672" t="str">
        <f t="shared" si="732"/>
        <v/>
      </c>
    </row>
    <row r="43673" spans="8:8" x14ac:dyDescent="0.3">
      <c r="H43673" t="str">
        <f t="shared" si="732"/>
        <v/>
      </c>
    </row>
    <row r="43674" spans="8:8" x14ac:dyDescent="0.3">
      <c r="H43674" t="str">
        <f t="shared" si="732"/>
        <v/>
      </c>
    </row>
    <row r="43675" spans="8:8" x14ac:dyDescent="0.3">
      <c r="H43675" t="str">
        <f t="shared" si="732"/>
        <v/>
      </c>
    </row>
    <row r="43676" spans="8:8" x14ac:dyDescent="0.3">
      <c r="H43676" t="str">
        <f t="shared" si="732"/>
        <v/>
      </c>
    </row>
    <row r="43677" spans="8:8" x14ac:dyDescent="0.3">
      <c r="H43677" t="str">
        <f t="shared" si="732"/>
        <v/>
      </c>
    </row>
    <row r="43678" spans="8:8" x14ac:dyDescent="0.3">
      <c r="H43678" t="str">
        <f t="shared" si="732"/>
        <v/>
      </c>
    </row>
    <row r="43679" spans="8:8" x14ac:dyDescent="0.3">
      <c r="H43679" t="str">
        <f t="shared" si="732"/>
        <v/>
      </c>
    </row>
    <row r="43680" spans="8:8" x14ac:dyDescent="0.3">
      <c r="H43680" t="str">
        <f t="shared" si="732"/>
        <v/>
      </c>
    </row>
    <row r="43681" spans="8:8" x14ac:dyDescent="0.3">
      <c r="H43681" t="str">
        <f t="shared" si="732"/>
        <v/>
      </c>
    </row>
    <row r="43682" spans="8:8" x14ac:dyDescent="0.3">
      <c r="H43682" t="str">
        <f t="shared" si="732"/>
        <v/>
      </c>
    </row>
    <row r="43683" spans="8:8" x14ac:dyDescent="0.3">
      <c r="H43683" t="str">
        <f t="shared" si="732"/>
        <v/>
      </c>
    </row>
    <row r="43684" spans="8:8" x14ac:dyDescent="0.3">
      <c r="H43684" t="str">
        <f t="shared" si="732"/>
        <v/>
      </c>
    </row>
    <row r="43685" spans="8:8" x14ac:dyDescent="0.3">
      <c r="H43685" t="str">
        <f t="shared" si="732"/>
        <v/>
      </c>
    </row>
    <row r="43686" spans="8:8" x14ac:dyDescent="0.3">
      <c r="H43686" t="str">
        <f t="shared" si="732"/>
        <v/>
      </c>
    </row>
    <row r="43687" spans="8:8" x14ac:dyDescent="0.3">
      <c r="H43687" t="str">
        <f t="shared" si="732"/>
        <v/>
      </c>
    </row>
    <row r="43688" spans="8:8" x14ac:dyDescent="0.3">
      <c r="H43688" t="str">
        <f t="shared" si="732"/>
        <v/>
      </c>
    </row>
    <row r="43689" spans="8:8" x14ac:dyDescent="0.3">
      <c r="H43689" t="str">
        <f t="shared" si="732"/>
        <v/>
      </c>
    </row>
    <row r="43690" spans="8:8" x14ac:dyDescent="0.3">
      <c r="H43690" t="str">
        <f t="shared" si="732"/>
        <v/>
      </c>
    </row>
    <row r="43691" spans="8:8" x14ac:dyDescent="0.3">
      <c r="H43691" t="str">
        <f t="shared" si="732"/>
        <v/>
      </c>
    </row>
    <row r="43692" spans="8:8" x14ac:dyDescent="0.3">
      <c r="H43692" t="str">
        <f t="shared" si="732"/>
        <v/>
      </c>
    </row>
    <row r="43693" spans="8:8" x14ac:dyDescent="0.3">
      <c r="H43693" t="str">
        <f t="shared" si="732"/>
        <v/>
      </c>
    </row>
    <row r="43694" spans="8:8" x14ac:dyDescent="0.3">
      <c r="H43694" t="str">
        <f t="shared" si="732"/>
        <v/>
      </c>
    </row>
    <row r="43695" spans="8:8" x14ac:dyDescent="0.3">
      <c r="H43695" t="str">
        <f t="shared" si="732"/>
        <v/>
      </c>
    </row>
    <row r="43696" spans="8:8" x14ac:dyDescent="0.3">
      <c r="H43696" t="str">
        <f t="shared" si="732"/>
        <v/>
      </c>
    </row>
    <row r="43697" spans="8:8" x14ac:dyDescent="0.3">
      <c r="H43697" t="str">
        <f t="shared" si="732"/>
        <v/>
      </c>
    </row>
    <row r="43698" spans="8:8" x14ac:dyDescent="0.3">
      <c r="H43698" t="str">
        <f t="shared" si="732"/>
        <v/>
      </c>
    </row>
    <row r="43699" spans="8:8" x14ac:dyDescent="0.3">
      <c r="H43699" t="str">
        <f t="shared" si="732"/>
        <v/>
      </c>
    </row>
    <row r="43700" spans="8:8" x14ac:dyDescent="0.3">
      <c r="H43700" t="str">
        <f t="shared" si="732"/>
        <v/>
      </c>
    </row>
    <row r="43701" spans="8:8" x14ac:dyDescent="0.3">
      <c r="H43701" t="str">
        <f t="shared" si="732"/>
        <v/>
      </c>
    </row>
    <row r="43702" spans="8:8" x14ac:dyDescent="0.3">
      <c r="H43702" t="str">
        <f t="shared" si="732"/>
        <v/>
      </c>
    </row>
    <row r="43703" spans="8:8" x14ac:dyDescent="0.3">
      <c r="H43703" t="str">
        <f t="shared" si="732"/>
        <v/>
      </c>
    </row>
    <row r="43704" spans="8:8" x14ac:dyDescent="0.3">
      <c r="H43704" t="str">
        <f t="shared" si="732"/>
        <v/>
      </c>
    </row>
    <row r="43705" spans="8:8" x14ac:dyDescent="0.3">
      <c r="H43705" t="str">
        <f t="shared" si="732"/>
        <v/>
      </c>
    </row>
    <row r="43706" spans="8:8" x14ac:dyDescent="0.3">
      <c r="H43706" t="str">
        <f t="shared" si="732"/>
        <v/>
      </c>
    </row>
    <row r="43707" spans="8:8" x14ac:dyDescent="0.3">
      <c r="H43707" t="str">
        <f t="shared" si="732"/>
        <v/>
      </c>
    </row>
    <row r="43708" spans="8:8" x14ac:dyDescent="0.3">
      <c r="H43708" t="str">
        <f t="shared" si="732"/>
        <v/>
      </c>
    </row>
    <row r="43709" spans="8:8" x14ac:dyDescent="0.3">
      <c r="H43709" t="str">
        <f t="shared" si="732"/>
        <v/>
      </c>
    </row>
    <row r="43710" spans="8:8" x14ac:dyDescent="0.3">
      <c r="H43710" t="str">
        <f t="shared" si="732"/>
        <v/>
      </c>
    </row>
    <row r="43711" spans="8:8" x14ac:dyDescent="0.3">
      <c r="H43711" t="str">
        <f t="shared" si="732"/>
        <v/>
      </c>
    </row>
    <row r="43712" spans="8:8" x14ac:dyDescent="0.3">
      <c r="H43712" t="str">
        <f t="shared" si="732"/>
        <v/>
      </c>
    </row>
    <row r="43713" spans="8:8" x14ac:dyDescent="0.3">
      <c r="H43713" t="str">
        <f t="shared" si="732"/>
        <v/>
      </c>
    </row>
    <row r="43714" spans="8:8" x14ac:dyDescent="0.3">
      <c r="H43714" t="str">
        <f t="shared" si="732"/>
        <v/>
      </c>
    </row>
    <row r="43715" spans="8:8" x14ac:dyDescent="0.3">
      <c r="H43715" t="str">
        <f t="shared" si="732"/>
        <v/>
      </c>
    </row>
    <row r="43716" spans="8:8" x14ac:dyDescent="0.3">
      <c r="H43716" t="str">
        <f t="shared" si="732"/>
        <v/>
      </c>
    </row>
    <row r="43717" spans="8:8" x14ac:dyDescent="0.3">
      <c r="H43717" t="str">
        <f t="shared" si="732"/>
        <v/>
      </c>
    </row>
    <row r="43718" spans="8:8" x14ac:dyDescent="0.3">
      <c r="H43718" t="str">
        <f t="shared" si="732"/>
        <v/>
      </c>
    </row>
    <row r="43719" spans="8:8" x14ac:dyDescent="0.3">
      <c r="H43719" t="str">
        <f t="shared" si="732"/>
        <v/>
      </c>
    </row>
    <row r="43720" spans="8:8" x14ac:dyDescent="0.3">
      <c r="H43720" t="str">
        <f t="shared" si="732"/>
        <v/>
      </c>
    </row>
    <row r="43721" spans="8:8" x14ac:dyDescent="0.3">
      <c r="H43721" t="str">
        <f t="shared" si="732"/>
        <v/>
      </c>
    </row>
    <row r="43722" spans="8:8" x14ac:dyDescent="0.3">
      <c r="H43722" t="str">
        <f t="shared" si="732"/>
        <v/>
      </c>
    </row>
    <row r="43723" spans="8:8" x14ac:dyDescent="0.3">
      <c r="H43723" t="str">
        <f t="shared" si="732"/>
        <v/>
      </c>
    </row>
    <row r="43724" spans="8:8" x14ac:dyDescent="0.3">
      <c r="H43724" t="str">
        <f t="shared" si="732"/>
        <v/>
      </c>
    </row>
    <row r="43725" spans="8:8" x14ac:dyDescent="0.3">
      <c r="H43725" t="str">
        <f t="shared" si="732"/>
        <v/>
      </c>
    </row>
    <row r="43726" spans="8:8" x14ac:dyDescent="0.3">
      <c r="H43726" t="str">
        <f t="shared" si="732"/>
        <v/>
      </c>
    </row>
    <row r="43727" spans="8:8" x14ac:dyDescent="0.3">
      <c r="H43727" t="str">
        <f t="shared" si="732"/>
        <v/>
      </c>
    </row>
    <row r="43728" spans="8:8" x14ac:dyDescent="0.3">
      <c r="H43728" t="str">
        <f t="shared" si="732"/>
        <v/>
      </c>
    </row>
    <row r="43729" spans="8:8" x14ac:dyDescent="0.3">
      <c r="H43729" t="str">
        <f t="shared" si="732"/>
        <v/>
      </c>
    </row>
    <row r="43730" spans="8:8" x14ac:dyDescent="0.3">
      <c r="H43730" t="str">
        <f t="shared" si="732"/>
        <v/>
      </c>
    </row>
    <row r="43731" spans="8:8" x14ac:dyDescent="0.3">
      <c r="H43731" t="str">
        <f t="shared" si="732"/>
        <v/>
      </c>
    </row>
    <row r="43732" spans="8:8" x14ac:dyDescent="0.3">
      <c r="H43732" t="str">
        <f t="shared" si="732"/>
        <v/>
      </c>
    </row>
    <row r="43733" spans="8:8" x14ac:dyDescent="0.3">
      <c r="H43733" t="str">
        <f t="shared" si="732"/>
        <v/>
      </c>
    </row>
    <row r="43734" spans="8:8" x14ac:dyDescent="0.3">
      <c r="H43734" t="str">
        <f t="shared" si="732"/>
        <v/>
      </c>
    </row>
    <row r="43735" spans="8:8" x14ac:dyDescent="0.3">
      <c r="H43735" t="str">
        <f t="shared" ref="H43735:H43798" si="733">IF(B43735="","",$C$12)</f>
        <v/>
      </c>
    </row>
    <row r="43736" spans="8:8" x14ac:dyDescent="0.3">
      <c r="H43736" t="str">
        <f t="shared" si="733"/>
        <v/>
      </c>
    </row>
    <row r="43737" spans="8:8" x14ac:dyDescent="0.3">
      <c r="H43737" t="str">
        <f t="shared" si="733"/>
        <v/>
      </c>
    </row>
    <row r="43738" spans="8:8" x14ac:dyDescent="0.3">
      <c r="H43738" t="str">
        <f t="shared" si="733"/>
        <v/>
      </c>
    </row>
    <row r="43739" spans="8:8" x14ac:dyDescent="0.3">
      <c r="H43739" t="str">
        <f t="shared" si="733"/>
        <v/>
      </c>
    </row>
    <row r="43740" spans="8:8" x14ac:dyDescent="0.3">
      <c r="H43740" t="str">
        <f t="shared" si="733"/>
        <v/>
      </c>
    </row>
    <row r="43741" spans="8:8" x14ac:dyDescent="0.3">
      <c r="H43741" t="str">
        <f t="shared" si="733"/>
        <v/>
      </c>
    </row>
    <row r="43742" spans="8:8" x14ac:dyDescent="0.3">
      <c r="H43742" t="str">
        <f t="shared" si="733"/>
        <v/>
      </c>
    </row>
    <row r="43743" spans="8:8" x14ac:dyDescent="0.3">
      <c r="H43743" t="str">
        <f t="shared" si="733"/>
        <v/>
      </c>
    </row>
    <row r="43744" spans="8:8" x14ac:dyDescent="0.3">
      <c r="H43744" t="str">
        <f t="shared" si="733"/>
        <v/>
      </c>
    </row>
    <row r="43745" spans="8:8" x14ac:dyDescent="0.3">
      <c r="H43745" t="str">
        <f t="shared" si="733"/>
        <v/>
      </c>
    </row>
    <row r="43746" spans="8:8" x14ac:dyDescent="0.3">
      <c r="H43746" t="str">
        <f t="shared" si="733"/>
        <v/>
      </c>
    </row>
    <row r="43747" spans="8:8" x14ac:dyDescent="0.3">
      <c r="H43747" t="str">
        <f t="shared" si="733"/>
        <v/>
      </c>
    </row>
    <row r="43748" spans="8:8" x14ac:dyDescent="0.3">
      <c r="H43748" t="str">
        <f t="shared" si="733"/>
        <v/>
      </c>
    </row>
    <row r="43749" spans="8:8" x14ac:dyDescent="0.3">
      <c r="H43749" t="str">
        <f t="shared" si="733"/>
        <v/>
      </c>
    </row>
    <row r="43750" spans="8:8" x14ac:dyDescent="0.3">
      <c r="H43750" t="str">
        <f t="shared" si="733"/>
        <v/>
      </c>
    </row>
    <row r="43751" spans="8:8" x14ac:dyDescent="0.3">
      <c r="H43751" t="str">
        <f t="shared" si="733"/>
        <v/>
      </c>
    </row>
    <row r="43752" spans="8:8" x14ac:dyDescent="0.3">
      <c r="H43752" t="str">
        <f t="shared" si="733"/>
        <v/>
      </c>
    </row>
    <row r="43753" spans="8:8" x14ac:dyDescent="0.3">
      <c r="H43753" t="str">
        <f t="shared" si="733"/>
        <v/>
      </c>
    </row>
    <row r="43754" spans="8:8" x14ac:dyDescent="0.3">
      <c r="H43754" t="str">
        <f t="shared" si="733"/>
        <v/>
      </c>
    </row>
    <row r="43755" spans="8:8" x14ac:dyDescent="0.3">
      <c r="H43755" t="str">
        <f t="shared" si="733"/>
        <v/>
      </c>
    </row>
    <row r="43756" spans="8:8" x14ac:dyDescent="0.3">
      <c r="H43756" t="str">
        <f t="shared" si="733"/>
        <v/>
      </c>
    </row>
    <row r="43757" spans="8:8" x14ac:dyDescent="0.3">
      <c r="H43757" t="str">
        <f t="shared" si="733"/>
        <v/>
      </c>
    </row>
    <row r="43758" spans="8:8" x14ac:dyDescent="0.3">
      <c r="H43758" t="str">
        <f t="shared" si="733"/>
        <v/>
      </c>
    </row>
    <row r="43759" spans="8:8" x14ac:dyDescent="0.3">
      <c r="H43759" t="str">
        <f t="shared" si="733"/>
        <v/>
      </c>
    </row>
    <row r="43760" spans="8:8" x14ac:dyDescent="0.3">
      <c r="H43760" t="str">
        <f t="shared" si="733"/>
        <v/>
      </c>
    </row>
    <row r="43761" spans="8:8" x14ac:dyDescent="0.3">
      <c r="H43761" t="str">
        <f t="shared" si="733"/>
        <v/>
      </c>
    </row>
    <row r="43762" spans="8:8" x14ac:dyDescent="0.3">
      <c r="H43762" t="str">
        <f t="shared" si="733"/>
        <v/>
      </c>
    </row>
    <row r="43763" spans="8:8" x14ac:dyDescent="0.3">
      <c r="H43763" t="str">
        <f t="shared" si="733"/>
        <v/>
      </c>
    </row>
    <row r="43764" spans="8:8" x14ac:dyDescent="0.3">
      <c r="H43764" t="str">
        <f t="shared" si="733"/>
        <v/>
      </c>
    </row>
    <row r="43765" spans="8:8" x14ac:dyDescent="0.3">
      <c r="H43765" t="str">
        <f t="shared" si="733"/>
        <v/>
      </c>
    </row>
    <row r="43766" spans="8:8" x14ac:dyDescent="0.3">
      <c r="H43766" t="str">
        <f t="shared" si="733"/>
        <v/>
      </c>
    </row>
    <row r="43767" spans="8:8" x14ac:dyDescent="0.3">
      <c r="H43767" t="str">
        <f t="shared" si="733"/>
        <v/>
      </c>
    </row>
    <row r="43768" spans="8:8" x14ac:dyDescent="0.3">
      <c r="H43768" t="str">
        <f t="shared" si="733"/>
        <v/>
      </c>
    </row>
    <row r="43769" spans="8:8" x14ac:dyDescent="0.3">
      <c r="H43769" t="str">
        <f t="shared" si="733"/>
        <v/>
      </c>
    </row>
    <row r="43770" spans="8:8" x14ac:dyDescent="0.3">
      <c r="H43770" t="str">
        <f t="shared" si="733"/>
        <v/>
      </c>
    </row>
    <row r="43771" spans="8:8" x14ac:dyDescent="0.3">
      <c r="H43771" t="str">
        <f t="shared" si="733"/>
        <v/>
      </c>
    </row>
    <row r="43772" spans="8:8" x14ac:dyDescent="0.3">
      <c r="H43772" t="str">
        <f t="shared" si="733"/>
        <v/>
      </c>
    </row>
    <row r="43773" spans="8:8" x14ac:dyDescent="0.3">
      <c r="H43773" t="str">
        <f t="shared" si="733"/>
        <v/>
      </c>
    </row>
    <row r="43774" spans="8:8" x14ac:dyDescent="0.3">
      <c r="H43774" t="str">
        <f t="shared" si="733"/>
        <v/>
      </c>
    </row>
    <row r="43775" spans="8:8" x14ac:dyDescent="0.3">
      <c r="H43775" t="str">
        <f t="shared" si="733"/>
        <v/>
      </c>
    </row>
    <row r="43776" spans="8:8" x14ac:dyDescent="0.3">
      <c r="H43776" t="str">
        <f t="shared" si="733"/>
        <v/>
      </c>
    </row>
    <row r="43777" spans="8:8" x14ac:dyDescent="0.3">
      <c r="H43777" t="str">
        <f t="shared" si="733"/>
        <v/>
      </c>
    </row>
    <row r="43778" spans="8:8" x14ac:dyDescent="0.3">
      <c r="H43778" t="str">
        <f t="shared" si="733"/>
        <v/>
      </c>
    </row>
    <row r="43779" spans="8:8" x14ac:dyDescent="0.3">
      <c r="H43779" t="str">
        <f t="shared" si="733"/>
        <v/>
      </c>
    </row>
    <row r="43780" spans="8:8" x14ac:dyDescent="0.3">
      <c r="H43780" t="str">
        <f t="shared" si="733"/>
        <v/>
      </c>
    </row>
    <row r="43781" spans="8:8" x14ac:dyDescent="0.3">
      <c r="H43781" t="str">
        <f t="shared" si="733"/>
        <v/>
      </c>
    </row>
    <row r="43782" spans="8:8" x14ac:dyDescent="0.3">
      <c r="H43782" t="str">
        <f t="shared" si="733"/>
        <v/>
      </c>
    </row>
    <row r="43783" spans="8:8" x14ac:dyDescent="0.3">
      <c r="H43783" t="str">
        <f t="shared" si="733"/>
        <v/>
      </c>
    </row>
    <row r="43784" spans="8:8" x14ac:dyDescent="0.3">
      <c r="H43784" t="str">
        <f t="shared" si="733"/>
        <v/>
      </c>
    </row>
    <row r="43785" spans="8:8" x14ac:dyDescent="0.3">
      <c r="H43785" t="str">
        <f t="shared" si="733"/>
        <v/>
      </c>
    </row>
    <row r="43786" spans="8:8" x14ac:dyDescent="0.3">
      <c r="H43786" t="str">
        <f t="shared" si="733"/>
        <v/>
      </c>
    </row>
    <row r="43787" spans="8:8" x14ac:dyDescent="0.3">
      <c r="H43787" t="str">
        <f t="shared" si="733"/>
        <v/>
      </c>
    </row>
    <row r="43788" spans="8:8" x14ac:dyDescent="0.3">
      <c r="H43788" t="str">
        <f t="shared" si="733"/>
        <v/>
      </c>
    </row>
    <row r="43789" spans="8:8" x14ac:dyDescent="0.3">
      <c r="H43789" t="str">
        <f t="shared" si="733"/>
        <v/>
      </c>
    </row>
    <row r="43790" spans="8:8" x14ac:dyDescent="0.3">
      <c r="H43790" t="str">
        <f t="shared" si="733"/>
        <v/>
      </c>
    </row>
    <row r="43791" spans="8:8" x14ac:dyDescent="0.3">
      <c r="H43791" t="str">
        <f t="shared" si="733"/>
        <v/>
      </c>
    </row>
    <row r="43792" spans="8:8" x14ac:dyDescent="0.3">
      <c r="H43792" t="str">
        <f t="shared" si="733"/>
        <v/>
      </c>
    </row>
    <row r="43793" spans="8:8" x14ac:dyDescent="0.3">
      <c r="H43793" t="str">
        <f t="shared" si="733"/>
        <v/>
      </c>
    </row>
    <row r="43794" spans="8:8" x14ac:dyDescent="0.3">
      <c r="H43794" t="str">
        <f t="shared" si="733"/>
        <v/>
      </c>
    </row>
    <row r="43795" spans="8:8" x14ac:dyDescent="0.3">
      <c r="H43795" t="str">
        <f t="shared" si="733"/>
        <v/>
      </c>
    </row>
    <row r="43796" spans="8:8" x14ac:dyDescent="0.3">
      <c r="H43796" t="str">
        <f t="shared" si="733"/>
        <v/>
      </c>
    </row>
    <row r="43797" spans="8:8" x14ac:dyDescent="0.3">
      <c r="H43797" t="str">
        <f t="shared" si="733"/>
        <v/>
      </c>
    </row>
    <row r="43798" spans="8:8" x14ac:dyDescent="0.3">
      <c r="H43798" t="str">
        <f t="shared" si="733"/>
        <v/>
      </c>
    </row>
    <row r="43799" spans="8:8" x14ac:dyDescent="0.3">
      <c r="H43799" t="str">
        <f t="shared" ref="H43799:H43862" si="734">IF(B43799="","",$C$12)</f>
        <v/>
      </c>
    </row>
    <row r="43800" spans="8:8" x14ac:dyDescent="0.3">
      <c r="H43800" t="str">
        <f t="shared" si="734"/>
        <v/>
      </c>
    </row>
    <row r="43801" spans="8:8" x14ac:dyDescent="0.3">
      <c r="H43801" t="str">
        <f t="shared" si="734"/>
        <v/>
      </c>
    </row>
    <row r="43802" spans="8:8" x14ac:dyDescent="0.3">
      <c r="H43802" t="str">
        <f t="shared" si="734"/>
        <v/>
      </c>
    </row>
    <row r="43803" spans="8:8" x14ac:dyDescent="0.3">
      <c r="H43803" t="str">
        <f t="shared" si="734"/>
        <v/>
      </c>
    </row>
    <row r="43804" spans="8:8" x14ac:dyDescent="0.3">
      <c r="H43804" t="str">
        <f t="shared" si="734"/>
        <v/>
      </c>
    </row>
    <row r="43805" spans="8:8" x14ac:dyDescent="0.3">
      <c r="H43805" t="str">
        <f t="shared" si="734"/>
        <v/>
      </c>
    </row>
    <row r="43806" spans="8:8" x14ac:dyDescent="0.3">
      <c r="H43806" t="str">
        <f t="shared" si="734"/>
        <v/>
      </c>
    </row>
    <row r="43807" spans="8:8" x14ac:dyDescent="0.3">
      <c r="H43807" t="str">
        <f t="shared" si="734"/>
        <v/>
      </c>
    </row>
    <row r="43808" spans="8:8" x14ac:dyDescent="0.3">
      <c r="H43808" t="str">
        <f t="shared" si="734"/>
        <v/>
      </c>
    </row>
    <row r="43809" spans="8:8" x14ac:dyDescent="0.3">
      <c r="H43809" t="str">
        <f t="shared" si="734"/>
        <v/>
      </c>
    </row>
    <row r="43810" spans="8:8" x14ac:dyDescent="0.3">
      <c r="H43810" t="str">
        <f t="shared" si="734"/>
        <v/>
      </c>
    </row>
    <row r="43811" spans="8:8" x14ac:dyDescent="0.3">
      <c r="H43811" t="str">
        <f t="shared" si="734"/>
        <v/>
      </c>
    </row>
    <row r="43812" spans="8:8" x14ac:dyDescent="0.3">
      <c r="H43812" t="str">
        <f t="shared" si="734"/>
        <v/>
      </c>
    </row>
    <row r="43813" spans="8:8" x14ac:dyDescent="0.3">
      <c r="H43813" t="str">
        <f t="shared" si="734"/>
        <v/>
      </c>
    </row>
    <row r="43814" spans="8:8" x14ac:dyDescent="0.3">
      <c r="H43814" t="str">
        <f t="shared" si="734"/>
        <v/>
      </c>
    </row>
    <row r="43815" spans="8:8" x14ac:dyDescent="0.3">
      <c r="H43815" t="str">
        <f t="shared" si="734"/>
        <v/>
      </c>
    </row>
    <row r="43816" spans="8:8" x14ac:dyDescent="0.3">
      <c r="H43816" t="str">
        <f t="shared" si="734"/>
        <v/>
      </c>
    </row>
    <row r="43817" spans="8:8" x14ac:dyDescent="0.3">
      <c r="H43817" t="str">
        <f t="shared" si="734"/>
        <v/>
      </c>
    </row>
    <row r="43818" spans="8:8" x14ac:dyDescent="0.3">
      <c r="H43818" t="str">
        <f t="shared" si="734"/>
        <v/>
      </c>
    </row>
    <row r="43819" spans="8:8" x14ac:dyDescent="0.3">
      <c r="H43819" t="str">
        <f t="shared" si="734"/>
        <v/>
      </c>
    </row>
    <row r="43820" spans="8:8" x14ac:dyDescent="0.3">
      <c r="H43820" t="str">
        <f t="shared" si="734"/>
        <v/>
      </c>
    </row>
    <row r="43821" spans="8:8" x14ac:dyDescent="0.3">
      <c r="H43821" t="str">
        <f t="shared" si="734"/>
        <v/>
      </c>
    </row>
    <row r="43822" spans="8:8" x14ac:dyDescent="0.3">
      <c r="H43822" t="str">
        <f t="shared" si="734"/>
        <v/>
      </c>
    </row>
    <row r="43823" spans="8:8" x14ac:dyDescent="0.3">
      <c r="H43823" t="str">
        <f t="shared" si="734"/>
        <v/>
      </c>
    </row>
    <row r="43824" spans="8:8" x14ac:dyDescent="0.3">
      <c r="H43824" t="str">
        <f t="shared" si="734"/>
        <v/>
      </c>
    </row>
    <row r="43825" spans="8:8" x14ac:dyDescent="0.3">
      <c r="H43825" t="str">
        <f t="shared" si="734"/>
        <v/>
      </c>
    </row>
    <row r="43826" spans="8:8" x14ac:dyDescent="0.3">
      <c r="H43826" t="str">
        <f t="shared" si="734"/>
        <v/>
      </c>
    </row>
    <row r="43827" spans="8:8" x14ac:dyDescent="0.3">
      <c r="H43827" t="str">
        <f t="shared" si="734"/>
        <v/>
      </c>
    </row>
    <row r="43828" spans="8:8" x14ac:dyDescent="0.3">
      <c r="H43828" t="str">
        <f t="shared" si="734"/>
        <v/>
      </c>
    </row>
    <row r="43829" spans="8:8" x14ac:dyDescent="0.3">
      <c r="H43829" t="str">
        <f t="shared" si="734"/>
        <v/>
      </c>
    </row>
    <row r="43830" spans="8:8" x14ac:dyDescent="0.3">
      <c r="H43830" t="str">
        <f t="shared" si="734"/>
        <v/>
      </c>
    </row>
    <row r="43831" spans="8:8" x14ac:dyDescent="0.3">
      <c r="H43831" t="str">
        <f t="shared" si="734"/>
        <v/>
      </c>
    </row>
    <row r="43832" spans="8:8" x14ac:dyDescent="0.3">
      <c r="H43832" t="str">
        <f t="shared" si="734"/>
        <v/>
      </c>
    </row>
    <row r="43833" spans="8:8" x14ac:dyDescent="0.3">
      <c r="H43833" t="str">
        <f t="shared" si="734"/>
        <v/>
      </c>
    </row>
    <row r="43834" spans="8:8" x14ac:dyDescent="0.3">
      <c r="H43834" t="str">
        <f t="shared" si="734"/>
        <v/>
      </c>
    </row>
    <row r="43835" spans="8:8" x14ac:dyDescent="0.3">
      <c r="H43835" t="str">
        <f t="shared" si="734"/>
        <v/>
      </c>
    </row>
    <row r="43836" spans="8:8" x14ac:dyDescent="0.3">
      <c r="H43836" t="str">
        <f t="shared" si="734"/>
        <v/>
      </c>
    </row>
    <row r="43837" spans="8:8" x14ac:dyDescent="0.3">
      <c r="H43837" t="str">
        <f t="shared" si="734"/>
        <v/>
      </c>
    </row>
    <row r="43838" spans="8:8" x14ac:dyDescent="0.3">
      <c r="H43838" t="str">
        <f t="shared" si="734"/>
        <v/>
      </c>
    </row>
    <row r="43839" spans="8:8" x14ac:dyDescent="0.3">
      <c r="H43839" t="str">
        <f t="shared" si="734"/>
        <v/>
      </c>
    </row>
    <row r="43840" spans="8:8" x14ac:dyDescent="0.3">
      <c r="H43840" t="str">
        <f t="shared" si="734"/>
        <v/>
      </c>
    </row>
    <row r="43841" spans="8:8" x14ac:dyDescent="0.3">
      <c r="H43841" t="str">
        <f t="shared" si="734"/>
        <v/>
      </c>
    </row>
    <row r="43842" spans="8:8" x14ac:dyDescent="0.3">
      <c r="H43842" t="str">
        <f t="shared" si="734"/>
        <v/>
      </c>
    </row>
    <row r="43843" spans="8:8" x14ac:dyDescent="0.3">
      <c r="H43843" t="str">
        <f t="shared" si="734"/>
        <v/>
      </c>
    </row>
    <row r="43844" spans="8:8" x14ac:dyDescent="0.3">
      <c r="H43844" t="str">
        <f t="shared" si="734"/>
        <v/>
      </c>
    </row>
    <row r="43845" spans="8:8" x14ac:dyDescent="0.3">
      <c r="H43845" t="str">
        <f t="shared" si="734"/>
        <v/>
      </c>
    </row>
    <row r="43846" spans="8:8" x14ac:dyDescent="0.3">
      <c r="H43846" t="str">
        <f t="shared" si="734"/>
        <v/>
      </c>
    </row>
    <row r="43847" spans="8:8" x14ac:dyDescent="0.3">
      <c r="H43847" t="str">
        <f t="shared" si="734"/>
        <v/>
      </c>
    </row>
    <row r="43848" spans="8:8" x14ac:dyDescent="0.3">
      <c r="H43848" t="str">
        <f t="shared" si="734"/>
        <v/>
      </c>
    </row>
    <row r="43849" spans="8:8" x14ac:dyDescent="0.3">
      <c r="H43849" t="str">
        <f t="shared" si="734"/>
        <v/>
      </c>
    </row>
    <row r="43850" spans="8:8" x14ac:dyDescent="0.3">
      <c r="H43850" t="str">
        <f t="shared" si="734"/>
        <v/>
      </c>
    </row>
    <row r="43851" spans="8:8" x14ac:dyDescent="0.3">
      <c r="H43851" t="str">
        <f t="shared" si="734"/>
        <v/>
      </c>
    </row>
    <row r="43852" spans="8:8" x14ac:dyDescent="0.3">
      <c r="H43852" t="str">
        <f t="shared" si="734"/>
        <v/>
      </c>
    </row>
    <row r="43853" spans="8:8" x14ac:dyDescent="0.3">
      <c r="H43853" t="str">
        <f t="shared" si="734"/>
        <v/>
      </c>
    </row>
    <row r="43854" spans="8:8" x14ac:dyDescent="0.3">
      <c r="H43854" t="str">
        <f t="shared" si="734"/>
        <v/>
      </c>
    </row>
    <row r="43855" spans="8:8" x14ac:dyDescent="0.3">
      <c r="H43855" t="str">
        <f t="shared" si="734"/>
        <v/>
      </c>
    </row>
    <row r="43856" spans="8:8" x14ac:dyDescent="0.3">
      <c r="H43856" t="str">
        <f t="shared" si="734"/>
        <v/>
      </c>
    </row>
    <row r="43857" spans="8:8" x14ac:dyDescent="0.3">
      <c r="H43857" t="str">
        <f t="shared" si="734"/>
        <v/>
      </c>
    </row>
    <row r="43858" spans="8:8" x14ac:dyDescent="0.3">
      <c r="H43858" t="str">
        <f t="shared" si="734"/>
        <v/>
      </c>
    </row>
    <row r="43859" spans="8:8" x14ac:dyDescent="0.3">
      <c r="H43859" t="str">
        <f t="shared" si="734"/>
        <v/>
      </c>
    </row>
    <row r="43860" spans="8:8" x14ac:dyDescent="0.3">
      <c r="H43860" t="str">
        <f t="shared" si="734"/>
        <v/>
      </c>
    </row>
    <row r="43861" spans="8:8" x14ac:dyDescent="0.3">
      <c r="H43861" t="str">
        <f t="shared" si="734"/>
        <v/>
      </c>
    </row>
    <row r="43862" spans="8:8" x14ac:dyDescent="0.3">
      <c r="H43862" t="str">
        <f t="shared" si="734"/>
        <v/>
      </c>
    </row>
    <row r="43863" spans="8:8" x14ac:dyDescent="0.3">
      <c r="H43863" t="str">
        <f t="shared" ref="H43863:H43926" si="735">IF(B43863="","",$C$12)</f>
        <v/>
      </c>
    </row>
    <row r="43864" spans="8:8" x14ac:dyDescent="0.3">
      <c r="H43864" t="str">
        <f t="shared" si="735"/>
        <v/>
      </c>
    </row>
    <row r="43865" spans="8:8" x14ac:dyDescent="0.3">
      <c r="H43865" t="str">
        <f t="shared" si="735"/>
        <v/>
      </c>
    </row>
    <row r="43866" spans="8:8" x14ac:dyDescent="0.3">
      <c r="H43866" t="str">
        <f t="shared" si="735"/>
        <v/>
      </c>
    </row>
    <row r="43867" spans="8:8" x14ac:dyDescent="0.3">
      <c r="H43867" t="str">
        <f t="shared" si="735"/>
        <v/>
      </c>
    </row>
    <row r="43868" spans="8:8" x14ac:dyDescent="0.3">
      <c r="H43868" t="str">
        <f t="shared" si="735"/>
        <v/>
      </c>
    </row>
    <row r="43869" spans="8:8" x14ac:dyDescent="0.3">
      <c r="H43869" t="str">
        <f t="shared" si="735"/>
        <v/>
      </c>
    </row>
    <row r="43870" spans="8:8" x14ac:dyDescent="0.3">
      <c r="H43870" t="str">
        <f t="shared" si="735"/>
        <v/>
      </c>
    </row>
    <row r="43871" spans="8:8" x14ac:dyDescent="0.3">
      <c r="H43871" t="str">
        <f t="shared" si="735"/>
        <v/>
      </c>
    </row>
    <row r="43872" spans="8:8" x14ac:dyDescent="0.3">
      <c r="H43872" t="str">
        <f t="shared" si="735"/>
        <v/>
      </c>
    </row>
    <row r="43873" spans="8:8" x14ac:dyDescent="0.3">
      <c r="H43873" t="str">
        <f t="shared" si="735"/>
        <v/>
      </c>
    </row>
    <row r="43874" spans="8:8" x14ac:dyDescent="0.3">
      <c r="H43874" t="str">
        <f t="shared" si="735"/>
        <v/>
      </c>
    </row>
    <row r="43875" spans="8:8" x14ac:dyDescent="0.3">
      <c r="H43875" t="str">
        <f t="shared" si="735"/>
        <v/>
      </c>
    </row>
    <row r="43876" spans="8:8" x14ac:dyDescent="0.3">
      <c r="H43876" t="str">
        <f t="shared" si="735"/>
        <v/>
      </c>
    </row>
    <row r="43877" spans="8:8" x14ac:dyDescent="0.3">
      <c r="H43877" t="str">
        <f t="shared" si="735"/>
        <v/>
      </c>
    </row>
    <row r="43878" spans="8:8" x14ac:dyDescent="0.3">
      <c r="H43878" t="str">
        <f t="shared" si="735"/>
        <v/>
      </c>
    </row>
    <row r="43879" spans="8:8" x14ac:dyDescent="0.3">
      <c r="H43879" t="str">
        <f t="shared" si="735"/>
        <v/>
      </c>
    </row>
    <row r="43880" spans="8:8" x14ac:dyDescent="0.3">
      <c r="H43880" t="str">
        <f t="shared" si="735"/>
        <v/>
      </c>
    </row>
    <row r="43881" spans="8:8" x14ac:dyDescent="0.3">
      <c r="H43881" t="str">
        <f t="shared" si="735"/>
        <v/>
      </c>
    </row>
    <row r="43882" spans="8:8" x14ac:dyDescent="0.3">
      <c r="H43882" t="str">
        <f t="shared" si="735"/>
        <v/>
      </c>
    </row>
    <row r="43883" spans="8:8" x14ac:dyDescent="0.3">
      <c r="H43883" t="str">
        <f t="shared" si="735"/>
        <v/>
      </c>
    </row>
    <row r="43884" spans="8:8" x14ac:dyDescent="0.3">
      <c r="H43884" t="str">
        <f t="shared" si="735"/>
        <v/>
      </c>
    </row>
    <row r="43885" spans="8:8" x14ac:dyDescent="0.3">
      <c r="H43885" t="str">
        <f t="shared" si="735"/>
        <v/>
      </c>
    </row>
    <row r="43886" spans="8:8" x14ac:dyDescent="0.3">
      <c r="H43886" t="str">
        <f t="shared" si="735"/>
        <v/>
      </c>
    </row>
    <row r="43887" spans="8:8" x14ac:dyDescent="0.3">
      <c r="H43887" t="str">
        <f t="shared" si="735"/>
        <v/>
      </c>
    </row>
    <row r="43888" spans="8:8" x14ac:dyDescent="0.3">
      <c r="H43888" t="str">
        <f t="shared" si="735"/>
        <v/>
      </c>
    </row>
    <row r="43889" spans="8:8" x14ac:dyDescent="0.3">
      <c r="H43889" t="str">
        <f t="shared" si="735"/>
        <v/>
      </c>
    </row>
    <row r="43890" spans="8:8" x14ac:dyDescent="0.3">
      <c r="H43890" t="str">
        <f t="shared" si="735"/>
        <v/>
      </c>
    </row>
    <row r="43891" spans="8:8" x14ac:dyDescent="0.3">
      <c r="H43891" t="str">
        <f t="shared" si="735"/>
        <v/>
      </c>
    </row>
    <row r="43892" spans="8:8" x14ac:dyDescent="0.3">
      <c r="H43892" t="str">
        <f t="shared" si="735"/>
        <v/>
      </c>
    </row>
    <row r="43893" spans="8:8" x14ac:dyDescent="0.3">
      <c r="H43893" t="str">
        <f t="shared" si="735"/>
        <v/>
      </c>
    </row>
    <row r="43894" spans="8:8" x14ac:dyDescent="0.3">
      <c r="H43894" t="str">
        <f t="shared" si="735"/>
        <v/>
      </c>
    </row>
    <row r="43895" spans="8:8" x14ac:dyDescent="0.3">
      <c r="H43895" t="str">
        <f t="shared" si="735"/>
        <v/>
      </c>
    </row>
    <row r="43896" spans="8:8" x14ac:dyDescent="0.3">
      <c r="H43896" t="str">
        <f t="shared" si="735"/>
        <v/>
      </c>
    </row>
    <row r="43897" spans="8:8" x14ac:dyDescent="0.3">
      <c r="H43897" t="str">
        <f t="shared" si="735"/>
        <v/>
      </c>
    </row>
    <row r="43898" spans="8:8" x14ac:dyDescent="0.3">
      <c r="H43898" t="str">
        <f t="shared" si="735"/>
        <v/>
      </c>
    </row>
    <row r="43899" spans="8:8" x14ac:dyDescent="0.3">
      <c r="H43899" t="str">
        <f t="shared" si="735"/>
        <v/>
      </c>
    </row>
    <row r="43900" spans="8:8" x14ac:dyDescent="0.3">
      <c r="H43900" t="str">
        <f t="shared" si="735"/>
        <v/>
      </c>
    </row>
    <row r="43901" spans="8:8" x14ac:dyDescent="0.3">
      <c r="H43901" t="str">
        <f t="shared" si="735"/>
        <v/>
      </c>
    </row>
    <row r="43902" spans="8:8" x14ac:dyDescent="0.3">
      <c r="H43902" t="str">
        <f t="shared" si="735"/>
        <v/>
      </c>
    </row>
    <row r="43903" spans="8:8" x14ac:dyDescent="0.3">
      <c r="H43903" t="str">
        <f t="shared" si="735"/>
        <v/>
      </c>
    </row>
    <row r="43904" spans="8:8" x14ac:dyDescent="0.3">
      <c r="H43904" t="str">
        <f t="shared" si="735"/>
        <v/>
      </c>
    </row>
    <row r="43905" spans="8:8" x14ac:dyDescent="0.3">
      <c r="H43905" t="str">
        <f t="shared" si="735"/>
        <v/>
      </c>
    </row>
    <row r="43906" spans="8:8" x14ac:dyDescent="0.3">
      <c r="H43906" t="str">
        <f t="shared" si="735"/>
        <v/>
      </c>
    </row>
    <row r="43907" spans="8:8" x14ac:dyDescent="0.3">
      <c r="H43907" t="str">
        <f t="shared" si="735"/>
        <v/>
      </c>
    </row>
    <row r="43908" spans="8:8" x14ac:dyDescent="0.3">
      <c r="H43908" t="str">
        <f t="shared" si="735"/>
        <v/>
      </c>
    </row>
    <row r="43909" spans="8:8" x14ac:dyDescent="0.3">
      <c r="H43909" t="str">
        <f t="shared" si="735"/>
        <v/>
      </c>
    </row>
    <row r="43910" spans="8:8" x14ac:dyDescent="0.3">
      <c r="H43910" t="str">
        <f t="shared" si="735"/>
        <v/>
      </c>
    </row>
    <row r="43911" spans="8:8" x14ac:dyDescent="0.3">
      <c r="H43911" t="str">
        <f t="shared" si="735"/>
        <v/>
      </c>
    </row>
    <row r="43912" spans="8:8" x14ac:dyDescent="0.3">
      <c r="H43912" t="str">
        <f t="shared" si="735"/>
        <v/>
      </c>
    </row>
    <row r="43913" spans="8:8" x14ac:dyDescent="0.3">
      <c r="H43913" t="str">
        <f t="shared" si="735"/>
        <v/>
      </c>
    </row>
    <row r="43914" spans="8:8" x14ac:dyDescent="0.3">
      <c r="H43914" t="str">
        <f t="shared" si="735"/>
        <v/>
      </c>
    </row>
    <row r="43915" spans="8:8" x14ac:dyDescent="0.3">
      <c r="H43915" t="str">
        <f t="shared" si="735"/>
        <v/>
      </c>
    </row>
    <row r="43916" spans="8:8" x14ac:dyDescent="0.3">
      <c r="H43916" t="str">
        <f t="shared" si="735"/>
        <v/>
      </c>
    </row>
    <row r="43917" spans="8:8" x14ac:dyDescent="0.3">
      <c r="H43917" t="str">
        <f t="shared" si="735"/>
        <v/>
      </c>
    </row>
    <row r="43918" spans="8:8" x14ac:dyDescent="0.3">
      <c r="H43918" t="str">
        <f t="shared" si="735"/>
        <v/>
      </c>
    </row>
    <row r="43919" spans="8:8" x14ac:dyDescent="0.3">
      <c r="H43919" t="str">
        <f t="shared" si="735"/>
        <v/>
      </c>
    </row>
    <row r="43920" spans="8:8" x14ac:dyDescent="0.3">
      <c r="H43920" t="str">
        <f t="shared" si="735"/>
        <v/>
      </c>
    </row>
    <row r="43921" spans="8:8" x14ac:dyDescent="0.3">
      <c r="H43921" t="str">
        <f t="shared" si="735"/>
        <v/>
      </c>
    </row>
    <row r="43922" spans="8:8" x14ac:dyDescent="0.3">
      <c r="H43922" t="str">
        <f t="shared" si="735"/>
        <v/>
      </c>
    </row>
    <row r="43923" spans="8:8" x14ac:dyDescent="0.3">
      <c r="H43923" t="str">
        <f t="shared" si="735"/>
        <v/>
      </c>
    </row>
    <row r="43924" spans="8:8" x14ac:dyDescent="0.3">
      <c r="H43924" t="str">
        <f t="shared" si="735"/>
        <v/>
      </c>
    </row>
    <row r="43925" spans="8:8" x14ac:dyDescent="0.3">
      <c r="H43925" t="str">
        <f t="shared" si="735"/>
        <v/>
      </c>
    </row>
    <row r="43926" spans="8:8" x14ac:dyDescent="0.3">
      <c r="H43926" t="str">
        <f t="shared" si="735"/>
        <v/>
      </c>
    </row>
    <row r="43927" spans="8:8" x14ac:dyDescent="0.3">
      <c r="H43927" t="str">
        <f t="shared" ref="H43927:H43990" si="736">IF(B43927="","",$C$12)</f>
        <v/>
      </c>
    </row>
    <row r="43928" spans="8:8" x14ac:dyDescent="0.3">
      <c r="H43928" t="str">
        <f t="shared" si="736"/>
        <v/>
      </c>
    </row>
    <row r="43929" spans="8:8" x14ac:dyDescent="0.3">
      <c r="H43929" t="str">
        <f t="shared" si="736"/>
        <v/>
      </c>
    </row>
    <row r="43930" spans="8:8" x14ac:dyDescent="0.3">
      <c r="H43930" t="str">
        <f t="shared" si="736"/>
        <v/>
      </c>
    </row>
    <row r="43931" spans="8:8" x14ac:dyDescent="0.3">
      <c r="H43931" t="str">
        <f t="shared" si="736"/>
        <v/>
      </c>
    </row>
    <row r="43932" spans="8:8" x14ac:dyDescent="0.3">
      <c r="H43932" t="str">
        <f t="shared" si="736"/>
        <v/>
      </c>
    </row>
    <row r="43933" spans="8:8" x14ac:dyDescent="0.3">
      <c r="H43933" t="str">
        <f t="shared" si="736"/>
        <v/>
      </c>
    </row>
    <row r="43934" spans="8:8" x14ac:dyDescent="0.3">
      <c r="H43934" t="str">
        <f t="shared" si="736"/>
        <v/>
      </c>
    </row>
    <row r="43935" spans="8:8" x14ac:dyDescent="0.3">
      <c r="H43935" t="str">
        <f t="shared" si="736"/>
        <v/>
      </c>
    </row>
    <row r="43936" spans="8:8" x14ac:dyDescent="0.3">
      <c r="H43936" t="str">
        <f t="shared" si="736"/>
        <v/>
      </c>
    </row>
    <row r="43937" spans="8:8" x14ac:dyDescent="0.3">
      <c r="H43937" t="str">
        <f t="shared" si="736"/>
        <v/>
      </c>
    </row>
    <row r="43938" spans="8:8" x14ac:dyDescent="0.3">
      <c r="H43938" t="str">
        <f t="shared" si="736"/>
        <v/>
      </c>
    </row>
    <row r="43939" spans="8:8" x14ac:dyDescent="0.3">
      <c r="H43939" t="str">
        <f t="shared" si="736"/>
        <v/>
      </c>
    </row>
    <row r="43940" spans="8:8" x14ac:dyDescent="0.3">
      <c r="H43940" t="str">
        <f t="shared" si="736"/>
        <v/>
      </c>
    </row>
    <row r="43941" spans="8:8" x14ac:dyDescent="0.3">
      <c r="H43941" t="str">
        <f t="shared" si="736"/>
        <v/>
      </c>
    </row>
    <row r="43942" spans="8:8" x14ac:dyDescent="0.3">
      <c r="H43942" t="str">
        <f t="shared" si="736"/>
        <v/>
      </c>
    </row>
    <row r="43943" spans="8:8" x14ac:dyDescent="0.3">
      <c r="H43943" t="str">
        <f t="shared" si="736"/>
        <v/>
      </c>
    </row>
    <row r="43944" spans="8:8" x14ac:dyDescent="0.3">
      <c r="H43944" t="str">
        <f t="shared" si="736"/>
        <v/>
      </c>
    </row>
    <row r="43945" spans="8:8" x14ac:dyDescent="0.3">
      <c r="H43945" t="str">
        <f t="shared" si="736"/>
        <v/>
      </c>
    </row>
    <row r="43946" spans="8:8" x14ac:dyDescent="0.3">
      <c r="H43946" t="str">
        <f t="shared" si="736"/>
        <v/>
      </c>
    </row>
    <row r="43947" spans="8:8" x14ac:dyDescent="0.3">
      <c r="H43947" t="str">
        <f t="shared" si="736"/>
        <v/>
      </c>
    </row>
    <row r="43948" spans="8:8" x14ac:dyDescent="0.3">
      <c r="H43948" t="str">
        <f t="shared" si="736"/>
        <v/>
      </c>
    </row>
    <row r="43949" spans="8:8" x14ac:dyDescent="0.3">
      <c r="H43949" t="str">
        <f t="shared" si="736"/>
        <v/>
      </c>
    </row>
    <row r="43950" spans="8:8" x14ac:dyDescent="0.3">
      <c r="H43950" t="str">
        <f t="shared" si="736"/>
        <v/>
      </c>
    </row>
    <row r="43951" spans="8:8" x14ac:dyDescent="0.3">
      <c r="H43951" t="str">
        <f t="shared" si="736"/>
        <v/>
      </c>
    </row>
    <row r="43952" spans="8:8" x14ac:dyDescent="0.3">
      <c r="H43952" t="str">
        <f t="shared" si="736"/>
        <v/>
      </c>
    </row>
    <row r="43953" spans="8:8" x14ac:dyDescent="0.3">
      <c r="H43953" t="str">
        <f t="shared" si="736"/>
        <v/>
      </c>
    </row>
    <row r="43954" spans="8:8" x14ac:dyDescent="0.3">
      <c r="H43954" t="str">
        <f t="shared" si="736"/>
        <v/>
      </c>
    </row>
    <row r="43955" spans="8:8" x14ac:dyDescent="0.3">
      <c r="H43955" t="str">
        <f t="shared" si="736"/>
        <v/>
      </c>
    </row>
    <row r="43956" spans="8:8" x14ac:dyDescent="0.3">
      <c r="H43956" t="str">
        <f t="shared" si="736"/>
        <v/>
      </c>
    </row>
    <row r="43957" spans="8:8" x14ac:dyDescent="0.3">
      <c r="H43957" t="str">
        <f t="shared" si="736"/>
        <v/>
      </c>
    </row>
    <row r="43958" spans="8:8" x14ac:dyDescent="0.3">
      <c r="H43958" t="str">
        <f t="shared" si="736"/>
        <v/>
      </c>
    </row>
    <row r="43959" spans="8:8" x14ac:dyDescent="0.3">
      <c r="H43959" t="str">
        <f t="shared" si="736"/>
        <v/>
      </c>
    </row>
    <row r="43960" spans="8:8" x14ac:dyDescent="0.3">
      <c r="H43960" t="str">
        <f t="shared" si="736"/>
        <v/>
      </c>
    </row>
    <row r="43961" spans="8:8" x14ac:dyDescent="0.3">
      <c r="H43961" t="str">
        <f t="shared" si="736"/>
        <v/>
      </c>
    </row>
    <row r="43962" spans="8:8" x14ac:dyDescent="0.3">
      <c r="H43962" t="str">
        <f t="shared" si="736"/>
        <v/>
      </c>
    </row>
    <row r="43963" spans="8:8" x14ac:dyDescent="0.3">
      <c r="H43963" t="str">
        <f t="shared" si="736"/>
        <v/>
      </c>
    </row>
    <row r="43964" spans="8:8" x14ac:dyDescent="0.3">
      <c r="H43964" t="str">
        <f t="shared" si="736"/>
        <v/>
      </c>
    </row>
    <row r="43965" spans="8:8" x14ac:dyDescent="0.3">
      <c r="H43965" t="str">
        <f t="shared" si="736"/>
        <v/>
      </c>
    </row>
    <row r="43966" spans="8:8" x14ac:dyDescent="0.3">
      <c r="H43966" t="str">
        <f t="shared" si="736"/>
        <v/>
      </c>
    </row>
    <row r="43967" spans="8:8" x14ac:dyDescent="0.3">
      <c r="H43967" t="str">
        <f t="shared" si="736"/>
        <v/>
      </c>
    </row>
    <row r="43968" spans="8:8" x14ac:dyDescent="0.3">
      <c r="H43968" t="str">
        <f t="shared" si="736"/>
        <v/>
      </c>
    </row>
    <row r="43969" spans="8:8" x14ac:dyDescent="0.3">
      <c r="H43969" t="str">
        <f t="shared" si="736"/>
        <v/>
      </c>
    </row>
    <row r="43970" spans="8:8" x14ac:dyDescent="0.3">
      <c r="H43970" t="str">
        <f t="shared" si="736"/>
        <v/>
      </c>
    </row>
    <row r="43971" spans="8:8" x14ac:dyDescent="0.3">
      <c r="H43971" t="str">
        <f t="shared" si="736"/>
        <v/>
      </c>
    </row>
    <row r="43972" spans="8:8" x14ac:dyDescent="0.3">
      <c r="H43972" t="str">
        <f t="shared" si="736"/>
        <v/>
      </c>
    </row>
    <row r="43973" spans="8:8" x14ac:dyDescent="0.3">
      <c r="H43973" t="str">
        <f t="shared" si="736"/>
        <v/>
      </c>
    </row>
    <row r="43974" spans="8:8" x14ac:dyDescent="0.3">
      <c r="H43974" t="str">
        <f t="shared" si="736"/>
        <v/>
      </c>
    </row>
    <row r="43975" spans="8:8" x14ac:dyDescent="0.3">
      <c r="H43975" t="str">
        <f t="shared" si="736"/>
        <v/>
      </c>
    </row>
    <row r="43976" spans="8:8" x14ac:dyDescent="0.3">
      <c r="H43976" t="str">
        <f t="shared" si="736"/>
        <v/>
      </c>
    </row>
    <row r="43977" spans="8:8" x14ac:dyDescent="0.3">
      <c r="H43977" t="str">
        <f t="shared" si="736"/>
        <v/>
      </c>
    </row>
    <row r="43978" spans="8:8" x14ac:dyDescent="0.3">
      <c r="H43978" t="str">
        <f t="shared" si="736"/>
        <v/>
      </c>
    </row>
    <row r="43979" spans="8:8" x14ac:dyDescent="0.3">
      <c r="H43979" t="str">
        <f t="shared" si="736"/>
        <v/>
      </c>
    </row>
    <row r="43980" spans="8:8" x14ac:dyDescent="0.3">
      <c r="H43980" t="str">
        <f t="shared" si="736"/>
        <v/>
      </c>
    </row>
    <row r="43981" spans="8:8" x14ac:dyDescent="0.3">
      <c r="H43981" t="str">
        <f t="shared" si="736"/>
        <v/>
      </c>
    </row>
    <row r="43982" spans="8:8" x14ac:dyDescent="0.3">
      <c r="H43982" t="str">
        <f t="shared" si="736"/>
        <v/>
      </c>
    </row>
    <row r="43983" spans="8:8" x14ac:dyDescent="0.3">
      <c r="H43983" t="str">
        <f t="shared" si="736"/>
        <v/>
      </c>
    </row>
    <row r="43984" spans="8:8" x14ac:dyDescent="0.3">
      <c r="H43984" t="str">
        <f t="shared" si="736"/>
        <v/>
      </c>
    </row>
    <row r="43985" spans="8:8" x14ac:dyDescent="0.3">
      <c r="H43985" t="str">
        <f t="shared" si="736"/>
        <v/>
      </c>
    </row>
    <row r="43986" spans="8:8" x14ac:dyDescent="0.3">
      <c r="H43986" t="str">
        <f t="shared" si="736"/>
        <v/>
      </c>
    </row>
    <row r="43987" spans="8:8" x14ac:dyDescent="0.3">
      <c r="H43987" t="str">
        <f t="shared" si="736"/>
        <v/>
      </c>
    </row>
    <row r="43988" spans="8:8" x14ac:dyDescent="0.3">
      <c r="H43988" t="str">
        <f t="shared" si="736"/>
        <v/>
      </c>
    </row>
    <row r="43989" spans="8:8" x14ac:dyDescent="0.3">
      <c r="H43989" t="str">
        <f t="shared" si="736"/>
        <v/>
      </c>
    </row>
    <row r="43990" spans="8:8" x14ac:dyDescent="0.3">
      <c r="H43990" t="str">
        <f t="shared" si="736"/>
        <v/>
      </c>
    </row>
    <row r="43991" spans="8:8" x14ac:dyDescent="0.3">
      <c r="H43991" t="str">
        <f t="shared" ref="H43991:H44054" si="737">IF(B43991="","",$C$12)</f>
        <v/>
      </c>
    </row>
    <row r="43992" spans="8:8" x14ac:dyDescent="0.3">
      <c r="H43992" t="str">
        <f t="shared" si="737"/>
        <v/>
      </c>
    </row>
    <row r="43993" spans="8:8" x14ac:dyDescent="0.3">
      <c r="H43993" t="str">
        <f t="shared" si="737"/>
        <v/>
      </c>
    </row>
    <row r="43994" spans="8:8" x14ac:dyDescent="0.3">
      <c r="H43994" t="str">
        <f t="shared" si="737"/>
        <v/>
      </c>
    </row>
    <row r="43995" spans="8:8" x14ac:dyDescent="0.3">
      <c r="H43995" t="str">
        <f t="shared" si="737"/>
        <v/>
      </c>
    </row>
    <row r="43996" spans="8:8" x14ac:dyDescent="0.3">
      <c r="H43996" t="str">
        <f t="shared" si="737"/>
        <v/>
      </c>
    </row>
    <row r="43997" spans="8:8" x14ac:dyDescent="0.3">
      <c r="H43997" t="str">
        <f t="shared" si="737"/>
        <v/>
      </c>
    </row>
    <row r="43998" spans="8:8" x14ac:dyDescent="0.3">
      <c r="H43998" t="str">
        <f t="shared" si="737"/>
        <v/>
      </c>
    </row>
    <row r="43999" spans="8:8" x14ac:dyDescent="0.3">
      <c r="H43999" t="str">
        <f t="shared" si="737"/>
        <v/>
      </c>
    </row>
    <row r="44000" spans="8:8" x14ac:dyDescent="0.3">
      <c r="H44000" t="str">
        <f t="shared" si="737"/>
        <v/>
      </c>
    </row>
    <row r="44001" spans="8:8" x14ac:dyDescent="0.3">
      <c r="H44001" t="str">
        <f t="shared" si="737"/>
        <v/>
      </c>
    </row>
    <row r="44002" spans="8:8" x14ac:dyDescent="0.3">
      <c r="H44002" t="str">
        <f t="shared" si="737"/>
        <v/>
      </c>
    </row>
    <row r="44003" spans="8:8" x14ac:dyDescent="0.3">
      <c r="H44003" t="str">
        <f t="shared" si="737"/>
        <v/>
      </c>
    </row>
    <row r="44004" spans="8:8" x14ac:dyDescent="0.3">
      <c r="H44004" t="str">
        <f t="shared" si="737"/>
        <v/>
      </c>
    </row>
    <row r="44005" spans="8:8" x14ac:dyDescent="0.3">
      <c r="H44005" t="str">
        <f t="shared" si="737"/>
        <v/>
      </c>
    </row>
    <row r="44006" spans="8:8" x14ac:dyDescent="0.3">
      <c r="H44006" t="str">
        <f t="shared" si="737"/>
        <v/>
      </c>
    </row>
    <row r="44007" spans="8:8" x14ac:dyDescent="0.3">
      <c r="H44007" t="str">
        <f t="shared" si="737"/>
        <v/>
      </c>
    </row>
    <row r="44008" spans="8:8" x14ac:dyDescent="0.3">
      <c r="H44008" t="str">
        <f t="shared" si="737"/>
        <v/>
      </c>
    </row>
    <row r="44009" spans="8:8" x14ac:dyDescent="0.3">
      <c r="H44009" t="str">
        <f t="shared" si="737"/>
        <v/>
      </c>
    </row>
    <row r="44010" spans="8:8" x14ac:dyDescent="0.3">
      <c r="H44010" t="str">
        <f t="shared" si="737"/>
        <v/>
      </c>
    </row>
    <row r="44011" spans="8:8" x14ac:dyDescent="0.3">
      <c r="H44011" t="str">
        <f t="shared" si="737"/>
        <v/>
      </c>
    </row>
    <row r="44012" spans="8:8" x14ac:dyDescent="0.3">
      <c r="H44012" t="str">
        <f t="shared" si="737"/>
        <v/>
      </c>
    </row>
    <row r="44013" spans="8:8" x14ac:dyDescent="0.3">
      <c r="H44013" t="str">
        <f t="shared" si="737"/>
        <v/>
      </c>
    </row>
    <row r="44014" spans="8:8" x14ac:dyDescent="0.3">
      <c r="H44014" t="str">
        <f t="shared" si="737"/>
        <v/>
      </c>
    </row>
    <row r="44015" spans="8:8" x14ac:dyDescent="0.3">
      <c r="H44015" t="str">
        <f t="shared" si="737"/>
        <v/>
      </c>
    </row>
    <row r="44016" spans="8:8" x14ac:dyDescent="0.3">
      <c r="H44016" t="str">
        <f t="shared" si="737"/>
        <v/>
      </c>
    </row>
    <row r="44017" spans="8:8" x14ac:dyDescent="0.3">
      <c r="H44017" t="str">
        <f t="shared" si="737"/>
        <v/>
      </c>
    </row>
    <row r="44018" spans="8:8" x14ac:dyDescent="0.3">
      <c r="H44018" t="str">
        <f t="shared" si="737"/>
        <v/>
      </c>
    </row>
    <row r="44019" spans="8:8" x14ac:dyDescent="0.3">
      <c r="H44019" t="str">
        <f t="shared" si="737"/>
        <v/>
      </c>
    </row>
    <row r="44020" spans="8:8" x14ac:dyDescent="0.3">
      <c r="H44020" t="str">
        <f t="shared" si="737"/>
        <v/>
      </c>
    </row>
    <row r="44021" spans="8:8" x14ac:dyDescent="0.3">
      <c r="H44021" t="str">
        <f t="shared" si="737"/>
        <v/>
      </c>
    </row>
    <row r="44022" spans="8:8" x14ac:dyDescent="0.3">
      <c r="H44022" t="str">
        <f t="shared" si="737"/>
        <v/>
      </c>
    </row>
    <row r="44023" spans="8:8" x14ac:dyDescent="0.3">
      <c r="H44023" t="str">
        <f t="shared" si="737"/>
        <v/>
      </c>
    </row>
    <row r="44024" spans="8:8" x14ac:dyDescent="0.3">
      <c r="H44024" t="str">
        <f t="shared" si="737"/>
        <v/>
      </c>
    </row>
    <row r="44025" spans="8:8" x14ac:dyDescent="0.3">
      <c r="H44025" t="str">
        <f t="shared" si="737"/>
        <v/>
      </c>
    </row>
    <row r="44026" spans="8:8" x14ac:dyDescent="0.3">
      <c r="H44026" t="str">
        <f t="shared" si="737"/>
        <v/>
      </c>
    </row>
    <row r="44027" spans="8:8" x14ac:dyDescent="0.3">
      <c r="H44027" t="str">
        <f t="shared" si="737"/>
        <v/>
      </c>
    </row>
    <row r="44028" spans="8:8" x14ac:dyDescent="0.3">
      <c r="H44028" t="str">
        <f t="shared" si="737"/>
        <v/>
      </c>
    </row>
    <row r="44029" spans="8:8" x14ac:dyDescent="0.3">
      <c r="H44029" t="str">
        <f t="shared" si="737"/>
        <v/>
      </c>
    </row>
    <row r="44030" spans="8:8" x14ac:dyDescent="0.3">
      <c r="H44030" t="str">
        <f t="shared" si="737"/>
        <v/>
      </c>
    </row>
    <row r="44031" spans="8:8" x14ac:dyDescent="0.3">
      <c r="H44031" t="str">
        <f t="shared" si="737"/>
        <v/>
      </c>
    </row>
    <row r="44032" spans="8:8" x14ac:dyDescent="0.3">
      <c r="H44032" t="str">
        <f t="shared" si="737"/>
        <v/>
      </c>
    </row>
    <row r="44033" spans="8:8" x14ac:dyDescent="0.3">
      <c r="H44033" t="str">
        <f t="shared" si="737"/>
        <v/>
      </c>
    </row>
    <row r="44034" spans="8:8" x14ac:dyDescent="0.3">
      <c r="H44034" t="str">
        <f t="shared" si="737"/>
        <v/>
      </c>
    </row>
    <row r="44035" spans="8:8" x14ac:dyDescent="0.3">
      <c r="H44035" t="str">
        <f t="shared" si="737"/>
        <v/>
      </c>
    </row>
    <row r="44036" spans="8:8" x14ac:dyDescent="0.3">
      <c r="H44036" t="str">
        <f t="shared" si="737"/>
        <v/>
      </c>
    </row>
    <row r="44037" spans="8:8" x14ac:dyDescent="0.3">
      <c r="H44037" t="str">
        <f t="shared" si="737"/>
        <v/>
      </c>
    </row>
    <row r="44038" spans="8:8" x14ac:dyDescent="0.3">
      <c r="H44038" t="str">
        <f t="shared" si="737"/>
        <v/>
      </c>
    </row>
    <row r="44039" spans="8:8" x14ac:dyDescent="0.3">
      <c r="H44039" t="str">
        <f t="shared" si="737"/>
        <v/>
      </c>
    </row>
    <row r="44040" spans="8:8" x14ac:dyDescent="0.3">
      <c r="H44040" t="str">
        <f t="shared" si="737"/>
        <v/>
      </c>
    </row>
    <row r="44041" spans="8:8" x14ac:dyDescent="0.3">
      <c r="H44041" t="str">
        <f t="shared" si="737"/>
        <v/>
      </c>
    </row>
    <row r="44042" spans="8:8" x14ac:dyDescent="0.3">
      <c r="H44042" t="str">
        <f t="shared" si="737"/>
        <v/>
      </c>
    </row>
    <row r="44043" spans="8:8" x14ac:dyDescent="0.3">
      <c r="H44043" t="str">
        <f t="shared" si="737"/>
        <v/>
      </c>
    </row>
    <row r="44044" spans="8:8" x14ac:dyDescent="0.3">
      <c r="H44044" t="str">
        <f t="shared" si="737"/>
        <v/>
      </c>
    </row>
    <row r="44045" spans="8:8" x14ac:dyDescent="0.3">
      <c r="H44045" t="str">
        <f t="shared" si="737"/>
        <v/>
      </c>
    </row>
    <row r="44046" spans="8:8" x14ac:dyDescent="0.3">
      <c r="H44046" t="str">
        <f t="shared" si="737"/>
        <v/>
      </c>
    </row>
    <row r="44047" spans="8:8" x14ac:dyDescent="0.3">
      <c r="H44047" t="str">
        <f t="shared" si="737"/>
        <v/>
      </c>
    </row>
    <row r="44048" spans="8:8" x14ac:dyDescent="0.3">
      <c r="H44048" t="str">
        <f t="shared" si="737"/>
        <v/>
      </c>
    </row>
    <row r="44049" spans="8:8" x14ac:dyDescent="0.3">
      <c r="H44049" t="str">
        <f t="shared" si="737"/>
        <v/>
      </c>
    </row>
    <row r="44050" spans="8:8" x14ac:dyDescent="0.3">
      <c r="H44050" t="str">
        <f t="shared" si="737"/>
        <v/>
      </c>
    </row>
    <row r="44051" spans="8:8" x14ac:dyDescent="0.3">
      <c r="H44051" t="str">
        <f t="shared" si="737"/>
        <v/>
      </c>
    </row>
    <row r="44052" spans="8:8" x14ac:dyDescent="0.3">
      <c r="H44052" t="str">
        <f t="shared" si="737"/>
        <v/>
      </c>
    </row>
    <row r="44053" spans="8:8" x14ac:dyDescent="0.3">
      <c r="H44053" t="str">
        <f t="shared" si="737"/>
        <v/>
      </c>
    </row>
    <row r="44054" spans="8:8" x14ac:dyDescent="0.3">
      <c r="H44054" t="str">
        <f t="shared" si="737"/>
        <v/>
      </c>
    </row>
    <row r="44055" spans="8:8" x14ac:dyDescent="0.3">
      <c r="H44055" t="str">
        <f t="shared" ref="H44055:H44118" si="738">IF(B44055="","",$C$12)</f>
        <v/>
      </c>
    </row>
    <row r="44056" spans="8:8" x14ac:dyDescent="0.3">
      <c r="H44056" t="str">
        <f t="shared" si="738"/>
        <v/>
      </c>
    </row>
    <row r="44057" spans="8:8" x14ac:dyDescent="0.3">
      <c r="H44057" t="str">
        <f t="shared" si="738"/>
        <v/>
      </c>
    </row>
    <row r="44058" spans="8:8" x14ac:dyDescent="0.3">
      <c r="H44058" t="str">
        <f t="shared" si="738"/>
        <v/>
      </c>
    </row>
    <row r="44059" spans="8:8" x14ac:dyDescent="0.3">
      <c r="H44059" t="str">
        <f t="shared" si="738"/>
        <v/>
      </c>
    </row>
    <row r="44060" spans="8:8" x14ac:dyDescent="0.3">
      <c r="H44060" t="str">
        <f t="shared" si="738"/>
        <v/>
      </c>
    </row>
    <row r="44061" spans="8:8" x14ac:dyDescent="0.3">
      <c r="H44061" t="str">
        <f t="shared" si="738"/>
        <v/>
      </c>
    </row>
    <row r="44062" spans="8:8" x14ac:dyDescent="0.3">
      <c r="H44062" t="str">
        <f t="shared" si="738"/>
        <v/>
      </c>
    </row>
    <row r="44063" spans="8:8" x14ac:dyDescent="0.3">
      <c r="H44063" t="str">
        <f t="shared" si="738"/>
        <v/>
      </c>
    </row>
    <row r="44064" spans="8:8" x14ac:dyDescent="0.3">
      <c r="H44064" t="str">
        <f t="shared" si="738"/>
        <v/>
      </c>
    </row>
    <row r="44065" spans="8:8" x14ac:dyDescent="0.3">
      <c r="H44065" t="str">
        <f t="shared" si="738"/>
        <v/>
      </c>
    </row>
    <row r="44066" spans="8:8" x14ac:dyDescent="0.3">
      <c r="H44066" t="str">
        <f t="shared" si="738"/>
        <v/>
      </c>
    </row>
    <row r="44067" spans="8:8" x14ac:dyDescent="0.3">
      <c r="H44067" t="str">
        <f t="shared" si="738"/>
        <v/>
      </c>
    </row>
    <row r="44068" spans="8:8" x14ac:dyDescent="0.3">
      <c r="H44068" t="str">
        <f t="shared" si="738"/>
        <v/>
      </c>
    </row>
    <row r="44069" spans="8:8" x14ac:dyDescent="0.3">
      <c r="H44069" t="str">
        <f t="shared" si="738"/>
        <v/>
      </c>
    </row>
    <row r="44070" spans="8:8" x14ac:dyDescent="0.3">
      <c r="H44070" t="str">
        <f t="shared" si="738"/>
        <v/>
      </c>
    </row>
    <row r="44071" spans="8:8" x14ac:dyDescent="0.3">
      <c r="H44071" t="str">
        <f t="shared" si="738"/>
        <v/>
      </c>
    </row>
    <row r="44072" spans="8:8" x14ac:dyDescent="0.3">
      <c r="H44072" t="str">
        <f t="shared" si="738"/>
        <v/>
      </c>
    </row>
    <row r="44073" spans="8:8" x14ac:dyDescent="0.3">
      <c r="H44073" t="str">
        <f t="shared" si="738"/>
        <v/>
      </c>
    </row>
    <row r="44074" spans="8:8" x14ac:dyDescent="0.3">
      <c r="H44074" t="str">
        <f t="shared" si="738"/>
        <v/>
      </c>
    </row>
    <row r="44075" spans="8:8" x14ac:dyDescent="0.3">
      <c r="H44075" t="str">
        <f t="shared" si="738"/>
        <v/>
      </c>
    </row>
    <row r="44076" spans="8:8" x14ac:dyDescent="0.3">
      <c r="H44076" t="str">
        <f t="shared" si="738"/>
        <v/>
      </c>
    </row>
    <row r="44077" spans="8:8" x14ac:dyDescent="0.3">
      <c r="H44077" t="str">
        <f t="shared" si="738"/>
        <v/>
      </c>
    </row>
    <row r="44078" spans="8:8" x14ac:dyDescent="0.3">
      <c r="H44078" t="str">
        <f t="shared" si="738"/>
        <v/>
      </c>
    </row>
    <row r="44079" spans="8:8" x14ac:dyDescent="0.3">
      <c r="H44079" t="str">
        <f t="shared" si="738"/>
        <v/>
      </c>
    </row>
    <row r="44080" spans="8:8" x14ac:dyDescent="0.3">
      <c r="H44080" t="str">
        <f t="shared" si="738"/>
        <v/>
      </c>
    </row>
    <row r="44081" spans="8:8" x14ac:dyDescent="0.3">
      <c r="H44081" t="str">
        <f t="shared" si="738"/>
        <v/>
      </c>
    </row>
    <row r="44082" spans="8:8" x14ac:dyDescent="0.3">
      <c r="H44082" t="str">
        <f t="shared" si="738"/>
        <v/>
      </c>
    </row>
    <row r="44083" spans="8:8" x14ac:dyDescent="0.3">
      <c r="H44083" t="str">
        <f t="shared" si="738"/>
        <v/>
      </c>
    </row>
    <row r="44084" spans="8:8" x14ac:dyDescent="0.3">
      <c r="H44084" t="str">
        <f t="shared" si="738"/>
        <v/>
      </c>
    </row>
    <row r="44085" spans="8:8" x14ac:dyDescent="0.3">
      <c r="H44085" t="str">
        <f t="shared" si="738"/>
        <v/>
      </c>
    </row>
    <row r="44086" spans="8:8" x14ac:dyDescent="0.3">
      <c r="H44086" t="str">
        <f t="shared" si="738"/>
        <v/>
      </c>
    </row>
    <row r="44087" spans="8:8" x14ac:dyDescent="0.3">
      <c r="H44087" t="str">
        <f t="shared" si="738"/>
        <v/>
      </c>
    </row>
    <row r="44088" spans="8:8" x14ac:dyDescent="0.3">
      <c r="H44088" t="str">
        <f t="shared" si="738"/>
        <v/>
      </c>
    </row>
    <row r="44089" spans="8:8" x14ac:dyDescent="0.3">
      <c r="H44089" t="str">
        <f t="shared" si="738"/>
        <v/>
      </c>
    </row>
    <row r="44090" spans="8:8" x14ac:dyDescent="0.3">
      <c r="H44090" t="str">
        <f t="shared" si="738"/>
        <v/>
      </c>
    </row>
    <row r="44091" spans="8:8" x14ac:dyDescent="0.3">
      <c r="H44091" t="str">
        <f t="shared" si="738"/>
        <v/>
      </c>
    </row>
    <row r="44092" spans="8:8" x14ac:dyDescent="0.3">
      <c r="H44092" t="str">
        <f t="shared" si="738"/>
        <v/>
      </c>
    </row>
    <row r="44093" spans="8:8" x14ac:dyDescent="0.3">
      <c r="H44093" t="str">
        <f t="shared" si="738"/>
        <v/>
      </c>
    </row>
    <row r="44094" spans="8:8" x14ac:dyDescent="0.3">
      <c r="H44094" t="str">
        <f t="shared" si="738"/>
        <v/>
      </c>
    </row>
    <row r="44095" spans="8:8" x14ac:dyDescent="0.3">
      <c r="H44095" t="str">
        <f t="shared" si="738"/>
        <v/>
      </c>
    </row>
    <row r="44096" spans="8:8" x14ac:dyDescent="0.3">
      <c r="H44096" t="str">
        <f t="shared" si="738"/>
        <v/>
      </c>
    </row>
    <row r="44097" spans="8:8" x14ac:dyDescent="0.3">
      <c r="H44097" t="str">
        <f t="shared" si="738"/>
        <v/>
      </c>
    </row>
    <row r="44098" spans="8:8" x14ac:dyDescent="0.3">
      <c r="H44098" t="str">
        <f t="shared" si="738"/>
        <v/>
      </c>
    </row>
    <row r="44099" spans="8:8" x14ac:dyDescent="0.3">
      <c r="H44099" t="str">
        <f t="shared" si="738"/>
        <v/>
      </c>
    </row>
    <row r="44100" spans="8:8" x14ac:dyDescent="0.3">
      <c r="H44100" t="str">
        <f t="shared" si="738"/>
        <v/>
      </c>
    </row>
    <row r="44101" spans="8:8" x14ac:dyDescent="0.3">
      <c r="H44101" t="str">
        <f t="shared" si="738"/>
        <v/>
      </c>
    </row>
    <row r="44102" spans="8:8" x14ac:dyDescent="0.3">
      <c r="H44102" t="str">
        <f t="shared" si="738"/>
        <v/>
      </c>
    </row>
    <row r="44103" spans="8:8" x14ac:dyDescent="0.3">
      <c r="H44103" t="str">
        <f t="shared" si="738"/>
        <v/>
      </c>
    </row>
    <row r="44104" spans="8:8" x14ac:dyDescent="0.3">
      <c r="H44104" t="str">
        <f t="shared" si="738"/>
        <v/>
      </c>
    </row>
    <row r="44105" spans="8:8" x14ac:dyDescent="0.3">
      <c r="H44105" t="str">
        <f t="shared" si="738"/>
        <v/>
      </c>
    </row>
    <row r="44106" spans="8:8" x14ac:dyDescent="0.3">
      <c r="H44106" t="str">
        <f t="shared" si="738"/>
        <v/>
      </c>
    </row>
    <row r="44107" spans="8:8" x14ac:dyDescent="0.3">
      <c r="H44107" t="str">
        <f t="shared" si="738"/>
        <v/>
      </c>
    </row>
    <row r="44108" spans="8:8" x14ac:dyDescent="0.3">
      <c r="H44108" t="str">
        <f t="shared" si="738"/>
        <v/>
      </c>
    </row>
    <row r="44109" spans="8:8" x14ac:dyDescent="0.3">
      <c r="H44109" t="str">
        <f t="shared" si="738"/>
        <v/>
      </c>
    </row>
    <row r="44110" spans="8:8" x14ac:dyDescent="0.3">
      <c r="H44110" t="str">
        <f t="shared" si="738"/>
        <v/>
      </c>
    </row>
    <row r="44111" spans="8:8" x14ac:dyDescent="0.3">
      <c r="H44111" t="str">
        <f t="shared" si="738"/>
        <v/>
      </c>
    </row>
    <row r="44112" spans="8:8" x14ac:dyDescent="0.3">
      <c r="H44112" t="str">
        <f t="shared" si="738"/>
        <v/>
      </c>
    </row>
    <row r="44113" spans="8:8" x14ac:dyDescent="0.3">
      <c r="H44113" t="str">
        <f t="shared" si="738"/>
        <v/>
      </c>
    </row>
    <row r="44114" spans="8:8" x14ac:dyDescent="0.3">
      <c r="H44114" t="str">
        <f t="shared" si="738"/>
        <v/>
      </c>
    </row>
    <row r="44115" spans="8:8" x14ac:dyDescent="0.3">
      <c r="H44115" t="str">
        <f t="shared" si="738"/>
        <v/>
      </c>
    </row>
    <row r="44116" spans="8:8" x14ac:dyDescent="0.3">
      <c r="H44116" t="str">
        <f t="shared" si="738"/>
        <v/>
      </c>
    </row>
    <row r="44117" spans="8:8" x14ac:dyDescent="0.3">
      <c r="H44117" t="str">
        <f t="shared" si="738"/>
        <v/>
      </c>
    </row>
    <row r="44118" spans="8:8" x14ac:dyDescent="0.3">
      <c r="H44118" t="str">
        <f t="shared" si="738"/>
        <v/>
      </c>
    </row>
    <row r="44119" spans="8:8" x14ac:dyDescent="0.3">
      <c r="H44119" t="str">
        <f t="shared" ref="H44119:H44182" si="739">IF(B44119="","",$C$12)</f>
        <v/>
      </c>
    </row>
    <row r="44120" spans="8:8" x14ac:dyDescent="0.3">
      <c r="H44120" t="str">
        <f t="shared" si="739"/>
        <v/>
      </c>
    </row>
    <row r="44121" spans="8:8" x14ac:dyDescent="0.3">
      <c r="H44121" t="str">
        <f t="shared" si="739"/>
        <v/>
      </c>
    </row>
    <row r="44122" spans="8:8" x14ac:dyDescent="0.3">
      <c r="H44122" t="str">
        <f t="shared" si="739"/>
        <v/>
      </c>
    </row>
    <row r="44123" spans="8:8" x14ac:dyDescent="0.3">
      <c r="H44123" t="str">
        <f t="shared" si="739"/>
        <v/>
      </c>
    </row>
    <row r="44124" spans="8:8" x14ac:dyDescent="0.3">
      <c r="H44124" t="str">
        <f t="shared" si="739"/>
        <v/>
      </c>
    </row>
    <row r="44125" spans="8:8" x14ac:dyDescent="0.3">
      <c r="H44125" t="str">
        <f t="shared" si="739"/>
        <v/>
      </c>
    </row>
    <row r="44126" spans="8:8" x14ac:dyDescent="0.3">
      <c r="H44126" t="str">
        <f t="shared" si="739"/>
        <v/>
      </c>
    </row>
    <row r="44127" spans="8:8" x14ac:dyDescent="0.3">
      <c r="H44127" t="str">
        <f t="shared" si="739"/>
        <v/>
      </c>
    </row>
    <row r="44128" spans="8:8" x14ac:dyDescent="0.3">
      <c r="H44128" t="str">
        <f t="shared" si="739"/>
        <v/>
      </c>
    </row>
    <row r="44129" spans="8:8" x14ac:dyDescent="0.3">
      <c r="H44129" t="str">
        <f t="shared" si="739"/>
        <v/>
      </c>
    </row>
    <row r="44130" spans="8:8" x14ac:dyDescent="0.3">
      <c r="H44130" t="str">
        <f t="shared" si="739"/>
        <v/>
      </c>
    </row>
    <row r="44131" spans="8:8" x14ac:dyDescent="0.3">
      <c r="H44131" t="str">
        <f t="shared" si="739"/>
        <v/>
      </c>
    </row>
    <row r="44132" spans="8:8" x14ac:dyDescent="0.3">
      <c r="H44132" t="str">
        <f t="shared" si="739"/>
        <v/>
      </c>
    </row>
    <row r="44133" spans="8:8" x14ac:dyDescent="0.3">
      <c r="H44133" t="str">
        <f t="shared" si="739"/>
        <v/>
      </c>
    </row>
    <row r="44134" spans="8:8" x14ac:dyDescent="0.3">
      <c r="H44134" t="str">
        <f t="shared" si="739"/>
        <v/>
      </c>
    </row>
    <row r="44135" spans="8:8" x14ac:dyDescent="0.3">
      <c r="H44135" t="str">
        <f t="shared" si="739"/>
        <v/>
      </c>
    </row>
    <row r="44136" spans="8:8" x14ac:dyDescent="0.3">
      <c r="H44136" t="str">
        <f t="shared" si="739"/>
        <v/>
      </c>
    </row>
    <row r="44137" spans="8:8" x14ac:dyDescent="0.3">
      <c r="H44137" t="str">
        <f t="shared" si="739"/>
        <v/>
      </c>
    </row>
    <row r="44138" spans="8:8" x14ac:dyDescent="0.3">
      <c r="H44138" t="str">
        <f t="shared" si="739"/>
        <v/>
      </c>
    </row>
    <row r="44139" spans="8:8" x14ac:dyDescent="0.3">
      <c r="H44139" t="str">
        <f t="shared" si="739"/>
        <v/>
      </c>
    </row>
    <row r="44140" spans="8:8" x14ac:dyDescent="0.3">
      <c r="H44140" t="str">
        <f t="shared" si="739"/>
        <v/>
      </c>
    </row>
    <row r="44141" spans="8:8" x14ac:dyDescent="0.3">
      <c r="H44141" t="str">
        <f t="shared" si="739"/>
        <v/>
      </c>
    </row>
    <row r="44142" spans="8:8" x14ac:dyDescent="0.3">
      <c r="H44142" t="str">
        <f t="shared" si="739"/>
        <v/>
      </c>
    </row>
    <row r="44143" spans="8:8" x14ac:dyDescent="0.3">
      <c r="H44143" t="str">
        <f t="shared" si="739"/>
        <v/>
      </c>
    </row>
    <row r="44144" spans="8:8" x14ac:dyDescent="0.3">
      <c r="H44144" t="str">
        <f t="shared" si="739"/>
        <v/>
      </c>
    </row>
    <row r="44145" spans="8:8" x14ac:dyDescent="0.3">
      <c r="H44145" t="str">
        <f t="shared" si="739"/>
        <v/>
      </c>
    </row>
    <row r="44146" spans="8:8" x14ac:dyDescent="0.3">
      <c r="H44146" t="str">
        <f t="shared" si="739"/>
        <v/>
      </c>
    </row>
    <row r="44147" spans="8:8" x14ac:dyDescent="0.3">
      <c r="H44147" t="str">
        <f t="shared" si="739"/>
        <v/>
      </c>
    </row>
    <row r="44148" spans="8:8" x14ac:dyDescent="0.3">
      <c r="H44148" t="str">
        <f t="shared" si="739"/>
        <v/>
      </c>
    </row>
    <row r="44149" spans="8:8" x14ac:dyDescent="0.3">
      <c r="H44149" t="str">
        <f t="shared" si="739"/>
        <v/>
      </c>
    </row>
    <row r="44150" spans="8:8" x14ac:dyDescent="0.3">
      <c r="H44150" t="str">
        <f t="shared" si="739"/>
        <v/>
      </c>
    </row>
    <row r="44151" spans="8:8" x14ac:dyDescent="0.3">
      <c r="H44151" t="str">
        <f t="shared" si="739"/>
        <v/>
      </c>
    </row>
    <row r="44152" spans="8:8" x14ac:dyDescent="0.3">
      <c r="H44152" t="str">
        <f t="shared" si="739"/>
        <v/>
      </c>
    </row>
    <row r="44153" spans="8:8" x14ac:dyDescent="0.3">
      <c r="H44153" t="str">
        <f t="shared" si="739"/>
        <v/>
      </c>
    </row>
    <row r="44154" spans="8:8" x14ac:dyDescent="0.3">
      <c r="H44154" t="str">
        <f t="shared" si="739"/>
        <v/>
      </c>
    </row>
    <row r="44155" spans="8:8" x14ac:dyDescent="0.3">
      <c r="H44155" t="str">
        <f t="shared" si="739"/>
        <v/>
      </c>
    </row>
    <row r="44156" spans="8:8" x14ac:dyDescent="0.3">
      <c r="H44156" t="str">
        <f t="shared" si="739"/>
        <v/>
      </c>
    </row>
    <row r="44157" spans="8:8" x14ac:dyDescent="0.3">
      <c r="H44157" t="str">
        <f t="shared" si="739"/>
        <v/>
      </c>
    </row>
    <row r="44158" spans="8:8" x14ac:dyDescent="0.3">
      <c r="H44158" t="str">
        <f t="shared" si="739"/>
        <v/>
      </c>
    </row>
    <row r="44159" spans="8:8" x14ac:dyDescent="0.3">
      <c r="H44159" t="str">
        <f t="shared" si="739"/>
        <v/>
      </c>
    </row>
    <row r="44160" spans="8:8" x14ac:dyDescent="0.3">
      <c r="H44160" t="str">
        <f t="shared" si="739"/>
        <v/>
      </c>
    </row>
    <row r="44161" spans="8:8" x14ac:dyDescent="0.3">
      <c r="H44161" t="str">
        <f t="shared" si="739"/>
        <v/>
      </c>
    </row>
    <row r="44162" spans="8:8" x14ac:dyDescent="0.3">
      <c r="H44162" t="str">
        <f t="shared" si="739"/>
        <v/>
      </c>
    </row>
    <row r="44163" spans="8:8" x14ac:dyDescent="0.3">
      <c r="H44163" t="str">
        <f t="shared" si="739"/>
        <v/>
      </c>
    </row>
    <row r="44164" spans="8:8" x14ac:dyDescent="0.3">
      <c r="H44164" t="str">
        <f t="shared" si="739"/>
        <v/>
      </c>
    </row>
    <row r="44165" spans="8:8" x14ac:dyDescent="0.3">
      <c r="H44165" t="str">
        <f t="shared" si="739"/>
        <v/>
      </c>
    </row>
    <row r="44166" spans="8:8" x14ac:dyDescent="0.3">
      <c r="H44166" t="str">
        <f t="shared" si="739"/>
        <v/>
      </c>
    </row>
    <row r="44167" spans="8:8" x14ac:dyDescent="0.3">
      <c r="H44167" t="str">
        <f t="shared" si="739"/>
        <v/>
      </c>
    </row>
    <row r="44168" spans="8:8" x14ac:dyDescent="0.3">
      <c r="H44168" t="str">
        <f t="shared" si="739"/>
        <v/>
      </c>
    </row>
    <row r="44169" spans="8:8" x14ac:dyDescent="0.3">
      <c r="H44169" t="str">
        <f t="shared" si="739"/>
        <v/>
      </c>
    </row>
    <row r="44170" spans="8:8" x14ac:dyDescent="0.3">
      <c r="H44170" t="str">
        <f t="shared" si="739"/>
        <v/>
      </c>
    </row>
    <row r="44171" spans="8:8" x14ac:dyDescent="0.3">
      <c r="H44171" t="str">
        <f t="shared" si="739"/>
        <v/>
      </c>
    </row>
    <row r="44172" spans="8:8" x14ac:dyDescent="0.3">
      <c r="H44172" t="str">
        <f t="shared" si="739"/>
        <v/>
      </c>
    </row>
    <row r="44173" spans="8:8" x14ac:dyDescent="0.3">
      <c r="H44173" t="str">
        <f t="shared" si="739"/>
        <v/>
      </c>
    </row>
    <row r="44174" spans="8:8" x14ac:dyDescent="0.3">
      <c r="H44174" t="str">
        <f t="shared" si="739"/>
        <v/>
      </c>
    </row>
    <row r="44175" spans="8:8" x14ac:dyDescent="0.3">
      <c r="H44175" t="str">
        <f t="shared" si="739"/>
        <v/>
      </c>
    </row>
    <row r="44176" spans="8:8" x14ac:dyDescent="0.3">
      <c r="H44176" t="str">
        <f t="shared" si="739"/>
        <v/>
      </c>
    </row>
    <row r="44177" spans="8:8" x14ac:dyDescent="0.3">
      <c r="H44177" t="str">
        <f t="shared" si="739"/>
        <v/>
      </c>
    </row>
    <row r="44178" spans="8:8" x14ac:dyDescent="0.3">
      <c r="H44178" t="str">
        <f t="shared" si="739"/>
        <v/>
      </c>
    </row>
    <row r="44179" spans="8:8" x14ac:dyDescent="0.3">
      <c r="H44179" t="str">
        <f t="shared" si="739"/>
        <v/>
      </c>
    </row>
    <row r="44180" spans="8:8" x14ac:dyDescent="0.3">
      <c r="H44180" t="str">
        <f t="shared" si="739"/>
        <v/>
      </c>
    </row>
    <row r="44181" spans="8:8" x14ac:dyDescent="0.3">
      <c r="H44181" t="str">
        <f t="shared" si="739"/>
        <v/>
      </c>
    </row>
    <row r="44182" spans="8:8" x14ac:dyDescent="0.3">
      <c r="H44182" t="str">
        <f t="shared" si="739"/>
        <v/>
      </c>
    </row>
    <row r="44183" spans="8:8" x14ac:dyDescent="0.3">
      <c r="H44183" t="str">
        <f t="shared" ref="H44183:H44246" si="740">IF(B44183="","",$C$12)</f>
        <v/>
      </c>
    </row>
    <row r="44184" spans="8:8" x14ac:dyDescent="0.3">
      <c r="H44184" t="str">
        <f t="shared" si="740"/>
        <v/>
      </c>
    </row>
    <row r="44185" spans="8:8" x14ac:dyDescent="0.3">
      <c r="H44185" t="str">
        <f t="shared" si="740"/>
        <v/>
      </c>
    </row>
    <row r="44186" spans="8:8" x14ac:dyDescent="0.3">
      <c r="H44186" t="str">
        <f t="shared" si="740"/>
        <v/>
      </c>
    </row>
    <row r="44187" spans="8:8" x14ac:dyDescent="0.3">
      <c r="H44187" t="str">
        <f t="shared" si="740"/>
        <v/>
      </c>
    </row>
    <row r="44188" spans="8:8" x14ac:dyDescent="0.3">
      <c r="H44188" t="str">
        <f t="shared" si="740"/>
        <v/>
      </c>
    </row>
    <row r="44189" spans="8:8" x14ac:dyDescent="0.3">
      <c r="H44189" t="str">
        <f t="shared" si="740"/>
        <v/>
      </c>
    </row>
    <row r="44190" spans="8:8" x14ac:dyDescent="0.3">
      <c r="H44190" t="str">
        <f t="shared" si="740"/>
        <v/>
      </c>
    </row>
    <row r="44191" spans="8:8" x14ac:dyDescent="0.3">
      <c r="H44191" t="str">
        <f t="shared" si="740"/>
        <v/>
      </c>
    </row>
    <row r="44192" spans="8:8" x14ac:dyDescent="0.3">
      <c r="H44192" t="str">
        <f t="shared" si="740"/>
        <v/>
      </c>
    </row>
    <row r="44193" spans="8:8" x14ac:dyDescent="0.3">
      <c r="H44193" t="str">
        <f t="shared" si="740"/>
        <v/>
      </c>
    </row>
    <row r="44194" spans="8:8" x14ac:dyDescent="0.3">
      <c r="H44194" t="str">
        <f t="shared" si="740"/>
        <v/>
      </c>
    </row>
    <row r="44195" spans="8:8" x14ac:dyDescent="0.3">
      <c r="H44195" t="str">
        <f t="shared" si="740"/>
        <v/>
      </c>
    </row>
    <row r="44196" spans="8:8" x14ac:dyDescent="0.3">
      <c r="H44196" t="str">
        <f t="shared" si="740"/>
        <v/>
      </c>
    </row>
    <row r="44197" spans="8:8" x14ac:dyDescent="0.3">
      <c r="H44197" t="str">
        <f t="shared" si="740"/>
        <v/>
      </c>
    </row>
    <row r="44198" spans="8:8" x14ac:dyDescent="0.3">
      <c r="H44198" t="str">
        <f t="shared" si="740"/>
        <v/>
      </c>
    </row>
    <row r="44199" spans="8:8" x14ac:dyDescent="0.3">
      <c r="H44199" t="str">
        <f t="shared" si="740"/>
        <v/>
      </c>
    </row>
    <row r="44200" spans="8:8" x14ac:dyDescent="0.3">
      <c r="H44200" t="str">
        <f t="shared" si="740"/>
        <v/>
      </c>
    </row>
    <row r="44201" spans="8:8" x14ac:dyDescent="0.3">
      <c r="H44201" t="str">
        <f t="shared" si="740"/>
        <v/>
      </c>
    </row>
    <row r="44202" spans="8:8" x14ac:dyDescent="0.3">
      <c r="H44202" t="str">
        <f t="shared" si="740"/>
        <v/>
      </c>
    </row>
    <row r="44203" spans="8:8" x14ac:dyDescent="0.3">
      <c r="H44203" t="str">
        <f t="shared" si="740"/>
        <v/>
      </c>
    </row>
    <row r="44204" spans="8:8" x14ac:dyDescent="0.3">
      <c r="H44204" t="str">
        <f t="shared" si="740"/>
        <v/>
      </c>
    </row>
    <row r="44205" spans="8:8" x14ac:dyDescent="0.3">
      <c r="H44205" t="str">
        <f t="shared" si="740"/>
        <v/>
      </c>
    </row>
    <row r="44206" spans="8:8" x14ac:dyDescent="0.3">
      <c r="H44206" t="str">
        <f t="shared" si="740"/>
        <v/>
      </c>
    </row>
    <row r="44207" spans="8:8" x14ac:dyDescent="0.3">
      <c r="H44207" t="str">
        <f t="shared" si="740"/>
        <v/>
      </c>
    </row>
    <row r="44208" spans="8:8" x14ac:dyDescent="0.3">
      <c r="H44208" t="str">
        <f t="shared" si="740"/>
        <v/>
      </c>
    </row>
    <row r="44209" spans="8:8" x14ac:dyDescent="0.3">
      <c r="H44209" t="str">
        <f t="shared" si="740"/>
        <v/>
      </c>
    </row>
    <row r="44210" spans="8:8" x14ac:dyDescent="0.3">
      <c r="H44210" t="str">
        <f t="shared" si="740"/>
        <v/>
      </c>
    </row>
    <row r="44211" spans="8:8" x14ac:dyDescent="0.3">
      <c r="H44211" t="str">
        <f t="shared" si="740"/>
        <v/>
      </c>
    </row>
    <row r="44212" spans="8:8" x14ac:dyDescent="0.3">
      <c r="H44212" t="str">
        <f t="shared" si="740"/>
        <v/>
      </c>
    </row>
    <row r="44213" spans="8:8" x14ac:dyDescent="0.3">
      <c r="H44213" t="str">
        <f t="shared" si="740"/>
        <v/>
      </c>
    </row>
    <row r="44214" spans="8:8" x14ac:dyDescent="0.3">
      <c r="H44214" t="str">
        <f t="shared" si="740"/>
        <v/>
      </c>
    </row>
    <row r="44215" spans="8:8" x14ac:dyDescent="0.3">
      <c r="H44215" t="str">
        <f t="shared" si="740"/>
        <v/>
      </c>
    </row>
    <row r="44216" spans="8:8" x14ac:dyDescent="0.3">
      <c r="H44216" t="str">
        <f t="shared" si="740"/>
        <v/>
      </c>
    </row>
    <row r="44217" spans="8:8" x14ac:dyDescent="0.3">
      <c r="H44217" t="str">
        <f t="shared" si="740"/>
        <v/>
      </c>
    </row>
    <row r="44218" spans="8:8" x14ac:dyDescent="0.3">
      <c r="H44218" t="str">
        <f t="shared" si="740"/>
        <v/>
      </c>
    </row>
    <row r="44219" spans="8:8" x14ac:dyDescent="0.3">
      <c r="H44219" t="str">
        <f t="shared" si="740"/>
        <v/>
      </c>
    </row>
    <row r="44220" spans="8:8" x14ac:dyDescent="0.3">
      <c r="H44220" t="str">
        <f t="shared" si="740"/>
        <v/>
      </c>
    </row>
    <row r="44221" spans="8:8" x14ac:dyDescent="0.3">
      <c r="H44221" t="str">
        <f t="shared" si="740"/>
        <v/>
      </c>
    </row>
    <row r="44222" spans="8:8" x14ac:dyDescent="0.3">
      <c r="H44222" t="str">
        <f t="shared" si="740"/>
        <v/>
      </c>
    </row>
    <row r="44223" spans="8:8" x14ac:dyDescent="0.3">
      <c r="H44223" t="str">
        <f t="shared" si="740"/>
        <v/>
      </c>
    </row>
    <row r="44224" spans="8:8" x14ac:dyDescent="0.3">
      <c r="H44224" t="str">
        <f t="shared" si="740"/>
        <v/>
      </c>
    </row>
    <row r="44225" spans="8:8" x14ac:dyDescent="0.3">
      <c r="H44225" t="str">
        <f t="shared" si="740"/>
        <v/>
      </c>
    </row>
    <row r="44226" spans="8:8" x14ac:dyDescent="0.3">
      <c r="H44226" t="str">
        <f t="shared" si="740"/>
        <v/>
      </c>
    </row>
    <row r="44227" spans="8:8" x14ac:dyDescent="0.3">
      <c r="H44227" t="str">
        <f t="shared" si="740"/>
        <v/>
      </c>
    </row>
    <row r="44228" spans="8:8" x14ac:dyDescent="0.3">
      <c r="H44228" t="str">
        <f t="shared" si="740"/>
        <v/>
      </c>
    </row>
    <row r="44229" spans="8:8" x14ac:dyDescent="0.3">
      <c r="H44229" t="str">
        <f t="shared" si="740"/>
        <v/>
      </c>
    </row>
    <row r="44230" spans="8:8" x14ac:dyDescent="0.3">
      <c r="H44230" t="str">
        <f t="shared" si="740"/>
        <v/>
      </c>
    </row>
    <row r="44231" spans="8:8" x14ac:dyDescent="0.3">
      <c r="H44231" t="str">
        <f t="shared" si="740"/>
        <v/>
      </c>
    </row>
    <row r="44232" spans="8:8" x14ac:dyDescent="0.3">
      <c r="H44232" t="str">
        <f t="shared" si="740"/>
        <v/>
      </c>
    </row>
    <row r="44233" spans="8:8" x14ac:dyDescent="0.3">
      <c r="H44233" t="str">
        <f t="shared" si="740"/>
        <v/>
      </c>
    </row>
    <row r="44234" spans="8:8" x14ac:dyDescent="0.3">
      <c r="H44234" t="str">
        <f t="shared" si="740"/>
        <v/>
      </c>
    </row>
    <row r="44235" spans="8:8" x14ac:dyDescent="0.3">
      <c r="H44235" t="str">
        <f t="shared" si="740"/>
        <v/>
      </c>
    </row>
    <row r="44236" spans="8:8" x14ac:dyDescent="0.3">
      <c r="H44236" t="str">
        <f t="shared" si="740"/>
        <v/>
      </c>
    </row>
    <row r="44237" spans="8:8" x14ac:dyDescent="0.3">
      <c r="H44237" t="str">
        <f t="shared" si="740"/>
        <v/>
      </c>
    </row>
    <row r="44238" spans="8:8" x14ac:dyDescent="0.3">
      <c r="H44238" t="str">
        <f t="shared" si="740"/>
        <v/>
      </c>
    </row>
    <row r="44239" spans="8:8" x14ac:dyDescent="0.3">
      <c r="H44239" t="str">
        <f t="shared" si="740"/>
        <v/>
      </c>
    </row>
    <row r="44240" spans="8:8" x14ac:dyDescent="0.3">
      <c r="H44240" t="str">
        <f t="shared" si="740"/>
        <v/>
      </c>
    </row>
    <row r="44241" spans="8:8" x14ac:dyDescent="0.3">
      <c r="H44241" t="str">
        <f t="shared" si="740"/>
        <v/>
      </c>
    </row>
    <row r="44242" spans="8:8" x14ac:dyDescent="0.3">
      <c r="H44242" t="str">
        <f t="shared" si="740"/>
        <v/>
      </c>
    </row>
    <row r="44243" spans="8:8" x14ac:dyDescent="0.3">
      <c r="H44243" t="str">
        <f t="shared" si="740"/>
        <v/>
      </c>
    </row>
    <row r="44244" spans="8:8" x14ac:dyDescent="0.3">
      <c r="H44244" t="str">
        <f t="shared" si="740"/>
        <v/>
      </c>
    </row>
    <row r="44245" spans="8:8" x14ac:dyDescent="0.3">
      <c r="H44245" t="str">
        <f t="shared" si="740"/>
        <v/>
      </c>
    </row>
    <row r="44246" spans="8:8" x14ac:dyDescent="0.3">
      <c r="H44246" t="str">
        <f t="shared" si="740"/>
        <v/>
      </c>
    </row>
    <row r="44247" spans="8:8" x14ac:dyDescent="0.3">
      <c r="H44247" t="str">
        <f t="shared" ref="H44247:H44310" si="741">IF(B44247="","",$C$12)</f>
        <v/>
      </c>
    </row>
    <row r="44248" spans="8:8" x14ac:dyDescent="0.3">
      <c r="H44248" t="str">
        <f t="shared" si="741"/>
        <v/>
      </c>
    </row>
    <row r="44249" spans="8:8" x14ac:dyDescent="0.3">
      <c r="H44249" t="str">
        <f t="shared" si="741"/>
        <v/>
      </c>
    </row>
    <row r="44250" spans="8:8" x14ac:dyDescent="0.3">
      <c r="H44250" t="str">
        <f t="shared" si="741"/>
        <v/>
      </c>
    </row>
    <row r="44251" spans="8:8" x14ac:dyDescent="0.3">
      <c r="H44251" t="str">
        <f t="shared" si="741"/>
        <v/>
      </c>
    </row>
    <row r="44252" spans="8:8" x14ac:dyDescent="0.3">
      <c r="H44252" t="str">
        <f t="shared" si="741"/>
        <v/>
      </c>
    </row>
    <row r="44253" spans="8:8" x14ac:dyDescent="0.3">
      <c r="H44253" t="str">
        <f t="shared" si="741"/>
        <v/>
      </c>
    </row>
    <row r="44254" spans="8:8" x14ac:dyDescent="0.3">
      <c r="H44254" t="str">
        <f t="shared" si="741"/>
        <v/>
      </c>
    </row>
    <row r="44255" spans="8:8" x14ac:dyDescent="0.3">
      <c r="H44255" t="str">
        <f t="shared" si="741"/>
        <v/>
      </c>
    </row>
    <row r="44256" spans="8:8" x14ac:dyDescent="0.3">
      <c r="H44256" t="str">
        <f t="shared" si="741"/>
        <v/>
      </c>
    </row>
    <row r="44257" spans="8:8" x14ac:dyDescent="0.3">
      <c r="H44257" t="str">
        <f t="shared" si="741"/>
        <v/>
      </c>
    </row>
    <row r="44258" spans="8:8" x14ac:dyDescent="0.3">
      <c r="H44258" t="str">
        <f t="shared" si="741"/>
        <v/>
      </c>
    </row>
    <row r="44259" spans="8:8" x14ac:dyDescent="0.3">
      <c r="H44259" t="str">
        <f t="shared" si="741"/>
        <v/>
      </c>
    </row>
    <row r="44260" spans="8:8" x14ac:dyDescent="0.3">
      <c r="H44260" t="str">
        <f t="shared" si="741"/>
        <v/>
      </c>
    </row>
    <row r="44261" spans="8:8" x14ac:dyDescent="0.3">
      <c r="H44261" t="str">
        <f t="shared" si="741"/>
        <v/>
      </c>
    </row>
    <row r="44262" spans="8:8" x14ac:dyDescent="0.3">
      <c r="H44262" t="str">
        <f t="shared" si="741"/>
        <v/>
      </c>
    </row>
    <row r="44263" spans="8:8" x14ac:dyDescent="0.3">
      <c r="H44263" t="str">
        <f t="shared" si="741"/>
        <v/>
      </c>
    </row>
    <row r="44264" spans="8:8" x14ac:dyDescent="0.3">
      <c r="H44264" t="str">
        <f t="shared" si="741"/>
        <v/>
      </c>
    </row>
    <row r="44265" spans="8:8" x14ac:dyDescent="0.3">
      <c r="H44265" t="str">
        <f t="shared" si="741"/>
        <v/>
      </c>
    </row>
    <row r="44266" spans="8:8" x14ac:dyDescent="0.3">
      <c r="H44266" t="str">
        <f t="shared" si="741"/>
        <v/>
      </c>
    </row>
    <row r="44267" spans="8:8" x14ac:dyDescent="0.3">
      <c r="H44267" t="str">
        <f t="shared" si="741"/>
        <v/>
      </c>
    </row>
    <row r="44268" spans="8:8" x14ac:dyDescent="0.3">
      <c r="H44268" t="str">
        <f t="shared" si="741"/>
        <v/>
      </c>
    </row>
    <row r="44269" spans="8:8" x14ac:dyDescent="0.3">
      <c r="H44269" t="str">
        <f t="shared" si="741"/>
        <v/>
      </c>
    </row>
    <row r="44270" spans="8:8" x14ac:dyDescent="0.3">
      <c r="H44270" t="str">
        <f t="shared" si="741"/>
        <v/>
      </c>
    </row>
    <row r="44271" spans="8:8" x14ac:dyDescent="0.3">
      <c r="H44271" t="str">
        <f t="shared" si="741"/>
        <v/>
      </c>
    </row>
    <row r="44272" spans="8:8" x14ac:dyDescent="0.3">
      <c r="H44272" t="str">
        <f t="shared" si="741"/>
        <v/>
      </c>
    </row>
    <row r="44273" spans="8:8" x14ac:dyDescent="0.3">
      <c r="H44273" t="str">
        <f t="shared" si="741"/>
        <v/>
      </c>
    </row>
    <row r="44274" spans="8:8" x14ac:dyDescent="0.3">
      <c r="H44274" t="str">
        <f t="shared" si="741"/>
        <v/>
      </c>
    </row>
    <row r="44275" spans="8:8" x14ac:dyDescent="0.3">
      <c r="H44275" t="str">
        <f t="shared" si="741"/>
        <v/>
      </c>
    </row>
    <row r="44276" spans="8:8" x14ac:dyDescent="0.3">
      <c r="H44276" t="str">
        <f t="shared" si="741"/>
        <v/>
      </c>
    </row>
    <row r="44277" spans="8:8" x14ac:dyDescent="0.3">
      <c r="H44277" t="str">
        <f t="shared" si="741"/>
        <v/>
      </c>
    </row>
    <row r="44278" spans="8:8" x14ac:dyDescent="0.3">
      <c r="H44278" t="str">
        <f t="shared" si="741"/>
        <v/>
      </c>
    </row>
    <row r="44279" spans="8:8" x14ac:dyDescent="0.3">
      <c r="H44279" t="str">
        <f t="shared" si="741"/>
        <v/>
      </c>
    </row>
    <row r="44280" spans="8:8" x14ac:dyDescent="0.3">
      <c r="H44280" t="str">
        <f t="shared" si="741"/>
        <v/>
      </c>
    </row>
    <row r="44281" spans="8:8" x14ac:dyDescent="0.3">
      <c r="H44281" t="str">
        <f t="shared" si="741"/>
        <v/>
      </c>
    </row>
    <row r="44282" spans="8:8" x14ac:dyDescent="0.3">
      <c r="H44282" t="str">
        <f t="shared" si="741"/>
        <v/>
      </c>
    </row>
    <row r="44283" spans="8:8" x14ac:dyDescent="0.3">
      <c r="H44283" t="str">
        <f t="shared" si="741"/>
        <v/>
      </c>
    </row>
    <row r="44284" spans="8:8" x14ac:dyDescent="0.3">
      <c r="H44284" t="str">
        <f t="shared" si="741"/>
        <v/>
      </c>
    </row>
    <row r="44285" spans="8:8" x14ac:dyDescent="0.3">
      <c r="H44285" t="str">
        <f t="shared" si="741"/>
        <v/>
      </c>
    </row>
    <row r="44286" spans="8:8" x14ac:dyDescent="0.3">
      <c r="H44286" t="str">
        <f t="shared" si="741"/>
        <v/>
      </c>
    </row>
    <row r="44287" spans="8:8" x14ac:dyDescent="0.3">
      <c r="H44287" t="str">
        <f t="shared" si="741"/>
        <v/>
      </c>
    </row>
    <row r="44288" spans="8:8" x14ac:dyDescent="0.3">
      <c r="H44288" t="str">
        <f t="shared" si="741"/>
        <v/>
      </c>
    </row>
    <row r="44289" spans="8:8" x14ac:dyDescent="0.3">
      <c r="H44289" t="str">
        <f t="shared" si="741"/>
        <v/>
      </c>
    </row>
    <row r="44290" spans="8:8" x14ac:dyDescent="0.3">
      <c r="H44290" t="str">
        <f t="shared" si="741"/>
        <v/>
      </c>
    </row>
    <row r="44291" spans="8:8" x14ac:dyDescent="0.3">
      <c r="H44291" t="str">
        <f t="shared" si="741"/>
        <v/>
      </c>
    </row>
    <row r="44292" spans="8:8" x14ac:dyDescent="0.3">
      <c r="H44292" t="str">
        <f t="shared" si="741"/>
        <v/>
      </c>
    </row>
    <row r="44293" spans="8:8" x14ac:dyDescent="0.3">
      <c r="H44293" t="str">
        <f t="shared" si="741"/>
        <v/>
      </c>
    </row>
    <row r="44294" spans="8:8" x14ac:dyDescent="0.3">
      <c r="H44294" t="str">
        <f t="shared" si="741"/>
        <v/>
      </c>
    </row>
    <row r="44295" spans="8:8" x14ac:dyDescent="0.3">
      <c r="H44295" t="str">
        <f t="shared" si="741"/>
        <v/>
      </c>
    </row>
    <row r="44296" spans="8:8" x14ac:dyDescent="0.3">
      <c r="H44296" t="str">
        <f t="shared" si="741"/>
        <v/>
      </c>
    </row>
    <row r="44297" spans="8:8" x14ac:dyDescent="0.3">
      <c r="H44297" t="str">
        <f t="shared" si="741"/>
        <v/>
      </c>
    </row>
    <row r="44298" spans="8:8" x14ac:dyDescent="0.3">
      <c r="H44298" t="str">
        <f t="shared" si="741"/>
        <v/>
      </c>
    </row>
    <row r="44299" spans="8:8" x14ac:dyDescent="0.3">
      <c r="H44299" t="str">
        <f t="shared" si="741"/>
        <v/>
      </c>
    </row>
    <row r="44300" spans="8:8" x14ac:dyDescent="0.3">
      <c r="H44300" t="str">
        <f t="shared" si="741"/>
        <v/>
      </c>
    </row>
    <row r="44301" spans="8:8" x14ac:dyDescent="0.3">
      <c r="H44301" t="str">
        <f t="shared" si="741"/>
        <v/>
      </c>
    </row>
    <row r="44302" spans="8:8" x14ac:dyDescent="0.3">
      <c r="H44302" t="str">
        <f t="shared" si="741"/>
        <v/>
      </c>
    </row>
    <row r="44303" spans="8:8" x14ac:dyDescent="0.3">
      <c r="H44303" t="str">
        <f t="shared" si="741"/>
        <v/>
      </c>
    </row>
    <row r="44304" spans="8:8" x14ac:dyDescent="0.3">
      <c r="H44304" t="str">
        <f t="shared" si="741"/>
        <v/>
      </c>
    </row>
    <row r="44305" spans="8:8" x14ac:dyDescent="0.3">
      <c r="H44305" t="str">
        <f t="shared" si="741"/>
        <v/>
      </c>
    </row>
    <row r="44306" spans="8:8" x14ac:dyDescent="0.3">
      <c r="H44306" t="str">
        <f t="shared" si="741"/>
        <v/>
      </c>
    </row>
    <row r="44307" spans="8:8" x14ac:dyDescent="0.3">
      <c r="H44307" t="str">
        <f t="shared" si="741"/>
        <v/>
      </c>
    </row>
    <row r="44308" spans="8:8" x14ac:dyDescent="0.3">
      <c r="H44308" t="str">
        <f t="shared" si="741"/>
        <v/>
      </c>
    </row>
    <row r="44309" spans="8:8" x14ac:dyDescent="0.3">
      <c r="H44309" t="str">
        <f t="shared" si="741"/>
        <v/>
      </c>
    </row>
    <row r="44310" spans="8:8" x14ac:dyDescent="0.3">
      <c r="H44310" t="str">
        <f t="shared" si="741"/>
        <v/>
      </c>
    </row>
    <row r="44311" spans="8:8" x14ac:dyDescent="0.3">
      <c r="H44311" t="str">
        <f t="shared" ref="H44311:H44374" si="742">IF(B44311="","",$C$12)</f>
        <v/>
      </c>
    </row>
    <row r="44312" spans="8:8" x14ac:dyDescent="0.3">
      <c r="H44312" t="str">
        <f t="shared" si="742"/>
        <v/>
      </c>
    </row>
    <row r="44313" spans="8:8" x14ac:dyDescent="0.3">
      <c r="H44313" t="str">
        <f t="shared" si="742"/>
        <v/>
      </c>
    </row>
    <row r="44314" spans="8:8" x14ac:dyDescent="0.3">
      <c r="H44314" t="str">
        <f t="shared" si="742"/>
        <v/>
      </c>
    </row>
    <row r="44315" spans="8:8" x14ac:dyDescent="0.3">
      <c r="H44315" t="str">
        <f t="shared" si="742"/>
        <v/>
      </c>
    </row>
    <row r="44316" spans="8:8" x14ac:dyDescent="0.3">
      <c r="H44316" t="str">
        <f t="shared" si="742"/>
        <v/>
      </c>
    </row>
    <row r="44317" spans="8:8" x14ac:dyDescent="0.3">
      <c r="H44317" t="str">
        <f t="shared" si="742"/>
        <v/>
      </c>
    </row>
    <row r="44318" spans="8:8" x14ac:dyDescent="0.3">
      <c r="H44318" t="str">
        <f t="shared" si="742"/>
        <v/>
      </c>
    </row>
    <row r="44319" spans="8:8" x14ac:dyDescent="0.3">
      <c r="H44319" t="str">
        <f t="shared" si="742"/>
        <v/>
      </c>
    </row>
    <row r="44320" spans="8:8" x14ac:dyDescent="0.3">
      <c r="H44320" t="str">
        <f t="shared" si="742"/>
        <v/>
      </c>
    </row>
    <row r="44321" spans="8:8" x14ac:dyDescent="0.3">
      <c r="H44321" t="str">
        <f t="shared" si="742"/>
        <v/>
      </c>
    </row>
    <row r="44322" spans="8:8" x14ac:dyDescent="0.3">
      <c r="H44322" t="str">
        <f t="shared" si="742"/>
        <v/>
      </c>
    </row>
    <row r="44323" spans="8:8" x14ac:dyDescent="0.3">
      <c r="H44323" t="str">
        <f t="shared" si="742"/>
        <v/>
      </c>
    </row>
    <row r="44324" spans="8:8" x14ac:dyDescent="0.3">
      <c r="H44324" t="str">
        <f t="shared" si="742"/>
        <v/>
      </c>
    </row>
    <row r="44325" spans="8:8" x14ac:dyDescent="0.3">
      <c r="H44325" t="str">
        <f t="shared" si="742"/>
        <v/>
      </c>
    </row>
    <row r="44326" spans="8:8" x14ac:dyDescent="0.3">
      <c r="H44326" t="str">
        <f t="shared" si="742"/>
        <v/>
      </c>
    </row>
    <row r="44327" spans="8:8" x14ac:dyDescent="0.3">
      <c r="H44327" t="str">
        <f t="shared" si="742"/>
        <v/>
      </c>
    </row>
    <row r="44328" spans="8:8" x14ac:dyDescent="0.3">
      <c r="H44328" t="str">
        <f t="shared" si="742"/>
        <v/>
      </c>
    </row>
    <row r="44329" spans="8:8" x14ac:dyDescent="0.3">
      <c r="H44329" t="str">
        <f t="shared" si="742"/>
        <v/>
      </c>
    </row>
    <row r="44330" spans="8:8" x14ac:dyDescent="0.3">
      <c r="H44330" t="str">
        <f t="shared" si="742"/>
        <v/>
      </c>
    </row>
    <row r="44331" spans="8:8" x14ac:dyDescent="0.3">
      <c r="H44331" t="str">
        <f t="shared" si="742"/>
        <v/>
      </c>
    </row>
    <row r="44332" spans="8:8" x14ac:dyDescent="0.3">
      <c r="H44332" t="str">
        <f t="shared" si="742"/>
        <v/>
      </c>
    </row>
    <row r="44333" spans="8:8" x14ac:dyDescent="0.3">
      <c r="H44333" t="str">
        <f t="shared" si="742"/>
        <v/>
      </c>
    </row>
    <row r="44334" spans="8:8" x14ac:dyDescent="0.3">
      <c r="H44334" t="str">
        <f t="shared" si="742"/>
        <v/>
      </c>
    </row>
    <row r="44335" spans="8:8" x14ac:dyDescent="0.3">
      <c r="H44335" t="str">
        <f t="shared" si="742"/>
        <v/>
      </c>
    </row>
    <row r="44336" spans="8:8" x14ac:dyDescent="0.3">
      <c r="H44336" t="str">
        <f t="shared" si="742"/>
        <v/>
      </c>
    </row>
    <row r="44337" spans="8:8" x14ac:dyDescent="0.3">
      <c r="H44337" t="str">
        <f t="shared" si="742"/>
        <v/>
      </c>
    </row>
    <row r="44338" spans="8:8" x14ac:dyDescent="0.3">
      <c r="H44338" t="str">
        <f t="shared" si="742"/>
        <v/>
      </c>
    </row>
    <row r="44339" spans="8:8" x14ac:dyDescent="0.3">
      <c r="H44339" t="str">
        <f t="shared" si="742"/>
        <v/>
      </c>
    </row>
    <row r="44340" spans="8:8" x14ac:dyDescent="0.3">
      <c r="H44340" t="str">
        <f t="shared" si="742"/>
        <v/>
      </c>
    </row>
    <row r="44341" spans="8:8" x14ac:dyDescent="0.3">
      <c r="H44341" t="str">
        <f t="shared" si="742"/>
        <v/>
      </c>
    </row>
    <row r="44342" spans="8:8" x14ac:dyDescent="0.3">
      <c r="H44342" t="str">
        <f t="shared" si="742"/>
        <v/>
      </c>
    </row>
    <row r="44343" spans="8:8" x14ac:dyDescent="0.3">
      <c r="H44343" t="str">
        <f t="shared" si="742"/>
        <v/>
      </c>
    </row>
    <row r="44344" spans="8:8" x14ac:dyDescent="0.3">
      <c r="H44344" t="str">
        <f t="shared" si="742"/>
        <v/>
      </c>
    </row>
    <row r="44345" spans="8:8" x14ac:dyDescent="0.3">
      <c r="H44345" t="str">
        <f t="shared" si="742"/>
        <v/>
      </c>
    </row>
    <row r="44346" spans="8:8" x14ac:dyDescent="0.3">
      <c r="H44346" t="str">
        <f t="shared" si="742"/>
        <v/>
      </c>
    </row>
    <row r="44347" spans="8:8" x14ac:dyDescent="0.3">
      <c r="H44347" t="str">
        <f t="shared" si="742"/>
        <v/>
      </c>
    </row>
    <row r="44348" spans="8:8" x14ac:dyDescent="0.3">
      <c r="H44348" t="str">
        <f t="shared" si="742"/>
        <v/>
      </c>
    </row>
    <row r="44349" spans="8:8" x14ac:dyDescent="0.3">
      <c r="H44349" t="str">
        <f t="shared" si="742"/>
        <v/>
      </c>
    </row>
    <row r="44350" spans="8:8" x14ac:dyDescent="0.3">
      <c r="H44350" t="str">
        <f t="shared" si="742"/>
        <v/>
      </c>
    </row>
    <row r="44351" spans="8:8" x14ac:dyDescent="0.3">
      <c r="H44351" t="str">
        <f t="shared" si="742"/>
        <v/>
      </c>
    </row>
    <row r="44352" spans="8:8" x14ac:dyDescent="0.3">
      <c r="H44352" t="str">
        <f t="shared" si="742"/>
        <v/>
      </c>
    </row>
    <row r="44353" spans="8:8" x14ac:dyDescent="0.3">
      <c r="H44353" t="str">
        <f t="shared" si="742"/>
        <v/>
      </c>
    </row>
    <row r="44354" spans="8:8" x14ac:dyDescent="0.3">
      <c r="H44354" t="str">
        <f t="shared" si="742"/>
        <v/>
      </c>
    </row>
    <row r="44355" spans="8:8" x14ac:dyDescent="0.3">
      <c r="H44355" t="str">
        <f t="shared" si="742"/>
        <v/>
      </c>
    </row>
    <row r="44356" spans="8:8" x14ac:dyDescent="0.3">
      <c r="H44356" t="str">
        <f t="shared" si="742"/>
        <v/>
      </c>
    </row>
    <row r="44357" spans="8:8" x14ac:dyDescent="0.3">
      <c r="H44357" t="str">
        <f t="shared" si="742"/>
        <v/>
      </c>
    </row>
    <row r="44358" spans="8:8" x14ac:dyDescent="0.3">
      <c r="H44358" t="str">
        <f t="shared" si="742"/>
        <v/>
      </c>
    </row>
    <row r="44359" spans="8:8" x14ac:dyDescent="0.3">
      <c r="H44359" t="str">
        <f t="shared" si="742"/>
        <v/>
      </c>
    </row>
    <row r="44360" spans="8:8" x14ac:dyDescent="0.3">
      <c r="H44360" t="str">
        <f t="shared" si="742"/>
        <v/>
      </c>
    </row>
    <row r="44361" spans="8:8" x14ac:dyDescent="0.3">
      <c r="H44361" t="str">
        <f t="shared" si="742"/>
        <v/>
      </c>
    </row>
    <row r="44362" spans="8:8" x14ac:dyDescent="0.3">
      <c r="H44362" t="str">
        <f t="shared" si="742"/>
        <v/>
      </c>
    </row>
    <row r="44363" spans="8:8" x14ac:dyDescent="0.3">
      <c r="H44363" t="str">
        <f t="shared" si="742"/>
        <v/>
      </c>
    </row>
    <row r="44364" spans="8:8" x14ac:dyDescent="0.3">
      <c r="H44364" t="str">
        <f t="shared" si="742"/>
        <v/>
      </c>
    </row>
    <row r="44365" spans="8:8" x14ac:dyDescent="0.3">
      <c r="H44365" t="str">
        <f t="shared" si="742"/>
        <v/>
      </c>
    </row>
    <row r="44366" spans="8:8" x14ac:dyDescent="0.3">
      <c r="H44366" t="str">
        <f t="shared" si="742"/>
        <v/>
      </c>
    </row>
    <row r="44367" spans="8:8" x14ac:dyDescent="0.3">
      <c r="H44367" t="str">
        <f t="shared" si="742"/>
        <v/>
      </c>
    </row>
    <row r="44368" spans="8:8" x14ac:dyDescent="0.3">
      <c r="H44368" t="str">
        <f t="shared" si="742"/>
        <v/>
      </c>
    </row>
    <row r="44369" spans="8:8" x14ac:dyDescent="0.3">
      <c r="H44369" t="str">
        <f t="shared" si="742"/>
        <v/>
      </c>
    </row>
    <row r="44370" spans="8:8" x14ac:dyDescent="0.3">
      <c r="H44370" t="str">
        <f t="shared" si="742"/>
        <v/>
      </c>
    </row>
    <row r="44371" spans="8:8" x14ac:dyDescent="0.3">
      <c r="H44371" t="str">
        <f t="shared" si="742"/>
        <v/>
      </c>
    </row>
    <row r="44372" spans="8:8" x14ac:dyDescent="0.3">
      <c r="H44372" t="str">
        <f t="shared" si="742"/>
        <v/>
      </c>
    </row>
    <row r="44373" spans="8:8" x14ac:dyDescent="0.3">
      <c r="H44373" t="str">
        <f t="shared" si="742"/>
        <v/>
      </c>
    </row>
    <row r="44374" spans="8:8" x14ac:dyDescent="0.3">
      <c r="H44374" t="str">
        <f t="shared" si="742"/>
        <v/>
      </c>
    </row>
    <row r="44375" spans="8:8" x14ac:dyDescent="0.3">
      <c r="H44375" t="str">
        <f t="shared" ref="H44375:H44438" si="743">IF(B44375="","",$C$12)</f>
        <v/>
      </c>
    </row>
    <row r="44376" spans="8:8" x14ac:dyDescent="0.3">
      <c r="H44376" t="str">
        <f t="shared" si="743"/>
        <v/>
      </c>
    </row>
    <row r="44377" spans="8:8" x14ac:dyDescent="0.3">
      <c r="H44377" t="str">
        <f t="shared" si="743"/>
        <v/>
      </c>
    </row>
    <row r="44378" spans="8:8" x14ac:dyDescent="0.3">
      <c r="H44378" t="str">
        <f t="shared" si="743"/>
        <v/>
      </c>
    </row>
    <row r="44379" spans="8:8" x14ac:dyDescent="0.3">
      <c r="H44379" t="str">
        <f t="shared" si="743"/>
        <v/>
      </c>
    </row>
    <row r="44380" spans="8:8" x14ac:dyDescent="0.3">
      <c r="H44380" t="str">
        <f t="shared" si="743"/>
        <v/>
      </c>
    </row>
    <row r="44381" spans="8:8" x14ac:dyDescent="0.3">
      <c r="H44381" t="str">
        <f t="shared" si="743"/>
        <v/>
      </c>
    </row>
    <row r="44382" spans="8:8" x14ac:dyDescent="0.3">
      <c r="H44382" t="str">
        <f t="shared" si="743"/>
        <v/>
      </c>
    </row>
    <row r="44383" spans="8:8" x14ac:dyDescent="0.3">
      <c r="H44383" t="str">
        <f t="shared" si="743"/>
        <v/>
      </c>
    </row>
    <row r="44384" spans="8:8" x14ac:dyDescent="0.3">
      <c r="H44384" t="str">
        <f t="shared" si="743"/>
        <v/>
      </c>
    </row>
    <row r="44385" spans="8:8" x14ac:dyDescent="0.3">
      <c r="H44385" t="str">
        <f t="shared" si="743"/>
        <v/>
      </c>
    </row>
    <row r="44386" spans="8:8" x14ac:dyDescent="0.3">
      <c r="H44386" t="str">
        <f t="shared" si="743"/>
        <v/>
      </c>
    </row>
    <row r="44387" spans="8:8" x14ac:dyDescent="0.3">
      <c r="H44387" t="str">
        <f t="shared" si="743"/>
        <v/>
      </c>
    </row>
    <row r="44388" spans="8:8" x14ac:dyDescent="0.3">
      <c r="H44388" t="str">
        <f t="shared" si="743"/>
        <v/>
      </c>
    </row>
    <row r="44389" spans="8:8" x14ac:dyDescent="0.3">
      <c r="H44389" t="str">
        <f t="shared" si="743"/>
        <v/>
      </c>
    </row>
    <row r="44390" spans="8:8" x14ac:dyDescent="0.3">
      <c r="H44390" t="str">
        <f t="shared" si="743"/>
        <v/>
      </c>
    </row>
    <row r="44391" spans="8:8" x14ac:dyDescent="0.3">
      <c r="H44391" t="str">
        <f t="shared" si="743"/>
        <v/>
      </c>
    </row>
    <row r="44392" spans="8:8" x14ac:dyDescent="0.3">
      <c r="H44392" t="str">
        <f t="shared" si="743"/>
        <v/>
      </c>
    </row>
    <row r="44393" spans="8:8" x14ac:dyDescent="0.3">
      <c r="H44393" t="str">
        <f t="shared" si="743"/>
        <v/>
      </c>
    </row>
    <row r="44394" spans="8:8" x14ac:dyDescent="0.3">
      <c r="H44394" t="str">
        <f t="shared" si="743"/>
        <v/>
      </c>
    </row>
    <row r="44395" spans="8:8" x14ac:dyDescent="0.3">
      <c r="H44395" t="str">
        <f t="shared" si="743"/>
        <v/>
      </c>
    </row>
    <row r="44396" spans="8:8" x14ac:dyDescent="0.3">
      <c r="H44396" t="str">
        <f t="shared" si="743"/>
        <v/>
      </c>
    </row>
    <row r="44397" spans="8:8" x14ac:dyDescent="0.3">
      <c r="H44397" t="str">
        <f t="shared" si="743"/>
        <v/>
      </c>
    </row>
    <row r="44398" spans="8:8" x14ac:dyDescent="0.3">
      <c r="H44398" t="str">
        <f t="shared" si="743"/>
        <v/>
      </c>
    </row>
    <row r="44399" spans="8:8" x14ac:dyDescent="0.3">
      <c r="H44399" t="str">
        <f t="shared" si="743"/>
        <v/>
      </c>
    </row>
    <row r="44400" spans="8:8" x14ac:dyDescent="0.3">
      <c r="H44400" t="str">
        <f t="shared" si="743"/>
        <v/>
      </c>
    </row>
    <row r="44401" spans="8:8" x14ac:dyDescent="0.3">
      <c r="H44401" t="str">
        <f t="shared" si="743"/>
        <v/>
      </c>
    </row>
    <row r="44402" spans="8:8" x14ac:dyDescent="0.3">
      <c r="H44402" t="str">
        <f t="shared" si="743"/>
        <v/>
      </c>
    </row>
    <row r="44403" spans="8:8" x14ac:dyDescent="0.3">
      <c r="H44403" t="str">
        <f t="shared" si="743"/>
        <v/>
      </c>
    </row>
    <row r="44404" spans="8:8" x14ac:dyDescent="0.3">
      <c r="H44404" t="str">
        <f t="shared" si="743"/>
        <v/>
      </c>
    </row>
    <row r="44405" spans="8:8" x14ac:dyDescent="0.3">
      <c r="H44405" t="str">
        <f t="shared" si="743"/>
        <v/>
      </c>
    </row>
    <row r="44406" spans="8:8" x14ac:dyDescent="0.3">
      <c r="H44406" t="str">
        <f t="shared" si="743"/>
        <v/>
      </c>
    </row>
    <row r="44407" spans="8:8" x14ac:dyDescent="0.3">
      <c r="H44407" t="str">
        <f t="shared" si="743"/>
        <v/>
      </c>
    </row>
    <row r="44408" spans="8:8" x14ac:dyDescent="0.3">
      <c r="H44408" t="str">
        <f t="shared" si="743"/>
        <v/>
      </c>
    </row>
    <row r="44409" spans="8:8" x14ac:dyDescent="0.3">
      <c r="H44409" t="str">
        <f t="shared" si="743"/>
        <v/>
      </c>
    </row>
    <row r="44410" spans="8:8" x14ac:dyDescent="0.3">
      <c r="H44410" t="str">
        <f t="shared" si="743"/>
        <v/>
      </c>
    </row>
    <row r="44411" spans="8:8" x14ac:dyDescent="0.3">
      <c r="H44411" t="str">
        <f t="shared" si="743"/>
        <v/>
      </c>
    </row>
    <row r="44412" spans="8:8" x14ac:dyDescent="0.3">
      <c r="H44412" t="str">
        <f t="shared" si="743"/>
        <v/>
      </c>
    </row>
    <row r="44413" spans="8:8" x14ac:dyDescent="0.3">
      <c r="H44413" t="str">
        <f t="shared" si="743"/>
        <v/>
      </c>
    </row>
    <row r="44414" spans="8:8" x14ac:dyDescent="0.3">
      <c r="H44414" t="str">
        <f t="shared" si="743"/>
        <v/>
      </c>
    </row>
    <row r="44415" spans="8:8" x14ac:dyDescent="0.3">
      <c r="H44415" t="str">
        <f t="shared" si="743"/>
        <v/>
      </c>
    </row>
    <row r="44416" spans="8:8" x14ac:dyDescent="0.3">
      <c r="H44416" t="str">
        <f t="shared" si="743"/>
        <v/>
      </c>
    </row>
    <row r="44417" spans="8:8" x14ac:dyDescent="0.3">
      <c r="H44417" t="str">
        <f t="shared" si="743"/>
        <v/>
      </c>
    </row>
    <row r="44418" spans="8:8" x14ac:dyDescent="0.3">
      <c r="H44418" t="str">
        <f t="shared" si="743"/>
        <v/>
      </c>
    </row>
    <row r="44419" spans="8:8" x14ac:dyDescent="0.3">
      <c r="H44419" t="str">
        <f t="shared" si="743"/>
        <v/>
      </c>
    </row>
    <row r="44420" spans="8:8" x14ac:dyDescent="0.3">
      <c r="H44420" t="str">
        <f t="shared" si="743"/>
        <v/>
      </c>
    </row>
    <row r="44421" spans="8:8" x14ac:dyDescent="0.3">
      <c r="H44421" t="str">
        <f t="shared" si="743"/>
        <v/>
      </c>
    </row>
    <row r="44422" spans="8:8" x14ac:dyDescent="0.3">
      <c r="H44422" t="str">
        <f t="shared" si="743"/>
        <v/>
      </c>
    </row>
    <row r="44423" spans="8:8" x14ac:dyDescent="0.3">
      <c r="H44423" t="str">
        <f t="shared" si="743"/>
        <v/>
      </c>
    </row>
    <row r="44424" spans="8:8" x14ac:dyDescent="0.3">
      <c r="H44424" t="str">
        <f t="shared" si="743"/>
        <v/>
      </c>
    </row>
    <row r="44425" spans="8:8" x14ac:dyDescent="0.3">
      <c r="H44425" t="str">
        <f t="shared" si="743"/>
        <v/>
      </c>
    </row>
    <row r="44426" spans="8:8" x14ac:dyDescent="0.3">
      <c r="H44426" t="str">
        <f t="shared" si="743"/>
        <v/>
      </c>
    </row>
    <row r="44427" spans="8:8" x14ac:dyDescent="0.3">
      <c r="H44427" t="str">
        <f t="shared" si="743"/>
        <v/>
      </c>
    </row>
    <row r="44428" spans="8:8" x14ac:dyDescent="0.3">
      <c r="H44428" t="str">
        <f t="shared" si="743"/>
        <v/>
      </c>
    </row>
    <row r="44429" spans="8:8" x14ac:dyDescent="0.3">
      <c r="H44429" t="str">
        <f t="shared" si="743"/>
        <v/>
      </c>
    </row>
    <row r="44430" spans="8:8" x14ac:dyDescent="0.3">
      <c r="H44430" t="str">
        <f t="shared" si="743"/>
        <v/>
      </c>
    </row>
    <row r="44431" spans="8:8" x14ac:dyDescent="0.3">
      <c r="H44431" t="str">
        <f t="shared" si="743"/>
        <v/>
      </c>
    </row>
    <row r="44432" spans="8:8" x14ac:dyDescent="0.3">
      <c r="H44432" t="str">
        <f t="shared" si="743"/>
        <v/>
      </c>
    </row>
    <row r="44433" spans="8:8" x14ac:dyDescent="0.3">
      <c r="H44433" t="str">
        <f t="shared" si="743"/>
        <v/>
      </c>
    </row>
    <row r="44434" spans="8:8" x14ac:dyDescent="0.3">
      <c r="H44434" t="str">
        <f t="shared" si="743"/>
        <v/>
      </c>
    </row>
    <row r="44435" spans="8:8" x14ac:dyDescent="0.3">
      <c r="H44435" t="str">
        <f t="shared" si="743"/>
        <v/>
      </c>
    </row>
    <row r="44436" spans="8:8" x14ac:dyDescent="0.3">
      <c r="H44436" t="str">
        <f t="shared" si="743"/>
        <v/>
      </c>
    </row>
    <row r="44437" spans="8:8" x14ac:dyDescent="0.3">
      <c r="H44437" t="str">
        <f t="shared" si="743"/>
        <v/>
      </c>
    </row>
    <row r="44438" spans="8:8" x14ac:dyDescent="0.3">
      <c r="H44438" t="str">
        <f t="shared" si="743"/>
        <v/>
      </c>
    </row>
    <row r="44439" spans="8:8" x14ac:dyDescent="0.3">
      <c r="H44439" t="str">
        <f t="shared" ref="H44439:H44502" si="744">IF(B44439="","",$C$12)</f>
        <v/>
      </c>
    </row>
    <row r="44440" spans="8:8" x14ac:dyDescent="0.3">
      <c r="H44440" t="str">
        <f t="shared" si="744"/>
        <v/>
      </c>
    </row>
    <row r="44441" spans="8:8" x14ac:dyDescent="0.3">
      <c r="H44441" t="str">
        <f t="shared" si="744"/>
        <v/>
      </c>
    </row>
    <row r="44442" spans="8:8" x14ac:dyDescent="0.3">
      <c r="H44442" t="str">
        <f t="shared" si="744"/>
        <v/>
      </c>
    </row>
    <row r="44443" spans="8:8" x14ac:dyDescent="0.3">
      <c r="H44443" t="str">
        <f t="shared" si="744"/>
        <v/>
      </c>
    </row>
    <row r="44444" spans="8:8" x14ac:dyDescent="0.3">
      <c r="H44444" t="str">
        <f t="shared" si="744"/>
        <v/>
      </c>
    </row>
    <row r="44445" spans="8:8" x14ac:dyDescent="0.3">
      <c r="H44445" t="str">
        <f t="shared" si="744"/>
        <v/>
      </c>
    </row>
    <row r="44446" spans="8:8" x14ac:dyDescent="0.3">
      <c r="H44446" t="str">
        <f t="shared" si="744"/>
        <v/>
      </c>
    </row>
    <row r="44447" spans="8:8" x14ac:dyDescent="0.3">
      <c r="H44447" t="str">
        <f t="shared" si="744"/>
        <v/>
      </c>
    </row>
    <row r="44448" spans="8:8" x14ac:dyDescent="0.3">
      <c r="H44448" t="str">
        <f t="shared" si="744"/>
        <v/>
      </c>
    </row>
    <row r="44449" spans="8:8" x14ac:dyDescent="0.3">
      <c r="H44449" t="str">
        <f t="shared" si="744"/>
        <v/>
      </c>
    </row>
    <row r="44450" spans="8:8" x14ac:dyDescent="0.3">
      <c r="H44450" t="str">
        <f t="shared" si="744"/>
        <v/>
      </c>
    </row>
    <row r="44451" spans="8:8" x14ac:dyDescent="0.3">
      <c r="H44451" t="str">
        <f t="shared" si="744"/>
        <v/>
      </c>
    </row>
    <row r="44452" spans="8:8" x14ac:dyDescent="0.3">
      <c r="H44452" t="str">
        <f t="shared" si="744"/>
        <v/>
      </c>
    </row>
    <row r="44453" spans="8:8" x14ac:dyDescent="0.3">
      <c r="H44453" t="str">
        <f t="shared" si="744"/>
        <v/>
      </c>
    </row>
    <row r="44454" spans="8:8" x14ac:dyDescent="0.3">
      <c r="H44454" t="str">
        <f t="shared" si="744"/>
        <v/>
      </c>
    </row>
    <row r="44455" spans="8:8" x14ac:dyDescent="0.3">
      <c r="H44455" t="str">
        <f t="shared" si="744"/>
        <v/>
      </c>
    </row>
    <row r="44456" spans="8:8" x14ac:dyDescent="0.3">
      <c r="H44456" t="str">
        <f t="shared" si="744"/>
        <v/>
      </c>
    </row>
    <row r="44457" spans="8:8" x14ac:dyDescent="0.3">
      <c r="H44457" t="str">
        <f t="shared" si="744"/>
        <v/>
      </c>
    </row>
    <row r="44458" spans="8:8" x14ac:dyDescent="0.3">
      <c r="H44458" t="str">
        <f t="shared" si="744"/>
        <v/>
      </c>
    </row>
    <row r="44459" spans="8:8" x14ac:dyDescent="0.3">
      <c r="H44459" t="str">
        <f t="shared" si="744"/>
        <v/>
      </c>
    </row>
    <row r="44460" spans="8:8" x14ac:dyDescent="0.3">
      <c r="H44460" t="str">
        <f t="shared" si="744"/>
        <v/>
      </c>
    </row>
    <row r="44461" spans="8:8" x14ac:dyDescent="0.3">
      <c r="H44461" t="str">
        <f t="shared" si="744"/>
        <v/>
      </c>
    </row>
    <row r="44462" spans="8:8" x14ac:dyDescent="0.3">
      <c r="H44462" t="str">
        <f t="shared" si="744"/>
        <v/>
      </c>
    </row>
    <row r="44463" spans="8:8" x14ac:dyDescent="0.3">
      <c r="H44463" t="str">
        <f t="shared" si="744"/>
        <v/>
      </c>
    </row>
    <row r="44464" spans="8:8" x14ac:dyDescent="0.3">
      <c r="H44464" t="str">
        <f t="shared" si="744"/>
        <v/>
      </c>
    </row>
    <row r="44465" spans="8:8" x14ac:dyDescent="0.3">
      <c r="H44465" t="str">
        <f t="shared" si="744"/>
        <v/>
      </c>
    </row>
    <row r="44466" spans="8:8" x14ac:dyDescent="0.3">
      <c r="H44466" t="str">
        <f t="shared" si="744"/>
        <v/>
      </c>
    </row>
    <row r="44467" spans="8:8" x14ac:dyDescent="0.3">
      <c r="H44467" t="str">
        <f t="shared" si="744"/>
        <v/>
      </c>
    </row>
    <row r="44468" spans="8:8" x14ac:dyDescent="0.3">
      <c r="H44468" t="str">
        <f t="shared" si="744"/>
        <v/>
      </c>
    </row>
    <row r="44469" spans="8:8" x14ac:dyDescent="0.3">
      <c r="H44469" t="str">
        <f t="shared" si="744"/>
        <v/>
      </c>
    </row>
    <row r="44470" spans="8:8" x14ac:dyDescent="0.3">
      <c r="H44470" t="str">
        <f t="shared" si="744"/>
        <v/>
      </c>
    </row>
    <row r="44471" spans="8:8" x14ac:dyDescent="0.3">
      <c r="H44471" t="str">
        <f t="shared" si="744"/>
        <v/>
      </c>
    </row>
    <row r="44472" spans="8:8" x14ac:dyDescent="0.3">
      <c r="H44472" t="str">
        <f t="shared" si="744"/>
        <v/>
      </c>
    </row>
    <row r="44473" spans="8:8" x14ac:dyDescent="0.3">
      <c r="H44473" t="str">
        <f t="shared" si="744"/>
        <v/>
      </c>
    </row>
    <row r="44474" spans="8:8" x14ac:dyDescent="0.3">
      <c r="H44474" t="str">
        <f t="shared" si="744"/>
        <v/>
      </c>
    </row>
    <row r="44475" spans="8:8" x14ac:dyDescent="0.3">
      <c r="H44475" t="str">
        <f t="shared" si="744"/>
        <v/>
      </c>
    </row>
    <row r="44476" spans="8:8" x14ac:dyDescent="0.3">
      <c r="H44476" t="str">
        <f t="shared" si="744"/>
        <v/>
      </c>
    </row>
    <row r="44477" spans="8:8" x14ac:dyDescent="0.3">
      <c r="H44477" t="str">
        <f t="shared" si="744"/>
        <v/>
      </c>
    </row>
    <row r="44478" spans="8:8" x14ac:dyDescent="0.3">
      <c r="H44478" t="str">
        <f t="shared" si="744"/>
        <v/>
      </c>
    </row>
    <row r="44479" spans="8:8" x14ac:dyDescent="0.3">
      <c r="H44479" t="str">
        <f t="shared" si="744"/>
        <v/>
      </c>
    </row>
    <row r="44480" spans="8:8" x14ac:dyDescent="0.3">
      <c r="H44480" t="str">
        <f t="shared" si="744"/>
        <v/>
      </c>
    </row>
    <row r="44481" spans="8:8" x14ac:dyDescent="0.3">
      <c r="H44481" t="str">
        <f t="shared" si="744"/>
        <v/>
      </c>
    </row>
    <row r="44482" spans="8:8" x14ac:dyDescent="0.3">
      <c r="H44482" t="str">
        <f t="shared" si="744"/>
        <v/>
      </c>
    </row>
    <row r="44483" spans="8:8" x14ac:dyDescent="0.3">
      <c r="H44483" t="str">
        <f t="shared" si="744"/>
        <v/>
      </c>
    </row>
    <row r="44484" spans="8:8" x14ac:dyDescent="0.3">
      <c r="H44484" t="str">
        <f t="shared" si="744"/>
        <v/>
      </c>
    </row>
    <row r="44485" spans="8:8" x14ac:dyDescent="0.3">
      <c r="H44485" t="str">
        <f t="shared" si="744"/>
        <v/>
      </c>
    </row>
    <row r="44486" spans="8:8" x14ac:dyDescent="0.3">
      <c r="H44486" t="str">
        <f t="shared" si="744"/>
        <v/>
      </c>
    </row>
    <row r="44487" spans="8:8" x14ac:dyDescent="0.3">
      <c r="H44487" t="str">
        <f t="shared" si="744"/>
        <v/>
      </c>
    </row>
    <row r="44488" spans="8:8" x14ac:dyDescent="0.3">
      <c r="H44488" t="str">
        <f t="shared" si="744"/>
        <v/>
      </c>
    </row>
    <row r="44489" spans="8:8" x14ac:dyDescent="0.3">
      <c r="H44489" t="str">
        <f t="shared" si="744"/>
        <v/>
      </c>
    </row>
    <row r="44490" spans="8:8" x14ac:dyDescent="0.3">
      <c r="H44490" t="str">
        <f t="shared" si="744"/>
        <v/>
      </c>
    </row>
    <row r="44491" spans="8:8" x14ac:dyDescent="0.3">
      <c r="H44491" t="str">
        <f t="shared" si="744"/>
        <v/>
      </c>
    </row>
    <row r="44492" spans="8:8" x14ac:dyDescent="0.3">
      <c r="H44492" t="str">
        <f t="shared" si="744"/>
        <v/>
      </c>
    </row>
    <row r="44493" spans="8:8" x14ac:dyDescent="0.3">
      <c r="H44493" t="str">
        <f t="shared" si="744"/>
        <v/>
      </c>
    </row>
    <row r="44494" spans="8:8" x14ac:dyDescent="0.3">
      <c r="H44494" t="str">
        <f t="shared" si="744"/>
        <v/>
      </c>
    </row>
    <row r="44495" spans="8:8" x14ac:dyDescent="0.3">
      <c r="H44495" t="str">
        <f t="shared" si="744"/>
        <v/>
      </c>
    </row>
    <row r="44496" spans="8:8" x14ac:dyDescent="0.3">
      <c r="H44496" t="str">
        <f t="shared" si="744"/>
        <v/>
      </c>
    </row>
    <row r="44497" spans="8:8" x14ac:dyDescent="0.3">
      <c r="H44497" t="str">
        <f t="shared" si="744"/>
        <v/>
      </c>
    </row>
    <row r="44498" spans="8:8" x14ac:dyDescent="0.3">
      <c r="H44498" t="str">
        <f t="shared" si="744"/>
        <v/>
      </c>
    </row>
    <row r="44499" spans="8:8" x14ac:dyDescent="0.3">
      <c r="H44499" t="str">
        <f t="shared" si="744"/>
        <v/>
      </c>
    </row>
    <row r="44500" spans="8:8" x14ac:dyDescent="0.3">
      <c r="H44500" t="str">
        <f t="shared" si="744"/>
        <v/>
      </c>
    </row>
    <row r="44501" spans="8:8" x14ac:dyDescent="0.3">
      <c r="H44501" t="str">
        <f t="shared" si="744"/>
        <v/>
      </c>
    </row>
    <row r="44502" spans="8:8" x14ac:dyDescent="0.3">
      <c r="H44502" t="str">
        <f t="shared" si="744"/>
        <v/>
      </c>
    </row>
    <row r="44503" spans="8:8" x14ac:dyDescent="0.3">
      <c r="H44503" t="str">
        <f t="shared" ref="H44503:H44566" si="745">IF(B44503="","",$C$12)</f>
        <v/>
      </c>
    </row>
    <row r="44504" spans="8:8" x14ac:dyDescent="0.3">
      <c r="H44504" t="str">
        <f t="shared" si="745"/>
        <v/>
      </c>
    </row>
    <row r="44505" spans="8:8" x14ac:dyDescent="0.3">
      <c r="H44505" t="str">
        <f t="shared" si="745"/>
        <v/>
      </c>
    </row>
    <row r="44506" spans="8:8" x14ac:dyDescent="0.3">
      <c r="H44506" t="str">
        <f t="shared" si="745"/>
        <v/>
      </c>
    </row>
    <row r="44507" spans="8:8" x14ac:dyDescent="0.3">
      <c r="H44507" t="str">
        <f t="shared" si="745"/>
        <v/>
      </c>
    </row>
    <row r="44508" spans="8:8" x14ac:dyDescent="0.3">
      <c r="H44508" t="str">
        <f t="shared" si="745"/>
        <v/>
      </c>
    </row>
    <row r="44509" spans="8:8" x14ac:dyDescent="0.3">
      <c r="H44509" t="str">
        <f t="shared" si="745"/>
        <v/>
      </c>
    </row>
    <row r="44510" spans="8:8" x14ac:dyDescent="0.3">
      <c r="H44510" t="str">
        <f t="shared" si="745"/>
        <v/>
      </c>
    </row>
    <row r="44511" spans="8:8" x14ac:dyDescent="0.3">
      <c r="H44511" t="str">
        <f t="shared" si="745"/>
        <v/>
      </c>
    </row>
    <row r="44512" spans="8:8" x14ac:dyDescent="0.3">
      <c r="H44512" t="str">
        <f t="shared" si="745"/>
        <v/>
      </c>
    </row>
    <row r="44513" spans="8:8" x14ac:dyDescent="0.3">
      <c r="H44513" t="str">
        <f t="shared" si="745"/>
        <v/>
      </c>
    </row>
    <row r="44514" spans="8:8" x14ac:dyDescent="0.3">
      <c r="H44514" t="str">
        <f t="shared" si="745"/>
        <v/>
      </c>
    </row>
    <row r="44515" spans="8:8" x14ac:dyDescent="0.3">
      <c r="H44515" t="str">
        <f t="shared" si="745"/>
        <v/>
      </c>
    </row>
    <row r="44516" spans="8:8" x14ac:dyDescent="0.3">
      <c r="H44516" t="str">
        <f t="shared" si="745"/>
        <v/>
      </c>
    </row>
    <row r="44517" spans="8:8" x14ac:dyDescent="0.3">
      <c r="H44517" t="str">
        <f t="shared" si="745"/>
        <v/>
      </c>
    </row>
    <row r="44518" spans="8:8" x14ac:dyDescent="0.3">
      <c r="H44518" t="str">
        <f t="shared" si="745"/>
        <v/>
      </c>
    </row>
    <row r="44519" spans="8:8" x14ac:dyDescent="0.3">
      <c r="H44519" t="str">
        <f t="shared" si="745"/>
        <v/>
      </c>
    </row>
    <row r="44520" spans="8:8" x14ac:dyDescent="0.3">
      <c r="H44520" t="str">
        <f t="shared" si="745"/>
        <v/>
      </c>
    </row>
    <row r="44521" spans="8:8" x14ac:dyDescent="0.3">
      <c r="H44521" t="str">
        <f t="shared" si="745"/>
        <v/>
      </c>
    </row>
    <row r="44522" spans="8:8" x14ac:dyDescent="0.3">
      <c r="H44522" t="str">
        <f t="shared" si="745"/>
        <v/>
      </c>
    </row>
    <row r="44523" spans="8:8" x14ac:dyDescent="0.3">
      <c r="H44523" t="str">
        <f t="shared" si="745"/>
        <v/>
      </c>
    </row>
    <row r="44524" spans="8:8" x14ac:dyDescent="0.3">
      <c r="H44524" t="str">
        <f t="shared" si="745"/>
        <v/>
      </c>
    </row>
    <row r="44525" spans="8:8" x14ac:dyDescent="0.3">
      <c r="H44525" t="str">
        <f t="shared" si="745"/>
        <v/>
      </c>
    </row>
    <row r="44526" spans="8:8" x14ac:dyDescent="0.3">
      <c r="H44526" t="str">
        <f t="shared" si="745"/>
        <v/>
      </c>
    </row>
    <row r="44527" spans="8:8" x14ac:dyDescent="0.3">
      <c r="H44527" t="str">
        <f t="shared" si="745"/>
        <v/>
      </c>
    </row>
    <row r="44528" spans="8:8" x14ac:dyDescent="0.3">
      <c r="H44528" t="str">
        <f t="shared" si="745"/>
        <v/>
      </c>
    </row>
    <row r="44529" spans="8:8" x14ac:dyDescent="0.3">
      <c r="H44529" t="str">
        <f t="shared" si="745"/>
        <v/>
      </c>
    </row>
    <row r="44530" spans="8:8" x14ac:dyDescent="0.3">
      <c r="H44530" t="str">
        <f t="shared" si="745"/>
        <v/>
      </c>
    </row>
    <row r="44531" spans="8:8" x14ac:dyDescent="0.3">
      <c r="H44531" t="str">
        <f t="shared" si="745"/>
        <v/>
      </c>
    </row>
    <row r="44532" spans="8:8" x14ac:dyDescent="0.3">
      <c r="H44532" t="str">
        <f t="shared" si="745"/>
        <v/>
      </c>
    </row>
    <row r="44533" spans="8:8" x14ac:dyDescent="0.3">
      <c r="H44533" t="str">
        <f t="shared" si="745"/>
        <v/>
      </c>
    </row>
    <row r="44534" spans="8:8" x14ac:dyDescent="0.3">
      <c r="H44534" t="str">
        <f t="shared" si="745"/>
        <v/>
      </c>
    </row>
    <row r="44535" spans="8:8" x14ac:dyDescent="0.3">
      <c r="H44535" t="str">
        <f t="shared" si="745"/>
        <v/>
      </c>
    </row>
    <row r="44536" spans="8:8" x14ac:dyDescent="0.3">
      <c r="H44536" t="str">
        <f t="shared" si="745"/>
        <v/>
      </c>
    </row>
    <row r="44537" spans="8:8" x14ac:dyDescent="0.3">
      <c r="H44537" t="str">
        <f t="shared" si="745"/>
        <v/>
      </c>
    </row>
    <row r="44538" spans="8:8" x14ac:dyDescent="0.3">
      <c r="H44538" t="str">
        <f t="shared" si="745"/>
        <v/>
      </c>
    </row>
    <row r="44539" spans="8:8" x14ac:dyDescent="0.3">
      <c r="H44539" t="str">
        <f t="shared" si="745"/>
        <v/>
      </c>
    </row>
    <row r="44540" spans="8:8" x14ac:dyDescent="0.3">
      <c r="H44540" t="str">
        <f t="shared" si="745"/>
        <v/>
      </c>
    </row>
    <row r="44541" spans="8:8" x14ac:dyDescent="0.3">
      <c r="H44541" t="str">
        <f t="shared" si="745"/>
        <v/>
      </c>
    </row>
    <row r="44542" spans="8:8" x14ac:dyDescent="0.3">
      <c r="H44542" t="str">
        <f t="shared" si="745"/>
        <v/>
      </c>
    </row>
    <row r="44543" spans="8:8" x14ac:dyDescent="0.3">
      <c r="H44543" t="str">
        <f t="shared" si="745"/>
        <v/>
      </c>
    </row>
    <row r="44544" spans="8:8" x14ac:dyDescent="0.3">
      <c r="H44544" t="str">
        <f t="shared" si="745"/>
        <v/>
      </c>
    </row>
    <row r="44545" spans="8:8" x14ac:dyDescent="0.3">
      <c r="H44545" t="str">
        <f t="shared" si="745"/>
        <v/>
      </c>
    </row>
    <row r="44546" spans="8:8" x14ac:dyDescent="0.3">
      <c r="H44546" t="str">
        <f t="shared" si="745"/>
        <v/>
      </c>
    </row>
    <row r="44547" spans="8:8" x14ac:dyDescent="0.3">
      <c r="H44547" t="str">
        <f t="shared" si="745"/>
        <v/>
      </c>
    </row>
    <row r="44548" spans="8:8" x14ac:dyDescent="0.3">
      <c r="H44548" t="str">
        <f t="shared" si="745"/>
        <v/>
      </c>
    </row>
    <row r="44549" spans="8:8" x14ac:dyDescent="0.3">
      <c r="H44549" t="str">
        <f t="shared" si="745"/>
        <v/>
      </c>
    </row>
    <row r="44550" spans="8:8" x14ac:dyDescent="0.3">
      <c r="H44550" t="str">
        <f t="shared" si="745"/>
        <v/>
      </c>
    </row>
    <row r="44551" spans="8:8" x14ac:dyDescent="0.3">
      <c r="H44551" t="str">
        <f t="shared" si="745"/>
        <v/>
      </c>
    </row>
    <row r="44552" spans="8:8" x14ac:dyDescent="0.3">
      <c r="H44552" t="str">
        <f t="shared" si="745"/>
        <v/>
      </c>
    </row>
    <row r="44553" spans="8:8" x14ac:dyDescent="0.3">
      <c r="H44553" t="str">
        <f t="shared" si="745"/>
        <v/>
      </c>
    </row>
    <row r="44554" spans="8:8" x14ac:dyDescent="0.3">
      <c r="H44554" t="str">
        <f t="shared" si="745"/>
        <v/>
      </c>
    </row>
    <row r="44555" spans="8:8" x14ac:dyDescent="0.3">
      <c r="H44555" t="str">
        <f t="shared" si="745"/>
        <v/>
      </c>
    </row>
    <row r="44556" spans="8:8" x14ac:dyDescent="0.3">
      <c r="H44556" t="str">
        <f t="shared" si="745"/>
        <v/>
      </c>
    </row>
    <row r="44557" spans="8:8" x14ac:dyDescent="0.3">
      <c r="H44557" t="str">
        <f t="shared" si="745"/>
        <v/>
      </c>
    </row>
    <row r="44558" spans="8:8" x14ac:dyDescent="0.3">
      <c r="H44558" t="str">
        <f t="shared" si="745"/>
        <v/>
      </c>
    </row>
    <row r="44559" spans="8:8" x14ac:dyDescent="0.3">
      <c r="H44559" t="str">
        <f t="shared" si="745"/>
        <v/>
      </c>
    </row>
    <row r="44560" spans="8:8" x14ac:dyDescent="0.3">
      <c r="H44560" t="str">
        <f t="shared" si="745"/>
        <v/>
      </c>
    </row>
    <row r="44561" spans="8:8" x14ac:dyDescent="0.3">
      <c r="H44561" t="str">
        <f t="shared" si="745"/>
        <v/>
      </c>
    </row>
    <row r="44562" spans="8:8" x14ac:dyDescent="0.3">
      <c r="H44562" t="str">
        <f t="shared" si="745"/>
        <v/>
      </c>
    </row>
    <row r="44563" spans="8:8" x14ac:dyDescent="0.3">
      <c r="H44563" t="str">
        <f t="shared" si="745"/>
        <v/>
      </c>
    </row>
    <row r="44564" spans="8:8" x14ac:dyDescent="0.3">
      <c r="H44564" t="str">
        <f t="shared" si="745"/>
        <v/>
      </c>
    </row>
    <row r="44565" spans="8:8" x14ac:dyDescent="0.3">
      <c r="H44565" t="str">
        <f t="shared" si="745"/>
        <v/>
      </c>
    </row>
    <row r="44566" spans="8:8" x14ac:dyDescent="0.3">
      <c r="H44566" t="str">
        <f t="shared" si="745"/>
        <v/>
      </c>
    </row>
    <row r="44567" spans="8:8" x14ac:dyDescent="0.3">
      <c r="H44567" t="str">
        <f t="shared" ref="H44567:H44630" si="746">IF(B44567="","",$C$12)</f>
        <v/>
      </c>
    </row>
    <row r="44568" spans="8:8" x14ac:dyDescent="0.3">
      <c r="H44568" t="str">
        <f t="shared" si="746"/>
        <v/>
      </c>
    </row>
    <row r="44569" spans="8:8" x14ac:dyDescent="0.3">
      <c r="H44569" t="str">
        <f t="shared" si="746"/>
        <v/>
      </c>
    </row>
    <row r="44570" spans="8:8" x14ac:dyDescent="0.3">
      <c r="H44570" t="str">
        <f t="shared" si="746"/>
        <v/>
      </c>
    </row>
    <row r="44571" spans="8:8" x14ac:dyDescent="0.3">
      <c r="H44571" t="str">
        <f t="shared" si="746"/>
        <v/>
      </c>
    </row>
    <row r="44572" spans="8:8" x14ac:dyDescent="0.3">
      <c r="H44572" t="str">
        <f t="shared" si="746"/>
        <v/>
      </c>
    </row>
    <row r="44573" spans="8:8" x14ac:dyDescent="0.3">
      <c r="H44573" t="str">
        <f t="shared" si="746"/>
        <v/>
      </c>
    </row>
    <row r="44574" spans="8:8" x14ac:dyDescent="0.3">
      <c r="H44574" t="str">
        <f t="shared" si="746"/>
        <v/>
      </c>
    </row>
    <row r="44575" spans="8:8" x14ac:dyDescent="0.3">
      <c r="H44575" t="str">
        <f t="shared" si="746"/>
        <v/>
      </c>
    </row>
    <row r="44576" spans="8:8" x14ac:dyDescent="0.3">
      <c r="H44576" t="str">
        <f t="shared" si="746"/>
        <v/>
      </c>
    </row>
    <row r="44577" spans="8:8" x14ac:dyDescent="0.3">
      <c r="H44577" t="str">
        <f t="shared" si="746"/>
        <v/>
      </c>
    </row>
    <row r="44578" spans="8:8" x14ac:dyDescent="0.3">
      <c r="H44578" t="str">
        <f t="shared" si="746"/>
        <v/>
      </c>
    </row>
    <row r="44579" spans="8:8" x14ac:dyDescent="0.3">
      <c r="H44579" t="str">
        <f t="shared" si="746"/>
        <v/>
      </c>
    </row>
    <row r="44580" spans="8:8" x14ac:dyDescent="0.3">
      <c r="H44580" t="str">
        <f t="shared" si="746"/>
        <v/>
      </c>
    </row>
    <row r="44581" spans="8:8" x14ac:dyDescent="0.3">
      <c r="H44581" t="str">
        <f t="shared" si="746"/>
        <v/>
      </c>
    </row>
    <row r="44582" spans="8:8" x14ac:dyDescent="0.3">
      <c r="H44582" t="str">
        <f t="shared" si="746"/>
        <v/>
      </c>
    </row>
    <row r="44583" spans="8:8" x14ac:dyDescent="0.3">
      <c r="H44583" t="str">
        <f t="shared" si="746"/>
        <v/>
      </c>
    </row>
    <row r="44584" spans="8:8" x14ac:dyDescent="0.3">
      <c r="H44584" t="str">
        <f t="shared" si="746"/>
        <v/>
      </c>
    </row>
    <row r="44585" spans="8:8" x14ac:dyDescent="0.3">
      <c r="H44585" t="str">
        <f t="shared" si="746"/>
        <v/>
      </c>
    </row>
    <row r="44586" spans="8:8" x14ac:dyDescent="0.3">
      <c r="H44586" t="str">
        <f t="shared" si="746"/>
        <v/>
      </c>
    </row>
    <row r="44587" spans="8:8" x14ac:dyDescent="0.3">
      <c r="H44587" t="str">
        <f t="shared" si="746"/>
        <v/>
      </c>
    </row>
    <row r="44588" spans="8:8" x14ac:dyDescent="0.3">
      <c r="H44588" t="str">
        <f t="shared" si="746"/>
        <v/>
      </c>
    </row>
    <row r="44589" spans="8:8" x14ac:dyDescent="0.3">
      <c r="H44589" t="str">
        <f t="shared" si="746"/>
        <v/>
      </c>
    </row>
    <row r="44590" spans="8:8" x14ac:dyDescent="0.3">
      <c r="H44590" t="str">
        <f t="shared" si="746"/>
        <v/>
      </c>
    </row>
    <row r="44591" spans="8:8" x14ac:dyDescent="0.3">
      <c r="H44591" t="str">
        <f t="shared" si="746"/>
        <v/>
      </c>
    </row>
    <row r="44592" spans="8:8" x14ac:dyDescent="0.3">
      <c r="H44592" t="str">
        <f t="shared" si="746"/>
        <v/>
      </c>
    </row>
    <row r="44593" spans="8:8" x14ac:dyDescent="0.3">
      <c r="H44593" t="str">
        <f t="shared" si="746"/>
        <v/>
      </c>
    </row>
    <row r="44594" spans="8:8" x14ac:dyDescent="0.3">
      <c r="H44594" t="str">
        <f t="shared" si="746"/>
        <v/>
      </c>
    </row>
    <row r="44595" spans="8:8" x14ac:dyDescent="0.3">
      <c r="H44595" t="str">
        <f t="shared" si="746"/>
        <v/>
      </c>
    </row>
    <row r="44596" spans="8:8" x14ac:dyDescent="0.3">
      <c r="H44596" t="str">
        <f t="shared" si="746"/>
        <v/>
      </c>
    </row>
    <row r="44597" spans="8:8" x14ac:dyDescent="0.3">
      <c r="H44597" t="str">
        <f t="shared" si="746"/>
        <v/>
      </c>
    </row>
    <row r="44598" spans="8:8" x14ac:dyDescent="0.3">
      <c r="H44598" t="str">
        <f t="shared" si="746"/>
        <v/>
      </c>
    </row>
    <row r="44599" spans="8:8" x14ac:dyDescent="0.3">
      <c r="H44599" t="str">
        <f t="shared" si="746"/>
        <v/>
      </c>
    </row>
    <row r="44600" spans="8:8" x14ac:dyDescent="0.3">
      <c r="H44600" t="str">
        <f t="shared" si="746"/>
        <v/>
      </c>
    </row>
    <row r="44601" spans="8:8" x14ac:dyDescent="0.3">
      <c r="H44601" t="str">
        <f t="shared" si="746"/>
        <v/>
      </c>
    </row>
    <row r="44602" spans="8:8" x14ac:dyDescent="0.3">
      <c r="H44602" t="str">
        <f t="shared" si="746"/>
        <v/>
      </c>
    </row>
    <row r="44603" spans="8:8" x14ac:dyDescent="0.3">
      <c r="H44603" t="str">
        <f t="shared" si="746"/>
        <v/>
      </c>
    </row>
    <row r="44604" spans="8:8" x14ac:dyDescent="0.3">
      <c r="H44604" t="str">
        <f t="shared" si="746"/>
        <v/>
      </c>
    </row>
    <row r="44605" spans="8:8" x14ac:dyDescent="0.3">
      <c r="H44605" t="str">
        <f t="shared" si="746"/>
        <v/>
      </c>
    </row>
    <row r="44606" spans="8:8" x14ac:dyDescent="0.3">
      <c r="H44606" t="str">
        <f t="shared" si="746"/>
        <v/>
      </c>
    </row>
    <row r="44607" spans="8:8" x14ac:dyDescent="0.3">
      <c r="H44607" t="str">
        <f t="shared" si="746"/>
        <v/>
      </c>
    </row>
    <row r="44608" spans="8:8" x14ac:dyDescent="0.3">
      <c r="H44608" t="str">
        <f t="shared" si="746"/>
        <v/>
      </c>
    </row>
    <row r="44609" spans="8:8" x14ac:dyDescent="0.3">
      <c r="H44609" t="str">
        <f t="shared" si="746"/>
        <v/>
      </c>
    </row>
    <row r="44610" spans="8:8" x14ac:dyDescent="0.3">
      <c r="H44610" t="str">
        <f t="shared" si="746"/>
        <v/>
      </c>
    </row>
    <row r="44611" spans="8:8" x14ac:dyDescent="0.3">
      <c r="H44611" t="str">
        <f t="shared" si="746"/>
        <v/>
      </c>
    </row>
    <row r="44612" spans="8:8" x14ac:dyDescent="0.3">
      <c r="H44612" t="str">
        <f t="shared" si="746"/>
        <v/>
      </c>
    </row>
    <row r="44613" spans="8:8" x14ac:dyDescent="0.3">
      <c r="H44613" t="str">
        <f t="shared" si="746"/>
        <v/>
      </c>
    </row>
    <row r="44614" spans="8:8" x14ac:dyDescent="0.3">
      <c r="H44614" t="str">
        <f t="shared" si="746"/>
        <v/>
      </c>
    </row>
    <row r="44615" spans="8:8" x14ac:dyDescent="0.3">
      <c r="H44615" t="str">
        <f t="shared" si="746"/>
        <v/>
      </c>
    </row>
    <row r="44616" spans="8:8" x14ac:dyDescent="0.3">
      <c r="H44616" t="str">
        <f t="shared" si="746"/>
        <v/>
      </c>
    </row>
    <row r="44617" spans="8:8" x14ac:dyDescent="0.3">
      <c r="H44617" t="str">
        <f t="shared" si="746"/>
        <v/>
      </c>
    </row>
    <row r="44618" spans="8:8" x14ac:dyDescent="0.3">
      <c r="H44618" t="str">
        <f t="shared" si="746"/>
        <v/>
      </c>
    </row>
    <row r="44619" spans="8:8" x14ac:dyDescent="0.3">
      <c r="H44619" t="str">
        <f t="shared" si="746"/>
        <v/>
      </c>
    </row>
    <row r="44620" spans="8:8" x14ac:dyDescent="0.3">
      <c r="H44620" t="str">
        <f t="shared" si="746"/>
        <v/>
      </c>
    </row>
    <row r="44621" spans="8:8" x14ac:dyDescent="0.3">
      <c r="H44621" t="str">
        <f t="shared" si="746"/>
        <v/>
      </c>
    </row>
    <row r="44622" spans="8:8" x14ac:dyDescent="0.3">
      <c r="H44622" t="str">
        <f t="shared" si="746"/>
        <v/>
      </c>
    </row>
    <row r="44623" spans="8:8" x14ac:dyDescent="0.3">
      <c r="H44623" t="str">
        <f t="shared" si="746"/>
        <v/>
      </c>
    </row>
    <row r="44624" spans="8:8" x14ac:dyDescent="0.3">
      <c r="H44624" t="str">
        <f t="shared" si="746"/>
        <v/>
      </c>
    </row>
    <row r="44625" spans="8:8" x14ac:dyDescent="0.3">
      <c r="H44625" t="str">
        <f t="shared" si="746"/>
        <v/>
      </c>
    </row>
    <row r="44626" spans="8:8" x14ac:dyDescent="0.3">
      <c r="H44626" t="str">
        <f t="shared" si="746"/>
        <v/>
      </c>
    </row>
    <row r="44627" spans="8:8" x14ac:dyDescent="0.3">
      <c r="H44627" t="str">
        <f t="shared" si="746"/>
        <v/>
      </c>
    </row>
    <row r="44628" spans="8:8" x14ac:dyDescent="0.3">
      <c r="H44628" t="str">
        <f t="shared" si="746"/>
        <v/>
      </c>
    </row>
    <row r="44629" spans="8:8" x14ac:dyDescent="0.3">
      <c r="H44629" t="str">
        <f t="shared" si="746"/>
        <v/>
      </c>
    </row>
    <row r="44630" spans="8:8" x14ac:dyDescent="0.3">
      <c r="H44630" t="str">
        <f t="shared" si="746"/>
        <v/>
      </c>
    </row>
    <row r="44631" spans="8:8" x14ac:dyDescent="0.3">
      <c r="H44631" t="str">
        <f t="shared" ref="H44631:H44694" si="747">IF(B44631="","",$C$12)</f>
        <v/>
      </c>
    </row>
    <row r="44632" spans="8:8" x14ac:dyDescent="0.3">
      <c r="H44632" t="str">
        <f t="shared" si="747"/>
        <v/>
      </c>
    </row>
    <row r="44633" spans="8:8" x14ac:dyDescent="0.3">
      <c r="H44633" t="str">
        <f t="shared" si="747"/>
        <v/>
      </c>
    </row>
    <row r="44634" spans="8:8" x14ac:dyDescent="0.3">
      <c r="H44634" t="str">
        <f t="shared" si="747"/>
        <v/>
      </c>
    </row>
    <row r="44635" spans="8:8" x14ac:dyDescent="0.3">
      <c r="H44635" t="str">
        <f t="shared" si="747"/>
        <v/>
      </c>
    </row>
    <row r="44636" spans="8:8" x14ac:dyDescent="0.3">
      <c r="H44636" t="str">
        <f t="shared" si="747"/>
        <v/>
      </c>
    </row>
    <row r="44637" spans="8:8" x14ac:dyDescent="0.3">
      <c r="H44637" t="str">
        <f t="shared" si="747"/>
        <v/>
      </c>
    </row>
    <row r="44638" spans="8:8" x14ac:dyDescent="0.3">
      <c r="H44638" t="str">
        <f t="shared" si="747"/>
        <v/>
      </c>
    </row>
    <row r="44639" spans="8:8" x14ac:dyDescent="0.3">
      <c r="H44639" t="str">
        <f t="shared" si="747"/>
        <v/>
      </c>
    </row>
    <row r="44640" spans="8:8" x14ac:dyDescent="0.3">
      <c r="H44640" t="str">
        <f t="shared" si="747"/>
        <v/>
      </c>
    </row>
    <row r="44641" spans="8:8" x14ac:dyDescent="0.3">
      <c r="H44641" t="str">
        <f t="shared" si="747"/>
        <v/>
      </c>
    </row>
    <row r="44642" spans="8:8" x14ac:dyDescent="0.3">
      <c r="H44642" t="str">
        <f t="shared" si="747"/>
        <v/>
      </c>
    </row>
    <row r="44643" spans="8:8" x14ac:dyDescent="0.3">
      <c r="H44643" t="str">
        <f t="shared" si="747"/>
        <v/>
      </c>
    </row>
    <row r="44644" spans="8:8" x14ac:dyDescent="0.3">
      <c r="H44644" t="str">
        <f t="shared" si="747"/>
        <v/>
      </c>
    </row>
    <row r="44645" spans="8:8" x14ac:dyDescent="0.3">
      <c r="H44645" t="str">
        <f t="shared" si="747"/>
        <v/>
      </c>
    </row>
    <row r="44646" spans="8:8" x14ac:dyDescent="0.3">
      <c r="H44646" t="str">
        <f t="shared" si="747"/>
        <v/>
      </c>
    </row>
    <row r="44647" spans="8:8" x14ac:dyDescent="0.3">
      <c r="H44647" t="str">
        <f t="shared" si="747"/>
        <v/>
      </c>
    </row>
    <row r="44648" spans="8:8" x14ac:dyDescent="0.3">
      <c r="H44648" t="str">
        <f t="shared" si="747"/>
        <v/>
      </c>
    </row>
    <row r="44649" spans="8:8" x14ac:dyDescent="0.3">
      <c r="H44649" t="str">
        <f t="shared" si="747"/>
        <v/>
      </c>
    </row>
    <row r="44650" spans="8:8" x14ac:dyDescent="0.3">
      <c r="H44650" t="str">
        <f t="shared" si="747"/>
        <v/>
      </c>
    </row>
    <row r="44651" spans="8:8" x14ac:dyDescent="0.3">
      <c r="H44651" t="str">
        <f t="shared" si="747"/>
        <v/>
      </c>
    </row>
    <row r="44652" spans="8:8" x14ac:dyDescent="0.3">
      <c r="H44652" t="str">
        <f t="shared" si="747"/>
        <v/>
      </c>
    </row>
    <row r="44653" spans="8:8" x14ac:dyDescent="0.3">
      <c r="H44653" t="str">
        <f t="shared" si="747"/>
        <v/>
      </c>
    </row>
    <row r="44654" spans="8:8" x14ac:dyDescent="0.3">
      <c r="H44654" t="str">
        <f t="shared" si="747"/>
        <v/>
      </c>
    </row>
    <row r="44655" spans="8:8" x14ac:dyDescent="0.3">
      <c r="H44655" t="str">
        <f t="shared" si="747"/>
        <v/>
      </c>
    </row>
    <row r="44656" spans="8:8" x14ac:dyDescent="0.3">
      <c r="H44656" t="str">
        <f t="shared" si="747"/>
        <v/>
      </c>
    </row>
    <row r="44657" spans="8:8" x14ac:dyDescent="0.3">
      <c r="H44657" t="str">
        <f t="shared" si="747"/>
        <v/>
      </c>
    </row>
    <row r="44658" spans="8:8" x14ac:dyDescent="0.3">
      <c r="H44658" t="str">
        <f t="shared" si="747"/>
        <v/>
      </c>
    </row>
    <row r="44659" spans="8:8" x14ac:dyDescent="0.3">
      <c r="H44659" t="str">
        <f t="shared" si="747"/>
        <v/>
      </c>
    </row>
    <row r="44660" spans="8:8" x14ac:dyDescent="0.3">
      <c r="H44660" t="str">
        <f t="shared" si="747"/>
        <v/>
      </c>
    </row>
    <row r="44661" spans="8:8" x14ac:dyDescent="0.3">
      <c r="H44661" t="str">
        <f t="shared" si="747"/>
        <v/>
      </c>
    </row>
    <row r="44662" spans="8:8" x14ac:dyDescent="0.3">
      <c r="H44662" t="str">
        <f t="shared" si="747"/>
        <v/>
      </c>
    </row>
    <row r="44663" spans="8:8" x14ac:dyDescent="0.3">
      <c r="H44663" t="str">
        <f t="shared" si="747"/>
        <v/>
      </c>
    </row>
    <row r="44664" spans="8:8" x14ac:dyDescent="0.3">
      <c r="H44664" t="str">
        <f t="shared" si="747"/>
        <v/>
      </c>
    </row>
    <row r="44665" spans="8:8" x14ac:dyDescent="0.3">
      <c r="H44665" t="str">
        <f t="shared" si="747"/>
        <v/>
      </c>
    </row>
    <row r="44666" spans="8:8" x14ac:dyDescent="0.3">
      <c r="H44666" t="str">
        <f t="shared" si="747"/>
        <v/>
      </c>
    </row>
    <row r="44667" spans="8:8" x14ac:dyDescent="0.3">
      <c r="H44667" t="str">
        <f t="shared" si="747"/>
        <v/>
      </c>
    </row>
    <row r="44668" spans="8:8" x14ac:dyDescent="0.3">
      <c r="H44668" t="str">
        <f t="shared" si="747"/>
        <v/>
      </c>
    </row>
    <row r="44669" spans="8:8" x14ac:dyDescent="0.3">
      <c r="H44669" t="str">
        <f t="shared" si="747"/>
        <v/>
      </c>
    </row>
    <row r="44670" spans="8:8" x14ac:dyDescent="0.3">
      <c r="H44670" t="str">
        <f t="shared" si="747"/>
        <v/>
      </c>
    </row>
    <row r="44671" spans="8:8" x14ac:dyDescent="0.3">
      <c r="H44671" t="str">
        <f t="shared" si="747"/>
        <v/>
      </c>
    </row>
    <row r="44672" spans="8:8" x14ac:dyDescent="0.3">
      <c r="H44672" t="str">
        <f t="shared" si="747"/>
        <v/>
      </c>
    </row>
    <row r="44673" spans="8:8" x14ac:dyDescent="0.3">
      <c r="H44673" t="str">
        <f t="shared" si="747"/>
        <v/>
      </c>
    </row>
    <row r="44674" spans="8:8" x14ac:dyDescent="0.3">
      <c r="H44674" t="str">
        <f t="shared" si="747"/>
        <v/>
      </c>
    </row>
    <row r="44675" spans="8:8" x14ac:dyDescent="0.3">
      <c r="H44675" t="str">
        <f t="shared" si="747"/>
        <v/>
      </c>
    </row>
    <row r="44676" spans="8:8" x14ac:dyDescent="0.3">
      <c r="H44676" t="str">
        <f t="shared" si="747"/>
        <v/>
      </c>
    </row>
    <row r="44677" spans="8:8" x14ac:dyDescent="0.3">
      <c r="H44677" t="str">
        <f t="shared" si="747"/>
        <v/>
      </c>
    </row>
    <row r="44678" spans="8:8" x14ac:dyDescent="0.3">
      <c r="H44678" t="str">
        <f t="shared" si="747"/>
        <v/>
      </c>
    </row>
    <row r="44679" spans="8:8" x14ac:dyDescent="0.3">
      <c r="H44679" t="str">
        <f t="shared" si="747"/>
        <v/>
      </c>
    </row>
    <row r="44680" spans="8:8" x14ac:dyDescent="0.3">
      <c r="H44680" t="str">
        <f t="shared" si="747"/>
        <v/>
      </c>
    </row>
    <row r="44681" spans="8:8" x14ac:dyDescent="0.3">
      <c r="H44681" t="str">
        <f t="shared" si="747"/>
        <v/>
      </c>
    </row>
    <row r="44682" spans="8:8" x14ac:dyDescent="0.3">
      <c r="H44682" t="str">
        <f t="shared" si="747"/>
        <v/>
      </c>
    </row>
    <row r="44683" spans="8:8" x14ac:dyDescent="0.3">
      <c r="H44683" t="str">
        <f t="shared" si="747"/>
        <v/>
      </c>
    </row>
    <row r="44684" spans="8:8" x14ac:dyDescent="0.3">
      <c r="H44684" t="str">
        <f t="shared" si="747"/>
        <v/>
      </c>
    </row>
    <row r="44685" spans="8:8" x14ac:dyDescent="0.3">
      <c r="H44685" t="str">
        <f t="shared" si="747"/>
        <v/>
      </c>
    </row>
    <row r="44686" spans="8:8" x14ac:dyDescent="0.3">
      <c r="H44686" t="str">
        <f t="shared" si="747"/>
        <v/>
      </c>
    </row>
    <row r="44687" spans="8:8" x14ac:dyDescent="0.3">
      <c r="H44687" t="str">
        <f t="shared" si="747"/>
        <v/>
      </c>
    </row>
    <row r="44688" spans="8:8" x14ac:dyDescent="0.3">
      <c r="H44688" t="str">
        <f t="shared" si="747"/>
        <v/>
      </c>
    </row>
    <row r="44689" spans="8:8" x14ac:dyDescent="0.3">
      <c r="H44689" t="str">
        <f t="shared" si="747"/>
        <v/>
      </c>
    </row>
    <row r="44690" spans="8:8" x14ac:dyDescent="0.3">
      <c r="H44690" t="str">
        <f t="shared" si="747"/>
        <v/>
      </c>
    </row>
    <row r="44691" spans="8:8" x14ac:dyDescent="0.3">
      <c r="H44691" t="str">
        <f t="shared" si="747"/>
        <v/>
      </c>
    </row>
    <row r="44692" spans="8:8" x14ac:dyDescent="0.3">
      <c r="H44692" t="str">
        <f t="shared" si="747"/>
        <v/>
      </c>
    </row>
    <row r="44693" spans="8:8" x14ac:dyDescent="0.3">
      <c r="H44693" t="str">
        <f t="shared" si="747"/>
        <v/>
      </c>
    </row>
    <row r="44694" spans="8:8" x14ac:dyDescent="0.3">
      <c r="H44694" t="str">
        <f t="shared" si="747"/>
        <v/>
      </c>
    </row>
    <row r="44695" spans="8:8" x14ac:dyDescent="0.3">
      <c r="H44695" t="str">
        <f t="shared" ref="H44695:H44758" si="748">IF(B44695="","",$C$12)</f>
        <v/>
      </c>
    </row>
    <row r="44696" spans="8:8" x14ac:dyDescent="0.3">
      <c r="H44696" t="str">
        <f t="shared" si="748"/>
        <v/>
      </c>
    </row>
    <row r="44697" spans="8:8" x14ac:dyDescent="0.3">
      <c r="H44697" t="str">
        <f t="shared" si="748"/>
        <v/>
      </c>
    </row>
    <row r="44698" spans="8:8" x14ac:dyDescent="0.3">
      <c r="H44698" t="str">
        <f t="shared" si="748"/>
        <v/>
      </c>
    </row>
    <row r="44699" spans="8:8" x14ac:dyDescent="0.3">
      <c r="H44699" t="str">
        <f t="shared" si="748"/>
        <v/>
      </c>
    </row>
    <row r="44700" spans="8:8" x14ac:dyDescent="0.3">
      <c r="H44700" t="str">
        <f t="shared" si="748"/>
        <v/>
      </c>
    </row>
    <row r="44701" spans="8:8" x14ac:dyDescent="0.3">
      <c r="H44701" t="str">
        <f t="shared" si="748"/>
        <v/>
      </c>
    </row>
    <row r="44702" spans="8:8" x14ac:dyDescent="0.3">
      <c r="H44702" t="str">
        <f t="shared" si="748"/>
        <v/>
      </c>
    </row>
    <row r="44703" spans="8:8" x14ac:dyDescent="0.3">
      <c r="H44703" t="str">
        <f t="shared" si="748"/>
        <v/>
      </c>
    </row>
    <row r="44704" spans="8:8" x14ac:dyDescent="0.3">
      <c r="H44704" t="str">
        <f t="shared" si="748"/>
        <v/>
      </c>
    </row>
    <row r="44705" spans="8:8" x14ac:dyDescent="0.3">
      <c r="H44705" t="str">
        <f t="shared" si="748"/>
        <v/>
      </c>
    </row>
    <row r="44706" spans="8:8" x14ac:dyDescent="0.3">
      <c r="H44706" t="str">
        <f t="shared" si="748"/>
        <v/>
      </c>
    </row>
    <row r="44707" spans="8:8" x14ac:dyDescent="0.3">
      <c r="H44707" t="str">
        <f t="shared" si="748"/>
        <v/>
      </c>
    </row>
    <row r="44708" spans="8:8" x14ac:dyDescent="0.3">
      <c r="H44708" t="str">
        <f t="shared" si="748"/>
        <v/>
      </c>
    </row>
    <row r="44709" spans="8:8" x14ac:dyDescent="0.3">
      <c r="H44709" t="str">
        <f t="shared" si="748"/>
        <v/>
      </c>
    </row>
    <row r="44710" spans="8:8" x14ac:dyDescent="0.3">
      <c r="H44710" t="str">
        <f t="shared" si="748"/>
        <v/>
      </c>
    </row>
    <row r="44711" spans="8:8" x14ac:dyDescent="0.3">
      <c r="H44711" t="str">
        <f t="shared" si="748"/>
        <v/>
      </c>
    </row>
    <row r="44712" spans="8:8" x14ac:dyDescent="0.3">
      <c r="H44712" t="str">
        <f t="shared" si="748"/>
        <v/>
      </c>
    </row>
    <row r="44713" spans="8:8" x14ac:dyDescent="0.3">
      <c r="H44713" t="str">
        <f t="shared" si="748"/>
        <v/>
      </c>
    </row>
    <row r="44714" spans="8:8" x14ac:dyDescent="0.3">
      <c r="H44714" t="str">
        <f t="shared" si="748"/>
        <v/>
      </c>
    </row>
    <row r="44715" spans="8:8" x14ac:dyDescent="0.3">
      <c r="H44715" t="str">
        <f t="shared" si="748"/>
        <v/>
      </c>
    </row>
    <row r="44716" spans="8:8" x14ac:dyDescent="0.3">
      <c r="H44716" t="str">
        <f t="shared" si="748"/>
        <v/>
      </c>
    </row>
    <row r="44717" spans="8:8" x14ac:dyDescent="0.3">
      <c r="H44717" t="str">
        <f t="shared" si="748"/>
        <v/>
      </c>
    </row>
    <row r="44718" spans="8:8" x14ac:dyDescent="0.3">
      <c r="H44718" t="str">
        <f t="shared" si="748"/>
        <v/>
      </c>
    </row>
    <row r="44719" spans="8:8" x14ac:dyDescent="0.3">
      <c r="H44719" t="str">
        <f t="shared" si="748"/>
        <v/>
      </c>
    </row>
    <row r="44720" spans="8:8" x14ac:dyDescent="0.3">
      <c r="H44720" t="str">
        <f t="shared" si="748"/>
        <v/>
      </c>
    </row>
    <row r="44721" spans="8:8" x14ac:dyDescent="0.3">
      <c r="H44721" t="str">
        <f t="shared" si="748"/>
        <v/>
      </c>
    </row>
    <row r="44722" spans="8:8" x14ac:dyDescent="0.3">
      <c r="H44722" t="str">
        <f t="shared" si="748"/>
        <v/>
      </c>
    </row>
    <row r="44723" spans="8:8" x14ac:dyDescent="0.3">
      <c r="H44723" t="str">
        <f t="shared" si="748"/>
        <v/>
      </c>
    </row>
    <row r="44724" spans="8:8" x14ac:dyDescent="0.3">
      <c r="H44724" t="str">
        <f t="shared" si="748"/>
        <v/>
      </c>
    </row>
    <row r="44725" spans="8:8" x14ac:dyDescent="0.3">
      <c r="H44725" t="str">
        <f t="shared" si="748"/>
        <v/>
      </c>
    </row>
    <row r="44726" spans="8:8" x14ac:dyDescent="0.3">
      <c r="H44726" t="str">
        <f t="shared" si="748"/>
        <v/>
      </c>
    </row>
    <row r="44727" spans="8:8" x14ac:dyDescent="0.3">
      <c r="H44727" t="str">
        <f t="shared" si="748"/>
        <v/>
      </c>
    </row>
    <row r="44728" spans="8:8" x14ac:dyDescent="0.3">
      <c r="H44728" t="str">
        <f t="shared" si="748"/>
        <v/>
      </c>
    </row>
    <row r="44729" spans="8:8" x14ac:dyDescent="0.3">
      <c r="H44729" t="str">
        <f t="shared" si="748"/>
        <v/>
      </c>
    </row>
    <row r="44730" spans="8:8" x14ac:dyDescent="0.3">
      <c r="H44730" t="str">
        <f t="shared" si="748"/>
        <v/>
      </c>
    </row>
    <row r="44731" spans="8:8" x14ac:dyDescent="0.3">
      <c r="H44731" t="str">
        <f t="shared" si="748"/>
        <v/>
      </c>
    </row>
    <row r="44732" spans="8:8" x14ac:dyDescent="0.3">
      <c r="H44732" t="str">
        <f t="shared" si="748"/>
        <v/>
      </c>
    </row>
    <row r="44733" spans="8:8" x14ac:dyDescent="0.3">
      <c r="H44733" t="str">
        <f t="shared" si="748"/>
        <v/>
      </c>
    </row>
    <row r="44734" spans="8:8" x14ac:dyDescent="0.3">
      <c r="H44734" t="str">
        <f t="shared" si="748"/>
        <v/>
      </c>
    </row>
    <row r="44735" spans="8:8" x14ac:dyDescent="0.3">
      <c r="H44735" t="str">
        <f t="shared" si="748"/>
        <v/>
      </c>
    </row>
    <row r="44736" spans="8:8" x14ac:dyDescent="0.3">
      <c r="H44736" t="str">
        <f t="shared" si="748"/>
        <v/>
      </c>
    </row>
    <row r="44737" spans="8:8" x14ac:dyDescent="0.3">
      <c r="H44737" t="str">
        <f t="shared" si="748"/>
        <v/>
      </c>
    </row>
    <row r="44738" spans="8:8" x14ac:dyDescent="0.3">
      <c r="H44738" t="str">
        <f t="shared" si="748"/>
        <v/>
      </c>
    </row>
    <row r="44739" spans="8:8" x14ac:dyDescent="0.3">
      <c r="H44739" t="str">
        <f t="shared" si="748"/>
        <v/>
      </c>
    </row>
    <row r="44740" spans="8:8" x14ac:dyDescent="0.3">
      <c r="H44740" t="str">
        <f t="shared" si="748"/>
        <v/>
      </c>
    </row>
    <row r="44741" spans="8:8" x14ac:dyDescent="0.3">
      <c r="H44741" t="str">
        <f t="shared" si="748"/>
        <v/>
      </c>
    </row>
    <row r="44742" spans="8:8" x14ac:dyDescent="0.3">
      <c r="H44742" t="str">
        <f t="shared" si="748"/>
        <v/>
      </c>
    </row>
    <row r="44743" spans="8:8" x14ac:dyDescent="0.3">
      <c r="H44743" t="str">
        <f t="shared" si="748"/>
        <v/>
      </c>
    </row>
    <row r="44744" spans="8:8" x14ac:dyDescent="0.3">
      <c r="H44744" t="str">
        <f t="shared" si="748"/>
        <v/>
      </c>
    </row>
    <row r="44745" spans="8:8" x14ac:dyDescent="0.3">
      <c r="H44745" t="str">
        <f t="shared" si="748"/>
        <v/>
      </c>
    </row>
    <row r="44746" spans="8:8" x14ac:dyDescent="0.3">
      <c r="H44746" t="str">
        <f t="shared" si="748"/>
        <v/>
      </c>
    </row>
    <row r="44747" spans="8:8" x14ac:dyDescent="0.3">
      <c r="H44747" t="str">
        <f t="shared" si="748"/>
        <v/>
      </c>
    </row>
    <row r="44748" spans="8:8" x14ac:dyDescent="0.3">
      <c r="H44748" t="str">
        <f t="shared" si="748"/>
        <v/>
      </c>
    </row>
    <row r="44749" spans="8:8" x14ac:dyDescent="0.3">
      <c r="H44749" t="str">
        <f t="shared" si="748"/>
        <v/>
      </c>
    </row>
    <row r="44750" spans="8:8" x14ac:dyDescent="0.3">
      <c r="H44750" t="str">
        <f t="shared" si="748"/>
        <v/>
      </c>
    </row>
    <row r="44751" spans="8:8" x14ac:dyDescent="0.3">
      <c r="H44751" t="str">
        <f t="shared" si="748"/>
        <v/>
      </c>
    </row>
    <row r="44752" spans="8:8" x14ac:dyDescent="0.3">
      <c r="H44752" t="str">
        <f t="shared" si="748"/>
        <v/>
      </c>
    </row>
    <row r="44753" spans="8:8" x14ac:dyDescent="0.3">
      <c r="H44753" t="str">
        <f t="shared" si="748"/>
        <v/>
      </c>
    </row>
    <row r="44754" spans="8:8" x14ac:dyDescent="0.3">
      <c r="H44754" t="str">
        <f t="shared" si="748"/>
        <v/>
      </c>
    </row>
    <row r="44755" spans="8:8" x14ac:dyDescent="0.3">
      <c r="H44755" t="str">
        <f t="shared" si="748"/>
        <v/>
      </c>
    </row>
    <row r="44756" spans="8:8" x14ac:dyDescent="0.3">
      <c r="H44756" t="str">
        <f t="shared" si="748"/>
        <v/>
      </c>
    </row>
    <row r="44757" spans="8:8" x14ac:dyDescent="0.3">
      <c r="H44757" t="str">
        <f t="shared" si="748"/>
        <v/>
      </c>
    </row>
    <row r="44758" spans="8:8" x14ac:dyDescent="0.3">
      <c r="H44758" t="str">
        <f t="shared" si="748"/>
        <v/>
      </c>
    </row>
    <row r="44759" spans="8:8" x14ac:dyDescent="0.3">
      <c r="H44759" t="str">
        <f t="shared" ref="H44759:H44822" si="749">IF(B44759="","",$C$12)</f>
        <v/>
      </c>
    </row>
    <row r="44760" spans="8:8" x14ac:dyDescent="0.3">
      <c r="H44760" t="str">
        <f t="shared" si="749"/>
        <v/>
      </c>
    </row>
    <row r="44761" spans="8:8" x14ac:dyDescent="0.3">
      <c r="H44761" t="str">
        <f t="shared" si="749"/>
        <v/>
      </c>
    </row>
    <row r="44762" spans="8:8" x14ac:dyDescent="0.3">
      <c r="H44762" t="str">
        <f t="shared" si="749"/>
        <v/>
      </c>
    </row>
    <row r="44763" spans="8:8" x14ac:dyDescent="0.3">
      <c r="H44763" t="str">
        <f t="shared" si="749"/>
        <v/>
      </c>
    </row>
    <row r="44764" spans="8:8" x14ac:dyDescent="0.3">
      <c r="H44764" t="str">
        <f t="shared" si="749"/>
        <v/>
      </c>
    </row>
    <row r="44765" spans="8:8" x14ac:dyDescent="0.3">
      <c r="H44765" t="str">
        <f t="shared" si="749"/>
        <v/>
      </c>
    </row>
    <row r="44766" spans="8:8" x14ac:dyDescent="0.3">
      <c r="H44766" t="str">
        <f t="shared" si="749"/>
        <v/>
      </c>
    </row>
    <row r="44767" spans="8:8" x14ac:dyDescent="0.3">
      <c r="H44767" t="str">
        <f t="shared" si="749"/>
        <v/>
      </c>
    </row>
    <row r="44768" spans="8:8" x14ac:dyDescent="0.3">
      <c r="H44768" t="str">
        <f t="shared" si="749"/>
        <v/>
      </c>
    </row>
    <row r="44769" spans="8:8" x14ac:dyDescent="0.3">
      <c r="H44769" t="str">
        <f t="shared" si="749"/>
        <v/>
      </c>
    </row>
    <row r="44770" spans="8:8" x14ac:dyDescent="0.3">
      <c r="H44770" t="str">
        <f t="shared" si="749"/>
        <v/>
      </c>
    </row>
    <row r="44771" spans="8:8" x14ac:dyDescent="0.3">
      <c r="H44771" t="str">
        <f t="shared" si="749"/>
        <v/>
      </c>
    </row>
    <row r="44772" spans="8:8" x14ac:dyDescent="0.3">
      <c r="H44772" t="str">
        <f t="shared" si="749"/>
        <v/>
      </c>
    </row>
    <row r="44773" spans="8:8" x14ac:dyDescent="0.3">
      <c r="H44773" t="str">
        <f t="shared" si="749"/>
        <v/>
      </c>
    </row>
    <row r="44774" spans="8:8" x14ac:dyDescent="0.3">
      <c r="H44774" t="str">
        <f t="shared" si="749"/>
        <v/>
      </c>
    </row>
    <row r="44775" spans="8:8" x14ac:dyDescent="0.3">
      <c r="H44775" t="str">
        <f t="shared" si="749"/>
        <v/>
      </c>
    </row>
    <row r="44776" spans="8:8" x14ac:dyDescent="0.3">
      <c r="H44776" t="str">
        <f t="shared" si="749"/>
        <v/>
      </c>
    </row>
    <row r="44777" spans="8:8" x14ac:dyDescent="0.3">
      <c r="H44777" t="str">
        <f t="shared" si="749"/>
        <v/>
      </c>
    </row>
    <row r="44778" spans="8:8" x14ac:dyDescent="0.3">
      <c r="H44778" t="str">
        <f t="shared" si="749"/>
        <v/>
      </c>
    </row>
    <row r="44779" spans="8:8" x14ac:dyDescent="0.3">
      <c r="H44779" t="str">
        <f t="shared" si="749"/>
        <v/>
      </c>
    </row>
    <row r="44780" spans="8:8" x14ac:dyDescent="0.3">
      <c r="H44780" t="str">
        <f t="shared" si="749"/>
        <v/>
      </c>
    </row>
    <row r="44781" spans="8:8" x14ac:dyDescent="0.3">
      <c r="H44781" t="str">
        <f t="shared" si="749"/>
        <v/>
      </c>
    </row>
    <row r="44782" spans="8:8" x14ac:dyDescent="0.3">
      <c r="H44782" t="str">
        <f t="shared" si="749"/>
        <v/>
      </c>
    </row>
    <row r="44783" spans="8:8" x14ac:dyDescent="0.3">
      <c r="H44783" t="str">
        <f t="shared" si="749"/>
        <v/>
      </c>
    </row>
    <row r="44784" spans="8:8" x14ac:dyDescent="0.3">
      <c r="H44784" t="str">
        <f t="shared" si="749"/>
        <v/>
      </c>
    </row>
    <row r="44785" spans="8:8" x14ac:dyDescent="0.3">
      <c r="H44785" t="str">
        <f t="shared" si="749"/>
        <v/>
      </c>
    </row>
    <row r="44786" spans="8:8" x14ac:dyDescent="0.3">
      <c r="H44786" t="str">
        <f t="shared" si="749"/>
        <v/>
      </c>
    </row>
    <row r="44787" spans="8:8" x14ac:dyDescent="0.3">
      <c r="H44787" t="str">
        <f t="shared" si="749"/>
        <v/>
      </c>
    </row>
    <row r="44788" spans="8:8" x14ac:dyDescent="0.3">
      <c r="H44788" t="str">
        <f t="shared" si="749"/>
        <v/>
      </c>
    </row>
    <row r="44789" spans="8:8" x14ac:dyDescent="0.3">
      <c r="H44789" t="str">
        <f t="shared" si="749"/>
        <v/>
      </c>
    </row>
    <row r="44790" spans="8:8" x14ac:dyDescent="0.3">
      <c r="H44790" t="str">
        <f t="shared" si="749"/>
        <v/>
      </c>
    </row>
    <row r="44791" spans="8:8" x14ac:dyDescent="0.3">
      <c r="H44791" t="str">
        <f t="shared" si="749"/>
        <v/>
      </c>
    </row>
    <row r="44792" spans="8:8" x14ac:dyDescent="0.3">
      <c r="H44792" t="str">
        <f t="shared" si="749"/>
        <v/>
      </c>
    </row>
    <row r="44793" spans="8:8" x14ac:dyDescent="0.3">
      <c r="H44793" t="str">
        <f t="shared" si="749"/>
        <v/>
      </c>
    </row>
    <row r="44794" spans="8:8" x14ac:dyDescent="0.3">
      <c r="H44794" t="str">
        <f t="shared" si="749"/>
        <v/>
      </c>
    </row>
    <row r="44795" spans="8:8" x14ac:dyDescent="0.3">
      <c r="H44795" t="str">
        <f t="shared" si="749"/>
        <v/>
      </c>
    </row>
    <row r="44796" spans="8:8" x14ac:dyDescent="0.3">
      <c r="H44796" t="str">
        <f t="shared" si="749"/>
        <v/>
      </c>
    </row>
    <row r="44797" spans="8:8" x14ac:dyDescent="0.3">
      <c r="H44797" t="str">
        <f t="shared" si="749"/>
        <v/>
      </c>
    </row>
    <row r="44798" spans="8:8" x14ac:dyDescent="0.3">
      <c r="H44798" t="str">
        <f t="shared" si="749"/>
        <v/>
      </c>
    </row>
    <row r="44799" spans="8:8" x14ac:dyDescent="0.3">
      <c r="H44799" t="str">
        <f t="shared" si="749"/>
        <v/>
      </c>
    </row>
    <row r="44800" spans="8:8" x14ac:dyDescent="0.3">
      <c r="H44800" t="str">
        <f t="shared" si="749"/>
        <v/>
      </c>
    </row>
    <row r="44801" spans="8:8" x14ac:dyDescent="0.3">
      <c r="H44801" t="str">
        <f t="shared" si="749"/>
        <v/>
      </c>
    </row>
    <row r="44802" spans="8:8" x14ac:dyDescent="0.3">
      <c r="H44802" t="str">
        <f t="shared" si="749"/>
        <v/>
      </c>
    </row>
    <row r="44803" spans="8:8" x14ac:dyDescent="0.3">
      <c r="H44803" t="str">
        <f t="shared" si="749"/>
        <v/>
      </c>
    </row>
    <row r="44804" spans="8:8" x14ac:dyDescent="0.3">
      <c r="H44804" t="str">
        <f t="shared" si="749"/>
        <v/>
      </c>
    </row>
    <row r="44805" spans="8:8" x14ac:dyDescent="0.3">
      <c r="H44805" t="str">
        <f t="shared" si="749"/>
        <v/>
      </c>
    </row>
    <row r="44806" spans="8:8" x14ac:dyDescent="0.3">
      <c r="H44806" t="str">
        <f t="shared" si="749"/>
        <v/>
      </c>
    </row>
    <row r="44807" spans="8:8" x14ac:dyDescent="0.3">
      <c r="H44807" t="str">
        <f t="shared" si="749"/>
        <v/>
      </c>
    </row>
    <row r="44808" spans="8:8" x14ac:dyDescent="0.3">
      <c r="H44808" t="str">
        <f t="shared" si="749"/>
        <v/>
      </c>
    </row>
    <row r="44809" spans="8:8" x14ac:dyDescent="0.3">
      <c r="H44809" t="str">
        <f t="shared" si="749"/>
        <v/>
      </c>
    </row>
    <row r="44810" spans="8:8" x14ac:dyDescent="0.3">
      <c r="H44810" t="str">
        <f t="shared" si="749"/>
        <v/>
      </c>
    </row>
    <row r="44811" spans="8:8" x14ac:dyDescent="0.3">
      <c r="H44811" t="str">
        <f t="shared" si="749"/>
        <v/>
      </c>
    </row>
    <row r="44812" spans="8:8" x14ac:dyDescent="0.3">
      <c r="H44812" t="str">
        <f t="shared" si="749"/>
        <v/>
      </c>
    </row>
    <row r="44813" spans="8:8" x14ac:dyDescent="0.3">
      <c r="H44813" t="str">
        <f t="shared" si="749"/>
        <v/>
      </c>
    </row>
    <row r="44814" spans="8:8" x14ac:dyDescent="0.3">
      <c r="H44814" t="str">
        <f t="shared" si="749"/>
        <v/>
      </c>
    </row>
    <row r="44815" spans="8:8" x14ac:dyDescent="0.3">
      <c r="H44815" t="str">
        <f t="shared" si="749"/>
        <v/>
      </c>
    </row>
    <row r="44816" spans="8:8" x14ac:dyDescent="0.3">
      <c r="H44816" t="str">
        <f t="shared" si="749"/>
        <v/>
      </c>
    </row>
    <row r="44817" spans="8:8" x14ac:dyDescent="0.3">
      <c r="H44817" t="str">
        <f t="shared" si="749"/>
        <v/>
      </c>
    </row>
    <row r="44818" spans="8:8" x14ac:dyDescent="0.3">
      <c r="H44818" t="str">
        <f t="shared" si="749"/>
        <v/>
      </c>
    </row>
    <row r="44819" spans="8:8" x14ac:dyDescent="0.3">
      <c r="H44819" t="str">
        <f t="shared" si="749"/>
        <v/>
      </c>
    </row>
    <row r="44820" spans="8:8" x14ac:dyDescent="0.3">
      <c r="H44820" t="str">
        <f t="shared" si="749"/>
        <v/>
      </c>
    </row>
    <row r="44821" spans="8:8" x14ac:dyDescent="0.3">
      <c r="H44821" t="str">
        <f t="shared" si="749"/>
        <v/>
      </c>
    </row>
    <row r="44822" spans="8:8" x14ac:dyDescent="0.3">
      <c r="H44822" t="str">
        <f t="shared" si="749"/>
        <v/>
      </c>
    </row>
    <row r="44823" spans="8:8" x14ac:dyDescent="0.3">
      <c r="H44823" t="str">
        <f t="shared" ref="H44823:H44886" si="750">IF(B44823="","",$C$12)</f>
        <v/>
      </c>
    </row>
    <row r="44824" spans="8:8" x14ac:dyDescent="0.3">
      <c r="H44824" t="str">
        <f t="shared" si="750"/>
        <v/>
      </c>
    </row>
    <row r="44825" spans="8:8" x14ac:dyDescent="0.3">
      <c r="H44825" t="str">
        <f t="shared" si="750"/>
        <v/>
      </c>
    </row>
    <row r="44826" spans="8:8" x14ac:dyDescent="0.3">
      <c r="H44826" t="str">
        <f t="shared" si="750"/>
        <v/>
      </c>
    </row>
    <row r="44827" spans="8:8" x14ac:dyDescent="0.3">
      <c r="H44827" t="str">
        <f t="shared" si="750"/>
        <v/>
      </c>
    </row>
    <row r="44828" spans="8:8" x14ac:dyDescent="0.3">
      <c r="H44828" t="str">
        <f t="shared" si="750"/>
        <v/>
      </c>
    </row>
    <row r="44829" spans="8:8" x14ac:dyDescent="0.3">
      <c r="H44829" t="str">
        <f t="shared" si="750"/>
        <v/>
      </c>
    </row>
    <row r="44830" spans="8:8" x14ac:dyDescent="0.3">
      <c r="H44830" t="str">
        <f t="shared" si="750"/>
        <v/>
      </c>
    </row>
    <row r="44831" spans="8:8" x14ac:dyDescent="0.3">
      <c r="H44831" t="str">
        <f t="shared" si="750"/>
        <v/>
      </c>
    </row>
    <row r="44832" spans="8:8" x14ac:dyDescent="0.3">
      <c r="H44832" t="str">
        <f t="shared" si="750"/>
        <v/>
      </c>
    </row>
    <row r="44833" spans="8:8" x14ac:dyDescent="0.3">
      <c r="H44833" t="str">
        <f t="shared" si="750"/>
        <v/>
      </c>
    </row>
    <row r="44834" spans="8:8" x14ac:dyDescent="0.3">
      <c r="H44834" t="str">
        <f t="shared" si="750"/>
        <v/>
      </c>
    </row>
    <row r="44835" spans="8:8" x14ac:dyDescent="0.3">
      <c r="H44835" t="str">
        <f t="shared" si="750"/>
        <v/>
      </c>
    </row>
    <row r="44836" spans="8:8" x14ac:dyDescent="0.3">
      <c r="H44836" t="str">
        <f t="shared" si="750"/>
        <v/>
      </c>
    </row>
    <row r="44837" spans="8:8" x14ac:dyDescent="0.3">
      <c r="H44837" t="str">
        <f t="shared" si="750"/>
        <v/>
      </c>
    </row>
    <row r="44838" spans="8:8" x14ac:dyDescent="0.3">
      <c r="H44838" t="str">
        <f t="shared" si="750"/>
        <v/>
      </c>
    </row>
    <row r="44839" spans="8:8" x14ac:dyDescent="0.3">
      <c r="H44839" t="str">
        <f t="shared" si="750"/>
        <v/>
      </c>
    </row>
    <row r="44840" spans="8:8" x14ac:dyDescent="0.3">
      <c r="H44840" t="str">
        <f t="shared" si="750"/>
        <v/>
      </c>
    </row>
    <row r="44841" spans="8:8" x14ac:dyDescent="0.3">
      <c r="H44841" t="str">
        <f t="shared" si="750"/>
        <v/>
      </c>
    </row>
    <row r="44842" spans="8:8" x14ac:dyDescent="0.3">
      <c r="H44842" t="str">
        <f t="shared" si="750"/>
        <v/>
      </c>
    </row>
    <row r="44843" spans="8:8" x14ac:dyDescent="0.3">
      <c r="H44843" t="str">
        <f t="shared" si="750"/>
        <v/>
      </c>
    </row>
    <row r="44844" spans="8:8" x14ac:dyDescent="0.3">
      <c r="H44844" t="str">
        <f t="shared" si="750"/>
        <v/>
      </c>
    </row>
    <row r="44845" spans="8:8" x14ac:dyDescent="0.3">
      <c r="H44845" t="str">
        <f t="shared" si="750"/>
        <v/>
      </c>
    </row>
    <row r="44846" spans="8:8" x14ac:dyDescent="0.3">
      <c r="H44846" t="str">
        <f t="shared" si="750"/>
        <v/>
      </c>
    </row>
    <row r="44847" spans="8:8" x14ac:dyDescent="0.3">
      <c r="H44847" t="str">
        <f t="shared" si="750"/>
        <v/>
      </c>
    </row>
    <row r="44848" spans="8:8" x14ac:dyDescent="0.3">
      <c r="H44848" t="str">
        <f t="shared" si="750"/>
        <v/>
      </c>
    </row>
    <row r="44849" spans="8:8" x14ac:dyDescent="0.3">
      <c r="H44849" t="str">
        <f t="shared" si="750"/>
        <v/>
      </c>
    </row>
    <row r="44850" spans="8:8" x14ac:dyDescent="0.3">
      <c r="H44850" t="str">
        <f t="shared" si="750"/>
        <v/>
      </c>
    </row>
    <row r="44851" spans="8:8" x14ac:dyDescent="0.3">
      <c r="H44851" t="str">
        <f t="shared" si="750"/>
        <v/>
      </c>
    </row>
    <row r="44852" spans="8:8" x14ac:dyDescent="0.3">
      <c r="H44852" t="str">
        <f t="shared" si="750"/>
        <v/>
      </c>
    </row>
    <row r="44853" spans="8:8" x14ac:dyDescent="0.3">
      <c r="H44853" t="str">
        <f t="shared" si="750"/>
        <v/>
      </c>
    </row>
    <row r="44854" spans="8:8" x14ac:dyDescent="0.3">
      <c r="H44854" t="str">
        <f t="shared" si="750"/>
        <v/>
      </c>
    </row>
    <row r="44855" spans="8:8" x14ac:dyDescent="0.3">
      <c r="H44855" t="str">
        <f t="shared" si="750"/>
        <v/>
      </c>
    </row>
    <row r="44856" spans="8:8" x14ac:dyDescent="0.3">
      <c r="H44856" t="str">
        <f t="shared" si="750"/>
        <v/>
      </c>
    </row>
    <row r="44857" spans="8:8" x14ac:dyDescent="0.3">
      <c r="H44857" t="str">
        <f t="shared" si="750"/>
        <v/>
      </c>
    </row>
    <row r="44858" spans="8:8" x14ac:dyDescent="0.3">
      <c r="H44858" t="str">
        <f t="shared" si="750"/>
        <v/>
      </c>
    </row>
    <row r="44859" spans="8:8" x14ac:dyDescent="0.3">
      <c r="H44859" t="str">
        <f t="shared" si="750"/>
        <v/>
      </c>
    </row>
    <row r="44860" spans="8:8" x14ac:dyDescent="0.3">
      <c r="H44860" t="str">
        <f t="shared" si="750"/>
        <v/>
      </c>
    </row>
    <row r="44861" spans="8:8" x14ac:dyDescent="0.3">
      <c r="H44861" t="str">
        <f t="shared" si="750"/>
        <v/>
      </c>
    </row>
    <row r="44862" spans="8:8" x14ac:dyDescent="0.3">
      <c r="H44862" t="str">
        <f t="shared" si="750"/>
        <v/>
      </c>
    </row>
    <row r="44863" spans="8:8" x14ac:dyDescent="0.3">
      <c r="H44863" t="str">
        <f t="shared" si="750"/>
        <v/>
      </c>
    </row>
    <row r="44864" spans="8:8" x14ac:dyDescent="0.3">
      <c r="H44864" t="str">
        <f t="shared" si="750"/>
        <v/>
      </c>
    </row>
    <row r="44865" spans="8:8" x14ac:dyDescent="0.3">
      <c r="H44865" t="str">
        <f t="shared" si="750"/>
        <v/>
      </c>
    </row>
    <row r="44866" spans="8:8" x14ac:dyDescent="0.3">
      <c r="H44866" t="str">
        <f t="shared" si="750"/>
        <v/>
      </c>
    </row>
    <row r="44867" spans="8:8" x14ac:dyDescent="0.3">
      <c r="H44867" t="str">
        <f t="shared" si="750"/>
        <v/>
      </c>
    </row>
    <row r="44868" spans="8:8" x14ac:dyDescent="0.3">
      <c r="H44868" t="str">
        <f t="shared" si="750"/>
        <v/>
      </c>
    </row>
    <row r="44869" spans="8:8" x14ac:dyDescent="0.3">
      <c r="H44869" t="str">
        <f t="shared" si="750"/>
        <v/>
      </c>
    </row>
    <row r="44870" spans="8:8" x14ac:dyDescent="0.3">
      <c r="H44870" t="str">
        <f t="shared" si="750"/>
        <v/>
      </c>
    </row>
    <row r="44871" spans="8:8" x14ac:dyDescent="0.3">
      <c r="H44871" t="str">
        <f t="shared" si="750"/>
        <v/>
      </c>
    </row>
    <row r="44872" spans="8:8" x14ac:dyDescent="0.3">
      <c r="H44872" t="str">
        <f t="shared" si="750"/>
        <v/>
      </c>
    </row>
    <row r="44873" spans="8:8" x14ac:dyDescent="0.3">
      <c r="H44873" t="str">
        <f t="shared" si="750"/>
        <v/>
      </c>
    </row>
    <row r="44874" spans="8:8" x14ac:dyDescent="0.3">
      <c r="H44874" t="str">
        <f t="shared" si="750"/>
        <v/>
      </c>
    </row>
    <row r="44875" spans="8:8" x14ac:dyDescent="0.3">
      <c r="H44875" t="str">
        <f t="shared" si="750"/>
        <v/>
      </c>
    </row>
    <row r="44876" spans="8:8" x14ac:dyDescent="0.3">
      <c r="H44876" t="str">
        <f t="shared" si="750"/>
        <v/>
      </c>
    </row>
    <row r="44877" spans="8:8" x14ac:dyDescent="0.3">
      <c r="H44877" t="str">
        <f t="shared" si="750"/>
        <v/>
      </c>
    </row>
    <row r="44878" spans="8:8" x14ac:dyDescent="0.3">
      <c r="H44878" t="str">
        <f t="shared" si="750"/>
        <v/>
      </c>
    </row>
    <row r="44879" spans="8:8" x14ac:dyDescent="0.3">
      <c r="H44879" t="str">
        <f t="shared" si="750"/>
        <v/>
      </c>
    </row>
    <row r="44880" spans="8:8" x14ac:dyDescent="0.3">
      <c r="H44880" t="str">
        <f t="shared" si="750"/>
        <v/>
      </c>
    </row>
    <row r="44881" spans="8:8" x14ac:dyDescent="0.3">
      <c r="H44881" t="str">
        <f t="shared" si="750"/>
        <v/>
      </c>
    </row>
    <row r="44882" spans="8:8" x14ac:dyDescent="0.3">
      <c r="H44882" t="str">
        <f t="shared" si="750"/>
        <v/>
      </c>
    </row>
    <row r="44883" spans="8:8" x14ac:dyDescent="0.3">
      <c r="H44883" t="str">
        <f t="shared" si="750"/>
        <v/>
      </c>
    </row>
    <row r="44884" spans="8:8" x14ac:dyDescent="0.3">
      <c r="H44884" t="str">
        <f t="shared" si="750"/>
        <v/>
      </c>
    </row>
    <row r="44885" spans="8:8" x14ac:dyDescent="0.3">
      <c r="H44885" t="str">
        <f t="shared" si="750"/>
        <v/>
      </c>
    </row>
    <row r="44886" spans="8:8" x14ac:dyDescent="0.3">
      <c r="H44886" t="str">
        <f t="shared" si="750"/>
        <v/>
      </c>
    </row>
    <row r="44887" spans="8:8" x14ac:dyDescent="0.3">
      <c r="H44887" t="str">
        <f t="shared" ref="H44887:H44950" si="751">IF(B44887="","",$C$12)</f>
        <v/>
      </c>
    </row>
    <row r="44888" spans="8:8" x14ac:dyDescent="0.3">
      <c r="H44888" t="str">
        <f t="shared" si="751"/>
        <v/>
      </c>
    </row>
    <row r="44889" spans="8:8" x14ac:dyDescent="0.3">
      <c r="H44889" t="str">
        <f t="shared" si="751"/>
        <v/>
      </c>
    </row>
    <row r="44890" spans="8:8" x14ac:dyDescent="0.3">
      <c r="H44890" t="str">
        <f t="shared" si="751"/>
        <v/>
      </c>
    </row>
    <row r="44891" spans="8:8" x14ac:dyDescent="0.3">
      <c r="H44891" t="str">
        <f t="shared" si="751"/>
        <v/>
      </c>
    </row>
    <row r="44892" spans="8:8" x14ac:dyDescent="0.3">
      <c r="H44892" t="str">
        <f t="shared" si="751"/>
        <v/>
      </c>
    </row>
    <row r="44893" spans="8:8" x14ac:dyDescent="0.3">
      <c r="H44893" t="str">
        <f t="shared" si="751"/>
        <v/>
      </c>
    </row>
    <row r="44894" spans="8:8" x14ac:dyDescent="0.3">
      <c r="H44894" t="str">
        <f t="shared" si="751"/>
        <v/>
      </c>
    </row>
    <row r="44895" spans="8:8" x14ac:dyDescent="0.3">
      <c r="H44895" t="str">
        <f t="shared" si="751"/>
        <v/>
      </c>
    </row>
    <row r="44896" spans="8:8" x14ac:dyDescent="0.3">
      <c r="H44896" t="str">
        <f t="shared" si="751"/>
        <v/>
      </c>
    </row>
    <row r="44897" spans="8:8" x14ac:dyDescent="0.3">
      <c r="H44897" t="str">
        <f t="shared" si="751"/>
        <v/>
      </c>
    </row>
    <row r="44898" spans="8:8" x14ac:dyDescent="0.3">
      <c r="H44898" t="str">
        <f t="shared" si="751"/>
        <v/>
      </c>
    </row>
    <row r="44899" spans="8:8" x14ac:dyDescent="0.3">
      <c r="H44899" t="str">
        <f t="shared" si="751"/>
        <v/>
      </c>
    </row>
    <row r="44900" spans="8:8" x14ac:dyDescent="0.3">
      <c r="H44900" t="str">
        <f t="shared" si="751"/>
        <v/>
      </c>
    </row>
    <row r="44901" spans="8:8" x14ac:dyDescent="0.3">
      <c r="H44901" t="str">
        <f t="shared" si="751"/>
        <v/>
      </c>
    </row>
    <row r="44902" spans="8:8" x14ac:dyDescent="0.3">
      <c r="H44902" t="str">
        <f t="shared" si="751"/>
        <v/>
      </c>
    </row>
    <row r="44903" spans="8:8" x14ac:dyDescent="0.3">
      <c r="H44903" t="str">
        <f t="shared" si="751"/>
        <v/>
      </c>
    </row>
    <row r="44904" spans="8:8" x14ac:dyDescent="0.3">
      <c r="H44904" t="str">
        <f t="shared" si="751"/>
        <v/>
      </c>
    </row>
    <row r="44905" spans="8:8" x14ac:dyDescent="0.3">
      <c r="H44905" t="str">
        <f t="shared" si="751"/>
        <v/>
      </c>
    </row>
    <row r="44906" spans="8:8" x14ac:dyDescent="0.3">
      <c r="H44906" t="str">
        <f t="shared" si="751"/>
        <v/>
      </c>
    </row>
    <row r="44907" spans="8:8" x14ac:dyDescent="0.3">
      <c r="H44907" t="str">
        <f t="shared" si="751"/>
        <v/>
      </c>
    </row>
    <row r="44908" spans="8:8" x14ac:dyDescent="0.3">
      <c r="H44908" t="str">
        <f t="shared" si="751"/>
        <v/>
      </c>
    </row>
    <row r="44909" spans="8:8" x14ac:dyDescent="0.3">
      <c r="H44909" t="str">
        <f t="shared" si="751"/>
        <v/>
      </c>
    </row>
    <row r="44910" spans="8:8" x14ac:dyDescent="0.3">
      <c r="H44910" t="str">
        <f t="shared" si="751"/>
        <v/>
      </c>
    </row>
    <row r="44911" spans="8:8" x14ac:dyDescent="0.3">
      <c r="H44911" t="str">
        <f t="shared" si="751"/>
        <v/>
      </c>
    </row>
    <row r="44912" spans="8:8" x14ac:dyDescent="0.3">
      <c r="H44912" t="str">
        <f t="shared" si="751"/>
        <v/>
      </c>
    </row>
    <row r="44913" spans="8:8" x14ac:dyDescent="0.3">
      <c r="H44913" t="str">
        <f t="shared" si="751"/>
        <v/>
      </c>
    </row>
    <row r="44914" spans="8:8" x14ac:dyDescent="0.3">
      <c r="H44914" t="str">
        <f t="shared" si="751"/>
        <v/>
      </c>
    </row>
    <row r="44915" spans="8:8" x14ac:dyDescent="0.3">
      <c r="H44915" t="str">
        <f t="shared" si="751"/>
        <v/>
      </c>
    </row>
    <row r="44916" spans="8:8" x14ac:dyDescent="0.3">
      <c r="H44916" t="str">
        <f t="shared" si="751"/>
        <v/>
      </c>
    </row>
    <row r="44917" spans="8:8" x14ac:dyDescent="0.3">
      <c r="H44917" t="str">
        <f t="shared" si="751"/>
        <v/>
      </c>
    </row>
    <row r="44918" spans="8:8" x14ac:dyDescent="0.3">
      <c r="H44918" t="str">
        <f t="shared" si="751"/>
        <v/>
      </c>
    </row>
    <row r="44919" spans="8:8" x14ac:dyDescent="0.3">
      <c r="H44919" t="str">
        <f t="shared" si="751"/>
        <v/>
      </c>
    </row>
    <row r="44920" spans="8:8" x14ac:dyDescent="0.3">
      <c r="H44920" t="str">
        <f t="shared" si="751"/>
        <v/>
      </c>
    </row>
    <row r="44921" spans="8:8" x14ac:dyDescent="0.3">
      <c r="H44921" t="str">
        <f t="shared" si="751"/>
        <v/>
      </c>
    </row>
    <row r="44922" spans="8:8" x14ac:dyDescent="0.3">
      <c r="H44922" t="str">
        <f t="shared" si="751"/>
        <v/>
      </c>
    </row>
    <row r="44923" spans="8:8" x14ac:dyDescent="0.3">
      <c r="H44923" t="str">
        <f t="shared" si="751"/>
        <v/>
      </c>
    </row>
    <row r="44924" spans="8:8" x14ac:dyDescent="0.3">
      <c r="H44924" t="str">
        <f t="shared" si="751"/>
        <v/>
      </c>
    </row>
    <row r="44925" spans="8:8" x14ac:dyDescent="0.3">
      <c r="H44925" t="str">
        <f t="shared" si="751"/>
        <v/>
      </c>
    </row>
    <row r="44926" spans="8:8" x14ac:dyDescent="0.3">
      <c r="H44926" t="str">
        <f t="shared" si="751"/>
        <v/>
      </c>
    </row>
    <row r="44927" spans="8:8" x14ac:dyDescent="0.3">
      <c r="H44927" t="str">
        <f t="shared" si="751"/>
        <v/>
      </c>
    </row>
    <row r="44928" spans="8:8" x14ac:dyDescent="0.3">
      <c r="H44928" t="str">
        <f t="shared" si="751"/>
        <v/>
      </c>
    </row>
    <row r="44929" spans="8:8" x14ac:dyDescent="0.3">
      <c r="H44929" t="str">
        <f t="shared" si="751"/>
        <v/>
      </c>
    </row>
    <row r="44930" spans="8:8" x14ac:dyDescent="0.3">
      <c r="H44930" t="str">
        <f t="shared" si="751"/>
        <v/>
      </c>
    </row>
    <row r="44931" spans="8:8" x14ac:dyDescent="0.3">
      <c r="H44931" t="str">
        <f t="shared" si="751"/>
        <v/>
      </c>
    </row>
    <row r="44932" spans="8:8" x14ac:dyDescent="0.3">
      <c r="H44932" t="str">
        <f t="shared" si="751"/>
        <v/>
      </c>
    </row>
    <row r="44933" spans="8:8" x14ac:dyDescent="0.3">
      <c r="H44933" t="str">
        <f t="shared" si="751"/>
        <v/>
      </c>
    </row>
    <row r="44934" spans="8:8" x14ac:dyDescent="0.3">
      <c r="H44934" t="str">
        <f t="shared" si="751"/>
        <v/>
      </c>
    </row>
    <row r="44935" spans="8:8" x14ac:dyDescent="0.3">
      <c r="H44935" t="str">
        <f t="shared" si="751"/>
        <v/>
      </c>
    </row>
    <row r="44936" spans="8:8" x14ac:dyDescent="0.3">
      <c r="H44936" t="str">
        <f t="shared" si="751"/>
        <v/>
      </c>
    </row>
    <row r="44937" spans="8:8" x14ac:dyDescent="0.3">
      <c r="H44937" t="str">
        <f t="shared" si="751"/>
        <v/>
      </c>
    </row>
    <row r="44938" spans="8:8" x14ac:dyDescent="0.3">
      <c r="H44938" t="str">
        <f t="shared" si="751"/>
        <v/>
      </c>
    </row>
    <row r="44939" spans="8:8" x14ac:dyDescent="0.3">
      <c r="H44939" t="str">
        <f t="shared" si="751"/>
        <v/>
      </c>
    </row>
    <row r="44940" spans="8:8" x14ac:dyDescent="0.3">
      <c r="H44940" t="str">
        <f t="shared" si="751"/>
        <v/>
      </c>
    </row>
    <row r="44941" spans="8:8" x14ac:dyDescent="0.3">
      <c r="H44941" t="str">
        <f t="shared" si="751"/>
        <v/>
      </c>
    </row>
    <row r="44942" spans="8:8" x14ac:dyDescent="0.3">
      <c r="H44942" t="str">
        <f t="shared" si="751"/>
        <v/>
      </c>
    </row>
    <row r="44943" spans="8:8" x14ac:dyDescent="0.3">
      <c r="H44943" t="str">
        <f t="shared" si="751"/>
        <v/>
      </c>
    </row>
    <row r="44944" spans="8:8" x14ac:dyDescent="0.3">
      <c r="H44944" t="str">
        <f t="shared" si="751"/>
        <v/>
      </c>
    </row>
    <row r="44945" spans="8:8" x14ac:dyDescent="0.3">
      <c r="H44945" t="str">
        <f t="shared" si="751"/>
        <v/>
      </c>
    </row>
    <row r="44946" spans="8:8" x14ac:dyDescent="0.3">
      <c r="H44946" t="str">
        <f t="shared" si="751"/>
        <v/>
      </c>
    </row>
    <row r="44947" spans="8:8" x14ac:dyDescent="0.3">
      <c r="H44947" t="str">
        <f t="shared" si="751"/>
        <v/>
      </c>
    </row>
    <row r="44948" spans="8:8" x14ac:dyDescent="0.3">
      <c r="H44948" t="str">
        <f t="shared" si="751"/>
        <v/>
      </c>
    </row>
    <row r="44949" spans="8:8" x14ac:dyDescent="0.3">
      <c r="H44949" t="str">
        <f t="shared" si="751"/>
        <v/>
      </c>
    </row>
    <row r="44950" spans="8:8" x14ac:dyDescent="0.3">
      <c r="H44950" t="str">
        <f t="shared" si="751"/>
        <v/>
      </c>
    </row>
    <row r="44951" spans="8:8" x14ac:dyDescent="0.3">
      <c r="H44951" t="str">
        <f t="shared" ref="H44951:H45014" si="752">IF(B44951="","",$C$12)</f>
        <v/>
      </c>
    </row>
    <row r="44952" spans="8:8" x14ac:dyDescent="0.3">
      <c r="H44952" t="str">
        <f t="shared" si="752"/>
        <v/>
      </c>
    </row>
    <row r="44953" spans="8:8" x14ac:dyDescent="0.3">
      <c r="H44953" t="str">
        <f t="shared" si="752"/>
        <v/>
      </c>
    </row>
    <row r="44954" spans="8:8" x14ac:dyDescent="0.3">
      <c r="H44954" t="str">
        <f t="shared" si="752"/>
        <v/>
      </c>
    </row>
    <row r="44955" spans="8:8" x14ac:dyDescent="0.3">
      <c r="H44955" t="str">
        <f t="shared" si="752"/>
        <v/>
      </c>
    </row>
    <row r="44956" spans="8:8" x14ac:dyDescent="0.3">
      <c r="H44956" t="str">
        <f t="shared" si="752"/>
        <v/>
      </c>
    </row>
    <row r="44957" spans="8:8" x14ac:dyDescent="0.3">
      <c r="H44957" t="str">
        <f t="shared" si="752"/>
        <v/>
      </c>
    </row>
    <row r="44958" spans="8:8" x14ac:dyDescent="0.3">
      <c r="H44958" t="str">
        <f t="shared" si="752"/>
        <v/>
      </c>
    </row>
    <row r="44959" spans="8:8" x14ac:dyDescent="0.3">
      <c r="H44959" t="str">
        <f t="shared" si="752"/>
        <v/>
      </c>
    </row>
    <row r="44960" spans="8:8" x14ac:dyDescent="0.3">
      <c r="H44960" t="str">
        <f t="shared" si="752"/>
        <v/>
      </c>
    </row>
    <row r="44961" spans="8:8" x14ac:dyDescent="0.3">
      <c r="H44961" t="str">
        <f t="shared" si="752"/>
        <v/>
      </c>
    </row>
    <row r="44962" spans="8:8" x14ac:dyDescent="0.3">
      <c r="H44962" t="str">
        <f t="shared" si="752"/>
        <v/>
      </c>
    </row>
    <row r="44963" spans="8:8" x14ac:dyDescent="0.3">
      <c r="H44963" t="str">
        <f t="shared" si="752"/>
        <v/>
      </c>
    </row>
    <row r="44964" spans="8:8" x14ac:dyDescent="0.3">
      <c r="H44964" t="str">
        <f t="shared" si="752"/>
        <v/>
      </c>
    </row>
    <row r="44965" spans="8:8" x14ac:dyDescent="0.3">
      <c r="H44965" t="str">
        <f t="shared" si="752"/>
        <v/>
      </c>
    </row>
    <row r="44966" spans="8:8" x14ac:dyDescent="0.3">
      <c r="H44966" t="str">
        <f t="shared" si="752"/>
        <v/>
      </c>
    </row>
    <row r="44967" spans="8:8" x14ac:dyDescent="0.3">
      <c r="H44967" t="str">
        <f t="shared" si="752"/>
        <v/>
      </c>
    </row>
    <row r="44968" spans="8:8" x14ac:dyDescent="0.3">
      <c r="H44968" t="str">
        <f t="shared" si="752"/>
        <v/>
      </c>
    </row>
    <row r="44969" spans="8:8" x14ac:dyDescent="0.3">
      <c r="H44969" t="str">
        <f t="shared" si="752"/>
        <v/>
      </c>
    </row>
    <row r="44970" spans="8:8" x14ac:dyDescent="0.3">
      <c r="H44970" t="str">
        <f t="shared" si="752"/>
        <v/>
      </c>
    </row>
    <row r="44971" spans="8:8" x14ac:dyDescent="0.3">
      <c r="H44971" t="str">
        <f t="shared" si="752"/>
        <v/>
      </c>
    </row>
    <row r="44972" spans="8:8" x14ac:dyDescent="0.3">
      <c r="H44972" t="str">
        <f t="shared" si="752"/>
        <v/>
      </c>
    </row>
    <row r="44973" spans="8:8" x14ac:dyDescent="0.3">
      <c r="H44973" t="str">
        <f t="shared" si="752"/>
        <v/>
      </c>
    </row>
    <row r="44974" spans="8:8" x14ac:dyDescent="0.3">
      <c r="H44974" t="str">
        <f t="shared" si="752"/>
        <v/>
      </c>
    </row>
    <row r="44975" spans="8:8" x14ac:dyDescent="0.3">
      <c r="H44975" t="str">
        <f t="shared" si="752"/>
        <v/>
      </c>
    </row>
    <row r="44976" spans="8:8" x14ac:dyDescent="0.3">
      <c r="H44976" t="str">
        <f t="shared" si="752"/>
        <v/>
      </c>
    </row>
    <row r="44977" spans="8:8" x14ac:dyDescent="0.3">
      <c r="H44977" t="str">
        <f t="shared" si="752"/>
        <v/>
      </c>
    </row>
    <row r="44978" spans="8:8" x14ac:dyDescent="0.3">
      <c r="H44978" t="str">
        <f t="shared" si="752"/>
        <v/>
      </c>
    </row>
    <row r="44979" spans="8:8" x14ac:dyDescent="0.3">
      <c r="H44979" t="str">
        <f t="shared" si="752"/>
        <v/>
      </c>
    </row>
    <row r="44980" spans="8:8" x14ac:dyDescent="0.3">
      <c r="H44980" t="str">
        <f t="shared" si="752"/>
        <v/>
      </c>
    </row>
    <row r="44981" spans="8:8" x14ac:dyDescent="0.3">
      <c r="H44981" t="str">
        <f t="shared" si="752"/>
        <v/>
      </c>
    </row>
    <row r="44982" spans="8:8" x14ac:dyDescent="0.3">
      <c r="H44982" t="str">
        <f t="shared" si="752"/>
        <v/>
      </c>
    </row>
    <row r="44983" spans="8:8" x14ac:dyDescent="0.3">
      <c r="H44983" t="str">
        <f t="shared" si="752"/>
        <v/>
      </c>
    </row>
    <row r="44984" spans="8:8" x14ac:dyDescent="0.3">
      <c r="H44984" t="str">
        <f t="shared" si="752"/>
        <v/>
      </c>
    </row>
    <row r="44985" spans="8:8" x14ac:dyDescent="0.3">
      <c r="H44985" t="str">
        <f t="shared" si="752"/>
        <v/>
      </c>
    </row>
    <row r="44986" spans="8:8" x14ac:dyDescent="0.3">
      <c r="H44986" t="str">
        <f t="shared" si="752"/>
        <v/>
      </c>
    </row>
    <row r="44987" spans="8:8" x14ac:dyDescent="0.3">
      <c r="H44987" t="str">
        <f t="shared" si="752"/>
        <v/>
      </c>
    </row>
    <row r="44988" spans="8:8" x14ac:dyDescent="0.3">
      <c r="H44988" t="str">
        <f t="shared" si="752"/>
        <v/>
      </c>
    </row>
    <row r="44989" spans="8:8" x14ac:dyDescent="0.3">
      <c r="H44989" t="str">
        <f t="shared" si="752"/>
        <v/>
      </c>
    </row>
    <row r="44990" spans="8:8" x14ac:dyDescent="0.3">
      <c r="H44990" t="str">
        <f t="shared" si="752"/>
        <v/>
      </c>
    </row>
    <row r="44991" spans="8:8" x14ac:dyDescent="0.3">
      <c r="H44991" t="str">
        <f t="shared" si="752"/>
        <v/>
      </c>
    </row>
    <row r="44992" spans="8:8" x14ac:dyDescent="0.3">
      <c r="H44992" t="str">
        <f t="shared" si="752"/>
        <v/>
      </c>
    </row>
    <row r="44993" spans="8:8" x14ac:dyDescent="0.3">
      <c r="H44993" t="str">
        <f t="shared" si="752"/>
        <v/>
      </c>
    </row>
    <row r="44994" spans="8:8" x14ac:dyDescent="0.3">
      <c r="H44994" t="str">
        <f t="shared" si="752"/>
        <v/>
      </c>
    </row>
    <row r="44995" spans="8:8" x14ac:dyDescent="0.3">
      <c r="H44995" t="str">
        <f t="shared" si="752"/>
        <v/>
      </c>
    </row>
    <row r="44996" spans="8:8" x14ac:dyDescent="0.3">
      <c r="H44996" t="str">
        <f t="shared" si="752"/>
        <v/>
      </c>
    </row>
    <row r="44997" spans="8:8" x14ac:dyDescent="0.3">
      <c r="H44997" t="str">
        <f t="shared" si="752"/>
        <v/>
      </c>
    </row>
    <row r="44998" spans="8:8" x14ac:dyDescent="0.3">
      <c r="H44998" t="str">
        <f t="shared" si="752"/>
        <v/>
      </c>
    </row>
    <row r="44999" spans="8:8" x14ac:dyDescent="0.3">
      <c r="H44999" t="str">
        <f t="shared" si="752"/>
        <v/>
      </c>
    </row>
    <row r="45000" spans="8:8" x14ac:dyDescent="0.3">
      <c r="H45000" t="str">
        <f t="shared" si="752"/>
        <v/>
      </c>
    </row>
    <row r="45001" spans="8:8" x14ac:dyDescent="0.3">
      <c r="H45001" t="str">
        <f t="shared" si="752"/>
        <v/>
      </c>
    </row>
    <row r="45002" spans="8:8" x14ac:dyDescent="0.3">
      <c r="H45002" t="str">
        <f t="shared" si="752"/>
        <v/>
      </c>
    </row>
    <row r="45003" spans="8:8" x14ac:dyDescent="0.3">
      <c r="H45003" t="str">
        <f t="shared" si="752"/>
        <v/>
      </c>
    </row>
    <row r="45004" spans="8:8" x14ac:dyDescent="0.3">
      <c r="H45004" t="str">
        <f t="shared" si="752"/>
        <v/>
      </c>
    </row>
    <row r="45005" spans="8:8" x14ac:dyDescent="0.3">
      <c r="H45005" t="str">
        <f t="shared" si="752"/>
        <v/>
      </c>
    </row>
    <row r="45006" spans="8:8" x14ac:dyDescent="0.3">
      <c r="H45006" t="str">
        <f t="shared" si="752"/>
        <v/>
      </c>
    </row>
    <row r="45007" spans="8:8" x14ac:dyDescent="0.3">
      <c r="H45007" t="str">
        <f t="shared" si="752"/>
        <v/>
      </c>
    </row>
    <row r="45008" spans="8:8" x14ac:dyDescent="0.3">
      <c r="H45008" t="str">
        <f t="shared" si="752"/>
        <v/>
      </c>
    </row>
    <row r="45009" spans="8:8" x14ac:dyDescent="0.3">
      <c r="H45009" t="str">
        <f t="shared" si="752"/>
        <v/>
      </c>
    </row>
    <row r="45010" spans="8:8" x14ac:dyDescent="0.3">
      <c r="H45010" t="str">
        <f t="shared" si="752"/>
        <v/>
      </c>
    </row>
    <row r="45011" spans="8:8" x14ac:dyDescent="0.3">
      <c r="H45011" t="str">
        <f t="shared" si="752"/>
        <v/>
      </c>
    </row>
    <row r="45012" spans="8:8" x14ac:dyDescent="0.3">
      <c r="H45012" t="str">
        <f t="shared" si="752"/>
        <v/>
      </c>
    </row>
    <row r="45013" spans="8:8" x14ac:dyDescent="0.3">
      <c r="H45013" t="str">
        <f t="shared" si="752"/>
        <v/>
      </c>
    </row>
    <row r="45014" spans="8:8" x14ac:dyDescent="0.3">
      <c r="H45014" t="str">
        <f t="shared" si="752"/>
        <v/>
      </c>
    </row>
    <row r="45015" spans="8:8" x14ac:dyDescent="0.3">
      <c r="H45015" t="str">
        <f t="shared" ref="H45015:H45078" si="753">IF(B45015="","",$C$12)</f>
        <v/>
      </c>
    </row>
    <row r="45016" spans="8:8" x14ac:dyDescent="0.3">
      <c r="H45016" t="str">
        <f t="shared" si="753"/>
        <v/>
      </c>
    </row>
    <row r="45017" spans="8:8" x14ac:dyDescent="0.3">
      <c r="H45017" t="str">
        <f t="shared" si="753"/>
        <v/>
      </c>
    </row>
    <row r="45018" spans="8:8" x14ac:dyDescent="0.3">
      <c r="H45018" t="str">
        <f t="shared" si="753"/>
        <v/>
      </c>
    </row>
    <row r="45019" spans="8:8" x14ac:dyDescent="0.3">
      <c r="H45019" t="str">
        <f t="shared" si="753"/>
        <v/>
      </c>
    </row>
    <row r="45020" spans="8:8" x14ac:dyDescent="0.3">
      <c r="H45020" t="str">
        <f t="shared" si="753"/>
        <v/>
      </c>
    </row>
    <row r="45021" spans="8:8" x14ac:dyDescent="0.3">
      <c r="H45021" t="str">
        <f t="shared" si="753"/>
        <v/>
      </c>
    </row>
    <row r="45022" spans="8:8" x14ac:dyDescent="0.3">
      <c r="H45022" t="str">
        <f t="shared" si="753"/>
        <v/>
      </c>
    </row>
    <row r="45023" spans="8:8" x14ac:dyDescent="0.3">
      <c r="H45023" t="str">
        <f t="shared" si="753"/>
        <v/>
      </c>
    </row>
    <row r="45024" spans="8:8" x14ac:dyDescent="0.3">
      <c r="H45024" t="str">
        <f t="shared" si="753"/>
        <v/>
      </c>
    </row>
    <row r="45025" spans="8:8" x14ac:dyDescent="0.3">
      <c r="H45025" t="str">
        <f t="shared" si="753"/>
        <v/>
      </c>
    </row>
    <row r="45026" spans="8:8" x14ac:dyDescent="0.3">
      <c r="H45026" t="str">
        <f t="shared" si="753"/>
        <v/>
      </c>
    </row>
    <row r="45027" spans="8:8" x14ac:dyDescent="0.3">
      <c r="H45027" t="str">
        <f t="shared" si="753"/>
        <v/>
      </c>
    </row>
    <row r="45028" spans="8:8" x14ac:dyDescent="0.3">
      <c r="H45028" t="str">
        <f t="shared" si="753"/>
        <v/>
      </c>
    </row>
    <row r="45029" spans="8:8" x14ac:dyDescent="0.3">
      <c r="H45029" t="str">
        <f t="shared" si="753"/>
        <v/>
      </c>
    </row>
    <row r="45030" spans="8:8" x14ac:dyDescent="0.3">
      <c r="H45030" t="str">
        <f t="shared" si="753"/>
        <v/>
      </c>
    </row>
    <row r="45031" spans="8:8" x14ac:dyDescent="0.3">
      <c r="H45031" t="str">
        <f t="shared" si="753"/>
        <v/>
      </c>
    </row>
    <row r="45032" spans="8:8" x14ac:dyDescent="0.3">
      <c r="H45032" t="str">
        <f t="shared" si="753"/>
        <v/>
      </c>
    </row>
    <row r="45033" spans="8:8" x14ac:dyDescent="0.3">
      <c r="H45033" t="str">
        <f t="shared" si="753"/>
        <v/>
      </c>
    </row>
    <row r="45034" spans="8:8" x14ac:dyDescent="0.3">
      <c r="H45034" t="str">
        <f t="shared" si="753"/>
        <v/>
      </c>
    </row>
    <row r="45035" spans="8:8" x14ac:dyDescent="0.3">
      <c r="H45035" t="str">
        <f t="shared" si="753"/>
        <v/>
      </c>
    </row>
    <row r="45036" spans="8:8" x14ac:dyDescent="0.3">
      <c r="H45036" t="str">
        <f t="shared" si="753"/>
        <v/>
      </c>
    </row>
    <row r="45037" spans="8:8" x14ac:dyDescent="0.3">
      <c r="H45037" t="str">
        <f t="shared" si="753"/>
        <v/>
      </c>
    </row>
    <row r="45038" spans="8:8" x14ac:dyDescent="0.3">
      <c r="H45038" t="str">
        <f t="shared" si="753"/>
        <v/>
      </c>
    </row>
    <row r="45039" spans="8:8" x14ac:dyDescent="0.3">
      <c r="H45039" t="str">
        <f t="shared" si="753"/>
        <v/>
      </c>
    </row>
    <row r="45040" spans="8:8" x14ac:dyDescent="0.3">
      <c r="H45040" t="str">
        <f t="shared" si="753"/>
        <v/>
      </c>
    </row>
    <row r="45041" spans="8:8" x14ac:dyDescent="0.3">
      <c r="H45041" t="str">
        <f t="shared" si="753"/>
        <v/>
      </c>
    </row>
    <row r="45042" spans="8:8" x14ac:dyDescent="0.3">
      <c r="H45042" t="str">
        <f t="shared" si="753"/>
        <v/>
      </c>
    </row>
    <row r="45043" spans="8:8" x14ac:dyDescent="0.3">
      <c r="H45043" t="str">
        <f t="shared" si="753"/>
        <v/>
      </c>
    </row>
    <row r="45044" spans="8:8" x14ac:dyDescent="0.3">
      <c r="H45044" t="str">
        <f t="shared" si="753"/>
        <v/>
      </c>
    </row>
    <row r="45045" spans="8:8" x14ac:dyDescent="0.3">
      <c r="H45045" t="str">
        <f t="shared" si="753"/>
        <v/>
      </c>
    </row>
    <row r="45046" spans="8:8" x14ac:dyDescent="0.3">
      <c r="H45046" t="str">
        <f t="shared" si="753"/>
        <v/>
      </c>
    </row>
    <row r="45047" spans="8:8" x14ac:dyDescent="0.3">
      <c r="H45047" t="str">
        <f t="shared" si="753"/>
        <v/>
      </c>
    </row>
    <row r="45048" spans="8:8" x14ac:dyDescent="0.3">
      <c r="H45048" t="str">
        <f t="shared" si="753"/>
        <v/>
      </c>
    </row>
    <row r="45049" spans="8:8" x14ac:dyDescent="0.3">
      <c r="H45049" t="str">
        <f t="shared" si="753"/>
        <v/>
      </c>
    </row>
    <row r="45050" spans="8:8" x14ac:dyDescent="0.3">
      <c r="H45050" t="str">
        <f t="shared" si="753"/>
        <v/>
      </c>
    </row>
    <row r="45051" spans="8:8" x14ac:dyDescent="0.3">
      <c r="H45051" t="str">
        <f t="shared" si="753"/>
        <v/>
      </c>
    </row>
    <row r="45052" spans="8:8" x14ac:dyDescent="0.3">
      <c r="H45052" t="str">
        <f t="shared" si="753"/>
        <v/>
      </c>
    </row>
    <row r="45053" spans="8:8" x14ac:dyDescent="0.3">
      <c r="H45053" t="str">
        <f t="shared" si="753"/>
        <v/>
      </c>
    </row>
    <row r="45054" spans="8:8" x14ac:dyDescent="0.3">
      <c r="H45054" t="str">
        <f t="shared" si="753"/>
        <v/>
      </c>
    </row>
    <row r="45055" spans="8:8" x14ac:dyDescent="0.3">
      <c r="H45055" t="str">
        <f t="shared" si="753"/>
        <v/>
      </c>
    </row>
    <row r="45056" spans="8:8" x14ac:dyDescent="0.3">
      <c r="H45056" t="str">
        <f t="shared" si="753"/>
        <v/>
      </c>
    </row>
    <row r="45057" spans="8:8" x14ac:dyDescent="0.3">
      <c r="H45057" t="str">
        <f t="shared" si="753"/>
        <v/>
      </c>
    </row>
    <row r="45058" spans="8:8" x14ac:dyDescent="0.3">
      <c r="H45058" t="str">
        <f t="shared" si="753"/>
        <v/>
      </c>
    </row>
    <row r="45059" spans="8:8" x14ac:dyDescent="0.3">
      <c r="H45059" t="str">
        <f t="shared" si="753"/>
        <v/>
      </c>
    </row>
    <row r="45060" spans="8:8" x14ac:dyDescent="0.3">
      <c r="H45060" t="str">
        <f t="shared" si="753"/>
        <v/>
      </c>
    </row>
    <row r="45061" spans="8:8" x14ac:dyDescent="0.3">
      <c r="H45061" t="str">
        <f t="shared" si="753"/>
        <v/>
      </c>
    </row>
    <row r="45062" spans="8:8" x14ac:dyDescent="0.3">
      <c r="H45062" t="str">
        <f t="shared" si="753"/>
        <v/>
      </c>
    </row>
    <row r="45063" spans="8:8" x14ac:dyDescent="0.3">
      <c r="H45063" t="str">
        <f t="shared" si="753"/>
        <v/>
      </c>
    </row>
    <row r="45064" spans="8:8" x14ac:dyDescent="0.3">
      <c r="H45064" t="str">
        <f t="shared" si="753"/>
        <v/>
      </c>
    </row>
    <row r="45065" spans="8:8" x14ac:dyDescent="0.3">
      <c r="H45065" t="str">
        <f t="shared" si="753"/>
        <v/>
      </c>
    </row>
    <row r="45066" spans="8:8" x14ac:dyDescent="0.3">
      <c r="H45066" t="str">
        <f t="shared" si="753"/>
        <v/>
      </c>
    </row>
    <row r="45067" spans="8:8" x14ac:dyDescent="0.3">
      <c r="H45067" t="str">
        <f t="shared" si="753"/>
        <v/>
      </c>
    </row>
    <row r="45068" spans="8:8" x14ac:dyDescent="0.3">
      <c r="H45068" t="str">
        <f t="shared" si="753"/>
        <v/>
      </c>
    </row>
    <row r="45069" spans="8:8" x14ac:dyDescent="0.3">
      <c r="H45069" t="str">
        <f t="shared" si="753"/>
        <v/>
      </c>
    </row>
    <row r="45070" spans="8:8" x14ac:dyDescent="0.3">
      <c r="H45070" t="str">
        <f t="shared" si="753"/>
        <v/>
      </c>
    </row>
    <row r="45071" spans="8:8" x14ac:dyDescent="0.3">
      <c r="H45071" t="str">
        <f t="shared" si="753"/>
        <v/>
      </c>
    </row>
    <row r="45072" spans="8:8" x14ac:dyDescent="0.3">
      <c r="H45072" t="str">
        <f t="shared" si="753"/>
        <v/>
      </c>
    </row>
    <row r="45073" spans="8:8" x14ac:dyDescent="0.3">
      <c r="H45073" t="str">
        <f t="shared" si="753"/>
        <v/>
      </c>
    </row>
    <row r="45074" spans="8:8" x14ac:dyDescent="0.3">
      <c r="H45074" t="str">
        <f t="shared" si="753"/>
        <v/>
      </c>
    </row>
    <row r="45075" spans="8:8" x14ac:dyDescent="0.3">
      <c r="H45075" t="str">
        <f t="shared" si="753"/>
        <v/>
      </c>
    </row>
    <row r="45076" spans="8:8" x14ac:dyDescent="0.3">
      <c r="H45076" t="str">
        <f t="shared" si="753"/>
        <v/>
      </c>
    </row>
    <row r="45077" spans="8:8" x14ac:dyDescent="0.3">
      <c r="H45077" t="str">
        <f t="shared" si="753"/>
        <v/>
      </c>
    </row>
    <row r="45078" spans="8:8" x14ac:dyDescent="0.3">
      <c r="H45078" t="str">
        <f t="shared" si="753"/>
        <v/>
      </c>
    </row>
    <row r="45079" spans="8:8" x14ac:dyDescent="0.3">
      <c r="H45079" t="str">
        <f t="shared" ref="H45079:H45142" si="754">IF(B45079="","",$C$12)</f>
        <v/>
      </c>
    </row>
    <row r="45080" spans="8:8" x14ac:dyDescent="0.3">
      <c r="H45080" t="str">
        <f t="shared" si="754"/>
        <v/>
      </c>
    </row>
    <row r="45081" spans="8:8" x14ac:dyDescent="0.3">
      <c r="H45081" t="str">
        <f t="shared" si="754"/>
        <v/>
      </c>
    </row>
    <row r="45082" spans="8:8" x14ac:dyDescent="0.3">
      <c r="H45082" t="str">
        <f t="shared" si="754"/>
        <v/>
      </c>
    </row>
    <row r="45083" spans="8:8" x14ac:dyDescent="0.3">
      <c r="H45083" t="str">
        <f t="shared" si="754"/>
        <v/>
      </c>
    </row>
    <row r="45084" spans="8:8" x14ac:dyDescent="0.3">
      <c r="H45084" t="str">
        <f t="shared" si="754"/>
        <v/>
      </c>
    </row>
    <row r="45085" spans="8:8" x14ac:dyDescent="0.3">
      <c r="H45085" t="str">
        <f t="shared" si="754"/>
        <v/>
      </c>
    </row>
    <row r="45086" spans="8:8" x14ac:dyDescent="0.3">
      <c r="H45086" t="str">
        <f t="shared" si="754"/>
        <v/>
      </c>
    </row>
    <row r="45087" spans="8:8" x14ac:dyDescent="0.3">
      <c r="H45087" t="str">
        <f t="shared" si="754"/>
        <v/>
      </c>
    </row>
    <row r="45088" spans="8:8" x14ac:dyDescent="0.3">
      <c r="H45088" t="str">
        <f t="shared" si="754"/>
        <v/>
      </c>
    </row>
    <row r="45089" spans="8:8" x14ac:dyDescent="0.3">
      <c r="H45089" t="str">
        <f t="shared" si="754"/>
        <v/>
      </c>
    </row>
    <row r="45090" spans="8:8" x14ac:dyDescent="0.3">
      <c r="H45090" t="str">
        <f t="shared" si="754"/>
        <v/>
      </c>
    </row>
    <row r="45091" spans="8:8" x14ac:dyDescent="0.3">
      <c r="H45091" t="str">
        <f t="shared" si="754"/>
        <v/>
      </c>
    </row>
    <row r="45092" spans="8:8" x14ac:dyDescent="0.3">
      <c r="H45092" t="str">
        <f t="shared" si="754"/>
        <v/>
      </c>
    </row>
    <row r="45093" spans="8:8" x14ac:dyDescent="0.3">
      <c r="H45093" t="str">
        <f t="shared" si="754"/>
        <v/>
      </c>
    </row>
    <row r="45094" spans="8:8" x14ac:dyDescent="0.3">
      <c r="H45094" t="str">
        <f t="shared" si="754"/>
        <v/>
      </c>
    </row>
    <row r="45095" spans="8:8" x14ac:dyDescent="0.3">
      <c r="H45095" t="str">
        <f t="shared" si="754"/>
        <v/>
      </c>
    </row>
    <row r="45096" spans="8:8" x14ac:dyDescent="0.3">
      <c r="H45096" t="str">
        <f t="shared" si="754"/>
        <v/>
      </c>
    </row>
    <row r="45097" spans="8:8" x14ac:dyDescent="0.3">
      <c r="H45097" t="str">
        <f t="shared" si="754"/>
        <v/>
      </c>
    </row>
    <row r="45098" spans="8:8" x14ac:dyDescent="0.3">
      <c r="H45098" t="str">
        <f t="shared" si="754"/>
        <v/>
      </c>
    </row>
    <row r="45099" spans="8:8" x14ac:dyDescent="0.3">
      <c r="H45099" t="str">
        <f t="shared" si="754"/>
        <v/>
      </c>
    </row>
    <row r="45100" spans="8:8" x14ac:dyDescent="0.3">
      <c r="H45100" t="str">
        <f t="shared" si="754"/>
        <v/>
      </c>
    </row>
    <row r="45101" spans="8:8" x14ac:dyDescent="0.3">
      <c r="H45101" t="str">
        <f t="shared" si="754"/>
        <v/>
      </c>
    </row>
    <row r="45102" spans="8:8" x14ac:dyDescent="0.3">
      <c r="H45102" t="str">
        <f t="shared" si="754"/>
        <v/>
      </c>
    </row>
    <row r="45103" spans="8:8" x14ac:dyDescent="0.3">
      <c r="H45103" t="str">
        <f t="shared" si="754"/>
        <v/>
      </c>
    </row>
    <row r="45104" spans="8:8" x14ac:dyDescent="0.3">
      <c r="H45104" t="str">
        <f t="shared" si="754"/>
        <v/>
      </c>
    </row>
    <row r="45105" spans="8:8" x14ac:dyDescent="0.3">
      <c r="H45105" t="str">
        <f t="shared" si="754"/>
        <v/>
      </c>
    </row>
    <row r="45106" spans="8:8" x14ac:dyDescent="0.3">
      <c r="H45106" t="str">
        <f t="shared" si="754"/>
        <v/>
      </c>
    </row>
    <row r="45107" spans="8:8" x14ac:dyDescent="0.3">
      <c r="H45107" t="str">
        <f t="shared" si="754"/>
        <v/>
      </c>
    </row>
    <row r="45108" spans="8:8" x14ac:dyDescent="0.3">
      <c r="H45108" t="str">
        <f t="shared" si="754"/>
        <v/>
      </c>
    </row>
    <row r="45109" spans="8:8" x14ac:dyDescent="0.3">
      <c r="H45109" t="str">
        <f t="shared" si="754"/>
        <v/>
      </c>
    </row>
    <row r="45110" spans="8:8" x14ac:dyDescent="0.3">
      <c r="H45110" t="str">
        <f t="shared" si="754"/>
        <v/>
      </c>
    </row>
    <row r="45111" spans="8:8" x14ac:dyDescent="0.3">
      <c r="H45111" t="str">
        <f t="shared" si="754"/>
        <v/>
      </c>
    </row>
    <row r="45112" spans="8:8" x14ac:dyDescent="0.3">
      <c r="H45112" t="str">
        <f t="shared" si="754"/>
        <v/>
      </c>
    </row>
    <row r="45113" spans="8:8" x14ac:dyDescent="0.3">
      <c r="H45113" t="str">
        <f t="shared" si="754"/>
        <v/>
      </c>
    </row>
    <row r="45114" spans="8:8" x14ac:dyDescent="0.3">
      <c r="H45114" t="str">
        <f t="shared" si="754"/>
        <v/>
      </c>
    </row>
    <row r="45115" spans="8:8" x14ac:dyDescent="0.3">
      <c r="H45115" t="str">
        <f t="shared" si="754"/>
        <v/>
      </c>
    </row>
    <row r="45116" spans="8:8" x14ac:dyDescent="0.3">
      <c r="H45116" t="str">
        <f t="shared" si="754"/>
        <v/>
      </c>
    </row>
    <row r="45117" spans="8:8" x14ac:dyDescent="0.3">
      <c r="H45117" t="str">
        <f t="shared" si="754"/>
        <v/>
      </c>
    </row>
    <row r="45118" spans="8:8" x14ac:dyDescent="0.3">
      <c r="H45118" t="str">
        <f t="shared" si="754"/>
        <v/>
      </c>
    </row>
    <row r="45119" spans="8:8" x14ac:dyDescent="0.3">
      <c r="H45119" t="str">
        <f t="shared" si="754"/>
        <v/>
      </c>
    </row>
    <row r="45120" spans="8:8" x14ac:dyDescent="0.3">
      <c r="H45120" t="str">
        <f t="shared" si="754"/>
        <v/>
      </c>
    </row>
    <row r="45121" spans="8:8" x14ac:dyDescent="0.3">
      <c r="H45121" t="str">
        <f t="shared" si="754"/>
        <v/>
      </c>
    </row>
    <row r="45122" spans="8:8" x14ac:dyDescent="0.3">
      <c r="H45122" t="str">
        <f t="shared" si="754"/>
        <v/>
      </c>
    </row>
    <row r="45123" spans="8:8" x14ac:dyDescent="0.3">
      <c r="H45123" t="str">
        <f t="shared" si="754"/>
        <v/>
      </c>
    </row>
    <row r="45124" spans="8:8" x14ac:dyDescent="0.3">
      <c r="H45124" t="str">
        <f t="shared" si="754"/>
        <v/>
      </c>
    </row>
    <row r="45125" spans="8:8" x14ac:dyDescent="0.3">
      <c r="H45125" t="str">
        <f t="shared" si="754"/>
        <v/>
      </c>
    </row>
    <row r="45126" spans="8:8" x14ac:dyDescent="0.3">
      <c r="H45126" t="str">
        <f t="shared" si="754"/>
        <v/>
      </c>
    </row>
    <row r="45127" spans="8:8" x14ac:dyDescent="0.3">
      <c r="H45127" t="str">
        <f t="shared" si="754"/>
        <v/>
      </c>
    </row>
    <row r="45128" spans="8:8" x14ac:dyDescent="0.3">
      <c r="H45128" t="str">
        <f t="shared" si="754"/>
        <v/>
      </c>
    </row>
    <row r="45129" spans="8:8" x14ac:dyDescent="0.3">
      <c r="H45129" t="str">
        <f t="shared" si="754"/>
        <v/>
      </c>
    </row>
    <row r="45130" spans="8:8" x14ac:dyDescent="0.3">
      <c r="H45130" t="str">
        <f t="shared" si="754"/>
        <v/>
      </c>
    </row>
    <row r="45131" spans="8:8" x14ac:dyDescent="0.3">
      <c r="H45131" t="str">
        <f t="shared" si="754"/>
        <v/>
      </c>
    </row>
    <row r="45132" spans="8:8" x14ac:dyDescent="0.3">
      <c r="H45132" t="str">
        <f t="shared" si="754"/>
        <v/>
      </c>
    </row>
    <row r="45133" spans="8:8" x14ac:dyDescent="0.3">
      <c r="H45133" t="str">
        <f t="shared" si="754"/>
        <v/>
      </c>
    </row>
    <row r="45134" spans="8:8" x14ac:dyDescent="0.3">
      <c r="H45134" t="str">
        <f t="shared" si="754"/>
        <v/>
      </c>
    </row>
    <row r="45135" spans="8:8" x14ac:dyDescent="0.3">
      <c r="H45135" t="str">
        <f t="shared" si="754"/>
        <v/>
      </c>
    </row>
    <row r="45136" spans="8:8" x14ac:dyDescent="0.3">
      <c r="H45136" t="str">
        <f t="shared" si="754"/>
        <v/>
      </c>
    </row>
    <row r="45137" spans="8:8" x14ac:dyDescent="0.3">
      <c r="H45137" t="str">
        <f t="shared" si="754"/>
        <v/>
      </c>
    </row>
    <row r="45138" spans="8:8" x14ac:dyDescent="0.3">
      <c r="H45138" t="str">
        <f t="shared" si="754"/>
        <v/>
      </c>
    </row>
    <row r="45139" spans="8:8" x14ac:dyDescent="0.3">
      <c r="H45139" t="str">
        <f t="shared" si="754"/>
        <v/>
      </c>
    </row>
    <row r="45140" spans="8:8" x14ac:dyDescent="0.3">
      <c r="H45140" t="str">
        <f t="shared" si="754"/>
        <v/>
      </c>
    </row>
    <row r="45141" spans="8:8" x14ac:dyDescent="0.3">
      <c r="H45141" t="str">
        <f t="shared" si="754"/>
        <v/>
      </c>
    </row>
    <row r="45142" spans="8:8" x14ac:dyDescent="0.3">
      <c r="H45142" t="str">
        <f t="shared" si="754"/>
        <v/>
      </c>
    </row>
    <row r="45143" spans="8:8" x14ac:dyDescent="0.3">
      <c r="H45143" t="str">
        <f t="shared" ref="H45143:H45206" si="755">IF(B45143="","",$C$12)</f>
        <v/>
      </c>
    </row>
    <row r="45144" spans="8:8" x14ac:dyDescent="0.3">
      <c r="H45144" t="str">
        <f t="shared" si="755"/>
        <v/>
      </c>
    </row>
    <row r="45145" spans="8:8" x14ac:dyDescent="0.3">
      <c r="H45145" t="str">
        <f t="shared" si="755"/>
        <v/>
      </c>
    </row>
    <row r="45146" spans="8:8" x14ac:dyDescent="0.3">
      <c r="H45146" t="str">
        <f t="shared" si="755"/>
        <v/>
      </c>
    </row>
    <row r="45147" spans="8:8" x14ac:dyDescent="0.3">
      <c r="H45147" t="str">
        <f t="shared" si="755"/>
        <v/>
      </c>
    </row>
    <row r="45148" spans="8:8" x14ac:dyDescent="0.3">
      <c r="H45148" t="str">
        <f t="shared" si="755"/>
        <v/>
      </c>
    </row>
    <row r="45149" spans="8:8" x14ac:dyDescent="0.3">
      <c r="H45149" t="str">
        <f t="shared" si="755"/>
        <v/>
      </c>
    </row>
    <row r="45150" spans="8:8" x14ac:dyDescent="0.3">
      <c r="H45150" t="str">
        <f t="shared" si="755"/>
        <v/>
      </c>
    </row>
    <row r="45151" spans="8:8" x14ac:dyDescent="0.3">
      <c r="H45151" t="str">
        <f t="shared" si="755"/>
        <v/>
      </c>
    </row>
    <row r="45152" spans="8:8" x14ac:dyDescent="0.3">
      <c r="H45152" t="str">
        <f t="shared" si="755"/>
        <v/>
      </c>
    </row>
    <row r="45153" spans="8:8" x14ac:dyDescent="0.3">
      <c r="H45153" t="str">
        <f t="shared" si="755"/>
        <v/>
      </c>
    </row>
    <row r="45154" spans="8:8" x14ac:dyDescent="0.3">
      <c r="H45154" t="str">
        <f t="shared" si="755"/>
        <v/>
      </c>
    </row>
    <row r="45155" spans="8:8" x14ac:dyDescent="0.3">
      <c r="H45155" t="str">
        <f t="shared" si="755"/>
        <v/>
      </c>
    </row>
    <row r="45156" spans="8:8" x14ac:dyDescent="0.3">
      <c r="H45156" t="str">
        <f t="shared" si="755"/>
        <v/>
      </c>
    </row>
    <row r="45157" spans="8:8" x14ac:dyDescent="0.3">
      <c r="H45157" t="str">
        <f t="shared" si="755"/>
        <v/>
      </c>
    </row>
    <row r="45158" spans="8:8" x14ac:dyDescent="0.3">
      <c r="H45158" t="str">
        <f t="shared" si="755"/>
        <v/>
      </c>
    </row>
    <row r="45159" spans="8:8" x14ac:dyDescent="0.3">
      <c r="H45159" t="str">
        <f t="shared" si="755"/>
        <v/>
      </c>
    </row>
    <row r="45160" spans="8:8" x14ac:dyDescent="0.3">
      <c r="H45160" t="str">
        <f t="shared" si="755"/>
        <v/>
      </c>
    </row>
    <row r="45161" spans="8:8" x14ac:dyDescent="0.3">
      <c r="H45161" t="str">
        <f t="shared" si="755"/>
        <v/>
      </c>
    </row>
    <row r="45162" spans="8:8" x14ac:dyDescent="0.3">
      <c r="H45162" t="str">
        <f t="shared" si="755"/>
        <v/>
      </c>
    </row>
    <row r="45163" spans="8:8" x14ac:dyDescent="0.3">
      <c r="H45163" t="str">
        <f t="shared" si="755"/>
        <v/>
      </c>
    </row>
    <row r="45164" spans="8:8" x14ac:dyDescent="0.3">
      <c r="H45164" t="str">
        <f t="shared" si="755"/>
        <v/>
      </c>
    </row>
    <row r="45165" spans="8:8" x14ac:dyDescent="0.3">
      <c r="H45165" t="str">
        <f t="shared" si="755"/>
        <v/>
      </c>
    </row>
    <row r="45166" spans="8:8" x14ac:dyDescent="0.3">
      <c r="H45166" t="str">
        <f t="shared" si="755"/>
        <v/>
      </c>
    </row>
    <row r="45167" spans="8:8" x14ac:dyDescent="0.3">
      <c r="H45167" t="str">
        <f t="shared" si="755"/>
        <v/>
      </c>
    </row>
    <row r="45168" spans="8:8" x14ac:dyDescent="0.3">
      <c r="H45168" t="str">
        <f t="shared" si="755"/>
        <v/>
      </c>
    </row>
    <row r="45169" spans="8:8" x14ac:dyDescent="0.3">
      <c r="H45169" t="str">
        <f t="shared" si="755"/>
        <v/>
      </c>
    </row>
    <row r="45170" spans="8:8" x14ac:dyDescent="0.3">
      <c r="H45170" t="str">
        <f t="shared" si="755"/>
        <v/>
      </c>
    </row>
    <row r="45171" spans="8:8" x14ac:dyDescent="0.3">
      <c r="H45171" t="str">
        <f t="shared" si="755"/>
        <v/>
      </c>
    </row>
    <row r="45172" spans="8:8" x14ac:dyDescent="0.3">
      <c r="H45172" t="str">
        <f t="shared" si="755"/>
        <v/>
      </c>
    </row>
    <row r="45173" spans="8:8" x14ac:dyDescent="0.3">
      <c r="H45173" t="str">
        <f t="shared" si="755"/>
        <v/>
      </c>
    </row>
    <row r="45174" spans="8:8" x14ac:dyDescent="0.3">
      <c r="H45174" t="str">
        <f t="shared" si="755"/>
        <v/>
      </c>
    </row>
    <row r="45175" spans="8:8" x14ac:dyDescent="0.3">
      <c r="H45175" t="str">
        <f t="shared" si="755"/>
        <v/>
      </c>
    </row>
    <row r="45176" spans="8:8" x14ac:dyDescent="0.3">
      <c r="H45176" t="str">
        <f t="shared" si="755"/>
        <v/>
      </c>
    </row>
    <row r="45177" spans="8:8" x14ac:dyDescent="0.3">
      <c r="H45177" t="str">
        <f t="shared" si="755"/>
        <v/>
      </c>
    </row>
    <row r="45178" spans="8:8" x14ac:dyDescent="0.3">
      <c r="H45178" t="str">
        <f t="shared" si="755"/>
        <v/>
      </c>
    </row>
    <row r="45179" spans="8:8" x14ac:dyDescent="0.3">
      <c r="H45179" t="str">
        <f t="shared" si="755"/>
        <v/>
      </c>
    </row>
    <row r="45180" spans="8:8" x14ac:dyDescent="0.3">
      <c r="H45180" t="str">
        <f t="shared" si="755"/>
        <v/>
      </c>
    </row>
    <row r="45181" spans="8:8" x14ac:dyDescent="0.3">
      <c r="H45181" t="str">
        <f t="shared" si="755"/>
        <v/>
      </c>
    </row>
    <row r="45182" spans="8:8" x14ac:dyDescent="0.3">
      <c r="H45182" t="str">
        <f t="shared" si="755"/>
        <v/>
      </c>
    </row>
    <row r="45183" spans="8:8" x14ac:dyDescent="0.3">
      <c r="H45183" t="str">
        <f t="shared" si="755"/>
        <v/>
      </c>
    </row>
    <row r="45184" spans="8:8" x14ac:dyDescent="0.3">
      <c r="H45184" t="str">
        <f t="shared" si="755"/>
        <v/>
      </c>
    </row>
    <row r="45185" spans="8:8" x14ac:dyDescent="0.3">
      <c r="H45185" t="str">
        <f t="shared" si="755"/>
        <v/>
      </c>
    </row>
    <row r="45186" spans="8:8" x14ac:dyDescent="0.3">
      <c r="H45186" t="str">
        <f t="shared" si="755"/>
        <v/>
      </c>
    </row>
    <row r="45187" spans="8:8" x14ac:dyDescent="0.3">
      <c r="H45187" t="str">
        <f t="shared" si="755"/>
        <v/>
      </c>
    </row>
    <row r="45188" spans="8:8" x14ac:dyDescent="0.3">
      <c r="H45188" t="str">
        <f t="shared" si="755"/>
        <v/>
      </c>
    </row>
    <row r="45189" spans="8:8" x14ac:dyDescent="0.3">
      <c r="H45189" t="str">
        <f t="shared" si="755"/>
        <v/>
      </c>
    </row>
    <row r="45190" spans="8:8" x14ac:dyDescent="0.3">
      <c r="H45190" t="str">
        <f t="shared" si="755"/>
        <v/>
      </c>
    </row>
    <row r="45191" spans="8:8" x14ac:dyDescent="0.3">
      <c r="H45191" t="str">
        <f t="shared" si="755"/>
        <v/>
      </c>
    </row>
    <row r="45192" spans="8:8" x14ac:dyDescent="0.3">
      <c r="H45192" t="str">
        <f t="shared" si="755"/>
        <v/>
      </c>
    </row>
    <row r="45193" spans="8:8" x14ac:dyDescent="0.3">
      <c r="H45193" t="str">
        <f t="shared" si="755"/>
        <v/>
      </c>
    </row>
    <row r="45194" spans="8:8" x14ac:dyDescent="0.3">
      <c r="H45194" t="str">
        <f t="shared" si="755"/>
        <v/>
      </c>
    </row>
    <row r="45195" spans="8:8" x14ac:dyDescent="0.3">
      <c r="H45195" t="str">
        <f t="shared" si="755"/>
        <v/>
      </c>
    </row>
    <row r="45196" spans="8:8" x14ac:dyDescent="0.3">
      <c r="H45196" t="str">
        <f t="shared" si="755"/>
        <v/>
      </c>
    </row>
    <row r="45197" spans="8:8" x14ac:dyDescent="0.3">
      <c r="H45197" t="str">
        <f t="shared" si="755"/>
        <v/>
      </c>
    </row>
    <row r="45198" spans="8:8" x14ac:dyDescent="0.3">
      <c r="H45198" t="str">
        <f t="shared" si="755"/>
        <v/>
      </c>
    </row>
    <row r="45199" spans="8:8" x14ac:dyDescent="0.3">
      <c r="H45199" t="str">
        <f t="shared" si="755"/>
        <v/>
      </c>
    </row>
    <row r="45200" spans="8:8" x14ac:dyDescent="0.3">
      <c r="H45200" t="str">
        <f t="shared" si="755"/>
        <v/>
      </c>
    </row>
    <row r="45201" spans="8:8" x14ac:dyDescent="0.3">
      <c r="H45201" t="str">
        <f t="shared" si="755"/>
        <v/>
      </c>
    </row>
    <row r="45202" spans="8:8" x14ac:dyDescent="0.3">
      <c r="H45202" t="str">
        <f t="shared" si="755"/>
        <v/>
      </c>
    </row>
    <row r="45203" spans="8:8" x14ac:dyDescent="0.3">
      <c r="H45203" t="str">
        <f t="shared" si="755"/>
        <v/>
      </c>
    </row>
    <row r="45204" spans="8:8" x14ac:dyDescent="0.3">
      <c r="H45204" t="str">
        <f t="shared" si="755"/>
        <v/>
      </c>
    </row>
    <row r="45205" spans="8:8" x14ac:dyDescent="0.3">
      <c r="H45205" t="str">
        <f t="shared" si="755"/>
        <v/>
      </c>
    </row>
    <row r="45206" spans="8:8" x14ac:dyDescent="0.3">
      <c r="H45206" t="str">
        <f t="shared" si="755"/>
        <v/>
      </c>
    </row>
    <row r="45207" spans="8:8" x14ac:dyDescent="0.3">
      <c r="H45207" t="str">
        <f t="shared" ref="H45207:H45270" si="756">IF(B45207="","",$C$12)</f>
        <v/>
      </c>
    </row>
    <row r="45208" spans="8:8" x14ac:dyDescent="0.3">
      <c r="H45208" t="str">
        <f t="shared" si="756"/>
        <v/>
      </c>
    </row>
    <row r="45209" spans="8:8" x14ac:dyDescent="0.3">
      <c r="H45209" t="str">
        <f t="shared" si="756"/>
        <v/>
      </c>
    </row>
    <row r="45210" spans="8:8" x14ac:dyDescent="0.3">
      <c r="H45210" t="str">
        <f t="shared" si="756"/>
        <v/>
      </c>
    </row>
    <row r="45211" spans="8:8" x14ac:dyDescent="0.3">
      <c r="H45211" t="str">
        <f t="shared" si="756"/>
        <v/>
      </c>
    </row>
    <row r="45212" spans="8:8" x14ac:dyDescent="0.3">
      <c r="H45212" t="str">
        <f t="shared" si="756"/>
        <v/>
      </c>
    </row>
    <row r="45213" spans="8:8" x14ac:dyDescent="0.3">
      <c r="H45213" t="str">
        <f t="shared" si="756"/>
        <v/>
      </c>
    </row>
    <row r="45214" spans="8:8" x14ac:dyDescent="0.3">
      <c r="H45214" t="str">
        <f t="shared" si="756"/>
        <v/>
      </c>
    </row>
    <row r="45215" spans="8:8" x14ac:dyDescent="0.3">
      <c r="H45215" t="str">
        <f t="shared" si="756"/>
        <v/>
      </c>
    </row>
    <row r="45216" spans="8:8" x14ac:dyDescent="0.3">
      <c r="H45216" t="str">
        <f t="shared" si="756"/>
        <v/>
      </c>
    </row>
    <row r="45217" spans="8:8" x14ac:dyDescent="0.3">
      <c r="H45217" t="str">
        <f t="shared" si="756"/>
        <v/>
      </c>
    </row>
    <row r="45218" spans="8:8" x14ac:dyDescent="0.3">
      <c r="H45218" t="str">
        <f t="shared" si="756"/>
        <v/>
      </c>
    </row>
    <row r="45219" spans="8:8" x14ac:dyDescent="0.3">
      <c r="H45219" t="str">
        <f t="shared" si="756"/>
        <v/>
      </c>
    </row>
    <row r="45220" spans="8:8" x14ac:dyDescent="0.3">
      <c r="H45220" t="str">
        <f t="shared" si="756"/>
        <v/>
      </c>
    </row>
    <row r="45221" spans="8:8" x14ac:dyDescent="0.3">
      <c r="H45221" t="str">
        <f t="shared" si="756"/>
        <v/>
      </c>
    </row>
    <row r="45222" spans="8:8" x14ac:dyDescent="0.3">
      <c r="H45222" t="str">
        <f t="shared" si="756"/>
        <v/>
      </c>
    </row>
    <row r="45223" spans="8:8" x14ac:dyDescent="0.3">
      <c r="H45223" t="str">
        <f t="shared" si="756"/>
        <v/>
      </c>
    </row>
    <row r="45224" spans="8:8" x14ac:dyDescent="0.3">
      <c r="H45224" t="str">
        <f t="shared" si="756"/>
        <v/>
      </c>
    </row>
    <row r="45225" spans="8:8" x14ac:dyDescent="0.3">
      <c r="H45225" t="str">
        <f t="shared" si="756"/>
        <v/>
      </c>
    </row>
    <row r="45226" spans="8:8" x14ac:dyDescent="0.3">
      <c r="H45226" t="str">
        <f t="shared" si="756"/>
        <v/>
      </c>
    </row>
    <row r="45227" spans="8:8" x14ac:dyDescent="0.3">
      <c r="H45227" t="str">
        <f t="shared" si="756"/>
        <v/>
      </c>
    </row>
    <row r="45228" spans="8:8" x14ac:dyDescent="0.3">
      <c r="H45228" t="str">
        <f t="shared" si="756"/>
        <v/>
      </c>
    </row>
    <row r="45229" spans="8:8" x14ac:dyDescent="0.3">
      <c r="H45229" t="str">
        <f t="shared" si="756"/>
        <v/>
      </c>
    </row>
    <row r="45230" spans="8:8" x14ac:dyDescent="0.3">
      <c r="H45230" t="str">
        <f t="shared" si="756"/>
        <v/>
      </c>
    </row>
    <row r="45231" spans="8:8" x14ac:dyDescent="0.3">
      <c r="H45231" t="str">
        <f t="shared" si="756"/>
        <v/>
      </c>
    </row>
    <row r="45232" spans="8:8" x14ac:dyDescent="0.3">
      <c r="H45232" t="str">
        <f t="shared" si="756"/>
        <v/>
      </c>
    </row>
    <row r="45233" spans="8:8" x14ac:dyDescent="0.3">
      <c r="H45233" t="str">
        <f t="shared" si="756"/>
        <v/>
      </c>
    </row>
    <row r="45234" spans="8:8" x14ac:dyDescent="0.3">
      <c r="H45234" t="str">
        <f t="shared" si="756"/>
        <v/>
      </c>
    </row>
    <row r="45235" spans="8:8" x14ac:dyDescent="0.3">
      <c r="H45235" t="str">
        <f t="shared" si="756"/>
        <v/>
      </c>
    </row>
    <row r="45236" spans="8:8" x14ac:dyDescent="0.3">
      <c r="H45236" t="str">
        <f t="shared" si="756"/>
        <v/>
      </c>
    </row>
    <row r="45237" spans="8:8" x14ac:dyDescent="0.3">
      <c r="H45237" t="str">
        <f t="shared" si="756"/>
        <v/>
      </c>
    </row>
    <row r="45238" spans="8:8" x14ac:dyDescent="0.3">
      <c r="H45238" t="str">
        <f t="shared" si="756"/>
        <v/>
      </c>
    </row>
    <row r="45239" spans="8:8" x14ac:dyDescent="0.3">
      <c r="H45239" t="str">
        <f t="shared" si="756"/>
        <v/>
      </c>
    </row>
    <row r="45240" spans="8:8" x14ac:dyDescent="0.3">
      <c r="H45240" t="str">
        <f t="shared" si="756"/>
        <v/>
      </c>
    </row>
    <row r="45241" spans="8:8" x14ac:dyDescent="0.3">
      <c r="H45241" t="str">
        <f t="shared" si="756"/>
        <v/>
      </c>
    </row>
    <row r="45242" spans="8:8" x14ac:dyDescent="0.3">
      <c r="H45242" t="str">
        <f t="shared" si="756"/>
        <v/>
      </c>
    </row>
    <row r="45243" spans="8:8" x14ac:dyDescent="0.3">
      <c r="H45243" t="str">
        <f t="shared" si="756"/>
        <v/>
      </c>
    </row>
    <row r="45244" spans="8:8" x14ac:dyDescent="0.3">
      <c r="H45244" t="str">
        <f t="shared" si="756"/>
        <v/>
      </c>
    </row>
    <row r="45245" spans="8:8" x14ac:dyDescent="0.3">
      <c r="H45245" t="str">
        <f t="shared" si="756"/>
        <v/>
      </c>
    </row>
    <row r="45246" spans="8:8" x14ac:dyDescent="0.3">
      <c r="H45246" t="str">
        <f t="shared" si="756"/>
        <v/>
      </c>
    </row>
    <row r="45247" spans="8:8" x14ac:dyDescent="0.3">
      <c r="H45247" t="str">
        <f t="shared" si="756"/>
        <v/>
      </c>
    </row>
    <row r="45248" spans="8:8" x14ac:dyDescent="0.3">
      <c r="H45248" t="str">
        <f t="shared" si="756"/>
        <v/>
      </c>
    </row>
    <row r="45249" spans="8:8" x14ac:dyDescent="0.3">
      <c r="H45249" t="str">
        <f t="shared" si="756"/>
        <v/>
      </c>
    </row>
    <row r="45250" spans="8:8" x14ac:dyDescent="0.3">
      <c r="H45250" t="str">
        <f t="shared" si="756"/>
        <v/>
      </c>
    </row>
    <row r="45251" spans="8:8" x14ac:dyDescent="0.3">
      <c r="H45251" t="str">
        <f t="shared" si="756"/>
        <v/>
      </c>
    </row>
    <row r="45252" spans="8:8" x14ac:dyDescent="0.3">
      <c r="H45252" t="str">
        <f t="shared" si="756"/>
        <v/>
      </c>
    </row>
    <row r="45253" spans="8:8" x14ac:dyDescent="0.3">
      <c r="H45253" t="str">
        <f t="shared" si="756"/>
        <v/>
      </c>
    </row>
    <row r="45254" spans="8:8" x14ac:dyDescent="0.3">
      <c r="H45254" t="str">
        <f t="shared" si="756"/>
        <v/>
      </c>
    </row>
    <row r="45255" spans="8:8" x14ac:dyDescent="0.3">
      <c r="H45255" t="str">
        <f t="shared" si="756"/>
        <v/>
      </c>
    </row>
    <row r="45256" spans="8:8" x14ac:dyDescent="0.3">
      <c r="H45256" t="str">
        <f t="shared" si="756"/>
        <v/>
      </c>
    </row>
    <row r="45257" spans="8:8" x14ac:dyDescent="0.3">
      <c r="H45257" t="str">
        <f t="shared" si="756"/>
        <v/>
      </c>
    </row>
    <row r="45258" spans="8:8" x14ac:dyDescent="0.3">
      <c r="H45258" t="str">
        <f t="shared" si="756"/>
        <v/>
      </c>
    </row>
    <row r="45259" spans="8:8" x14ac:dyDescent="0.3">
      <c r="H45259" t="str">
        <f t="shared" si="756"/>
        <v/>
      </c>
    </row>
    <row r="45260" spans="8:8" x14ac:dyDescent="0.3">
      <c r="H45260" t="str">
        <f t="shared" si="756"/>
        <v/>
      </c>
    </row>
    <row r="45261" spans="8:8" x14ac:dyDescent="0.3">
      <c r="H45261" t="str">
        <f t="shared" si="756"/>
        <v/>
      </c>
    </row>
    <row r="45262" spans="8:8" x14ac:dyDescent="0.3">
      <c r="H45262" t="str">
        <f t="shared" si="756"/>
        <v/>
      </c>
    </row>
    <row r="45263" spans="8:8" x14ac:dyDescent="0.3">
      <c r="H45263" t="str">
        <f t="shared" si="756"/>
        <v/>
      </c>
    </row>
    <row r="45264" spans="8:8" x14ac:dyDescent="0.3">
      <c r="H45264" t="str">
        <f t="shared" si="756"/>
        <v/>
      </c>
    </row>
    <row r="45265" spans="8:8" x14ac:dyDescent="0.3">
      <c r="H45265" t="str">
        <f t="shared" si="756"/>
        <v/>
      </c>
    </row>
    <row r="45266" spans="8:8" x14ac:dyDescent="0.3">
      <c r="H45266" t="str">
        <f t="shared" si="756"/>
        <v/>
      </c>
    </row>
    <row r="45267" spans="8:8" x14ac:dyDescent="0.3">
      <c r="H45267" t="str">
        <f t="shared" si="756"/>
        <v/>
      </c>
    </row>
    <row r="45268" spans="8:8" x14ac:dyDescent="0.3">
      <c r="H45268" t="str">
        <f t="shared" si="756"/>
        <v/>
      </c>
    </row>
    <row r="45269" spans="8:8" x14ac:dyDescent="0.3">
      <c r="H45269" t="str">
        <f t="shared" si="756"/>
        <v/>
      </c>
    </row>
    <row r="45270" spans="8:8" x14ac:dyDescent="0.3">
      <c r="H45270" t="str">
        <f t="shared" si="756"/>
        <v/>
      </c>
    </row>
    <row r="45271" spans="8:8" x14ac:dyDescent="0.3">
      <c r="H45271" t="str">
        <f t="shared" ref="H45271:H45334" si="757">IF(B45271="","",$C$12)</f>
        <v/>
      </c>
    </row>
    <row r="45272" spans="8:8" x14ac:dyDescent="0.3">
      <c r="H45272" t="str">
        <f t="shared" si="757"/>
        <v/>
      </c>
    </row>
    <row r="45273" spans="8:8" x14ac:dyDescent="0.3">
      <c r="H45273" t="str">
        <f t="shared" si="757"/>
        <v/>
      </c>
    </row>
    <row r="45274" spans="8:8" x14ac:dyDescent="0.3">
      <c r="H45274" t="str">
        <f t="shared" si="757"/>
        <v/>
      </c>
    </row>
    <row r="45275" spans="8:8" x14ac:dyDescent="0.3">
      <c r="H45275" t="str">
        <f t="shared" si="757"/>
        <v/>
      </c>
    </row>
    <row r="45276" spans="8:8" x14ac:dyDescent="0.3">
      <c r="H45276" t="str">
        <f t="shared" si="757"/>
        <v/>
      </c>
    </row>
    <row r="45277" spans="8:8" x14ac:dyDescent="0.3">
      <c r="H45277" t="str">
        <f t="shared" si="757"/>
        <v/>
      </c>
    </row>
    <row r="45278" spans="8:8" x14ac:dyDescent="0.3">
      <c r="H45278" t="str">
        <f t="shared" si="757"/>
        <v/>
      </c>
    </row>
    <row r="45279" spans="8:8" x14ac:dyDescent="0.3">
      <c r="H45279" t="str">
        <f t="shared" si="757"/>
        <v/>
      </c>
    </row>
    <row r="45280" spans="8:8" x14ac:dyDescent="0.3">
      <c r="H45280" t="str">
        <f t="shared" si="757"/>
        <v/>
      </c>
    </row>
    <row r="45281" spans="8:8" x14ac:dyDescent="0.3">
      <c r="H45281" t="str">
        <f t="shared" si="757"/>
        <v/>
      </c>
    </row>
    <row r="45282" spans="8:8" x14ac:dyDescent="0.3">
      <c r="H45282" t="str">
        <f t="shared" si="757"/>
        <v/>
      </c>
    </row>
    <row r="45283" spans="8:8" x14ac:dyDescent="0.3">
      <c r="H45283" t="str">
        <f t="shared" si="757"/>
        <v/>
      </c>
    </row>
    <row r="45284" spans="8:8" x14ac:dyDescent="0.3">
      <c r="H45284" t="str">
        <f t="shared" si="757"/>
        <v/>
      </c>
    </row>
    <row r="45285" spans="8:8" x14ac:dyDescent="0.3">
      <c r="H45285" t="str">
        <f t="shared" si="757"/>
        <v/>
      </c>
    </row>
    <row r="45286" spans="8:8" x14ac:dyDescent="0.3">
      <c r="H45286" t="str">
        <f t="shared" si="757"/>
        <v/>
      </c>
    </row>
    <row r="45287" spans="8:8" x14ac:dyDescent="0.3">
      <c r="H45287" t="str">
        <f t="shared" si="757"/>
        <v/>
      </c>
    </row>
    <row r="45288" spans="8:8" x14ac:dyDescent="0.3">
      <c r="H45288" t="str">
        <f t="shared" si="757"/>
        <v/>
      </c>
    </row>
    <row r="45289" spans="8:8" x14ac:dyDescent="0.3">
      <c r="H45289" t="str">
        <f t="shared" si="757"/>
        <v/>
      </c>
    </row>
    <row r="45290" spans="8:8" x14ac:dyDescent="0.3">
      <c r="H45290" t="str">
        <f t="shared" si="757"/>
        <v/>
      </c>
    </row>
    <row r="45291" spans="8:8" x14ac:dyDescent="0.3">
      <c r="H45291" t="str">
        <f t="shared" si="757"/>
        <v/>
      </c>
    </row>
    <row r="45292" spans="8:8" x14ac:dyDescent="0.3">
      <c r="H45292" t="str">
        <f t="shared" si="757"/>
        <v/>
      </c>
    </row>
    <row r="45293" spans="8:8" x14ac:dyDescent="0.3">
      <c r="H45293" t="str">
        <f t="shared" si="757"/>
        <v/>
      </c>
    </row>
    <row r="45294" spans="8:8" x14ac:dyDescent="0.3">
      <c r="H45294" t="str">
        <f t="shared" si="757"/>
        <v/>
      </c>
    </row>
    <row r="45295" spans="8:8" x14ac:dyDescent="0.3">
      <c r="H45295" t="str">
        <f t="shared" si="757"/>
        <v/>
      </c>
    </row>
    <row r="45296" spans="8:8" x14ac:dyDescent="0.3">
      <c r="H45296" t="str">
        <f t="shared" si="757"/>
        <v/>
      </c>
    </row>
    <row r="45297" spans="8:8" x14ac:dyDescent="0.3">
      <c r="H45297" t="str">
        <f t="shared" si="757"/>
        <v/>
      </c>
    </row>
    <row r="45298" spans="8:8" x14ac:dyDescent="0.3">
      <c r="H45298" t="str">
        <f t="shared" si="757"/>
        <v/>
      </c>
    </row>
    <row r="45299" spans="8:8" x14ac:dyDescent="0.3">
      <c r="H45299" t="str">
        <f t="shared" si="757"/>
        <v/>
      </c>
    </row>
    <row r="45300" spans="8:8" x14ac:dyDescent="0.3">
      <c r="H45300" t="str">
        <f t="shared" si="757"/>
        <v/>
      </c>
    </row>
    <row r="45301" spans="8:8" x14ac:dyDescent="0.3">
      <c r="H45301" t="str">
        <f t="shared" si="757"/>
        <v/>
      </c>
    </row>
    <row r="45302" spans="8:8" x14ac:dyDescent="0.3">
      <c r="H45302" t="str">
        <f t="shared" si="757"/>
        <v/>
      </c>
    </row>
    <row r="45303" spans="8:8" x14ac:dyDescent="0.3">
      <c r="H45303" t="str">
        <f t="shared" si="757"/>
        <v/>
      </c>
    </row>
    <row r="45304" spans="8:8" x14ac:dyDescent="0.3">
      <c r="H45304" t="str">
        <f t="shared" si="757"/>
        <v/>
      </c>
    </row>
    <row r="45305" spans="8:8" x14ac:dyDescent="0.3">
      <c r="H45305" t="str">
        <f t="shared" si="757"/>
        <v/>
      </c>
    </row>
    <row r="45306" spans="8:8" x14ac:dyDescent="0.3">
      <c r="H45306" t="str">
        <f t="shared" si="757"/>
        <v/>
      </c>
    </row>
    <row r="45307" spans="8:8" x14ac:dyDescent="0.3">
      <c r="H45307" t="str">
        <f t="shared" si="757"/>
        <v/>
      </c>
    </row>
    <row r="45308" spans="8:8" x14ac:dyDescent="0.3">
      <c r="H45308" t="str">
        <f t="shared" si="757"/>
        <v/>
      </c>
    </row>
    <row r="45309" spans="8:8" x14ac:dyDescent="0.3">
      <c r="H45309" t="str">
        <f t="shared" si="757"/>
        <v/>
      </c>
    </row>
    <row r="45310" spans="8:8" x14ac:dyDescent="0.3">
      <c r="H45310" t="str">
        <f t="shared" si="757"/>
        <v/>
      </c>
    </row>
    <row r="45311" spans="8:8" x14ac:dyDescent="0.3">
      <c r="H45311" t="str">
        <f t="shared" si="757"/>
        <v/>
      </c>
    </row>
    <row r="45312" spans="8:8" x14ac:dyDescent="0.3">
      <c r="H45312" t="str">
        <f t="shared" si="757"/>
        <v/>
      </c>
    </row>
    <row r="45313" spans="8:8" x14ac:dyDescent="0.3">
      <c r="H45313" t="str">
        <f t="shared" si="757"/>
        <v/>
      </c>
    </row>
    <row r="45314" spans="8:8" x14ac:dyDescent="0.3">
      <c r="H45314" t="str">
        <f t="shared" si="757"/>
        <v/>
      </c>
    </row>
    <row r="45315" spans="8:8" x14ac:dyDescent="0.3">
      <c r="H45315" t="str">
        <f t="shared" si="757"/>
        <v/>
      </c>
    </row>
    <row r="45316" spans="8:8" x14ac:dyDescent="0.3">
      <c r="H45316" t="str">
        <f t="shared" si="757"/>
        <v/>
      </c>
    </row>
    <row r="45317" spans="8:8" x14ac:dyDescent="0.3">
      <c r="H45317" t="str">
        <f t="shared" si="757"/>
        <v/>
      </c>
    </row>
    <row r="45318" spans="8:8" x14ac:dyDescent="0.3">
      <c r="H45318" t="str">
        <f t="shared" si="757"/>
        <v/>
      </c>
    </row>
    <row r="45319" spans="8:8" x14ac:dyDescent="0.3">
      <c r="H45319" t="str">
        <f t="shared" si="757"/>
        <v/>
      </c>
    </row>
    <row r="45320" spans="8:8" x14ac:dyDescent="0.3">
      <c r="H45320" t="str">
        <f t="shared" si="757"/>
        <v/>
      </c>
    </row>
    <row r="45321" spans="8:8" x14ac:dyDescent="0.3">
      <c r="H45321" t="str">
        <f t="shared" si="757"/>
        <v/>
      </c>
    </row>
    <row r="45322" spans="8:8" x14ac:dyDescent="0.3">
      <c r="H45322" t="str">
        <f t="shared" si="757"/>
        <v/>
      </c>
    </row>
    <row r="45323" spans="8:8" x14ac:dyDescent="0.3">
      <c r="H45323" t="str">
        <f t="shared" si="757"/>
        <v/>
      </c>
    </row>
    <row r="45324" spans="8:8" x14ac:dyDescent="0.3">
      <c r="H45324" t="str">
        <f t="shared" si="757"/>
        <v/>
      </c>
    </row>
    <row r="45325" spans="8:8" x14ac:dyDescent="0.3">
      <c r="H45325" t="str">
        <f t="shared" si="757"/>
        <v/>
      </c>
    </row>
    <row r="45326" spans="8:8" x14ac:dyDescent="0.3">
      <c r="H45326" t="str">
        <f t="shared" si="757"/>
        <v/>
      </c>
    </row>
    <row r="45327" spans="8:8" x14ac:dyDescent="0.3">
      <c r="H45327" t="str">
        <f t="shared" si="757"/>
        <v/>
      </c>
    </row>
    <row r="45328" spans="8:8" x14ac:dyDescent="0.3">
      <c r="H45328" t="str">
        <f t="shared" si="757"/>
        <v/>
      </c>
    </row>
    <row r="45329" spans="8:8" x14ac:dyDescent="0.3">
      <c r="H45329" t="str">
        <f t="shared" si="757"/>
        <v/>
      </c>
    </row>
    <row r="45330" spans="8:8" x14ac:dyDescent="0.3">
      <c r="H45330" t="str">
        <f t="shared" si="757"/>
        <v/>
      </c>
    </row>
    <row r="45331" spans="8:8" x14ac:dyDescent="0.3">
      <c r="H45331" t="str">
        <f t="shared" si="757"/>
        <v/>
      </c>
    </row>
    <row r="45332" spans="8:8" x14ac:dyDescent="0.3">
      <c r="H45332" t="str">
        <f t="shared" si="757"/>
        <v/>
      </c>
    </row>
    <row r="45333" spans="8:8" x14ac:dyDescent="0.3">
      <c r="H45333" t="str">
        <f t="shared" si="757"/>
        <v/>
      </c>
    </row>
    <row r="45334" spans="8:8" x14ac:dyDescent="0.3">
      <c r="H45334" t="str">
        <f t="shared" si="757"/>
        <v/>
      </c>
    </row>
    <row r="45335" spans="8:8" x14ac:dyDescent="0.3">
      <c r="H45335" t="str">
        <f t="shared" ref="H45335:H45398" si="758">IF(B45335="","",$C$12)</f>
        <v/>
      </c>
    </row>
    <row r="45336" spans="8:8" x14ac:dyDescent="0.3">
      <c r="H45336" t="str">
        <f t="shared" si="758"/>
        <v/>
      </c>
    </row>
    <row r="45337" spans="8:8" x14ac:dyDescent="0.3">
      <c r="H45337" t="str">
        <f t="shared" si="758"/>
        <v/>
      </c>
    </row>
    <row r="45338" spans="8:8" x14ac:dyDescent="0.3">
      <c r="H45338" t="str">
        <f t="shared" si="758"/>
        <v/>
      </c>
    </row>
    <row r="45339" spans="8:8" x14ac:dyDescent="0.3">
      <c r="H45339" t="str">
        <f t="shared" si="758"/>
        <v/>
      </c>
    </row>
    <row r="45340" spans="8:8" x14ac:dyDescent="0.3">
      <c r="H45340" t="str">
        <f t="shared" si="758"/>
        <v/>
      </c>
    </row>
    <row r="45341" spans="8:8" x14ac:dyDescent="0.3">
      <c r="H45341" t="str">
        <f t="shared" si="758"/>
        <v/>
      </c>
    </row>
    <row r="45342" spans="8:8" x14ac:dyDescent="0.3">
      <c r="H45342" t="str">
        <f t="shared" si="758"/>
        <v/>
      </c>
    </row>
    <row r="45343" spans="8:8" x14ac:dyDescent="0.3">
      <c r="H45343" t="str">
        <f t="shared" si="758"/>
        <v/>
      </c>
    </row>
    <row r="45344" spans="8:8" x14ac:dyDescent="0.3">
      <c r="H45344" t="str">
        <f t="shared" si="758"/>
        <v/>
      </c>
    </row>
    <row r="45345" spans="8:8" x14ac:dyDescent="0.3">
      <c r="H45345" t="str">
        <f t="shared" si="758"/>
        <v/>
      </c>
    </row>
    <row r="45346" spans="8:8" x14ac:dyDescent="0.3">
      <c r="H45346" t="str">
        <f t="shared" si="758"/>
        <v/>
      </c>
    </row>
    <row r="45347" spans="8:8" x14ac:dyDescent="0.3">
      <c r="H45347" t="str">
        <f t="shared" si="758"/>
        <v/>
      </c>
    </row>
    <row r="45348" spans="8:8" x14ac:dyDescent="0.3">
      <c r="H45348" t="str">
        <f t="shared" si="758"/>
        <v/>
      </c>
    </row>
    <row r="45349" spans="8:8" x14ac:dyDescent="0.3">
      <c r="H45349" t="str">
        <f t="shared" si="758"/>
        <v/>
      </c>
    </row>
    <row r="45350" spans="8:8" x14ac:dyDescent="0.3">
      <c r="H45350" t="str">
        <f t="shared" si="758"/>
        <v/>
      </c>
    </row>
    <row r="45351" spans="8:8" x14ac:dyDescent="0.3">
      <c r="H45351" t="str">
        <f t="shared" si="758"/>
        <v/>
      </c>
    </row>
    <row r="45352" spans="8:8" x14ac:dyDescent="0.3">
      <c r="H45352" t="str">
        <f t="shared" si="758"/>
        <v/>
      </c>
    </row>
    <row r="45353" spans="8:8" x14ac:dyDescent="0.3">
      <c r="H45353" t="str">
        <f t="shared" si="758"/>
        <v/>
      </c>
    </row>
    <row r="45354" spans="8:8" x14ac:dyDescent="0.3">
      <c r="H45354" t="str">
        <f t="shared" si="758"/>
        <v/>
      </c>
    </row>
    <row r="45355" spans="8:8" x14ac:dyDescent="0.3">
      <c r="H45355" t="str">
        <f t="shared" si="758"/>
        <v/>
      </c>
    </row>
    <row r="45356" spans="8:8" x14ac:dyDescent="0.3">
      <c r="H45356" t="str">
        <f t="shared" si="758"/>
        <v/>
      </c>
    </row>
    <row r="45357" spans="8:8" x14ac:dyDescent="0.3">
      <c r="H45357" t="str">
        <f t="shared" si="758"/>
        <v/>
      </c>
    </row>
    <row r="45358" spans="8:8" x14ac:dyDescent="0.3">
      <c r="H45358" t="str">
        <f t="shared" si="758"/>
        <v/>
      </c>
    </row>
    <row r="45359" spans="8:8" x14ac:dyDescent="0.3">
      <c r="H45359" t="str">
        <f t="shared" si="758"/>
        <v/>
      </c>
    </row>
    <row r="45360" spans="8:8" x14ac:dyDescent="0.3">
      <c r="H45360" t="str">
        <f t="shared" si="758"/>
        <v/>
      </c>
    </row>
    <row r="45361" spans="8:8" x14ac:dyDescent="0.3">
      <c r="H45361" t="str">
        <f t="shared" si="758"/>
        <v/>
      </c>
    </row>
    <row r="45362" spans="8:8" x14ac:dyDescent="0.3">
      <c r="H45362" t="str">
        <f t="shared" si="758"/>
        <v/>
      </c>
    </row>
    <row r="45363" spans="8:8" x14ac:dyDescent="0.3">
      <c r="H45363" t="str">
        <f t="shared" si="758"/>
        <v/>
      </c>
    </row>
    <row r="45364" spans="8:8" x14ac:dyDescent="0.3">
      <c r="H45364" t="str">
        <f t="shared" si="758"/>
        <v/>
      </c>
    </row>
    <row r="45365" spans="8:8" x14ac:dyDescent="0.3">
      <c r="H45365" t="str">
        <f t="shared" si="758"/>
        <v/>
      </c>
    </row>
    <row r="45366" spans="8:8" x14ac:dyDescent="0.3">
      <c r="H45366" t="str">
        <f t="shared" si="758"/>
        <v/>
      </c>
    </row>
    <row r="45367" spans="8:8" x14ac:dyDescent="0.3">
      <c r="H45367" t="str">
        <f t="shared" si="758"/>
        <v/>
      </c>
    </row>
    <row r="45368" spans="8:8" x14ac:dyDescent="0.3">
      <c r="H45368" t="str">
        <f t="shared" si="758"/>
        <v/>
      </c>
    </row>
    <row r="45369" spans="8:8" x14ac:dyDescent="0.3">
      <c r="H45369" t="str">
        <f t="shared" si="758"/>
        <v/>
      </c>
    </row>
    <row r="45370" spans="8:8" x14ac:dyDescent="0.3">
      <c r="H45370" t="str">
        <f t="shared" si="758"/>
        <v/>
      </c>
    </row>
    <row r="45371" spans="8:8" x14ac:dyDescent="0.3">
      <c r="H45371" t="str">
        <f t="shared" si="758"/>
        <v/>
      </c>
    </row>
    <row r="45372" spans="8:8" x14ac:dyDescent="0.3">
      <c r="H45372" t="str">
        <f t="shared" si="758"/>
        <v/>
      </c>
    </row>
    <row r="45373" spans="8:8" x14ac:dyDescent="0.3">
      <c r="H45373" t="str">
        <f t="shared" si="758"/>
        <v/>
      </c>
    </row>
    <row r="45374" spans="8:8" x14ac:dyDescent="0.3">
      <c r="H45374" t="str">
        <f t="shared" si="758"/>
        <v/>
      </c>
    </row>
    <row r="45375" spans="8:8" x14ac:dyDescent="0.3">
      <c r="H45375" t="str">
        <f t="shared" si="758"/>
        <v/>
      </c>
    </row>
    <row r="45376" spans="8:8" x14ac:dyDescent="0.3">
      <c r="H45376" t="str">
        <f t="shared" si="758"/>
        <v/>
      </c>
    </row>
    <row r="45377" spans="8:8" x14ac:dyDescent="0.3">
      <c r="H45377" t="str">
        <f t="shared" si="758"/>
        <v/>
      </c>
    </row>
    <row r="45378" spans="8:8" x14ac:dyDescent="0.3">
      <c r="H45378" t="str">
        <f t="shared" si="758"/>
        <v/>
      </c>
    </row>
    <row r="45379" spans="8:8" x14ac:dyDescent="0.3">
      <c r="H45379" t="str">
        <f t="shared" si="758"/>
        <v/>
      </c>
    </row>
    <row r="45380" spans="8:8" x14ac:dyDescent="0.3">
      <c r="H45380" t="str">
        <f t="shared" si="758"/>
        <v/>
      </c>
    </row>
    <row r="45381" spans="8:8" x14ac:dyDescent="0.3">
      <c r="H45381" t="str">
        <f t="shared" si="758"/>
        <v/>
      </c>
    </row>
    <row r="45382" spans="8:8" x14ac:dyDescent="0.3">
      <c r="H45382" t="str">
        <f t="shared" si="758"/>
        <v/>
      </c>
    </row>
    <row r="45383" spans="8:8" x14ac:dyDescent="0.3">
      <c r="H45383" t="str">
        <f t="shared" si="758"/>
        <v/>
      </c>
    </row>
    <row r="45384" spans="8:8" x14ac:dyDescent="0.3">
      <c r="H45384" t="str">
        <f t="shared" si="758"/>
        <v/>
      </c>
    </row>
    <row r="45385" spans="8:8" x14ac:dyDescent="0.3">
      <c r="H45385" t="str">
        <f t="shared" si="758"/>
        <v/>
      </c>
    </row>
    <row r="45386" spans="8:8" x14ac:dyDescent="0.3">
      <c r="H45386" t="str">
        <f t="shared" si="758"/>
        <v/>
      </c>
    </row>
    <row r="45387" spans="8:8" x14ac:dyDescent="0.3">
      <c r="H45387" t="str">
        <f t="shared" si="758"/>
        <v/>
      </c>
    </row>
    <row r="45388" spans="8:8" x14ac:dyDescent="0.3">
      <c r="H45388" t="str">
        <f t="shared" si="758"/>
        <v/>
      </c>
    </row>
    <row r="45389" spans="8:8" x14ac:dyDescent="0.3">
      <c r="H45389" t="str">
        <f t="shared" si="758"/>
        <v/>
      </c>
    </row>
    <row r="45390" spans="8:8" x14ac:dyDescent="0.3">
      <c r="H45390" t="str">
        <f t="shared" si="758"/>
        <v/>
      </c>
    </row>
    <row r="45391" spans="8:8" x14ac:dyDescent="0.3">
      <c r="H45391" t="str">
        <f t="shared" si="758"/>
        <v/>
      </c>
    </row>
    <row r="45392" spans="8:8" x14ac:dyDescent="0.3">
      <c r="H45392" t="str">
        <f t="shared" si="758"/>
        <v/>
      </c>
    </row>
    <row r="45393" spans="8:8" x14ac:dyDescent="0.3">
      <c r="H45393" t="str">
        <f t="shared" si="758"/>
        <v/>
      </c>
    </row>
    <row r="45394" spans="8:8" x14ac:dyDescent="0.3">
      <c r="H45394" t="str">
        <f t="shared" si="758"/>
        <v/>
      </c>
    </row>
    <row r="45395" spans="8:8" x14ac:dyDescent="0.3">
      <c r="H45395" t="str">
        <f t="shared" si="758"/>
        <v/>
      </c>
    </row>
    <row r="45396" spans="8:8" x14ac:dyDescent="0.3">
      <c r="H45396" t="str">
        <f t="shared" si="758"/>
        <v/>
      </c>
    </row>
    <row r="45397" spans="8:8" x14ac:dyDescent="0.3">
      <c r="H45397" t="str">
        <f t="shared" si="758"/>
        <v/>
      </c>
    </row>
    <row r="45398" spans="8:8" x14ac:dyDescent="0.3">
      <c r="H45398" t="str">
        <f t="shared" si="758"/>
        <v/>
      </c>
    </row>
    <row r="45399" spans="8:8" x14ac:dyDescent="0.3">
      <c r="H45399" t="str">
        <f t="shared" ref="H45399:H45462" si="759">IF(B45399="","",$C$12)</f>
        <v/>
      </c>
    </row>
    <row r="45400" spans="8:8" x14ac:dyDescent="0.3">
      <c r="H45400" t="str">
        <f t="shared" si="759"/>
        <v/>
      </c>
    </row>
    <row r="45401" spans="8:8" x14ac:dyDescent="0.3">
      <c r="H45401" t="str">
        <f t="shared" si="759"/>
        <v/>
      </c>
    </row>
    <row r="45402" spans="8:8" x14ac:dyDescent="0.3">
      <c r="H45402" t="str">
        <f t="shared" si="759"/>
        <v/>
      </c>
    </row>
    <row r="45403" spans="8:8" x14ac:dyDescent="0.3">
      <c r="H45403" t="str">
        <f t="shared" si="759"/>
        <v/>
      </c>
    </row>
    <row r="45404" spans="8:8" x14ac:dyDescent="0.3">
      <c r="H45404" t="str">
        <f t="shared" si="759"/>
        <v/>
      </c>
    </row>
    <row r="45405" spans="8:8" x14ac:dyDescent="0.3">
      <c r="H45405" t="str">
        <f t="shared" si="759"/>
        <v/>
      </c>
    </row>
    <row r="45406" spans="8:8" x14ac:dyDescent="0.3">
      <c r="H45406" t="str">
        <f t="shared" si="759"/>
        <v/>
      </c>
    </row>
    <row r="45407" spans="8:8" x14ac:dyDescent="0.3">
      <c r="H45407" t="str">
        <f t="shared" si="759"/>
        <v/>
      </c>
    </row>
    <row r="45408" spans="8:8" x14ac:dyDescent="0.3">
      <c r="H45408" t="str">
        <f t="shared" si="759"/>
        <v/>
      </c>
    </row>
    <row r="45409" spans="8:8" x14ac:dyDescent="0.3">
      <c r="H45409" t="str">
        <f t="shared" si="759"/>
        <v/>
      </c>
    </row>
    <row r="45410" spans="8:8" x14ac:dyDescent="0.3">
      <c r="H45410" t="str">
        <f t="shared" si="759"/>
        <v/>
      </c>
    </row>
    <row r="45411" spans="8:8" x14ac:dyDescent="0.3">
      <c r="H45411" t="str">
        <f t="shared" si="759"/>
        <v/>
      </c>
    </row>
    <row r="45412" spans="8:8" x14ac:dyDescent="0.3">
      <c r="H45412" t="str">
        <f t="shared" si="759"/>
        <v/>
      </c>
    </row>
    <row r="45413" spans="8:8" x14ac:dyDescent="0.3">
      <c r="H45413" t="str">
        <f t="shared" si="759"/>
        <v/>
      </c>
    </row>
    <row r="45414" spans="8:8" x14ac:dyDescent="0.3">
      <c r="H45414" t="str">
        <f t="shared" si="759"/>
        <v/>
      </c>
    </row>
    <row r="45415" spans="8:8" x14ac:dyDescent="0.3">
      <c r="H45415" t="str">
        <f t="shared" si="759"/>
        <v/>
      </c>
    </row>
    <row r="45416" spans="8:8" x14ac:dyDescent="0.3">
      <c r="H45416" t="str">
        <f t="shared" si="759"/>
        <v/>
      </c>
    </row>
    <row r="45417" spans="8:8" x14ac:dyDescent="0.3">
      <c r="H45417" t="str">
        <f t="shared" si="759"/>
        <v/>
      </c>
    </row>
    <row r="45418" spans="8:8" x14ac:dyDescent="0.3">
      <c r="H45418" t="str">
        <f t="shared" si="759"/>
        <v/>
      </c>
    </row>
    <row r="45419" spans="8:8" x14ac:dyDescent="0.3">
      <c r="H45419" t="str">
        <f t="shared" si="759"/>
        <v/>
      </c>
    </row>
    <row r="45420" spans="8:8" x14ac:dyDescent="0.3">
      <c r="H45420" t="str">
        <f t="shared" si="759"/>
        <v/>
      </c>
    </row>
    <row r="45421" spans="8:8" x14ac:dyDescent="0.3">
      <c r="H45421" t="str">
        <f t="shared" si="759"/>
        <v/>
      </c>
    </row>
    <row r="45422" spans="8:8" x14ac:dyDescent="0.3">
      <c r="H45422" t="str">
        <f t="shared" si="759"/>
        <v/>
      </c>
    </row>
    <row r="45423" spans="8:8" x14ac:dyDescent="0.3">
      <c r="H45423" t="str">
        <f t="shared" si="759"/>
        <v/>
      </c>
    </row>
    <row r="45424" spans="8:8" x14ac:dyDescent="0.3">
      <c r="H45424" t="str">
        <f t="shared" si="759"/>
        <v/>
      </c>
    </row>
    <row r="45425" spans="8:8" x14ac:dyDescent="0.3">
      <c r="H45425" t="str">
        <f t="shared" si="759"/>
        <v/>
      </c>
    </row>
    <row r="45426" spans="8:8" x14ac:dyDescent="0.3">
      <c r="H45426" t="str">
        <f t="shared" si="759"/>
        <v/>
      </c>
    </row>
    <row r="45427" spans="8:8" x14ac:dyDescent="0.3">
      <c r="H45427" t="str">
        <f t="shared" si="759"/>
        <v/>
      </c>
    </row>
    <row r="45428" spans="8:8" x14ac:dyDescent="0.3">
      <c r="H45428" t="str">
        <f t="shared" si="759"/>
        <v/>
      </c>
    </row>
    <row r="45429" spans="8:8" x14ac:dyDescent="0.3">
      <c r="H45429" t="str">
        <f t="shared" si="759"/>
        <v/>
      </c>
    </row>
    <row r="45430" spans="8:8" x14ac:dyDescent="0.3">
      <c r="H45430" t="str">
        <f t="shared" si="759"/>
        <v/>
      </c>
    </row>
    <row r="45431" spans="8:8" x14ac:dyDescent="0.3">
      <c r="H45431" t="str">
        <f t="shared" si="759"/>
        <v/>
      </c>
    </row>
    <row r="45432" spans="8:8" x14ac:dyDescent="0.3">
      <c r="H45432" t="str">
        <f t="shared" si="759"/>
        <v/>
      </c>
    </row>
    <row r="45433" spans="8:8" x14ac:dyDescent="0.3">
      <c r="H45433" t="str">
        <f t="shared" si="759"/>
        <v/>
      </c>
    </row>
    <row r="45434" spans="8:8" x14ac:dyDescent="0.3">
      <c r="H45434" t="str">
        <f t="shared" si="759"/>
        <v/>
      </c>
    </row>
    <row r="45435" spans="8:8" x14ac:dyDescent="0.3">
      <c r="H45435" t="str">
        <f t="shared" si="759"/>
        <v/>
      </c>
    </row>
    <row r="45436" spans="8:8" x14ac:dyDescent="0.3">
      <c r="H45436" t="str">
        <f t="shared" si="759"/>
        <v/>
      </c>
    </row>
    <row r="45437" spans="8:8" x14ac:dyDescent="0.3">
      <c r="H45437" t="str">
        <f t="shared" si="759"/>
        <v/>
      </c>
    </row>
    <row r="45438" spans="8:8" x14ac:dyDescent="0.3">
      <c r="H45438" t="str">
        <f t="shared" si="759"/>
        <v/>
      </c>
    </row>
    <row r="45439" spans="8:8" x14ac:dyDescent="0.3">
      <c r="H45439" t="str">
        <f t="shared" si="759"/>
        <v/>
      </c>
    </row>
    <row r="45440" spans="8:8" x14ac:dyDescent="0.3">
      <c r="H45440" t="str">
        <f t="shared" si="759"/>
        <v/>
      </c>
    </row>
    <row r="45441" spans="8:8" x14ac:dyDescent="0.3">
      <c r="H45441" t="str">
        <f t="shared" si="759"/>
        <v/>
      </c>
    </row>
    <row r="45442" spans="8:8" x14ac:dyDescent="0.3">
      <c r="H45442" t="str">
        <f t="shared" si="759"/>
        <v/>
      </c>
    </row>
    <row r="45443" spans="8:8" x14ac:dyDescent="0.3">
      <c r="H45443" t="str">
        <f t="shared" si="759"/>
        <v/>
      </c>
    </row>
    <row r="45444" spans="8:8" x14ac:dyDescent="0.3">
      <c r="H45444" t="str">
        <f t="shared" si="759"/>
        <v/>
      </c>
    </row>
    <row r="45445" spans="8:8" x14ac:dyDescent="0.3">
      <c r="H45445" t="str">
        <f t="shared" si="759"/>
        <v/>
      </c>
    </row>
    <row r="45446" spans="8:8" x14ac:dyDescent="0.3">
      <c r="H45446" t="str">
        <f t="shared" si="759"/>
        <v/>
      </c>
    </row>
    <row r="45447" spans="8:8" x14ac:dyDescent="0.3">
      <c r="H45447" t="str">
        <f t="shared" si="759"/>
        <v/>
      </c>
    </row>
    <row r="45448" spans="8:8" x14ac:dyDescent="0.3">
      <c r="H45448" t="str">
        <f t="shared" si="759"/>
        <v/>
      </c>
    </row>
    <row r="45449" spans="8:8" x14ac:dyDescent="0.3">
      <c r="H45449" t="str">
        <f t="shared" si="759"/>
        <v/>
      </c>
    </row>
    <row r="45450" spans="8:8" x14ac:dyDescent="0.3">
      <c r="H45450" t="str">
        <f t="shared" si="759"/>
        <v/>
      </c>
    </row>
    <row r="45451" spans="8:8" x14ac:dyDescent="0.3">
      <c r="H45451" t="str">
        <f t="shared" si="759"/>
        <v/>
      </c>
    </row>
    <row r="45452" spans="8:8" x14ac:dyDescent="0.3">
      <c r="H45452" t="str">
        <f t="shared" si="759"/>
        <v/>
      </c>
    </row>
    <row r="45453" spans="8:8" x14ac:dyDescent="0.3">
      <c r="H45453" t="str">
        <f t="shared" si="759"/>
        <v/>
      </c>
    </row>
    <row r="45454" spans="8:8" x14ac:dyDescent="0.3">
      <c r="H45454" t="str">
        <f t="shared" si="759"/>
        <v/>
      </c>
    </row>
    <row r="45455" spans="8:8" x14ac:dyDescent="0.3">
      <c r="H45455" t="str">
        <f t="shared" si="759"/>
        <v/>
      </c>
    </row>
    <row r="45456" spans="8:8" x14ac:dyDescent="0.3">
      <c r="H45456" t="str">
        <f t="shared" si="759"/>
        <v/>
      </c>
    </row>
    <row r="45457" spans="8:8" x14ac:dyDescent="0.3">
      <c r="H45457" t="str">
        <f t="shared" si="759"/>
        <v/>
      </c>
    </row>
    <row r="45458" spans="8:8" x14ac:dyDescent="0.3">
      <c r="H45458" t="str">
        <f t="shared" si="759"/>
        <v/>
      </c>
    </row>
    <row r="45459" spans="8:8" x14ac:dyDescent="0.3">
      <c r="H45459" t="str">
        <f t="shared" si="759"/>
        <v/>
      </c>
    </row>
    <row r="45460" spans="8:8" x14ac:dyDescent="0.3">
      <c r="H45460" t="str">
        <f t="shared" si="759"/>
        <v/>
      </c>
    </row>
    <row r="45461" spans="8:8" x14ac:dyDescent="0.3">
      <c r="H45461" t="str">
        <f t="shared" si="759"/>
        <v/>
      </c>
    </row>
    <row r="45462" spans="8:8" x14ac:dyDescent="0.3">
      <c r="H45462" t="str">
        <f t="shared" si="759"/>
        <v/>
      </c>
    </row>
    <row r="45463" spans="8:8" x14ac:dyDescent="0.3">
      <c r="H45463" t="str">
        <f t="shared" ref="H45463:H45526" si="760">IF(B45463="","",$C$12)</f>
        <v/>
      </c>
    </row>
    <row r="45464" spans="8:8" x14ac:dyDescent="0.3">
      <c r="H45464" t="str">
        <f t="shared" si="760"/>
        <v/>
      </c>
    </row>
    <row r="45465" spans="8:8" x14ac:dyDescent="0.3">
      <c r="H45465" t="str">
        <f t="shared" si="760"/>
        <v/>
      </c>
    </row>
    <row r="45466" spans="8:8" x14ac:dyDescent="0.3">
      <c r="H45466" t="str">
        <f t="shared" si="760"/>
        <v/>
      </c>
    </row>
    <row r="45467" spans="8:8" x14ac:dyDescent="0.3">
      <c r="H45467" t="str">
        <f t="shared" si="760"/>
        <v/>
      </c>
    </row>
    <row r="45468" spans="8:8" x14ac:dyDescent="0.3">
      <c r="H45468" t="str">
        <f t="shared" si="760"/>
        <v/>
      </c>
    </row>
    <row r="45469" spans="8:8" x14ac:dyDescent="0.3">
      <c r="H45469" t="str">
        <f t="shared" si="760"/>
        <v/>
      </c>
    </row>
    <row r="45470" spans="8:8" x14ac:dyDescent="0.3">
      <c r="H45470" t="str">
        <f t="shared" si="760"/>
        <v/>
      </c>
    </row>
    <row r="45471" spans="8:8" x14ac:dyDescent="0.3">
      <c r="H45471" t="str">
        <f t="shared" si="760"/>
        <v/>
      </c>
    </row>
    <row r="45472" spans="8:8" x14ac:dyDescent="0.3">
      <c r="H45472" t="str">
        <f t="shared" si="760"/>
        <v/>
      </c>
    </row>
    <row r="45473" spans="8:8" x14ac:dyDescent="0.3">
      <c r="H45473" t="str">
        <f t="shared" si="760"/>
        <v/>
      </c>
    </row>
    <row r="45474" spans="8:8" x14ac:dyDescent="0.3">
      <c r="H45474" t="str">
        <f t="shared" si="760"/>
        <v/>
      </c>
    </row>
    <row r="45475" spans="8:8" x14ac:dyDescent="0.3">
      <c r="H45475" t="str">
        <f t="shared" si="760"/>
        <v/>
      </c>
    </row>
    <row r="45476" spans="8:8" x14ac:dyDescent="0.3">
      <c r="H45476" t="str">
        <f t="shared" si="760"/>
        <v/>
      </c>
    </row>
    <row r="45477" spans="8:8" x14ac:dyDescent="0.3">
      <c r="H45477" t="str">
        <f t="shared" si="760"/>
        <v/>
      </c>
    </row>
    <row r="45478" spans="8:8" x14ac:dyDescent="0.3">
      <c r="H45478" t="str">
        <f t="shared" si="760"/>
        <v/>
      </c>
    </row>
    <row r="45479" spans="8:8" x14ac:dyDescent="0.3">
      <c r="H45479" t="str">
        <f t="shared" si="760"/>
        <v/>
      </c>
    </row>
    <row r="45480" spans="8:8" x14ac:dyDescent="0.3">
      <c r="H45480" t="str">
        <f t="shared" si="760"/>
        <v/>
      </c>
    </row>
    <row r="45481" spans="8:8" x14ac:dyDescent="0.3">
      <c r="H45481" t="str">
        <f t="shared" si="760"/>
        <v/>
      </c>
    </row>
    <row r="45482" spans="8:8" x14ac:dyDescent="0.3">
      <c r="H45482" t="str">
        <f t="shared" si="760"/>
        <v/>
      </c>
    </row>
    <row r="45483" spans="8:8" x14ac:dyDescent="0.3">
      <c r="H45483" t="str">
        <f t="shared" si="760"/>
        <v/>
      </c>
    </row>
    <row r="45484" spans="8:8" x14ac:dyDescent="0.3">
      <c r="H45484" t="str">
        <f t="shared" si="760"/>
        <v/>
      </c>
    </row>
    <row r="45485" spans="8:8" x14ac:dyDescent="0.3">
      <c r="H45485" t="str">
        <f t="shared" si="760"/>
        <v/>
      </c>
    </row>
    <row r="45486" spans="8:8" x14ac:dyDescent="0.3">
      <c r="H45486" t="str">
        <f t="shared" si="760"/>
        <v/>
      </c>
    </row>
    <row r="45487" spans="8:8" x14ac:dyDescent="0.3">
      <c r="H45487" t="str">
        <f t="shared" si="760"/>
        <v/>
      </c>
    </row>
    <row r="45488" spans="8:8" x14ac:dyDescent="0.3">
      <c r="H45488" t="str">
        <f t="shared" si="760"/>
        <v/>
      </c>
    </row>
    <row r="45489" spans="8:8" x14ac:dyDescent="0.3">
      <c r="H45489" t="str">
        <f t="shared" si="760"/>
        <v/>
      </c>
    </row>
    <row r="45490" spans="8:8" x14ac:dyDescent="0.3">
      <c r="H45490" t="str">
        <f t="shared" si="760"/>
        <v/>
      </c>
    </row>
    <row r="45491" spans="8:8" x14ac:dyDescent="0.3">
      <c r="H45491" t="str">
        <f t="shared" si="760"/>
        <v/>
      </c>
    </row>
    <row r="45492" spans="8:8" x14ac:dyDescent="0.3">
      <c r="H45492" t="str">
        <f t="shared" si="760"/>
        <v/>
      </c>
    </row>
    <row r="45493" spans="8:8" x14ac:dyDescent="0.3">
      <c r="H45493" t="str">
        <f t="shared" si="760"/>
        <v/>
      </c>
    </row>
    <row r="45494" spans="8:8" x14ac:dyDescent="0.3">
      <c r="H45494" t="str">
        <f t="shared" si="760"/>
        <v/>
      </c>
    </row>
    <row r="45495" spans="8:8" x14ac:dyDescent="0.3">
      <c r="H45495" t="str">
        <f t="shared" si="760"/>
        <v/>
      </c>
    </row>
    <row r="45496" spans="8:8" x14ac:dyDescent="0.3">
      <c r="H45496" t="str">
        <f t="shared" si="760"/>
        <v/>
      </c>
    </row>
    <row r="45497" spans="8:8" x14ac:dyDescent="0.3">
      <c r="H45497" t="str">
        <f t="shared" si="760"/>
        <v/>
      </c>
    </row>
    <row r="45498" spans="8:8" x14ac:dyDescent="0.3">
      <c r="H45498" t="str">
        <f t="shared" si="760"/>
        <v/>
      </c>
    </row>
    <row r="45499" spans="8:8" x14ac:dyDescent="0.3">
      <c r="H45499" t="str">
        <f t="shared" si="760"/>
        <v/>
      </c>
    </row>
    <row r="45500" spans="8:8" x14ac:dyDescent="0.3">
      <c r="H45500" t="str">
        <f t="shared" si="760"/>
        <v/>
      </c>
    </row>
    <row r="45501" spans="8:8" x14ac:dyDescent="0.3">
      <c r="H45501" t="str">
        <f t="shared" si="760"/>
        <v/>
      </c>
    </row>
    <row r="45502" spans="8:8" x14ac:dyDescent="0.3">
      <c r="H45502" t="str">
        <f t="shared" si="760"/>
        <v/>
      </c>
    </row>
    <row r="45503" spans="8:8" x14ac:dyDescent="0.3">
      <c r="H45503" t="str">
        <f t="shared" si="760"/>
        <v/>
      </c>
    </row>
    <row r="45504" spans="8:8" x14ac:dyDescent="0.3">
      <c r="H45504" t="str">
        <f t="shared" si="760"/>
        <v/>
      </c>
    </row>
    <row r="45505" spans="8:8" x14ac:dyDescent="0.3">
      <c r="H45505" t="str">
        <f t="shared" si="760"/>
        <v/>
      </c>
    </row>
    <row r="45506" spans="8:8" x14ac:dyDescent="0.3">
      <c r="H45506" t="str">
        <f t="shared" si="760"/>
        <v/>
      </c>
    </row>
    <row r="45507" spans="8:8" x14ac:dyDescent="0.3">
      <c r="H45507" t="str">
        <f t="shared" si="760"/>
        <v/>
      </c>
    </row>
    <row r="45508" spans="8:8" x14ac:dyDescent="0.3">
      <c r="H45508" t="str">
        <f t="shared" si="760"/>
        <v/>
      </c>
    </row>
    <row r="45509" spans="8:8" x14ac:dyDescent="0.3">
      <c r="H45509" t="str">
        <f t="shared" si="760"/>
        <v/>
      </c>
    </row>
    <row r="45510" spans="8:8" x14ac:dyDescent="0.3">
      <c r="H45510" t="str">
        <f t="shared" si="760"/>
        <v/>
      </c>
    </row>
    <row r="45511" spans="8:8" x14ac:dyDescent="0.3">
      <c r="H45511" t="str">
        <f t="shared" si="760"/>
        <v/>
      </c>
    </row>
    <row r="45512" spans="8:8" x14ac:dyDescent="0.3">
      <c r="H45512" t="str">
        <f t="shared" si="760"/>
        <v/>
      </c>
    </row>
    <row r="45513" spans="8:8" x14ac:dyDescent="0.3">
      <c r="H45513" t="str">
        <f t="shared" si="760"/>
        <v/>
      </c>
    </row>
    <row r="45514" spans="8:8" x14ac:dyDescent="0.3">
      <c r="H45514" t="str">
        <f t="shared" si="760"/>
        <v/>
      </c>
    </row>
    <row r="45515" spans="8:8" x14ac:dyDescent="0.3">
      <c r="H45515" t="str">
        <f t="shared" si="760"/>
        <v/>
      </c>
    </row>
    <row r="45516" spans="8:8" x14ac:dyDescent="0.3">
      <c r="H45516" t="str">
        <f t="shared" si="760"/>
        <v/>
      </c>
    </row>
    <row r="45517" spans="8:8" x14ac:dyDescent="0.3">
      <c r="H45517" t="str">
        <f t="shared" si="760"/>
        <v/>
      </c>
    </row>
    <row r="45518" spans="8:8" x14ac:dyDescent="0.3">
      <c r="H45518" t="str">
        <f t="shared" si="760"/>
        <v/>
      </c>
    </row>
    <row r="45519" spans="8:8" x14ac:dyDescent="0.3">
      <c r="H45519" t="str">
        <f t="shared" si="760"/>
        <v/>
      </c>
    </row>
    <row r="45520" spans="8:8" x14ac:dyDescent="0.3">
      <c r="H45520" t="str">
        <f t="shared" si="760"/>
        <v/>
      </c>
    </row>
    <row r="45521" spans="8:8" x14ac:dyDescent="0.3">
      <c r="H45521" t="str">
        <f t="shared" si="760"/>
        <v/>
      </c>
    </row>
    <row r="45522" spans="8:8" x14ac:dyDescent="0.3">
      <c r="H45522" t="str">
        <f t="shared" si="760"/>
        <v/>
      </c>
    </row>
    <row r="45523" spans="8:8" x14ac:dyDescent="0.3">
      <c r="H45523" t="str">
        <f t="shared" si="760"/>
        <v/>
      </c>
    </row>
    <row r="45524" spans="8:8" x14ac:dyDescent="0.3">
      <c r="H45524" t="str">
        <f t="shared" si="760"/>
        <v/>
      </c>
    </row>
    <row r="45525" spans="8:8" x14ac:dyDescent="0.3">
      <c r="H45525" t="str">
        <f t="shared" si="760"/>
        <v/>
      </c>
    </row>
    <row r="45526" spans="8:8" x14ac:dyDescent="0.3">
      <c r="H45526" t="str">
        <f t="shared" si="760"/>
        <v/>
      </c>
    </row>
    <row r="45527" spans="8:8" x14ac:dyDescent="0.3">
      <c r="H45527" t="str">
        <f t="shared" ref="H45527:H45590" si="761">IF(B45527="","",$C$12)</f>
        <v/>
      </c>
    </row>
    <row r="45528" spans="8:8" x14ac:dyDescent="0.3">
      <c r="H45528" t="str">
        <f t="shared" si="761"/>
        <v/>
      </c>
    </row>
    <row r="45529" spans="8:8" x14ac:dyDescent="0.3">
      <c r="H45529" t="str">
        <f t="shared" si="761"/>
        <v/>
      </c>
    </row>
    <row r="45530" spans="8:8" x14ac:dyDescent="0.3">
      <c r="H45530" t="str">
        <f t="shared" si="761"/>
        <v/>
      </c>
    </row>
    <row r="45531" spans="8:8" x14ac:dyDescent="0.3">
      <c r="H45531" t="str">
        <f t="shared" si="761"/>
        <v/>
      </c>
    </row>
    <row r="45532" spans="8:8" x14ac:dyDescent="0.3">
      <c r="H45532" t="str">
        <f t="shared" si="761"/>
        <v/>
      </c>
    </row>
    <row r="45533" spans="8:8" x14ac:dyDescent="0.3">
      <c r="H45533" t="str">
        <f t="shared" si="761"/>
        <v/>
      </c>
    </row>
    <row r="45534" spans="8:8" x14ac:dyDescent="0.3">
      <c r="H45534" t="str">
        <f t="shared" si="761"/>
        <v/>
      </c>
    </row>
    <row r="45535" spans="8:8" x14ac:dyDescent="0.3">
      <c r="H45535" t="str">
        <f t="shared" si="761"/>
        <v/>
      </c>
    </row>
    <row r="45536" spans="8:8" x14ac:dyDescent="0.3">
      <c r="H45536" t="str">
        <f t="shared" si="761"/>
        <v/>
      </c>
    </row>
    <row r="45537" spans="8:8" x14ac:dyDescent="0.3">
      <c r="H45537" t="str">
        <f t="shared" si="761"/>
        <v/>
      </c>
    </row>
    <row r="45538" spans="8:8" x14ac:dyDescent="0.3">
      <c r="H45538" t="str">
        <f t="shared" si="761"/>
        <v/>
      </c>
    </row>
    <row r="45539" spans="8:8" x14ac:dyDescent="0.3">
      <c r="H45539" t="str">
        <f t="shared" si="761"/>
        <v/>
      </c>
    </row>
    <row r="45540" spans="8:8" x14ac:dyDescent="0.3">
      <c r="H45540" t="str">
        <f t="shared" si="761"/>
        <v/>
      </c>
    </row>
    <row r="45541" spans="8:8" x14ac:dyDescent="0.3">
      <c r="H45541" t="str">
        <f t="shared" si="761"/>
        <v/>
      </c>
    </row>
    <row r="45542" spans="8:8" x14ac:dyDescent="0.3">
      <c r="H45542" t="str">
        <f t="shared" si="761"/>
        <v/>
      </c>
    </row>
    <row r="45543" spans="8:8" x14ac:dyDescent="0.3">
      <c r="H45543" t="str">
        <f t="shared" si="761"/>
        <v/>
      </c>
    </row>
    <row r="45544" spans="8:8" x14ac:dyDescent="0.3">
      <c r="H45544" t="str">
        <f t="shared" si="761"/>
        <v/>
      </c>
    </row>
    <row r="45545" spans="8:8" x14ac:dyDescent="0.3">
      <c r="H45545" t="str">
        <f t="shared" si="761"/>
        <v/>
      </c>
    </row>
    <row r="45546" spans="8:8" x14ac:dyDescent="0.3">
      <c r="H45546" t="str">
        <f t="shared" si="761"/>
        <v/>
      </c>
    </row>
    <row r="45547" spans="8:8" x14ac:dyDescent="0.3">
      <c r="H45547" t="str">
        <f t="shared" si="761"/>
        <v/>
      </c>
    </row>
    <row r="45548" spans="8:8" x14ac:dyDescent="0.3">
      <c r="H45548" t="str">
        <f t="shared" si="761"/>
        <v/>
      </c>
    </row>
    <row r="45549" spans="8:8" x14ac:dyDescent="0.3">
      <c r="H45549" t="str">
        <f t="shared" si="761"/>
        <v/>
      </c>
    </row>
    <row r="45550" spans="8:8" x14ac:dyDescent="0.3">
      <c r="H45550" t="str">
        <f t="shared" si="761"/>
        <v/>
      </c>
    </row>
    <row r="45551" spans="8:8" x14ac:dyDescent="0.3">
      <c r="H45551" t="str">
        <f t="shared" si="761"/>
        <v/>
      </c>
    </row>
    <row r="45552" spans="8:8" x14ac:dyDescent="0.3">
      <c r="H45552" t="str">
        <f t="shared" si="761"/>
        <v/>
      </c>
    </row>
    <row r="45553" spans="8:8" x14ac:dyDescent="0.3">
      <c r="H45553" t="str">
        <f t="shared" si="761"/>
        <v/>
      </c>
    </row>
    <row r="45554" spans="8:8" x14ac:dyDescent="0.3">
      <c r="H45554" t="str">
        <f t="shared" si="761"/>
        <v/>
      </c>
    </row>
    <row r="45555" spans="8:8" x14ac:dyDescent="0.3">
      <c r="H45555" t="str">
        <f t="shared" si="761"/>
        <v/>
      </c>
    </row>
    <row r="45556" spans="8:8" x14ac:dyDescent="0.3">
      <c r="H45556" t="str">
        <f t="shared" si="761"/>
        <v/>
      </c>
    </row>
    <row r="45557" spans="8:8" x14ac:dyDescent="0.3">
      <c r="H45557" t="str">
        <f t="shared" si="761"/>
        <v/>
      </c>
    </row>
    <row r="45558" spans="8:8" x14ac:dyDescent="0.3">
      <c r="H45558" t="str">
        <f t="shared" si="761"/>
        <v/>
      </c>
    </row>
    <row r="45559" spans="8:8" x14ac:dyDescent="0.3">
      <c r="H45559" t="str">
        <f t="shared" si="761"/>
        <v/>
      </c>
    </row>
    <row r="45560" spans="8:8" x14ac:dyDescent="0.3">
      <c r="H45560" t="str">
        <f t="shared" si="761"/>
        <v/>
      </c>
    </row>
    <row r="45561" spans="8:8" x14ac:dyDescent="0.3">
      <c r="H45561" t="str">
        <f t="shared" si="761"/>
        <v/>
      </c>
    </row>
    <row r="45562" spans="8:8" x14ac:dyDescent="0.3">
      <c r="H45562" t="str">
        <f t="shared" si="761"/>
        <v/>
      </c>
    </row>
    <row r="45563" spans="8:8" x14ac:dyDescent="0.3">
      <c r="H45563" t="str">
        <f t="shared" si="761"/>
        <v/>
      </c>
    </row>
    <row r="45564" spans="8:8" x14ac:dyDescent="0.3">
      <c r="H45564" t="str">
        <f t="shared" si="761"/>
        <v/>
      </c>
    </row>
    <row r="45565" spans="8:8" x14ac:dyDescent="0.3">
      <c r="H45565" t="str">
        <f t="shared" si="761"/>
        <v/>
      </c>
    </row>
    <row r="45566" spans="8:8" x14ac:dyDescent="0.3">
      <c r="H45566" t="str">
        <f t="shared" si="761"/>
        <v/>
      </c>
    </row>
    <row r="45567" spans="8:8" x14ac:dyDescent="0.3">
      <c r="H45567" t="str">
        <f t="shared" si="761"/>
        <v/>
      </c>
    </row>
    <row r="45568" spans="8:8" x14ac:dyDescent="0.3">
      <c r="H45568" t="str">
        <f t="shared" si="761"/>
        <v/>
      </c>
    </row>
    <row r="45569" spans="8:8" x14ac:dyDescent="0.3">
      <c r="H45569" t="str">
        <f t="shared" si="761"/>
        <v/>
      </c>
    </row>
    <row r="45570" spans="8:8" x14ac:dyDescent="0.3">
      <c r="H45570" t="str">
        <f t="shared" si="761"/>
        <v/>
      </c>
    </row>
    <row r="45571" spans="8:8" x14ac:dyDescent="0.3">
      <c r="H45571" t="str">
        <f t="shared" si="761"/>
        <v/>
      </c>
    </row>
    <row r="45572" spans="8:8" x14ac:dyDescent="0.3">
      <c r="H45572" t="str">
        <f t="shared" si="761"/>
        <v/>
      </c>
    </row>
    <row r="45573" spans="8:8" x14ac:dyDescent="0.3">
      <c r="H45573" t="str">
        <f t="shared" si="761"/>
        <v/>
      </c>
    </row>
    <row r="45574" spans="8:8" x14ac:dyDescent="0.3">
      <c r="H45574" t="str">
        <f t="shared" si="761"/>
        <v/>
      </c>
    </row>
    <row r="45575" spans="8:8" x14ac:dyDescent="0.3">
      <c r="H45575" t="str">
        <f t="shared" si="761"/>
        <v/>
      </c>
    </row>
    <row r="45576" spans="8:8" x14ac:dyDescent="0.3">
      <c r="H45576" t="str">
        <f t="shared" si="761"/>
        <v/>
      </c>
    </row>
    <row r="45577" spans="8:8" x14ac:dyDescent="0.3">
      <c r="H45577" t="str">
        <f t="shared" si="761"/>
        <v/>
      </c>
    </row>
    <row r="45578" spans="8:8" x14ac:dyDescent="0.3">
      <c r="H45578" t="str">
        <f t="shared" si="761"/>
        <v/>
      </c>
    </row>
    <row r="45579" spans="8:8" x14ac:dyDescent="0.3">
      <c r="H45579" t="str">
        <f t="shared" si="761"/>
        <v/>
      </c>
    </row>
    <row r="45580" spans="8:8" x14ac:dyDescent="0.3">
      <c r="H45580" t="str">
        <f t="shared" si="761"/>
        <v/>
      </c>
    </row>
    <row r="45581" spans="8:8" x14ac:dyDescent="0.3">
      <c r="H45581" t="str">
        <f t="shared" si="761"/>
        <v/>
      </c>
    </row>
    <row r="45582" spans="8:8" x14ac:dyDescent="0.3">
      <c r="H45582" t="str">
        <f t="shared" si="761"/>
        <v/>
      </c>
    </row>
    <row r="45583" spans="8:8" x14ac:dyDescent="0.3">
      <c r="H45583" t="str">
        <f t="shared" si="761"/>
        <v/>
      </c>
    </row>
    <row r="45584" spans="8:8" x14ac:dyDescent="0.3">
      <c r="H45584" t="str">
        <f t="shared" si="761"/>
        <v/>
      </c>
    </row>
    <row r="45585" spans="8:8" x14ac:dyDescent="0.3">
      <c r="H45585" t="str">
        <f t="shared" si="761"/>
        <v/>
      </c>
    </row>
    <row r="45586" spans="8:8" x14ac:dyDescent="0.3">
      <c r="H45586" t="str">
        <f t="shared" si="761"/>
        <v/>
      </c>
    </row>
    <row r="45587" spans="8:8" x14ac:dyDescent="0.3">
      <c r="H45587" t="str">
        <f t="shared" si="761"/>
        <v/>
      </c>
    </row>
    <row r="45588" spans="8:8" x14ac:dyDescent="0.3">
      <c r="H45588" t="str">
        <f t="shared" si="761"/>
        <v/>
      </c>
    </row>
    <row r="45589" spans="8:8" x14ac:dyDescent="0.3">
      <c r="H45589" t="str">
        <f t="shared" si="761"/>
        <v/>
      </c>
    </row>
    <row r="45590" spans="8:8" x14ac:dyDescent="0.3">
      <c r="H45590" t="str">
        <f t="shared" si="761"/>
        <v/>
      </c>
    </row>
    <row r="45591" spans="8:8" x14ac:dyDescent="0.3">
      <c r="H45591" t="str">
        <f t="shared" ref="H45591:H45654" si="762">IF(B45591="","",$C$12)</f>
        <v/>
      </c>
    </row>
    <row r="45592" spans="8:8" x14ac:dyDescent="0.3">
      <c r="H45592" t="str">
        <f t="shared" si="762"/>
        <v/>
      </c>
    </row>
    <row r="45593" spans="8:8" x14ac:dyDescent="0.3">
      <c r="H45593" t="str">
        <f t="shared" si="762"/>
        <v/>
      </c>
    </row>
    <row r="45594" spans="8:8" x14ac:dyDescent="0.3">
      <c r="H45594" t="str">
        <f t="shared" si="762"/>
        <v/>
      </c>
    </row>
    <row r="45595" spans="8:8" x14ac:dyDescent="0.3">
      <c r="H45595" t="str">
        <f t="shared" si="762"/>
        <v/>
      </c>
    </row>
    <row r="45596" spans="8:8" x14ac:dyDescent="0.3">
      <c r="H45596" t="str">
        <f t="shared" si="762"/>
        <v/>
      </c>
    </row>
    <row r="45597" spans="8:8" x14ac:dyDescent="0.3">
      <c r="H45597" t="str">
        <f t="shared" si="762"/>
        <v/>
      </c>
    </row>
    <row r="45598" spans="8:8" x14ac:dyDescent="0.3">
      <c r="H45598" t="str">
        <f t="shared" si="762"/>
        <v/>
      </c>
    </row>
    <row r="45599" spans="8:8" x14ac:dyDescent="0.3">
      <c r="H45599" t="str">
        <f t="shared" si="762"/>
        <v/>
      </c>
    </row>
    <row r="45600" spans="8:8" x14ac:dyDescent="0.3">
      <c r="H45600" t="str">
        <f t="shared" si="762"/>
        <v/>
      </c>
    </row>
    <row r="45601" spans="8:8" x14ac:dyDescent="0.3">
      <c r="H45601" t="str">
        <f t="shared" si="762"/>
        <v/>
      </c>
    </row>
    <row r="45602" spans="8:8" x14ac:dyDescent="0.3">
      <c r="H45602" t="str">
        <f t="shared" si="762"/>
        <v/>
      </c>
    </row>
    <row r="45603" spans="8:8" x14ac:dyDescent="0.3">
      <c r="H45603" t="str">
        <f t="shared" si="762"/>
        <v/>
      </c>
    </row>
    <row r="45604" spans="8:8" x14ac:dyDescent="0.3">
      <c r="H45604" t="str">
        <f t="shared" si="762"/>
        <v/>
      </c>
    </row>
    <row r="45605" spans="8:8" x14ac:dyDescent="0.3">
      <c r="H45605" t="str">
        <f t="shared" si="762"/>
        <v/>
      </c>
    </row>
    <row r="45606" spans="8:8" x14ac:dyDescent="0.3">
      <c r="H45606" t="str">
        <f t="shared" si="762"/>
        <v/>
      </c>
    </row>
    <row r="45607" spans="8:8" x14ac:dyDescent="0.3">
      <c r="H45607" t="str">
        <f t="shared" si="762"/>
        <v/>
      </c>
    </row>
    <row r="45608" spans="8:8" x14ac:dyDescent="0.3">
      <c r="H45608" t="str">
        <f t="shared" si="762"/>
        <v/>
      </c>
    </row>
    <row r="45609" spans="8:8" x14ac:dyDescent="0.3">
      <c r="H45609" t="str">
        <f t="shared" si="762"/>
        <v/>
      </c>
    </row>
    <row r="45610" spans="8:8" x14ac:dyDescent="0.3">
      <c r="H45610" t="str">
        <f t="shared" si="762"/>
        <v/>
      </c>
    </row>
    <row r="45611" spans="8:8" x14ac:dyDescent="0.3">
      <c r="H45611" t="str">
        <f t="shared" si="762"/>
        <v/>
      </c>
    </row>
    <row r="45612" spans="8:8" x14ac:dyDescent="0.3">
      <c r="H45612" t="str">
        <f t="shared" si="762"/>
        <v/>
      </c>
    </row>
    <row r="45613" spans="8:8" x14ac:dyDescent="0.3">
      <c r="H45613" t="str">
        <f t="shared" si="762"/>
        <v/>
      </c>
    </row>
    <row r="45614" spans="8:8" x14ac:dyDescent="0.3">
      <c r="H45614" t="str">
        <f t="shared" si="762"/>
        <v/>
      </c>
    </row>
    <row r="45615" spans="8:8" x14ac:dyDescent="0.3">
      <c r="H45615" t="str">
        <f t="shared" si="762"/>
        <v/>
      </c>
    </row>
    <row r="45616" spans="8:8" x14ac:dyDescent="0.3">
      <c r="H45616" t="str">
        <f t="shared" si="762"/>
        <v/>
      </c>
    </row>
    <row r="45617" spans="8:8" x14ac:dyDescent="0.3">
      <c r="H45617" t="str">
        <f t="shared" si="762"/>
        <v/>
      </c>
    </row>
    <row r="45618" spans="8:8" x14ac:dyDescent="0.3">
      <c r="H45618" t="str">
        <f t="shared" si="762"/>
        <v/>
      </c>
    </row>
    <row r="45619" spans="8:8" x14ac:dyDescent="0.3">
      <c r="H45619" t="str">
        <f t="shared" si="762"/>
        <v/>
      </c>
    </row>
    <row r="45620" spans="8:8" x14ac:dyDescent="0.3">
      <c r="H45620" t="str">
        <f t="shared" si="762"/>
        <v/>
      </c>
    </row>
    <row r="45621" spans="8:8" x14ac:dyDescent="0.3">
      <c r="H45621" t="str">
        <f t="shared" si="762"/>
        <v/>
      </c>
    </row>
    <row r="45622" spans="8:8" x14ac:dyDescent="0.3">
      <c r="H45622" t="str">
        <f t="shared" si="762"/>
        <v/>
      </c>
    </row>
    <row r="45623" spans="8:8" x14ac:dyDescent="0.3">
      <c r="H45623" t="str">
        <f t="shared" si="762"/>
        <v/>
      </c>
    </row>
    <row r="45624" spans="8:8" x14ac:dyDescent="0.3">
      <c r="H45624" t="str">
        <f t="shared" si="762"/>
        <v/>
      </c>
    </row>
    <row r="45625" spans="8:8" x14ac:dyDescent="0.3">
      <c r="H45625" t="str">
        <f t="shared" si="762"/>
        <v/>
      </c>
    </row>
    <row r="45626" spans="8:8" x14ac:dyDescent="0.3">
      <c r="H45626" t="str">
        <f t="shared" si="762"/>
        <v/>
      </c>
    </row>
    <row r="45627" spans="8:8" x14ac:dyDescent="0.3">
      <c r="H45627" t="str">
        <f t="shared" si="762"/>
        <v/>
      </c>
    </row>
    <row r="45628" spans="8:8" x14ac:dyDescent="0.3">
      <c r="H45628" t="str">
        <f t="shared" si="762"/>
        <v/>
      </c>
    </row>
    <row r="45629" spans="8:8" x14ac:dyDescent="0.3">
      <c r="H45629" t="str">
        <f t="shared" si="762"/>
        <v/>
      </c>
    </row>
    <row r="45630" spans="8:8" x14ac:dyDescent="0.3">
      <c r="H45630" t="str">
        <f t="shared" si="762"/>
        <v/>
      </c>
    </row>
    <row r="45631" spans="8:8" x14ac:dyDescent="0.3">
      <c r="H45631" t="str">
        <f t="shared" si="762"/>
        <v/>
      </c>
    </row>
    <row r="45632" spans="8:8" x14ac:dyDescent="0.3">
      <c r="H45632" t="str">
        <f t="shared" si="762"/>
        <v/>
      </c>
    </row>
    <row r="45633" spans="8:8" x14ac:dyDescent="0.3">
      <c r="H45633" t="str">
        <f t="shared" si="762"/>
        <v/>
      </c>
    </row>
    <row r="45634" spans="8:8" x14ac:dyDescent="0.3">
      <c r="H45634" t="str">
        <f t="shared" si="762"/>
        <v/>
      </c>
    </row>
    <row r="45635" spans="8:8" x14ac:dyDescent="0.3">
      <c r="H45635" t="str">
        <f t="shared" si="762"/>
        <v/>
      </c>
    </row>
    <row r="45636" spans="8:8" x14ac:dyDescent="0.3">
      <c r="H45636" t="str">
        <f t="shared" si="762"/>
        <v/>
      </c>
    </row>
    <row r="45637" spans="8:8" x14ac:dyDescent="0.3">
      <c r="H45637" t="str">
        <f t="shared" si="762"/>
        <v/>
      </c>
    </row>
    <row r="45638" spans="8:8" x14ac:dyDescent="0.3">
      <c r="H45638" t="str">
        <f t="shared" si="762"/>
        <v/>
      </c>
    </row>
    <row r="45639" spans="8:8" x14ac:dyDescent="0.3">
      <c r="H45639" t="str">
        <f t="shared" si="762"/>
        <v/>
      </c>
    </row>
    <row r="45640" spans="8:8" x14ac:dyDescent="0.3">
      <c r="H45640" t="str">
        <f t="shared" si="762"/>
        <v/>
      </c>
    </row>
    <row r="45641" spans="8:8" x14ac:dyDescent="0.3">
      <c r="H45641" t="str">
        <f t="shared" si="762"/>
        <v/>
      </c>
    </row>
    <row r="45642" spans="8:8" x14ac:dyDescent="0.3">
      <c r="H45642" t="str">
        <f t="shared" si="762"/>
        <v/>
      </c>
    </row>
    <row r="45643" spans="8:8" x14ac:dyDescent="0.3">
      <c r="H45643" t="str">
        <f t="shared" si="762"/>
        <v/>
      </c>
    </row>
    <row r="45644" spans="8:8" x14ac:dyDescent="0.3">
      <c r="H45644" t="str">
        <f t="shared" si="762"/>
        <v/>
      </c>
    </row>
    <row r="45645" spans="8:8" x14ac:dyDescent="0.3">
      <c r="H45645" t="str">
        <f t="shared" si="762"/>
        <v/>
      </c>
    </row>
    <row r="45646" spans="8:8" x14ac:dyDescent="0.3">
      <c r="H45646" t="str">
        <f t="shared" si="762"/>
        <v/>
      </c>
    </row>
    <row r="45647" spans="8:8" x14ac:dyDescent="0.3">
      <c r="H45647" t="str">
        <f t="shared" si="762"/>
        <v/>
      </c>
    </row>
    <row r="45648" spans="8:8" x14ac:dyDescent="0.3">
      <c r="H45648" t="str">
        <f t="shared" si="762"/>
        <v/>
      </c>
    </row>
    <row r="45649" spans="8:8" x14ac:dyDescent="0.3">
      <c r="H45649" t="str">
        <f t="shared" si="762"/>
        <v/>
      </c>
    </row>
    <row r="45650" spans="8:8" x14ac:dyDescent="0.3">
      <c r="H45650" t="str">
        <f t="shared" si="762"/>
        <v/>
      </c>
    </row>
    <row r="45651" spans="8:8" x14ac:dyDescent="0.3">
      <c r="H45651" t="str">
        <f t="shared" si="762"/>
        <v/>
      </c>
    </row>
    <row r="45652" spans="8:8" x14ac:dyDescent="0.3">
      <c r="H45652" t="str">
        <f t="shared" si="762"/>
        <v/>
      </c>
    </row>
    <row r="45653" spans="8:8" x14ac:dyDescent="0.3">
      <c r="H45653" t="str">
        <f t="shared" si="762"/>
        <v/>
      </c>
    </row>
    <row r="45654" spans="8:8" x14ac:dyDescent="0.3">
      <c r="H45654" t="str">
        <f t="shared" si="762"/>
        <v/>
      </c>
    </row>
    <row r="45655" spans="8:8" x14ac:dyDescent="0.3">
      <c r="H45655" t="str">
        <f t="shared" ref="H45655:H45718" si="763">IF(B45655="","",$C$12)</f>
        <v/>
      </c>
    </row>
    <row r="45656" spans="8:8" x14ac:dyDescent="0.3">
      <c r="H45656" t="str">
        <f t="shared" si="763"/>
        <v/>
      </c>
    </row>
    <row r="45657" spans="8:8" x14ac:dyDescent="0.3">
      <c r="H45657" t="str">
        <f t="shared" si="763"/>
        <v/>
      </c>
    </row>
    <row r="45658" spans="8:8" x14ac:dyDescent="0.3">
      <c r="H45658" t="str">
        <f t="shared" si="763"/>
        <v/>
      </c>
    </row>
    <row r="45659" spans="8:8" x14ac:dyDescent="0.3">
      <c r="H45659" t="str">
        <f t="shared" si="763"/>
        <v/>
      </c>
    </row>
    <row r="45660" spans="8:8" x14ac:dyDescent="0.3">
      <c r="H45660" t="str">
        <f t="shared" si="763"/>
        <v/>
      </c>
    </row>
    <row r="45661" spans="8:8" x14ac:dyDescent="0.3">
      <c r="H45661" t="str">
        <f t="shared" si="763"/>
        <v/>
      </c>
    </row>
    <row r="45662" spans="8:8" x14ac:dyDescent="0.3">
      <c r="H45662" t="str">
        <f t="shared" si="763"/>
        <v/>
      </c>
    </row>
    <row r="45663" spans="8:8" x14ac:dyDescent="0.3">
      <c r="H45663" t="str">
        <f t="shared" si="763"/>
        <v/>
      </c>
    </row>
    <row r="45664" spans="8:8" x14ac:dyDescent="0.3">
      <c r="H45664" t="str">
        <f t="shared" si="763"/>
        <v/>
      </c>
    </row>
    <row r="45665" spans="8:8" x14ac:dyDescent="0.3">
      <c r="H45665" t="str">
        <f t="shared" si="763"/>
        <v/>
      </c>
    </row>
    <row r="45666" spans="8:8" x14ac:dyDescent="0.3">
      <c r="H45666" t="str">
        <f t="shared" si="763"/>
        <v/>
      </c>
    </row>
    <row r="45667" spans="8:8" x14ac:dyDescent="0.3">
      <c r="H45667" t="str">
        <f t="shared" si="763"/>
        <v/>
      </c>
    </row>
    <row r="45668" spans="8:8" x14ac:dyDescent="0.3">
      <c r="H45668" t="str">
        <f t="shared" si="763"/>
        <v/>
      </c>
    </row>
    <row r="45669" spans="8:8" x14ac:dyDescent="0.3">
      <c r="H45669" t="str">
        <f t="shared" si="763"/>
        <v/>
      </c>
    </row>
    <row r="45670" spans="8:8" x14ac:dyDescent="0.3">
      <c r="H45670" t="str">
        <f t="shared" si="763"/>
        <v/>
      </c>
    </row>
    <row r="45671" spans="8:8" x14ac:dyDescent="0.3">
      <c r="H45671" t="str">
        <f t="shared" si="763"/>
        <v/>
      </c>
    </row>
    <row r="45672" spans="8:8" x14ac:dyDescent="0.3">
      <c r="H45672" t="str">
        <f t="shared" si="763"/>
        <v/>
      </c>
    </row>
    <row r="45673" spans="8:8" x14ac:dyDescent="0.3">
      <c r="H45673" t="str">
        <f t="shared" si="763"/>
        <v/>
      </c>
    </row>
    <row r="45674" spans="8:8" x14ac:dyDescent="0.3">
      <c r="H45674" t="str">
        <f t="shared" si="763"/>
        <v/>
      </c>
    </row>
    <row r="45675" spans="8:8" x14ac:dyDescent="0.3">
      <c r="H45675" t="str">
        <f t="shared" si="763"/>
        <v/>
      </c>
    </row>
    <row r="45676" spans="8:8" x14ac:dyDescent="0.3">
      <c r="H45676" t="str">
        <f t="shared" si="763"/>
        <v/>
      </c>
    </row>
    <row r="45677" spans="8:8" x14ac:dyDescent="0.3">
      <c r="H45677" t="str">
        <f t="shared" si="763"/>
        <v/>
      </c>
    </row>
    <row r="45678" spans="8:8" x14ac:dyDescent="0.3">
      <c r="H45678" t="str">
        <f t="shared" si="763"/>
        <v/>
      </c>
    </row>
    <row r="45679" spans="8:8" x14ac:dyDescent="0.3">
      <c r="H45679" t="str">
        <f t="shared" si="763"/>
        <v/>
      </c>
    </row>
    <row r="45680" spans="8:8" x14ac:dyDescent="0.3">
      <c r="H45680" t="str">
        <f t="shared" si="763"/>
        <v/>
      </c>
    </row>
    <row r="45681" spans="8:8" x14ac:dyDescent="0.3">
      <c r="H45681" t="str">
        <f t="shared" si="763"/>
        <v/>
      </c>
    </row>
    <row r="45682" spans="8:8" x14ac:dyDescent="0.3">
      <c r="H45682" t="str">
        <f t="shared" si="763"/>
        <v/>
      </c>
    </row>
    <row r="45683" spans="8:8" x14ac:dyDescent="0.3">
      <c r="H45683" t="str">
        <f t="shared" si="763"/>
        <v/>
      </c>
    </row>
    <row r="45684" spans="8:8" x14ac:dyDescent="0.3">
      <c r="H45684" t="str">
        <f t="shared" si="763"/>
        <v/>
      </c>
    </row>
    <row r="45685" spans="8:8" x14ac:dyDescent="0.3">
      <c r="H45685" t="str">
        <f t="shared" si="763"/>
        <v/>
      </c>
    </row>
    <row r="45686" spans="8:8" x14ac:dyDescent="0.3">
      <c r="H45686" t="str">
        <f t="shared" si="763"/>
        <v/>
      </c>
    </row>
    <row r="45687" spans="8:8" x14ac:dyDescent="0.3">
      <c r="H45687" t="str">
        <f t="shared" si="763"/>
        <v/>
      </c>
    </row>
    <row r="45688" spans="8:8" x14ac:dyDescent="0.3">
      <c r="H45688" t="str">
        <f t="shared" si="763"/>
        <v/>
      </c>
    </row>
    <row r="45689" spans="8:8" x14ac:dyDescent="0.3">
      <c r="H45689" t="str">
        <f t="shared" si="763"/>
        <v/>
      </c>
    </row>
    <row r="45690" spans="8:8" x14ac:dyDescent="0.3">
      <c r="H45690" t="str">
        <f t="shared" si="763"/>
        <v/>
      </c>
    </row>
    <row r="45691" spans="8:8" x14ac:dyDescent="0.3">
      <c r="H45691" t="str">
        <f t="shared" si="763"/>
        <v/>
      </c>
    </row>
    <row r="45692" spans="8:8" x14ac:dyDescent="0.3">
      <c r="H45692" t="str">
        <f t="shared" si="763"/>
        <v/>
      </c>
    </row>
    <row r="45693" spans="8:8" x14ac:dyDescent="0.3">
      <c r="H45693" t="str">
        <f t="shared" si="763"/>
        <v/>
      </c>
    </row>
    <row r="45694" spans="8:8" x14ac:dyDescent="0.3">
      <c r="H45694" t="str">
        <f t="shared" si="763"/>
        <v/>
      </c>
    </row>
    <row r="45695" spans="8:8" x14ac:dyDescent="0.3">
      <c r="H45695" t="str">
        <f t="shared" si="763"/>
        <v/>
      </c>
    </row>
    <row r="45696" spans="8:8" x14ac:dyDescent="0.3">
      <c r="H45696" t="str">
        <f t="shared" si="763"/>
        <v/>
      </c>
    </row>
    <row r="45697" spans="8:8" x14ac:dyDescent="0.3">
      <c r="H45697" t="str">
        <f t="shared" si="763"/>
        <v/>
      </c>
    </row>
    <row r="45698" spans="8:8" x14ac:dyDescent="0.3">
      <c r="H45698" t="str">
        <f t="shared" si="763"/>
        <v/>
      </c>
    </row>
    <row r="45699" spans="8:8" x14ac:dyDescent="0.3">
      <c r="H45699" t="str">
        <f t="shared" si="763"/>
        <v/>
      </c>
    </row>
    <row r="45700" spans="8:8" x14ac:dyDescent="0.3">
      <c r="H45700" t="str">
        <f t="shared" si="763"/>
        <v/>
      </c>
    </row>
    <row r="45701" spans="8:8" x14ac:dyDescent="0.3">
      <c r="H45701" t="str">
        <f t="shared" si="763"/>
        <v/>
      </c>
    </row>
    <row r="45702" spans="8:8" x14ac:dyDescent="0.3">
      <c r="H45702" t="str">
        <f t="shared" si="763"/>
        <v/>
      </c>
    </row>
    <row r="45703" spans="8:8" x14ac:dyDescent="0.3">
      <c r="H45703" t="str">
        <f t="shared" si="763"/>
        <v/>
      </c>
    </row>
    <row r="45704" spans="8:8" x14ac:dyDescent="0.3">
      <c r="H45704" t="str">
        <f t="shared" si="763"/>
        <v/>
      </c>
    </row>
    <row r="45705" spans="8:8" x14ac:dyDescent="0.3">
      <c r="H45705" t="str">
        <f t="shared" si="763"/>
        <v/>
      </c>
    </row>
    <row r="45706" spans="8:8" x14ac:dyDescent="0.3">
      <c r="H45706" t="str">
        <f t="shared" si="763"/>
        <v/>
      </c>
    </row>
    <row r="45707" spans="8:8" x14ac:dyDescent="0.3">
      <c r="H45707" t="str">
        <f t="shared" si="763"/>
        <v/>
      </c>
    </row>
    <row r="45708" spans="8:8" x14ac:dyDescent="0.3">
      <c r="H45708" t="str">
        <f t="shared" si="763"/>
        <v/>
      </c>
    </row>
    <row r="45709" spans="8:8" x14ac:dyDescent="0.3">
      <c r="H45709" t="str">
        <f t="shared" si="763"/>
        <v/>
      </c>
    </row>
    <row r="45710" spans="8:8" x14ac:dyDescent="0.3">
      <c r="H45710" t="str">
        <f t="shared" si="763"/>
        <v/>
      </c>
    </row>
    <row r="45711" spans="8:8" x14ac:dyDescent="0.3">
      <c r="H45711" t="str">
        <f t="shared" si="763"/>
        <v/>
      </c>
    </row>
    <row r="45712" spans="8:8" x14ac:dyDescent="0.3">
      <c r="H45712" t="str">
        <f t="shared" si="763"/>
        <v/>
      </c>
    </row>
    <row r="45713" spans="8:8" x14ac:dyDescent="0.3">
      <c r="H45713" t="str">
        <f t="shared" si="763"/>
        <v/>
      </c>
    </row>
    <row r="45714" spans="8:8" x14ac:dyDescent="0.3">
      <c r="H45714" t="str">
        <f t="shared" si="763"/>
        <v/>
      </c>
    </row>
    <row r="45715" spans="8:8" x14ac:dyDescent="0.3">
      <c r="H45715" t="str">
        <f t="shared" si="763"/>
        <v/>
      </c>
    </row>
    <row r="45716" spans="8:8" x14ac:dyDescent="0.3">
      <c r="H45716" t="str">
        <f t="shared" si="763"/>
        <v/>
      </c>
    </row>
    <row r="45717" spans="8:8" x14ac:dyDescent="0.3">
      <c r="H45717" t="str">
        <f t="shared" si="763"/>
        <v/>
      </c>
    </row>
    <row r="45718" spans="8:8" x14ac:dyDescent="0.3">
      <c r="H45718" t="str">
        <f t="shared" si="763"/>
        <v/>
      </c>
    </row>
    <row r="45719" spans="8:8" x14ac:dyDescent="0.3">
      <c r="H45719" t="str">
        <f t="shared" ref="H45719:H45782" si="764">IF(B45719="","",$C$12)</f>
        <v/>
      </c>
    </row>
    <row r="45720" spans="8:8" x14ac:dyDescent="0.3">
      <c r="H45720" t="str">
        <f t="shared" si="764"/>
        <v/>
      </c>
    </row>
    <row r="45721" spans="8:8" x14ac:dyDescent="0.3">
      <c r="H45721" t="str">
        <f t="shared" si="764"/>
        <v/>
      </c>
    </row>
    <row r="45722" spans="8:8" x14ac:dyDescent="0.3">
      <c r="H45722" t="str">
        <f t="shared" si="764"/>
        <v/>
      </c>
    </row>
    <row r="45723" spans="8:8" x14ac:dyDescent="0.3">
      <c r="H45723" t="str">
        <f t="shared" si="764"/>
        <v/>
      </c>
    </row>
    <row r="45724" spans="8:8" x14ac:dyDescent="0.3">
      <c r="H45724" t="str">
        <f t="shared" si="764"/>
        <v/>
      </c>
    </row>
    <row r="45725" spans="8:8" x14ac:dyDescent="0.3">
      <c r="H45725" t="str">
        <f t="shared" si="764"/>
        <v/>
      </c>
    </row>
    <row r="45726" spans="8:8" x14ac:dyDescent="0.3">
      <c r="H45726" t="str">
        <f t="shared" si="764"/>
        <v/>
      </c>
    </row>
    <row r="45727" spans="8:8" x14ac:dyDescent="0.3">
      <c r="H45727" t="str">
        <f t="shared" si="764"/>
        <v/>
      </c>
    </row>
    <row r="45728" spans="8:8" x14ac:dyDescent="0.3">
      <c r="H45728" t="str">
        <f t="shared" si="764"/>
        <v/>
      </c>
    </row>
    <row r="45729" spans="8:8" x14ac:dyDescent="0.3">
      <c r="H45729" t="str">
        <f t="shared" si="764"/>
        <v/>
      </c>
    </row>
    <row r="45730" spans="8:8" x14ac:dyDescent="0.3">
      <c r="H45730" t="str">
        <f t="shared" si="764"/>
        <v/>
      </c>
    </row>
    <row r="45731" spans="8:8" x14ac:dyDescent="0.3">
      <c r="H45731" t="str">
        <f t="shared" si="764"/>
        <v/>
      </c>
    </row>
    <row r="45732" spans="8:8" x14ac:dyDescent="0.3">
      <c r="H45732" t="str">
        <f t="shared" si="764"/>
        <v/>
      </c>
    </row>
    <row r="45733" spans="8:8" x14ac:dyDescent="0.3">
      <c r="H45733" t="str">
        <f t="shared" si="764"/>
        <v/>
      </c>
    </row>
    <row r="45734" spans="8:8" x14ac:dyDescent="0.3">
      <c r="H45734" t="str">
        <f t="shared" si="764"/>
        <v/>
      </c>
    </row>
    <row r="45735" spans="8:8" x14ac:dyDescent="0.3">
      <c r="H45735" t="str">
        <f t="shared" si="764"/>
        <v/>
      </c>
    </row>
    <row r="45736" spans="8:8" x14ac:dyDescent="0.3">
      <c r="H45736" t="str">
        <f t="shared" si="764"/>
        <v/>
      </c>
    </row>
    <row r="45737" spans="8:8" x14ac:dyDescent="0.3">
      <c r="H45737" t="str">
        <f t="shared" si="764"/>
        <v/>
      </c>
    </row>
    <row r="45738" spans="8:8" x14ac:dyDescent="0.3">
      <c r="H45738" t="str">
        <f t="shared" si="764"/>
        <v/>
      </c>
    </row>
    <row r="45739" spans="8:8" x14ac:dyDescent="0.3">
      <c r="H45739" t="str">
        <f t="shared" si="764"/>
        <v/>
      </c>
    </row>
    <row r="45740" spans="8:8" x14ac:dyDescent="0.3">
      <c r="H45740" t="str">
        <f t="shared" si="764"/>
        <v/>
      </c>
    </row>
    <row r="45741" spans="8:8" x14ac:dyDescent="0.3">
      <c r="H45741" t="str">
        <f t="shared" si="764"/>
        <v/>
      </c>
    </row>
    <row r="45742" spans="8:8" x14ac:dyDescent="0.3">
      <c r="H45742" t="str">
        <f t="shared" si="764"/>
        <v/>
      </c>
    </row>
    <row r="45743" spans="8:8" x14ac:dyDescent="0.3">
      <c r="H45743" t="str">
        <f t="shared" si="764"/>
        <v/>
      </c>
    </row>
    <row r="45744" spans="8:8" x14ac:dyDescent="0.3">
      <c r="H45744" t="str">
        <f t="shared" si="764"/>
        <v/>
      </c>
    </row>
    <row r="45745" spans="8:8" x14ac:dyDescent="0.3">
      <c r="H45745" t="str">
        <f t="shared" si="764"/>
        <v/>
      </c>
    </row>
    <row r="45746" spans="8:8" x14ac:dyDescent="0.3">
      <c r="H45746" t="str">
        <f t="shared" si="764"/>
        <v/>
      </c>
    </row>
    <row r="45747" spans="8:8" x14ac:dyDescent="0.3">
      <c r="H45747" t="str">
        <f t="shared" si="764"/>
        <v/>
      </c>
    </row>
    <row r="45748" spans="8:8" x14ac:dyDescent="0.3">
      <c r="H45748" t="str">
        <f t="shared" si="764"/>
        <v/>
      </c>
    </row>
    <row r="45749" spans="8:8" x14ac:dyDescent="0.3">
      <c r="H45749" t="str">
        <f t="shared" si="764"/>
        <v/>
      </c>
    </row>
    <row r="45750" spans="8:8" x14ac:dyDescent="0.3">
      <c r="H45750" t="str">
        <f t="shared" si="764"/>
        <v/>
      </c>
    </row>
    <row r="45751" spans="8:8" x14ac:dyDescent="0.3">
      <c r="H45751" t="str">
        <f t="shared" si="764"/>
        <v/>
      </c>
    </row>
    <row r="45752" spans="8:8" x14ac:dyDescent="0.3">
      <c r="H45752" t="str">
        <f t="shared" si="764"/>
        <v/>
      </c>
    </row>
    <row r="45753" spans="8:8" x14ac:dyDescent="0.3">
      <c r="H45753" t="str">
        <f t="shared" si="764"/>
        <v/>
      </c>
    </row>
    <row r="45754" spans="8:8" x14ac:dyDescent="0.3">
      <c r="H45754" t="str">
        <f t="shared" si="764"/>
        <v/>
      </c>
    </row>
    <row r="45755" spans="8:8" x14ac:dyDescent="0.3">
      <c r="H45755" t="str">
        <f t="shared" si="764"/>
        <v/>
      </c>
    </row>
    <row r="45756" spans="8:8" x14ac:dyDescent="0.3">
      <c r="H45756" t="str">
        <f t="shared" si="764"/>
        <v/>
      </c>
    </row>
    <row r="45757" spans="8:8" x14ac:dyDescent="0.3">
      <c r="H45757" t="str">
        <f t="shared" si="764"/>
        <v/>
      </c>
    </row>
    <row r="45758" spans="8:8" x14ac:dyDescent="0.3">
      <c r="H45758" t="str">
        <f t="shared" si="764"/>
        <v/>
      </c>
    </row>
    <row r="45759" spans="8:8" x14ac:dyDescent="0.3">
      <c r="H45759" t="str">
        <f t="shared" si="764"/>
        <v/>
      </c>
    </row>
    <row r="45760" spans="8:8" x14ac:dyDescent="0.3">
      <c r="H45760" t="str">
        <f t="shared" si="764"/>
        <v/>
      </c>
    </row>
    <row r="45761" spans="8:8" x14ac:dyDescent="0.3">
      <c r="H45761" t="str">
        <f t="shared" si="764"/>
        <v/>
      </c>
    </row>
    <row r="45762" spans="8:8" x14ac:dyDescent="0.3">
      <c r="H45762" t="str">
        <f t="shared" si="764"/>
        <v/>
      </c>
    </row>
    <row r="45763" spans="8:8" x14ac:dyDescent="0.3">
      <c r="H45763" t="str">
        <f t="shared" si="764"/>
        <v/>
      </c>
    </row>
    <row r="45764" spans="8:8" x14ac:dyDescent="0.3">
      <c r="H45764" t="str">
        <f t="shared" si="764"/>
        <v/>
      </c>
    </row>
    <row r="45765" spans="8:8" x14ac:dyDescent="0.3">
      <c r="H45765" t="str">
        <f t="shared" si="764"/>
        <v/>
      </c>
    </row>
    <row r="45766" spans="8:8" x14ac:dyDescent="0.3">
      <c r="H45766" t="str">
        <f t="shared" si="764"/>
        <v/>
      </c>
    </row>
    <row r="45767" spans="8:8" x14ac:dyDescent="0.3">
      <c r="H45767" t="str">
        <f t="shared" si="764"/>
        <v/>
      </c>
    </row>
    <row r="45768" spans="8:8" x14ac:dyDescent="0.3">
      <c r="H45768" t="str">
        <f t="shared" si="764"/>
        <v/>
      </c>
    </row>
    <row r="45769" spans="8:8" x14ac:dyDescent="0.3">
      <c r="H45769" t="str">
        <f t="shared" si="764"/>
        <v/>
      </c>
    </row>
    <row r="45770" spans="8:8" x14ac:dyDescent="0.3">
      <c r="H45770" t="str">
        <f t="shared" si="764"/>
        <v/>
      </c>
    </row>
    <row r="45771" spans="8:8" x14ac:dyDescent="0.3">
      <c r="H45771" t="str">
        <f t="shared" si="764"/>
        <v/>
      </c>
    </row>
    <row r="45772" spans="8:8" x14ac:dyDescent="0.3">
      <c r="H45772" t="str">
        <f t="shared" si="764"/>
        <v/>
      </c>
    </row>
    <row r="45773" spans="8:8" x14ac:dyDescent="0.3">
      <c r="H45773" t="str">
        <f t="shared" si="764"/>
        <v/>
      </c>
    </row>
    <row r="45774" spans="8:8" x14ac:dyDescent="0.3">
      <c r="H45774" t="str">
        <f t="shared" si="764"/>
        <v/>
      </c>
    </row>
    <row r="45775" spans="8:8" x14ac:dyDescent="0.3">
      <c r="H45775" t="str">
        <f t="shared" si="764"/>
        <v/>
      </c>
    </row>
    <row r="45776" spans="8:8" x14ac:dyDescent="0.3">
      <c r="H45776" t="str">
        <f t="shared" si="764"/>
        <v/>
      </c>
    </row>
    <row r="45777" spans="8:8" x14ac:dyDescent="0.3">
      <c r="H45777" t="str">
        <f t="shared" si="764"/>
        <v/>
      </c>
    </row>
    <row r="45778" spans="8:8" x14ac:dyDescent="0.3">
      <c r="H45778" t="str">
        <f t="shared" si="764"/>
        <v/>
      </c>
    </row>
    <row r="45779" spans="8:8" x14ac:dyDescent="0.3">
      <c r="H45779" t="str">
        <f t="shared" si="764"/>
        <v/>
      </c>
    </row>
    <row r="45780" spans="8:8" x14ac:dyDescent="0.3">
      <c r="H45780" t="str">
        <f t="shared" si="764"/>
        <v/>
      </c>
    </row>
    <row r="45781" spans="8:8" x14ac:dyDescent="0.3">
      <c r="H45781" t="str">
        <f t="shared" si="764"/>
        <v/>
      </c>
    </row>
    <row r="45782" spans="8:8" x14ac:dyDescent="0.3">
      <c r="H45782" t="str">
        <f t="shared" si="764"/>
        <v/>
      </c>
    </row>
    <row r="45783" spans="8:8" x14ac:dyDescent="0.3">
      <c r="H45783" t="str">
        <f t="shared" ref="H45783:H45846" si="765">IF(B45783="","",$C$12)</f>
        <v/>
      </c>
    </row>
    <row r="45784" spans="8:8" x14ac:dyDescent="0.3">
      <c r="H45784" t="str">
        <f t="shared" si="765"/>
        <v/>
      </c>
    </row>
    <row r="45785" spans="8:8" x14ac:dyDescent="0.3">
      <c r="H45785" t="str">
        <f t="shared" si="765"/>
        <v/>
      </c>
    </row>
    <row r="45786" spans="8:8" x14ac:dyDescent="0.3">
      <c r="H45786" t="str">
        <f t="shared" si="765"/>
        <v/>
      </c>
    </row>
    <row r="45787" spans="8:8" x14ac:dyDescent="0.3">
      <c r="H45787" t="str">
        <f t="shared" si="765"/>
        <v/>
      </c>
    </row>
    <row r="45788" spans="8:8" x14ac:dyDescent="0.3">
      <c r="H45788" t="str">
        <f t="shared" si="765"/>
        <v/>
      </c>
    </row>
    <row r="45789" spans="8:8" x14ac:dyDescent="0.3">
      <c r="H45789" t="str">
        <f t="shared" si="765"/>
        <v/>
      </c>
    </row>
    <row r="45790" spans="8:8" x14ac:dyDescent="0.3">
      <c r="H45790" t="str">
        <f t="shared" si="765"/>
        <v/>
      </c>
    </row>
    <row r="45791" spans="8:8" x14ac:dyDescent="0.3">
      <c r="H45791" t="str">
        <f t="shared" si="765"/>
        <v/>
      </c>
    </row>
    <row r="45792" spans="8:8" x14ac:dyDescent="0.3">
      <c r="H45792" t="str">
        <f t="shared" si="765"/>
        <v/>
      </c>
    </row>
    <row r="45793" spans="8:8" x14ac:dyDescent="0.3">
      <c r="H45793" t="str">
        <f t="shared" si="765"/>
        <v/>
      </c>
    </row>
    <row r="45794" spans="8:8" x14ac:dyDescent="0.3">
      <c r="H45794" t="str">
        <f t="shared" si="765"/>
        <v/>
      </c>
    </row>
    <row r="45795" spans="8:8" x14ac:dyDescent="0.3">
      <c r="H45795" t="str">
        <f t="shared" si="765"/>
        <v/>
      </c>
    </row>
    <row r="45796" spans="8:8" x14ac:dyDescent="0.3">
      <c r="H45796" t="str">
        <f t="shared" si="765"/>
        <v/>
      </c>
    </row>
    <row r="45797" spans="8:8" x14ac:dyDescent="0.3">
      <c r="H45797" t="str">
        <f t="shared" si="765"/>
        <v/>
      </c>
    </row>
    <row r="45798" spans="8:8" x14ac:dyDescent="0.3">
      <c r="H45798" t="str">
        <f t="shared" si="765"/>
        <v/>
      </c>
    </row>
    <row r="45799" spans="8:8" x14ac:dyDescent="0.3">
      <c r="H45799" t="str">
        <f t="shared" si="765"/>
        <v/>
      </c>
    </row>
    <row r="45800" spans="8:8" x14ac:dyDescent="0.3">
      <c r="H45800" t="str">
        <f t="shared" si="765"/>
        <v/>
      </c>
    </row>
    <row r="45801" spans="8:8" x14ac:dyDescent="0.3">
      <c r="H45801" t="str">
        <f t="shared" si="765"/>
        <v/>
      </c>
    </row>
    <row r="45802" spans="8:8" x14ac:dyDescent="0.3">
      <c r="H45802" t="str">
        <f t="shared" si="765"/>
        <v/>
      </c>
    </row>
    <row r="45803" spans="8:8" x14ac:dyDescent="0.3">
      <c r="H45803" t="str">
        <f t="shared" si="765"/>
        <v/>
      </c>
    </row>
    <row r="45804" spans="8:8" x14ac:dyDescent="0.3">
      <c r="H45804" t="str">
        <f t="shared" si="765"/>
        <v/>
      </c>
    </row>
    <row r="45805" spans="8:8" x14ac:dyDescent="0.3">
      <c r="H45805" t="str">
        <f t="shared" si="765"/>
        <v/>
      </c>
    </row>
    <row r="45806" spans="8:8" x14ac:dyDescent="0.3">
      <c r="H45806" t="str">
        <f t="shared" si="765"/>
        <v/>
      </c>
    </row>
    <row r="45807" spans="8:8" x14ac:dyDescent="0.3">
      <c r="H45807" t="str">
        <f t="shared" si="765"/>
        <v/>
      </c>
    </row>
    <row r="45808" spans="8:8" x14ac:dyDescent="0.3">
      <c r="H45808" t="str">
        <f t="shared" si="765"/>
        <v/>
      </c>
    </row>
    <row r="45809" spans="8:8" x14ac:dyDescent="0.3">
      <c r="H45809" t="str">
        <f t="shared" si="765"/>
        <v/>
      </c>
    </row>
    <row r="45810" spans="8:8" x14ac:dyDescent="0.3">
      <c r="H45810" t="str">
        <f t="shared" si="765"/>
        <v/>
      </c>
    </row>
    <row r="45811" spans="8:8" x14ac:dyDescent="0.3">
      <c r="H45811" t="str">
        <f t="shared" si="765"/>
        <v/>
      </c>
    </row>
    <row r="45812" spans="8:8" x14ac:dyDescent="0.3">
      <c r="H45812" t="str">
        <f t="shared" si="765"/>
        <v/>
      </c>
    </row>
    <row r="45813" spans="8:8" x14ac:dyDescent="0.3">
      <c r="H45813" t="str">
        <f t="shared" si="765"/>
        <v/>
      </c>
    </row>
    <row r="45814" spans="8:8" x14ac:dyDescent="0.3">
      <c r="H45814" t="str">
        <f t="shared" si="765"/>
        <v/>
      </c>
    </row>
    <row r="45815" spans="8:8" x14ac:dyDescent="0.3">
      <c r="H45815" t="str">
        <f t="shared" si="765"/>
        <v/>
      </c>
    </row>
    <row r="45816" spans="8:8" x14ac:dyDescent="0.3">
      <c r="H45816" t="str">
        <f t="shared" si="765"/>
        <v/>
      </c>
    </row>
    <row r="45817" spans="8:8" x14ac:dyDescent="0.3">
      <c r="H45817" t="str">
        <f t="shared" si="765"/>
        <v/>
      </c>
    </row>
    <row r="45818" spans="8:8" x14ac:dyDescent="0.3">
      <c r="H45818" t="str">
        <f t="shared" si="765"/>
        <v/>
      </c>
    </row>
    <row r="45819" spans="8:8" x14ac:dyDescent="0.3">
      <c r="H45819" t="str">
        <f t="shared" si="765"/>
        <v/>
      </c>
    </row>
    <row r="45820" spans="8:8" x14ac:dyDescent="0.3">
      <c r="H45820" t="str">
        <f t="shared" si="765"/>
        <v/>
      </c>
    </row>
    <row r="45821" spans="8:8" x14ac:dyDescent="0.3">
      <c r="H45821" t="str">
        <f t="shared" si="765"/>
        <v/>
      </c>
    </row>
    <row r="45822" spans="8:8" x14ac:dyDescent="0.3">
      <c r="H45822" t="str">
        <f t="shared" si="765"/>
        <v/>
      </c>
    </row>
    <row r="45823" spans="8:8" x14ac:dyDescent="0.3">
      <c r="H45823" t="str">
        <f t="shared" si="765"/>
        <v/>
      </c>
    </row>
    <row r="45824" spans="8:8" x14ac:dyDescent="0.3">
      <c r="H45824" t="str">
        <f t="shared" si="765"/>
        <v/>
      </c>
    </row>
    <row r="45825" spans="8:8" x14ac:dyDescent="0.3">
      <c r="H45825" t="str">
        <f t="shared" si="765"/>
        <v/>
      </c>
    </row>
    <row r="45826" spans="8:8" x14ac:dyDescent="0.3">
      <c r="H45826" t="str">
        <f t="shared" si="765"/>
        <v/>
      </c>
    </row>
    <row r="45827" spans="8:8" x14ac:dyDescent="0.3">
      <c r="H45827" t="str">
        <f t="shared" si="765"/>
        <v/>
      </c>
    </row>
    <row r="45828" spans="8:8" x14ac:dyDescent="0.3">
      <c r="H45828" t="str">
        <f t="shared" si="765"/>
        <v/>
      </c>
    </row>
    <row r="45829" spans="8:8" x14ac:dyDescent="0.3">
      <c r="H45829" t="str">
        <f t="shared" si="765"/>
        <v/>
      </c>
    </row>
    <row r="45830" spans="8:8" x14ac:dyDescent="0.3">
      <c r="H45830" t="str">
        <f t="shared" si="765"/>
        <v/>
      </c>
    </row>
    <row r="45831" spans="8:8" x14ac:dyDescent="0.3">
      <c r="H45831" t="str">
        <f t="shared" si="765"/>
        <v/>
      </c>
    </row>
    <row r="45832" spans="8:8" x14ac:dyDescent="0.3">
      <c r="H45832" t="str">
        <f t="shared" si="765"/>
        <v/>
      </c>
    </row>
    <row r="45833" spans="8:8" x14ac:dyDescent="0.3">
      <c r="H45833" t="str">
        <f t="shared" si="765"/>
        <v/>
      </c>
    </row>
    <row r="45834" spans="8:8" x14ac:dyDescent="0.3">
      <c r="H45834" t="str">
        <f t="shared" si="765"/>
        <v/>
      </c>
    </row>
    <row r="45835" spans="8:8" x14ac:dyDescent="0.3">
      <c r="H45835" t="str">
        <f t="shared" si="765"/>
        <v/>
      </c>
    </row>
    <row r="45836" spans="8:8" x14ac:dyDescent="0.3">
      <c r="H45836" t="str">
        <f t="shared" si="765"/>
        <v/>
      </c>
    </row>
    <row r="45837" spans="8:8" x14ac:dyDescent="0.3">
      <c r="H45837" t="str">
        <f t="shared" si="765"/>
        <v/>
      </c>
    </row>
    <row r="45838" spans="8:8" x14ac:dyDescent="0.3">
      <c r="H45838" t="str">
        <f t="shared" si="765"/>
        <v/>
      </c>
    </row>
    <row r="45839" spans="8:8" x14ac:dyDescent="0.3">
      <c r="H45839" t="str">
        <f t="shared" si="765"/>
        <v/>
      </c>
    </row>
    <row r="45840" spans="8:8" x14ac:dyDescent="0.3">
      <c r="H45840" t="str">
        <f t="shared" si="765"/>
        <v/>
      </c>
    </row>
    <row r="45841" spans="8:8" x14ac:dyDescent="0.3">
      <c r="H45841" t="str">
        <f t="shared" si="765"/>
        <v/>
      </c>
    </row>
    <row r="45842" spans="8:8" x14ac:dyDescent="0.3">
      <c r="H45842" t="str">
        <f t="shared" si="765"/>
        <v/>
      </c>
    </row>
    <row r="45843" spans="8:8" x14ac:dyDescent="0.3">
      <c r="H45843" t="str">
        <f t="shared" si="765"/>
        <v/>
      </c>
    </row>
    <row r="45844" spans="8:8" x14ac:dyDescent="0.3">
      <c r="H45844" t="str">
        <f t="shared" si="765"/>
        <v/>
      </c>
    </row>
    <row r="45845" spans="8:8" x14ac:dyDescent="0.3">
      <c r="H45845" t="str">
        <f t="shared" si="765"/>
        <v/>
      </c>
    </row>
    <row r="45846" spans="8:8" x14ac:dyDescent="0.3">
      <c r="H45846" t="str">
        <f t="shared" si="765"/>
        <v/>
      </c>
    </row>
    <row r="45847" spans="8:8" x14ac:dyDescent="0.3">
      <c r="H45847" t="str">
        <f t="shared" ref="H45847:H45910" si="766">IF(B45847="","",$C$12)</f>
        <v/>
      </c>
    </row>
    <row r="45848" spans="8:8" x14ac:dyDescent="0.3">
      <c r="H45848" t="str">
        <f t="shared" si="766"/>
        <v/>
      </c>
    </row>
    <row r="45849" spans="8:8" x14ac:dyDescent="0.3">
      <c r="H45849" t="str">
        <f t="shared" si="766"/>
        <v/>
      </c>
    </row>
    <row r="45850" spans="8:8" x14ac:dyDescent="0.3">
      <c r="H45850" t="str">
        <f t="shared" si="766"/>
        <v/>
      </c>
    </row>
    <row r="45851" spans="8:8" x14ac:dyDescent="0.3">
      <c r="H45851" t="str">
        <f t="shared" si="766"/>
        <v/>
      </c>
    </row>
    <row r="45852" spans="8:8" x14ac:dyDescent="0.3">
      <c r="H45852" t="str">
        <f t="shared" si="766"/>
        <v/>
      </c>
    </row>
    <row r="45853" spans="8:8" x14ac:dyDescent="0.3">
      <c r="H45853" t="str">
        <f t="shared" si="766"/>
        <v/>
      </c>
    </row>
    <row r="45854" spans="8:8" x14ac:dyDescent="0.3">
      <c r="H45854" t="str">
        <f t="shared" si="766"/>
        <v/>
      </c>
    </row>
    <row r="45855" spans="8:8" x14ac:dyDescent="0.3">
      <c r="H45855" t="str">
        <f t="shared" si="766"/>
        <v/>
      </c>
    </row>
    <row r="45856" spans="8:8" x14ac:dyDescent="0.3">
      <c r="H45856" t="str">
        <f t="shared" si="766"/>
        <v/>
      </c>
    </row>
    <row r="45857" spans="8:8" x14ac:dyDescent="0.3">
      <c r="H45857" t="str">
        <f t="shared" si="766"/>
        <v/>
      </c>
    </row>
    <row r="45858" spans="8:8" x14ac:dyDescent="0.3">
      <c r="H45858" t="str">
        <f t="shared" si="766"/>
        <v/>
      </c>
    </row>
    <row r="45859" spans="8:8" x14ac:dyDescent="0.3">
      <c r="H45859" t="str">
        <f t="shared" si="766"/>
        <v/>
      </c>
    </row>
    <row r="45860" spans="8:8" x14ac:dyDescent="0.3">
      <c r="H45860" t="str">
        <f t="shared" si="766"/>
        <v/>
      </c>
    </row>
    <row r="45861" spans="8:8" x14ac:dyDescent="0.3">
      <c r="H45861" t="str">
        <f t="shared" si="766"/>
        <v/>
      </c>
    </row>
    <row r="45862" spans="8:8" x14ac:dyDescent="0.3">
      <c r="H45862" t="str">
        <f t="shared" si="766"/>
        <v/>
      </c>
    </row>
    <row r="45863" spans="8:8" x14ac:dyDescent="0.3">
      <c r="H45863" t="str">
        <f t="shared" si="766"/>
        <v/>
      </c>
    </row>
    <row r="45864" spans="8:8" x14ac:dyDescent="0.3">
      <c r="H45864" t="str">
        <f t="shared" si="766"/>
        <v/>
      </c>
    </row>
    <row r="45865" spans="8:8" x14ac:dyDescent="0.3">
      <c r="H45865" t="str">
        <f t="shared" si="766"/>
        <v/>
      </c>
    </row>
    <row r="45866" spans="8:8" x14ac:dyDescent="0.3">
      <c r="H45866" t="str">
        <f t="shared" si="766"/>
        <v/>
      </c>
    </row>
    <row r="45867" spans="8:8" x14ac:dyDescent="0.3">
      <c r="H45867" t="str">
        <f t="shared" si="766"/>
        <v/>
      </c>
    </row>
    <row r="45868" spans="8:8" x14ac:dyDescent="0.3">
      <c r="H45868" t="str">
        <f t="shared" si="766"/>
        <v/>
      </c>
    </row>
    <row r="45869" spans="8:8" x14ac:dyDescent="0.3">
      <c r="H45869" t="str">
        <f t="shared" si="766"/>
        <v/>
      </c>
    </row>
    <row r="45870" spans="8:8" x14ac:dyDescent="0.3">
      <c r="H45870" t="str">
        <f t="shared" si="766"/>
        <v/>
      </c>
    </row>
    <row r="45871" spans="8:8" x14ac:dyDescent="0.3">
      <c r="H45871" t="str">
        <f t="shared" si="766"/>
        <v/>
      </c>
    </row>
    <row r="45872" spans="8:8" x14ac:dyDescent="0.3">
      <c r="H45872" t="str">
        <f t="shared" si="766"/>
        <v/>
      </c>
    </row>
    <row r="45873" spans="8:8" x14ac:dyDescent="0.3">
      <c r="H45873" t="str">
        <f t="shared" si="766"/>
        <v/>
      </c>
    </row>
    <row r="45874" spans="8:8" x14ac:dyDescent="0.3">
      <c r="H45874" t="str">
        <f t="shared" si="766"/>
        <v/>
      </c>
    </row>
    <row r="45875" spans="8:8" x14ac:dyDescent="0.3">
      <c r="H45875" t="str">
        <f t="shared" si="766"/>
        <v/>
      </c>
    </row>
    <row r="45876" spans="8:8" x14ac:dyDescent="0.3">
      <c r="H45876" t="str">
        <f t="shared" si="766"/>
        <v/>
      </c>
    </row>
    <row r="45877" spans="8:8" x14ac:dyDescent="0.3">
      <c r="H45877" t="str">
        <f t="shared" si="766"/>
        <v/>
      </c>
    </row>
    <row r="45878" spans="8:8" x14ac:dyDescent="0.3">
      <c r="H45878" t="str">
        <f t="shared" si="766"/>
        <v/>
      </c>
    </row>
    <row r="45879" spans="8:8" x14ac:dyDescent="0.3">
      <c r="H45879" t="str">
        <f t="shared" si="766"/>
        <v/>
      </c>
    </row>
    <row r="45880" spans="8:8" x14ac:dyDescent="0.3">
      <c r="H45880" t="str">
        <f t="shared" si="766"/>
        <v/>
      </c>
    </row>
    <row r="45881" spans="8:8" x14ac:dyDescent="0.3">
      <c r="H45881" t="str">
        <f t="shared" si="766"/>
        <v/>
      </c>
    </row>
    <row r="45882" spans="8:8" x14ac:dyDescent="0.3">
      <c r="H45882" t="str">
        <f t="shared" si="766"/>
        <v/>
      </c>
    </row>
    <row r="45883" spans="8:8" x14ac:dyDescent="0.3">
      <c r="H45883" t="str">
        <f t="shared" si="766"/>
        <v/>
      </c>
    </row>
    <row r="45884" spans="8:8" x14ac:dyDescent="0.3">
      <c r="H45884" t="str">
        <f t="shared" si="766"/>
        <v/>
      </c>
    </row>
    <row r="45885" spans="8:8" x14ac:dyDescent="0.3">
      <c r="H45885" t="str">
        <f t="shared" si="766"/>
        <v/>
      </c>
    </row>
    <row r="45886" spans="8:8" x14ac:dyDescent="0.3">
      <c r="H45886" t="str">
        <f t="shared" si="766"/>
        <v/>
      </c>
    </row>
    <row r="45887" spans="8:8" x14ac:dyDescent="0.3">
      <c r="H45887" t="str">
        <f t="shared" si="766"/>
        <v/>
      </c>
    </row>
    <row r="45888" spans="8:8" x14ac:dyDescent="0.3">
      <c r="H45888" t="str">
        <f t="shared" si="766"/>
        <v/>
      </c>
    </row>
    <row r="45889" spans="8:8" x14ac:dyDescent="0.3">
      <c r="H45889" t="str">
        <f t="shared" si="766"/>
        <v/>
      </c>
    </row>
    <row r="45890" spans="8:8" x14ac:dyDescent="0.3">
      <c r="H45890" t="str">
        <f t="shared" si="766"/>
        <v/>
      </c>
    </row>
    <row r="45891" spans="8:8" x14ac:dyDescent="0.3">
      <c r="H45891" t="str">
        <f t="shared" si="766"/>
        <v/>
      </c>
    </row>
    <row r="45892" spans="8:8" x14ac:dyDescent="0.3">
      <c r="H45892" t="str">
        <f t="shared" si="766"/>
        <v/>
      </c>
    </row>
    <row r="45893" spans="8:8" x14ac:dyDescent="0.3">
      <c r="H45893" t="str">
        <f t="shared" si="766"/>
        <v/>
      </c>
    </row>
    <row r="45894" spans="8:8" x14ac:dyDescent="0.3">
      <c r="H45894" t="str">
        <f t="shared" si="766"/>
        <v/>
      </c>
    </row>
    <row r="45895" spans="8:8" x14ac:dyDescent="0.3">
      <c r="H45895" t="str">
        <f t="shared" si="766"/>
        <v/>
      </c>
    </row>
    <row r="45896" spans="8:8" x14ac:dyDescent="0.3">
      <c r="H45896" t="str">
        <f t="shared" si="766"/>
        <v/>
      </c>
    </row>
    <row r="45897" spans="8:8" x14ac:dyDescent="0.3">
      <c r="H45897" t="str">
        <f t="shared" si="766"/>
        <v/>
      </c>
    </row>
    <row r="45898" spans="8:8" x14ac:dyDescent="0.3">
      <c r="H45898" t="str">
        <f t="shared" si="766"/>
        <v/>
      </c>
    </row>
    <row r="45899" spans="8:8" x14ac:dyDescent="0.3">
      <c r="H45899" t="str">
        <f t="shared" si="766"/>
        <v/>
      </c>
    </row>
    <row r="45900" spans="8:8" x14ac:dyDescent="0.3">
      <c r="H45900" t="str">
        <f t="shared" si="766"/>
        <v/>
      </c>
    </row>
    <row r="45901" spans="8:8" x14ac:dyDescent="0.3">
      <c r="H45901" t="str">
        <f t="shared" si="766"/>
        <v/>
      </c>
    </row>
    <row r="45902" spans="8:8" x14ac:dyDescent="0.3">
      <c r="H45902" t="str">
        <f t="shared" si="766"/>
        <v/>
      </c>
    </row>
    <row r="45903" spans="8:8" x14ac:dyDescent="0.3">
      <c r="H45903" t="str">
        <f t="shared" si="766"/>
        <v/>
      </c>
    </row>
    <row r="45904" spans="8:8" x14ac:dyDescent="0.3">
      <c r="H45904" t="str">
        <f t="shared" si="766"/>
        <v/>
      </c>
    </row>
    <row r="45905" spans="8:8" x14ac:dyDescent="0.3">
      <c r="H45905" t="str">
        <f t="shared" si="766"/>
        <v/>
      </c>
    </row>
    <row r="45906" spans="8:8" x14ac:dyDescent="0.3">
      <c r="H45906" t="str">
        <f t="shared" si="766"/>
        <v/>
      </c>
    </row>
    <row r="45907" spans="8:8" x14ac:dyDescent="0.3">
      <c r="H45907" t="str">
        <f t="shared" si="766"/>
        <v/>
      </c>
    </row>
    <row r="45908" spans="8:8" x14ac:dyDescent="0.3">
      <c r="H45908" t="str">
        <f t="shared" si="766"/>
        <v/>
      </c>
    </row>
    <row r="45909" spans="8:8" x14ac:dyDescent="0.3">
      <c r="H45909" t="str">
        <f t="shared" si="766"/>
        <v/>
      </c>
    </row>
    <row r="45910" spans="8:8" x14ac:dyDescent="0.3">
      <c r="H45910" t="str">
        <f t="shared" si="766"/>
        <v/>
      </c>
    </row>
    <row r="45911" spans="8:8" x14ac:dyDescent="0.3">
      <c r="H45911" t="str">
        <f t="shared" ref="H45911:H45974" si="767">IF(B45911="","",$C$12)</f>
        <v/>
      </c>
    </row>
    <row r="45912" spans="8:8" x14ac:dyDescent="0.3">
      <c r="H45912" t="str">
        <f t="shared" si="767"/>
        <v/>
      </c>
    </row>
    <row r="45913" spans="8:8" x14ac:dyDescent="0.3">
      <c r="H45913" t="str">
        <f t="shared" si="767"/>
        <v/>
      </c>
    </row>
    <row r="45914" spans="8:8" x14ac:dyDescent="0.3">
      <c r="H45914" t="str">
        <f t="shared" si="767"/>
        <v/>
      </c>
    </row>
    <row r="45915" spans="8:8" x14ac:dyDescent="0.3">
      <c r="H45915" t="str">
        <f t="shared" si="767"/>
        <v/>
      </c>
    </row>
    <row r="45916" spans="8:8" x14ac:dyDescent="0.3">
      <c r="H45916" t="str">
        <f t="shared" si="767"/>
        <v/>
      </c>
    </row>
    <row r="45917" spans="8:8" x14ac:dyDescent="0.3">
      <c r="H45917" t="str">
        <f t="shared" si="767"/>
        <v/>
      </c>
    </row>
    <row r="45918" spans="8:8" x14ac:dyDescent="0.3">
      <c r="H45918" t="str">
        <f t="shared" si="767"/>
        <v/>
      </c>
    </row>
    <row r="45919" spans="8:8" x14ac:dyDescent="0.3">
      <c r="H45919" t="str">
        <f t="shared" si="767"/>
        <v/>
      </c>
    </row>
    <row r="45920" spans="8:8" x14ac:dyDescent="0.3">
      <c r="H45920" t="str">
        <f t="shared" si="767"/>
        <v/>
      </c>
    </row>
    <row r="45921" spans="8:8" x14ac:dyDescent="0.3">
      <c r="H45921" t="str">
        <f t="shared" si="767"/>
        <v/>
      </c>
    </row>
    <row r="45922" spans="8:8" x14ac:dyDescent="0.3">
      <c r="H45922" t="str">
        <f t="shared" si="767"/>
        <v/>
      </c>
    </row>
    <row r="45923" spans="8:8" x14ac:dyDescent="0.3">
      <c r="H45923" t="str">
        <f t="shared" si="767"/>
        <v/>
      </c>
    </row>
    <row r="45924" spans="8:8" x14ac:dyDescent="0.3">
      <c r="H45924" t="str">
        <f t="shared" si="767"/>
        <v/>
      </c>
    </row>
    <row r="45925" spans="8:8" x14ac:dyDescent="0.3">
      <c r="H45925" t="str">
        <f t="shared" si="767"/>
        <v/>
      </c>
    </row>
    <row r="45926" spans="8:8" x14ac:dyDescent="0.3">
      <c r="H45926" t="str">
        <f t="shared" si="767"/>
        <v/>
      </c>
    </row>
    <row r="45927" spans="8:8" x14ac:dyDescent="0.3">
      <c r="H45927" t="str">
        <f t="shared" si="767"/>
        <v/>
      </c>
    </row>
    <row r="45928" spans="8:8" x14ac:dyDescent="0.3">
      <c r="H45928" t="str">
        <f t="shared" si="767"/>
        <v/>
      </c>
    </row>
    <row r="45929" spans="8:8" x14ac:dyDescent="0.3">
      <c r="H45929" t="str">
        <f t="shared" si="767"/>
        <v/>
      </c>
    </row>
    <row r="45930" spans="8:8" x14ac:dyDescent="0.3">
      <c r="H45930" t="str">
        <f t="shared" si="767"/>
        <v/>
      </c>
    </row>
    <row r="45931" spans="8:8" x14ac:dyDescent="0.3">
      <c r="H45931" t="str">
        <f t="shared" si="767"/>
        <v/>
      </c>
    </row>
    <row r="45932" spans="8:8" x14ac:dyDescent="0.3">
      <c r="H45932" t="str">
        <f t="shared" si="767"/>
        <v/>
      </c>
    </row>
    <row r="45933" spans="8:8" x14ac:dyDescent="0.3">
      <c r="H45933" t="str">
        <f t="shared" si="767"/>
        <v/>
      </c>
    </row>
    <row r="45934" spans="8:8" x14ac:dyDescent="0.3">
      <c r="H45934" t="str">
        <f t="shared" si="767"/>
        <v/>
      </c>
    </row>
    <row r="45935" spans="8:8" x14ac:dyDescent="0.3">
      <c r="H45935" t="str">
        <f t="shared" si="767"/>
        <v/>
      </c>
    </row>
    <row r="45936" spans="8:8" x14ac:dyDescent="0.3">
      <c r="H45936" t="str">
        <f t="shared" si="767"/>
        <v/>
      </c>
    </row>
    <row r="45937" spans="8:8" x14ac:dyDescent="0.3">
      <c r="H45937" t="str">
        <f t="shared" si="767"/>
        <v/>
      </c>
    </row>
    <row r="45938" spans="8:8" x14ac:dyDescent="0.3">
      <c r="H45938" t="str">
        <f t="shared" si="767"/>
        <v/>
      </c>
    </row>
    <row r="45939" spans="8:8" x14ac:dyDescent="0.3">
      <c r="H45939" t="str">
        <f t="shared" si="767"/>
        <v/>
      </c>
    </row>
    <row r="45940" spans="8:8" x14ac:dyDescent="0.3">
      <c r="H45940" t="str">
        <f t="shared" si="767"/>
        <v/>
      </c>
    </row>
    <row r="45941" spans="8:8" x14ac:dyDescent="0.3">
      <c r="H45941" t="str">
        <f t="shared" si="767"/>
        <v/>
      </c>
    </row>
    <row r="45942" spans="8:8" x14ac:dyDescent="0.3">
      <c r="H45942" t="str">
        <f t="shared" si="767"/>
        <v/>
      </c>
    </row>
    <row r="45943" spans="8:8" x14ac:dyDescent="0.3">
      <c r="H45943" t="str">
        <f t="shared" si="767"/>
        <v/>
      </c>
    </row>
    <row r="45944" spans="8:8" x14ac:dyDescent="0.3">
      <c r="H45944" t="str">
        <f t="shared" si="767"/>
        <v/>
      </c>
    </row>
    <row r="45945" spans="8:8" x14ac:dyDescent="0.3">
      <c r="H45945" t="str">
        <f t="shared" si="767"/>
        <v/>
      </c>
    </row>
    <row r="45946" spans="8:8" x14ac:dyDescent="0.3">
      <c r="H45946" t="str">
        <f t="shared" si="767"/>
        <v/>
      </c>
    </row>
    <row r="45947" spans="8:8" x14ac:dyDescent="0.3">
      <c r="H45947" t="str">
        <f t="shared" si="767"/>
        <v/>
      </c>
    </row>
    <row r="45948" spans="8:8" x14ac:dyDescent="0.3">
      <c r="H45948" t="str">
        <f t="shared" si="767"/>
        <v/>
      </c>
    </row>
    <row r="45949" spans="8:8" x14ac:dyDescent="0.3">
      <c r="H45949" t="str">
        <f t="shared" si="767"/>
        <v/>
      </c>
    </row>
    <row r="45950" spans="8:8" x14ac:dyDescent="0.3">
      <c r="H45950" t="str">
        <f t="shared" si="767"/>
        <v/>
      </c>
    </row>
    <row r="45951" spans="8:8" x14ac:dyDescent="0.3">
      <c r="H45951" t="str">
        <f t="shared" si="767"/>
        <v/>
      </c>
    </row>
    <row r="45952" spans="8:8" x14ac:dyDescent="0.3">
      <c r="H45952" t="str">
        <f t="shared" si="767"/>
        <v/>
      </c>
    </row>
    <row r="45953" spans="8:8" x14ac:dyDescent="0.3">
      <c r="H45953" t="str">
        <f t="shared" si="767"/>
        <v/>
      </c>
    </row>
    <row r="45954" spans="8:8" x14ac:dyDescent="0.3">
      <c r="H45954" t="str">
        <f t="shared" si="767"/>
        <v/>
      </c>
    </row>
    <row r="45955" spans="8:8" x14ac:dyDescent="0.3">
      <c r="H45955" t="str">
        <f t="shared" si="767"/>
        <v/>
      </c>
    </row>
    <row r="45956" spans="8:8" x14ac:dyDescent="0.3">
      <c r="H45956" t="str">
        <f t="shared" si="767"/>
        <v/>
      </c>
    </row>
    <row r="45957" spans="8:8" x14ac:dyDescent="0.3">
      <c r="H45957" t="str">
        <f t="shared" si="767"/>
        <v/>
      </c>
    </row>
    <row r="45958" spans="8:8" x14ac:dyDescent="0.3">
      <c r="H45958" t="str">
        <f t="shared" si="767"/>
        <v/>
      </c>
    </row>
    <row r="45959" spans="8:8" x14ac:dyDescent="0.3">
      <c r="H45959" t="str">
        <f t="shared" si="767"/>
        <v/>
      </c>
    </row>
    <row r="45960" spans="8:8" x14ac:dyDescent="0.3">
      <c r="H45960" t="str">
        <f t="shared" si="767"/>
        <v/>
      </c>
    </row>
    <row r="45961" spans="8:8" x14ac:dyDescent="0.3">
      <c r="H45961" t="str">
        <f t="shared" si="767"/>
        <v/>
      </c>
    </row>
    <row r="45962" spans="8:8" x14ac:dyDescent="0.3">
      <c r="H45962" t="str">
        <f t="shared" si="767"/>
        <v/>
      </c>
    </row>
    <row r="45963" spans="8:8" x14ac:dyDescent="0.3">
      <c r="H45963" t="str">
        <f t="shared" si="767"/>
        <v/>
      </c>
    </row>
    <row r="45964" spans="8:8" x14ac:dyDescent="0.3">
      <c r="H45964" t="str">
        <f t="shared" si="767"/>
        <v/>
      </c>
    </row>
    <row r="45965" spans="8:8" x14ac:dyDescent="0.3">
      <c r="H45965" t="str">
        <f t="shared" si="767"/>
        <v/>
      </c>
    </row>
    <row r="45966" spans="8:8" x14ac:dyDescent="0.3">
      <c r="H45966" t="str">
        <f t="shared" si="767"/>
        <v/>
      </c>
    </row>
    <row r="45967" spans="8:8" x14ac:dyDescent="0.3">
      <c r="H45967" t="str">
        <f t="shared" si="767"/>
        <v/>
      </c>
    </row>
    <row r="45968" spans="8:8" x14ac:dyDescent="0.3">
      <c r="H45968" t="str">
        <f t="shared" si="767"/>
        <v/>
      </c>
    </row>
    <row r="45969" spans="8:8" x14ac:dyDescent="0.3">
      <c r="H45969" t="str">
        <f t="shared" si="767"/>
        <v/>
      </c>
    </row>
    <row r="45970" spans="8:8" x14ac:dyDescent="0.3">
      <c r="H45970" t="str">
        <f t="shared" si="767"/>
        <v/>
      </c>
    </row>
    <row r="45971" spans="8:8" x14ac:dyDescent="0.3">
      <c r="H45971" t="str">
        <f t="shared" si="767"/>
        <v/>
      </c>
    </row>
    <row r="45972" spans="8:8" x14ac:dyDescent="0.3">
      <c r="H45972" t="str">
        <f t="shared" si="767"/>
        <v/>
      </c>
    </row>
    <row r="45973" spans="8:8" x14ac:dyDescent="0.3">
      <c r="H45973" t="str">
        <f t="shared" si="767"/>
        <v/>
      </c>
    </row>
    <row r="45974" spans="8:8" x14ac:dyDescent="0.3">
      <c r="H45974" t="str">
        <f t="shared" si="767"/>
        <v/>
      </c>
    </row>
    <row r="45975" spans="8:8" x14ac:dyDescent="0.3">
      <c r="H45975" t="str">
        <f t="shared" ref="H45975:H46038" si="768">IF(B45975="","",$C$12)</f>
        <v/>
      </c>
    </row>
    <row r="45976" spans="8:8" x14ac:dyDescent="0.3">
      <c r="H45976" t="str">
        <f t="shared" si="768"/>
        <v/>
      </c>
    </row>
    <row r="45977" spans="8:8" x14ac:dyDescent="0.3">
      <c r="H45977" t="str">
        <f t="shared" si="768"/>
        <v/>
      </c>
    </row>
    <row r="45978" spans="8:8" x14ac:dyDescent="0.3">
      <c r="H45978" t="str">
        <f t="shared" si="768"/>
        <v/>
      </c>
    </row>
    <row r="45979" spans="8:8" x14ac:dyDescent="0.3">
      <c r="H45979" t="str">
        <f t="shared" si="768"/>
        <v/>
      </c>
    </row>
    <row r="45980" spans="8:8" x14ac:dyDescent="0.3">
      <c r="H45980" t="str">
        <f t="shared" si="768"/>
        <v/>
      </c>
    </row>
    <row r="45981" spans="8:8" x14ac:dyDescent="0.3">
      <c r="H45981" t="str">
        <f t="shared" si="768"/>
        <v/>
      </c>
    </row>
    <row r="45982" spans="8:8" x14ac:dyDescent="0.3">
      <c r="H45982" t="str">
        <f t="shared" si="768"/>
        <v/>
      </c>
    </row>
    <row r="45983" spans="8:8" x14ac:dyDescent="0.3">
      <c r="H45983" t="str">
        <f t="shared" si="768"/>
        <v/>
      </c>
    </row>
    <row r="45984" spans="8:8" x14ac:dyDescent="0.3">
      <c r="H45984" t="str">
        <f t="shared" si="768"/>
        <v/>
      </c>
    </row>
    <row r="45985" spans="8:8" x14ac:dyDescent="0.3">
      <c r="H45985" t="str">
        <f t="shared" si="768"/>
        <v/>
      </c>
    </row>
    <row r="45986" spans="8:8" x14ac:dyDescent="0.3">
      <c r="H45986" t="str">
        <f t="shared" si="768"/>
        <v/>
      </c>
    </row>
    <row r="45987" spans="8:8" x14ac:dyDescent="0.3">
      <c r="H45987" t="str">
        <f t="shared" si="768"/>
        <v/>
      </c>
    </row>
    <row r="45988" spans="8:8" x14ac:dyDescent="0.3">
      <c r="H45988" t="str">
        <f t="shared" si="768"/>
        <v/>
      </c>
    </row>
    <row r="45989" spans="8:8" x14ac:dyDescent="0.3">
      <c r="H45989" t="str">
        <f t="shared" si="768"/>
        <v/>
      </c>
    </row>
    <row r="45990" spans="8:8" x14ac:dyDescent="0.3">
      <c r="H45990" t="str">
        <f t="shared" si="768"/>
        <v/>
      </c>
    </row>
    <row r="45991" spans="8:8" x14ac:dyDescent="0.3">
      <c r="H45991" t="str">
        <f t="shared" si="768"/>
        <v/>
      </c>
    </row>
    <row r="45992" spans="8:8" x14ac:dyDescent="0.3">
      <c r="H45992" t="str">
        <f t="shared" si="768"/>
        <v/>
      </c>
    </row>
    <row r="45993" spans="8:8" x14ac:dyDescent="0.3">
      <c r="H45993" t="str">
        <f t="shared" si="768"/>
        <v/>
      </c>
    </row>
    <row r="45994" spans="8:8" x14ac:dyDescent="0.3">
      <c r="H45994" t="str">
        <f t="shared" si="768"/>
        <v/>
      </c>
    </row>
    <row r="45995" spans="8:8" x14ac:dyDescent="0.3">
      <c r="H45995" t="str">
        <f t="shared" si="768"/>
        <v/>
      </c>
    </row>
    <row r="45996" spans="8:8" x14ac:dyDescent="0.3">
      <c r="H45996" t="str">
        <f t="shared" si="768"/>
        <v/>
      </c>
    </row>
    <row r="45997" spans="8:8" x14ac:dyDescent="0.3">
      <c r="H45997" t="str">
        <f t="shared" si="768"/>
        <v/>
      </c>
    </row>
    <row r="45998" spans="8:8" x14ac:dyDescent="0.3">
      <c r="H45998" t="str">
        <f t="shared" si="768"/>
        <v/>
      </c>
    </row>
    <row r="45999" spans="8:8" x14ac:dyDescent="0.3">
      <c r="H45999" t="str">
        <f t="shared" si="768"/>
        <v/>
      </c>
    </row>
    <row r="46000" spans="8:8" x14ac:dyDescent="0.3">
      <c r="H46000" t="str">
        <f t="shared" si="768"/>
        <v/>
      </c>
    </row>
    <row r="46001" spans="8:8" x14ac:dyDescent="0.3">
      <c r="H46001" t="str">
        <f t="shared" si="768"/>
        <v/>
      </c>
    </row>
    <row r="46002" spans="8:8" x14ac:dyDescent="0.3">
      <c r="H46002" t="str">
        <f t="shared" si="768"/>
        <v/>
      </c>
    </row>
    <row r="46003" spans="8:8" x14ac:dyDescent="0.3">
      <c r="H46003" t="str">
        <f t="shared" si="768"/>
        <v/>
      </c>
    </row>
    <row r="46004" spans="8:8" x14ac:dyDescent="0.3">
      <c r="H46004" t="str">
        <f t="shared" si="768"/>
        <v/>
      </c>
    </row>
    <row r="46005" spans="8:8" x14ac:dyDescent="0.3">
      <c r="H46005" t="str">
        <f t="shared" si="768"/>
        <v/>
      </c>
    </row>
    <row r="46006" spans="8:8" x14ac:dyDescent="0.3">
      <c r="H46006" t="str">
        <f t="shared" si="768"/>
        <v/>
      </c>
    </row>
    <row r="46007" spans="8:8" x14ac:dyDescent="0.3">
      <c r="H46007" t="str">
        <f t="shared" si="768"/>
        <v/>
      </c>
    </row>
    <row r="46008" spans="8:8" x14ac:dyDescent="0.3">
      <c r="H46008" t="str">
        <f t="shared" si="768"/>
        <v/>
      </c>
    </row>
    <row r="46009" spans="8:8" x14ac:dyDescent="0.3">
      <c r="H46009" t="str">
        <f t="shared" si="768"/>
        <v/>
      </c>
    </row>
    <row r="46010" spans="8:8" x14ac:dyDescent="0.3">
      <c r="H46010" t="str">
        <f t="shared" si="768"/>
        <v/>
      </c>
    </row>
    <row r="46011" spans="8:8" x14ac:dyDescent="0.3">
      <c r="H46011" t="str">
        <f t="shared" si="768"/>
        <v/>
      </c>
    </row>
    <row r="46012" spans="8:8" x14ac:dyDescent="0.3">
      <c r="H46012" t="str">
        <f t="shared" si="768"/>
        <v/>
      </c>
    </row>
    <row r="46013" spans="8:8" x14ac:dyDescent="0.3">
      <c r="H46013" t="str">
        <f t="shared" si="768"/>
        <v/>
      </c>
    </row>
    <row r="46014" spans="8:8" x14ac:dyDescent="0.3">
      <c r="H46014" t="str">
        <f t="shared" si="768"/>
        <v/>
      </c>
    </row>
    <row r="46015" spans="8:8" x14ac:dyDescent="0.3">
      <c r="H46015" t="str">
        <f t="shared" si="768"/>
        <v/>
      </c>
    </row>
    <row r="46016" spans="8:8" x14ac:dyDescent="0.3">
      <c r="H46016" t="str">
        <f t="shared" si="768"/>
        <v/>
      </c>
    </row>
    <row r="46017" spans="8:8" x14ac:dyDescent="0.3">
      <c r="H46017" t="str">
        <f t="shared" si="768"/>
        <v/>
      </c>
    </row>
    <row r="46018" spans="8:8" x14ac:dyDescent="0.3">
      <c r="H46018" t="str">
        <f t="shared" si="768"/>
        <v/>
      </c>
    </row>
    <row r="46019" spans="8:8" x14ac:dyDescent="0.3">
      <c r="H46019" t="str">
        <f t="shared" si="768"/>
        <v/>
      </c>
    </row>
    <row r="46020" spans="8:8" x14ac:dyDescent="0.3">
      <c r="H46020" t="str">
        <f t="shared" si="768"/>
        <v/>
      </c>
    </row>
    <row r="46021" spans="8:8" x14ac:dyDescent="0.3">
      <c r="H46021" t="str">
        <f t="shared" si="768"/>
        <v/>
      </c>
    </row>
    <row r="46022" spans="8:8" x14ac:dyDescent="0.3">
      <c r="H46022" t="str">
        <f t="shared" si="768"/>
        <v/>
      </c>
    </row>
    <row r="46023" spans="8:8" x14ac:dyDescent="0.3">
      <c r="H46023" t="str">
        <f t="shared" si="768"/>
        <v/>
      </c>
    </row>
    <row r="46024" spans="8:8" x14ac:dyDescent="0.3">
      <c r="H46024" t="str">
        <f t="shared" si="768"/>
        <v/>
      </c>
    </row>
    <row r="46025" spans="8:8" x14ac:dyDescent="0.3">
      <c r="H46025" t="str">
        <f t="shared" si="768"/>
        <v/>
      </c>
    </row>
    <row r="46026" spans="8:8" x14ac:dyDescent="0.3">
      <c r="H46026" t="str">
        <f t="shared" si="768"/>
        <v/>
      </c>
    </row>
    <row r="46027" spans="8:8" x14ac:dyDescent="0.3">
      <c r="H46027" t="str">
        <f t="shared" si="768"/>
        <v/>
      </c>
    </row>
    <row r="46028" spans="8:8" x14ac:dyDescent="0.3">
      <c r="H46028" t="str">
        <f t="shared" si="768"/>
        <v/>
      </c>
    </row>
    <row r="46029" spans="8:8" x14ac:dyDescent="0.3">
      <c r="H46029" t="str">
        <f t="shared" si="768"/>
        <v/>
      </c>
    </row>
    <row r="46030" spans="8:8" x14ac:dyDescent="0.3">
      <c r="H46030" t="str">
        <f t="shared" si="768"/>
        <v/>
      </c>
    </row>
    <row r="46031" spans="8:8" x14ac:dyDescent="0.3">
      <c r="H46031" t="str">
        <f t="shared" si="768"/>
        <v/>
      </c>
    </row>
    <row r="46032" spans="8:8" x14ac:dyDescent="0.3">
      <c r="H46032" t="str">
        <f t="shared" si="768"/>
        <v/>
      </c>
    </row>
    <row r="46033" spans="8:8" x14ac:dyDescent="0.3">
      <c r="H46033" t="str">
        <f t="shared" si="768"/>
        <v/>
      </c>
    </row>
    <row r="46034" spans="8:8" x14ac:dyDescent="0.3">
      <c r="H46034" t="str">
        <f t="shared" si="768"/>
        <v/>
      </c>
    </row>
    <row r="46035" spans="8:8" x14ac:dyDescent="0.3">
      <c r="H46035" t="str">
        <f t="shared" si="768"/>
        <v/>
      </c>
    </row>
    <row r="46036" spans="8:8" x14ac:dyDescent="0.3">
      <c r="H46036" t="str">
        <f t="shared" si="768"/>
        <v/>
      </c>
    </row>
    <row r="46037" spans="8:8" x14ac:dyDescent="0.3">
      <c r="H46037" t="str">
        <f t="shared" si="768"/>
        <v/>
      </c>
    </row>
    <row r="46038" spans="8:8" x14ac:dyDescent="0.3">
      <c r="H46038" t="str">
        <f t="shared" si="768"/>
        <v/>
      </c>
    </row>
    <row r="46039" spans="8:8" x14ac:dyDescent="0.3">
      <c r="H46039" t="str">
        <f t="shared" ref="H46039:H46102" si="769">IF(B46039="","",$C$12)</f>
        <v/>
      </c>
    </row>
    <row r="46040" spans="8:8" x14ac:dyDescent="0.3">
      <c r="H46040" t="str">
        <f t="shared" si="769"/>
        <v/>
      </c>
    </row>
    <row r="46041" spans="8:8" x14ac:dyDescent="0.3">
      <c r="H46041" t="str">
        <f t="shared" si="769"/>
        <v/>
      </c>
    </row>
    <row r="46042" spans="8:8" x14ac:dyDescent="0.3">
      <c r="H46042" t="str">
        <f t="shared" si="769"/>
        <v/>
      </c>
    </row>
    <row r="46043" spans="8:8" x14ac:dyDescent="0.3">
      <c r="H46043" t="str">
        <f t="shared" si="769"/>
        <v/>
      </c>
    </row>
    <row r="46044" spans="8:8" x14ac:dyDescent="0.3">
      <c r="H46044" t="str">
        <f t="shared" si="769"/>
        <v/>
      </c>
    </row>
    <row r="46045" spans="8:8" x14ac:dyDescent="0.3">
      <c r="H46045" t="str">
        <f t="shared" si="769"/>
        <v/>
      </c>
    </row>
    <row r="46046" spans="8:8" x14ac:dyDescent="0.3">
      <c r="H46046" t="str">
        <f t="shared" si="769"/>
        <v/>
      </c>
    </row>
    <row r="46047" spans="8:8" x14ac:dyDescent="0.3">
      <c r="H46047" t="str">
        <f t="shared" si="769"/>
        <v/>
      </c>
    </row>
    <row r="46048" spans="8:8" x14ac:dyDescent="0.3">
      <c r="H46048" t="str">
        <f t="shared" si="769"/>
        <v/>
      </c>
    </row>
    <row r="46049" spans="8:8" x14ac:dyDescent="0.3">
      <c r="H46049" t="str">
        <f t="shared" si="769"/>
        <v/>
      </c>
    </row>
    <row r="46050" spans="8:8" x14ac:dyDescent="0.3">
      <c r="H46050" t="str">
        <f t="shared" si="769"/>
        <v/>
      </c>
    </row>
    <row r="46051" spans="8:8" x14ac:dyDescent="0.3">
      <c r="H46051" t="str">
        <f t="shared" si="769"/>
        <v/>
      </c>
    </row>
    <row r="46052" spans="8:8" x14ac:dyDescent="0.3">
      <c r="H46052" t="str">
        <f t="shared" si="769"/>
        <v/>
      </c>
    </row>
    <row r="46053" spans="8:8" x14ac:dyDescent="0.3">
      <c r="H46053" t="str">
        <f t="shared" si="769"/>
        <v/>
      </c>
    </row>
    <row r="46054" spans="8:8" x14ac:dyDescent="0.3">
      <c r="H46054" t="str">
        <f t="shared" si="769"/>
        <v/>
      </c>
    </row>
    <row r="46055" spans="8:8" x14ac:dyDescent="0.3">
      <c r="H46055" t="str">
        <f t="shared" si="769"/>
        <v/>
      </c>
    </row>
    <row r="46056" spans="8:8" x14ac:dyDescent="0.3">
      <c r="H46056" t="str">
        <f t="shared" si="769"/>
        <v/>
      </c>
    </row>
    <row r="46057" spans="8:8" x14ac:dyDescent="0.3">
      <c r="H46057" t="str">
        <f t="shared" si="769"/>
        <v/>
      </c>
    </row>
    <row r="46058" spans="8:8" x14ac:dyDescent="0.3">
      <c r="H46058" t="str">
        <f t="shared" si="769"/>
        <v/>
      </c>
    </row>
    <row r="46059" spans="8:8" x14ac:dyDescent="0.3">
      <c r="H46059" t="str">
        <f t="shared" si="769"/>
        <v/>
      </c>
    </row>
    <row r="46060" spans="8:8" x14ac:dyDescent="0.3">
      <c r="H46060" t="str">
        <f t="shared" si="769"/>
        <v/>
      </c>
    </row>
    <row r="46061" spans="8:8" x14ac:dyDescent="0.3">
      <c r="H46061" t="str">
        <f t="shared" si="769"/>
        <v/>
      </c>
    </row>
    <row r="46062" spans="8:8" x14ac:dyDescent="0.3">
      <c r="H46062" t="str">
        <f t="shared" si="769"/>
        <v/>
      </c>
    </row>
    <row r="46063" spans="8:8" x14ac:dyDescent="0.3">
      <c r="H46063" t="str">
        <f t="shared" si="769"/>
        <v/>
      </c>
    </row>
    <row r="46064" spans="8:8" x14ac:dyDescent="0.3">
      <c r="H46064" t="str">
        <f t="shared" si="769"/>
        <v/>
      </c>
    </row>
    <row r="46065" spans="8:8" x14ac:dyDescent="0.3">
      <c r="H46065" t="str">
        <f t="shared" si="769"/>
        <v/>
      </c>
    </row>
    <row r="46066" spans="8:8" x14ac:dyDescent="0.3">
      <c r="H46066" t="str">
        <f t="shared" si="769"/>
        <v/>
      </c>
    </row>
    <row r="46067" spans="8:8" x14ac:dyDescent="0.3">
      <c r="H46067" t="str">
        <f t="shared" si="769"/>
        <v/>
      </c>
    </row>
    <row r="46068" spans="8:8" x14ac:dyDescent="0.3">
      <c r="H46068" t="str">
        <f t="shared" si="769"/>
        <v/>
      </c>
    </row>
    <row r="46069" spans="8:8" x14ac:dyDescent="0.3">
      <c r="H46069" t="str">
        <f t="shared" si="769"/>
        <v/>
      </c>
    </row>
    <row r="46070" spans="8:8" x14ac:dyDescent="0.3">
      <c r="H46070" t="str">
        <f t="shared" si="769"/>
        <v/>
      </c>
    </row>
    <row r="46071" spans="8:8" x14ac:dyDescent="0.3">
      <c r="H46071" t="str">
        <f t="shared" si="769"/>
        <v/>
      </c>
    </row>
    <row r="46072" spans="8:8" x14ac:dyDescent="0.3">
      <c r="H46072" t="str">
        <f t="shared" si="769"/>
        <v/>
      </c>
    </row>
    <row r="46073" spans="8:8" x14ac:dyDescent="0.3">
      <c r="H46073" t="str">
        <f t="shared" si="769"/>
        <v/>
      </c>
    </row>
    <row r="46074" spans="8:8" x14ac:dyDescent="0.3">
      <c r="H46074" t="str">
        <f t="shared" si="769"/>
        <v/>
      </c>
    </row>
    <row r="46075" spans="8:8" x14ac:dyDescent="0.3">
      <c r="H46075" t="str">
        <f t="shared" si="769"/>
        <v/>
      </c>
    </row>
    <row r="46076" spans="8:8" x14ac:dyDescent="0.3">
      <c r="H46076" t="str">
        <f t="shared" si="769"/>
        <v/>
      </c>
    </row>
    <row r="46077" spans="8:8" x14ac:dyDescent="0.3">
      <c r="H46077" t="str">
        <f t="shared" si="769"/>
        <v/>
      </c>
    </row>
    <row r="46078" spans="8:8" x14ac:dyDescent="0.3">
      <c r="H46078" t="str">
        <f t="shared" si="769"/>
        <v/>
      </c>
    </row>
    <row r="46079" spans="8:8" x14ac:dyDescent="0.3">
      <c r="H46079" t="str">
        <f t="shared" si="769"/>
        <v/>
      </c>
    </row>
    <row r="46080" spans="8:8" x14ac:dyDescent="0.3">
      <c r="H46080" t="str">
        <f t="shared" si="769"/>
        <v/>
      </c>
    </row>
    <row r="46081" spans="8:8" x14ac:dyDescent="0.3">
      <c r="H46081" t="str">
        <f t="shared" si="769"/>
        <v/>
      </c>
    </row>
    <row r="46082" spans="8:8" x14ac:dyDescent="0.3">
      <c r="H46082" t="str">
        <f t="shared" si="769"/>
        <v/>
      </c>
    </row>
    <row r="46083" spans="8:8" x14ac:dyDescent="0.3">
      <c r="H46083" t="str">
        <f t="shared" si="769"/>
        <v/>
      </c>
    </row>
    <row r="46084" spans="8:8" x14ac:dyDescent="0.3">
      <c r="H46084" t="str">
        <f t="shared" si="769"/>
        <v/>
      </c>
    </row>
    <row r="46085" spans="8:8" x14ac:dyDescent="0.3">
      <c r="H46085" t="str">
        <f t="shared" si="769"/>
        <v/>
      </c>
    </row>
    <row r="46086" spans="8:8" x14ac:dyDescent="0.3">
      <c r="H46086" t="str">
        <f t="shared" si="769"/>
        <v/>
      </c>
    </row>
    <row r="46087" spans="8:8" x14ac:dyDescent="0.3">
      <c r="H46087" t="str">
        <f t="shared" si="769"/>
        <v/>
      </c>
    </row>
    <row r="46088" spans="8:8" x14ac:dyDescent="0.3">
      <c r="H46088" t="str">
        <f t="shared" si="769"/>
        <v/>
      </c>
    </row>
    <row r="46089" spans="8:8" x14ac:dyDescent="0.3">
      <c r="H46089" t="str">
        <f t="shared" si="769"/>
        <v/>
      </c>
    </row>
    <row r="46090" spans="8:8" x14ac:dyDescent="0.3">
      <c r="H46090" t="str">
        <f t="shared" si="769"/>
        <v/>
      </c>
    </row>
    <row r="46091" spans="8:8" x14ac:dyDescent="0.3">
      <c r="H46091" t="str">
        <f t="shared" si="769"/>
        <v/>
      </c>
    </row>
    <row r="46092" spans="8:8" x14ac:dyDescent="0.3">
      <c r="H46092" t="str">
        <f t="shared" si="769"/>
        <v/>
      </c>
    </row>
    <row r="46093" spans="8:8" x14ac:dyDescent="0.3">
      <c r="H46093" t="str">
        <f t="shared" si="769"/>
        <v/>
      </c>
    </row>
    <row r="46094" spans="8:8" x14ac:dyDescent="0.3">
      <c r="H46094" t="str">
        <f t="shared" si="769"/>
        <v/>
      </c>
    </row>
    <row r="46095" spans="8:8" x14ac:dyDescent="0.3">
      <c r="H46095" t="str">
        <f t="shared" si="769"/>
        <v/>
      </c>
    </row>
    <row r="46096" spans="8:8" x14ac:dyDescent="0.3">
      <c r="H46096" t="str">
        <f t="shared" si="769"/>
        <v/>
      </c>
    </row>
    <row r="46097" spans="8:8" x14ac:dyDescent="0.3">
      <c r="H46097" t="str">
        <f t="shared" si="769"/>
        <v/>
      </c>
    </row>
    <row r="46098" spans="8:8" x14ac:dyDescent="0.3">
      <c r="H46098" t="str">
        <f t="shared" si="769"/>
        <v/>
      </c>
    </row>
    <row r="46099" spans="8:8" x14ac:dyDescent="0.3">
      <c r="H46099" t="str">
        <f t="shared" si="769"/>
        <v/>
      </c>
    </row>
    <row r="46100" spans="8:8" x14ac:dyDescent="0.3">
      <c r="H46100" t="str">
        <f t="shared" si="769"/>
        <v/>
      </c>
    </row>
    <row r="46101" spans="8:8" x14ac:dyDescent="0.3">
      <c r="H46101" t="str">
        <f t="shared" si="769"/>
        <v/>
      </c>
    </row>
    <row r="46102" spans="8:8" x14ac:dyDescent="0.3">
      <c r="H46102" t="str">
        <f t="shared" si="769"/>
        <v/>
      </c>
    </row>
    <row r="46103" spans="8:8" x14ac:dyDescent="0.3">
      <c r="H46103" t="str">
        <f t="shared" ref="H46103:H46166" si="770">IF(B46103="","",$C$12)</f>
        <v/>
      </c>
    </row>
    <row r="46104" spans="8:8" x14ac:dyDescent="0.3">
      <c r="H46104" t="str">
        <f t="shared" si="770"/>
        <v/>
      </c>
    </row>
    <row r="46105" spans="8:8" x14ac:dyDescent="0.3">
      <c r="H46105" t="str">
        <f t="shared" si="770"/>
        <v/>
      </c>
    </row>
    <row r="46106" spans="8:8" x14ac:dyDescent="0.3">
      <c r="H46106" t="str">
        <f t="shared" si="770"/>
        <v/>
      </c>
    </row>
    <row r="46107" spans="8:8" x14ac:dyDescent="0.3">
      <c r="H46107" t="str">
        <f t="shared" si="770"/>
        <v/>
      </c>
    </row>
    <row r="46108" spans="8:8" x14ac:dyDescent="0.3">
      <c r="H46108" t="str">
        <f t="shared" si="770"/>
        <v/>
      </c>
    </row>
    <row r="46109" spans="8:8" x14ac:dyDescent="0.3">
      <c r="H46109" t="str">
        <f t="shared" si="770"/>
        <v/>
      </c>
    </row>
    <row r="46110" spans="8:8" x14ac:dyDescent="0.3">
      <c r="H46110" t="str">
        <f t="shared" si="770"/>
        <v/>
      </c>
    </row>
    <row r="46111" spans="8:8" x14ac:dyDescent="0.3">
      <c r="H46111" t="str">
        <f t="shared" si="770"/>
        <v/>
      </c>
    </row>
    <row r="46112" spans="8:8" x14ac:dyDescent="0.3">
      <c r="H46112" t="str">
        <f t="shared" si="770"/>
        <v/>
      </c>
    </row>
    <row r="46113" spans="8:8" x14ac:dyDescent="0.3">
      <c r="H46113" t="str">
        <f t="shared" si="770"/>
        <v/>
      </c>
    </row>
    <row r="46114" spans="8:8" x14ac:dyDescent="0.3">
      <c r="H46114" t="str">
        <f t="shared" si="770"/>
        <v/>
      </c>
    </row>
    <row r="46115" spans="8:8" x14ac:dyDescent="0.3">
      <c r="H46115" t="str">
        <f t="shared" si="770"/>
        <v/>
      </c>
    </row>
    <row r="46116" spans="8:8" x14ac:dyDescent="0.3">
      <c r="H46116" t="str">
        <f t="shared" si="770"/>
        <v/>
      </c>
    </row>
    <row r="46117" spans="8:8" x14ac:dyDescent="0.3">
      <c r="H46117" t="str">
        <f t="shared" si="770"/>
        <v/>
      </c>
    </row>
    <row r="46118" spans="8:8" x14ac:dyDescent="0.3">
      <c r="H46118" t="str">
        <f t="shared" si="770"/>
        <v/>
      </c>
    </row>
    <row r="46119" spans="8:8" x14ac:dyDescent="0.3">
      <c r="H46119" t="str">
        <f t="shared" si="770"/>
        <v/>
      </c>
    </row>
    <row r="46120" spans="8:8" x14ac:dyDescent="0.3">
      <c r="H46120" t="str">
        <f t="shared" si="770"/>
        <v/>
      </c>
    </row>
    <row r="46121" spans="8:8" x14ac:dyDescent="0.3">
      <c r="H46121" t="str">
        <f t="shared" si="770"/>
        <v/>
      </c>
    </row>
    <row r="46122" spans="8:8" x14ac:dyDescent="0.3">
      <c r="H46122" t="str">
        <f t="shared" si="770"/>
        <v/>
      </c>
    </row>
    <row r="46123" spans="8:8" x14ac:dyDescent="0.3">
      <c r="H46123" t="str">
        <f t="shared" si="770"/>
        <v/>
      </c>
    </row>
    <row r="46124" spans="8:8" x14ac:dyDescent="0.3">
      <c r="H46124" t="str">
        <f t="shared" si="770"/>
        <v/>
      </c>
    </row>
    <row r="46125" spans="8:8" x14ac:dyDescent="0.3">
      <c r="H46125" t="str">
        <f t="shared" si="770"/>
        <v/>
      </c>
    </row>
    <row r="46126" spans="8:8" x14ac:dyDescent="0.3">
      <c r="H46126" t="str">
        <f t="shared" si="770"/>
        <v/>
      </c>
    </row>
    <row r="46127" spans="8:8" x14ac:dyDescent="0.3">
      <c r="H46127" t="str">
        <f t="shared" si="770"/>
        <v/>
      </c>
    </row>
    <row r="46128" spans="8:8" x14ac:dyDescent="0.3">
      <c r="H46128" t="str">
        <f t="shared" si="770"/>
        <v/>
      </c>
    </row>
    <row r="46129" spans="8:8" x14ac:dyDescent="0.3">
      <c r="H46129" t="str">
        <f t="shared" si="770"/>
        <v/>
      </c>
    </row>
    <row r="46130" spans="8:8" x14ac:dyDescent="0.3">
      <c r="H46130" t="str">
        <f t="shared" si="770"/>
        <v/>
      </c>
    </row>
    <row r="46131" spans="8:8" x14ac:dyDescent="0.3">
      <c r="H46131" t="str">
        <f t="shared" si="770"/>
        <v/>
      </c>
    </row>
    <row r="46132" spans="8:8" x14ac:dyDescent="0.3">
      <c r="H46132" t="str">
        <f t="shared" si="770"/>
        <v/>
      </c>
    </row>
    <row r="46133" spans="8:8" x14ac:dyDescent="0.3">
      <c r="H46133" t="str">
        <f t="shared" si="770"/>
        <v/>
      </c>
    </row>
    <row r="46134" spans="8:8" x14ac:dyDescent="0.3">
      <c r="H46134" t="str">
        <f t="shared" si="770"/>
        <v/>
      </c>
    </row>
    <row r="46135" spans="8:8" x14ac:dyDescent="0.3">
      <c r="H46135" t="str">
        <f t="shared" si="770"/>
        <v/>
      </c>
    </row>
    <row r="46136" spans="8:8" x14ac:dyDescent="0.3">
      <c r="H46136" t="str">
        <f t="shared" si="770"/>
        <v/>
      </c>
    </row>
    <row r="46137" spans="8:8" x14ac:dyDescent="0.3">
      <c r="H46137" t="str">
        <f t="shared" si="770"/>
        <v/>
      </c>
    </row>
    <row r="46138" spans="8:8" x14ac:dyDescent="0.3">
      <c r="H46138" t="str">
        <f t="shared" si="770"/>
        <v/>
      </c>
    </row>
    <row r="46139" spans="8:8" x14ac:dyDescent="0.3">
      <c r="H46139" t="str">
        <f t="shared" si="770"/>
        <v/>
      </c>
    </row>
    <row r="46140" spans="8:8" x14ac:dyDescent="0.3">
      <c r="H46140" t="str">
        <f t="shared" si="770"/>
        <v/>
      </c>
    </row>
    <row r="46141" spans="8:8" x14ac:dyDescent="0.3">
      <c r="H46141" t="str">
        <f t="shared" si="770"/>
        <v/>
      </c>
    </row>
    <row r="46142" spans="8:8" x14ac:dyDescent="0.3">
      <c r="H46142" t="str">
        <f t="shared" si="770"/>
        <v/>
      </c>
    </row>
    <row r="46143" spans="8:8" x14ac:dyDescent="0.3">
      <c r="H46143" t="str">
        <f t="shared" si="770"/>
        <v/>
      </c>
    </row>
    <row r="46144" spans="8:8" x14ac:dyDescent="0.3">
      <c r="H46144" t="str">
        <f t="shared" si="770"/>
        <v/>
      </c>
    </row>
    <row r="46145" spans="8:8" x14ac:dyDescent="0.3">
      <c r="H46145" t="str">
        <f t="shared" si="770"/>
        <v/>
      </c>
    </row>
    <row r="46146" spans="8:8" x14ac:dyDescent="0.3">
      <c r="H46146" t="str">
        <f t="shared" si="770"/>
        <v/>
      </c>
    </row>
    <row r="46147" spans="8:8" x14ac:dyDescent="0.3">
      <c r="H46147" t="str">
        <f t="shared" si="770"/>
        <v/>
      </c>
    </row>
    <row r="46148" spans="8:8" x14ac:dyDescent="0.3">
      <c r="H46148" t="str">
        <f t="shared" si="770"/>
        <v/>
      </c>
    </row>
    <row r="46149" spans="8:8" x14ac:dyDescent="0.3">
      <c r="H46149" t="str">
        <f t="shared" si="770"/>
        <v/>
      </c>
    </row>
    <row r="46150" spans="8:8" x14ac:dyDescent="0.3">
      <c r="H46150" t="str">
        <f t="shared" si="770"/>
        <v/>
      </c>
    </row>
    <row r="46151" spans="8:8" x14ac:dyDescent="0.3">
      <c r="H46151" t="str">
        <f t="shared" si="770"/>
        <v/>
      </c>
    </row>
    <row r="46152" spans="8:8" x14ac:dyDescent="0.3">
      <c r="H46152" t="str">
        <f t="shared" si="770"/>
        <v/>
      </c>
    </row>
    <row r="46153" spans="8:8" x14ac:dyDescent="0.3">
      <c r="H46153" t="str">
        <f t="shared" si="770"/>
        <v/>
      </c>
    </row>
    <row r="46154" spans="8:8" x14ac:dyDescent="0.3">
      <c r="H46154" t="str">
        <f t="shared" si="770"/>
        <v/>
      </c>
    </row>
    <row r="46155" spans="8:8" x14ac:dyDescent="0.3">
      <c r="H46155" t="str">
        <f t="shared" si="770"/>
        <v/>
      </c>
    </row>
    <row r="46156" spans="8:8" x14ac:dyDescent="0.3">
      <c r="H46156" t="str">
        <f t="shared" si="770"/>
        <v/>
      </c>
    </row>
    <row r="46157" spans="8:8" x14ac:dyDescent="0.3">
      <c r="H46157" t="str">
        <f t="shared" si="770"/>
        <v/>
      </c>
    </row>
    <row r="46158" spans="8:8" x14ac:dyDescent="0.3">
      <c r="H46158" t="str">
        <f t="shared" si="770"/>
        <v/>
      </c>
    </row>
    <row r="46159" spans="8:8" x14ac:dyDescent="0.3">
      <c r="H46159" t="str">
        <f t="shared" si="770"/>
        <v/>
      </c>
    </row>
    <row r="46160" spans="8:8" x14ac:dyDescent="0.3">
      <c r="H46160" t="str">
        <f t="shared" si="770"/>
        <v/>
      </c>
    </row>
    <row r="46161" spans="8:8" x14ac:dyDescent="0.3">
      <c r="H46161" t="str">
        <f t="shared" si="770"/>
        <v/>
      </c>
    </row>
    <row r="46162" spans="8:8" x14ac:dyDescent="0.3">
      <c r="H46162" t="str">
        <f t="shared" si="770"/>
        <v/>
      </c>
    </row>
    <row r="46163" spans="8:8" x14ac:dyDescent="0.3">
      <c r="H46163" t="str">
        <f t="shared" si="770"/>
        <v/>
      </c>
    </row>
    <row r="46164" spans="8:8" x14ac:dyDescent="0.3">
      <c r="H46164" t="str">
        <f t="shared" si="770"/>
        <v/>
      </c>
    </row>
    <row r="46165" spans="8:8" x14ac:dyDescent="0.3">
      <c r="H46165" t="str">
        <f t="shared" si="770"/>
        <v/>
      </c>
    </row>
    <row r="46166" spans="8:8" x14ac:dyDescent="0.3">
      <c r="H46166" t="str">
        <f t="shared" si="770"/>
        <v/>
      </c>
    </row>
    <row r="46167" spans="8:8" x14ac:dyDescent="0.3">
      <c r="H46167" t="str">
        <f t="shared" ref="H46167:H46230" si="771">IF(B46167="","",$C$12)</f>
        <v/>
      </c>
    </row>
    <row r="46168" spans="8:8" x14ac:dyDescent="0.3">
      <c r="H46168" t="str">
        <f t="shared" si="771"/>
        <v/>
      </c>
    </row>
    <row r="46169" spans="8:8" x14ac:dyDescent="0.3">
      <c r="H46169" t="str">
        <f t="shared" si="771"/>
        <v/>
      </c>
    </row>
    <row r="46170" spans="8:8" x14ac:dyDescent="0.3">
      <c r="H46170" t="str">
        <f t="shared" si="771"/>
        <v/>
      </c>
    </row>
    <row r="46171" spans="8:8" x14ac:dyDescent="0.3">
      <c r="H46171" t="str">
        <f t="shared" si="771"/>
        <v/>
      </c>
    </row>
    <row r="46172" spans="8:8" x14ac:dyDescent="0.3">
      <c r="H46172" t="str">
        <f t="shared" si="771"/>
        <v/>
      </c>
    </row>
    <row r="46173" spans="8:8" x14ac:dyDescent="0.3">
      <c r="H46173" t="str">
        <f t="shared" si="771"/>
        <v/>
      </c>
    </row>
    <row r="46174" spans="8:8" x14ac:dyDescent="0.3">
      <c r="H46174" t="str">
        <f t="shared" si="771"/>
        <v/>
      </c>
    </row>
    <row r="46175" spans="8:8" x14ac:dyDescent="0.3">
      <c r="H46175" t="str">
        <f t="shared" si="771"/>
        <v/>
      </c>
    </row>
    <row r="46176" spans="8:8" x14ac:dyDescent="0.3">
      <c r="H46176" t="str">
        <f t="shared" si="771"/>
        <v/>
      </c>
    </row>
    <row r="46177" spans="8:8" x14ac:dyDescent="0.3">
      <c r="H46177" t="str">
        <f t="shared" si="771"/>
        <v/>
      </c>
    </row>
    <row r="46178" spans="8:8" x14ac:dyDescent="0.3">
      <c r="H46178" t="str">
        <f t="shared" si="771"/>
        <v/>
      </c>
    </row>
    <row r="46179" spans="8:8" x14ac:dyDescent="0.3">
      <c r="H46179" t="str">
        <f t="shared" si="771"/>
        <v/>
      </c>
    </row>
    <row r="46180" spans="8:8" x14ac:dyDescent="0.3">
      <c r="H46180" t="str">
        <f t="shared" si="771"/>
        <v/>
      </c>
    </row>
    <row r="46181" spans="8:8" x14ac:dyDescent="0.3">
      <c r="H46181" t="str">
        <f t="shared" si="771"/>
        <v/>
      </c>
    </row>
    <row r="46182" spans="8:8" x14ac:dyDescent="0.3">
      <c r="H46182" t="str">
        <f t="shared" si="771"/>
        <v/>
      </c>
    </row>
    <row r="46183" spans="8:8" x14ac:dyDescent="0.3">
      <c r="H46183" t="str">
        <f t="shared" si="771"/>
        <v/>
      </c>
    </row>
    <row r="46184" spans="8:8" x14ac:dyDescent="0.3">
      <c r="H46184" t="str">
        <f t="shared" si="771"/>
        <v/>
      </c>
    </row>
    <row r="46185" spans="8:8" x14ac:dyDescent="0.3">
      <c r="H46185" t="str">
        <f t="shared" si="771"/>
        <v/>
      </c>
    </row>
    <row r="46186" spans="8:8" x14ac:dyDescent="0.3">
      <c r="H46186" t="str">
        <f t="shared" si="771"/>
        <v/>
      </c>
    </row>
    <row r="46187" spans="8:8" x14ac:dyDescent="0.3">
      <c r="H46187" t="str">
        <f t="shared" si="771"/>
        <v/>
      </c>
    </row>
    <row r="46188" spans="8:8" x14ac:dyDescent="0.3">
      <c r="H46188" t="str">
        <f t="shared" si="771"/>
        <v/>
      </c>
    </row>
    <row r="46189" spans="8:8" x14ac:dyDescent="0.3">
      <c r="H46189" t="str">
        <f t="shared" si="771"/>
        <v/>
      </c>
    </row>
    <row r="46190" spans="8:8" x14ac:dyDescent="0.3">
      <c r="H46190" t="str">
        <f t="shared" si="771"/>
        <v/>
      </c>
    </row>
    <row r="46191" spans="8:8" x14ac:dyDescent="0.3">
      <c r="H46191" t="str">
        <f t="shared" si="771"/>
        <v/>
      </c>
    </row>
    <row r="46192" spans="8:8" x14ac:dyDescent="0.3">
      <c r="H46192" t="str">
        <f t="shared" si="771"/>
        <v/>
      </c>
    </row>
    <row r="46193" spans="8:8" x14ac:dyDescent="0.3">
      <c r="H46193" t="str">
        <f t="shared" si="771"/>
        <v/>
      </c>
    </row>
    <row r="46194" spans="8:8" x14ac:dyDescent="0.3">
      <c r="H46194" t="str">
        <f t="shared" si="771"/>
        <v/>
      </c>
    </row>
    <row r="46195" spans="8:8" x14ac:dyDescent="0.3">
      <c r="H46195" t="str">
        <f t="shared" si="771"/>
        <v/>
      </c>
    </row>
    <row r="46196" spans="8:8" x14ac:dyDescent="0.3">
      <c r="H46196" t="str">
        <f t="shared" si="771"/>
        <v/>
      </c>
    </row>
    <row r="46197" spans="8:8" x14ac:dyDescent="0.3">
      <c r="H46197" t="str">
        <f t="shared" si="771"/>
        <v/>
      </c>
    </row>
    <row r="46198" spans="8:8" x14ac:dyDescent="0.3">
      <c r="H46198" t="str">
        <f t="shared" si="771"/>
        <v/>
      </c>
    </row>
    <row r="46199" spans="8:8" x14ac:dyDescent="0.3">
      <c r="H46199" t="str">
        <f t="shared" si="771"/>
        <v/>
      </c>
    </row>
    <row r="46200" spans="8:8" x14ac:dyDescent="0.3">
      <c r="H46200" t="str">
        <f t="shared" si="771"/>
        <v/>
      </c>
    </row>
    <row r="46201" spans="8:8" x14ac:dyDescent="0.3">
      <c r="H46201" t="str">
        <f t="shared" si="771"/>
        <v/>
      </c>
    </row>
    <row r="46202" spans="8:8" x14ac:dyDescent="0.3">
      <c r="H46202" t="str">
        <f t="shared" si="771"/>
        <v/>
      </c>
    </row>
    <row r="46203" spans="8:8" x14ac:dyDescent="0.3">
      <c r="H46203" t="str">
        <f t="shared" si="771"/>
        <v/>
      </c>
    </row>
    <row r="46204" spans="8:8" x14ac:dyDescent="0.3">
      <c r="H46204" t="str">
        <f t="shared" si="771"/>
        <v/>
      </c>
    </row>
    <row r="46205" spans="8:8" x14ac:dyDescent="0.3">
      <c r="H46205" t="str">
        <f t="shared" si="771"/>
        <v/>
      </c>
    </row>
    <row r="46206" spans="8:8" x14ac:dyDescent="0.3">
      <c r="H46206" t="str">
        <f t="shared" si="771"/>
        <v/>
      </c>
    </row>
    <row r="46207" spans="8:8" x14ac:dyDescent="0.3">
      <c r="H46207" t="str">
        <f t="shared" si="771"/>
        <v/>
      </c>
    </row>
    <row r="46208" spans="8:8" x14ac:dyDescent="0.3">
      <c r="H46208" t="str">
        <f t="shared" si="771"/>
        <v/>
      </c>
    </row>
    <row r="46209" spans="8:8" x14ac:dyDescent="0.3">
      <c r="H46209" t="str">
        <f t="shared" si="771"/>
        <v/>
      </c>
    </row>
    <row r="46210" spans="8:8" x14ac:dyDescent="0.3">
      <c r="H46210" t="str">
        <f t="shared" si="771"/>
        <v/>
      </c>
    </row>
    <row r="46211" spans="8:8" x14ac:dyDescent="0.3">
      <c r="H46211" t="str">
        <f t="shared" si="771"/>
        <v/>
      </c>
    </row>
    <row r="46212" spans="8:8" x14ac:dyDescent="0.3">
      <c r="H46212" t="str">
        <f t="shared" si="771"/>
        <v/>
      </c>
    </row>
    <row r="46213" spans="8:8" x14ac:dyDescent="0.3">
      <c r="H46213" t="str">
        <f t="shared" si="771"/>
        <v/>
      </c>
    </row>
    <row r="46214" spans="8:8" x14ac:dyDescent="0.3">
      <c r="H46214" t="str">
        <f t="shared" si="771"/>
        <v/>
      </c>
    </row>
    <row r="46215" spans="8:8" x14ac:dyDescent="0.3">
      <c r="H46215" t="str">
        <f t="shared" si="771"/>
        <v/>
      </c>
    </row>
    <row r="46216" spans="8:8" x14ac:dyDescent="0.3">
      <c r="H46216" t="str">
        <f t="shared" si="771"/>
        <v/>
      </c>
    </row>
    <row r="46217" spans="8:8" x14ac:dyDescent="0.3">
      <c r="H46217" t="str">
        <f t="shared" si="771"/>
        <v/>
      </c>
    </row>
    <row r="46218" spans="8:8" x14ac:dyDescent="0.3">
      <c r="H46218" t="str">
        <f t="shared" si="771"/>
        <v/>
      </c>
    </row>
    <row r="46219" spans="8:8" x14ac:dyDescent="0.3">
      <c r="H46219" t="str">
        <f t="shared" si="771"/>
        <v/>
      </c>
    </row>
    <row r="46220" spans="8:8" x14ac:dyDescent="0.3">
      <c r="H46220" t="str">
        <f t="shared" si="771"/>
        <v/>
      </c>
    </row>
    <row r="46221" spans="8:8" x14ac:dyDescent="0.3">
      <c r="H46221" t="str">
        <f t="shared" si="771"/>
        <v/>
      </c>
    </row>
    <row r="46222" spans="8:8" x14ac:dyDescent="0.3">
      <c r="H46222" t="str">
        <f t="shared" si="771"/>
        <v/>
      </c>
    </row>
    <row r="46223" spans="8:8" x14ac:dyDescent="0.3">
      <c r="H46223" t="str">
        <f t="shared" si="771"/>
        <v/>
      </c>
    </row>
    <row r="46224" spans="8:8" x14ac:dyDescent="0.3">
      <c r="H46224" t="str">
        <f t="shared" si="771"/>
        <v/>
      </c>
    </row>
    <row r="46225" spans="8:8" x14ac:dyDescent="0.3">
      <c r="H46225" t="str">
        <f t="shared" si="771"/>
        <v/>
      </c>
    </row>
    <row r="46226" spans="8:8" x14ac:dyDescent="0.3">
      <c r="H46226" t="str">
        <f t="shared" si="771"/>
        <v/>
      </c>
    </row>
    <row r="46227" spans="8:8" x14ac:dyDescent="0.3">
      <c r="H46227" t="str">
        <f t="shared" si="771"/>
        <v/>
      </c>
    </row>
    <row r="46228" spans="8:8" x14ac:dyDescent="0.3">
      <c r="H46228" t="str">
        <f t="shared" si="771"/>
        <v/>
      </c>
    </row>
    <row r="46229" spans="8:8" x14ac:dyDescent="0.3">
      <c r="H46229" t="str">
        <f t="shared" si="771"/>
        <v/>
      </c>
    </row>
    <row r="46230" spans="8:8" x14ac:dyDescent="0.3">
      <c r="H46230" t="str">
        <f t="shared" si="771"/>
        <v/>
      </c>
    </row>
    <row r="46231" spans="8:8" x14ac:dyDescent="0.3">
      <c r="H46231" t="str">
        <f t="shared" ref="H46231:H46294" si="772">IF(B46231="","",$C$12)</f>
        <v/>
      </c>
    </row>
    <row r="46232" spans="8:8" x14ac:dyDescent="0.3">
      <c r="H46232" t="str">
        <f t="shared" si="772"/>
        <v/>
      </c>
    </row>
    <row r="46233" spans="8:8" x14ac:dyDescent="0.3">
      <c r="H46233" t="str">
        <f t="shared" si="772"/>
        <v/>
      </c>
    </row>
    <row r="46234" spans="8:8" x14ac:dyDescent="0.3">
      <c r="H46234" t="str">
        <f t="shared" si="772"/>
        <v/>
      </c>
    </row>
    <row r="46235" spans="8:8" x14ac:dyDescent="0.3">
      <c r="H46235" t="str">
        <f t="shared" si="772"/>
        <v/>
      </c>
    </row>
    <row r="46236" spans="8:8" x14ac:dyDescent="0.3">
      <c r="H46236" t="str">
        <f t="shared" si="772"/>
        <v/>
      </c>
    </row>
    <row r="46237" spans="8:8" x14ac:dyDescent="0.3">
      <c r="H46237" t="str">
        <f t="shared" si="772"/>
        <v/>
      </c>
    </row>
    <row r="46238" spans="8:8" x14ac:dyDescent="0.3">
      <c r="H46238" t="str">
        <f t="shared" si="772"/>
        <v/>
      </c>
    </row>
    <row r="46239" spans="8:8" x14ac:dyDescent="0.3">
      <c r="H46239" t="str">
        <f t="shared" si="772"/>
        <v/>
      </c>
    </row>
    <row r="46240" spans="8:8" x14ac:dyDescent="0.3">
      <c r="H46240" t="str">
        <f t="shared" si="772"/>
        <v/>
      </c>
    </row>
    <row r="46241" spans="8:8" x14ac:dyDescent="0.3">
      <c r="H46241" t="str">
        <f t="shared" si="772"/>
        <v/>
      </c>
    </row>
    <row r="46242" spans="8:8" x14ac:dyDescent="0.3">
      <c r="H46242" t="str">
        <f t="shared" si="772"/>
        <v/>
      </c>
    </row>
    <row r="46243" spans="8:8" x14ac:dyDescent="0.3">
      <c r="H46243" t="str">
        <f t="shared" si="772"/>
        <v/>
      </c>
    </row>
    <row r="46244" spans="8:8" x14ac:dyDescent="0.3">
      <c r="H46244" t="str">
        <f t="shared" si="772"/>
        <v/>
      </c>
    </row>
    <row r="46245" spans="8:8" x14ac:dyDescent="0.3">
      <c r="H46245" t="str">
        <f t="shared" si="772"/>
        <v/>
      </c>
    </row>
    <row r="46246" spans="8:8" x14ac:dyDescent="0.3">
      <c r="H46246" t="str">
        <f t="shared" si="772"/>
        <v/>
      </c>
    </row>
    <row r="46247" spans="8:8" x14ac:dyDescent="0.3">
      <c r="H46247" t="str">
        <f t="shared" si="772"/>
        <v/>
      </c>
    </row>
    <row r="46248" spans="8:8" x14ac:dyDescent="0.3">
      <c r="H46248" t="str">
        <f t="shared" si="772"/>
        <v/>
      </c>
    </row>
    <row r="46249" spans="8:8" x14ac:dyDescent="0.3">
      <c r="H46249" t="str">
        <f t="shared" si="772"/>
        <v/>
      </c>
    </row>
    <row r="46250" spans="8:8" x14ac:dyDescent="0.3">
      <c r="H46250" t="str">
        <f t="shared" si="772"/>
        <v/>
      </c>
    </row>
    <row r="46251" spans="8:8" x14ac:dyDescent="0.3">
      <c r="H46251" t="str">
        <f t="shared" si="772"/>
        <v/>
      </c>
    </row>
    <row r="46252" spans="8:8" x14ac:dyDescent="0.3">
      <c r="H46252" t="str">
        <f t="shared" si="772"/>
        <v/>
      </c>
    </row>
    <row r="46253" spans="8:8" x14ac:dyDescent="0.3">
      <c r="H46253" t="str">
        <f t="shared" si="772"/>
        <v/>
      </c>
    </row>
    <row r="46254" spans="8:8" x14ac:dyDescent="0.3">
      <c r="H46254" t="str">
        <f t="shared" si="772"/>
        <v/>
      </c>
    </row>
    <row r="46255" spans="8:8" x14ac:dyDescent="0.3">
      <c r="H46255" t="str">
        <f t="shared" si="772"/>
        <v/>
      </c>
    </row>
    <row r="46256" spans="8:8" x14ac:dyDescent="0.3">
      <c r="H46256" t="str">
        <f t="shared" si="772"/>
        <v/>
      </c>
    </row>
    <row r="46257" spans="8:8" x14ac:dyDescent="0.3">
      <c r="H46257" t="str">
        <f t="shared" si="772"/>
        <v/>
      </c>
    </row>
    <row r="46258" spans="8:8" x14ac:dyDescent="0.3">
      <c r="H46258" t="str">
        <f t="shared" si="772"/>
        <v/>
      </c>
    </row>
    <row r="46259" spans="8:8" x14ac:dyDescent="0.3">
      <c r="H46259" t="str">
        <f t="shared" si="772"/>
        <v/>
      </c>
    </row>
    <row r="46260" spans="8:8" x14ac:dyDescent="0.3">
      <c r="H46260" t="str">
        <f t="shared" si="772"/>
        <v/>
      </c>
    </row>
    <row r="46261" spans="8:8" x14ac:dyDescent="0.3">
      <c r="H46261" t="str">
        <f t="shared" si="772"/>
        <v/>
      </c>
    </row>
    <row r="46262" spans="8:8" x14ac:dyDescent="0.3">
      <c r="H46262" t="str">
        <f t="shared" si="772"/>
        <v/>
      </c>
    </row>
    <row r="46263" spans="8:8" x14ac:dyDescent="0.3">
      <c r="H46263" t="str">
        <f t="shared" si="772"/>
        <v/>
      </c>
    </row>
    <row r="46264" spans="8:8" x14ac:dyDescent="0.3">
      <c r="H46264" t="str">
        <f t="shared" si="772"/>
        <v/>
      </c>
    </row>
    <row r="46265" spans="8:8" x14ac:dyDescent="0.3">
      <c r="H46265" t="str">
        <f t="shared" si="772"/>
        <v/>
      </c>
    </row>
    <row r="46266" spans="8:8" x14ac:dyDescent="0.3">
      <c r="H46266" t="str">
        <f t="shared" si="772"/>
        <v/>
      </c>
    </row>
    <row r="46267" spans="8:8" x14ac:dyDescent="0.3">
      <c r="H46267" t="str">
        <f t="shared" si="772"/>
        <v/>
      </c>
    </row>
    <row r="46268" spans="8:8" x14ac:dyDescent="0.3">
      <c r="H46268" t="str">
        <f t="shared" si="772"/>
        <v/>
      </c>
    </row>
    <row r="46269" spans="8:8" x14ac:dyDescent="0.3">
      <c r="H46269" t="str">
        <f t="shared" si="772"/>
        <v/>
      </c>
    </row>
    <row r="46270" spans="8:8" x14ac:dyDescent="0.3">
      <c r="H46270" t="str">
        <f t="shared" si="772"/>
        <v/>
      </c>
    </row>
    <row r="46271" spans="8:8" x14ac:dyDescent="0.3">
      <c r="H46271" t="str">
        <f t="shared" si="772"/>
        <v/>
      </c>
    </row>
    <row r="46272" spans="8:8" x14ac:dyDescent="0.3">
      <c r="H46272" t="str">
        <f t="shared" si="772"/>
        <v/>
      </c>
    </row>
    <row r="46273" spans="8:8" x14ac:dyDescent="0.3">
      <c r="H46273" t="str">
        <f t="shared" si="772"/>
        <v/>
      </c>
    </row>
    <row r="46274" spans="8:8" x14ac:dyDescent="0.3">
      <c r="H46274" t="str">
        <f t="shared" si="772"/>
        <v/>
      </c>
    </row>
    <row r="46275" spans="8:8" x14ac:dyDescent="0.3">
      <c r="H46275" t="str">
        <f t="shared" si="772"/>
        <v/>
      </c>
    </row>
    <row r="46276" spans="8:8" x14ac:dyDescent="0.3">
      <c r="H46276" t="str">
        <f t="shared" si="772"/>
        <v/>
      </c>
    </row>
    <row r="46277" spans="8:8" x14ac:dyDescent="0.3">
      <c r="H46277" t="str">
        <f t="shared" si="772"/>
        <v/>
      </c>
    </row>
    <row r="46278" spans="8:8" x14ac:dyDescent="0.3">
      <c r="H46278" t="str">
        <f t="shared" si="772"/>
        <v/>
      </c>
    </row>
    <row r="46279" spans="8:8" x14ac:dyDescent="0.3">
      <c r="H46279" t="str">
        <f t="shared" si="772"/>
        <v/>
      </c>
    </row>
    <row r="46280" spans="8:8" x14ac:dyDescent="0.3">
      <c r="H46280" t="str">
        <f t="shared" si="772"/>
        <v/>
      </c>
    </row>
    <row r="46281" spans="8:8" x14ac:dyDescent="0.3">
      <c r="H46281" t="str">
        <f t="shared" si="772"/>
        <v/>
      </c>
    </row>
    <row r="46282" spans="8:8" x14ac:dyDescent="0.3">
      <c r="H46282" t="str">
        <f t="shared" si="772"/>
        <v/>
      </c>
    </row>
    <row r="46283" spans="8:8" x14ac:dyDescent="0.3">
      <c r="H46283" t="str">
        <f t="shared" si="772"/>
        <v/>
      </c>
    </row>
    <row r="46284" spans="8:8" x14ac:dyDescent="0.3">
      <c r="H46284" t="str">
        <f t="shared" si="772"/>
        <v/>
      </c>
    </row>
    <row r="46285" spans="8:8" x14ac:dyDescent="0.3">
      <c r="H46285" t="str">
        <f t="shared" si="772"/>
        <v/>
      </c>
    </row>
    <row r="46286" spans="8:8" x14ac:dyDescent="0.3">
      <c r="H46286" t="str">
        <f t="shared" si="772"/>
        <v/>
      </c>
    </row>
    <row r="46287" spans="8:8" x14ac:dyDescent="0.3">
      <c r="H46287" t="str">
        <f t="shared" si="772"/>
        <v/>
      </c>
    </row>
    <row r="46288" spans="8:8" x14ac:dyDescent="0.3">
      <c r="H46288" t="str">
        <f t="shared" si="772"/>
        <v/>
      </c>
    </row>
    <row r="46289" spans="8:8" x14ac:dyDescent="0.3">
      <c r="H46289" t="str">
        <f t="shared" si="772"/>
        <v/>
      </c>
    </row>
    <row r="46290" spans="8:8" x14ac:dyDescent="0.3">
      <c r="H46290" t="str">
        <f t="shared" si="772"/>
        <v/>
      </c>
    </row>
    <row r="46291" spans="8:8" x14ac:dyDescent="0.3">
      <c r="H46291" t="str">
        <f t="shared" si="772"/>
        <v/>
      </c>
    </row>
    <row r="46292" spans="8:8" x14ac:dyDescent="0.3">
      <c r="H46292" t="str">
        <f t="shared" si="772"/>
        <v/>
      </c>
    </row>
    <row r="46293" spans="8:8" x14ac:dyDescent="0.3">
      <c r="H46293" t="str">
        <f t="shared" si="772"/>
        <v/>
      </c>
    </row>
    <row r="46294" spans="8:8" x14ac:dyDescent="0.3">
      <c r="H46294" t="str">
        <f t="shared" si="772"/>
        <v/>
      </c>
    </row>
    <row r="46295" spans="8:8" x14ac:dyDescent="0.3">
      <c r="H46295" t="str">
        <f t="shared" ref="H46295:H46358" si="773">IF(B46295="","",$C$12)</f>
        <v/>
      </c>
    </row>
    <row r="46296" spans="8:8" x14ac:dyDescent="0.3">
      <c r="H46296" t="str">
        <f t="shared" si="773"/>
        <v/>
      </c>
    </row>
    <row r="46297" spans="8:8" x14ac:dyDescent="0.3">
      <c r="H46297" t="str">
        <f t="shared" si="773"/>
        <v/>
      </c>
    </row>
    <row r="46298" spans="8:8" x14ac:dyDescent="0.3">
      <c r="H46298" t="str">
        <f t="shared" si="773"/>
        <v/>
      </c>
    </row>
    <row r="46299" spans="8:8" x14ac:dyDescent="0.3">
      <c r="H46299" t="str">
        <f t="shared" si="773"/>
        <v/>
      </c>
    </row>
    <row r="46300" spans="8:8" x14ac:dyDescent="0.3">
      <c r="H46300" t="str">
        <f t="shared" si="773"/>
        <v/>
      </c>
    </row>
    <row r="46301" spans="8:8" x14ac:dyDescent="0.3">
      <c r="H46301" t="str">
        <f t="shared" si="773"/>
        <v/>
      </c>
    </row>
    <row r="46302" spans="8:8" x14ac:dyDescent="0.3">
      <c r="H46302" t="str">
        <f t="shared" si="773"/>
        <v/>
      </c>
    </row>
    <row r="46303" spans="8:8" x14ac:dyDescent="0.3">
      <c r="H46303" t="str">
        <f t="shared" si="773"/>
        <v/>
      </c>
    </row>
    <row r="46304" spans="8:8" x14ac:dyDescent="0.3">
      <c r="H46304" t="str">
        <f t="shared" si="773"/>
        <v/>
      </c>
    </row>
    <row r="46305" spans="8:8" x14ac:dyDescent="0.3">
      <c r="H46305" t="str">
        <f t="shared" si="773"/>
        <v/>
      </c>
    </row>
    <row r="46306" spans="8:8" x14ac:dyDescent="0.3">
      <c r="H46306" t="str">
        <f t="shared" si="773"/>
        <v/>
      </c>
    </row>
    <row r="46307" spans="8:8" x14ac:dyDescent="0.3">
      <c r="H46307" t="str">
        <f t="shared" si="773"/>
        <v/>
      </c>
    </row>
    <row r="46308" spans="8:8" x14ac:dyDescent="0.3">
      <c r="H46308" t="str">
        <f t="shared" si="773"/>
        <v/>
      </c>
    </row>
    <row r="46309" spans="8:8" x14ac:dyDescent="0.3">
      <c r="H46309" t="str">
        <f t="shared" si="773"/>
        <v/>
      </c>
    </row>
    <row r="46310" spans="8:8" x14ac:dyDescent="0.3">
      <c r="H46310" t="str">
        <f t="shared" si="773"/>
        <v/>
      </c>
    </row>
    <row r="46311" spans="8:8" x14ac:dyDescent="0.3">
      <c r="H46311" t="str">
        <f t="shared" si="773"/>
        <v/>
      </c>
    </row>
    <row r="46312" spans="8:8" x14ac:dyDescent="0.3">
      <c r="H46312" t="str">
        <f t="shared" si="773"/>
        <v/>
      </c>
    </row>
    <row r="46313" spans="8:8" x14ac:dyDescent="0.3">
      <c r="H46313" t="str">
        <f t="shared" si="773"/>
        <v/>
      </c>
    </row>
    <row r="46314" spans="8:8" x14ac:dyDescent="0.3">
      <c r="H46314" t="str">
        <f t="shared" si="773"/>
        <v/>
      </c>
    </row>
    <row r="46315" spans="8:8" x14ac:dyDescent="0.3">
      <c r="H46315" t="str">
        <f t="shared" si="773"/>
        <v/>
      </c>
    </row>
    <row r="46316" spans="8:8" x14ac:dyDescent="0.3">
      <c r="H46316" t="str">
        <f t="shared" si="773"/>
        <v/>
      </c>
    </row>
    <row r="46317" spans="8:8" x14ac:dyDescent="0.3">
      <c r="H46317" t="str">
        <f t="shared" si="773"/>
        <v/>
      </c>
    </row>
    <row r="46318" spans="8:8" x14ac:dyDescent="0.3">
      <c r="H46318" t="str">
        <f t="shared" si="773"/>
        <v/>
      </c>
    </row>
    <row r="46319" spans="8:8" x14ac:dyDescent="0.3">
      <c r="H46319" t="str">
        <f t="shared" si="773"/>
        <v/>
      </c>
    </row>
    <row r="46320" spans="8:8" x14ac:dyDescent="0.3">
      <c r="H46320" t="str">
        <f t="shared" si="773"/>
        <v/>
      </c>
    </row>
    <row r="46321" spans="8:8" x14ac:dyDescent="0.3">
      <c r="H46321" t="str">
        <f t="shared" si="773"/>
        <v/>
      </c>
    </row>
    <row r="46322" spans="8:8" x14ac:dyDescent="0.3">
      <c r="H46322" t="str">
        <f t="shared" si="773"/>
        <v/>
      </c>
    </row>
    <row r="46323" spans="8:8" x14ac:dyDescent="0.3">
      <c r="H46323" t="str">
        <f t="shared" si="773"/>
        <v/>
      </c>
    </row>
    <row r="46324" spans="8:8" x14ac:dyDescent="0.3">
      <c r="H46324" t="str">
        <f t="shared" si="773"/>
        <v/>
      </c>
    </row>
    <row r="46325" spans="8:8" x14ac:dyDescent="0.3">
      <c r="H46325" t="str">
        <f t="shared" si="773"/>
        <v/>
      </c>
    </row>
    <row r="46326" spans="8:8" x14ac:dyDescent="0.3">
      <c r="H46326" t="str">
        <f t="shared" si="773"/>
        <v/>
      </c>
    </row>
    <row r="46327" spans="8:8" x14ac:dyDescent="0.3">
      <c r="H46327" t="str">
        <f t="shared" si="773"/>
        <v/>
      </c>
    </row>
    <row r="46328" spans="8:8" x14ac:dyDescent="0.3">
      <c r="H46328" t="str">
        <f t="shared" si="773"/>
        <v/>
      </c>
    </row>
    <row r="46329" spans="8:8" x14ac:dyDescent="0.3">
      <c r="H46329" t="str">
        <f t="shared" si="773"/>
        <v/>
      </c>
    </row>
    <row r="46330" spans="8:8" x14ac:dyDescent="0.3">
      <c r="H46330" t="str">
        <f t="shared" si="773"/>
        <v/>
      </c>
    </row>
    <row r="46331" spans="8:8" x14ac:dyDescent="0.3">
      <c r="H46331" t="str">
        <f t="shared" si="773"/>
        <v/>
      </c>
    </row>
    <row r="46332" spans="8:8" x14ac:dyDescent="0.3">
      <c r="H46332" t="str">
        <f t="shared" si="773"/>
        <v/>
      </c>
    </row>
    <row r="46333" spans="8:8" x14ac:dyDescent="0.3">
      <c r="H46333" t="str">
        <f t="shared" si="773"/>
        <v/>
      </c>
    </row>
    <row r="46334" spans="8:8" x14ac:dyDescent="0.3">
      <c r="H46334" t="str">
        <f t="shared" si="773"/>
        <v/>
      </c>
    </row>
    <row r="46335" spans="8:8" x14ac:dyDescent="0.3">
      <c r="H46335" t="str">
        <f t="shared" si="773"/>
        <v/>
      </c>
    </row>
    <row r="46336" spans="8:8" x14ac:dyDescent="0.3">
      <c r="H46336" t="str">
        <f t="shared" si="773"/>
        <v/>
      </c>
    </row>
    <row r="46337" spans="8:8" x14ac:dyDescent="0.3">
      <c r="H46337" t="str">
        <f t="shared" si="773"/>
        <v/>
      </c>
    </row>
    <row r="46338" spans="8:8" x14ac:dyDescent="0.3">
      <c r="H46338" t="str">
        <f t="shared" si="773"/>
        <v/>
      </c>
    </row>
    <row r="46339" spans="8:8" x14ac:dyDescent="0.3">
      <c r="H46339" t="str">
        <f t="shared" si="773"/>
        <v/>
      </c>
    </row>
    <row r="46340" spans="8:8" x14ac:dyDescent="0.3">
      <c r="H46340" t="str">
        <f t="shared" si="773"/>
        <v/>
      </c>
    </row>
    <row r="46341" spans="8:8" x14ac:dyDescent="0.3">
      <c r="H46341" t="str">
        <f t="shared" si="773"/>
        <v/>
      </c>
    </row>
    <row r="46342" spans="8:8" x14ac:dyDescent="0.3">
      <c r="H46342" t="str">
        <f t="shared" si="773"/>
        <v/>
      </c>
    </row>
    <row r="46343" spans="8:8" x14ac:dyDescent="0.3">
      <c r="H46343" t="str">
        <f t="shared" si="773"/>
        <v/>
      </c>
    </row>
    <row r="46344" spans="8:8" x14ac:dyDescent="0.3">
      <c r="H46344" t="str">
        <f t="shared" si="773"/>
        <v/>
      </c>
    </row>
    <row r="46345" spans="8:8" x14ac:dyDescent="0.3">
      <c r="H46345" t="str">
        <f t="shared" si="773"/>
        <v/>
      </c>
    </row>
    <row r="46346" spans="8:8" x14ac:dyDescent="0.3">
      <c r="H46346" t="str">
        <f t="shared" si="773"/>
        <v/>
      </c>
    </row>
    <row r="46347" spans="8:8" x14ac:dyDescent="0.3">
      <c r="H46347" t="str">
        <f t="shared" si="773"/>
        <v/>
      </c>
    </row>
    <row r="46348" spans="8:8" x14ac:dyDescent="0.3">
      <c r="H46348" t="str">
        <f t="shared" si="773"/>
        <v/>
      </c>
    </row>
    <row r="46349" spans="8:8" x14ac:dyDescent="0.3">
      <c r="H46349" t="str">
        <f t="shared" si="773"/>
        <v/>
      </c>
    </row>
    <row r="46350" spans="8:8" x14ac:dyDescent="0.3">
      <c r="H46350" t="str">
        <f t="shared" si="773"/>
        <v/>
      </c>
    </row>
    <row r="46351" spans="8:8" x14ac:dyDescent="0.3">
      <c r="H46351" t="str">
        <f t="shared" si="773"/>
        <v/>
      </c>
    </row>
    <row r="46352" spans="8:8" x14ac:dyDescent="0.3">
      <c r="H46352" t="str">
        <f t="shared" si="773"/>
        <v/>
      </c>
    </row>
    <row r="46353" spans="8:8" x14ac:dyDescent="0.3">
      <c r="H46353" t="str">
        <f t="shared" si="773"/>
        <v/>
      </c>
    </row>
    <row r="46354" spans="8:8" x14ac:dyDescent="0.3">
      <c r="H46354" t="str">
        <f t="shared" si="773"/>
        <v/>
      </c>
    </row>
    <row r="46355" spans="8:8" x14ac:dyDescent="0.3">
      <c r="H46355" t="str">
        <f t="shared" si="773"/>
        <v/>
      </c>
    </row>
    <row r="46356" spans="8:8" x14ac:dyDescent="0.3">
      <c r="H46356" t="str">
        <f t="shared" si="773"/>
        <v/>
      </c>
    </row>
    <row r="46357" spans="8:8" x14ac:dyDescent="0.3">
      <c r="H46357" t="str">
        <f t="shared" si="773"/>
        <v/>
      </c>
    </row>
    <row r="46358" spans="8:8" x14ac:dyDescent="0.3">
      <c r="H46358" t="str">
        <f t="shared" si="773"/>
        <v/>
      </c>
    </row>
    <row r="46359" spans="8:8" x14ac:dyDescent="0.3">
      <c r="H46359" t="str">
        <f t="shared" ref="H46359:H46422" si="774">IF(B46359="","",$C$12)</f>
        <v/>
      </c>
    </row>
    <row r="46360" spans="8:8" x14ac:dyDescent="0.3">
      <c r="H46360" t="str">
        <f t="shared" si="774"/>
        <v/>
      </c>
    </row>
    <row r="46361" spans="8:8" x14ac:dyDescent="0.3">
      <c r="H46361" t="str">
        <f t="shared" si="774"/>
        <v/>
      </c>
    </row>
    <row r="46362" spans="8:8" x14ac:dyDescent="0.3">
      <c r="H46362" t="str">
        <f t="shared" si="774"/>
        <v/>
      </c>
    </row>
    <row r="46363" spans="8:8" x14ac:dyDescent="0.3">
      <c r="H46363" t="str">
        <f t="shared" si="774"/>
        <v/>
      </c>
    </row>
    <row r="46364" spans="8:8" x14ac:dyDescent="0.3">
      <c r="H46364" t="str">
        <f t="shared" si="774"/>
        <v/>
      </c>
    </row>
    <row r="46365" spans="8:8" x14ac:dyDescent="0.3">
      <c r="H46365" t="str">
        <f t="shared" si="774"/>
        <v/>
      </c>
    </row>
    <row r="46366" spans="8:8" x14ac:dyDescent="0.3">
      <c r="H46366" t="str">
        <f t="shared" si="774"/>
        <v/>
      </c>
    </row>
    <row r="46367" spans="8:8" x14ac:dyDescent="0.3">
      <c r="H46367" t="str">
        <f t="shared" si="774"/>
        <v/>
      </c>
    </row>
    <row r="46368" spans="8:8" x14ac:dyDescent="0.3">
      <c r="H46368" t="str">
        <f t="shared" si="774"/>
        <v/>
      </c>
    </row>
    <row r="46369" spans="8:8" x14ac:dyDescent="0.3">
      <c r="H46369" t="str">
        <f t="shared" si="774"/>
        <v/>
      </c>
    </row>
    <row r="46370" spans="8:8" x14ac:dyDescent="0.3">
      <c r="H46370" t="str">
        <f t="shared" si="774"/>
        <v/>
      </c>
    </row>
    <row r="46371" spans="8:8" x14ac:dyDescent="0.3">
      <c r="H46371" t="str">
        <f t="shared" si="774"/>
        <v/>
      </c>
    </row>
    <row r="46372" spans="8:8" x14ac:dyDescent="0.3">
      <c r="H46372" t="str">
        <f t="shared" si="774"/>
        <v/>
      </c>
    </row>
    <row r="46373" spans="8:8" x14ac:dyDescent="0.3">
      <c r="H46373" t="str">
        <f t="shared" si="774"/>
        <v/>
      </c>
    </row>
    <row r="46374" spans="8:8" x14ac:dyDescent="0.3">
      <c r="H46374" t="str">
        <f t="shared" si="774"/>
        <v/>
      </c>
    </row>
    <row r="46375" spans="8:8" x14ac:dyDescent="0.3">
      <c r="H46375" t="str">
        <f t="shared" si="774"/>
        <v/>
      </c>
    </row>
    <row r="46376" spans="8:8" x14ac:dyDescent="0.3">
      <c r="H46376" t="str">
        <f t="shared" si="774"/>
        <v/>
      </c>
    </row>
    <row r="46377" spans="8:8" x14ac:dyDescent="0.3">
      <c r="H46377" t="str">
        <f t="shared" si="774"/>
        <v/>
      </c>
    </row>
    <row r="46378" spans="8:8" x14ac:dyDescent="0.3">
      <c r="H46378" t="str">
        <f t="shared" si="774"/>
        <v/>
      </c>
    </row>
    <row r="46379" spans="8:8" x14ac:dyDescent="0.3">
      <c r="H46379" t="str">
        <f t="shared" si="774"/>
        <v/>
      </c>
    </row>
    <row r="46380" spans="8:8" x14ac:dyDescent="0.3">
      <c r="H46380" t="str">
        <f t="shared" si="774"/>
        <v/>
      </c>
    </row>
    <row r="46381" spans="8:8" x14ac:dyDescent="0.3">
      <c r="H46381" t="str">
        <f t="shared" si="774"/>
        <v/>
      </c>
    </row>
    <row r="46382" spans="8:8" x14ac:dyDescent="0.3">
      <c r="H46382" t="str">
        <f t="shared" si="774"/>
        <v/>
      </c>
    </row>
    <row r="46383" spans="8:8" x14ac:dyDescent="0.3">
      <c r="H46383" t="str">
        <f t="shared" si="774"/>
        <v/>
      </c>
    </row>
    <row r="46384" spans="8:8" x14ac:dyDescent="0.3">
      <c r="H46384" t="str">
        <f t="shared" si="774"/>
        <v/>
      </c>
    </row>
    <row r="46385" spans="8:8" x14ac:dyDescent="0.3">
      <c r="H46385" t="str">
        <f t="shared" si="774"/>
        <v/>
      </c>
    </row>
    <row r="46386" spans="8:8" x14ac:dyDescent="0.3">
      <c r="H46386" t="str">
        <f t="shared" si="774"/>
        <v/>
      </c>
    </row>
    <row r="46387" spans="8:8" x14ac:dyDescent="0.3">
      <c r="H46387" t="str">
        <f t="shared" si="774"/>
        <v/>
      </c>
    </row>
    <row r="46388" spans="8:8" x14ac:dyDescent="0.3">
      <c r="H46388" t="str">
        <f t="shared" si="774"/>
        <v/>
      </c>
    </row>
    <row r="46389" spans="8:8" x14ac:dyDescent="0.3">
      <c r="H46389" t="str">
        <f t="shared" si="774"/>
        <v/>
      </c>
    </row>
    <row r="46390" spans="8:8" x14ac:dyDescent="0.3">
      <c r="H46390" t="str">
        <f t="shared" si="774"/>
        <v/>
      </c>
    </row>
    <row r="46391" spans="8:8" x14ac:dyDescent="0.3">
      <c r="H46391" t="str">
        <f t="shared" si="774"/>
        <v/>
      </c>
    </row>
    <row r="46392" spans="8:8" x14ac:dyDescent="0.3">
      <c r="H46392" t="str">
        <f t="shared" si="774"/>
        <v/>
      </c>
    </row>
    <row r="46393" spans="8:8" x14ac:dyDescent="0.3">
      <c r="H46393" t="str">
        <f t="shared" si="774"/>
        <v/>
      </c>
    </row>
    <row r="46394" spans="8:8" x14ac:dyDescent="0.3">
      <c r="H46394" t="str">
        <f t="shared" si="774"/>
        <v/>
      </c>
    </row>
    <row r="46395" spans="8:8" x14ac:dyDescent="0.3">
      <c r="H46395" t="str">
        <f t="shared" si="774"/>
        <v/>
      </c>
    </row>
    <row r="46396" spans="8:8" x14ac:dyDescent="0.3">
      <c r="H46396" t="str">
        <f t="shared" si="774"/>
        <v/>
      </c>
    </row>
    <row r="46397" spans="8:8" x14ac:dyDescent="0.3">
      <c r="H46397" t="str">
        <f t="shared" si="774"/>
        <v/>
      </c>
    </row>
    <row r="46398" spans="8:8" x14ac:dyDescent="0.3">
      <c r="H46398" t="str">
        <f t="shared" si="774"/>
        <v/>
      </c>
    </row>
    <row r="46399" spans="8:8" x14ac:dyDescent="0.3">
      <c r="H46399" t="str">
        <f t="shared" si="774"/>
        <v/>
      </c>
    </row>
    <row r="46400" spans="8:8" x14ac:dyDescent="0.3">
      <c r="H46400" t="str">
        <f t="shared" si="774"/>
        <v/>
      </c>
    </row>
    <row r="46401" spans="8:8" x14ac:dyDescent="0.3">
      <c r="H46401" t="str">
        <f t="shared" si="774"/>
        <v/>
      </c>
    </row>
    <row r="46402" spans="8:8" x14ac:dyDescent="0.3">
      <c r="H46402" t="str">
        <f t="shared" si="774"/>
        <v/>
      </c>
    </row>
    <row r="46403" spans="8:8" x14ac:dyDescent="0.3">
      <c r="H46403" t="str">
        <f t="shared" si="774"/>
        <v/>
      </c>
    </row>
    <row r="46404" spans="8:8" x14ac:dyDescent="0.3">
      <c r="H46404" t="str">
        <f t="shared" si="774"/>
        <v/>
      </c>
    </row>
    <row r="46405" spans="8:8" x14ac:dyDescent="0.3">
      <c r="H46405" t="str">
        <f t="shared" si="774"/>
        <v/>
      </c>
    </row>
    <row r="46406" spans="8:8" x14ac:dyDescent="0.3">
      <c r="H46406" t="str">
        <f t="shared" si="774"/>
        <v/>
      </c>
    </row>
    <row r="46407" spans="8:8" x14ac:dyDescent="0.3">
      <c r="H46407" t="str">
        <f t="shared" si="774"/>
        <v/>
      </c>
    </row>
    <row r="46408" spans="8:8" x14ac:dyDescent="0.3">
      <c r="H46408" t="str">
        <f t="shared" si="774"/>
        <v/>
      </c>
    </row>
    <row r="46409" spans="8:8" x14ac:dyDescent="0.3">
      <c r="H46409" t="str">
        <f t="shared" si="774"/>
        <v/>
      </c>
    </row>
    <row r="46410" spans="8:8" x14ac:dyDescent="0.3">
      <c r="H46410" t="str">
        <f t="shared" si="774"/>
        <v/>
      </c>
    </row>
    <row r="46411" spans="8:8" x14ac:dyDescent="0.3">
      <c r="H46411" t="str">
        <f t="shared" si="774"/>
        <v/>
      </c>
    </row>
    <row r="46412" spans="8:8" x14ac:dyDescent="0.3">
      <c r="H46412" t="str">
        <f t="shared" si="774"/>
        <v/>
      </c>
    </row>
    <row r="46413" spans="8:8" x14ac:dyDescent="0.3">
      <c r="H46413" t="str">
        <f t="shared" si="774"/>
        <v/>
      </c>
    </row>
    <row r="46414" spans="8:8" x14ac:dyDescent="0.3">
      <c r="H46414" t="str">
        <f t="shared" si="774"/>
        <v/>
      </c>
    </row>
    <row r="46415" spans="8:8" x14ac:dyDescent="0.3">
      <c r="H46415" t="str">
        <f t="shared" si="774"/>
        <v/>
      </c>
    </row>
    <row r="46416" spans="8:8" x14ac:dyDescent="0.3">
      <c r="H46416" t="str">
        <f t="shared" si="774"/>
        <v/>
      </c>
    </row>
    <row r="46417" spans="8:8" x14ac:dyDescent="0.3">
      <c r="H46417" t="str">
        <f t="shared" si="774"/>
        <v/>
      </c>
    </row>
    <row r="46418" spans="8:8" x14ac:dyDescent="0.3">
      <c r="H46418" t="str">
        <f t="shared" si="774"/>
        <v/>
      </c>
    </row>
    <row r="46419" spans="8:8" x14ac:dyDescent="0.3">
      <c r="H46419" t="str">
        <f t="shared" si="774"/>
        <v/>
      </c>
    </row>
    <row r="46420" spans="8:8" x14ac:dyDescent="0.3">
      <c r="H46420" t="str">
        <f t="shared" si="774"/>
        <v/>
      </c>
    </row>
    <row r="46421" spans="8:8" x14ac:dyDescent="0.3">
      <c r="H46421" t="str">
        <f t="shared" si="774"/>
        <v/>
      </c>
    </row>
    <row r="46422" spans="8:8" x14ac:dyDescent="0.3">
      <c r="H46422" t="str">
        <f t="shared" si="774"/>
        <v/>
      </c>
    </row>
    <row r="46423" spans="8:8" x14ac:dyDescent="0.3">
      <c r="H46423" t="str">
        <f t="shared" ref="H46423:H46486" si="775">IF(B46423="","",$C$12)</f>
        <v/>
      </c>
    </row>
    <row r="46424" spans="8:8" x14ac:dyDescent="0.3">
      <c r="H46424" t="str">
        <f t="shared" si="775"/>
        <v/>
      </c>
    </row>
    <row r="46425" spans="8:8" x14ac:dyDescent="0.3">
      <c r="H46425" t="str">
        <f t="shared" si="775"/>
        <v/>
      </c>
    </row>
    <row r="46426" spans="8:8" x14ac:dyDescent="0.3">
      <c r="H46426" t="str">
        <f t="shared" si="775"/>
        <v/>
      </c>
    </row>
    <row r="46427" spans="8:8" x14ac:dyDescent="0.3">
      <c r="H46427" t="str">
        <f t="shared" si="775"/>
        <v/>
      </c>
    </row>
    <row r="46428" spans="8:8" x14ac:dyDescent="0.3">
      <c r="H46428" t="str">
        <f t="shared" si="775"/>
        <v/>
      </c>
    </row>
    <row r="46429" spans="8:8" x14ac:dyDescent="0.3">
      <c r="H46429" t="str">
        <f t="shared" si="775"/>
        <v/>
      </c>
    </row>
    <row r="46430" spans="8:8" x14ac:dyDescent="0.3">
      <c r="H46430" t="str">
        <f t="shared" si="775"/>
        <v/>
      </c>
    </row>
    <row r="46431" spans="8:8" x14ac:dyDescent="0.3">
      <c r="H46431" t="str">
        <f t="shared" si="775"/>
        <v/>
      </c>
    </row>
    <row r="46432" spans="8:8" x14ac:dyDescent="0.3">
      <c r="H46432" t="str">
        <f t="shared" si="775"/>
        <v/>
      </c>
    </row>
    <row r="46433" spans="8:8" x14ac:dyDescent="0.3">
      <c r="H46433" t="str">
        <f t="shared" si="775"/>
        <v/>
      </c>
    </row>
    <row r="46434" spans="8:8" x14ac:dyDescent="0.3">
      <c r="H46434" t="str">
        <f t="shared" si="775"/>
        <v/>
      </c>
    </row>
    <row r="46435" spans="8:8" x14ac:dyDescent="0.3">
      <c r="H46435" t="str">
        <f t="shared" si="775"/>
        <v/>
      </c>
    </row>
    <row r="46436" spans="8:8" x14ac:dyDescent="0.3">
      <c r="H46436" t="str">
        <f t="shared" si="775"/>
        <v/>
      </c>
    </row>
    <row r="46437" spans="8:8" x14ac:dyDescent="0.3">
      <c r="H46437" t="str">
        <f t="shared" si="775"/>
        <v/>
      </c>
    </row>
    <row r="46438" spans="8:8" x14ac:dyDescent="0.3">
      <c r="H46438" t="str">
        <f t="shared" si="775"/>
        <v/>
      </c>
    </row>
    <row r="46439" spans="8:8" x14ac:dyDescent="0.3">
      <c r="H46439" t="str">
        <f t="shared" si="775"/>
        <v/>
      </c>
    </row>
    <row r="46440" spans="8:8" x14ac:dyDescent="0.3">
      <c r="H46440" t="str">
        <f t="shared" si="775"/>
        <v/>
      </c>
    </row>
    <row r="46441" spans="8:8" x14ac:dyDescent="0.3">
      <c r="H46441" t="str">
        <f t="shared" si="775"/>
        <v/>
      </c>
    </row>
    <row r="46442" spans="8:8" x14ac:dyDescent="0.3">
      <c r="H46442" t="str">
        <f t="shared" si="775"/>
        <v/>
      </c>
    </row>
    <row r="46443" spans="8:8" x14ac:dyDescent="0.3">
      <c r="H46443" t="str">
        <f t="shared" si="775"/>
        <v/>
      </c>
    </row>
    <row r="46444" spans="8:8" x14ac:dyDescent="0.3">
      <c r="H46444" t="str">
        <f t="shared" si="775"/>
        <v/>
      </c>
    </row>
    <row r="46445" spans="8:8" x14ac:dyDescent="0.3">
      <c r="H46445" t="str">
        <f t="shared" si="775"/>
        <v/>
      </c>
    </row>
    <row r="46446" spans="8:8" x14ac:dyDescent="0.3">
      <c r="H46446" t="str">
        <f t="shared" si="775"/>
        <v/>
      </c>
    </row>
    <row r="46447" spans="8:8" x14ac:dyDescent="0.3">
      <c r="H46447" t="str">
        <f t="shared" si="775"/>
        <v/>
      </c>
    </row>
    <row r="46448" spans="8:8" x14ac:dyDescent="0.3">
      <c r="H46448" t="str">
        <f t="shared" si="775"/>
        <v/>
      </c>
    </row>
    <row r="46449" spans="8:8" x14ac:dyDescent="0.3">
      <c r="H46449" t="str">
        <f t="shared" si="775"/>
        <v/>
      </c>
    </row>
    <row r="46450" spans="8:8" x14ac:dyDescent="0.3">
      <c r="H46450" t="str">
        <f t="shared" si="775"/>
        <v/>
      </c>
    </row>
    <row r="46451" spans="8:8" x14ac:dyDescent="0.3">
      <c r="H46451" t="str">
        <f t="shared" si="775"/>
        <v/>
      </c>
    </row>
    <row r="46452" spans="8:8" x14ac:dyDescent="0.3">
      <c r="H46452" t="str">
        <f t="shared" si="775"/>
        <v/>
      </c>
    </row>
    <row r="46453" spans="8:8" x14ac:dyDescent="0.3">
      <c r="H46453" t="str">
        <f t="shared" si="775"/>
        <v/>
      </c>
    </row>
    <row r="46454" spans="8:8" x14ac:dyDescent="0.3">
      <c r="H46454" t="str">
        <f t="shared" si="775"/>
        <v/>
      </c>
    </row>
    <row r="46455" spans="8:8" x14ac:dyDescent="0.3">
      <c r="H46455" t="str">
        <f t="shared" si="775"/>
        <v/>
      </c>
    </row>
    <row r="46456" spans="8:8" x14ac:dyDescent="0.3">
      <c r="H46456" t="str">
        <f t="shared" si="775"/>
        <v/>
      </c>
    </row>
    <row r="46457" spans="8:8" x14ac:dyDescent="0.3">
      <c r="H46457" t="str">
        <f t="shared" si="775"/>
        <v/>
      </c>
    </row>
    <row r="46458" spans="8:8" x14ac:dyDescent="0.3">
      <c r="H46458" t="str">
        <f t="shared" si="775"/>
        <v/>
      </c>
    </row>
    <row r="46459" spans="8:8" x14ac:dyDescent="0.3">
      <c r="H46459" t="str">
        <f t="shared" si="775"/>
        <v/>
      </c>
    </row>
    <row r="46460" spans="8:8" x14ac:dyDescent="0.3">
      <c r="H46460" t="str">
        <f t="shared" si="775"/>
        <v/>
      </c>
    </row>
    <row r="46461" spans="8:8" x14ac:dyDescent="0.3">
      <c r="H46461" t="str">
        <f t="shared" si="775"/>
        <v/>
      </c>
    </row>
    <row r="46462" spans="8:8" x14ac:dyDescent="0.3">
      <c r="H46462" t="str">
        <f t="shared" si="775"/>
        <v/>
      </c>
    </row>
    <row r="46463" spans="8:8" x14ac:dyDescent="0.3">
      <c r="H46463" t="str">
        <f t="shared" si="775"/>
        <v/>
      </c>
    </row>
    <row r="46464" spans="8:8" x14ac:dyDescent="0.3">
      <c r="H46464" t="str">
        <f t="shared" si="775"/>
        <v/>
      </c>
    </row>
    <row r="46465" spans="8:8" x14ac:dyDescent="0.3">
      <c r="H46465" t="str">
        <f t="shared" si="775"/>
        <v/>
      </c>
    </row>
    <row r="46466" spans="8:8" x14ac:dyDescent="0.3">
      <c r="H46466" t="str">
        <f t="shared" si="775"/>
        <v/>
      </c>
    </row>
    <row r="46467" spans="8:8" x14ac:dyDescent="0.3">
      <c r="H46467" t="str">
        <f t="shared" si="775"/>
        <v/>
      </c>
    </row>
    <row r="46468" spans="8:8" x14ac:dyDescent="0.3">
      <c r="H46468" t="str">
        <f t="shared" si="775"/>
        <v/>
      </c>
    </row>
    <row r="46469" spans="8:8" x14ac:dyDescent="0.3">
      <c r="H46469" t="str">
        <f t="shared" si="775"/>
        <v/>
      </c>
    </row>
    <row r="46470" spans="8:8" x14ac:dyDescent="0.3">
      <c r="H46470" t="str">
        <f t="shared" si="775"/>
        <v/>
      </c>
    </row>
    <row r="46471" spans="8:8" x14ac:dyDescent="0.3">
      <c r="H46471" t="str">
        <f t="shared" si="775"/>
        <v/>
      </c>
    </row>
    <row r="46472" spans="8:8" x14ac:dyDescent="0.3">
      <c r="H46472" t="str">
        <f t="shared" si="775"/>
        <v/>
      </c>
    </row>
    <row r="46473" spans="8:8" x14ac:dyDescent="0.3">
      <c r="H46473" t="str">
        <f t="shared" si="775"/>
        <v/>
      </c>
    </row>
    <row r="46474" spans="8:8" x14ac:dyDescent="0.3">
      <c r="H46474" t="str">
        <f t="shared" si="775"/>
        <v/>
      </c>
    </row>
    <row r="46475" spans="8:8" x14ac:dyDescent="0.3">
      <c r="H46475" t="str">
        <f t="shared" si="775"/>
        <v/>
      </c>
    </row>
    <row r="46476" spans="8:8" x14ac:dyDescent="0.3">
      <c r="H46476" t="str">
        <f t="shared" si="775"/>
        <v/>
      </c>
    </row>
    <row r="46477" spans="8:8" x14ac:dyDescent="0.3">
      <c r="H46477" t="str">
        <f t="shared" si="775"/>
        <v/>
      </c>
    </row>
    <row r="46478" spans="8:8" x14ac:dyDescent="0.3">
      <c r="H46478" t="str">
        <f t="shared" si="775"/>
        <v/>
      </c>
    </row>
    <row r="46479" spans="8:8" x14ac:dyDescent="0.3">
      <c r="H46479" t="str">
        <f t="shared" si="775"/>
        <v/>
      </c>
    </row>
    <row r="46480" spans="8:8" x14ac:dyDescent="0.3">
      <c r="H46480" t="str">
        <f t="shared" si="775"/>
        <v/>
      </c>
    </row>
    <row r="46481" spans="8:8" x14ac:dyDescent="0.3">
      <c r="H46481" t="str">
        <f t="shared" si="775"/>
        <v/>
      </c>
    </row>
    <row r="46482" spans="8:8" x14ac:dyDescent="0.3">
      <c r="H46482" t="str">
        <f t="shared" si="775"/>
        <v/>
      </c>
    </row>
    <row r="46483" spans="8:8" x14ac:dyDescent="0.3">
      <c r="H46483" t="str">
        <f t="shared" si="775"/>
        <v/>
      </c>
    </row>
    <row r="46484" spans="8:8" x14ac:dyDescent="0.3">
      <c r="H46484" t="str">
        <f t="shared" si="775"/>
        <v/>
      </c>
    </row>
    <row r="46485" spans="8:8" x14ac:dyDescent="0.3">
      <c r="H46485" t="str">
        <f t="shared" si="775"/>
        <v/>
      </c>
    </row>
    <row r="46486" spans="8:8" x14ac:dyDescent="0.3">
      <c r="H46486" t="str">
        <f t="shared" si="775"/>
        <v/>
      </c>
    </row>
    <row r="46487" spans="8:8" x14ac:dyDescent="0.3">
      <c r="H46487" t="str">
        <f t="shared" ref="H46487:H46550" si="776">IF(B46487="","",$C$12)</f>
        <v/>
      </c>
    </row>
    <row r="46488" spans="8:8" x14ac:dyDescent="0.3">
      <c r="H46488" t="str">
        <f t="shared" si="776"/>
        <v/>
      </c>
    </row>
    <row r="46489" spans="8:8" x14ac:dyDescent="0.3">
      <c r="H46489" t="str">
        <f t="shared" si="776"/>
        <v/>
      </c>
    </row>
    <row r="46490" spans="8:8" x14ac:dyDescent="0.3">
      <c r="H46490" t="str">
        <f t="shared" si="776"/>
        <v/>
      </c>
    </row>
    <row r="46491" spans="8:8" x14ac:dyDescent="0.3">
      <c r="H46491" t="str">
        <f t="shared" si="776"/>
        <v/>
      </c>
    </row>
    <row r="46492" spans="8:8" x14ac:dyDescent="0.3">
      <c r="H46492" t="str">
        <f t="shared" si="776"/>
        <v/>
      </c>
    </row>
    <row r="46493" spans="8:8" x14ac:dyDescent="0.3">
      <c r="H46493" t="str">
        <f t="shared" si="776"/>
        <v/>
      </c>
    </row>
    <row r="46494" spans="8:8" x14ac:dyDescent="0.3">
      <c r="H46494" t="str">
        <f t="shared" si="776"/>
        <v/>
      </c>
    </row>
    <row r="46495" spans="8:8" x14ac:dyDescent="0.3">
      <c r="H46495" t="str">
        <f t="shared" si="776"/>
        <v/>
      </c>
    </row>
    <row r="46496" spans="8:8" x14ac:dyDescent="0.3">
      <c r="H46496" t="str">
        <f t="shared" si="776"/>
        <v/>
      </c>
    </row>
    <row r="46497" spans="8:8" x14ac:dyDescent="0.3">
      <c r="H46497" t="str">
        <f t="shared" si="776"/>
        <v/>
      </c>
    </row>
    <row r="46498" spans="8:8" x14ac:dyDescent="0.3">
      <c r="H46498" t="str">
        <f t="shared" si="776"/>
        <v/>
      </c>
    </row>
    <row r="46499" spans="8:8" x14ac:dyDescent="0.3">
      <c r="H46499" t="str">
        <f t="shared" si="776"/>
        <v/>
      </c>
    </row>
    <row r="46500" spans="8:8" x14ac:dyDescent="0.3">
      <c r="H46500" t="str">
        <f t="shared" si="776"/>
        <v/>
      </c>
    </row>
    <row r="46501" spans="8:8" x14ac:dyDescent="0.3">
      <c r="H46501" t="str">
        <f t="shared" si="776"/>
        <v/>
      </c>
    </row>
    <row r="46502" spans="8:8" x14ac:dyDescent="0.3">
      <c r="H46502" t="str">
        <f t="shared" si="776"/>
        <v/>
      </c>
    </row>
    <row r="46503" spans="8:8" x14ac:dyDescent="0.3">
      <c r="H46503" t="str">
        <f t="shared" si="776"/>
        <v/>
      </c>
    </row>
    <row r="46504" spans="8:8" x14ac:dyDescent="0.3">
      <c r="H46504" t="str">
        <f t="shared" si="776"/>
        <v/>
      </c>
    </row>
    <row r="46505" spans="8:8" x14ac:dyDescent="0.3">
      <c r="H46505" t="str">
        <f t="shared" si="776"/>
        <v/>
      </c>
    </row>
    <row r="46506" spans="8:8" x14ac:dyDescent="0.3">
      <c r="H46506" t="str">
        <f t="shared" si="776"/>
        <v/>
      </c>
    </row>
    <row r="46507" spans="8:8" x14ac:dyDescent="0.3">
      <c r="H46507" t="str">
        <f t="shared" si="776"/>
        <v/>
      </c>
    </row>
    <row r="46508" spans="8:8" x14ac:dyDescent="0.3">
      <c r="H46508" t="str">
        <f t="shared" si="776"/>
        <v/>
      </c>
    </row>
    <row r="46509" spans="8:8" x14ac:dyDescent="0.3">
      <c r="H46509" t="str">
        <f t="shared" si="776"/>
        <v/>
      </c>
    </row>
    <row r="46510" spans="8:8" x14ac:dyDescent="0.3">
      <c r="H46510" t="str">
        <f t="shared" si="776"/>
        <v/>
      </c>
    </row>
    <row r="46511" spans="8:8" x14ac:dyDescent="0.3">
      <c r="H46511" t="str">
        <f t="shared" si="776"/>
        <v/>
      </c>
    </row>
    <row r="46512" spans="8:8" x14ac:dyDescent="0.3">
      <c r="H46512" t="str">
        <f t="shared" si="776"/>
        <v/>
      </c>
    </row>
    <row r="46513" spans="8:8" x14ac:dyDescent="0.3">
      <c r="H46513" t="str">
        <f t="shared" si="776"/>
        <v/>
      </c>
    </row>
    <row r="46514" spans="8:8" x14ac:dyDescent="0.3">
      <c r="H46514" t="str">
        <f t="shared" si="776"/>
        <v/>
      </c>
    </row>
    <row r="46515" spans="8:8" x14ac:dyDescent="0.3">
      <c r="H46515" t="str">
        <f t="shared" si="776"/>
        <v/>
      </c>
    </row>
    <row r="46516" spans="8:8" x14ac:dyDescent="0.3">
      <c r="H46516" t="str">
        <f t="shared" si="776"/>
        <v/>
      </c>
    </row>
    <row r="46517" spans="8:8" x14ac:dyDescent="0.3">
      <c r="H46517" t="str">
        <f t="shared" si="776"/>
        <v/>
      </c>
    </row>
    <row r="46518" spans="8:8" x14ac:dyDescent="0.3">
      <c r="H46518" t="str">
        <f t="shared" si="776"/>
        <v/>
      </c>
    </row>
    <row r="46519" spans="8:8" x14ac:dyDescent="0.3">
      <c r="H46519" t="str">
        <f t="shared" si="776"/>
        <v/>
      </c>
    </row>
    <row r="46520" spans="8:8" x14ac:dyDescent="0.3">
      <c r="H46520" t="str">
        <f t="shared" si="776"/>
        <v/>
      </c>
    </row>
    <row r="46521" spans="8:8" x14ac:dyDescent="0.3">
      <c r="H46521" t="str">
        <f t="shared" si="776"/>
        <v/>
      </c>
    </row>
    <row r="46522" spans="8:8" x14ac:dyDescent="0.3">
      <c r="H46522" t="str">
        <f t="shared" si="776"/>
        <v/>
      </c>
    </row>
    <row r="46523" spans="8:8" x14ac:dyDescent="0.3">
      <c r="H46523" t="str">
        <f t="shared" si="776"/>
        <v/>
      </c>
    </row>
    <row r="46524" spans="8:8" x14ac:dyDescent="0.3">
      <c r="H46524" t="str">
        <f t="shared" si="776"/>
        <v/>
      </c>
    </row>
    <row r="46525" spans="8:8" x14ac:dyDescent="0.3">
      <c r="H46525" t="str">
        <f t="shared" si="776"/>
        <v/>
      </c>
    </row>
    <row r="46526" spans="8:8" x14ac:dyDescent="0.3">
      <c r="H46526" t="str">
        <f t="shared" si="776"/>
        <v/>
      </c>
    </row>
    <row r="46527" spans="8:8" x14ac:dyDescent="0.3">
      <c r="H46527" t="str">
        <f t="shared" si="776"/>
        <v/>
      </c>
    </row>
    <row r="46528" spans="8:8" x14ac:dyDescent="0.3">
      <c r="H46528" t="str">
        <f t="shared" si="776"/>
        <v/>
      </c>
    </row>
    <row r="46529" spans="8:8" x14ac:dyDescent="0.3">
      <c r="H46529" t="str">
        <f t="shared" si="776"/>
        <v/>
      </c>
    </row>
    <row r="46530" spans="8:8" x14ac:dyDescent="0.3">
      <c r="H46530" t="str">
        <f t="shared" si="776"/>
        <v/>
      </c>
    </row>
    <row r="46531" spans="8:8" x14ac:dyDescent="0.3">
      <c r="H46531" t="str">
        <f t="shared" si="776"/>
        <v/>
      </c>
    </row>
    <row r="46532" spans="8:8" x14ac:dyDescent="0.3">
      <c r="H46532" t="str">
        <f t="shared" si="776"/>
        <v/>
      </c>
    </row>
    <row r="46533" spans="8:8" x14ac:dyDescent="0.3">
      <c r="H46533" t="str">
        <f t="shared" si="776"/>
        <v/>
      </c>
    </row>
    <row r="46534" spans="8:8" x14ac:dyDescent="0.3">
      <c r="H46534" t="str">
        <f t="shared" si="776"/>
        <v/>
      </c>
    </row>
    <row r="46535" spans="8:8" x14ac:dyDescent="0.3">
      <c r="H46535" t="str">
        <f t="shared" si="776"/>
        <v/>
      </c>
    </row>
    <row r="46536" spans="8:8" x14ac:dyDescent="0.3">
      <c r="H46536" t="str">
        <f t="shared" si="776"/>
        <v/>
      </c>
    </row>
    <row r="46537" spans="8:8" x14ac:dyDescent="0.3">
      <c r="H46537" t="str">
        <f t="shared" si="776"/>
        <v/>
      </c>
    </row>
    <row r="46538" spans="8:8" x14ac:dyDescent="0.3">
      <c r="H46538" t="str">
        <f t="shared" si="776"/>
        <v/>
      </c>
    </row>
    <row r="46539" spans="8:8" x14ac:dyDescent="0.3">
      <c r="H46539" t="str">
        <f t="shared" si="776"/>
        <v/>
      </c>
    </row>
    <row r="46540" spans="8:8" x14ac:dyDescent="0.3">
      <c r="H46540" t="str">
        <f t="shared" si="776"/>
        <v/>
      </c>
    </row>
    <row r="46541" spans="8:8" x14ac:dyDescent="0.3">
      <c r="H46541" t="str">
        <f t="shared" si="776"/>
        <v/>
      </c>
    </row>
    <row r="46542" spans="8:8" x14ac:dyDescent="0.3">
      <c r="H46542" t="str">
        <f t="shared" si="776"/>
        <v/>
      </c>
    </row>
    <row r="46543" spans="8:8" x14ac:dyDescent="0.3">
      <c r="H46543" t="str">
        <f t="shared" si="776"/>
        <v/>
      </c>
    </row>
    <row r="46544" spans="8:8" x14ac:dyDescent="0.3">
      <c r="H46544" t="str">
        <f t="shared" si="776"/>
        <v/>
      </c>
    </row>
    <row r="46545" spans="8:8" x14ac:dyDescent="0.3">
      <c r="H46545" t="str">
        <f t="shared" si="776"/>
        <v/>
      </c>
    </row>
    <row r="46546" spans="8:8" x14ac:dyDescent="0.3">
      <c r="H46546" t="str">
        <f t="shared" si="776"/>
        <v/>
      </c>
    </row>
    <row r="46547" spans="8:8" x14ac:dyDescent="0.3">
      <c r="H46547" t="str">
        <f t="shared" si="776"/>
        <v/>
      </c>
    </row>
    <row r="46548" spans="8:8" x14ac:dyDescent="0.3">
      <c r="H46548" t="str">
        <f t="shared" si="776"/>
        <v/>
      </c>
    </row>
    <row r="46549" spans="8:8" x14ac:dyDescent="0.3">
      <c r="H46549" t="str">
        <f t="shared" si="776"/>
        <v/>
      </c>
    </row>
    <row r="46550" spans="8:8" x14ac:dyDescent="0.3">
      <c r="H46550" t="str">
        <f t="shared" si="776"/>
        <v/>
      </c>
    </row>
    <row r="46551" spans="8:8" x14ac:dyDescent="0.3">
      <c r="H46551" t="str">
        <f t="shared" ref="H46551:H46614" si="777">IF(B46551="","",$C$12)</f>
        <v/>
      </c>
    </row>
    <row r="46552" spans="8:8" x14ac:dyDescent="0.3">
      <c r="H46552" t="str">
        <f t="shared" si="777"/>
        <v/>
      </c>
    </row>
    <row r="46553" spans="8:8" x14ac:dyDescent="0.3">
      <c r="H46553" t="str">
        <f t="shared" si="777"/>
        <v/>
      </c>
    </row>
    <row r="46554" spans="8:8" x14ac:dyDescent="0.3">
      <c r="H46554" t="str">
        <f t="shared" si="777"/>
        <v/>
      </c>
    </row>
    <row r="46555" spans="8:8" x14ac:dyDescent="0.3">
      <c r="H46555" t="str">
        <f t="shared" si="777"/>
        <v/>
      </c>
    </row>
    <row r="46556" spans="8:8" x14ac:dyDescent="0.3">
      <c r="H46556" t="str">
        <f t="shared" si="777"/>
        <v/>
      </c>
    </row>
    <row r="46557" spans="8:8" x14ac:dyDescent="0.3">
      <c r="H46557" t="str">
        <f t="shared" si="777"/>
        <v/>
      </c>
    </row>
    <row r="46558" spans="8:8" x14ac:dyDescent="0.3">
      <c r="H46558" t="str">
        <f t="shared" si="777"/>
        <v/>
      </c>
    </row>
    <row r="46559" spans="8:8" x14ac:dyDescent="0.3">
      <c r="H46559" t="str">
        <f t="shared" si="777"/>
        <v/>
      </c>
    </row>
    <row r="46560" spans="8:8" x14ac:dyDescent="0.3">
      <c r="H46560" t="str">
        <f t="shared" si="777"/>
        <v/>
      </c>
    </row>
    <row r="46561" spans="8:8" x14ac:dyDescent="0.3">
      <c r="H46561" t="str">
        <f t="shared" si="777"/>
        <v/>
      </c>
    </row>
    <row r="46562" spans="8:8" x14ac:dyDescent="0.3">
      <c r="H46562" t="str">
        <f t="shared" si="777"/>
        <v/>
      </c>
    </row>
    <row r="46563" spans="8:8" x14ac:dyDescent="0.3">
      <c r="H46563" t="str">
        <f t="shared" si="777"/>
        <v/>
      </c>
    </row>
    <row r="46564" spans="8:8" x14ac:dyDescent="0.3">
      <c r="H46564" t="str">
        <f t="shared" si="777"/>
        <v/>
      </c>
    </row>
    <row r="46565" spans="8:8" x14ac:dyDescent="0.3">
      <c r="H46565" t="str">
        <f t="shared" si="777"/>
        <v/>
      </c>
    </row>
    <row r="46566" spans="8:8" x14ac:dyDescent="0.3">
      <c r="H46566" t="str">
        <f t="shared" si="777"/>
        <v/>
      </c>
    </row>
    <row r="46567" spans="8:8" x14ac:dyDescent="0.3">
      <c r="H46567" t="str">
        <f t="shared" si="777"/>
        <v/>
      </c>
    </row>
    <row r="46568" spans="8:8" x14ac:dyDescent="0.3">
      <c r="H46568" t="str">
        <f t="shared" si="777"/>
        <v/>
      </c>
    </row>
    <row r="46569" spans="8:8" x14ac:dyDescent="0.3">
      <c r="H46569" t="str">
        <f t="shared" si="777"/>
        <v/>
      </c>
    </row>
    <row r="46570" spans="8:8" x14ac:dyDescent="0.3">
      <c r="H46570" t="str">
        <f t="shared" si="777"/>
        <v/>
      </c>
    </row>
    <row r="46571" spans="8:8" x14ac:dyDescent="0.3">
      <c r="H46571" t="str">
        <f t="shared" si="777"/>
        <v/>
      </c>
    </row>
    <row r="46572" spans="8:8" x14ac:dyDescent="0.3">
      <c r="H46572" t="str">
        <f t="shared" si="777"/>
        <v/>
      </c>
    </row>
    <row r="46573" spans="8:8" x14ac:dyDescent="0.3">
      <c r="H46573" t="str">
        <f t="shared" si="777"/>
        <v/>
      </c>
    </row>
    <row r="46574" spans="8:8" x14ac:dyDescent="0.3">
      <c r="H46574" t="str">
        <f t="shared" si="777"/>
        <v/>
      </c>
    </row>
    <row r="46575" spans="8:8" x14ac:dyDescent="0.3">
      <c r="H46575" t="str">
        <f t="shared" si="777"/>
        <v/>
      </c>
    </row>
    <row r="46576" spans="8:8" x14ac:dyDescent="0.3">
      <c r="H46576" t="str">
        <f t="shared" si="777"/>
        <v/>
      </c>
    </row>
    <row r="46577" spans="8:8" x14ac:dyDescent="0.3">
      <c r="H46577" t="str">
        <f t="shared" si="777"/>
        <v/>
      </c>
    </row>
    <row r="46578" spans="8:8" x14ac:dyDescent="0.3">
      <c r="H46578" t="str">
        <f t="shared" si="777"/>
        <v/>
      </c>
    </row>
    <row r="46579" spans="8:8" x14ac:dyDescent="0.3">
      <c r="H46579" t="str">
        <f t="shared" si="777"/>
        <v/>
      </c>
    </row>
    <row r="46580" spans="8:8" x14ac:dyDescent="0.3">
      <c r="H46580" t="str">
        <f t="shared" si="777"/>
        <v/>
      </c>
    </row>
    <row r="46581" spans="8:8" x14ac:dyDescent="0.3">
      <c r="H46581" t="str">
        <f t="shared" si="777"/>
        <v/>
      </c>
    </row>
    <row r="46582" spans="8:8" x14ac:dyDescent="0.3">
      <c r="H46582" t="str">
        <f t="shared" si="777"/>
        <v/>
      </c>
    </row>
    <row r="46583" spans="8:8" x14ac:dyDescent="0.3">
      <c r="H46583" t="str">
        <f t="shared" si="777"/>
        <v/>
      </c>
    </row>
    <row r="46584" spans="8:8" x14ac:dyDescent="0.3">
      <c r="H46584" t="str">
        <f t="shared" si="777"/>
        <v/>
      </c>
    </row>
    <row r="46585" spans="8:8" x14ac:dyDescent="0.3">
      <c r="H46585" t="str">
        <f t="shared" si="777"/>
        <v/>
      </c>
    </row>
    <row r="46586" spans="8:8" x14ac:dyDescent="0.3">
      <c r="H46586" t="str">
        <f t="shared" si="777"/>
        <v/>
      </c>
    </row>
    <row r="46587" spans="8:8" x14ac:dyDescent="0.3">
      <c r="H46587" t="str">
        <f t="shared" si="777"/>
        <v/>
      </c>
    </row>
    <row r="46588" spans="8:8" x14ac:dyDescent="0.3">
      <c r="H46588" t="str">
        <f t="shared" si="777"/>
        <v/>
      </c>
    </row>
    <row r="46589" spans="8:8" x14ac:dyDescent="0.3">
      <c r="H46589" t="str">
        <f t="shared" si="777"/>
        <v/>
      </c>
    </row>
    <row r="46590" spans="8:8" x14ac:dyDescent="0.3">
      <c r="H46590" t="str">
        <f t="shared" si="777"/>
        <v/>
      </c>
    </row>
    <row r="46591" spans="8:8" x14ac:dyDescent="0.3">
      <c r="H46591" t="str">
        <f t="shared" si="777"/>
        <v/>
      </c>
    </row>
    <row r="46592" spans="8:8" x14ac:dyDescent="0.3">
      <c r="H46592" t="str">
        <f t="shared" si="777"/>
        <v/>
      </c>
    </row>
    <row r="46593" spans="8:8" x14ac:dyDescent="0.3">
      <c r="H46593" t="str">
        <f t="shared" si="777"/>
        <v/>
      </c>
    </row>
    <row r="46594" spans="8:8" x14ac:dyDescent="0.3">
      <c r="H46594" t="str">
        <f t="shared" si="777"/>
        <v/>
      </c>
    </row>
    <row r="46595" spans="8:8" x14ac:dyDescent="0.3">
      <c r="H46595" t="str">
        <f t="shared" si="777"/>
        <v/>
      </c>
    </row>
    <row r="46596" spans="8:8" x14ac:dyDescent="0.3">
      <c r="H46596" t="str">
        <f t="shared" si="777"/>
        <v/>
      </c>
    </row>
    <row r="46597" spans="8:8" x14ac:dyDescent="0.3">
      <c r="H46597" t="str">
        <f t="shared" si="777"/>
        <v/>
      </c>
    </row>
    <row r="46598" spans="8:8" x14ac:dyDescent="0.3">
      <c r="H46598" t="str">
        <f t="shared" si="777"/>
        <v/>
      </c>
    </row>
    <row r="46599" spans="8:8" x14ac:dyDescent="0.3">
      <c r="H46599" t="str">
        <f t="shared" si="777"/>
        <v/>
      </c>
    </row>
    <row r="46600" spans="8:8" x14ac:dyDescent="0.3">
      <c r="H46600" t="str">
        <f t="shared" si="777"/>
        <v/>
      </c>
    </row>
    <row r="46601" spans="8:8" x14ac:dyDescent="0.3">
      <c r="H46601" t="str">
        <f t="shared" si="777"/>
        <v/>
      </c>
    </row>
    <row r="46602" spans="8:8" x14ac:dyDescent="0.3">
      <c r="H46602" t="str">
        <f t="shared" si="777"/>
        <v/>
      </c>
    </row>
    <row r="46603" spans="8:8" x14ac:dyDescent="0.3">
      <c r="H46603" t="str">
        <f t="shared" si="777"/>
        <v/>
      </c>
    </row>
    <row r="46604" spans="8:8" x14ac:dyDescent="0.3">
      <c r="H46604" t="str">
        <f t="shared" si="777"/>
        <v/>
      </c>
    </row>
    <row r="46605" spans="8:8" x14ac:dyDescent="0.3">
      <c r="H46605" t="str">
        <f t="shared" si="777"/>
        <v/>
      </c>
    </row>
    <row r="46606" spans="8:8" x14ac:dyDescent="0.3">
      <c r="H46606" t="str">
        <f t="shared" si="777"/>
        <v/>
      </c>
    </row>
    <row r="46607" spans="8:8" x14ac:dyDescent="0.3">
      <c r="H46607" t="str">
        <f t="shared" si="777"/>
        <v/>
      </c>
    </row>
    <row r="46608" spans="8:8" x14ac:dyDescent="0.3">
      <c r="H46608" t="str">
        <f t="shared" si="777"/>
        <v/>
      </c>
    </row>
    <row r="46609" spans="8:8" x14ac:dyDescent="0.3">
      <c r="H46609" t="str">
        <f t="shared" si="777"/>
        <v/>
      </c>
    </row>
    <row r="46610" spans="8:8" x14ac:dyDescent="0.3">
      <c r="H46610" t="str">
        <f t="shared" si="777"/>
        <v/>
      </c>
    </row>
    <row r="46611" spans="8:8" x14ac:dyDescent="0.3">
      <c r="H46611" t="str">
        <f t="shared" si="777"/>
        <v/>
      </c>
    </row>
    <row r="46612" spans="8:8" x14ac:dyDescent="0.3">
      <c r="H46612" t="str">
        <f t="shared" si="777"/>
        <v/>
      </c>
    </row>
    <row r="46613" spans="8:8" x14ac:dyDescent="0.3">
      <c r="H46613" t="str">
        <f t="shared" si="777"/>
        <v/>
      </c>
    </row>
    <row r="46614" spans="8:8" x14ac:dyDescent="0.3">
      <c r="H46614" t="str">
        <f t="shared" si="777"/>
        <v/>
      </c>
    </row>
    <row r="46615" spans="8:8" x14ac:dyDescent="0.3">
      <c r="H46615" t="str">
        <f t="shared" ref="H46615:H46678" si="778">IF(B46615="","",$C$12)</f>
        <v/>
      </c>
    </row>
    <row r="46616" spans="8:8" x14ac:dyDescent="0.3">
      <c r="H46616" t="str">
        <f t="shared" si="778"/>
        <v/>
      </c>
    </row>
    <row r="46617" spans="8:8" x14ac:dyDescent="0.3">
      <c r="H46617" t="str">
        <f t="shared" si="778"/>
        <v/>
      </c>
    </row>
    <row r="46618" spans="8:8" x14ac:dyDescent="0.3">
      <c r="H46618" t="str">
        <f t="shared" si="778"/>
        <v/>
      </c>
    </row>
    <row r="46619" spans="8:8" x14ac:dyDescent="0.3">
      <c r="H46619" t="str">
        <f t="shared" si="778"/>
        <v/>
      </c>
    </row>
    <row r="46620" spans="8:8" x14ac:dyDescent="0.3">
      <c r="H46620" t="str">
        <f t="shared" si="778"/>
        <v/>
      </c>
    </row>
    <row r="46621" spans="8:8" x14ac:dyDescent="0.3">
      <c r="H46621" t="str">
        <f t="shared" si="778"/>
        <v/>
      </c>
    </row>
    <row r="46622" spans="8:8" x14ac:dyDescent="0.3">
      <c r="H46622" t="str">
        <f t="shared" si="778"/>
        <v/>
      </c>
    </row>
    <row r="46623" spans="8:8" x14ac:dyDescent="0.3">
      <c r="H46623" t="str">
        <f t="shared" si="778"/>
        <v/>
      </c>
    </row>
    <row r="46624" spans="8:8" x14ac:dyDescent="0.3">
      <c r="H46624" t="str">
        <f t="shared" si="778"/>
        <v/>
      </c>
    </row>
    <row r="46625" spans="8:8" x14ac:dyDescent="0.3">
      <c r="H46625" t="str">
        <f t="shared" si="778"/>
        <v/>
      </c>
    </row>
    <row r="46626" spans="8:8" x14ac:dyDescent="0.3">
      <c r="H46626" t="str">
        <f t="shared" si="778"/>
        <v/>
      </c>
    </row>
    <row r="46627" spans="8:8" x14ac:dyDescent="0.3">
      <c r="H46627" t="str">
        <f t="shared" si="778"/>
        <v/>
      </c>
    </row>
    <row r="46628" spans="8:8" x14ac:dyDescent="0.3">
      <c r="H46628" t="str">
        <f t="shared" si="778"/>
        <v/>
      </c>
    </row>
    <row r="46629" spans="8:8" x14ac:dyDescent="0.3">
      <c r="H46629" t="str">
        <f t="shared" si="778"/>
        <v/>
      </c>
    </row>
    <row r="46630" spans="8:8" x14ac:dyDescent="0.3">
      <c r="H46630" t="str">
        <f t="shared" si="778"/>
        <v/>
      </c>
    </row>
    <row r="46631" spans="8:8" x14ac:dyDescent="0.3">
      <c r="H46631" t="str">
        <f t="shared" si="778"/>
        <v/>
      </c>
    </row>
    <row r="46632" spans="8:8" x14ac:dyDescent="0.3">
      <c r="H46632" t="str">
        <f t="shared" si="778"/>
        <v/>
      </c>
    </row>
    <row r="46633" spans="8:8" x14ac:dyDescent="0.3">
      <c r="H46633" t="str">
        <f t="shared" si="778"/>
        <v/>
      </c>
    </row>
    <row r="46634" spans="8:8" x14ac:dyDescent="0.3">
      <c r="H46634" t="str">
        <f t="shared" si="778"/>
        <v/>
      </c>
    </row>
    <row r="46635" spans="8:8" x14ac:dyDescent="0.3">
      <c r="H46635" t="str">
        <f t="shared" si="778"/>
        <v/>
      </c>
    </row>
    <row r="46636" spans="8:8" x14ac:dyDescent="0.3">
      <c r="H46636" t="str">
        <f t="shared" si="778"/>
        <v/>
      </c>
    </row>
    <row r="46637" spans="8:8" x14ac:dyDescent="0.3">
      <c r="H46637" t="str">
        <f t="shared" si="778"/>
        <v/>
      </c>
    </row>
    <row r="46638" spans="8:8" x14ac:dyDescent="0.3">
      <c r="H46638" t="str">
        <f t="shared" si="778"/>
        <v/>
      </c>
    </row>
    <row r="46639" spans="8:8" x14ac:dyDescent="0.3">
      <c r="H46639" t="str">
        <f t="shared" si="778"/>
        <v/>
      </c>
    </row>
    <row r="46640" spans="8:8" x14ac:dyDescent="0.3">
      <c r="H46640" t="str">
        <f t="shared" si="778"/>
        <v/>
      </c>
    </row>
    <row r="46641" spans="8:8" x14ac:dyDescent="0.3">
      <c r="H46641" t="str">
        <f t="shared" si="778"/>
        <v/>
      </c>
    </row>
    <row r="46642" spans="8:8" x14ac:dyDescent="0.3">
      <c r="H46642" t="str">
        <f t="shared" si="778"/>
        <v/>
      </c>
    </row>
    <row r="46643" spans="8:8" x14ac:dyDescent="0.3">
      <c r="H46643" t="str">
        <f t="shared" si="778"/>
        <v/>
      </c>
    </row>
    <row r="46644" spans="8:8" x14ac:dyDescent="0.3">
      <c r="H46644" t="str">
        <f t="shared" si="778"/>
        <v/>
      </c>
    </row>
    <row r="46645" spans="8:8" x14ac:dyDescent="0.3">
      <c r="H46645" t="str">
        <f t="shared" si="778"/>
        <v/>
      </c>
    </row>
    <row r="46646" spans="8:8" x14ac:dyDescent="0.3">
      <c r="H46646" t="str">
        <f t="shared" si="778"/>
        <v/>
      </c>
    </row>
    <row r="46647" spans="8:8" x14ac:dyDescent="0.3">
      <c r="H46647" t="str">
        <f t="shared" si="778"/>
        <v/>
      </c>
    </row>
    <row r="46648" spans="8:8" x14ac:dyDescent="0.3">
      <c r="H46648" t="str">
        <f t="shared" si="778"/>
        <v/>
      </c>
    </row>
    <row r="46649" spans="8:8" x14ac:dyDescent="0.3">
      <c r="H46649" t="str">
        <f t="shared" si="778"/>
        <v/>
      </c>
    </row>
    <row r="46650" spans="8:8" x14ac:dyDescent="0.3">
      <c r="H46650" t="str">
        <f t="shared" si="778"/>
        <v/>
      </c>
    </row>
    <row r="46651" spans="8:8" x14ac:dyDescent="0.3">
      <c r="H46651" t="str">
        <f t="shared" si="778"/>
        <v/>
      </c>
    </row>
    <row r="46652" spans="8:8" x14ac:dyDescent="0.3">
      <c r="H46652" t="str">
        <f t="shared" si="778"/>
        <v/>
      </c>
    </row>
    <row r="46653" spans="8:8" x14ac:dyDescent="0.3">
      <c r="H46653" t="str">
        <f t="shared" si="778"/>
        <v/>
      </c>
    </row>
    <row r="46654" spans="8:8" x14ac:dyDescent="0.3">
      <c r="H46654" t="str">
        <f t="shared" si="778"/>
        <v/>
      </c>
    </row>
    <row r="46655" spans="8:8" x14ac:dyDescent="0.3">
      <c r="H46655" t="str">
        <f t="shared" si="778"/>
        <v/>
      </c>
    </row>
    <row r="46656" spans="8:8" x14ac:dyDescent="0.3">
      <c r="H46656" t="str">
        <f t="shared" si="778"/>
        <v/>
      </c>
    </row>
    <row r="46657" spans="8:8" x14ac:dyDescent="0.3">
      <c r="H46657" t="str">
        <f t="shared" si="778"/>
        <v/>
      </c>
    </row>
    <row r="46658" spans="8:8" x14ac:dyDescent="0.3">
      <c r="H46658" t="str">
        <f t="shared" si="778"/>
        <v/>
      </c>
    </row>
    <row r="46659" spans="8:8" x14ac:dyDescent="0.3">
      <c r="H46659" t="str">
        <f t="shared" si="778"/>
        <v/>
      </c>
    </row>
    <row r="46660" spans="8:8" x14ac:dyDescent="0.3">
      <c r="H46660" t="str">
        <f t="shared" si="778"/>
        <v/>
      </c>
    </row>
    <row r="46661" spans="8:8" x14ac:dyDescent="0.3">
      <c r="H46661" t="str">
        <f t="shared" si="778"/>
        <v/>
      </c>
    </row>
    <row r="46662" spans="8:8" x14ac:dyDescent="0.3">
      <c r="H46662" t="str">
        <f t="shared" si="778"/>
        <v/>
      </c>
    </row>
    <row r="46663" spans="8:8" x14ac:dyDescent="0.3">
      <c r="H46663" t="str">
        <f t="shared" si="778"/>
        <v/>
      </c>
    </row>
    <row r="46664" spans="8:8" x14ac:dyDescent="0.3">
      <c r="H46664" t="str">
        <f t="shared" si="778"/>
        <v/>
      </c>
    </row>
    <row r="46665" spans="8:8" x14ac:dyDescent="0.3">
      <c r="H46665" t="str">
        <f t="shared" si="778"/>
        <v/>
      </c>
    </row>
    <row r="46666" spans="8:8" x14ac:dyDescent="0.3">
      <c r="H46666" t="str">
        <f t="shared" si="778"/>
        <v/>
      </c>
    </row>
    <row r="46667" spans="8:8" x14ac:dyDescent="0.3">
      <c r="H46667" t="str">
        <f t="shared" si="778"/>
        <v/>
      </c>
    </row>
    <row r="46668" spans="8:8" x14ac:dyDescent="0.3">
      <c r="H46668" t="str">
        <f t="shared" si="778"/>
        <v/>
      </c>
    </row>
    <row r="46669" spans="8:8" x14ac:dyDescent="0.3">
      <c r="H46669" t="str">
        <f t="shared" si="778"/>
        <v/>
      </c>
    </row>
    <row r="46670" spans="8:8" x14ac:dyDescent="0.3">
      <c r="H46670" t="str">
        <f t="shared" si="778"/>
        <v/>
      </c>
    </row>
    <row r="46671" spans="8:8" x14ac:dyDescent="0.3">
      <c r="H46671" t="str">
        <f t="shared" si="778"/>
        <v/>
      </c>
    </row>
    <row r="46672" spans="8:8" x14ac:dyDescent="0.3">
      <c r="H46672" t="str">
        <f t="shared" si="778"/>
        <v/>
      </c>
    </row>
    <row r="46673" spans="8:8" x14ac:dyDescent="0.3">
      <c r="H46673" t="str">
        <f t="shared" si="778"/>
        <v/>
      </c>
    </row>
    <row r="46674" spans="8:8" x14ac:dyDescent="0.3">
      <c r="H46674" t="str">
        <f t="shared" si="778"/>
        <v/>
      </c>
    </row>
    <row r="46675" spans="8:8" x14ac:dyDescent="0.3">
      <c r="H46675" t="str">
        <f t="shared" si="778"/>
        <v/>
      </c>
    </row>
    <row r="46676" spans="8:8" x14ac:dyDescent="0.3">
      <c r="H46676" t="str">
        <f t="shared" si="778"/>
        <v/>
      </c>
    </row>
    <row r="46677" spans="8:8" x14ac:dyDescent="0.3">
      <c r="H46677" t="str">
        <f t="shared" si="778"/>
        <v/>
      </c>
    </row>
    <row r="46678" spans="8:8" x14ac:dyDescent="0.3">
      <c r="H46678" t="str">
        <f t="shared" si="778"/>
        <v/>
      </c>
    </row>
    <row r="46679" spans="8:8" x14ac:dyDescent="0.3">
      <c r="H46679" t="str">
        <f t="shared" ref="H46679:H46742" si="779">IF(B46679="","",$C$12)</f>
        <v/>
      </c>
    </row>
    <row r="46680" spans="8:8" x14ac:dyDescent="0.3">
      <c r="H46680" t="str">
        <f t="shared" si="779"/>
        <v/>
      </c>
    </row>
    <row r="46681" spans="8:8" x14ac:dyDescent="0.3">
      <c r="H46681" t="str">
        <f t="shared" si="779"/>
        <v/>
      </c>
    </row>
    <row r="46682" spans="8:8" x14ac:dyDescent="0.3">
      <c r="H46682" t="str">
        <f t="shared" si="779"/>
        <v/>
      </c>
    </row>
    <row r="46683" spans="8:8" x14ac:dyDescent="0.3">
      <c r="H46683" t="str">
        <f t="shared" si="779"/>
        <v/>
      </c>
    </row>
    <row r="46684" spans="8:8" x14ac:dyDescent="0.3">
      <c r="H46684" t="str">
        <f t="shared" si="779"/>
        <v/>
      </c>
    </row>
    <row r="46685" spans="8:8" x14ac:dyDescent="0.3">
      <c r="H46685" t="str">
        <f t="shared" si="779"/>
        <v/>
      </c>
    </row>
    <row r="46686" spans="8:8" x14ac:dyDescent="0.3">
      <c r="H46686" t="str">
        <f t="shared" si="779"/>
        <v/>
      </c>
    </row>
    <row r="46687" spans="8:8" x14ac:dyDescent="0.3">
      <c r="H46687" t="str">
        <f t="shared" si="779"/>
        <v/>
      </c>
    </row>
    <row r="46688" spans="8:8" x14ac:dyDescent="0.3">
      <c r="H46688" t="str">
        <f t="shared" si="779"/>
        <v/>
      </c>
    </row>
    <row r="46689" spans="8:8" x14ac:dyDescent="0.3">
      <c r="H46689" t="str">
        <f t="shared" si="779"/>
        <v/>
      </c>
    </row>
    <row r="46690" spans="8:8" x14ac:dyDescent="0.3">
      <c r="H46690" t="str">
        <f t="shared" si="779"/>
        <v/>
      </c>
    </row>
    <row r="46691" spans="8:8" x14ac:dyDescent="0.3">
      <c r="H46691" t="str">
        <f t="shared" si="779"/>
        <v/>
      </c>
    </row>
    <row r="46692" spans="8:8" x14ac:dyDescent="0.3">
      <c r="H46692" t="str">
        <f t="shared" si="779"/>
        <v/>
      </c>
    </row>
    <row r="46693" spans="8:8" x14ac:dyDescent="0.3">
      <c r="H46693" t="str">
        <f t="shared" si="779"/>
        <v/>
      </c>
    </row>
    <row r="46694" spans="8:8" x14ac:dyDescent="0.3">
      <c r="H46694" t="str">
        <f t="shared" si="779"/>
        <v/>
      </c>
    </row>
    <row r="46695" spans="8:8" x14ac:dyDescent="0.3">
      <c r="H46695" t="str">
        <f t="shared" si="779"/>
        <v/>
      </c>
    </row>
    <row r="46696" spans="8:8" x14ac:dyDescent="0.3">
      <c r="H46696" t="str">
        <f t="shared" si="779"/>
        <v/>
      </c>
    </row>
    <row r="46697" spans="8:8" x14ac:dyDescent="0.3">
      <c r="H46697" t="str">
        <f t="shared" si="779"/>
        <v/>
      </c>
    </row>
    <row r="46698" spans="8:8" x14ac:dyDescent="0.3">
      <c r="H46698" t="str">
        <f t="shared" si="779"/>
        <v/>
      </c>
    </row>
    <row r="46699" spans="8:8" x14ac:dyDescent="0.3">
      <c r="H46699" t="str">
        <f t="shared" si="779"/>
        <v/>
      </c>
    </row>
    <row r="46700" spans="8:8" x14ac:dyDescent="0.3">
      <c r="H46700" t="str">
        <f t="shared" si="779"/>
        <v/>
      </c>
    </row>
    <row r="46701" spans="8:8" x14ac:dyDescent="0.3">
      <c r="H46701" t="str">
        <f t="shared" si="779"/>
        <v/>
      </c>
    </row>
    <row r="46702" spans="8:8" x14ac:dyDescent="0.3">
      <c r="H46702" t="str">
        <f t="shared" si="779"/>
        <v/>
      </c>
    </row>
    <row r="46703" spans="8:8" x14ac:dyDescent="0.3">
      <c r="H46703" t="str">
        <f t="shared" si="779"/>
        <v/>
      </c>
    </row>
    <row r="46704" spans="8:8" x14ac:dyDescent="0.3">
      <c r="H46704" t="str">
        <f t="shared" si="779"/>
        <v/>
      </c>
    </row>
    <row r="46705" spans="8:8" x14ac:dyDescent="0.3">
      <c r="H46705" t="str">
        <f t="shared" si="779"/>
        <v/>
      </c>
    </row>
    <row r="46706" spans="8:8" x14ac:dyDescent="0.3">
      <c r="H46706" t="str">
        <f t="shared" si="779"/>
        <v/>
      </c>
    </row>
    <row r="46707" spans="8:8" x14ac:dyDescent="0.3">
      <c r="H46707" t="str">
        <f t="shared" si="779"/>
        <v/>
      </c>
    </row>
    <row r="46708" spans="8:8" x14ac:dyDescent="0.3">
      <c r="H46708" t="str">
        <f t="shared" si="779"/>
        <v/>
      </c>
    </row>
    <row r="46709" spans="8:8" x14ac:dyDescent="0.3">
      <c r="H46709" t="str">
        <f t="shared" si="779"/>
        <v/>
      </c>
    </row>
    <row r="46710" spans="8:8" x14ac:dyDescent="0.3">
      <c r="H46710" t="str">
        <f t="shared" si="779"/>
        <v/>
      </c>
    </row>
    <row r="46711" spans="8:8" x14ac:dyDescent="0.3">
      <c r="H46711" t="str">
        <f t="shared" si="779"/>
        <v/>
      </c>
    </row>
    <row r="46712" spans="8:8" x14ac:dyDescent="0.3">
      <c r="H46712" t="str">
        <f t="shared" si="779"/>
        <v/>
      </c>
    </row>
    <row r="46713" spans="8:8" x14ac:dyDescent="0.3">
      <c r="H46713" t="str">
        <f t="shared" si="779"/>
        <v/>
      </c>
    </row>
    <row r="46714" spans="8:8" x14ac:dyDescent="0.3">
      <c r="H46714" t="str">
        <f t="shared" si="779"/>
        <v/>
      </c>
    </row>
    <row r="46715" spans="8:8" x14ac:dyDescent="0.3">
      <c r="H46715" t="str">
        <f t="shared" si="779"/>
        <v/>
      </c>
    </row>
    <row r="46716" spans="8:8" x14ac:dyDescent="0.3">
      <c r="H46716" t="str">
        <f t="shared" si="779"/>
        <v/>
      </c>
    </row>
    <row r="46717" spans="8:8" x14ac:dyDescent="0.3">
      <c r="H46717" t="str">
        <f t="shared" si="779"/>
        <v/>
      </c>
    </row>
    <row r="46718" spans="8:8" x14ac:dyDescent="0.3">
      <c r="H46718" t="str">
        <f t="shared" si="779"/>
        <v/>
      </c>
    </row>
    <row r="46719" spans="8:8" x14ac:dyDescent="0.3">
      <c r="H46719" t="str">
        <f t="shared" si="779"/>
        <v/>
      </c>
    </row>
    <row r="46720" spans="8:8" x14ac:dyDescent="0.3">
      <c r="H46720" t="str">
        <f t="shared" si="779"/>
        <v/>
      </c>
    </row>
    <row r="46721" spans="8:8" x14ac:dyDescent="0.3">
      <c r="H46721" t="str">
        <f t="shared" si="779"/>
        <v/>
      </c>
    </row>
    <row r="46722" spans="8:8" x14ac:dyDescent="0.3">
      <c r="H46722" t="str">
        <f t="shared" si="779"/>
        <v/>
      </c>
    </row>
    <row r="46723" spans="8:8" x14ac:dyDescent="0.3">
      <c r="H46723" t="str">
        <f t="shared" si="779"/>
        <v/>
      </c>
    </row>
    <row r="46724" spans="8:8" x14ac:dyDescent="0.3">
      <c r="H46724" t="str">
        <f t="shared" si="779"/>
        <v/>
      </c>
    </row>
    <row r="46725" spans="8:8" x14ac:dyDescent="0.3">
      <c r="H46725" t="str">
        <f t="shared" si="779"/>
        <v/>
      </c>
    </row>
    <row r="46726" spans="8:8" x14ac:dyDescent="0.3">
      <c r="H46726" t="str">
        <f t="shared" si="779"/>
        <v/>
      </c>
    </row>
    <row r="46727" spans="8:8" x14ac:dyDescent="0.3">
      <c r="H46727" t="str">
        <f t="shared" si="779"/>
        <v/>
      </c>
    </row>
    <row r="46728" spans="8:8" x14ac:dyDescent="0.3">
      <c r="H46728" t="str">
        <f t="shared" si="779"/>
        <v/>
      </c>
    </row>
    <row r="46729" spans="8:8" x14ac:dyDescent="0.3">
      <c r="H46729" t="str">
        <f t="shared" si="779"/>
        <v/>
      </c>
    </row>
    <row r="46730" spans="8:8" x14ac:dyDescent="0.3">
      <c r="H46730" t="str">
        <f t="shared" si="779"/>
        <v/>
      </c>
    </row>
    <row r="46731" spans="8:8" x14ac:dyDescent="0.3">
      <c r="H46731" t="str">
        <f t="shared" si="779"/>
        <v/>
      </c>
    </row>
    <row r="46732" spans="8:8" x14ac:dyDescent="0.3">
      <c r="H46732" t="str">
        <f t="shared" si="779"/>
        <v/>
      </c>
    </row>
    <row r="46733" spans="8:8" x14ac:dyDescent="0.3">
      <c r="H46733" t="str">
        <f t="shared" si="779"/>
        <v/>
      </c>
    </row>
    <row r="46734" spans="8:8" x14ac:dyDescent="0.3">
      <c r="H46734" t="str">
        <f t="shared" si="779"/>
        <v/>
      </c>
    </row>
    <row r="46735" spans="8:8" x14ac:dyDescent="0.3">
      <c r="H46735" t="str">
        <f t="shared" si="779"/>
        <v/>
      </c>
    </row>
    <row r="46736" spans="8:8" x14ac:dyDescent="0.3">
      <c r="H46736" t="str">
        <f t="shared" si="779"/>
        <v/>
      </c>
    </row>
    <row r="46737" spans="8:8" x14ac:dyDescent="0.3">
      <c r="H46737" t="str">
        <f t="shared" si="779"/>
        <v/>
      </c>
    </row>
    <row r="46738" spans="8:8" x14ac:dyDescent="0.3">
      <c r="H46738" t="str">
        <f t="shared" si="779"/>
        <v/>
      </c>
    </row>
    <row r="46739" spans="8:8" x14ac:dyDescent="0.3">
      <c r="H46739" t="str">
        <f t="shared" si="779"/>
        <v/>
      </c>
    </row>
    <row r="46740" spans="8:8" x14ac:dyDescent="0.3">
      <c r="H46740" t="str">
        <f t="shared" si="779"/>
        <v/>
      </c>
    </row>
    <row r="46741" spans="8:8" x14ac:dyDescent="0.3">
      <c r="H46741" t="str">
        <f t="shared" si="779"/>
        <v/>
      </c>
    </row>
    <row r="46742" spans="8:8" x14ac:dyDescent="0.3">
      <c r="H46742" t="str">
        <f t="shared" si="779"/>
        <v/>
      </c>
    </row>
    <row r="46743" spans="8:8" x14ac:dyDescent="0.3">
      <c r="H46743" t="str">
        <f t="shared" ref="H46743:H46806" si="780">IF(B46743="","",$C$12)</f>
        <v/>
      </c>
    </row>
    <row r="46744" spans="8:8" x14ac:dyDescent="0.3">
      <c r="H46744" t="str">
        <f t="shared" si="780"/>
        <v/>
      </c>
    </row>
    <row r="46745" spans="8:8" x14ac:dyDescent="0.3">
      <c r="H46745" t="str">
        <f t="shared" si="780"/>
        <v/>
      </c>
    </row>
    <row r="46746" spans="8:8" x14ac:dyDescent="0.3">
      <c r="H46746" t="str">
        <f t="shared" si="780"/>
        <v/>
      </c>
    </row>
    <row r="46747" spans="8:8" x14ac:dyDescent="0.3">
      <c r="H46747" t="str">
        <f t="shared" si="780"/>
        <v/>
      </c>
    </row>
    <row r="46748" spans="8:8" x14ac:dyDescent="0.3">
      <c r="H46748" t="str">
        <f t="shared" si="780"/>
        <v/>
      </c>
    </row>
    <row r="46749" spans="8:8" x14ac:dyDescent="0.3">
      <c r="H46749" t="str">
        <f t="shared" si="780"/>
        <v/>
      </c>
    </row>
    <row r="46750" spans="8:8" x14ac:dyDescent="0.3">
      <c r="H46750" t="str">
        <f t="shared" si="780"/>
        <v/>
      </c>
    </row>
    <row r="46751" spans="8:8" x14ac:dyDescent="0.3">
      <c r="H46751" t="str">
        <f t="shared" si="780"/>
        <v/>
      </c>
    </row>
    <row r="46752" spans="8:8" x14ac:dyDescent="0.3">
      <c r="H46752" t="str">
        <f t="shared" si="780"/>
        <v/>
      </c>
    </row>
    <row r="46753" spans="8:8" x14ac:dyDescent="0.3">
      <c r="H46753" t="str">
        <f t="shared" si="780"/>
        <v/>
      </c>
    </row>
    <row r="46754" spans="8:8" x14ac:dyDescent="0.3">
      <c r="H46754" t="str">
        <f t="shared" si="780"/>
        <v/>
      </c>
    </row>
    <row r="46755" spans="8:8" x14ac:dyDescent="0.3">
      <c r="H46755" t="str">
        <f t="shared" si="780"/>
        <v/>
      </c>
    </row>
    <row r="46756" spans="8:8" x14ac:dyDescent="0.3">
      <c r="H46756" t="str">
        <f t="shared" si="780"/>
        <v/>
      </c>
    </row>
    <row r="46757" spans="8:8" x14ac:dyDescent="0.3">
      <c r="H46757" t="str">
        <f t="shared" si="780"/>
        <v/>
      </c>
    </row>
    <row r="46758" spans="8:8" x14ac:dyDescent="0.3">
      <c r="H46758" t="str">
        <f t="shared" si="780"/>
        <v/>
      </c>
    </row>
    <row r="46759" spans="8:8" x14ac:dyDescent="0.3">
      <c r="H46759" t="str">
        <f t="shared" si="780"/>
        <v/>
      </c>
    </row>
    <row r="46760" spans="8:8" x14ac:dyDescent="0.3">
      <c r="H46760" t="str">
        <f t="shared" si="780"/>
        <v/>
      </c>
    </row>
    <row r="46761" spans="8:8" x14ac:dyDescent="0.3">
      <c r="H46761" t="str">
        <f t="shared" si="780"/>
        <v/>
      </c>
    </row>
    <row r="46762" spans="8:8" x14ac:dyDescent="0.3">
      <c r="H46762" t="str">
        <f t="shared" si="780"/>
        <v/>
      </c>
    </row>
    <row r="46763" spans="8:8" x14ac:dyDescent="0.3">
      <c r="H46763" t="str">
        <f t="shared" si="780"/>
        <v/>
      </c>
    </row>
    <row r="46764" spans="8:8" x14ac:dyDescent="0.3">
      <c r="H46764" t="str">
        <f t="shared" si="780"/>
        <v/>
      </c>
    </row>
    <row r="46765" spans="8:8" x14ac:dyDescent="0.3">
      <c r="H46765" t="str">
        <f t="shared" si="780"/>
        <v/>
      </c>
    </row>
    <row r="46766" spans="8:8" x14ac:dyDescent="0.3">
      <c r="H46766" t="str">
        <f t="shared" si="780"/>
        <v/>
      </c>
    </row>
    <row r="46767" spans="8:8" x14ac:dyDescent="0.3">
      <c r="H46767" t="str">
        <f t="shared" si="780"/>
        <v/>
      </c>
    </row>
    <row r="46768" spans="8:8" x14ac:dyDescent="0.3">
      <c r="H46768" t="str">
        <f t="shared" si="780"/>
        <v/>
      </c>
    </row>
    <row r="46769" spans="8:8" x14ac:dyDescent="0.3">
      <c r="H46769" t="str">
        <f t="shared" si="780"/>
        <v/>
      </c>
    </row>
    <row r="46770" spans="8:8" x14ac:dyDescent="0.3">
      <c r="H46770" t="str">
        <f t="shared" si="780"/>
        <v/>
      </c>
    </row>
    <row r="46771" spans="8:8" x14ac:dyDescent="0.3">
      <c r="H46771" t="str">
        <f t="shared" si="780"/>
        <v/>
      </c>
    </row>
    <row r="46772" spans="8:8" x14ac:dyDescent="0.3">
      <c r="H46772" t="str">
        <f t="shared" si="780"/>
        <v/>
      </c>
    </row>
    <row r="46773" spans="8:8" x14ac:dyDescent="0.3">
      <c r="H46773" t="str">
        <f t="shared" si="780"/>
        <v/>
      </c>
    </row>
    <row r="46774" spans="8:8" x14ac:dyDescent="0.3">
      <c r="H46774" t="str">
        <f t="shared" si="780"/>
        <v/>
      </c>
    </row>
    <row r="46775" spans="8:8" x14ac:dyDescent="0.3">
      <c r="H46775" t="str">
        <f t="shared" si="780"/>
        <v/>
      </c>
    </row>
    <row r="46776" spans="8:8" x14ac:dyDescent="0.3">
      <c r="H46776" t="str">
        <f t="shared" si="780"/>
        <v/>
      </c>
    </row>
    <row r="46777" spans="8:8" x14ac:dyDescent="0.3">
      <c r="H46777" t="str">
        <f t="shared" si="780"/>
        <v/>
      </c>
    </row>
    <row r="46778" spans="8:8" x14ac:dyDescent="0.3">
      <c r="H46778" t="str">
        <f t="shared" si="780"/>
        <v/>
      </c>
    </row>
    <row r="46779" spans="8:8" x14ac:dyDescent="0.3">
      <c r="H46779" t="str">
        <f t="shared" si="780"/>
        <v/>
      </c>
    </row>
    <row r="46780" spans="8:8" x14ac:dyDescent="0.3">
      <c r="H46780" t="str">
        <f t="shared" si="780"/>
        <v/>
      </c>
    </row>
    <row r="46781" spans="8:8" x14ac:dyDescent="0.3">
      <c r="H46781" t="str">
        <f t="shared" si="780"/>
        <v/>
      </c>
    </row>
    <row r="46782" spans="8:8" x14ac:dyDescent="0.3">
      <c r="H46782" t="str">
        <f t="shared" si="780"/>
        <v/>
      </c>
    </row>
    <row r="46783" spans="8:8" x14ac:dyDescent="0.3">
      <c r="H46783" t="str">
        <f t="shared" si="780"/>
        <v/>
      </c>
    </row>
    <row r="46784" spans="8:8" x14ac:dyDescent="0.3">
      <c r="H46784" t="str">
        <f t="shared" si="780"/>
        <v/>
      </c>
    </row>
    <row r="46785" spans="8:8" x14ac:dyDescent="0.3">
      <c r="H46785" t="str">
        <f t="shared" si="780"/>
        <v/>
      </c>
    </row>
    <row r="46786" spans="8:8" x14ac:dyDescent="0.3">
      <c r="H46786" t="str">
        <f t="shared" si="780"/>
        <v/>
      </c>
    </row>
    <row r="46787" spans="8:8" x14ac:dyDescent="0.3">
      <c r="H46787" t="str">
        <f t="shared" si="780"/>
        <v/>
      </c>
    </row>
    <row r="46788" spans="8:8" x14ac:dyDescent="0.3">
      <c r="H46788" t="str">
        <f t="shared" si="780"/>
        <v/>
      </c>
    </row>
    <row r="46789" spans="8:8" x14ac:dyDescent="0.3">
      <c r="H46789" t="str">
        <f t="shared" si="780"/>
        <v/>
      </c>
    </row>
    <row r="46790" spans="8:8" x14ac:dyDescent="0.3">
      <c r="H46790" t="str">
        <f t="shared" si="780"/>
        <v/>
      </c>
    </row>
    <row r="46791" spans="8:8" x14ac:dyDescent="0.3">
      <c r="H46791" t="str">
        <f t="shared" si="780"/>
        <v/>
      </c>
    </row>
    <row r="46792" spans="8:8" x14ac:dyDescent="0.3">
      <c r="H46792" t="str">
        <f t="shared" si="780"/>
        <v/>
      </c>
    </row>
    <row r="46793" spans="8:8" x14ac:dyDescent="0.3">
      <c r="H46793" t="str">
        <f t="shared" si="780"/>
        <v/>
      </c>
    </row>
    <row r="46794" spans="8:8" x14ac:dyDescent="0.3">
      <c r="H46794" t="str">
        <f t="shared" si="780"/>
        <v/>
      </c>
    </row>
    <row r="46795" spans="8:8" x14ac:dyDescent="0.3">
      <c r="H46795" t="str">
        <f t="shared" si="780"/>
        <v/>
      </c>
    </row>
    <row r="46796" spans="8:8" x14ac:dyDescent="0.3">
      <c r="H46796" t="str">
        <f t="shared" si="780"/>
        <v/>
      </c>
    </row>
    <row r="46797" spans="8:8" x14ac:dyDescent="0.3">
      <c r="H46797" t="str">
        <f t="shared" si="780"/>
        <v/>
      </c>
    </row>
    <row r="46798" spans="8:8" x14ac:dyDescent="0.3">
      <c r="H46798" t="str">
        <f t="shared" si="780"/>
        <v/>
      </c>
    </row>
    <row r="46799" spans="8:8" x14ac:dyDescent="0.3">
      <c r="H46799" t="str">
        <f t="shared" si="780"/>
        <v/>
      </c>
    </row>
    <row r="46800" spans="8:8" x14ac:dyDescent="0.3">
      <c r="H46800" t="str">
        <f t="shared" si="780"/>
        <v/>
      </c>
    </row>
    <row r="46801" spans="8:8" x14ac:dyDescent="0.3">
      <c r="H46801" t="str">
        <f t="shared" si="780"/>
        <v/>
      </c>
    </row>
    <row r="46802" spans="8:8" x14ac:dyDescent="0.3">
      <c r="H46802" t="str">
        <f t="shared" si="780"/>
        <v/>
      </c>
    </row>
    <row r="46803" spans="8:8" x14ac:dyDescent="0.3">
      <c r="H46803" t="str">
        <f t="shared" si="780"/>
        <v/>
      </c>
    </row>
    <row r="46804" spans="8:8" x14ac:dyDescent="0.3">
      <c r="H46804" t="str">
        <f t="shared" si="780"/>
        <v/>
      </c>
    </row>
    <row r="46805" spans="8:8" x14ac:dyDescent="0.3">
      <c r="H46805" t="str">
        <f t="shared" si="780"/>
        <v/>
      </c>
    </row>
    <row r="46806" spans="8:8" x14ac:dyDescent="0.3">
      <c r="H46806" t="str">
        <f t="shared" si="780"/>
        <v/>
      </c>
    </row>
    <row r="46807" spans="8:8" x14ac:dyDescent="0.3">
      <c r="H46807" t="str">
        <f t="shared" ref="H46807:H46870" si="781">IF(B46807="","",$C$12)</f>
        <v/>
      </c>
    </row>
    <row r="46808" spans="8:8" x14ac:dyDescent="0.3">
      <c r="H46808" t="str">
        <f t="shared" si="781"/>
        <v/>
      </c>
    </row>
    <row r="46809" spans="8:8" x14ac:dyDescent="0.3">
      <c r="H46809" t="str">
        <f t="shared" si="781"/>
        <v/>
      </c>
    </row>
    <row r="46810" spans="8:8" x14ac:dyDescent="0.3">
      <c r="H46810" t="str">
        <f t="shared" si="781"/>
        <v/>
      </c>
    </row>
    <row r="46811" spans="8:8" x14ac:dyDescent="0.3">
      <c r="H46811" t="str">
        <f t="shared" si="781"/>
        <v/>
      </c>
    </row>
    <row r="46812" spans="8:8" x14ac:dyDescent="0.3">
      <c r="H46812" t="str">
        <f t="shared" si="781"/>
        <v/>
      </c>
    </row>
    <row r="46813" spans="8:8" x14ac:dyDescent="0.3">
      <c r="H46813" t="str">
        <f t="shared" si="781"/>
        <v/>
      </c>
    </row>
    <row r="46814" spans="8:8" x14ac:dyDescent="0.3">
      <c r="H46814" t="str">
        <f t="shared" si="781"/>
        <v/>
      </c>
    </row>
    <row r="46815" spans="8:8" x14ac:dyDescent="0.3">
      <c r="H46815" t="str">
        <f t="shared" si="781"/>
        <v/>
      </c>
    </row>
    <row r="46816" spans="8:8" x14ac:dyDescent="0.3">
      <c r="H46816" t="str">
        <f t="shared" si="781"/>
        <v/>
      </c>
    </row>
    <row r="46817" spans="8:8" x14ac:dyDescent="0.3">
      <c r="H46817" t="str">
        <f t="shared" si="781"/>
        <v/>
      </c>
    </row>
    <row r="46818" spans="8:8" x14ac:dyDescent="0.3">
      <c r="H46818" t="str">
        <f t="shared" si="781"/>
        <v/>
      </c>
    </row>
    <row r="46819" spans="8:8" x14ac:dyDescent="0.3">
      <c r="H46819" t="str">
        <f t="shared" si="781"/>
        <v/>
      </c>
    </row>
    <row r="46820" spans="8:8" x14ac:dyDescent="0.3">
      <c r="H46820" t="str">
        <f t="shared" si="781"/>
        <v/>
      </c>
    </row>
    <row r="46821" spans="8:8" x14ac:dyDescent="0.3">
      <c r="H46821" t="str">
        <f t="shared" si="781"/>
        <v/>
      </c>
    </row>
    <row r="46822" spans="8:8" x14ac:dyDescent="0.3">
      <c r="H46822" t="str">
        <f t="shared" si="781"/>
        <v/>
      </c>
    </row>
    <row r="46823" spans="8:8" x14ac:dyDescent="0.3">
      <c r="H46823" t="str">
        <f t="shared" si="781"/>
        <v/>
      </c>
    </row>
    <row r="46824" spans="8:8" x14ac:dyDescent="0.3">
      <c r="H46824" t="str">
        <f t="shared" si="781"/>
        <v/>
      </c>
    </row>
    <row r="46825" spans="8:8" x14ac:dyDescent="0.3">
      <c r="H46825" t="str">
        <f t="shared" si="781"/>
        <v/>
      </c>
    </row>
    <row r="46826" spans="8:8" x14ac:dyDescent="0.3">
      <c r="H46826" t="str">
        <f t="shared" si="781"/>
        <v/>
      </c>
    </row>
    <row r="46827" spans="8:8" x14ac:dyDescent="0.3">
      <c r="H46827" t="str">
        <f t="shared" si="781"/>
        <v/>
      </c>
    </row>
    <row r="46828" spans="8:8" x14ac:dyDescent="0.3">
      <c r="H46828" t="str">
        <f t="shared" si="781"/>
        <v/>
      </c>
    </row>
    <row r="46829" spans="8:8" x14ac:dyDescent="0.3">
      <c r="H46829" t="str">
        <f t="shared" si="781"/>
        <v/>
      </c>
    </row>
    <row r="46830" spans="8:8" x14ac:dyDescent="0.3">
      <c r="H46830" t="str">
        <f t="shared" si="781"/>
        <v/>
      </c>
    </row>
    <row r="46831" spans="8:8" x14ac:dyDescent="0.3">
      <c r="H46831" t="str">
        <f t="shared" si="781"/>
        <v/>
      </c>
    </row>
    <row r="46832" spans="8:8" x14ac:dyDescent="0.3">
      <c r="H46832" t="str">
        <f t="shared" si="781"/>
        <v/>
      </c>
    </row>
    <row r="46833" spans="8:8" x14ac:dyDescent="0.3">
      <c r="H46833" t="str">
        <f t="shared" si="781"/>
        <v/>
      </c>
    </row>
    <row r="46834" spans="8:8" x14ac:dyDescent="0.3">
      <c r="H46834" t="str">
        <f t="shared" si="781"/>
        <v/>
      </c>
    </row>
    <row r="46835" spans="8:8" x14ac:dyDescent="0.3">
      <c r="H46835" t="str">
        <f t="shared" si="781"/>
        <v/>
      </c>
    </row>
    <row r="46836" spans="8:8" x14ac:dyDescent="0.3">
      <c r="H46836" t="str">
        <f t="shared" si="781"/>
        <v/>
      </c>
    </row>
    <row r="46837" spans="8:8" x14ac:dyDescent="0.3">
      <c r="H46837" t="str">
        <f t="shared" si="781"/>
        <v/>
      </c>
    </row>
    <row r="46838" spans="8:8" x14ac:dyDescent="0.3">
      <c r="H46838" t="str">
        <f t="shared" si="781"/>
        <v/>
      </c>
    </row>
    <row r="46839" spans="8:8" x14ac:dyDescent="0.3">
      <c r="H46839" t="str">
        <f t="shared" si="781"/>
        <v/>
      </c>
    </row>
    <row r="46840" spans="8:8" x14ac:dyDescent="0.3">
      <c r="H46840" t="str">
        <f t="shared" si="781"/>
        <v/>
      </c>
    </row>
    <row r="46841" spans="8:8" x14ac:dyDescent="0.3">
      <c r="H46841" t="str">
        <f t="shared" si="781"/>
        <v/>
      </c>
    </row>
    <row r="46842" spans="8:8" x14ac:dyDescent="0.3">
      <c r="H46842" t="str">
        <f t="shared" si="781"/>
        <v/>
      </c>
    </row>
    <row r="46843" spans="8:8" x14ac:dyDescent="0.3">
      <c r="H46843" t="str">
        <f t="shared" si="781"/>
        <v/>
      </c>
    </row>
    <row r="46844" spans="8:8" x14ac:dyDescent="0.3">
      <c r="H46844" t="str">
        <f t="shared" si="781"/>
        <v/>
      </c>
    </row>
    <row r="46845" spans="8:8" x14ac:dyDescent="0.3">
      <c r="H46845" t="str">
        <f t="shared" si="781"/>
        <v/>
      </c>
    </row>
    <row r="46846" spans="8:8" x14ac:dyDescent="0.3">
      <c r="H46846" t="str">
        <f t="shared" si="781"/>
        <v/>
      </c>
    </row>
    <row r="46847" spans="8:8" x14ac:dyDescent="0.3">
      <c r="H46847" t="str">
        <f t="shared" si="781"/>
        <v/>
      </c>
    </row>
    <row r="46848" spans="8:8" x14ac:dyDescent="0.3">
      <c r="H46848" t="str">
        <f t="shared" si="781"/>
        <v/>
      </c>
    </row>
    <row r="46849" spans="8:8" x14ac:dyDescent="0.3">
      <c r="H46849" t="str">
        <f t="shared" si="781"/>
        <v/>
      </c>
    </row>
    <row r="46850" spans="8:8" x14ac:dyDescent="0.3">
      <c r="H46850" t="str">
        <f t="shared" si="781"/>
        <v/>
      </c>
    </row>
    <row r="46851" spans="8:8" x14ac:dyDescent="0.3">
      <c r="H46851" t="str">
        <f t="shared" si="781"/>
        <v/>
      </c>
    </row>
    <row r="46852" spans="8:8" x14ac:dyDescent="0.3">
      <c r="H46852" t="str">
        <f t="shared" si="781"/>
        <v/>
      </c>
    </row>
    <row r="46853" spans="8:8" x14ac:dyDescent="0.3">
      <c r="H46853" t="str">
        <f t="shared" si="781"/>
        <v/>
      </c>
    </row>
    <row r="46854" spans="8:8" x14ac:dyDescent="0.3">
      <c r="H46854" t="str">
        <f t="shared" si="781"/>
        <v/>
      </c>
    </row>
    <row r="46855" spans="8:8" x14ac:dyDescent="0.3">
      <c r="H46855" t="str">
        <f t="shared" si="781"/>
        <v/>
      </c>
    </row>
    <row r="46856" spans="8:8" x14ac:dyDescent="0.3">
      <c r="H46856" t="str">
        <f t="shared" si="781"/>
        <v/>
      </c>
    </row>
    <row r="46857" spans="8:8" x14ac:dyDescent="0.3">
      <c r="H46857" t="str">
        <f t="shared" si="781"/>
        <v/>
      </c>
    </row>
    <row r="46858" spans="8:8" x14ac:dyDescent="0.3">
      <c r="H46858" t="str">
        <f t="shared" si="781"/>
        <v/>
      </c>
    </row>
    <row r="46859" spans="8:8" x14ac:dyDescent="0.3">
      <c r="H46859" t="str">
        <f t="shared" si="781"/>
        <v/>
      </c>
    </row>
    <row r="46860" spans="8:8" x14ac:dyDescent="0.3">
      <c r="H46860" t="str">
        <f t="shared" si="781"/>
        <v/>
      </c>
    </row>
    <row r="46861" spans="8:8" x14ac:dyDescent="0.3">
      <c r="H46861" t="str">
        <f t="shared" si="781"/>
        <v/>
      </c>
    </row>
    <row r="46862" spans="8:8" x14ac:dyDescent="0.3">
      <c r="H46862" t="str">
        <f t="shared" si="781"/>
        <v/>
      </c>
    </row>
    <row r="46863" spans="8:8" x14ac:dyDescent="0.3">
      <c r="H46863" t="str">
        <f t="shared" si="781"/>
        <v/>
      </c>
    </row>
    <row r="46864" spans="8:8" x14ac:dyDescent="0.3">
      <c r="H46864" t="str">
        <f t="shared" si="781"/>
        <v/>
      </c>
    </row>
    <row r="46865" spans="8:8" x14ac:dyDescent="0.3">
      <c r="H46865" t="str">
        <f t="shared" si="781"/>
        <v/>
      </c>
    </row>
    <row r="46866" spans="8:8" x14ac:dyDescent="0.3">
      <c r="H46866" t="str">
        <f t="shared" si="781"/>
        <v/>
      </c>
    </row>
    <row r="46867" spans="8:8" x14ac:dyDescent="0.3">
      <c r="H46867" t="str">
        <f t="shared" si="781"/>
        <v/>
      </c>
    </row>
    <row r="46868" spans="8:8" x14ac:dyDescent="0.3">
      <c r="H46868" t="str">
        <f t="shared" si="781"/>
        <v/>
      </c>
    </row>
    <row r="46869" spans="8:8" x14ac:dyDescent="0.3">
      <c r="H46869" t="str">
        <f t="shared" si="781"/>
        <v/>
      </c>
    </row>
    <row r="46870" spans="8:8" x14ac:dyDescent="0.3">
      <c r="H46870" t="str">
        <f t="shared" si="781"/>
        <v/>
      </c>
    </row>
    <row r="46871" spans="8:8" x14ac:dyDescent="0.3">
      <c r="H46871" t="str">
        <f t="shared" ref="H46871:H46934" si="782">IF(B46871="","",$C$12)</f>
        <v/>
      </c>
    </row>
    <row r="46872" spans="8:8" x14ac:dyDescent="0.3">
      <c r="H46872" t="str">
        <f t="shared" si="782"/>
        <v/>
      </c>
    </row>
    <row r="46873" spans="8:8" x14ac:dyDescent="0.3">
      <c r="H46873" t="str">
        <f t="shared" si="782"/>
        <v/>
      </c>
    </row>
    <row r="46874" spans="8:8" x14ac:dyDescent="0.3">
      <c r="H46874" t="str">
        <f t="shared" si="782"/>
        <v/>
      </c>
    </row>
    <row r="46875" spans="8:8" x14ac:dyDescent="0.3">
      <c r="H46875" t="str">
        <f t="shared" si="782"/>
        <v/>
      </c>
    </row>
    <row r="46876" spans="8:8" x14ac:dyDescent="0.3">
      <c r="H46876" t="str">
        <f t="shared" si="782"/>
        <v/>
      </c>
    </row>
    <row r="46877" spans="8:8" x14ac:dyDescent="0.3">
      <c r="H46877" t="str">
        <f t="shared" si="782"/>
        <v/>
      </c>
    </row>
    <row r="46878" spans="8:8" x14ac:dyDescent="0.3">
      <c r="H46878" t="str">
        <f t="shared" si="782"/>
        <v/>
      </c>
    </row>
    <row r="46879" spans="8:8" x14ac:dyDescent="0.3">
      <c r="H46879" t="str">
        <f t="shared" si="782"/>
        <v/>
      </c>
    </row>
    <row r="46880" spans="8:8" x14ac:dyDescent="0.3">
      <c r="H46880" t="str">
        <f t="shared" si="782"/>
        <v/>
      </c>
    </row>
    <row r="46881" spans="8:8" x14ac:dyDescent="0.3">
      <c r="H46881" t="str">
        <f t="shared" si="782"/>
        <v/>
      </c>
    </row>
    <row r="46882" spans="8:8" x14ac:dyDescent="0.3">
      <c r="H46882" t="str">
        <f t="shared" si="782"/>
        <v/>
      </c>
    </row>
    <row r="46883" spans="8:8" x14ac:dyDescent="0.3">
      <c r="H46883" t="str">
        <f t="shared" si="782"/>
        <v/>
      </c>
    </row>
    <row r="46884" spans="8:8" x14ac:dyDescent="0.3">
      <c r="H46884" t="str">
        <f t="shared" si="782"/>
        <v/>
      </c>
    </row>
    <row r="46885" spans="8:8" x14ac:dyDescent="0.3">
      <c r="H46885" t="str">
        <f t="shared" si="782"/>
        <v/>
      </c>
    </row>
    <row r="46886" spans="8:8" x14ac:dyDescent="0.3">
      <c r="H46886" t="str">
        <f t="shared" si="782"/>
        <v/>
      </c>
    </row>
    <row r="46887" spans="8:8" x14ac:dyDescent="0.3">
      <c r="H46887" t="str">
        <f t="shared" si="782"/>
        <v/>
      </c>
    </row>
    <row r="46888" spans="8:8" x14ac:dyDescent="0.3">
      <c r="H46888" t="str">
        <f t="shared" si="782"/>
        <v/>
      </c>
    </row>
    <row r="46889" spans="8:8" x14ac:dyDescent="0.3">
      <c r="H46889" t="str">
        <f t="shared" si="782"/>
        <v/>
      </c>
    </row>
    <row r="46890" spans="8:8" x14ac:dyDescent="0.3">
      <c r="H46890" t="str">
        <f t="shared" si="782"/>
        <v/>
      </c>
    </row>
    <row r="46891" spans="8:8" x14ac:dyDescent="0.3">
      <c r="H46891" t="str">
        <f t="shared" si="782"/>
        <v/>
      </c>
    </row>
    <row r="46892" spans="8:8" x14ac:dyDescent="0.3">
      <c r="H46892" t="str">
        <f t="shared" si="782"/>
        <v/>
      </c>
    </row>
    <row r="46893" spans="8:8" x14ac:dyDescent="0.3">
      <c r="H46893" t="str">
        <f t="shared" si="782"/>
        <v/>
      </c>
    </row>
    <row r="46894" spans="8:8" x14ac:dyDescent="0.3">
      <c r="H46894" t="str">
        <f t="shared" si="782"/>
        <v/>
      </c>
    </row>
    <row r="46895" spans="8:8" x14ac:dyDescent="0.3">
      <c r="H46895" t="str">
        <f t="shared" si="782"/>
        <v/>
      </c>
    </row>
    <row r="46896" spans="8:8" x14ac:dyDescent="0.3">
      <c r="H46896" t="str">
        <f t="shared" si="782"/>
        <v/>
      </c>
    </row>
    <row r="46897" spans="8:8" x14ac:dyDescent="0.3">
      <c r="H46897" t="str">
        <f t="shared" si="782"/>
        <v/>
      </c>
    </row>
    <row r="46898" spans="8:8" x14ac:dyDescent="0.3">
      <c r="H46898" t="str">
        <f t="shared" si="782"/>
        <v/>
      </c>
    </row>
    <row r="46899" spans="8:8" x14ac:dyDescent="0.3">
      <c r="H46899" t="str">
        <f t="shared" si="782"/>
        <v/>
      </c>
    </row>
    <row r="46900" spans="8:8" x14ac:dyDescent="0.3">
      <c r="H46900" t="str">
        <f t="shared" si="782"/>
        <v/>
      </c>
    </row>
    <row r="46901" spans="8:8" x14ac:dyDescent="0.3">
      <c r="H46901" t="str">
        <f t="shared" si="782"/>
        <v/>
      </c>
    </row>
    <row r="46902" spans="8:8" x14ac:dyDescent="0.3">
      <c r="H46902" t="str">
        <f t="shared" si="782"/>
        <v/>
      </c>
    </row>
    <row r="46903" spans="8:8" x14ac:dyDescent="0.3">
      <c r="H46903" t="str">
        <f t="shared" si="782"/>
        <v/>
      </c>
    </row>
    <row r="46904" spans="8:8" x14ac:dyDescent="0.3">
      <c r="H46904" t="str">
        <f t="shared" si="782"/>
        <v/>
      </c>
    </row>
    <row r="46905" spans="8:8" x14ac:dyDescent="0.3">
      <c r="H46905" t="str">
        <f t="shared" si="782"/>
        <v/>
      </c>
    </row>
    <row r="46906" spans="8:8" x14ac:dyDescent="0.3">
      <c r="H46906" t="str">
        <f t="shared" si="782"/>
        <v/>
      </c>
    </row>
    <row r="46907" spans="8:8" x14ac:dyDescent="0.3">
      <c r="H46907" t="str">
        <f t="shared" si="782"/>
        <v/>
      </c>
    </row>
    <row r="46908" spans="8:8" x14ac:dyDescent="0.3">
      <c r="H46908" t="str">
        <f t="shared" si="782"/>
        <v/>
      </c>
    </row>
    <row r="46909" spans="8:8" x14ac:dyDescent="0.3">
      <c r="H46909" t="str">
        <f t="shared" si="782"/>
        <v/>
      </c>
    </row>
    <row r="46910" spans="8:8" x14ac:dyDescent="0.3">
      <c r="H46910" t="str">
        <f t="shared" si="782"/>
        <v/>
      </c>
    </row>
    <row r="46911" spans="8:8" x14ac:dyDescent="0.3">
      <c r="H46911" t="str">
        <f t="shared" si="782"/>
        <v/>
      </c>
    </row>
    <row r="46912" spans="8:8" x14ac:dyDescent="0.3">
      <c r="H46912" t="str">
        <f t="shared" si="782"/>
        <v/>
      </c>
    </row>
    <row r="46913" spans="8:8" x14ac:dyDescent="0.3">
      <c r="H46913" t="str">
        <f t="shared" si="782"/>
        <v/>
      </c>
    </row>
    <row r="46914" spans="8:8" x14ac:dyDescent="0.3">
      <c r="H46914" t="str">
        <f t="shared" si="782"/>
        <v/>
      </c>
    </row>
    <row r="46915" spans="8:8" x14ac:dyDescent="0.3">
      <c r="H46915" t="str">
        <f t="shared" si="782"/>
        <v/>
      </c>
    </row>
    <row r="46916" spans="8:8" x14ac:dyDescent="0.3">
      <c r="H46916" t="str">
        <f t="shared" si="782"/>
        <v/>
      </c>
    </row>
    <row r="46917" spans="8:8" x14ac:dyDescent="0.3">
      <c r="H46917" t="str">
        <f t="shared" si="782"/>
        <v/>
      </c>
    </row>
    <row r="46918" spans="8:8" x14ac:dyDescent="0.3">
      <c r="H46918" t="str">
        <f t="shared" si="782"/>
        <v/>
      </c>
    </row>
    <row r="46919" spans="8:8" x14ac:dyDescent="0.3">
      <c r="H46919" t="str">
        <f t="shared" si="782"/>
        <v/>
      </c>
    </row>
    <row r="46920" spans="8:8" x14ac:dyDescent="0.3">
      <c r="H46920" t="str">
        <f t="shared" si="782"/>
        <v/>
      </c>
    </row>
    <row r="46921" spans="8:8" x14ac:dyDescent="0.3">
      <c r="H46921" t="str">
        <f t="shared" si="782"/>
        <v/>
      </c>
    </row>
    <row r="46922" spans="8:8" x14ac:dyDescent="0.3">
      <c r="H46922" t="str">
        <f t="shared" si="782"/>
        <v/>
      </c>
    </row>
    <row r="46923" spans="8:8" x14ac:dyDescent="0.3">
      <c r="H46923" t="str">
        <f t="shared" si="782"/>
        <v/>
      </c>
    </row>
    <row r="46924" spans="8:8" x14ac:dyDescent="0.3">
      <c r="H46924" t="str">
        <f t="shared" si="782"/>
        <v/>
      </c>
    </row>
    <row r="46925" spans="8:8" x14ac:dyDescent="0.3">
      <c r="H46925" t="str">
        <f t="shared" si="782"/>
        <v/>
      </c>
    </row>
    <row r="46926" spans="8:8" x14ac:dyDescent="0.3">
      <c r="H46926" t="str">
        <f t="shared" si="782"/>
        <v/>
      </c>
    </row>
    <row r="46927" spans="8:8" x14ac:dyDescent="0.3">
      <c r="H46927" t="str">
        <f t="shared" si="782"/>
        <v/>
      </c>
    </row>
    <row r="46928" spans="8:8" x14ac:dyDescent="0.3">
      <c r="H46928" t="str">
        <f t="shared" si="782"/>
        <v/>
      </c>
    </row>
    <row r="46929" spans="8:8" x14ac:dyDescent="0.3">
      <c r="H46929" t="str">
        <f t="shared" si="782"/>
        <v/>
      </c>
    </row>
    <row r="46930" spans="8:8" x14ac:dyDescent="0.3">
      <c r="H46930" t="str">
        <f t="shared" si="782"/>
        <v/>
      </c>
    </row>
    <row r="46931" spans="8:8" x14ac:dyDescent="0.3">
      <c r="H46931" t="str">
        <f t="shared" si="782"/>
        <v/>
      </c>
    </row>
    <row r="46932" spans="8:8" x14ac:dyDescent="0.3">
      <c r="H46932" t="str">
        <f t="shared" si="782"/>
        <v/>
      </c>
    </row>
    <row r="46933" spans="8:8" x14ac:dyDescent="0.3">
      <c r="H46933" t="str">
        <f t="shared" si="782"/>
        <v/>
      </c>
    </row>
    <row r="46934" spans="8:8" x14ac:dyDescent="0.3">
      <c r="H46934" t="str">
        <f t="shared" si="782"/>
        <v/>
      </c>
    </row>
    <row r="46935" spans="8:8" x14ac:dyDescent="0.3">
      <c r="H46935" t="str">
        <f t="shared" ref="H46935:H46998" si="783">IF(B46935="","",$C$12)</f>
        <v/>
      </c>
    </row>
    <row r="46936" spans="8:8" x14ac:dyDescent="0.3">
      <c r="H46936" t="str">
        <f t="shared" si="783"/>
        <v/>
      </c>
    </row>
    <row r="46937" spans="8:8" x14ac:dyDescent="0.3">
      <c r="H46937" t="str">
        <f t="shared" si="783"/>
        <v/>
      </c>
    </row>
    <row r="46938" spans="8:8" x14ac:dyDescent="0.3">
      <c r="H46938" t="str">
        <f t="shared" si="783"/>
        <v/>
      </c>
    </row>
    <row r="46939" spans="8:8" x14ac:dyDescent="0.3">
      <c r="H46939" t="str">
        <f t="shared" si="783"/>
        <v/>
      </c>
    </row>
    <row r="46940" spans="8:8" x14ac:dyDescent="0.3">
      <c r="H46940" t="str">
        <f t="shared" si="783"/>
        <v/>
      </c>
    </row>
    <row r="46941" spans="8:8" x14ac:dyDescent="0.3">
      <c r="H46941" t="str">
        <f t="shared" si="783"/>
        <v/>
      </c>
    </row>
    <row r="46942" spans="8:8" x14ac:dyDescent="0.3">
      <c r="H46942" t="str">
        <f t="shared" si="783"/>
        <v/>
      </c>
    </row>
    <row r="46943" spans="8:8" x14ac:dyDescent="0.3">
      <c r="H46943" t="str">
        <f t="shared" si="783"/>
        <v/>
      </c>
    </row>
    <row r="46944" spans="8:8" x14ac:dyDescent="0.3">
      <c r="H46944" t="str">
        <f t="shared" si="783"/>
        <v/>
      </c>
    </row>
    <row r="46945" spans="8:8" x14ac:dyDescent="0.3">
      <c r="H46945" t="str">
        <f t="shared" si="783"/>
        <v/>
      </c>
    </row>
    <row r="46946" spans="8:8" x14ac:dyDescent="0.3">
      <c r="H46946" t="str">
        <f t="shared" si="783"/>
        <v/>
      </c>
    </row>
    <row r="46947" spans="8:8" x14ac:dyDescent="0.3">
      <c r="H46947" t="str">
        <f t="shared" si="783"/>
        <v/>
      </c>
    </row>
    <row r="46948" spans="8:8" x14ac:dyDescent="0.3">
      <c r="H46948" t="str">
        <f t="shared" si="783"/>
        <v/>
      </c>
    </row>
    <row r="46949" spans="8:8" x14ac:dyDescent="0.3">
      <c r="H46949" t="str">
        <f t="shared" si="783"/>
        <v/>
      </c>
    </row>
    <row r="46950" spans="8:8" x14ac:dyDescent="0.3">
      <c r="H46950" t="str">
        <f t="shared" si="783"/>
        <v/>
      </c>
    </row>
    <row r="46951" spans="8:8" x14ac:dyDescent="0.3">
      <c r="H46951" t="str">
        <f t="shared" si="783"/>
        <v/>
      </c>
    </row>
    <row r="46952" spans="8:8" x14ac:dyDescent="0.3">
      <c r="H46952" t="str">
        <f t="shared" si="783"/>
        <v/>
      </c>
    </row>
    <row r="46953" spans="8:8" x14ac:dyDescent="0.3">
      <c r="H46953" t="str">
        <f t="shared" si="783"/>
        <v/>
      </c>
    </row>
    <row r="46954" spans="8:8" x14ac:dyDescent="0.3">
      <c r="H46954" t="str">
        <f t="shared" si="783"/>
        <v/>
      </c>
    </row>
    <row r="46955" spans="8:8" x14ac:dyDescent="0.3">
      <c r="H46955" t="str">
        <f t="shared" si="783"/>
        <v/>
      </c>
    </row>
    <row r="46956" spans="8:8" x14ac:dyDescent="0.3">
      <c r="H46956" t="str">
        <f t="shared" si="783"/>
        <v/>
      </c>
    </row>
    <row r="46957" spans="8:8" x14ac:dyDescent="0.3">
      <c r="H46957" t="str">
        <f t="shared" si="783"/>
        <v/>
      </c>
    </row>
    <row r="46958" spans="8:8" x14ac:dyDescent="0.3">
      <c r="H46958" t="str">
        <f t="shared" si="783"/>
        <v/>
      </c>
    </row>
    <row r="46959" spans="8:8" x14ac:dyDescent="0.3">
      <c r="H46959" t="str">
        <f t="shared" si="783"/>
        <v/>
      </c>
    </row>
    <row r="46960" spans="8:8" x14ac:dyDescent="0.3">
      <c r="H46960" t="str">
        <f t="shared" si="783"/>
        <v/>
      </c>
    </row>
    <row r="46961" spans="8:8" x14ac:dyDescent="0.3">
      <c r="H46961" t="str">
        <f t="shared" si="783"/>
        <v/>
      </c>
    </row>
    <row r="46962" spans="8:8" x14ac:dyDescent="0.3">
      <c r="H46962" t="str">
        <f t="shared" si="783"/>
        <v/>
      </c>
    </row>
    <row r="46963" spans="8:8" x14ac:dyDescent="0.3">
      <c r="H46963" t="str">
        <f t="shared" si="783"/>
        <v/>
      </c>
    </row>
    <row r="46964" spans="8:8" x14ac:dyDescent="0.3">
      <c r="H46964" t="str">
        <f t="shared" si="783"/>
        <v/>
      </c>
    </row>
    <row r="46965" spans="8:8" x14ac:dyDescent="0.3">
      <c r="H46965" t="str">
        <f t="shared" si="783"/>
        <v/>
      </c>
    </row>
    <row r="46966" spans="8:8" x14ac:dyDescent="0.3">
      <c r="H46966" t="str">
        <f t="shared" si="783"/>
        <v/>
      </c>
    </row>
    <row r="46967" spans="8:8" x14ac:dyDescent="0.3">
      <c r="H46967" t="str">
        <f t="shared" si="783"/>
        <v/>
      </c>
    </row>
    <row r="46968" spans="8:8" x14ac:dyDescent="0.3">
      <c r="H46968" t="str">
        <f t="shared" si="783"/>
        <v/>
      </c>
    </row>
    <row r="46969" spans="8:8" x14ac:dyDescent="0.3">
      <c r="H46969" t="str">
        <f t="shared" si="783"/>
        <v/>
      </c>
    </row>
    <row r="46970" spans="8:8" x14ac:dyDescent="0.3">
      <c r="H46970" t="str">
        <f t="shared" si="783"/>
        <v/>
      </c>
    </row>
    <row r="46971" spans="8:8" x14ac:dyDescent="0.3">
      <c r="H46971" t="str">
        <f t="shared" si="783"/>
        <v/>
      </c>
    </row>
    <row r="46972" spans="8:8" x14ac:dyDescent="0.3">
      <c r="H46972" t="str">
        <f t="shared" si="783"/>
        <v/>
      </c>
    </row>
    <row r="46973" spans="8:8" x14ac:dyDescent="0.3">
      <c r="H46973" t="str">
        <f t="shared" si="783"/>
        <v/>
      </c>
    </row>
    <row r="46974" spans="8:8" x14ac:dyDescent="0.3">
      <c r="H46974" t="str">
        <f t="shared" si="783"/>
        <v/>
      </c>
    </row>
    <row r="46975" spans="8:8" x14ac:dyDescent="0.3">
      <c r="H46975" t="str">
        <f t="shared" si="783"/>
        <v/>
      </c>
    </row>
    <row r="46976" spans="8:8" x14ac:dyDescent="0.3">
      <c r="H46976" t="str">
        <f t="shared" si="783"/>
        <v/>
      </c>
    </row>
    <row r="46977" spans="8:8" x14ac:dyDescent="0.3">
      <c r="H46977" t="str">
        <f t="shared" si="783"/>
        <v/>
      </c>
    </row>
    <row r="46978" spans="8:8" x14ac:dyDescent="0.3">
      <c r="H46978" t="str">
        <f t="shared" si="783"/>
        <v/>
      </c>
    </row>
    <row r="46979" spans="8:8" x14ac:dyDescent="0.3">
      <c r="H46979" t="str">
        <f t="shared" si="783"/>
        <v/>
      </c>
    </row>
    <row r="46980" spans="8:8" x14ac:dyDescent="0.3">
      <c r="H46980" t="str">
        <f t="shared" si="783"/>
        <v/>
      </c>
    </row>
    <row r="46981" spans="8:8" x14ac:dyDescent="0.3">
      <c r="H46981" t="str">
        <f t="shared" si="783"/>
        <v/>
      </c>
    </row>
    <row r="46982" spans="8:8" x14ac:dyDescent="0.3">
      <c r="H46982" t="str">
        <f t="shared" si="783"/>
        <v/>
      </c>
    </row>
    <row r="46983" spans="8:8" x14ac:dyDescent="0.3">
      <c r="H46983" t="str">
        <f t="shared" si="783"/>
        <v/>
      </c>
    </row>
    <row r="46984" spans="8:8" x14ac:dyDescent="0.3">
      <c r="H46984" t="str">
        <f t="shared" si="783"/>
        <v/>
      </c>
    </row>
    <row r="46985" spans="8:8" x14ac:dyDescent="0.3">
      <c r="H46985" t="str">
        <f t="shared" si="783"/>
        <v/>
      </c>
    </row>
    <row r="46986" spans="8:8" x14ac:dyDescent="0.3">
      <c r="H46986" t="str">
        <f t="shared" si="783"/>
        <v/>
      </c>
    </row>
    <row r="46987" spans="8:8" x14ac:dyDescent="0.3">
      <c r="H46987" t="str">
        <f t="shared" si="783"/>
        <v/>
      </c>
    </row>
    <row r="46988" spans="8:8" x14ac:dyDescent="0.3">
      <c r="H46988" t="str">
        <f t="shared" si="783"/>
        <v/>
      </c>
    </row>
    <row r="46989" spans="8:8" x14ac:dyDescent="0.3">
      <c r="H46989" t="str">
        <f t="shared" si="783"/>
        <v/>
      </c>
    </row>
    <row r="46990" spans="8:8" x14ac:dyDescent="0.3">
      <c r="H46990" t="str">
        <f t="shared" si="783"/>
        <v/>
      </c>
    </row>
    <row r="46991" spans="8:8" x14ac:dyDescent="0.3">
      <c r="H46991" t="str">
        <f t="shared" si="783"/>
        <v/>
      </c>
    </row>
    <row r="46992" spans="8:8" x14ac:dyDescent="0.3">
      <c r="H46992" t="str">
        <f t="shared" si="783"/>
        <v/>
      </c>
    </row>
    <row r="46993" spans="8:8" x14ac:dyDescent="0.3">
      <c r="H46993" t="str">
        <f t="shared" si="783"/>
        <v/>
      </c>
    </row>
    <row r="46994" spans="8:8" x14ac:dyDescent="0.3">
      <c r="H46994" t="str">
        <f t="shared" si="783"/>
        <v/>
      </c>
    </row>
    <row r="46995" spans="8:8" x14ac:dyDescent="0.3">
      <c r="H46995" t="str">
        <f t="shared" si="783"/>
        <v/>
      </c>
    </row>
    <row r="46996" spans="8:8" x14ac:dyDescent="0.3">
      <c r="H46996" t="str">
        <f t="shared" si="783"/>
        <v/>
      </c>
    </row>
    <row r="46997" spans="8:8" x14ac:dyDescent="0.3">
      <c r="H46997" t="str">
        <f t="shared" si="783"/>
        <v/>
      </c>
    </row>
    <row r="46998" spans="8:8" x14ac:dyDescent="0.3">
      <c r="H46998" t="str">
        <f t="shared" si="783"/>
        <v/>
      </c>
    </row>
    <row r="46999" spans="8:8" x14ac:dyDescent="0.3">
      <c r="H46999" t="str">
        <f t="shared" ref="H46999:H47062" si="784">IF(B46999="","",$C$12)</f>
        <v/>
      </c>
    </row>
    <row r="47000" spans="8:8" x14ac:dyDescent="0.3">
      <c r="H47000" t="str">
        <f t="shared" si="784"/>
        <v/>
      </c>
    </row>
    <row r="47001" spans="8:8" x14ac:dyDescent="0.3">
      <c r="H47001" t="str">
        <f t="shared" si="784"/>
        <v/>
      </c>
    </row>
    <row r="47002" spans="8:8" x14ac:dyDescent="0.3">
      <c r="H47002" t="str">
        <f t="shared" si="784"/>
        <v/>
      </c>
    </row>
    <row r="47003" spans="8:8" x14ac:dyDescent="0.3">
      <c r="H47003" t="str">
        <f t="shared" si="784"/>
        <v/>
      </c>
    </row>
    <row r="47004" spans="8:8" x14ac:dyDescent="0.3">
      <c r="H47004" t="str">
        <f t="shared" si="784"/>
        <v/>
      </c>
    </row>
    <row r="47005" spans="8:8" x14ac:dyDescent="0.3">
      <c r="H47005" t="str">
        <f t="shared" si="784"/>
        <v/>
      </c>
    </row>
    <row r="47006" spans="8:8" x14ac:dyDescent="0.3">
      <c r="H47006" t="str">
        <f t="shared" si="784"/>
        <v/>
      </c>
    </row>
    <row r="47007" spans="8:8" x14ac:dyDescent="0.3">
      <c r="H47007" t="str">
        <f t="shared" si="784"/>
        <v/>
      </c>
    </row>
    <row r="47008" spans="8:8" x14ac:dyDescent="0.3">
      <c r="H47008" t="str">
        <f t="shared" si="784"/>
        <v/>
      </c>
    </row>
    <row r="47009" spans="8:8" x14ac:dyDescent="0.3">
      <c r="H47009" t="str">
        <f t="shared" si="784"/>
        <v/>
      </c>
    </row>
    <row r="47010" spans="8:8" x14ac:dyDescent="0.3">
      <c r="H47010" t="str">
        <f t="shared" si="784"/>
        <v/>
      </c>
    </row>
    <row r="47011" spans="8:8" x14ac:dyDescent="0.3">
      <c r="H47011" t="str">
        <f t="shared" si="784"/>
        <v/>
      </c>
    </row>
    <row r="47012" spans="8:8" x14ac:dyDescent="0.3">
      <c r="H47012" t="str">
        <f t="shared" si="784"/>
        <v/>
      </c>
    </row>
    <row r="47013" spans="8:8" x14ac:dyDescent="0.3">
      <c r="H47013" t="str">
        <f t="shared" si="784"/>
        <v/>
      </c>
    </row>
    <row r="47014" spans="8:8" x14ac:dyDescent="0.3">
      <c r="H47014" t="str">
        <f t="shared" si="784"/>
        <v/>
      </c>
    </row>
    <row r="47015" spans="8:8" x14ac:dyDescent="0.3">
      <c r="H47015" t="str">
        <f t="shared" si="784"/>
        <v/>
      </c>
    </row>
    <row r="47016" spans="8:8" x14ac:dyDescent="0.3">
      <c r="H47016" t="str">
        <f t="shared" si="784"/>
        <v/>
      </c>
    </row>
    <row r="47017" spans="8:8" x14ac:dyDescent="0.3">
      <c r="H47017" t="str">
        <f t="shared" si="784"/>
        <v/>
      </c>
    </row>
    <row r="47018" spans="8:8" x14ac:dyDescent="0.3">
      <c r="H47018" t="str">
        <f t="shared" si="784"/>
        <v/>
      </c>
    </row>
    <row r="47019" spans="8:8" x14ac:dyDescent="0.3">
      <c r="H47019" t="str">
        <f t="shared" si="784"/>
        <v/>
      </c>
    </row>
    <row r="47020" spans="8:8" x14ac:dyDescent="0.3">
      <c r="H47020" t="str">
        <f t="shared" si="784"/>
        <v/>
      </c>
    </row>
    <row r="47021" spans="8:8" x14ac:dyDescent="0.3">
      <c r="H47021" t="str">
        <f t="shared" si="784"/>
        <v/>
      </c>
    </row>
    <row r="47022" spans="8:8" x14ac:dyDescent="0.3">
      <c r="H47022" t="str">
        <f t="shared" si="784"/>
        <v/>
      </c>
    </row>
    <row r="47023" spans="8:8" x14ac:dyDescent="0.3">
      <c r="H47023" t="str">
        <f t="shared" si="784"/>
        <v/>
      </c>
    </row>
    <row r="47024" spans="8:8" x14ac:dyDescent="0.3">
      <c r="H47024" t="str">
        <f t="shared" si="784"/>
        <v/>
      </c>
    </row>
    <row r="47025" spans="8:8" x14ac:dyDescent="0.3">
      <c r="H47025" t="str">
        <f t="shared" si="784"/>
        <v/>
      </c>
    </row>
    <row r="47026" spans="8:8" x14ac:dyDescent="0.3">
      <c r="H47026" t="str">
        <f t="shared" si="784"/>
        <v/>
      </c>
    </row>
    <row r="47027" spans="8:8" x14ac:dyDescent="0.3">
      <c r="H47027" t="str">
        <f t="shared" si="784"/>
        <v/>
      </c>
    </row>
    <row r="47028" spans="8:8" x14ac:dyDescent="0.3">
      <c r="H47028" t="str">
        <f t="shared" si="784"/>
        <v/>
      </c>
    </row>
    <row r="47029" spans="8:8" x14ac:dyDescent="0.3">
      <c r="H47029" t="str">
        <f t="shared" si="784"/>
        <v/>
      </c>
    </row>
    <row r="47030" spans="8:8" x14ac:dyDescent="0.3">
      <c r="H47030" t="str">
        <f t="shared" si="784"/>
        <v/>
      </c>
    </row>
    <row r="47031" spans="8:8" x14ac:dyDescent="0.3">
      <c r="H47031" t="str">
        <f t="shared" si="784"/>
        <v/>
      </c>
    </row>
    <row r="47032" spans="8:8" x14ac:dyDescent="0.3">
      <c r="H47032" t="str">
        <f t="shared" si="784"/>
        <v/>
      </c>
    </row>
    <row r="47033" spans="8:8" x14ac:dyDescent="0.3">
      <c r="H47033" t="str">
        <f t="shared" si="784"/>
        <v/>
      </c>
    </row>
    <row r="47034" spans="8:8" x14ac:dyDescent="0.3">
      <c r="H47034" t="str">
        <f t="shared" si="784"/>
        <v/>
      </c>
    </row>
    <row r="47035" spans="8:8" x14ac:dyDescent="0.3">
      <c r="H47035" t="str">
        <f t="shared" si="784"/>
        <v/>
      </c>
    </row>
    <row r="47036" spans="8:8" x14ac:dyDescent="0.3">
      <c r="H47036" t="str">
        <f t="shared" si="784"/>
        <v/>
      </c>
    </row>
    <row r="47037" spans="8:8" x14ac:dyDescent="0.3">
      <c r="H47037" t="str">
        <f t="shared" si="784"/>
        <v/>
      </c>
    </row>
    <row r="47038" spans="8:8" x14ac:dyDescent="0.3">
      <c r="H47038" t="str">
        <f t="shared" si="784"/>
        <v/>
      </c>
    </row>
    <row r="47039" spans="8:8" x14ac:dyDescent="0.3">
      <c r="H47039" t="str">
        <f t="shared" si="784"/>
        <v/>
      </c>
    </row>
    <row r="47040" spans="8:8" x14ac:dyDescent="0.3">
      <c r="H47040" t="str">
        <f t="shared" si="784"/>
        <v/>
      </c>
    </row>
    <row r="47041" spans="8:8" x14ac:dyDescent="0.3">
      <c r="H47041" t="str">
        <f t="shared" si="784"/>
        <v/>
      </c>
    </row>
    <row r="47042" spans="8:8" x14ac:dyDescent="0.3">
      <c r="H47042" t="str">
        <f t="shared" si="784"/>
        <v/>
      </c>
    </row>
    <row r="47043" spans="8:8" x14ac:dyDescent="0.3">
      <c r="H47043" t="str">
        <f t="shared" si="784"/>
        <v/>
      </c>
    </row>
    <row r="47044" spans="8:8" x14ac:dyDescent="0.3">
      <c r="H47044" t="str">
        <f t="shared" si="784"/>
        <v/>
      </c>
    </row>
    <row r="47045" spans="8:8" x14ac:dyDescent="0.3">
      <c r="H47045" t="str">
        <f t="shared" si="784"/>
        <v/>
      </c>
    </row>
    <row r="47046" spans="8:8" x14ac:dyDescent="0.3">
      <c r="H47046" t="str">
        <f t="shared" si="784"/>
        <v/>
      </c>
    </row>
    <row r="47047" spans="8:8" x14ac:dyDescent="0.3">
      <c r="H47047" t="str">
        <f t="shared" si="784"/>
        <v/>
      </c>
    </row>
    <row r="47048" spans="8:8" x14ac:dyDescent="0.3">
      <c r="H47048" t="str">
        <f t="shared" si="784"/>
        <v/>
      </c>
    </row>
    <row r="47049" spans="8:8" x14ac:dyDescent="0.3">
      <c r="H47049" t="str">
        <f t="shared" si="784"/>
        <v/>
      </c>
    </row>
    <row r="47050" spans="8:8" x14ac:dyDescent="0.3">
      <c r="H47050" t="str">
        <f t="shared" si="784"/>
        <v/>
      </c>
    </row>
    <row r="47051" spans="8:8" x14ac:dyDescent="0.3">
      <c r="H47051" t="str">
        <f t="shared" si="784"/>
        <v/>
      </c>
    </row>
    <row r="47052" spans="8:8" x14ac:dyDescent="0.3">
      <c r="H47052" t="str">
        <f t="shared" si="784"/>
        <v/>
      </c>
    </row>
    <row r="47053" spans="8:8" x14ac:dyDescent="0.3">
      <c r="H47053" t="str">
        <f t="shared" si="784"/>
        <v/>
      </c>
    </row>
    <row r="47054" spans="8:8" x14ac:dyDescent="0.3">
      <c r="H47054" t="str">
        <f t="shared" si="784"/>
        <v/>
      </c>
    </row>
    <row r="47055" spans="8:8" x14ac:dyDescent="0.3">
      <c r="H47055" t="str">
        <f t="shared" si="784"/>
        <v/>
      </c>
    </row>
    <row r="47056" spans="8:8" x14ac:dyDescent="0.3">
      <c r="H47056" t="str">
        <f t="shared" si="784"/>
        <v/>
      </c>
    </row>
    <row r="47057" spans="8:8" x14ac:dyDescent="0.3">
      <c r="H47057" t="str">
        <f t="shared" si="784"/>
        <v/>
      </c>
    </row>
    <row r="47058" spans="8:8" x14ac:dyDescent="0.3">
      <c r="H47058" t="str">
        <f t="shared" si="784"/>
        <v/>
      </c>
    </row>
    <row r="47059" spans="8:8" x14ac:dyDescent="0.3">
      <c r="H47059" t="str">
        <f t="shared" si="784"/>
        <v/>
      </c>
    </row>
    <row r="47060" spans="8:8" x14ac:dyDescent="0.3">
      <c r="H47060" t="str">
        <f t="shared" si="784"/>
        <v/>
      </c>
    </row>
    <row r="47061" spans="8:8" x14ac:dyDescent="0.3">
      <c r="H47061" t="str">
        <f t="shared" si="784"/>
        <v/>
      </c>
    </row>
    <row r="47062" spans="8:8" x14ac:dyDescent="0.3">
      <c r="H47062" t="str">
        <f t="shared" si="784"/>
        <v/>
      </c>
    </row>
    <row r="47063" spans="8:8" x14ac:dyDescent="0.3">
      <c r="H47063" t="str">
        <f t="shared" ref="H47063:H47126" si="785">IF(B47063="","",$C$12)</f>
        <v/>
      </c>
    </row>
    <row r="47064" spans="8:8" x14ac:dyDescent="0.3">
      <c r="H47064" t="str">
        <f t="shared" si="785"/>
        <v/>
      </c>
    </row>
    <row r="47065" spans="8:8" x14ac:dyDescent="0.3">
      <c r="H47065" t="str">
        <f t="shared" si="785"/>
        <v/>
      </c>
    </row>
    <row r="47066" spans="8:8" x14ac:dyDescent="0.3">
      <c r="H47066" t="str">
        <f t="shared" si="785"/>
        <v/>
      </c>
    </row>
    <row r="47067" spans="8:8" x14ac:dyDescent="0.3">
      <c r="H47067" t="str">
        <f t="shared" si="785"/>
        <v/>
      </c>
    </row>
    <row r="47068" spans="8:8" x14ac:dyDescent="0.3">
      <c r="H47068" t="str">
        <f t="shared" si="785"/>
        <v/>
      </c>
    </row>
    <row r="47069" spans="8:8" x14ac:dyDescent="0.3">
      <c r="H47069" t="str">
        <f t="shared" si="785"/>
        <v/>
      </c>
    </row>
    <row r="47070" spans="8:8" x14ac:dyDescent="0.3">
      <c r="H47070" t="str">
        <f t="shared" si="785"/>
        <v/>
      </c>
    </row>
    <row r="47071" spans="8:8" x14ac:dyDescent="0.3">
      <c r="H47071" t="str">
        <f t="shared" si="785"/>
        <v/>
      </c>
    </row>
    <row r="47072" spans="8:8" x14ac:dyDescent="0.3">
      <c r="H47072" t="str">
        <f t="shared" si="785"/>
        <v/>
      </c>
    </row>
    <row r="47073" spans="8:8" x14ac:dyDescent="0.3">
      <c r="H47073" t="str">
        <f t="shared" si="785"/>
        <v/>
      </c>
    </row>
    <row r="47074" spans="8:8" x14ac:dyDescent="0.3">
      <c r="H47074" t="str">
        <f t="shared" si="785"/>
        <v/>
      </c>
    </row>
    <row r="47075" spans="8:8" x14ac:dyDescent="0.3">
      <c r="H47075" t="str">
        <f t="shared" si="785"/>
        <v/>
      </c>
    </row>
    <row r="47076" spans="8:8" x14ac:dyDescent="0.3">
      <c r="H47076" t="str">
        <f t="shared" si="785"/>
        <v/>
      </c>
    </row>
    <row r="47077" spans="8:8" x14ac:dyDescent="0.3">
      <c r="H47077" t="str">
        <f t="shared" si="785"/>
        <v/>
      </c>
    </row>
    <row r="47078" spans="8:8" x14ac:dyDescent="0.3">
      <c r="H47078" t="str">
        <f t="shared" si="785"/>
        <v/>
      </c>
    </row>
    <row r="47079" spans="8:8" x14ac:dyDescent="0.3">
      <c r="H47079" t="str">
        <f t="shared" si="785"/>
        <v/>
      </c>
    </row>
    <row r="47080" spans="8:8" x14ac:dyDescent="0.3">
      <c r="H47080" t="str">
        <f t="shared" si="785"/>
        <v/>
      </c>
    </row>
    <row r="47081" spans="8:8" x14ac:dyDescent="0.3">
      <c r="H47081" t="str">
        <f t="shared" si="785"/>
        <v/>
      </c>
    </row>
    <row r="47082" spans="8:8" x14ac:dyDescent="0.3">
      <c r="H47082" t="str">
        <f t="shared" si="785"/>
        <v/>
      </c>
    </row>
    <row r="47083" spans="8:8" x14ac:dyDescent="0.3">
      <c r="H47083" t="str">
        <f t="shared" si="785"/>
        <v/>
      </c>
    </row>
    <row r="47084" spans="8:8" x14ac:dyDescent="0.3">
      <c r="H47084" t="str">
        <f t="shared" si="785"/>
        <v/>
      </c>
    </row>
    <row r="47085" spans="8:8" x14ac:dyDescent="0.3">
      <c r="H47085" t="str">
        <f t="shared" si="785"/>
        <v/>
      </c>
    </row>
    <row r="47086" spans="8:8" x14ac:dyDescent="0.3">
      <c r="H47086" t="str">
        <f t="shared" si="785"/>
        <v/>
      </c>
    </row>
    <row r="47087" spans="8:8" x14ac:dyDescent="0.3">
      <c r="H47087" t="str">
        <f t="shared" si="785"/>
        <v/>
      </c>
    </row>
    <row r="47088" spans="8:8" x14ac:dyDescent="0.3">
      <c r="H47088" t="str">
        <f t="shared" si="785"/>
        <v/>
      </c>
    </row>
    <row r="47089" spans="8:8" x14ac:dyDescent="0.3">
      <c r="H47089" t="str">
        <f t="shared" si="785"/>
        <v/>
      </c>
    </row>
    <row r="47090" spans="8:8" x14ac:dyDescent="0.3">
      <c r="H47090" t="str">
        <f t="shared" si="785"/>
        <v/>
      </c>
    </row>
    <row r="47091" spans="8:8" x14ac:dyDescent="0.3">
      <c r="H47091" t="str">
        <f t="shared" si="785"/>
        <v/>
      </c>
    </row>
    <row r="47092" spans="8:8" x14ac:dyDescent="0.3">
      <c r="H47092" t="str">
        <f t="shared" si="785"/>
        <v/>
      </c>
    </row>
    <row r="47093" spans="8:8" x14ac:dyDescent="0.3">
      <c r="H47093" t="str">
        <f t="shared" si="785"/>
        <v/>
      </c>
    </row>
    <row r="47094" spans="8:8" x14ac:dyDescent="0.3">
      <c r="H47094" t="str">
        <f t="shared" si="785"/>
        <v/>
      </c>
    </row>
    <row r="47095" spans="8:8" x14ac:dyDescent="0.3">
      <c r="H47095" t="str">
        <f t="shared" si="785"/>
        <v/>
      </c>
    </row>
    <row r="47096" spans="8:8" x14ac:dyDescent="0.3">
      <c r="H47096" t="str">
        <f t="shared" si="785"/>
        <v/>
      </c>
    </row>
    <row r="47097" spans="8:8" x14ac:dyDescent="0.3">
      <c r="H47097" t="str">
        <f t="shared" si="785"/>
        <v/>
      </c>
    </row>
    <row r="47098" spans="8:8" x14ac:dyDescent="0.3">
      <c r="H47098" t="str">
        <f t="shared" si="785"/>
        <v/>
      </c>
    </row>
    <row r="47099" spans="8:8" x14ac:dyDescent="0.3">
      <c r="H47099" t="str">
        <f t="shared" si="785"/>
        <v/>
      </c>
    </row>
    <row r="47100" spans="8:8" x14ac:dyDescent="0.3">
      <c r="H47100" t="str">
        <f t="shared" si="785"/>
        <v/>
      </c>
    </row>
    <row r="47101" spans="8:8" x14ac:dyDescent="0.3">
      <c r="H47101" t="str">
        <f t="shared" si="785"/>
        <v/>
      </c>
    </row>
    <row r="47102" spans="8:8" x14ac:dyDescent="0.3">
      <c r="H47102" t="str">
        <f t="shared" si="785"/>
        <v/>
      </c>
    </row>
    <row r="47103" spans="8:8" x14ac:dyDescent="0.3">
      <c r="H47103" t="str">
        <f t="shared" si="785"/>
        <v/>
      </c>
    </row>
    <row r="47104" spans="8:8" x14ac:dyDescent="0.3">
      <c r="H47104" t="str">
        <f t="shared" si="785"/>
        <v/>
      </c>
    </row>
    <row r="47105" spans="8:8" x14ac:dyDescent="0.3">
      <c r="H47105" t="str">
        <f t="shared" si="785"/>
        <v/>
      </c>
    </row>
    <row r="47106" spans="8:8" x14ac:dyDescent="0.3">
      <c r="H47106" t="str">
        <f t="shared" si="785"/>
        <v/>
      </c>
    </row>
    <row r="47107" spans="8:8" x14ac:dyDescent="0.3">
      <c r="H47107" t="str">
        <f t="shared" si="785"/>
        <v/>
      </c>
    </row>
    <row r="47108" spans="8:8" x14ac:dyDescent="0.3">
      <c r="H47108" t="str">
        <f t="shared" si="785"/>
        <v/>
      </c>
    </row>
    <row r="47109" spans="8:8" x14ac:dyDescent="0.3">
      <c r="H47109" t="str">
        <f t="shared" si="785"/>
        <v/>
      </c>
    </row>
    <row r="47110" spans="8:8" x14ac:dyDescent="0.3">
      <c r="H47110" t="str">
        <f t="shared" si="785"/>
        <v/>
      </c>
    </row>
    <row r="47111" spans="8:8" x14ac:dyDescent="0.3">
      <c r="H47111" t="str">
        <f t="shared" si="785"/>
        <v/>
      </c>
    </row>
    <row r="47112" spans="8:8" x14ac:dyDescent="0.3">
      <c r="H47112" t="str">
        <f t="shared" si="785"/>
        <v/>
      </c>
    </row>
    <row r="47113" spans="8:8" x14ac:dyDescent="0.3">
      <c r="H47113" t="str">
        <f t="shared" si="785"/>
        <v/>
      </c>
    </row>
    <row r="47114" spans="8:8" x14ac:dyDescent="0.3">
      <c r="H47114" t="str">
        <f t="shared" si="785"/>
        <v/>
      </c>
    </row>
    <row r="47115" spans="8:8" x14ac:dyDescent="0.3">
      <c r="H47115" t="str">
        <f t="shared" si="785"/>
        <v/>
      </c>
    </row>
    <row r="47116" spans="8:8" x14ac:dyDescent="0.3">
      <c r="H47116" t="str">
        <f t="shared" si="785"/>
        <v/>
      </c>
    </row>
    <row r="47117" spans="8:8" x14ac:dyDescent="0.3">
      <c r="H47117" t="str">
        <f t="shared" si="785"/>
        <v/>
      </c>
    </row>
    <row r="47118" spans="8:8" x14ac:dyDescent="0.3">
      <c r="H47118" t="str">
        <f t="shared" si="785"/>
        <v/>
      </c>
    </row>
    <row r="47119" spans="8:8" x14ac:dyDescent="0.3">
      <c r="H47119" t="str">
        <f t="shared" si="785"/>
        <v/>
      </c>
    </row>
    <row r="47120" spans="8:8" x14ac:dyDescent="0.3">
      <c r="H47120" t="str">
        <f t="shared" si="785"/>
        <v/>
      </c>
    </row>
    <row r="47121" spans="8:8" x14ac:dyDescent="0.3">
      <c r="H47121" t="str">
        <f t="shared" si="785"/>
        <v/>
      </c>
    </row>
    <row r="47122" spans="8:8" x14ac:dyDescent="0.3">
      <c r="H47122" t="str">
        <f t="shared" si="785"/>
        <v/>
      </c>
    </row>
    <row r="47123" spans="8:8" x14ac:dyDescent="0.3">
      <c r="H47123" t="str">
        <f t="shared" si="785"/>
        <v/>
      </c>
    </row>
    <row r="47124" spans="8:8" x14ac:dyDescent="0.3">
      <c r="H47124" t="str">
        <f t="shared" si="785"/>
        <v/>
      </c>
    </row>
    <row r="47125" spans="8:8" x14ac:dyDescent="0.3">
      <c r="H47125" t="str">
        <f t="shared" si="785"/>
        <v/>
      </c>
    </row>
    <row r="47126" spans="8:8" x14ac:dyDescent="0.3">
      <c r="H47126" t="str">
        <f t="shared" si="785"/>
        <v/>
      </c>
    </row>
    <row r="47127" spans="8:8" x14ac:dyDescent="0.3">
      <c r="H47127" t="str">
        <f t="shared" ref="H47127:H47190" si="786">IF(B47127="","",$C$12)</f>
        <v/>
      </c>
    </row>
    <row r="47128" spans="8:8" x14ac:dyDescent="0.3">
      <c r="H47128" t="str">
        <f t="shared" si="786"/>
        <v/>
      </c>
    </row>
    <row r="47129" spans="8:8" x14ac:dyDescent="0.3">
      <c r="H47129" t="str">
        <f t="shared" si="786"/>
        <v/>
      </c>
    </row>
    <row r="47130" spans="8:8" x14ac:dyDescent="0.3">
      <c r="H47130" t="str">
        <f t="shared" si="786"/>
        <v/>
      </c>
    </row>
    <row r="47131" spans="8:8" x14ac:dyDescent="0.3">
      <c r="H47131" t="str">
        <f t="shared" si="786"/>
        <v/>
      </c>
    </row>
    <row r="47132" spans="8:8" x14ac:dyDescent="0.3">
      <c r="H47132" t="str">
        <f t="shared" si="786"/>
        <v/>
      </c>
    </row>
    <row r="47133" spans="8:8" x14ac:dyDescent="0.3">
      <c r="H47133" t="str">
        <f t="shared" si="786"/>
        <v/>
      </c>
    </row>
    <row r="47134" spans="8:8" x14ac:dyDescent="0.3">
      <c r="H47134" t="str">
        <f t="shared" si="786"/>
        <v/>
      </c>
    </row>
    <row r="47135" spans="8:8" x14ac:dyDescent="0.3">
      <c r="H47135" t="str">
        <f t="shared" si="786"/>
        <v/>
      </c>
    </row>
    <row r="47136" spans="8:8" x14ac:dyDescent="0.3">
      <c r="H47136" t="str">
        <f t="shared" si="786"/>
        <v/>
      </c>
    </row>
    <row r="47137" spans="8:8" x14ac:dyDescent="0.3">
      <c r="H47137" t="str">
        <f t="shared" si="786"/>
        <v/>
      </c>
    </row>
    <row r="47138" spans="8:8" x14ac:dyDescent="0.3">
      <c r="H47138" t="str">
        <f t="shared" si="786"/>
        <v/>
      </c>
    </row>
    <row r="47139" spans="8:8" x14ac:dyDescent="0.3">
      <c r="H47139" t="str">
        <f t="shared" si="786"/>
        <v/>
      </c>
    </row>
    <row r="47140" spans="8:8" x14ac:dyDescent="0.3">
      <c r="H47140" t="str">
        <f t="shared" si="786"/>
        <v/>
      </c>
    </row>
    <row r="47141" spans="8:8" x14ac:dyDescent="0.3">
      <c r="H47141" t="str">
        <f t="shared" si="786"/>
        <v/>
      </c>
    </row>
    <row r="47142" spans="8:8" x14ac:dyDescent="0.3">
      <c r="H47142" t="str">
        <f t="shared" si="786"/>
        <v/>
      </c>
    </row>
    <row r="47143" spans="8:8" x14ac:dyDescent="0.3">
      <c r="H47143" t="str">
        <f t="shared" si="786"/>
        <v/>
      </c>
    </row>
    <row r="47144" spans="8:8" x14ac:dyDescent="0.3">
      <c r="H47144" t="str">
        <f t="shared" si="786"/>
        <v/>
      </c>
    </row>
    <row r="47145" spans="8:8" x14ac:dyDescent="0.3">
      <c r="H47145" t="str">
        <f t="shared" si="786"/>
        <v/>
      </c>
    </row>
    <row r="47146" spans="8:8" x14ac:dyDescent="0.3">
      <c r="H47146" t="str">
        <f t="shared" si="786"/>
        <v/>
      </c>
    </row>
    <row r="47147" spans="8:8" x14ac:dyDescent="0.3">
      <c r="H47147" t="str">
        <f t="shared" si="786"/>
        <v/>
      </c>
    </row>
    <row r="47148" spans="8:8" x14ac:dyDescent="0.3">
      <c r="H47148" t="str">
        <f t="shared" si="786"/>
        <v/>
      </c>
    </row>
    <row r="47149" spans="8:8" x14ac:dyDescent="0.3">
      <c r="H47149" t="str">
        <f t="shared" si="786"/>
        <v/>
      </c>
    </row>
    <row r="47150" spans="8:8" x14ac:dyDescent="0.3">
      <c r="H47150" t="str">
        <f t="shared" si="786"/>
        <v/>
      </c>
    </row>
    <row r="47151" spans="8:8" x14ac:dyDescent="0.3">
      <c r="H47151" t="str">
        <f t="shared" si="786"/>
        <v/>
      </c>
    </row>
    <row r="47152" spans="8:8" x14ac:dyDescent="0.3">
      <c r="H47152" t="str">
        <f t="shared" si="786"/>
        <v/>
      </c>
    </row>
    <row r="47153" spans="8:8" x14ac:dyDescent="0.3">
      <c r="H47153" t="str">
        <f t="shared" si="786"/>
        <v/>
      </c>
    </row>
    <row r="47154" spans="8:8" x14ac:dyDescent="0.3">
      <c r="H47154" t="str">
        <f t="shared" si="786"/>
        <v/>
      </c>
    </row>
    <row r="47155" spans="8:8" x14ac:dyDescent="0.3">
      <c r="H47155" t="str">
        <f t="shared" si="786"/>
        <v/>
      </c>
    </row>
    <row r="47156" spans="8:8" x14ac:dyDescent="0.3">
      <c r="H47156" t="str">
        <f t="shared" si="786"/>
        <v/>
      </c>
    </row>
    <row r="47157" spans="8:8" x14ac:dyDescent="0.3">
      <c r="H47157" t="str">
        <f t="shared" si="786"/>
        <v/>
      </c>
    </row>
    <row r="47158" spans="8:8" x14ac:dyDescent="0.3">
      <c r="H47158" t="str">
        <f t="shared" si="786"/>
        <v/>
      </c>
    </row>
    <row r="47159" spans="8:8" x14ac:dyDescent="0.3">
      <c r="H47159" t="str">
        <f t="shared" si="786"/>
        <v/>
      </c>
    </row>
    <row r="47160" spans="8:8" x14ac:dyDescent="0.3">
      <c r="H47160" t="str">
        <f t="shared" si="786"/>
        <v/>
      </c>
    </row>
    <row r="47161" spans="8:8" x14ac:dyDescent="0.3">
      <c r="H47161" t="str">
        <f t="shared" si="786"/>
        <v/>
      </c>
    </row>
    <row r="47162" spans="8:8" x14ac:dyDescent="0.3">
      <c r="H47162" t="str">
        <f t="shared" si="786"/>
        <v/>
      </c>
    </row>
    <row r="47163" spans="8:8" x14ac:dyDescent="0.3">
      <c r="H47163" t="str">
        <f t="shared" si="786"/>
        <v/>
      </c>
    </row>
    <row r="47164" spans="8:8" x14ac:dyDescent="0.3">
      <c r="H47164" t="str">
        <f t="shared" si="786"/>
        <v/>
      </c>
    </row>
    <row r="47165" spans="8:8" x14ac:dyDescent="0.3">
      <c r="H47165" t="str">
        <f t="shared" si="786"/>
        <v/>
      </c>
    </row>
    <row r="47166" spans="8:8" x14ac:dyDescent="0.3">
      <c r="H47166" t="str">
        <f t="shared" si="786"/>
        <v/>
      </c>
    </row>
    <row r="47167" spans="8:8" x14ac:dyDescent="0.3">
      <c r="H47167" t="str">
        <f t="shared" si="786"/>
        <v/>
      </c>
    </row>
    <row r="47168" spans="8:8" x14ac:dyDescent="0.3">
      <c r="H47168" t="str">
        <f t="shared" si="786"/>
        <v/>
      </c>
    </row>
    <row r="47169" spans="8:8" x14ac:dyDescent="0.3">
      <c r="H47169" t="str">
        <f t="shared" si="786"/>
        <v/>
      </c>
    </row>
    <row r="47170" spans="8:8" x14ac:dyDescent="0.3">
      <c r="H47170" t="str">
        <f t="shared" si="786"/>
        <v/>
      </c>
    </row>
    <row r="47171" spans="8:8" x14ac:dyDescent="0.3">
      <c r="H47171" t="str">
        <f t="shared" si="786"/>
        <v/>
      </c>
    </row>
    <row r="47172" spans="8:8" x14ac:dyDescent="0.3">
      <c r="H47172" t="str">
        <f t="shared" si="786"/>
        <v/>
      </c>
    </row>
    <row r="47173" spans="8:8" x14ac:dyDescent="0.3">
      <c r="H47173" t="str">
        <f t="shared" si="786"/>
        <v/>
      </c>
    </row>
    <row r="47174" spans="8:8" x14ac:dyDescent="0.3">
      <c r="H47174" t="str">
        <f t="shared" si="786"/>
        <v/>
      </c>
    </row>
    <row r="47175" spans="8:8" x14ac:dyDescent="0.3">
      <c r="H47175" t="str">
        <f t="shared" si="786"/>
        <v/>
      </c>
    </row>
    <row r="47176" spans="8:8" x14ac:dyDescent="0.3">
      <c r="H47176" t="str">
        <f t="shared" si="786"/>
        <v/>
      </c>
    </row>
    <row r="47177" spans="8:8" x14ac:dyDescent="0.3">
      <c r="H47177" t="str">
        <f t="shared" si="786"/>
        <v/>
      </c>
    </row>
    <row r="47178" spans="8:8" x14ac:dyDescent="0.3">
      <c r="H47178" t="str">
        <f t="shared" si="786"/>
        <v/>
      </c>
    </row>
    <row r="47179" spans="8:8" x14ac:dyDescent="0.3">
      <c r="H47179" t="str">
        <f t="shared" si="786"/>
        <v/>
      </c>
    </row>
    <row r="47180" spans="8:8" x14ac:dyDescent="0.3">
      <c r="H47180" t="str">
        <f t="shared" si="786"/>
        <v/>
      </c>
    </row>
    <row r="47181" spans="8:8" x14ac:dyDescent="0.3">
      <c r="H47181" t="str">
        <f t="shared" si="786"/>
        <v/>
      </c>
    </row>
    <row r="47182" spans="8:8" x14ac:dyDescent="0.3">
      <c r="H47182" t="str">
        <f t="shared" si="786"/>
        <v/>
      </c>
    </row>
    <row r="47183" spans="8:8" x14ac:dyDescent="0.3">
      <c r="H47183" t="str">
        <f t="shared" si="786"/>
        <v/>
      </c>
    </row>
    <row r="47184" spans="8:8" x14ac:dyDescent="0.3">
      <c r="H47184" t="str">
        <f t="shared" si="786"/>
        <v/>
      </c>
    </row>
    <row r="47185" spans="8:8" x14ac:dyDescent="0.3">
      <c r="H47185" t="str">
        <f t="shared" si="786"/>
        <v/>
      </c>
    </row>
    <row r="47186" spans="8:8" x14ac:dyDescent="0.3">
      <c r="H47186" t="str">
        <f t="shared" si="786"/>
        <v/>
      </c>
    </row>
    <row r="47187" spans="8:8" x14ac:dyDescent="0.3">
      <c r="H47187" t="str">
        <f t="shared" si="786"/>
        <v/>
      </c>
    </row>
    <row r="47188" spans="8:8" x14ac:dyDescent="0.3">
      <c r="H47188" t="str">
        <f t="shared" si="786"/>
        <v/>
      </c>
    </row>
    <row r="47189" spans="8:8" x14ac:dyDescent="0.3">
      <c r="H47189" t="str">
        <f t="shared" si="786"/>
        <v/>
      </c>
    </row>
    <row r="47190" spans="8:8" x14ac:dyDescent="0.3">
      <c r="H47190" t="str">
        <f t="shared" si="786"/>
        <v/>
      </c>
    </row>
    <row r="47191" spans="8:8" x14ac:dyDescent="0.3">
      <c r="H47191" t="str">
        <f t="shared" ref="H47191:H47254" si="787">IF(B47191="","",$C$12)</f>
        <v/>
      </c>
    </row>
    <row r="47192" spans="8:8" x14ac:dyDescent="0.3">
      <c r="H47192" t="str">
        <f t="shared" si="787"/>
        <v/>
      </c>
    </row>
    <row r="47193" spans="8:8" x14ac:dyDescent="0.3">
      <c r="H47193" t="str">
        <f t="shared" si="787"/>
        <v/>
      </c>
    </row>
    <row r="47194" spans="8:8" x14ac:dyDescent="0.3">
      <c r="H47194" t="str">
        <f t="shared" si="787"/>
        <v/>
      </c>
    </row>
    <row r="47195" spans="8:8" x14ac:dyDescent="0.3">
      <c r="H47195" t="str">
        <f t="shared" si="787"/>
        <v/>
      </c>
    </row>
    <row r="47196" spans="8:8" x14ac:dyDescent="0.3">
      <c r="H47196" t="str">
        <f t="shared" si="787"/>
        <v/>
      </c>
    </row>
    <row r="47197" spans="8:8" x14ac:dyDescent="0.3">
      <c r="H47197" t="str">
        <f t="shared" si="787"/>
        <v/>
      </c>
    </row>
    <row r="47198" spans="8:8" x14ac:dyDescent="0.3">
      <c r="H47198" t="str">
        <f t="shared" si="787"/>
        <v/>
      </c>
    </row>
    <row r="47199" spans="8:8" x14ac:dyDescent="0.3">
      <c r="H47199" t="str">
        <f t="shared" si="787"/>
        <v/>
      </c>
    </row>
    <row r="47200" spans="8:8" x14ac:dyDescent="0.3">
      <c r="H47200" t="str">
        <f t="shared" si="787"/>
        <v/>
      </c>
    </row>
    <row r="47201" spans="8:8" x14ac:dyDescent="0.3">
      <c r="H47201" t="str">
        <f t="shared" si="787"/>
        <v/>
      </c>
    </row>
    <row r="47202" spans="8:8" x14ac:dyDescent="0.3">
      <c r="H47202" t="str">
        <f t="shared" si="787"/>
        <v/>
      </c>
    </row>
    <row r="47203" spans="8:8" x14ac:dyDescent="0.3">
      <c r="H47203" t="str">
        <f t="shared" si="787"/>
        <v/>
      </c>
    </row>
    <row r="47204" spans="8:8" x14ac:dyDescent="0.3">
      <c r="H47204" t="str">
        <f t="shared" si="787"/>
        <v/>
      </c>
    </row>
    <row r="47205" spans="8:8" x14ac:dyDescent="0.3">
      <c r="H47205" t="str">
        <f t="shared" si="787"/>
        <v/>
      </c>
    </row>
    <row r="47206" spans="8:8" x14ac:dyDescent="0.3">
      <c r="H47206" t="str">
        <f t="shared" si="787"/>
        <v/>
      </c>
    </row>
    <row r="47207" spans="8:8" x14ac:dyDescent="0.3">
      <c r="H47207" t="str">
        <f t="shared" si="787"/>
        <v/>
      </c>
    </row>
    <row r="47208" spans="8:8" x14ac:dyDescent="0.3">
      <c r="H47208" t="str">
        <f t="shared" si="787"/>
        <v/>
      </c>
    </row>
    <row r="47209" spans="8:8" x14ac:dyDescent="0.3">
      <c r="H47209" t="str">
        <f t="shared" si="787"/>
        <v/>
      </c>
    </row>
    <row r="47210" spans="8:8" x14ac:dyDescent="0.3">
      <c r="H47210" t="str">
        <f t="shared" si="787"/>
        <v/>
      </c>
    </row>
    <row r="47211" spans="8:8" x14ac:dyDescent="0.3">
      <c r="H47211" t="str">
        <f t="shared" si="787"/>
        <v/>
      </c>
    </row>
    <row r="47212" spans="8:8" x14ac:dyDescent="0.3">
      <c r="H47212" t="str">
        <f t="shared" si="787"/>
        <v/>
      </c>
    </row>
    <row r="47213" spans="8:8" x14ac:dyDescent="0.3">
      <c r="H47213" t="str">
        <f t="shared" si="787"/>
        <v/>
      </c>
    </row>
    <row r="47214" spans="8:8" x14ac:dyDescent="0.3">
      <c r="H47214" t="str">
        <f t="shared" si="787"/>
        <v/>
      </c>
    </row>
    <row r="47215" spans="8:8" x14ac:dyDescent="0.3">
      <c r="H47215" t="str">
        <f t="shared" si="787"/>
        <v/>
      </c>
    </row>
    <row r="47216" spans="8:8" x14ac:dyDescent="0.3">
      <c r="H47216" t="str">
        <f t="shared" si="787"/>
        <v/>
      </c>
    </row>
    <row r="47217" spans="8:8" x14ac:dyDescent="0.3">
      <c r="H47217" t="str">
        <f t="shared" si="787"/>
        <v/>
      </c>
    </row>
    <row r="47218" spans="8:8" x14ac:dyDescent="0.3">
      <c r="H47218" t="str">
        <f t="shared" si="787"/>
        <v/>
      </c>
    </row>
    <row r="47219" spans="8:8" x14ac:dyDescent="0.3">
      <c r="H47219" t="str">
        <f t="shared" si="787"/>
        <v/>
      </c>
    </row>
    <row r="47220" spans="8:8" x14ac:dyDescent="0.3">
      <c r="H47220" t="str">
        <f t="shared" si="787"/>
        <v/>
      </c>
    </row>
    <row r="47221" spans="8:8" x14ac:dyDescent="0.3">
      <c r="H47221" t="str">
        <f t="shared" si="787"/>
        <v/>
      </c>
    </row>
    <row r="47222" spans="8:8" x14ac:dyDescent="0.3">
      <c r="H47222" t="str">
        <f t="shared" si="787"/>
        <v/>
      </c>
    </row>
    <row r="47223" spans="8:8" x14ac:dyDescent="0.3">
      <c r="H47223" t="str">
        <f t="shared" si="787"/>
        <v/>
      </c>
    </row>
    <row r="47224" spans="8:8" x14ac:dyDescent="0.3">
      <c r="H47224" t="str">
        <f t="shared" si="787"/>
        <v/>
      </c>
    </row>
    <row r="47225" spans="8:8" x14ac:dyDescent="0.3">
      <c r="H47225" t="str">
        <f t="shared" si="787"/>
        <v/>
      </c>
    </row>
    <row r="47226" spans="8:8" x14ac:dyDescent="0.3">
      <c r="H47226" t="str">
        <f t="shared" si="787"/>
        <v/>
      </c>
    </row>
    <row r="47227" spans="8:8" x14ac:dyDescent="0.3">
      <c r="H47227" t="str">
        <f t="shared" si="787"/>
        <v/>
      </c>
    </row>
    <row r="47228" spans="8:8" x14ac:dyDescent="0.3">
      <c r="H47228" t="str">
        <f t="shared" si="787"/>
        <v/>
      </c>
    </row>
    <row r="47229" spans="8:8" x14ac:dyDescent="0.3">
      <c r="H47229" t="str">
        <f t="shared" si="787"/>
        <v/>
      </c>
    </row>
    <row r="47230" spans="8:8" x14ac:dyDescent="0.3">
      <c r="H47230" t="str">
        <f t="shared" si="787"/>
        <v/>
      </c>
    </row>
    <row r="47231" spans="8:8" x14ac:dyDescent="0.3">
      <c r="H47231" t="str">
        <f t="shared" si="787"/>
        <v/>
      </c>
    </row>
    <row r="47232" spans="8:8" x14ac:dyDescent="0.3">
      <c r="H47232" t="str">
        <f t="shared" si="787"/>
        <v/>
      </c>
    </row>
    <row r="47233" spans="8:8" x14ac:dyDescent="0.3">
      <c r="H47233" t="str">
        <f t="shared" si="787"/>
        <v/>
      </c>
    </row>
    <row r="47234" spans="8:8" x14ac:dyDescent="0.3">
      <c r="H47234" t="str">
        <f t="shared" si="787"/>
        <v/>
      </c>
    </row>
    <row r="47235" spans="8:8" x14ac:dyDescent="0.3">
      <c r="H47235" t="str">
        <f t="shared" si="787"/>
        <v/>
      </c>
    </row>
    <row r="47236" spans="8:8" x14ac:dyDescent="0.3">
      <c r="H47236" t="str">
        <f t="shared" si="787"/>
        <v/>
      </c>
    </row>
    <row r="47237" spans="8:8" x14ac:dyDescent="0.3">
      <c r="H47237" t="str">
        <f t="shared" si="787"/>
        <v/>
      </c>
    </row>
    <row r="47238" spans="8:8" x14ac:dyDescent="0.3">
      <c r="H47238" t="str">
        <f t="shared" si="787"/>
        <v/>
      </c>
    </row>
    <row r="47239" spans="8:8" x14ac:dyDescent="0.3">
      <c r="H47239" t="str">
        <f t="shared" si="787"/>
        <v/>
      </c>
    </row>
    <row r="47240" spans="8:8" x14ac:dyDescent="0.3">
      <c r="H47240" t="str">
        <f t="shared" si="787"/>
        <v/>
      </c>
    </row>
    <row r="47241" spans="8:8" x14ac:dyDescent="0.3">
      <c r="H47241" t="str">
        <f t="shared" si="787"/>
        <v/>
      </c>
    </row>
    <row r="47242" spans="8:8" x14ac:dyDescent="0.3">
      <c r="H47242" t="str">
        <f t="shared" si="787"/>
        <v/>
      </c>
    </row>
    <row r="47243" spans="8:8" x14ac:dyDescent="0.3">
      <c r="H47243" t="str">
        <f t="shared" si="787"/>
        <v/>
      </c>
    </row>
    <row r="47244" spans="8:8" x14ac:dyDescent="0.3">
      <c r="H47244" t="str">
        <f t="shared" si="787"/>
        <v/>
      </c>
    </row>
    <row r="47245" spans="8:8" x14ac:dyDescent="0.3">
      <c r="H47245" t="str">
        <f t="shared" si="787"/>
        <v/>
      </c>
    </row>
    <row r="47246" spans="8:8" x14ac:dyDescent="0.3">
      <c r="H47246" t="str">
        <f t="shared" si="787"/>
        <v/>
      </c>
    </row>
    <row r="47247" spans="8:8" x14ac:dyDescent="0.3">
      <c r="H47247" t="str">
        <f t="shared" si="787"/>
        <v/>
      </c>
    </row>
    <row r="47248" spans="8:8" x14ac:dyDescent="0.3">
      <c r="H47248" t="str">
        <f t="shared" si="787"/>
        <v/>
      </c>
    </row>
    <row r="47249" spans="8:8" x14ac:dyDescent="0.3">
      <c r="H47249" t="str">
        <f t="shared" si="787"/>
        <v/>
      </c>
    </row>
    <row r="47250" spans="8:8" x14ac:dyDescent="0.3">
      <c r="H47250" t="str">
        <f t="shared" si="787"/>
        <v/>
      </c>
    </row>
    <row r="47251" spans="8:8" x14ac:dyDescent="0.3">
      <c r="H47251" t="str">
        <f t="shared" si="787"/>
        <v/>
      </c>
    </row>
    <row r="47252" spans="8:8" x14ac:dyDescent="0.3">
      <c r="H47252" t="str">
        <f t="shared" si="787"/>
        <v/>
      </c>
    </row>
    <row r="47253" spans="8:8" x14ac:dyDescent="0.3">
      <c r="H47253" t="str">
        <f t="shared" si="787"/>
        <v/>
      </c>
    </row>
    <row r="47254" spans="8:8" x14ac:dyDescent="0.3">
      <c r="H47254" t="str">
        <f t="shared" si="787"/>
        <v/>
      </c>
    </row>
    <row r="47255" spans="8:8" x14ac:dyDescent="0.3">
      <c r="H47255" t="str">
        <f t="shared" ref="H47255:H47318" si="788">IF(B47255="","",$C$12)</f>
        <v/>
      </c>
    </row>
    <row r="47256" spans="8:8" x14ac:dyDescent="0.3">
      <c r="H47256" t="str">
        <f t="shared" si="788"/>
        <v/>
      </c>
    </row>
    <row r="47257" spans="8:8" x14ac:dyDescent="0.3">
      <c r="H47257" t="str">
        <f t="shared" si="788"/>
        <v/>
      </c>
    </row>
    <row r="47258" spans="8:8" x14ac:dyDescent="0.3">
      <c r="H47258" t="str">
        <f t="shared" si="788"/>
        <v/>
      </c>
    </row>
    <row r="47259" spans="8:8" x14ac:dyDescent="0.3">
      <c r="H47259" t="str">
        <f t="shared" si="788"/>
        <v/>
      </c>
    </row>
    <row r="47260" spans="8:8" x14ac:dyDescent="0.3">
      <c r="H47260" t="str">
        <f t="shared" si="788"/>
        <v/>
      </c>
    </row>
    <row r="47261" spans="8:8" x14ac:dyDescent="0.3">
      <c r="H47261" t="str">
        <f t="shared" si="788"/>
        <v/>
      </c>
    </row>
    <row r="47262" spans="8:8" x14ac:dyDescent="0.3">
      <c r="H47262" t="str">
        <f t="shared" si="788"/>
        <v/>
      </c>
    </row>
    <row r="47263" spans="8:8" x14ac:dyDescent="0.3">
      <c r="H47263" t="str">
        <f t="shared" si="788"/>
        <v/>
      </c>
    </row>
    <row r="47264" spans="8:8" x14ac:dyDescent="0.3">
      <c r="H47264" t="str">
        <f t="shared" si="788"/>
        <v/>
      </c>
    </row>
    <row r="47265" spans="8:8" x14ac:dyDescent="0.3">
      <c r="H47265" t="str">
        <f t="shared" si="788"/>
        <v/>
      </c>
    </row>
    <row r="47266" spans="8:8" x14ac:dyDescent="0.3">
      <c r="H47266" t="str">
        <f t="shared" si="788"/>
        <v/>
      </c>
    </row>
    <row r="47267" spans="8:8" x14ac:dyDescent="0.3">
      <c r="H47267" t="str">
        <f t="shared" si="788"/>
        <v/>
      </c>
    </row>
    <row r="47268" spans="8:8" x14ac:dyDescent="0.3">
      <c r="H47268" t="str">
        <f t="shared" si="788"/>
        <v/>
      </c>
    </row>
    <row r="47269" spans="8:8" x14ac:dyDescent="0.3">
      <c r="H47269" t="str">
        <f t="shared" si="788"/>
        <v/>
      </c>
    </row>
    <row r="47270" spans="8:8" x14ac:dyDescent="0.3">
      <c r="H47270" t="str">
        <f t="shared" si="788"/>
        <v/>
      </c>
    </row>
    <row r="47271" spans="8:8" x14ac:dyDescent="0.3">
      <c r="H47271" t="str">
        <f t="shared" si="788"/>
        <v/>
      </c>
    </row>
    <row r="47272" spans="8:8" x14ac:dyDescent="0.3">
      <c r="H47272" t="str">
        <f t="shared" si="788"/>
        <v/>
      </c>
    </row>
    <row r="47273" spans="8:8" x14ac:dyDescent="0.3">
      <c r="H47273" t="str">
        <f t="shared" si="788"/>
        <v/>
      </c>
    </row>
    <row r="47274" spans="8:8" x14ac:dyDescent="0.3">
      <c r="H47274" t="str">
        <f t="shared" si="788"/>
        <v/>
      </c>
    </row>
    <row r="47275" spans="8:8" x14ac:dyDescent="0.3">
      <c r="H47275" t="str">
        <f t="shared" si="788"/>
        <v/>
      </c>
    </row>
    <row r="47276" spans="8:8" x14ac:dyDescent="0.3">
      <c r="H47276" t="str">
        <f t="shared" si="788"/>
        <v/>
      </c>
    </row>
    <row r="47277" spans="8:8" x14ac:dyDescent="0.3">
      <c r="H47277" t="str">
        <f t="shared" si="788"/>
        <v/>
      </c>
    </row>
    <row r="47278" spans="8:8" x14ac:dyDescent="0.3">
      <c r="H47278" t="str">
        <f t="shared" si="788"/>
        <v/>
      </c>
    </row>
    <row r="47279" spans="8:8" x14ac:dyDescent="0.3">
      <c r="H47279" t="str">
        <f t="shared" si="788"/>
        <v/>
      </c>
    </row>
    <row r="47280" spans="8:8" x14ac:dyDescent="0.3">
      <c r="H47280" t="str">
        <f t="shared" si="788"/>
        <v/>
      </c>
    </row>
    <row r="47281" spans="8:8" x14ac:dyDescent="0.3">
      <c r="H47281" t="str">
        <f t="shared" si="788"/>
        <v/>
      </c>
    </row>
    <row r="47282" spans="8:8" x14ac:dyDescent="0.3">
      <c r="H47282" t="str">
        <f t="shared" si="788"/>
        <v/>
      </c>
    </row>
    <row r="47283" spans="8:8" x14ac:dyDescent="0.3">
      <c r="H47283" t="str">
        <f t="shared" si="788"/>
        <v/>
      </c>
    </row>
    <row r="47284" spans="8:8" x14ac:dyDescent="0.3">
      <c r="H47284" t="str">
        <f t="shared" si="788"/>
        <v/>
      </c>
    </row>
    <row r="47285" spans="8:8" x14ac:dyDescent="0.3">
      <c r="H47285" t="str">
        <f t="shared" si="788"/>
        <v/>
      </c>
    </row>
    <row r="47286" spans="8:8" x14ac:dyDescent="0.3">
      <c r="H47286" t="str">
        <f t="shared" si="788"/>
        <v/>
      </c>
    </row>
    <row r="47287" spans="8:8" x14ac:dyDescent="0.3">
      <c r="H47287" t="str">
        <f t="shared" si="788"/>
        <v/>
      </c>
    </row>
    <row r="47288" spans="8:8" x14ac:dyDescent="0.3">
      <c r="H47288" t="str">
        <f t="shared" si="788"/>
        <v/>
      </c>
    </row>
    <row r="47289" spans="8:8" x14ac:dyDescent="0.3">
      <c r="H47289" t="str">
        <f t="shared" si="788"/>
        <v/>
      </c>
    </row>
    <row r="47290" spans="8:8" x14ac:dyDescent="0.3">
      <c r="H47290" t="str">
        <f t="shared" si="788"/>
        <v/>
      </c>
    </row>
    <row r="47291" spans="8:8" x14ac:dyDescent="0.3">
      <c r="H47291" t="str">
        <f t="shared" si="788"/>
        <v/>
      </c>
    </row>
    <row r="47292" spans="8:8" x14ac:dyDescent="0.3">
      <c r="H47292" t="str">
        <f t="shared" si="788"/>
        <v/>
      </c>
    </row>
    <row r="47293" spans="8:8" x14ac:dyDescent="0.3">
      <c r="H47293" t="str">
        <f t="shared" si="788"/>
        <v/>
      </c>
    </row>
    <row r="47294" spans="8:8" x14ac:dyDescent="0.3">
      <c r="H47294" t="str">
        <f t="shared" si="788"/>
        <v/>
      </c>
    </row>
    <row r="47295" spans="8:8" x14ac:dyDescent="0.3">
      <c r="H47295" t="str">
        <f t="shared" si="788"/>
        <v/>
      </c>
    </row>
    <row r="47296" spans="8:8" x14ac:dyDescent="0.3">
      <c r="H47296" t="str">
        <f t="shared" si="788"/>
        <v/>
      </c>
    </row>
    <row r="47297" spans="8:8" x14ac:dyDescent="0.3">
      <c r="H47297" t="str">
        <f t="shared" si="788"/>
        <v/>
      </c>
    </row>
    <row r="47298" spans="8:8" x14ac:dyDescent="0.3">
      <c r="H47298" t="str">
        <f t="shared" si="788"/>
        <v/>
      </c>
    </row>
    <row r="47299" spans="8:8" x14ac:dyDescent="0.3">
      <c r="H47299" t="str">
        <f t="shared" si="788"/>
        <v/>
      </c>
    </row>
    <row r="47300" spans="8:8" x14ac:dyDescent="0.3">
      <c r="H47300" t="str">
        <f t="shared" si="788"/>
        <v/>
      </c>
    </row>
    <row r="47301" spans="8:8" x14ac:dyDescent="0.3">
      <c r="H47301" t="str">
        <f t="shared" si="788"/>
        <v/>
      </c>
    </row>
    <row r="47302" spans="8:8" x14ac:dyDescent="0.3">
      <c r="H47302" t="str">
        <f t="shared" si="788"/>
        <v/>
      </c>
    </row>
    <row r="47303" spans="8:8" x14ac:dyDescent="0.3">
      <c r="H47303" t="str">
        <f t="shared" si="788"/>
        <v/>
      </c>
    </row>
    <row r="47304" spans="8:8" x14ac:dyDescent="0.3">
      <c r="H47304" t="str">
        <f t="shared" si="788"/>
        <v/>
      </c>
    </row>
    <row r="47305" spans="8:8" x14ac:dyDescent="0.3">
      <c r="H47305" t="str">
        <f t="shared" si="788"/>
        <v/>
      </c>
    </row>
    <row r="47306" spans="8:8" x14ac:dyDescent="0.3">
      <c r="H47306" t="str">
        <f t="shared" si="788"/>
        <v/>
      </c>
    </row>
    <row r="47307" spans="8:8" x14ac:dyDescent="0.3">
      <c r="H47307" t="str">
        <f t="shared" si="788"/>
        <v/>
      </c>
    </row>
    <row r="47308" spans="8:8" x14ac:dyDescent="0.3">
      <c r="H47308" t="str">
        <f t="shared" si="788"/>
        <v/>
      </c>
    </row>
    <row r="47309" spans="8:8" x14ac:dyDescent="0.3">
      <c r="H47309" t="str">
        <f t="shared" si="788"/>
        <v/>
      </c>
    </row>
    <row r="47310" spans="8:8" x14ac:dyDescent="0.3">
      <c r="H47310" t="str">
        <f t="shared" si="788"/>
        <v/>
      </c>
    </row>
    <row r="47311" spans="8:8" x14ac:dyDescent="0.3">
      <c r="H47311" t="str">
        <f t="shared" si="788"/>
        <v/>
      </c>
    </row>
    <row r="47312" spans="8:8" x14ac:dyDescent="0.3">
      <c r="H47312" t="str">
        <f t="shared" si="788"/>
        <v/>
      </c>
    </row>
    <row r="47313" spans="8:8" x14ac:dyDescent="0.3">
      <c r="H47313" t="str">
        <f t="shared" si="788"/>
        <v/>
      </c>
    </row>
    <row r="47314" spans="8:8" x14ac:dyDescent="0.3">
      <c r="H47314" t="str">
        <f t="shared" si="788"/>
        <v/>
      </c>
    </row>
    <row r="47315" spans="8:8" x14ac:dyDescent="0.3">
      <c r="H47315" t="str">
        <f t="shared" si="788"/>
        <v/>
      </c>
    </row>
    <row r="47316" spans="8:8" x14ac:dyDescent="0.3">
      <c r="H47316" t="str">
        <f t="shared" si="788"/>
        <v/>
      </c>
    </row>
    <row r="47317" spans="8:8" x14ac:dyDescent="0.3">
      <c r="H47317" t="str">
        <f t="shared" si="788"/>
        <v/>
      </c>
    </row>
    <row r="47318" spans="8:8" x14ac:dyDescent="0.3">
      <c r="H47318" t="str">
        <f t="shared" si="788"/>
        <v/>
      </c>
    </row>
    <row r="47319" spans="8:8" x14ac:dyDescent="0.3">
      <c r="H47319" t="str">
        <f t="shared" ref="H47319:H47382" si="789">IF(B47319="","",$C$12)</f>
        <v/>
      </c>
    </row>
    <row r="47320" spans="8:8" x14ac:dyDescent="0.3">
      <c r="H47320" t="str">
        <f t="shared" si="789"/>
        <v/>
      </c>
    </row>
    <row r="47321" spans="8:8" x14ac:dyDescent="0.3">
      <c r="H47321" t="str">
        <f t="shared" si="789"/>
        <v/>
      </c>
    </row>
    <row r="47322" spans="8:8" x14ac:dyDescent="0.3">
      <c r="H47322" t="str">
        <f t="shared" si="789"/>
        <v/>
      </c>
    </row>
    <row r="47323" spans="8:8" x14ac:dyDescent="0.3">
      <c r="H47323" t="str">
        <f t="shared" si="789"/>
        <v/>
      </c>
    </row>
    <row r="47324" spans="8:8" x14ac:dyDescent="0.3">
      <c r="H47324" t="str">
        <f t="shared" si="789"/>
        <v/>
      </c>
    </row>
    <row r="47325" spans="8:8" x14ac:dyDescent="0.3">
      <c r="H47325" t="str">
        <f t="shared" si="789"/>
        <v/>
      </c>
    </row>
    <row r="47326" spans="8:8" x14ac:dyDescent="0.3">
      <c r="H47326" t="str">
        <f t="shared" si="789"/>
        <v/>
      </c>
    </row>
    <row r="47327" spans="8:8" x14ac:dyDescent="0.3">
      <c r="H47327" t="str">
        <f t="shared" si="789"/>
        <v/>
      </c>
    </row>
    <row r="47328" spans="8:8" x14ac:dyDescent="0.3">
      <c r="H47328" t="str">
        <f t="shared" si="789"/>
        <v/>
      </c>
    </row>
    <row r="47329" spans="8:8" x14ac:dyDescent="0.3">
      <c r="H47329" t="str">
        <f t="shared" si="789"/>
        <v/>
      </c>
    </row>
    <row r="47330" spans="8:8" x14ac:dyDescent="0.3">
      <c r="H47330" t="str">
        <f t="shared" si="789"/>
        <v/>
      </c>
    </row>
    <row r="47331" spans="8:8" x14ac:dyDescent="0.3">
      <c r="H47331" t="str">
        <f t="shared" si="789"/>
        <v/>
      </c>
    </row>
    <row r="47332" spans="8:8" x14ac:dyDescent="0.3">
      <c r="H47332" t="str">
        <f t="shared" si="789"/>
        <v/>
      </c>
    </row>
    <row r="47333" spans="8:8" x14ac:dyDescent="0.3">
      <c r="H47333" t="str">
        <f t="shared" si="789"/>
        <v/>
      </c>
    </row>
    <row r="47334" spans="8:8" x14ac:dyDescent="0.3">
      <c r="H47334" t="str">
        <f t="shared" si="789"/>
        <v/>
      </c>
    </row>
    <row r="47335" spans="8:8" x14ac:dyDescent="0.3">
      <c r="H47335" t="str">
        <f t="shared" si="789"/>
        <v/>
      </c>
    </row>
    <row r="47336" spans="8:8" x14ac:dyDescent="0.3">
      <c r="H47336" t="str">
        <f t="shared" si="789"/>
        <v/>
      </c>
    </row>
    <row r="47337" spans="8:8" x14ac:dyDescent="0.3">
      <c r="H47337" t="str">
        <f t="shared" si="789"/>
        <v/>
      </c>
    </row>
    <row r="47338" spans="8:8" x14ac:dyDescent="0.3">
      <c r="H47338" t="str">
        <f t="shared" si="789"/>
        <v/>
      </c>
    </row>
    <row r="47339" spans="8:8" x14ac:dyDescent="0.3">
      <c r="H47339" t="str">
        <f t="shared" si="789"/>
        <v/>
      </c>
    </row>
    <row r="47340" spans="8:8" x14ac:dyDescent="0.3">
      <c r="H47340" t="str">
        <f t="shared" si="789"/>
        <v/>
      </c>
    </row>
    <row r="47341" spans="8:8" x14ac:dyDescent="0.3">
      <c r="H47341" t="str">
        <f t="shared" si="789"/>
        <v/>
      </c>
    </row>
    <row r="47342" spans="8:8" x14ac:dyDescent="0.3">
      <c r="H47342" t="str">
        <f t="shared" si="789"/>
        <v/>
      </c>
    </row>
    <row r="47343" spans="8:8" x14ac:dyDescent="0.3">
      <c r="H47343" t="str">
        <f t="shared" si="789"/>
        <v/>
      </c>
    </row>
    <row r="47344" spans="8:8" x14ac:dyDescent="0.3">
      <c r="H47344" t="str">
        <f t="shared" si="789"/>
        <v/>
      </c>
    </row>
    <row r="47345" spans="8:8" x14ac:dyDescent="0.3">
      <c r="H47345" t="str">
        <f t="shared" si="789"/>
        <v/>
      </c>
    </row>
    <row r="47346" spans="8:8" x14ac:dyDescent="0.3">
      <c r="H47346" t="str">
        <f t="shared" si="789"/>
        <v/>
      </c>
    </row>
    <row r="47347" spans="8:8" x14ac:dyDescent="0.3">
      <c r="H47347" t="str">
        <f t="shared" si="789"/>
        <v/>
      </c>
    </row>
    <row r="47348" spans="8:8" x14ac:dyDescent="0.3">
      <c r="H47348" t="str">
        <f t="shared" si="789"/>
        <v/>
      </c>
    </row>
    <row r="47349" spans="8:8" x14ac:dyDescent="0.3">
      <c r="H47349" t="str">
        <f t="shared" si="789"/>
        <v/>
      </c>
    </row>
    <row r="47350" spans="8:8" x14ac:dyDescent="0.3">
      <c r="H47350" t="str">
        <f t="shared" si="789"/>
        <v/>
      </c>
    </row>
    <row r="47351" spans="8:8" x14ac:dyDescent="0.3">
      <c r="H47351" t="str">
        <f t="shared" si="789"/>
        <v/>
      </c>
    </row>
    <row r="47352" spans="8:8" x14ac:dyDescent="0.3">
      <c r="H47352" t="str">
        <f t="shared" si="789"/>
        <v/>
      </c>
    </row>
    <row r="47353" spans="8:8" x14ac:dyDescent="0.3">
      <c r="H47353" t="str">
        <f t="shared" si="789"/>
        <v/>
      </c>
    </row>
    <row r="47354" spans="8:8" x14ac:dyDescent="0.3">
      <c r="H47354" t="str">
        <f t="shared" si="789"/>
        <v/>
      </c>
    </row>
    <row r="47355" spans="8:8" x14ac:dyDescent="0.3">
      <c r="H47355" t="str">
        <f t="shared" si="789"/>
        <v/>
      </c>
    </row>
    <row r="47356" spans="8:8" x14ac:dyDescent="0.3">
      <c r="H47356" t="str">
        <f t="shared" si="789"/>
        <v/>
      </c>
    </row>
    <row r="47357" spans="8:8" x14ac:dyDescent="0.3">
      <c r="H47357" t="str">
        <f t="shared" si="789"/>
        <v/>
      </c>
    </row>
    <row r="47358" spans="8:8" x14ac:dyDescent="0.3">
      <c r="H47358" t="str">
        <f t="shared" si="789"/>
        <v/>
      </c>
    </row>
    <row r="47359" spans="8:8" x14ac:dyDescent="0.3">
      <c r="H47359" t="str">
        <f t="shared" si="789"/>
        <v/>
      </c>
    </row>
    <row r="47360" spans="8:8" x14ac:dyDescent="0.3">
      <c r="H47360" t="str">
        <f t="shared" si="789"/>
        <v/>
      </c>
    </row>
    <row r="47361" spans="8:8" x14ac:dyDescent="0.3">
      <c r="H47361" t="str">
        <f t="shared" si="789"/>
        <v/>
      </c>
    </row>
    <row r="47362" spans="8:8" x14ac:dyDescent="0.3">
      <c r="H47362" t="str">
        <f t="shared" si="789"/>
        <v/>
      </c>
    </row>
    <row r="47363" spans="8:8" x14ac:dyDescent="0.3">
      <c r="H47363" t="str">
        <f t="shared" si="789"/>
        <v/>
      </c>
    </row>
    <row r="47364" spans="8:8" x14ac:dyDescent="0.3">
      <c r="H47364" t="str">
        <f t="shared" si="789"/>
        <v/>
      </c>
    </row>
    <row r="47365" spans="8:8" x14ac:dyDescent="0.3">
      <c r="H47365" t="str">
        <f t="shared" si="789"/>
        <v/>
      </c>
    </row>
    <row r="47366" spans="8:8" x14ac:dyDescent="0.3">
      <c r="H47366" t="str">
        <f t="shared" si="789"/>
        <v/>
      </c>
    </row>
    <row r="47367" spans="8:8" x14ac:dyDescent="0.3">
      <c r="H47367" t="str">
        <f t="shared" si="789"/>
        <v/>
      </c>
    </row>
    <row r="47368" spans="8:8" x14ac:dyDescent="0.3">
      <c r="H47368" t="str">
        <f t="shared" si="789"/>
        <v/>
      </c>
    </row>
    <row r="47369" spans="8:8" x14ac:dyDescent="0.3">
      <c r="H47369" t="str">
        <f t="shared" si="789"/>
        <v/>
      </c>
    </row>
    <row r="47370" spans="8:8" x14ac:dyDescent="0.3">
      <c r="H47370" t="str">
        <f t="shared" si="789"/>
        <v/>
      </c>
    </row>
    <row r="47371" spans="8:8" x14ac:dyDescent="0.3">
      <c r="H47371" t="str">
        <f t="shared" si="789"/>
        <v/>
      </c>
    </row>
    <row r="47372" spans="8:8" x14ac:dyDescent="0.3">
      <c r="H47372" t="str">
        <f t="shared" si="789"/>
        <v/>
      </c>
    </row>
    <row r="47373" spans="8:8" x14ac:dyDescent="0.3">
      <c r="H47373" t="str">
        <f t="shared" si="789"/>
        <v/>
      </c>
    </row>
    <row r="47374" spans="8:8" x14ac:dyDescent="0.3">
      <c r="H47374" t="str">
        <f t="shared" si="789"/>
        <v/>
      </c>
    </row>
    <row r="47375" spans="8:8" x14ac:dyDescent="0.3">
      <c r="H47375" t="str">
        <f t="shared" si="789"/>
        <v/>
      </c>
    </row>
    <row r="47376" spans="8:8" x14ac:dyDescent="0.3">
      <c r="H47376" t="str">
        <f t="shared" si="789"/>
        <v/>
      </c>
    </row>
    <row r="47377" spans="8:8" x14ac:dyDescent="0.3">
      <c r="H47377" t="str">
        <f t="shared" si="789"/>
        <v/>
      </c>
    </row>
    <row r="47378" spans="8:8" x14ac:dyDescent="0.3">
      <c r="H47378" t="str">
        <f t="shared" si="789"/>
        <v/>
      </c>
    </row>
    <row r="47379" spans="8:8" x14ac:dyDescent="0.3">
      <c r="H47379" t="str">
        <f t="shared" si="789"/>
        <v/>
      </c>
    </row>
    <row r="47380" spans="8:8" x14ac:dyDescent="0.3">
      <c r="H47380" t="str">
        <f t="shared" si="789"/>
        <v/>
      </c>
    </row>
    <row r="47381" spans="8:8" x14ac:dyDescent="0.3">
      <c r="H47381" t="str">
        <f t="shared" si="789"/>
        <v/>
      </c>
    </row>
    <row r="47382" spans="8:8" x14ac:dyDescent="0.3">
      <c r="H47382" t="str">
        <f t="shared" si="789"/>
        <v/>
      </c>
    </row>
    <row r="47383" spans="8:8" x14ac:dyDescent="0.3">
      <c r="H47383" t="str">
        <f t="shared" ref="H47383:H47446" si="790">IF(B47383="","",$C$12)</f>
        <v/>
      </c>
    </row>
    <row r="47384" spans="8:8" x14ac:dyDescent="0.3">
      <c r="H47384" t="str">
        <f t="shared" si="790"/>
        <v/>
      </c>
    </row>
    <row r="47385" spans="8:8" x14ac:dyDescent="0.3">
      <c r="H47385" t="str">
        <f t="shared" si="790"/>
        <v/>
      </c>
    </row>
    <row r="47386" spans="8:8" x14ac:dyDescent="0.3">
      <c r="H47386" t="str">
        <f t="shared" si="790"/>
        <v/>
      </c>
    </row>
    <row r="47387" spans="8:8" x14ac:dyDescent="0.3">
      <c r="H47387" t="str">
        <f t="shared" si="790"/>
        <v/>
      </c>
    </row>
    <row r="47388" spans="8:8" x14ac:dyDescent="0.3">
      <c r="H47388" t="str">
        <f t="shared" si="790"/>
        <v/>
      </c>
    </row>
    <row r="47389" spans="8:8" x14ac:dyDescent="0.3">
      <c r="H47389" t="str">
        <f t="shared" si="790"/>
        <v/>
      </c>
    </row>
    <row r="47390" spans="8:8" x14ac:dyDescent="0.3">
      <c r="H47390" t="str">
        <f t="shared" si="790"/>
        <v/>
      </c>
    </row>
    <row r="47391" spans="8:8" x14ac:dyDescent="0.3">
      <c r="H47391" t="str">
        <f t="shared" si="790"/>
        <v/>
      </c>
    </row>
    <row r="47392" spans="8:8" x14ac:dyDescent="0.3">
      <c r="H47392" t="str">
        <f t="shared" si="790"/>
        <v/>
      </c>
    </row>
    <row r="47393" spans="8:8" x14ac:dyDescent="0.3">
      <c r="H47393" t="str">
        <f t="shared" si="790"/>
        <v/>
      </c>
    </row>
    <row r="47394" spans="8:8" x14ac:dyDescent="0.3">
      <c r="H47394" t="str">
        <f t="shared" si="790"/>
        <v/>
      </c>
    </row>
    <row r="47395" spans="8:8" x14ac:dyDescent="0.3">
      <c r="H47395" t="str">
        <f t="shared" si="790"/>
        <v/>
      </c>
    </row>
    <row r="47396" spans="8:8" x14ac:dyDescent="0.3">
      <c r="H47396" t="str">
        <f t="shared" si="790"/>
        <v/>
      </c>
    </row>
    <row r="47397" spans="8:8" x14ac:dyDescent="0.3">
      <c r="H47397" t="str">
        <f t="shared" si="790"/>
        <v/>
      </c>
    </row>
    <row r="47398" spans="8:8" x14ac:dyDescent="0.3">
      <c r="H47398" t="str">
        <f t="shared" si="790"/>
        <v/>
      </c>
    </row>
    <row r="47399" spans="8:8" x14ac:dyDescent="0.3">
      <c r="H47399" t="str">
        <f t="shared" si="790"/>
        <v/>
      </c>
    </row>
    <row r="47400" spans="8:8" x14ac:dyDescent="0.3">
      <c r="H47400" t="str">
        <f t="shared" si="790"/>
        <v/>
      </c>
    </row>
    <row r="47401" spans="8:8" x14ac:dyDescent="0.3">
      <c r="H47401" t="str">
        <f t="shared" si="790"/>
        <v/>
      </c>
    </row>
    <row r="47402" spans="8:8" x14ac:dyDescent="0.3">
      <c r="H47402" t="str">
        <f t="shared" si="790"/>
        <v/>
      </c>
    </row>
    <row r="47403" spans="8:8" x14ac:dyDescent="0.3">
      <c r="H47403" t="str">
        <f t="shared" si="790"/>
        <v/>
      </c>
    </row>
    <row r="47404" spans="8:8" x14ac:dyDescent="0.3">
      <c r="H47404" t="str">
        <f t="shared" si="790"/>
        <v/>
      </c>
    </row>
    <row r="47405" spans="8:8" x14ac:dyDescent="0.3">
      <c r="H47405" t="str">
        <f t="shared" si="790"/>
        <v/>
      </c>
    </row>
    <row r="47406" spans="8:8" x14ac:dyDescent="0.3">
      <c r="H47406" t="str">
        <f t="shared" si="790"/>
        <v/>
      </c>
    </row>
    <row r="47407" spans="8:8" x14ac:dyDescent="0.3">
      <c r="H47407" t="str">
        <f t="shared" si="790"/>
        <v/>
      </c>
    </row>
    <row r="47408" spans="8:8" x14ac:dyDescent="0.3">
      <c r="H47408" t="str">
        <f t="shared" si="790"/>
        <v/>
      </c>
    </row>
    <row r="47409" spans="8:8" x14ac:dyDescent="0.3">
      <c r="H47409" t="str">
        <f t="shared" si="790"/>
        <v/>
      </c>
    </row>
    <row r="47410" spans="8:8" x14ac:dyDescent="0.3">
      <c r="H47410" t="str">
        <f t="shared" si="790"/>
        <v/>
      </c>
    </row>
    <row r="47411" spans="8:8" x14ac:dyDescent="0.3">
      <c r="H47411" t="str">
        <f t="shared" si="790"/>
        <v/>
      </c>
    </row>
    <row r="47412" spans="8:8" x14ac:dyDescent="0.3">
      <c r="H47412" t="str">
        <f t="shared" si="790"/>
        <v/>
      </c>
    </row>
    <row r="47413" spans="8:8" x14ac:dyDescent="0.3">
      <c r="H47413" t="str">
        <f t="shared" si="790"/>
        <v/>
      </c>
    </row>
    <row r="47414" spans="8:8" x14ac:dyDescent="0.3">
      <c r="H47414" t="str">
        <f t="shared" si="790"/>
        <v/>
      </c>
    </row>
    <row r="47415" spans="8:8" x14ac:dyDescent="0.3">
      <c r="H47415" t="str">
        <f t="shared" si="790"/>
        <v/>
      </c>
    </row>
    <row r="47416" spans="8:8" x14ac:dyDescent="0.3">
      <c r="H47416" t="str">
        <f t="shared" si="790"/>
        <v/>
      </c>
    </row>
    <row r="47417" spans="8:8" x14ac:dyDescent="0.3">
      <c r="H47417" t="str">
        <f t="shared" si="790"/>
        <v/>
      </c>
    </row>
    <row r="47418" spans="8:8" x14ac:dyDescent="0.3">
      <c r="H47418" t="str">
        <f t="shared" si="790"/>
        <v/>
      </c>
    </row>
    <row r="47419" spans="8:8" x14ac:dyDescent="0.3">
      <c r="H47419" t="str">
        <f t="shared" si="790"/>
        <v/>
      </c>
    </row>
    <row r="47420" spans="8:8" x14ac:dyDescent="0.3">
      <c r="H47420" t="str">
        <f t="shared" si="790"/>
        <v/>
      </c>
    </row>
    <row r="47421" spans="8:8" x14ac:dyDescent="0.3">
      <c r="H47421" t="str">
        <f t="shared" si="790"/>
        <v/>
      </c>
    </row>
    <row r="47422" spans="8:8" x14ac:dyDescent="0.3">
      <c r="H47422" t="str">
        <f t="shared" si="790"/>
        <v/>
      </c>
    </row>
    <row r="47423" spans="8:8" x14ac:dyDescent="0.3">
      <c r="H47423" t="str">
        <f t="shared" si="790"/>
        <v/>
      </c>
    </row>
    <row r="47424" spans="8:8" x14ac:dyDescent="0.3">
      <c r="H47424" t="str">
        <f t="shared" si="790"/>
        <v/>
      </c>
    </row>
    <row r="47425" spans="8:8" x14ac:dyDescent="0.3">
      <c r="H47425" t="str">
        <f t="shared" si="790"/>
        <v/>
      </c>
    </row>
    <row r="47426" spans="8:8" x14ac:dyDescent="0.3">
      <c r="H47426" t="str">
        <f t="shared" si="790"/>
        <v/>
      </c>
    </row>
    <row r="47427" spans="8:8" x14ac:dyDescent="0.3">
      <c r="H47427" t="str">
        <f t="shared" si="790"/>
        <v/>
      </c>
    </row>
    <row r="47428" spans="8:8" x14ac:dyDescent="0.3">
      <c r="H47428" t="str">
        <f t="shared" si="790"/>
        <v/>
      </c>
    </row>
    <row r="47429" spans="8:8" x14ac:dyDescent="0.3">
      <c r="H47429" t="str">
        <f t="shared" si="790"/>
        <v/>
      </c>
    </row>
    <row r="47430" spans="8:8" x14ac:dyDescent="0.3">
      <c r="H47430" t="str">
        <f t="shared" si="790"/>
        <v/>
      </c>
    </row>
    <row r="47431" spans="8:8" x14ac:dyDescent="0.3">
      <c r="H47431" t="str">
        <f t="shared" si="790"/>
        <v/>
      </c>
    </row>
    <row r="47432" spans="8:8" x14ac:dyDescent="0.3">
      <c r="H47432" t="str">
        <f t="shared" si="790"/>
        <v/>
      </c>
    </row>
    <row r="47433" spans="8:8" x14ac:dyDescent="0.3">
      <c r="H47433" t="str">
        <f t="shared" si="790"/>
        <v/>
      </c>
    </row>
    <row r="47434" spans="8:8" x14ac:dyDescent="0.3">
      <c r="H47434" t="str">
        <f t="shared" si="790"/>
        <v/>
      </c>
    </row>
    <row r="47435" spans="8:8" x14ac:dyDescent="0.3">
      <c r="H47435" t="str">
        <f t="shared" si="790"/>
        <v/>
      </c>
    </row>
    <row r="47436" spans="8:8" x14ac:dyDescent="0.3">
      <c r="H47436" t="str">
        <f t="shared" si="790"/>
        <v/>
      </c>
    </row>
    <row r="47437" spans="8:8" x14ac:dyDescent="0.3">
      <c r="H47437" t="str">
        <f t="shared" si="790"/>
        <v/>
      </c>
    </row>
    <row r="47438" spans="8:8" x14ac:dyDescent="0.3">
      <c r="H47438" t="str">
        <f t="shared" si="790"/>
        <v/>
      </c>
    </row>
    <row r="47439" spans="8:8" x14ac:dyDescent="0.3">
      <c r="H47439" t="str">
        <f t="shared" si="790"/>
        <v/>
      </c>
    </row>
    <row r="47440" spans="8:8" x14ac:dyDescent="0.3">
      <c r="H47440" t="str">
        <f t="shared" si="790"/>
        <v/>
      </c>
    </row>
    <row r="47441" spans="8:8" x14ac:dyDescent="0.3">
      <c r="H47441" t="str">
        <f t="shared" si="790"/>
        <v/>
      </c>
    </row>
    <row r="47442" spans="8:8" x14ac:dyDescent="0.3">
      <c r="H47442" t="str">
        <f t="shared" si="790"/>
        <v/>
      </c>
    </row>
    <row r="47443" spans="8:8" x14ac:dyDescent="0.3">
      <c r="H47443" t="str">
        <f t="shared" si="790"/>
        <v/>
      </c>
    </row>
    <row r="47444" spans="8:8" x14ac:dyDescent="0.3">
      <c r="H47444" t="str">
        <f t="shared" si="790"/>
        <v/>
      </c>
    </row>
    <row r="47445" spans="8:8" x14ac:dyDescent="0.3">
      <c r="H47445" t="str">
        <f t="shared" si="790"/>
        <v/>
      </c>
    </row>
    <row r="47446" spans="8:8" x14ac:dyDescent="0.3">
      <c r="H47446" t="str">
        <f t="shared" si="790"/>
        <v/>
      </c>
    </row>
    <row r="47447" spans="8:8" x14ac:dyDescent="0.3">
      <c r="H47447" t="str">
        <f t="shared" ref="H47447:H47510" si="791">IF(B47447="","",$C$12)</f>
        <v/>
      </c>
    </row>
    <row r="47448" spans="8:8" x14ac:dyDescent="0.3">
      <c r="H47448" t="str">
        <f t="shared" si="791"/>
        <v/>
      </c>
    </row>
    <row r="47449" spans="8:8" x14ac:dyDescent="0.3">
      <c r="H47449" t="str">
        <f t="shared" si="791"/>
        <v/>
      </c>
    </row>
    <row r="47450" spans="8:8" x14ac:dyDescent="0.3">
      <c r="H47450" t="str">
        <f t="shared" si="791"/>
        <v/>
      </c>
    </row>
    <row r="47451" spans="8:8" x14ac:dyDescent="0.3">
      <c r="H47451" t="str">
        <f t="shared" si="791"/>
        <v/>
      </c>
    </row>
    <row r="47452" spans="8:8" x14ac:dyDescent="0.3">
      <c r="H47452" t="str">
        <f t="shared" si="791"/>
        <v/>
      </c>
    </row>
    <row r="47453" spans="8:8" x14ac:dyDescent="0.3">
      <c r="H47453" t="str">
        <f t="shared" si="791"/>
        <v/>
      </c>
    </row>
    <row r="47454" spans="8:8" x14ac:dyDescent="0.3">
      <c r="H47454" t="str">
        <f t="shared" si="791"/>
        <v/>
      </c>
    </row>
    <row r="47455" spans="8:8" x14ac:dyDescent="0.3">
      <c r="H47455" t="str">
        <f t="shared" si="791"/>
        <v/>
      </c>
    </row>
    <row r="47456" spans="8:8" x14ac:dyDescent="0.3">
      <c r="H47456" t="str">
        <f t="shared" si="791"/>
        <v/>
      </c>
    </row>
    <row r="47457" spans="8:8" x14ac:dyDescent="0.3">
      <c r="H47457" t="str">
        <f t="shared" si="791"/>
        <v/>
      </c>
    </row>
    <row r="47458" spans="8:8" x14ac:dyDescent="0.3">
      <c r="H47458" t="str">
        <f t="shared" si="791"/>
        <v/>
      </c>
    </row>
    <row r="47459" spans="8:8" x14ac:dyDescent="0.3">
      <c r="H47459" t="str">
        <f t="shared" si="791"/>
        <v/>
      </c>
    </row>
    <row r="47460" spans="8:8" x14ac:dyDescent="0.3">
      <c r="H47460" t="str">
        <f t="shared" si="791"/>
        <v/>
      </c>
    </row>
    <row r="47461" spans="8:8" x14ac:dyDescent="0.3">
      <c r="H47461" t="str">
        <f t="shared" si="791"/>
        <v/>
      </c>
    </row>
    <row r="47462" spans="8:8" x14ac:dyDescent="0.3">
      <c r="H47462" t="str">
        <f t="shared" si="791"/>
        <v/>
      </c>
    </row>
    <row r="47463" spans="8:8" x14ac:dyDescent="0.3">
      <c r="H47463" t="str">
        <f t="shared" si="791"/>
        <v/>
      </c>
    </row>
    <row r="47464" spans="8:8" x14ac:dyDescent="0.3">
      <c r="H47464" t="str">
        <f t="shared" si="791"/>
        <v/>
      </c>
    </row>
    <row r="47465" spans="8:8" x14ac:dyDescent="0.3">
      <c r="H47465" t="str">
        <f t="shared" si="791"/>
        <v/>
      </c>
    </row>
    <row r="47466" spans="8:8" x14ac:dyDescent="0.3">
      <c r="H47466" t="str">
        <f t="shared" si="791"/>
        <v/>
      </c>
    </row>
    <row r="47467" spans="8:8" x14ac:dyDescent="0.3">
      <c r="H47467" t="str">
        <f t="shared" si="791"/>
        <v/>
      </c>
    </row>
    <row r="47468" spans="8:8" x14ac:dyDescent="0.3">
      <c r="H47468" t="str">
        <f t="shared" si="791"/>
        <v/>
      </c>
    </row>
    <row r="47469" spans="8:8" x14ac:dyDescent="0.3">
      <c r="H47469" t="str">
        <f t="shared" si="791"/>
        <v/>
      </c>
    </row>
    <row r="47470" spans="8:8" x14ac:dyDescent="0.3">
      <c r="H47470" t="str">
        <f t="shared" si="791"/>
        <v/>
      </c>
    </row>
    <row r="47471" spans="8:8" x14ac:dyDescent="0.3">
      <c r="H47471" t="str">
        <f t="shared" si="791"/>
        <v/>
      </c>
    </row>
    <row r="47472" spans="8:8" x14ac:dyDescent="0.3">
      <c r="H47472" t="str">
        <f t="shared" si="791"/>
        <v/>
      </c>
    </row>
    <row r="47473" spans="8:8" x14ac:dyDescent="0.3">
      <c r="H47473" t="str">
        <f t="shared" si="791"/>
        <v/>
      </c>
    </row>
    <row r="47474" spans="8:8" x14ac:dyDescent="0.3">
      <c r="H47474" t="str">
        <f t="shared" si="791"/>
        <v/>
      </c>
    </row>
    <row r="47475" spans="8:8" x14ac:dyDescent="0.3">
      <c r="H47475" t="str">
        <f t="shared" si="791"/>
        <v/>
      </c>
    </row>
    <row r="47476" spans="8:8" x14ac:dyDescent="0.3">
      <c r="H47476" t="str">
        <f t="shared" si="791"/>
        <v/>
      </c>
    </row>
    <row r="47477" spans="8:8" x14ac:dyDescent="0.3">
      <c r="H47477" t="str">
        <f t="shared" si="791"/>
        <v/>
      </c>
    </row>
    <row r="47478" spans="8:8" x14ac:dyDescent="0.3">
      <c r="H47478" t="str">
        <f t="shared" si="791"/>
        <v/>
      </c>
    </row>
    <row r="47479" spans="8:8" x14ac:dyDescent="0.3">
      <c r="H47479" t="str">
        <f t="shared" si="791"/>
        <v/>
      </c>
    </row>
    <row r="47480" spans="8:8" x14ac:dyDescent="0.3">
      <c r="H47480" t="str">
        <f t="shared" si="791"/>
        <v/>
      </c>
    </row>
    <row r="47481" spans="8:8" x14ac:dyDescent="0.3">
      <c r="H47481" t="str">
        <f t="shared" si="791"/>
        <v/>
      </c>
    </row>
    <row r="47482" spans="8:8" x14ac:dyDescent="0.3">
      <c r="H47482" t="str">
        <f t="shared" si="791"/>
        <v/>
      </c>
    </row>
    <row r="47483" spans="8:8" x14ac:dyDescent="0.3">
      <c r="H47483" t="str">
        <f t="shared" si="791"/>
        <v/>
      </c>
    </row>
    <row r="47484" spans="8:8" x14ac:dyDescent="0.3">
      <c r="H47484" t="str">
        <f t="shared" si="791"/>
        <v/>
      </c>
    </row>
    <row r="47485" spans="8:8" x14ac:dyDescent="0.3">
      <c r="H47485" t="str">
        <f t="shared" si="791"/>
        <v/>
      </c>
    </row>
    <row r="47486" spans="8:8" x14ac:dyDescent="0.3">
      <c r="H47486" t="str">
        <f t="shared" si="791"/>
        <v/>
      </c>
    </row>
    <row r="47487" spans="8:8" x14ac:dyDescent="0.3">
      <c r="H47487" t="str">
        <f t="shared" si="791"/>
        <v/>
      </c>
    </row>
    <row r="47488" spans="8:8" x14ac:dyDescent="0.3">
      <c r="H47488" t="str">
        <f t="shared" si="791"/>
        <v/>
      </c>
    </row>
    <row r="47489" spans="8:8" x14ac:dyDescent="0.3">
      <c r="H47489" t="str">
        <f t="shared" si="791"/>
        <v/>
      </c>
    </row>
    <row r="47490" spans="8:8" x14ac:dyDescent="0.3">
      <c r="H47490" t="str">
        <f t="shared" si="791"/>
        <v/>
      </c>
    </row>
    <row r="47491" spans="8:8" x14ac:dyDescent="0.3">
      <c r="H47491" t="str">
        <f t="shared" si="791"/>
        <v/>
      </c>
    </row>
    <row r="47492" spans="8:8" x14ac:dyDescent="0.3">
      <c r="H47492" t="str">
        <f t="shared" si="791"/>
        <v/>
      </c>
    </row>
    <row r="47493" spans="8:8" x14ac:dyDescent="0.3">
      <c r="H47493" t="str">
        <f t="shared" si="791"/>
        <v/>
      </c>
    </row>
    <row r="47494" spans="8:8" x14ac:dyDescent="0.3">
      <c r="H47494" t="str">
        <f t="shared" si="791"/>
        <v/>
      </c>
    </row>
    <row r="47495" spans="8:8" x14ac:dyDescent="0.3">
      <c r="H47495" t="str">
        <f t="shared" si="791"/>
        <v/>
      </c>
    </row>
    <row r="47496" spans="8:8" x14ac:dyDescent="0.3">
      <c r="H47496" t="str">
        <f t="shared" si="791"/>
        <v/>
      </c>
    </row>
    <row r="47497" spans="8:8" x14ac:dyDescent="0.3">
      <c r="H47497" t="str">
        <f t="shared" si="791"/>
        <v/>
      </c>
    </row>
    <row r="47498" spans="8:8" x14ac:dyDescent="0.3">
      <c r="H47498" t="str">
        <f t="shared" si="791"/>
        <v/>
      </c>
    </row>
    <row r="47499" spans="8:8" x14ac:dyDescent="0.3">
      <c r="H47499" t="str">
        <f t="shared" si="791"/>
        <v/>
      </c>
    </row>
    <row r="47500" spans="8:8" x14ac:dyDescent="0.3">
      <c r="H47500" t="str">
        <f t="shared" si="791"/>
        <v/>
      </c>
    </row>
    <row r="47501" spans="8:8" x14ac:dyDescent="0.3">
      <c r="H47501" t="str">
        <f t="shared" si="791"/>
        <v/>
      </c>
    </row>
    <row r="47502" spans="8:8" x14ac:dyDescent="0.3">
      <c r="H47502" t="str">
        <f t="shared" si="791"/>
        <v/>
      </c>
    </row>
    <row r="47503" spans="8:8" x14ac:dyDescent="0.3">
      <c r="H47503" t="str">
        <f t="shared" si="791"/>
        <v/>
      </c>
    </row>
    <row r="47504" spans="8:8" x14ac:dyDescent="0.3">
      <c r="H47504" t="str">
        <f t="shared" si="791"/>
        <v/>
      </c>
    </row>
    <row r="47505" spans="8:8" x14ac:dyDescent="0.3">
      <c r="H47505" t="str">
        <f t="shared" si="791"/>
        <v/>
      </c>
    </row>
    <row r="47506" spans="8:8" x14ac:dyDescent="0.3">
      <c r="H47506" t="str">
        <f t="shared" si="791"/>
        <v/>
      </c>
    </row>
    <row r="47507" spans="8:8" x14ac:dyDescent="0.3">
      <c r="H47507" t="str">
        <f t="shared" si="791"/>
        <v/>
      </c>
    </row>
    <row r="47508" spans="8:8" x14ac:dyDescent="0.3">
      <c r="H47508" t="str">
        <f t="shared" si="791"/>
        <v/>
      </c>
    </row>
    <row r="47509" spans="8:8" x14ac:dyDescent="0.3">
      <c r="H47509" t="str">
        <f t="shared" si="791"/>
        <v/>
      </c>
    </row>
    <row r="47510" spans="8:8" x14ac:dyDescent="0.3">
      <c r="H47510" t="str">
        <f t="shared" si="791"/>
        <v/>
      </c>
    </row>
    <row r="47511" spans="8:8" x14ac:dyDescent="0.3">
      <c r="H47511" t="str">
        <f t="shared" ref="H47511:H47574" si="792">IF(B47511="","",$C$12)</f>
        <v/>
      </c>
    </row>
    <row r="47512" spans="8:8" x14ac:dyDescent="0.3">
      <c r="H47512" t="str">
        <f t="shared" si="792"/>
        <v/>
      </c>
    </row>
    <row r="47513" spans="8:8" x14ac:dyDescent="0.3">
      <c r="H47513" t="str">
        <f t="shared" si="792"/>
        <v/>
      </c>
    </row>
    <row r="47514" spans="8:8" x14ac:dyDescent="0.3">
      <c r="H47514" t="str">
        <f t="shared" si="792"/>
        <v/>
      </c>
    </row>
    <row r="47515" spans="8:8" x14ac:dyDescent="0.3">
      <c r="H47515" t="str">
        <f t="shared" si="792"/>
        <v/>
      </c>
    </row>
    <row r="47516" spans="8:8" x14ac:dyDescent="0.3">
      <c r="H47516" t="str">
        <f t="shared" si="792"/>
        <v/>
      </c>
    </row>
    <row r="47517" spans="8:8" x14ac:dyDescent="0.3">
      <c r="H47517" t="str">
        <f t="shared" si="792"/>
        <v/>
      </c>
    </row>
    <row r="47518" spans="8:8" x14ac:dyDescent="0.3">
      <c r="H47518" t="str">
        <f t="shared" si="792"/>
        <v/>
      </c>
    </row>
    <row r="47519" spans="8:8" x14ac:dyDescent="0.3">
      <c r="H47519" t="str">
        <f t="shared" si="792"/>
        <v/>
      </c>
    </row>
    <row r="47520" spans="8:8" x14ac:dyDescent="0.3">
      <c r="H47520" t="str">
        <f t="shared" si="792"/>
        <v/>
      </c>
    </row>
    <row r="47521" spans="8:8" x14ac:dyDescent="0.3">
      <c r="H47521" t="str">
        <f t="shared" si="792"/>
        <v/>
      </c>
    </row>
    <row r="47522" spans="8:8" x14ac:dyDescent="0.3">
      <c r="H47522" t="str">
        <f t="shared" si="792"/>
        <v/>
      </c>
    </row>
    <row r="47523" spans="8:8" x14ac:dyDescent="0.3">
      <c r="H47523" t="str">
        <f t="shared" si="792"/>
        <v/>
      </c>
    </row>
    <row r="47524" spans="8:8" x14ac:dyDescent="0.3">
      <c r="H47524" t="str">
        <f t="shared" si="792"/>
        <v/>
      </c>
    </row>
    <row r="47525" spans="8:8" x14ac:dyDescent="0.3">
      <c r="H47525" t="str">
        <f t="shared" si="792"/>
        <v/>
      </c>
    </row>
    <row r="47526" spans="8:8" x14ac:dyDescent="0.3">
      <c r="H47526" t="str">
        <f t="shared" si="792"/>
        <v/>
      </c>
    </row>
    <row r="47527" spans="8:8" x14ac:dyDescent="0.3">
      <c r="H47527" t="str">
        <f t="shared" si="792"/>
        <v/>
      </c>
    </row>
    <row r="47528" spans="8:8" x14ac:dyDescent="0.3">
      <c r="H47528" t="str">
        <f t="shared" si="792"/>
        <v/>
      </c>
    </row>
    <row r="47529" spans="8:8" x14ac:dyDescent="0.3">
      <c r="H47529" t="str">
        <f t="shared" si="792"/>
        <v/>
      </c>
    </row>
    <row r="47530" spans="8:8" x14ac:dyDescent="0.3">
      <c r="H47530" t="str">
        <f t="shared" si="792"/>
        <v/>
      </c>
    </row>
    <row r="47531" spans="8:8" x14ac:dyDescent="0.3">
      <c r="H47531" t="str">
        <f t="shared" si="792"/>
        <v/>
      </c>
    </row>
    <row r="47532" spans="8:8" x14ac:dyDescent="0.3">
      <c r="H47532" t="str">
        <f t="shared" si="792"/>
        <v/>
      </c>
    </row>
    <row r="47533" spans="8:8" x14ac:dyDescent="0.3">
      <c r="H47533" t="str">
        <f t="shared" si="792"/>
        <v/>
      </c>
    </row>
    <row r="47534" spans="8:8" x14ac:dyDescent="0.3">
      <c r="H47534" t="str">
        <f t="shared" si="792"/>
        <v/>
      </c>
    </row>
    <row r="47535" spans="8:8" x14ac:dyDescent="0.3">
      <c r="H47535" t="str">
        <f t="shared" si="792"/>
        <v/>
      </c>
    </row>
    <row r="47536" spans="8:8" x14ac:dyDescent="0.3">
      <c r="H47536" t="str">
        <f t="shared" si="792"/>
        <v/>
      </c>
    </row>
    <row r="47537" spans="8:8" x14ac:dyDescent="0.3">
      <c r="H47537" t="str">
        <f t="shared" si="792"/>
        <v/>
      </c>
    </row>
    <row r="47538" spans="8:8" x14ac:dyDescent="0.3">
      <c r="H47538" t="str">
        <f t="shared" si="792"/>
        <v/>
      </c>
    </row>
    <row r="47539" spans="8:8" x14ac:dyDescent="0.3">
      <c r="H47539" t="str">
        <f t="shared" si="792"/>
        <v/>
      </c>
    </row>
    <row r="47540" spans="8:8" x14ac:dyDescent="0.3">
      <c r="H47540" t="str">
        <f t="shared" si="792"/>
        <v/>
      </c>
    </row>
    <row r="47541" spans="8:8" x14ac:dyDescent="0.3">
      <c r="H47541" t="str">
        <f t="shared" si="792"/>
        <v/>
      </c>
    </row>
    <row r="47542" spans="8:8" x14ac:dyDescent="0.3">
      <c r="H47542" t="str">
        <f t="shared" si="792"/>
        <v/>
      </c>
    </row>
    <row r="47543" spans="8:8" x14ac:dyDescent="0.3">
      <c r="H47543" t="str">
        <f t="shared" si="792"/>
        <v/>
      </c>
    </row>
    <row r="47544" spans="8:8" x14ac:dyDescent="0.3">
      <c r="H47544" t="str">
        <f t="shared" si="792"/>
        <v/>
      </c>
    </row>
    <row r="47545" spans="8:8" x14ac:dyDescent="0.3">
      <c r="H47545" t="str">
        <f t="shared" si="792"/>
        <v/>
      </c>
    </row>
    <row r="47546" spans="8:8" x14ac:dyDescent="0.3">
      <c r="H47546" t="str">
        <f t="shared" si="792"/>
        <v/>
      </c>
    </row>
    <row r="47547" spans="8:8" x14ac:dyDescent="0.3">
      <c r="H47547" t="str">
        <f t="shared" si="792"/>
        <v/>
      </c>
    </row>
    <row r="47548" spans="8:8" x14ac:dyDescent="0.3">
      <c r="H47548" t="str">
        <f t="shared" si="792"/>
        <v/>
      </c>
    </row>
    <row r="47549" spans="8:8" x14ac:dyDescent="0.3">
      <c r="H47549" t="str">
        <f t="shared" si="792"/>
        <v/>
      </c>
    </row>
    <row r="47550" spans="8:8" x14ac:dyDescent="0.3">
      <c r="H47550" t="str">
        <f t="shared" si="792"/>
        <v/>
      </c>
    </row>
    <row r="47551" spans="8:8" x14ac:dyDescent="0.3">
      <c r="H47551" t="str">
        <f t="shared" si="792"/>
        <v/>
      </c>
    </row>
    <row r="47552" spans="8:8" x14ac:dyDescent="0.3">
      <c r="H47552" t="str">
        <f t="shared" si="792"/>
        <v/>
      </c>
    </row>
    <row r="47553" spans="8:8" x14ac:dyDescent="0.3">
      <c r="H47553" t="str">
        <f t="shared" si="792"/>
        <v/>
      </c>
    </row>
    <row r="47554" spans="8:8" x14ac:dyDescent="0.3">
      <c r="H47554" t="str">
        <f t="shared" si="792"/>
        <v/>
      </c>
    </row>
    <row r="47555" spans="8:8" x14ac:dyDescent="0.3">
      <c r="H47555" t="str">
        <f t="shared" si="792"/>
        <v/>
      </c>
    </row>
    <row r="47556" spans="8:8" x14ac:dyDescent="0.3">
      <c r="H47556" t="str">
        <f t="shared" si="792"/>
        <v/>
      </c>
    </row>
    <row r="47557" spans="8:8" x14ac:dyDescent="0.3">
      <c r="H47557" t="str">
        <f t="shared" si="792"/>
        <v/>
      </c>
    </row>
    <row r="47558" spans="8:8" x14ac:dyDescent="0.3">
      <c r="H47558" t="str">
        <f t="shared" si="792"/>
        <v/>
      </c>
    </row>
    <row r="47559" spans="8:8" x14ac:dyDescent="0.3">
      <c r="H47559" t="str">
        <f t="shared" si="792"/>
        <v/>
      </c>
    </row>
    <row r="47560" spans="8:8" x14ac:dyDescent="0.3">
      <c r="H47560" t="str">
        <f t="shared" si="792"/>
        <v/>
      </c>
    </row>
    <row r="47561" spans="8:8" x14ac:dyDescent="0.3">
      <c r="H47561" t="str">
        <f t="shared" si="792"/>
        <v/>
      </c>
    </row>
    <row r="47562" spans="8:8" x14ac:dyDescent="0.3">
      <c r="H47562" t="str">
        <f t="shared" si="792"/>
        <v/>
      </c>
    </row>
    <row r="47563" spans="8:8" x14ac:dyDescent="0.3">
      <c r="H47563" t="str">
        <f t="shared" si="792"/>
        <v/>
      </c>
    </row>
    <row r="47564" spans="8:8" x14ac:dyDescent="0.3">
      <c r="H47564" t="str">
        <f t="shared" si="792"/>
        <v/>
      </c>
    </row>
    <row r="47565" spans="8:8" x14ac:dyDescent="0.3">
      <c r="H47565" t="str">
        <f t="shared" si="792"/>
        <v/>
      </c>
    </row>
    <row r="47566" spans="8:8" x14ac:dyDescent="0.3">
      <c r="H47566" t="str">
        <f t="shared" si="792"/>
        <v/>
      </c>
    </row>
    <row r="47567" spans="8:8" x14ac:dyDescent="0.3">
      <c r="H47567" t="str">
        <f t="shared" si="792"/>
        <v/>
      </c>
    </row>
    <row r="47568" spans="8:8" x14ac:dyDescent="0.3">
      <c r="H47568" t="str">
        <f t="shared" si="792"/>
        <v/>
      </c>
    </row>
    <row r="47569" spans="8:8" x14ac:dyDescent="0.3">
      <c r="H47569" t="str">
        <f t="shared" si="792"/>
        <v/>
      </c>
    </row>
    <row r="47570" spans="8:8" x14ac:dyDescent="0.3">
      <c r="H47570" t="str">
        <f t="shared" si="792"/>
        <v/>
      </c>
    </row>
    <row r="47571" spans="8:8" x14ac:dyDescent="0.3">
      <c r="H47571" t="str">
        <f t="shared" si="792"/>
        <v/>
      </c>
    </row>
    <row r="47572" spans="8:8" x14ac:dyDescent="0.3">
      <c r="H47572" t="str">
        <f t="shared" si="792"/>
        <v/>
      </c>
    </row>
    <row r="47573" spans="8:8" x14ac:dyDescent="0.3">
      <c r="H47573" t="str">
        <f t="shared" si="792"/>
        <v/>
      </c>
    </row>
    <row r="47574" spans="8:8" x14ac:dyDescent="0.3">
      <c r="H47574" t="str">
        <f t="shared" si="792"/>
        <v/>
      </c>
    </row>
    <row r="47575" spans="8:8" x14ac:dyDescent="0.3">
      <c r="H47575" t="str">
        <f t="shared" ref="H47575:H47638" si="793">IF(B47575="","",$C$12)</f>
        <v/>
      </c>
    </row>
    <row r="47576" spans="8:8" x14ac:dyDescent="0.3">
      <c r="H47576" t="str">
        <f t="shared" si="793"/>
        <v/>
      </c>
    </row>
    <row r="47577" spans="8:8" x14ac:dyDescent="0.3">
      <c r="H47577" t="str">
        <f t="shared" si="793"/>
        <v/>
      </c>
    </row>
    <row r="47578" spans="8:8" x14ac:dyDescent="0.3">
      <c r="H47578" t="str">
        <f t="shared" si="793"/>
        <v/>
      </c>
    </row>
    <row r="47579" spans="8:8" x14ac:dyDescent="0.3">
      <c r="H47579" t="str">
        <f t="shared" si="793"/>
        <v/>
      </c>
    </row>
    <row r="47580" spans="8:8" x14ac:dyDescent="0.3">
      <c r="H47580" t="str">
        <f t="shared" si="793"/>
        <v/>
      </c>
    </row>
    <row r="47581" spans="8:8" x14ac:dyDescent="0.3">
      <c r="H47581" t="str">
        <f t="shared" si="793"/>
        <v/>
      </c>
    </row>
    <row r="47582" spans="8:8" x14ac:dyDescent="0.3">
      <c r="H47582" t="str">
        <f t="shared" si="793"/>
        <v/>
      </c>
    </row>
    <row r="47583" spans="8:8" x14ac:dyDescent="0.3">
      <c r="H47583" t="str">
        <f t="shared" si="793"/>
        <v/>
      </c>
    </row>
    <row r="47584" spans="8:8" x14ac:dyDescent="0.3">
      <c r="H47584" t="str">
        <f t="shared" si="793"/>
        <v/>
      </c>
    </row>
    <row r="47585" spans="8:8" x14ac:dyDescent="0.3">
      <c r="H47585" t="str">
        <f t="shared" si="793"/>
        <v/>
      </c>
    </row>
    <row r="47586" spans="8:8" x14ac:dyDescent="0.3">
      <c r="H47586" t="str">
        <f t="shared" si="793"/>
        <v/>
      </c>
    </row>
    <row r="47587" spans="8:8" x14ac:dyDescent="0.3">
      <c r="H47587" t="str">
        <f t="shared" si="793"/>
        <v/>
      </c>
    </row>
    <row r="47588" spans="8:8" x14ac:dyDescent="0.3">
      <c r="H47588" t="str">
        <f t="shared" si="793"/>
        <v/>
      </c>
    </row>
    <row r="47589" spans="8:8" x14ac:dyDescent="0.3">
      <c r="H47589" t="str">
        <f t="shared" si="793"/>
        <v/>
      </c>
    </row>
    <row r="47590" spans="8:8" x14ac:dyDescent="0.3">
      <c r="H47590" t="str">
        <f t="shared" si="793"/>
        <v/>
      </c>
    </row>
    <row r="47591" spans="8:8" x14ac:dyDescent="0.3">
      <c r="H47591" t="str">
        <f t="shared" si="793"/>
        <v/>
      </c>
    </row>
    <row r="47592" spans="8:8" x14ac:dyDescent="0.3">
      <c r="H47592" t="str">
        <f t="shared" si="793"/>
        <v/>
      </c>
    </row>
    <row r="47593" spans="8:8" x14ac:dyDescent="0.3">
      <c r="H47593" t="str">
        <f t="shared" si="793"/>
        <v/>
      </c>
    </row>
    <row r="47594" spans="8:8" x14ac:dyDescent="0.3">
      <c r="H47594" t="str">
        <f t="shared" si="793"/>
        <v/>
      </c>
    </row>
    <row r="47595" spans="8:8" x14ac:dyDescent="0.3">
      <c r="H47595" t="str">
        <f t="shared" si="793"/>
        <v/>
      </c>
    </row>
    <row r="47596" spans="8:8" x14ac:dyDescent="0.3">
      <c r="H47596" t="str">
        <f t="shared" si="793"/>
        <v/>
      </c>
    </row>
    <row r="47597" spans="8:8" x14ac:dyDescent="0.3">
      <c r="H47597" t="str">
        <f t="shared" si="793"/>
        <v/>
      </c>
    </row>
    <row r="47598" spans="8:8" x14ac:dyDescent="0.3">
      <c r="H47598" t="str">
        <f t="shared" si="793"/>
        <v/>
      </c>
    </row>
    <row r="47599" spans="8:8" x14ac:dyDescent="0.3">
      <c r="H47599" t="str">
        <f t="shared" si="793"/>
        <v/>
      </c>
    </row>
    <row r="47600" spans="8:8" x14ac:dyDescent="0.3">
      <c r="H47600" t="str">
        <f t="shared" si="793"/>
        <v/>
      </c>
    </row>
    <row r="47601" spans="8:8" x14ac:dyDescent="0.3">
      <c r="H47601" t="str">
        <f t="shared" si="793"/>
        <v/>
      </c>
    </row>
    <row r="47602" spans="8:8" x14ac:dyDescent="0.3">
      <c r="H47602" t="str">
        <f t="shared" si="793"/>
        <v/>
      </c>
    </row>
    <row r="47603" spans="8:8" x14ac:dyDescent="0.3">
      <c r="H47603" t="str">
        <f t="shared" si="793"/>
        <v/>
      </c>
    </row>
    <row r="47604" spans="8:8" x14ac:dyDescent="0.3">
      <c r="H47604" t="str">
        <f t="shared" si="793"/>
        <v/>
      </c>
    </row>
    <row r="47605" spans="8:8" x14ac:dyDescent="0.3">
      <c r="H47605" t="str">
        <f t="shared" si="793"/>
        <v/>
      </c>
    </row>
    <row r="47606" spans="8:8" x14ac:dyDescent="0.3">
      <c r="H47606" t="str">
        <f t="shared" si="793"/>
        <v/>
      </c>
    </row>
    <row r="47607" spans="8:8" x14ac:dyDescent="0.3">
      <c r="H47607" t="str">
        <f t="shared" si="793"/>
        <v/>
      </c>
    </row>
    <row r="47608" spans="8:8" x14ac:dyDescent="0.3">
      <c r="H47608" t="str">
        <f t="shared" si="793"/>
        <v/>
      </c>
    </row>
    <row r="47609" spans="8:8" x14ac:dyDescent="0.3">
      <c r="H47609" t="str">
        <f t="shared" si="793"/>
        <v/>
      </c>
    </row>
    <row r="47610" spans="8:8" x14ac:dyDescent="0.3">
      <c r="H47610" t="str">
        <f t="shared" si="793"/>
        <v/>
      </c>
    </row>
    <row r="47611" spans="8:8" x14ac:dyDescent="0.3">
      <c r="H47611" t="str">
        <f t="shared" si="793"/>
        <v/>
      </c>
    </row>
    <row r="47612" spans="8:8" x14ac:dyDescent="0.3">
      <c r="H47612" t="str">
        <f t="shared" si="793"/>
        <v/>
      </c>
    </row>
    <row r="47613" spans="8:8" x14ac:dyDescent="0.3">
      <c r="H47613" t="str">
        <f t="shared" si="793"/>
        <v/>
      </c>
    </row>
    <row r="47614" spans="8:8" x14ac:dyDescent="0.3">
      <c r="H47614" t="str">
        <f t="shared" si="793"/>
        <v/>
      </c>
    </row>
    <row r="47615" spans="8:8" x14ac:dyDescent="0.3">
      <c r="H47615" t="str">
        <f t="shared" si="793"/>
        <v/>
      </c>
    </row>
    <row r="47616" spans="8:8" x14ac:dyDescent="0.3">
      <c r="H47616" t="str">
        <f t="shared" si="793"/>
        <v/>
      </c>
    </row>
    <row r="47617" spans="8:8" x14ac:dyDescent="0.3">
      <c r="H47617" t="str">
        <f t="shared" si="793"/>
        <v/>
      </c>
    </row>
    <row r="47618" spans="8:8" x14ac:dyDescent="0.3">
      <c r="H47618" t="str">
        <f t="shared" si="793"/>
        <v/>
      </c>
    </row>
    <row r="47619" spans="8:8" x14ac:dyDescent="0.3">
      <c r="H47619" t="str">
        <f t="shared" si="793"/>
        <v/>
      </c>
    </row>
    <row r="47620" spans="8:8" x14ac:dyDescent="0.3">
      <c r="H47620" t="str">
        <f t="shared" si="793"/>
        <v/>
      </c>
    </row>
    <row r="47621" spans="8:8" x14ac:dyDescent="0.3">
      <c r="H47621" t="str">
        <f t="shared" si="793"/>
        <v/>
      </c>
    </row>
    <row r="47622" spans="8:8" x14ac:dyDescent="0.3">
      <c r="H47622" t="str">
        <f t="shared" si="793"/>
        <v/>
      </c>
    </row>
    <row r="47623" spans="8:8" x14ac:dyDescent="0.3">
      <c r="H47623" t="str">
        <f t="shared" si="793"/>
        <v/>
      </c>
    </row>
    <row r="47624" spans="8:8" x14ac:dyDescent="0.3">
      <c r="H47624" t="str">
        <f t="shared" si="793"/>
        <v/>
      </c>
    </row>
    <row r="47625" spans="8:8" x14ac:dyDescent="0.3">
      <c r="H47625" t="str">
        <f t="shared" si="793"/>
        <v/>
      </c>
    </row>
    <row r="47626" spans="8:8" x14ac:dyDescent="0.3">
      <c r="H47626" t="str">
        <f t="shared" si="793"/>
        <v/>
      </c>
    </row>
    <row r="47627" spans="8:8" x14ac:dyDescent="0.3">
      <c r="H47627" t="str">
        <f t="shared" si="793"/>
        <v/>
      </c>
    </row>
    <row r="47628" spans="8:8" x14ac:dyDescent="0.3">
      <c r="H47628" t="str">
        <f t="shared" si="793"/>
        <v/>
      </c>
    </row>
    <row r="47629" spans="8:8" x14ac:dyDescent="0.3">
      <c r="H47629" t="str">
        <f t="shared" si="793"/>
        <v/>
      </c>
    </row>
    <row r="47630" spans="8:8" x14ac:dyDescent="0.3">
      <c r="H47630" t="str">
        <f t="shared" si="793"/>
        <v/>
      </c>
    </row>
    <row r="47631" spans="8:8" x14ac:dyDescent="0.3">
      <c r="H47631" t="str">
        <f t="shared" si="793"/>
        <v/>
      </c>
    </row>
    <row r="47632" spans="8:8" x14ac:dyDescent="0.3">
      <c r="H47632" t="str">
        <f t="shared" si="793"/>
        <v/>
      </c>
    </row>
    <row r="47633" spans="8:8" x14ac:dyDescent="0.3">
      <c r="H47633" t="str">
        <f t="shared" si="793"/>
        <v/>
      </c>
    </row>
    <row r="47634" spans="8:8" x14ac:dyDescent="0.3">
      <c r="H47634" t="str">
        <f t="shared" si="793"/>
        <v/>
      </c>
    </row>
    <row r="47635" spans="8:8" x14ac:dyDescent="0.3">
      <c r="H47635" t="str">
        <f t="shared" si="793"/>
        <v/>
      </c>
    </row>
    <row r="47636" spans="8:8" x14ac:dyDescent="0.3">
      <c r="H47636" t="str">
        <f t="shared" si="793"/>
        <v/>
      </c>
    </row>
    <row r="47637" spans="8:8" x14ac:dyDescent="0.3">
      <c r="H47637" t="str">
        <f t="shared" si="793"/>
        <v/>
      </c>
    </row>
    <row r="47638" spans="8:8" x14ac:dyDescent="0.3">
      <c r="H47638" t="str">
        <f t="shared" si="793"/>
        <v/>
      </c>
    </row>
    <row r="47639" spans="8:8" x14ac:dyDescent="0.3">
      <c r="H47639" t="str">
        <f t="shared" ref="H47639:H47702" si="794">IF(B47639="","",$C$12)</f>
        <v/>
      </c>
    </row>
    <row r="47640" spans="8:8" x14ac:dyDescent="0.3">
      <c r="H47640" t="str">
        <f t="shared" si="794"/>
        <v/>
      </c>
    </row>
    <row r="47641" spans="8:8" x14ac:dyDescent="0.3">
      <c r="H47641" t="str">
        <f t="shared" si="794"/>
        <v/>
      </c>
    </row>
    <row r="47642" spans="8:8" x14ac:dyDescent="0.3">
      <c r="H47642" t="str">
        <f t="shared" si="794"/>
        <v/>
      </c>
    </row>
    <row r="47643" spans="8:8" x14ac:dyDescent="0.3">
      <c r="H47643" t="str">
        <f t="shared" si="794"/>
        <v/>
      </c>
    </row>
    <row r="47644" spans="8:8" x14ac:dyDescent="0.3">
      <c r="H47644" t="str">
        <f t="shared" si="794"/>
        <v/>
      </c>
    </row>
    <row r="47645" spans="8:8" x14ac:dyDescent="0.3">
      <c r="H47645" t="str">
        <f t="shared" si="794"/>
        <v/>
      </c>
    </row>
    <row r="47646" spans="8:8" x14ac:dyDescent="0.3">
      <c r="H47646" t="str">
        <f t="shared" si="794"/>
        <v/>
      </c>
    </row>
    <row r="47647" spans="8:8" x14ac:dyDescent="0.3">
      <c r="H47647" t="str">
        <f t="shared" si="794"/>
        <v/>
      </c>
    </row>
    <row r="47648" spans="8:8" x14ac:dyDescent="0.3">
      <c r="H47648" t="str">
        <f t="shared" si="794"/>
        <v/>
      </c>
    </row>
    <row r="47649" spans="8:8" x14ac:dyDescent="0.3">
      <c r="H47649" t="str">
        <f t="shared" si="794"/>
        <v/>
      </c>
    </row>
    <row r="47650" spans="8:8" x14ac:dyDescent="0.3">
      <c r="H47650" t="str">
        <f t="shared" si="794"/>
        <v/>
      </c>
    </row>
    <row r="47651" spans="8:8" x14ac:dyDescent="0.3">
      <c r="H47651" t="str">
        <f t="shared" si="794"/>
        <v/>
      </c>
    </row>
    <row r="47652" spans="8:8" x14ac:dyDescent="0.3">
      <c r="H47652" t="str">
        <f t="shared" si="794"/>
        <v/>
      </c>
    </row>
    <row r="47653" spans="8:8" x14ac:dyDescent="0.3">
      <c r="H47653" t="str">
        <f t="shared" si="794"/>
        <v/>
      </c>
    </row>
    <row r="47654" spans="8:8" x14ac:dyDescent="0.3">
      <c r="H47654" t="str">
        <f t="shared" si="794"/>
        <v/>
      </c>
    </row>
    <row r="47655" spans="8:8" x14ac:dyDescent="0.3">
      <c r="H47655" t="str">
        <f t="shared" si="794"/>
        <v/>
      </c>
    </row>
    <row r="47656" spans="8:8" x14ac:dyDescent="0.3">
      <c r="H47656" t="str">
        <f t="shared" si="794"/>
        <v/>
      </c>
    </row>
    <row r="47657" spans="8:8" x14ac:dyDescent="0.3">
      <c r="H47657" t="str">
        <f t="shared" si="794"/>
        <v/>
      </c>
    </row>
    <row r="47658" spans="8:8" x14ac:dyDescent="0.3">
      <c r="H47658" t="str">
        <f t="shared" si="794"/>
        <v/>
      </c>
    </row>
    <row r="47659" spans="8:8" x14ac:dyDescent="0.3">
      <c r="H47659" t="str">
        <f t="shared" si="794"/>
        <v/>
      </c>
    </row>
    <row r="47660" spans="8:8" x14ac:dyDescent="0.3">
      <c r="H47660" t="str">
        <f t="shared" si="794"/>
        <v/>
      </c>
    </row>
    <row r="47661" spans="8:8" x14ac:dyDescent="0.3">
      <c r="H47661" t="str">
        <f t="shared" si="794"/>
        <v/>
      </c>
    </row>
    <row r="47662" spans="8:8" x14ac:dyDescent="0.3">
      <c r="H47662" t="str">
        <f t="shared" si="794"/>
        <v/>
      </c>
    </row>
    <row r="47663" spans="8:8" x14ac:dyDescent="0.3">
      <c r="H47663" t="str">
        <f t="shared" si="794"/>
        <v/>
      </c>
    </row>
    <row r="47664" spans="8:8" x14ac:dyDescent="0.3">
      <c r="H47664" t="str">
        <f t="shared" si="794"/>
        <v/>
      </c>
    </row>
    <row r="47665" spans="8:8" x14ac:dyDescent="0.3">
      <c r="H47665" t="str">
        <f t="shared" si="794"/>
        <v/>
      </c>
    </row>
    <row r="47666" spans="8:8" x14ac:dyDescent="0.3">
      <c r="H47666" t="str">
        <f t="shared" si="794"/>
        <v/>
      </c>
    </row>
    <row r="47667" spans="8:8" x14ac:dyDescent="0.3">
      <c r="H47667" t="str">
        <f t="shared" si="794"/>
        <v/>
      </c>
    </row>
    <row r="47668" spans="8:8" x14ac:dyDescent="0.3">
      <c r="H47668" t="str">
        <f t="shared" si="794"/>
        <v/>
      </c>
    </row>
    <row r="47669" spans="8:8" x14ac:dyDescent="0.3">
      <c r="H47669" t="str">
        <f t="shared" si="794"/>
        <v/>
      </c>
    </row>
    <row r="47670" spans="8:8" x14ac:dyDescent="0.3">
      <c r="H47670" t="str">
        <f t="shared" si="794"/>
        <v/>
      </c>
    </row>
    <row r="47671" spans="8:8" x14ac:dyDescent="0.3">
      <c r="H47671" t="str">
        <f t="shared" si="794"/>
        <v/>
      </c>
    </row>
    <row r="47672" spans="8:8" x14ac:dyDescent="0.3">
      <c r="H47672" t="str">
        <f t="shared" si="794"/>
        <v/>
      </c>
    </row>
    <row r="47673" spans="8:8" x14ac:dyDescent="0.3">
      <c r="H47673" t="str">
        <f t="shared" si="794"/>
        <v/>
      </c>
    </row>
    <row r="47674" spans="8:8" x14ac:dyDescent="0.3">
      <c r="H47674" t="str">
        <f t="shared" si="794"/>
        <v/>
      </c>
    </row>
    <row r="47675" spans="8:8" x14ac:dyDescent="0.3">
      <c r="H47675" t="str">
        <f t="shared" si="794"/>
        <v/>
      </c>
    </row>
    <row r="47676" spans="8:8" x14ac:dyDescent="0.3">
      <c r="H47676" t="str">
        <f t="shared" si="794"/>
        <v/>
      </c>
    </row>
    <row r="47677" spans="8:8" x14ac:dyDescent="0.3">
      <c r="H47677" t="str">
        <f t="shared" si="794"/>
        <v/>
      </c>
    </row>
    <row r="47678" spans="8:8" x14ac:dyDescent="0.3">
      <c r="H47678" t="str">
        <f t="shared" si="794"/>
        <v/>
      </c>
    </row>
    <row r="47679" spans="8:8" x14ac:dyDescent="0.3">
      <c r="H47679" t="str">
        <f t="shared" si="794"/>
        <v/>
      </c>
    </row>
    <row r="47680" spans="8:8" x14ac:dyDescent="0.3">
      <c r="H47680" t="str">
        <f t="shared" si="794"/>
        <v/>
      </c>
    </row>
    <row r="47681" spans="8:8" x14ac:dyDescent="0.3">
      <c r="H47681" t="str">
        <f t="shared" si="794"/>
        <v/>
      </c>
    </row>
    <row r="47682" spans="8:8" x14ac:dyDescent="0.3">
      <c r="H47682" t="str">
        <f t="shared" si="794"/>
        <v/>
      </c>
    </row>
    <row r="47683" spans="8:8" x14ac:dyDescent="0.3">
      <c r="H47683" t="str">
        <f t="shared" si="794"/>
        <v/>
      </c>
    </row>
    <row r="47684" spans="8:8" x14ac:dyDescent="0.3">
      <c r="H47684" t="str">
        <f t="shared" si="794"/>
        <v/>
      </c>
    </row>
    <row r="47685" spans="8:8" x14ac:dyDescent="0.3">
      <c r="H47685" t="str">
        <f t="shared" si="794"/>
        <v/>
      </c>
    </row>
    <row r="47686" spans="8:8" x14ac:dyDescent="0.3">
      <c r="H47686" t="str">
        <f t="shared" si="794"/>
        <v/>
      </c>
    </row>
    <row r="47687" spans="8:8" x14ac:dyDescent="0.3">
      <c r="H47687" t="str">
        <f t="shared" si="794"/>
        <v/>
      </c>
    </row>
    <row r="47688" spans="8:8" x14ac:dyDescent="0.3">
      <c r="H47688" t="str">
        <f t="shared" si="794"/>
        <v/>
      </c>
    </row>
    <row r="47689" spans="8:8" x14ac:dyDescent="0.3">
      <c r="H47689" t="str">
        <f t="shared" si="794"/>
        <v/>
      </c>
    </row>
    <row r="47690" spans="8:8" x14ac:dyDescent="0.3">
      <c r="H47690" t="str">
        <f t="shared" si="794"/>
        <v/>
      </c>
    </row>
    <row r="47691" spans="8:8" x14ac:dyDescent="0.3">
      <c r="H47691" t="str">
        <f t="shared" si="794"/>
        <v/>
      </c>
    </row>
    <row r="47692" spans="8:8" x14ac:dyDescent="0.3">
      <c r="H47692" t="str">
        <f t="shared" si="794"/>
        <v/>
      </c>
    </row>
    <row r="47693" spans="8:8" x14ac:dyDescent="0.3">
      <c r="H47693" t="str">
        <f t="shared" si="794"/>
        <v/>
      </c>
    </row>
    <row r="47694" spans="8:8" x14ac:dyDescent="0.3">
      <c r="H47694" t="str">
        <f t="shared" si="794"/>
        <v/>
      </c>
    </row>
    <row r="47695" spans="8:8" x14ac:dyDescent="0.3">
      <c r="H47695" t="str">
        <f t="shared" si="794"/>
        <v/>
      </c>
    </row>
    <row r="47696" spans="8:8" x14ac:dyDescent="0.3">
      <c r="H47696" t="str">
        <f t="shared" si="794"/>
        <v/>
      </c>
    </row>
    <row r="47697" spans="8:8" x14ac:dyDescent="0.3">
      <c r="H47697" t="str">
        <f t="shared" si="794"/>
        <v/>
      </c>
    </row>
    <row r="47698" spans="8:8" x14ac:dyDescent="0.3">
      <c r="H47698" t="str">
        <f t="shared" si="794"/>
        <v/>
      </c>
    </row>
    <row r="47699" spans="8:8" x14ac:dyDescent="0.3">
      <c r="H47699" t="str">
        <f t="shared" si="794"/>
        <v/>
      </c>
    </row>
    <row r="47700" spans="8:8" x14ac:dyDescent="0.3">
      <c r="H47700" t="str">
        <f t="shared" si="794"/>
        <v/>
      </c>
    </row>
    <row r="47701" spans="8:8" x14ac:dyDescent="0.3">
      <c r="H47701" t="str">
        <f t="shared" si="794"/>
        <v/>
      </c>
    </row>
    <row r="47702" spans="8:8" x14ac:dyDescent="0.3">
      <c r="H47702" t="str">
        <f t="shared" si="794"/>
        <v/>
      </c>
    </row>
    <row r="47703" spans="8:8" x14ac:dyDescent="0.3">
      <c r="H47703" t="str">
        <f t="shared" ref="H47703:H47766" si="795">IF(B47703="","",$C$12)</f>
        <v/>
      </c>
    </row>
    <row r="47704" spans="8:8" x14ac:dyDescent="0.3">
      <c r="H47704" t="str">
        <f t="shared" si="795"/>
        <v/>
      </c>
    </row>
    <row r="47705" spans="8:8" x14ac:dyDescent="0.3">
      <c r="H47705" t="str">
        <f t="shared" si="795"/>
        <v/>
      </c>
    </row>
    <row r="47706" spans="8:8" x14ac:dyDescent="0.3">
      <c r="H47706" t="str">
        <f t="shared" si="795"/>
        <v/>
      </c>
    </row>
    <row r="47707" spans="8:8" x14ac:dyDescent="0.3">
      <c r="H47707" t="str">
        <f t="shared" si="795"/>
        <v/>
      </c>
    </row>
    <row r="47708" spans="8:8" x14ac:dyDescent="0.3">
      <c r="H47708" t="str">
        <f t="shared" si="795"/>
        <v/>
      </c>
    </row>
    <row r="47709" spans="8:8" x14ac:dyDescent="0.3">
      <c r="H47709" t="str">
        <f t="shared" si="795"/>
        <v/>
      </c>
    </row>
    <row r="47710" spans="8:8" x14ac:dyDescent="0.3">
      <c r="H47710" t="str">
        <f t="shared" si="795"/>
        <v/>
      </c>
    </row>
    <row r="47711" spans="8:8" x14ac:dyDescent="0.3">
      <c r="H47711" t="str">
        <f t="shared" si="795"/>
        <v/>
      </c>
    </row>
    <row r="47712" spans="8:8" x14ac:dyDescent="0.3">
      <c r="H47712" t="str">
        <f t="shared" si="795"/>
        <v/>
      </c>
    </row>
    <row r="47713" spans="8:8" x14ac:dyDescent="0.3">
      <c r="H47713" t="str">
        <f t="shared" si="795"/>
        <v/>
      </c>
    </row>
    <row r="47714" spans="8:8" x14ac:dyDescent="0.3">
      <c r="H47714" t="str">
        <f t="shared" si="795"/>
        <v/>
      </c>
    </row>
    <row r="47715" spans="8:8" x14ac:dyDescent="0.3">
      <c r="H47715" t="str">
        <f t="shared" si="795"/>
        <v/>
      </c>
    </row>
    <row r="47716" spans="8:8" x14ac:dyDescent="0.3">
      <c r="H47716" t="str">
        <f t="shared" si="795"/>
        <v/>
      </c>
    </row>
    <row r="47717" spans="8:8" x14ac:dyDescent="0.3">
      <c r="H47717" t="str">
        <f t="shared" si="795"/>
        <v/>
      </c>
    </row>
    <row r="47718" spans="8:8" x14ac:dyDescent="0.3">
      <c r="H47718" t="str">
        <f t="shared" si="795"/>
        <v/>
      </c>
    </row>
    <row r="47719" spans="8:8" x14ac:dyDescent="0.3">
      <c r="H47719" t="str">
        <f t="shared" si="795"/>
        <v/>
      </c>
    </row>
    <row r="47720" spans="8:8" x14ac:dyDescent="0.3">
      <c r="H47720" t="str">
        <f t="shared" si="795"/>
        <v/>
      </c>
    </row>
    <row r="47721" spans="8:8" x14ac:dyDescent="0.3">
      <c r="H47721" t="str">
        <f t="shared" si="795"/>
        <v/>
      </c>
    </row>
    <row r="47722" spans="8:8" x14ac:dyDescent="0.3">
      <c r="H47722" t="str">
        <f t="shared" si="795"/>
        <v/>
      </c>
    </row>
    <row r="47723" spans="8:8" x14ac:dyDescent="0.3">
      <c r="H47723" t="str">
        <f t="shared" si="795"/>
        <v/>
      </c>
    </row>
    <row r="47724" spans="8:8" x14ac:dyDescent="0.3">
      <c r="H47724" t="str">
        <f t="shared" si="795"/>
        <v/>
      </c>
    </row>
    <row r="47725" spans="8:8" x14ac:dyDescent="0.3">
      <c r="H47725" t="str">
        <f t="shared" si="795"/>
        <v/>
      </c>
    </row>
    <row r="47726" spans="8:8" x14ac:dyDescent="0.3">
      <c r="H47726" t="str">
        <f t="shared" si="795"/>
        <v/>
      </c>
    </row>
    <row r="47727" spans="8:8" x14ac:dyDescent="0.3">
      <c r="H47727" t="str">
        <f t="shared" si="795"/>
        <v/>
      </c>
    </row>
    <row r="47728" spans="8:8" x14ac:dyDescent="0.3">
      <c r="H47728" t="str">
        <f t="shared" si="795"/>
        <v/>
      </c>
    </row>
    <row r="47729" spans="8:8" x14ac:dyDescent="0.3">
      <c r="H47729" t="str">
        <f t="shared" si="795"/>
        <v/>
      </c>
    </row>
    <row r="47730" spans="8:8" x14ac:dyDescent="0.3">
      <c r="H47730" t="str">
        <f t="shared" si="795"/>
        <v/>
      </c>
    </row>
    <row r="47731" spans="8:8" x14ac:dyDescent="0.3">
      <c r="H47731" t="str">
        <f t="shared" si="795"/>
        <v/>
      </c>
    </row>
    <row r="47732" spans="8:8" x14ac:dyDescent="0.3">
      <c r="H47732" t="str">
        <f t="shared" si="795"/>
        <v/>
      </c>
    </row>
    <row r="47733" spans="8:8" x14ac:dyDescent="0.3">
      <c r="H47733" t="str">
        <f t="shared" si="795"/>
        <v/>
      </c>
    </row>
    <row r="47734" spans="8:8" x14ac:dyDescent="0.3">
      <c r="H47734" t="str">
        <f t="shared" si="795"/>
        <v/>
      </c>
    </row>
    <row r="47735" spans="8:8" x14ac:dyDescent="0.3">
      <c r="H47735" t="str">
        <f t="shared" si="795"/>
        <v/>
      </c>
    </row>
    <row r="47736" spans="8:8" x14ac:dyDescent="0.3">
      <c r="H47736" t="str">
        <f t="shared" si="795"/>
        <v/>
      </c>
    </row>
    <row r="47737" spans="8:8" x14ac:dyDescent="0.3">
      <c r="H47737" t="str">
        <f t="shared" si="795"/>
        <v/>
      </c>
    </row>
    <row r="47738" spans="8:8" x14ac:dyDescent="0.3">
      <c r="H47738" t="str">
        <f t="shared" si="795"/>
        <v/>
      </c>
    </row>
    <row r="47739" spans="8:8" x14ac:dyDescent="0.3">
      <c r="H47739" t="str">
        <f t="shared" si="795"/>
        <v/>
      </c>
    </row>
    <row r="47740" spans="8:8" x14ac:dyDescent="0.3">
      <c r="H47740" t="str">
        <f t="shared" si="795"/>
        <v/>
      </c>
    </row>
    <row r="47741" spans="8:8" x14ac:dyDescent="0.3">
      <c r="H47741" t="str">
        <f t="shared" si="795"/>
        <v/>
      </c>
    </row>
    <row r="47742" spans="8:8" x14ac:dyDescent="0.3">
      <c r="H47742" t="str">
        <f t="shared" si="795"/>
        <v/>
      </c>
    </row>
    <row r="47743" spans="8:8" x14ac:dyDescent="0.3">
      <c r="H47743" t="str">
        <f t="shared" si="795"/>
        <v/>
      </c>
    </row>
    <row r="47744" spans="8:8" x14ac:dyDescent="0.3">
      <c r="H47744" t="str">
        <f t="shared" si="795"/>
        <v/>
      </c>
    </row>
    <row r="47745" spans="8:8" x14ac:dyDescent="0.3">
      <c r="H47745" t="str">
        <f t="shared" si="795"/>
        <v/>
      </c>
    </row>
    <row r="47746" spans="8:8" x14ac:dyDescent="0.3">
      <c r="H47746" t="str">
        <f t="shared" si="795"/>
        <v/>
      </c>
    </row>
    <row r="47747" spans="8:8" x14ac:dyDescent="0.3">
      <c r="H47747" t="str">
        <f t="shared" si="795"/>
        <v/>
      </c>
    </row>
    <row r="47748" spans="8:8" x14ac:dyDescent="0.3">
      <c r="H47748" t="str">
        <f t="shared" si="795"/>
        <v/>
      </c>
    </row>
    <row r="47749" spans="8:8" x14ac:dyDescent="0.3">
      <c r="H47749" t="str">
        <f t="shared" si="795"/>
        <v/>
      </c>
    </row>
    <row r="47750" spans="8:8" x14ac:dyDescent="0.3">
      <c r="H47750" t="str">
        <f t="shared" si="795"/>
        <v/>
      </c>
    </row>
    <row r="47751" spans="8:8" x14ac:dyDescent="0.3">
      <c r="H47751" t="str">
        <f t="shared" si="795"/>
        <v/>
      </c>
    </row>
    <row r="47752" spans="8:8" x14ac:dyDescent="0.3">
      <c r="H47752" t="str">
        <f t="shared" si="795"/>
        <v/>
      </c>
    </row>
    <row r="47753" spans="8:8" x14ac:dyDescent="0.3">
      <c r="H47753" t="str">
        <f t="shared" si="795"/>
        <v/>
      </c>
    </row>
    <row r="47754" spans="8:8" x14ac:dyDescent="0.3">
      <c r="H47754" t="str">
        <f t="shared" si="795"/>
        <v/>
      </c>
    </row>
    <row r="47755" spans="8:8" x14ac:dyDescent="0.3">
      <c r="H47755" t="str">
        <f t="shared" si="795"/>
        <v/>
      </c>
    </row>
    <row r="47756" spans="8:8" x14ac:dyDescent="0.3">
      <c r="H47756" t="str">
        <f t="shared" si="795"/>
        <v/>
      </c>
    </row>
    <row r="47757" spans="8:8" x14ac:dyDescent="0.3">
      <c r="H47757" t="str">
        <f t="shared" si="795"/>
        <v/>
      </c>
    </row>
    <row r="47758" spans="8:8" x14ac:dyDescent="0.3">
      <c r="H47758" t="str">
        <f t="shared" si="795"/>
        <v/>
      </c>
    </row>
    <row r="47759" spans="8:8" x14ac:dyDescent="0.3">
      <c r="H47759" t="str">
        <f t="shared" si="795"/>
        <v/>
      </c>
    </row>
    <row r="47760" spans="8:8" x14ac:dyDescent="0.3">
      <c r="H47760" t="str">
        <f t="shared" si="795"/>
        <v/>
      </c>
    </row>
    <row r="47761" spans="8:8" x14ac:dyDescent="0.3">
      <c r="H47761" t="str">
        <f t="shared" si="795"/>
        <v/>
      </c>
    </row>
    <row r="47762" spans="8:8" x14ac:dyDescent="0.3">
      <c r="H47762" t="str">
        <f t="shared" si="795"/>
        <v/>
      </c>
    </row>
    <row r="47763" spans="8:8" x14ac:dyDescent="0.3">
      <c r="H47763" t="str">
        <f t="shared" si="795"/>
        <v/>
      </c>
    </row>
    <row r="47764" spans="8:8" x14ac:dyDescent="0.3">
      <c r="H47764" t="str">
        <f t="shared" si="795"/>
        <v/>
      </c>
    </row>
    <row r="47765" spans="8:8" x14ac:dyDescent="0.3">
      <c r="H47765" t="str">
        <f t="shared" si="795"/>
        <v/>
      </c>
    </row>
    <row r="47766" spans="8:8" x14ac:dyDescent="0.3">
      <c r="H47766" t="str">
        <f t="shared" si="795"/>
        <v/>
      </c>
    </row>
    <row r="47767" spans="8:8" x14ac:dyDescent="0.3">
      <c r="H47767" t="str">
        <f t="shared" ref="H47767:H47830" si="796">IF(B47767="","",$C$12)</f>
        <v/>
      </c>
    </row>
    <row r="47768" spans="8:8" x14ac:dyDescent="0.3">
      <c r="H47768" t="str">
        <f t="shared" si="796"/>
        <v/>
      </c>
    </row>
    <row r="47769" spans="8:8" x14ac:dyDescent="0.3">
      <c r="H47769" t="str">
        <f t="shared" si="796"/>
        <v/>
      </c>
    </row>
    <row r="47770" spans="8:8" x14ac:dyDescent="0.3">
      <c r="H47770" t="str">
        <f t="shared" si="796"/>
        <v/>
      </c>
    </row>
    <row r="47771" spans="8:8" x14ac:dyDescent="0.3">
      <c r="H47771" t="str">
        <f t="shared" si="796"/>
        <v/>
      </c>
    </row>
    <row r="47772" spans="8:8" x14ac:dyDescent="0.3">
      <c r="H47772" t="str">
        <f t="shared" si="796"/>
        <v/>
      </c>
    </row>
    <row r="47773" spans="8:8" x14ac:dyDescent="0.3">
      <c r="H47773" t="str">
        <f t="shared" si="796"/>
        <v/>
      </c>
    </row>
    <row r="47774" spans="8:8" x14ac:dyDescent="0.3">
      <c r="H47774" t="str">
        <f t="shared" si="796"/>
        <v/>
      </c>
    </row>
    <row r="47775" spans="8:8" x14ac:dyDescent="0.3">
      <c r="H47775" t="str">
        <f t="shared" si="796"/>
        <v/>
      </c>
    </row>
    <row r="47776" spans="8:8" x14ac:dyDescent="0.3">
      <c r="H47776" t="str">
        <f t="shared" si="796"/>
        <v/>
      </c>
    </row>
    <row r="47777" spans="8:8" x14ac:dyDescent="0.3">
      <c r="H47777" t="str">
        <f t="shared" si="796"/>
        <v/>
      </c>
    </row>
    <row r="47778" spans="8:8" x14ac:dyDescent="0.3">
      <c r="H47778" t="str">
        <f t="shared" si="796"/>
        <v/>
      </c>
    </row>
    <row r="47779" spans="8:8" x14ac:dyDescent="0.3">
      <c r="H47779" t="str">
        <f t="shared" si="796"/>
        <v/>
      </c>
    </row>
    <row r="47780" spans="8:8" x14ac:dyDescent="0.3">
      <c r="H47780" t="str">
        <f t="shared" si="796"/>
        <v/>
      </c>
    </row>
    <row r="47781" spans="8:8" x14ac:dyDescent="0.3">
      <c r="H47781" t="str">
        <f t="shared" si="796"/>
        <v/>
      </c>
    </row>
    <row r="47782" spans="8:8" x14ac:dyDescent="0.3">
      <c r="H47782" t="str">
        <f t="shared" si="796"/>
        <v/>
      </c>
    </row>
    <row r="47783" spans="8:8" x14ac:dyDescent="0.3">
      <c r="H47783" t="str">
        <f t="shared" si="796"/>
        <v/>
      </c>
    </row>
    <row r="47784" spans="8:8" x14ac:dyDescent="0.3">
      <c r="H47784" t="str">
        <f t="shared" si="796"/>
        <v/>
      </c>
    </row>
    <row r="47785" spans="8:8" x14ac:dyDescent="0.3">
      <c r="H47785" t="str">
        <f t="shared" si="796"/>
        <v/>
      </c>
    </row>
    <row r="47786" spans="8:8" x14ac:dyDescent="0.3">
      <c r="H47786" t="str">
        <f t="shared" si="796"/>
        <v/>
      </c>
    </row>
    <row r="47787" spans="8:8" x14ac:dyDescent="0.3">
      <c r="H47787" t="str">
        <f t="shared" si="796"/>
        <v/>
      </c>
    </row>
    <row r="47788" spans="8:8" x14ac:dyDescent="0.3">
      <c r="H47788" t="str">
        <f t="shared" si="796"/>
        <v/>
      </c>
    </row>
    <row r="47789" spans="8:8" x14ac:dyDescent="0.3">
      <c r="H47789" t="str">
        <f t="shared" si="796"/>
        <v/>
      </c>
    </row>
    <row r="47790" spans="8:8" x14ac:dyDescent="0.3">
      <c r="H47790" t="str">
        <f t="shared" si="796"/>
        <v/>
      </c>
    </row>
    <row r="47791" spans="8:8" x14ac:dyDescent="0.3">
      <c r="H47791" t="str">
        <f t="shared" si="796"/>
        <v/>
      </c>
    </row>
    <row r="47792" spans="8:8" x14ac:dyDescent="0.3">
      <c r="H47792" t="str">
        <f t="shared" si="796"/>
        <v/>
      </c>
    </row>
    <row r="47793" spans="8:8" x14ac:dyDescent="0.3">
      <c r="H47793" t="str">
        <f t="shared" si="796"/>
        <v/>
      </c>
    </row>
    <row r="47794" spans="8:8" x14ac:dyDescent="0.3">
      <c r="H47794" t="str">
        <f t="shared" si="796"/>
        <v/>
      </c>
    </row>
    <row r="47795" spans="8:8" x14ac:dyDescent="0.3">
      <c r="H47795" t="str">
        <f t="shared" si="796"/>
        <v/>
      </c>
    </row>
    <row r="47796" spans="8:8" x14ac:dyDescent="0.3">
      <c r="H47796" t="str">
        <f t="shared" si="796"/>
        <v/>
      </c>
    </row>
    <row r="47797" spans="8:8" x14ac:dyDescent="0.3">
      <c r="H47797" t="str">
        <f t="shared" si="796"/>
        <v/>
      </c>
    </row>
    <row r="47798" spans="8:8" x14ac:dyDescent="0.3">
      <c r="H47798" t="str">
        <f t="shared" si="796"/>
        <v/>
      </c>
    </row>
    <row r="47799" spans="8:8" x14ac:dyDescent="0.3">
      <c r="H47799" t="str">
        <f t="shared" si="796"/>
        <v/>
      </c>
    </row>
    <row r="47800" spans="8:8" x14ac:dyDescent="0.3">
      <c r="H47800" t="str">
        <f t="shared" si="796"/>
        <v/>
      </c>
    </row>
    <row r="47801" spans="8:8" x14ac:dyDescent="0.3">
      <c r="H47801" t="str">
        <f t="shared" si="796"/>
        <v/>
      </c>
    </row>
    <row r="47802" spans="8:8" x14ac:dyDescent="0.3">
      <c r="H47802" t="str">
        <f t="shared" si="796"/>
        <v/>
      </c>
    </row>
    <row r="47803" spans="8:8" x14ac:dyDescent="0.3">
      <c r="H47803" t="str">
        <f t="shared" si="796"/>
        <v/>
      </c>
    </row>
    <row r="47804" spans="8:8" x14ac:dyDescent="0.3">
      <c r="H47804" t="str">
        <f t="shared" si="796"/>
        <v/>
      </c>
    </row>
    <row r="47805" spans="8:8" x14ac:dyDescent="0.3">
      <c r="H47805" t="str">
        <f t="shared" si="796"/>
        <v/>
      </c>
    </row>
    <row r="47806" spans="8:8" x14ac:dyDescent="0.3">
      <c r="H47806" t="str">
        <f t="shared" si="796"/>
        <v/>
      </c>
    </row>
    <row r="47807" spans="8:8" x14ac:dyDescent="0.3">
      <c r="H47807" t="str">
        <f t="shared" si="796"/>
        <v/>
      </c>
    </row>
    <row r="47808" spans="8:8" x14ac:dyDescent="0.3">
      <c r="H47808" t="str">
        <f t="shared" si="796"/>
        <v/>
      </c>
    </row>
    <row r="47809" spans="8:8" x14ac:dyDescent="0.3">
      <c r="H47809" t="str">
        <f t="shared" si="796"/>
        <v/>
      </c>
    </row>
    <row r="47810" spans="8:8" x14ac:dyDescent="0.3">
      <c r="H47810" t="str">
        <f t="shared" si="796"/>
        <v/>
      </c>
    </row>
    <row r="47811" spans="8:8" x14ac:dyDescent="0.3">
      <c r="H47811" t="str">
        <f t="shared" si="796"/>
        <v/>
      </c>
    </row>
    <row r="47812" spans="8:8" x14ac:dyDescent="0.3">
      <c r="H47812" t="str">
        <f t="shared" si="796"/>
        <v/>
      </c>
    </row>
    <row r="47813" spans="8:8" x14ac:dyDescent="0.3">
      <c r="H47813" t="str">
        <f t="shared" si="796"/>
        <v/>
      </c>
    </row>
    <row r="47814" spans="8:8" x14ac:dyDescent="0.3">
      <c r="H47814" t="str">
        <f t="shared" si="796"/>
        <v/>
      </c>
    </row>
    <row r="47815" spans="8:8" x14ac:dyDescent="0.3">
      <c r="H47815" t="str">
        <f t="shared" si="796"/>
        <v/>
      </c>
    </row>
    <row r="47816" spans="8:8" x14ac:dyDescent="0.3">
      <c r="H47816" t="str">
        <f t="shared" si="796"/>
        <v/>
      </c>
    </row>
    <row r="47817" spans="8:8" x14ac:dyDescent="0.3">
      <c r="H47817" t="str">
        <f t="shared" si="796"/>
        <v/>
      </c>
    </row>
    <row r="47818" spans="8:8" x14ac:dyDescent="0.3">
      <c r="H47818" t="str">
        <f t="shared" si="796"/>
        <v/>
      </c>
    </row>
    <row r="47819" spans="8:8" x14ac:dyDescent="0.3">
      <c r="H47819" t="str">
        <f t="shared" si="796"/>
        <v/>
      </c>
    </row>
    <row r="47820" spans="8:8" x14ac:dyDescent="0.3">
      <c r="H47820" t="str">
        <f t="shared" si="796"/>
        <v/>
      </c>
    </row>
    <row r="47821" spans="8:8" x14ac:dyDescent="0.3">
      <c r="H47821" t="str">
        <f t="shared" si="796"/>
        <v/>
      </c>
    </row>
    <row r="47822" spans="8:8" x14ac:dyDescent="0.3">
      <c r="H47822" t="str">
        <f t="shared" si="796"/>
        <v/>
      </c>
    </row>
    <row r="47823" spans="8:8" x14ac:dyDescent="0.3">
      <c r="H47823" t="str">
        <f t="shared" si="796"/>
        <v/>
      </c>
    </row>
    <row r="47824" spans="8:8" x14ac:dyDescent="0.3">
      <c r="H47824" t="str">
        <f t="shared" si="796"/>
        <v/>
      </c>
    </row>
    <row r="47825" spans="8:8" x14ac:dyDescent="0.3">
      <c r="H47825" t="str">
        <f t="shared" si="796"/>
        <v/>
      </c>
    </row>
    <row r="47826" spans="8:8" x14ac:dyDescent="0.3">
      <c r="H47826" t="str">
        <f t="shared" si="796"/>
        <v/>
      </c>
    </row>
    <row r="47827" spans="8:8" x14ac:dyDescent="0.3">
      <c r="H47827" t="str">
        <f t="shared" si="796"/>
        <v/>
      </c>
    </row>
    <row r="47828" spans="8:8" x14ac:dyDescent="0.3">
      <c r="H47828" t="str">
        <f t="shared" si="796"/>
        <v/>
      </c>
    </row>
    <row r="47829" spans="8:8" x14ac:dyDescent="0.3">
      <c r="H47829" t="str">
        <f t="shared" si="796"/>
        <v/>
      </c>
    </row>
    <row r="47830" spans="8:8" x14ac:dyDescent="0.3">
      <c r="H47830" t="str">
        <f t="shared" si="796"/>
        <v/>
      </c>
    </row>
    <row r="47831" spans="8:8" x14ac:dyDescent="0.3">
      <c r="H47831" t="str">
        <f t="shared" ref="H47831:H47894" si="797">IF(B47831="","",$C$12)</f>
        <v/>
      </c>
    </row>
    <row r="47832" spans="8:8" x14ac:dyDescent="0.3">
      <c r="H47832" t="str">
        <f t="shared" si="797"/>
        <v/>
      </c>
    </row>
    <row r="47833" spans="8:8" x14ac:dyDescent="0.3">
      <c r="H47833" t="str">
        <f t="shared" si="797"/>
        <v/>
      </c>
    </row>
    <row r="47834" spans="8:8" x14ac:dyDescent="0.3">
      <c r="H47834" t="str">
        <f t="shared" si="797"/>
        <v/>
      </c>
    </row>
    <row r="47835" spans="8:8" x14ac:dyDescent="0.3">
      <c r="H47835" t="str">
        <f t="shared" si="797"/>
        <v/>
      </c>
    </row>
    <row r="47836" spans="8:8" x14ac:dyDescent="0.3">
      <c r="H47836" t="str">
        <f t="shared" si="797"/>
        <v/>
      </c>
    </row>
    <row r="47837" spans="8:8" x14ac:dyDescent="0.3">
      <c r="H47837" t="str">
        <f t="shared" si="797"/>
        <v/>
      </c>
    </row>
    <row r="47838" spans="8:8" x14ac:dyDescent="0.3">
      <c r="H47838" t="str">
        <f t="shared" si="797"/>
        <v/>
      </c>
    </row>
    <row r="47839" spans="8:8" x14ac:dyDescent="0.3">
      <c r="H47839" t="str">
        <f t="shared" si="797"/>
        <v/>
      </c>
    </row>
    <row r="47840" spans="8:8" x14ac:dyDescent="0.3">
      <c r="H47840" t="str">
        <f t="shared" si="797"/>
        <v/>
      </c>
    </row>
    <row r="47841" spans="8:8" x14ac:dyDescent="0.3">
      <c r="H47841" t="str">
        <f t="shared" si="797"/>
        <v/>
      </c>
    </row>
    <row r="47842" spans="8:8" x14ac:dyDescent="0.3">
      <c r="H47842" t="str">
        <f t="shared" si="797"/>
        <v/>
      </c>
    </row>
    <row r="47843" spans="8:8" x14ac:dyDescent="0.3">
      <c r="H47843" t="str">
        <f t="shared" si="797"/>
        <v/>
      </c>
    </row>
    <row r="47844" spans="8:8" x14ac:dyDescent="0.3">
      <c r="H47844" t="str">
        <f t="shared" si="797"/>
        <v/>
      </c>
    </row>
    <row r="47845" spans="8:8" x14ac:dyDescent="0.3">
      <c r="H47845" t="str">
        <f t="shared" si="797"/>
        <v/>
      </c>
    </row>
    <row r="47846" spans="8:8" x14ac:dyDescent="0.3">
      <c r="H47846" t="str">
        <f t="shared" si="797"/>
        <v/>
      </c>
    </row>
    <row r="47847" spans="8:8" x14ac:dyDescent="0.3">
      <c r="H47847" t="str">
        <f t="shared" si="797"/>
        <v/>
      </c>
    </row>
    <row r="47848" spans="8:8" x14ac:dyDescent="0.3">
      <c r="H47848" t="str">
        <f t="shared" si="797"/>
        <v/>
      </c>
    </row>
    <row r="47849" spans="8:8" x14ac:dyDescent="0.3">
      <c r="H47849" t="str">
        <f t="shared" si="797"/>
        <v/>
      </c>
    </row>
    <row r="47850" spans="8:8" x14ac:dyDescent="0.3">
      <c r="H47850" t="str">
        <f t="shared" si="797"/>
        <v/>
      </c>
    </row>
    <row r="47851" spans="8:8" x14ac:dyDescent="0.3">
      <c r="H47851" t="str">
        <f t="shared" si="797"/>
        <v/>
      </c>
    </row>
    <row r="47852" spans="8:8" x14ac:dyDescent="0.3">
      <c r="H47852" t="str">
        <f t="shared" si="797"/>
        <v/>
      </c>
    </row>
    <row r="47853" spans="8:8" x14ac:dyDescent="0.3">
      <c r="H47853" t="str">
        <f t="shared" si="797"/>
        <v/>
      </c>
    </row>
    <row r="47854" spans="8:8" x14ac:dyDescent="0.3">
      <c r="H47854" t="str">
        <f t="shared" si="797"/>
        <v/>
      </c>
    </row>
    <row r="47855" spans="8:8" x14ac:dyDescent="0.3">
      <c r="H47855" t="str">
        <f t="shared" si="797"/>
        <v/>
      </c>
    </row>
    <row r="47856" spans="8:8" x14ac:dyDescent="0.3">
      <c r="H47856" t="str">
        <f t="shared" si="797"/>
        <v/>
      </c>
    </row>
    <row r="47857" spans="8:8" x14ac:dyDescent="0.3">
      <c r="H47857" t="str">
        <f t="shared" si="797"/>
        <v/>
      </c>
    </row>
    <row r="47858" spans="8:8" x14ac:dyDescent="0.3">
      <c r="H47858" t="str">
        <f t="shared" si="797"/>
        <v/>
      </c>
    </row>
    <row r="47859" spans="8:8" x14ac:dyDescent="0.3">
      <c r="H47859" t="str">
        <f t="shared" si="797"/>
        <v/>
      </c>
    </row>
    <row r="47860" spans="8:8" x14ac:dyDescent="0.3">
      <c r="H47860" t="str">
        <f t="shared" si="797"/>
        <v/>
      </c>
    </row>
    <row r="47861" spans="8:8" x14ac:dyDescent="0.3">
      <c r="H47861" t="str">
        <f t="shared" si="797"/>
        <v/>
      </c>
    </row>
    <row r="47862" spans="8:8" x14ac:dyDescent="0.3">
      <c r="H47862" t="str">
        <f t="shared" si="797"/>
        <v/>
      </c>
    </row>
    <row r="47863" spans="8:8" x14ac:dyDescent="0.3">
      <c r="H47863" t="str">
        <f t="shared" si="797"/>
        <v/>
      </c>
    </row>
    <row r="47864" spans="8:8" x14ac:dyDescent="0.3">
      <c r="H47864" t="str">
        <f t="shared" si="797"/>
        <v/>
      </c>
    </row>
    <row r="47865" spans="8:8" x14ac:dyDescent="0.3">
      <c r="H47865" t="str">
        <f t="shared" si="797"/>
        <v/>
      </c>
    </row>
    <row r="47866" spans="8:8" x14ac:dyDescent="0.3">
      <c r="H47866" t="str">
        <f t="shared" si="797"/>
        <v/>
      </c>
    </row>
    <row r="47867" spans="8:8" x14ac:dyDescent="0.3">
      <c r="H47867" t="str">
        <f t="shared" si="797"/>
        <v/>
      </c>
    </row>
    <row r="47868" spans="8:8" x14ac:dyDescent="0.3">
      <c r="H47868" t="str">
        <f t="shared" si="797"/>
        <v/>
      </c>
    </row>
    <row r="47869" spans="8:8" x14ac:dyDescent="0.3">
      <c r="H47869" t="str">
        <f t="shared" si="797"/>
        <v/>
      </c>
    </row>
    <row r="47870" spans="8:8" x14ac:dyDescent="0.3">
      <c r="H47870" t="str">
        <f t="shared" si="797"/>
        <v/>
      </c>
    </row>
    <row r="47871" spans="8:8" x14ac:dyDescent="0.3">
      <c r="H47871" t="str">
        <f t="shared" si="797"/>
        <v/>
      </c>
    </row>
    <row r="47872" spans="8:8" x14ac:dyDescent="0.3">
      <c r="H47872" t="str">
        <f t="shared" si="797"/>
        <v/>
      </c>
    </row>
    <row r="47873" spans="8:8" x14ac:dyDescent="0.3">
      <c r="H47873" t="str">
        <f t="shared" si="797"/>
        <v/>
      </c>
    </row>
    <row r="47874" spans="8:8" x14ac:dyDescent="0.3">
      <c r="H47874" t="str">
        <f t="shared" si="797"/>
        <v/>
      </c>
    </row>
    <row r="47875" spans="8:8" x14ac:dyDescent="0.3">
      <c r="H47875" t="str">
        <f t="shared" si="797"/>
        <v/>
      </c>
    </row>
    <row r="47876" spans="8:8" x14ac:dyDescent="0.3">
      <c r="H47876" t="str">
        <f t="shared" si="797"/>
        <v/>
      </c>
    </row>
    <row r="47877" spans="8:8" x14ac:dyDescent="0.3">
      <c r="H47877" t="str">
        <f t="shared" si="797"/>
        <v/>
      </c>
    </row>
    <row r="47878" spans="8:8" x14ac:dyDescent="0.3">
      <c r="H47878" t="str">
        <f t="shared" si="797"/>
        <v/>
      </c>
    </row>
    <row r="47879" spans="8:8" x14ac:dyDescent="0.3">
      <c r="H47879" t="str">
        <f t="shared" si="797"/>
        <v/>
      </c>
    </row>
    <row r="47880" spans="8:8" x14ac:dyDescent="0.3">
      <c r="H47880" t="str">
        <f t="shared" si="797"/>
        <v/>
      </c>
    </row>
    <row r="47881" spans="8:8" x14ac:dyDescent="0.3">
      <c r="H47881" t="str">
        <f t="shared" si="797"/>
        <v/>
      </c>
    </row>
    <row r="47882" spans="8:8" x14ac:dyDescent="0.3">
      <c r="H47882" t="str">
        <f t="shared" si="797"/>
        <v/>
      </c>
    </row>
    <row r="47883" spans="8:8" x14ac:dyDescent="0.3">
      <c r="H47883" t="str">
        <f t="shared" si="797"/>
        <v/>
      </c>
    </row>
    <row r="47884" spans="8:8" x14ac:dyDescent="0.3">
      <c r="H47884" t="str">
        <f t="shared" si="797"/>
        <v/>
      </c>
    </row>
    <row r="47885" spans="8:8" x14ac:dyDescent="0.3">
      <c r="H47885" t="str">
        <f t="shared" si="797"/>
        <v/>
      </c>
    </row>
    <row r="47886" spans="8:8" x14ac:dyDescent="0.3">
      <c r="H47886" t="str">
        <f t="shared" si="797"/>
        <v/>
      </c>
    </row>
    <row r="47887" spans="8:8" x14ac:dyDescent="0.3">
      <c r="H47887" t="str">
        <f t="shared" si="797"/>
        <v/>
      </c>
    </row>
    <row r="47888" spans="8:8" x14ac:dyDescent="0.3">
      <c r="H47888" t="str">
        <f t="shared" si="797"/>
        <v/>
      </c>
    </row>
    <row r="47889" spans="8:8" x14ac:dyDescent="0.3">
      <c r="H47889" t="str">
        <f t="shared" si="797"/>
        <v/>
      </c>
    </row>
    <row r="47890" spans="8:8" x14ac:dyDescent="0.3">
      <c r="H47890" t="str">
        <f t="shared" si="797"/>
        <v/>
      </c>
    </row>
    <row r="47891" spans="8:8" x14ac:dyDescent="0.3">
      <c r="H47891" t="str">
        <f t="shared" si="797"/>
        <v/>
      </c>
    </row>
    <row r="47892" spans="8:8" x14ac:dyDescent="0.3">
      <c r="H47892" t="str">
        <f t="shared" si="797"/>
        <v/>
      </c>
    </row>
    <row r="47893" spans="8:8" x14ac:dyDescent="0.3">
      <c r="H47893" t="str">
        <f t="shared" si="797"/>
        <v/>
      </c>
    </row>
    <row r="47894" spans="8:8" x14ac:dyDescent="0.3">
      <c r="H47894" t="str">
        <f t="shared" si="797"/>
        <v/>
      </c>
    </row>
    <row r="47895" spans="8:8" x14ac:dyDescent="0.3">
      <c r="H47895" t="str">
        <f t="shared" ref="H47895:H47958" si="798">IF(B47895="","",$C$12)</f>
        <v/>
      </c>
    </row>
    <row r="47896" spans="8:8" x14ac:dyDescent="0.3">
      <c r="H47896" t="str">
        <f t="shared" si="798"/>
        <v/>
      </c>
    </row>
    <row r="47897" spans="8:8" x14ac:dyDescent="0.3">
      <c r="H47897" t="str">
        <f t="shared" si="798"/>
        <v/>
      </c>
    </row>
    <row r="47898" spans="8:8" x14ac:dyDescent="0.3">
      <c r="H47898" t="str">
        <f t="shared" si="798"/>
        <v/>
      </c>
    </row>
    <row r="47899" spans="8:8" x14ac:dyDescent="0.3">
      <c r="H47899" t="str">
        <f t="shared" si="798"/>
        <v/>
      </c>
    </row>
    <row r="47900" spans="8:8" x14ac:dyDescent="0.3">
      <c r="H47900" t="str">
        <f t="shared" si="798"/>
        <v/>
      </c>
    </row>
    <row r="47901" spans="8:8" x14ac:dyDescent="0.3">
      <c r="H47901" t="str">
        <f t="shared" si="798"/>
        <v/>
      </c>
    </row>
    <row r="47902" spans="8:8" x14ac:dyDescent="0.3">
      <c r="H47902" t="str">
        <f t="shared" si="798"/>
        <v/>
      </c>
    </row>
    <row r="47903" spans="8:8" x14ac:dyDescent="0.3">
      <c r="H47903" t="str">
        <f t="shared" si="798"/>
        <v/>
      </c>
    </row>
    <row r="47904" spans="8:8" x14ac:dyDescent="0.3">
      <c r="H47904" t="str">
        <f t="shared" si="798"/>
        <v/>
      </c>
    </row>
    <row r="47905" spans="8:8" x14ac:dyDescent="0.3">
      <c r="H47905" t="str">
        <f t="shared" si="798"/>
        <v/>
      </c>
    </row>
    <row r="47906" spans="8:8" x14ac:dyDescent="0.3">
      <c r="H47906" t="str">
        <f t="shared" si="798"/>
        <v/>
      </c>
    </row>
    <row r="47907" spans="8:8" x14ac:dyDescent="0.3">
      <c r="H47907" t="str">
        <f t="shared" si="798"/>
        <v/>
      </c>
    </row>
    <row r="47908" spans="8:8" x14ac:dyDescent="0.3">
      <c r="H47908" t="str">
        <f t="shared" si="798"/>
        <v/>
      </c>
    </row>
    <row r="47909" spans="8:8" x14ac:dyDescent="0.3">
      <c r="H47909" t="str">
        <f t="shared" si="798"/>
        <v/>
      </c>
    </row>
    <row r="47910" spans="8:8" x14ac:dyDescent="0.3">
      <c r="H47910" t="str">
        <f t="shared" si="798"/>
        <v/>
      </c>
    </row>
    <row r="47911" spans="8:8" x14ac:dyDescent="0.3">
      <c r="H47911" t="str">
        <f t="shared" si="798"/>
        <v/>
      </c>
    </row>
    <row r="47912" spans="8:8" x14ac:dyDescent="0.3">
      <c r="H47912" t="str">
        <f t="shared" si="798"/>
        <v/>
      </c>
    </row>
    <row r="47913" spans="8:8" x14ac:dyDescent="0.3">
      <c r="H47913" t="str">
        <f t="shared" si="798"/>
        <v/>
      </c>
    </row>
    <row r="47914" spans="8:8" x14ac:dyDescent="0.3">
      <c r="H47914" t="str">
        <f t="shared" si="798"/>
        <v/>
      </c>
    </row>
    <row r="47915" spans="8:8" x14ac:dyDescent="0.3">
      <c r="H47915" t="str">
        <f t="shared" si="798"/>
        <v/>
      </c>
    </row>
    <row r="47916" spans="8:8" x14ac:dyDescent="0.3">
      <c r="H47916" t="str">
        <f t="shared" si="798"/>
        <v/>
      </c>
    </row>
    <row r="47917" spans="8:8" x14ac:dyDescent="0.3">
      <c r="H47917" t="str">
        <f t="shared" si="798"/>
        <v/>
      </c>
    </row>
    <row r="47918" spans="8:8" x14ac:dyDescent="0.3">
      <c r="H47918" t="str">
        <f t="shared" si="798"/>
        <v/>
      </c>
    </row>
    <row r="47919" spans="8:8" x14ac:dyDescent="0.3">
      <c r="H47919" t="str">
        <f t="shared" si="798"/>
        <v/>
      </c>
    </row>
    <row r="47920" spans="8:8" x14ac:dyDescent="0.3">
      <c r="H47920" t="str">
        <f t="shared" si="798"/>
        <v/>
      </c>
    </row>
    <row r="47921" spans="8:8" x14ac:dyDescent="0.3">
      <c r="H47921" t="str">
        <f t="shared" si="798"/>
        <v/>
      </c>
    </row>
    <row r="47922" spans="8:8" x14ac:dyDescent="0.3">
      <c r="H47922" t="str">
        <f t="shared" si="798"/>
        <v/>
      </c>
    </row>
    <row r="47923" spans="8:8" x14ac:dyDescent="0.3">
      <c r="H47923" t="str">
        <f t="shared" si="798"/>
        <v/>
      </c>
    </row>
    <row r="47924" spans="8:8" x14ac:dyDescent="0.3">
      <c r="H47924" t="str">
        <f t="shared" si="798"/>
        <v/>
      </c>
    </row>
    <row r="47925" spans="8:8" x14ac:dyDescent="0.3">
      <c r="H47925" t="str">
        <f t="shared" si="798"/>
        <v/>
      </c>
    </row>
    <row r="47926" spans="8:8" x14ac:dyDescent="0.3">
      <c r="H47926" t="str">
        <f t="shared" si="798"/>
        <v/>
      </c>
    </row>
    <row r="47927" spans="8:8" x14ac:dyDescent="0.3">
      <c r="H47927" t="str">
        <f t="shared" si="798"/>
        <v/>
      </c>
    </row>
    <row r="47928" spans="8:8" x14ac:dyDescent="0.3">
      <c r="H47928" t="str">
        <f t="shared" si="798"/>
        <v/>
      </c>
    </row>
    <row r="47929" spans="8:8" x14ac:dyDescent="0.3">
      <c r="H47929" t="str">
        <f t="shared" si="798"/>
        <v/>
      </c>
    </row>
    <row r="47930" spans="8:8" x14ac:dyDescent="0.3">
      <c r="H47930" t="str">
        <f t="shared" si="798"/>
        <v/>
      </c>
    </row>
    <row r="47931" spans="8:8" x14ac:dyDescent="0.3">
      <c r="H47931" t="str">
        <f t="shared" si="798"/>
        <v/>
      </c>
    </row>
    <row r="47932" spans="8:8" x14ac:dyDescent="0.3">
      <c r="H47932" t="str">
        <f t="shared" si="798"/>
        <v/>
      </c>
    </row>
    <row r="47933" spans="8:8" x14ac:dyDescent="0.3">
      <c r="H47933" t="str">
        <f t="shared" si="798"/>
        <v/>
      </c>
    </row>
    <row r="47934" spans="8:8" x14ac:dyDescent="0.3">
      <c r="H47934" t="str">
        <f t="shared" si="798"/>
        <v/>
      </c>
    </row>
    <row r="47935" spans="8:8" x14ac:dyDescent="0.3">
      <c r="H47935" t="str">
        <f t="shared" si="798"/>
        <v/>
      </c>
    </row>
    <row r="47936" spans="8:8" x14ac:dyDescent="0.3">
      <c r="H47936" t="str">
        <f t="shared" si="798"/>
        <v/>
      </c>
    </row>
    <row r="47937" spans="8:8" x14ac:dyDescent="0.3">
      <c r="H47937" t="str">
        <f t="shared" si="798"/>
        <v/>
      </c>
    </row>
    <row r="47938" spans="8:8" x14ac:dyDescent="0.3">
      <c r="H47938" t="str">
        <f t="shared" si="798"/>
        <v/>
      </c>
    </row>
    <row r="47939" spans="8:8" x14ac:dyDescent="0.3">
      <c r="H47939" t="str">
        <f t="shared" si="798"/>
        <v/>
      </c>
    </row>
    <row r="47940" spans="8:8" x14ac:dyDescent="0.3">
      <c r="H47940" t="str">
        <f t="shared" si="798"/>
        <v/>
      </c>
    </row>
    <row r="47941" spans="8:8" x14ac:dyDescent="0.3">
      <c r="H47941" t="str">
        <f t="shared" si="798"/>
        <v/>
      </c>
    </row>
    <row r="47942" spans="8:8" x14ac:dyDescent="0.3">
      <c r="H47942" t="str">
        <f t="shared" si="798"/>
        <v/>
      </c>
    </row>
    <row r="47943" spans="8:8" x14ac:dyDescent="0.3">
      <c r="H47943" t="str">
        <f t="shared" si="798"/>
        <v/>
      </c>
    </row>
    <row r="47944" spans="8:8" x14ac:dyDescent="0.3">
      <c r="H47944" t="str">
        <f t="shared" si="798"/>
        <v/>
      </c>
    </row>
    <row r="47945" spans="8:8" x14ac:dyDescent="0.3">
      <c r="H47945" t="str">
        <f t="shared" si="798"/>
        <v/>
      </c>
    </row>
    <row r="47946" spans="8:8" x14ac:dyDescent="0.3">
      <c r="H47946" t="str">
        <f t="shared" si="798"/>
        <v/>
      </c>
    </row>
    <row r="47947" spans="8:8" x14ac:dyDescent="0.3">
      <c r="H47947" t="str">
        <f t="shared" si="798"/>
        <v/>
      </c>
    </row>
    <row r="47948" spans="8:8" x14ac:dyDescent="0.3">
      <c r="H47948" t="str">
        <f t="shared" si="798"/>
        <v/>
      </c>
    </row>
    <row r="47949" spans="8:8" x14ac:dyDescent="0.3">
      <c r="H47949" t="str">
        <f t="shared" si="798"/>
        <v/>
      </c>
    </row>
    <row r="47950" spans="8:8" x14ac:dyDescent="0.3">
      <c r="H47950" t="str">
        <f t="shared" si="798"/>
        <v/>
      </c>
    </row>
    <row r="47951" spans="8:8" x14ac:dyDescent="0.3">
      <c r="H47951" t="str">
        <f t="shared" si="798"/>
        <v/>
      </c>
    </row>
    <row r="47952" spans="8:8" x14ac:dyDescent="0.3">
      <c r="H47952" t="str">
        <f t="shared" si="798"/>
        <v/>
      </c>
    </row>
    <row r="47953" spans="8:8" x14ac:dyDescent="0.3">
      <c r="H47953" t="str">
        <f t="shared" si="798"/>
        <v/>
      </c>
    </row>
    <row r="47954" spans="8:8" x14ac:dyDescent="0.3">
      <c r="H47954" t="str">
        <f t="shared" si="798"/>
        <v/>
      </c>
    </row>
    <row r="47955" spans="8:8" x14ac:dyDescent="0.3">
      <c r="H47955" t="str">
        <f t="shared" si="798"/>
        <v/>
      </c>
    </row>
    <row r="47956" spans="8:8" x14ac:dyDescent="0.3">
      <c r="H47956" t="str">
        <f t="shared" si="798"/>
        <v/>
      </c>
    </row>
    <row r="47957" spans="8:8" x14ac:dyDescent="0.3">
      <c r="H47957" t="str">
        <f t="shared" si="798"/>
        <v/>
      </c>
    </row>
    <row r="47958" spans="8:8" x14ac:dyDescent="0.3">
      <c r="H47958" t="str">
        <f t="shared" si="798"/>
        <v/>
      </c>
    </row>
    <row r="47959" spans="8:8" x14ac:dyDescent="0.3">
      <c r="H47959" t="str">
        <f t="shared" ref="H47959:H48022" si="799">IF(B47959="","",$C$12)</f>
        <v/>
      </c>
    </row>
    <row r="47960" spans="8:8" x14ac:dyDescent="0.3">
      <c r="H47960" t="str">
        <f t="shared" si="799"/>
        <v/>
      </c>
    </row>
    <row r="47961" spans="8:8" x14ac:dyDescent="0.3">
      <c r="H47961" t="str">
        <f t="shared" si="799"/>
        <v/>
      </c>
    </row>
    <row r="47962" spans="8:8" x14ac:dyDescent="0.3">
      <c r="H47962" t="str">
        <f t="shared" si="799"/>
        <v/>
      </c>
    </row>
    <row r="47963" spans="8:8" x14ac:dyDescent="0.3">
      <c r="H47963" t="str">
        <f t="shared" si="799"/>
        <v/>
      </c>
    </row>
    <row r="47964" spans="8:8" x14ac:dyDescent="0.3">
      <c r="H47964" t="str">
        <f t="shared" si="799"/>
        <v/>
      </c>
    </row>
    <row r="47965" spans="8:8" x14ac:dyDescent="0.3">
      <c r="H47965" t="str">
        <f t="shared" si="799"/>
        <v/>
      </c>
    </row>
    <row r="47966" spans="8:8" x14ac:dyDescent="0.3">
      <c r="H47966" t="str">
        <f t="shared" si="799"/>
        <v/>
      </c>
    </row>
    <row r="47967" spans="8:8" x14ac:dyDescent="0.3">
      <c r="H47967" t="str">
        <f t="shared" si="799"/>
        <v/>
      </c>
    </row>
    <row r="47968" spans="8:8" x14ac:dyDescent="0.3">
      <c r="H47968" t="str">
        <f t="shared" si="799"/>
        <v/>
      </c>
    </row>
    <row r="47969" spans="8:8" x14ac:dyDescent="0.3">
      <c r="H47969" t="str">
        <f t="shared" si="799"/>
        <v/>
      </c>
    </row>
    <row r="47970" spans="8:8" x14ac:dyDescent="0.3">
      <c r="H47970" t="str">
        <f t="shared" si="799"/>
        <v/>
      </c>
    </row>
    <row r="47971" spans="8:8" x14ac:dyDescent="0.3">
      <c r="H47971" t="str">
        <f t="shared" si="799"/>
        <v/>
      </c>
    </row>
    <row r="47972" spans="8:8" x14ac:dyDescent="0.3">
      <c r="H47972" t="str">
        <f t="shared" si="799"/>
        <v/>
      </c>
    </row>
    <row r="47973" spans="8:8" x14ac:dyDescent="0.3">
      <c r="H47973" t="str">
        <f t="shared" si="799"/>
        <v/>
      </c>
    </row>
    <row r="47974" spans="8:8" x14ac:dyDescent="0.3">
      <c r="H47974" t="str">
        <f t="shared" si="799"/>
        <v/>
      </c>
    </row>
    <row r="47975" spans="8:8" x14ac:dyDescent="0.3">
      <c r="H47975" t="str">
        <f t="shared" si="799"/>
        <v/>
      </c>
    </row>
    <row r="47976" spans="8:8" x14ac:dyDescent="0.3">
      <c r="H47976" t="str">
        <f t="shared" si="799"/>
        <v/>
      </c>
    </row>
    <row r="47977" spans="8:8" x14ac:dyDescent="0.3">
      <c r="H47977" t="str">
        <f t="shared" si="799"/>
        <v/>
      </c>
    </row>
    <row r="47978" spans="8:8" x14ac:dyDescent="0.3">
      <c r="H47978" t="str">
        <f t="shared" si="799"/>
        <v/>
      </c>
    </row>
    <row r="47979" spans="8:8" x14ac:dyDescent="0.3">
      <c r="H47979" t="str">
        <f t="shared" si="799"/>
        <v/>
      </c>
    </row>
    <row r="47980" spans="8:8" x14ac:dyDescent="0.3">
      <c r="H47980" t="str">
        <f t="shared" si="799"/>
        <v/>
      </c>
    </row>
    <row r="47981" spans="8:8" x14ac:dyDescent="0.3">
      <c r="H47981" t="str">
        <f t="shared" si="799"/>
        <v/>
      </c>
    </row>
    <row r="47982" spans="8:8" x14ac:dyDescent="0.3">
      <c r="H47982" t="str">
        <f t="shared" si="799"/>
        <v/>
      </c>
    </row>
    <row r="47983" spans="8:8" x14ac:dyDescent="0.3">
      <c r="H47983" t="str">
        <f t="shared" si="799"/>
        <v/>
      </c>
    </row>
    <row r="47984" spans="8:8" x14ac:dyDescent="0.3">
      <c r="H47984" t="str">
        <f t="shared" si="799"/>
        <v/>
      </c>
    </row>
    <row r="47985" spans="8:8" x14ac:dyDescent="0.3">
      <c r="H47985" t="str">
        <f t="shared" si="799"/>
        <v/>
      </c>
    </row>
    <row r="47986" spans="8:8" x14ac:dyDescent="0.3">
      <c r="H47986" t="str">
        <f t="shared" si="799"/>
        <v/>
      </c>
    </row>
    <row r="47987" spans="8:8" x14ac:dyDescent="0.3">
      <c r="H47987" t="str">
        <f t="shared" si="799"/>
        <v/>
      </c>
    </row>
    <row r="47988" spans="8:8" x14ac:dyDescent="0.3">
      <c r="H47988" t="str">
        <f t="shared" si="799"/>
        <v/>
      </c>
    </row>
    <row r="47989" spans="8:8" x14ac:dyDescent="0.3">
      <c r="H47989" t="str">
        <f t="shared" si="799"/>
        <v/>
      </c>
    </row>
    <row r="47990" spans="8:8" x14ac:dyDescent="0.3">
      <c r="H47990" t="str">
        <f t="shared" si="799"/>
        <v/>
      </c>
    </row>
    <row r="47991" spans="8:8" x14ac:dyDescent="0.3">
      <c r="H47991" t="str">
        <f t="shared" si="799"/>
        <v/>
      </c>
    </row>
    <row r="47992" spans="8:8" x14ac:dyDescent="0.3">
      <c r="H47992" t="str">
        <f t="shared" si="799"/>
        <v/>
      </c>
    </row>
    <row r="47993" spans="8:8" x14ac:dyDescent="0.3">
      <c r="H47993" t="str">
        <f t="shared" si="799"/>
        <v/>
      </c>
    </row>
    <row r="47994" spans="8:8" x14ac:dyDescent="0.3">
      <c r="H47994" t="str">
        <f t="shared" si="799"/>
        <v/>
      </c>
    </row>
    <row r="47995" spans="8:8" x14ac:dyDescent="0.3">
      <c r="H47995" t="str">
        <f t="shared" si="799"/>
        <v/>
      </c>
    </row>
    <row r="47996" spans="8:8" x14ac:dyDescent="0.3">
      <c r="H47996" t="str">
        <f t="shared" si="799"/>
        <v/>
      </c>
    </row>
    <row r="47997" spans="8:8" x14ac:dyDescent="0.3">
      <c r="H47997" t="str">
        <f t="shared" si="799"/>
        <v/>
      </c>
    </row>
    <row r="47998" spans="8:8" x14ac:dyDescent="0.3">
      <c r="H47998" t="str">
        <f t="shared" si="799"/>
        <v/>
      </c>
    </row>
    <row r="47999" spans="8:8" x14ac:dyDescent="0.3">
      <c r="H47999" t="str">
        <f t="shared" si="799"/>
        <v/>
      </c>
    </row>
    <row r="48000" spans="8:8" x14ac:dyDescent="0.3">
      <c r="H48000" t="str">
        <f t="shared" si="799"/>
        <v/>
      </c>
    </row>
    <row r="48001" spans="8:8" x14ac:dyDescent="0.3">
      <c r="H48001" t="str">
        <f t="shared" si="799"/>
        <v/>
      </c>
    </row>
    <row r="48002" spans="8:8" x14ac:dyDescent="0.3">
      <c r="H48002" t="str">
        <f t="shared" si="799"/>
        <v/>
      </c>
    </row>
    <row r="48003" spans="8:8" x14ac:dyDescent="0.3">
      <c r="H48003" t="str">
        <f t="shared" si="799"/>
        <v/>
      </c>
    </row>
    <row r="48004" spans="8:8" x14ac:dyDescent="0.3">
      <c r="H48004" t="str">
        <f t="shared" si="799"/>
        <v/>
      </c>
    </row>
    <row r="48005" spans="8:8" x14ac:dyDescent="0.3">
      <c r="H48005" t="str">
        <f t="shared" si="799"/>
        <v/>
      </c>
    </row>
    <row r="48006" spans="8:8" x14ac:dyDescent="0.3">
      <c r="H48006" t="str">
        <f t="shared" si="799"/>
        <v/>
      </c>
    </row>
    <row r="48007" spans="8:8" x14ac:dyDescent="0.3">
      <c r="H48007" t="str">
        <f t="shared" si="799"/>
        <v/>
      </c>
    </row>
    <row r="48008" spans="8:8" x14ac:dyDescent="0.3">
      <c r="H48008" t="str">
        <f t="shared" si="799"/>
        <v/>
      </c>
    </row>
    <row r="48009" spans="8:8" x14ac:dyDescent="0.3">
      <c r="H48009" t="str">
        <f t="shared" si="799"/>
        <v/>
      </c>
    </row>
    <row r="48010" spans="8:8" x14ac:dyDescent="0.3">
      <c r="H48010" t="str">
        <f t="shared" si="799"/>
        <v/>
      </c>
    </row>
    <row r="48011" spans="8:8" x14ac:dyDescent="0.3">
      <c r="H48011" t="str">
        <f t="shared" si="799"/>
        <v/>
      </c>
    </row>
    <row r="48012" spans="8:8" x14ac:dyDescent="0.3">
      <c r="H48012" t="str">
        <f t="shared" si="799"/>
        <v/>
      </c>
    </row>
    <row r="48013" spans="8:8" x14ac:dyDescent="0.3">
      <c r="H48013" t="str">
        <f t="shared" si="799"/>
        <v/>
      </c>
    </row>
    <row r="48014" spans="8:8" x14ac:dyDescent="0.3">
      <c r="H48014" t="str">
        <f t="shared" si="799"/>
        <v/>
      </c>
    </row>
    <row r="48015" spans="8:8" x14ac:dyDescent="0.3">
      <c r="H48015" t="str">
        <f t="shared" si="799"/>
        <v/>
      </c>
    </row>
    <row r="48016" spans="8:8" x14ac:dyDescent="0.3">
      <c r="H48016" t="str">
        <f t="shared" si="799"/>
        <v/>
      </c>
    </row>
    <row r="48017" spans="8:8" x14ac:dyDescent="0.3">
      <c r="H48017" t="str">
        <f t="shared" si="799"/>
        <v/>
      </c>
    </row>
    <row r="48018" spans="8:8" x14ac:dyDescent="0.3">
      <c r="H48018" t="str">
        <f t="shared" si="799"/>
        <v/>
      </c>
    </row>
    <row r="48019" spans="8:8" x14ac:dyDescent="0.3">
      <c r="H48019" t="str">
        <f t="shared" si="799"/>
        <v/>
      </c>
    </row>
    <row r="48020" spans="8:8" x14ac:dyDescent="0.3">
      <c r="H48020" t="str">
        <f t="shared" si="799"/>
        <v/>
      </c>
    </row>
    <row r="48021" spans="8:8" x14ac:dyDescent="0.3">
      <c r="H48021" t="str">
        <f t="shared" si="799"/>
        <v/>
      </c>
    </row>
    <row r="48022" spans="8:8" x14ac:dyDescent="0.3">
      <c r="H48022" t="str">
        <f t="shared" si="799"/>
        <v/>
      </c>
    </row>
    <row r="48023" spans="8:8" x14ac:dyDescent="0.3">
      <c r="H48023" t="str">
        <f t="shared" ref="H48023:H48086" si="800">IF(B48023="","",$C$12)</f>
        <v/>
      </c>
    </row>
    <row r="48024" spans="8:8" x14ac:dyDescent="0.3">
      <c r="H48024" t="str">
        <f t="shared" si="800"/>
        <v/>
      </c>
    </row>
    <row r="48025" spans="8:8" x14ac:dyDescent="0.3">
      <c r="H48025" t="str">
        <f t="shared" si="800"/>
        <v/>
      </c>
    </row>
    <row r="48026" spans="8:8" x14ac:dyDescent="0.3">
      <c r="H48026" t="str">
        <f t="shared" si="800"/>
        <v/>
      </c>
    </row>
    <row r="48027" spans="8:8" x14ac:dyDescent="0.3">
      <c r="H48027" t="str">
        <f t="shared" si="800"/>
        <v/>
      </c>
    </row>
    <row r="48028" spans="8:8" x14ac:dyDescent="0.3">
      <c r="H48028" t="str">
        <f t="shared" si="800"/>
        <v/>
      </c>
    </row>
    <row r="48029" spans="8:8" x14ac:dyDescent="0.3">
      <c r="H48029" t="str">
        <f t="shared" si="800"/>
        <v/>
      </c>
    </row>
    <row r="48030" spans="8:8" x14ac:dyDescent="0.3">
      <c r="H48030" t="str">
        <f t="shared" si="800"/>
        <v/>
      </c>
    </row>
    <row r="48031" spans="8:8" x14ac:dyDescent="0.3">
      <c r="H48031" t="str">
        <f t="shared" si="800"/>
        <v/>
      </c>
    </row>
    <row r="48032" spans="8:8" x14ac:dyDescent="0.3">
      <c r="H48032" t="str">
        <f t="shared" si="800"/>
        <v/>
      </c>
    </row>
    <row r="48033" spans="8:8" x14ac:dyDescent="0.3">
      <c r="H48033" t="str">
        <f t="shared" si="800"/>
        <v/>
      </c>
    </row>
    <row r="48034" spans="8:8" x14ac:dyDescent="0.3">
      <c r="H48034" t="str">
        <f t="shared" si="800"/>
        <v/>
      </c>
    </row>
    <row r="48035" spans="8:8" x14ac:dyDescent="0.3">
      <c r="H48035" t="str">
        <f t="shared" si="800"/>
        <v/>
      </c>
    </row>
    <row r="48036" spans="8:8" x14ac:dyDescent="0.3">
      <c r="H48036" t="str">
        <f t="shared" si="800"/>
        <v/>
      </c>
    </row>
    <row r="48037" spans="8:8" x14ac:dyDescent="0.3">
      <c r="H48037" t="str">
        <f t="shared" si="800"/>
        <v/>
      </c>
    </row>
    <row r="48038" spans="8:8" x14ac:dyDescent="0.3">
      <c r="H48038" t="str">
        <f t="shared" si="800"/>
        <v/>
      </c>
    </row>
    <row r="48039" spans="8:8" x14ac:dyDescent="0.3">
      <c r="H48039" t="str">
        <f t="shared" si="800"/>
        <v/>
      </c>
    </row>
    <row r="48040" spans="8:8" x14ac:dyDescent="0.3">
      <c r="H48040" t="str">
        <f t="shared" si="800"/>
        <v/>
      </c>
    </row>
    <row r="48041" spans="8:8" x14ac:dyDescent="0.3">
      <c r="H48041" t="str">
        <f t="shared" si="800"/>
        <v/>
      </c>
    </row>
    <row r="48042" spans="8:8" x14ac:dyDescent="0.3">
      <c r="H48042" t="str">
        <f t="shared" si="800"/>
        <v/>
      </c>
    </row>
    <row r="48043" spans="8:8" x14ac:dyDescent="0.3">
      <c r="H48043" t="str">
        <f t="shared" si="800"/>
        <v/>
      </c>
    </row>
    <row r="48044" spans="8:8" x14ac:dyDescent="0.3">
      <c r="H48044" t="str">
        <f t="shared" si="800"/>
        <v/>
      </c>
    </row>
    <row r="48045" spans="8:8" x14ac:dyDescent="0.3">
      <c r="H48045" t="str">
        <f t="shared" si="800"/>
        <v/>
      </c>
    </row>
    <row r="48046" spans="8:8" x14ac:dyDescent="0.3">
      <c r="H48046" t="str">
        <f t="shared" si="800"/>
        <v/>
      </c>
    </row>
    <row r="48047" spans="8:8" x14ac:dyDescent="0.3">
      <c r="H48047" t="str">
        <f t="shared" si="800"/>
        <v/>
      </c>
    </row>
    <row r="48048" spans="8:8" x14ac:dyDescent="0.3">
      <c r="H48048" t="str">
        <f t="shared" si="800"/>
        <v/>
      </c>
    </row>
    <row r="48049" spans="8:8" x14ac:dyDescent="0.3">
      <c r="H48049" t="str">
        <f t="shared" si="800"/>
        <v/>
      </c>
    </row>
    <row r="48050" spans="8:8" x14ac:dyDescent="0.3">
      <c r="H48050" t="str">
        <f t="shared" si="800"/>
        <v/>
      </c>
    </row>
    <row r="48051" spans="8:8" x14ac:dyDescent="0.3">
      <c r="H48051" t="str">
        <f t="shared" si="800"/>
        <v/>
      </c>
    </row>
    <row r="48052" spans="8:8" x14ac:dyDescent="0.3">
      <c r="H48052" t="str">
        <f t="shared" si="800"/>
        <v/>
      </c>
    </row>
    <row r="48053" spans="8:8" x14ac:dyDescent="0.3">
      <c r="H48053" t="str">
        <f t="shared" si="800"/>
        <v/>
      </c>
    </row>
    <row r="48054" spans="8:8" x14ac:dyDescent="0.3">
      <c r="H48054" t="str">
        <f t="shared" si="800"/>
        <v/>
      </c>
    </row>
    <row r="48055" spans="8:8" x14ac:dyDescent="0.3">
      <c r="H48055" t="str">
        <f t="shared" si="800"/>
        <v/>
      </c>
    </row>
    <row r="48056" spans="8:8" x14ac:dyDescent="0.3">
      <c r="H48056" t="str">
        <f t="shared" si="800"/>
        <v/>
      </c>
    </row>
    <row r="48057" spans="8:8" x14ac:dyDescent="0.3">
      <c r="H48057" t="str">
        <f t="shared" si="800"/>
        <v/>
      </c>
    </row>
    <row r="48058" spans="8:8" x14ac:dyDescent="0.3">
      <c r="H48058" t="str">
        <f t="shared" si="800"/>
        <v/>
      </c>
    </row>
    <row r="48059" spans="8:8" x14ac:dyDescent="0.3">
      <c r="H48059" t="str">
        <f t="shared" si="800"/>
        <v/>
      </c>
    </row>
    <row r="48060" spans="8:8" x14ac:dyDescent="0.3">
      <c r="H48060" t="str">
        <f t="shared" si="800"/>
        <v/>
      </c>
    </row>
    <row r="48061" spans="8:8" x14ac:dyDescent="0.3">
      <c r="H48061" t="str">
        <f t="shared" si="800"/>
        <v/>
      </c>
    </row>
    <row r="48062" spans="8:8" x14ac:dyDescent="0.3">
      <c r="H48062" t="str">
        <f t="shared" si="800"/>
        <v/>
      </c>
    </row>
    <row r="48063" spans="8:8" x14ac:dyDescent="0.3">
      <c r="H48063" t="str">
        <f t="shared" si="800"/>
        <v/>
      </c>
    </row>
    <row r="48064" spans="8:8" x14ac:dyDescent="0.3">
      <c r="H48064" t="str">
        <f t="shared" si="800"/>
        <v/>
      </c>
    </row>
    <row r="48065" spans="8:8" x14ac:dyDescent="0.3">
      <c r="H48065" t="str">
        <f t="shared" si="800"/>
        <v/>
      </c>
    </row>
    <row r="48066" spans="8:8" x14ac:dyDescent="0.3">
      <c r="H48066" t="str">
        <f t="shared" si="800"/>
        <v/>
      </c>
    </row>
    <row r="48067" spans="8:8" x14ac:dyDescent="0.3">
      <c r="H48067" t="str">
        <f t="shared" si="800"/>
        <v/>
      </c>
    </row>
    <row r="48068" spans="8:8" x14ac:dyDescent="0.3">
      <c r="H48068" t="str">
        <f t="shared" si="800"/>
        <v/>
      </c>
    </row>
    <row r="48069" spans="8:8" x14ac:dyDescent="0.3">
      <c r="H48069" t="str">
        <f t="shared" si="800"/>
        <v/>
      </c>
    </row>
    <row r="48070" spans="8:8" x14ac:dyDescent="0.3">
      <c r="H48070" t="str">
        <f t="shared" si="800"/>
        <v/>
      </c>
    </row>
    <row r="48071" spans="8:8" x14ac:dyDescent="0.3">
      <c r="H48071" t="str">
        <f t="shared" si="800"/>
        <v/>
      </c>
    </row>
    <row r="48072" spans="8:8" x14ac:dyDescent="0.3">
      <c r="H48072" t="str">
        <f t="shared" si="800"/>
        <v/>
      </c>
    </row>
    <row r="48073" spans="8:8" x14ac:dyDescent="0.3">
      <c r="H48073" t="str">
        <f t="shared" si="800"/>
        <v/>
      </c>
    </row>
    <row r="48074" spans="8:8" x14ac:dyDescent="0.3">
      <c r="H48074" t="str">
        <f t="shared" si="800"/>
        <v/>
      </c>
    </row>
    <row r="48075" spans="8:8" x14ac:dyDescent="0.3">
      <c r="H48075" t="str">
        <f t="shared" si="800"/>
        <v/>
      </c>
    </row>
    <row r="48076" spans="8:8" x14ac:dyDescent="0.3">
      <c r="H48076" t="str">
        <f t="shared" si="800"/>
        <v/>
      </c>
    </row>
    <row r="48077" spans="8:8" x14ac:dyDescent="0.3">
      <c r="H48077" t="str">
        <f t="shared" si="800"/>
        <v/>
      </c>
    </row>
    <row r="48078" spans="8:8" x14ac:dyDescent="0.3">
      <c r="H48078" t="str">
        <f t="shared" si="800"/>
        <v/>
      </c>
    </row>
    <row r="48079" spans="8:8" x14ac:dyDescent="0.3">
      <c r="H48079" t="str">
        <f t="shared" si="800"/>
        <v/>
      </c>
    </row>
    <row r="48080" spans="8:8" x14ac:dyDescent="0.3">
      <c r="H48080" t="str">
        <f t="shared" si="800"/>
        <v/>
      </c>
    </row>
    <row r="48081" spans="8:8" x14ac:dyDescent="0.3">
      <c r="H48081" t="str">
        <f t="shared" si="800"/>
        <v/>
      </c>
    </row>
    <row r="48082" spans="8:8" x14ac:dyDescent="0.3">
      <c r="H48082" t="str">
        <f t="shared" si="800"/>
        <v/>
      </c>
    </row>
    <row r="48083" spans="8:8" x14ac:dyDescent="0.3">
      <c r="H48083" t="str">
        <f t="shared" si="800"/>
        <v/>
      </c>
    </row>
    <row r="48084" spans="8:8" x14ac:dyDescent="0.3">
      <c r="H48084" t="str">
        <f t="shared" si="800"/>
        <v/>
      </c>
    </row>
    <row r="48085" spans="8:8" x14ac:dyDescent="0.3">
      <c r="H48085" t="str">
        <f t="shared" si="800"/>
        <v/>
      </c>
    </row>
    <row r="48086" spans="8:8" x14ac:dyDescent="0.3">
      <c r="H48086" t="str">
        <f t="shared" si="800"/>
        <v/>
      </c>
    </row>
    <row r="48087" spans="8:8" x14ac:dyDescent="0.3">
      <c r="H48087" t="str">
        <f t="shared" ref="H48087:H48150" si="801">IF(B48087="","",$C$12)</f>
        <v/>
      </c>
    </row>
    <row r="48088" spans="8:8" x14ac:dyDescent="0.3">
      <c r="H48088" t="str">
        <f t="shared" si="801"/>
        <v/>
      </c>
    </row>
    <row r="48089" spans="8:8" x14ac:dyDescent="0.3">
      <c r="H48089" t="str">
        <f t="shared" si="801"/>
        <v/>
      </c>
    </row>
    <row r="48090" spans="8:8" x14ac:dyDescent="0.3">
      <c r="H48090" t="str">
        <f t="shared" si="801"/>
        <v/>
      </c>
    </row>
    <row r="48091" spans="8:8" x14ac:dyDescent="0.3">
      <c r="H48091" t="str">
        <f t="shared" si="801"/>
        <v/>
      </c>
    </row>
    <row r="48092" spans="8:8" x14ac:dyDescent="0.3">
      <c r="H48092" t="str">
        <f t="shared" si="801"/>
        <v/>
      </c>
    </row>
    <row r="48093" spans="8:8" x14ac:dyDescent="0.3">
      <c r="H48093" t="str">
        <f t="shared" si="801"/>
        <v/>
      </c>
    </row>
    <row r="48094" spans="8:8" x14ac:dyDescent="0.3">
      <c r="H48094" t="str">
        <f t="shared" si="801"/>
        <v/>
      </c>
    </row>
    <row r="48095" spans="8:8" x14ac:dyDescent="0.3">
      <c r="H48095" t="str">
        <f t="shared" si="801"/>
        <v/>
      </c>
    </row>
    <row r="48096" spans="8:8" x14ac:dyDescent="0.3">
      <c r="H48096" t="str">
        <f t="shared" si="801"/>
        <v/>
      </c>
    </row>
    <row r="48097" spans="8:8" x14ac:dyDescent="0.3">
      <c r="H48097" t="str">
        <f t="shared" si="801"/>
        <v/>
      </c>
    </row>
    <row r="48098" spans="8:8" x14ac:dyDescent="0.3">
      <c r="H48098" t="str">
        <f t="shared" si="801"/>
        <v/>
      </c>
    </row>
    <row r="48099" spans="8:8" x14ac:dyDescent="0.3">
      <c r="H48099" t="str">
        <f t="shared" si="801"/>
        <v/>
      </c>
    </row>
    <row r="48100" spans="8:8" x14ac:dyDescent="0.3">
      <c r="H48100" t="str">
        <f t="shared" si="801"/>
        <v/>
      </c>
    </row>
    <row r="48101" spans="8:8" x14ac:dyDescent="0.3">
      <c r="H48101" t="str">
        <f t="shared" si="801"/>
        <v/>
      </c>
    </row>
    <row r="48102" spans="8:8" x14ac:dyDescent="0.3">
      <c r="H48102" t="str">
        <f t="shared" si="801"/>
        <v/>
      </c>
    </row>
    <row r="48103" spans="8:8" x14ac:dyDescent="0.3">
      <c r="H48103" t="str">
        <f t="shared" si="801"/>
        <v/>
      </c>
    </row>
    <row r="48104" spans="8:8" x14ac:dyDescent="0.3">
      <c r="H48104" t="str">
        <f t="shared" si="801"/>
        <v/>
      </c>
    </row>
    <row r="48105" spans="8:8" x14ac:dyDescent="0.3">
      <c r="H48105" t="str">
        <f t="shared" si="801"/>
        <v/>
      </c>
    </row>
    <row r="48106" spans="8:8" x14ac:dyDescent="0.3">
      <c r="H48106" t="str">
        <f t="shared" si="801"/>
        <v/>
      </c>
    </row>
    <row r="48107" spans="8:8" x14ac:dyDescent="0.3">
      <c r="H48107" t="str">
        <f t="shared" si="801"/>
        <v/>
      </c>
    </row>
    <row r="48108" spans="8:8" x14ac:dyDescent="0.3">
      <c r="H48108" t="str">
        <f t="shared" si="801"/>
        <v/>
      </c>
    </row>
    <row r="48109" spans="8:8" x14ac:dyDescent="0.3">
      <c r="H48109" t="str">
        <f t="shared" si="801"/>
        <v/>
      </c>
    </row>
    <row r="48110" spans="8:8" x14ac:dyDescent="0.3">
      <c r="H48110" t="str">
        <f t="shared" si="801"/>
        <v/>
      </c>
    </row>
    <row r="48111" spans="8:8" x14ac:dyDescent="0.3">
      <c r="H48111" t="str">
        <f t="shared" si="801"/>
        <v/>
      </c>
    </row>
    <row r="48112" spans="8:8" x14ac:dyDescent="0.3">
      <c r="H48112" t="str">
        <f t="shared" si="801"/>
        <v/>
      </c>
    </row>
    <row r="48113" spans="8:8" x14ac:dyDescent="0.3">
      <c r="H48113" t="str">
        <f t="shared" si="801"/>
        <v/>
      </c>
    </row>
    <row r="48114" spans="8:8" x14ac:dyDescent="0.3">
      <c r="H48114" t="str">
        <f t="shared" si="801"/>
        <v/>
      </c>
    </row>
    <row r="48115" spans="8:8" x14ac:dyDescent="0.3">
      <c r="H48115" t="str">
        <f t="shared" si="801"/>
        <v/>
      </c>
    </row>
    <row r="48116" spans="8:8" x14ac:dyDescent="0.3">
      <c r="H48116" t="str">
        <f t="shared" si="801"/>
        <v/>
      </c>
    </row>
    <row r="48117" spans="8:8" x14ac:dyDescent="0.3">
      <c r="H48117" t="str">
        <f t="shared" si="801"/>
        <v/>
      </c>
    </row>
    <row r="48118" spans="8:8" x14ac:dyDescent="0.3">
      <c r="H48118" t="str">
        <f t="shared" si="801"/>
        <v/>
      </c>
    </row>
    <row r="48119" spans="8:8" x14ac:dyDescent="0.3">
      <c r="H48119" t="str">
        <f t="shared" si="801"/>
        <v/>
      </c>
    </row>
    <row r="48120" spans="8:8" x14ac:dyDescent="0.3">
      <c r="H48120" t="str">
        <f t="shared" si="801"/>
        <v/>
      </c>
    </row>
    <row r="48121" spans="8:8" x14ac:dyDescent="0.3">
      <c r="H48121" t="str">
        <f t="shared" si="801"/>
        <v/>
      </c>
    </row>
    <row r="48122" spans="8:8" x14ac:dyDescent="0.3">
      <c r="H48122" t="str">
        <f t="shared" si="801"/>
        <v/>
      </c>
    </row>
    <row r="48123" spans="8:8" x14ac:dyDescent="0.3">
      <c r="H48123" t="str">
        <f t="shared" si="801"/>
        <v/>
      </c>
    </row>
    <row r="48124" spans="8:8" x14ac:dyDescent="0.3">
      <c r="H48124" t="str">
        <f t="shared" si="801"/>
        <v/>
      </c>
    </row>
    <row r="48125" spans="8:8" x14ac:dyDescent="0.3">
      <c r="H48125" t="str">
        <f t="shared" si="801"/>
        <v/>
      </c>
    </row>
    <row r="48126" spans="8:8" x14ac:dyDescent="0.3">
      <c r="H48126" t="str">
        <f t="shared" si="801"/>
        <v/>
      </c>
    </row>
    <row r="48127" spans="8:8" x14ac:dyDescent="0.3">
      <c r="H48127" t="str">
        <f t="shared" si="801"/>
        <v/>
      </c>
    </row>
    <row r="48128" spans="8:8" x14ac:dyDescent="0.3">
      <c r="H48128" t="str">
        <f t="shared" si="801"/>
        <v/>
      </c>
    </row>
    <row r="48129" spans="8:8" x14ac:dyDescent="0.3">
      <c r="H48129" t="str">
        <f t="shared" si="801"/>
        <v/>
      </c>
    </row>
    <row r="48130" spans="8:8" x14ac:dyDescent="0.3">
      <c r="H48130" t="str">
        <f t="shared" si="801"/>
        <v/>
      </c>
    </row>
    <row r="48131" spans="8:8" x14ac:dyDescent="0.3">
      <c r="H48131" t="str">
        <f t="shared" si="801"/>
        <v/>
      </c>
    </row>
    <row r="48132" spans="8:8" x14ac:dyDescent="0.3">
      <c r="H48132" t="str">
        <f t="shared" si="801"/>
        <v/>
      </c>
    </row>
    <row r="48133" spans="8:8" x14ac:dyDescent="0.3">
      <c r="H48133" t="str">
        <f t="shared" si="801"/>
        <v/>
      </c>
    </row>
    <row r="48134" spans="8:8" x14ac:dyDescent="0.3">
      <c r="H48134" t="str">
        <f t="shared" si="801"/>
        <v/>
      </c>
    </row>
    <row r="48135" spans="8:8" x14ac:dyDescent="0.3">
      <c r="H48135" t="str">
        <f t="shared" si="801"/>
        <v/>
      </c>
    </row>
    <row r="48136" spans="8:8" x14ac:dyDescent="0.3">
      <c r="H48136" t="str">
        <f t="shared" si="801"/>
        <v/>
      </c>
    </row>
    <row r="48137" spans="8:8" x14ac:dyDescent="0.3">
      <c r="H48137" t="str">
        <f t="shared" si="801"/>
        <v/>
      </c>
    </row>
    <row r="48138" spans="8:8" x14ac:dyDescent="0.3">
      <c r="H48138" t="str">
        <f t="shared" si="801"/>
        <v/>
      </c>
    </row>
    <row r="48139" spans="8:8" x14ac:dyDescent="0.3">
      <c r="H48139" t="str">
        <f t="shared" si="801"/>
        <v/>
      </c>
    </row>
    <row r="48140" spans="8:8" x14ac:dyDescent="0.3">
      <c r="H48140" t="str">
        <f t="shared" si="801"/>
        <v/>
      </c>
    </row>
    <row r="48141" spans="8:8" x14ac:dyDescent="0.3">
      <c r="H48141" t="str">
        <f t="shared" si="801"/>
        <v/>
      </c>
    </row>
    <row r="48142" spans="8:8" x14ac:dyDescent="0.3">
      <c r="H48142" t="str">
        <f t="shared" si="801"/>
        <v/>
      </c>
    </row>
    <row r="48143" spans="8:8" x14ac:dyDescent="0.3">
      <c r="H48143" t="str">
        <f t="shared" si="801"/>
        <v/>
      </c>
    </row>
    <row r="48144" spans="8:8" x14ac:dyDescent="0.3">
      <c r="H48144" t="str">
        <f t="shared" si="801"/>
        <v/>
      </c>
    </row>
    <row r="48145" spans="8:8" x14ac:dyDescent="0.3">
      <c r="H48145" t="str">
        <f t="shared" si="801"/>
        <v/>
      </c>
    </row>
    <row r="48146" spans="8:8" x14ac:dyDescent="0.3">
      <c r="H48146" t="str">
        <f t="shared" si="801"/>
        <v/>
      </c>
    </row>
    <row r="48147" spans="8:8" x14ac:dyDescent="0.3">
      <c r="H48147" t="str">
        <f t="shared" si="801"/>
        <v/>
      </c>
    </row>
    <row r="48148" spans="8:8" x14ac:dyDescent="0.3">
      <c r="H48148" t="str">
        <f t="shared" si="801"/>
        <v/>
      </c>
    </row>
    <row r="48149" spans="8:8" x14ac:dyDescent="0.3">
      <c r="H48149" t="str">
        <f t="shared" si="801"/>
        <v/>
      </c>
    </row>
    <row r="48150" spans="8:8" x14ac:dyDescent="0.3">
      <c r="H48150" t="str">
        <f t="shared" si="801"/>
        <v/>
      </c>
    </row>
    <row r="48151" spans="8:8" x14ac:dyDescent="0.3">
      <c r="H48151" t="str">
        <f t="shared" ref="H48151:H48214" si="802">IF(B48151="","",$C$12)</f>
        <v/>
      </c>
    </row>
    <row r="48152" spans="8:8" x14ac:dyDescent="0.3">
      <c r="H48152" t="str">
        <f t="shared" si="802"/>
        <v/>
      </c>
    </row>
    <row r="48153" spans="8:8" x14ac:dyDescent="0.3">
      <c r="H48153" t="str">
        <f t="shared" si="802"/>
        <v/>
      </c>
    </row>
    <row r="48154" spans="8:8" x14ac:dyDescent="0.3">
      <c r="H48154" t="str">
        <f t="shared" si="802"/>
        <v/>
      </c>
    </row>
    <row r="48155" spans="8:8" x14ac:dyDescent="0.3">
      <c r="H48155" t="str">
        <f t="shared" si="802"/>
        <v/>
      </c>
    </row>
    <row r="48156" spans="8:8" x14ac:dyDescent="0.3">
      <c r="H48156" t="str">
        <f t="shared" si="802"/>
        <v/>
      </c>
    </row>
    <row r="48157" spans="8:8" x14ac:dyDescent="0.3">
      <c r="H48157" t="str">
        <f t="shared" si="802"/>
        <v/>
      </c>
    </row>
    <row r="48158" spans="8:8" x14ac:dyDescent="0.3">
      <c r="H48158" t="str">
        <f t="shared" si="802"/>
        <v/>
      </c>
    </row>
    <row r="48159" spans="8:8" x14ac:dyDescent="0.3">
      <c r="H48159" t="str">
        <f t="shared" si="802"/>
        <v/>
      </c>
    </row>
    <row r="48160" spans="8:8" x14ac:dyDescent="0.3">
      <c r="H48160" t="str">
        <f t="shared" si="802"/>
        <v/>
      </c>
    </row>
    <row r="48161" spans="8:8" x14ac:dyDescent="0.3">
      <c r="H48161" t="str">
        <f t="shared" si="802"/>
        <v/>
      </c>
    </row>
    <row r="48162" spans="8:8" x14ac:dyDescent="0.3">
      <c r="H48162" t="str">
        <f t="shared" si="802"/>
        <v/>
      </c>
    </row>
    <row r="48163" spans="8:8" x14ac:dyDescent="0.3">
      <c r="H48163" t="str">
        <f t="shared" si="802"/>
        <v/>
      </c>
    </row>
    <row r="48164" spans="8:8" x14ac:dyDescent="0.3">
      <c r="H48164" t="str">
        <f t="shared" si="802"/>
        <v/>
      </c>
    </row>
    <row r="48165" spans="8:8" x14ac:dyDescent="0.3">
      <c r="H48165" t="str">
        <f t="shared" si="802"/>
        <v/>
      </c>
    </row>
    <row r="48166" spans="8:8" x14ac:dyDescent="0.3">
      <c r="H48166" t="str">
        <f t="shared" si="802"/>
        <v/>
      </c>
    </row>
    <row r="48167" spans="8:8" x14ac:dyDescent="0.3">
      <c r="H48167" t="str">
        <f t="shared" si="802"/>
        <v/>
      </c>
    </row>
    <row r="48168" spans="8:8" x14ac:dyDescent="0.3">
      <c r="H48168" t="str">
        <f t="shared" si="802"/>
        <v/>
      </c>
    </row>
    <row r="48169" spans="8:8" x14ac:dyDescent="0.3">
      <c r="H48169" t="str">
        <f t="shared" si="802"/>
        <v/>
      </c>
    </row>
    <row r="48170" spans="8:8" x14ac:dyDescent="0.3">
      <c r="H48170" t="str">
        <f t="shared" si="802"/>
        <v/>
      </c>
    </row>
    <row r="48171" spans="8:8" x14ac:dyDescent="0.3">
      <c r="H48171" t="str">
        <f t="shared" si="802"/>
        <v/>
      </c>
    </row>
    <row r="48172" spans="8:8" x14ac:dyDescent="0.3">
      <c r="H48172" t="str">
        <f t="shared" si="802"/>
        <v/>
      </c>
    </row>
    <row r="48173" spans="8:8" x14ac:dyDescent="0.3">
      <c r="H48173" t="str">
        <f t="shared" si="802"/>
        <v/>
      </c>
    </row>
    <row r="48174" spans="8:8" x14ac:dyDescent="0.3">
      <c r="H48174" t="str">
        <f t="shared" si="802"/>
        <v/>
      </c>
    </row>
    <row r="48175" spans="8:8" x14ac:dyDescent="0.3">
      <c r="H48175" t="str">
        <f t="shared" si="802"/>
        <v/>
      </c>
    </row>
    <row r="48176" spans="8:8" x14ac:dyDescent="0.3">
      <c r="H48176" t="str">
        <f t="shared" si="802"/>
        <v/>
      </c>
    </row>
    <row r="48177" spans="8:8" x14ac:dyDescent="0.3">
      <c r="H48177" t="str">
        <f t="shared" si="802"/>
        <v/>
      </c>
    </row>
    <row r="48178" spans="8:8" x14ac:dyDescent="0.3">
      <c r="H48178" t="str">
        <f t="shared" si="802"/>
        <v/>
      </c>
    </row>
    <row r="48179" spans="8:8" x14ac:dyDescent="0.3">
      <c r="H48179" t="str">
        <f t="shared" si="802"/>
        <v/>
      </c>
    </row>
    <row r="48180" spans="8:8" x14ac:dyDescent="0.3">
      <c r="H48180" t="str">
        <f t="shared" si="802"/>
        <v/>
      </c>
    </row>
    <row r="48181" spans="8:8" x14ac:dyDescent="0.3">
      <c r="H48181" t="str">
        <f t="shared" si="802"/>
        <v/>
      </c>
    </row>
    <row r="48182" spans="8:8" x14ac:dyDescent="0.3">
      <c r="H48182" t="str">
        <f t="shared" si="802"/>
        <v/>
      </c>
    </row>
    <row r="48183" spans="8:8" x14ac:dyDescent="0.3">
      <c r="H48183" t="str">
        <f t="shared" si="802"/>
        <v/>
      </c>
    </row>
    <row r="48184" spans="8:8" x14ac:dyDescent="0.3">
      <c r="H48184" t="str">
        <f t="shared" si="802"/>
        <v/>
      </c>
    </row>
    <row r="48185" spans="8:8" x14ac:dyDescent="0.3">
      <c r="H48185" t="str">
        <f t="shared" si="802"/>
        <v/>
      </c>
    </row>
    <row r="48186" spans="8:8" x14ac:dyDescent="0.3">
      <c r="H48186" t="str">
        <f t="shared" si="802"/>
        <v/>
      </c>
    </row>
    <row r="48187" spans="8:8" x14ac:dyDescent="0.3">
      <c r="H48187" t="str">
        <f t="shared" si="802"/>
        <v/>
      </c>
    </row>
    <row r="48188" spans="8:8" x14ac:dyDescent="0.3">
      <c r="H48188" t="str">
        <f t="shared" si="802"/>
        <v/>
      </c>
    </row>
    <row r="48189" spans="8:8" x14ac:dyDescent="0.3">
      <c r="H48189" t="str">
        <f t="shared" si="802"/>
        <v/>
      </c>
    </row>
    <row r="48190" spans="8:8" x14ac:dyDescent="0.3">
      <c r="H48190" t="str">
        <f t="shared" si="802"/>
        <v/>
      </c>
    </row>
    <row r="48191" spans="8:8" x14ac:dyDescent="0.3">
      <c r="H48191" t="str">
        <f t="shared" si="802"/>
        <v/>
      </c>
    </row>
    <row r="48192" spans="8:8" x14ac:dyDescent="0.3">
      <c r="H48192" t="str">
        <f t="shared" si="802"/>
        <v/>
      </c>
    </row>
    <row r="48193" spans="8:8" x14ac:dyDescent="0.3">
      <c r="H48193" t="str">
        <f t="shared" si="802"/>
        <v/>
      </c>
    </row>
    <row r="48194" spans="8:8" x14ac:dyDescent="0.3">
      <c r="H48194" t="str">
        <f t="shared" si="802"/>
        <v/>
      </c>
    </row>
    <row r="48195" spans="8:8" x14ac:dyDescent="0.3">
      <c r="H48195" t="str">
        <f t="shared" si="802"/>
        <v/>
      </c>
    </row>
    <row r="48196" spans="8:8" x14ac:dyDescent="0.3">
      <c r="H48196" t="str">
        <f t="shared" si="802"/>
        <v/>
      </c>
    </row>
    <row r="48197" spans="8:8" x14ac:dyDescent="0.3">
      <c r="H48197" t="str">
        <f t="shared" si="802"/>
        <v/>
      </c>
    </row>
    <row r="48198" spans="8:8" x14ac:dyDescent="0.3">
      <c r="H48198" t="str">
        <f t="shared" si="802"/>
        <v/>
      </c>
    </row>
    <row r="48199" spans="8:8" x14ac:dyDescent="0.3">
      <c r="H48199" t="str">
        <f t="shared" si="802"/>
        <v/>
      </c>
    </row>
    <row r="48200" spans="8:8" x14ac:dyDescent="0.3">
      <c r="H48200" t="str">
        <f t="shared" si="802"/>
        <v/>
      </c>
    </row>
    <row r="48201" spans="8:8" x14ac:dyDescent="0.3">
      <c r="H48201" t="str">
        <f t="shared" si="802"/>
        <v/>
      </c>
    </row>
    <row r="48202" spans="8:8" x14ac:dyDescent="0.3">
      <c r="H48202" t="str">
        <f t="shared" si="802"/>
        <v/>
      </c>
    </row>
    <row r="48203" spans="8:8" x14ac:dyDescent="0.3">
      <c r="H48203" t="str">
        <f t="shared" si="802"/>
        <v/>
      </c>
    </row>
    <row r="48204" spans="8:8" x14ac:dyDescent="0.3">
      <c r="H48204" t="str">
        <f t="shared" si="802"/>
        <v/>
      </c>
    </row>
    <row r="48205" spans="8:8" x14ac:dyDescent="0.3">
      <c r="H48205" t="str">
        <f t="shared" si="802"/>
        <v/>
      </c>
    </row>
    <row r="48206" spans="8:8" x14ac:dyDescent="0.3">
      <c r="H48206" t="str">
        <f t="shared" si="802"/>
        <v/>
      </c>
    </row>
    <row r="48207" spans="8:8" x14ac:dyDescent="0.3">
      <c r="H48207" t="str">
        <f t="shared" si="802"/>
        <v/>
      </c>
    </row>
    <row r="48208" spans="8:8" x14ac:dyDescent="0.3">
      <c r="H48208" t="str">
        <f t="shared" si="802"/>
        <v/>
      </c>
    </row>
    <row r="48209" spans="8:8" x14ac:dyDescent="0.3">
      <c r="H48209" t="str">
        <f t="shared" si="802"/>
        <v/>
      </c>
    </row>
    <row r="48210" spans="8:8" x14ac:dyDescent="0.3">
      <c r="H48210" t="str">
        <f t="shared" si="802"/>
        <v/>
      </c>
    </row>
    <row r="48211" spans="8:8" x14ac:dyDescent="0.3">
      <c r="H48211" t="str">
        <f t="shared" si="802"/>
        <v/>
      </c>
    </row>
    <row r="48212" spans="8:8" x14ac:dyDescent="0.3">
      <c r="H48212" t="str">
        <f t="shared" si="802"/>
        <v/>
      </c>
    </row>
    <row r="48213" spans="8:8" x14ac:dyDescent="0.3">
      <c r="H48213" t="str">
        <f t="shared" si="802"/>
        <v/>
      </c>
    </row>
    <row r="48214" spans="8:8" x14ac:dyDescent="0.3">
      <c r="H48214" t="str">
        <f t="shared" si="802"/>
        <v/>
      </c>
    </row>
    <row r="48215" spans="8:8" x14ac:dyDescent="0.3">
      <c r="H48215" t="str">
        <f t="shared" ref="H48215:H48278" si="803">IF(B48215="","",$C$12)</f>
        <v/>
      </c>
    </row>
    <row r="48216" spans="8:8" x14ac:dyDescent="0.3">
      <c r="H48216" t="str">
        <f t="shared" si="803"/>
        <v/>
      </c>
    </row>
    <row r="48217" spans="8:8" x14ac:dyDescent="0.3">
      <c r="H48217" t="str">
        <f t="shared" si="803"/>
        <v/>
      </c>
    </row>
    <row r="48218" spans="8:8" x14ac:dyDescent="0.3">
      <c r="H48218" t="str">
        <f t="shared" si="803"/>
        <v/>
      </c>
    </row>
    <row r="48219" spans="8:8" x14ac:dyDescent="0.3">
      <c r="H48219" t="str">
        <f t="shared" si="803"/>
        <v/>
      </c>
    </row>
    <row r="48220" spans="8:8" x14ac:dyDescent="0.3">
      <c r="H48220" t="str">
        <f t="shared" si="803"/>
        <v/>
      </c>
    </row>
    <row r="48221" spans="8:8" x14ac:dyDescent="0.3">
      <c r="H48221" t="str">
        <f t="shared" si="803"/>
        <v/>
      </c>
    </row>
    <row r="48222" spans="8:8" x14ac:dyDescent="0.3">
      <c r="H48222" t="str">
        <f t="shared" si="803"/>
        <v/>
      </c>
    </row>
    <row r="48223" spans="8:8" x14ac:dyDescent="0.3">
      <c r="H48223" t="str">
        <f t="shared" si="803"/>
        <v/>
      </c>
    </row>
    <row r="48224" spans="8:8" x14ac:dyDescent="0.3">
      <c r="H48224" t="str">
        <f t="shared" si="803"/>
        <v/>
      </c>
    </row>
    <row r="48225" spans="8:8" x14ac:dyDescent="0.3">
      <c r="H48225" t="str">
        <f t="shared" si="803"/>
        <v/>
      </c>
    </row>
    <row r="48226" spans="8:8" x14ac:dyDescent="0.3">
      <c r="H48226" t="str">
        <f t="shared" si="803"/>
        <v/>
      </c>
    </row>
    <row r="48227" spans="8:8" x14ac:dyDescent="0.3">
      <c r="H48227" t="str">
        <f t="shared" si="803"/>
        <v/>
      </c>
    </row>
    <row r="48228" spans="8:8" x14ac:dyDescent="0.3">
      <c r="H48228" t="str">
        <f t="shared" si="803"/>
        <v/>
      </c>
    </row>
    <row r="48229" spans="8:8" x14ac:dyDescent="0.3">
      <c r="H48229" t="str">
        <f t="shared" si="803"/>
        <v/>
      </c>
    </row>
    <row r="48230" spans="8:8" x14ac:dyDescent="0.3">
      <c r="H48230" t="str">
        <f t="shared" si="803"/>
        <v/>
      </c>
    </row>
    <row r="48231" spans="8:8" x14ac:dyDescent="0.3">
      <c r="H48231" t="str">
        <f t="shared" si="803"/>
        <v/>
      </c>
    </row>
    <row r="48232" spans="8:8" x14ac:dyDescent="0.3">
      <c r="H48232" t="str">
        <f t="shared" si="803"/>
        <v/>
      </c>
    </row>
    <row r="48233" spans="8:8" x14ac:dyDescent="0.3">
      <c r="H48233" t="str">
        <f t="shared" si="803"/>
        <v/>
      </c>
    </row>
    <row r="48234" spans="8:8" x14ac:dyDescent="0.3">
      <c r="H48234" t="str">
        <f t="shared" si="803"/>
        <v/>
      </c>
    </row>
    <row r="48235" spans="8:8" x14ac:dyDescent="0.3">
      <c r="H48235" t="str">
        <f t="shared" si="803"/>
        <v/>
      </c>
    </row>
    <row r="48236" spans="8:8" x14ac:dyDescent="0.3">
      <c r="H48236" t="str">
        <f t="shared" si="803"/>
        <v/>
      </c>
    </row>
    <row r="48237" spans="8:8" x14ac:dyDescent="0.3">
      <c r="H48237" t="str">
        <f t="shared" si="803"/>
        <v/>
      </c>
    </row>
    <row r="48238" spans="8:8" x14ac:dyDescent="0.3">
      <c r="H48238" t="str">
        <f t="shared" si="803"/>
        <v/>
      </c>
    </row>
    <row r="48239" spans="8:8" x14ac:dyDescent="0.3">
      <c r="H48239" t="str">
        <f t="shared" si="803"/>
        <v/>
      </c>
    </row>
    <row r="48240" spans="8:8" x14ac:dyDescent="0.3">
      <c r="H48240" t="str">
        <f t="shared" si="803"/>
        <v/>
      </c>
    </row>
    <row r="48241" spans="8:8" x14ac:dyDescent="0.3">
      <c r="H48241" t="str">
        <f t="shared" si="803"/>
        <v/>
      </c>
    </row>
    <row r="48242" spans="8:8" x14ac:dyDescent="0.3">
      <c r="H48242" t="str">
        <f t="shared" si="803"/>
        <v/>
      </c>
    </row>
    <row r="48243" spans="8:8" x14ac:dyDescent="0.3">
      <c r="H48243" t="str">
        <f t="shared" si="803"/>
        <v/>
      </c>
    </row>
    <row r="48244" spans="8:8" x14ac:dyDescent="0.3">
      <c r="H48244" t="str">
        <f t="shared" si="803"/>
        <v/>
      </c>
    </row>
    <row r="48245" spans="8:8" x14ac:dyDescent="0.3">
      <c r="H48245" t="str">
        <f t="shared" si="803"/>
        <v/>
      </c>
    </row>
    <row r="48246" spans="8:8" x14ac:dyDescent="0.3">
      <c r="H48246" t="str">
        <f t="shared" si="803"/>
        <v/>
      </c>
    </row>
    <row r="48247" spans="8:8" x14ac:dyDescent="0.3">
      <c r="H48247" t="str">
        <f t="shared" si="803"/>
        <v/>
      </c>
    </row>
    <row r="48248" spans="8:8" x14ac:dyDescent="0.3">
      <c r="H48248" t="str">
        <f t="shared" si="803"/>
        <v/>
      </c>
    </row>
    <row r="48249" spans="8:8" x14ac:dyDescent="0.3">
      <c r="H48249" t="str">
        <f t="shared" si="803"/>
        <v/>
      </c>
    </row>
    <row r="48250" spans="8:8" x14ac:dyDescent="0.3">
      <c r="H48250" t="str">
        <f t="shared" si="803"/>
        <v/>
      </c>
    </row>
    <row r="48251" spans="8:8" x14ac:dyDescent="0.3">
      <c r="H48251" t="str">
        <f t="shared" si="803"/>
        <v/>
      </c>
    </row>
    <row r="48252" spans="8:8" x14ac:dyDescent="0.3">
      <c r="H48252" t="str">
        <f t="shared" si="803"/>
        <v/>
      </c>
    </row>
    <row r="48253" spans="8:8" x14ac:dyDescent="0.3">
      <c r="H48253" t="str">
        <f t="shared" si="803"/>
        <v/>
      </c>
    </row>
    <row r="48254" spans="8:8" x14ac:dyDescent="0.3">
      <c r="H48254" t="str">
        <f t="shared" si="803"/>
        <v/>
      </c>
    </row>
    <row r="48255" spans="8:8" x14ac:dyDescent="0.3">
      <c r="H48255" t="str">
        <f t="shared" si="803"/>
        <v/>
      </c>
    </row>
    <row r="48256" spans="8:8" x14ac:dyDescent="0.3">
      <c r="H48256" t="str">
        <f t="shared" si="803"/>
        <v/>
      </c>
    </row>
    <row r="48257" spans="8:8" x14ac:dyDescent="0.3">
      <c r="H48257" t="str">
        <f t="shared" si="803"/>
        <v/>
      </c>
    </row>
    <row r="48258" spans="8:8" x14ac:dyDescent="0.3">
      <c r="H48258" t="str">
        <f t="shared" si="803"/>
        <v/>
      </c>
    </row>
    <row r="48259" spans="8:8" x14ac:dyDescent="0.3">
      <c r="H48259" t="str">
        <f t="shared" si="803"/>
        <v/>
      </c>
    </row>
    <row r="48260" spans="8:8" x14ac:dyDescent="0.3">
      <c r="H48260" t="str">
        <f t="shared" si="803"/>
        <v/>
      </c>
    </row>
    <row r="48261" spans="8:8" x14ac:dyDescent="0.3">
      <c r="H48261" t="str">
        <f t="shared" si="803"/>
        <v/>
      </c>
    </row>
    <row r="48262" spans="8:8" x14ac:dyDescent="0.3">
      <c r="H48262" t="str">
        <f t="shared" si="803"/>
        <v/>
      </c>
    </row>
    <row r="48263" spans="8:8" x14ac:dyDescent="0.3">
      <c r="H48263" t="str">
        <f t="shared" si="803"/>
        <v/>
      </c>
    </row>
    <row r="48264" spans="8:8" x14ac:dyDescent="0.3">
      <c r="H48264" t="str">
        <f t="shared" si="803"/>
        <v/>
      </c>
    </row>
    <row r="48265" spans="8:8" x14ac:dyDescent="0.3">
      <c r="H48265" t="str">
        <f t="shared" si="803"/>
        <v/>
      </c>
    </row>
    <row r="48266" spans="8:8" x14ac:dyDescent="0.3">
      <c r="H48266" t="str">
        <f t="shared" si="803"/>
        <v/>
      </c>
    </row>
    <row r="48267" spans="8:8" x14ac:dyDescent="0.3">
      <c r="H48267" t="str">
        <f t="shared" si="803"/>
        <v/>
      </c>
    </row>
    <row r="48268" spans="8:8" x14ac:dyDescent="0.3">
      <c r="H48268" t="str">
        <f t="shared" si="803"/>
        <v/>
      </c>
    </row>
    <row r="48269" spans="8:8" x14ac:dyDescent="0.3">
      <c r="H48269" t="str">
        <f t="shared" si="803"/>
        <v/>
      </c>
    </row>
    <row r="48270" spans="8:8" x14ac:dyDescent="0.3">
      <c r="H48270" t="str">
        <f t="shared" si="803"/>
        <v/>
      </c>
    </row>
    <row r="48271" spans="8:8" x14ac:dyDescent="0.3">
      <c r="H48271" t="str">
        <f t="shared" si="803"/>
        <v/>
      </c>
    </row>
    <row r="48272" spans="8:8" x14ac:dyDescent="0.3">
      <c r="H48272" t="str">
        <f t="shared" si="803"/>
        <v/>
      </c>
    </row>
    <row r="48273" spans="8:8" x14ac:dyDescent="0.3">
      <c r="H48273" t="str">
        <f t="shared" si="803"/>
        <v/>
      </c>
    </row>
    <row r="48274" spans="8:8" x14ac:dyDescent="0.3">
      <c r="H48274" t="str">
        <f t="shared" si="803"/>
        <v/>
      </c>
    </row>
    <row r="48275" spans="8:8" x14ac:dyDescent="0.3">
      <c r="H48275" t="str">
        <f t="shared" si="803"/>
        <v/>
      </c>
    </row>
    <row r="48276" spans="8:8" x14ac:dyDescent="0.3">
      <c r="H48276" t="str">
        <f t="shared" si="803"/>
        <v/>
      </c>
    </row>
    <row r="48277" spans="8:8" x14ac:dyDescent="0.3">
      <c r="H48277" t="str">
        <f t="shared" si="803"/>
        <v/>
      </c>
    </row>
    <row r="48278" spans="8:8" x14ac:dyDescent="0.3">
      <c r="H48278" t="str">
        <f t="shared" si="803"/>
        <v/>
      </c>
    </row>
    <row r="48279" spans="8:8" x14ac:dyDescent="0.3">
      <c r="H48279" t="str">
        <f t="shared" ref="H48279:H48342" si="804">IF(B48279="","",$C$12)</f>
        <v/>
      </c>
    </row>
    <row r="48280" spans="8:8" x14ac:dyDescent="0.3">
      <c r="H48280" t="str">
        <f t="shared" si="804"/>
        <v/>
      </c>
    </row>
    <row r="48281" spans="8:8" x14ac:dyDescent="0.3">
      <c r="H48281" t="str">
        <f t="shared" si="804"/>
        <v/>
      </c>
    </row>
    <row r="48282" spans="8:8" x14ac:dyDescent="0.3">
      <c r="H48282" t="str">
        <f t="shared" si="804"/>
        <v/>
      </c>
    </row>
    <row r="48283" spans="8:8" x14ac:dyDescent="0.3">
      <c r="H48283" t="str">
        <f t="shared" si="804"/>
        <v/>
      </c>
    </row>
    <row r="48284" spans="8:8" x14ac:dyDescent="0.3">
      <c r="H48284" t="str">
        <f t="shared" si="804"/>
        <v/>
      </c>
    </row>
    <row r="48285" spans="8:8" x14ac:dyDescent="0.3">
      <c r="H48285" t="str">
        <f t="shared" si="804"/>
        <v/>
      </c>
    </row>
    <row r="48286" spans="8:8" x14ac:dyDescent="0.3">
      <c r="H48286" t="str">
        <f t="shared" si="804"/>
        <v/>
      </c>
    </row>
    <row r="48287" spans="8:8" x14ac:dyDescent="0.3">
      <c r="H48287" t="str">
        <f t="shared" si="804"/>
        <v/>
      </c>
    </row>
    <row r="48288" spans="8:8" x14ac:dyDescent="0.3">
      <c r="H48288" t="str">
        <f t="shared" si="804"/>
        <v/>
      </c>
    </row>
    <row r="48289" spans="8:8" x14ac:dyDescent="0.3">
      <c r="H48289" t="str">
        <f t="shared" si="804"/>
        <v/>
      </c>
    </row>
    <row r="48290" spans="8:8" x14ac:dyDescent="0.3">
      <c r="H48290" t="str">
        <f t="shared" si="804"/>
        <v/>
      </c>
    </row>
    <row r="48291" spans="8:8" x14ac:dyDescent="0.3">
      <c r="H48291" t="str">
        <f t="shared" si="804"/>
        <v/>
      </c>
    </row>
    <row r="48292" spans="8:8" x14ac:dyDescent="0.3">
      <c r="H48292" t="str">
        <f t="shared" si="804"/>
        <v/>
      </c>
    </row>
    <row r="48293" spans="8:8" x14ac:dyDescent="0.3">
      <c r="H48293" t="str">
        <f t="shared" si="804"/>
        <v/>
      </c>
    </row>
    <row r="48294" spans="8:8" x14ac:dyDescent="0.3">
      <c r="H48294" t="str">
        <f t="shared" si="804"/>
        <v/>
      </c>
    </row>
    <row r="48295" spans="8:8" x14ac:dyDescent="0.3">
      <c r="H48295" t="str">
        <f t="shared" si="804"/>
        <v/>
      </c>
    </row>
    <row r="48296" spans="8:8" x14ac:dyDescent="0.3">
      <c r="H48296" t="str">
        <f t="shared" si="804"/>
        <v/>
      </c>
    </row>
    <row r="48297" spans="8:8" x14ac:dyDescent="0.3">
      <c r="H48297" t="str">
        <f t="shared" si="804"/>
        <v/>
      </c>
    </row>
    <row r="48298" spans="8:8" x14ac:dyDescent="0.3">
      <c r="H48298" t="str">
        <f t="shared" si="804"/>
        <v/>
      </c>
    </row>
    <row r="48299" spans="8:8" x14ac:dyDescent="0.3">
      <c r="H48299" t="str">
        <f t="shared" si="804"/>
        <v/>
      </c>
    </row>
    <row r="48300" spans="8:8" x14ac:dyDescent="0.3">
      <c r="H48300" t="str">
        <f t="shared" si="804"/>
        <v/>
      </c>
    </row>
    <row r="48301" spans="8:8" x14ac:dyDescent="0.3">
      <c r="H48301" t="str">
        <f t="shared" si="804"/>
        <v/>
      </c>
    </row>
    <row r="48302" spans="8:8" x14ac:dyDescent="0.3">
      <c r="H48302" t="str">
        <f t="shared" si="804"/>
        <v/>
      </c>
    </row>
    <row r="48303" spans="8:8" x14ac:dyDescent="0.3">
      <c r="H48303" t="str">
        <f t="shared" si="804"/>
        <v/>
      </c>
    </row>
    <row r="48304" spans="8:8" x14ac:dyDescent="0.3">
      <c r="H48304" t="str">
        <f t="shared" si="804"/>
        <v/>
      </c>
    </row>
    <row r="48305" spans="8:8" x14ac:dyDescent="0.3">
      <c r="H48305" t="str">
        <f t="shared" si="804"/>
        <v/>
      </c>
    </row>
    <row r="48306" spans="8:8" x14ac:dyDescent="0.3">
      <c r="H48306" t="str">
        <f t="shared" si="804"/>
        <v/>
      </c>
    </row>
    <row r="48307" spans="8:8" x14ac:dyDescent="0.3">
      <c r="H48307" t="str">
        <f t="shared" si="804"/>
        <v/>
      </c>
    </row>
    <row r="48308" spans="8:8" x14ac:dyDescent="0.3">
      <c r="H48308" t="str">
        <f t="shared" si="804"/>
        <v/>
      </c>
    </row>
    <row r="48309" spans="8:8" x14ac:dyDescent="0.3">
      <c r="H48309" t="str">
        <f t="shared" si="804"/>
        <v/>
      </c>
    </row>
    <row r="48310" spans="8:8" x14ac:dyDescent="0.3">
      <c r="H48310" t="str">
        <f t="shared" si="804"/>
        <v/>
      </c>
    </row>
    <row r="48311" spans="8:8" x14ac:dyDescent="0.3">
      <c r="H48311" t="str">
        <f t="shared" si="804"/>
        <v/>
      </c>
    </row>
    <row r="48312" spans="8:8" x14ac:dyDescent="0.3">
      <c r="H48312" t="str">
        <f t="shared" si="804"/>
        <v/>
      </c>
    </row>
    <row r="48313" spans="8:8" x14ac:dyDescent="0.3">
      <c r="H48313" t="str">
        <f t="shared" si="804"/>
        <v/>
      </c>
    </row>
    <row r="48314" spans="8:8" x14ac:dyDescent="0.3">
      <c r="H48314" t="str">
        <f t="shared" si="804"/>
        <v/>
      </c>
    </row>
    <row r="48315" spans="8:8" x14ac:dyDescent="0.3">
      <c r="H48315" t="str">
        <f t="shared" si="804"/>
        <v/>
      </c>
    </row>
    <row r="48316" spans="8:8" x14ac:dyDescent="0.3">
      <c r="H48316" t="str">
        <f t="shared" si="804"/>
        <v/>
      </c>
    </row>
    <row r="48317" spans="8:8" x14ac:dyDescent="0.3">
      <c r="H48317" t="str">
        <f t="shared" si="804"/>
        <v/>
      </c>
    </row>
    <row r="48318" spans="8:8" x14ac:dyDescent="0.3">
      <c r="H48318" t="str">
        <f t="shared" si="804"/>
        <v/>
      </c>
    </row>
    <row r="48319" spans="8:8" x14ac:dyDescent="0.3">
      <c r="H48319" t="str">
        <f t="shared" si="804"/>
        <v/>
      </c>
    </row>
    <row r="48320" spans="8:8" x14ac:dyDescent="0.3">
      <c r="H48320" t="str">
        <f t="shared" si="804"/>
        <v/>
      </c>
    </row>
    <row r="48321" spans="8:8" x14ac:dyDescent="0.3">
      <c r="H48321" t="str">
        <f t="shared" si="804"/>
        <v/>
      </c>
    </row>
    <row r="48322" spans="8:8" x14ac:dyDescent="0.3">
      <c r="H48322" t="str">
        <f t="shared" si="804"/>
        <v/>
      </c>
    </row>
    <row r="48323" spans="8:8" x14ac:dyDescent="0.3">
      <c r="H48323" t="str">
        <f t="shared" si="804"/>
        <v/>
      </c>
    </row>
    <row r="48324" spans="8:8" x14ac:dyDescent="0.3">
      <c r="H48324" t="str">
        <f t="shared" si="804"/>
        <v/>
      </c>
    </row>
    <row r="48325" spans="8:8" x14ac:dyDescent="0.3">
      <c r="H48325" t="str">
        <f t="shared" si="804"/>
        <v/>
      </c>
    </row>
    <row r="48326" spans="8:8" x14ac:dyDescent="0.3">
      <c r="H48326" t="str">
        <f t="shared" si="804"/>
        <v/>
      </c>
    </row>
    <row r="48327" spans="8:8" x14ac:dyDescent="0.3">
      <c r="H48327" t="str">
        <f t="shared" si="804"/>
        <v/>
      </c>
    </row>
    <row r="48328" spans="8:8" x14ac:dyDescent="0.3">
      <c r="H48328" t="str">
        <f t="shared" si="804"/>
        <v/>
      </c>
    </row>
    <row r="48329" spans="8:8" x14ac:dyDescent="0.3">
      <c r="H48329" t="str">
        <f t="shared" si="804"/>
        <v/>
      </c>
    </row>
    <row r="48330" spans="8:8" x14ac:dyDescent="0.3">
      <c r="H48330" t="str">
        <f t="shared" si="804"/>
        <v/>
      </c>
    </row>
    <row r="48331" spans="8:8" x14ac:dyDescent="0.3">
      <c r="H48331" t="str">
        <f t="shared" si="804"/>
        <v/>
      </c>
    </row>
    <row r="48332" spans="8:8" x14ac:dyDescent="0.3">
      <c r="H48332" t="str">
        <f t="shared" si="804"/>
        <v/>
      </c>
    </row>
    <row r="48333" spans="8:8" x14ac:dyDescent="0.3">
      <c r="H48333" t="str">
        <f t="shared" si="804"/>
        <v/>
      </c>
    </row>
    <row r="48334" spans="8:8" x14ac:dyDescent="0.3">
      <c r="H48334" t="str">
        <f t="shared" si="804"/>
        <v/>
      </c>
    </row>
    <row r="48335" spans="8:8" x14ac:dyDescent="0.3">
      <c r="H48335" t="str">
        <f t="shared" si="804"/>
        <v/>
      </c>
    </row>
    <row r="48336" spans="8:8" x14ac:dyDescent="0.3">
      <c r="H48336" t="str">
        <f t="shared" si="804"/>
        <v/>
      </c>
    </row>
    <row r="48337" spans="8:8" x14ac:dyDescent="0.3">
      <c r="H48337" t="str">
        <f t="shared" si="804"/>
        <v/>
      </c>
    </row>
    <row r="48338" spans="8:8" x14ac:dyDescent="0.3">
      <c r="H48338" t="str">
        <f t="shared" si="804"/>
        <v/>
      </c>
    </row>
    <row r="48339" spans="8:8" x14ac:dyDescent="0.3">
      <c r="H48339" t="str">
        <f t="shared" si="804"/>
        <v/>
      </c>
    </row>
    <row r="48340" spans="8:8" x14ac:dyDescent="0.3">
      <c r="H48340" t="str">
        <f t="shared" si="804"/>
        <v/>
      </c>
    </row>
    <row r="48341" spans="8:8" x14ac:dyDescent="0.3">
      <c r="H48341" t="str">
        <f t="shared" si="804"/>
        <v/>
      </c>
    </row>
    <row r="48342" spans="8:8" x14ac:dyDescent="0.3">
      <c r="H48342" t="str">
        <f t="shared" si="804"/>
        <v/>
      </c>
    </row>
    <row r="48343" spans="8:8" x14ac:dyDescent="0.3">
      <c r="H48343" t="str">
        <f t="shared" ref="H48343:H48406" si="805">IF(B48343="","",$C$12)</f>
        <v/>
      </c>
    </row>
    <row r="48344" spans="8:8" x14ac:dyDescent="0.3">
      <c r="H48344" t="str">
        <f t="shared" si="805"/>
        <v/>
      </c>
    </row>
    <row r="48345" spans="8:8" x14ac:dyDescent="0.3">
      <c r="H48345" t="str">
        <f t="shared" si="805"/>
        <v/>
      </c>
    </row>
    <row r="48346" spans="8:8" x14ac:dyDescent="0.3">
      <c r="H48346" t="str">
        <f t="shared" si="805"/>
        <v/>
      </c>
    </row>
    <row r="48347" spans="8:8" x14ac:dyDescent="0.3">
      <c r="H48347" t="str">
        <f t="shared" si="805"/>
        <v/>
      </c>
    </row>
    <row r="48348" spans="8:8" x14ac:dyDescent="0.3">
      <c r="H48348" t="str">
        <f t="shared" si="805"/>
        <v/>
      </c>
    </row>
    <row r="48349" spans="8:8" x14ac:dyDescent="0.3">
      <c r="H48349" t="str">
        <f t="shared" si="805"/>
        <v/>
      </c>
    </row>
    <row r="48350" spans="8:8" x14ac:dyDescent="0.3">
      <c r="H48350" t="str">
        <f t="shared" si="805"/>
        <v/>
      </c>
    </row>
    <row r="48351" spans="8:8" x14ac:dyDescent="0.3">
      <c r="H48351" t="str">
        <f t="shared" si="805"/>
        <v/>
      </c>
    </row>
    <row r="48352" spans="8:8" x14ac:dyDescent="0.3">
      <c r="H48352" t="str">
        <f t="shared" si="805"/>
        <v/>
      </c>
    </row>
    <row r="48353" spans="8:8" x14ac:dyDescent="0.3">
      <c r="H48353" t="str">
        <f t="shared" si="805"/>
        <v/>
      </c>
    </row>
    <row r="48354" spans="8:8" x14ac:dyDescent="0.3">
      <c r="H48354" t="str">
        <f t="shared" si="805"/>
        <v/>
      </c>
    </row>
    <row r="48355" spans="8:8" x14ac:dyDescent="0.3">
      <c r="H48355" t="str">
        <f t="shared" si="805"/>
        <v/>
      </c>
    </row>
    <row r="48356" spans="8:8" x14ac:dyDescent="0.3">
      <c r="H48356" t="str">
        <f t="shared" si="805"/>
        <v/>
      </c>
    </row>
    <row r="48357" spans="8:8" x14ac:dyDescent="0.3">
      <c r="H48357" t="str">
        <f t="shared" si="805"/>
        <v/>
      </c>
    </row>
    <row r="48358" spans="8:8" x14ac:dyDescent="0.3">
      <c r="H48358" t="str">
        <f t="shared" si="805"/>
        <v/>
      </c>
    </row>
    <row r="48359" spans="8:8" x14ac:dyDescent="0.3">
      <c r="H48359" t="str">
        <f t="shared" si="805"/>
        <v/>
      </c>
    </row>
    <row r="48360" spans="8:8" x14ac:dyDescent="0.3">
      <c r="H48360" t="str">
        <f t="shared" si="805"/>
        <v/>
      </c>
    </row>
    <row r="48361" spans="8:8" x14ac:dyDescent="0.3">
      <c r="H48361" t="str">
        <f t="shared" si="805"/>
        <v/>
      </c>
    </row>
    <row r="48362" spans="8:8" x14ac:dyDescent="0.3">
      <c r="H48362" t="str">
        <f t="shared" si="805"/>
        <v/>
      </c>
    </row>
    <row r="48363" spans="8:8" x14ac:dyDescent="0.3">
      <c r="H48363" t="str">
        <f t="shared" si="805"/>
        <v/>
      </c>
    </row>
    <row r="48364" spans="8:8" x14ac:dyDescent="0.3">
      <c r="H48364" t="str">
        <f t="shared" si="805"/>
        <v/>
      </c>
    </row>
    <row r="48365" spans="8:8" x14ac:dyDescent="0.3">
      <c r="H48365" t="str">
        <f t="shared" si="805"/>
        <v/>
      </c>
    </row>
    <row r="48366" spans="8:8" x14ac:dyDescent="0.3">
      <c r="H48366" t="str">
        <f t="shared" si="805"/>
        <v/>
      </c>
    </row>
    <row r="48367" spans="8:8" x14ac:dyDescent="0.3">
      <c r="H48367" t="str">
        <f t="shared" si="805"/>
        <v/>
      </c>
    </row>
    <row r="48368" spans="8:8" x14ac:dyDescent="0.3">
      <c r="H48368" t="str">
        <f t="shared" si="805"/>
        <v/>
      </c>
    </row>
    <row r="48369" spans="8:8" x14ac:dyDescent="0.3">
      <c r="H48369" t="str">
        <f t="shared" si="805"/>
        <v/>
      </c>
    </row>
    <row r="48370" spans="8:8" x14ac:dyDescent="0.3">
      <c r="H48370" t="str">
        <f t="shared" si="805"/>
        <v/>
      </c>
    </row>
    <row r="48371" spans="8:8" x14ac:dyDescent="0.3">
      <c r="H48371" t="str">
        <f t="shared" si="805"/>
        <v/>
      </c>
    </row>
    <row r="48372" spans="8:8" x14ac:dyDescent="0.3">
      <c r="H48372" t="str">
        <f t="shared" si="805"/>
        <v/>
      </c>
    </row>
    <row r="48373" spans="8:8" x14ac:dyDescent="0.3">
      <c r="H48373" t="str">
        <f t="shared" si="805"/>
        <v/>
      </c>
    </row>
    <row r="48374" spans="8:8" x14ac:dyDescent="0.3">
      <c r="H48374" t="str">
        <f t="shared" si="805"/>
        <v/>
      </c>
    </row>
    <row r="48375" spans="8:8" x14ac:dyDescent="0.3">
      <c r="H48375" t="str">
        <f t="shared" si="805"/>
        <v/>
      </c>
    </row>
    <row r="48376" spans="8:8" x14ac:dyDescent="0.3">
      <c r="H48376" t="str">
        <f t="shared" si="805"/>
        <v/>
      </c>
    </row>
    <row r="48377" spans="8:8" x14ac:dyDescent="0.3">
      <c r="H48377" t="str">
        <f t="shared" si="805"/>
        <v/>
      </c>
    </row>
    <row r="48378" spans="8:8" x14ac:dyDescent="0.3">
      <c r="H48378" t="str">
        <f t="shared" si="805"/>
        <v/>
      </c>
    </row>
    <row r="48379" spans="8:8" x14ac:dyDescent="0.3">
      <c r="H48379" t="str">
        <f t="shared" si="805"/>
        <v/>
      </c>
    </row>
    <row r="48380" spans="8:8" x14ac:dyDescent="0.3">
      <c r="H48380" t="str">
        <f t="shared" si="805"/>
        <v/>
      </c>
    </row>
    <row r="48381" spans="8:8" x14ac:dyDescent="0.3">
      <c r="H48381" t="str">
        <f t="shared" si="805"/>
        <v/>
      </c>
    </row>
    <row r="48382" spans="8:8" x14ac:dyDescent="0.3">
      <c r="H48382" t="str">
        <f t="shared" si="805"/>
        <v/>
      </c>
    </row>
    <row r="48383" spans="8:8" x14ac:dyDescent="0.3">
      <c r="H48383" t="str">
        <f t="shared" si="805"/>
        <v/>
      </c>
    </row>
    <row r="48384" spans="8:8" x14ac:dyDescent="0.3">
      <c r="H48384" t="str">
        <f t="shared" si="805"/>
        <v/>
      </c>
    </row>
    <row r="48385" spans="8:8" x14ac:dyDescent="0.3">
      <c r="H48385" t="str">
        <f t="shared" si="805"/>
        <v/>
      </c>
    </row>
    <row r="48386" spans="8:8" x14ac:dyDescent="0.3">
      <c r="H48386" t="str">
        <f t="shared" si="805"/>
        <v/>
      </c>
    </row>
    <row r="48387" spans="8:8" x14ac:dyDescent="0.3">
      <c r="H48387" t="str">
        <f t="shared" si="805"/>
        <v/>
      </c>
    </row>
    <row r="48388" spans="8:8" x14ac:dyDescent="0.3">
      <c r="H48388" t="str">
        <f t="shared" si="805"/>
        <v/>
      </c>
    </row>
    <row r="48389" spans="8:8" x14ac:dyDescent="0.3">
      <c r="H48389" t="str">
        <f t="shared" si="805"/>
        <v/>
      </c>
    </row>
    <row r="48390" spans="8:8" x14ac:dyDescent="0.3">
      <c r="H48390" t="str">
        <f t="shared" si="805"/>
        <v/>
      </c>
    </row>
    <row r="48391" spans="8:8" x14ac:dyDescent="0.3">
      <c r="H48391" t="str">
        <f t="shared" si="805"/>
        <v/>
      </c>
    </row>
    <row r="48392" spans="8:8" x14ac:dyDescent="0.3">
      <c r="H48392" t="str">
        <f t="shared" si="805"/>
        <v/>
      </c>
    </row>
    <row r="48393" spans="8:8" x14ac:dyDescent="0.3">
      <c r="H48393" t="str">
        <f t="shared" si="805"/>
        <v/>
      </c>
    </row>
    <row r="48394" spans="8:8" x14ac:dyDescent="0.3">
      <c r="H48394" t="str">
        <f t="shared" si="805"/>
        <v/>
      </c>
    </row>
    <row r="48395" spans="8:8" x14ac:dyDescent="0.3">
      <c r="H48395" t="str">
        <f t="shared" si="805"/>
        <v/>
      </c>
    </row>
    <row r="48396" spans="8:8" x14ac:dyDescent="0.3">
      <c r="H48396" t="str">
        <f t="shared" si="805"/>
        <v/>
      </c>
    </row>
    <row r="48397" spans="8:8" x14ac:dyDescent="0.3">
      <c r="H48397" t="str">
        <f t="shared" si="805"/>
        <v/>
      </c>
    </row>
    <row r="48398" spans="8:8" x14ac:dyDescent="0.3">
      <c r="H48398" t="str">
        <f t="shared" si="805"/>
        <v/>
      </c>
    </row>
    <row r="48399" spans="8:8" x14ac:dyDescent="0.3">
      <c r="H48399" t="str">
        <f t="shared" si="805"/>
        <v/>
      </c>
    </row>
    <row r="48400" spans="8:8" x14ac:dyDescent="0.3">
      <c r="H48400" t="str">
        <f t="shared" si="805"/>
        <v/>
      </c>
    </row>
    <row r="48401" spans="8:8" x14ac:dyDescent="0.3">
      <c r="H48401" t="str">
        <f t="shared" si="805"/>
        <v/>
      </c>
    </row>
    <row r="48402" spans="8:8" x14ac:dyDescent="0.3">
      <c r="H48402" t="str">
        <f t="shared" si="805"/>
        <v/>
      </c>
    </row>
    <row r="48403" spans="8:8" x14ac:dyDescent="0.3">
      <c r="H48403" t="str">
        <f t="shared" si="805"/>
        <v/>
      </c>
    </row>
    <row r="48404" spans="8:8" x14ac:dyDescent="0.3">
      <c r="H48404" t="str">
        <f t="shared" si="805"/>
        <v/>
      </c>
    </row>
    <row r="48405" spans="8:8" x14ac:dyDescent="0.3">
      <c r="H48405" t="str">
        <f t="shared" si="805"/>
        <v/>
      </c>
    </row>
    <row r="48406" spans="8:8" x14ac:dyDescent="0.3">
      <c r="H48406" t="str">
        <f t="shared" si="805"/>
        <v/>
      </c>
    </row>
    <row r="48407" spans="8:8" x14ac:dyDescent="0.3">
      <c r="H48407" t="str">
        <f t="shared" ref="H48407:H48470" si="806">IF(B48407="","",$C$12)</f>
        <v/>
      </c>
    </row>
    <row r="48408" spans="8:8" x14ac:dyDescent="0.3">
      <c r="H48408" t="str">
        <f t="shared" si="806"/>
        <v/>
      </c>
    </row>
    <row r="48409" spans="8:8" x14ac:dyDescent="0.3">
      <c r="H48409" t="str">
        <f t="shared" si="806"/>
        <v/>
      </c>
    </row>
    <row r="48410" spans="8:8" x14ac:dyDescent="0.3">
      <c r="H48410" t="str">
        <f t="shared" si="806"/>
        <v/>
      </c>
    </row>
    <row r="48411" spans="8:8" x14ac:dyDescent="0.3">
      <c r="H48411" t="str">
        <f t="shared" si="806"/>
        <v/>
      </c>
    </row>
    <row r="48412" spans="8:8" x14ac:dyDescent="0.3">
      <c r="H48412" t="str">
        <f t="shared" si="806"/>
        <v/>
      </c>
    </row>
    <row r="48413" spans="8:8" x14ac:dyDescent="0.3">
      <c r="H48413" t="str">
        <f t="shared" si="806"/>
        <v/>
      </c>
    </row>
    <row r="48414" spans="8:8" x14ac:dyDescent="0.3">
      <c r="H48414" t="str">
        <f t="shared" si="806"/>
        <v/>
      </c>
    </row>
    <row r="48415" spans="8:8" x14ac:dyDescent="0.3">
      <c r="H48415" t="str">
        <f t="shared" si="806"/>
        <v/>
      </c>
    </row>
    <row r="48416" spans="8:8" x14ac:dyDescent="0.3">
      <c r="H48416" t="str">
        <f t="shared" si="806"/>
        <v/>
      </c>
    </row>
    <row r="48417" spans="8:8" x14ac:dyDescent="0.3">
      <c r="H48417" t="str">
        <f t="shared" si="806"/>
        <v/>
      </c>
    </row>
    <row r="48418" spans="8:8" x14ac:dyDescent="0.3">
      <c r="H48418" t="str">
        <f t="shared" si="806"/>
        <v/>
      </c>
    </row>
    <row r="48419" spans="8:8" x14ac:dyDescent="0.3">
      <c r="H48419" t="str">
        <f t="shared" si="806"/>
        <v/>
      </c>
    </row>
    <row r="48420" spans="8:8" x14ac:dyDescent="0.3">
      <c r="H48420" t="str">
        <f t="shared" si="806"/>
        <v/>
      </c>
    </row>
    <row r="48421" spans="8:8" x14ac:dyDescent="0.3">
      <c r="H48421" t="str">
        <f t="shared" si="806"/>
        <v/>
      </c>
    </row>
    <row r="48422" spans="8:8" x14ac:dyDescent="0.3">
      <c r="H48422" t="str">
        <f t="shared" si="806"/>
        <v/>
      </c>
    </row>
    <row r="48423" spans="8:8" x14ac:dyDescent="0.3">
      <c r="H48423" t="str">
        <f t="shared" si="806"/>
        <v/>
      </c>
    </row>
    <row r="48424" spans="8:8" x14ac:dyDescent="0.3">
      <c r="H48424" t="str">
        <f t="shared" si="806"/>
        <v/>
      </c>
    </row>
    <row r="48425" spans="8:8" x14ac:dyDescent="0.3">
      <c r="H48425" t="str">
        <f t="shared" si="806"/>
        <v/>
      </c>
    </row>
    <row r="48426" spans="8:8" x14ac:dyDescent="0.3">
      <c r="H48426" t="str">
        <f t="shared" si="806"/>
        <v/>
      </c>
    </row>
    <row r="48427" spans="8:8" x14ac:dyDescent="0.3">
      <c r="H48427" t="str">
        <f t="shared" si="806"/>
        <v/>
      </c>
    </row>
    <row r="48428" spans="8:8" x14ac:dyDescent="0.3">
      <c r="H48428" t="str">
        <f t="shared" si="806"/>
        <v/>
      </c>
    </row>
    <row r="48429" spans="8:8" x14ac:dyDescent="0.3">
      <c r="H48429" t="str">
        <f t="shared" si="806"/>
        <v/>
      </c>
    </row>
    <row r="48430" spans="8:8" x14ac:dyDescent="0.3">
      <c r="H48430" t="str">
        <f t="shared" si="806"/>
        <v/>
      </c>
    </row>
    <row r="48431" spans="8:8" x14ac:dyDescent="0.3">
      <c r="H48431" t="str">
        <f t="shared" si="806"/>
        <v/>
      </c>
    </row>
    <row r="48432" spans="8:8" x14ac:dyDescent="0.3">
      <c r="H48432" t="str">
        <f t="shared" si="806"/>
        <v/>
      </c>
    </row>
    <row r="48433" spans="8:8" x14ac:dyDescent="0.3">
      <c r="H48433" t="str">
        <f t="shared" si="806"/>
        <v/>
      </c>
    </row>
    <row r="48434" spans="8:8" x14ac:dyDescent="0.3">
      <c r="H48434" t="str">
        <f t="shared" si="806"/>
        <v/>
      </c>
    </row>
    <row r="48435" spans="8:8" x14ac:dyDescent="0.3">
      <c r="H48435" t="str">
        <f t="shared" si="806"/>
        <v/>
      </c>
    </row>
    <row r="48436" spans="8:8" x14ac:dyDescent="0.3">
      <c r="H48436" t="str">
        <f t="shared" si="806"/>
        <v/>
      </c>
    </row>
    <row r="48437" spans="8:8" x14ac:dyDescent="0.3">
      <c r="H48437" t="str">
        <f t="shared" si="806"/>
        <v/>
      </c>
    </row>
    <row r="48438" spans="8:8" x14ac:dyDescent="0.3">
      <c r="H48438" t="str">
        <f t="shared" si="806"/>
        <v/>
      </c>
    </row>
    <row r="48439" spans="8:8" x14ac:dyDescent="0.3">
      <c r="H48439" t="str">
        <f t="shared" si="806"/>
        <v/>
      </c>
    </row>
    <row r="48440" spans="8:8" x14ac:dyDescent="0.3">
      <c r="H48440" t="str">
        <f t="shared" si="806"/>
        <v/>
      </c>
    </row>
    <row r="48441" spans="8:8" x14ac:dyDescent="0.3">
      <c r="H48441" t="str">
        <f t="shared" si="806"/>
        <v/>
      </c>
    </row>
    <row r="48442" spans="8:8" x14ac:dyDescent="0.3">
      <c r="H48442" t="str">
        <f t="shared" si="806"/>
        <v/>
      </c>
    </row>
    <row r="48443" spans="8:8" x14ac:dyDescent="0.3">
      <c r="H48443" t="str">
        <f t="shared" si="806"/>
        <v/>
      </c>
    </row>
    <row r="48444" spans="8:8" x14ac:dyDescent="0.3">
      <c r="H48444" t="str">
        <f t="shared" si="806"/>
        <v/>
      </c>
    </row>
    <row r="48445" spans="8:8" x14ac:dyDescent="0.3">
      <c r="H48445" t="str">
        <f t="shared" si="806"/>
        <v/>
      </c>
    </row>
    <row r="48446" spans="8:8" x14ac:dyDescent="0.3">
      <c r="H48446" t="str">
        <f t="shared" si="806"/>
        <v/>
      </c>
    </row>
    <row r="48447" spans="8:8" x14ac:dyDescent="0.3">
      <c r="H48447" t="str">
        <f t="shared" si="806"/>
        <v/>
      </c>
    </row>
    <row r="48448" spans="8:8" x14ac:dyDescent="0.3">
      <c r="H48448" t="str">
        <f t="shared" si="806"/>
        <v/>
      </c>
    </row>
    <row r="48449" spans="8:8" x14ac:dyDescent="0.3">
      <c r="H48449" t="str">
        <f t="shared" si="806"/>
        <v/>
      </c>
    </row>
    <row r="48450" spans="8:8" x14ac:dyDescent="0.3">
      <c r="H48450" t="str">
        <f t="shared" si="806"/>
        <v/>
      </c>
    </row>
    <row r="48451" spans="8:8" x14ac:dyDescent="0.3">
      <c r="H48451" t="str">
        <f t="shared" si="806"/>
        <v/>
      </c>
    </row>
    <row r="48452" spans="8:8" x14ac:dyDescent="0.3">
      <c r="H48452" t="str">
        <f t="shared" si="806"/>
        <v/>
      </c>
    </row>
    <row r="48453" spans="8:8" x14ac:dyDescent="0.3">
      <c r="H48453" t="str">
        <f t="shared" si="806"/>
        <v/>
      </c>
    </row>
    <row r="48454" spans="8:8" x14ac:dyDescent="0.3">
      <c r="H48454" t="str">
        <f t="shared" si="806"/>
        <v/>
      </c>
    </row>
    <row r="48455" spans="8:8" x14ac:dyDescent="0.3">
      <c r="H48455" t="str">
        <f t="shared" si="806"/>
        <v/>
      </c>
    </row>
    <row r="48456" spans="8:8" x14ac:dyDescent="0.3">
      <c r="H48456" t="str">
        <f t="shared" si="806"/>
        <v/>
      </c>
    </row>
    <row r="48457" spans="8:8" x14ac:dyDescent="0.3">
      <c r="H48457" t="str">
        <f t="shared" si="806"/>
        <v/>
      </c>
    </row>
    <row r="48458" spans="8:8" x14ac:dyDescent="0.3">
      <c r="H48458" t="str">
        <f t="shared" si="806"/>
        <v/>
      </c>
    </row>
    <row r="48459" spans="8:8" x14ac:dyDescent="0.3">
      <c r="H48459" t="str">
        <f t="shared" si="806"/>
        <v/>
      </c>
    </row>
    <row r="48460" spans="8:8" x14ac:dyDescent="0.3">
      <c r="H48460" t="str">
        <f t="shared" si="806"/>
        <v/>
      </c>
    </row>
    <row r="48461" spans="8:8" x14ac:dyDescent="0.3">
      <c r="H48461" t="str">
        <f t="shared" si="806"/>
        <v/>
      </c>
    </row>
    <row r="48462" spans="8:8" x14ac:dyDescent="0.3">
      <c r="H48462" t="str">
        <f t="shared" si="806"/>
        <v/>
      </c>
    </row>
    <row r="48463" spans="8:8" x14ac:dyDescent="0.3">
      <c r="H48463" t="str">
        <f t="shared" si="806"/>
        <v/>
      </c>
    </row>
    <row r="48464" spans="8:8" x14ac:dyDescent="0.3">
      <c r="H48464" t="str">
        <f t="shared" si="806"/>
        <v/>
      </c>
    </row>
    <row r="48465" spans="8:8" x14ac:dyDescent="0.3">
      <c r="H48465" t="str">
        <f t="shared" si="806"/>
        <v/>
      </c>
    </row>
    <row r="48466" spans="8:8" x14ac:dyDescent="0.3">
      <c r="H48466" t="str">
        <f t="shared" si="806"/>
        <v/>
      </c>
    </row>
    <row r="48467" spans="8:8" x14ac:dyDescent="0.3">
      <c r="H48467" t="str">
        <f t="shared" si="806"/>
        <v/>
      </c>
    </row>
    <row r="48468" spans="8:8" x14ac:dyDescent="0.3">
      <c r="H48468" t="str">
        <f t="shared" si="806"/>
        <v/>
      </c>
    </row>
    <row r="48469" spans="8:8" x14ac:dyDescent="0.3">
      <c r="H48469" t="str">
        <f t="shared" si="806"/>
        <v/>
      </c>
    </row>
    <row r="48470" spans="8:8" x14ac:dyDescent="0.3">
      <c r="H48470" t="str">
        <f t="shared" si="806"/>
        <v/>
      </c>
    </row>
    <row r="48471" spans="8:8" x14ac:dyDescent="0.3">
      <c r="H48471" t="str">
        <f t="shared" ref="H48471:H48534" si="807">IF(B48471="","",$C$12)</f>
        <v/>
      </c>
    </row>
    <row r="48472" spans="8:8" x14ac:dyDescent="0.3">
      <c r="H48472" t="str">
        <f t="shared" si="807"/>
        <v/>
      </c>
    </row>
    <row r="48473" spans="8:8" x14ac:dyDescent="0.3">
      <c r="H48473" t="str">
        <f t="shared" si="807"/>
        <v/>
      </c>
    </row>
    <row r="48474" spans="8:8" x14ac:dyDescent="0.3">
      <c r="H48474" t="str">
        <f t="shared" si="807"/>
        <v/>
      </c>
    </row>
    <row r="48475" spans="8:8" x14ac:dyDescent="0.3">
      <c r="H48475" t="str">
        <f t="shared" si="807"/>
        <v/>
      </c>
    </row>
    <row r="48476" spans="8:8" x14ac:dyDescent="0.3">
      <c r="H48476" t="str">
        <f t="shared" si="807"/>
        <v/>
      </c>
    </row>
    <row r="48477" spans="8:8" x14ac:dyDescent="0.3">
      <c r="H48477" t="str">
        <f t="shared" si="807"/>
        <v/>
      </c>
    </row>
    <row r="48478" spans="8:8" x14ac:dyDescent="0.3">
      <c r="H48478" t="str">
        <f t="shared" si="807"/>
        <v/>
      </c>
    </row>
    <row r="48479" spans="8:8" x14ac:dyDescent="0.3">
      <c r="H48479" t="str">
        <f t="shared" si="807"/>
        <v/>
      </c>
    </row>
    <row r="48480" spans="8:8" x14ac:dyDescent="0.3">
      <c r="H48480" t="str">
        <f t="shared" si="807"/>
        <v/>
      </c>
    </row>
    <row r="48481" spans="8:8" x14ac:dyDescent="0.3">
      <c r="H48481" t="str">
        <f t="shared" si="807"/>
        <v/>
      </c>
    </row>
    <row r="48482" spans="8:8" x14ac:dyDescent="0.3">
      <c r="H48482" t="str">
        <f t="shared" si="807"/>
        <v/>
      </c>
    </row>
    <row r="48483" spans="8:8" x14ac:dyDescent="0.3">
      <c r="H48483" t="str">
        <f t="shared" si="807"/>
        <v/>
      </c>
    </row>
    <row r="48484" spans="8:8" x14ac:dyDescent="0.3">
      <c r="H48484" t="str">
        <f t="shared" si="807"/>
        <v/>
      </c>
    </row>
    <row r="48485" spans="8:8" x14ac:dyDescent="0.3">
      <c r="H48485" t="str">
        <f t="shared" si="807"/>
        <v/>
      </c>
    </row>
    <row r="48486" spans="8:8" x14ac:dyDescent="0.3">
      <c r="H48486" t="str">
        <f t="shared" si="807"/>
        <v/>
      </c>
    </row>
    <row r="48487" spans="8:8" x14ac:dyDescent="0.3">
      <c r="H48487" t="str">
        <f t="shared" si="807"/>
        <v/>
      </c>
    </row>
    <row r="48488" spans="8:8" x14ac:dyDescent="0.3">
      <c r="H48488" t="str">
        <f t="shared" si="807"/>
        <v/>
      </c>
    </row>
    <row r="48489" spans="8:8" x14ac:dyDescent="0.3">
      <c r="H48489" t="str">
        <f t="shared" si="807"/>
        <v/>
      </c>
    </row>
    <row r="48490" spans="8:8" x14ac:dyDescent="0.3">
      <c r="H48490" t="str">
        <f t="shared" si="807"/>
        <v/>
      </c>
    </row>
    <row r="48491" spans="8:8" x14ac:dyDescent="0.3">
      <c r="H48491" t="str">
        <f t="shared" si="807"/>
        <v/>
      </c>
    </row>
    <row r="48492" spans="8:8" x14ac:dyDescent="0.3">
      <c r="H48492" t="str">
        <f t="shared" si="807"/>
        <v/>
      </c>
    </row>
    <row r="48493" spans="8:8" x14ac:dyDescent="0.3">
      <c r="H48493" t="str">
        <f t="shared" si="807"/>
        <v/>
      </c>
    </row>
    <row r="48494" spans="8:8" x14ac:dyDescent="0.3">
      <c r="H48494" t="str">
        <f t="shared" si="807"/>
        <v/>
      </c>
    </row>
    <row r="48495" spans="8:8" x14ac:dyDescent="0.3">
      <c r="H48495" t="str">
        <f t="shared" si="807"/>
        <v/>
      </c>
    </row>
    <row r="48496" spans="8:8" x14ac:dyDescent="0.3">
      <c r="H48496" t="str">
        <f t="shared" si="807"/>
        <v/>
      </c>
    </row>
    <row r="48497" spans="8:8" x14ac:dyDescent="0.3">
      <c r="H48497" t="str">
        <f t="shared" si="807"/>
        <v/>
      </c>
    </row>
    <row r="48498" spans="8:8" x14ac:dyDescent="0.3">
      <c r="H48498" t="str">
        <f t="shared" si="807"/>
        <v/>
      </c>
    </row>
    <row r="48499" spans="8:8" x14ac:dyDescent="0.3">
      <c r="H48499" t="str">
        <f t="shared" si="807"/>
        <v/>
      </c>
    </row>
    <row r="48500" spans="8:8" x14ac:dyDescent="0.3">
      <c r="H48500" t="str">
        <f t="shared" si="807"/>
        <v/>
      </c>
    </row>
    <row r="48501" spans="8:8" x14ac:dyDescent="0.3">
      <c r="H48501" t="str">
        <f t="shared" si="807"/>
        <v/>
      </c>
    </row>
    <row r="48502" spans="8:8" x14ac:dyDescent="0.3">
      <c r="H48502" t="str">
        <f t="shared" si="807"/>
        <v/>
      </c>
    </row>
    <row r="48503" spans="8:8" x14ac:dyDescent="0.3">
      <c r="H48503" t="str">
        <f t="shared" si="807"/>
        <v/>
      </c>
    </row>
    <row r="48504" spans="8:8" x14ac:dyDescent="0.3">
      <c r="H48504" t="str">
        <f t="shared" si="807"/>
        <v/>
      </c>
    </row>
    <row r="48505" spans="8:8" x14ac:dyDescent="0.3">
      <c r="H48505" t="str">
        <f t="shared" si="807"/>
        <v/>
      </c>
    </row>
    <row r="48506" spans="8:8" x14ac:dyDescent="0.3">
      <c r="H48506" t="str">
        <f t="shared" si="807"/>
        <v/>
      </c>
    </row>
    <row r="48507" spans="8:8" x14ac:dyDescent="0.3">
      <c r="H48507" t="str">
        <f t="shared" si="807"/>
        <v/>
      </c>
    </row>
    <row r="48508" spans="8:8" x14ac:dyDescent="0.3">
      <c r="H48508" t="str">
        <f t="shared" si="807"/>
        <v/>
      </c>
    </row>
    <row r="48509" spans="8:8" x14ac:dyDescent="0.3">
      <c r="H48509" t="str">
        <f t="shared" si="807"/>
        <v/>
      </c>
    </row>
    <row r="48510" spans="8:8" x14ac:dyDescent="0.3">
      <c r="H48510" t="str">
        <f t="shared" si="807"/>
        <v/>
      </c>
    </row>
    <row r="48511" spans="8:8" x14ac:dyDescent="0.3">
      <c r="H48511" t="str">
        <f t="shared" si="807"/>
        <v/>
      </c>
    </row>
    <row r="48512" spans="8:8" x14ac:dyDescent="0.3">
      <c r="H48512" t="str">
        <f t="shared" si="807"/>
        <v/>
      </c>
    </row>
    <row r="48513" spans="8:8" x14ac:dyDescent="0.3">
      <c r="H48513" t="str">
        <f t="shared" si="807"/>
        <v/>
      </c>
    </row>
    <row r="48514" spans="8:8" x14ac:dyDescent="0.3">
      <c r="H48514" t="str">
        <f t="shared" si="807"/>
        <v/>
      </c>
    </row>
    <row r="48515" spans="8:8" x14ac:dyDescent="0.3">
      <c r="H48515" t="str">
        <f t="shared" si="807"/>
        <v/>
      </c>
    </row>
    <row r="48516" spans="8:8" x14ac:dyDescent="0.3">
      <c r="H48516" t="str">
        <f t="shared" si="807"/>
        <v/>
      </c>
    </row>
    <row r="48517" spans="8:8" x14ac:dyDescent="0.3">
      <c r="H48517" t="str">
        <f t="shared" si="807"/>
        <v/>
      </c>
    </row>
    <row r="48518" spans="8:8" x14ac:dyDescent="0.3">
      <c r="H48518" t="str">
        <f t="shared" si="807"/>
        <v/>
      </c>
    </row>
    <row r="48519" spans="8:8" x14ac:dyDescent="0.3">
      <c r="H48519" t="str">
        <f t="shared" si="807"/>
        <v/>
      </c>
    </row>
    <row r="48520" spans="8:8" x14ac:dyDescent="0.3">
      <c r="H48520" t="str">
        <f t="shared" si="807"/>
        <v/>
      </c>
    </row>
    <row r="48521" spans="8:8" x14ac:dyDescent="0.3">
      <c r="H48521" t="str">
        <f t="shared" si="807"/>
        <v/>
      </c>
    </row>
    <row r="48522" spans="8:8" x14ac:dyDescent="0.3">
      <c r="H48522" t="str">
        <f t="shared" si="807"/>
        <v/>
      </c>
    </row>
    <row r="48523" spans="8:8" x14ac:dyDescent="0.3">
      <c r="H48523" t="str">
        <f t="shared" si="807"/>
        <v/>
      </c>
    </row>
    <row r="48524" spans="8:8" x14ac:dyDescent="0.3">
      <c r="H48524" t="str">
        <f t="shared" si="807"/>
        <v/>
      </c>
    </row>
    <row r="48525" spans="8:8" x14ac:dyDescent="0.3">
      <c r="H48525" t="str">
        <f t="shared" si="807"/>
        <v/>
      </c>
    </row>
    <row r="48526" spans="8:8" x14ac:dyDescent="0.3">
      <c r="H48526" t="str">
        <f t="shared" si="807"/>
        <v/>
      </c>
    </row>
    <row r="48527" spans="8:8" x14ac:dyDescent="0.3">
      <c r="H48527" t="str">
        <f t="shared" si="807"/>
        <v/>
      </c>
    </row>
    <row r="48528" spans="8:8" x14ac:dyDescent="0.3">
      <c r="H48528" t="str">
        <f t="shared" si="807"/>
        <v/>
      </c>
    </row>
    <row r="48529" spans="8:8" x14ac:dyDescent="0.3">
      <c r="H48529" t="str">
        <f t="shared" si="807"/>
        <v/>
      </c>
    </row>
    <row r="48530" spans="8:8" x14ac:dyDescent="0.3">
      <c r="H48530" t="str">
        <f t="shared" si="807"/>
        <v/>
      </c>
    </row>
    <row r="48531" spans="8:8" x14ac:dyDescent="0.3">
      <c r="H48531" t="str">
        <f t="shared" si="807"/>
        <v/>
      </c>
    </row>
    <row r="48532" spans="8:8" x14ac:dyDescent="0.3">
      <c r="H48532" t="str">
        <f t="shared" si="807"/>
        <v/>
      </c>
    </row>
    <row r="48533" spans="8:8" x14ac:dyDescent="0.3">
      <c r="H48533" t="str">
        <f t="shared" si="807"/>
        <v/>
      </c>
    </row>
    <row r="48534" spans="8:8" x14ac:dyDescent="0.3">
      <c r="H48534" t="str">
        <f t="shared" si="807"/>
        <v/>
      </c>
    </row>
    <row r="48535" spans="8:8" x14ac:dyDescent="0.3">
      <c r="H48535" t="str">
        <f t="shared" ref="H48535:H48598" si="808">IF(B48535="","",$C$12)</f>
        <v/>
      </c>
    </row>
    <row r="48536" spans="8:8" x14ac:dyDescent="0.3">
      <c r="H48536" t="str">
        <f t="shared" si="808"/>
        <v/>
      </c>
    </row>
    <row r="48537" spans="8:8" x14ac:dyDescent="0.3">
      <c r="H48537" t="str">
        <f t="shared" si="808"/>
        <v/>
      </c>
    </row>
    <row r="48538" spans="8:8" x14ac:dyDescent="0.3">
      <c r="H48538" t="str">
        <f t="shared" si="808"/>
        <v/>
      </c>
    </row>
    <row r="48539" spans="8:8" x14ac:dyDescent="0.3">
      <c r="H48539" t="str">
        <f t="shared" si="808"/>
        <v/>
      </c>
    </row>
    <row r="48540" spans="8:8" x14ac:dyDescent="0.3">
      <c r="H48540" t="str">
        <f t="shared" si="808"/>
        <v/>
      </c>
    </row>
    <row r="48541" spans="8:8" x14ac:dyDescent="0.3">
      <c r="H48541" t="str">
        <f t="shared" si="808"/>
        <v/>
      </c>
    </row>
    <row r="48542" spans="8:8" x14ac:dyDescent="0.3">
      <c r="H48542" t="str">
        <f t="shared" si="808"/>
        <v/>
      </c>
    </row>
    <row r="48543" spans="8:8" x14ac:dyDescent="0.3">
      <c r="H48543" t="str">
        <f t="shared" si="808"/>
        <v/>
      </c>
    </row>
    <row r="48544" spans="8:8" x14ac:dyDescent="0.3">
      <c r="H48544" t="str">
        <f t="shared" si="808"/>
        <v/>
      </c>
    </row>
    <row r="48545" spans="8:8" x14ac:dyDescent="0.3">
      <c r="H48545" t="str">
        <f t="shared" si="808"/>
        <v/>
      </c>
    </row>
    <row r="48546" spans="8:8" x14ac:dyDescent="0.3">
      <c r="H48546" t="str">
        <f t="shared" si="808"/>
        <v/>
      </c>
    </row>
    <row r="48547" spans="8:8" x14ac:dyDescent="0.3">
      <c r="H48547" t="str">
        <f t="shared" si="808"/>
        <v/>
      </c>
    </row>
    <row r="48548" spans="8:8" x14ac:dyDescent="0.3">
      <c r="H48548" t="str">
        <f t="shared" si="808"/>
        <v/>
      </c>
    </row>
    <row r="48549" spans="8:8" x14ac:dyDescent="0.3">
      <c r="H48549" t="str">
        <f t="shared" si="808"/>
        <v/>
      </c>
    </row>
    <row r="48550" spans="8:8" x14ac:dyDescent="0.3">
      <c r="H48550" t="str">
        <f t="shared" si="808"/>
        <v/>
      </c>
    </row>
    <row r="48551" spans="8:8" x14ac:dyDescent="0.3">
      <c r="H48551" t="str">
        <f t="shared" si="808"/>
        <v/>
      </c>
    </row>
    <row r="48552" spans="8:8" x14ac:dyDescent="0.3">
      <c r="H48552" t="str">
        <f t="shared" si="808"/>
        <v/>
      </c>
    </row>
    <row r="48553" spans="8:8" x14ac:dyDescent="0.3">
      <c r="H48553" t="str">
        <f t="shared" si="808"/>
        <v/>
      </c>
    </row>
    <row r="48554" spans="8:8" x14ac:dyDescent="0.3">
      <c r="H48554" t="str">
        <f t="shared" si="808"/>
        <v/>
      </c>
    </row>
    <row r="48555" spans="8:8" x14ac:dyDescent="0.3">
      <c r="H48555" t="str">
        <f t="shared" si="808"/>
        <v/>
      </c>
    </row>
    <row r="48556" spans="8:8" x14ac:dyDescent="0.3">
      <c r="H48556" t="str">
        <f t="shared" si="808"/>
        <v/>
      </c>
    </row>
    <row r="48557" spans="8:8" x14ac:dyDescent="0.3">
      <c r="H48557" t="str">
        <f t="shared" si="808"/>
        <v/>
      </c>
    </row>
    <row r="48558" spans="8:8" x14ac:dyDescent="0.3">
      <c r="H48558" t="str">
        <f t="shared" si="808"/>
        <v/>
      </c>
    </row>
    <row r="48559" spans="8:8" x14ac:dyDescent="0.3">
      <c r="H48559" t="str">
        <f t="shared" si="808"/>
        <v/>
      </c>
    </row>
    <row r="48560" spans="8:8" x14ac:dyDescent="0.3">
      <c r="H48560" t="str">
        <f t="shared" si="808"/>
        <v/>
      </c>
    </row>
    <row r="48561" spans="8:8" x14ac:dyDescent="0.3">
      <c r="H48561" t="str">
        <f t="shared" si="808"/>
        <v/>
      </c>
    </row>
    <row r="48562" spans="8:8" x14ac:dyDescent="0.3">
      <c r="H48562" t="str">
        <f t="shared" si="808"/>
        <v/>
      </c>
    </row>
    <row r="48563" spans="8:8" x14ac:dyDescent="0.3">
      <c r="H48563" t="str">
        <f t="shared" si="808"/>
        <v/>
      </c>
    </row>
    <row r="48564" spans="8:8" x14ac:dyDescent="0.3">
      <c r="H48564" t="str">
        <f t="shared" si="808"/>
        <v/>
      </c>
    </row>
    <row r="48565" spans="8:8" x14ac:dyDescent="0.3">
      <c r="H48565" t="str">
        <f t="shared" si="808"/>
        <v/>
      </c>
    </row>
    <row r="48566" spans="8:8" x14ac:dyDescent="0.3">
      <c r="H48566" t="str">
        <f t="shared" si="808"/>
        <v/>
      </c>
    </row>
    <row r="48567" spans="8:8" x14ac:dyDescent="0.3">
      <c r="H48567" t="str">
        <f t="shared" si="808"/>
        <v/>
      </c>
    </row>
    <row r="48568" spans="8:8" x14ac:dyDescent="0.3">
      <c r="H48568" t="str">
        <f t="shared" si="808"/>
        <v/>
      </c>
    </row>
    <row r="48569" spans="8:8" x14ac:dyDescent="0.3">
      <c r="H48569" t="str">
        <f t="shared" si="808"/>
        <v/>
      </c>
    </row>
    <row r="48570" spans="8:8" x14ac:dyDescent="0.3">
      <c r="H48570" t="str">
        <f t="shared" si="808"/>
        <v/>
      </c>
    </row>
    <row r="48571" spans="8:8" x14ac:dyDescent="0.3">
      <c r="H48571" t="str">
        <f t="shared" si="808"/>
        <v/>
      </c>
    </row>
    <row r="48572" spans="8:8" x14ac:dyDescent="0.3">
      <c r="H48572" t="str">
        <f t="shared" si="808"/>
        <v/>
      </c>
    </row>
    <row r="48573" spans="8:8" x14ac:dyDescent="0.3">
      <c r="H48573" t="str">
        <f t="shared" si="808"/>
        <v/>
      </c>
    </row>
    <row r="48574" spans="8:8" x14ac:dyDescent="0.3">
      <c r="H48574" t="str">
        <f t="shared" si="808"/>
        <v/>
      </c>
    </row>
    <row r="48575" spans="8:8" x14ac:dyDescent="0.3">
      <c r="H48575" t="str">
        <f t="shared" si="808"/>
        <v/>
      </c>
    </row>
    <row r="48576" spans="8:8" x14ac:dyDescent="0.3">
      <c r="H48576" t="str">
        <f t="shared" si="808"/>
        <v/>
      </c>
    </row>
    <row r="48577" spans="8:8" x14ac:dyDescent="0.3">
      <c r="H48577" t="str">
        <f t="shared" si="808"/>
        <v/>
      </c>
    </row>
    <row r="48578" spans="8:8" x14ac:dyDescent="0.3">
      <c r="H48578" t="str">
        <f t="shared" si="808"/>
        <v/>
      </c>
    </row>
    <row r="48579" spans="8:8" x14ac:dyDescent="0.3">
      <c r="H48579" t="str">
        <f t="shared" si="808"/>
        <v/>
      </c>
    </row>
    <row r="48580" spans="8:8" x14ac:dyDescent="0.3">
      <c r="H48580" t="str">
        <f t="shared" si="808"/>
        <v/>
      </c>
    </row>
    <row r="48581" spans="8:8" x14ac:dyDescent="0.3">
      <c r="H48581" t="str">
        <f t="shared" si="808"/>
        <v/>
      </c>
    </row>
    <row r="48582" spans="8:8" x14ac:dyDescent="0.3">
      <c r="H48582" t="str">
        <f t="shared" si="808"/>
        <v/>
      </c>
    </row>
    <row r="48583" spans="8:8" x14ac:dyDescent="0.3">
      <c r="H48583" t="str">
        <f t="shared" si="808"/>
        <v/>
      </c>
    </row>
    <row r="48584" spans="8:8" x14ac:dyDescent="0.3">
      <c r="H48584" t="str">
        <f t="shared" si="808"/>
        <v/>
      </c>
    </row>
    <row r="48585" spans="8:8" x14ac:dyDescent="0.3">
      <c r="H48585" t="str">
        <f t="shared" si="808"/>
        <v/>
      </c>
    </row>
    <row r="48586" spans="8:8" x14ac:dyDescent="0.3">
      <c r="H48586" t="str">
        <f t="shared" si="808"/>
        <v/>
      </c>
    </row>
    <row r="48587" spans="8:8" x14ac:dyDescent="0.3">
      <c r="H48587" t="str">
        <f t="shared" si="808"/>
        <v/>
      </c>
    </row>
    <row r="48588" spans="8:8" x14ac:dyDescent="0.3">
      <c r="H48588" t="str">
        <f t="shared" si="808"/>
        <v/>
      </c>
    </row>
    <row r="48589" spans="8:8" x14ac:dyDescent="0.3">
      <c r="H48589" t="str">
        <f t="shared" si="808"/>
        <v/>
      </c>
    </row>
    <row r="48590" spans="8:8" x14ac:dyDescent="0.3">
      <c r="H48590" t="str">
        <f t="shared" si="808"/>
        <v/>
      </c>
    </row>
    <row r="48591" spans="8:8" x14ac:dyDescent="0.3">
      <c r="H48591" t="str">
        <f t="shared" si="808"/>
        <v/>
      </c>
    </row>
    <row r="48592" spans="8:8" x14ac:dyDescent="0.3">
      <c r="H48592" t="str">
        <f t="shared" si="808"/>
        <v/>
      </c>
    </row>
    <row r="48593" spans="8:8" x14ac:dyDescent="0.3">
      <c r="H48593" t="str">
        <f t="shared" si="808"/>
        <v/>
      </c>
    </row>
    <row r="48594" spans="8:8" x14ac:dyDescent="0.3">
      <c r="H48594" t="str">
        <f t="shared" si="808"/>
        <v/>
      </c>
    </row>
    <row r="48595" spans="8:8" x14ac:dyDescent="0.3">
      <c r="H48595" t="str">
        <f t="shared" si="808"/>
        <v/>
      </c>
    </row>
    <row r="48596" spans="8:8" x14ac:dyDescent="0.3">
      <c r="H48596" t="str">
        <f t="shared" si="808"/>
        <v/>
      </c>
    </row>
    <row r="48597" spans="8:8" x14ac:dyDescent="0.3">
      <c r="H48597" t="str">
        <f t="shared" si="808"/>
        <v/>
      </c>
    </row>
    <row r="48598" spans="8:8" x14ac:dyDescent="0.3">
      <c r="H48598" t="str">
        <f t="shared" si="808"/>
        <v/>
      </c>
    </row>
    <row r="48599" spans="8:8" x14ac:dyDescent="0.3">
      <c r="H48599" t="str">
        <f t="shared" ref="H48599:H48662" si="809">IF(B48599="","",$C$12)</f>
        <v/>
      </c>
    </row>
    <row r="48600" spans="8:8" x14ac:dyDescent="0.3">
      <c r="H48600" t="str">
        <f t="shared" si="809"/>
        <v/>
      </c>
    </row>
    <row r="48601" spans="8:8" x14ac:dyDescent="0.3">
      <c r="H48601" t="str">
        <f t="shared" si="809"/>
        <v/>
      </c>
    </row>
    <row r="48602" spans="8:8" x14ac:dyDescent="0.3">
      <c r="H48602" t="str">
        <f t="shared" si="809"/>
        <v/>
      </c>
    </row>
    <row r="48603" spans="8:8" x14ac:dyDescent="0.3">
      <c r="H48603" t="str">
        <f t="shared" si="809"/>
        <v/>
      </c>
    </row>
    <row r="48604" spans="8:8" x14ac:dyDescent="0.3">
      <c r="H48604" t="str">
        <f t="shared" si="809"/>
        <v/>
      </c>
    </row>
    <row r="48605" spans="8:8" x14ac:dyDescent="0.3">
      <c r="H48605" t="str">
        <f t="shared" si="809"/>
        <v/>
      </c>
    </row>
    <row r="48606" spans="8:8" x14ac:dyDescent="0.3">
      <c r="H48606" t="str">
        <f t="shared" si="809"/>
        <v/>
      </c>
    </row>
    <row r="48607" spans="8:8" x14ac:dyDescent="0.3">
      <c r="H48607" t="str">
        <f t="shared" si="809"/>
        <v/>
      </c>
    </row>
    <row r="48608" spans="8:8" x14ac:dyDescent="0.3">
      <c r="H48608" t="str">
        <f t="shared" si="809"/>
        <v/>
      </c>
    </row>
    <row r="48609" spans="8:8" x14ac:dyDescent="0.3">
      <c r="H48609" t="str">
        <f t="shared" si="809"/>
        <v/>
      </c>
    </row>
    <row r="48610" spans="8:8" x14ac:dyDescent="0.3">
      <c r="H48610" t="str">
        <f t="shared" si="809"/>
        <v/>
      </c>
    </row>
    <row r="48611" spans="8:8" x14ac:dyDescent="0.3">
      <c r="H48611" t="str">
        <f t="shared" si="809"/>
        <v/>
      </c>
    </row>
    <row r="48612" spans="8:8" x14ac:dyDescent="0.3">
      <c r="H48612" t="str">
        <f t="shared" si="809"/>
        <v/>
      </c>
    </row>
    <row r="48613" spans="8:8" x14ac:dyDescent="0.3">
      <c r="H48613" t="str">
        <f t="shared" si="809"/>
        <v/>
      </c>
    </row>
    <row r="48614" spans="8:8" x14ac:dyDescent="0.3">
      <c r="H48614" t="str">
        <f t="shared" si="809"/>
        <v/>
      </c>
    </row>
    <row r="48615" spans="8:8" x14ac:dyDescent="0.3">
      <c r="H48615" t="str">
        <f t="shared" si="809"/>
        <v/>
      </c>
    </row>
    <row r="48616" spans="8:8" x14ac:dyDescent="0.3">
      <c r="H48616" t="str">
        <f t="shared" si="809"/>
        <v/>
      </c>
    </row>
    <row r="48617" spans="8:8" x14ac:dyDescent="0.3">
      <c r="H48617" t="str">
        <f t="shared" si="809"/>
        <v/>
      </c>
    </row>
    <row r="48618" spans="8:8" x14ac:dyDescent="0.3">
      <c r="H48618" t="str">
        <f t="shared" si="809"/>
        <v/>
      </c>
    </row>
    <row r="48619" spans="8:8" x14ac:dyDescent="0.3">
      <c r="H48619" t="str">
        <f t="shared" si="809"/>
        <v/>
      </c>
    </row>
    <row r="48620" spans="8:8" x14ac:dyDescent="0.3">
      <c r="H48620" t="str">
        <f t="shared" si="809"/>
        <v/>
      </c>
    </row>
    <row r="48621" spans="8:8" x14ac:dyDescent="0.3">
      <c r="H48621" t="str">
        <f t="shared" si="809"/>
        <v/>
      </c>
    </row>
    <row r="48622" spans="8:8" x14ac:dyDescent="0.3">
      <c r="H48622" t="str">
        <f t="shared" si="809"/>
        <v/>
      </c>
    </row>
    <row r="48623" spans="8:8" x14ac:dyDescent="0.3">
      <c r="H48623" t="str">
        <f t="shared" si="809"/>
        <v/>
      </c>
    </row>
    <row r="48624" spans="8:8" x14ac:dyDescent="0.3">
      <c r="H48624" t="str">
        <f t="shared" si="809"/>
        <v/>
      </c>
    </row>
    <row r="48625" spans="8:8" x14ac:dyDescent="0.3">
      <c r="H48625" t="str">
        <f t="shared" si="809"/>
        <v/>
      </c>
    </row>
    <row r="48626" spans="8:8" x14ac:dyDescent="0.3">
      <c r="H48626" t="str">
        <f t="shared" si="809"/>
        <v/>
      </c>
    </row>
    <row r="48627" spans="8:8" x14ac:dyDescent="0.3">
      <c r="H48627" t="str">
        <f t="shared" si="809"/>
        <v/>
      </c>
    </row>
    <row r="48628" spans="8:8" x14ac:dyDescent="0.3">
      <c r="H48628" t="str">
        <f t="shared" si="809"/>
        <v/>
      </c>
    </row>
    <row r="48629" spans="8:8" x14ac:dyDescent="0.3">
      <c r="H48629" t="str">
        <f t="shared" si="809"/>
        <v/>
      </c>
    </row>
    <row r="48630" spans="8:8" x14ac:dyDescent="0.3">
      <c r="H48630" t="str">
        <f t="shared" si="809"/>
        <v/>
      </c>
    </row>
    <row r="48631" spans="8:8" x14ac:dyDescent="0.3">
      <c r="H48631" t="str">
        <f t="shared" si="809"/>
        <v/>
      </c>
    </row>
    <row r="48632" spans="8:8" x14ac:dyDescent="0.3">
      <c r="H48632" t="str">
        <f t="shared" si="809"/>
        <v/>
      </c>
    </row>
    <row r="48633" spans="8:8" x14ac:dyDescent="0.3">
      <c r="H48633" t="str">
        <f t="shared" si="809"/>
        <v/>
      </c>
    </row>
    <row r="48634" spans="8:8" x14ac:dyDescent="0.3">
      <c r="H48634" t="str">
        <f t="shared" si="809"/>
        <v/>
      </c>
    </row>
    <row r="48635" spans="8:8" x14ac:dyDescent="0.3">
      <c r="H48635" t="str">
        <f t="shared" si="809"/>
        <v/>
      </c>
    </row>
    <row r="48636" spans="8:8" x14ac:dyDescent="0.3">
      <c r="H48636" t="str">
        <f t="shared" si="809"/>
        <v/>
      </c>
    </row>
    <row r="48637" spans="8:8" x14ac:dyDescent="0.3">
      <c r="H48637" t="str">
        <f t="shared" si="809"/>
        <v/>
      </c>
    </row>
    <row r="48638" spans="8:8" x14ac:dyDescent="0.3">
      <c r="H48638" t="str">
        <f t="shared" si="809"/>
        <v/>
      </c>
    </row>
    <row r="48639" spans="8:8" x14ac:dyDescent="0.3">
      <c r="H48639" t="str">
        <f t="shared" si="809"/>
        <v/>
      </c>
    </row>
    <row r="48640" spans="8:8" x14ac:dyDescent="0.3">
      <c r="H48640" t="str">
        <f t="shared" si="809"/>
        <v/>
      </c>
    </row>
    <row r="48641" spans="8:8" x14ac:dyDescent="0.3">
      <c r="H48641" t="str">
        <f t="shared" si="809"/>
        <v/>
      </c>
    </row>
    <row r="48642" spans="8:8" x14ac:dyDescent="0.3">
      <c r="H48642" t="str">
        <f t="shared" si="809"/>
        <v/>
      </c>
    </row>
    <row r="48643" spans="8:8" x14ac:dyDescent="0.3">
      <c r="H48643" t="str">
        <f t="shared" si="809"/>
        <v/>
      </c>
    </row>
    <row r="48644" spans="8:8" x14ac:dyDescent="0.3">
      <c r="H48644" t="str">
        <f t="shared" si="809"/>
        <v/>
      </c>
    </row>
    <row r="48645" spans="8:8" x14ac:dyDescent="0.3">
      <c r="H48645" t="str">
        <f t="shared" si="809"/>
        <v/>
      </c>
    </row>
    <row r="48646" spans="8:8" x14ac:dyDescent="0.3">
      <c r="H48646" t="str">
        <f t="shared" si="809"/>
        <v/>
      </c>
    </row>
    <row r="48647" spans="8:8" x14ac:dyDescent="0.3">
      <c r="H48647" t="str">
        <f t="shared" si="809"/>
        <v/>
      </c>
    </row>
    <row r="48648" spans="8:8" x14ac:dyDescent="0.3">
      <c r="H48648" t="str">
        <f t="shared" si="809"/>
        <v/>
      </c>
    </row>
    <row r="48649" spans="8:8" x14ac:dyDescent="0.3">
      <c r="H48649" t="str">
        <f t="shared" si="809"/>
        <v/>
      </c>
    </row>
    <row r="48650" spans="8:8" x14ac:dyDescent="0.3">
      <c r="H48650" t="str">
        <f t="shared" si="809"/>
        <v/>
      </c>
    </row>
    <row r="48651" spans="8:8" x14ac:dyDescent="0.3">
      <c r="H48651" t="str">
        <f t="shared" si="809"/>
        <v/>
      </c>
    </row>
    <row r="48652" spans="8:8" x14ac:dyDescent="0.3">
      <c r="H48652" t="str">
        <f t="shared" si="809"/>
        <v/>
      </c>
    </row>
    <row r="48653" spans="8:8" x14ac:dyDescent="0.3">
      <c r="H48653" t="str">
        <f t="shared" si="809"/>
        <v/>
      </c>
    </row>
    <row r="48654" spans="8:8" x14ac:dyDescent="0.3">
      <c r="H48654" t="str">
        <f t="shared" si="809"/>
        <v/>
      </c>
    </row>
    <row r="48655" spans="8:8" x14ac:dyDescent="0.3">
      <c r="H48655" t="str">
        <f t="shared" si="809"/>
        <v/>
      </c>
    </row>
    <row r="48656" spans="8:8" x14ac:dyDescent="0.3">
      <c r="H48656" t="str">
        <f t="shared" si="809"/>
        <v/>
      </c>
    </row>
    <row r="48657" spans="8:8" x14ac:dyDescent="0.3">
      <c r="H48657" t="str">
        <f t="shared" si="809"/>
        <v/>
      </c>
    </row>
    <row r="48658" spans="8:8" x14ac:dyDescent="0.3">
      <c r="H48658" t="str">
        <f t="shared" si="809"/>
        <v/>
      </c>
    </row>
    <row r="48659" spans="8:8" x14ac:dyDescent="0.3">
      <c r="H48659" t="str">
        <f t="shared" si="809"/>
        <v/>
      </c>
    </row>
    <row r="48660" spans="8:8" x14ac:dyDescent="0.3">
      <c r="H48660" t="str">
        <f t="shared" si="809"/>
        <v/>
      </c>
    </row>
    <row r="48661" spans="8:8" x14ac:dyDescent="0.3">
      <c r="H48661" t="str">
        <f t="shared" si="809"/>
        <v/>
      </c>
    </row>
    <row r="48662" spans="8:8" x14ac:dyDescent="0.3">
      <c r="H48662" t="str">
        <f t="shared" si="809"/>
        <v/>
      </c>
    </row>
    <row r="48663" spans="8:8" x14ac:dyDescent="0.3">
      <c r="H48663" t="str">
        <f t="shared" ref="H48663:H48726" si="810">IF(B48663="","",$C$12)</f>
        <v/>
      </c>
    </row>
    <row r="48664" spans="8:8" x14ac:dyDescent="0.3">
      <c r="H48664" t="str">
        <f t="shared" si="810"/>
        <v/>
      </c>
    </row>
    <row r="48665" spans="8:8" x14ac:dyDescent="0.3">
      <c r="H48665" t="str">
        <f t="shared" si="810"/>
        <v/>
      </c>
    </row>
    <row r="48666" spans="8:8" x14ac:dyDescent="0.3">
      <c r="H48666" t="str">
        <f t="shared" si="810"/>
        <v/>
      </c>
    </row>
    <row r="48667" spans="8:8" x14ac:dyDescent="0.3">
      <c r="H48667" t="str">
        <f t="shared" si="810"/>
        <v/>
      </c>
    </row>
    <row r="48668" spans="8:8" x14ac:dyDescent="0.3">
      <c r="H48668" t="str">
        <f t="shared" si="810"/>
        <v/>
      </c>
    </row>
    <row r="48669" spans="8:8" x14ac:dyDescent="0.3">
      <c r="H48669" t="str">
        <f t="shared" si="810"/>
        <v/>
      </c>
    </row>
    <row r="48670" spans="8:8" x14ac:dyDescent="0.3">
      <c r="H48670" t="str">
        <f t="shared" si="810"/>
        <v/>
      </c>
    </row>
    <row r="48671" spans="8:8" x14ac:dyDescent="0.3">
      <c r="H48671" t="str">
        <f t="shared" si="810"/>
        <v/>
      </c>
    </row>
    <row r="48672" spans="8:8" x14ac:dyDescent="0.3">
      <c r="H48672" t="str">
        <f t="shared" si="810"/>
        <v/>
      </c>
    </row>
    <row r="48673" spans="8:8" x14ac:dyDescent="0.3">
      <c r="H48673" t="str">
        <f t="shared" si="810"/>
        <v/>
      </c>
    </row>
    <row r="48674" spans="8:8" x14ac:dyDescent="0.3">
      <c r="H48674" t="str">
        <f t="shared" si="810"/>
        <v/>
      </c>
    </row>
    <row r="48675" spans="8:8" x14ac:dyDescent="0.3">
      <c r="H48675" t="str">
        <f t="shared" si="810"/>
        <v/>
      </c>
    </row>
    <row r="48676" spans="8:8" x14ac:dyDescent="0.3">
      <c r="H48676" t="str">
        <f t="shared" si="810"/>
        <v/>
      </c>
    </row>
    <row r="48677" spans="8:8" x14ac:dyDescent="0.3">
      <c r="H48677" t="str">
        <f t="shared" si="810"/>
        <v/>
      </c>
    </row>
    <row r="48678" spans="8:8" x14ac:dyDescent="0.3">
      <c r="H48678" t="str">
        <f t="shared" si="810"/>
        <v/>
      </c>
    </row>
    <row r="48679" spans="8:8" x14ac:dyDescent="0.3">
      <c r="H48679" t="str">
        <f t="shared" si="810"/>
        <v/>
      </c>
    </row>
    <row r="48680" spans="8:8" x14ac:dyDescent="0.3">
      <c r="H48680" t="str">
        <f t="shared" si="810"/>
        <v/>
      </c>
    </row>
    <row r="48681" spans="8:8" x14ac:dyDescent="0.3">
      <c r="H48681" t="str">
        <f t="shared" si="810"/>
        <v/>
      </c>
    </row>
    <row r="48682" spans="8:8" x14ac:dyDescent="0.3">
      <c r="H48682" t="str">
        <f t="shared" si="810"/>
        <v/>
      </c>
    </row>
    <row r="48683" spans="8:8" x14ac:dyDescent="0.3">
      <c r="H48683" t="str">
        <f t="shared" si="810"/>
        <v/>
      </c>
    </row>
    <row r="48684" spans="8:8" x14ac:dyDescent="0.3">
      <c r="H48684" t="str">
        <f t="shared" si="810"/>
        <v/>
      </c>
    </row>
    <row r="48685" spans="8:8" x14ac:dyDescent="0.3">
      <c r="H48685" t="str">
        <f t="shared" si="810"/>
        <v/>
      </c>
    </row>
    <row r="48686" spans="8:8" x14ac:dyDescent="0.3">
      <c r="H48686" t="str">
        <f t="shared" si="810"/>
        <v/>
      </c>
    </row>
    <row r="48687" spans="8:8" x14ac:dyDescent="0.3">
      <c r="H48687" t="str">
        <f t="shared" si="810"/>
        <v/>
      </c>
    </row>
    <row r="48688" spans="8:8" x14ac:dyDescent="0.3">
      <c r="H48688" t="str">
        <f t="shared" si="810"/>
        <v/>
      </c>
    </row>
    <row r="48689" spans="8:8" x14ac:dyDescent="0.3">
      <c r="H48689" t="str">
        <f t="shared" si="810"/>
        <v/>
      </c>
    </row>
    <row r="48690" spans="8:8" x14ac:dyDescent="0.3">
      <c r="H48690" t="str">
        <f t="shared" si="810"/>
        <v/>
      </c>
    </row>
    <row r="48691" spans="8:8" x14ac:dyDescent="0.3">
      <c r="H48691" t="str">
        <f t="shared" si="810"/>
        <v/>
      </c>
    </row>
    <row r="48692" spans="8:8" x14ac:dyDescent="0.3">
      <c r="H48692" t="str">
        <f t="shared" si="810"/>
        <v/>
      </c>
    </row>
    <row r="48693" spans="8:8" x14ac:dyDescent="0.3">
      <c r="H48693" t="str">
        <f t="shared" si="810"/>
        <v/>
      </c>
    </row>
    <row r="48694" spans="8:8" x14ac:dyDescent="0.3">
      <c r="H48694" t="str">
        <f t="shared" si="810"/>
        <v/>
      </c>
    </row>
    <row r="48695" spans="8:8" x14ac:dyDescent="0.3">
      <c r="H48695" t="str">
        <f t="shared" si="810"/>
        <v/>
      </c>
    </row>
    <row r="48696" spans="8:8" x14ac:dyDescent="0.3">
      <c r="H48696" t="str">
        <f t="shared" si="810"/>
        <v/>
      </c>
    </row>
    <row r="48697" spans="8:8" x14ac:dyDescent="0.3">
      <c r="H48697" t="str">
        <f t="shared" si="810"/>
        <v/>
      </c>
    </row>
    <row r="48698" spans="8:8" x14ac:dyDescent="0.3">
      <c r="H48698" t="str">
        <f t="shared" si="810"/>
        <v/>
      </c>
    </row>
    <row r="48699" spans="8:8" x14ac:dyDescent="0.3">
      <c r="H48699" t="str">
        <f t="shared" si="810"/>
        <v/>
      </c>
    </row>
    <row r="48700" spans="8:8" x14ac:dyDescent="0.3">
      <c r="H48700" t="str">
        <f t="shared" si="810"/>
        <v/>
      </c>
    </row>
    <row r="48701" spans="8:8" x14ac:dyDescent="0.3">
      <c r="H48701" t="str">
        <f t="shared" si="810"/>
        <v/>
      </c>
    </row>
    <row r="48702" spans="8:8" x14ac:dyDescent="0.3">
      <c r="H48702" t="str">
        <f t="shared" si="810"/>
        <v/>
      </c>
    </row>
    <row r="48703" spans="8:8" x14ac:dyDescent="0.3">
      <c r="H48703" t="str">
        <f t="shared" si="810"/>
        <v/>
      </c>
    </row>
    <row r="48704" spans="8:8" x14ac:dyDescent="0.3">
      <c r="H48704" t="str">
        <f t="shared" si="810"/>
        <v/>
      </c>
    </row>
    <row r="48705" spans="8:8" x14ac:dyDescent="0.3">
      <c r="H48705" t="str">
        <f t="shared" si="810"/>
        <v/>
      </c>
    </row>
    <row r="48706" spans="8:8" x14ac:dyDescent="0.3">
      <c r="H48706" t="str">
        <f t="shared" si="810"/>
        <v/>
      </c>
    </row>
    <row r="48707" spans="8:8" x14ac:dyDescent="0.3">
      <c r="H48707" t="str">
        <f t="shared" si="810"/>
        <v/>
      </c>
    </row>
    <row r="48708" spans="8:8" x14ac:dyDescent="0.3">
      <c r="H48708" t="str">
        <f t="shared" si="810"/>
        <v/>
      </c>
    </row>
    <row r="48709" spans="8:8" x14ac:dyDescent="0.3">
      <c r="H48709" t="str">
        <f t="shared" si="810"/>
        <v/>
      </c>
    </row>
    <row r="48710" spans="8:8" x14ac:dyDescent="0.3">
      <c r="H48710" t="str">
        <f t="shared" si="810"/>
        <v/>
      </c>
    </row>
    <row r="48711" spans="8:8" x14ac:dyDescent="0.3">
      <c r="H48711" t="str">
        <f t="shared" si="810"/>
        <v/>
      </c>
    </row>
    <row r="48712" spans="8:8" x14ac:dyDescent="0.3">
      <c r="H48712" t="str">
        <f t="shared" si="810"/>
        <v/>
      </c>
    </row>
    <row r="48713" spans="8:8" x14ac:dyDescent="0.3">
      <c r="H48713" t="str">
        <f t="shared" si="810"/>
        <v/>
      </c>
    </row>
    <row r="48714" spans="8:8" x14ac:dyDescent="0.3">
      <c r="H48714" t="str">
        <f t="shared" si="810"/>
        <v/>
      </c>
    </row>
    <row r="48715" spans="8:8" x14ac:dyDescent="0.3">
      <c r="H48715" t="str">
        <f t="shared" si="810"/>
        <v/>
      </c>
    </row>
    <row r="48716" spans="8:8" x14ac:dyDescent="0.3">
      <c r="H48716" t="str">
        <f t="shared" si="810"/>
        <v/>
      </c>
    </row>
    <row r="48717" spans="8:8" x14ac:dyDescent="0.3">
      <c r="H48717" t="str">
        <f t="shared" si="810"/>
        <v/>
      </c>
    </row>
    <row r="48718" spans="8:8" x14ac:dyDescent="0.3">
      <c r="H48718" t="str">
        <f t="shared" si="810"/>
        <v/>
      </c>
    </row>
    <row r="48719" spans="8:8" x14ac:dyDescent="0.3">
      <c r="H48719" t="str">
        <f t="shared" si="810"/>
        <v/>
      </c>
    </row>
    <row r="48720" spans="8:8" x14ac:dyDescent="0.3">
      <c r="H48720" t="str">
        <f t="shared" si="810"/>
        <v/>
      </c>
    </row>
    <row r="48721" spans="8:8" x14ac:dyDescent="0.3">
      <c r="H48721" t="str">
        <f t="shared" si="810"/>
        <v/>
      </c>
    </row>
    <row r="48722" spans="8:8" x14ac:dyDescent="0.3">
      <c r="H48722" t="str">
        <f t="shared" si="810"/>
        <v/>
      </c>
    </row>
    <row r="48723" spans="8:8" x14ac:dyDescent="0.3">
      <c r="H48723" t="str">
        <f t="shared" si="810"/>
        <v/>
      </c>
    </row>
    <row r="48724" spans="8:8" x14ac:dyDescent="0.3">
      <c r="H48724" t="str">
        <f t="shared" si="810"/>
        <v/>
      </c>
    </row>
    <row r="48725" spans="8:8" x14ac:dyDescent="0.3">
      <c r="H48725" t="str">
        <f t="shared" si="810"/>
        <v/>
      </c>
    </row>
    <row r="48726" spans="8:8" x14ac:dyDescent="0.3">
      <c r="H48726" t="str">
        <f t="shared" si="810"/>
        <v/>
      </c>
    </row>
    <row r="48727" spans="8:8" x14ac:dyDescent="0.3">
      <c r="H48727" t="str">
        <f t="shared" ref="H48727:H48790" si="811">IF(B48727="","",$C$12)</f>
        <v/>
      </c>
    </row>
    <row r="48728" spans="8:8" x14ac:dyDescent="0.3">
      <c r="H48728" t="str">
        <f t="shared" si="811"/>
        <v/>
      </c>
    </row>
    <row r="48729" spans="8:8" x14ac:dyDescent="0.3">
      <c r="H48729" t="str">
        <f t="shared" si="811"/>
        <v/>
      </c>
    </row>
    <row r="48730" spans="8:8" x14ac:dyDescent="0.3">
      <c r="H48730" t="str">
        <f t="shared" si="811"/>
        <v/>
      </c>
    </row>
    <row r="48731" spans="8:8" x14ac:dyDescent="0.3">
      <c r="H48731" t="str">
        <f t="shared" si="811"/>
        <v/>
      </c>
    </row>
    <row r="48732" spans="8:8" x14ac:dyDescent="0.3">
      <c r="H48732" t="str">
        <f t="shared" si="811"/>
        <v/>
      </c>
    </row>
    <row r="48733" spans="8:8" x14ac:dyDescent="0.3">
      <c r="H48733" t="str">
        <f t="shared" si="811"/>
        <v/>
      </c>
    </row>
    <row r="48734" spans="8:8" x14ac:dyDescent="0.3">
      <c r="H48734" t="str">
        <f t="shared" si="811"/>
        <v/>
      </c>
    </row>
    <row r="48735" spans="8:8" x14ac:dyDescent="0.3">
      <c r="H48735" t="str">
        <f t="shared" si="811"/>
        <v/>
      </c>
    </row>
    <row r="48736" spans="8:8" x14ac:dyDescent="0.3">
      <c r="H48736" t="str">
        <f t="shared" si="811"/>
        <v/>
      </c>
    </row>
    <row r="48737" spans="8:8" x14ac:dyDescent="0.3">
      <c r="H48737" t="str">
        <f t="shared" si="811"/>
        <v/>
      </c>
    </row>
    <row r="48738" spans="8:8" x14ac:dyDescent="0.3">
      <c r="H48738" t="str">
        <f t="shared" si="811"/>
        <v/>
      </c>
    </row>
    <row r="48739" spans="8:8" x14ac:dyDescent="0.3">
      <c r="H48739" t="str">
        <f t="shared" si="811"/>
        <v/>
      </c>
    </row>
    <row r="48740" spans="8:8" x14ac:dyDescent="0.3">
      <c r="H48740" t="str">
        <f t="shared" si="811"/>
        <v/>
      </c>
    </row>
    <row r="48741" spans="8:8" x14ac:dyDescent="0.3">
      <c r="H48741" t="str">
        <f t="shared" si="811"/>
        <v/>
      </c>
    </row>
    <row r="48742" spans="8:8" x14ac:dyDescent="0.3">
      <c r="H48742" t="str">
        <f t="shared" si="811"/>
        <v/>
      </c>
    </row>
    <row r="48743" spans="8:8" x14ac:dyDescent="0.3">
      <c r="H48743" t="str">
        <f t="shared" si="811"/>
        <v/>
      </c>
    </row>
    <row r="48744" spans="8:8" x14ac:dyDescent="0.3">
      <c r="H48744" t="str">
        <f t="shared" si="811"/>
        <v/>
      </c>
    </row>
    <row r="48745" spans="8:8" x14ac:dyDescent="0.3">
      <c r="H48745" t="str">
        <f t="shared" si="811"/>
        <v/>
      </c>
    </row>
    <row r="48746" spans="8:8" x14ac:dyDescent="0.3">
      <c r="H48746" t="str">
        <f t="shared" si="811"/>
        <v/>
      </c>
    </row>
    <row r="48747" spans="8:8" x14ac:dyDescent="0.3">
      <c r="H48747" t="str">
        <f t="shared" si="811"/>
        <v/>
      </c>
    </row>
    <row r="48748" spans="8:8" x14ac:dyDescent="0.3">
      <c r="H48748" t="str">
        <f t="shared" si="811"/>
        <v/>
      </c>
    </row>
    <row r="48749" spans="8:8" x14ac:dyDescent="0.3">
      <c r="H48749" t="str">
        <f t="shared" si="811"/>
        <v/>
      </c>
    </row>
    <row r="48750" spans="8:8" x14ac:dyDescent="0.3">
      <c r="H48750" t="str">
        <f t="shared" si="811"/>
        <v/>
      </c>
    </row>
    <row r="48751" spans="8:8" x14ac:dyDescent="0.3">
      <c r="H48751" t="str">
        <f t="shared" si="811"/>
        <v/>
      </c>
    </row>
    <row r="48752" spans="8:8" x14ac:dyDescent="0.3">
      <c r="H48752" t="str">
        <f t="shared" si="811"/>
        <v/>
      </c>
    </row>
    <row r="48753" spans="8:8" x14ac:dyDescent="0.3">
      <c r="H48753" t="str">
        <f t="shared" si="811"/>
        <v/>
      </c>
    </row>
    <row r="48754" spans="8:8" x14ac:dyDescent="0.3">
      <c r="H48754" t="str">
        <f t="shared" si="811"/>
        <v/>
      </c>
    </row>
    <row r="48755" spans="8:8" x14ac:dyDescent="0.3">
      <c r="H48755" t="str">
        <f t="shared" si="811"/>
        <v/>
      </c>
    </row>
    <row r="48756" spans="8:8" x14ac:dyDescent="0.3">
      <c r="H48756" t="str">
        <f t="shared" si="811"/>
        <v/>
      </c>
    </row>
    <row r="48757" spans="8:8" x14ac:dyDescent="0.3">
      <c r="H48757" t="str">
        <f t="shared" si="811"/>
        <v/>
      </c>
    </row>
    <row r="48758" spans="8:8" x14ac:dyDescent="0.3">
      <c r="H48758" t="str">
        <f t="shared" si="811"/>
        <v/>
      </c>
    </row>
    <row r="48759" spans="8:8" x14ac:dyDescent="0.3">
      <c r="H48759" t="str">
        <f t="shared" si="811"/>
        <v/>
      </c>
    </row>
    <row r="48760" spans="8:8" x14ac:dyDescent="0.3">
      <c r="H48760" t="str">
        <f t="shared" si="811"/>
        <v/>
      </c>
    </row>
    <row r="48761" spans="8:8" x14ac:dyDescent="0.3">
      <c r="H48761" t="str">
        <f t="shared" si="811"/>
        <v/>
      </c>
    </row>
    <row r="48762" spans="8:8" x14ac:dyDescent="0.3">
      <c r="H48762" t="str">
        <f t="shared" si="811"/>
        <v/>
      </c>
    </row>
    <row r="48763" spans="8:8" x14ac:dyDescent="0.3">
      <c r="H48763" t="str">
        <f t="shared" si="811"/>
        <v/>
      </c>
    </row>
    <row r="48764" spans="8:8" x14ac:dyDescent="0.3">
      <c r="H48764" t="str">
        <f t="shared" si="811"/>
        <v/>
      </c>
    </row>
    <row r="48765" spans="8:8" x14ac:dyDescent="0.3">
      <c r="H48765" t="str">
        <f t="shared" si="811"/>
        <v/>
      </c>
    </row>
    <row r="48766" spans="8:8" x14ac:dyDescent="0.3">
      <c r="H48766" t="str">
        <f t="shared" si="811"/>
        <v/>
      </c>
    </row>
    <row r="48767" spans="8:8" x14ac:dyDescent="0.3">
      <c r="H48767" t="str">
        <f t="shared" si="811"/>
        <v/>
      </c>
    </row>
    <row r="48768" spans="8:8" x14ac:dyDescent="0.3">
      <c r="H48768" t="str">
        <f t="shared" si="811"/>
        <v/>
      </c>
    </row>
    <row r="48769" spans="8:8" x14ac:dyDescent="0.3">
      <c r="H48769" t="str">
        <f t="shared" si="811"/>
        <v/>
      </c>
    </row>
    <row r="48770" spans="8:8" x14ac:dyDescent="0.3">
      <c r="H48770" t="str">
        <f t="shared" si="811"/>
        <v/>
      </c>
    </row>
    <row r="48771" spans="8:8" x14ac:dyDescent="0.3">
      <c r="H48771" t="str">
        <f t="shared" si="811"/>
        <v/>
      </c>
    </row>
    <row r="48772" spans="8:8" x14ac:dyDescent="0.3">
      <c r="H48772" t="str">
        <f t="shared" si="811"/>
        <v/>
      </c>
    </row>
    <row r="48773" spans="8:8" x14ac:dyDescent="0.3">
      <c r="H48773" t="str">
        <f t="shared" si="811"/>
        <v/>
      </c>
    </row>
    <row r="48774" spans="8:8" x14ac:dyDescent="0.3">
      <c r="H48774" t="str">
        <f t="shared" si="811"/>
        <v/>
      </c>
    </row>
    <row r="48775" spans="8:8" x14ac:dyDescent="0.3">
      <c r="H48775" t="str">
        <f t="shared" si="811"/>
        <v/>
      </c>
    </row>
    <row r="48776" spans="8:8" x14ac:dyDescent="0.3">
      <c r="H48776" t="str">
        <f t="shared" si="811"/>
        <v/>
      </c>
    </row>
    <row r="48777" spans="8:8" x14ac:dyDescent="0.3">
      <c r="H48777" t="str">
        <f t="shared" si="811"/>
        <v/>
      </c>
    </row>
    <row r="48778" spans="8:8" x14ac:dyDescent="0.3">
      <c r="H48778" t="str">
        <f t="shared" si="811"/>
        <v/>
      </c>
    </row>
    <row r="48779" spans="8:8" x14ac:dyDescent="0.3">
      <c r="H48779" t="str">
        <f t="shared" si="811"/>
        <v/>
      </c>
    </row>
    <row r="48780" spans="8:8" x14ac:dyDescent="0.3">
      <c r="H48780" t="str">
        <f t="shared" si="811"/>
        <v/>
      </c>
    </row>
    <row r="48781" spans="8:8" x14ac:dyDescent="0.3">
      <c r="H48781" t="str">
        <f t="shared" si="811"/>
        <v/>
      </c>
    </row>
    <row r="48782" spans="8:8" x14ac:dyDescent="0.3">
      <c r="H48782" t="str">
        <f t="shared" si="811"/>
        <v/>
      </c>
    </row>
    <row r="48783" spans="8:8" x14ac:dyDescent="0.3">
      <c r="H48783" t="str">
        <f t="shared" si="811"/>
        <v/>
      </c>
    </row>
    <row r="48784" spans="8:8" x14ac:dyDescent="0.3">
      <c r="H48784" t="str">
        <f t="shared" si="811"/>
        <v/>
      </c>
    </row>
    <row r="48785" spans="8:8" x14ac:dyDescent="0.3">
      <c r="H48785" t="str">
        <f t="shared" si="811"/>
        <v/>
      </c>
    </row>
    <row r="48786" spans="8:8" x14ac:dyDescent="0.3">
      <c r="H48786" t="str">
        <f t="shared" si="811"/>
        <v/>
      </c>
    </row>
    <row r="48787" spans="8:8" x14ac:dyDescent="0.3">
      <c r="H48787" t="str">
        <f t="shared" si="811"/>
        <v/>
      </c>
    </row>
    <row r="48788" spans="8:8" x14ac:dyDescent="0.3">
      <c r="H48788" t="str">
        <f t="shared" si="811"/>
        <v/>
      </c>
    </row>
    <row r="48789" spans="8:8" x14ac:dyDescent="0.3">
      <c r="H48789" t="str">
        <f t="shared" si="811"/>
        <v/>
      </c>
    </row>
    <row r="48790" spans="8:8" x14ac:dyDescent="0.3">
      <c r="H48790" t="str">
        <f t="shared" si="811"/>
        <v/>
      </c>
    </row>
    <row r="48791" spans="8:8" x14ac:dyDescent="0.3">
      <c r="H48791" t="str">
        <f t="shared" ref="H48791:H48854" si="812">IF(B48791="","",$C$12)</f>
        <v/>
      </c>
    </row>
    <row r="48792" spans="8:8" x14ac:dyDescent="0.3">
      <c r="H48792" t="str">
        <f t="shared" si="812"/>
        <v/>
      </c>
    </row>
    <row r="48793" spans="8:8" x14ac:dyDescent="0.3">
      <c r="H48793" t="str">
        <f t="shared" si="812"/>
        <v/>
      </c>
    </row>
    <row r="48794" spans="8:8" x14ac:dyDescent="0.3">
      <c r="H48794" t="str">
        <f t="shared" si="812"/>
        <v/>
      </c>
    </row>
    <row r="48795" spans="8:8" x14ac:dyDescent="0.3">
      <c r="H48795" t="str">
        <f t="shared" si="812"/>
        <v/>
      </c>
    </row>
    <row r="48796" spans="8:8" x14ac:dyDescent="0.3">
      <c r="H48796" t="str">
        <f t="shared" si="812"/>
        <v/>
      </c>
    </row>
    <row r="48797" spans="8:8" x14ac:dyDescent="0.3">
      <c r="H48797" t="str">
        <f t="shared" si="812"/>
        <v/>
      </c>
    </row>
    <row r="48798" spans="8:8" x14ac:dyDescent="0.3">
      <c r="H48798" t="str">
        <f t="shared" si="812"/>
        <v/>
      </c>
    </row>
    <row r="48799" spans="8:8" x14ac:dyDescent="0.3">
      <c r="H48799" t="str">
        <f t="shared" si="812"/>
        <v/>
      </c>
    </row>
    <row r="48800" spans="8:8" x14ac:dyDescent="0.3">
      <c r="H48800" t="str">
        <f t="shared" si="812"/>
        <v/>
      </c>
    </row>
    <row r="48801" spans="8:8" x14ac:dyDescent="0.3">
      <c r="H48801" t="str">
        <f t="shared" si="812"/>
        <v/>
      </c>
    </row>
    <row r="48802" spans="8:8" x14ac:dyDescent="0.3">
      <c r="H48802" t="str">
        <f t="shared" si="812"/>
        <v/>
      </c>
    </row>
    <row r="48803" spans="8:8" x14ac:dyDescent="0.3">
      <c r="H48803" t="str">
        <f t="shared" si="812"/>
        <v/>
      </c>
    </row>
    <row r="48804" spans="8:8" x14ac:dyDescent="0.3">
      <c r="H48804" t="str">
        <f t="shared" si="812"/>
        <v/>
      </c>
    </row>
    <row r="48805" spans="8:8" x14ac:dyDescent="0.3">
      <c r="H48805" t="str">
        <f t="shared" si="812"/>
        <v/>
      </c>
    </row>
    <row r="48806" spans="8:8" x14ac:dyDescent="0.3">
      <c r="H48806" t="str">
        <f t="shared" si="812"/>
        <v/>
      </c>
    </row>
    <row r="48807" spans="8:8" x14ac:dyDescent="0.3">
      <c r="H48807" t="str">
        <f t="shared" si="812"/>
        <v/>
      </c>
    </row>
    <row r="48808" spans="8:8" x14ac:dyDescent="0.3">
      <c r="H48808" t="str">
        <f t="shared" si="812"/>
        <v/>
      </c>
    </row>
    <row r="48809" spans="8:8" x14ac:dyDescent="0.3">
      <c r="H48809" t="str">
        <f t="shared" si="812"/>
        <v/>
      </c>
    </row>
    <row r="48810" spans="8:8" x14ac:dyDescent="0.3">
      <c r="H48810" t="str">
        <f t="shared" si="812"/>
        <v/>
      </c>
    </row>
    <row r="48811" spans="8:8" x14ac:dyDescent="0.3">
      <c r="H48811" t="str">
        <f t="shared" si="812"/>
        <v/>
      </c>
    </row>
    <row r="48812" spans="8:8" x14ac:dyDescent="0.3">
      <c r="H48812" t="str">
        <f t="shared" si="812"/>
        <v/>
      </c>
    </row>
    <row r="48813" spans="8:8" x14ac:dyDescent="0.3">
      <c r="H48813" t="str">
        <f t="shared" si="812"/>
        <v/>
      </c>
    </row>
    <row r="48814" spans="8:8" x14ac:dyDescent="0.3">
      <c r="H48814" t="str">
        <f t="shared" si="812"/>
        <v/>
      </c>
    </row>
    <row r="48815" spans="8:8" x14ac:dyDescent="0.3">
      <c r="H48815" t="str">
        <f t="shared" si="812"/>
        <v/>
      </c>
    </row>
    <row r="48816" spans="8:8" x14ac:dyDescent="0.3">
      <c r="H48816" t="str">
        <f t="shared" si="812"/>
        <v/>
      </c>
    </row>
    <row r="48817" spans="8:8" x14ac:dyDescent="0.3">
      <c r="H48817" t="str">
        <f t="shared" si="812"/>
        <v/>
      </c>
    </row>
    <row r="48818" spans="8:8" x14ac:dyDescent="0.3">
      <c r="H48818" t="str">
        <f t="shared" si="812"/>
        <v/>
      </c>
    </row>
    <row r="48819" spans="8:8" x14ac:dyDescent="0.3">
      <c r="H48819" t="str">
        <f t="shared" si="812"/>
        <v/>
      </c>
    </row>
    <row r="48820" spans="8:8" x14ac:dyDescent="0.3">
      <c r="H48820" t="str">
        <f t="shared" si="812"/>
        <v/>
      </c>
    </row>
    <row r="48821" spans="8:8" x14ac:dyDescent="0.3">
      <c r="H48821" t="str">
        <f t="shared" si="812"/>
        <v/>
      </c>
    </row>
    <row r="48822" spans="8:8" x14ac:dyDescent="0.3">
      <c r="H48822" t="str">
        <f t="shared" si="812"/>
        <v/>
      </c>
    </row>
    <row r="48823" spans="8:8" x14ac:dyDescent="0.3">
      <c r="H48823" t="str">
        <f t="shared" si="812"/>
        <v/>
      </c>
    </row>
    <row r="48824" spans="8:8" x14ac:dyDescent="0.3">
      <c r="H48824" t="str">
        <f t="shared" si="812"/>
        <v/>
      </c>
    </row>
    <row r="48825" spans="8:8" x14ac:dyDescent="0.3">
      <c r="H48825" t="str">
        <f t="shared" si="812"/>
        <v/>
      </c>
    </row>
    <row r="48826" spans="8:8" x14ac:dyDescent="0.3">
      <c r="H48826" t="str">
        <f t="shared" si="812"/>
        <v/>
      </c>
    </row>
    <row r="48827" spans="8:8" x14ac:dyDescent="0.3">
      <c r="H48827" t="str">
        <f t="shared" si="812"/>
        <v/>
      </c>
    </row>
    <row r="48828" spans="8:8" x14ac:dyDescent="0.3">
      <c r="H48828" t="str">
        <f t="shared" si="812"/>
        <v/>
      </c>
    </row>
    <row r="48829" spans="8:8" x14ac:dyDescent="0.3">
      <c r="H48829" t="str">
        <f t="shared" si="812"/>
        <v/>
      </c>
    </row>
    <row r="48830" spans="8:8" x14ac:dyDescent="0.3">
      <c r="H48830" t="str">
        <f t="shared" si="812"/>
        <v/>
      </c>
    </row>
    <row r="48831" spans="8:8" x14ac:dyDescent="0.3">
      <c r="H48831" t="str">
        <f t="shared" si="812"/>
        <v/>
      </c>
    </row>
    <row r="48832" spans="8:8" x14ac:dyDescent="0.3">
      <c r="H48832" t="str">
        <f t="shared" si="812"/>
        <v/>
      </c>
    </row>
    <row r="48833" spans="8:8" x14ac:dyDescent="0.3">
      <c r="H48833" t="str">
        <f t="shared" si="812"/>
        <v/>
      </c>
    </row>
    <row r="48834" spans="8:8" x14ac:dyDescent="0.3">
      <c r="H48834" t="str">
        <f t="shared" si="812"/>
        <v/>
      </c>
    </row>
    <row r="48835" spans="8:8" x14ac:dyDescent="0.3">
      <c r="H48835" t="str">
        <f t="shared" si="812"/>
        <v/>
      </c>
    </row>
    <row r="48836" spans="8:8" x14ac:dyDescent="0.3">
      <c r="H48836" t="str">
        <f t="shared" si="812"/>
        <v/>
      </c>
    </row>
    <row r="48837" spans="8:8" x14ac:dyDescent="0.3">
      <c r="H48837" t="str">
        <f t="shared" si="812"/>
        <v/>
      </c>
    </row>
    <row r="48838" spans="8:8" x14ac:dyDescent="0.3">
      <c r="H48838" t="str">
        <f t="shared" si="812"/>
        <v/>
      </c>
    </row>
    <row r="48839" spans="8:8" x14ac:dyDescent="0.3">
      <c r="H48839" t="str">
        <f t="shared" si="812"/>
        <v/>
      </c>
    </row>
    <row r="48840" spans="8:8" x14ac:dyDescent="0.3">
      <c r="H48840" t="str">
        <f t="shared" si="812"/>
        <v/>
      </c>
    </row>
    <row r="48841" spans="8:8" x14ac:dyDescent="0.3">
      <c r="H48841" t="str">
        <f t="shared" si="812"/>
        <v/>
      </c>
    </row>
    <row r="48842" spans="8:8" x14ac:dyDescent="0.3">
      <c r="H48842" t="str">
        <f t="shared" si="812"/>
        <v/>
      </c>
    </row>
    <row r="48843" spans="8:8" x14ac:dyDescent="0.3">
      <c r="H48843" t="str">
        <f t="shared" si="812"/>
        <v/>
      </c>
    </row>
    <row r="48844" spans="8:8" x14ac:dyDescent="0.3">
      <c r="H48844" t="str">
        <f t="shared" si="812"/>
        <v/>
      </c>
    </row>
    <row r="48845" spans="8:8" x14ac:dyDescent="0.3">
      <c r="H48845" t="str">
        <f t="shared" si="812"/>
        <v/>
      </c>
    </row>
    <row r="48846" spans="8:8" x14ac:dyDescent="0.3">
      <c r="H48846" t="str">
        <f t="shared" si="812"/>
        <v/>
      </c>
    </row>
    <row r="48847" spans="8:8" x14ac:dyDescent="0.3">
      <c r="H48847" t="str">
        <f t="shared" si="812"/>
        <v/>
      </c>
    </row>
    <row r="48848" spans="8:8" x14ac:dyDescent="0.3">
      <c r="H48848" t="str">
        <f t="shared" si="812"/>
        <v/>
      </c>
    </row>
    <row r="48849" spans="8:8" x14ac:dyDescent="0.3">
      <c r="H48849" t="str">
        <f t="shared" si="812"/>
        <v/>
      </c>
    </row>
    <row r="48850" spans="8:8" x14ac:dyDescent="0.3">
      <c r="H48850" t="str">
        <f t="shared" si="812"/>
        <v/>
      </c>
    </row>
    <row r="48851" spans="8:8" x14ac:dyDescent="0.3">
      <c r="H48851" t="str">
        <f t="shared" si="812"/>
        <v/>
      </c>
    </row>
    <row r="48852" spans="8:8" x14ac:dyDescent="0.3">
      <c r="H48852" t="str">
        <f t="shared" si="812"/>
        <v/>
      </c>
    </row>
    <row r="48853" spans="8:8" x14ac:dyDescent="0.3">
      <c r="H48853" t="str">
        <f t="shared" si="812"/>
        <v/>
      </c>
    </row>
    <row r="48854" spans="8:8" x14ac:dyDescent="0.3">
      <c r="H48854" t="str">
        <f t="shared" si="812"/>
        <v/>
      </c>
    </row>
    <row r="48855" spans="8:8" x14ac:dyDescent="0.3">
      <c r="H48855" t="str">
        <f t="shared" ref="H48855:H48918" si="813">IF(B48855="","",$C$12)</f>
        <v/>
      </c>
    </row>
    <row r="48856" spans="8:8" x14ac:dyDescent="0.3">
      <c r="H48856" t="str">
        <f t="shared" si="813"/>
        <v/>
      </c>
    </row>
    <row r="48857" spans="8:8" x14ac:dyDescent="0.3">
      <c r="H48857" t="str">
        <f t="shared" si="813"/>
        <v/>
      </c>
    </row>
    <row r="48858" spans="8:8" x14ac:dyDescent="0.3">
      <c r="H48858" t="str">
        <f t="shared" si="813"/>
        <v/>
      </c>
    </row>
    <row r="48859" spans="8:8" x14ac:dyDescent="0.3">
      <c r="H48859" t="str">
        <f t="shared" si="813"/>
        <v/>
      </c>
    </row>
    <row r="48860" spans="8:8" x14ac:dyDescent="0.3">
      <c r="H48860" t="str">
        <f t="shared" si="813"/>
        <v/>
      </c>
    </row>
    <row r="48861" spans="8:8" x14ac:dyDescent="0.3">
      <c r="H48861" t="str">
        <f t="shared" si="813"/>
        <v/>
      </c>
    </row>
    <row r="48862" spans="8:8" x14ac:dyDescent="0.3">
      <c r="H48862" t="str">
        <f t="shared" si="813"/>
        <v/>
      </c>
    </row>
    <row r="48863" spans="8:8" x14ac:dyDescent="0.3">
      <c r="H48863" t="str">
        <f t="shared" si="813"/>
        <v/>
      </c>
    </row>
    <row r="48864" spans="8:8" x14ac:dyDescent="0.3">
      <c r="H48864" t="str">
        <f t="shared" si="813"/>
        <v/>
      </c>
    </row>
    <row r="48865" spans="8:8" x14ac:dyDescent="0.3">
      <c r="H48865" t="str">
        <f t="shared" si="813"/>
        <v/>
      </c>
    </row>
    <row r="48866" spans="8:8" x14ac:dyDescent="0.3">
      <c r="H48866" t="str">
        <f t="shared" si="813"/>
        <v/>
      </c>
    </row>
    <row r="48867" spans="8:8" x14ac:dyDescent="0.3">
      <c r="H48867" t="str">
        <f t="shared" si="813"/>
        <v/>
      </c>
    </row>
    <row r="48868" spans="8:8" x14ac:dyDescent="0.3">
      <c r="H48868" t="str">
        <f t="shared" si="813"/>
        <v/>
      </c>
    </row>
    <row r="48869" spans="8:8" x14ac:dyDescent="0.3">
      <c r="H48869" t="str">
        <f t="shared" si="813"/>
        <v/>
      </c>
    </row>
    <row r="48870" spans="8:8" x14ac:dyDescent="0.3">
      <c r="H48870" t="str">
        <f t="shared" si="813"/>
        <v/>
      </c>
    </row>
    <row r="48871" spans="8:8" x14ac:dyDescent="0.3">
      <c r="H48871" t="str">
        <f t="shared" si="813"/>
        <v/>
      </c>
    </row>
    <row r="48872" spans="8:8" x14ac:dyDescent="0.3">
      <c r="H48872" t="str">
        <f t="shared" si="813"/>
        <v/>
      </c>
    </row>
    <row r="48873" spans="8:8" x14ac:dyDescent="0.3">
      <c r="H48873" t="str">
        <f t="shared" si="813"/>
        <v/>
      </c>
    </row>
    <row r="48874" spans="8:8" x14ac:dyDescent="0.3">
      <c r="H48874" t="str">
        <f t="shared" si="813"/>
        <v/>
      </c>
    </row>
    <row r="48875" spans="8:8" x14ac:dyDescent="0.3">
      <c r="H48875" t="str">
        <f t="shared" si="813"/>
        <v/>
      </c>
    </row>
    <row r="48876" spans="8:8" x14ac:dyDescent="0.3">
      <c r="H48876" t="str">
        <f t="shared" si="813"/>
        <v/>
      </c>
    </row>
    <row r="48877" spans="8:8" x14ac:dyDescent="0.3">
      <c r="H48877" t="str">
        <f t="shared" si="813"/>
        <v/>
      </c>
    </row>
    <row r="48878" spans="8:8" x14ac:dyDescent="0.3">
      <c r="H48878" t="str">
        <f t="shared" si="813"/>
        <v/>
      </c>
    </row>
    <row r="48879" spans="8:8" x14ac:dyDescent="0.3">
      <c r="H48879" t="str">
        <f t="shared" si="813"/>
        <v/>
      </c>
    </row>
    <row r="48880" spans="8:8" x14ac:dyDescent="0.3">
      <c r="H48880" t="str">
        <f t="shared" si="813"/>
        <v/>
      </c>
    </row>
    <row r="48881" spans="8:8" x14ac:dyDescent="0.3">
      <c r="H48881" t="str">
        <f t="shared" si="813"/>
        <v/>
      </c>
    </row>
    <row r="48882" spans="8:8" x14ac:dyDescent="0.3">
      <c r="H48882" t="str">
        <f t="shared" si="813"/>
        <v/>
      </c>
    </row>
    <row r="48883" spans="8:8" x14ac:dyDescent="0.3">
      <c r="H48883" t="str">
        <f t="shared" si="813"/>
        <v/>
      </c>
    </row>
    <row r="48884" spans="8:8" x14ac:dyDescent="0.3">
      <c r="H48884" t="str">
        <f t="shared" si="813"/>
        <v/>
      </c>
    </row>
    <row r="48885" spans="8:8" x14ac:dyDescent="0.3">
      <c r="H48885" t="str">
        <f t="shared" si="813"/>
        <v/>
      </c>
    </row>
    <row r="48886" spans="8:8" x14ac:dyDescent="0.3">
      <c r="H48886" t="str">
        <f t="shared" si="813"/>
        <v/>
      </c>
    </row>
    <row r="48887" spans="8:8" x14ac:dyDescent="0.3">
      <c r="H48887" t="str">
        <f t="shared" si="813"/>
        <v/>
      </c>
    </row>
    <row r="48888" spans="8:8" x14ac:dyDescent="0.3">
      <c r="H48888" t="str">
        <f t="shared" si="813"/>
        <v/>
      </c>
    </row>
    <row r="48889" spans="8:8" x14ac:dyDescent="0.3">
      <c r="H48889" t="str">
        <f t="shared" si="813"/>
        <v/>
      </c>
    </row>
    <row r="48890" spans="8:8" x14ac:dyDescent="0.3">
      <c r="H48890" t="str">
        <f t="shared" si="813"/>
        <v/>
      </c>
    </row>
    <row r="48891" spans="8:8" x14ac:dyDescent="0.3">
      <c r="H48891" t="str">
        <f t="shared" si="813"/>
        <v/>
      </c>
    </row>
    <row r="48892" spans="8:8" x14ac:dyDescent="0.3">
      <c r="H48892" t="str">
        <f t="shared" si="813"/>
        <v/>
      </c>
    </row>
    <row r="48893" spans="8:8" x14ac:dyDescent="0.3">
      <c r="H48893" t="str">
        <f t="shared" si="813"/>
        <v/>
      </c>
    </row>
    <row r="48894" spans="8:8" x14ac:dyDescent="0.3">
      <c r="H48894" t="str">
        <f t="shared" si="813"/>
        <v/>
      </c>
    </row>
    <row r="48895" spans="8:8" x14ac:dyDescent="0.3">
      <c r="H48895" t="str">
        <f t="shared" si="813"/>
        <v/>
      </c>
    </row>
    <row r="48896" spans="8:8" x14ac:dyDescent="0.3">
      <c r="H48896" t="str">
        <f t="shared" si="813"/>
        <v/>
      </c>
    </row>
    <row r="48897" spans="8:8" x14ac:dyDescent="0.3">
      <c r="H48897" t="str">
        <f t="shared" si="813"/>
        <v/>
      </c>
    </row>
    <row r="48898" spans="8:8" x14ac:dyDescent="0.3">
      <c r="H48898" t="str">
        <f t="shared" si="813"/>
        <v/>
      </c>
    </row>
    <row r="48899" spans="8:8" x14ac:dyDescent="0.3">
      <c r="H48899" t="str">
        <f t="shared" si="813"/>
        <v/>
      </c>
    </row>
    <row r="48900" spans="8:8" x14ac:dyDescent="0.3">
      <c r="H48900" t="str">
        <f t="shared" si="813"/>
        <v/>
      </c>
    </row>
    <row r="48901" spans="8:8" x14ac:dyDescent="0.3">
      <c r="H48901" t="str">
        <f t="shared" si="813"/>
        <v/>
      </c>
    </row>
    <row r="48902" spans="8:8" x14ac:dyDescent="0.3">
      <c r="H48902" t="str">
        <f t="shared" si="813"/>
        <v/>
      </c>
    </row>
    <row r="48903" spans="8:8" x14ac:dyDescent="0.3">
      <c r="H48903" t="str">
        <f t="shared" si="813"/>
        <v/>
      </c>
    </row>
    <row r="48904" spans="8:8" x14ac:dyDescent="0.3">
      <c r="H48904" t="str">
        <f t="shared" si="813"/>
        <v/>
      </c>
    </row>
    <row r="48905" spans="8:8" x14ac:dyDescent="0.3">
      <c r="H48905" t="str">
        <f t="shared" si="813"/>
        <v/>
      </c>
    </row>
    <row r="48906" spans="8:8" x14ac:dyDescent="0.3">
      <c r="H48906" t="str">
        <f t="shared" si="813"/>
        <v/>
      </c>
    </row>
    <row r="48907" spans="8:8" x14ac:dyDescent="0.3">
      <c r="H48907" t="str">
        <f t="shared" si="813"/>
        <v/>
      </c>
    </row>
    <row r="48908" spans="8:8" x14ac:dyDescent="0.3">
      <c r="H48908" t="str">
        <f t="shared" si="813"/>
        <v/>
      </c>
    </row>
    <row r="48909" spans="8:8" x14ac:dyDescent="0.3">
      <c r="H48909" t="str">
        <f t="shared" si="813"/>
        <v/>
      </c>
    </row>
    <row r="48910" spans="8:8" x14ac:dyDescent="0.3">
      <c r="H48910" t="str">
        <f t="shared" si="813"/>
        <v/>
      </c>
    </row>
    <row r="48911" spans="8:8" x14ac:dyDescent="0.3">
      <c r="H48911" t="str">
        <f t="shared" si="813"/>
        <v/>
      </c>
    </row>
    <row r="48912" spans="8:8" x14ac:dyDescent="0.3">
      <c r="H48912" t="str">
        <f t="shared" si="813"/>
        <v/>
      </c>
    </row>
    <row r="48913" spans="8:8" x14ac:dyDescent="0.3">
      <c r="H48913" t="str">
        <f t="shared" si="813"/>
        <v/>
      </c>
    </row>
    <row r="48914" spans="8:8" x14ac:dyDescent="0.3">
      <c r="H48914" t="str">
        <f t="shared" si="813"/>
        <v/>
      </c>
    </row>
    <row r="48915" spans="8:8" x14ac:dyDescent="0.3">
      <c r="H48915" t="str">
        <f t="shared" si="813"/>
        <v/>
      </c>
    </row>
    <row r="48916" spans="8:8" x14ac:dyDescent="0.3">
      <c r="H48916" t="str">
        <f t="shared" si="813"/>
        <v/>
      </c>
    </row>
    <row r="48917" spans="8:8" x14ac:dyDescent="0.3">
      <c r="H48917" t="str">
        <f t="shared" si="813"/>
        <v/>
      </c>
    </row>
    <row r="48918" spans="8:8" x14ac:dyDescent="0.3">
      <c r="H48918" t="str">
        <f t="shared" si="813"/>
        <v/>
      </c>
    </row>
    <row r="48919" spans="8:8" x14ac:dyDescent="0.3">
      <c r="H48919" t="str">
        <f t="shared" ref="H48919:H48982" si="814">IF(B48919="","",$C$12)</f>
        <v/>
      </c>
    </row>
    <row r="48920" spans="8:8" x14ac:dyDescent="0.3">
      <c r="H48920" t="str">
        <f t="shared" si="814"/>
        <v/>
      </c>
    </row>
    <row r="48921" spans="8:8" x14ac:dyDescent="0.3">
      <c r="H48921" t="str">
        <f t="shared" si="814"/>
        <v/>
      </c>
    </row>
    <row r="48922" spans="8:8" x14ac:dyDescent="0.3">
      <c r="H48922" t="str">
        <f t="shared" si="814"/>
        <v/>
      </c>
    </row>
    <row r="48923" spans="8:8" x14ac:dyDescent="0.3">
      <c r="H48923" t="str">
        <f t="shared" si="814"/>
        <v/>
      </c>
    </row>
    <row r="48924" spans="8:8" x14ac:dyDescent="0.3">
      <c r="H48924" t="str">
        <f t="shared" si="814"/>
        <v/>
      </c>
    </row>
    <row r="48925" spans="8:8" x14ac:dyDescent="0.3">
      <c r="H48925" t="str">
        <f t="shared" si="814"/>
        <v/>
      </c>
    </row>
    <row r="48926" spans="8:8" x14ac:dyDescent="0.3">
      <c r="H48926" t="str">
        <f t="shared" si="814"/>
        <v/>
      </c>
    </row>
    <row r="48927" spans="8:8" x14ac:dyDescent="0.3">
      <c r="H48927" t="str">
        <f t="shared" si="814"/>
        <v/>
      </c>
    </row>
    <row r="48928" spans="8:8" x14ac:dyDescent="0.3">
      <c r="H48928" t="str">
        <f t="shared" si="814"/>
        <v/>
      </c>
    </row>
    <row r="48929" spans="8:8" x14ac:dyDescent="0.3">
      <c r="H48929" t="str">
        <f t="shared" si="814"/>
        <v/>
      </c>
    </row>
    <row r="48930" spans="8:8" x14ac:dyDescent="0.3">
      <c r="H48930" t="str">
        <f t="shared" si="814"/>
        <v/>
      </c>
    </row>
    <row r="48931" spans="8:8" x14ac:dyDescent="0.3">
      <c r="H48931" t="str">
        <f t="shared" si="814"/>
        <v/>
      </c>
    </row>
    <row r="48932" spans="8:8" x14ac:dyDescent="0.3">
      <c r="H48932" t="str">
        <f t="shared" si="814"/>
        <v/>
      </c>
    </row>
    <row r="48933" spans="8:8" x14ac:dyDescent="0.3">
      <c r="H48933" t="str">
        <f t="shared" si="814"/>
        <v/>
      </c>
    </row>
    <row r="48934" spans="8:8" x14ac:dyDescent="0.3">
      <c r="H48934" t="str">
        <f t="shared" si="814"/>
        <v/>
      </c>
    </row>
    <row r="48935" spans="8:8" x14ac:dyDescent="0.3">
      <c r="H48935" t="str">
        <f t="shared" si="814"/>
        <v/>
      </c>
    </row>
    <row r="48936" spans="8:8" x14ac:dyDescent="0.3">
      <c r="H48936" t="str">
        <f t="shared" si="814"/>
        <v/>
      </c>
    </row>
    <row r="48937" spans="8:8" x14ac:dyDescent="0.3">
      <c r="H48937" t="str">
        <f t="shared" si="814"/>
        <v/>
      </c>
    </row>
    <row r="48938" spans="8:8" x14ac:dyDescent="0.3">
      <c r="H48938" t="str">
        <f t="shared" si="814"/>
        <v/>
      </c>
    </row>
    <row r="48939" spans="8:8" x14ac:dyDescent="0.3">
      <c r="H48939" t="str">
        <f t="shared" si="814"/>
        <v/>
      </c>
    </row>
    <row r="48940" spans="8:8" x14ac:dyDescent="0.3">
      <c r="H48940" t="str">
        <f t="shared" si="814"/>
        <v/>
      </c>
    </row>
    <row r="48941" spans="8:8" x14ac:dyDescent="0.3">
      <c r="H48941" t="str">
        <f t="shared" si="814"/>
        <v/>
      </c>
    </row>
    <row r="48942" spans="8:8" x14ac:dyDescent="0.3">
      <c r="H48942" t="str">
        <f t="shared" si="814"/>
        <v/>
      </c>
    </row>
    <row r="48943" spans="8:8" x14ac:dyDescent="0.3">
      <c r="H48943" t="str">
        <f t="shared" si="814"/>
        <v/>
      </c>
    </row>
    <row r="48944" spans="8:8" x14ac:dyDescent="0.3">
      <c r="H48944" t="str">
        <f t="shared" si="814"/>
        <v/>
      </c>
    </row>
    <row r="48945" spans="8:8" x14ac:dyDescent="0.3">
      <c r="H48945" t="str">
        <f t="shared" si="814"/>
        <v/>
      </c>
    </row>
    <row r="48946" spans="8:8" x14ac:dyDescent="0.3">
      <c r="H48946" t="str">
        <f t="shared" si="814"/>
        <v/>
      </c>
    </row>
    <row r="48947" spans="8:8" x14ac:dyDescent="0.3">
      <c r="H48947" t="str">
        <f t="shared" si="814"/>
        <v/>
      </c>
    </row>
    <row r="48948" spans="8:8" x14ac:dyDescent="0.3">
      <c r="H48948" t="str">
        <f t="shared" si="814"/>
        <v/>
      </c>
    </row>
    <row r="48949" spans="8:8" x14ac:dyDescent="0.3">
      <c r="H48949" t="str">
        <f t="shared" si="814"/>
        <v/>
      </c>
    </row>
    <row r="48950" spans="8:8" x14ac:dyDescent="0.3">
      <c r="H48950" t="str">
        <f t="shared" si="814"/>
        <v/>
      </c>
    </row>
    <row r="48951" spans="8:8" x14ac:dyDescent="0.3">
      <c r="H48951" t="str">
        <f t="shared" si="814"/>
        <v/>
      </c>
    </row>
    <row r="48952" spans="8:8" x14ac:dyDescent="0.3">
      <c r="H48952" t="str">
        <f t="shared" si="814"/>
        <v/>
      </c>
    </row>
    <row r="48953" spans="8:8" x14ac:dyDescent="0.3">
      <c r="H48953" t="str">
        <f t="shared" si="814"/>
        <v/>
      </c>
    </row>
    <row r="48954" spans="8:8" x14ac:dyDescent="0.3">
      <c r="H48954" t="str">
        <f t="shared" si="814"/>
        <v/>
      </c>
    </row>
    <row r="48955" spans="8:8" x14ac:dyDescent="0.3">
      <c r="H48955" t="str">
        <f t="shared" si="814"/>
        <v/>
      </c>
    </row>
    <row r="48956" spans="8:8" x14ac:dyDescent="0.3">
      <c r="H48956" t="str">
        <f t="shared" si="814"/>
        <v/>
      </c>
    </row>
    <row r="48957" spans="8:8" x14ac:dyDescent="0.3">
      <c r="H48957" t="str">
        <f t="shared" si="814"/>
        <v/>
      </c>
    </row>
    <row r="48958" spans="8:8" x14ac:dyDescent="0.3">
      <c r="H48958" t="str">
        <f t="shared" si="814"/>
        <v/>
      </c>
    </row>
    <row r="48959" spans="8:8" x14ac:dyDescent="0.3">
      <c r="H48959" t="str">
        <f t="shared" si="814"/>
        <v/>
      </c>
    </row>
    <row r="48960" spans="8:8" x14ac:dyDescent="0.3">
      <c r="H48960" t="str">
        <f t="shared" si="814"/>
        <v/>
      </c>
    </row>
    <row r="48961" spans="8:8" x14ac:dyDescent="0.3">
      <c r="H48961" t="str">
        <f t="shared" si="814"/>
        <v/>
      </c>
    </row>
    <row r="48962" spans="8:8" x14ac:dyDescent="0.3">
      <c r="H48962" t="str">
        <f t="shared" si="814"/>
        <v/>
      </c>
    </row>
    <row r="48963" spans="8:8" x14ac:dyDescent="0.3">
      <c r="H48963" t="str">
        <f t="shared" si="814"/>
        <v/>
      </c>
    </row>
    <row r="48964" spans="8:8" x14ac:dyDescent="0.3">
      <c r="H48964" t="str">
        <f t="shared" si="814"/>
        <v/>
      </c>
    </row>
    <row r="48965" spans="8:8" x14ac:dyDescent="0.3">
      <c r="H48965" t="str">
        <f t="shared" si="814"/>
        <v/>
      </c>
    </row>
    <row r="48966" spans="8:8" x14ac:dyDescent="0.3">
      <c r="H48966" t="str">
        <f t="shared" si="814"/>
        <v/>
      </c>
    </row>
    <row r="48967" spans="8:8" x14ac:dyDescent="0.3">
      <c r="H48967" t="str">
        <f t="shared" si="814"/>
        <v/>
      </c>
    </row>
    <row r="48968" spans="8:8" x14ac:dyDescent="0.3">
      <c r="H48968" t="str">
        <f t="shared" si="814"/>
        <v/>
      </c>
    </row>
    <row r="48969" spans="8:8" x14ac:dyDescent="0.3">
      <c r="H48969" t="str">
        <f t="shared" si="814"/>
        <v/>
      </c>
    </row>
    <row r="48970" spans="8:8" x14ac:dyDescent="0.3">
      <c r="H48970" t="str">
        <f t="shared" si="814"/>
        <v/>
      </c>
    </row>
    <row r="48971" spans="8:8" x14ac:dyDescent="0.3">
      <c r="H48971" t="str">
        <f t="shared" si="814"/>
        <v/>
      </c>
    </row>
    <row r="48972" spans="8:8" x14ac:dyDescent="0.3">
      <c r="H48972" t="str">
        <f t="shared" si="814"/>
        <v/>
      </c>
    </row>
    <row r="48973" spans="8:8" x14ac:dyDescent="0.3">
      <c r="H48973" t="str">
        <f t="shared" si="814"/>
        <v/>
      </c>
    </row>
    <row r="48974" spans="8:8" x14ac:dyDescent="0.3">
      <c r="H48974" t="str">
        <f t="shared" si="814"/>
        <v/>
      </c>
    </row>
    <row r="48975" spans="8:8" x14ac:dyDescent="0.3">
      <c r="H48975" t="str">
        <f t="shared" si="814"/>
        <v/>
      </c>
    </row>
    <row r="48976" spans="8:8" x14ac:dyDescent="0.3">
      <c r="H48976" t="str">
        <f t="shared" si="814"/>
        <v/>
      </c>
    </row>
    <row r="48977" spans="8:8" x14ac:dyDescent="0.3">
      <c r="H48977" t="str">
        <f t="shared" si="814"/>
        <v/>
      </c>
    </row>
    <row r="48978" spans="8:8" x14ac:dyDescent="0.3">
      <c r="H48978" t="str">
        <f t="shared" si="814"/>
        <v/>
      </c>
    </row>
    <row r="48979" spans="8:8" x14ac:dyDescent="0.3">
      <c r="H48979" t="str">
        <f t="shared" si="814"/>
        <v/>
      </c>
    </row>
    <row r="48980" spans="8:8" x14ac:dyDescent="0.3">
      <c r="H48980" t="str">
        <f t="shared" si="814"/>
        <v/>
      </c>
    </row>
    <row r="48981" spans="8:8" x14ac:dyDescent="0.3">
      <c r="H48981" t="str">
        <f t="shared" si="814"/>
        <v/>
      </c>
    </row>
    <row r="48982" spans="8:8" x14ac:dyDescent="0.3">
      <c r="H48982" t="str">
        <f t="shared" si="814"/>
        <v/>
      </c>
    </row>
    <row r="48983" spans="8:8" x14ac:dyDescent="0.3">
      <c r="H48983" t="str">
        <f t="shared" ref="H48983:H49046" si="815">IF(B48983="","",$C$12)</f>
        <v/>
      </c>
    </row>
    <row r="48984" spans="8:8" x14ac:dyDescent="0.3">
      <c r="H48984" t="str">
        <f t="shared" si="815"/>
        <v/>
      </c>
    </row>
    <row r="48985" spans="8:8" x14ac:dyDescent="0.3">
      <c r="H48985" t="str">
        <f t="shared" si="815"/>
        <v/>
      </c>
    </row>
    <row r="48986" spans="8:8" x14ac:dyDescent="0.3">
      <c r="H48986" t="str">
        <f t="shared" si="815"/>
        <v/>
      </c>
    </row>
    <row r="48987" spans="8:8" x14ac:dyDescent="0.3">
      <c r="H48987" t="str">
        <f t="shared" si="815"/>
        <v/>
      </c>
    </row>
    <row r="48988" spans="8:8" x14ac:dyDescent="0.3">
      <c r="H48988" t="str">
        <f t="shared" si="815"/>
        <v/>
      </c>
    </row>
    <row r="48989" spans="8:8" x14ac:dyDescent="0.3">
      <c r="H48989" t="str">
        <f t="shared" si="815"/>
        <v/>
      </c>
    </row>
    <row r="48990" spans="8:8" x14ac:dyDescent="0.3">
      <c r="H48990" t="str">
        <f t="shared" si="815"/>
        <v/>
      </c>
    </row>
    <row r="48991" spans="8:8" x14ac:dyDescent="0.3">
      <c r="H48991" t="str">
        <f t="shared" si="815"/>
        <v/>
      </c>
    </row>
    <row r="48992" spans="8:8" x14ac:dyDescent="0.3">
      <c r="H48992" t="str">
        <f t="shared" si="815"/>
        <v/>
      </c>
    </row>
    <row r="48993" spans="8:8" x14ac:dyDescent="0.3">
      <c r="H48993" t="str">
        <f t="shared" si="815"/>
        <v/>
      </c>
    </row>
    <row r="48994" spans="8:8" x14ac:dyDescent="0.3">
      <c r="H48994" t="str">
        <f t="shared" si="815"/>
        <v/>
      </c>
    </row>
    <row r="48995" spans="8:8" x14ac:dyDescent="0.3">
      <c r="H48995" t="str">
        <f t="shared" si="815"/>
        <v/>
      </c>
    </row>
    <row r="48996" spans="8:8" x14ac:dyDescent="0.3">
      <c r="H48996" t="str">
        <f t="shared" si="815"/>
        <v/>
      </c>
    </row>
    <row r="48997" spans="8:8" x14ac:dyDescent="0.3">
      <c r="H48997" t="str">
        <f t="shared" si="815"/>
        <v/>
      </c>
    </row>
    <row r="48998" spans="8:8" x14ac:dyDescent="0.3">
      <c r="H48998" t="str">
        <f t="shared" si="815"/>
        <v/>
      </c>
    </row>
    <row r="48999" spans="8:8" x14ac:dyDescent="0.3">
      <c r="H48999" t="str">
        <f t="shared" si="815"/>
        <v/>
      </c>
    </row>
    <row r="49000" spans="8:8" x14ac:dyDescent="0.3">
      <c r="H49000" t="str">
        <f t="shared" si="815"/>
        <v/>
      </c>
    </row>
    <row r="49001" spans="8:8" x14ac:dyDescent="0.3">
      <c r="H49001" t="str">
        <f t="shared" si="815"/>
        <v/>
      </c>
    </row>
    <row r="49002" spans="8:8" x14ac:dyDescent="0.3">
      <c r="H49002" t="str">
        <f t="shared" si="815"/>
        <v/>
      </c>
    </row>
    <row r="49003" spans="8:8" x14ac:dyDescent="0.3">
      <c r="H49003" t="str">
        <f t="shared" si="815"/>
        <v/>
      </c>
    </row>
    <row r="49004" spans="8:8" x14ac:dyDescent="0.3">
      <c r="H49004" t="str">
        <f t="shared" si="815"/>
        <v/>
      </c>
    </row>
    <row r="49005" spans="8:8" x14ac:dyDescent="0.3">
      <c r="H49005" t="str">
        <f t="shared" si="815"/>
        <v/>
      </c>
    </row>
    <row r="49006" spans="8:8" x14ac:dyDescent="0.3">
      <c r="H49006" t="str">
        <f t="shared" si="815"/>
        <v/>
      </c>
    </row>
    <row r="49007" spans="8:8" x14ac:dyDescent="0.3">
      <c r="H49007" t="str">
        <f t="shared" si="815"/>
        <v/>
      </c>
    </row>
    <row r="49008" spans="8:8" x14ac:dyDescent="0.3">
      <c r="H49008" t="str">
        <f t="shared" si="815"/>
        <v/>
      </c>
    </row>
    <row r="49009" spans="8:8" x14ac:dyDescent="0.3">
      <c r="H49009" t="str">
        <f t="shared" si="815"/>
        <v/>
      </c>
    </row>
    <row r="49010" spans="8:8" x14ac:dyDescent="0.3">
      <c r="H49010" t="str">
        <f t="shared" si="815"/>
        <v/>
      </c>
    </row>
    <row r="49011" spans="8:8" x14ac:dyDescent="0.3">
      <c r="H49011" t="str">
        <f t="shared" si="815"/>
        <v/>
      </c>
    </row>
    <row r="49012" spans="8:8" x14ac:dyDescent="0.3">
      <c r="H49012" t="str">
        <f t="shared" si="815"/>
        <v/>
      </c>
    </row>
    <row r="49013" spans="8:8" x14ac:dyDescent="0.3">
      <c r="H49013" t="str">
        <f t="shared" si="815"/>
        <v/>
      </c>
    </row>
    <row r="49014" spans="8:8" x14ac:dyDescent="0.3">
      <c r="H49014" t="str">
        <f t="shared" si="815"/>
        <v/>
      </c>
    </row>
    <row r="49015" spans="8:8" x14ac:dyDescent="0.3">
      <c r="H49015" t="str">
        <f t="shared" si="815"/>
        <v/>
      </c>
    </row>
    <row r="49016" spans="8:8" x14ac:dyDescent="0.3">
      <c r="H49016" t="str">
        <f t="shared" si="815"/>
        <v/>
      </c>
    </row>
    <row r="49017" spans="8:8" x14ac:dyDescent="0.3">
      <c r="H49017" t="str">
        <f t="shared" si="815"/>
        <v/>
      </c>
    </row>
    <row r="49018" spans="8:8" x14ac:dyDescent="0.3">
      <c r="H49018" t="str">
        <f t="shared" si="815"/>
        <v/>
      </c>
    </row>
    <row r="49019" spans="8:8" x14ac:dyDescent="0.3">
      <c r="H49019" t="str">
        <f t="shared" si="815"/>
        <v/>
      </c>
    </row>
    <row r="49020" spans="8:8" x14ac:dyDescent="0.3">
      <c r="H49020" t="str">
        <f t="shared" si="815"/>
        <v/>
      </c>
    </row>
    <row r="49021" spans="8:8" x14ac:dyDescent="0.3">
      <c r="H49021" t="str">
        <f t="shared" si="815"/>
        <v/>
      </c>
    </row>
    <row r="49022" spans="8:8" x14ac:dyDescent="0.3">
      <c r="H49022" t="str">
        <f t="shared" si="815"/>
        <v/>
      </c>
    </row>
    <row r="49023" spans="8:8" x14ac:dyDescent="0.3">
      <c r="H49023" t="str">
        <f t="shared" si="815"/>
        <v/>
      </c>
    </row>
    <row r="49024" spans="8:8" x14ac:dyDescent="0.3">
      <c r="H49024" t="str">
        <f t="shared" si="815"/>
        <v/>
      </c>
    </row>
    <row r="49025" spans="8:8" x14ac:dyDescent="0.3">
      <c r="H49025" t="str">
        <f t="shared" si="815"/>
        <v/>
      </c>
    </row>
    <row r="49026" spans="8:8" x14ac:dyDescent="0.3">
      <c r="H49026" t="str">
        <f t="shared" si="815"/>
        <v/>
      </c>
    </row>
    <row r="49027" spans="8:8" x14ac:dyDescent="0.3">
      <c r="H49027" t="str">
        <f t="shared" si="815"/>
        <v/>
      </c>
    </row>
    <row r="49028" spans="8:8" x14ac:dyDescent="0.3">
      <c r="H49028" t="str">
        <f t="shared" si="815"/>
        <v/>
      </c>
    </row>
    <row r="49029" spans="8:8" x14ac:dyDescent="0.3">
      <c r="H49029" t="str">
        <f t="shared" si="815"/>
        <v/>
      </c>
    </row>
    <row r="49030" spans="8:8" x14ac:dyDescent="0.3">
      <c r="H49030" t="str">
        <f t="shared" si="815"/>
        <v/>
      </c>
    </row>
    <row r="49031" spans="8:8" x14ac:dyDescent="0.3">
      <c r="H49031" t="str">
        <f t="shared" si="815"/>
        <v/>
      </c>
    </row>
    <row r="49032" spans="8:8" x14ac:dyDescent="0.3">
      <c r="H49032" t="str">
        <f t="shared" si="815"/>
        <v/>
      </c>
    </row>
    <row r="49033" spans="8:8" x14ac:dyDescent="0.3">
      <c r="H49033" t="str">
        <f t="shared" si="815"/>
        <v/>
      </c>
    </row>
    <row r="49034" spans="8:8" x14ac:dyDescent="0.3">
      <c r="H49034" t="str">
        <f t="shared" si="815"/>
        <v/>
      </c>
    </row>
    <row r="49035" spans="8:8" x14ac:dyDescent="0.3">
      <c r="H49035" t="str">
        <f t="shared" si="815"/>
        <v/>
      </c>
    </row>
    <row r="49036" spans="8:8" x14ac:dyDescent="0.3">
      <c r="H49036" t="str">
        <f t="shared" si="815"/>
        <v/>
      </c>
    </row>
    <row r="49037" spans="8:8" x14ac:dyDescent="0.3">
      <c r="H49037" t="str">
        <f t="shared" si="815"/>
        <v/>
      </c>
    </row>
    <row r="49038" spans="8:8" x14ac:dyDescent="0.3">
      <c r="H49038" t="str">
        <f t="shared" si="815"/>
        <v/>
      </c>
    </row>
    <row r="49039" spans="8:8" x14ac:dyDescent="0.3">
      <c r="H49039" t="str">
        <f t="shared" si="815"/>
        <v/>
      </c>
    </row>
    <row r="49040" spans="8:8" x14ac:dyDescent="0.3">
      <c r="H49040" t="str">
        <f t="shared" si="815"/>
        <v/>
      </c>
    </row>
    <row r="49041" spans="8:8" x14ac:dyDescent="0.3">
      <c r="H49041" t="str">
        <f t="shared" si="815"/>
        <v/>
      </c>
    </row>
    <row r="49042" spans="8:8" x14ac:dyDescent="0.3">
      <c r="H49042" t="str">
        <f t="shared" si="815"/>
        <v/>
      </c>
    </row>
    <row r="49043" spans="8:8" x14ac:dyDescent="0.3">
      <c r="H49043" t="str">
        <f t="shared" si="815"/>
        <v/>
      </c>
    </row>
    <row r="49044" spans="8:8" x14ac:dyDescent="0.3">
      <c r="H49044" t="str">
        <f t="shared" si="815"/>
        <v/>
      </c>
    </row>
    <row r="49045" spans="8:8" x14ac:dyDescent="0.3">
      <c r="H49045" t="str">
        <f t="shared" si="815"/>
        <v/>
      </c>
    </row>
    <row r="49046" spans="8:8" x14ac:dyDescent="0.3">
      <c r="H49046" t="str">
        <f t="shared" si="815"/>
        <v/>
      </c>
    </row>
    <row r="49047" spans="8:8" x14ac:dyDescent="0.3">
      <c r="H49047" t="str">
        <f t="shared" ref="H49047:H49110" si="816">IF(B49047="","",$C$12)</f>
        <v/>
      </c>
    </row>
    <row r="49048" spans="8:8" x14ac:dyDescent="0.3">
      <c r="H49048" t="str">
        <f t="shared" si="816"/>
        <v/>
      </c>
    </row>
    <row r="49049" spans="8:8" x14ac:dyDescent="0.3">
      <c r="H49049" t="str">
        <f t="shared" si="816"/>
        <v/>
      </c>
    </row>
    <row r="49050" spans="8:8" x14ac:dyDescent="0.3">
      <c r="H49050" t="str">
        <f t="shared" si="816"/>
        <v/>
      </c>
    </row>
    <row r="49051" spans="8:8" x14ac:dyDescent="0.3">
      <c r="H49051" t="str">
        <f t="shared" si="816"/>
        <v/>
      </c>
    </row>
    <row r="49052" spans="8:8" x14ac:dyDescent="0.3">
      <c r="H49052" t="str">
        <f t="shared" si="816"/>
        <v/>
      </c>
    </row>
    <row r="49053" spans="8:8" x14ac:dyDescent="0.3">
      <c r="H49053" t="str">
        <f t="shared" si="816"/>
        <v/>
      </c>
    </row>
    <row r="49054" spans="8:8" x14ac:dyDescent="0.3">
      <c r="H49054" t="str">
        <f t="shared" si="816"/>
        <v/>
      </c>
    </row>
    <row r="49055" spans="8:8" x14ac:dyDescent="0.3">
      <c r="H49055" t="str">
        <f t="shared" si="816"/>
        <v/>
      </c>
    </row>
    <row r="49056" spans="8:8" x14ac:dyDescent="0.3">
      <c r="H49056" t="str">
        <f t="shared" si="816"/>
        <v/>
      </c>
    </row>
    <row r="49057" spans="8:8" x14ac:dyDescent="0.3">
      <c r="H49057" t="str">
        <f t="shared" si="816"/>
        <v/>
      </c>
    </row>
    <row r="49058" spans="8:8" x14ac:dyDescent="0.3">
      <c r="H49058" t="str">
        <f t="shared" si="816"/>
        <v/>
      </c>
    </row>
    <row r="49059" spans="8:8" x14ac:dyDescent="0.3">
      <c r="H49059" t="str">
        <f t="shared" si="816"/>
        <v/>
      </c>
    </row>
    <row r="49060" spans="8:8" x14ac:dyDescent="0.3">
      <c r="H49060" t="str">
        <f t="shared" si="816"/>
        <v/>
      </c>
    </row>
    <row r="49061" spans="8:8" x14ac:dyDescent="0.3">
      <c r="H49061" t="str">
        <f t="shared" si="816"/>
        <v/>
      </c>
    </row>
    <row r="49062" spans="8:8" x14ac:dyDescent="0.3">
      <c r="H49062" t="str">
        <f t="shared" si="816"/>
        <v/>
      </c>
    </row>
    <row r="49063" spans="8:8" x14ac:dyDescent="0.3">
      <c r="H49063" t="str">
        <f t="shared" si="816"/>
        <v/>
      </c>
    </row>
    <row r="49064" spans="8:8" x14ac:dyDescent="0.3">
      <c r="H49064" t="str">
        <f t="shared" si="816"/>
        <v/>
      </c>
    </row>
    <row r="49065" spans="8:8" x14ac:dyDescent="0.3">
      <c r="H49065" t="str">
        <f t="shared" si="816"/>
        <v/>
      </c>
    </row>
    <row r="49066" spans="8:8" x14ac:dyDescent="0.3">
      <c r="H49066" t="str">
        <f t="shared" si="816"/>
        <v/>
      </c>
    </row>
    <row r="49067" spans="8:8" x14ac:dyDescent="0.3">
      <c r="H49067" t="str">
        <f t="shared" si="816"/>
        <v/>
      </c>
    </row>
    <row r="49068" spans="8:8" x14ac:dyDescent="0.3">
      <c r="H49068" t="str">
        <f t="shared" si="816"/>
        <v/>
      </c>
    </row>
    <row r="49069" spans="8:8" x14ac:dyDescent="0.3">
      <c r="H49069" t="str">
        <f t="shared" si="816"/>
        <v/>
      </c>
    </row>
    <row r="49070" spans="8:8" x14ac:dyDescent="0.3">
      <c r="H49070" t="str">
        <f t="shared" si="816"/>
        <v/>
      </c>
    </row>
    <row r="49071" spans="8:8" x14ac:dyDescent="0.3">
      <c r="H49071" t="str">
        <f t="shared" si="816"/>
        <v/>
      </c>
    </row>
    <row r="49072" spans="8:8" x14ac:dyDescent="0.3">
      <c r="H49072" t="str">
        <f t="shared" si="816"/>
        <v/>
      </c>
    </row>
    <row r="49073" spans="8:8" x14ac:dyDescent="0.3">
      <c r="H49073" t="str">
        <f t="shared" si="816"/>
        <v/>
      </c>
    </row>
    <row r="49074" spans="8:8" x14ac:dyDescent="0.3">
      <c r="H49074" t="str">
        <f t="shared" si="816"/>
        <v/>
      </c>
    </row>
    <row r="49075" spans="8:8" x14ac:dyDescent="0.3">
      <c r="H49075" t="str">
        <f t="shared" si="816"/>
        <v/>
      </c>
    </row>
    <row r="49076" spans="8:8" x14ac:dyDescent="0.3">
      <c r="H49076" t="str">
        <f t="shared" si="816"/>
        <v/>
      </c>
    </row>
    <row r="49077" spans="8:8" x14ac:dyDescent="0.3">
      <c r="H49077" t="str">
        <f t="shared" si="816"/>
        <v/>
      </c>
    </row>
    <row r="49078" spans="8:8" x14ac:dyDescent="0.3">
      <c r="H49078" t="str">
        <f t="shared" si="816"/>
        <v/>
      </c>
    </row>
    <row r="49079" spans="8:8" x14ac:dyDescent="0.3">
      <c r="H49079" t="str">
        <f t="shared" si="816"/>
        <v/>
      </c>
    </row>
    <row r="49080" spans="8:8" x14ac:dyDescent="0.3">
      <c r="H49080" t="str">
        <f t="shared" si="816"/>
        <v/>
      </c>
    </row>
    <row r="49081" spans="8:8" x14ac:dyDescent="0.3">
      <c r="H49081" t="str">
        <f t="shared" si="816"/>
        <v/>
      </c>
    </row>
    <row r="49082" spans="8:8" x14ac:dyDescent="0.3">
      <c r="H49082" t="str">
        <f t="shared" si="816"/>
        <v/>
      </c>
    </row>
    <row r="49083" spans="8:8" x14ac:dyDescent="0.3">
      <c r="H49083" t="str">
        <f t="shared" si="816"/>
        <v/>
      </c>
    </row>
    <row r="49084" spans="8:8" x14ac:dyDescent="0.3">
      <c r="H49084" t="str">
        <f t="shared" si="816"/>
        <v/>
      </c>
    </row>
    <row r="49085" spans="8:8" x14ac:dyDescent="0.3">
      <c r="H49085" t="str">
        <f t="shared" si="816"/>
        <v/>
      </c>
    </row>
    <row r="49086" spans="8:8" x14ac:dyDescent="0.3">
      <c r="H49086" t="str">
        <f t="shared" si="816"/>
        <v/>
      </c>
    </row>
    <row r="49087" spans="8:8" x14ac:dyDescent="0.3">
      <c r="H49087" t="str">
        <f t="shared" si="816"/>
        <v/>
      </c>
    </row>
    <row r="49088" spans="8:8" x14ac:dyDescent="0.3">
      <c r="H49088" t="str">
        <f t="shared" si="816"/>
        <v/>
      </c>
    </row>
    <row r="49089" spans="8:8" x14ac:dyDescent="0.3">
      <c r="H49089" t="str">
        <f t="shared" si="816"/>
        <v/>
      </c>
    </row>
    <row r="49090" spans="8:8" x14ac:dyDescent="0.3">
      <c r="H49090" t="str">
        <f t="shared" si="816"/>
        <v/>
      </c>
    </row>
    <row r="49091" spans="8:8" x14ac:dyDescent="0.3">
      <c r="H49091" t="str">
        <f t="shared" si="816"/>
        <v/>
      </c>
    </row>
    <row r="49092" spans="8:8" x14ac:dyDescent="0.3">
      <c r="H49092" t="str">
        <f t="shared" si="816"/>
        <v/>
      </c>
    </row>
    <row r="49093" spans="8:8" x14ac:dyDescent="0.3">
      <c r="H49093" t="str">
        <f t="shared" si="816"/>
        <v/>
      </c>
    </row>
    <row r="49094" spans="8:8" x14ac:dyDescent="0.3">
      <c r="H49094" t="str">
        <f t="shared" si="816"/>
        <v/>
      </c>
    </row>
    <row r="49095" spans="8:8" x14ac:dyDescent="0.3">
      <c r="H49095" t="str">
        <f t="shared" si="816"/>
        <v/>
      </c>
    </row>
    <row r="49096" spans="8:8" x14ac:dyDescent="0.3">
      <c r="H49096" t="str">
        <f t="shared" si="816"/>
        <v/>
      </c>
    </row>
    <row r="49097" spans="8:8" x14ac:dyDescent="0.3">
      <c r="H49097" t="str">
        <f t="shared" si="816"/>
        <v/>
      </c>
    </row>
    <row r="49098" spans="8:8" x14ac:dyDescent="0.3">
      <c r="H49098" t="str">
        <f t="shared" si="816"/>
        <v/>
      </c>
    </row>
    <row r="49099" spans="8:8" x14ac:dyDescent="0.3">
      <c r="H49099" t="str">
        <f t="shared" si="816"/>
        <v/>
      </c>
    </row>
    <row r="49100" spans="8:8" x14ac:dyDescent="0.3">
      <c r="H49100" t="str">
        <f t="shared" si="816"/>
        <v/>
      </c>
    </row>
    <row r="49101" spans="8:8" x14ac:dyDescent="0.3">
      <c r="H49101" t="str">
        <f t="shared" si="816"/>
        <v/>
      </c>
    </row>
    <row r="49102" spans="8:8" x14ac:dyDescent="0.3">
      <c r="H49102" t="str">
        <f t="shared" si="816"/>
        <v/>
      </c>
    </row>
    <row r="49103" spans="8:8" x14ac:dyDescent="0.3">
      <c r="H49103" t="str">
        <f t="shared" si="816"/>
        <v/>
      </c>
    </row>
    <row r="49104" spans="8:8" x14ac:dyDescent="0.3">
      <c r="H49104" t="str">
        <f t="shared" si="816"/>
        <v/>
      </c>
    </row>
    <row r="49105" spans="8:8" x14ac:dyDescent="0.3">
      <c r="H49105" t="str">
        <f t="shared" si="816"/>
        <v/>
      </c>
    </row>
    <row r="49106" spans="8:8" x14ac:dyDescent="0.3">
      <c r="H49106" t="str">
        <f t="shared" si="816"/>
        <v/>
      </c>
    </row>
    <row r="49107" spans="8:8" x14ac:dyDescent="0.3">
      <c r="H49107" t="str">
        <f t="shared" si="816"/>
        <v/>
      </c>
    </row>
    <row r="49108" spans="8:8" x14ac:dyDescent="0.3">
      <c r="H49108" t="str">
        <f t="shared" si="816"/>
        <v/>
      </c>
    </row>
    <row r="49109" spans="8:8" x14ac:dyDescent="0.3">
      <c r="H49109" t="str">
        <f t="shared" si="816"/>
        <v/>
      </c>
    </row>
    <row r="49110" spans="8:8" x14ac:dyDescent="0.3">
      <c r="H49110" t="str">
        <f t="shared" si="816"/>
        <v/>
      </c>
    </row>
    <row r="49111" spans="8:8" x14ac:dyDescent="0.3">
      <c r="H49111" t="str">
        <f t="shared" ref="H49111:H49174" si="817">IF(B49111="","",$C$12)</f>
        <v/>
      </c>
    </row>
    <row r="49112" spans="8:8" x14ac:dyDescent="0.3">
      <c r="H49112" t="str">
        <f t="shared" si="817"/>
        <v/>
      </c>
    </row>
    <row r="49113" spans="8:8" x14ac:dyDescent="0.3">
      <c r="H49113" t="str">
        <f t="shared" si="817"/>
        <v/>
      </c>
    </row>
    <row r="49114" spans="8:8" x14ac:dyDescent="0.3">
      <c r="H49114" t="str">
        <f t="shared" si="817"/>
        <v/>
      </c>
    </row>
    <row r="49115" spans="8:8" x14ac:dyDescent="0.3">
      <c r="H49115" t="str">
        <f t="shared" si="817"/>
        <v/>
      </c>
    </row>
    <row r="49116" spans="8:8" x14ac:dyDescent="0.3">
      <c r="H49116" t="str">
        <f t="shared" si="817"/>
        <v/>
      </c>
    </row>
    <row r="49117" spans="8:8" x14ac:dyDescent="0.3">
      <c r="H49117" t="str">
        <f t="shared" si="817"/>
        <v/>
      </c>
    </row>
    <row r="49118" spans="8:8" x14ac:dyDescent="0.3">
      <c r="H49118" t="str">
        <f t="shared" si="817"/>
        <v/>
      </c>
    </row>
    <row r="49119" spans="8:8" x14ac:dyDescent="0.3">
      <c r="H49119" t="str">
        <f t="shared" si="817"/>
        <v/>
      </c>
    </row>
    <row r="49120" spans="8:8" x14ac:dyDescent="0.3">
      <c r="H49120" t="str">
        <f t="shared" si="817"/>
        <v/>
      </c>
    </row>
    <row r="49121" spans="8:8" x14ac:dyDescent="0.3">
      <c r="H49121" t="str">
        <f t="shared" si="817"/>
        <v/>
      </c>
    </row>
    <row r="49122" spans="8:8" x14ac:dyDescent="0.3">
      <c r="H49122" t="str">
        <f t="shared" si="817"/>
        <v/>
      </c>
    </row>
    <row r="49123" spans="8:8" x14ac:dyDescent="0.3">
      <c r="H49123" t="str">
        <f t="shared" si="817"/>
        <v/>
      </c>
    </row>
    <row r="49124" spans="8:8" x14ac:dyDescent="0.3">
      <c r="H49124" t="str">
        <f t="shared" si="817"/>
        <v/>
      </c>
    </row>
    <row r="49125" spans="8:8" x14ac:dyDescent="0.3">
      <c r="H49125" t="str">
        <f t="shared" si="817"/>
        <v/>
      </c>
    </row>
    <row r="49126" spans="8:8" x14ac:dyDescent="0.3">
      <c r="H49126" t="str">
        <f t="shared" si="817"/>
        <v/>
      </c>
    </row>
    <row r="49127" spans="8:8" x14ac:dyDescent="0.3">
      <c r="H49127" t="str">
        <f t="shared" si="817"/>
        <v/>
      </c>
    </row>
    <row r="49128" spans="8:8" x14ac:dyDescent="0.3">
      <c r="H49128" t="str">
        <f t="shared" si="817"/>
        <v/>
      </c>
    </row>
    <row r="49129" spans="8:8" x14ac:dyDescent="0.3">
      <c r="H49129" t="str">
        <f t="shared" si="817"/>
        <v/>
      </c>
    </row>
    <row r="49130" spans="8:8" x14ac:dyDescent="0.3">
      <c r="H49130" t="str">
        <f t="shared" si="817"/>
        <v/>
      </c>
    </row>
    <row r="49131" spans="8:8" x14ac:dyDescent="0.3">
      <c r="H49131" t="str">
        <f t="shared" si="817"/>
        <v/>
      </c>
    </row>
    <row r="49132" spans="8:8" x14ac:dyDescent="0.3">
      <c r="H49132" t="str">
        <f t="shared" si="817"/>
        <v/>
      </c>
    </row>
    <row r="49133" spans="8:8" x14ac:dyDescent="0.3">
      <c r="H49133" t="str">
        <f t="shared" si="817"/>
        <v/>
      </c>
    </row>
    <row r="49134" spans="8:8" x14ac:dyDescent="0.3">
      <c r="H49134" t="str">
        <f t="shared" si="817"/>
        <v/>
      </c>
    </row>
    <row r="49135" spans="8:8" x14ac:dyDescent="0.3">
      <c r="H49135" t="str">
        <f t="shared" si="817"/>
        <v/>
      </c>
    </row>
    <row r="49136" spans="8:8" x14ac:dyDescent="0.3">
      <c r="H49136" t="str">
        <f t="shared" si="817"/>
        <v/>
      </c>
    </row>
    <row r="49137" spans="8:8" x14ac:dyDescent="0.3">
      <c r="H49137" t="str">
        <f t="shared" si="817"/>
        <v/>
      </c>
    </row>
    <row r="49138" spans="8:8" x14ac:dyDescent="0.3">
      <c r="H49138" t="str">
        <f t="shared" si="817"/>
        <v/>
      </c>
    </row>
    <row r="49139" spans="8:8" x14ac:dyDescent="0.3">
      <c r="H49139" t="str">
        <f t="shared" si="817"/>
        <v/>
      </c>
    </row>
    <row r="49140" spans="8:8" x14ac:dyDescent="0.3">
      <c r="H49140" t="str">
        <f t="shared" si="817"/>
        <v/>
      </c>
    </row>
    <row r="49141" spans="8:8" x14ac:dyDescent="0.3">
      <c r="H49141" t="str">
        <f t="shared" si="817"/>
        <v/>
      </c>
    </row>
    <row r="49142" spans="8:8" x14ac:dyDescent="0.3">
      <c r="H49142" t="str">
        <f t="shared" si="817"/>
        <v/>
      </c>
    </row>
    <row r="49143" spans="8:8" x14ac:dyDescent="0.3">
      <c r="H49143" t="str">
        <f t="shared" si="817"/>
        <v/>
      </c>
    </row>
    <row r="49144" spans="8:8" x14ac:dyDescent="0.3">
      <c r="H49144" t="str">
        <f t="shared" si="817"/>
        <v/>
      </c>
    </row>
    <row r="49145" spans="8:8" x14ac:dyDescent="0.3">
      <c r="H49145" t="str">
        <f t="shared" si="817"/>
        <v/>
      </c>
    </row>
    <row r="49146" spans="8:8" x14ac:dyDescent="0.3">
      <c r="H49146" t="str">
        <f t="shared" si="817"/>
        <v/>
      </c>
    </row>
    <row r="49147" spans="8:8" x14ac:dyDescent="0.3">
      <c r="H49147" t="str">
        <f t="shared" si="817"/>
        <v/>
      </c>
    </row>
    <row r="49148" spans="8:8" x14ac:dyDescent="0.3">
      <c r="H49148" t="str">
        <f t="shared" si="817"/>
        <v/>
      </c>
    </row>
    <row r="49149" spans="8:8" x14ac:dyDescent="0.3">
      <c r="H49149" t="str">
        <f t="shared" si="817"/>
        <v/>
      </c>
    </row>
    <row r="49150" spans="8:8" x14ac:dyDescent="0.3">
      <c r="H49150" t="str">
        <f t="shared" si="817"/>
        <v/>
      </c>
    </row>
    <row r="49151" spans="8:8" x14ac:dyDescent="0.3">
      <c r="H49151" t="str">
        <f t="shared" si="817"/>
        <v/>
      </c>
    </row>
    <row r="49152" spans="8:8" x14ac:dyDescent="0.3">
      <c r="H49152" t="str">
        <f t="shared" si="817"/>
        <v/>
      </c>
    </row>
    <row r="49153" spans="8:8" x14ac:dyDescent="0.3">
      <c r="H49153" t="str">
        <f t="shared" si="817"/>
        <v/>
      </c>
    </row>
    <row r="49154" spans="8:8" x14ac:dyDescent="0.3">
      <c r="H49154" t="str">
        <f t="shared" si="817"/>
        <v/>
      </c>
    </row>
    <row r="49155" spans="8:8" x14ac:dyDescent="0.3">
      <c r="H49155" t="str">
        <f t="shared" si="817"/>
        <v/>
      </c>
    </row>
    <row r="49156" spans="8:8" x14ac:dyDescent="0.3">
      <c r="H49156" t="str">
        <f t="shared" si="817"/>
        <v/>
      </c>
    </row>
    <row r="49157" spans="8:8" x14ac:dyDescent="0.3">
      <c r="H49157" t="str">
        <f t="shared" si="817"/>
        <v/>
      </c>
    </row>
    <row r="49158" spans="8:8" x14ac:dyDescent="0.3">
      <c r="H49158" t="str">
        <f t="shared" si="817"/>
        <v/>
      </c>
    </row>
    <row r="49159" spans="8:8" x14ac:dyDescent="0.3">
      <c r="H49159" t="str">
        <f t="shared" si="817"/>
        <v/>
      </c>
    </row>
    <row r="49160" spans="8:8" x14ac:dyDescent="0.3">
      <c r="H49160" t="str">
        <f t="shared" si="817"/>
        <v/>
      </c>
    </row>
    <row r="49161" spans="8:8" x14ac:dyDescent="0.3">
      <c r="H49161" t="str">
        <f t="shared" si="817"/>
        <v/>
      </c>
    </row>
    <row r="49162" spans="8:8" x14ac:dyDescent="0.3">
      <c r="H49162" t="str">
        <f t="shared" si="817"/>
        <v/>
      </c>
    </row>
    <row r="49163" spans="8:8" x14ac:dyDescent="0.3">
      <c r="H49163" t="str">
        <f t="shared" si="817"/>
        <v/>
      </c>
    </row>
    <row r="49164" spans="8:8" x14ac:dyDescent="0.3">
      <c r="H49164" t="str">
        <f t="shared" si="817"/>
        <v/>
      </c>
    </row>
    <row r="49165" spans="8:8" x14ac:dyDescent="0.3">
      <c r="H49165" t="str">
        <f t="shared" si="817"/>
        <v/>
      </c>
    </row>
    <row r="49166" spans="8:8" x14ac:dyDescent="0.3">
      <c r="H49166" t="str">
        <f t="shared" si="817"/>
        <v/>
      </c>
    </row>
    <row r="49167" spans="8:8" x14ac:dyDescent="0.3">
      <c r="H49167" t="str">
        <f t="shared" si="817"/>
        <v/>
      </c>
    </row>
    <row r="49168" spans="8:8" x14ac:dyDescent="0.3">
      <c r="H49168" t="str">
        <f t="shared" si="817"/>
        <v/>
      </c>
    </row>
    <row r="49169" spans="8:8" x14ac:dyDescent="0.3">
      <c r="H49169" t="str">
        <f t="shared" si="817"/>
        <v/>
      </c>
    </row>
    <row r="49170" spans="8:8" x14ac:dyDescent="0.3">
      <c r="H49170" t="str">
        <f t="shared" si="817"/>
        <v/>
      </c>
    </row>
    <row r="49171" spans="8:8" x14ac:dyDescent="0.3">
      <c r="H49171" t="str">
        <f t="shared" si="817"/>
        <v/>
      </c>
    </row>
    <row r="49172" spans="8:8" x14ac:dyDescent="0.3">
      <c r="H49172" t="str">
        <f t="shared" si="817"/>
        <v/>
      </c>
    </row>
    <row r="49173" spans="8:8" x14ac:dyDescent="0.3">
      <c r="H49173" t="str">
        <f t="shared" si="817"/>
        <v/>
      </c>
    </row>
    <row r="49174" spans="8:8" x14ac:dyDescent="0.3">
      <c r="H49174" t="str">
        <f t="shared" si="817"/>
        <v/>
      </c>
    </row>
    <row r="49175" spans="8:8" x14ac:dyDescent="0.3">
      <c r="H49175" t="str">
        <f t="shared" ref="H49175:H49238" si="818">IF(B49175="","",$C$12)</f>
        <v/>
      </c>
    </row>
    <row r="49176" spans="8:8" x14ac:dyDescent="0.3">
      <c r="H49176" t="str">
        <f t="shared" si="818"/>
        <v/>
      </c>
    </row>
    <row r="49177" spans="8:8" x14ac:dyDescent="0.3">
      <c r="H49177" t="str">
        <f t="shared" si="818"/>
        <v/>
      </c>
    </row>
    <row r="49178" spans="8:8" x14ac:dyDescent="0.3">
      <c r="H49178" t="str">
        <f t="shared" si="818"/>
        <v/>
      </c>
    </row>
    <row r="49179" spans="8:8" x14ac:dyDescent="0.3">
      <c r="H49179" t="str">
        <f t="shared" si="818"/>
        <v/>
      </c>
    </row>
    <row r="49180" spans="8:8" x14ac:dyDescent="0.3">
      <c r="H49180" t="str">
        <f t="shared" si="818"/>
        <v/>
      </c>
    </row>
    <row r="49181" spans="8:8" x14ac:dyDescent="0.3">
      <c r="H49181" t="str">
        <f t="shared" si="818"/>
        <v/>
      </c>
    </row>
    <row r="49182" spans="8:8" x14ac:dyDescent="0.3">
      <c r="H49182" t="str">
        <f t="shared" si="818"/>
        <v/>
      </c>
    </row>
    <row r="49183" spans="8:8" x14ac:dyDescent="0.3">
      <c r="H49183" t="str">
        <f t="shared" si="818"/>
        <v/>
      </c>
    </row>
    <row r="49184" spans="8:8" x14ac:dyDescent="0.3">
      <c r="H49184" t="str">
        <f t="shared" si="818"/>
        <v/>
      </c>
    </row>
    <row r="49185" spans="8:8" x14ac:dyDescent="0.3">
      <c r="H49185" t="str">
        <f t="shared" si="818"/>
        <v/>
      </c>
    </row>
    <row r="49186" spans="8:8" x14ac:dyDescent="0.3">
      <c r="H49186" t="str">
        <f t="shared" si="818"/>
        <v/>
      </c>
    </row>
    <row r="49187" spans="8:8" x14ac:dyDescent="0.3">
      <c r="H49187" t="str">
        <f t="shared" si="818"/>
        <v/>
      </c>
    </row>
    <row r="49188" spans="8:8" x14ac:dyDescent="0.3">
      <c r="H49188" t="str">
        <f t="shared" si="818"/>
        <v/>
      </c>
    </row>
    <row r="49189" spans="8:8" x14ac:dyDescent="0.3">
      <c r="H49189" t="str">
        <f t="shared" si="818"/>
        <v/>
      </c>
    </row>
    <row r="49190" spans="8:8" x14ac:dyDescent="0.3">
      <c r="H49190" t="str">
        <f t="shared" si="818"/>
        <v/>
      </c>
    </row>
    <row r="49191" spans="8:8" x14ac:dyDescent="0.3">
      <c r="H49191" t="str">
        <f t="shared" si="818"/>
        <v/>
      </c>
    </row>
    <row r="49192" spans="8:8" x14ac:dyDescent="0.3">
      <c r="H49192" t="str">
        <f t="shared" si="818"/>
        <v/>
      </c>
    </row>
    <row r="49193" spans="8:8" x14ac:dyDescent="0.3">
      <c r="H49193" t="str">
        <f t="shared" si="818"/>
        <v/>
      </c>
    </row>
    <row r="49194" spans="8:8" x14ac:dyDescent="0.3">
      <c r="H49194" t="str">
        <f t="shared" si="818"/>
        <v/>
      </c>
    </row>
    <row r="49195" spans="8:8" x14ac:dyDescent="0.3">
      <c r="H49195" t="str">
        <f t="shared" si="818"/>
        <v/>
      </c>
    </row>
    <row r="49196" spans="8:8" x14ac:dyDescent="0.3">
      <c r="H49196" t="str">
        <f t="shared" si="818"/>
        <v/>
      </c>
    </row>
    <row r="49197" spans="8:8" x14ac:dyDescent="0.3">
      <c r="H49197" t="str">
        <f t="shared" si="818"/>
        <v/>
      </c>
    </row>
    <row r="49198" spans="8:8" x14ac:dyDescent="0.3">
      <c r="H49198" t="str">
        <f t="shared" si="818"/>
        <v/>
      </c>
    </row>
    <row r="49199" spans="8:8" x14ac:dyDescent="0.3">
      <c r="H49199" t="str">
        <f t="shared" si="818"/>
        <v/>
      </c>
    </row>
    <row r="49200" spans="8:8" x14ac:dyDescent="0.3">
      <c r="H49200" t="str">
        <f t="shared" si="818"/>
        <v/>
      </c>
    </row>
    <row r="49201" spans="8:8" x14ac:dyDescent="0.3">
      <c r="H49201" t="str">
        <f t="shared" si="818"/>
        <v/>
      </c>
    </row>
    <row r="49202" spans="8:8" x14ac:dyDescent="0.3">
      <c r="H49202" t="str">
        <f t="shared" si="818"/>
        <v/>
      </c>
    </row>
    <row r="49203" spans="8:8" x14ac:dyDescent="0.3">
      <c r="H49203" t="str">
        <f t="shared" si="818"/>
        <v/>
      </c>
    </row>
    <row r="49204" spans="8:8" x14ac:dyDescent="0.3">
      <c r="H49204" t="str">
        <f t="shared" si="818"/>
        <v/>
      </c>
    </row>
    <row r="49205" spans="8:8" x14ac:dyDescent="0.3">
      <c r="H49205" t="str">
        <f t="shared" si="818"/>
        <v/>
      </c>
    </row>
    <row r="49206" spans="8:8" x14ac:dyDescent="0.3">
      <c r="H49206" t="str">
        <f t="shared" si="818"/>
        <v/>
      </c>
    </row>
    <row r="49207" spans="8:8" x14ac:dyDescent="0.3">
      <c r="H49207" t="str">
        <f t="shared" si="818"/>
        <v/>
      </c>
    </row>
    <row r="49208" spans="8:8" x14ac:dyDescent="0.3">
      <c r="H49208" t="str">
        <f t="shared" si="818"/>
        <v/>
      </c>
    </row>
    <row r="49209" spans="8:8" x14ac:dyDescent="0.3">
      <c r="H49209" t="str">
        <f t="shared" si="818"/>
        <v/>
      </c>
    </row>
    <row r="49210" spans="8:8" x14ac:dyDescent="0.3">
      <c r="H49210" t="str">
        <f t="shared" si="818"/>
        <v/>
      </c>
    </row>
    <row r="49211" spans="8:8" x14ac:dyDescent="0.3">
      <c r="H49211" t="str">
        <f t="shared" si="818"/>
        <v/>
      </c>
    </row>
    <row r="49212" spans="8:8" x14ac:dyDescent="0.3">
      <c r="H49212" t="str">
        <f t="shared" si="818"/>
        <v/>
      </c>
    </row>
    <row r="49213" spans="8:8" x14ac:dyDescent="0.3">
      <c r="H49213" t="str">
        <f t="shared" si="818"/>
        <v/>
      </c>
    </row>
    <row r="49214" spans="8:8" x14ac:dyDescent="0.3">
      <c r="H49214" t="str">
        <f t="shared" si="818"/>
        <v/>
      </c>
    </row>
    <row r="49215" spans="8:8" x14ac:dyDescent="0.3">
      <c r="H49215" t="str">
        <f t="shared" si="818"/>
        <v/>
      </c>
    </row>
    <row r="49216" spans="8:8" x14ac:dyDescent="0.3">
      <c r="H49216" t="str">
        <f t="shared" si="818"/>
        <v/>
      </c>
    </row>
    <row r="49217" spans="8:8" x14ac:dyDescent="0.3">
      <c r="H49217" t="str">
        <f t="shared" si="818"/>
        <v/>
      </c>
    </row>
    <row r="49218" spans="8:8" x14ac:dyDescent="0.3">
      <c r="H49218" t="str">
        <f t="shared" si="818"/>
        <v/>
      </c>
    </row>
    <row r="49219" spans="8:8" x14ac:dyDescent="0.3">
      <c r="H49219" t="str">
        <f t="shared" si="818"/>
        <v/>
      </c>
    </row>
    <row r="49220" spans="8:8" x14ac:dyDescent="0.3">
      <c r="H49220" t="str">
        <f t="shared" si="818"/>
        <v/>
      </c>
    </row>
    <row r="49221" spans="8:8" x14ac:dyDescent="0.3">
      <c r="H49221" t="str">
        <f t="shared" si="818"/>
        <v/>
      </c>
    </row>
    <row r="49222" spans="8:8" x14ac:dyDescent="0.3">
      <c r="H49222" t="str">
        <f t="shared" si="818"/>
        <v/>
      </c>
    </row>
    <row r="49223" spans="8:8" x14ac:dyDescent="0.3">
      <c r="H49223" t="str">
        <f t="shared" si="818"/>
        <v/>
      </c>
    </row>
    <row r="49224" spans="8:8" x14ac:dyDescent="0.3">
      <c r="H49224" t="str">
        <f t="shared" si="818"/>
        <v/>
      </c>
    </row>
    <row r="49225" spans="8:8" x14ac:dyDescent="0.3">
      <c r="H49225" t="str">
        <f t="shared" si="818"/>
        <v/>
      </c>
    </row>
    <row r="49226" spans="8:8" x14ac:dyDescent="0.3">
      <c r="H49226" t="str">
        <f t="shared" si="818"/>
        <v/>
      </c>
    </row>
    <row r="49227" spans="8:8" x14ac:dyDescent="0.3">
      <c r="H49227" t="str">
        <f t="shared" si="818"/>
        <v/>
      </c>
    </row>
    <row r="49228" spans="8:8" x14ac:dyDescent="0.3">
      <c r="H49228" t="str">
        <f t="shared" si="818"/>
        <v/>
      </c>
    </row>
    <row r="49229" spans="8:8" x14ac:dyDescent="0.3">
      <c r="H49229" t="str">
        <f t="shared" si="818"/>
        <v/>
      </c>
    </row>
    <row r="49230" spans="8:8" x14ac:dyDescent="0.3">
      <c r="H49230" t="str">
        <f t="shared" si="818"/>
        <v/>
      </c>
    </row>
    <row r="49231" spans="8:8" x14ac:dyDescent="0.3">
      <c r="H49231" t="str">
        <f t="shared" si="818"/>
        <v/>
      </c>
    </row>
    <row r="49232" spans="8:8" x14ac:dyDescent="0.3">
      <c r="H49232" t="str">
        <f t="shared" si="818"/>
        <v/>
      </c>
    </row>
    <row r="49233" spans="8:8" x14ac:dyDescent="0.3">
      <c r="H49233" t="str">
        <f t="shared" si="818"/>
        <v/>
      </c>
    </row>
    <row r="49234" spans="8:8" x14ac:dyDescent="0.3">
      <c r="H49234" t="str">
        <f t="shared" si="818"/>
        <v/>
      </c>
    </row>
    <row r="49235" spans="8:8" x14ac:dyDescent="0.3">
      <c r="H49235" t="str">
        <f t="shared" si="818"/>
        <v/>
      </c>
    </row>
    <row r="49236" spans="8:8" x14ac:dyDescent="0.3">
      <c r="H49236" t="str">
        <f t="shared" si="818"/>
        <v/>
      </c>
    </row>
    <row r="49237" spans="8:8" x14ac:dyDescent="0.3">
      <c r="H49237" t="str">
        <f t="shared" si="818"/>
        <v/>
      </c>
    </row>
    <row r="49238" spans="8:8" x14ac:dyDescent="0.3">
      <c r="H49238" t="str">
        <f t="shared" si="818"/>
        <v/>
      </c>
    </row>
    <row r="49239" spans="8:8" x14ac:dyDescent="0.3">
      <c r="H49239" t="str">
        <f t="shared" ref="H49239:H49302" si="819">IF(B49239="","",$C$12)</f>
        <v/>
      </c>
    </row>
    <row r="49240" spans="8:8" x14ac:dyDescent="0.3">
      <c r="H49240" t="str">
        <f t="shared" si="819"/>
        <v/>
      </c>
    </row>
    <row r="49241" spans="8:8" x14ac:dyDescent="0.3">
      <c r="H49241" t="str">
        <f t="shared" si="819"/>
        <v/>
      </c>
    </row>
    <row r="49242" spans="8:8" x14ac:dyDescent="0.3">
      <c r="H49242" t="str">
        <f t="shared" si="819"/>
        <v/>
      </c>
    </row>
    <row r="49243" spans="8:8" x14ac:dyDescent="0.3">
      <c r="H49243" t="str">
        <f t="shared" si="819"/>
        <v/>
      </c>
    </row>
    <row r="49244" spans="8:8" x14ac:dyDescent="0.3">
      <c r="H49244" t="str">
        <f t="shared" si="819"/>
        <v/>
      </c>
    </row>
    <row r="49245" spans="8:8" x14ac:dyDescent="0.3">
      <c r="H49245" t="str">
        <f t="shared" si="819"/>
        <v/>
      </c>
    </row>
    <row r="49246" spans="8:8" x14ac:dyDescent="0.3">
      <c r="H49246" t="str">
        <f t="shared" si="819"/>
        <v/>
      </c>
    </row>
    <row r="49247" spans="8:8" x14ac:dyDescent="0.3">
      <c r="H49247" t="str">
        <f t="shared" si="819"/>
        <v/>
      </c>
    </row>
    <row r="49248" spans="8:8" x14ac:dyDescent="0.3">
      <c r="H49248" t="str">
        <f t="shared" si="819"/>
        <v/>
      </c>
    </row>
    <row r="49249" spans="8:8" x14ac:dyDescent="0.3">
      <c r="H49249" t="str">
        <f t="shared" si="819"/>
        <v/>
      </c>
    </row>
    <row r="49250" spans="8:8" x14ac:dyDescent="0.3">
      <c r="H49250" t="str">
        <f t="shared" si="819"/>
        <v/>
      </c>
    </row>
    <row r="49251" spans="8:8" x14ac:dyDescent="0.3">
      <c r="H49251" t="str">
        <f t="shared" si="819"/>
        <v/>
      </c>
    </row>
    <row r="49252" spans="8:8" x14ac:dyDescent="0.3">
      <c r="H49252" t="str">
        <f t="shared" si="819"/>
        <v/>
      </c>
    </row>
    <row r="49253" spans="8:8" x14ac:dyDescent="0.3">
      <c r="H49253" t="str">
        <f t="shared" si="819"/>
        <v/>
      </c>
    </row>
    <row r="49254" spans="8:8" x14ac:dyDescent="0.3">
      <c r="H49254" t="str">
        <f t="shared" si="819"/>
        <v/>
      </c>
    </row>
    <row r="49255" spans="8:8" x14ac:dyDescent="0.3">
      <c r="H49255" t="str">
        <f t="shared" si="819"/>
        <v/>
      </c>
    </row>
    <row r="49256" spans="8:8" x14ac:dyDescent="0.3">
      <c r="H49256" t="str">
        <f t="shared" si="819"/>
        <v/>
      </c>
    </row>
    <row r="49257" spans="8:8" x14ac:dyDescent="0.3">
      <c r="H49257" t="str">
        <f t="shared" si="819"/>
        <v/>
      </c>
    </row>
    <row r="49258" spans="8:8" x14ac:dyDescent="0.3">
      <c r="H49258" t="str">
        <f t="shared" si="819"/>
        <v/>
      </c>
    </row>
    <row r="49259" spans="8:8" x14ac:dyDescent="0.3">
      <c r="H49259" t="str">
        <f t="shared" si="819"/>
        <v/>
      </c>
    </row>
    <row r="49260" spans="8:8" x14ac:dyDescent="0.3">
      <c r="H49260" t="str">
        <f t="shared" si="819"/>
        <v/>
      </c>
    </row>
    <row r="49261" spans="8:8" x14ac:dyDescent="0.3">
      <c r="H49261" t="str">
        <f t="shared" si="819"/>
        <v/>
      </c>
    </row>
    <row r="49262" spans="8:8" x14ac:dyDescent="0.3">
      <c r="H49262" t="str">
        <f t="shared" si="819"/>
        <v/>
      </c>
    </row>
    <row r="49263" spans="8:8" x14ac:dyDescent="0.3">
      <c r="H49263" t="str">
        <f t="shared" si="819"/>
        <v/>
      </c>
    </row>
    <row r="49264" spans="8:8" x14ac:dyDescent="0.3">
      <c r="H49264" t="str">
        <f t="shared" si="819"/>
        <v/>
      </c>
    </row>
    <row r="49265" spans="8:8" x14ac:dyDescent="0.3">
      <c r="H49265" t="str">
        <f t="shared" si="819"/>
        <v/>
      </c>
    </row>
    <row r="49266" spans="8:8" x14ac:dyDescent="0.3">
      <c r="H49266" t="str">
        <f t="shared" si="819"/>
        <v/>
      </c>
    </row>
    <row r="49267" spans="8:8" x14ac:dyDescent="0.3">
      <c r="H49267" t="str">
        <f t="shared" si="819"/>
        <v/>
      </c>
    </row>
    <row r="49268" spans="8:8" x14ac:dyDescent="0.3">
      <c r="H49268" t="str">
        <f t="shared" si="819"/>
        <v/>
      </c>
    </row>
    <row r="49269" spans="8:8" x14ac:dyDescent="0.3">
      <c r="H49269" t="str">
        <f t="shared" si="819"/>
        <v/>
      </c>
    </row>
    <row r="49270" spans="8:8" x14ac:dyDescent="0.3">
      <c r="H49270" t="str">
        <f t="shared" si="819"/>
        <v/>
      </c>
    </row>
    <row r="49271" spans="8:8" x14ac:dyDescent="0.3">
      <c r="H49271" t="str">
        <f t="shared" si="819"/>
        <v/>
      </c>
    </row>
    <row r="49272" spans="8:8" x14ac:dyDescent="0.3">
      <c r="H49272" t="str">
        <f t="shared" si="819"/>
        <v/>
      </c>
    </row>
    <row r="49273" spans="8:8" x14ac:dyDescent="0.3">
      <c r="H49273" t="str">
        <f t="shared" si="819"/>
        <v/>
      </c>
    </row>
    <row r="49274" spans="8:8" x14ac:dyDescent="0.3">
      <c r="H49274" t="str">
        <f t="shared" si="819"/>
        <v/>
      </c>
    </row>
    <row r="49275" spans="8:8" x14ac:dyDescent="0.3">
      <c r="H49275" t="str">
        <f t="shared" si="819"/>
        <v/>
      </c>
    </row>
    <row r="49276" spans="8:8" x14ac:dyDescent="0.3">
      <c r="H49276" t="str">
        <f t="shared" si="819"/>
        <v/>
      </c>
    </row>
    <row r="49277" spans="8:8" x14ac:dyDescent="0.3">
      <c r="H49277" t="str">
        <f t="shared" si="819"/>
        <v/>
      </c>
    </row>
    <row r="49278" spans="8:8" x14ac:dyDescent="0.3">
      <c r="H49278" t="str">
        <f t="shared" si="819"/>
        <v/>
      </c>
    </row>
    <row r="49279" spans="8:8" x14ac:dyDescent="0.3">
      <c r="H49279" t="str">
        <f t="shared" si="819"/>
        <v/>
      </c>
    </row>
    <row r="49280" spans="8:8" x14ac:dyDescent="0.3">
      <c r="H49280" t="str">
        <f t="shared" si="819"/>
        <v/>
      </c>
    </row>
    <row r="49281" spans="8:8" x14ac:dyDescent="0.3">
      <c r="H49281" t="str">
        <f t="shared" si="819"/>
        <v/>
      </c>
    </row>
    <row r="49282" spans="8:8" x14ac:dyDescent="0.3">
      <c r="H49282" t="str">
        <f t="shared" si="819"/>
        <v/>
      </c>
    </row>
    <row r="49283" spans="8:8" x14ac:dyDescent="0.3">
      <c r="H49283" t="str">
        <f t="shared" si="819"/>
        <v/>
      </c>
    </row>
    <row r="49284" spans="8:8" x14ac:dyDescent="0.3">
      <c r="H49284" t="str">
        <f t="shared" si="819"/>
        <v/>
      </c>
    </row>
    <row r="49285" spans="8:8" x14ac:dyDescent="0.3">
      <c r="H49285" t="str">
        <f t="shared" si="819"/>
        <v/>
      </c>
    </row>
    <row r="49286" spans="8:8" x14ac:dyDescent="0.3">
      <c r="H49286" t="str">
        <f t="shared" si="819"/>
        <v/>
      </c>
    </row>
    <row r="49287" spans="8:8" x14ac:dyDescent="0.3">
      <c r="H49287" t="str">
        <f t="shared" si="819"/>
        <v/>
      </c>
    </row>
    <row r="49288" spans="8:8" x14ac:dyDescent="0.3">
      <c r="H49288" t="str">
        <f t="shared" si="819"/>
        <v/>
      </c>
    </row>
    <row r="49289" spans="8:8" x14ac:dyDescent="0.3">
      <c r="H49289" t="str">
        <f t="shared" si="819"/>
        <v/>
      </c>
    </row>
    <row r="49290" spans="8:8" x14ac:dyDescent="0.3">
      <c r="H49290" t="str">
        <f t="shared" si="819"/>
        <v/>
      </c>
    </row>
    <row r="49291" spans="8:8" x14ac:dyDescent="0.3">
      <c r="H49291" t="str">
        <f t="shared" si="819"/>
        <v/>
      </c>
    </row>
    <row r="49292" spans="8:8" x14ac:dyDescent="0.3">
      <c r="H49292" t="str">
        <f t="shared" si="819"/>
        <v/>
      </c>
    </row>
    <row r="49293" spans="8:8" x14ac:dyDescent="0.3">
      <c r="H49293" t="str">
        <f t="shared" si="819"/>
        <v/>
      </c>
    </row>
    <row r="49294" spans="8:8" x14ac:dyDescent="0.3">
      <c r="H49294" t="str">
        <f t="shared" si="819"/>
        <v/>
      </c>
    </row>
    <row r="49295" spans="8:8" x14ac:dyDescent="0.3">
      <c r="H49295" t="str">
        <f t="shared" si="819"/>
        <v/>
      </c>
    </row>
    <row r="49296" spans="8:8" x14ac:dyDescent="0.3">
      <c r="H49296" t="str">
        <f t="shared" si="819"/>
        <v/>
      </c>
    </row>
    <row r="49297" spans="8:8" x14ac:dyDescent="0.3">
      <c r="H49297" t="str">
        <f t="shared" si="819"/>
        <v/>
      </c>
    </row>
    <row r="49298" spans="8:8" x14ac:dyDescent="0.3">
      <c r="H49298" t="str">
        <f t="shared" si="819"/>
        <v/>
      </c>
    </row>
    <row r="49299" spans="8:8" x14ac:dyDescent="0.3">
      <c r="H49299" t="str">
        <f t="shared" si="819"/>
        <v/>
      </c>
    </row>
    <row r="49300" spans="8:8" x14ac:dyDescent="0.3">
      <c r="H49300" t="str">
        <f t="shared" si="819"/>
        <v/>
      </c>
    </row>
    <row r="49301" spans="8:8" x14ac:dyDescent="0.3">
      <c r="H49301" t="str">
        <f t="shared" si="819"/>
        <v/>
      </c>
    </row>
    <row r="49302" spans="8:8" x14ac:dyDescent="0.3">
      <c r="H49302" t="str">
        <f t="shared" si="819"/>
        <v/>
      </c>
    </row>
    <row r="49303" spans="8:8" x14ac:dyDescent="0.3">
      <c r="H49303" t="str">
        <f t="shared" ref="H49303:H49366" si="820">IF(B49303="","",$C$12)</f>
        <v/>
      </c>
    </row>
    <row r="49304" spans="8:8" x14ac:dyDescent="0.3">
      <c r="H49304" t="str">
        <f t="shared" si="820"/>
        <v/>
      </c>
    </row>
    <row r="49305" spans="8:8" x14ac:dyDescent="0.3">
      <c r="H49305" t="str">
        <f t="shared" si="820"/>
        <v/>
      </c>
    </row>
    <row r="49306" spans="8:8" x14ac:dyDescent="0.3">
      <c r="H49306" t="str">
        <f t="shared" si="820"/>
        <v/>
      </c>
    </row>
    <row r="49307" spans="8:8" x14ac:dyDescent="0.3">
      <c r="H49307" t="str">
        <f t="shared" si="820"/>
        <v/>
      </c>
    </row>
    <row r="49308" spans="8:8" x14ac:dyDescent="0.3">
      <c r="H49308" t="str">
        <f t="shared" si="820"/>
        <v/>
      </c>
    </row>
    <row r="49309" spans="8:8" x14ac:dyDescent="0.3">
      <c r="H49309" t="str">
        <f t="shared" si="820"/>
        <v/>
      </c>
    </row>
    <row r="49310" spans="8:8" x14ac:dyDescent="0.3">
      <c r="H49310" t="str">
        <f t="shared" si="820"/>
        <v/>
      </c>
    </row>
    <row r="49311" spans="8:8" x14ac:dyDescent="0.3">
      <c r="H49311" t="str">
        <f t="shared" si="820"/>
        <v/>
      </c>
    </row>
    <row r="49312" spans="8:8" x14ac:dyDescent="0.3">
      <c r="H49312" t="str">
        <f t="shared" si="820"/>
        <v/>
      </c>
    </row>
    <row r="49313" spans="8:8" x14ac:dyDescent="0.3">
      <c r="H49313" t="str">
        <f t="shared" si="820"/>
        <v/>
      </c>
    </row>
    <row r="49314" spans="8:8" x14ac:dyDescent="0.3">
      <c r="H49314" t="str">
        <f t="shared" si="820"/>
        <v/>
      </c>
    </row>
    <row r="49315" spans="8:8" x14ac:dyDescent="0.3">
      <c r="H49315" t="str">
        <f t="shared" si="820"/>
        <v/>
      </c>
    </row>
    <row r="49316" spans="8:8" x14ac:dyDescent="0.3">
      <c r="H49316" t="str">
        <f t="shared" si="820"/>
        <v/>
      </c>
    </row>
    <row r="49317" spans="8:8" x14ac:dyDescent="0.3">
      <c r="H49317" t="str">
        <f t="shared" si="820"/>
        <v/>
      </c>
    </row>
    <row r="49318" spans="8:8" x14ac:dyDescent="0.3">
      <c r="H49318" t="str">
        <f t="shared" si="820"/>
        <v/>
      </c>
    </row>
    <row r="49319" spans="8:8" x14ac:dyDescent="0.3">
      <c r="H49319" t="str">
        <f t="shared" si="820"/>
        <v/>
      </c>
    </row>
    <row r="49320" spans="8:8" x14ac:dyDescent="0.3">
      <c r="H49320" t="str">
        <f t="shared" si="820"/>
        <v/>
      </c>
    </row>
    <row r="49321" spans="8:8" x14ac:dyDescent="0.3">
      <c r="H49321" t="str">
        <f t="shared" si="820"/>
        <v/>
      </c>
    </row>
    <row r="49322" spans="8:8" x14ac:dyDescent="0.3">
      <c r="H49322" t="str">
        <f t="shared" si="820"/>
        <v/>
      </c>
    </row>
    <row r="49323" spans="8:8" x14ac:dyDescent="0.3">
      <c r="H49323" t="str">
        <f t="shared" si="820"/>
        <v/>
      </c>
    </row>
    <row r="49324" spans="8:8" x14ac:dyDescent="0.3">
      <c r="H49324" t="str">
        <f t="shared" si="820"/>
        <v/>
      </c>
    </row>
    <row r="49325" spans="8:8" x14ac:dyDescent="0.3">
      <c r="H49325" t="str">
        <f t="shared" si="820"/>
        <v/>
      </c>
    </row>
    <row r="49326" spans="8:8" x14ac:dyDescent="0.3">
      <c r="H49326" t="str">
        <f t="shared" si="820"/>
        <v/>
      </c>
    </row>
    <row r="49327" spans="8:8" x14ac:dyDescent="0.3">
      <c r="H49327" t="str">
        <f t="shared" si="820"/>
        <v/>
      </c>
    </row>
    <row r="49328" spans="8:8" x14ac:dyDescent="0.3">
      <c r="H49328" t="str">
        <f t="shared" si="820"/>
        <v/>
      </c>
    </row>
    <row r="49329" spans="8:8" x14ac:dyDescent="0.3">
      <c r="H49329" t="str">
        <f t="shared" si="820"/>
        <v/>
      </c>
    </row>
    <row r="49330" spans="8:8" x14ac:dyDescent="0.3">
      <c r="H49330" t="str">
        <f t="shared" si="820"/>
        <v/>
      </c>
    </row>
    <row r="49331" spans="8:8" x14ac:dyDescent="0.3">
      <c r="H49331" t="str">
        <f t="shared" si="820"/>
        <v/>
      </c>
    </row>
    <row r="49332" spans="8:8" x14ac:dyDescent="0.3">
      <c r="H49332" t="str">
        <f t="shared" si="820"/>
        <v/>
      </c>
    </row>
    <row r="49333" spans="8:8" x14ac:dyDescent="0.3">
      <c r="H49333" t="str">
        <f t="shared" si="820"/>
        <v/>
      </c>
    </row>
    <row r="49334" spans="8:8" x14ac:dyDescent="0.3">
      <c r="H49334" t="str">
        <f t="shared" si="820"/>
        <v/>
      </c>
    </row>
    <row r="49335" spans="8:8" x14ac:dyDescent="0.3">
      <c r="H49335" t="str">
        <f t="shared" si="820"/>
        <v/>
      </c>
    </row>
    <row r="49336" spans="8:8" x14ac:dyDescent="0.3">
      <c r="H49336" t="str">
        <f t="shared" si="820"/>
        <v/>
      </c>
    </row>
    <row r="49337" spans="8:8" x14ac:dyDescent="0.3">
      <c r="H49337" t="str">
        <f t="shared" si="820"/>
        <v/>
      </c>
    </row>
    <row r="49338" spans="8:8" x14ac:dyDescent="0.3">
      <c r="H49338" t="str">
        <f t="shared" si="820"/>
        <v/>
      </c>
    </row>
    <row r="49339" spans="8:8" x14ac:dyDescent="0.3">
      <c r="H49339" t="str">
        <f t="shared" si="820"/>
        <v/>
      </c>
    </row>
    <row r="49340" spans="8:8" x14ac:dyDescent="0.3">
      <c r="H49340" t="str">
        <f t="shared" si="820"/>
        <v/>
      </c>
    </row>
    <row r="49341" spans="8:8" x14ac:dyDescent="0.3">
      <c r="H49341" t="str">
        <f t="shared" si="820"/>
        <v/>
      </c>
    </row>
    <row r="49342" spans="8:8" x14ac:dyDescent="0.3">
      <c r="H49342" t="str">
        <f t="shared" si="820"/>
        <v/>
      </c>
    </row>
    <row r="49343" spans="8:8" x14ac:dyDescent="0.3">
      <c r="H49343" t="str">
        <f t="shared" si="820"/>
        <v/>
      </c>
    </row>
    <row r="49344" spans="8:8" x14ac:dyDescent="0.3">
      <c r="H49344" t="str">
        <f t="shared" si="820"/>
        <v/>
      </c>
    </row>
    <row r="49345" spans="8:8" x14ac:dyDescent="0.3">
      <c r="H49345" t="str">
        <f t="shared" si="820"/>
        <v/>
      </c>
    </row>
    <row r="49346" spans="8:8" x14ac:dyDescent="0.3">
      <c r="H49346" t="str">
        <f t="shared" si="820"/>
        <v/>
      </c>
    </row>
    <row r="49347" spans="8:8" x14ac:dyDescent="0.3">
      <c r="H49347" t="str">
        <f t="shared" si="820"/>
        <v/>
      </c>
    </row>
    <row r="49348" spans="8:8" x14ac:dyDescent="0.3">
      <c r="H49348" t="str">
        <f t="shared" si="820"/>
        <v/>
      </c>
    </row>
    <row r="49349" spans="8:8" x14ac:dyDescent="0.3">
      <c r="H49349" t="str">
        <f t="shared" si="820"/>
        <v/>
      </c>
    </row>
    <row r="49350" spans="8:8" x14ac:dyDescent="0.3">
      <c r="H49350" t="str">
        <f t="shared" si="820"/>
        <v/>
      </c>
    </row>
    <row r="49351" spans="8:8" x14ac:dyDescent="0.3">
      <c r="H49351" t="str">
        <f t="shared" si="820"/>
        <v/>
      </c>
    </row>
    <row r="49352" spans="8:8" x14ac:dyDescent="0.3">
      <c r="H49352" t="str">
        <f t="shared" si="820"/>
        <v/>
      </c>
    </row>
    <row r="49353" spans="8:8" x14ac:dyDescent="0.3">
      <c r="H49353" t="str">
        <f t="shared" si="820"/>
        <v/>
      </c>
    </row>
    <row r="49354" spans="8:8" x14ac:dyDescent="0.3">
      <c r="H49354" t="str">
        <f t="shared" si="820"/>
        <v/>
      </c>
    </row>
    <row r="49355" spans="8:8" x14ac:dyDescent="0.3">
      <c r="H49355" t="str">
        <f t="shared" si="820"/>
        <v/>
      </c>
    </row>
    <row r="49356" spans="8:8" x14ac:dyDescent="0.3">
      <c r="H49356" t="str">
        <f t="shared" si="820"/>
        <v/>
      </c>
    </row>
    <row r="49357" spans="8:8" x14ac:dyDescent="0.3">
      <c r="H49357" t="str">
        <f t="shared" si="820"/>
        <v/>
      </c>
    </row>
    <row r="49358" spans="8:8" x14ac:dyDescent="0.3">
      <c r="H49358" t="str">
        <f t="shared" si="820"/>
        <v/>
      </c>
    </row>
    <row r="49359" spans="8:8" x14ac:dyDescent="0.3">
      <c r="H49359" t="str">
        <f t="shared" si="820"/>
        <v/>
      </c>
    </row>
    <row r="49360" spans="8:8" x14ac:dyDescent="0.3">
      <c r="H49360" t="str">
        <f t="shared" si="820"/>
        <v/>
      </c>
    </row>
    <row r="49361" spans="8:8" x14ac:dyDescent="0.3">
      <c r="H49361" t="str">
        <f t="shared" si="820"/>
        <v/>
      </c>
    </row>
    <row r="49362" spans="8:8" x14ac:dyDescent="0.3">
      <c r="H49362" t="str">
        <f t="shared" si="820"/>
        <v/>
      </c>
    </row>
    <row r="49363" spans="8:8" x14ac:dyDescent="0.3">
      <c r="H49363" t="str">
        <f t="shared" si="820"/>
        <v/>
      </c>
    </row>
    <row r="49364" spans="8:8" x14ac:dyDescent="0.3">
      <c r="H49364" t="str">
        <f t="shared" si="820"/>
        <v/>
      </c>
    </row>
    <row r="49365" spans="8:8" x14ac:dyDescent="0.3">
      <c r="H49365" t="str">
        <f t="shared" si="820"/>
        <v/>
      </c>
    </row>
    <row r="49366" spans="8:8" x14ac:dyDescent="0.3">
      <c r="H49366" t="str">
        <f t="shared" si="820"/>
        <v/>
      </c>
    </row>
    <row r="49367" spans="8:8" x14ac:dyDescent="0.3">
      <c r="H49367" t="str">
        <f t="shared" ref="H49367:H49430" si="821">IF(B49367="","",$C$12)</f>
        <v/>
      </c>
    </row>
    <row r="49368" spans="8:8" x14ac:dyDescent="0.3">
      <c r="H49368" t="str">
        <f t="shared" si="821"/>
        <v/>
      </c>
    </row>
    <row r="49369" spans="8:8" x14ac:dyDescent="0.3">
      <c r="H49369" t="str">
        <f t="shared" si="821"/>
        <v/>
      </c>
    </row>
    <row r="49370" spans="8:8" x14ac:dyDescent="0.3">
      <c r="H49370" t="str">
        <f t="shared" si="821"/>
        <v/>
      </c>
    </row>
    <row r="49371" spans="8:8" x14ac:dyDescent="0.3">
      <c r="H49371" t="str">
        <f t="shared" si="821"/>
        <v/>
      </c>
    </row>
    <row r="49372" spans="8:8" x14ac:dyDescent="0.3">
      <c r="H49372" t="str">
        <f t="shared" si="821"/>
        <v/>
      </c>
    </row>
    <row r="49373" spans="8:8" x14ac:dyDescent="0.3">
      <c r="H49373" t="str">
        <f t="shared" si="821"/>
        <v/>
      </c>
    </row>
    <row r="49374" spans="8:8" x14ac:dyDescent="0.3">
      <c r="H49374" t="str">
        <f t="shared" si="821"/>
        <v/>
      </c>
    </row>
    <row r="49375" spans="8:8" x14ac:dyDescent="0.3">
      <c r="H49375" t="str">
        <f t="shared" si="821"/>
        <v/>
      </c>
    </row>
    <row r="49376" spans="8:8" x14ac:dyDescent="0.3">
      <c r="H49376" t="str">
        <f t="shared" si="821"/>
        <v/>
      </c>
    </row>
    <row r="49377" spans="8:8" x14ac:dyDescent="0.3">
      <c r="H49377" t="str">
        <f t="shared" si="821"/>
        <v/>
      </c>
    </row>
    <row r="49378" spans="8:8" x14ac:dyDescent="0.3">
      <c r="H49378" t="str">
        <f t="shared" si="821"/>
        <v/>
      </c>
    </row>
    <row r="49379" spans="8:8" x14ac:dyDescent="0.3">
      <c r="H49379" t="str">
        <f t="shared" si="821"/>
        <v/>
      </c>
    </row>
    <row r="49380" spans="8:8" x14ac:dyDescent="0.3">
      <c r="H49380" t="str">
        <f t="shared" si="821"/>
        <v/>
      </c>
    </row>
    <row r="49381" spans="8:8" x14ac:dyDescent="0.3">
      <c r="H49381" t="str">
        <f t="shared" si="821"/>
        <v/>
      </c>
    </row>
    <row r="49382" spans="8:8" x14ac:dyDescent="0.3">
      <c r="H49382" t="str">
        <f t="shared" si="821"/>
        <v/>
      </c>
    </row>
    <row r="49383" spans="8:8" x14ac:dyDescent="0.3">
      <c r="H49383" t="str">
        <f t="shared" si="821"/>
        <v/>
      </c>
    </row>
    <row r="49384" spans="8:8" x14ac:dyDescent="0.3">
      <c r="H49384" t="str">
        <f t="shared" si="821"/>
        <v/>
      </c>
    </row>
    <row r="49385" spans="8:8" x14ac:dyDescent="0.3">
      <c r="H49385" t="str">
        <f t="shared" si="821"/>
        <v/>
      </c>
    </row>
    <row r="49386" spans="8:8" x14ac:dyDescent="0.3">
      <c r="H49386" t="str">
        <f t="shared" si="821"/>
        <v/>
      </c>
    </row>
    <row r="49387" spans="8:8" x14ac:dyDescent="0.3">
      <c r="H49387" t="str">
        <f t="shared" si="821"/>
        <v/>
      </c>
    </row>
    <row r="49388" spans="8:8" x14ac:dyDescent="0.3">
      <c r="H49388" t="str">
        <f t="shared" si="821"/>
        <v/>
      </c>
    </row>
    <row r="49389" spans="8:8" x14ac:dyDescent="0.3">
      <c r="H49389" t="str">
        <f t="shared" si="821"/>
        <v/>
      </c>
    </row>
    <row r="49390" spans="8:8" x14ac:dyDescent="0.3">
      <c r="H49390" t="str">
        <f t="shared" si="821"/>
        <v/>
      </c>
    </row>
    <row r="49391" spans="8:8" x14ac:dyDescent="0.3">
      <c r="H49391" t="str">
        <f t="shared" si="821"/>
        <v/>
      </c>
    </row>
    <row r="49392" spans="8:8" x14ac:dyDescent="0.3">
      <c r="H49392" t="str">
        <f t="shared" si="821"/>
        <v/>
      </c>
    </row>
    <row r="49393" spans="8:8" x14ac:dyDescent="0.3">
      <c r="H49393" t="str">
        <f t="shared" si="821"/>
        <v/>
      </c>
    </row>
    <row r="49394" spans="8:8" x14ac:dyDescent="0.3">
      <c r="H49394" t="str">
        <f t="shared" si="821"/>
        <v/>
      </c>
    </row>
    <row r="49395" spans="8:8" x14ac:dyDescent="0.3">
      <c r="H49395" t="str">
        <f t="shared" si="821"/>
        <v/>
      </c>
    </row>
    <row r="49396" spans="8:8" x14ac:dyDescent="0.3">
      <c r="H49396" t="str">
        <f t="shared" si="821"/>
        <v/>
      </c>
    </row>
    <row r="49397" spans="8:8" x14ac:dyDescent="0.3">
      <c r="H49397" t="str">
        <f t="shared" si="821"/>
        <v/>
      </c>
    </row>
    <row r="49398" spans="8:8" x14ac:dyDescent="0.3">
      <c r="H49398" t="str">
        <f t="shared" si="821"/>
        <v/>
      </c>
    </row>
    <row r="49399" spans="8:8" x14ac:dyDescent="0.3">
      <c r="H49399" t="str">
        <f t="shared" si="821"/>
        <v/>
      </c>
    </row>
    <row r="49400" spans="8:8" x14ac:dyDescent="0.3">
      <c r="H49400" t="str">
        <f t="shared" si="821"/>
        <v/>
      </c>
    </row>
    <row r="49401" spans="8:8" x14ac:dyDescent="0.3">
      <c r="H49401" t="str">
        <f t="shared" si="821"/>
        <v/>
      </c>
    </row>
    <row r="49402" spans="8:8" x14ac:dyDescent="0.3">
      <c r="H49402" t="str">
        <f t="shared" si="821"/>
        <v/>
      </c>
    </row>
    <row r="49403" spans="8:8" x14ac:dyDescent="0.3">
      <c r="H49403" t="str">
        <f t="shared" si="821"/>
        <v/>
      </c>
    </row>
    <row r="49404" spans="8:8" x14ac:dyDescent="0.3">
      <c r="H49404" t="str">
        <f t="shared" si="821"/>
        <v/>
      </c>
    </row>
    <row r="49405" spans="8:8" x14ac:dyDescent="0.3">
      <c r="H49405" t="str">
        <f t="shared" si="821"/>
        <v/>
      </c>
    </row>
    <row r="49406" spans="8:8" x14ac:dyDescent="0.3">
      <c r="H49406" t="str">
        <f t="shared" si="821"/>
        <v/>
      </c>
    </row>
    <row r="49407" spans="8:8" x14ac:dyDescent="0.3">
      <c r="H49407" t="str">
        <f t="shared" si="821"/>
        <v/>
      </c>
    </row>
    <row r="49408" spans="8:8" x14ac:dyDescent="0.3">
      <c r="H49408" t="str">
        <f t="shared" si="821"/>
        <v/>
      </c>
    </row>
    <row r="49409" spans="8:8" x14ac:dyDescent="0.3">
      <c r="H49409" t="str">
        <f t="shared" si="821"/>
        <v/>
      </c>
    </row>
    <row r="49410" spans="8:8" x14ac:dyDescent="0.3">
      <c r="H49410" t="str">
        <f t="shared" si="821"/>
        <v/>
      </c>
    </row>
    <row r="49411" spans="8:8" x14ac:dyDescent="0.3">
      <c r="H49411" t="str">
        <f t="shared" si="821"/>
        <v/>
      </c>
    </row>
    <row r="49412" spans="8:8" x14ac:dyDescent="0.3">
      <c r="H49412" t="str">
        <f t="shared" si="821"/>
        <v/>
      </c>
    </row>
    <row r="49413" spans="8:8" x14ac:dyDescent="0.3">
      <c r="H49413" t="str">
        <f t="shared" si="821"/>
        <v/>
      </c>
    </row>
    <row r="49414" spans="8:8" x14ac:dyDescent="0.3">
      <c r="H49414" t="str">
        <f t="shared" si="821"/>
        <v/>
      </c>
    </row>
    <row r="49415" spans="8:8" x14ac:dyDescent="0.3">
      <c r="H49415" t="str">
        <f t="shared" si="821"/>
        <v/>
      </c>
    </row>
    <row r="49416" spans="8:8" x14ac:dyDescent="0.3">
      <c r="H49416" t="str">
        <f t="shared" si="821"/>
        <v/>
      </c>
    </row>
    <row r="49417" spans="8:8" x14ac:dyDescent="0.3">
      <c r="H49417" t="str">
        <f t="shared" si="821"/>
        <v/>
      </c>
    </row>
    <row r="49418" spans="8:8" x14ac:dyDescent="0.3">
      <c r="H49418" t="str">
        <f t="shared" si="821"/>
        <v/>
      </c>
    </row>
    <row r="49419" spans="8:8" x14ac:dyDescent="0.3">
      <c r="H49419" t="str">
        <f t="shared" si="821"/>
        <v/>
      </c>
    </row>
    <row r="49420" spans="8:8" x14ac:dyDescent="0.3">
      <c r="H49420" t="str">
        <f t="shared" si="821"/>
        <v/>
      </c>
    </row>
    <row r="49421" spans="8:8" x14ac:dyDescent="0.3">
      <c r="H49421" t="str">
        <f t="shared" si="821"/>
        <v/>
      </c>
    </row>
    <row r="49422" spans="8:8" x14ac:dyDescent="0.3">
      <c r="H49422" t="str">
        <f t="shared" si="821"/>
        <v/>
      </c>
    </row>
    <row r="49423" spans="8:8" x14ac:dyDescent="0.3">
      <c r="H49423" t="str">
        <f t="shared" si="821"/>
        <v/>
      </c>
    </row>
    <row r="49424" spans="8:8" x14ac:dyDescent="0.3">
      <c r="H49424" t="str">
        <f t="shared" si="821"/>
        <v/>
      </c>
    </row>
    <row r="49425" spans="8:8" x14ac:dyDescent="0.3">
      <c r="H49425" t="str">
        <f t="shared" si="821"/>
        <v/>
      </c>
    </row>
    <row r="49426" spans="8:8" x14ac:dyDescent="0.3">
      <c r="H49426" t="str">
        <f t="shared" si="821"/>
        <v/>
      </c>
    </row>
    <row r="49427" spans="8:8" x14ac:dyDescent="0.3">
      <c r="H49427" t="str">
        <f t="shared" si="821"/>
        <v/>
      </c>
    </row>
    <row r="49428" spans="8:8" x14ac:dyDescent="0.3">
      <c r="H49428" t="str">
        <f t="shared" si="821"/>
        <v/>
      </c>
    </row>
    <row r="49429" spans="8:8" x14ac:dyDescent="0.3">
      <c r="H49429" t="str">
        <f t="shared" si="821"/>
        <v/>
      </c>
    </row>
    <row r="49430" spans="8:8" x14ac:dyDescent="0.3">
      <c r="H49430" t="str">
        <f t="shared" si="821"/>
        <v/>
      </c>
    </row>
    <row r="49431" spans="8:8" x14ac:dyDescent="0.3">
      <c r="H49431" t="str">
        <f t="shared" ref="H49431:H49494" si="822">IF(B49431="","",$C$12)</f>
        <v/>
      </c>
    </row>
    <row r="49432" spans="8:8" x14ac:dyDescent="0.3">
      <c r="H49432" t="str">
        <f t="shared" si="822"/>
        <v/>
      </c>
    </row>
    <row r="49433" spans="8:8" x14ac:dyDescent="0.3">
      <c r="H49433" t="str">
        <f t="shared" si="822"/>
        <v/>
      </c>
    </row>
    <row r="49434" spans="8:8" x14ac:dyDescent="0.3">
      <c r="H49434" t="str">
        <f t="shared" si="822"/>
        <v/>
      </c>
    </row>
    <row r="49435" spans="8:8" x14ac:dyDescent="0.3">
      <c r="H49435" t="str">
        <f t="shared" si="822"/>
        <v/>
      </c>
    </row>
    <row r="49436" spans="8:8" x14ac:dyDescent="0.3">
      <c r="H49436" t="str">
        <f t="shared" si="822"/>
        <v/>
      </c>
    </row>
    <row r="49437" spans="8:8" x14ac:dyDescent="0.3">
      <c r="H49437" t="str">
        <f t="shared" si="822"/>
        <v/>
      </c>
    </row>
    <row r="49438" spans="8:8" x14ac:dyDescent="0.3">
      <c r="H49438" t="str">
        <f t="shared" si="822"/>
        <v/>
      </c>
    </row>
    <row r="49439" spans="8:8" x14ac:dyDescent="0.3">
      <c r="H49439" t="str">
        <f t="shared" si="822"/>
        <v/>
      </c>
    </row>
    <row r="49440" spans="8:8" x14ac:dyDescent="0.3">
      <c r="H49440" t="str">
        <f t="shared" si="822"/>
        <v/>
      </c>
    </row>
    <row r="49441" spans="8:8" x14ac:dyDescent="0.3">
      <c r="H49441" t="str">
        <f t="shared" si="822"/>
        <v/>
      </c>
    </row>
    <row r="49442" spans="8:8" x14ac:dyDescent="0.3">
      <c r="H49442" t="str">
        <f t="shared" si="822"/>
        <v/>
      </c>
    </row>
    <row r="49443" spans="8:8" x14ac:dyDescent="0.3">
      <c r="H49443" t="str">
        <f t="shared" si="822"/>
        <v/>
      </c>
    </row>
    <row r="49444" spans="8:8" x14ac:dyDescent="0.3">
      <c r="H49444" t="str">
        <f t="shared" si="822"/>
        <v/>
      </c>
    </row>
    <row r="49445" spans="8:8" x14ac:dyDescent="0.3">
      <c r="H49445" t="str">
        <f t="shared" si="822"/>
        <v/>
      </c>
    </row>
    <row r="49446" spans="8:8" x14ac:dyDescent="0.3">
      <c r="H49446" t="str">
        <f t="shared" si="822"/>
        <v/>
      </c>
    </row>
    <row r="49447" spans="8:8" x14ac:dyDescent="0.3">
      <c r="H49447" t="str">
        <f t="shared" si="822"/>
        <v/>
      </c>
    </row>
    <row r="49448" spans="8:8" x14ac:dyDescent="0.3">
      <c r="H49448" t="str">
        <f t="shared" si="822"/>
        <v/>
      </c>
    </row>
    <row r="49449" spans="8:8" x14ac:dyDescent="0.3">
      <c r="H49449" t="str">
        <f t="shared" si="822"/>
        <v/>
      </c>
    </row>
    <row r="49450" spans="8:8" x14ac:dyDescent="0.3">
      <c r="H49450" t="str">
        <f t="shared" si="822"/>
        <v/>
      </c>
    </row>
    <row r="49451" spans="8:8" x14ac:dyDescent="0.3">
      <c r="H49451" t="str">
        <f t="shared" si="822"/>
        <v/>
      </c>
    </row>
    <row r="49452" spans="8:8" x14ac:dyDescent="0.3">
      <c r="H49452" t="str">
        <f t="shared" si="822"/>
        <v/>
      </c>
    </row>
    <row r="49453" spans="8:8" x14ac:dyDescent="0.3">
      <c r="H49453" t="str">
        <f t="shared" si="822"/>
        <v/>
      </c>
    </row>
    <row r="49454" spans="8:8" x14ac:dyDescent="0.3">
      <c r="H49454" t="str">
        <f t="shared" si="822"/>
        <v/>
      </c>
    </row>
    <row r="49455" spans="8:8" x14ac:dyDescent="0.3">
      <c r="H49455" t="str">
        <f t="shared" si="822"/>
        <v/>
      </c>
    </row>
    <row r="49456" spans="8:8" x14ac:dyDescent="0.3">
      <c r="H49456" t="str">
        <f t="shared" si="822"/>
        <v/>
      </c>
    </row>
    <row r="49457" spans="8:8" x14ac:dyDescent="0.3">
      <c r="H49457" t="str">
        <f t="shared" si="822"/>
        <v/>
      </c>
    </row>
    <row r="49458" spans="8:8" x14ac:dyDescent="0.3">
      <c r="H49458" t="str">
        <f t="shared" si="822"/>
        <v/>
      </c>
    </row>
    <row r="49459" spans="8:8" x14ac:dyDescent="0.3">
      <c r="H49459" t="str">
        <f t="shared" si="822"/>
        <v/>
      </c>
    </row>
    <row r="49460" spans="8:8" x14ac:dyDescent="0.3">
      <c r="H49460" t="str">
        <f t="shared" si="822"/>
        <v/>
      </c>
    </row>
    <row r="49461" spans="8:8" x14ac:dyDescent="0.3">
      <c r="H49461" t="str">
        <f t="shared" si="822"/>
        <v/>
      </c>
    </row>
    <row r="49462" spans="8:8" x14ac:dyDescent="0.3">
      <c r="H49462" t="str">
        <f t="shared" si="822"/>
        <v/>
      </c>
    </row>
    <row r="49463" spans="8:8" x14ac:dyDescent="0.3">
      <c r="H49463" t="str">
        <f t="shared" si="822"/>
        <v/>
      </c>
    </row>
    <row r="49464" spans="8:8" x14ac:dyDescent="0.3">
      <c r="H49464" t="str">
        <f t="shared" si="822"/>
        <v/>
      </c>
    </row>
    <row r="49465" spans="8:8" x14ac:dyDescent="0.3">
      <c r="H49465" t="str">
        <f t="shared" si="822"/>
        <v/>
      </c>
    </row>
    <row r="49466" spans="8:8" x14ac:dyDescent="0.3">
      <c r="H49466" t="str">
        <f t="shared" si="822"/>
        <v/>
      </c>
    </row>
    <row r="49467" spans="8:8" x14ac:dyDescent="0.3">
      <c r="H49467" t="str">
        <f t="shared" si="822"/>
        <v/>
      </c>
    </row>
    <row r="49468" spans="8:8" x14ac:dyDescent="0.3">
      <c r="H49468" t="str">
        <f t="shared" si="822"/>
        <v/>
      </c>
    </row>
    <row r="49469" spans="8:8" x14ac:dyDescent="0.3">
      <c r="H49469" t="str">
        <f t="shared" si="822"/>
        <v/>
      </c>
    </row>
    <row r="49470" spans="8:8" x14ac:dyDescent="0.3">
      <c r="H49470" t="str">
        <f t="shared" si="822"/>
        <v/>
      </c>
    </row>
    <row r="49471" spans="8:8" x14ac:dyDescent="0.3">
      <c r="H49471" t="str">
        <f t="shared" si="822"/>
        <v/>
      </c>
    </row>
    <row r="49472" spans="8:8" x14ac:dyDescent="0.3">
      <c r="H49472" t="str">
        <f t="shared" si="822"/>
        <v/>
      </c>
    </row>
    <row r="49473" spans="8:8" x14ac:dyDescent="0.3">
      <c r="H49473" t="str">
        <f t="shared" si="822"/>
        <v/>
      </c>
    </row>
    <row r="49474" spans="8:8" x14ac:dyDescent="0.3">
      <c r="H49474" t="str">
        <f t="shared" si="822"/>
        <v/>
      </c>
    </row>
    <row r="49475" spans="8:8" x14ac:dyDescent="0.3">
      <c r="H49475" t="str">
        <f t="shared" si="822"/>
        <v/>
      </c>
    </row>
    <row r="49476" spans="8:8" x14ac:dyDescent="0.3">
      <c r="H49476" t="str">
        <f t="shared" si="822"/>
        <v/>
      </c>
    </row>
    <row r="49477" spans="8:8" x14ac:dyDescent="0.3">
      <c r="H49477" t="str">
        <f t="shared" si="822"/>
        <v/>
      </c>
    </row>
    <row r="49478" spans="8:8" x14ac:dyDescent="0.3">
      <c r="H49478" t="str">
        <f t="shared" si="822"/>
        <v/>
      </c>
    </row>
    <row r="49479" spans="8:8" x14ac:dyDescent="0.3">
      <c r="H49479" t="str">
        <f t="shared" si="822"/>
        <v/>
      </c>
    </row>
    <row r="49480" spans="8:8" x14ac:dyDescent="0.3">
      <c r="H49480" t="str">
        <f t="shared" si="822"/>
        <v/>
      </c>
    </row>
    <row r="49481" spans="8:8" x14ac:dyDescent="0.3">
      <c r="H49481" t="str">
        <f t="shared" si="822"/>
        <v/>
      </c>
    </row>
    <row r="49482" spans="8:8" x14ac:dyDescent="0.3">
      <c r="H49482" t="str">
        <f t="shared" si="822"/>
        <v/>
      </c>
    </row>
    <row r="49483" spans="8:8" x14ac:dyDescent="0.3">
      <c r="H49483" t="str">
        <f t="shared" si="822"/>
        <v/>
      </c>
    </row>
    <row r="49484" spans="8:8" x14ac:dyDescent="0.3">
      <c r="H49484" t="str">
        <f t="shared" si="822"/>
        <v/>
      </c>
    </row>
    <row r="49485" spans="8:8" x14ac:dyDescent="0.3">
      <c r="H49485" t="str">
        <f t="shared" si="822"/>
        <v/>
      </c>
    </row>
    <row r="49486" spans="8:8" x14ac:dyDescent="0.3">
      <c r="H49486" t="str">
        <f t="shared" si="822"/>
        <v/>
      </c>
    </row>
    <row r="49487" spans="8:8" x14ac:dyDescent="0.3">
      <c r="H49487" t="str">
        <f t="shared" si="822"/>
        <v/>
      </c>
    </row>
    <row r="49488" spans="8:8" x14ac:dyDescent="0.3">
      <c r="H49488" t="str">
        <f t="shared" si="822"/>
        <v/>
      </c>
    </row>
    <row r="49489" spans="8:8" x14ac:dyDescent="0.3">
      <c r="H49489" t="str">
        <f t="shared" si="822"/>
        <v/>
      </c>
    </row>
    <row r="49490" spans="8:8" x14ac:dyDescent="0.3">
      <c r="H49490" t="str">
        <f t="shared" si="822"/>
        <v/>
      </c>
    </row>
    <row r="49491" spans="8:8" x14ac:dyDescent="0.3">
      <c r="H49491" t="str">
        <f t="shared" si="822"/>
        <v/>
      </c>
    </row>
    <row r="49492" spans="8:8" x14ac:dyDescent="0.3">
      <c r="H49492" t="str">
        <f t="shared" si="822"/>
        <v/>
      </c>
    </row>
    <row r="49493" spans="8:8" x14ac:dyDescent="0.3">
      <c r="H49493" t="str">
        <f t="shared" si="822"/>
        <v/>
      </c>
    </row>
    <row r="49494" spans="8:8" x14ac:dyDescent="0.3">
      <c r="H49494" t="str">
        <f t="shared" si="822"/>
        <v/>
      </c>
    </row>
    <row r="49495" spans="8:8" x14ac:dyDescent="0.3">
      <c r="H49495" t="str">
        <f t="shared" ref="H49495:H49558" si="823">IF(B49495="","",$C$12)</f>
        <v/>
      </c>
    </row>
    <row r="49496" spans="8:8" x14ac:dyDescent="0.3">
      <c r="H49496" t="str">
        <f t="shared" si="823"/>
        <v/>
      </c>
    </row>
    <row r="49497" spans="8:8" x14ac:dyDescent="0.3">
      <c r="H49497" t="str">
        <f t="shared" si="823"/>
        <v/>
      </c>
    </row>
    <row r="49498" spans="8:8" x14ac:dyDescent="0.3">
      <c r="H49498" t="str">
        <f t="shared" si="823"/>
        <v/>
      </c>
    </row>
    <row r="49499" spans="8:8" x14ac:dyDescent="0.3">
      <c r="H49499" t="str">
        <f t="shared" si="823"/>
        <v/>
      </c>
    </row>
    <row r="49500" spans="8:8" x14ac:dyDescent="0.3">
      <c r="H49500" t="str">
        <f t="shared" si="823"/>
        <v/>
      </c>
    </row>
    <row r="49501" spans="8:8" x14ac:dyDescent="0.3">
      <c r="H49501" t="str">
        <f t="shared" si="823"/>
        <v/>
      </c>
    </row>
    <row r="49502" spans="8:8" x14ac:dyDescent="0.3">
      <c r="H49502" t="str">
        <f t="shared" si="823"/>
        <v/>
      </c>
    </row>
    <row r="49503" spans="8:8" x14ac:dyDescent="0.3">
      <c r="H49503" t="str">
        <f t="shared" si="823"/>
        <v/>
      </c>
    </row>
    <row r="49504" spans="8:8" x14ac:dyDescent="0.3">
      <c r="H49504" t="str">
        <f t="shared" si="823"/>
        <v/>
      </c>
    </row>
    <row r="49505" spans="8:8" x14ac:dyDescent="0.3">
      <c r="H49505" t="str">
        <f t="shared" si="823"/>
        <v/>
      </c>
    </row>
    <row r="49506" spans="8:8" x14ac:dyDescent="0.3">
      <c r="H49506" t="str">
        <f t="shared" si="823"/>
        <v/>
      </c>
    </row>
    <row r="49507" spans="8:8" x14ac:dyDescent="0.3">
      <c r="H49507" t="str">
        <f t="shared" si="823"/>
        <v/>
      </c>
    </row>
    <row r="49508" spans="8:8" x14ac:dyDescent="0.3">
      <c r="H49508" t="str">
        <f t="shared" si="823"/>
        <v/>
      </c>
    </row>
    <row r="49509" spans="8:8" x14ac:dyDescent="0.3">
      <c r="H49509" t="str">
        <f t="shared" si="823"/>
        <v/>
      </c>
    </row>
    <row r="49510" spans="8:8" x14ac:dyDescent="0.3">
      <c r="H49510" t="str">
        <f t="shared" si="823"/>
        <v/>
      </c>
    </row>
    <row r="49511" spans="8:8" x14ac:dyDescent="0.3">
      <c r="H49511" t="str">
        <f t="shared" si="823"/>
        <v/>
      </c>
    </row>
    <row r="49512" spans="8:8" x14ac:dyDescent="0.3">
      <c r="H49512" t="str">
        <f t="shared" si="823"/>
        <v/>
      </c>
    </row>
    <row r="49513" spans="8:8" x14ac:dyDescent="0.3">
      <c r="H49513" t="str">
        <f t="shared" si="823"/>
        <v/>
      </c>
    </row>
    <row r="49514" spans="8:8" x14ac:dyDescent="0.3">
      <c r="H49514" t="str">
        <f t="shared" si="823"/>
        <v/>
      </c>
    </row>
    <row r="49515" spans="8:8" x14ac:dyDescent="0.3">
      <c r="H49515" t="str">
        <f t="shared" si="823"/>
        <v/>
      </c>
    </row>
    <row r="49516" spans="8:8" x14ac:dyDescent="0.3">
      <c r="H49516" t="str">
        <f t="shared" si="823"/>
        <v/>
      </c>
    </row>
    <row r="49517" spans="8:8" x14ac:dyDescent="0.3">
      <c r="H49517" t="str">
        <f t="shared" si="823"/>
        <v/>
      </c>
    </row>
    <row r="49518" spans="8:8" x14ac:dyDescent="0.3">
      <c r="H49518" t="str">
        <f t="shared" si="823"/>
        <v/>
      </c>
    </row>
    <row r="49519" spans="8:8" x14ac:dyDescent="0.3">
      <c r="H49519" t="str">
        <f t="shared" si="823"/>
        <v/>
      </c>
    </row>
    <row r="49520" spans="8:8" x14ac:dyDescent="0.3">
      <c r="H49520" t="str">
        <f t="shared" si="823"/>
        <v/>
      </c>
    </row>
    <row r="49521" spans="8:8" x14ac:dyDescent="0.3">
      <c r="H49521" t="str">
        <f t="shared" si="823"/>
        <v/>
      </c>
    </row>
    <row r="49522" spans="8:8" x14ac:dyDescent="0.3">
      <c r="H49522" t="str">
        <f t="shared" si="823"/>
        <v/>
      </c>
    </row>
    <row r="49523" spans="8:8" x14ac:dyDescent="0.3">
      <c r="H49523" t="str">
        <f t="shared" si="823"/>
        <v/>
      </c>
    </row>
    <row r="49524" spans="8:8" x14ac:dyDescent="0.3">
      <c r="H49524" t="str">
        <f t="shared" si="823"/>
        <v/>
      </c>
    </row>
    <row r="49525" spans="8:8" x14ac:dyDescent="0.3">
      <c r="H49525" t="str">
        <f t="shared" si="823"/>
        <v/>
      </c>
    </row>
    <row r="49526" spans="8:8" x14ac:dyDescent="0.3">
      <c r="H49526" t="str">
        <f t="shared" si="823"/>
        <v/>
      </c>
    </row>
    <row r="49527" spans="8:8" x14ac:dyDescent="0.3">
      <c r="H49527" t="str">
        <f t="shared" si="823"/>
        <v/>
      </c>
    </row>
    <row r="49528" spans="8:8" x14ac:dyDescent="0.3">
      <c r="H49528" t="str">
        <f t="shared" si="823"/>
        <v/>
      </c>
    </row>
    <row r="49529" spans="8:8" x14ac:dyDescent="0.3">
      <c r="H49529" t="str">
        <f t="shared" si="823"/>
        <v/>
      </c>
    </row>
    <row r="49530" spans="8:8" x14ac:dyDescent="0.3">
      <c r="H49530" t="str">
        <f t="shared" si="823"/>
        <v/>
      </c>
    </row>
    <row r="49531" spans="8:8" x14ac:dyDescent="0.3">
      <c r="H49531" t="str">
        <f t="shared" si="823"/>
        <v/>
      </c>
    </row>
    <row r="49532" spans="8:8" x14ac:dyDescent="0.3">
      <c r="H49532" t="str">
        <f t="shared" si="823"/>
        <v/>
      </c>
    </row>
    <row r="49533" spans="8:8" x14ac:dyDescent="0.3">
      <c r="H49533" t="str">
        <f t="shared" si="823"/>
        <v/>
      </c>
    </row>
    <row r="49534" spans="8:8" x14ac:dyDescent="0.3">
      <c r="H49534" t="str">
        <f t="shared" si="823"/>
        <v/>
      </c>
    </row>
    <row r="49535" spans="8:8" x14ac:dyDescent="0.3">
      <c r="H49535" t="str">
        <f t="shared" si="823"/>
        <v/>
      </c>
    </row>
    <row r="49536" spans="8:8" x14ac:dyDescent="0.3">
      <c r="H49536" t="str">
        <f t="shared" si="823"/>
        <v/>
      </c>
    </row>
    <row r="49537" spans="8:8" x14ac:dyDescent="0.3">
      <c r="H49537" t="str">
        <f t="shared" si="823"/>
        <v/>
      </c>
    </row>
    <row r="49538" spans="8:8" x14ac:dyDescent="0.3">
      <c r="H49538" t="str">
        <f t="shared" si="823"/>
        <v/>
      </c>
    </row>
    <row r="49539" spans="8:8" x14ac:dyDescent="0.3">
      <c r="H49539" t="str">
        <f t="shared" si="823"/>
        <v/>
      </c>
    </row>
    <row r="49540" spans="8:8" x14ac:dyDescent="0.3">
      <c r="H49540" t="str">
        <f t="shared" si="823"/>
        <v/>
      </c>
    </row>
    <row r="49541" spans="8:8" x14ac:dyDescent="0.3">
      <c r="H49541" t="str">
        <f t="shared" si="823"/>
        <v/>
      </c>
    </row>
    <row r="49542" spans="8:8" x14ac:dyDescent="0.3">
      <c r="H49542" t="str">
        <f t="shared" si="823"/>
        <v/>
      </c>
    </row>
    <row r="49543" spans="8:8" x14ac:dyDescent="0.3">
      <c r="H49543" t="str">
        <f t="shared" si="823"/>
        <v/>
      </c>
    </row>
    <row r="49544" spans="8:8" x14ac:dyDescent="0.3">
      <c r="H49544" t="str">
        <f t="shared" si="823"/>
        <v/>
      </c>
    </row>
    <row r="49545" spans="8:8" x14ac:dyDescent="0.3">
      <c r="H49545" t="str">
        <f t="shared" si="823"/>
        <v/>
      </c>
    </row>
    <row r="49546" spans="8:8" x14ac:dyDescent="0.3">
      <c r="H49546" t="str">
        <f t="shared" si="823"/>
        <v/>
      </c>
    </row>
    <row r="49547" spans="8:8" x14ac:dyDescent="0.3">
      <c r="H49547" t="str">
        <f t="shared" si="823"/>
        <v/>
      </c>
    </row>
    <row r="49548" spans="8:8" x14ac:dyDescent="0.3">
      <c r="H49548" t="str">
        <f t="shared" si="823"/>
        <v/>
      </c>
    </row>
    <row r="49549" spans="8:8" x14ac:dyDescent="0.3">
      <c r="H49549" t="str">
        <f t="shared" si="823"/>
        <v/>
      </c>
    </row>
    <row r="49550" spans="8:8" x14ac:dyDescent="0.3">
      <c r="H49550" t="str">
        <f t="shared" si="823"/>
        <v/>
      </c>
    </row>
    <row r="49551" spans="8:8" x14ac:dyDescent="0.3">
      <c r="H49551" t="str">
        <f t="shared" si="823"/>
        <v/>
      </c>
    </row>
    <row r="49552" spans="8:8" x14ac:dyDescent="0.3">
      <c r="H49552" t="str">
        <f t="shared" si="823"/>
        <v/>
      </c>
    </row>
    <row r="49553" spans="8:8" x14ac:dyDescent="0.3">
      <c r="H49553" t="str">
        <f t="shared" si="823"/>
        <v/>
      </c>
    </row>
    <row r="49554" spans="8:8" x14ac:dyDescent="0.3">
      <c r="H49554" t="str">
        <f t="shared" si="823"/>
        <v/>
      </c>
    </row>
    <row r="49555" spans="8:8" x14ac:dyDescent="0.3">
      <c r="H49555" t="str">
        <f t="shared" si="823"/>
        <v/>
      </c>
    </row>
    <row r="49556" spans="8:8" x14ac:dyDescent="0.3">
      <c r="H49556" t="str">
        <f t="shared" si="823"/>
        <v/>
      </c>
    </row>
    <row r="49557" spans="8:8" x14ac:dyDescent="0.3">
      <c r="H49557" t="str">
        <f t="shared" si="823"/>
        <v/>
      </c>
    </row>
    <row r="49558" spans="8:8" x14ac:dyDescent="0.3">
      <c r="H49558" t="str">
        <f t="shared" si="823"/>
        <v/>
      </c>
    </row>
    <row r="49559" spans="8:8" x14ac:dyDescent="0.3">
      <c r="H49559" t="str">
        <f t="shared" ref="H49559:H49622" si="824">IF(B49559="","",$C$12)</f>
        <v/>
      </c>
    </row>
    <row r="49560" spans="8:8" x14ac:dyDescent="0.3">
      <c r="H49560" t="str">
        <f t="shared" si="824"/>
        <v/>
      </c>
    </row>
    <row r="49561" spans="8:8" x14ac:dyDescent="0.3">
      <c r="H49561" t="str">
        <f t="shared" si="824"/>
        <v/>
      </c>
    </row>
    <row r="49562" spans="8:8" x14ac:dyDescent="0.3">
      <c r="H49562" t="str">
        <f t="shared" si="824"/>
        <v/>
      </c>
    </row>
    <row r="49563" spans="8:8" x14ac:dyDescent="0.3">
      <c r="H49563" t="str">
        <f t="shared" si="824"/>
        <v/>
      </c>
    </row>
    <row r="49564" spans="8:8" x14ac:dyDescent="0.3">
      <c r="H49564" t="str">
        <f t="shared" si="824"/>
        <v/>
      </c>
    </row>
    <row r="49565" spans="8:8" x14ac:dyDescent="0.3">
      <c r="H49565" t="str">
        <f t="shared" si="824"/>
        <v/>
      </c>
    </row>
    <row r="49566" spans="8:8" x14ac:dyDescent="0.3">
      <c r="H49566" t="str">
        <f t="shared" si="824"/>
        <v/>
      </c>
    </row>
    <row r="49567" spans="8:8" x14ac:dyDescent="0.3">
      <c r="H49567" t="str">
        <f t="shared" si="824"/>
        <v/>
      </c>
    </row>
    <row r="49568" spans="8:8" x14ac:dyDescent="0.3">
      <c r="H49568" t="str">
        <f t="shared" si="824"/>
        <v/>
      </c>
    </row>
    <row r="49569" spans="8:8" x14ac:dyDescent="0.3">
      <c r="H49569" t="str">
        <f t="shared" si="824"/>
        <v/>
      </c>
    </row>
    <row r="49570" spans="8:8" x14ac:dyDescent="0.3">
      <c r="H49570" t="str">
        <f t="shared" si="824"/>
        <v/>
      </c>
    </row>
    <row r="49571" spans="8:8" x14ac:dyDescent="0.3">
      <c r="H49571" t="str">
        <f t="shared" si="824"/>
        <v/>
      </c>
    </row>
    <row r="49572" spans="8:8" x14ac:dyDescent="0.3">
      <c r="H49572" t="str">
        <f t="shared" si="824"/>
        <v/>
      </c>
    </row>
    <row r="49573" spans="8:8" x14ac:dyDescent="0.3">
      <c r="H49573" t="str">
        <f t="shared" si="824"/>
        <v/>
      </c>
    </row>
    <row r="49574" spans="8:8" x14ac:dyDescent="0.3">
      <c r="H49574" t="str">
        <f t="shared" si="824"/>
        <v/>
      </c>
    </row>
    <row r="49575" spans="8:8" x14ac:dyDescent="0.3">
      <c r="H49575" t="str">
        <f t="shared" si="824"/>
        <v/>
      </c>
    </row>
    <row r="49576" spans="8:8" x14ac:dyDescent="0.3">
      <c r="H49576" t="str">
        <f t="shared" si="824"/>
        <v/>
      </c>
    </row>
    <row r="49577" spans="8:8" x14ac:dyDescent="0.3">
      <c r="H49577" t="str">
        <f t="shared" si="824"/>
        <v/>
      </c>
    </row>
    <row r="49578" spans="8:8" x14ac:dyDescent="0.3">
      <c r="H49578" t="str">
        <f t="shared" si="824"/>
        <v/>
      </c>
    </row>
    <row r="49579" spans="8:8" x14ac:dyDescent="0.3">
      <c r="H49579" t="str">
        <f t="shared" si="824"/>
        <v/>
      </c>
    </row>
    <row r="49580" spans="8:8" x14ac:dyDescent="0.3">
      <c r="H49580" t="str">
        <f t="shared" si="824"/>
        <v/>
      </c>
    </row>
    <row r="49581" spans="8:8" x14ac:dyDescent="0.3">
      <c r="H49581" t="str">
        <f t="shared" si="824"/>
        <v/>
      </c>
    </row>
    <row r="49582" spans="8:8" x14ac:dyDescent="0.3">
      <c r="H49582" t="str">
        <f t="shared" si="824"/>
        <v/>
      </c>
    </row>
    <row r="49583" spans="8:8" x14ac:dyDescent="0.3">
      <c r="H49583" t="str">
        <f t="shared" si="824"/>
        <v/>
      </c>
    </row>
    <row r="49584" spans="8:8" x14ac:dyDescent="0.3">
      <c r="H49584" t="str">
        <f t="shared" si="824"/>
        <v/>
      </c>
    </row>
    <row r="49585" spans="8:8" x14ac:dyDescent="0.3">
      <c r="H49585" t="str">
        <f t="shared" si="824"/>
        <v/>
      </c>
    </row>
    <row r="49586" spans="8:8" x14ac:dyDescent="0.3">
      <c r="H49586" t="str">
        <f t="shared" si="824"/>
        <v/>
      </c>
    </row>
    <row r="49587" spans="8:8" x14ac:dyDescent="0.3">
      <c r="H49587" t="str">
        <f t="shared" si="824"/>
        <v/>
      </c>
    </row>
    <row r="49588" spans="8:8" x14ac:dyDescent="0.3">
      <c r="H49588" t="str">
        <f t="shared" si="824"/>
        <v/>
      </c>
    </row>
    <row r="49589" spans="8:8" x14ac:dyDescent="0.3">
      <c r="H49589" t="str">
        <f t="shared" si="824"/>
        <v/>
      </c>
    </row>
    <row r="49590" spans="8:8" x14ac:dyDescent="0.3">
      <c r="H49590" t="str">
        <f t="shared" si="824"/>
        <v/>
      </c>
    </row>
    <row r="49591" spans="8:8" x14ac:dyDescent="0.3">
      <c r="H49591" t="str">
        <f t="shared" si="824"/>
        <v/>
      </c>
    </row>
    <row r="49592" spans="8:8" x14ac:dyDescent="0.3">
      <c r="H49592" t="str">
        <f t="shared" si="824"/>
        <v/>
      </c>
    </row>
    <row r="49593" spans="8:8" x14ac:dyDescent="0.3">
      <c r="H49593" t="str">
        <f t="shared" si="824"/>
        <v/>
      </c>
    </row>
    <row r="49594" spans="8:8" x14ac:dyDescent="0.3">
      <c r="H49594" t="str">
        <f t="shared" si="824"/>
        <v/>
      </c>
    </row>
    <row r="49595" spans="8:8" x14ac:dyDescent="0.3">
      <c r="H49595" t="str">
        <f t="shared" si="824"/>
        <v/>
      </c>
    </row>
    <row r="49596" spans="8:8" x14ac:dyDescent="0.3">
      <c r="H49596" t="str">
        <f t="shared" si="824"/>
        <v/>
      </c>
    </row>
    <row r="49597" spans="8:8" x14ac:dyDescent="0.3">
      <c r="H49597" t="str">
        <f t="shared" si="824"/>
        <v/>
      </c>
    </row>
    <row r="49598" spans="8:8" x14ac:dyDescent="0.3">
      <c r="H49598" t="str">
        <f t="shared" si="824"/>
        <v/>
      </c>
    </row>
    <row r="49599" spans="8:8" x14ac:dyDescent="0.3">
      <c r="H49599" t="str">
        <f t="shared" si="824"/>
        <v/>
      </c>
    </row>
    <row r="49600" spans="8:8" x14ac:dyDescent="0.3">
      <c r="H49600" t="str">
        <f t="shared" si="824"/>
        <v/>
      </c>
    </row>
    <row r="49601" spans="8:8" x14ac:dyDescent="0.3">
      <c r="H49601" t="str">
        <f t="shared" si="824"/>
        <v/>
      </c>
    </row>
    <row r="49602" spans="8:8" x14ac:dyDescent="0.3">
      <c r="H49602" t="str">
        <f t="shared" si="824"/>
        <v/>
      </c>
    </row>
    <row r="49603" spans="8:8" x14ac:dyDescent="0.3">
      <c r="H49603" t="str">
        <f t="shared" si="824"/>
        <v/>
      </c>
    </row>
    <row r="49604" spans="8:8" x14ac:dyDescent="0.3">
      <c r="H49604" t="str">
        <f t="shared" si="824"/>
        <v/>
      </c>
    </row>
    <row r="49605" spans="8:8" x14ac:dyDescent="0.3">
      <c r="H49605" t="str">
        <f t="shared" si="824"/>
        <v/>
      </c>
    </row>
    <row r="49606" spans="8:8" x14ac:dyDescent="0.3">
      <c r="H49606" t="str">
        <f t="shared" si="824"/>
        <v/>
      </c>
    </row>
    <row r="49607" spans="8:8" x14ac:dyDescent="0.3">
      <c r="H49607" t="str">
        <f t="shared" si="824"/>
        <v/>
      </c>
    </row>
    <row r="49608" spans="8:8" x14ac:dyDescent="0.3">
      <c r="H49608" t="str">
        <f t="shared" si="824"/>
        <v/>
      </c>
    </row>
    <row r="49609" spans="8:8" x14ac:dyDescent="0.3">
      <c r="H49609" t="str">
        <f t="shared" si="824"/>
        <v/>
      </c>
    </row>
    <row r="49610" spans="8:8" x14ac:dyDescent="0.3">
      <c r="H49610" t="str">
        <f t="shared" si="824"/>
        <v/>
      </c>
    </row>
    <row r="49611" spans="8:8" x14ac:dyDescent="0.3">
      <c r="H49611" t="str">
        <f t="shared" si="824"/>
        <v/>
      </c>
    </row>
    <row r="49612" spans="8:8" x14ac:dyDescent="0.3">
      <c r="H49612" t="str">
        <f t="shared" si="824"/>
        <v/>
      </c>
    </row>
    <row r="49613" spans="8:8" x14ac:dyDescent="0.3">
      <c r="H49613" t="str">
        <f t="shared" si="824"/>
        <v/>
      </c>
    </row>
    <row r="49614" spans="8:8" x14ac:dyDescent="0.3">
      <c r="H49614" t="str">
        <f t="shared" si="824"/>
        <v/>
      </c>
    </row>
    <row r="49615" spans="8:8" x14ac:dyDescent="0.3">
      <c r="H49615" t="str">
        <f t="shared" si="824"/>
        <v/>
      </c>
    </row>
    <row r="49616" spans="8:8" x14ac:dyDescent="0.3">
      <c r="H49616" t="str">
        <f t="shared" si="824"/>
        <v/>
      </c>
    </row>
    <row r="49617" spans="8:8" x14ac:dyDescent="0.3">
      <c r="H49617" t="str">
        <f t="shared" si="824"/>
        <v/>
      </c>
    </row>
    <row r="49618" spans="8:8" x14ac:dyDescent="0.3">
      <c r="H49618" t="str">
        <f t="shared" si="824"/>
        <v/>
      </c>
    </row>
    <row r="49619" spans="8:8" x14ac:dyDescent="0.3">
      <c r="H49619" t="str">
        <f t="shared" si="824"/>
        <v/>
      </c>
    </row>
    <row r="49620" spans="8:8" x14ac:dyDescent="0.3">
      <c r="H49620" t="str">
        <f t="shared" si="824"/>
        <v/>
      </c>
    </row>
    <row r="49621" spans="8:8" x14ac:dyDescent="0.3">
      <c r="H49621" t="str">
        <f t="shared" si="824"/>
        <v/>
      </c>
    </row>
    <row r="49622" spans="8:8" x14ac:dyDescent="0.3">
      <c r="H49622" t="str">
        <f t="shared" si="824"/>
        <v/>
      </c>
    </row>
    <row r="49623" spans="8:8" x14ac:dyDescent="0.3">
      <c r="H49623" t="str">
        <f t="shared" ref="H49623:H49686" si="825">IF(B49623="","",$C$12)</f>
        <v/>
      </c>
    </row>
    <row r="49624" spans="8:8" x14ac:dyDescent="0.3">
      <c r="H49624" t="str">
        <f t="shared" si="825"/>
        <v/>
      </c>
    </row>
    <row r="49625" spans="8:8" x14ac:dyDescent="0.3">
      <c r="H49625" t="str">
        <f t="shared" si="825"/>
        <v/>
      </c>
    </row>
    <row r="49626" spans="8:8" x14ac:dyDescent="0.3">
      <c r="H49626" t="str">
        <f t="shared" si="825"/>
        <v/>
      </c>
    </row>
    <row r="49627" spans="8:8" x14ac:dyDescent="0.3">
      <c r="H49627" t="str">
        <f t="shared" si="825"/>
        <v/>
      </c>
    </row>
    <row r="49628" spans="8:8" x14ac:dyDescent="0.3">
      <c r="H49628" t="str">
        <f t="shared" si="825"/>
        <v/>
      </c>
    </row>
    <row r="49629" spans="8:8" x14ac:dyDescent="0.3">
      <c r="H49629" t="str">
        <f t="shared" si="825"/>
        <v/>
      </c>
    </row>
    <row r="49630" spans="8:8" x14ac:dyDescent="0.3">
      <c r="H49630" t="str">
        <f t="shared" si="825"/>
        <v/>
      </c>
    </row>
    <row r="49631" spans="8:8" x14ac:dyDescent="0.3">
      <c r="H49631" t="str">
        <f t="shared" si="825"/>
        <v/>
      </c>
    </row>
    <row r="49632" spans="8:8" x14ac:dyDescent="0.3">
      <c r="H49632" t="str">
        <f t="shared" si="825"/>
        <v/>
      </c>
    </row>
    <row r="49633" spans="8:8" x14ac:dyDescent="0.3">
      <c r="H49633" t="str">
        <f t="shared" si="825"/>
        <v/>
      </c>
    </row>
    <row r="49634" spans="8:8" x14ac:dyDescent="0.3">
      <c r="H49634" t="str">
        <f t="shared" si="825"/>
        <v/>
      </c>
    </row>
    <row r="49635" spans="8:8" x14ac:dyDescent="0.3">
      <c r="H49635" t="str">
        <f t="shared" si="825"/>
        <v/>
      </c>
    </row>
    <row r="49636" spans="8:8" x14ac:dyDescent="0.3">
      <c r="H49636" t="str">
        <f t="shared" si="825"/>
        <v/>
      </c>
    </row>
    <row r="49637" spans="8:8" x14ac:dyDescent="0.3">
      <c r="H49637" t="str">
        <f t="shared" si="825"/>
        <v/>
      </c>
    </row>
    <row r="49638" spans="8:8" x14ac:dyDescent="0.3">
      <c r="H49638" t="str">
        <f t="shared" si="825"/>
        <v/>
      </c>
    </row>
    <row r="49639" spans="8:8" x14ac:dyDescent="0.3">
      <c r="H49639" t="str">
        <f t="shared" si="825"/>
        <v/>
      </c>
    </row>
    <row r="49640" spans="8:8" x14ac:dyDescent="0.3">
      <c r="H49640" t="str">
        <f t="shared" si="825"/>
        <v/>
      </c>
    </row>
    <row r="49641" spans="8:8" x14ac:dyDescent="0.3">
      <c r="H49641" t="str">
        <f t="shared" si="825"/>
        <v/>
      </c>
    </row>
    <row r="49642" spans="8:8" x14ac:dyDescent="0.3">
      <c r="H49642" t="str">
        <f t="shared" si="825"/>
        <v/>
      </c>
    </row>
    <row r="49643" spans="8:8" x14ac:dyDescent="0.3">
      <c r="H49643" t="str">
        <f t="shared" si="825"/>
        <v/>
      </c>
    </row>
    <row r="49644" spans="8:8" x14ac:dyDescent="0.3">
      <c r="H49644" t="str">
        <f t="shared" si="825"/>
        <v/>
      </c>
    </row>
    <row r="49645" spans="8:8" x14ac:dyDescent="0.3">
      <c r="H49645" t="str">
        <f t="shared" si="825"/>
        <v/>
      </c>
    </row>
    <row r="49646" spans="8:8" x14ac:dyDescent="0.3">
      <c r="H49646" t="str">
        <f t="shared" si="825"/>
        <v/>
      </c>
    </row>
    <row r="49647" spans="8:8" x14ac:dyDescent="0.3">
      <c r="H49647" t="str">
        <f t="shared" si="825"/>
        <v/>
      </c>
    </row>
    <row r="49648" spans="8:8" x14ac:dyDescent="0.3">
      <c r="H49648" t="str">
        <f t="shared" si="825"/>
        <v/>
      </c>
    </row>
    <row r="49649" spans="8:8" x14ac:dyDescent="0.3">
      <c r="H49649" t="str">
        <f t="shared" si="825"/>
        <v/>
      </c>
    </row>
    <row r="49650" spans="8:8" x14ac:dyDescent="0.3">
      <c r="H49650" t="str">
        <f t="shared" si="825"/>
        <v/>
      </c>
    </row>
    <row r="49651" spans="8:8" x14ac:dyDescent="0.3">
      <c r="H49651" t="str">
        <f t="shared" si="825"/>
        <v/>
      </c>
    </row>
    <row r="49652" spans="8:8" x14ac:dyDescent="0.3">
      <c r="H49652" t="str">
        <f t="shared" si="825"/>
        <v/>
      </c>
    </row>
    <row r="49653" spans="8:8" x14ac:dyDescent="0.3">
      <c r="H49653" t="str">
        <f t="shared" si="825"/>
        <v/>
      </c>
    </row>
    <row r="49654" spans="8:8" x14ac:dyDescent="0.3">
      <c r="H49654" t="str">
        <f t="shared" si="825"/>
        <v/>
      </c>
    </row>
    <row r="49655" spans="8:8" x14ac:dyDescent="0.3">
      <c r="H49655" t="str">
        <f t="shared" si="825"/>
        <v/>
      </c>
    </row>
    <row r="49656" spans="8:8" x14ac:dyDescent="0.3">
      <c r="H49656" t="str">
        <f t="shared" si="825"/>
        <v/>
      </c>
    </row>
    <row r="49657" spans="8:8" x14ac:dyDescent="0.3">
      <c r="H49657" t="str">
        <f t="shared" si="825"/>
        <v/>
      </c>
    </row>
    <row r="49658" spans="8:8" x14ac:dyDescent="0.3">
      <c r="H49658" t="str">
        <f t="shared" si="825"/>
        <v/>
      </c>
    </row>
    <row r="49659" spans="8:8" x14ac:dyDescent="0.3">
      <c r="H49659" t="str">
        <f t="shared" si="825"/>
        <v/>
      </c>
    </row>
    <row r="49660" spans="8:8" x14ac:dyDescent="0.3">
      <c r="H49660" t="str">
        <f t="shared" si="825"/>
        <v/>
      </c>
    </row>
    <row r="49661" spans="8:8" x14ac:dyDescent="0.3">
      <c r="H49661" t="str">
        <f t="shared" si="825"/>
        <v/>
      </c>
    </row>
    <row r="49662" spans="8:8" x14ac:dyDescent="0.3">
      <c r="H49662" t="str">
        <f t="shared" si="825"/>
        <v/>
      </c>
    </row>
    <row r="49663" spans="8:8" x14ac:dyDescent="0.3">
      <c r="H49663" t="str">
        <f t="shared" si="825"/>
        <v/>
      </c>
    </row>
    <row r="49664" spans="8:8" x14ac:dyDescent="0.3">
      <c r="H49664" t="str">
        <f t="shared" si="825"/>
        <v/>
      </c>
    </row>
    <row r="49665" spans="8:8" x14ac:dyDescent="0.3">
      <c r="H49665" t="str">
        <f t="shared" si="825"/>
        <v/>
      </c>
    </row>
    <row r="49666" spans="8:8" x14ac:dyDescent="0.3">
      <c r="H49666" t="str">
        <f t="shared" si="825"/>
        <v/>
      </c>
    </row>
    <row r="49667" spans="8:8" x14ac:dyDescent="0.3">
      <c r="H49667" t="str">
        <f t="shared" si="825"/>
        <v/>
      </c>
    </row>
    <row r="49668" spans="8:8" x14ac:dyDescent="0.3">
      <c r="H49668" t="str">
        <f t="shared" si="825"/>
        <v/>
      </c>
    </row>
    <row r="49669" spans="8:8" x14ac:dyDescent="0.3">
      <c r="H49669" t="str">
        <f t="shared" si="825"/>
        <v/>
      </c>
    </row>
    <row r="49670" spans="8:8" x14ac:dyDescent="0.3">
      <c r="H49670" t="str">
        <f t="shared" si="825"/>
        <v/>
      </c>
    </row>
    <row r="49671" spans="8:8" x14ac:dyDescent="0.3">
      <c r="H49671" t="str">
        <f t="shared" si="825"/>
        <v/>
      </c>
    </row>
    <row r="49672" spans="8:8" x14ac:dyDescent="0.3">
      <c r="H49672" t="str">
        <f t="shared" si="825"/>
        <v/>
      </c>
    </row>
    <row r="49673" spans="8:8" x14ac:dyDescent="0.3">
      <c r="H49673" t="str">
        <f t="shared" si="825"/>
        <v/>
      </c>
    </row>
    <row r="49674" spans="8:8" x14ac:dyDescent="0.3">
      <c r="H49674" t="str">
        <f t="shared" si="825"/>
        <v/>
      </c>
    </row>
    <row r="49675" spans="8:8" x14ac:dyDescent="0.3">
      <c r="H49675" t="str">
        <f t="shared" si="825"/>
        <v/>
      </c>
    </row>
    <row r="49676" spans="8:8" x14ac:dyDescent="0.3">
      <c r="H49676" t="str">
        <f t="shared" si="825"/>
        <v/>
      </c>
    </row>
    <row r="49677" spans="8:8" x14ac:dyDescent="0.3">
      <c r="H49677" t="str">
        <f t="shared" si="825"/>
        <v/>
      </c>
    </row>
    <row r="49678" spans="8:8" x14ac:dyDescent="0.3">
      <c r="H49678" t="str">
        <f t="shared" si="825"/>
        <v/>
      </c>
    </row>
    <row r="49679" spans="8:8" x14ac:dyDescent="0.3">
      <c r="H49679" t="str">
        <f t="shared" si="825"/>
        <v/>
      </c>
    </row>
    <row r="49680" spans="8:8" x14ac:dyDescent="0.3">
      <c r="H49680" t="str">
        <f t="shared" si="825"/>
        <v/>
      </c>
    </row>
    <row r="49681" spans="8:8" x14ac:dyDescent="0.3">
      <c r="H49681" t="str">
        <f t="shared" si="825"/>
        <v/>
      </c>
    </row>
    <row r="49682" spans="8:8" x14ac:dyDescent="0.3">
      <c r="H49682" t="str">
        <f t="shared" si="825"/>
        <v/>
      </c>
    </row>
    <row r="49683" spans="8:8" x14ac:dyDescent="0.3">
      <c r="H49683" t="str">
        <f t="shared" si="825"/>
        <v/>
      </c>
    </row>
    <row r="49684" spans="8:8" x14ac:dyDescent="0.3">
      <c r="H49684" t="str">
        <f t="shared" si="825"/>
        <v/>
      </c>
    </row>
    <row r="49685" spans="8:8" x14ac:dyDescent="0.3">
      <c r="H49685" t="str">
        <f t="shared" si="825"/>
        <v/>
      </c>
    </row>
    <row r="49686" spans="8:8" x14ac:dyDescent="0.3">
      <c r="H49686" t="str">
        <f t="shared" si="825"/>
        <v/>
      </c>
    </row>
    <row r="49687" spans="8:8" x14ac:dyDescent="0.3">
      <c r="H49687" t="str">
        <f t="shared" ref="H49687:H49750" si="826">IF(B49687="","",$C$12)</f>
        <v/>
      </c>
    </row>
    <row r="49688" spans="8:8" x14ac:dyDescent="0.3">
      <c r="H49688" t="str">
        <f t="shared" si="826"/>
        <v/>
      </c>
    </row>
    <row r="49689" spans="8:8" x14ac:dyDescent="0.3">
      <c r="H49689" t="str">
        <f t="shared" si="826"/>
        <v/>
      </c>
    </row>
    <row r="49690" spans="8:8" x14ac:dyDescent="0.3">
      <c r="H49690" t="str">
        <f t="shared" si="826"/>
        <v/>
      </c>
    </row>
    <row r="49691" spans="8:8" x14ac:dyDescent="0.3">
      <c r="H49691" t="str">
        <f t="shared" si="826"/>
        <v/>
      </c>
    </row>
    <row r="49692" spans="8:8" x14ac:dyDescent="0.3">
      <c r="H49692" t="str">
        <f t="shared" si="826"/>
        <v/>
      </c>
    </row>
    <row r="49693" spans="8:8" x14ac:dyDescent="0.3">
      <c r="H49693" t="str">
        <f t="shared" si="826"/>
        <v/>
      </c>
    </row>
    <row r="49694" spans="8:8" x14ac:dyDescent="0.3">
      <c r="H49694" t="str">
        <f t="shared" si="826"/>
        <v/>
      </c>
    </row>
    <row r="49695" spans="8:8" x14ac:dyDescent="0.3">
      <c r="H49695" t="str">
        <f t="shared" si="826"/>
        <v/>
      </c>
    </row>
    <row r="49696" spans="8:8" x14ac:dyDescent="0.3">
      <c r="H49696" t="str">
        <f t="shared" si="826"/>
        <v/>
      </c>
    </row>
    <row r="49697" spans="8:8" x14ac:dyDescent="0.3">
      <c r="H49697" t="str">
        <f t="shared" si="826"/>
        <v/>
      </c>
    </row>
    <row r="49698" spans="8:8" x14ac:dyDescent="0.3">
      <c r="H49698" t="str">
        <f t="shared" si="826"/>
        <v/>
      </c>
    </row>
    <row r="49699" spans="8:8" x14ac:dyDescent="0.3">
      <c r="H49699" t="str">
        <f t="shared" si="826"/>
        <v/>
      </c>
    </row>
    <row r="49700" spans="8:8" x14ac:dyDescent="0.3">
      <c r="H49700" t="str">
        <f t="shared" si="826"/>
        <v/>
      </c>
    </row>
    <row r="49701" spans="8:8" x14ac:dyDescent="0.3">
      <c r="H49701" t="str">
        <f t="shared" si="826"/>
        <v/>
      </c>
    </row>
    <row r="49702" spans="8:8" x14ac:dyDescent="0.3">
      <c r="H49702" t="str">
        <f t="shared" si="826"/>
        <v/>
      </c>
    </row>
    <row r="49703" spans="8:8" x14ac:dyDescent="0.3">
      <c r="H49703" t="str">
        <f t="shared" si="826"/>
        <v/>
      </c>
    </row>
    <row r="49704" spans="8:8" x14ac:dyDescent="0.3">
      <c r="H49704" t="str">
        <f t="shared" si="826"/>
        <v/>
      </c>
    </row>
    <row r="49705" spans="8:8" x14ac:dyDescent="0.3">
      <c r="H49705" t="str">
        <f t="shared" si="826"/>
        <v/>
      </c>
    </row>
    <row r="49706" spans="8:8" x14ac:dyDescent="0.3">
      <c r="H49706" t="str">
        <f t="shared" si="826"/>
        <v/>
      </c>
    </row>
    <row r="49707" spans="8:8" x14ac:dyDescent="0.3">
      <c r="H49707" t="str">
        <f t="shared" si="826"/>
        <v/>
      </c>
    </row>
    <row r="49708" spans="8:8" x14ac:dyDescent="0.3">
      <c r="H49708" t="str">
        <f t="shared" si="826"/>
        <v/>
      </c>
    </row>
    <row r="49709" spans="8:8" x14ac:dyDescent="0.3">
      <c r="H49709" t="str">
        <f t="shared" si="826"/>
        <v/>
      </c>
    </row>
    <row r="49710" spans="8:8" x14ac:dyDescent="0.3">
      <c r="H49710" t="str">
        <f t="shared" si="826"/>
        <v/>
      </c>
    </row>
    <row r="49711" spans="8:8" x14ac:dyDescent="0.3">
      <c r="H49711" t="str">
        <f t="shared" si="826"/>
        <v/>
      </c>
    </row>
    <row r="49712" spans="8:8" x14ac:dyDescent="0.3">
      <c r="H49712" t="str">
        <f t="shared" si="826"/>
        <v/>
      </c>
    </row>
    <row r="49713" spans="8:8" x14ac:dyDescent="0.3">
      <c r="H49713" t="str">
        <f t="shared" si="826"/>
        <v/>
      </c>
    </row>
    <row r="49714" spans="8:8" x14ac:dyDescent="0.3">
      <c r="H49714" t="str">
        <f t="shared" si="826"/>
        <v/>
      </c>
    </row>
    <row r="49715" spans="8:8" x14ac:dyDescent="0.3">
      <c r="H49715" t="str">
        <f t="shared" si="826"/>
        <v/>
      </c>
    </row>
    <row r="49716" spans="8:8" x14ac:dyDescent="0.3">
      <c r="H49716" t="str">
        <f t="shared" si="826"/>
        <v/>
      </c>
    </row>
    <row r="49717" spans="8:8" x14ac:dyDescent="0.3">
      <c r="H49717" t="str">
        <f t="shared" si="826"/>
        <v/>
      </c>
    </row>
    <row r="49718" spans="8:8" x14ac:dyDescent="0.3">
      <c r="H49718" t="str">
        <f t="shared" si="826"/>
        <v/>
      </c>
    </row>
    <row r="49719" spans="8:8" x14ac:dyDescent="0.3">
      <c r="H49719" t="str">
        <f t="shared" si="826"/>
        <v/>
      </c>
    </row>
    <row r="49720" spans="8:8" x14ac:dyDescent="0.3">
      <c r="H49720" t="str">
        <f t="shared" si="826"/>
        <v/>
      </c>
    </row>
    <row r="49721" spans="8:8" x14ac:dyDescent="0.3">
      <c r="H49721" t="str">
        <f t="shared" si="826"/>
        <v/>
      </c>
    </row>
    <row r="49722" spans="8:8" x14ac:dyDescent="0.3">
      <c r="H49722" t="str">
        <f t="shared" si="826"/>
        <v/>
      </c>
    </row>
    <row r="49723" spans="8:8" x14ac:dyDescent="0.3">
      <c r="H49723" t="str">
        <f t="shared" si="826"/>
        <v/>
      </c>
    </row>
    <row r="49724" spans="8:8" x14ac:dyDescent="0.3">
      <c r="H49724" t="str">
        <f t="shared" si="826"/>
        <v/>
      </c>
    </row>
    <row r="49725" spans="8:8" x14ac:dyDescent="0.3">
      <c r="H49725" t="str">
        <f t="shared" si="826"/>
        <v/>
      </c>
    </row>
    <row r="49726" spans="8:8" x14ac:dyDescent="0.3">
      <c r="H49726" t="str">
        <f t="shared" si="826"/>
        <v/>
      </c>
    </row>
    <row r="49727" spans="8:8" x14ac:dyDescent="0.3">
      <c r="H49727" t="str">
        <f t="shared" si="826"/>
        <v/>
      </c>
    </row>
    <row r="49728" spans="8:8" x14ac:dyDescent="0.3">
      <c r="H49728" t="str">
        <f t="shared" si="826"/>
        <v/>
      </c>
    </row>
    <row r="49729" spans="8:8" x14ac:dyDescent="0.3">
      <c r="H49729" t="str">
        <f t="shared" si="826"/>
        <v/>
      </c>
    </row>
    <row r="49730" spans="8:8" x14ac:dyDescent="0.3">
      <c r="H49730" t="str">
        <f t="shared" si="826"/>
        <v/>
      </c>
    </row>
    <row r="49731" spans="8:8" x14ac:dyDescent="0.3">
      <c r="H49731" t="str">
        <f t="shared" si="826"/>
        <v/>
      </c>
    </row>
    <row r="49732" spans="8:8" x14ac:dyDescent="0.3">
      <c r="H49732" t="str">
        <f t="shared" si="826"/>
        <v/>
      </c>
    </row>
    <row r="49733" spans="8:8" x14ac:dyDescent="0.3">
      <c r="H49733" t="str">
        <f t="shared" si="826"/>
        <v/>
      </c>
    </row>
    <row r="49734" spans="8:8" x14ac:dyDescent="0.3">
      <c r="H49734" t="str">
        <f t="shared" si="826"/>
        <v/>
      </c>
    </row>
    <row r="49735" spans="8:8" x14ac:dyDescent="0.3">
      <c r="H49735" t="str">
        <f t="shared" si="826"/>
        <v/>
      </c>
    </row>
    <row r="49736" spans="8:8" x14ac:dyDescent="0.3">
      <c r="H49736" t="str">
        <f t="shared" si="826"/>
        <v/>
      </c>
    </row>
    <row r="49737" spans="8:8" x14ac:dyDescent="0.3">
      <c r="H49737" t="str">
        <f t="shared" si="826"/>
        <v/>
      </c>
    </row>
    <row r="49738" spans="8:8" x14ac:dyDescent="0.3">
      <c r="H49738" t="str">
        <f t="shared" si="826"/>
        <v/>
      </c>
    </row>
    <row r="49739" spans="8:8" x14ac:dyDescent="0.3">
      <c r="H49739" t="str">
        <f t="shared" si="826"/>
        <v/>
      </c>
    </row>
    <row r="49740" spans="8:8" x14ac:dyDescent="0.3">
      <c r="H49740" t="str">
        <f t="shared" si="826"/>
        <v/>
      </c>
    </row>
    <row r="49741" spans="8:8" x14ac:dyDescent="0.3">
      <c r="H49741" t="str">
        <f t="shared" si="826"/>
        <v/>
      </c>
    </row>
    <row r="49742" spans="8:8" x14ac:dyDescent="0.3">
      <c r="H49742" t="str">
        <f t="shared" si="826"/>
        <v/>
      </c>
    </row>
    <row r="49743" spans="8:8" x14ac:dyDescent="0.3">
      <c r="H49743" t="str">
        <f t="shared" si="826"/>
        <v/>
      </c>
    </row>
    <row r="49744" spans="8:8" x14ac:dyDescent="0.3">
      <c r="H49744" t="str">
        <f t="shared" si="826"/>
        <v/>
      </c>
    </row>
    <row r="49745" spans="8:8" x14ac:dyDescent="0.3">
      <c r="H49745" t="str">
        <f t="shared" si="826"/>
        <v/>
      </c>
    </row>
    <row r="49746" spans="8:8" x14ac:dyDescent="0.3">
      <c r="H49746" t="str">
        <f t="shared" si="826"/>
        <v/>
      </c>
    </row>
    <row r="49747" spans="8:8" x14ac:dyDescent="0.3">
      <c r="H49747" t="str">
        <f t="shared" si="826"/>
        <v/>
      </c>
    </row>
    <row r="49748" spans="8:8" x14ac:dyDescent="0.3">
      <c r="H49748" t="str">
        <f t="shared" si="826"/>
        <v/>
      </c>
    </row>
    <row r="49749" spans="8:8" x14ac:dyDescent="0.3">
      <c r="H49749" t="str">
        <f t="shared" si="826"/>
        <v/>
      </c>
    </row>
    <row r="49750" spans="8:8" x14ac:dyDescent="0.3">
      <c r="H49750" t="str">
        <f t="shared" si="826"/>
        <v/>
      </c>
    </row>
    <row r="49751" spans="8:8" x14ac:dyDescent="0.3">
      <c r="H49751" t="str">
        <f t="shared" ref="H49751:H49814" si="827">IF(B49751="","",$C$12)</f>
        <v/>
      </c>
    </row>
    <row r="49752" spans="8:8" x14ac:dyDescent="0.3">
      <c r="H49752" t="str">
        <f t="shared" si="827"/>
        <v/>
      </c>
    </row>
    <row r="49753" spans="8:8" x14ac:dyDescent="0.3">
      <c r="H49753" t="str">
        <f t="shared" si="827"/>
        <v/>
      </c>
    </row>
    <row r="49754" spans="8:8" x14ac:dyDescent="0.3">
      <c r="H49754" t="str">
        <f t="shared" si="827"/>
        <v/>
      </c>
    </row>
    <row r="49755" spans="8:8" x14ac:dyDescent="0.3">
      <c r="H49755" t="str">
        <f t="shared" si="827"/>
        <v/>
      </c>
    </row>
    <row r="49756" spans="8:8" x14ac:dyDescent="0.3">
      <c r="H49756" t="str">
        <f t="shared" si="827"/>
        <v/>
      </c>
    </row>
    <row r="49757" spans="8:8" x14ac:dyDescent="0.3">
      <c r="H49757" t="str">
        <f t="shared" si="827"/>
        <v/>
      </c>
    </row>
    <row r="49758" spans="8:8" x14ac:dyDescent="0.3">
      <c r="H49758" t="str">
        <f t="shared" si="827"/>
        <v/>
      </c>
    </row>
    <row r="49759" spans="8:8" x14ac:dyDescent="0.3">
      <c r="H49759" t="str">
        <f t="shared" si="827"/>
        <v/>
      </c>
    </row>
    <row r="49760" spans="8:8" x14ac:dyDescent="0.3">
      <c r="H49760" t="str">
        <f t="shared" si="827"/>
        <v/>
      </c>
    </row>
    <row r="49761" spans="8:8" x14ac:dyDescent="0.3">
      <c r="H49761" t="str">
        <f t="shared" si="827"/>
        <v/>
      </c>
    </row>
    <row r="49762" spans="8:8" x14ac:dyDescent="0.3">
      <c r="H49762" t="str">
        <f t="shared" si="827"/>
        <v/>
      </c>
    </row>
    <row r="49763" spans="8:8" x14ac:dyDescent="0.3">
      <c r="H49763" t="str">
        <f t="shared" si="827"/>
        <v/>
      </c>
    </row>
    <row r="49764" spans="8:8" x14ac:dyDescent="0.3">
      <c r="H49764" t="str">
        <f t="shared" si="827"/>
        <v/>
      </c>
    </row>
    <row r="49765" spans="8:8" x14ac:dyDescent="0.3">
      <c r="H49765" t="str">
        <f t="shared" si="827"/>
        <v/>
      </c>
    </row>
    <row r="49766" spans="8:8" x14ac:dyDescent="0.3">
      <c r="H49766" t="str">
        <f t="shared" si="827"/>
        <v/>
      </c>
    </row>
    <row r="49767" spans="8:8" x14ac:dyDescent="0.3">
      <c r="H49767" t="str">
        <f t="shared" si="827"/>
        <v/>
      </c>
    </row>
    <row r="49768" spans="8:8" x14ac:dyDescent="0.3">
      <c r="H49768" t="str">
        <f t="shared" si="827"/>
        <v/>
      </c>
    </row>
    <row r="49769" spans="8:8" x14ac:dyDescent="0.3">
      <c r="H49769" t="str">
        <f t="shared" si="827"/>
        <v/>
      </c>
    </row>
    <row r="49770" spans="8:8" x14ac:dyDescent="0.3">
      <c r="H49770" t="str">
        <f t="shared" si="827"/>
        <v/>
      </c>
    </row>
    <row r="49771" spans="8:8" x14ac:dyDescent="0.3">
      <c r="H49771" t="str">
        <f t="shared" si="827"/>
        <v/>
      </c>
    </row>
    <row r="49772" spans="8:8" x14ac:dyDescent="0.3">
      <c r="H49772" t="str">
        <f t="shared" si="827"/>
        <v/>
      </c>
    </row>
    <row r="49773" spans="8:8" x14ac:dyDescent="0.3">
      <c r="H49773" t="str">
        <f t="shared" si="827"/>
        <v/>
      </c>
    </row>
    <row r="49774" spans="8:8" x14ac:dyDescent="0.3">
      <c r="H49774" t="str">
        <f t="shared" si="827"/>
        <v/>
      </c>
    </row>
    <row r="49775" spans="8:8" x14ac:dyDescent="0.3">
      <c r="H49775" t="str">
        <f t="shared" si="827"/>
        <v/>
      </c>
    </row>
    <row r="49776" spans="8:8" x14ac:dyDescent="0.3">
      <c r="H49776" t="str">
        <f t="shared" si="827"/>
        <v/>
      </c>
    </row>
    <row r="49777" spans="8:8" x14ac:dyDescent="0.3">
      <c r="H49777" t="str">
        <f t="shared" si="827"/>
        <v/>
      </c>
    </row>
    <row r="49778" spans="8:8" x14ac:dyDescent="0.3">
      <c r="H49778" t="str">
        <f t="shared" si="827"/>
        <v/>
      </c>
    </row>
    <row r="49779" spans="8:8" x14ac:dyDescent="0.3">
      <c r="H49779" t="str">
        <f t="shared" si="827"/>
        <v/>
      </c>
    </row>
    <row r="49780" spans="8:8" x14ac:dyDescent="0.3">
      <c r="H49780" t="str">
        <f t="shared" si="827"/>
        <v/>
      </c>
    </row>
    <row r="49781" spans="8:8" x14ac:dyDescent="0.3">
      <c r="H49781" t="str">
        <f t="shared" si="827"/>
        <v/>
      </c>
    </row>
    <row r="49782" spans="8:8" x14ac:dyDescent="0.3">
      <c r="H49782" t="str">
        <f t="shared" si="827"/>
        <v/>
      </c>
    </row>
    <row r="49783" spans="8:8" x14ac:dyDescent="0.3">
      <c r="H49783" t="str">
        <f t="shared" si="827"/>
        <v/>
      </c>
    </row>
    <row r="49784" spans="8:8" x14ac:dyDescent="0.3">
      <c r="H49784" t="str">
        <f t="shared" si="827"/>
        <v/>
      </c>
    </row>
    <row r="49785" spans="8:8" x14ac:dyDescent="0.3">
      <c r="H49785" t="str">
        <f t="shared" si="827"/>
        <v/>
      </c>
    </row>
    <row r="49786" spans="8:8" x14ac:dyDescent="0.3">
      <c r="H49786" t="str">
        <f t="shared" si="827"/>
        <v/>
      </c>
    </row>
    <row r="49787" spans="8:8" x14ac:dyDescent="0.3">
      <c r="H49787" t="str">
        <f t="shared" si="827"/>
        <v/>
      </c>
    </row>
    <row r="49788" spans="8:8" x14ac:dyDescent="0.3">
      <c r="H49788" t="str">
        <f t="shared" si="827"/>
        <v/>
      </c>
    </row>
    <row r="49789" spans="8:8" x14ac:dyDescent="0.3">
      <c r="H49789" t="str">
        <f t="shared" si="827"/>
        <v/>
      </c>
    </row>
    <row r="49790" spans="8:8" x14ac:dyDescent="0.3">
      <c r="H49790" t="str">
        <f t="shared" si="827"/>
        <v/>
      </c>
    </row>
    <row r="49791" spans="8:8" x14ac:dyDescent="0.3">
      <c r="H49791" t="str">
        <f t="shared" si="827"/>
        <v/>
      </c>
    </row>
    <row r="49792" spans="8:8" x14ac:dyDescent="0.3">
      <c r="H49792" t="str">
        <f t="shared" si="827"/>
        <v/>
      </c>
    </row>
    <row r="49793" spans="8:8" x14ac:dyDescent="0.3">
      <c r="H49793" t="str">
        <f t="shared" si="827"/>
        <v/>
      </c>
    </row>
    <row r="49794" spans="8:8" x14ac:dyDescent="0.3">
      <c r="H49794" t="str">
        <f t="shared" si="827"/>
        <v/>
      </c>
    </row>
    <row r="49795" spans="8:8" x14ac:dyDescent="0.3">
      <c r="H49795" t="str">
        <f t="shared" si="827"/>
        <v/>
      </c>
    </row>
    <row r="49796" spans="8:8" x14ac:dyDescent="0.3">
      <c r="H49796" t="str">
        <f t="shared" si="827"/>
        <v/>
      </c>
    </row>
    <row r="49797" spans="8:8" x14ac:dyDescent="0.3">
      <c r="H49797" t="str">
        <f t="shared" si="827"/>
        <v/>
      </c>
    </row>
    <row r="49798" spans="8:8" x14ac:dyDescent="0.3">
      <c r="H49798" t="str">
        <f t="shared" si="827"/>
        <v/>
      </c>
    </row>
    <row r="49799" spans="8:8" x14ac:dyDescent="0.3">
      <c r="H49799" t="str">
        <f t="shared" si="827"/>
        <v/>
      </c>
    </row>
    <row r="49800" spans="8:8" x14ac:dyDescent="0.3">
      <c r="H49800" t="str">
        <f t="shared" si="827"/>
        <v/>
      </c>
    </row>
    <row r="49801" spans="8:8" x14ac:dyDescent="0.3">
      <c r="H49801" t="str">
        <f t="shared" si="827"/>
        <v/>
      </c>
    </row>
    <row r="49802" spans="8:8" x14ac:dyDescent="0.3">
      <c r="H49802" t="str">
        <f t="shared" si="827"/>
        <v/>
      </c>
    </row>
    <row r="49803" spans="8:8" x14ac:dyDescent="0.3">
      <c r="H49803" t="str">
        <f t="shared" si="827"/>
        <v/>
      </c>
    </row>
    <row r="49804" spans="8:8" x14ac:dyDescent="0.3">
      <c r="H49804" t="str">
        <f t="shared" si="827"/>
        <v/>
      </c>
    </row>
    <row r="49805" spans="8:8" x14ac:dyDescent="0.3">
      <c r="H49805" t="str">
        <f t="shared" si="827"/>
        <v/>
      </c>
    </row>
    <row r="49806" spans="8:8" x14ac:dyDescent="0.3">
      <c r="H49806" t="str">
        <f t="shared" si="827"/>
        <v/>
      </c>
    </row>
    <row r="49807" spans="8:8" x14ac:dyDescent="0.3">
      <c r="H49807" t="str">
        <f t="shared" si="827"/>
        <v/>
      </c>
    </row>
    <row r="49808" spans="8:8" x14ac:dyDescent="0.3">
      <c r="H49808" t="str">
        <f t="shared" si="827"/>
        <v/>
      </c>
    </row>
    <row r="49809" spans="8:8" x14ac:dyDescent="0.3">
      <c r="H49809" t="str">
        <f t="shared" si="827"/>
        <v/>
      </c>
    </row>
    <row r="49810" spans="8:8" x14ac:dyDescent="0.3">
      <c r="H49810" t="str">
        <f t="shared" si="827"/>
        <v/>
      </c>
    </row>
    <row r="49811" spans="8:8" x14ac:dyDescent="0.3">
      <c r="H49811" t="str">
        <f t="shared" si="827"/>
        <v/>
      </c>
    </row>
    <row r="49812" spans="8:8" x14ac:dyDescent="0.3">
      <c r="H49812" t="str">
        <f t="shared" si="827"/>
        <v/>
      </c>
    </row>
    <row r="49813" spans="8:8" x14ac:dyDescent="0.3">
      <c r="H49813" t="str">
        <f t="shared" si="827"/>
        <v/>
      </c>
    </row>
    <row r="49814" spans="8:8" x14ac:dyDescent="0.3">
      <c r="H49814" t="str">
        <f t="shared" si="827"/>
        <v/>
      </c>
    </row>
    <row r="49815" spans="8:8" x14ac:dyDescent="0.3">
      <c r="H49815" t="str">
        <f t="shared" ref="H49815:H49878" si="828">IF(B49815="","",$C$12)</f>
        <v/>
      </c>
    </row>
    <row r="49816" spans="8:8" x14ac:dyDescent="0.3">
      <c r="H49816" t="str">
        <f t="shared" si="828"/>
        <v/>
      </c>
    </row>
    <row r="49817" spans="8:8" x14ac:dyDescent="0.3">
      <c r="H49817" t="str">
        <f t="shared" si="828"/>
        <v/>
      </c>
    </row>
    <row r="49818" spans="8:8" x14ac:dyDescent="0.3">
      <c r="H49818" t="str">
        <f t="shared" si="828"/>
        <v/>
      </c>
    </row>
    <row r="49819" spans="8:8" x14ac:dyDescent="0.3">
      <c r="H49819" t="str">
        <f t="shared" si="828"/>
        <v/>
      </c>
    </row>
    <row r="49820" spans="8:8" x14ac:dyDescent="0.3">
      <c r="H49820" t="str">
        <f t="shared" si="828"/>
        <v/>
      </c>
    </row>
    <row r="49821" spans="8:8" x14ac:dyDescent="0.3">
      <c r="H49821" t="str">
        <f t="shared" si="828"/>
        <v/>
      </c>
    </row>
    <row r="49822" spans="8:8" x14ac:dyDescent="0.3">
      <c r="H49822" t="str">
        <f t="shared" si="828"/>
        <v/>
      </c>
    </row>
    <row r="49823" spans="8:8" x14ac:dyDescent="0.3">
      <c r="H49823" t="str">
        <f t="shared" si="828"/>
        <v/>
      </c>
    </row>
    <row r="49824" spans="8:8" x14ac:dyDescent="0.3">
      <c r="H49824" t="str">
        <f t="shared" si="828"/>
        <v/>
      </c>
    </row>
    <row r="49825" spans="8:8" x14ac:dyDescent="0.3">
      <c r="H49825" t="str">
        <f t="shared" si="828"/>
        <v/>
      </c>
    </row>
    <row r="49826" spans="8:8" x14ac:dyDescent="0.3">
      <c r="H49826" t="str">
        <f t="shared" si="828"/>
        <v/>
      </c>
    </row>
    <row r="49827" spans="8:8" x14ac:dyDescent="0.3">
      <c r="H49827" t="str">
        <f t="shared" si="828"/>
        <v/>
      </c>
    </row>
    <row r="49828" spans="8:8" x14ac:dyDescent="0.3">
      <c r="H49828" t="str">
        <f t="shared" si="828"/>
        <v/>
      </c>
    </row>
    <row r="49829" spans="8:8" x14ac:dyDescent="0.3">
      <c r="H49829" t="str">
        <f t="shared" si="828"/>
        <v/>
      </c>
    </row>
    <row r="49830" spans="8:8" x14ac:dyDescent="0.3">
      <c r="H49830" t="str">
        <f t="shared" si="828"/>
        <v/>
      </c>
    </row>
    <row r="49831" spans="8:8" x14ac:dyDescent="0.3">
      <c r="H49831" t="str">
        <f t="shared" si="828"/>
        <v/>
      </c>
    </row>
    <row r="49832" spans="8:8" x14ac:dyDescent="0.3">
      <c r="H49832" t="str">
        <f t="shared" si="828"/>
        <v/>
      </c>
    </row>
    <row r="49833" spans="8:8" x14ac:dyDescent="0.3">
      <c r="H49833" t="str">
        <f t="shared" si="828"/>
        <v/>
      </c>
    </row>
    <row r="49834" spans="8:8" x14ac:dyDescent="0.3">
      <c r="H49834" t="str">
        <f t="shared" si="828"/>
        <v/>
      </c>
    </row>
    <row r="49835" spans="8:8" x14ac:dyDescent="0.3">
      <c r="H49835" t="str">
        <f t="shared" si="828"/>
        <v/>
      </c>
    </row>
    <row r="49836" spans="8:8" x14ac:dyDescent="0.3">
      <c r="H49836" t="str">
        <f t="shared" si="828"/>
        <v/>
      </c>
    </row>
    <row r="49837" spans="8:8" x14ac:dyDescent="0.3">
      <c r="H49837" t="str">
        <f t="shared" si="828"/>
        <v/>
      </c>
    </row>
    <row r="49838" spans="8:8" x14ac:dyDescent="0.3">
      <c r="H49838" t="str">
        <f t="shared" si="828"/>
        <v/>
      </c>
    </row>
    <row r="49839" spans="8:8" x14ac:dyDescent="0.3">
      <c r="H49839" t="str">
        <f t="shared" si="828"/>
        <v/>
      </c>
    </row>
    <row r="49840" spans="8:8" x14ac:dyDescent="0.3">
      <c r="H49840" t="str">
        <f t="shared" si="828"/>
        <v/>
      </c>
    </row>
    <row r="49841" spans="8:8" x14ac:dyDescent="0.3">
      <c r="H49841" t="str">
        <f t="shared" si="828"/>
        <v/>
      </c>
    </row>
    <row r="49842" spans="8:8" x14ac:dyDescent="0.3">
      <c r="H49842" t="str">
        <f t="shared" si="828"/>
        <v/>
      </c>
    </row>
    <row r="49843" spans="8:8" x14ac:dyDescent="0.3">
      <c r="H49843" t="str">
        <f t="shared" si="828"/>
        <v/>
      </c>
    </row>
    <row r="49844" spans="8:8" x14ac:dyDescent="0.3">
      <c r="H49844" t="str">
        <f t="shared" si="828"/>
        <v/>
      </c>
    </row>
    <row r="49845" spans="8:8" x14ac:dyDescent="0.3">
      <c r="H49845" t="str">
        <f t="shared" si="828"/>
        <v/>
      </c>
    </row>
    <row r="49846" spans="8:8" x14ac:dyDescent="0.3">
      <c r="H49846" t="str">
        <f t="shared" si="828"/>
        <v/>
      </c>
    </row>
    <row r="49847" spans="8:8" x14ac:dyDescent="0.3">
      <c r="H49847" t="str">
        <f t="shared" si="828"/>
        <v/>
      </c>
    </row>
    <row r="49848" spans="8:8" x14ac:dyDescent="0.3">
      <c r="H49848" t="str">
        <f t="shared" si="828"/>
        <v/>
      </c>
    </row>
    <row r="49849" spans="8:8" x14ac:dyDescent="0.3">
      <c r="H49849" t="str">
        <f t="shared" si="828"/>
        <v/>
      </c>
    </row>
    <row r="49850" spans="8:8" x14ac:dyDescent="0.3">
      <c r="H49850" t="str">
        <f t="shared" si="828"/>
        <v/>
      </c>
    </row>
    <row r="49851" spans="8:8" x14ac:dyDescent="0.3">
      <c r="H49851" t="str">
        <f t="shared" si="828"/>
        <v/>
      </c>
    </row>
    <row r="49852" spans="8:8" x14ac:dyDescent="0.3">
      <c r="H49852" t="str">
        <f t="shared" si="828"/>
        <v/>
      </c>
    </row>
    <row r="49853" spans="8:8" x14ac:dyDescent="0.3">
      <c r="H49853" t="str">
        <f t="shared" si="828"/>
        <v/>
      </c>
    </row>
    <row r="49854" spans="8:8" x14ac:dyDescent="0.3">
      <c r="H49854" t="str">
        <f t="shared" si="828"/>
        <v/>
      </c>
    </row>
    <row r="49855" spans="8:8" x14ac:dyDescent="0.3">
      <c r="H49855" t="str">
        <f t="shared" si="828"/>
        <v/>
      </c>
    </row>
    <row r="49856" spans="8:8" x14ac:dyDescent="0.3">
      <c r="H49856" t="str">
        <f t="shared" si="828"/>
        <v/>
      </c>
    </row>
    <row r="49857" spans="8:8" x14ac:dyDescent="0.3">
      <c r="H49857" t="str">
        <f t="shared" si="828"/>
        <v/>
      </c>
    </row>
    <row r="49858" spans="8:8" x14ac:dyDescent="0.3">
      <c r="H49858" t="str">
        <f t="shared" si="828"/>
        <v/>
      </c>
    </row>
    <row r="49859" spans="8:8" x14ac:dyDescent="0.3">
      <c r="H49859" t="str">
        <f t="shared" si="828"/>
        <v/>
      </c>
    </row>
    <row r="49860" spans="8:8" x14ac:dyDescent="0.3">
      <c r="H49860" t="str">
        <f t="shared" si="828"/>
        <v/>
      </c>
    </row>
    <row r="49861" spans="8:8" x14ac:dyDescent="0.3">
      <c r="H49861" t="str">
        <f t="shared" si="828"/>
        <v/>
      </c>
    </row>
    <row r="49862" spans="8:8" x14ac:dyDescent="0.3">
      <c r="H49862" t="str">
        <f t="shared" si="828"/>
        <v/>
      </c>
    </row>
    <row r="49863" spans="8:8" x14ac:dyDescent="0.3">
      <c r="H49863" t="str">
        <f t="shared" si="828"/>
        <v/>
      </c>
    </row>
    <row r="49864" spans="8:8" x14ac:dyDescent="0.3">
      <c r="H49864" t="str">
        <f t="shared" si="828"/>
        <v/>
      </c>
    </row>
    <row r="49865" spans="8:8" x14ac:dyDescent="0.3">
      <c r="H49865" t="str">
        <f t="shared" si="828"/>
        <v/>
      </c>
    </row>
    <row r="49866" spans="8:8" x14ac:dyDescent="0.3">
      <c r="H49866" t="str">
        <f t="shared" si="828"/>
        <v/>
      </c>
    </row>
    <row r="49867" spans="8:8" x14ac:dyDescent="0.3">
      <c r="H49867" t="str">
        <f t="shared" si="828"/>
        <v/>
      </c>
    </row>
    <row r="49868" spans="8:8" x14ac:dyDescent="0.3">
      <c r="H49868" t="str">
        <f t="shared" si="828"/>
        <v/>
      </c>
    </row>
    <row r="49869" spans="8:8" x14ac:dyDescent="0.3">
      <c r="H49869" t="str">
        <f t="shared" si="828"/>
        <v/>
      </c>
    </row>
    <row r="49870" spans="8:8" x14ac:dyDescent="0.3">
      <c r="H49870" t="str">
        <f t="shared" si="828"/>
        <v/>
      </c>
    </row>
    <row r="49871" spans="8:8" x14ac:dyDescent="0.3">
      <c r="H49871" t="str">
        <f t="shared" si="828"/>
        <v/>
      </c>
    </row>
    <row r="49872" spans="8:8" x14ac:dyDescent="0.3">
      <c r="H49872" t="str">
        <f t="shared" si="828"/>
        <v/>
      </c>
    </row>
    <row r="49873" spans="8:8" x14ac:dyDescent="0.3">
      <c r="H49873" t="str">
        <f t="shared" si="828"/>
        <v/>
      </c>
    </row>
    <row r="49874" spans="8:8" x14ac:dyDescent="0.3">
      <c r="H49874" t="str">
        <f t="shared" si="828"/>
        <v/>
      </c>
    </row>
    <row r="49875" spans="8:8" x14ac:dyDescent="0.3">
      <c r="H49875" t="str">
        <f t="shared" si="828"/>
        <v/>
      </c>
    </row>
    <row r="49876" spans="8:8" x14ac:dyDescent="0.3">
      <c r="H49876" t="str">
        <f t="shared" si="828"/>
        <v/>
      </c>
    </row>
    <row r="49877" spans="8:8" x14ac:dyDescent="0.3">
      <c r="H49877" t="str">
        <f t="shared" si="828"/>
        <v/>
      </c>
    </row>
    <row r="49878" spans="8:8" x14ac:dyDescent="0.3">
      <c r="H49878" t="str">
        <f t="shared" si="828"/>
        <v/>
      </c>
    </row>
    <row r="49879" spans="8:8" x14ac:dyDescent="0.3">
      <c r="H49879" t="str">
        <f t="shared" ref="H49879:H49942" si="829">IF(B49879="","",$C$12)</f>
        <v/>
      </c>
    </row>
    <row r="49880" spans="8:8" x14ac:dyDescent="0.3">
      <c r="H49880" t="str">
        <f t="shared" si="829"/>
        <v/>
      </c>
    </row>
    <row r="49881" spans="8:8" x14ac:dyDescent="0.3">
      <c r="H49881" t="str">
        <f t="shared" si="829"/>
        <v/>
      </c>
    </row>
    <row r="49882" spans="8:8" x14ac:dyDescent="0.3">
      <c r="H49882" t="str">
        <f t="shared" si="829"/>
        <v/>
      </c>
    </row>
    <row r="49883" spans="8:8" x14ac:dyDescent="0.3">
      <c r="H49883" t="str">
        <f t="shared" si="829"/>
        <v/>
      </c>
    </row>
    <row r="49884" spans="8:8" x14ac:dyDescent="0.3">
      <c r="H49884" t="str">
        <f t="shared" si="829"/>
        <v/>
      </c>
    </row>
    <row r="49885" spans="8:8" x14ac:dyDescent="0.3">
      <c r="H49885" t="str">
        <f t="shared" si="829"/>
        <v/>
      </c>
    </row>
    <row r="49886" spans="8:8" x14ac:dyDescent="0.3">
      <c r="H49886" t="str">
        <f t="shared" si="829"/>
        <v/>
      </c>
    </row>
    <row r="49887" spans="8:8" x14ac:dyDescent="0.3">
      <c r="H49887" t="str">
        <f t="shared" si="829"/>
        <v/>
      </c>
    </row>
    <row r="49888" spans="8:8" x14ac:dyDescent="0.3">
      <c r="H49888" t="str">
        <f t="shared" si="829"/>
        <v/>
      </c>
    </row>
    <row r="49889" spans="8:8" x14ac:dyDescent="0.3">
      <c r="H49889" t="str">
        <f t="shared" si="829"/>
        <v/>
      </c>
    </row>
    <row r="49890" spans="8:8" x14ac:dyDescent="0.3">
      <c r="H49890" t="str">
        <f t="shared" si="829"/>
        <v/>
      </c>
    </row>
    <row r="49891" spans="8:8" x14ac:dyDescent="0.3">
      <c r="H49891" t="str">
        <f t="shared" si="829"/>
        <v/>
      </c>
    </row>
    <row r="49892" spans="8:8" x14ac:dyDescent="0.3">
      <c r="H49892" t="str">
        <f t="shared" si="829"/>
        <v/>
      </c>
    </row>
    <row r="49893" spans="8:8" x14ac:dyDescent="0.3">
      <c r="H49893" t="str">
        <f t="shared" si="829"/>
        <v/>
      </c>
    </row>
    <row r="49894" spans="8:8" x14ac:dyDescent="0.3">
      <c r="H49894" t="str">
        <f t="shared" si="829"/>
        <v/>
      </c>
    </row>
    <row r="49895" spans="8:8" x14ac:dyDescent="0.3">
      <c r="H49895" t="str">
        <f t="shared" si="829"/>
        <v/>
      </c>
    </row>
    <row r="49896" spans="8:8" x14ac:dyDescent="0.3">
      <c r="H49896" t="str">
        <f t="shared" si="829"/>
        <v/>
      </c>
    </row>
    <row r="49897" spans="8:8" x14ac:dyDescent="0.3">
      <c r="H49897" t="str">
        <f t="shared" si="829"/>
        <v/>
      </c>
    </row>
    <row r="49898" spans="8:8" x14ac:dyDescent="0.3">
      <c r="H49898" t="str">
        <f t="shared" si="829"/>
        <v/>
      </c>
    </row>
    <row r="49899" spans="8:8" x14ac:dyDescent="0.3">
      <c r="H49899" t="str">
        <f t="shared" si="829"/>
        <v/>
      </c>
    </row>
    <row r="49900" spans="8:8" x14ac:dyDescent="0.3">
      <c r="H49900" t="str">
        <f t="shared" si="829"/>
        <v/>
      </c>
    </row>
    <row r="49901" spans="8:8" x14ac:dyDescent="0.3">
      <c r="H49901" t="str">
        <f t="shared" si="829"/>
        <v/>
      </c>
    </row>
    <row r="49902" spans="8:8" x14ac:dyDescent="0.3">
      <c r="H49902" t="str">
        <f t="shared" si="829"/>
        <v/>
      </c>
    </row>
    <row r="49903" spans="8:8" x14ac:dyDescent="0.3">
      <c r="H49903" t="str">
        <f t="shared" si="829"/>
        <v/>
      </c>
    </row>
    <row r="49904" spans="8:8" x14ac:dyDescent="0.3">
      <c r="H49904" t="str">
        <f t="shared" si="829"/>
        <v/>
      </c>
    </row>
    <row r="49905" spans="8:8" x14ac:dyDescent="0.3">
      <c r="H49905" t="str">
        <f t="shared" si="829"/>
        <v/>
      </c>
    </row>
    <row r="49906" spans="8:8" x14ac:dyDescent="0.3">
      <c r="H49906" t="str">
        <f t="shared" si="829"/>
        <v/>
      </c>
    </row>
    <row r="49907" spans="8:8" x14ac:dyDescent="0.3">
      <c r="H49907" t="str">
        <f t="shared" si="829"/>
        <v/>
      </c>
    </row>
    <row r="49908" spans="8:8" x14ac:dyDescent="0.3">
      <c r="H49908" t="str">
        <f t="shared" si="829"/>
        <v/>
      </c>
    </row>
    <row r="49909" spans="8:8" x14ac:dyDescent="0.3">
      <c r="H49909" t="str">
        <f t="shared" si="829"/>
        <v/>
      </c>
    </row>
    <row r="49910" spans="8:8" x14ac:dyDescent="0.3">
      <c r="H49910" t="str">
        <f t="shared" si="829"/>
        <v/>
      </c>
    </row>
    <row r="49911" spans="8:8" x14ac:dyDescent="0.3">
      <c r="H49911" t="str">
        <f t="shared" si="829"/>
        <v/>
      </c>
    </row>
    <row r="49912" spans="8:8" x14ac:dyDescent="0.3">
      <c r="H49912" t="str">
        <f t="shared" si="829"/>
        <v/>
      </c>
    </row>
    <row r="49913" spans="8:8" x14ac:dyDescent="0.3">
      <c r="H49913" t="str">
        <f t="shared" si="829"/>
        <v/>
      </c>
    </row>
    <row r="49914" spans="8:8" x14ac:dyDescent="0.3">
      <c r="H49914" t="str">
        <f t="shared" si="829"/>
        <v/>
      </c>
    </row>
    <row r="49915" spans="8:8" x14ac:dyDescent="0.3">
      <c r="H49915" t="str">
        <f t="shared" si="829"/>
        <v/>
      </c>
    </row>
    <row r="49916" spans="8:8" x14ac:dyDescent="0.3">
      <c r="H49916" t="str">
        <f t="shared" si="829"/>
        <v/>
      </c>
    </row>
    <row r="49917" spans="8:8" x14ac:dyDescent="0.3">
      <c r="H49917" t="str">
        <f t="shared" si="829"/>
        <v/>
      </c>
    </row>
    <row r="49918" spans="8:8" x14ac:dyDescent="0.3">
      <c r="H49918" t="str">
        <f t="shared" si="829"/>
        <v/>
      </c>
    </row>
    <row r="49919" spans="8:8" x14ac:dyDescent="0.3">
      <c r="H49919" t="str">
        <f t="shared" si="829"/>
        <v/>
      </c>
    </row>
    <row r="49920" spans="8:8" x14ac:dyDescent="0.3">
      <c r="H49920" t="str">
        <f t="shared" si="829"/>
        <v/>
      </c>
    </row>
    <row r="49921" spans="8:8" x14ac:dyDescent="0.3">
      <c r="H49921" t="str">
        <f t="shared" si="829"/>
        <v/>
      </c>
    </row>
    <row r="49922" spans="8:8" x14ac:dyDescent="0.3">
      <c r="H49922" t="str">
        <f t="shared" si="829"/>
        <v/>
      </c>
    </row>
    <row r="49923" spans="8:8" x14ac:dyDescent="0.3">
      <c r="H49923" t="str">
        <f t="shared" si="829"/>
        <v/>
      </c>
    </row>
    <row r="49924" spans="8:8" x14ac:dyDescent="0.3">
      <c r="H49924" t="str">
        <f t="shared" si="829"/>
        <v/>
      </c>
    </row>
    <row r="49925" spans="8:8" x14ac:dyDescent="0.3">
      <c r="H49925" t="str">
        <f t="shared" si="829"/>
        <v/>
      </c>
    </row>
    <row r="49926" spans="8:8" x14ac:dyDescent="0.3">
      <c r="H49926" t="str">
        <f t="shared" si="829"/>
        <v/>
      </c>
    </row>
    <row r="49927" spans="8:8" x14ac:dyDescent="0.3">
      <c r="H49927" t="str">
        <f t="shared" si="829"/>
        <v/>
      </c>
    </row>
    <row r="49928" spans="8:8" x14ac:dyDescent="0.3">
      <c r="H49928" t="str">
        <f t="shared" si="829"/>
        <v/>
      </c>
    </row>
    <row r="49929" spans="8:8" x14ac:dyDescent="0.3">
      <c r="H49929" t="str">
        <f t="shared" si="829"/>
        <v/>
      </c>
    </row>
    <row r="49930" spans="8:8" x14ac:dyDescent="0.3">
      <c r="H49930" t="str">
        <f t="shared" si="829"/>
        <v/>
      </c>
    </row>
    <row r="49931" spans="8:8" x14ac:dyDescent="0.3">
      <c r="H49931" t="str">
        <f t="shared" si="829"/>
        <v/>
      </c>
    </row>
    <row r="49932" spans="8:8" x14ac:dyDescent="0.3">
      <c r="H49932" t="str">
        <f t="shared" si="829"/>
        <v/>
      </c>
    </row>
    <row r="49933" spans="8:8" x14ac:dyDescent="0.3">
      <c r="H49933" t="str">
        <f t="shared" si="829"/>
        <v/>
      </c>
    </row>
    <row r="49934" spans="8:8" x14ac:dyDescent="0.3">
      <c r="H49934" t="str">
        <f t="shared" si="829"/>
        <v/>
      </c>
    </row>
    <row r="49935" spans="8:8" x14ac:dyDescent="0.3">
      <c r="H49935" t="str">
        <f t="shared" si="829"/>
        <v/>
      </c>
    </row>
    <row r="49936" spans="8:8" x14ac:dyDescent="0.3">
      <c r="H49936" t="str">
        <f t="shared" si="829"/>
        <v/>
      </c>
    </row>
    <row r="49937" spans="8:8" x14ac:dyDescent="0.3">
      <c r="H49937" t="str">
        <f t="shared" si="829"/>
        <v/>
      </c>
    </row>
    <row r="49938" spans="8:8" x14ac:dyDescent="0.3">
      <c r="H49938" t="str">
        <f t="shared" si="829"/>
        <v/>
      </c>
    </row>
    <row r="49939" spans="8:8" x14ac:dyDescent="0.3">
      <c r="H49939" t="str">
        <f t="shared" si="829"/>
        <v/>
      </c>
    </row>
    <row r="49940" spans="8:8" x14ac:dyDescent="0.3">
      <c r="H49940" t="str">
        <f t="shared" si="829"/>
        <v/>
      </c>
    </row>
    <row r="49941" spans="8:8" x14ac:dyDescent="0.3">
      <c r="H49941" t="str">
        <f t="shared" si="829"/>
        <v/>
      </c>
    </row>
    <row r="49942" spans="8:8" x14ac:dyDescent="0.3">
      <c r="H49942" t="str">
        <f t="shared" si="829"/>
        <v/>
      </c>
    </row>
    <row r="49943" spans="8:8" x14ac:dyDescent="0.3">
      <c r="H49943" t="str">
        <f t="shared" ref="H49943:H50006" si="830">IF(B49943="","",$C$12)</f>
        <v/>
      </c>
    </row>
    <row r="49944" spans="8:8" x14ac:dyDescent="0.3">
      <c r="H49944" t="str">
        <f t="shared" si="830"/>
        <v/>
      </c>
    </row>
    <row r="49945" spans="8:8" x14ac:dyDescent="0.3">
      <c r="H49945" t="str">
        <f t="shared" si="830"/>
        <v/>
      </c>
    </row>
    <row r="49946" spans="8:8" x14ac:dyDescent="0.3">
      <c r="H49946" t="str">
        <f t="shared" si="830"/>
        <v/>
      </c>
    </row>
    <row r="49947" spans="8:8" x14ac:dyDescent="0.3">
      <c r="H49947" t="str">
        <f t="shared" si="830"/>
        <v/>
      </c>
    </row>
    <row r="49948" spans="8:8" x14ac:dyDescent="0.3">
      <c r="H49948" t="str">
        <f t="shared" si="830"/>
        <v/>
      </c>
    </row>
    <row r="49949" spans="8:8" x14ac:dyDescent="0.3">
      <c r="H49949" t="str">
        <f t="shared" si="830"/>
        <v/>
      </c>
    </row>
    <row r="49950" spans="8:8" x14ac:dyDescent="0.3">
      <c r="H49950" t="str">
        <f t="shared" si="830"/>
        <v/>
      </c>
    </row>
    <row r="49951" spans="8:8" x14ac:dyDescent="0.3">
      <c r="H49951" t="str">
        <f t="shared" si="830"/>
        <v/>
      </c>
    </row>
    <row r="49952" spans="8:8" x14ac:dyDescent="0.3">
      <c r="H49952" t="str">
        <f t="shared" si="830"/>
        <v/>
      </c>
    </row>
    <row r="49953" spans="8:8" x14ac:dyDescent="0.3">
      <c r="H49953" t="str">
        <f t="shared" si="830"/>
        <v/>
      </c>
    </row>
    <row r="49954" spans="8:8" x14ac:dyDescent="0.3">
      <c r="H49954" t="str">
        <f t="shared" si="830"/>
        <v/>
      </c>
    </row>
    <row r="49955" spans="8:8" x14ac:dyDescent="0.3">
      <c r="H49955" t="str">
        <f t="shared" si="830"/>
        <v/>
      </c>
    </row>
    <row r="49956" spans="8:8" x14ac:dyDescent="0.3">
      <c r="H49956" t="str">
        <f t="shared" si="830"/>
        <v/>
      </c>
    </row>
    <row r="49957" spans="8:8" x14ac:dyDescent="0.3">
      <c r="H49957" t="str">
        <f t="shared" si="830"/>
        <v/>
      </c>
    </row>
    <row r="49958" spans="8:8" x14ac:dyDescent="0.3">
      <c r="H49958" t="str">
        <f t="shared" si="830"/>
        <v/>
      </c>
    </row>
    <row r="49959" spans="8:8" x14ac:dyDescent="0.3">
      <c r="H49959" t="str">
        <f t="shared" si="830"/>
        <v/>
      </c>
    </row>
    <row r="49960" spans="8:8" x14ac:dyDescent="0.3">
      <c r="H49960" t="str">
        <f t="shared" si="830"/>
        <v/>
      </c>
    </row>
    <row r="49961" spans="8:8" x14ac:dyDescent="0.3">
      <c r="H49961" t="str">
        <f t="shared" si="830"/>
        <v/>
      </c>
    </row>
    <row r="49962" spans="8:8" x14ac:dyDescent="0.3">
      <c r="H49962" t="str">
        <f t="shared" si="830"/>
        <v/>
      </c>
    </row>
    <row r="49963" spans="8:8" x14ac:dyDescent="0.3">
      <c r="H49963" t="str">
        <f t="shared" si="830"/>
        <v/>
      </c>
    </row>
    <row r="49964" spans="8:8" x14ac:dyDescent="0.3">
      <c r="H49964" t="str">
        <f t="shared" si="830"/>
        <v/>
      </c>
    </row>
    <row r="49965" spans="8:8" x14ac:dyDescent="0.3">
      <c r="H49965" t="str">
        <f t="shared" si="830"/>
        <v/>
      </c>
    </row>
    <row r="49966" spans="8:8" x14ac:dyDescent="0.3">
      <c r="H49966" t="str">
        <f t="shared" si="830"/>
        <v/>
      </c>
    </row>
    <row r="49967" spans="8:8" x14ac:dyDescent="0.3">
      <c r="H49967" t="str">
        <f t="shared" si="830"/>
        <v/>
      </c>
    </row>
    <row r="49968" spans="8:8" x14ac:dyDescent="0.3">
      <c r="H49968" t="str">
        <f t="shared" si="830"/>
        <v/>
      </c>
    </row>
    <row r="49969" spans="8:8" x14ac:dyDescent="0.3">
      <c r="H49969" t="str">
        <f t="shared" si="830"/>
        <v/>
      </c>
    </row>
    <row r="49970" spans="8:8" x14ac:dyDescent="0.3">
      <c r="H49970" t="str">
        <f t="shared" si="830"/>
        <v/>
      </c>
    </row>
    <row r="49971" spans="8:8" x14ac:dyDescent="0.3">
      <c r="H49971" t="str">
        <f t="shared" si="830"/>
        <v/>
      </c>
    </row>
    <row r="49972" spans="8:8" x14ac:dyDescent="0.3">
      <c r="H49972" t="str">
        <f t="shared" si="830"/>
        <v/>
      </c>
    </row>
    <row r="49973" spans="8:8" x14ac:dyDescent="0.3">
      <c r="H49973" t="str">
        <f t="shared" si="830"/>
        <v/>
      </c>
    </row>
    <row r="49974" spans="8:8" x14ac:dyDescent="0.3">
      <c r="H49974" t="str">
        <f t="shared" si="830"/>
        <v/>
      </c>
    </row>
    <row r="49975" spans="8:8" x14ac:dyDescent="0.3">
      <c r="H49975" t="str">
        <f t="shared" si="830"/>
        <v/>
      </c>
    </row>
    <row r="49976" spans="8:8" x14ac:dyDescent="0.3">
      <c r="H49976" t="str">
        <f t="shared" si="830"/>
        <v/>
      </c>
    </row>
    <row r="49977" spans="8:8" x14ac:dyDescent="0.3">
      <c r="H49977" t="str">
        <f t="shared" si="830"/>
        <v/>
      </c>
    </row>
    <row r="49978" spans="8:8" x14ac:dyDescent="0.3">
      <c r="H49978" t="str">
        <f t="shared" si="830"/>
        <v/>
      </c>
    </row>
    <row r="49979" spans="8:8" x14ac:dyDescent="0.3">
      <c r="H49979" t="str">
        <f t="shared" si="830"/>
        <v/>
      </c>
    </row>
    <row r="49980" spans="8:8" x14ac:dyDescent="0.3">
      <c r="H49980" t="str">
        <f t="shared" si="830"/>
        <v/>
      </c>
    </row>
    <row r="49981" spans="8:8" x14ac:dyDescent="0.3">
      <c r="H49981" t="str">
        <f t="shared" si="830"/>
        <v/>
      </c>
    </row>
    <row r="49982" spans="8:8" x14ac:dyDescent="0.3">
      <c r="H49982" t="str">
        <f t="shared" si="830"/>
        <v/>
      </c>
    </row>
    <row r="49983" spans="8:8" x14ac:dyDescent="0.3">
      <c r="H49983" t="str">
        <f t="shared" si="830"/>
        <v/>
      </c>
    </row>
    <row r="49984" spans="8:8" x14ac:dyDescent="0.3">
      <c r="H49984" t="str">
        <f t="shared" si="830"/>
        <v/>
      </c>
    </row>
    <row r="49985" spans="8:8" x14ac:dyDescent="0.3">
      <c r="H49985" t="str">
        <f t="shared" si="830"/>
        <v/>
      </c>
    </row>
    <row r="49986" spans="8:8" x14ac:dyDescent="0.3">
      <c r="H49986" t="str">
        <f t="shared" si="830"/>
        <v/>
      </c>
    </row>
    <row r="49987" spans="8:8" x14ac:dyDescent="0.3">
      <c r="H49987" t="str">
        <f t="shared" si="830"/>
        <v/>
      </c>
    </row>
    <row r="49988" spans="8:8" x14ac:dyDescent="0.3">
      <c r="H49988" t="str">
        <f t="shared" si="830"/>
        <v/>
      </c>
    </row>
    <row r="49989" spans="8:8" x14ac:dyDescent="0.3">
      <c r="H49989" t="str">
        <f t="shared" si="830"/>
        <v/>
      </c>
    </row>
    <row r="49990" spans="8:8" x14ac:dyDescent="0.3">
      <c r="H49990" t="str">
        <f t="shared" si="830"/>
        <v/>
      </c>
    </row>
    <row r="49991" spans="8:8" x14ac:dyDescent="0.3">
      <c r="H49991" t="str">
        <f t="shared" si="830"/>
        <v/>
      </c>
    </row>
    <row r="49992" spans="8:8" x14ac:dyDescent="0.3">
      <c r="H49992" t="str">
        <f t="shared" si="830"/>
        <v/>
      </c>
    </row>
    <row r="49993" spans="8:8" x14ac:dyDescent="0.3">
      <c r="H49993" t="str">
        <f t="shared" si="830"/>
        <v/>
      </c>
    </row>
    <row r="49994" spans="8:8" x14ac:dyDescent="0.3">
      <c r="H49994" t="str">
        <f t="shared" si="830"/>
        <v/>
      </c>
    </row>
    <row r="49995" spans="8:8" x14ac:dyDescent="0.3">
      <c r="H49995" t="str">
        <f t="shared" si="830"/>
        <v/>
      </c>
    </row>
    <row r="49996" spans="8:8" x14ac:dyDescent="0.3">
      <c r="H49996" t="str">
        <f t="shared" si="830"/>
        <v/>
      </c>
    </row>
    <row r="49997" spans="8:8" x14ac:dyDescent="0.3">
      <c r="H49997" t="str">
        <f t="shared" si="830"/>
        <v/>
      </c>
    </row>
    <row r="49998" spans="8:8" x14ac:dyDescent="0.3">
      <c r="H49998" t="str">
        <f t="shared" si="830"/>
        <v/>
      </c>
    </row>
    <row r="49999" spans="8:8" x14ac:dyDescent="0.3">
      <c r="H49999" t="str">
        <f t="shared" si="830"/>
        <v/>
      </c>
    </row>
    <row r="50000" spans="8:8" x14ac:dyDescent="0.3">
      <c r="H50000" t="str">
        <f t="shared" si="830"/>
        <v/>
      </c>
    </row>
    <row r="50001" spans="8:8" x14ac:dyDescent="0.3">
      <c r="H50001" t="str">
        <f t="shared" si="830"/>
        <v/>
      </c>
    </row>
    <row r="50002" spans="8:8" x14ac:dyDescent="0.3">
      <c r="H50002" t="str">
        <f t="shared" si="830"/>
        <v/>
      </c>
    </row>
    <row r="50003" spans="8:8" x14ac:dyDescent="0.3">
      <c r="H50003" t="str">
        <f t="shared" si="830"/>
        <v/>
      </c>
    </row>
    <row r="50004" spans="8:8" x14ac:dyDescent="0.3">
      <c r="H50004" t="str">
        <f t="shared" si="830"/>
        <v/>
      </c>
    </row>
    <row r="50005" spans="8:8" x14ac:dyDescent="0.3">
      <c r="H50005" t="str">
        <f t="shared" si="830"/>
        <v/>
      </c>
    </row>
    <row r="50006" spans="8:8" x14ac:dyDescent="0.3">
      <c r="H50006" t="str">
        <f t="shared" si="830"/>
        <v/>
      </c>
    </row>
    <row r="50007" spans="8:8" x14ac:dyDescent="0.3">
      <c r="H50007" t="str">
        <f t="shared" ref="H50007:H50070" si="831">IF(B50007="","",$C$12)</f>
        <v/>
      </c>
    </row>
    <row r="50008" spans="8:8" x14ac:dyDescent="0.3">
      <c r="H50008" t="str">
        <f t="shared" si="831"/>
        <v/>
      </c>
    </row>
    <row r="50009" spans="8:8" x14ac:dyDescent="0.3">
      <c r="H50009" t="str">
        <f t="shared" si="831"/>
        <v/>
      </c>
    </row>
    <row r="50010" spans="8:8" x14ac:dyDescent="0.3">
      <c r="H50010" t="str">
        <f t="shared" si="831"/>
        <v/>
      </c>
    </row>
    <row r="50011" spans="8:8" x14ac:dyDescent="0.3">
      <c r="H50011" t="str">
        <f t="shared" si="831"/>
        <v/>
      </c>
    </row>
    <row r="50012" spans="8:8" x14ac:dyDescent="0.3">
      <c r="H50012" t="str">
        <f t="shared" si="831"/>
        <v/>
      </c>
    </row>
    <row r="50013" spans="8:8" x14ac:dyDescent="0.3">
      <c r="H50013" t="str">
        <f t="shared" si="831"/>
        <v/>
      </c>
    </row>
    <row r="50014" spans="8:8" x14ac:dyDescent="0.3">
      <c r="H50014" t="str">
        <f t="shared" si="831"/>
        <v/>
      </c>
    </row>
    <row r="50015" spans="8:8" x14ac:dyDescent="0.3">
      <c r="H50015" t="str">
        <f t="shared" si="831"/>
        <v/>
      </c>
    </row>
    <row r="50016" spans="8:8" x14ac:dyDescent="0.3">
      <c r="H50016" t="str">
        <f t="shared" si="831"/>
        <v/>
      </c>
    </row>
    <row r="50017" spans="8:8" x14ac:dyDescent="0.3">
      <c r="H50017" t="str">
        <f t="shared" si="831"/>
        <v/>
      </c>
    </row>
    <row r="50018" spans="8:8" x14ac:dyDescent="0.3">
      <c r="H50018" t="str">
        <f t="shared" si="831"/>
        <v/>
      </c>
    </row>
    <row r="50019" spans="8:8" x14ac:dyDescent="0.3">
      <c r="H50019" t="str">
        <f t="shared" si="831"/>
        <v/>
      </c>
    </row>
    <row r="50020" spans="8:8" x14ac:dyDescent="0.3">
      <c r="H50020" t="str">
        <f t="shared" si="831"/>
        <v/>
      </c>
    </row>
    <row r="50021" spans="8:8" x14ac:dyDescent="0.3">
      <c r="H50021" t="str">
        <f t="shared" si="831"/>
        <v/>
      </c>
    </row>
    <row r="50022" spans="8:8" x14ac:dyDescent="0.3">
      <c r="H50022" t="str">
        <f t="shared" si="831"/>
        <v/>
      </c>
    </row>
    <row r="50023" spans="8:8" x14ac:dyDescent="0.3">
      <c r="H50023" t="str">
        <f t="shared" si="831"/>
        <v/>
      </c>
    </row>
    <row r="50024" spans="8:8" x14ac:dyDescent="0.3">
      <c r="H50024" t="str">
        <f t="shared" si="831"/>
        <v/>
      </c>
    </row>
    <row r="50025" spans="8:8" x14ac:dyDescent="0.3">
      <c r="H50025" t="str">
        <f t="shared" si="831"/>
        <v/>
      </c>
    </row>
    <row r="50026" spans="8:8" x14ac:dyDescent="0.3">
      <c r="H50026" t="str">
        <f t="shared" si="831"/>
        <v/>
      </c>
    </row>
    <row r="50027" spans="8:8" x14ac:dyDescent="0.3">
      <c r="H50027" t="str">
        <f t="shared" si="831"/>
        <v/>
      </c>
    </row>
    <row r="50028" spans="8:8" x14ac:dyDescent="0.3">
      <c r="H50028" t="str">
        <f t="shared" si="831"/>
        <v/>
      </c>
    </row>
    <row r="50029" spans="8:8" x14ac:dyDescent="0.3">
      <c r="H50029" t="str">
        <f t="shared" si="831"/>
        <v/>
      </c>
    </row>
    <row r="50030" spans="8:8" x14ac:dyDescent="0.3">
      <c r="H50030" t="str">
        <f t="shared" si="831"/>
        <v/>
      </c>
    </row>
    <row r="50031" spans="8:8" x14ac:dyDescent="0.3">
      <c r="H50031" t="str">
        <f t="shared" si="831"/>
        <v/>
      </c>
    </row>
    <row r="50032" spans="8:8" x14ac:dyDescent="0.3">
      <c r="H50032" t="str">
        <f t="shared" si="831"/>
        <v/>
      </c>
    </row>
    <row r="50033" spans="8:8" x14ac:dyDescent="0.3">
      <c r="H50033" t="str">
        <f t="shared" si="831"/>
        <v/>
      </c>
    </row>
    <row r="50034" spans="8:8" x14ac:dyDescent="0.3">
      <c r="H50034" t="str">
        <f t="shared" si="831"/>
        <v/>
      </c>
    </row>
    <row r="50035" spans="8:8" x14ac:dyDescent="0.3">
      <c r="H50035" t="str">
        <f t="shared" si="831"/>
        <v/>
      </c>
    </row>
    <row r="50036" spans="8:8" x14ac:dyDescent="0.3">
      <c r="H50036" t="str">
        <f t="shared" si="831"/>
        <v/>
      </c>
    </row>
    <row r="50037" spans="8:8" x14ac:dyDescent="0.3">
      <c r="H50037" t="str">
        <f t="shared" si="831"/>
        <v/>
      </c>
    </row>
    <row r="50038" spans="8:8" x14ac:dyDescent="0.3">
      <c r="H50038" t="str">
        <f t="shared" si="831"/>
        <v/>
      </c>
    </row>
    <row r="50039" spans="8:8" x14ac:dyDescent="0.3">
      <c r="H50039" t="str">
        <f t="shared" si="831"/>
        <v/>
      </c>
    </row>
    <row r="50040" spans="8:8" x14ac:dyDescent="0.3">
      <c r="H50040" t="str">
        <f t="shared" si="831"/>
        <v/>
      </c>
    </row>
    <row r="50041" spans="8:8" x14ac:dyDescent="0.3">
      <c r="H50041" t="str">
        <f t="shared" si="831"/>
        <v/>
      </c>
    </row>
    <row r="50042" spans="8:8" x14ac:dyDescent="0.3">
      <c r="H50042" t="str">
        <f t="shared" si="831"/>
        <v/>
      </c>
    </row>
    <row r="50043" spans="8:8" x14ac:dyDescent="0.3">
      <c r="H50043" t="str">
        <f t="shared" si="831"/>
        <v/>
      </c>
    </row>
    <row r="50044" spans="8:8" x14ac:dyDescent="0.3">
      <c r="H50044" t="str">
        <f t="shared" si="831"/>
        <v/>
      </c>
    </row>
    <row r="50045" spans="8:8" x14ac:dyDescent="0.3">
      <c r="H50045" t="str">
        <f t="shared" si="831"/>
        <v/>
      </c>
    </row>
    <row r="50046" spans="8:8" x14ac:dyDescent="0.3">
      <c r="H50046" t="str">
        <f t="shared" si="831"/>
        <v/>
      </c>
    </row>
    <row r="50047" spans="8:8" x14ac:dyDescent="0.3">
      <c r="H50047" t="str">
        <f t="shared" si="831"/>
        <v/>
      </c>
    </row>
    <row r="50048" spans="8:8" x14ac:dyDescent="0.3">
      <c r="H50048" t="str">
        <f t="shared" si="831"/>
        <v/>
      </c>
    </row>
    <row r="50049" spans="8:8" x14ac:dyDescent="0.3">
      <c r="H50049" t="str">
        <f t="shared" si="831"/>
        <v/>
      </c>
    </row>
    <row r="50050" spans="8:8" x14ac:dyDescent="0.3">
      <c r="H50050" t="str">
        <f t="shared" si="831"/>
        <v/>
      </c>
    </row>
    <row r="50051" spans="8:8" x14ac:dyDescent="0.3">
      <c r="H50051" t="str">
        <f t="shared" si="831"/>
        <v/>
      </c>
    </row>
    <row r="50052" spans="8:8" x14ac:dyDescent="0.3">
      <c r="H50052" t="str">
        <f t="shared" si="831"/>
        <v/>
      </c>
    </row>
    <row r="50053" spans="8:8" x14ac:dyDescent="0.3">
      <c r="H50053" t="str">
        <f t="shared" si="831"/>
        <v/>
      </c>
    </row>
    <row r="50054" spans="8:8" x14ac:dyDescent="0.3">
      <c r="H50054" t="str">
        <f t="shared" si="831"/>
        <v/>
      </c>
    </row>
    <row r="50055" spans="8:8" x14ac:dyDescent="0.3">
      <c r="H50055" t="str">
        <f t="shared" si="831"/>
        <v/>
      </c>
    </row>
    <row r="50056" spans="8:8" x14ac:dyDescent="0.3">
      <c r="H50056" t="str">
        <f t="shared" si="831"/>
        <v/>
      </c>
    </row>
    <row r="50057" spans="8:8" x14ac:dyDescent="0.3">
      <c r="H50057" t="str">
        <f t="shared" si="831"/>
        <v/>
      </c>
    </row>
    <row r="50058" spans="8:8" x14ac:dyDescent="0.3">
      <c r="H50058" t="str">
        <f t="shared" si="831"/>
        <v/>
      </c>
    </row>
    <row r="50059" spans="8:8" x14ac:dyDescent="0.3">
      <c r="H50059" t="str">
        <f t="shared" si="831"/>
        <v/>
      </c>
    </row>
    <row r="50060" spans="8:8" x14ac:dyDescent="0.3">
      <c r="H50060" t="str">
        <f t="shared" si="831"/>
        <v/>
      </c>
    </row>
    <row r="50061" spans="8:8" x14ac:dyDescent="0.3">
      <c r="H50061" t="str">
        <f t="shared" si="831"/>
        <v/>
      </c>
    </row>
    <row r="50062" spans="8:8" x14ac:dyDescent="0.3">
      <c r="H50062" t="str">
        <f t="shared" si="831"/>
        <v/>
      </c>
    </row>
    <row r="50063" spans="8:8" x14ac:dyDescent="0.3">
      <c r="H50063" t="str">
        <f t="shared" si="831"/>
        <v/>
      </c>
    </row>
    <row r="50064" spans="8:8" x14ac:dyDescent="0.3">
      <c r="H50064" t="str">
        <f t="shared" si="831"/>
        <v/>
      </c>
    </row>
    <row r="50065" spans="8:8" x14ac:dyDescent="0.3">
      <c r="H50065" t="str">
        <f t="shared" si="831"/>
        <v/>
      </c>
    </row>
    <row r="50066" spans="8:8" x14ac:dyDescent="0.3">
      <c r="H50066" t="str">
        <f t="shared" si="831"/>
        <v/>
      </c>
    </row>
    <row r="50067" spans="8:8" x14ac:dyDescent="0.3">
      <c r="H50067" t="str">
        <f t="shared" si="831"/>
        <v/>
      </c>
    </row>
    <row r="50068" spans="8:8" x14ac:dyDescent="0.3">
      <c r="H50068" t="str">
        <f t="shared" si="831"/>
        <v/>
      </c>
    </row>
    <row r="50069" spans="8:8" x14ac:dyDescent="0.3">
      <c r="H50069" t="str">
        <f t="shared" si="831"/>
        <v/>
      </c>
    </row>
    <row r="50070" spans="8:8" x14ac:dyDescent="0.3">
      <c r="H50070" t="str">
        <f t="shared" si="831"/>
        <v/>
      </c>
    </row>
    <row r="50071" spans="8:8" x14ac:dyDescent="0.3">
      <c r="H50071" t="str">
        <f t="shared" ref="H50071:H50134" si="832">IF(B50071="","",$C$12)</f>
        <v/>
      </c>
    </row>
    <row r="50072" spans="8:8" x14ac:dyDescent="0.3">
      <c r="H50072" t="str">
        <f t="shared" si="832"/>
        <v/>
      </c>
    </row>
    <row r="50073" spans="8:8" x14ac:dyDescent="0.3">
      <c r="H50073" t="str">
        <f t="shared" si="832"/>
        <v/>
      </c>
    </row>
    <row r="50074" spans="8:8" x14ac:dyDescent="0.3">
      <c r="H50074" t="str">
        <f t="shared" si="832"/>
        <v/>
      </c>
    </row>
    <row r="50075" spans="8:8" x14ac:dyDescent="0.3">
      <c r="H50075" t="str">
        <f t="shared" si="832"/>
        <v/>
      </c>
    </row>
    <row r="50076" spans="8:8" x14ac:dyDescent="0.3">
      <c r="H50076" t="str">
        <f t="shared" si="832"/>
        <v/>
      </c>
    </row>
    <row r="50077" spans="8:8" x14ac:dyDescent="0.3">
      <c r="H50077" t="str">
        <f t="shared" si="832"/>
        <v/>
      </c>
    </row>
    <row r="50078" spans="8:8" x14ac:dyDescent="0.3">
      <c r="H50078" t="str">
        <f t="shared" si="832"/>
        <v/>
      </c>
    </row>
    <row r="50079" spans="8:8" x14ac:dyDescent="0.3">
      <c r="H50079" t="str">
        <f t="shared" si="832"/>
        <v/>
      </c>
    </row>
    <row r="50080" spans="8:8" x14ac:dyDescent="0.3">
      <c r="H50080" t="str">
        <f t="shared" si="832"/>
        <v/>
      </c>
    </row>
    <row r="50081" spans="8:8" x14ac:dyDescent="0.3">
      <c r="H50081" t="str">
        <f t="shared" si="832"/>
        <v/>
      </c>
    </row>
    <row r="50082" spans="8:8" x14ac:dyDescent="0.3">
      <c r="H50082" t="str">
        <f t="shared" si="832"/>
        <v/>
      </c>
    </row>
    <row r="50083" spans="8:8" x14ac:dyDescent="0.3">
      <c r="H50083" t="str">
        <f t="shared" si="832"/>
        <v/>
      </c>
    </row>
    <row r="50084" spans="8:8" x14ac:dyDescent="0.3">
      <c r="H50084" t="str">
        <f t="shared" si="832"/>
        <v/>
      </c>
    </row>
    <row r="50085" spans="8:8" x14ac:dyDescent="0.3">
      <c r="H50085" t="str">
        <f t="shared" si="832"/>
        <v/>
      </c>
    </row>
    <row r="50086" spans="8:8" x14ac:dyDescent="0.3">
      <c r="H50086" t="str">
        <f t="shared" si="832"/>
        <v/>
      </c>
    </row>
    <row r="50087" spans="8:8" x14ac:dyDescent="0.3">
      <c r="H50087" t="str">
        <f t="shared" si="832"/>
        <v/>
      </c>
    </row>
    <row r="50088" spans="8:8" x14ac:dyDescent="0.3">
      <c r="H50088" t="str">
        <f t="shared" si="832"/>
        <v/>
      </c>
    </row>
    <row r="50089" spans="8:8" x14ac:dyDescent="0.3">
      <c r="H50089" t="str">
        <f t="shared" si="832"/>
        <v/>
      </c>
    </row>
    <row r="50090" spans="8:8" x14ac:dyDescent="0.3">
      <c r="H50090" t="str">
        <f t="shared" si="832"/>
        <v/>
      </c>
    </row>
    <row r="50091" spans="8:8" x14ac:dyDescent="0.3">
      <c r="H50091" t="str">
        <f t="shared" si="832"/>
        <v/>
      </c>
    </row>
    <row r="50092" spans="8:8" x14ac:dyDescent="0.3">
      <c r="H50092" t="str">
        <f t="shared" si="832"/>
        <v/>
      </c>
    </row>
    <row r="50093" spans="8:8" x14ac:dyDescent="0.3">
      <c r="H50093" t="str">
        <f t="shared" si="832"/>
        <v/>
      </c>
    </row>
    <row r="50094" spans="8:8" x14ac:dyDescent="0.3">
      <c r="H50094" t="str">
        <f t="shared" si="832"/>
        <v/>
      </c>
    </row>
    <row r="50095" spans="8:8" x14ac:dyDescent="0.3">
      <c r="H50095" t="str">
        <f t="shared" si="832"/>
        <v/>
      </c>
    </row>
    <row r="50096" spans="8:8" x14ac:dyDescent="0.3">
      <c r="H50096" t="str">
        <f t="shared" si="832"/>
        <v/>
      </c>
    </row>
    <row r="50097" spans="8:8" x14ac:dyDescent="0.3">
      <c r="H50097" t="str">
        <f t="shared" si="832"/>
        <v/>
      </c>
    </row>
    <row r="50098" spans="8:8" x14ac:dyDescent="0.3">
      <c r="H50098" t="str">
        <f t="shared" si="832"/>
        <v/>
      </c>
    </row>
    <row r="50099" spans="8:8" x14ac:dyDescent="0.3">
      <c r="H50099" t="str">
        <f t="shared" si="832"/>
        <v/>
      </c>
    </row>
    <row r="50100" spans="8:8" x14ac:dyDescent="0.3">
      <c r="H50100" t="str">
        <f t="shared" si="832"/>
        <v/>
      </c>
    </row>
    <row r="50101" spans="8:8" x14ac:dyDescent="0.3">
      <c r="H50101" t="str">
        <f t="shared" si="832"/>
        <v/>
      </c>
    </row>
    <row r="50102" spans="8:8" x14ac:dyDescent="0.3">
      <c r="H50102" t="str">
        <f t="shared" si="832"/>
        <v/>
      </c>
    </row>
    <row r="50103" spans="8:8" x14ac:dyDescent="0.3">
      <c r="H50103" t="str">
        <f t="shared" si="832"/>
        <v/>
      </c>
    </row>
    <row r="50104" spans="8:8" x14ac:dyDescent="0.3">
      <c r="H50104" t="str">
        <f t="shared" si="832"/>
        <v/>
      </c>
    </row>
    <row r="50105" spans="8:8" x14ac:dyDescent="0.3">
      <c r="H50105" t="str">
        <f t="shared" si="832"/>
        <v/>
      </c>
    </row>
    <row r="50106" spans="8:8" x14ac:dyDescent="0.3">
      <c r="H50106" t="str">
        <f t="shared" si="832"/>
        <v/>
      </c>
    </row>
    <row r="50107" spans="8:8" x14ac:dyDescent="0.3">
      <c r="H50107" t="str">
        <f t="shared" si="832"/>
        <v/>
      </c>
    </row>
    <row r="50108" spans="8:8" x14ac:dyDescent="0.3">
      <c r="H50108" t="str">
        <f t="shared" si="832"/>
        <v/>
      </c>
    </row>
    <row r="50109" spans="8:8" x14ac:dyDescent="0.3">
      <c r="H50109" t="str">
        <f t="shared" si="832"/>
        <v/>
      </c>
    </row>
    <row r="50110" spans="8:8" x14ac:dyDescent="0.3">
      <c r="H50110" t="str">
        <f t="shared" si="832"/>
        <v/>
      </c>
    </row>
    <row r="50111" spans="8:8" x14ac:dyDescent="0.3">
      <c r="H50111" t="str">
        <f t="shared" si="832"/>
        <v/>
      </c>
    </row>
    <row r="50112" spans="8:8" x14ac:dyDescent="0.3">
      <c r="H50112" t="str">
        <f t="shared" si="832"/>
        <v/>
      </c>
    </row>
    <row r="50113" spans="8:8" x14ac:dyDescent="0.3">
      <c r="H50113" t="str">
        <f t="shared" si="832"/>
        <v/>
      </c>
    </row>
    <row r="50114" spans="8:8" x14ac:dyDescent="0.3">
      <c r="H50114" t="str">
        <f t="shared" si="832"/>
        <v/>
      </c>
    </row>
    <row r="50115" spans="8:8" x14ac:dyDescent="0.3">
      <c r="H50115" t="str">
        <f t="shared" si="832"/>
        <v/>
      </c>
    </row>
    <row r="50116" spans="8:8" x14ac:dyDescent="0.3">
      <c r="H50116" t="str">
        <f t="shared" si="832"/>
        <v/>
      </c>
    </row>
    <row r="50117" spans="8:8" x14ac:dyDescent="0.3">
      <c r="H50117" t="str">
        <f t="shared" si="832"/>
        <v/>
      </c>
    </row>
    <row r="50118" spans="8:8" x14ac:dyDescent="0.3">
      <c r="H50118" t="str">
        <f t="shared" si="832"/>
        <v/>
      </c>
    </row>
    <row r="50119" spans="8:8" x14ac:dyDescent="0.3">
      <c r="H50119" t="str">
        <f t="shared" si="832"/>
        <v/>
      </c>
    </row>
    <row r="50120" spans="8:8" x14ac:dyDescent="0.3">
      <c r="H50120" t="str">
        <f t="shared" si="832"/>
        <v/>
      </c>
    </row>
    <row r="50121" spans="8:8" x14ac:dyDescent="0.3">
      <c r="H50121" t="str">
        <f t="shared" si="832"/>
        <v/>
      </c>
    </row>
    <row r="50122" spans="8:8" x14ac:dyDescent="0.3">
      <c r="H50122" t="str">
        <f t="shared" si="832"/>
        <v/>
      </c>
    </row>
    <row r="50123" spans="8:8" x14ac:dyDescent="0.3">
      <c r="H50123" t="str">
        <f t="shared" si="832"/>
        <v/>
      </c>
    </row>
    <row r="50124" spans="8:8" x14ac:dyDescent="0.3">
      <c r="H50124" t="str">
        <f t="shared" si="832"/>
        <v/>
      </c>
    </row>
    <row r="50125" spans="8:8" x14ac:dyDescent="0.3">
      <c r="H50125" t="str">
        <f t="shared" si="832"/>
        <v/>
      </c>
    </row>
    <row r="50126" spans="8:8" x14ac:dyDescent="0.3">
      <c r="H50126" t="str">
        <f t="shared" si="832"/>
        <v/>
      </c>
    </row>
    <row r="50127" spans="8:8" x14ac:dyDescent="0.3">
      <c r="H50127" t="str">
        <f t="shared" si="832"/>
        <v/>
      </c>
    </row>
    <row r="50128" spans="8:8" x14ac:dyDescent="0.3">
      <c r="H50128" t="str">
        <f t="shared" si="832"/>
        <v/>
      </c>
    </row>
    <row r="50129" spans="8:8" x14ac:dyDescent="0.3">
      <c r="H50129" t="str">
        <f t="shared" si="832"/>
        <v/>
      </c>
    </row>
    <row r="50130" spans="8:8" x14ac:dyDescent="0.3">
      <c r="H50130" t="str">
        <f t="shared" si="832"/>
        <v/>
      </c>
    </row>
    <row r="50131" spans="8:8" x14ac:dyDescent="0.3">
      <c r="H50131" t="str">
        <f t="shared" si="832"/>
        <v/>
      </c>
    </row>
    <row r="50132" spans="8:8" x14ac:dyDescent="0.3">
      <c r="H50132" t="str">
        <f t="shared" si="832"/>
        <v/>
      </c>
    </row>
    <row r="50133" spans="8:8" x14ac:dyDescent="0.3">
      <c r="H50133" t="str">
        <f t="shared" si="832"/>
        <v/>
      </c>
    </row>
    <row r="50134" spans="8:8" x14ac:dyDescent="0.3">
      <c r="H50134" t="str">
        <f t="shared" si="832"/>
        <v/>
      </c>
    </row>
    <row r="50135" spans="8:8" x14ac:dyDescent="0.3">
      <c r="H50135" t="str">
        <f t="shared" ref="H50135:H50198" si="833">IF(B50135="","",$C$12)</f>
        <v/>
      </c>
    </row>
    <row r="50136" spans="8:8" x14ac:dyDescent="0.3">
      <c r="H50136" t="str">
        <f t="shared" si="833"/>
        <v/>
      </c>
    </row>
    <row r="50137" spans="8:8" x14ac:dyDescent="0.3">
      <c r="H50137" t="str">
        <f t="shared" si="833"/>
        <v/>
      </c>
    </row>
    <row r="50138" spans="8:8" x14ac:dyDescent="0.3">
      <c r="H50138" t="str">
        <f t="shared" si="833"/>
        <v/>
      </c>
    </row>
    <row r="50139" spans="8:8" x14ac:dyDescent="0.3">
      <c r="H50139" t="str">
        <f t="shared" si="833"/>
        <v/>
      </c>
    </row>
    <row r="50140" spans="8:8" x14ac:dyDescent="0.3">
      <c r="H50140" t="str">
        <f t="shared" si="833"/>
        <v/>
      </c>
    </row>
    <row r="50141" spans="8:8" x14ac:dyDescent="0.3">
      <c r="H50141" t="str">
        <f t="shared" si="833"/>
        <v/>
      </c>
    </row>
    <row r="50142" spans="8:8" x14ac:dyDescent="0.3">
      <c r="H50142" t="str">
        <f t="shared" si="833"/>
        <v/>
      </c>
    </row>
    <row r="50143" spans="8:8" x14ac:dyDescent="0.3">
      <c r="H50143" t="str">
        <f t="shared" si="833"/>
        <v/>
      </c>
    </row>
    <row r="50144" spans="8:8" x14ac:dyDescent="0.3">
      <c r="H50144" t="str">
        <f t="shared" si="833"/>
        <v/>
      </c>
    </row>
    <row r="50145" spans="8:8" x14ac:dyDescent="0.3">
      <c r="H50145" t="str">
        <f t="shared" si="833"/>
        <v/>
      </c>
    </row>
    <row r="50146" spans="8:8" x14ac:dyDescent="0.3">
      <c r="H50146" t="str">
        <f t="shared" si="833"/>
        <v/>
      </c>
    </row>
    <row r="50147" spans="8:8" x14ac:dyDescent="0.3">
      <c r="H50147" t="str">
        <f t="shared" si="833"/>
        <v/>
      </c>
    </row>
    <row r="50148" spans="8:8" x14ac:dyDescent="0.3">
      <c r="H50148" t="str">
        <f t="shared" si="833"/>
        <v/>
      </c>
    </row>
    <row r="50149" spans="8:8" x14ac:dyDescent="0.3">
      <c r="H50149" t="str">
        <f t="shared" si="833"/>
        <v/>
      </c>
    </row>
    <row r="50150" spans="8:8" x14ac:dyDescent="0.3">
      <c r="H50150" t="str">
        <f t="shared" si="833"/>
        <v/>
      </c>
    </row>
    <row r="50151" spans="8:8" x14ac:dyDescent="0.3">
      <c r="H50151" t="str">
        <f t="shared" si="833"/>
        <v/>
      </c>
    </row>
    <row r="50152" spans="8:8" x14ac:dyDescent="0.3">
      <c r="H50152" t="str">
        <f t="shared" si="833"/>
        <v/>
      </c>
    </row>
    <row r="50153" spans="8:8" x14ac:dyDescent="0.3">
      <c r="H50153" t="str">
        <f t="shared" si="833"/>
        <v/>
      </c>
    </row>
    <row r="50154" spans="8:8" x14ac:dyDescent="0.3">
      <c r="H50154" t="str">
        <f t="shared" si="833"/>
        <v/>
      </c>
    </row>
    <row r="50155" spans="8:8" x14ac:dyDescent="0.3">
      <c r="H50155" t="str">
        <f t="shared" si="833"/>
        <v/>
      </c>
    </row>
    <row r="50156" spans="8:8" x14ac:dyDescent="0.3">
      <c r="H50156" t="str">
        <f t="shared" si="833"/>
        <v/>
      </c>
    </row>
    <row r="50157" spans="8:8" x14ac:dyDescent="0.3">
      <c r="H50157" t="str">
        <f t="shared" si="833"/>
        <v/>
      </c>
    </row>
    <row r="50158" spans="8:8" x14ac:dyDescent="0.3">
      <c r="H50158" t="str">
        <f t="shared" si="833"/>
        <v/>
      </c>
    </row>
    <row r="50159" spans="8:8" x14ac:dyDescent="0.3">
      <c r="H50159" t="str">
        <f t="shared" si="833"/>
        <v/>
      </c>
    </row>
    <row r="50160" spans="8:8" x14ac:dyDescent="0.3">
      <c r="H50160" t="str">
        <f t="shared" si="833"/>
        <v/>
      </c>
    </row>
    <row r="50161" spans="8:8" x14ac:dyDescent="0.3">
      <c r="H50161" t="str">
        <f t="shared" si="833"/>
        <v/>
      </c>
    </row>
    <row r="50162" spans="8:8" x14ac:dyDescent="0.3">
      <c r="H50162" t="str">
        <f t="shared" si="833"/>
        <v/>
      </c>
    </row>
    <row r="50163" spans="8:8" x14ac:dyDescent="0.3">
      <c r="H50163" t="str">
        <f t="shared" si="833"/>
        <v/>
      </c>
    </row>
    <row r="50164" spans="8:8" x14ac:dyDescent="0.3">
      <c r="H50164" t="str">
        <f t="shared" si="833"/>
        <v/>
      </c>
    </row>
    <row r="50165" spans="8:8" x14ac:dyDescent="0.3">
      <c r="H50165" t="str">
        <f t="shared" si="833"/>
        <v/>
      </c>
    </row>
    <row r="50166" spans="8:8" x14ac:dyDescent="0.3">
      <c r="H50166" t="str">
        <f t="shared" si="833"/>
        <v/>
      </c>
    </row>
    <row r="50167" spans="8:8" x14ac:dyDescent="0.3">
      <c r="H50167" t="str">
        <f t="shared" si="833"/>
        <v/>
      </c>
    </row>
    <row r="50168" spans="8:8" x14ac:dyDescent="0.3">
      <c r="H50168" t="str">
        <f t="shared" si="833"/>
        <v/>
      </c>
    </row>
    <row r="50169" spans="8:8" x14ac:dyDescent="0.3">
      <c r="H50169" t="str">
        <f t="shared" si="833"/>
        <v/>
      </c>
    </row>
    <row r="50170" spans="8:8" x14ac:dyDescent="0.3">
      <c r="H50170" t="str">
        <f t="shared" si="833"/>
        <v/>
      </c>
    </row>
    <row r="50171" spans="8:8" x14ac:dyDescent="0.3">
      <c r="H50171" t="str">
        <f t="shared" si="833"/>
        <v/>
      </c>
    </row>
    <row r="50172" spans="8:8" x14ac:dyDescent="0.3">
      <c r="H50172" t="str">
        <f t="shared" si="833"/>
        <v/>
      </c>
    </row>
    <row r="50173" spans="8:8" x14ac:dyDescent="0.3">
      <c r="H50173" t="str">
        <f t="shared" si="833"/>
        <v/>
      </c>
    </row>
    <row r="50174" spans="8:8" x14ac:dyDescent="0.3">
      <c r="H50174" t="str">
        <f t="shared" si="833"/>
        <v/>
      </c>
    </row>
    <row r="50175" spans="8:8" x14ac:dyDescent="0.3">
      <c r="H50175" t="str">
        <f t="shared" si="833"/>
        <v/>
      </c>
    </row>
    <row r="50176" spans="8:8" x14ac:dyDescent="0.3">
      <c r="H50176" t="str">
        <f t="shared" si="833"/>
        <v/>
      </c>
    </row>
    <row r="50177" spans="8:8" x14ac:dyDescent="0.3">
      <c r="H50177" t="str">
        <f t="shared" si="833"/>
        <v/>
      </c>
    </row>
    <row r="50178" spans="8:8" x14ac:dyDescent="0.3">
      <c r="H50178" t="str">
        <f t="shared" si="833"/>
        <v/>
      </c>
    </row>
    <row r="50179" spans="8:8" x14ac:dyDescent="0.3">
      <c r="H50179" t="str">
        <f t="shared" si="833"/>
        <v/>
      </c>
    </row>
    <row r="50180" spans="8:8" x14ac:dyDescent="0.3">
      <c r="H50180" t="str">
        <f t="shared" si="833"/>
        <v/>
      </c>
    </row>
    <row r="50181" spans="8:8" x14ac:dyDescent="0.3">
      <c r="H50181" t="str">
        <f t="shared" si="833"/>
        <v/>
      </c>
    </row>
    <row r="50182" spans="8:8" x14ac:dyDescent="0.3">
      <c r="H50182" t="str">
        <f t="shared" si="833"/>
        <v/>
      </c>
    </row>
    <row r="50183" spans="8:8" x14ac:dyDescent="0.3">
      <c r="H50183" t="str">
        <f t="shared" si="833"/>
        <v/>
      </c>
    </row>
    <row r="50184" spans="8:8" x14ac:dyDescent="0.3">
      <c r="H50184" t="str">
        <f t="shared" si="833"/>
        <v/>
      </c>
    </row>
    <row r="50185" spans="8:8" x14ac:dyDescent="0.3">
      <c r="H50185" t="str">
        <f t="shared" si="833"/>
        <v/>
      </c>
    </row>
    <row r="50186" spans="8:8" x14ac:dyDescent="0.3">
      <c r="H50186" t="str">
        <f t="shared" si="833"/>
        <v/>
      </c>
    </row>
    <row r="50187" spans="8:8" x14ac:dyDescent="0.3">
      <c r="H50187" t="str">
        <f t="shared" si="833"/>
        <v/>
      </c>
    </row>
    <row r="50188" spans="8:8" x14ac:dyDescent="0.3">
      <c r="H50188" t="str">
        <f t="shared" si="833"/>
        <v/>
      </c>
    </row>
    <row r="50189" spans="8:8" x14ac:dyDescent="0.3">
      <c r="H50189" t="str">
        <f t="shared" si="833"/>
        <v/>
      </c>
    </row>
    <row r="50190" spans="8:8" x14ac:dyDescent="0.3">
      <c r="H50190" t="str">
        <f t="shared" si="833"/>
        <v/>
      </c>
    </row>
    <row r="50191" spans="8:8" x14ac:dyDescent="0.3">
      <c r="H50191" t="str">
        <f t="shared" si="833"/>
        <v/>
      </c>
    </row>
    <row r="50192" spans="8:8" x14ac:dyDescent="0.3">
      <c r="H50192" t="str">
        <f t="shared" si="833"/>
        <v/>
      </c>
    </row>
    <row r="50193" spans="8:8" x14ac:dyDescent="0.3">
      <c r="H50193" t="str">
        <f t="shared" si="833"/>
        <v/>
      </c>
    </row>
    <row r="50194" spans="8:8" x14ac:dyDescent="0.3">
      <c r="H50194" t="str">
        <f t="shared" si="833"/>
        <v/>
      </c>
    </row>
    <row r="50195" spans="8:8" x14ac:dyDescent="0.3">
      <c r="H50195" t="str">
        <f t="shared" si="833"/>
        <v/>
      </c>
    </row>
    <row r="50196" spans="8:8" x14ac:dyDescent="0.3">
      <c r="H50196" t="str">
        <f t="shared" si="833"/>
        <v/>
      </c>
    </row>
    <row r="50197" spans="8:8" x14ac:dyDescent="0.3">
      <c r="H50197" t="str">
        <f t="shared" si="833"/>
        <v/>
      </c>
    </row>
    <row r="50198" spans="8:8" x14ac:dyDescent="0.3">
      <c r="H50198" t="str">
        <f t="shared" si="833"/>
        <v/>
      </c>
    </row>
    <row r="50199" spans="8:8" x14ac:dyDescent="0.3">
      <c r="H50199" t="str">
        <f t="shared" ref="H50199:H50262" si="834">IF(B50199="","",$C$12)</f>
        <v/>
      </c>
    </row>
    <row r="50200" spans="8:8" x14ac:dyDescent="0.3">
      <c r="H50200" t="str">
        <f t="shared" si="834"/>
        <v/>
      </c>
    </row>
    <row r="50201" spans="8:8" x14ac:dyDescent="0.3">
      <c r="H50201" t="str">
        <f t="shared" si="834"/>
        <v/>
      </c>
    </row>
    <row r="50202" spans="8:8" x14ac:dyDescent="0.3">
      <c r="H50202" t="str">
        <f t="shared" si="834"/>
        <v/>
      </c>
    </row>
    <row r="50203" spans="8:8" x14ac:dyDescent="0.3">
      <c r="H50203" t="str">
        <f t="shared" si="834"/>
        <v/>
      </c>
    </row>
    <row r="50204" spans="8:8" x14ac:dyDescent="0.3">
      <c r="H50204" t="str">
        <f t="shared" si="834"/>
        <v/>
      </c>
    </row>
    <row r="50205" spans="8:8" x14ac:dyDescent="0.3">
      <c r="H50205" t="str">
        <f t="shared" si="834"/>
        <v/>
      </c>
    </row>
    <row r="50206" spans="8:8" x14ac:dyDescent="0.3">
      <c r="H50206" t="str">
        <f t="shared" si="834"/>
        <v/>
      </c>
    </row>
    <row r="50207" spans="8:8" x14ac:dyDescent="0.3">
      <c r="H50207" t="str">
        <f t="shared" si="834"/>
        <v/>
      </c>
    </row>
    <row r="50208" spans="8:8" x14ac:dyDescent="0.3">
      <c r="H50208" t="str">
        <f t="shared" si="834"/>
        <v/>
      </c>
    </row>
    <row r="50209" spans="8:8" x14ac:dyDescent="0.3">
      <c r="H50209" t="str">
        <f t="shared" si="834"/>
        <v/>
      </c>
    </row>
    <row r="50210" spans="8:8" x14ac:dyDescent="0.3">
      <c r="H50210" t="str">
        <f t="shared" si="834"/>
        <v/>
      </c>
    </row>
    <row r="50211" spans="8:8" x14ac:dyDescent="0.3">
      <c r="H50211" t="str">
        <f t="shared" si="834"/>
        <v/>
      </c>
    </row>
    <row r="50212" spans="8:8" x14ac:dyDescent="0.3">
      <c r="H50212" t="str">
        <f t="shared" si="834"/>
        <v/>
      </c>
    </row>
    <row r="50213" spans="8:8" x14ac:dyDescent="0.3">
      <c r="H50213" t="str">
        <f t="shared" si="834"/>
        <v/>
      </c>
    </row>
    <row r="50214" spans="8:8" x14ac:dyDescent="0.3">
      <c r="H50214" t="str">
        <f t="shared" si="834"/>
        <v/>
      </c>
    </row>
    <row r="50215" spans="8:8" x14ac:dyDescent="0.3">
      <c r="H50215" t="str">
        <f t="shared" si="834"/>
        <v/>
      </c>
    </row>
    <row r="50216" spans="8:8" x14ac:dyDescent="0.3">
      <c r="H50216" t="str">
        <f t="shared" si="834"/>
        <v/>
      </c>
    </row>
    <row r="50217" spans="8:8" x14ac:dyDescent="0.3">
      <c r="H50217" t="str">
        <f t="shared" si="834"/>
        <v/>
      </c>
    </row>
    <row r="50218" spans="8:8" x14ac:dyDescent="0.3">
      <c r="H50218" t="str">
        <f t="shared" si="834"/>
        <v/>
      </c>
    </row>
    <row r="50219" spans="8:8" x14ac:dyDescent="0.3">
      <c r="H50219" t="str">
        <f t="shared" si="834"/>
        <v/>
      </c>
    </row>
    <row r="50220" spans="8:8" x14ac:dyDescent="0.3">
      <c r="H50220" t="str">
        <f t="shared" si="834"/>
        <v/>
      </c>
    </row>
    <row r="50221" spans="8:8" x14ac:dyDescent="0.3">
      <c r="H50221" t="str">
        <f t="shared" si="834"/>
        <v/>
      </c>
    </row>
    <row r="50222" spans="8:8" x14ac:dyDescent="0.3">
      <c r="H50222" t="str">
        <f t="shared" si="834"/>
        <v/>
      </c>
    </row>
    <row r="50223" spans="8:8" x14ac:dyDescent="0.3">
      <c r="H50223" t="str">
        <f t="shared" si="834"/>
        <v/>
      </c>
    </row>
    <row r="50224" spans="8:8" x14ac:dyDescent="0.3">
      <c r="H50224" t="str">
        <f t="shared" si="834"/>
        <v/>
      </c>
    </row>
    <row r="50225" spans="8:8" x14ac:dyDescent="0.3">
      <c r="H50225" t="str">
        <f t="shared" si="834"/>
        <v/>
      </c>
    </row>
    <row r="50226" spans="8:8" x14ac:dyDescent="0.3">
      <c r="H50226" t="str">
        <f t="shared" si="834"/>
        <v/>
      </c>
    </row>
    <row r="50227" spans="8:8" x14ac:dyDescent="0.3">
      <c r="H50227" t="str">
        <f t="shared" si="834"/>
        <v/>
      </c>
    </row>
    <row r="50228" spans="8:8" x14ac:dyDescent="0.3">
      <c r="H50228" t="str">
        <f t="shared" si="834"/>
        <v/>
      </c>
    </row>
    <row r="50229" spans="8:8" x14ac:dyDescent="0.3">
      <c r="H50229" t="str">
        <f t="shared" si="834"/>
        <v/>
      </c>
    </row>
    <row r="50230" spans="8:8" x14ac:dyDescent="0.3">
      <c r="H50230" t="str">
        <f t="shared" si="834"/>
        <v/>
      </c>
    </row>
    <row r="50231" spans="8:8" x14ac:dyDescent="0.3">
      <c r="H50231" t="str">
        <f t="shared" si="834"/>
        <v/>
      </c>
    </row>
    <row r="50232" spans="8:8" x14ac:dyDescent="0.3">
      <c r="H50232" t="str">
        <f t="shared" si="834"/>
        <v/>
      </c>
    </row>
    <row r="50233" spans="8:8" x14ac:dyDescent="0.3">
      <c r="H50233" t="str">
        <f t="shared" si="834"/>
        <v/>
      </c>
    </row>
    <row r="50234" spans="8:8" x14ac:dyDescent="0.3">
      <c r="H50234" t="str">
        <f t="shared" si="834"/>
        <v/>
      </c>
    </row>
    <row r="50235" spans="8:8" x14ac:dyDescent="0.3">
      <c r="H50235" t="str">
        <f t="shared" si="834"/>
        <v/>
      </c>
    </row>
    <row r="50236" spans="8:8" x14ac:dyDescent="0.3">
      <c r="H50236" t="str">
        <f t="shared" si="834"/>
        <v/>
      </c>
    </row>
    <row r="50237" spans="8:8" x14ac:dyDescent="0.3">
      <c r="H50237" t="str">
        <f t="shared" si="834"/>
        <v/>
      </c>
    </row>
    <row r="50238" spans="8:8" x14ac:dyDescent="0.3">
      <c r="H50238" t="str">
        <f t="shared" si="834"/>
        <v/>
      </c>
    </row>
    <row r="50239" spans="8:8" x14ac:dyDescent="0.3">
      <c r="H50239" t="str">
        <f t="shared" si="834"/>
        <v/>
      </c>
    </row>
    <row r="50240" spans="8:8" x14ac:dyDescent="0.3">
      <c r="H50240" t="str">
        <f t="shared" si="834"/>
        <v/>
      </c>
    </row>
    <row r="50241" spans="8:8" x14ac:dyDescent="0.3">
      <c r="H50241" t="str">
        <f t="shared" si="834"/>
        <v/>
      </c>
    </row>
    <row r="50242" spans="8:8" x14ac:dyDescent="0.3">
      <c r="H50242" t="str">
        <f t="shared" si="834"/>
        <v/>
      </c>
    </row>
    <row r="50243" spans="8:8" x14ac:dyDescent="0.3">
      <c r="H50243" t="str">
        <f t="shared" si="834"/>
        <v/>
      </c>
    </row>
    <row r="50244" spans="8:8" x14ac:dyDescent="0.3">
      <c r="H50244" t="str">
        <f t="shared" si="834"/>
        <v/>
      </c>
    </row>
    <row r="50245" spans="8:8" x14ac:dyDescent="0.3">
      <c r="H50245" t="str">
        <f t="shared" si="834"/>
        <v/>
      </c>
    </row>
    <row r="50246" spans="8:8" x14ac:dyDescent="0.3">
      <c r="H50246" t="str">
        <f t="shared" si="834"/>
        <v/>
      </c>
    </row>
    <row r="50247" spans="8:8" x14ac:dyDescent="0.3">
      <c r="H50247" t="str">
        <f t="shared" si="834"/>
        <v/>
      </c>
    </row>
    <row r="50248" spans="8:8" x14ac:dyDescent="0.3">
      <c r="H50248" t="str">
        <f t="shared" si="834"/>
        <v/>
      </c>
    </row>
    <row r="50249" spans="8:8" x14ac:dyDescent="0.3">
      <c r="H50249" t="str">
        <f t="shared" si="834"/>
        <v/>
      </c>
    </row>
    <row r="50250" spans="8:8" x14ac:dyDescent="0.3">
      <c r="H50250" t="str">
        <f t="shared" si="834"/>
        <v/>
      </c>
    </row>
    <row r="50251" spans="8:8" x14ac:dyDescent="0.3">
      <c r="H50251" t="str">
        <f t="shared" si="834"/>
        <v/>
      </c>
    </row>
    <row r="50252" spans="8:8" x14ac:dyDescent="0.3">
      <c r="H50252" t="str">
        <f t="shared" si="834"/>
        <v/>
      </c>
    </row>
    <row r="50253" spans="8:8" x14ac:dyDescent="0.3">
      <c r="H50253" t="str">
        <f t="shared" si="834"/>
        <v/>
      </c>
    </row>
    <row r="50254" spans="8:8" x14ac:dyDescent="0.3">
      <c r="H50254" t="str">
        <f t="shared" si="834"/>
        <v/>
      </c>
    </row>
    <row r="50255" spans="8:8" x14ac:dyDescent="0.3">
      <c r="H50255" t="str">
        <f t="shared" si="834"/>
        <v/>
      </c>
    </row>
    <row r="50256" spans="8:8" x14ac:dyDescent="0.3">
      <c r="H50256" t="str">
        <f t="shared" si="834"/>
        <v/>
      </c>
    </row>
    <row r="50257" spans="8:8" x14ac:dyDescent="0.3">
      <c r="H50257" t="str">
        <f t="shared" si="834"/>
        <v/>
      </c>
    </row>
    <row r="50258" spans="8:8" x14ac:dyDescent="0.3">
      <c r="H50258" t="str">
        <f t="shared" si="834"/>
        <v/>
      </c>
    </row>
    <row r="50259" spans="8:8" x14ac:dyDescent="0.3">
      <c r="H50259" t="str">
        <f t="shared" si="834"/>
        <v/>
      </c>
    </row>
    <row r="50260" spans="8:8" x14ac:dyDescent="0.3">
      <c r="H50260" t="str">
        <f t="shared" si="834"/>
        <v/>
      </c>
    </row>
    <row r="50261" spans="8:8" x14ac:dyDescent="0.3">
      <c r="H50261" t="str">
        <f t="shared" si="834"/>
        <v/>
      </c>
    </row>
    <row r="50262" spans="8:8" x14ac:dyDescent="0.3">
      <c r="H50262" t="str">
        <f t="shared" si="834"/>
        <v/>
      </c>
    </row>
    <row r="50263" spans="8:8" x14ac:dyDescent="0.3">
      <c r="H50263" t="str">
        <f t="shared" ref="H50263:H50326" si="835">IF(B50263="","",$C$12)</f>
        <v/>
      </c>
    </row>
    <row r="50264" spans="8:8" x14ac:dyDescent="0.3">
      <c r="H50264" t="str">
        <f t="shared" si="835"/>
        <v/>
      </c>
    </row>
    <row r="50265" spans="8:8" x14ac:dyDescent="0.3">
      <c r="H50265" t="str">
        <f t="shared" si="835"/>
        <v/>
      </c>
    </row>
    <row r="50266" spans="8:8" x14ac:dyDescent="0.3">
      <c r="H50266" t="str">
        <f t="shared" si="835"/>
        <v/>
      </c>
    </row>
    <row r="50267" spans="8:8" x14ac:dyDescent="0.3">
      <c r="H50267" t="str">
        <f t="shared" si="835"/>
        <v/>
      </c>
    </row>
    <row r="50268" spans="8:8" x14ac:dyDescent="0.3">
      <c r="H50268" t="str">
        <f t="shared" si="835"/>
        <v/>
      </c>
    </row>
    <row r="50269" spans="8:8" x14ac:dyDescent="0.3">
      <c r="H50269" t="str">
        <f t="shared" si="835"/>
        <v/>
      </c>
    </row>
    <row r="50270" spans="8:8" x14ac:dyDescent="0.3">
      <c r="H50270" t="str">
        <f t="shared" si="835"/>
        <v/>
      </c>
    </row>
    <row r="50271" spans="8:8" x14ac:dyDescent="0.3">
      <c r="H50271" t="str">
        <f t="shared" si="835"/>
        <v/>
      </c>
    </row>
    <row r="50272" spans="8:8" x14ac:dyDescent="0.3">
      <c r="H50272" t="str">
        <f t="shared" si="835"/>
        <v/>
      </c>
    </row>
    <row r="50273" spans="8:8" x14ac:dyDescent="0.3">
      <c r="H50273" t="str">
        <f t="shared" si="835"/>
        <v/>
      </c>
    </row>
    <row r="50274" spans="8:8" x14ac:dyDescent="0.3">
      <c r="H50274" t="str">
        <f t="shared" si="835"/>
        <v/>
      </c>
    </row>
    <row r="50275" spans="8:8" x14ac:dyDescent="0.3">
      <c r="H50275" t="str">
        <f t="shared" si="835"/>
        <v/>
      </c>
    </row>
    <row r="50276" spans="8:8" x14ac:dyDescent="0.3">
      <c r="H50276" t="str">
        <f t="shared" si="835"/>
        <v/>
      </c>
    </row>
    <row r="50277" spans="8:8" x14ac:dyDescent="0.3">
      <c r="H50277" t="str">
        <f t="shared" si="835"/>
        <v/>
      </c>
    </row>
    <row r="50278" spans="8:8" x14ac:dyDescent="0.3">
      <c r="H50278" t="str">
        <f t="shared" si="835"/>
        <v/>
      </c>
    </row>
    <row r="50279" spans="8:8" x14ac:dyDescent="0.3">
      <c r="H50279" t="str">
        <f t="shared" si="835"/>
        <v/>
      </c>
    </row>
    <row r="50280" spans="8:8" x14ac:dyDescent="0.3">
      <c r="H50280" t="str">
        <f t="shared" si="835"/>
        <v/>
      </c>
    </row>
    <row r="50281" spans="8:8" x14ac:dyDescent="0.3">
      <c r="H50281" t="str">
        <f t="shared" si="835"/>
        <v/>
      </c>
    </row>
    <row r="50282" spans="8:8" x14ac:dyDescent="0.3">
      <c r="H50282" t="str">
        <f t="shared" si="835"/>
        <v/>
      </c>
    </row>
    <row r="50283" spans="8:8" x14ac:dyDescent="0.3">
      <c r="H50283" t="str">
        <f t="shared" si="835"/>
        <v/>
      </c>
    </row>
    <row r="50284" spans="8:8" x14ac:dyDescent="0.3">
      <c r="H50284" t="str">
        <f t="shared" si="835"/>
        <v/>
      </c>
    </row>
    <row r="50285" spans="8:8" x14ac:dyDescent="0.3">
      <c r="H50285" t="str">
        <f t="shared" si="835"/>
        <v/>
      </c>
    </row>
    <row r="50286" spans="8:8" x14ac:dyDescent="0.3">
      <c r="H50286" t="str">
        <f t="shared" si="835"/>
        <v/>
      </c>
    </row>
    <row r="50287" spans="8:8" x14ac:dyDescent="0.3">
      <c r="H50287" t="str">
        <f t="shared" si="835"/>
        <v/>
      </c>
    </row>
    <row r="50288" spans="8:8" x14ac:dyDescent="0.3">
      <c r="H50288" t="str">
        <f t="shared" si="835"/>
        <v/>
      </c>
    </row>
    <row r="50289" spans="8:8" x14ac:dyDescent="0.3">
      <c r="H50289" t="str">
        <f t="shared" si="835"/>
        <v/>
      </c>
    </row>
    <row r="50290" spans="8:8" x14ac:dyDescent="0.3">
      <c r="H50290" t="str">
        <f t="shared" si="835"/>
        <v/>
      </c>
    </row>
    <row r="50291" spans="8:8" x14ac:dyDescent="0.3">
      <c r="H50291" t="str">
        <f t="shared" si="835"/>
        <v/>
      </c>
    </row>
    <row r="50292" spans="8:8" x14ac:dyDescent="0.3">
      <c r="H50292" t="str">
        <f t="shared" si="835"/>
        <v/>
      </c>
    </row>
    <row r="50293" spans="8:8" x14ac:dyDescent="0.3">
      <c r="H50293" t="str">
        <f t="shared" si="835"/>
        <v/>
      </c>
    </row>
    <row r="50294" spans="8:8" x14ac:dyDescent="0.3">
      <c r="H50294" t="str">
        <f t="shared" si="835"/>
        <v/>
      </c>
    </row>
    <row r="50295" spans="8:8" x14ac:dyDescent="0.3">
      <c r="H50295" t="str">
        <f t="shared" si="835"/>
        <v/>
      </c>
    </row>
    <row r="50296" spans="8:8" x14ac:dyDescent="0.3">
      <c r="H50296" t="str">
        <f t="shared" si="835"/>
        <v/>
      </c>
    </row>
    <row r="50297" spans="8:8" x14ac:dyDescent="0.3">
      <c r="H50297" t="str">
        <f t="shared" si="835"/>
        <v/>
      </c>
    </row>
    <row r="50298" spans="8:8" x14ac:dyDescent="0.3">
      <c r="H50298" t="str">
        <f t="shared" si="835"/>
        <v/>
      </c>
    </row>
    <row r="50299" spans="8:8" x14ac:dyDescent="0.3">
      <c r="H50299" t="str">
        <f t="shared" si="835"/>
        <v/>
      </c>
    </row>
    <row r="50300" spans="8:8" x14ac:dyDescent="0.3">
      <c r="H50300" t="str">
        <f t="shared" si="835"/>
        <v/>
      </c>
    </row>
    <row r="50301" spans="8:8" x14ac:dyDescent="0.3">
      <c r="H50301" t="str">
        <f t="shared" si="835"/>
        <v/>
      </c>
    </row>
    <row r="50302" spans="8:8" x14ac:dyDescent="0.3">
      <c r="H50302" t="str">
        <f t="shared" si="835"/>
        <v/>
      </c>
    </row>
    <row r="50303" spans="8:8" x14ac:dyDescent="0.3">
      <c r="H50303" t="str">
        <f t="shared" si="835"/>
        <v/>
      </c>
    </row>
    <row r="50304" spans="8:8" x14ac:dyDescent="0.3">
      <c r="H50304" t="str">
        <f t="shared" si="835"/>
        <v/>
      </c>
    </row>
    <row r="50305" spans="8:8" x14ac:dyDescent="0.3">
      <c r="H50305" t="str">
        <f t="shared" si="835"/>
        <v/>
      </c>
    </row>
    <row r="50306" spans="8:8" x14ac:dyDescent="0.3">
      <c r="H50306" t="str">
        <f t="shared" si="835"/>
        <v/>
      </c>
    </row>
    <row r="50307" spans="8:8" x14ac:dyDescent="0.3">
      <c r="H50307" t="str">
        <f t="shared" si="835"/>
        <v/>
      </c>
    </row>
    <row r="50308" spans="8:8" x14ac:dyDescent="0.3">
      <c r="H50308" t="str">
        <f t="shared" si="835"/>
        <v/>
      </c>
    </row>
    <row r="50309" spans="8:8" x14ac:dyDescent="0.3">
      <c r="H50309" t="str">
        <f t="shared" si="835"/>
        <v/>
      </c>
    </row>
    <row r="50310" spans="8:8" x14ac:dyDescent="0.3">
      <c r="H50310" t="str">
        <f t="shared" si="835"/>
        <v/>
      </c>
    </row>
    <row r="50311" spans="8:8" x14ac:dyDescent="0.3">
      <c r="H50311" t="str">
        <f t="shared" si="835"/>
        <v/>
      </c>
    </row>
    <row r="50312" spans="8:8" x14ac:dyDescent="0.3">
      <c r="H50312" t="str">
        <f t="shared" si="835"/>
        <v/>
      </c>
    </row>
    <row r="50313" spans="8:8" x14ac:dyDescent="0.3">
      <c r="H50313" t="str">
        <f t="shared" si="835"/>
        <v/>
      </c>
    </row>
    <row r="50314" spans="8:8" x14ac:dyDescent="0.3">
      <c r="H50314" t="str">
        <f t="shared" si="835"/>
        <v/>
      </c>
    </row>
    <row r="50315" spans="8:8" x14ac:dyDescent="0.3">
      <c r="H50315" t="str">
        <f t="shared" si="835"/>
        <v/>
      </c>
    </row>
    <row r="50316" spans="8:8" x14ac:dyDescent="0.3">
      <c r="H50316" t="str">
        <f t="shared" si="835"/>
        <v/>
      </c>
    </row>
    <row r="50317" spans="8:8" x14ac:dyDescent="0.3">
      <c r="H50317" t="str">
        <f t="shared" si="835"/>
        <v/>
      </c>
    </row>
    <row r="50318" spans="8:8" x14ac:dyDescent="0.3">
      <c r="H50318" t="str">
        <f t="shared" si="835"/>
        <v/>
      </c>
    </row>
    <row r="50319" spans="8:8" x14ac:dyDescent="0.3">
      <c r="H50319" t="str">
        <f t="shared" si="835"/>
        <v/>
      </c>
    </row>
    <row r="50320" spans="8:8" x14ac:dyDescent="0.3">
      <c r="H50320" t="str">
        <f t="shared" si="835"/>
        <v/>
      </c>
    </row>
    <row r="50321" spans="8:8" x14ac:dyDescent="0.3">
      <c r="H50321" t="str">
        <f t="shared" si="835"/>
        <v/>
      </c>
    </row>
    <row r="50322" spans="8:8" x14ac:dyDescent="0.3">
      <c r="H50322" t="str">
        <f t="shared" si="835"/>
        <v/>
      </c>
    </row>
    <row r="50323" spans="8:8" x14ac:dyDescent="0.3">
      <c r="H50323" t="str">
        <f t="shared" si="835"/>
        <v/>
      </c>
    </row>
    <row r="50324" spans="8:8" x14ac:dyDescent="0.3">
      <c r="H50324" t="str">
        <f t="shared" si="835"/>
        <v/>
      </c>
    </row>
    <row r="50325" spans="8:8" x14ac:dyDescent="0.3">
      <c r="H50325" t="str">
        <f t="shared" si="835"/>
        <v/>
      </c>
    </row>
    <row r="50326" spans="8:8" x14ac:dyDescent="0.3">
      <c r="H50326" t="str">
        <f t="shared" si="835"/>
        <v/>
      </c>
    </row>
    <row r="50327" spans="8:8" x14ac:dyDescent="0.3">
      <c r="H50327" t="str">
        <f t="shared" ref="H50327:H50390" si="836">IF(B50327="","",$C$12)</f>
        <v/>
      </c>
    </row>
    <row r="50328" spans="8:8" x14ac:dyDescent="0.3">
      <c r="H50328" t="str">
        <f t="shared" si="836"/>
        <v/>
      </c>
    </row>
    <row r="50329" spans="8:8" x14ac:dyDescent="0.3">
      <c r="H50329" t="str">
        <f t="shared" si="836"/>
        <v/>
      </c>
    </row>
    <row r="50330" spans="8:8" x14ac:dyDescent="0.3">
      <c r="H50330" t="str">
        <f t="shared" si="836"/>
        <v/>
      </c>
    </row>
    <row r="50331" spans="8:8" x14ac:dyDescent="0.3">
      <c r="H50331" t="str">
        <f t="shared" si="836"/>
        <v/>
      </c>
    </row>
    <row r="50332" spans="8:8" x14ac:dyDescent="0.3">
      <c r="H50332" t="str">
        <f t="shared" si="836"/>
        <v/>
      </c>
    </row>
    <row r="50333" spans="8:8" x14ac:dyDescent="0.3">
      <c r="H50333" t="str">
        <f t="shared" si="836"/>
        <v/>
      </c>
    </row>
    <row r="50334" spans="8:8" x14ac:dyDescent="0.3">
      <c r="H50334" t="str">
        <f t="shared" si="836"/>
        <v/>
      </c>
    </row>
    <row r="50335" spans="8:8" x14ac:dyDescent="0.3">
      <c r="H50335" t="str">
        <f t="shared" si="836"/>
        <v/>
      </c>
    </row>
    <row r="50336" spans="8:8" x14ac:dyDescent="0.3">
      <c r="H50336" t="str">
        <f t="shared" si="836"/>
        <v/>
      </c>
    </row>
    <row r="50337" spans="8:8" x14ac:dyDescent="0.3">
      <c r="H50337" t="str">
        <f t="shared" si="836"/>
        <v/>
      </c>
    </row>
    <row r="50338" spans="8:8" x14ac:dyDescent="0.3">
      <c r="H50338" t="str">
        <f t="shared" si="836"/>
        <v/>
      </c>
    </row>
    <row r="50339" spans="8:8" x14ac:dyDescent="0.3">
      <c r="H50339" t="str">
        <f t="shared" si="836"/>
        <v/>
      </c>
    </row>
    <row r="50340" spans="8:8" x14ac:dyDescent="0.3">
      <c r="H50340" t="str">
        <f t="shared" si="836"/>
        <v/>
      </c>
    </row>
    <row r="50341" spans="8:8" x14ac:dyDescent="0.3">
      <c r="H50341" t="str">
        <f t="shared" si="836"/>
        <v/>
      </c>
    </row>
    <row r="50342" spans="8:8" x14ac:dyDescent="0.3">
      <c r="H50342" t="str">
        <f t="shared" si="836"/>
        <v/>
      </c>
    </row>
    <row r="50343" spans="8:8" x14ac:dyDescent="0.3">
      <c r="H50343" t="str">
        <f t="shared" si="836"/>
        <v/>
      </c>
    </row>
    <row r="50344" spans="8:8" x14ac:dyDescent="0.3">
      <c r="H50344" t="str">
        <f t="shared" si="836"/>
        <v/>
      </c>
    </row>
    <row r="50345" spans="8:8" x14ac:dyDescent="0.3">
      <c r="H50345" t="str">
        <f t="shared" si="836"/>
        <v/>
      </c>
    </row>
    <row r="50346" spans="8:8" x14ac:dyDescent="0.3">
      <c r="H50346" t="str">
        <f t="shared" si="836"/>
        <v/>
      </c>
    </row>
    <row r="50347" spans="8:8" x14ac:dyDescent="0.3">
      <c r="H50347" t="str">
        <f t="shared" si="836"/>
        <v/>
      </c>
    </row>
    <row r="50348" spans="8:8" x14ac:dyDescent="0.3">
      <c r="H50348" t="str">
        <f t="shared" si="836"/>
        <v/>
      </c>
    </row>
    <row r="50349" spans="8:8" x14ac:dyDescent="0.3">
      <c r="H50349" t="str">
        <f t="shared" si="836"/>
        <v/>
      </c>
    </row>
    <row r="50350" spans="8:8" x14ac:dyDescent="0.3">
      <c r="H50350" t="str">
        <f t="shared" si="836"/>
        <v/>
      </c>
    </row>
    <row r="50351" spans="8:8" x14ac:dyDescent="0.3">
      <c r="H50351" t="str">
        <f t="shared" si="836"/>
        <v/>
      </c>
    </row>
    <row r="50352" spans="8:8" x14ac:dyDescent="0.3">
      <c r="H50352" t="str">
        <f t="shared" si="836"/>
        <v/>
      </c>
    </row>
    <row r="50353" spans="8:8" x14ac:dyDescent="0.3">
      <c r="H50353" t="str">
        <f t="shared" si="836"/>
        <v/>
      </c>
    </row>
    <row r="50354" spans="8:8" x14ac:dyDescent="0.3">
      <c r="H50354" t="str">
        <f t="shared" si="836"/>
        <v/>
      </c>
    </row>
    <row r="50355" spans="8:8" x14ac:dyDescent="0.3">
      <c r="H50355" t="str">
        <f t="shared" si="836"/>
        <v/>
      </c>
    </row>
    <row r="50356" spans="8:8" x14ac:dyDescent="0.3">
      <c r="H50356" t="str">
        <f t="shared" si="836"/>
        <v/>
      </c>
    </row>
    <row r="50357" spans="8:8" x14ac:dyDescent="0.3">
      <c r="H50357" t="str">
        <f t="shared" si="836"/>
        <v/>
      </c>
    </row>
    <row r="50358" spans="8:8" x14ac:dyDescent="0.3">
      <c r="H50358" t="str">
        <f t="shared" si="836"/>
        <v/>
      </c>
    </row>
    <row r="50359" spans="8:8" x14ac:dyDescent="0.3">
      <c r="H50359" t="str">
        <f t="shared" si="836"/>
        <v/>
      </c>
    </row>
    <row r="50360" spans="8:8" x14ac:dyDescent="0.3">
      <c r="H50360" t="str">
        <f t="shared" si="836"/>
        <v/>
      </c>
    </row>
    <row r="50361" spans="8:8" x14ac:dyDescent="0.3">
      <c r="H50361" t="str">
        <f t="shared" si="836"/>
        <v/>
      </c>
    </row>
    <row r="50362" spans="8:8" x14ac:dyDescent="0.3">
      <c r="H50362" t="str">
        <f t="shared" si="836"/>
        <v/>
      </c>
    </row>
    <row r="50363" spans="8:8" x14ac:dyDescent="0.3">
      <c r="H50363" t="str">
        <f t="shared" si="836"/>
        <v/>
      </c>
    </row>
    <row r="50364" spans="8:8" x14ac:dyDescent="0.3">
      <c r="H50364" t="str">
        <f t="shared" si="836"/>
        <v/>
      </c>
    </row>
    <row r="50365" spans="8:8" x14ac:dyDescent="0.3">
      <c r="H50365" t="str">
        <f t="shared" si="836"/>
        <v/>
      </c>
    </row>
    <row r="50366" spans="8:8" x14ac:dyDescent="0.3">
      <c r="H50366" t="str">
        <f t="shared" si="836"/>
        <v/>
      </c>
    </row>
    <row r="50367" spans="8:8" x14ac:dyDescent="0.3">
      <c r="H50367" t="str">
        <f t="shared" si="836"/>
        <v/>
      </c>
    </row>
    <row r="50368" spans="8:8" x14ac:dyDescent="0.3">
      <c r="H50368" t="str">
        <f t="shared" si="836"/>
        <v/>
      </c>
    </row>
    <row r="50369" spans="8:8" x14ac:dyDescent="0.3">
      <c r="H50369" t="str">
        <f t="shared" si="836"/>
        <v/>
      </c>
    </row>
    <row r="50370" spans="8:8" x14ac:dyDescent="0.3">
      <c r="H50370" t="str">
        <f t="shared" si="836"/>
        <v/>
      </c>
    </row>
    <row r="50371" spans="8:8" x14ac:dyDescent="0.3">
      <c r="H50371" t="str">
        <f t="shared" si="836"/>
        <v/>
      </c>
    </row>
    <row r="50372" spans="8:8" x14ac:dyDescent="0.3">
      <c r="H50372" t="str">
        <f t="shared" si="836"/>
        <v/>
      </c>
    </row>
    <row r="50373" spans="8:8" x14ac:dyDescent="0.3">
      <c r="H50373" t="str">
        <f t="shared" si="836"/>
        <v/>
      </c>
    </row>
    <row r="50374" spans="8:8" x14ac:dyDescent="0.3">
      <c r="H50374" t="str">
        <f t="shared" si="836"/>
        <v/>
      </c>
    </row>
    <row r="50375" spans="8:8" x14ac:dyDescent="0.3">
      <c r="H50375" t="str">
        <f t="shared" si="836"/>
        <v/>
      </c>
    </row>
    <row r="50376" spans="8:8" x14ac:dyDescent="0.3">
      <c r="H50376" t="str">
        <f t="shared" si="836"/>
        <v/>
      </c>
    </row>
    <row r="50377" spans="8:8" x14ac:dyDescent="0.3">
      <c r="H50377" t="str">
        <f t="shared" si="836"/>
        <v/>
      </c>
    </row>
    <row r="50378" spans="8:8" x14ac:dyDescent="0.3">
      <c r="H50378" t="str">
        <f t="shared" si="836"/>
        <v/>
      </c>
    </row>
    <row r="50379" spans="8:8" x14ac:dyDescent="0.3">
      <c r="H50379" t="str">
        <f t="shared" si="836"/>
        <v/>
      </c>
    </row>
    <row r="50380" spans="8:8" x14ac:dyDescent="0.3">
      <c r="H50380" t="str">
        <f t="shared" si="836"/>
        <v/>
      </c>
    </row>
    <row r="50381" spans="8:8" x14ac:dyDescent="0.3">
      <c r="H50381" t="str">
        <f t="shared" si="836"/>
        <v/>
      </c>
    </row>
    <row r="50382" spans="8:8" x14ac:dyDescent="0.3">
      <c r="H50382" t="str">
        <f t="shared" si="836"/>
        <v/>
      </c>
    </row>
    <row r="50383" spans="8:8" x14ac:dyDescent="0.3">
      <c r="H50383" t="str">
        <f t="shared" si="836"/>
        <v/>
      </c>
    </row>
    <row r="50384" spans="8:8" x14ac:dyDescent="0.3">
      <c r="H50384" t="str">
        <f t="shared" si="836"/>
        <v/>
      </c>
    </row>
    <row r="50385" spans="8:8" x14ac:dyDescent="0.3">
      <c r="H50385" t="str">
        <f t="shared" si="836"/>
        <v/>
      </c>
    </row>
    <row r="50386" spans="8:8" x14ac:dyDescent="0.3">
      <c r="H50386" t="str">
        <f t="shared" si="836"/>
        <v/>
      </c>
    </row>
    <row r="50387" spans="8:8" x14ac:dyDescent="0.3">
      <c r="H50387" t="str">
        <f t="shared" si="836"/>
        <v/>
      </c>
    </row>
    <row r="50388" spans="8:8" x14ac:dyDescent="0.3">
      <c r="H50388" t="str">
        <f t="shared" si="836"/>
        <v/>
      </c>
    </row>
    <row r="50389" spans="8:8" x14ac:dyDescent="0.3">
      <c r="H50389" t="str">
        <f t="shared" si="836"/>
        <v/>
      </c>
    </row>
    <row r="50390" spans="8:8" x14ac:dyDescent="0.3">
      <c r="H50390" t="str">
        <f t="shared" si="836"/>
        <v/>
      </c>
    </row>
    <row r="50391" spans="8:8" x14ac:dyDescent="0.3">
      <c r="H50391" t="str">
        <f t="shared" ref="H50391:H50454" si="837">IF(B50391="","",$C$12)</f>
        <v/>
      </c>
    </row>
    <row r="50392" spans="8:8" x14ac:dyDescent="0.3">
      <c r="H50392" t="str">
        <f t="shared" si="837"/>
        <v/>
      </c>
    </row>
    <row r="50393" spans="8:8" x14ac:dyDescent="0.3">
      <c r="H50393" t="str">
        <f t="shared" si="837"/>
        <v/>
      </c>
    </row>
    <row r="50394" spans="8:8" x14ac:dyDescent="0.3">
      <c r="H50394" t="str">
        <f t="shared" si="837"/>
        <v/>
      </c>
    </row>
    <row r="50395" spans="8:8" x14ac:dyDescent="0.3">
      <c r="H50395" t="str">
        <f t="shared" si="837"/>
        <v/>
      </c>
    </row>
    <row r="50396" spans="8:8" x14ac:dyDescent="0.3">
      <c r="H50396" t="str">
        <f t="shared" si="837"/>
        <v/>
      </c>
    </row>
    <row r="50397" spans="8:8" x14ac:dyDescent="0.3">
      <c r="H50397" t="str">
        <f t="shared" si="837"/>
        <v/>
      </c>
    </row>
    <row r="50398" spans="8:8" x14ac:dyDescent="0.3">
      <c r="H50398" t="str">
        <f t="shared" si="837"/>
        <v/>
      </c>
    </row>
    <row r="50399" spans="8:8" x14ac:dyDescent="0.3">
      <c r="H50399" t="str">
        <f t="shared" si="837"/>
        <v/>
      </c>
    </row>
    <row r="50400" spans="8:8" x14ac:dyDescent="0.3">
      <c r="H50400" t="str">
        <f t="shared" si="837"/>
        <v/>
      </c>
    </row>
    <row r="50401" spans="8:8" x14ac:dyDescent="0.3">
      <c r="H50401" t="str">
        <f t="shared" si="837"/>
        <v/>
      </c>
    </row>
    <row r="50402" spans="8:8" x14ac:dyDescent="0.3">
      <c r="H50402" t="str">
        <f t="shared" si="837"/>
        <v/>
      </c>
    </row>
    <row r="50403" spans="8:8" x14ac:dyDescent="0.3">
      <c r="H50403" t="str">
        <f t="shared" si="837"/>
        <v/>
      </c>
    </row>
    <row r="50404" spans="8:8" x14ac:dyDescent="0.3">
      <c r="H50404" t="str">
        <f t="shared" si="837"/>
        <v/>
      </c>
    </row>
    <row r="50405" spans="8:8" x14ac:dyDescent="0.3">
      <c r="H50405" t="str">
        <f t="shared" si="837"/>
        <v/>
      </c>
    </row>
    <row r="50406" spans="8:8" x14ac:dyDescent="0.3">
      <c r="H50406" t="str">
        <f t="shared" si="837"/>
        <v/>
      </c>
    </row>
    <row r="50407" spans="8:8" x14ac:dyDescent="0.3">
      <c r="H50407" t="str">
        <f t="shared" si="837"/>
        <v/>
      </c>
    </row>
    <row r="50408" spans="8:8" x14ac:dyDescent="0.3">
      <c r="H50408" t="str">
        <f t="shared" si="837"/>
        <v/>
      </c>
    </row>
    <row r="50409" spans="8:8" x14ac:dyDescent="0.3">
      <c r="H50409" t="str">
        <f t="shared" si="837"/>
        <v/>
      </c>
    </row>
    <row r="50410" spans="8:8" x14ac:dyDescent="0.3">
      <c r="H50410" t="str">
        <f t="shared" si="837"/>
        <v/>
      </c>
    </row>
    <row r="50411" spans="8:8" x14ac:dyDescent="0.3">
      <c r="H50411" t="str">
        <f t="shared" si="837"/>
        <v/>
      </c>
    </row>
    <row r="50412" spans="8:8" x14ac:dyDescent="0.3">
      <c r="H50412" t="str">
        <f t="shared" si="837"/>
        <v/>
      </c>
    </row>
    <row r="50413" spans="8:8" x14ac:dyDescent="0.3">
      <c r="H50413" t="str">
        <f t="shared" si="837"/>
        <v/>
      </c>
    </row>
    <row r="50414" spans="8:8" x14ac:dyDescent="0.3">
      <c r="H50414" t="str">
        <f t="shared" si="837"/>
        <v/>
      </c>
    </row>
    <row r="50415" spans="8:8" x14ac:dyDescent="0.3">
      <c r="H50415" t="str">
        <f t="shared" si="837"/>
        <v/>
      </c>
    </row>
    <row r="50416" spans="8:8" x14ac:dyDescent="0.3">
      <c r="H50416" t="str">
        <f t="shared" si="837"/>
        <v/>
      </c>
    </row>
    <row r="50417" spans="8:8" x14ac:dyDescent="0.3">
      <c r="H50417" t="str">
        <f t="shared" si="837"/>
        <v/>
      </c>
    </row>
    <row r="50418" spans="8:8" x14ac:dyDescent="0.3">
      <c r="H50418" t="str">
        <f t="shared" si="837"/>
        <v/>
      </c>
    </row>
    <row r="50419" spans="8:8" x14ac:dyDescent="0.3">
      <c r="H50419" t="str">
        <f t="shared" si="837"/>
        <v/>
      </c>
    </row>
    <row r="50420" spans="8:8" x14ac:dyDescent="0.3">
      <c r="H50420" t="str">
        <f t="shared" si="837"/>
        <v/>
      </c>
    </row>
    <row r="50421" spans="8:8" x14ac:dyDescent="0.3">
      <c r="H50421" t="str">
        <f t="shared" si="837"/>
        <v/>
      </c>
    </row>
    <row r="50422" spans="8:8" x14ac:dyDescent="0.3">
      <c r="H50422" t="str">
        <f t="shared" si="837"/>
        <v/>
      </c>
    </row>
    <row r="50423" spans="8:8" x14ac:dyDescent="0.3">
      <c r="H50423" t="str">
        <f t="shared" si="837"/>
        <v/>
      </c>
    </row>
    <row r="50424" spans="8:8" x14ac:dyDescent="0.3">
      <c r="H50424" t="str">
        <f t="shared" si="837"/>
        <v/>
      </c>
    </row>
    <row r="50425" spans="8:8" x14ac:dyDescent="0.3">
      <c r="H50425" t="str">
        <f t="shared" si="837"/>
        <v/>
      </c>
    </row>
    <row r="50426" spans="8:8" x14ac:dyDescent="0.3">
      <c r="H50426" t="str">
        <f t="shared" si="837"/>
        <v/>
      </c>
    </row>
    <row r="50427" spans="8:8" x14ac:dyDescent="0.3">
      <c r="H50427" t="str">
        <f t="shared" si="837"/>
        <v/>
      </c>
    </row>
    <row r="50428" spans="8:8" x14ac:dyDescent="0.3">
      <c r="H50428" t="str">
        <f t="shared" si="837"/>
        <v/>
      </c>
    </row>
    <row r="50429" spans="8:8" x14ac:dyDescent="0.3">
      <c r="H50429" t="str">
        <f t="shared" si="837"/>
        <v/>
      </c>
    </row>
    <row r="50430" spans="8:8" x14ac:dyDescent="0.3">
      <c r="H50430" t="str">
        <f t="shared" si="837"/>
        <v/>
      </c>
    </row>
    <row r="50431" spans="8:8" x14ac:dyDescent="0.3">
      <c r="H50431" t="str">
        <f t="shared" si="837"/>
        <v/>
      </c>
    </row>
    <row r="50432" spans="8:8" x14ac:dyDescent="0.3">
      <c r="H50432" t="str">
        <f t="shared" si="837"/>
        <v/>
      </c>
    </row>
    <row r="50433" spans="8:8" x14ac:dyDescent="0.3">
      <c r="H50433" t="str">
        <f t="shared" si="837"/>
        <v/>
      </c>
    </row>
    <row r="50434" spans="8:8" x14ac:dyDescent="0.3">
      <c r="H50434" t="str">
        <f t="shared" si="837"/>
        <v/>
      </c>
    </row>
    <row r="50435" spans="8:8" x14ac:dyDescent="0.3">
      <c r="H50435" t="str">
        <f t="shared" si="837"/>
        <v/>
      </c>
    </row>
    <row r="50436" spans="8:8" x14ac:dyDescent="0.3">
      <c r="H50436" t="str">
        <f t="shared" si="837"/>
        <v/>
      </c>
    </row>
    <row r="50437" spans="8:8" x14ac:dyDescent="0.3">
      <c r="H50437" t="str">
        <f t="shared" si="837"/>
        <v/>
      </c>
    </row>
    <row r="50438" spans="8:8" x14ac:dyDescent="0.3">
      <c r="H50438" t="str">
        <f t="shared" si="837"/>
        <v/>
      </c>
    </row>
    <row r="50439" spans="8:8" x14ac:dyDescent="0.3">
      <c r="H50439" t="str">
        <f t="shared" si="837"/>
        <v/>
      </c>
    </row>
    <row r="50440" spans="8:8" x14ac:dyDescent="0.3">
      <c r="H50440" t="str">
        <f t="shared" si="837"/>
        <v/>
      </c>
    </row>
    <row r="50441" spans="8:8" x14ac:dyDescent="0.3">
      <c r="H50441" t="str">
        <f t="shared" si="837"/>
        <v/>
      </c>
    </row>
    <row r="50442" spans="8:8" x14ac:dyDescent="0.3">
      <c r="H50442" t="str">
        <f t="shared" si="837"/>
        <v/>
      </c>
    </row>
    <row r="50443" spans="8:8" x14ac:dyDescent="0.3">
      <c r="H50443" t="str">
        <f t="shared" si="837"/>
        <v/>
      </c>
    </row>
    <row r="50444" spans="8:8" x14ac:dyDescent="0.3">
      <c r="H50444" t="str">
        <f t="shared" si="837"/>
        <v/>
      </c>
    </row>
    <row r="50445" spans="8:8" x14ac:dyDescent="0.3">
      <c r="H50445" t="str">
        <f t="shared" si="837"/>
        <v/>
      </c>
    </row>
    <row r="50446" spans="8:8" x14ac:dyDescent="0.3">
      <c r="H50446" t="str">
        <f t="shared" si="837"/>
        <v/>
      </c>
    </row>
    <row r="50447" spans="8:8" x14ac:dyDescent="0.3">
      <c r="H50447" t="str">
        <f t="shared" si="837"/>
        <v/>
      </c>
    </row>
    <row r="50448" spans="8:8" x14ac:dyDescent="0.3">
      <c r="H50448" t="str">
        <f t="shared" si="837"/>
        <v/>
      </c>
    </row>
    <row r="50449" spans="8:8" x14ac:dyDescent="0.3">
      <c r="H50449" t="str">
        <f t="shared" si="837"/>
        <v/>
      </c>
    </row>
    <row r="50450" spans="8:8" x14ac:dyDescent="0.3">
      <c r="H50450" t="str">
        <f t="shared" si="837"/>
        <v/>
      </c>
    </row>
    <row r="50451" spans="8:8" x14ac:dyDescent="0.3">
      <c r="H50451" t="str">
        <f t="shared" si="837"/>
        <v/>
      </c>
    </row>
    <row r="50452" spans="8:8" x14ac:dyDescent="0.3">
      <c r="H50452" t="str">
        <f t="shared" si="837"/>
        <v/>
      </c>
    </row>
    <row r="50453" spans="8:8" x14ac:dyDescent="0.3">
      <c r="H50453" t="str">
        <f t="shared" si="837"/>
        <v/>
      </c>
    </row>
    <row r="50454" spans="8:8" x14ac:dyDescent="0.3">
      <c r="H50454" t="str">
        <f t="shared" si="837"/>
        <v/>
      </c>
    </row>
    <row r="50455" spans="8:8" x14ac:dyDescent="0.3">
      <c r="H50455" t="str">
        <f t="shared" ref="H50455:H50518" si="838">IF(B50455="","",$C$12)</f>
        <v/>
      </c>
    </row>
    <row r="50456" spans="8:8" x14ac:dyDescent="0.3">
      <c r="H50456" t="str">
        <f t="shared" si="838"/>
        <v/>
      </c>
    </row>
    <row r="50457" spans="8:8" x14ac:dyDescent="0.3">
      <c r="H50457" t="str">
        <f t="shared" si="838"/>
        <v/>
      </c>
    </row>
    <row r="50458" spans="8:8" x14ac:dyDescent="0.3">
      <c r="H50458" t="str">
        <f t="shared" si="838"/>
        <v/>
      </c>
    </row>
    <row r="50459" spans="8:8" x14ac:dyDescent="0.3">
      <c r="H50459" t="str">
        <f t="shared" si="838"/>
        <v/>
      </c>
    </row>
    <row r="50460" spans="8:8" x14ac:dyDescent="0.3">
      <c r="H50460" t="str">
        <f t="shared" si="838"/>
        <v/>
      </c>
    </row>
    <row r="50461" spans="8:8" x14ac:dyDescent="0.3">
      <c r="H50461" t="str">
        <f t="shared" si="838"/>
        <v/>
      </c>
    </row>
    <row r="50462" spans="8:8" x14ac:dyDescent="0.3">
      <c r="H50462" t="str">
        <f t="shared" si="838"/>
        <v/>
      </c>
    </row>
    <row r="50463" spans="8:8" x14ac:dyDescent="0.3">
      <c r="H50463" t="str">
        <f t="shared" si="838"/>
        <v/>
      </c>
    </row>
    <row r="50464" spans="8:8" x14ac:dyDescent="0.3">
      <c r="H50464" t="str">
        <f t="shared" si="838"/>
        <v/>
      </c>
    </row>
    <row r="50465" spans="8:8" x14ac:dyDescent="0.3">
      <c r="H50465" t="str">
        <f t="shared" si="838"/>
        <v/>
      </c>
    </row>
    <row r="50466" spans="8:8" x14ac:dyDescent="0.3">
      <c r="H50466" t="str">
        <f t="shared" si="838"/>
        <v/>
      </c>
    </row>
    <row r="50467" spans="8:8" x14ac:dyDescent="0.3">
      <c r="H50467" t="str">
        <f t="shared" si="838"/>
        <v/>
      </c>
    </row>
    <row r="50468" spans="8:8" x14ac:dyDescent="0.3">
      <c r="H50468" t="str">
        <f t="shared" si="838"/>
        <v/>
      </c>
    </row>
    <row r="50469" spans="8:8" x14ac:dyDescent="0.3">
      <c r="H50469" t="str">
        <f t="shared" si="838"/>
        <v/>
      </c>
    </row>
    <row r="50470" spans="8:8" x14ac:dyDescent="0.3">
      <c r="H50470" t="str">
        <f t="shared" si="838"/>
        <v/>
      </c>
    </row>
    <row r="50471" spans="8:8" x14ac:dyDescent="0.3">
      <c r="H50471" t="str">
        <f t="shared" si="838"/>
        <v/>
      </c>
    </row>
    <row r="50472" spans="8:8" x14ac:dyDescent="0.3">
      <c r="H50472" t="str">
        <f t="shared" si="838"/>
        <v/>
      </c>
    </row>
    <row r="50473" spans="8:8" x14ac:dyDescent="0.3">
      <c r="H50473" t="str">
        <f t="shared" si="838"/>
        <v/>
      </c>
    </row>
    <row r="50474" spans="8:8" x14ac:dyDescent="0.3">
      <c r="H50474" t="str">
        <f t="shared" si="838"/>
        <v/>
      </c>
    </row>
    <row r="50475" spans="8:8" x14ac:dyDescent="0.3">
      <c r="H50475" t="str">
        <f t="shared" si="838"/>
        <v/>
      </c>
    </row>
    <row r="50476" spans="8:8" x14ac:dyDescent="0.3">
      <c r="H50476" t="str">
        <f t="shared" si="838"/>
        <v/>
      </c>
    </row>
    <row r="50477" spans="8:8" x14ac:dyDescent="0.3">
      <c r="H50477" t="str">
        <f t="shared" si="838"/>
        <v/>
      </c>
    </row>
    <row r="50478" spans="8:8" x14ac:dyDescent="0.3">
      <c r="H50478" t="str">
        <f t="shared" si="838"/>
        <v/>
      </c>
    </row>
    <row r="50479" spans="8:8" x14ac:dyDescent="0.3">
      <c r="H50479" t="str">
        <f t="shared" si="838"/>
        <v/>
      </c>
    </row>
    <row r="50480" spans="8:8" x14ac:dyDescent="0.3">
      <c r="H50480" t="str">
        <f t="shared" si="838"/>
        <v/>
      </c>
    </row>
    <row r="50481" spans="8:8" x14ac:dyDescent="0.3">
      <c r="H50481" t="str">
        <f t="shared" si="838"/>
        <v/>
      </c>
    </row>
    <row r="50482" spans="8:8" x14ac:dyDescent="0.3">
      <c r="H50482" t="str">
        <f t="shared" si="838"/>
        <v/>
      </c>
    </row>
    <row r="50483" spans="8:8" x14ac:dyDescent="0.3">
      <c r="H50483" t="str">
        <f t="shared" si="838"/>
        <v/>
      </c>
    </row>
    <row r="50484" spans="8:8" x14ac:dyDescent="0.3">
      <c r="H50484" t="str">
        <f t="shared" si="838"/>
        <v/>
      </c>
    </row>
    <row r="50485" spans="8:8" x14ac:dyDescent="0.3">
      <c r="H50485" t="str">
        <f t="shared" si="838"/>
        <v/>
      </c>
    </row>
    <row r="50486" spans="8:8" x14ac:dyDescent="0.3">
      <c r="H50486" t="str">
        <f t="shared" si="838"/>
        <v/>
      </c>
    </row>
    <row r="50487" spans="8:8" x14ac:dyDescent="0.3">
      <c r="H50487" t="str">
        <f t="shared" si="838"/>
        <v/>
      </c>
    </row>
    <row r="50488" spans="8:8" x14ac:dyDescent="0.3">
      <c r="H50488" t="str">
        <f t="shared" si="838"/>
        <v/>
      </c>
    </row>
    <row r="50489" spans="8:8" x14ac:dyDescent="0.3">
      <c r="H50489" t="str">
        <f t="shared" si="838"/>
        <v/>
      </c>
    </row>
    <row r="50490" spans="8:8" x14ac:dyDescent="0.3">
      <c r="H50490" t="str">
        <f t="shared" si="838"/>
        <v/>
      </c>
    </row>
    <row r="50491" spans="8:8" x14ac:dyDescent="0.3">
      <c r="H50491" t="str">
        <f t="shared" si="838"/>
        <v/>
      </c>
    </row>
    <row r="50492" spans="8:8" x14ac:dyDescent="0.3">
      <c r="H50492" t="str">
        <f t="shared" si="838"/>
        <v/>
      </c>
    </row>
    <row r="50493" spans="8:8" x14ac:dyDescent="0.3">
      <c r="H50493" t="str">
        <f t="shared" si="838"/>
        <v/>
      </c>
    </row>
    <row r="50494" spans="8:8" x14ac:dyDescent="0.3">
      <c r="H50494" t="str">
        <f t="shared" si="838"/>
        <v/>
      </c>
    </row>
    <row r="50495" spans="8:8" x14ac:dyDescent="0.3">
      <c r="H50495" t="str">
        <f t="shared" si="838"/>
        <v/>
      </c>
    </row>
    <row r="50496" spans="8:8" x14ac:dyDescent="0.3">
      <c r="H50496" t="str">
        <f t="shared" si="838"/>
        <v/>
      </c>
    </row>
    <row r="50497" spans="8:8" x14ac:dyDescent="0.3">
      <c r="H50497" t="str">
        <f t="shared" si="838"/>
        <v/>
      </c>
    </row>
    <row r="50498" spans="8:8" x14ac:dyDescent="0.3">
      <c r="H50498" t="str">
        <f t="shared" si="838"/>
        <v/>
      </c>
    </row>
    <row r="50499" spans="8:8" x14ac:dyDescent="0.3">
      <c r="H50499" t="str">
        <f t="shared" si="838"/>
        <v/>
      </c>
    </row>
    <row r="50500" spans="8:8" x14ac:dyDescent="0.3">
      <c r="H50500" t="str">
        <f t="shared" si="838"/>
        <v/>
      </c>
    </row>
    <row r="50501" spans="8:8" x14ac:dyDescent="0.3">
      <c r="H50501" t="str">
        <f t="shared" si="838"/>
        <v/>
      </c>
    </row>
    <row r="50502" spans="8:8" x14ac:dyDescent="0.3">
      <c r="H50502" t="str">
        <f t="shared" si="838"/>
        <v/>
      </c>
    </row>
    <row r="50503" spans="8:8" x14ac:dyDescent="0.3">
      <c r="H50503" t="str">
        <f t="shared" si="838"/>
        <v/>
      </c>
    </row>
    <row r="50504" spans="8:8" x14ac:dyDescent="0.3">
      <c r="H50504" t="str">
        <f t="shared" si="838"/>
        <v/>
      </c>
    </row>
    <row r="50505" spans="8:8" x14ac:dyDescent="0.3">
      <c r="H50505" t="str">
        <f t="shared" si="838"/>
        <v/>
      </c>
    </row>
    <row r="50506" spans="8:8" x14ac:dyDescent="0.3">
      <c r="H50506" t="str">
        <f t="shared" si="838"/>
        <v/>
      </c>
    </row>
    <row r="50507" spans="8:8" x14ac:dyDescent="0.3">
      <c r="H50507" t="str">
        <f t="shared" si="838"/>
        <v/>
      </c>
    </row>
    <row r="50508" spans="8:8" x14ac:dyDescent="0.3">
      <c r="H50508" t="str">
        <f t="shared" si="838"/>
        <v/>
      </c>
    </row>
    <row r="50509" spans="8:8" x14ac:dyDescent="0.3">
      <c r="H50509" t="str">
        <f t="shared" si="838"/>
        <v/>
      </c>
    </row>
    <row r="50510" spans="8:8" x14ac:dyDescent="0.3">
      <c r="H50510" t="str">
        <f t="shared" si="838"/>
        <v/>
      </c>
    </row>
    <row r="50511" spans="8:8" x14ac:dyDescent="0.3">
      <c r="H50511" t="str">
        <f t="shared" si="838"/>
        <v/>
      </c>
    </row>
    <row r="50512" spans="8:8" x14ac:dyDescent="0.3">
      <c r="H50512" t="str">
        <f t="shared" si="838"/>
        <v/>
      </c>
    </row>
    <row r="50513" spans="8:8" x14ac:dyDescent="0.3">
      <c r="H50513" t="str">
        <f t="shared" si="838"/>
        <v/>
      </c>
    </row>
    <row r="50514" spans="8:8" x14ac:dyDescent="0.3">
      <c r="H50514" t="str">
        <f t="shared" si="838"/>
        <v/>
      </c>
    </row>
    <row r="50515" spans="8:8" x14ac:dyDescent="0.3">
      <c r="H50515" t="str">
        <f t="shared" si="838"/>
        <v/>
      </c>
    </row>
    <row r="50516" spans="8:8" x14ac:dyDescent="0.3">
      <c r="H50516" t="str">
        <f t="shared" si="838"/>
        <v/>
      </c>
    </row>
    <row r="50517" spans="8:8" x14ac:dyDescent="0.3">
      <c r="H50517" t="str">
        <f t="shared" si="838"/>
        <v/>
      </c>
    </row>
    <row r="50518" spans="8:8" x14ac:dyDescent="0.3">
      <c r="H50518" t="str">
        <f t="shared" si="838"/>
        <v/>
      </c>
    </row>
    <row r="50519" spans="8:8" x14ac:dyDescent="0.3">
      <c r="H50519" t="str">
        <f t="shared" ref="H50519:H50582" si="839">IF(B50519="","",$C$12)</f>
        <v/>
      </c>
    </row>
    <row r="50520" spans="8:8" x14ac:dyDescent="0.3">
      <c r="H50520" t="str">
        <f t="shared" si="839"/>
        <v/>
      </c>
    </row>
    <row r="50521" spans="8:8" x14ac:dyDescent="0.3">
      <c r="H50521" t="str">
        <f t="shared" si="839"/>
        <v/>
      </c>
    </row>
    <row r="50522" spans="8:8" x14ac:dyDescent="0.3">
      <c r="H50522" t="str">
        <f t="shared" si="839"/>
        <v/>
      </c>
    </row>
    <row r="50523" spans="8:8" x14ac:dyDescent="0.3">
      <c r="H50523" t="str">
        <f t="shared" si="839"/>
        <v/>
      </c>
    </row>
    <row r="50524" spans="8:8" x14ac:dyDescent="0.3">
      <c r="H50524" t="str">
        <f t="shared" si="839"/>
        <v/>
      </c>
    </row>
    <row r="50525" spans="8:8" x14ac:dyDescent="0.3">
      <c r="H50525" t="str">
        <f t="shared" si="839"/>
        <v/>
      </c>
    </row>
    <row r="50526" spans="8:8" x14ac:dyDescent="0.3">
      <c r="H50526" t="str">
        <f t="shared" si="839"/>
        <v/>
      </c>
    </row>
    <row r="50527" spans="8:8" x14ac:dyDescent="0.3">
      <c r="H50527" t="str">
        <f t="shared" si="839"/>
        <v/>
      </c>
    </row>
    <row r="50528" spans="8:8" x14ac:dyDescent="0.3">
      <c r="H50528" t="str">
        <f t="shared" si="839"/>
        <v/>
      </c>
    </row>
    <row r="50529" spans="8:8" x14ac:dyDescent="0.3">
      <c r="H50529" t="str">
        <f t="shared" si="839"/>
        <v/>
      </c>
    </row>
    <row r="50530" spans="8:8" x14ac:dyDescent="0.3">
      <c r="H50530" t="str">
        <f t="shared" si="839"/>
        <v/>
      </c>
    </row>
    <row r="50531" spans="8:8" x14ac:dyDescent="0.3">
      <c r="H50531" t="str">
        <f t="shared" si="839"/>
        <v/>
      </c>
    </row>
    <row r="50532" spans="8:8" x14ac:dyDescent="0.3">
      <c r="H50532" t="str">
        <f t="shared" si="839"/>
        <v/>
      </c>
    </row>
    <row r="50533" spans="8:8" x14ac:dyDescent="0.3">
      <c r="H50533" t="str">
        <f t="shared" si="839"/>
        <v/>
      </c>
    </row>
    <row r="50534" spans="8:8" x14ac:dyDescent="0.3">
      <c r="H50534" t="str">
        <f t="shared" si="839"/>
        <v/>
      </c>
    </row>
    <row r="50535" spans="8:8" x14ac:dyDescent="0.3">
      <c r="H50535" t="str">
        <f t="shared" si="839"/>
        <v/>
      </c>
    </row>
    <row r="50536" spans="8:8" x14ac:dyDescent="0.3">
      <c r="H50536" t="str">
        <f t="shared" si="839"/>
        <v/>
      </c>
    </row>
    <row r="50537" spans="8:8" x14ac:dyDescent="0.3">
      <c r="H50537" t="str">
        <f t="shared" si="839"/>
        <v/>
      </c>
    </row>
    <row r="50538" spans="8:8" x14ac:dyDescent="0.3">
      <c r="H50538" t="str">
        <f t="shared" si="839"/>
        <v/>
      </c>
    </row>
    <row r="50539" spans="8:8" x14ac:dyDescent="0.3">
      <c r="H50539" t="str">
        <f t="shared" si="839"/>
        <v/>
      </c>
    </row>
    <row r="50540" spans="8:8" x14ac:dyDescent="0.3">
      <c r="H50540" t="str">
        <f t="shared" si="839"/>
        <v/>
      </c>
    </row>
    <row r="50541" spans="8:8" x14ac:dyDescent="0.3">
      <c r="H50541" t="str">
        <f t="shared" si="839"/>
        <v/>
      </c>
    </row>
    <row r="50542" spans="8:8" x14ac:dyDescent="0.3">
      <c r="H50542" t="str">
        <f t="shared" si="839"/>
        <v/>
      </c>
    </row>
    <row r="50543" spans="8:8" x14ac:dyDescent="0.3">
      <c r="H50543" t="str">
        <f t="shared" si="839"/>
        <v/>
      </c>
    </row>
    <row r="50544" spans="8:8" x14ac:dyDescent="0.3">
      <c r="H50544" t="str">
        <f t="shared" si="839"/>
        <v/>
      </c>
    </row>
    <row r="50545" spans="8:8" x14ac:dyDescent="0.3">
      <c r="H50545" t="str">
        <f t="shared" si="839"/>
        <v/>
      </c>
    </row>
    <row r="50546" spans="8:8" x14ac:dyDescent="0.3">
      <c r="H50546" t="str">
        <f t="shared" si="839"/>
        <v/>
      </c>
    </row>
    <row r="50547" spans="8:8" x14ac:dyDescent="0.3">
      <c r="H50547" t="str">
        <f t="shared" si="839"/>
        <v/>
      </c>
    </row>
    <row r="50548" spans="8:8" x14ac:dyDescent="0.3">
      <c r="H50548" t="str">
        <f t="shared" si="839"/>
        <v/>
      </c>
    </row>
    <row r="50549" spans="8:8" x14ac:dyDescent="0.3">
      <c r="H50549" t="str">
        <f t="shared" si="839"/>
        <v/>
      </c>
    </row>
    <row r="50550" spans="8:8" x14ac:dyDescent="0.3">
      <c r="H50550" t="str">
        <f t="shared" si="839"/>
        <v/>
      </c>
    </row>
    <row r="50551" spans="8:8" x14ac:dyDescent="0.3">
      <c r="H50551" t="str">
        <f t="shared" si="839"/>
        <v/>
      </c>
    </row>
    <row r="50552" spans="8:8" x14ac:dyDescent="0.3">
      <c r="H50552" t="str">
        <f t="shared" si="839"/>
        <v/>
      </c>
    </row>
    <row r="50553" spans="8:8" x14ac:dyDescent="0.3">
      <c r="H50553" t="str">
        <f t="shared" si="839"/>
        <v/>
      </c>
    </row>
    <row r="50554" spans="8:8" x14ac:dyDescent="0.3">
      <c r="H50554" t="str">
        <f t="shared" si="839"/>
        <v/>
      </c>
    </row>
    <row r="50555" spans="8:8" x14ac:dyDescent="0.3">
      <c r="H50555" t="str">
        <f t="shared" si="839"/>
        <v/>
      </c>
    </row>
    <row r="50556" spans="8:8" x14ac:dyDescent="0.3">
      <c r="H50556" t="str">
        <f t="shared" si="839"/>
        <v/>
      </c>
    </row>
    <row r="50557" spans="8:8" x14ac:dyDescent="0.3">
      <c r="H50557" t="str">
        <f t="shared" si="839"/>
        <v/>
      </c>
    </row>
    <row r="50558" spans="8:8" x14ac:dyDescent="0.3">
      <c r="H50558" t="str">
        <f t="shared" si="839"/>
        <v/>
      </c>
    </row>
    <row r="50559" spans="8:8" x14ac:dyDescent="0.3">
      <c r="H50559" t="str">
        <f t="shared" si="839"/>
        <v/>
      </c>
    </row>
    <row r="50560" spans="8:8" x14ac:dyDescent="0.3">
      <c r="H50560" t="str">
        <f t="shared" si="839"/>
        <v/>
      </c>
    </row>
    <row r="50561" spans="8:8" x14ac:dyDescent="0.3">
      <c r="H50561" t="str">
        <f t="shared" si="839"/>
        <v/>
      </c>
    </row>
    <row r="50562" spans="8:8" x14ac:dyDescent="0.3">
      <c r="H50562" t="str">
        <f t="shared" si="839"/>
        <v/>
      </c>
    </row>
    <row r="50563" spans="8:8" x14ac:dyDescent="0.3">
      <c r="H50563" t="str">
        <f t="shared" si="839"/>
        <v/>
      </c>
    </row>
    <row r="50564" spans="8:8" x14ac:dyDescent="0.3">
      <c r="H50564" t="str">
        <f t="shared" si="839"/>
        <v/>
      </c>
    </row>
    <row r="50565" spans="8:8" x14ac:dyDescent="0.3">
      <c r="H50565" t="str">
        <f t="shared" si="839"/>
        <v/>
      </c>
    </row>
    <row r="50566" spans="8:8" x14ac:dyDescent="0.3">
      <c r="H50566" t="str">
        <f t="shared" si="839"/>
        <v/>
      </c>
    </row>
    <row r="50567" spans="8:8" x14ac:dyDescent="0.3">
      <c r="H50567" t="str">
        <f t="shared" si="839"/>
        <v/>
      </c>
    </row>
    <row r="50568" spans="8:8" x14ac:dyDescent="0.3">
      <c r="H50568" t="str">
        <f t="shared" si="839"/>
        <v/>
      </c>
    </row>
    <row r="50569" spans="8:8" x14ac:dyDescent="0.3">
      <c r="H50569" t="str">
        <f t="shared" si="839"/>
        <v/>
      </c>
    </row>
    <row r="50570" spans="8:8" x14ac:dyDescent="0.3">
      <c r="H50570" t="str">
        <f t="shared" si="839"/>
        <v/>
      </c>
    </row>
    <row r="50571" spans="8:8" x14ac:dyDescent="0.3">
      <c r="H50571" t="str">
        <f t="shared" si="839"/>
        <v/>
      </c>
    </row>
    <row r="50572" spans="8:8" x14ac:dyDescent="0.3">
      <c r="H50572" t="str">
        <f t="shared" si="839"/>
        <v/>
      </c>
    </row>
    <row r="50573" spans="8:8" x14ac:dyDescent="0.3">
      <c r="H50573" t="str">
        <f t="shared" si="839"/>
        <v/>
      </c>
    </row>
    <row r="50574" spans="8:8" x14ac:dyDescent="0.3">
      <c r="H50574" t="str">
        <f t="shared" si="839"/>
        <v/>
      </c>
    </row>
    <row r="50575" spans="8:8" x14ac:dyDescent="0.3">
      <c r="H50575" t="str">
        <f t="shared" si="839"/>
        <v/>
      </c>
    </row>
    <row r="50576" spans="8:8" x14ac:dyDescent="0.3">
      <c r="H50576" t="str">
        <f t="shared" si="839"/>
        <v/>
      </c>
    </row>
    <row r="50577" spans="8:8" x14ac:dyDescent="0.3">
      <c r="H50577" t="str">
        <f t="shared" si="839"/>
        <v/>
      </c>
    </row>
    <row r="50578" spans="8:8" x14ac:dyDescent="0.3">
      <c r="H50578" t="str">
        <f t="shared" si="839"/>
        <v/>
      </c>
    </row>
    <row r="50579" spans="8:8" x14ac:dyDescent="0.3">
      <c r="H50579" t="str">
        <f t="shared" si="839"/>
        <v/>
      </c>
    </row>
    <row r="50580" spans="8:8" x14ac:dyDescent="0.3">
      <c r="H50580" t="str">
        <f t="shared" si="839"/>
        <v/>
      </c>
    </row>
    <row r="50581" spans="8:8" x14ac:dyDescent="0.3">
      <c r="H50581" t="str">
        <f t="shared" si="839"/>
        <v/>
      </c>
    </row>
    <row r="50582" spans="8:8" x14ac:dyDescent="0.3">
      <c r="H50582" t="str">
        <f t="shared" si="839"/>
        <v/>
      </c>
    </row>
    <row r="50583" spans="8:8" x14ac:dyDescent="0.3">
      <c r="H50583" t="str">
        <f t="shared" ref="H50583:H50646" si="840">IF(B50583="","",$C$12)</f>
        <v/>
      </c>
    </row>
    <row r="50584" spans="8:8" x14ac:dyDescent="0.3">
      <c r="H50584" t="str">
        <f t="shared" si="840"/>
        <v/>
      </c>
    </row>
    <row r="50585" spans="8:8" x14ac:dyDescent="0.3">
      <c r="H50585" t="str">
        <f t="shared" si="840"/>
        <v/>
      </c>
    </row>
    <row r="50586" spans="8:8" x14ac:dyDescent="0.3">
      <c r="H50586" t="str">
        <f t="shared" si="840"/>
        <v/>
      </c>
    </row>
    <row r="50587" spans="8:8" x14ac:dyDescent="0.3">
      <c r="H50587" t="str">
        <f t="shared" si="840"/>
        <v/>
      </c>
    </row>
    <row r="50588" spans="8:8" x14ac:dyDescent="0.3">
      <c r="H50588" t="str">
        <f t="shared" si="840"/>
        <v/>
      </c>
    </row>
    <row r="50589" spans="8:8" x14ac:dyDescent="0.3">
      <c r="H50589" t="str">
        <f t="shared" si="840"/>
        <v/>
      </c>
    </row>
    <row r="50590" spans="8:8" x14ac:dyDescent="0.3">
      <c r="H50590" t="str">
        <f t="shared" si="840"/>
        <v/>
      </c>
    </row>
    <row r="50591" spans="8:8" x14ac:dyDescent="0.3">
      <c r="H50591" t="str">
        <f t="shared" si="840"/>
        <v/>
      </c>
    </row>
    <row r="50592" spans="8:8" x14ac:dyDescent="0.3">
      <c r="H50592" t="str">
        <f t="shared" si="840"/>
        <v/>
      </c>
    </row>
    <row r="50593" spans="8:8" x14ac:dyDescent="0.3">
      <c r="H50593" t="str">
        <f t="shared" si="840"/>
        <v/>
      </c>
    </row>
    <row r="50594" spans="8:8" x14ac:dyDescent="0.3">
      <c r="H50594" t="str">
        <f t="shared" si="840"/>
        <v/>
      </c>
    </row>
    <row r="50595" spans="8:8" x14ac:dyDescent="0.3">
      <c r="H50595" t="str">
        <f t="shared" si="840"/>
        <v/>
      </c>
    </row>
    <row r="50596" spans="8:8" x14ac:dyDescent="0.3">
      <c r="H50596" t="str">
        <f t="shared" si="840"/>
        <v/>
      </c>
    </row>
    <row r="50597" spans="8:8" x14ac:dyDescent="0.3">
      <c r="H50597" t="str">
        <f t="shared" si="840"/>
        <v/>
      </c>
    </row>
    <row r="50598" spans="8:8" x14ac:dyDescent="0.3">
      <c r="H50598" t="str">
        <f t="shared" si="840"/>
        <v/>
      </c>
    </row>
    <row r="50599" spans="8:8" x14ac:dyDescent="0.3">
      <c r="H50599" t="str">
        <f t="shared" si="840"/>
        <v/>
      </c>
    </row>
    <row r="50600" spans="8:8" x14ac:dyDescent="0.3">
      <c r="H50600" t="str">
        <f t="shared" si="840"/>
        <v/>
      </c>
    </row>
    <row r="50601" spans="8:8" x14ac:dyDescent="0.3">
      <c r="H50601" t="str">
        <f t="shared" si="840"/>
        <v/>
      </c>
    </row>
    <row r="50602" spans="8:8" x14ac:dyDescent="0.3">
      <c r="H50602" t="str">
        <f t="shared" si="840"/>
        <v/>
      </c>
    </row>
    <row r="50603" spans="8:8" x14ac:dyDescent="0.3">
      <c r="H50603" t="str">
        <f t="shared" si="840"/>
        <v/>
      </c>
    </row>
    <row r="50604" spans="8:8" x14ac:dyDescent="0.3">
      <c r="H50604" t="str">
        <f t="shared" si="840"/>
        <v/>
      </c>
    </row>
    <row r="50605" spans="8:8" x14ac:dyDescent="0.3">
      <c r="H50605" t="str">
        <f t="shared" si="840"/>
        <v/>
      </c>
    </row>
    <row r="50606" spans="8:8" x14ac:dyDescent="0.3">
      <c r="H50606" t="str">
        <f t="shared" si="840"/>
        <v/>
      </c>
    </row>
    <row r="50607" spans="8:8" x14ac:dyDescent="0.3">
      <c r="H50607" t="str">
        <f t="shared" si="840"/>
        <v/>
      </c>
    </row>
    <row r="50608" spans="8:8" x14ac:dyDescent="0.3">
      <c r="H50608" t="str">
        <f t="shared" si="840"/>
        <v/>
      </c>
    </row>
    <row r="50609" spans="8:8" x14ac:dyDescent="0.3">
      <c r="H50609" t="str">
        <f t="shared" si="840"/>
        <v/>
      </c>
    </row>
    <row r="50610" spans="8:8" x14ac:dyDescent="0.3">
      <c r="H50610" t="str">
        <f t="shared" si="840"/>
        <v/>
      </c>
    </row>
    <row r="50611" spans="8:8" x14ac:dyDescent="0.3">
      <c r="H50611" t="str">
        <f t="shared" si="840"/>
        <v/>
      </c>
    </row>
    <row r="50612" spans="8:8" x14ac:dyDescent="0.3">
      <c r="H50612" t="str">
        <f t="shared" si="840"/>
        <v/>
      </c>
    </row>
    <row r="50613" spans="8:8" x14ac:dyDescent="0.3">
      <c r="H50613" t="str">
        <f t="shared" si="840"/>
        <v/>
      </c>
    </row>
    <row r="50614" spans="8:8" x14ac:dyDescent="0.3">
      <c r="H50614" t="str">
        <f t="shared" si="840"/>
        <v/>
      </c>
    </row>
    <row r="50615" spans="8:8" x14ac:dyDescent="0.3">
      <c r="H50615" t="str">
        <f t="shared" si="840"/>
        <v/>
      </c>
    </row>
    <row r="50616" spans="8:8" x14ac:dyDescent="0.3">
      <c r="H50616" t="str">
        <f t="shared" si="840"/>
        <v/>
      </c>
    </row>
    <row r="50617" spans="8:8" x14ac:dyDescent="0.3">
      <c r="H50617" t="str">
        <f t="shared" si="840"/>
        <v/>
      </c>
    </row>
    <row r="50618" spans="8:8" x14ac:dyDescent="0.3">
      <c r="H50618" t="str">
        <f t="shared" si="840"/>
        <v/>
      </c>
    </row>
    <row r="50619" spans="8:8" x14ac:dyDescent="0.3">
      <c r="H50619" t="str">
        <f t="shared" si="840"/>
        <v/>
      </c>
    </row>
    <row r="50620" spans="8:8" x14ac:dyDescent="0.3">
      <c r="H50620" t="str">
        <f t="shared" si="840"/>
        <v/>
      </c>
    </row>
    <row r="50621" spans="8:8" x14ac:dyDescent="0.3">
      <c r="H50621" t="str">
        <f t="shared" si="840"/>
        <v/>
      </c>
    </row>
    <row r="50622" spans="8:8" x14ac:dyDescent="0.3">
      <c r="H50622" t="str">
        <f t="shared" si="840"/>
        <v/>
      </c>
    </row>
    <row r="50623" spans="8:8" x14ac:dyDescent="0.3">
      <c r="H50623" t="str">
        <f t="shared" si="840"/>
        <v/>
      </c>
    </row>
    <row r="50624" spans="8:8" x14ac:dyDescent="0.3">
      <c r="H50624" t="str">
        <f t="shared" si="840"/>
        <v/>
      </c>
    </row>
    <row r="50625" spans="8:8" x14ac:dyDescent="0.3">
      <c r="H50625" t="str">
        <f t="shared" si="840"/>
        <v/>
      </c>
    </row>
    <row r="50626" spans="8:8" x14ac:dyDescent="0.3">
      <c r="H50626" t="str">
        <f t="shared" si="840"/>
        <v/>
      </c>
    </row>
    <row r="50627" spans="8:8" x14ac:dyDescent="0.3">
      <c r="H50627" t="str">
        <f t="shared" si="840"/>
        <v/>
      </c>
    </row>
    <row r="50628" spans="8:8" x14ac:dyDescent="0.3">
      <c r="H50628" t="str">
        <f t="shared" si="840"/>
        <v/>
      </c>
    </row>
    <row r="50629" spans="8:8" x14ac:dyDescent="0.3">
      <c r="H50629" t="str">
        <f t="shared" si="840"/>
        <v/>
      </c>
    </row>
    <row r="50630" spans="8:8" x14ac:dyDescent="0.3">
      <c r="H50630" t="str">
        <f t="shared" si="840"/>
        <v/>
      </c>
    </row>
    <row r="50631" spans="8:8" x14ac:dyDescent="0.3">
      <c r="H50631" t="str">
        <f t="shared" si="840"/>
        <v/>
      </c>
    </row>
    <row r="50632" spans="8:8" x14ac:dyDescent="0.3">
      <c r="H50632" t="str">
        <f t="shared" si="840"/>
        <v/>
      </c>
    </row>
    <row r="50633" spans="8:8" x14ac:dyDescent="0.3">
      <c r="H50633" t="str">
        <f t="shared" si="840"/>
        <v/>
      </c>
    </row>
    <row r="50634" spans="8:8" x14ac:dyDescent="0.3">
      <c r="H50634" t="str">
        <f t="shared" si="840"/>
        <v/>
      </c>
    </row>
    <row r="50635" spans="8:8" x14ac:dyDescent="0.3">
      <c r="H50635" t="str">
        <f t="shared" si="840"/>
        <v/>
      </c>
    </row>
    <row r="50636" spans="8:8" x14ac:dyDescent="0.3">
      <c r="H50636" t="str">
        <f t="shared" si="840"/>
        <v/>
      </c>
    </row>
    <row r="50637" spans="8:8" x14ac:dyDescent="0.3">
      <c r="H50637" t="str">
        <f t="shared" si="840"/>
        <v/>
      </c>
    </row>
    <row r="50638" spans="8:8" x14ac:dyDescent="0.3">
      <c r="H50638" t="str">
        <f t="shared" si="840"/>
        <v/>
      </c>
    </row>
    <row r="50639" spans="8:8" x14ac:dyDescent="0.3">
      <c r="H50639" t="str">
        <f t="shared" si="840"/>
        <v/>
      </c>
    </row>
    <row r="50640" spans="8:8" x14ac:dyDescent="0.3">
      <c r="H50640" t="str">
        <f t="shared" si="840"/>
        <v/>
      </c>
    </row>
    <row r="50641" spans="8:8" x14ac:dyDescent="0.3">
      <c r="H50641" t="str">
        <f t="shared" si="840"/>
        <v/>
      </c>
    </row>
    <row r="50642" spans="8:8" x14ac:dyDescent="0.3">
      <c r="H50642" t="str">
        <f t="shared" si="840"/>
        <v/>
      </c>
    </row>
    <row r="50643" spans="8:8" x14ac:dyDescent="0.3">
      <c r="H50643" t="str">
        <f t="shared" si="840"/>
        <v/>
      </c>
    </row>
    <row r="50644" spans="8:8" x14ac:dyDescent="0.3">
      <c r="H50644" t="str">
        <f t="shared" si="840"/>
        <v/>
      </c>
    </row>
    <row r="50645" spans="8:8" x14ac:dyDescent="0.3">
      <c r="H50645" t="str">
        <f t="shared" si="840"/>
        <v/>
      </c>
    </row>
    <row r="50646" spans="8:8" x14ac:dyDescent="0.3">
      <c r="H50646" t="str">
        <f t="shared" si="840"/>
        <v/>
      </c>
    </row>
    <row r="50647" spans="8:8" x14ac:dyDescent="0.3">
      <c r="H50647" t="str">
        <f t="shared" ref="H50647:H50710" si="841">IF(B50647="","",$C$12)</f>
        <v/>
      </c>
    </row>
    <row r="50648" spans="8:8" x14ac:dyDescent="0.3">
      <c r="H50648" t="str">
        <f t="shared" si="841"/>
        <v/>
      </c>
    </row>
    <row r="50649" spans="8:8" x14ac:dyDescent="0.3">
      <c r="H50649" t="str">
        <f t="shared" si="841"/>
        <v/>
      </c>
    </row>
    <row r="50650" spans="8:8" x14ac:dyDescent="0.3">
      <c r="H50650" t="str">
        <f t="shared" si="841"/>
        <v/>
      </c>
    </row>
    <row r="50651" spans="8:8" x14ac:dyDescent="0.3">
      <c r="H50651" t="str">
        <f t="shared" si="841"/>
        <v/>
      </c>
    </row>
    <row r="50652" spans="8:8" x14ac:dyDescent="0.3">
      <c r="H50652" t="str">
        <f t="shared" si="841"/>
        <v/>
      </c>
    </row>
    <row r="50653" spans="8:8" x14ac:dyDescent="0.3">
      <c r="H50653" t="str">
        <f t="shared" si="841"/>
        <v/>
      </c>
    </row>
    <row r="50654" spans="8:8" x14ac:dyDescent="0.3">
      <c r="H50654" t="str">
        <f t="shared" si="841"/>
        <v/>
      </c>
    </row>
    <row r="50655" spans="8:8" x14ac:dyDescent="0.3">
      <c r="H50655" t="str">
        <f t="shared" si="841"/>
        <v/>
      </c>
    </row>
    <row r="50656" spans="8:8" x14ac:dyDescent="0.3">
      <c r="H50656" t="str">
        <f t="shared" si="841"/>
        <v/>
      </c>
    </row>
    <row r="50657" spans="8:8" x14ac:dyDescent="0.3">
      <c r="H50657" t="str">
        <f t="shared" si="841"/>
        <v/>
      </c>
    </row>
    <row r="50658" spans="8:8" x14ac:dyDescent="0.3">
      <c r="H50658" t="str">
        <f t="shared" si="841"/>
        <v/>
      </c>
    </row>
    <row r="50659" spans="8:8" x14ac:dyDescent="0.3">
      <c r="H50659" t="str">
        <f t="shared" si="841"/>
        <v/>
      </c>
    </row>
    <row r="50660" spans="8:8" x14ac:dyDescent="0.3">
      <c r="H50660" t="str">
        <f t="shared" si="841"/>
        <v/>
      </c>
    </row>
    <row r="50661" spans="8:8" x14ac:dyDescent="0.3">
      <c r="H50661" t="str">
        <f t="shared" si="841"/>
        <v/>
      </c>
    </row>
    <row r="50662" spans="8:8" x14ac:dyDescent="0.3">
      <c r="H50662" t="str">
        <f t="shared" si="841"/>
        <v/>
      </c>
    </row>
    <row r="50663" spans="8:8" x14ac:dyDescent="0.3">
      <c r="H50663" t="str">
        <f t="shared" si="841"/>
        <v/>
      </c>
    </row>
    <row r="50664" spans="8:8" x14ac:dyDescent="0.3">
      <c r="H50664" t="str">
        <f t="shared" si="841"/>
        <v/>
      </c>
    </row>
    <row r="50665" spans="8:8" x14ac:dyDescent="0.3">
      <c r="H50665" t="str">
        <f t="shared" si="841"/>
        <v/>
      </c>
    </row>
    <row r="50666" spans="8:8" x14ac:dyDescent="0.3">
      <c r="H50666" t="str">
        <f t="shared" si="841"/>
        <v/>
      </c>
    </row>
    <row r="50667" spans="8:8" x14ac:dyDescent="0.3">
      <c r="H50667" t="str">
        <f t="shared" si="841"/>
        <v/>
      </c>
    </row>
    <row r="50668" spans="8:8" x14ac:dyDescent="0.3">
      <c r="H50668" t="str">
        <f t="shared" si="841"/>
        <v/>
      </c>
    </row>
    <row r="50669" spans="8:8" x14ac:dyDescent="0.3">
      <c r="H50669" t="str">
        <f t="shared" si="841"/>
        <v/>
      </c>
    </row>
    <row r="50670" spans="8:8" x14ac:dyDescent="0.3">
      <c r="H50670" t="str">
        <f t="shared" si="841"/>
        <v/>
      </c>
    </row>
    <row r="50671" spans="8:8" x14ac:dyDescent="0.3">
      <c r="H50671" t="str">
        <f t="shared" si="841"/>
        <v/>
      </c>
    </row>
    <row r="50672" spans="8:8" x14ac:dyDescent="0.3">
      <c r="H50672" t="str">
        <f t="shared" si="841"/>
        <v/>
      </c>
    </row>
    <row r="50673" spans="8:8" x14ac:dyDescent="0.3">
      <c r="H50673" t="str">
        <f t="shared" si="841"/>
        <v/>
      </c>
    </row>
    <row r="50674" spans="8:8" x14ac:dyDescent="0.3">
      <c r="H50674" t="str">
        <f t="shared" si="841"/>
        <v/>
      </c>
    </row>
    <row r="50675" spans="8:8" x14ac:dyDescent="0.3">
      <c r="H50675" t="str">
        <f t="shared" si="841"/>
        <v/>
      </c>
    </row>
    <row r="50676" spans="8:8" x14ac:dyDescent="0.3">
      <c r="H50676" t="str">
        <f t="shared" si="841"/>
        <v/>
      </c>
    </row>
    <row r="50677" spans="8:8" x14ac:dyDescent="0.3">
      <c r="H50677" t="str">
        <f t="shared" si="841"/>
        <v/>
      </c>
    </row>
    <row r="50678" spans="8:8" x14ac:dyDescent="0.3">
      <c r="H50678" t="str">
        <f t="shared" si="841"/>
        <v/>
      </c>
    </row>
    <row r="50679" spans="8:8" x14ac:dyDescent="0.3">
      <c r="H50679" t="str">
        <f t="shared" si="841"/>
        <v/>
      </c>
    </row>
    <row r="50680" spans="8:8" x14ac:dyDescent="0.3">
      <c r="H50680" t="str">
        <f t="shared" si="841"/>
        <v/>
      </c>
    </row>
    <row r="50681" spans="8:8" x14ac:dyDescent="0.3">
      <c r="H50681" t="str">
        <f t="shared" si="841"/>
        <v/>
      </c>
    </row>
    <row r="50682" spans="8:8" x14ac:dyDescent="0.3">
      <c r="H50682" t="str">
        <f t="shared" si="841"/>
        <v/>
      </c>
    </row>
    <row r="50683" spans="8:8" x14ac:dyDescent="0.3">
      <c r="H50683" t="str">
        <f t="shared" si="841"/>
        <v/>
      </c>
    </row>
    <row r="50684" spans="8:8" x14ac:dyDescent="0.3">
      <c r="H50684" t="str">
        <f t="shared" si="841"/>
        <v/>
      </c>
    </row>
    <row r="50685" spans="8:8" x14ac:dyDescent="0.3">
      <c r="H50685" t="str">
        <f t="shared" si="841"/>
        <v/>
      </c>
    </row>
    <row r="50686" spans="8:8" x14ac:dyDescent="0.3">
      <c r="H50686" t="str">
        <f t="shared" si="841"/>
        <v/>
      </c>
    </row>
    <row r="50687" spans="8:8" x14ac:dyDescent="0.3">
      <c r="H50687" t="str">
        <f t="shared" si="841"/>
        <v/>
      </c>
    </row>
    <row r="50688" spans="8:8" x14ac:dyDescent="0.3">
      <c r="H50688" t="str">
        <f t="shared" si="841"/>
        <v/>
      </c>
    </row>
    <row r="50689" spans="8:8" x14ac:dyDescent="0.3">
      <c r="H50689" t="str">
        <f t="shared" si="841"/>
        <v/>
      </c>
    </row>
    <row r="50690" spans="8:8" x14ac:dyDescent="0.3">
      <c r="H50690" t="str">
        <f t="shared" si="841"/>
        <v/>
      </c>
    </row>
    <row r="50691" spans="8:8" x14ac:dyDescent="0.3">
      <c r="H50691" t="str">
        <f t="shared" si="841"/>
        <v/>
      </c>
    </row>
    <row r="50692" spans="8:8" x14ac:dyDescent="0.3">
      <c r="H50692" t="str">
        <f t="shared" si="841"/>
        <v/>
      </c>
    </row>
    <row r="50693" spans="8:8" x14ac:dyDescent="0.3">
      <c r="H50693" t="str">
        <f t="shared" si="841"/>
        <v/>
      </c>
    </row>
    <row r="50694" spans="8:8" x14ac:dyDescent="0.3">
      <c r="H50694" t="str">
        <f t="shared" si="841"/>
        <v/>
      </c>
    </row>
    <row r="50695" spans="8:8" x14ac:dyDescent="0.3">
      <c r="H50695" t="str">
        <f t="shared" si="841"/>
        <v/>
      </c>
    </row>
    <row r="50696" spans="8:8" x14ac:dyDescent="0.3">
      <c r="H50696" t="str">
        <f t="shared" si="841"/>
        <v/>
      </c>
    </row>
    <row r="50697" spans="8:8" x14ac:dyDescent="0.3">
      <c r="H50697" t="str">
        <f t="shared" si="841"/>
        <v/>
      </c>
    </row>
    <row r="50698" spans="8:8" x14ac:dyDescent="0.3">
      <c r="H50698" t="str">
        <f t="shared" si="841"/>
        <v/>
      </c>
    </row>
    <row r="50699" spans="8:8" x14ac:dyDescent="0.3">
      <c r="H50699" t="str">
        <f t="shared" si="841"/>
        <v/>
      </c>
    </row>
    <row r="50700" spans="8:8" x14ac:dyDescent="0.3">
      <c r="H50700" t="str">
        <f t="shared" si="841"/>
        <v/>
      </c>
    </row>
    <row r="50701" spans="8:8" x14ac:dyDescent="0.3">
      <c r="H50701" t="str">
        <f t="shared" si="841"/>
        <v/>
      </c>
    </row>
    <row r="50702" spans="8:8" x14ac:dyDescent="0.3">
      <c r="H50702" t="str">
        <f t="shared" si="841"/>
        <v/>
      </c>
    </row>
    <row r="50703" spans="8:8" x14ac:dyDescent="0.3">
      <c r="H50703" t="str">
        <f t="shared" si="841"/>
        <v/>
      </c>
    </row>
    <row r="50704" spans="8:8" x14ac:dyDescent="0.3">
      <c r="H50704" t="str">
        <f t="shared" si="841"/>
        <v/>
      </c>
    </row>
    <row r="50705" spans="8:8" x14ac:dyDescent="0.3">
      <c r="H50705" t="str">
        <f t="shared" si="841"/>
        <v/>
      </c>
    </row>
    <row r="50706" spans="8:8" x14ac:dyDescent="0.3">
      <c r="H50706" t="str">
        <f t="shared" si="841"/>
        <v/>
      </c>
    </row>
    <row r="50707" spans="8:8" x14ac:dyDescent="0.3">
      <c r="H50707" t="str">
        <f t="shared" si="841"/>
        <v/>
      </c>
    </row>
    <row r="50708" spans="8:8" x14ac:dyDescent="0.3">
      <c r="H50708" t="str">
        <f t="shared" si="841"/>
        <v/>
      </c>
    </row>
    <row r="50709" spans="8:8" x14ac:dyDescent="0.3">
      <c r="H50709" t="str">
        <f t="shared" si="841"/>
        <v/>
      </c>
    </row>
    <row r="50710" spans="8:8" x14ac:dyDescent="0.3">
      <c r="H50710" t="str">
        <f t="shared" si="841"/>
        <v/>
      </c>
    </row>
    <row r="50711" spans="8:8" x14ac:dyDescent="0.3">
      <c r="H50711" t="str">
        <f t="shared" ref="H50711:H50774" si="842">IF(B50711="","",$C$12)</f>
        <v/>
      </c>
    </row>
    <row r="50712" spans="8:8" x14ac:dyDescent="0.3">
      <c r="H50712" t="str">
        <f t="shared" si="842"/>
        <v/>
      </c>
    </row>
    <row r="50713" spans="8:8" x14ac:dyDescent="0.3">
      <c r="H50713" t="str">
        <f t="shared" si="842"/>
        <v/>
      </c>
    </row>
    <row r="50714" spans="8:8" x14ac:dyDescent="0.3">
      <c r="H50714" t="str">
        <f t="shared" si="842"/>
        <v/>
      </c>
    </row>
    <row r="50715" spans="8:8" x14ac:dyDescent="0.3">
      <c r="H50715" t="str">
        <f t="shared" si="842"/>
        <v/>
      </c>
    </row>
    <row r="50716" spans="8:8" x14ac:dyDescent="0.3">
      <c r="H50716" t="str">
        <f t="shared" si="842"/>
        <v/>
      </c>
    </row>
    <row r="50717" spans="8:8" x14ac:dyDescent="0.3">
      <c r="H50717" t="str">
        <f t="shared" si="842"/>
        <v/>
      </c>
    </row>
    <row r="50718" spans="8:8" x14ac:dyDescent="0.3">
      <c r="H50718" t="str">
        <f t="shared" si="842"/>
        <v/>
      </c>
    </row>
    <row r="50719" spans="8:8" x14ac:dyDescent="0.3">
      <c r="H50719" t="str">
        <f t="shared" si="842"/>
        <v/>
      </c>
    </row>
    <row r="50720" spans="8:8" x14ac:dyDescent="0.3">
      <c r="H50720" t="str">
        <f t="shared" si="842"/>
        <v/>
      </c>
    </row>
    <row r="50721" spans="8:8" x14ac:dyDescent="0.3">
      <c r="H50721" t="str">
        <f t="shared" si="842"/>
        <v/>
      </c>
    </row>
    <row r="50722" spans="8:8" x14ac:dyDescent="0.3">
      <c r="H50722" t="str">
        <f t="shared" si="842"/>
        <v/>
      </c>
    </row>
    <row r="50723" spans="8:8" x14ac:dyDescent="0.3">
      <c r="H50723" t="str">
        <f t="shared" si="842"/>
        <v/>
      </c>
    </row>
    <row r="50724" spans="8:8" x14ac:dyDescent="0.3">
      <c r="H50724" t="str">
        <f t="shared" si="842"/>
        <v/>
      </c>
    </row>
    <row r="50725" spans="8:8" x14ac:dyDescent="0.3">
      <c r="H50725" t="str">
        <f t="shared" si="842"/>
        <v/>
      </c>
    </row>
    <row r="50726" spans="8:8" x14ac:dyDescent="0.3">
      <c r="H50726" t="str">
        <f t="shared" si="842"/>
        <v/>
      </c>
    </row>
    <row r="50727" spans="8:8" x14ac:dyDescent="0.3">
      <c r="H50727" t="str">
        <f t="shared" si="842"/>
        <v/>
      </c>
    </row>
    <row r="50728" spans="8:8" x14ac:dyDescent="0.3">
      <c r="H50728" t="str">
        <f t="shared" si="842"/>
        <v/>
      </c>
    </row>
    <row r="50729" spans="8:8" x14ac:dyDescent="0.3">
      <c r="H50729" t="str">
        <f t="shared" si="842"/>
        <v/>
      </c>
    </row>
    <row r="50730" spans="8:8" x14ac:dyDescent="0.3">
      <c r="H50730" t="str">
        <f t="shared" si="842"/>
        <v/>
      </c>
    </row>
    <row r="50731" spans="8:8" x14ac:dyDescent="0.3">
      <c r="H50731" t="str">
        <f t="shared" si="842"/>
        <v/>
      </c>
    </row>
    <row r="50732" spans="8:8" x14ac:dyDescent="0.3">
      <c r="H50732" t="str">
        <f t="shared" si="842"/>
        <v/>
      </c>
    </row>
    <row r="50733" spans="8:8" x14ac:dyDescent="0.3">
      <c r="H50733" t="str">
        <f t="shared" si="842"/>
        <v/>
      </c>
    </row>
    <row r="50734" spans="8:8" x14ac:dyDescent="0.3">
      <c r="H50734" t="str">
        <f t="shared" si="842"/>
        <v/>
      </c>
    </row>
    <row r="50735" spans="8:8" x14ac:dyDescent="0.3">
      <c r="H50735" t="str">
        <f t="shared" si="842"/>
        <v/>
      </c>
    </row>
    <row r="50736" spans="8:8" x14ac:dyDescent="0.3">
      <c r="H50736" t="str">
        <f t="shared" si="842"/>
        <v/>
      </c>
    </row>
    <row r="50737" spans="8:8" x14ac:dyDescent="0.3">
      <c r="H50737" t="str">
        <f t="shared" si="842"/>
        <v/>
      </c>
    </row>
    <row r="50738" spans="8:8" x14ac:dyDescent="0.3">
      <c r="H50738" t="str">
        <f t="shared" si="842"/>
        <v/>
      </c>
    </row>
    <row r="50739" spans="8:8" x14ac:dyDescent="0.3">
      <c r="H50739" t="str">
        <f t="shared" si="842"/>
        <v/>
      </c>
    </row>
    <row r="50740" spans="8:8" x14ac:dyDescent="0.3">
      <c r="H50740" t="str">
        <f t="shared" si="842"/>
        <v/>
      </c>
    </row>
    <row r="50741" spans="8:8" x14ac:dyDescent="0.3">
      <c r="H50741" t="str">
        <f t="shared" si="842"/>
        <v/>
      </c>
    </row>
    <row r="50742" spans="8:8" x14ac:dyDescent="0.3">
      <c r="H50742" t="str">
        <f t="shared" si="842"/>
        <v/>
      </c>
    </row>
    <row r="50743" spans="8:8" x14ac:dyDescent="0.3">
      <c r="H50743" t="str">
        <f t="shared" si="842"/>
        <v/>
      </c>
    </row>
    <row r="50744" spans="8:8" x14ac:dyDescent="0.3">
      <c r="H50744" t="str">
        <f t="shared" si="842"/>
        <v/>
      </c>
    </row>
    <row r="50745" spans="8:8" x14ac:dyDescent="0.3">
      <c r="H50745" t="str">
        <f t="shared" si="842"/>
        <v/>
      </c>
    </row>
    <row r="50746" spans="8:8" x14ac:dyDescent="0.3">
      <c r="H50746" t="str">
        <f t="shared" si="842"/>
        <v/>
      </c>
    </row>
    <row r="50747" spans="8:8" x14ac:dyDescent="0.3">
      <c r="H50747" t="str">
        <f t="shared" si="842"/>
        <v/>
      </c>
    </row>
    <row r="50748" spans="8:8" x14ac:dyDescent="0.3">
      <c r="H50748" t="str">
        <f t="shared" si="842"/>
        <v/>
      </c>
    </row>
    <row r="50749" spans="8:8" x14ac:dyDescent="0.3">
      <c r="H50749" t="str">
        <f t="shared" si="842"/>
        <v/>
      </c>
    </row>
    <row r="50750" spans="8:8" x14ac:dyDescent="0.3">
      <c r="H50750" t="str">
        <f t="shared" si="842"/>
        <v/>
      </c>
    </row>
    <row r="50751" spans="8:8" x14ac:dyDescent="0.3">
      <c r="H50751" t="str">
        <f t="shared" si="842"/>
        <v/>
      </c>
    </row>
    <row r="50752" spans="8:8" x14ac:dyDescent="0.3">
      <c r="H50752" t="str">
        <f t="shared" si="842"/>
        <v/>
      </c>
    </row>
    <row r="50753" spans="8:8" x14ac:dyDescent="0.3">
      <c r="H50753" t="str">
        <f t="shared" si="842"/>
        <v/>
      </c>
    </row>
    <row r="50754" spans="8:8" x14ac:dyDescent="0.3">
      <c r="H50754" t="str">
        <f t="shared" si="842"/>
        <v/>
      </c>
    </row>
    <row r="50755" spans="8:8" x14ac:dyDescent="0.3">
      <c r="H50755" t="str">
        <f t="shared" si="842"/>
        <v/>
      </c>
    </row>
    <row r="50756" spans="8:8" x14ac:dyDescent="0.3">
      <c r="H50756" t="str">
        <f t="shared" si="842"/>
        <v/>
      </c>
    </row>
    <row r="50757" spans="8:8" x14ac:dyDescent="0.3">
      <c r="H50757" t="str">
        <f t="shared" si="842"/>
        <v/>
      </c>
    </row>
    <row r="50758" spans="8:8" x14ac:dyDescent="0.3">
      <c r="H50758" t="str">
        <f t="shared" si="842"/>
        <v/>
      </c>
    </row>
    <row r="50759" spans="8:8" x14ac:dyDescent="0.3">
      <c r="H50759" t="str">
        <f t="shared" si="842"/>
        <v/>
      </c>
    </row>
    <row r="50760" spans="8:8" x14ac:dyDescent="0.3">
      <c r="H50760" t="str">
        <f t="shared" si="842"/>
        <v/>
      </c>
    </row>
    <row r="50761" spans="8:8" x14ac:dyDescent="0.3">
      <c r="H50761" t="str">
        <f t="shared" si="842"/>
        <v/>
      </c>
    </row>
    <row r="50762" spans="8:8" x14ac:dyDescent="0.3">
      <c r="H50762" t="str">
        <f t="shared" si="842"/>
        <v/>
      </c>
    </row>
    <row r="50763" spans="8:8" x14ac:dyDescent="0.3">
      <c r="H50763" t="str">
        <f t="shared" si="842"/>
        <v/>
      </c>
    </row>
    <row r="50764" spans="8:8" x14ac:dyDescent="0.3">
      <c r="H50764" t="str">
        <f t="shared" si="842"/>
        <v/>
      </c>
    </row>
    <row r="50765" spans="8:8" x14ac:dyDescent="0.3">
      <c r="H50765" t="str">
        <f t="shared" si="842"/>
        <v/>
      </c>
    </row>
    <row r="50766" spans="8:8" x14ac:dyDescent="0.3">
      <c r="H50766" t="str">
        <f t="shared" si="842"/>
        <v/>
      </c>
    </row>
    <row r="50767" spans="8:8" x14ac:dyDescent="0.3">
      <c r="H50767" t="str">
        <f t="shared" si="842"/>
        <v/>
      </c>
    </row>
    <row r="50768" spans="8:8" x14ac:dyDescent="0.3">
      <c r="H50768" t="str">
        <f t="shared" si="842"/>
        <v/>
      </c>
    </row>
    <row r="50769" spans="8:8" x14ac:dyDescent="0.3">
      <c r="H50769" t="str">
        <f t="shared" si="842"/>
        <v/>
      </c>
    </row>
    <row r="50770" spans="8:8" x14ac:dyDescent="0.3">
      <c r="H50770" t="str">
        <f t="shared" si="842"/>
        <v/>
      </c>
    </row>
    <row r="50771" spans="8:8" x14ac:dyDescent="0.3">
      <c r="H50771" t="str">
        <f t="shared" si="842"/>
        <v/>
      </c>
    </row>
    <row r="50772" spans="8:8" x14ac:dyDescent="0.3">
      <c r="H50772" t="str">
        <f t="shared" si="842"/>
        <v/>
      </c>
    </row>
    <row r="50773" spans="8:8" x14ac:dyDescent="0.3">
      <c r="H50773" t="str">
        <f t="shared" si="842"/>
        <v/>
      </c>
    </row>
    <row r="50774" spans="8:8" x14ac:dyDescent="0.3">
      <c r="H50774" t="str">
        <f t="shared" si="842"/>
        <v/>
      </c>
    </row>
    <row r="50775" spans="8:8" x14ac:dyDescent="0.3">
      <c r="H50775" t="str">
        <f t="shared" ref="H50775:H50838" si="843">IF(B50775="","",$C$12)</f>
        <v/>
      </c>
    </row>
    <row r="50776" spans="8:8" x14ac:dyDescent="0.3">
      <c r="H50776" t="str">
        <f t="shared" si="843"/>
        <v/>
      </c>
    </row>
    <row r="50777" spans="8:8" x14ac:dyDescent="0.3">
      <c r="H50777" t="str">
        <f t="shared" si="843"/>
        <v/>
      </c>
    </row>
    <row r="50778" spans="8:8" x14ac:dyDescent="0.3">
      <c r="H50778" t="str">
        <f t="shared" si="843"/>
        <v/>
      </c>
    </row>
    <row r="50779" spans="8:8" x14ac:dyDescent="0.3">
      <c r="H50779" t="str">
        <f t="shared" si="843"/>
        <v/>
      </c>
    </row>
    <row r="50780" spans="8:8" x14ac:dyDescent="0.3">
      <c r="H50780" t="str">
        <f t="shared" si="843"/>
        <v/>
      </c>
    </row>
    <row r="50781" spans="8:8" x14ac:dyDescent="0.3">
      <c r="H50781" t="str">
        <f t="shared" si="843"/>
        <v/>
      </c>
    </row>
    <row r="50782" spans="8:8" x14ac:dyDescent="0.3">
      <c r="H50782" t="str">
        <f t="shared" si="843"/>
        <v/>
      </c>
    </row>
    <row r="50783" spans="8:8" x14ac:dyDescent="0.3">
      <c r="H50783" t="str">
        <f t="shared" si="843"/>
        <v/>
      </c>
    </row>
    <row r="50784" spans="8:8" x14ac:dyDescent="0.3">
      <c r="H50784" t="str">
        <f t="shared" si="843"/>
        <v/>
      </c>
    </row>
    <row r="50785" spans="8:8" x14ac:dyDescent="0.3">
      <c r="H50785" t="str">
        <f t="shared" si="843"/>
        <v/>
      </c>
    </row>
    <row r="50786" spans="8:8" x14ac:dyDescent="0.3">
      <c r="H50786" t="str">
        <f t="shared" si="843"/>
        <v/>
      </c>
    </row>
    <row r="50787" spans="8:8" x14ac:dyDescent="0.3">
      <c r="H50787" t="str">
        <f t="shared" si="843"/>
        <v/>
      </c>
    </row>
    <row r="50788" spans="8:8" x14ac:dyDescent="0.3">
      <c r="H50788" t="str">
        <f t="shared" si="843"/>
        <v/>
      </c>
    </row>
    <row r="50789" spans="8:8" x14ac:dyDescent="0.3">
      <c r="H50789" t="str">
        <f t="shared" si="843"/>
        <v/>
      </c>
    </row>
    <row r="50790" spans="8:8" x14ac:dyDescent="0.3">
      <c r="H50790" t="str">
        <f t="shared" si="843"/>
        <v/>
      </c>
    </row>
    <row r="50791" spans="8:8" x14ac:dyDescent="0.3">
      <c r="H50791" t="str">
        <f t="shared" si="843"/>
        <v/>
      </c>
    </row>
    <row r="50792" spans="8:8" x14ac:dyDescent="0.3">
      <c r="H50792" t="str">
        <f t="shared" si="843"/>
        <v/>
      </c>
    </row>
    <row r="50793" spans="8:8" x14ac:dyDescent="0.3">
      <c r="H50793" t="str">
        <f t="shared" si="843"/>
        <v/>
      </c>
    </row>
    <row r="50794" spans="8:8" x14ac:dyDescent="0.3">
      <c r="H50794" t="str">
        <f t="shared" si="843"/>
        <v/>
      </c>
    </row>
    <row r="50795" spans="8:8" x14ac:dyDescent="0.3">
      <c r="H50795" t="str">
        <f t="shared" si="843"/>
        <v/>
      </c>
    </row>
    <row r="50796" spans="8:8" x14ac:dyDescent="0.3">
      <c r="H50796" t="str">
        <f t="shared" si="843"/>
        <v/>
      </c>
    </row>
    <row r="50797" spans="8:8" x14ac:dyDescent="0.3">
      <c r="H50797" t="str">
        <f t="shared" si="843"/>
        <v/>
      </c>
    </row>
    <row r="50798" spans="8:8" x14ac:dyDescent="0.3">
      <c r="H50798" t="str">
        <f t="shared" si="843"/>
        <v/>
      </c>
    </row>
    <row r="50799" spans="8:8" x14ac:dyDescent="0.3">
      <c r="H50799" t="str">
        <f t="shared" si="843"/>
        <v/>
      </c>
    </row>
    <row r="50800" spans="8:8" x14ac:dyDescent="0.3">
      <c r="H50800" t="str">
        <f t="shared" si="843"/>
        <v/>
      </c>
    </row>
    <row r="50801" spans="8:8" x14ac:dyDescent="0.3">
      <c r="H50801" t="str">
        <f t="shared" si="843"/>
        <v/>
      </c>
    </row>
    <row r="50802" spans="8:8" x14ac:dyDescent="0.3">
      <c r="H50802" t="str">
        <f t="shared" si="843"/>
        <v/>
      </c>
    </row>
    <row r="50803" spans="8:8" x14ac:dyDescent="0.3">
      <c r="H50803" t="str">
        <f t="shared" si="843"/>
        <v/>
      </c>
    </row>
    <row r="50804" spans="8:8" x14ac:dyDescent="0.3">
      <c r="H50804" t="str">
        <f t="shared" si="843"/>
        <v/>
      </c>
    </row>
    <row r="50805" spans="8:8" x14ac:dyDescent="0.3">
      <c r="H50805" t="str">
        <f t="shared" si="843"/>
        <v/>
      </c>
    </row>
    <row r="50806" spans="8:8" x14ac:dyDescent="0.3">
      <c r="H50806" t="str">
        <f t="shared" si="843"/>
        <v/>
      </c>
    </row>
    <row r="50807" spans="8:8" x14ac:dyDescent="0.3">
      <c r="H50807" t="str">
        <f t="shared" si="843"/>
        <v/>
      </c>
    </row>
    <row r="50808" spans="8:8" x14ac:dyDescent="0.3">
      <c r="H50808" t="str">
        <f t="shared" si="843"/>
        <v/>
      </c>
    </row>
    <row r="50809" spans="8:8" x14ac:dyDescent="0.3">
      <c r="H50809" t="str">
        <f t="shared" si="843"/>
        <v/>
      </c>
    </row>
    <row r="50810" spans="8:8" x14ac:dyDescent="0.3">
      <c r="H50810" t="str">
        <f t="shared" si="843"/>
        <v/>
      </c>
    </row>
    <row r="50811" spans="8:8" x14ac:dyDescent="0.3">
      <c r="H50811" t="str">
        <f t="shared" si="843"/>
        <v/>
      </c>
    </row>
    <row r="50812" spans="8:8" x14ac:dyDescent="0.3">
      <c r="H50812" t="str">
        <f t="shared" si="843"/>
        <v/>
      </c>
    </row>
    <row r="50813" spans="8:8" x14ac:dyDescent="0.3">
      <c r="H50813" t="str">
        <f t="shared" si="843"/>
        <v/>
      </c>
    </row>
    <row r="50814" spans="8:8" x14ac:dyDescent="0.3">
      <c r="H50814" t="str">
        <f t="shared" si="843"/>
        <v/>
      </c>
    </row>
    <row r="50815" spans="8:8" x14ac:dyDescent="0.3">
      <c r="H50815" t="str">
        <f t="shared" si="843"/>
        <v/>
      </c>
    </row>
    <row r="50816" spans="8:8" x14ac:dyDescent="0.3">
      <c r="H50816" t="str">
        <f t="shared" si="843"/>
        <v/>
      </c>
    </row>
    <row r="50817" spans="8:8" x14ac:dyDescent="0.3">
      <c r="H50817" t="str">
        <f t="shared" si="843"/>
        <v/>
      </c>
    </row>
    <row r="50818" spans="8:8" x14ac:dyDescent="0.3">
      <c r="H50818" t="str">
        <f t="shared" si="843"/>
        <v/>
      </c>
    </row>
    <row r="50819" spans="8:8" x14ac:dyDescent="0.3">
      <c r="H50819" t="str">
        <f t="shared" si="843"/>
        <v/>
      </c>
    </row>
    <row r="50820" spans="8:8" x14ac:dyDescent="0.3">
      <c r="H50820" t="str">
        <f t="shared" si="843"/>
        <v/>
      </c>
    </row>
    <row r="50821" spans="8:8" x14ac:dyDescent="0.3">
      <c r="H50821" t="str">
        <f t="shared" si="843"/>
        <v/>
      </c>
    </row>
    <row r="50822" spans="8:8" x14ac:dyDescent="0.3">
      <c r="H50822" t="str">
        <f t="shared" si="843"/>
        <v/>
      </c>
    </row>
    <row r="50823" spans="8:8" x14ac:dyDescent="0.3">
      <c r="H50823" t="str">
        <f t="shared" si="843"/>
        <v/>
      </c>
    </row>
    <row r="50824" spans="8:8" x14ac:dyDescent="0.3">
      <c r="H50824" t="str">
        <f t="shared" si="843"/>
        <v/>
      </c>
    </row>
    <row r="50825" spans="8:8" x14ac:dyDescent="0.3">
      <c r="H50825" t="str">
        <f t="shared" si="843"/>
        <v/>
      </c>
    </row>
    <row r="50826" spans="8:8" x14ac:dyDescent="0.3">
      <c r="H50826" t="str">
        <f t="shared" si="843"/>
        <v/>
      </c>
    </row>
    <row r="50827" spans="8:8" x14ac:dyDescent="0.3">
      <c r="H50827" t="str">
        <f t="shared" si="843"/>
        <v/>
      </c>
    </row>
    <row r="50828" spans="8:8" x14ac:dyDescent="0.3">
      <c r="H50828" t="str">
        <f t="shared" si="843"/>
        <v/>
      </c>
    </row>
    <row r="50829" spans="8:8" x14ac:dyDescent="0.3">
      <c r="H50829" t="str">
        <f t="shared" si="843"/>
        <v/>
      </c>
    </row>
    <row r="50830" spans="8:8" x14ac:dyDescent="0.3">
      <c r="H50830" t="str">
        <f t="shared" si="843"/>
        <v/>
      </c>
    </row>
    <row r="50831" spans="8:8" x14ac:dyDescent="0.3">
      <c r="H50831" t="str">
        <f t="shared" si="843"/>
        <v/>
      </c>
    </row>
    <row r="50832" spans="8:8" x14ac:dyDescent="0.3">
      <c r="H50832" t="str">
        <f t="shared" si="843"/>
        <v/>
      </c>
    </row>
    <row r="50833" spans="8:8" x14ac:dyDescent="0.3">
      <c r="H50833" t="str">
        <f t="shared" si="843"/>
        <v/>
      </c>
    </row>
    <row r="50834" spans="8:8" x14ac:dyDescent="0.3">
      <c r="H50834" t="str">
        <f t="shared" si="843"/>
        <v/>
      </c>
    </row>
    <row r="50835" spans="8:8" x14ac:dyDescent="0.3">
      <c r="H50835" t="str">
        <f t="shared" si="843"/>
        <v/>
      </c>
    </row>
    <row r="50836" spans="8:8" x14ac:dyDescent="0.3">
      <c r="H50836" t="str">
        <f t="shared" si="843"/>
        <v/>
      </c>
    </row>
    <row r="50837" spans="8:8" x14ac:dyDescent="0.3">
      <c r="H50837" t="str">
        <f t="shared" si="843"/>
        <v/>
      </c>
    </row>
    <row r="50838" spans="8:8" x14ac:dyDescent="0.3">
      <c r="H50838" t="str">
        <f t="shared" si="843"/>
        <v/>
      </c>
    </row>
    <row r="50839" spans="8:8" x14ac:dyDescent="0.3">
      <c r="H50839" t="str">
        <f t="shared" ref="H50839:H50902" si="844">IF(B50839="","",$C$12)</f>
        <v/>
      </c>
    </row>
    <row r="50840" spans="8:8" x14ac:dyDescent="0.3">
      <c r="H50840" t="str">
        <f t="shared" si="844"/>
        <v/>
      </c>
    </row>
    <row r="50841" spans="8:8" x14ac:dyDescent="0.3">
      <c r="H50841" t="str">
        <f t="shared" si="844"/>
        <v/>
      </c>
    </row>
    <row r="50842" spans="8:8" x14ac:dyDescent="0.3">
      <c r="H50842" t="str">
        <f t="shared" si="844"/>
        <v/>
      </c>
    </row>
    <row r="50843" spans="8:8" x14ac:dyDescent="0.3">
      <c r="H50843" t="str">
        <f t="shared" si="844"/>
        <v/>
      </c>
    </row>
    <row r="50844" spans="8:8" x14ac:dyDescent="0.3">
      <c r="H50844" t="str">
        <f t="shared" si="844"/>
        <v/>
      </c>
    </row>
    <row r="50845" spans="8:8" x14ac:dyDescent="0.3">
      <c r="H50845" t="str">
        <f t="shared" si="844"/>
        <v/>
      </c>
    </row>
    <row r="50846" spans="8:8" x14ac:dyDescent="0.3">
      <c r="H50846" t="str">
        <f t="shared" si="844"/>
        <v/>
      </c>
    </row>
    <row r="50847" spans="8:8" x14ac:dyDescent="0.3">
      <c r="H50847" t="str">
        <f t="shared" si="844"/>
        <v/>
      </c>
    </row>
    <row r="50848" spans="8:8" x14ac:dyDescent="0.3">
      <c r="H50848" t="str">
        <f t="shared" si="844"/>
        <v/>
      </c>
    </row>
    <row r="50849" spans="8:8" x14ac:dyDescent="0.3">
      <c r="H50849" t="str">
        <f t="shared" si="844"/>
        <v/>
      </c>
    </row>
    <row r="50850" spans="8:8" x14ac:dyDescent="0.3">
      <c r="H50850" t="str">
        <f t="shared" si="844"/>
        <v/>
      </c>
    </row>
    <row r="50851" spans="8:8" x14ac:dyDescent="0.3">
      <c r="H50851" t="str">
        <f t="shared" si="844"/>
        <v/>
      </c>
    </row>
    <row r="50852" spans="8:8" x14ac:dyDescent="0.3">
      <c r="H50852" t="str">
        <f t="shared" si="844"/>
        <v/>
      </c>
    </row>
    <row r="50853" spans="8:8" x14ac:dyDescent="0.3">
      <c r="H50853" t="str">
        <f t="shared" si="844"/>
        <v/>
      </c>
    </row>
    <row r="50854" spans="8:8" x14ac:dyDescent="0.3">
      <c r="H50854" t="str">
        <f t="shared" si="844"/>
        <v/>
      </c>
    </row>
    <row r="50855" spans="8:8" x14ac:dyDescent="0.3">
      <c r="H50855" t="str">
        <f t="shared" si="844"/>
        <v/>
      </c>
    </row>
    <row r="50856" spans="8:8" x14ac:dyDescent="0.3">
      <c r="H50856" t="str">
        <f t="shared" si="844"/>
        <v/>
      </c>
    </row>
    <row r="50857" spans="8:8" x14ac:dyDescent="0.3">
      <c r="H50857" t="str">
        <f t="shared" si="844"/>
        <v/>
      </c>
    </row>
    <row r="50858" spans="8:8" x14ac:dyDescent="0.3">
      <c r="H50858" t="str">
        <f t="shared" si="844"/>
        <v/>
      </c>
    </row>
    <row r="50859" spans="8:8" x14ac:dyDescent="0.3">
      <c r="H50859" t="str">
        <f t="shared" si="844"/>
        <v/>
      </c>
    </row>
    <row r="50860" spans="8:8" x14ac:dyDescent="0.3">
      <c r="H50860" t="str">
        <f t="shared" si="844"/>
        <v/>
      </c>
    </row>
    <row r="50861" spans="8:8" x14ac:dyDescent="0.3">
      <c r="H50861" t="str">
        <f t="shared" si="844"/>
        <v/>
      </c>
    </row>
    <row r="50862" spans="8:8" x14ac:dyDescent="0.3">
      <c r="H50862" t="str">
        <f t="shared" si="844"/>
        <v/>
      </c>
    </row>
    <row r="50863" spans="8:8" x14ac:dyDescent="0.3">
      <c r="H50863" t="str">
        <f t="shared" si="844"/>
        <v/>
      </c>
    </row>
    <row r="50864" spans="8:8" x14ac:dyDescent="0.3">
      <c r="H50864" t="str">
        <f t="shared" si="844"/>
        <v/>
      </c>
    </row>
    <row r="50865" spans="8:8" x14ac:dyDescent="0.3">
      <c r="H50865" t="str">
        <f t="shared" si="844"/>
        <v/>
      </c>
    </row>
    <row r="50866" spans="8:8" x14ac:dyDescent="0.3">
      <c r="H50866" t="str">
        <f t="shared" si="844"/>
        <v/>
      </c>
    </row>
    <row r="50867" spans="8:8" x14ac:dyDescent="0.3">
      <c r="H50867" t="str">
        <f t="shared" si="844"/>
        <v/>
      </c>
    </row>
    <row r="50868" spans="8:8" x14ac:dyDescent="0.3">
      <c r="H50868" t="str">
        <f t="shared" si="844"/>
        <v/>
      </c>
    </row>
    <row r="50869" spans="8:8" x14ac:dyDescent="0.3">
      <c r="H50869" t="str">
        <f t="shared" si="844"/>
        <v/>
      </c>
    </row>
    <row r="50870" spans="8:8" x14ac:dyDescent="0.3">
      <c r="H50870" t="str">
        <f t="shared" si="844"/>
        <v/>
      </c>
    </row>
    <row r="50871" spans="8:8" x14ac:dyDescent="0.3">
      <c r="H50871" t="str">
        <f t="shared" si="844"/>
        <v/>
      </c>
    </row>
    <row r="50872" spans="8:8" x14ac:dyDescent="0.3">
      <c r="H50872" t="str">
        <f t="shared" si="844"/>
        <v/>
      </c>
    </row>
    <row r="50873" spans="8:8" x14ac:dyDescent="0.3">
      <c r="H50873" t="str">
        <f t="shared" si="844"/>
        <v/>
      </c>
    </row>
    <row r="50874" spans="8:8" x14ac:dyDescent="0.3">
      <c r="H50874" t="str">
        <f t="shared" si="844"/>
        <v/>
      </c>
    </row>
    <row r="50875" spans="8:8" x14ac:dyDescent="0.3">
      <c r="H50875" t="str">
        <f t="shared" si="844"/>
        <v/>
      </c>
    </row>
    <row r="50876" spans="8:8" x14ac:dyDescent="0.3">
      <c r="H50876" t="str">
        <f t="shared" si="844"/>
        <v/>
      </c>
    </row>
    <row r="50877" spans="8:8" x14ac:dyDescent="0.3">
      <c r="H50877" t="str">
        <f t="shared" si="844"/>
        <v/>
      </c>
    </row>
    <row r="50878" spans="8:8" x14ac:dyDescent="0.3">
      <c r="H50878" t="str">
        <f t="shared" si="844"/>
        <v/>
      </c>
    </row>
    <row r="50879" spans="8:8" x14ac:dyDescent="0.3">
      <c r="H50879" t="str">
        <f t="shared" si="844"/>
        <v/>
      </c>
    </row>
    <row r="50880" spans="8:8" x14ac:dyDescent="0.3">
      <c r="H50880" t="str">
        <f t="shared" si="844"/>
        <v/>
      </c>
    </row>
    <row r="50881" spans="8:8" x14ac:dyDescent="0.3">
      <c r="H50881" t="str">
        <f t="shared" si="844"/>
        <v/>
      </c>
    </row>
    <row r="50882" spans="8:8" x14ac:dyDescent="0.3">
      <c r="H50882" t="str">
        <f t="shared" si="844"/>
        <v/>
      </c>
    </row>
    <row r="50883" spans="8:8" x14ac:dyDescent="0.3">
      <c r="H50883" t="str">
        <f t="shared" si="844"/>
        <v/>
      </c>
    </row>
    <row r="50884" spans="8:8" x14ac:dyDescent="0.3">
      <c r="H50884" t="str">
        <f t="shared" si="844"/>
        <v/>
      </c>
    </row>
    <row r="50885" spans="8:8" x14ac:dyDescent="0.3">
      <c r="H50885" t="str">
        <f t="shared" si="844"/>
        <v/>
      </c>
    </row>
    <row r="50886" spans="8:8" x14ac:dyDescent="0.3">
      <c r="H50886" t="str">
        <f t="shared" si="844"/>
        <v/>
      </c>
    </row>
    <row r="50887" spans="8:8" x14ac:dyDescent="0.3">
      <c r="H50887" t="str">
        <f t="shared" si="844"/>
        <v/>
      </c>
    </row>
    <row r="50888" spans="8:8" x14ac:dyDescent="0.3">
      <c r="H50888" t="str">
        <f t="shared" si="844"/>
        <v/>
      </c>
    </row>
    <row r="50889" spans="8:8" x14ac:dyDescent="0.3">
      <c r="H50889" t="str">
        <f t="shared" si="844"/>
        <v/>
      </c>
    </row>
    <row r="50890" spans="8:8" x14ac:dyDescent="0.3">
      <c r="H50890" t="str">
        <f t="shared" si="844"/>
        <v/>
      </c>
    </row>
    <row r="50891" spans="8:8" x14ac:dyDescent="0.3">
      <c r="H50891" t="str">
        <f t="shared" si="844"/>
        <v/>
      </c>
    </row>
    <row r="50892" spans="8:8" x14ac:dyDescent="0.3">
      <c r="H50892" t="str">
        <f t="shared" si="844"/>
        <v/>
      </c>
    </row>
    <row r="50893" spans="8:8" x14ac:dyDescent="0.3">
      <c r="H50893" t="str">
        <f t="shared" si="844"/>
        <v/>
      </c>
    </row>
    <row r="50894" spans="8:8" x14ac:dyDescent="0.3">
      <c r="H50894" t="str">
        <f t="shared" si="844"/>
        <v/>
      </c>
    </row>
    <row r="50895" spans="8:8" x14ac:dyDescent="0.3">
      <c r="H50895" t="str">
        <f t="shared" si="844"/>
        <v/>
      </c>
    </row>
    <row r="50896" spans="8:8" x14ac:dyDescent="0.3">
      <c r="H50896" t="str">
        <f t="shared" si="844"/>
        <v/>
      </c>
    </row>
    <row r="50897" spans="8:8" x14ac:dyDescent="0.3">
      <c r="H50897" t="str">
        <f t="shared" si="844"/>
        <v/>
      </c>
    </row>
    <row r="50898" spans="8:8" x14ac:dyDescent="0.3">
      <c r="H50898" t="str">
        <f t="shared" si="844"/>
        <v/>
      </c>
    </row>
    <row r="50899" spans="8:8" x14ac:dyDescent="0.3">
      <c r="H50899" t="str">
        <f t="shared" si="844"/>
        <v/>
      </c>
    </row>
    <row r="50900" spans="8:8" x14ac:dyDescent="0.3">
      <c r="H50900" t="str">
        <f t="shared" si="844"/>
        <v/>
      </c>
    </row>
    <row r="50901" spans="8:8" x14ac:dyDescent="0.3">
      <c r="H50901" t="str">
        <f t="shared" si="844"/>
        <v/>
      </c>
    </row>
    <row r="50902" spans="8:8" x14ac:dyDescent="0.3">
      <c r="H50902" t="str">
        <f t="shared" si="844"/>
        <v/>
      </c>
    </row>
    <row r="50903" spans="8:8" x14ac:dyDescent="0.3">
      <c r="H50903" t="str">
        <f t="shared" ref="H50903:H50966" si="845">IF(B50903="","",$C$12)</f>
        <v/>
      </c>
    </row>
    <row r="50904" spans="8:8" x14ac:dyDescent="0.3">
      <c r="H50904" t="str">
        <f t="shared" si="845"/>
        <v/>
      </c>
    </row>
    <row r="50905" spans="8:8" x14ac:dyDescent="0.3">
      <c r="H50905" t="str">
        <f t="shared" si="845"/>
        <v/>
      </c>
    </row>
    <row r="50906" spans="8:8" x14ac:dyDescent="0.3">
      <c r="H50906" t="str">
        <f t="shared" si="845"/>
        <v/>
      </c>
    </row>
    <row r="50907" spans="8:8" x14ac:dyDescent="0.3">
      <c r="H50907" t="str">
        <f t="shared" si="845"/>
        <v/>
      </c>
    </row>
    <row r="50908" spans="8:8" x14ac:dyDescent="0.3">
      <c r="H50908" t="str">
        <f t="shared" si="845"/>
        <v/>
      </c>
    </row>
    <row r="50909" spans="8:8" x14ac:dyDescent="0.3">
      <c r="H50909" t="str">
        <f t="shared" si="845"/>
        <v/>
      </c>
    </row>
    <row r="50910" spans="8:8" x14ac:dyDescent="0.3">
      <c r="H50910" t="str">
        <f t="shared" si="845"/>
        <v/>
      </c>
    </row>
    <row r="50911" spans="8:8" x14ac:dyDescent="0.3">
      <c r="H50911" t="str">
        <f t="shared" si="845"/>
        <v/>
      </c>
    </row>
    <row r="50912" spans="8:8" x14ac:dyDescent="0.3">
      <c r="H50912" t="str">
        <f t="shared" si="845"/>
        <v/>
      </c>
    </row>
    <row r="50913" spans="8:8" x14ac:dyDescent="0.3">
      <c r="H50913" t="str">
        <f t="shared" si="845"/>
        <v/>
      </c>
    </row>
    <row r="50914" spans="8:8" x14ac:dyDescent="0.3">
      <c r="H50914" t="str">
        <f t="shared" si="845"/>
        <v/>
      </c>
    </row>
    <row r="50915" spans="8:8" x14ac:dyDescent="0.3">
      <c r="H50915" t="str">
        <f t="shared" si="845"/>
        <v/>
      </c>
    </row>
    <row r="50916" spans="8:8" x14ac:dyDescent="0.3">
      <c r="H50916" t="str">
        <f t="shared" si="845"/>
        <v/>
      </c>
    </row>
    <row r="50917" spans="8:8" x14ac:dyDescent="0.3">
      <c r="H50917" t="str">
        <f t="shared" si="845"/>
        <v/>
      </c>
    </row>
    <row r="50918" spans="8:8" x14ac:dyDescent="0.3">
      <c r="H50918" t="str">
        <f t="shared" si="845"/>
        <v/>
      </c>
    </row>
    <row r="50919" spans="8:8" x14ac:dyDescent="0.3">
      <c r="H50919" t="str">
        <f t="shared" si="845"/>
        <v/>
      </c>
    </row>
    <row r="50920" spans="8:8" x14ac:dyDescent="0.3">
      <c r="H50920" t="str">
        <f t="shared" si="845"/>
        <v/>
      </c>
    </row>
    <row r="50921" spans="8:8" x14ac:dyDescent="0.3">
      <c r="H50921" t="str">
        <f t="shared" si="845"/>
        <v/>
      </c>
    </row>
    <row r="50922" spans="8:8" x14ac:dyDescent="0.3">
      <c r="H50922" t="str">
        <f t="shared" si="845"/>
        <v/>
      </c>
    </row>
    <row r="50923" spans="8:8" x14ac:dyDescent="0.3">
      <c r="H50923" t="str">
        <f t="shared" si="845"/>
        <v/>
      </c>
    </row>
    <row r="50924" spans="8:8" x14ac:dyDescent="0.3">
      <c r="H50924" t="str">
        <f t="shared" si="845"/>
        <v/>
      </c>
    </row>
    <row r="50925" spans="8:8" x14ac:dyDescent="0.3">
      <c r="H50925" t="str">
        <f t="shared" si="845"/>
        <v/>
      </c>
    </row>
    <row r="50926" spans="8:8" x14ac:dyDescent="0.3">
      <c r="H50926" t="str">
        <f t="shared" si="845"/>
        <v/>
      </c>
    </row>
    <row r="50927" spans="8:8" x14ac:dyDescent="0.3">
      <c r="H50927" t="str">
        <f t="shared" si="845"/>
        <v/>
      </c>
    </row>
    <row r="50928" spans="8:8" x14ac:dyDescent="0.3">
      <c r="H50928" t="str">
        <f t="shared" si="845"/>
        <v/>
      </c>
    </row>
    <row r="50929" spans="8:8" x14ac:dyDescent="0.3">
      <c r="H50929" t="str">
        <f t="shared" si="845"/>
        <v/>
      </c>
    </row>
    <row r="50930" spans="8:8" x14ac:dyDescent="0.3">
      <c r="H50930" t="str">
        <f t="shared" si="845"/>
        <v/>
      </c>
    </row>
    <row r="50931" spans="8:8" x14ac:dyDescent="0.3">
      <c r="H50931" t="str">
        <f t="shared" si="845"/>
        <v/>
      </c>
    </row>
    <row r="50932" spans="8:8" x14ac:dyDescent="0.3">
      <c r="H50932" t="str">
        <f t="shared" si="845"/>
        <v/>
      </c>
    </row>
    <row r="50933" spans="8:8" x14ac:dyDescent="0.3">
      <c r="H50933" t="str">
        <f t="shared" si="845"/>
        <v/>
      </c>
    </row>
    <row r="50934" spans="8:8" x14ac:dyDescent="0.3">
      <c r="H50934" t="str">
        <f t="shared" si="845"/>
        <v/>
      </c>
    </row>
    <row r="50935" spans="8:8" x14ac:dyDescent="0.3">
      <c r="H50935" t="str">
        <f t="shared" si="845"/>
        <v/>
      </c>
    </row>
    <row r="50936" spans="8:8" x14ac:dyDescent="0.3">
      <c r="H50936" t="str">
        <f t="shared" si="845"/>
        <v/>
      </c>
    </row>
    <row r="50937" spans="8:8" x14ac:dyDescent="0.3">
      <c r="H50937" t="str">
        <f t="shared" si="845"/>
        <v/>
      </c>
    </row>
    <row r="50938" spans="8:8" x14ac:dyDescent="0.3">
      <c r="H50938" t="str">
        <f t="shared" si="845"/>
        <v/>
      </c>
    </row>
    <row r="50939" spans="8:8" x14ac:dyDescent="0.3">
      <c r="H50939" t="str">
        <f t="shared" si="845"/>
        <v/>
      </c>
    </row>
    <row r="50940" spans="8:8" x14ac:dyDescent="0.3">
      <c r="H50940" t="str">
        <f t="shared" si="845"/>
        <v/>
      </c>
    </row>
    <row r="50941" spans="8:8" x14ac:dyDescent="0.3">
      <c r="H50941" t="str">
        <f t="shared" si="845"/>
        <v/>
      </c>
    </row>
    <row r="50942" spans="8:8" x14ac:dyDescent="0.3">
      <c r="H50942" t="str">
        <f t="shared" si="845"/>
        <v/>
      </c>
    </row>
    <row r="50943" spans="8:8" x14ac:dyDescent="0.3">
      <c r="H50943" t="str">
        <f t="shared" si="845"/>
        <v/>
      </c>
    </row>
    <row r="50944" spans="8:8" x14ac:dyDescent="0.3">
      <c r="H50944" t="str">
        <f t="shared" si="845"/>
        <v/>
      </c>
    </row>
    <row r="50945" spans="8:8" x14ac:dyDescent="0.3">
      <c r="H50945" t="str">
        <f t="shared" si="845"/>
        <v/>
      </c>
    </row>
    <row r="50946" spans="8:8" x14ac:dyDescent="0.3">
      <c r="H50946" t="str">
        <f t="shared" si="845"/>
        <v/>
      </c>
    </row>
    <row r="50947" spans="8:8" x14ac:dyDescent="0.3">
      <c r="H50947" t="str">
        <f t="shared" si="845"/>
        <v/>
      </c>
    </row>
    <row r="50948" spans="8:8" x14ac:dyDescent="0.3">
      <c r="H50948" t="str">
        <f t="shared" si="845"/>
        <v/>
      </c>
    </row>
    <row r="50949" spans="8:8" x14ac:dyDescent="0.3">
      <c r="H50949" t="str">
        <f t="shared" si="845"/>
        <v/>
      </c>
    </row>
    <row r="50950" spans="8:8" x14ac:dyDescent="0.3">
      <c r="H50950" t="str">
        <f t="shared" si="845"/>
        <v/>
      </c>
    </row>
    <row r="50951" spans="8:8" x14ac:dyDescent="0.3">
      <c r="H50951" t="str">
        <f t="shared" si="845"/>
        <v/>
      </c>
    </row>
    <row r="50952" spans="8:8" x14ac:dyDescent="0.3">
      <c r="H50952" t="str">
        <f t="shared" si="845"/>
        <v/>
      </c>
    </row>
    <row r="50953" spans="8:8" x14ac:dyDescent="0.3">
      <c r="H50953" t="str">
        <f t="shared" si="845"/>
        <v/>
      </c>
    </row>
    <row r="50954" spans="8:8" x14ac:dyDescent="0.3">
      <c r="H50954" t="str">
        <f t="shared" si="845"/>
        <v/>
      </c>
    </row>
    <row r="50955" spans="8:8" x14ac:dyDescent="0.3">
      <c r="H50955" t="str">
        <f t="shared" si="845"/>
        <v/>
      </c>
    </row>
    <row r="50956" spans="8:8" x14ac:dyDescent="0.3">
      <c r="H50956" t="str">
        <f t="shared" si="845"/>
        <v/>
      </c>
    </row>
    <row r="50957" spans="8:8" x14ac:dyDescent="0.3">
      <c r="H50957" t="str">
        <f t="shared" si="845"/>
        <v/>
      </c>
    </row>
    <row r="50958" spans="8:8" x14ac:dyDescent="0.3">
      <c r="H50958" t="str">
        <f t="shared" si="845"/>
        <v/>
      </c>
    </row>
    <row r="50959" spans="8:8" x14ac:dyDescent="0.3">
      <c r="H50959" t="str">
        <f t="shared" si="845"/>
        <v/>
      </c>
    </row>
    <row r="50960" spans="8:8" x14ac:dyDescent="0.3">
      <c r="H50960" t="str">
        <f t="shared" si="845"/>
        <v/>
      </c>
    </row>
    <row r="50961" spans="8:8" x14ac:dyDescent="0.3">
      <c r="H50961" t="str">
        <f t="shared" si="845"/>
        <v/>
      </c>
    </row>
    <row r="50962" spans="8:8" x14ac:dyDescent="0.3">
      <c r="H50962" t="str">
        <f t="shared" si="845"/>
        <v/>
      </c>
    </row>
    <row r="50963" spans="8:8" x14ac:dyDescent="0.3">
      <c r="H50963" t="str">
        <f t="shared" si="845"/>
        <v/>
      </c>
    </row>
    <row r="50964" spans="8:8" x14ac:dyDescent="0.3">
      <c r="H50964" t="str">
        <f t="shared" si="845"/>
        <v/>
      </c>
    </row>
    <row r="50965" spans="8:8" x14ac:dyDescent="0.3">
      <c r="H50965" t="str">
        <f t="shared" si="845"/>
        <v/>
      </c>
    </row>
    <row r="50966" spans="8:8" x14ac:dyDescent="0.3">
      <c r="H50966" t="str">
        <f t="shared" si="845"/>
        <v/>
      </c>
    </row>
    <row r="50967" spans="8:8" x14ac:dyDescent="0.3">
      <c r="H50967" t="str">
        <f t="shared" ref="H50967:H51030" si="846">IF(B50967="","",$C$12)</f>
        <v/>
      </c>
    </row>
    <row r="50968" spans="8:8" x14ac:dyDescent="0.3">
      <c r="H50968" t="str">
        <f t="shared" si="846"/>
        <v/>
      </c>
    </row>
    <row r="50969" spans="8:8" x14ac:dyDescent="0.3">
      <c r="H50969" t="str">
        <f t="shared" si="846"/>
        <v/>
      </c>
    </row>
    <row r="50970" spans="8:8" x14ac:dyDescent="0.3">
      <c r="H50970" t="str">
        <f t="shared" si="846"/>
        <v/>
      </c>
    </row>
    <row r="50971" spans="8:8" x14ac:dyDescent="0.3">
      <c r="H50971" t="str">
        <f t="shared" si="846"/>
        <v/>
      </c>
    </row>
    <row r="50972" spans="8:8" x14ac:dyDescent="0.3">
      <c r="H50972" t="str">
        <f t="shared" si="846"/>
        <v/>
      </c>
    </row>
    <row r="50973" spans="8:8" x14ac:dyDescent="0.3">
      <c r="H50973" t="str">
        <f t="shared" si="846"/>
        <v/>
      </c>
    </row>
    <row r="50974" spans="8:8" x14ac:dyDescent="0.3">
      <c r="H50974" t="str">
        <f t="shared" si="846"/>
        <v/>
      </c>
    </row>
    <row r="50975" spans="8:8" x14ac:dyDescent="0.3">
      <c r="H50975" t="str">
        <f t="shared" si="846"/>
        <v/>
      </c>
    </row>
    <row r="50976" spans="8:8" x14ac:dyDescent="0.3">
      <c r="H50976" t="str">
        <f t="shared" si="846"/>
        <v/>
      </c>
    </row>
    <row r="50977" spans="8:8" x14ac:dyDescent="0.3">
      <c r="H50977" t="str">
        <f t="shared" si="846"/>
        <v/>
      </c>
    </row>
    <row r="50978" spans="8:8" x14ac:dyDescent="0.3">
      <c r="H50978" t="str">
        <f t="shared" si="846"/>
        <v/>
      </c>
    </row>
    <row r="50979" spans="8:8" x14ac:dyDescent="0.3">
      <c r="H50979" t="str">
        <f t="shared" si="846"/>
        <v/>
      </c>
    </row>
    <row r="50980" spans="8:8" x14ac:dyDescent="0.3">
      <c r="H50980" t="str">
        <f t="shared" si="846"/>
        <v/>
      </c>
    </row>
    <row r="50981" spans="8:8" x14ac:dyDescent="0.3">
      <c r="H50981" t="str">
        <f t="shared" si="846"/>
        <v/>
      </c>
    </row>
    <row r="50982" spans="8:8" x14ac:dyDescent="0.3">
      <c r="H50982" t="str">
        <f t="shared" si="846"/>
        <v/>
      </c>
    </row>
    <row r="50983" spans="8:8" x14ac:dyDescent="0.3">
      <c r="H50983" t="str">
        <f t="shared" si="846"/>
        <v/>
      </c>
    </row>
    <row r="50984" spans="8:8" x14ac:dyDescent="0.3">
      <c r="H50984" t="str">
        <f t="shared" si="846"/>
        <v/>
      </c>
    </row>
    <row r="50985" spans="8:8" x14ac:dyDescent="0.3">
      <c r="H50985" t="str">
        <f t="shared" si="846"/>
        <v/>
      </c>
    </row>
    <row r="50986" spans="8:8" x14ac:dyDescent="0.3">
      <c r="H50986" t="str">
        <f t="shared" si="846"/>
        <v/>
      </c>
    </row>
    <row r="50987" spans="8:8" x14ac:dyDescent="0.3">
      <c r="H50987" t="str">
        <f t="shared" si="846"/>
        <v/>
      </c>
    </row>
    <row r="50988" spans="8:8" x14ac:dyDescent="0.3">
      <c r="H50988" t="str">
        <f t="shared" si="846"/>
        <v/>
      </c>
    </row>
    <row r="50989" spans="8:8" x14ac:dyDescent="0.3">
      <c r="H50989" t="str">
        <f t="shared" si="846"/>
        <v/>
      </c>
    </row>
    <row r="50990" spans="8:8" x14ac:dyDescent="0.3">
      <c r="H50990" t="str">
        <f t="shared" si="846"/>
        <v/>
      </c>
    </row>
    <row r="50991" spans="8:8" x14ac:dyDescent="0.3">
      <c r="H50991" t="str">
        <f t="shared" si="846"/>
        <v/>
      </c>
    </row>
    <row r="50992" spans="8:8" x14ac:dyDescent="0.3">
      <c r="H50992" t="str">
        <f t="shared" si="846"/>
        <v/>
      </c>
    </row>
    <row r="50993" spans="8:8" x14ac:dyDescent="0.3">
      <c r="H50993" t="str">
        <f t="shared" si="846"/>
        <v/>
      </c>
    </row>
    <row r="50994" spans="8:8" x14ac:dyDescent="0.3">
      <c r="H50994" t="str">
        <f t="shared" si="846"/>
        <v/>
      </c>
    </row>
    <row r="50995" spans="8:8" x14ac:dyDescent="0.3">
      <c r="H50995" t="str">
        <f t="shared" si="846"/>
        <v/>
      </c>
    </row>
    <row r="50996" spans="8:8" x14ac:dyDescent="0.3">
      <c r="H50996" t="str">
        <f t="shared" si="846"/>
        <v/>
      </c>
    </row>
    <row r="50997" spans="8:8" x14ac:dyDescent="0.3">
      <c r="H50997" t="str">
        <f t="shared" si="846"/>
        <v/>
      </c>
    </row>
    <row r="50998" spans="8:8" x14ac:dyDescent="0.3">
      <c r="H50998" t="str">
        <f t="shared" si="846"/>
        <v/>
      </c>
    </row>
    <row r="50999" spans="8:8" x14ac:dyDescent="0.3">
      <c r="H50999" t="str">
        <f t="shared" si="846"/>
        <v/>
      </c>
    </row>
    <row r="51000" spans="8:8" x14ac:dyDescent="0.3">
      <c r="H51000" t="str">
        <f t="shared" si="846"/>
        <v/>
      </c>
    </row>
    <row r="51001" spans="8:8" x14ac:dyDescent="0.3">
      <c r="H51001" t="str">
        <f t="shared" si="846"/>
        <v/>
      </c>
    </row>
    <row r="51002" spans="8:8" x14ac:dyDescent="0.3">
      <c r="H51002" t="str">
        <f t="shared" si="846"/>
        <v/>
      </c>
    </row>
    <row r="51003" spans="8:8" x14ac:dyDescent="0.3">
      <c r="H51003" t="str">
        <f t="shared" si="846"/>
        <v/>
      </c>
    </row>
    <row r="51004" spans="8:8" x14ac:dyDescent="0.3">
      <c r="H51004" t="str">
        <f t="shared" si="846"/>
        <v/>
      </c>
    </row>
    <row r="51005" spans="8:8" x14ac:dyDescent="0.3">
      <c r="H51005" t="str">
        <f t="shared" si="846"/>
        <v/>
      </c>
    </row>
    <row r="51006" spans="8:8" x14ac:dyDescent="0.3">
      <c r="H51006" t="str">
        <f t="shared" si="846"/>
        <v/>
      </c>
    </row>
    <row r="51007" spans="8:8" x14ac:dyDescent="0.3">
      <c r="H51007" t="str">
        <f t="shared" si="846"/>
        <v/>
      </c>
    </row>
    <row r="51008" spans="8:8" x14ac:dyDescent="0.3">
      <c r="H51008" t="str">
        <f t="shared" si="846"/>
        <v/>
      </c>
    </row>
    <row r="51009" spans="8:8" x14ac:dyDescent="0.3">
      <c r="H51009" t="str">
        <f t="shared" si="846"/>
        <v/>
      </c>
    </row>
    <row r="51010" spans="8:8" x14ac:dyDescent="0.3">
      <c r="H51010" t="str">
        <f t="shared" si="846"/>
        <v/>
      </c>
    </row>
    <row r="51011" spans="8:8" x14ac:dyDescent="0.3">
      <c r="H51011" t="str">
        <f t="shared" si="846"/>
        <v/>
      </c>
    </row>
    <row r="51012" spans="8:8" x14ac:dyDescent="0.3">
      <c r="H51012" t="str">
        <f t="shared" si="846"/>
        <v/>
      </c>
    </row>
    <row r="51013" spans="8:8" x14ac:dyDescent="0.3">
      <c r="H51013" t="str">
        <f t="shared" si="846"/>
        <v/>
      </c>
    </row>
    <row r="51014" spans="8:8" x14ac:dyDescent="0.3">
      <c r="H51014" t="str">
        <f t="shared" si="846"/>
        <v/>
      </c>
    </row>
    <row r="51015" spans="8:8" x14ac:dyDescent="0.3">
      <c r="H51015" t="str">
        <f t="shared" si="846"/>
        <v/>
      </c>
    </row>
    <row r="51016" spans="8:8" x14ac:dyDescent="0.3">
      <c r="H51016" t="str">
        <f t="shared" si="846"/>
        <v/>
      </c>
    </row>
    <row r="51017" spans="8:8" x14ac:dyDescent="0.3">
      <c r="H51017" t="str">
        <f t="shared" si="846"/>
        <v/>
      </c>
    </row>
    <row r="51018" spans="8:8" x14ac:dyDescent="0.3">
      <c r="H51018" t="str">
        <f t="shared" si="846"/>
        <v/>
      </c>
    </row>
    <row r="51019" spans="8:8" x14ac:dyDescent="0.3">
      <c r="H51019" t="str">
        <f t="shared" si="846"/>
        <v/>
      </c>
    </row>
    <row r="51020" spans="8:8" x14ac:dyDescent="0.3">
      <c r="H51020" t="str">
        <f t="shared" si="846"/>
        <v/>
      </c>
    </row>
    <row r="51021" spans="8:8" x14ac:dyDescent="0.3">
      <c r="H51021" t="str">
        <f t="shared" si="846"/>
        <v/>
      </c>
    </row>
    <row r="51022" spans="8:8" x14ac:dyDescent="0.3">
      <c r="H51022" t="str">
        <f t="shared" si="846"/>
        <v/>
      </c>
    </row>
    <row r="51023" spans="8:8" x14ac:dyDescent="0.3">
      <c r="H51023" t="str">
        <f t="shared" si="846"/>
        <v/>
      </c>
    </row>
    <row r="51024" spans="8:8" x14ac:dyDescent="0.3">
      <c r="H51024" t="str">
        <f t="shared" si="846"/>
        <v/>
      </c>
    </row>
    <row r="51025" spans="8:8" x14ac:dyDescent="0.3">
      <c r="H51025" t="str">
        <f t="shared" si="846"/>
        <v/>
      </c>
    </row>
    <row r="51026" spans="8:8" x14ac:dyDescent="0.3">
      <c r="H51026" t="str">
        <f t="shared" si="846"/>
        <v/>
      </c>
    </row>
    <row r="51027" spans="8:8" x14ac:dyDescent="0.3">
      <c r="H51027" t="str">
        <f t="shared" si="846"/>
        <v/>
      </c>
    </row>
    <row r="51028" spans="8:8" x14ac:dyDescent="0.3">
      <c r="H51028" t="str">
        <f t="shared" si="846"/>
        <v/>
      </c>
    </row>
    <row r="51029" spans="8:8" x14ac:dyDescent="0.3">
      <c r="H51029" t="str">
        <f t="shared" si="846"/>
        <v/>
      </c>
    </row>
    <row r="51030" spans="8:8" x14ac:dyDescent="0.3">
      <c r="H51030" t="str">
        <f t="shared" si="846"/>
        <v/>
      </c>
    </row>
    <row r="51031" spans="8:8" x14ac:dyDescent="0.3">
      <c r="H51031" t="str">
        <f t="shared" ref="H51031:H51094" si="847">IF(B51031="","",$C$12)</f>
        <v/>
      </c>
    </row>
    <row r="51032" spans="8:8" x14ac:dyDescent="0.3">
      <c r="H51032" t="str">
        <f t="shared" si="847"/>
        <v/>
      </c>
    </row>
    <row r="51033" spans="8:8" x14ac:dyDescent="0.3">
      <c r="H51033" t="str">
        <f t="shared" si="847"/>
        <v/>
      </c>
    </row>
    <row r="51034" spans="8:8" x14ac:dyDescent="0.3">
      <c r="H51034" t="str">
        <f t="shared" si="847"/>
        <v/>
      </c>
    </row>
    <row r="51035" spans="8:8" x14ac:dyDescent="0.3">
      <c r="H51035" t="str">
        <f t="shared" si="847"/>
        <v/>
      </c>
    </row>
    <row r="51036" spans="8:8" x14ac:dyDescent="0.3">
      <c r="H51036" t="str">
        <f t="shared" si="847"/>
        <v/>
      </c>
    </row>
    <row r="51037" spans="8:8" x14ac:dyDescent="0.3">
      <c r="H51037" t="str">
        <f t="shared" si="847"/>
        <v/>
      </c>
    </row>
    <row r="51038" spans="8:8" x14ac:dyDescent="0.3">
      <c r="H51038" t="str">
        <f t="shared" si="847"/>
        <v/>
      </c>
    </row>
    <row r="51039" spans="8:8" x14ac:dyDescent="0.3">
      <c r="H51039" t="str">
        <f t="shared" si="847"/>
        <v/>
      </c>
    </row>
    <row r="51040" spans="8:8" x14ac:dyDescent="0.3">
      <c r="H51040" t="str">
        <f t="shared" si="847"/>
        <v/>
      </c>
    </row>
    <row r="51041" spans="8:8" x14ac:dyDescent="0.3">
      <c r="H51041" t="str">
        <f t="shared" si="847"/>
        <v/>
      </c>
    </row>
    <row r="51042" spans="8:8" x14ac:dyDescent="0.3">
      <c r="H51042" t="str">
        <f t="shared" si="847"/>
        <v/>
      </c>
    </row>
    <row r="51043" spans="8:8" x14ac:dyDescent="0.3">
      <c r="H51043" t="str">
        <f t="shared" si="847"/>
        <v/>
      </c>
    </row>
    <row r="51044" spans="8:8" x14ac:dyDescent="0.3">
      <c r="H51044" t="str">
        <f t="shared" si="847"/>
        <v/>
      </c>
    </row>
    <row r="51045" spans="8:8" x14ac:dyDescent="0.3">
      <c r="H51045" t="str">
        <f t="shared" si="847"/>
        <v/>
      </c>
    </row>
    <row r="51046" spans="8:8" x14ac:dyDescent="0.3">
      <c r="H51046" t="str">
        <f t="shared" si="847"/>
        <v/>
      </c>
    </row>
    <row r="51047" spans="8:8" x14ac:dyDescent="0.3">
      <c r="H51047" t="str">
        <f t="shared" si="847"/>
        <v/>
      </c>
    </row>
    <row r="51048" spans="8:8" x14ac:dyDescent="0.3">
      <c r="H51048" t="str">
        <f t="shared" si="847"/>
        <v/>
      </c>
    </row>
    <row r="51049" spans="8:8" x14ac:dyDescent="0.3">
      <c r="H51049" t="str">
        <f t="shared" si="847"/>
        <v/>
      </c>
    </row>
    <row r="51050" spans="8:8" x14ac:dyDescent="0.3">
      <c r="H51050" t="str">
        <f t="shared" si="847"/>
        <v/>
      </c>
    </row>
    <row r="51051" spans="8:8" x14ac:dyDescent="0.3">
      <c r="H51051" t="str">
        <f t="shared" si="847"/>
        <v/>
      </c>
    </row>
    <row r="51052" spans="8:8" x14ac:dyDescent="0.3">
      <c r="H51052" t="str">
        <f t="shared" si="847"/>
        <v/>
      </c>
    </row>
    <row r="51053" spans="8:8" x14ac:dyDescent="0.3">
      <c r="H51053" t="str">
        <f t="shared" si="847"/>
        <v/>
      </c>
    </row>
    <row r="51054" spans="8:8" x14ac:dyDescent="0.3">
      <c r="H51054" t="str">
        <f t="shared" si="847"/>
        <v/>
      </c>
    </row>
    <row r="51055" spans="8:8" x14ac:dyDescent="0.3">
      <c r="H51055" t="str">
        <f t="shared" si="847"/>
        <v/>
      </c>
    </row>
    <row r="51056" spans="8:8" x14ac:dyDescent="0.3">
      <c r="H51056" t="str">
        <f t="shared" si="847"/>
        <v/>
      </c>
    </row>
    <row r="51057" spans="8:8" x14ac:dyDescent="0.3">
      <c r="H51057" t="str">
        <f t="shared" si="847"/>
        <v/>
      </c>
    </row>
    <row r="51058" spans="8:8" x14ac:dyDescent="0.3">
      <c r="H51058" t="str">
        <f t="shared" si="847"/>
        <v/>
      </c>
    </row>
    <row r="51059" spans="8:8" x14ac:dyDescent="0.3">
      <c r="H51059" t="str">
        <f t="shared" si="847"/>
        <v/>
      </c>
    </row>
    <row r="51060" spans="8:8" x14ac:dyDescent="0.3">
      <c r="H51060" t="str">
        <f t="shared" si="847"/>
        <v/>
      </c>
    </row>
    <row r="51061" spans="8:8" x14ac:dyDescent="0.3">
      <c r="H51061" t="str">
        <f t="shared" si="847"/>
        <v/>
      </c>
    </row>
    <row r="51062" spans="8:8" x14ac:dyDescent="0.3">
      <c r="H51062" t="str">
        <f t="shared" si="847"/>
        <v/>
      </c>
    </row>
    <row r="51063" spans="8:8" x14ac:dyDescent="0.3">
      <c r="H51063" t="str">
        <f t="shared" si="847"/>
        <v/>
      </c>
    </row>
    <row r="51064" spans="8:8" x14ac:dyDescent="0.3">
      <c r="H51064" t="str">
        <f t="shared" si="847"/>
        <v/>
      </c>
    </row>
    <row r="51065" spans="8:8" x14ac:dyDescent="0.3">
      <c r="H51065" t="str">
        <f t="shared" si="847"/>
        <v/>
      </c>
    </row>
    <row r="51066" spans="8:8" x14ac:dyDescent="0.3">
      <c r="H51066" t="str">
        <f t="shared" si="847"/>
        <v/>
      </c>
    </row>
    <row r="51067" spans="8:8" x14ac:dyDescent="0.3">
      <c r="H51067" t="str">
        <f t="shared" si="847"/>
        <v/>
      </c>
    </row>
    <row r="51068" spans="8:8" x14ac:dyDescent="0.3">
      <c r="H51068" t="str">
        <f t="shared" si="847"/>
        <v/>
      </c>
    </row>
    <row r="51069" spans="8:8" x14ac:dyDescent="0.3">
      <c r="H51069" t="str">
        <f t="shared" si="847"/>
        <v/>
      </c>
    </row>
    <row r="51070" spans="8:8" x14ac:dyDescent="0.3">
      <c r="H51070" t="str">
        <f t="shared" si="847"/>
        <v/>
      </c>
    </row>
    <row r="51071" spans="8:8" x14ac:dyDescent="0.3">
      <c r="H51071" t="str">
        <f t="shared" si="847"/>
        <v/>
      </c>
    </row>
    <row r="51072" spans="8:8" x14ac:dyDescent="0.3">
      <c r="H51072" t="str">
        <f t="shared" si="847"/>
        <v/>
      </c>
    </row>
    <row r="51073" spans="8:8" x14ac:dyDescent="0.3">
      <c r="H51073" t="str">
        <f t="shared" si="847"/>
        <v/>
      </c>
    </row>
    <row r="51074" spans="8:8" x14ac:dyDescent="0.3">
      <c r="H51074" t="str">
        <f t="shared" si="847"/>
        <v/>
      </c>
    </row>
    <row r="51075" spans="8:8" x14ac:dyDescent="0.3">
      <c r="H51075" t="str">
        <f t="shared" si="847"/>
        <v/>
      </c>
    </row>
    <row r="51076" spans="8:8" x14ac:dyDescent="0.3">
      <c r="H51076" t="str">
        <f t="shared" si="847"/>
        <v/>
      </c>
    </row>
    <row r="51077" spans="8:8" x14ac:dyDescent="0.3">
      <c r="H51077" t="str">
        <f t="shared" si="847"/>
        <v/>
      </c>
    </row>
    <row r="51078" spans="8:8" x14ac:dyDescent="0.3">
      <c r="H51078" t="str">
        <f t="shared" si="847"/>
        <v/>
      </c>
    </row>
    <row r="51079" spans="8:8" x14ac:dyDescent="0.3">
      <c r="H51079" t="str">
        <f t="shared" si="847"/>
        <v/>
      </c>
    </row>
    <row r="51080" spans="8:8" x14ac:dyDescent="0.3">
      <c r="H51080" t="str">
        <f t="shared" si="847"/>
        <v/>
      </c>
    </row>
    <row r="51081" spans="8:8" x14ac:dyDescent="0.3">
      <c r="H51081" t="str">
        <f t="shared" si="847"/>
        <v/>
      </c>
    </row>
    <row r="51082" spans="8:8" x14ac:dyDescent="0.3">
      <c r="H51082" t="str">
        <f t="shared" si="847"/>
        <v/>
      </c>
    </row>
    <row r="51083" spans="8:8" x14ac:dyDescent="0.3">
      <c r="H51083" t="str">
        <f t="shared" si="847"/>
        <v/>
      </c>
    </row>
    <row r="51084" spans="8:8" x14ac:dyDescent="0.3">
      <c r="H51084" t="str">
        <f t="shared" si="847"/>
        <v/>
      </c>
    </row>
    <row r="51085" spans="8:8" x14ac:dyDescent="0.3">
      <c r="H51085" t="str">
        <f t="shared" si="847"/>
        <v/>
      </c>
    </row>
    <row r="51086" spans="8:8" x14ac:dyDescent="0.3">
      <c r="H51086" t="str">
        <f t="shared" si="847"/>
        <v/>
      </c>
    </row>
    <row r="51087" spans="8:8" x14ac:dyDescent="0.3">
      <c r="H51087" t="str">
        <f t="shared" si="847"/>
        <v/>
      </c>
    </row>
    <row r="51088" spans="8:8" x14ac:dyDescent="0.3">
      <c r="H51088" t="str">
        <f t="shared" si="847"/>
        <v/>
      </c>
    </row>
    <row r="51089" spans="8:8" x14ac:dyDescent="0.3">
      <c r="H51089" t="str">
        <f t="shared" si="847"/>
        <v/>
      </c>
    </row>
    <row r="51090" spans="8:8" x14ac:dyDescent="0.3">
      <c r="H51090" t="str">
        <f t="shared" si="847"/>
        <v/>
      </c>
    </row>
    <row r="51091" spans="8:8" x14ac:dyDescent="0.3">
      <c r="H51091" t="str">
        <f t="shared" si="847"/>
        <v/>
      </c>
    </row>
    <row r="51092" spans="8:8" x14ac:dyDescent="0.3">
      <c r="H51092" t="str">
        <f t="shared" si="847"/>
        <v/>
      </c>
    </row>
    <row r="51093" spans="8:8" x14ac:dyDescent="0.3">
      <c r="H51093" t="str">
        <f t="shared" si="847"/>
        <v/>
      </c>
    </row>
    <row r="51094" spans="8:8" x14ac:dyDescent="0.3">
      <c r="H51094" t="str">
        <f t="shared" si="847"/>
        <v/>
      </c>
    </row>
    <row r="51095" spans="8:8" x14ac:dyDescent="0.3">
      <c r="H51095" t="str">
        <f t="shared" ref="H51095:H51158" si="848">IF(B51095="","",$C$12)</f>
        <v/>
      </c>
    </row>
    <row r="51096" spans="8:8" x14ac:dyDescent="0.3">
      <c r="H51096" t="str">
        <f t="shared" si="848"/>
        <v/>
      </c>
    </row>
    <row r="51097" spans="8:8" x14ac:dyDescent="0.3">
      <c r="H51097" t="str">
        <f t="shared" si="848"/>
        <v/>
      </c>
    </row>
    <row r="51098" spans="8:8" x14ac:dyDescent="0.3">
      <c r="H51098" t="str">
        <f t="shared" si="848"/>
        <v/>
      </c>
    </row>
    <row r="51099" spans="8:8" x14ac:dyDescent="0.3">
      <c r="H51099" t="str">
        <f t="shared" si="848"/>
        <v/>
      </c>
    </row>
    <row r="51100" spans="8:8" x14ac:dyDescent="0.3">
      <c r="H51100" t="str">
        <f t="shared" si="848"/>
        <v/>
      </c>
    </row>
    <row r="51101" spans="8:8" x14ac:dyDescent="0.3">
      <c r="H51101" t="str">
        <f t="shared" si="848"/>
        <v/>
      </c>
    </row>
    <row r="51102" spans="8:8" x14ac:dyDescent="0.3">
      <c r="H51102" t="str">
        <f t="shared" si="848"/>
        <v/>
      </c>
    </row>
    <row r="51103" spans="8:8" x14ac:dyDescent="0.3">
      <c r="H51103" t="str">
        <f t="shared" si="848"/>
        <v/>
      </c>
    </row>
    <row r="51104" spans="8:8" x14ac:dyDescent="0.3">
      <c r="H51104" t="str">
        <f t="shared" si="848"/>
        <v/>
      </c>
    </row>
    <row r="51105" spans="8:8" x14ac:dyDescent="0.3">
      <c r="H51105" t="str">
        <f t="shared" si="848"/>
        <v/>
      </c>
    </row>
    <row r="51106" spans="8:8" x14ac:dyDescent="0.3">
      <c r="H51106" t="str">
        <f t="shared" si="848"/>
        <v/>
      </c>
    </row>
    <row r="51107" spans="8:8" x14ac:dyDescent="0.3">
      <c r="H51107" t="str">
        <f t="shared" si="848"/>
        <v/>
      </c>
    </row>
    <row r="51108" spans="8:8" x14ac:dyDescent="0.3">
      <c r="H51108" t="str">
        <f t="shared" si="848"/>
        <v/>
      </c>
    </row>
    <row r="51109" spans="8:8" x14ac:dyDescent="0.3">
      <c r="H51109" t="str">
        <f t="shared" si="848"/>
        <v/>
      </c>
    </row>
    <row r="51110" spans="8:8" x14ac:dyDescent="0.3">
      <c r="H51110" t="str">
        <f t="shared" si="848"/>
        <v/>
      </c>
    </row>
    <row r="51111" spans="8:8" x14ac:dyDescent="0.3">
      <c r="H51111" t="str">
        <f t="shared" si="848"/>
        <v/>
      </c>
    </row>
    <row r="51112" spans="8:8" x14ac:dyDescent="0.3">
      <c r="H51112" t="str">
        <f t="shared" si="848"/>
        <v/>
      </c>
    </row>
    <row r="51113" spans="8:8" x14ac:dyDescent="0.3">
      <c r="H51113" t="str">
        <f t="shared" si="848"/>
        <v/>
      </c>
    </row>
    <row r="51114" spans="8:8" x14ac:dyDescent="0.3">
      <c r="H51114" t="str">
        <f t="shared" si="848"/>
        <v/>
      </c>
    </row>
    <row r="51115" spans="8:8" x14ac:dyDescent="0.3">
      <c r="H51115" t="str">
        <f t="shared" si="848"/>
        <v/>
      </c>
    </row>
    <row r="51116" spans="8:8" x14ac:dyDescent="0.3">
      <c r="H51116" t="str">
        <f t="shared" si="848"/>
        <v/>
      </c>
    </row>
    <row r="51117" spans="8:8" x14ac:dyDescent="0.3">
      <c r="H51117" t="str">
        <f t="shared" si="848"/>
        <v/>
      </c>
    </row>
    <row r="51118" spans="8:8" x14ac:dyDescent="0.3">
      <c r="H51118" t="str">
        <f t="shared" si="848"/>
        <v/>
      </c>
    </row>
    <row r="51119" spans="8:8" x14ac:dyDescent="0.3">
      <c r="H51119" t="str">
        <f t="shared" si="848"/>
        <v/>
      </c>
    </row>
    <row r="51120" spans="8:8" x14ac:dyDescent="0.3">
      <c r="H51120" t="str">
        <f t="shared" si="848"/>
        <v/>
      </c>
    </row>
    <row r="51121" spans="8:8" x14ac:dyDescent="0.3">
      <c r="H51121" t="str">
        <f t="shared" si="848"/>
        <v/>
      </c>
    </row>
    <row r="51122" spans="8:8" x14ac:dyDescent="0.3">
      <c r="H51122" t="str">
        <f t="shared" si="848"/>
        <v/>
      </c>
    </row>
    <row r="51123" spans="8:8" x14ac:dyDescent="0.3">
      <c r="H51123" t="str">
        <f t="shared" si="848"/>
        <v/>
      </c>
    </row>
    <row r="51124" spans="8:8" x14ac:dyDescent="0.3">
      <c r="H51124" t="str">
        <f t="shared" si="848"/>
        <v/>
      </c>
    </row>
    <row r="51125" spans="8:8" x14ac:dyDescent="0.3">
      <c r="H51125" t="str">
        <f t="shared" si="848"/>
        <v/>
      </c>
    </row>
    <row r="51126" spans="8:8" x14ac:dyDescent="0.3">
      <c r="H51126" t="str">
        <f t="shared" si="848"/>
        <v/>
      </c>
    </row>
    <row r="51127" spans="8:8" x14ac:dyDescent="0.3">
      <c r="H51127" t="str">
        <f t="shared" si="848"/>
        <v/>
      </c>
    </row>
    <row r="51128" spans="8:8" x14ac:dyDescent="0.3">
      <c r="H51128" t="str">
        <f t="shared" si="848"/>
        <v/>
      </c>
    </row>
    <row r="51129" spans="8:8" x14ac:dyDescent="0.3">
      <c r="H51129" t="str">
        <f t="shared" si="848"/>
        <v/>
      </c>
    </row>
    <row r="51130" spans="8:8" x14ac:dyDescent="0.3">
      <c r="H51130" t="str">
        <f t="shared" si="848"/>
        <v/>
      </c>
    </row>
    <row r="51131" spans="8:8" x14ac:dyDescent="0.3">
      <c r="H51131" t="str">
        <f t="shared" si="848"/>
        <v/>
      </c>
    </row>
    <row r="51132" spans="8:8" x14ac:dyDescent="0.3">
      <c r="H51132" t="str">
        <f t="shared" si="848"/>
        <v/>
      </c>
    </row>
    <row r="51133" spans="8:8" x14ac:dyDescent="0.3">
      <c r="H51133" t="str">
        <f t="shared" si="848"/>
        <v/>
      </c>
    </row>
    <row r="51134" spans="8:8" x14ac:dyDescent="0.3">
      <c r="H51134" t="str">
        <f t="shared" si="848"/>
        <v/>
      </c>
    </row>
    <row r="51135" spans="8:8" x14ac:dyDescent="0.3">
      <c r="H51135" t="str">
        <f t="shared" si="848"/>
        <v/>
      </c>
    </row>
    <row r="51136" spans="8:8" x14ac:dyDescent="0.3">
      <c r="H51136" t="str">
        <f t="shared" si="848"/>
        <v/>
      </c>
    </row>
    <row r="51137" spans="8:8" x14ac:dyDescent="0.3">
      <c r="H51137" t="str">
        <f t="shared" si="848"/>
        <v/>
      </c>
    </row>
    <row r="51138" spans="8:8" x14ac:dyDescent="0.3">
      <c r="H51138" t="str">
        <f t="shared" si="848"/>
        <v/>
      </c>
    </row>
    <row r="51139" spans="8:8" x14ac:dyDescent="0.3">
      <c r="H51139" t="str">
        <f t="shared" si="848"/>
        <v/>
      </c>
    </row>
    <row r="51140" spans="8:8" x14ac:dyDescent="0.3">
      <c r="H51140" t="str">
        <f t="shared" si="848"/>
        <v/>
      </c>
    </row>
    <row r="51141" spans="8:8" x14ac:dyDescent="0.3">
      <c r="H51141" t="str">
        <f t="shared" si="848"/>
        <v/>
      </c>
    </row>
    <row r="51142" spans="8:8" x14ac:dyDescent="0.3">
      <c r="H51142" t="str">
        <f t="shared" si="848"/>
        <v/>
      </c>
    </row>
    <row r="51143" spans="8:8" x14ac:dyDescent="0.3">
      <c r="H51143" t="str">
        <f t="shared" si="848"/>
        <v/>
      </c>
    </row>
    <row r="51144" spans="8:8" x14ac:dyDescent="0.3">
      <c r="H51144" t="str">
        <f t="shared" si="848"/>
        <v/>
      </c>
    </row>
    <row r="51145" spans="8:8" x14ac:dyDescent="0.3">
      <c r="H51145" t="str">
        <f t="shared" si="848"/>
        <v/>
      </c>
    </row>
    <row r="51146" spans="8:8" x14ac:dyDescent="0.3">
      <c r="H51146" t="str">
        <f t="shared" si="848"/>
        <v/>
      </c>
    </row>
    <row r="51147" spans="8:8" x14ac:dyDescent="0.3">
      <c r="H51147" t="str">
        <f t="shared" si="848"/>
        <v/>
      </c>
    </row>
    <row r="51148" spans="8:8" x14ac:dyDescent="0.3">
      <c r="H51148" t="str">
        <f t="shared" si="848"/>
        <v/>
      </c>
    </row>
    <row r="51149" spans="8:8" x14ac:dyDescent="0.3">
      <c r="H51149" t="str">
        <f t="shared" si="848"/>
        <v/>
      </c>
    </row>
    <row r="51150" spans="8:8" x14ac:dyDescent="0.3">
      <c r="H51150" t="str">
        <f t="shared" si="848"/>
        <v/>
      </c>
    </row>
    <row r="51151" spans="8:8" x14ac:dyDescent="0.3">
      <c r="H51151" t="str">
        <f t="shared" si="848"/>
        <v/>
      </c>
    </row>
    <row r="51152" spans="8:8" x14ac:dyDescent="0.3">
      <c r="H51152" t="str">
        <f t="shared" si="848"/>
        <v/>
      </c>
    </row>
    <row r="51153" spans="8:8" x14ac:dyDescent="0.3">
      <c r="H51153" t="str">
        <f t="shared" si="848"/>
        <v/>
      </c>
    </row>
    <row r="51154" spans="8:8" x14ac:dyDescent="0.3">
      <c r="H51154" t="str">
        <f t="shared" si="848"/>
        <v/>
      </c>
    </row>
    <row r="51155" spans="8:8" x14ac:dyDescent="0.3">
      <c r="H51155" t="str">
        <f t="shared" si="848"/>
        <v/>
      </c>
    </row>
    <row r="51156" spans="8:8" x14ac:dyDescent="0.3">
      <c r="H51156" t="str">
        <f t="shared" si="848"/>
        <v/>
      </c>
    </row>
    <row r="51157" spans="8:8" x14ac:dyDescent="0.3">
      <c r="H51157" t="str">
        <f t="shared" si="848"/>
        <v/>
      </c>
    </row>
    <row r="51158" spans="8:8" x14ac:dyDescent="0.3">
      <c r="H51158" t="str">
        <f t="shared" si="848"/>
        <v/>
      </c>
    </row>
    <row r="51159" spans="8:8" x14ac:dyDescent="0.3">
      <c r="H51159" t="str">
        <f t="shared" ref="H51159:H51222" si="849">IF(B51159="","",$C$12)</f>
        <v/>
      </c>
    </row>
    <row r="51160" spans="8:8" x14ac:dyDescent="0.3">
      <c r="H51160" t="str">
        <f t="shared" si="849"/>
        <v/>
      </c>
    </row>
    <row r="51161" spans="8:8" x14ac:dyDescent="0.3">
      <c r="H51161" t="str">
        <f t="shared" si="849"/>
        <v/>
      </c>
    </row>
    <row r="51162" spans="8:8" x14ac:dyDescent="0.3">
      <c r="H51162" t="str">
        <f t="shared" si="849"/>
        <v/>
      </c>
    </row>
    <row r="51163" spans="8:8" x14ac:dyDescent="0.3">
      <c r="H51163" t="str">
        <f t="shared" si="849"/>
        <v/>
      </c>
    </row>
    <row r="51164" spans="8:8" x14ac:dyDescent="0.3">
      <c r="H51164" t="str">
        <f t="shared" si="849"/>
        <v/>
      </c>
    </row>
    <row r="51165" spans="8:8" x14ac:dyDescent="0.3">
      <c r="H51165" t="str">
        <f t="shared" si="849"/>
        <v/>
      </c>
    </row>
    <row r="51166" spans="8:8" x14ac:dyDescent="0.3">
      <c r="H51166" t="str">
        <f t="shared" si="849"/>
        <v/>
      </c>
    </row>
    <row r="51167" spans="8:8" x14ac:dyDescent="0.3">
      <c r="H51167" t="str">
        <f t="shared" si="849"/>
        <v/>
      </c>
    </row>
    <row r="51168" spans="8:8" x14ac:dyDescent="0.3">
      <c r="H51168" t="str">
        <f t="shared" si="849"/>
        <v/>
      </c>
    </row>
    <row r="51169" spans="8:8" x14ac:dyDescent="0.3">
      <c r="H51169" t="str">
        <f t="shared" si="849"/>
        <v/>
      </c>
    </row>
    <row r="51170" spans="8:8" x14ac:dyDescent="0.3">
      <c r="H51170" t="str">
        <f t="shared" si="849"/>
        <v/>
      </c>
    </row>
    <row r="51171" spans="8:8" x14ac:dyDescent="0.3">
      <c r="H51171" t="str">
        <f t="shared" si="849"/>
        <v/>
      </c>
    </row>
    <row r="51172" spans="8:8" x14ac:dyDescent="0.3">
      <c r="H51172" t="str">
        <f t="shared" si="849"/>
        <v/>
      </c>
    </row>
    <row r="51173" spans="8:8" x14ac:dyDescent="0.3">
      <c r="H51173" t="str">
        <f t="shared" si="849"/>
        <v/>
      </c>
    </row>
    <row r="51174" spans="8:8" x14ac:dyDescent="0.3">
      <c r="H51174" t="str">
        <f t="shared" si="849"/>
        <v/>
      </c>
    </row>
    <row r="51175" spans="8:8" x14ac:dyDescent="0.3">
      <c r="H51175" t="str">
        <f t="shared" si="849"/>
        <v/>
      </c>
    </row>
    <row r="51176" spans="8:8" x14ac:dyDescent="0.3">
      <c r="H51176" t="str">
        <f t="shared" si="849"/>
        <v/>
      </c>
    </row>
    <row r="51177" spans="8:8" x14ac:dyDescent="0.3">
      <c r="H51177" t="str">
        <f t="shared" si="849"/>
        <v/>
      </c>
    </row>
    <row r="51178" spans="8:8" x14ac:dyDescent="0.3">
      <c r="H51178" t="str">
        <f t="shared" si="849"/>
        <v/>
      </c>
    </row>
    <row r="51179" spans="8:8" x14ac:dyDescent="0.3">
      <c r="H51179" t="str">
        <f t="shared" si="849"/>
        <v/>
      </c>
    </row>
    <row r="51180" spans="8:8" x14ac:dyDescent="0.3">
      <c r="H51180" t="str">
        <f t="shared" si="849"/>
        <v/>
      </c>
    </row>
    <row r="51181" spans="8:8" x14ac:dyDescent="0.3">
      <c r="H51181" t="str">
        <f t="shared" si="849"/>
        <v/>
      </c>
    </row>
    <row r="51182" spans="8:8" x14ac:dyDescent="0.3">
      <c r="H51182" t="str">
        <f t="shared" si="849"/>
        <v/>
      </c>
    </row>
    <row r="51183" spans="8:8" x14ac:dyDescent="0.3">
      <c r="H51183" t="str">
        <f t="shared" si="849"/>
        <v/>
      </c>
    </row>
    <row r="51184" spans="8:8" x14ac:dyDescent="0.3">
      <c r="H51184" t="str">
        <f t="shared" si="849"/>
        <v/>
      </c>
    </row>
    <row r="51185" spans="8:8" x14ac:dyDescent="0.3">
      <c r="H51185" t="str">
        <f t="shared" si="849"/>
        <v/>
      </c>
    </row>
    <row r="51186" spans="8:8" x14ac:dyDescent="0.3">
      <c r="H51186" t="str">
        <f t="shared" si="849"/>
        <v/>
      </c>
    </row>
    <row r="51187" spans="8:8" x14ac:dyDescent="0.3">
      <c r="H51187" t="str">
        <f t="shared" si="849"/>
        <v/>
      </c>
    </row>
    <row r="51188" spans="8:8" x14ac:dyDescent="0.3">
      <c r="H51188" t="str">
        <f t="shared" si="849"/>
        <v/>
      </c>
    </row>
    <row r="51189" spans="8:8" x14ac:dyDescent="0.3">
      <c r="H51189" t="str">
        <f t="shared" si="849"/>
        <v/>
      </c>
    </row>
    <row r="51190" spans="8:8" x14ac:dyDescent="0.3">
      <c r="H51190" t="str">
        <f t="shared" si="849"/>
        <v/>
      </c>
    </row>
    <row r="51191" spans="8:8" x14ac:dyDescent="0.3">
      <c r="H51191" t="str">
        <f t="shared" si="849"/>
        <v/>
      </c>
    </row>
    <row r="51192" spans="8:8" x14ac:dyDescent="0.3">
      <c r="H51192" t="str">
        <f t="shared" si="849"/>
        <v/>
      </c>
    </row>
    <row r="51193" spans="8:8" x14ac:dyDescent="0.3">
      <c r="H51193" t="str">
        <f t="shared" si="849"/>
        <v/>
      </c>
    </row>
    <row r="51194" spans="8:8" x14ac:dyDescent="0.3">
      <c r="H51194" t="str">
        <f t="shared" si="849"/>
        <v/>
      </c>
    </row>
    <row r="51195" spans="8:8" x14ac:dyDescent="0.3">
      <c r="H51195" t="str">
        <f t="shared" si="849"/>
        <v/>
      </c>
    </row>
    <row r="51196" spans="8:8" x14ac:dyDescent="0.3">
      <c r="H51196" t="str">
        <f t="shared" si="849"/>
        <v/>
      </c>
    </row>
    <row r="51197" spans="8:8" x14ac:dyDescent="0.3">
      <c r="H51197" t="str">
        <f t="shared" si="849"/>
        <v/>
      </c>
    </row>
    <row r="51198" spans="8:8" x14ac:dyDescent="0.3">
      <c r="H51198" t="str">
        <f t="shared" si="849"/>
        <v/>
      </c>
    </row>
    <row r="51199" spans="8:8" x14ac:dyDescent="0.3">
      <c r="H51199" t="str">
        <f t="shared" si="849"/>
        <v/>
      </c>
    </row>
    <row r="51200" spans="8:8" x14ac:dyDescent="0.3">
      <c r="H51200" t="str">
        <f t="shared" si="849"/>
        <v/>
      </c>
    </row>
    <row r="51201" spans="8:8" x14ac:dyDescent="0.3">
      <c r="H51201" t="str">
        <f t="shared" si="849"/>
        <v/>
      </c>
    </row>
    <row r="51202" spans="8:8" x14ac:dyDescent="0.3">
      <c r="H51202" t="str">
        <f t="shared" si="849"/>
        <v/>
      </c>
    </row>
    <row r="51203" spans="8:8" x14ac:dyDescent="0.3">
      <c r="H51203" t="str">
        <f t="shared" si="849"/>
        <v/>
      </c>
    </row>
    <row r="51204" spans="8:8" x14ac:dyDescent="0.3">
      <c r="H51204" t="str">
        <f t="shared" si="849"/>
        <v/>
      </c>
    </row>
    <row r="51205" spans="8:8" x14ac:dyDescent="0.3">
      <c r="H51205" t="str">
        <f t="shared" si="849"/>
        <v/>
      </c>
    </row>
    <row r="51206" spans="8:8" x14ac:dyDescent="0.3">
      <c r="H51206" t="str">
        <f t="shared" si="849"/>
        <v/>
      </c>
    </row>
    <row r="51207" spans="8:8" x14ac:dyDescent="0.3">
      <c r="H51207" t="str">
        <f t="shared" si="849"/>
        <v/>
      </c>
    </row>
    <row r="51208" spans="8:8" x14ac:dyDescent="0.3">
      <c r="H51208" t="str">
        <f t="shared" si="849"/>
        <v/>
      </c>
    </row>
    <row r="51209" spans="8:8" x14ac:dyDescent="0.3">
      <c r="H51209" t="str">
        <f t="shared" si="849"/>
        <v/>
      </c>
    </row>
    <row r="51210" spans="8:8" x14ac:dyDescent="0.3">
      <c r="H51210" t="str">
        <f t="shared" si="849"/>
        <v/>
      </c>
    </row>
    <row r="51211" spans="8:8" x14ac:dyDescent="0.3">
      <c r="H51211" t="str">
        <f t="shared" si="849"/>
        <v/>
      </c>
    </row>
    <row r="51212" spans="8:8" x14ac:dyDescent="0.3">
      <c r="H51212" t="str">
        <f t="shared" si="849"/>
        <v/>
      </c>
    </row>
    <row r="51213" spans="8:8" x14ac:dyDescent="0.3">
      <c r="H51213" t="str">
        <f t="shared" si="849"/>
        <v/>
      </c>
    </row>
    <row r="51214" spans="8:8" x14ac:dyDescent="0.3">
      <c r="H51214" t="str">
        <f t="shared" si="849"/>
        <v/>
      </c>
    </row>
    <row r="51215" spans="8:8" x14ac:dyDescent="0.3">
      <c r="H51215" t="str">
        <f t="shared" si="849"/>
        <v/>
      </c>
    </row>
    <row r="51216" spans="8:8" x14ac:dyDescent="0.3">
      <c r="H51216" t="str">
        <f t="shared" si="849"/>
        <v/>
      </c>
    </row>
    <row r="51217" spans="8:8" x14ac:dyDescent="0.3">
      <c r="H51217" t="str">
        <f t="shared" si="849"/>
        <v/>
      </c>
    </row>
    <row r="51218" spans="8:8" x14ac:dyDescent="0.3">
      <c r="H51218" t="str">
        <f t="shared" si="849"/>
        <v/>
      </c>
    </row>
    <row r="51219" spans="8:8" x14ac:dyDescent="0.3">
      <c r="H51219" t="str">
        <f t="shared" si="849"/>
        <v/>
      </c>
    </row>
    <row r="51220" spans="8:8" x14ac:dyDescent="0.3">
      <c r="H51220" t="str">
        <f t="shared" si="849"/>
        <v/>
      </c>
    </row>
    <row r="51221" spans="8:8" x14ac:dyDescent="0.3">
      <c r="H51221" t="str">
        <f t="shared" si="849"/>
        <v/>
      </c>
    </row>
    <row r="51222" spans="8:8" x14ac:dyDescent="0.3">
      <c r="H51222" t="str">
        <f t="shared" si="849"/>
        <v/>
      </c>
    </row>
    <row r="51223" spans="8:8" x14ac:dyDescent="0.3">
      <c r="H51223" t="str">
        <f t="shared" ref="H51223:H51286" si="850">IF(B51223="","",$C$12)</f>
        <v/>
      </c>
    </row>
    <row r="51224" spans="8:8" x14ac:dyDescent="0.3">
      <c r="H51224" t="str">
        <f t="shared" si="850"/>
        <v/>
      </c>
    </row>
    <row r="51225" spans="8:8" x14ac:dyDescent="0.3">
      <c r="H51225" t="str">
        <f t="shared" si="850"/>
        <v/>
      </c>
    </row>
    <row r="51226" spans="8:8" x14ac:dyDescent="0.3">
      <c r="H51226" t="str">
        <f t="shared" si="850"/>
        <v/>
      </c>
    </row>
    <row r="51227" spans="8:8" x14ac:dyDescent="0.3">
      <c r="H51227" t="str">
        <f t="shared" si="850"/>
        <v/>
      </c>
    </row>
    <row r="51228" spans="8:8" x14ac:dyDescent="0.3">
      <c r="H51228" t="str">
        <f t="shared" si="850"/>
        <v/>
      </c>
    </row>
    <row r="51229" spans="8:8" x14ac:dyDescent="0.3">
      <c r="H51229" t="str">
        <f t="shared" si="850"/>
        <v/>
      </c>
    </row>
    <row r="51230" spans="8:8" x14ac:dyDescent="0.3">
      <c r="H51230" t="str">
        <f t="shared" si="850"/>
        <v/>
      </c>
    </row>
    <row r="51231" spans="8:8" x14ac:dyDescent="0.3">
      <c r="H51231" t="str">
        <f t="shared" si="850"/>
        <v/>
      </c>
    </row>
    <row r="51232" spans="8:8" x14ac:dyDescent="0.3">
      <c r="H51232" t="str">
        <f t="shared" si="850"/>
        <v/>
      </c>
    </row>
    <row r="51233" spans="8:8" x14ac:dyDescent="0.3">
      <c r="H51233" t="str">
        <f t="shared" si="850"/>
        <v/>
      </c>
    </row>
    <row r="51234" spans="8:8" x14ac:dyDescent="0.3">
      <c r="H51234" t="str">
        <f t="shared" si="850"/>
        <v/>
      </c>
    </row>
    <row r="51235" spans="8:8" x14ac:dyDescent="0.3">
      <c r="H51235" t="str">
        <f t="shared" si="850"/>
        <v/>
      </c>
    </row>
    <row r="51236" spans="8:8" x14ac:dyDescent="0.3">
      <c r="H51236" t="str">
        <f t="shared" si="850"/>
        <v/>
      </c>
    </row>
    <row r="51237" spans="8:8" x14ac:dyDescent="0.3">
      <c r="H51237" t="str">
        <f t="shared" si="850"/>
        <v/>
      </c>
    </row>
    <row r="51238" spans="8:8" x14ac:dyDescent="0.3">
      <c r="H51238" t="str">
        <f t="shared" si="850"/>
        <v/>
      </c>
    </row>
    <row r="51239" spans="8:8" x14ac:dyDescent="0.3">
      <c r="H51239" t="str">
        <f t="shared" si="850"/>
        <v/>
      </c>
    </row>
    <row r="51240" spans="8:8" x14ac:dyDescent="0.3">
      <c r="H51240" t="str">
        <f t="shared" si="850"/>
        <v/>
      </c>
    </row>
    <row r="51241" spans="8:8" x14ac:dyDescent="0.3">
      <c r="H51241" t="str">
        <f t="shared" si="850"/>
        <v/>
      </c>
    </row>
    <row r="51242" spans="8:8" x14ac:dyDescent="0.3">
      <c r="H51242" t="str">
        <f t="shared" si="850"/>
        <v/>
      </c>
    </row>
    <row r="51243" spans="8:8" x14ac:dyDescent="0.3">
      <c r="H51243" t="str">
        <f t="shared" si="850"/>
        <v/>
      </c>
    </row>
    <row r="51244" spans="8:8" x14ac:dyDescent="0.3">
      <c r="H51244" t="str">
        <f t="shared" si="850"/>
        <v/>
      </c>
    </row>
    <row r="51245" spans="8:8" x14ac:dyDescent="0.3">
      <c r="H51245" t="str">
        <f t="shared" si="850"/>
        <v/>
      </c>
    </row>
    <row r="51246" spans="8:8" x14ac:dyDescent="0.3">
      <c r="H51246" t="str">
        <f t="shared" si="850"/>
        <v/>
      </c>
    </row>
    <row r="51247" spans="8:8" x14ac:dyDescent="0.3">
      <c r="H51247" t="str">
        <f t="shared" si="850"/>
        <v/>
      </c>
    </row>
    <row r="51248" spans="8:8" x14ac:dyDescent="0.3">
      <c r="H51248" t="str">
        <f t="shared" si="850"/>
        <v/>
      </c>
    </row>
    <row r="51249" spans="8:8" x14ac:dyDescent="0.3">
      <c r="H51249" t="str">
        <f t="shared" si="850"/>
        <v/>
      </c>
    </row>
    <row r="51250" spans="8:8" x14ac:dyDescent="0.3">
      <c r="H51250" t="str">
        <f t="shared" si="850"/>
        <v/>
      </c>
    </row>
    <row r="51251" spans="8:8" x14ac:dyDescent="0.3">
      <c r="H51251" t="str">
        <f t="shared" si="850"/>
        <v/>
      </c>
    </row>
    <row r="51252" spans="8:8" x14ac:dyDescent="0.3">
      <c r="H51252" t="str">
        <f t="shared" si="850"/>
        <v/>
      </c>
    </row>
    <row r="51253" spans="8:8" x14ac:dyDescent="0.3">
      <c r="H51253" t="str">
        <f t="shared" si="850"/>
        <v/>
      </c>
    </row>
    <row r="51254" spans="8:8" x14ac:dyDescent="0.3">
      <c r="H51254" t="str">
        <f t="shared" si="850"/>
        <v/>
      </c>
    </row>
    <row r="51255" spans="8:8" x14ac:dyDescent="0.3">
      <c r="H51255" t="str">
        <f t="shared" si="850"/>
        <v/>
      </c>
    </row>
    <row r="51256" spans="8:8" x14ac:dyDescent="0.3">
      <c r="H51256" t="str">
        <f t="shared" si="850"/>
        <v/>
      </c>
    </row>
    <row r="51257" spans="8:8" x14ac:dyDescent="0.3">
      <c r="H51257" t="str">
        <f t="shared" si="850"/>
        <v/>
      </c>
    </row>
    <row r="51258" spans="8:8" x14ac:dyDescent="0.3">
      <c r="H51258" t="str">
        <f t="shared" si="850"/>
        <v/>
      </c>
    </row>
    <row r="51259" spans="8:8" x14ac:dyDescent="0.3">
      <c r="H51259" t="str">
        <f t="shared" si="850"/>
        <v/>
      </c>
    </row>
    <row r="51260" spans="8:8" x14ac:dyDescent="0.3">
      <c r="H51260" t="str">
        <f t="shared" si="850"/>
        <v/>
      </c>
    </row>
    <row r="51261" spans="8:8" x14ac:dyDescent="0.3">
      <c r="H51261" t="str">
        <f t="shared" si="850"/>
        <v/>
      </c>
    </row>
    <row r="51262" spans="8:8" x14ac:dyDescent="0.3">
      <c r="H51262" t="str">
        <f t="shared" si="850"/>
        <v/>
      </c>
    </row>
    <row r="51263" spans="8:8" x14ac:dyDescent="0.3">
      <c r="H51263" t="str">
        <f t="shared" si="850"/>
        <v/>
      </c>
    </row>
    <row r="51264" spans="8:8" x14ac:dyDescent="0.3">
      <c r="H51264" t="str">
        <f t="shared" si="850"/>
        <v/>
      </c>
    </row>
    <row r="51265" spans="8:8" x14ac:dyDescent="0.3">
      <c r="H51265" t="str">
        <f t="shared" si="850"/>
        <v/>
      </c>
    </row>
    <row r="51266" spans="8:8" x14ac:dyDescent="0.3">
      <c r="H51266" t="str">
        <f t="shared" si="850"/>
        <v/>
      </c>
    </row>
    <row r="51267" spans="8:8" x14ac:dyDescent="0.3">
      <c r="H51267" t="str">
        <f t="shared" si="850"/>
        <v/>
      </c>
    </row>
    <row r="51268" spans="8:8" x14ac:dyDescent="0.3">
      <c r="H51268" t="str">
        <f t="shared" si="850"/>
        <v/>
      </c>
    </row>
    <row r="51269" spans="8:8" x14ac:dyDescent="0.3">
      <c r="H51269" t="str">
        <f t="shared" si="850"/>
        <v/>
      </c>
    </row>
    <row r="51270" spans="8:8" x14ac:dyDescent="0.3">
      <c r="H51270" t="str">
        <f t="shared" si="850"/>
        <v/>
      </c>
    </row>
    <row r="51271" spans="8:8" x14ac:dyDescent="0.3">
      <c r="H51271" t="str">
        <f t="shared" si="850"/>
        <v/>
      </c>
    </row>
    <row r="51272" spans="8:8" x14ac:dyDescent="0.3">
      <c r="H51272" t="str">
        <f t="shared" si="850"/>
        <v/>
      </c>
    </row>
    <row r="51273" spans="8:8" x14ac:dyDescent="0.3">
      <c r="H51273" t="str">
        <f t="shared" si="850"/>
        <v/>
      </c>
    </row>
    <row r="51274" spans="8:8" x14ac:dyDescent="0.3">
      <c r="H51274" t="str">
        <f t="shared" si="850"/>
        <v/>
      </c>
    </row>
    <row r="51275" spans="8:8" x14ac:dyDescent="0.3">
      <c r="H51275" t="str">
        <f t="shared" si="850"/>
        <v/>
      </c>
    </row>
    <row r="51276" spans="8:8" x14ac:dyDescent="0.3">
      <c r="H51276" t="str">
        <f t="shared" si="850"/>
        <v/>
      </c>
    </row>
    <row r="51277" spans="8:8" x14ac:dyDescent="0.3">
      <c r="H51277" t="str">
        <f t="shared" si="850"/>
        <v/>
      </c>
    </row>
    <row r="51278" spans="8:8" x14ac:dyDescent="0.3">
      <c r="H51278" t="str">
        <f t="shared" si="850"/>
        <v/>
      </c>
    </row>
    <row r="51279" spans="8:8" x14ac:dyDescent="0.3">
      <c r="H51279" t="str">
        <f t="shared" si="850"/>
        <v/>
      </c>
    </row>
    <row r="51280" spans="8:8" x14ac:dyDescent="0.3">
      <c r="H51280" t="str">
        <f t="shared" si="850"/>
        <v/>
      </c>
    </row>
    <row r="51281" spans="8:8" x14ac:dyDescent="0.3">
      <c r="H51281" t="str">
        <f t="shared" si="850"/>
        <v/>
      </c>
    </row>
    <row r="51282" spans="8:8" x14ac:dyDescent="0.3">
      <c r="H51282" t="str">
        <f t="shared" si="850"/>
        <v/>
      </c>
    </row>
    <row r="51283" spans="8:8" x14ac:dyDescent="0.3">
      <c r="H51283" t="str">
        <f t="shared" si="850"/>
        <v/>
      </c>
    </row>
    <row r="51284" spans="8:8" x14ac:dyDescent="0.3">
      <c r="H51284" t="str">
        <f t="shared" si="850"/>
        <v/>
      </c>
    </row>
    <row r="51285" spans="8:8" x14ac:dyDescent="0.3">
      <c r="H51285" t="str">
        <f t="shared" si="850"/>
        <v/>
      </c>
    </row>
    <row r="51286" spans="8:8" x14ac:dyDescent="0.3">
      <c r="H51286" t="str">
        <f t="shared" si="850"/>
        <v/>
      </c>
    </row>
    <row r="51287" spans="8:8" x14ac:dyDescent="0.3">
      <c r="H51287" t="str">
        <f t="shared" ref="H51287:H51350" si="851">IF(B51287="","",$C$12)</f>
        <v/>
      </c>
    </row>
    <row r="51288" spans="8:8" x14ac:dyDescent="0.3">
      <c r="H51288" t="str">
        <f t="shared" si="851"/>
        <v/>
      </c>
    </row>
    <row r="51289" spans="8:8" x14ac:dyDescent="0.3">
      <c r="H51289" t="str">
        <f t="shared" si="851"/>
        <v/>
      </c>
    </row>
    <row r="51290" spans="8:8" x14ac:dyDescent="0.3">
      <c r="H51290" t="str">
        <f t="shared" si="851"/>
        <v/>
      </c>
    </row>
    <row r="51291" spans="8:8" x14ac:dyDescent="0.3">
      <c r="H51291" t="str">
        <f t="shared" si="851"/>
        <v/>
      </c>
    </row>
    <row r="51292" spans="8:8" x14ac:dyDescent="0.3">
      <c r="H51292" t="str">
        <f t="shared" si="851"/>
        <v/>
      </c>
    </row>
    <row r="51293" spans="8:8" x14ac:dyDescent="0.3">
      <c r="H51293" t="str">
        <f t="shared" si="851"/>
        <v/>
      </c>
    </row>
    <row r="51294" spans="8:8" x14ac:dyDescent="0.3">
      <c r="H51294" t="str">
        <f t="shared" si="851"/>
        <v/>
      </c>
    </row>
    <row r="51295" spans="8:8" x14ac:dyDescent="0.3">
      <c r="H51295" t="str">
        <f t="shared" si="851"/>
        <v/>
      </c>
    </row>
    <row r="51296" spans="8:8" x14ac:dyDescent="0.3">
      <c r="H51296" t="str">
        <f t="shared" si="851"/>
        <v/>
      </c>
    </row>
    <row r="51297" spans="8:8" x14ac:dyDescent="0.3">
      <c r="H51297" t="str">
        <f t="shared" si="851"/>
        <v/>
      </c>
    </row>
    <row r="51298" spans="8:8" x14ac:dyDescent="0.3">
      <c r="H51298" t="str">
        <f t="shared" si="851"/>
        <v/>
      </c>
    </row>
    <row r="51299" spans="8:8" x14ac:dyDescent="0.3">
      <c r="H51299" t="str">
        <f t="shared" si="851"/>
        <v/>
      </c>
    </row>
    <row r="51300" spans="8:8" x14ac:dyDescent="0.3">
      <c r="H51300" t="str">
        <f t="shared" si="851"/>
        <v/>
      </c>
    </row>
    <row r="51301" spans="8:8" x14ac:dyDescent="0.3">
      <c r="H51301" t="str">
        <f t="shared" si="851"/>
        <v/>
      </c>
    </row>
    <row r="51302" spans="8:8" x14ac:dyDescent="0.3">
      <c r="H51302" t="str">
        <f t="shared" si="851"/>
        <v/>
      </c>
    </row>
    <row r="51303" spans="8:8" x14ac:dyDescent="0.3">
      <c r="H51303" t="str">
        <f t="shared" si="851"/>
        <v/>
      </c>
    </row>
    <row r="51304" spans="8:8" x14ac:dyDescent="0.3">
      <c r="H51304" t="str">
        <f t="shared" si="851"/>
        <v/>
      </c>
    </row>
    <row r="51305" spans="8:8" x14ac:dyDescent="0.3">
      <c r="H51305" t="str">
        <f t="shared" si="851"/>
        <v/>
      </c>
    </row>
    <row r="51306" spans="8:8" x14ac:dyDescent="0.3">
      <c r="H51306" t="str">
        <f t="shared" si="851"/>
        <v/>
      </c>
    </row>
    <row r="51307" spans="8:8" x14ac:dyDescent="0.3">
      <c r="H51307" t="str">
        <f t="shared" si="851"/>
        <v/>
      </c>
    </row>
    <row r="51308" spans="8:8" x14ac:dyDescent="0.3">
      <c r="H51308" t="str">
        <f t="shared" si="851"/>
        <v/>
      </c>
    </row>
    <row r="51309" spans="8:8" x14ac:dyDescent="0.3">
      <c r="H51309" t="str">
        <f t="shared" si="851"/>
        <v/>
      </c>
    </row>
    <row r="51310" spans="8:8" x14ac:dyDescent="0.3">
      <c r="H51310" t="str">
        <f t="shared" si="851"/>
        <v/>
      </c>
    </row>
    <row r="51311" spans="8:8" x14ac:dyDescent="0.3">
      <c r="H51311" t="str">
        <f t="shared" si="851"/>
        <v/>
      </c>
    </row>
    <row r="51312" spans="8:8" x14ac:dyDescent="0.3">
      <c r="H51312" t="str">
        <f t="shared" si="851"/>
        <v/>
      </c>
    </row>
    <row r="51313" spans="8:8" x14ac:dyDescent="0.3">
      <c r="H51313" t="str">
        <f t="shared" si="851"/>
        <v/>
      </c>
    </row>
    <row r="51314" spans="8:8" x14ac:dyDescent="0.3">
      <c r="H51314" t="str">
        <f t="shared" si="851"/>
        <v/>
      </c>
    </row>
    <row r="51315" spans="8:8" x14ac:dyDescent="0.3">
      <c r="H51315" t="str">
        <f t="shared" si="851"/>
        <v/>
      </c>
    </row>
    <row r="51316" spans="8:8" x14ac:dyDescent="0.3">
      <c r="H51316" t="str">
        <f t="shared" si="851"/>
        <v/>
      </c>
    </row>
    <row r="51317" spans="8:8" x14ac:dyDescent="0.3">
      <c r="H51317" t="str">
        <f t="shared" si="851"/>
        <v/>
      </c>
    </row>
    <row r="51318" spans="8:8" x14ac:dyDescent="0.3">
      <c r="H51318" t="str">
        <f t="shared" si="851"/>
        <v/>
      </c>
    </row>
    <row r="51319" spans="8:8" x14ac:dyDescent="0.3">
      <c r="H51319" t="str">
        <f t="shared" si="851"/>
        <v/>
      </c>
    </row>
    <row r="51320" spans="8:8" x14ac:dyDescent="0.3">
      <c r="H51320" t="str">
        <f t="shared" si="851"/>
        <v/>
      </c>
    </row>
    <row r="51321" spans="8:8" x14ac:dyDescent="0.3">
      <c r="H51321" t="str">
        <f t="shared" si="851"/>
        <v/>
      </c>
    </row>
    <row r="51322" spans="8:8" x14ac:dyDescent="0.3">
      <c r="H51322" t="str">
        <f t="shared" si="851"/>
        <v/>
      </c>
    </row>
    <row r="51323" spans="8:8" x14ac:dyDescent="0.3">
      <c r="H51323" t="str">
        <f t="shared" si="851"/>
        <v/>
      </c>
    </row>
    <row r="51324" spans="8:8" x14ac:dyDescent="0.3">
      <c r="H51324" t="str">
        <f t="shared" si="851"/>
        <v/>
      </c>
    </row>
    <row r="51325" spans="8:8" x14ac:dyDescent="0.3">
      <c r="H51325" t="str">
        <f t="shared" si="851"/>
        <v/>
      </c>
    </row>
    <row r="51326" spans="8:8" x14ac:dyDescent="0.3">
      <c r="H51326" t="str">
        <f t="shared" si="851"/>
        <v/>
      </c>
    </row>
    <row r="51327" spans="8:8" x14ac:dyDescent="0.3">
      <c r="H51327" t="str">
        <f t="shared" si="851"/>
        <v/>
      </c>
    </row>
    <row r="51328" spans="8:8" x14ac:dyDescent="0.3">
      <c r="H51328" t="str">
        <f t="shared" si="851"/>
        <v/>
      </c>
    </row>
    <row r="51329" spans="8:8" x14ac:dyDescent="0.3">
      <c r="H51329" t="str">
        <f t="shared" si="851"/>
        <v/>
      </c>
    </row>
    <row r="51330" spans="8:8" x14ac:dyDescent="0.3">
      <c r="H51330" t="str">
        <f t="shared" si="851"/>
        <v/>
      </c>
    </row>
    <row r="51331" spans="8:8" x14ac:dyDescent="0.3">
      <c r="H51331" t="str">
        <f t="shared" si="851"/>
        <v/>
      </c>
    </row>
    <row r="51332" spans="8:8" x14ac:dyDescent="0.3">
      <c r="H51332" t="str">
        <f t="shared" si="851"/>
        <v/>
      </c>
    </row>
    <row r="51333" spans="8:8" x14ac:dyDescent="0.3">
      <c r="H51333" t="str">
        <f t="shared" si="851"/>
        <v/>
      </c>
    </row>
    <row r="51334" spans="8:8" x14ac:dyDescent="0.3">
      <c r="H51334" t="str">
        <f t="shared" si="851"/>
        <v/>
      </c>
    </row>
    <row r="51335" spans="8:8" x14ac:dyDescent="0.3">
      <c r="H51335" t="str">
        <f t="shared" si="851"/>
        <v/>
      </c>
    </row>
    <row r="51336" spans="8:8" x14ac:dyDescent="0.3">
      <c r="H51336" t="str">
        <f t="shared" si="851"/>
        <v/>
      </c>
    </row>
    <row r="51337" spans="8:8" x14ac:dyDescent="0.3">
      <c r="H51337" t="str">
        <f t="shared" si="851"/>
        <v/>
      </c>
    </row>
    <row r="51338" spans="8:8" x14ac:dyDescent="0.3">
      <c r="H51338" t="str">
        <f t="shared" si="851"/>
        <v/>
      </c>
    </row>
    <row r="51339" spans="8:8" x14ac:dyDescent="0.3">
      <c r="H51339" t="str">
        <f t="shared" si="851"/>
        <v/>
      </c>
    </row>
    <row r="51340" spans="8:8" x14ac:dyDescent="0.3">
      <c r="H51340" t="str">
        <f t="shared" si="851"/>
        <v/>
      </c>
    </row>
    <row r="51341" spans="8:8" x14ac:dyDescent="0.3">
      <c r="H51341" t="str">
        <f t="shared" si="851"/>
        <v/>
      </c>
    </row>
    <row r="51342" spans="8:8" x14ac:dyDescent="0.3">
      <c r="H51342" t="str">
        <f t="shared" si="851"/>
        <v/>
      </c>
    </row>
    <row r="51343" spans="8:8" x14ac:dyDescent="0.3">
      <c r="H51343" t="str">
        <f t="shared" si="851"/>
        <v/>
      </c>
    </row>
    <row r="51344" spans="8:8" x14ac:dyDescent="0.3">
      <c r="H51344" t="str">
        <f t="shared" si="851"/>
        <v/>
      </c>
    </row>
    <row r="51345" spans="8:8" x14ac:dyDescent="0.3">
      <c r="H51345" t="str">
        <f t="shared" si="851"/>
        <v/>
      </c>
    </row>
    <row r="51346" spans="8:8" x14ac:dyDescent="0.3">
      <c r="H51346" t="str">
        <f t="shared" si="851"/>
        <v/>
      </c>
    </row>
    <row r="51347" spans="8:8" x14ac:dyDescent="0.3">
      <c r="H51347" t="str">
        <f t="shared" si="851"/>
        <v/>
      </c>
    </row>
    <row r="51348" spans="8:8" x14ac:dyDescent="0.3">
      <c r="H51348" t="str">
        <f t="shared" si="851"/>
        <v/>
      </c>
    </row>
    <row r="51349" spans="8:8" x14ac:dyDescent="0.3">
      <c r="H51349" t="str">
        <f t="shared" si="851"/>
        <v/>
      </c>
    </row>
    <row r="51350" spans="8:8" x14ac:dyDescent="0.3">
      <c r="H51350" t="str">
        <f t="shared" si="851"/>
        <v/>
      </c>
    </row>
    <row r="51351" spans="8:8" x14ac:dyDescent="0.3">
      <c r="H51351" t="str">
        <f t="shared" ref="H51351:H51414" si="852">IF(B51351="","",$C$12)</f>
        <v/>
      </c>
    </row>
    <row r="51352" spans="8:8" x14ac:dyDescent="0.3">
      <c r="H51352" t="str">
        <f t="shared" si="852"/>
        <v/>
      </c>
    </row>
    <row r="51353" spans="8:8" x14ac:dyDescent="0.3">
      <c r="H51353" t="str">
        <f t="shared" si="852"/>
        <v/>
      </c>
    </row>
    <row r="51354" spans="8:8" x14ac:dyDescent="0.3">
      <c r="H51354" t="str">
        <f t="shared" si="852"/>
        <v/>
      </c>
    </row>
    <row r="51355" spans="8:8" x14ac:dyDescent="0.3">
      <c r="H51355" t="str">
        <f t="shared" si="852"/>
        <v/>
      </c>
    </row>
    <row r="51356" spans="8:8" x14ac:dyDescent="0.3">
      <c r="H51356" t="str">
        <f t="shared" si="852"/>
        <v/>
      </c>
    </row>
    <row r="51357" spans="8:8" x14ac:dyDescent="0.3">
      <c r="H51357" t="str">
        <f t="shared" si="852"/>
        <v/>
      </c>
    </row>
    <row r="51358" spans="8:8" x14ac:dyDescent="0.3">
      <c r="H51358" t="str">
        <f t="shared" si="852"/>
        <v/>
      </c>
    </row>
    <row r="51359" spans="8:8" x14ac:dyDescent="0.3">
      <c r="H51359" t="str">
        <f t="shared" si="852"/>
        <v/>
      </c>
    </row>
    <row r="51360" spans="8:8" x14ac:dyDescent="0.3">
      <c r="H51360" t="str">
        <f t="shared" si="852"/>
        <v/>
      </c>
    </row>
    <row r="51361" spans="8:8" x14ac:dyDescent="0.3">
      <c r="H51361" t="str">
        <f t="shared" si="852"/>
        <v/>
      </c>
    </row>
    <row r="51362" spans="8:8" x14ac:dyDescent="0.3">
      <c r="H51362" t="str">
        <f t="shared" si="852"/>
        <v/>
      </c>
    </row>
    <row r="51363" spans="8:8" x14ac:dyDescent="0.3">
      <c r="H51363" t="str">
        <f t="shared" si="852"/>
        <v/>
      </c>
    </row>
    <row r="51364" spans="8:8" x14ac:dyDescent="0.3">
      <c r="H51364" t="str">
        <f t="shared" si="852"/>
        <v/>
      </c>
    </row>
    <row r="51365" spans="8:8" x14ac:dyDescent="0.3">
      <c r="H51365" t="str">
        <f t="shared" si="852"/>
        <v/>
      </c>
    </row>
    <row r="51366" spans="8:8" x14ac:dyDescent="0.3">
      <c r="H51366" t="str">
        <f t="shared" si="852"/>
        <v/>
      </c>
    </row>
    <row r="51367" spans="8:8" x14ac:dyDescent="0.3">
      <c r="H51367" t="str">
        <f t="shared" si="852"/>
        <v/>
      </c>
    </row>
    <row r="51368" spans="8:8" x14ac:dyDescent="0.3">
      <c r="H51368" t="str">
        <f t="shared" si="852"/>
        <v/>
      </c>
    </row>
    <row r="51369" spans="8:8" x14ac:dyDescent="0.3">
      <c r="H51369" t="str">
        <f t="shared" si="852"/>
        <v/>
      </c>
    </row>
    <row r="51370" spans="8:8" x14ac:dyDescent="0.3">
      <c r="H51370" t="str">
        <f t="shared" si="852"/>
        <v/>
      </c>
    </row>
    <row r="51371" spans="8:8" x14ac:dyDescent="0.3">
      <c r="H51371" t="str">
        <f t="shared" si="852"/>
        <v/>
      </c>
    </row>
    <row r="51372" spans="8:8" x14ac:dyDescent="0.3">
      <c r="H51372" t="str">
        <f t="shared" si="852"/>
        <v/>
      </c>
    </row>
    <row r="51373" spans="8:8" x14ac:dyDescent="0.3">
      <c r="H51373" t="str">
        <f t="shared" si="852"/>
        <v/>
      </c>
    </row>
    <row r="51374" spans="8:8" x14ac:dyDescent="0.3">
      <c r="H51374" t="str">
        <f t="shared" si="852"/>
        <v/>
      </c>
    </row>
    <row r="51375" spans="8:8" x14ac:dyDescent="0.3">
      <c r="H51375" t="str">
        <f t="shared" si="852"/>
        <v/>
      </c>
    </row>
    <row r="51376" spans="8:8" x14ac:dyDescent="0.3">
      <c r="H51376" t="str">
        <f t="shared" si="852"/>
        <v/>
      </c>
    </row>
    <row r="51377" spans="8:8" x14ac:dyDescent="0.3">
      <c r="H51377" t="str">
        <f t="shared" si="852"/>
        <v/>
      </c>
    </row>
    <row r="51378" spans="8:8" x14ac:dyDescent="0.3">
      <c r="H51378" t="str">
        <f t="shared" si="852"/>
        <v/>
      </c>
    </row>
    <row r="51379" spans="8:8" x14ac:dyDescent="0.3">
      <c r="H51379" t="str">
        <f t="shared" si="852"/>
        <v/>
      </c>
    </row>
    <row r="51380" spans="8:8" x14ac:dyDescent="0.3">
      <c r="H51380" t="str">
        <f t="shared" si="852"/>
        <v/>
      </c>
    </row>
    <row r="51381" spans="8:8" x14ac:dyDescent="0.3">
      <c r="H51381" t="str">
        <f t="shared" si="852"/>
        <v/>
      </c>
    </row>
    <row r="51382" spans="8:8" x14ac:dyDescent="0.3">
      <c r="H51382" t="str">
        <f t="shared" si="852"/>
        <v/>
      </c>
    </row>
    <row r="51383" spans="8:8" x14ac:dyDescent="0.3">
      <c r="H51383" t="str">
        <f t="shared" si="852"/>
        <v/>
      </c>
    </row>
    <row r="51384" spans="8:8" x14ac:dyDescent="0.3">
      <c r="H51384" t="str">
        <f t="shared" si="852"/>
        <v/>
      </c>
    </row>
    <row r="51385" spans="8:8" x14ac:dyDescent="0.3">
      <c r="H51385" t="str">
        <f t="shared" si="852"/>
        <v/>
      </c>
    </row>
    <row r="51386" spans="8:8" x14ac:dyDescent="0.3">
      <c r="H51386" t="str">
        <f t="shared" si="852"/>
        <v/>
      </c>
    </row>
    <row r="51387" spans="8:8" x14ac:dyDescent="0.3">
      <c r="H51387" t="str">
        <f t="shared" si="852"/>
        <v/>
      </c>
    </row>
    <row r="51388" spans="8:8" x14ac:dyDescent="0.3">
      <c r="H51388" t="str">
        <f t="shared" si="852"/>
        <v/>
      </c>
    </row>
    <row r="51389" spans="8:8" x14ac:dyDescent="0.3">
      <c r="H51389" t="str">
        <f t="shared" si="852"/>
        <v/>
      </c>
    </row>
    <row r="51390" spans="8:8" x14ac:dyDescent="0.3">
      <c r="H51390" t="str">
        <f t="shared" si="852"/>
        <v/>
      </c>
    </row>
    <row r="51391" spans="8:8" x14ac:dyDescent="0.3">
      <c r="H51391" t="str">
        <f t="shared" si="852"/>
        <v/>
      </c>
    </row>
    <row r="51392" spans="8:8" x14ac:dyDescent="0.3">
      <c r="H51392" t="str">
        <f t="shared" si="852"/>
        <v/>
      </c>
    </row>
    <row r="51393" spans="8:8" x14ac:dyDescent="0.3">
      <c r="H51393" t="str">
        <f t="shared" si="852"/>
        <v/>
      </c>
    </row>
    <row r="51394" spans="8:8" x14ac:dyDescent="0.3">
      <c r="H51394" t="str">
        <f t="shared" si="852"/>
        <v/>
      </c>
    </row>
    <row r="51395" spans="8:8" x14ac:dyDescent="0.3">
      <c r="H51395" t="str">
        <f t="shared" si="852"/>
        <v/>
      </c>
    </row>
    <row r="51396" spans="8:8" x14ac:dyDescent="0.3">
      <c r="H51396" t="str">
        <f t="shared" si="852"/>
        <v/>
      </c>
    </row>
    <row r="51397" spans="8:8" x14ac:dyDescent="0.3">
      <c r="H51397" t="str">
        <f t="shared" si="852"/>
        <v/>
      </c>
    </row>
    <row r="51398" spans="8:8" x14ac:dyDescent="0.3">
      <c r="H51398" t="str">
        <f t="shared" si="852"/>
        <v/>
      </c>
    </row>
    <row r="51399" spans="8:8" x14ac:dyDescent="0.3">
      <c r="H51399" t="str">
        <f t="shared" si="852"/>
        <v/>
      </c>
    </row>
    <row r="51400" spans="8:8" x14ac:dyDescent="0.3">
      <c r="H51400" t="str">
        <f t="shared" si="852"/>
        <v/>
      </c>
    </row>
    <row r="51401" spans="8:8" x14ac:dyDescent="0.3">
      <c r="H51401" t="str">
        <f t="shared" si="852"/>
        <v/>
      </c>
    </row>
    <row r="51402" spans="8:8" x14ac:dyDescent="0.3">
      <c r="H51402" t="str">
        <f t="shared" si="852"/>
        <v/>
      </c>
    </row>
    <row r="51403" spans="8:8" x14ac:dyDescent="0.3">
      <c r="H51403" t="str">
        <f t="shared" si="852"/>
        <v/>
      </c>
    </row>
    <row r="51404" spans="8:8" x14ac:dyDescent="0.3">
      <c r="H51404" t="str">
        <f t="shared" si="852"/>
        <v/>
      </c>
    </row>
    <row r="51405" spans="8:8" x14ac:dyDescent="0.3">
      <c r="H51405" t="str">
        <f t="shared" si="852"/>
        <v/>
      </c>
    </row>
    <row r="51406" spans="8:8" x14ac:dyDescent="0.3">
      <c r="H51406" t="str">
        <f t="shared" si="852"/>
        <v/>
      </c>
    </row>
    <row r="51407" spans="8:8" x14ac:dyDescent="0.3">
      <c r="H51407" t="str">
        <f t="shared" si="852"/>
        <v/>
      </c>
    </row>
    <row r="51408" spans="8:8" x14ac:dyDescent="0.3">
      <c r="H51408" t="str">
        <f t="shared" si="852"/>
        <v/>
      </c>
    </row>
    <row r="51409" spans="8:8" x14ac:dyDescent="0.3">
      <c r="H51409" t="str">
        <f t="shared" si="852"/>
        <v/>
      </c>
    </row>
    <row r="51410" spans="8:8" x14ac:dyDescent="0.3">
      <c r="H51410" t="str">
        <f t="shared" si="852"/>
        <v/>
      </c>
    </row>
    <row r="51411" spans="8:8" x14ac:dyDescent="0.3">
      <c r="H51411" t="str">
        <f t="shared" si="852"/>
        <v/>
      </c>
    </row>
    <row r="51412" spans="8:8" x14ac:dyDescent="0.3">
      <c r="H51412" t="str">
        <f t="shared" si="852"/>
        <v/>
      </c>
    </row>
    <row r="51413" spans="8:8" x14ac:dyDescent="0.3">
      <c r="H51413" t="str">
        <f t="shared" si="852"/>
        <v/>
      </c>
    </row>
    <row r="51414" spans="8:8" x14ac:dyDescent="0.3">
      <c r="H51414" t="str">
        <f t="shared" si="852"/>
        <v/>
      </c>
    </row>
    <row r="51415" spans="8:8" x14ac:dyDescent="0.3">
      <c r="H51415" t="str">
        <f t="shared" ref="H51415:H51478" si="853">IF(B51415="","",$C$12)</f>
        <v/>
      </c>
    </row>
    <row r="51416" spans="8:8" x14ac:dyDescent="0.3">
      <c r="H51416" t="str">
        <f t="shared" si="853"/>
        <v/>
      </c>
    </row>
    <row r="51417" spans="8:8" x14ac:dyDescent="0.3">
      <c r="H51417" t="str">
        <f t="shared" si="853"/>
        <v/>
      </c>
    </row>
    <row r="51418" spans="8:8" x14ac:dyDescent="0.3">
      <c r="H51418" t="str">
        <f t="shared" si="853"/>
        <v/>
      </c>
    </row>
    <row r="51419" spans="8:8" x14ac:dyDescent="0.3">
      <c r="H51419" t="str">
        <f t="shared" si="853"/>
        <v/>
      </c>
    </row>
    <row r="51420" spans="8:8" x14ac:dyDescent="0.3">
      <c r="H51420" t="str">
        <f t="shared" si="853"/>
        <v/>
      </c>
    </row>
    <row r="51421" spans="8:8" x14ac:dyDescent="0.3">
      <c r="H51421" t="str">
        <f t="shared" si="853"/>
        <v/>
      </c>
    </row>
    <row r="51422" spans="8:8" x14ac:dyDescent="0.3">
      <c r="H51422" t="str">
        <f t="shared" si="853"/>
        <v/>
      </c>
    </row>
    <row r="51423" spans="8:8" x14ac:dyDescent="0.3">
      <c r="H51423" t="str">
        <f t="shared" si="853"/>
        <v/>
      </c>
    </row>
    <row r="51424" spans="8:8" x14ac:dyDescent="0.3">
      <c r="H51424" t="str">
        <f t="shared" si="853"/>
        <v/>
      </c>
    </row>
    <row r="51425" spans="8:8" x14ac:dyDescent="0.3">
      <c r="H51425" t="str">
        <f t="shared" si="853"/>
        <v/>
      </c>
    </row>
    <row r="51426" spans="8:8" x14ac:dyDescent="0.3">
      <c r="H51426" t="str">
        <f t="shared" si="853"/>
        <v/>
      </c>
    </row>
    <row r="51427" spans="8:8" x14ac:dyDescent="0.3">
      <c r="H51427" t="str">
        <f t="shared" si="853"/>
        <v/>
      </c>
    </row>
    <row r="51428" spans="8:8" x14ac:dyDescent="0.3">
      <c r="H51428" t="str">
        <f t="shared" si="853"/>
        <v/>
      </c>
    </row>
    <row r="51429" spans="8:8" x14ac:dyDescent="0.3">
      <c r="H51429" t="str">
        <f t="shared" si="853"/>
        <v/>
      </c>
    </row>
    <row r="51430" spans="8:8" x14ac:dyDescent="0.3">
      <c r="H51430" t="str">
        <f t="shared" si="853"/>
        <v/>
      </c>
    </row>
    <row r="51431" spans="8:8" x14ac:dyDescent="0.3">
      <c r="H51431" t="str">
        <f t="shared" si="853"/>
        <v/>
      </c>
    </row>
    <row r="51432" spans="8:8" x14ac:dyDescent="0.3">
      <c r="H51432" t="str">
        <f t="shared" si="853"/>
        <v/>
      </c>
    </row>
    <row r="51433" spans="8:8" x14ac:dyDescent="0.3">
      <c r="H51433" t="str">
        <f t="shared" si="853"/>
        <v/>
      </c>
    </row>
    <row r="51434" spans="8:8" x14ac:dyDescent="0.3">
      <c r="H51434" t="str">
        <f t="shared" si="853"/>
        <v/>
      </c>
    </row>
    <row r="51435" spans="8:8" x14ac:dyDescent="0.3">
      <c r="H51435" t="str">
        <f t="shared" si="853"/>
        <v/>
      </c>
    </row>
    <row r="51436" spans="8:8" x14ac:dyDescent="0.3">
      <c r="H51436" t="str">
        <f t="shared" si="853"/>
        <v/>
      </c>
    </row>
    <row r="51437" spans="8:8" x14ac:dyDescent="0.3">
      <c r="H51437" t="str">
        <f t="shared" si="853"/>
        <v/>
      </c>
    </row>
    <row r="51438" spans="8:8" x14ac:dyDescent="0.3">
      <c r="H51438" t="str">
        <f t="shared" si="853"/>
        <v/>
      </c>
    </row>
    <row r="51439" spans="8:8" x14ac:dyDescent="0.3">
      <c r="H51439" t="str">
        <f t="shared" si="853"/>
        <v/>
      </c>
    </row>
    <row r="51440" spans="8:8" x14ac:dyDescent="0.3">
      <c r="H51440" t="str">
        <f t="shared" si="853"/>
        <v/>
      </c>
    </row>
    <row r="51441" spans="8:8" x14ac:dyDescent="0.3">
      <c r="H51441" t="str">
        <f t="shared" si="853"/>
        <v/>
      </c>
    </row>
    <row r="51442" spans="8:8" x14ac:dyDescent="0.3">
      <c r="H51442" t="str">
        <f t="shared" si="853"/>
        <v/>
      </c>
    </row>
    <row r="51443" spans="8:8" x14ac:dyDescent="0.3">
      <c r="H51443" t="str">
        <f t="shared" si="853"/>
        <v/>
      </c>
    </row>
    <row r="51444" spans="8:8" x14ac:dyDescent="0.3">
      <c r="H51444" t="str">
        <f t="shared" si="853"/>
        <v/>
      </c>
    </row>
    <row r="51445" spans="8:8" x14ac:dyDescent="0.3">
      <c r="H51445" t="str">
        <f t="shared" si="853"/>
        <v/>
      </c>
    </row>
    <row r="51446" spans="8:8" x14ac:dyDescent="0.3">
      <c r="H51446" t="str">
        <f t="shared" si="853"/>
        <v/>
      </c>
    </row>
    <row r="51447" spans="8:8" x14ac:dyDescent="0.3">
      <c r="H51447" t="str">
        <f t="shared" si="853"/>
        <v/>
      </c>
    </row>
    <row r="51448" spans="8:8" x14ac:dyDescent="0.3">
      <c r="H51448" t="str">
        <f t="shared" si="853"/>
        <v/>
      </c>
    </row>
    <row r="51449" spans="8:8" x14ac:dyDescent="0.3">
      <c r="H51449" t="str">
        <f t="shared" si="853"/>
        <v/>
      </c>
    </row>
    <row r="51450" spans="8:8" x14ac:dyDescent="0.3">
      <c r="H51450" t="str">
        <f t="shared" si="853"/>
        <v/>
      </c>
    </row>
    <row r="51451" spans="8:8" x14ac:dyDescent="0.3">
      <c r="H51451" t="str">
        <f t="shared" si="853"/>
        <v/>
      </c>
    </row>
    <row r="51452" spans="8:8" x14ac:dyDescent="0.3">
      <c r="H51452" t="str">
        <f t="shared" si="853"/>
        <v/>
      </c>
    </row>
    <row r="51453" spans="8:8" x14ac:dyDescent="0.3">
      <c r="H51453" t="str">
        <f t="shared" si="853"/>
        <v/>
      </c>
    </row>
    <row r="51454" spans="8:8" x14ac:dyDescent="0.3">
      <c r="H51454" t="str">
        <f t="shared" si="853"/>
        <v/>
      </c>
    </row>
    <row r="51455" spans="8:8" x14ac:dyDescent="0.3">
      <c r="H51455" t="str">
        <f t="shared" si="853"/>
        <v/>
      </c>
    </row>
    <row r="51456" spans="8:8" x14ac:dyDescent="0.3">
      <c r="H51456" t="str">
        <f t="shared" si="853"/>
        <v/>
      </c>
    </row>
    <row r="51457" spans="8:8" x14ac:dyDescent="0.3">
      <c r="H51457" t="str">
        <f t="shared" si="853"/>
        <v/>
      </c>
    </row>
    <row r="51458" spans="8:8" x14ac:dyDescent="0.3">
      <c r="H51458" t="str">
        <f t="shared" si="853"/>
        <v/>
      </c>
    </row>
    <row r="51459" spans="8:8" x14ac:dyDescent="0.3">
      <c r="H51459" t="str">
        <f t="shared" si="853"/>
        <v/>
      </c>
    </row>
    <row r="51460" spans="8:8" x14ac:dyDescent="0.3">
      <c r="H51460" t="str">
        <f t="shared" si="853"/>
        <v/>
      </c>
    </row>
    <row r="51461" spans="8:8" x14ac:dyDescent="0.3">
      <c r="H51461" t="str">
        <f t="shared" si="853"/>
        <v/>
      </c>
    </row>
    <row r="51462" spans="8:8" x14ac:dyDescent="0.3">
      <c r="H51462" t="str">
        <f t="shared" si="853"/>
        <v/>
      </c>
    </row>
    <row r="51463" spans="8:8" x14ac:dyDescent="0.3">
      <c r="H51463" t="str">
        <f t="shared" si="853"/>
        <v/>
      </c>
    </row>
    <row r="51464" spans="8:8" x14ac:dyDescent="0.3">
      <c r="H51464" t="str">
        <f t="shared" si="853"/>
        <v/>
      </c>
    </row>
    <row r="51465" spans="8:8" x14ac:dyDescent="0.3">
      <c r="H51465" t="str">
        <f t="shared" si="853"/>
        <v/>
      </c>
    </row>
    <row r="51466" spans="8:8" x14ac:dyDescent="0.3">
      <c r="H51466" t="str">
        <f t="shared" si="853"/>
        <v/>
      </c>
    </row>
    <row r="51467" spans="8:8" x14ac:dyDescent="0.3">
      <c r="H51467" t="str">
        <f t="shared" si="853"/>
        <v/>
      </c>
    </row>
    <row r="51468" spans="8:8" x14ac:dyDescent="0.3">
      <c r="H51468" t="str">
        <f t="shared" si="853"/>
        <v/>
      </c>
    </row>
    <row r="51469" spans="8:8" x14ac:dyDescent="0.3">
      <c r="H51469" t="str">
        <f t="shared" si="853"/>
        <v/>
      </c>
    </row>
    <row r="51470" spans="8:8" x14ac:dyDescent="0.3">
      <c r="H51470" t="str">
        <f t="shared" si="853"/>
        <v/>
      </c>
    </row>
    <row r="51471" spans="8:8" x14ac:dyDescent="0.3">
      <c r="H51471" t="str">
        <f t="shared" si="853"/>
        <v/>
      </c>
    </row>
    <row r="51472" spans="8:8" x14ac:dyDescent="0.3">
      <c r="H51472" t="str">
        <f t="shared" si="853"/>
        <v/>
      </c>
    </row>
    <row r="51473" spans="8:8" x14ac:dyDescent="0.3">
      <c r="H51473" t="str">
        <f t="shared" si="853"/>
        <v/>
      </c>
    </row>
    <row r="51474" spans="8:8" x14ac:dyDescent="0.3">
      <c r="H51474" t="str">
        <f t="shared" si="853"/>
        <v/>
      </c>
    </row>
    <row r="51475" spans="8:8" x14ac:dyDescent="0.3">
      <c r="H51475" t="str">
        <f t="shared" si="853"/>
        <v/>
      </c>
    </row>
    <row r="51476" spans="8:8" x14ac:dyDescent="0.3">
      <c r="H51476" t="str">
        <f t="shared" si="853"/>
        <v/>
      </c>
    </row>
    <row r="51477" spans="8:8" x14ac:dyDescent="0.3">
      <c r="H51477" t="str">
        <f t="shared" si="853"/>
        <v/>
      </c>
    </row>
    <row r="51478" spans="8:8" x14ac:dyDescent="0.3">
      <c r="H51478" t="str">
        <f t="shared" si="853"/>
        <v/>
      </c>
    </row>
    <row r="51479" spans="8:8" x14ac:dyDescent="0.3">
      <c r="H51479" t="str">
        <f t="shared" ref="H51479:H51542" si="854">IF(B51479="","",$C$12)</f>
        <v/>
      </c>
    </row>
    <row r="51480" spans="8:8" x14ac:dyDescent="0.3">
      <c r="H51480" t="str">
        <f t="shared" si="854"/>
        <v/>
      </c>
    </row>
    <row r="51481" spans="8:8" x14ac:dyDescent="0.3">
      <c r="H51481" t="str">
        <f t="shared" si="854"/>
        <v/>
      </c>
    </row>
    <row r="51482" spans="8:8" x14ac:dyDescent="0.3">
      <c r="H51482" t="str">
        <f t="shared" si="854"/>
        <v/>
      </c>
    </row>
    <row r="51483" spans="8:8" x14ac:dyDescent="0.3">
      <c r="H51483" t="str">
        <f t="shared" si="854"/>
        <v/>
      </c>
    </row>
    <row r="51484" spans="8:8" x14ac:dyDescent="0.3">
      <c r="H51484" t="str">
        <f t="shared" si="854"/>
        <v/>
      </c>
    </row>
    <row r="51485" spans="8:8" x14ac:dyDescent="0.3">
      <c r="H51485" t="str">
        <f t="shared" si="854"/>
        <v/>
      </c>
    </row>
    <row r="51486" spans="8:8" x14ac:dyDescent="0.3">
      <c r="H51486" t="str">
        <f t="shared" si="854"/>
        <v/>
      </c>
    </row>
    <row r="51487" spans="8:8" x14ac:dyDescent="0.3">
      <c r="H51487" t="str">
        <f t="shared" si="854"/>
        <v/>
      </c>
    </row>
    <row r="51488" spans="8:8" x14ac:dyDescent="0.3">
      <c r="H51488" t="str">
        <f t="shared" si="854"/>
        <v/>
      </c>
    </row>
    <row r="51489" spans="8:8" x14ac:dyDescent="0.3">
      <c r="H51489" t="str">
        <f t="shared" si="854"/>
        <v/>
      </c>
    </row>
    <row r="51490" spans="8:8" x14ac:dyDescent="0.3">
      <c r="H51490" t="str">
        <f t="shared" si="854"/>
        <v/>
      </c>
    </row>
    <row r="51491" spans="8:8" x14ac:dyDescent="0.3">
      <c r="H51491" t="str">
        <f t="shared" si="854"/>
        <v/>
      </c>
    </row>
    <row r="51492" spans="8:8" x14ac:dyDescent="0.3">
      <c r="H51492" t="str">
        <f t="shared" si="854"/>
        <v/>
      </c>
    </row>
    <row r="51493" spans="8:8" x14ac:dyDescent="0.3">
      <c r="H51493" t="str">
        <f t="shared" si="854"/>
        <v/>
      </c>
    </row>
    <row r="51494" spans="8:8" x14ac:dyDescent="0.3">
      <c r="H51494" t="str">
        <f t="shared" si="854"/>
        <v/>
      </c>
    </row>
    <row r="51495" spans="8:8" x14ac:dyDescent="0.3">
      <c r="H51495" t="str">
        <f t="shared" si="854"/>
        <v/>
      </c>
    </row>
    <row r="51496" spans="8:8" x14ac:dyDescent="0.3">
      <c r="H51496" t="str">
        <f t="shared" si="854"/>
        <v/>
      </c>
    </row>
    <row r="51497" spans="8:8" x14ac:dyDescent="0.3">
      <c r="H51497" t="str">
        <f t="shared" si="854"/>
        <v/>
      </c>
    </row>
    <row r="51498" spans="8:8" x14ac:dyDescent="0.3">
      <c r="H51498" t="str">
        <f t="shared" si="854"/>
        <v/>
      </c>
    </row>
    <row r="51499" spans="8:8" x14ac:dyDescent="0.3">
      <c r="H51499" t="str">
        <f t="shared" si="854"/>
        <v/>
      </c>
    </row>
    <row r="51500" spans="8:8" x14ac:dyDescent="0.3">
      <c r="H51500" t="str">
        <f t="shared" si="854"/>
        <v/>
      </c>
    </row>
    <row r="51501" spans="8:8" x14ac:dyDescent="0.3">
      <c r="H51501" t="str">
        <f t="shared" si="854"/>
        <v/>
      </c>
    </row>
    <row r="51502" spans="8:8" x14ac:dyDescent="0.3">
      <c r="H51502" t="str">
        <f t="shared" si="854"/>
        <v/>
      </c>
    </row>
    <row r="51503" spans="8:8" x14ac:dyDescent="0.3">
      <c r="H51503" t="str">
        <f t="shared" si="854"/>
        <v/>
      </c>
    </row>
    <row r="51504" spans="8:8" x14ac:dyDescent="0.3">
      <c r="H51504" t="str">
        <f t="shared" si="854"/>
        <v/>
      </c>
    </row>
    <row r="51505" spans="8:8" x14ac:dyDescent="0.3">
      <c r="H51505" t="str">
        <f t="shared" si="854"/>
        <v/>
      </c>
    </row>
    <row r="51506" spans="8:8" x14ac:dyDescent="0.3">
      <c r="H51506" t="str">
        <f t="shared" si="854"/>
        <v/>
      </c>
    </row>
    <row r="51507" spans="8:8" x14ac:dyDescent="0.3">
      <c r="H51507" t="str">
        <f t="shared" si="854"/>
        <v/>
      </c>
    </row>
    <row r="51508" spans="8:8" x14ac:dyDescent="0.3">
      <c r="H51508" t="str">
        <f t="shared" si="854"/>
        <v/>
      </c>
    </row>
    <row r="51509" spans="8:8" x14ac:dyDescent="0.3">
      <c r="H51509" t="str">
        <f t="shared" si="854"/>
        <v/>
      </c>
    </row>
    <row r="51510" spans="8:8" x14ac:dyDescent="0.3">
      <c r="H51510" t="str">
        <f t="shared" si="854"/>
        <v/>
      </c>
    </row>
    <row r="51511" spans="8:8" x14ac:dyDescent="0.3">
      <c r="H51511" t="str">
        <f t="shared" si="854"/>
        <v/>
      </c>
    </row>
    <row r="51512" spans="8:8" x14ac:dyDescent="0.3">
      <c r="H51512" t="str">
        <f t="shared" si="854"/>
        <v/>
      </c>
    </row>
    <row r="51513" spans="8:8" x14ac:dyDescent="0.3">
      <c r="H51513" t="str">
        <f t="shared" si="854"/>
        <v/>
      </c>
    </row>
    <row r="51514" spans="8:8" x14ac:dyDescent="0.3">
      <c r="H51514" t="str">
        <f t="shared" si="854"/>
        <v/>
      </c>
    </row>
    <row r="51515" spans="8:8" x14ac:dyDescent="0.3">
      <c r="H51515" t="str">
        <f t="shared" si="854"/>
        <v/>
      </c>
    </row>
    <row r="51516" spans="8:8" x14ac:dyDescent="0.3">
      <c r="H51516" t="str">
        <f t="shared" si="854"/>
        <v/>
      </c>
    </row>
    <row r="51517" spans="8:8" x14ac:dyDescent="0.3">
      <c r="H51517" t="str">
        <f t="shared" si="854"/>
        <v/>
      </c>
    </row>
    <row r="51518" spans="8:8" x14ac:dyDescent="0.3">
      <c r="H51518" t="str">
        <f t="shared" si="854"/>
        <v/>
      </c>
    </row>
    <row r="51519" spans="8:8" x14ac:dyDescent="0.3">
      <c r="H51519" t="str">
        <f t="shared" si="854"/>
        <v/>
      </c>
    </row>
    <row r="51520" spans="8:8" x14ac:dyDescent="0.3">
      <c r="H51520" t="str">
        <f t="shared" si="854"/>
        <v/>
      </c>
    </row>
    <row r="51521" spans="8:8" x14ac:dyDescent="0.3">
      <c r="H51521" t="str">
        <f t="shared" si="854"/>
        <v/>
      </c>
    </row>
    <row r="51522" spans="8:8" x14ac:dyDescent="0.3">
      <c r="H51522" t="str">
        <f t="shared" si="854"/>
        <v/>
      </c>
    </row>
    <row r="51523" spans="8:8" x14ac:dyDescent="0.3">
      <c r="H51523" t="str">
        <f t="shared" si="854"/>
        <v/>
      </c>
    </row>
    <row r="51524" spans="8:8" x14ac:dyDescent="0.3">
      <c r="H51524" t="str">
        <f t="shared" si="854"/>
        <v/>
      </c>
    </row>
    <row r="51525" spans="8:8" x14ac:dyDescent="0.3">
      <c r="H51525" t="str">
        <f t="shared" si="854"/>
        <v/>
      </c>
    </row>
    <row r="51526" spans="8:8" x14ac:dyDescent="0.3">
      <c r="H51526" t="str">
        <f t="shared" si="854"/>
        <v/>
      </c>
    </row>
    <row r="51527" spans="8:8" x14ac:dyDescent="0.3">
      <c r="H51527" t="str">
        <f t="shared" si="854"/>
        <v/>
      </c>
    </row>
    <row r="51528" spans="8:8" x14ac:dyDescent="0.3">
      <c r="H51528" t="str">
        <f t="shared" si="854"/>
        <v/>
      </c>
    </row>
    <row r="51529" spans="8:8" x14ac:dyDescent="0.3">
      <c r="H51529" t="str">
        <f t="shared" si="854"/>
        <v/>
      </c>
    </row>
    <row r="51530" spans="8:8" x14ac:dyDescent="0.3">
      <c r="H51530" t="str">
        <f t="shared" si="854"/>
        <v/>
      </c>
    </row>
    <row r="51531" spans="8:8" x14ac:dyDescent="0.3">
      <c r="H51531" t="str">
        <f t="shared" si="854"/>
        <v/>
      </c>
    </row>
    <row r="51532" spans="8:8" x14ac:dyDescent="0.3">
      <c r="H51532" t="str">
        <f t="shared" si="854"/>
        <v/>
      </c>
    </row>
    <row r="51533" spans="8:8" x14ac:dyDescent="0.3">
      <c r="H51533" t="str">
        <f t="shared" si="854"/>
        <v/>
      </c>
    </row>
    <row r="51534" spans="8:8" x14ac:dyDescent="0.3">
      <c r="H51534" t="str">
        <f t="shared" si="854"/>
        <v/>
      </c>
    </row>
    <row r="51535" spans="8:8" x14ac:dyDescent="0.3">
      <c r="H51535" t="str">
        <f t="shared" si="854"/>
        <v/>
      </c>
    </row>
    <row r="51536" spans="8:8" x14ac:dyDescent="0.3">
      <c r="H51536" t="str">
        <f t="shared" si="854"/>
        <v/>
      </c>
    </row>
    <row r="51537" spans="8:8" x14ac:dyDescent="0.3">
      <c r="H51537" t="str">
        <f t="shared" si="854"/>
        <v/>
      </c>
    </row>
    <row r="51538" spans="8:8" x14ac:dyDescent="0.3">
      <c r="H51538" t="str">
        <f t="shared" si="854"/>
        <v/>
      </c>
    </row>
    <row r="51539" spans="8:8" x14ac:dyDescent="0.3">
      <c r="H51539" t="str">
        <f t="shared" si="854"/>
        <v/>
      </c>
    </row>
    <row r="51540" spans="8:8" x14ac:dyDescent="0.3">
      <c r="H51540" t="str">
        <f t="shared" si="854"/>
        <v/>
      </c>
    </row>
    <row r="51541" spans="8:8" x14ac:dyDescent="0.3">
      <c r="H51541" t="str">
        <f t="shared" si="854"/>
        <v/>
      </c>
    </row>
    <row r="51542" spans="8:8" x14ac:dyDescent="0.3">
      <c r="H51542" t="str">
        <f t="shared" si="854"/>
        <v/>
      </c>
    </row>
    <row r="51543" spans="8:8" x14ac:dyDescent="0.3">
      <c r="H51543" t="str">
        <f t="shared" ref="H51543:H51606" si="855">IF(B51543="","",$C$12)</f>
        <v/>
      </c>
    </row>
    <row r="51544" spans="8:8" x14ac:dyDescent="0.3">
      <c r="H51544" t="str">
        <f t="shared" si="855"/>
        <v/>
      </c>
    </row>
    <row r="51545" spans="8:8" x14ac:dyDescent="0.3">
      <c r="H51545" t="str">
        <f t="shared" si="855"/>
        <v/>
      </c>
    </row>
    <row r="51546" spans="8:8" x14ac:dyDescent="0.3">
      <c r="H51546" t="str">
        <f t="shared" si="855"/>
        <v/>
      </c>
    </row>
    <row r="51547" spans="8:8" x14ac:dyDescent="0.3">
      <c r="H51547" t="str">
        <f t="shared" si="855"/>
        <v/>
      </c>
    </row>
    <row r="51548" spans="8:8" x14ac:dyDescent="0.3">
      <c r="H51548" t="str">
        <f t="shared" si="855"/>
        <v/>
      </c>
    </row>
    <row r="51549" spans="8:8" x14ac:dyDescent="0.3">
      <c r="H51549" t="str">
        <f t="shared" si="855"/>
        <v/>
      </c>
    </row>
    <row r="51550" spans="8:8" x14ac:dyDescent="0.3">
      <c r="H51550" t="str">
        <f t="shared" si="855"/>
        <v/>
      </c>
    </row>
    <row r="51551" spans="8:8" x14ac:dyDescent="0.3">
      <c r="H51551" t="str">
        <f t="shared" si="855"/>
        <v/>
      </c>
    </row>
    <row r="51552" spans="8:8" x14ac:dyDescent="0.3">
      <c r="H51552" t="str">
        <f t="shared" si="855"/>
        <v/>
      </c>
    </row>
    <row r="51553" spans="8:8" x14ac:dyDescent="0.3">
      <c r="H51553" t="str">
        <f t="shared" si="855"/>
        <v/>
      </c>
    </row>
    <row r="51554" spans="8:8" x14ac:dyDescent="0.3">
      <c r="H51554" t="str">
        <f t="shared" si="855"/>
        <v/>
      </c>
    </row>
    <row r="51555" spans="8:8" x14ac:dyDescent="0.3">
      <c r="H51555" t="str">
        <f t="shared" si="855"/>
        <v/>
      </c>
    </row>
    <row r="51556" spans="8:8" x14ac:dyDescent="0.3">
      <c r="H51556" t="str">
        <f t="shared" si="855"/>
        <v/>
      </c>
    </row>
    <row r="51557" spans="8:8" x14ac:dyDescent="0.3">
      <c r="H51557" t="str">
        <f t="shared" si="855"/>
        <v/>
      </c>
    </row>
    <row r="51558" spans="8:8" x14ac:dyDescent="0.3">
      <c r="H51558" t="str">
        <f t="shared" si="855"/>
        <v/>
      </c>
    </row>
    <row r="51559" spans="8:8" x14ac:dyDescent="0.3">
      <c r="H51559" t="str">
        <f t="shared" si="855"/>
        <v/>
      </c>
    </row>
    <row r="51560" spans="8:8" x14ac:dyDescent="0.3">
      <c r="H51560" t="str">
        <f t="shared" si="855"/>
        <v/>
      </c>
    </row>
    <row r="51561" spans="8:8" x14ac:dyDescent="0.3">
      <c r="H51561" t="str">
        <f t="shared" si="855"/>
        <v/>
      </c>
    </row>
    <row r="51562" spans="8:8" x14ac:dyDescent="0.3">
      <c r="H51562" t="str">
        <f t="shared" si="855"/>
        <v/>
      </c>
    </row>
    <row r="51563" spans="8:8" x14ac:dyDescent="0.3">
      <c r="H51563" t="str">
        <f t="shared" si="855"/>
        <v/>
      </c>
    </row>
    <row r="51564" spans="8:8" x14ac:dyDescent="0.3">
      <c r="H51564" t="str">
        <f t="shared" si="855"/>
        <v/>
      </c>
    </row>
    <row r="51565" spans="8:8" x14ac:dyDescent="0.3">
      <c r="H51565" t="str">
        <f t="shared" si="855"/>
        <v/>
      </c>
    </row>
    <row r="51566" spans="8:8" x14ac:dyDescent="0.3">
      <c r="H51566" t="str">
        <f t="shared" si="855"/>
        <v/>
      </c>
    </row>
    <row r="51567" spans="8:8" x14ac:dyDescent="0.3">
      <c r="H51567" t="str">
        <f t="shared" si="855"/>
        <v/>
      </c>
    </row>
    <row r="51568" spans="8:8" x14ac:dyDescent="0.3">
      <c r="H51568" t="str">
        <f t="shared" si="855"/>
        <v/>
      </c>
    </row>
    <row r="51569" spans="8:8" x14ac:dyDescent="0.3">
      <c r="H51569" t="str">
        <f t="shared" si="855"/>
        <v/>
      </c>
    </row>
    <row r="51570" spans="8:8" x14ac:dyDescent="0.3">
      <c r="H51570" t="str">
        <f t="shared" si="855"/>
        <v/>
      </c>
    </row>
    <row r="51571" spans="8:8" x14ac:dyDescent="0.3">
      <c r="H51571" t="str">
        <f t="shared" si="855"/>
        <v/>
      </c>
    </row>
    <row r="51572" spans="8:8" x14ac:dyDescent="0.3">
      <c r="H51572" t="str">
        <f t="shared" si="855"/>
        <v/>
      </c>
    </row>
    <row r="51573" spans="8:8" x14ac:dyDescent="0.3">
      <c r="H51573" t="str">
        <f t="shared" si="855"/>
        <v/>
      </c>
    </row>
    <row r="51574" spans="8:8" x14ac:dyDescent="0.3">
      <c r="H51574" t="str">
        <f t="shared" si="855"/>
        <v/>
      </c>
    </row>
    <row r="51575" spans="8:8" x14ac:dyDescent="0.3">
      <c r="H51575" t="str">
        <f t="shared" si="855"/>
        <v/>
      </c>
    </row>
    <row r="51576" spans="8:8" x14ac:dyDescent="0.3">
      <c r="H51576" t="str">
        <f t="shared" si="855"/>
        <v/>
      </c>
    </row>
    <row r="51577" spans="8:8" x14ac:dyDescent="0.3">
      <c r="H51577" t="str">
        <f t="shared" si="855"/>
        <v/>
      </c>
    </row>
    <row r="51578" spans="8:8" x14ac:dyDescent="0.3">
      <c r="H51578" t="str">
        <f t="shared" si="855"/>
        <v/>
      </c>
    </row>
    <row r="51579" spans="8:8" x14ac:dyDescent="0.3">
      <c r="H51579" t="str">
        <f t="shared" si="855"/>
        <v/>
      </c>
    </row>
    <row r="51580" spans="8:8" x14ac:dyDescent="0.3">
      <c r="H51580" t="str">
        <f t="shared" si="855"/>
        <v/>
      </c>
    </row>
    <row r="51581" spans="8:8" x14ac:dyDescent="0.3">
      <c r="H51581" t="str">
        <f t="shared" si="855"/>
        <v/>
      </c>
    </row>
    <row r="51582" spans="8:8" x14ac:dyDescent="0.3">
      <c r="H51582" t="str">
        <f t="shared" si="855"/>
        <v/>
      </c>
    </row>
    <row r="51583" spans="8:8" x14ac:dyDescent="0.3">
      <c r="H51583" t="str">
        <f t="shared" si="855"/>
        <v/>
      </c>
    </row>
    <row r="51584" spans="8:8" x14ac:dyDescent="0.3">
      <c r="H51584" t="str">
        <f t="shared" si="855"/>
        <v/>
      </c>
    </row>
    <row r="51585" spans="8:8" x14ac:dyDescent="0.3">
      <c r="H51585" t="str">
        <f t="shared" si="855"/>
        <v/>
      </c>
    </row>
    <row r="51586" spans="8:8" x14ac:dyDescent="0.3">
      <c r="H51586" t="str">
        <f t="shared" si="855"/>
        <v/>
      </c>
    </row>
    <row r="51587" spans="8:8" x14ac:dyDescent="0.3">
      <c r="H51587" t="str">
        <f t="shared" si="855"/>
        <v/>
      </c>
    </row>
    <row r="51588" spans="8:8" x14ac:dyDescent="0.3">
      <c r="H51588" t="str">
        <f t="shared" si="855"/>
        <v/>
      </c>
    </row>
    <row r="51589" spans="8:8" x14ac:dyDescent="0.3">
      <c r="H51589" t="str">
        <f t="shared" si="855"/>
        <v/>
      </c>
    </row>
    <row r="51590" spans="8:8" x14ac:dyDescent="0.3">
      <c r="H51590" t="str">
        <f t="shared" si="855"/>
        <v/>
      </c>
    </row>
    <row r="51591" spans="8:8" x14ac:dyDescent="0.3">
      <c r="H51591" t="str">
        <f t="shared" si="855"/>
        <v/>
      </c>
    </row>
    <row r="51592" spans="8:8" x14ac:dyDescent="0.3">
      <c r="H51592" t="str">
        <f t="shared" si="855"/>
        <v/>
      </c>
    </row>
    <row r="51593" spans="8:8" x14ac:dyDescent="0.3">
      <c r="H51593" t="str">
        <f t="shared" si="855"/>
        <v/>
      </c>
    </row>
    <row r="51594" spans="8:8" x14ac:dyDescent="0.3">
      <c r="H51594" t="str">
        <f t="shared" si="855"/>
        <v/>
      </c>
    </row>
    <row r="51595" spans="8:8" x14ac:dyDescent="0.3">
      <c r="H51595" t="str">
        <f t="shared" si="855"/>
        <v/>
      </c>
    </row>
    <row r="51596" spans="8:8" x14ac:dyDescent="0.3">
      <c r="H51596" t="str">
        <f t="shared" si="855"/>
        <v/>
      </c>
    </row>
    <row r="51597" spans="8:8" x14ac:dyDescent="0.3">
      <c r="H51597" t="str">
        <f t="shared" si="855"/>
        <v/>
      </c>
    </row>
    <row r="51598" spans="8:8" x14ac:dyDescent="0.3">
      <c r="H51598" t="str">
        <f t="shared" si="855"/>
        <v/>
      </c>
    </row>
    <row r="51599" spans="8:8" x14ac:dyDescent="0.3">
      <c r="H51599" t="str">
        <f t="shared" si="855"/>
        <v/>
      </c>
    </row>
    <row r="51600" spans="8:8" x14ac:dyDescent="0.3">
      <c r="H51600" t="str">
        <f t="shared" si="855"/>
        <v/>
      </c>
    </row>
    <row r="51601" spans="8:8" x14ac:dyDescent="0.3">
      <c r="H51601" t="str">
        <f t="shared" si="855"/>
        <v/>
      </c>
    </row>
    <row r="51602" spans="8:8" x14ac:dyDescent="0.3">
      <c r="H51602" t="str">
        <f t="shared" si="855"/>
        <v/>
      </c>
    </row>
    <row r="51603" spans="8:8" x14ac:dyDescent="0.3">
      <c r="H51603" t="str">
        <f t="shared" si="855"/>
        <v/>
      </c>
    </row>
    <row r="51604" spans="8:8" x14ac:dyDescent="0.3">
      <c r="H51604" t="str">
        <f t="shared" si="855"/>
        <v/>
      </c>
    </row>
    <row r="51605" spans="8:8" x14ac:dyDescent="0.3">
      <c r="H51605" t="str">
        <f t="shared" si="855"/>
        <v/>
      </c>
    </row>
    <row r="51606" spans="8:8" x14ac:dyDescent="0.3">
      <c r="H51606" t="str">
        <f t="shared" si="855"/>
        <v/>
      </c>
    </row>
    <row r="51607" spans="8:8" x14ac:dyDescent="0.3">
      <c r="H51607" t="str">
        <f t="shared" ref="H51607:H51670" si="856">IF(B51607="","",$C$12)</f>
        <v/>
      </c>
    </row>
    <row r="51608" spans="8:8" x14ac:dyDescent="0.3">
      <c r="H51608" t="str">
        <f t="shared" si="856"/>
        <v/>
      </c>
    </row>
    <row r="51609" spans="8:8" x14ac:dyDescent="0.3">
      <c r="H51609" t="str">
        <f t="shared" si="856"/>
        <v/>
      </c>
    </row>
    <row r="51610" spans="8:8" x14ac:dyDescent="0.3">
      <c r="H51610" t="str">
        <f t="shared" si="856"/>
        <v/>
      </c>
    </row>
    <row r="51611" spans="8:8" x14ac:dyDescent="0.3">
      <c r="H51611" t="str">
        <f t="shared" si="856"/>
        <v/>
      </c>
    </row>
    <row r="51612" spans="8:8" x14ac:dyDescent="0.3">
      <c r="H51612" t="str">
        <f t="shared" si="856"/>
        <v/>
      </c>
    </row>
    <row r="51613" spans="8:8" x14ac:dyDescent="0.3">
      <c r="H51613" t="str">
        <f t="shared" si="856"/>
        <v/>
      </c>
    </row>
    <row r="51614" spans="8:8" x14ac:dyDescent="0.3">
      <c r="H51614" t="str">
        <f t="shared" si="856"/>
        <v/>
      </c>
    </row>
    <row r="51615" spans="8:8" x14ac:dyDescent="0.3">
      <c r="H51615" t="str">
        <f t="shared" si="856"/>
        <v/>
      </c>
    </row>
    <row r="51616" spans="8:8" x14ac:dyDescent="0.3">
      <c r="H51616" t="str">
        <f t="shared" si="856"/>
        <v/>
      </c>
    </row>
    <row r="51617" spans="8:8" x14ac:dyDescent="0.3">
      <c r="H51617" t="str">
        <f t="shared" si="856"/>
        <v/>
      </c>
    </row>
    <row r="51618" spans="8:8" x14ac:dyDescent="0.3">
      <c r="H51618" t="str">
        <f t="shared" si="856"/>
        <v/>
      </c>
    </row>
    <row r="51619" spans="8:8" x14ac:dyDescent="0.3">
      <c r="H51619" t="str">
        <f t="shared" si="856"/>
        <v/>
      </c>
    </row>
    <row r="51620" spans="8:8" x14ac:dyDescent="0.3">
      <c r="H51620" t="str">
        <f t="shared" si="856"/>
        <v/>
      </c>
    </row>
    <row r="51621" spans="8:8" x14ac:dyDescent="0.3">
      <c r="H51621" t="str">
        <f t="shared" si="856"/>
        <v/>
      </c>
    </row>
    <row r="51622" spans="8:8" x14ac:dyDescent="0.3">
      <c r="H51622" t="str">
        <f t="shared" si="856"/>
        <v/>
      </c>
    </row>
    <row r="51623" spans="8:8" x14ac:dyDescent="0.3">
      <c r="H51623" t="str">
        <f t="shared" si="856"/>
        <v/>
      </c>
    </row>
    <row r="51624" spans="8:8" x14ac:dyDescent="0.3">
      <c r="H51624" t="str">
        <f t="shared" si="856"/>
        <v/>
      </c>
    </row>
    <row r="51625" spans="8:8" x14ac:dyDescent="0.3">
      <c r="H51625" t="str">
        <f t="shared" si="856"/>
        <v/>
      </c>
    </row>
    <row r="51626" spans="8:8" x14ac:dyDescent="0.3">
      <c r="H51626" t="str">
        <f t="shared" si="856"/>
        <v/>
      </c>
    </row>
    <row r="51627" spans="8:8" x14ac:dyDescent="0.3">
      <c r="H51627" t="str">
        <f t="shared" si="856"/>
        <v/>
      </c>
    </row>
    <row r="51628" spans="8:8" x14ac:dyDescent="0.3">
      <c r="H51628" t="str">
        <f t="shared" si="856"/>
        <v/>
      </c>
    </row>
    <row r="51629" spans="8:8" x14ac:dyDescent="0.3">
      <c r="H51629" t="str">
        <f t="shared" si="856"/>
        <v/>
      </c>
    </row>
    <row r="51630" spans="8:8" x14ac:dyDescent="0.3">
      <c r="H51630" t="str">
        <f t="shared" si="856"/>
        <v/>
      </c>
    </row>
    <row r="51631" spans="8:8" x14ac:dyDescent="0.3">
      <c r="H51631" t="str">
        <f t="shared" si="856"/>
        <v/>
      </c>
    </row>
    <row r="51632" spans="8:8" x14ac:dyDescent="0.3">
      <c r="H51632" t="str">
        <f t="shared" si="856"/>
        <v/>
      </c>
    </row>
    <row r="51633" spans="8:8" x14ac:dyDescent="0.3">
      <c r="H51633" t="str">
        <f t="shared" si="856"/>
        <v/>
      </c>
    </row>
    <row r="51634" spans="8:8" x14ac:dyDescent="0.3">
      <c r="H51634" t="str">
        <f t="shared" si="856"/>
        <v/>
      </c>
    </row>
    <row r="51635" spans="8:8" x14ac:dyDescent="0.3">
      <c r="H51635" t="str">
        <f t="shared" si="856"/>
        <v/>
      </c>
    </row>
    <row r="51636" spans="8:8" x14ac:dyDescent="0.3">
      <c r="H51636" t="str">
        <f t="shared" si="856"/>
        <v/>
      </c>
    </row>
    <row r="51637" spans="8:8" x14ac:dyDescent="0.3">
      <c r="H51637" t="str">
        <f t="shared" si="856"/>
        <v/>
      </c>
    </row>
    <row r="51638" spans="8:8" x14ac:dyDescent="0.3">
      <c r="H51638" t="str">
        <f t="shared" si="856"/>
        <v/>
      </c>
    </row>
    <row r="51639" spans="8:8" x14ac:dyDescent="0.3">
      <c r="H51639" t="str">
        <f t="shared" si="856"/>
        <v/>
      </c>
    </row>
    <row r="51640" spans="8:8" x14ac:dyDescent="0.3">
      <c r="H51640" t="str">
        <f t="shared" si="856"/>
        <v/>
      </c>
    </row>
    <row r="51641" spans="8:8" x14ac:dyDescent="0.3">
      <c r="H51641" t="str">
        <f t="shared" si="856"/>
        <v/>
      </c>
    </row>
    <row r="51642" spans="8:8" x14ac:dyDescent="0.3">
      <c r="H51642" t="str">
        <f t="shared" si="856"/>
        <v/>
      </c>
    </row>
    <row r="51643" spans="8:8" x14ac:dyDescent="0.3">
      <c r="H51643" t="str">
        <f t="shared" si="856"/>
        <v/>
      </c>
    </row>
    <row r="51644" spans="8:8" x14ac:dyDescent="0.3">
      <c r="H51644" t="str">
        <f t="shared" si="856"/>
        <v/>
      </c>
    </row>
    <row r="51645" spans="8:8" x14ac:dyDescent="0.3">
      <c r="H51645" t="str">
        <f t="shared" si="856"/>
        <v/>
      </c>
    </row>
    <row r="51646" spans="8:8" x14ac:dyDescent="0.3">
      <c r="H51646" t="str">
        <f t="shared" si="856"/>
        <v/>
      </c>
    </row>
    <row r="51647" spans="8:8" x14ac:dyDescent="0.3">
      <c r="H51647" t="str">
        <f t="shared" si="856"/>
        <v/>
      </c>
    </row>
    <row r="51648" spans="8:8" x14ac:dyDescent="0.3">
      <c r="H51648" t="str">
        <f t="shared" si="856"/>
        <v/>
      </c>
    </row>
    <row r="51649" spans="8:8" x14ac:dyDescent="0.3">
      <c r="H51649" t="str">
        <f t="shared" si="856"/>
        <v/>
      </c>
    </row>
    <row r="51650" spans="8:8" x14ac:dyDescent="0.3">
      <c r="H51650" t="str">
        <f t="shared" si="856"/>
        <v/>
      </c>
    </row>
    <row r="51651" spans="8:8" x14ac:dyDescent="0.3">
      <c r="H51651" t="str">
        <f t="shared" si="856"/>
        <v/>
      </c>
    </row>
    <row r="51652" spans="8:8" x14ac:dyDescent="0.3">
      <c r="H51652" t="str">
        <f t="shared" si="856"/>
        <v/>
      </c>
    </row>
    <row r="51653" spans="8:8" x14ac:dyDescent="0.3">
      <c r="H51653" t="str">
        <f t="shared" si="856"/>
        <v/>
      </c>
    </row>
    <row r="51654" spans="8:8" x14ac:dyDescent="0.3">
      <c r="H51654" t="str">
        <f t="shared" si="856"/>
        <v/>
      </c>
    </row>
    <row r="51655" spans="8:8" x14ac:dyDescent="0.3">
      <c r="H51655" t="str">
        <f t="shared" si="856"/>
        <v/>
      </c>
    </row>
    <row r="51656" spans="8:8" x14ac:dyDescent="0.3">
      <c r="H51656" t="str">
        <f t="shared" si="856"/>
        <v/>
      </c>
    </row>
    <row r="51657" spans="8:8" x14ac:dyDescent="0.3">
      <c r="H51657" t="str">
        <f t="shared" si="856"/>
        <v/>
      </c>
    </row>
    <row r="51658" spans="8:8" x14ac:dyDescent="0.3">
      <c r="H51658" t="str">
        <f t="shared" si="856"/>
        <v/>
      </c>
    </row>
    <row r="51659" spans="8:8" x14ac:dyDescent="0.3">
      <c r="H51659" t="str">
        <f t="shared" si="856"/>
        <v/>
      </c>
    </row>
    <row r="51660" spans="8:8" x14ac:dyDescent="0.3">
      <c r="H51660" t="str">
        <f t="shared" si="856"/>
        <v/>
      </c>
    </row>
    <row r="51661" spans="8:8" x14ac:dyDescent="0.3">
      <c r="H51661" t="str">
        <f t="shared" si="856"/>
        <v/>
      </c>
    </row>
    <row r="51662" spans="8:8" x14ac:dyDescent="0.3">
      <c r="H51662" t="str">
        <f t="shared" si="856"/>
        <v/>
      </c>
    </row>
    <row r="51663" spans="8:8" x14ac:dyDescent="0.3">
      <c r="H51663" t="str">
        <f t="shared" si="856"/>
        <v/>
      </c>
    </row>
    <row r="51664" spans="8:8" x14ac:dyDescent="0.3">
      <c r="H51664" t="str">
        <f t="shared" si="856"/>
        <v/>
      </c>
    </row>
    <row r="51665" spans="8:8" x14ac:dyDescent="0.3">
      <c r="H51665" t="str">
        <f t="shared" si="856"/>
        <v/>
      </c>
    </row>
    <row r="51666" spans="8:8" x14ac:dyDescent="0.3">
      <c r="H51666" t="str">
        <f t="shared" si="856"/>
        <v/>
      </c>
    </row>
    <row r="51667" spans="8:8" x14ac:dyDescent="0.3">
      <c r="H51667" t="str">
        <f t="shared" si="856"/>
        <v/>
      </c>
    </row>
    <row r="51668" spans="8:8" x14ac:dyDescent="0.3">
      <c r="H51668" t="str">
        <f t="shared" si="856"/>
        <v/>
      </c>
    </row>
    <row r="51669" spans="8:8" x14ac:dyDescent="0.3">
      <c r="H51669" t="str">
        <f t="shared" si="856"/>
        <v/>
      </c>
    </row>
    <row r="51670" spans="8:8" x14ac:dyDescent="0.3">
      <c r="H51670" t="str">
        <f t="shared" si="856"/>
        <v/>
      </c>
    </row>
    <row r="51671" spans="8:8" x14ac:dyDescent="0.3">
      <c r="H51671" t="str">
        <f t="shared" ref="H51671:H51734" si="857">IF(B51671="","",$C$12)</f>
        <v/>
      </c>
    </row>
    <row r="51672" spans="8:8" x14ac:dyDescent="0.3">
      <c r="H51672" t="str">
        <f t="shared" si="857"/>
        <v/>
      </c>
    </row>
    <row r="51673" spans="8:8" x14ac:dyDescent="0.3">
      <c r="H51673" t="str">
        <f t="shared" si="857"/>
        <v/>
      </c>
    </row>
    <row r="51674" spans="8:8" x14ac:dyDescent="0.3">
      <c r="H51674" t="str">
        <f t="shared" si="857"/>
        <v/>
      </c>
    </row>
    <row r="51675" spans="8:8" x14ac:dyDescent="0.3">
      <c r="H51675" t="str">
        <f t="shared" si="857"/>
        <v/>
      </c>
    </row>
    <row r="51676" spans="8:8" x14ac:dyDescent="0.3">
      <c r="H51676" t="str">
        <f t="shared" si="857"/>
        <v/>
      </c>
    </row>
    <row r="51677" spans="8:8" x14ac:dyDescent="0.3">
      <c r="H51677" t="str">
        <f t="shared" si="857"/>
        <v/>
      </c>
    </row>
    <row r="51678" spans="8:8" x14ac:dyDescent="0.3">
      <c r="H51678" t="str">
        <f t="shared" si="857"/>
        <v/>
      </c>
    </row>
    <row r="51679" spans="8:8" x14ac:dyDescent="0.3">
      <c r="H51679" t="str">
        <f t="shared" si="857"/>
        <v/>
      </c>
    </row>
    <row r="51680" spans="8:8" x14ac:dyDescent="0.3">
      <c r="H51680" t="str">
        <f t="shared" si="857"/>
        <v/>
      </c>
    </row>
    <row r="51681" spans="8:8" x14ac:dyDescent="0.3">
      <c r="H51681" t="str">
        <f t="shared" si="857"/>
        <v/>
      </c>
    </row>
    <row r="51682" spans="8:8" x14ac:dyDescent="0.3">
      <c r="H51682" t="str">
        <f t="shared" si="857"/>
        <v/>
      </c>
    </row>
    <row r="51683" spans="8:8" x14ac:dyDescent="0.3">
      <c r="H51683" t="str">
        <f t="shared" si="857"/>
        <v/>
      </c>
    </row>
    <row r="51684" spans="8:8" x14ac:dyDescent="0.3">
      <c r="H51684" t="str">
        <f t="shared" si="857"/>
        <v/>
      </c>
    </row>
    <row r="51685" spans="8:8" x14ac:dyDescent="0.3">
      <c r="H51685" t="str">
        <f t="shared" si="857"/>
        <v/>
      </c>
    </row>
    <row r="51686" spans="8:8" x14ac:dyDescent="0.3">
      <c r="H51686" t="str">
        <f t="shared" si="857"/>
        <v/>
      </c>
    </row>
    <row r="51687" spans="8:8" x14ac:dyDescent="0.3">
      <c r="H51687" t="str">
        <f t="shared" si="857"/>
        <v/>
      </c>
    </row>
    <row r="51688" spans="8:8" x14ac:dyDescent="0.3">
      <c r="H51688" t="str">
        <f t="shared" si="857"/>
        <v/>
      </c>
    </row>
    <row r="51689" spans="8:8" x14ac:dyDescent="0.3">
      <c r="H51689" t="str">
        <f t="shared" si="857"/>
        <v/>
      </c>
    </row>
    <row r="51690" spans="8:8" x14ac:dyDescent="0.3">
      <c r="H51690" t="str">
        <f t="shared" si="857"/>
        <v/>
      </c>
    </row>
    <row r="51691" spans="8:8" x14ac:dyDescent="0.3">
      <c r="H51691" t="str">
        <f t="shared" si="857"/>
        <v/>
      </c>
    </row>
    <row r="51692" spans="8:8" x14ac:dyDescent="0.3">
      <c r="H51692" t="str">
        <f t="shared" si="857"/>
        <v/>
      </c>
    </row>
    <row r="51693" spans="8:8" x14ac:dyDescent="0.3">
      <c r="H51693" t="str">
        <f t="shared" si="857"/>
        <v/>
      </c>
    </row>
    <row r="51694" spans="8:8" x14ac:dyDescent="0.3">
      <c r="H51694" t="str">
        <f t="shared" si="857"/>
        <v/>
      </c>
    </row>
    <row r="51695" spans="8:8" x14ac:dyDescent="0.3">
      <c r="H51695" t="str">
        <f t="shared" si="857"/>
        <v/>
      </c>
    </row>
    <row r="51696" spans="8:8" x14ac:dyDescent="0.3">
      <c r="H51696" t="str">
        <f t="shared" si="857"/>
        <v/>
      </c>
    </row>
    <row r="51697" spans="8:8" x14ac:dyDescent="0.3">
      <c r="H51697" t="str">
        <f t="shared" si="857"/>
        <v/>
      </c>
    </row>
    <row r="51698" spans="8:8" x14ac:dyDescent="0.3">
      <c r="H51698" t="str">
        <f t="shared" si="857"/>
        <v/>
      </c>
    </row>
    <row r="51699" spans="8:8" x14ac:dyDescent="0.3">
      <c r="H51699" t="str">
        <f t="shared" si="857"/>
        <v/>
      </c>
    </row>
    <row r="51700" spans="8:8" x14ac:dyDescent="0.3">
      <c r="H51700" t="str">
        <f t="shared" si="857"/>
        <v/>
      </c>
    </row>
    <row r="51701" spans="8:8" x14ac:dyDescent="0.3">
      <c r="H51701" t="str">
        <f t="shared" si="857"/>
        <v/>
      </c>
    </row>
    <row r="51702" spans="8:8" x14ac:dyDescent="0.3">
      <c r="H51702" t="str">
        <f t="shared" si="857"/>
        <v/>
      </c>
    </row>
    <row r="51703" spans="8:8" x14ac:dyDescent="0.3">
      <c r="H51703" t="str">
        <f t="shared" si="857"/>
        <v/>
      </c>
    </row>
    <row r="51704" spans="8:8" x14ac:dyDescent="0.3">
      <c r="H51704" t="str">
        <f t="shared" si="857"/>
        <v/>
      </c>
    </row>
    <row r="51705" spans="8:8" x14ac:dyDescent="0.3">
      <c r="H51705" t="str">
        <f t="shared" si="857"/>
        <v/>
      </c>
    </row>
    <row r="51706" spans="8:8" x14ac:dyDescent="0.3">
      <c r="H51706" t="str">
        <f t="shared" si="857"/>
        <v/>
      </c>
    </row>
    <row r="51707" spans="8:8" x14ac:dyDescent="0.3">
      <c r="H51707" t="str">
        <f t="shared" si="857"/>
        <v/>
      </c>
    </row>
    <row r="51708" spans="8:8" x14ac:dyDescent="0.3">
      <c r="H51708" t="str">
        <f t="shared" si="857"/>
        <v/>
      </c>
    </row>
    <row r="51709" spans="8:8" x14ac:dyDescent="0.3">
      <c r="H51709" t="str">
        <f t="shared" si="857"/>
        <v/>
      </c>
    </row>
    <row r="51710" spans="8:8" x14ac:dyDescent="0.3">
      <c r="H51710" t="str">
        <f t="shared" si="857"/>
        <v/>
      </c>
    </row>
    <row r="51711" spans="8:8" x14ac:dyDescent="0.3">
      <c r="H51711" t="str">
        <f t="shared" si="857"/>
        <v/>
      </c>
    </row>
    <row r="51712" spans="8:8" x14ac:dyDescent="0.3">
      <c r="H51712" t="str">
        <f t="shared" si="857"/>
        <v/>
      </c>
    </row>
    <row r="51713" spans="8:8" x14ac:dyDescent="0.3">
      <c r="H51713" t="str">
        <f t="shared" si="857"/>
        <v/>
      </c>
    </row>
    <row r="51714" spans="8:8" x14ac:dyDescent="0.3">
      <c r="H51714" t="str">
        <f t="shared" si="857"/>
        <v/>
      </c>
    </row>
    <row r="51715" spans="8:8" x14ac:dyDescent="0.3">
      <c r="H51715" t="str">
        <f t="shared" si="857"/>
        <v/>
      </c>
    </row>
    <row r="51716" spans="8:8" x14ac:dyDescent="0.3">
      <c r="H51716" t="str">
        <f t="shared" si="857"/>
        <v/>
      </c>
    </row>
    <row r="51717" spans="8:8" x14ac:dyDescent="0.3">
      <c r="H51717" t="str">
        <f t="shared" si="857"/>
        <v/>
      </c>
    </row>
    <row r="51718" spans="8:8" x14ac:dyDescent="0.3">
      <c r="H51718" t="str">
        <f t="shared" si="857"/>
        <v/>
      </c>
    </row>
    <row r="51719" spans="8:8" x14ac:dyDescent="0.3">
      <c r="H51719" t="str">
        <f t="shared" si="857"/>
        <v/>
      </c>
    </row>
    <row r="51720" spans="8:8" x14ac:dyDescent="0.3">
      <c r="H51720" t="str">
        <f t="shared" si="857"/>
        <v/>
      </c>
    </row>
    <row r="51721" spans="8:8" x14ac:dyDescent="0.3">
      <c r="H51721" t="str">
        <f t="shared" si="857"/>
        <v/>
      </c>
    </row>
    <row r="51722" spans="8:8" x14ac:dyDescent="0.3">
      <c r="H51722" t="str">
        <f t="shared" si="857"/>
        <v/>
      </c>
    </row>
    <row r="51723" spans="8:8" x14ac:dyDescent="0.3">
      <c r="H51723" t="str">
        <f t="shared" si="857"/>
        <v/>
      </c>
    </row>
    <row r="51724" spans="8:8" x14ac:dyDescent="0.3">
      <c r="H51724" t="str">
        <f t="shared" si="857"/>
        <v/>
      </c>
    </row>
    <row r="51725" spans="8:8" x14ac:dyDescent="0.3">
      <c r="H51725" t="str">
        <f t="shared" si="857"/>
        <v/>
      </c>
    </row>
    <row r="51726" spans="8:8" x14ac:dyDescent="0.3">
      <c r="H51726" t="str">
        <f t="shared" si="857"/>
        <v/>
      </c>
    </row>
    <row r="51727" spans="8:8" x14ac:dyDescent="0.3">
      <c r="H51727" t="str">
        <f t="shared" si="857"/>
        <v/>
      </c>
    </row>
    <row r="51728" spans="8:8" x14ac:dyDescent="0.3">
      <c r="H51728" t="str">
        <f t="shared" si="857"/>
        <v/>
      </c>
    </row>
    <row r="51729" spans="8:8" x14ac:dyDescent="0.3">
      <c r="H51729" t="str">
        <f t="shared" si="857"/>
        <v/>
      </c>
    </row>
    <row r="51730" spans="8:8" x14ac:dyDescent="0.3">
      <c r="H51730" t="str">
        <f t="shared" si="857"/>
        <v/>
      </c>
    </row>
    <row r="51731" spans="8:8" x14ac:dyDescent="0.3">
      <c r="H51731" t="str">
        <f t="shared" si="857"/>
        <v/>
      </c>
    </row>
    <row r="51732" spans="8:8" x14ac:dyDescent="0.3">
      <c r="H51732" t="str">
        <f t="shared" si="857"/>
        <v/>
      </c>
    </row>
    <row r="51733" spans="8:8" x14ac:dyDescent="0.3">
      <c r="H51733" t="str">
        <f t="shared" si="857"/>
        <v/>
      </c>
    </row>
    <row r="51734" spans="8:8" x14ac:dyDescent="0.3">
      <c r="H51734" t="str">
        <f t="shared" si="857"/>
        <v/>
      </c>
    </row>
    <row r="51735" spans="8:8" x14ac:dyDescent="0.3">
      <c r="H51735" t="str">
        <f t="shared" ref="H51735:H51798" si="858">IF(B51735="","",$C$12)</f>
        <v/>
      </c>
    </row>
    <row r="51736" spans="8:8" x14ac:dyDescent="0.3">
      <c r="H51736" t="str">
        <f t="shared" si="858"/>
        <v/>
      </c>
    </row>
    <row r="51737" spans="8:8" x14ac:dyDescent="0.3">
      <c r="H51737" t="str">
        <f t="shared" si="858"/>
        <v/>
      </c>
    </row>
    <row r="51738" spans="8:8" x14ac:dyDescent="0.3">
      <c r="H51738" t="str">
        <f t="shared" si="858"/>
        <v/>
      </c>
    </row>
    <row r="51739" spans="8:8" x14ac:dyDescent="0.3">
      <c r="H51739" t="str">
        <f t="shared" si="858"/>
        <v/>
      </c>
    </row>
    <row r="51740" spans="8:8" x14ac:dyDescent="0.3">
      <c r="H51740" t="str">
        <f t="shared" si="858"/>
        <v/>
      </c>
    </row>
    <row r="51741" spans="8:8" x14ac:dyDescent="0.3">
      <c r="H51741" t="str">
        <f t="shared" si="858"/>
        <v/>
      </c>
    </row>
    <row r="51742" spans="8:8" x14ac:dyDescent="0.3">
      <c r="H51742" t="str">
        <f t="shared" si="858"/>
        <v/>
      </c>
    </row>
    <row r="51743" spans="8:8" x14ac:dyDescent="0.3">
      <c r="H51743" t="str">
        <f t="shared" si="858"/>
        <v/>
      </c>
    </row>
    <row r="51744" spans="8:8" x14ac:dyDescent="0.3">
      <c r="H51744" t="str">
        <f t="shared" si="858"/>
        <v/>
      </c>
    </row>
    <row r="51745" spans="8:8" x14ac:dyDescent="0.3">
      <c r="H51745" t="str">
        <f t="shared" si="858"/>
        <v/>
      </c>
    </row>
    <row r="51746" spans="8:8" x14ac:dyDescent="0.3">
      <c r="H51746" t="str">
        <f t="shared" si="858"/>
        <v/>
      </c>
    </row>
    <row r="51747" spans="8:8" x14ac:dyDescent="0.3">
      <c r="H51747" t="str">
        <f t="shared" si="858"/>
        <v/>
      </c>
    </row>
    <row r="51748" spans="8:8" x14ac:dyDescent="0.3">
      <c r="H51748" t="str">
        <f t="shared" si="858"/>
        <v/>
      </c>
    </row>
    <row r="51749" spans="8:8" x14ac:dyDescent="0.3">
      <c r="H51749" t="str">
        <f t="shared" si="858"/>
        <v/>
      </c>
    </row>
    <row r="51750" spans="8:8" x14ac:dyDescent="0.3">
      <c r="H51750" t="str">
        <f t="shared" si="858"/>
        <v/>
      </c>
    </row>
    <row r="51751" spans="8:8" x14ac:dyDescent="0.3">
      <c r="H51751" t="str">
        <f t="shared" si="858"/>
        <v/>
      </c>
    </row>
    <row r="51752" spans="8:8" x14ac:dyDescent="0.3">
      <c r="H51752" t="str">
        <f t="shared" si="858"/>
        <v/>
      </c>
    </row>
    <row r="51753" spans="8:8" x14ac:dyDescent="0.3">
      <c r="H51753" t="str">
        <f t="shared" si="858"/>
        <v/>
      </c>
    </row>
    <row r="51754" spans="8:8" x14ac:dyDescent="0.3">
      <c r="H51754" t="str">
        <f t="shared" si="858"/>
        <v/>
      </c>
    </row>
    <row r="51755" spans="8:8" x14ac:dyDescent="0.3">
      <c r="H51755" t="str">
        <f t="shared" si="858"/>
        <v/>
      </c>
    </row>
    <row r="51756" spans="8:8" x14ac:dyDescent="0.3">
      <c r="H51756" t="str">
        <f t="shared" si="858"/>
        <v/>
      </c>
    </row>
    <row r="51757" spans="8:8" x14ac:dyDescent="0.3">
      <c r="H51757" t="str">
        <f t="shared" si="858"/>
        <v/>
      </c>
    </row>
    <row r="51758" spans="8:8" x14ac:dyDescent="0.3">
      <c r="H51758" t="str">
        <f t="shared" si="858"/>
        <v/>
      </c>
    </row>
    <row r="51759" spans="8:8" x14ac:dyDescent="0.3">
      <c r="H51759" t="str">
        <f t="shared" si="858"/>
        <v/>
      </c>
    </row>
    <row r="51760" spans="8:8" x14ac:dyDescent="0.3">
      <c r="H51760" t="str">
        <f t="shared" si="858"/>
        <v/>
      </c>
    </row>
    <row r="51761" spans="8:8" x14ac:dyDescent="0.3">
      <c r="H51761" t="str">
        <f t="shared" si="858"/>
        <v/>
      </c>
    </row>
    <row r="51762" spans="8:8" x14ac:dyDescent="0.3">
      <c r="H51762" t="str">
        <f t="shared" si="858"/>
        <v/>
      </c>
    </row>
    <row r="51763" spans="8:8" x14ac:dyDescent="0.3">
      <c r="H51763" t="str">
        <f t="shared" si="858"/>
        <v/>
      </c>
    </row>
    <row r="51764" spans="8:8" x14ac:dyDescent="0.3">
      <c r="H51764" t="str">
        <f t="shared" si="858"/>
        <v/>
      </c>
    </row>
    <row r="51765" spans="8:8" x14ac:dyDescent="0.3">
      <c r="H51765" t="str">
        <f t="shared" si="858"/>
        <v/>
      </c>
    </row>
    <row r="51766" spans="8:8" x14ac:dyDescent="0.3">
      <c r="H51766" t="str">
        <f t="shared" si="858"/>
        <v/>
      </c>
    </row>
    <row r="51767" spans="8:8" x14ac:dyDescent="0.3">
      <c r="H51767" t="str">
        <f t="shared" si="858"/>
        <v/>
      </c>
    </row>
    <row r="51768" spans="8:8" x14ac:dyDescent="0.3">
      <c r="H51768" t="str">
        <f t="shared" si="858"/>
        <v/>
      </c>
    </row>
    <row r="51769" spans="8:8" x14ac:dyDescent="0.3">
      <c r="H51769" t="str">
        <f t="shared" si="858"/>
        <v/>
      </c>
    </row>
    <row r="51770" spans="8:8" x14ac:dyDescent="0.3">
      <c r="H51770" t="str">
        <f t="shared" si="858"/>
        <v/>
      </c>
    </row>
    <row r="51771" spans="8:8" x14ac:dyDescent="0.3">
      <c r="H51771" t="str">
        <f t="shared" si="858"/>
        <v/>
      </c>
    </row>
    <row r="51772" spans="8:8" x14ac:dyDescent="0.3">
      <c r="H51772" t="str">
        <f t="shared" si="858"/>
        <v/>
      </c>
    </row>
    <row r="51773" spans="8:8" x14ac:dyDescent="0.3">
      <c r="H51773" t="str">
        <f t="shared" si="858"/>
        <v/>
      </c>
    </row>
    <row r="51774" spans="8:8" x14ac:dyDescent="0.3">
      <c r="H51774" t="str">
        <f t="shared" si="858"/>
        <v/>
      </c>
    </row>
    <row r="51775" spans="8:8" x14ac:dyDescent="0.3">
      <c r="H51775" t="str">
        <f t="shared" si="858"/>
        <v/>
      </c>
    </row>
    <row r="51776" spans="8:8" x14ac:dyDescent="0.3">
      <c r="H51776" t="str">
        <f t="shared" si="858"/>
        <v/>
      </c>
    </row>
    <row r="51777" spans="8:8" x14ac:dyDescent="0.3">
      <c r="H51777" t="str">
        <f t="shared" si="858"/>
        <v/>
      </c>
    </row>
    <row r="51778" spans="8:8" x14ac:dyDescent="0.3">
      <c r="H51778" t="str">
        <f t="shared" si="858"/>
        <v/>
      </c>
    </row>
    <row r="51779" spans="8:8" x14ac:dyDescent="0.3">
      <c r="H51779" t="str">
        <f t="shared" si="858"/>
        <v/>
      </c>
    </row>
    <row r="51780" spans="8:8" x14ac:dyDescent="0.3">
      <c r="H51780" t="str">
        <f t="shared" si="858"/>
        <v/>
      </c>
    </row>
    <row r="51781" spans="8:8" x14ac:dyDescent="0.3">
      <c r="H51781" t="str">
        <f t="shared" si="858"/>
        <v/>
      </c>
    </row>
    <row r="51782" spans="8:8" x14ac:dyDescent="0.3">
      <c r="H51782" t="str">
        <f t="shared" si="858"/>
        <v/>
      </c>
    </row>
    <row r="51783" spans="8:8" x14ac:dyDescent="0.3">
      <c r="H51783" t="str">
        <f t="shared" si="858"/>
        <v/>
      </c>
    </row>
    <row r="51784" spans="8:8" x14ac:dyDescent="0.3">
      <c r="H51784" t="str">
        <f t="shared" si="858"/>
        <v/>
      </c>
    </row>
    <row r="51785" spans="8:8" x14ac:dyDescent="0.3">
      <c r="H51785" t="str">
        <f t="shared" si="858"/>
        <v/>
      </c>
    </row>
    <row r="51786" spans="8:8" x14ac:dyDescent="0.3">
      <c r="H51786" t="str">
        <f t="shared" si="858"/>
        <v/>
      </c>
    </row>
    <row r="51787" spans="8:8" x14ac:dyDescent="0.3">
      <c r="H51787" t="str">
        <f t="shared" si="858"/>
        <v/>
      </c>
    </row>
    <row r="51788" spans="8:8" x14ac:dyDescent="0.3">
      <c r="H51788" t="str">
        <f t="shared" si="858"/>
        <v/>
      </c>
    </row>
    <row r="51789" spans="8:8" x14ac:dyDescent="0.3">
      <c r="H51789" t="str">
        <f t="shared" si="858"/>
        <v/>
      </c>
    </row>
    <row r="51790" spans="8:8" x14ac:dyDescent="0.3">
      <c r="H51790" t="str">
        <f t="shared" si="858"/>
        <v/>
      </c>
    </row>
    <row r="51791" spans="8:8" x14ac:dyDescent="0.3">
      <c r="H51791" t="str">
        <f t="shared" si="858"/>
        <v/>
      </c>
    </row>
    <row r="51792" spans="8:8" x14ac:dyDescent="0.3">
      <c r="H51792" t="str">
        <f t="shared" si="858"/>
        <v/>
      </c>
    </row>
    <row r="51793" spans="8:8" x14ac:dyDescent="0.3">
      <c r="H51793" t="str">
        <f t="shared" si="858"/>
        <v/>
      </c>
    </row>
    <row r="51794" spans="8:8" x14ac:dyDescent="0.3">
      <c r="H51794" t="str">
        <f t="shared" si="858"/>
        <v/>
      </c>
    </row>
    <row r="51795" spans="8:8" x14ac:dyDescent="0.3">
      <c r="H51795" t="str">
        <f t="shared" si="858"/>
        <v/>
      </c>
    </row>
    <row r="51796" spans="8:8" x14ac:dyDescent="0.3">
      <c r="H51796" t="str">
        <f t="shared" si="858"/>
        <v/>
      </c>
    </row>
    <row r="51797" spans="8:8" x14ac:dyDescent="0.3">
      <c r="H51797" t="str">
        <f t="shared" si="858"/>
        <v/>
      </c>
    </row>
    <row r="51798" spans="8:8" x14ac:dyDescent="0.3">
      <c r="H51798" t="str">
        <f t="shared" si="858"/>
        <v/>
      </c>
    </row>
    <row r="51799" spans="8:8" x14ac:dyDescent="0.3">
      <c r="H51799" t="str">
        <f t="shared" ref="H51799:H51862" si="859">IF(B51799="","",$C$12)</f>
        <v/>
      </c>
    </row>
    <row r="51800" spans="8:8" x14ac:dyDescent="0.3">
      <c r="H51800" t="str">
        <f t="shared" si="859"/>
        <v/>
      </c>
    </row>
    <row r="51801" spans="8:8" x14ac:dyDescent="0.3">
      <c r="H51801" t="str">
        <f t="shared" si="859"/>
        <v/>
      </c>
    </row>
    <row r="51802" spans="8:8" x14ac:dyDescent="0.3">
      <c r="H51802" t="str">
        <f t="shared" si="859"/>
        <v/>
      </c>
    </row>
    <row r="51803" spans="8:8" x14ac:dyDescent="0.3">
      <c r="H51803" t="str">
        <f t="shared" si="859"/>
        <v/>
      </c>
    </row>
    <row r="51804" spans="8:8" x14ac:dyDescent="0.3">
      <c r="H51804" t="str">
        <f t="shared" si="859"/>
        <v/>
      </c>
    </row>
    <row r="51805" spans="8:8" x14ac:dyDescent="0.3">
      <c r="H51805" t="str">
        <f t="shared" si="859"/>
        <v/>
      </c>
    </row>
    <row r="51806" spans="8:8" x14ac:dyDescent="0.3">
      <c r="H51806" t="str">
        <f t="shared" si="859"/>
        <v/>
      </c>
    </row>
    <row r="51807" spans="8:8" x14ac:dyDescent="0.3">
      <c r="H51807" t="str">
        <f t="shared" si="859"/>
        <v/>
      </c>
    </row>
    <row r="51808" spans="8:8" x14ac:dyDescent="0.3">
      <c r="H51808" t="str">
        <f t="shared" si="859"/>
        <v/>
      </c>
    </row>
    <row r="51809" spans="8:8" x14ac:dyDescent="0.3">
      <c r="H51809" t="str">
        <f t="shared" si="859"/>
        <v/>
      </c>
    </row>
    <row r="51810" spans="8:8" x14ac:dyDescent="0.3">
      <c r="H51810" t="str">
        <f t="shared" si="859"/>
        <v/>
      </c>
    </row>
    <row r="51811" spans="8:8" x14ac:dyDescent="0.3">
      <c r="H51811" t="str">
        <f t="shared" si="859"/>
        <v/>
      </c>
    </row>
    <row r="51812" spans="8:8" x14ac:dyDescent="0.3">
      <c r="H51812" t="str">
        <f t="shared" si="859"/>
        <v/>
      </c>
    </row>
    <row r="51813" spans="8:8" x14ac:dyDescent="0.3">
      <c r="H51813" t="str">
        <f t="shared" si="859"/>
        <v/>
      </c>
    </row>
    <row r="51814" spans="8:8" x14ac:dyDescent="0.3">
      <c r="H51814" t="str">
        <f t="shared" si="859"/>
        <v/>
      </c>
    </row>
    <row r="51815" spans="8:8" x14ac:dyDescent="0.3">
      <c r="H51815" t="str">
        <f t="shared" si="859"/>
        <v/>
      </c>
    </row>
    <row r="51816" spans="8:8" x14ac:dyDescent="0.3">
      <c r="H51816" t="str">
        <f t="shared" si="859"/>
        <v/>
      </c>
    </row>
    <row r="51817" spans="8:8" x14ac:dyDescent="0.3">
      <c r="H51817" t="str">
        <f t="shared" si="859"/>
        <v/>
      </c>
    </row>
    <row r="51818" spans="8:8" x14ac:dyDescent="0.3">
      <c r="H51818" t="str">
        <f t="shared" si="859"/>
        <v/>
      </c>
    </row>
    <row r="51819" spans="8:8" x14ac:dyDescent="0.3">
      <c r="H51819" t="str">
        <f t="shared" si="859"/>
        <v/>
      </c>
    </row>
    <row r="51820" spans="8:8" x14ac:dyDescent="0.3">
      <c r="H51820" t="str">
        <f t="shared" si="859"/>
        <v/>
      </c>
    </row>
    <row r="51821" spans="8:8" x14ac:dyDescent="0.3">
      <c r="H51821" t="str">
        <f t="shared" si="859"/>
        <v/>
      </c>
    </row>
    <row r="51822" spans="8:8" x14ac:dyDescent="0.3">
      <c r="H51822" t="str">
        <f t="shared" si="859"/>
        <v/>
      </c>
    </row>
    <row r="51823" spans="8:8" x14ac:dyDescent="0.3">
      <c r="H51823" t="str">
        <f t="shared" si="859"/>
        <v/>
      </c>
    </row>
    <row r="51824" spans="8:8" x14ac:dyDescent="0.3">
      <c r="H51824" t="str">
        <f t="shared" si="859"/>
        <v/>
      </c>
    </row>
    <row r="51825" spans="8:8" x14ac:dyDescent="0.3">
      <c r="H51825" t="str">
        <f t="shared" si="859"/>
        <v/>
      </c>
    </row>
    <row r="51826" spans="8:8" x14ac:dyDescent="0.3">
      <c r="H51826" t="str">
        <f t="shared" si="859"/>
        <v/>
      </c>
    </row>
    <row r="51827" spans="8:8" x14ac:dyDescent="0.3">
      <c r="H51827" t="str">
        <f t="shared" si="859"/>
        <v/>
      </c>
    </row>
    <row r="51828" spans="8:8" x14ac:dyDescent="0.3">
      <c r="H51828" t="str">
        <f t="shared" si="859"/>
        <v/>
      </c>
    </row>
    <row r="51829" spans="8:8" x14ac:dyDescent="0.3">
      <c r="H51829" t="str">
        <f t="shared" si="859"/>
        <v/>
      </c>
    </row>
    <row r="51830" spans="8:8" x14ac:dyDescent="0.3">
      <c r="H51830" t="str">
        <f t="shared" si="859"/>
        <v/>
      </c>
    </row>
    <row r="51831" spans="8:8" x14ac:dyDescent="0.3">
      <c r="H51831" t="str">
        <f t="shared" si="859"/>
        <v/>
      </c>
    </row>
    <row r="51832" spans="8:8" x14ac:dyDescent="0.3">
      <c r="H51832" t="str">
        <f t="shared" si="859"/>
        <v/>
      </c>
    </row>
    <row r="51833" spans="8:8" x14ac:dyDescent="0.3">
      <c r="H51833" t="str">
        <f t="shared" si="859"/>
        <v/>
      </c>
    </row>
    <row r="51834" spans="8:8" x14ac:dyDescent="0.3">
      <c r="H51834" t="str">
        <f t="shared" si="859"/>
        <v/>
      </c>
    </row>
    <row r="51835" spans="8:8" x14ac:dyDescent="0.3">
      <c r="H51835" t="str">
        <f t="shared" si="859"/>
        <v/>
      </c>
    </row>
    <row r="51836" spans="8:8" x14ac:dyDescent="0.3">
      <c r="H51836" t="str">
        <f t="shared" si="859"/>
        <v/>
      </c>
    </row>
    <row r="51837" spans="8:8" x14ac:dyDescent="0.3">
      <c r="H51837" t="str">
        <f t="shared" si="859"/>
        <v/>
      </c>
    </row>
    <row r="51838" spans="8:8" x14ac:dyDescent="0.3">
      <c r="H51838" t="str">
        <f t="shared" si="859"/>
        <v/>
      </c>
    </row>
    <row r="51839" spans="8:8" x14ac:dyDescent="0.3">
      <c r="H51839" t="str">
        <f t="shared" si="859"/>
        <v/>
      </c>
    </row>
    <row r="51840" spans="8:8" x14ac:dyDescent="0.3">
      <c r="H51840" t="str">
        <f t="shared" si="859"/>
        <v/>
      </c>
    </row>
    <row r="51841" spans="8:8" x14ac:dyDescent="0.3">
      <c r="H51841" t="str">
        <f t="shared" si="859"/>
        <v/>
      </c>
    </row>
    <row r="51842" spans="8:8" x14ac:dyDescent="0.3">
      <c r="H51842" t="str">
        <f t="shared" si="859"/>
        <v/>
      </c>
    </row>
    <row r="51843" spans="8:8" x14ac:dyDescent="0.3">
      <c r="H51843" t="str">
        <f t="shared" si="859"/>
        <v/>
      </c>
    </row>
    <row r="51844" spans="8:8" x14ac:dyDescent="0.3">
      <c r="H51844" t="str">
        <f t="shared" si="859"/>
        <v/>
      </c>
    </row>
    <row r="51845" spans="8:8" x14ac:dyDescent="0.3">
      <c r="H51845" t="str">
        <f t="shared" si="859"/>
        <v/>
      </c>
    </row>
    <row r="51846" spans="8:8" x14ac:dyDescent="0.3">
      <c r="H51846" t="str">
        <f t="shared" si="859"/>
        <v/>
      </c>
    </row>
    <row r="51847" spans="8:8" x14ac:dyDescent="0.3">
      <c r="H51847" t="str">
        <f t="shared" si="859"/>
        <v/>
      </c>
    </row>
    <row r="51848" spans="8:8" x14ac:dyDescent="0.3">
      <c r="H51848" t="str">
        <f t="shared" si="859"/>
        <v/>
      </c>
    </row>
    <row r="51849" spans="8:8" x14ac:dyDescent="0.3">
      <c r="H51849" t="str">
        <f t="shared" si="859"/>
        <v/>
      </c>
    </row>
    <row r="51850" spans="8:8" x14ac:dyDescent="0.3">
      <c r="H51850" t="str">
        <f t="shared" si="859"/>
        <v/>
      </c>
    </row>
    <row r="51851" spans="8:8" x14ac:dyDescent="0.3">
      <c r="H51851" t="str">
        <f t="shared" si="859"/>
        <v/>
      </c>
    </row>
    <row r="51852" spans="8:8" x14ac:dyDescent="0.3">
      <c r="H51852" t="str">
        <f t="shared" si="859"/>
        <v/>
      </c>
    </row>
    <row r="51853" spans="8:8" x14ac:dyDescent="0.3">
      <c r="H51853" t="str">
        <f t="shared" si="859"/>
        <v/>
      </c>
    </row>
    <row r="51854" spans="8:8" x14ac:dyDescent="0.3">
      <c r="H51854" t="str">
        <f t="shared" si="859"/>
        <v/>
      </c>
    </row>
    <row r="51855" spans="8:8" x14ac:dyDescent="0.3">
      <c r="H51855" t="str">
        <f t="shared" si="859"/>
        <v/>
      </c>
    </row>
    <row r="51856" spans="8:8" x14ac:dyDescent="0.3">
      <c r="H51856" t="str">
        <f t="shared" si="859"/>
        <v/>
      </c>
    </row>
    <row r="51857" spans="8:8" x14ac:dyDescent="0.3">
      <c r="H51857" t="str">
        <f t="shared" si="859"/>
        <v/>
      </c>
    </row>
    <row r="51858" spans="8:8" x14ac:dyDescent="0.3">
      <c r="H51858" t="str">
        <f t="shared" si="859"/>
        <v/>
      </c>
    </row>
    <row r="51859" spans="8:8" x14ac:dyDescent="0.3">
      <c r="H51859" t="str">
        <f t="shared" si="859"/>
        <v/>
      </c>
    </row>
    <row r="51860" spans="8:8" x14ac:dyDescent="0.3">
      <c r="H51860" t="str">
        <f t="shared" si="859"/>
        <v/>
      </c>
    </row>
    <row r="51861" spans="8:8" x14ac:dyDescent="0.3">
      <c r="H51861" t="str">
        <f t="shared" si="859"/>
        <v/>
      </c>
    </row>
    <row r="51862" spans="8:8" x14ac:dyDescent="0.3">
      <c r="H51862" t="str">
        <f t="shared" si="859"/>
        <v/>
      </c>
    </row>
    <row r="51863" spans="8:8" x14ac:dyDescent="0.3">
      <c r="H51863" t="str">
        <f t="shared" ref="H51863:H51926" si="860">IF(B51863="","",$C$12)</f>
        <v/>
      </c>
    </row>
    <row r="51864" spans="8:8" x14ac:dyDescent="0.3">
      <c r="H51864" t="str">
        <f t="shared" si="860"/>
        <v/>
      </c>
    </row>
    <row r="51865" spans="8:8" x14ac:dyDescent="0.3">
      <c r="H51865" t="str">
        <f t="shared" si="860"/>
        <v/>
      </c>
    </row>
    <row r="51866" spans="8:8" x14ac:dyDescent="0.3">
      <c r="H51866" t="str">
        <f t="shared" si="860"/>
        <v/>
      </c>
    </row>
    <row r="51867" spans="8:8" x14ac:dyDescent="0.3">
      <c r="H51867" t="str">
        <f t="shared" si="860"/>
        <v/>
      </c>
    </row>
    <row r="51868" spans="8:8" x14ac:dyDescent="0.3">
      <c r="H51868" t="str">
        <f t="shared" si="860"/>
        <v/>
      </c>
    </row>
    <row r="51869" spans="8:8" x14ac:dyDescent="0.3">
      <c r="H51869" t="str">
        <f t="shared" si="860"/>
        <v/>
      </c>
    </row>
    <row r="51870" spans="8:8" x14ac:dyDescent="0.3">
      <c r="H51870" t="str">
        <f t="shared" si="860"/>
        <v/>
      </c>
    </row>
    <row r="51871" spans="8:8" x14ac:dyDescent="0.3">
      <c r="H51871" t="str">
        <f t="shared" si="860"/>
        <v/>
      </c>
    </row>
    <row r="51872" spans="8:8" x14ac:dyDescent="0.3">
      <c r="H51872" t="str">
        <f t="shared" si="860"/>
        <v/>
      </c>
    </row>
    <row r="51873" spans="8:8" x14ac:dyDescent="0.3">
      <c r="H51873" t="str">
        <f t="shared" si="860"/>
        <v/>
      </c>
    </row>
    <row r="51874" spans="8:8" x14ac:dyDescent="0.3">
      <c r="H51874" t="str">
        <f t="shared" si="860"/>
        <v/>
      </c>
    </row>
    <row r="51875" spans="8:8" x14ac:dyDescent="0.3">
      <c r="H51875" t="str">
        <f t="shared" si="860"/>
        <v/>
      </c>
    </row>
    <row r="51876" spans="8:8" x14ac:dyDescent="0.3">
      <c r="H51876" t="str">
        <f t="shared" si="860"/>
        <v/>
      </c>
    </row>
    <row r="51877" spans="8:8" x14ac:dyDescent="0.3">
      <c r="H51877" t="str">
        <f t="shared" si="860"/>
        <v/>
      </c>
    </row>
    <row r="51878" spans="8:8" x14ac:dyDescent="0.3">
      <c r="H51878" t="str">
        <f t="shared" si="860"/>
        <v/>
      </c>
    </row>
    <row r="51879" spans="8:8" x14ac:dyDescent="0.3">
      <c r="H51879" t="str">
        <f t="shared" si="860"/>
        <v/>
      </c>
    </row>
    <row r="51880" spans="8:8" x14ac:dyDescent="0.3">
      <c r="H51880" t="str">
        <f t="shared" si="860"/>
        <v/>
      </c>
    </row>
    <row r="51881" spans="8:8" x14ac:dyDescent="0.3">
      <c r="H51881" t="str">
        <f t="shared" si="860"/>
        <v/>
      </c>
    </row>
    <row r="51882" spans="8:8" x14ac:dyDescent="0.3">
      <c r="H51882" t="str">
        <f t="shared" si="860"/>
        <v/>
      </c>
    </row>
    <row r="51883" spans="8:8" x14ac:dyDescent="0.3">
      <c r="H51883" t="str">
        <f t="shared" si="860"/>
        <v/>
      </c>
    </row>
    <row r="51884" spans="8:8" x14ac:dyDescent="0.3">
      <c r="H51884" t="str">
        <f t="shared" si="860"/>
        <v/>
      </c>
    </row>
    <row r="51885" spans="8:8" x14ac:dyDescent="0.3">
      <c r="H51885" t="str">
        <f t="shared" si="860"/>
        <v/>
      </c>
    </row>
    <row r="51886" spans="8:8" x14ac:dyDescent="0.3">
      <c r="H51886" t="str">
        <f t="shared" si="860"/>
        <v/>
      </c>
    </row>
    <row r="51887" spans="8:8" x14ac:dyDescent="0.3">
      <c r="H51887" t="str">
        <f t="shared" si="860"/>
        <v/>
      </c>
    </row>
    <row r="51888" spans="8:8" x14ac:dyDescent="0.3">
      <c r="H51888" t="str">
        <f t="shared" si="860"/>
        <v/>
      </c>
    </row>
    <row r="51889" spans="8:8" x14ac:dyDescent="0.3">
      <c r="H51889" t="str">
        <f t="shared" si="860"/>
        <v/>
      </c>
    </row>
    <row r="51890" spans="8:8" x14ac:dyDescent="0.3">
      <c r="H51890" t="str">
        <f t="shared" si="860"/>
        <v/>
      </c>
    </row>
    <row r="51891" spans="8:8" x14ac:dyDescent="0.3">
      <c r="H51891" t="str">
        <f t="shared" si="860"/>
        <v/>
      </c>
    </row>
    <row r="51892" spans="8:8" x14ac:dyDescent="0.3">
      <c r="H51892" t="str">
        <f t="shared" si="860"/>
        <v/>
      </c>
    </row>
    <row r="51893" spans="8:8" x14ac:dyDescent="0.3">
      <c r="H51893" t="str">
        <f t="shared" si="860"/>
        <v/>
      </c>
    </row>
    <row r="51894" spans="8:8" x14ac:dyDescent="0.3">
      <c r="H51894" t="str">
        <f t="shared" si="860"/>
        <v/>
      </c>
    </row>
    <row r="51895" spans="8:8" x14ac:dyDescent="0.3">
      <c r="H51895" t="str">
        <f t="shared" si="860"/>
        <v/>
      </c>
    </row>
    <row r="51896" spans="8:8" x14ac:dyDescent="0.3">
      <c r="H51896" t="str">
        <f t="shared" si="860"/>
        <v/>
      </c>
    </row>
    <row r="51897" spans="8:8" x14ac:dyDescent="0.3">
      <c r="H51897" t="str">
        <f t="shared" si="860"/>
        <v/>
      </c>
    </row>
    <row r="51898" spans="8:8" x14ac:dyDescent="0.3">
      <c r="H51898" t="str">
        <f t="shared" si="860"/>
        <v/>
      </c>
    </row>
    <row r="51899" spans="8:8" x14ac:dyDescent="0.3">
      <c r="H51899" t="str">
        <f t="shared" si="860"/>
        <v/>
      </c>
    </row>
    <row r="51900" spans="8:8" x14ac:dyDescent="0.3">
      <c r="H51900" t="str">
        <f t="shared" si="860"/>
        <v/>
      </c>
    </row>
    <row r="51901" spans="8:8" x14ac:dyDescent="0.3">
      <c r="H51901" t="str">
        <f t="shared" si="860"/>
        <v/>
      </c>
    </row>
    <row r="51902" spans="8:8" x14ac:dyDescent="0.3">
      <c r="H51902" t="str">
        <f t="shared" si="860"/>
        <v/>
      </c>
    </row>
    <row r="51903" spans="8:8" x14ac:dyDescent="0.3">
      <c r="H51903" t="str">
        <f t="shared" si="860"/>
        <v/>
      </c>
    </row>
    <row r="51904" spans="8:8" x14ac:dyDescent="0.3">
      <c r="H51904" t="str">
        <f t="shared" si="860"/>
        <v/>
      </c>
    </row>
    <row r="51905" spans="8:8" x14ac:dyDescent="0.3">
      <c r="H51905" t="str">
        <f t="shared" si="860"/>
        <v/>
      </c>
    </row>
    <row r="51906" spans="8:8" x14ac:dyDescent="0.3">
      <c r="H51906" t="str">
        <f t="shared" si="860"/>
        <v/>
      </c>
    </row>
    <row r="51907" spans="8:8" x14ac:dyDescent="0.3">
      <c r="H51907" t="str">
        <f t="shared" si="860"/>
        <v/>
      </c>
    </row>
    <row r="51908" spans="8:8" x14ac:dyDescent="0.3">
      <c r="H51908" t="str">
        <f t="shared" si="860"/>
        <v/>
      </c>
    </row>
    <row r="51909" spans="8:8" x14ac:dyDescent="0.3">
      <c r="H51909" t="str">
        <f t="shared" si="860"/>
        <v/>
      </c>
    </row>
    <row r="51910" spans="8:8" x14ac:dyDescent="0.3">
      <c r="H51910" t="str">
        <f t="shared" si="860"/>
        <v/>
      </c>
    </row>
    <row r="51911" spans="8:8" x14ac:dyDescent="0.3">
      <c r="H51911" t="str">
        <f t="shared" si="860"/>
        <v/>
      </c>
    </row>
    <row r="51912" spans="8:8" x14ac:dyDescent="0.3">
      <c r="H51912" t="str">
        <f t="shared" si="860"/>
        <v/>
      </c>
    </row>
    <row r="51913" spans="8:8" x14ac:dyDescent="0.3">
      <c r="H51913" t="str">
        <f t="shared" si="860"/>
        <v/>
      </c>
    </row>
    <row r="51914" spans="8:8" x14ac:dyDescent="0.3">
      <c r="H51914" t="str">
        <f t="shared" si="860"/>
        <v/>
      </c>
    </row>
    <row r="51915" spans="8:8" x14ac:dyDescent="0.3">
      <c r="H51915" t="str">
        <f t="shared" si="860"/>
        <v/>
      </c>
    </row>
    <row r="51916" spans="8:8" x14ac:dyDescent="0.3">
      <c r="H51916" t="str">
        <f t="shared" si="860"/>
        <v/>
      </c>
    </row>
    <row r="51917" spans="8:8" x14ac:dyDescent="0.3">
      <c r="H51917" t="str">
        <f t="shared" si="860"/>
        <v/>
      </c>
    </row>
    <row r="51918" spans="8:8" x14ac:dyDescent="0.3">
      <c r="H51918" t="str">
        <f t="shared" si="860"/>
        <v/>
      </c>
    </row>
    <row r="51919" spans="8:8" x14ac:dyDescent="0.3">
      <c r="H51919" t="str">
        <f t="shared" si="860"/>
        <v/>
      </c>
    </row>
    <row r="51920" spans="8:8" x14ac:dyDescent="0.3">
      <c r="H51920" t="str">
        <f t="shared" si="860"/>
        <v/>
      </c>
    </row>
    <row r="51921" spans="8:8" x14ac:dyDescent="0.3">
      <c r="H51921" t="str">
        <f t="shared" si="860"/>
        <v/>
      </c>
    </row>
    <row r="51922" spans="8:8" x14ac:dyDescent="0.3">
      <c r="H51922" t="str">
        <f t="shared" si="860"/>
        <v/>
      </c>
    </row>
    <row r="51923" spans="8:8" x14ac:dyDescent="0.3">
      <c r="H51923" t="str">
        <f t="shared" si="860"/>
        <v/>
      </c>
    </row>
    <row r="51924" spans="8:8" x14ac:dyDescent="0.3">
      <c r="H51924" t="str">
        <f t="shared" si="860"/>
        <v/>
      </c>
    </row>
    <row r="51925" spans="8:8" x14ac:dyDescent="0.3">
      <c r="H51925" t="str">
        <f t="shared" si="860"/>
        <v/>
      </c>
    </row>
    <row r="51926" spans="8:8" x14ac:dyDescent="0.3">
      <c r="H51926" t="str">
        <f t="shared" si="860"/>
        <v/>
      </c>
    </row>
    <row r="51927" spans="8:8" x14ac:dyDescent="0.3">
      <c r="H51927" t="str">
        <f t="shared" ref="H51927:H51990" si="861">IF(B51927="","",$C$12)</f>
        <v/>
      </c>
    </row>
    <row r="51928" spans="8:8" x14ac:dyDescent="0.3">
      <c r="H51928" t="str">
        <f t="shared" si="861"/>
        <v/>
      </c>
    </row>
    <row r="51929" spans="8:8" x14ac:dyDescent="0.3">
      <c r="H51929" t="str">
        <f t="shared" si="861"/>
        <v/>
      </c>
    </row>
    <row r="51930" spans="8:8" x14ac:dyDescent="0.3">
      <c r="H51930" t="str">
        <f t="shared" si="861"/>
        <v/>
      </c>
    </row>
    <row r="51931" spans="8:8" x14ac:dyDescent="0.3">
      <c r="H51931" t="str">
        <f t="shared" si="861"/>
        <v/>
      </c>
    </row>
    <row r="51932" spans="8:8" x14ac:dyDescent="0.3">
      <c r="H51932" t="str">
        <f t="shared" si="861"/>
        <v/>
      </c>
    </row>
    <row r="51933" spans="8:8" x14ac:dyDescent="0.3">
      <c r="H51933" t="str">
        <f t="shared" si="861"/>
        <v/>
      </c>
    </row>
    <row r="51934" spans="8:8" x14ac:dyDescent="0.3">
      <c r="H51934" t="str">
        <f t="shared" si="861"/>
        <v/>
      </c>
    </row>
    <row r="51935" spans="8:8" x14ac:dyDescent="0.3">
      <c r="H51935" t="str">
        <f t="shared" si="861"/>
        <v/>
      </c>
    </row>
    <row r="51936" spans="8:8" x14ac:dyDescent="0.3">
      <c r="H51936" t="str">
        <f t="shared" si="861"/>
        <v/>
      </c>
    </row>
    <row r="51937" spans="8:8" x14ac:dyDescent="0.3">
      <c r="H51937" t="str">
        <f t="shared" si="861"/>
        <v/>
      </c>
    </row>
    <row r="51938" spans="8:8" x14ac:dyDescent="0.3">
      <c r="H51938" t="str">
        <f t="shared" si="861"/>
        <v/>
      </c>
    </row>
    <row r="51939" spans="8:8" x14ac:dyDescent="0.3">
      <c r="H51939" t="str">
        <f t="shared" si="861"/>
        <v/>
      </c>
    </row>
    <row r="51940" spans="8:8" x14ac:dyDescent="0.3">
      <c r="H51940" t="str">
        <f t="shared" si="861"/>
        <v/>
      </c>
    </row>
    <row r="51941" spans="8:8" x14ac:dyDescent="0.3">
      <c r="H51941" t="str">
        <f t="shared" si="861"/>
        <v/>
      </c>
    </row>
    <row r="51942" spans="8:8" x14ac:dyDescent="0.3">
      <c r="H51942" t="str">
        <f t="shared" si="861"/>
        <v/>
      </c>
    </row>
    <row r="51943" spans="8:8" x14ac:dyDescent="0.3">
      <c r="H51943" t="str">
        <f t="shared" si="861"/>
        <v/>
      </c>
    </row>
    <row r="51944" spans="8:8" x14ac:dyDescent="0.3">
      <c r="H51944" t="str">
        <f t="shared" si="861"/>
        <v/>
      </c>
    </row>
    <row r="51945" spans="8:8" x14ac:dyDescent="0.3">
      <c r="H51945" t="str">
        <f t="shared" si="861"/>
        <v/>
      </c>
    </row>
    <row r="51946" spans="8:8" x14ac:dyDescent="0.3">
      <c r="H51946" t="str">
        <f t="shared" si="861"/>
        <v/>
      </c>
    </row>
    <row r="51947" spans="8:8" x14ac:dyDescent="0.3">
      <c r="H51947" t="str">
        <f t="shared" si="861"/>
        <v/>
      </c>
    </row>
    <row r="51948" spans="8:8" x14ac:dyDescent="0.3">
      <c r="H51948" t="str">
        <f t="shared" si="861"/>
        <v/>
      </c>
    </row>
    <row r="51949" spans="8:8" x14ac:dyDescent="0.3">
      <c r="H51949" t="str">
        <f t="shared" si="861"/>
        <v/>
      </c>
    </row>
    <row r="51950" spans="8:8" x14ac:dyDescent="0.3">
      <c r="H51950" t="str">
        <f t="shared" si="861"/>
        <v/>
      </c>
    </row>
    <row r="51951" spans="8:8" x14ac:dyDescent="0.3">
      <c r="H51951" t="str">
        <f t="shared" si="861"/>
        <v/>
      </c>
    </row>
    <row r="51952" spans="8:8" x14ac:dyDescent="0.3">
      <c r="H51952" t="str">
        <f t="shared" si="861"/>
        <v/>
      </c>
    </row>
    <row r="51953" spans="8:8" x14ac:dyDescent="0.3">
      <c r="H51953" t="str">
        <f t="shared" si="861"/>
        <v/>
      </c>
    </row>
    <row r="51954" spans="8:8" x14ac:dyDescent="0.3">
      <c r="H51954" t="str">
        <f t="shared" si="861"/>
        <v/>
      </c>
    </row>
    <row r="51955" spans="8:8" x14ac:dyDescent="0.3">
      <c r="H51955" t="str">
        <f t="shared" si="861"/>
        <v/>
      </c>
    </row>
    <row r="51956" spans="8:8" x14ac:dyDescent="0.3">
      <c r="H51956" t="str">
        <f t="shared" si="861"/>
        <v/>
      </c>
    </row>
    <row r="51957" spans="8:8" x14ac:dyDescent="0.3">
      <c r="H51957" t="str">
        <f t="shared" si="861"/>
        <v/>
      </c>
    </row>
    <row r="51958" spans="8:8" x14ac:dyDescent="0.3">
      <c r="H51958" t="str">
        <f t="shared" si="861"/>
        <v/>
      </c>
    </row>
    <row r="51959" spans="8:8" x14ac:dyDescent="0.3">
      <c r="H51959" t="str">
        <f t="shared" si="861"/>
        <v/>
      </c>
    </row>
    <row r="51960" spans="8:8" x14ac:dyDescent="0.3">
      <c r="H51960" t="str">
        <f t="shared" si="861"/>
        <v/>
      </c>
    </row>
    <row r="51961" spans="8:8" x14ac:dyDescent="0.3">
      <c r="H51961" t="str">
        <f t="shared" si="861"/>
        <v/>
      </c>
    </row>
    <row r="51962" spans="8:8" x14ac:dyDescent="0.3">
      <c r="H51962" t="str">
        <f t="shared" si="861"/>
        <v/>
      </c>
    </row>
    <row r="51963" spans="8:8" x14ac:dyDescent="0.3">
      <c r="H51963" t="str">
        <f t="shared" si="861"/>
        <v/>
      </c>
    </row>
    <row r="51964" spans="8:8" x14ac:dyDescent="0.3">
      <c r="H51964" t="str">
        <f t="shared" si="861"/>
        <v/>
      </c>
    </row>
    <row r="51965" spans="8:8" x14ac:dyDescent="0.3">
      <c r="H51965" t="str">
        <f t="shared" si="861"/>
        <v/>
      </c>
    </row>
    <row r="51966" spans="8:8" x14ac:dyDescent="0.3">
      <c r="H51966" t="str">
        <f t="shared" si="861"/>
        <v/>
      </c>
    </row>
    <row r="51967" spans="8:8" x14ac:dyDescent="0.3">
      <c r="H51967" t="str">
        <f t="shared" si="861"/>
        <v/>
      </c>
    </row>
    <row r="51968" spans="8:8" x14ac:dyDescent="0.3">
      <c r="H51968" t="str">
        <f t="shared" si="861"/>
        <v/>
      </c>
    </row>
    <row r="51969" spans="8:8" x14ac:dyDescent="0.3">
      <c r="H51969" t="str">
        <f t="shared" si="861"/>
        <v/>
      </c>
    </row>
    <row r="51970" spans="8:8" x14ac:dyDescent="0.3">
      <c r="H51970" t="str">
        <f t="shared" si="861"/>
        <v/>
      </c>
    </row>
    <row r="51971" spans="8:8" x14ac:dyDescent="0.3">
      <c r="H51971" t="str">
        <f t="shared" si="861"/>
        <v/>
      </c>
    </row>
    <row r="51972" spans="8:8" x14ac:dyDescent="0.3">
      <c r="H51972" t="str">
        <f t="shared" si="861"/>
        <v/>
      </c>
    </row>
    <row r="51973" spans="8:8" x14ac:dyDescent="0.3">
      <c r="H51973" t="str">
        <f t="shared" si="861"/>
        <v/>
      </c>
    </row>
    <row r="51974" spans="8:8" x14ac:dyDescent="0.3">
      <c r="H51974" t="str">
        <f t="shared" si="861"/>
        <v/>
      </c>
    </row>
    <row r="51975" spans="8:8" x14ac:dyDescent="0.3">
      <c r="H51975" t="str">
        <f t="shared" si="861"/>
        <v/>
      </c>
    </row>
    <row r="51976" spans="8:8" x14ac:dyDescent="0.3">
      <c r="H51976" t="str">
        <f t="shared" si="861"/>
        <v/>
      </c>
    </row>
    <row r="51977" spans="8:8" x14ac:dyDescent="0.3">
      <c r="H51977" t="str">
        <f t="shared" si="861"/>
        <v/>
      </c>
    </row>
    <row r="51978" spans="8:8" x14ac:dyDescent="0.3">
      <c r="H51978" t="str">
        <f t="shared" si="861"/>
        <v/>
      </c>
    </row>
    <row r="51979" spans="8:8" x14ac:dyDescent="0.3">
      <c r="H51979" t="str">
        <f t="shared" si="861"/>
        <v/>
      </c>
    </row>
    <row r="51980" spans="8:8" x14ac:dyDescent="0.3">
      <c r="H51980" t="str">
        <f t="shared" si="861"/>
        <v/>
      </c>
    </row>
    <row r="51981" spans="8:8" x14ac:dyDescent="0.3">
      <c r="H51981" t="str">
        <f t="shared" si="861"/>
        <v/>
      </c>
    </row>
    <row r="51982" spans="8:8" x14ac:dyDescent="0.3">
      <c r="H51982" t="str">
        <f t="shared" si="861"/>
        <v/>
      </c>
    </row>
    <row r="51983" spans="8:8" x14ac:dyDescent="0.3">
      <c r="H51983" t="str">
        <f t="shared" si="861"/>
        <v/>
      </c>
    </row>
    <row r="51984" spans="8:8" x14ac:dyDescent="0.3">
      <c r="H51984" t="str">
        <f t="shared" si="861"/>
        <v/>
      </c>
    </row>
    <row r="51985" spans="8:8" x14ac:dyDescent="0.3">
      <c r="H51985" t="str">
        <f t="shared" si="861"/>
        <v/>
      </c>
    </row>
    <row r="51986" spans="8:8" x14ac:dyDescent="0.3">
      <c r="H51986" t="str">
        <f t="shared" si="861"/>
        <v/>
      </c>
    </row>
    <row r="51987" spans="8:8" x14ac:dyDescent="0.3">
      <c r="H51987" t="str">
        <f t="shared" si="861"/>
        <v/>
      </c>
    </row>
    <row r="51988" spans="8:8" x14ac:dyDescent="0.3">
      <c r="H51988" t="str">
        <f t="shared" si="861"/>
        <v/>
      </c>
    </row>
    <row r="51989" spans="8:8" x14ac:dyDescent="0.3">
      <c r="H51989" t="str">
        <f t="shared" si="861"/>
        <v/>
      </c>
    </row>
    <row r="51990" spans="8:8" x14ac:dyDescent="0.3">
      <c r="H51990" t="str">
        <f t="shared" si="861"/>
        <v/>
      </c>
    </row>
    <row r="51991" spans="8:8" x14ac:dyDescent="0.3">
      <c r="H51991" t="str">
        <f t="shared" ref="H51991:H52054" si="862">IF(B51991="","",$C$12)</f>
        <v/>
      </c>
    </row>
    <row r="51992" spans="8:8" x14ac:dyDescent="0.3">
      <c r="H51992" t="str">
        <f t="shared" si="862"/>
        <v/>
      </c>
    </row>
    <row r="51993" spans="8:8" x14ac:dyDescent="0.3">
      <c r="H51993" t="str">
        <f t="shared" si="862"/>
        <v/>
      </c>
    </row>
    <row r="51994" spans="8:8" x14ac:dyDescent="0.3">
      <c r="H51994" t="str">
        <f t="shared" si="862"/>
        <v/>
      </c>
    </row>
    <row r="51995" spans="8:8" x14ac:dyDescent="0.3">
      <c r="H51995" t="str">
        <f t="shared" si="862"/>
        <v/>
      </c>
    </row>
    <row r="51996" spans="8:8" x14ac:dyDescent="0.3">
      <c r="H51996" t="str">
        <f t="shared" si="862"/>
        <v/>
      </c>
    </row>
    <row r="51997" spans="8:8" x14ac:dyDescent="0.3">
      <c r="H51997" t="str">
        <f t="shared" si="862"/>
        <v/>
      </c>
    </row>
    <row r="51998" spans="8:8" x14ac:dyDescent="0.3">
      <c r="H51998" t="str">
        <f t="shared" si="862"/>
        <v/>
      </c>
    </row>
    <row r="51999" spans="8:8" x14ac:dyDescent="0.3">
      <c r="H51999" t="str">
        <f t="shared" si="862"/>
        <v/>
      </c>
    </row>
    <row r="52000" spans="8:8" x14ac:dyDescent="0.3">
      <c r="H52000" t="str">
        <f t="shared" si="862"/>
        <v/>
      </c>
    </row>
    <row r="52001" spans="8:8" x14ac:dyDescent="0.3">
      <c r="H52001" t="str">
        <f t="shared" si="862"/>
        <v/>
      </c>
    </row>
    <row r="52002" spans="8:8" x14ac:dyDescent="0.3">
      <c r="H52002" t="str">
        <f t="shared" si="862"/>
        <v/>
      </c>
    </row>
    <row r="52003" spans="8:8" x14ac:dyDescent="0.3">
      <c r="H52003" t="str">
        <f t="shared" si="862"/>
        <v/>
      </c>
    </row>
    <row r="52004" spans="8:8" x14ac:dyDescent="0.3">
      <c r="H52004" t="str">
        <f t="shared" si="862"/>
        <v/>
      </c>
    </row>
    <row r="52005" spans="8:8" x14ac:dyDescent="0.3">
      <c r="H52005" t="str">
        <f t="shared" si="862"/>
        <v/>
      </c>
    </row>
    <row r="52006" spans="8:8" x14ac:dyDescent="0.3">
      <c r="H52006" t="str">
        <f t="shared" si="862"/>
        <v/>
      </c>
    </row>
    <row r="52007" spans="8:8" x14ac:dyDescent="0.3">
      <c r="H52007" t="str">
        <f t="shared" si="862"/>
        <v/>
      </c>
    </row>
    <row r="52008" spans="8:8" x14ac:dyDescent="0.3">
      <c r="H52008" t="str">
        <f t="shared" si="862"/>
        <v/>
      </c>
    </row>
    <row r="52009" spans="8:8" x14ac:dyDescent="0.3">
      <c r="H52009" t="str">
        <f t="shared" si="862"/>
        <v/>
      </c>
    </row>
    <row r="52010" spans="8:8" x14ac:dyDescent="0.3">
      <c r="H52010" t="str">
        <f t="shared" si="862"/>
        <v/>
      </c>
    </row>
    <row r="52011" spans="8:8" x14ac:dyDescent="0.3">
      <c r="H52011" t="str">
        <f t="shared" si="862"/>
        <v/>
      </c>
    </row>
    <row r="52012" spans="8:8" x14ac:dyDescent="0.3">
      <c r="H52012" t="str">
        <f t="shared" si="862"/>
        <v/>
      </c>
    </row>
    <row r="52013" spans="8:8" x14ac:dyDescent="0.3">
      <c r="H52013" t="str">
        <f t="shared" si="862"/>
        <v/>
      </c>
    </row>
    <row r="52014" spans="8:8" x14ac:dyDescent="0.3">
      <c r="H52014" t="str">
        <f t="shared" si="862"/>
        <v/>
      </c>
    </row>
    <row r="52015" spans="8:8" x14ac:dyDescent="0.3">
      <c r="H52015" t="str">
        <f t="shared" si="862"/>
        <v/>
      </c>
    </row>
    <row r="52016" spans="8:8" x14ac:dyDescent="0.3">
      <c r="H52016" t="str">
        <f t="shared" si="862"/>
        <v/>
      </c>
    </row>
    <row r="52017" spans="8:8" x14ac:dyDescent="0.3">
      <c r="H52017" t="str">
        <f t="shared" si="862"/>
        <v/>
      </c>
    </row>
    <row r="52018" spans="8:8" x14ac:dyDescent="0.3">
      <c r="H52018" t="str">
        <f t="shared" si="862"/>
        <v/>
      </c>
    </row>
    <row r="52019" spans="8:8" x14ac:dyDescent="0.3">
      <c r="H52019" t="str">
        <f t="shared" si="862"/>
        <v/>
      </c>
    </row>
    <row r="52020" spans="8:8" x14ac:dyDescent="0.3">
      <c r="H52020" t="str">
        <f t="shared" si="862"/>
        <v/>
      </c>
    </row>
    <row r="52021" spans="8:8" x14ac:dyDescent="0.3">
      <c r="H52021" t="str">
        <f t="shared" si="862"/>
        <v/>
      </c>
    </row>
    <row r="52022" spans="8:8" x14ac:dyDescent="0.3">
      <c r="H52022" t="str">
        <f t="shared" si="862"/>
        <v/>
      </c>
    </row>
    <row r="52023" spans="8:8" x14ac:dyDescent="0.3">
      <c r="H52023" t="str">
        <f t="shared" si="862"/>
        <v/>
      </c>
    </row>
    <row r="52024" spans="8:8" x14ac:dyDescent="0.3">
      <c r="H52024" t="str">
        <f t="shared" si="862"/>
        <v/>
      </c>
    </row>
    <row r="52025" spans="8:8" x14ac:dyDescent="0.3">
      <c r="H52025" t="str">
        <f t="shared" si="862"/>
        <v/>
      </c>
    </row>
    <row r="52026" spans="8:8" x14ac:dyDescent="0.3">
      <c r="H52026" t="str">
        <f t="shared" si="862"/>
        <v/>
      </c>
    </row>
    <row r="52027" spans="8:8" x14ac:dyDescent="0.3">
      <c r="H52027" t="str">
        <f t="shared" si="862"/>
        <v/>
      </c>
    </row>
    <row r="52028" spans="8:8" x14ac:dyDescent="0.3">
      <c r="H52028" t="str">
        <f t="shared" si="862"/>
        <v/>
      </c>
    </row>
    <row r="52029" spans="8:8" x14ac:dyDescent="0.3">
      <c r="H52029" t="str">
        <f t="shared" si="862"/>
        <v/>
      </c>
    </row>
    <row r="52030" spans="8:8" x14ac:dyDescent="0.3">
      <c r="H52030" t="str">
        <f t="shared" si="862"/>
        <v/>
      </c>
    </row>
    <row r="52031" spans="8:8" x14ac:dyDescent="0.3">
      <c r="H52031" t="str">
        <f t="shared" si="862"/>
        <v/>
      </c>
    </row>
    <row r="52032" spans="8:8" x14ac:dyDescent="0.3">
      <c r="H52032" t="str">
        <f t="shared" si="862"/>
        <v/>
      </c>
    </row>
    <row r="52033" spans="8:8" x14ac:dyDescent="0.3">
      <c r="H52033" t="str">
        <f t="shared" si="862"/>
        <v/>
      </c>
    </row>
    <row r="52034" spans="8:8" x14ac:dyDescent="0.3">
      <c r="H52034" t="str">
        <f t="shared" si="862"/>
        <v/>
      </c>
    </row>
    <row r="52035" spans="8:8" x14ac:dyDescent="0.3">
      <c r="H52035" t="str">
        <f t="shared" si="862"/>
        <v/>
      </c>
    </row>
    <row r="52036" spans="8:8" x14ac:dyDescent="0.3">
      <c r="H52036" t="str">
        <f t="shared" si="862"/>
        <v/>
      </c>
    </row>
    <row r="52037" spans="8:8" x14ac:dyDescent="0.3">
      <c r="H52037" t="str">
        <f t="shared" si="862"/>
        <v/>
      </c>
    </row>
    <row r="52038" spans="8:8" x14ac:dyDescent="0.3">
      <c r="H52038" t="str">
        <f t="shared" si="862"/>
        <v/>
      </c>
    </row>
    <row r="52039" spans="8:8" x14ac:dyDescent="0.3">
      <c r="H52039" t="str">
        <f t="shared" si="862"/>
        <v/>
      </c>
    </row>
    <row r="52040" spans="8:8" x14ac:dyDescent="0.3">
      <c r="H52040" t="str">
        <f t="shared" si="862"/>
        <v/>
      </c>
    </row>
    <row r="52041" spans="8:8" x14ac:dyDescent="0.3">
      <c r="H52041" t="str">
        <f t="shared" si="862"/>
        <v/>
      </c>
    </row>
    <row r="52042" spans="8:8" x14ac:dyDescent="0.3">
      <c r="H52042" t="str">
        <f t="shared" si="862"/>
        <v/>
      </c>
    </row>
    <row r="52043" spans="8:8" x14ac:dyDescent="0.3">
      <c r="H52043" t="str">
        <f t="shared" si="862"/>
        <v/>
      </c>
    </row>
    <row r="52044" spans="8:8" x14ac:dyDescent="0.3">
      <c r="H52044" t="str">
        <f t="shared" si="862"/>
        <v/>
      </c>
    </row>
    <row r="52045" spans="8:8" x14ac:dyDescent="0.3">
      <c r="H52045" t="str">
        <f t="shared" si="862"/>
        <v/>
      </c>
    </row>
    <row r="52046" spans="8:8" x14ac:dyDescent="0.3">
      <c r="H52046" t="str">
        <f t="shared" si="862"/>
        <v/>
      </c>
    </row>
    <row r="52047" spans="8:8" x14ac:dyDescent="0.3">
      <c r="H52047" t="str">
        <f t="shared" si="862"/>
        <v/>
      </c>
    </row>
    <row r="52048" spans="8:8" x14ac:dyDescent="0.3">
      <c r="H52048" t="str">
        <f t="shared" si="862"/>
        <v/>
      </c>
    </row>
    <row r="52049" spans="8:8" x14ac:dyDescent="0.3">
      <c r="H52049" t="str">
        <f t="shared" si="862"/>
        <v/>
      </c>
    </row>
    <row r="52050" spans="8:8" x14ac:dyDescent="0.3">
      <c r="H52050" t="str">
        <f t="shared" si="862"/>
        <v/>
      </c>
    </row>
    <row r="52051" spans="8:8" x14ac:dyDescent="0.3">
      <c r="H52051" t="str">
        <f t="shared" si="862"/>
        <v/>
      </c>
    </row>
    <row r="52052" spans="8:8" x14ac:dyDescent="0.3">
      <c r="H52052" t="str">
        <f t="shared" si="862"/>
        <v/>
      </c>
    </row>
    <row r="52053" spans="8:8" x14ac:dyDescent="0.3">
      <c r="H52053" t="str">
        <f t="shared" si="862"/>
        <v/>
      </c>
    </row>
    <row r="52054" spans="8:8" x14ac:dyDescent="0.3">
      <c r="H52054" t="str">
        <f t="shared" si="862"/>
        <v/>
      </c>
    </row>
    <row r="52055" spans="8:8" x14ac:dyDescent="0.3">
      <c r="H52055" t="str">
        <f t="shared" ref="H52055:H52118" si="863">IF(B52055="","",$C$12)</f>
        <v/>
      </c>
    </row>
    <row r="52056" spans="8:8" x14ac:dyDescent="0.3">
      <c r="H52056" t="str">
        <f t="shared" si="863"/>
        <v/>
      </c>
    </row>
    <row r="52057" spans="8:8" x14ac:dyDescent="0.3">
      <c r="H52057" t="str">
        <f t="shared" si="863"/>
        <v/>
      </c>
    </row>
    <row r="52058" spans="8:8" x14ac:dyDescent="0.3">
      <c r="H52058" t="str">
        <f t="shared" si="863"/>
        <v/>
      </c>
    </row>
    <row r="52059" spans="8:8" x14ac:dyDescent="0.3">
      <c r="H52059" t="str">
        <f t="shared" si="863"/>
        <v/>
      </c>
    </row>
    <row r="52060" spans="8:8" x14ac:dyDescent="0.3">
      <c r="H52060" t="str">
        <f t="shared" si="863"/>
        <v/>
      </c>
    </row>
    <row r="52061" spans="8:8" x14ac:dyDescent="0.3">
      <c r="H52061" t="str">
        <f t="shared" si="863"/>
        <v/>
      </c>
    </row>
    <row r="52062" spans="8:8" x14ac:dyDescent="0.3">
      <c r="H52062" t="str">
        <f t="shared" si="863"/>
        <v/>
      </c>
    </row>
    <row r="52063" spans="8:8" x14ac:dyDescent="0.3">
      <c r="H52063" t="str">
        <f t="shared" si="863"/>
        <v/>
      </c>
    </row>
    <row r="52064" spans="8:8" x14ac:dyDescent="0.3">
      <c r="H52064" t="str">
        <f t="shared" si="863"/>
        <v/>
      </c>
    </row>
    <row r="52065" spans="8:8" x14ac:dyDescent="0.3">
      <c r="H52065" t="str">
        <f t="shared" si="863"/>
        <v/>
      </c>
    </row>
    <row r="52066" spans="8:8" x14ac:dyDescent="0.3">
      <c r="H52066" t="str">
        <f t="shared" si="863"/>
        <v/>
      </c>
    </row>
    <row r="52067" spans="8:8" x14ac:dyDescent="0.3">
      <c r="H52067" t="str">
        <f t="shared" si="863"/>
        <v/>
      </c>
    </row>
    <row r="52068" spans="8:8" x14ac:dyDescent="0.3">
      <c r="H52068" t="str">
        <f t="shared" si="863"/>
        <v/>
      </c>
    </row>
    <row r="52069" spans="8:8" x14ac:dyDescent="0.3">
      <c r="H52069" t="str">
        <f t="shared" si="863"/>
        <v/>
      </c>
    </row>
    <row r="52070" spans="8:8" x14ac:dyDescent="0.3">
      <c r="H52070" t="str">
        <f t="shared" si="863"/>
        <v/>
      </c>
    </row>
    <row r="52071" spans="8:8" x14ac:dyDescent="0.3">
      <c r="H52071" t="str">
        <f t="shared" si="863"/>
        <v/>
      </c>
    </row>
    <row r="52072" spans="8:8" x14ac:dyDescent="0.3">
      <c r="H52072" t="str">
        <f t="shared" si="863"/>
        <v/>
      </c>
    </row>
    <row r="52073" spans="8:8" x14ac:dyDescent="0.3">
      <c r="H52073" t="str">
        <f t="shared" si="863"/>
        <v/>
      </c>
    </row>
    <row r="52074" spans="8:8" x14ac:dyDescent="0.3">
      <c r="H52074" t="str">
        <f t="shared" si="863"/>
        <v/>
      </c>
    </row>
    <row r="52075" spans="8:8" x14ac:dyDescent="0.3">
      <c r="H52075" t="str">
        <f t="shared" si="863"/>
        <v/>
      </c>
    </row>
    <row r="52076" spans="8:8" x14ac:dyDescent="0.3">
      <c r="H52076" t="str">
        <f t="shared" si="863"/>
        <v/>
      </c>
    </row>
    <row r="52077" spans="8:8" x14ac:dyDescent="0.3">
      <c r="H52077" t="str">
        <f t="shared" si="863"/>
        <v/>
      </c>
    </row>
    <row r="52078" spans="8:8" x14ac:dyDescent="0.3">
      <c r="H52078" t="str">
        <f t="shared" si="863"/>
        <v/>
      </c>
    </row>
    <row r="52079" spans="8:8" x14ac:dyDescent="0.3">
      <c r="H52079" t="str">
        <f t="shared" si="863"/>
        <v/>
      </c>
    </row>
    <row r="52080" spans="8:8" x14ac:dyDescent="0.3">
      <c r="H52080" t="str">
        <f t="shared" si="863"/>
        <v/>
      </c>
    </row>
    <row r="52081" spans="8:8" x14ac:dyDescent="0.3">
      <c r="H52081" t="str">
        <f t="shared" si="863"/>
        <v/>
      </c>
    </row>
    <row r="52082" spans="8:8" x14ac:dyDescent="0.3">
      <c r="H52082" t="str">
        <f t="shared" si="863"/>
        <v/>
      </c>
    </row>
    <row r="52083" spans="8:8" x14ac:dyDescent="0.3">
      <c r="H52083" t="str">
        <f t="shared" si="863"/>
        <v/>
      </c>
    </row>
    <row r="52084" spans="8:8" x14ac:dyDescent="0.3">
      <c r="H52084" t="str">
        <f t="shared" si="863"/>
        <v/>
      </c>
    </row>
    <row r="52085" spans="8:8" x14ac:dyDescent="0.3">
      <c r="H52085" t="str">
        <f t="shared" si="863"/>
        <v/>
      </c>
    </row>
    <row r="52086" spans="8:8" x14ac:dyDescent="0.3">
      <c r="H52086" t="str">
        <f t="shared" si="863"/>
        <v/>
      </c>
    </row>
    <row r="52087" spans="8:8" x14ac:dyDescent="0.3">
      <c r="H52087" t="str">
        <f t="shared" si="863"/>
        <v/>
      </c>
    </row>
    <row r="52088" spans="8:8" x14ac:dyDescent="0.3">
      <c r="H52088" t="str">
        <f t="shared" si="863"/>
        <v/>
      </c>
    </row>
    <row r="52089" spans="8:8" x14ac:dyDescent="0.3">
      <c r="H52089" t="str">
        <f t="shared" si="863"/>
        <v/>
      </c>
    </row>
    <row r="52090" spans="8:8" x14ac:dyDescent="0.3">
      <c r="H52090" t="str">
        <f t="shared" si="863"/>
        <v/>
      </c>
    </row>
    <row r="52091" spans="8:8" x14ac:dyDescent="0.3">
      <c r="H52091" t="str">
        <f t="shared" si="863"/>
        <v/>
      </c>
    </row>
    <row r="52092" spans="8:8" x14ac:dyDescent="0.3">
      <c r="H52092" t="str">
        <f t="shared" si="863"/>
        <v/>
      </c>
    </row>
    <row r="52093" spans="8:8" x14ac:dyDescent="0.3">
      <c r="H52093" t="str">
        <f t="shared" si="863"/>
        <v/>
      </c>
    </row>
    <row r="52094" spans="8:8" x14ac:dyDescent="0.3">
      <c r="H52094" t="str">
        <f t="shared" si="863"/>
        <v/>
      </c>
    </row>
    <row r="52095" spans="8:8" x14ac:dyDescent="0.3">
      <c r="H52095" t="str">
        <f t="shared" si="863"/>
        <v/>
      </c>
    </row>
    <row r="52096" spans="8:8" x14ac:dyDescent="0.3">
      <c r="H52096" t="str">
        <f t="shared" si="863"/>
        <v/>
      </c>
    </row>
    <row r="52097" spans="8:8" x14ac:dyDescent="0.3">
      <c r="H52097" t="str">
        <f t="shared" si="863"/>
        <v/>
      </c>
    </row>
    <row r="52098" spans="8:8" x14ac:dyDescent="0.3">
      <c r="H52098" t="str">
        <f t="shared" si="863"/>
        <v/>
      </c>
    </row>
    <row r="52099" spans="8:8" x14ac:dyDescent="0.3">
      <c r="H52099" t="str">
        <f t="shared" si="863"/>
        <v/>
      </c>
    </row>
    <row r="52100" spans="8:8" x14ac:dyDescent="0.3">
      <c r="H52100" t="str">
        <f t="shared" si="863"/>
        <v/>
      </c>
    </row>
    <row r="52101" spans="8:8" x14ac:dyDescent="0.3">
      <c r="H52101" t="str">
        <f t="shared" si="863"/>
        <v/>
      </c>
    </row>
    <row r="52102" spans="8:8" x14ac:dyDescent="0.3">
      <c r="H52102" t="str">
        <f t="shared" si="863"/>
        <v/>
      </c>
    </row>
    <row r="52103" spans="8:8" x14ac:dyDescent="0.3">
      <c r="H52103" t="str">
        <f t="shared" si="863"/>
        <v/>
      </c>
    </row>
    <row r="52104" spans="8:8" x14ac:dyDescent="0.3">
      <c r="H52104" t="str">
        <f t="shared" si="863"/>
        <v/>
      </c>
    </row>
    <row r="52105" spans="8:8" x14ac:dyDescent="0.3">
      <c r="H52105" t="str">
        <f t="shared" si="863"/>
        <v/>
      </c>
    </row>
    <row r="52106" spans="8:8" x14ac:dyDescent="0.3">
      <c r="H52106" t="str">
        <f t="shared" si="863"/>
        <v/>
      </c>
    </row>
    <row r="52107" spans="8:8" x14ac:dyDescent="0.3">
      <c r="H52107" t="str">
        <f t="shared" si="863"/>
        <v/>
      </c>
    </row>
    <row r="52108" spans="8:8" x14ac:dyDescent="0.3">
      <c r="H52108" t="str">
        <f t="shared" si="863"/>
        <v/>
      </c>
    </row>
    <row r="52109" spans="8:8" x14ac:dyDescent="0.3">
      <c r="H52109" t="str">
        <f t="shared" si="863"/>
        <v/>
      </c>
    </row>
    <row r="52110" spans="8:8" x14ac:dyDescent="0.3">
      <c r="H52110" t="str">
        <f t="shared" si="863"/>
        <v/>
      </c>
    </row>
    <row r="52111" spans="8:8" x14ac:dyDescent="0.3">
      <c r="H52111" t="str">
        <f t="shared" si="863"/>
        <v/>
      </c>
    </row>
    <row r="52112" spans="8:8" x14ac:dyDescent="0.3">
      <c r="H52112" t="str">
        <f t="shared" si="863"/>
        <v/>
      </c>
    </row>
    <row r="52113" spans="8:8" x14ac:dyDescent="0.3">
      <c r="H52113" t="str">
        <f t="shared" si="863"/>
        <v/>
      </c>
    </row>
    <row r="52114" spans="8:8" x14ac:dyDescent="0.3">
      <c r="H52114" t="str">
        <f t="shared" si="863"/>
        <v/>
      </c>
    </row>
    <row r="52115" spans="8:8" x14ac:dyDescent="0.3">
      <c r="H52115" t="str">
        <f t="shared" si="863"/>
        <v/>
      </c>
    </row>
    <row r="52116" spans="8:8" x14ac:dyDescent="0.3">
      <c r="H52116" t="str">
        <f t="shared" si="863"/>
        <v/>
      </c>
    </row>
    <row r="52117" spans="8:8" x14ac:dyDescent="0.3">
      <c r="H52117" t="str">
        <f t="shared" si="863"/>
        <v/>
      </c>
    </row>
    <row r="52118" spans="8:8" x14ac:dyDescent="0.3">
      <c r="H52118" t="str">
        <f t="shared" si="863"/>
        <v/>
      </c>
    </row>
    <row r="52119" spans="8:8" x14ac:dyDescent="0.3">
      <c r="H52119" t="str">
        <f t="shared" ref="H52119:H52182" si="864">IF(B52119="","",$C$12)</f>
        <v/>
      </c>
    </row>
    <row r="52120" spans="8:8" x14ac:dyDescent="0.3">
      <c r="H52120" t="str">
        <f t="shared" si="864"/>
        <v/>
      </c>
    </row>
    <row r="52121" spans="8:8" x14ac:dyDescent="0.3">
      <c r="H52121" t="str">
        <f t="shared" si="864"/>
        <v/>
      </c>
    </row>
    <row r="52122" spans="8:8" x14ac:dyDescent="0.3">
      <c r="H52122" t="str">
        <f t="shared" si="864"/>
        <v/>
      </c>
    </row>
    <row r="52123" spans="8:8" x14ac:dyDescent="0.3">
      <c r="H52123" t="str">
        <f t="shared" si="864"/>
        <v/>
      </c>
    </row>
    <row r="52124" spans="8:8" x14ac:dyDescent="0.3">
      <c r="H52124" t="str">
        <f t="shared" si="864"/>
        <v/>
      </c>
    </row>
    <row r="52125" spans="8:8" x14ac:dyDescent="0.3">
      <c r="H52125" t="str">
        <f t="shared" si="864"/>
        <v/>
      </c>
    </row>
    <row r="52126" spans="8:8" x14ac:dyDescent="0.3">
      <c r="H52126" t="str">
        <f t="shared" si="864"/>
        <v/>
      </c>
    </row>
    <row r="52127" spans="8:8" x14ac:dyDescent="0.3">
      <c r="H52127" t="str">
        <f t="shared" si="864"/>
        <v/>
      </c>
    </row>
    <row r="52128" spans="8:8" x14ac:dyDescent="0.3">
      <c r="H52128" t="str">
        <f t="shared" si="864"/>
        <v/>
      </c>
    </row>
    <row r="52129" spans="8:8" x14ac:dyDescent="0.3">
      <c r="H52129" t="str">
        <f t="shared" si="864"/>
        <v/>
      </c>
    </row>
    <row r="52130" spans="8:8" x14ac:dyDescent="0.3">
      <c r="H52130" t="str">
        <f t="shared" si="864"/>
        <v/>
      </c>
    </row>
    <row r="52131" spans="8:8" x14ac:dyDescent="0.3">
      <c r="H52131" t="str">
        <f t="shared" si="864"/>
        <v/>
      </c>
    </row>
    <row r="52132" spans="8:8" x14ac:dyDescent="0.3">
      <c r="H52132" t="str">
        <f t="shared" si="864"/>
        <v/>
      </c>
    </row>
    <row r="52133" spans="8:8" x14ac:dyDescent="0.3">
      <c r="H52133" t="str">
        <f t="shared" si="864"/>
        <v/>
      </c>
    </row>
    <row r="52134" spans="8:8" x14ac:dyDescent="0.3">
      <c r="H52134" t="str">
        <f t="shared" si="864"/>
        <v/>
      </c>
    </row>
    <row r="52135" spans="8:8" x14ac:dyDescent="0.3">
      <c r="H52135" t="str">
        <f t="shared" si="864"/>
        <v/>
      </c>
    </row>
    <row r="52136" spans="8:8" x14ac:dyDescent="0.3">
      <c r="H52136" t="str">
        <f t="shared" si="864"/>
        <v/>
      </c>
    </row>
    <row r="52137" spans="8:8" x14ac:dyDescent="0.3">
      <c r="H52137" t="str">
        <f t="shared" si="864"/>
        <v/>
      </c>
    </row>
    <row r="52138" spans="8:8" x14ac:dyDescent="0.3">
      <c r="H52138" t="str">
        <f t="shared" si="864"/>
        <v/>
      </c>
    </row>
    <row r="52139" spans="8:8" x14ac:dyDescent="0.3">
      <c r="H52139" t="str">
        <f t="shared" si="864"/>
        <v/>
      </c>
    </row>
    <row r="52140" spans="8:8" x14ac:dyDescent="0.3">
      <c r="H52140" t="str">
        <f t="shared" si="864"/>
        <v/>
      </c>
    </row>
    <row r="52141" spans="8:8" x14ac:dyDescent="0.3">
      <c r="H52141" t="str">
        <f t="shared" si="864"/>
        <v/>
      </c>
    </row>
    <row r="52142" spans="8:8" x14ac:dyDescent="0.3">
      <c r="H52142" t="str">
        <f t="shared" si="864"/>
        <v/>
      </c>
    </row>
    <row r="52143" spans="8:8" x14ac:dyDescent="0.3">
      <c r="H52143" t="str">
        <f t="shared" si="864"/>
        <v/>
      </c>
    </row>
    <row r="52144" spans="8:8" x14ac:dyDescent="0.3">
      <c r="H52144" t="str">
        <f t="shared" si="864"/>
        <v/>
      </c>
    </row>
    <row r="52145" spans="8:8" x14ac:dyDescent="0.3">
      <c r="H52145" t="str">
        <f t="shared" si="864"/>
        <v/>
      </c>
    </row>
    <row r="52146" spans="8:8" x14ac:dyDescent="0.3">
      <c r="H52146" t="str">
        <f t="shared" si="864"/>
        <v/>
      </c>
    </row>
    <row r="52147" spans="8:8" x14ac:dyDescent="0.3">
      <c r="H52147" t="str">
        <f t="shared" si="864"/>
        <v/>
      </c>
    </row>
    <row r="52148" spans="8:8" x14ac:dyDescent="0.3">
      <c r="H52148" t="str">
        <f t="shared" si="864"/>
        <v/>
      </c>
    </row>
    <row r="52149" spans="8:8" x14ac:dyDescent="0.3">
      <c r="H52149" t="str">
        <f t="shared" si="864"/>
        <v/>
      </c>
    </row>
    <row r="52150" spans="8:8" x14ac:dyDescent="0.3">
      <c r="H52150" t="str">
        <f t="shared" si="864"/>
        <v/>
      </c>
    </row>
    <row r="52151" spans="8:8" x14ac:dyDescent="0.3">
      <c r="H52151" t="str">
        <f t="shared" si="864"/>
        <v/>
      </c>
    </row>
    <row r="52152" spans="8:8" x14ac:dyDescent="0.3">
      <c r="H52152" t="str">
        <f t="shared" si="864"/>
        <v/>
      </c>
    </row>
    <row r="52153" spans="8:8" x14ac:dyDescent="0.3">
      <c r="H52153" t="str">
        <f t="shared" si="864"/>
        <v/>
      </c>
    </row>
    <row r="52154" spans="8:8" x14ac:dyDescent="0.3">
      <c r="H52154" t="str">
        <f t="shared" si="864"/>
        <v/>
      </c>
    </row>
    <row r="52155" spans="8:8" x14ac:dyDescent="0.3">
      <c r="H52155" t="str">
        <f t="shared" si="864"/>
        <v/>
      </c>
    </row>
    <row r="52156" spans="8:8" x14ac:dyDescent="0.3">
      <c r="H52156" t="str">
        <f t="shared" si="864"/>
        <v/>
      </c>
    </row>
    <row r="52157" spans="8:8" x14ac:dyDescent="0.3">
      <c r="H52157" t="str">
        <f t="shared" si="864"/>
        <v/>
      </c>
    </row>
    <row r="52158" spans="8:8" x14ac:dyDescent="0.3">
      <c r="H52158" t="str">
        <f t="shared" si="864"/>
        <v/>
      </c>
    </row>
    <row r="52159" spans="8:8" x14ac:dyDescent="0.3">
      <c r="H52159" t="str">
        <f t="shared" si="864"/>
        <v/>
      </c>
    </row>
    <row r="52160" spans="8:8" x14ac:dyDescent="0.3">
      <c r="H52160" t="str">
        <f t="shared" si="864"/>
        <v/>
      </c>
    </row>
    <row r="52161" spans="8:8" x14ac:dyDescent="0.3">
      <c r="H52161" t="str">
        <f t="shared" si="864"/>
        <v/>
      </c>
    </row>
    <row r="52162" spans="8:8" x14ac:dyDescent="0.3">
      <c r="H52162" t="str">
        <f t="shared" si="864"/>
        <v/>
      </c>
    </row>
    <row r="52163" spans="8:8" x14ac:dyDescent="0.3">
      <c r="H52163" t="str">
        <f t="shared" si="864"/>
        <v/>
      </c>
    </row>
    <row r="52164" spans="8:8" x14ac:dyDescent="0.3">
      <c r="H52164" t="str">
        <f t="shared" si="864"/>
        <v/>
      </c>
    </row>
    <row r="52165" spans="8:8" x14ac:dyDescent="0.3">
      <c r="H52165" t="str">
        <f t="shared" si="864"/>
        <v/>
      </c>
    </row>
    <row r="52166" spans="8:8" x14ac:dyDescent="0.3">
      <c r="H52166" t="str">
        <f t="shared" si="864"/>
        <v/>
      </c>
    </row>
    <row r="52167" spans="8:8" x14ac:dyDescent="0.3">
      <c r="H52167" t="str">
        <f t="shared" si="864"/>
        <v/>
      </c>
    </row>
    <row r="52168" spans="8:8" x14ac:dyDescent="0.3">
      <c r="H52168" t="str">
        <f t="shared" si="864"/>
        <v/>
      </c>
    </row>
    <row r="52169" spans="8:8" x14ac:dyDescent="0.3">
      <c r="H52169" t="str">
        <f t="shared" si="864"/>
        <v/>
      </c>
    </row>
    <row r="52170" spans="8:8" x14ac:dyDescent="0.3">
      <c r="H52170" t="str">
        <f t="shared" si="864"/>
        <v/>
      </c>
    </row>
    <row r="52171" spans="8:8" x14ac:dyDescent="0.3">
      <c r="H52171" t="str">
        <f t="shared" si="864"/>
        <v/>
      </c>
    </row>
    <row r="52172" spans="8:8" x14ac:dyDescent="0.3">
      <c r="H52172" t="str">
        <f t="shared" si="864"/>
        <v/>
      </c>
    </row>
    <row r="52173" spans="8:8" x14ac:dyDescent="0.3">
      <c r="H52173" t="str">
        <f t="shared" si="864"/>
        <v/>
      </c>
    </row>
    <row r="52174" spans="8:8" x14ac:dyDescent="0.3">
      <c r="H52174" t="str">
        <f t="shared" si="864"/>
        <v/>
      </c>
    </row>
    <row r="52175" spans="8:8" x14ac:dyDescent="0.3">
      <c r="H52175" t="str">
        <f t="shared" si="864"/>
        <v/>
      </c>
    </row>
    <row r="52176" spans="8:8" x14ac:dyDescent="0.3">
      <c r="H52176" t="str">
        <f t="shared" si="864"/>
        <v/>
      </c>
    </row>
    <row r="52177" spans="8:8" x14ac:dyDescent="0.3">
      <c r="H52177" t="str">
        <f t="shared" si="864"/>
        <v/>
      </c>
    </row>
    <row r="52178" spans="8:8" x14ac:dyDescent="0.3">
      <c r="H52178" t="str">
        <f t="shared" si="864"/>
        <v/>
      </c>
    </row>
    <row r="52179" spans="8:8" x14ac:dyDescent="0.3">
      <c r="H52179" t="str">
        <f t="shared" si="864"/>
        <v/>
      </c>
    </row>
    <row r="52180" spans="8:8" x14ac:dyDescent="0.3">
      <c r="H52180" t="str">
        <f t="shared" si="864"/>
        <v/>
      </c>
    </row>
    <row r="52181" spans="8:8" x14ac:dyDescent="0.3">
      <c r="H52181" t="str">
        <f t="shared" si="864"/>
        <v/>
      </c>
    </row>
    <row r="52182" spans="8:8" x14ac:dyDescent="0.3">
      <c r="H52182" t="str">
        <f t="shared" si="864"/>
        <v/>
      </c>
    </row>
    <row r="52183" spans="8:8" x14ac:dyDescent="0.3">
      <c r="H52183" t="str">
        <f t="shared" ref="H52183:H52246" si="865">IF(B52183="","",$C$12)</f>
        <v/>
      </c>
    </row>
    <row r="52184" spans="8:8" x14ac:dyDescent="0.3">
      <c r="H52184" t="str">
        <f t="shared" si="865"/>
        <v/>
      </c>
    </row>
    <row r="52185" spans="8:8" x14ac:dyDescent="0.3">
      <c r="H52185" t="str">
        <f t="shared" si="865"/>
        <v/>
      </c>
    </row>
    <row r="52186" spans="8:8" x14ac:dyDescent="0.3">
      <c r="H52186" t="str">
        <f t="shared" si="865"/>
        <v/>
      </c>
    </row>
    <row r="52187" spans="8:8" x14ac:dyDescent="0.3">
      <c r="H52187" t="str">
        <f t="shared" si="865"/>
        <v/>
      </c>
    </row>
    <row r="52188" spans="8:8" x14ac:dyDescent="0.3">
      <c r="H52188" t="str">
        <f t="shared" si="865"/>
        <v/>
      </c>
    </row>
    <row r="52189" spans="8:8" x14ac:dyDescent="0.3">
      <c r="H52189" t="str">
        <f t="shared" si="865"/>
        <v/>
      </c>
    </row>
    <row r="52190" spans="8:8" x14ac:dyDescent="0.3">
      <c r="H52190" t="str">
        <f t="shared" si="865"/>
        <v/>
      </c>
    </row>
    <row r="52191" spans="8:8" x14ac:dyDescent="0.3">
      <c r="H52191" t="str">
        <f t="shared" si="865"/>
        <v/>
      </c>
    </row>
    <row r="52192" spans="8:8" x14ac:dyDescent="0.3">
      <c r="H52192" t="str">
        <f t="shared" si="865"/>
        <v/>
      </c>
    </row>
    <row r="52193" spans="8:8" x14ac:dyDescent="0.3">
      <c r="H52193" t="str">
        <f t="shared" si="865"/>
        <v/>
      </c>
    </row>
    <row r="52194" spans="8:8" x14ac:dyDescent="0.3">
      <c r="H52194" t="str">
        <f t="shared" si="865"/>
        <v/>
      </c>
    </row>
    <row r="52195" spans="8:8" x14ac:dyDescent="0.3">
      <c r="H52195" t="str">
        <f t="shared" si="865"/>
        <v/>
      </c>
    </row>
    <row r="52196" spans="8:8" x14ac:dyDescent="0.3">
      <c r="H52196" t="str">
        <f t="shared" si="865"/>
        <v/>
      </c>
    </row>
    <row r="52197" spans="8:8" x14ac:dyDescent="0.3">
      <c r="H52197" t="str">
        <f t="shared" si="865"/>
        <v/>
      </c>
    </row>
    <row r="52198" spans="8:8" x14ac:dyDescent="0.3">
      <c r="H52198" t="str">
        <f t="shared" si="865"/>
        <v/>
      </c>
    </row>
    <row r="52199" spans="8:8" x14ac:dyDescent="0.3">
      <c r="H52199" t="str">
        <f t="shared" si="865"/>
        <v/>
      </c>
    </row>
    <row r="52200" spans="8:8" x14ac:dyDescent="0.3">
      <c r="H52200" t="str">
        <f t="shared" si="865"/>
        <v/>
      </c>
    </row>
    <row r="52201" spans="8:8" x14ac:dyDescent="0.3">
      <c r="H52201" t="str">
        <f t="shared" si="865"/>
        <v/>
      </c>
    </row>
    <row r="52202" spans="8:8" x14ac:dyDescent="0.3">
      <c r="H52202" t="str">
        <f t="shared" si="865"/>
        <v/>
      </c>
    </row>
    <row r="52203" spans="8:8" x14ac:dyDescent="0.3">
      <c r="H52203" t="str">
        <f t="shared" si="865"/>
        <v/>
      </c>
    </row>
    <row r="52204" spans="8:8" x14ac:dyDescent="0.3">
      <c r="H52204" t="str">
        <f t="shared" si="865"/>
        <v/>
      </c>
    </row>
    <row r="52205" spans="8:8" x14ac:dyDescent="0.3">
      <c r="H52205" t="str">
        <f t="shared" si="865"/>
        <v/>
      </c>
    </row>
    <row r="52206" spans="8:8" x14ac:dyDescent="0.3">
      <c r="H52206" t="str">
        <f t="shared" si="865"/>
        <v/>
      </c>
    </row>
    <row r="52207" spans="8:8" x14ac:dyDescent="0.3">
      <c r="H52207" t="str">
        <f t="shared" si="865"/>
        <v/>
      </c>
    </row>
    <row r="52208" spans="8:8" x14ac:dyDescent="0.3">
      <c r="H52208" t="str">
        <f t="shared" si="865"/>
        <v/>
      </c>
    </row>
    <row r="52209" spans="8:8" x14ac:dyDescent="0.3">
      <c r="H52209" t="str">
        <f t="shared" si="865"/>
        <v/>
      </c>
    </row>
    <row r="52210" spans="8:8" x14ac:dyDescent="0.3">
      <c r="H52210" t="str">
        <f t="shared" si="865"/>
        <v/>
      </c>
    </row>
    <row r="52211" spans="8:8" x14ac:dyDescent="0.3">
      <c r="H52211" t="str">
        <f t="shared" si="865"/>
        <v/>
      </c>
    </row>
    <row r="52212" spans="8:8" x14ac:dyDescent="0.3">
      <c r="H52212" t="str">
        <f t="shared" si="865"/>
        <v/>
      </c>
    </row>
    <row r="52213" spans="8:8" x14ac:dyDescent="0.3">
      <c r="H52213" t="str">
        <f t="shared" si="865"/>
        <v/>
      </c>
    </row>
    <row r="52214" spans="8:8" x14ac:dyDescent="0.3">
      <c r="H52214" t="str">
        <f t="shared" si="865"/>
        <v/>
      </c>
    </row>
    <row r="52215" spans="8:8" x14ac:dyDescent="0.3">
      <c r="H52215" t="str">
        <f t="shared" si="865"/>
        <v/>
      </c>
    </row>
    <row r="52216" spans="8:8" x14ac:dyDescent="0.3">
      <c r="H52216" t="str">
        <f t="shared" si="865"/>
        <v/>
      </c>
    </row>
    <row r="52217" spans="8:8" x14ac:dyDescent="0.3">
      <c r="H52217" t="str">
        <f t="shared" si="865"/>
        <v/>
      </c>
    </row>
    <row r="52218" spans="8:8" x14ac:dyDescent="0.3">
      <c r="H52218" t="str">
        <f t="shared" si="865"/>
        <v/>
      </c>
    </row>
    <row r="52219" spans="8:8" x14ac:dyDescent="0.3">
      <c r="H52219" t="str">
        <f t="shared" si="865"/>
        <v/>
      </c>
    </row>
    <row r="52220" spans="8:8" x14ac:dyDescent="0.3">
      <c r="H52220" t="str">
        <f t="shared" si="865"/>
        <v/>
      </c>
    </row>
    <row r="52221" spans="8:8" x14ac:dyDescent="0.3">
      <c r="H52221" t="str">
        <f t="shared" si="865"/>
        <v/>
      </c>
    </row>
    <row r="52222" spans="8:8" x14ac:dyDescent="0.3">
      <c r="H52222" t="str">
        <f t="shared" si="865"/>
        <v/>
      </c>
    </row>
    <row r="52223" spans="8:8" x14ac:dyDescent="0.3">
      <c r="H52223" t="str">
        <f t="shared" si="865"/>
        <v/>
      </c>
    </row>
    <row r="52224" spans="8:8" x14ac:dyDescent="0.3">
      <c r="H52224" t="str">
        <f t="shared" si="865"/>
        <v/>
      </c>
    </row>
    <row r="52225" spans="8:8" x14ac:dyDescent="0.3">
      <c r="H52225" t="str">
        <f t="shared" si="865"/>
        <v/>
      </c>
    </row>
    <row r="52226" spans="8:8" x14ac:dyDescent="0.3">
      <c r="H52226" t="str">
        <f t="shared" si="865"/>
        <v/>
      </c>
    </row>
    <row r="52227" spans="8:8" x14ac:dyDescent="0.3">
      <c r="H52227" t="str">
        <f t="shared" si="865"/>
        <v/>
      </c>
    </row>
    <row r="52228" spans="8:8" x14ac:dyDescent="0.3">
      <c r="H52228" t="str">
        <f t="shared" si="865"/>
        <v/>
      </c>
    </row>
    <row r="52229" spans="8:8" x14ac:dyDescent="0.3">
      <c r="H52229" t="str">
        <f t="shared" si="865"/>
        <v/>
      </c>
    </row>
    <row r="52230" spans="8:8" x14ac:dyDescent="0.3">
      <c r="H52230" t="str">
        <f t="shared" si="865"/>
        <v/>
      </c>
    </row>
    <row r="52231" spans="8:8" x14ac:dyDescent="0.3">
      <c r="H52231" t="str">
        <f t="shared" si="865"/>
        <v/>
      </c>
    </row>
    <row r="52232" spans="8:8" x14ac:dyDescent="0.3">
      <c r="H52232" t="str">
        <f t="shared" si="865"/>
        <v/>
      </c>
    </row>
    <row r="52233" spans="8:8" x14ac:dyDescent="0.3">
      <c r="H52233" t="str">
        <f t="shared" si="865"/>
        <v/>
      </c>
    </row>
    <row r="52234" spans="8:8" x14ac:dyDescent="0.3">
      <c r="H52234" t="str">
        <f t="shared" si="865"/>
        <v/>
      </c>
    </row>
    <row r="52235" spans="8:8" x14ac:dyDescent="0.3">
      <c r="H52235" t="str">
        <f t="shared" si="865"/>
        <v/>
      </c>
    </row>
    <row r="52236" spans="8:8" x14ac:dyDescent="0.3">
      <c r="H52236" t="str">
        <f t="shared" si="865"/>
        <v/>
      </c>
    </row>
    <row r="52237" spans="8:8" x14ac:dyDescent="0.3">
      <c r="H52237" t="str">
        <f t="shared" si="865"/>
        <v/>
      </c>
    </row>
    <row r="52238" spans="8:8" x14ac:dyDescent="0.3">
      <c r="H52238" t="str">
        <f t="shared" si="865"/>
        <v/>
      </c>
    </row>
    <row r="52239" spans="8:8" x14ac:dyDescent="0.3">
      <c r="H52239" t="str">
        <f t="shared" si="865"/>
        <v/>
      </c>
    </row>
    <row r="52240" spans="8:8" x14ac:dyDescent="0.3">
      <c r="H52240" t="str">
        <f t="shared" si="865"/>
        <v/>
      </c>
    </row>
    <row r="52241" spans="8:8" x14ac:dyDescent="0.3">
      <c r="H52241" t="str">
        <f t="shared" si="865"/>
        <v/>
      </c>
    </row>
    <row r="52242" spans="8:8" x14ac:dyDescent="0.3">
      <c r="H52242" t="str">
        <f t="shared" si="865"/>
        <v/>
      </c>
    </row>
    <row r="52243" spans="8:8" x14ac:dyDescent="0.3">
      <c r="H52243" t="str">
        <f t="shared" si="865"/>
        <v/>
      </c>
    </row>
    <row r="52244" spans="8:8" x14ac:dyDescent="0.3">
      <c r="H52244" t="str">
        <f t="shared" si="865"/>
        <v/>
      </c>
    </row>
    <row r="52245" spans="8:8" x14ac:dyDescent="0.3">
      <c r="H52245" t="str">
        <f t="shared" si="865"/>
        <v/>
      </c>
    </row>
    <row r="52246" spans="8:8" x14ac:dyDescent="0.3">
      <c r="H52246" t="str">
        <f t="shared" si="865"/>
        <v/>
      </c>
    </row>
    <row r="52247" spans="8:8" x14ac:dyDescent="0.3">
      <c r="H52247" t="str">
        <f t="shared" ref="H52247:H52310" si="866">IF(B52247="","",$C$12)</f>
        <v/>
      </c>
    </row>
    <row r="52248" spans="8:8" x14ac:dyDescent="0.3">
      <c r="H52248" t="str">
        <f t="shared" si="866"/>
        <v/>
      </c>
    </row>
    <row r="52249" spans="8:8" x14ac:dyDescent="0.3">
      <c r="H52249" t="str">
        <f t="shared" si="866"/>
        <v/>
      </c>
    </row>
    <row r="52250" spans="8:8" x14ac:dyDescent="0.3">
      <c r="H52250" t="str">
        <f t="shared" si="866"/>
        <v/>
      </c>
    </row>
    <row r="52251" spans="8:8" x14ac:dyDescent="0.3">
      <c r="H52251" t="str">
        <f t="shared" si="866"/>
        <v/>
      </c>
    </row>
    <row r="52252" spans="8:8" x14ac:dyDescent="0.3">
      <c r="H52252" t="str">
        <f t="shared" si="866"/>
        <v/>
      </c>
    </row>
    <row r="52253" spans="8:8" x14ac:dyDescent="0.3">
      <c r="H52253" t="str">
        <f t="shared" si="866"/>
        <v/>
      </c>
    </row>
    <row r="52254" spans="8:8" x14ac:dyDescent="0.3">
      <c r="H52254" t="str">
        <f t="shared" si="866"/>
        <v/>
      </c>
    </row>
    <row r="52255" spans="8:8" x14ac:dyDescent="0.3">
      <c r="H52255" t="str">
        <f t="shared" si="866"/>
        <v/>
      </c>
    </row>
    <row r="52256" spans="8:8" x14ac:dyDescent="0.3">
      <c r="H52256" t="str">
        <f t="shared" si="866"/>
        <v/>
      </c>
    </row>
    <row r="52257" spans="8:8" x14ac:dyDescent="0.3">
      <c r="H52257" t="str">
        <f t="shared" si="866"/>
        <v/>
      </c>
    </row>
    <row r="52258" spans="8:8" x14ac:dyDescent="0.3">
      <c r="H52258" t="str">
        <f t="shared" si="866"/>
        <v/>
      </c>
    </row>
    <row r="52259" spans="8:8" x14ac:dyDescent="0.3">
      <c r="H52259" t="str">
        <f t="shared" si="866"/>
        <v/>
      </c>
    </row>
    <row r="52260" spans="8:8" x14ac:dyDescent="0.3">
      <c r="H52260" t="str">
        <f t="shared" si="866"/>
        <v/>
      </c>
    </row>
    <row r="52261" spans="8:8" x14ac:dyDescent="0.3">
      <c r="H52261" t="str">
        <f t="shared" si="866"/>
        <v/>
      </c>
    </row>
    <row r="52262" spans="8:8" x14ac:dyDescent="0.3">
      <c r="H52262" t="str">
        <f t="shared" si="866"/>
        <v/>
      </c>
    </row>
    <row r="52263" spans="8:8" x14ac:dyDescent="0.3">
      <c r="H52263" t="str">
        <f t="shared" si="866"/>
        <v/>
      </c>
    </row>
    <row r="52264" spans="8:8" x14ac:dyDescent="0.3">
      <c r="H52264" t="str">
        <f t="shared" si="866"/>
        <v/>
      </c>
    </row>
    <row r="52265" spans="8:8" x14ac:dyDescent="0.3">
      <c r="H52265" t="str">
        <f t="shared" si="866"/>
        <v/>
      </c>
    </row>
    <row r="52266" spans="8:8" x14ac:dyDescent="0.3">
      <c r="H52266" t="str">
        <f t="shared" si="866"/>
        <v/>
      </c>
    </row>
    <row r="52267" spans="8:8" x14ac:dyDescent="0.3">
      <c r="H52267" t="str">
        <f t="shared" si="866"/>
        <v/>
      </c>
    </row>
    <row r="52268" spans="8:8" x14ac:dyDescent="0.3">
      <c r="H52268" t="str">
        <f t="shared" si="866"/>
        <v/>
      </c>
    </row>
    <row r="52269" spans="8:8" x14ac:dyDescent="0.3">
      <c r="H52269" t="str">
        <f t="shared" si="866"/>
        <v/>
      </c>
    </row>
    <row r="52270" spans="8:8" x14ac:dyDescent="0.3">
      <c r="H52270" t="str">
        <f t="shared" si="866"/>
        <v/>
      </c>
    </row>
    <row r="52271" spans="8:8" x14ac:dyDescent="0.3">
      <c r="H52271" t="str">
        <f t="shared" si="866"/>
        <v/>
      </c>
    </row>
    <row r="52272" spans="8:8" x14ac:dyDescent="0.3">
      <c r="H52272" t="str">
        <f t="shared" si="866"/>
        <v/>
      </c>
    </row>
    <row r="52273" spans="8:8" x14ac:dyDescent="0.3">
      <c r="H52273" t="str">
        <f t="shared" si="866"/>
        <v/>
      </c>
    </row>
    <row r="52274" spans="8:8" x14ac:dyDescent="0.3">
      <c r="H52274" t="str">
        <f t="shared" si="866"/>
        <v/>
      </c>
    </row>
    <row r="52275" spans="8:8" x14ac:dyDescent="0.3">
      <c r="H52275" t="str">
        <f t="shared" si="866"/>
        <v/>
      </c>
    </row>
    <row r="52276" spans="8:8" x14ac:dyDescent="0.3">
      <c r="H52276" t="str">
        <f t="shared" si="866"/>
        <v/>
      </c>
    </row>
    <row r="52277" spans="8:8" x14ac:dyDescent="0.3">
      <c r="H52277" t="str">
        <f t="shared" si="866"/>
        <v/>
      </c>
    </row>
    <row r="52278" spans="8:8" x14ac:dyDescent="0.3">
      <c r="H52278" t="str">
        <f t="shared" si="866"/>
        <v/>
      </c>
    </row>
    <row r="52279" spans="8:8" x14ac:dyDescent="0.3">
      <c r="H52279" t="str">
        <f t="shared" si="866"/>
        <v/>
      </c>
    </row>
    <row r="52280" spans="8:8" x14ac:dyDescent="0.3">
      <c r="H52280" t="str">
        <f t="shared" si="866"/>
        <v/>
      </c>
    </row>
    <row r="52281" spans="8:8" x14ac:dyDescent="0.3">
      <c r="H52281" t="str">
        <f t="shared" si="866"/>
        <v/>
      </c>
    </row>
    <row r="52282" spans="8:8" x14ac:dyDescent="0.3">
      <c r="H52282" t="str">
        <f t="shared" si="866"/>
        <v/>
      </c>
    </row>
    <row r="52283" spans="8:8" x14ac:dyDescent="0.3">
      <c r="H52283" t="str">
        <f t="shared" si="866"/>
        <v/>
      </c>
    </row>
    <row r="52284" spans="8:8" x14ac:dyDescent="0.3">
      <c r="H52284" t="str">
        <f t="shared" si="866"/>
        <v/>
      </c>
    </row>
    <row r="52285" spans="8:8" x14ac:dyDescent="0.3">
      <c r="H52285" t="str">
        <f t="shared" si="866"/>
        <v/>
      </c>
    </row>
    <row r="52286" spans="8:8" x14ac:dyDescent="0.3">
      <c r="H52286" t="str">
        <f t="shared" si="866"/>
        <v/>
      </c>
    </row>
    <row r="52287" spans="8:8" x14ac:dyDescent="0.3">
      <c r="H52287" t="str">
        <f t="shared" si="866"/>
        <v/>
      </c>
    </row>
    <row r="52288" spans="8:8" x14ac:dyDescent="0.3">
      <c r="H52288" t="str">
        <f t="shared" si="866"/>
        <v/>
      </c>
    </row>
    <row r="52289" spans="8:8" x14ac:dyDescent="0.3">
      <c r="H52289" t="str">
        <f t="shared" si="866"/>
        <v/>
      </c>
    </row>
    <row r="52290" spans="8:8" x14ac:dyDescent="0.3">
      <c r="H52290" t="str">
        <f t="shared" si="866"/>
        <v/>
      </c>
    </row>
    <row r="52291" spans="8:8" x14ac:dyDescent="0.3">
      <c r="H52291" t="str">
        <f t="shared" si="866"/>
        <v/>
      </c>
    </row>
    <row r="52292" spans="8:8" x14ac:dyDescent="0.3">
      <c r="H52292" t="str">
        <f t="shared" si="866"/>
        <v/>
      </c>
    </row>
    <row r="52293" spans="8:8" x14ac:dyDescent="0.3">
      <c r="H52293" t="str">
        <f t="shared" si="866"/>
        <v/>
      </c>
    </row>
    <row r="52294" spans="8:8" x14ac:dyDescent="0.3">
      <c r="H52294" t="str">
        <f t="shared" si="866"/>
        <v/>
      </c>
    </row>
    <row r="52295" spans="8:8" x14ac:dyDescent="0.3">
      <c r="H52295" t="str">
        <f t="shared" si="866"/>
        <v/>
      </c>
    </row>
    <row r="52296" spans="8:8" x14ac:dyDescent="0.3">
      <c r="H52296" t="str">
        <f t="shared" si="866"/>
        <v/>
      </c>
    </row>
    <row r="52297" spans="8:8" x14ac:dyDescent="0.3">
      <c r="H52297" t="str">
        <f t="shared" si="866"/>
        <v/>
      </c>
    </row>
    <row r="52298" spans="8:8" x14ac:dyDescent="0.3">
      <c r="H52298" t="str">
        <f t="shared" si="866"/>
        <v/>
      </c>
    </row>
    <row r="52299" spans="8:8" x14ac:dyDescent="0.3">
      <c r="H52299" t="str">
        <f t="shared" si="866"/>
        <v/>
      </c>
    </row>
    <row r="52300" spans="8:8" x14ac:dyDescent="0.3">
      <c r="H52300" t="str">
        <f t="shared" si="866"/>
        <v/>
      </c>
    </row>
    <row r="52301" spans="8:8" x14ac:dyDescent="0.3">
      <c r="H52301" t="str">
        <f t="shared" si="866"/>
        <v/>
      </c>
    </row>
    <row r="52302" spans="8:8" x14ac:dyDescent="0.3">
      <c r="H52302" t="str">
        <f t="shared" si="866"/>
        <v/>
      </c>
    </row>
    <row r="52303" spans="8:8" x14ac:dyDescent="0.3">
      <c r="H52303" t="str">
        <f t="shared" si="866"/>
        <v/>
      </c>
    </row>
    <row r="52304" spans="8:8" x14ac:dyDescent="0.3">
      <c r="H52304" t="str">
        <f t="shared" si="866"/>
        <v/>
      </c>
    </row>
    <row r="52305" spans="8:8" x14ac:dyDescent="0.3">
      <c r="H52305" t="str">
        <f t="shared" si="866"/>
        <v/>
      </c>
    </row>
    <row r="52306" spans="8:8" x14ac:dyDescent="0.3">
      <c r="H52306" t="str">
        <f t="shared" si="866"/>
        <v/>
      </c>
    </row>
    <row r="52307" spans="8:8" x14ac:dyDescent="0.3">
      <c r="H52307" t="str">
        <f t="shared" si="866"/>
        <v/>
      </c>
    </row>
    <row r="52308" spans="8:8" x14ac:dyDescent="0.3">
      <c r="H52308" t="str">
        <f t="shared" si="866"/>
        <v/>
      </c>
    </row>
    <row r="52309" spans="8:8" x14ac:dyDescent="0.3">
      <c r="H52309" t="str">
        <f t="shared" si="866"/>
        <v/>
      </c>
    </row>
    <row r="52310" spans="8:8" x14ac:dyDescent="0.3">
      <c r="H52310" t="str">
        <f t="shared" si="866"/>
        <v/>
      </c>
    </row>
    <row r="52311" spans="8:8" x14ac:dyDescent="0.3">
      <c r="H52311" t="str">
        <f t="shared" ref="H52311:H52374" si="867">IF(B52311="","",$C$12)</f>
        <v/>
      </c>
    </row>
    <row r="52312" spans="8:8" x14ac:dyDescent="0.3">
      <c r="H52312" t="str">
        <f t="shared" si="867"/>
        <v/>
      </c>
    </row>
    <row r="52313" spans="8:8" x14ac:dyDescent="0.3">
      <c r="H52313" t="str">
        <f t="shared" si="867"/>
        <v/>
      </c>
    </row>
    <row r="52314" spans="8:8" x14ac:dyDescent="0.3">
      <c r="H52314" t="str">
        <f t="shared" si="867"/>
        <v/>
      </c>
    </row>
    <row r="52315" spans="8:8" x14ac:dyDescent="0.3">
      <c r="H52315" t="str">
        <f t="shared" si="867"/>
        <v/>
      </c>
    </row>
    <row r="52316" spans="8:8" x14ac:dyDescent="0.3">
      <c r="H52316" t="str">
        <f t="shared" si="867"/>
        <v/>
      </c>
    </row>
    <row r="52317" spans="8:8" x14ac:dyDescent="0.3">
      <c r="H52317" t="str">
        <f t="shared" si="867"/>
        <v/>
      </c>
    </row>
    <row r="52318" spans="8:8" x14ac:dyDescent="0.3">
      <c r="H52318" t="str">
        <f t="shared" si="867"/>
        <v/>
      </c>
    </row>
    <row r="52319" spans="8:8" x14ac:dyDescent="0.3">
      <c r="H52319" t="str">
        <f t="shared" si="867"/>
        <v/>
      </c>
    </row>
    <row r="52320" spans="8:8" x14ac:dyDescent="0.3">
      <c r="H52320" t="str">
        <f t="shared" si="867"/>
        <v/>
      </c>
    </row>
    <row r="52321" spans="8:8" x14ac:dyDescent="0.3">
      <c r="H52321" t="str">
        <f t="shared" si="867"/>
        <v/>
      </c>
    </row>
    <row r="52322" spans="8:8" x14ac:dyDescent="0.3">
      <c r="H52322" t="str">
        <f t="shared" si="867"/>
        <v/>
      </c>
    </row>
    <row r="52323" spans="8:8" x14ac:dyDescent="0.3">
      <c r="H52323" t="str">
        <f t="shared" si="867"/>
        <v/>
      </c>
    </row>
    <row r="52324" spans="8:8" x14ac:dyDescent="0.3">
      <c r="H52324" t="str">
        <f t="shared" si="867"/>
        <v/>
      </c>
    </row>
    <row r="52325" spans="8:8" x14ac:dyDescent="0.3">
      <c r="H52325" t="str">
        <f t="shared" si="867"/>
        <v/>
      </c>
    </row>
    <row r="52326" spans="8:8" x14ac:dyDescent="0.3">
      <c r="H52326" t="str">
        <f t="shared" si="867"/>
        <v/>
      </c>
    </row>
    <row r="52327" spans="8:8" x14ac:dyDescent="0.3">
      <c r="H52327" t="str">
        <f t="shared" si="867"/>
        <v/>
      </c>
    </row>
    <row r="52328" spans="8:8" x14ac:dyDescent="0.3">
      <c r="H52328" t="str">
        <f t="shared" si="867"/>
        <v/>
      </c>
    </row>
    <row r="52329" spans="8:8" x14ac:dyDescent="0.3">
      <c r="H52329" t="str">
        <f t="shared" si="867"/>
        <v/>
      </c>
    </row>
    <row r="52330" spans="8:8" x14ac:dyDescent="0.3">
      <c r="H52330" t="str">
        <f t="shared" si="867"/>
        <v/>
      </c>
    </row>
    <row r="52331" spans="8:8" x14ac:dyDescent="0.3">
      <c r="H52331" t="str">
        <f t="shared" si="867"/>
        <v/>
      </c>
    </row>
    <row r="52332" spans="8:8" x14ac:dyDescent="0.3">
      <c r="H52332" t="str">
        <f t="shared" si="867"/>
        <v/>
      </c>
    </row>
    <row r="52333" spans="8:8" x14ac:dyDescent="0.3">
      <c r="H52333" t="str">
        <f t="shared" si="867"/>
        <v/>
      </c>
    </row>
    <row r="52334" spans="8:8" x14ac:dyDescent="0.3">
      <c r="H52334" t="str">
        <f t="shared" si="867"/>
        <v/>
      </c>
    </row>
    <row r="52335" spans="8:8" x14ac:dyDescent="0.3">
      <c r="H52335" t="str">
        <f t="shared" si="867"/>
        <v/>
      </c>
    </row>
    <row r="52336" spans="8:8" x14ac:dyDescent="0.3">
      <c r="H52336" t="str">
        <f t="shared" si="867"/>
        <v/>
      </c>
    </row>
    <row r="52337" spans="8:8" x14ac:dyDescent="0.3">
      <c r="H52337" t="str">
        <f t="shared" si="867"/>
        <v/>
      </c>
    </row>
    <row r="52338" spans="8:8" x14ac:dyDescent="0.3">
      <c r="H52338" t="str">
        <f t="shared" si="867"/>
        <v/>
      </c>
    </row>
    <row r="52339" spans="8:8" x14ac:dyDescent="0.3">
      <c r="H52339" t="str">
        <f t="shared" si="867"/>
        <v/>
      </c>
    </row>
    <row r="52340" spans="8:8" x14ac:dyDescent="0.3">
      <c r="H52340" t="str">
        <f t="shared" si="867"/>
        <v/>
      </c>
    </row>
    <row r="52341" spans="8:8" x14ac:dyDescent="0.3">
      <c r="H52341" t="str">
        <f t="shared" si="867"/>
        <v/>
      </c>
    </row>
    <row r="52342" spans="8:8" x14ac:dyDescent="0.3">
      <c r="H52342" t="str">
        <f t="shared" si="867"/>
        <v/>
      </c>
    </row>
    <row r="52343" spans="8:8" x14ac:dyDescent="0.3">
      <c r="H52343" t="str">
        <f t="shared" si="867"/>
        <v/>
      </c>
    </row>
    <row r="52344" spans="8:8" x14ac:dyDescent="0.3">
      <c r="H52344" t="str">
        <f t="shared" si="867"/>
        <v/>
      </c>
    </row>
    <row r="52345" spans="8:8" x14ac:dyDescent="0.3">
      <c r="H52345" t="str">
        <f t="shared" si="867"/>
        <v/>
      </c>
    </row>
    <row r="52346" spans="8:8" x14ac:dyDescent="0.3">
      <c r="H52346" t="str">
        <f t="shared" si="867"/>
        <v/>
      </c>
    </row>
    <row r="52347" spans="8:8" x14ac:dyDescent="0.3">
      <c r="H52347" t="str">
        <f t="shared" si="867"/>
        <v/>
      </c>
    </row>
    <row r="52348" spans="8:8" x14ac:dyDescent="0.3">
      <c r="H52348" t="str">
        <f t="shared" si="867"/>
        <v/>
      </c>
    </row>
    <row r="52349" spans="8:8" x14ac:dyDescent="0.3">
      <c r="H52349" t="str">
        <f t="shared" si="867"/>
        <v/>
      </c>
    </row>
    <row r="52350" spans="8:8" x14ac:dyDescent="0.3">
      <c r="H52350" t="str">
        <f t="shared" si="867"/>
        <v/>
      </c>
    </row>
    <row r="52351" spans="8:8" x14ac:dyDescent="0.3">
      <c r="H52351" t="str">
        <f t="shared" si="867"/>
        <v/>
      </c>
    </row>
    <row r="52352" spans="8:8" x14ac:dyDescent="0.3">
      <c r="H52352" t="str">
        <f t="shared" si="867"/>
        <v/>
      </c>
    </row>
    <row r="52353" spans="8:8" x14ac:dyDescent="0.3">
      <c r="H52353" t="str">
        <f t="shared" si="867"/>
        <v/>
      </c>
    </row>
    <row r="52354" spans="8:8" x14ac:dyDescent="0.3">
      <c r="H52354" t="str">
        <f t="shared" si="867"/>
        <v/>
      </c>
    </row>
    <row r="52355" spans="8:8" x14ac:dyDescent="0.3">
      <c r="H52355" t="str">
        <f t="shared" si="867"/>
        <v/>
      </c>
    </row>
    <row r="52356" spans="8:8" x14ac:dyDescent="0.3">
      <c r="H52356" t="str">
        <f t="shared" si="867"/>
        <v/>
      </c>
    </row>
    <row r="52357" spans="8:8" x14ac:dyDescent="0.3">
      <c r="H52357" t="str">
        <f t="shared" si="867"/>
        <v/>
      </c>
    </row>
    <row r="52358" spans="8:8" x14ac:dyDescent="0.3">
      <c r="H52358" t="str">
        <f t="shared" si="867"/>
        <v/>
      </c>
    </row>
    <row r="52359" spans="8:8" x14ac:dyDescent="0.3">
      <c r="H52359" t="str">
        <f t="shared" si="867"/>
        <v/>
      </c>
    </row>
    <row r="52360" spans="8:8" x14ac:dyDescent="0.3">
      <c r="H52360" t="str">
        <f t="shared" si="867"/>
        <v/>
      </c>
    </row>
    <row r="52361" spans="8:8" x14ac:dyDescent="0.3">
      <c r="H52361" t="str">
        <f t="shared" si="867"/>
        <v/>
      </c>
    </row>
    <row r="52362" spans="8:8" x14ac:dyDescent="0.3">
      <c r="H52362" t="str">
        <f t="shared" si="867"/>
        <v/>
      </c>
    </row>
    <row r="52363" spans="8:8" x14ac:dyDescent="0.3">
      <c r="H52363" t="str">
        <f t="shared" si="867"/>
        <v/>
      </c>
    </row>
    <row r="52364" spans="8:8" x14ac:dyDescent="0.3">
      <c r="H52364" t="str">
        <f t="shared" si="867"/>
        <v/>
      </c>
    </row>
    <row r="52365" spans="8:8" x14ac:dyDescent="0.3">
      <c r="H52365" t="str">
        <f t="shared" si="867"/>
        <v/>
      </c>
    </row>
    <row r="52366" spans="8:8" x14ac:dyDescent="0.3">
      <c r="H52366" t="str">
        <f t="shared" si="867"/>
        <v/>
      </c>
    </row>
    <row r="52367" spans="8:8" x14ac:dyDescent="0.3">
      <c r="H52367" t="str">
        <f t="shared" si="867"/>
        <v/>
      </c>
    </row>
    <row r="52368" spans="8:8" x14ac:dyDescent="0.3">
      <c r="H52368" t="str">
        <f t="shared" si="867"/>
        <v/>
      </c>
    </row>
    <row r="52369" spans="8:8" x14ac:dyDescent="0.3">
      <c r="H52369" t="str">
        <f t="shared" si="867"/>
        <v/>
      </c>
    </row>
    <row r="52370" spans="8:8" x14ac:dyDescent="0.3">
      <c r="H52370" t="str">
        <f t="shared" si="867"/>
        <v/>
      </c>
    </row>
    <row r="52371" spans="8:8" x14ac:dyDescent="0.3">
      <c r="H52371" t="str">
        <f t="shared" si="867"/>
        <v/>
      </c>
    </row>
    <row r="52372" spans="8:8" x14ac:dyDescent="0.3">
      <c r="H52372" t="str">
        <f t="shared" si="867"/>
        <v/>
      </c>
    </row>
    <row r="52373" spans="8:8" x14ac:dyDescent="0.3">
      <c r="H52373" t="str">
        <f t="shared" si="867"/>
        <v/>
      </c>
    </row>
    <row r="52374" spans="8:8" x14ac:dyDescent="0.3">
      <c r="H52374" t="str">
        <f t="shared" si="867"/>
        <v/>
      </c>
    </row>
    <row r="52375" spans="8:8" x14ac:dyDescent="0.3">
      <c r="H52375" t="str">
        <f t="shared" ref="H52375:H52438" si="868">IF(B52375="","",$C$12)</f>
        <v/>
      </c>
    </row>
    <row r="52376" spans="8:8" x14ac:dyDescent="0.3">
      <c r="H52376" t="str">
        <f t="shared" si="868"/>
        <v/>
      </c>
    </row>
    <row r="52377" spans="8:8" x14ac:dyDescent="0.3">
      <c r="H52377" t="str">
        <f t="shared" si="868"/>
        <v/>
      </c>
    </row>
    <row r="52378" spans="8:8" x14ac:dyDescent="0.3">
      <c r="H52378" t="str">
        <f t="shared" si="868"/>
        <v/>
      </c>
    </row>
    <row r="52379" spans="8:8" x14ac:dyDescent="0.3">
      <c r="H52379" t="str">
        <f t="shared" si="868"/>
        <v/>
      </c>
    </row>
    <row r="52380" spans="8:8" x14ac:dyDescent="0.3">
      <c r="H52380" t="str">
        <f t="shared" si="868"/>
        <v/>
      </c>
    </row>
    <row r="52381" spans="8:8" x14ac:dyDescent="0.3">
      <c r="H52381" t="str">
        <f t="shared" si="868"/>
        <v/>
      </c>
    </row>
    <row r="52382" spans="8:8" x14ac:dyDescent="0.3">
      <c r="H52382" t="str">
        <f t="shared" si="868"/>
        <v/>
      </c>
    </row>
    <row r="52383" spans="8:8" x14ac:dyDescent="0.3">
      <c r="H52383" t="str">
        <f t="shared" si="868"/>
        <v/>
      </c>
    </row>
    <row r="52384" spans="8:8" x14ac:dyDescent="0.3">
      <c r="H52384" t="str">
        <f t="shared" si="868"/>
        <v/>
      </c>
    </row>
    <row r="52385" spans="8:8" x14ac:dyDescent="0.3">
      <c r="H52385" t="str">
        <f t="shared" si="868"/>
        <v/>
      </c>
    </row>
    <row r="52386" spans="8:8" x14ac:dyDescent="0.3">
      <c r="H52386" t="str">
        <f t="shared" si="868"/>
        <v/>
      </c>
    </row>
    <row r="52387" spans="8:8" x14ac:dyDescent="0.3">
      <c r="H52387" t="str">
        <f t="shared" si="868"/>
        <v/>
      </c>
    </row>
    <row r="52388" spans="8:8" x14ac:dyDescent="0.3">
      <c r="H52388" t="str">
        <f t="shared" si="868"/>
        <v/>
      </c>
    </row>
    <row r="52389" spans="8:8" x14ac:dyDescent="0.3">
      <c r="H52389" t="str">
        <f t="shared" si="868"/>
        <v/>
      </c>
    </row>
    <row r="52390" spans="8:8" x14ac:dyDescent="0.3">
      <c r="H52390" t="str">
        <f t="shared" si="868"/>
        <v/>
      </c>
    </row>
    <row r="52391" spans="8:8" x14ac:dyDescent="0.3">
      <c r="H52391" t="str">
        <f t="shared" si="868"/>
        <v/>
      </c>
    </row>
    <row r="52392" spans="8:8" x14ac:dyDescent="0.3">
      <c r="H52392" t="str">
        <f t="shared" si="868"/>
        <v/>
      </c>
    </row>
    <row r="52393" spans="8:8" x14ac:dyDescent="0.3">
      <c r="H52393" t="str">
        <f t="shared" si="868"/>
        <v/>
      </c>
    </row>
    <row r="52394" spans="8:8" x14ac:dyDescent="0.3">
      <c r="H52394" t="str">
        <f t="shared" si="868"/>
        <v/>
      </c>
    </row>
    <row r="52395" spans="8:8" x14ac:dyDescent="0.3">
      <c r="H52395" t="str">
        <f t="shared" si="868"/>
        <v/>
      </c>
    </row>
    <row r="52396" spans="8:8" x14ac:dyDescent="0.3">
      <c r="H52396" t="str">
        <f t="shared" si="868"/>
        <v/>
      </c>
    </row>
    <row r="52397" spans="8:8" x14ac:dyDescent="0.3">
      <c r="H52397" t="str">
        <f t="shared" si="868"/>
        <v/>
      </c>
    </row>
    <row r="52398" spans="8:8" x14ac:dyDescent="0.3">
      <c r="H52398" t="str">
        <f t="shared" si="868"/>
        <v/>
      </c>
    </row>
    <row r="52399" spans="8:8" x14ac:dyDescent="0.3">
      <c r="H52399" t="str">
        <f t="shared" si="868"/>
        <v/>
      </c>
    </row>
    <row r="52400" spans="8:8" x14ac:dyDescent="0.3">
      <c r="H52400" t="str">
        <f t="shared" si="868"/>
        <v/>
      </c>
    </row>
    <row r="52401" spans="8:8" x14ac:dyDescent="0.3">
      <c r="H52401" t="str">
        <f t="shared" si="868"/>
        <v/>
      </c>
    </row>
    <row r="52402" spans="8:8" x14ac:dyDescent="0.3">
      <c r="H52402" t="str">
        <f t="shared" si="868"/>
        <v/>
      </c>
    </row>
    <row r="52403" spans="8:8" x14ac:dyDescent="0.3">
      <c r="H52403" t="str">
        <f t="shared" si="868"/>
        <v/>
      </c>
    </row>
    <row r="52404" spans="8:8" x14ac:dyDescent="0.3">
      <c r="H52404" t="str">
        <f t="shared" si="868"/>
        <v/>
      </c>
    </row>
    <row r="52405" spans="8:8" x14ac:dyDescent="0.3">
      <c r="H52405" t="str">
        <f t="shared" si="868"/>
        <v/>
      </c>
    </row>
    <row r="52406" spans="8:8" x14ac:dyDescent="0.3">
      <c r="H52406" t="str">
        <f t="shared" si="868"/>
        <v/>
      </c>
    </row>
    <row r="52407" spans="8:8" x14ac:dyDescent="0.3">
      <c r="H52407" t="str">
        <f t="shared" si="868"/>
        <v/>
      </c>
    </row>
    <row r="52408" spans="8:8" x14ac:dyDescent="0.3">
      <c r="H52408" t="str">
        <f t="shared" si="868"/>
        <v/>
      </c>
    </row>
    <row r="52409" spans="8:8" x14ac:dyDescent="0.3">
      <c r="H52409" t="str">
        <f t="shared" si="868"/>
        <v/>
      </c>
    </row>
    <row r="52410" spans="8:8" x14ac:dyDescent="0.3">
      <c r="H52410" t="str">
        <f t="shared" si="868"/>
        <v/>
      </c>
    </row>
    <row r="52411" spans="8:8" x14ac:dyDescent="0.3">
      <c r="H52411" t="str">
        <f t="shared" si="868"/>
        <v/>
      </c>
    </row>
    <row r="52412" spans="8:8" x14ac:dyDescent="0.3">
      <c r="H52412" t="str">
        <f t="shared" si="868"/>
        <v/>
      </c>
    </row>
    <row r="52413" spans="8:8" x14ac:dyDescent="0.3">
      <c r="H52413" t="str">
        <f t="shared" si="868"/>
        <v/>
      </c>
    </row>
    <row r="52414" spans="8:8" x14ac:dyDescent="0.3">
      <c r="H52414" t="str">
        <f t="shared" si="868"/>
        <v/>
      </c>
    </row>
    <row r="52415" spans="8:8" x14ac:dyDescent="0.3">
      <c r="H52415" t="str">
        <f t="shared" si="868"/>
        <v/>
      </c>
    </row>
    <row r="52416" spans="8:8" x14ac:dyDescent="0.3">
      <c r="H52416" t="str">
        <f t="shared" si="868"/>
        <v/>
      </c>
    </row>
    <row r="52417" spans="8:8" x14ac:dyDescent="0.3">
      <c r="H52417" t="str">
        <f t="shared" si="868"/>
        <v/>
      </c>
    </row>
    <row r="52418" spans="8:8" x14ac:dyDescent="0.3">
      <c r="H52418" t="str">
        <f t="shared" si="868"/>
        <v/>
      </c>
    </row>
    <row r="52419" spans="8:8" x14ac:dyDescent="0.3">
      <c r="H52419" t="str">
        <f t="shared" si="868"/>
        <v/>
      </c>
    </row>
    <row r="52420" spans="8:8" x14ac:dyDescent="0.3">
      <c r="H52420" t="str">
        <f t="shared" si="868"/>
        <v/>
      </c>
    </row>
    <row r="52421" spans="8:8" x14ac:dyDescent="0.3">
      <c r="H52421" t="str">
        <f t="shared" si="868"/>
        <v/>
      </c>
    </row>
    <row r="52422" spans="8:8" x14ac:dyDescent="0.3">
      <c r="H52422" t="str">
        <f t="shared" si="868"/>
        <v/>
      </c>
    </row>
    <row r="52423" spans="8:8" x14ac:dyDescent="0.3">
      <c r="H52423" t="str">
        <f t="shared" si="868"/>
        <v/>
      </c>
    </row>
    <row r="52424" spans="8:8" x14ac:dyDescent="0.3">
      <c r="H52424" t="str">
        <f t="shared" si="868"/>
        <v/>
      </c>
    </row>
    <row r="52425" spans="8:8" x14ac:dyDescent="0.3">
      <c r="H52425" t="str">
        <f t="shared" si="868"/>
        <v/>
      </c>
    </row>
    <row r="52426" spans="8:8" x14ac:dyDescent="0.3">
      <c r="H52426" t="str">
        <f t="shared" si="868"/>
        <v/>
      </c>
    </row>
    <row r="52427" spans="8:8" x14ac:dyDescent="0.3">
      <c r="H52427" t="str">
        <f t="shared" si="868"/>
        <v/>
      </c>
    </row>
    <row r="52428" spans="8:8" x14ac:dyDescent="0.3">
      <c r="H52428" t="str">
        <f t="shared" si="868"/>
        <v/>
      </c>
    </row>
    <row r="52429" spans="8:8" x14ac:dyDescent="0.3">
      <c r="H52429" t="str">
        <f t="shared" si="868"/>
        <v/>
      </c>
    </row>
    <row r="52430" spans="8:8" x14ac:dyDescent="0.3">
      <c r="H52430" t="str">
        <f t="shared" si="868"/>
        <v/>
      </c>
    </row>
    <row r="52431" spans="8:8" x14ac:dyDescent="0.3">
      <c r="H52431" t="str">
        <f t="shared" si="868"/>
        <v/>
      </c>
    </row>
    <row r="52432" spans="8:8" x14ac:dyDescent="0.3">
      <c r="H52432" t="str">
        <f t="shared" si="868"/>
        <v/>
      </c>
    </row>
    <row r="52433" spans="8:8" x14ac:dyDescent="0.3">
      <c r="H52433" t="str">
        <f t="shared" si="868"/>
        <v/>
      </c>
    </row>
    <row r="52434" spans="8:8" x14ac:dyDescent="0.3">
      <c r="H52434" t="str">
        <f t="shared" si="868"/>
        <v/>
      </c>
    </row>
    <row r="52435" spans="8:8" x14ac:dyDescent="0.3">
      <c r="H52435" t="str">
        <f t="shared" si="868"/>
        <v/>
      </c>
    </row>
    <row r="52436" spans="8:8" x14ac:dyDescent="0.3">
      <c r="H52436" t="str">
        <f t="shared" si="868"/>
        <v/>
      </c>
    </row>
    <row r="52437" spans="8:8" x14ac:dyDescent="0.3">
      <c r="H52437" t="str">
        <f t="shared" si="868"/>
        <v/>
      </c>
    </row>
    <row r="52438" spans="8:8" x14ac:dyDescent="0.3">
      <c r="H52438" t="str">
        <f t="shared" si="868"/>
        <v/>
      </c>
    </row>
    <row r="52439" spans="8:8" x14ac:dyDescent="0.3">
      <c r="H52439" t="str">
        <f t="shared" ref="H52439:H52502" si="869">IF(B52439="","",$C$12)</f>
        <v/>
      </c>
    </row>
    <row r="52440" spans="8:8" x14ac:dyDescent="0.3">
      <c r="H52440" t="str">
        <f t="shared" si="869"/>
        <v/>
      </c>
    </row>
    <row r="52441" spans="8:8" x14ac:dyDescent="0.3">
      <c r="H52441" t="str">
        <f t="shared" si="869"/>
        <v/>
      </c>
    </row>
    <row r="52442" spans="8:8" x14ac:dyDescent="0.3">
      <c r="H52442" t="str">
        <f t="shared" si="869"/>
        <v/>
      </c>
    </row>
    <row r="52443" spans="8:8" x14ac:dyDescent="0.3">
      <c r="H52443" t="str">
        <f t="shared" si="869"/>
        <v/>
      </c>
    </row>
    <row r="52444" spans="8:8" x14ac:dyDescent="0.3">
      <c r="H52444" t="str">
        <f t="shared" si="869"/>
        <v/>
      </c>
    </row>
    <row r="52445" spans="8:8" x14ac:dyDescent="0.3">
      <c r="H52445" t="str">
        <f t="shared" si="869"/>
        <v/>
      </c>
    </row>
    <row r="52446" spans="8:8" x14ac:dyDescent="0.3">
      <c r="H52446" t="str">
        <f t="shared" si="869"/>
        <v/>
      </c>
    </row>
    <row r="52447" spans="8:8" x14ac:dyDescent="0.3">
      <c r="H52447" t="str">
        <f t="shared" si="869"/>
        <v/>
      </c>
    </row>
    <row r="52448" spans="8:8" x14ac:dyDescent="0.3">
      <c r="H52448" t="str">
        <f t="shared" si="869"/>
        <v/>
      </c>
    </row>
    <row r="52449" spans="8:8" x14ac:dyDescent="0.3">
      <c r="H52449" t="str">
        <f t="shared" si="869"/>
        <v/>
      </c>
    </row>
    <row r="52450" spans="8:8" x14ac:dyDescent="0.3">
      <c r="H52450" t="str">
        <f t="shared" si="869"/>
        <v/>
      </c>
    </row>
    <row r="52451" spans="8:8" x14ac:dyDescent="0.3">
      <c r="H52451" t="str">
        <f t="shared" si="869"/>
        <v/>
      </c>
    </row>
    <row r="52452" spans="8:8" x14ac:dyDescent="0.3">
      <c r="H52452" t="str">
        <f t="shared" si="869"/>
        <v/>
      </c>
    </row>
    <row r="52453" spans="8:8" x14ac:dyDescent="0.3">
      <c r="H52453" t="str">
        <f t="shared" si="869"/>
        <v/>
      </c>
    </row>
    <row r="52454" spans="8:8" x14ac:dyDescent="0.3">
      <c r="H52454" t="str">
        <f t="shared" si="869"/>
        <v/>
      </c>
    </row>
    <row r="52455" spans="8:8" x14ac:dyDescent="0.3">
      <c r="H52455" t="str">
        <f t="shared" si="869"/>
        <v/>
      </c>
    </row>
    <row r="52456" spans="8:8" x14ac:dyDescent="0.3">
      <c r="H52456" t="str">
        <f t="shared" si="869"/>
        <v/>
      </c>
    </row>
    <row r="52457" spans="8:8" x14ac:dyDescent="0.3">
      <c r="H52457" t="str">
        <f t="shared" si="869"/>
        <v/>
      </c>
    </row>
    <row r="52458" spans="8:8" x14ac:dyDescent="0.3">
      <c r="H52458" t="str">
        <f t="shared" si="869"/>
        <v/>
      </c>
    </row>
    <row r="52459" spans="8:8" x14ac:dyDescent="0.3">
      <c r="H52459" t="str">
        <f t="shared" si="869"/>
        <v/>
      </c>
    </row>
    <row r="52460" spans="8:8" x14ac:dyDescent="0.3">
      <c r="H52460" t="str">
        <f t="shared" si="869"/>
        <v/>
      </c>
    </row>
    <row r="52461" spans="8:8" x14ac:dyDescent="0.3">
      <c r="H52461" t="str">
        <f t="shared" si="869"/>
        <v/>
      </c>
    </row>
    <row r="52462" spans="8:8" x14ac:dyDescent="0.3">
      <c r="H52462" t="str">
        <f t="shared" si="869"/>
        <v/>
      </c>
    </row>
    <row r="52463" spans="8:8" x14ac:dyDescent="0.3">
      <c r="H52463" t="str">
        <f t="shared" si="869"/>
        <v/>
      </c>
    </row>
    <row r="52464" spans="8:8" x14ac:dyDescent="0.3">
      <c r="H52464" t="str">
        <f t="shared" si="869"/>
        <v/>
      </c>
    </row>
    <row r="52465" spans="8:8" x14ac:dyDescent="0.3">
      <c r="H52465" t="str">
        <f t="shared" si="869"/>
        <v/>
      </c>
    </row>
    <row r="52466" spans="8:8" x14ac:dyDescent="0.3">
      <c r="H52466" t="str">
        <f t="shared" si="869"/>
        <v/>
      </c>
    </row>
    <row r="52467" spans="8:8" x14ac:dyDescent="0.3">
      <c r="H52467" t="str">
        <f t="shared" si="869"/>
        <v/>
      </c>
    </row>
    <row r="52468" spans="8:8" x14ac:dyDescent="0.3">
      <c r="H52468" t="str">
        <f t="shared" si="869"/>
        <v/>
      </c>
    </row>
    <row r="52469" spans="8:8" x14ac:dyDescent="0.3">
      <c r="H52469" t="str">
        <f t="shared" si="869"/>
        <v/>
      </c>
    </row>
    <row r="52470" spans="8:8" x14ac:dyDescent="0.3">
      <c r="H52470" t="str">
        <f t="shared" si="869"/>
        <v/>
      </c>
    </row>
    <row r="52471" spans="8:8" x14ac:dyDescent="0.3">
      <c r="H52471" t="str">
        <f t="shared" si="869"/>
        <v/>
      </c>
    </row>
    <row r="52472" spans="8:8" x14ac:dyDescent="0.3">
      <c r="H52472" t="str">
        <f t="shared" si="869"/>
        <v/>
      </c>
    </row>
    <row r="52473" spans="8:8" x14ac:dyDescent="0.3">
      <c r="H52473" t="str">
        <f t="shared" si="869"/>
        <v/>
      </c>
    </row>
    <row r="52474" spans="8:8" x14ac:dyDescent="0.3">
      <c r="H52474" t="str">
        <f t="shared" si="869"/>
        <v/>
      </c>
    </row>
    <row r="52475" spans="8:8" x14ac:dyDescent="0.3">
      <c r="H52475" t="str">
        <f t="shared" si="869"/>
        <v/>
      </c>
    </row>
    <row r="52476" spans="8:8" x14ac:dyDescent="0.3">
      <c r="H52476" t="str">
        <f t="shared" si="869"/>
        <v/>
      </c>
    </row>
    <row r="52477" spans="8:8" x14ac:dyDescent="0.3">
      <c r="H52477" t="str">
        <f t="shared" si="869"/>
        <v/>
      </c>
    </row>
    <row r="52478" spans="8:8" x14ac:dyDescent="0.3">
      <c r="H52478" t="str">
        <f t="shared" si="869"/>
        <v/>
      </c>
    </row>
    <row r="52479" spans="8:8" x14ac:dyDescent="0.3">
      <c r="H52479" t="str">
        <f t="shared" si="869"/>
        <v/>
      </c>
    </row>
    <row r="52480" spans="8:8" x14ac:dyDescent="0.3">
      <c r="H52480" t="str">
        <f t="shared" si="869"/>
        <v/>
      </c>
    </row>
    <row r="52481" spans="8:8" x14ac:dyDescent="0.3">
      <c r="H52481" t="str">
        <f t="shared" si="869"/>
        <v/>
      </c>
    </row>
    <row r="52482" spans="8:8" x14ac:dyDescent="0.3">
      <c r="H52482" t="str">
        <f t="shared" si="869"/>
        <v/>
      </c>
    </row>
    <row r="52483" spans="8:8" x14ac:dyDescent="0.3">
      <c r="H52483" t="str">
        <f t="shared" si="869"/>
        <v/>
      </c>
    </row>
    <row r="52484" spans="8:8" x14ac:dyDescent="0.3">
      <c r="H52484" t="str">
        <f t="shared" si="869"/>
        <v/>
      </c>
    </row>
    <row r="52485" spans="8:8" x14ac:dyDescent="0.3">
      <c r="H52485" t="str">
        <f t="shared" si="869"/>
        <v/>
      </c>
    </row>
    <row r="52486" spans="8:8" x14ac:dyDescent="0.3">
      <c r="H52486" t="str">
        <f t="shared" si="869"/>
        <v/>
      </c>
    </row>
    <row r="52487" spans="8:8" x14ac:dyDescent="0.3">
      <c r="H52487" t="str">
        <f t="shared" si="869"/>
        <v/>
      </c>
    </row>
    <row r="52488" spans="8:8" x14ac:dyDescent="0.3">
      <c r="H52488" t="str">
        <f t="shared" si="869"/>
        <v/>
      </c>
    </row>
    <row r="52489" spans="8:8" x14ac:dyDescent="0.3">
      <c r="H52489" t="str">
        <f t="shared" si="869"/>
        <v/>
      </c>
    </row>
    <row r="52490" spans="8:8" x14ac:dyDescent="0.3">
      <c r="H52490" t="str">
        <f t="shared" si="869"/>
        <v/>
      </c>
    </row>
    <row r="52491" spans="8:8" x14ac:dyDescent="0.3">
      <c r="H52491" t="str">
        <f t="shared" si="869"/>
        <v/>
      </c>
    </row>
    <row r="52492" spans="8:8" x14ac:dyDescent="0.3">
      <c r="H52492" t="str">
        <f t="shared" si="869"/>
        <v/>
      </c>
    </row>
    <row r="52493" spans="8:8" x14ac:dyDescent="0.3">
      <c r="H52493" t="str">
        <f t="shared" si="869"/>
        <v/>
      </c>
    </row>
    <row r="52494" spans="8:8" x14ac:dyDescent="0.3">
      <c r="H52494" t="str">
        <f t="shared" si="869"/>
        <v/>
      </c>
    </row>
    <row r="52495" spans="8:8" x14ac:dyDescent="0.3">
      <c r="H52495" t="str">
        <f t="shared" si="869"/>
        <v/>
      </c>
    </row>
    <row r="52496" spans="8:8" x14ac:dyDescent="0.3">
      <c r="H52496" t="str">
        <f t="shared" si="869"/>
        <v/>
      </c>
    </row>
    <row r="52497" spans="8:8" x14ac:dyDescent="0.3">
      <c r="H52497" t="str">
        <f t="shared" si="869"/>
        <v/>
      </c>
    </row>
    <row r="52498" spans="8:8" x14ac:dyDescent="0.3">
      <c r="H52498" t="str">
        <f t="shared" si="869"/>
        <v/>
      </c>
    </row>
    <row r="52499" spans="8:8" x14ac:dyDescent="0.3">
      <c r="H52499" t="str">
        <f t="shared" si="869"/>
        <v/>
      </c>
    </row>
    <row r="52500" spans="8:8" x14ac:dyDescent="0.3">
      <c r="H52500" t="str">
        <f t="shared" si="869"/>
        <v/>
      </c>
    </row>
    <row r="52501" spans="8:8" x14ac:dyDescent="0.3">
      <c r="H52501" t="str">
        <f t="shared" si="869"/>
        <v/>
      </c>
    </row>
    <row r="52502" spans="8:8" x14ac:dyDescent="0.3">
      <c r="H52502" t="str">
        <f t="shared" si="869"/>
        <v/>
      </c>
    </row>
    <row r="52503" spans="8:8" x14ac:dyDescent="0.3">
      <c r="H52503" t="str">
        <f t="shared" ref="H52503:H52566" si="870">IF(B52503="","",$C$12)</f>
        <v/>
      </c>
    </row>
    <row r="52504" spans="8:8" x14ac:dyDescent="0.3">
      <c r="H52504" t="str">
        <f t="shared" si="870"/>
        <v/>
      </c>
    </row>
    <row r="52505" spans="8:8" x14ac:dyDescent="0.3">
      <c r="H52505" t="str">
        <f t="shared" si="870"/>
        <v/>
      </c>
    </row>
    <row r="52506" spans="8:8" x14ac:dyDescent="0.3">
      <c r="H52506" t="str">
        <f t="shared" si="870"/>
        <v/>
      </c>
    </row>
    <row r="52507" spans="8:8" x14ac:dyDescent="0.3">
      <c r="H52507" t="str">
        <f t="shared" si="870"/>
        <v/>
      </c>
    </row>
    <row r="52508" spans="8:8" x14ac:dyDescent="0.3">
      <c r="H52508" t="str">
        <f t="shared" si="870"/>
        <v/>
      </c>
    </row>
    <row r="52509" spans="8:8" x14ac:dyDescent="0.3">
      <c r="H52509" t="str">
        <f t="shared" si="870"/>
        <v/>
      </c>
    </row>
    <row r="52510" spans="8:8" x14ac:dyDescent="0.3">
      <c r="H52510" t="str">
        <f t="shared" si="870"/>
        <v/>
      </c>
    </row>
    <row r="52511" spans="8:8" x14ac:dyDescent="0.3">
      <c r="H52511" t="str">
        <f t="shared" si="870"/>
        <v/>
      </c>
    </row>
    <row r="52512" spans="8:8" x14ac:dyDescent="0.3">
      <c r="H52512" t="str">
        <f t="shared" si="870"/>
        <v/>
      </c>
    </row>
    <row r="52513" spans="8:8" x14ac:dyDescent="0.3">
      <c r="H52513" t="str">
        <f t="shared" si="870"/>
        <v/>
      </c>
    </row>
    <row r="52514" spans="8:8" x14ac:dyDescent="0.3">
      <c r="H52514" t="str">
        <f t="shared" si="870"/>
        <v/>
      </c>
    </row>
    <row r="52515" spans="8:8" x14ac:dyDescent="0.3">
      <c r="H52515" t="str">
        <f t="shared" si="870"/>
        <v/>
      </c>
    </row>
    <row r="52516" spans="8:8" x14ac:dyDescent="0.3">
      <c r="H52516" t="str">
        <f t="shared" si="870"/>
        <v/>
      </c>
    </row>
    <row r="52517" spans="8:8" x14ac:dyDescent="0.3">
      <c r="H52517" t="str">
        <f t="shared" si="870"/>
        <v/>
      </c>
    </row>
    <row r="52518" spans="8:8" x14ac:dyDescent="0.3">
      <c r="H52518" t="str">
        <f t="shared" si="870"/>
        <v/>
      </c>
    </row>
    <row r="52519" spans="8:8" x14ac:dyDescent="0.3">
      <c r="H52519" t="str">
        <f t="shared" si="870"/>
        <v/>
      </c>
    </row>
    <row r="52520" spans="8:8" x14ac:dyDescent="0.3">
      <c r="H52520" t="str">
        <f t="shared" si="870"/>
        <v/>
      </c>
    </row>
    <row r="52521" spans="8:8" x14ac:dyDescent="0.3">
      <c r="H52521" t="str">
        <f t="shared" si="870"/>
        <v/>
      </c>
    </row>
    <row r="52522" spans="8:8" x14ac:dyDescent="0.3">
      <c r="H52522" t="str">
        <f t="shared" si="870"/>
        <v/>
      </c>
    </row>
    <row r="52523" spans="8:8" x14ac:dyDescent="0.3">
      <c r="H52523" t="str">
        <f t="shared" si="870"/>
        <v/>
      </c>
    </row>
    <row r="52524" spans="8:8" x14ac:dyDescent="0.3">
      <c r="H52524" t="str">
        <f t="shared" si="870"/>
        <v/>
      </c>
    </row>
    <row r="52525" spans="8:8" x14ac:dyDescent="0.3">
      <c r="H52525" t="str">
        <f t="shared" si="870"/>
        <v/>
      </c>
    </row>
    <row r="52526" spans="8:8" x14ac:dyDescent="0.3">
      <c r="H52526" t="str">
        <f t="shared" si="870"/>
        <v/>
      </c>
    </row>
    <row r="52527" spans="8:8" x14ac:dyDescent="0.3">
      <c r="H52527" t="str">
        <f t="shared" si="870"/>
        <v/>
      </c>
    </row>
    <row r="52528" spans="8:8" x14ac:dyDescent="0.3">
      <c r="H52528" t="str">
        <f t="shared" si="870"/>
        <v/>
      </c>
    </row>
    <row r="52529" spans="8:8" x14ac:dyDescent="0.3">
      <c r="H52529" t="str">
        <f t="shared" si="870"/>
        <v/>
      </c>
    </row>
    <row r="52530" spans="8:8" x14ac:dyDescent="0.3">
      <c r="H52530" t="str">
        <f t="shared" si="870"/>
        <v/>
      </c>
    </row>
    <row r="52531" spans="8:8" x14ac:dyDescent="0.3">
      <c r="H52531" t="str">
        <f t="shared" si="870"/>
        <v/>
      </c>
    </row>
    <row r="52532" spans="8:8" x14ac:dyDescent="0.3">
      <c r="H52532" t="str">
        <f t="shared" si="870"/>
        <v/>
      </c>
    </row>
    <row r="52533" spans="8:8" x14ac:dyDescent="0.3">
      <c r="H52533" t="str">
        <f t="shared" si="870"/>
        <v/>
      </c>
    </row>
    <row r="52534" spans="8:8" x14ac:dyDescent="0.3">
      <c r="H52534" t="str">
        <f t="shared" si="870"/>
        <v/>
      </c>
    </row>
    <row r="52535" spans="8:8" x14ac:dyDescent="0.3">
      <c r="H52535" t="str">
        <f t="shared" si="870"/>
        <v/>
      </c>
    </row>
    <row r="52536" spans="8:8" x14ac:dyDescent="0.3">
      <c r="H52536" t="str">
        <f t="shared" si="870"/>
        <v/>
      </c>
    </row>
    <row r="52537" spans="8:8" x14ac:dyDescent="0.3">
      <c r="H52537" t="str">
        <f t="shared" si="870"/>
        <v/>
      </c>
    </row>
    <row r="52538" spans="8:8" x14ac:dyDescent="0.3">
      <c r="H52538" t="str">
        <f t="shared" si="870"/>
        <v/>
      </c>
    </row>
    <row r="52539" spans="8:8" x14ac:dyDescent="0.3">
      <c r="H52539" t="str">
        <f t="shared" si="870"/>
        <v/>
      </c>
    </row>
    <row r="52540" spans="8:8" x14ac:dyDescent="0.3">
      <c r="H52540" t="str">
        <f t="shared" si="870"/>
        <v/>
      </c>
    </row>
    <row r="52541" spans="8:8" x14ac:dyDescent="0.3">
      <c r="H52541" t="str">
        <f t="shared" si="870"/>
        <v/>
      </c>
    </row>
    <row r="52542" spans="8:8" x14ac:dyDescent="0.3">
      <c r="H52542" t="str">
        <f t="shared" si="870"/>
        <v/>
      </c>
    </row>
    <row r="52543" spans="8:8" x14ac:dyDescent="0.3">
      <c r="H52543" t="str">
        <f t="shared" si="870"/>
        <v/>
      </c>
    </row>
    <row r="52544" spans="8:8" x14ac:dyDescent="0.3">
      <c r="H52544" t="str">
        <f t="shared" si="870"/>
        <v/>
      </c>
    </row>
    <row r="52545" spans="8:8" x14ac:dyDescent="0.3">
      <c r="H52545" t="str">
        <f t="shared" si="870"/>
        <v/>
      </c>
    </row>
    <row r="52546" spans="8:8" x14ac:dyDescent="0.3">
      <c r="H52546" t="str">
        <f t="shared" si="870"/>
        <v/>
      </c>
    </row>
    <row r="52547" spans="8:8" x14ac:dyDescent="0.3">
      <c r="H52547" t="str">
        <f t="shared" si="870"/>
        <v/>
      </c>
    </row>
    <row r="52548" spans="8:8" x14ac:dyDescent="0.3">
      <c r="H52548" t="str">
        <f t="shared" si="870"/>
        <v/>
      </c>
    </row>
    <row r="52549" spans="8:8" x14ac:dyDescent="0.3">
      <c r="H52549" t="str">
        <f t="shared" si="870"/>
        <v/>
      </c>
    </row>
    <row r="52550" spans="8:8" x14ac:dyDescent="0.3">
      <c r="H52550" t="str">
        <f t="shared" si="870"/>
        <v/>
      </c>
    </row>
    <row r="52551" spans="8:8" x14ac:dyDescent="0.3">
      <c r="H52551" t="str">
        <f t="shared" si="870"/>
        <v/>
      </c>
    </row>
    <row r="52552" spans="8:8" x14ac:dyDescent="0.3">
      <c r="H52552" t="str">
        <f t="shared" si="870"/>
        <v/>
      </c>
    </row>
    <row r="52553" spans="8:8" x14ac:dyDescent="0.3">
      <c r="H52553" t="str">
        <f t="shared" si="870"/>
        <v/>
      </c>
    </row>
    <row r="52554" spans="8:8" x14ac:dyDescent="0.3">
      <c r="H52554" t="str">
        <f t="shared" si="870"/>
        <v/>
      </c>
    </row>
    <row r="52555" spans="8:8" x14ac:dyDescent="0.3">
      <c r="H52555" t="str">
        <f t="shared" si="870"/>
        <v/>
      </c>
    </row>
    <row r="52556" spans="8:8" x14ac:dyDescent="0.3">
      <c r="H52556" t="str">
        <f t="shared" si="870"/>
        <v/>
      </c>
    </row>
    <row r="52557" spans="8:8" x14ac:dyDescent="0.3">
      <c r="H52557" t="str">
        <f t="shared" si="870"/>
        <v/>
      </c>
    </row>
    <row r="52558" spans="8:8" x14ac:dyDescent="0.3">
      <c r="H52558" t="str">
        <f t="shared" si="870"/>
        <v/>
      </c>
    </row>
    <row r="52559" spans="8:8" x14ac:dyDescent="0.3">
      <c r="H52559" t="str">
        <f t="shared" si="870"/>
        <v/>
      </c>
    </row>
    <row r="52560" spans="8:8" x14ac:dyDescent="0.3">
      <c r="H52560" t="str">
        <f t="shared" si="870"/>
        <v/>
      </c>
    </row>
    <row r="52561" spans="8:8" x14ac:dyDescent="0.3">
      <c r="H52561" t="str">
        <f t="shared" si="870"/>
        <v/>
      </c>
    </row>
    <row r="52562" spans="8:8" x14ac:dyDescent="0.3">
      <c r="H52562" t="str">
        <f t="shared" si="870"/>
        <v/>
      </c>
    </row>
    <row r="52563" spans="8:8" x14ac:dyDescent="0.3">
      <c r="H52563" t="str">
        <f t="shared" si="870"/>
        <v/>
      </c>
    </row>
    <row r="52564" spans="8:8" x14ac:dyDescent="0.3">
      <c r="H52564" t="str">
        <f t="shared" si="870"/>
        <v/>
      </c>
    </row>
    <row r="52565" spans="8:8" x14ac:dyDescent="0.3">
      <c r="H52565" t="str">
        <f t="shared" si="870"/>
        <v/>
      </c>
    </row>
    <row r="52566" spans="8:8" x14ac:dyDescent="0.3">
      <c r="H52566" t="str">
        <f t="shared" si="870"/>
        <v/>
      </c>
    </row>
    <row r="52567" spans="8:8" x14ac:dyDescent="0.3">
      <c r="H52567" t="str">
        <f t="shared" ref="H52567:H52630" si="871">IF(B52567="","",$C$12)</f>
        <v/>
      </c>
    </row>
    <row r="52568" spans="8:8" x14ac:dyDescent="0.3">
      <c r="H52568" t="str">
        <f t="shared" si="871"/>
        <v/>
      </c>
    </row>
    <row r="52569" spans="8:8" x14ac:dyDescent="0.3">
      <c r="H52569" t="str">
        <f t="shared" si="871"/>
        <v/>
      </c>
    </row>
    <row r="52570" spans="8:8" x14ac:dyDescent="0.3">
      <c r="H52570" t="str">
        <f t="shared" si="871"/>
        <v/>
      </c>
    </row>
    <row r="52571" spans="8:8" x14ac:dyDescent="0.3">
      <c r="H52571" t="str">
        <f t="shared" si="871"/>
        <v/>
      </c>
    </row>
    <row r="52572" spans="8:8" x14ac:dyDescent="0.3">
      <c r="H52572" t="str">
        <f t="shared" si="871"/>
        <v/>
      </c>
    </row>
    <row r="52573" spans="8:8" x14ac:dyDescent="0.3">
      <c r="H52573" t="str">
        <f t="shared" si="871"/>
        <v/>
      </c>
    </row>
    <row r="52574" spans="8:8" x14ac:dyDescent="0.3">
      <c r="H52574" t="str">
        <f t="shared" si="871"/>
        <v/>
      </c>
    </row>
    <row r="52575" spans="8:8" x14ac:dyDescent="0.3">
      <c r="H52575" t="str">
        <f t="shared" si="871"/>
        <v/>
      </c>
    </row>
    <row r="52576" spans="8:8" x14ac:dyDescent="0.3">
      <c r="H52576" t="str">
        <f t="shared" si="871"/>
        <v/>
      </c>
    </row>
    <row r="52577" spans="8:8" x14ac:dyDescent="0.3">
      <c r="H52577" t="str">
        <f t="shared" si="871"/>
        <v/>
      </c>
    </row>
    <row r="52578" spans="8:8" x14ac:dyDescent="0.3">
      <c r="H52578" t="str">
        <f t="shared" si="871"/>
        <v/>
      </c>
    </row>
    <row r="52579" spans="8:8" x14ac:dyDescent="0.3">
      <c r="H52579" t="str">
        <f t="shared" si="871"/>
        <v/>
      </c>
    </row>
    <row r="52580" spans="8:8" x14ac:dyDescent="0.3">
      <c r="H52580" t="str">
        <f t="shared" si="871"/>
        <v/>
      </c>
    </row>
    <row r="52581" spans="8:8" x14ac:dyDescent="0.3">
      <c r="H52581" t="str">
        <f t="shared" si="871"/>
        <v/>
      </c>
    </row>
    <row r="52582" spans="8:8" x14ac:dyDescent="0.3">
      <c r="H52582" t="str">
        <f t="shared" si="871"/>
        <v/>
      </c>
    </row>
    <row r="52583" spans="8:8" x14ac:dyDescent="0.3">
      <c r="H52583" t="str">
        <f t="shared" si="871"/>
        <v/>
      </c>
    </row>
    <row r="52584" spans="8:8" x14ac:dyDescent="0.3">
      <c r="H52584" t="str">
        <f t="shared" si="871"/>
        <v/>
      </c>
    </row>
    <row r="52585" spans="8:8" x14ac:dyDescent="0.3">
      <c r="H52585" t="str">
        <f t="shared" si="871"/>
        <v/>
      </c>
    </row>
    <row r="52586" spans="8:8" x14ac:dyDescent="0.3">
      <c r="H52586" t="str">
        <f t="shared" si="871"/>
        <v/>
      </c>
    </row>
    <row r="52587" spans="8:8" x14ac:dyDescent="0.3">
      <c r="H52587" t="str">
        <f t="shared" si="871"/>
        <v/>
      </c>
    </row>
    <row r="52588" spans="8:8" x14ac:dyDescent="0.3">
      <c r="H52588" t="str">
        <f t="shared" si="871"/>
        <v/>
      </c>
    </row>
    <row r="52589" spans="8:8" x14ac:dyDescent="0.3">
      <c r="H52589" t="str">
        <f t="shared" si="871"/>
        <v/>
      </c>
    </row>
    <row r="52590" spans="8:8" x14ac:dyDescent="0.3">
      <c r="H52590" t="str">
        <f t="shared" si="871"/>
        <v/>
      </c>
    </row>
    <row r="52591" spans="8:8" x14ac:dyDescent="0.3">
      <c r="H52591" t="str">
        <f t="shared" si="871"/>
        <v/>
      </c>
    </row>
    <row r="52592" spans="8:8" x14ac:dyDescent="0.3">
      <c r="H52592" t="str">
        <f t="shared" si="871"/>
        <v/>
      </c>
    </row>
    <row r="52593" spans="8:8" x14ac:dyDescent="0.3">
      <c r="H52593" t="str">
        <f t="shared" si="871"/>
        <v/>
      </c>
    </row>
    <row r="52594" spans="8:8" x14ac:dyDescent="0.3">
      <c r="H52594" t="str">
        <f t="shared" si="871"/>
        <v/>
      </c>
    </row>
    <row r="52595" spans="8:8" x14ac:dyDescent="0.3">
      <c r="H52595" t="str">
        <f t="shared" si="871"/>
        <v/>
      </c>
    </row>
    <row r="52596" spans="8:8" x14ac:dyDescent="0.3">
      <c r="H52596" t="str">
        <f t="shared" si="871"/>
        <v/>
      </c>
    </row>
    <row r="52597" spans="8:8" x14ac:dyDescent="0.3">
      <c r="H52597" t="str">
        <f t="shared" si="871"/>
        <v/>
      </c>
    </row>
    <row r="52598" spans="8:8" x14ac:dyDescent="0.3">
      <c r="H52598" t="str">
        <f t="shared" si="871"/>
        <v/>
      </c>
    </row>
    <row r="52599" spans="8:8" x14ac:dyDescent="0.3">
      <c r="H52599" t="str">
        <f t="shared" si="871"/>
        <v/>
      </c>
    </row>
    <row r="52600" spans="8:8" x14ac:dyDescent="0.3">
      <c r="H52600" t="str">
        <f t="shared" si="871"/>
        <v/>
      </c>
    </row>
    <row r="52601" spans="8:8" x14ac:dyDescent="0.3">
      <c r="H52601" t="str">
        <f t="shared" si="871"/>
        <v/>
      </c>
    </row>
    <row r="52602" spans="8:8" x14ac:dyDescent="0.3">
      <c r="H52602" t="str">
        <f t="shared" si="871"/>
        <v/>
      </c>
    </row>
    <row r="52603" spans="8:8" x14ac:dyDescent="0.3">
      <c r="H52603" t="str">
        <f t="shared" si="871"/>
        <v/>
      </c>
    </row>
    <row r="52604" spans="8:8" x14ac:dyDescent="0.3">
      <c r="H52604" t="str">
        <f t="shared" si="871"/>
        <v/>
      </c>
    </row>
    <row r="52605" spans="8:8" x14ac:dyDescent="0.3">
      <c r="H52605" t="str">
        <f t="shared" si="871"/>
        <v/>
      </c>
    </row>
    <row r="52606" spans="8:8" x14ac:dyDescent="0.3">
      <c r="H52606" t="str">
        <f t="shared" si="871"/>
        <v/>
      </c>
    </row>
    <row r="52607" spans="8:8" x14ac:dyDescent="0.3">
      <c r="H52607" t="str">
        <f t="shared" si="871"/>
        <v/>
      </c>
    </row>
    <row r="52608" spans="8:8" x14ac:dyDescent="0.3">
      <c r="H52608" t="str">
        <f t="shared" si="871"/>
        <v/>
      </c>
    </row>
    <row r="52609" spans="8:8" x14ac:dyDescent="0.3">
      <c r="H52609" t="str">
        <f t="shared" si="871"/>
        <v/>
      </c>
    </row>
    <row r="52610" spans="8:8" x14ac:dyDescent="0.3">
      <c r="H52610" t="str">
        <f t="shared" si="871"/>
        <v/>
      </c>
    </row>
    <row r="52611" spans="8:8" x14ac:dyDescent="0.3">
      <c r="H52611" t="str">
        <f t="shared" si="871"/>
        <v/>
      </c>
    </row>
    <row r="52612" spans="8:8" x14ac:dyDescent="0.3">
      <c r="H52612" t="str">
        <f t="shared" si="871"/>
        <v/>
      </c>
    </row>
    <row r="52613" spans="8:8" x14ac:dyDescent="0.3">
      <c r="H52613" t="str">
        <f t="shared" si="871"/>
        <v/>
      </c>
    </row>
    <row r="52614" spans="8:8" x14ac:dyDescent="0.3">
      <c r="H52614" t="str">
        <f t="shared" si="871"/>
        <v/>
      </c>
    </row>
    <row r="52615" spans="8:8" x14ac:dyDescent="0.3">
      <c r="H52615" t="str">
        <f t="shared" si="871"/>
        <v/>
      </c>
    </row>
    <row r="52616" spans="8:8" x14ac:dyDescent="0.3">
      <c r="H52616" t="str">
        <f t="shared" si="871"/>
        <v/>
      </c>
    </row>
    <row r="52617" spans="8:8" x14ac:dyDescent="0.3">
      <c r="H52617" t="str">
        <f t="shared" si="871"/>
        <v/>
      </c>
    </row>
    <row r="52618" spans="8:8" x14ac:dyDescent="0.3">
      <c r="H52618" t="str">
        <f t="shared" si="871"/>
        <v/>
      </c>
    </row>
    <row r="52619" spans="8:8" x14ac:dyDescent="0.3">
      <c r="H52619" t="str">
        <f t="shared" si="871"/>
        <v/>
      </c>
    </row>
    <row r="52620" spans="8:8" x14ac:dyDescent="0.3">
      <c r="H52620" t="str">
        <f t="shared" si="871"/>
        <v/>
      </c>
    </row>
    <row r="52621" spans="8:8" x14ac:dyDescent="0.3">
      <c r="H52621" t="str">
        <f t="shared" si="871"/>
        <v/>
      </c>
    </row>
    <row r="52622" spans="8:8" x14ac:dyDescent="0.3">
      <c r="H52622" t="str">
        <f t="shared" si="871"/>
        <v/>
      </c>
    </row>
    <row r="52623" spans="8:8" x14ac:dyDescent="0.3">
      <c r="H52623" t="str">
        <f t="shared" si="871"/>
        <v/>
      </c>
    </row>
    <row r="52624" spans="8:8" x14ac:dyDescent="0.3">
      <c r="H52624" t="str">
        <f t="shared" si="871"/>
        <v/>
      </c>
    </row>
    <row r="52625" spans="8:8" x14ac:dyDescent="0.3">
      <c r="H52625" t="str">
        <f t="shared" si="871"/>
        <v/>
      </c>
    </row>
    <row r="52626" spans="8:8" x14ac:dyDescent="0.3">
      <c r="H52626" t="str">
        <f t="shared" si="871"/>
        <v/>
      </c>
    </row>
    <row r="52627" spans="8:8" x14ac:dyDescent="0.3">
      <c r="H52627" t="str">
        <f t="shared" si="871"/>
        <v/>
      </c>
    </row>
    <row r="52628" spans="8:8" x14ac:dyDescent="0.3">
      <c r="H52628" t="str">
        <f t="shared" si="871"/>
        <v/>
      </c>
    </row>
    <row r="52629" spans="8:8" x14ac:dyDescent="0.3">
      <c r="H52629" t="str">
        <f t="shared" si="871"/>
        <v/>
      </c>
    </row>
    <row r="52630" spans="8:8" x14ac:dyDescent="0.3">
      <c r="H52630" t="str">
        <f t="shared" si="871"/>
        <v/>
      </c>
    </row>
    <row r="52631" spans="8:8" x14ac:dyDescent="0.3">
      <c r="H52631" t="str">
        <f t="shared" ref="H52631:H52694" si="872">IF(B52631="","",$C$12)</f>
        <v/>
      </c>
    </row>
    <row r="52632" spans="8:8" x14ac:dyDescent="0.3">
      <c r="H52632" t="str">
        <f t="shared" si="872"/>
        <v/>
      </c>
    </row>
    <row r="52633" spans="8:8" x14ac:dyDescent="0.3">
      <c r="H52633" t="str">
        <f t="shared" si="872"/>
        <v/>
      </c>
    </row>
    <row r="52634" spans="8:8" x14ac:dyDescent="0.3">
      <c r="H52634" t="str">
        <f t="shared" si="872"/>
        <v/>
      </c>
    </row>
    <row r="52635" spans="8:8" x14ac:dyDescent="0.3">
      <c r="H52635" t="str">
        <f t="shared" si="872"/>
        <v/>
      </c>
    </row>
    <row r="52636" spans="8:8" x14ac:dyDescent="0.3">
      <c r="H52636" t="str">
        <f t="shared" si="872"/>
        <v/>
      </c>
    </row>
    <row r="52637" spans="8:8" x14ac:dyDescent="0.3">
      <c r="H52637" t="str">
        <f t="shared" si="872"/>
        <v/>
      </c>
    </row>
    <row r="52638" spans="8:8" x14ac:dyDescent="0.3">
      <c r="H52638" t="str">
        <f t="shared" si="872"/>
        <v/>
      </c>
    </row>
    <row r="52639" spans="8:8" x14ac:dyDescent="0.3">
      <c r="H52639" t="str">
        <f t="shared" si="872"/>
        <v/>
      </c>
    </row>
    <row r="52640" spans="8:8" x14ac:dyDescent="0.3">
      <c r="H52640" t="str">
        <f t="shared" si="872"/>
        <v/>
      </c>
    </row>
    <row r="52641" spans="8:8" x14ac:dyDescent="0.3">
      <c r="H52641" t="str">
        <f t="shared" si="872"/>
        <v/>
      </c>
    </row>
    <row r="52642" spans="8:8" x14ac:dyDescent="0.3">
      <c r="H52642" t="str">
        <f t="shared" si="872"/>
        <v/>
      </c>
    </row>
    <row r="52643" spans="8:8" x14ac:dyDescent="0.3">
      <c r="H52643" t="str">
        <f t="shared" si="872"/>
        <v/>
      </c>
    </row>
    <row r="52644" spans="8:8" x14ac:dyDescent="0.3">
      <c r="H52644" t="str">
        <f t="shared" si="872"/>
        <v/>
      </c>
    </row>
    <row r="52645" spans="8:8" x14ac:dyDescent="0.3">
      <c r="H52645" t="str">
        <f t="shared" si="872"/>
        <v/>
      </c>
    </row>
    <row r="52646" spans="8:8" x14ac:dyDescent="0.3">
      <c r="H52646" t="str">
        <f t="shared" si="872"/>
        <v/>
      </c>
    </row>
    <row r="52647" spans="8:8" x14ac:dyDescent="0.3">
      <c r="H52647" t="str">
        <f t="shared" si="872"/>
        <v/>
      </c>
    </row>
    <row r="52648" spans="8:8" x14ac:dyDescent="0.3">
      <c r="H52648" t="str">
        <f t="shared" si="872"/>
        <v/>
      </c>
    </row>
    <row r="52649" spans="8:8" x14ac:dyDescent="0.3">
      <c r="H52649" t="str">
        <f t="shared" si="872"/>
        <v/>
      </c>
    </row>
    <row r="52650" spans="8:8" x14ac:dyDescent="0.3">
      <c r="H52650" t="str">
        <f t="shared" si="872"/>
        <v/>
      </c>
    </row>
    <row r="52651" spans="8:8" x14ac:dyDescent="0.3">
      <c r="H52651" t="str">
        <f t="shared" si="872"/>
        <v/>
      </c>
    </row>
    <row r="52652" spans="8:8" x14ac:dyDescent="0.3">
      <c r="H52652" t="str">
        <f t="shared" si="872"/>
        <v/>
      </c>
    </row>
    <row r="52653" spans="8:8" x14ac:dyDescent="0.3">
      <c r="H52653" t="str">
        <f t="shared" si="872"/>
        <v/>
      </c>
    </row>
    <row r="52654" spans="8:8" x14ac:dyDescent="0.3">
      <c r="H52654" t="str">
        <f t="shared" si="872"/>
        <v/>
      </c>
    </row>
    <row r="52655" spans="8:8" x14ac:dyDescent="0.3">
      <c r="H52655" t="str">
        <f t="shared" si="872"/>
        <v/>
      </c>
    </row>
    <row r="52656" spans="8:8" x14ac:dyDescent="0.3">
      <c r="H52656" t="str">
        <f t="shared" si="872"/>
        <v/>
      </c>
    </row>
    <row r="52657" spans="8:8" x14ac:dyDescent="0.3">
      <c r="H52657" t="str">
        <f t="shared" si="872"/>
        <v/>
      </c>
    </row>
    <row r="52658" spans="8:8" x14ac:dyDescent="0.3">
      <c r="H52658" t="str">
        <f t="shared" si="872"/>
        <v/>
      </c>
    </row>
    <row r="52659" spans="8:8" x14ac:dyDescent="0.3">
      <c r="H52659" t="str">
        <f t="shared" si="872"/>
        <v/>
      </c>
    </row>
    <row r="52660" spans="8:8" x14ac:dyDescent="0.3">
      <c r="H52660" t="str">
        <f t="shared" si="872"/>
        <v/>
      </c>
    </row>
    <row r="52661" spans="8:8" x14ac:dyDescent="0.3">
      <c r="H52661" t="str">
        <f t="shared" si="872"/>
        <v/>
      </c>
    </row>
    <row r="52662" spans="8:8" x14ac:dyDescent="0.3">
      <c r="H52662" t="str">
        <f t="shared" si="872"/>
        <v/>
      </c>
    </row>
    <row r="52663" spans="8:8" x14ac:dyDescent="0.3">
      <c r="H52663" t="str">
        <f t="shared" si="872"/>
        <v/>
      </c>
    </row>
    <row r="52664" spans="8:8" x14ac:dyDescent="0.3">
      <c r="H52664" t="str">
        <f t="shared" si="872"/>
        <v/>
      </c>
    </row>
    <row r="52665" spans="8:8" x14ac:dyDescent="0.3">
      <c r="H52665" t="str">
        <f t="shared" si="872"/>
        <v/>
      </c>
    </row>
    <row r="52666" spans="8:8" x14ac:dyDescent="0.3">
      <c r="H52666" t="str">
        <f t="shared" si="872"/>
        <v/>
      </c>
    </row>
    <row r="52667" spans="8:8" x14ac:dyDescent="0.3">
      <c r="H52667" t="str">
        <f t="shared" si="872"/>
        <v/>
      </c>
    </row>
    <row r="52668" spans="8:8" x14ac:dyDescent="0.3">
      <c r="H52668" t="str">
        <f t="shared" si="872"/>
        <v/>
      </c>
    </row>
    <row r="52669" spans="8:8" x14ac:dyDescent="0.3">
      <c r="H52669" t="str">
        <f t="shared" si="872"/>
        <v/>
      </c>
    </row>
    <row r="52670" spans="8:8" x14ac:dyDescent="0.3">
      <c r="H52670" t="str">
        <f t="shared" si="872"/>
        <v/>
      </c>
    </row>
    <row r="52671" spans="8:8" x14ac:dyDescent="0.3">
      <c r="H52671" t="str">
        <f t="shared" si="872"/>
        <v/>
      </c>
    </row>
    <row r="52672" spans="8:8" x14ac:dyDescent="0.3">
      <c r="H52672" t="str">
        <f t="shared" si="872"/>
        <v/>
      </c>
    </row>
    <row r="52673" spans="8:8" x14ac:dyDescent="0.3">
      <c r="H52673" t="str">
        <f t="shared" si="872"/>
        <v/>
      </c>
    </row>
    <row r="52674" spans="8:8" x14ac:dyDescent="0.3">
      <c r="H52674" t="str">
        <f t="shared" si="872"/>
        <v/>
      </c>
    </row>
    <row r="52675" spans="8:8" x14ac:dyDescent="0.3">
      <c r="H52675" t="str">
        <f t="shared" si="872"/>
        <v/>
      </c>
    </row>
    <row r="52676" spans="8:8" x14ac:dyDescent="0.3">
      <c r="H52676" t="str">
        <f t="shared" si="872"/>
        <v/>
      </c>
    </row>
    <row r="52677" spans="8:8" x14ac:dyDescent="0.3">
      <c r="H52677" t="str">
        <f t="shared" si="872"/>
        <v/>
      </c>
    </row>
    <row r="52678" spans="8:8" x14ac:dyDescent="0.3">
      <c r="H52678" t="str">
        <f t="shared" si="872"/>
        <v/>
      </c>
    </row>
    <row r="52679" spans="8:8" x14ac:dyDescent="0.3">
      <c r="H52679" t="str">
        <f t="shared" si="872"/>
        <v/>
      </c>
    </row>
    <row r="52680" spans="8:8" x14ac:dyDescent="0.3">
      <c r="H52680" t="str">
        <f t="shared" si="872"/>
        <v/>
      </c>
    </row>
    <row r="52681" spans="8:8" x14ac:dyDescent="0.3">
      <c r="H52681" t="str">
        <f t="shared" si="872"/>
        <v/>
      </c>
    </row>
    <row r="52682" spans="8:8" x14ac:dyDescent="0.3">
      <c r="H52682" t="str">
        <f t="shared" si="872"/>
        <v/>
      </c>
    </row>
    <row r="52683" spans="8:8" x14ac:dyDescent="0.3">
      <c r="H52683" t="str">
        <f t="shared" si="872"/>
        <v/>
      </c>
    </row>
    <row r="52684" spans="8:8" x14ac:dyDescent="0.3">
      <c r="H52684" t="str">
        <f t="shared" si="872"/>
        <v/>
      </c>
    </row>
    <row r="52685" spans="8:8" x14ac:dyDescent="0.3">
      <c r="H52685" t="str">
        <f t="shared" si="872"/>
        <v/>
      </c>
    </row>
    <row r="52686" spans="8:8" x14ac:dyDescent="0.3">
      <c r="H52686" t="str">
        <f t="shared" si="872"/>
        <v/>
      </c>
    </row>
    <row r="52687" spans="8:8" x14ac:dyDescent="0.3">
      <c r="H52687" t="str">
        <f t="shared" si="872"/>
        <v/>
      </c>
    </row>
    <row r="52688" spans="8:8" x14ac:dyDescent="0.3">
      <c r="H52688" t="str">
        <f t="shared" si="872"/>
        <v/>
      </c>
    </row>
    <row r="52689" spans="8:8" x14ac:dyDescent="0.3">
      <c r="H52689" t="str">
        <f t="shared" si="872"/>
        <v/>
      </c>
    </row>
    <row r="52690" spans="8:8" x14ac:dyDescent="0.3">
      <c r="H52690" t="str">
        <f t="shared" si="872"/>
        <v/>
      </c>
    </row>
    <row r="52691" spans="8:8" x14ac:dyDescent="0.3">
      <c r="H52691" t="str">
        <f t="shared" si="872"/>
        <v/>
      </c>
    </row>
    <row r="52692" spans="8:8" x14ac:dyDescent="0.3">
      <c r="H52692" t="str">
        <f t="shared" si="872"/>
        <v/>
      </c>
    </row>
    <row r="52693" spans="8:8" x14ac:dyDescent="0.3">
      <c r="H52693" t="str">
        <f t="shared" si="872"/>
        <v/>
      </c>
    </row>
    <row r="52694" spans="8:8" x14ac:dyDescent="0.3">
      <c r="H52694" t="str">
        <f t="shared" si="872"/>
        <v/>
      </c>
    </row>
    <row r="52695" spans="8:8" x14ac:dyDescent="0.3">
      <c r="H52695" t="str">
        <f t="shared" ref="H52695:H52758" si="873">IF(B52695="","",$C$12)</f>
        <v/>
      </c>
    </row>
    <row r="52696" spans="8:8" x14ac:dyDescent="0.3">
      <c r="H52696" t="str">
        <f t="shared" si="873"/>
        <v/>
      </c>
    </row>
    <row r="52697" spans="8:8" x14ac:dyDescent="0.3">
      <c r="H52697" t="str">
        <f t="shared" si="873"/>
        <v/>
      </c>
    </row>
    <row r="52698" spans="8:8" x14ac:dyDescent="0.3">
      <c r="H52698" t="str">
        <f t="shared" si="873"/>
        <v/>
      </c>
    </row>
    <row r="52699" spans="8:8" x14ac:dyDescent="0.3">
      <c r="H52699" t="str">
        <f t="shared" si="873"/>
        <v/>
      </c>
    </row>
    <row r="52700" spans="8:8" x14ac:dyDescent="0.3">
      <c r="H52700" t="str">
        <f t="shared" si="873"/>
        <v/>
      </c>
    </row>
    <row r="52701" spans="8:8" x14ac:dyDescent="0.3">
      <c r="H52701" t="str">
        <f t="shared" si="873"/>
        <v/>
      </c>
    </row>
    <row r="52702" spans="8:8" x14ac:dyDescent="0.3">
      <c r="H52702" t="str">
        <f t="shared" si="873"/>
        <v/>
      </c>
    </row>
    <row r="52703" spans="8:8" x14ac:dyDescent="0.3">
      <c r="H52703" t="str">
        <f t="shared" si="873"/>
        <v/>
      </c>
    </row>
    <row r="52704" spans="8:8" x14ac:dyDescent="0.3">
      <c r="H52704" t="str">
        <f t="shared" si="873"/>
        <v/>
      </c>
    </row>
    <row r="52705" spans="8:8" x14ac:dyDescent="0.3">
      <c r="H52705" t="str">
        <f t="shared" si="873"/>
        <v/>
      </c>
    </row>
    <row r="52706" spans="8:8" x14ac:dyDescent="0.3">
      <c r="H52706" t="str">
        <f t="shared" si="873"/>
        <v/>
      </c>
    </row>
    <row r="52707" spans="8:8" x14ac:dyDescent="0.3">
      <c r="H52707" t="str">
        <f t="shared" si="873"/>
        <v/>
      </c>
    </row>
    <row r="52708" spans="8:8" x14ac:dyDescent="0.3">
      <c r="H52708" t="str">
        <f t="shared" si="873"/>
        <v/>
      </c>
    </row>
    <row r="52709" spans="8:8" x14ac:dyDescent="0.3">
      <c r="H52709" t="str">
        <f t="shared" si="873"/>
        <v/>
      </c>
    </row>
    <row r="52710" spans="8:8" x14ac:dyDescent="0.3">
      <c r="H52710" t="str">
        <f t="shared" si="873"/>
        <v/>
      </c>
    </row>
    <row r="52711" spans="8:8" x14ac:dyDescent="0.3">
      <c r="H52711" t="str">
        <f t="shared" si="873"/>
        <v/>
      </c>
    </row>
    <row r="52712" spans="8:8" x14ac:dyDescent="0.3">
      <c r="H52712" t="str">
        <f t="shared" si="873"/>
        <v/>
      </c>
    </row>
    <row r="52713" spans="8:8" x14ac:dyDescent="0.3">
      <c r="H52713" t="str">
        <f t="shared" si="873"/>
        <v/>
      </c>
    </row>
    <row r="52714" spans="8:8" x14ac:dyDescent="0.3">
      <c r="H52714" t="str">
        <f t="shared" si="873"/>
        <v/>
      </c>
    </row>
    <row r="52715" spans="8:8" x14ac:dyDescent="0.3">
      <c r="H52715" t="str">
        <f t="shared" si="873"/>
        <v/>
      </c>
    </row>
    <row r="52716" spans="8:8" x14ac:dyDescent="0.3">
      <c r="H52716" t="str">
        <f t="shared" si="873"/>
        <v/>
      </c>
    </row>
    <row r="52717" spans="8:8" x14ac:dyDescent="0.3">
      <c r="H52717" t="str">
        <f t="shared" si="873"/>
        <v/>
      </c>
    </row>
    <row r="52718" spans="8:8" x14ac:dyDescent="0.3">
      <c r="H52718" t="str">
        <f t="shared" si="873"/>
        <v/>
      </c>
    </row>
    <row r="52719" spans="8:8" x14ac:dyDescent="0.3">
      <c r="H52719" t="str">
        <f t="shared" si="873"/>
        <v/>
      </c>
    </row>
    <row r="52720" spans="8:8" x14ac:dyDescent="0.3">
      <c r="H52720" t="str">
        <f t="shared" si="873"/>
        <v/>
      </c>
    </row>
    <row r="52721" spans="8:8" x14ac:dyDescent="0.3">
      <c r="H52721" t="str">
        <f t="shared" si="873"/>
        <v/>
      </c>
    </row>
    <row r="52722" spans="8:8" x14ac:dyDescent="0.3">
      <c r="H52722" t="str">
        <f t="shared" si="873"/>
        <v/>
      </c>
    </row>
    <row r="52723" spans="8:8" x14ac:dyDescent="0.3">
      <c r="H52723" t="str">
        <f t="shared" si="873"/>
        <v/>
      </c>
    </row>
    <row r="52724" spans="8:8" x14ac:dyDescent="0.3">
      <c r="H52724" t="str">
        <f t="shared" si="873"/>
        <v/>
      </c>
    </row>
    <row r="52725" spans="8:8" x14ac:dyDescent="0.3">
      <c r="H52725" t="str">
        <f t="shared" si="873"/>
        <v/>
      </c>
    </row>
    <row r="52726" spans="8:8" x14ac:dyDescent="0.3">
      <c r="H52726" t="str">
        <f t="shared" si="873"/>
        <v/>
      </c>
    </row>
    <row r="52727" spans="8:8" x14ac:dyDescent="0.3">
      <c r="H52727" t="str">
        <f t="shared" si="873"/>
        <v/>
      </c>
    </row>
    <row r="52728" spans="8:8" x14ac:dyDescent="0.3">
      <c r="H52728" t="str">
        <f t="shared" si="873"/>
        <v/>
      </c>
    </row>
    <row r="52729" spans="8:8" x14ac:dyDescent="0.3">
      <c r="H52729" t="str">
        <f t="shared" si="873"/>
        <v/>
      </c>
    </row>
    <row r="52730" spans="8:8" x14ac:dyDescent="0.3">
      <c r="H52730" t="str">
        <f t="shared" si="873"/>
        <v/>
      </c>
    </row>
    <row r="52731" spans="8:8" x14ac:dyDescent="0.3">
      <c r="H52731" t="str">
        <f t="shared" si="873"/>
        <v/>
      </c>
    </row>
    <row r="52732" spans="8:8" x14ac:dyDescent="0.3">
      <c r="H52732" t="str">
        <f t="shared" si="873"/>
        <v/>
      </c>
    </row>
    <row r="52733" spans="8:8" x14ac:dyDescent="0.3">
      <c r="H52733" t="str">
        <f t="shared" si="873"/>
        <v/>
      </c>
    </row>
    <row r="52734" spans="8:8" x14ac:dyDescent="0.3">
      <c r="H52734" t="str">
        <f t="shared" si="873"/>
        <v/>
      </c>
    </row>
    <row r="52735" spans="8:8" x14ac:dyDescent="0.3">
      <c r="H52735" t="str">
        <f t="shared" si="873"/>
        <v/>
      </c>
    </row>
    <row r="52736" spans="8:8" x14ac:dyDescent="0.3">
      <c r="H52736" t="str">
        <f t="shared" si="873"/>
        <v/>
      </c>
    </row>
    <row r="52737" spans="8:8" x14ac:dyDescent="0.3">
      <c r="H52737" t="str">
        <f t="shared" si="873"/>
        <v/>
      </c>
    </row>
    <row r="52738" spans="8:8" x14ac:dyDescent="0.3">
      <c r="H52738" t="str">
        <f t="shared" si="873"/>
        <v/>
      </c>
    </row>
    <row r="52739" spans="8:8" x14ac:dyDescent="0.3">
      <c r="H52739" t="str">
        <f t="shared" si="873"/>
        <v/>
      </c>
    </row>
    <row r="52740" spans="8:8" x14ac:dyDescent="0.3">
      <c r="H52740" t="str">
        <f t="shared" si="873"/>
        <v/>
      </c>
    </row>
    <row r="52741" spans="8:8" x14ac:dyDescent="0.3">
      <c r="H52741" t="str">
        <f t="shared" si="873"/>
        <v/>
      </c>
    </row>
    <row r="52742" spans="8:8" x14ac:dyDescent="0.3">
      <c r="H52742" t="str">
        <f t="shared" si="873"/>
        <v/>
      </c>
    </row>
    <row r="52743" spans="8:8" x14ac:dyDescent="0.3">
      <c r="H52743" t="str">
        <f t="shared" si="873"/>
        <v/>
      </c>
    </row>
    <row r="52744" spans="8:8" x14ac:dyDescent="0.3">
      <c r="H52744" t="str">
        <f t="shared" si="873"/>
        <v/>
      </c>
    </row>
    <row r="52745" spans="8:8" x14ac:dyDescent="0.3">
      <c r="H52745" t="str">
        <f t="shared" si="873"/>
        <v/>
      </c>
    </row>
    <row r="52746" spans="8:8" x14ac:dyDescent="0.3">
      <c r="H52746" t="str">
        <f t="shared" si="873"/>
        <v/>
      </c>
    </row>
    <row r="52747" spans="8:8" x14ac:dyDescent="0.3">
      <c r="H52747" t="str">
        <f t="shared" si="873"/>
        <v/>
      </c>
    </row>
    <row r="52748" spans="8:8" x14ac:dyDescent="0.3">
      <c r="H52748" t="str">
        <f t="shared" si="873"/>
        <v/>
      </c>
    </row>
    <row r="52749" spans="8:8" x14ac:dyDescent="0.3">
      <c r="H52749" t="str">
        <f t="shared" si="873"/>
        <v/>
      </c>
    </row>
    <row r="52750" spans="8:8" x14ac:dyDescent="0.3">
      <c r="H52750" t="str">
        <f t="shared" si="873"/>
        <v/>
      </c>
    </row>
    <row r="52751" spans="8:8" x14ac:dyDescent="0.3">
      <c r="H52751" t="str">
        <f t="shared" si="873"/>
        <v/>
      </c>
    </row>
    <row r="52752" spans="8:8" x14ac:dyDescent="0.3">
      <c r="H52752" t="str">
        <f t="shared" si="873"/>
        <v/>
      </c>
    </row>
    <row r="52753" spans="8:8" x14ac:dyDescent="0.3">
      <c r="H52753" t="str">
        <f t="shared" si="873"/>
        <v/>
      </c>
    </row>
    <row r="52754" spans="8:8" x14ac:dyDescent="0.3">
      <c r="H52754" t="str">
        <f t="shared" si="873"/>
        <v/>
      </c>
    </row>
    <row r="52755" spans="8:8" x14ac:dyDescent="0.3">
      <c r="H52755" t="str">
        <f t="shared" si="873"/>
        <v/>
      </c>
    </row>
    <row r="52756" spans="8:8" x14ac:dyDescent="0.3">
      <c r="H52756" t="str">
        <f t="shared" si="873"/>
        <v/>
      </c>
    </row>
    <row r="52757" spans="8:8" x14ac:dyDescent="0.3">
      <c r="H52757" t="str">
        <f t="shared" si="873"/>
        <v/>
      </c>
    </row>
    <row r="52758" spans="8:8" x14ac:dyDescent="0.3">
      <c r="H52758" t="str">
        <f t="shared" si="873"/>
        <v/>
      </c>
    </row>
    <row r="52759" spans="8:8" x14ac:dyDescent="0.3">
      <c r="H52759" t="str">
        <f t="shared" ref="H52759:H52822" si="874">IF(B52759="","",$C$12)</f>
        <v/>
      </c>
    </row>
    <row r="52760" spans="8:8" x14ac:dyDescent="0.3">
      <c r="H52760" t="str">
        <f t="shared" si="874"/>
        <v/>
      </c>
    </row>
    <row r="52761" spans="8:8" x14ac:dyDescent="0.3">
      <c r="H52761" t="str">
        <f t="shared" si="874"/>
        <v/>
      </c>
    </row>
    <row r="52762" spans="8:8" x14ac:dyDescent="0.3">
      <c r="H52762" t="str">
        <f t="shared" si="874"/>
        <v/>
      </c>
    </row>
    <row r="52763" spans="8:8" x14ac:dyDescent="0.3">
      <c r="H52763" t="str">
        <f t="shared" si="874"/>
        <v/>
      </c>
    </row>
    <row r="52764" spans="8:8" x14ac:dyDescent="0.3">
      <c r="H52764" t="str">
        <f t="shared" si="874"/>
        <v/>
      </c>
    </row>
    <row r="52765" spans="8:8" x14ac:dyDescent="0.3">
      <c r="H52765" t="str">
        <f t="shared" si="874"/>
        <v/>
      </c>
    </row>
    <row r="52766" spans="8:8" x14ac:dyDescent="0.3">
      <c r="H52766" t="str">
        <f t="shared" si="874"/>
        <v/>
      </c>
    </row>
    <row r="52767" spans="8:8" x14ac:dyDescent="0.3">
      <c r="H52767" t="str">
        <f t="shared" si="874"/>
        <v/>
      </c>
    </row>
    <row r="52768" spans="8:8" x14ac:dyDescent="0.3">
      <c r="H52768" t="str">
        <f t="shared" si="874"/>
        <v/>
      </c>
    </row>
    <row r="52769" spans="8:8" x14ac:dyDescent="0.3">
      <c r="H52769" t="str">
        <f t="shared" si="874"/>
        <v/>
      </c>
    </row>
    <row r="52770" spans="8:8" x14ac:dyDescent="0.3">
      <c r="H52770" t="str">
        <f t="shared" si="874"/>
        <v/>
      </c>
    </row>
    <row r="52771" spans="8:8" x14ac:dyDescent="0.3">
      <c r="H52771" t="str">
        <f t="shared" si="874"/>
        <v/>
      </c>
    </row>
    <row r="52772" spans="8:8" x14ac:dyDescent="0.3">
      <c r="H52772" t="str">
        <f t="shared" si="874"/>
        <v/>
      </c>
    </row>
    <row r="52773" spans="8:8" x14ac:dyDescent="0.3">
      <c r="H52773" t="str">
        <f t="shared" si="874"/>
        <v/>
      </c>
    </row>
    <row r="52774" spans="8:8" x14ac:dyDescent="0.3">
      <c r="H52774" t="str">
        <f t="shared" si="874"/>
        <v/>
      </c>
    </row>
    <row r="52775" spans="8:8" x14ac:dyDescent="0.3">
      <c r="H52775" t="str">
        <f t="shared" si="874"/>
        <v/>
      </c>
    </row>
    <row r="52776" spans="8:8" x14ac:dyDescent="0.3">
      <c r="H52776" t="str">
        <f t="shared" si="874"/>
        <v/>
      </c>
    </row>
    <row r="52777" spans="8:8" x14ac:dyDescent="0.3">
      <c r="H52777" t="str">
        <f t="shared" si="874"/>
        <v/>
      </c>
    </row>
    <row r="52778" spans="8:8" x14ac:dyDescent="0.3">
      <c r="H52778" t="str">
        <f t="shared" si="874"/>
        <v/>
      </c>
    </row>
    <row r="52779" spans="8:8" x14ac:dyDescent="0.3">
      <c r="H52779" t="str">
        <f t="shared" si="874"/>
        <v/>
      </c>
    </row>
    <row r="52780" spans="8:8" x14ac:dyDescent="0.3">
      <c r="H52780" t="str">
        <f t="shared" si="874"/>
        <v/>
      </c>
    </row>
    <row r="52781" spans="8:8" x14ac:dyDescent="0.3">
      <c r="H52781" t="str">
        <f t="shared" si="874"/>
        <v/>
      </c>
    </row>
    <row r="52782" spans="8:8" x14ac:dyDescent="0.3">
      <c r="H52782" t="str">
        <f t="shared" si="874"/>
        <v/>
      </c>
    </row>
    <row r="52783" spans="8:8" x14ac:dyDescent="0.3">
      <c r="H52783" t="str">
        <f t="shared" si="874"/>
        <v/>
      </c>
    </row>
    <row r="52784" spans="8:8" x14ac:dyDescent="0.3">
      <c r="H52784" t="str">
        <f t="shared" si="874"/>
        <v/>
      </c>
    </row>
    <row r="52785" spans="8:8" x14ac:dyDescent="0.3">
      <c r="H52785" t="str">
        <f t="shared" si="874"/>
        <v/>
      </c>
    </row>
    <row r="52786" spans="8:8" x14ac:dyDescent="0.3">
      <c r="H52786" t="str">
        <f t="shared" si="874"/>
        <v/>
      </c>
    </row>
    <row r="52787" spans="8:8" x14ac:dyDescent="0.3">
      <c r="H52787" t="str">
        <f t="shared" si="874"/>
        <v/>
      </c>
    </row>
    <row r="52788" spans="8:8" x14ac:dyDescent="0.3">
      <c r="H52788" t="str">
        <f t="shared" si="874"/>
        <v/>
      </c>
    </row>
    <row r="52789" spans="8:8" x14ac:dyDescent="0.3">
      <c r="H52789" t="str">
        <f t="shared" si="874"/>
        <v/>
      </c>
    </row>
    <row r="52790" spans="8:8" x14ac:dyDescent="0.3">
      <c r="H52790" t="str">
        <f t="shared" si="874"/>
        <v/>
      </c>
    </row>
    <row r="52791" spans="8:8" x14ac:dyDescent="0.3">
      <c r="H52791" t="str">
        <f t="shared" si="874"/>
        <v/>
      </c>
    </row>
    <row r="52792" spans="8:8" x14ac:dyDescent="0.3">
      <c r="H52792" t="str">
        <f t="shared" si="874"/>
        <v/>
      </c>
    </row>
    <row r="52793" spans="8:8" x14ac:dyDescent="0.3">
      <c r="H52793" t="str">
        <f t="shared" si="874"/>
        <v/>
      </c>
    </row>
    <row r="52794" spans="8:8" x14ac:dyDescent="0.3">
      <c r="H52794" t="str">
        <f t="shared" si="874"/>
        <v/>
      </c>
    </row>
    <row r="52795" spans="8:8" x14ac:dyDescent="0.3">
      <c r="H52795" t="str">
        <f t="shared" si="874"/>
        <v/>
      </c>
    </row>
    <row r="52796" spans="8:8" x14ac:dyDescent="0.3">
      <c r="H52796" t="str">
        <f t="shared" si="874"/>
        <v/>
      </c>
    </row>
    <row r="52797" spans="8:8" x14ac:dyDescent="0.3">
      <c r="H52797" t="str">
        <f t="shared" si="874"/>
        <v/>
      </c>
    </row>
    <row r="52798" spans="8:8" x14ac:dyDescent="0.3">
      <c r="H52798" t="str">
        <f t="shared" si="874"/>
        <v/>
      </c>
    </row>
    <row r="52799" spans="8:8" x14ac:dyDescent="0.3">
      <c r="H52799" t="str">
        <f t="shared" si="874"/>
        <v/>
      </c>
    </row>
    <row r="52800" spans="8:8" x14ac:dyDescent="0.3">
      <c r="H52800" t="str">
        <f t="shared" si="874"/>
        <v/>
      </c>
    </row>
    <row r="52801" spans="8:8" x14ac:dyDescent="0.3">
      <c r="H52801" t="str">
        <f t="shared" si="874"/>
        <v/>
      </c>
    </row>
    <row r="52802" spans="8:8" x14ac:dyDescent="0.3">
      <c r="H52802" t="str">
        <f t="shared" si="874"/>
        <v/>
      </c>
    </row>
    <row r="52803" spans="8:8" x14ac:dyDescent="0.3">
      <c r="H52803" t="str">
        <f t="shared" si="874"/>
        <v/>
      </c>
    </row>
    <row r="52804" spans="8:8" x14ac:dyDescent="0.3">
      <c r="H52804" t="str">
        <f t="shared" si="874"/>
        <v/>
      </c>
    </row>
    <row r="52805" spans="8:8" x14ac:dyDescent="0.3">
      <c r="H52805" t="str">
        <f t="shared" si="874"/>
        <v/>
      </c>
    </row>
    <row r="52806" spans="8:8" x14ac:dyDescent="0.3">
      <c r="H52806" t="str">
        <f t="shared" si="874"/>
        <v/>
      </c>
    </row>
    <row r="52807" spans="8:8" x14ac:dyDescent="0.3">
      <c r="H52807" t="str">
        <f t="shared" si="874"/>
        <v/>
      </c>
    </row>
    <row r="52808" spans="8:8" x14ac:dyDescent="0.3">
      <c r="H52808" t="str">
        <f t="shared" si="874"/>
        <v/>
      </c>
    </row>
    <row r="52809" spans="8:8" x14ac:dyDescent="0.3">
      <c r="H52809" t="str">
        <f t="shared" si="874"/>
        <v/>
      </c>
    </row>
    <row r="52810" spans="8:8" x14ac:dyDescent="0.3">
      <c r="H52810" t="str">
        <f t="shared" si="874"/>
        <v/>
      </c>
    </row>
    <row r="52811" spans="8:8" x14ac:dyDescent="0.3">
      <c r="H52811" t="str">
        <f t="shared" si="874"/>
        <v/>
      </c>
    </row>
    <row r="52812" spans="8:8" x14ac:dyDescent="0.3">
      <c r="H52812" t="str">
        <f t="shared" si="874"/>
        <v/>
      </c>
    </row>
    <row r="52813" spans="8:8" x14ac:dyDescent="0.3">
      <c r="H52813" t="str">
        <f t="shared" si="874"/>
        <v/>
      </c>
    </row>
    <row r="52814" spans="8:8" x14ac:dyDescent="0.3">
      <c r="H52814" t="str">
        <f t="shared" si="874"/>
        <v/>
      </c>
    </row>
    <row r="52815" spans="8:8" x14ac:dyDescent="0.3">
      <c r="H52815" t="str">
        <f t="shared" si="874"/>
        <v/>
      </c>
    </row>
    <row r="52816" spans="8:8" x14ac:dyDescent="0.3">
      <c r="H52816" t="str">
        <f t="shared" si="874"/>
        <v/>
      </c>
    </row>
    <row r="52817" spans="8:8" x14ac:dyDescent="0.3">
      <c r="H52817" t="str">
        <f t="shared" si="874"/>
        <v/>
      </c>
    </row>
    <row r="52818" spans="8:8" x14ac:dyDescent="0.3">
      <c r="H52818" t="str">
        <f t="shared" si="874"/>
        <v/>
      </c>
    </row>
    <row r="52819" spans="8:8" x14ac:dyDescent="0.3">
      <c r="H52819" t="str">
        <f t="shared" si="874"/>
        <v/>
      </c>
    </row>
    <row r="52820" spans="8:8" x14ac:dyDescent="0.3">
      <c r="H52820" t="str">
        <f t="shared" si="874"/>
        <v/>
      </c>
    </row>
    <row r="52821" spans="8:8" x14ac:dyDescent="0.3">
      <c r="H52821" t="str">
        <f t="shared" si="874"/>
        <v/>
      </c>
    </row>
    <row r="52822" spans="8:8" x14ac:dyDescent="0.3">
      <c r="H52822" t="str">
        <f t="shared" si="874"/>
        <v/>
      </c>
    </row>
    <row r="52823" spans="8:8" x14ac:dyDescent="0.3">
      <c r="H52823" t="str">
        <f t="shared" ref="H52823:H52886" si="875">IF(B52823="","",$C$12)</f>
        <v/>
      </c>
    </row>
    <row r="52824" spans="8:8" x14ac:dyDescent="0.3">
      <c r="H52824" t="str">
        <f t="shared" si="875"/>
        <v/>
      </c>
    </row>
    <row r="52825" spans="8:8" x14ac:dyDescent="0.3">
      <c r="H52825" t="str">
        <f t="shared" si="875"/>
        <v/>
      </c>
    </row>
    <row r="52826" spans="8:8" x14ac:dyDescent="0.3">
      <c r="H52826" t="str">
        <f t="shared" si="875"/>
        <v/>
      </c>
    </row>
    <row r="52827" spans="8:8" x14ac:dyDescent="0.3">
      <c r="H52827" t="str">
        <f t="shared" si="875"/>
        <v/>
      </c>
    </row>
    <row r="52828" spans="8:8" x14ac:dyDescent="0.3">
      <c r="H52828" t="str">
        <f t="shared" si="875"/>
        <v/>
      </c>
    </row>
    <row r="52829" spans="8:8" x14ac:dyDescent="0.3">
      <c r="H52829" t="str">
        <f t="shared" si="875"/>
        <v/>
      </c>
    </row>
    <row r="52830" spans="8:8" x14ac:dyDescent="0.3">
      <c r="H52830" t="str">
        <f t="shared" si="875"/>
        <v/>
      </c>
    </row>
    <row r="52831" spans="8:8" x14ac:dyDescent="0.3">
      <c r="H52831" t="str">
        <f t="shared" si="875"/>
        <v/>
      </c>
    </row>
    <row r="52832" spans="8:8" x14ac:dyDescent="0.3">
      <c r="H52832" t="str">
        <f t="shared" si="875"/>
        <v/>
      </c>
    </row>
    <row r="52833" spans="8:8" x14ac:dyDescent="0.3">
      <c r="H52833" t="str">
        <f t="shared" si="875"/>
        <v/>
      </c>
    </row>
    <row r="52834" spans="8:8" x14ac:dyDescent="0.3">
      <c r="H52834" t="str">
        <f t="shared" si="875"/>
        <v/>
      </c>
    </row>
    <row r="52835" spans="8:8" x14ac:dyDescent="0.3">
      <c r="H52835" t="str">
        <f t="shared" si="875"/>
        <v/>
      </c>
    </row>
    <row r="52836" spans="8:8" x14ac:dyDescent="0.3">
      <c r="H52836" t="str">
        <f t="shared" si="875"/>
        <v/>
      </c>
    </row>
    <row r="52837" spans="8:8" x14ac:dyDescent="0.3">
      <c r="H52837" t="str">
        <f t="shared" si="875"/>
        <v/>
      </c>
    </row>
    <row r="52838" spans="8:8" x14ac:dyDescent="0.3">
      <c r="H52838" t="str">
        <f t="shared" si="875"/>
        <v/>
      </c>
    </row>
    <row r="52839" spans="8:8" x14ac:dyDescent="0.3">
      <c r="H52839" t="str">
        <f t="shared" si="875"/>
        <v/>
      </c>
    </row>
    <row r="52840" spans="8:8" x14ac:dyDescent="0.3">
      <c r="H52840" t="str">
        <f t="shared" si="875"/>
        <v/>
      </c>
    </row>
    <row r="52841" spans="8:8" x14ac:dyDescent="0.3">
      <c r="H52841" t="str">
        <f t="shared" si="875"/>
        <v/>
      </c>
    </row>
    <row r="52842" spans="8:8" x14ac:dyDescent="0.3">
      <c r="H52842" t="str">
        <f t="shared" si="875"/>
        <v/>
      </c>
    </row>
    <row r="52843" spans="8:8" x14ac:dyDescent="0.3">
      <c r="H52843" t="str">
        <f t="shared" si="875"/>
        <v/>
      </c>
    </row>
    <row r="52844" spans="8:8" x14ac:dyDescent="0.3">
      <c r="H52844" t="str">
        <f t="shared" si="875"/>
        <v/>
      </c>
    </row>
    <row r="52845" spans="8:8" x14ac:dyDescent="0.3">
      <c r="H52845" t="str">
        <f t="shared" si="875"/>
        <v/>
      </c>
    </row>
    <row r="52846" spans="8:8" x14ac:dyDescent="0.3">
      <c r="H52846" t="str">
        <f t="shared" si="875"/>
        <v/>
      </c>
    </row>
    <row r="52847" spans="8:8" x14ac:dyDescent="0.3">
      <c r="H52847" t="str">
        <f t="shared" si="875"/>
        <v/>
      </c>
    </row>
    <row r="52848" spans="8:8" x14ac:dyDescent="0.3">
      <c r="H52848" t="str">
        <f t="shared" si="875"/>
        <v/>
      </c>
    </row>
    <row r="52849" spans="8:8" x14ac:dyDescent="0.3">
      <c r="H52849" t="str">
        <f t="shared" si="875"/>
        <v/>
      </c>
    </row>
    <row r="52850" spans="8:8" x14ac:dyDescent="0.3">
      <c r="H52850" t="str">
        <f t="shared" si="875"/>
        <v/>
      </c>
    </row>
    <row r="52851" spans="8:8" x14ac:dyDescent="0.3">
      <c r="H52851" t="str">
        <f t="shared" si="875"/>
        <v/>
      </c>
    </row>
    <row r="52852" spans="8:8" x14ac:dyDescent="0.3">
      <c r="H52852" t="str">
        <f t="shared" si="875"/>
        <v/>
      </c>
    </row>
    <row r="52853" spans="8:8" x14ac:dyDescent="0.3">
      <c r="H52853" t="str">
        <f t="shared" si="875"/>
        <v/>
      </c>
    </row>
    <row r="52854" spans="8:8" x14ac:dyDescent="0.3">
      <c r="H52854" t="str">
        <f t="shared" si="875"/>
        <v/>
      </c>
    </row>
    <row r="52855" spans="8:8" x14ac:dyDescent="0.3">
      <c r="H52855" t="str">
        <f t="shared" si="875"/>
        <v/>
      </c>
    </row>
    <row r="52856" spans="8:8" x14ac:dyDescent="0.3">
      <c r="H52856" t="str">
        <f t="shared" si="875"/>
        <v/>
      </c>
    </row>
    <row r="52857" spans="8:8" x14ac:dyDescent="0.3">
      <c r="H52857" t="str">
        <f t="shared" si="875"/>
        <v/>
      </c>
    </row>
    <row r="52858" spans="8:8" x14ac:dyDescent="0.3">
      <c r="H52858" t="str">
        <f t="shared" si="875"/>
        <v/>
      </c>
    </row>
    <row r="52859" spans="8:8" x14ac:dyDescent="0.3">
      <c r="H52859" t="str">
        <f t="shared" si="875"/>
        <v/>
      </c>
    </row>
    <row r="52860" spans="8:8" x14ac:dyDescent="0.3">
      <c r="H52860" t="str">
        <f t="shared" si="875"/>
        <v/>
      </c>
    </row>
    <row r="52861" spans="8:8" x14ac:dyDescent="0.3">
      <c r="H52861" t="str">
        <f t="shared" si="875"/>
        <v/>
      </c>
    </row>
    <row r="52862" spans="8:8" x14ac:dyDescent="0.3">
      <c r="H52862" t="str">
        <f t="shared" si="875"/>
        <v/>
      </c>
    </row>
    <row r="52863" spans="8:8" x14ac:dyDescent="0.3">
      <c r="H52863" t="str">
        <f t="shared" si="875"/>
        <v/>
      </c>
    </row>
    <row r="52864" spans="8:8" x14ac:dyDescent="0.3">
      <c r="H52864" t="str">
        <f t="shared" si="875"/>
        <v/>
      </c>
    </row>
    <row r="52865" spans="8:8" x14ac:dyDescent="0.3">
      <c r="H52865" t="str">
        <f t="shared" si="875"/>
        <v/>
      </c>
    </row>
    <row r="52866" spans="8:8" x14ac:dyDescent="0.3">
      <c r="H52866" t="str">
        <f t="shared" si="875"/>
        <v/>
      </c>
    </row>
    <row r="52867" spans="8:8" x14ac:dyDescent="0.3">
      <c r="H52867" t="str">
        <f t="shared" si="875"/>
        <v/>
      </c>
    </row>
    <row r="52868" spans="8:8" x14ac:dyDescent="0.3">
      <c r="H52868" t="str">
        <f t="shared" si="875"/>
        <v/>
      </c>
    </row>
    <row r="52869" spans="8:8" x14ac:dyDescent="0.3">
      <c r="H52869" t="str">
        <f t="shared" si="875"/>
        <v/>
      </c>
    </row>
    <row r="52870" spans="8:8" x14ac:dyDescent="0.3">
      <c r="H52870" t="str">
        <f t="shared" si="875"/>
        <v/>
      </c>
    </row>
    <row r="52871" spans="8:8" x14ac:dyDescent="0.3">
      <c r="H52871" t="str">
        <f t="shared" si="875"/>
        <v/>
      </c>
    </row>
    <row r="52872" spans="8:8" x14ac:dyDescent="0.3">
      <c r="H52872" t="str">
        <f t="shared" si="875"/>
        <v/>
      </c>
    </row>
    <row r="52873" spans="8:8" x14ac:dyDescent="0.3">
      <c r="H52873" t="str">
        <f t="shared" si="875"/>
        <v/>
      </c>
    </row>
    <row r="52874" spans="8:8" x14ac:dyDescent="0.3">
      <c r="H52874" t="str">
        <f t="shared" si="875"/>
        <v/>
      </c>
    </row>
    <row r="52875" spans="8:8" x14ac:dyDescent="0.3">
      <c r="H52875" t="str">
        <f t="shared" si="875"/>
        <v/>
      </c>
    </row>
    <row r="52876" spans="8:8" x14ac:dyDescent="0.3">
      <c r="H52876" t="str">
        <f t="shared" si="875"/>
        <v/>
      </c>
    </row>
    <row r="52877" spans="8:8" x14ac:dyDescent="0.3">
      <c r="H52877" t="str">
        <f t="shared" si="875"/>
        <v/>
      </c>
    </row>
    <row r="52878" spans="8:8" x14ac:dyDescent="0.3">
      <c r="H52878" t="str">
        <f t="shared" si="875"/>
        <v/>
      </c>
    </row>
    <row r="52879" spans="8:8" x14ac:dyDescent="0.3">
      <c r="H52879" t="str">
        <f t="shared" si="875"/>
        <v/>
      </c>
    </row>
    <row r="52880" spans="8:8" x14ac:dyDescent="0.3">
      <c r="H52880" t="str">
        <f t="shared" si="875"/>
        <v/>
      </c>
    </row>
    <row r="52881" spans="8:8" x14ac:dyDescent="0.3">
      <c r="H52881" t="str">
        <f t="shared" si="875"/>
        <v/>
      </c>
    </row>
    <row r="52882" spans="8:8" x14ac:dyDescent="0.3">
      <c r="H52882" t="str">
        <f t="shared" si="875"/>
        <v/>
      </c>
    </row>
    <row r="52883" spans="8:8" x14ac:dyDescent="0.3">
      <c r="H52883" t="str">
        <f t="shared" si="875"/>
        <v/>
      </c>
    </row>
    <row r="52884" spans="8:8" x14ac:dyDescent="0.3">
      <c r="H52884" t="str">
        <f t="shared" si="875"/>
        <v/>
      </c>
    </row>
    <row r="52885" spans="8:8" x14ac:dyDescent="0.3">
      <c r="H52885" t="str">
        <f t="shared" si="875"/>
        <v/>
      </c>
    </row>
    <row r="52886" spans="8:8" x14ac:dyDescent="0.3">
      <c r="H52886" t="str">
        <f t="shared" si="875"/>
        <v/>
      </c>
    </row>
    <row r="52887" spans="8:8" x14ac:dyDescent="0.3">
      <c r="H52887" t="str">
        <f t="shared" ref="H52887:H52950" si="876">IF(B52887="","",$C$12)</f>
        <v/>
      </c>
    </row>
    <row r="52888" spans="8:8" x14ac:dyDescent="0.3">
      <c r="H52888" t="str">
        <f t="shared" si="876"/>
        <v/>
      </c>
    </row>
    <row r="52889" spans="8:8" x14ac:dyDescent="0.3">
      <c r="H52889" t="str">
        <f t="shared" si="876"/>
        <v/>
      </c>
    </row>
    <row r="52890" spans="8:8" x14ac:dyDescent="0.3">
      <c r="H52890" t="str">
        <f t="shared" si="876"/>
        <v/>
      </c>
    </row>
    <row r="52891" spans="8:8" x14ac:dyDescent="0.3">
      <c r="H52891" t="str">
        <f t="shared" si="876"/>
        <v/>
      </c>
    </row>
    <row r="52892" spans="8:8" x14ac:dyDescent="0.3">
      <c r="H52892" t="str">
        <f t="shared" si="876"/>
        <v/>
      </c>
    </row>
    <row r="52893" spans="8:8" x14ac:dyDescent="0.3">
      <c r="H52893" t="str">
        <f t="shared" si="876"/>
        <v/>
      </c>
    </row>
    <row r="52894" spans="8:8" x14ac:dyDescent="0.3">
      <c r="H52894" t="str">
        <f t="shared" si="876"/>
        <v/>
      </c>
    </row>
    <row r="52895" spans="8:8" x14ac:dyDescent="0.3">
      <c r="H52895" t="str">
        <f t="shared" si="876"/>
        <v/>
      </c>
    </row>
    <row r="52896" spans="8:8" x14ac:dyDescent="0.3">
      <c r="H52896" t="str">
        <f t="shared" si="876"/>
        <v/>
      </c>
    </row>
    <row r="52897" spans="8:8" x14ac:dyDescent="0.3">
      <c r="H52897" t="str">
        <f t="shared" si="876"/>
        <v/>
      </c>
    </row>
    <row r="52898" spans="8:8" x14ac:dyDescent="0.3">
      <c r="H52898" t="str">
        <f t="shared" si="876"/>
        <v/>
      </c>
    </row>
    <row r="52899" spans="8:8" x14ac:dyDescent="0.3">
      <c r="H52899" t="str">
        <f t="shared" si="876"/>
        <v/>
      </c>
    </row>
    <row r="52900" spans="8:8" x14ac:dyDescent="0.3">
      <c r="H52900" t="str">
        <f t="shared" si="876"/>
        <v/>
      </c>
    </row>
    <row r="52901" spans="8:8" x14ac:dyDescent="0.3">
      <c r="H52901" t="str">
        <f t="shared" si="876"/>
        <v/>
      </c>
    </row>
    <row r="52902" spans="8:8" x14ac:dyDescent="0.3">
      <c r="H52902" t="str">
        <f t="shared" si="876"/>
        <v/>
      </c>
    </row>
    <row r="52903" spans="8:8" x14ac:dyDescent="0.3">
      <c r="H52903" t="str">
        <f t="shared" si="876"/>
        <v/>
      </c>
    </row>
    <row r="52904" spans="8:8" x14ac:dyDescent="0.3">
      <c r="H52904" t="str">
        <f t="shared" si="876"/>
        <v/>
      </c>
    </row>
    <row r="52905" spans="8:8" x14ac:dyDescent="0.3">
      <c r="H52905" t="str">
        <f t="shared" si="876"/>
        <v/>
      </c>
    </row>
    <row r="52906" spans="8:8" x14ac:dyDescent="0.3">
      <c r="H52906" t="str">
        <f t="shared" si="876"/>
        <v/>
      </c>
    </row>
    <row r="52907" spans="8:8" x14ac:dyDescent="0.3">
      <c r="H52907" t="str">
        <f t="shared" si="876"/>
        <v/>
      </c>
    </row>
    <row r="52908" spans="8:8" x14ac:dyDescent="0.3">
      <c r="H52908" t="str">
        <f t="shared" si="876"/>
        <v/>
      </c>
    </row>
    <row r="52909" spans="8:8" x14ac:dyDescent="0.3">
      <c r="H52909" t="str">
        <f t="shared" si="876"/>
        <v/>
      </c>
    </row>
    <row r="52910" spans="8:8" x14ac:dyDescent="0.3">
      <c r="H52910" t="str">
        <f t="shared" si="876"/>
        <v/>
      </c>
    </row>
    <row r="52911" spans="8:8" x14ac:dyDescent="0.3">
      <c r="H52911" t="str">
        <f t="shared" si="876"/>
        <v/>
      </c>
    </row>
    <row r="52912" spans="8:8" x14ac:dyDescent="0.3">
      <c r="H52912" t="str">
        <f t="shared" si="876"/>
        <v/>
      </c>
    </row>
    <row r="52913" spans="8:8" x14ac:dyDescent="0.3">
      <c r="H52913" t="str">
        <f t="shared" si="876"/>
        <v/>
      </c>
    </row>
    <row r="52914" spans="8:8" x14ac:dyDescent="0.3">
      <c r="H52914" t="str">
        <f t="shared" si="876"/>
        <v/>
      </c>
    </row>
    <row r="52915" spans="8:8" x14ac:dyDescent="0.3">
      <c r="H52915" t="str">
        <f t="shared" si="876"/>
        <v/>
      </c>
    </row>
    <row r="52916" spans="8:8" x14ac:dyDescent="0.3">
      <c r="H52916" t="str">
        <f t="shared" si="876"/>
        <v/>
      </c>
    </row>
    <row r="52917" spans="8:8" x14ac:dyDescent="0.3">
      <c r="H52917" t="str">
        <f t="shared" si="876"/>
        <v/>
      </c>
    </row>
    <row r="52918" spans="8:8" x14ac:dyDescent="0.3">
      <c r="H52918" t="str">
        <f t="shared" si="876"/>
        <v/>
      </c>
    </row>
    <row r="52919" spans="8:8" x14ac:dyDescent="0.3">
      <c r="H52919" t="str">
        <f t="shared" si="876"/>
        <v/>
      </c>
    </row>
    <row r="52920" spans="8:8" x14ac:dyDescent="0.3">
      <c r="H52920" t="str">
        <f t="shared" si="876"/>
        <v/>
      </c>
    </row>
    <row r="52921" spans="8:8" x14ac:dyDescent="0.3">
      <c r="H52921" t="str">
        <f t="shared" si="876"/>
        <v/>
      </c>
    </row>
    <row r="52922" spans="8:8" x14ac:dyDescent="0.3">
      <c r="H52922" t="str">
        <f t="shared" si="876"/>
        <v/>
      </c>
    </row>
    <row r="52923" spans="8:8" x14ac:dyDescent="0.3">
      <c r="H52923" t="str">
        <f t="shared" si="876"/>
        <v/>
      </c>
    </row>
    <row r="52924" spans="8:8" x14ac:dyDescent="0.3">
      <c r="H52924" t="str">
        <f t="shared" si="876"/>
        <v/>
      </c>
    </row>
    <row r="52925" spans="8:8" x14ac:dyDescent="0.3">
      <c r="H52925" t="str">
        <f t="shared" si="876"/>
        <v/>
      </c>
    </row>
    <row r="52926" spans="8:8" x14ac:dyDescent="0.3">
      <c r="H52926" t="str">
        <f t="shared" si="876"/>
        <v/>
      </c>
    </row>
    <row r="52927" spans="8:8" x14ac:dyDescent="0.3">
      <c r="H52927" t="str">
        <f t="shared" si="876"/>
        <v/>
      </c>
    </row>
    <row r="52928" spans="8:8" x14ac:dyDescent="0.3">
      <c r="H52928" t="str">
        <f t="shared" si="876"/>
        <v/>
      </c>
    </row>
    <row r="52929" spans="8:8" x14ac:dyDescent="0.3">
      <c r="H52929" t="str">
        <f t="shared" si="876"/>
        <v/>
      </c>
    </row>
    <row r="52930" spans="8:8" x14ac:dyDescent="0.3">
      <c r="H52930" t="str">
        <f t="shared" si="876"/>
        <v/>
      </c>
    </row>
    <row r="52931" spans="8:8" x14ac:dyDescent="0.3">
      <c r="H52931" t="str">
        <f t="shared" si="876"/>
        <v/>
      </c>
    </row>
    <row r="52932" spans="8:8" x14ac:dyDescent="0.3">
      <c r="H52932" t="str">
        <f t="shared" si="876"/>
        <v/>
      </c>
    </row>
    <row r="52933" spans="8:8" x14ac:dyDescent="0.3">
      <c r="H52933" t="str">
        <f t="shared" si="876"/>
        <v/>
      </c>
    </row>
    <row r="52934" spans="8:8" x14ac:dyDescent="0.3">
      <c r="H52934" t="str">
        <f t="shared" si="876"/>
        <v/>
      </c>
    </row>
    <row r="52935" spans="8:8" x14ac:dyDescent="0.3">
      <c r="H52935" t="str">
        <f t="shared" si="876"/>
        <v/>
      </c>
    </row>
    <row r="52936" spans="8:8" x14ac:dyDescent="0.3">
      <c r="H52936" t="str">
        <f t="shared" si="876"/>
        <v/>
      </c>
    </row>
    <row r="52937" spans="8:8" x14ac:dyDescent="0.3">
      <c r="H52937" t="str">
        <f t="shared" si="876"/>
        <v/>
      </c>
    </row>
    <row r="52938" spans="8:8" x14ac:dyDescent="0.3">
      <c r="H52938" t="str">
        <f t="shared" si="876"/>
        <v/>
      </c>
    </row>
    <row r="52939" spans="8:8" x14ac:dyDescent="0.3">
      <c r="H52939" t="str">
        <f t="shared" si="876"/>
        <v/>
      </c>
    </row>
    <row r="52940" spans="8:8" x14ac:dyDescent="0.3">
      <c r="H52940" t="str">
        <f t="shared" si="876"/>
        <v/>
      </c>
    </row>
    <row r="52941" spans="8:8" x14ac:dyDescent="0.3">
      <c r="H52941" t="str">
        <f t="shared" si="876"/>
        <v/>
      </c>
    </row>
    <row r="52942" spans="8:8" x14ac:dyDescent="0.3">
      <c r="H52942" t="str">
        <f t="shared" si="876"/>
        <v/>
      </c>
    </row>
    <row r="52943" spans="8:8" x14ac:dyDescent="0.3">
      <c r="H52943" t="str">
        <f t="shared" si="876"/>
        <v/>
      </c>
    </row>
    <row r="52944" spans="8:8" x14ac:dyDescent="0.3">
      <c r="H52944" t="str">
        <f t="shared" si="876"/>
        <v/>
      </c>
    </row>
    <row r="52945" spans="8:8" x14ac:dyDescent="0.3">
      <c r="H52945" t="str">
        <f t="shared" si="876"/>
        <v/>
      </c>
    </row>
    <row r="52946" spans="8:8" x14ac:dyDescent="0.3">
      <c r="H52946" t="str">
        <f t="shared" si="876"/>
        <v/>
      </c>
    </row>
    <row r="52947" spans="8:8" x14ac:dyDescent="0.3">
      <c r="H52947" t="str">
        <f t="shared" si="876"/>
        <v/>
      </c>
    </row>
    <row r="52948" spans="8:8" x14ac:dyDescent="0.3">
      <c r="H52948" t="str">
        <f t="shared" si="876"/>
        <v/>
      </c>
    </row>
    <row r="52949" spans="8:8" x14ac:dyDescent="0.3">
      <c r="H52949" t="str">
        <f t="shared" si="876"/>
        <v/>
      </c>
    </row>
    <row r="52950" spans="8:8" x14ac:dyDescent="0.3">
      <c r="H52950" t="str">
        <f t="shared" si="876"/>
        <v/>
      </c>
    </row>
    <row r="52951" spans="8:8" x14ac:dyDescent="0.3">
      <c r="H52951" t="str">
        <f t="shared" ref="H52951:H53014" si="877">IF(B52951="","",$C$12)</f>
        <v/>
      </c>
    </row>
    <row r="52952" spans="8:8" x14ac:dyDescent="0.3">
      <c r="H52952" t="str">
        <f t="shared" si="877"/>
        <v/>
      </c>
    </row>
    <row r="52953" spans="8:8" x14ac:dyDescent="0.3">
      <c r="H52953" t="str">
        <f t="shared" si="877"/>
        <v/>
      </c>
    </row>
    <row r="52954" spans="8:8" x14ac:dyDescent="0.3">
      <c r="H52954" t="str">
        <f t="shared" si="877"/>
        <v/>
      </c>
    </row>
    <row r="52955" spans="8:8" x14ac:dyDescent="0.3">
      <c r="H52955" t="str">
        <f t="shared" si="877"/>
        <v/>
      </c>
    </row>
    <row r="52956" spans="8:8" x14ac:dyDescent="0.3">
      <c r="H52956" t="str">
        <f t="shared" si="877"/>
        <v/>
      </c>
    </row>
    <row r="52957" spans="8:8" x14ac:dyDescent="0.3">
      <c r="H52957" t="str">
        <f t="shared" si="877"/>
        <v/>
      </c>
    </row>
    <row r="52958" spans="8:8" x14ac:dyDescent="0.3">
      <c r="H52958" t="str">
        <f t="shared" si="877"/>
        <v/>
      </c>
    </row>
    <row r="52959" spans="8:8" x14ac:dyDescent="0.3">
      <c r="H52959" t="str">
        <f t="shared" si="877"/>
        <v/>
      </c>
    </row>
    <row r="52960" spans="8:8" x14ac:dyDescent="0.3">
      <c r="H52960" t="str">
        <f t="shared" si="877"/>
        <v/>
      </c>
    </row>
    <row r="52961" spans="8:8" x14ac:dyDescent="0.3">
      <c r="H52961" t="str">
        <f t="shared" si="877"/>
        <v/>
      </c>
    </row>
    <row r="52962" spans="8:8" x14ac:dyDescent="0.3">
      <c r="H52962" t="str">
        <f t="shared" si="877"/>
        <v/>
      </c>
    </row>
    <row r="52963" spans="8:8" x14ac:dyDescent="0.3">
      <c r="H52963" t="str">
        <f t="shared" si="877"/>
        <v/>
      </c>
    </row>
    <row r="52964" spans="8:8" x14ac:dyDescent="0.3">
      <c r="H52964" t="str">
        <f t="shared" si="877"/>
        <v/>
      </c>
    </row>
    <row r="52965" spans="8:8" x14ac:dyDescent="0.3">
      <c r="H52965" t="str">
        <f t="shared" si="877"/>
        <v/>
      </c>
    </row>
    <row r="52966" spans="8:8" x14ac:dyDescent="0.3">
      <c r="H52966" t="str">
        <f t="shared" si="877"/>
        <v/>
      </c>
    </row>
    <row r="52967" spans="8:8" x14ac:dyDescent="0.3">
      <c r="H52967" t="str">
        <f t="shared" si="877"/>
        <v/>
      </c>
    </row>
    <row r="52968" spans="8:8" x14ac:dyDescent="0.3">
      <c r="H52968" t="str">
        <f t="shared" si="877"/>
        <v/>
      </c>
    </row>
    <row r="52969" spans="8:8" x14ac:dyDescent="0.3">
      <c r="H52969" t="str">
        <f t="shared" si="877"/>
        <v/>
      </c>
    </row>
    <row r="52970" spans="8:8" x14ac:dyDescent="0.3">
      <c r="H52970" t="str">
        <f t="shared" si="877"/>
        <v/>
      </c>
    </row>
    <row r="52971" spans="8:8" x14ac:dyDescent="0.3">
      <c r="H52971" t="str">
        <f t="shared" si="877"/>
        <v/>
      </c>
    </row>
    <row r="52972" spans="8:8" x14ac:dyDescent="0.3">
      <c r="H52972" t="str">
        <f t="shared" si="877"/>
        <v/>
      </c>
    </row>
    <row r="52973" spans="8:8" x14ac:dyDescent="0.3">
      <c r="H52973" t="str">
        <f t="shared" si="877"/>
        <v/>
      </c>
    </row>
    <row r="52974" spans="8:8" x14ac:dyDescent="0.3">
      <c r="H52974" t="str">
        <f t="shared" si="877"/>
        <v/>
      </c>
    </row>
    <row r="52975" spans="8:8" x14ac:dyDescent="0.3">
      <c r="H52975" t="str">
        <f t="shared" si="877"/>
        <v/>
      </c>
    </row>
    <row r="52976" spans="8:8" x14ac:dyDescent="0.3">
      <c r="H52976" t="str">
        <f t="shared" si="877"/>
        <v/>
      </c>
    </row>
    <row r="52977" spans="8:8" x14ac:dyDescent="0.3">
      <c r="H52977" t="str">
        <f t="shared" si="877"/>
        <v/>
      </c>
    </row>
    <row r="52978" spans="8:8" x14ac:dyDescent="0.3">
      <c r="H52978" t="str">
        <f t="shared" si="877"/>
        <v/>
      </c>
    </row>
    <row r="52979" spans="8:8" x14ac:dyDescent="0.3">
      <c r="H52979" t="str">
        <f t="shared" si="877"/>
        <v/>
      </c>
    </row>
    <row r="52980" spans="8:8" x14ac:dyDescent="0.3">
      <c r="H52980" t="str">
        <f t="shared" si="877"/>
        <v/>
      </c>
    </row>
    <row r="52981" spans="8:8" x14ac:dyDescent="0.3">
      <c r="H52981" t="str">
        <f t="shared" si="877"/>
        <v/>
      </c>
    </row>
    <row r="52982" spans="8:8" x14ac:dyDescent="0.3">
      <c r="H52982" t="str">
        <f t="shared" si="877"/>
        <v/>
      </c>
    </row>
    <row r="52983" spans="8:8" x14ac:dyDescent="0.3">
      <c r="H52983" t="str">
        <f t="shared" si="877"/>
        <v/>
      </c>
    </row>
    <row r="52984" spans="8:8" x14ac:dyDescent="0.3">
      <c r="H52984" t="str">
        <f t="shared" si="877"/>
        <v/>
      </c>
    </row>
    <row r="52985" spans="8:8" x14ac:dyDescent="0.3">
      <c r="H52985" t="str">
        <f t="shared" si="877"/>
        <v/>
      </c>
    </row>
    <row r="52986" spans="8:8" x14ac:dyDescent="0.3">
      <c r="H52986" t="str">
        <f t="shared" si="877"/>
        <v/>
      </c>
    </row>
    <row r="52987" spans="8:8" x14ac:dyDescent="0.3">
      <c r="H52987" t="str">
        <f t="shared" si="877"/>
        <v/>
      </c>
    </row>
    <row r="52988" spans="8:8" x14ac:dyDescent="0.3">
      <c r="H52988" t="str">
        <f t="shared" si="877"/>
        <v/>
      </c>
    </row>
    <row r="52989" spans="8:8" x14ac:dyDescent="0.3">
      <c r="H52989" t="str">
        <f t="shared" si="877"/>
        <v/>
      </c>
    </row>
    <row r="52990" spans="8:8" x14ac:dyDescent="0.3">
      <c r="H52990" t="str">
        <f t="shared" si="877"/>
        <v/>
      </c>
    </row>
    <row r="52991" spans="8:8" x14ac:dyDescent="0.3">
      <c r="H52991" t="str">
        <f t="shared" si="877"/>
        <v/>
      </c>
    </row>
    <row r="52992" spans="8:8" x14ac:dyDescent="0.3">
      <c r="H52992" t="str">
        <f t="shared" si="877"/>
        <v/>
      </c>
    </row>
    <row r="52993" spans="8:8" x14ac:dyDescent="0.3">
      <c r="H52993" t="str">
        <f t="shared" si="877"/>
        <v/>
      </c>
    </row>
    <row r="52994" spans="8:8" x14ac:dyDescent="0.3">
      <c r="H52994" t="str">
        <f t="shared" si="877"/>
        <v/>
      </c>
    </row>
    <row r="52995" spans="8:8" x14ac:dyDescent="0.3">
      <c r="H52995" t="str">
        <f t="shared" si="877"/>
        <v/>
      </c>
    </row>
    <row r="52996" spans="8:8" x14ac:dyDescent="0.3">
      <c r="H52996" t="str">
        <f t="shared" si="877"/>
        <v/>
      </c>
    </row>
    <row r="52997" spans="8:8" x14ac:dyDescent="0.3">
      <c r="H52997" t="str">
        <f t="shared" si="877"/>
        <v/>
      </c>
    </row>
    <row r="52998" spans="8:8" x14ac:dyDescent="0.3">
      <c r="H52998" t="str">
        <f t="shared" si="877"/>
        <v/>
      </c>
    </row>
    <row r="52999" spans="8:8" x14ac:dyDescent="0.3">
      <c r="H52999" t="str">
        <f t="shared" si="877"/>
        <v/>
      </c>
    </row>
    <row r="53000" spans="8:8" x14ac:dyDescent="0.3">
      <c r="H53000" t="str">
        <f t="shared" si="877"/>
        <v/>
      </c>
    </row>
    <row r="53001" spans="8:8" x14ac:dyDescent="0.3">
      <c r="H53001" t="str">
        <f t="shared" si="877"/>
        <v/>
      </c>
    </row>
    <row r="53002" spans="8:8" x14ac:dyDescent="0.3">
      <c r="H53002" t="str">
        <f t="shared" si="877"/>
        <v/>
      </c>
    </row>
    <row r="53003" spans="8:8" x14ac:dyDescent="0.3">
      <c r="H53003" t="str">
        <f t="shared" si="877"/>
        <v/>
      </c>
    </row>
    <row r="53004" spans="8:8" x14ac:dyDescent="0.3">
      <c r="H53004" t="str">
        <f t="shared" si="877"/>
        <v/>
      </c>
    </row>
    <row r="53005" spans="8:8" x14ac:dyDescent="0.3">
      <c r="H53005" t="str">
        <f t="shared" si="877"/>
        <v/>
      </c>
    </row>
    <row r="53006" spans="8:8" x14ac:dyDescent="0.3">
      <c r="H53006" t="str">
        <f t="shared" si="877"/>
        <v/>
      </c>
    </row>
    <row r="53007" spans="8:8" x14ac:dyDescent="0.3">
      <c r="H53007" t="str">
        <f t="shared" si="877"/>
        <v/>
      </c>
    </row>
    <row r="53008" spans="8:8" x14ac:dyDescent="0.3">
      <c r="H53008" t="str">
        <f t="shared" si="877"/>
        <v/>
      </c>
    </row>
    <row r="53009" spans="8:8" x14ac:dyDescent="0.3">
      <c r="H53009" t="str">
        <f t="shared" si="877"/>
        <v/>
      </c>
    </row>
    <row r="53010" spans="8:8" x14ac:dyDescent="0.3">
      <c r="H53010" t="str">
        <f t="shared" si="877"/>
        <v/>
      </c>
    </row>
    <row r="53011" spans="8:8" x14ac:dyDescent="0.3">
      <c r="H53011" t="str">
        <f t="shared" si="877"/>
        <v/>
      </c>
    </row>
    <row r="53012" spans="8:8" x14ac:dyDescent="0.3">
      <c r="H53012" t="str">
        <f t="shared" si="877"/>
        <v/>
      </c>
    </row>
    <row r="53013" spans="8:8" x14ac:dyDescent="0.3">
      <c r="H53013" t="str">
        <f t="shared" si="877"/>
        <v/>
      </c>
    </row>
    <row r="53014" spans="8:8" x14ac:dyDescent="0.3">
      <c r="H53014" t="str">
        <f t="shared" si="877"/>
        <v/>
      </c>
    </row>
    <row r="53015" spans="8:8" x14ac:dyDescent="0.3">
      <c r="H53015" t="str">
        <f t="shared" ref="H53015:H53078" si="878">IF(B53015="","",$C$12)</f>
        <v/>
      </c>
    </row>
    <row r="53016" spans="8:8" x14ac:dyDescent="0.3">
      <c r="H53016" t="str">
        <f t="shared" si="878"/>
        <v/>
      </c>
    </row>
    <row r="53017" spans="8:8" x14ac:dyDescent="0.3">
      <c r="H53017" t="str">
        <f t="shared" si="878"/>
        <v/>
      </c>
    </row>
    <row r="53018" spans="8:8" x14ac:dyDescent="0.3">
      <c r="H53018" t="str">
        <f t="shared" si="878"/>
        <v/>
      </c>
    </row>
    <row r="53019" spans="8:8" x14ac:dyDescent="0.3">
      <c r="H53019" t="str">
        <f t="shared" si="878"/>
        <v/>
      </c>
    </row>
    <row r="53020" spans="8:8" x14ac:dyDescent="0.3">
      <c r="H53020" t="str">
        <f t="shared" si="878"/>
        <v/>
      </c>
    </row>
    <row r="53021" spans="8:8" x14ac:dyDescent="0.3">
      <c r="H53021" t="str">
        <f t="shared" si="878"/>
        <v/>
      </c>
    </row>
    <row r="53022" spans="8:8" x14ac:dyDescent="0.3">
      <c r="H53022" t="str">
        <f t="shared" si="878"/>
        <v/>
      </c>
    </row>
    <row r="53023" spans="8:8" x14ac:dyDescent="0.3">
      <c r="H53023" t="str">
        <f t="shared" si="878"/>
        <v/>
      </c>
    </row>
    <row r="53024" spans="8:8" x14ac:dyDescent="0.3">
      <c r="H53024" t="str">
        <f t="shared" si="878"/>
        <v/>
      </c>
    </row>
    <row r="53025" spans="8:8" x14ac:dyDescent="0.3">
      <c r="H53025" t="str">
        <f t="shared" si="878"/>
        <v/>
      </c>
    </row>
    <row r="53026" spans="8:8" x14ac:dyDescent="0.3">
      <c r="H53026" t="str">
        <f t="shared" si="878"/>
        <v/>
      </c>
    </row>
    <row r="53027" spans="8:8" x14ac:dyDescent="0.3">
      <c r="H53027" t="str">
        <f t="shared" si="878"/>
        <v/>
      </c>
    </row>
    <row r="53028" spans="8:8" x14ac:dyDescent="0.3">
      <c r="H53028" t="str">
        <f t="shared" si="878"/>
        <v/>
      </c>
    </row>
    <row r="53029" spans="8:8" x14ac:dyDescent="0.3">
      <c r="H53029" t="str">
        <f t="shared" si="878"/>
        <v/>
      </c>
    </row>
    <row r="53030" spans="8:8" x14ac:dyDescent="0.3">
      <c r="H53030" t="str">
        <f t="shared" si="878"/>
        <v/>
      </c>
    </row>
    <row r="53031" spans="8:8" x14ac:dyDescent="0.3">
      <c r="H53031" t="str">
        <f t="shared" si="878"/>
        <v/>
      </c>
    </row>
    <row r="53032" spans="8:8" x14ac:dyDescent="0.3">
      <c r="H53032" t="str">
        <f t="shared" si="878"/>
        <v/>
      </c>
    </row>
    <row r="53033" spans="8:8" x14ac:dyDescent="0.3">
      <c r="H53033" t="str">
        <f t="shared" si="878"/>
        <v/>
      </c>
    </row>
    <row r="53034" spans="8:8" x14ac:dyDescent="0.3">
      <c r="H53034" t="str">
        <f t="shared" si="878"/>
        <v/>
      </c>
    </row>
    <row r="53035" spans="8:8" x14ac:dyDescent="0.3">
      <c r="H53035" t="str">
        <f t="shared" si="878"/>
        <v/>
      </c>
    </row>
    <row r="53036" spans="8:8" x14ac:dyDescent="0.3">
      <c r="H53036" t="str">
        <f t="shared" si="878"/>
        <v/>
      </c>
    </row>
    <row r="53037" spans="8:8" x14ac:dyDescent="0.3">
      <c r="H53037" t="str">
        <f t="shared" si="878"/>
        <v/>
      </c>
    </row>
    <row r="53038" spans="8:8" x14ac:dyDescent="0.3">
      <c r="H53038" t="str">
        <f t="shared" si="878"/>
        <v/>
      </c>
    </row>
    <row r="53039" spans="8:8" x14ac:dyDescent="0.3">
      <c r="H53039" t="str">
        <f t="shared" si="878"/>
        <v/>
      </c>
    </row>
    <row r="53040" spans="8:8" x14ac:dyDescent="0.3">
      <c r="H53040" t="str">
        <f t="shared" si="878"/>
        <v/>
      </c>
    </row>
    <row r="53041" spans="8:8" x14ac:dyDescent="0.3">
      <c r="H53041" t="str">
        <f t="shared" si="878"/>
        <v/>
      </c>
    </row>
    <row r="53042" spans="8:8" x14ac:dyDescent="0.3">
      <c r="H53042" t="str">
        <f t="shared" si="878"/>
        <v/>
      </c>
    </row>
    <row r="53043" spans="8:8" x14ac:dyDescent="0.3">
      <c r="H53043" t="str">
        <f t="shared" si="878"/>
        <v/>
      </c>
    </row>
    <row r="53044" spans="8:8" x14ac:dyDescent="0.3">
      <c r="H53044" t="str">
        <f t="shared" si="878"/>
        <v/>
      </c>
    </row>
    <row r="53045" spans="8:8" x14ac:dyDescent="0.3">
      <c r="H53045" t="str">
        <f t="shared" si="878"/>
        <v/>
      </c>
    </row>
    <row r="53046" spans="8:8" x14ac:dyDescent="0.3">
      <c r="H53046" t="str">
        <f t="shared" si="878"/>
        <v/>
      </c>
    </row>
    <row r="53047" spans="8:8" x14ac:dyDescent="0.3">
      <c r="H53047" t="str">
        <f t="shared" si="878"/>
        <v/>
      </c>
    </row>
    <row r="53048" spans="8:8" x14ac:dyDescent="0.3">
      <c r="H53048" t="str">
        <f t="shared" si="878"/>
        <v/>
      </c>
    </row>
    <row r="53049" spans="8:8" x14ac:dyDescent="0.3">
      <c r="H53049" t="str">
        <f t="shared" si="878"/>
        <v/>
      </c>
    </row>
    <row r="53050" spans="8:8" x14ac:dyDescent="0.3">
      <c r="H53050" t="str">
        <f t="shared" si="878"/>
        <v/>
      </c>
    </row>
    <row r="53051" spans="8:8" x14ac:dyDescent="0.3">
      <c r="H53051" t="str">
        <f t="shared" si="878"/>
        <v/>
      </c>
    </row>
    <row r="53052" spans="8:8" x14ac:dyDescent="0.3">
      <c r="H53052" t="str">
        <f t="shared" si="878"/>
        <v/>
      </c>
    </row>
    <row r="53053" spans="8:8" x14ac:dyDescent="0.3">
      <c r="H53053" t="str">
        <f t="shared" si="878"/>
        <v/>
      </c>
    </row>
    <row r="53054" spans="8:8" x14ac:dyDescent="0.3">
      <c r="H53054" t="str">
        <f t="shared" si="878"/>
        <v/>
      </c>
    </row>
    <row r="53055" spans="8:8" x14ac:dyDescent="0.3">
      <c r="H53055" t="str">
        <f t="shared" si="878"/>
        <v/>
      </c>
    </row>
    <row r="53056" spans="8:8" x14ac:dyDescent="0.3">
      <c r="H53056" t="str">
        <f t="shared" si="878"/>
        <v/>
      </c>
    </row>
    <row r="53057" spans="8:8" x14ac:dyDescent="0.3">
      <c r="H53057" t="str">
        <f t="shared" si="878"/>
        <v/>
      </c>
    </row>
    <row r="53058" spans="8:8" x14ac:dyDescent="0.3">
      <c r="H53058" t="str">
        <f t="shared" si="878"/>
        <v/>
      </c>
    </row>
    <row r="53059" spans="8:8" x14ac:dyDescent="0.3">
      <c r="H53059" t="str">
        <f t="shared" si="878"/>
        <v/>
      </c>
    </row>
    <row r="53060" spans="8:8" x14ac:dyDescent="0.3">
      <c r="H53060" t="str">
        <f t="shared" si="878"/>
        <v/>
      </c>
    </row>
    <row r="53061" spans="8:8" x14ac:dyDescent="0.3">
      <c r="H53061" t="str">
        <f t="shared" si="878"/>
        <v/>
      </c>
    </row>
    <row r="53062" spans="8:8" x14ac:dyDescent="0.3">
      <c r="H53062" t="str">
        <f t="shared" si="878"/>
        <v/>
      </c>
    </row>
    <row r="53063" spans="8:8" x14ac:dyDescent="0.3">
      <c r="H53063" t="str">
        <f t="shared" si="878"/>
        <v/>
      </c>
    </row>
    <row r="53064" spans="8:8" x14ac:dyDescent="0.3">
      <c r="H53064" t="str">
        <f t="shared" si="878"/>
        <v/>
      </c>
    </row>
    <row r="53065" spans="8:8" x14ac:dyDescent="0.3">
      <c r="H53065" t="str">
        <f t="shared" si="878"/>
        <v/>
      </c>
    </row>
    <row r="53066" spans="8:8" x14ac:dyDescent="0.3">
      <c r="H53066" t="str">
        <f t="shared" si="878"/>
        <v/>
      </c>
    </row>
    <row r="53067" spans="8:8" x14ac:dyDescent="0.3">
      <c r="H53067" t="str">
        <f t="shared" si="878"/>
        <v/>
      </c>
    </row>
    <row r="53068" spans="8:8" x14ac:dyDescent="0.3">
      <c r="H53068" t="str">
        <f t="shared" si="878"/>
        <v/>
      </c>
    </row>
    <row r="53069" spans="8:8" x14ac:dyDescent="0.3">
      <c r="H53069" t="str">
        <f t="shared" si="878"/>
        <v/>
      </c>
    </row>
    <row r="53070" spans="8:8" x14ac:dyDescent="0.3">
      <c r="H53070" t="str">
        <f t="shared" si="878"/>
        <v/>
      </c>
    </row>
    <row r="53071" spans="8:8" x14ac:dyDescent="0.3">
      <c r="H53071" t="str">
        <f t="shared" si="878"/>
        <v/>
      </c>
    </row>
    <row r="53072" spans="8:8" x14ac:dyDescent="0.3">
      <c r="H53072" t="str">
        <f t="shared" si="878"/>
        <v/>
      </c>
    </row>
    <row r="53073" spans="8:8" x14ac:dyDescent="0.3">
      <c r="H53073" t="str">
        <f t="shared" si="878"/>
        <v/>
      </c>
    </row>
    <row r="53074" spans="8:8" x14ac:dyDescent="0.3">
      <c r="H53074" t="str">
        <f t="shared" si="878"/>
        <v/>
      </c>
    </row>
    <row r="53075" spans="8:8" x14ac:dyDescent="0.3">
      <c r="H53075" t="str">
        <f t="shared" si="878"/>
        <v/>
      </c>
    </row>
    <row r="53076" spans="8:8" x14ac:dyDescent="0.3">
      <c r="H53076" t="str">
        <f t="shared" si="878"/>
        <v/>
      </c>
    </row>
    <row r="53077" spans="8:8" x14ac:dyDescent="0.3">
      <c r="H53077" t="str">
        <f t="shared" si="878"/>
        <v/>
      </c>
    </row>
    <row r="53078" spans="8:8" x14ac:dyDescent="0.3">
      <c r="H53078" t="str">
        <f t="shared" si="878"/>
        <v/>
      </c>
    </row>
    <row r="53079" spans="8:8" x14ac:dyDescent="0.3">
      <c r="H53079" t="str">
        <f t="shared" ref="H53079:H53142" si="879">IF(B53079="","",$C$12)</f>
        <v/>
      </c>
    </row>
    <row r="53080" spans="8:8" x14ac:dyDescent="0.3">
      <c r="H53080" t="str">
        <f t="shared" si="879"/>
        <v/>
      </c>
    </row>
    <row r="53081" spans="8:8" x14ac:dyDescent="0.3">
      <c r="H53081" t="str">
        <f t="shared" si="879"/>
        <v/>
      </c>
    </row>
    <row r="53082" spans="8:8" x14ac:dyDescent="0.3">
      <c r="H53082" t="str">
        <f t="shared" si="879"/>
        <v/>
      </c>
    </row>
    <row r="53083" spans="8:8" x14ac:dyDescent="0.3">
      <c r="H53083" t="str">
        <f t="shared" si="879"/>
        <v/>
      </c>
    </row>
    <row r="53084" spans="8:8" x14ac:dyDescent="0.3">
      <c r="H53084" t="str">
        <f t="shared" si="879"/>
        <v/>
      </c>
    </row>
    <row r="53085" spans="8:8" x14ac:dyDescent="0.3">
      <c r="H53085" t="str">
        <f t="shared" si="879"/>
        <v/>
      </c>
    </row>
    <row r="53086" spans="8:8" x14ac:dyDescent="0.3">
      <c r="H53086" t="str">
        <f t="shared" si="879"/>
        <v/>
      </c>
    </row>
    <row r="53087" spans="8:8" x14ac:dyDescent="0.3">
      <c r="H53087" t="str">
        <f t="shared" si="879"/>
        <v/>
      </c>
    </row>
    <row r="53088" spans="8:8" x14ac:dyDescent="0.3">
      <c r="H53088" t="str">
        <f t="shared" si="879"/>
        <v/>
      </c>
    </row>
    <row r="53089" spans="8:8" x14ac:dyDescent="0.3">
      <c r="H53089" t="str">
        <f t="shared" si="879"/>
        <v/>
      </c>
    </row>
    <row r="53090" spans="8:8" x14ac:dyDescent="0.3">
      <c r="H53090" t="str">
        <f t="shared" si="879"/>
        <v/>
      </c>
    </row>
    <row r="53091" spans="8:8" x14ac:dyDescent="0.3">
      <c r="H53091" t="str">
        <f t="shared" si="879"/>
        <v/>
      </c>
    </row>
    <row r="53092" spans="8:8" x14ac:dyDescent="0.3">
      <c r="H53092" t="str">
        <f t="shared" si="879"/>
        <v/>
      </c>
    </row>
    <row r="53093" spans="8:8" x14ac:dyDescent="0.3">
      <c r="H53093" t="str">
        <f t="shared" si="879"/>
        <v/>
      </c>
    </row>
    <row r="53094" spans="8:8" x14ac:dyDescent="0.3">
      <c r="H53094" t="str">
        <f t="shared" si="879"/>
        <v/>
      </c>
    </row>
    <row r="53095" spans="8:8" x14ac:dyDescent="0.3">
      <c r="H53095" t="str">
        <f t="shared" si="879"/>
        <v/>
      </c>
    </row>
    <row r="53096" spans="8:8" x14ac:dyDescent="0.3">
      <c r="H53096" t="str">
        <f t="shared" si="879"/>
        <v/>
      </c>
    </row>
    <row r="53097" spans="8:8" x14ac:dyDescent="0.3">
      <c r="H53097" t="str">
        <f t="shared" si="879"/>
        <v/>
      </c>
    </row>
    <row r="53098" spans="8:8" x14ac:dyDescent="0.3">
      <c r="H53098" t="str">
        <f t="shared" si="879"/>
        <v/>
      </c>
    </row>
    <row r="53099" spans="8:8" x14ac:dyDescent="0.3">
      <c r="H53099" t="str">
        <f t="shared" si="879"/>
        <v/>
      </c>
    </row>
    <row r="53100" spans="8:8" x14ac:dyDescent="0.3">
      <c r="H53100" t="str">
        <f t="shared" si="879"/>
        <v/>
      </c>
    </row>
    <row r="53101" spans="8:8" x14ac:dyDescent="0.3">
      <c r="H53101" t="str">
        <f t="shared" si="879"/>
        <v/>
      </c>
    </row>
    <row r="53102" spans="8:8" x14ac:dyDescent="0.3">
      <c r="H53102" t="str">
        <f t="shared" si="879"/>
        <v/>
      </c>
    </row>
    <row r="53103" spans="8:8" x14ac:dyDescent="0.3">
      <c r="H53103" t="str">
        <f t="shared" si="879"/>
        <v/>
      </c>
    </row>
    <row r="53104" spans="8:8" x14ac:dyDescent="0.3">
      <c r="H53104" t="str">
        <f t="shared" si="879"/>
        <v/>
      </c>
    </row>
    <row r="53105" spans="8:8" x14ac:dyDescent="0.3">
      <c r="H53105" t="str">
        <f t="shared" si="879"/>
        <v/>
      </c>
    </row>
    <row r="53106" spans="8:8" x14ac:dyDescent="0.3">
      <c r="H53106" t="str">
        <f t="shared" si="879"/>
        <v/>
      </c>
    </row>
    <row r="53107" spans="8:8" x14ac:dyDescent="0.3">
      <c r="H53107" t="str">
        <f t="shared" si="879"/>
        <v/>
      </c>
    </row>
    <row r="53108" spans="8:8" x14ac:dyDescent="0.3">
      <c r="H53108" t="str">
        <f t="shared" si="879"/>
        <v/>
      </c>
    </row>
    <row r="53109" spans="8:8" x14ac:dyDescent="0.3">
      <c r="H53109" t="str">
        <f t="shared" si="879"/>
        <v/>
      </c>
    </row>
    <row r="53110" spans="8:8" x14ac:dyDescent="0.3">
      <c r="H53110" t="str">
        <f t="shared" si="879"/>
        <v/>
      </c>
    </row>
    <row r="53111" spans="8:8" x14ac:dyDescent="0.3">
      <c r="H53111" t="str">
        <f t="shared" si="879"/>
        <v/>
      </c>
    </row>
    <row r="53112" spans="8:8" x14ac:dyDescent="0.3">
      <c r="H53112" t="str">
        <f t="shared" si="879"/>
        <v/>
      </c>
    </row>
    <row r="53113" spans="8:8" x14ac:dyDescent="0.3">
      <c r="H53113" t="str">
        <f t="shared" si="879"/>
        <v/>
      </c>
    </row>
    <row r="53114" spans="8:8" x14ac:dyDescent="0.3">
      <c r="H53114" t="str">
        <f t="shared" si="879"/>
        <v/>
      </c>
    </row>
    <row r="53115" spans="8:8" x14ac:dyDescent="0.3">
      <c r="H53115" t="str">
        <f t="shared" si="879"/>
        <v/>
      </c>
    </row>
    <row r="53116" spans="8:8" x14ac:dyDescent="0.3">
      <c r="H53116" t="str">
        <f t="shared" si="879"/>
        <v/>
      </c>
    </row>
    <row r="53117" spans="8:8" x14ac:dyDescent="0.3">
      <c r="H53117" t="str">
        <f t="shared" si="879"/>
        <v/>
      </c>
    </row>
    <row r="53118" spans="8:8" x14ac:dyDescent="0.3">
      <c r="H53118" t="str">
        <f t="shared" si="879"/>
        <v/>
      </c>
    </row>
    <row r="53119" spans="8:8" x14ac:dyDescent="0.3">
      <c r="H53119" t="str">
        <f t="shared" si="879"/>
        <v/>
      </c>
    </row>
    <row r="53120" spans="8:8" x14ac:dyDescent="0.3">
      <c r="H53120" t="str">
        <f t="shared" si="879"/>
        <v/>
      </c>
    </row>
    <row r="53121" spans="8:8" x14ac:dyDescent="0.3">
      <c r="H53121" t="str">
        <f t="shared" si="879"/>
        <v/>
      </c>
    </row>
    <row r="53122" spans="8:8" x14ac:dyDescent="0.3">
      <c r="H53122" t="str">
        <f t="shared" si="879"/>
        <v/>
      </c>
    </row>
    <row r="53123" spans="8:8" x14ac:dyDescent="0.3">
      <c r="H53123" t="str">
        <f t="shared" si="879"/>
        <v/>
      </c>
    </row>
    <row r="53124" spans="8:8" x14ac:dyDescent="0.3">
      <c r="H53124" t="str">
        <f t="shared" si="879"/>
        <v/>
      </c>
    </row>
    <row r="53125" spans="8:8" x14ac:dyDescent="0.3">
      <c r="H53125" t="str">
        <f t="shared" si="879"/>
        <v/>
      </c>
    </row>
    <row r="53126" spans="8:8" x14ac:dyDescent="0.3">
      <c r="H53126" t="str">
        <f t="shared" si="879"/>
        <v/>
      </c>
    </row>
    <row r="53127" spans="8:8" x14ac:dyDescent="0.3">
      <c r="H53127" t="str">
        <f t="shared" si="879"/>
        <v/>
      </c>
    </row>
    <row r="53128" spans="8:8" x14ac:dyDescent="0.3">
      <c r="H53128" t="str">
        <f t="shared" si="879"/>
        <v/>
      </c>
    </row>
    <row r="53129" spans="8:8" x14ac:dyDescent="0.3">
      <c r="H53129" t="str">
        <f t="shared" si="879"/>
        <v/>
      </c>
    </row>
    <row r="53130" spans="8:8" x14ac:dyDescent="0.3">
      <c r="H53130" t="str">
        <f t="shared" si="879"/>
        <v/>
      </c>
    </row>
    <row r="53131" spans="8:8" x14ac:dyDescent="0.3">
      <c r="H53131" t="str">
        <f t="shared" si="879"/>
        <v/>
      </c>
    </row>
    <row r="53132" spans="8:8" x14ac:dyDescent="0.3">
      <c r="H53132" t="str">
        <f t="shared" si="879"/>
        <v/>
      </c>
    </row>
    <row r="53133" spans="8:8" x14ac:dyDescent="0.3">
      <c r="H53133" t="str">
        <f t="shared" si="879"/>
        <v/>
      </c>
    </row>
    <row r="53134" spans="8:8" x14ac:dyDescent="0.3">
      <c r="H53134" t="str">
        <f t="shared" si="879"/>
        <v/>
      </c>
    </row>
    <row r="53135" spans="8:8" x14ac:dyDescent="0.3">
      <c r="H53135" t="str">
        <f t="shared" si="879"/>
        <v/>
      </c>
    </row>
    <row r="53136" spans="8:8" x14ac:dyDescent="0.3">
      <c r="H53136" t="str">
        <f t="shared" si="879"/>
        <v/>
      </c>
    </row>
    <row r="53137" spans="8:8" x14ac:dyDescent="0.3">
      <c r="H53137" t="str">
        <f t="shared" si="879"/>
        <v/>
      </c>
    </row>
    <row r="53138" spans="8:8" x14ac:dyDescent="0.3">
      <c r="H53138" t="str">
        <f t="shared" si="879"/>
        <v/>
      </c>
    </row>
    <row r="53139" spans="8:8" x14ac:dyDescent="0.3">
      <c r="H53139" t="str">
        <f t="shared" si="879"/>
        <v/>
      </c>
    </row>
    <row r="53140" spans="8:8" x14ac:dyDescent="0.3">
      <c r="H53140" t="str">
        <f t="shared" si="879"/>
        <v/>
      </c>
    </row>
    <row r="53141" spans="8:8" x14ac:dyDescent="0.3">
      <c r="H53141" t="str">
        <f t="shared" si="879"/>
        <v/>
      </c>
    </row>
    <row r="53142" spans="8:8" x14ac:dyDescent="0.3">
      <c r="H53142" t="str">
        <f t="shared" si="879"/>
        <v/>
      </c>
    </row>
    <row r="53143" spans="8:8" x14ac:dyDescent="0.3">
      <c r="H53143" t="str">
        <f t="shared" ref="H53143:H53206" si="880">IF(B53143="","",$C$12)</f>
        <v/>
      </c>
    </row>
    <row r="53144" spans="8:8" x14ac:dyDescent="0.3">
      <c r="H53144" t="str">
        <f t="shared" si="880"/>
        <v/>
      </c>
    </row>
    <row r="53145" spans="8:8" x14ac:dyDescent="0.3">
      <c r="H53145" t="str">
        <f t="shared" si="880"/>
        <v/>
      </c>
    </row>
    <row r="53146" spans="8:8" x14ac:dyDescent="0.3">
      <c r="H53146" t="str">
        <f t="shared" si="880"/>
        <v/>
      </c>
    </row>
    <row r="53147" spans="8:8" x14ac:dyDescent="0.3">
      <c r="H53147" t="str">
        <f t="shared" si="880"/>
        <v/>
      </c>
    </row>
    <row r="53148" spans="8:8" x14ac:dyDescent="0.3">
      <c r="H53148" t="str">
        <f t="shared" si="880"/>
        <v/>
      </c>
    </row>
    <row r="53149" spans="8:8" x14ac:dyDescent="0.3">
      <c r="H53149" t="str">
        <f t="shared" si="880"/>
        <v/>
      </c>
    </row>
    <row r="53150" spans="8:8" x14ac:dyDescent="0.3">
      <c r="H53150" t="str">
        <f t="shared" si="880"/>
        <v/>
      </c>
    </row>
    <row r="53151" spans="8:8" x14ac:dyDescent="0.3">
      <c r="H53151" t="str">
        <f t="shared" si="880"/>
        <v/>
      </c>
    </row>
    <row r="53152" spans="8:8" x14ac:dyDescent="0.3">
      <c r="H53152" t="str">
        <f t="shared" si="880"/>
        <v/>
      </c>
    </row>
    <row r="53153" spans="8:8" x14ac:dyDescent="0.3">
      <c r="H53153" t="str">
        <f t="shared" si="880"/>
        <v/>
      </c>
    </row>
    <row r="53154" spans="8:8" x14ac:dyDescent="0.3">
      <c r="H53154" t="str">
        <f t="shared" si="880"/>
        <v/>
      </c>
    </row>
    <row r="53155" spans="8:8" x14ac:dyDescent="0.3">
      <c r="H53155" t="str">
        <f t="shared" si="880"/>
        <v/>
      </c>
    </row>
    <row r="53156" spans="8:8" x14ac:dyDescent="0.3">
      <c r="H53156" t="str">
        <f t="shared" si="880"/>
        <v/>
      </c>
    </row>
    <row r="53157" spans="8:8" x14ac:dyDescent="0.3">
      <c r="H53157" t="str">
        <f t="shared" si="880"/>
        <v/>
      </c>
    </row>
    <row r="53158" spans="8:8" x14ac:dyDescent="0.3">
      <c r="H53158" t="str">
        <f t="shared" si="880"/>
        <v/>
      </c>
    </row>
    <row r="53159" spans="8:8" x14ac:dyDescent="0.3">
      <c r="H53159" t="str">
        <f t="shared" si="880"/>
        <v/>
      </c>
    </row>
    <row r="53160" spans="8:8" x14ac:dyDescent="0.3">
      <c r="H53160" t="str">
        <f t="shared" si="880"/>
        <v/>
      </c>
    </row>
    <row r="53161" spans="8:8" x14ac:dyDescent="0.3">
      <c r="H53161" t="str">
        <f t="shared" si="880"/>
        <v/>
      </c>
    </row>
    <row r="53162" spans="8:8" x14ac:dyDescent="0.3">
      <c r="H53162" t="str">
        <f t="shared" si="880"/>
        <v/>
      </c>
    </row>
    <row r="53163" spans="8:8" x14ac:dyDescent="0.3">
      <c r="H53163" t="str">
        <f t="shared" si="880"/>
        <v/>
      </c>
    </row>
    <row r="53164" spans="8:8" x14ac:dyDescent="0.3">
      <c r="H53164" t="str">
        <f t="shared" si="880"/>
        <v/>
      </c>
    </row>
    <row r="53165" spans="8:8" x14ac:dyDescent="0.3">
      <c r="H53165" t="str">
        <f t="shared" si="880"/>
        <v/>
      </c>
    </row>
    <row r="53166" spans="8:8" x14ac:dyDescent="0.3">
      <c r="H53166" t="str">
        <f t="shared" si="880"/>
        <v/>
      </c>
    </row>
    <row r="53167" spans="8:8" x14ac:dyDescent="0.3">
      <c r="H53167" t="str">
        <f t="shared" si="880"/>
        <v/>
      </c>
    </row>
    <row r="53168" spans="8:8" x14ac:dyDescent="0.3">
      <c r="H53168" t="str">
        <f t="shared" si="880"/>
        <v/>
      </c>
    </row>
    <row r="53169" spans="8:8" x14ac:dyDescent="0.3">
      <c r="H53169" t="str">
        <f t="shared" si="880"/>
        <v/>
      </c>
    </row>
    <row r="53170" spans="8:8" x14ac:dyDescent="0.3">
      <c r="H53170" t="str">
        <f t="shared" si="880"/>
        <v/>
      </c>
    </row>
    <row r="53171" spans="8:8" x14ac:dyDescent="0.3">
      <c r="H53171" t="str">
        <f t="shared" si="880"/>
        <v/>
      </c>
    </row>
    <row r="53172" spans="8:8" x14ac:dyDescent="0.3">
      <c r="H53172" t="str">
        <f t="shared" si="880"/>
        <v/>
      </c>
    </row>
    <row r="53173" spans="8:8" x14ac:dyDescent="0.3">
      <c r="H53173" t="str">
        <f t="shared" si="880"/>
        <v/>
      </c>
    </row>
    <row r="53174" spans="8:8" x14ac:dyDescent="0.3">
      <c r="H53174" t="str">
        <f t="shared" si="880"/>
        <v/>
      </c>
    </row>
    <row r="53175" spans="8:8" x14ac:dyDescent="0.3">
      <c r="H53175" t="str">
        <f t="shared" si="880"/>
        <v/>
      </c>
    </row>
    <row r="53176" spans="8:8" x14ac:dyDescent="0.3">
      <c r="H53176" t="str">
        <f t="shared" si="880"/>
        <v/>
      </c>
    </row>
    <row r="53177" spans="8:8" x14ac:dyDescent="0.3">
      <c r="H53177" t="str">
        <f t="shared" si="880"/>
        <v/>
      </c>
    </row>
    <row r="53178" spans="8:8" x14ac:dyDescent="0.3">
      <c r="H53178" t="str">
        <f t="shared" si="880"/>
        <v/>
      </c>
    </row>
    <row r="53179" spans="8:8" x14ac:dyDescent="0.3">
      <c r="H53179" t="str">
        <f t="shared" si="880"/>
        <v/>
      </c>
    </row>
    <row r="53180" spans="8:8" x14ac:dyDescent="0.3">
      <c r="H53180" t="str">
        <f t="shared" si="880"/>
        <v/>
      </c>
    </row>
    <row r="53181" spans="8:8" x14ac:dyDescent="0.3">
      <c r="H53181" t="str">
        <f t="shared" si="880"/>
        <v/>
      </c>
    </row>
    <row r="53182" spans="8:8" x14ac:dyDescent="0.3">
      <c r="H53182" t="str">
        <f t="shared" si="880"/>
        <v/>
      </c>
    </row>
    <row r="53183" spans="8:8" x14ac:dyDescent="0.3">
      <c r="H53183" t="str">
        <f t="shared" si="880"/>
        <v/>
      </c>
    </row>
    <row r="53184" spans="8:8" x14ac:dyDescent="0.3">
      <c r="H53184" t="str">
        <f t="shared" si="880"/>
        <v/>
      </c>
    </row>
    <row r="53185" spans="8:8" x14ac:dyDescent="0.3">
      <c r="H53185" t="str">
        <f t="shared" si="880"/>
        <v/>
      </c>
    </row>
    <row r="53186" spans="8:8" x14ac:dyDescent="0.3">
      <c r="H53186" t="str">
        <f t="shared" si="880"/>
        <v/>
      </c>
    </row>
    <row r="53187" spans="8:8" x14ac:dyDescent="0.3">
      <c r="H53187" t="str">
        <f t="shared" si="880"/>
        <v/>
      </c>
    </row>
    <row r="53188" spans="8:8" x14ac:dyDescent="0.3">
      <c r="H53188" t="str">
        <f t="shared" si="880"/>
        <v/>
      </c>
    </row>
    <row r="53189" spans="8:8" x14ac:dyDescent="0.3">
      <c r="H53189" t="str">
        <f t="shared" si="880"/>
        <v/>
      </c>
    </row>
    <row r="53190" spans="8:8" x14ac:dyDescent="0.3">
      <c r="H53190" t="str">
        <f t="shared" si="880"/>
        <v/>
      </c>
    </row>
    <row r="53191" spans="8:8" x14ac:dyDescent="0.3">
      <c r="H53191" t="str">
        <f t="shared" si="880"/>
        <v/>
      </c>
    </row>
    <row r="53192" spans="8:8" x14ac:dyDescent="0.3">
      <c r="H53192" t="str">
        <f t="shared" si="880"/>
        <v/>
      </c>
    </row>
    <row r="53193" spans="8:8" x14ac:dyDescent="0.3">
      <c r="H53193" t="str">
        <f t="shared" si="880"/>
        <v/>
      </c>
    </row>
    <row r="53194" spans="8:8" x14ac:dyDescent="0.3">
      <c r="H53194" t="str">
        <f t="shared" si="880"/>
        <v/>
      </c>
    </row>
    <row r="53195" spans="8:8" x14ac:dyDescent="0.3">
      <c r="H53195" t="str">
        <f t="shared" si="880"/>
        <v/>
      </c>
    </row>
    <row r="53196" spans="8:8" x14ac:dyDescent="0.3">
      <c r="H53196" t="str">
        <f t="shared" si="880"/>
        <v/>
      </c>
    </row>
    <row r="53197" spans="8:8" x14ac:dyDescent="0.3">
      <c r="H53197" t="str">
        <f t="shared" si="880"/>
        <v/>
      </c>
    </row>
    <row r="53198" spans="8:8" x14ac:dyDescent="0.3">
      <c r="H53198" t="str">
        <f t="shared" si="880"/>
        <v/>
      </c>
    </row>
    <row r="53199" spans="8:8" x14ac:dyDescent="0.3">
      <c r="H53199" t="str">
        <f t="shared" si="880"/>
        <v/>
      </c>
    </row>
    <row r="53200" spans="8:8" x14ac:dyDescent="0.3">
      <c r="H53200" t="str">
        <f t="shared" si="880"/>
        <v/>
      </c>
    </row>
    <row r="53201" spans="8:8" x14ac:dyDescent="0.3">
      <c r="H53201" t="str">
        <f t="shared" si="880"/>
        <v/>
      </c>
    </row>
    <row r="53202" spans="8:8" x14ac:dyDescent="0.3">
      <c r="H53202" t="str">
        <f t="shared" si="880"/>
        <v/>
      </c>
    </row>
    <row r="53203" spans="8:8" x14ac:dyDescent="0.3">
      <c r="H53203" t="str">
        <f t="shared" si="880"/>
        <v/>
      </c>
    </row>
    <row r="53204" spans="8:8" x14ac:dyDescent="0.3">
      <c r="H53204" t="str">
        <f t="shared" si="880"/>
        <v/>
      </c>
    </row>
    <row r="53205" spans="8:8" x14ac:dyDescent="0.3">
      <c r="H53205" t="str">
        <f t="shared" si="880"/>
        <v/>
      </c>
    </row>
    <row r="53206" spans="8:8" x14ac:dyDescent="0.3">
      <c r="H53206" t="str">
        <f t="shared" si="880"/>
        <v/>
      </c>
    </row>
    <row r="53207" spans="8:8" x14ac:dyDescent="0.3">
      <c r="H53207" t="str">
        <f t="shared" ref="H53207:H53270" si="881">IF(B53207="","",$C$12)</f>
        <v/>
      </c>
    </row>
    <row r="53208" spans="8:8" x14ac:dyDescent="0.3">
      <c r="H53208" t="str">
        <f t="shared" si="881"/>
        <v/>
      </c>
    </row>
    <row r="53209" spans="8:8" x14ac:dyDescent="0.3">
      <c r="H53209" t="str">
        <f t="shared" si="881"/>
        <v/>
      </c>
    </row>
    <row r="53210" spans="8:8" x14ac:dyDescent="0.3">
      <c r="H53210" t="str">
        <f t="shared" si="881"/>
        <v/>
      </c>
    </row>
    <row r="53211" spans="8:8" x14ac:dyDescent="0.3">
      <c r="H53211" t="str">
        <f t="shared" si="881"/>
        <v/>
      </c>
    </row>
    <row r="53212" spans="8:8" x14ac:dyDescent="0.3">
      <c r="H53212" t="str">
        <f t="shared" si="881"/>
        <v/>
      </c>
    </row>
    <row r="53213" spans="8:8" x14ac:dyDescent="0.3">
      <c r="H53213" t="str">
        <f t="shared" si="881"/>
        <v/>
      </c>
    </row>
    <row r="53214" spans="8:8" x14ac:dyDescent="0.3">
      <c r="H53214" t="str">
        <f t="shared" si="881"/>
        <v/>
      </c>
    </row>
    <row r="53215" spans="8:8" x14ac:dyDescent="0.3">
      <c r="H53215" t="str">
        <f t="shared" si="881"/>
        <v/>
      </c>
    </row>
    <row r="53216" spans="8:8" x14ac:dyDescent="0.3">
      <c r="H53216" t="str">
        <f t="shared" si="881"/>
        <v/>
      </c>
    </row>
    <row r="53217" spans="8:8" x14ac:dyDescent="0.3">
      <c r="H53217" t="str">
        <f t="shared" si="881"/>
        <v/>
      </c>
    </row>
    <row r="53218" spans="8:8" x14ac:dyDescent="0.3">
      <c r="H53218" t="str">
        <f t="shared" si="881"/>
        <v/>
      </c>
    </row>
    <row r="53219" spans="8:8" x14ac:dyDescent="0.3">
      <c r="H53219" t="str">
        <f t="shared" si="881"/>
        <v/>
      </c>
    </row>
    <row r="53220" spans="8:8" x14ac:dyDescent="0.3">
      <c r="H53220" t="str">
        <f t="shared" si="881"/>
        <v/>
      </c>
    </row>
    <row r="53221" spans="8:8" x14ac:dyDescent="0.3">
      <c r="H53221" t="str">
        <f t="shared" si="881"/>
        <v/>
      </c>
    </row>
    <row r="53222" spans="8:8" x14ac:dyDescent="0.3">
      <c r="H53222" t="str">
        <f t="shared" si="881"/>
        <v/>
      </c>
    </row>
    <row r="53223" spans="8:8" x14ac:dyDescent="0.3">
      <c r="H53223" t="str">
        <f t="shared" si="881"/>
        <v/>
      </c>
    </row>
    <row r="53224" spans="8:8" x14ac:dyDescent="0.3">
      <c r="H53224" t="str">
        <f t="shared" si="881"/>
        <v/>
      </c>
    </row>
    <row r="53225" spans="8:8" x14ac:dyDescent="0.3">
      <c r="H53225" t="str">
        <f t="shared" si="881"/>
        <v/>
      </c>
    </row>
    <row r="53226" spans="8:8" x14ac:dyDescent="0.3">
      <c r="H53226" t="str">
        <f t="shared" si="881"/>
        <v/>
      </c>
    </row>
    <row r="53227" spans="8:8" x14ac:dyDescent="0.3">
      <c r="H53227" t="str">
        <f t="shared" si="881"/>
        <v/>
      </c>
    </row>
    <row r="53228" spans="8:8" x14ac:dyDescent="0.3">
      <c r="H53228" t="str">
        <f t="shared" si="881"/>
        <v/>
      </c>
    </row>
    <row r="53229" spans="8:8" x14ac:dyDescent="0.3">
      <c r="H53229" t="str">
        <f t="shared" si="881"/>
        <v/>
      </c>
    </row>
    <row r="53230" spans="8:8" x14ac:dyDescent="0.3">
      <c r="H53230" t="str">
        <f t="shared" si="881"/>
        <v/>
      </c>
    </row>
    <row r="53231" spans="8:8" x14ac:dyDescent="0.3">
      <c r="H53231" t="str">
        <f t="shared" si="881"/>
        <v/>
      </c>
    </row>
    <row r="53232" spans="8:8" x14ac:dyDescent="0.3">
      <c r="H53232" t="str">
        <f t="shared" si="881"/>
        <v/>
      </c>
    </row>
    <row r="53233" spans="8:8" x14ac:dyDescent="0.3">
      <c r="H53233" t="str">
        <f t="shared" si="881"/>
        <v/>
      </c>
    </row>
    <row r="53234" spans="8:8" x14ac:dyDescent="0.3">
      <c r="H53234" t="str">
        <f t="shared" si="881"/>
        <v/>
      </c>
    </row>
    <row r="53235" spans="8:8" x14ac:dyDescent="0.3">
      <c r="H53235" t="str">
        <f t="shared" si="881"/>
        <v/>
      </c>
    </row>
    <row r="53236" spans="8:8" x14ac:dyDescent="0.3">
      <c r="H53236" t="str">
        <f t="shared" si="881"/>
        <v/>
      </c>
    </row>
    <row r="53237" spans="8:8" x14ac:dyDescent="0.3">
      <c r="H53237" t="str">
        <f t="shared" si="881"/>
        <v/>
      </c>
    </row>
    <row r="53238" spans="8:8" x14ac:dyDescent="0.3">
      <c r="H53238" t="str">
        <f t="shared" si="881"/>
        <v/>
      </c>
    </row>
    <row r="53239" spans="8:8" x14ac:dyDescent="0.3">
      <c r="H53239" t="str">
        <f t="shared" si="881"/>
        <v/>
      </c>
    </row>
    <row r="53240" spans="8:8" x14ac:dyDescent="0.3">
      <c r="H53240" t="str">
        <f t="shared" si="881"/>
        <v/>
      </c>
    </row>
    <row r="53241" spans="8:8" x14ac:dyDescent="0.3">
      <c r="H53241" t="str">
        <f t="shared" si="881"/>
        <v/>
      </c>
    </row>
    <row r="53242" spans="8:8" x14ac:dyDescent="0.3">
      <c r="H53242" t="str">
        <f t="shared" si="881"/>
        <v/>
      </c>
    </row>
    <row r="53243" spans="8:8" x14ac:dyDescent="0.3">
      <c r="H53243" t="str">
        <f t="shared" si="881"/>
        <v/>
      </c>
    </row>
    <row r="53244" spans="8:8" x14ac:dyDescent="0.3">
      <c r="H53244" t="str">
        <f t="shared" si="881"/>
        <v/>
      </c>
    </row>
    <row r="53245" spans="8:8" x14ac:dyDescent="0.3">
      <c r="H53245" t="str">
        <f t="shared" si="881"/>
        <v/>
      </c>
    </row>
    <row r="53246" spans="8:8" x14ac:dyDescent="0.3">
      <c r="H53246" t="str">
        <f t="shared" si="881"/>
        <v/>
      </c>
    </row>
    <row r="53247" spans="8:8" x14ac:dyDescent="0.3">
      <c r="H53247" t="str">
        <f t="shared" si="881"/>
        <v/>
      </c>
    </row>
    <row r="53248" spans="8:8" x14ac:dyDescent="0.3">
      <c r="H53248" t="str">
        <f t="shared" si="881"/>
        <v/>
      </c>
    </row>
    <row r="53249" spans="8:8" x14ac:dyDescent="0.3">
      <c r="H53249" t="str">
        <f t="shared" si="881"/>
        <v/>
      </c>
    </row>
    <row r="53250" spans="8:8" x14ac:dyDescent="0.3">
      <c r="H53250" t="str">
        <f t="shared" si="881"/>
        <v/>
      </c>
    </row>
    <row r="53251" spans="8:8" x14ac:dyDescent="0.3">
      <c r="H53251" t="str">
        <f t="shared" si="881"/>
        <v/>
      </c>
    </row>
    <row r="53252" spans="8:8" x14ac:dyDescent="0.3">
      <c r="H53252" t="str">
        <f t="shared" si="881"/>
        <v/>
      </c>
    </row>
    <row r="53253" spans="8:8" x14ac:dyDescent="0.3">
      <c r="H53253" t="str">
        <f t="shared" si="881"/>
        <v/>
      </c>
    </row>
    <row r="53254" spans="8:8" x14ac:dyDescent="0.3">
      <c r="H53254" t="str">
        <f t="shared" si="881"/>
        <v/>
      </c>
    </row>
    <row r="53255" spans="8:8" x14ac:dyDescent="0.3">
      <c r="H53255" t="str">
        <f t="shared" si="881"/>
        <v/>
      </c>
    </row>
    <row r="53256" spans="8:8" x14ac:dyDescent="0.3">
      <c r="H53256" t="str">
        <f t="shared" si="881"/>
        <v/>
      </c>
    </row>
    <row r="53257" spans="8:8" x14ac:dyDescent="0.3">
      <c r="H53257" t="str">
        <f t="shared" si="881"/>
        <v/>
      </c>
    </row>
    <row r="53258" spans="8:8" x14ac:dyDescent="0.3">
      <c r="H53258" t="str">
        <f t="shared" si="881"/>
        <v/>
      </c>
    </row>
    <row r="53259" spans="8:8" x14ac:dyDescent="0.3">
      <c r="H53259" t="str">
        <f t="shared" si="881"/>
        <v/>
      </c>
    </row>
    <row r="53260" spans="8:8" x14ac:dyDescent="0.3">
      <c r="H53260" t="str">
        <f t="shared" si="881"/>
        <v/>
      </c>
    </row>
    <row r="53261" spans="8:8" x14ac:dyDescent="0.3">
      <c r="H53261" t="str">
        <f t="shared" si="881"/>
        <v/>
      </c>
    </row>
    <row r="53262" spans="8:8" x14ac:dyDescent="0.3">
      <c r="H53262" t="str">
        <f t="shared" si="881"/>
        <v/>
      </c>
    </row>
    <row r="53263" spans="8:8" x14ac:dyDescent="0.3">
      <c r="H53263" t="str">
        <f t="shared" si="881"/>
        <v/>
      </c>
    </row>
    <row r="53264" spans="8:8" x14ac:dyDescent="0.3">
      <c r="H53264" t="str">
        <f t="shared" si="881"/>
        <v/>
      </c>
    </row>
    <row r="53265" spans="8:8" x14ac:dyDescent="0.3">
      <c r="H53265" t="str">
        <f t="shared" si="881"/>
        <v/>
      </c>
    </row>
    <row r="53266" spans="8:8" x14ac:dyDescent="0.3">
      <c r="H53266" t="str">
        <f t="shared" si="881"/>
        <v/>
      </c>
    </row>
    <row r="53267" spans="8:8" x14ac:dyDescent="0.3">
      <c r="H53267" t="str">
        <f t="shared" si="881"/>
        <v/>
      </c>
    </row>
    <row r="53268" spans="8:8" x14ac:dyDescent="0.3">
      <c r="H53268" t="str">
        <f t="shared" si="881"/>
        <v/>
      </c>
    </row>
    <row r="53269" spans="8:8" x14ac:dyDescent="0.3">
      <c r="H53269" t="str">
        <f t="shared" si="881"/>
        <v/>
      </c>
    </row>
    <row r="53270" spans="8:8" x14ac:dyDescent="0.3">
      <c r="H53270" t="str">
        <f t="shared" si="881"/>
        <v/>
      </c>
    </row>
    <row r="53271" spans="8:8" x14ac:dyDescent="0.3">
      <c r="H53271" t="str">
        <f t="shared" ref="H53271:H53334" si="882">IF(B53271="","",$C$12)</f>
        <v/>
      </c>
    </row>
    <row r="53272" spans="8:8" x14ac:dyDescent="0.3">
      <c r="H53272" t="str">
        <f t="shared" si="882"/>
        <v/>
      </c>
    </row>
    <row r="53273" spans="8:8" x14ac:dyDescent="0.3">
      <c r="H53273" t="str">
        <f t="shared" si="882"/>
        <v/>
      </c>
    </row>
    <row r="53274" spans="8:8" x14ac:dyDescent="0.3">
      <c r="H53274" t="str">
        <f t="shared" si="882"/>
        <v/>
      </c>
    </row>
    <row r="53275" spans="8:8" x14ac:dyDescent="0.3">
      <c r="H53275" t="str">
        <f t="shared" si="882"/>
        <v/>
      </c>
    </row>
    <row r="53276" spans="8:8" x14ac:dyDescent="0.3">
      <c r="H53276" t="str">
        <f t="shared" si="882"/>
        <v/>
      </c>
    </row>
    <row r="53277" spans="8:8" x14ac:dyDescent="0.3">
      <c r="H53277" t="str">
        <f t="shared" si="882"/>
        <v/>
      </c>
    </row>
    <row r="53278" spans="8:8" x14ac:dyDescent="0.3">
      <c r="H53278" t="str">
        <f t="shared" si="882"/>
        <v/>
      </c>
    </row>
    <row r="53279" spans="8:8" x14ac:dyDescent="0.3">
      <c r="H53279" t="str">
        <f t="shared" si="882"/>
        <v/>
      </c>
    </row>
    <row r="53280" spans="8:8" x14ac:dyDescent="0.3">
      <c r="H53280" t="str">
        <f t="shared" si="882"/>
        <v/>
      </c>
    </row>
    <row r="53281" spans="8:8" x14ac:dyDescent="0.3">
      <c r="H53281" t="str">
        <f t="shared" si="882"/>
        <v/>
      </c>
    </row>
    <row r="53282" spans="8:8" x14ac:dyDescent="0.3">
      <c r="H53282" t="str">
        <f t="shared" si="882"/>
        <v/>
      </c>
    </row>
    <row r="53283" spans="8:8" x14ac:dyDescent="0.3">
      <c r="H53283" t="str">
        <f t="shared" si="882"/>
        <v/>
      </c>
    </row>
    <row r="53284" spans="8:8" x14ac:dyDescent="0.3">
      <c r="H53284" t="str">
        <f t="shared" si="882"/>
        <v/>
      </c>
    </row>
    <row r="53285" spans="8:8" x14ac:dyDescent="0.3">
      <c r="H53285" t="str">
        <f t="shared" si="882"/>
        <v/>
      </c>
    </row>
    <row r="53286" spans="8:8" x14ac:dyDescent="0.3">
      <c r="H53286" t="str">
        <f t="shared" si="882"/>
        <v/>
      </c>
    </row>
    <row r="53287" spans="8:8" x14ac:dyDescent="0.3">
      <c r="H53287" t="str">
        <f t="shared" si="882"/>
        <v/>
      </c>
    </row>
    <row r="53288" spans="8:8" x14ac:dyDescent="0.3">
      <c r="H53288" t="str">
        <f t="shared" si="882"/>
        <v/>
      </c>
    </row>
    <row r="53289" spans="8:8" x14ac:dyDescent="0.3">
      <c r="H53289" t="str">
        <f t="shared" si="882"/>
        <v/>
      </c>
    </row>
    <row r="53290" spans="8:8" x14ac:dyDescent="0.3">
      <c r="H53290" t="str">
        <f t="shared" si="882"/>
        <v/>
      </c>
    </row>
    <row r="53291" spans="8:8" x14ac:dyDescent="0.3">
      <c r="H53291" t="str">
        <f t="shared" si="882"/>
        <v/>
      </c>
    </row>
    <row r="53292" spans="8:8" x14ac:dyDescent="0.3">
      <c r="H53292" t="str">
        <f t="shared" si="882"/>
        <v/>
      </c>
    </row>
    <row r="53293" spans="8:8" x14ac:dyDescent="0.3">
      <c r="H53293" t="str">
        <f t="shared" si="882"/>
        <v/>
      </c>
    </row>
    <row r="53294" spans="8:8" x14ac:dyDescent="0.3">
      <c r="H53294" t="str">
        <f t="shared" si="882"/>
        <v/>
      </c>
    </row>
    <row r="53295" spans="8:8" x14ac:dyDescent="0.3">
      <c r="H53295" t="str">
        <f t="shared" si="882"/>
        <v/>
      </c>
    </row>
    <row r="53296" spans="8:8" x14ac:dyDescent="0.3">
      <c r="H53296" t="str">
        <f t="shared" si="882"/>
        <v/>
      </c>
    </row>
    <row r="53297" spans="8:8" x14ac:dyDescent="0.3">
      <c r="H53297" t="str">
        <f t="shared" si="882"/>
        <v/>
      </c>
    </row>
    <row r="53298" spans="8:8" x14ac:dyDescent="0.3">
      <c r="H53298" t="str">
        <f t="shared" si="882"/>
        <v/>
      </c>
    </row>
    <row r="53299" spans="8:8" x14ac:dyDescent="0.3">
      <c r="H53299" t="str">
        <f t="shared" si="882"/>
        <v/>
      </c>
    </row>
    <row r="53300" spans="8:8" x14ac:dyDescent="0.3">
      <c r="H53300" t="str">
        <f t="shared" si="882"/>
        <v/>
      </c>
    </row>
    <row r="53301" spans="8:8" x14ac:dyDescent="0.3">
      <c r="H53301" t="str">
        <f t="shared" si="882"/>
        <v/>
      </c>
    </row>
    <row r="53302" spans="8:8" x14ac:dyDescent="0.3">
      <c r="H53302" t="str">
        <f t="shared" si="882"/>
        <v/>
      </c>
    </row>
    <row r="53303" spans="8:8" x14ac:dyDescent="0.3">
      <c r="H53303" t="str">
        <f t="shared" si="882"/>
        <v/>
      </c>
    </row>
    <row r="53304" spans="8:8" x14ac:dyDescent="0.3">
      <c r="H53304" t="str">
        <f t="shared" si="882"/>
        <v/>
      </c>
    </row>
    <row r="53305" spans="8:8" x14ac:dyDescent="0.3">
      <c r="H53305" t="str">
        <f t="shared" si="882"/>
        <v/>
      </c>
    </row>
    <row r="53306" spans="8:8" x14ac:dyDescent="0.3">
      <c r="H53306" t="str">
        <f t="shared" si="882"/>
        <v/>
      </c>
    </row>
    <row r="53307" spans="8:8" x14ac:dyDescent="0.3">
      <c r="H53307" t="str">
        <f t="shared" si="882"/>
        <v/>
      </c>
    </row>
    <row r="53308" spans="8:8" x14ac:dyDescent="0.3">
      <c r="H53308" t="str">
        <f t="shared" si="882"/>
        <v/>
      </c>
    </row>
    <row r="53309" spans="8:8" x14ac:dyDescent="0.3">
      <c r="H53309" t="str">
        <f t="shared" si="882"/>
        <v/>
      </c>
    </row>
    <row r="53310" spans="8:8" x14ac:dyDescent="0.3">
      <c r="H53310" t="str">
        <f t="shared" si="882"/>
        <v/>
      </c>
    </row>
    <row r="53311" spans="8:8" x14ac:dyDescent="0.3">
      <c r="H53311" t="str">
        <f t="shared" si="882"/>
        <v/>
      </c>
    </row>
    <row r="53312" spans="8:8" x14ac:dyDescent="0.3">
      <c r="H53312" t="str">
        <f t="shared" si="882"/>
        <v/>
      </c>
    </row>
    <row r="53313" spans="8:8" x14ac:dyDescent="0.3">
      <c r="H53313" t="str">
        <f t="shared" si="882"/>
        <v/>
      </c>
    </row>
    <row r="53314" spans="8:8" x14ac:dyDescent="0.3">
      <c r="H53314" t="str">
        <f t="shared" si="882"/>
        <v/>
      </c>
    </row>
    <row r="53315" spans="8:8" x14ac:dyDescent="0.3">
      <c r="H53315" t="str">
        <f t="shared" si="882"/>
        <v/>
      </c>
    </row>
    <row r="53316" spans="8:8" x14ac:dyDescent="0.3">
      <c r="H53316" t="str">
        <f t="shared" si="882"/>
        <v/>
      </c>
    </row>
    <row r="53317" spans="8:8" x14ac:dyDescent="0.3">
      <c r="H53317" t="str">
        <f t="shared" si="882"/>
        <v/>
      </c>
    </row>
    <row r="53318" spans="8:8" x14ac:dyDescent="0.3">
      <c r="H53318" t="str">
        <f t="shared" si="882"/>
        <v/>
      </c>
    </row>
    <row r="53319" spans="8:8" x14ac:dyDescent="0.3">
      <c r="H53319" t="str">
        <f t="shared" si="882"/>
        <v/>
      </c>
    </row>
    <row r="53320" spans="8:8" x14ac:dyDescent="0.3">
      <c r="H53320" t="str">
        <f t="shared" si="882"/>
        <v/>
      </c>
    </row>
    <row r="53321" spans="8:8" x14ac:dyDescent="0.3">
      <c r="H53321" t="str">
        <f t="shared" si="882"/>
        <v/>
      </c>
    </row>
    <row r="53322" spans="8:8" x14ac:dyDescent="0.3">
      <c r="H53322" t="str">
        <f t="shared" si="882"/>
        <v/>
      </c>
    </row>
    <row r="53323" spans="8:8" x14ac:dyDescent="0.3">
      <c r="H53323" t="str">
        <f t="shared" si="882"/>
        <v/>
      </c>
    </row>
    <row r="53324" spans="8:8" x14ac:dyDescent="0.3">
      <c r="H53324" t="str">
        <f t="shared" si="882"/>
        <v/>
      </c>
    </row>
    <row r="53325" spans="8:8" x14ac:dyDescent="0.3">
      <c r="H53325" t="str">
        <f t="shared" si="882"/>
        <v/>
      </c>
    </row>
    <row r="53326" spans="8:8" x14ac:dyDescent="0.3">
      <c r="H53326" t="str">
        <f t="shared" si="882"/>
        <v/>
      </c>
    </row>
    <row r="53327" spans="8:8" x14ac:dyDescent="0.3">
      <c r="H53327" t="str">
        <f t="shared" si="882"/>
        <v/>
      </c>
    </row>
    <row r="53328" spans="8:8" x14ac:dyDescent="0.3">
      <c r="H53328" t="str">
        <f t="shared" si="882"/>
        <v/>
      </c>
    </row>
    <row r="53329" spans="8:8" x14ac:dyDescent="0.3">
      <c r="H53329" t="str">
        <f t="shared" si="882"/>
        <v/>
      </c>
    </row>
    <row r="53330" spans="8:8" x14ac:dyDescent="0.3">
      <c r="H53330" t="str">
        <f t="shared" si="882"/>
        <v/>
      </c>
    </row>
    <row r="53331" spans="8:8" x14ac:dyDescent="0.3">
      <c r="H53331" t="str">
        <f t="shared" si="882"/>
        <v/>
      </c>
    </row>
    <row r="53332" spans="8:8" x14ac:dyDescent="0.3">
      <c r="H53332" t="str">
        <f t="shared" si="882"/>
        <v/>
      </c>
    </row>
    <row r="53333" spans="8:8" x14ac:dyDescent="0.3">
      <c r="H53333" t="str">
        <f t="shared" si="882"/>
        <v/>
      </c>
    </row>
    <row r="53334" spans="8:8" x14ac:dyDescent="0.3">
      <c r="H53334" t="str">
        <f t="shared" si="882"/>
        <v/>
      </c>
    </row>
    <row r="53335" spans="8:8" x14ac:dyDescent="0.3">
      <c r="H53335" t="str">
        <f t="shared" ref="H53335:H53398" si="883">IF(B53335="","",$C$12)</f>
        <v/>
      </c>
    </row>
    <row r="53336" spans="8:8" x14ac:dyDescent="0.3">
      <c r="H53336" t="str">
        <f t="shared" si="883"/>
        <v/>
      </c>
    </row>
    <row r="53337" spans="8:8" x14ac:dyDescent="0.3">
      <c r="H53337" t="str">
        <f t="shared" si="883"/>
        <v/>
      </c>
    </row>
    <row r="53338" spans="8:8" x14ac:dyDescent="0.3">
      <c r="H53338" t="str">
        <f t="shared" si="883"/>
        <v/>
      </c>
    </row>
    <row r="53339" spans="8:8" x14ac:dyDescent="0.3">
      <c r="H53339" t="str">
        <f t="shared" si="883"/>
        <v/>
      </c>
    </row>
    <row r="53340" spans="8:8" x14ac:dyDescent="0.3">
      <c r="H53340" t="str">
        <f t="shared" si="883"/>
        <v/>
      </c>
    </row>
    <row r="53341" spans="8:8" x14ac:dyDescent="0.3">
      <c r="H53341" t="str">
        <f t="shared" si="883"/>
        <v/>
      </c>
    </row>
    <row r="53342" spans="8:8" x14ac:dyDescent="0.3">
      <c r="H53342" t="str">
        <f t="shared" si="883"/>
        <v/>
      </c>
    </row>
    <row r="53343" spans="8:8" x14ac:dyDescent="0.3">
      <c r="H53343" t="str">
        <f t="shared" si="883"/>
        <v/>
      </c>
    </row>
    <row r="53344" spans="8:8" x14ac:dyDescent="0.3">
      <c r="H53344" t="str">
        <f t="shared" si="883"/>
        <v/>
      </c>
    </row>
    <row r="53345" spans="8:8" x14ac:dyDescent="0.3">
      <c r="H53345" t="str">
        <f t="shared" si="883"/>
        <v/>
      </c>
    </row>
    <row r="53346" spans="8:8" x14ac:dyDescent="0.3">
      <c r="H53346" t="str">
        <f t="shared" si="883"/>
        <v/>
      </c>
    </row>
    <row r="53347" spans="8:8" x14ac:dyDescent="0.3">
      <c r="H53347" t="str">
        <f t="shared" si="883"/>
        <v/>
      </c>
    </row>
    <row r="53348" spans="8:8" x14ac:dyDescent="0.3">
      <c r="H53348" t="str">
        <f t="shared" si="883"/>
        <v/>
      </c>
    </row>
    <row r="53349" spans="8:8" x14ac:dyDescent="0.3">
      <c r="H53349" t="str">
        <f t="shared" si="883"/>
        <v/>
      </c>
    </row>
    <row r="53350" spans="8:8" x14ac:dyDescent="0.3">
      <c r="H53350" t="str">
        <f t="shared" si="883"/>
        <v/>
      </c>
    </row>
    <row r="53351" spans="8:8" x14ac:dyDescent="0.3">
      <c r="H53351" t="str">
        <f t="shared" si="883"/>
        <v/>
      </c>
    </row>
    <row r="53352" spans="8:8" x14ac:dyDescent="0.3">
      <c r="H53352" t="str">
        <f t="shared" si="883"/>
        <v/>
      </c>
    </row>
    <row r="53353" spans="8:8" x14ac:dyDescent="0.3">
      <c r="H53353" t="str">
        <f t="shared" si="883"/>
        <v/>
      </c>
    </row>
    <row r="53354" spans="8:8" x14ac:dyDescent="0.3">
      <c r="H53354" t="str">
        <f t="shared" si="883"/>
        <v/>
      </c>
    </row>
    <row r="53355" spans="8:8" x14ac:dyDescent="0.3">
      <c r="H53355" t="str">
        <f t="shared" si="883"/>
        <v/>
      </c>
    </row>
    <row r="53356" spans="8:8" x14ac:dyDescent="0.3">
      <c r="H53356" t="str">
        <f t="shared" si="883"/>
        <v/>
      </c>
    </row>
    <row r="53357" spans="8:8" x14ac:dyDescent="0.3">
      <c r="H53357" t="str">
        <f t="shared" si="883"/>
        <v/>
      </c>
    </row>
    <row r="53358" spans="8:8" x14ac:dyDescent="0.3">
      <c r="H53358" t="str">
        <f t="shared" si="883"/>
        <v/>
      </c>
    </row>
    <row r="53359" spans="8:8" x14ac:dyDescent="0.3">
      <c r="H53359" t="str">
        <f t="shared" si="883"/>
        <v/>
      </c>
    </row>
    <row r="53360" spans="8:8" x14ac:dyDescent="0.3">
      <c r="H53360" t="str">
        <f t="shared" si="883"/>
        <v/>
      </c>
    </row>
    <row r="53361" spans="8:8" x14ac:dyDescent="0.3">
      <c r="H53361" t="str">
        <f t="shared" si="883"/>
        <v/>
      </c>
    </row>
    <row r="53362" spans="8:8" x14ac:dyDescent="0.3">
      <c r="H53362" t="str">
        <f t="shared" si="883"/>
        <v/>
      </c>
    </row>
    <row r="53363" spans="8:8" x14ac:dyDescent="0.3">
      <c r="H53363" t="str">
        <f t="shared" si="883"/>
        <v/>
      </c>
    </row>
    <row r="53364" spans="8:8" x14ac:dyDescent="0.3">
      <c r="H53364" t="str">
        <f t="shared" si="883"/>
        <v/>
      </c>
    </row>
    <row r="53365" spans="8:8" x14ac:dyDescent="0.3">
      <c r="H53365" t="str">
        <f t="shared" si="883"/>
        <v/>
      </c>
    </row>
    <row r="53366" spans="8:8" x14ac:dyDescent="0.3">
      <c r="H53366" t="str">
        <f t="shared" si="883"/>
        <v/>
      </c>
    </row>
    <row r="53367" spans="8:8" x14ac:dyDescent="0.3">
      <c r="H53367" t="str">
        <f t="shared" si="883"/>
        <v/>
      </c>
    </row>
    <row r="53368" spans="8:8" x14ac:dyDescent="0.3">
      <c r="H53368" t="str">
        <f t="shared" si="883"/>
        <v/>
      </c>
    </row>
    <row r="53369" spans="8:8" x14ac:dyDescent="0.3">
      <c r="H53369" t="str">
        <f t="shared" si="883"/>
        <v/>
      </c>
    </row>
    <row r="53370" spans="8:8" x14ac:dyDescent="0.3">
      <c r="H53370" t="str">
        <f t="shared" si="883"/>
        <v/>
      </c>
    </row>
    <row r="53371" spans="8:8" x14ac:dyDescent="0.3">
      <c r="H53371" t="str">
        <f t="shared" si="883"/>
        <v/>
      </c>
    </row>
    <row r="53372" spans="8:8" x14ac:dyDescent="0.3">
      <c r="H53372" t="str">
        <f t="shared" si="883"/>
        <v/>
      </c>
    </row>
    <row r="53373" spans="8:8" x14ac:dyDescent="0.3">
      <c r="H53373" t="str">
        <f t="shared" si="883"/>
        <v/>
      </c>
    </row>
    <row r="53374" spans="8:8" x14ac:dyDescent="0.3">
      <c r="H53374" t="str">
        <f t="shared" si="883"/>
        <v/>
      </c>
    </row>
    <row r="53375" spans="8:8" x14ac:dyDescent="0.3">
      <c r="H53375" t="str">
        <f t="shared" si="883"/>
        <v/>
      </c>
    </row>
    <row r="53376" spans="8:8" x14ac:dyDescent="0.3">
      <c r="H53376" t="str">
        <f t="shared" si="883"/>
        <v/>
      </c>
    </row>
    <row r="53377" spans="8:8" x14ac:dyDescent="0.3">
      <c r="H53377" t="str">
        <f t="shared" si="883"/>
        <v/>
      </c>
    </row>
    <row r="53378" spans="8:8" x14ac:dyDescent="0.3">
      <c r="H53378" t="str">
        <f t="shared" si="883"/>
        <v/>
      </c>
    </row>
    <row r="53379" spans="8:8" x14ac:dyDescent="0.3">
      <c r="H53379" t="str">
        <f t="shared" si="883"/>
        <v/>
      </c>
    </row>
    <row r="53380" spans="8:8" x14ac:dyDescent="0.3">
      <c r="H53380" t="str">
        <f t="shared" si="883"/>
        <v/>
      </c>
    </row>
    <row r="53381" spans="8:8" x14ac:dyDescent="0.3">
      <c r="H53381" t="str">
        <f t="shared" si="883"/>
        <v/>
      </c>
    </row>
    <row r="53382" spans="8:8" x14ac:dyDescent="0.3">
      <c r="H53382" t="str">
        <f t="shared" si="883"/>
        <v/>
      </c>
    </row>
    <row r="53383" spans="8:8" x14ac:dyDescent="0.3">
      <c r="H53383" t="str">
        <f t="shared" si="883"/>
        <v/>
      </c>
    </row>
    <row r="53384" spans="8:8" x14ac:dyDescent="0.3">
      <c r="H53384" t="str">
        <f t="shared" si="883"/>
        <v/>
      </c>
    </row>
    <row r="53385" spans="8:8" x14ac:dyDescent="0.3">
      <c r="H53385" t="str">
        <f t="shared" si="883"/>
        <v/>
      </c>
    </row>
    <row r="53386" spans="8:8" x14ac:dyDescent="0.3">
      <c r="H53386" t="str">
        <f t="shared" si="883"/>
        <v/>
      </c>
    </row>
    <row r="53387" spans="8:8" x14ac:dyDescent="0.3">
      <c r="H53387" t="str">
        <f t="shared" si="883"/>
        <v/>
      </c>
    </row>
    <row r="53388" spans="8:8" x14ac:dyDescent="0.3">
      <c r="H53388" t="str">
        <f t="shared" si="883"/>
        <v/>
      </c>
    </row>
    <row r="53389" spans="8:8" x14ac:dyDescent="0.3">
      <c r="H53389" t="str">
        <f t="shared" si="883"/>
        <v/>
      </c>
    </row>
    <row r="53390" spans="8:8" x14ac:dyDescent="0.3">
      <c r="H53390" t="str">
        <f t="shared" si="883"/>
        <v/>
      </c>
    </row>
    <row r="53391" spans="8:8" x14ac:dyDescent="0.3">
      <c r="H53391" t="str">
        <f t="shared" si="883"/>
        <v/>
      </c>
    </row>
    <row r="53392" spans="8:8" x14ac:dyDescent="0.3">
      <c r="H53392" t="str">
        <f t="shared" si="883"/>
        <v/>
      </c>
    </row>
    <row r="53393" spans="8:8" x14ac:dyDescent="0.3">
      <c r="H53393" t="str">
        <f t="shared" si="883"/>
        <v/>
      </c>
    </row>
    <row r="53394" spans="8:8" x14ac:dyDescent="0.3">
      <c r="H53394" t="str">
        <f t="shared" si="883"/>
        <v/>
      </c>
    </row>
    <row r="53395" spans="8:8" x14ac:dyDescent="0.3">
      <c r="H53395" t="str">
        <f t="shared" si="883"/>
        <v/>
      </c>
    </row>
    <row r="53396" spans="8:8" x14ac:dyDescent="0.3">
      <c r="H53396" t="str">
        <f t="shared" si="883"/>
        <v/>
      </c>
    </row>
    <row r="53397" spans="8:8" x14ac:dyDescent="0.3">
      <c r="H53397" t="str">
        <f t="shared" si="883"/>
        <v/>
      </c>
    </row>
    <row r="53398" spans="8:8" x14ac:dyDescent="0.3">
      <c r="H53398" t="str">
        <f t="shared" si="883"/>
        <v/>
      </c>
    </row>
    <row r="53399" spans="8:8" x14ac:dyDescent="0.3">
      <c r="H53399" t="str">
        <f t="shared" ref="H53399:H53462" si="884">IF(B53399="","",$C$12)</f>
        <v/>
      </c>
    </row>
    <row r="53400" spans="8:8" x14ac:dyDescent="0.3">
      <c r="H53400" t="str">
        <f t="shared" si="884"/>
        <v/>
      </c>
    </row>
    <row r="53401" spans="8:8" x14ac:dyDescent="0.3">
      <c r="H53401" t="str">
        <f t="shared" si="884"/>
        <v/>
      </c>
    </row>
    <row r="53402" spans="8:8" x14ac:dyDescent="0.3">
      <c r="H53402" t="str">
        <f t="shared" si="884"/>
        <v/>
      </c>
    </row>
    <row r="53403" spans="8:8" x14ac:dyDescent="0.3">
      <c r="H53403" t="str">
        <f t="shared" si="884"/>
        <v/>
      </c>
    </row>
    <row r="53404" spans="8:8" x14ac:dyDescent="0.3">
      <c r="H53404" t="str">
        <f t="shared" si="884"/>
        <v/>
      </c>
    </row>
    <row r="53405" spans="8:8" x14ac:dyDescent="0.3">
      <c r="H53405" t="str">
        <f t="shared" si="884"/>
        <v/>
      </c>
    </row>
    <row r="53406" spans="8:8" x14ac:dyDescent="0.3">
      <c r="H53406" t="str">
        <f t="shared" si="884"/>
        <v/>
      </c>
    </row>
    <row r="53407" spans="8:8" x14ac:dyDescent="0.3">
      <c r="H53407" t="str">
        <f t="shared" si="884"/>
        <v/>
      </c>
    </row>
    <row r="53408" spans="8:8" x14ac:dyDescent="0.3">
      <c r="H53408" t="str">
        <f t="shared" si="884"/>
        <v/>
      </c>
    </row>
    <row r="53409" spans="8:8" x14ac:dyDescent="0.3">
      <c r="H53409" t="str">
        <f t="shared" si="884"/>
        <v/>
      </c>
    </row>
    <row r="53410" spans="8:8" x14ac:dyDescent="0.3">
      <c r="H53410" t="str">
        <f t="shared" si="884"/>
        <v/>
      </c>
    </row>
    <row r="53411" spans="8:8" x14ac:dyDescent="0.3">
      <c r="H53411" t="str">
        <f t="shared" si="884"/>
        <v/>
      </c>
    </row>
    <row r="53412" spans="8:8" x14ac:dyDescent="0.3">
      <c r="H53412" t="str">
        <f t="shared" si="884"/>
        <v/>
      </c>
    </row>
    <row r="53413" spans="8:8" x14ac:dyDescent="0.3">
      <c r="H53413" t="str">
        <f t="shared" si="884"/>
        <v/>
      </c>
    </row>
    <row r="53414" spans="8:8" x14ac:dyDescent="0.3">
      <c r="H53414" t="str">
        <f t="shared" si="884"/>
        <v/>
      </c>
    </row>
    <row r="53415" spans="8:8" x14ac:dyDescent="0.3">
      <c r="H53415" t="str">
        <f t="shared" si="884"/>
        <v/>
      </c>
    </row>
    <row r="53416" spans="8:8" x14ac:dyDescent="0.3">
      <c r="H53416" t="str">
        <f t="shared" si="884"/>
        <v/>
      </c>
    </row>
    <row r="53417" spans="8:8" x14ac:dyDescent="0.3">
      <c r="H53417" t="str">
        <f t="shared" si="884"/>
        <v/>
      </c>
    </row>
    <row r="53418" spans="8:8" x14ac:dyDescent="0.3">
      <c r="H53418" t="str">
        <f t="shared" si="884"/>
        <v/>
      </c>
    </row>
    <row r="53419" spans="8:8" x14ac:dyDescent="0.3">
      <c r="H53419" t="str">
        <f t="shared" si="884"/>
        <v/>
      </c>
    </row>
    <row r="53420" spans="8:8" x14ac:dyDescent="0.3">
      <c r="H53420" t="str">
        <f t="shared" si="884"/>
        <v/>
      </c>
    </row>
    <row r="53421" spans="8:8" x14ac:dyDescent="0.3">
      <c r="H53421" t="str">
        <f t="shared" si="884"/>
        <v/>
      </c>
    </row>
    <row r="53422" spans="8:8" x14ac:dyDescent="0.3">
      <c r="H53422" t="str">
        <f t="shared" si="884"/>
        <v/>
      </c>
    </row>
    <row r="53423" spans="8:8" x14ac:dyDescent="0.3">
      <c r="H53423" t="str">
        <f t="shared" si="884"/>
        <v/>
      </c>
    </row>
    <row r="53424" spans="8:8" x14ac:dyDescent="0.3">
      <c r="H53424" t="str">
        <f t="shared" si="884"/>
        <v/>
      </c>
    </row>
    <row r="53425" spans="8:8" x14ac:dyDescent="0.3">
      <c r="H53425" t="str">
        <f t="shared" si="884"/>
        <v/>
      </c>
    </row>
    <row r="53426" spans="8:8" x14ac:dyDescent="0.3">
      <c r="H53426" t="str">
        <f t="shared" si="884"/>
        <v/>
      </c>
    </row>
    <row r="53427" spans="8:8" x14ac:dyDescent="0.3">
      <c r="H53427" t="str">
        <f t="shared" si="884"/>
        <v/>
      </c>
    </row>
    <row r="53428" spans="8:8" x14ac:dyDescent="0.3">
      <c r="H53428" t="str">
        <f t="shared" si="884"/>
        <v/>
      </c>
    </row>
    <row r="53429" spans="8:8" x14ac:dyDescent="0.3">
      <c r="H53429" t="str">
        <f t="shared" si="884"/>
        <v/>
      </c>
    </row>
    <row r="53430" spans="8:8" x14ac:dyDescent="0.3">
      <c r="H53430" t="str">
        <f t="shared" si="884"/>
        <v/>
      </c>
    </row>
    <row r="53431" spans="8:8" x14ac:dyDescent="0.3">
      <c r="H53431" t="str">
        <f t="shared" si="884"/>
        <v/>
      </c>
    </row>
    <row r="53432" spans="8:8" x14ac:dyDescent="0.3">
      <c r="H53432" t="str">
        <f t="shared" si="884"/>
        <v/>
      </c>
    </row>
    <row r="53433" spans="8:8" x14ac:dyDescent="0.3">
      <c r="H53433" t="str">
        <f t="shared" si="884"/>
        <v/>
      </c>
    </row>
    <row r="53434" spans="8:8" x14ac:dyDescent="0.3">
      <c r="H53434" t="str">
        <f t="shared" si="884"/>
        <v/>
      </c>
    </row>
    <row r="53435" spans="8:8" x14ac:dyDescent="0.3">
      <c r="H53435" t="str">
        <f t="shared" si="884"/>
        <v/>
      </c>
    </row>
    <row r="53436" spans="8:8" x14ac:dyDescent="0.3">
      <c r="H53436" t="str">
        <f t="shared" si="884"/>
        <v/>
      </c>
    </row>
    <row r="53437" spans="8:8" x14ac:dyDescent="0.3">
      <c r="H53437" t="str">
        <f t="shared" si="884"/>
        <v/>
      </c>
    </row>
    <row r="53438" spans="8:8" x14ac:dyDescent="0.3">
      <c r="H53438" t="str">
        <f t="shared" si="884"/>
        <v/>
      </c>
    </row>
    <row r="53439" spans="8:8" x14ac:dyDescent="0.3">
      <c r="H53439" t="str">
        <f t="shared" si="884"/>
        <v/>
      </c>
    </row>
    <row r="53440" spans="8:8" x14ac:dyDescent="0.3">
      <c r="H53440" t="str">
        <f t="shared" si="884"/>
        <v/>
      </c>
    </row>
    <row r="53441" spans="8:8" x14ac:dyDescent="0.3">
      <c r="H53441" t="str">
        <f t="shared" si="884"/>
        <v/>
      </c>
    </row>
    <row r="53442" spans="8:8" x14ac:dyDescent="0.3">
      <c r="H53442" t="str">
        <f t="shared" si="884"/>
        <v/>
      </c>
    </row>
    <row r="53443" spans="8:8" x14ac:dyDescent="0.3">
      <c r="H53443" t="str">
        <f t="shared" si="884"/>
        <v/>
      </c>
    </row>
    <row r="53444" spans="8:8" x14ac:dyDescent="0.3">
      <c r="H53444" t="str">
        <f t="shared" si="884"/>
        <v/>
      </c>
    </row>
    <row r="53445" spans="8:8" x14ac:dyDescent="0.3">
      <c r="H53445" t="str">
        <f t="shared" si="884"/>
        <v/>
      </c>
    </row>
    <row r="53446" spans="8:8" x14ac:dyDescent="0.3">
      <c r="H53446" t="str">
        <f t="shared" si="884"/>
        <v/>
      </c>
    </row>
    <row r="53447" spans="8:8" x14ac:dyDescent="0.3">
      <c r="H53447" t="str">
        <f t="shared" si="884"/>
        <v/>
      </c>
    </row>
    <row r="53448" spans="8:8" x14ac:dyDescent="0.3">
      <c r="H53448" t="str">
        <f t="shared" si="884"/>
        <v/>
      </c>
    </row>
    <row r="53449" spans="8:8" x14ac:dyDescent="0.3">
      <c r="H53449" t="str">
        <f t="shared" si="884"/>
        <v/>
      </c>
    </row>
    <row r="53450" spans="8:8" x14ac:dyDescent="0.3">
      <c r="H53450" t="str">
        <f t="shared" si="884"/>
        <v/>
      </c>
    </row>
    <row r="53451" spans="8:8" x14ac:dyDescent="0.3">
      <c r="H53451" t="str">
        <f t="shared" si="884"/>
        <v/>
      </c>
    </row>
    <row r="53452" spans="8:8" x14ac:dyDescent="0.3">
      <c r="H53452" t="str">
        <f t="shared" si="884"/>
        <v/>
      </c>
    </row>
    <row r="53453" spans="8:8" x14ac:dyDescent="0.3">
      <c r="H53453" t="str">
        <f t="shared" si="884"/>
        <v/>
      </c>
    </row>
    <row r="53454" spans="8:8" x14ac:dyDescent="0.3">
      <c r="H53454" t="str">
        <f t="shared" si="884"/>
        <v/>
      </c>
    </row>
    <row r="53455" spans="8:8" x14ac:dyDescent="0.3">
      <c r="H53455" t="str">
        <f t="shared" si="884"/>
        <v/>
      </c>
    </row>
    <row r="53456" spans="8:8" x14ac:dyDescent="0.3">
      <c r="H53456" t="str">
        <f t="shared" si="884"/>
        <v/>
      </c>
    </row>
    <row r="53457" spans="8:8" x14ac:dyDescent="0.3">
      <c r="H53457" t="str">
        <f t="shared" si="884"/>
        <v/>
      </c>
    </row>
    <row r="53458" spans="8:8" x14ac:dyDescent="0.3">
      <c r="H53458" t="str">
        <f t="shared" si="884"/>
        <v/>
      </c>
    </row>
    <row r="53459" spans="8:8" x14ac:dyDescent="0.3">
      <c r="H53459" t="str">
        <f t="shared" si="884"/>
        <v/>
      </c>
    </row>
    <row r="53460" spans="8:8" x14ac:dyDescent="0.3">
      <c r="H53460" t="str">
        <f t="shared" si="884"/>
        <v/>
      </c>
    </row>
    <row r="53461" spans="8:8" x14ac:dyDescent="0.3">
      <c r="H53461" t="str">
        <f t="shared" si="884"/>
        <v/>
      </c>
    </row>
    <row r="53462" spans="8:8" x14ac:dyDescent="0.3">
      <c r="H53462" t="str">
        <f t="shared" si="884"/>
        <v/>
      </c>
    </row>
    <row r="53463" spans="8:8" x14ac:dyDescent="0.3">
      <c r="H53463" t="str">
        <f t="shared" ref="H53463:H53526" si="885">IF(B53463="","",$C$12)</f>
        <v/>
      </c>
    </row>
    <row r="53464" spans="8:8" x14ac:dyDescent="0.3">
      <c r="H53464" t="str">
        <f t="shared" si="885"/>
        <v/>
      </c>
    </row>
    <row r="53465" spans="8:8" x14ac:dyDescent="0.3">
      <c r="H53465" t="str">
        <f t="shared" si="885"/>
        <v/>
      </c>
    </row>
    <row r="53466" spans="8:8" x14ac:dyDescent="0.3">
      <c r="H53466" t="str">
        <f t="shared" si="885"/>
        <v/>
      </c>
    </row>
    <row r="53467" spans="8:8" x14ac:dyDescent="0.3">
      <c r="H53467" t="str">
        <f t="shared" si="885"/>
        <v/>
      </c>
    </row>
    <row r="53468" spans="8:8" x14ac:dyDescent="0.3">
      <c r="H53468" t="str">
        <f t="shared" si="885"/>
        <v/>
      </c>
    </row>
    <row r="53469" spans="8:8" x14ac:dyDescent="0.3">
      <c r="H53469" t="str">
        <f t="shared" si="885"/>
        <v/>
      </c>
    </row>
    <row r="53470" spans="8:8" x14ac:dyDescent="0.3">
      <c r="H53470" t="str">
        <f t="shared" si="885"/>
        <v/>
      </c>
    </row>
    <row r="53471" spans="8:8" x14ac:dyDescent="0.3">
      <c r="H53471" t="str">
        <f t="shared" si="885"/>
        <v/>
      </c>
    </row>
    <row r="53472" spans="8:8" x14ac:dyDescent="0.3">
      <c r="H53472" t="str">
        <f t="shared" si="885"/>
        <v/>
      </c>
    </row>
    <row r="53473" spans="8:8" x14ac:dyDescent="0.3">
      <c r="H53473" t="str">
        <f t="shared" si="885"/>
        <v/>
      </c>
    </row>
    <row r="53474" spans="8:8" x14ac:dyDescent="0.3">
      <c r="H53474" t="str">
        <f t="shared" si="885"/>
        <v/>
      </c>
    </row>
    <row r="53475" spans="8:8" x14ac:dyDescent="0.3">
      <c r="H53475" t="str">
        <f t="shared" si="885"/>
        <v/>
      </c>
    </row>
    <row r="53476" spans="8:8" x14ac:dyDescent="0.3">
      <c r="H53476" t="str">
        <f t="shared" si="885"/>
        <v/>
      </c>
    </row>
    <row r="53477" spans="8:8" x14ac:dyDescent="0.3">
      <c r="H53477" t="str">
        <f t="shared" si="885"/>
        <v/>
      </c>
    </row>
    <row r="53478" spans="8:8" x14ac:dyDescent="0.3">
      <c r="H53478" t="str">
        <f t="shared" si="885"/>
        <v/>
      </c>
    </row>
    <row r="53479" spans="8:8" x14ac:dyDescent="0.3">
      <c r="H53479" t="str">
        <f t="shared" si="885"/>
        <v/>
      </c>
    </row>
    <row r="53480" spans="8:8" x14ac:dyDescent="0.3">
      <c r="H53480" t="str">
        <f t="shared" si="885"/>
        <v/>
      </c>
    </row>
    <row r="53481" spans="8:8" x14ac:dyDescent="0.3">
      <c r="H53481" t="str">
        <f t="shared" si="885"/>
        <v/>
      </c>
    </row>
    <row r="53482" spans="8:8" x14ac:dyDescent="0.3">
      <c r="H53482" t="str">
        <f t="shared" si="885"/>
        <v/>
      </c>
    </row>
    <row r="53483" spans="8:8" x14ac:dyDescent="0.3">
      <c r="H53483" t="str">
        <f t="shared" si="885"/>
        <v/>
      </c>
    </row>
    <row r="53484" spans="8:8" x14ac:dyDescent="0.3">
      <c r="H53484" t="str">
        <f t="shared" si="885"/>
        <v/>
      </c>
    </row>
    <row r="53485" spans="8:8" x14ac:dyDescent="0.3">
      <c r="H53485" t="str">
        <f t="shared" si="885"/>
        <v/>
      </c>
    </row>
    <row r="53486" spans="8:8" x14ac:dyDescent="0.3">
      <c r="H53486" t="str">
        <f t="shared" si="885"/>
        <v/>
      </c>
    </row>
    <row r="53487" spans="8:8" x14ac:dyDescent="0.3">
      <c r="H53487" t="str">
        <f t="shared" si="885"/>
        <v/>
      </c>
    </row>
    <row r="53488" spans="8:8" x14ac:dyDescent="0.3">
      <c r="H53488" t="str">
        <f t="shared" si="885"/>
        <v/>
      </c>
    </row>
    <row r="53489" spans="8:8" x14ac:dyDescent="0.3">
      <c r="H53489" t="str">
        <f t="shared" si="885"/>
        <v/>
      </c>
    </row>
    <row r="53490" spans="8:8" x14ac:dyDescent="0.3">
      <c r="H53490" t="str">
        <f t="shared" si="885"/>
        <v/>
      </c>
    </row>
    <row r="53491" spans="8:8" x14ac:dyDescent="0.3">
      <c r="H53491" t="str">
        <f t="shared" si="885"/>
        <v/>
      </c>
    </row>
    <row r="53492" spans="8:8" x14ac:dyDescent="0.3">
      <c r="H53492" t="str">
        <f t="shared" si="885"/>
        <v/>
      </c>
    </row>
    <row r="53493" spans="8:8" x14ac:dyDescent="0.3">
      <c r="H53493" t="str">
        <f t="shared" si="885"/>
        <v/>
      </c>
    </row>
    <row r="53494" spans="8:8" x14ac:dyDescent="0.3">
      <c r="H53494" t="str">
        <f t="shared" si="885"/>
        <v/>
      </c>
    </row>
    <row r="53495" spans="8:8" x14ac:dyDescent="0.3">
      <c r="H53495" t="str">
        <f t="shared" si="885"/>
        <v/>
      </c>
    </row>
    <row r="53496" spans="8:8" x14ac:dyDescent="0.3">
      <c r="H53496" t="str">
        <f t="shared" si="885"/>
        <v/>
      </c>
    </row>
    <row r="53497" spans="8:8" x14ac:dyDescent="0.3">
      <c r="H53497" t="str">
        <f t="shared" si="885"/>
        <v/>
      </c>
    </row>
    <row r="53498" spans="8:8" x14ac:dyDescent="0.3">
      <c r="H53498" t="str">
        <f t="shared" si="885"/>
        <v/>
      </c>
    </row>
    <row r="53499" spans="8:8" x14ac:dyDescent="0.3">
      <c r="H53499" t="str">
        <f t="shared" si="885"/>
        <v/>
      </c>
    </row>
    <row r="53500" spans="8:8" x14ac:dyDescent="0.3">
      <c r="H53500" t="str">
        <f t="shared" si="885"/>
        <v/>
      </c>
    </row>
    <row r="53501" spans="8:8" x14ac:dyDescent="0.3">
      <c r="H53501" t="str">
        <f t="shared" si="885"/>
        <v/>
      </c>
    </row>
    <row r="53502" spans="8:8" x14ac:dyDescent="0.3">
      <c r="H53502" t="str">
        <f t="shared" si="885"/>
        <v/>
      </c>
    </row>
    <row r="53503" spans="8:8" x14ac:dyDescent="0.3">
      <c r="H53503" t="str">
        <f t="shared" si="885"/>
        <v/>
      </c>
    </row>
    <row r="53504" spans="8:8" x14ac:dyDescent="0.3">
      <c r="H53504" t="str">
        <f t="shared" si="885"/>
        <v/>
      </c>
    </row>
    <row r="53505" spans="8:8" x14ac:dyDescent="0.3">
      <c r="H53505" t="str">
        <f t="shared" si="885"/>
        <v/>
      </c>
    </row>
    <row r="53506" spans="8:8" x14ac:dyDescent="0.3">
      <c r="H53506" t="str">
        <f t="shared" si="885"/>
        <v/>
      </c>
    </row>
    <row r="53507" spans="8:8" x14ac:dyDescent="0.3">
      <c r="H53507" t="str">
        <f t="shared" si="885"/>
        <v/>
      </c>
    </row>
    <row r="53508" spans="8:8" x14ac:dyDescent="0.3">
      <c r="H53508" t="str">
        <f t="shared" si="885"/>
        <v/>
      </c>
    </row>
    <row r="53509" spans="8:8" x14ac:dyDescent="0.3">
      <c r="H53509" t="str">
        <f t="shared" si="885"/>
        <v/>
      </c>
    </row>
    <row r="53510" spans="8:8" x14ac:dyDescent="0.3">
      <c r="H53510" t="str">
        <f t="shared" si="885"/>
        <v/>
      </c>
    </row>
    <row r="53511" spans="8:8" x14ac:dyDescent="0.3">
      <c r="H53511" t="str">
        <f t="shared" si="885"/>
        <v/>
      </c>
    </row>
    <row r="53512" spans="8:8" x14ac:dyDescent="0.3">
      <c r="H53512" t="str">
        <f t="shared" si="885"/>
        <v/>
      </c>
    </row>
    <row r="53513" spans="8:8" x14ac:dyDescent="0.3">
      <c r="H53513" t="str">
        <f t="shared" si="885"/>
        <v/>
      </c>
    </row>
    <row r="53514" spans="8:8" x14ac:dyDescent="0.3">
      <c r="H53514" t="str">
        <f t="shared" si="885"/>
        <v/>
      </c>
    </row>
    <row r="53515" spans="8:8" x14ac:dyDescent="0.3">
      <c r="H53515" t="str">
        <f t="shared" si="885"/>
        <v/>
      </c>
    </row>
    <row r="53516" spans="8:8" x14ac:dyDescent="0.3">
      <c r="H53516" t="str">
        <f t="shared" si="885"/>
        <v/>
      </c>
    </row>
    <row r="53517" spans="8:8" x14ac:dyDescent="0.3">
      <c r="H53517" t="str">
        <f t="shared" si="885"/>
        <v/>
      </c>
    </row>
    <row r="53518" spans="8:8" x14ac:dyDescent="0.3">
      <c r="H53518" t="str">
        <f t="shared" si="885"/>
        <v/>
      </c>
    </row>
    <row r="53519" spans="8:8" x14ac:dyDescent="0.3">
      <c r="H53519" t="str">
        <f t="shared" si="885"/>
        <v/>
      </c>
    </row>
    <row r="53520" spans="8:8" x14ac:dyDescent="0.3">
      <c r="H53520" t="str">
        <f t="shared" si="885"/>
        <v/>
      </c>
    </row>
    <row r="53521" spans="8:8" x14ac:dyDescent="0.3">
      <c r="H53521" t="str">
        <f t="shared" si="885"/>
        <v/>
      </c>
    </row>
    <row r="53522" spans="8:8" x14ac:dyDescent="0.3">
      <c r="H53522" t="str">
        <f t="shared" si="885"/>
        <v/>
      </c>
    </row>
    <row r="53523" spans="8:8" x14ac:dyDescent="0.3">
      <c r="H53523" t="str">
        <f t="shared" si="885"/>
        <v/>
      </c>
    </row>
    <row r="53524" spans="8:8" x14ac:dyDescent="0.3">
      <c r="H53524" t="str">
        <f t="shared" si="885"/>
        <v/>
      </c>
    </row>
    <row r="53525" spans="8:8" x14ac:dyDescent="0.3">
      <c r="H53525" t="str">
        <f t="shared" si="885"/>
        <v/>
      </c>
    </row>
    <row r="53526" spans="8:8" x14ac:dyDescent="0.3">
      <c r="H53526" t="str">
        <f t="shared" si="885"/>
        <v/>
      </c>
    </row>
    <row r="53527" spans="8:8" x14ac:dyDescent="0.3">
      <c r="H53527" t="str">
        <f t="shared" ref="H53527:H53590" si="886">IF(B53527="","",$C$12)</f>
        <v/>
      </c>
    </row>
    <row r="53528" spans="8:8" x14ac:dyDescent="0.3">
      <c r="H53528" t="str">
        <f t="shared" si="886"/>
        <v/>
      </c>
    </row>
    <row r="53529" spans="8:8" x14ac:dyDescent="0.3">
      <c r="H53529" t="str">
        <f t="shared" si="886"/>
        <v/>
      </c>
    </row>
    <row r="53530" spans="8:8" x14ac:dyDescent="0.3">
      <c r="H53530" t="str">
        <f t="shared" si="886"/>
        <v/>
      </c>
    </row>
    <row r="53531" spans="8:8" x14ac:dyDescent="0.3">
      <c r="H53531" t="str">
        <f t="shared" si="886"/>
        <v/>
      </c>
    </row>
    <row r="53532" spans="8:8" x14ac:dyDescent="0.3">
      <c r="H53532" t="str">
        <f t="shared" si="886"/>
        <v/>
      </c>
    </row>
    <row r="53533" spans="8:8" x14ac:dyDescent="0.3">
      <c r="H53533" t="str">
        <f t="shared" si="886"/>
        <v/>
      </c>
    </row>
    <row r="53534" spans="8:8" x14ac:dyDescent="0.3">
      <c r="H53534" t="str">
        <f t="shared" si="886"/>
        <v/>
      </c>
    </row>
    <row r="53535" spans="8:8" x14ac:dyDescent="0.3">
      <c r="H53535" t="str">
        <f t="shared" si="886"/>
        <v/>
      </c>
    </row>
    <row r="53536" spans="8:8" x14ac:dyDescent="0.3">
      <c r="H53536" t="str">
        <f t="shared" si="886"/>
        <v/>
      </c>
    </row>
    <row r="53537" spans="8:8" x14ac:dyDescent="0.3">
      <c r="H53537" t="str">
        <f t="shared" si="886"/>
        <v/>
      </c>
    </row>
    <row r="53538" spans="8:8" x14ac:dyDescent="0.3">
      <c r="H53538" t="str">
        <f t="shared" si="886"/>
        <v/>
      </c>
    </row>
    <row r="53539" spans="8:8" x14ac:dyDescent="0.3">
      <c r="H53539" t="str">
        <f t="shared" si="886"/>
        <v/>
      </c>
    </row>
    <row r="53540" spans="8:8" x14ac:dyDescent="0.3">
      <c r="H53540" t="str">
        <f t="shared" si="886"/>
        <v/>
      </c>
    </row>
    <row r="53541" spans="8:8" x14ac:dyDescent="0.3">
      <c r="H53541" t="str">
        <f t="shared" si="886"/>
        <v/>
      </c>
    </row>
    <row r="53542" spans="8:8" x14ac:dyDescent="0.3">
      <c r="H53542" t="str">
        <f t="shared" si="886"/>
        <v/>
      </c>
    </row>
    <row r="53543" spans="8:8" x14ac:dyDescent="0.3">
      <c r="H53543" t="str">
        <f t="shared" si="886"/>
        <v/>
      </c>
    </row>
    <row r="53544" spans="8:8" x14ac:dyDescent="0.3">
      <c r="H53544" t="str">
        <f t="shared" si="886"/>
        <v/>
      </c>
    </row>
    <row r="53545" spans="8:8" x14ac:dyDescent="0.3">
      <c r="H53545" t="str">
        <f t="shared" si="886"/>
        <v/>
      </c>
    </row>
    <row r="53546" spans="8:8" x14ac:dyDescent="0.3">
      <c r="H53546" t="str">
        <f t="shared" si="886"/>
        <v/>
      </c>
    </row>
    <row r="53547" spans="8:8" x14ac:dyDescent="0.3">
      <c r="H53547" t="str">
        <f t="shared" si="886"/>
        <v/>
      </c>
    </row>
    <row r="53548" spans="8:8" x14ac:dyDescent="0.3">
      <c r="H53548" t="str">
        <f t="shared" si="886"/>
        <v/>
      </c>
    </row>
    <row r="53549" spans="8:8" x14ac:dyDescent="0.3">
      <c r="H53549" t="str">
        <f t="shared" si="886"/>
        <v/>
      </c>
    </row>
    <row r="53550" spans="8:8" x14ac:dyDescent="0.3">
      <c r="H53550" t="str">
        <f t="shared" si="886"/>
        <v/>
      </c>
    </row>
    <row r="53551" spans="8:8" x14ac:dyDescent="0.3">
      <c r="H53551" t="str">
        <f t="shared" si="886"/>
        <v/>
      </c>
    </row>
    <row r="53552" spans="8:8" x14ac:dyDescent="0.3">
      <c r="H53552" t="str">
        <f t="shared" si="886"/>
        <v/>
      </c>
    </row>
    <row r="53553" spans="8:8" x14ac:dyDescent="0.3">
      <c r="H53553" t="str">
        <f t="shared" si="886"/>
        <v/>
      </c>
    </row>
    <row r="53554" spans="8:8" x14ac:dyDescent="0.3">
      <c r="H53554" t="str">
        <f t="shared" si="886"/>
        <v/>
      </c>
    </row>
    <row r="53555" spans="8:8" x14ac:dyDescent="0.3">
      <c r="H53555" t="str">
        <f t="shared" si="886"/>
        <v/>
      </c>
    </row>
    <row r="53556" spans="8:8" x14ac:dyDescent="0.3">
      <c r="H53556" t="str">
        <f t="shared" si="886"/>
        <v/>
      </c>
    </row>
    <row r="53557" spans="8:8" x14ac:dyDescent="0.3">
      <c r="H53557" t="str">
        <f t="shared" si="886"/>
        <v/>
      </c>
    </row>
    <row r="53558" spans="8:8" x14ac:dyDescent="0.3">
      <c r="H53558" t="str">
        <f t="shared" si="886"/>
        <v/>
      </c>
    </row>
    <row r="53559" spans="8:8" x14ac:dyDescent="0.3">
      <c r="H53559" t="str">
        <f t="shared" si="886"/>
        <v/>
      </c>
    </row>
    <row r="53560" spans="8:8" x14ac:dyDescent="0.3">
      <c r="H53560" t="str">
        <f t="shared" si="886"/>
        <v/>
      </c>
    </row>
    <row r="53561" spans="8:8" x14ac:dyDescent="0.3">
      <c r="H53561" t="str">
        <f t="shared" si="886"/>
        <v/>
      </c>
    </row>
    <row r="53562" spans="8:8" x14ac:dyDescent="0.3">
      <c r="H53562" t="str">
        <f t="shared" si="886"/>
        <v/>
      </c>
    </row>
    <row r="53563" spans="8:8" x14ac:dyDescent="0.3">
      <c r="H53563" t="str">
        <f t="shared" si="886"/>
        <v/>
      </c>
    </row>
    <row r="53564" spans="8:8" x14ac:dyDescent="0.3">
      <c r="H53564" t="str">
        <f t="shared" si="886"/>
        <v/>
      </c>
    </row>
    <row r="53565" spans="8:8" x14ac:dyDescent="0.3">
      <c r="H53565" t="str">
        <f t="shared" si="886"/>
        <v/>
      </c>
    </row>
    <row r="53566" spans="8:8" x14ac:dyDescent="0.3">
      <c r="H53566" t="str">
        <f t="shared" si="886"/>
        <v/>
      </c>
    </row>
    <row r="53567" spans="8:8" x14ac:dyDescent="0.3">
      <c r="H53567" t="str">
        <f t="shared" si="886"/>
        <v/>
      </c>
    </row>
    <row r="53568" spans="8:8" x14ac:dyDescent="0.3">
      <c r="H53568" t="str">
        <f t="shared" si="886"/>
        <v/>
      </c>
    </row>
    <row r="53569" spans="8:8" x14ac:dyDescent="0.3">
      <c r="H53569" t="str">
        <f t="shared" si="886"/>
        <v/>
      </c>
    </row>
    <row r="53570" spans="8:8" x14ac:dyDescent="0.3">
      <c r="H53570" t="str">
        <f t="shared" si="886"/>
        <v/>
      </c>
    </row>
    <row r="53571" spans="8:8" x14ac:dyDescent="0.3">
      <c r="H53571" t="str">
        <f t="shared" si="886"/>
        <v/>
      </c>
    </row>
    <row r="53572" spans="8:8" x14ac:dyDescent="0.3">
      <c r="H53572" t="str">
        <f t="shared" si="886"/>
        <v/>
      </c>
    </row>
    <row r="53573" spans="8:8" x14ac:dyDescent="0.3">
      <c r="H53573" t="str">
        <f t="shared" si="886"/>
        <v/>
      </c>
    </row>
    <row r="53574" spans="8:8" x14ac:dyDescent="0.3">
      <c r="H53574" t="str">
        <f t="shared" si="886"/>
        <v/>
      </c>
    </row>
    <row r="53575" spans="8:8" x14ac:dyDescent="0.3">
      <c r="H53575" t="str">
        <f t="shared" si="886"/>
        <v/>
      </c>
    </row>
    <row r="53576" spans="8:8" x14ac:dyDescent="0.3">
      <c r="H53576" t="str">
        <f t="shared" si="886"/>
        <v/>
      </c>
    </row>
    <row r="53577" spans="8:8" x14ac:dyDescent="0.3">
      <c r="H53577" t="str">
        <f t="shared" si="886"/>
        <v/>
      </c>
    </row>
    <row r="53578" spans="8:8" x14ac:dyDescent="0.3">
      <c r="H53578" t="str">
        <f t="shared" si="886"/>
        <v/>
      </c>
    </row>
    <row r="53579" spans="8:8" x14ac:dyDescent="0.3">
      <c r="H53579" t="str">
        <f t="shared" si="886"/>
        <v/>
      </c>
    </row>
    <row r="53580" spans="8:8" x14ac:dyDescent="0.3">
      <c r="H53580" t="str">
        <f t="shared" si="886"/>
        <v/>
      </c>
    </row>
    <row r="53581" spans="8:8" x14ac:dyDescent="0.3">
      <c r="H53581" t="str">
        <f t="shared" si="886"/>
        <v/>
      </c>
    </row>
    <row r="53582" spans="8:8" x14ac:dyDescent="0.3">
      <c r="H53582" t="str">
        <f t="shared" si="886"/>
        <v/>
      </c>
    </row>
    <row r="53583" spans="8:8" x14ac:dyDescent="0.3">
      <c r="H53583" t="str">
        <f t="shared" si="886"/>
        <v/>
      </c>
    </row>
    <row r="53584" spans="8:8" x14ac:dyDescent="0.3">
      <c r="H53584" t="str">
        <f t="shared" si="886"/>
        <v/>
      </c>
    </row>
    <row r="53585" spans="8:8" x14ac:dyDescent="0.3">
      <c r="H53585" t="str">
        <f t="shared" si="886"/>
        <v/>
      </c>
    </row>
    <row r="53586" spans="8:8" x14ac:dyDescent="0.3">
      <c r="H53586" t="str">
        <f t="shared" si="886"/>
        <v/>
      </c>
    </row>
    <row r="53587" spans="8:8" x14ac:dyDescent="0.3">
      <c r="H53587" t="str">
        <f t="shared" si="886"/>
        <v/>
      </c>
    </row>
    <row r="53588" spans="8:8" x14ac:dyDescent="0.3">
      <c r="H53588" t="str">
        <f t="shared" si="886"/>
        <v/>
      </c>
    </row>
    <row r="53589" spans="8:8" x14ac:dyDescent="0.3">
      <c r="H53589" t="str">
        <f t="shared" si="886"/>
        <v/>
      </c>
    </row>
    <row r="53590" spans="8:8" x14ac:dyDescent="0.3">
      <c r="H53590" t="str">
        <f t="shared" si="886"/>
        <v/>
      </c>
    </row>
    <row r="53591" spans="8:8" x14ac:dyDescent="0.3">
      <c r="H53591" t="str">
        <f t="shared" ref="H53591:H53654" si="887">IF(B53591="","",$C$12)</f>
        <v/>
      </c>
    </row>
    <row r="53592" spans="8:8" x14ac:dyDescent="0.3">
      <c r="H53592" t="str">
        <f t="shared" si="887"/>
        <v/>
      </c>
    </row>
    <row r="53593" spans="8:8" x14ac:dyDescent="0.3">
      <c r="H53593" t="str">
        <f t="shared" si="887"/>
        <v/>
      </c>
    </row>
    <row r="53594" spans="8:8" x14ac:dyDescent="0.3">
      <c r="H53594" t="str">
        <f t="shared" si="887"/>
        <v/>
      </c>
    </row>
    <row r="53595" spans="8:8" x14ac:dyDescent="0.3">
      <c r="H53595" t="str">
        <f t="shared" si="887"/>
        <v/>
      </c>
    </row>
    <row r="53596" spans="8:8" x14ac:dyDescent="0.3">
      <c r="H53596" t="str">
        <f t="shared" si="887"/>
        <v/>
      </c>
    </row>
    <row r="53597" spans="8:8" x14ac:dyDescent="0.3">
      <c r="H53597" t="str">
        <f t="shared" si="887"/>
        <v/>
      </c>
    </row>
    <row r="53598" spans="8:8" x14ac:dyDescent="0.3">
      <c r="H53598" t="str">
        <f t="shared" si="887"/>
        <v/>
      </c>
    </row>
    <row r="53599" spans="8:8" x14ac:dyDescent="0.3">
      <c r="H53599" t="str">
        <f t="shared" si="887"/>
        <v/>
      </c>
    </row>
    <row r="53600" spans="8:8" x14ac:dyDescent="0.3">
      <c r="H53600" t="str">
        <f t="shared" si="887"/>
        <v/>
      </c>
    </row>
    <row r="53601" spans="8:8" x14ac:dyDescent="0.3">
      <c r="H53601" t="str">
        <f t="shared" si="887"/>
        <v/>
      </c>
    </row>
    <row r="53602" spans="8:8" x14ac:dyDescent="0.3">
      <c r="H53602" t="str">
        <f t="shared" si="887"/>
        <v/>
      </c>
    </row>
    <row r="53603" spans="8:8" x14ac:dyDescent="0.3">
      <c r="H53603" t="str">
        <f t="shared" si="887"/>
        <v/>
      </c>
    </row>
    <row r="53604" spans="8:8" x14ac:dyDescent="0.3">
      <c r="H53604" t="str">
        <f t="shared" si="887"/>
        <v/>
      </c>
    </row>
    <row r="53605" spans="8:8" x14ac:dyDescent="0.3">
      <c r="H53605" t="str">
        <f t="shared" si="887"/>
        <v/>
      </c>
    </row>
    <row r="53606" spans="8:8" x14ac:dyDescent="0.3">
      <c r="H53606" t="str">
        <f t="shared" si="887"/>
        <v/>
      </c>
    </row>
    <row r="53607" spans="8:8" x14ac:dyDescent="0.3">
      <c r="H53607" t="str">
        <f t="shared" si="887"/>
        <v/>
      </c>
    </row>
    <row r="53608" spans="8:8" x14ac:dyDescent="0.3">
      <c r="H53608" t="str">
        <f t="shared" si="887"/>
        <v/>
      </c>
    </row>
    <row r="53609" spans="8:8" x14ac:dyDescent="0.3">
      <c r="H53609" t="str">
        <f t="shared" si="887"/>
        <v/>
      </c>
    </row>
    <row r="53610" spans="8:8" x14ac:dyDescent="0.3">
      <c r="H53610" t="str">
        <f t="shared" si="887"/>
        <v/>
      </c>
    </row>
    <row r="53611" spans="8:8" x14ac:dyDescent="0.3">
      <c r="H53611" t="str">
        <f t="shared" si="887"/>
        <v/>
      </c>
    </row>
    <row r="53612" spans="8:8" x14ac:dyDescent="0.3">
      <c r="H53612" t="str">
        <f t="shared" si="887"/>
        <v/>
      </c>
    </row>
    <row r="53613" spans="8:8" x14ac:dyDescent="0.3">
      <c r="H53613" t="str">
        <f t="shared" si="887"/>
        <v/>
      </c>
    </row>
    <row r="53614" spans="8:8" x14ac:dyDescent="0.3">
      <c r="H53614" t="str">
        <f t="shared" si="887"/>
        <v/>
      </c>
    </row>
    <row r="53615" spans="8:8" x14ac:dyDescent="0.3">
      <c r="H53615" t="str">
        <f t="shared" si="887"/>
        <v/>
      </c>
    </row>
    <row r="53616" spans="8:8" x14ac:dyDescent="0.3">
      <c r="H53616" t="str">
        <f t="shared" si="887"/>
        <v/>
      </c>
    </row>
    <row r="53617" spans="8:8" x14ac:dyDescent="0.3">
      <c r="H53617" t="str">
        <f t="shared" si="887"/>
        <v/>
      </c>
    </row>
    <row r="53618" spans="8:8" x14ac:dyDescent="0.3">
      <c r="H53618" t="str">
        <f t="shared" si="887"/>
        <v/>
      </c>
    </row>
    <row r="53619" spans="8:8" x14ac:dyDescent="0.3">
      <c r="H53619" t="str">
        <f t="shared" si="887"/>
        <v/>
      </c>
    </row>
    <row r="53620" spans="8:8" x14ac:dyDescent="0.3">
      <c r="H53620" t="str">
        <f t="shared" si="887"/>
        <v/>
      </c>
    </row>
    <row r="53621" spans="8:8" x14ac:dyDescent="0.3">
      <c r="H53621" t="str">
        <f t="shared" si="887"/>
        <v/>
      </c>
    </row>
    <row r="53622" spans="8:8" x14ac:dyDescent="0.3">
      <c r="H53622" t="str">
        <f t="shared" si="887"/>
        <v/>
      </c>
    </row>
    <row r="53623" spans="8:8" x14ac:dyDescent="0.3">
      <c r="H53623" t="str">
        <f t="shared" si="887"/>
        <v/>
      </c>
    </row>
    <row r="53624" spans="8:8" x14ac:dyDescent="0.3">
      <c r="H53624" t="str">
        <f t="shared" si="887"/>
        <v/>
      </c>
    </row>
    <row r="53625" spans="8:8" x14ac:dyDescent="0.3">
      <c r="H53625" t="str">
        <f t="shared" si="887"/>
        <v/>
      </c>
    </row>
    <row r="53626" spans="8:8" x14ac:dyDescent="0.3">
      <c r="H53626" t="str">
        <f t="shared" si="887"/>
        <v/>
      </c>
    </row>
    <row r="53627" spans="8:8" x14ac:dyDescent="0.3">
      <c r="H53627" t="str">
        <f t="shared" si="887"/>
        <v/>
      </c>
    </row>
    <row r="53628" spans="8:8" x14ac:dyDescent="0.3">
      <c r="H53628" t="str">
        <f t="shared" si="887"/>
        <v/>
      </c>
    </row>
    <row r="53629" spans="8:8" x14ac:dyDescent="0.3">
      <c r="H53629" t="str">
        <f t="shared" si="887"/>
        <v/>
      </c>
    </row>
    <row r="53630" spans="8:8" x14ac:dyDescent="0.3">
      <c r="H53630" t="str">
        <f t="shared" si="887"/>
        <v/>
      </c>
    </row>
    <row r="53631" spans="8:8" x14ac:dyDescent="0.3">
      <c r="H53631" t="str">
        <f t="shared" si="887"/>
        <v/>
      </c>
    </row>
    <row r="53632" spans="8:8" x14ac:dyDescent="0.3">
      <c r="H53632" t="str">
        <f t="shared" si="887"/>
        <v/>
      </c>
    </row>
    <row r="53633" spans="8:8" x14ac:dyDescent="0.3">
      <c r="H53633" t="str">
        <f t="shared" si="887"/>
        <v/>
      </c>
    </row>
    <row r="53634" spans="8:8" x14ac:dyDescent="0.3">
      <c r="H53634" t="str">
        <f t="shared" si="887"/>
        <v/>
      </c>
    </row>
    <row r="53635" spans="8:8" x14ac:dyDescent="0.3">
      <c r="H53635" t="str">
        <f t="shared" si="887"/>
        <v/>
      </c>
    </row>
    <row r="53636" spans="8:8" x14ac:dyDescent="0.3">
      <c r="H53636" t="str">
        <f t="shared" si="887"/>
        <v/>
      </c>
    </row>
    <row r="53637" spans="8:8" x14ac:dyDescent="0.3">
      <c r="H53637" t="str">
        <f t="shared" si="887"/>
        <v/>
      </c>
    </row>
    <row r="53638" spans="8:8" x14ac:dyDescent="0.3">
      <c r="H53638" t="str">
        <f t="shared" si="887"/>
        <v/>
      </c>
    </row>
    <row r="53639" spans="8:8" x14ac:dyDescent="0.3">
      <c r="H53639" t="str">
        <f t="shared" si="887"/>
        <v/>
      </c>
    </row>
    <row r="53640" spans="8:8" x14ac:dyDescent="0.3">
      <c r="H53640" t="str">
        <f t="shared" si="887"/>
        <v/>
      </c>
    </row>
    <row r="53641" spans="8:8" x14ac:dyDescent="0.3">
      <c r="H53641" t="str">
        <f t="shared" si="887"/>
        <v/>
      </c>
    </row>
    <row r="53642" spans="8:8" x14ac:dyDescent="0.3">
      <c r="H53642" t="str">
        <f t="shared" si="887"/>
        <v/>
      </c>
    </row>
    <row r="53643" spans="8:8" x14ac:dyDescent="0.3">
      <c r="H53643" t="str">
        <f t="shared" si="887"/>
        <v/>
      </c>
    </row>
    <row r="53644" spans="8:8" x14ac:dyDescent="0.3">
      <c r="H53644" t="str">
        <f t="shared" si="887"/>
        <v/>
      </c>
    </row>
    <row r="53645" spans="8:8" x14ac:dyDescent="0.3">
      <c r="H53645" t="str">
        <f t="shared" si="887"/>
        <v/>
      </c>
    </row>
    <row r="53646" spans="8:8" x14ac:dyDescent="0.3">
      <c r="H53646" t="str">
        <f t="shared" si="887"/>
        <v/>
      </c>
    </row>
    <row r="53647" spans="8:8" x14ac:dyDescent="0.3">
      <c r="H53647" t="str">
        <f t="shared" si="887"/>
        <v/>
      </c>
    </row>
    <row r="53648" spans="8:8" x14ac:dyDescent="0.3">
      <c r="H53648" t="str">
        <f t="shared" si="887"/>
        <v/>
      </c>
    </row>
    <row r="53649" spans="8:8" x14ac:dyDescent="0.3">
      <c r="H53649" t="str">
        <f t="shared" si="887"/>
        <v/>
      </c>
    </row>
    <row r="53650" spans="8:8" x14ac:dyDescent="0.3">
      <c r="H53650" t="str">
        <f t="shared" si="887"/>
        <v/>
      </c>
    </row>
    <row r="53651" spans="8:8" x14ac:dyDescent="0.3">
      <c r="H53651" t="str">
        <f t="shared" si="887"/>
        <v/>
      </c>
    </row>
    <row r="53652" spans="8:8" x14ac:dyDescent="0.3">
      <c r="H53652" t="str">
        <f t="shared" si="887"/>
        <v/>
      </c>
    </row>
    <row r="53653" spans="8:8" x14ac:dyDescent="0.3">
      <c r="H53653" t="str">
        <f t="shared" si="887"/>
        <v/>
      </c>
    </row>
    <row r="53654" spans="8:8" x14ac:dyDescent="0.3">
      <c r="H53654" t="str">
        <f t="shared" si="887"/>
        <v/>
      </c>
    </row>
    <row r="53655" spans="8:8" x14ac:dyDescent="0.3">
      <c r="H53655" t="str">
        <f t="shared" ref="H53655:H53718" si="888">IF(B53655="","",$C$12)</f>
        <v/>
      </c>
    </row>
    <row r="53656" spans="8:8" x14ac:dyDescent="0.3">
      <c r="H53656" t="str">
        <f t="shared" si="888"/>
        <v/>
      </c>
    </row>
    <row r="53657" spans="8:8" x14ac:dyDescent="0.3">
      <c r="H53657" t="str">
        <f t="shared" si="888"/>
        <v/>
      </c>
    </row>
    <row r="53658" spans="8:8" x14ac:dyDescent="0.3">
      <c r="H53658" t="str">
        <f t="shared" si="888"/>
        <v/>
      </c>
    </row>
    <row r="53659" spans="8:8" x14ac:dyDescent="0.3">
      <c r="H53659" t="str">
        <f t="shared" si="888"/>
        <v/>
      </c>
    </row>
    <row r="53660" spans="8:8" x14ac:dyDescent="0.3">
      <c r="H53660" t="str">
        <f t="shared" si="888"/>
        <v/>
      </c>
    </row>
    <row r="53661" spans="8:8" x14ac:dyDescent="0.3">
      <c r="H53661" t="str">
        <f t="shared" si="888"/>
        <v/>
      </c>
    </row>
    <row r="53662" spans="8:8" x14ac:dyDescent="0.3">
      <c r="H53662" t="str">
        <f t="shared" si="888"/>
        <v/>
      </c>
    </row>
    <row r="53663" spans="8:8" x14ac:dyDescent="0.3">
      <c r="H53663" t="str">
        <f t="shared" si="888"/>
        <v/>
      </c>
    </row>
    <row r="53664" spans="8:8" x14ac:dyDescent="0.3">
      <c r="H53664" t="str">
        <f t="shared" si="888"/>
        <v/>
      </c>
    </row>
    <row r="53665" spans="8:8" x14ac:dyDescent="0.3">
      <c r="H53665" t="str">
        <f t="shared" si="888"/>
        <v/>
      </c>
    </row>
    <row r="53666" spans="8:8" x14ac:dyDescent="0.3">
      <c r="H53666" t="str">
        <f t="shared" si="888"/>
        <v/>
      </c>
    </row>
    <row r="53667" spans="8:8" x14ac:dyDescent="0.3">
      <c r="H53667" t="str">
        <f t="shared" si="888"/>
        <v/>
      </c>
    </row>
    <row r="53668" spans="8:8" x14ac:dyDescent="0.3">
      <c r="H53668" t="str">
        <f t="shared" si="888"/>
        <v/>
      </c>
    </row>
    <row r="53669" spans="8:8" x14ac:dyDescent="0.3">
      <c r="H53669" t="str">
        <f t="shared" si="888"/>
        <v/>
      </c>
    </row>
    <row r="53670" spans="8:8" x14ac:dyDescent="0.3">
      <c r="H53670" t="str">
        <f t="shared" si="888"/>
        <v/>
      </c>
    </row>
    <row r="53671" spans="8:8" x14ac:dyDescent="0.3">
      <c r="H53671" t="str">
        <f t="shared" si="888"/>
        <v/>
      </c>
    </row>
    <row r="53672" spans="8:8" x14ac:dyDescent="0.3">
      <c r="H53672" t="str">
        <f t="shared" si="888"/>
        <v/>
      </c>
    </row>
    <row r="53673" spans="8:8" x14ac:dyDescent="0.3">
      <c r="H53673" t="str">
        <f t="shared" si="888"/>
        <v/>
      </c>
    </row>
    <row r="53674" spans="8:8" x14ac:dyDescent="0.3">
      <c r="H53674" t="str">
        <f t="shared" si="888"/>
        <v/>
      </c>
    </row>
    <row r="53675" spans="8:8" x14ac:dyDescent="0.3">
      <c r="H53675" t="str">
        <f t="shared" si="888"/>
        <v/>
      </c>
    </row>
    <row r="53676" spans="8:8" x14ac:dyDescent="0.3">
      <c r="H53676" t="str">
        <f t="shared" si="888"/>
        <v/>
      </c>
    </row>
    <row r="53677" spans="8:8" x14ac:dyDescent="0.3">
      <c r="H53677" t="str">
        <f t="shared" si="888"/>
        <v/>
      </c>
    </row>
    <row r="53678" spans="8:8" x14ac:dyDescent="0.3">
      <c r="H53678" t="str">
        <f t="shared" si="888"/>
        <v/>
      </c>
    </row>
    <row r="53679" spans="8:8" x14ac:dyDescent="0.3">
      <c r="H53679" t="str">
        <f t="shared" si="888"/>
        <v/>
      </c>
    </row>
    <row r="53680" spans="8:8" x14ac:dyDescent="0.3">
      <c r="H53680" t="str">
        <f t="shared" si="888"/>
        <v/>
      </c>
    </row>
    <row r="53681" spans="8:8" x14ac:dyDescent="0.3">
      <c r="H53681" t="str">
        <f t="shared" si="888"/>
        <v/>
      </c>
    </row>
    <row r="53682" spans="8:8" x14ac:dyDescent="0.3">
      <c r="H53682" t="str">
        <f t="shared" si="888"/>
        <v/>
      </c>
    </row>
    <row r="53683" spans="8:8" x14ac:dyDescent="0.3">
      <c r="H53683" t="str">
        <f t="shared" si="888"/>
        <v/>
      </c>
    </row>
    <row r="53684" spans="8:8" x14ac:dyDescent="0.3">
      <c r="H53684" t="str">
        <f t="shared" si="888"/>
        <v/>
      </c>
    </row>
    <row r="53685" spans="8:8" x14ac:dyDescent="0.3">
      <c r="H53685" t="str">
        <f t="shared" si="888"/>
        <v/>
      </c>
    </row>
    <row r="53686" spans="8:8" x14ac:dyDescent="0.3">
      <c r="H53686" t="str">
        <f t="shared" si="888"/>
        <v/>
      </c>
    </row>
    <row r="53687" spans="8:8" x14ac:dyDescent="0.3">
      <c r="H53687" t="str">
        <f t="shared" si="888"/>
        <v/>
      </c>
    </row>
    <row r="53688" spans="8:8" x14ac:dyDescent="0.3">
      <c r="H53688" t="str">
        <f t="shared" si="888"/>
        <v/>
      </c>
    </row>
    <row r="53689" spans="8:8" x14ac:dyDescent="0.3">
      <c r="H53689" t="str">
        <f t="shared" si="888"/>
        <v/>
      </c>
    </row>
    <row r="53690" spans="8:8" x14ac:dyDescent="0.3">
      <c r="H53690" t="str">
        <f t="shared" si="888"/>
        <v/>
      </c>
    </row>
    <row r="53691" spans="8:8" x14ac:dyDescent="0.3">
      <c r="H53691" t="str">
        <f t="shared" si="888"/>
        <v/>
      </c>
    </row>
    <row r="53692" spans="8:8" x14ac:dyDescent="0.3">
      <c r="H53692" t="str">
        <f t="shared" si="888"/>
        <v/>
      </c>
    </row>
    <row r="53693" spans="8:8" x14ac:dyDescent="0.3">
      <c r="H53693" t="str">
        <f t="shared" si="888"/>
        <v/>
      </c>
    </row>
    <row r="53694" spans="8:8" x14ac:dyDescent="0.3">
      <c r="H53694" t="str">
        <f t="shared" si="888"/>
        <v/>
      </c>
    </row>
    <row r="53695" spans="8:8" x14ac:dyDescent="0.3">
      <c r="H53695" t="str">
        <f t="shared" si="888"/>
        <v/>
      </c>
    </row>
    <row r="53696" spans="8:8" x14ac:dyDescent="0.3">
      <c r="H53696" t="str">
        <f t="shared" si="888"/>
        <v/>
      </c>
    </row>
    <row r="53697" spans="8:8" x14ac:dyDescent="0.3">
      <c r="H53697" t="str">
        <f t="shared" si="888"/>
        <v/>
      </c>
    </row>
    <row r="53698" spans="8:8" x14ac:dyDescent="0.3">
      <c r="H53698" t="str">
        <f t="shared" si="888"/>
        <v/>
      </c>
    </row>
    <row r="53699" spans="8:8" x14ac:dyDescent="0.3">
      <c r="H53699" t="str">
        <f t="shared" si="888"/>
        <v/>
      </c>
    </row>
    <row r="53700" spans="8:8" x14ac:dyDescent="0.3">
      <c r="H53700" t="str">
        <f t="shared" si="888"/>
        <v/>
      </c>
    </row>
    <row r="53701" spans="8:8" x14ac:dyDescent="0.3">
      <c r="H53701" t="str">
        <f t="shared" si="888"/>
        <v/>
      </c>
    </row>
    <row r="53702" spans="8:8" x14ac:dyDescent="0.3">
      <c r="H53702" t="str">
        <f t="shared" si="888"/>
        <v/>
      </c>
    </row>
    <row r="53703" spans="8:8" x14ac:dyDescent="0.3">
      <c r="H53703" t="str">
        <f t="shared" si="888"/>
        <v/>
      </c>
    </row>
    <row r="53704" spans="8:8" x14ac:dyDescent="0.3">
      <c r="H53704" t="str">
        <f t="shared" si="888"/>
        <v/>
      </c>
    </row>
    <row r="53705" spans="8:8" x14ac:dyDescent="0.3">
      <c r="H53705" t="str">
        <f t="shared" si="888"/>
        <v/>
      </c>
    </row>
    <row r="53706" spans="8:8" x14ac:dyDescent="0.3">
      <c r="H53706" t="str">
        <f t="shared" si="888"/>
        <v/>
      </c>
    </row>
    <row r="53707" spans="8:8" x14ac:dyDescent="0.3">
      <c r="H53707" t="str">
        <f t="shared" si="888"/>
        <v/>
      </c>
    </row>
    <row r="53708" spans="8:8" x14ac:dyDescent="0.3">
      <c r="H53708" t="str">
        <f t="shared" si="888"/>
        <v/>
      </c>
    </row>
    <row r="53709" spans="8:8" x14ac:dyDescent="0.3">
      <c r="H53709" t="str">
        <f t="shared" si="888"/>
        <v/>
      </c>
    </row>
    <row r="53710" spans="8:8" x14ac:dyDescent="0.3">
      <c r="H53710" t="str">
        <f t="shared" si="888"/>
        <v/>
      </c>
    </row>
    <row r="53711" spans="8:8" x14ac:dyDescent="0.3">
      <c r="H53711" t="str">
        <f t="shared" si="888"/>
        <v/>
      </c>
    </row>
    <row r="53712" spans="8:8" x14ac:dyDescent="0.3">
      <c r="H53712" t="str">
        <f t="shared" si="888"/>
        <v/>
      </c>
    </row>
    <row r="53713" spans="8:8" x14ac:dyDescent="0.3">
      <c r="H53713" t="str">
        <f t="shared" si="888"/>
        <v/>
      </c>
    </row>
    <row r="53714" spans="8:8" x14ac:dyDescent="0.3">
      <c r="H53714" t="str">
        <f t="shared" si="888"/>
        <v/>
      </c>
    </row>
    <row r="53715" spans="8:8" x14ac:dyDescent="0.3">
      <c r="H53715" t="str">
        <f t="shared" si="888"/>
        <v/>
      </c>
    </row>
    <row r="53716" spans="8:8" x14ac:dyDescent="0.3">
      <c r="H53716" t="str">
        <f t="shared" si="888"/>
        <v/>
      </c>
    </row>
    <row r="53717" spans="8:8" x14ac:dyDescent="0.3">
      <c r="H53717" t="str">
        <f t="shared" si="888"/>
        <v/>
      </c>
    </row>
    <row r="53718" spans="8:8" x14ac:dyDescent="0.3">
      <c r="H53718" t="str">
        <f t="shared" si="888"/>
        <v/>
      </c>
    </row>
    <row r="53719" spans="8:8" x14ac:dyDescent="0.3">
      <c r="H53719" t="str">
        <f t="shared" ref="H53719:H53782" si="889">IF(B53719="","",$C$12)</f>
        <v/>
      </c>
    </row>
    <row r="53720" spans="8:8" x14ac:dyDescent="0.3">
      <c r="H53720" t="str">
        <f t="shared" si="889"/>
        <v/>
      </c>
    </row>
    <row r="53721" spans="8:8" x14ac:dyDescent="0.3">
      <c r="H53721" t="str">
        <f t="shared" si="889"/>
        <v/>
      </c>
    </row>
    <row r="53722" spans="8:8" x14ac:dyDescent="0.3">
      <c r="H53722" t="str">
        <f t="shared" si="889"/>
        <v/>
      </c>
    </row>
    <row r="53723" spans="8:8" x14ac:dyDescent="0.3">
      <c r="H53723" t="str">
        <f t="shared" si="889"/>
        <v/>
      </c>
    </row>
    <row r="53724" spans="8:8" x14ac:dyDescent="0.3">
      <c r="H53724" t="str">
        <f t="shared" si="889"/>
        <v/>
      </c>
    </row>
    <row r="53725" spans="8:8" x14ac:dyDescent="0.3">
      <c r="H53725" t="str">
        <f t="shared" si="889"/>
        <v/>
      </c>
    </row>
    <row r="53726" spans="8:8" x14ac:dyDescent="0.3">
      <c r="H53726" t="str">
        <f t="shared" si="889"/>
        <v/>
      </c>
    </row>
    <row r="53727" spans="8:8" x14ac:dyDescent="0.3">
      <c r="H53727" t="str">
        <f t="shared" si="889"/>
        <v/>
      </c>
    </row>
    <row r="53728" spans="8:8" x14ac:dyDescent="0.3">
      <c r="H53728" t="str">
        <f t="shared" si="889"/>
        <v/>
      </c>
    </row>
    <row r="53729" spans="8:8" x14ac:dyDescent="0.3">
      <c r="H53729" t="str">
        <f t="shared" si="889"/>
        <v/>
      </c>
    </row>
    <row r="53730" spans="8:8" x14ac:dyDescent="0.3">
      <c r="H53730" t="str">
        <f t="shared" si="889"/>
        <v/>
      </c>
    </row>
    <row r="53731" spans="8:8" x14ac:dyDescent="0.3">
      <c r="H53731" t="str">
        <f t="shared" si="889"/>
        <v/>
      </c>
    </row>
    <row r="53732" spans="8:8" x14ac:dyDescent="0.3">
      <c r="H53732" t="str">
        <f t="shared" si="889"/>
        <v/>
      </c>
    </row>
    <row r="53733" spans="8:8" x14ac:dyDescent="0.3">
      <c r="H53733" t="str">
        <f t="shared" si="889"/>
        <v/>
      </c>
    </row>
    <row r="53734" spans="8:8" x14ac:dyDescent="0.3">
      <c r="H53734" t="str">
        <f t="shared" si="889"/>
        <v/>
      </c>
    </row>
    <row r="53735" spans="8:8" x14ac:dyDescent="0.3">
      <c r="H53735" t="str">
        <f t="shared" si="889"/>
        <v/>
      </c>
    </row>
    <row r="53736" spans="8:8" x14ac:dyDescent="0.3">
      <c r="H53736" t="str">
        <f t="shared" si="889"/>
        <v/>
      </c>
    </row>
    <row r="53737" spans="8:8" x14ac:dyDescent="0.3">
      <c r="H53737" t="str">
        <f t="shared" si="889"/>
        <v/>
      </c>
    </row>
    <row r="53738" spans="8:8" x14ac:dyDescent="0.3">
      <c r="H53738" t="str">
        <f t="shared" si="889"/>
        <v/>
      </c>
    </row>
    <row r="53739" spans="8:8" x14ac:dyDescent="0.3">
      <c r="H53739" t="str">
        <f t="shared" si="889"/>
        <v/>
      </c>
    </row>
    <row r="53740" spans="8:8" x14ac:dyDescent="0.3">
      <c r="H53740" t="str">
        <f t="shared" si="889"/>
        <v/>
      </c>
    </row>
    <row r="53741" spans="8:8" x14ac:dyDescent="0.3">
      <c r="H53741" t="str">
        <f t="shared" si="889"/>
        <v/>
      </c>
    </row>
    <row r="53742" spans="8:8" x14ac:dyDescent="0.3">
      <c r="H53742" t="str">
        <f t="shared" si="889"/>
        <v/>
      </c>
    </row>
    <row r="53743" spans="8:8" x14ac:dyDescent="0.3">
      <c r="H53743" t="str">
        <f t="shared" si="889"/>
        <v/>
      </c>
    </row>
    <row r="53744" spans="8:8" x14ac:dyDescent="0.3">
      <c r="H53744" t="str">
        <f t="shared" si="889"/>
        <v/>
      </c>
    </row>
    <row r="53745" spans="8:8" x14ac:dyDescent="0.3">
      <c r="H53745" t="str">
        <f t="shared" si="889"/>
        <v/>
      </c>
    </row>
    <row r="53746" spans="8:8" x14ac:dyDescent="0.3">
      <c r="H53746" t="str">
        <f t="shared" si="889"/>
        <v/>
      </c>
    </row>
    <row r="53747" spans="8:8" x14ac:dyDescent="0.3">
      <c r="H53747" t="str">
        <f t="shared" si="889"/>
        <v/>
      </c>
    </row>
    <row r="53748" spans="8:8" x14ac:dyDescent="0.3">
      <c r="H53748" t="str">
        <f t="shared" si="889"/>
        <v/>
      </c>
    </row>
    <row r="53749" spans="8:8" x14ac:dyDescent="0.3">
      <c r="H53749" t="str">
        <f t="shared" si="889"/>
        <v/>
      </c>
    </row>
    <row r="53750" spans="8:8" x14ac:dyDescent="0.3">
      <c r="H53750" t="str">
        <f t="shared" si="889"/>
        <v/>
      </c>
    </row>
    <row r="53751" spans="8:8" x14ac:dyDescent="0.3">
      <c r="H53751" t="str">
        <f t="shared" si="889"/>
        <v/>
      </c>
    </row>
    <row r="53752" spans="8:8" x14ac:dyDescent="0.3">
      <c r="H53752" t="str">
        <f t="shared" si="889"/>
        <v/>
      </c>
    </row>
    <row r="53753" spans="8:8" x14ac:dyDescent="0.3">
      <c r="H53753" t="str">
        <f t="shared" si="889"/>
        <v/>
      </c>
    </row>
    <row r="53754" spans="8:8" x14ac:dyDescent="0.3">
      <c r="H53754" t="str">
        <f t="shared" si="889"/>
        <v/>
      </c>
    </row>
    <row r="53755" spans="8:8" x14ac:dyDescent="0.3">
      <c r="H53755" t="str">
        <f t="shared" si="889"/>
        <v/>
      </c>
    </row>
    <row r="53756" spans="8:8" x14ac:dyDescent="0.3">
      <c r="H53756" t="str">
        <f t="shared" si="889"/>
        <v/>
      </c>
    </row>
    <row r="53757" spans="8:8" x14ac:dyDescent="0.3">
      <c r="H53757" t="str">
        <f t="shared" si="889"/>
        <v/>
      </c>
    </row>
    <row r="53758" spans="8:8" x14ac:dyDescent="0.3">
      <c r="H53758" t="str">
        <f t="shared" si="889"/>
        <v/>
      </c>
    </row>
    <row r="53759" spans="8:8" x14ac:dyDescent="0.3">
      <c r="H53759" t="str">
        <f t="shared" si="889"/>
        <v/>
      </c>
    </row>
    <row r="53760" spans="8:8" x14ac:dyDescent="0.3">
      <c r="H53760" t="str">
        <f t="shared" si="889"/>
        <v/>
      </c>
    </row>
    <row r="53761" spans="8:8" x14ac:dyDescent="0.3">
      <c r="H53761" t="str">
        <f t="shared" si="889"/>
        <v/>
      </c>
    </row>
    <row r="53762" spans="8:8" x14ac:dyDescent="0.3">
      <c r="H53762" t="str">
        <f t="shared" si="889"/>
        <v/>
      </c>
    </row>
    <row r="53763" spans="8:8" x14ac:dyDescent="0.3">
      <c r="H53763" t="str">
        <f t="shared" si="889"/>
        <v/>
      </c>
    </row>
    <row r="53764" spans="8:8" x14ac:dyDescent="0.3">
      <c r="H53764" t="str">
        <f t="shared" si="889"/>
        <v/>
      </c>
    </row>
    <row r="53765" spans="8:8" x14ac:dyDescent="0.3">
      <c r="H53765" t="str">
        <f t="shared" si="889"/>
        <v/>
      </c>
    </row>
    <row r="53766" spans="8:8" x14ac:dyDescent="0.3">
      <c r="H53766" t="str">
        <f t="shared" si="889"/>
        <v/>
      </c>
    </row>
    <row r="53767" spans="8:8" x14ac:dyDescent="0.3">
      <c r="H53767" t="str">
        <f t="shared" si="889"/>
        <v/>
      </c>
    </row>
    <row r="53768" spans="8:8" x14ac:dyDescent="0.3">
      <c r="H53768" t="str">
        <f t="shared" si="889"/>
        <v/>
      </c>
    </row>
    <row r="53769" spans="8:8" x14ac:dyDescent="0.3">
      <c r="H53769" t="str">
        <f t="shared" si="889"/>
        <v/>
      </c>
    </row>
    <row r="53770" spans="8:8" x14ac:dyDescent="0.3">
      <c r="H53770" t="str">
        <f t="shared" si="889"/>
        <v/>
      </c>
    </row>
    <row r="53771" spans="8:8" x14ac:dyDescent="0.3">
      <c r="H53771" t="str">
        <f t="shared" si="889"/>
        <v/>
      </c>
    </row>
    <row r="53772" spans="8:8" x14ac:dyDescent="0.3">
      <c r="H53772" t="str">
        <f t="shared" si="889"/>
        <v/>
      </c>
    </row>
    <row r="53773" spans="8:8" x14ac:dyDescent="0.3">
      <c r="H53773" t="str">
        <f t="shared" si="889"/>
        <v/>
      </c>
    </row>
    <row r="53774" spans="8:8" x14ac:dyDescent="0.3">
      <c r="H53774" t="str">
        <f t="shared" si="889"/>
        <v/>
      </c>
    </row>
    <row r="53775" spans="8:8" x14ac:dyDescent="0.3">
      <c r="H53775" t="str">
        <f t="shared" si="889"/>
        <v/>
      </c>
    </row>
    <row r="53776" spans="8:8" x14ac:dyDescent="0.3">
      <c r="H53776" t="str">
        <f t="shared" si="889"/>
        <v/>
      </c>
    </row>
    <row r="53777" spans="8:8" x14ac:dyDescent="0.3">
      <c r="H53777" t="str">
        <f t="shared" si="889"/>
        <v/>
      </c>
    </row>
    <row r="53778" spans="8:8" x14ac:dyDescent="0.3">
      <c r="H53778" t="str">
        <f t="shared" si="889"/>
        <v/>
      </c>
    </row>
    <row r="53779" spans="8:8" x14ac:dyDescent="0.3">
      <c r="H53779" t="str">
        <f t="shared" si="889"/>
        <v/>
      </c>
    </row>
    <row r="53780" spans="8:8" x14ac:dyDescent="0.3">
      <c r="H53780" t="str">
        <f t="shared" si="889"/>
        <v/>
      </c>
    </row>
    <row r="53781" spans="8:8" x14ac:dyDescent="0.3">
      <c r="H53781" t="str">
        <f t="shared" si="889"/>
        <v/>
      </c>
    </row>
    <row r="53782" spans="8:8" x14ac:dyDescent="0.3">
      <c r="H53782" t="str">
        <f t="shared" si="889"/>
        <v/>
      </c>
    </row>
    <row r="53783" spans="8:8" x14ac:dyDescent="0.3">
      <c r="H53783" t="str">
        <f t="shared" ref="H53783:H53846" si="890">IF(B53783="","",$C$12)</f>
        <v/>
      </c>
    </row>
    <row r="53784" spans="8:8" x14ac:dyDescent="0.3">
      <c r="H53784" t="str">
        <f t="shared" si="890"/>
        <v/>
      </c>
    </row>
    <row r="53785" spans="8:8" x14ac:dyDescent="0.3">
      <c r="H53785" t="str">
        <f t="shared" si="890"/>
        <v/>
      </c>
    </row>
    <row r="53786" spans="8:8" x14ac:dyDescent="0.3">
      <c r="H53786" t="str">
        <f t="shared" si="890"/>
        <v/>
      </c>
    </row>
    <row r="53787" spans="8:8" x14ac:dyDescent="0.3">
      <c r="H53787" t="str">
        <f t="shared" si="890"/>
        <v/>
      </c>
    </row>
    <row r="53788" spans="8:8" x14ac:dyDescent="0.3">
      <c r="H53788" t="str">
        <f t="shared" si="890"/>
        <v/>
      </c>
    </row>
    <row r="53789" spans="8:8" x14ac:dyDescent="0.3">
      <c r="H53789" t="str">
        <f t="shared" si="890"/>
        <v/>
      </c>
    </row>
    <row r="53790" spans="8:8" x14ac:dyDescent="0.3">
      <c r="H53790" t="str">
        <f t="shared" si="890"/>
        <v/>
      </c>
    </row>
    <row r="53791" spans="8:8" x14ac:dyDescent="0.3">
      <c r="H53791" t="str">
        <f t="shared" si="890"/>
        <v/>
      </c>
    </row>
    <row r="53792" spans="8:8" x14ac:dyDescent="0.3">
      <c r="H53792" t="str">
        <f t="shared" si="890"/>
        <v/>
      </c>
    </row>
    <row r="53793" spans="8:8" x14ac:dyDescent="0.3">
      <c r="H53793" t="str">
        <f t="shared" si="890"/>
        <v/>
      </c>
    </row>
    <row r="53794" spans="8:8" x14ac:dyDescent="0.3">
      <c r="H53794" t="str">
        <f t="shared" si="890"/>
        <v/>
      </c>
    </row>
    <row r="53795" spans="8:8" x14ac:dyDescent="0.3">
      <c r="H53795" t="str">
        <f t="shared" si="890"/>
        <v/>
      </c>
    </row>
    <row r="53796" spans="8:8" x14ac:dyDescent="0.3">
      <c r="H53796" t="str">
        <f t="shared" si="890"/>
        <v/>
      </c>
    </row>
    <row r="53797" spans="8:8" x14ac:dyDescent="0.3">
      <c r="H53797" t="str">
        <f t="shared" si="890"/>
        <v/>
      </c>
    </row>
    <row r="53798" spans="8:8" x14ac:dyDescent="0.3">
      <c r="H53798" t="str">
        <f t="shared" si="890"/>
        <v/>
      </c>
    </row>
    <row r="53799" spans="8:8" x14ac:dyDescent="0.3">
      <c r="H53799" t="str">
        <f t="shared" si="890"/>
        <v/>
      </c>
    </row>
    <row r="53800" spans="8:8" x14ac:dyDescent="0.3">
      <c r="H53800" t="str">
        <f t="shared" si="890"/>
        <v/>
      </c>
    </row>
    <row r="53801" spans="8:8" x14ac:dyDescent="0.3">
      <c r="H53801" t="str">
        <f t="shared" si="890"/>
        <v/>
      </c>
    </row>
    <row r="53802" spans="8:8" x14ac:dyDescent="0.3">
      <c r="H53802" t="str">
        <f t="shared" si="890"/>
        <v/>
      </c>
    </row>
    <row r="53803" spans="8:8" x14ac:dyDescent="0.3">
      <c r="H53803" t="str">
        <f t="shared" si="890"/>
        <v/>
      </c>
    </row>
    <row r="53804" spans="8:8" x14ac:dyDescent="0.3">
      <c r="H53804" t="str">
        <f t="shared" si="890"/>
        <v/>
      </c>
    </row>
    <row r="53805" spans="8:8" x14ac:dyDescent="0.3">
      <c r="H53805" t="str">
        <f t="shared" si="890"/>
        <v/>
      </c>
    </row>
    <row r="53806" spans="8:8" x14ac:dyDescent="0.3">
      <c r="H53806" t="str">
        <f t="shared" si="890"/>
        <v/>
      </c>
    </row>
    <row r="53807" spans="8:8" x14ac:dyDescent="0.3">
      <c r="H53807" t="str">
        <f t="shared" si="890"/>
        <v/>
      </c>
    </row>
    <row r="53808" spans="8:8" x14ac:dyDescent="0.3">
      <c r="H53808" t="str">
        <f t="shared" si="890"/>
        <v/>
      </c>
    </row>
    <row r="53809" spans="8:8" x14ac:dyDescent="0.3">
      <c r="H53809" t="str">
        <f t="shared" si="890"/>
        <v/>
      </c>
    </row>
    <row r="53810" spans="8:8" x14ac:dyDescent="0.3">
      <c r="H53810" t="str">
        <f t="shared" si="890"/>
        <v/>
      </c>
    </row>
    <row r="53811" spans="8:8" x14ac:dyDescent="0.3">
      <c r="H53811" t="str">
        <f t="shared" si="890"/>
        <v/>
      </c>
    </row>
    <row r="53812" spans="8:8" x14ac:dyDescent="0.3">
      <c r="H53812" t="str">
        <f t="shared" si="890"/>
        <v/>
      </c>
    </row>
    <row r="53813" spans="8:8" x14ac:dyDescent="0.3">
      <c r="H53813" t="str">
        <f t="shared" si="890"/>
        <v/>
      </c>
    </row>
    <row r="53814" spans="8:8" x14ac:dyDescent="0.3">
      <c r="H53814" t="str">
        <f t="shared" si="890"/>
        <v/>
      </c>
    </row>
    <row r="53815" spans="8:8" x14ac:dyDescent="0.3">
      <c r="H53815" t="str">
        <f t="shared" si="890"/>
        <v/>
      </c>
    </row>
    <row r="53816" spans="8:8" x14ac:dyDescent="0.3">
      <c r="H53816" t="str">
        <f t="shared" si="890"/>
        <v/>
      </c>
    </row>
    <row r="53817" spans="8:8" x14ac:dyDescent="0.3">
      <c r="H53817" t="str">
        <f t="shared" si="890"/>
        <v/>
      </c>
    </row>
    <row r="53818" spans="8:8" x14ac:dyDescent="0.3">
      <c r="H53818" t="str">
        <f t="shared" si="890"/>
        <v/>
      </c>
    </row>
    <row r="53819" spans="8:8" x14ac:dyDescent="0.3">
      <c r="H53819" t="str">
        <f t="shared" si="890"/>
        <v/>
      </c>
    </row>
    <row r="53820" spans="8:8" x14ac:dyDescent="0.3">
      <c r="H53820" t="str">
        <f t="shared" si="890"/>
        <v/>
      </c>
    </row>
    <row r="53821" spans="8:8" x14ac:dyDescent="0.3">
      <c r="H53821" t="str">
        <f t="shared" si="890"/>
        <v/>
      </c>
    </row>
    <row r="53822" spans="8:8" x14ac:dyDescent="0.3">
      <c r="H53822" t="str">
        <f t="shared" si="890"/>
        <v/>
      </c>
    </row>
    <row r="53823" spans="8:8" x14ac:dyDescent="0.3">
      <c r="H53823" t="str">
        <f t="shared" si="890"/>
        <v/>
      </c>
    </row>
    <row r="53824" spans="8:8" x14ac:dyDescent="0.3">
      <c r="H53824" t="str">
        <f t="shared" si="890"/>
        <v/>
      </c>
    </row>
    <row r="53825" spans="8:8" x14ac:dyDescent="0.3">
      <c r="H53825" t="str">
        <f t="shared" si="890"/>
        <v/>
      </c>
    </row>
    <row r="53826" spans="8:8" x14ac:dyDescent="0.3">
      <c r="H53826" t="str">
        <f t="shared" si="890"/>
        <v/>
      </c>
    </row>
    <row r="53827" spans="8:8" x14ac:dyDescent="0.3">
      <c r="H53827" t="str">
        <f t="shared" si="890"/>
        <v/>
      </c>
    </row>
    <row r="53828" spans="8:8" x14ac:dyDescent="0.3">
      <c r="H53828" t="str">
        <f t="shared" si="890"/>
        <v/>
      </c>
    </row>
    <row r="53829" spans="8:8" x14ac:dyDescent="0.3">
      <c r="H53829" t="str">
        <f t="shared" si="890"/>
        <v/>
      </c>
    </row>
    <row r="53830" spans="8:8" x14ac:dyDescent="0.3">
      <c r="H53830" t="str">
        <f t="shared" si="890"/>
        <v/>
      </c>
    </row>
    <row r="53831" spans="8:8" x14ac:dyDescent="0.3">
      <c r="H53831" t="str">
        <f t="shared" si="890"/>
        <v/>
      </c>
    </row>
    <row r="53832" spans="8:8" x14ac:dyDescent="0.3">
      <c r="H53832" t="str">
        <f t="shared" si="890"/>
        <v/>
      </c>
    </row>
    <row r="53833" spans="8:8" x14ac:dyDescent="0.3">
      <c r="H53833" t="str">
        <f t="shared" si="890"/>
        <v/>
      </c>
    </row>
    <row r="53834" spans="8:8" x14ac:dyDescent="0.3">
      <c r="H53834" t="str">
        <f t="shared" si="890"/>
        <v/>
      </c>
    </row>
    <row r="53835" spans="8:8" x14ac:dyDescent="0.3">
      <c r="H53835" t="str">
        <f t="shared" si="890"/>
        <v/>
      </c>
    </row>
    <row r="53836" spans="8:8" x14ac:dyDescent="0.3">
      <c r="H53836" t="str">
        <f t="shared" si="890"/>
        <v/>
      </c>
    </row>
    <row r="53837" spans="8:8" x14ac:dyDescent="0.3">
      <c r="H53837" t="str">
        <f t="shared" si="890"/>
        <v/>
      </c>
    </row>
    <row r="53838" spans="8:8" x14ac:dyDescent="0.3">
      <c r="H53838" t="str">
        <f t="shared" si="890"/>
        <v/>
      </c>
    </row>
    <row r="53839" spans="8:8" x14ac:dyDescent="0.3">
      <c r="H53839" t="str">
        <f t="shared" si="890"/>
        <v/>
      </c>
    </row>
    <row r="53840" spans="8:8" x14ac:dyDescent="0.3">
      <c r="H53840" t="str">
        <f t="shared" si="890"/>
        <v/>
      </c>
    </row>
    <row r="53841" spans="8:8" x14ac:dyDescent="0.3">
      <c r="H53841" t="str">
        <f t="shared" si="890"/>
        <v/>
      </c>
    </row>
    <row r="53842" spans="8:8" x14ac:dyDescent="0.3">
      <c r="H53842" t="str">
        <f t="shared" si="890"/>
        <v/>
      </c>
    </row>
    <row r="53843" spans="8:8" x14ac:dyDescent="0.3">
      <c r="H53843" t="str">
        <f t="shared" si="890"/>
        <v/>
      </c>
    </row>
    <row r="53844" spans="8:8" x14ac:dyDescent="0.3">
      <c r="H53844" t="str">
        <f t="shared" si="890"/>
        <v/>
      </c>
    </row>
    <row r="53845" spans="8:8" x14ac:dyDescent="0.3">
      <c r="H53845" t="str">
        <f t="shared" si="890"/>
        <v/>
      </c>
    </row>
    <row r="53846" spans="8:8" x14ac:dyDescent="0.3">
      <c r="H53846" t="str">
        <f t="shared" si="890"/>
        <v/>
      </c>
    </row>
    <row r="53847" spans="8:8" x14ac:dyDescent="0.3">
      <c r="H53847" t="str">
        <f t="shared" ref="H53847:H53910" si="891">IF(B53847="","",$C$12)</f>
        <v/>
      </c>
    </row>
    <row r="53848" spans="8:8" x14ac:dyDescent="0.3">
      <c r="H53848" t="str">
        <f t="shared" si="891"/>
        <v/>
      </c>
    </row>
    <row r="53849" spans="8:8" x14ac:dyDescent="0.3">
      <c r="H53849" t="str">
        <f t="shared" si="891"/>
        <v/>
      </c>
    </row>
    <row r="53850" spans="8:8" x14ac:dyDescent="0.3">
      <c r="H53850" t="str">
        <f t="shared" si="891"/>
        <v/>
      </c>
    </row>
    <row r="53851" spans="8:8" x14ac:dyDescent="0.3">
      <c r="H53851" t="str">
        <f t="shared" si="891"/>
        <v/>
      </c>
    </row>
    <row r="53852" spans="8:8" x14ac:dyDescent="0.3">
      <c r="H53852" t="str">
        <f t="shared" si="891"/>
        <v/>
      </c>
    </row>
    <row r="53853" spans="8:8" x14ac:dyDescent="0.3">
      <c r="H53853" t="str">
        <f t="shared" si="891"/>
        <v/>
      </c>
    </row>
    <row r="53854" spans="8:8" x14ac:dyDescent="0.3">
      <c r="H53854" t="str">
        <f t="shared" si="891"/>
        <v/>
      </c>
    </row>
    <row r="53855" spans="8:8" x14ac:dyDescent="0.3">
      <c r="H53855" t="str">
        <f t="shared" si="891"/>
        <v/>
      </c>
    </row>
    <row r="53856" spans="8:8" x14ac:dyDescent="0.3">
      <c r="H53856" t="str">
        <f t="shared" si="891"/>
        <v/>
      </c>
    </row>
    <row r="53857" spans="8:8" x14ac:dyDescent="0.3">
      <c r="H53857" t="str">
        <f t="shared" si="891"/>
        <v/>
      </c>
    </row>
    <row r="53858" spans="8:8" x14ac:dyDescent="0.3">
      <c r="H53858" t="str">
        <f t="shared" si="891"/>
        <v/>
      </c>
    </row>
    <row r="53859" spans="8:8" x14ac:dyDescent="0.3">
      <c r="H53859" t="str">
        <f t="shared" si="891"/>
        <v/>
      </c>
    </row>
    <row r="53860" spans="8:8" x14ac:dyDescent="0.3">
      <c r="H53860" t="str">
        <f t="shared" si="891"/>
        <v/>
      </c>
    </row>
    <row r="53861" spans="8:8" x14ac:dyDescent="0.3">
      <c r="H53861" t="str">
        <f t="shared" si="891"/>
        <v/>
      </c>
    </row>
    <row r="53862" spans="8:8" x14ac:dyDescent="0.3">
      <c r="H53862" t="str">
        <f t="shared" si="891"/>
        <v/>
      </c>
    </row>
    <row r="53863" spans="8:8" x14ac:dyDescent="0.3">
      <c r="H53863" t="str">
        <f t="shared" si="891"/>
        <v/>
      </c>
    </row>
    <row r="53864" spans="8:8" x14ac:dyDescent="0.3">
      <c r="H53864" t="str">
        <f t="shared" si="891"/>
        <v/>
      </c>
    </row>
    <row r="53865" spans="8:8" x14ac:dyDescent="0.3">
      <c r="H53865" t="str">
        <f t="shared" si="891"/>
        <v/>
      </c>
    </row>
    <row r="53866" spans="8:8" x14ac:dyDescent="0.3">
      <c r="H53866" t="str">
        <f t="shared" si="891"/>
        <v/>
      </c>
    </row>
    <row r="53867" spans="8:8" x14ac:dyDescent="0.3">
      <c r="H53867" t="str">
        <f t="shared" si="891"/>
        <v/>
      </c>
    </row>
    <row r="53868" spans="8:8" x14ac:dyDescent="0.3">
      <c r="H53868" t="str">
        <f t="shared" si="891"/>
        <v/>
      </c>
    </row>
    <row r="53869" spans="8:8" x14ac:dyDescent="0.3">
      <c r="H53869" t="str">
        <f t="shared" si="891"/>
        <v/>
      </c>
    </row>
    <row r="53870" spans="8:8" x14ac:dyDescent="0.3">
      <c r="H53870" t="str">
        <f t="shared" si="891"/>
        <v/>
      </c>
    </row>
    <row r="53871" spans="8:8" x14ac:dyDescent="0.3">
      <c r="H53871" t="str">
        <f t="shared" si="891"/>
        <v/>
      </c>
    </row>
    <row r="53872" spans="8:8" x14ac:dyDescent="0.3">
      <c r="H53872" t="str">
        <f t="shared" si="891"/>
        <v/>
      </c>
    </row>
    <row r="53873" spans="8:8" x14ac:dyDescent="0.3">
      <c r="H53873" t="str">
        <f t="shared" si="891"/>
        <v/>
      </c>
    </row>
    <row r="53874" spans="8:8" x14ac:dyDescent="0.3">
      <c r="H53874" t="str">
        <f t="shared" si="891"/>
        <v/>
      </c>
    </row>
    <row r="53875" spans="8:8" x14ac:dyDescent="0.3">
      <c r="H53875" t="str">
        <f t="shared" si="891"/>
        <v/>
      </c>
    </row>
    <row r="53876" spans="8:8" x14ac:dyDescent="0.3">
      <c r="H53876" t="str">
        <f t="shared" si="891"/>
        <v/>
      </c>
    </row>
    <row r="53877" spans="8:8" x14ac:dyDescent="0.3">
      <c r="H53877" t="str">
        <f t="shared" si="891"/>
        <v/>
      </c>
    </row>
    <row r="53878" spans="8:8" x14ac:dyDescent="0.3">
      <c r="H53878" t="str">
        <f t="shared" si="891"/>
        <v/>
      </c>
    </row>
    <row r="53879" spans="8:8" x14ac:dyDescent="0.3">
      <c r="H53879" t="str">
        <f t="shared" si="891"/>
        <v/>
      </c>
    </row>
    <row r="53880" spans="8:8" x14ac:dyDescent="0.3">
      <c r="H53880" t="str">
        <f t="shared" si="891"/>
        <v/>
      </c>
    </row>
    <row r="53881" spans="8:8" x14ac:dyDescent="0.3">
      <c r="H53881" t="str">
        <f t="shared" si="891"/>
        <v/>
      </c>
    </row>
    <row r="53882" spans="8:8" x14ac:dyDescent="0.3">
      <c r="H53882" t="str">
        <f t="shared" si="891"/>
        <v/>
      </c>
    </row>
    <row r="53883" spans="8:8" x14ac:dyDescent="0.3">
      <c r="H53883" t="str">
        <f t="shared" si="891"/>
        <v/>
      </c>
    </row>
    <row r="53884" spans="8:8" x14ac:dyDescent="0.3">
      <c r="H53884" t="str">
        <f t="shared" si="891"/>
        <v/>
      </c>
    </row>
    <row r="53885" spans="8:8" x14ac:dyDescent="0.3">
      <c r="H53885" t="str">
        <f t="shared" si="891"/>
        <v/>
      </c>
    </row>
    <row r="53886" spans="8:8" x14ac:dyDescent="0.3">
      <c r="H53886" t="str">
        <f t="shared" si="891"/>
        <v/>
      </c>
    </row>
    <row r="53887" spans="8:8" x14ac:dyDescent="0.3">
      <c r="H53887" t="str">
        <f t="shared" si="891"/>
        <v/>
      </c>
    </row>
    <row r="53888" spans="8:8" x14ac:dyDescent="0.3">
      <c r="H53888" t="str">
        <f t="shared" si="891"/>
        <v/>
      </c>
    </row>
    <row r="53889" spans="8:8" x14ac:dyDescent="0.3">
      <c r="H53889" t="str">
        <f t="shared" si="891"/>
        <v/>
      </c>
    </row>
    <row r="53890" spans="8:8" x14ac:dyDescent="0.3">
      <c r="H53890" t="str">
        <f t="shared" si="891"/>
        <v/>
      </c>
    </row>
    <row r="53891" spans="8:8" x14ac:dyDescent="0.3">
      <c r="H53891" t="str">
        <f t="shared" si="891"/>
        <v/>
      </c>
    </row>
    <row r="53892" spans="8:8" x14ac:dyDescent="0.3">
      <c r="H53892" t="str">
        <f t="shared" si="891"/>
        <v/>
      </c>
    </row>
    <row r="53893" spans="8:8" x14ac:dyDescent="0.3">
      <c r="H53893" t="str">
        <f t="shared" si="891"/>
        <v/>
      </c>
    </row>
    <row r="53894" spans="8:8" x14ac:dyDescent="0.3">
      <c r="H53894" t="str">
        <f t="shared" si="891"/>
        <v/>
      </c>
    </row>
    <row r="53895" spans="8:8" x14ac:dyDescent="0.3">
      <c r="H53895" t="str">
        <f t="shared" si="891"/>
        <v/>
      </c>
    </row>
    <row r="53896" spans="8:8" x14ac:dyDescent="0.3">
      <c r="H53896" t="str">
        <f t="shared" si="891"/>
        <v/>
      </c>
    </row>
    <row r="53897" spans="8:8" x14ac:dyDescent="0.3">
      <c r="H53897" t="str">
        <f t="shared" si="891"/>
        <v/>
      </c>
    </row>
    <row r="53898" spans="8:8" x14ac:dyDescent="0.3">
      <c r="H53898" t="str">
        <f t="shared" si="891"/>
        <v/>
      </c>
    </row>
    <row r="53899" spans="8:8" x14ac:dyDescent="0.3">
      <c r="H53899" t="str">
        <f t="shared" si="891"/>
        <v/>
      </c>
    </row>
    <row r="53900" spans="8:8" x14ac:dyDescent="0.3">
      <c r="H53900" t="str">
        <f t="shared" si="891"/>
        <v/>
      </c>
    </row>
    <row r="53901" spans="8:8" x14ac:dyDescent="0.3">
      <c r="H53901" t="str">
        <f t="shared" si="891"/>
        <v/>
      </c>
    </row>
    <row r="53902" spans="8:8" x14ac:dyDescent="0.3">
      <c r="H53902" t="str">
        <f t="shared" si="891"/>
        <v/>
      </c>
    </row>
    <row r="53903" spans="8:8" x14ac:dyDescent="0.3">
      <c r="H53903" t="str">
        <f t="shared" si="891"/>
        <v/>
      </c>
    </row>
    <row r="53904" spans="8:8" x14ac:dyDescent="0.3">
      <c r="H53904" t="str">
        <f t="shared" si="891"/>
        <v/>
      </c>
    </row>
    <row r="53905" spans="8:8" x14ac:dyDescent="0.3">
      <c r="H53905" t="str">
        <f t="shared" si="891"/>
        <v/>
      </c>
    </row>
    <row r="53906" spans="8:8" x14ac:dyDescent="0.3">
      <c r="H53906" t="str">
        <f t="shared" si="891"/>
        <v/>
      </c>
    </row>
    <row r="53907" spans="8:8" x14ac:dyDescent="0.3">
      <c r="H53907" t="str">
        <f t="shared" si="891"/>
        <v/>
      </c>
    </row>
    <row r="53908" spans="8:8" x14ac:dyDescent="0.3">
      <c r="H53908" t="str">
        <f t="shared" si="891"/>
        <v/>
      </c>
    </row>
    <row r="53909" spans="8:8" x14ac:dyDescent="0.3">
      <c r="H53909" t="str">
        <f t="shared" si="891"/>
        <v/>
      </c>
    </row>
    <row r="53910" spans="8:8" x14ac:dyDescent="0.3">
      <c r="H53910" t="str">
        <f t="shared" si="891"/>
        <v/>
      </c>
    </row>
    <row r="53911" spans="8:8" x14ac:dyDescent="0.3">
      <c r="H53911" t="str">
        <f t="shared" ref="H53911:H53974" si="892">IF(B53911="","",$C$12)</f>
        <v/>
      </c>
    </row>
    <row r="53912" spans="8:8" x14ac:dyDescent="0.3">
      <c r="H53912" t="str">
        <f t="shared" si="892"/>
        <v/>
      </c>
    </row>
    <row r="53913" spans="8:8" x14ac:dyDescent="0.3">
      <c r="H53913" t="str">
        <f t="shared" si="892"/>
        <v/>
      </c>
    </row>
    <row r="53914" spans="8:8" x14ac:dyDescent="0.3">
      <c r="H53914" t="str">
        <f t="shared" si="892"/>
        <v/>
      </c>
    </row>
    <row r="53915" spans="8:8" x14ac:dyDescent="0.3">
      <c r="H53915" t="str">
        <f t="shared" si="892"/>
        <v/>
      </c>
    </row>
    <row r="53916" spans="8:8" x14ac:dyDescent="0.3">
      <c r="H53916" t="str">
        <f t="shared" si="892"/>
        <v/>
      </c>
    </row>
    <row r="53917" spans="8:8" x14ac:dyDescent="0.3">
      <c r="H53917" t="str">
        <f t="shared" si="892"/>
        <v/>
      </c>
    </row>
    <row r="53918" spans="8:8" x14ac:dyDescent="0.3">
      <c r="H53918" t="str">
        <f t="shared" si="892"/>
        <v/>
      </c>
    </row>
    <row r="53919" spans="8:8" x14ac:dyDescent="0.3">
      <c r="H53919" t="str">
        <f t="shared" si="892"/>
        <v/>
      </c>
    </row>
    <row r="53920" spans="8:8" x14ac:dyDescent="0.3">
      <c r="H53920" t="str">
        <f t="shared" si="892"/>
        <v/>
      </c>
    </row>
    <row r="53921" spans="8:8" x14ac:dyDescent="0.3">
      <c r="H53921" t="str">
        <f t="shared" si="892"/>
        <v/>
      </c>
    </row>
    <row r="53922" spans="8:8" x14ac:dyDescent="0.3">
      <c r="H53922" t="str">
        <f t="shared" si="892"/>
        <v/>
      </c>
    </row>
    <row r="53923" spans="8:8" x14ac:dyDescent="0.3">
      <c r="H53923" t="str">
        <f t="shared" si="892"/>
        <v/>
      </c>
    </row>
    <row r="53924" spans="8:8" x14ac:dyDescent="0.3">
      <c r="H53924" t="str">
        <f t="shared" si="892"/>
        <v/>
      </c>
    </row>
    <row r="53925" spans="8:8" x14ac:dyDescent="0.3">
      <c r="H53925" t="str">
        <f t="shared" si="892"/>
        <v/>
      </c>
    </row>
    <row r="53926" spans="8:8" x14ac:dyDescent="0.3">
      <c r="H53926" t="str">
        <f t="shared" si="892"/>
        <v/>
      </c>
    </row>
    <row r="53927" spans="8:8" x14ac:dyDescent="0.3">
      <c r="H53927" t="str">
        <f t="shared" si="892"/>
        <v/>
      </c>
    </row>
    <row r="53928" spans="8:8" x14ac:dyDescent="0.3">
      <c r="H53928" t="str">
        <f t="shared" si="892"/>
        <v/>
      </c>
    </row>
    <row r="53929" spans="8:8" x14ac:dyDescent="0.3">
      <c r="H53929" t="str">
        <f t="shared" si="892"/>
        <v/>
      </c>
    </row>
    <row r="53930" spans="8:8" x14ac:dyDescent="0.3">
      <c r="H53930" t="str">
        <f t="shared" si="892"/>
        <v/>
      </c>
    </row>
    <row r="53931" spans="8:8" x14ac:dyDescent="0.3">
      <c r="H53931" t="str">
        <f t="shared" si="892"/>
        <v/>
      </c>
    </row>
    <row r="53932" spans="8:8" x14ac:dyDescent="0.3">
      <c r="H53932" t="str">
        <f t="shared" si="892"/>
        <v/>
      </c>
    </row>
    <row r="53933" spans="8:8" x14ac:dyDescent="0.3">
      <c r="H53933" t="str">
        <f t="shared" si="892"/>
        <v/>
      </c>
    </row>
    <row r="53934" spans="8:8" x14ac:dyDescent="0.3">
      <c r="H53934" t="str">
        <f t="shared" si="892"/>
        <v/>
      </c>
    </row>
    <row r="53935" spans="8:8" x14ac:dyDescent="0.3">
      <c r="H53935" t="str">
        <f t="shared" si="892"/>
        <v/>
      </c>
    </row>
    <row r="53936" spans="8:8" x14ac:dyDescent="0.3">
      <c r="H53936" t="str">
        <f t="shared" si="892"/>
        <v/>
      </c>
    </row>
    <row r="53937" spans="8:8" x14ac:dyDescent="0.3">
      <c r="H53937" t="str">
        <f t="shared" si="892"/>
        <v/>
      </c>
    </row>
    <row r="53938" spans="8:8" x14ac:dyDescent="0.3">
      <c r="H53938" t="str">
        <f t="shared" si="892"/>
        <v/>
      </c>
    </row>
    <row r="53939" spans="8:8" x14ac:dyDescent="0.3">
      <c r="H53939" t="str">
        <f t="shared" si="892"/>
        <v/>
      </c>
    </row>
    <row r="53940" spans="8:8" x14ac:dyDescent="0.3">
      <c r="H53940" t="str">
        <f t="shared" si="892"/>
        <v/>
      </c>
    </row>
    <row r="53941" spans="8:8" x14ac:dyDescent="0.3">
      <c r="H53941" t="str">
        <f t="shared" si="892"/>
        <v/>
      </c>
    </row>
    <row r="53942" spans="8:8" x14ac:dyDescent="0.3">
      <c r="H53942" t="str">
        <f t="shared" si="892"/>
        <v/>
      </c>
    </row>
    <row r="53943" spans="8:8" x14ac:dyDescent="0.3">
      <c r="H53943" t="str">
        <f t="shared" si="892"/>
        <v/>
      </c>
    </row>
    <row r="53944" spans="8:8" x14ac:dyDescent="0.3">
      <c r="H53944" t="str">
        <f t="shared" si="892"/>
        <v/>
      </c>
    </row>
    <row r="53945" spans="8:8" x14ac:dyDescent="0.3">
      <c r="H53945" t="str">
        <f t="shared" si="892"/>
        <v/>
      </c>
    </row>
    <row r="53946" spans="8:8" x14ac:dyDescent="0.3">
      <c r="H53946" t="str">
        <f t="shared" si="892"/>
        <v/>
      </c>
    </row>
    <row r="53947" spans="8:8" x14ac:dyDescent="0.3">
      <c r="H53947" t="str">
        <f t="shared" si="892"/>
        <v/>
      </c>
    </row>
    <row r="53948" spans="8:8" x14ac:dyDescent="0.3">
      <c r="H53948" t="str">
        <f t="shared" si="892"/>
        <v/>
      </c>
    </row>
    <row r="53949" spans="8:8" x14ac:dyDescent="0.3">
      <c r="H53949" t="str">
        <f t="shared" si="892"/>
        <v/>
      </c>
    </row>
    <row r="53950" spans="8:8" x14ac:dyDescent="0.3">
      <c r="H53950" t="str">
        <f t="shared" si="892"/>
        <v/>
      </c>
    </row>
    <row r="53951" spans="8:8" x14ac:dyDescent="0.3">
      <c r="H53951" t="str">
        <f t="shared" si="892"/>
        <v/>
      </c>
    </row>
    <row r="53952" spans="8:8" x14ac:dyDescent="0.3">
      <c r="H53952" t="str">
        <f t="shared" si="892"/>
        <v/>
      </c>
    </row>
    <row r="53953" spans="8:8" x14ac:dyDescent="0.3">
      <c r="H53953" t="str">
        <f t="shared" si="892"/>
        <v/>
      </c>
    </row>
    <row r="53954" spans="8:8" x14ac:dyDescent="0.3">
      <c r="H53954" t="str">
        <f t="shared" si="892"/>
        <v/>
      </c>
    </row>
    <row r="53955" spans="8:8" x14ac:dyDescent="0.3">
      <c r="H53955" t="str">
        <f t="shared" si="892"/>
        <v/>
      </c>
    </row>
    <row r="53956" spans="8:8" x14ac:dyDescent="0.3">
      <c r="H53956" t="str">
        <f t="shared" si="892"/>
        <v/>
      </c>
    </row>
    <row r="53957" spans="8:8" x14ac:dyDescent="0.3">
      <c r="H53957" t="str">
        <f t="shared" si="892"/>
        <v/>
      </c>
    </row>
    <row r="53958" spans="8:8" x14ac:dyDescent="0.3">
      <c r="H53958" t="str">
        <f t="shared" si="892"/>
        <v/>
      </c>
    </row>
    <row r="53959" spans="8:8" x14ac:dyDescent="0.3">
      <c r="H53959" t="str">
        <f t="shared" si="892"/>
        <v/>
      </c>
    </row>
    <row r="53960" spans="8:8" x14ac:dyDescent="0.3">
      <c r="H53960" t="str">
        <f t="shared" si="892"/>
        <v/>
      </c>
    </row>
    <row r="53961" spans="8:8" x14ac:dyDescent="0.3">
      <c r="H53961" t="str">
        <f t="shared" si="892"/>
        <v/>
      </c>
    </row>
    <row r="53962" spans="8:8" x14ac:dyDescent="0.3">
      <c r="H53962" t="str">
        <f t="shared" si="892"/>
        <v/>
      </c>
    </row>
    <row r="53963" spans="8:8" x14ac:dyDescent="0.3">
      <c r="H53963" t="str">
        <f t="shared" si="892"/>
        <v/>
      </c>
    </row>
    <row r="53964" spans="8:8" x14ac:dyDescent="0.3">
      <c r="H53964" t="str">
        <f t="shared" si="892"/>
        <v/>
      </c>
    </row>
    <row r="53965" spans="8:8" x14ac:dyDescent="0.3">
      <c r="H53965" t="str">
        <f t="shared" si="892"/>
        <v/>
      </c>
    </row>
    <row r="53966" spans="8:8" x14ac:dyDescent="0.3">
      <c r="H53966" t="str">
        <f t="shared" si="892"/>
        <v/>
      </c>
    </row>
    <row r="53967" spans="8:8" x14ac:dyDescent="0.3">
      <c r="H53967" t="str">
        <f t="shared" si="892"/>
        <v/>
      </c>
    </row>
    <row r="53968" spans="8:8" x14ac:dyDescent="0.3">
      <c r="H53968" t="str">
        <f t="shared" si="892"/>
        <v/>
      </c>
    </row>
    <row r="53969" spans="8:8" x14ac:dyDescent="0.3">
      <c r="H53969" t="str">
        <f t="shared" si="892"/>
        <v/>
      </c>
    </row>
    <row r="53970" spans="8:8" x14ac:dyDescent="0.3">
      <c r="H53970" t="str">
        <f t="shared" si="892"/>
        <v/>
      </c>
    </row>
    <row r="53971" spans="8:8" x14ac:dyDescent="0.3">
      <c r="H53971" t="str">
        <f t="shared" si="892"/>
        <v/>
      </c>
    </row>
    <row r="53972" spans="8:8" x14ac:dyDescent="0.3">
      <c r="H53972" t="str">
        <f t="shared" si="892"/>
        <v/>
      </c>
    </row>
    <row r="53973" spans="8:8" x14ac:dyDescent="0.3">
      <c r="H53973" t="str">
        <f t="shared" si="892"/>
        <v/>
      </c>
    </row>
    <row r="53974" spans="8:8" x14ac:dyDescent="0.3">
      <c r="H53974" t="str">
        <f t="shared" si="892"/>
        <v/>
      </c>
    </row>
    <row r="53975" spans="8:8" x14ac:dyDescent="0.3">
      <c r="H53975" t="str">
        <f t="shared" ref="H53975:H54038" si="893">IF(B53975="","",$C$12)</f>
        <v/>
      </c>
    </row>
    <row r="53976" spans="8:8" x14ac:dyDescent="0.3">
      <c r="H53976" t="str">
        <f t="shared" si="893"/>
        <v/>
      </c>
    </row>
    <row r="53977" spans="8:8" x14ac:dyDescent="0.3">
      <c r="H53977" t="str">
        <f t="shared" si="893"/>
        <v/>
      </c>
    </row>
    <row r="53978" spans="8:8" x14ac:dyDescent="0.3">
      <c r="H53978" t="str">
        <f t="shared" si="893"/>
        <v/>
      </c>
    </row>
    <row r="53979" spans="8:8" x14ac:dyDescent="0.3">
      <c r="H53979" t="str">
        <f t="shared" si="893"/>
        <v/>
      </c>
    </row>
    <row r="53980" spans="8:8" x14ac:dyDescent="0.3">
      <c r="H53980" t="str">
        <f t="shared" si="893"/>
        <v/>
      </c>
    </row>
    <row r="53981" spans="8:8" x14ac:dyDescent="0.3">
      <c r="H53981" t="str">
        <f t="shared" si="893"/>
        <v/>
      </c>
    </row>
    <row r="53982" spans="8:8" x14ac:dyDescent="0.3">
      <c r="H53982" t="str">
        <f t="shared" si="893"/>
        <v/>
      </c>
    </row>
    <row r="53983" spans="8:8" x14ac:dyDescent="0.3">
      <c r="H53983" t="str">
        <f t="shared" si="893"/>
        <v/>
      </c>
    </row>
    <row r="53984" spans="8:8" x14ac:dyDescent="0.3">
      <c r="H53984" t="str">
        <f t="shared" si="893"/>
        <v/>
      </c>
    </row>
    <row r="53985" spans="8:8" x14ac:dyDescent="0.3">
      <c r="H53985" t="str">
        <f t="shared" si="893"/>
        <v/>
      </c>
    </row>
    <row r="53986" spans="8:8" x14ac:dyDescent="0.3">
      <c r="H53986" t="str">
        <f t="shared" si="893"/>
        <v/>
      </c>
    </row>
    <row r="53987" spans="8:8" x14ac:dyDescent="0.3">
      <c r="H53987" t="str">
        <f t="shared" si="893"/>
        <v/>
      </c>
    </row>
    <row r="53988" spans="8:8" x14ac:dyDescent="0.3">
      <c r="H53988" t="str">
        <f t="shared" si="893"/>
        <v/>
      </c>
    </row>
    <row r="53989" spans="8:8" x14ac:dyDescent="0.3">
      <c r="H53989" t="str">
        <f t="shared" si="893"/>
        <v/>
      </c>
    </row>
    <row r="53990" spans="8:8" x14ac:dyDescent="0.3">
      <c r="H53990" t="str">
        <f t="shared" si="893"/>
        <v/>
      </c>
    </row>
    <row r="53991" spans="8:8" x14ac:dyDescent="0.3">
      <c r="H53991" t="str">
        <f t="shared" si="893"/>
        <v/>
      </c>
    </row>
    <row r="53992" spans="8:8" x14ac:dyDescent="0.3">
      <c r="H53992" t="str">
        <f t="shared" si="893"/>
        <v/>
      </c>
    </row>
    <row r="53993" spans="8:8" x14ac:dyDescent="0.3">
      <c r="H53993" t="str">
        <f t="shared" si="893"/>
        <v/>
      </c>
    </row>
    <row r="53994" spans="8:8" x14ac:dyDescent="0.3">
      <c r="H53994" t="str">
        <f t="shared" si="893"/>
        <v/>
      </c>
    </row>
    <row r="53995" spans="8:8" x14ac:dyDescent="0.3">
      <c r="H53995" t="str">
        <f t="shared" si="893"/>
        <v/>
      </c>
    </row>
    <row r="53996" spans="8:8" x14ac:dyDescent="0.3">
      <c r="H53996" t="str">
        <f t="shared" si="893"/>
        <v/>
      </c>
    </row>
    <row r="53997" spans="8:8" x14ac:dyDescent="0.3">
      <c r="H53997" t="str">
        <f t="shared" si="893"/>
        <v/>
      </c>
    </row>
    <row r="53998" spans="8:8" x14ac:dyDescent="0.3">
      <c r="H53998" t="str">
        <f t="shared" si="893"/>
        <v/>
      </c>
    </row>
    <row r="53999" spans="8:8" x14ac:dyDescent="0.3">
      <c r="H53999" t="str">
        <f t="shared" si="893"/>
        <v/>
      </c>
    </row>
    <row r="54000" spans="8:8" x14ac:dyDescent="0.3">
      <c r="H54000" t="str">
        <f t="shared" si="893"/>
        <v/>
      </c>
    </row>
    <row r="54001" spans="8:8" x14ac:dyDescent="0.3">
      <c r="H54001" t="str">
        <f t="shared" si="893"/>
        <v/>
      </c>
    </row>
    <row r="54002" spans="8:8" x14ac:dyDescent="0.3">
      <c r="H54002" t="str">
        <f t="shared" si="893"/>
        <v/>
      </c>
    </row>
    <row r="54003" spans="8:8" x14ac:dyDescent="0.3">
      <c r="H54003" t="str">
        <f t="shared" si="893"/>
        <v/>
      </c>
    </row>
    <row r="54004" spans="8:8" x14ac:dyDescent="0.3">
      <c r="H54004" t="str">
        <f t="shared" si="893"/>
        <v/>
      </c>
    </row>
    <row r="54005" spans="8:8" x14ac:dyDescent="0.3">
      <c r="H54005" t="str">
        <f t="shared" si="893"/>
        <v/>
      </c>
    </row>
    <row r="54006" spans="8:8" x14ac:dyDescent="0.3">
      <c r="H54006" t="str">
        <f t="shared" si="893"/>
        <v/>
      </c>
    </row>
    <row r="54007" spans="8:8" x14ac:dyDescent="0.3">
      <c r="H54007" t="str">
        <f t="shared" si="893"/>
        <v/>
      </c>
    </row>
    <row r="54008" spans="8:8" x14ac:dyDescent="0.3">
      <c r="H54008" t="str">
        <f t="shared" si="893"/>
        <v/>
      </c>
    </row>
    <row r="54009" spans="8:8" x14ac:dyDescent="0.3">
      <c r="H54009" t="str">
        <f t="shared" si="893"/>
        <v/>
      </c>
    </row>
    <row r="54010" spans="8:8" x14ac:dyDescent="0.3">
      <c r="H54010" t="str">
        <f t="shared" si="893"/>
        <v/>
      </c>
    </row>
    <row r="54011" spans="8:8" x14ac:dyDescent="0.3">
      <c r="H54011" t="str">
        <f t="shared" si="893"/>
        <v/>
      </c>
    </row>
    <row r="54012" spans="8:8" x14ac:dyDescent="0.3">
      <c r="H54012" t="str">
        <f t="shared" si="893"/>
        <v/>
      </c>
    </row>
    <row r="54013" spans="8:8" x14ac:dyDescent="0.3">
      <c r="H54013" t="str">
        <f t="shared" si="893"/>
        <v/>
      </c>
    </row>
    <row r="54014" spans="8:8" x14ac:dyDescent="0.3">
      <c r="H54014" t="str">
        <f t="shared" si="893"/>
        <v/>
      </c>
    </row>
    <row r="54015" spans="8:8" x14ac:dyDescent="0.3">
      <c r="H54015" t="str">
        <f t="shared" si="893"/>
        <v/>
      </c>
    </row>
    <row r="54016" spans="8:8" x14ac:dyDescent="0.3">
      <c r="H54016" t="str">
        <f t="shared" si="893"/>
        <v/>
      </c>
    </row>
    <row r="54017" spans="8:8" x14ac:dyDescent="0.3">
      <c r="H54017" t="str">
        <f t="shared" si="893"/>
        <v/>
      </c>
    </row>
    <row r="54018" spans="8:8" x14ac:dyDescent="0.3">
      <c r="H54018" t="str">
        <f t="shared" si="893"/>
        <v/>
      </c>
    </row>
    <row r="54019" spans="8:8" x14ac:dyDescent="0.3">
      <c r="H54019" t="str">
        <f t="shared" si="893"/>
        <v/>
      </c>
    </row>
    <row r="54020" spans="8:8" x14ac:dyDescent="0.3">
      <c r="H54020" t="str">
        <f t="shared" si="893"/>
        <v/>
      </c>
    </row>
    <row r="54021" spans="8:8" x14ac:dyDescent="0.3">
      <c r="H54021" t="str">
        <f t="shared" si="893"/>
        <v/>
      </c>
    </row>
    <row r="54022" spans="8:8" x14ac:dyDescent="0.3">
      <c r="H54022" t="str">
        <f t="shared" si="893"/>
        <v/>
      </c>
    </row>
    <row r="54023" spans="8:8" x14ac:dyDescent="0.3">
      <c r="H54023" t="str">
        <f t="shared" si="893"/>
        <v/>
      </c>
    </row>
    <row r="54024" spans="8:8" x14ac:dyDescent="0.3">
      <c r="H54024" t="str">
        <f t="shared" si="893"/>
        <v/>
      </c>
    </row>
    <row r="54025" spans="8:8" x14ac:dyDescent="0.3">
      <c r="H54025" t="str">
        <f t="shared" si="893"/>
        <v/>
      </c>
    </row>
    <row r="54026" spans="8:8" x14ac:dyDescent="0.3">
      <c r="H54026" t="str">
        <f t="shared" si="893"/>
        <v/>
      </c>
    </row>
    <row r="54027" spans="8:8" x14ac:dyDescent="0.3">
      <c r="H54027" t="str">
        <f t="shared" si="893"/>
        <v/>
      </c>
    </row>
    <row r="54028" spans="8:8" x14ac:dyDescent="0.3">
      <c r="H54028" t="str">
        <f t="shared" si="893"/>
        <v/>
      </c>
    </row>
    <row r="54029" spans="8:8" x14ac:dyDescent="0.3">
      <c r="H54029" t="str">
        <f t="shared" si="893"/>
        <v/>
      </c>
    </row>
    <row r="54030" spans="8:8" x14ac:dyDescent="0.3">
      <c r="H54030" t="str">
        <f t="shared" si="893"/>
        <v/>
      </c>
    </row>
    <row r="54031" spans="8:8" x14ac:dyDescent="0.3">
      <c r="H54031" t="str">
        <f t="shared" si="893"/>
        <v/>
      </c>
    </row>
    <row r="54032" spans="8:8" x14ac:dyDescent="0.3">
      <c r="H54032" t="str">
        <f t="shared" si="893"/>
        <v/>
      </c>
    </row>
    <row r="54033" spans="8:8" x14ac:dyDescent="0.3">
      <c r="H54033" t="str">
        <f t="shared" si="893"/>
        <v/>
      </c>
    </row>
    <row r="54034" spans="8:8" x14ac:dyDescent="0.3">
      <c r="H54034" t="str">
        <f t="shared" si="893"/>
        <v/>
      </c>
    </row>
    <row r="54035" spans="8:8" x14ac:dyDescent="0.3">
      <c r="H54035" t="str">
        <f t="shared" si="893"/>
        <v/>
      </c>
    </row>
    <row r="54036" spans="8:8" x14ac:dyDescent="0.3">
      <c r="H54036" t="str">
        <f t="shared" si="893"/>
        <v/>
      </c>
    </row>
    <row r="54037" spans="8:8" x14ac:dyDescent="0.3">
      <c r="H54037" t="str">
        <f t="shared" si="893"/>
        <v/>
      </c>
    </row>
    <row r="54038" spans="8:8" x14ac:dyDescent="0.3">
      <c r="H54038" t="str">
        <f t="shared" si="893"/>
        <v/>
      </c>
    </row>
    <row r="54039" spans="8:8" x14ac:dyDescent="0.3">
      <c r="H54039" t="str">
        <f t="shared" ref="H54039:H54102" si="894">IF(B54039="","",$C$12)</f>
        <v/>
      </c>
    </row>
    <row r="54040" spans="8:8" x14ac:dyDescent="0.3">
      <c r="H54040" t="str">
        <f t="shared" si="894"/>
        <v/>
      </c>
    </row>
    <row r="54041" spans="8:8" x14ac:dyDescent="0.3">
      <c r="H54041" t="str">
        <f t="shared" si="894"/>
        <v/>
      </c>
    </row>
    <row r="54042" spans="8:8" x14ac:dyDescent="0.3">
      <c r="H54042" t="str">
        <f t="shared" si="894"/>
        <v/>
      </c>
    </row>
    <row r="54043" spans="8:8" x14ac:dyDescent="0.3">
      <c r="H54043" t="str">
        <f t="shared" si="894"/>
        <v/>
      </c>
    </row>
    <row r="54044" spans="8:8" x14ac:dyDescent="0.3">
      <c r="H54044" t="str">
        <f t="shared" si="894"/>
        <v/>
      </c>
    </row>
    <row r="54045" spans="8:8" x14ac:dyDescent="0.3">
      <c r="H54045" t="str">
        <f t="shared" si="894"/>
        <v/>
      </c>
    </row>
    <row r="54046" spans="8:8" x14ac:dyDescent="0.3">
      <c r="H54046" t="str">
        <f t="shared" si="894"/>
        <v/>
      </c>
    </row>
    <row r="54047" spans="8:8" x14ac:dyDescent="0.3">
      <c r="H54047" t="str">
        <f t="shared" si="894"/>
        <v/>
      </c>
    </row>
    <row r="54048" spans="8:8" x14ac:dyDescent="0.3">
      <c r="H54048" t="str">
        <f t="shared" si="894"/>
        <v/>
      </c>
    </row>
    <row r="54049" spans="8:8" x14ac:dyDescent="0.3">
      <c r="H54049" t="str">
        <f t="shared" si="894"/>
        <v/>
      </c>
    </row>
    <row r="54050" spans="8:8" x14ac:dyDescent="0.3">
      <c r="H54050" t="str">
        <f t="shared" si="894"/>
        <v/>
      </c>
    </row>
    <row r="54051" spans="8:8" x14ac:dyDescent="0.3">
      <c r="H54051" t="str">
        <f t="shared" si="894"/>
        <v/>
      </c>
    </row>
    <row r="54052" spans="8:8" x14ac:dyDescent="0.3">
      <c r="H54052" t="str">
        <f t="shared" si="894"/>
        <v/>
      </c>
    </row>
    <row r="54053" spans="8:8" x14ac:dyDescent="0.3">
      <c r="H54053" t="str">
        <f t="shared" si="894"/>
        <v/>
      </c>
    </row>
    <row r="54054" spans="8:8" x14ac:dyDescent="0.3">
      <c r="H54054" t="str">
        <f t="shared" si="894"/>
        <v/>
      </c>
    </row>
    <row r="54055" spans="8:8" x14ac:dyDescent="0.3">
      <c r="H54055" t="str">
        <f t="shared" si="894"/>
        <v/>
      </c>
    </row>
    <row r="54056" spans="8:8" x14ac:dyDescent="0.3">
      <c r="H54056" t="str">
        <f t="shared" si="894"/>
        <v/>
      </c>
    </row>
    <row r="54057" spans="8:8" x14ac:dyDescent="0.3">
      <c r="H54057" t="str">
        <f t="shared" si="894"/>
        <v/>
      </c>
    </row>
    <row r="54058" spans="8:8" x14ac:dyDescent="0.3">
      <c r="H54058" t="str">
        <f t="shared" si="894"/>
        <v/>
      </c>
    </row>
    <row r="54059" spans="8:8" x14ac:dyDescent="0.3">
      <c r="H54059" t="str">
        <f t="shared" si="894"/>
        <v/>
      </c>
    </row>
    <row r="54060" spans="8:8" x14ac:dyDescent="0.3">
      <c r="H54060" t="str">
        <f t="shared" si="894"/>
        <v/>
      </c>
    </row>
    <row r="54061" spans="8:8" x14ac:dyDescent="0.3">
      <c r="H54061" t="str">
        <f t="shared" si="894"/>
        <v/>
      </c>
    </row>
    <row r="54062" spans="8:8" x14ac:dyDescent="0.3">
      <c r="H54062" t="str">
        <f t="shared" si="894"/>
        <v/>
      </c>
    </row>
    <row r="54063" spans="8:8" x14ac:dyDescent="0.3">
      <c r="H54063" t="str">
        <f t="shared" si="894"/>
        <v/>
      </c>
    </row>
    <row r="54064" spans="8:8" x14ac:dyDescent="0.3">
      <c r="H54064" t="str">
        <f t="shared" si="894"/>
        <v/>
      </c>
    </row>
    <row r="54065" spans="8:8" x14ac:dyDescent="0.3">
      <c r="H54065" t="str">
        <f t="shared" si="894"/>
        <v/>
      </c>
    </row>
    <row r="54066" spans="8:8" x14ac:dyDescent="0.3">
      <c r="H54066" t="str">
        <f t="shared" si="894"/>
        <v/>
      </c>
    </row>
    <row r="54067" spans="8:8" x14ac:dyDescent="0.3">
      <c r="H54067" t="str">
        <f t="shared" si="894"/>
        <v/>
      </c>
    </row>
    <row r="54068" spans="8:8" x14ac:dyDescent="0.3">
      <c r="H54068" t="str">
        <f t="shared" si="894"/>
        <v/>
      </c>
    </row>
    <row r="54069" spans="8:8" x14ac:dyDescent="0.3">
      <c r="H54069" t="str">
        <f t="shared" si="894"/>
        <v/>
      </c>
    </row>
    <row r="54070" spans="8:8" x14ac:dyDescent="0.3">
      <c r="H54070" t="str">
        <f t="shared" si="894"/>
        <v/>
      </c>
    </row>
    <row r="54071" spans="8:8" x14ac:dyDescent="0.3">
      <c r="H54071" t="str">
        <f t="shared" si="894"/>
        <v/>
      </c>
    </row>
    <row r="54072" spans="8:8" x14ac:dyDescent="0.3">
      <c r="H54072" t="str">
        <f t="shared" si="894"/>
        <v/>
      </c>
    </row>
    <row r="54073" spans="8:8" x14ac:dyDescent="0.3">
      <c r="H54073" t="str">
        <f t="shared" si="894"/>
        <v/>
      </c>
    </row>
    <row r="54074" spans="8:8" x14ac:dyDescent="0.3">
      <c r="H54074" t="str">
        <f t="shared" si="894"/>
        <v/>
      </c>
    </row>
    <row r="54075" spans="8:8" x14ac:dyDescent="0.3">
      <c r="H54075" t="str">
        <f t="shared" si="894"/>
        <v/>
      </c>
    </row>
    <row r="54076" spans="8:8" x14ac:dyDescent="0.3">
      <c r="H54076" t="str">
        <f t="shared" si="894"/>
        <v/>
      </c>
    </row>
    <row r="54077" spans="8:8" x14ac:dyDescent="0.3">
      <c r="H54077" t="str">
        <f t="shared" si="894"/>
        <v/>
      </c>
    </row>
    <row r="54078" spans="8:8" x14ac:dyDescent="0.3">
      <c r="H54078" t="str">
        <f t="shared" si="894"/>
        <v/>
      </c>
    </row>
    <row r="54079" spans="8:8" x14ac:dyDescent="0.3">
      <c r="H54079" t="str">
        <f t="shared" si="894"/>
        <v/>
      </c>
    </row>
    <row r="54080" spans="8:8" x14ac:dyDescent="0.3">
      <c r="H54080" t="str">
        <f t="shared" si="894"/>
        <v/>
      </c>
    </row>
    <row r="54081" spans="8:8" x14ac:dyDescent="0.3">
      <c r="H54081" t="str">
        <f t="shared" si="894"/>
        <v/>
      </c>
    </row>
    <row r="54082" spans="8:8" x14ac:dyDescent="0.3">
      <c r="H54082" t="str">
        <f t="shared" si="894"/>
        <v/>
      </c>
    </row>
    <row r="54083" spans="8:8" x14ac:dyDescent="0.3">
      <c r="H54083" t="str">
        <f t="shared" si="894"/>
        <v/>
      </c>
    </row>
    <row r="54084" spans="8:8" x14ac:dyDescent="0.3">
      <c r="H54084" t="str">
        <f t="shared" si="894"/>
        <v/>
      </c>
    </row>
    <row r="54085" spans="8:8" x14ac:dyDescent="0.3">
      <c r="H54085" t="str">
        <f t="shared" si="894"/>
        <v/>
      </c>
    </row>
    <row r="54086" spans="8:8" x14ac:dyDescent="0.3">
      <c r="H54086" t="str">
        <f t="shared" si="894"/>
        <v/>
      </c>
    </row>
    <row r="54087" spans="8:8" x14ac:dyDescent="0.3">
      <c r="H54087" t="str">
        <f t="shared" si="894"/>
        <v/>
      </c>
    </row>
    <row r="54088" spans="8:8" x14ac:dyDescent="0.3">
      <c r="H54088" t="str">
        <f t="shared" si="894"/>
        <v/>
      </c>
    </row>
    <row r="54089" spans="8:8" x14ac:dyDescent="0.3">
      <c r="H54089" t="str">
        <f t="shared" si="894"/>
        <v/>
      </c>
    </row>
    <row r="54090" spans="8:8" x14ac:dyDescent="0.3">
      <c r="H54090" t="str">
        <f t="shared" si="894"/>
        <v/>
      </c>
    </row>
    <row r="54091" spans="8:8" x14ac:dyDescent="0.3">
      <c r="H54091" t="str">
        <f t="shared" si="894"/>
        <v/>
      </c>
    </row>
    <row r="54092" spans="8:8" x14ac:dyDescent="0.3">
      <c r="H54092" t="str">
        <f t="shared" si="894"/>
        <v/>
      </c>
    </row>
    <row r="54093" spans="8:8" x14ac:dyDescent="0.3">
      <c r="H54093" t="str">
        <f t="shared" si="894"/>
        <v/>
      </c>
    </row>
    <row r="54094" spans="8:8" x14ac:dyDescent="0.3">
      <c r="H54094" t="str">
        <f t="shared" si="894"/>
        <v/>
      </c>
    </row>
    <row r="54095" spans="8:8" x14ac:dyDescent="0.3">
      <c r="H54095" t="str">
        <f t="shared" si="894"/>
        <v/>
      </c>
    </row>
    <row r="54096" spans="8:8" x14ac:dyDescent="0.3">
      <c r="H54096" t="str">
        <f t="shared" si="894"/>
        <v/>
      </c>
    </row>
    <row r="54097" spans="8:8" x14ac:dyDescent="0.3">
      <c r="H54097" t="str">
        <f t="shared" si="894"/>
        <v/>
      </c>
    </row>
    <row r="54098" spans="8:8" x14ac:dyDescent="0.3">
      <c r="H54098" t="str">
        <f t="shared" si="894"/>
        <v/>
      </c>
    </row>
    <row r="54099" spans="8:8" x14ac:dyDescent="0.3">
      <c r="H54099" t="str">
        <f t="shared" si="894"/>
        <v/>
      </c>
    </row>
    <row r="54100" spans="8:8" x14ac:dyDescent="0.3">
      <c r="H54100" t="str">
        <f t="shared" si="894"/>
        <v/>
      </c>
    </row>
    <row r="54101" spans="8:8" x14ac:dyDescent="0.3">
      <c r="H54101" t="str">
        <f t="shared" si="894"/>
        <v/>
      </c>
    </row>
    <row r="54102" spans="8:8" x14ac:dyDescent="0.3">
      <c r="H54102" t="str">
        <f t="shared" si="894"/>
        <v/>
      </c>
    </row>
    <row r="54103" spans="8:8" x14ac:dyDescent="0.3">
      <c r="H54103" t="str">
        <f t="shared" ref="H54103:H54166" si="895">IF(B54103="","",$C$12)</f>
        <v/>
      </c>
    </row>
    <row r="54104" spans="8:8" x14ac:dyDescent="0.3">
      <c r="H54104" t="str">
        <f t="shared" si="895"/>
        <v/>
      </c>
    </row>
    <row r="54105" spans="8:8" x14ac:dyDescent="0.3">
      <c r="H54105" t="str">
        <f t="shared" si="895"/>
        <v/>
      </c>
    </row>
    <row r="54106" spans="8:8" x14ac:dyDescent="0.3">
      <c r="H54106" t="str">
        <f t="shared" si="895"/>
        <v/>
      </c>
    </row>
    <row r="54107" spans="8:8" x14ac:dyDescent="0.3">
      <c r="H54107" t="str">
        <f t="shared" si="895"/>
        <v/>
      </c>
    </row>
    <row r="54108" spans="8:8" x14ac:dyDescent="0.3">
      <c r="H54108" t="str">
        <f t="shared" si="895"/>
        <v/>
      </c>
    </row>
    <row r="54109" spans="8:8" x14ac:dyDescent="0.3">
      <c r="H54109" t="str">
        <f t="shared" si="895"/>
        <v/>
      </c>
    </row>
    <row r="54110" spans="8:8" x14ac:dyDescent="0.3">
      <c r="H54110" t="str">
        <f t="shared" si="895"/>
        <v/>
      </c>
    </row>
    <row r="54111" spans="8:8" x14ac:dyDescent="0.3">
      <c r="H54111" t="str">
        <f t="shared" si="895"/>
        <v/>
      </c>
    </row>
    <row r="54112" spans="8:8" x14ac:dyDescent="0.3">
      <c r="H54112" t="str">
        <f t="shared" si="895"/>
        <v/>
      </c>
    </row>
    <row r="54113" spans="8:8" x14ac:dyDescent="0.3">
      <c r="H54113" t="str">
        <f t="shared" si="895"/>
        <v/>
      </c>
    </row>
    <row r="54114" spans="8:8" x14ac:dyDescent="0.3">
      <c r="H54114" t="str">
        <f t="shared" si="895"/>
        <v/>
      </c>
    </row>
    <row r="54115" spans="8:8" x14ac:dyDescent="0.3">
      <c r="H54115" t="str">
        <f t="shared" si="895"/>
        <v/>
      </c>
    </row>
    <row r="54116" spans="8:8" x14ac:dyDescent="0.3">
      <c r="H54116" t="str">
        <f t="shared" si="895"/>
        <v/>
      </c>
    </row>
    <row r="54117" spans="8:8" x14ac:dyDescent="0.3">
      <c r="H54117" t="str">
        <f t="shared" si="895"/>
        <v/>
      </c>
    </row>
    <row r="54118" spans="8:8" x14ac:dyDescent="0.3">
      <c r="H54118" t="str">
        <f t="shared" si="895"/>
        <v/>
      </c>
    </row>
    <row r="54119" spans="8:8" x14ac:dyDescent="0.3">
      <c r="H54119" t="str">
        <f t="shared" si="895"/>
        <v/>
      </c>
    </row>
    <row r="54120" spans="8:8" x14ac:dyDescent="0.3">
      <c r="H54120" t="str">
        <f t="shared" si="895"/>
        <v/>
      </c>
    </row>
    <row r="54121" spans="8:8" x14ac:dyDescent="0.3">
      <c r="H54121" t="str">
        <f t="shared" si="895"/>
        <v/>
      </c>
    </row>
    <row r="54122" spans="8:8" x14ac:dyDescent="0.3">
      <c r="H54122" t="str">
        <f t="shared" si="895"/>
        <v/>
      </c>
    </row>
    <row r="54123" spans="8:8" x14ac:dyDescent="0.3">
      <c r="H54123" t="str">
        <f t="shared" si="895"/>
        <v/>
      </c>
    </row>
    <row r="54124" spans="8:8" x14ac:dyDescent="0.3">
      <c r="H54124" t="str">
        <f t="shared" si="895"/>
        <v/>
      </c>
    </row>
    <row r="54125" spans="8:8" x14ac:dyDescent="0.3">
      <c r="H54125" t="str">
        <f t="shared" si="895"/>
        <v/>
      </c>
    </row>
    <row r="54126" spans="8:8" x14ac:dyDescent="0.3">
      <c r="H54126" t="str">
        <f t="shared" si="895"/>
        <v/>
      </c>
    </row>
    <row r="54127" spans="8:8" x14ac:dyDescent="0.3">
      <c r="H54127" t="str">
        <f t="shared" si="895"/>
        <v/>
      </c>
    </row>
    <row r="54128" spans="8:8" x14ac:dyDescent="0.3">
      <c r="H54128" t="str">
        <f t="shared" si="895"/>
        <v/>
      </c>
    </row>
    <row r="54129" spans="8:8" x14ac:dyDescent="0.3">
      <c r="H54129" t="str">
        <f t="shared" si="895"/>
        <v/>
      </c>
    </row>
    <row r="54130" spans="8:8" x14ac:dyDescent="0.3">
      <c r="H54130" t="str">
        <f t="shared" si="895"/>
        <v/>
      </c>
    </row>
    <row r="54131" spans="8:8" x14ac:dyDescent="0.3">
      <c r="H54131" t="str">
        <f t="shared" si="895"/>
        <v/>
      </c>
    </row>
    <row r="54132" spans="8:8" x14ac:dyDescent="0.3">
      <c r="H54132" t="str">
        <f t="shared" si="895"/>
        <v/>
      </c>
    </row>
    <row r="54133" spans="8:8" x14ac:dyDescent="0.3">
      <c r="H54133" t="str">
        <f t="shared" si="895"/>
        <v/>
      </c>
    </row>
    <row r="54134" spans="8:8" x14ac:dyDescent="0.3">
      <c r="H54134" t="str">
        <f t="shared" si="895"/>
        <v/>
      </c>
    </row>
    <row r="54135" spans="8:8" x14ac:dyDescent="0.3">
      <c r="H54135" t="str">
        <f t="shared" si="895"/>
        <v/>
      </c>
    </row>
    <row r="54136" spans="8:8" x14ac:dyDescent="0.3">
      <c r="H54136" t="str">
        <f t="shared" si="895"/>
        <v/>
      </c>
    </row>
    <row r="54137" spans="8:8" x14ac:dyDescent="0.3">
      <c r="H54137" t="str">
        <f t="shared" si="895"/>
        <v/>
      </c>
    </row>
    <row r="54138" spans="8:8" x14ac:dyDescent="0.3">
      <c r="H54138" t="str">
        <f t="shared" si="895"/>
        <v/>
      </c>
    </row>
    <row r="54139" spans="8:8" x14ac:dyDescent="0.3">
      <c r="H54139" t="str">
        <f t="shared" si="895"/>
        <v/>
      </c>
    </row>
    <row r="54140" spans="8:8" x14ac:dyDescent="0.3">
      <c r="H54140" t="str">
        <f t="shared" si="895"/>
        <v/>
      </c>
    </row>
    <row r="54141" spans="8:8" x14ac:dyDescent="0.3">
      <c r="H54141" t="str">
        <f t="shared" si="895"/>
        <v/>
      </c>
    </row>
    <row r="54142" spans="8:8" x14ac:dyDescent="0.3">
      <c r="H54142" t="str">
        <f t="shared" si="895"/>
        <v/>
      </c>
    </row>
    <row r="54143" spans="8:8" x14ac:dyDescent="0.3">
      <c r="H54143" t="str">
        <f t="shared" si="895"/>
        <v/>
      </c>
    </row>
    <row r="54144" spans="8:8" x14ac:dyDescent="0.3">
      <c r="H54144" t="str">
        <f t="shared" si="895"/>
        <v/>
      </c>
    </row>
    <row r="54145" spans="8:8" x14ac:dyDescent="0.3">
      <c r="H54145" t="str">
        <f t="shared" si="895"/>
        <v/>
      </c>
    </row>
    <row r="54146" spans="8:8" x14ac:dyDescent="0.3">
      <c r="H54146" t="str">
        <f t="shared" si="895"/>
        <v/>
      </c>
    </row>
    <row r="54147" spans="8:8" x14ac:dyDescent="0.3">
      <c r="H54147" t="str">
        <f t="shared" si="895"/>
        <v/>
      </c>
    </row>
    <row r="54148" spans="8:8" x14ac:dyDescent="0.3">
      <c r="H54148" t="str">
        <f t="shared" si="895"/>
        <v/>
      </c>
    </row>
    <row r="54149" spans="8:8" x14ac:dyDescent="0.3">
      <c r="H54149" t="str">
        <f t="shared" si="895"/>
        <v/>
      </c>
    </row>
    <row r="54150" spans="8:8" x14ac:dyDescent="0.3">
      <c r="H54150" t="str">
        <f t="shared" si="895"/>
        <v/>
      </c>
    </row>
    <row r="54151" spans="8:8" x14ac:dyDescent="0.3">
      <c r="H54151" t="str">
        <f t="shared" si="895"/>
        <v/>
      </c>
    </row>
    <row r="54152" spans="8:8" x14ac:dyDescent="0.3">
      <c r="H54152" t="str">
        <f t="shared" si="895"/>
        <v/>
      </c>
    </row>
    <row r="54153" spans="8:8" x14ac:dyDescent="0.3">
      <c r="H54153" t="str">
        <f t="shared" si="895"/>
        <v/>
      </c>
    </row>
    <row r="54154" spans="8:8" x14ac:dyDescent="0.3">
      <c r="H54154" t="str">
        <f t="shared" si="895"/>
        <v/>
      </c>
    </row>
    <row r="54155" spans="8:8" x14ac:dyDescent="0.3">
      <c r="H54155" t="str">
        <f t="shared" si="895"/>
        <v/>
      </c>
    </row>
    <row r="54156" spans="8:8" x14ac:dyDescent="0.3">
      <c r="H54156" t="str">
        <f t="shared" si="895"/>
        <v/>
      </c>
    </row>
    <row r="54157" spans="8:8" x14ac:dyDescent="0.3">
      <c r="H54157" t="str">
        <f t="shared" si="895"/>
        <v/>
      </c>
    </row>
    <row r="54158" spans="8:8" x14ac:dyDescent="0.3">
      <c r="H54158" t="str">
        <f t="shared" si="895"/>
        <v/>
      </c>
    </row>
    <row r="54159" spans="8:8" x14ac:dyDescent="0.3">
      <c r="H54159" t="str">
        <f t="shared" si="895"/>
        <v/>
      </c>
    </row>
    <row r="54160" spans="8:8" x14ac:dyDescent="0.3">
      <c r="H54160" t="str">
        <f t="shared" si="895"/>
        <v/>
      </c>
    </row>
    <row r="54161" spans="8:8" x14ac:dyDescent="0.3">
      <c r="H54161" t="str">
        <f t="shared" si="895"/>
        <v/>
      </c>
    </row>
    <row r="54162" spans="8:8" x14ac:dyDescent="0.3">
      <c r="H54162" t="str">
        <f t="shared" si="895"/>
        <v/>
      </c>
    </row>
    <row r="54163" spans="8:8" x14ac:dyDescent="0.3">
      <c r="H54163" t="str">
        <f t="shared" si="895"/>
        <v/>
      </c>
    </row>
    <row r="54164" spans="8:8" x14ac:dyDescent="0.3">
      <c r="H54164" t="str">
        <f t="shared" si="895"/>
        <v/>
      </c>
    </row>
    <row r="54165" spans="8:8" x14ac:dyDescent="0.3">
      <c r="H54165" t="str">
        <f t="shared" si="895"/>
        <v/>
      </c>
    </row>
    <row r="54166" spans="8:8" x14ac:dyDescent="0.3">
      <c r="H54166" t="str">
        <f t="shared" si="895"/>
        <v/>
      </c>
    </row>
    <row r="54167" spans="8:8" x14ac:dyDescent="0.3">
      <c r="H54167" t="str">
        <f t="shared" ref="H54167:H54230" si="896">IF(B54167="","",$C$12)</f>
        <v/>
      </c>
    </row>
    <row r="54168" spans="8:8" x14ac:dyDescent="0.3">
      <c r="H54168" t="str">
        <f t="shared" si="896"/>
        <v/>
      </c>
    </row>
    <row r="54169" spans="8:8" x14ac:dyDescent="0.3">
      <c r="H54169" t="str">
        <f t="shared" si="896"/>
        <v/>
      </c>
    </row>
    <row r="54170" spans="8:8" x14ac:dyDescent="0.3">
      <c r="H54170" t="str">
        <f t="shared" si="896"/>
        <v/>
      </c>
    </row>
    <row r="54171" spans="8:8" x14ac:dyDescent="0.3">
      <c r="H54171" t="str">
        <f t="shared" si="896"/>
        <v/>
      </c>
    </row>
    <row r="54172" spans="8:8" x14ac:dyDescent="0.3">
      <c r="H54172" t="str">
        <f t="shared" si="896"/>
        <v/>
      </c>
    </row>
    <row r="54173" spans="8:8" x14ac:dyDescent="0.3">
      <c r="H54173" t="str">
        <f t="shared" si="896"/>
        <v/>
      </c>
    </row>
    <row r="54174" spans="8:8" x14ac:dyDescent="0.3">
      <c r="H54174" t="str">
        <f t="shared" si="896"/>
        <v/>
      </c>
    </row>
    <row r="54175" spans="8:8" x14ac:dyDescent="0.3">
      <c r="H54175" t="str">
        <f t="shared" si="896"/>
        <v/>
      </c>
    </row>
    <row r="54176" spans="8:8" x14ac:dyDescent="0.3">
      <c r="H54176" t="str">
        <f t="shared" si="896"/>
        <v/>
      </c>
    </row>
    <row r="54177" spans="8:8" x14ac:dyDescent="0.3">
      <c r="H54177" t="str">
        <f t="shared" si="896"/>
        <v/>
      </c>
    </row>
    <row r="54178" spans="8:8" x14ac:dyDescent="0.3">
      <c r="H54178" t="str">
        <f t="shared" si="896"/>
        <v/>
      </c>
    </row>
    <row r="54179" spans="8:8" x14ac:dyDescent="0.3">
      <c r="H54179" t="str">
        <f t="shared" si="896"/>
        <v/>
      </c>
    </row>
    <row r="54180" spans="8:8" x14ac:dyDescent="0.3">
      <c r="H54180" t="str">
        <f t="shared" si="896"/>
        <v/>
      </c>
    </row>
    <row r="54181" spans="8:8" x14ac:dyDescent="0.3">
      <c r="H54181" t="str">
        <f t="shared" si="896"/>
        <v/>
      </c>
    </row>
    <row r="54182" spans="8:8" x14ac:dyDescent="0.3">
      <c r="H54182" t="str">
        <f t="shared" si="896"/>
        <v/>
      </c>
    </row>
    <row r="54183" spans="8:8" x14ac:dyDescent="0.3">
      <c r="H54183" t="str">
        <f t="shared" si="896"/>
        <v/>
      </c>
    </row>
    <row r="54184" spans="8:8" x14ac:dyDescent="0.3">
      <c r="H54184" t="str">
        <f t="shared" si="896"/>
        <v/>
      </c>
    </row>
    <row r="54185" spans="8:8" x14ac:dyDescent="0.3">
      <c r="H54185" t="str">
        <f t="shared" si="896"/>
        <v/>
      </c>
    </row>
    <row r="54186" spans="8:8" x14ac:dyDescent="0.3">
      <c r="H54186" t="str">
        <f t="shared" si="896"/>
        <v/>
      </c>
    </row>
    <row r="54187" spans="8:8" x14ac:dyDescent="0.3">
      <c r="H54187" t="str">
        <f t="shared" si="896"/>
        <v/>
      </c>
    </row>
    <row r="54188" spans="8:8" x14ac:dyDescent="0.3">
      <c r="H54188" t="str">
        <f t="shared" si="896"/>
        <v/>
      </c>
    </row>
    <row r="54189" spans="8:8" x14ac:dyDescent="0.3">
      <c r="H54189" t="str">
        <f t="shared" si="896"/>
        <v/>
      </c>
    </row>
    <row r="54190" spans="8:8" x14ac:dyDescent="0.3">
      <c r="H54190" t="str">
        <f t="shared" si="896"/>
        <v/>
      </c>
    </row>
    <row r="54191" spans="8:8" x14ac:dyDescent="0.3">
      <c r="H54191" t="str">
        <f t="shared" si="896"/>
        <v/>
      </c>
    </row>
    <row r="54192" spans="8:8" x14ac:dyDescent="0.3">
      <c r="H54192" t="str">
        <f t="shared" si="896"/>
        <v/>
      </c>
    </row>
    <row r="54193" spans="8:8" x14ac:dyDescent="0.3">
      <c r="H54193" t="str">
        <f t="shared" si="896"/>
        <v/>
      </c>
    </row>
    <row r="54194" spans="8:8" x14ac:dyDescent="0.3">
      <c r="H54194" t="str">
        <f t="shared" si="896"/>
        <v/>
      </c>
    </row>
    <row r="54195" spans="8:8" x14ac:dyDescent="0.3">
      <c r="H54195" t="str">
        <f t="shared" si="896"/>
        <v/>
      </c>
    </row>
    <row r="54196" spans="8:8" x14ac:dyDescent="0.3">
      <c r="H54196" t="str">
        <f t="shared" si="896"/>
        <v/>
      </c>
    </row>
    <row r="54197" spans="8:8" x14ac:dyDescent="0.3">
      <c r="H54197" t="str">
        <f t="shared" si="896"/>
        <v/>
      </c>
    </row>
    <row r="54198" spans="8:8" x14ac:dyDescent="0.3">
      <c r="H54198" t="str">
        <f t="shared" si="896"/>
        <v/>
      </c>
    </row>
    <row r="54199" spans="8:8" x14ac:dyDescent="0.3">
      <c r="H54199" t="str">
        <f t="shared" si="896"/>
        <v/>
      </c>
    </row>
    <row r="54200" spans="8:8" x14ac:dyDescent="0.3">
      <c r="H54200" t="str">
        <f t="shared" si="896"/>
        <v/>
      </c>
    </row>
    <row r="54201" spans="8:8" x14ac:dyDescent="0.3">
      <c r="H54201" t="str">
        <f t="shared" si="896"/>
        <v/>
      </c>
    </row>
    <row r="54202" spans="8:8" x14ac:dyDescent="0.3">
      <c r="H54202" t="str">
        <f t="shared" si="896"/>
        <v/>
      </c>
    </row>
    <row r="54203" spans="8:8" x14ac:dyDescent="0.3">
      <c r="H54203" t="str">
        <f t="shared" si="896"/>
        <v/>
      </c>
    </row>
    <row r="54204" spans="8:8" x14ac:dyDescent="0.3">
      <c r="H54204" t="str">
        <f t="shared" si="896"/>
        <v/>
      </c>
    </row>
    <row r="54205" spans="8:8" x14ac:dyDescent="0.3">
      <c r="H54205" t="str">
        <f t="shared" si="896"/>
        <v/>
      </c>
    </row>
    <row r="54206" spans="8:8" x14ac:dyDescent="0.3">
      <c r="H54206" t="str">
        <f t="shared" si="896"/>
        <v/>
      </c>
    </row>
    <row r="54207" spans="8:8" x14ac:dyDescent="0.3">
      <c r="H54207" t="str">
        <f t="shared" si="896"/>
        <v/>
      </c>
    </row>
    <row r="54208" spans="8:8" x14ac:dyDescent="0.3">
      <c r="H54208" t="str">
        <f t="shared" si="896"/>
        <v/>
      </c>
    </row>
    <row r="54209" spans="8:8" x14ac:dyDescent="0.3">
      <c r="H54209" t="str">
        <f t="shared" si="896"/>
        <v/>
      </c>
    </row>
    <row r="54210" spans="8:8" x14ac:dyDescent="0.3">
      <c r="H54210" t="str">
        <f t="shared" si="896"/>
        <v/>
      </c>
    </row>
    <row r="54211" spans="8:8" x14ac:dyDescent="0.3">
      <c r="H54211" t="str">
        <f t="shared" si="896"/>
        <v/>
      </c>
    </row>
    <row r="54212" spans="8:8" x14ac:dyDescent="0.3">
      <c r="H54212" t="str">
        <f t="shared" si="896"/>
        <v/>
      </c>
    </row>
    <row r="54213" spans="8:8" x14ac:dyDescent="0.3">
      <c r="H54213" t="str">
        <f t="shared" si="896"/>
        <v/>
      </c>
    </row>
    <row r="54214" spans="8:8" x14ac:dyDescent="0.3">
      <c r="H54214" t="str">
        <f t="shared" si="896"/>
        <v/>
      </c>
    </row>
    <row r="54215" spans="8:8" x14ac:dyDescent="0.3">
      <c r="H54215" t="str">
        <f t="shared" si="896"/>
        <v/>
      </c>
    </row>
    <row r="54216" spans="8:8" x14ac:dyDescent="0.3">
      <c r="H54216" t="str">
        <f t="shared" si="896"/>
        <v/>
      </c>
    </row>
    <row r="54217" spans="8:8" x14ac:dyDescent="0.3">
      <c r="H54217" t="str">
        <f t="shared" si="896"/>
        <v/>
      </c>
    </row>
    <row r="54218" spans="8:8" x14ac:dyDescent="0.3">
      <c r="H54218" t="str">
        <f t="shared" si="896"/>
        <v/>
      </c>
    </row>
    <row r="54219" spans="8:8" x14ac:dyDescent="0.3">
      <c r="H54219" t="str">
        <f t="shared" si="896"/>
        <v/>
      </c>
    </row>
    <row r="54220" spans="8:8" x14ac:dyDescent="0.3">
      <c r="H54220" t="str">
        <f t="shared" si="896"/>
        <v/>
      </c>
    </row>
    <row r="54221" spans="8:8" x14ac:dyDescent="0.3">
      <c r="H54221" t="str">
        <f t="shared" si="896"/>
        <v/>
      </c>
    </row>
    <row r="54222" spans="8:8" x14ac:dyDescent="0.3">
      <c r="H54222" t="str">
        <f t="shared" si="896"/>
        <v/>
      </c>
    </row>
    <row r="54223" spans="8:8" x14ac:dyDescent="0.3">
      <c r="H54223" t="str">
        <f t="shared" si="896"/>
        <v/>
      </c>
    </row>
    <row r="54224" spans="8:8" x14ac:dyDescent="0.3">
      <c r="H54224" t="str">
        <f t="shared" si="896"/>
        <v/>
      </c>
    </row>
    <row r="54225" spans="8:8" x14ac:dyDescent="0.3">
      <c r="H54225" t="str">
        <f t="shared" si="896"/>
        <v/>
      </c>
    </row>
    <row r="54226" spans="8:8" x14ac:dyDescent="0.3">
      <c r="H54226" t="str">
        <f t="shared" si="896"/>
        <v/>
      </c>
    </row>
    <row r="54227" spans="8:8" x14ac:dyDescent="0.3">
      <c r="H54227" t="str">
        <f t="shared" si="896"/>
        <v/>
      </c>
    </row>
    <row r="54228" spans="8:8" x14ac:dyDescent="0.3">
      <c r="H54228" t="str">
        <f t="shared" si="896"/>
        <v/>
      </c>
    </row>
    <row r="54229" spans="8:8" x14ac:dyDescent="0.3">
      <c r="H54229" t="str">
        <f t="shared" si="896"/>
        <v/>
      </c>
    </row>
    <row r="54230" spans="8:8" x14ac:dyDescent="0.3">
      <c r="H54230" t="str">
        <f t="shared" si="896"/>
        <v/>
      </c>
    </row>
    <row r="54231" spans="8:8" x14ac:dyDescent="0.3">
      <c r="H54231" t="str">
        <f t="shared" ref="H54231:H54294" si="897">IF(B54231="","",$C$12)</f>
        <v/>
      </c>
    </row>
    <row r="54232" spans="8:8" x14ac:dyDescent="0.3">
      <c r="H54232" t="str">
        <f t="shared" si="897"/>
        <v/>
      </c>
    </row>
    <row r="54233" spans="8:8" x14ac:dyDescent="0.3">
      <c r="H54233" t="str">
        <f t="shared" si="897"/>
        <v/>
      </c>
    </row>
    <row r="54234" spans="8:8" x14ac:dyDescent="0.3">
      <c r="H54234" t="str">
        <f t="shared" si="897"/>
        <v/>
      </c>
    </row>
    <row r="54235" spans="8:8" x14ac:dyDescent="0.3">
      <c r="H54235" t="str">
        <f t="shared" si="897"/>
        <v/>
      </c>
    </row>
    <row r="54236" spans="8:8" x14ac:dyDescent="0.3">
      <c r="H54236" t="str">
        <f t="shared" si="897"/>
        <v/>
      </c>
    </row>
    <row r="54237" spans="8:8" x14ac:dyDescent="0.3">
      <c r="H54237" t="str">
        <f t="shared" si="897"/>
        <v/>
      </c>
    </row>
    <row r="54238" spans="8:8" x14ac:dyDescent="0.3">
      <c r="H54238" t="str">
        <f t="shared" si="897"/>
        <v/>
      </c>
    </row>
    <row r="54239" spans="8:8" x14ac:dyDescent="0.3">
      <c r="H54239" t="str">
        <f t="shared" si="897"/>
        <v/>
      </c>
    </row>
    <row r="54240" spans="8:8" x14ac:dyDescent="0.3">
      <c r="H54240" t="str">
        <f t="shared" si="897"/>
        <v/>
      </c>
    </row>
    <row r="54241" spans="8:8" x14ac:dyDescent="0.3">
      <c r="H54241" t="str">
        <f t="shared" si="897"/>
        <v/>
      </c>
    </row>
    <row r="54242" spans="8:8" x14ac:dyDescent="0.3">
      <c r="H54242" t="str">
        <f t="shared" si="897"/>
        <v/>
      </c>
    </row>
    <row r="54243" spans="8:8" x14ac:dyDescent="0.3">
      <c r="H54243" t="str">
        <f t="shared" si="897"/>
        <v/>
      </c>
    </row>
    <row r="54244" spans="8:8" x14ac:dyDescent="0.3">
      <c r="H54244" t="str">
        <f t="shared" si="897"/>
        <v/>
      </c>
    </row>
    <row r="54245" spans="8:8" x14ac:dyDescent="0.3">
      <c r="H54245" t="str">
        <f t="shared" si="897"/>
        <v/>
      </c>
    </row>
    <row r="54246" spans="8:8" x14ac:dyDescent="0.3">
      <c r="H54246" t="str">
        <f t="shared" si="897"/>
        <v/>
      </c>
    </row>
    <row r="54247" spans="8:8" x14ac:dyDescent="0.3">
      <c r="H54247" t="str">
        <f t="shared" si="897"/>
        <v/>
      </c>
    </row>
    <row r="54248" spans="8:8" x14ac:dyDescent="0.3">
      <c r="H54248" t="str">
        <f t="shared" si="897"/>
        <v/>
      </c>
    </row>
    <row r="54249" spans="8:8" x14ac:dyDescent="0.3">
      <c r="H54249" t="str">
        <f t="shared" si="897"/>
        <v/>
      </c>
    </row>
    <row r="54250" spans="8:8" x14ac:dyDescent="0.3">
      <c r="H54250" t="str">
        <f t="shared" si="897"/>
        <v/>
      </c>
    </row>
    <row r="54251" spans="8:8" x14ac:dyDescent="0.3">
      <c r="H54251" t="str">
        <f t="shared" si="897"/>
        <v/>
      </c>
    </row>
    <row r="54252" spans="8:8" x14ac:dyDescent="0.3">
      <c r="H54252" t="str">
        <f t="shared" si="897"/>
        <v/>
      </c>
    </row>
    <row r="54253" spans="8:8" x14ac:dyDescent="0.3">
      <c r="H54253" t="str">
        <f t="shared" si="897"/>
        <v/>
      </c>
    </row>
    <row r="54254" spans="8:8" x14ac:dyDescent="0.3">
      <c r="H54254" t="str">
        <f t="shared" si="897"/>
        <v/>
      </c>
    </row>
    <row r="54255" spans="8:8" x14ac:dyDescent="0.3">
      <c r="H54255" t="str">
        <f t="shared" si="897"/>
        <v/>
      </c>
    </row>
    <row r="54256" spans="8:8" x14ac:dyDescent="0.3">
      <c r="H54256" t="str">
        <f t="shared" si="897"/>
        <v/>
      </c>
    </row>
    <row r="54257" spans="8:8" x14ac:dyDescent="0.3">
      <c r="H54257" t="str">
        <f t="shared" si="897"/>
        <v/>
      </c>
    </row>
    <row r="54258" spans="8:8" x14ac:dyDescent="0.3">
      <c r="H54258" t="str">
        <f t="shared" si="897"/>
        <v/>
      </c>
    </row>
    <row r="54259" spans="8:8" x14ac:dyDescent="0.3">
      <c r="H54259" t="str">
        <f t="shared" si="897"/>
        <v/>
      </c>
    </row>
    <row r="54260" spans="8:8" x14ac:dyDescent="0.3">
      <c r="H54260" t="str">
        <f t="shared" si="897"/>
        <v/>
      </c>
    </row>
    <row r="54261" spans="8:8" x14ac:dyDescent="0.3">
      <c r="H54261" t="str">
        <f t="shared" si="897"/>
        <v/>
      </c>
    </row>
    <row r="54262" spans="8:8" x14ac:dyDescent="0.3">
      <c r="H54262" t="str">
        <f t="shared" si="897"/>
        <v/>
      </c>
    </row>
    <row r="54263" spans="8:8" x14ac:dyDescent="0.3">
      <c r="H54263" t="str">
        <f t="shared" si="897"/>
        <v/>
      </c>
    </row>
    <row r="54264" spans="8:8" x14ac:dyDescent="0.3">
      <c r="H54264" t="str">
        <f t="shared" si="897"/>
        <v/>
      </c>
    </row>
    <row r="54265" spans="8:8" x14ac:dyDescent="0.3">
      <c r="H54265" t="str">
        <f t="shared" si="897"/>
        <v/>
      </c>
    </row>
    <row r="54266" spans="8:8" x14ac:dyDescent="0.3">
      <c r="H54266" t="str">
        <f t="shared" si="897"/>
        <v/>
      </c>
    </row>
    <row r="54267" spans="8:8" x14ac:dyDescent="0.3">
      <c r="H54267" t="str">
        <f t="shared" si="897"/>
        <v/>
      </c>
    </row>
    <row r="54268" spans="8:8" x14ac:dyDescent="0.3">
      <c r="H54268" t="str">
        <f t="shared" si="897"/>
        <v/>
      </c>
    </row>
    <row r="54269" spans="8:8" x14ac:dyDescent="0.3">
      <c r="H54269" t="str">
        <f t="shared" si="897"/>
        <v/>
      </c>
    </row>
    <row r="54270" spans="8:8" x14ac:dyDescent="0.3">
      <c r="H54270" t="str">
        <f t="shared" si="897"/>
        <v/>
      </c>
    </row>
    <row r="54271" spans="8:8" x14ac:dyDescent="0.3">
      <c r="H54271" t="str">
        <f t="shared" si="897"/>
        <v/>
      </c>
    </row>
    <row r="54272" spans="8:8" x14ac:dyDescent="0.3">
      <c r="H54272" t="str">
        <f t="shared" si="897"/>
        <v/>
      </c>
    </row>
    <row r="54273" spans="8:8" x14ac:dyDescent="0.3">
      <c r="H54273" t="str">
        <f t="shared" si="897"/>
        <v/>
      </c>
    </row>
    <row r="54274" spans="8:8" x14ac:dyDescent="0.3">
      <c r="H54274" t="str">
        <f t="shared" si="897"/>
        <v/>
      </c>
    </row>
    <row r="54275" spans="8:8" x14ac:dyDescent="0.3">
      <c r="H54275" t="str">
        <f t="shared" si="897"/>
        <v/>
      </c>
    </row>
    <row r="54276" spans="8:8" x14ac:dyDescent="0.3">
      <c r="H54276" t="str">
        <f t="shared" si="897"/>
        <v/>
      </c>
    </row>
    <row r="54277" spans="8:8" x14ac:dyDescent="0.3">
      <c r="H54277" t="str">
        <f t="shared" si="897"/>
        <v/>
      </c>
    </row>
    <row r="54278" spans="8:8" x14ac:dyDescent="0.3">
      <c r="H54278" t="str">
        <f t="shared" si="897"/>
        <v/>
      </c>
    </row>
    <row r="54279" spans="8:8" x14ac:dyDescent="0.3">
      <c r="H54279" t="str">
        <f t="shared" si="897"/>
        <v/>
      </c>
    </row>
    <row r="54280" spans="8:8" x14ac:dyDescent="0.3">
      <c r="H54280" t="str">
        <f t="shared" si="897"/>
        <v/>
      </c>
    </row>
    <row r="54281" spans="8:8" x14ac:dyDescent="0.3">
      <c r="H54281" t="str">
        <f t="shared" si="897"/>
        <v/>
      </c>
    </row>
    <row r="54282" spans="8:8" x14ac:dyDescent="0.3">
      <c r="H54282" t="str">
        <f t="shared" si="897"/>
        <v/>
      </c>
    </row>
    <row r="54283" spans="8:8" x14ac:dyDescent="0.3">
      <c r="H54283" t="str">
        <f t="shared" si="897"/>
        <v/>
      </c>
    </row>
    <row r="54284" spans="8:8" x14ac:dyDescent="0.3">
      <c r="H54284" t="str">
        <f t="shared" si="897"/>
        <v/>
      </c>
    </row>
    <row r="54285" spans="8:8" x14ac:dyDescent="0.3">
      <c r="H54285" t="str">
        <f t="shared" si="897"/>
        <v/>
      </c>
    </row>
    <row r="54286" spans="8:8" x14ac:dyDescent="0.3">
      <c r="H54286" t="str">
        <f t="shared" si="897"/>
        <v/>
      </c>
    </row>
    <row r="54287" spans="8:8" x14ac:dyDescent="0.3">
      <c r="H54287" t="str">
        <f t="shared" si="897"/>
        <v/>
      </c>
    </row>
    <row r="54288" spans="8:8" x14ac:dyDescent="0.3">
      <c r="H54288" t="str">
        <f t="shared" si="897"/>
        <v/>
      </c>
    </row>
    <row r="54289" spans="8:8" x14ac:dyDescent="0.3">
      <c r="H54289" t="str">
        <f t="shared" si="897"/>
        <v/>
      </c>
    </row>
    <row r="54290" spans="8:8" x14ac:dyDescent="0.3">
      <c r="H54290" t="str">
        <f t="shared" si="897"/>
        <v/>
      </c>
    </row>
    <row r="54291" spans="8:8" x14ac:dyDescent="0.3">
      <c r="H54291" t="str">
        <f t="shared" si="897"/>
        <v/>
      </c>
    </row>
    <row r="54292" spans="8:8" x14ac:dyDescent="0.3">
      <c r="H54292" t="str">
        <f t="shared" si="897"/>
        <v/>
      </c>
    </row>
    <row r="54293" spans="8:8" x14ac:dyDescent="0.3">
      <c r="H54293" t="str">
        <f t="shared" si="897"/>
        <v/>
      </c>
    </row>
    <row r="54294" spans="8:8" x14ac:dyDescent="0.3">
      <c r="H54294" t="str">
        <f t="shared" si="897"/>
        <v/>
      </c>
    </row>
    <row r="54295" spans="8:8" x14ac:dyDescent="0.3">
      <c r="H54295" t="str">
        <f t="shared" ref="H54295:H54358" si="898">IF(B54295="","",$C$12)</f>
        <v/>
      </c>
    </row>
    <row r="54296" spans="8:8" x14ac:dyDescent="0.3">
      <c r="H54296" t="str">
        <f t="shared" si="898"/>
        <v/>
      </c>
    </row>
    <row r="54297" spans="8:8" x14ac:dyDescent="0.3">
      <c r="H54297" t="str">
        <f t="shared" si="898"/>
        <v/>
      </c>
    </row>
    <row r="54298" spans="8:8" x14ac:dyDescent="0.3">
      <c r="H54298" t="str">
        <f t="shared" si="898"/>
        <v/>
      </c>
    </row>
    <row r="54299" spans="8:8" x14ac:dyDescent="0.3">
      <c r="H54299" t="str">
        <f t="shared" si="898"/>
        <v/>
      </c>
    </row>
    <row r="54300" spans="8:8" x14ac:dyDescent="0.3">
      <c r="H54300" t="str">
        <f t="shared" si="898"/>
        <v/>
      </c>
    </row>
    <row r="54301" spans="8:8" x14ac:dyDescent="0.3">
      <c r="H54301" t="str">
        <f t="shared" si="898"/>
        <v/>
      </c>
    </row>
    <row r="54302" spans="8:8" x14ac:dyDescent="0.3">
      <c r="H54302" t="str">
        <f t="shared" si="898"/>
        <v/>
      </c>
    </row>
    <row r="54303" spans="8:8" x14ac:dyDescent="0.3">
      <c r="H54303" t="str">
        <f t="shared" si="898"/>
        <v/>
      </c>
    </row>
    <row r="54304" spans="8:8" x14ac:dyDescent="0.3">
      <c r="H54304" t="str">
        <f t="shared" si="898"/>
        <v/>
      </c>
    </row>
    <row r="54305" spans="8:8" x14ac:dyDescent="0.3">
      <c r="H54305" t="str">
        <f t="shared" si="898"/>
        <v/>
      </c>
    </row>
    <row r="54306" spans="8:8" x14ac:dyDescent="0.3">
      <c r="H54306" t="str">
        <f t="shared" si="898"/>
        <v/>
      </c>
    </row>
    <row r="54307" spans="8:8" x14ac:dyDescent="0.3">
      <c r="H54307" t="str">
        <f t="shared" si="898"/>
        <v/>
      </c>
    </row>
    <row r="54308" spans="8:8" x14ac:dyDescent="0.3">
      <c r="H54308" t="str">
        <f t="shared" si="898"/>
        <v/>
      </c>
    </row>
    <row r="54309" spans="8:8" x14ac:dyDescent="0.3">
      <c r="H54309" t="str">
        <f t="shared" si="898"/>
        <v/>
      </c>
    </row>
    <row r="54310" spans="8:8" x14ac:dyDescent="0.3">
      <c r="H54310" t="str">
        <f t="shared" si="898"/>
        <v/>
      </c>
    </row>
    <row r="54311" spans="8:8" x14ac:dyDescent="0.3">
      <c r="H54311" t="str">
        <f t="shared" si="898"/>
        <v/>
      </c>
    </row>
    <row r="54312" spans="8:8" x14ac:dyDescent="0.3">
      <c r="H54312" t="str">
        <f t="shared" si="898"/>
        <v/>
      </c>
    </row>
    <row r="54313" spans="8:8" x14ac:dyDescent="0.3">
      <c r="H54313" t="str">
        <f t="shared" si="898"/>
        <v/>
      </c>
    </row>
    <row r="54314" spans="8:8" x14ac:dyDescent="0.3">
      <c r="H54314" t="str">
        <f t="shared" si="898"/>
        <v/>
      </c>
    </row>
    <row r="54315" spans="8:8" x14ac:dyDescent="0.3">
      <c r="H54315" t="str">
        <f t="shared" si="898"/>
        <v/>
      </c>
    </row>
    <row r="54316" spans="8:8" x14ac:dyDescent="0.3">
      <c r="H54316" t="str">
        <f t="shared" si="898"/>
        <v/>
      </c>
    </row>
    <row r="54317" spans="8:8" x14ac:dyDescent="0.3">
      <c r="H54317" t="str">
        <f t="shared" si="898"/>
        <v/>
      </c>
    </row>
    <row r="54318" spans="8:8" x14ac:dyDescent="0.3">
      <c r="H54318" t="str">
        <f t="shared" si="898"/>
        <v/>
      </c>
    </row>
    <row r="54319" spans="8:8" x14ac:dyDescent="0.3">
      <c r="H54319" t="str">
        <f t="shared" si="898"/>
        <v/>
      </c>
    </row>
    <row r="54320" spans="8:8" x14ac:dyDescent="0.3">
      <c r="H54320" t="str">
        <f t="shared" si="898"/>
        <v/>
      </c>
    </row>
    <row r="54321" spans="8:8" x14ac:dyDescent="0.3">
      <c r="H54321" t="str">
        <f t="shared" si="898"/>
        <v/>
      </c>
    </row>
    <row r="54322" spans="8:8" x14ac:dyDescent="0.3">
      <c r="H54322" t="str">
        <f t="shared" si="898"/>
        <v/>
      </c>
    </row>
    <row r="54323" spans="8:8" x14ac:dyDescent="0.3">
      <c r="H54323" t="str">
        <f t="shared" si="898"/>
        <v/>
      </c>
    </row>
    <row r="54324" spans="8:8" x14ac:dyDescent="0.3">
      <c r="H54324" t="str">
        <f t="shared" si="898"/>
        <v/>
      </c>
    </row>
    <row r="54325" spans="8:8" x14ac:dyDescent="0.3">
      <c r="H54325" t="str">
        <f t="shared" si="898"/>
        <v/>
      </c>
    </row>
    <row r="54326" spans="8:8" x14ac:dyDescent="0.3">
      <c r="H54326" t="str">
        <f t="shared" si="898"/>
        <v/>
      </c>
    </row>
    <row r="54327" spans="8:8" x14ac:dyDescent="0.3">
      <c r="H54327" t="str">
        <f t="shared" si="898"/>
        <v/>
      </c>
    </row>
    <row r="54328" spans="8:8" x14ac:dyDescent="0.3">
      <c r="H54328" t="str">
        <f t="shared" si="898"/>
        <v/>
      </c>
    </row>
    <row r="54329" spans="8:8" x14ac:dyDescent="0.3">
      <c r="H54329" t="str">
        <f t="shared" si="898"/>
        <v/>
      </c>
    </row>
    <row r="54330" spans="8:8" x14ac:dyDescent="0.3">
      <c r="H54330" t="str">
        <f t="shared" si="898"/>
        <v/>
      </c>
    </row>
    <row r="54331" spans="8:8" x14ac:dyDescent="0.3">
      <c r="H54331" t="str">
        <f t="shared" si="898"/>
        <v/>
      </c>
    </row>
    <row r="54332" spans="8:8" x14ac:dyDescent="0.3">
      <c r="H54332" t="str">
        <f t="shared" si="898"/>
        <v/>
      </c>
    </row>
    <row r="54333" spans="8:8" x14ac:dyDescent="0.3">
      <c r="H54333" t="str">
        <f t="shared" si="898"/>
        <v/>
      </c>
    </row>
    <row r="54334" spans="8:8" x14ac:dyDescent="0.3">
      <c r="H54334" t="str">
        <f t="shared" si="898"/>
        <v/>
      </c>
    </row>
    <row r="54335" spans="8:8" x14ac:dyDescent="0.3">
      <c r="H54335" t="str">
        <f t="shared" si="898"/>
        <v/>
      </c>
    </row>
    <row r="54336" spans="8:8" x14ac:dyDescent="0.3">
      <c r="H54336" t="str">
        <f t="shared" si="898"/>
        <v/>
      </c>
    </row>
    <row r="54337" spans="8:8" x14ac:dyDescent="0.3">
      <c r="H54337" t="str">
        <f t="shared" si="898"/>
        <v/>
      </c>
    </row>
    <row r="54338" spans="8:8" x14ac:dyDescent="0.3">
      <c r="H54338" t="str">
        <f t="shared" si="898"/>
        <v/>
      </c>
    </row>
    <row r="54339" spans="8:8" x14ac:dyDescent="0.3">
      <c r="H54339" t="str">
        <f t="shared" si="898"/>
        <v/>
      </c>
    </row>
    <row r="54340" spans="8:8" x14ac:dyDescent="0.3">
      <c r="H54340" t="str">
        <f t="shared" si="898"/>
        <v/>
      </c>
    </row>
    <row r="54341" spans="8:8" x14ac:dyDescent="0.3">
      <c r="H54341" t="str">
        <f t="shared" si="898"/>
        <v/>
      </c>
    </row>
    <row r="54342" spans="8:8" x14ac:dyDescent="0.3">
      <c r="H54342" t="str">
        <f t="shared" si="898"/>
        <v/>
      </c>
    </row>
    <row r="54343" spans="8:8" x14ac:dyDescent="0.3">
      <c r="H54343" t="str">
        <f t="shared" si="898"/>
        <v/>
      </c>
    </row>
    <row r="54344" spans="8:8" x14ac:dyDescent="0.3">
      <c r="H54344" t="str">
        <f t="shared" si="898"/>
        <v/>
      </c>
    </row>
    <row r="54345" spans="8:8" x14ac:dyDescent="0.3">
      <c r="H54345" t="str">
        <f t="shared" si="898"/>
        <v/>
      </c>
    </row>
    <row r="54346" spans="8:8" x14ac:dyDescent="0.3">
      <c r="H54346" t="str">
        <f t="shared" si="898"/>
        <v/>
      </c>
    </row>
    <row r="54347" spans="8:8" x14ac:dyDescent="0.3">
      <c r="H54347" t="str">
        <f t="shared" si="898"/>
        <v/>
      </c>
    </row>
    <row r="54348" spans="8:8" x14ac:dyDescent="0.3">
      <c r="H54348" t="str">
        <f t="shared" si="898"/>
        <v/>
      </c>
    </row>
    <row r="54349" spans="8:8" x14ac:dyDescent="0.3">
      <c r="H54349" t="str">
        <f t="shared" si="898"/>
        <v/>
      </c>
    </row>
    <row r="54350" spans="8:8" x14ac:dyDescent="0.3">
      <c r="H54350" t="str">
        <f t="shared" si="898"/>
        <v/>
      </c>
    </row>
    <row r="54351" spans="8:8" x14ac:dyDescent="0.3">
      <c r="H54351" t="str">
        <f t="shared" si="898"/>
        <v/>
      </c>
    </row>
    <row r="54352" spans="8:8" x14ac:dyDescent="0.3">
      <c r="H54352" t="str">
        <f t="shared" si="898"/>
        <v/>
      </c>
    </row>
    <row r="54353" spans="8:8" x14ac:dyDescent="0.3">
      <c r="H54353" t="str">
        <f t="shared" si="898"/>
        <v/>
      </c>
    </row>
    <row r="54354" spans="8:8" x14ac:dyDescent="0.3">
      <c r="H54354" t="str">
        <f t="shared" si="898"/>
        <v/>
      </c>
    </row>
    <row r="54355" spans="8:8" x14ac:dyDescent="0.3">
      <c r="H54355" t="str">
        <f t="shared" si="898"/>
        <v/>
      </c>
    </row>
    <row r="54356" spans="8:8" x14ac:dyDescent="0.3">
      <c r="H54356" t="str">
        <f t="shared" si="898"/>
        <v/>
      </c>
    </row>
    <row r="54357" spans="8:8" x14ac:dyDescent="0.3">
      <c r="H54357" t="str">
        <f t="shared" si="898"/>
        <v/>
      </c>
    </row>
    <row r="54358" spans="8:8" x14ac:dyDescent="0.3">
      <c r="H54358" t="str">
        <f t="shared" si="898"/>
        <v/>
      </c>
    </row>
    <row r="54359" spans="8:8" x14ac:dyDescent="0.3">
      <c r="H54359" t="str">
        <f t="shared" ref="H54359:H54422" si="899">IF(B54359="","",$C$12)</f>
        <v/>
      </c>
    </row>
    <row r="54360" spans="8:8" x14ac:dyDescent="0.3">
      <c r="H54360" t="str">
        <f t="shared" si="899"/>
        <v/>
      </c>
    </row>
    <row r="54361" spans="8:8" x14ac:dyDescent="0.3">
      <c r="H54361" t="str">
        <f t="shared" si="899"/>
        <v/>
      </c>
    </row>
    <row r="54362" spans="8:8" x14ac:dyDescent="0.3">
      <c r="H54362" t="str">
        <f t="shared" si="899"/>
        <v/>
      </c>
    </row>
    <row r="54363" spans="8:8" x14ac:dyDescent="0.3">
      <c r="H54363" t="str">
        <f t="shared" si="899"/>
        <v/>
      </c>
    </row>
    <row r="54364" spans="8:8" x14ac:dyDescent="0.3">
      <c r="H54364" t="str">
        <f t="shared" si="899"/>
        <v/>
      </c>
    </row>
    <row r="54365" spans="8:8" x14ac:dyDescent="0.3">
      <c r="H54365" t="str">
        <f t="shared" si="899"/>
        <v/>
      </c>
    </row>
    <row r="54366" spans="8:8" x14ac:dyDescent="0.3">
      <c r="H54366" t="str">
        <f t="shared" si="899"/>
        <v/>
      </c>
    </row>
    <row r="54367" spans="8:8" x14ac:dyDescent="0.3">
      <c r="H54367" t="str">
        <f t="shared" si="899"/>
        <v/>
      </c>
    </row>
    <row r="54368" spans="8:8" x14ac:dyDescent="0.3">
      <c r="H54368" t="str">
        <f t="shared" si="899"/>
        <v/>
      </c>
    </row>
    <row r="54369" spans="8:8" x14ac:dyDescent="0.3">
      <c r="H54369" t="str">
        <f t="shared" si="899"/>
        <v/>
      </c>
    </row>
    <row r="54370" spans="8:8" x14ac:dyDescent="0.3">
      <c r="H54370" t="str">
        <f t="shared" si="899"/>
        <v/>
      </c>
    </row>
    <row r="54371" spans="8:8" x14ac:dyDescent="0.3">
      <c r="H54371" t="str">
        <f t="shared" si="899"/>
        <v/>
      </c>
    </row>
    <row r="54372" spans="8:8" x14ac:dyDescent="0.3">
      <c r="H54372" t="str">
        <f t="shared" si="899"/>
        <v/>
      </c>
    </row>
    <row r="54373" spans="8:8" x14ac:dyDescent="0.3">
      <c r="H54373" t="str">
        <f t="shared" si="899"/>
        <v/>
      </c>
    </row>
    <row r="54374" spans="8:8" x14ac:dyDescent="0.3">
      <c r="H54374" t="str">
        <f t="shared" si="899"/>
        <v/>
      </c>
    </row>
    <row r="54375" spans="8:8" x14ac:dyDescent="0.3">
      <c r="H54375" t="str">
        <f t="shared" si="899"/>
        <v/>
      </c>
    </row>
    <row r="54376" spans="8:8" x14ac:dyDescent="0.3">
      <c r="H54376" t="str">
        <f t="shared" si="899"/>
        <v/>
      </c>
    </row>
    <row r="54377" spans="8:8" x14ac:dyDescent="0.3">
      <c r="H54377" t="str">
        <f t="shared" si="899"/>
        <v/>
      </c>
    </row>
    <row r="54378" spans="8:8" x14ac:dyDescent="0.3">
      <c r="H54378" t="str">
        <f t="shared" si="899"/>
        <v/>
      </c>
    </row>
    <row r="54379" spans="8:8" x14ac:dyDescent="0.3">
      <c r="H54379" t="str">
        <f t="shared" si="899"/>
        <v/>
      </c>
    </row>
    <row r="54380" spans="8:8" x14ac:dyDescent="0.3">
      <c r="H54380" t="str">
        <f t="shared" si="899"/>
        <v/>
      </c>
    </row>
    <row r="54381" spans="8:8" x14ac:dyDescent="0.3">
      <c r="H54381" t="str">
        <f t="shared" si="899"/>
        <v/>
      </c>
    </row>
    <row r="54382" spans="8:8" x14ac:dyDescent="0.3">
      <c r="H54382" t="str">
        <f t="shared" si="899"/>
        <v/>
      </c>
    </row>
    <row r="54383" spans="8:8" x14ac:dyDescent="0.3">
      <c r="H54383" t="str">
        <f t="shared" si="899"/>
        <v/>
      </c>
    </row>
    <row r="54384" spans="8:8" x14ac:dyDescent="0.3">
      <c r="H54384" t="str">
        <f t="shared" si="899"/>
        <v/>
      </c>
    </row>
    <row r="54385" spans="8:8" x14ac:dyDescent="0.3">
      <c r="H54385" t="str">
        <f t="shared" si="899"/>
        <v/>
      </c>
    </row>
    <row r="54386" spans="8:8" x14ac:dyDescent="0.3">
      <c r="H54386" t="str">
        <f t="shared" si="899"/>
        <v/>
      </c>
    </row>
    <row r="54387" spans="8:8" x14ac:dyDescent="0.3">
      <c r="H54387" t="str">
        <f t="shared" si="899"/>
        <v/>
      </c>
    </row>
    <row r="54388" spans="8:8" x14ac:dyDescent="0.3">
      <c r="H54388" t="str">
        <f t="shared" si="899"/>
        <v/>
      </c>
    </row>
    <row r="54389" spans="8:8" x14ac:dyDescent="0.3">
      <c r="H54389" t="str">
        <f t="shared" si="899"/>
        <v/>
      </c>
    </row>
    <row r="54390" spans="8:8" x14ac:dyDescent="0.3">
      <c r="H54390" t="str">
        <f t="shared" si="899"/>
        <v/>
      </c>
    </row>
    <row r="54391" spans="8:8" x14ac:dyDescent="0.3">
      <c r="H54391" t="str">
        <f t="shared" si="899"/>
        <v/>
      </c>
    </row>
    <row r="54392" spans="8:8" x14ac:dyDescent="0.3">
      <c r="H54392" t="str">
        <f t="shared" si="899"/>
        <v/>
      </c>
    </row>
    <row r="54393" spans="8:8" x14ac:dyDescent="0.3">
      <c r="H54393" t="str">
        <f t="shared" si="899"/>
        <v/>
      </c>
    </row>
    <row r="54394" spans="8:8" x14ac:dyDescent="0.3">
      <c r="H54394" t="str">
        <f t="shared" si="899"/>
        <v/>
      </c>
    </row>
    <row r="54395" spans="8:8" x14ac:dyDescent="0.3">
      <c r="H54395" t="str">
        <f t="shared" si="899"/>
        <v/>
      </c>
    </row>
    <row r="54396" spans="8:8" x14ac:dyDescent="0.3">
      <c r="H54396" t="str">
        <f t="shared" si="899"/>
        <v/>
      </c>
    </row>
    <row r="54397" spans="8:8" x14ac:dyDescent="0.3">
      <c r="H54397" t="str">
        <f t="shared" si="899"/>
        <v/>
      </c>
    </row>
    <row r="54398" spans="8:8" x14ac:dyDescent="0.3">
      <c r="H54398" t="str">
        <f t="shared" si="899"/>
        <v/>
      </c>
    </row>
    <row r="54399" spans="8:8" x14ac:dyDescent="0.3">
      <c r="H54399" t="str">
        <f t="shared" si="899"/>
        <v/>
      </c>
    </row>
    <row r="54400" spans="8:8" x14ac:dyDescent="0.3">
      <c r="H54400" t="str">
        <f t="shared" si="899"/>
        <v/>
      </c>
    </row>
    <row r="54401" spans="8:8" x14ac:dyDescent="0.3">
      <c r="H54401" t="str">
        <f t="shared" si="899"/>
        <v/>
      </c>
    </row>
    <row r="54402" spans="8:8" x14ac:dyDescent="0.3">
      <c r="H54402" t="str">
        <f t="shared" si="899"/>
        <v/>
      </c>
    </row>
    <row r="54403" spans="8:8" x14ac:dyDescent="0.3">
      <c r="H54403" t="str">
        <f t="shared" si="899"/>
        <v/>
      </c>
    </row>
    <row r="54404" spans="8:8" x14ac:dyDescent="0.3">
      <c r="H54404" t="str">
        <f t="shared" si="899"/>
        <v/>
      </c>
    </row>
    <row r="54405" spans="8:8" x14ac:dyDescent="0.3">
      <c r="H54405" t="str">
        <f t="shared" si="899"/>
        <v/>
      </c>
    </row>
    <row r="54406" spans="8:8" x14ac:dyDescent="0.3">
      <c r="H54406" t="str">
        <f t="shared" si="899"/>
        <v/>
      </c>
    </row>
    <row r="54407" spans="8:8" x14ac:dyDescent="0.3">
      <c r="H54407" t="str">
        <f t="shared" si="899"/>
        <v/>
      </c>
    </row>
    <row r="54408" spans="8:8" x14ac:dyDescent="0.3">
      <c r="H54408" t="str">
        <f t="shared" si="899"/>
        <v/>
      </c>
    </row>
    <row r="54409" spans="8:8" x14ac:dyDescent="0.3">
      <c r="H54409" t="str">
        <f t="shared" si="899"/>
        <v/>
      </c>
    </row>
    <row r="54410" spans="8:8" x14ac:dyDescent="0.3">
      <c r="H54410" t="str">
        <f t="shared" si="899"/>
        <v/>
      </c>
    </row>
    <row r="54411" spans="8:8" x14ac:dyDescent="0.3">
      <c r="H54411" t="str">
        <f t="shared" si="899"/>
        <v/>
      </c>
    </row>
    <row r="54412" spans="8:8" x14ac:dyDescent="0.3">
      <c r="H54412" t="str">
        <f t="shared" si="899"/>
        <v/>
      </c>
    </row>
    <row r="54413" spans="8:8" x14ac:dyDescent="0.3">
      <c r="H54413" t="str">
        <f t="shared" si="899"/>
        <v/>
      </c>
    </row>
    <row r="54414" spans="8:8" x14ac:dyDescent="0.3">
      <c r="H54414" t="str">
        <f t="shared" si="899"/>
        <v/>
      </c>
    </row>
    <row r="54415" spans="8:8" x14ac:dyDescent="0.3">
      <c r="H54415" t="str">
        <f t="shared" si="899"/>
        <v/>
      </c>
    </row>
    <row r="54416" spans="8:8" x14ac:dyDescent="0.3">
      <c r="H54416" t="str">
        <f t="shared" si="899"/>
        <v/>
      </c>
    </row>
    <row r="54417" spans="8:8" x14ac:dyDescent="0.3">
      <c r="H54417" t="str">
        <f t="shared" si="899"/>
        <v/>
      </c>
    </row>
    <row r="54418" spans="8:8" x14ac:dyDescent="0.3">
      <c r="H54418" t="str">
        <f t="shared" si="899"/>
        <v/>
      </c>
    </row>
    <row r="54419" spans="8:8" x14ac:dyDescent="0.3">
      <c r="H54419" t="str">
        <f t="shared" si="899"/>
        <v/>
      </c>
    </row>
    <row r="54420" spans="8:8" x14ac:dyDescent="0.3">
      <c r="H54420" t="str">
        <f t="shared" si="899"/>
        <v/>
      </c>
    </row>
    <row r="54421" spans="8:8" x14ac:dyDescent="0.3">
      <c r="H54421" t="str">
        <f t="shared" si="899"/>
        <v/>
      </c>
    </row>
    <row r="54422" spans="8:8" x14ac:dyDescent="0.3">
      <c r="H54422" t="str">
        <f t="shared" si="899"/>
        <v/>
      </c>
    </row>
    <row r="54423" spans="8:8" x14ac:dyDescent="0.3">
      <c r="H54423" t="str">
        <f t="shared" ref="H54423:H54486" si="900">IF(B54423="","",$C$12)</f>
        <v/>
      </c>
    </row>
    <row r="54424" spans="8:8" x14ac:dyDescent="0.3">
      <c r="H54424" t="str">
        <f t="shared" si="900"/>
        <v/>
      </c>
    </row>
    <row r="54425" spans="8:8" x14ac:dyDescent="0.3">
      <c r="H54425" t="str">
        <f t="shared" si="900"/>
        <v/>
      </c>
    </row>
    <row r="54426" spans="8:8" x14ac:dyDescent="0.3">
      <c r="H54426" t="str">
        <f t="shared" si="900"/>
        <v/>
      </c>
    </row>
    <row r="54427" spans="8:8" x14ac:dyDescent="0.3">
      <c r="H54427" t="str">
        <f t="shared" si="900"/>
        <v/>
      </c>
    </row>
    <row r="54428" spans="8:8" x14ac:dyDescent="0.3">
      <c r="H54428" t="str">
        <f t="shared" si="900"/>
        <v/>
      </c>
    </row>
    <row r="54429" spans="8:8" x14ac:dyDescent="0.3">
      <c r="H54429" t="str">
        <f t="shared" si="900"/>
        <v/>
      </c>
    </row>
    <row r="54430" spans="8:8" x14ac:dyDescent="0.3">
      <c r="H54430" t="str">
        <f t="shared" si="900"/>
        <v/>
      </c>
    </row>
    <row r="54431" spans="8:8" x14ac:dyDescent="0.3">
      <c r="H54431" t="str">
        <f t="shared" si="900"/>
        <v/>
      </c>
    </row>
    <row r="54432" spans="8:8" x14ac:dyDescent="0.3">
      <c r="H54432" t="str">
        <f t="shared" si="900"/>
        <v/>
      </c>
    </row>
    <row r="54433" spans="8:8" x14ac:dyDescent="0.3">
      <c r="H54433" t="str">
        <f t="shared" si="900"/>
        <v/>
      </c>
    </row>
    <row r="54434" spans="8:8" x14ac:dyDescent="0.3">
      <c r="H54434" t="str">
        <f t="shared" si="900"/>
        <v/>
      </c>
    </row>
    <row r="54435" spans="8:8" x14ac:dyDescent="0.3">
      <c r="H54435" t="str">
        <f t="shared" si="900"/>
        <v/>
      </c>
    </row>
    <row r="54436" spans="8:8" x14ac:dyDescent="0.3">
      <c r="H54436" t="str">
        <f t="shared" si="900"/>
        <v/>
      </c>
    </row>
    <row r="54437" spans="8:8" x14ac:dyDescent="0.3">
      <c r="H54437" t="str">
        <f t="shared" si="900"/>
        <v/>
      </c>
    </row>
    <row r="54438" spans="8:8" x14ac:dyDescent="0.3">
      <c r="H54438" t="str">
        <f t="shared" si="900"/>
        <v/>
      </c>
    </row>
    <row r="54439" spans="8:8" x14ac:dyDescent="0.3">
      <c r="H54439" t="str">
        <f t="shared" si="900"/>
        <v/>
      </c>
    </row>
    <row r="54440" spans="8:8" x14ac:dyDescent="0.3">
      <c r="H54440" t="str">
        <f t="shared" si="900"/>
        <v/>
      </c>
    </row>
    <row r="54441" spans="8:8" x14ac:dyDescent="0.3">
      <c r="H54441" t="str">
        <f t="shared" si="900"/>
        <v/>
      </c>
    </row>
    <row r="54442" spans="8:8" x14ac:dyDescent="0.3">
      <c r="H54442" t="str">
        <f t="shared" si="900"/>
        <v/>
      </c>
    </row>
    <row r="54443" spans="8:8" x14ac:dyDescent="0.3">
      <c r="H54443" t="str">
        <f t="shared" si="900"/>
        <v/>
      </c>
    </row>
    <row r="54444" spans="8:8" x14ac:dyDescent="0.3">
      <c r="H54444" t="str">
        <f t="shared" si="900"/>
        <v/>
      </c>
    </row>
    <row r="54445" spans="8:8" x14ac:dyDescent="0.3">
      <c r="H54445" t="str">
        <f t="shared" si="900"/>
        <v/>
      </c>
    </row>
    <row r="54446" spans="8:8" x14ac:dyDescent="0.3">
      <c r="H54446" t="str">
        <f t="shared" si="900"/>
        <v/>
      </c>
    </row>
    <row r="54447" spans="8:8" x14ac:dyDescent="0.3">
      <c r="H54447" t="str">
        <f t="shared" si="900"/>
        <v/>
      </c>
    </row>
    <row r="54448" spans="8:8" x14ac:dyDescent="0.3">
      <c r="H54448" t="str">
        <f t="shared" si="900"/>
        <v/>
      </c>
    </row>
    <row r="54449" spans="8:8" x14ac:dyDescent="0.3">
      <c r="H54449" t="str">
        <f t="shared" si="900"/>
        <v/>
      </c>
    </row>
    <row r="54450" spans="8:8" x14ac:dyDescent="0.3">
      <c r="H54450" t="str">
        <f t="shared" si="900"/>
        <v/>
      </c>
    </row>
    <row r="54451" spans="8:8" x14ac:dyDescent="0.3">
      <c r="H54451" t="str">
        <f t="shared" si="900"/>
        <v/>
      </c>
    </row>
    <row r="54452" spans="8:8" x14ac:dyDescent="0.3">
      <c r="H54452" t="str">
        <f t="shared" si="900"/>
        <v/>
      </c>
    </row>
    <row r="54453" spans="8:8" x14ac:dyDescent="0.3">
      <c r="H54453" t="str">
        <f t="shared" si="900"/>
        <v/>
      </c>
    </row>
    <row r="54454" spans="8:8" x14ac:dyDescent="0.3">
      <c r="H54454" t="str">
        <f t="shared" si="900"/>
        <v/>
      </c>
    </row>
    <row r="54455" spans="8:8" x14ac:dyDescent="0.3">
      <c r="H54455" t="str">
        <f t="shared" si="900"/>
        <v/>
      </c>
    </row>
    <row r="54456" spans="8:8" x14ac:dyDescent="0.3">
      <c r="H54456" t="str">
        <f t="shared" si="900"/>
        <v/>
      </c>
    </row>
    <row r="54457" spans="8:8" x14ac:dyDescent="0.3">
      <c r="H54457" t="str">
        <f t="shared" si="900"/>
        <v/>
      </c>
    </row>
    <row r="54458" spans="8:8" x14ac:dyDescent="0.3">
      <c r="H54458" t="str">
        <f t="shared" si="900"/>
        <v/>
      </c>
    </row>
    <row r="54459" spans="8:8" x14ac:dyDescent="0.3">
      <c r="H54459" t="str">
        <f t="shared" si="900"/>
        <v/>
      </c>
    </row>
    <row r="54460" spans="8:8" x14ac:dyDescent="0.3">
      <c r="H54460" t="str">
        <f t="shared" si="900"/>
        <v/>
      </c>
    </row>
    <row r="54461" spans="8:8" x14ac:dyDescent="0.3">
      <c r="H54461" t="str">
        <f t="shared" si="900"/>
        <v/>
      </c>
    </row>
    <row r="54462" spans="8:8" x14ac:dyDescent="0.3">
      <c r="H54462" t="str">
        <f t="shared" si="900"/>
        <v/>
      </c>
    </row>
    <row r="54463" spans="8:8" x14ac:dyDescent="0.3">
      <c r="H54463" t="str">
        <f t="shared" si="900"/>
        <v/>
      </c>
    </row>
    <row r="54464" spans="8:8" x14ac:dyDescent="0.3">
      <c r="H54464" t="str">
        <f t="shared" si="900"/>
        <v/>
      </c>
    </row>
    <row r="54465" spans="8:8" x14ac:dyDescent="0.3">
      <c r="H54465" t="str">
        <f t="shared" si="900"/>
        <v/>
      </c>
    </row>
    <row r="54466" spans="8:8" x14ac:dyDescent="0.3">
      <c r="H54466" t="str">
        <f t="shared" si="900"/>
        <v/>
      </c>
    </row>
    <row r="54467" spans="8:8" x14ac:dyDescent="0.3">
      <c r="H54467" t="str">
        <f t="shared" si="900"/>
        <v/>
      </c>
    </row>
    <row r="54468" spans="8:8" x14ac:dyDescent="0.3">
      <c r="H54468" t="str">
        <f t="shared" si="900"/>
        <v/>
      </c>
    </row>
    <row r="54469" spans="8:8" x14ac:dyDescent="0.3">
      <c r="H54469" t="str">
        <f t="shared" si="900"/>
        <v/>
      </c>
    </row>
    <row r="54470" spans="8:8" x14ac:dyDescent="0.3">
      <c r="H54470" t="str">
        <f t="shared" si="900"/>
        <v/>
      </c>
    </row>
    <row r="54471" spans="8:8" x14ac:dyDescent="0.3">
      <c r="H54471" t="str">
        <f t="shared" si="900"/>
        <v/>
      </c>
    </row>
    <row r="54472" spans="8:8" x14ac:dyDescent="0.3">
      <c r="H54472" t="str">
        <f t="shared" si="900"/>
        <v/>
      </c>
    </row>
    <row r="54473" spans="8:8" x14ac:dyDescent="0.3">
      <c r="H54473" t="str">
        <f t="shared" si="900"/>
        <v/>
      </c>
    </row>
    <row r="54474" spans="8:8" x14ac:dyDescent="0.3">
      <c r="H54474" t="str">
        <f t="shared" si="900"/>
        <v/>
      </c>
    </row>
    <row r="54475" spans="8:8" x14ac:dyDescent="0.3">
      <c r="H54475" t="str">
        <f t="shared" si="900"/>
        <v/>
      </c>
    </row>
    <row r="54476" spans="8:8" x14ac:dyDescent="0.3">
      <c r="H54476" t="str">
        <f t="shared" si="900"/>
        <v/>
      </c>
    </row>
    <row r="54477" spans="8:8" x14ac:dyDescent="0.3">
      <c r="H54477" t="str">
        <f t="shared" si="900"/>
        <v/>
      </c>
    </row>
    <row r="54478" spans="8:8" x14ac:dyDescent="0.3">
      <c r="H54478" t="str">
        <f t="shared" si="900"/>
        <v/>
      </c>
    </row>
    <row r="54479" spans="8:8" x14ac:dyDescent="0.3">
      <c r="H54479" t="str">
        <f t="shared" si="900"/>
        <v/>
      </c>
    </row>
    <row r="54480" spans="8:8" x14ac:dyDescent="0.3">
      <c r="H54480" t="str">
        <f t="shared" si="900"/>
        <v/>
      </c>
    </row>
    <row r="54481" spans="8:8" x14ac:dyDescent="0.3">
      <c r="H54481" t="str">
        <f t="shared" si="900"/>
        <v/>
      </c>
    </row>
    <row r="54482" spans="8:8" x14ac:dyDescent="0.3">
      <c r="H54482" t="str">
        <f t="shared" si="900"/>
        <v/>
      </c>
    </row>
    <row r="54483" spans="8:8" x14ac:dyDescent="0.3">
      <c r="H54483" t="str">
        <f t="shared" si="900"/>
        <v/>
      </c>
    </row>
    <row r="54484" spans="8:8" x14ac:dyDescent="0.3">
      <c r="H54484" t="str">
        <f t="shared" si="900"/>
        <v/>
      </c>
    </row>
    <row r="54485" spans="8:8" x14ac:dyDescent="0.3">
      <c r="H54485" t="str">
        <f t="shared" si="900"/>
        <v/>
      </c>
    </row>
    <row r="54486" spans="8:8" x14ac:dyDescent="0.3">
      <c r="H54486" t="str">
        <f t="shared" si="900"/>
        <v/>
      </c>
    </row>
    <row r="54487" spans="8:8" x14ac:dyDescent="0.3">
      <c r="H54487" t="str">
        <f t="shared" ref="H54487:H54550" si="901">IF(B54487="","",$C$12)</f>
        <v/>
      </c>
    </row>
    <row r="54488" spans="8:8" x14ac:dyDescent="0.3">
      <c r="H54488" t="str">
        <f t="shared" si="901"/>
        <v/>
      </c>
    </row>
    <row r="54489" spans="8:8" x14ac:dyDescent="0.3">
      <c r="H54489" t="str">
        <f t="shared" si="901"/>
        <v/>
      </c>
    </row>
    <row r="54490" spans="8:8" x14ac:dyDescent="0.3">
      <c r="H54490" t="str">
        <f t="shared" si="901"/>
        <v/>
      </c>
    </row>
    <row r="54491" spans="8:8" x14ac:dyDescent="0.3">
      <c r="H54491" t="str">
        <f t="shared" si="901"/>
        <v/>
      </c>
    </row>
    <row r="54492" spans="8:8" x14ac:dyDescent="0.3">
      <c r="H54492" t="str">
        <f t="shared" si="901"/>
        <v/>
      </c>
    </row>
    <row r="54493" spans="8:8" x14ac:dyDescent="0.3">
      <c r="H54493" t="str">
        <f t="shared" si="901"/>
        <v/>
      </c>
    </row>
    <row r="54494" spans="8:8" x14ac:dyDescent="0.3">
      <c r="H54494" t="str">
        <f t="shared" si="901"/>
        <v/>
      </c>
    </row>
    <row r="54495" spans="8:8" x14ac:dyDescent="0.3">
      <c r="H54495" t="str">
        <f t="shared" si="901"/>
        <v/>
      </c>
    </row>
    <row r="54496" spans="8:8" x14ac:dyDescent="0.3">
      <c r="H54496" t="str">
        <f t="shared" si="901"/>
        <v/>
      </c>
    </row>
    <row r="54497" spans="8:8" x14ac:dyDescent="0.3">
      <c r="H54497" t="str">
        <f t="shared" si="901"/>
        <v/>
      </c>
    </row>
    <row r="54498" spans="8:8" x14ac:dyDescent="0.3">
      <c r="H54498" t="str">
        <f t="shared" si="901"/>
        <v/>
      </c>
    </row>
    <row r="54499" spans="8:8" x14ac:dyDescent="0.3">
      <c r="H54499" t="str">
        <f t="shared" si="901"/>
        <v/>
      </c>
    </row>
    <row r="54500" spans="8:8" x14ac:dyDescent="0.3">
      <c r="H54500" t="str">
        <f t="shared" si="901"/>
        <v/>
      </c>
    </row>
    <row r="54501" spans="8:8" x14ac:dyDescent="0.3">
      <c r="H54501" t="str">
        <f t="shared" si="901"/>
        <v/>
      </c>
    </row>
    <row r="54502" spans="8:8" x14ac:dyDescent="0.3">
      <c r="H54502" t="str">
        <f t="shared" si="901"/>
        <v/>
      </c>
    </row>
    <row r="54503" spans="8:8" x14ac:dyDescent="0.3">
      <c r="H54503" t="str">
        <f t="shared" si="901"/>
        <v/>
      </c>
    </row>
    <row r="54504" spans="8:8" x14ac:dyDescent="0.3">
      <c r="H54504" t="str">
        <f t="shared" si="901"/>
        <v/>
      </c>
    </row>
    <row r="54505" spans="8:8" x14ac:dyDescent="0.3">
      <c r="H54505" t="str">
        <f t="shared" si="901"/>
        <v/>
      </c>
    </row>
    <row r="54506" spans="8:8" x14ac:dyDescent="0.3">
      <c r="H54506" t="str">
        <f t="shared" si="901"/>
        <v/>
      </c>
    </row>
    <row r="54507" spans="8:8" x14ac:dyDescent="0.3">
      <c r="H54507" t="str">
        <f t="shared" si="901"/>
        <v/>
      </c>
    </row>
    <row r="54508" spans="8:8" x14ac:dyDescent="0.3">
      <c r="H54508" t="str">
        <f t="shared" si="901"/>
        <v/>
      </c>
    </row>
    <row r="54509" spans="8:8" x14ac:dyDescent="0.3">
      <c r="H54509" t="str">
        <f t="shared" si="901"/>
        <v/>
      </c>
    </row>
    <row r="54510" spans="8:8" x14ac:dyDescent="0.3">
      <c r="H54510" t="str">
        <f t="shared" si="901"/>
        <v/>
      </c>
    </row>
    <row r="54511" spans="8:8" x14ac:dyDescent="0.3">
      <c r="H54511" t="str">
        <f t="shared" si="901"/>
        <v/>
      </c>
    </row>
    <row r="54512" spans="8:8" x14ac:dyDescent="0.3">
      <c r="H54512" t="str">
        <f t="shared" si="901"/>
        <v/>
      </c>
    </row>
    <row r="54513" spans="8:8" x14ac:dyDescent="0.3">
      <c r="H54513" t="str">
        <f t="shared" si="901"/>
        <v/>
      </c>
    </row>
    <row r="54514" spans="8:8" x14ac:dyDescent="0.3">
      <c r="H54514" t="str">
        <f t="shared" si="901"/>
        <v/>
      </c>
    </row>
    <row r="54515" spans="8:8" x14ac:dyDescent="0.3">
      <c r="H54515" t="str">
        <f t="shared" si="901"/>
        <v/>
      </c>
    </row>
    <row r="54516" spans="8:8" x14ac:dyDescent="0.3">
      <c r="H54516" t="str">
        <f t="shared" si="901"/>
        <v/>
      </c>
    </row>
    <row r="54517" spans="8:8" x14ac:dyDescent="0.3">
      <c r="H54517" t="str">
        <f t="shared" si="901"/>
        <v/>
      </c>
    </row>
    <row r="54518" spans="8:8" x14ac:dyDescent="0.3">
      <c r="H54518" t="str">
        <f t="shared" si="901"/>
        <v/>
      </c>
    </row>
    <row r="54519" spans="8:8" x14ac:dyDescent="0.3">
      <c r="H54519" t="str">
        <f t="shared" si="901"/>
        <v/>
      </c>
    </row>
    <row r="54520" spans="8:8" x14ac:dyDescent="0.3">
      <c r="H54520" t="str">
        <f t="shared" si="901"/>
        <v/>
      </c>
    </row>
    <row r="54521" spans="8:8" x14ac:dyDescent="0.3">
      <c r="H54521" t="str">
        <f t="shared" si="901"/>
        <v/>
      </c>
    </row>
    <row r="54522" spans="8:8" x14ac:dyDescent="0.3">
      <c r="H54522" t="str">
        <f t="shared" si="901"/>
        <v/>
      </c>
    </row>
    <row r="54523" spans="8:8" x14ac:dyDescent="0.3">
      <c r="H54523" t="str">
        <f t="shared" si="901"/>
        <v/>
      </c>
    </row>
    <row r="54524" spans="8:8" x14ac:dyDescent="0.3">
      <c r="H54524" t="str">
        <f t="shared" si="901"/>
        <v/>
      </c>
    </row>
    <row r="54525" spans="8:8" x14ac:dyDescent="0.3">
      <c r="H54525" t="str">
        <f t="shared" si="901"/>
        <v/>
      </c>
    </row>
    <row r="54526" spans="8:8" x14ac:dyDescent="0.3">
      <c r="H54526" t="str">
        <f t="shared" si="901"/>
        <v/>
      </c>
    </row>
    <row r="54527" spans="8:8" x14ac:dyDescent="0.3">
      <c r="H54527" t="str">
        <f t="shared" si="901"/>
        <v/>
      </c>
    </row>
    <row r="54528" spans="8:8" x14ac:dyDescent="0.3">
      <c r="H54528" t="str">
        <f t="shared" si="901"/>
        <v/>
      </c>
    </row>
    <row r="54529" spans="8:8" x14ac:dyDescent="0.3">
      <c r="H54529" t="str">
        <f t="shared" si="901"/>
        <v/>
      </c>
    </row>
    <row r="54530" spans="8:8" x14ac:dyDescent="0.3">
      <c r="H54530" t="str">
        <f t="shared" si="901"/>
        <v/>
      </c>
    </row>
    <row r="54531" spans="8:8" x14ac:dyDescent="0.3">
      <c r="H54531" t="str">
        <f t="shared" si="901"/>
        <v/>
      </c>
    </row>
    <row r="54532" spans="8:8" x14ac:dyDescent="0.3">
      <c r="H54532" t="str">
        <f t="shared" si="901"/>
        <v/>
      </c>
    </row>
    <row r="54533" spans="8:8" x14ac:dyDescent="0.3">
      <c r="H54533" t="str">
        <f t="shared" si="901"/>
        <v/>
      </c>
    </row>
    <row r="54534" spans="8:8" x14ac:dyDescent="0.3">
      <c r="H54534" t="str">
        <f t="shared" si="901"/>
        <v/>
      </c>
    </row>
    <row r="54535" spans="8:8" x14ac:dyDescent="0.3">
      <c r="H54535" t="str">
        <f t="shared" si="901"/>
        <v/>
      </c>
    </row>
    <row r="54536" spans="8:8" x14ac:dyDescent="0.3">
      <c r="H54536" t="str">
        <f t="shared" si="901"/>
        <v/>
      </c>
    </row>
    <row r="54537" spans="8:8" x14ac:dyDescent="0.3">
      <c r="H54537" t="str">
        <f t="shared" si="901"/>
        <v/>
      </c>
    </row>
    <row r="54538" spans="8:8" x14ac:dyDescent="0.3">
      <c r="H54538" t="str">
        <f t="shared" si="901"/>
        <v/>
      </c>
    </row>
    <row r="54539" spans="8:8" x14ac:dyDescent="0.3">
      <c r="H54539" t="str">
        <f t="shared" si="901"/>
        <v/>
      </c>
    </row>
    <row r="54540" spans="8:8" x14ac:dyDescent="0.3">
      <c r="H54540" t="str">
        <f t="shared" si="901"/>
        <v/>
      </c>
    </row>
    <row r="54541" spans="8:8" x14ac:dyDescent="0.3">
      <c r="H54541" t="str">
        <f t="shared" si="901"/>
        <v/>
      </c>
    </row>
    <row r="54542" spans="8:8" x14ac:dyDescent="0.3">
      <c r="H54542" t="str">
        <f t="shared" si="901"/>
        <v/>
      </c>
    </row>
    <row r="54543" spans="8:8" x14ac:dyDescent="0.3">
      <c r="H54543" t="str">
        <f t="shared" si="901"/>
        <v/>
      </c>
    </row>
    <row r="54544" spans="8:8" x14ac:dyDescent="0.3">
      <c r="H54544" t="str">
        <f t="shared" si="901"/>
        <v/>
      </c>
    </row>
    <row r="54545" spans="8:8" x14ac:dyDescent="0.3">
      <c r="H54545" t="str">
        <f t="shared" si="901"/>
        <v/>
      </c>
    </row>
    <row r="54546" spans="8:8" x14ac:dyDescent="0.3">
      <c r="H54546" t="str">
        <f t="shared" si="901"/>
        <v/>
      </c>
    </row>
    <row r="54547" spans="8:8" x14ac:dyDescent="0.3">
      <c r="H54547" t="str">
        <f t="shared" si="901"/>
        <v/>
      </c>
    </row>
    <row r="54548" spans="8:8" x14ac:dyDescent="0.3">
      <c r="H54548" t="str">
        <f t="shared" si="901"/>
        <v/>
      </c>
    </row>
    <row r="54549" spans="8:8" x14ac:dyDescent="0.3">
      <c r="H54549" t="str">
        <f t="shared" si="901"/>
        <v/>
      </c>
    </row>
    <row r="54550" spans="8:8" x14ac:dyDescent="0.3">
      <c r="H54550" t="str">
        <f t="shared" si="901"/>
        <v/>
      </c>
    </row>
    <row r="54551" spans="8:8" x14ac:dyDescent="0.3">
      <c r="H54551" t="str">
        <f t="shared" ref="H54551:H54614" si="902">IF(B54551="","",$C$12)</f>
        <v/>
      </c>
    </row>
    <row r="54552" spans="8:8" x14ac:dyDescent="0.3">
      <c r="H54552" t="str">
        <f t="shared" si="902"/>
        <v/>
      </c>
    </row>
    <row r="54553" spans="8:8" x14ac:dyDescent="0.3">
      <c r="H54553" t="str">
        <f t="shared" si="902"/>
        <v/>
      </c>
    </row>
    <row r="54554" spans="8:8" x14ac:dyDescent="0.3">
      <c r="H54554" t="str">
        <f t="shared" si="902"/>
        <v/>
      </c>
    </row>
    <row r="54555" spans="8:8" x14ac:dyDescent="0.3">
      <c r="H54555" t="str">
        <f t="shared" si="902"/>
        <v/>
      </c>
    </row>
    <row r="54556" spans="8:8" x14ac:dyDescent="0.3">
      <c r="H54556" t="str">
        <f t="shared" si="902"/>
        <v/>
      </c>
    </row>
    <row r="54557" spans="8:8" x14ac:dyDescent="0.3">
      <c r="H54557" t="str">
        <f t="shared" si="902"/>
        <v/>
      </c>
    </row>
    <row r="54558" spans="8:8" x14ac:dyDescent="0.3">
      <c r="H54558" t="str">
        <f t="shared" si="902"/>
        <v/>
      </c>
    </row>
    <row r="54559" spans="8:8" x14ac:dyDescent="0.3">
      <c r="H54559" t="str">
        <f t="shared" si="902"/>
        <v/>
      </c>
    </row>
    <row r="54560" spans="8:8" x14ac:dyDescent="0.3">
      <c r="H54560" t="str">
        <f t="shared" si="902"/>
        <v/>
      </c>
    </row>
    <row r="54561" spans="8:8" x14ac:dyDescent="0.3">
      <c r="H54561" t="str">
        <f t="shared" si="902"/>
        <v/>
      </c>
    </row>
    <row r="54562" spans="8:8" x14ac:dyDescent="0.3">
      <c r="H54562" t="str">
        <f t="shared" si="902"/>
        <v/>
      </c>
    </row>
    <row r="54563" spans="8:8" x14ac:dyDescent="0.3">
      <c r="H54563" t="str">
        <f t="shared" si="902"/>
        <v/>
      </c>
    </row>
    <row r="54564" spans="8:8" x14ac:dyDescent="0.3">
      <c r="H54564" t="str">
        <f t="shared" si="902"/>
        <v/>
      </c>
    </row>
    <row r="54565" spans="8:8" x14ac:dyDescent="0.3">
      <c r="H54565" t="str">
        <f t="shared" si="902"/>
        <v/>
      </c>
    </row>
    <row r="54566" spans="8:8" x14ac:dyDescent="0.3">
      <c r="H54566" t="str">
        <f t="shared" si="902"/>
        <v/>
      </c>
    </row>
    <row r="54567" spans="8:8" x14ac:dyDescent="0.3">
      <c r="H54567" t="str">
        <f t="shared" si="902"/>
        <v/>
      </c>
    </row>
    <row r="54568" spans="8:8" x14ac:dyDescent="0.3">
      <c r="H54568" t="str">
        <f t="shared" si="902"/>
        <v/>
      </c>
    </row>
    <row r="54569" spans="8:8" x14ac:dyDescent="0.3">
      <c r="H54569" t="str">
        <f t="shared" si="902"/>
        <v/>
      </c>
    </row>
    <row r="54570" spans="8:8" x14ac:dyDescent="0.3">
      <c r="H54570" t="str">
        <f t="shared" si="902"/>
        <v/>
      </c>
    </row>
    <row r="54571" spans="8:8" x14ac:dyDescent="0.3">
      <c r="H54571" t="str">
        <f t="shared" si="902"/>
        <v/>
      </c>
    </row>
    <row r="54572" spans="8:8" x14ac:dyDescent="0.3">
      <c r="H54572" t="str">
        <f t="shared" si="902"/>
        <v/>
      </c>
    </row>
    <row r="54573" spans="8:8" x14ac:dyDescent="0.3">
      <c r="H54573" t="str">
        <f t="shared" si="902"/>
        <v/>
      </c>
    </row>
    <row r="54574" spans="8:8" x14ac:dyDescent="0.3">
      <c r="H54574" t="str">
        <f t="shared" si="902"/>
        <v/>
      </c>
    </row>
    <row r="54575" spans="8:8" x14ac:dyDescent="0.3">
      <c r="H54575" t="str">
        <f t="shared" si="902"/>
        <v/>
      </c>
    </row>
    <row r="54576" spans="8:8" x14ac:dyDescent="0.3">
      <c r="H54576" t="str">
        <f t="shared" si="902"/>
        <v/>
      </c>
    </row>
    <row r="54577" spans="8:8" x14ac:dyDescent="0.3">
      <c r="H54577" t="str">
        <f t="shared" si="902"/>
        <v/>
      </c>
    </row>
    <row r="54578" spans="8:8" x14ac:dyDescent="0.3">
      <c r="H54578" t="str">
        <f t="shared" si="902"/>
        <v/>
      </c>
    </row>
    <row r="54579" spans="8:8" x14ac:dyDescent="0.3">
      <c r="H54579" t="str">
        <f t="shared" si="902"/>
        <v/>
      </c>
    </row>
    <row r="54580" spans="8:8" x14ac:dyDescent="0.3">
      <c r="H54580" t="str">
        <f t="shared" si="902"/>
        <v/>
      </c>
    </row>
    <row r="54581" spans="8:8" x14ac:dyDescent="0.3">
      <c r="H54581" t="str">
        <f t="shared" si="902"/>
        <v/>
      </c>
    </row>
    <row r="54582" spans="8:8" x14ac:dyDescent="0.3">
      <c r="H54582" t="str">
        <f t="shared" si="902"/>
        <v/>
      </c>
    </row>
    <row r="54583" spans="8:8" x14ac:dyDescent="0.3">
      <c r="H54583" t="str">
        <f t="shared" si="902"/>
        <v/>
      </c>
    </row>
    <row r="54584" spans="8:8" x14ac:dyDescent="0.3">
      <c r="H54584" t="str">
        <f t="shared" si="902"/>
        <v/>
      </c>
    </row>
    <row r="54585" spans="8:8" x14ac:dyDescent="0.3">
      <c r="H54585" t="str">
        <f t="shared" si="902"/>
        <v/>
      </c>
    </row>
    <row r="54586" spans="8:8" x14ac:dyDescent="0.3">
      <c r="H54586" t="str">
        <f t="shared" si="902"/>
        <v/>
      </c>
    </row>
    <row r="54587" spans="8:8" x14ac:dyDescent="0.3">
      <c r="H54587" t="str">
        <f t="shared" si="902"/>
        <v/>
      </c>
    </row>
    <row r="54588" spans="8:8" x14ac:dyDescent="0.3">
      <c r="H54588" t="str">
        <f t="shared" si="902"/>
        <v/>
      </c>
    </row>
    <row r="54589" spans="8:8" x14ac:dyDescent="0.3">
      <c r="H54589" t="str">
        <f t="shared" si="902"/>
        <v/>
      </c>
    </row>
    <row r="54590" spans="8:8" x14ac:dyDescent="0.3">
      <c r="H54590" t="str">
        <f t="shared" si="902"/>
        <v/>
      </c>
    </row>
    <row r="54591" spans="8:8" x14ac:dyDescent="0.3">
      <c r="H54591" t="str">
        <f t="shared" si="902"/>
        <v/>
      </c>
    </row>
    <row r="54592" spans="8:8" x14ac:dyDescent="0.3">
      <c r="H54592" t="str">
        <f t="shared" si="902"/>
        <v/>
      </c>
    </row>
    <row r="54593" spans="8:8" x14ac:dyDescent="0.3">
      <c r="H54593" t="str">
        <f t="shared" si="902"/>
        <v/>
      </c>
    </row>
    <row r="54594" spans="8:8" x14ac:dyDescent="0.3">
      <c r="H54594" t="str">
        <f t="shared" si="902"/>
        <v/>
      </c>
    </row>
    <row r="54595" spans="8:8" x14ac:dyDescent="0.3">
      <c r="H54595" t="str">
        <f t="shared" si="902"/>
        <v/>
      </c>
    </row>
    <row r="54596" spans="8:8" x14ac:dyDescent="0.3">
      <c r="H54596" t="str">
        <f t="shared" si="902"/>
        <v/>
      </c>
    </row>
    <row r="54597" spans="8:8" x14ac:dyDescent="0.3">
      <c r="H54597" t="str">
        <f t="shared" si="902"/>
        <v/>
      </c>
    </row>
    <row r="54598" spans="8:8" x14ac:dyDescent="0.3">
      <c r="H54598" t="str">
        <f t="shared" si="902"/>
        <v/>
      </c>
    </row>
    <row r="54599" spans="8:8" x14ac:dyDescent="0.3">
      <c r="H54599" t="str">
        <f t="shared" si="902"/>
        <v/>
      </c>
    </row>
    <row r="54600" spans="8:8" x14ac:dyDescent="0.3">
      <c r="H54600" t="str">
        <f t="shared" si="902"/>
        <v/>
      </c>
    </row>
    <row r="54601" spans="8:8" x14ac:dyDescent="0.3">
      <c r="H54601" t="str">
        <f t="shared" si="902"/>
        <v/>
      </c>
    </row>
    <row r="54602" spans="8:8" x14ac:dyDescent="0.3">
      <c r="H54602" t="str">
        <f t="shared" si="902"/>
        <v/>
      </c>
    </row>
    <row r="54603" spans="8:8" x14ac:dyDescent="0.3">
      <c r="H54603" t="str">
        <f t="shared" si="902"/>
        <v/>
      </c>
    </row>
    <row r="54604" spans="8:8" x14ac:dyDescent="0.3">
      <c r="H54604" t="str">
        <f t="shared" si="902"/>
        <v/>
      </c>
    </row>
    <row r="54605" spans="8:8" x14ac:dyDescent="0.3">
      <c r="H54605" t="str">
        <f t="shared" si="902"/>
        <v/>
      </c>
    </row>
    <row r="54606" spans="8:8" x14ac:dyDescent="0.3">
      <c r="H54606" t="str">
        <f t="shared" si="902"/>
        <v/>
      </c>
    </row>
    <row r="54607" spans="8:8" x14ac:dyDescent="0.3">
      <c r="H54607" t="str">
        <f t="shared" si="902"/>
        <v/>
      </c>
    </row>
    <row r="54608" spans="8:8" x14ac:dyDescent="0.3">
      <c r="H54608" t="str">
        <f t="shared" si="902"/>
        <v/>
      </c>
    </row>
    <row r="54609" spans="8:8" x14ac:dyDescent="0.3">
      <c r="H54609" t="str">
        <f t="shared" si="902"/>
        <v/>
      </c>
    </row>
    <row r="54610" spans="8:8" x14ac:dyDescent="0.3">
      <c r="H54610" t="str">
        <f t="shared" si="902"/>
        <v/>
      </c>
    </row>
    <row r="54611" spans="8:8" x14ac:dyDescent="0.3">
      <c r="H54611" t="str">
        <f t="shared" si="902"/>
        <v/>
      </c>
    </row>
    <row r="54612" spans="8:8" x14ac:dyDescent="0.3">
      <c r="H54612" t="str">
        <f t="shared" si="902"/>
        <v/>
      </c>
    </row>
    <row r="54613" spans="8:8" x14ac:dyDescent="0.3">
      <c r="H54613" t="str">
        <f t="shared" si="902"/>
        <v/>
      </c>
    </row>
    <row r="54614" spans="8:8" x14ac:dyDescent="0.3">
      <c r="H54614" t="str">
        <f t="shared" si="902"/>
        <v/>
      </c>
    </row>
    <row r="54615" spans="8:8" x14ac:dyDescent="0.3">
      <c r="H54615" t="str">
        <f t="shared" ref="H54615:H54678" si="903">IF(B54615="","",$C$12)</f>
        <v/>
      </c>
    </row>
    <row r="54616" spans="8:8" x14ac:dyDescent="0.3">
      <c r="H54616" t="str">
        <f t="shared" si="903"/>
        <v/>
      </c>
    </row>
    <row r="54617" spans="8:8" x14ac:dyDescent="0.3">
      <c r="H54617" t="str">
        <f t="shared" si="903"/>
        <v/>
      </c>
    </row>
    <row r="54618" spans="8:8" x14ac:dyDescent="0.3">
      <c r="H54618" t="str">
        <f t="shared" si="903"/>
        <v/>
      </c>
    </row>
    <row r="54619" spans="8:8" x14ac:dyDescent="0.3">
      <c r="H54619" t="str">
        <f t="shared" si="903"/>
        <v/>
      </c>
    </row>
    <row r="54620" spans="8:8" x14ac:dyDescent="0.3">
      <c r="H54620" t="str">
        <f t="shared" si="903"/>
        <v/>
      </c>
    </row>
    <row r="54621" spans="8:8" x14ac:dyDescent="0.3">
      <c r="H54621" t="str">
        <f t="shared" si="903"/>
        <v/>
      </c>
    </row>
    <row r="54622" spans="8:8" x14ac:dyDescent="0.3">
      <c r="H54622" t="str">
        <f t="shared" si="903"/>
        <v/>
      </c>
    </row>
    <row r="54623" spans="8:8" x14ac:dyDescent="0.3">
      <c r="H54623" t="str">
        <f t="shared" si="903"/>
        <v/>
      </c>
    </row>
    <row r="54624" spans="8:8" x14ac:dyDescent="0.3">
      <c r="H54624" t="str">
        <f t="shared" si="903"/>
        <v/>
      </c>
    </row>
    <row r="54625" spans="8:8" x14ac:dyDescent="0.3">
      <c r="H54625" t="str">
        <f t="shared" si="903"/>
        <v/>
      </c>
    </row>
    <row r="54626" spans="8:8" x14ac:dyDescent="0.3">
      <c r="H54626" t="str">
        <f t="shared" si="903"/>
        <v/>
      </c>
    </row>
    <row r="54627" spans="8:8" x14ac:dyDescent="0.3">
      <c r="H54627" t="str">
        <f t="shared" si="903"/>
        <v/>
      </c>
    </row>
    <row r="54628" spans="8:8" x14ac:dyDescent="0.3">
      <c r="H54628" t="str">
        <f t="shared" si="903"/>
        <v/>
      </c>
    </row>
    <row r="54629" spans="8:8" x14ac:dyDescent="0.3">
      <c r="H54629" t="str">
        <f t="shared" si="903"/>
        <v/>
      </c>
    </row>
    <row r="54630" spans="8:8" x14ac:dyDescent="0.3">
      <c r="H54630" t="str">
        <f t="shared" si="903"/>
        <v/>
      </c>
    </row>
    <row r="54631" spans="8:8" x14ac:dyDescent="0.3">
      <c r="H54631" t="str">
        <f t="shared" si="903"/>
        <v/>
      </c>
    </row>
    <row r="54632" spans="8:8" x14ac:dyDescent="0.3">
      <c r="H54632" t="str">
        <f t="shared" si="903"/>
        <v/>
      </c>
    </row>
    <row r="54633" spans="8:8" x14ac:dyDescent="0.3">
      <c r="H54633" t="str">
        <f t="shared" si="903"/>
        <v/>
      </c>
    </row>
    <row r="54634" spans="8:8" x14ac:dyDescent="0.3">
      <c r="H54634" t="str">
        <f t="shared" si="903"/>
        <v/>
      </c>
    </row>
    <row r="54635" spans="8:8" x14ac:dyDescent="0.3">
      <c r="H54635" t="str">
        <f t="shared" si="903"/>
        <v/>
      </c>
    </row>
    <row r="54636" spans="8:8" x14ac:dyDescent="0.3">
      <c r="H54636" t="str">
        <f t="shared" si="903"/>
        <v/>
      </c>
    </row>
    <row r="54637" spans="8:8" x14ac:dyDescent="0.3">
      <c r="H54637" t="str">
        <f t="shared" si="903"/>
        <v/>
      </c>
    </row>
    <row r="54638" spans="8:8" x14ac:dyDescent="0.3">
      <c r="H54638" t="str">
        <f t="shared" si="903"/>
        <v/>
      </c>
    </row>
    <row r="54639" spans="8:8" x14ac:dyDescent="0.3">
      <c r="H54639" t="str">
        <f t="shared" si="903"/>
        <v/>
      </c>
    </row>
    <row r="54640" spans="8:8" x14ac:dyDescent="0.3">
      <c r="H54640" t="str">
        <f t="shared" si="903"/>
        <v/>
      </c>
    </row>
    <row r="54641" spans="8:8" x14ac:dyDescent="0.3">
      <c r="H54641" t="str">
        <f t="shared" si="903"/>
        <v/>
      </c>
    </row>
    <row r="54642" spans="8:8" x14ac:dyDescent="0.3">
      <c r="H54642" t="str">
        <f t="shared" si="903"/>
        <v/>
      </c>
    </row>
    <row r="54643" spans="8:8" x14ac:dyDescent="0.3">
      <c r="H54643" t="str">
        <f t="shared" si="903"/>
        <v/>
      </c>
    </row>
    <row r="54644" spans="8:8" x14ac:dyDescent="0.3">
      <c r="H54644" t="str">
        <f t="shared" si="903"/>
        <v/>
      </c>
    </row>
    <row r="54645" spans="8:8" x14ac:dyDescent="0.3">
      <c r="H54645" t="str">
        <f t="shared" si="903"/>
        <v/>
      </c>
    </row>
    <row r="54646" spans="8:8" x14ac:dyDescent="0.3">
      <c r="H54646" t="str">
        <f t="shared" si="903"/>
        <v/>
      </c>
    </row>
    <row r="54647" spans="8:8" x14ac:dyDescent="0.3">
      <c r="H54647" t="str">
        <f t="shared" si="903"/>
        <v/>
      </c>
    </row>
    <row r="54648" spans="8:8" x14ac:dyDescent="0.3">
      <c r="H54648" t="str">
        <f t="shared" si="903"/>
        <v/>
      </c>
    </row>
    <row r="54649" spans="8:8" x14ac:dyDescent="0.3">
      <c r="H54649" t="str">
        <f t="shared" si="903"/>
        <v/>
      </c>
    </row>
    <row r="54650" spans="8:8" x14ac:dyDescent="0.3">
      <c r="H54650" t="str">
        <f t="shared" si="903"/>
        <v/>
      </c>
    </row>
    <row r="54651" spans="8:8" x14ac:dyDescent="0.3">
      <c r="H54651" t="str">
        <f t="shared" si="903"/>
        <v/>
      </c>
    </row>
    <row r="54652" spans="8:8" x14ac:dyDescent="0.3">
      <c r="H54652" t="str">
        <f t="shared" si="903"/>
        <v/>
      </c>
    </row>
    <row r="54653" spans="8:8" x14ac:dyDescent="0.3">
      <c r="H54653" t="str">
        <f t="shared" si="903"/>
        <v/>
      </c>
    </row>
    <row r="54654" spans="8:8" x14ac:dyDescent="0.3">
      <c r="H54654" t="str">
        <f t="shared" si="903"/>
        <v/>
      </c>
    </row>
    <row r="54655" spans="8:8" x14ac:dyDescent="0.3">
      <c r="H54655" t="str">
        <f t="shared" si="903"/>
        <v/>
      </c>
    </row>
    <row r="54656" spans="8:8" x14ac:dyDescent="0.3">
      <c r="H54656" t="str">
        <f t="shared" si="903"/>
        <v/>
      </c>
    </row>
    <row r="54657" spans="8:8" x14ac:dyDescent="0.3">
      <c r="H54657" t="str">
        <f t="shared" si="903"/>
        <v/>
      </c>
    </row>
    <row r="54658" spans="8:8" x14ac:dyDescent="0.3">
      <c r="H54658" t="str">
        <f t="shared" si="903"/>
        <v/>
      </c>
    </row>
    <row r="54659" spans="8:8" x14ac:dyDescent="0.3">
      <c r="H54659" t="str">
        <f t="shared" si="903"/>
        <v/>
      </c>
    </row>
    <row r="54660" spans="8:8" x14ac:dyDescent="0.3">
      <c r="H54660" t="str">
        <f t="shared" si="903"/>
        <v/>
      </c>
    </row>
    <row r="54661" spans="8:8" x14ac:dyDescent="0.3">
      <c r="H54661" t="str">
        <f t="shared" si="903"/>
        <v/>
      </c>
    </row>
    <row r="54662" spans="8:8" x14ac:dyDescent="0.3">
      <c r="H54662" t="str">
        <f t="shared" si="903"/>
        <v/>
      </c>
    </row>
    <row r="54663" spans="8:8" x14ac:dyDescent="0.3">
      <c r="H54663" t="str">
        <f t="shared" si="903"/>
        <v/>
      </c>
    </row>
    <row r="54664" spans="8:8" x14ac:dyDescent="0.3">
      <c r="H54664" t="str">
        <f t="shared" si="903"/>
        <v/>
      </c>
    </row>
    <row r="54665" spans="8:8" x14ac:dyDescent="0.3">
      <c r="H54665" t="str">
        <f t="shared" si="903"/>
        <v/>
      </c>
    </row>
    <row r="54666" spans="8:8" x14ac:dyDescent="0.3">
      <c r="H54666" t="str">
        <f t="shared" si="903"/>
        <v/>
      </c>
    </row>
    <row r="54667" spans="8:8" x14ac:dyDescent="0.3">
      <c r="H54667" t="str">
        <f t="shared" si="903"/>
        <v/>
      </c>
    </row>
    <row r="54668" spans="8:8" x14ac:dyDescent="0.3">
      <c r="H54668" t="str">
        <f t="shared" si="903"/>
        <v/>
      </c>
    </row>
    <row r="54669" spans="8:8" x14ac:dyDescent="0.3">
      <c r="H54669" t="str">
        <f t="shared" si="903"/>
        <v/>
      </c>
    </row>
    <row r="54670" spans="8:8" x14ac:dyDescent="0.3">
      <c r="H54670" t="str">
        <f t="shared" si="903"/>
        <v/>
      </c>
    </row>
    <row r="54671" spans="8:8" x14ac:dyDescent="0.3">
      <c r="H54671" t="str">
        <f t="shared" si="903"/>
        <v/>
      </c>
    </row>
    <row r="54672" spans="8:8" x14ac:dyDescent="0.3">
      <c r="H54672" t="str">
        <f t="shared" si="903"/>
        <v/>
      </c>
    </row>
    <row r="54673" spans="8:8" x14ac:dyDescent="0.3">
      <c r="H54673" t="str">
        <f t="shared" si="903"/>
        <v/>
      </c>
    </row>
    <row r="54674" spans="8:8" x14ac:dyDescent="0.3">
      <c r="H54674" t="str">
        <f t="shared" si="903"/>
        <v/>
      </c>
    </row>
    <row r="54675" spans="8:8" x14ac:dyDescent="0.3">
      <c r="H54675" t="str">
        <f t="shared" si="903"/>
        <v/>
      </c>
    </row>
    <row r="54676" spans="8:8" x14ac:dyDescent="0.3">
      <c r="H54676" t="str">
        <f t="shared" si="903"/>
        <v/>
      </c>
    </row>
    <row r="54677" spans="8:8" x14ac:dyDescent="0.3">
      <c r="H54677" t="str">
        <f t="shared" si="903"/>
        <v/>
      </c>
    </row>
    <row r="54678" spans="8:8" x14ac:dyDescent="0.3">
      <c r="H54678" t="str">
        <f t="shared" si="903"/>
        <v/>
      </c>
    </row>
    <row r="54679" spans="8:8" x14ac:dyDescent="0.3">
      <c r="H54679" t="str">
        <f t="shared" ref="H54679:H54742" si="904">IF(B54679="","",$C$12)</f>
        <v/>
      </c>
    </row>
    <row r="54680" spans="8:8" x14ac:dyDescent="0.3">
      <c r="H54680" t="str">
        <f t="shared" si="904"/>
        <v/>
      </c>
    </row>
    <row r="54681" spans="8:8" x14ac:dyDescent="0.3">
      <c r="H54681" t="str">
        <f t="shared" si="904"/>
        <v/>
      </c>
    </row>
    <row r="54682" spans="8:8" x14ac:dyDescent="0.3">
      <c r="H54682" t="str">
        <f t="shared" si="904"/>
        <v/>
      </c>
    </row>
    <row r="54683" spans="8:8" x14ac:dyDescent="0.3">
      <c r="H54683" t="str">
        <f t="shared" si="904"/>
        <v/>
      </c>
    </row>
    <row r="54684" spans="8:8" x14ac:dyDescent="0.3">
      <c r="H54684" t="str">
        <f t="shared" si="904"/>
        <v/>
      </c>
    </row>
    <row r="54685" spans="8:8" x14ac:dyDescent="0.3">
      <c r="H54685" t="str">
        <f t="shared" si="904"/>
        <v/>
      </c>
    </row>
    <row r="54686" spans="8:8" x14ac:dyDescent="0.3">
      <c r="H54686" t="str">
        <f t="shared" si="904"/>
        <v/>
      </c>
    </row>
    <row r="54687" spans="8:8" x14ac:dyDescent="0.3">
      <c r="H54687" t="str">
        <f t="shared" si="904"/>
        <v/>
      </c>
    </row>
    <row r="54688" spans="8:8" x14ac:dyDescent="0.3">
      <c r="H54688" t="str">
        <f t="shared" si="904"/>
        <v/>
      </c>
    </row>
    <row r="54689" spans="8:8" x14ac:dyDescent="0.3">
      <c r="H54689" t="str">
        <f t="shared" si="904"/>
        <v/>
      </c>
    </row>
    <row r="54690" spans="8:8" x14ac:dyDescent="0.3">
      <c r="H54690" t="str">
        <f t="shared" si="904"/>
        <v/>
      </c>
    </row>
    <row r="54691" spans="8:8" x14ac:dyDescent="0.3">
      <c r="H54691" t="str">
        <f t="shared" si="904"/>
        <v/>
      </c>
    </row>
    <row r="54692" spans="8:8" x14ac:dyDescent="0.3">
      <c r="H54692" t="str">
        <f t="shared" si="904"/>
        <v/>
      </c>
    </row>
    <row r="54693" spans="8:8" x14ac:dyDescent="0.3">
      <c r="H54693" t="str">
        <f t="shared" si="904"/>
        <v/>
      </c>
    </row>
    <row r="54694" spans="8:8" x14ac:dyDescent="0.3">
      <c r="H54694" t="str">
        <f t="shared" si="904"/>
        <v/>
      </c>
    </row>
    <row r="54695" spans="8:8" x14ac:dyDescent="0.3">
      <c r="H54695" t="str">
        <f t="shared" si="904"/>
        <v/>
      </c>
    </row>
    <row r="54696" spans="8:8" x14ac:dyDescent="0.3">
      <c r="H54696" t="str">
        <f t="shared" si="904"/>
        <v/>
      </c>
    </row>
    <row r="54697" spans="8:8" x14ac:dyDescent="0.3">
      <c r="H54697" t="str">
        <f t="shared" si="904"/>
        <v/>
      </c>
    </row>
    <row r="54698" spans="8:8" x14ac:dyDescent="0.3">
      <c r="H54698" t="str">
        <f t="shared" si="904"/>
        <v/>
      </c>
    </row>
    <row r="54699" spans="8:8" x14ac:dyDescent="0.3">
      <c r="H54699" t="str">
        <f t="shared" si="904"/>
        <v/>
      </c>
    </row>
    <row r="54700" spans="8:8" x14ac:dyDescent="0.3">
      <c r="H54700" t="str">
        <f t="shared" si="904"/>
        <v/>
      </c>
    </row>
    <row r="54701" spans="8:8" x14ac:dyDescent="0.3">
      <c r="H54701" t="str">
        <f t="shared" si="904"/>
        <v/>
      </c>
    </row>
    <row r="54702" spans="8:8" x14ac:dyDescent="0.3">
      <c r="H54702" t="str">
        <f t="shared" si="904"/>
        <v/>
      </c>
    </row>
    <row r="54703" spans="8:8" x14ac:dyDescent="0.3">
      <c r="H54703" t="str">
        <f t="shared" si="904"/>
        <v/>
      </c>
    </row>
    <row r="54704" spans="8:8" x14ac:dyDescent="0.3">
      <c r="H54704" t="str">
        <f t="shared" si="904"/>
        <v/>
      </c>
    </row>
    <row r="54705" spans="8:8" x14ac:dyDescent="0.3">
      <c r="H54705" t="str">
        <f t="shared" si="904"/>
        <v/>
      </c>
    </row>
    <row r="54706" spans="8:8" x14ac:dyDescent="0.3">
      <c r="H54706" t="str">
        <f t="shared" si="904"/>
        <v/>
      </c>
    </row>
    <row r="54707" spans="8:8" x14ac:dyDescent="0.3">
      <c r="H54707" t="str">
        <f t="shared" si="904"/>
        <v/>
      </c>
    </row>
    <row r="54708" spans="8:8" x14ac:dyDescent="0.3">
      <c r="H54708" t="str">
        <f t="shared" si="904"/>
        <v/>
      </c>
    </row>
    <row r="54709" spans="8:8" x14ac:dyDescent="0.3">
      <c r="H54709" t="str">
        <f t="shared" si="904"/>
        <v/>
      </c>
    </row>
    <row r="54710" spans="8:8" x14ac:dyDescent="0.3">
      <c r="H54710" t="str">
        <f t="shared" si="904"/>
        <v/>
      </c>
    </row>
    <row r="54711" spans="8:8" x14ac:dyDescent="0.3">
      <c r="H54711" t="str">
        <f t="shared" si="904"/>
        <v/>
      </c>
    </row>
    <row r="54712" spans="8:8" x14ac:dyDescent="0.3">
      <c r="H54712" t="str">
        <f t="shared" si="904"/>
        <v/>
      </c>
    </row>
    <row r="54713" spans="8:8" x14ac:dyDescent="0.3">
      <c r="H54713" t="str">
        <f t="shared" si="904"/>
        <v/>
      </c>
    </row>
    <row r="54714" spans="8:8" x14ac:dyDescent="0.3">
      <c r="H54714" t="str">
        <f t="shared" si="904"/>
        <v/>
      </c>
    </row>
    <row r="54715" spans="8:8" x14ac:dyDescent="0.3">
      <c r="H54715" t="str">
        <f t="shared" si="904"/>
        <v/>
      </c>
    </row>
    <row r="54716" spans="8:8" x14ac:dyDescent="0.3">
      <c r="H54716" t="str">
        <f t="shared" si="904"/>
        <v/>
      </c>
    </row>
    <row r="54717" spans="8:8" x14ac:dyDescent="0.3">
      <c r="H54717" t="str">
        <f t="shared" si="904"/>
        <v/>
      </c>
    </row>
    <row r="54718" spans="8:8" x14ac:dyDescent="0.3">
      <c r="H54718" t="str">
        <f t="shared" si="904"/>
        <v/>
      </c>
    </row>
    <row r="54719" spans="8:8" x14ac:dyDescent="0.3">
      <c r="H54719" t="str">
        <f t="shared" si="904"/>
        <v/>
      </c>
    </row>
    <row r="54720" spans="8:8" x14ac:dyDescent="0.3">
      <c r="H54720" t="str">
        <f t="shared" si="904"/>
        <v/>
      </c>
    </row>
    <row r="54721" spans="8:8" x14ac:dyDescent="0.3">
      <c r="H54721" t="str">
        <f t="shared" si="904"/>
        <v/>
      </c>
    </row>
    <row r="54722" spans="8:8" x14ac:dyDescent="0.3">
      <c r="H54722" t="str">
        <f t="shared" si="904"/>
        <v/>
      </c>
    </row>
    <row r="54723" spans="8:8" x14ac:dyDescent="0.3">
      <c r="H54723" t="str">
        <f t="shared" si="904"/>
        <v/>
      </c>
    </row>
    <row r="54724" spans="8:8" x14ac:dyDescent="0.3">
      <c r="H54724" t="str">
        <f t="shared" si="904"/>
        <v/>
      </c>
    </row>
    <row r="54725" spans="8:8" x14ac:dyDescent="0.3">
      <c r="H54725" t="str">
        <f t="shared" si="904"/>
        <v/>
      </c>
    </row>
    <row r="54726" spans="8:8" x14ac:dyDescent="0.3">
      <c r="H54726" t="str">
        <f t="shared" si="904"/>
        <v/>
      </c>
    </row>
    <row r="54727" spans="8:8" x14ac:dyDescent="0.3">
      <c r="H54727" t="str">
        <f t="shared" si="904"/>
        <v/>
      </c>
    </row>
    <row r="54728" spans="8:8" x14ac:dyDescent="0.3">
      <c r="H54728" t="str">
        <f t="shared" si="904"/>
        <v/>
      </c>
    </row>
    <row r="54729" spans="8:8" x14ac:dyDescent="0.3">
      <c r="H54729" t="str">
        <f t="shared" si="904"/>
        <v/>
      </c>
    </row>
    <row r="54730" spans="8:8" x14ac:dyDescent="0.3">
      <c r="H54730" t="str">
        <f t="shared" si="904"/>
        <v/>
      </c>
    </row>
    <row r="54731" spans="8:8" x14ac:dyDescent="0.3">
      <c r="H54731" t="str">
        <f t="shared" si="904"/>
        <v/>
      </c>
    </row>
    <row r="54732" spans="8:8" x14ac:dyDescent="0.3">
      <c r="H54732" t="str">
        <f t="shared" si="904"/>
        <v/>
      </c>
    </row>
    <row r="54733" spans="8:8" x14ac:dyDescent="0.3">
      <c r="H54733" t="str">
        <f t="shared" si="904"/>
        <v/>
      </c>
    </row>
    <row r="54734" spans="8:8" x14ac:dyDescent="0.3">
      <c r="H54734" t="str">
        <f t="shared" si="904"/>
        <v/>
      </c>
    </row>
    <row r="54735" spans="8:8" x14ac:dyDescent="0.3">
      <c r="H54735" t="str">
        <f t="shared" si="904"/>
        <v/>
      </c>
    </row>
    <row r="54736" spans="8:8" x14ac:dyDescent="0.3">
      <c r="H54736" t="str">
        <f t="shared" si="904"/>
        <v/>
      </c>
    </row>
    <row r="54737" spans="8:8" x14ac:dyDescent="0.3">
      <c r="H54737" t="str">
        <f t="shared" si="904"/>
        <v/>
      </c>
    </row>
    <row r="54738" spans="8:8" x14ac:dyDescent="0.3">
      <c r="H54738" t="str">
        <f t="shared" si="904"/>
        <v/>
      </c>
    </row>
    <row r="54739" spans="8:8" x14ac:dyDescent="0.3">
      <c r="H54739" t="str">
        <f t="shared" si="904"/>
        <v/>
      </c>
    </row>
    <row r="54740" spans="8:8" x14ac:dyDescent="0.3">
      <c r="H54740" t="str">
        <f t="shared" si="904"/>
        <v/>
      </c>
    </row>
    <row r="54741" spans="8:8" x14ac:dyDescent="0.3">
      <c r="H54741" t="str">
        <f t="shared" si="904"/>
        <v/>
      </c>
    </row>
    <row r="54742" spans="8:8" x14ac:dyDescent="0.3">
      <c r="H54742" t="str">
        <f t="shared" si="904"/>
        <v/>
      </c>
    </row>
    <row r="54743" spans="8:8" x14ac:dyDescent="0.3">
      <c r="H54743" t="str">
        <f t="shared" ref="H54743:H54806" si="905">IF(B54743="","",$C$12)</f>
        <v/>
      </c>
    </row>
    <row r="54744" spans="8:8" x14ac:dyDescent="0.3">
      <c r="H54744" t="str">
        <f t="shared" si="905"/>
        <v/>
      </c>
    </row>
    <row r="54745" spans="8:8" x14ac:dyDescent="0.3">
      <c r="H54745" t="str">
        <f t="shared" si="905"/>
        <v/>
      </c>
    </row>
    <row r="54746" spans="8:8" x14ac:dyDescent="0.3">
      <c r="H54746" t="str">
        <f t="shared" si="905"/>
        <v/>
      </c>
    </row>
    <row r="54747" spans="8:8" x14ac:dyDescent="0.3">
      <c r="H54747" t="str">
        <f t="shared" si="905"/>
        <v/>
      </c>
    </row>
    <row r="54748" spans="8:8" x14ac:dyDescent="0.3">
      <c r="H54748" t="str">
        <f t="shared" si="905"/>
        <v/>
      </c>
    </row>
    <row r="54749" spans="8:8" x14ac:dyDescent="0.3">
      <c r="H54749" t="str">
        <f t="shared" si="905"/>
        <v/>
      </c>
    </row>
    <row r="54750" spans="8:8" x14ac:dyDescent="0.3">
      <c r="H54750" t="str">
        <f t="shared" si="905"/>
        <v/>
      </c>
    </row>
    <row r="54751" spans="8:8" x14ac:dyDescent="0.3">
      <c r="H54751" t="str">
        <f t="shared" si="905"/>
        <v/>
      </c>
    </row>
    <row r="54752" spans="8:8" x14ac:dyDescent="0.3">
      <c r="H54752" t="str">
        <f t="shared" si="905"/>
        <v/>
      </c>
    </row>
    <row r="54753" spans="8:8" x14ac:dyDescent="0.3">
      <c r="H54753" t="str">
        <f t="shared" si="905"/>
        <v/>
      </c>
    </row>
    <row r="54754" spans="8:8" x14ac:dyDescent="0.3">
      <c r="H54754" t="str">
        <f t="shared" si="905"/>
        <v/>
      </c>
    </row>
    <row r="54755" spans="8:8" x14ac:dyDescent="0.3">
      <c r="H54755" t="str">
        <f t="shared" si="905"/>
        <v/>
      </c>
    </row>
    <row r="54756" spans="8:8" x14ac:dyDescent="0.3">
      <c r="H54756" t="str">
        <f t="shared" si="905"/>
        <v/>
      </c>
    </row>
    <row r="54757" spans="8:8" x14ac:dyDescent="0.3">
      <c r="H54757" t="str">
        <f t="shared" si="905"/>
        <v/>
      </c>
    </row>
    <row r="54758" spans="8:8" x14ac:dyDescent="0.3">
      <c r="H54758" t="str">
        <f t="shared" si="905"/>
        <v/>
      </c>
    </row>
    <row r="54759" spans="8:8" x14ac:dyDescent="0.3">
      <c r="H54759" t="str">
        <f t="shared" si="905"/>
        <v/>
      </c>
    </row>
    <row r="54760" spans="8:8" x14ac:dyDescent="0.3">
      <c r="H54760" t="str">
        <f t="shared" si="905"/>
        <v/>
      </c>
    </row>
    <row r="54761" spans="8:8" x14ac:dyDescent="0.3">
      <c r="H54761" t="str">
        <f t="shared" si="905"/>
        <v/>
      </c>
    </row>
    <row r="54762" spans="8:8" x14ac:dyDescent="0.3">
      <c r="H54762" t="str">
        <f t="shared" si="905"/>
        <v/>
      </c>
    </row>
    <row r="54763" spans="8:8" x14ac:dyDescent="0.3">
      <c r="H54763" t="str">
        <f t="shared" si="905"/>
        <v/>
      </c>
    </row>
    <row r="54764" spans="8:8" x14ac:dyDescent="0.3">
      <c r="H54764" t="str">
        <f t="shared" si="905"/>
        <v/>
      </c>
    </row>
    <row r="54765" spans="8:8" x14ac:dyDescent="0.3">
      <c r="H54765" t="str">
        <f t="shared" si="905"/>
        <v/>
      </c>
    </row>
    <row r="54766" spans="8:8" x14ac:dyDescent="0.3">
      <c r="H54766" t="str">
        <f t="shared" si="905"/>
        <v/>
      </c>
    </row>
    <row r="54767" spans="8:8" x14ac:dyDescent="0.3">
      <c r="H54767" t="str">
        <f t="shared" si="905"/>
        <v/>
      </c>
    </row>
    <row r="54768" spans="8:8" x14ac:dyDescent="0.3">
      <c r="H54768" t="str">
        <f t="shared" si="905"/>
        <v/>
      </c>
    </row>
    <row r="54769" spans="8:8" x14ac:dyDescent="0.3">
      <c r="H54769" t="str">
        <f t="shared" si="905"/>
        <v/>
      </c>
    </row>
    <row r="54770" spans="8:8" x14ac:dyDescent="0.3">
      <c r="H54770" t="str">
        <f t="shared" si="905"/>
        <v/>
      </c>
    </row>
    <row r="54771" spans="8:8" x14ac:dyDescent="0.3">
      <c r="H54771" t="str">
        <f t="shared" si="905"/>
        <v/>
      </c>
    </row>
    <row r="54772" spans="8:8" x14ac:dyDescent="0.3">
      <c r="H54772" t="str">
        <f t="shared" si="905"/>
        <v/>
      </c>
    </row>
    <row r="54773" spans="8:8" x14ac:dyDescent="0.3">
      <c r="H54773" t="str">
        <f t="shared" si="905"/>
        <v/>
      </c>
    </row>
    <row r="54774" spans="8:8" x14ac:dyDescent="0.3">
      <c r="H54774" t="str">
        <f t="shared" si="905"/>
        <v/>
      </c>
    </row>
    <row r="54775" spans="8:8" x14ac:dyDescent="0.3">
      <c r="H54775" t="str">
        <f t="shared" si="905"/>
        <v/>
      </c>
    </row>
    <row r="54776" spans="8:8" x14ac:dyDescent="0.3">
      <c r="H54776" t="str">
        <f t="shared" si="905"/>
        <v/>
      </c>
    </row>
    <row r="54777" spans="8:8" x14ac:dyDescent="0.3">
      <c r="H54777" t="str">
        <f t="shared" si="905"/>
        <v/>
      </c>
    </row>
    <row r="54778" spans="8:8" x14ac:dyDescent="0.3">
      <c r="H54778" t="str">
        <f t="shared" si="905"/>
        <v/>
      </c>
    </row>
    <row r="54779" spans="8:8" x14ac:dyDescent="0.3">
      <c r="H54779" t="str">
        <f t="shared" si="905"/>
        <v/>
      </c>
    </row>
    <row r="54780" spans="8:8" x14ac:dyDescent="0.3">
      <c r="H54780" t="str">
        <f t="shared" si="905"/>
        <v/>
      </c>
    </row>
    <row r="54781" spans="8:8" x14ac:dyDescent="0.3">
      <c r="H54781" t="str">
        <f t="shared" si="905"/>
        <v/>
      </c>
    </row>
    <row r="54782" spans="8:8" x14ac:dyDescent="0.3">
      <c r="H54782" t="str">
        <f t="shared" si="905"/>
        <v/>
      </c>
    </row>
    <row r="54783" spans="8:8" x14ac:dyDescent="0.3">
      <c r="H54783" t="str">
        <f t="shared" si="905"/>
        <v/>
      </c>
    </row>
    <row r="54784" spans="8:8" x14ac:dyDescent="0.3">
      <c r="H54784" t="str">
        <f t="shared" si="905"/>
        <v/>
      </c>
    </row>
    <row r="54785" spans="8:8" x14ac:dyDescent="0.3">
      <c r="H54785" t="str">
        <f t="shared" si="905"/>
        <v/>
      </c>
    </row>
    <row r="54786" spans="8:8" x14ac:dyDescent="0.3">
      <c r="H54786" t="str">
        <f t="shared" si="905"/>
        <v/>
      </c>
    </row>
    <row r="54787" spans="8:8" x14ac:dyDescent="0.3">
      <c r="H54787" t="str">
        <f t="shared" si="905"/>
        <v/>
      </c>
    </row>
    <row r="54788" spans="8:8" x14ac:dyDescent="0.3">
      <c r="H54788" t="str">
        <f t="shared" si="905"/>
        <v/>
      </c>
    </row>
    <row r="54789" spans="8:8" x14ac:dyDescent="0.3">
      <c r="H54789" t="str">
        <f t="shared" si="905"/>
        <v/>
      </c>
    </row>
    <row r="54790" spans="8:8" x14ac:dyDescent="0.3">
      <c r="H54790" t="str">
        <f t="shared" si="905"/>
        <v/>
      </c>
    </row>
    <row r="54791" spans="8:8" x14ac:dyDescent="0.3">
      <c r="H54791" t="str">
        <f t="shared" si="905"/>
        <v/>
      </c>
    </row>
    <row r="54792" spans="8:8" x14ac:dyDescent="0.3">
      <c r="H54792" t="str">
        <f t="shared" si="905"/>
        <v/>
      </c>
    </row>
    <row r="54793" spans="8:8" x14ac:dyDescent="0.3">
      <c r="H54793" t="str">
        <f t="shared" si="905"/>
        <v/>
      </c>
    </row>
    <row r="54794" spans="8:8" x14ac:dyDescent="0.3">
      <c r="H54794" t="str">
        <f t="shared" si="905"/>
        <v/>
      </c>
    </row>
    <row r="54795" spans="8:8" x14ac:dyDescent="0.3">
      <c r="H54795" t="str">
        <f t="shared" si="905"/>
        <v/>
      </c>
    </row>
    <row r="54796" spans="8:8" x14ac:dyDescent="0.3">
      <c r="H54796" t="str">
        <f t="shared" si="905"/>
        <v/>
      </c>
    </row>
    <row r="54797" spans="8:8" x14ac:dyDescent="0.3">
      <c r="H54797" t="str">
        <f t="shared" si="905"/>
        <v/>
      </c>
    </row>
    <row r="54798" spans="8:8" x14ac:dyDescent="0.3">
      <c r="H54798" t="str">
        <f t="shared" si="905"/>
        <v/>
      </c>
    </row>
    <row r="54799" spans="8:8" x14ac:dyDescent="0.3">
      <c r="H54799" t="str">
        <f t="shared" si="905"/>
        <v/>
      </c>
    </row>
    <row r="54800" spans="8:8" x14ac:dyDescent="0.3">
      <c r="H54800" t="str">
        <f t="shared" si="905"/>
        <v/>
      </c>
    </row>
    <row r="54801" spans="8:8" x14ac:dyDescent="0.3">
      <c r="H54801" t="str">
        <f t="shared" si="905"/>
        <v/>
      </c>
    </row>
    <row r="54802" spans="8:8" x14ac:dyDescent="0.3">
      <c r="H54802" t="str">
        <f t="shared" si="905"/>
        <v/>
      </c>
    </row>
    <row r="54803" spans="8:8" x14ac:dyDescent="0.3">
      <c r="H54803" t="str">
        <f t="shared" si="905"/>
        <v/>
      </c>
    </row>
    <row r="54804" spans="8:8" x14ac:dyDescent="0.3">
      <c r="H54804" t="str">
        <f t="shared" si="905"/>
        <v/>
      </c>
    </row>
    <row r="54805" spans="8:8" x14ac:dyDescent="0.3">
      <c r="H54805" t="str">
        <f t="shared" si="905"/>
        <v/>
      </c>
    </row>
    <row r="54806" spans="8:8" x14ac:dyDescent="0.3">
      <c r="H54806" t="str">
        <f t="shared" si="905"/>
        <v/>
      </c>
    </row>
    <row r="54807" spans="8:8" x14ac:dyDescent="0.3">
      <c r="H54807" t="str">
        <f t="shared" ref="H54807:H54870" si="906">IF(B54807="","",$C$12)</f>
        <v/>
      </c>
    </row>
    <row r="54808" spans="8:8" x14ac:dyDescent="0.3">
      <c r="H54808" t="str">
        <f t="shared" si="906"/>
        <v/>
      </c>
    </row>
    <row r="54809" spans="8:8" x14ac:dyDescent="0.3">
      <c r="H54809" t="str">
        <f t="shared" si="906"/>
        <v/>
      </c>
    </row>
    <row r="54810" spans="8:8" x14ac:dyDescent="0.3">
      <c r="H54810" t="str">
        <f t="shared" si="906"/>
        <v/>
      </c>
    </row>
    <row r="54811" spans="8:8" x14ac:dyDescent="0.3">
      <c r="H54811" t="str">
        <f t="shared" si="906"/>
        <v/>
      </c>
    </row>
    <row r="54812" spans="8:8" x14ac:dyDescent="0.3">
      <c r="H54812" t="str">
        <f t="shared" si="906"/>
        <v/>
      </c>
    </row>
    <row r="54813" spans="8:8" x14ac:dyDescent="0.3">
      <c r="H54813" t="str">
        <f t="shared" si="906"/>
        <v/>
      </c>
    </row>
    <row r="54814" spans="8:8" x14ac:dyDescent="0.3">
      <c r="H54814" t="str">
        <f t="shared" si="906"/>
        <v/>
      </c>
    </row>
    <row r="54815" spans="8:8" x14ac:dyDescent="0.3">
      <c r="H54815" t="str">
        <f t="shared" si="906"/>
        <v/>
      </c>
    </row>
    <row r="54816" spans="8:8" x14ac:dyDescent="0.3">
      <c r="H54816" t="str">
        <f t="shared" si="906"/>
        <v/>
      </c>
    </row>
    <row r="54817" spans="8:8" x14ac:dyDescent="0.3">
      <c r="H54817" t="str">
        <f t="shared" si="906"/>
        <v/>
      </c>
    </row>
    <row r="54818" spans="8:8" x14ac:dyDescent="0.3">
      <c r="H54818" t="str">
        <f t="shared" si="906"/>
        <v/>
      </c>
    </row>
    <row r="54819" spans="8:8" x14ac:dyDescent="0.3">
      <c r="H54819" t="str">
        <f t="shared" si="906"/>
        <v/>
      </c>
    </row>
    <row r="54820" spans="8:8" x14ac:dyDescent="0.3">
      <c r="H54820" t="str">
        <f t="shared" si="906"/>
        <v/>
      </c>
    </row>
    <row r="54821" spans="8:8" x14ac:dyDescent="0.3">
      <c r="H54821" t="str">
        <f t="shared" si="906"/>
        <v/>
      </c>
    </row>
    <row r="54822" spans="8:8" x14ac:dyDescent="0.3">
      <c r="H54822" t="str">
        <f t="shared" si="906"/>
        <v/>
      </c>
    </row>
    <row r="54823" spans="8:8" x14ac:dyDescent="0.3">
      <c r="H54823" t="str">
        <f t="shared" si="906"/>
        <v/>
      </c>
    </row>
    <row r="54824" spans="8:8" x14ac:dyDescent="0.3">
      <c r="H54824" t="str">
        <f t="shared" si="906"/>
        <v/>
      </c>
    </row>
    <row r="54825" spans="8:8" x14ac:dyDescent="0.3">
      <c r="H54825" t="str">
        <f t="shared" si="906"/>
        <v/>
      </c>
    </row>
    <row r="54826" spans="8:8" x14ac:dyDescent="0.3">
      <c r="H54826" t="str">
        <f t="shared" si="906"/>
        <v/>
      </c>
    </row>
    <row r="54827" spans="8:8" x14ac:dyDescent="0.3">
      <c r="H54827" t="str">
        <f t="shared" si="906"/>
        <v/>
      </c>
    </row>
    <row r="54828" spans="8:8" x14ac:dyDescent="0.3">
      <c r="H54828" t="str">
        <f t="shared" si="906"/>
        <v/>
      </c>
    </row>
    <row r="54829" spans="8:8" x14ac:dyDescent="0.3">
      <c r="H54829" t="str">
        <f t="shared" si="906"/>
        <v/>
      </c>
    </row>
    <row r="54830" spans="8:8" x14ac:dyDescent="0.3">
      <c r="H54830" t="str">
        <f t="shared" si="906"/>
        <v/>
      </c>
    </row>
    <row r="54831" spans="8:8" x14ac:dyDescent="0.3">
      <c r="H54831" t="str">
        <f t="shared" si="906"/>
        <v/>
      </c>
    </row>
    <row r="54832" spans="8:8" x14ac:dyDescent="0.3">
      <c r="H54832" t="str">
        <f t="shared" si="906"/>
        <v/>
      </c>
    </row>
    <row r="54833" spans="8:8" x14ac:dyDescent="0.3">
      <c r="H54833" t="str">
        <f t="shared" si="906"/>
        <v/>
      </c>
    </row>
    <row r="54834" spans="8:8" x14ac:dyDescent="0.3">
      <c r="H54834" t="str">
        <f t="shared" si="906"/>
        <v/>
      </c>
    </row>
    <row r="54835" spans="8:8" x14ac:dyDescent="0.3">
      <c r="H54835" t="str">
        <f t="shared" si="906"/>
        <v/>
      </c>
    </row>
    <row r="54836" spans="8:8" x14ac:dyDescent="0.3">
      <c r="H54836" t="str">
        <f t="shared" si="906"/>
        <v/>
      </c>
    </row>
    <row r="54837" spans="8:8" x14ac:dyDescent="0.3">
      <c r="H54837" t="str">
        <f t="shared" si="906"/>
        <v/>
      </c>
    </row>
    <row r="54838" spans="8:8" x14ac:dyDescent="0.3">
      <c r="H54838" t="str">
        <f t="shared" si="906"/>
        <v/>
      </c>
    </row>
    <row r="54839" spans="8:8" x14ac:dyDescent="0.3">
      <c r="H54839" t="str">
        <f t="shared" si="906"/>
        <v/>
      </c>
    </row>
    <row r="54840" spans="8:8" x14ac:dyDescent="0.3">
      <c r="H54840" t="str">
        <f t="shared" si="906"/>
        <v/>
      </c>
    </row>
    <row r="54841" spans="8:8" x14ac:dyDescent="0.3">
      <c r="H54841" t="str">
        <f t="shared" si="906"/>
        <v/>
      </c>
    </row>
    <row r="54842" spans="8:8" x14ac:dyDescent="0.3">
      <c r="H54842" t="str">
        <f t="shared" si="906"/>
        <v/>
      </c>
    </row>
    <row r="54843" spans="8:8" x14ac:dyDescent="0.3">
      <c r="H54843" t="str">
        <f t="shared" si="906"/>
        <v/>
      </c>
    </row>
    <row r="54844" spans="8:8" x14ac:dyDescent="0.3">
      <c r="H54844" t="str">
        <f t="shared" si="906"/>
        <v/>
      </c>
    </row>
    <row r="54845" spans="8:8" x14ac:dyDescent="0.3">
      <c r="H54845" t="str">
        <f t="shared" si="906"/>
        <v/>
      </c>
    </row>
    <row r="54846" spans="8:8" x14ac:dyDescent="0.3">
      <c r="H54846" t="str">
        <f t="shared" si="906"/>
        <v/>
      </c>
    </row>
    <row r="54847" spans="8:8" x14ac:dyDescent="0.3">
      <c r="H54847" t="str">
        <f t="shared" si="906"/>
        <v/>
      </c>
    </row>
    <row r="54848" spans="8:8" x14ac:dyDescent="0.3">
      <c r="H54848" t="str">
        <f t="shared" si="906"/>
        <v/>
      </c>
    </row>
    <row r="54849" spans="8:8" x14ac:dyDescent="0.3">
      <c r="H54849" t="str">
        <f t="shared" si="906"/>
        <v/>
      </c>
    </row>
    <row r="54850" spans="8:8" x14ac:dyDescent="0.3">
      <c r="H54850" t="str">
        <f t="shared" si="906"/>
        <v/>
      </c>
    </row>
    <row r="54851" spans="8:8" x14ac:dyDescent="0.3">
      <c r="H54851" t="str">
        <f t="shared" si="906"/>
        <v/>
      </c>
    </row>
    <row r="54852" spans="8:8" x14ac:dyDescent="0.3">
      <c r="H54852" t="str">
        <f t="shared" si="906"/>
        <v/>
      </c>
    </row>
    <row r="54853" spans="8:8" x14ac:dyDescent="0.3">
      <c r="H54853" t="str">
        <f t="shared" si="906"/>
        <v/>
      </c>
    </row>
    <row r="54854" spans="8:8" x14ac:dyDescent="0.3">
      <c r="H54854" t="str">
        <f t="shared" si="906"/>
        <v/>
      </c>
    </row>
    <row r="54855" spans="8:8" x14ac:dyDescent="0.3">
      <c r="H54855" t="str">
        <f t="shared" si="906"/>
        <v/>
      </c>
    </row>
    <row r="54856" spans="8:8" x14ac:dyDescent="0.3">
      <c r="H54856" t="str">
        <f t="shared" si="906"/>
        <v/>
      </c>
    </row>
    <row r="54857" spans="8:8" x14ac:dyDescent="0.3">
      <c r="H54857" t="str">
        <f t="shared" si="906"/>
        <v/>
      </c>
    </row>
    <row r="54858" spans="8:8" x14ac:dyDescent="0.3">
      <c r="H54858" t="str">
        <f t="shared" si="906"/>
        <v/>
      </c>
    </row>
    <row r="54859" spans="8:8" x14ac:dyDescent="0.3">
      <c r="H54859" t="str">
        <f t="shared" si="906"/>
        <v/>
      </c>
    </row>
    <row r="54860" spans="8:8" x14ac:dyDescent="0.3">
      <c r="H54860" t="str">
        <f t="shared" si="906"/>
        <v/>
      </c>
    </row>
    <row r="54861" spans="8:8" x14ac:dyDescent="0.3">
      <c r="H54861" t="str">
        <f t="shared" si="906"/>
        <v/>
      </c>
    </row>
    <row r="54862" spans="8:8" x14ac:dyDescent="0.3">
      <c r="H54862" t="str">
        <f t="shared" si="906"/>
        <v/>
      </c>
    </row>
    <row r="54863" spans="8:8" x14ac:dyDescent="0.3">
      <c r="H54863" t="str">
        <f t="shared" si="906"/>
        <v/>
      </c>
    </row>
    <row r="54864" spans="8:8" x14ac:dyDescent="0.3">
      <c r="H54864" t="str">
        <f t="shared" si="906"/>
        <v/>
      </c>
    </row>
    <row r="54865" spans="8:8" x14ac:dyDescent="0.3">
      <c r="H54865" t="str">
        <f t="shared" si="906"/>
        <v/>
      </c>
    </row>
    <row r="54866" spans="8:8" x14ac:dyDescent="0.3">
      <c r="H54866" t="str">
        <f t="shared" si="906"/>
        <v/>
      </c>
    </row>
    <row r="54867" spans="8:8" x14ac:dyDescent="0.3">
      <c r="H54867" t="str">
        <f t="shared" si="906"/>
        <v/>
      </c>
    </row>
    <row r="54868" spans="8:8" x14ac:dyDescent="0.3">
      <c r="H54868" t="str">
        <f t="shared" si="906"/>
        <v/>
      </c>
    </row>
    <row r="54869" spans="8:8" x14ac:dyDescent="0.3">
      <c r="H54869" t="str">
        <f t="shared" si="906"/>
        <v/>
      </c>
    </row>
    <row r="54870" spans="8:8" x14ac:dyDescent="0.3">
      <c r="H54870" t="str">
        <f t="shared" si="906"/>
        <v/>
      </c>
    </row>
    <row r="54871" spans="8:8" x14ac:dyDescent="0.3">
      <c r="H54871" t="str">
        <f t="shared" ref="H54871:H54934" si="907">IF(B54871="","",$C$12)</f>
        <v/>
      </c>
    </row>
    <row r="54872" spans="8:8" x14ac:dyDescent="0.3">
      <c r="H54872" t="str">
        <f t="shared" si="907"/>
        <v/>
      </c>
    </row>
    <row r="54873" spans="8:8" x14ac:dyDescent="0.3">
      <c r="H54873" t="str">
        <f t="shared" si="907"/>
        <v/>
      </c>
    </row>
    <row r="54874" spans="8:8" x14ac:dyDescent="0.3">
      <c r="H54874" t="str">
        <f t="shared" si="907"/>
        <v/>
      </c>
    </row>
    <row r="54875" spans="8:8" x14ac:dyDescent="0.3">
      <c r="H54875" t="str">
        <f t="shared" si="907"/>
        <v/>
      </c>
    </row>
    <row r="54876" spans="8:8" x14ac:dyDescent="0.3">
      <c r="H54876" t="str">
        <f t="shared" si="907"/>
        <v/>
      </c>
    </row>
    <row r="54877" spans="8:8" x14ac:dyDescent="0.3">
      <c r="H54877" t="str">
        <f t="shared" si="907"/>
        <v/>
      </c>
    </row>
    <row r="54878" spans="8:8" x14ac:dyDescent="0.3">
      <c r="H54878" t="str">
        <f t="shared" si="907"/>
        <v/>
      </c>
    </row>
    <row r="54879" spans="8:8" x14ac:dyDescent="0.3">
      <c r="H54879" t="str">
        <f t="shared" si="907"/>
        <v/>
      </c>
    </row>
    <row r="54880" spans="8:8" x14ac:dyDescent="0.3">
      <c r="H54880" t="str">
        <f t="shared" si="907"/>
        <v/>
      </c>
    </row>
    <row r="54881" spans="8:8" x14ac:dyDescent="0.3">
      <c r="H54881" t="str">
        <f t="shared" si="907"/>
        <v/>
      </c>
    </row>
    <row r="54882" spans="8:8" x14ac:dyDescent="0.3">
      <c r="H54882" t="str">
        <f t="shared" si="907"/>
        <v/>
      </c>
    </row>
    <row r="54883" spans="8:8" x14ac:dyDescent="0.3">
      <c r="H54883" t="str">
        <f t="shared" si="907"/>
        <v/>
      </c>
    </row>
    <row r="54884" spans="8:8" x14ac:dyDescent="0.3">
      <c r="H54884" t="str">
        <f t="shared" si="907"/>
        <v/>
      </c>
    </row>
    <row r="54885" spans="8:8" x14ac:dyDescent="0.3">
      <c r="H54885" t="str">
        <f t="shared" si="907"/>
        <v/>
      </c>
    </row>
    <row r="54886" spans="8:8" x14ac:dyDescent="0.3">
      <c r="H54886" t="str">
        <f t="shared" si="907"/>
        <v/>
      </c>
    </row>
    <row r="54887" spans="8:8" x14ac:dyDescent="0.3">
      <c r="H54887" t="str">
        <f t="shared" si="907"/>
        <v/>
      </c>
    </row>
    <row r="54888" spans="8:8" x14ac:dyDescent="0.3">
      <c r="H54888" t="str">
        <f t="shared" si="907"/>
        <v/>
      </c>
    </row>
    <row r="54889" spans="8:8" x14ac:dyDescent="0.3">
      <c r="H54889" t="str">
        <f t="shared" si="907"/>
        <v/>
      </c>
    </row>
    <row r="54890" spans="8:8" x14ac:dyDescent="0.3">
      <c r="H54890" t="str">
        <f t="shared" si="907"/>
        <v/>
      </c>
    </row>
    <row r="54891" spans="8:8" x14ac:dyDescent="0.3">
      <c r="H54891" t="str">
        <f t="shared" si="907"/>
        <v/>
      </c>
    </row>
    <row r="54892" spans="8:8" x14ac:dyDescent="0.3">
      <c r="H54892" t="str">
        <f t="shared" si="907"/>
        <v/>
      </c>
    </row>
    <row r="54893" spans="8:8" x14ac:dyDescent="0.3">
      <c r="H54893" t="str">
        <f t="shared" si="907"/>
        <v/>
      </c>
    </row>
    <row r="54894" spans="8:8" x14ac:dyDescent="0.3">
      <c r="H54894" t="str">
        <f t="shared" si="907"/>
        <v/>
      </c>
    </row>
    <row r="54895" spans="8:8" x14ac:dyDescent="0.3">
      <c r="H54895" t="str">
        <f t="shared" si="907"/>
        <v/>
      </c>
    </row>
    <row r="54896" spans="8:8" x14ac:dyDescent="0.3">
      <c r="H54896" t="str">
        <f t="shared" si="907"/>
        <v/>
      </c>
    </row>
    <row r="54897" spans="8:8" x14ac:dyDescent="0.3">
      <c r="H54897" t="str">
        <f t="shared" si="907"/>
        <v/>
      </c>
    </row>
    <row r="54898" spans="8:8" x14ac:dyDescent="0.3">
      <c r="H54898" t="str">
        <f t="shared" si="907"/>
        <v/>
      </c>
    </row>
    <row r="54899" spans="8:8" x14ac:dyDescent="0.3">
      <c r="H54899" t="str">
        <f t="shared" si="907"/>
        <v/>
      </c>
    </row>
    <row r="54900" spans="8:8" x14ac:dyDescent="0.3">
      <c r="H54900" t="str">
        <f t="shared" si="907"/>
        <v/>
      </c>
    </row>
    <row r="54901" spans="8:8" x14ac:dyDescent="0.3">
      <c r="H54901" t="str">
        <f t="shared" si="907"/>
        <v/>
      </c>
    </row>
    <row r="54902" spans="8:8" x14ac:dyDescent="0.3">
      <c r="H54902" t="str">
        <f t="shared" si="907"/>
        <v/>
      </c>
    </row>
    <row r="54903" spans="8:8" x14ac:dyDescent="0.3">
      <c r="H54903" t="str">
        <f t="shared" si="907"/>
        <v/>
      </c>
    </row>
    <row r="54904" spans="8:8" x14ac:dyDescent="0.3">
      <c r="H54904" t="str">
        <f t="shared" si="907"/>
        <v/>
      </c>
    </row>
    <row r="54905" spans="8:8" x14ac:dyDescent="0.3">
      <c r="H54905" t="str">
        <f t="shared" si="907"/>
        <v/>
      </c>
    </row>
    <row r="54906" spans="8:8" x14ac:dyDescent="0.3">
      <c r="H54906" t="str">
        <f t="shared" si="907"/>
        <v/>
      </c>
    </row>
    <row r="54907" spans="8:8" x14ac:dyDescent="0.3">
      <c r="H54907" t="str">
        <f t="shared" si="907"/>
        <v/>
      </c>
    </row>
    <row r="54908" spans="8:8" x14ac:dyDescent="0.3">
      <c r="H54908" t="str">
        <f t="shared" si="907"/>
        <v/>
      </c>
    </row>
    <row r="54909" spans="8:8" x14ac:dyDescent="0.3">
      <c r="H54909" t="str">
        <f t="shared" si="907"/>
        <v/>
      </c>
    </row>
    <row r="54910" spans="8:8" x14ac:dyDescent="0.3">
      <c r="H54910" t="str">
        <f t="shared" si="907"/>
        <v/>
      </c>
    </row>
    <row r="54911" spans="8:8" x14ac:dyDescent="0.3">
      <c r="H54911" t="str">
        <f t="shared" si="907"/>
        <v/>
      </c>
    </row>
    <row r="54912" spans="8:8" x14ac:dyDescent="0.3">
      <c r="H54912" t="str">
        <f t="shared" si="907"/>
        <v/>
      </c>
    </row>
    <row r="54913" spans="8:8" x14ac:dyDescent="0.3">
      <c r="H54913" t="str">
        <f t="shared" si="907"/>
        <v/>
      </c>
    </row>
    <row r="54914" spans="8:8" x14ac:dyDescent="0.3">
      <c r="H54914" t="str">
        <f t="shared" si="907"/>
        <v/>
      </c>
    </row>
    <row r="54915" spans="8:8" x14ac:dyDescent="0.3">
      <c r="H54915" t="str">
        <f t="shared" si="907"/>
        <v/>
      </c>
    </row>
    <row r="54916" spans="8:8" x14ac:dyDescent="0.3">
      <c r="H54916" t="str">
        <f t="shared" si="907"/>
        <v/>
      </c>
    </row>
    <row r="54917" spans="8:8" x14ac:dyDescent="0.3">
      <c r="H54917" t="str">
        <f t="shared" si="907"/>
        <v/>
      </c>
    </row>
    <row r="54918" spans="8:8" x14ac:dyDescent="0.3">
      <c r="H54918" t="str">
        <f t="shared" si="907"/>
        <v/>
      </c>
    </row>
    <row r="54919" spans="8:8" x14ac:dyDescent="0.3">
      <c r="H54919" t="str">
        <f t="shared" si="907"/>
        <v/>
      </c>
    </row>
    <row r="54920" spans="8:8" x14ac:dyDescent="0.3">
      <c r="H54920" t="str">
        <f t="shared" si="907"/>
        <v/>
      </c>
    </row>
    <row r="54921" spans="8:8" x14ac:dyDescent="0.3">
      <c r="H54921" t="str">
        <f t="shared" si="907"/>
        <v/>
      </c>
    </row>
    <row r="54922" spans="8:8" x14ac:dyDescent="0.3">
      <c r="H54922" t="str">
        <f t="shared" si="907"/>
        <v/>
      </c>
    </row>
    <row r="54923" spans="8:8" x14ac:dyDescent="0.3">
      <c r="H54923" t="str">
        <f t="shared" si="907"/>
        <v/>
      </c>
    </row>
    <row r="54924" spans="8:8" x14ac:dyDescent="0.3">
      <c r="H54924" t="str">
        <f t="shared" si="907"/>
        <v/>
      </c>
    </row>
    <row r="54925" spans="8:8" x14ac:dyDescent="0.3">
      <c r="H54925" t="str">
        <f t="shared" si="907"/>
        <v/>
      </c>
    </row>
    <row r="54926" spans="8:8" x14ac:dyDescent="0.3">
      <c r="H54926" t="str">
        <f t="shared" si="907"/>
        <v/>
      </c>
    </row>
    <row r="54927" spans="8:8" x14ac:dyDescent="0.3">
      <c r="H54927" t="str">
        <f t="shared" si="907"/>
        <v/>
      </c>
    </row>
    <row r="54928" spans="8:8" x14ac:dyDescent="0.3">
      <c r="H54928" t="str">
        <f t="shared" si="907"/>
        <v/>
      </c>
    </row>
    <row r="54929" spans="8:8" x14ac:dyDescent="0.3">
      <c r="H54929" t="str">
        <f t="shared" si="907"/>
        <v/>
      </c>
    </row>
    <row r="54930" spans="8:8" x14ac:dyDescent="0.3">
      <c r="H54930" t="str">
        <f t="shared" si="907"/>
        <v/>
      </c>
    </row>
    <row r="54931" spans="8:8" x14ac:dyDescent="0.3">
      <c r="H54931" t="str">
        <f t="shared" si="907"/>
        <v/>
      </c>
    </row>
    <row r="54932" spans="8:8" x14ac:dyDescent="0.3">
      <c r="H54932" t="str">
        <f t="shared" si="907"/>
        <v/>
      </c>
    </row>
    <row r="54933" spans="8:8" x14ac:dyDescent="0.3">
      <c r="H54933" t="str">
        <f t="shared" si="907"/>
        <v/>
      </c>
    </row>
    <row r="54934" spans="8:8" x14ac:dyDescent="0.3">
      <c r="H54934" t="str">
        <f t="shared" si="907"/>
        <v/>
      </c>
    </row>
    <row r="54935" spans="8:8" x14ac:dyDescent="0.3">
      <c r="H54935" t="str">
        <f t="shared" ref="H54935:H54998" si="908">IF(B54935="","",$C$12)</f>
        <v/>
      </c>
    </row>
    <row r="54936" spans="8:8" x14ac:dyDescent="0.3">
      <c r="H54936" t="str">
        <f t="shared" si="908"/>
        <v/>
      </c>
    </row>
    <row r="54937" spans="8:8" x14ac:dyDescent="0.3">
      <c r="H54937" t="str">
        <f t="shared" si="908"/>
        <v/>
      </c>
    </row>
    <row r="54938" spans="8:8" x14ac:dyDescent="0.3">
      <c r="H54938" t="str">
        <f t="shared" si="908"/>
        <v/>
      </c>
    </row>
    <row r="54939" spans="8:8" x14ac:dyDescent="0.3">
      <c r="H54939" t="str">
        <f t="shared" si="908"/>
        <v/>
      </c>
    </row>
    <row r="54940" spans="8:8" x14ac:dyDescent="0.3">
      <c r="H54940" t="str">
        <f t="shared" si="908"/>
        <v/>
      </c>
    </row>
    <row r="54941" spans="8:8" x14ac:dyDescent="0.3">
      <c r="H54941" t="str">
        <f t="shared" si="908"/>
        <v/>
      </c>
    </row>
    <row r="54942" spans="8:8" x14ac:dyDescent="0.3">
      <c r="H54942" t="str">
        <f t="shared" si="908"/>
        <v/>
      </c>
    </row>
    <row r="54943" spans="8:8" x14ac:dyDescent="0.3">
      <c r="H54943" t="str">
        <f t="shared" si="908"/>
        <v/>
      </c>
    </row>
    <row r="54944" spans="8:8" x14ac:dyDescent="0.3">
      <c r="H54944" t="str">
        <f t="shared" si="908"/>
        <v/>
      </c>
    </row>
    <row r="54945" spans="8:8" x14ac:dyDescent="0.3">
      <c r="H54945" t="str">
        <f t="shared" si="908"/>
        <v/>
      </c>
    </row>
    <row r="54946" spans="8:8" x14ac:dyDescent="0.3">
      <c r="H54946" t="str">
        <f t="shared" si="908"/>
        <v/>
      </c>
    </row>
    <row r="54947" spans="8:8" x14ac:dyDescent="0.3">
      <c r="H54947" t="str">
        <f t="shared" si="908"/>
        <v/>
      </c>
    </row>
    <row r="54948" spans="8:8" x14ac:dyDescent="0.3">
      <c r="H54948" t="str">
        <f t="shared" si="908"/>
        <v/>
      </c>
    </row>
    <row r="54949" spans="8:8" x14ac:dyDescent="0.3">
      <c r="H54949" t="str">
        <f t="shared" si="908"/>
        <v/>
      </c>
    </row>
    <row r="54950" spans="8:8" x14ac:dyDescent="0.3">
      <c r="H54950" t="str">
        <f t="shared" si="908"/>
        <v/>
      </c>
    </row>
    <row r="54951" spans="8:8" x14ac:dyDescent="0.3">
      <c r="H54951" t="str">
        <f t="shared" si="908"/>
        <v/>
      </c>
    </row>
    <row r="54952" spans="8:8" x14ac:dyDescent="0.3">
      <c r="H54952" t="str">
        <f t="shared" si="908"/>
        <v/>
      </c>
    </row>
    <row r="54953" spans="8:8" x14ac:dyDescent="0.3">
      <c r="H54953" t="str">
        <f t="shared" si="908"/>
        <v/>
      </c>
    </row>
    <row r="54954" spans="8:8" x14ac:dyDescent="0.3">
      <c r="H54954" t="str">
        <f t="shared" si="908"/>
        <v/>
      </c>
    </row>
    <row r="54955" spans="8:8" x14ac:dyDescent="0.3">
      <c r="H54955" t="str">
        <f t="shared" si="908"/>
        <v/>
      </c>
    </row>
    <row r="54956" spans="8:8" x14ac:dyDescent="0.3">
      <c r="H54956" t="str">
        <f t="shared" si="908"/>
        <v/>
      </c>
    </row>
    <row r="54957" spans="8:8" x14ac:dyDescent="0.3">
      <c r="H54957" t="str">
        <f t="shared" si="908"/>
        <v/>
      </c>
    </row>
    <row r="54958" spans="8:8" x14ac:dyDescent="0.3">
      <c r="H54958" t="str">
        <f t="shared" si="908"/>
        <v/>
      </c>
    </row>
    <row r="54959" spans="8:8" x14ac:dyDescent="0.3">
      <c r="H54959" t="str">
        <f t="shared" si="908"/>
        <v/>
      </c>
    </row>
    <row r="54960" spans="8:8" x14ac:dyDescent="0.3">
      <c r="H54960" t="str">
        <f t="shared" si="908"/>
        <v/>
      </c>
    </row>
    <row r="54961" spans="8:8" x14ac:dyDescent="0.3">
      <c r="H54961" t="str">
        <f t="shared" si="908"/>
        <v/>
      </c>
    </row>
    <row r="54962" spans="8:8" x14ac:dyDescent="0.3">
      <c r="H54962" t="str">
        <f t="shared" si="908"/>
        <v/>
      </c>
    </row>
    <row r="54963" spans="8:8" x14ac:dyDescent="0.3">
      <c r="H54963" t="str">
        <f t="shared" si="908"/>
        <v/>
      </c>
    </row>
    <row r="54964" spans="8:8" x14ac:dyDescent="0.3">
      <c r="H54964" t="str">
        <f t="shared" si="908"/>
        <v/>
      </c>
    </row>
    <row r="54965" spans="8:8" x14ac:dyDescent="0.3">
      <c r="H54965" t="str">
        <f t="shared" si="908"/>
        <v/>
      </c>
    </row>
    <row r="54966" spans="8:8" x14ac:dyDescent="0.3">
      <c r="H54966" t="str">
        <f t="shared" si="908"/>
        <v/>
      </c>
    </row>
    <row r="54967" spans="8:8" x14ac:dyDescent="0.3">
      <c r="H54967" t="str">
        <f t="shared" si="908"/>
        <v/>
      </c>
    </row>
    <row r="54968" spans="8:8" x14ac:dyDescent="0.3">
      <c r="H54968" t="str">
        <f t="shared" si="908"/>
        <v/>
      </c>
    </row>
    <row r="54969" spans="8:8" x14ac:dyDescent="0.3">
      <c r="H54969" t="str">
        <f t="shared" si="908"/>
        <v/>
      </c>
    </row>
    <row r="54970" spans="8:8" x14ac:dyDescent="0.3">
      <c r="H54970" t="str">
        <f t="shared" si="908"/>
        <v/>
      </c>
    </row>
    <row r="54971" spans="8:8" x14ac:dyDescent="0.3">
      <c r="H54971" t="str">
        <f t="shared" si="908"/>
        <v/>
      </c>
    </row>
    <row r="54972" spans="8:8" x14ac:dyDescent="0.3">
      <c r="H54972" t="str">
        <f t="shared" si="908"/>
        <v/>
      </c>
    </row>
    <row r="54973" spans="8:8" x14ac:dyDescent="0.3">
      <c r="H54973" t="str">
        <f t="shared" si="908"/>
        <v/>
      </c>
    </row>
    <row r="54974" spans="8:8" x14ac:dyDescent="0.3">
      <c r="H54974" t="str">
        <f t="shared" si="908"/>
        <v/>
      </c>
    </row>
    <row r="54975" spans="8:8" x14ac:dyDescent="0.3">
      <c r="H54975" t="str">
        <f t="shared" si="908"/>
        <v/>
      </c>
    </row>
    <row r="54976" spans="8:8" x14ac:dyDescent="0.3">
      <c r="H54976" t="str">
        <f t="shared" si="908"/>
        <v/>
      </c>
    </row>
    <row r="54977" spans="8:8" x14ac:dyDescent="0.3">
      <c r="H54977" t="str">
        <f t="shared" si="908"/>
        <v/>
      </c>
    </row>
    <row r="54978" spans="8:8" x14ac:dyDescent="0.3">
      <c r="H54978" t="str">
        <f t="shared" si="908"/>
        <v/>
      </c>
    </row>
    <row r="54979" spans="8:8" x14ac:dyDescent="0.3">
      <c r="H54979" t="str">
        <f t="shared" si="908"/>
        <v/>
      </c>
    </row>
    <row r="54980" spans="8:8" x14ac:dyDescent="0.3">
      <c r="H54980" t="str">
        <f t="shared" si="908"/>
        <v/>
      </c>
    </row>
    <row r="54981" spans="8:8" x14ac:dyDescent="0.3">
      <c r="H54981" t="str">
        <f t="shared" si="908"/>
        <v/>
      </c>
    </row>
    <row r="54982" spans="8:8" x14ac:dyDescent="0.3">
      <c r="H54982" t="str">
        <f t="shared" si="908"/>
        <v/>
      </c>
    </row>
    <row r="54983" spans="8:8" x14ac:dyDescent="0.3">
      <c r="H54983" t="str">
        <f t="shared" si="908"/>
        <v/>
      </c>
    </row>
    <row r="54984" spans="8:8" x14ac:dyDescent="0.3">
      <c r="H54984" t="str">
        <f t="shared" si="908"/>
        <v/>
      </c>
    </row>
    <row r="54985" spans="8:8" x14ac:dyDescent="0.3">
      <c r="H54985" t="str">
        <f t="shared" si="908"/>
        <v/>
      </c>
    </row>
    <row r="54986" spans="8:8" x14ac:dyDescent="0.3">
      <c r="H54986" t="str">
        <f t="shared" si="908"/>
        <v/>
      </c>
    </row>
    <row r="54987" spans="8:8" x14ac:dyDescent="0.3">
      <c r="H54987" t="str">
        <f t="shared" si="908"/>
        <v/>
      </c>
    </row>
    <row r="54988" spans="8:8" x14ac:dyDescent="0.3">
      <c r="H54988" t="str">
        <f t="shared" si="908"/>
        <v/>
      </c>
    </row>
    <row r="54989" spans="8:8" x14ac:dyDescent="0.3">
      <c r="H54989" t="str">
        <f t="shared" si="908"/>
        <v/>
      </c>
    </row>
    <row r="54990" spans="8:8" x14ac:dyDescent="0.3">
      <c r="H54990" t="str">
        <f t="shared" si="908"/>
        <v/>
      </c>
    </row>
    <row r="54991" spans="8:8" x14ac:dyDescent="0.3">
      <c r="H54991" t="str">
        <f t="shared" si="908"/>
        <v/>
      </c>
    </row>
    <row r="54992" spans="8:8" x14ac:dyDescent="0.3">
      <c r="H54992" t="str">
        <f t="shared" si="908"/>
        <v/>
      </c>
    </row>
    <row r="54993" spans="8:8" x14ac:dyDescent="0.3">
      <c r="H54993" t="str">
        <f t="shared" si="908"/>
        <v/>
      </c>
    </row>
    <row r="54994" spans="8:8" x14ac:dyDescent="0.3">
      <c r="H54994" t="str">
        <f t="shared" si="908"/>
        <v/>
      </c>
    </row>
    <row r="54995" spans="8:8" x14ac:dyDescent="0.3">
      <c r="H54995" t="str">
        <f t="shared" si="908"/>
        <v/>
      </c>
    </row>
    <row r="54996" spans="8:8" x14ac:dyDescent="0.3">
      <c r="H54996" t="str">
        <f t="shared" si="908"/>
        <v/>
      </c>
    </row>
    <row r="54997" spans="8:8" x14ac:dyDescent="0.3">
      <c r="H54997" t="str">
        <f t="shared" si="908"/>
        <v/>
      </c>
    </row>
    <row r="54998" spans="8:8" x14ac:dyDescent="0.3">
      <c r="H54998" t="str">
        <f t="shared" si="908"/>
        <v/>
      </c>
    </row>
    <row r="54999" spans="8:8" x14ac:dyDescent="0.3">
      <c r="H54999" t="str">
        <f t="shared" ref="H54999:H55062" si="909">IF(B54999="","",$C$12)</f>
        <v/>
      </c>
    </row>
    <row r="55000" spans="8:8" x14ac:dyDescent="0.3">
      <c r="H55000" t="str">
        <f t="shared" si="909"/>
        <v/>
      </c>
    </row>
    <row r="55001" spans="8:8" x14ac:dyDescent="0.3">
      <c r="H55001" t="str">
        <f t="shared" si="909"/>
        <v/>
      </c>
    </row>
    <row r="55002" spans="8:8" x14ac:dyDescent="0.3">
      <c r="H55002" t="str">
        <f t="shared" si="909"/>
        <v/>
      </c>
    </row>
    <row r="55003" spans="8:8" x14ac:dyDescent="0.3">
      <c r="H55003" t="str">
        <f t="shared" si="909"/>
        <v/>
      </c>
    </row>
    <row r="55004" spans="8:8" x14ac:dyDescent="0.3">
      <c r="H55004" t="str">
        <f t="shared" si="909"/>
        <v/>
      </c>
    </row>
    <row r="55005" spans="8:8" x14ac:dyDescent="0.3">
      <c r="H55005" t="str">
        <f t="shared" si="909"/>
        <v/>
      </c>
    </row>
    <row r="55006" spans="8:8" x14ac:dyDescent="0.3">
      <c r="H55006" t="str">
        <f t="shared" si="909"/>
        <v/>
      </c>
    </row>
    <row r="55007" spans="8:8" x14ac:dyDescent="0.3">
      <c r="H55007" t="str">
        <f t="shared" si="909"/>
        <v/>
      </c>
    </row>
    <row r="55008" spans="8:8" x14ac:dyDescent="0.3">
      <c r="H55008" t="str">
        <f t="shared" si="909"/>
        <v/>
      </c>
    </row>
    <row r="55009" spans="8:8" x14ac:dyDescent="0.3">
      <c r="H55009" t="str">
        <f t="shared" si="909"/>
        <v/>
      </c>
    </row>
    <row r="55010" spans="8:8" x14ac:dyDescent="0.3">
      <c r="H55010" t="str">
        <f t="shared" si="909"/>
        <v/>
      </c>
    </row>
    <row r="55011" spans="8:8" x14ac:dyDescent="0.3">
      <c r="H55011" t="str">
        <f t="shared" si="909"/>
        <v/>
      </c>
    </row>
    <row r="55012" spans="8:8" x14ac:dyDescent="0.3">
      <c r="H55012" t="str">
        <f t="shared" si="909"/>
        <v/>
      </c>
    </row>
    <row r="55013" spans="8:8" x14ac:dyDescent="0.3">
      <c r="H55013" t="str">
        <f t="shared" si="909"/>
        <v/>
      </c>
    </row>
    <row r="55014" spans="8:8" x14ac:dyDescent="0.3">
      <c r="H55014" t="str">
        <f t="shared" si="909"/>
        <v/>
      </c>
    </row>
    <row r="55015" spans="8:8" x14ac:dyDescent="0.3">
      <c r="H55015" t="str">
        <f t="shared" si="909"/>
        <v/>
      </c>
    </row>
    <row r="55016" spans="8:8" x14ac:dyDescent="0.3">
      <c r="H55016" t="str">
        <f t="shared" si="909"/>
        <v/>
      </c>
    </row>
    <row r="55017" spans="8:8" x14ac:dyDescent="0.3">
      <c r="H55017" t="str">
        <f t="shared" si="909"/>
        <v/>
      </c>
    </row>
    <row r="55018" spans="8:8" x14ac:dyDescent="0.3">
      <c r="H55018" t="str">
        <f t="shared" si="909"/>
        <v/>
      </c>
    </row>
    <row r="55019" spans="8:8" x14ac:dyDescent="0.3">
      <c r="H55019" t="str">
        <f t="shared" si="909"/>
        <v/>
      </c>
    </row>
    <row r="55020" spans="8:8" x14ac:dyDescent="0.3">
      <c r="H55020" t="str">
        <f t="shared" si="909"/>
        <v/>
      </c>
    </row>
    <row r="55021" spans="8:8" x14ac:dyDescent="0.3">
      <c r="H55021" t="str">
        <f t="shared" si="909"/>
        <v/>
      </c>
    </row>
    <row r="55022" spans="8:8" x14ac:dyDescent="0.3">
      <c r="H55022" t="str">
        <f t="shared" si="909"/>
        <v/>
      </c>
    </row>
    <row r="55023" spans="8:8" x14ac:dyDescent="0.3">
      <c r="H55023" t="str">
        <f t="shared" si="909"/>
        <v/>
      </c>
    </row>
    <row r="55024" spans="8:8" x14ac:dyDescent="0.3">
      <c r="H55024" t="str">
        <f t="shared" si="909"/>
        <v/>
      </c>
    </row>
    <row r="55025" spans="8:8" x14ac:dyDescent="0.3">
      <c r="H55025" t="str">
        <f t="shared" si="909"/>
        <v/>
      </c>
    </row>
    <row r="55026" spans="8:8" x14ac:dyDescent="0.3">
      <c r="H55026" t="str">
        <f t="shared" si="909"/>
        <v/>
      </c>
    </row>
    <row r="55027" spans="8:8" x14ac:dyDescent="0.3">
      <c r="H55027" t="str">
        <f t="shared" si="909"/>
        <v/>
      </c>
    </row>
    <row r="55028" spans="8:8" x14ac:dyDescent="0.3">
      <c r="H55028" t="str">
        <f t="shared" si="909"/>
        <v/>
      </c>
    </row>
    <row r="55029" spans="8:8" x14ac:dyDescent="0.3">
      <c r="H55029" t="str">
        <f t="shared" si="909"/>
        <v/>
      </c>
    </row>
    <row r="55030" spans="8:8" x14ac:dyDescent="0.3">
      <c r="H55030" t="str">
        <f t="shared" si="909"/>
        <v/>
      </c>
    </row>
    <row r="55031" spans="8:8" x14ac:dyDescent="0.3">
      <c r="H55031" t="str">
        <f t="shared" si="909"/>
        <v/>
      </c>
    </row>
    <row r="55032" spans="8:8" x14ac:dyDescent="0.3">
      <c r="H55032" t="str">
        <f t="shared" si="909"/>
        <v/>
      </c>
    </row>
    <row r="55033" spans="8:8" x14ac:dyDescent="0.3">
      <c r="H55033" t="str">
        <f t="shared" si="909"/>
        <v/>
      </c>
    </row>
    <row r="55034" spans="8:8" x14ac:dyDescent="0.3">
      <c r="H55034" t="str">
        <f t="shared" si="909"/>
        <v/>
      </c>
    </row>
    <row r="55035" spans="8:8" x14ac:dyDescent="0.3">
      <c r="H55035" t="str">
        <f t="shared" si="909"/>
        <v/>
      </c>
    </row>
    <row r="55036" spans="8:8" x14ac:dyDescent="0.3">
      <c r="H55036" t="str">
        <f t="shared" si="909"/>
        <v/>
      </c>
    </row>
    <row r="55037" spans="8:8" x14ac:dyDescent="0.3">
      <c r="H55037" t="str">
        <f t="shared" si="909"/>
        <v/>
      </c>
    </row>
    <row r="55038" spans="8:8" x14ac:dyDescent="0.3">
      <c r="H55038" t="str">
        <f t="shared" si="909"/>
        <v/>
      </c>
    </row>
    <row r="55039" spans="8:8" x14ac:dyDescent="0.3">
      <c r="H55039" t="str">
        <f t="shared" si="909"/>
        <v/>
      </c>
    </row>
    <row r="55040" spans="8:8" x14ac:dyDescent="0.3">
      <c r="H55040" t="str">
        <f t="shared" si="909"/>
        <v/>
      </c>
    </row>
    <row r="55041" spans="8:8" x14ac:dyDescent="0.3">
      <c r="H55041" t="str">
        <f t="shared" si="909"/>
        <v/>
      </c>
    </row>
    <row r="55042" spans="8:8" x14ac:dyDescent="0.3">
      <c r="H55042" t="str">
        <f t="shared" si="909"/>
        <v/>
      </c>
    </row>
    <row r="55043" spans="8:8" x14ac:dyDescent="0.3">
      <c r="H55043" t="str">
        <f t="shared" si="909"/>
        <v/>
      </c>
    </row>
    <row r="55044" spans="8:8" x14ac:dyDescent="0.3">
      <c r="H55044" t="str">
        <f t="shared" si="909"/>
        <v/>
      </c>
    </row>
    <row r="55045" spans="8:8" x14ac:dyDescent="0.3">
      <c r="H55045" t="str">
        <f t="shared" si="909"/>
        <v/>
      </c>
    </row>
    <row r="55046" spans="8:8" x14ac:dyDescent="0.3">
      <c r="H55046" t="str">
        <f t="shared" si="909"/>
        <v/>
      </c>
    </row>
    <row r="55047" spans="8:8" x14ac:dyDescent="0.3">
      <c r="H55047" t="str">
        <f t="shared" si="909"/>
        <v/>
      </c>
    </row>
    <row r="55048" spans="8:8" x14ac:dyDescent="0.3">
      <c r="H55048" t="str">
        <f t="shared" si="909"/>
        <v/>
      </c>
    </row>
    <row r="55049" spans="8:8" x14ac:dyDescent="0.3">
      <c r="H55049" t="str">
        <f t="shared" si="909"/>
        <v/>
      </c>
    </row>
    <row r="55050" spans="8:8" x14ac:dyDescent="0.3">
      <c r="H55050" t="str">
        <f t="shared" si="909"/>
        <v/>
      </c>
    </row>
    <row r="55051" spans="8:8" x14ac:dyDescent="0.3">
      <c r="H55051" t="str">
        <f t="shared" si="909"/>
        <v/>
      </c>
    </row>
    <row r="55052" spans="8:8" x14ac:dyDescent="0.3">
      <c r="H55052" t="str">
        <f t="shared" si="909"/>
        <v/>
      </c>
    </row>
    <row r="55053" spans="8:8" x14ac:dyDescent="0.3">
      <c r="H55053" t="str">
        <f t="shared" si="909"/>
        <v/>
      </c>
    </row>
    <row r="55054" spans="8:8" x14ac:dyDescent="0.3">
      <c r="H55054" t="str">
        <f t="shared" si="909"/>
        <v/>
      </c>
    </row>
    <row r="55055" spans="8:8" x14ac:dyDescent="0.3">
      <c r="H55055" t="str">
        <f t="shared" si="909"/>
        <v/>
      </c>
    </row>
    <row r="55056" spans="8:8" x14ac:dyDescent="0.3">
      <c r="H55056" t="str">
        <f t="shared" si="909"/>
        <v/>
      </c>
    </row>
    <row r="55057" spans="8:8" x14ac:dyDescent="0.3">
      <c r="H55057" t="str">
        <f t="shared" si="909"/>
        <v/>
      </c>
    </row>
    <row r="55058" spans="8:8" x14ac:dyDescent="0.3">
      <c r="H55058" t="str">
        <f t="shared" si="909"/>
        <v/>
      </c>
    </row>
    <row r="55059" spans="8:8" x14ac:dyDescent="0.3">
      <c r="H55059" t="str">
        <f t="shared" si="909"/>
        <v/>
      </c>
    </row>
    <row r="55060" spans="8:8" x14ac:dyDescent="0.3">
      <c r="H55060" t="str">
        <f t="shared" si="909"/>
        <v/>
      </c>
    </row>
    <row r="55061" spans="8:8" x14ac:dyDescent="0.3">
      <c r="H55061" t="str">
        <f t="shared" si="909"/>
        <v/>
      </c>
    </row>
    <row r="55062" spans="8:8" x14ac:dyDescent="0.3">
      <c r="H55062" t="str">
        <f t="shared" si="909"/>
        <v/>
      </c>
    </row>
    <row r="55063" spans="8:8" x14ac:dyDescent="0.3">
      <c r="H55063" t="str">
        <f t="shared" ref="H55063:H55126" si="910">IF(B55063="","",$C$12)</f>
        <v/>
      </c>
    </row>
    <row r="55064" spans="8:8" x14ac:dyDescent="0.3">
      <c r="H55064" t="str">
        <f t="shared" si="910"/>
        <v/>
      </c>
    </row>
    <row r="55065" spans="8:8" x14ac:dyDescent="0.3">
      <c r="H55065" t="str">
        <f t="shared" si="910"/>
        <v/>
      </c>
    </row>
    <row r="55066" spans="8:8" x14ac:dyDescent="0.3">
      <c r="H55066" t="str">
        <f t="shared" si="910"/>
        <v/>
      </c>
    </row>
    <row r="55067" spans="8:8" x14ac:dyDescent="0.3">
      <c r="H55067" t="str">
        <f t="shared" si="910"/>
        <v/>
      </c>
    </row>
    <row r="55068" spans="8:8" x14ac:dyDescent="0.3">
      <c r="H55068" t="str">
        <f t="shared" si="910"/>
        <v/>
      </c>
    </row>
    <row r="55069" spans="8:8" x14ac:dyDescent="0.3">
      <c r="H55069" t="str">
        <f t="shared" si="910"/>
        <v/>
      </c>
    </row>
    <row r="55070" spans="8:8" x14ac:dyDescent="0.3">
      <c r="H55070" t="str">
        <f t="shared" si="910"/>
        <v/>
      </c>
    </row>
    <row r="55071" spans="8:8" x14ac:dyDescent="0.3">
      <c r="H55071" t="str">
        <f t="shared" si="910"/>
        <v/>
      </c>
    </row>
    <row r="55072" spans="8:8" x14ac:dyDescent="0.3">
      <c r="H55072" t="str">
        <f t="shared" si="910"/>
        <v/>
      </c>
    </row>
    <row r="55073" spans="8:8" x14ac:dyDescent="0.3">
      <c r="H55073" t="str">
        <f t="shared" si="910"/>
        <v/>
      </c>
    </row>
    <row r="55074" spans="8:8" x14ac:dyDescent="0.3">
      <c r="H55074" t="str">
        <f t="shared" si="910"/>
        <v/>
      </c>
    </row>
    <row r="55075" spans="8:8" x14ac:dyDescent="0.3">
      <c r="H55075" t="str">
        <f t="shared" si="910"/>
        <v/>
      </c>
    </row>
    <row r="55076" spans="8:8" x14ac:dyDescent="0.3">
      <c r="H55076" t="str">
        <f t="shared" si="910"/>
        <v/>
      </c>
    </row>
    <row r="55077" spans="8:8" x14ac:dyDescent="0.3">
      <c r="H55077" t="str">
        <f t="shared" si="910"/>
        <v/>
      </c>
    </row>
    <row r="55078" spans="8:8" x14ac:dyDescent="0.3">
      <c r="H55078" t="str">
        <f t="shared" si="910"/>
        <v/>
      </c>
    </row>
    <row r="55079" spans="8:8" x14ac:dyDescent="0.3">
      <c r="H55079" t="str">
        <f t="shared" si="910"/>
        <v/>
      </c>
    </row>
    <row r="55080" spans="8:8" x14ac:dyDescent="0.3">
      <c r="H55080" t="str">
        <f t="shared" si="910"/>
        <v/>
      </c>
    </row>
    <row r="55081" spans="8:8" x14ac:dyDescent="0.3">
      <c r="H55081" t="str">
        <f t="shared" si="910"/>
        <v/>
      </c>
    </row>
    <row r="55082" spans="8:8" x14ac:dyDescent="0.3">
      <c r="H55082" t="str">
        <f t="shared" si="910"/>
        <v/>
      </c>
    </row>
    <row r="55083" spans="8:8" x14ac:dyDescent="0.3">
      <c r="H55083" t="str">
        <f t="shared" si="910"/>
        <v/>
      </c>
    </row>
    <row r="55084" spans="8:8" x14ac:dyDescent="0.3">
      <c r="H55084" t="str">
        <f t="shared" si="910"/>
        <v/>
      </c>
    </row>
    <row r="55085" spans="8:8" x14ac:dyDescent="0.3">
      <c r="H55085" t="str">
        <f t="shared" si="910"/>
        <v/>
      </c>
    </row>
    <row r="55086" spans="8:8" x14ac:dyDescent="0.3">
      <c r="H55086" t="str">
        <f t="shared" si="910"/>
        <v/>
      </c>
    </row>
    <row r="55087" spans="8:8" x14ac:dyDescent="0.3">
      <c r="H55087" t="str">
        <f t="shared" si="910"/>
        <v/>
      </c>
    </row>
    <row r="55088" spans="8:8" x14ac:dyDescent="0.3">
      <c r="H55088" t="str">
        <f t="shared" si="910"/>
        <v/>
      </c>
    </row>
    <row r="55089" spans="8:8" x14ac:dyDescent="0.3">
      <c r="H55089" t="str">
        <f t="shared" si="910"/>
        <v/>
      </c>
    </row>
    <row r="55090" spans="8:8" x14ac:dyDescent="0.3">
      <c r="H55090" t="str">
        <f t="shared" si="910"/>
        <v/>
      </c>
    </row>
    <row r="55091" spans="8:8" x14ac:dyDescent="0.3">
      <c r="H55091" t="str">
        <f t="shared" si="910"/>
        <v/>
      </c>
    </row>
    <row r="55092" spans="8:8" x14ac:dyDescent="0.3">
      <c r="H55092" t="str">
        <f t="shared" si="910"/>
        <v/>
      </c>
    </row>
    <row r="55093" spans="8:8" x14ac:dyDescent="0.3">
      <c r="H55093" t="str">
        <f t="shared" si="910"/>
        <v/>
      </c>
    </row>
    <row r="55094" spans="8:8" x14ac:dyDescent="0.3">
      <c r="H55094" t="str">
        <f t="shared" si="910"/>
        <v/>
      </c>
    </row>
    <row r="55095" spans="8:8" x14ac:dyDescent="0.3">
      <c r="H55095" t="str">
        <f t="shared" si="910"/>
        <v/>
      </c>
    </row>
    <row r="55096" spans="8:8" x14ac:dyDescent="0.3">
      <c r="H55096" t="str">
        <f t="shared" si="910"/>
        <v/>
      </c>
    </row>
    <row r="55097" spans="8:8" x14ac:dyDescent="0.3">
      <c r="H55097" t="str">
        <f t="shared" si="910"/>
        <v/>
      </c>
    </row>
    <row r="55098" spans="8:8" x14ac:dyDescent="0.3">
      <c r="H55098" t="str">
        <f t="shared" si="910"/>
        <v/>
      </c>
    </row>
    <row r="55099" spans="8:8" x14ac:dyDescent="0.3">
      <c r="H55099" t="str">
        <f t="shared" si="910"/>
        <v/>
      </c>
    </row>
    <row r="55100" spans="8:8" x14ac:dyDescent="0.3">
      <c r="H55100" t="str">
        <f t="shared" si="910"/>
        <v/>
      </c>
    </row>
    <row r="55101" spans="8:8" x14ac:dyDescent="0.3">
      <c r="H55101" t="str">
        <f t="shared" si="910"/>
        <v/>
      </c>
    </row>
    <row r="55102" spans="8:8" x14ac:dyDescent="0.3">
      <c r="H55102" t="str">
        <f t="shared" si="910"/>
        <v/>
      </c>
    </row>
    <row r="55103" spans="8:8" x14ac:dyDescent="0.3">
      <c r="H55103" t="str">
        <f t="shared" si="910"/>
        <v/>
      </c>
    </row>
    <row r="55104" spans="8:8" x14ac:dyDescent="0.3">
      <c r="H55104" t="str">
        <f t="shared" si="910"/>
        <v/>
      </c>
    </row>
    <row r="55105" spans="8:8" x14ac:dyDescent="0.3">
      <c r="H55105" t="str">
        <f t="shared" si="910"/>
        <v/>
      </c>
    </row>
    <row r="55106" spans="8:8" x14ac:dyDescent="0.3">
      <c r="H55106" t="str">
        <f t="shared" si="910"/>
        <v/>
      </c>
    </row>
    <row r="55107" spans="8:8" x14ac:dyDescent="0.3">
      <c r="H55107" t="str">
        <f t="shared" si="910"/>
        <v/>
      </c>
    </row>
    <row r="55108" spans="8:8" x14ac:dyDescent="0.3">
      <c r="H55108" t="str">
        <f t="shared" si="910"/>
        <v/>
      </c>
    </row>
    <row r="55109" spans="8:8" x14ac:dyDescent="0.3">
      <c r="H55109" t="str">
        <f t="shared" si="910"/>
        <v/>
      </c>
    </row>
    <row r="55110" spans="8:8" x14ac:dyDescent="0.3">
      <c r="H55110" t="str">
        <f t="shared" si="910"/>
        <v/>
      </c>
    </row>
    <row r="55111" spans="8:8" x14ac:dyDescent="0.3">
      <c r="H55111" t="str">
        <f t="shared" si="910"/>
        <v/>
      </c>
    </row>
    <row r="55112" spans="8:8" x14ac:dyDescent="0.3">
      <c r="H55112" t="str">
        <f t="shared" si="910"/>
        <v/>
      </c>
    </row>
    <row r="55113" spans="8:8" x14ac:dyDescent="0.3">
      <c r="H55113" t="str">
        <f t="shared" si="910"/>
        <v/>
      </c>
    </row>
    <row r="55114" spans="8:8" x14ac:dyDescent="0.3">
      <c r="H55114" t="str">
        <f t="shared" si="910"/>
        <v/>
      </c>
    </row>
    <row r="55115" spans="8:8" x14ac:dyDescent="0.3">
      <c r="H55115" t="str">
        <f t="shared" si="910"/>
        <v/>
      </c>
    </row>
    <row r="55116" spans="8:8" x14ac:dyDescent="0.3">
      <c r="H55116" t="str">
        <f t="shared" si="910"/>
        <v/>
      </c>
    </row>
    <row r="55117" spans="8:8" x14ac:dyDescent="0.3">
      <c r="H55117" t="str">
        <f t="shared" si="910"/>
        <v/>
      </c>
    </row>
    <row r="55118" spans="8:8" x14ac:dyDescent="0.3">
      <c r="H55118" t="str">
        <f t="shared" si="910"/>
        <v/>
      </c>
    </row>
    <row r="55119" spans="8:8" x14ac:dyDescent="0.3">
      <c r="H55119" t="str">
        <f t="shared" si="910"/>
        <v/>
      </c>
    </row>
    <row r="55120" spans="8:8" x14ac:dyDescent="0.3">
      <c r="H55120" t="str">
        <f t="shared" si="910"/>
        <v/>
      </c>
    </row>
    <row r="55121" spans="8:8" x14ac:dyDescent="0.3">
      <c r="H55121" t="str">
        <f t="shared" si="910"/>
        <v/>
      </c>
    </row>
    <row r="55122" spans="8:8" x14ac:dyDescent="0.3">
      <c r="H55122" t="str">
        <f t="shared" si="910"/>
        <v/>
      </c>
    </row>
    <row r="55123" spans="8:8" x14ac:dyDescent="0.3">
      <c r="H55123" t="str">
        <f t="shared" si="910"/>
        <v/>
      </c>
    </row>
    <row r="55124" spans="8:8" x14ac:dyDescent="0.3">
      <c r="H55124" t="str">
        <f t="shared" si="910"/>
        <v/>
      </c>
    </row>
    <row r="55125" spans="8:8" x14ac:dyDescent="0.3">
      <c r="H55125" t="str">
        <f t="shared" si="910"/>
        <v/>
      </c>
    </row>
    <row r="55126" spans="8:8" x14ac:dyDescent="0.3">
      <c r="H55126" t="str">
        <f t="shared" si="910"/>
        <v/>
      </c>
    </row>
    <row r="55127" spans="8:8" x14ac:dyDescent="0.3">
      <c r="H55127" t="str">
        <f t="shared" ref="H55127:H55190" si="911">IF(B55127="","",$C$12)</f>
        <v/>
      </c>
    </row>
    <row r="55128" spans="8:8" x14ac:dyDescent="0.3">
      <c r="H55128" t="str">
        <f t="shared" si="911"/>
        <v/>
      </c>
    </row>
    <row r="55129" spans="8:8" x14ac:dyDescent="0.3">
      <c r="H55129" t="str">
        <f t="shared" si="911"/>
        <v/>
      </c>
    </row>
    <row r="55130" spans="8:8" x14ac:dyDescent="0.3">
      <c r="H55130" t="str">
        <f t="shared" si="911"/>
        <v/>
      </c>
    </row>
    <row r="55131" spans="8:8" x14ac:dyDescent="0.3">
      <c r="H55131" t="str">
        <f t="shared" si="911"/>
        <v/>
      </c>
    </row>
    <row r="55132" spans="8:8" x14ac:dyDescent="0.3">
      <c r="H55132" t="str">
        <f t="shared" si="911"/>
        <v/>
      </c>
    </row>
    <row r="55133" spans="8:8" x14ac:dyDescent="0.3">
      <c r="H55133" t="str">
        <f t="shared" si="911"/>
        <v/>
      </c>
    </row>
    <row r="55134" spans="8:8" x14ac:dyDescent="0.3">
      <c r="H55134" t="str">
        <f t="shared" si="911"/>
        <v/>
      </c>
    </row>
    <row r="55135" spans="8:8" x14ac:dyDescent="0.3">
      <c r="H55135" t="str">
        <f t="shared" si="911"/>
        <v/>
      </c>
    </row>
    <row r="55136" spans="8:8" x14ac:dyDescent="0.3">
      <c r="H55136" t="str">
        <f t="shared" si="911"/>
        <v/>
      </c>
    </row>
    <row r="55137" spans="8:8" x14ac:dyDescent="0.3">
      <c r="H55137" t="str">
        <f t="shared" si="911"/>
        <v/>
      </c>
    </row>
    <row r="55138" spans="8:8" x14ac:dyDescent="0.3">
      <c r="H55138" t="str">
        <f t="shared" si="911"/>
        <v/>
      </c>
    </row>
    <row r="55139" spans="8:8" x14ac:dyDescent="0.3">
      <c r="H55139" t="str">
        <f t="shared" si="911"/>
        <v/>
      </c>
    </row>
    <row r="55140" spans="8:8" x14ac:dyDescent="0.3">
      <c r="H55140" t="str">
        <f t="shared" si="911"/>
        <v/>
      </c>
    </row>
    <row r="55141" spans="8:8" x14ac:dyDescent="0.3">
      <c r="H55141" t="str">
        <f t="shared" si="911"/>
        <v/>
      </c>
    </row>
    <row r="55142" spans="8:8" x14ac:dyDescent="0.3">
      <c r="H55142" t="str">
        <f t="shared" si="911"/>
        <v/>
      </c>
    </row>
    <row r="55143" spans="8:8" x14ac:dyDescent="0.3">
      <c r="H55143" t="str">
        <f t="shared" si="911"/>
        <v/>
      </c>
    </row>
    <row r="55144" spans="8:8" x14ac:dyDescent="0.3">
      <c r="H55144" t="str">
        <f t="shared" si="911"/>
        <v/>
      </c>
    </row>
    <row r="55145" spans="8:8" x14ac:dyDescent="0.3">
      <c r="H55145" t="str">
        <f t="shared" si="911"/>
        <v/>
      </c>
    </row>
    <row r="55146" spans="8:8" x14ac:dyDescent="0.3">
      <c r="H55146" t="str">
        <f t="shared" si="911"/>
        <v/>
      </c>
    </row>
    <row r="55147" spans="8:8" x14ac:dyDescent="0.3">
      <c r="H55147" t="str">
        <f t="shared" si="911"/>
        <v/>
      </c>
    </row>
    <row r="55148" spans="8:8" x14ac:dyDescent="0.3">
      <c r="H55148" t="str">
        <f t="shared" si="911"/>
        <v/>
      </c>
    </row>
    <row r="55149" spans="8:8" x14ac:dyDescent="0.3">
      <c r="H55149" t="str">
        <f t="shared" si="911"/>
        <v/>
      </c>
    </row>
    <row r="55150" spans="8:8" x14ac:dyDescent="0.3">
      <c r="H55150" t="str">
        <f t="shared" si="911"/>
        <v/>
      </c>
    </row>
    <row r="55151" spans="8:8" x14ac:dyDescent="0.3">
      <c r="H55151" t="str">
        <f t="shared" si="911"/>
        <v/>
      </c>
    </row>
    <row r="55152" spans="8:8" x14ac:dyDescent="0.3">
      <c r="H55152" t="str">
        <f t="shared" si="911"/>
        <v/>
      </c>
    </row>
    <row r="55153" spans="8:8" x14ac:dyDescent="0.3">
      <c r="H55153" t="str">
        <f t="shared" si="911"/>
        <v/>
      </c>
    </row>
    <row r="55154" spans="8:8" x14ac:dyDescent="0.3">
      <c r="H55154" t="str">
        <f t="shared" si="911"/>
        <v/>
      </c>
    </row>
    <row r="55155" spans="8:8" x14ac:dyDescent="0.3">
      <c r="H55155" t="str">
        <f t="shared" si="911"/>
        <v/>
      </c>
    </row>
    <row r="55156" spans="8:8" x14ac:dyDescent="0.3">
      <c r="H55156" t="str">
        <f t="shared" si="911"/>
        <v/>
      </c>
    </row>
    <row r="55157" spans="8:8" x14ac:dyDescent="0.3">
      <c r="H55157" t="str">
        <f t="shared" si="911"/>
        <v/>
      </c>
    </row>
    <row r="55158" spans="8:8" x14ac:dyDescent="0.3">
      <c r="H55158" t="str">
        <f t="shared" si="911"/>
        <v/>
      </c>
    </row>
    <row r="55159" spans="8:8" x14ac:dyDescent="0.3">
      <c r="H55159" t="str">
        <f t="shared" si="911"/>
        <v/>
      </c>
    </row>
    <row r="55160" spans="8:8" x14ac:dyDescent="0.3">
      <c r="H55160" t="str">
        <f t="shared" si="911"/>
        <v/>
      </c>
    </row>
    <row r="55161" spans="8:8" x14ac:dyDescent="0.3">
      <c r="H55161" t="str">
        <f t="shared" si="911"/>
        <v/>
      </c>
    </row>
    <row r="55162" spans="8:8" x14ac:dyDescent="0.3">
      <c r="H55162" t="str">
        <f t="shared" si="911"/>
        <v/>
      </c>
    </row>
    <row r="55163" spans="8:8" x14ac:dyDescent="0.3">
      <c r="H55163" t="str">
        <f t="shared" si="911"/>
        <v/>
      </c>
    </row>
    <row r="55164" spans="8:8" x14ac:dyDescent="0.3">
      <c r="H55164" t="str">
        <f t="shared" si="911"/>
        <v/>
      </c>
    </row>
    <row r="55165" spans="8:8" x14ac:dyDescent="0.3">
      <c r="H55165" t="str">
        <f t="shared" si="911"/>
        <v/>
      </c>
    </row>
    <row r="55166" spans="8:8" x14ac:dyDescent="0.3">
      <c r="H55166" t="str">
        <f t="shared" si="911"/>
        <v/>
      </c>
    </row>
    <row r="55167" spans="8:8" x14ac:dyDescent="0.3">
      <c r="H55167" t="str">
        <f t="shared" si="911"/>
        <v/>
      </c>
    </row>
    <row r="55168" spans="8:8" x14ac:dyDescent="0.3">
      <c r="H55168" t="str">
        <f t="shared" si="911"/>
        <v/>
      </c>
    </row>
    <row r="55169" spans="8:8" x14ac:dyDescent="0.3">
      <c r="H55169" t="str">
        <f t="shared" si="911"/>
        <v/>
      </c>
    </row>
    <row r="55170" spans="8:8" x14ac:dyDescent="0.3">
      <c r="H55170" t="str">
        <f t="shared" si="911"/>
        <v/>
      </c>
    </row>
    <row r="55171" spans="8:8" x14ac:dyDescent="0.3">
      <c r="H55171" t="str">
        <f t="shared" si="911"/>
        <v/>
      </c>
    </row>
    <row r="55172" spans="8:8" x14ac:dyDescent="0.3">
      <c r="H55172" t="str">
        <f t="shared" si="911"/>
        <v/>
      </c>
    </row>
    <row r="55173" spans="8:8" x14ac:dyDescent="0.3">
      <c r="H55173" t="str">
        <f t="shared" si="911"/>
        <v/>
      </c>
    </row>
    <row r="55174" spans="8:8" x14ac:dyDescent="0.3">
      <c r="H55174" t="str">
        <f t="shared" si="911"/>
        <v/>
      </c>
    </row>
    <row r="55175" spans="8:8" x14ac:dyDescent="0.3">
      <c r="H55175" t="str">
        <f t="shared" si="911"/>
        <v/>
      </c>
    </row>
    <row r="55176" spans="8:8" x14ac:dyDescent="0.3">
      <c r="H55176" t="str">
        <f t="shared" si="911"/>
        <v/>
      </c>
    </row>
    <row r="55177" spans="8:8" x14ac:dyDescent="0.3">
      <c r="H55177" t="str">
        <f t="shared" si="911"/>
        <v/>
      </c>
    </row>
    <row r="55178" spans="8:8" x14ac:dyDescent="0.3">
      <c r="H55178" t="str">
        <f t="shared" si="911"/>
        <v/>
      </c>
    </row>
    <row r="55179" spans="8:8" x14ac:dyDescent="0.3">
      <c r="H55179" t="str">
        <f t="shared" si="911"/>
        <v/>
      </c>
    </row>
    <row r="55180" spans="8:8" x14ac:dyDescent="0.3">
      <c r="H55180" t="str">
        <f t="shared" si="911"/>
        <v/>
      </c>
    </row>
    <row r="55181" spans="8:8" x14ac:dyDescent="0.3">
      <c r="H55181" t="str">
        <f t="shared" si="911"/>
        <v/>
      </c>
    </row>
    <row r="55182" spans="8:8" x14ac:dyDescent="0.3">
      <c r="H55182" t="str">
        <f t="shared" si="911"/>
        <v/>
      </c>
    </row>
    <row r="55183" spans="8:8" x14ac:dyDescent="0.3">
      <c r="H55183" t="str">
        <f t="shared" si="911"/>
        <v/>
      </c>
    </row>
    <row r="55184" spans="8:8" x14ac:dyDescent="0.3">
      <c r="H55184" t="str">
        <f t="shared" si="911"/>
        <v/>
      </c>
    </row>
    <row r="55185" spans="8:8" x14ac:dyDescent="0.3">
      <c r="H55185" t="str">
        <f t="shared" si="911"/>
        <v/>
      </c>
    </row>
    <row r="55186" spans="8:8" x14ac:dyDescent="0.3">
      <c r="H55186" t="str">
        <f t="shared" si="911"/>
        <v/>
      </c>
    </row>
    <row r="55187" spans="8:8" x14ac:dyDescent="0.3">
      <c r="H55187" t="str">
        <f t="shared" si="911"/>
        <v/>
      </c>
    </row>
    <row r="55188" spans="8:8" x14ac:dyDescent="0.3">
      <c r="H55188" t="str">
        <f t="shared" si="911"/>
        <v/>
      </c>
    </row>
    <row r="55189" spans="8:8" x14ac:dyDescent="0.3">
      <c r="H55189" t="str">
        <f t="shared" si="911"/>
        <v/>
      </c>
    </row>
    <row r="55190" spans="8:8" x14ac:dyDescent="0.3">
      <c r="H55190" t="str">
        <f t="shared" si="911"/>
        <v/>
      </c>
    </row>
    <row r="55191" spans="8:8" x14ac:dyDescent="0.3">
      <c r="H55191" t="str">
        <f t="shared" ref="H55191:H55254" si="912">IF(B55191="","",$C$12)</f>
        <v/>
      </c>
    </row>
    <row r="55192" spans="8:8" x14ac:dyDescent="0.3">
      <c r="H55192" t="str">
        <f t="shared" si="912"/>
        <v/>
      </c>
    </row>
    <row r="55193" spans="8:8" x14ac:dyDescent="0.3">
      <c r="H55193" t="str">
        <f t="shared" si="912"/>
        <v/>
      </c>
    </row>
    <row r="55194" spans="8:8" x14ac:dyDescent="0.3">
      <c r="H55194" t="str">
        <f t="shared" si="912"/>
        <v/>
      </c>
    </row>
    <row r="55195" spans="8:8" x14ac:dyDescent="0.3">
      <c r="H55195" t="str">
        <f t="shared" si="912"/>
        <v/>
      </c>
    </row>
    <row r="55196" spans="8:8" x14ac:dyDescent="0.3">
      <c r="H55196" t="str">
        <f t="shared" si="912"/>
        <v/>
      </c>
    </row>
    <row r="55197" spans="8:8" x14ac:dyDescent="0.3">
      <c r="H55197" t="str">
        <f t="shared" si="912"/>
        <v/>
      </c>
    </row>
    <row r="55198" spans="8:8" x14ac:dyDescent="0.3">
      <c r="H55198" t="str">
        <f t="shared" si="912"/>
        <v/>
      </c>
    </row>
    <row r="55199" spans="8:8" x14ac:dyDescent="0.3">
      <c r="H55199" t="str">
        <f t="shared" si="912"/>
        <v/>
      </c>
    </row>
    <row r="55200" spans="8:8" x14ac:dyDescent="0.3">
      <c r="H55200" t="str">
        <f t="shared" si="912"/>
        <v/>
      </c>
    </row>
    <row r="55201" spans="8:8" x14ac:dyDescent="0.3">
      <c r="H55201" t="str">
        <f t="shared" si="912"/>
        <v/>
      </c>
    </row>
    <row r="55202" spans="8:8" x14ac:dyDescent="0.3">
      <c r="H55202" t="str">
        <f t="shared" si="912"/>
        <v/>
      </c>
    </row>
    <row r="55203" spans="8:8" x14ac:dyDescent="0.3">
      <c r="H55203" t="str">
        <f t="shared" si="912"/>
        <v/>
      </c>
    </row>
    <row r="55204" spans="8:8" x14ac:dyDescent="0.3">
      <c r="H55204" t="str">
        <f t="shared" si="912"/>
        <v/>
      </c>
    </row>
    <row r="55205" spans="8:8" x14ac:dyDescent="0.3">
      <c r="H55205" t="str">
        <f t="shared" si="912"/>
        <v/>
      </c>
    </row>
    <row r="55206" spans="8:8" x14ac:dyDescent="0.3">
      <c r="H55206" t="str">
        <f t="shared" si="912"/>
        <v/>
      </c>
    </row>
    <row r="55207" spans="8:8" x14ac:dyDescent="0.3">
      <c r="H55207" t="str">
        <f t="shared" si="912"/>
        <v/>
      </c>
    </row>
    <row r="55208" spans="8:8" x14ac:dyDescent="0.3">
      <c r="H55208" t="str">
        <f t="shared" si="912"/>
        <v/>
      </c>
    </row>
    <row r="55209" spans="8:8" x14ac:dyDescent="0.3">
      <c r="H55209" t="str">
        <f t="shared" si="912"/>
        <v/>
      </c>
    </row>
    <row r="55210" spans="8:8" x14ac:dyDescent="0.3">
      <c r="H55210" t="str">
        <f t="shared" si="912"/>
        <v/>
      </c>
    </row>
    <row r="55211" spans="8:8" x14ac:dyDescent="0.3">
      <c r="H55211" t="str">
        <f t="shared" si="912"/>
        <v/>
      </c>
    </row>
    <row r="55212" spans="8:8" x14ac:dyDescent="0.3">
      <c r="H55212" t="str">
        <f t="shared" si="912"/>
        <v/>
      </c>
    </row>
    <row r="55213" spans="8:8" x14ac:dyDescent="0.3">
      <c r="H55213" t="str">
        <f t="shared" si="912"/>
        <v/>
      </c>
    </row>
    <row r="55214" spans="8:8" x14ac:dyDescent="0.3">
      <c r="H55214" t="str">
        <f t="shared" si="912"/>
        <v/>
      </c>
    </row>
    <row r="55215" spans="8:8" x14ac:dyDescent="0.3">
      <c r="H55215" t="str">
        <f t="shared" si="912"/>
        <v/>
      </c>
    </row>
    <row r="55216" spans="8:8" x14ac:dyDescent="0.3">
      <c r="H55216" t="str">
        <f t="shared" si="912"/>
        <v/>
      </c>
    </row>
    <row r="55217" spans="8:8" x14ac:dyDescent="0.3">
      <c r="H55217" t="str">
        <f t="shared" si="912"/>
        <v/>
      </c>
    </row>
    <row r="55218" spans="8:8" x14ac:dyDescent="0.3">
      <c r="H55218" t="str">
        <f t="shared" si="912"/>
        <v/>
      </c>
    </row>
    <row r="55219" spans="8:8" x14ac:dyDescent="0.3">
      <c r="H55219" t="str">
        <f t="shared" si="912"/>
        <v/>
      </c>
    </row>
    <row r="55220" spans="8:8" x14ac:dyDescent="0.3">
      <c r="H55220" t="str">
        <f t="shared" si="912"/>
        <v/>
      </c>
    </row>
    <row r="55221" spans="8:8" x14ac:dyDescent="0.3">
      <c r="H55221" t="str">
        <f t="shared" si="912"/>
        <v/>
      </c>
    </row>
    <row r="55222" spans="8:8" x14ac:dyDescent="0.3">
      <c r="H55222" t="str">
        <f t="shared" si="912"/>
        <v/>
      </c>
    </row>
    <row r="55223" spans="8:8" x14ac:dyDescent="0.3">
      <c r="H55223" t="str">
        <f t="shared" si="912"/>
        <v/>
      </c>
    </row>
    <row r="55224" spans="8:8" x14ac:dyDescent="0.3">
      <c r="H55224" t="str">
        <f t="shared" si="912"/>
        <v/>
      </c>
    </row>
    <row r="55225" spans="8:8" x14ac:dyDescent="0.3">
      <c r="H55225" t="str">
        <f t="shared" si="912"/>
        <v/>
      </c>
    </row>
    <row r="55226" spans="8:8" x14ac:dyDescent="0.3">
      <c r="H55226" t="str">
        <f t="shared" si="912"/>
        <v/>
      </c>
    </row>
    <row r="55227" spans="8:8" x14ac:dyDescent="0.3">
      <c r="H55227" t="str">
        <f t="shared" si="912"/>
        <v/>
      </c>
    </row>
    <row r="55228" spans="8:8" x14ac:dyDescent="0.3">
      <c r="H55228" t="str">
        <f t="shared" si="912"/>
        <v/>
      </c>
    </row>
    <row r="55229" spans="8:8" x14ac:dyDescent="0.3">
      <c r="H55229" t="str">
        <f t="shared" si="912"/>
        <v/>
      </c>
    </row>
    <row r="55230" spans="8:8" x14ac:dyDescent="0.3">
      <c r="H55230" t="str">
        <f t="shared" si="912"/>
        <v/>
      </c>
    </row>
    <row r="55231" spans="8:8" x14ac:dyDescent="0.3">
      <c r="H55231" t="str">
        <f t="shared" si="912"/>
        <v/>
      </c>
    </row>
    <row r="55232" spans="8:8" x14ac:dyDescent="0.3">
      <c r="H55232" t="str">
        <f t="shared" si="912"/>
        <v/>
      </c>
    </row>
    <row r="55233" spans="8:8" x14ac:dyDescent="0.3">
      <c r="H55233" t="str">
        <f t="shared" si="912"/>
        <v/>
      </c>
    </row>
    <row r="55234" spans="8:8" x14ac:dyDescent="0.3">
      <c r="H55234" t="str">
        <f t="shared" si="912"/>
        <v/>
      </c>
    </row>
    <row r="55235" spans="8:8" x14ac:dyDescent="0.3">
      <c r="H55235" t="str">
        <f t="shared" si="912"/>
        <v/>
      </c>
    </row>
    <row r="55236" spans="8:8" x14ac:dyDescent="0.3">
      <c r="H55236" t="str">
        <f t="shared" si="912"/>
        <v/>
      </c>
    </row>
    <row r="55237" spans="8:8" x14ac:dyDescent="0.3">
      <c r="H55237" t="str">
        <f t="shared" si="912"/>
        <v/>
      </c>
    </row>
    <row r="55238" spans="8:8" x14ac:dyDescent="0.3">
      <c r="H55238" t="str">
        <f t="shared" si="912"/>
        <v/>
      </c>
    </row>
    <row r="55239" spans="8:8" x14ac:dyDescent="0.3">
      <c r="H55239" t="str">
        <f t="shared" si="912"/>
        <v/>
      </c>
    </row>
    <row r="55240" spans="8:8" x14ac:dyDescent="0.3">
      <c r="H55240" t="str">
        <f t="shared" si="912"/>
        <v/>
      </c>
    </row>
    <row r="55241" spans="8:8" x14ac:dyDescent="0.3">
      <c r="H55241" t="str">
        <f t="shared" si="912"/>
        <v/>
      </c>
    </row>
    <row r="55242" spans="8:8" x14ac:dyDescent="0.3">
      <c r="H55242" t="str">
        <f t="shared" si="912"/>
        <v/>
      </c>
    </row>
    <row r="55243" spans="8:8" x14ac:dyDescent="0.3">
      <c r="H55243" t="str">
        <f t="shared" si="912"/>
        <v/>
      </c>
    </row>
    <row r="55244" spans="8:8" x14ac:dyDescent="0.3">
      <c r="H55244" t="str">
        <f t="shared" si="912"/>
        <v/>
      </c>
    </row>
    <row r="55245" spans="8:8" x14ac:dyDescent="0.3">
      <c r="H55245" t="str">
        <f t="shared" si="912"/>
        <v/>
      </c>
    </row>
    <row r="55246" spans="8:8" x14ac:dyDescent="0.3">
      <c r="H55246" t="str">
        <f t="shared" si="912"/>
        <v/>
      </c>
    </row>
    <row r="55247" spans="8:8" x14ac:dyDescent="0.3">
      <c r="H55247" t="str">
        <f t="shared" si="912"/>
        <v/>
      </c>
    </row>
    <row r="55248" spans="8:8" x14ac:dyDescent="0.3">
      <c r="H55248" t="str">
        <f t="shared" si="912"/>
        <v/>
      </c>
    </row>
    <row r="55249" spans="8:8" x14ac:dyDescent="0.3">
      <c r="H55249" t="str">
        <f t="shared" si="912"/>
        <v/>
      </c>
    </row>
    <row r="55250" spans="8:8" x14ac:dyDescent="0.3">
      <c r="H55250" t="str">
        <f t="shared" si="912"/>
        <v/>
      </c>
    </row>
    <row r="55251" spans="8:8" x14ac:dyDescent="0.3">
      <c r="H55251" t="str">
        <f t="shared" si="912"/>
        <v/>
      </c>
    </row>
    <row r="55252" spans="8:8" x14ac:dyDescent="0.3">
      <c r="H55252" t="str">
        <f t="shared" si="912"/>
        <v/>
      </c>
    </row>
    <row r="55253" spans="8:8" x14ac:dyDescent="0.3">
      <c r="H55253" t="str">
        <f t="shared" si="912"/>
        <v/>
      </c>
    </row>
    <row r="55254" spans="8:8" x14ac:dyDescent="0.3">
      <c r="H55254" t="str">
        <f t="shared" si="912"/>
        <v/>
      </c>
    </row>
    <row r="55255" spans="8:8" x14ac:dyDescent="0.3">
      <c r="H55255" t="str">
        <f t="shared" ref="H55255:H55318" si="913">IF(B55255="","",$C$12)</f>
        <v/>
      </c>
    </row>
    <row r="55256" spans="8:8" x14ac:dyDescent="0.3">
      <c r="H55256" t="str">
        <f t="shared" si="913"/>
        <v/>
      </c>
    </row>
    <row r="55257" spans="8:8" x14ac:dyDescent="0.3">
      <c r="H55257" t="str">
        <f t="shared" si="913"/>
        <v/>
      </c>
    </row>
    <row r="55258" spans="8:8" x14ac:dyDescent="0.3">
      <c r="H55258" t="str">
        <f t="shared" si="913"/>
        <v/>
      </c>
    </row>
    <row r="55259" spans="8:8" x14ac:dyDescent="0.3">
      <c r="H55259" t="str">
        <f t="shared" si="913"/>
        <v/>
      </c>
    </row>
    <row r="55260" spans="8:8" x14ac:dyDescent="0.3">
      <c r="H55260" t="str">
        <f t="shared" si="913"/>
        <v/>
      </c>
    </row>
    <row r="55261" spans="8:8" x14ac:dyDescent="0.3">
      <c r="H55261" t="str">
        <f t="shared" si="913"/>
        <v/>
      </c>
    </row>
    <row r="55262" spans="8:8" x14ac:dyDescent="0.3">
      <c r="H55262" t="str">
        <f t="shared" si="913"/>
        <v/>
      </c>
    </row>
    <row r="55263" spans="8:8" x14ac:dyDescent="0.3">
      <c r="H55263" t="str">
        <f t="shared" si="913"/>
        <v/>
      </c>
    </row>
    <row r="55264" spans="8:8" x14ac:dyDescent="0.3">
      <c r="H55264" t="str">
        <f t="shared" si="913"/>
        <v/>
      </c>
    </row>
    <row r="55265" spans="8:8" x14ac:dyDescent="0.3">
      <c r="H55265" t="str">
        <f t="shared" si="913"/>
        <v/>
      </c>
    </row>
    <row r="55266" spans="8:8" x14ac:dyDescent="0.3">
      <c r="H55266" t="str">
        <f t="shared" si="913"/>
        <v/>
      </c>
    </row>
    <row r="55267" spans="8:8" x14ac:dyDescent="0.3">
      <c r="H55267" t="str">
        <f t="shared" si="913"/>
        <v/>
      </c>
    </row>
    <row r="55268" spans="8:8" x14ac:dyDescent="0.3">
      <c r="H55268" t="str">
        <f t="shared" si="913"/>
        <v/>
      </c>
    </row>
    <row r="55269" spans="8:8" x14ac:dyDescent="0.3">
      <c r="H55269" t="str">
        <f t="shared" si="913"/>
        <v/>
      </c>
    </row>
    <row r="55270" spans="8:8" x14ac:dyDescent="0.3">
      <c r="H55270" t="str">
        <f t="shared" si="913"/>
        <v/>
      </c>
    </row>
    <row r="55271" spans="8:8" x14ac:dyDescent="0.3">
      <c r="H55271" t="str">
        <f t="shared" si="913"/>
        <v/>
      </c>
    </row>
    <row r="55272" spans="8:8" x14ac:dyDescent="0.3">
      <c r="H55272" t="str">
        <f t="shared" si="913"/>
        <v/>
      </c>
    </row>
    <row r="55273" spans="8:8" x14ac:dyDescent="0.3">
      <c r="H55273" t="str">
        <f t="shared" si="913"/>
        <v/>
      </c>
    </row>
    <row r="55274" spans="8:8" x14ac:dyDescent="0.3">
      <c r="H55274" t="str">
        <f t="shared" si="913"/>
        <v/>
      </c>
    </row>
    <row r="55275" spans="8:8" x14ac:dyDescent="0.3">
      <c r="H55275" t="str">
        <f t="shared" si="913"/>
        <v/>
      </c>
    </row>
    <row r="55276" spans="8:8" x14ac:dyDescent="0.3">
      <c r="H55276" t="str">
        <f t="shared" si="913"/>
        <v/>
      </c>
    </row>
    <row r="55277" spans="8:8" x14ac:dyDescent="0.3">
      <c r="H55277" t="str">
        <f t="shared" si="913"/>
        <v/>
      </c>
    </row>
    <row r="55278" spans="8:8" x14ac:dyDescent="0.3">
      <c r="H55278" t="str">
        <f t="shared" si="913"/>
        <v/>
      </c>
    </row>
    <row r="55279" spans="8:8" x14ac:dyDescent="0.3">
      <c r="H55279" t="str">
        <f t="shared" si="913"/>
        <v/>
      </c>
    </row>
    <row r="55280" spans="8:8" x14ac:dyDescent="0.3">
      <c r="H55280" t="str">
        <f t="shared" si="913"/>
        <v/>
      </c>
    </row>
    <row r="55281" spans="8:8" x14ac:dyDescent="0.3">
      <c r="H55281" t="str">
        <f t="shared" si="913"/>
        <v/>
      </c>
    </row>
    <row r="55282" spans="8:8" x14ac:dyDescent="0.3">
      <c r="H55282" t="str">
        <f t="shared" si="913"/>
        <v/>
      </c>
    </row>
    <row r="55283" spans="8:8" x14ac:dyDescent="0.3">
      <c r="H55283" t="str">
        <f t="shared" si="913"/>
        <v/>
      </c>
    </row>
    <row r="55284" spans="8:8" x14ac:dyDescent="0.3">
      <c r="H55284" t="str">
        <f t="shared" si="913"/>
        <v/>
      </c>
    </row>
    <row r="55285" spans="8:8" x14ac:dyDescent="0.3">
      <c r="H55285" t="str">
        <f t="shared" si="913"/>
        <v/>
      </c>
    </row>
    <row r="55286" spans="8:8" x14ac:dyDescent="0.3">
      <c r="H55286" t="str">
        <f t="shared" si="913"/>
        <v/>
      </c>
    </row>
    <row r="55287" spans="8:8" x14ac:dyDescent="0.3">
      <c r="H55287" t="str">
        <f t="shared" si="913"/>
        <v/>
      </c>
    </row>
    <row r="55288" spans="8:8" x14ac:dyDescent="0.3">
      <c r="H55288" t="str">
        <f t="shared" si="913"/>
        <v/>
      </c>
    </row>
    <row r="55289" spans="8:8" x14ac:dyDescent="0.3">
      <c r="H55289" t="str">
        <f t="shared" si="913"/>
        <v/>
      </c>
    </row>
    <row r="55290" spans="8:8" x14ac:dyDescent="0.3">
      <c r="H55290" t="str">
        <f t="shared" si="913"/>
        <v/>
      </c>
    </row>
    <row r="55291" spans="8:8" x14ac:dyDescent="0.3">
      <c r="H55291" t="str">
        <f t="shared" si="913"/>
        <v/>
      </c>
    </row>
    <row r="55292" spans="8:8" x14ac:dyDescent="0.3">
      <c r="H55292" t="str">
        <f t="shared" si="913"/>
        <v/>
      </c>
    </row>
    <row r="55293" spans="8:8" x14ac:dyDescent="0.3">
      <c r="H55293" t="str">
        <f t="shared" si="913"/>
        <v/>
      </c>
    </row>
    <row r="55294" spans="8:8" x14ac:dyDescent="0.3">
      <c r="H55294" t="str">
        <f t="shared" si="913"/>
        <v/>
      </c>
    </row>
    <row r="55295" spans="8:8" x14ac:dyDescent="0.3">
      <c r="H55295" t="str">
        <f t="shared" si="913"/>
        <v/>
      </c>
    </row>
    <row r="55296" spans="8:8" x14ac:dyDescent="0.3">
      <c r="H55296" t="str">
        <f t="shared" si="913"/>
        <v/>
      </c>
    </row>
    <row r="55297" spans="8:8" x14ac:dyDescent="0.3">
      <c r="H55297" t="str">
        <f t="shared" si="913"/>
        <v/>
      </c>
    </row>
    <row r="55298" spans="8:8" x14ac:dyDescent="0.3">
      <c r="H55298" t="str">
        <f t="shared" si="913"/>
        <v/>
      </c>
    </row>
    <row r="55299" spans="8:8" x14ac:dyDescent="0.3">
      <c r="H55299" t="str">
        <f t="shared" si="913"/>
        <v/>
      </c>
    </row>
    <row r="55300" spans="8:8" x14ac:dyDescent="0.3">
      <c r="H55300" t="str">
        <f t="shared" si="913"/>
        <v/>
      </c>
    </row>
    <row r="55301" spans="8:8" x14ac:dyDescent="0.3">
      <c r="H55301" t="str">
        <f t="shared" si="913"/>
        <v/>
      </c>
    </row>
    <row r="55302" spans="8:8" x14ac:dyDescent="0.3">
      <c r="H55302" t="str">
        <f t="shared" si="913"/>
        <v/>
      </c>
    </row>
    <row r="55303" spans="8:8" x14ac:dyDescent="0.3">
      <c r="H55303" t="str">
        <f t="shared" si="913"/>
        <v/>
      </c>
    </row>
    <row r="55304" spans="8:8" x14ac:dyDescent="0.3">
      <c r="H55304" t="str">
        <f t="shared" si="913"/>
        <v/>
      </c>
    </row>
    <row r="55305" spans="8:8" x14ac:dyDescent="0.3">
      <c r="H55305" t="str">
        <f t="shared" si="913"/>
        <v/>
      </c>
    </row>
    <row r="55306" spans="8:8" x14ac:dyDescent="0.3">
      <c r="H55306" t="str">
        <f t="shared" si="913"/>
        <v/>
      </c>
    </row>
    <row r="55307" spans="8:8" x14ac:dyDescent="0.3">
      <c r="H55307" t="str">
        <f t="shared" si="913"/>
        <v/>
      </c>
    </row>
    <row r="55308" spans="8:8" x14ac:dyDescent="0.3">
      <c r="H55308" t="str">
        <f t="shared" si="913"/>
        <v/>
      </c>
    </row>
    <row r="55309" spans="8:8" x14ac:dyDescent="0.3">
      <c r="H55309" t="str">
        <f t="shared" si="913"/>
        <v/>
      </c>
    </row>
    <row r="55310" spans="8:8" x14ac:dyDescent="0.3">
      <c r="H55310" t="str">
        <f t="shared" si="913"/>
        <v/>
      </c>
    </row>
    <row r="55311" spans="8:8" x14ac:dyDescent="0.3">
      <c r="H55311" t="str">
        <f t="shared" si="913"/>
        <v/>
      </c>
    </row>
    <row r="55312" spans="8:8" x14ac:dyDescent="0.3">
      <c r="H55312" t="str">
        <f t="shared" si="913"/>
        <v/>
      </c>
    </row>
    <row r="55313" spans="8:8" x14ac:dyDescent="0.3">
      <c r="H55313" t="str">
        <f t="shared" si="913"/>
        <v/>
      </c>
    </row>
    <row r="55314" spans="8:8" x14ac:dyDescent="0.3">
      <c r="H55314" t="str">
        <f t="shared" si="913"/>
        <v/>
      </c>
    </row>
    <row r="55315" spans="8:8" x14ac:dyDescent="0.3">
      <c r="H55315" t="str">
        <f t="shared" si="913"/>
        <v/>
      </c>
    </row>
    <row r="55316" spans="8:8" x14ac:dyDescent="0.3">
      <c r="H55316" t="str">
        <f t="shared" si="913"/>
        <v/>
      </c>
    </row>
    <row r="55317" spans="8:8" x14ac:dyDescent="0.3">
      <c r="H55317" t="str">
        <f t="shared" si="913"/>
        <v/>
      </c>
    </row>
    <row r="55318" spans="8:8" x14ac:dyDescent="0.3">
      <c r="H55318" t="str">
        <f t="shared" si="913"/>
        <v/>
      </c>
    </row>
    <row r="55319" spans="8:8" x14ac:dyDescent="0.3">
      <c r="H55319" t="str">
        <f t="shared" ref="H55319:H55382" si="914">IF(B55319="","",$C$12)</f>
        <v/>
      </c>
    </row>
    <row r="55320" spans="8:8" x14ac:dyDescent="0.3">
      <c r="H55320" t="str">
        <f t="shared" si="914"/>
        <v/>
      </c>
    </row>
    <row r="55321" spans="8:8" x14ac:dyDescent="0.3">
      <c r="H55321" t="str">
        <f t="shared" si="914"/>
        <v/>
      </c>
    </row>
    <row r="55322" spans="8:8" x14ac:dyDescent="0.3">
      <c r="H55322" t="str">
        <f t="shared" si="914"/>
        <v/>
      </c>
    </row>
    <row r="55323" spans="8:8" x14ac:dyDescent="0.3">
      <c r="H55323" t="str">
        <f t="shared" si="914"/>
        <v/>
      </c>
    </row>
    <row r="55324" spans="8:8" x14ac:dyDescent="0.3">
      <c r="H55324" t="str">
        <f t="shared" si="914"/>
        <v/>
      </c>
    </row>
    <row r="55325" spans="8:8" x14ac:dyDescent="0.3">
      <c r="H55325" t="str">
        <f t="shared" si="914"/>
        <v/>
      </c>
    </row>
    <row r="55326" spans="8:8" x14ac:dyDescent="0.3">
      <c r="H55326" t="str">
        <f t="shared" si="914"/>
        <v/>
      </c>
    </row>
    <row r="55327" spans="8:8" x14ac:dyDescent="0.3">
      <c r="H55327" t="str">
        <f t="shared" si="914"/>
        <v/>
      </c>
    </row>
    <row r="55328" spans="8:8" x14ac:dyDescent="0.3">
      <c r="H55328" t="str">
        <f t="shared" si="914"/>
        <v/>
      </c>
    </row>
    <row r="55329" spans="8:8" x14ac:dyDescent="0.3">
      <c r="H55329" t="str">
        <f t="shared" si="914"/>
        <v/>
      </c>
    </row>
    <row r="55330" spans="8:8" x14ac:dyDescent="0.3">
      <c r="H55330" t="str">
        <f t="shared" si="914"/>
        <v/>
      </c>
    </row>
    <row r="55331" spans="8:8" x14ac:dyDescent="0.3">
      <c r="H55331" t="str">
        <f t="shared" si="914"/>
        <v/>
      </c>
    </row>
    <row r="55332" spans="8:8" x14ac:dyDescent="0.3">
      <c r="H55332" t="str">
        <f t="shared" si="914"/>
        <v/>
      </c>
    </row>
    <row r="55333" spans="8:8" x14ac:dyDescent="0.3">
      <c r="H55333" t="str">
        <f t="shared" si="914"/>
        <v/>
      </c>
    </row>
    <row r="55334" spans="8:8" x14ac:dyDescent="0.3">
      <c r="H55334" t="str">
        <f t="shared" si="914"/>
        <v/>
      </c>
    </row>
    <row r="55335" spans="8:8" x14ac:dyDescent="0.3">
      <c r="H55335" t="str">
        <f t="shared" si="914"/>
        <v/>
      </c>
    </row>
    <row r="55336" spans="8:8" x14ac:dyDescent="0.3">
      <c r="H55336" t="str">
        <f t="shared" si="914"/>
        <v/>
      </c>
    </row>
    <row r="55337" spans="8:8" x14ac:dyDescent="0.3">
      <c r="H55337" t="str">
        <f t="shared" si="914"/>
        <v/>
      </c>
    </row>
    <row r="55338" spans="8:8" x14ac:dyDescent="0.3">
      <c r="H55338" t="str">
        <f t="shared" si="914"/>
        <v/>
      </c>
    </row>
    <row r="55339" spans="8:8" x14ac:dyDescent="0.3">
      <c r="H55339" t="str">
        <f t="shared" si="914"/>
        <v/>
      </c>
    </row>
    <row r="55340" spans="8:8" x14ac:dyDescent="0.3">
      <c r="H55340" t="str">
        <f t="shared" si="914"/>
        <v/>
      </c>
    </row>
    <row r="55341" spans="8:8" x14ac:dyDescent="0.3">
      <c r="H55341" t="str">
        <f t="shared" si="914"/>
        <v/>
      </c>
    </row>
    <row r="55342" spans="8:8" x14ac:dyDescent="0.3">
      <c r="H55342" t="str">
        <f t="shared" si="914"/>
        <v/>
      </c>
    </row>
    <row r="55343" spans="8:8" x14ac:dyDescent="0.3">
      <c r="H55343" t="str">
        <f t="shared" si="914"/>
        <v/>
      </c>
    </row>
    <row r="55344" spans="8:8" x14ac:dyDescent="0.3">
      <c r="H55344" t="str">
        <f t="shared" si="914"/>
        <v/>
      </c>
    </row>
    <row r="55345" spans="8:8" x14ac:dyDescent="0.3">
      <c r="H55345" t="str">
        <f t="shared" si="914"/>
        <v/>
      </c>
    </row>
    <row r="55346" spans="8:8" x14ac:dyDescent="0.3">
      <c r="H55346" t="str">
        <f t="shared" si="914"/>
        <v/>
      </c>
    </row>
    <row r="55347" spans="8:8" x14ac:dyDescent="0.3">
      <c r="H55347" t="str">
        <f t="shared" si="914"/>
        <v/>
      </c>
    </row>
    <row r="55348" spans="8:8" x14ac:dyDescent="0.3">
      <c r="H55348" t="str">
        <f t="shared" si="914"/>
        <v/>
      </c>
    </row>
    <row r="55349" spans="8:8" x14ac:dyDescent="0.3">
      <c r="H55349" t="str">
        <f t="shared" si="914"/>
        <v/>
      </c>
    </row>
    <row r="55350" spans="8:8" x14ac:dyDescent="0.3">
      <c r="H55350" t="str">
        <f t="shared" si="914"/>
        <v/>
      </c>
    </row>
    <row r="55351" spans="8:8" x14ac:dyDescent="0.3">
      <c r="H55351" t="str">
        <f t="shared" si="914"/>
        <v/>
      </c>
    </row>
    <row r="55352" spans="8:8" x14ac:dyDescent="0.3">
      <c r="H55352" t="str">
        <f t="shared" si="914"/>
        <v/>
      </c>
    </row>
    <row r="55353" spans="8:8" x14ac:dyDescent="0.3">
      <c r="H55353" t="str">
        <f t="shared" si="914"/>
        <v/>
      </c>
    </row>
    <row r="55354" spans="8:8" x14ac:dyDescent="0.3">
      <c r="H55354" t="str">
        <f t="shared" si="914"/>
        <v/>
      </c>
    </row>
    <row r="55355" spans="8:8" x14ac:dyDescent="0.3">
      <c r="H55355" t="str">
        <f t="shared" si="914"/>
        <v/>
      </c>
    </row>
    <row r="55356" spans="8:8" x14ac:dyDescent="0.3">
      <c r="H55356" t="str">
        <f t="shared" si="914"/>
        <v/>
      </c>
    </row>
    <row r="55357" spans="8:8" x14ac:dyDescent="0.3">
      <c r="H55357" t="str">
        <f t="shared" si="914"/>
        <v/>
      </c>
    </row>
    <row r="55358" spans="8:8" x14ac:dyDescent="0.3">
      <c r="H55358" t="str">
        <f t="shared" si="914"/>
        <v/>
      </c>
    </row>
    <row r="55359" spans="8:8" x14ac:dyDescent="0.3">
      <c r="H55359" t="str">
        <f t="shared" si="914"/>
        <v/>
      </c>
    </row>
    <row r="55360" spans="8:8" x14ac:dyDescent="0.3">
      <c r="H55360" t="str">
        <f t="shared" si="914"/>
        <v/>
      </c>
    </row>
    <row r="55361" spans="8:8" x14ac:dyDescent="0.3">
      <c r="H55361" t="str">
        <f t="shared" si="914"/>
        <v/>
      </c>
    </row>
    <row r="55362" spans="8:8" x14ac:dyDescent="0.3">
      <c r="H55362" t="str">
        <f t="shared" si="914"/>
        <v/>
      </c>
    </row>
    <row r="55363" spans="8:8" x14ac:dyDescent="0.3">
      <c r="H55363" t="str">
        <f t="shared" si="914"/>
        <v/>
      </c>
    </row>
    <row r="55364" spans="8:8" x14ac:dyDescent="0.3">
      <c r="H55364" t="str">
        <f t="shared" si="914"/>
        <v/>
      </c>
    </row>
    <row r="55365" spans="8:8" x14ac:dyDescent="0.3">
      <c r="H55365" t="str">
        <f t="shared" si="914"/>
        <v/>
      </c>
    </row>
    <row r="55366" spans="8:8" x14ac:dyDescent="0.3">
      <c r="H55366" t="str">
        <f t="shared" si="914"/>
        <v/>
      </c>
    </row>
    <row r="55367" spans="8:8" x14ac:dyDescent="0.3">
      <c r="H55367" t="str">
        <f t="shared" si="914"/>
        <v/>
      </c>
    </row>
    <row r="55368" spans="8:8" x14ac:dyDescent="0.3">
      <c r="H55368" t="str">
        <f t="shared" si="914"/>
        <v/>
      </c>
    </row>
    <row r="55369" spans="8:8" x14ac:dyDescent="0.3">
      <c r="H55369" t="str">
        <f t="shared" si="914"/>
        <v/>
      </c>
    </row>
    <row r="55370" spans="8:8" x14ac:dyDescent="0.3">
      <c r="H55370" t="str">
        <f t="shared" si="914"/>
        <v/>
      </c>
    </row>
    <row r="55371" spans="8:8" x14ac:dyDescent="0.3">
      <c r="H55371" t="str">
        <f t="shared" si="914"/>
        <v/>
      </c>
    </row>
    <row r="55372" spans="8:8" x14ac:dyDescent="0.3">
      <c r="H55372" t="str">
        <f t="shared" si="914"/>
        <v/>
      </c>
    </row>
    <row r="55373" spans="8:8" x14ac:dyDescent="0.3">
      <c r="H55373" t="str">
        <f t="shared" si="914"/>
        <v/>
      </c>
    </row>
    <row r="55374" spans="8:8" x14ac:dyDescent="0.3">
      <c r="H55374" t="str">
        <f t="shared" si="914"/>
        <v/>
      </c>
    </row>
    <row r="55375" spans="8:8" x14ac:dyDescent="0.3">
      <c r="H55375" t="str">
        <f t="shared" si="914"/>
        <v/>
      </c>
    </row>
    <row r="55376" spans="8:8" x14ac:dyDescent="0.3">
      <c r="H55376" t="str">
        <f t="shared" si="914"/>
        <v/>
      </c>
    </row>
    <row r="55377" spans="8:8" x14ac:dyDescent="0.3">
      <c r="H55377" t="str">
        <f t="shared" si="914"/>
        <v/>
      </c>
    </row>
    <row r="55378" spans="8:8" x14ac:dyDescent="0.3">
      <c r="H55378" t="str">
        <f t="shared" si="914"/>
        <v/>
      </c>
    </row>
    <row r="55379" spans="8:8" x14ac:dyDescent="0.3">
      <c r="H55379" t="str">
        <f t="shared" si="914"/>
        <v/>
      </c>
    </row>
    <row r="55380" spans="8:8" x14ac:dyDescent="0.3">
      <c r="H55380" t="str">
        <f t="shared" si="914"/>
        <v/>
      </c>
    </row>
    <row r="55381" spans="8:8" x14ac:dyDescent="0.3">
      <c r="H55381" t="str">
        <f t="shared" si="914"/>
        <v/>
      </c>
    </row>
    <row r="55382" spans="8:8" x14ac:dyDescent="0.3">
      <c r="H55382" t="str">
        <f t="shared" si="914"/>
        <v/>
      </c>
    </row>
    <row r="55383" spans="8:8" x14ac:dyDescent="0.3">
      <c r="H55383" t="str">
        <f t="shared" ref="H55383:H55446" si="915">IF(B55383="","",$C$12)</f>
        <v/>
      </c>
    </row>
    <row r="55384" spans="8:8" x14ac:dyDescent="0.3">
      <c r="H55384" t="str">
        <f t="shared" si="915"/>
        <v/>
      </c>
    </row>
    <row r="55385" spans="8:8" x14ac:dyDescent="0.3">
      <c r="H55385" t="str">
        <f t="shared" si="915"/>
        <v/>
      </c>
    </row>
    <row r="55386" spans="8:8" x14ac:dyDescent="0.3">
      <c r="H55386" t="str">
        <f t="shared" si="915"/>
        <v/>
      </c>
    </row>
    <row r="55387" spans="8:8" x14ac:dyDescent="0.3">
      <c r="H55387" t="str">
        <f t="shared" si="915"/>
        <v/>
      </c>
    </row>
    <row r="55388" spans="8:8" x14ac:dyDescent="0.3">
      <c r="H55388" t="str">
        <f t="shared" si="915"/>
        <v/>
      </c>
    </row>
    <row r="55389" spans="8:8" x14ac:dyDescent="0.3">
      <c r="H55389" t="str">
        <f t="shared" si="915"/>
        <v/>
      </c>
    </row>
    <row r="55390" spans="8:8" x14ac:dyDescent="0.3">
      <c r="H55390" t="str">
        <f t="shared" si="915"/>
        <v/>
      </c>
    </row>
    <row r="55391" spans="8:8" x14ac:dyDescent="0.3">
      <c r="H55391" t="str">
        <f t="shared" si="915"/>
        <v/>
      </c>
    </row>
    <row r="55392" spans="8:8" x14ac:dyDescent="0.3">
      <c r="H55392" t="str">
        <f t="shared" si="915"/>
        <v/>
      </c>
    </row>
    <row r="55393" spans="8:8" x14ac:dyDescent="0.3">
      <c r="H55393" t="str">
        <f t="shared" si="915"/>
        <v/>
      </c>
    </row>
    <row r="55394" spans="8:8" x14ac:dyDescent="0.3">
      <c r="H55394" t="str">
        <f t="shared" si="915"/>
        <v/>
      </c>
    </row>
    <row r="55395" spans="8:8" x14ac:dyDescent="0.3">
      <c r="H55395" t="str">
        <f t="shared" si="915"/>
        <v/>
      </c>
    </row>
    <row r="55396" spans="8:8" x14ac:dyDescent="0.3">
      <c r="H55396" t="str">
        <f t="shared" si="915"/>
        <v/>
      </c>
    </row>
    <row r="55397" spans="8:8" x14ac:dyDescent="0.3">
      <c r="H55397" t="str">
        <f t="shared" si="915"/>
        <v/>
      </c>
    </row>
    <row r="55398" spans="8:8" x14ac:dyDescent="0.3">
      <c r="H55398" t="str">
        <f t="shared" si="915"/>
        <v/>
      </c>
    </row>
    <row r="55399" spans="8:8" x14ac:dyDescent="0.3">
      <c r="H55399" t="str">
        <f t="shared" si="915"/>
        <v/>
      </c>
    </row>
    <row r="55400" spans="8:8" x14ac:dyDescent="0.3">
      <c r="H55400" t="str">
        <f t="shared" si="915"/>
        <v/>
      </c>
    </row>
    <row r="55401" spans="8:8" x14ac:dyDescent="0.3">
      <c r="H55401" t="str">
        <f t="shared" si="915"/>
        <v/>
      </c>
    </row>
    <row r="55402" spans="8:8" x14ac:dyDescent="0.3">
      <c r="H55402" t="str">
        <f t="shared" si="915"/>
        <v/>
      </c>
    </row>
    <row r="55403" spans="8:8" x14ac:dyDescent="0.3">
      <c r="H55403" t="str">
        <f t="shared" si="915"/>
        <v/>
      </c>
    </row>
    <row r="55404" spans="8:8" x14ac:dyDescent="0.3">
      <c r="H55404" t="str">
        <f t="shared" si="915"/>
        <v/>
      </c>
    </row>
    <row r="55405" spans="8:8" x14ac:dyDescent="0.3">
      <c r="H55405" t="str">
        <f t="shared" si="915"/>
        <v/>
      </c>
    </row>
    <row r="55406" spans="8:8" x14ac:dyDescent="0.3">
      <c r="H55406" t="str">
        <f t="shared" si="915"/>
        <v/>
      </c>
    </row>
    <row r="55407" spans="8:8" x14ac:dyDescent="0.3">
      <c r="H55407" t="str">
        <f t="shared" si="915"/>
        <v/>
      </c>
    </row>
    <row r="55408" spans="8:8" x14ac:dyDescent="0.3">
      <c r="H55408" t="str">
        <f t="shared" si="915"/>
        <v/>
      </c>
    </row>
    <row r="55409" spans="8:8" x14ac:dyDescent="0.3">
      <c r="H55409" t="str">
        <f t="shared" si="915"/>
        <v/>
      </c>
    </row>
    <row r="55410" spans="8:8" x14ac:dyDescent="0.3">
      <c r="H55410" t="str">
        <f t="shared" si="915"/>
        <v/>
      </c>
    </row>
    <row r="55411" spans="8:8" x14ac:dyDescent="0.3">
      <c r="H55411" t="str">
        <f t="shared" si="915"/>
        <v/>
      </c>
    </row>
    <row r="55412" spans="8:8" x14ac:dyDescent="0.3">
      <c r="H55412" t="str">
        <f t="shared" si="915"/>
        <v/>
      </c>
    </row>
    <row r="55413" spans="8:8" x14ac:dyDescent="0.3">
      <c r="H55413" t="str">
        <f t="shared" si="915"/>
        <v/>
      </c>
    </row>
    <row r="55414" spans="8:8" x14ac:dyDescent="0.3">
      <c r="H55414" t="str">
        <f t="shared" si="915"/>
        <v/>
      </c>
    </row>
    <row r="55415" spans="8:8" x14ac:dyDescent="0.3">
      <c r="H55415" t="str">
        <f t="shared" si="915"/>
        <v/>
      </c>
    </row>
    <row r="55416" spans="8:8" x14ac:dyDescent="0.3">
      <c r="H55416" t="str">
        <f t="shared" si="915"/>
        <v/>
      </c>
    </row>
    <row r="55417" spans="8:8" x14ac:dyDescent="0.3">
      <c r="H55417" t="str">
        <f t="shared" si="915"/>
        <v/>
      </c>
    </row>
    <row r="55418" spans="8:8" x14ac:dyDescent="0.3">
      <c r="H55418" t="str">
        <f t="shared" si="915"/>
        <v/>
      </c>
    </row>
    <row r="55419" spans="8:8" x14ac:dyDescent="0.3">
      <c r="H55419" t="str">
        <f t="shared" si="915"/>
        <v/>
      </c>
    </row>
    <row r="55420" spans="8:8" x14ac:dyDescent="0.3">
      <c r="H55420" t="str">
        <f t="shared" si="915"/>
        <v/>
      </c>
    </row>
    <row r="55421" spans="8:8" x14ac:dyDescent="0.3">
      <c r="H55421" t="str">
        <f t="shared" si="915"/>
        <v/>
      </c>
    </row>
    <row r="55422" spans="8:8" x14ac:dyDescent="0.3">
      <c r="H55422" t="str">
        <f t="shared" si="915"/>
        <v/>
      </c>
    </row>
    <row r="55423" spans="8:8" x14ac:dyDescent="0.3">
      <c r="H55423" t="str">
        <f t="shared" si="915"/>
        <v/>
      </c>
    </row>
    <row r="55424" spans="8:8" x14ac:dyDescent="0.3">
      <c r="H55424" t="str">
        <f t="shared" si="915"/>
        <v/>
      </c>
    </row>
    <row r="55425" spans="8:8" x14ac:dyDescent="0.3">
      <c r="H55425" t="str">
        <f t="shared" si="915"/>
        <v/>
      </c>
    </row>
    <row r="55426" spans="8:8" x14ac:dyDescent="0.3">
      <c r="H55426" t="str">
        <f t="shared" si="915"/>
        <v/>
      </c>
    </row>
    <row r="55427" spans="8:8" x14ac:dyDescent="0.3">
      <c r="H55427" t="str">
        <f t="shared" si="915"/>
        <v/>
      </c>
    </row>
    <row r="55428" spans="8:8" x14ac:dyDescent="0.3">
      <c r="H55428" t="str">
        <f t="shared" si="915"/>
        <v/>
      </c>
    </row>
    <row r="55429" spans="8:8" x14ac:dyDescent="0.3">
      <c r="H55429" t="str">
        <f t="shared" si="915"/>
        <v/>
      </c>
    </row>
    <row r="55430" spans="8:8" x14ac:dyDescent="0.3">
      <c r="H55430" t="str">
        <f t="shared" si="915"/>
        <v/>
      </c>
    </row>
    <row r="55431" spans="8:8" x14ac:dyDescent="0.3">
      <c r="H55431" t="str">
        <f t="shared" si="915"/>
        <v/>
      </c>
    </row>
    <row r="55432" spans="8:8" x14ac:dyDescent="0.3">
      <c r="H55432" t="str">
        <f t="shared" si="915"/>
        <v/>
      </c>
    </row>
    <row r="55433" spans="8:8" x14ac:dyDescent="0.3">
      <c r="H55433" t="str">
        <f t="shared" si="915"/>
        <v/>
      </c>
    </row>
    <row r="55434" spans="8:8" x14ac:dyDescent="0.3">
      <c r="H55434" t="str">
        <f t="shared" si="915"/>
        <v/>
      </c>
    </row>
    <row r="55435" spans="8:8" x14ac:dyDescent="0.3">
      <c r="H55435" t="str">
        <f t="shared" si="915"/>
        <v/>
      </c>
    </row>
    <row r="55436" spans="8:8" x14ac:dyDescent="0.3">
      <c r="H55436" t="str">
        <f t="shared" si="915"/>
        <v/>
      </c>
    </row>
    <row r="55437" spans="8:8" x14ac:dyDescent="0.3">
      <c r="H55437" t="str">
        <f t="shared" si="915"/>
        <v/>
      </c>
    </row>
    <row r="55438" spans="8:8" x14ac:dyDescent="0.3">
      <c r="H55438" t="str">
        <f t="shared" si="915"/>
        <v/>
      </c>
    </row>
    <row r="55439" spans="8:8" x14ac:dyDescent="0.3">
      <c r="H55439" t="str">
        <f t="shared" si="915"/>
        <v/>
      </c>
    </row>
    <row r="55440" spans="8:8" x14ac:dyDescent="0.3">
      <c r="H55440" t="str">
        <f t="shared" si="915"/>
        <v/>
      </c>
    </row>
    <row r="55441" spans="8:8" x14ac:dyDescent="0.3">
      <c r="H55441" t="str">
        <f t="shared" si="915"/>
        <v/>
      </c>
    </row>
    <row r="55442" spans="8:8" x14ac:dyDescent="0.3">
      <c r="H55442" t="str">
        <f t="shared" si="915"/>
        <v/>
      </c>
    </row>
    <row r="55443" spans="8:8" x14ac:dyDescent="0.3">
      <c r="H55443" t="str">
        <f t="shared" si="915"/>
        <v/>
      </c>
    </row>
    <row r="55444" spans="8:8" x14ac:dyDescent="0.3">
      <c r="H55444" t="str">
        <f t="shared" si="915"/>
        <v/>
      </c>
    </row>
    <row r="55445" spans="8:8" x14ac:dyDescent="0.3">
      <c r="H55445" t="str">
        <f t="shared" si="915"/>
        <v/>
      </c>
    </row>
    <row r="55446" spans="8:8" x14ac:dyDescent="0.3">
      <c r="H55446" t="str">
        <f t="shared" si="915"/>
        <v/>
      </c>
    </row>
    <row r="55447" spans="8:8" x14ac:dyDescent="0.3">
      <c r="H55447" t="str">
        <f t="shared" ref="H55447:H55510" si="916">IF(B55447="","",$C$12)</f>
        <v/>
      </c>
    </row>
    <row r="55448" spans="8:8" x14ac:dyDescent="0.3">
      <c r="H55448" t="str">
        <f t="shared" si="916"/>
        <v/>
      </c>
    </row>
    <row r="55449" spans="8:8" x14ac:dyDescent="0.3">
      <c r="H55449" t="str">
        <f t="shared" si="916"/>
        <v/>
      </c>
    </row>
    <row r="55450" spans="8:8" x14ac:dyDescent="0.3">
      <c r="H55450" t="str">
        <f t="shared" si="916"/>
        <v/>
      </c>
    </row>
    <row r="55451" spans="8:8" x14ac:dyDescent="0.3">
      <c r="H55451" t="str">
        <f t="shared" si="916"/>
        <v/>
      </c>
    </row>
    <row r="55452" spans="8:8" x14ac:dyDescent="0.3">
      <c r="H55452" t="str">
        <f t="shared" si="916"/>
        <v/>
      </c>
    </row>
    <row r="55453" spans="8:8" x14ac:dyDescent="0.3">
      <c r="H55453" t="str">
        <f t="shared" si="916"/>
        <v/>
      </c>
    </row>
    <row r="55454" spans="8:8" x14ac:dyDescent="0.3">
      <c r="H55454" t="str">
        <f t="shared" si="916"/>
        <v/>
      </c>
    </row>
    <row r="55455" spans="8:8" x14ac:dyDescent="0.3">
      <c r="H55455" t="str">
        <f t="shared" si="916"/>
        <v/>
      </c>
    </row>
    <row r="55456" spans="8:8" x14ac:dyDescent="0.3">
      <c r="H55456" t="str">
        <f t="shared" si="916"/>
        <v/>
      </c>
    </row>
    <row r="55457" spans="8:8" x14ac:dyDescent="0.3">
      <c r="H55457" t="str">
        <f t="shared" si="916"/>
        <v/>
      </c>
    </row>
    <row r="55458" spans="8:8" x14ac:dyDescent="0.3">
      <c r="H55458" t="str">
        <f t="shared" si="916"/>
        <v/>
      </c>
    </row>
    <row r="55459" spans="8:8" x14ac:dyDescent="0.3">
      <c r="H55459" t="str">
        <f t="shared" si="916"/>
        <v/>
      </c>
    </row>
    <row r="55460" spans="8:8" x14ac:dyDescent="0.3">
      <c r="H55460" t="str">
        <f t="shared" si="916"/>
        <v/>
      </c>
    </row>
    <row r="55461" spans="8:8" x14ac:dyDescent="0.3">
      <c r="H55461" t="str">
        <f t="shared" si="916"/>
        <v/>
      </c>
    </row>
    <row r="55462" spans="8:8" x14ac:dyDescent="0.3">
      <c r="H55462" t="str">
        <f t="shared" si="916"/>
        <v/>
      </c>
    </row>
    <row r="55463" spans="8:8" x14ac:dyDescent="0.3">
      <c r="H55463" t="str">
        <f t="shared" si="916"/>
        <v/>
      </c>
    </row>
    <row r="55464" spans="8:8" x14ac:dyDescent="0.3">
      <c r="H55464" t="str">
        <f t="shared" si="916"/>
        <v/>
      </c>
    </row>
    <row r="55465" spans="8:8" x14ac:dyDescent="0.3">
      <c r="H55465" t="str">
        <f t="shared" si="916"/>
        <v/>
      </c>
    </row>
    <row r="55466" spans="8:8" x14ac:dyDescent="0.3">
      <c r="H55466" t="str">
        <f t="shared" si="916"/>
        <v/>
      </c>
    </row>
    <row r="55467" spans="8:8" x14ac:dyDescent="0.3">
      <c r="H55467" t="str">
        <f t="shared" si="916"/>
        <v/>
      </c>
    </row>
    <row r="55468" spans="8:8" x14ac:dyDescent="0.3">
      <c r="H55468" t="str">
        <f t="shared" si="916"/>
        <v/>
      </c>
    </row>
    <row r="55469" spans="8:8" x14ac:dyDescent="0.3">
      <c r="H55469" t="str">
        <f t="shared" si="916"/>
        <v/>
      </c>
    </row>
    <row r="55470" spans="8:8" x14ac:dyDescent="0.3">
      <c r="H55470" t="str">
        <f t="shared" si="916"/>
        <v/>
      </c>
    </row>
    <row r="55471" spans="8:8" x14ac:dyDescent="0.3">
      <c r="H55471" t="str">
        <f t="shared" si="916"/>
        <v/>
      </c>
    </row>
    <row r="55472" spans="8:8" x14ac:dyDescent="0.3">
      <c r="H55472" t="str">
        <f t="shared" si="916"/>
        <v/>
      </c>
    </row>
    <row r="55473" spans="8:8" x14ac:dyDescent="0.3">
      <c r="H55473" t="str">
        <f t="shared" si="916"/>
        <v/>
      </c>
    </row>
    <row r="55474" spans="8:8" x14ac:dyDescent="0.3">
      <c r="H55474" t="str">
        <f t="shared" si="916"/>
        <v/>
      </c>
    </row>
    <row r="55475" spans="8:8" x14ac:dyDescent="0.3">
      <c r="H55475" t="str">
        <f t="shared" si="916"/>
        <v/>
      </c>
    </row>
    <row r="55476" spans="8:8" x14ac:dyDescent="0.3">
      <c r="H55476" t="str">
        <f t="shared" si="916"/>
        <v/>
      </c>
    </row>
    <row r="55477" spans="8:8" x14ac:dyDescent="0.3">
      <c r="H55477" t="str">
        <f t="shared" si="916"/>
        <v/>
      </c>
    </row>
    <row r="55478" spans="8:8" x14ac:dyDescent="0.3">
      <c r="H55478" t="str">
        <f t="shared" si="916"/>
        <v/>
      </c>
    </row>
    <row r="55479" spans="8:8" x14ac:dyDescent="0.3">
      <c r="H55479" t="str">
        <f t="shared" si="916"/>
        <v/>
      </c>
    </row>
    <row r="55480" spans="8:8" x14ac:dyDescent="0.3">
      <c r="H55480" t="str">
        <f t="shared" si="916"/>
        <v/>
      </c>
    </row>
    <row r="55481" spans="8:8" x14ac:dyDescent="0.3">
      <c r="H55481" t="str">
        <f t="shared" si="916"/>
        <v/>
      </c>
    </row>
    <row r="55482" spans="8:8" x14ac:dyDescent="0.3">
      <c r="H55482" t="str">
        <f t="shared" si="916"/>
        <v/>
      </c>
    </row>
    <row r="55483" spans="8:8" x14ac:dyDescent="0.3">
      <c r="H55483" t="str">
        <f t="shared" si="916"/>
        <v/>
      </c>
    </row>
    <row r="55484" spans="8:8" x14ac:dyDescent="0.3">
      <c r="H55484" t="str">
        <f t="shared" si="916"/>
        <v/>
      </c>
    </row>
    <row r="55485" spans="8:8" x14ac:dyDescent="0.3">
      <c r="H55485" t="str">
        <f t="shared" si="916"/>
        <v/>
      </c>
    </row>
    <row r="55486" spans="8:8" x14ac:dyDescent="0.3">
      <c r="H55486" t="str">
        <f t="shared" si="916"/>
        <v/>
      </c>
    </row>
    <row r="55487" spans="8:8" x14ac:dyDescent="0.3">
      <c r="H55487" t="str">
        <f t="shared" si="916"/>
        <v/>
      </c>
    </row>
    <row r="55488" spans="8:8" x14ac:dyDescent="0.3">
      <c r="H55488" t="str">
        <f t="shared" si="916"/>
        <v/>
      </c>
    </row>
    <row r="55489" spans="8:8" x14ac:dyDescent="0.3">
      <c r="H55489" t="str">
        <f t="shared" si="916"/>
        <v/>
      </c>
    </row>
    <row r="55490" spans="8:8" x14ac:dyDescent="0.3">
      <c r="H55490" t="str">
        <f t="shared" si="916"/>
        <v/>
      </c>
    </row>
    <row r="55491" spans="8:8" x14ac:dyDescent="0.3">
      <c r="H55491" t="str">
        <f t="shared" si="916"/>
        <v/>
      </c>
    </row>
    <row r="55492" spans="8:8" x14ac:dyDescent="0.3">
      <c r="H55492" t="str">
        <f t="shared" si="916"/>
        <v/>
      </c>
    </row>
    <row r="55493" spans="8:8" x14ac:dyDescent="0.3">
      <c r="H55493" t="str">
        <f t="shared" si="916"/>
        <v/>
      </c>
    </row>
    <row r="55494" spans="8:8" x14ac:dyDescent="0.3">
      <c r="H55494" t="str">
        <f t="shared" si="916"/>
        <v/>
      </c>
    </row>
    <row r="55495" spans="8:8" x14ac:dyDescent="0.3">
      <c r="H55495" t="str">
        <f t="shared" si="916"/>
        <v/>
      </c>
    </row>
    <row r="55496" spans="8:8" x14ac:dyDescent="0.3">
      <c r="H55496" t="str">
        <f t="shared" si="916"/>
        <v/>
      </c>
    </row>
    <row r="55497" spans="8:8" x14ac:dyDescent="0.3">
      <c r="H55497" t="str">
        <f t="shared" si="916"/>
        <v/>
      </c>
    </row>
    <row r="55498" spans="8:8" x14ac:dyDescent="0.3">
      <c r="H55498" t="str">
        <f t="shared" si="916"/>
        <v/>
      </c>
    </row>
    <row r="55499" spans="8:8" x14ac:dyDescent="0.3">
      <c r="H55499" t="str">
        <f t="shared" si="916"/>
        <v/>
      </c>
    </row>
    <row r="55500" spans="8:8" x14ac:dyDescent="0.3">
      <c r="H55500" t="str">
        <f t="shared" si="916"/>
        <v/>
      </c>
    </row>
    <row r="55501" spans="8:8" x14ac:dyDescent="0.3">
      <c r="H55501" t="str">
        <f t="shared" si="916"/>
        <v/>
      </c>
    </row>
    <row r="55502" spans="8:8" x14ac:dyDescent="0.3">
      <c r="H55502" t="str">
        <f t="shared" si="916"/>
        <v/>
      </c>
    </row>
    <row r="55503" spans="8:8" x14ac:dyDescent="0.3">
      <c r="H55503" t="str">
        <f t="shared" si="916"/>
        <v/>
      </c>
    </row>
    <row r="55504" spans="8:8" x14ac:dyDescent="0.3">
      <c r="H55504" t="str">
        <f t="shared" si="916"/>
        <v/>
      </c>
    </row>
    <row r="55505" spans="8:8" x14ac:dyDescent="0.3">
      <c r="H55505" t="str">
        <f t="shared" si="916"/>
        <v/>
      </c>
    </row>
    <row r="55506" spans="8:8" x14ac:dyDescent="0.3">
      <c r="H55506" t="str">
        <f t="shared" si="916"/>
        <v/>
      </c>
    </row>
    <row r="55507" spans="8:8" x14ac:dyDescent="0.3">
      <c r="H55507" t="str">
        <f t="shared" si="916"/>
        <v/>
      </c>
    </row>
    <row r="55508" spans="8:8" x14ac:dyDescent="0.3">
      <c r="H55508" t="str">
        <f t="shared" si="916"/>
        <v/>
      </c>
    </row>
    <row r="55509" spans="8:8" x14ac:dyDescent="0.3">
      <c r="H55509" t="str">
        <f t="shared" si="916"/>
        <v/>
      </c>
    </row>
    <row r="55510" spans="8:8" x14ac:dyDescent="0.3">
      <c r="H55510" t="str">
        <f t="shared" si="916"/>
        <v/>
      </c>
    </row>
    <row r="55511" spans="8:8" x14ac:dyDescent="0.3">
      <c r="H55511" t="str">
        <f t="shared" ref="H55511:H55574" si="917">IF(B55511="","",$C$12)</f>
        <v/>
      </c>
    </row>
    <row r="55512" spans="8:8" x14ac:dyDescent="0.3">
      <c r="H55512" t="str">
        <f t="shared" si="917"/>
        <v/>
      </c>
    </row>
    <row r="55513" spans="8:8" x14ac:dyDescent="0.3">
      <c r="H55513" t="str">
        <f t="shared" si="917"/>
        <v/>
      </c>
    </row>
    <row r="55514" spans="8:8" x14ac:dyDescent="0.3">
      <c r="H55514" t="str">
        <f t="shared" si="917"/>
        <v/>
      </c>
    </row>
    <row r="55515" spans="8:8" x14ac:dyDescent="0.3">
      <c r="H55515" t="str">
        <f t="shared" si="917"/>
        <v/>
      </c>
    </row>
    <row r="55516" spans="8:8" x14ac:dyDescent="0.3">
      <c r="H55516" t="str">
        <f t="shared" si="917"/>
        <v/>
      </c>
    </row>
    <row r="55517" spans="8:8" x14ac:dyDescent="0.3">
      <c r="H55517" t="str">
        <f t="shared" si="917"/>
        <v/>
      </c>
    </row>
    <row r="55518" spans="8:8" x14ac:dyDescent="0.3">
      <c r="H55518" t="str">
        <f t="shared" si="917"/>
        <v/>
      </c>
    </row>
    <row r="55519" spans="8:8" x14ac:dyDescent="0.3">
      <c r="H55519" t="str">
        <f t="shared" si="917"/>
        <v/>
      </c>
    </row>
    <row r="55520" spans="8:8" x14ac:dyDescent="0.3">
      <c r="H55520" t="str">
        <f t="shared" si="917"/>
        <v/>
      </c>
    </row>
    <row r="55521" spans="8:8" x14ac:dyDescent="0.3">
      <c r="H55521" t="str">
        <f t="shared" si="917"/>
        <v/>
      </c>
    </row>
    <row r="55522" spans="8:8" x14ac:dyDescent="0.3">
      <c r="H55522" t="str">
        <f t="shared" si="917"/>
        <v/>
      </c>
    </row>
    <row r="55523" spans="8:8" x14ac:dyDescent="0.3">
      <c r="H55523" t="str">
        <f t="shared" si="917"/>
        <v/>
      </c>
    </row>
    <row r="55524" spans="8:8" x14ac:dyDescent="0.3">
      <c r="H55524" t="str">
        <f t="shared" si="917"/>
        <v/>
      </c>
    </row>
    <row r="55525" spans="8:8" x14ac:dyDescent="0.3">
      <c r="H55525" t="str">
        <f t="shared" si="917"/>
        <v/>
      </c>
    </row>
    <row r="55526" spans="8:8" x14ac:dyDescent="0.3">
      <c r="H55526" t="str">
        <f t="shared" si="917"/>
        <v/>
      </c>
    </row>
    <row r="55527" spans="8:8" x14ac:dyDescent="0.3">
      <c r="H55527" t="str">
        <f t="shared" si="917"/>
        <v/>
      </c>
    </row>
    <row r="55528" spans="8:8" x14ac:dyDescent="0.3">
      <c r="H55528" t="str">
        <f t="shared" si="917"/>
        <v/>
      </c>
    </row>
    <row r="55529" spans="8:8" x14ac:dyDescent="0.3">
      <c r="H55529" t="str">
        <f t="shared" si="917"/>
        <v/>
      </c>
    </row>
    <row r="55530" spans="8:8" x14ac:dyDescent="0.3">
      <c r="H55530" t="str">
        <f t="shared" si="917"/>
        <v/>
      </c>
    </row>
    <row r="55531" spans="8:8" x14ac:dyDescent="0.3">
      <c r="H55531" t="str">
        <f t="shared" si="917"/>
        <v/>
      </c>
    </row>
    <row r="55532" spans="8:8" x14ac:dyDescent="0.3">
      <c r="H55532" t="str">
        <f t="shared" si="917"/>
        <v/>
      </c>
    </row>
    <row r="55533" spans="8:8" x14ac:dyDescent="0.3">
      <c r="H55533" t="str">
        <f t="shared" si="917"/>
        <v/>
      </c>
    </row>
    <row r="55534" spans="8:8" x14ac:dyDescent="0.3">
      <c r="H55534" t="str">
        <f t="shared" si="917"/>
        <v/>
      </c>
    </row>
    <row r="55535" spans="8:8" x14ac:dyDescent="0.3">
      <c r="H55535" t="str">
        <f t="shared" si="917"/>
        <v/>
      </c>
    </row>
    <row r="55536" spans="8:8" x14ac:dyDescent="0.3">
      <c r="H55536" t="str">
        <f t="shared" si="917"/>
        <v/>
      </c>
    </row>
    <row r="55537" spans="8:8" x14ac:dyDescent="0.3">
      <c r="H55537" t="str">
        <f t="shared" si="917"/>
        <v/>
      </c>
    </row>
    <row r="55538" spans="8:8" x14ac:dyDescent="0.3">
      <c r="H55538" t="str">
        <f t="shared" si="917"/>
        <v/>
      </c>
    </row>
    <row r="55539" spans="8:8" x14ac:dyDescent="0.3">
      <c r="H55539" t="str">
        <f t="shared" si="917"/>
        <v/>
      </c>
    </row>
    <row r="55540" spans="8:8" x14ac:dyDescent="0.3">
      <c r="H55540" t="str">
        <f t="shared" si="917"/>
        <v/>
      </c>
    </row>
    <row r="55541" spans="8:8" x14ac:dyDescent="0.3">
      <c r="H55541" t="str">
        <f t="shared" si="917"/>
        <v/>
      </c>
    </row>
    <row r="55542" spans="8:8" x14ac:dyDescent="0.3">
      <c r="H55542" t="str">
        <f t="shared" si="917"/>
        <v/>
      </c>
    </row>
    <row r="55543" spans="8:8" x14ac:dyDescent="0.3">
      <c r="H55543" t="str">
        <f t="shared" si="917"/>
        <v/>
      </c>
    </row>
    <row r="55544" spans="8:8" x14ac:dyDescent="0.3">
      <c r="H55544" t="str">
        <f t="shared" si="917"/>
        <v/>
      </c>
    </row>
    <row r="55545" spans="8:8" x14ac:dyDescent="0.3">
      <c r="H55545" t="str">
        <f t="shared" si="917"/>
        <v/>
      </c>
    </row>
    <row r="55546" spans="8:8" x14ac:dyDescent="0.3">
      <c r="H55546" t="str">
        <f t="shared" si="917"/>
        <v/>
      </c>
    </row>
    <row r="55547" spans="8:8" x14ac:dyDescent="0.3">
      <c r="H55547" t="str">
        <f t="shared" si="917"/>
        <v/>
      </c>
    </row>
    <row r="55548" spans="8:8" x14ac:dyDescent="0.3">
      <c r="H55548" t="str">
        <f t="shared" si="917"/>
        <v/>
      </c>
    </row>
    <row r="55549" spans="8:8" x14ac:dyDescent="0.3">
      <c r="H55549" t="str">
        <f t="shared" si="917"/>
        <v/>
      </c>
    </row>
    <row r="55550" spans="8:8" x14ac:dyDescent="0.3">
      <c r="H55550" t="str">
        <f t="shared" si="917"/>
        <v/>
      </c>
    </row>
    <row r="55551" spans="8:8" x14ac:dyDescent="0.3">
      <c r="H55551" t="str">
        <f t="shared" si="917"/>
        <v/>
      </c>
    </row>
    <row r="55552" spans="8:8" x14ac:dyDescent="0.3">
      <c r="H55552" t="str">
        <f t="shared" si="917"/>
        <v/>
      </c>
    </row>
    <row r="55553" spans="8:8" x14ac:dyDescent="0.3">
      <c r="H55553" t="str">
        <f t="shared" si="917"/>
        <v/>
      </c>
    </row>
    <row r="55554" spans="8:8" x14ac:dyDescent="0.3">
      <c r="H55554" t="str">
        <f t="shared" si="917"/>
        <v/>
      </c>
    </row>
    <row r="55555" spans="8:8" x14ac:dyDescent="0.3">
      <c r="H55555" t="str">
        <f t="shared" si="917"/>
        <v/>
      </c>
    </row>
    <row r="55556" spans="8:8" x14ac:dyDescent="0.3">
      <c r="H55556" t="str">
        <f t="shared" si="917"/>
        <v/>
      </c>
    </row>
    <row r="55557" spans="8:8" x14ac:dyDescent="0.3">
      <c r="H55557" t="str">
        <f t="shared" si="917"/>
        <v/>
      </c>
    </row>
    <row r="55558" spans="8:8" x14ac:dyDescent="0.3">
      <c r="H55558" t="str">
        <f t="shared" si="917"/>
        <v/>
      </c>
    </row>
    <row r="55559" spans="8:8" x14ac:dyDescent="0.3">
      <c r="H55559" t="str">
        <f t="shared" si="917"/>
        <v/>
      </c>
    </row>
    <row r="55560" spans="8:8" x14ac:dyDescent="0.3">
      <c r="H55560" t="str">
        <f t="shared" si="917"/>
        <v/>
      </c>
    </row>
    <row r="55561" spans="8:8" x14ac:dyDescent="0.3">
      <c r="H55561" t="str">
        <f t="shared" si="917"/>
        <v/>
      </c>
    </row>
    <row r="55562" spans="8:8" x14ac:dyDescent="0.3">
      <c r="H55562" t="str">
        <f t="shared" si="917"/>
        <v/>
      </c>
    </row>
    <row r="55563" spans="8:8" x14ac:dyDescent="0.3">
      <c r="H55563" t="str">
        <f t="shared" si="917"/>
        <v/>
      </c>
    </row>
    <row r="55564" spans="8:8" x14ac:dyDescent="0.3">
      <c r="H55564" t="str">
        <f t="shared" si="917"/>
        <v/>
      </c>
    </row>
    <row r="55565" spans="8:8" x14ac:dyDescent="0.3">
      <c r="H55565" t="str">
        <f t="shared" si="917"/>
        <v/>
      </c>
    </row>
    <row r="55566" spans="8:8" x14ac:dyDescent="0.3">
      <c r="H55566" t="str">
        <f t="shared" si="917"/>
        <v/>
      </c>
    </row>
    <row r="55567" spans="8:8" x14ac:dyDescent="0.3">
      <c r="H55567" t="str">
        <f t="shared" si="917"/>
        <v/>
      </c>
    </row>
    <row r="55568" spans="8:8" x14ac:dyDescent="0.3">
      <c r="H55568" t="str">
        <f t="shared" si="917"/>
        <v/>
      </c>
    </row>
    <row r="55569" spans="8:8" x14ac:dyDescent="0.3">
      <c r="H55569" t="str">
        <f t="shared" si="917"/>
        <v/>
      </c>
    </row>
    <row r="55570" spans="8:8" x14ac:dyDescent="0.3">
      <c r="H55570" t="str">
        <f t="shared" si="917"/>
        <v/>
      </c>
    </row>
    <row r="55571" spans="8:8" x14ac:dyDescent="0.3">
      <c r="H55571" t="str">
        <f t="shared" si="917"/>
        <v/>
      </c>
    </row>
    <row r="55572" spans="8:8" x14ac:dyDescent="0.3">
      <c r="H55572" t="str">
        <f t="shared" si="917"/>
        <v/>
      </c>
    </row>
    <row r="55573" spans="8:8" x14ac:dyDescent="0.3">
      <c r="H55573" t="str">
        <f t="shared" si="917"/>
        <v/>
      </c>
    </row>
    <row r="55574" spans="8:8" x14ac:dyDescent="0.3">
      <c r="H55574" t="str">
        <f t="shared" si="917"/>
        <v/>
      </c>
    </row>
    <row r="55575" spans="8:8" x14ac:dyDescent="0.3">
      <c r="H55575" t="str">
        <f t="shared" ref="H55575:H55638" si="918">IF(B55575="","",$C$12)</f>
        <v/>
      </c>
    </row>
    <row r="55576" spans="8:8" x14ac:dyDescent="0.3">
      <c r="H55576" t="str">
        <f t="shared" si="918"/>
        <v/>
      </c>
    </row>
    <row r="55577" spans="8:8" x14ac:dyDescent="0.3">
      <c r="H55577" t="str">
        <f t="shared" si="918"/>
        <v/>
      </c>
    </row>
    <row r="55578" spans="8:8" x14ac:dyDescent="0.3">
      <c r="H55578" t="str">
        <f t="shared" si="918"/>
        <v/>
      </c>
    </row>
    <row r="55579" spans="8:8" x14ac:dyDescent="0.3">
      <c r="H55579" t="str">
        <f t="shared" si="918"/>
        <v/>
      </c>
    </row>
    <row r="55580" spans="8:8" x14ac:dyDescent="0.3">
      <c r="H55580" t="str">
        <f t="shared" si="918"/>
        <v/>
      </c>
    </row>
    <row r="55581" spans="8:8" x14ac:dyDescent="0.3">
      <c r="H55581" t="str">
        <f t="shared" si="918"/>
        <v/>
      </c>
    </row>
    <row r="55582" spans="8:8" x14ac:dyDescent="0.3">
      <c r="H55582" t="str">
        <f t="shared" si="918"/>
        <v/>
      </c>
    </row>
    <row r="55583" spans="8:8" x14ac:dyDescent="0.3">
      <c r="H55583" t="str">
        <f t="shared" si="918"/>
        <v/>
      </c>
    </row>
    <row r="55584" spans="8:8" x14ac:dyDescent="0.3">
      <c r="H55584" t="str">
        <f t="shared" si="918"/>
        <v/>
      </c>
    </row>
    <row r="55585" spans="8:8" x14ac:dyDescent="0.3">
      <c r="H55585" t="str">
        <f t="shared" si="918"/>
        <v/>
      </c>
    </row>
    <row r="55586" spans="8:8" x14ac:dyDescent="0.3">
      <c r="H55586" t="str">
        <f t="shared" si="918"/>
        <v/>
      </c>
    </row>
    <row r="55587" spans="8:8" x14ac:dyDescent="0.3">
      <c r="H55587" t="str">
        <f t="shared" si="918"/>
        <v/>
      </c>
    </row>
    <row r="55588" spans="8:8" x14ac:dyDescent="0.3">
      <c r="H55588" t="str">
        <f t="shared" si="918"/>
        <v/>
      </c>
    </row>
    <row r="55589" spans="8:8" x14ac:dyDescent="0.3">
      <c r="H55589" t="str">
        <f t="shared" si="918"/>
        <v/>
      </c>
    </row>
    <row r="55590" spans="8:8" x14ac:dyDescent="0.3">
      <c r="H55590" t="str">
        <f t="shared" si="918"/>
        <v/>
      </c>
    </row>
    <row r="55591" spans="8:8" x14ac:dyDescent="0.3">
      <c r="H55591" t="str">
        <f t="shared" si="918"/>
        <v/>
      </c>
    </row>
    <row r="55592" spans="8:8" x14ac:dyDescent="0.3">
      <c r="H55592" t="str">
        <f t="shared" si="918"/>
        <v/>
      </c>
    </row>
    <row r="55593" spans="8:8" x14ac:dyDescent="0.3">
      <c r="H55593" t="str">
        <f t="shared" si="918"/>
        <v/>
      </c>
    </row>
    <row r="55594" spans="8:8" x14ac:dyDescent="0.3">
      <c r="H55594" t="str">
        <f t="shared" si="918"/>
        <v/>
      </c>
    </row>
    <row r="55595" spans="8:8" x14ac:dyDescent="0.3">
      <c r="H55595" t="str">
        <f t="shared" si="918"/>
        <v/>
      </c>
    </row>
    <row r="55596" spans="8:8" x14ac:dyDescent="0.3">
      <c r="H55596" t="str">
        <f t="shared" si="918"/>
        <v/>
      </c>
    </row>
    <row r="55597" spans="8:8" x14ac:dyDescent="0.3">
      <c r="H55597" t="str">
        <f t="shared" si="918"/>
        <v/>
      </c>
    </row>
    <row r="55598" spans="8:8" x14ac:dyDescent="0.3">
      <c r="H55598" t="str">
        <f t="shared" si="918"/>
        <v/>
      </c>
    </row>
    <row r="55599" spans="8:8" x14ac:dyDescent="0.3">
      <c r="H55599" t="str">
        <f t="shared" si="918"/>
        <v/>
      </c>
    </row>
    <row r="55600" spans="8:8" x14ac:dyDescent="0.3">
      <c r="H55600" t="str">
        <f t="shared" si="918"/>
        <v/>
      </c>
    </row>
    <row r="55601" spans="8:8" x14ac:dyDescent="0.3">
      <c r="H55601" t="str">
        <f t="shared" si="918"/>
        <v/>
      </c>
    </row>
    <row r="55602" spans="8:8" x14ac:dyDescent="0.3">
      <c r="H55602" t="str">
        <f t="shared" si="918"/>
        <v/>
      </c>
    </row>
    <row r="55603" spans="8:8" x14ac:dyDescent="0.3">
      <c r="H55603" t="str">
        <f t="shared" si="918"/>
        <v/>
      </c>
    </row>
    <row r="55604" spans="8:8" x14ac:dyDescent="0.3">
      <c r="H55604" t="str">
        <f t="shared" si="918"/>
        <v/>
      </c>
    </row>
    <row r="55605" spans="8:8" x14ac:dyDescent="0.3">
      <c r="H55605" t="str">
        <f t="shared" si="918"/>
        <v/>
      </c>
    </row>
    <row r="55606" spans="8:8" x14ac:dyDescent="0.3">
      <c r="H55606" t="str">
        <f t="shared" si="918"/>
        <v/>
      </c>
    </row>
    <row r="55607" spans="8:8" x14ac:dyDescent="0.3">
      <c r="H55607" t="str">
        <f t="shared" si="918"/>
        <v/>
      </c>
    </row>
    <row r="55608" spans="8:8" x14ac:dyDescent="0.3">
      <c r="H55608" t="str">
        <f t="shared" si="918"/>
        <v/>
      </c>
    </row>
    <row r="55609" spans="8:8" x14ac:dyDescent="0.3">
      <c r="H55609" t="str">
        <f t="shared" si="918"/>
        <v/>
      </c>
    </row>
    <row r="55610" spans="8:8" x14ac:dyDescent="0.3">
      <c r="H55610" t="str">
        <f t="shared" si="918"/>
        <v/>
      </c>
    </row>
    <row r="55611" spans="8:8" x14ac:dyDescent="0.3">
      <c r="H55611" t="str">
        <f t="shared" si="918"/>
        <v/>
      </c>
    </row>
    <row r="55612" spans="8:8" x14ac:dyDescent="0.3">
      <c r="H55612" t="str">
        <f t="shared" si="918"/>
        <v/>
      </c>
    </row>
    <row r="55613" spans="8:8" x14ac:dyDescent="0.3">
      <c r="H55613" t="str">
        <f t="shared" si="918"/>
        <v/>
      </c>
    </row>
    <row r="55614" spans="8:8" x14ac:dyDescent="0.3">
      <c r="H55614" t="str">
        <f t="shared" si="918"/>
        <v/>
      </c>
    </row>
    <row r="55615" spans="8:8" x14ac:dyDescent="0.3">
      <c r="H55615" t="str">
        <f t="shared" si="918"/>
        <v/>
      </c>
    </row>
    <row r="55616" spans="8:8" x14ac:dyDescent="0.3">
      <c r="H55616" t="str">
        <f t="shared" si="918"/>
        <v/>
      </c>
    </row>
    <row r="55617" spans="8:8" x14ac:dyDescent="0.3">
      <c r="H55617" t="str">
        <f t="shared" si="918"/>
        <v/>
      </c>
    </row>
    <row r="55618" spans="8:8" x14ac:dyDescent="0.3">
      <c r="H55618" t="str">
        <f t="shared" si="918"/>
        <v/>
      </c>
    </row>
    <row r="55619" spans="8:8" x14ac:dyDescent="0.3">
      <c r="H55619" t="str">
        <f t="shared" si="918"/>
        <v/>
      </c>
    </row>
    <row r="55620" spans="8:8" x14ac:dyDescent="0.3">
      <c r="H55620" t="str">
        <f t="shared" si="918"/>
        <v/>
      </c>
    </row>
    <row r="55621" spans="8:8" x14ac:dyDescent="0.3">
      <c r="H55621" t="str">
        <f t="shared" si="918"/>
        <v/>
      </c>
    </row>
    <row r="55622" spans="8:8" x14ac:dyDescent="0.3">
      <c r="H55622" t="str">
        <f t="shared" si="918"/>
        <v/>
      </c>
    </row>
    <row r="55623" spans="8:8" x14ac:dyDescent="0.3">
      <c r="H55623" t="str">
        <f t="shared" si="918"/>
        <v/>
      </c>
    </row>
    <row r="55624" spans="8:8" x14ac:dyDescent="0.3">
      <c r="H55624" t="str">
        <f t="shared" si="918"/>
        <v/>
      </c>
    </row>
    <row r="55625" spans="8:8" x14ac:dyDescent="0.3">
      <c r="H55625" t="str">
        <f t="shared" si="918"/>
        <v/>
      </c>
    </row>
    <row r="55626" spans="8:8" x14ac:dyDescent="0.3">
      <c r="H55626" t="str">
        <f t="shared" si="918"/>
        <v/>
      </c>
    </row>
    <row r="55627" spans="8:8" x14ac:dyDescent="0.3">
      <c r="H55627" t="str">
        <f t="shared" si="918"/>
        <v/>
      </c>
    </row>
    <row r="55628" spans="8:8" x14ac:dyDescent="0.3">
      <c r="H55628" t="str">
        <f t="shared" si="918"/>
        <v/>
      </c>
    </row>
    <row r="55629" spans="8:8" x14ac:dyDescent="0.3">
      <c r="H55629" t="str">
        <f t="shared" si="918"/>
        <v/>
      </c>
    </row>
    <row r="55630" spans="8:8" x14ac:dyDescent="0.3">
      <c r="H55630" t="str">
        <f t="shared" si="918"/>
        <v/>
      </c>
    </row>
    <row r="55631" spans="8:8" x14ac:dyDescent="0.3">
      <c r="H55631" t="str">
        <f t="shared" si="918"/>
        <v/>
      </c>
    </row>
    <row r="55632" spans="8:8" x14ac:dyDescent="0.3">
      <c r="H55632" t="str">
        <f t="shared" si="918"/>
        <v/>
      </c>
    </row>
    <row r="55633" spans="8:8" x14ac:dyDescent="0.3">
      <c r="H55633" t="str">
        <f t="shared" si="918"/>
        <v/>
      </c>
    </row>
    <row r="55634" spans="8:8" x14ac:dyDescent="0.3">
      <c r="H55634" t="str">
        <f t="shared" si="918"/>
        <v/>
      </c>
    </row>
    <row r="55635" spans="8:8" x14ac:dyDescent="0.3">
      <c r="H55635" t="str">
        <f t="shared" si="918"/>
        <v/>
      </c>
    </row>
    <row r="55636" spans="8:8" x14ac:dyDescent="0.3">
      <c r="H55636" t="str">
        <f t="shared" si="918"/>
        <v/>
      </c>
    </row>
    <row r="55637" spans="8:8" x14ac:dyDescent="0.3">
      <c r="H55637" t="str">
        <f t="shared" si="918"/>
        <v/>
      </c>
    </row>
    <row r="55638" spans="8:8" x14ac:dyDescent="0.3">
      <c r="H55638" t="str">
        <f t="shared" si="918"/>
        <v/>
      </c>
    </row>
    <row r="55639" spans="8:8" x14ac:dyDescent="0.3">
      <c r="H55639" t="str">
        <f t="shared" ref="H55639:H55702" si="919">IF(B55639="","",$C$12)</f>
        <v/>
      </c>
    </row>
    <row r="55640" spans="8:8" x14ac:dyDescent="0.3">
      <c r="H55640" t="str">
        <f t="shared" si="919"/>
        <v/>
      </c>
    </row>
    <row r="55641" spans="8:8" x14ac:dyDescent="0.3">
      <c r="H55641" t="str">
        <f t="shared" si="919"/>
        <v/>
      </c>
    </row>
    <row r="55642" spans="8:8" x14ac:dyDescent="0.3">
      <c r="H55642" t="str">
        <f t="shared" si="919"/>
        <v/>
      </c>
    </row>
    <row r="55643" spans="8:8" x14ac:dyDescent="0.3">
      <c r="H55643" t="str">
        <f t="shared" si="919"/>
        <v/>
      </c>
    </row>
    <row r="55644" spans="8:8" x14ac:dyDescent="0.3">
      <c r="H55644" t="str">
        <f t="shared" si="919"/>
        <v/>
      </c>
    </row>
    <row r="55645" spans="8:8" x14ac:dyDescent="0.3">
      <c r="H55645" t="str">
        <f t="shared" si="919"/>
        <v/>
      </c>
    </row>
    <row r="55646" spans="8:8" x14ac:dyDescent="0.3">
      <c r="H55646" t="str">
        <f t="shared" si="919"/>
        <v/>
      </c>
    </row>
    <row r="55647" spans="8:8" x14ac:dyDescent="0.3">
      <c r="H55647" t="str">
        <f t="shared" si="919"/>
        <v/>
      </c>
    </row>
    <row r="55648" spans="8:8" x14ac:dyDescent="0.3">
      <c r="H55648" t="str">
        <f t="shared" si="919"/>
        <v/>
      </c>
    </row>
    <row r="55649" spans="8:8" x14ac:dyDescent="0.3">
      <c r="H55649" t="str">
        <f t="shared" si="919"/>
        <v/>
      </c>
    </row>
    <row r="55650" spans="8:8" x14ac:dyDescent="0.3">
      <c r="H55650" t="str">
        <f t="shared" si="919"/>
        <v/>
      </c>
    </row>
    <row r="55651" spans="8:8" x14ac:dyDescent="0.3">
      <c r="H55651" t="str">
        <f t="shared" si="919"/>
        <v/>
      </c>
    </row>
    <row r="55652" spans="8:8" x14ac:dyDescent="0.3">
      <c r="H55652" t="str">
        <f t="shared" si="919"/>
        <v/>
      </c>
    </row>
    <row r="55653" spans="8:8" x14ac:dyDescent="0.3">
      <c r="H55653" t="str">
        <f t="shared" si="919"/>
        <v/>
      </c>
    </row>
    <row r="55654" spans="8:8" x14ac:dyDescent="0.3">
      <c r="H55654" t="str">
        <f t="shared" si="919"/>
        <v/>
      </c>
    </row>
    <row r="55655" spans="8:8" x14ac:dyDescent="0.3">
      <c r="H55655" t="str">
        <f t="shared" si="919"/>
        <v/>
      </c>
    </row>
    <row r="55656" spans="8:8" x14ac:dyDescent="0.3">
      <c r="H55656" t="str">
        <f t="shared" si="919"/>
        <v/>
      </c>
    </row>
    <row r="55657" spans="8:8" x14ac:dyDescent="0.3">
      <c r="H55657" t="str">
        <f t="shared" si="919"/>
        <v/>
      </c>
    </row>
    <row r="55658" spans="8:8" x14ac:dyDescent="0.3">
      <c r="H55658" t="str">
        <f t="shared" si="919"/>
        <v/>
      </c>
    </row>
    <row r="55659" spans="8:8" x14ac:dyDescent="0.3">
      <c r="H55659" t="str">
        <f t="shared" si="919"/>
        <v/>
      </c>
    </row>
    <row r="55660" spans="8:8" x14ac:dyDescent="0.3">
      <c r="H55660" t="str">
        <f t="shared" si="919"/>
        <v/>
      </c>
    </row>
    <row r="55661" spans="8:8" x14ac:dyDescent="0.3">
      <c r="H55661" t="str">
        <f t="shared" si="919"/>
        <v/>
      </c>
    </row>
    <row r="55662" spans="8:8" x14ac:dyDescent="0.3">
      <c r="H55662" t="str">
        <f t="shared" si="919"/>
        <v/>
      </c>
    </row>
    <row r="55663" spans="8:8" x14ac:dyDescent="0.3">
      <c r="H55663" t="str">
        <f t="shared" si="919"/>
        <v/>
      </c>
    </row>
    <row r="55664" spans="8:8" x14ac:dyDescent="0.3">
      <c r="H55664" t="str">
        <f t="shared" si="919"/>
        <v/>
      </c>
    </row>
    <row r="55665" spans="8:8" x14ac:dyDescent="0.3">
      <c r="H55665" t="str">
        <f t="shared" si="919"/>
        <v/>
      </c>
    </row>
    <row r="55666" spans="8:8" x14ac:dyDescent="0.3">
      <c r="H55666" t="str">
        <f t="shared" si="919"/>
        <v/>
      </c>
    </row>
    <row r="55667" spans="8:8" x14ac:dyDescent="0.3">
      <c r="H55667" t="str">
        <f t="shared" si="919"/>
        <v/>
      </c>
    </row>
    <row r="55668" spans="8:8" x14ac:dyDescent="0.3">
      <c r="H55668" t="str">
        <f t="shared" si="919"/>
        <v/>
      </c>
    </row>
    <row r="55669" spans="8:8" x14ac:dyDescent="0.3">
      <c r="H55669" t="str">
        <f t="shared" si="919"/>
        <v/>
      </c>
    </row>
    <row r="55670" spans="8:8" x14ac:dyDescent="0.3">
      <c r="H55670" t="str">
        <f t="shared" si="919"/>
        <v/>
      </c>
    </row>
    <row r="55671" spans="8:8" x14ac:dyDescent="0.3">
      <c r="H55671" t="str">
        <f t="shared" si="919"/>
        <v/>
      </c>
    </row>
    <row r="55672" spans="8:8" x14ac:dyDescent="0.3">
      <c r="H55672" t="str">
        <f t="shared" si="919"/>
        <v/>
      </c>
    </row>
    <row r="55673" spans="8:8" x14ac:dyDescent="0.3">
      <c r="H55673" t="str">
        <f t="shared" si="919"/>
        <v/>
      </c>
    </row>
    <row r="55674" spans="8:8" x14ac:dyDescent="0.3">
      <c r="H55674" t="str">
        <f t="shared" si="919"/>
        <v/>
      </c>
    </row>
    <row r="55675" spans="8:8" x14ac:dyDescent="0.3">
      <c r="H55675" t="str">
        <f t="shared" si="919"/>
        <v/>
      </c>
    </row>
    <row r="55676" spans="8:8" x14ac:dyDescent="0.3">
      <c r="H55676" t="str">
        <f t="shared" si="919"/>
        <v/>
      </c>
    </row>
    <row r="55677" spans="8:8" x14ac:dyDescent="0.3">
      <c r="H55677" t="str">
        <f t="shared" si="919"/>
        <v/>
      </c>
    </row>
    <row r="55678" spans="8:8" x14ac:dyDescent="0.3">
      <c r="H55678" t="str">
        <f t="shared" si="919"/>
        <v/>
      </c>
    </row>
    <row r="55679" spans="8:8" x14ac:dyDescent="0.3">
      <c r="H55679" t="str">
        <f t="shared" si="919"/>
        <v/>
      </c>
    </row>
    <row r="55680" spans="8:8" x14ac:dyDescent="0.3">
      <c r="H55680" t="str">
        <f t="shared" si="919"/>
        <v/>
      </c>
    </row>
    <row r="55681" spans="8:8" x14ac:dyDescent="0.3">
      <c r="H55681" t="str">
        <f t="shared" si="919"/>
        <v/>
      </c>
    </row>
    <row r="55682" spans="8:8" x14ac:dyDescent="0.3">
      <c r="H55682" t="str">
        <f t="shared" si="919"/>
        <v/>
      </c>
    </row>
    <row r="55683" spans="8:8" x14ac:dyDescent="0.3">
      <c r="H55683" t="str">
        <f t="shared" si="919"/>
        <v/>
      </c>
    </row>
    <row r="55684" spans="8:8" x14ac:dyDescent="0.3">
      <c r="H55684" t="str">
        <f t="shared" si="919"/>
        <v/>
      </c>
    </row>
    <row r="55685" spans="8:8" x14ac:dyDescent="0.3">
      <c r="H55685" t="str">
        <f t="shared" si="919"/>
        <v/>
      </c>
    </row>
    <row r="55686" spans="8:8" x14ac:dyDescent="0.3">
      <c r="H55686" t="str">
        <f t="shared" si="919"/>
        <v/>
      </c>
    </row>
    <row r="55687" spans="8:8" x14ac:dyDescent="0.3">
      <c r="H55687" t="str">
        <f t="shared" si="919"/>
        <v/>
      </c>
    </row>
    <row r="55688" spans="8:8" x14ac:dyDescent="0.3">
      <c r="H55688" t="str">
        <f t="shared" si="919"/>
        <v/>
      </c>
    </row>
    <row r="55689" spans="8:8" x14ac:dyDescent="0.3">
      <c r="H55689" t="str">
        <f t="shared" si="919"/>
        <v/>
      </c>
    </row>
    <row r="55690" spans="8:8" x14ac:dyDescent="0.3">
      <c r="H55690" t="str">
        <f t="shared" si="919"/>
        <v/>
      </c>
    </row>
    <row r="55691" spans="8:8" x14ac:dyDescent="0.3">
      <c r="H55691" t="str">
        <f t="shared" si="919"/>
        <v/>
      </c>
    </row>
    <row r="55692" spans="8:8" x14ac:dyDescent="0.3">
      <c r="H55692" t="str">
        <f t="shared" si="919"/>
        <v/>
      </c>
    </row>
    <row r="55693" spans="8:8" x14ac:dyDescent="0.3">
      <c r="H55693" t="str">
        <f t="shared" si="919"/>
        <v/>
      </c>
    </row>
    <row r="55694" spans="8:8" x14ac:dyDescent="0.3">
      <c r="H55694" t="str">
        <f t="shared" si="919"/>
        <v/>
      </c>
    </row>
    <row r="55695" spans="8:8" x14ac:dyDescent="0.3">
      <c r="H55695" t="str">
        <f t="shared" si="919"/>
        <v/>
      </c>
    </row>
    <row r="55696" spans="8:8" x14ac:dyDescent="0.3">
      <c r="H55696" t="str">
        <f t="shared" si="919"/>
        <v/>
      </c>
    </row>
    <row r="55697" spans="8:8" x14ac:dyDescent="0.3">
      <c r="H55697" t="str">
        <f t="shared" si="919"/>
        <v/>
      </c>
    </row>
    <row r="55698" spans="8:8" x14ac:dyDescent="0.3">
      <c r="H55698" t="str">
        <f t="shared" si="919"/>
        <v/>
      </c>
    </row>
    <row r="55699" spans="8:8" x14ac:dyDescent="0.3">
      <c r="H55699" t="str">
        <f t="shared" si="919"/>
        <v/>
      </c>
    </row>
    <row r="55700" spans="8:8" x14ac:dyDescent="0.3">
      <c r="H55700" t="str">
        <f t="shared" si="919"/>
        <v/>
      </c>
    </row>
    <row r="55701" spans="8:8" x14ac:dyDescent="0.3">
      <c r="H55701" t="str">
        <f t="shared" si="919"/>
        <v/>
      </c>
    </row>
    <row r="55702" spans="8:8" x14ac:dyDescent="0.3">
      <c r="H55702" t="str">
        <f t="shared" si="919"/>
        <v/>
      </c>
    </row>
    <row r="55703" spans="8:8" x14ac:dyDescent="0.3">
      <c r="H55703" t="str">
        <f t="shared" ref="H55703:H55766" si="920">IF(B55703="","",$C$12)</f>
        <v/>
      </c>
    </row>
    <row r="55704" spans="8:8" x14ac:dyDescent="0.3">
      <c r="H55704" t="str">
        <f t="shared" si="920"/>
        <v/>
      </c>
    </row>
    <row r="55705" spans="8:8" x14ac:dyDescent="0.3">
      <c r="H55705" t="str">
        <f t="shared" si="920"/>
        <v/>
      </c>
    </row>
    <row r="55706" spans="8:8" x14ac:dyDescent="0.3">
      <c r="H55706" t="str">
        <f t="shared" si="920"/>
        <v/>
      </c>
    </row>
    <row r="55707" spans="8:8" x14ac:dyDescent="0.3">
      <c r="H55707" t="str">
        <f t="shared" si="920"/>
        <v/>
      </c>
    </row>
    <row r="55708" spans="8:8" x14ac:dyDescent="0.3">
      <c r="H55708" t="str">
        <f t="shared" si="920"/>
        <v/>
      </c>
    </row>
    <row r="55709" spans="8:8" x14ac:dyDescent="0.3">
      <c r="H55709" t="str">
        <f t="shared" si="920"/>
        <v/>
      </c>
    </row>
    <row r="55710" spans="8:8" x14ac:dyDescent="0.3">
      <c r="H55710" t="str">
        <f t="shared" si="920"/>
        <v/>
      </c>
    </row>
    <row r="55711" spans="8:8" x14ac:dyDescent="0.3">
      <c r="H55711" t="str">
        <f t="shared" si="920"/>
        <v/>
      </c>
    </row>
    <row r="55712" spans="8:8" x14ac:dyDescent="0.3">
      <c r="H55712" t="str">
        <f t="shared" si="920"/>
        <v/>
      </c>
    </row>
    <row r="55713" spans="8:8" x14ac:dyDescent="0.3">
      <c r="H55713" t="str">
        <f t="shared" si="920"/>
        <v/>
      </c>
    </row>
    <row r="55714" spans="8:8" x14ac:dyDescent="0.3">
      <c r="H55714" t="str">
        <f t="shared" si="920"/>
        <v/>
      </c>
    </row>
    <row r="55715" spans="8:8" x14ac:dyDescent="0.3">
      <c r="H55715" t="str">
        <f t="shared" si="920"/>
        <v/>
      </c>
    </row>
    <row r="55716" spans="8:8" x14ac:dyDescent="0.3">
      <c r="H55716" t="str">
        <f t="shared" si="920"/>
        <v/>
      </c>
    </row>
    <row r="55717" spans="8:8" x14ac:dyDescent="0.3">
      <c r="H55717" t="str">
        <f t="shared" si="920"/>
        <v/>
      </c>
    </row>
    <row r="55718" spans="8:8" x14ac:dyDescent="0.3">
      <c r="H55718" t="str">
        <f t="shared" si="920"/>
        <v/>
      </c>
    </row>
    <row r="55719" spans="8:8" x14ac:dyDescent="0.3">
      <c r="H55719" t="str">
        <f t="shared" si="920"/>
        <v/>
      </c>
    </row>
    <row r="55720" spans="8:8" x14ac:dyDescent="0.3">
      <c r="H55720" t="str">
        <f t="shared" si="920"/>
        <v/>
      </c>
    </row>
    <row r="55721" spans="8:8" x14ac:dyDescent="0.3">
      <c r="H55721" t="str">
        <f t="shared" si="920"/>
        <v/>
      </c>
    </row>
    <row r="55722" spans="8:8" x14ac:dyDescent="0.3">
      <c r="H55722" t="str">
        <f t="shared" si="920"/>
        <v/>
      </c>
    </row>
    <row r="55723" spans="8:8" x14ac:dyDescent="0.3">
      <c r="H55723" t="str">
        <f t="shared" si="920"/>
        <v/>
      </c>
    </row>
    <row r="55724" spans="8:8" x14ac:dyDescent="0.3">
      <c r="H55724" t="str">
        <f t="shared" si="920"/>
        <v/>
      </c>
    </row>
    <row r="55725" spans="8:8" x14ac:dyDescent="0.3">
      <c r="H55725" t="str">
        <f t="shared" si="920"/>
        <v/>
      </c>
    </row>
    <row r="55726" spans="8:8" x14ac:dyDescent="0.3">
      <c r="H55726" t="str">
        <f t="shared" si="920"/>
        <v/>
      </c>
    </row>
    <row r="55727" spans="8:8" x14ac:dyDescent="0.3">
      <c r="H55727" t="str">
        <f t="shared" si="920"/>
        <v/>
      </c>
    </row>
    <row r="55728" spans="8:8" x14ac:dyDescent="0.3">
      <c r="H55728" t="str">
        <f t="shared" si="920"/>
        <v/>
      </c>
    </row>
    <row r="55729" spans="8:8" x14ac:dyDescent="0.3">
      <c r="H55729" t="str">
        <f t="shared" si="920"/>
        <v/>
      </c>
    </row>
    <row r="55730" spans="8:8" x14ac:dyDescent="0.3">
      <c r="H55730" t="str">
        <f t="shared" si="920"/>
        <v/>
      </c>
    </row>
    <row r="55731" spans="8:8" x14ac:dyDescent="0.3">
      <c r="H55731" t="str">
        <f t="shared" si="920"/>
        <v/>
      </c>
    </row>
    <row r="55732" spans="8:8" x14ac:dyDescent="0.3">
      <c r="H55732" t="str">
        <f t="shared" si="920"/>
        <v/>
      </c>
    </row>
    <row r="55733" spans="8:8" x14ac:dyDescent="0.3">
      <c r="H55733" t="str">
        <f t="shared" si="920"/>
        <v/>
      </c>
    </row>
    <row r="55734" spans="8:8" x14ac:dyDescent="0.3">
      <c r="H55734" t="str">
        <f t="shared" si="920"/>
        <v/>
      </c>
    </row>
    <row r="55735" spans="8:8" x14ac:dyDescent="0.3">
      <c r="H55735" t="str">
        <f t="shared" si="920"/>
        <v/>
      </c>
    </row>
    <row r="55736" spans="8:8" x14ac:dyDescent="0.3">
      <c r="H55736" t="str">
        <f t="shared" si="920"/>
        <v/>
      </c>
    </row>
    <row r="55737" spans="8:8" x14ac:dyDescent="0.3">
      <c r="H55737" t="str">
        <f t="shared" si="920"/>
        <v/>
      </c>
    </row>
    <row r="55738" spans="8:8" x14ac:dyDescent="0.3">
      <c r="H55738" t="str">
        <f t="shared" si="920"/>
        <v/>
      </c>
    </row>
    <row r="55739" spans="8:8" x14ac:dyDescent="0.3">
      <c r="H55739" t="str">
        <f t="shared" si="920"/>
        <v/>
      </c>
    </row>
    <row r="55740" spans="8:8" x14ac:dyDescent="0.3">
      <c r="H55740" t="str">
        <f t="shared" si="920"/>
        <v/>
      </c>
    </row>
    <row r="55741" spans="8:8" x14ac:dyDescent="0.3">
      <c r="H55741" t="str">
        <f t="shared" si="920"/>
        <v/>
      </c>
    </row>
    <row r="55742" spans="8:8" x14ac:dyDescent="0.3">
      <c r="H55742" t="str">
        <f t="shared" si="920"/>
        <v/>
      </c>
    </row>
    <row r="55743" spans="8:8" x14ac:dyDescent="0.3">
      <c r="H55743" t="str">
        <f t="shared" si="920"/>
        <v/>
      </c>
    </row>
    <row r="55744" spans="8:8" x14ac:dyDescent="0.3">
      <c r="H55744" t="str">
        <f t="shared" si="920"/>
        <v/>
      </c>
    </row>
    <row r="55745" spans="8:8" x14ac:dyDescent="0.3">
      <c r="H55745" t="str">
        <f t="shared" si="920"/>
        <v/>
      </c>
    </row>
    <row r="55746" spans="8:8" x14ac:dyDescent="0.3">
      <c r="H55746" t="str">
        <f t="shared" si="920"/>
        <v/>
      </c>
    </row>
    <row r="55747" spans="8:8" x14ac:dyDescent="0.3">
      <c r="H55747" t="str">
        <f t="shared" si="920"/>
        <v/>
      </c>
    </row>
    <row r="55748" spans="8:8" x14ac:dyDescent="0.3">
      <c r="H55748" t="str">
        <f t="shared" si="920"/>
        <v/>
      </c>
    </row>
    <row r="55749" spans="8:8" x14ac:dyDescent="0.3">
      <c r="H55749" t="str">
        <f t="shared" si="920"/>
        <v/>
      </c>
    </row>
    <row r="55750" spans="8:8" x14ac:dyDescent="0.3">
      <c r="H55750" t="str">
        <f t="shared" si="920"/>
        <v/>
      </c>
    </row>
    <row r="55751" spans="8:8" x14ac:dyDescent="0.3">
      <c r="H55751" t="str">
        <f t="shared" si="920"/>
        <v/>
      </c>
    </row>
    <row r="55752" spans="8:8" x14ac:dyDescent="0.3">
      <c r="H55752" t="str">
        <f t="shared" si="920"/>
        <v/>
      </c>
    </row>
    <row r="55753" spans="8:8" x14ac:dyDescent="0.3">
      <c r="H55753" t="str">
        <f t="shared" si="920"/>
        <v/>
      </c>
    </row>
    <row r="55754" spans="8:8" x14ac:dyDescent="0.3">
      <c r="H55754" t="str">
        <f t="shared" si="920"/>
        <v/>
      </c>
    </row>
    <row r="55755" spans="8:8" x14ac:dyDescent="0.3">
      <c r="H55755" t="str">
        <f t="shared" si="920"/>
        <v/>
      </c>
    </row>
    <row r="55756" spans="8:8" x14ac:dyDescent="0.3">
      <c r="H55756" t="str">
        <f t="shared" si="920"/>
        <v/>
      </c>
    </row>
    <row r="55757" spans="8:8" x14ac:dyDescent="0.3">
      <c r="H55757" t="str">
        <f t="shared" si="920"/>
        <v/>
      </c>
    </row>
    <row r="55758" spans="8:8" x14ac:dyDescent="0.3">
      <c r="H55758" t="str">
        <f t="shared" si="920"/>
        <v/>
      </c>
    </row>
    <row r="55759" spans="8:8" x14ac:dyDescent="0.3">
      <c r="H55759" t="str">
        <f t="shared" si="920"/>
        <v/>
      </c>
    </row>
    <row r="55760" spans="8:8" x14ac:dyDescent="0.3">
      <c r="H55760" t="str">
        <f t="shared" si="920"/>
        <v/>
      </c>
    </row>
    <row r="55761" spans="8:8" x14ac:dyDescent="0.3">
      <c r="H55761" t="str">
        <f t="shared" si="920"/>
        <v/>
      </c>
    </row>
    <row r="55762" spans="8:8" x14ac:dyDescent="0.3">
      <c r="H55762" t="str">
        <f t="shared" si="920"/>
        <v/>
      </c>
    </row>
    <row r="55763" spans="8:8" x14ac:dyDescent="0.3">
      <c r="H55763" t="str">
        <f t="shared" si="920"/>
        <v/>
      </c>
    </row>
    <row r="55764" spans="8:8" x14ac:dyDescent="0.3">
      <c r="H55764" t="str">
        <f t="shared" si="920"/>
        <v/>
      </c>
    </row>
    <row r="55765" spans="8:8" x14ac:dyDescent="0.3">
      <c r="H55765" t="str">
        <f t="shared" si="920"/>
        <v/>
      </c>
    </row>
    <row r="55766" spans="8:8" x14ac:dyDescent="0.3">
      <c r="H55766" t="str">
        <f t="shared" si="920"/>
        <v/>
      </c>
    </row>
    <row r="55767" spans="8:8" x14ac:dyDescent="0.3">
      <c r="H55767" t="str">
        <f t="shared" ref="H55767:H55830" si="921">IF(B55767="","",$C$12)</f>
        <v/>
      </c>
    </row>
    <row r="55768" spans="8:8" x14ac:dyDescent="0.3">
      <c r="H55768" t="str">
        <f t="shared" si="921"/>
        <v/>
      </c>
    </row>
    <row r="55769" spans="8:8" x14ac:dyDescent="0.3">
      <c r="H55769" t="str">
        <f t="shared" si="921"/>
        <v/>
      </c>
    </row>
    <row r="55770" spans="8:8" x14ac:dyDescent="0.3">
      <c r="H55770" t="str">
        <f t="shared" si="921"/>
        <v/>
      </c>
    </row>
    <row r="55771" spans="8:8" x14ac:dyDescent="0.3">
      <c r="H55771" t="str">
        <f t="shared" si="921"/>
        <v/>
      </c>
    </row>
    <row r="55772" spans="8:8" x14ac:dyDescent="0.3">
      <c r="H55772" t="str">
        <f t="shared" si="921"/>
        <v/>
      </c>
    </row>
    <row r="55773" spans="8:8" x14ac:dyDescent="0.3">
      <c r="H55773" t="str">
        <f t="shared" si="921"/>
        <v/>
      </c>
    </row>
    <row r="55774" spans="8:8" x14ac:dyDescent="0.3">
      <c r="H55774" t="str">
        <f t="shared" si="921"/>
        <v/>
      </c>
    </row>
    <row r="55775" spans="8:8" x14ac:dyDescent="0.3">
      <c r="H55775" t="str">
        <f t="shared" si="921"/>
        <v/>
      </c>
    </row>
    <row r="55776" spans="8:8" x14ac:dyDescent="0.3">
      <c r="H55776" t="str">
        <f t="shared" si="921"/>
        <v/>
      </c>
    </row>
    <row r="55777" spans="8:8" x14ac:dyDescent="0.3">
      <c r="H55777" t="str">
        <f t="shared" si="921"/>
        <v/>
      </c>
    </row>
    <row r="55778" spans="8:8" x14ac:dyDescent="0.3">
      <c r="H55778" t="str">
        <f t="shared" si="921"/>
        <v/>
      </c>
    </row>
    <row r="55779" spans="8:8" x14ac:dyDescent="0.3">
      <c r="H55779" t="str">
        <f t="shared" si="921"/>
        <v/>
      </c>
    </row>
    <row r="55780" spans="8:8" x14ac:dyDescent="0.3">
      <c r="H55780" t="str">
        <f t="shared" si="921"/>
        <v/>
      </c>
    </row>
    <row r="55781" spans="8:8" x14ac:dyDescent="0.3">
      <c r="H55781" t="str">
        <f t="shared" si="921"/>
        <v/>
      </c>
    </row>
    <row r="55782" spans="8:8" x14ac:dyDescent="0.3">
      <c r="H55782" t="str">
        <f t="shared" si="921"/>
        <v/>
      </c>
    </row>
    <row r="55783" spans="8:8" x14ac:dyDescent="0.3">
      <c r="H55783" t="str">
        <f t="shared" si="921"/>
        <v/>
      </c>
    </row>
    <row r="55784" spans="8:8" x14ac:dyDescent="0.3">
      <c r="H55784" t="str">
        <f t="shared" si="921"/>
        <v/>
      </c>
    </row>
    <row r="55785" spans="8:8" x14ac:dyDescent="0.3">
      <c r="H55785" t="str">
        <f t="shared" si="921"/>
        <v/>
      </c>
    </row>
    <row r="55786" spans="8:8" x14ac:dyDescent="0.3">
      <c r="H55786" t="str">
        <f t="shared" si="921"/>
        <v/>
      </c>
    </row>
    <row r="55787" spans="8:8" x14ac:dyDescent="0.3">
      <c r="H55787" t="str">
        <f t="shared" si="921"/>
        <v/>
      </c>
    </row>
    <row r="55788" spans="8:8" x14ac:dyDescent="0.3">
      <c r="H55788" t="str">
        <f t="shared" si="921"/>
        <v/>
      </c>
    </row>
    <row r="55789" spans="8:8" x14ac:dyDescent="0.3">
      <c r="H55789" t="str">
        <f t="shared" si="921"/>
        <v/>
      </c>
    </row>
    <row r="55790" spans="8:8" x14ac:dyDescent="0.3">
      <c r="H55790" t="str">
        <f t="shared" si="921"/>
        <v/>
      </c>
    </row>
    <row r="55791" spans="8:8" x14ac:dyDescent="0.3">
      <c r="H55791" t="str">
        <f t="shared" si="921"/>
        <v/>
      </c>
    </row>
    <row r="55792" spans="8:8" x14ac:dyDescent="0.3">
      <c r="H55792" t="str">
        <f t="shared" si="921"/>
        <v/>
      </c>
    </row>
    <row r="55793" spans="8:8" x14ac:dyDescent="0.3">
      <c r="H55793" t="str">
        <f t="shared" si="921"/>
        <v/>
      </c>
    </row>
    <row r="55794" spans="8:8" x14ac:dyDescent="0.3">
      <c r="H55794" t="str">
        <f t="shared" si="921"/>
        <v/>
      </c>
    </row>
    <row r="55795" spans="8:8" x14ac:dyDescent="0.3">
      <c r="H55795" t="str">
        <f t="shared" si="921"/>
        <v/>
      </c>
    </row>
    <row r="55796" spans="8:8" x14ac:dyDescent="0.3">
      <c r="H55796" t="str">
        <f t="shared" si="921"/>
        <v/>
      </c>
    </row>
    <row r="55797" spans="8:8" x14ac:dyDescent="0.3">
      <c r="H55797" t="str">
        <f t="shared" si="921"/>
        <v/>
      </c>
    </row>
    <row r="55798" spans="8:8" x14ac:dyDescent="0.3">
      <c r="H55798" t="str">
        <f t="shared" si="921"/>
        <v/>
      </c>
    </row>
    <row r="55799" spans="8:8" x14ac:dyDescent="0.3">
      <c r="H55799" t="str">
        <f t="shared" si="921"/>
        <v/>
      </c>
    </row>
    <row r="55800" spans="8:8" x14ac:dyDescent="0.3">
      <c r="H55800" t="str">
        <f t="shared" si="921"/>
        <v/>
      </c>
    </row>
    <row r="55801" spans="8:8" x14ac:dyDescent="0.3">
      <c r="H55801" t="str">
        <f t="shared" si="921"/>
        <v/>
      </c>
    </row>
    <row r="55802" spans="8:8" x14ac:dyDescent="0.3">
      <c r="H55802" t="str">
        <f t="shared" si="921"/>
        <v/>
      </c>
    </row>
    <row r="55803" spans="8:8" x14ac:dyDescent="0.3">
      <c r="H55803" t="str">
        <f t="shared" si="921"/>
        <v/>
      </c>
    </row>
    <row r="55804" spans="8:8" x14ac:dyDescent="0.3">
      <c r="H55804" t="str">
        <f t="shared" si="921"/>
        <v/>
      </c>
    </row>
    <row r="55805" spans="8:8" x14ac:dyDescent="0.3">
      <c r="H55805" t="str">
        <f t="shared" si="921"/>
        <v/>
      </c>
    </row>
    <row r="55806" spans="8:8" x14ac:dyDescent="0.3">
      <c r="H55806" t="str">
        <f t="shared" si="921"/>
        <v/>
      </c>
    </row>
    <row r="55807" spans="8:8" x14ac:dyDescent="0.3">
      <c r="H55807" t="str">
        <f t="shared" si="921"/>
        <v/>
      </c>
    </row>
    <row r="55808" spans="8:8" x14ac:dyDescent="0.3">
      <c r="H55808" t="str">
        <f t="shared" si="921"/>
        <v/>
      </c>
    </row>
    <row r="55809" spans="8:8" x14ac:dyDescent="0.3">
      <c r="H55809" t="str">
        <f t="shared" si="921"/>
        <v/>
      </c>
    </row>
    <row r="55810" spans="8:8" x14ac:dyDescent="0.3">
      <c r="H55810" t="str">
        <f t="shared" si="921"/>
        <v/>
      </c>
    </row>
    <row r="55811" spans="8:8" x14ac:dyDescent="0.3">
      <c r="H55811" t="str">
        <f t="shared" si="921"/>
        <v/>
      </c>
    </row>
    <row r="55812" spans="8:8" x14ac:dyDescent="0.3">
      <c r="H55812" t="str">
        <f t="shared" si="921"/>
        <v/>
      </c>
    </row>
    <row r="55813" spans="8:8" x14ac:dyDescent="0.3">
      <c r="H55813" t="str">
        <f t="shared" si="921"/>
        <v/>
      </c>
    </row>
    <row r="55814" spans="8:8" x14ac:dyDescent="0.3">
      <c r="H55814" t="str">
        <f t="shared" si="921"/>
        <v/>
      </c>
    </row>
    <row r="55815" spans="8:8" x14ac:dyDescent="0.3">
      <c r="H55815" t="str">
        <f t="shared" si="921"/>
        <v/>
      </c>
    </row>
    <row r="55816" spans="8:8" x14ac:dyDescent="0.3">
      <c r="H55816" t="str">
        <f t="shared" si="921"/>
        <v/>
      </c>
    </row>
    <row r="55817" spans="8:8" x14ac:dyDescent="0.3">
      <c r="H55817" t="str">
        <f t="shared" si="921"/>
        <v/>
      </c>
    </row>
    <row r="55818" spans="8:8" x14ac:dyDescent="0.3">
      <c r="H55818" t="str">
        <f t="shared" si="921"/>
        <v/>
      </c>
    </row>
    <row r="55819" spans="8:8" x14ac:dyDescent="0.3">
      <c r="H55819" t="str">
        <f t="shared" si="921"/>
        <v/>
      </c>
    </row>
    <row r="55820" spans="8:8" x14ac:dyDescent="0.3">
      <c r="H55820" t="str">
        <f t="shared" si="921"/>
        <v/>
      </c>
    </row>
    <row r="55821" spans="8:8" x14ac:dyDescent="0.3">
      <c r="H55821" t="str">
        <f t="shared" si="921"/>
        <v/>
      </c>
    </row>
    <row r="55822" spans="8:8" x14ac:dyDescent="0.3">
      <c r="H55822" t="str">
        <f t="shared" si="921"/>
        <v/>
      </c>
    </row>
    <row r="55823" spans="8:8" x14ac:dyDescent="0.3">
      <c r="H55823" t="str">
        <f t="shared" si="921"/>
        <v/>
      </c>
    </row>
    <row r="55824" spans="8:8" x14ac:dyDescent="0.3">
      <c r="H55824" t="str">
        <f t="shared" si="921"/>
        <v/>
      </c>
    </row>
    <row r="55825" spans="8:8" x14ac:dyDescent="0.3">
      <c r="H55825" t="str">
        <f t="shared" si="921"/>
        <v/>
      </c>
    </row>
    <row r="55826" spans="8:8" x14ac:dyDescent="0.3">
      <c r="H55826" t="str">
        <f t="shared" si="921"/>
        <v/>
      </c>
    </row>
    <row r="55827" spans="8:8" x14ac:dyDescent="0.3">
      <c r="H55827" t="str">
        <f t="shared" si="921"/>
        <v/>
      </c>
    </row>
    <row r="55828" spans="8:8" x14ac:dyDescent="0.3">
      <c r="H55828" t="str">
        <f t="shared" si="921"/>
        <v/>
      </c>
    </row>
    <row r="55829" spans="8:8" x14ac:dyDescent="0.3">
      <c r="H55829" t="str">
        <f t="shared" si="921"/>
        <v/>
      </c>
    </row>
    <row r="55830" spans="8:8" x14ac:dyDescent="0.3">
      <c r="H55830" t="str">
        <f t="shared" si="921"/>
        <v/>
      </c>
    </row>
    <row r="55831" spans="8:8" x14ac:dyDescent="0.3">
      <c r="H55831" t="str">
        <f t="shared" ref="H55831:H55894" si="922">IF(B55831="","",$C$12)</f>
        <v/>
      </c>
    </row>
    <row r="55832" spans="8:8" x14ac:dyDescent="0.3">
      <c r="H55832" t="str">
        <f t="shared" si="922"/>
        <v/>
      </c>
    </row>
    <row r="55833" spans="8:8" x14ac:dyDescent="0.3">
      <c r="H55833" t="str">
        <f t="shared" si="922"/>
        <v/>
      </c>
    </row>
    <row r="55834" spans="8:8" x14ac:dyDescent="0.3">
      <c r="H55834" t="str">
        <f t="shared" si="922"/>
        <v/>
      </c>
    </row>
    <row r="55835" spans="8:8" x14ac:dyDescent="0.3">
      <c r="H55835" t="str">
        <f t="shared" si="922"/>
        <v/>
      </c>
    </row>
    <row r="55836" spans="8:8" x14ac:dyDescent="0.3">
      <c r="H55836" t="str">
        <f t="shared" si="922"/>
        <v/>
      </c>
    </row>
    <row r="55837" spans="8:8" x14ac:dyDescent="0.3">
      <c r="H55837" t="str">
        <f t="shared" si="922"/>
        <v/>
      </c>
    </row>
    <row r="55838" spans="8:8" x14ac:dyDescent="0.3">
      <c r="H55838" t="str">
        <f t="shared" si="922"/>
        <v/>
      </c>
    </row>
    <row r="55839" spans="8:8" x14ac:dyDescent="0.3">
      <c r="H55839" t="str">
        <f t="shared" si="922"/>
        <v/>
      </c>
    </row>
    <row r="55840" spans="8:8" x14ac:dyDescent="0.3">
      <c r="H55840" t="str">
        <f t="shared" si="922"/>
        <v/>
      </c>
    </row>
    <row r="55841" spans="8:8" x14ac:dyDescent="0.3">
      <c r="H55841" t="str">
        <f t="shared" si="922"/>
        <v/>
      </c>
    </row>
    <row r="55842" spans="8:8" x14ac:dyDescent="0.3">
      <c r="H55842" t="str">
        <f t="shared" si="922"/>
        <v/>
      </c>
    </row>
    <row r="55843" spans="8:8" x14ac:dyDescent="0.3">
      <c r="H55843" t="str">
        <f t="shared" si="922"/>
        <v/>
      </c>
    </row>
    <row r="55844" spans="8:8" x14ac:dyDescent="0.3">
      <c r="H55844" t="str">
        <f t="shared" si="922"/>
        <v/>
      </c>
    </row>
    <row r="55845" spans="8:8" x14ac:dyDescent="0.3">
      <c r="H55845" t="str">
        <f t="shared" si="922"/>
        <v/>
      </c>
    </row>
    <row r="55846" spans="8:8" x14ac:dyDescent="0.3">
      <c r="H55846" t="str">
        <f t="shared" si="922"/>
        <v/>
      </c>
    </row>
    <row r="55847" spans="8:8" x14ac:dyDescent="0.3">
      <c r="H55847" t="str">
        <f t="shared" si="922"/>
        <v/>
      </c>
    </row>
    <row r="55848" spans="8:8" x14ac:dyDescent="0.3">
      <c r="H55848" t="str">
        <f t="shared" si="922"/>
        <v/>
      </c>
    </row>
    <row r="55849" spans="8:8" x14ac:dyDescent="0.3">
      <c r="H55849" t="str">
        <f t="shared" si="922"/>
        <v/>
      </c>
    </row>
    <row r="55850" spans="8:8" x14ac:dyDescent="0.3">
      <c r="H55850" t="str">
        <f t="shared" si="922"/>
        <v/>
      </c>
    </row>
    <row r="55851" spans="8:8" x14ac:dyDescent="0.3">
      <c r="H55851" t="str">
        <f t="shared" si="922"/>
        <v/>
      </c>
    </row>
    <row r="55852" spans="8:8" x14ac:dyDescent="0.3">
      <c r="H55852" t="str">
        <f t="shared" si="922"/>
        <v/>
      </c>
    </row>
    <row r="55853" spans="8:8" x14ac:dyDescent="0.3">
      <c r="H55853" t="str">
        <f t="shared" si="922"/>
        <v/>
      </c>
    </row>
    <row r="55854" spans="8:8" x14ac:dyDescent="0.3">
      <c r="H55854" t="str">
        <f t="shared" si="922"/>
        <v/>
      </c>
    </row>
    <row r="55855" spans="8:8" x14ac:dyDescent="0.3">
      <c r="H55855" t="str">
        <f t="shared" si="922"/>
        <v/>
      </c>
    </row>
    <row r="55856" spans="8:8" x14ac:dyDescent="0.3">
      <c r="H55856" t="str">
        <f t="shared" si="922"/>
        <v/>
      </c>
    </row>
    <row r="55857" spans="8:8" x14ac:dyDescent="0.3">
      <c r="H55857" t="str">
        <f t="shared" si="922"/>
        <v/>
      </c>
    </row>
    <row r="55858" spans="8:8" x14ac:dyDescent="0.3">
      <c r="H55858" t="str">
        <f t="shared" si="922"/>
        <v/>
      </c>
    </row>
    <row r="55859" spans="8:8" x14ac:dyDescent="0.3">
      <c r="H55859" t="str">
        <f t="shared" si="922"/>
        <v/>
      </c>
    </row>
    <row r="55860" spans="8:8" x14ac:dyDescent="0.3">
      <c r="H55860" t="str">
        <f t="shared" si="922"/>
        <v/>
      </c>
    </row>
    <row r="55861" spans="8:8" x14ac:dyDescent="0.3">
      <c r="H55861" t="str">
        <f t="shared" si="922"/>
        <v/>
      </c>
    </row>
    <row r="55862" spans="8:8" x14ac:dyDescent="0.3">
      <c r="H55862" t="str">
        <f t="shared" si="922"/>
        <v/>
      </c>
    </row>
    <row r="55863" spans="8:8" x14ac:dyDescent="0.3">
      <c r="H55863" t="str">
        <f t="shared" si="922"/>
        <v/>
      </c>
    </row>
    <row r="55864" spans="8:8" x14ac:dyDescent="0.3">
      <c r="H55864" t="str">
        <f t="shared" si="922"/>
        <v/>
      </c>
    </row>
    <row r="55865" spans="8:8" x14ac:dyDescent="0.3">
      <c r="H55865" t="str">
        <f t="shared" si="922"/>
        <v/>
      </c>
    </row>
    <row r="55866" spans="8:8" x14ac:dyDescent="0.3">
      <c r="H55866" t="str">
        <f t="shared" si="922"/>
        <v/>
      </c>
    </row>
    <row r="55867" spans="8:8" x14ac:dyDescent="0.3">
      <c r="H55867" t="str">
        <f t="shared" si="922"/>
        <v/>
      </c>
    </row>
    <row r="55868" spans="8:8" x14ac:dyDescent="0.3">
      <c r="H55868" t="str">
        <f t="shared" si="922"/>
        <v/>
      </c>
    </row>
    <row r="55869" spans="8:8" x14ac:dyDescent="0.3">
      <c r="H55869" t="str">
        <f t="shared" si="922"/>
        <v/>
      </c>
    </row>
    <row r="55870" spans="8:8" x14ac:dyDescent="0.3">
      <c r="H55870" t="str">
        <f t="shared" si="922"/>
        <v/>
      </c>
    </row>
    <row r="55871" spans="8:8" x14ac:dyDescent="0.3">
      <c r="H55871" t="str">
        <f t="shared" si="922"/>
        <v/>
      </c>
    </row>
    <row r="55872" spans="8:8" x14ac:dyDescent="0.3">
      <c r="H55872" t="str">
        <f t="shared" si="922"/>
        <v/>
      </c>
    </row>
    <row r="55873" spans="8:8" x14ac:dyDescent="0.3">
      <c r="H55873" t="str">
        <f t="shared" si="922"/>
        <v/>
      </c>
    </row>
    <row r="55874" spans="8:8" x14ac:dyDescent="0.3">
      <c r="H55874" t="str">
        <f t="shared" si="922"/>
        <v/>
      </c>
    </row>
    <row r="55875" spans="8:8" x14ac:dyDescent="0.3">
      <c r="H55875" t="str">
        <f t="shared" si="922"/>
        <v/>
      </c>
    </row>
    <row r="55876" spans="8:8" x14ac:dyDescent="0.3">
      <c r="H55876" t="str">
        <f t="shared" si="922"/>
        <v/>
      </c>
    </row>
    <row r="55877" spans="8:8" x14ac:dyDescent="0.3">
      <c r="H55877" t="str">
        <f t="shared" si="922"/>
        <v/>
      </c>
    </row>
    <row r="55878" spans="8:8" x14ac:dyDescent="0.3">
      <c r="H55878" t="str">
        <f t="shared" si="922"/>
        <v/>
      </c>
    </row>
    <row r="55879" spans="8:8" x14ac:dyDescent="0.3">
      <c r="H55879" t="str">
        <f t="shared" si="922"/>
        <v/>
      </c>
    </row>
    <row r="55880" spans="8:8" x14ac:dyDescent="0.3">
      <c r="H55880" t="str">
        <f t="shared" si="922"/>
        <v/>
      </c>
    </row>
    <row r="55881" spans="8:8" x14ac:dyDescent="0.3">
      <c r="H55881" t="str">
        <f t="shared" si="922"/>
        <v/>
      </c>
    </row>
    <row r="55882" spans="8:8" x14ac:dyDescent="0.3">
      <c r="H55882" t="str">
        <f t="shared" si="922"/>
        <v/>
      </c>
    </row>
    <row r="55883" spans="8:8" x14ac:dyDescent="0.3">
      <c r="H55883" t="str">
        <f t="shared" si="922"/>
        <v/>
      </c>
    </row>
    <row r="55884" spans="8:8" x14ac:dyDescent="0.3">
      <c r="H55884" t="str">
        <f t="shared" si="922"/>
        <v/>
      </c>
    </row>
    <row r="55885" spans="8:8" x14ac:dyDescent="0.3">
      <c r="H55885" t="str">
        <f t="shared" si="922"/>
        <v/>
      </c>
    </row>
    <row r="55886" spans="8:8" x14ac:dyDescent="0.3">
      <c r="H55886" t="str">
        <f t="shared" si="922"/>
        <v/>
      </c>
    </row>
    <row r="55887" spans="8:8" x14ac:dyDescent="0.3">
      <c r="H55887" t="str">
        <f t="shared" si="922"/>
        <v/>
      </c>
    </row>
    <row r="55888" spans="8:8" x14ac:dyDescent="0.3">
      <c r="H55888" t="str">
        <f t="shared" si="922"/>
        <v/>
      </c>
    </row>
    <row r="55889" spans="8:8" x14ac:dyDescent="0.3">
      <c r="H55889" t="str">
        <f t="shared" si="922"/>
        <v/>
      </c>
    </row>
    <row r="55890" spans="8:8" x14ac:dyDescent="0.3">
      <c r="H55890" t="str">
        <f t="shared" si="922"/>
        <v/>
      </c>
    </row>
    <row r="55891" spans="8:8" x14ac:dyDescent="0.3">
      <c r="H55891" t="str">
        <f t="shared" si="922"/>
        <v/>
      </c>
    </row>
    <row r="55892" spans="8:8" x14ac:dyDescent="0.3">
      <c r="H55892" t="str">
        <f t="shared" si="922"/>
        <v/>
      </c>
    </row>
    <row r="55893" spans="8:8" x14ac:dyDescent="0.3">
      <c r="H55893" t="str">
        <f t="shared" si="922"/>
        <v/>
      </c>
    </row>
    <row r="55894" spans="8:8" x14ac:dyDescent="0.3">
      <c r="H55894" t="str">
        <f t="shared" si="922"/>
        <v/>
      </c>
    </row>
    <row r="55895" spans="8:8" x14ac:dyDescent="0.3">
      <c r="H55895" t="str">
        <f t="shared" ref="H55895:H55958" si="923">IF(B55895="","",$C$12)</f>
        <v/>
      </c>
    </row>
    <row r="55896" spans="8:8" x14ac:dyDescent="0.3">
      <c r="H55896" t="str">
        <f t="shared" si="923"/>
        <v/>
      </c>
    </row>
    <row r="55897" spans="8:8" x14ac:dyDescent="0.3">
      <c r="H55897" t="str">
        <f t="shared" si="923"/>
        <v/>
      </c>
    </row>
    <row r="55898" spans="8:8" x14ac:dyDescent="0.3">
      <c r="H55898" t="str">
        <f t="shared" si="923"/>
        <v/>
      </c>
    </row>
    <row r="55899" spans="8:8" x14ac:dyDescent="0.3">
      <c r="H55899" t="str">
        <f t="shared" si="923"/>
        <v/>
      </c>
    </row>
    <row r="55900" spans="8:8" x14ac:dyDescent="0.3">
      <c r="H55900" t="str">
        <f t="shared" si="923"/>
        <v/>
      </c>
    </row>
    <row r="55901" spans="8:8" x14ac:dyDescent="0.3">
      <c r="H55901" t="str">
        <f t="shared" si="923"/>
        <v/>
      </c>
    </row>
    <row r="55902" spans="8:8" x14ac:dyDescent="0.3">
      <c r="H55902" t="str">
        <f t="shared" si="923"/>
        <v/>
      </c>
    </row>
    <row r="55903" spans="8:8" x14ac:dyDescent="0.3">
      <c r="H55903" t="str">
        <f t="shared" si="923"/>
        <v/>
      </c>
    </row>
    <row r="55904" spans="8:8" x14ac:dyDescent="0.3">
      <c r="H55904" t="str">
        <f t="shared" si="923"/>
        <v/>
      </c>
    </row>
    <row r="55905" spans="8:8" x14ac:dyDescent="0.3">
      <c r="H55905" t="str">
        <f t="shared" si="923"/>
        <v/>
      </c>
    </row>
    <row r="55906" spans="8:8" x14ac:dyDescent="0.3">
      <c r="H55906" t="str">
        <f t="shared" si="923"/>
        <v/>
      </c>
    </row>
    <row r="55907" spans="8:8" x14ac:dyDescent="0.3">
      <c r="H55907" t="str">
        <f t="shared" si="923"/>
        <v/>
      </c>
    </row>
    <row r="55908" spans="8:8" x14ac:dyDescent="0.3">
      <c r="H55908" t="str">
        <f t="shared" si="923"/>
        <v/>
      </c>
    </row>
    <row r="55909" spans="8:8" x14ac:dyDescent="0.3">
      <c r="H55909" t="str">
        <f t="shared" si="923"/>
        <v/>
      </c>
    </row>
    <row r="55910" spans="8:8" x14ac:dyDescent="0.3">
      <c r="H55910" t="str">
        <f t="shared" si="923"/>
        <v/>
      </c>
    </row>
    <row r="55911" spans="8:8" x14ac:dyDescent="0.3">
      <c r="H55911" t="str">
        <f t="shared" si="923"/>
        <v/>
      </c>
    </row>
    <row r="55912" spans="8:8" x14ac:dyDescent="0.3">
      <c r="H55912" t="str">
        <f t="shared" si="923"/>
        <v/>
      </c>
    </row>
    <row r="55913" spans="8:8" x14ac:dyDescent="0.3">
      <c r="H55913" t="str">
        <f t="shared" si="923"/>
        <v/>
      </c>
    </row>
    <row r="55914" spans="8:8" x14ac:dyDescent="0.3">
      <c r="H55914" t="str">
        <f t="shared" si="923"/>
        <v/>
      </c>
    </row>
    <row r="55915" spans="8:8" x14ac:dyDescent="0.3">
      <c r="H55915" t="str">
        <f t="shared" si="923"/>
        <v/>
      </c>
    </row>
    <row r="55916" spans="8:8" x14ac:dyDescent="0.3">
      <c r="H55916" t="str">
        <f t="shared" si="923"/>
        <v/>
      </c>
    </row>
    <row r="55917" spans="8:8" x14ac:dyDescent="0.3">
      <c r="H55917" t="str">
        <f t="shared" si="923"/>
        <v/>
      </c>
    </row>
    <row r="55918" spans="8:8" x14ac:dyDescent="0.3">
      <c r="H55918" t="str">
        <f t="shared" si="923"/>
        <v/>
      </c>
    </row>
    <row r="55919" spans="8:8" x14ac:dyDescent="0.3">
      <c r="H55919" t="str">
        <f t="shared" si="923"/>
        <v/>
      </c>
    </row>
    <row r="55920" spans="8:8" x14ac:dyDescent="0.3">
      <c r="H55920" t="str">
        <f t="shared" si="923"/>
        <v/>
      </c>
    </row>
    <row r="55921" spans="8:8" x14ac:dyDescent="0.3">
      <c r="H55921" t="str">
        <f t="shared" si="923"/>
        <v/>
      </c>
    </row>
    <row r="55922" spans="8:8" x14ac:dyDescent="0.3">
      <c r="H55922" t="str">
        <f t="shared" si="923"/>
        <v/>
      </c>
    </row>
    <row r="55923" spans="8:8" x14ac:dyDescent="0.3">
      <c r="H55923" t="str">
        <f t="shared" si="923"/>
        <v/>
      </c>
    </row>
    <row r="55924" spans="8:8" x14ac:dyDescent="0.3">
      <c r="H55924" t="str">
        <f t="shared" si="923"/>
        <v/>
      </c>
    </row>
    <row r="55925" spans="8:8" x14ac:dyDescent="0.3">
      <c r="H55925" t="str">
        <f t="shared" si="923"/>
        <v/>
      </c>
    </row>
    <row r="55926" spans="8:8" x14ac:dyDescent="0.3">
      <c r="H55926" t="str">
        <f t="shared" si="923"/>
        <v/>
      </c>
    </row>
    <row r="55927" spans="8:8" x14ac:dyDescent="0.3">
      <c r="H55927" t="str">
        <f t="shared" si="923"/>
        <v/>
      </c>
    </row>
    <row r="55928" spans="8:8" x14ac:dyDescent="0.3">
      <c r="H55928" t="str">
        <f t="shared" si="923"/>
        <v/>
      </c>
    </row>
    <row r="55929" spans="8:8" x14ac:dyDescent="0.3">
      <c r="H55929" t="str">
        <f t="shared" si="923"/>
        <v/>
      </c>
    </row>
    <row r="55930" spans="8:8" x14ac:dyDescent="0.3">
      <c r="H55930" t="str">
        <f t="shared" si="923"/>
        <v/>
      </c>
    </row>
    <row r="55931" spans="8:8" x14ac:dyDescent="0.3">
      <c r="H55931" t="str">
        <f t="shared" si="923"/>
        <v/>
      </c>
    </row>
    <row r="55932" spans="8:8" x14ac:dyDescent="0.3">
      <c r="H55932" t="str">
        <f t="shared" si="923"/>
        <v/>
      </c>
    </row>
    <row r="55933" spans="8:8" x14ac:dyDescent="0.3">
      <c r="H55933" t="str">
        <f t="shared" si="923"/>
        <v/>
      </c>
    </row>
    <row r="55934" spans="8:8" x14ac:dyDescent="0.3">
      <c r="H55934" t="str">
        <f t="shared" si="923"/>
        <v/>
      </c>
    </row>
    <row r="55935" spans="8:8" x14ac:dyDescent="0.3">
      <c r="H55935" t="str">
        <f t="shared" si="923"/>
        <v/>
      </c>
    </row>
    <row r="55936" spans="8:8" x14ac:dyDescent="0.3">
      <c r="H55936" t="str">
        <f t="shared" si="923"/>
        <v/>
      </c>
    </row>
    <row r="55937" spans="8:8" x14ac:dyDescent="0.3">
      <c r="H55937" t="str">
        <f t="shared" si="923"/>
        <v/>
      </c>
    </row>
    <row r="55938" spans="8:8" x14ac:dyDescent="0.3">
      <c r="H55938" t="str">
        <f t="shared" si="923"/>
        <v/>
      </c>
    </row>
    <row r="55939" spans="8:8" x14ac:dyDescent="0.3">
      <c r="H55939" t="str">
        <f t="shared" si="923"/>
        <v/>
      </c>
    </row>
    <row r="55940" spans="8:8" x14ac:dyDescent="0.3">
      <c r="H55940" t="str">
        <f t="shared" si="923"/>
        <v/>
      </c>
    </row>
    <row r="55941" spans="8:8" x14ac:dyDescent="0.3">
      <c r="H55941" t="str">
        <f t="shared" si="923"/>
        <v/>
      </c>
    </row>
    <row r="55942" spans="8:8" x14ac:dyDescent="0.3">
      <c r="H55942" t="str">
        <f t="shared" si="923"/>
        <v/>
      </c>
    </row>
    <row r="55943" spans="8:8" x14ac:dyDescent="0.3">
      <c r="H55943" t="str">
        <f t="shared" si="923"/>
        <v/>
      </c>
    </row>
    <row r="55944" spans="8:8" x14ac:dyDescent="0.3">
      <c r="H55944" t="str">
        <f t="shared" si="923"/>
        <v/>
      </c>
    </row>
    <row r="55945" spans="8:8" x14ac:dyDescent="0.3">
      <c r="H55945" t="str">
        <f t="shared" si="923"/>
        <v/>
      </c>
    </row>
    <row r="55946" spans="8:8" x14ac:dyDescent="0.3">
      <c r="H55946" t="str">
        <f t="shared" si="923"/>
        <v/>
      </c>
    </row>
    <row r="55947" spans="8:8" x14ac:dyDescent="0.3">
      <c r="H55947" t="str">
        <f t="shared" si="923"/>
        <v/>
      </c>
    </row>
    <row r="55948" spans="8:8" x14ac:dyDescent="0.3">
      <c r="H55948" t="str">
        <f t="shared" si="923"/>
        <v/>
      </c>
    </row>
    <row r="55949" spans="8:8" x14ac:dyDescent="0.3">
      <c r="H55949" t="str">
        <f t="shared" si="923"/>
        <v/>
      </c>
    </row>
    <row r="55950" spans="8:8" x14ac:dyDescent="0.3">
      <c r="H55950" t="str">
        <f t="shared" si="923"/>
        <v/>
      </c>
    </row>
    <row r="55951" spans="8:8" x14ac:dyDescent="0.3">
      <c r="H55951" t="str">
        <f t="shared" si="923"/>
        <v/>
      </c>
    </row>
    <row r="55952" spans="8:8" x14ac:dyDescent="0.3">
      <c r="H55952" t="str">
        <f t="shared" si="923"/>
        <v/>
      </c>
    </row>
    <row r="55953" spans="8:8" x14ac:dyDescent="0.3">
      <c r="H55953" t="str">
        <f t="shared" si="923"/>
        <v/>
      </c>
    </row>
    <row r="55954" spans="8:8" x14ac:dyDescent="0.3">
      <c r="H55954" t="str">
        <f t="shared" si="923"/>
        <v/>
      </c>
    </row>
    <row r="55955" spans="8:8" x14ac:dyDescent="0.3">
      <c r="H55955" t="str">
        <f t="shared" si="923"/>
        <v/>
      </c>
    </row>
    <row r="55956" spans="8:8" x14ac:dyDescent="0.3">
      <c r="H55956" t="str">
        <f t="shared" si="923"/>
        <v/>
      </c>
    </row>
    <row r="55957" spans="8:8" x14ac:dyDescent="0.3">
      <c r="H55957" t="str">
        <f t="shared" si="923"/>
        <v/>
      </c>
    </row>
    <row r="55958" spans="8:8" x14ac:dyDescent="0.3">
      <c r="H55958" t="str">
        <f t="shared" si="923"/>
        <v/>
      </c>
    </row>
    <row r="55959" spans="8:8" x14ac:dyDescent="0.3">
      <c r="H55959" t="str">
        <f t="shared" ref="H55959:H56022" si="924">IF(B55959="","",$C$12)</f>
        <v/>
      </c>
    </row>
    <row r="55960" spans="8:8" x14ac:dyDescent="0.3">
      <c r="H55960" t="str">
        <f t="shared" si="924"/>
        <v/>
      </c>
    </row>
    <row r="55961" spans="8:8" x14ac:dyDescent="0.3">
      <c r="H55961" t="str">
        <f t="shared" si="924"/>
        <v/>
      </c>
    </row>
    <row r="55962" spans="8:8" x14ac:dyDescent="0.3">
      <c r="H55962" t="str">
        <f t="shared" si="924"/>
        <v/>
      </c>
    </row>
    <row r="55963" spans="8:8" x14ac:dyDescent="0.3">
      <c r="H55963" t="str">
        <f t="shared" si="924"/>
        <v/>
      </c>
    </row>
    <row r="55964" spans="8:8" x14ac:dyDescent="0.3">
      <c r="H55964" t="str">
        <f t="shared" si="924"/>
        <v/>
      </c>
    </row>
    <row r="55965" spans="8:8" x14ac:dyDescent="0.3">
      <c r="H55965" t="str">
        <f t="shared" si="924"/>
        <v/>
      </c>
    </row>
    <row r="55966" spans="8:8" x14ac:dyDescent="0.3">
      <c r="H55966" t="str">
        <f t="shared" si="924"/>
        <v/>
      </c>
    </row>
    <row r="55967" spans="8:8" x14ac:dyDescent="0.3">
      <c r="H55967" t="str">
        <f t="shared" si="924"/>
        <v/>
      </c>
    </row>
    <row r="55968" spans="8:8" x14ac:dyDescent="0.3">
      <c r="H55968" t="str">
        <f t="shared" si="924"/>
        <v/>
      </c>
    </row>
    <row r="55969" spans="8:8" x14ac:dyDescent="0.3">
      <c r="H55969" t="str">
        <f t="shared" si="924"/>
        <v/>
      </c>
    </row>
    <row r="55970" spans="8:8" x14ac:dyDescent="0.3">
      <c r="H55970" t="str">
        <f t="shared" si="924"/>
        <v/>
      </c>
    </row>
    <row r="55971" spans="8:8" x14ac:dyDescent="0.3">
      <c r="H55971" t="str">
        <f t="shared" si="924"/>
        <v/>
      </c>
    </row>
    <row r="55972" spans="8:8" x14ac:dyDescent="0.3">
      <c r="H55972" t="str">
        <f t="shared" si="924"/>
        <v/>
      </c>
    </row>
    <row r="55973" spans="8:8" x14ac:dyDescent="0.3">
      <c r="H55973" t="str">
        <f t="shared" si="924"/>
        <v/>
      </c>
    </row>
    <row r="55974" spans="8:8" x14ac:dyDescent="0.3">
      <c r="H55974" t="str">
        <f t="shared" si="924"/>
        <v/>
      </c>
    </row>
    <row r="55975" spans="8:8" x14ac:dyDescent="0.3">
      <c r="H55975" t="str">
        <f t="shared" si="924"/>
        <v/>
      </c>
    </row>
    <row r="55976" spans="8:8" x14ac:dyDescent="0.3">
      <c r="H55976" t="str">
        <f t="shared" si="924"/>
        <v/>
      </c>
    </row>
    <row r="55977" spans="8:8" x14ac:dyDescent="0.3">
      <c r="H55977" t="str">
        <f t="shared" si="924"/>
        <v/>
      </c>
    </row>
    <row r="55978" spans="8:8" x14ac:dyDescent="0.3">
      <c r="H55978" t="str">
        <f t="shared" si="924"/>
        <v/>
      </c>
    </row>
    <row r="55979" spans="8:8" x14ac:dyDescent="0.3">
      <c r="H55979" t="str">
        <f t="shared" si="924"/>
        <v/>
      </c>
    </row>
    <row r="55980" spans="8:8" x14ac:dyDescent="0.3">
      <c r="H55980" t="str">
        <f t="shared" si="924"/>
        <v/>
      </c>
    </row>
    <row r="55981" spans="8:8" x14ac:dyDescent="0.3">
      <c r="H55981" t="str">
        <f t="shared" si="924"/>
        <v/>
      </c>
    </row>
    <row r="55982" spans="8:8" x14ac:dyDescent="0.3">
      <c r="H55982" t="str">
        <f t="shared" si="924"/>
        <v/>
      </c>
    </row>
    <row r="55983" spans="8:8" x14ac:dyDescent="0.3">
      <c r="H55983" t="str">
        <f t="shared" si="924"/>
        <v/>
      </c>
    </row>
    <row r="55984" spans="8:8" x14ac:dyDescent="0.3">
      <c r="H55984" t="str">
        <f t="shared" si="924"/>
        <v/>
      </c>
    </row>
    <row r="55985" spans="8:8" x14ac:dyDescent="0.3">
      <c r="H55985" t="str">
        <f t="shared" si="924"/>
        <v/>
      </c>
    </row>
    <row r="55986" spans="8:8" x14ac:dyDescent="0.3">
      <c r="H55986" t="str">
        <f t="shared" si="924"/>
        <v/>
      </c>
    </row>
    <row r="55987" spans="8:8" x14ac:dyDescent="0.3">
      <c r="H55987" t="str">
        <f t="shared" si="924"/>
        <v/>
      </c>
    </row>
    <row r="55988" spans="8:8" x14ac:dyDescent="0.3">
      <c r="H55988" t="str">
        <f t="shared" si="924"/>
        <v/>
      </c>
    </row>
    <row r="55989" spans="8:8" x14ac:dyDescent="0.3">
      <c r="H55989" t="str">
        <f t="shared" si="924"/>
        <v/>
      </c>
    </row>
    <row r="55990" spans="8:8" x14ac:dyDescent="0.3">
      <c r="H55990" t="str">
        <f t="shared" si="924"/>
        <v/>
      </c>
    </row>
    <row r="55991" spans="8:8" x14ac:dyDescent="0.3">
      <c r="H55991" t="str">
        <f t="shared" si="924"/>
        <v/>
      </c>
    </row>
    <row r="55992" spans="8:8" x14ac:dyDescent="0.3">
      <c r="H55992" t="str">
        <f t="shared" si="924"/>
        <v/>
      </c>
    </row>
    <row r="55993" spans="8:8" x14ac:dyDescent="0.3">
      <c r="H55993" t="str">
        <f t="shared" si="924"/>
        <v/>
      </c>
    </row>
    <row r="55994" spans="8:8" x14ac:dyDescent="0.3">
      <c r="H55994" t="str">
        <f t="shared" si="924"/>
        <v/>
      </c>
    </row>
    <row r="55995" spans="8:8" x14ac:dyDescent="0.3">
      <c r="H55995" t="str">
        <f t="shared" si="924"/>
        <v/>
      </c>
    </row>
    <row r="55996" spans="8:8" x14ac:dyDescent="0.3">
      <c r="H55996" t="str">
        <f t="shared" si="924"/>
        <v/>
      </c>
    </row>
    <row r="55997" spans="8:8" x14ac:dyDescent="0.3">
      <c r="H55997" t="str">
        <f t="shared" si="924"/>
        <v/>
      </c>
    </row>
    <row r="55998" spans="8:8" x14ac:dyDescent="0.3">
      <c r="H55998" t="str">
        <f t="shared" si="924"/>
        <v/>
      </c>
    </row>
    <row r="55999" spans="8:8" x14ac:dyDescent="0.3">
      <c r="H55999" t="str">
        <f t="shared" si="924"/>
        <v/>
      </c>
    </row>
    <row r="56000" spans="8:8" x14ac:dyDescent="0.3">
      <c r="H56000" t="str">
        <f t="shared" si="924"/>
        <v/>
      </c>
    </row>
    <row r="56001" spans="8:8" x14ac:dyDescent="0.3">
      <c r="H56001" t="str">
        <f t="shared" si="924"/>
        <v/>
      </c>
    </row>
    <row r="56002" spans="8:8" x14ac:dyDescent="0.3">
      <c r="H56002" t="str">
        <f t="shared" si="924"/>
        <v/>
      </c>
    </row>
    <row r="56003" spans="8:8" x14ac:dyDescent="0.3">
      <c r="H56003" t="str">
        <f t="shared" si="924"/>
        <v/>
      </c>
    </row>
    <row r="56004" spans="8:8" x14ac:dyDescent="0.3">
      <c r="H56004" t="str">
        <f t="shared" si="924"/>
        <v/>
      </c>
    </row>
    <row r="56005" spans="8:8" x14ac:dyDescent="0.3">
      <c r="H56005" t="str">
        <f t="shared" si="924"/>
        <v/>
      </c>
    </row>
    <row r="56006" spans="8:8" x14ac:dyDescent="0.3">
      <c r="H56006" t="str">
        <f t="shared" si="924"/>
        <v/>
      </c>
    </row>
    <row r="56007" spans="8:8" x14ac:dyDescent="0.3">
      <c r="H56007" t="str">
        <f t="shared" si="924"/>
        <v/>
      </c>
    </row>
    <row r="56008" spans="8:8" x14ac:dyDescent="0.3">
      <c r="H56008" t="str">
        <f t="shared" si="924"/>
        <v/>
      </c>
    </row>
    <row r="56009" spans="8:8" x14ac:dyDescent="0.3">
      <c r="H56009" t="str">
        <f t="shared" si="924"/>
        <v/>
      </c>
    </row>
    <row r="56010" spans="8:8" x14ac:dyDescent="0.3">
      <c r="H56010" t="str">
        <f t="shared" si="924"/>
        <v/>
      </c>
    </row>
    <row r="56011" spans="8:8" x14ac:dyDescent="0.3">
      <c r="H56011" t="str">
        <f t="shared" si="924"/>
        <v/>
      </c>
    </row>
    <row r="56012" spans="8:8" x14ac:dyDescent="0.3">
      <c r="H56012" t="str">
        <f t="shared" si="924"/>
        <v/>
      </c>
    </row>
    <row r="56013" spans="8:8" x14ac:dyDescent="0.3">
      <c r="H56013" t="str">
        <f t="shared" si="924"/>
        <v/>
      </c>
    </row>
    <row r="56014" spans="8:8" x14ac:dyDescent="0.3">
      <c r="H56014" t="str">
        <f t="shared" si="924"/>
        <v/>
      </c>
    </row>
    <row r="56015" spans="8:8" x14ac:dyDescent="0.3">
      <c r="H56015" t="str">
        <f t="shared" si="924"/>
        <v/>
      </c>
    </row>
    <row r="56016" spans="8:8" x14ac:dyDescent="0.3">
      <c r="H56016" t="str">
        <f t="shared" si="924"/>
        <v/>
      </c>
    </row>
    <row r="56017" spans="8:8" x14ac:dyDescent="0.3">
      <c r="H56017" t="str">
        <f t="shared" si="924"/>
        <v/>
      </c>
    </row>
    <row r="56018" spans="8:8" x14ac:dyDescent="0.3">
      <c r="H56018" t="str">
        <f t="shared" si="924"/>
        <v/>
      </c>
    </row>
    <row r="56019" spans="8:8" x14ac:dyDescent="0.3">
      <c r="H56019" t="str">
        <f t="shared" si="924"/>
        <v/>
      </c>
    </row>
    <row r="56020" spans="8:8" x14ac:dyDescent="0.3">
      <c r="H56020" t="str">
        <f t="shared" si="924"/>
        <v/>
      </c>
    </row>
    <row r="56021" spans="8:8" x14ac:dyDescent="0.3">
      <c r="H56021" t="str">
        <f t="shared" si="924"/>
        <v/>
      </c>
    </row>
    <row r="56022" spans="8:8" x14ac:dyDescent="0.3">
      <c r="H56022" t="str">
        <f t="shared" si="924"/>
        <v/>
      </c>
    </row>
    <row r="56023" spans="8:8" x14ac:dyDescent="0.3">
      <c r="H56023" t="str">
        <f t="shared" ref="H56023:H56086" si="925">IF(B56023="","",$C$12)</f>
        <v/>
      </c>
    </row>
    <row r="56024" spans="8:8" x14ac:dyDescent="0.3">
      <c r="H56024" t="str">
        <f t="shared" si="925"/>
        <v/>
      </c>
    </row>
    <row r="56025" spans="8:8" x14ac:dyDescent="0.3">
      <c r="H56025" t="str">
        <f t="shared" si="925"/>
        <v/>
      </c>
    </row>
    <row r="56026" spans="8:8" x14ac:dyDescent="0.3">
      <c r="H56026" t="str">
        <f t="shared" si="925"/>
        <v/>
      </c>
    </row>
    <row r="56027" spans="8:8" x14ac:dyDescent="0.3">
      <c r="H56027" t="str">
        <f t="shared" si="925"/>
        <v/>
      </c>
    </row>
    <row r="56028" spans="8:8" x14ac:dyDescent="0.3">
      <c r="H56028" t="str">
        <f t="shared" si="925"/>
        <v/>
      </c>
    </row>
    <row r="56029" spans="8:8" x14ac:dyDescent="0.3">
      <c r="H56029" t="str">
        <f t="shared" si="925"/>
        <v/>
      </c>
    </row>
    <row r="56030" spans="8:8" x14ac:dyDescent="0.3">
      <c r="H56030" t="str">
        <f t="shared" si="925"/>
        <v/>
      </c>
    </row>
    <row r="56031" spans="8:8" x14ac:dyDescent="0.3">
      <c r="H56031" t="str">
        <f t="shared" si="925"/>
        <v/>
      </c>
    </row>
    <row r="56032" spans="8:8" x14ac:dyDescent="0.3">
      <c r="H56032" t="str">
        <f t="shared" si="925"/>
        <v/>
      </c>
    </row>
    <row r="56033" spans="8:8" x14ac:dyDescent="0.3">
      <c r="H56033" t="str">
        <f t="shared" si="925"/>
        <v/>
      </c>
    </row>
    <row r="56034" spans="8:8" x14ac:dyDescent="0.3">
      <c r="H56034" t="str">
        <f t="shared" si="925"/>
        <v/>
      </c>
    </row>
    <row r="56035" spans="8:8" x14ac:dyDescent="0.3">
      <c r="H56035" t="str">
        <f t="shared" si="925"/>
        <v/>
      </c>
    </row>
    <row r="56036" spans="8:8" x14ac:dyDescent="0.3">
      <c r="H56036" t="str">
        <f t="shared" si="925"/>
        <v/>
      </c>
    </row>
    <row r="56037" spans="8:8" x14ac:dyDescent="0.3">
      <c r="H56037" t="str">
        <f t="shared" si="925"/>
        <v/>
      </c>
    </row>
    <row r="56038" spans="8:8" x14ac:dyDescent="0.3">
      <c r="H56038" t="str">
        <f t="shared" si="925"/>
        <v/>
      </c>
    </row>
    <row r="56039" spans="8:8" x14ac:dyDescent="0.3">
      <c r="H56039" t="str">
        <f t="shared" si="925"/>
        <v/>
      </c>
    </row>
    <row r="56040" spans="8:8" x14ac:dyDescent="0.3">
      <c r="H56040" t="str">
        <f t="shared" si="925"/>
        <v/>
      </c>
    </row>
    <row r="56041" spans="8:8" x14ac:dyDescent="0.3">
      <c r="H56041" t="str">
        <f t="shared" si="925"/>
        <v/>
      </c>
    </row>
    <row r="56042" spans="8:8" x14ac:dyDescent="0.3">
      <c r="H56042" t="str">
        <f t="shared" si="925"/>
        <v/>
      </c>
    </row>
    <row r="56043" spans="8:8" x14ac:dyDescent="0.3">
      <c r="H56043" t="str">
        <f t="shared" si="925"/>
        <v/>
      </c>
    </row>
    <row r="56044" spans="8:8" x14ac:dyDescent="0.3">
      <c r="H56044" t="str">
        <f t="shared" si="925"/>
        <v/>
      </c>
    </row>
    <row r="56045" spans="8:8" x14ac:dyDescent="0.3">
      <c r="H56045" t="str">
        <f t="shared" si="925"/>
        <v/>
      </c>
    </row>
    <row r="56046" spans="8:8" x14ac:dyDescent="0.3">
      <c r="H56046" t="str">
        <f t="shared" si="925"/>
        <v/>
      </c>
    </row>
    <row r="56047" spans="8:8" x14ac:dyDescent="0.3">
      <c r="H56047" t="str">
        <f t="shared" si="925"/>
        <v/>
      </c>
    </row>
    <row r="56048" spans="8:8" x14ac:dyDescent="0.3">
      <c r="H56048" t="str">
        <f t="shared" si="925"/>
        <v/>
      </c>
    </row>
    <row r="56049" spans="8:8" x14ac:dyDescent="0.3">
      <c r="H56049" t="str">
        <f t="shared" si="925"/>
        <v/>
      </c>
    </row>
    <row r="56050" spans="8:8" x14ac:dyDescent="0.3">
      <c r="H56050" t="str">
        <f t="shared" si="925"/>
        <v/>
      </c>
    </row>
    <row r="56051" spans="8:8" x14ac:dyDescent="0.3">
      <c r="H56051" t="str">
        <f t="shared" si="925"/>
        <v/>
      </c>
    </row>
    <row r="56052" spans="8:8" x14ac:dyDescent="0.3">
      <c r="H56052" t="str">
        <f t="shared" si="925"/>
        <v/>
      </c>
    </row>
    <row r="56053" spans="8:8" x14ac:dyDescent="0.3">
      <c r="H56053" t="str">
        <f t="shared" si="925"/>
        <v/>
      </c>
    </row>
    <row r="56054" spans="8:8" x14ac:dyDescent="0.3">
      <c r="H56054" t="str">
        <f t="shared" si="925"/>
        <v/>
      </c>
    </row>
    <row r="56055" spans="8:8" x14ac:dyDescent="0.3">
      <c r="H56055" t="str">
        <f t="shared" si="925"/>
        <v/>
      </c>
    </row>
    <row r="56056" spans="8:8" x14ac:dyDescent="0.3">
      <c r="H56056" t="str">
        <f t="shared" si="925"/>
        <v/>
      </c>
    </row>
    <row r="56057" spans="8:8" x14ac:dyDescent="0.3">
      <c r="H56057" t="str">
        <f t="shared" si="925"/>
        <v/>
      </c>
    </row>
    <row r="56058" spans="8:8" x14ac:dyDescent="0.3">
      <c r="H56058" t="str">
        <f t="shared" si="925"/>
        <v/>
      </c>
    </row>
    <row r="56059" spans="8:8" x14ac:dyDescent="0.3">
      <c r="H56059" t="str">
        <f t="shared" si="925"/>
        <v/>
      </c>
    </row>
    <row r="56060" spans="8:8" x14ac:dyDescent="0.3">
      <c r="H56060" t="str">
        <f t="shared" si="925"/>
        <v/>
      </c>
    </row>
    <row r="56061" spans="8:8" x14ac:dyDescent="0.3">
      <c r="H56061" t="str">
        <f t="shared" si="925"/>
        <v/>
      </c>
    </row>
    <row r="56062" spans="8:8" x14ac:dyDescent="0.3">
      <c r="H56062" t="str">
        <f t="shared" si="925"/>
        <v/>
      </c>
    </row>
    <row r="56063" spans="8:8" x14ac:dyDescent="0.3">
      <c r="H56063" t="str">
        <f t="shared" si="925"/>
        <v/>
      </c>
    </row>
    <row r="56064" spans="8:8" x14ac:dyDescent="0.3">
      <c r="H56064" t="str">
        <f t="shared" si="925"/>
        <v/>
      </c>
    </row>
    <row r="56065" spans="8:8" x14ac:dyDescent="0.3">
      <c r="H56065" t="str">
        <f t="shared" si="925"/>
        <v/>
      </c>
    </row>
    <row r="56066" spans="8:8" x14ac:dyDescent="0.3">
      <c r="H56066" t="str">
        <f t="shared" si="925"/>
        <v/>
      </c>
    </row>
    <row r="56067" spans="8:8" x14ac:dyDescent="0.3">
      <c r="H56067" t="str">
        <f t="shared" si="925"/>
        <v/>
      </c>
    </row>
    <row r="56068" spans="8:8" x14ac:dyDescent="0.3">
      <c r="H56068" t="str">
        <f t="shared" si="925"/>
        <v/>
      </c>
    </row>
    <row r="56069" spans="8:8" x14ac:dyDescent="0.3">
      <c r="H56069" t="str">
        <f t="shared" si="925"/>
        <v/>
      </c>
    </row>
    <row r="56070" spans="8:8" x14ac:dyDescent="0.3">
      <c r="H56070" t="str">
        <f t="shared" si="925"/>
        <v/>
      </c>
    </row>
    <row r="56071" spans="8:8" x14ac:dyDescent="0.3">
      <c r="H56071" t="str">
        <f t="shared" si="925"/>
        <v/>
      </c>
    </row>
    <row r="56072" spans="8:8" x14ac:dyDescent="0.3">
      <c r="H56072" t="str">
        <f t="shared" si="925"/>
        <v/>
      </c>
    </row>
    <row r="56073" spans="8:8" x14ac:dyDescent="0.3">
      <c r="H56073" t="str">
        <f t="shared" si="925"/>
        <v/>
      </c>
    </row>
    <row r="56074" spans="8:8" x14ac:dyDescent="0.3">
      <c r="H56074" t="str">
        <f t="shared" si="925"/>
        <v/>
      </c>
    </row>
    <row r="56075" spans="8:8" x14ac:dyDescent="0.3">
      <c r="H56075" t="str">
        <f t="shared" si="925"/>
        <v/>
      </c>
    </row>
    <row r="56076" spans="8:8" x14ac:dyDescent="0.3">
      <c r="H56076" t="str">
        <f t="shared" si="925"/>
        <v/>
      </c>
    </row>
    <row r="56077" spans="8:8" x14ac:dyDescent="0.3">
      <c r="H56077" t="str">
        <f t="shared" si="925"/>
        <v/>
      </c>
    </row>
    <row r="56078" spans="8:8" x14ac:dyDescent="0.3">
      <c r="H56078" t="str">
        <f t="shared" si="925"/>
        <v/>
      </c>
    </row>
    <row r="56079" spans="8:8" x14ac:dyDescent="0.3">
      <c r="H56079" t="str">
        <f t="shared" si="925"/>
        <v/>
      </c>
    </row>
    <row r="56080" spans="8:8" x14ac:dyDescent="0.3">
      <c r="H56080" t="str">
        <f t="shared" si="925"/>
        <v/>
      </c>
    </row>
    <row r="56081" spans="8:8" x14ac:dyDescent="0.3">
      <c r="H56081" t="str">
        <f t="shared" si="925"/>
        <v/>
      </c>
    </row>
    <row r="56082" spans="8:8" x14ac:dyDescent="0.3">
      <c r="H56082" t="str">
        <f t="shared" si="925"/>
        <v/>
      </c>
    </row>
    <row r="56083" spans="8:8" x14ac:dyDescent="0.3">
      <c r="H56083" t="str">
        <f t="shared" si="925"/>
        <v/>
      </c>
    </row>
    <row r="56084" spans="8:8" x14ac:dyDescent="0.3">
      <c r="H56084" t="str">
        <f t="shared" si="925"/>
        <v/>
      </c>
    </row>
    <row r="56085" spans="8:8" x14ac:dyDescent="0.3">
      <c r="H56085" t="str">
        <f t="shared" si="925"/>
        <v/>
      </c>
    </row>
    <row r="56086" spans="8:8" x14ac:dyDescent="0.3">
      <c r="H56086" t="str">
        <f t="shared" si="925"/>
        <v/>
      </c>
    </row>
    <row r="56087" spans="8:8" x14ac:dyDescent="0.3">
      <c r="H56087" t="str">
        <f t="shared" ref="H56087:H56150" si="926">IF(B56087="","",$C$12)</f>
        <v/>
      </c>
    </row>
    <row r="56088" spans="8:8" x14ac:dyDescent="0.3">
      <c r="H56088" t="str">
        <f t="shared" si="926"/>
        <v/>
      </c>
    </row>
    <row r="56089" spans="8:8" x14ac:dyDescent="0.3">
      <c r="H56089" t="str">
        <f t="shared" si="926"/>
        <v/>
      </c>
    </row>
    <row r="56090" spans="8:8" x14ac:dyDescent="0.3">
      <c r="H56090" t="str">
        <f t="shared" si="926"/>
        <v/>
      </c>
    </row>
    <row r="56091" spans="8:8" x14ac:dyDescent="0.3">
      <c r="H56091" t="str">
        <f t="shared" si="926"/>
        <v/>
      </c>
    </row>
    <row r="56092" spans="8:8" x14ac:dyDescent="0.3">
      <c r="H56092" t="str">
        <f t="shared" si="926"/>
        <v/>
      </c>
    </row>
    <row r="56093" spans="8:8" x14ac:dyDescent="0.3">
      <c r="H56093" t="str">
        <f t="shared" si="926"/>
        <v/>
      </c>
    </row>
    <row r="56094" spans="8:8" x14ac:dyDescent="0.3">
      <c r="H56094" t="str">
        <f t="shared" si="926"/>
        <v/>
      </c>
    </row>
    <row r="56095" spans="8:8" x14ac:dyDescent="0.3">
      <c r="H56095" t="str">
        <f t="shared" si="926"/>
        <v/>
      </c>
    </row>
    <row r="56096" spans="8:8" x14ac:dyDescent="0.3">
      <c r="H56096" t="str">
        <f t="shared" si="926"/>
        <v/>
      </c>
    </row>
    <row r="56097" spans="8:8" x14ac:dyDescent="0.3">
      <c r="H56097" t="str">
        <f t="shared" si="926"/>
        <v/>
      </c>
    </row>
    <row r="56098" spans="8:8" x14ac:dyDescent="0.3">
      <c r="H56098" t="str">
        <f t="shared" si="926"/>
        <v/>
      </c>
    </row>
    <row r="56099" spans="8:8" x14ac:dyDescent="0.3">
      <c r="H56099" t="str">
        <f t="shared" si="926"/>
        <v/>
      </c>
    </row>
    <row r="56100" spans="8:8" x14ac:dyDescent="0.3">
      <c r="H56100" t="str">
        <f t="shared" si="926"/>
        <v/>
      </c>
    </row>
    <row r="56101" spans="8:8" x14ac:dyDescent="0.3">
      <c r="H56101" t="str">
        <f t="shared" si="926"/>
        <v/>
      </c>
    </row>
    <row r="56102" spans="8:8" x14ac:dyDescent="0.3">
      <c r="H56102" t="str">
        <f t="shared" si="926"/>
        <v/>
      </c>
    </row>
    <row r="56103" spans="8:8" x14ac:dyDescent="0.3">
      <c r="H56103" t="str">
        <f t="shared" si="926"/>
        <v/>
      </c>
    </row>
    <row r="56104" spans="8:8" x14ac:dyDescent="0.3">
      <c r="H56104" t="str">
        <f t="shared" si="926"/>
        <v/>
      </c>
    </row>
    <row r="56105" spans="8:8" x14ac:dyDescent="0.3">
      <c r="H56105" t="str">
        <f t="shared" si="926"/>
        <v/>
      </c>
    </row>
    <row r="56106" spans="8:8" x14ac:dyDescent="0.3">
      <c r="H56106" t="str">
        <f t="shared" si="926"/>
        <v/>
      </c>
    </row>
    <row r="56107" spans="8:8" x14ac:dyDescent="0.3">
      <c r="H56107" t="str">
        <f t="shared" si="926"/>
        <v/>
      </c>
    </row>
    <row r="56108" spans="8:8" x14ac:dyDescent="0.3">
      <c r="H56108" t="str">
        <f t="shared" si="926"/>
        <v/>
      </c>
    </row>
    <row r="56109" spans="8:8" x14ac:dyDescent="0.3">
      <c r="H56109" t="str">
        <f t="shared" si="926"/>
        <v/>
      </c>
    </row>
    <row r="56110" spans="8:8" x14ac:dyDescent="0.3">
      <c r="H56110" t="str">
        <f t="shared" si="926"/>
        <v/>
      </c>
    </row>
    <row r="56111" spans="8:8" x14ac:dyDescent="0.3">
      <c r="H56111" t="str">
        <f t="shared" si="926"/>
        <v/>
      </c>
    </row>
    <row r="56112" spans="8:8" x14ac:dyDescent="0.3">
      <c r="H56112" t="str">
        <f t="shared" si="926"/>
        <v/>
      </c>
    </row>
    <row r="56113" spans="8:8" x14ac:dyDescent="0.3">
      <c r="H56113" t="str">
        <f t="shared" si="926"/>
        <v/>
      </c>
    </row>
    <row r="56114" spans="8:8" x14ac:dyDescent="0.3">
      <c r="H56114" t="str">
        <f t="shared" si="926"/>
        <v/>
      </c>
    </row>
    <row r="56115" spans="8:8" x14ac:dyDescent="0.3">
      <c r="H56115" t="str">
        <f t="shared" si="926"/>
        <v/>
      </c>
    </row>
    <row r="56116" spans="8:8" x14ac:dyDescent="0.3">
      <c r="H56116" t="str">
        <f t="shared" si="926"/>
        <v/>
      </c>
    </row>
    <row r="56117" spans="8:8" x14ac:dyDescent="0.3">
      <c r="H56117" t="str">
        <f t="shared" si="926"/>
        <v/>
      </c>
    </row>
    <row r="56118" spans="8:8" x14ac:dyDescent="0.3">
      <c r="H56118" t="str">
        <f t="shared" si="926"/>
        <v/>
      </c>
    </row>
    <row r="56119" spans="8:8" x14ac:dyDescent="0.3">
      <c r="H56119" t="str">
        <f t="shared" si="926"/>
        <v/>
      </c>
    </row>
    <row r="56120" spans="8:8" x14ac:dyDescent="0.3">
      <c r="H56120" t="str">
        <f t="shared" si="926"/>
        <v/>
      </c>
    </row>
    <row r="56121" spans="8:8" x14ac:dyDescent="0.3">
      <c r="H56121" t="str">
        <f t="shared" si="926"/>
        <v/>
      </c>
    </row>
    <row r="56122" spans="8:8" x14ac:dyDescent="0.3">
      <c r="H56122" t="str">
        <f t="shared" si="926"/>
        <v/>
      </c>
    </row>
    <row r="56123" spans="8:8" x14ac:dyDescent="0.3">
      <c r="H56123" t="str">
        <f t="shared" si="926"/>
        <v/>
      </c>
    </row>
    <row r="56124" spans="8:8" x14ac:dyDescent="0.3">
      <c r="H56124" t="str">
        <f t="shared" si="926"/>
        <v/>
      </c>
    </row>
    <row r="56125" spans="8:8" x14ac:dyDescent="0.3">
      <c r="H56125" t="str">
        <f t="shared" si="926"/>
        <v/>
      </c>
    </row>
    <row r="56126" spans="8:8" x14ac:dyDescent="0.3">
      <c r="H56126" t="str">
        <f t="shared" si="926"/>
        <v/>
      </c>
    </row>
    <row r="56127" spans="8:8" x14ac:dyDescent="0.3">
      <c r="H56127" t="str">
        <f t="shared" si="926"/>
        <v/>
      </c>
    </row>
    <row r="56128" spans="8:8" x14ac:dyDescent="0.3">
      <c r="H56128" t="str">
        <f t="shared" si="926"/>
        <v/>
      </c>
    </row>
    <row r="56129" spans="8:8" x14ac:dyDescent="0.3">
      <c r="H56129" t="str">
        <f t="shared" si="926"/>
        <v/>
      </c>
    </row>
    <row r="56130" spans="8:8" x14ac:dyDescent="0.3">
      <c r="H56130" t="str">
        <f t="shared" si="926"/>
        <v/>
      </c>
    </row>
    <row r="56131" spans="8:8" x14ac:dyDescent="0.3">
      <c r="H56131" t="str">
        <f t="shared" si="926"/>
        <v/>
      </c>
    </row>
    <row r="56132" spans="8:8" x14ac:dyDescent="0.3">
      <c r="H56132" t="str">
        <f t="shared" si="926"/>
        <v/>
      </c>
    </row>
    <row r="56133" spans="8:8" x14ac:dyDescent="0.3">
      <c r="H56133" t="str">
        <f t="shared" si="926"/>
        <v/>
      </c>
    </row>
    <row r="56134" spans="8:8" x14ac:dyDescent="0.3">
      <c r="H56134" t="str">
        <f t="shared" si="926"/>
        <v/>
      </c>
    </row>
    <row r="56135" spans="8:8" x14ac:dyDescent="0.3">
      <c r="H56135" t="str">
        <f t="shared" si="926"/>
        <v/>
      </c>
    </row>
    <row r="56136" spans="8:8" x14ac:dyDescent="0.3">
      <c r="H56136" t="str">
        <f t="shared" si="926"/>
        <v/>
      </c>
    </row>
    <row r="56137" spans="8:8" x14ac:dyDescent="0.3">
      <c r="H56137" t="str">
        <f t="shared" si="926"/>
        <v/>
      </c>
    </row>
    <row r="56138" spans="8:8" x14ac:dyDescent="0.3">
      <c r="H56138" t="str">
        <f t="shared" si="926"/>
        <v/>
      </c>
    </row>
    <row r="56139" spans="8:8" x14ac:dyDescent="0.3">
      <c r="H56139" t="str">
        <f t="shared" si="926"/>
        <v/>
      </c>
    </row>
    <row r="56140" spans="8:8" x14ac:dyDescent="0.3">
      <c r="H56140" t="str">
        <f t="shared" si="926"/>
        <v/>
      </c>
    </row>
    <row r="56141" spans="8:8" x14ac:dyDescent="0.3">
      <c r="H56141" t="str">
        <f t="shared" si="926"/>
        <v/>
      </c>
    </row>
    <row r="56142" spans="8:8" x14ac:dyDescent="0.3">
      <c r="H56142" t="str">
        <f t="shared" si="926"/>
        <v/>
      </c>
    </row>
    <row r="56143" spans="8:8" x14ac:dyDescent="0.3">
      <c r="H56143" t="str">
        <f t="shared" si="926"/>
        <v/>
      </c>
    </row>
    <row r="56144" spans="8:8" x14ac:dyDescent="0.3">
      <c r="H56144" t="str">
        <f t="shared" si="926"/>
        <v/>
      </c>
    </row>
    <row r="56145" spans="8:8" x14ac:dyDescent="0.3">
      <c r="H56145" t="str">
        <f t="shared" si="926"/>
        <v/>
      </c>
    </row>
    <row r="56146" spans="8:8" x14ac:dyDescent="0.3">
      <c r="H56146" t="str">
        <f t="shared" si="926"/>
        <v/>
      </c>
    </row>
    <row r="56147" spans="8:8" x14ac:dyDescent="0.3">
      <c r="H56147" t="str">
        <f t="shared" si="926"/>
        <v/>
      </c>
    </row>
    <row r="56148" spans="8:8" x14ac:dyDescent="0.3">
      <c r="H56148" t="str">
        <f t="shared" si="926"/>
        <v/>
      </c>
    </row>
    <row r="56149" spans="8:8" x14ac:dyDescent="0.3">
      <c r="H56149" t="str">
        <f t="shared" si="926"/>
        <v/>
      </c>
    </row>
    <row r="56150" spans="8:8" x14ac:dyDescent="0.3">
      <c r="H56150" t="str">
        <f t="shared" si="926"/>
        <v/>
      </c>
    </row>
    <row r="56151" spans="8:8" x14ac:dyDescent="0.3">
      <c r="H56151" t="str">
        <f t="shared" ref="H56151:H56214" si="927">IF(B56151="","",$C$12)</f>
        <v/>
      </c>
    </row>
    <row r="56152" spans="8:8" x14ac:dyDescent="0.3">
      <c r="H56152" t="str">
        <f t="shared" si="927"/>
        <v/>
      </c>
    </row>
    <row r="56153" spans="8:8" x14ac:dyDescent="0.3">
      <c r="H56153" t="str">
        <f t="shared" si="927"/>
        <v/>
      </c>
    </row>
    <row r="56154" spans="8:8" x14ac:dyDescent="0.3">
      <c r="H56154" t="str">
        <f t="shared" si="927"/>
        <v/>
      </c>
    </row>
    <row r="56155" spans="8:8" x14ac:dyDescent="0.3">
      <c r="H56155" t="str">
        <f t="shared" si="927"/>
        <v/>
      </c>
    </row>
    <row r="56156" spans="8:8" x14ac:dyDescent="0.3">
      <c r="H56156" t="str">
        <f t="shared" si="927"/>
        <v/>
      </c>
    </row>
    <row r="56157" spans="8:8" x14ac:dyDescent="0.3">
      <c r="H56157" t="str">
        <f t="shared" si="927"/>
        <v/>
      </c>
    </row>
    <row r="56158" spans="8:8" x14ac:dyDescent="0.3">
      <c r="H56158" t="str">
        <f t="shared" si="927"/>
        <v/>
      </c>
    </row>
    <row r="56159" spans="8:8" x14ac:dyDescent="0.3">
      <c r="H56159" t="str">
        <f t="shared" si="927"/>
        <v/>
      </c>
    </row>
    <row r="56160" spans="8:8" x14ac:dyDescent="0.3">
      <c r="H56160" t="str">
        <f t="shared" si="927"/>
        <v/>
      </c>
    </row>
    <row r="56161" spans="8:8" x14ac:dyDescent="0.3">
      <c r="H56161" t="str">
        <f t="shared" si="927"/>
        <v/>
      </c>
    </row>
    <row r="56162" spans="8:8" x14ac:dyDescent="0.3">
      <c r="H56162" t="str">
        <f t="shared" si="927"/>
        <v/>
      </c>
    </row>
    <row r="56163" spans="8:8" x14ac:dyDescent="0.3">
      <c r="H56163" t="str">
        <f t="shared" si="927"/>
        <v/>
      </c>
    </row>
    <row r="56164" spans="8:8" x14ac:dyDescent="0.3">
      <c r="H56164" t="str">
        <f t="shared" si="927"/>
        <v/>
      </c>
    </row>
    <row r="56165" spans="8:8" x14ac:dyDescent="0.3">
      <c r="H56165" t="str">
        <f t="shared" si="927"/>
        <v/>
      </c>
    </row>
    <row r="56166" spans="8:8" x14ac:dyDescent="0.3">
      <c r="H56166" t="str">
        <f t="shared" si="927"/>
        <v/>
      </c>
    </row>
    <row r="56167" spans="8:8" x14ac:dyDescent="0.3">
      <c r="H56167" t="str">
        <f t="shared" si="927"/>
        <v/>
      </c>
    </row>
    <row r="56168" spans="8:8" x14ac:dyDescent="0.3">
      <c r="H56168" t="str">
        <f t="shared" si="927"/>
        <v/>
      </c>
    </row>
    <row r="56169" spans="8:8" x14ac:dyDescent="0.3">
      <c r="H56169" t="str">
        <f t="shared" si="927"/>
        <v/>
      </c>
    </row>
    <row r="56170" spans="8:8" x14ac:dyDescent="0.3">
      <c r="H56170" t="str">
        <f t="shared" si="927"/>
        <v/>
      </c>
    </row>
    <row r="56171" spans="8:8" x14ac:dyDescent="0.3">
      <c r="H56171" t="str">
        <f t="shared" si="927"/>
        <v/>
      </c>
    </row>
    <row r="56172" spans="8:8" x14ac:dyDescent="0.3">
      <c r="H56172" t="str">
        <f t="shared" si="927"/>
        <v/>
      </c>
    </row>
    <row r="56173" spans="8:8" x14ac:dyDescent="0.3">
      <c r="H56173" t="str">
        <f t="shared" si="927"/>
        <v/>
      </c>
    </row>
    <row r="56174" spans="8:8" x14ac:dyDescent="0.3">
      <c r="H56174" t="str">
        <f t="shared" si="927"/>
        <v/>
      </c>
    </row>
    <row r="56175" spans="8:8" x14ac:dyDescent="0.3">
      <c r="H56175" t="str">
        <f t="shared" si="927"/>
        <v/>
      </c>
    </row>
    <row r="56176" spans="8:8" x14ac:dyDescent="0.3">
      <c r="H56176" t="str">
        <f t="shared" si="927"/>
        <v/>
      </c>
    </row>
    <row r="56177" spans="8:8" x14ac:dyDescent="0.3">
      <c r="H56177" t="str">
        <f t="shared" si="927"/>
        <v/>
      </c>
    </row>
    <row r="56178" spans="8:8" x14ac:dyDescent="0.3">
      <c r="H56178" t="str">
        <f t="shared" si="927"/>
        <v/>
      </c>
    </row>
    <row r="56179" spans="8:8" x14ac:dyDescent="0.3">
      <c r="H56179" t="str">
        <f t="shared" si="927"/>
        <v/>
      </c>
    </row>
    <row r="56180" spans="8:8" x14ac:dyDescent="0.3">
      <c r="H56180" t="str">
        <f t="shared" si="927"/>
        <v/>
      </c>
    </row>
    <row r="56181" spans="8:8" x14ac:dyDescent="0.3">
      <c r="H56181" t="str">
        <f t="shared" si="927"/>
        <v/>
      </c>
    </row>
    <row r="56182" spans="8:8" x14ac:dyDescent="0.3">
      <c r="H56182" t="str">
        <f t="shared" si="927"/>
        <v/>
      </c>
    </row>
    <row r="56183" spans="8:8" x14ac:dyDescent="0.3">
      <c r="H56183" t="str">
        <f t="shared" si="927"/>
        <v/>
      </c>
    </row>
    <row r="56184" spans="8:8" x14ac:dyDescent="0.3">
      <c r="H56184" t="str">
        <f t="shared" si="927"/>
        <v/>
      </c>
    </row>
    <row r="56185" spans="8:8" x14ac:dyDescent="0.3">
      <c r="H56185" t="str">
        <f t="shared" si="927"/>
        <v/>
      </c>
    </row>
    <row r="56186" spans="8:8" x14ac:dyDescent="0.3">
      <c r="H56186" t="str">
        <f t="shared" si="927"/>
        <v/>
      </c>
    </row>
    <row r="56187" spans="8:8" x14ac:dyDescent="0.3">
      <c r="H56187" t="str">
        <f t="shared" si="927"/>
        <v/>
      </c>
    </row>
    <row r="56188" spans="8:8" x14ac:dyDescent="0.3">
      <c r="H56188" t="str">
        <f t="shared" si="927"/>
        <v/>
      </c>
    </row>
    <row r="56189" spans="8:8" x14ac:dyDescent="0.3">
      <c r="H56189" t="str">
        <f t="shared" si="927"/>
        <v/>
      </c>
    </row>
    <row r="56190" spans="8:8" x14ac:dyDescent="0.3">
      <c r="H56190" t="str">
        <f t="shared" si="927"/>
        <v/>
      </c>
    </row>
    <row r="56191" spans="8:8" x14ac:dyDescent="0.3">
      <c r="H56191" t="str">
        <f t="shared" si="927"/>
        <v/>
      </c>
    </row>
    <row r="56192" spans="8:8" x14ac:dyDescent="0.3">
      <c r="H56192" t="str">
        <f t="shared" si="927"/>
        <v/>
      </c>
    </row>
    <row r="56193" spans="8:8" x14ac:dyDescent="0.3">
      <c r="H56193" t="str">
        <f t="shared" si="927"/>
        <v/>
      </c>
    </row>
    <row r="56194" spans="8:8" x14ac:dyDescent="0.3">
      <c r="H56194" t="str">
        <f t="shared" si="927"/>
        <v/>
      </c>
    </row>
    <row r="56195" spans="8:8" x14ac:dyDescent="0.3">
      <c r="H56195" t="str">
        <f t="shared" si="927"/>
        <v/>
      </c>
    </row>
    <row r="56196" spans="8:8" x14ac:dyDescent="0.3">
      <c r="H56196" t="str">
        <f t="shared" si="927"/>
        <v/>
      </c>
    </row>
    <row r="56197" spans="8:8" x14ac:dyDescent="0.3">
      <c r="H56197" t="str">
        <f t="shared" si="927"/>
        <v/>
      </c>
    </row>
    <row r="56198" spans="8:8" x14ac:dyDescent="0.3">
      <c r="H56198" t="str">
        <f t="shared" si="927"/>
        <v/>
      </c>
    </row>
    <row r="56199" spans="8:8" x14ac:dyDescent="0.3">
      <c r="H56199" t="str">
        <f t="shared" si="927"/>
        <v/>
      </c>
    </row>
    <row r="56200" spans="8:8" x14ac:dyDescent="0.3">
      <c r="H56200" t="str">
        <f t="shared" si="927"/>
        <v/>
      </c>
    </row>
    <row r="56201" spans="8:8" x14ac:dyDescent="0.3">
      <c r="H56201" t="str">
        <f t="shared" si="927"/>
        <v/>
      </c>
    </row>
    <row r="56202" spans="8:8" x14ac:dyDescent="0.3">
      <c r="H56202" t="str">
        <f t="shared" si="927"/>
        <v/>
      </c>
    </row>
    <row r="56203" spans="8:8" x14ac:dyDescent="0.3">
      <c r="H56203" t="str">
        <f t="shared" si="927"/>
        <v/>
      </c>
    </row>
    <row r="56204" spans="8:8" x14ac:dyDescent="0.3">
      <c r="H56204" t="str">
        <f t="shared" si="927"/>
        <v/>
      </c>
    </row>
    <row r="56205" spans="8:8" x14ac:dyDescent="0.3">
      <c r="H56205" t="str">
        <f t="shared" si="927"/>
        <v/>
      </c>
    </row>
    <row r="56206" spans="8:8" x14ac:dyDescent="0.3">
      <c r="H56206" t="str">
        <f t="shared" si="927"/>
        <v/>
      </c>
    </row>
    <row r="56207" spans="8:8" x14ac:dyDescent="0.3">
      <c r="H56207" t="str">
        <f t="shared" si="927"/>
        <v/>
      </c>
    </row>
    <row r="56208" spans="8:8" x14ac:dyDescent="0.3">
      <c r="H56208" t="str">
        <f t="shared" si="927"/>
        <v/>
      </c>
    </row>
    <row r="56209" spans="8:8" x14ac:dyDescent="0.3">
      <c r="H56209" t="str">
        <f t="shared" si="927"/>
        <v/>
      </c>
    </row>
    <row r="56210" spans="8:8" x14ac:dyDescent="0.3">
      <c r="H56210" t="str">
        <f t="shared" si="927"/>
        <v/>
      </c>
    </row>
    <row r="56211" spans="8:8" x14ac:dyDescent="0.3">
      <c r="H56211" t="str">
        <f t="shared" si="927"/>
        <v/>
      </c>
    </row>
    <row r="56212" spans="8:8" x14ac:dyDescent="0.3">
      <c r="H56212" t="str">
        <f t="shared" si="927"/>
        <v/>
      </c>
    </row>
    <row r="56213" spans="8:8" x14ac:dyDescent="0.3">
      <c r="H56213" t="str">
        <f t="shared" si="927"/>
        <v/>
      </c>
    </row>
    <row r="56214" spans="8:8" x14ac:dyDescent="0.3">
      <c r="H56214" t="str">
        <f t="shared" si="927"/>
        <v/>
      </c>
    </row>
    <row r="56215" spans="8:8" x14ac:dyDescent="0.3">
      <c r="H56215" t="str">
        <f t="shared" ref="H56215:H56278" si="928">IF(B56215="","",$C$12)</f>
        <v/>
      </c>
    </row>
    <row r="56216" spans="8:8" x14ac:dyDescent="0.3">
      <c r="H56216" t="str">
        <f t="shared" si="928"/>
        <v/>
      </c>
    </row>
    <row r="56217" spans="8:8" x14ac:dyDescent="0.3">
      <c r="H56217" t="str">
        <f t="shared" si="928"/>
        <v/>
      </c>
    </row>
    <row r="56218" spans="8:8" x14ac:dyDescent="0.3">
      <c r="H56218" t="str">
        <f t="shared" si="928"/>
        <v/>
      </c>
    </row>
    <row r="56219" spans="8:8" x14ac:dyDescent="0.3">
      <c r="H56219" t="str">
        <f t="shared" si="928"/>
        <v/>
      </c>
    </row>
    <row r="56220" spans="8:8" x14ac:dyDescent="0.3">
      <c r="H56220" t="str">
        <f t="shared" si="928"/>
        <v/>
      </c>
    </row>
    <row r="56221" spans="8:8" x14ac:dyDescent="0.3">
      <c r="H56221" t="str">
        <f t="shared" si="928"/>
        <v/>
      </c>
    </row>
    <row r="56222" spans="8:8" x14ac:dyDescent="0.3">
      <c r="H56222" t="str">
        <f t="shared" si="928"/>
        <v/>
      </c>
    </row>
    <row r="56223" spans="8:8" x14ac:dyDescent="0.3">
      <c r="H56223" t="str">
        <f t="shared" si="928"/>
        <v/>
      </c>
    </row>
    <row r="56224" spans="8:8" x14ac:dyDescent="0.3">
      <c r="H56224" t="str">
        <f t="shared" si="928"/>
        <v/>
      </c>
    </row>
    <row r="56225" spans="8:8" x14ac:dyDescent="0.3">
      <c r="H56225" t="str">
        <f t="shared" si="928"/>
        <v/>
      </c>
    </row>
    <row r="56226" spans="8:8" x14ac:dyDescent="0.3">
      <c r="H56226" t="str">
        <f t="shared" si="928"/>
        <v/>
      </c>
    </row>
    <row r="56227" spans="8:8" x14ac:dyDescent="0.3">
      <c r="H56227" t="str">
        <f t="shared" si="928"/>
        <v/>
      </c>
    </row>
    <row r="56228" spans="8:8" x14ac:dyDescent="0.3">
      <c r="H56228" t="str">
        <f t="shared" si="928"/>
        <v/>
      </c>
    </row>
    <row r="56229" spans="8:8" x14ac:dyDescent="0.3">
      <c r="H56229" t="str">
        <f t="shared" si="928"/>
        <v/>
      </c>
    </row>
    <row r="56230" spans="8:8" x14ac:dyDescent="0.3">
      <c r="H56230" t="str">
        <f t="shared" si="928"/>
        <v/>
      </c>
    </row>
    <row r="56231" spans="8:8" x14ac:dyDescent="0.3">
      <c r="H56231" t="str">
        <f t="shared" si="928"/>
        <v/>
      </c>
    </row>
    <row r="56232" spans="8:8" x14ac:dyDescent="0.3">
      <c r="H56232" t="str">
        <f t="shared" si="928"/>
        <v/>
      </c>
    </row>
    <row r="56233" spans="8:8" x14ac:dyDescent="0.3">
      <c r="H56233" t="str">
        <f t="shared" si="928"/>
        <v/>
      </c>
    </row>
    <row r="56234" spans="8:8" x14ac:dyDescent="0.3">
      <c r="H56234" t="str">
        <f t="shared" si="928"/>
        <v/>
      </c>
    </row>
    <row r="56235" spans="8:8" x14ac:dyDescent="0.3">
      <c r="H56235" t="str">
        <f t="shared" si="928"/>
        <v/>
      </c>
    </row>
    <row r="56236" spans="8:8" x14ac:dyDescent="0.3">
      <c r="H56236" t="str">
        <f t="shared" si="928"/>
        <v/>
      </c>
    </row>
    <row r="56237" spans="8:8" x14ac:dyDescent="0.3">
      <c r="H56237" t="str">
        <f t="shared" si="928"/>
        <v/>
      </c>
    </row>
    <row r="56238" spans="8:8" x14ac:dyDescent="0.3">
      <c r="H56238" t="str">
        <f t="shared" si="928"/>
        <v/>
      </c>
    </row>
    <row r="56239" spans="8:8" x14ac:dyDescent="0.3">
      <c r="H56239" t="str">
        <f t="shared" si="928"/>
        <v/>
      </c>
    </row>
    <row r="56240" spans="8:8" x14ac:dyDescent="0.3">
      <c r="H56240" t="str">
        <f t="shared" si="928"/>
        <v/>
      </c>
    </row>
    <row r="56241" spans="8:8" x14ac:dyDescent="0.3">
      <c r="H56241" t="str">
        <f t="shared" si="928"/>
        <v/>
      </c>
    </row>
    <row r="56242" spans="8:8" x14ac:dyDescent="0.3">
      <c r="H56242" t="str">
        <f t="shared" si="928"/>
        <v/>
      </c>
    </row>
    <row r="56243" spans="8:8" x14ac:dyDescent="0.3">
      <c r="H56243" t="str">
        <f t="shared" si="928"/>
        <v/>
      </c>
    </row>
    <row r="56244" spans="8:8" x14ac:dyDescent="0.3">
      <c r="H56244" t="str">
        <f t="shared" si="928"/>
        <v/>
      </c>
    </row>
    <row r="56245" spans="8:8" x14ac:dyDescent="0.3">
      <c r="H56245" t="str">
        <f t="shared" si="928"/>
        <v/>
      </c>
    </row>
    <row r="56246" spans="8:8" x14ac:dyDescent="0.3">
      <c r="H56246" t="str">
        <f t="shared" si="928"/>
        <v/>
      </c>
    </row>
    <row r="56247" spans="8:8" x14ac:dyDescent="0.3">
      <c r="H56247" t="str">
        <f t="shared" si="928"/>
        <v/>
      </c>
    </row>
    <row r="56248" spans="8:8" x14ac:dyDescent="0.3">
      <c r="H56248" t="str">
        <f t="shared" si="928"/>
        <v/>
      </c>
    </row>
    <row r="56249" spans="8:8" x14ac:dyDescent="0.3">
      <c r="H56249" t="str">
        <f t="shared" si="928"/>
        <v/>
      </c>
    </row>
    <row r="56250" spans="8:8" x14ac:dyDescent="0.3">
      <c r="H56250" t="str">
        <f t="shared" si="928"/>
        <v/>
      </c>
    </row>
    <row r="56251" spans="8:8" x14ac:dyDescent="0.3">
      <c r="H56251" t="str">
        <f t="shared" si="928"/>
        <v/>
      </c>
    </row>
    <row r="56252" spans="8:8" x14ac:dyDescent="0.3">
      <c r="H56252" t="str">
        <f t="shared" si="928"/>
        <v/>
      </c>
    </row>
    <row r="56253" spans="8:8" x14ac:dyDescent="0.3">
      <c r="H56253" t="str">
        <f t="shared" si="928"/>
        <v/>
      </c>
    </row>
    <row r="56254" spans="8:8" x14ac:dyDescent="0.3">
      <c r="H56254" t="str">
        <f t="shared" si="928"/>
        <v/>
      </c>
    </row>
    <row r="56255" spans="8:8" x14ac:dyDescent="0.3">
      <c r="H56255" t="str">
        <f t="shared" si="928"/>
        <v/>
      </c>
    </row>
    <row r="56256" spans="8:8" x14ac:dyDescent="0.3">
      <c r="H56256" t="str">
        <f t="shared" si="928"/>
        <v/>
      </c>
    </row>
    <row r="56257" spans="8:8" x14ac:dyDescent="0.3">
      <c r="H56257" t="str">
        <f t="shared" si="928"/>
        <v/>
      </c>
    </row>
    <row r="56258" spans="8:8" x14ac:dyDescent="0.3">
      <c r="H56258" t="str">
        <f t="shared" si="928"/>
        <v/>
      </c>
    </row>
    <row r="56259" spans="8:8" x14ac:dyDescent="0.3">
      <c r="H56259" t="str">
        <f t="shared" si="928"/>
        <v/>
      </c>
    </row>
    <row r="56260" spans="8:8" x14ac:dyDescent="0.3">
      <c r="H56260" t="str">
        <f t="shared" si="928"/>
        <v/>
      </c>
    </row>
    <row r="56261" spans="8:8" x14ac:dyDescent="0.3">
      <c r="H56261" t="str">
        <f t="shared" si="928"/>
        <v/>
      </c>
    </row>
    <row r="56262" spans="8:8" x14ac:dyDescent="0.3">
      <c r="H56262" t="str">
        <f t="shared" si="928"/>
        <v/>
      </c>
    </row>
    <row r="56263" spans="8:8" x14ac:dyDescent="0.3">
      <c r="H56263" t="str">
        <f t="shared" si="928"/>
        <v/>
      </c>
    </row>
    <row r="56264" spans="8:8" x14ac:dyDescent="0.3">
      <c r="H56264" t="str">
        <f t="shared" si="928"/>
        <v/>
      </c>
    </row>
    <row r="56265" spans="8:8" x14ac:dyDescent="0.3">
      <c r="H56265" t="str">
        <f t="shared" si="928"/>
        <v/>
      </c>
    </row>
    <row r="56266" spans="8:8" x14ac:dyDescent="0.3">
      <c r="H56266" t="str">
        <f t="shared" si="928"/>
        <v/>
      </c>
    </row>
    <row r="56267" spans="8:8" x14ac:dyDescent="0.3">
      <c r="H56267" t="str">
        <f t="shared" si="928"/>
        <v/>
      </c>
    </row>
    <row r="56268" spans="8:8" x14ac:dyDescent="0.3">
      <c r="H56268" t="str">
        <f t="shared" si="928"/>
        <v/>
      </c>
    </row>
    <row r="56269" spans="8:8" x14ac:dyDescent="0.3">
      <c r="H56269" t="str">
        <f t="shared" si="928"/>
        <v/>
      </c>
    </row>
    <row r="56270" spans="8:8" x14ac:dyDescent="0.3">
      <c r="H56270" t="str">
        <f t="shared" si="928"/>
        <v/>
      </c>
    </row>
    <row r="56271" spans="8:8" x14ac:dyDescent="0.3">
      <c r="H56271" t="str">
        <f t="shared" si="928"/>
        <v/>
      </c>
    </row>
    <row r="56272" spans="8:8" x14ac:dyDescent="0.3">
      <c r="H56272" t="str">
        <f t="shared" si="928"/>
        <v/>
      </c>
    </row>
    <row r="56273" spans="8:8" x14ac:dyDescent="0.3">
      <c r="H56273" t="str">
        <f t="shared" si="928"/>
        <v/>
      </c>
    </row>
    <row r="56274" spans="8:8" x14ac:dyDescent="0.3">
      <c r="H56274" t="str">
        <f t="shared" si="928"/>
        <v/>
      </c>
    </row>
    <row r="56275" spans="8:8" x14ac:dyDescent="0.3">
      <c r="H56275" t="str">
        <f t="shared" si="928"/>
        <v/>
      </c>
    </row>
    <row r="56276" spans="8:8" x14ac:dyDescent="0.3">
      <c r="H56276" t="str">
        <f t="shared" si="928"/>
        <v/>
      </c>
    </row>
    <row r="56277" spans="8:8" x14ac:dyDescent="0.3">
      <c r="H56277" t="str">
        <f t="shared" si="928"/>
        <v/>
      </c>
    </row>
    <row r="56278" spans="8:8" x14ac:dyDescent="0.3">
      <c r="H56278" t="str">
        <f t="shared" si="928"/>
        <v/>
      </c>
    </row>
    <row r="56279" spans="8:8" x14ac:dyDescent="0.3">
      <c r="H56279" t="str">
        <f t="shared" ref="H56279:H56342" si="929">IF(B56279="","",$C$12)</f>
        <v/>
      </c>
    </row>
    <row r="56280" spans="8:8" x14ac:dyDescent="0.3">
      <c r="H56280" t="str">
        <f t="shared" si="929"/>
        <v/>
      </c>
    </row>
    <row r="56281" spans="8:8" x14ac:dyDescent="0.3">
      <c r="H56281" t="str">
        <f t="shared" si="929"/>
        <v/>
      </c>
    </row>
    <row r="56282" spans="8:8" x14ac:dyDescent="0.3">
      <c r="H56282" t="str">
        <f t="shared" si="929"/>
        <v/>
      </c>
    </row>
    <row r="56283" spans="8:8" x14ac:dyDescent="0.3">
      <c r="H56283" t="str">
        <f t="shared" si="929"/>
        <v/>
      </c>
    </row>
    <row r="56284" spans="8:8" x14ac:dyDescent="0.3">
      <c r="H56284" t="str">
        <f t="shared" si="929"/>
        <v/>
      </c>
    </row>
    <row r="56285" spans="8:8" x14ac:dyDescent="0.3">
      <c r="H56285" t="str">
        <f t="shared" si="929"/>
        <v/>
      </c>
    </row>
    <row r="56286" spans="8:8" x14ac:dyDescent="0.3">
      <c r="H56286" t="str">
        <f t="shared" si="929"/>
        <v/>
      </c>
    </row>
    <row r="56287" spans="8:8" x14ac:dyDescent="0.3">
      <c r="H56287" t="str">
        <f t="shared" si="929"/>
        <v/>
      </c>
    </row>
    <row r="56288" spans="8:8" x14ac:dyDescent="0.3">
      <c r="H56288" t="str">
        <f t="shared" si="929"/>
        <v/>
      </c>
    </row>
    <row r="56289" spans="8:8" x14ac:dyDescent="0.3">
      <c r="H56289" t="str">
        <f t="shared" si="929"/>
        <v/>
      </c>
    </row>
    <row r="56290" spans="8:8" x14ac:dyDescent="0.3">
      <c r="H56290" t="str">
        <f t="shared" si="929"/>
        <v/>
      </c>
    </row>
    <row r="56291" spans="8:8" x14ac:dyDescent="0.3">
      <c r="H56291" t="str">
        <f t="shared" si="929"/>
        <v/>
      </c>
    </row>
    <row r="56292" spans="8:8" x14ac:dyDescent="0.3">
      <c r="H56292" t="str">
        <f t="shared" si="929"/>
        <v/>
      </c>
    </row>
    <row r="56293" spans="8:8" x14ac:dyDescent="0.3">
      <c r="H56293" t="str">
        <f t="shared" si="929"/>
        <v/>
      </c>
    </row>
    <row r="56294" spans="8:8" x14ac:dyDescent="0.3">
      <c r="H56294" t="str">
        <f t="shared" si="929"/>
        <v/>
      </c>
    </row>
    <row r="56295" spans="8:8" x14ac:dyDescent="0.3">
      <c r="H56295" t="str">
        <f t="shared" si="929"/>
        <v/>
      </c>
    </row>
    <row r="56296" spans="8:8" x14ac:dyDescent="0.3">
      <c r="H56296" t="str">
        <f t="shared" si="929"/>
        <v/>
      </c>
    </row>
    <row r="56297" spans="8:8" x14ac:dyDescent="0.3">
      <c r="H56297" t="str">
        <f t="shared" si="929"/>
        <v/>
      </c>
    </row>
    <row r="56298" spans="8:8" x14ac:dyDescent="0.3">
      <c r="H56298" t="str">
        <f t="shared" si="929"/>
        <v/>
      </c>
    </row>
    <row r="56299" spans="8:8" x14ac:dyDescent="0.3">
      <c r="H56299" t="str">
        <f t="shared" si="929"/>
        <v/>
      </c>
    </row>
    <row r="56300" spans="8:8" x14ac:dyDescent="0.3">
      <c r="H56300" t="str">
        <f t="shared" si="929"/>
        <v/>
      </c>
    </row>
    <row r="56301" spans="8:8" x14ac:dyDescent="0.3">
      <c r="H56301" t="str">
        <f t="shared" si="929"/>
        <v/>
      </c>
    </row>
    <row r="56302" spans="8:8" x14ac:dyDescent="0.3">
      <c r="H56302" t="str">
        <f t="shared" si="929"/>
        <v/>
      </c>
    </row>
    <row r="56303" spans="8:8" x14ac:dyDescent="0.3">
      <c r="H56303" t="str">
        <f t="shared" si="929"/>
        <v/>
      </c>
    </row>
    <row r="56304" spans="8:8" x14ac:dyDescent="0.3">
      <c r="H56304" t="str">
        <f t="shared" si="929"/>
        <v/>
      </c>
    </row>
    <row r="56305" spans="8:8" x14ac:dyDescent="0.3">
      <c r="H56305" t="str">
        <f t="shared" si="929"/>
        <v/>
      </c>
    </row>
    <row r="56306" spans="8:8" x14ac:dyDescent="0.3">
      <c r="H56306" t="str">
        <f t="shared" si="929"/>
        <v/>
      </c>
    </row>
    <row r="56307" spans="8:8" x14ac:dyDescent="0.3">
      <c r="H56307" t="str">
        <f t="shared" si="929"/>
        <v/>
      </c>
    </row>
    <row r="56308" spans="8:8" x14ac:dyDescent="0.3">
      <c r="H56308" t="str">
        <f t="shared" si="929"/>
        <v/>
      </c>
    </row>
    <row r="56309" spans="8:8" x14ac:dyDescent="0.3">
      <c r="H56309" t="str">
        <f t="shared" si="929"/>
        <v/>
      </c>
    </row>
    <row r="56310" spans="8:8" x14ac:dyDescent="0.3">
      <c r="H56310" t="str">
        <f t="shared" si="929"/>
        <v/>
      </c>
    </row>
    <row r="56311" spans="8:8" x14ac:dyDescent="0.3">
      <c r="H56311" t="str">
        <f t="shared" si="929"/>
        <v/>
      </c>
    </row>
    <row r="56312" spans="8:8" x14ac:dyDescent="0.3">
      <c r="H56312" t="str">
        <f t="shared" si="929"/>
        <v/>
      </c>
    </row>
    <row r="56313" spans="8:8" x14ac:dyDescent="0.3">
      <c r="H56313" t="str">
        <f t="shared" si="929"/>
        <v/>
      </c>
    </row>
    <row r="56314" spans="8:8" x14ac:dyDescent="0.3">
      <c r="H56314" t="str">
        <f t="shared" si="929"/>
        <v/>
      </c>
    </row>
    <row r="56315" spans="8:8" x14ac:dyDescent="0.3">
      <c r="H56315" t="str">
        <f t="shared" si="929"/>
        <v/>
      </c>
    </row>
    <row r="56316" spans="8:8" x14ac:dyDescent="0.3">
      <c r="H56316" t="str">
        <f t="shared" si="929"/>
        <v/>
      </c>
    </row>
    <row r="56317" spans="8:8" x14ac:dyDescent="0.3">
      <c r="H56317" t="str">
        <f t="shared" si="929"/>
        <v/>
      </c>
    </row>
    <row r="56318" spans="8:8" x14ac:dyDescent="0.3">
      <c r="H56318" t="str">
        <f t="shared" si="929"/>
        <v/>
      </c>
    </row>
    <row r="56319" spans="8:8" x14ac:dyDescent="0.3">
      <c r="H56319" t="str">
        <f t="shared" si="929"/>
        <v/>
      </c>
    </row>
    <row r="56320" spans="8:8" x14ac:dyDescent="0.3">
      <c r="H56320" t="str">
        <f t="shared" si="929"/>
        <v/>
      </c>
    </row>
    <row r="56321" spans="8:8" x14ac:dyDescent="0.3">
      <c r="H56321" t="str">
        <f t="shared" si="929"/>
        <v/>
      </c>
    </row>
    <row r="56322" spans="8:8" x14ac:dyDescent="0.3">
      <c r="H56322" t="str">
        <f t="shared" si="929"/>
        <v/>
      </c>
    </row>
    <row r="56323" spans="8:8" x14ac:dyDescent="0.3">
      <c r="H56323" t="str">
        <f t="shared" si="929"/>
        <v/>
      </c>
    </row>
    <row r="56324" spans="8:8" x14ac:dyDescent="0.3">
      <c r="H56324" t="str">
        <f t="shared" si="929"/>
        <v/>
      </c>
    </row>
    <row r="56325" spans="8:8" x14ac:dyDescent="0.3">
      <c r="H56325" t="str">
        <f t="shared" si="929"/>
        <v/>
      </c>
    </row>
    <row r="56326" spans="8:8" x14ac:dyDescent="0.3">
      <c r="H56326" t="str">
        <f t="shared" si="929"/>
        <v/>
      </c>
    </row>
    <row r="56327" spans="8:8" x14ac:dyDescent="0.3">
      <c r="H56327" t="str">
        <f t="shared" si="929"/>
        <v/>
      </c>
    </row>
    <row r="56328" spans="8:8" x14ac:dyDescent="0.3">
      <c r="H56328" t="str">
        <f t="shared" si="929"/>
        <v/>
      </c>
    </row>
    <row r="56329" spans="8:8" x14ac:dyDescent="0.3">
      <c r="H56329" t="str">
        <f t="shared" si="929"/>
        <v/>
      </c>
    </row>
    <row r="56330" spans="8:8" x14ac:dyDescent="0.3">
      <c r="H56330" t="str">
        <f t="shared" si="929"/>
        <v/>
      </c>
    </row>
    <row r="56331" spans="8:8" x14ac:dyDescent="0.3">
      <c r="H56331" t="str">
        <f t="shared" si="929"/>
        <v/>
      </c>
    </row>
    <row r="56332" spans="8:8" x14ac:dyDescent="0.3">
      <c r="H56332" t="str">
        <f t="shared" si="929"/>
        <v/>
      </c>
    </row>
    <row r="56333" spans="8:8" x14ac:dyDescent="0.3">
      <c r="H56333" t="str">
        <f t="shared" si="929"/>
        <v/>
      </c>
    </row>
    <row r="56334" spans="8:8" x14ac:dyDescent="0.3">
      <c r="H56334" t="str">
        <f t="shared" si="929"/>
        <v/>
      </c>
    </row>
    <row r="56335" spans="8:8" x14ac:dyDescent="0.3">
      <c r="H56335" t="str">
        <f t="shared" si="929"/>
        <v/>
      </c>
    </row>
    <row r="56336" spans="8:8" x14ac:dyDescent="0.3">
      <c r="H56336" t="str">
        <f t="shared" si="929"/>
        <v/>
      </c>
    </row>
    <row r="56337" spans="8:8" x14ac:dyDescent="0.3">
      <c r="H56337" t="str">
        <f t="shared" si="929"/>
        <v/>
      </c>
    </row>
    <row r="56338" spans="8:8" x14ac:dyDescent="0.3">
      <c r="H56338" t="str">
        <f t="shared" si="929"/>
        <v/>
      </c>
    </row>
    <row r="56339" spans="8:8" x14ac:dyDescent="0.3">
      <c r="H56339" t="str">
        <f t="shared" si="929"/>
        <v/>
      </c>
    </row>
    <row r="56340" spans="8:8" x14ac:dyDescent="0.3">
      <c r="H56340" t="str">
        <f t="shared" si="929"/>
        <v/>
      </c>
    </row>
    <row r="56341" spans="8:8" x14ac:dyDescent="0.3">
      <c r="H56341" t="str">
        <f t="shared" si="929"/>
        <v/>
      </c>
    </row>
    <row r="56342" spans="8:8" x14ac:dyDescent="0.3">
      <c r="H56342" t="str">
        <f t="shared" si="929"/>
        <v/>
      </c>
    </row>
    <row r="56343" spans="8:8" x14ac:dyDescent="0.3">
      <c r="H56343" t="str">
        <f t="shared" ref="H56343:H56406" si="930">IF(B56343="","",$C$12)</f>
        <v/>
      </c>
    </row>
    <row r="56344" spans="8:8" x14ac:dyDescent="0.3">
      <c r="H56344" t="str">
        <f t="shared" si="930"/>
        <v/>
      </c>
    </row>
    <row r="56345" spans="8:8" x14ac:dyDescent="0.3">
      <c r="H56345" t="str">
        <f t="shared" si="930"/>
        <v/>
      </c>
    </row>
    <row r="56346" spans="8:8" x14ac:dyDescent="0.3">
      <c r="H56346" t="str">
        <f t="shared" si="930"/>
        <v/>
      </c>
    </row>
    <row r="56347" spans="8:8" x14ac:dyDescent="0.3">
      <c r="H56347" t="str">
        <f t="shared" si="930"/>
        <v/>
      </c>
    </row>
    <row r="56348" spans="8:8" x14ac:dyDescent="0.3">
      <c r="H56348" t="str">
        <f t="shared" si="930"/>
        <v/>
      </c>
    </row>
    <row r="56349" spans="8:8" x14ac:dyDescent="0.3">
      <c r="H56349" t="str">
        <f t="shared" si="930"/>
        <v/>
      </c>
    </row>
    <row r="56350" spans="8:8" x14ac:dyDescent="0.3">
      <c r="H56350" t="str">
        <f t="shared" si="930"/>
        <v/>
      </c>
    </row>
    <row r="56351" spans="8:8" x14ac:dyDescent="0.3">
      <c r="H56351" t="str">
        <f t="shared" si="930"/>
        <v/>
      </c>
    </row>
    <row r="56352" spans="8:8" x14ac:dyDescent="0.3">
      <c r="H56352" t="str">
        <f t="shared" si="930"/>
        <v/>
      </c>
    </row>
    <row r="56353" spans="8:8" x14ac:dyDescent="0.3">
      <c r="H56353" t="str">
        <f t="shared" si="930"/>
        <v/>
      </c>
    </row>
    <row r="56354" spans="8:8" x14ac:dyDescent="0.3">
      <c r="H56354" t="str">
        <f t="shared" si="930"/>
        <v/>
      </c>
    </row>
    <row r="56355" spans="8:8" x14ac:dyDescent="0.3">
      <c r="H56355" t="str">
        <f t="shared" si="930"/>
        <v/>
      </c>
    </row>
    <row r="56356" spans="8:8" x14ac:dyDescent="0.3">
      <c r="H56356" t="str">
        <f t="shared" si="930"/>
        <v/>
      </c>
    </row>
    <row r="56357" spans="8:8" x14ac:dyDescent="0.3">
      <c r="H56357" t="str">
        <f t="shared" si="930"/>
        <v/>
      </c>
    </row>
    <row r="56358" spans="8:8" x14ac:dyDescent="0.3">
      <c r="H56358" t="str">
        <f t="shared" si="930"/>
        <v/>
      </c>
    </row>
    <row r="56359" spans="8:8" x14ac:dyDescent="0.3">
      <c r="H56359" t="str">
        <f t="shared" si="930"/>
        <v/>
      </c>
    </row>
    <row r="56360" spans="8:8" x14ac:dyDescent="0.3">
      <c r="H56360" t="str">
        <f t="shared" si="930"/>
        <v/>
      </c>
    </row>
    <row r="56361" spans="8:8" x14ac:dyDescent="0.3">
      <c r="H56361" t="str">
        <f t="shared" si="930"/>
        <v/>
      </c>
    </row>
    <row r="56362" spans="8:8" x14ac:dyDescent="0.3">
      <c r="H56362" t="str">
        <f t="shared" si="930"/>
        <v/>
      </c>
    </row>
    <row r="56363" spans="8:8" x14ac:dyDescent="0.3">
      <c r="H56363" t="str">
        <f t="shared" si="930"/>
        <v/>
      </c>
    </row>
    <row r="56364" spans="8:8" x14ac:dyDescent="0.3">
      <c r="H56364" t="str">
        <f t="shared" si="930"/>
        <v/>
      </c>
    </row>
    <row r="56365" spans="8:8" x14ac:dyDescent="0.3">
      <c r="H56365" t="str">
        <f t="shared" si="930"/>
        <v/>
      </c>
    </row>
    <row r="56366" spans="8:8" x14ac:dyDescent="0.3">
      <c r="H56366" t="str">
        <f t="shared" si="930"/>
        <v/>
      </c>
    </row>
    <row r="56367" spans="8:8" x14ac:dyDescent="0.3">
      <c r="H56367" t="str">
        <f t="shared" si="930"/>
        <v/>
      </c>
    </row>
    <row r="56368" spans="8:8" x14ac:dyDescent="0.3">
      <c r="H56368" t="str">
        <f t="shared" si="930"/>
        <v/>
      </c>
    </row>
    <row r="56369" spans="8:8" x14ac:dyDescent="0.3">
      <c r="H56369" t="str">
        <f t="shared" si="930"/>
        <v/>
      </c>
    </row>
    <row r="56370" spans="8:8" x14ac:dyDescent="0.3">
      <c r="H56370" t="str">
        <f t="shared" si="930"/>
        <v/>
      </c>
    </row>
    <row r="56371" spans="8:8" x14ac:dyDescent="0.3">
      <c r="H56371" t="str">
        <f t="shared" si="930"/>
        <v/>
      </c>
    </row>
    <row r="56372" spans="8:8" x14ac:dyDescent="0.3">
      <c r="H56372" t="str">
        <f t="shared" si="930"/>
        <v/>
      </c>
    </row>
    <row r="56373" spans="8:8" x14ac:dyDescent="0.3">
      <c r="H56373" t="str">
        <f t="shared" si="930"/>
        <v/>
      </c>
    </row>
    <row r="56374" spans="8:8" x14ac:dyDescent="0.3">
      <c r="H56374" t="str">
        <f t="shared" si="930"/>
        <v/>
      </c>
    </row>
    <row r="56375" spans="8:8" x14ac:dyDescent="0.3">
      <c r="H56375" t="str">
        <f t="shared" si="930"/>
        <v/>
      </c>
    </row>
    <row r="56376" spans="8:8" x14ac:dyDescent="0.3">
      <c r="H56376" t="str">
        <f t="shared" si="930"/>
        <v/>
      </c>
    </row>
    <row r="56377" spans="8:8" x14ac:dyDescent="0.3">
      <c r="H56377" t="str">
        <f t="shared" si="930"/>
        <v/>
      </c>
    </row>
    <row r="56378" spans="8:8" x14ac:dyDescent="0.3">
      <c r="H56378" t="str">
        <f t="shared" si="930"/>
        <v/>
      </c>
    </row>
    <row r="56379" spans="8:8" x14ac:dyDescent="0.3">
      <c r="H56379" t="str">
        <f t="shared" si="930"/>
        <v/>
      </c>
    </row>
    <row r="56380" spans="8:8" x14ac:dyDescent="0.3">
      <c r="H56380" t="str">
        <f t="shared" si="930"/>
        <v/>
      </c>
    </row>
    <row r="56381" spans="8:8" x14ac:dyDescent="0.3">
      <c r="H56381" t="str">
        <f t="shared" si="930"/>
        <v/>
      </c>
    </row>
    <row r="56382" spans="8:8" x14ac:dyDescent="0.3">
      <c r="H56382" t="str">
        <f t="shared" si="930"/>
        <v/>
      </c>
    </row>
    <row r="56383" spans="8:8" x14ac:dyDescent="0.3">
      <c r="H56383" t="str">
        <f t="shared" si="930"/>
        <v/>
      </c>
    </row>
    <row r="56384" spans="8:8" x14ac:dyDescent="0.3">
      <c r="H56384" t="str">
        <f t="shared" si="930"/>
        <v/>
      </c>
    </row>
    <row r="56385" spans="8:8" x14ac:dyDescent="0.3">
      <c r="H56385" t="str">
        <f t="shared" si="930"/>
        <v/>
      </c>
    </row>
    <row r="56386" spans="8:8" x14ac:dyDescent="0.3">
      <c r="H56386" t="str">
        <f t="shared" si="930"/>
        <v/>
      </c>
    </row>
    <row r="56387" spans="8:8" x14ac:dyDescent="0.3">
      <c r="H56387" t="str">
        <f t="shared" si="930"/>
        <v/>
      </c>
    </row>
    <row r="56388" spans="8:8" x14ac:dyDescent="0.3">
      <c r="H56388" t="str">
        <f t="shared" si="930"/>
        <v/>
      </c>
    </row>
    <row r="56389" spans="8:8" x14ac:dyDescent="0.3">
      <c r="H56389" t="str">
        <f t="shared" si="930"/>
        <v/>
      </c>
    </row>
    <row r="56390" spans="8:8" x14ac:dyDescent="0.3">
      <c r="H56390" t="str">
        <f t="shared" si="930"/>
        <v/>
      </c>
    </row>
    <row r="56391" spans="8:8" x14ac:dyDescent="0.3">
      <c r="H56391" t="str">
        <f t="shared" si="930"/>
        <v/>
      </c>
    </row>
    <row r="56392" spans="8:8" x14ac:dyDescent="0.3">
      <c r="H56392" t="str">
        <f t="shared" si="930"/>
        <v/>
      </c>
    </row>
    <row r="56393" spans="8:8" x14ac:dyDescent="0.3">
      <c r="H56393" t="str">
        <f t="shared" si="930"/>
        <v/>
      </c>
    </row>
    <row r="56394" spans="8:8" x14ac:dyDescent="0.3">
      <c r="H56394" t="str">
        <f t="shared" si="930"/>
        <v/>
      </c>
    </row>
    <row r="56395" spans="8:8" x14ac:dyDescent="0.3">
      <c r="H56395" t="str">
        <f t="shared" si="930"/>
        <v/>
      </c>
    </row>
    <row r="56396" spans="8:8" x14ac:dyDescent="0.3">
      <c r="H56396" t="str">
        <f t="shared" si="930"/>
        <v/>
      </c>
    </row>
    <row r="56397" spans="8:8" x14ac:dyDescent="0.3">
      <c r="H56397" t="str">
        <f t="shared" si="930"/>
        <v/>
      </c>
    </row>
    <row r="56398" spans="8:8" x14ac:dyDescent="0.3">
      <c r="H56398" t="str">
        <f t="shared" si="930"/>
        <v/>
      </c>
    </row>
    <row r="56399" spans="8:8" x14ac:dyDescent="0.3">
      <c r="H56399" t="str">
        <f t="shared" si="930"/>
        <v/>
      </c>
    </row>
    <row r="56400" spans="8:8" x14ac:dyDescent="0.3">
      <c r="H56400" t="str">
        <f t="shared" si="930"/>
        <v/>
      </c>
    </row>
    <row r="56401" spans="8:8" x14ac:dyDescent="0.3">
      <c r="H56401" t="str">
        <f t="shared" si="930"/>
        <v/>
      </c>
    </row>
    <row r="56402" spans="8:8" x14ac:dyDescent="0.3">
      <c r="H56402" t="str">
        <f t="shared" si="930"/>
        <v/>
      </c>
    </row>
    <row r="56403" spans="8:8" x14ac:dyDescent="0.3">
      <c r="H56403" t="str">
        <f t="shared" si="930"/>
        <v/>
      </c>
    </row>
    <row r="56404" spans="8:8" x14ac:dyDescent="0.3">
      <c r="H56404" t="str">
        <f t="shared" si="930"/>
        <v/>
      </c>
    </row>
    <row r="56405" spans="8:8" x14ac:dyDescent="0.3">
      <c r="H56405" t="str">
        <f t="shared" si="930"/>
        <v/>
      </c>
    </row>
    <row r="56406" spans="8:8" x14ac:dyDescent="0.3">
      <c r="H56406" t="str">
        <f t="shared" si="930"/>
        <v/>
      </c>
    </row>
    <row r="56407" spans="8:8" x14ac:dyDescent="0.3">
      <c r="H56407" t="str">
        <f t="shared" ref="H56407:H56470" si="931">IF(B56407="","",$C$12)</f>
        <v/>
      </c>
    </row>
    <row r="56408" spans="8:8" x14ac:dyDescent="0.3">
      <c r="H56408" t="str">
        <f t="shared" si="931"/>
        <v/>
      </c>
    </row>
    <row r="56409" spans="8:8" x14ac:dyDescent="0.3">
      <c r="H56409" t="str">
        <f t="shared" si="931"/>
        <v/>
      </c>
    </row>
    <row r="56410" spans="8:8" x14ac:dyDescent="0.3">
      <c r="H56410" t="str">
        <f t="shared" si="931"/>
        <v/>
      </c>
    </row>
    <row r="56411" spans="8:8" x14ac:dyDescent="0.3">
      <c r="H56411" t="str">
        <f t="shared" si="931"/>
        <v/>
      </c>
    </row>
    <row r="56412" spans="8:8" x14ac:dyDescent="0.3">
      <c r="H56412" t="str">
        <f t="shared" si="931"/>
        <v/>
      </c>
    </row>
    <row r="56413" spans="8:8" x14ac:dyDescent="0.3">
      <c r="H56413" t="str">
        <f t="shared" si="931"/>
        <v/>
      </c>
    </row>
    <row r="56414" spans="8:8" x14ac:dyDescent="0.3">
      <c r="H56414" t="str">
        <f t="shared" si="931"/>
        <v/>
      </c>
    </row>
    <row r="56415" spans="8:8" x14ac:dyDescent="0.3">
      <c r="H56415" t="str">
        <f t="shared" si="931"/>
        <v/>
      </c>
    </row>
    <row r="56416" spans="8:8" x14ac:dyDescent="0.3">
      <c r="H56416" t="str">
        <f t="shared" si="931"/>
        <v/>
      </c>
    </row>
    <row r="56417" spans="8:8" x14ac:dyDescent="0.3">
      <c r="H56417" t="str">
        <f t="shared" si="931"/>
        <v/>
      </c>
    </row>
    <row r="56418" spans="8:8" x14ac:dyDescent="0.3">
      <c r="H56418" t="str">
        <f t="shared" si="931"/>
        <v/>
      </c>
    </row>
    <row r="56419" spans="8:8" x14ac:dyDescent="0.3">
      <c r="H56419" t="str">
        <f t="shared" si="931"/>
        <v/>
      </c>
    </row>
    <row r="56420" spans="8:8" x14ac:dyDescent="0.3">
      <c r="H56420" t="str">
        <f t="shared" si="931"/>
        <v/>
      </c>
    </row>
    <row r="56421" spans="8:8" x14ac:dyDescent="0.3">
      <c r="H56421" t="str">
        <f t="shared" si="931"/>
        <v/>
      </c>
    </row>
    <row r="56422" spans="8:8" x14ac:dyDescent="0.3">
      <c r="H56422" t="str">
        <f t="shared" si="931"/>
        <v/>
      </c>
    </row>
    <row r="56423" spans="8:8" x14ac:dyDescent="0.3">
      <c r="H56423" t="str">
        <f t="shared" si="931"/>
        <v/>
      </c>
    </row>
    <row r="56424" spans="8:8" x14ac:dyDescent="0.3">
      <c r="H56424" t="str">
        <f t="shared" si="931"/>
        <v/>
      </c>
    </row>
    <row r="56425" spans="8:8" x14ac:dyDescent="0.3">
      <c r="H56425" t="str">
        <f t="shared" si="931"/>
        <v/>
      </c>
    </row>
    <row r="56426" spans="8:8" x14ac:dyDescent="0.3">
      <c r="H56426" t="str">
        <f t="shared" si="931"/>
        <v/>
      </c>
    </row>
    <row r="56427" spans="8:8" x14ac:dyDescent="0.3">
      <c r="H56427" t="str">
        <f t="shared" si="931"/>
        <v/>
      </c>
    </row>
    <row r="56428" spans="8:8" x14ac:dyDescent="0.3">
      <c r="H56428" t="str">
        <f t="shared" si="931"/>
        <v/>
      </c>
    </row>
    <row r="56429" spans="8:8" x14ac:dyDescent="0.3">
      <c r="H56429" t="str">
        <f t="shared" si="931"/>
        <v/>
      </c>
    </row>
    <row r="56430" spans="8:8" x14ac:dyDescent="0.3">
      <c r="H56430" t="str">
        <f t="shared" si="931"/>
        <v/>
      </c>
    </row>
    <row r="56431" spans="8:8" x14ac:dyDescent="0.3">
      <c r="H56431" t="str">
        <f t="shared" si="931"/>
        <v/>
      </c>
    </row>
    <row r="56432" spans="8:8" x14ac:dyDescent="0.3">
      <c r="H56432" t="str">
        <f t="shared" si="931"/>
        <v/>
      </c>
    </row>
    <row r="56433" spans="8:8" x14ac:dyDescent="0.3">
      <c r="H56433" t="str">
        <f t="shared" si="931"/>
        <v/>
      </c>
    </row>
    <row r="56434" spans="8:8" x14ac:dyDescent="0.3">
      <c r="H56434" t="str">
        <f t="shared" si="931"/>
        <v/>
      </c>
    </row>
    <row r="56435" spans="8:8" x14ac:dyDescent="0.3">
      <c r="H56435" t="str">
        <f t="shared" si="931"/>
        <v/>
      </c>
    </row>
    <row r="56436" spans="8:8" x14ac:dyDescent="0.3">
      <c r="H56436" t="str">
        <f t="shared" si="931"/>
        <v/>
      </c>
    </row>
    <row r="56437" spans="8:8" x14ac:dyDescent="0.3">
      <c r="H56437" t="str">
        <f t="shared" si="931"/>
        <v/>
      </c>
    </row>
    <row r="56438" spans="8:8" x14ac:dyDescent="0.3">
      <c r="H56438" t="str">
        <f t="shared" si="931"/>
        <v/>
      </c>
    </row>
    <row r="56439" spans="8:8" x14ac:dyDescent="0.3">
      <c r="H56439" t="str">
        <f t="shared" si="931"/>
        <v/>
      </c>
    </row>
    <row r="56440" spans="8:8" x14ac:dyDescent="0.3">
      <c r="H56440" t="str">
        <f t="shared" si="931"/>
        <v/>
      </c>
    </row>
    <row r="56441" spans="8:8" x14ac:dyDescent="0.3">
      <c r="H56441" t="str">
        <f t="shared" si="931"/>
        <v/>
      </c>
    </row>
    <row r="56442" spans="8:8" x14ac:dyDescent="0.3">
      <c r="H56442" t="str">
        <f t="shared" si="931"/>
        <v/>
      </c>
    </row>
    <row r="56443" spans="8:8" x14ac:dyDescent="0.3">
      <c r="H56443" t="str">
        <f t="shared" si="931"/>
        <v/>
      </c>
    </row>
    <row r="56444" spans="8:8" x14ac:dyDescent="0.3">
      <c r="H56444" t="str">
        <f t="shared" si="931"/>
        <v/>
      </c>
    </row>
    <row r="56445" spans="8:8" x14ac:dyDescent="0.3">
      <c r="H56445" t="str">
        <f t="shared" si="931"/>
        <v/>
      </c>
    </row>
    <row r="56446" spans="8:8" x14ac:dyDescent="0.3">
      <c r="H56446" t="str">
        <f t="shared" si="931"/>
        <v/>
      </c>
    </row>
    <row r="56447" spans="8:8" x14ac:dyDescent="0.3">
      <c r="H56447" t="str">
        <f t="shared" si="931"/>
        <v/>
      </c>
    </row>
    <row r="56448" spans="8:8" x14ac:dyDescent="0.3">
      <c r="H56448" t="str">
        <f t="shared" si="931"/>
        <v/>
      </c>
    </row>
    <row r="56449" spans="8:8" x14ac:dyDescent="0.3">
      <c r="H56449" t="str">
        <f t="shared" si="931"/>
        <v/>
      </c>
    </row>
    <row r="56450" spans="8:8" x14ac:dyDescent="0.3">
      <c r="H56450" t="str">
        <f t="shared" si="931"/>
        <v/>
      </c>
    </row>
    <row r="56451" spans="8:8" x14ac:dyDescent="0.3">
      <c r="H56451" t="str">
        <f t="shared" si="931"/>
        <v/>
      </c>
    </row>
    <row r="56452" spans="8:8" x14ac:dyDescent="0.3">
      <c r="H56452" t="str">
        <f t="shared" si="931"/>
        <v/>
      </c>
    </row>
    <row r="56453" spans="8:8" x14ac:dyDescent="0.3">
      <c r="H56453" t="str">
        <f t="shared" si="931"/>
        <v/>
      </c>
    </row>
    <row r="56454" spans="8:8" x14ac:dyDescent="0.3">
      <c r="H56454" t="str">
        <f t="shared" si="931"/>
        <v/>
      </c>
    </row>
    <row r="56455" spans="8:8" x14ac:dyDescent="0.3">
      <c r="H56455" t="str">
        <f t="shared" si="931"/>
        <v/>
      </c>
    </row>
    <row r="56456" spans="8:8" x14ac:dyDescent="0.3">
      <c r="H56456" t="str">
        <f t="shared" si="931"/>
        <v/>
      </c>
    </row>
    <row r="56457" spans="8:8" x14ac:dyDescent="0.3">
      <c r="H56457" t="str">
        <f t="shared" si="931"/>
        <v/>
      </c>
    </row>
    <row r="56458" spans="8:8" x14ac:dyDescent="0.3">
      <c r="H56458" t="str">
        <f t="shared" si="931"/>
        <v/>
      </c>
    </row>
    <row r="56459" spans="8:8" x14ac:dyDescent="0.3">
      <c r="H56459" t="str">
        <f t="shared" si="931"/>
        <v/>
      </c>
    </row>
    <row r="56460" spans="8:8" x14ac:dyDescent="0.3">
      <c r="H56460" t="str">
        <f t="shared" si="931"/>
        <v/>
      </c>
    </row>
    <row r="56461" spans="8:8" x14ac:dyDescent="0.3">
      <c r="H56461" t="str">
        <f t="shared" si="931"/>
        <v/>
      </c>
    </row>
    <row r="56462" spans="8:8" x14ac:dyDescent="0.3">
      <c r="H56462" t="str">
        <f t="shared" si="931"/>
        <v/>
      </c>
    </row>
    <row r="56463" spans="8:8" x14ac:dyDescent="0.3">
      <c r="H56463" t="str">
        <f t="shared" si="931"/>
        <v/>
      </c>
    </row>
    <row r="56464" spans="8:8" x14ac:dyDescent="0.3">
      <c r="H56464" t="str">
        <f t="shared" si="931"/>
        <v/>
      </c>
    </row>
    <row r="56465" spans="8:8" x14ac:dyDescent="0.3">
      <c r="H56465" t="str">
        <f t="shared" si="931"/>
        <v/>
      </c>
    </row>
    <row r="56466" spans="8:8" x14ac:dyDescent="0.3">
      <c r="H56466" t="str">
        <f t="shared" si="931"/>
        <v/>
      </c>
    </row>
    <row r="56467" spans="8:8" x14ac:dyDescent="0.3">
      <c r="H56467" t="str">
        <f t="shared" si="931"/>
        <v/>
      </c>
    </row>
    <row r="56468" spans="8:8" x14ac:dyDescent="0.3">
      <c r="H56468" t="str">
        <f t="shared" si="931"/>
        <v/>
      </c>
    </row>
    <row r="56469" spans="8:8" x14ac:dyDescent="0.3">
      <c r="H56469" t="str">
        <f t="shared" si="931"/>
        <v/>
      </c>
    </row>
    <row r="56470" spans="8:8" x14ac:dyDescent="0.3">
      <c r="H56470" t="str">
        <f t="shared" si="931"/>
        <v/>
      </c>
    </row>
    <row r="56471" spans="8:8" x14ac:dyDescent="0.3">
      <c r="H56471" t="str">
        <f t="shared" ref="H56471:H56534" si="932">IF(B56471="","",$C$12)</f>
        <v/>
      </c>
    </row>
    <row r="56472" spans="8:8" x14ac:dyDescent="0.3">
      <c r="H56472" t="str">
        <f t="shared" si="932"/>
        <v/>
      </c>
    </row>
    <row r="56473" spans="8:8" x14ac:dyDescent="0.3">
      <c r="H56473" t="str">
        <f t="shared" si="932"/>
        <v/>
      </c>
    </row>
    <row r="56474" spans="8:8" x14ac:dyDescent="0.3">
      <c r="H56474" t="str">
        <f t="shared" si="932"/>
        <v/>
      </c>
    </row>
    <row r="56475" spans="8:8" x14ac:dyDescent="0.3">
      <c r="H56475" t="str">
        <f t="shared" si="932"/>
        <v/>
      </c>
    </row>
    <row r="56476" spans="8:8" x14ac:dyDescent="0.3">
      <c r="H56476" t="str">
        <f t="shared" si="932"/>
        <v/>
      </c>
    </row>
    <row r="56477" spans="8:8" x14ac:dyDescent="0.3">
      <c r="H56477" t="str">
        <f t="shared" si="932"/>
        <v/>
      </c>
    </row>
    <row r="56478" spans="8:8" x14ac:dyDescent="0.3">
      <c r="H56478" t="str">
        <f t="shared" si="932"/>
        <v/>
      </c>
    </row>
    <row r="56479" spans="8:8" x14ac:dyDescent="0.3">
      <c r="H56479" t="str">
        <f t="shared" si="932"/>
        <v/>
      </c>
    </row>
    <row r="56480" spans="8:8" x14ac:dyDescent="0.3">
      <c r="H56480" t="str">
        <f t="shared" si="932"/>
        <v/>
      </c>
    </row>
    <row r="56481" spans="8:8" x14ac:dyDescent="0.3">
      <c r="H56481" t="str">
        <f t="shared" si="932"/>
        <v/>
      </c>
    </row>
    <row r="56482" spans="8:8" x14ac:dyDescent="0.3">
      <c r="H56482" t="str">
        <f t="shared" si="932"/>
        <v/>
      </c>
    </row>
    <row r="56483" spans="8:8" x14ac:dyDescent="0.3">
      <c r="H56483" t="str">
        <f t="shared" si="932"/>
        <v/>
      </c>
    </row>
    <row r="56484" spans="8:8" x14ac:dyDescent="0.3">
      <c r="H56484" t="str">
        <f t="shared" si="932"/>
        <v/>
      </c>
    </row>
    <row r="56485" spans="8:8" x14ac:dyDescent="0.3">
      <c r="H56485" t="str">
        <f t="shared" si="932"/>
        <v/>
      </c>
    </row>
    <row r="56486" spans="8:8" x14ac:dyDescent="0.3">
      <c r="H56486" t="str">
        <f t="shared" si="932"/>
        <v/>
      </c>
    </row>
    <row r="56487" spans="8:8" x14ac:dyDescent="0.3">
      <c r="H56487" t="str">
        <f t="shared" si="932"/>
        <v/>
      </c>
    </row>
    <row r="56488" spans="8:8" x14ac:dyDescent="0.3">
      <c r="H56488" t="str">
        <f t="shared" si="932"/>
        <v/>
      </c>
    </row>
    <row r="56489" spans="8:8" x14ac:dyDescent="0.3">
      <c r="H56489" t="str">
        <f t="shared" si="932"/>
        <v/>
      </c>
    </row>
    <row r="56490" spans="8:8" x14ac:dyDescent="0.3">
      <c r="H56490" t="str">
        <f t="shared" si="932"/>
        <v/>
      </c>
    </row>
    <row r="56491" spans="8:8" x14ac:dyDescent="0.3">
      <c r="H56491" t="str">
        <f t="shared" si="932"/>
        <v/>
      </c>
    </row>
    <row r="56492" spans="8:8" x14ac:dyDescent="0.3">
      <c r="H56492" t="str">
        <f t="shared" si="932"/>
        <v/>
      </c>
    </row>
    <row r="56493" spans="8:8" x14ac:dyDescent="0.3">
      <c r="H56493" t="str">
        <f t="shared" si="932"/>
        <v/>
      </c>
    </row>
    <row r="56494" spans="8:8" x14ac:dyDescent="0.3">
      <c r="H56494" t="str">
        <f t="shared" si="932"/>
        <v/>
      </c>
    </row>
    <row r="56495" spans="8:8" x14ac:dyDescent="0.3">
      <c r="H56495" t="str">
        <f t="shared" si="932"/>
        <v/>
      </c>
    </row>
    <row r="56496" spans="8:8" x14ac:dyDescent="0.3">
      <c r="H56496" t="str">
        <f t="shared" si="932"/>
        <v/>
      </c>
    </row>
    <row r="56497" spans="8:8" x14ac:dyDescent="0.3">
      <c r="H56497" t="str">
        <f t="shared" si="932"/>
        <v/>
      </c>
    </row>
    <row r="56498" spans="8:8" x14ac:dyDescent="0.3">
      <c r="H56498" t="str">
        <f t="shared" si="932"/>
        <v/>
      </c>
    </row>
    <row r="56499" spans="8:8" x14ac:dyDescent="0.3">
      <c r="H56499" t="str">
        <f t="shared" si="932"/>
        <v/>
      </c>
    </row>
    <row r="56500" spans="8:8" x14ac:dyDescent="0.3">
      <c r="H56500" t="str">
        <f t="shared" si="932"/>
        <v/>
      </c>
    </row>
    <row r="56501" spans="8:8" x14ac:dyDescent="0.3">
      <c r="H56501" t="str">
        <f t="shared" si="932"/>
        <v/>
      </c>
    </row>
    <row r="56502" spans="8:8" x14ac:dyDescent="0.3">
      <c r="H56502" t="str">
        <f t="shared" si="932"/>
        <v/>
      </c>
    </row>
    <row r="56503" spans="8:8" x14ac:dyDescent="0.3">
      <c r="H56503" t="str">
        <f t="shared" si="932"/>
        <v/>
      </c>
    </row>
    <row r="56504" spans="8:8" x14ac:dyDescent="0.3">
      <c r="H56504" t="str">
        <f t="shared" si="932"/>
        <v/>
      </c>
    </row>
    <row r="56505" spans="8:8" x14ac:dyDescent="0.3">
      <c r="H56505" t="str">
        <f t="shared" si="932"/>
        <v/>
      </c>
    </row>
    <row r="56506" spans="8:8" x14ac:dyDescent="0.3">
      <c r="H56506" t="str">
        <f t="shared" si="932"/>
        <v/>
      </c>
    </row>
    <row r="56507" spans="8:8" x14ac:dyDescent="0.3">
      <c r="H56507" t="str">
        <f t="shared" si="932"/>
        <v/>
      </c>
    </row>
    <row r="56508" spans="8:8" x14ac:dyDescent="0.3">
      <c r="H56508" t="str">
        <f t="shared" si="932"/>
        <v/>
      </c>
    </row>
    <row r="56509" spans="8:8" x14ac:dyDescent="0.3">
      <c r="H56509" t="str">
        <f t="shared" si="932"/>
        <v/>
      </c>
    </row>
    <row r="56510" spans="8:8" x14ac:dyDescent="0.3">
      <c r="H56510" t="str">
        <f t="shared" si="932"/>
        <v/>
      </c>
    </row>
    <row r="56511" spans="8:8" x14ac:dyDescent="0.3">
      <c r="H56511" t="str">
        <f t="shared" si="932"/>
        <v/>
      </c>
    </row>
    <row r="56512" spans="8:8" x14ac:dyDescent="0.3">
      <c r="H56512" t="str">
        <f t="shared" si="932"/>
        <v/>
      </c>
    </row>
    <row r="56513" spans="8:8" x14ac:dyDescent="0.3">
      <c r="H56513" t="str">
        <f t="shared" si="932"/>
        <v/>
      </c>
    </row>
    <row r="56514" spans="8:8" x14ac:dyDescent="0.3">
      <c r="H56514" t="str">
        <f t="shared" si="932"/>
        <v/>
      </c>
    </row>
    <row r="56515" spans="8:8" x14ac:dyDescent="0.3">
      <c r="H56515" t="str">
        <f t="shared" si="932"/>
        <v/>
      </c>
    </row>
    <row r="56516" spans="8:8" x14ac:dyDescent="0.3">
      <c r="H56516" t="str">
        <f t="shared" si="932"/>
        <v/>
      </c>
    </row>
    <row r="56517" spans="8:8" x14ac:dyDescent="0.3">
      <c r="H56517" t="str">
        <f t="shared" si="932"/>
        <v/>
      </c>
    </row>
    <row r="56518" spans="8:8" x14ac:dyDescent="0.3">
      <c r="H56518" t="str">
        <f t="shared" si="932"/>
        <v/>
      </c>
    </row>
    <row r="56519" spans="8:8" x14ac:dyDescent="0.3">
      <c r="H56519" t="str">
        <f t="shared" si="932"/>
        <v/>
      </c>
    </row>
    <row r="56520" spans="8:8" x14ac:dyDescent="0.3">
      <c r="H56520" t="str">
        <f t="shared" si="932"/>
        <v/>
      </c>
    </row>
    <row r="56521" spans="8:8" x14ac:dyDescent="0.3">
      <c r="H56521" t="str">
        <f t="shared" si="932"/>
        <v/>
      </c>
    </row>
    <row r="56522" spans="8:8" x14ac:dyDescent="0.3">
      <c r="H56522" t="str">
        <f t="shared" si="932"/>
        <v/>
      </c>
    </row>
    <row r="56523" spans="8:8" x14ac:dyDescent="0.3">
      <c r="H56523" t="str">
        <f t="shared" si="932"/>
        <v/>
      </c>
    </row>
    <row r="56524" spans="8:8" x14ac:dyDescent="0.3">
      <c r="H56524" t="str">
        <f t="shared" si="932"/>
        <v/>
      </c>
    </row>
    <row r="56525" spans="8:8" x14ac:dyDescent="0.3">
      <c r="H56525" t="str">
        <f t="shared" si="932"/>
        <v/>
      </c>
    </row>
    <row r="56526" spans="8:8" x14ac:dyDescent="0.3">
      <c r="H56526" t="str">
        <f t="shared" si="932"/>
        <v/>
      </c>
    </row>
    <row r="56527" spans="8:8" x14ac:dyDescent="0.3">
      <c r="H56527" t="str">
        <f t="shared" si="932"/>
        <v/>
      </c>
    </row>
    <row r="56528" spans="8:8" x14ac:dyDescent="0.3">
      <c r="H56528" t="str">
        <f t="shared" si="932"/>
        <v/>
      </c>
    </row>
    <row r="56529" spans="8:8" x14ac:dyDescent="0.3">
      <c r="H56529" t="str">
        <f t="shared" si="932"/>
        <v/>
      </c>
    </row>
    <row r="56530" spans="8:8" x14ac:dyDescent="0.3">
      <c r="H56530" t="str">
        <f t="shared" si="932"/>
        <v/>
      </c>
    </row>
    <row r="56531" spans="8:8" x14ac:dyDescent="0.3">
      <c r="H56531" t="str">
        <f t="shared" si="932"/>
        <v/>
      </c>
    </row>
    <row r="56532" spans="8:8" x14ac:dyDescent="0.3">
      <c r="H56532" t="str">
        <f t="shared" si="932"/>
        <v/>
      </c>
    </row>
    <row r="56533" spans="8:8" x14ac:dyDescent="0.3">
      <c r="H56533" t="str">
        <f t="shared" si="932"/>
        <v/>
      </c>
    </row>
    <row r="56534" spans="8:8" x14ac:dyDescent="0.3">
      <c r="H56534" t="str">
        <f t="shared" si="932"/>
        <v/>
      </c>
    </row>
    <row r="56535" spans="8:8" x14ac:dyDescent="0.3">
      <c r="H56535" t="str">
        <f t="shared" ref="H56535:H56598" si="933">IF(B56535="","",$C$12)</f>
        <v/>
      </c>
    </row>
    <row r="56536" spans="8:8" x14ac:dyDescent="0.3">
      <c r="H56536" t="str">
        <f t="shared" si="933"/>
        <v/>
      </c>
    </row>
    <row r="56537" spans="8:8" x14ac:dyDescent="0.3">
      <c r="H56537" t="str">
        <f t="shared" si="933"/>
        <v/>
      </c>
    </row>
    <row r="56538" spans="8:8" x14ac:dyDescent="0.3">
      <c r="H56538" t="str">
        <f t="shared" si="933"/>
        <v/>
      </c>
    </row>
    <row r="56539" spans="8:8" x14ac:dyDescent="0.3">
      <c r="H56539" t="str">
        <f t="shared" si="933"/>
        <v/>
      </c>
    </row>
    <row r="56540" spans="8:8" x14ac:dyDescent="0.3">
      <c r="H56540" t="str">
        <f t="shared" si="933"/>
        <v/>
      </c>
    </row>
    <row r="56541" spans="8:8" x14ac:dyDescent="0.3">
      <c r="H56541" t="str">
        <f t="shared" si="933"/>
        <v/>
      </c>
    </row>
    <row r="56542" spans="8:8" x14ac:dyDescent="0.3">
      <c r="H56542" t="str">
        <f t="shared" si="933"/>
        <v/>
      </c>
    </row>
    <row r="56543" spans="8:8" x14ac:dyDescent="0.3">
      <c r="H56543" t="str">
        <f t="shared" si="933"/>
        <v/>
      </c>
    </row>
    <row r="56544" spans="8:8" x14ac:dyDescent="0.3">
      <c r="H56544" t="str">
        <f t="shared" si="933"/>
        <v/>
      </c>
    </row>
    <row r="56545" spans="8:8" x14ac:dyDescent="0.3">
      <c r="H56545" t="str">
        <f t="shared" si="933"/>
        <v/>
      </c>
    </row>
    <row r="56546" spans="8:8" x14ac:dyDescent="0.3">
      <c r="H56546" t="str">
        <f t="shared" si="933"/>
        <v/>
      </c>
    </row>
    <row r="56547" spans="8:8" x14ac:dyDescent="0.3">
      <c r="H56547" t="str">
        <f t="shared" si="933"/>
        <v/>
      </c>
    </row>
    <row r="56548" spans="8:8" x14ac:dyDescent="0.3">
      <c r="H56548" t="str">
        <f t="shared" si="933"/>
        <v/>
      </c>
    </row>
    <row r="56549" spans="8:8" x14ac:dyDescent="0.3">
      <c r="H56549" t="str">
        <f t="shared" si="933"/>
        <v/>
      </c>
    </row>
    <row r="56550" spans="8:8" x14ac:dyDescent="0.3">
      <c r="H56550" t="str">
        <f t="shared" si="933"/>
        <v/>
      </c>
    </row>
    <row r="56551" spans="8:8" x14ac:dyDescent="0.3">
      <c r="H56551" t="str">
        <f t="shared" si="933"/>
        <v/>
      </c>
    </row>
    <row r="56552" spans="8:8" x14ac:dyDescent="0.3">
      <c r="H56552" t="str">
        <f t="shared" si="933"/>
        <v/>
      </c>
    </row>
    <row r="56553" spans="8:8" x14ac:dyDescent="0.3">
      <c r="H56553" t="str">
        <f t="shared" si="933"/>
        <v/>
      </c>
    </row>
    <row r="56554" spans="8:8" x14ac:dyDescent="0.3">
      <c r="H56554" t="str">
        <f t="shared" si="933"/>
        <v/>
      </c>
    </row>
    <row r="56555" spans="8:8" x14ac:dyDescent="0.3">
      <c r="H56555" t="str">
        <f t="shared" si="933"/>
        <v/>
      </c>
    </row>
    <row r="56556" spans="8:8" x14ac:dyDescent="0.3">
      <c r="H56556" t="str">
        <f t="shared" si="933"/>
        <v/>
      </c>
    </row>
    <row r="56557" spans="8:8" x14ac:dyDescent="0.3">
      <c r="H56557" t="str">
        <f t="shared" si="933"/>
        <v/>
      </c>
    </row>
    <row r="56558" spans="8:8" x14ac:dyDescent="0.3">
      <c r="H56558" t="str">
        <f t="shared" si="933"/>
        <v/>
      </c>
    </row>
    <row r="56559" spans="8:8" x14ac:dyDescent="0.3">
      <c r="H56559" t="str">
        <f t="shared" si="933"/>
        <v/>
      </c>
    </row>
    <row r="56560" spans="8:8" x14ac:dyDescent="0.3">
      <c r="H56560" t="str">
        <f t="shared" si="933"/>
        <v/>
      </c>
    </row>
    <row r="56561" spans="8:8" x14ac:dyDescent="0.3">
      <c r="H56561" t="str">
        <f t="shared" si="933"/>
        <v/>
      </c>
    </row>
    <row r="56562" spans="8:8" x14ac:dyDescent="0.3">
      <c r="H56562" t="str">
        <f t="shared" si="933"/>
        <v/>
      </c>
    </row>
    <row r="56563" spans="8:8" x14ac:dyDescent="0.3">
      <c r="H56563" t="str">
        <f t="shared" si="933"/>
        <v/>
      </c>
    </row>
    <row r="56564" spans="8:8" x14ac:dyDescent="0.3">
      <c r="H56564" t="str">
        <f t="shared" si="933"/>
        <v/>
      </c>
    </row>
    <row r="56565" spans="8:8" x14ac:dyDescent="0.3">
      <c r="H56565" t="str">
        <f t="shared" si="933"/>
        <v/>
      </c>
    </row>
    <row r="56566" spans="8:8" x14ac:dyDescent="0.3">
      <c r="H56566" t="str">
        <f t="shared" si="933"/>
        <v/>
      </c>
    </row>
    <row r="56567" spans="8:8" x14ac:dyDescent="0.3">
      <c r="H56567" t="str">
        <f t="shared" si="933"/>
        <v/>
      </c>
    </row>
    <row r="56568" spans="8:8" x14ac:dyDescent="0.3">
      <c r="H56568" t="str">
        <f t="shared" si="933"/>
        <v/>
      </c>
    </row>
    <row r="56569" spans="8:8" x14ac:dyDescent="0.3">
      <c r="H56569" t="str">
        <f t="shared" si="933"/>
        <v/>
      </c>
    </row>
    <row r="56570" spans="8:8" x14ac:dyDescent="0.3">
      <c r="H56570" t="str">
        <f t="shared" si="933"/>
        <v/>
      </c>
    </row>
    <row r="56571" spans="8:8" x14ac:dyDescent="0.3">
      <c r="H56571" t="str">
        <f t="shared" si="933"/>
        <v/>
      </c>
    </row>
    <row r="56572" spans="8:8" x14ac:dyDescent="0.3">
      <c r="H56572" t="str">
        <f t="shared" si="933"/>
        <v/>
      </c>
    </row>
    <row r="56573" spans="8:8" x14ac:dyDescent="0.3">
      <c r="H56573" t="str">
        <f t="shared" si="933"/>
        <v/>
      </c>
    </row>
    <row r="56574" spans="8:8" x14ac:dyDescent="0.3">
      <c r="H56574" t="str">
        <f t="shared" si="933"/>
        <v/>
      </c>
    </row>
    <row r="56575" spans="8:8" x14ac:dyDescent="0.3">
      <c r="H56575" t="str">
        <f t="shared" si="933"/>
        <v/>
      </c>
    </row>
    <row r="56576" spans="8:8" x14ac:dyDescent="0.3">
      <c r="H56576" t="str">
        <f t="shared" si="933"/>
        <v/>
      </c>
    </row>
    <row r="56577" spans="8:8" x14ac:dyDescent="0.3">
      <c r="H56577" t="str">
        <f t="shared" si="933"/>
        <v/>
      </c>
    </row>
    <row r="56578" spans="8:8" x14ac:dyDescent="0.3">
      <c r="H56578" t="str">
        <f t="shared" si="933"/>
        <v/>
      </c>
    </row>
    <row r="56579" spans="8:8" x14ac:dyDescent="0.3">
      <c r="H56579" t="str">
        <f t="shared" si="933"/>
        <v/>
      </c>
    </row>
    <row r="56580" spans="8:8" x14ac:dyDescent="0.3">
      <c r="H56580" t="str">
        <f t="shared" si="933"/>
        <v/>
      </c>
    </row>
    <row r="56581" spans="8:8" x14ac:dyDescent="0.3">
      <c r="H56581" t="str">
        <f t="shared" si="933"/>
        <v/>
      </c>
    </row>
    <row r="56582" spans="8:8" x14ac:dyDescent="0.3">
      <c r="H56582" t="str">
        <f t="shared" si="933"/>
        <v/>
      </c>
    </row>
    <row r="56583" spans="8:8" x14ac:dyDescent="0.3">
      <c r="H56583" t="str">
        <f t="shared" si="933"/>
        <v/>
      </c>
    </row>
    <row r="56584" spans="8:8" x14ac:dyDescent="0.3">
      <c r="H56584" t="str">
        <f t="shared" si="933"/>
        <v/>
      </c>
    </row>
    <row r="56585" spans="8:8" x14ac:dyDescent="0.3">
      <c r="H56585" t="str">
        <f t="shared" si="933"/>
        <v/>
      </c>
    </row>
    <row r="56586" spans="8:8" x14ac:dyDescent="0.3">
      <c r="H56586" t="str">
        <f t="shared" si="933"/>
        <v/>
      </c>
    </row>
    <row r="56587" spans="8:8" x14ac:dyDescent="0.3">
      <c r="H56587" t="str">
        <f t="shared" si="933"/>
        <v/>
      </c>
    </row>
    <row r="56588" spans="8:8" x14ac:dyDescent="0.3">
      <c r="H56588" t="str">
        <f t="shared" si="933"/>
        <v/>
      </c>
    </row>
    <row r="56589" spans="8:8" x14ac:dyDescent="0.3">
      <c r="H56589" t="str">
        <f t="shared" si="933"/>
        <v/>
      </c>
    </row>
    <row r="56590" spans="8:8" x14ac:dyDescent="0.3">
      <c r="H56590" t="str">
        <f t="shared" si="933"/>
        <v/>
      </c>
    </row>
    <row r="56591" spans="8:8" x14ac:dyDescent="0.3">
      <c r="H56591" t="str">
        <f t="shared" si="933"/>
        <v/>
      </c>
    </row>
    <row r="56592" spans="8:8" x14ac:dyDescent="0.3">
      <c r="H56592" t="str">
        <f t="shared" si="933"/>
        <v/>
      </c>
    </row>
    <row r="56593" spans="8:8" x14ac:dyDescent="0.3">
      <c r="H56593" t="str">
        <f t="shared" si="933"/>
        <v/>
      </c>
    </row>
    <row r="56594" spans="8:8" x14ac:dyDescent="0.3">
      <c r="H56594" t="str">
        <f t="shared" si="933"/>
        <v/>
      </c>
    </row>
    <row r="56595" spans="8:8" x14ac:dyDescent="0.3">
      <c r="H56595" t="str">
        <f t="shared" si="933"/>
        <v/>
      </c>
    </row>
    <row r="56596" spans="8:8" x14ac:dyDescent="0.3">
      <c r="H56596" t="str">
        <f t="shared" si="933"/>
        <v/>
      </c>
    </row>
    <row r="56597" spans="8:8" x14ac:dyDescent="0.3">
      <c r="H56597" t="str">
        <f t="shared" si="933"/>
        <v/>
      </c>
    </row>
    <row r="56598" spans="8:8" x14ac:dyDescent="0.3">
      <c r="H56598" t="str">
        <f t="shared" si="933"/>
        <v/>
      </c>
    </row>
    <row r="56599" spans="8:8" x14ac:dyDescent="0.3">
      <c r="H56599" t="str">
        <f t="shared" ref="H56599:H56662" si="934">IF(B56599="","",$C$12)</f>
        <v/>
      </c>
    </row>
    <row r="56600" spans="8:8" x14ac:dyDescent="0.3">
      <c r="H56600" t="str">
        <f t="shared" si="934"/>
        <v/>
      </c>
    </row>
    <row r="56601" spans="8:8" x14ac:dyDescent="0.3">
      <c r="H56601" t="str">
        <f t="shared" si="934"/>
        <v/>
      </c>
    </row>
    <row r="56602" spans="8:8" x14ac:dyDescent="0.3">
      <c r="H56602" t="str">
        <f t="shared" si="934"/>
        <v/>
      </c>
    </row>
    <row r="56603" spans="8:8" x14ac:dyDescent="0.3">
      <c r="H56603" t="str">
        <f t="shared" si="934"/>
        <v/>
      </c>
    </row>
    <row r="56604" spans="8:8" x14ac:dyDescent="0.3">
      <c r="H56604" t="str">
        <f t="shared" si="934"/>
        <v/>
      </c>
    </row>
    <row r="56605" spans="8:8" x14ac:dyDescent="0.3">
      <c r="H56605" t="str">
        <f t="shared" si="934"/>
        <v/>
      </c>
    </row>
    <row r="56606" spans="8:8" x14ac:dyDescent="0.3">
      <c r="H56606" t="str">
        <f t="shared" si="934"/>
        <v/>
      </c>
    </row>
    <row r="56607" spans="8:8" x14ac:dyDescent="0.3">
      <c r="H56607" t="str">
        <f t="shared" si="934"/>
        <v/>
      </c>
    </row>
    <row r="56608" spans="8:8" x14ac:dyDescent="0.3">
      <c r="H56608" t="str">
        <f t="shared" si="934"/>
        <v/>
      </c>
    </row>
    <row r="56609" spans="8:8" x14ac:dyDescent="0.3">
      <c r="H56609" t="str">
        <f t="shared" si="934"/>
        <v/>
      </c>
    </row>
    <row r="56610" spans="8:8" x14ac:dyDescent="0.3">
      <c r="H56610" t="str">
        <f t="shared" si="934"/>
        <v/>
      </c>
    </row>
    <row r="56611" spans="8:8" x14ac:dyDescent="0.3">
      <c r="H56611" t="str">
        <f t="shared" si="934"/>
        <v/>
      </c>
    </row>
    <row r="56612" spans="8:8" x14ac:dyDescent="0.3">
      <c r="H56612" t="str">
        <f t="shared" si="934"/>
        <v/>
      </c>
    </row>
    <row r="56613" spans="8:8" x14ac:dyDescent="0.3">
      <c r="H56613" t="str">
        <f t="shared" si="934"/>
        <v/>
      </c>
    </row>
    <row r="56614" spans="8:8" x14ac:dyDescent="0.3">
      <c r="H56614" t="str">
        <f t="shared" si="934"/>
        <v/>
      </c>
    </row>
    <row r="56615" spans="8:8" x14ac:dyDescent="0.3">
      <c r="H56615" t="str">
        <f t="shared" si="934"/>
        <v/>
      </c>
    </row>
    <row r="56616" spans="8:8" x14ac:dyDescent="0.3">
      <c r="H56616" t="str">
        <f t="shared" si="934"/>
        <v/>
      </c>
    </row>
    <row r="56617" spans="8:8" x14ac:dyDescent="0.3">
      <c r="H56617" t="str">
        <f t="shared" si="934"/>
        <v/>
      </c>
    </row>
    <row r="56618" spans="8:8" x14ac:dyDescent="0.3">
      <c r="H56618" t="str">
        <f t="shared" si="934"/>
        <v/>
      </c>
    </row>
    <row r="56619" spans="8:8" x14ac:dyDescent="0.3">
      <c r="H56619" t="str">
        <f t="shared" si="934"/>
        <v/>
      </c>
    </row>
    <row r="56620" spans="8:8" x14ac:dyDescent="0.3">
      <c r="H56620" t="str">
        <f t="shared" si="934"/>
        <v/>
      </c>
    </row>
    <row r="56621" spans="8:8" x14ac:dyDescent="0.3">
      <c r="H56621" t="str">
        <f t="shared" si="934"/>
        <v/>
      </c>
    </row>
    <row r="56622" spans="8:8" x14ac:dyDescent="0.3">
      <c r="H56622" t="str">
        <f t="shared" si="934"/>
        <v/>
      </c>
    </row>
    <row r="56623" spans="8:8" x14ac:dyDescent="0.3">
      <c r="H56623" t="str">
        <f t="shared" si="934"/>
        <v/>
      </c>
    </row>
    <row r="56624" spans="8:8" x14ac:dyDescent="0.3">
      <c r="H56624" t="str">
        <f t="shared" si="934"/>
        <v/>
      </c>
    </row>
    <row r="56625" spans="8:8" x14ac:dyDescent="0.3">
      <c r="H56625" t="str">
        <f t="shared" si="934"/>
        <v/>
      </c>
    </row>
    <row r="56626" spans="8:8" x14ac:dyDescent="0.3">
      <c r="H56626" t="str">
        <f t="shared" si="934"/>
        <v/>
      </c>
    </row>
    <row r="56627" spans="8:8" x14ac:dyDescent="0.3">
      <c r="H56627" t="str">
        <f t="shared" si="934"/>
        <v/>
      </c>
    </row>
    <row r="56628" spans="8:8" x14ac:dyDescent="0.3">
      <c r="H56628" t="str">
        <f t="shared" si="934"/>
        <v/>
      </c>
    </row>
    <row r="56629" spans="8:8" x14ac:dyDescent="0.3">
      <c r="H56629" t="str">
        <f t="shared" si="934"/>
        <v/>
      </c>
    </row>
    <row r="56630" spans="8:8" x14ac:dyDescent="0.3">
      <c r="H56630" t="str">
        <f t="shared" si="934"/>
        <v/>
      </c>
    </row>
    <row r="56631" spans="8:8" x14ac:dyDescent="0.3">
      <c r="H56631" t="str">
        <f t="shared" si="934"/>
        <v/>
      </c>
    </row>
    <row r="56632" spans="8:8" x14ac:dyDescent="0.3">
      <c r="H56632" t="str">
        <f t="shared" si="934"/>
        <v/>
      </c>
    </row>
    <row r="56633" spans="8:8" x14ac:dyDescent="0.3">
      <c r="H56633" t="str">
        <f t="shared" si="934"/>
        <v/>
      </c>
    </row>
    <row r="56634" spans="8:8" x14ac:dyDescent="0.3">
      <c r="H56634" t="str">
        <f t="shared" si="934"/>
        <v/>
      </c>
    </row>
    <row r="56635" spans="8:8" x14ac:dyDescent="0.3">
      <c r="H56635" t="str">
        <f t="shared" si="934"/>
        <v/>
      </c>
    </row>
    <row r="56636" spans="8:8" x14ac:dyDescent="0.3">
      <c r="H56636" t="str">
        <f t="shared" si="934"/>
        <v/>
      </c>
    </row>
    <row r="56637" spans="8:8" x14ac:dyDescent="0.3">
      <c r="H56637" t="str">
        <f t="shared" si="934"/>
        <v/>
      </c>
    </row>
    <row r="56638" spans="8:8" x14ac:dyDescent="0.3">
      <c r="H56638" t="str">
        <f t="shared" si="934"/>
        <v/>
      </c>
    </row>
    <row r="56639" spans="8:8" x14ac:dyDescent="0.3">
      <c r="H56639" t="str">
        <f t="shared" si="934"/>
        <v/>
      </c>
    </row>
    <row r="56640" spans="8:8" x14ac:dyDescent="0.3">
      <c r="H56640" t="str">
        <f t="shared" si="934"/>
        <v/>
      </c>
    </row>
    <row r="56641" spans="8:8" x14ac:dyDescent="0.3">
      <c r="H56641" t="str">
        <f t="shared" si="934"/>
        <v/>
      </c>
    </row>
    <row r="56642" spans="8:8" x14ac:dyDescent="0.3">
      <c r="H56642" t="str">
        <f t="shared" si="934"/>
        <v/>
      </c>
    </row>
    <row r="56643" spans="8:8" x14ac:dyDescent="0.3">
      <c r="H56643" t="str">
        <f t="shared" si="934"/>
        <v/>
      </c>
    </row>
    <row r="56644" spans="8:8" x14ac:dyDescent="0.3">
      <c r="H56644" t="str">
        <f t="shared" si="934"/>
        <v/>
      </c>
    </row>
    <row r="56645" spans="8:8" x14ac:dyDescent="0.3">
      <c r="H56645" t="str">
        <f t="shared" si="934"/>
        <v/>
      </c>
    </row>
    <row r="56646" spans="8:8" x14ac:dyDescent="0.3">
      <c r="H56646" t="str">
        <f t="shared" si="934"/>
        <v/>
      </c>
    </row>
    <row r="56647" spans="8:8" x14ac:dyDescent="0.3">
      <c r="H56647" t="str">
        <f t="shared" si="934"/>
        <v/>
      </c>
    </row>
    <row r="56648" spans="8:8" x14ac:dyDescent="0.3">
      <c r="H56648" t="str">
        <f t="shared" si="934"/>
        <v/>
      </c>
    </row>
    <row r="56649" spans="8:8" x14ac:dyDescent="0.3">
      <c r="H56649" t="str">
        <f t="shared" si="934"/>
        <v/>
      </c>
    </row>
    <row r="56650" spans="8:8" x14ac:dyDescent="0.3">
      <c r="H56650" t="str">
        <f t="shared" si="934"/>
        <v/>
      </c>
    </row>
    <row r="56651" spans="8:8" x14ac:dyDescent="0.3">
      <c r="H56651" t="str">
        <f t="shared" si="934"/>
        <v/>
      </c>
    </row>
    <row r="56652" spans="8:8" x14ac:dyDescent="0.3">
      <c r="H56652" t="str">
        <f t="shared" si="934"/>
        <v/>
      </c>
    </row>
    <row r="56653" spans="8:8" x14ac:dyDescent="0.3">
      <c r="H56653" t="str">
        <f t="shared" si="934"/>
        <v/>
      </c>
    </row>
    <row r="56654" spans="8:8" x14ac:dyDescent="0.3">
      <c r="H56654" t="str">
        <f t="shared" si="934"/>
        <v/>
      </c>
    </row>
    <row r="56655" spans="8:8" x14ac:dyDescent="0.3">
      <c r="H56655" t="str">
        <f t="shared" si="934"/>
        <v/>
      </c>
    </row>
    <row r="56656" spans="8:8" x14ac:dyDescent="0.3">
      <c r="H56656" t="str">
        <f t="shared" si="934"/>
        <v/>
      </c>
    </row>
    <row r="56657" spans="8:8" x14ac:dyDescent="0.3">
      <c r="H56657" t="str">
        <f t="shared" si="934"/>
        <v/>
      </c>
    </row>
    <row r="56658" spans="8:8" x14ac:dyDescent="0.3">
      <c r="H56658" t="str">
        <f t="shared" si="934"/>
        <v/>
      </c>
    </row>
    <row r="56659" spans="8:8" x14ac:dyDescent="0.3">
      <c r="H56659" t="str">
        <f t="shared" si="934"/>
        <v/>
      </c>
    </row>
    <row r="56660" spans="8:8" x14ac:dyDescent="0.3">
      <c r="H56660" t="str">
        <f t="shared" si="934"/>
        <v/>
      </c>
    </row>
    <row r="56661" spans="8:8" x14ac:dyDescent="0.3">
      <c r="H56661" t="str">
        <f t="shared" si="934"/>
        <v/>
      </c>
    </row>
    <row r="56662" spans="8:8" x14ac:dyDescent="0.3">
      <c r="H56662" t="str">
        <f t="shared" si="934"/>
        <v/>
      </c>
    </row>
    <row r="56663" spans="8:8" x14ac:dyDescent="0.3">
      <c r="H56663" t="str">
        <f t="shared" ref="H56663:H56726" si="935">IF(B56663="","",$C$12)</f>
        <v/>
      </c>
    </row>
    <row r="56664" spans="8:8" x14ac:dyDescent="0.3">
      <c r="H56664" t="str">
        <f t="shared" si="935"/>
        <v/>
      </c>
    </row>
    <row r="56665" spans="8:8" x14ac:dyDescent="0.3">
      <c r="H56665" t="str">
        <f t="shared" si="935"/>
        <v/>
      </c>
    </row>
    <row r="56666" spans="8:8" x14ac:dyDescent="0.3">
      <c r="H56666" t="str">
        <f t="shared" si="935"/>
        <v/>
      </c>
    </row>
    <row r="56667" spans="8:8" x14ac:dyDescent="0.3">
      <c r="H56667" t="str">
        <f t="shared" si="935"/>
        <v/>
      </c>
    </row>
    <row r="56668" spans="8:8" x14ac:dyDescent="0.3">
      <c r="H56668" t="str">
        <f t="shared" si="935"/>
        <v/>
      </c>
    </row>
    <row r="56669" spans="8:8" x14ac:dyDescent="0.3">
      <c r="H56669" t="str">
        <f t="shared" si="935"/>
        <v/>
      </c>
    </row>
    <row r="56670" spans="8:8" x14ac:dyDescent="0.3">
      <c r="H56670" t="str">
        <f t="shared" si="935"/>
        <v/>
      </c>
    </row>
    <row r="56671" spans="8:8" x14ac:dyDescent="0.3">
      <c r="H56671" t="str">
        <f t="shared" si="935"/>
        <v/>
      </c>
    </row>
    <row r="56672" spans="8:8" x14ac:dyDescent="0.3">
      <c r="H56672" t="str">
        <f t="shared" si="935"/>
        <v/>
      </c>
    </row>
    <row r="56673" spans="8:8" x14ac:dyDescent="0.3">
      <c r="H56673" t="str">
        <f t="shared" si="935"/>
        <v/>
      </c>
    </row>
    <row r="56674" spans="8:8" x14ac:dyDescent="0.3">
      <c r="H56674" t="str">
        <f t="shared" si="935"/>
        <v/>
      </c>
    </row>
    <row r="56675" spans="8:8" x14ac:dyDescent="0.3">
      <c r="H56675" t="str">
        <f t="shared" si="935"/>
        <v/>
      </c>
    </row>
    <row r="56676" spans="8:8" x14ac:dyDescent="0.3">
      <c r="H56676" t="str">
        <f t="shared" si="935"/>
        <v/>
      </c>
    </row>
    <row r="56677" spans="8:8" x14ac:dyDescent="0.3">
      <c r="H56677" t="str">
        <f t="shared" si="935"/>
        <v/>
      </c>
    </row>
    <row r="56678" spans="8:8" x14ac:dyDescent="0.3">
      <c r="H56678" t="str">
        <f t="shared" si="935"/>
        <v/>
      </c>
    </row>
    <row r="56679" spans="8:8" x14ac:dyDescent="0.3">
      <c r="H56679" t="str">
        <f t="shared" si="935"/>
        <v/>
      </c>
    </row>
    <row r="56680" spans="8:8" x14ac:dyDescent="0.3">
      <c r="H56680" t="str">
        <f t="shared" si="935"/>
        <v/>
      </c>
    </row>
    <row r="56681" spans="8:8" x14ac:dyDescent="0.3">
      <c r="H56681" t="str">
        <f t="shared" si="935"/>
        <v/>
      </c>
    </row>
    <row r="56682" spans="8:8" x14ac:dyDescent="0.3">
      <c r="H56682" t="str">
        <f t="shared" si="935"/>
        <v/>
      </c>
    </row>
    <row r="56683" spans="8:8" x14ac:dyDescent="0.3">
      <c r="H56683" t="str">
        <f t="shared" si="935"/>
        <v/>
      </c>
    </row>
    <row r="56684" spans="8:8" x14ac:dyDescent="0.3">
      <c r="H56684" t="str">
        <f t="shared" si="935"/>
        <v/>
      </c>
    </row>
    <row r="56685" spans="8:8" x14ac:dyDescent="0.3">
      <c r="H56685" t="str">
        <f t="shared" si="935"/>
        <v/>
      </c>
    </row>
    <row r="56686" spans="8:8" x14ac:dyDescent="0.3">
      <c r="H56686" t="str">
        <f t="shared" si="935"/>
        <v/>
      </c>
    </row>
    <row r="56687" spans="8:8" x14ac:dyDescent="0.3">
      <c r="H56687" t="str">
        <f t="shared" si="935"/>
        <v/>
      </c>
    </row>
    <row r="56688" spans="8:8" x14ac:dyDescent="0.3">
      <c r="H56688" t="str">
        <f t="shared" si="935"/>
        <v/>
      </c>
    </row>
    <row r="56689" spans="8:8" x14ac:dyDescent="0.3">
      <c r="H56689" t="str">
        <f t="shared" si="935"/>
        <v/>
      </c>
    </row>
    <row r="56690" spans="8:8" x14ac:dyDescent="0.3">
      <c r="H56690" t="str">
        <f t="shared" si="935"/>
        <v/>
      </c>
    </row>
    <row r="56691" spans="8:8" x14ac:dyDescent="0.3">
      <c r="H56691" t="str">
        <f t="shared" si="935"/>
        <v/>
      </c>
    </row>
    <row r="56692" spans="8:8" x14ac:dyDescent="0.3">
      <c r="H56692" t="str">
        <f t="shared" si="935"/>
        <v/>
      </c>
    </row>
    <row r="56693" spans="8:8" x14ac:dyDescent="0.3">
      <c r="H56693" t="str">
        <f t="shared" si="935"/>
        <v/>
      </c>
    </row>
    <row r="56694" spans="8:8" x14ac:dyDescent="0.3">
      <c r="H56694" t="str">
        <f t="shared" si="935"/>
        <v/>
      </c>
    </row>
    <row r="56695" spans="8:8" x14ac:dyDescent="0.3">
      <c r="H56695" t="str">
        <f t="shared" si="935"/>
        <v/>
      </c>
    </row>
    <row r="56696" spans="8:8" x14ac:dyDescent="0.3">
      <c r="H56696" t="str">
        <f t="shared" si="935"/>
        <v/>
      </c>
    </row>
    <row r="56697" spans="8:8" x14ac:dyDescent="0.3">
      <c r="H56697" t="str">
        <f t="shared" si="935"/>
        <v/>
      </c>
    </row>
    <row r="56698" spans="8:8" x14ac:dyDescent="0.3">
      <c r="H56698" t="str">
        <f t="shared" si="935"/>
        <v/>
      </c>
    </row>
    <row r="56699" spans="8:8" x14ac:dyDescent="0.3">
      <c r="H56699" t="str">
        <f t="shared" si="935"/>
        <v/>
      </c>
    </row>
    <row r="56700" spans="8:8" x14ac:dyDescent="0.3">
      <c r="H56700" t="str">
        <f t="shared" si="935"/>
        <v/>
      </c>
    </row>
    <row r="56701" spans="8:8" x14ac:dyDescent="0.3">
      <c r="H56701" t="str">
        <f t="shared" si="935"/>
        <v/>
      </c>
    </row>
    <row r="56702" spans="8:8" x14ac:dyDescent="0.3">
      <c r="H56702" t="str">
        <f t="shared" si="935"/>
        <v/>
      </c>
    </row>
    <row r="56703" spans="8:8" x14ac:dyDescent="0.3">
      <c r="H56703" t="str">
        <f t="shared" si="935"/>
        <v/>
      </c>
    </row>
    <row r="56704" spans="8:8" x14ac:dyDescent="0.3">
      <c r="H56704" t="str">
        <f t="shared" si="935"/>
        <v/>
      </c>
    </row>
    <row r="56705" spans="8:8" x14ac:dyDescent="0.3">
      <c r="H56705" t="str">
        <f t="shared" si="935"/>
        <v/>
      </c>
    </row>
    <row r="56706" spans="8:8" x14ac:dyDescent="0.3">
      <c r="H56706" t="str">
        <f t="shared" si="935"/>
        <v/>
      </c>
    </row>
    <row r="56707" spans="8:8" x14ac:dyDescent="0.3">
      <c r="H56707" t="str">
        <f t="shared" si="935"/>
        <v/>
      </c>
    </row>
    <row r="56708" spans="8:8" x14ac:dyDescent="0.3">
      <c r="H56708" t="str">
        <f t="shared" si="935"/>
        <v/>
      </c>
    </row>
    <row r="56709" spans="8:8" x14ac:dyDescent="0.3">
      <c r="H56709" t="str">
        <f t="shared" si="935"/>
        <v/>
      </c>
    </row>
    <row r="56710" spans="8:8" x14ac:dyDescent="0.3">
      <c r="H56710" t="str">
        <f t="shared" si="935"/>
        <v/>
      </c>
    </row>
    <row r="56711" spans="8:8" x14ac:dyDescent="0.3">
      <c r="H56711" t="str">
        <f t="shared" si="935"/>
        <v/>
      </c>
    </row>
    <row r="56712" spans="8:8" x14ac:dyDescent="0.3">
      <c r="H56712" t="str">
        <f t="shared" si="935"/>
        <v/>
      </c>
    </row>
    <row r="56713" spans="8:8" x14ac:dyDescent="0.3">
      <c r="H56713" t="str">
        <f t="shared" si="935"/>
        <v/>
      </c>
    </row>
    <row r="56714" spans="8:8" x14ac:dyDescent="0.3">
      <c r="H56714" t="str">
        <f t="shared" si="935"/>
        <v/>
      </c>
    </row>
    <row r="56715" spans="8:8" x14ac:dyDescent="0.3">
      <c r="H56715" t="str">
        <f t="shared" si="935"/>
        <v/>
      </c>
    </row>
    <row r="56716" spans="8:8" x14ac:dyDescent="0.3">
      <c r="H56716" t="str">
        <f t="shared" si="935"/>
        <v/>
      </c>
    </row>
    <row r="56717" spans="8:8" x14ac:dyDescent="0.3">
      <c r="H56717" t="str">
        <f t="shared" si="935"/>
        <v/>
      </c>
    </row>
    <row r="56718" spans="8:8" x14ac:dyDescent="0.3">
      <c r="H56718" t="str">
        <f t="shared" si="935"/>
        <v/>
      </c>
    </row>
    <row r="56719" spans="8:8" x14ac:dyDescent="0.3">
      <c r="H56719" t="str">
        <f t="shared" si="935"/>
        <v/>
      </c>
    </row>
    <row r="56720" spans="8:8" x14ac:dyDescent="0.3">
      <c r="H56720" t="str">
        <f t="shared" si="935"/>
        <v/>
      </c>
    </row>
    <row r="56721" spans="8:8" x14ac:dyDescent="0.3">
      <c r="H56721" t="str">
        <f t="shared" si="935"/>
        <v/>
      </c>
    </row>
    <row r="56722" spans="8:8" x14ac:dyDescent="0.3">
      <c r="H56722" t="str">
        <f t="shared" si="935"/>
        <v/>
      </c>
    </row>
    <row r="56723" spans="8:8" x14ac:dyDescent="0.3">
      <c r="H56723" t="str">
        <f t="shared" si="935"/>
        <v/>
      </c>
    </row>
    <row r="56724" spans="8:8" x14ac:dyDescent="0.3">
      <c r="H56724" t="str">
        <f t="shared" si="935"/>
        <v/>
      </c>
    </row>
    <row r="56725" spans="8:8" x14ac:dyDescent="0.3">
      <c r="H56725" t="str">
        <f t="shared" si="935"/>
        <v/>
      </c>
    </row>
    <row r="56726" spans="8:8" x14ac:dyDescent="0.3">
      <c r="H56726" t="str">
        <f t="shared" si="935"/>
        <v/>
      </c>
    </row>
    <row r="56727" spans="8:8" x14ac:dyDescent="0.3">
      <c r="H56727" t="str">
        <f t="shared" ref="H56727:H56790" si="936">IF(B56727="","",$C$12)</f>
        <v/>
      </c>
    </row>
    <row r="56728" spans="8:8" x14ac:dyDescent="0.3">
      <c r="H56728" t="str">
        <f t="shared" si="936"/>
        <v/>
      </c>
    </row>
    <row r="56729" spans="8:8" x14ac:dyDescent="0.3">
      <c r="H56729" t="str">
        <f t="shared" si="936"/>
        <v/>
      </c>
    </row>
    <row r="56730" spans="8:8" x14ac:dyDescent="0.3">
      <c r="H56730" t="str">
        <f t="shared" si="936"/>
        <v/>
      </c>
    </row>
    <row r="56731" spans="8:8" x14ac:dyDescent="0.3">
      <c r="H56731" t="str">
        <f t="shared" si="936"/>
        <v/>
      </c>
    </row>
    <row r="56732" spans="8:8" x14ac:dyDescent="0.3">
      <c r="H56732" t="str">
        <f t="shared" si="936"/>
        <v/>
      </c>
    </row>
    <row r="56733" spans="8:8" x14ac:dyDescent="0.3">
      <c r="H56733" t="str">
        <f t="shared" si="936"/>
        <v/>
      </c>
    </row>
    <row r="56734" spans="8:8" x14ac:dyDescent="0.3">
      <c r="H56734" t="str">
        <f t="shared" si="936"/>
        <v/>
      </c>
    </row>
    <row r="56735" spans="8:8" x14ac:dyDescent="0.3">
      <c r="H56735" t="str">
        <f t="shared" si="936"/>
        <v/>
      </c>
    </row>
    <row r="56736" spans="8:8" x14ac:dyDescent="0.3">
      <c r="H56736" t="str">
        <f t="shared" si="936"/>
        <v/>
      </c>
    </row>
    <row r="56737" spans="8:8" x14ac:dyDescent="0.3">
      <c r="H56737" t="str">
        <f t="shared" si="936"/>
        <v/>
      </c>
    </row>
    <row r="56738" spans="8:8" x14ac:dyDescent="0.3">
      <c r="H56738" t="str">
        <f t="shared" si="936"/>
        <v/>
      </c>
    </row>
    <row r="56739" spans="8:8" x14ac:dyDescent="0.3">
      <c r="H56739" t="str">
        <f t="shared" si="936"/>
        <v/>
      </c>
    </row>
    <row r="56740" spans="8:8" x14ac:dyDescent="0.3">
      <c r="H56740" t="str">
        <f t="shared" si="936"/>
        <v/>
      </c>
    </row>
    <row r="56741" spans="8:8" x14ac:dyDescent="0.3">
      <c r="H56741" t="str">
        <f t="shared" si="936"/>
        <v/>
      </c>
    </row>
    <row r="56742" spans="8:8" x14ac:dyDescent="0.3">
      <c r="H56742" t="str">
        <f t="shared" si="936"/>
        <v/>
      </c>
    </row>
    <row r="56743" spans="8:8" x14ac:dyDescent="0.3">
      <c r="H56743" t="str">
        <f t="shared" si="936"/>
        <v/>
      </c>
    </row>
    <row r="56744" spans="8:8" x14ac:dyDescent="0.3">
      <c r="H56744" t="str">
        <f t="shared" si="936"/>
        <v/>
      </c>
    </row>
    <row r="56745" spans="8:8" x14ac:dyDescent="0.3">
      <c r="H56745" t="str">
        <f t="shared" si="936"/>
        <v/>
      </c>
    </row>
    <row r="56746" spans="8:8" x14ac:dyDescent="0.3">
      <c r="H56746" t="str">
        <f t="shared" si="936"/>
        <v/>
      </c>
    </row>
    <row r="56747" spans="8:8" x14ac:dyDescent="0.3">
      <c r="H56747" t="str">
        <f t="shared" si="936"/>
        <v/>
      </c>
    </row>
    <row r="56748" spans="8:8" x14ac:dyDescent="0.3">
      <c r="H56748" t="str">
        <f t="shared" si="936"/>
        <v/>
      </c>
    </row>
    <row r="56749" spans="8:8" x14ac:dyDescent="0.3">
      <c r="H56749" t="str">
        <f t="shared" si="936"/>
        <v/>
      </c>
    </row>
    <row r="56750" spans="8:8" x14ac:dyDescent="0.3">
      <c r="H56750" t="str">
        <f t="shared" si="936"/>
        <v/>
      </c>
    </row>
    <row r="56751" spans="8:8" x14ac:dyDescent="0.3">
      <c r="H56751" t="str">
        <f t="shared" si="936"/>
        <v/>
      </c>
    </row>
    <row r="56752" spans="8:8" x14ac:dyDescent="0.3">
      <c r="H56752" t="str">
        <f t="shared" si="936"/>
        <v/>
      </c>
    </row>
    <row r="56753" spans="8:8" x14ac:dyDescent="0.3">
      <c r="H56753" t="str">
        <f t="shared" si="936"/>
        <v/>
      </c>
    </row>
    <row r="56754" spans="8:8" x14ac:dyDescent="0.3">
      <c r="H56754" t="str">
        <f t="shared" si="936"/>
        <v/>
      </c>
    </row>
    <row r="56755" spans="8:8" x14ac:dyDescent="0.3">
      <c r="H56755" t="str">
        <f t="shared" si="936"/>
        <v/>
      </c>
    </row>
    <row r="56756" spans="8:8" x14ac:dyDescent="0.3">
      <c r="H56756" t="str">
        <f t="shared" si="936"/>
        <v/>
      </c>
    </row>
    <row r="56757" spans="8:8" x14ac:dyDescent="0.3">
      <c r="H56757" t="str">
        <f t="shared" si="936"/>
        <v/>
      </c>
    </row>
    <row r="56758" spans="8:8" x14ac:dyDescent="0.3">
      <c r="H56758" t="str">
        <f t="shared" si="936"/>
        <v/>
      </c>
    </row>
    <row r="56759" spans="8:8" x14ac:dyDescent="0.3">
      <c r="H56759" t="str">
        <f t="shared" si="936"/>
        <v/>
      </c>
    </row>
    <row r="56760" spans="8:8" x14ac:dyDescent="0.3">
      <c r="H56760" t="str">
        <f t="shared" si="936"/>
        <v/>
      </c>
    </row>
    <row r="56761" spans="8:8" x14ac:dyDescent="0.3">
      <c r="H56761" t="str">
        <f t="shared" si="936"/>
        <v/>
      </c>
    </row>
    <row r="56762" spans="8:8" x14ac:dyDescent="0.3">
      <c r="H56762" t="str">
        <f t="shared" si="936"/>
        <v/>
      </c>
    </row>
    <row r="56763" spans="8:8" x14ac:dyDescent="0.3">
      <c r="H56763" t="str">
        <f t="shared" si="936"/>
        <v/>
      </c>
    </row>
    <row r="56764" spans="8:8" x14ac:dyDescent="0.3">
      <c r="H56764" t="str">
        <f t="shared" si="936"/>
        <v/>
      </c>
    </row>
    <row r="56765" spans="8:8" x14ac:dyDescent="0.3">
      <c r="H56765" t="str">
        <f t="shared" si="936"/>
        <v/>
      </c>
    </row>
    <row r="56766" spans="8:8" x14ac:dyDescent="0.3">
      <c r="H56766" t="str">
        <f t="shared" si="936"/>
        <v/>
      </c>
    </row>
    <row r="56767" spans="8:8" x14ac:dyDescent="0.3">
      <c r="H56767" t="str">
        <f t="shared" si="936"/>
        <v/>
      </c>
    </row>
    <row r="56768" spans="8:8" x14ac:dyDescent="0.3">
      <c r="H56768" t="str">
        <f t="shared" si="936"/>
        <v/>
      </c>
    </row>
    <row r="56769" spans="8:8" x14ac:dyDescent="0.3">
      <c r="H56769" t="str">
        <f t="shared" si="936"/>
        <v/>
      </c>
    </row>
    <row r="56770" spans="8:8" x14ac:dyDescent="0.3">
      <c r="H56770" t="str">
        <f t="shared" si="936"/>
        <v/>
      </c>
    </row>
    <row r="56771" spans="8:8" x14ac:dyDescent="0.3">
      <c r="H56771" t="str">
        <f t="shared" si="936"/>
        <v/>
      </c>
    </row>
    <row r="56772" spans="8:8" x14ac:dyDescent="0.3">
      <c r="H56772" t="str">
        <f t="shared" si="936"/>
        <v/>
      </c>
    </row>
    <row r="56773" spans="8:8" x14ac:dyDescent="0.3">
      <c r="H56773" t="str">
        <f t="shared" si="936"/>
        <v/>
      </c>
    </row>
    <row r="56774" spans="8:8" x14ac:dyDescent="0.3">
      <c r="H56774" t="str">
        <f t="shared" si="936"/>
        <v/>
      </c>
    </row>
    <row r="56775" spans="8:8" x14ac:dyDescent="0.3">
      <c r="H56775" t="str">
        <f t="shared" si="936"/>
        <v/>
      </c>
    </row>
    <row r="56776" spans="8:8" x14ac:dyDescent="0.3">
      <c r="H56776" t="str">
        <f t="shared" si="936"/>
        <v/>
      </c>
    </row>
    <row r="56777" spans="8:8" x14ac:dyDescent="0.3">
      <c r="H56777" t="str">
        <f t="shared" si="936"/>
        <v/>
      </c>
    </row>
    <row r="56778" spans="8:8" x14ac:dyDescent="0.3">
      <c r="H56778" t="str">
        <f t="shared" si="936"/>
        <v/>
      </c>
    </row>
    <row r="56779" spans="8:8" x14ac:dyDescent="0.3">
      <c r="H56779" t="str">
        <f t="shared" si="936"/>
        <v/>
      </c>
    </row>
    <row r="56780" spans="8:8" x14ac:dyDescent="0.3">
      <c r="H56780" t="str">
        <f t="shared" si="936"/>
        <v/>
      </c>
    </row>
    <row r="56781" spans="8:8" x14ac:dyDescent="0.3">
      <c r="H56781" t="str">
        <f t="shared" si="936"/>
        <v/>
      </c>
    </row>
    <row r="56782" spans="8:8" x14ac:dyDescent="0.3">
      <c r="H56782" t="str">
        <f t="shared" si="936"/>
        <v/>
      </c>
    </row>
    <row r="56783" spans="8:8" x14ac:dyDescent="0.3">
      <c r="H56783" t="str">
        <f t="shared" si="936"/>
        <v/>
      </c>
    </row>
    <row r="56784" spans="8:8" x14ac:dyDescent="0.3">
      <c r="H56784" t="str">
        <f t="shared" si="936"/>
        <v/>
      </c>
    </row>
    <row r="56785" spans="8:8" x14ac:dyDescent="0.3">
      <c r="H56785" t="str">
        <f t="shared" si="936"/>
        <v/>
      </c>
    </row>
    <row r="56786" spans="8:8" x14ac:dyDescent="0.3">
      <c r="H56786" t="str">
        <f t="shared" si="936"/>
        <v/>
      </c>
    </row>
    <row r="56787" spans="8:8" x14ac:dyDescent="0.3">
      <c r="H56787" t="str">
        <f t="shared" si="936"/>
        <v/>
      </c>
    </row>
    <row r="56788" spans="8:8" x14ac:dyDescent="0.3">
      <c r="H56788" t="str">
        <f t="shared" si="936"/>
        <v/>
      </c>
    </row>
    <row r="56789" spans="8:8" x14ac:dyDescent="0.3">
      <c r="H56789" t="str">
        <f t="shared" si="936"/>
        <v/>
      </c>
    </row>
    <row r="56790" spans="8:8" x14ac:dyDescent="0.3">
      <c r="H56790" t="str">
        <f t="shared" si="936"/>
        <v/>
      </c>
    </row>
    <row r="56791" spans="8:8" x14ac:dyDescent="0.3">
      <c r="H56791" t="str">
        <f t="shared" ref="H56791:H56854" si="937">IF(B56791="","",$C$12)</f>
        <v/>
      </c>
    </row>
    <row r="56792" spans="8:8" x14ac:dyDescent="0.3">
      <c r="H56792" t="str">
        <f t="shared" si="937"/>
        <v/>
      </c>
    </row>
    <row r="56793" spans="8:8" x14ac:dyDescent="0.3">
      <c r="H56793" t="str">
        <f t="shared" si="937"/>
        <v/>
      </c>
    </row>
    <row r="56794" spans="8:8" x14ac:dyDescent="0.3">
      <c r="H56794" t="str">
        <f t="shared" si="937"/>
        <v/>
      </c>
    </row>
    <row r="56795" spans="8:8" x14ac:dyDescent="0.3">
      <c r="H56795" t="str">
        <f t="shared" si="937"/>
        <v/>
      </c>
    </row>
    <row r="56796" spans="8:8" x14ac:dyDescent="0.3">
      <c r="H56796" t="str">
        <f t="shared" si="937"/>
        <v/>
      </c>
    </row>
    <row r="56797" spans="8:8" x14ac:dyDescent="0.3">
      <c r="H56797" t="str">
        <f t="shared" si="937"/>
        <v/>
      </c>
    </row>
    <row r="56798" spans="8:8" x14ac:dyDescent="0.3">
      <c r="H56798" t="str">
        <f t="shared" si="937"/>
        <v/>
      </c>
    </row>
    <row r="56799" spans="8:8" x14ac:dyDescent="0.3">
      <c r="H56799" t="str">
        <f t="shared" si="937"/>
        <v/>
      </c>
    </row>
    <row r="56800" spans="8:8" x14ac:dyDescent="0.3">
      <c r="H56800" t="str">
        <f t="shared" si="937"/>
        <v/>
      </c>
    </row>
    <row r="56801" spans="8:8" x14ac:dyDescent="0.3">
      <c r="H56801" t="str">
        <f t="shared" si="937"/>
        <v/>
      </c>
    </row>
    <row r="56802" spans="8:8" x14ac:dyDescent="0.3">
      <c r="H56802" t="str">
        <f t="shared" si="937"/>
        <v/>
      </c>
    </row>
    <row r="56803" spans="8:8" x14ac:dyDescent="0.3">
      <c r="H56803" t="str">
        <f t="shared" si="937"/>
        <v/>
      </c>
    </row>
    <row r="56804" spans="8:8" x14ac:dyDescent="0.3">
      <c r="H56804" t="str">
        <f t="shared" si="937"/>
        <v/>
      </c>
    </row>
    <row r="56805" spans="8:8" x14ac:dyDescent="0.3">
      <c r="H56805" t="str">
        <f t="shared" si="937"/>
        <v/>
      </c>
    </row>
    <row r="56806" spans="8:8" x14ac:dyDescent="0.3">
      <c r="H56806" t="str">
        <f t="shared" si="937"/>
        <v/>
      </c>
    </row>
    <row r="56807" spans="8:8" x14ac:dyDescent="0.3">
      <c r="H56807" t="str">
        <f t="shared" si="937"/>
        <v/>
      </c>
    </row>
    <row r="56808" spans="8:8" x14ac:dyDescent="0.3">
      <c r="H56808" t="str">
        <f t="shared" si="937"/>
        <v/>
      </c>
    </row>
    <row r="56809" spans="8:8" x14ac:dyDescent="0.3">
      <c r="H56809" t="str">
        <f t="shared" si="937"/>
        <v/>
      </c>
    </row>
    <row r="56810" spans="8:8" x14ac:dyDescent="0.3">
      <c r="H56810" t="str">
        <f t="shared" si="937"/>
        <v/>
      </c>
    </row>
    <row r="56811" spans="8:8" x14ac:dyDescent="0.3">
      <c r="H56811" t="str">
        <f t="shared" si="937"/>
        <v/>
      </c>
    </row>
    <row r="56812" spans="8:8" x14ac:dyDescent="0.3">
      <c r="H56812" t="str">
        <f t="shared" si="937"/>
        <v/>
      </c>
    </row>
    <row r="56813" spans="8:8" x14ac:dyDescent="0.3">
      <c r="H56813" t="str">
        <f t="shared" si="937"/>
        <v/>
      </c>
    </row>
    <row r="56814" spans="8:8" x14ac:dyDescent="0.3">
      <c r="H56814" t="str">
        <f t="shared" si="937"/>
        <v/>
      </c>
    </row>
    <row r="56815" spans="8:8" x14ac:dyDescent="0.3">
      <c r="H56815" t="str">
        <f t="shared" si="937"/>
        <v/>
      </c>
    </row>
    <row r="56816" spans="8:8" x14ac:dyDescent="0.3">
      <c r="H56816" t="str">
        <f t="shared" si="937"/>
        <v/>
      </c>
    </row>
    <row r="56817" spans="8:8" x14ac:dyDescent="0.3">
      <c r="H56817" t="str">
        <f t="shared" si="937"/>
        <v/>
      </c>
    </row>
    <row r="56818" spans="8:8" x14ac:dyDescent="0.3">
      <c r="H56818" t="str">
        <f t="shared" si="937"/>
        <v/>
      </c>
    </row>
    <row r="56819" spans="8:8" x14ac:dyDescent="0.3">
      <c r="H56819" t="str">
        <f t="shared" si="937"/>
        <v/>
      </c>
    </row>
    <row r="56820" spans="8:8" x14ac:dyDescent="0.3">
      <c r="H56820" t="str">
        <f t="shared" si="937"/>
        <v/>
      </c>
    </row>
    <row r="56821" spans="8:8" x14ac:dyDescent="0.3">
      <c r="H56821" t="str">
        <f t="shared" si="937"/>
        <v/>
      </c>
    </row>
    <row r="56822" spans="8:8" x14ac:dyDescent="0.3">
      <c r="H56822" t="str">
        <f t="shared" si="937"/>
        <v/>
      </c>
    </row>
    <row r="56823" spans="8:8" x14ac:dyDescent="0.3">
      <c r="H56823" t="str">
        <f t="shared" si="937"/>
        <v/>
      </c>
    </row>
    <row r="56824" spans="8:8" x14ac:dyDescent="0.3">
      <c r="H56824" t="str">
        <f t="shared" si="937"/>
        <v/>
      </c>
    </row>
    <row r="56825" spans="8:8" x14ac:dyDescent="0.3">
      <c r="H56825" t="str">
        <f t="shared" si="937"/>
        <v/>
      </c>
    </row>
    <row r="56826" spans="8:8" x14ac:dyDescent="0.3">
      <c r="H56826" t="str">
        <f t="shared" si="937"/>
        <v/>
      </c>
    </row>
    <row r="56827" spans="8:8" x14ac:dyDescent="0.3">
      <c r="H56827" t="str">
        <f t="shared" si="937"/>
        <v/>
      </c>
    </row>
    <row r="56828" spans="8:8" x14ac:dyDescent="0.3">
      <c r="H56828" t="str">
        <f t="shared" si="937"/>
        <v/>
      </c>
    </row>
    <row r="56829" spans="8:8" x14ac:dyDescent="0.3">
      <c r="H56829" t="str">
        <f t="shared" si="937"/>
        <v/>
      </c>
    </row>
    <row r="56830" spans="8:8" x14ac:dyDescent="0.3">
      <c r="H56830" t="str">
        <f t="shared" si="937"/>
        <v/>
      </c>
    </row>
    <row r="56831" spans="8:8" x14ac:dyDescent="0.3">
      <c r="H56831" t="str">
        <f t="shared" si="937"/>
        <v/>
      </c>
    </row>
    <row r="56832" spans="8:8" x14ac:dyDescent="0.3">
      <c r="H56832" t="str">
        <f t="shared" si="937"/>
        <v/>
      </c>
    </row>
    <row r="56833" spans="8:8" x14ac:dyDescent="0.3">
      <c r="H56833" t="str">
        <f t="shared" si="937"/>
        <v/>
      </c>
    </row>
    <row r="56834" spans="8:8" x14ac:dyDescent="0.3">
      <c r="H56834" t="str">
        <f t="shared" si="937"/>
        <v/>
      </c>
    </row>
    <row r="56835" spans="8:8" x14ac:dyDescent="0.3">
      <c r="H56835" t="str">
        <f t="shared" si="937"/>
        <v/>
      </c>
    </row>
    <row r="56836" spans="8:8" x14ac:dyDescent="0.3">
      <c r="H56836" t="str">
        <f t="shared" si="937"/>
        <v/>
      </c>
    </row>
    <row r="56837" spans="8:8" x14ac:dyDescent="0.3">
      <c r="H56837" t="str">
        <f t="shared" si="937"/>
        <v/>
      </c>
    </row>
    <row r="56838" spans="8:8" x14ac:dyDescent="0.3">
      <c r="H56838" t="str">
        <f t="shared" si="937"/>
        <v/>
      </c>
    </row>
    <row r="56839" spans="8:8" x14ac:dyDescent="0.3">
      <c r="H56839" t="str">
        <f t="shared" si="937"/>
        <v/>
      </c>
    </row>
    <row r="56840" spans="8:8" x14ac:dyDescent="0.3">
      <c r="H56840" t="str">
        <f t="shared" si="937"/>
        <v/>
      </c>
    </row>
    <row r="56841" spans="8:8" x14ac:dyDescent="0.3">
      <c r="H56841" t="str">
        <f t="shared" si="937"/>
        <v/>
      </c>
    </row>
    <row r="56842" spans="8:8" x14ac:dyDescent="0.3">
      <c r="H56842" t="str">
        <f t="shared" si="937"/>
        <v/>
      </c>
    </row>
    <row r="56843" spans="8:8" x14ac:dyDescent="0.3">
      <c r="H56843" t="str">
        <f t="shared" si="937"/>
        <v/>
      </c>
    </row>
    <row r="56844" spans="8:8" x14ac:dyDescent="0.3">
      <c r="H56844" t="str">
        <f t="shared" si="937"/>
        <v/>
      </c>
    </row>
    <row r="56845" spans="8:8" x14ac:dyDescent="0.3">
      <c r="H56845" t="str">
        <f t="shared" si="937"/>
        <v/>
      </c>
    </row>
    <row r="56846" spans="8:8" x14ac:dyDescent="0.3">
      <c r="H56846" t="str">
        <f t="shared" si="937"/>
        <v/>
      </c>
    </row>
    <row r="56847" spans="8:8" x14ac:dyDescent="0.3">
      <c r="H56847" t="str">
        <f t="shared" si="937"/>
        <v/>
      </c>
    </row>
    <row r="56848" spans="8:8" x14ac:dyDescent="0.3">
      <c r="H56848" t="str">
        <f t="shared" si="937"/>
        <v/>
      </c>
    </row>
    <row r="56849" spans="8:8" x14ac:dyDescent="0.3">
      <c r="H56849" t="str">
        <f t="shared" si="937"/>
        <v/>
      </c>
    </row>
    <row r="56850" spans="8:8" x14ac:dyDescent="0.3">
      <c r="H56850" t="str">
        <f t="shared" si="937"/>
        <v/>
      </c>
    </row>
    <row r="56851" spans="8:8" x14ac:dyDescent="0.3">
      <c r="H56851" t="str">
        <f t="shared" si="937"/>
        <v/>
      </c>
    </row>
    <row r="56852" spans="8:8" x14ac:dyDescent="0.3">
      <c r="H56852" t="str">
        <f t="shared" si="937"/>
        <v/>
      </c>
    </row>
    <row r="56853" spans="8:8" x14ac:dyDescent="0.3">
      <c r="H56853" t="str">
        <f t="shared" si="937"/>
        <v/>
      </c>
    </row>
    <row r="56854" spans="8:8" x14ac:dyDescent="0.3">
      <c r="H56854" t="str">
        <f t="shared" si="937"/>
        <v/>
      </c>
    </row>
    <row r="56855" spans="8:8" x14ac:dyDescent="0.3">
      <c r="H56855" t="str">
        <f t="shared" ref="H56855:H56918" si="938">IF(B56855="","",$C$12)</f>
        <v/>
      </c>
    </row>
    <row r="56856" spans="8:8" x14ac:dyDescent="0.3">
      <c r="H56856" t="str">
        <f t="shared" si="938"/>
        <v/>
      </c>
    </row>
    <row r="56857" spans="8:8" x14ac:dyDescent="0.3">
      <c r="H56857" t="str">
        <f t="shared" si="938"/>
        <v/>
      </c>
    </row>
    <row r="56858" spans="8:8" x14ac:dyDescent="0.3">
      <c r="H56858" t="str">
        <f t="shared" si="938"/>
        <v/>
      </c>
    </row>
    <row r="56859" spans="8:8" x14ac:dyDescent="0.3">
      <c r="H56859" t="str">
        <f t="shared" si="938"/>
        <v/>
      </c>
    </row>
    <row r="56860" spans="8:8" x14ac:dyDescent="0.3">
      <c r="H56860" t="str">
        <f t="shared" si="938"/>
        <v/>
      </c>
    </row>
    <row r="56861" spans="8:8" x14ac:dyDescent="0.3">
      <c r="H56861" t="str">
        <f t="shared" si="938"/>
        <v/>
      </c>
    </row>
    <row r="56862" spans="8:8" x14ac:dyDescent="0.3">
      <c r="H56862" t="str">
        <f t="shared" si="938"/>
        <v/>
      </c>
    </row>
    <row r="56863" spans="8:8" x14ac:dyDescent="0.3">
      <c r="H56863" t="str">
        <f t="shared" si="938"/>
        <v/>
      </c>
    </row>
    <row r="56864" spans="8:8" x14ac:dyDescent="0.3">
      <c r="H56864" t="str">
        <f t="shared" si="938"/>
        <v/>
      </c>
    </row>
    <row r="56865" spans="8:8" x14ac:dyDescent="0.3">
      <c r="H56865" t="str">
        <f t="shared" si="938"/>
        <v/>
      </c>
    </row>
    <row r="56866" spans="8:8" x14ac:dyDescent="0.3">
      <c r="H56866" t="str">
        <f t="shared" si="938"/>
        <v/>
      </c>
    </row>
    <row r="56867" spans="8:8" x14ac:dyDescent="0.3">
      <c r="H56867" t="str">
        <f t="shared" si="938"/>
        <v/>
      </c>
    </row>
    <row r="56868" spans="8:8" x14ac:dyDescent="0.3">
      <c r="H56868" t="str">
        <f t="shared" si="938"/>
        <v/>
      </c>
    </row>
    <row r="56869" spans="8:8" x14ac:dyDescent="0.3">
      <c r="H56869" t="str">
        <f t="shared" si="938"/>
        <v/>
      </c>
    </row>
    <row r="56870" spans="8:8" x14ac:dyDescent="0.3">
      <c r="H56870" t="str">
        <f t="shared" si="938"/>
        <v/>
      </c>
    </row>
    <row r="56871" spans="8:8" x14ac:dyDescent="0.3">
      <c r="H56871" t="str">
        <f t="shared" si="938"/>
        <v/>
      </c>
    </row>
    <row r="56872" spans="8:8" x14ac:dyDescent="0.3">
      <c r="H56872" t="str">
        <f t="shared" si="938"/>
        <v/>
      </c>
    </row>
    <row r="56873" spans="8:8" x14ac:dyDescent="0.3">
      <c r="H56873" t="str">
        <f t="shared" si="938"/>
        <v/>
      </c>
    </row>
    <row r="56874" spans="8:8" x14ac:dyDescent="0.3">
      <c r="H56874" t="str">
        <f t="shared" si="938"/>
        <v/>
      </c>
    </row>
    <row r="56875" spans="8:8" x14ac:dyDescent="0.3">
      <c r="H56875" t="str">
        <f t="shared" si="938"/>
        <v/>
      </c>
    </row>
    <row r="56876" spans="8:8" x14ac:dyDescent="0.3">
      <c r="H56876" t="str">
        <f t="shared" si="938"/>
        <v/>
      </c>
    </row>
    <row r="56877" spans="8:8" x14ac:dyDescent="0.3">
      <c r="H56877" t="str">
        <f t="shared" si="938"/>
        <v/>
      </c>
    </row>
    <row r="56878" spans="8:8" x14ac:dyDescent="0.3">
      <c r="H56878" t="str">
        <f t="shared" si="938"/>
        <v/>
      </c>
    </row>
    <row r="56879" spans="8:8" x14ac:dyDescent="0.3">
      <c r="H56879" t="str">
        <f t="shared" si="938"/>
        <v/>
      </c>
    </row>
    <row r="56880" spans="8:8" x14ac:dyDescent="0.3">
      <c r="H56880" t="str">
        <f t="shared" si="938"/>
        <v/>
      </c>
    </row>
    <row r="56881" spans="8:8" x14ac:dyDescent="0.3">
      <c r="H56881" t="str">
        <f t="shared" si="938"/>
        <v/>
      </c>
    </row>
    <row r="56882" spans="8:8" x14ac:dyDescent="0.3">
      <c r="H56882" t="str">
        <f t="shared" si="938"/>
        <v/>
      </c>
    </row>
    <row r="56883" spans="8:8" x14ac:dyDescent="0.3">
      <c r="H56883" t="str">
        <f t="shared" si="938"/>
        <v/>
      </c>
    </row>
    <row r="56884" spans="8:8" x14ac:dyDescent="0.3">
      <c r="H56884" t="str">
        <f t="shared" si="938"/>
        <v/>
      </c>
    </row>
    <row r="56885" spans="8:8" x14ac:dyDescent="0.3">
      <c r="H56885" t="str">
        <f t="shared" si="938"/>
        <v/>
      </c>
    </row>
    <row r="56886" spans="8:8" x14ac:dyDescent="0.3">
      <c r="H56886" t="str">
        <f t="shared" si="938"/>
        <v/>
      </c>
    </row>
    <row r="56887" spans="8:8" x14ac:dyDescent="0.3">
      <c r="H56887" t="str">
        <f t="shared" si="938"/>
        <v/>
      </c>
    </row>
    <row r="56888" spans="8:8" x14ac:dyDescent="0.3">
      <c r="H56888" t="str">
        <f t="shared" si="938"/>
        <v/>
      </c>
    </row>
    <row r="56889" spans="8:8" x14ac:dyDescent="0.3">
      <c r="H56889" t="str">
        <f t="shared" si="938"/>
        <v/>
      </c>
    </row>
    <row r="56890" spans="8:8" x14ac:dyDescent="0.3">
      <c r="H56890" t="str">
        <f t="shared" si="938"/>
        <v/>
      </c>
    </row>
    <row r="56891" spans="8:8" x14ac:dyDescent="0.3">
      <c r="H56891" t="str">
        <f t="shared" si="938"/>
        <v/>
      </c>
    </row>
    <row r="56892" spans="8:8" x14ac:dyDescent="0.3">
      <c r="H56892" t="str">
        <f t="shared" si="938"/>
        <v/>
      </c>
    </row>
    <row r="56893" spans="8:8" x14ac:dyDescent="0.3">
      <c r="H56893" t="str">
        <f t="shared" si="938"/>
        <v/>
      </c>
    </row>
    <row r="56894" spans="8:8" x14ac:dyDescent="0.3">
      <c r="H56894" t="str">
        <f t="shared" si="938"/>
        <v/>
      </c>
    </row>
    <row r="56895" spans="8:8" x14ac:dyDescent="0.3">
      <c r="H56895" t="str">
        <f t="shared" si="938"/>
        <v/>
      </c>
    </row>
    <row r="56896" spans="8:8" x14ac:dyDescent="0.3">
      <c r="H56896" t="str">
        <f t="shared" si="938"/>
        <v/>
      </c>
    </row>
    <row r="56897" spans="8:8" x14ac:dyDescent="0.3">
      <c r="H56897" t="str">
        <f t="shared" si="938"/>
        <v/>
      </c>
    </row>
    <row r="56898" spans="8:8" x14ac:dyDescent="0.3">
      <c r="H56898" t="str">
        <f t="shared" si="938"/>
        <v/>
      </c>
    </row>
    <row r="56899" spans="8:8" x14ac:dyDescent="0.3">
      <c r="H56899" t="str">
        <f t="shared" si="938"/>
        <v/>
      </c>
    </row>
    <row r="56900" spans="8:8" x14ac:dyDescent="0.3">
      <c r="H56900" t="str">
        <f t="shared" si="938"/>
        <v/>
      </c>
    </row>
    <row r="56901" spans="8:8" x14ac:dyDescent="0.3">
      <c r="H56901" t="str">
        <f t="shared" si="938"/>
        <v/>
      </c>
    </row>
    <row r="56902" spans="8:8" x14ac:dyDescent="0.3">
      <c r="H56902" t="str">
        <f t="shared" si="938"/>
        <v/>
      </c>
    </row>
    <row r="56903" spans="8:8" x14ac:dyDescent="0.3">
      <c r="H56903" t="str">
        <f t="shared" si="938"/>
        <v/>
      </c>
    </row>
    <row r="56904" spans="8:8" x14ac:dyDescent="0.3">
      <c r="H56904" t="str">
        <f t="shared" si="938"/>
        <v/>
      </c>
    </row>
    <row r="56905" spans="8:8" x14ac:dyDescent="0.3">
      <c r="H56905" t="str">
        <f t="shared" si="938"/>
        <v/>
      </c>
    </row>
    <row r="56906" spans="8:8" x14ac:dyDescent="0.3">
      <c r="H56906" t="str">
        <f t="shared" si="938"/>
        <v/>
      </c>
    </row>
    <row r="56907" spans="8:8" x14ac:dyDescent="0.3">
      <c r="H56907" t="str">
        <f t="shared" si="938"/>
        <v/>
      </c>
    </row>
    <row r="56908" spans="8:8" x14ac:dyDescent="0.3">
      <c r="H56908" t="str">
        <f t="shared" si="938"/>
        <v/>
      </c>
    </row>
    <row r="56909" spans="8:8" x14ac:dyDescent="0.3">
      <c r="H56909" t="str">
        <f t="shared" si="938"/>
        <v/>
      </c>
    </row>
    <row r="56910" spans="8:8" x14ac:dyDescent="0.3">
      <c r="H56910" t="str">
        <f t="shared" si="938"/>
        <v/>
      </c>
    </row>
    <row r="56911" spans="8:8" x14ac:dyDescent="0.3">
      <c r="H56911" t="str">
        <f t="shared" si="938"/>
        <v/>
      </c>
    </row>
    <row r="56912" spans="8:8" x14ac:dyDescent="0.3">
      <c r="H56912" t="str">
        <f t="shared" si="938"/>
        <v/>
      </c>
    </row>
    <row r="56913" spans="8:8" x14ac:dyDescent="0.3">
      <c r="H56913" t="str">
        <f t="shared" si="938"/>
        <v/>
      </c>
    </row>
    <row r="56914" spans="8:8" x14ac:dyDescent="0.3">
      <c r="H56914" t="str">
        <f t="shared" si="938"/>
        <v/>
      </c>
    </row>
    <row r="56915" spans="8:8" x14ac:dyDescent="0.3">
      <c r="H56915" t="str">
        <f t="shared" si="938"/>
        <v/>
      </c>
    </row>
    <row r="56916" spans="8:8" x14ac:dyDescent="0.3">
      <c r="H56916" t="str">
        <f t="shared" si="938"/>
        <v/>
      </c>
    </row>
    <row r="56917" spans="8:8" x14ac:dyDescent="0.3">
      <c r="H56917" t="str">
        <f t="shared" si="938"/>
        <v/>
      </c>
    </row>
    <row r="56918" spans="8:8" x14ac:dyDescent="0.3">
      <c r="H56918" t="str">
        <f t="shared" si="938"/>
        <v/>
      </c>
    </row>
    <row r="56919" spans="8:8" x14ac:dyDescent="0.3">
      <c r="H56919" t="str">
        <f t="shared" ref="H56919:H56982" si="939">IF(B56919="","",$C$12)</f>
        <v/>
      </c>
    </row>
    <row r="56920" spans="8:8" x14ac:dyDescent="0.3">
      <c r="H56920" t="str">
        <f t="shared" si="939"/>
        <v/>
      </c>
    </row>
    <row r="56921" spans="8:8" x14ac:dyDescent="0.3">
      <c r="H56921" t="str">
        <f t="shared" si="939"/>
        <v/>
      </c>
    </row>
    <row r="56922" spans="8:8" x14ac:dyDescent="0.3">
      <c r="H56922" t="str">
        <f t="shared" si="939"/>
        <v/>
      </c>
    </row>
    <row r="56923" spans="8:8" x14ac:dyDescent="0.3">
      <c r="H56923" t="str">
        <f t="shared" si="939"/>
        <v/>
      </c>
    </row>
    <row r="56924" spans="8:8" x14ac:dyDescent="0.3">
      <c r="H56924" t="str">
        <f t="shared" si="939"/>
        <v/>
      </c>
    </row>
    <row r="56925" spans="8:8" x14ac:dyDescent="0.3">
      <c r="H56925" t="str">
        <f t="shared" si="939"/>
        <v/>
      </c>
    </row>
    <row r="56926" spans="8:8" x14ac:dyDescent="0.3">
      <c r="H56926" t="str">
        <f t="shared" si="939"/>
        <v/>
      </c>
    </row>
    <row r="56927" spans="8:8" x14ac:dyDescent="0.3">
      <c r="H56927" t="str">
        <f t="shared" si="939"/>
        <v/>
      </c>
    </row>
    <row r="56928" spans="8:8" x14ac:dyDescent="0.3">
      <c r="H56928" t="str">
        <f t="shared" si="939"/>
        <v/>
      </c>
    </row>
    <row r="56929" spans="8:8" x14ac:dyDescent="0.3">
      <c r="H56929" t="str">
        <f t="shared" si="939"/>
        <v/>
      </c>
    </row>
    <row r="56930" spans="8:8" x14ac:dyDescent="0.3">
      <c r="H56930" t="str">
        <f t="shared" si="939"/>
        <v/>
      </c>
    </row>
    <row r="56931" spans="8:8" x14ac:dyDescent="0.3">
      <c r="H56931" t="str">
        <f t="shared" si="939"/>
        <v/>
      </c>
    </row>
    <row r="56932" spans="8:8" x14ac:dyDescent="0.3">
      <c r="H56932" t="str">
        <f t="shared" si="939"/>
        <v/>
      </c>
    </row>
    <row r="56933" spans="8:8" x14ac:dyDescent="0.3">
      <c r="H56933" t="str">
        <f t="shared" si="939"/>
        <v/>
      </c>
    </row>
    <row r="56934" spans="8:8" x14ac:dyDescent="0.3">
      <c r="H56934" t="str">
        <f t="shared" si="939"/>
        <v/>
      </c>
    </row>
    <row r="56935" spans="8:8" x14ac:dyDescent="0.3">
      <c r="H56935" t="str">
        <f t="shared" si="939"/>
        <v/>
      </c>
    </row>
    <row r="56936" spans="8:8" x14ac:dyDescent="0.3">
      <c r="H56936" t="str">
        <f t="shared" si="939"/>
        <v/>
      </c>
    </row>
    <row r="56937" spans="8:8" x14ac:dyDescent="0.3">
      <c r="H56937" t="str">
        <f t="shared" si="939"/>
        <v/>
      </c>
    </row>
    <row r="56938" spans="8:8" x14ac:dyDescent="0.3">
      <c r="H56938" t="str">
        <f t="shared" si="939"/>
        <v/>
      </c>
    </row>
    <row r="56939" spans="8:8" x14ac:dyDescent="0.3">
      <c r="H56939" t="str">
        <f t="shared" si="939"/>
        <v/>
      </c>
    </row>
    <row r="56940" spans="8:8" x14ac:dyDescent="0.3">
      <c r="H56940" t="str">
        <f t="shared" si="939"/>
        <v/>
      </c>
    </row>
    <row r="56941" spans="8:8" x14ac:dyDescent="0.3">
      <c r="H56941" t="str">
        <f t="shared" si="939"/>
        <v/>
      </c>
    </row>
    <row r="56942" spans="8:8" x14ac:dyDescent="0.3">
      <c r="H56942" t="str">
        <f t="shared" si="939"/>
        <v/>
      </c>
    </row>
    <row r="56943" spans="8:8" x14ac:dyDescent="0.3">
      <c r="H56943" t="str">
        <f t="shared" si="939"/>
        <v/>
      </c>
    </row>
    <row r="56944" spans="8:8" x14ac:dyDescent="0.3">
      <c r="H56944" t="str">
        <f t="shared" si="939"/>
        <v/>
      </c>
    </row>
    <row r="56945" spans="8:8" x14ac:dyDescent="0.3">
      <c r="H56945" t="str">
        <f t="shared" si="939"/>
        <v/>
      </c>
    </row>
    <row r="56946" spans="8:8" x14ac:dyDescent="0.3">
      <c r="H56946" t="str">
        <f t="shared" si="939"/>
        <v/>
      </c>
    </row>
    <row r="56947" spans="8:8" x14ac:dyDescent="0.3">
      <c r="H56947" t="str">
        <f t="shared" si="939"/>
        <v/>
      </c>
    </row>
    <row r="56948" spans="8:8" x14ac:dyDescent="0.3">
      <c r="H56948" t="str">
        <f t="shared" si="939"/>
        <v/>
      </c>
    </row>
    <row r="56949" spans="8:8" x14ac:dyDescent="0.3">
      <c r="H56949" t="str">
        <f t="shared" si="939"/>
        <v/>
      </c>
    </row>
    <row r="56950" spans="8:8" x14ac:dyDescent="0.3">
      <c r="H56950" t="str">
        <f t="shared" si="939"/>
        <v/>
      </c>
    </row>
    <row r="56951" spans="8:8" x14ac:dyDescent="0.3">
      <c r="H56951" t="str">
        <f t="shared" si="939"/>
        <v/>
      </c>
    </row>
    <row r="56952" spans="8:8" x14ac:dyDescent="0.3">
      <c r="H56952" t="str">
        <f t="shared" si="939"/>
        <v/>
      </c>
    </row>
    <row r="56953" spans="8:8" x14ac:dyDescent="0.3">
      <c r="H56953" t="str">
        <f t="shared" si="939"/>
        <v/>
      </c>
    </row>
    <row r="56954" spans="8:8" x14ac:dyDescent="0.3">
      <c r="H56954" t="str">
        <f t="shared" si="939"/>
        <v/>
      </c>
    </row>
    <row r="56955" spans="8:8" x14ac:dyDescent="0.3">
      <c r="H56955" t="str">
        <f t="shared" si="939"/>
        <v/>
      </c>
    </row>
    <row r="56956" spans="8:8" x14ac:dyDescent="0.3">
      <c r="H56956" t="str">
        <f t="shared" si="939"/>
        <v/>
      </c>
    </row>
    <row r="56957" spans="8:8" x14ac:dyDescent="0.3">
      <c r="H56957" t="str">
        <f t="shared" si="939"/>
        <v/>
      </c>
    </row>
    <row r="56958" spans="8:8" x14ac:dyDescent="0.3">
      <c r="H56958" t="str">
        <f t="shared" si="939"/>
        <v/>
      </c>
    </row>
    <row r="56959" spans="8:8" x14ac:dyDescent="0.3">
      <c r="H56959" t="str">
        <f t="shared" si="939"/>
        <v/>
      </c>
    </row>
    <row r="56960" spans="8:8" x14ac:dyDescent="0.3">
      <c r="H56960" t="str">
        <f t="shared" si="939"/>
        <v/>
      </c>
    </row>
    <row r="56961" spans="8:8" x14ac:dyDescent="0.3">
      <c r="H56961" t="str">
        <f t="shared" si="939"/>
        <v/>
      </c>
    </row>
    <row r="56962" spans="8:8" x14ac:dyDescent="0.3">
      <c r="H56962" t="str">
        <f t="shared" si="939"/>
        <v/>
      </c>
    </row>
    <row r="56963" spans="8:8" x14ac:dyDescent="0.3">
      <c r="H56963" t="str">
        <f t="shared" si="939"/>
        <v/>
      </c>
    </row>
    <row r="56964" spans="8:8" x14ac:dyDescent="0.3">
      <c r="H56964" t="str">
        <f t="shared" si="939"/>
        <v/>
      </c>
    </row>
    <row r="56965" spans="8:8" x14ac:dyDescent="0.3">
      <c r="H56965" t="str">
        <f t="shared" si="939"/>
        <v/>
      </c>
    </row>
    <row r="56966" spans="8:8" x14ac:dyDescent="0.3">
      <c r="H56966" t="str">
        <f t="shared" si="939"/>
        <v/>
      </c>
    </row>
    <row r="56967" spans="8:8" x14ac:dyDescent="0.3">
      <c r="H56967" t="str">
        <f t="shared" si="939"/>
        <v/>
      </c>
    </row>
    <row r="56968" spans="8:8" x14ac:dyDescent="0.3">
      <c r="H56968" t="str">
        <f t="shared" si="939"/>
        <v/>
      </c>
    </row>
    <row r="56969" spans="8:8" x14ac:dyDescent="0.3">
      <c r="H56969" t="str">
        <f t="shared" si="939"/>
        <v/>
      </c>
    </row>
    <row r="56970" spans="8:8" x14ac:dyDescent="0.3">
      <c r="H56970" t="str">
        <f t="shared" si="939"/>
        <v/>
      </c>
    </row>
    <row r="56971" spans="8:8" x14ac:dyDescent="0.3">
      <c r="H56971" t="str">
        <f t="shared" si="939"/>
        <v/>
      </c>
    </row>
    <row r="56972" spans="8:8" x14ac:dyDescent="0.3">
      <c r="H56972" t="str">
        <f t="shared" si="939"/>
        <v/>
      </c>
    </row>
    <row r="56973" spans="8:8" x14ac:dyDescent="0.3">
      <c r="H56973" t="str">
        <f t="shared" si="939"/>
        <v/>
      </c>
    </row>
    <row r="56974" spans="8:8" x14ac:dyDescent="0.3">
      <c r="H56974" t="str">
        <f t="shared" si="939"/>
        <v/>
      </c>
    </row>
    <row r="56975" spans="8:8" x14ac:dyDescent="0.3">
      <c r="H56975" t="str">
        <f t="shared" si="939"/>
        <v/>
      </c>
    </row>
    <row r="56976" spans="8:8" x14ac:dyDescent="0.3">
      <c r="H56976" t="str">
        <f t="shared" si="939"/>
        <v/>
      </c>
    </row>
    <row r="56977" spans="8:8" x14ac:dyDescent="0.3">
      <c r="H56977" t="str">
        <f t="shared" si="939"/>
        <v/>
      </c>
    </row>
    <row r="56978" spans="8:8" x14ac:dyDescent="0.3">
      <c r="H56978" t="str">
        <f t="shared" si="939"/>
        <v/>
      </c>
    </row>
    <row r="56979" spans="8:8" x14ac:dyDescent="0.3">
      <c r="H56979" t="str">
        <f t="shared" si="939"/>
        <v/>
      </c>
    </row>
    <row r="56980" spans="8:8" x14ac:dyDescent="0.3">
      <c r="H56980" t="str">
        <f t="shared" si="939"/>
        <v/>
      </c>
    </row>
    <row r="56981" spans="8:8" x14ac:dyDescent="0.3">
      <c r="H56981" t="str">
        <f t="shared" si="939"/>
        <v/>
      </c>
    </row>
    <row r="56982" spans="8:8" x14ac:dyDescent="0.3">
      <c r="H56982" t="str">
        <f t="shared" si="939"/>
        <v/>
      </c>
    </row>
    <row r="56983" spans="8:8" x14ac:dyDescent="0.3">
      <c r="H56983" t="str">
        <f t="shared" ref="H56983:H57046" si="940">IF(B56983="","",$C$12)</f>
        <v/>
      </c>
    </row>
    <row r="56984" spans="8:8" x14ac:dyDescent="0.3">
      <c r="H56984" t="str">
        <f t="shared" si="940"/>
        <v/>
      </c>
    </row>
    <row r="56985" spans="8:8" x14ac:dyDescent="0.3">
      <c r="H56985" t="str">
        <f t="shared" si="940"/>
        <v/>
      </c>
    </row>
    <row r="56986" spans="8:8" x14ac:dyDescent="0.3">
      <c r="H56986" t="str">
        <f t="shared" si="940"/>
        <v/>
      </c>
    </row>
    <row r="56987" spans="8:8" x14ac:dyDescent="0.3">
      <c r="H56987" t="str">
        <f t="shared" si="940"/>
        <v/>
      </c>
    </row>
    <row r="56988" spans="8:8" x14ac:dyDescent="0.3">
      <c r="H56988" t="str">
        <f t="shared" si="940"/>
        <v/>
      </c>
    </row>
    <row r="56989" spans="8:8" x14ac:dyDescent="0.3">
      <c r="H56989" t="str">
        <f t="shared" si="940"/>
        <v/>
      </c>
    </row>
    <row r="56990" spans="8:8" x14ac:dyDescent="0.3">
      <c r="H56990" t="str">
        <f t="shared" si="940"/>
        <v/>
      </c>
    </row>
    <row r="56991" spans="8:8" x14ac:dyDescent="0.3">
      <c r="H56991" t="str">
        <f t="shared" si="940"/>
        <v/>
      </c>
    </row>
    <row r="56992" spans="8:8" x14ac:dyDescent="0.3">
      <c r="H56992" t="str">
        <f t="shared" si="940"/>
        <v/>
      </c>
    </row>
    <row r="56993" spans="8:8" x14ac:dyDescent="0.3">
      <c r="H56993" t="str">
        <f t="shared" si="940"/>
        <v/>
      </c>
    </row>
    <row r="56994" spans="8:8" x14ac:dyDescent="0.3">
      <c r="H56994" t="str">
        <f t="shared" si="940"/>
        <v/>
      </c>
    </row>
    <row r="56995" spans="8:8" x14ac:dyDescent="0.3">
      <c r="H56995" t="str">
        <f t="shared" si="940"/>
        <v/>
      </c>
    </row>
    <row r="56996" spans="8:8" x14ac:dyDescent="0.3">
      <c r="H56996" t="str">
        <f t="shared" si="940"/>
        <v/>
      </c>
    </row>
    <row r="56997" spans="8:8" x14ac:dyDescent="0.3">
      <c r="H56997" t="str">
        <f t="shared" si="940"/>
        <v/>
      </c>
    </row>
    <row r="56998" spans="8:8" x14ac:dyDescent="0.3">
      <c r="H56998" t="str">
        <f t="shared" si="940"/>
        <v/>
      </c>
    </row>
    <row r="56999" spans="8:8" x14ac:dyDescent="0.3">
      <c r="H56999" t="str">
        <f t="shared" si="940"/>
        <v/>
      </c>
    </row>
    <row r="57000" spans="8:8" x14ac:dyDescent="0.3">
      <c r="H57000" t="str">
        <f t="shared" si="940"/>
        <v/>
      </c>
    </row>
    <row r="57001" spans="8:8" x14ac:dyDescent="0.3">
      <c r="H57001" t="str">
        <f t="shared" si="940"/>
        <v/>
      </c>
    </row>
    <row r="57002" spans="8:8" x14ac:dyDescent="0.3">
      <c r="H57002" t="str">
        <f t="shared" si="940"/>
        <v/>
      </c>
    </row>
    <row r="57003" spans="8:8" x14ac:dyDescent="0.3">
      <c r="H57003" t="str">
        <f t="shared" si="940"/>
        <v/>
      </c>
    </row>
    <row r="57004" spans="8:8" x14ac:dyDescent="0.3">
      <c r="H57004" t="str">
        <f t="shared" si="940"/>
        <v/>
      </c>
    </row>
    <row r="57005" spans="8:8" x14ac:dyDescent="0.3">
      <c r="H57005" t="str">
        <f t="shared" si="940"/>
        <v/>
      </c>
    </row>
    <row r="57006" spans="8:8" x14ac:dyDescent="0.3">
      <c r="H57006" t="str">
        <f t="shared" si="940"/>
        <v/>
      </c>
    </row>
    <row r="57007" spans="8:8" x14ac:dyDescent="0.3">
      <c r="H57007" t="str">
        <f t="shared" si="940"/>
        <v/>
      </c>
    </row>
    <row r="57008" spans="8:8" x14ac:dyDescent="0.3">
      <c r="H57008" t="str">
        <f t="shared" si="940"/>
        <v/>
      </c>
    </row>
    <row r="57009" spans="8:8" x14ac:dyDescent="0.3">
      <c r="H57009" t="str">
        <f t="shared" si="940"/>
        <v/>
      </c>
    </row>
    <row r="57010" spans="8:8" x14ac:dyDescent="0.3">
      <c r="H57010" t="str">
        <f t="shared" si="940"/>
        <v/>
      </c>
    </row>
    <row r="57011" spans="8:8" x14ac:dyDescent="0.3">
      <c r="H57011" t="str">
        <f t="shared" si="940"/>
        <v/>
      </c>
    </row>
    <row r="57012" spans="8:8" x14ac:dyDescent="0.3">
      <c r="H57012" t="str">
        <f t="shared" si="940"/>
        <v/>
      </c>
    </row>
    <row r="57013" spans="8:8" x14ac:dyDescent="0.3">
      <c r="H57013" t="str">
        <f t="shared" si="940"/>
        <v/>
      </c>
    </row>
    <row r="57014" spans="8:8" x14ac:dyDescent="0.3">
      <c r="H57014" t="str">
        <f t="shared" si="940"/>
        <v/>
      </c>
    </row>
    <row r="57015" spans="8:8" x14ac:dyDescent="0.3">
      <c r="H57015" t="str">
        <f t="shared" si="940"/>
        <v/>
      </c>
    </row>
    <row r="57016" spans="8:8" x14ac:dyDescent="0.3">
      <c r="H57016" t="str">
        <f t="shared" si="940"/>
        <v/>
      </c>
    </row>
    <row r="57017" spans="8:8" x14ac:dyDescent="0.3">
      <c r="H57017" t="str">
        <f t="shared" si="940"/>
        <v/>
      </c>
    </row>
    <row r="57018" spans="8:8" x14ac:dyDescent="0.3">
      <c r="H57018" t="str">
        <f t="shared" si="940"/>
        <v/>
      </c>
    </row>
    <row r="57019" spans="8:8" x14ac:dyDescent="0.3">
      <c r="H57019" t="str">
        <f t="shared" si="940"/>
        <v/>
      </c>
    </row>
    <row r="57020" spans="8:8" x14ac:dyDescent="0.3">
      <c r="H57020" t="str">
        <f t="shared" si="940"/>
        <v/>
      </c>
    </row>
    <row r="57021" spans="8:8" x14ac:dyDescent="0.3">
      <c r="H57021" t="str">
        <f t="shared" si="940"/>
        <v/>
      </c>
    </row>
    <row r="57022" spans="8:8" x14ac:dyDescent="0.3">
      <c r="H57022" t="str">
        <f t="shared" si="940"/>
        <v/>
      </c>
    </row>
    <row r="57023" spans="8:8" x14ac:dyDescent="0.3">
      <c r="H57023" t="str">
        <f t="shared" si="940"/>
        <v/>
      </c>
    </row>
    <row r="57024" spans="8:8" x14ac:dyDescent="0.3">
      <c r="H57024" t="str">
        <f t="shared" si="940"/>
        <v/>
      </c>
    </row>
    <row r="57025" spans="8:8" x14ac:dyDescent="0.3">
      <c r="H57025" t="str">
        <f t="shared" si="940"/>
        <v/>
      </c>
    </row>
    <row r="57026" spans="8:8" x14ac:dyDescent="0.3">
      <c r="H57026" t="str">
        <f t="shared" si="940"/>
        <v/>
      </c>
    </row>
    <row r="57027" spans="8:8" x14ac:dyDescent="0.3">
      <c r="H57027" t="str">
        <f t="shared" si="940"/>
        <v/>
      </c>
    </row>
    <row r="57028" spans="8:8" x14ac:dyDescent="0.3">
      <c r="H57028" t="str">
        <f t="shared" si="940"/>
        <v/>
      </c>
    </row>
    <row r="57029" spans="8:8" x14ac:dyDescent="0.3">
      <c r="H57029" t="str">
        <f t="shared" si="940"/>
        <v/>
      </c>
    </row>
    <row r="57030" spans="8:8" x14ac:dyDescent="0.3">
      <c r="H57030" t="str">
        <f t="shared" si="940"/>
        <v/>
      </c>
    </row>
    <row r="57031" spans="8:8" x14ac:dyDescent="0.3">
      <c r="H57031" t="str">
        <f t="shared" si="940"/>
        <v/>
      </c>
    </row>
    <row r="57032" spans="8:8" x14ac:dyDescent="0.3">
      <c r="H57032" t="str">
        <f t="shared" si="940"/>
        <v/>
      </c>
    </row>
    <row r="57033" spans="8:8" x14ac:dyDescent="0.3">
      <c r="H57033" t="str">
        <f t="shared" si="940"/>
        <v/>
      </c>
    </row>
    <row r="57034" spans="8:8" x14ac:dyDescent="0.3">
      <c r="H57034" t="str">
        <f t="shared" si="940"/>
        <v/>
      </c>
    </row>
    <row r="57035" spans="8:8" x14ac:dyDescent="0.3">
      <c r="H57035" t="str">
        <f t="shared" si="940"/>
        <v/>
      </c>
    </row>
    <row r="57036" spans="8:8" x14ac:dyDescent="0.3">
      <c r="H57036" t="str">
        <f t="shared" si="940"/>
        <v/>
      </c>
    </row>
    <row r="57037" spans="8:8" x14ac:dyDescent="0.3">
      <c r="H57037" t="str">
        <f t="shared" si="940"/>
        <v/>
      </c>
    </row>
    <row r="57038" spans="8:8" x14ac:dyDescent="0.3">
      <c r="H57038" t="str">
        <f t="shared" si="940"/>
        <v/>
      </c>
    </row>
    <row r="57039" spans="8:8" x14ac:dyDescent="0.3">
      <c r="H57039" t="str">
        <f t="shared" si="940"/>
        <v/>
      </c>
    </row>
    <row r="57040" spans="8:8" x14ac:dyDescent="0.3">
      <c r="H57040" t="str">
        <f t="shared" si="940"/>
        <v/>
      </c>
    </row>
    <row r="57041" spans="8:8" x14ac:dyDescent="0.3">
      <c r="H57041" t="str">
        <f t="shared" si="940"/>
        <v/>
      </c>
    </row>
    <row r="57042" spans="8:8" x14ac:dyDescent="0.3">
      <c r="H57042" t="str">
        <f t="shared" si="940"/>
        <v/>
      </c>
    </row>
    <row r="57043" spans="8:8" x14ac:dyDescent="0.3">
      <c r="H57043" t="str">
        <f t="shared" si="940"/>
        <v/>
      </c>
    </row>
    <row r="57044" spans="8:8" x14ac:dyDescent="0.3">
      <c r="H57044" t="str">
        <f t="shared" si="940"/>
        <v/>
      </c>
    </row>
    <row r="57045" spans="8:8" x14ac:dyDescent="0.3">
      <c r="H57045" t="str">
        <f t="shared" si="940"/>
        <v/>
      </c>
    </row>
    <row r="57046" spans="8:8" x14ac:dyDescent="0.3">
      <c r="H57046" t="str">
        <f t="shared" si="940"/>
        <v/>
      </c>
    </row>
    <row r="57047" spans="8:8" x14ac:dyDescent="0.3">
      <c r="H57047" t="str">
        <f t="shared" ref="H57047:H57110" si="941">IF(B57047="","",$C$12)</f>
        <v/>
      </c>
    </row>
    <row r="57048" spans="8:8" x14ac:dyDescent="0.3">
      <c r="H57048" t="str">
        <f t="shared" si="941"/>
        <v/>
      </c>
    </row>
    <row r="57049" spans="8:8" x14ac:dyDescent="0.3">
      <c r="H57049" t="str">
        <f t="shared" si="941"/>
        <v/>
      </c>
    </row>
    <row r="57050" spans="8:8" x14ac:dyDescent="0.3">
      <c r="H57050" t="str">
        <f t="shared" si="941"/>
        <v/>
      </c>
    </row>
    <row r="57051" spans="8:8" x14ac:dyDescent="0.3">
      <c r="H57051" t="str">
        <f t="shared" si="941"/>
        <v/>
      </c>
    </row>
    <row r="57052" spans="8:8" x14ac:dyDescent="0.3">
      <c r="H57052" t="str">
        <f t="shared" si="941"/>
        <v/>
      </c>
    </row>
    <row r="57053" spans="8:8" x14ac:dyDescent="0.3">
      <c r="H57053" t="str">
        <f t="shared" si="941"/>
        <v/>
      </c>
    </row>
    <row r="57054" spans="8:8" x14ac:dyDescent="0.3">
      <c r="H57054" t="str">
        <f t="shared" si="941"/>
        <v/>
      </c>
    </row>
    <row r="57055" spans="8:8" x14ac:dyDescent="0.3">
      <c r="H57055" t="str">
        <f t="shared" si="941"/>
        <v/>
      </c>
    </row>
    <row r="57056" spans="8:8" x14ac:dyDescent="0.3">
      <c r="H57056" t="str">
        <f t="shared" si="941"/>
        <v/>
      </c>
    </row>
    <row r="57057" spans="8:8" x14ac:dyDescent="0.3">
      <c r="H57057" t="str">
        <f t="shared" si="941"/>
        <v/>
      </c>
    </row>
    <row r="57058" spans="8:8" x14ac:dyDescent="0.3">
      <c r="H57058" t="str">
        <f t="shared" si="941"/>
        <v/>
      </c>
    </row>
    <row r="57059" spans="8:8" x14ac:dyDescent="0.3">
      <c r="H57059" t="str">
        <f t="shared" si="941"/>
        <v/>
      </c>
    </row>
    <row r="57060" spans="8:8" x14ac:dyDescent="0.3">
      <c r="H57060" t="str">
        <f t="shared" si="941"/>
        <v/>
      </c>
    </row>
    <row r="57061" spans="8:8" x14ac:dyDescent="0.3">
      <c r="H57061" t="str">
        <f t="shared" si="941"/>
        <v/>
      </c>
    </row>
    <row r="57062" spans="8:8" x14ac:dyDescent="0.3">
      <c r="H57062" t="str">
        <f t="shared" si="941"/>
        <v/>
      </c>
    </row>
    <row r="57063" spans="8:8" x14ac:dyDescent="0.3">
      <c r="H57063" t="str">
        <f t="shared" si="941"/>
        <v/>
      </c>
    </row>
    <row r="57064" spans="8:8" x14ac:dyDescent="0.3">
      <c r="H57064" t="str">
        <f t="shared" si="941"/>
        <v/>
      </c>
    </row>
    <row r="57065" spans="8:8" x14ac:dyDescent="0.3">
      <c r="H57065" t="str">
        <f t="shared" si="941"/>
        <v/>
      </c>
    </row>
    <row r="57066" spans="8:8" x14ac:dyDescent="0.3">
      <c r="H57066" t="str">
        <f t="shared" si="941"/>
        <v/>
      </c>
    </row>
    <row r="57067" spans="8:8" x14ac:dyDescent="0.3">
      <c r="H57067" t="str">
        <f t="shared" si="941"/>
        <v/>
      </c>
    </row>
    <row r="57068" spans="8:8" x14ac:dyDescent="0.3">
      <c r="H57068" t="str">
        <f t="shared" si="941"/>
        <v/>
      </c>
    </row>
    <row r="57069" spans="8:8" x14ac:dyDescent="0.3">
      <c r="H57069" t="str">
        <f t="shared" si="941"/>
        <v/>
      </c>
    </row>
    <row r="57070" spans="8:8" x14ac:dyDescent="0.3">
      <c r="H57070" t="str">
        <f t="shared" si="941"/>
        <v/>
      </c>
    </row>
    <row r="57071" spans="8:8" x14ac:dyDescent="0.3">
      <c r="H57071" t="str">
        <f t="shared" si="941"/>
        <v/>
      </c>
    </row>
    <row r="57072" spans="8:8" x14ac:dyDescent="0.3">
      <c r="H57072" t="str">
        <f t="shared" si="941"/>
        <v/>
      </c>
    </row>
    <row r="57073" spans="8:8" x14ac:dyDescent="0.3">
      <c r="H57073" t="str">
        <f t="shared" si="941"/>
        <v/>
      </c>
    </row>
    <row r="57074" spans="8:8" x14ac:dyDescent="0.3">
      <c r="H57074" t="str">
        <f t="shared" si="941"/>
        <v/>
      </c>
    </row>
    <row r="57075" spans="8:8" x14ac:dyDescent="0.3">
      <c r="H57075" t="str">
        <f t="shared" si="941"/>
        <v/>
      </c>
    </row>
    <row r="57076" spans="8:8" x14ac:dyDescent="0.3">
      <c r="H57076" t="str">
        <f t="shared" si="941"/>
        <v/>
      </c>
    </row>
    <row r="57077" spans="8:8" x14ac:dyDescent="0.3">
      <c r="H57077" t="str">
        <f t="shared" si="941"/>
        <v/>
      </c>
    </row>
    <row r="57078" spans="8:8" x14ac:dyDescent="0.3">
      <c r="H57078" t="str">
        <f t="shared" si="941"/>
        <v/>
      </c>
    </row>
    <row r="57079" spans="8:8" x14ac:dyDescent="0.3">
      <c r="H57079" t="str">
        <f t="shared" si="941"/>
        <v/>
      </c>
    </row>
    <row r="57080" spans="8:8" x14ac:dyDescent="0.3">
      <c r="H57080" t="str">
        <f t="shared" si="941"/>
        <v/>
      </c>
    </row>
    <row r="57081" spans="8:8" x14ac:dyDescent="0.3">
      <c r="H57081" t="str">
        <f t="shared" si="941"/>
        <v/>
      </c>
    </row>
    <row r="57082" spans="8:8" x14ac:dyDescent="0.3">
      <c r="H57082" t="str">
        <f t="shared" si="941"/>
        <v/>
      </c>
    </row>
    <row r="57083" spans="8:8" x14ac:dyDescent="0.3">
      <c r="H57083" t="str">
        <f t="shared" si="941"/>
        <v/>
      </c>
    </row>
    <row r="57084" spans="8:8" x14ac:dyDescent="0.3">
      <c r="H57084" t="str">
        <f t="shared" si="941"/>
        <v/>
      </c>
    </row>
    <row r="57085" spans="8:8" x14ac:dyDescent="0.3">
      <c r="H57085" t="str">
        <f t="shared" si="941"/>
        <v/>
      </c>
    </row>
    <row r="57086" spans="8:8" x14ac:dyDescent="0.3">
      <c r="H57086" t="str">
        <f t="shared" si="941"/>
        <v/>
      </c>
    </row>
    <row r="57087" spans="8:8" x14ac:dyDescent="0.3">
      <c r="H57087" t="str">
        <f t="shared" si="941"/>
        <v/>
      </c>
    </row>
    <row r="57088" spans="8:8" x14ac:dyDescent="0.3">
      <c r="H57088" t="str">
        <f t="shared" si="941"/>
        <v/>
      </c>
    </row>
    <row r="57089" spans="8:8" x14ac:dyDescent="0.3">
      <c r="H57089" t="str">
        <f t="shared" si="941"/>
        <v/>
      </c>
    </row>
    <row r="57090" spans="8:8" x14ac:dyDescent="0.3">
      <c r="H57090" t="str">
        <f t="shared" si="941"/>
        <v/>
      </c>
    </row>
    <row r="57091" spans="8:8" x14ac:dyDescent="0.3">
      <c r="H57091" t="str">
        <f t="shared" si="941"/>
        <v/>
      </c>
    </row>
    <row r="57092" spans="8:8" x14ac:dyDescent="0.3">
      <c r="H57092" t="str">
        <f t="shared" si="941"/>
        <v/>
      </c>
    </row>
    <row r="57093" spans="8:8" x14ac:dyDescent="0.3">
      <c r="H57093" t="str">
        <f t="shared" si="941"/>
        <v/>
      </c>
    </row>
    <row r="57094" spans="8:8" x14ac:dyDescent="0.3">
      <c r="H57094" t="str">
        <f t="shared" si="941"/>
        <v/>
      </c>
    </row>
    <row r="57095" spans="8:8" x14ac:dyDescent="0.3">
      <c r="H57095" t="str">
        <f t="shared" si="941"/>
        <v/>
      </c>
    </row>
    <row r="57096" spans="8:8" x14ac:dyDescent="0.3">
      <c r="H57096" t="str">
        <f t="shared" si="941"/>
        <v/>
      </c>
    </row>
    <row r="57097" spans="8:8" x14ac:dyDescent="0.3">
      <c r="H57097" t="str">
        <f t="shared" si="941"/>
        <v/>
      </c>
    </row>
    <row r="57098" spans="8:8" x14ac:dyDescent="0.3">
      <c r="H57098" t="str">
        <f t="shared" si="941"/>
        <v/>
      </c>
    </row>
    <row r="57099" spans="8:8" x14ac:dyDescent="0.3">
      <c r="H57099" t="str">
        <f t="shared" si="941"/>
        <v/>
      </c>
    </row>
    <row r="57100" spans="8:8" x14ac:dyDescent="0.3">
      <c r="H57100" t="str">
        <f t="shared" si="941"/>
        <v/>
      </c>
    </row>
    <row r="57101" spans="8:8" x14ac:dyDescent="0.3">
      <c r="H57101" t="str">
        <f t="shared" si="941"/>
        <v/>
      </c>
    </row>
    <row r="57102" spans="8:8" x14ac:dyDescent="0.3">
      <c r="H57102" t="str">
        <f t="shared" si="941"/>
        <v/>
      </c>
    </row>
    <row r="57103" spans="8:8" x14ac:dyDescent="0.3">
      <c r="H57103" t="str">
        <f t="shared" si="941"/>
        <v/>
      </c>
    </row>
    <row r="57104" spans="8:8" x14ac:dyDescent="0.3">
      <c r="H57104" t="str">
        <f t="shared" si="941"/>
        <v/>
      </c>
    </row>
    <row r="57105" spans="8:8" x14ac:dyDescent="0.3">
      <c r="H57105" t="str">
        <f t="shared" si="941"/>
        <v/>
      </c>
    </row>
    <row r="57106" spans="8:8" x14ac:dyDescent="0.3">
      <c r="H57106" t="str">
        <f t="shared" si="941"/>
        <v/>
      </c>
    </row>
    <row r="57107" spans="8:8" x14ac:dyDescent="0.3">
      <c r="H57107" t="str">
        <f t="shared" si="941"/>
        <v/>
      </c>
    </row>
    <row r="57108" spans="8:8" x14ac:dyDescent="0.3">
      <c r="H57108" t="str">
        <f t="shared" si="941"/>
        <v/>
      </c>
    </row>
    <row r="57109" spans="8:8" x14ac:dyDescent="0.3">
      <c r="H57109" t="str">
        <f t="shared" si="941"/>
        <v/>
      </c>
    </row>
    <row r="57110" spans="8:8" x14ac:dyDescent="0.3">
      <c r="H57110" t="str">
        <f t="shared" si="941"/>
        <v/>
      </c>
    </row>
    <row r="57111" spans="8:8" x14ac:dyDescent="0.3">
      <c r="H57111" t="str">
        <f t="shared" ref="H57111:H57174" si="942">IF(B57111="","",$C$12)</f>
        <v/>
      </c>
    </row>
    <row r="57112" spans="8:8" x14ac:dyDescent="0.3">
      <c r="H57112" t="str">
        <f t="shared" si="942"/>
        <v/>
      </c>
    </row>
    <row r="57113" spans="8:8" x14ac:dyDescent="0.3">
      <c r="H57113" t="str">
        <f t="shared" si="942"/>
        <v/>
      </c>
    </row>
    <row r="57114" spans="8:8" x14ac:dyDescent="0.3">
      <c r="H57114" t="str">
        <f t="shared" si="942"/>
        <v/>
      </c>
    </row>
    <row r="57115" spans="8:8" x14ac:dyDescent="0.3">
      <c r="H57115" t="str">
        <f t="shared" si="942"/>
        <v/>
      </c>
    </row>
    <row r="57116" spans="8:8" x14ac:dyDescent="0.3">
      <c r="H57116" t="str">
        <f t="shared" si="942"/>
        <v/>
      </c>
    </row>
    <row r="57117" spans="8:8" x14ac:dyDescent="0.3">
      <c r="H57117" t="str">
        <f t="shared" si="942"/>
        <v/>
      </c>
    </row>
    <row r="57118" spans="8:8" x14ac:dyDescent="0.3">
      <c r="H57118" t="str">
        <f t="shared" si="942"/>
        <v/>
      </c>
    </row>
    <row r="57119" spans="8:8" x14ac:dyDescent="0.3">
      <c r="H57119" t="str">
        <f t="shared" si="942"/>
        <v/>
      </c>
    </row>
    <row r="57120" spans="8:8" x14ac:dyDescent="0.3">
      <c r="H57120" t="str">
        <f t="shared" si="942"/>
        <v/>
      </c>
    </row>
    <row r="57121" spans="8:8" x14ac:dyDescent="0.3">
      <c r="H57121" t="str">
        <f t="shared" si="942"/>
        <v/>
      </c>
    </row>
    <row r="57122" spans="8:8" x14ac:dyDescent="0.3">
      <c r="H57122" t="str">
        <f t="shared" si="942"/>
        <v/>
      </c>
    </row>
    <row r="57123" spans="8:8" x14ac:dyDescent="0.3">
      <c r="H57123" t="str">
        <f t="shared" si="942"/>
        <v/>
      </c>
    </row>
    <row r="57124" spans="8:8" x14ac:dyDescent="0.3">
      <c r="H57124" t="str">
        <f t="shared" si="942"/>
        <v/>
      </c>
    </row>
    <row r="57125" spans="8:8" x14ac:dyDescent="0.3">
      <c r="H57125" t="str">
        <f t="shared" si="942"/>
        <v/>
      </c>
    </row>
    <row r="57126" spans="8:8" x14ac:dyDescent="0.3">
      <c r="H57126" t="str">
        <f t="shared" si="942"/>
        <v/>
      </c>
    </row>
    <row r="57127" spans="8:8" x14ac:dyDescent="0.3">
      <c r="H57127" t="str">
        <f t="shared" si="942"/>
        <v/>
      </c>
    </row>
    <row r="57128" spans="8:8" x14ac:dyDescent="0.3">
      <c r="H57128" t="str">
        <f t="shared" si="942"/>
        <v/>
      </c>
    </row>
    <row r="57129" spans="8:8" x14ac:dyDescent="0.3">
      <c r="H57129" t="str">
        <f t="shared" si="942"/>
        <v/>
      </c>
    </row>
    <row r="57130" spans="8:8" x14ac:dyDescent="0.3">
      <c r="H57130" t="str">
        <f t="shared" si="942"/>
        <v/>
      </c>
    </row>
    <row r="57131" spans="8:8" x14ac:dyDescent="0.3">
      <c r="H57131" t="str">
        <f t="shared" si="942"/>
        <v/>
      </c>
    </row>
    <row r="57132" spans="8:8" x14ac:dyDescent="0.3">
      <c r="H57132" t="str">
        <f t="shared" si="942"/>
        <v/>
      </c>
    </row>
    <row r="57133" spans="8:8" x14ac:dyDescent="0.3">
      <c r="H57133" t="str">
        <f t="shared" si="942"/>
        <v/>
      </c>
    </row>
    <row r="57134" spans="8:8" x14ac:dyDescent="0.3">
      <c r="H57134" t="str">
        <f t="shared" si="942"/>
        <v/>
      </c>
    </row>
    <row r="57135" spans="8:8" x14ac:dyDescent="0.3">
      <c r="H57135" t="str">
        <f t="shared" si="942"/>
        <v/>
      </c>
    </row>
    <row r="57136" spans="8:8" x14ac:dyDescent="0.3">
      <c r="H57136" t="str">
        <f t="shared" si="942"/>
        <v/>
      </c>
    </row>
    <row r="57137" spans="8:8" x14ac:dyDescent="0.3">
      <c r="H57137" t="str">
        <f t="shared" si="942"/>
        <v/>
      </c>
    </row>
    <row r="57138" spans="8:8" x14ac:dyDescent="0.3">
      <c r="H57138" t="str">
        <f t="shared" si="942"/>
        <v/>
      </c>
    </row>
    <row r="57139" spans="8:8" x14ac:dyDescent="0.3">
      <c r="H57139" t="str">
        <f t="shared" si="942"/>
        <v/>
      </c>
    </row>
    <row r="57140" spans="8:8" x14ac:dyDescent="0.3">
      <c r="H57140" t="str">
        <f t="shared" si="942"/>
        <v/>
      </c>
    </row>
    <row r="57141" spans="8:8" x14ac:dyDescent="0.3">
      <c r="H57141" t="str">
        <f t="shared" si="942"/>
        <v/>
      </c>
    </row>
    <row r="57142" spans="8:8" x14ac:dyDescent="0.3">
      <c r="H57142" t="str">
        <f t="shared" si="942"/>
        <v/>
      </c>
    </row>
    <row r="57143" spans="8:8" x14ac:dyDescent="0.3">
      <c r="H57143" t="str">
        <f t="shared" si="942"/>
        <v/>
      </c>
    </row>
    <row r="57144" spans="8:8" x14ac:dyDescent="0.3">
      <c r="H57144" t="str">
        <f t="shared" si="942"/>
        <v/>
      </c>
    </row>
    <row r="57145" spans="8:8" x14ac:dyDescent="0.3">
      <c r="H57145" t="str">
        <f t="shared" si="942"/>
        <v/>
      </c>
    </row>
    <row r="57146" spans="8:8" x14ac:dyDescent="0.3">
      <c r="H57146" t="str">
        <f t="shared" si="942"/>
        <v/>
      </c>
    </row>
    <row r="57147" spans="8:8" x14ac:dyDescent="0.3">
      <c r="H57147" t="str">
        <f t="shared" si="942"/>
        <v/>
      </c>
    </row>
    <row r="57148" spans="8:8" x14ac:dyDescent="0.3">
      <c r="H57148" t="str">
        <f t="shared" si="942"/>
        <v/>
      </c>
    </row>
    <row r="57149" spans="8:8" x14ac:dyDescent="0.3">
      <c r="H57149" t="str">
        <f t="shared" si="942"/>
        <v/>
      </c>
    </row>
    <row r="57150" spans="8:8" x14ac:dyDescent="0.3">
      <c r="H57150" t="str">
        <f t="shared" si="942"/>
        <v/>
      </c>
    </row>
    <row r="57151" spans="8:8" x14ac:dyDescent="0.3">
      <c r="H57151" t="str">
        <f t="shared" si="942"/>
        <v/>
      </c>
    </row>
    <row r="57152" spans="8:8" x14ac:dyDescent="0.3">
      <c r="H57152" t="str">
        <f t="shared" si="942"/>
        <v/>
      </c>
    </row>
    <row r="57153" spans="8:8" x14ac:dyDescent="0.3">
      <c r="H57153" t="str">
        <f t="shared" si="942"/>
        <v/>
      </c>
    </row>
    <row r="57154" spans="8:8" x14ac:dyDescent="0.3">
      <c r="H57154" t="str">
        <f t="shared" si="942"/>
        <v/>
      </c>
    </row>
    <row r="57155" spans="8:8" x14ac:dyDescent="0.3">
      <c r="H57155" t="str">
        <f t="shared" si="942"/>
        <v/>
      </c>
    </row>
    <row r="57156" spans="8:8" x14ac:dyDescent="0.3">
      <c r="H57156" t="str">
        <f t="shared" si="942"/>
        <v/>
      </c>
    </row>
    <row r="57157" spans="8:8" x14ac:dyDescent="0.3">
      <c r="H57157" t="str">
        <f t="shared" si="942"/>
        <v/>
      </c>
    </row>
    <row r="57158" spans="8:8" x14ac:dyDescent="0.3">
      <c r="H57158" t="str">
        <f t="shared" si="942"/>
        <v/>
      </c>
    </row>
    <row r="57159" spans="8:8" x14ac:dyDescent="0.3">
      <c r="H57159" t="str">
        <f t="shared" si="942"/>
        <v/>
      </c>
    </row>
    <row r="57160" spans="8:8" x14ac:dyDescent="0.3">
      <c r="H57160" t="str">
        <f t="shared" si="942"/>
        <v/>
      </c>
    </row>
    <row r="57161" spans="8:8" x14ac:dyDescent="0.3">
      <c r="H57161" t="str">
        <f t="shared" si="942"/>
        <v/>
      </c>
    </row>
    <row r="57162" spans="8:8" x14ac:dyDescent="0.3">
      <c r="H57162" t="str">
        <f t="shared" si="942"/>
        <v/>
      </c>
    </row>
    <row r="57163" spans="8:8" x14ac:dyDescent="0.3">
      <c r="H57163" t="str">
        <f t="shared" si="942"/>
        <v/>
      </c>
    </row>
    <row r="57164" spans="8:8" x14ac:dyDescent="0.3">
      <c r="H57164" t="str">
        <f t="shared" si="942"/>
        <v/>
      </c>
    </row>
    <row r="57165" spans="8:8" x14ac:dyDescent="0.3">
      <c r="H57165" t="str">
        <f t="shared" si="942"/>
        <v/>
      </c>
    </row>
    <row r="57166" spans="8:8" x14ac:dyDescent="0.3">
      <c r="H57166" t="str">
        <f t="shared" si="942"/>
        <v/>
      </c>
    </row>
    <row r="57167" spans="8:8" x14ac:dyDescent="0.3">
      <c r="H57167" t="str">
        <f t="shared" si="942"/>
        <v/>
      </c>
    </row>
    <row r="57168" spans="8:8" x14ac:dyDescent="0.3">
      <c r="H57168" t="str">
        <f t="shared" si="942"/>
        <v/>
      </c>
    </row>
    <row r="57169" spans="8:8" x14ac:dyDescent="0.3">
      <c r="H57169" t="str">
        <f t="shared" si="942"/>
        <v/>
      </c>
    </row>
    <row r="57170" spans="8:8" x14ac:dyDescent="0.3">
      <c r="H57170" t="str">
        <f t="shared" si="942"/>
        <v/>
      </c>
    </row>
    <row r="57171" spans="8:8" x14ac:dyDescent="0.3">
      <c r="H57171" t="str">
        <f t="shared" si="942"/>
        <v/>
      </c>
    </row>
    <row r="57172" spans="8:8" x14ac:dyDescent="0.3">
      <c r="H57172" t="str">
        <f t="shared" si="942"/>
        <v/>
      </c>
    </row>
    <row r="57173" spans="8:8" x14ac:dyDescent="0.3">
      <c r="H57173" t="str">
        <f t="shared" si="942"/>
        <v/>
      </c>
    </row>
    <row r="57174" spans="8:8" x14ac:dyDescent="0.3">
      <c r="H57174" t="str">
        <f t="shared" si="942"/>
        <v/>
      </c>
    </row>
    <row r="57175" spans="8:8" x14ac:dyDescent="0.3">
      <c r="H57175" t="str">
        <f t="shared" ref="H57175:H57238" si="943">IF(B57175="","",$C$12)</f>
        <v/>
      </c>
    </row>
    <row r="57176" spans="8:8" x14ac:dyDescent="0.3">
      <c r="H57176" t="str">
        <f t="shared" si="943"/>
        <v/>
      </c>
    </row>
    <row r="57177" spans="8:8" x14ac:dyDescent="0.3">
      <c r="H57177" t="str">
        <f t="shared" si="943"/>
        <v/>
      </c>
    </row>
    <row r="57178" spans="8:8" x14ac:dyDescent="0.3">
      <c r="H57178" t="str">
        <f t="shared" si="943"/>
        <v/>
      </c>
    </row>
    <row r="57179" spans="8:8" x14ac:dyDescent="0.3">
      <c r="H57179" t="str">
        <f t="shared" si="943"/>
        <v/>
      </c>
    </row>
    <row r="57180" spans="8:8" x14ac:dyDescent="0.3">
      <c r="H57180" t="str">
        <f t="shared" si="943"/>
        <v/>
      </c>
    </row>
    <row r="57181" spans="8:8" x14ac:dyDescent="0.3">
      <c r="H57181" t="str">
        <f t="shared" si="943"/>
        <v/>
      </c>
    </row>
    <row r="57182" spans="8:8" x14ac:dyDescent="0.3">
      <c r="H57182" t="str">
        <f t="shared" si="943"/>
        <v/>
      </c>
    </row>
    <row r="57183" spans="8:8" x14ac:dyDescent="0.3">
      <c r="H57183" t="str">
        <f t="shared" si="943"/>
        <v/>
      </c>
    </row>
    <row r="57184" spans="8:8" x14ac:dyDescent="0.3">
      <c r="H57184" t="str">
        <f t="shared" si="943"/>
        <v/>
      </c>
    </row>
    <row r="57185" spans="8:8" x14ac:dyDescent="0.3">
      <c r="H57185" t="str">
        <f t="shared" si="943"/>
        <v/>
      </c>
    </row>
    <row r="57186" spans="8:8" x14ac:dyDescent="0.3">
      <c r="H57186" t="str">
        <f t="shared" si="943"/>
        <v/>
      </c>
    </row>
    <row r="57187" spans="8:8" x14ac:dyDescent="0.3">
      <c r="H57187" t="str">
        <f t="shared" si="943"/>
        <v/>
      </c>
    </row>
    <row r="57188" spans="8:8" x14ac:dyDescent="0.3">
      <c r="H57188" t="str">
        <f t="shared" si="943"/>
        <v/>
      </c>
    </row>
    <row r="57189" spans="8:8" x14ac:dyDescent="0.3">
      <c r="H57189" t="str">
        <f t="shared" si="943"/>
        <v/>
      </c>
    </row>
    <row r="57190" spans="8:8" x14ac:dyDescent="0.3">
      <c r="H57190" t="str">
        <f t="shared" si="943"/>
        <v/>
      </c>
    </row>
    <row r="57191" spans="8:8" x14ac:dyDescent="0.3">
      <c r="H57191" t="str">
        <f t="shared" si="943"/>
        <v/>
      </c>
    </row>
    <row r="57192" spans="8:8" x14ac:dyDescent="0.3">
      <c r="H57192" t="str">
        <f t="shared" si="943"/>
        <v/>
      </c>
    </row>
    <row r="57193" spans="8:8" x14ac:dyDescent="0.3">
      <c r="H57193" t="str">
        <f t="shared" si="943"/>
        <v/>
      </c>
    </row>
    <row r="57194" spans="8:8" x14ac:dyDescent="0.3">
      <c r="H57194" t="str">
        <f t="shared" si="943"/>
        <v/>
      </c>
    </row>
    <row r="57195" spans="8:8" x14ac:dyDescent="0.3">
      <c r="H57195" t="str">
        <f t="shared" si="943"/>
        <v/>
      </c>
    </row>
    <row r="57196" spans="8:8" x14ac:dyDescent="0.3">
      <c r="H57196" t="str">
        <f t="shared" si="943"/>
        <v/>
      </c>
    </row>
    <row r="57197" spans="8:8" x14ac:dyDescent="0.3">
      <c r="H57197" t="str">
        <f t="shared" si="943"/>
        <v/>
      </c>
    </row>
    <row r="57198" spans="8:8" x14ac:dyDescent="0.3">
      <c r="H57198" t="str">
        <f t="shared" si="943"/>
        <v/>
      </c>
    </row>
    <row r="57199" spans="8:8" x14ac:dyDescent="0.3">
      <c r="H57199" t="str">
        <f t="shared" si="943"/>
        <v/>
      </c>
    </row>
    <row r="57200" spans="8:8" x14ac:dyDescent="0.3">
      <c r="H57200" t="str">
        <f t="shared" si="943"/>
        <v/>
      </c>
    </row>
    <row r="57201" spans="8:8" x14ac:dyDescent="0.3">
      <c r="H57201" t="str">
        <f t="shared" si="943"/>
        <v/>
      </c>
    </row>
    <row r="57202" spans="8:8" x14ac:dyDescent="0.3">
      <c r="H57202" t="str">
        <f t="shared" si="943"/>
        <v/>
      </c>
    </row>
    <row r="57203" spans="8:8" x14ac:dyDescent="0.3">
      <c r="H57203" t="str">
        <f t="shared" si="943"/>
        <v/>
      </c>
    </row>
    <row r="57204" spans="8:8" x14ac:dyDescent="0.3">
      <c r="H57204" t="str">
        <f t="shared" si="943"/>
        <v/>
      </c>
    </row>
    <row r="57205" spans="8:8" x14ac:dyDescent="0.3">
      <c r="H57205" t="str">
        <f t="shared" si="943"/>
        <v/>
      </c>
    </row>
    <row r="57206" spans="8:8" x14ac:dyDescent="0.3">
      <c r="H57206" t="str">
        <f t="shared" si="943"/>
        <v/>
      </c>
    </row>
    <row r="57207" spans="8:8" x14ac:dyDescent="0.3">
      <c r="H57207" t="str">
        <f t="shared" si="943"/>
        <v/>
      </c>
    </row>
    <row r="57208" spans="8:8" x14ac:dyDescent="0.3">
      <c r="H57208" t="str">
        <f t="shared" si="943"/>
        <v/>
      </c>
    </row>
    <row r="57209" spans="8:8" x14ac:dyDescent="0.3">
      <c r="H57209" t="str">
        <f t="shared" si="943"/>
        <v/>
      </c>
    </row>
    <row r="57210" spans="8:8" x14ac:dyDescent="0.3">
      <c r="H57210" t="str">
        <f t="shared" si="943"/>
        <v/>
      </c>
    </row>
    <row r="57211" spans="8:8" x14ac:dyDescent="0.3">
      <c r="H57211" t="str">
        <f t="shared" si="943"/>
        <v/>
      </c>
    </row>
    <row r="57212" spans="8:8" x14ac:dyDescent="0.3">
      <c r="H57212" t="str">
        <f t="shared" si="943"/>
        <v/>
      </c>
    </row>
    <row r="57213" spans="8:8" x14ac:dyDescent="0.3">
      <c r="H57213" t="str">
        <f t="shared" si="943"/>
        <v/>
      </c>
    </row>
    <row r="57214" spans="8:8" x14ac:dyDescent="0.3">
      <c r="H57214" t="str">
        <f t="shared" si="943"/>
        <v/>
      </c>
    </row>
    <row r="57215" spans="8:8" x14ac:dyDescent="0.3">
      <c r="H57215" t="str">
        <f t="shared" si="943"/>
        <v/>
      </c>
    </row>
    <row r="57216" spans="8:8" x14ac:dyDescent="0.3">
      <c r="H57216" t="str">
        <f t="shared" si="943"/>
        <v/>
      </c>
    </row>
    <row r="57217" spans="8:8" x14ac:dyDescent="0.3">
      <c r="H57217" t="str">
        <f t="shared" si="943"/>
        <v/>
      </c>
    </row>
    <row r="57218" spans="8:8" x14ac:dyDescent="0.3">
      <c r="H57218" t="str">
        <f t="shared" si="943"/>
        <v/>
      </c>
    </row>
    <row r="57219" spans="8:8" x14ac:dyDescent="0.3">
      <c r="H57219" t="str">
        <f t="shared" si="943"/>
        <v/>
      </c>
    </row>
    <row r="57220" spans="8:8" x14ac:dyDescent="0.3">
      <c r="H57220" t="str">
        <f t="shared" si="943"/>
        <v/>
      </c>
    </row>
    <row r="57221" spans="8:8" x14ac:dyDescent="0.3">
      <c r="H57221" t="str">
        <f t="shared" si="943"/>
        <v/>
      </c>
    </row>
    <row r="57222" spans="8:8" x14ac:dyDescent="0.3">
      <c r="H57222" t="str">
        <f t="shared" si="943"/>
        <v/>
      </c>
    </row>
    <row r="57223" spans="8:8" x14ac:dyDescent="0.3">
      <c r="H57223" t="str">
        <f t="shared" si="943"/>
        <v/>
      </c>
    </row>
    <row r="57224" spans="8:8" x14ac:dyDescent="0.3">
      <c r="H57224" t="str">
        <f t="shared" si="943"/>
        <v/>
      </c>
    </row>
    <row r="57225" spans="8:8" x14ac:dyDescent="0.3">
      <c r="H57225" t="str">
        <f t="shared" si="943"/>
        <v/>
      </c>
    </row>
    <row r="57226" spans="8:8" x14ac:dyDescent="0.3">
      <c r="H57226" t="str">
        <f t="shared" si="943"/>
        <v/>
      </c>
    </row>
    <row r="57227" spans="8:8" x14ac:dyDescent="0.3">
      <c r="H57227" t="str">
        <f t="shared" si="943"/>
        <v/>
      </c>
    </row>
    <row r="57228" spans="8:8" x14ac:dyDescent="0.3">
      <c r="H57228" t="str">
        <f t="shared" si="943"/>
        <v/>
      </c>
    </row>
    <row r="57229" spans="8:8" x14ac:dyDescent="0.3">
      <c r="H57229" t="str">
        <f t="shared" si="943"/>
        <v/>
      </c>
    </row>
    <row r="57230" spans="8:8" x14ac:dyDescent="0.3">
      <c r="H57230" t="str">
        <f t="shared" si="943"/>
        <v/>
      </c>
    </row>
    <row r="57231" spans="8:8" x14ac:dyDescent="0.3">
      <c r="H57231" t="str">
        <f t="shared" si="943"/>
        <v/>
      </c>
    </row>
    <row r="57232" spans="8:8" x14ac:dyDescent="0.3">
      <c r="H57232" t="str">
        <f t="shared" si="943"/>
        <v/>
      </c>
    </row>
    <row r="57233" spans="8:8" x14ac:dyDescent="0.3">
      <c r="H57233" t="str">
        <f t="shared" si="943"/>
        <v/>
      </c>
    </row>
    <row r="57234" spans="8:8" x14ac:dyDescent="0.3">
      <c r="H57234" t="str">
        <f t="shared" si="943"/>
        <v/>
      </c>
    </row>
    <row r="57235" spans="8:8" x14ac:dyDescent="0.3">
      <c r="H57235" t="str">
        <f t="shared" si="943"/>
        <v/>
      </c>
    </row>
    <row r="57236" spans="8:8" x14ac:dyDescent="0.3">
      <c r="H57236" t="str">
        <f t="shared" si="943"/>
        <v/>
      </c>
    </row>
    <row r="57237" spans="8:8" x14ac:dyDescent="0.3">
      <c r="H57237" t="str">
        <f t="shared" si="943"/>
        <v/>
      </c>
    </row>
    <row r="57238" spans="8:8" x14ac:dyDescent="0.3">
      <c r="H57238" t="str">
        <f t="shared" si="943"/>
        <v/>
      </c>
    </row>
    <row r="57239" spans="8:8" x14ac:dyDescent="0.3">
      <c r="H57239" t="str">
        <f t="shared" ref="H57239:H57302" si="944">IF(B57239="","",$C$12)</f>
        <v/>
      </c>
    </row>
    <row r="57240" spans="8:8" x14ac:dyDescent="0.3">
      <c r="H57240" t="str">
        <f t="shared" si="944"/>
        <v/>
      </c>
    </row>
    <row r="57241" spans="8:8" x14ac:dyDescent="0.3">
      <c r="H57241" t="str">
        <f t="shared" si="944"/>
        <v/>
      </c>
    </row>
    <row r="57242" spans="8:8" x14ac:dyDescent="0.3">
      <c r="H57242" t="str">
        <f t="shared" si="944"/>
        <v/>
      </c>
    </row>
    <row r="57243" spans="8:8" x14ac:dyDescent="0.3">
      <c r="H57243" t="str">
        <f t="shared" si="944"/>
        <v/>
      </c>
    </row>
    <row r="57244" spans="8:8" x14ac:dyDescent="0.3">
      <c r="H57244" t="str">
        <f t="shared" si="944"/>
        <v/>
      </c>
    </row>
    <row r="57245" spans="8:8" x14ac:dyDescent="0.3">
      <c r="H57245" t="str">
        <f t="shared" si="944"/>
        <v/>
      </c>
    </row>
    <row r="57246" spans="8:8" x14ac:dyDescent="0.3">
      <c r="H57246" t="str">
        <f t="shared" si="944"/>
        <v/>
      </c>
    </row>
    <row r="57247" spans="8:8" x14ac:dyDescent="0.3">
      <c r="H57247" t="str">
        <f t="shared" si="944"/>
        <v/>
      </c>
    </row>
    <row r="57248" spans="8:8" x14ac:dyDescent="0.3">
      <c r="H57248" t="str">
        <f t="shared" si="944"/>
        <v/>
      </c>
    </row>
    <row r="57249" spans="8:8" x14ac:dyDescent="0.3">
      <c r="H57249" t="str">
        <f t="shared" si="944"/>
        <v/>
      </c>
    </row>
    <row r="57250" spans="8:8" x14ac:dyDescent="0.3">
      <c r="H57250" t="str">
        <f t="shared" si="944"/>
        <v/>
      </c>
    </row>
    <row r="57251" spans="8:8" x14ac:dyDescent="0.3">
      <c r="H57251" t="str">
        <f t="shared" si="944"/>
        <v/>
      </c>
    </row>
    <row r="57252" spans="8:8" x14ac:dyDescent="0.3">
      <c r="H57252" t="str">
        <f t="shared" si="944"/>
        <v/>
      </c>
    </row>
    <row r="57253" spans="8:8" x14ac:dyDescent="0.3">
      <c r="H57253" t="str">
        <f t="shared" si="944"/>
        <v/>
      </c>
    </row>
    <row r="57254" spans="8:8" x14ac:dyDescent="0.3">
      <c r="H57254" t="str">
        <f t="shared" si="944"/>
        <v/>
      </c>
    </row>
    <row r="57255" spans="8:8" x14ac:dyDescent="0.3">
      <c r="H57255" t="str">
        <f t="shared" si="944"/>
        <v/>
      </c>
    </row>
    <row r="57256" spans="8:8" x14ac:dyDescent="0.3">
      <c r="H57256" t="str">
        <f t="shared" si="944"/>
        <v/>
      </c>
    </row>
    <row r="57257" spans="8:8" x14ac:dyDescent="0.3">
      <c r="H57257" t="str">
        <f t="shared" si="944"/>
        <v/>
      </c>
    </row>
    <row r="57258" spans="8:8" x14ac:dyDescent="0.3">
      <c r="H57258" t="str">
        <f t="shared" si="944"/>
        <v/>
      </c>
    </row>
    <row r="57259" spans="8:8" x14ac:dyDescent="0.3">
      <c r="H57259" t="str">
        <f t="shared" si="944"/>
        <v/>
      </c>
    </row>
    <row r="57260" spans="8:8" x14ac:dyDescent="0.3">
      <c r="H57260" t="str">
        <f t="shared" si="944"/>
        <v/>
      </c>
    </row>
    <row r="57261" spans="8:8" x14ac:dyDescent="0.3">
      <c r="H57261" t="str">
        <f t="shared" si="944"/>
        <v/>
      </c>
    </row>
    <row r="57262" spans="8:8" x14ac:dyDescent="0.3">
      <c r="H57262" t="str">
        <f t="shared" si="944"/>
        <v/>
      </c>
    </row>
    <row r="57263" spans="8:8" x14ac:dyDescent="0.3">
      <c r="H57263" t="str">
        <f t="shared" si="944"/>
        <v/>
      </c>
    </row>
    <row r="57264" spans="8:8" x14ac:dyDescent="0.3">
      <c r="H57264" t="str">
        <f t="shared" si="944"/>
        <v/>
      </c>
    </row>
    <row r="57265" spans="8:8" x14ac:dyDescent="0.3">
      <c r="H57265" t="str">
        <f t="shared" si="944"/>
        <v/>
      </c>
    </row>
    <row r="57266" spans="8:8" x14ac:dyDescent="0.3">
      <c r="H57266" t="str">
        <f t="shared" si="944"/>
        <v/>
      </c>
    </row>
    <row r="57267" spans="8:8" x14ac:dyDescent="0.3">
      <c r="H57267" t="str">
        <f t="shared" si="944"/>
        <v/>
      </c>
    </row>
    <row r="57268" spans="8:8" x14ac:dyDescent="0.3">
      <c r="H57268" t="str">
        <f t="shared" si="944"/>
        <v/>
      </c>
    </row>
    <row r="57269" spans="8:8" x14ac:dyDescent="0.3">
      <c r="H57269" t="str">
        <f t="shared" si="944"/>
        <v/>
      </c>
    </row>
    <row r="57270" spans="8:8" x14ac:dyDescent="0.3">
      <c r="H57270" t="str">
        <f t="shared" si="944"/>
        <v/>
      </c>
    </row>
    <row r="57271" spans="8:8" x14ac:dyDescent="0.3">
      <c r="H57271" t="str">
        <f t="shared" si="944"/>
        <v/>
      </c>
    </row>
    <row r="57272" spans="8:8" x14ac:dyDescent="0.3">
      <c r="H57272" t="str">
        <f t="shared" si="944"/>
        <v/>
      </c>
    </row>
    <row r="57273" spans="8:8" x14ac:dyDescent="0.3">
      <c r="H57273" t="str">
        <f t="shared" si="944"/>
        <v/>
      </c>
    </row>
    <row r="57274" spans="8:8" x14ac:dyDescent="0.3">
      <c r="H57274" t="str">
        <f t="shared" si="944"/>
        <v/>
      </c>
    </row>
    <row r="57275" spans="8:8" x14ac:dyDescent="0.3">
      <c r="H57275" t="str">
        <f t="shared" si="944"/>
        <v/>
      </c>
    </row>
    <row r="57276" spans="8:8" x14ac:dyDescent="0.3">
      <c r="H57276" t="str">
        <f t="shared" si="944"/>
        <v/>
      </c>
    </row>
    <row r="57277" spans="8:8" x14ac:dyDescent="0.3">
      <c r="H57277" t="str">
        <f t="shared" si="944"/>
        <v/>
      </c>
    </row>
    <row r="57278" spans="8:8" x14ac:dyDescent="0.3">
      <c r="H57278" t="str">
        <f t="shared" si="944"/>
        <v/>
      </c>
    </row>
    <row r="57279" spans="8:8" x14ac:dyDescent="0.3">
      <c r="H57279" t="str">
        <f t="shared" si="944"/>
        <v/>
      </c>
    </row>
    <row r="57280" spans="8:8" x14ac:dyDescent="0.3">
      <c r="H57280" t="str">
        <f t="shared" si="944"/>
        <v/>
      </c>
    </row>
    <row r="57281" spans="8:8" x14ac:dyDescent="0.3">
      <c r="H57281" t="str">
        <f t="shared" si="944"/>
        <v/>
      </c>
    </row>
    <row r="57282" spans="8:8" x14ac:dyDescent="0.3">
      <c r="H57282" t="str">
        <f t="shared" si="944"/>
        <v/>
      </c>
    </row>
    <row r="57283" spans="8:8" x14ac:dyDescent="0.3">
      <c r="H57283" t="str">
        <f t="shared" si="944"/>
        <v/>
      </c>
    </row>
    <row r="57284" spans="8:8" x14ac:dyDescent="0.3">
      <c r="H57284" t="str">
        <f t="shared" si="944"/>
        <v/>
      </c>
    </row>
    <row r="57285" spans="8:8" x14ac:dyDescent="0.3">
      <c r="H57285" t="str">
        <f t="shared" si="944"/>
        <v/>
      </c>
    </row>
    <row r="57286" spans="8:8" x14ac:dyDescent="0.3">
      <c r="H57286" t="str">
        <f t="shared" si="944"/>
        <v/>
      </c>
    </row>
    <row r="57287" spans="8:8" x14ac:dyDescent="0.3">
      <c r="H57287" t="str">
        <f t="shared" si="944"/>
        <v/>
      </c>
    </row>
    <row r="57288" spans="8:8" x14ac:dyDescent="0.3">
      <c r="H57288" t="str">
        <f t="shared" si="944"/>
        <v/>
      </c>
    </row>
    <row r="57289" spans="8:8" x14ac:dyDescent="0.3">
      <c r="H57289" t="str">
        <f t="shared" si="944"/>
        <v/>
      </c>
    </row>
    <row r="57290" spans="8:8" x14ac:dyDescent="0.3">
      <c r="H57290" t="str">
        <f t="shared" si="944"/>
        <v/>
      </c>
    </row>
    <row r="57291" spans="8:8" x14ac:dyDescent="0.3">
      <c r="H57291" t="str">
        <f t="shared" si="944"/>
        <v/>
      </c>
    </row>
    <row r="57292" spans="8:8" x14ac:dyDescent="0.3">
      <c r="H57292" t="str">
        <f t="shared" si="944"/>
        <v/>
      </c>
    </row>
    <row r="57293" spans="8:8" x14ac:dyDescent="0.3">
      <c r="H57293" t="str">
        <f t="shared" si="944"/>
        <v/>
      </c>
    </row>
    <row r="57294" spans="8:8" x14ac:dyDescent="0.3">
      <c r="H57294" t="str">
        <f t="shared" si="944"/>
        <v/>
      </c>
    </row>
    <row r="57295" spans="8:8" x14ac:dyDescent="0.3">
      <c r="H57295" t="str">
        <f t="shared" si="944"/>
        <v/>
      </c>
    </row>
    <row r="57296" spans="8:8" x14ac:dyDescent="0.3">
      <c r="H57296" t="str">
        <f t="shared" si="944"/>
        <v/>
      </c>
    </row>
    <row r="57297" spans="8:8" x14ac:dyDescent="0.3">
      <c r="H57297" t="str">
        <f t="shared" si="944"/>
        <v/>
      </c>
    </row>
    <row r="57298" spans="8:8" x14ac:dyDescent="0.3">
      <c r="H57298" t="str">
        <f t="shared" si="944"/>
        <v/>
      </c>
    </row>
    <row r="57299" spans="8:8" x14ac:dyDescent="0.3">
      <c r="H57299" t="str">
        <f t="shared" si="944"/>
        <v/>
      </c>
    </row>
    <row r="57300" spans="8:8" x14ac:dyDescent="0.3">
      <c r="H57300" t="str">
        <f t="shared" si="944"/>
        <v/>
      </c>
    </row>
    <row r="57301" spans="8:8" x14ac:dyDescent="0.3">
      <c r="H57301" t="str">
        <f t="shared" si="944"/>
        <v/>
      </c>
    </row>
    <row r="57302" spans="8:8" x14ac:dyDescent="0.3">
      <c r="H57302" t="str">
        <f t="shared" si="944"/>
        <v/>
      </c>
    </row>
    <row r="57303" spans="8:8" x14ac:dyDescent="0.3">
      <c r="H57303" t="str">
        <f t="shared" ref="H57303:H57366" si="945">IF(B57303="","",$C$12)</f>
        <v/>
      </c>
    </row>
    <row r="57304" spans="8:8" x14ac:dyDescent="0.3">
      <c r="H57304" t="str">
        <f t="shared" si="945"/>
        <v/>
      </c>
    </row>
    <row r="57305" spans="8:8" x14ac:dyDescent="0.3">
      <c r="H57305" t="str">
        <f t="shared" si="945"/>
        <v/>
      </c>
    </row>
    <row r="57306" spans="8:8" x14ac:dyDescent="0.3">
      <c r="H57306" t="str">
        <f t="shared" si="945"/>
        <v/>
      </c>
    </row>
    <row r="57307" spans="8:8" x14ac:dyDescent="0.3">
      <c r="H57307" t="str">
        <f t="shared" si="945"/>
        <v/>
      </c>
    </row>
    <row r="57308" spans="8:8" x14ac:dyDescent="0.3">
      <c r="H57308" t="str">
        <f t="shared" si="945"/>
        <v/>
      </c>
    </row>
    <row r="57309" spans="8:8" x14ac:dyDescent="0.3">
      <c r="H57309" t="str">
        <f t="shared" si="945"/>
        <v/>
      </c>
    </row>
    <row r="57310" spans="8:8" x14ac:dyDescent="0.3">
      <c r="H57310" t="str">
        <f t="shared" si="945"/>
        <v/>
      </c>
    </row>
    <row r="57311" spans="8:8" x14ac:dyDescent="0.3">
      <c r="H57311" t="str">
        <f t="shared" si="945"/>
        <v/>
      </c>
    </row>
    <row r="57312" spans="8:8" x14ac:dyDescent="0.3">
      <c r="H57312" t="str">
        <f t="shared" si="945"/>
        <v/>
      </c>
    </row>
    <row r="57313" spans="8:8" x14ac:dyDescent="0.3">
      <c r="H57313" t="str">
        <f t="shared" si="945"/>
        <v/>
      </c>
    </row>
    <row r="57314" spans="8:8" x14ac:dyDescent="0.3">
      <c r="H57314" t="str">
        <f t="shared" si="945"/>
        <v/>
      </c>
    </row>
    <row r="57315" spans="8:8" x14ac:dyDescent="0.3">
      <c r="H57315" t="str">
        <f t="shared" si="945"/>
        <v/>
      </c>
    </row>
    <row r="57316" spans="8:8" x14ac:dyDescent="0.3">
      <c r="H57316" t="str">
        <f t="shared" si="945"/>
        <v/>
      </c>
    </row>
    <row r="57317" spans="8:8" x14ac:dyDescent="0.3">
      <c r="H57317" t="str">
        <f t="shared" si="945"/>
        <v/>
      </c>
    </row>
    <row r="57318" spans="8:8" x14ac:dyDescent="0.3">
      <c r="H57318" t="str">
        <f t="shared" si="945"/>
        <v/>
      </c>
    </row>
    <row r="57319" spans="8:8" x14ac:dyDescent="0.3">
      <c r="H57319" t="str">
        <f t="shared" si="945"/>
        <v/>
      </c>
    </row>
    <row r="57320" spans="8:8" x14ac:dyDescent="0.3">
      <c r="H57320" t="str">
        <f t="shared" si="945"/>
        <v/>
      </c>
    </row>
    <row r="57321" spans="8:8" x14ac:dyDescent="0.3">
      <c r="H57321" t="str">
        <f t="shared" si="945"/>
        <v/>
      </c>
    </row>
    <row r="57322" spans="8:8" x14ac:dyDescent="0.3">
      <c r="H57322" t="str">
        <f t="shared" si="945"/>
        <v/>
      </c>
    </row>
    <row r="57323" spans="8:8" x14ac:dyDescent="0.3">
      <c r="H57323" t="str">
        <f t="shared" si="945"/>
        <v/>
      </c>
    </row>
    <row r="57324" spans="8:8" x14ac:dyDescent="0.3">
      <c r="H57324" t="str">
        <f t="shared" si="945"/>
        <v/>
      </c>
    </row>
    <row r="57325" spans="8:8" x14ac:dyDescent="0.3">
      <c r="H57325" t="str">
        <f t="shared" si="945"/>
        <v/>
      </c>
    </row>
    <row r="57326" spans="8:8" x14ac:dyDescent="0.3">
      <c r="H57326" t="str">
        <f t="shared" si="945"/>
        <v/>
      </c>
    </row>
    <row r="57327" spans="8:8" x14ac:dyDescent="0.3">
      <c r="H57327" t="str">
        <f t="shared" si="945"/>
        <v/>
      </c>
    </row>
    <row r="57328" spans="8:8" x14ac:dyDescent="0.3">
      <c r="H57328" t="str">
        <f t="shared" si="945"/>
        <v/>
      </c>
    </row>
    <row r="57329" spans="8:8" x14ac:dyDescent="0.3">
      <c r="H57329" t="str">
        <f t="shared" si="945"/>
        <v/>
      </c>
    </row>
    <row r="57330" spans="8:8" x14ac:dyDescent="0.3">
      <c r="H57330" t="str">
        <f t="shared" si="945"/>
        <v/>
      </c>
    </row>
    <row r="57331" spans="8:8" x14ac:dyDescent="0.3">
      <c r="H57331" t="str">
        <f t="shared" si="945"/>
        <v/>
      </c>
    </row>
    <row r="57332" spans="8:8" x14ac:dyDescent="0.3">
      <c r="H57332" t="str">
        <f t="shared" si="945"/>
        <v/>
      </c>
    </row>
    <row r="57333" spans="8:8" x14ac:dyDescent="0.3">
      <c r="H57333" t="str">
        <f t="shared" si="945"/>
        <v/>
      </c>
    </row>
    <row r="57334" spans="8:8" x14ac:dyDescent="0.3">
      <c r="H57334" t="str">
        <f t="shared" si="945"/>
        <v/>
      </c>
    </row>
    <row r="57335" spans="8:8" x14ac:dyDescent="0.3">
      <c r="H57335" t="str">
        <f t="shared" si="945"/>
        <v/>
      </c>
    </row>
    <row r="57336" spans="8:8" x14ac:dyDescent="0.3">
      <c r="H57336" t="str">
        <f t="shared" si="945"/>
        <v/>
      </c>
    </row>
    <row r="57337" spans="8:8" x14ac:dyDescent="0.3">
      <c r="H57337" t="str">
        <f t="shared" si="945"/>
        <v/>
      </c>
    </row>
    <row r="57338" spans="8:8" x14ac:dyDescent="0.3">
      <c r="H57338" t="str">
        <f t="shared" si="945"/>
        <v/>
      </c>
    </row>
    <row r="57339" spans="8:8" x14ac:dyDescent="0.3">
      <c r="H57339" t="str">
        <f t="shared" si="945"/>
        <v/>
      </c>
    </row>
    <row r="57340" spans="8:8" x14ac:dyDescent="0.3">
      <c r="H57340" t="str">
        <f t="shared" si="945"/>
        <v/>
      </c>
    </row>
    <row r="57341" spans="8:8" x14ac:dyDescent="0.3">
      <c r="H57341" t="str">
        <f t="shared" si="945"/>
        <v/>
      </c>
    </row>
    <row r="57342" spans="8:8" x14ac:dyDescent="0.3">
      <c r="H57342" t="str">
        <f t="shared" si="945"/>
        <v/>
      </c>
    </row>
    <row r="57343" spans="8:8" x14ac:dyDescent="0.3">
      <c r="H57343" t="str">
        <f t="shared" si="945"/>
        <v/>
      </c>
    </row>
    <row r="57344" spans="8:8" x14ac:dyDescent="0.3">
      <c r="H57344" t="str">
        <f t="shared" si="945"/>
        <v/>
      </c>
    </row>
    <row r="57345" spans="8:8" x14ac:dyDescent="0.3">
      <c r="H57345" t="str">
        <f t="shared" si="945"/>
        <v/>
      </c>
    </row>
    <row r="57346" spans="8:8" x14ac:dyDescent="0.3">
      <c r="H57346" t="str">
        <f t="shared" si="945"/>
        <v/>
      </c>
    </row>
    <row r="57347" spans="8:8" x14ac:dyDescent="0.3">
      <c r="H57347" t="str">
        <f t="shared" si="945"/>
        <v/>
      </c>
    </row>
    <row r="57348" spans="8:8" x14ac:dyDescent="0.3">
      <c r="H57348" t="str">
        <f t="shared" si="945"/>
        <v/>
      </c>
    </row>
    <row r="57349" spans="8:8" x14ac:dyDescent="0.3">
      <c r="H57349" t="str">
        <f t="shared" si="945"/>
        <v/>
      </c>
    </row>
    <row r="57350" spans="8:8" x14ac:dyDescent="0.3">
      <c r="H57350" t="str">
        <f t="shared" si="945"/>
        <v/>
      </c>
    </row>
    <row r="57351" spans="8:8" x14ac:dyDescent="0.3">
      <c r="H57351" t="str">
        <f t="shared" si="945"/>
        <v/>
      </c>
    </row>
    <row r="57352" spans="8:8" x14ac:dyDescent="0.3">
      <c r="H57352" t="str">
        <f t="shared" si="945"/>
        <v/>
      </c>
    </row>
    <row r="57353" spans="8:8" x14ac:dyDescent="0.3">
      <c r="H57353" t="str">
        <f t="shared" si="945"/>
        <v/>
      </c>
    </row>
    <row r="57354" spans="8:8" x14ac:dyDescent="0.3">
      <c r="H57354" t="str">
        <f t="shared" si="945"/>
        <v/>
      </c>
    </row>
    <row r="57355" spans="8:8" x14ac:dyDescent="0.3">
      <c r="H57355" t="str">
        <f t="shared" si="945"/>
        <v/>
      </c>
    </row>
    <row r="57356" spans="8:8" x14ac:dyDescent="0.3">
      <c r="H57356" t="str">
        <f t="shared" si="945"/>
        <v/>
      </c>
    </row>
    <row r="57357" spans="8:8" x14ac:dyDescent="0.3">
      <c r="H57357" t="str">
        <f t="shared" si="945"/>
        <v/>
      </c>
    </row>
    <row r="57358" spans="8:8" x14ac:dyDescent="0.3">
      <c r="H57358" t="str">
        <f t="shared" si="945"/>
        <v/>
      </c>
    </row>
    <row r="57359" spans="8:8" x14ac:dyDescent="0.3">
      <c r="H57359" t="str">
        <f t="shared" si="945"/>
        <v/>
      </c>
    </row>
    <row r="57360" spans="8:8" x14ac:dyDescent="0.3">
      <c r="H57360" t="str">
        <f t="shared" si="945"/>
        <v/>
      </c>
    </row>
    <row r="57361" spans="8:8" x14ac:dyDescent="0.3">
      <c r="H57361" t="str">
        <f t="shared" si="945"/>
        <v/>
      </c>
    </row>
    <row r="57362" spans="8:8" x14ac:dyDescent="0.3">
      <c r="H57362" t="str">
        <f t="shared" si="945"/>
        <v/>
      </c>
    </row>
    <row r="57363" spans="8:8" x14ac:dyDescent="0.3">
      <c r="H57363" t="str">
        <f t="shared" si="945"/>
        <v/>
      </c>
    </row>
    <row r="57364" spans="8:8" x14ac:dyDescent="0.3">
      <c r="H57364" t="str">
        <f t="shared" si="945"/>
        <v/>
      </c>
    </row>
    <row r="57365" spans="8:8" x14ac:dyDescent="0.3">
      <c r="H57365" t="str">
        <f t="shared" si="945"/>
        <v/>
      </c>
    </row>
    <row r="57366" spans="8:8" x14ac:dyDescent="0.3">
      <c r="H57366" t="str">
        <f t="shared" si="945"/>
        <v/>
      </c>
    </row>
    <row r="57367" spans="8:8" x14ac:dyDescent="0.3">
      <c r="H57367" t="str">
        <f t="shared" ref="H57367:H57430" si="946">IF(B57367="","",$C$12)</f>
        <v/>
      </c>
    </row>
    <row r="57368" spans="8:8" x14ac:dyDescent="0.3">
      <c r="H57368" t="str">
        <f t="shared" si="946"/>
        <v/>
      </c>
    </row>
    <row r="57369" spans="8:8" x14ac:dyDescent="0.3">
      <c r="H57369" t="str">
        <f t="shared" si="946"/>
        <v/>
      </c>
    </row>
    <row r="57370" spans="8:8" x14ac:dyDescent="0.3">
      <c r="H57370" t="str">
        <f t="shared" si="946"/>
        <v/>
      </c>
    </row>
    <row r="57371" spans="8:8" x14ac:dyDescent="0.3">
      <c r="H57371" t="str">
        <f t="shared" si="946"/>
        <v/>
      </c>
    </row>
    <row r="57372" spans="8:8" x14ac:dyDescent="0.3">
      <c r="H57372" t="str">
        <f t="shared" si="946"/>
        <v/>
      </c>
    </row>
    <row r="57373" spans="8:8" x14ac:dyDescent="0.3">
      <c r="H57373" t="str">
        <f t="shared" si="946"/>
        <v/>
      </c>
    </row>
    <row r="57374" spans="8:8" x14ac:dyDescent="0.3">
      <c r="H57374" t="str">
        <f t="shared" si="946"/>
        <v/>
      </c>
    </row>
    <row r="57375" spans="8:8" x14ac:dyDescent="0.3">
      <c r="H57375" t="str">
        <f t="shared" si="946"/>
        <v/>
      </c>
    </row>
    <row r="57376" spans="8:8" x14ac:dyDescent="0.3">
      <c r="H57376" t="str">
        <f t="shared" si="946"/>
        <v/>
      </c>
    </row>
    <row r="57377" spans="8:8" x14ac:dyDescent="0.3">
      <c r="H57377" t="str">
        <f t="shared" si="946"/>
        <v/>
      </c>
    </row>
    <row r="57378" spans="8:8" x14ac:dyDescent="0.3">
      <c r="H57378" t="str">
        <f t="shared" si="946"/>
        <v/>
      </c>
    </row>
    <row r="57379" spans="8:8" x14ac:dyDescent="0.3">
      <c r="H57379" t="str">
        <f t="shared" si="946"/>
        <v/>
      </c>
    </row>
    <row r="57380" spans="8:8" x14ac:dyDescent="0.3">
      <c r="H57380" t="str">
        <f t="shared" si="946"/>
        <v/>
      </c>
    </row>
    <row r="57381" spans="8:8" x14ac:dyDescent="0.3">
      <c r="H57381" t="str">
        <f t="shared" si="946"/>
        <v/>
      </c>
    </row>
    <row r="57382" spans="8:8" x14ac:dyDescent="0.3">
      <c r="H57382" t="str">
        <f t="shared" si="946"/>
        <v/>
      </c>
    </row>
    <row r="57383" spans="8:8" x14ac:dyDescent="0.3">
      <c r="H57383" t="str">
        <f t="shared" si="946"/>
        <v/>
      </c>
    </row>
    <row r="57384" spans="8:8" x14ac:dyDescent="0.3">
      <c r="H57384" t="str">
        <f t="shared" si="946"/>
        <v/>
      </c>
    </row>
    <row r="57385" spans="8:8" x14ac:dyDescent="0.3">
      <c r="H57385" t="str">
        <f t="shared" si="946"/>
        <v/>
      </c>
    </row>
    <row r="57386" spans="8:8" x14ac:dyDescent="0.3">
      <c r="H57386" t="str">
        <f t="shared" si="946"/>
        <v/>
      </c>
    </row>
    <row r="57387" spans="8:8" x14ac:dyDescent="0.3">
      <c r="H57387" t="str">
        <f t="shared" si="946"/>
        <v/>
      </c>
    </row>
    <row r="57388" spans="8:8" x14ac:dyDescent="0.3">
      <c r="H57388" t="str">
        <f t="shared" si="946"/>
        <v/>
      </c>
    </row>
    <row r="57389" spans="8:8" x14ac:dyDescent="0.3">
      <c r="H57389" t="str">
        <f t="shared" si="946"/>
        <v/>
      </c>
    </row>
    <row r="57390" spans="8:8" x14ac:dyDescent="0.3">
      <c r="H57390" t="str">
        <f t="shared" si="946"/>
        <v/>
      </c>
    </row>
    <row r="57391" spans="8:8" x14ac:dyDescent="0.3">
      <c r="H57391" t="str">
        <f t="shared" si="946"/>
        <v/>
      </c>
    </row>
    <row r="57392" spans="8:8" x14ac:dyDescent="0.3">
      <c r="H57392" t="str">
        <f t="shared" si="946"/>
        <v/>
      </c>
    </row>
    <row r="57393" spans="8:8" x14ac:dyDescent="0.3">
      <c r="H57393" t="str">
        <f t="shared" si="946"/>
        <v/>
      </c>
    </row>
    <row r="57394" spans="8:8" x14ac:dyDescent="0.3">
      <c r="H57394" t="str">
        <f t="shared" si="946"/>
        <v/>
      </c>
    </row>
    <row r="57395" spans="8:8" x14ac:dyDescent="0.3">
      <c r="H57395" t="str">
        <f t="shared" si="946"/>
        <v/>
      </c>
    </row>
    <row r="57396" spans="8:8" x14ac:dyDescent="0.3">
      <c r="H57396" t="str">
        <f t="shared" si="946"/>
        <v/>
      </c>
    </row>
    <row r="57397" spans="8:8" x14ac:dyDescent="0.3">
      <c r="H57397" t="str">
        <f t="shared" si="946"/>
        <v/>
      </c>
    </row>
    <row r="57398" spans="8:8" x14ac:dyDescent="0.3">
      <c r="H57398" t="str">
        <f t="shared" si="946"/>
        <v/>
      </c>
    </row>
    <row r="57399" spans="8:8" x14ac:dyDescent="0.3">
      <c r="H57399" t="str">
        <f t="shared" si="946"/>
        <v/>
      </c>
    </row>
    <row r="57400" spans="8:8" x14ac:dyDescent="0.3">
      <c r="H57400" t="str">
        <f t="shared" si="946"/>
        <v/>
      </c>
    </row>
    <row r="57401" spans="8:8" x14ac:dyDescent="0.3">
      <c r="H57401" t="str">
        <f t="shared" si="946"/>
        <v/>
      </c>
    </row>
    <row r="57402" spans="8:8" x14ac:dyDescent="0.3">
      <c r="H57402" t="str">
        <f t="shared" si="946"/>
        <v/>
      </c>
    </row>
    <row r="57403" spans="8:8" x14ac:dyDescent="0.3">
      <c r="H57403" t="str">
        <f t="shared" si="946"/>
        <v/>
      </c>
    </row>
    <row r="57404" spans="8:8" x14ac:dyDescent="0.3">
      <c r="H57404" t="str">
        <f t="shared" si="946"/>
        <v/>
      </c>
    </row>
    <row r="57405" spans="8:8" x14ac:dyDescent="0.3">
      <c r="H57405" t="str">
        <f t="shared" si="946"/>
        <v/>
      </c>
    </row>
    <row r="57406" spans="8:8" x14ac:dyDescent="0.3">
      <c r="H57406" t="str">
        <f t="shared" si="946"/>
        <v/>
      </c>
    </row>
    <row r="57407" spans="8:8" x14ac:dyDescent="0.3">
      <c r="H57407" t="str">
        <f t="shared" si="946"/>
        <v/>
      </c>
    </row>
    <row r="57408" spans="8:8" x14ac:dyDescent="0.3">
      <c r="H57408" t="str">
        <f t="shared" si="946"/>
        <v/>
      </c>
    </row>
    <row r="57409" spans="8:8" x14ac:dyDescent="0.3">
      <c r="H57409" t="str">
        <f t="shared" si="946"/>
        <v/>
      </c>
    </row>
    <row r="57410" spans="8:8" x14ac:dyDescent="0.3">
      <c r="H57410" t="str">
        <f t="shared" si="946"/>
        <v/>
      </c>
    </row>
    <row r="57411" spans="8:8" x14ac:dyDescent="0.3">
      <c r="H57411" t="str">
        <f t="shared" si="946"/>
        <v/>
      </c>
    </row>
    <row r="57412" spans="8:8" x14ac:dyDescent="0.3">
      <c r="H57412" t="str">
        <f t="shared" si="946"/>
        <v/>
      </c>
    </row>
    <row r="57413" spans="8:8" x14ac:dyDescent="0.3">
      <c r="H57413" t="str">
        <f t="shared" si="946"/>
        <v/>
      </c>
    </row>
    <row r="57414" spans="8:8" x14ac:dyDescent="0.3">
      <c r="H57414" t="str">
        <f t="shared" si="946"/>
        <v/>
      </c>
    </row>
    <row r="57415" spans="8:8" x14ac:dyDescent="0.3">
      <c r="H57415" t="str">
        <f t="shared" si="946"/>
        <v/>
      </c>
    </row>
    <row r="57416" spans="8:8" x14ac:dyDescent="0.3">
      <c r="H57416" t="str">
        <f t="shared" si="946"/>
        <v/>
      </c>
    </row>
    <row r="57417" spans="8:8" x14ac:dyDescent="0.3">
      <c r="H57417" t="str">
        <f t="shared" si="946"/>
        <v/>
      </c>
    </row>
    <row r="57418" spans="8:8" x14ac:dyDescent="0.3">
      <c r="H57418" t="str">
        <f t="shared" si="946"/>
        <v/>
      </c>
    </row>
    <row r="57419" spans="8:8" x14ac:dyDescent="0.3">
      <c r="H57419" t="str">
        <f t="shared" si="946"/>
        <v/>
      </c>
    </row>
    <row r="57420" spans="8:8" x14ac:dyDescent="0.3">
      <c r="H57420" t="str">
        <f t="shared" si="946"/>
        <v/>
      </c>
    </row>
    <row r="57421" spans="8:8" x14ac:dyDescent="0.3">
      <c r="H57421" t="str">
        <f t="shared" si="946"/>
        <v/>
      </c>
    </row>
    <row r="57422" spans="8:8" x14ac:dyDescent="0.3">
      <c r="H57422" t="str">
        <f t="shared" si="946"/>
        <v/>
      </c>
    </row>
    <row r="57423" spans="8:8" x14ac:dyDescent="0.3">
      <c r="H57423" t="str">
        <f t="shared" si="946"/>
        <v/>
      </c>
    </row>
    <row r="57424" spans="8:8" x14ac:dyDescent="0.3">
      <c r="H57424" t="str">
        <f t="shared" si="946"/>
        <v/>
      </c>
    </row>
    <row r="57425" spans="8:8" x14ac:dyDescent="0.3">
      <c r="H57425" t="str">
        <f t="shared" si="946"/>
        <v/>
      </c>
    </row>
    <row r="57426" spans="8:8" x14ac:dyDescent="0.3">
      <c r="H57426" t="str">
        <f t="shared" si="946"/>
        <v/>
      </c>
    </row>
    <row r="57427" spans="8:8" x14ac:dyDescent="0.3">
      <c r="H57427" t="str">
        <f t="shared" si="946"/>
        <v/>
      </c>
    </row>
    <row r="57428" spans="8:8" x14ac:dyDescent="0.3">
      <c r="H57428" t="str">
        <f t="shared" si="946"/>
        <v/>
      </c>
    </row>
    <row r="57429" spans="8:8" x14ac:dyDescent="0.3">
      <c r="H57429" t="str">
        <f t="shared" si="946"/>
        <v/>
      </c>
    </row>
    <row r="57430" spans="8:8" x14ac:dyDescent="0.3">
      <c r="H57430" t="str">
        <f t="shared" si="946"/>
        <v/>
      </c>
    </row>
    <row r="57431" spans="8:8" x14ac:dyDescent="0.3">
      <c r="H57431" t="str">
        <f t="shared" ref="H57431:H57494" si="947">IF(B57431="","",$C$12)</f>
        <v/>
      </c>
    </row>
    <row r="57432" spans="8:8" x14ac:dyDescent="0.3">
      <c r="H57432" t="str">
        <f t="shared" si="947"/>
        <v/>
      </c>
    </row>
    <row r="57433" spans="8:8" x14ac:dyDescent="0.3">
      <c r="H57433" t="str">
        <f t="shared" si="947"/>
        <v/>
      </c>
    </row>
    <row r="57434" spans="8:8" x14ac:dyDescent="0.3">
      <c r="H57434" t="str">
        <f t="shared" si="947"/>
        <v/>
      </c>
    </row>
    <row r="57435" spans="8:8" x14ac:dyDescent="0.3">
      <c r="H57435" t="str">
        <f t="shared" si="947"/>
        <v/>
      </c>
    </row>
    <row r="57436" spans="8:8" x14ac:dyDescent="0.3">
      <c r="H57436" t="str">
        <f t="shared" si="947"/>
        <v/>
      </c>
    </row>
    <row r="57437" spans="8:8" x14ac:dyDescent="0.3">
      <c r="H57437" t="str">
        <f t="shared" si="947"/>
        <v/>
      </c>
    </row>
    <row r="57438" spans="8:8" x14ac:dyDescent="0.3">
      <c r="H57438" t="str">
        <f t="shared" si="947"/>
        <v/>
      </c>
    </row>
    <row r="57439" spans="8:8" x14ac:dyDescent="0.3">
      <c r="H57439" t="str">
        <f t="shared" si="947"/>
        <v/>
      </c>
    </row>
    <row r="57440" spans="8:8" x14ac:dyDescent="0.3">
      <c r="H57440" t="str">
        <f t="shared" si="947"/>
        <v/>
      </c>
    </row>
    <row r="57441" spans="8:8" x14ac:dyDescent="0.3">
      <c r="H57441" t="str">
        <f t="shared" si="947"/>
        <v/>
      </c>
    </row>
    <row r="57442" spans="8:8" x14ac:dyDescent="0.3">
      <c r="H57442" t="str">
        <f t="shared" si="947"/>
        <v/>
      </c>
    </row>
    <row r="57443" spans="8:8" x14ac:dyDescent="0.3">
      <c r="H57443" t="str">
        <f t="shared" si="947"/>
        <v/>
      </c>
    </row>
    <row r="57444" spans="8:8" x14ac:dyDescent="0.3">
      <c r="H57444" t="str">
        <f t="shared" si="947"/>
        <v/>
      </c>
    </row>
    <row r="57445" spans="8:8" x14ac:dyDescent="0.3">
      <c r="H57445" t="str">
        <f t="shared" si="947"/>
        <v/>
      </c>
    </row>
    <row r="57446" spans="8:8" x14ac:dyDescent="0.3">
      <c r="H57446" t="str">
        <f t="shared" si="947"/>
        <v/>
      </c>
    </row>
    <row r="57447" spans="8:8" x14ac:dyDescent="0.3">
      <c r="H57447" t="str">
        <f t="shared" si="947"/>
        <v/>
      </c>
    </row>
    <row r="57448" spans="8:8" x14ac:dyDescent="0.3">
      <c r="H57448" t="str">
        <f t="shared" si="947"/>
        <v/>
      </c>
    </row>
    <row r="57449" spans="8:8" x14ac:dyDescent="0.3">
      <c r="H57449" t="str">
        <f t="shared" si="947"/>
        <v/>
      </c>
    </row>
    <row r="57450" spans="8:8" x14ac:dyDescent="0.3">
      <c r="H57450" t="str">
        <f t="shared" si="947"/>
        <v/>
      </c>
    </row>
    <row r="57451" spans="8:8" x14ac:dyDescent="0.3">
      <c r="H57451" t="str">
        <f t="shared" si="947"/>
        <v/>
      </c>
    </row>
    <row r="57452" spans="8:8" x14ac:dyDescent="0.3">
      <c r="H57452" t="str">
        <f t="shared" si="947"/>
        <v/>
      </c>
    </row>
    <row r="57453" spans="8:8" x14ac:dyDescent="0.3">
      <c r="H57453" t="str">
        <f t="shared" si="947"/>
        <v/>
      </c>
    </row>
    <row r="57454" spans="8:8" x14ac:dyDescent="0.3">
      <c r="H57454" t="str">
        <f t="shared" si="947"/>
        <v/>
      </c>
    </row>
    <row r="57455" spans="8:8" x14ac:dyDescent="0.3">
      <c r="H57455" t="str">
        <f t="shared" si="947"/>
        <v/>
      </c>
    </row>
    <row r="57456" spans="8:8" x14ac:dyDescent="0.3">
      <c r="H57456" t="str">
        <f t="shared" si="947"/>
        <v/>
      </c>
    </row>
    <row r="57457" spans="8:8" x14ac:dyDescent="0.3">
      <c r="H57457" t="str">
        <f t="shared" si="947"/>
        <v/>
      </c>
    </row>
    <row r="57458" spans="8:8" x14ac:dyDescent="0.3">
      <c r="H57458" t="str">
        <f t="shared" si="947"/>
        <v/>
      </c>
    </row>
    <row r="57459" spans="8:8" x14ac:dyDescent="0.3">
      <c r="H57459" t="str">
        <f t="shared" si="947"/>
        <v/>
      </c>
    </row>
    <row r="57460" spans="8:8" x14ac:dyDescent="0.3">
      <c r="H57460" t="str">
        <f t="shared" si="947"/>
        <v/>
      </c>
    </row>
    <row r="57461" spans="8:8" x14ac:dyDescent="0.3">
      <c r="H57461" t="str">
        <f t="shared" si="947"/>
        <v/>
      </c>
    </row>
    <row r="57462" spans="8:8" x14ac:dyDescent="0.3">
      <c r="H57462" t="str">
        <f t="shared" si="947"/>
        <v/>
      </c>
    </row>
    <row r="57463" spans="8:8" x14ac:dyDescent="0.3">
      <c r="H57463" t="str">
        <f t="shared" si="947"/>
        <v/>
      </c>
    </row>
    <row r="57464" spans="8:8" x14ac:dyDescent="0.3">
      <c r="H57464" t="str">
        <f t="shared" si="947"/>
        <v/>
      </c>
    </row>
    <row r="57465" spans="8:8" x14ac:dyDescent="0.3">
      <c r="H57465" t="str">
        <f t="shared" si="947"/>
        <v/>
      </c>
    </row>
    <row r="57466" spans="8:8" x14ac:dyDescent="0.3">
      <c r="H57466" t="str">
        <f t="shared" si="947"/>
        <v/>
      </c>
    </row>
    <row r="57467" spans="8:8" x14ac:dyDescent="0.3">
      <c r="H57467" t="str">
        <f t="shared" si="947"/>
        <v/>
      </c>
    </row>
    <row r="57468" spans="8:8" x14ac:dyDescent="0.3">
      <c r="H57468" t="str">
        <f t="shared" si="947"/>
        <v/>
      </c>
    </row>
    <row r="57469" spans="8:8" x14ac:dyDescent="0.3">
      <c r="H57469" t="str">
        <f t="shared" si="947"/>
        <v/>
      </c>
    </row>
    <row r="57470" spans="8:8" x14ac:dyDescent="0.3">
      <c r="H57470" t="str">
        <f t="shared" si="947"/>
        <v/>
      </c>
    </row>
    <row r="57471" spans="8:8" x14ac:dyDescent="0.3">
      <c r="H57471" t="str">
        <f t="shared" si="947"/>
        <v/>
      </c>
    </row>
    <row r="57472" spans="8:8" x14ac:dyDescent="0.3">
      <c r="H57472" t="str">
        <f t="shared" si="947"/>
        <v/>
      </c>
    </row>
    <row r="57473" spans="8:8" x14ac:dyDescent="0.3">
      <c r="H57473" t="str">
        <f t="shared" si="947"/>
        <v/>
      </c>
    </row>
    <row r="57474" spans="8:8" x14ac:dyDescent="0.3">
      <c r="H57474" t="str">
        <f t="shared" si="947"/>
        <v/>
      </c>
    </row>
    <row r="57475" spans="8:8" x14ac:dyDescent="0.3">
      <c r="H57475" t="str">
        <f t="shared" si="947"/>
        <v/>
      </c>
    </row>
    <row r="57476" spans="8:8" x14ac:dyDescent="0.3">
      <c r="H57476" t="str">
        <f t="shared" si="947"/>
        <v/>
      </c>
    </row>
    <row r="57477" spans="8:8" x14ac:dyDescent="0.3">
      <c r="H57477" t="str">
        <f t="shared" si="947"/>
        <v/>
      </c>
    </row>
    <row r="57478" spans="8:8" x14ac:dyDescent="0.3">
      <c r="H57478" t="str">
        <f t="shared" si="947"/>
        <v/>
      </c>
    </row>
    <row r="57479" spans="8:8" x14ac:dyDescent="0.3">
      <c r="H57479" t="str">
        <f t="shared" si="947"/>
        <v/>
      </c>
    </row>
    <row r="57480" spans="8:8" x14ac:dyDescent="0.3">
      <c r="H57480" t="str">
        <f t="shared" si="947"/>
        <v/>
      </c>
    </row>
    <row r="57481" spans="8:8" x14ac:dyDescent="0.3">
      <c r="H57481" t="str">
        <f t="shared" si="947"/>
        <v/>
      </c>
    </row>
    <row r="57482" spans="8:8" x14ac:dyDescent="0.3">
      <c r="H57482" t="str">
        <f t="shared" si="947"/>
        <v/>
      </c>
    </row>
    <row r="57483" spans="8:8" x14ac:dyDescent="0.3">
      <c r="H57483" t="str">
        <f t="shared" si="947"/>
        <v/>
      </c>
    </row>
    <row r="57484" spans="8:8" x14ac:dyDescent="0.3">
      <c r="H57484" t="str">
        <f t="shared" si="947"/>
        <v/>
      </c>
    </row>
    <row r="57485" spans="8:8" x14ac:dyDescent="0.3">
      <c r="H57485" t="str">
        <f t="shared" si="947"/>
        <v/>
      </c>
    </row>
    <row r="57486" spans="8:8" x14ac:dyDescent="0.3">
      <c r="H57486" t="str">
        <f t="shared" si="947"/>
        <v/>
      </c>
    </row>
    <row r="57487" spans="8:8" x14ac:dyDescent="0.3">
      <c r="H57487" t="str">
        <f t="shared" si="947"/>
        <v/>
      </c>
    </row>
    <row r="57488" spans="8:8" x14ac:dyDescent="0.3">
      <c r="H57488" t="str">
        <f t="shared" si="947"/>
        <v/>
      </c>
    </row>
    <row r="57489" spans="8:8" x14ac:dyDescent="0.3">
      <c r="H57489" t="str">
        <f t="shared" si="947"/>
        <v/>
      </c>
    </row>
    <row r="57490" spans="8:8" x14ac:dyDescent="0.3">
      <c r="H57490" t="str">
        <f t="shared" si="947"/>
        <v/>
      </c>
    </row>
    <row r="57491" spans="8:8" x14ac:dyDescent="0.3">
      <c r="H57491" t="str">
        <f t="shared" si="947"/>
        <v/>
      </c>
    </row>
    <row r="57492" spans="8:8" x14ac:dyDescent="0.3">
      <c r="H57492" t="str">
        <f t="shared" si="947"/>
        <v/>
      </c>
    </row>
    <row r="57493" spans="8:8" x14ac:dyDescent="0.3">
      <c r="H57493" t="str">
        <f t="shared" si="947"/>
        <v/>
      </c>
    </row>
    <row r="57494" spans="8:8" x14ac:dyDescent="0.3">
      <c r="H57494" t="str">
        <f t="shared" si="947"/>
        <v/>
      </c>
    </row>
    <row r="57495" spans="8:8" x14ac:dyDescent="0.3">
      <c r="H57495" t="str">
        <f t="shared" ref="H57495:H57558" si="948">IF(B57495="","",$C$12)</f>
        <v/>
      </c>
    </row>
    <row r="57496" spans="8:8" x14ac:dyDescent="0.3">
      <c r="H57496" t="str">
        <f t="shared" si="948"/>
        <v/>
      </c>
    </row>
    <row r="57497" spans="8:8" x14ac:dyDescent="0.3">
      <c r="H57497" t="str">
        <f t="shared" si="948"/>
        <v/>
      </c>
    </row>
    <row r="57498" spans="8:8" x14ac:dyDescent="0.3">
      <c r="H57498" t="str">
        <f t="shared" si="948"/>
        <v/>
      </c>
    </row>
    <row r="57499" spans="8:8" x14ac:dyDescent="0.3">
      <c r="H57499" t="str">
        <f t="shared" si="948"/>
        <v/>
      </c>
    </row>
    <row r="57500" spans="8:8" x14ac:dyDescent="0.3">
      <c r="H57500" t="str">
        <f t="shared" si="948"/>
        <v/>
      </c>
    </row>
    <row r="57501" spans="8:8" x14ac:dyDescent="0.3">
      <c r="H57501" t="str">
        <f t="shared" si="948"/>
        <v/>
      </c>
    </row>
    <row r="57502" spans="8:8" x14ac:dyDescent="0.3">
      <c r="H57502" t="str">
        <f t="shared" si="948"/>
        <v/>
      </c>
    </row>
    <row r="57503" spans="8:8" x14ac:dyDescent="0.3">
      <c r="H57503" t="str">
        <f t="shared" si="948"/>
        <v/>
      </c>
    </row>
    <row r="57504" spans="8:8" x14ac:dyDescent="0.3">
      <c r="H57504" t="str">
        <f t="shared" si="948"/>
        <v/>
      </c>
    </row>
    <row r="57505" spans="8:8" x14ac:dyDescent="0.3">
      <c r="H57505" t="str">
        <f t="shared" si="948"/>
        <v/>
      </c>
    </row>
    <row r="57506" spans="8:8" x14ac:dyDescent="0.3">
      <c r="H57506" t="str">
        <f t="shared" si="948"/>
        <v/>
      </c>
    </row>
    <row r="57507" spans="8:8" x14ac:dyDescent="0.3">
      <c r="H57507" t="str">
        <f t="shared" si="948"/>
        <v/>
      </c>
    </row>
    <row r="57508" spans="8:8" x14ac:dyDescent="0.3">
      <c r="H57508" t="str">
        <f t="shared" si="948"/>
        <v/>
      </c>
    </row>
    <row r="57509" spans="8:8" x14ac:dyDescent="0.3">
      <c r="H57509" t="str">
        <f t="shared" si="948"/>
        <v/>
      </c>
    </row>
    <row r="57510" spans="8:8" x14ac:dyDescent="0.3">
      <c r="H57510" t="str">
        <f t="shared" si="948"/>
        <v/>
      </c>
    </row>
    <row r="57511" spans="8:8" x14ac:dyDescent="0.3">
      <c r="H57511" t="str">
        <f t="shared" si="948"/>
        <v/>
      </c>
    </row>
    <row r="57512" spans="8:8" x14ac:dyDescent="0.3">
      <c r="H57512" t="str">
        <f t="shared" si="948"/>
        <v/>
      </c>
    </row>
    <row r="57513" spans="8:8" x14ac:dyDescent="0.3">
      <c r="H57513" t="str">
        <f t="shared" si="948"/>
        <v/>
      </c>
    </row>
    <row r="57514" spans="8:8" x14ac:dyDescent="0.3">
      <c r="H57514" t="str">
        <f t="shared" si="948"/>
        <v/>
      </c>
    </row>
    <row r="57515" spans="8:8" x14ac:dyDescent="0.3">
      <c r="H57515" t="str">
        <f t="shared" si="948"/>
        <v/>
      </c>
    </row>
    <row r="57516" spans="8:8" x14ac:dyDescent="0.3">
      <c r="H57516" t="str">
        <f t="shared" si="948"/>
        <v/>
      </c>
    </row>
    <row r="57517" spans="8:8" x14ac:dyDescent="0.3">
      <c r="H57517" t="str">
        <f t="shared" si="948"/>
        <v/>
      </c>
    </row>
    <row r="57518" spans="8:8" x14ac:dyDescent="0.3">
      <c r="H57518" t="str">
        <f t="shared" si="948"/>
        <v/>
      </c>
    </row>
    <row r="57519" spans="8:8" x14ac:dyDescent="0.3">
      <c r="H57519" t="str">
        <f t="shared" si="948"/>
        <v/>
      </c>
    </row>
    <row r="57520" spans="8:8" x14ac:dyDescent="0.3">
      <c r="H57520" t="str">
        <f t="shared" si="948"/>
        <v/>
      </c>
    </row>
    <row r="57521" spans="8:8" x14ac:dyDescent="0.3">
      <c r="H57521" t="str">
        <f t="shared" si="948"/>
        <v/>
      </c>
    </row>
    <row r="57522" spans="8:8" x14ac:dyDescent="0.3">
      <c r="H57522" t="str">
        <f t="shared" si="948"/>
        <v/>
      </c>
    </row>
    <row r="57523" spans="8:8" x14ac:dyDescent="0.3">
      <c r="H57523" t="str">
        <f t="shared" si="948"/>
        <v/>
      </c>
    </row>
    <row r="57524" spans="8:8" x14ac:dyDescent="0.3">
      <c r="H57524" t="str">
        <f t="shared" si="948"/>
        <v/>
      </c>
    </row>
    <row r="57525" spans="8:8" x14ac:dyDescent="0.3">
      <c r="H57525" t="str">
        <f t="shared" si="948"/>
        <v/>
      </c>
    </row>
    <row r="57526" spans="8:8" x14ac:dyDescent="0.3">
      <c r="H57526" t="str">
        <f t="shared" si="948"/>
        <v/>
      </c>
    </row>
    <row r="57527" spans="8:8" x14ac:dyDescent="0.3">
      <c r="H57527" t="str">
        <f t="shared" si="948"/>
        <v/>
      </c>
    </row>
    <row r="57528" spans="8:8" x14ac:dyDescent="0.3">
      <c r="H57528" t="str">
        <f t="shared" si="948"/>
        <v/>
      </c>
    </row>
    <row r="57529" spans="8:8" x14ac:dyDescent="0.3">
      <c r="H57529" t="str">
        <f t="shared" si="948"/>
        <v/>
      </c>
    </row>
    <row r="57530" spans="8:8" x14ac:dyDescent="0.3">
      <c r="H57530" t="str">
        <f t="shared" si="948"/>
        <v/>
      </c>
    </row>
    <row r="57531" spans="8:8" x14ac:dyDescent="0.3">
      <c r="H57531" t="str">
        <f t="shared" si="948"/>
        <v/>
      </c>
    </row>
    <row r="57532" spans="8:8" x14ac:dyDescent="0.3">
      <c r="H57532" t="str">
        <f t="shared" si="948"/>
        <v/>
      </c>
    </row>
    <row r="57533" spans="8:8" x14ac:dyDescent="0.3">
      <c r="H57533" t="str">
        <f t="shared" si="948"/>
        <v/>
      </c>
    </row>
    <row r="57534" spans="8:8" x14ac:dyDescent="0.3">
      <c r="H57534" t="str">
        <f t="shared" si="948"/>
        <v/>
      </c>
    </row>
    <row r="57535" spans="8:8" x14ac:dyDescent="0.3">
      <c r="H57535" t="str">
        <f t="shared" si="948"/>
        <v/>
      </c>
    </row>
    <row r="57536" spans="8:8" x14ac:dyDescent="0.3">
      <c r="H57536" t="str">
        <f t="shared" si="948"/>
        <v/>
      </c>
    </row>
    <row r="57537" spans="8:8" x14ac:dyDescent="0.3">
      <c r="H57537" t="str">
        <f t="shared" si="948"/>
        <v/>
      </c>
    </row>
    <row r="57538" spans="8:8" x14ac:dyDescent="0.3">
      <c r="H57538" t="str">
        <f t="shared" si="948"/>
        <v/>
      </c>
    </row>
    <row r="57539" spans="8:8" x14ac:dyDescent="0.3">
      <c r="H57539" t="str">
        <f t="shared" si="948"/>
        <v/>
      </c>
    </row>
    <row r="57540" spans="8:8" x14ac:dyDescent="0.3">
      <c r="H57540" t="str">
        <f t="shared" si="948"/>
        <v/>
      </c>
    </row>
    <row r="57541" spans="8:8" x14ac:dyDescent="0.3">
      <c r="H57541" t="str">
        <f t="shared" si="948"/>
        <v/>
      </c>
    </row>
    <row r="57542" spans="8:8" x14ac:dyDescent="0.3">
      <c r="H57542" t="str">
        <f t="shared" si="948"/>
        <v/>
      </c>
    </row>
    <row r="57543" spans="8:8" x14ac:dyDescent="0.3">
      <c r="H57543" t="str">
        <f t="shared" si="948"/>
        <v/>
      </c>
    </row>
    <row r="57544" spans="8:8" x14ac:dyDescent="0.3">
      <c r="H57544" t="str">
        <f t="shared" si="948"/>
        <v/>
      </c>
    </row>
    <row r="57545" spans="8:8" x14ac:dyDescent="0.3">
      <c r="H57545" t="str">
        <f t="shared" si="948"/>
        <v/>
      </c>
    </row>
    <row r="57546" spans="8:8" x14ac:dyDescent="0.3">
      <c r="H57546" t="str">
        <f t="shared" si="948"/>
        <v/>
      </c>
    </row>
    <row r="57547" spans="8:8" x14ac:dyDescent="0.3">
      <c r="H57547" t="str">
        <f t="shared" si="948"/>
        <v/>
      </c>
    </row>
    <row r="57548" spans="8:8" x14ac:dyDescent="0.3">
      <c r="H57548" t="str">
        <f t="shared" si="948"/>
        <v/>
      </c>
    </row>
    <row r="57549" spans="8:8" x14ac:dyDescent="0.3">
      <c r="H57549" t="str">
        <f t="shared" si="948"/>
        <v/>
      </c>
    </row>
    <row r="57550" spans="8:8" x14ac:dyDescent="0.3">
      <c r="H57550" t="str">
        <f t="shared" si="948"/>
        <v/>
      </c>
    </row>
    <row r="57551" spans="8:8" x14ac:dyDescent="0.3">
      <c r="H57551" t="str">
        <f t="shared" si="948"/>
        <v/>
      </c>
    </row>
    <row r="57552" spans="8:8" x14ac:dyDescent="0.3">
      <c r="H57552" t="str">
        <f t="shared" si="948"/>
        <v/>
      </c>
    </row>
    <row r="57553" spans="8:8" x14ac:dyDescent="0.3">
      <c r="H57553" t="str">
        <f t="shared" si="948"/>
        <v/>
      </c>
    </row>
    <row r="57554" spans="8:8" x14ac:dyDescent="0.3">
      <c r="H57554" t="str">
        <f t="shared" si="948"/>
        <v/>
      </c>
    </row>
    <row r="57555" spans="8:8" x14ac:dyDescent="0.3">
      <c r="H57555" t="str">
        <f t="shared" si="948"/>
        <v/>
      </c>
    </row>
    <row r="57556" spans="8:8" x14ac:dyDescent="0.3">
      <c r="H57556" t="str">
        <f t="shared" si="948"/>
        <v/>
      </c>
    </row>
    <row r="57557" spans="8:8" x14ac:dyDescent="0.3">
      <c r="H57557" t="str">
        <f t="shared" si="948"/>
        <v/>
      </c>
    </row>
    <row r="57558" spans="8:8" x14ac:dyDescent="0.3">
      <c r="H57558" t="str">
        <f t="shared" si="948"/>
        <v/>
      </c>
    </row>
    <row r="57559" spans="8:8" x14ac:dyDescent="0.3">
      <c r="H57559" t="str">
        <f t="shared" ref="H57559:H57622" si="949">IF(B57559="","",$C$12)</f>
        <v/>
      </c>
    </row>
    <row r="57560" spans="8:8" x14ac:dyDescent="0.3">
      <c r="H57560" t="str">
        <f t="shared" si="949"/>
        <v/>
      </c>
    </row>
    <row r="57561" spans="8:8" x14ac:dyDescent="0.3">
      <c r="H57561" t="str">
        <f t="shared" si="949"/>
        <v/>
      </c>
    </row>
    <row r="57562" spans="8:8" x14ac:dyDescent="0.3">
      <c r="H57562" t="str">
        <f t="shared" si="949"/>
        <v/>
      </c>
    </row>
    <row r="57563" spans="8:8" x14ac:dyDescent="0.3">
      <c r="H57563" t="str">
        <f t="shared" si="949"/>
        <v/>
      </c>
    </row>
    <row r="57564" spans="8:8" x14ac:dyDescent="0.3">
      <c r="H57564" t="str">
        <f t="shared" si="949"/>
        <v/>
      </c>
    </row>
    <row r="57565" spans="8:8" x14ac:dyDescent="0.3">
      <c r="H57565" t="str">
        <f t="shared" si="949"/>
        <v/>
      </c>
    </row>
    <row r="57566" spans="8:8" x14ac:dyDescent="0.3">
      <c r="H57566" t="str">
        <f t="shared" si="949"/>
        <v/>
      </c>
    </row>
    <row r="57567" spans="8:8" x14ac:dyDescent="0.3">
      <c r="H57567" t="str">
        <f t="shared" si="949"/>
        <v/>
      </c>
    </row>
    <row r="57568" spans="8:8" x14ac:dyDescent="0.3">
      <c r="H57568" t="str">
        <f t="shared" si="949"/>
        <v/>
      </c>
    </row>
    <row r="57569" spans="8:8" x14ac:dyDescent="0.3">
      <c r="H57569" t="str">
        <f t="shared" si="949"/>
        <v/>
      </c>
    </row>
    <row r="57570" spans="8:8" x14ac:dyDescent="0.3">
      <c r="H57570" t="str">
        <f t="shared" si="949"/>
        <v/>
      </c>
    </row>
    <row r="57571" spans="8:8" x14ac:dyDescent="0.3">
      <c r="H57571" t="str">
        <f t="shared" si="949"/>
        <v/>
      </c>
    </row>
    <row r="57572" spans="8:8" x14ac:dyDescent="0.3">
      <c r="H57572" t="str">
        <f t="shared" si="949"/>
        <v/>
      </c>
    </row>
    <row r="57573" spans="8:8" x14ac:dyDescent="0.3">
      <c r="H57573" t="str">
        <f t="shared" si="949"/>
        <v/>
      </c>
    </row>
    <row r="57574" spans="8:8" x14ac:dyDescent="0.3">
      <c r="H57574" t="str">
        <f t="shared" si="949"/>
        <v/>
      </c>
    </row>
    <row r="57575" spans="8:8" x14ac:dyDescent="0.3">
      <c r="H57575" t="str">
        <f t="shared" si="949"/>
        <v/>
      </c>
    </row>
    <row r="57576" spans="8:8" x14ac:dyDescent="0.3">
      <c r="H57576" t="str">
        <f t="shared" si="949"/>
        <v/>
      </c>
    </row>
    <row r="57577" spans="8:8" x14ac:dyDescent="0.3">
      <c r="H57577" t="str">
        <f t="shared" si="949"/>
        <v/>
      </c>
    </row>
    <row r="57578" spans="8:8" x14ac:dyDescent="0.3">
      <c r="H57578" t="str">
        <f t="shared" si="949"/>
        <v/>
      </c>
    </row>
    <row r="57579" spans="8:8" x14ac:dyDescent="0.3">
      <c r="H57579" t="str">
        <f t="shared" si="949"/>
        <v/>
      </c>
    </row>
    <row r="57580" spans="8:8" x14ac:dyDescent="0.3">
      <c r="H57580" t="str">
        <f t="shared" si="949"/>
        <v/>
      </c>
    </row>
    <row r="57581" spans="8:8" x14ac:dyDescent="0.3">
      <c r="H57581" t="str">
        <f t="shared" si="949"/>
        <v/>
      </c>
    </row>
    <row r="57582" spans="8:8" x14ac:dyDescent="0.3">
      <c r="H57582" t="str">
        <f t="shared" si="949"/>
        <v/>
      </c>
    </row>
    <row r="57583" spans="8:8" x14ac:dyDescent="0.3">
      <c r="H57583" t="str">
        <f t="shared" si="949"/>
        <v/>
      </c>
    </row>
    <row r="57584" spans="8:8" x14ac:dyDescent="0.3">
      <c r="H57584" t="str">
        <f t="shared" si="949"/>
        <v/>
      </c>
    </row>
    <row r="57585" spans="8:8" x14ac:dyDescent="0.3">
      <c r="H57585" t="str">
        <f t="shared" si="949"/>
        <v/>
      </c>
    </row>
    <row r="57586" spans="8:8" x14ac:dyDescent="0.3">
      <c r="H57586" t="str">
        <f t="shared" si="949"/>
        <v/>
      </c>
    </row>
    <row r="57587" spans="8:8" x14ac:dyDescent="0.3">
      <c r="H57587" t="str">
        <f t="shared" si="949"/>
        <v/>
      </c>
    </row>
    <row r="57588" spans="8:8" x14ac:dyDescent="0.3">
      <c r="H57588" t="str">
        <f t="shared" si="949"/>
        <v/>
      </c>
    </row>
    <row r="57589" spans="8:8" x14ac:dyDescent="0.3">
      <c r="H57589" t="str">
        <f t="shared" si="949"/>
        <v/>
      </c>
    </row>
    <row r="57590" spans="8:8" x14ac:dyDescent="0.3">
      <c r="H57590" t="str">
        <f t="shared" si="949"/>
        <v/>
      </c>
    </row>
    <row r="57591" spans="8:8" x14ac:dyDescent="0.3">
      <c r="H57591" t="str">
        <f t="shared" si="949"/>
        <v/>
      </c>
    </row>
    <row r="57592" spans="8:8" x14ac:dyDescent="0.3">
      <c r="H57592" t="str">
        <f t="shared" si="949"/>
        <v/>
      </c>
    </row>
    <row r="57593" spans="8:8" x14ac:dyDescent="0.3">
      <c r="H57593" t="str">
        <f t="shared" si="949"/>
        <v/>
      </c>
    </row>
    <row r="57594" spans="8:8" x14ac:dyDescent="0.3">
      <c r="H57594" t="str">
        <f t="shared" si="949"/>
        <v/>
      </c>
    </row>
    <row r="57595" spans="8:8" x14ac:dyDescent="0.3">
      <c r="H57595" t="str">
        <f t="shared" si="949"/>
        <v/>
      </c>
    </row>
    <row r="57596" spans="8:8" x14ac:dyDescent="0.3">
      <c r="H57596" t="str">
        <f t="shared" si="949"/>
        <v/>
      </c>
    </row>
    <row r="57597" spans="8:8" x14ac:dyDescent="0.3">
      <c r="H57597" t="str">
        <f t="shared" si="949"/>
        <v/>
      </c>
    </row>
    <row r="57598" spans="8:8" x14ac:dyDescent="0.3">
      <c r="H57598" t="str">
        <f t="shared" si="949"/>
        <v/>
      </c>
    </row>
    <row r="57599" spans="8:8" x14ac:dyDescent="0.3">
      <c r="H57599" t="str">
        <f t="shared" si="949"/>
        <v/>
      </c>
    </row>
    <row r="57600" spans="8:8" x14ac:dyDescent="0.3">
      <c r="H57600" t="str">
        <f t="shared" si="949"/>
        <v/>
      </c>
    </row>
    <row r="57601" spans="8:8" x14ac:dyDescent="0.3">
      <c r="H57601" t="str">
        <f t="shared" si="949"/>
        <v/>
      </c>
    </row>
    <row r="57602" spans="8:8" x14ac:dyDescent="0.3">
      <c r="H57602" t="str">
        <f t="shared" si="949"/>
        <v/>
      </c>
    </row>
    <row r="57603" spans="8:8" x14ac:dyDescent="0.3">
      <c r="H57603" t="str">
        <f t="shared" si="949"/>
        <v/>
      </c>
    </row>
    <row r="57604" spans="8:8" x14ac:dyDescent="0.3">
      <c r="H57604" t="str">
        <f t="shared" si="949"/>
        <v/>
      </c>
    </row>
    <row r="57605" spans="8:8" x14ac:dyDescent="0.3">
      <c r="H57605" t="str">
        <f t="shared" si="949"/>
        <v/>
      </c>
    </row>
    <row r="57606" spans="8:8" x14ac:dyDescent="0.3">
      <c r="H57606" t="str">
        <f t="shared" si="949"/>
        <v/>
      </c>
    </row>
    <row r="57607" spans="8:8" x14ac:dyDescent="0.3">
      <c r="H57607" t="str">
        <f t="shared" si="949"/>
        <v/>
      </c>
    </row>
    <row r="57608" spans="8:8" x14ac:dyDescent="0.3">
      <c r="H57608" t="str">
        <f t="shared" si="949"/>
        <v/>
      </c>
    </row>
    <row r="57609" spans="8:8" x14ac:dyDescent="0.3">
      <c r="H57609" t="str">
        <f t="shared" si="949"/>
        <v/>
      </c>
    </row>
    <row r="57610" spans="8:8" x14ac:dyDescent="0.3">
      <c r="H57610" t="str">
        <f t="shared" si="949"/>
        <v/>
      </c>
    </row>
    <row r="57611" spans="8:8" x14ac:dyDescent="0.3">
      <c r="H57611" t="str">
        <f t="shared" si="949"/>
        <v/>
      </c>
    </row>
    <row r="57612" spans="8:8" x14ac:dyDescent="0.3">
      <c r="H57612" t="str">
        <f t="shared" si="949"/>
        <v/>
      </c>
    </row>
    <row r="57613" spans="8:8" x14ac:dyDescent="0.3">
      <c r="H57613" t="str">
        <f t="shared" si="949"/>
        <v/>
      </c>
    </row>
    <row r="57614" spans="8:8" x14ac:dyDescent="0.3">
      <c r="H57614" t="str">
        <f t="shared" si="949"/>
        <v/>
      </c>
    </row>
    <row r="57615" spans="8:8" x14ac:dyDescent="0.3">
      <c r="H57615" t="str">
        <f t="shared" si="949"/>
        <v/>
      </c>
    </row>
    <row r="57616" spans="8:8" x14ac:dyDescent="0.3">
      <c r="H57616" t="str">
        <f t="shared" si="949"/>
        <v/>
      </c>
    </row>
    <row r="57617" spans="8:8" x14ac:dyDescent="0.3">
      <c r="H57617" t="str">
        <f t="shared" si="949"/>
        <v/>
      </c>
    </row>
    <row r="57618" spans="8:8" x14ac:dyDescent="0.3">
      <c r="H57618" t="str">
        <f t="shared" si="949"/>
        <v/>
      </c>
    </row>
    <row r="57619" spans="8:8" x14ac:dyDescent="0.3">
      <c r="H57619" t="str">
        <f t="shared" si="949"/>
        <v/>
      </c>
    </row>
    <row r="57620" spans="8:8" x14ac:dyDescent="0.3">
      <c r="H57620" t="str">
        <f t="shared" si="949"/>
        <v/>
      </c>
    </row>
    <row r="57621" spans="8:8" x14ac:dyDescent="0.3">
      <c r="H57621" t="str">
        <f t="shared" si="949"/>
        <v/>
      </c>
    </row>
    <row r="57622" spans="8:8" x14ac:dyDescent="0.3">
      <c r="H57622" t="str">
        <f t="shared" si="949"/>
        <v/>
      </c>
    </row>
    <row r="57623" spans="8:8" x14ac:dyDescent="0.3">
      <c r="H57623" t="str">
        <f t="shared" ref="H57623:H57686" si="950">IF(B57623="","",$C$12)</f>
        <v/>
      </c>
    </row>
    <row r="57624" spans="8:8" x14ac:dyDescent="0.3">
      <c r="H57624" t="str">
        <f t="shared" si="950"/>
        <v/>
      </c>
    </row>
    <row r="57625" spans="8:8" x14ac:dyDescent="0.3">
      <c r="H57625" t="str">
        <f t="shared" si="950"/>
        <v/>
      </c>
    </row>
    <row r="57626" spans="8:8" x14ac:dyDescent="0.3">
      <c r="H57626" t="str">
        <f t="shared" si="950"/>
        <v/>
      </c>
    </row>
    <row r="57627" spans="8:8" x14ac:dyDescent="0.3">
      <c r="H57627" t="str">
        <f t="shared" si="950"/>
        <v/>
      </c>
    </row>
    <row r="57628" spans="8:8" x14ac:dyDescent="0.3">
      <c r="H57628" t="str">
        <f t="shared" si="950"/>
        <v/>
      </c>
    </row>
    <row r="57629" spans="8:8" x14ac:dyDescent="0.3">
      <c r="H57629" t="str">
        <f t="shared" si="950"/>
        <v/>
      </c>
    </row>
    <row r="57630" spans="8:8" x14ac:dyDescent="0.3">
      <c r="H57630" t="str">
        <f t="shared" si="950"/>
        <v/>
      </c>
    </row>
    <row r="57631" spans="8:8" x14ac:dyDescent="0.3">
      <c r="H57631" t="str">
        <f t="shared" si="950"/>
        <v/>
      </c>
    </row>
    <row r="57632" spans="8:8" x14ac:dyDescent="0.3">
      <c r="H57632" t="str">
        <f t="shared" si="950"/>
        <v/>
      </c>
    </row>
    <row r="57633" spans="8:8" x14ac:dyDescent="0.3">
      <c r="H57633" t="str">
        <f t="shared" si="950"/>
        <v/>
      </c>
    </row>
    <row r="57634" spans="8:8" x14ac:dyDescent="0.3">
      <c r="H57634" t="str">
        <f t="shared" si="950"/>
        <v/>
      </c>
    </row>
    <row r="57635" spans="8:8" x14ac:dyDescent="0.3">
      <c r="H57635" t="str">
        <f t="shared" si="950"/>
        <v/>
      </c>
    </row>
    <row r="57636" spans="8:8" x14ac:dyDescent="0.3">
      <c r="H57636" t="str">
        <f t="shared" si="950"/>
        <v/>
      </c>
    </row>
    <row r="57637" spans="8:8" x14ac:dyDescent="0.3">
      <c r="H57637" t="str">
        <f t="shared" si="950"/>
        <v/>
      </c>
    </row>
    <row r="57638" spans="8:8" x14ac:dyDescent="0.3">
      <c r="H57638" t="str">
        <f t="shared" si="950"/>
        <v/>
      </c>
    </row>
    <row r="57639" spans="8:8" x14ac:dyDescent="0.3">
      <c r="H57639" t="str">
        <f t="shared" si="950"/>
        <v/>
      </c>
    </row>
    <row r="57640" spans="8:8" x14ac:dyDescent="0.3">
      <c r="H57640" t="str">
        <f t="shared" si="950"/>
        <v/>
      </c>
    </row>
    <row r="57641" spans="8:8" x14ac:dyDescent="0.3">
      <c r="H57641" t="str">
        <f t="shared" si="950"/>
        <v/>
      </c>
    </row>
    <row r="57642" spans="8:8" x14ac:dyDescent="0.3">
      <c r="H57642" t="str">
        <f t="shared" si="950"/>
        <v/>
      </c>
    </row>
    <row r="57643" spans="8:8" x14ac:dyDescent="0.3">
      <c r="H57643" t="str">
        <f t="shared" si="950"/>
        <v/>
      </c>
    </row>
    <row r="57644" spans="8:8" x14ac:dyDescent="0.3">
      <c r="H57644" t="str">
        <f t="shared" si="950"/>
        <v/>
      </c>
    </row>
    <row r="57645" spans="8:8" x14ac:dyDescent="0.3">
      <c r="H57645" t="str">
        <f t="shared" si="950"/>
        <v/>
      </c>
    </row>
    <row r="57646" spans="8:8" x14ac:dyDescent="0.3">
      <c r="H57646" t="str">
        <f t="shared" si="950"/>
        <v/>
      </c>
    </row>
    <row r="57647" spans="8:8" x14ac:dyDescent="0.3">
      <c r="H57647" t="str">
        <f t="shared" si="950"/>
        <v/>
      </c>
    </row>
    <row r="57648" spans="8:8" x14ac:dyDescent="0.3">
      <c r="H57648" t="str">
        <f t="shared" si="950"/>
        <v/>
      </c>
    </row>
    <row r="57649" spans="8:8" x14ac:dyDescent="0.3">
      <c r="H57649" t="str">
        <f t="shared" si="950"/>
        <v/>
      </c>
    </row>
    <row r="57650" spans="8:8" x14ac:dyDescent="0.3">
      <c r="H57650" t="str">
        <f t="shared" si="950"/>
        <v/>
      </c>
    </row>
    <row r="57651" spans="8:8" x14ac:dyDescent="0.3">
      <c r="H57651" t="str">
        <f t="shared" si="950"/>
        <v/>
      </c>
    </row>
    <row r="57652" spans="8:8" x14ac:dyDescent="0.3">
      <c r="H57652" t="str">
        <f t="shared" si="950"/>
        <v/>
      </c>
    </row>
    <row r="57653" spans="8:8" x14ac:dyDescent="0.3">
      <c r="H57653" t="str">
        <f t="shared" si="950"/>
        <v/>
      </c>
    </row>
    <row r="57654" spans="8:8" x14ac:dyDescent="0.3">
      <c r="H57654" t="str">
        <f t="shared" si="950"/>
        <v/>
      </c>
    </row>
    <row r="57655" spans="8:8" x14ac:dyDescent="0.3">
      <c r="H57655" t="str">
        <f t="shared" si="950"/>
        <v/>
      </c>
    </row>
    <row r="57656" spans="8:8" x14ac:dyDescent="0.3">
      <c r="H57656" t="str">
        <f t="shared" si="950"/>
        <v/>
      </c>
    </row>
    <row r="57657" spans="8:8" x14ac:dyDescent="0.3">
      <c r="H57657" t="str">
        <f t="shared" si="950"/>
        <v/>
      </c>
    </row>
    <row r="57658" spans="8:8" x14ac:dyDescent="0.3">
      <c r="H57658" t="str">
        <f t="shared" si="950"/>
        <v/>
      </c>
    </row>
    <row r="57659" spans="8:8" x14ac:dyDescent="0.3">
      <c r="H57659" t="str">
        <f t="shared" si="950"/>
        <v/>
      </c>
    </row>
    <row r="57660" spans="8:8" x14ac:dyDescent="0.3">
      <c r="H57660" t="str">
        <f t="shared" si="950"/>
        <v/>
      </c>
    </row>
    <row r="57661" spans="8:8" x14ac:dyDescent="0.3">
      <c r="H57661" t="str">
        <f t="shared" si="950"/>
        <v/>
      </c>
    </row>
    <row r="57662" spans="8:8" x14ac:dyDescent="0.3">
      <c r="H57662" t="str">
        <f t="shared" si="950"/>
        <v/>
      </c>
    </row>
    <row r="57663" spans="8:8" x14ac:dyDescent="0.3">
      <c r="H57663" t="str">
        <f t="shared" si="950"/>
        <v/>
      </c>
    </row>
    <row r="57664" spans="8:8" x14ac:dyDescent="0.3">
      <c r="H57664" t="str">
        <f t="shared" si="950"/>
        <v/>
      </c>
    </row>
    <row r="57665" spans="8:8" x14ac:dyDescent="0.3">
      <c r="H57665" t="str">
        <f t="shared" si="950"/>
        <v/>
      </c>
    </row>
    <row r="57666" spans="8:8" x14ac:dyDescent="0.3">
      <c r="H57666" t="str">
        <f t="shared" si="950"/>
        <v/>
      </c>
    </row>
    <row r="57667" spans="8:8" x14ac:dyDescent="0.3">
      <c r="H57667" t="str">
        <f t="shared" si="950"/>
        <v/>
      </c>
    </row>
    <row r="57668" spans="8:8" x14ac:dyDescent="0.3">
      <c r="H57668" t="str">
        <f t="shared" si="950"/>
        <v/>
      </c>
    </row>
    <row r="57669" spans="8:8" x14ac:dyDescent="0.3">
      <c r="H57669" t="str">
        <f t="shared" si="950"/>
        <v/>
      </c>
    </row>
    <row r="57670" spans="8:8" x14ac:dyDescent="0.3">
      <c r="H57670" t="str">
        <f t="shared" si="950"/>
        <v/>
      </c>
    </row>
    <row r="57671" spans="8:8" x14ac:dyDescent="0.3">
      <c r="H57671" t="str">
        <f t="shared" si="950"/>
        <v/>
      </c>
    </row>
    <row r="57672" spans="8:8" x14ac:dyDescent="0.3">
      <c r="H57672" t="str">
        <f t="shared" si="950"/>
        <v/>
      </c>
    </row>
    <row r="57673" spans="8:8" x14ac:dyDescent="0.3">
      <c r="H57673" t="str">
        <f t="shared" si="950"/>
        <v/>
      </c>
    </row>
    <row r="57674" spans="8:8" x14ac:dyDescent="0.3">
      <c r="H57674" t="str">
        <f t="shared" si="950"/>
        <v/>
      </c>
    </row>
    <row r="57675" spans="8:8" x14ac:dyDescent="0.3">
      <c r="H57675" t="str">
        <f t="shared" si="950"/>
        <v/>
      </c>
    </row>
    <row r="57676" spans="8:8" x14ac:dyDescent="0.3">
      <c r="H57676" t="str">
        <f t="shared" si="950"/>
        <v/>
      </c>
    </row>
    <row r="57677" spans="8:8" x14ac:dyDescent="0.3">
      <c r="H57677" t="str">
        <f t="shared" si="950"/>
        <v/>
      </c>
    </row>
    <row r="57678" spans="8:8" x14ac:dyDescent="0.3">
      <c r="H57678" t="str">
        <f t="shared" si="950"/>
        <v/>
      </c>
    </row>
    <row r="57679" spans="8:8" x14ac:dyDescent="0.3">
      <c r="H57679" t="str">
        <f t="shared" si="950"/>
        <v/>
      </c>
    </row>
    <row r="57680" spans="8:8" x14ac:dyDescent="0.3">
      <c r="H57680" t="str">
        <f t="shared" si="950"/>
        <v/>
      </c>
    </row>
    <row r="57681" spans="8:8" x14ac:dyDescent="0.3">
      <c r="H57681" t="str">
        <f t="shared" si="950"/>
        <v/>
      </c>
    </row>
    <row r="57682" spans="8:8" x14ac:dyDescent="0.3">
      <c r="H57682" t="str">
        <f t="shared" si="950"/>
        <v/>
      </c>
    </row>
    <row r="57683" spans="8:8" x14ac:dyDescent="0.3">
      <c r="H57683" t="str">
        <f t="shared" si="950"/>
        <v/>
      </c>
    </row>
    <row r="57684" spans="8:8" x14ac:dyDescent="0.3">
      <c r="H57684" t="str">
        <f t="shared" si="950"/>
        <v/>
      </c>
    </row>
    <row r="57685" spans="8:8" x14ac:dyDescent="0.3">
      <c r="H57685" t="str">
        <f t="shared" si="950"/>
        <v/>
      </c>
    </row>
    <row r="57686" spans="8:8" x14ac:dyDescent="0.3">
      <c r="H57686" t="str">
        <f t="shared" si="950"/>
        <v/>
      </c>
    </row>
    <row r="57687" spans="8:8" x14ac:dyDescent="0.3">
      <c r="H57687" t="str">
        <f t="shared" ref="H57687:H57750" si="951">IF(B57687="","",$C$12)</f>
        <v/>
      </c>
    </row>
    <row r="57688" spans="8:8" x14ac:dyDescent="0.3">
      <c r="H57688" t="str">
        <f t="shared" si="951"/>
        <v/>
      </c>
    </row>
    <row r="57689" spans="8:8" x14ac:dyDescent="0.3">
      <c r="H57689" t="str">
        <f t="shared" si="951"/>
        <v/>
      </c>
    </row>
    <row r="57690" spans="8:8" x14ac:dyDescent="0.3">
      <c r="H57690" t="str">
        <f t="shared" si="951"/>
        <v/>
      </c>
    </row>
    <row r="57691" spans="8:8" x14ac:dyDescent="0.3">
      <c r="H57691" t="str">
        <f t="shared" si="951"/>
        <v/>
      </c>
    </row>
    <row r="57692" spans="8:8" x14ac:dyDescent="0.3">
      <c r="H57692" t="str">
        <f t="shared" si="951"/>
        <v/>
      </c>
    </row>
    <row r="57693" spans="8:8" x14ac:dyDescent="0.3">
      <c r="H57693" t="str">
        <f t="shared" si="951"/>
        <v/>
      </c>
    </row>
    <row r="57694" spans="8:8" x14ac:dyDescent="0.3">
      <c r="H57694" t="str">
        <f t="shared" si="951"/>
        <v/>
      </c>
    </row>
    <row r="57695" spans="8:8" x14ac:dyDescent="0.3">
      <c r="H57695" t="str">
        <f t="shared" si="951"/>
        <v/>
      </c>
    </row>
    <row r="57696" spans="8:8" x14ac:dyDescent="0.3">
      <c r="H57696" t="str">
        <f t="shared" si="951"/>
        <v/>
      </c>
    </row>
    <row r="57697" spans="8:8" x14ac:dyDescent="0.3">
      <c r="H57697" t="str">
        <f t="shared" si="951"/>
        <v/>
      </c>
    </row>
    <row r="57698" spans="8:8" x14ac:dyDescent="0.3">
      <c r="H57698" t="str">
        <f t="shared" si="951"/>
        <v/>
      </c>
    </row>
    <row r="57699" spans="8:8" x14ac:dyDescent="0.3">
      <c r="H57699" t="str">
        <f t="shared" si="951"/>
        <v/>
      </c>
    </row>
    <row r="57700" spans="8:8" x14ac:dyDescent="0.3">
      <c r="H57700" t="str">
        <f t="shared" si="951"/>
        <v/>
      </c>
    </row>
    <row r="57701" spans="8:8" x14ac:dyDescent="0.3">
      <c r="H57701" t="str">
        <f t="shared" si="951"/>
        <v/>
      </c>
    </row>
    <row r="57702" spans="8:8" x14ac:dyDescent="0.3">
      <c r="H57702" t="str">
        <f t="shared" si="951"/>
        <v/>
      </c>
    </row>
    <row r="57703" spans="8:8" x14ac:dyDescent="0.3">
      <c r="H57703" t="str">
        <f t="shared" si="951"/>
        <v/>
      </c>
    </row>
    <row r="57704" spans="8:8" x14ac:dyDescent="0.3">
      <c r="H57704" t="str">
        <f t="shared" si="951"/>
        <v/>
      </c>
    </row>
    <row r="57705" spans="8:8" x14ac:dyDescent="0.3">
      <c r="H57705" t="str">
        <f t="shared" si="951"/>
        <v/>
      </c>
    </row>
    <row r="57706" spans="8:8" x14ac:dyDescent="0.3">
      <c r="H57706" t="str">
        <f t="shared" si="951"/>
        <v/>
      </c>
    </row>
    <row r="57707" spans="8:8" x14ac:dyDescent="0.3">
      <c r="H57707" t="str">
        <f t="shared" si="951"/>
        <v/>
      </c>
    </row>
    <row r="57708" spans="8:8" x14ac:dyDescent="0.3">
      <c r="H57708" t="str">
        <f t="shared" si="951"/>
        <v/>
      </c>
    </row>
    <row r="57709" spans="8:8" x14ac:dyDescent="0.3">
      <c r="H57709" t="str">
        <f t="shared" si="951"/>
        <v/>
      </c>
    </row>
    <row r="57710" spans="8:8" x14ac:dyDescent="0.3">
      <c r="H57710" t="str">
        <f t="shared" si="951"/>
        <v/>
      </c>
    </row>
    <row r="57711" spans="8:8" x14ac:dyDescent="0.3">
      <c r="H57711" t="str">
        <f t="shared" si="951"/>
        <v/>
      </c>
    </row>
    <row r="57712" spans="8:8" x14ac:dyDescent="0.3">
      <c r="H57712" t="str">
        <f t="shared" si="951"/>
        <v/>
      </c>
    </row>
    <row r="57713" spans="8:8" x14ac:dyDescent="0.3">
      <c r="H57713" t="str">
        <f t="shared" si="951"/>
        <v/>
      </c>
    </row>
    <row r="57714" spans="8:8" x14ac:dyDescent="0.3">
      <c r="H57714" t="str">
        <f t="shared" si="951"/>
        <v/>
      </c>
    </row>
    <row r="57715" spans="8:8" x14ac:dyDescent="0.3">
      <c r="H57715" t="str">
        <f t="shared" si="951"/>
        <v/>
      </c>
    </row>
    <row r="57716" spans="8:8" x14ac:dyDescent="0.3">
      <c r="H57716" t="str">
        <f t="shared" si="951"/>
        <v/>
      </c>
    </row>
    <row r="57717" spans="8:8" x14ac:dyDescent="0.3">
      <c r="H57717" t="str">
        <f t="shared" si="951"/>
        <v/>
      </c>
    </row>
    <row r="57718" spans="8:8" x14ac:dyDescent="0.3">
      <c r="H57718" t="str">
        <f t="shared" si="951"/>
        <v/>
      </c>
    </row>
    <row r="57719" spans="8:8" x14ac:dyDescent="0.3">
      <c r="H57719" t="str">
        <f t="shared" si="951"/>
        <v/>
      </c>
    </row>
    <row r="57720" spans="8:8" x14ac:dyDescent="0.3">
      <c r="H57720" t="str">
        <f t="shared" si="951"/>
        <v/>
      </c>
    </row>
    <row r="57721" spans="8:8" x14ac:dyDescent="0.3">
      <c r="H57721" t="str">
        <f t="shared" si="951"/>
        <v/>
      </c>
    </row>
    <row r="57722" spans="8:8" x14ac:dyDescent="0.3">
      <c r="H57722" t="str">
        <f t="shared" si="951"/>
        <v/>
      </c>
    </row>
    <row r="57723" spans="8:8" x14ac:dyDescent="0.3">
      <c r="H57723" t="str">
        <f t="shared" si="951"/>
        <v/>
      </c>
    </row>
    <row r="57724" spans="8:8" x14ac:dyDescent="0.3">
      <c r="H57724" t="str">
        <f t="shared" si="951"/>
        <v/>
      </c>
    </row>
    <row r="57725" spans="8:8" x14ac:dyDescent="0.3">
      <c r="H57725" t="str">
        <f t="shared" si="951"/>
        <v/>
      </c>
    </row>
    <row r="57726" spans="8:8" x14ac:dyDescent="0.3">
      <c r="H57726" t="str">
        <f t="shared" si="951"/>
        <v/>
      </c>
    </row>
    <row r="57727" spans="8:8" x14ac:dyDescent="0.3">
      <c r="H57727" t="str">
        <f t="shared" si="951"/>
        <v/>
      </c>
    </row>
    <row r="57728" spans="8:8" x14ac:dyDescent="0.3">
      <c r="H57728" t="str">
        <f t="shared" si="951"/>
        <v/>
      </c>
    </row>
    <row r="57729" spans="8:8" x14ac:dyDescent="0.3">
      <c r="H57729" t="str">
        <f t="shared" si="951"/>
        <v/>
      </c>
    </row>
    <row r="57730" spans="8:8" x14ac:dyDescent="0.3">
      <c r="H57730" t="str">
        <f t="shared" si="951"/>
        <v/>
      </c>
    </row>
    <row r="57731" spans="8:8" x14ac:dyDescent="0.3">
      <c r="H57731" t="str">
        <f t="shared" si="951"/>
        <v/>
      </c>
    </row>
    <row r="57732" spans="8:8" x14ac:dyDescent="0.3">
      <c r="H57732" t="str">
        <f t="shared" si="951"/>
        <v/>
      </c>
    </row>
    <row r="57733" spans="8:8" x14ac:dyDescent="0.3">
      <c r="H57733" t="str">
        <f t="shared" si="951"/>
        <v/>
      </c>
    </row>
    <row r="57734" spans="8:8" x14ac:dyDescent="0.3">
      <c r="H57734" t="str">
        <f t="shared" si="951"/>
        <v/>
      </c>
    </row>
    <row r="57735" spans="8:8" x14ac:dyDescent="0.3">
      <c r="H57735" t="str">
        <f t="shared" si="951"/>
        <v/>
      </c>
    </row>
    <row r="57736" spans="8:8" x14ac:dyDescent="0.3">
      <c r="H57736" t="str">
        <f t="shared" si="951"/>
        <v/>
      </c>
    </row>
    <row r="57737" spans="8:8" x14ac:dyDescent="0.3">
      <c r="H57737" t="str">
        <f t="shared" si="951"/>
        <v/>
      </c>
    </row>
    <row r="57738" spans="8:8" x14ac:dyDescent="0.3">
      <c r="H57738" t="str">
        <f t="shared" si="951"/>
        <v/>
      </c>
    </row>
    <row r="57739" spans="8:8" x14ac:dyDescent="0.3">
      <c r="H57739" t="str">
        <f t="shared" si="951"/>
        <v/>
      </c>
    </row>
    <row r="57740" spans="8:8" x14ac:dyDescent="0.3">
      <c r="H57740" t="str">
        <f t="shared" si="951"/>
        <v/>
      </c>
    </row>
    <row r="57741" spans="8:8" x14ac:dyDescent="0.3">
      <c r="H57741" t="str">
        <f t="shared" si="951"/>
        <v/>
      </c>
    </row>
    <row r="57742" spans="8:8" x14ac:dyDescent="0.3">
      <c r="H57742" t="str">
        <f t="shared" si="951"/>
        <v/>
      </c>
    </row>
    <row r="57743" spans="8:8" x14ac:dyDescent="0.3">
      <c r="H57743" t="str">
        <f t="shared" si="951"/>
        <v/>
      </c>
    </row>
    <row r="57744" spans="8:8" x14ac:dyDescent="0.3">
      <c r="H57744" t="str">
        <f t="shared" si="951"/>
        <v/>
      </c>
    </row>
    <row r="57745" spans="8:8" x14ac:dyDescent="0.3">
      <c r="H57745" t="str">
        <f t="shared" si="951"/>
        <v/>
      </c>
    </row>
    <row r="57746" spans="8:8" x14ac:dyDescent="0.3">
      <c r="H57746" t="str">
        <f t="shared" si="951"/>
        <v/>
      </c>
    </row>
    <row r="57747" spans="8:8" x14ac:dyDescent="0.3">
      <c r="H57747" t="str">
        <f t="shared" si="951"/>
        <v/>
      </c>
    </row>
    <row r="57748" spans="8:8" x14ac:dyDescent="0.3">
      <c r="H57748" t="str">
        <f t="shared" si="951"/>
        <v/>
      </c>
    </row>
    <row r="57749" spans="8:8" x14ac:dyDescent="0.3">
      <c r="H57749" t="str">
        <f t="shared" si="951"/>
        <v/>
      </c>
    </row>
    <row r="57750" spans="8:8" x14ac:dyDescent="0.3">
      <c r="H57750" t="str">
        <f t="shared" si="951"/>
        <v/>
      </c>
    </row>
    <row r="57751" spans="8:8" x14ac:dyDescent="0.3">
      <c r="H57751" t="str">
        <f t="shared" ref="H57751:H57814" si="952">IF(B57751="","",$C$12)</f>
        <v/>
      </c>
    </row>
    <row r="57752" spans="8:8" x14ac:dyDescent="0.3">
      <c r="H57752" t="str">
        <f t="shared" si="952"/>
        <v/>
      </c>
    </row>
    <row r="57753" spans="8:8" x14ac:dyDescent="0.3">
      <c r="H57753" t="str">
        <f t="shared" si="952"/>
        <v/>
      </c>
    </row>
    <row r="57754" spans="8:8" x14ac:dyDescent="0.3">
      <c r="H57754" t="str">
        <f t="shared" si="952"/>
        <v/>
      </c>
    </row>
    <row r="57755" spans="8:8" x14ac:dyDescent="0.3">
      <c r="H57755" t="str">
        <f t="shared" si="952"/>
        <v/>
      </c>
    </row>
    <row r="57756" spans="8:8" x14ac:dyDescent="0.3">
      <c r="H57756" t="str">
        <f t="shared" si="952"/>
        <v/>
      </c>
    </row>
    <row r="57757" spans="8:8" x14ac:dyDescent="0.3">
      <c r="H57757" t="str">
        <f t="shared" si="952"/>
        <v/>
      </c>
    </row>
    <row r="57758" spans="8:8" x14ac:dyDescent="0.3">
      <c r="H57758" t="str">
        <f t="shared" si="952"/>
        <v/>
      </c>
    </row>
    <row r="57759" spans="8:8" x14ac:dyDescent="0.3">
      <c r="H57759" t="str">
        <f t="shared" si="952"/>
        <v/>
      </c>
    </row>
    <row r="57760" spans="8:8" x14ac:dyDescent="0.3">
      <c r="H57760" t="str">
        <f t="shared" si="952"/>
        <v/>
      </c>
    </row>
    <row r="57761" spans="8:8" x14ac:dyDescent="0.3">
      <c r="H57761" t="str">
        <f t="shared" si="952"/>
        <v/>
      </c>
    </row>
    <row r="57762" spans="8:8" x14ac:dyDescent="0.3">
      <c r="H57762" t="str">
        <f t="shared" si="952"/>
        <v/>
      </c>
    </row>
    <row r="57763" spans="8:8" x14ac:dyDescent="0.3">
      <c r="H57763" t="str">
        <f t="shared" si="952"/>
        <v/>
      </c>
    </row>
    <row r="57764" spans="8:8" x14ac:dyDescent="0.3">
      <c r="H57764" t="str">
        <f t="shared" si="952"/>
        <v/>
      </c>
    </row>
    <row r="57765" spans="8:8" x14ac:dyDescent="0.3">
      <c r="H57765" t="str">
        <f t="shared" si="952"/>
        <v/>
      </c>
    </row>
    <row r="57766" spans="8:8" x14ac:dyDescent="0.3">
      <c r="H57766" t="str">
        <f t="shared" si="952"/>
        <v/>
      </c>
    </row>
    <row r="57767" spans="8:8" x14ac:dyDescent="0.3">
      <c r="H57767" t="str">
        <f t="shared" si="952"/>
        <v/>
      </c>
    </row>
    <row r="57768" spans="8:8" x14ac:dyDescent="0.3">
      <c r="H57768" t="str">
        <f t="shared" si="952"/>
        <v/>
      </c>
    </row>
    <row r="57769" spans="8:8" x14ac:dyDescent="0.3">
      <c r="H57769" t="str">
        <f t="shared" si="952"/>
        <v/>
      </c>
    </row>
    <row r="57770" spans="8:8" x14ac:dyDescent="0.3">
      <c r="H57770" t="str">
        <f t="shared" si="952"/>
        <v/>
      </c>
    </row>
    <row r="57771" spans="8:8" x14ac:dyDescent="0.3">
      <c r="H57771" t="str">
        <f t="shared" si="952"/>
        <v/>
      </c>
    </row>
    <row r="57772" spans="8:8" x14ac:dyDescent="0.3">
      <c r="H57772" t="str">
        <f t="shared" si="952"/>
        <v/>
      </c>
    </row>
    <row r="57773" spans="8:8" x14ac:dyDescent="0.3">
      <c r="H57773" t="str">
        <f t="shared" si="952"/>
        <v/>
      </c>
    </row>
    <row r="57774" spans="8:8" x14ac:dyDescent="0.3">
      <c r="H57774" t="str">
        <f t="shared" si="952"/>
        <v/>
      </c>
    </row>
    <row r="57775" spans="8:8" x14ac:dyDescent="0.3">
      <c r="H57775" t="str">
        <f t="shared" si="952"/>
        <v/>
      </c>
    </row>
    <row r="57776" spans="8:8" x14ac:dyDescent="0.3">
      <c r="H57776" t="str">
        <f t="shared" si="952"/>
        <v/>
      </c>
    </row>
    <row r="57777" spans="8:8" x14ac:dyDescent="0.3">
      <c r="H57777" t="str">
        <f t="shared" si="952"/>
        <v/>
      </c>
    </row>
    <row r="57778" spans="8:8" x14ac:dyDescent="0.3">
      <c r="H57778" t="str">
        <f t="shared" si="952"/>
        <v/>
      </c>
    </row>
    <row r="57779" spans="8:8" x14ac:dyDescent="0.3">
      <c r="H57779" t="str">
        <f t="shared" si="952"/>
        <v/>
      </c>
    </row>
    <row r="57780" spans="8:8" x14ac:dyDescent="0.3">
      <c r="H57780" t="str">
        <f t="shared" si="952"/>
        <v/>
      </c>
    </row>
    <row r="57781" spans="8:8" x14ac:dyDescent="0.3">
      <c r="H57781" t="str">
        <f t="shared" si="952"/>
        <v/>
      </c>
    </row>
    <row r="57782" spans="8:8" x14ac:dyDescent="0.3">
      <c r="H57782" t="str">
        <f t="shared" si="952"/>
        <v/>
      </c>
    </row>
    <row r="57783" spans="8:8" x14ac:dyDescent="0.3">
      <c r="H57783" t="str">
        <f t="shared" si="952"/>
        <v/>
      </c>
    </row>
    <row r="57784" spans="8:8" x14ac:dyDescent="0.3">
      <c r="H57784" t="str">
        <f t="shared" si="952"/>
        <v/>
      </c>
    </row>
    <row r="57785" spans="8:8" x14ac:dyDescent="0.3">
      <c r="H57785" t="str">
        <f t="shared" si="952"/>
        <v/>
      </c>
    </row>
    <row r="57786" spans="8:8" x14ac:dyDescent="0.3">
      <c r="H57786" t="str">
        <f t="shared" si="952"/>
        <v/>
      </c>
    </row>
    <row r="57787" spans="8:8" x14ac:dyDescent="0.3">
      <c r="H57787" t="str">
        <f t="shared" si="952"/>
        <v/>
      </c>
    </row>
    <row r="57788" spans="8:8" x14ac:dyDescent="0.3">
      <c r="H57788" t="str">
        <f t="shared" si="952"/>
        <v/>
      </c>
    </row>
    <row r="57789" spans="8:8" x14ac:dyDescent="0.3">
      <c r="H57789" t="str">
        <f t="shared" si="952"/>
        <v/>
      </c>
    </row>
    <row r="57790" spans="8:8" x14ac:dyDescent="0.3">
      <c r="H57790" t="str">
        <f t="shared" si="952"/>
        <v/>
      </c>
    </row>
    <row r="57791" spans="8:8" x14ac:dyDescent="0.3">
      <c r="H57791" t="str">
        <f t="shared" si="952"/>
        <v/>
      </c>
    </row>
    <row r="57792" spans="8:8" x14ac:dyDescent="0.3">
      <c r="H57792" t="str">
        <f t="shared" si="952"/>
        <v/>
      </c>
    </row>
    <row r="57793" spans="8:8" x14ac:dyDescent="0.3">
      <c r="H57793" t="str">
        <f t="shared" si="952"/>
        <v/>
      </c>
    </row>
    <row r="57794" spans="8:8" x14ac:dyDescent="0.3">
      <c r="H57794" t="str">
        <f t="shared" si="952"/>
        <v/>
      </c>
    </row>
    <row r="57795" spans="8:8" x14ac:dyDescent="0.3">
      <c r="H57795" t="str">
        <f t="shared" si="952"/>
        <v/>
      </c>
    </row>
    <row r="57796" spans="8:8" x14ac:dyDescent="0.3">
      <c r="H57796" t="str">
        <f t="shared" si="952"/>
        <v/>
      </c>
    </row>
    <row r="57797" spans="8:8" x14ac:dyDescent="0.3">
      <c r="H57797" t="str">
        <f t="shared" si="952"/>
        <v/>
      </c>
    </row>
    <row r="57798" spans="8:8" x14ac:dyDescent="0.3">
      <c r="H57798" t="str">
        <f t="shared" si="952"/>
        <v/>
      </c>
    </row>
    <row r="57799" spans="8:8" x14ac:dyDescent="0.3">
      <c r="H57799" t="str">
        <f t="shared" si="952"/>
        <v/>
      </c>
    </row>
    <row r="57800" spans="8:8" x14ac:dyDescent="0.3">
      <c r="H57800" t="str">
        <f t="shared" si="952"/>
        <v/>
      </c>
    </row>
    <row r="57801" spans="8:8" x14ac:dyDescent="0.3">
      <c r="H57801" t="str">
        <f t="shared" si="952"/>
        <v/>
      </c>
    </row>
    <row r="57802" spans="8:8" x14ac:dyDescent="0.3">
      <c r="H57802" t="str">
        <f t="shared" si="952"/>
        <v/>
      </c>
    </row>
    <row r="57803" spans="8:8" x14ac:dyDescent="0.3">
      <c r="H57803" t="str">
        <f t="shared" si="952"/>
        <v/>
      </c>
    </row>
    <row r="57804" spans="8:8" x14ac:dyDescent="0.3">
      <c r="H57804" t="str">
        <f t="shared" si="952"/>
        <v/>
      </c>
    </row>
    <row r="57805" spans="8:8" x14ac:dyDescent="0.3">
      <c r="H57805" t="str">
        <f t="shared" si="952"/>
        <v/>
      </c>
    </row>
    <row r="57806" spans="8:8" x14ac:dyDescent="0.3">
      <c r="H57806" t="str">
        <f t="shared" si="952"/>
        <v/>
      </c>
    </row>
    <row r="57807" spans="8:8" x14ac:dyDescent="0.3">
      <c r="H57807" t="str">
        <f t="shared" si="952"/>
        <v/>
      </c>
    </row>
    <row r="57808" spans="8:8" x14ac:dyDescent="0.3">
      <c r="H57808" t="str">
        <f t="shared" si="952"/>
        <v/>
      </c>
    </row>
    <row r="57809" spans="8:8" x14ac:dyDescent="0.3">
      <c r="H57809" t="str">
        <f t="shared" si="952"/>
        <v/>
      </c>
    </row>
    <row r="57810" spans="8:8" x14ac:dyDescent="0.3">
      <c r="H57810" t="str">
        <f t="shared" si="952"/>
        <v/>
      </c>
    </row>
    <row r="57811" spans="8:8" x14ac:dyDescent="0.3">
      <c r="H57811" t="str">
        <f t="shared" si="952"/>
        <v/>
      </c>
    </row>
    <row r="57812" spans="8:8" x14ac:dyDescent="0.3">
      <c r="H57812" t="str">
        <f t="shared" si="952"/>
        <v/>
      </c>
    </row>
    <row r="57813" spans="8:8" x14ac:dyDescent="0.3">
      <c r="H57813" t="str">
        <f t="shared" si="952"/>
        <v/>
      </c>
    </row>
    <row r="57814" spans="8:8" x14ac:dyDescent="0.3">
      <c r="H57814" t="str">
        <f t="shared" si="952"/>
        <v/>
      </c>
    </row>
    <row r="57815" spans="8:8" x14ac:dyDescent="0.3">
      <c r="H57815" t="str">
        <f t="shared" ref="H57815:H57878" si="953">IF(B57815="","",$C$12)</f>
        <v/>
      </c>
    </row>
    <row r="57816" spans="8:8" x14ac:dyDescent="0.3">
      <c r="H57816" t="str">
        <f t="shared" si="953"/>
        <v/>
      </c>
    </row>
    <row r="57817" spans="8:8" x14ac:dyDescent="0.3">
      <c r="H57817" t="str">
        <f t="shared" si="953"/>
        <v/>
      </c>
    </row>
    <row r="57818" spans="8:8" x14ac:dyDescent="0.3">
      <c r="H57818" t="str">
        <f t="shared" si="953"/>
        <v/>
      </c>
    </row>
    <row r="57819" spans="8:8" x14ac:dyDescent="0.3">
      <c r="H57819" t="str">
        <f t="shared" si="953"/>
        <v/>
      </c>
    </row>
    <row r="57820" spans="8:8" x14ac:dyDescent="0.3">
      <c r="H57820" t="str">
        <f t="shared" si="953"/>
        <v/>
      </c>
    </row>
    <row r="57821" spans="8:8" x14ac:dyDescent="0.3">
      <c r="H57821" t="str">
        <f t="shared" si="953"/>
        <v/>
      </c>
    </row>
    <row r="57822" spans="8:8" x14ac:dyDescent="0.3">
      <c r="H57822" t="str">
        <f t="shared" si="953"/>
        <v/>
      </c>
    </row>
    <row r="57823" spans="8:8" x14ac:dyDescent="0.3">
      <c r="H57823" t="str">
        <f t="shared" si="953"/>
        <v/>
      </c>
    </row>
    <row r="57824" spans="8:8" x14ac:dyDescent="0.3">
      <c r="H57824" t="str">
        <f t="shared" si="953"/>
        <v/>
      </c>
    </row>
    <row r="57825" spans="8:8" x14ac:dyDescent="0.3">
      <c r="H57825" t="str">
        <f t="shared" si="953"/>
        <v/>
      </c>
    </row>
    <row r="57826" spans="8:8" x14ac:dyDescent="0.3">
      <c r="H57826" t="str">
        <f t="shared" si="953"/>
        <v/>
      </c>
    </row>
    <row r="57827" spans="8:8" x14ac:dyDescent="0.3">
      <c r="H57827" t="str">
        <f t="shared" si="953"/>
        <v/>
      </c>
    </row>
    <row r="57828" spans="8:8" x14ac:dyDescent="0.3">
      <c r="H57828" t="str">
        <f t="shared" si="953"/>
        <v/>
      </c>
    </row>
    <row r="57829" spans="8:8" x14ac:dyDescent="0.3">
      <c r="H57829" t="str">
        <f t="shared" si="953"/>
        <v/>
      </c>
    </row>
    <row r="57830" spans="8:8" x14ac:dyDescent="0.3">
      <c r="H57830" t="str">
        <f t="shared" si="953"/>
        <v/>
      </c>
    </row>
    <row r="57831" spans="8:8" x14ac:dyDescent="0.3">
      <c r="H57831" t="str">
        <f t="shared" si="953"/>
        <v/>
      </c>
    </row>
    <row r="57832" spans="8:8" x14ac:dyDescent="0.3">
      <c r="H57832" t="str">
        <f t="shared" si="953"/>
        <v/>
      </c>
    </row>
    <row r="57833" spans="8:8" x14ac:dyDescent="0.3">
      <c r="H57833" t="str">
        <f t="shared" si="953"/>
        <v/>
      </c>
    </row>
    <row r="57834" spans="8:8" x14ac:dyDescent="0.3">
      <c r="H57834" t="str">
        <f t="shared" si="953"/>
        <v/>
      </c>
    </row>
    <row r="57835" spans="8:8" x14ac:dyDescent="0.3">
      <c r="H57835" t="str">
        <f t="shared" si="953"/>
        <v/>
      </c>
    </row>
    <row r="57836" spans="8:8" x14ac:dyDescent="0.3">
      <c r="H57836" t="str">
        <f t="shared" si="953"/>
        <v/>
      </c>
    </row>
    <row r="57837" spans="8:8" x14ac:dyDescent="0.3">
      <c r="H57837" t="str">
        <f t="shared" si="953"/>
        <v/>
      </c>
    </row>
    <row r="57838" spans="8:8" x14ac:dyDescent="0.3">
      <c r="H57838" t="str">
        <f t="shared" si="953"/>
        <v/>
      </c>
    </row>
    <row r="57839" spans="8:8" x14ac:dyDescent="0.3">
      <c r="H57839" t="str">
        <f t="shared" si="953"/>
        <v/>
      </c>
    </row>
    <row r="57840" spans="8:8" x14ac:dyDescent="0.3">
      <c r="H57840" t="str">
        <f t="shared" si="953"/>
        <v/>
      </c>
    </row>
    <row r="57841" spans="8:8" x14ac:dyDescent="0.3">
      <c r="H57841" t="str">
        <f t="shared" si="953"/>
        <v/>
      </c>
    </row>
    <row r="57842" spans="8:8" x14ac:dyDescent="0.3">
      <c r="H57842" t="str">
        <f t="shared" si="953"/>
        <v/>
      </c>
    </row>
    <row r="57843" spans="8:8" x14ac:dyDescent="0.3">
      <c r="H57843" t="str">
        <f t="shared" si="953"/>
        <v/>
      </c>
    </row>
    <row r="57844" spans="8:8" x14ac:dyDescent="0.3">
      <c r="H57844" t="str">
        <f t="shared" si="953"/>
        <v/>
      </c>
    </row>
    <row r="57845" spans="8:8" x14ac:dyDescent="0.3">
      <c r="H57845" t="str">
        <f t="shared" si="953"/>
        <v/>
      </c>
    </row>
    <row r="57846" spans="8:8" x14ac:dyDescent="0.3">
      <c r="H57846" t="str">
        <f t="shared" si="953"/>
        <v/>
      </c>
    </row>
    <row r="57847" spans="8:8" x14ac:dyDescent="0.3">
      <c r="H57847" t="str">
        <f t="shared" si="953"/>
        <v/>
      </c>
    </row>
    <row r="57848" spans="8:8" x14ac:dyDescent="0.3">
      <c r="H57848" t="str">
        <f t="shared" si="953"/>
        <v/>
      </c>
    </row>
    <row r="57849" spans="8:8" x14ac:dyDescent="0.3">
      <c r="H57849" t="str">
        <f t="shared" si="953"/>
        <v/>
      </c>
    </row>
    <row r="57850" spans="8:8" x14ac:dyDescent="0.3">
      <c r="H57850" t="str">
        <f t="shared" si="953"/>
        <v/>
      </c>
    </row>
    <row r="57851" spans="8:8" x14ac:dyDescent="0.3">
      <c r="H57851" t="str">
        <f t="shared" si="953"/>
        <v/>
      </c>
    </row>
    <row r="57852" spans="8:8" x14ac:dyDescent="0.3">
      <c r="H57852" t="str">
        <f t="shared" si="953"/>
        <v/>
      </c>
    </row>
    <row r="57853" spans="8:8" x14ac:dyDescent="0.3">
      <c r="H57853" t="str">
        <f t="shared" si="953"/>
        <v/>
      </c>
    </row>
    <row r="57854" spans="8:8" x14ac:dyDescent="0.3">
      <c r="H57854" t="str">
        <f t="shared" si="953"/>
        <v/>
      </c>
    </row>
    <row r="57855" spans="8:8" x14ac:dyDescent="0.3">
      <c r="H57855" t="str">
        <f t="shared" si="953"/>
        <v/>
      </c>
    </row>
    <row r="57856" spans="8:8" x14ac:dyDescent="0.3">
      <c r="H57856" t="str">
        <f t="shared" si="953"/>
        <v/>
      </c>
    </row>
    <row r="57857" spans="8:8" x14ac:dyDescent="0.3">
      <c r="H57857" t="str">
        <f t="shared" si="953"/>
        <v/>
      </c>
    </row>
    <row r="57858" spans="8:8" x14ac:dyDescent="0.3">
      <c r="H57858" t="str">
        <f t="shared" si="953"/>
        <v/>
      </c>
    </row>
    <row r="57859" spans="8:8" x14ac:dyDescent="0.3">
      <c r="H57859" t="str">
        <f t="shared" si="953"/>
        <v/>
      </c>
    </row>
    <row r="57860" spans="8:8" x14ac:dyDescent="0.3">
      <c r="H57860" t="str">
        <f t="shared" si="953"/>
        <v/>
      </c>
    </row>
    <row r="57861" spans="8:8" x14ac:dyDescent="0.3">
      <c r="H57861" t="str">
        <f t="shared" si="953"/>
        <v/>
      </c>
    </row>
    <row r="57862" spans="8:8" x14ac:dyDescent="0.3">
      <c r="H57862" t="str">
        <f t="shared" si="953"/>
        <v/>
      </c>
    </row>
    <row r="57863" spans="8:8" x14ac:dyDescent="0.3">
      <c r="H57863" t="str">
        <f t="shared" si="953"/>
        <v/>
      </c>
    </row>
    <row r="57864" spans="8:8" x14ac:dyDescent="0.3">
      <c r="H57864" t="str">
        <f t="shared" si="953"/>
        <v/>
      </c>
    </row>
    <row r="57865" spans="8:8" x14ac:dyDescent="0.3">
      <c r="H57865" t="str">
        <f t="shared" si="953"/>
        <v/>
      </c>
    </row>
    <row r="57866" spans="8:8" x14ac:dyDescent="0.3">
      <c r="H57866" t="str">
        <f t="shared" si="953"/>
        <v/>
      </c>
    </row>
    <row r="57867" spans="8:8" x14ac:dyDescent="0.3">
      <c r="H57867" t="str">
        <f t="shared" si="953"/>
        <v/>
      </c>
    </row>
    <row r="57868" spans="8:8" x14ac:dyDescent="0.3">
      <c r="H57868" t="str">
        <f t="shared" si="953"/>
        <v/>
      </c>
    </row>
    <row r="57869" spans="8:8" x14ac:dyDescent="0.3">
      <c r="H57869" t="str">
        <f t="shared" si="953"/>
        <v/>
      </c>
    </row>
    <row r="57870" spans="8:8" x14ac:dyDescent="0.3">
      <c r="H57870" t="str">
        <f t="shared" si="953"/>
        <v/>
      </c>
    </row>
    <row r="57871" spans="8:8" x14ac:dyDescent="0.3">
      <c r="H57871" t="str">
        <f t="shared" si="953"/>
        <v/>
      </c>
    </row>
    <row r="57872" spans="8:8" x14ac:dyDescent="0.3">
      <c r="H57872" t="str">
        <f t="shared" si="953"/>
        <v/>
      </c>
    </row>
    <row r="57873" spans="8:8" x14ac:dyDescent="0.3">
      <c r="H57873" t="str">
        <f t="shared" si="953"/>
        <v/>
      </c>
    </row>
    <row r="57874" spans="8:8" x14ac:dyDescent="0.3">
      <c r="H57874" t="str">
        <f t="shared" si="953"/>
        <v/>
      </c>
    </row>
    <row r="57875" spans="8:8" x14ac:dyDescent="0.3">
      <c r="H57875" t="str">
        <f t="shared" si="953"/>
        <v/>
      </c>
    </row>
    <row r="57876" spans="8:8" x14ac:dyDescent="0.3">
      <c r="H57876" t="str">
        <f t="shared" si="953"/>
        <v/>
      </c>
    </row>
    <row r="57877" spans="8:8" x14ac:dyDescent="0.3">
      <c r="H57877" t="str">
        <f t="shared" si="953"/>
        <v/>
      </c>
    </row>
    <row r="57878" spans="8:8" x14ac:dyDescent="0.3">
      <c r="H57878" t="str">
        <f t="shared" si="953"/>
        <v/>
      </c>
    </row>
    <row r="57879" spans="8:8" x14ac:dyDescent="0.3">
      <c r="H57879" t="str">
        <f t="shared" ref="H57879:H57942" si="954">IF(B57879="","",$C$12)</f>
        <v/>
      </c>
    </row>
    <row r="57880" spans="8:8" x14ac:dyDescent="0.3">
      <c r="H57880" t="str">
        <f t="shared" si="954"/>
        <v/>
      </c>
    </row>
    <row r="57881" spans="8:8" x14ac:dyDescent="0.3">
      <c r="H57881" t="str">
        <f t="shared" si="954"/>
        <v/>
      </c>
    </row>
    <row r="57882" spans="8:8" x14ac:dyDescent="0.3">
      <c r="H57882" t="str">
        <f t="shared" si="954"/>
        <v/>
      </c>
    </row>
    <row r="57883" spans="8:8" x14ac:dyDescent="0.3">
      <c r="H57883" t="str">
        <f t="shared" si="954"/>
        <v/>
      </c>
    </row>
    <row r="57884" spans="8:8" x14ac:dyDescent="0.3">
      <c r="H57884" t="str">
        <f t="shared" si="954"/>
        <v/>
      </c>
    </row>
    <row r="57885" spans="8:8" x14ac:dyDescent="0.3">
      <c r="H57885" t="str">
        <f t="shared" si="954"/>
        <v/>
      </c>
    </row>
    <row r="57886" spans="8:8" x14ac:dyDescent="0.3">
      <c r="H57886" t="str">
        <f t="shared" si="954"/>
        <v/>
      </c>
    </row>
    <row r="57887" spans="8:8" x14ac:dyDescent="0.3">
      <c r="H57887" t="str">
        <f t="shared" si="954"/>
        <v/>
      </c>
    </row>
    <row r="57888" spans="8:8" x14ac:dyDescent="0.3">
      <c r="H57888" t="str">
        <f t="shared" si="954"/>
        <v/>
      </c>
    </row>
    <row r="57889" spans="8:8" x14ac:dyDescent="0.3">
      <c r="H57889" t="str">
        <f t="shared" si="954"/>
        <v/>
      </c>
    </row>
    <row r="57890" spans="8:8" x14ac:dyDescent="0.3">
      <c r="H57890" t="str">
        <f t="shared" si="954"/>
        <v/>
      </c>
    </row>
    <row r="57891" spans="8:8" x14ac:dyDescent="0.3">
      <c r="H57891" t="str">
        <f t="shared" si="954"/>
        <v/>
      </c>
    </row>
    <row r="57892" spans="8:8" x14ac:dyDescent="0.3">
      <c r="H57892" t="str">
        <f t="shared" si="954"/>
        <v/>
      </c>
    </row>
    <row r="57893" spans="8:8" x14ac:dyDescent="0.3">
      <c r="H57893" t="str">
        <f t="shared" si="954"/>
        <v/>
      </c>
    </row>
    <row r="57894" spans="8:8" x14ac:dyDescent="0.3">
      <c r="H57894" t="str">
        <f t="shared" si="954"/>
        <v/>
      </c>
    </row>
    <row r="57895" spans="8:8" x14ac:dyDescent="0.3">
      <c r="H57895" t="str">
        <f t="shared" si="954"/>
        <v/>
      </c>
    </row>
    <row r="57896" spans="8:8" x14ac:dyDescent="0.3">
      <c r="H57896" t="str">
        <f t="shared" si="954"/>
        <v/>
      </c>
    </row>
    <row r="57897" spans="8:8" x14ac:dyDescent="0.3">
      <c r="H57897" t="str">
        <f t="shared" si="954"/>
        <v/>
      </c>
    </row>
    <row r="57898" spans="8:8" x14ac:dyDescent="0.3">
      <c r="H57898" t="str">
        <f t="shared" si="954"/>
        <v/>
      </c>
    </row>
    <row r="57899" spans="8:8" x14ac:dyDescent="0.3">
      <c r="H57899" t="str">
        <f t="shared" si="954"/>
        <v/>
      </c>
    </row>
    <row r="57900" spans="8:8" x14ac:dyDescent="0.3">
      <c r="H57900" t="str">
        <f t="shared" si="954"/>
        <v/>
      </c>
    </row>
    <row r="57901" spans="8:8" x14ac:dyDescent="0.3">
      <c r="H57901" t="str">
        <f t="shared" si="954"/>
        <v/>
      </c>
    </row>
    <row r="57902" spans="8:8" x14ac:dyDescent="0.3">
      <c r="H57902" t="str">
        <f t="shared" si="954"/>
        <v/>
      </c>
    </row>
    <row r="57903" spans="8:8" x14ac:dyDescent="0.3">
      <c r="H57903" t="str">
        <f t="shared" si="954"/>
        <v/>
      </c>
    </row>
    <row r="57904" spans="8:8" x14ac:dyDescent="0.3">
      <c r="H57904" t="str">
        <f t="shared" si="954"/>
        <v/>
      </c>
    </row>
    <row r="57905" spans="8:8" x14ac:dyDescent="0.3">
      <c r="H57905" t="str">
        <f t="shared" si="954"/>
        <v/>
      </c>
    </row>
    <row r="57906" spans="8:8" x14ac:dyDescent="0.3">
      <c r="H57906" t="str">
        <f t="shared" si="954"/>
        <v/>
      </c>
    </row>
    <row r="57907" spans="8:8" x14ac:dyDescent="0.3">
      <c r="H57907" t="str">
        <f t="shared" si="954"/>
        <v/>
      </c>
    </row>
    <row r="57908" spans="8:8" x14ac:dyDescent="0.3">
      <c r="H57908" t="str">
        <f t="shared" si="954"/>
        <v/>
      </c>
    </row>
    <row r="57909" spans="8:8" x14ac:dyDescent="0.3">
      <c r="H57909" t="str">
        <f t="shared" si="954"/>
        <v/>
      </c>
    </row>
    <row r="57910" spans="8:8" x14ac:dyDescent="0.3">
      <c r="H57910" t="str">
        <f t="shared" si="954"/>
        <v/>
      </c>
    </row>
    <row r="57911" spans="8:8" x14ac:dyDescent="0.3">
      <c r="H57911" t="str">
        <f t="shared" si="954"/>
        <v/>
      </c>
    </row>
    <row r="57912" spans="8:8" x14ac:dyDescent="0.3">
      <c r="H57912" t="str">
        <f t="shared" si="954"/>
        <v/>
      </c>
    </row>
    <row r="57913" spans="8:8" x14ac:dyDescent="0.3">
      <c r="H57913" t="str">
        <f t="shared" si="954"/>
        <v/>
      </c>
    </row>
    <row r="57914" spans="8:8" x14ac:dyDescent="0.3">
      <c r="H57914" t="str">
        <f t="shared" si="954"/>
        <v/>
      </c>
    </row>
    <row r="57915" spans="8:8" x14ac:dyDescent="0.3">
      <c r="H57915" t="str">
        <f t="shared" si="954"/>
        <v/>
      </c>
    </row>
    <row r="57916" spans="8:8" x14ac:dyDescent="0.3">
      <c r="H57916" t="str">
        <f t="shared" si="954"/>
        <v/>
      </c>
    </row>
    <row r="57917" spans="8:8" x14ac:dyDescent="0.3">
      <c r="H57917" t="str">
        <f t="shared" si="954"/>
        <v/>
      </c>
    </row>
    <row r="57918" spans="8:8" x14ac:dyDescent="0.3">
      <c r="H57918" t="str">
        <f t="shared" si="954"/>
        <v/>
      </c>
    </row>
    <row r="57919" spans="8:8" x14ac:dyDescent="0.3">
      <c r="H57919" t="str">
        <f t="shared" si="954"/>
        <v/>
      </c>
    </row>
    <row r="57920" spans="8:8" x14ac:dyDescent="0.3">
      <c r="H57920" t="str">
        <f t="shared" si="954"/>
        <v/>
      </c>
    </row>
    <row r="57921" spans="8:8" x14ac:dyDescent="0.3">
      <c r="H57921" t="str">
        <f t="shared" si="954"/>
        <v/>
      </c>
    </row>
    <row r="57922" spans="8:8" x14ac:dyDescent="0.3">
      <c r="H57922" t="str">
        <f t="shared" si="954"/>
        <v/>
      </c>
    </row>
    <row r="57923" spans="8:8" x14ac:dyDescent="0.3">
      <c r="H57923" t="str">
        <f t="shared" si="954"/>
        <v/>
      </c>
    </row>
    <row r="57924" spans="8:8" x14ac:dyDescent="0.3">
      <c r="H57924" t="str">
        <f t="shared" si="954"/>
        <v/>
      </c>
    </row>
    <row r="57925" spans="8:8" x14ac:dyDescent="0.3">
      <c r="H57925" t="str">
        <f t="shared" si="954"/>
        <v/>
      </c>
    </row>
    <row r="57926" spans="8:8" x14ac:dyDescent="0.3">
      <c r="H57926" t="str">
        <f t="shared" si="954"/>
        <v/>
      </c>
    </row>
    <row r="57927" spans="8:8" x14ac:dyDescent="0.3">
      <c r="H57927" t="str">
        <f t="shared" si="954"/>
        <v/>
      </c>
    </row>
    <row r="57928" spans="8:8" x14ac:dyDescent="0.3">
      <c r="H57928" t="str">
        <f t="shared" si="954"/>
        <v/>
      </c>
    </row>
    <row r="57929" spans="8:8" x14ac:dyDescent="0.3">
      <c r="H57929" t="str">
        <f t="shared" si="954"/>
        <v/>
      </c>
    </row>
    <row r="57930" spans="8:8" x14ac:dyDescent="0.3">
      <c r="H57930" t="str">
        <f t="shared" si="954"/>
        <v/>
      </c>
    </row>
    <row r="57931" spans="8:8" x14ac:dyDescent="0.3">
      <c r="H57931" t="str">
        <f t="shared" si="954"/>
        <v/>
      </c>
    </row>
    <row r="57932" spans="8:8" x14ac:dyDescent="0.3">
      <c r="H57932" t="str">
        <f t="shared" si="954"/>
        <v/>
      </c>
    </row>
    <row r="57933" spans="8:8" x14ac:dyDescent="0.3">
      <c r="H57933" t="str">
        <f t="shared" si="954"/>
        <v/>
      </c>
    </row>
    <row r="57934" spans="8:8" x14ac:dyDescent="0.3">
      <c r="H57934" t="str">
        <f t="shared" si="954"/>
        <v/>
      </c>
    </row>
    <row r="57935" spans="8:8" x14ac:dyDescent="0.3">
      <c r="H57935" t="str">
        <f t="shared" si="954"/>
        <v/>
      </c>
    </row>
    <row r="57936" spans="8:8" x14ac:dyDescent="0.3">
      <c r="H57936" t="str">
        <f t="shared" si="954"/>
        <v/>
      </c>
    </row>
    <row r="57937" spans="8:8" x14ac:dyDescent="0.3">
      <c r="H57937" t="str">
        <f t="shared" si="954"/>
        <v/>
      </c>
    </row>
    <row r="57938" spans="8:8" x14ac:dyDescent="0.3">
      <c r="H57938" t="str">
        <f t="shared" si="954"/>
        <v/>
      </c>
    </row>
    <row r="57939" spans="8:8" x14ac:dyDescent="0.3">
      <c r="H57939" t="str">
        <f t="shared" si="954"/>
        <v/>
      </c>
    </row>
    <row r="57940" spans="8:8" x14ac:dyDescent="0.3">
      <c r="H57940" t="str">
        <f t="shared" si="954"/>
        <v/>
      </c>
    </row>
    <row r="57941" spans="8:8" x14ac:dyDescent="0.3">
      <c r="H57941" t="str">
        <f t="shared" si="954"/>
        <v/>
      </c>
    </row>
    <row r="57942" spans="8:8" x14ac:dyDescent="0.3">
      <c r="H57942" t="str">
        <f t="shared" si="954"/>
        <v/>
      </c>
    </row>
    <row r="57943" spans="8:8" x14ac:dyDescent="0.3">
      <c r="H57943" t="str">
        <f t="shared" ref="H57943:H58006" si="955">IF(B57943="","",$C$12)</f>
        <v/>
      </c>
    </row>
    <row r="57944" spans="8:8" x14ac:dyDescent="0.3">
      <c r="H57944" t="str">
        <f t="shared" si="955"/>
        <v/>
      </c>
    </row>
    <row r="57945" spans="8:8" x14ac:dyDescent="0.3">
      <c r="H57945" t="str">
        <f t="shared" si="955"/>
        <v/>
      </c>
    </row>
    <row r="57946" spans="8:8" x14ac:dyDescent="0.3">
      <c r="H57946" t="str">
        <f t="shared" si="955"/>
        <v/>
      </c>
    </row>
    <row r="57947" spans="8:8" x14ac:dyDescent="0.3">
      <c r="H57947" t="str">
        <f t="shared" si="955"/>
        <v/>
      </c>
    </row>
    <row r="57948" spans="8:8" x14ac:dyDescent="0.3">
      <c r="H57948" t="str">
        <f t="shared" si="955"/>
        <v/>
      </c>
    </row>
    <row r="57949" spans="8:8" x14ac:dyDescent="0.3">
      <c r="H57949" t="str">
        <f t="shared" si="955"/>
        <v/>
      </c>
    </row>
    <row r="57950" spans="8:8" x14ac:dyDescent="0.3">
      <c r="H57950" t="str">
        <f t="shared" si="955"/>
        <v/>
      </c>
    </row>
    <row r="57951" spans="8:8" x14ac:dyDescent="0.3">
      <c r="H57951" t="str">
        <f t="shared" si="955"/>
        <v/>
      </c>
    </row>
    <row r="57952" spans="8:8" x14ac:dyDescent="0.3">
      <c r="H57952" t="str">
        <f t="shared" si="955"/>
        <v/>
      </c>
    </row>
    <row r="57953" spans="8:8" x14ac:dyDescent="0.3">
      <c r="H57953" t="str">
        <f t="shared" si="955"/>
        <v/>
      </c>
    </row>
    <row r="57954" spans="8:8" x14ac:dyDescent="0.3">
      <c r="H57954" t="str">
        <f t="shared" si="955"/>
        <v/>
      </c>
    </row>
    <row r="57955" spans="8:8" x14ac:dyDescent="0.3">
      <c r="H57955" t="str">
        <f t="shared" si="955"/>
        <v/>
      </c>
    </row>
    <row r="57956" spans="8:8" x14ac:dyDescent="0.3">
      <c r="H57956" t="str">
        <f t="shared" si="955"/>
        <v/>
      </c>
    </row>
    <row r="57957" spans="8:8" x14ac:dyDescent="0.3">
      <c r="H57957" t="str">
        <f t="shared" si="955"/>
        <v/>
      </c>
    </row>
    <row r="57958" spans="8:8" x14ac:dyDescent="0.3">
      <c r="H57958" t="str">
        <f t="shared" si="955"/>
        <v/>
      </c>
    </row>
    <row r="57959" spans="8:8" x14ac:dyDescent="0.3">
      <c r="H57959" t="str">
        <f t="shared" si="955"/>
        <v/>
      </c>
    </row>
    <row r="57960" spans="8:8" x14ac:dyDescent="0.3">
      <c r="H57960" t="str">
        <f t="shared" si="955"/>
        <v/>
      </c>
    </row>
    <row r="57961" spans="8:8" x14ac:dyDescent="0.3">
      <c r="H57961" t="str">
        <f t="shared" si="955"/>
        <v/>
      </c>
    </row>
    <row r="57962" spans="8:8" x14ac:dyDescent="0.3">
      <c r="H57962" t="str">
        <f t="shared" si="955"/>
        <v/>
      </c>
    </row>
    <row r="57963" spans="8:8" x14ac:dyDescent="0.3">
      <c r="H57963" t="str">
        <f t="shared" si="955"/>
        <v/>
      </c>
    </row>
    <row r="57964" spans="8:8" x14ac:dyDescent="0.3">
      <c r="H57964" t="str">
        <f t="shared" si="955"/>
        <v/>
      </c>
    </row>
    <row r="57965" spans="8:8" x14ac:dyDescent="0.3">
      <c r="H57965" t="str">
        <f t="shared" si="955"/>
        <v/>
      </c>
    </row>
    <row r="57966" spans="8:8" x14ac:dyDescent="0.3">
      <c r="H57966" t="str">
        <f t="shared" si="955"/>
        <v/>
      </c>
    </row>
    <row r="57967" spans="8:8" x14ac:dyDescent="0.3">
      <c r="H57967" t="str">
        <f t="shared" si="955"/>
        <v/>
      </c>
    </row>
    <row r="57968" spans="8:8" x14ac:dyDescent="0.3">
      <c r="H57968" t="str">
        <f t="shared" si="955"/>
        <v/>
      </c>
    </row>
    <row r="57969" spans="8:8" x14ac:dyDescent="0.3">
      <c r="H57969" t="str">
        <f t="shared" si="955"/>
        <v/>
      </c>
    </row>
    <row r="57970" spans="8:8" x14ac:dyDescent="0.3">
      <c r="H57970" t="str">
        <f t="shared" si="955"/>
        <v/>
      </c>
    </row>
    <row r="57971" spans="8:8" x14ac:dyDescent="0.3">
      <c r="H57971" t="str">
        <f t="shared" si="955"/>
        <v/>
      </c>
    </row>
    <row r="57972" spans="8:8" x14ac:dyDescent="0.3">
      <c r="H57972" t="str">
        <f t="shared" si="955"/>
        <v/>
      </c>
    </row>
    <row r="57973" spans="8:8" x14ac:dyDescent="0.3">
      <c r="H57973" t="str">
        <f t="shared" si="955"/>
        <v/>
      </c>
    </row>
    <row r="57974" spans="8:8" x14ac:dyDescent="0.3">
      <c r="H57974" t="str">
        <f t="shared" si="955"/>
        <v/>
      </c>
    </row>
    <row r="57975" spans="8:8" x14ac:dyDescent="0.3">
      <c r="H57975" t="str">
        <f t="shared" si="955"/>
        <v/>
      </c>
    </row>
    <row r="57976" spans="8:8" x14ac:dyDescent="0.3">
      <c r="H57976" t="str">
        <f t="shared" si="955"/>
        <v/>
      </c>
    </row>
    <row r="57977" spans="8:8" x14ac:dyDescent="0.3">
      <c r="H57977" t="str">
        <f t="shared" si="955"/>
        <v/>
      </c>
    </row>
    <row r="57978" spans="8:8" x14ac:dyDescent="0.3">
      <c r="H57978" t="str">
        <f t="shared" si="955"/>
        <v/>
      </c>
    </row>
    <row r="57979" spans="8:8" x14ac:dyDescent="0.3">
      <c r="H57979" t="str">
        <f t="shared" si="955"/>
        <v/>
      </c>
    </row>
    <row r="57980" spans="8:8" x14ac:dyDescent="0.3">
      <c r="H57980" t="str">
        <f t="shared" si="955"/>
        <v/>
      </c>
    </row>
    <row r="57981" spans="8:8" x14ac:dyDescent="0.3">
      <c r="H57981" t="str">
        <f t="shared" si="955"/>
        <v/>
      </c>
    </row>
    <row r="57982" spans="8:8" x14ac:dyDescent="0.3">
      <c r="H57982" t="str">
        <f t="shared" si="955"/>
        <v/>
      </c>
    </row>
    <row r="57983" spans="8:8" x14ac:dyDescent="0.3">
      <c r="H57983" t="str">
        <f t="shared" si="955"/>
        <v/>
      </c>
    </row>
    <row r="57984" spans="8:8" x14ac:dyDescent="0.3">
      <c r="H57984" t="str">
        <f t="shared" si="955"/>
        <v/>
      </c>
    </row>
    <row r="57985" spans="8:8" x14ac:dyDescent="0.3">
      <c r="H57985" t="str">
        <f t="shared" si="955"/>
        <v/>
      </c>
    </row>
    <row r="57986" spans="8:8" x14ac:dyDescent="0.3">
      <c r="H57986" t="str">
        <f t="shared" si="955"/>
        <v/>
      </c>
    </row>
    <row r="57987" spans="8:8" x14ac:dyDescent="0.3">
      <c r="H57987" t="str">
        <f t="shared" si="955"/>
        <v/>
      </c>
    </row>
    <row r="57988" spans="8:8" x14ac:dyDescent="0.3">
      <c r="H57988" t="str">
        <f t="shared" si="955"/>
        <v/>
      </c>
    </row>
    <row r="57989" spans="8:8" x14ac:dyDescent="0.3">
      <c r="H57989" t="str">
        <f t="shared" si="955"/>
        <v/>
      </c>
    </row>
    <row r="57990" spans="8:8" x14ac:dyDescent="0.3">
      <c r="H57990" t="str">
        <f t="shared" si="955"/>
        <v/>
      </c>
    </row>
    <row r="57991" spans="8:8" x14ac:dyDescent="0.3">
      <c r="H57991" t="str">
        <f t="shared" si="955"/>
        <v/>
      </c>
    </row>
    <row r="57992" spans="8:8" x14ac:dyDescent="0.3">
      <c r="H57992" t="str">
        <f t="shared" si="955"/>
        <v/>
      </c>
    </row>
    <row r="57993" spans="8:8" x14ac:dyDescent="0.3">
      <c r="H57993" t="str">
        <f t="shared" si="955"/>
        <v/>
      </c>
    </row>
    <row r="57994" spans="8:8" x14ac:dyDescent="0.3">
      <c r="H57994" t="str">
        <f t="shared" si="955"/>
        <v/>
      </c>
    </row>
    <row r="57995" spans="8:8" x14ac:dyDescent="0.3">
      <c r="H57995" t="str">
        <f t="shared" si="955"/>
        <v/>
      </c>
    </row>
    <row r="57996" spans="8:8" x14ac:dyDescent="0.3">
      <c r="H57996" t="str">
        <f t="shared" si="955"/>
        <v/>
      </c>
    </row>
    <row r="57997" spans="8:8" x14ac:dyDescent="0.3">
      <c r="H57997" t="str">
        <f t="shared" si="955"/>
        <v/>
      </c>
    </row>
    <row r="57998" spans="8:8" x14ac:dyDescent="0.3">
      <c r="H57998" t="str">
        <f t="shared" si="955"/>
        <v/>
      </c>
    </row>
    <row r="57999" spans="8:8" x14ac:dyDescent="0.3">
      <c r="H57999" t="str">
        <f t="shared" si="955"/>
        <v/>
      </c>
    </row>
    <row r="58000" spans="8:8" x14ac:dyDescent="0.3">
      <c r="H58000" t="str">
        <f t="shared" si="955"/>
        <v/>
      </c>
    </row>
    <row r="58001" spans="8:8" x14ac:dyDescent="0.3">
      <c r="H58001" t="str">
        <f t="shared" si="955"/>
        <v/>
      </c>
    </row>
    <row r="58002" spans="8:8" x14ac:dyDescent="0.3">
      <c r="H58002" t="str">
        <f t="shared" si="955"/>
        <v/>
      </c>
    </row>
    <row r="58003" spans="8:8" x14ac:dyDescent="0.3">
      <c r="H58003" t="str">
        <f t="shared" si="955"/>
        <v/>
      </c>
    </row>
    <row r="58004" spans="8:8" x14ac:dyDescent="0.3">
      <c r="H58004" t="str">
        <f t="shared" si="955"/>
        <v/>
      </c>
    </row>
    <row r="58005" spans="8:8" x14ac:dyDescent="0.3">
      <c r="H58005" t="str">
        <f t="shared" si="955"/>
        <v/>
      </c>
    </row>
    <row r="58006" spans="8:8" x14ac:dyDescent="0.3">
      <c r="H58006" t="str">
        <f t="shared" si="955"/>
        <v/>
      </c>
    </row>
    <row r="58007" spans="8:8" x14ac:dyDescent="0.3">
      <c r="H58007" t="str">
        <f t="shared" ref="H58007:H58070" si="956">IF(B58007="","",$C$12)</f>
        <v/>
      </c>
    </row>
    <row r="58008" spans="8:8" x14ac:dyDescent="0.3">
      <c r="H58008" t="str">
        <f t="shared" si="956"/>
        <v/>
      </c>
    </row>
    <row r="58009" spans="8:8" x14ac:dyDescent="0.3">
      <c r="H58009" t="str">
        <f t="shared" si="956"/>
        <v/>
      </c>
    </row>
    <row r="58010" spans="8:8" x14ac:dyDescent="0.3">
      <c r="H58010" t="str">
        <f t="shared" si="956"/>
        <v/>
      </c>
    </row>
    <row r="58011" spans="8:8" x14ac:dyDescent="0.3">
      <c r="H58011" t="str">
        <f t="shared" si="956"/>
        <v/>
      </c>
    </row>
    <row r="58012" spans="8:8" x14ac:dyDescent="0.3">
      <c r="H58012" t="str">
        <f t="shared" si="956"/>
        <v/>
      </c>
    </row>
    <row r="58013" spans="8:8" x14ac:dyDescent="0.3">
      <c r="H58013" t="str">
        <f t="shared" si="956"/>
        <v/>
      </c>
    </row>
    <row r="58014" spans="8:8" x14ac:dyDescent="0.3">
      <c r="H58014" t="str">
        <f t="shared" si="956"/>
        <v/>
      </c>
    </row>
    <row r="58015" spans="8:8" x14ac:dyDescent="0.3">
      <c r="H58015" t="str">
        <f t="shared" si="956"/>
        <v/>
      </c>
    </row>
    <row r="58016" spans="8:8" x14ac:dyDescent="0.3">
      <c r="H58016" t="str">
        <f t="shared" si="956"/>
        <v/>
      </c>
    </row>
    <row r="58017" spans="8:8" x14ac:dyDescent="0.3">
      <c r="H58017" t="str">
        <f t="shared" si="956"/>
        <v/>
      </c>
    </row>
    <row r="58018" spans="8:8" x14ac:dyDescent="0.3">
      <c r="H58018" t="str">
        <f t="shared" si="956"/>
        <v/>
      </c>
    </row>
    <row r="58019" spans="8:8" x14ac:dyDescent="0.3">
      <c r="H58019" t="str">
        <f t="shared" si="956"/>
        <v/>
      </c>
    </row>
    <row r="58020" spans="8:8" x14ac:dyDescent="0.3">
      <c r="H58020" t="str">
        <f t="shared" si="956"/>
        <v/>
      </c>
    </row>
    <row r="58021" spans="8:8" x14ac:dyDescent="0.3">
      <c r="H58021" t="str">
        <f t="shared" si="956"/>
        <v/>
      </c>
    </row>
    <row r="58022" spans="8:8" x14ac:dyDescent="0.3">
      <c r="H58022" t="str">
        <f t="shared" si="956"/>
        <v/>
      </c>
    </row>
    <row r="58023" spans="8:8" x14ac:dyDescent="0.3">
      <c r="H58023" t="str">
        <f t="shared" si="956"/>
        <v/>
      </c>
    </row>
    <row r="58024" spans="8:8" x14ac:dyDescent="0.3">
      <c r="H58024" t="str">
        <f t="shared" si="956"/>
        <v/>
      </c>
    </row>
    <row r="58025" spans="8:8" x14ac:dyDescent="0.3">
      <c r="H58025" t="str">
        <f t="shared" si="956"/>
        <v/>
      </c>
    </row>
    <row r="58026" spans="8:8" x14ac:dyDescent="0.3">
      <c r="H58026" t="str">
        <f t="shared" si="956"/>
        <v/>
      </c>
    </row>
    <row r="58027" spans="8:8" x14ac:dyDescent="0.3">
      <c r="H58027" t="str">
        <f t="shared" si="956"/>
        <v/>
      </c>
    </row>
    <row r="58028" spans="8:8" x14ac:dyDescent="0.3">
      <c r="H58028" t="str">
        <f t="shared" si="956"/>
        <v/>
      </c>
    </row>
    <row r="58029" spans="8:8" x14ac:dyDescent="0.3">
      <c r="H58029" t="str">
        <f t="shared" si="956"/>
        <v/>
      </c>
    </row>
    <row r="58030" spans="8:8" x14ac:dyDescent="0.3">
      <c r="H58030" t="str">
        <f t="shared" si="956"/>
        <v/>
      </c>
    </row>
    <row r="58031" spans="8:8" x14ac:dyDescent="0.3">
      <c r="H58031" t="str">
        <f t="shared" si="956"/>
        <v/>
      </c>
    </row>
    <row r="58032" spans="8:8" x14ac:dyDescent="0.3">
      <c r="H58032" t="str">
        <f t="shared" si="956"/>
        <v/>
      </c>
    </row>
    <row r="58033" spans="8:8" x14ac:dyDescent="0.3">
      <c r="H58033" t="str">
        <f t="shared" si="956"/>
        <v/>
      </c>
    </row>
    <row r="58034" spans="8:8" x14ac:dyDescent="0.3">
      <c r="H58034" t="str">
        <f t="shared" si="956"/>
        <v/>
      </c>
    </row>
    <row r="58035" spans="8:8" x14ac:dyDescent="0.3">
      <c r="H58035" t="str">
        <f t="shared" si="956"/>
        <v/>
      </c>
    </row>
    <row r="58036" spans="8:8" x14ac:dyDescent="0.3">
      <c r="H58036" t="str">
        <f t="shared" si="956"/>
        <v/>
      </c>
    </row>
    <row r="58037" spans="8:8" x14ac:dyDescent="0.3">
      <c r="H58037" t="str">
        <f t="shared" si="956"/>
        <v/>
      </c>
    </row>
    <row r="58038" spans="8:8" x14ac:dyDescent="0.3">
      <c r="H58038" t="str">
        <f t="shared" si="956"/>
        <v/>
      </c>
    </row>
    <row r="58039" spans="8:8" x14ac:dyDescent="0.3">
      <c r="H58039" t="str">
        <f t="shared" si="956"/>
        <v/>
      </c>
    </row>
    <row r="58040" spans="8:8" x14ac:dyDescent="0.3">
      <c r="H58040" t="str">
        <f t="shared" si="956"/>
        <v/>
      </c>
    </row>
    <row r="58041" spans="8:8" x14ac:dyDescent="0.3">
      <c r="H58041" t="str">
        <f t="shared" si="956"/>
        <v/>
      </c>
    </row>
    <row r="58042" spans="8:8" x14ac:dyDescent="0.3">
      <c r="H58042" t="str">
        <f t="shared" si="956"/>
        <v/>
      </c>
    </row>
    <row r="58043" spans="8:8" x14ac:dyDescent="0.3">
      <c r="H58043" t="str">
        <f t="shared" si="956"/>
        <v/>
      </c>
    </row>
    <row r="58044" spans="8:8" x14ac:dyDescent="0.3">
      <c r="H58044" t="str">
        <f t="shared" si="956"/>
        <v/>
      </c>
    </row>
    <row r="58045" spans="8:8" x14ac:dyDescent="0.3">
      <c r="H58045" t="str">
        <f t="shared" si="956"/>
        <v/>
      </c>
    </row>
    <row r="58046" spans="8:8" x14ac:dyDescent="0.3">
      <c r="H58046" t="str">
        <f t="shared" si="956"/>
        <v/>
      </c>
    </row>
    <row r="58047" spans="8:8" x14ac:dyDescent="0.3">
      <c r="H58047" t="str">
        <f t="shared" si="956"/>
        <v/>
      </c>
    </row>
    <row r="58048" spans="8:8" x14ac:dyDescent="0.3">
      <c r="H58048" t="str">
        <f t="shared" si="956"/>
        <v/>
      </c>
    </row>
    <row r="58049" spans="8:8" x14ac:dyDescent="0.3">
      <c r="H58049" t="str">
        <f t="shared" si="956"/>
        <v/>
      </c>
    </row>
    <row r="58050" spans="8:8" x14ac:dyDescent="0.3">
      <c r="H58050" t="str">
        <f t="shared" si="956"/>
        <v/>
      </c>
    </row>
    <row r="58051" spans="8:8" x14ac:dyDescent="0.3">
      <c r="H58051" t="str">
        <f t="shared" si="956"/>
        <v/>
      </c>
    </row>
    <row r="58052" spans="8:8" x14ac:dyDescent="0.3">
      <c r="H58052" t="str">
        <f t="shared" si="956"/>
        <v/>
      </c>
    </row>
    <row r="58053" spans="8:8" x14ac:dyDescent="0.3">
      <c r="H58053" t="str">
        <f t="shared" si="956"/>
        <v/>
      </c>
    </row>
    <row r="58054" spans="8:8" x14ac:dyDescent="0.3">
      <c r="H58054" t="str">
        <f t="shared" si="956"/>
        <v/>
      </c>
    </row>
    <row r="58055" spans="8:8" x14ac:dyDescent="0.3">
      <c r="H58055" t="str">
        <f t="shared" si="956"/>
        <v/>
      </c>
    </row>
    <row r="58056" spans="8:8" x14ac:dyDescent="0.3">
      <c r="H58056" t="str">
        <f t="shared" si="956"/>
        <v/>
      </c>
    </row>
    <row r="58057" spans="8:8" x14ac:dyDescent="0.3">
      <c r="H58057" t="str">
        <f t="shared" si="956"/>
        <v/>
      </c>
    </row>
    <row r="58058" spans="8:8" x14ac:dyDescent="0.3">
      <c r="H58058" t="str">
        <f t="shared" si="956"/>
        <v/>
      </c>
    </row>
    <row r="58059" spans="8:8" x14ac:dyDescent="0.3">
      <c r="H58059" t="str">
        <f t="shared" si="956"/>
        <v/>
      </c>
    </row>
    <row r="58060" spans="8:8" x14ac:dyDescent="0.3">
      <c r="H58060" t="str">
        <f t="shared" si="956"/>
        <v/>
      </c>
    </row>
    <row r="58061" spans="8:8" x14ac:dyDescent="0.3">
      <c r="H58061" t="str">
        <f t="shared" si="956"/>
        <v/>
      </c>
    </row>
    <row r="58062" spans="8:8" x14ac:dyDescent="0.3">
      <c r="H58062" t="str">
        <f t="shared" si="956"/>
        <v/>
      </c>
    </row>
    <row r="58063" spans="8:8" x14ac:dyDescent="0.3">
      <c r="H58063" t="str">
        <f t="shared" si="956"/>
        <v/>
      </c>
    </row>
    <row r="58064" spans="8:8" x14ac:dyDescent="0.3">
      <c r="H58064" t="str">
        <f t="shared" si="956"/>
        <v/>
      </c>
    </row>
    <row r="58065" spans="8:8" x14ac:dyDescent="0.3">
      <c r="H58065" t="str">
        <f t="shared" si="956"/>
        <v/>
      </c>
    </row>
    <row r="58066" spans="8:8" x14ac:dyDescent="0.3">
      <c r="H58066" t="str">
        <f t="shared" si="956"/>
        <v/>
      </c>
    </row>
    <row r="58067" spans="8:8" x14ac:dyDescent="0.3">
      <c r="H58067" t="str">
        <f t="shared" si="956"/>
        <v/>
      </c>
    </row>
    <row r="58068" spans="8:8" x14ac:dyDescent="0.3">
      <c r="H58068" t="str">
        <f t="shared" si="956"/>
        <v/>
      </c>
    </row>
    <row r="58069" spans="8:8" x14ac:dyDescent="0.3">
      <c r="H58069" t="str">
        <f t="shared" si="956"/>
        <v/>
      </c>
    </row>
    <row r="58070" spans="8:8" x14ac:dyDescent="0.3">
      <c r="H58070" t="str">
        <f t="shared" si="956"/>
        <v/>
      </c>
    </row>
    <row r="58071" spans="8:8" x14ac:dyDescent="0.3">
      <c r="H58071" t="str">
        <f t="shared" ref="H58071:H58134" si="957">IF(B58071="","",$C$12)</f>
        <v/>
      </c>
    </row>
    <row r="58072" spans="8:8" x14ac:dyDescent="0.3">
      <c r="H58072" t="str">
        <f t="shared" si="957"/>
        <v/>
      </c>
    </row>
    <row r="58073" spans="8:8" x14ac:dyDescent="0.3">
      <c r="H58073" t="str">
        <f t="shared" si="957"/>
        <v/>
      </c>
    </row>
    <row r="58074" spans="8:8" x14ac:dyDescent="0.3">
      <c r="H58074" t="str">
        <f t="shared" si="957"/>
        <v/>
      </c>
    </row>
    <row r="58075" spans="8:8" x14ac:dyDescent="0.3">
      <c r="H58075" t="str">
        <f t="shared" si="957"/>
        <v/>
      </c>
    </row>
    <row r="58076" spans="8:8" x14ac:dyDescent="0.3">
      <c r="H58076" t="str">
        <f t="shared" si="957"/>
        <v/>
      </c>
    </row>
    <row r="58077" spans="8:8" x14ac:dyDescent="0.3">
      <c r="H58077" t="str">
        <f t="shared" si="957"/>
        <v/>
      </c>
    </row>
    <row r="58078" spans="8:8" x14ac:dyDescent="0.3">
      <c r="H58078" t="str">
        <f t="shared" si="957"/>
        <v/>
      </c>
    </row>
    <row r="58079" spans="8:8" x14ac:dyDescent="0.3">
      <c r="H58079" t="str">
        <f t="shared" si="957"/>
        <v/>
      </c>
    </row>
    <row r="58080" spans="8:8" x14ac:dyDescent="0.3">
      <c r="H58080" t="str">
        <f t="shared" si="957"/>
        <v/>
      </c>
    </row>
    <row r="58081" spans="8:8" x14ac:dyDescent="0.3">
      <c r="H58081" t="str">
        <f t="shared" si="957"/>
        <v/>
      </c>
    </row>
    <row r="58082" spans="8:8" x14ac:dyDescent="0.3">
      <c r="H58082" t="str">
        <f t="shared" si="957"/>
        <v/>
      </c>
    </row>
    <row r="58083" spans="8:8" x14ac:dyDescent="0.3">
      <c r="H58083" t="str">
        <f t="shared" si="957"/>
        <v/>
      </c>
    </row>
    <row r="58084" spans="8:8" x14ac:dyDescent="0.3">
      <c r="H58084" t="str">
        <f t="shared" si="957"/>
        <v/>
      </c>
    </row>
    <row r="58085" spans="8:8" x14ac:dyDescent="0.3">
      <c r="H58085" t="str">
        <f t="shared" si="957"/>
        <v/>
      </c>
    </row>
    <row r="58086" spans="8:8" x14ac:dyDescent="0.3">
      <c r="H58086" t="str">
        <f t="shared" si="957"/>
        <v/>
      </c>
    </row>
    <row r="58087" spans="8:8" x14ac:dyDescent="0.3">
      <c r="H58087" t="str">
        <f t="shared" si="957"/>
        <v/>
      </c>
    </row>
    <row r="58088" spans="8:8" x14ac:dyDescent="0.3">
      <c r="H58088" t="str">
        <f t="shared" si="957"/>
        <v/>
      </c>
    </row>
    <row r="58089" spans="8:8" x14ac:dyDescent="0.3">
      <c r="H58089" t="str">
        <f t="shared" si="957"/>
        <v/>
      </c>
    </row>
    <row r="58090" spans="8:8" x14ac:dyDescent="0.3">
      <c r="H58090" t="str">
        <f t="shared" si="957"/>
        <v/>
      </c>
    </row>
    <row r="58091" spans="8:8" x14ac:dyDescent="0.3">
      <c r="H58091" t="str">
        <f t="shared" si="957"/>
        <v/>
      </c>
    </row>
    <row r="58092" spans="8:8" x14ac:dyDescent="0.3">
      <c r="H58092" t="str">
        <f t="shared" si="957"/>
        <v/>
      </c>
    </row>
    <row r="58093" spans="8:8" x14ac:dyDescent="0.3">
      <c r="H58093" t="str">
        <f t="shared" si="957"/>
        <v/>
      </c>
    </row>
    <row r="58094" spans="8:8" x14ac:dyDescent="0.3">
      <c r="H58094" t="str">
        <f t="shared" si="957"/>
        <v/>
      </c>
    </row>
    <row r="58095" spans="8:8" x14ac:dyDescent="0.3">
      <c r="H58095" t="str">
        <f t="shared" si="957"/>
        <v/>
      </c>
    </row>
    <row r="58096" spans="8:8" x14ac:dyDescent="0.3">
      <c r="H58096" t="str">
        <f t="shared" si="957"/>
        <v/>
      </c>
    </row>
    <row r="58097" spans="8:8" x14ac:dyDescent="0.3">
      <c r="H58097" t="str">
        <f t="shared" si="957"/>
        <v/>
      </c>
    </row>
    <row r="58098" spans="8:8" x14ac:dyDescent="0.3">
      <c r="H58098" t="str">
        <f t="shared" si="957"/>
        <v/>
      </c>
    </row>
    <row r="58099" spans="8:8" x14ac:dyDescent="0.3">
      <c r="H58099" t="str">
        <f t="shared" si="957"/>
        <v/>
      </c>
    </row>
    <row r="58100" spans="8:8" x14ac:dyDescent="0.3">
      <c r="H58100" t="str">
        <f t="shared" si="957"/>
        <v/>
      </c>
    </row>
    <row r="58101" spans="8:8" x14ac:dyDescent="0.3">
      <c r="H58101" t="str">
        <f t="shared" si="957"/>
        <v/>
      </c>
    </row>
    <row r="58102" spans="8:8" x14ac:dyDescent="0.3">
      <c r="H58102" t="str">
        <f t="shared" si="957"/>
        <v/>
      </c>
    </row>
    <row r="58103" spans="8:8" x14ac:dyDescent="0.3">
      <c r="H58103" t="str">
        <f t="shared" si="957"/>
        <v/>
      </c>
    </row>
    <row r="58104" spans="8:8" x14ac:dyDescent="0.3">
      <c r="H58104" t="str">
        <f t="shared" si="957"/>
        <v/>
      </c>
    </row>
    <row r="58105" spans="8:8" x14ac:dyDescent="0.3">
      <c r="H58105" t="str">
        <f t="shared" si="957"/>
        <v/>
      </c>
    </row>
    <row r="58106" spans="8:8" x14ac:dyDescent="0.3">
      <c r="H58106" t="str">
        <f t="shared" si="957"/>
        <v/>
      </c>
    </row>
    <row r="58107" spans="8:8" x14ac:dyDescent="0.3">
      <c r="H58107" t="str">
        <f t="shared" si="957"/>
        <v/>
      </c>
    </row>
    <row r="58108" spans="8:8" x14ac:dyDescent="0.3">
      <c r="H58108" t="str">
        <f t="shared" si="957"/>
        <v/>
      </c>
    </row>
    <row r="58109" spans="8:8" x14ac:dyDescent="0.3">
      <c r="H58109" t="str">
        <f t="shared" si="957"/>
        <v/>
      </c>
    </row>
    <row r="58110" spans="8:8" x14ac:dyDescent="0.3">
      <c r="H58110" t="str">
        <f t="shared" si="957"/>
        <v/>
      </c>
    </row>
    <row r="58111" spans="8:8" x14ac:dyDescent="0.3">
      <c r="H58111" t="str">
        <f t="shared" si="957"/>
        <v/>
      </c>
    </row>
    <row r="58112" spans="8:8" x14ac:dyDescent="0.3">
      <c r="H58112" t="str">
        <f t="shared" si="957"/>
        <v/>
      </c>
    </row>
    <row r="58113" spans="8:8" x14ac:dyDescent="0.3">
      <c r="H58113" t="str">
        <f t="shared" si="957"/>
        <v/>
      </c>
    </row>
    <row r="58114" spans="8:8" x14ac:dyDescent="0.3">
      <c r="H58114" t="str">
        <f t="shared" si="957"/>
        <v/>
      </c>
    </row>
    <row r="58115" spans="8:8" x14ac:dyDescent="0.3">
      <c r="H58115" t="str">
        <f t="shared" si="957"/>
        <v/>
      </c>
    </row>
    <row r="58116" spans="8:8" x14ac:dyDescent="0.3">
      <c r="H58116" t="str">
        <f t="shared" si="957"/>
        <v/>
      </c>
    </row>
    <row r="58117" spans="8:8" x14ac:dyDescent="0.3">
      <c r="H58117" t="str">
        <f t="shared" si="957"/>
        <v/>
      </c>
    </row>
    <row r="58118" spans="8:8" x14ac:dyDescent="0.3">
      <c r="H58118" t="str">
        <f t="shared" si="957"/>
        <v/>
      </c>
    </row>
    <row r="58119" spans="8:8" x14ac:dyDescent="0.3">
      <c r="H58119" t="str">
        <f t="shared" si="957"/>
        <v/>
      </c>
    </row>
    <row r="58120" spans="8:8" x14ac:dyDescent="0.3">
      <c r="H58120" t="str">
        <f t="shared" si="957"/>
        <v/>
      </c>
    </row>
    <row r="58121" spans="8:8" x14ac:dyDescent="0.3">
      <c r="H58121" t="str">
        <f t="shared" si="957"/>
        <v/>
      </c>
    </row>
    <row r="58122" spans="8:8" x14ac:dyDescent="0.3">
      <c r="H58122" t="str">
        <f t="shared" si="957"/>
        <v/>
      </c>
    </row>
    <row r="58123" spans="8:8" x14ac:dyDescent="0.3">
      <c r="H58123" t="str">
        <f t="shared" si="957"/>
        <v/>
      </c>
    </row>
    <row r="58124" spans="8:8" x14ac:dyDescent="0.3">
      <c r="H58124" t="str">
        <f t="shared" si="957"/>
        <v/>
      </c>
    </row>
    <row r="58125" spans="8:8" x14ac:dyDescent="0.3">
      <c r="H58125" t="str">
        <f t="shared" si="957"/>
        <v/>
      </c>
    </row>
    <row r="58126" spans="8:8" x14ac:dyDescent="0.3">
      <c r="H58126" t="str">
        <f t="shared" si="957"/>
        <v/>
      </c>
    </row>
    <row r="58127" spans="8:8" x14ac:dyDescent="0.3">
      <c r="H58127" t="str">
        <f t="shared" si="957"/>
        <v/>
      </c>
    </row>
    <row r="58128" spans="8:8" x14ac:dyDescent="0.3">
      <c r="H58128" t="str">
        <f t="shared" si="957"/>
        <v/>
      </c>
    </row>
    <row r="58129" spans="8:8" x14ac:dyDescent="0.3">
      <c r="H58129" t="str">
        <f t="shared" si="957"/>
        <v/>
      </c>
    </row>
    <row r="58130" spans="8:8" x14ac:dyDescent="0.3">
      <c r="H58130" t="str">
        <f t="shared" si="957"/>
        <v/>
      </c>
    </row>
    <row r="58131" spans="8:8" x14ac:dyDescent="0.3">
      <c r="H58131" t="str">
        <f t="shared" si="957"/>
        <v/>
      </c>
    </row>
    <row r="58132" spans="8:8" x14ac:dyDescent="0.3">
      <c r="H58132" t="str">
        <f t="shared" si="957"/>
        <v/>
      </c>
    </row>
    <row r="58133" spans="8:8" x14ac:dyDescent="0.3">
      <c r="H58133" t="str">
        <f t="shared" si="957"/>
        <v/>
      </c>
    </row>
    <row r="58134" spans="8:8" x14ac:dyDescent="0.3">
      <c r="H58134" t="str">
        <f t="shared" si="957"/>
        <v/>
      </c>
    </row>
    <row r="58135" spans="8:8" x14ac:dyDescent="0.3">
      <c r="H58135" t="str">
        <f t="shared" ref="H58135:H58198" si="958">IF(B58135="","",$C$12)</f>
        <v/>
      </c>
    </row>
    <row r="58136" spans="8:8" x14ac:dyDescent="0.3">
      <c r="H58136" t="str">
        <f t="shared" si="958"/>
        <v/>
      </c>
    </row>
    <row r="58137" spans="8:8" x14ac:dyDescent="0.3">
      <c r="H58137" t="str">
        <f t="shared" si="958"/>
        <v/>
      </c>
    </row>
    <row r="58138" spans="8:8" x14ac:dyDescent="0.3">
      <c r="H58138" t="str">
        <f t="shared" si="958"/>
        <v/>
      </c>
    </row>
    <row r="58139" spans="8:8" x14ac:dyDescent="0.3">
      <c r="H58139" t="str">
        <f t="shared" si="958"/>
        <v/>
      </c>
    </row>
    <row r="58140" spans="8:8" x14ac:dyDescent="0.3">
      <c r="H58140" t="str">
        <f t="shared" si="958"/>
        <v/>
      </c>
    </row>
    <row r="58141" spans="8:8" x14ac:dyDescent="0.3">
      <c r="H58141" t="str">
        <f t="shared" si="958"/>
        <v/>
      </c>
    </row>
    <row r="58142" spans="8:8" x14ac:dyDescent="0.3">
      <c r="H58142" t="str">
        <f t="shared" si="958"/>
        <v/>
      </c>
    </row>
    <row r="58143" spans="8:8" x14ac:dyDescent="0.3">
      <c r="H58143" t="str">
        <f t="shared" si="958"/>
        <v/>
      </c>
    </row>
    <row r="58144" spans="8:8" x14ac:dyDescent="0.3">
      <c r="H58144" t="str">
        <f t="shared" si="958"/>
        <v/>
      </c>
    </row>
    <row r="58145" spans="8:8" x14ac:dyDescent="0.3">
      <c r="H58145" t="str">
        <f t="shared" si="958"/>
        <v/>
      </c>
    </row>
    <row r="58146" spans="8:8" x14ac:dyDescent="0.3">
      <c r="H58146" t="str">
        <f t="shared" si="958"/>
        <v/>
      </c>
    </row>
    <row r="58147" spans="8:8" x14ac:dyDescent="0.3">
      <c r="H58147" t="str">
        <f t="shared" si="958"/>
        <v/>
      </c>
    </row>
    <row r="58148" spans="8:8" x14ac:dyDescent="0.3">
      <c r="H58148" t="str">
        <f t="shared" si="958"/>
        <v/>
      </c>
    </row>
    <row r="58149" spans="8:8" x14ac:dyDescent="0.3">
      <c r="H58149" t="str">
        <f t="shared" si="958"/>
        <v/>
      </c>
    </row>
    <row r="58150" spans="8:8" x14ac:dyDescent="0.3">
      <c r="H58150" t="str">
        <f t="shared" si="958"/>
        <v/>
      </c>
    </row>
    <row r="58151" spans="8:8" x14ac:dyDescent="0.3">
      <c r="H58151" t="str">
        <f t="shared" si="958"/>
        <v/>
      </c>
    </row>
    <row r="58152" spans="8:8" x14ac:dyDescent="0.3">
      <c r="H58152" t="str">
        <f t="shared" si="958"/>
        <v/>
      </c>
    </row>
    <row r="58153" spans="8:8" x14ac:dyDescent="0.3">
      <c r="H58153" t="str">
        <f t="shared" si="958"/>
        <v/>
      </c>
    </row>
    <row r="58154" spans="8:8" x14ac:dyDescent="0.3">
      <c r="H58154" t="str">
        <f t="shared" si="958"/>
        <v/>
      </c>
    </row>
    <row r="58155" spans="8:8" x14ac:dyDescent="0.3">
      <c r="H58155" t="str">
        <f t="shared" si="958"/>
        <v/>
      </c>
    </row>
    <row r="58156" spans="8:8" x14ac:dyDescent="0.3">
      <c r="H58156" t="str">
        <f t="shared" si="958"/>
        <v/>
      </c>
    </row>
    <row r="58157" spans="8:8" x14ac:dyDescent="0.3">
      <c r="H58157" t="str">
        <f t="shared" si="958"/>
        <v/>
      </c>
    </row>
    <row r="58158" spans="8:8" x14ac:dyDescent="0.3">
      <c r="H58158" t="str">
        <f t="shared" si="958"/>
        <v/>
      </c>
    </row>
    <row r="58159" spans="8:8" x14ac:dyDescent="0.3">
      <c r="H58159" t="str">
        <f t="shared" si="958"/>
        <v/>
      </c>
    </row>
    <row r="58160" spans="8:8" x14ac:dyDescent="0.3">
      <c r="H58160" t="str">
        <f t="shared" si="958"/>
        <v/>
      </c>
    </row>
    <row r="58161" spans="8:8" x14ac:dyDescent="0.3">
      <c r="H58161" t="str">
        <f t="shared" si="958"/>
        <v/>
      </c>
    </row>
    <row r="58162" spans="8:8" x14ac:dyDescent="0.3">
      <c r="H58162" t="str">
        <f t="shared" si="958"/>
        <v/>
      </c>
    </row>
    <row r="58163" spans="8:8" x14ac:dyDescent="0.3">
      <c r="H58163" t="str">
        <f t="shared" si="958"/>
        <v/>
      </c>
    </row>
    <row r="58164" spans="8:8" x14ac:dyDescent="0.3">
      <c r="H58164" t="str">
        <f t="shared" si="958"/>
        <v/>
      </c>
    </row>
    <row r="58165" spans="8:8" x14ac:dyDescent="0.3">
      <c r="H58165" t="str">
        <f t="shared" si="958"/>
        <v/>
      </c>
    </row>
    <row r="58166" spans="8:8" x14ac:dyDescent="0.3">
      <c r="H58166" t="str">
        <f t="shared" si="958"/>
        <v/>
      </c>
    </row>
    <row r="58167" spans="8:8" x14ac:dyDescent="0.3">
      <c r="H58167" t="str">
        <f t="shared" si="958"/>
        <v/>
      </c>
    </row>
    <row r="58168" spans="8:8" x14ac:dyDescent="0.3">
      <c r="H58168" t="str">
        <f t="shared" si="958"/>
        <v/>
      </c>
    </row>
    <row r="58169" spans="8:8" x14ac:dyDescent="0.3">
      <c r="H58169" t="str">
        <f t="shared" si="958"/>
        <v/>
      </c>
    </row>
    <row r="58170" spans="8:8" x14ac:dyDescent="0.3">
      <c r="H58170" t="str">
        <f t="shared" si="958"/>
        <v/>
      </c>
    </row>
    <row r="58171" spans="8:8" x14ac:dyDescent="0.3">
      <c r="H58171" t="str">
        <f t="shared" si="958"/>
        <v/>
      </c>
    </row>
    <row r="58172" spans="8:8" x14ac:dyDescent="0.3">
      <c r="H58172" t="str">
        <f t="shared" si="958"/>
        <v/>
      </c>
    </row>
    <row r="58173" spans="8:8" x14ac:dyDescent="0.3">
      <c r="H58173" t="str">
        <f t="shared" si="958"/>
        <v/>
      </c>
    </row>
    <row r="58174" spans="8:8" x14ac:dyDescent="0.3">
      <c r="H58174" t="str">
        <f t="shared" si="958"/>
        <v/>
      </c>
    </row>
    <row r="58175" spans="8:8" x14ac:dyDescent="0.3">
      <c r="H58175" t="str">
        <f t="shared" si="958"/>
        <v/>
      </c>
    </row>
    <row r="58176" spans="8:8" x14ac:dyDescent="0.3">
      <c r="H58176" t="str">
        <f t="shared" si="958"/>
        <v/>
      </c>
    </row>
    <row r="58177" spans="8:8" x14ac:dyDescent="0.3">
      <c r="H58177" t="str">
        <f t="shared" si="958"/>
        <v/>
      </c>
    </row>
    <row r="58178" spans="8:8" x14ac:dyDescent="0.3">
      <c r="H58178" t="str">
        <f t="shared" si="958"/>
        <v/>
      </c>
    </row>
    <row r="58179" spans="8:8" x14ac:dyDescent="0.3">
      <c r="H58179" t="str">
        <f t="shared" si="958"/>
        <v/>
      </c>
    </row>
    <row r="58180" spans="8:8" x14ac:dyDescent="0.3">
      <c r="H58180" t="str">
        <f t="shared" si="958"/>
        <v/>
      </c>
    </row>
    <row r="58181" spans="8:8" x14ac:dyDescent="0.3">
      <c r="H58181" t="str">
        <f t="shared" si="958"/>
        <v/>
      </c>
    </row>
    <row r="58182" spans="8:8" x14ac:dyDescent="0.3">
      <c r="H58182" t="str">
        <f t="shared" si="958"/>
        <v/>
      </c>
    </row>
    <row r="58183" spans="8:8" x14ac:dyDescent="0.3">
      <c r="H58183" t="str">
        <f t="shared" si="958"/>
        <v/>
      </c>
    </row>
    <row r="58184" spans="8:8" x14ac:dyDescent="0.3">
      <c r="H58184" t="str">
        <f t="shared" si="958"/>
        <v/>
      </c>
    </row>
    <row r="58185" spans="8:8" x14ac:dyDescent="0.3">
      <c r="H58185" t="str">
        <f t="shared" si="958"/>
        <v/>
      </c>
    </row>
    <row r="58186" spans="8:8" x14ac:dyDescent="0.3">
      <c r="H58186" t="str">
        <f t="shared" si="958"/>
        <v/>
      </c>
    </row>
    <row r="58187" spans="8:8" x14ac:dyDescent="0.3">
      <c r="H58187" t="str">
        <f t="shared" si="958"/>
        <v/>
      </c>
    </row>
    <row r="58188" spans="8:8" x14ac:dyDescent="0.3">
      <c r="H58188" t="str">
        <f t="shared" si="958"/>
        <v/>
      </c>
    </row>
    <row r="58189" spans="8:8" x14ac:dyDescent="0.3">
      <c r="H58189" t="str">
        <f t="shared" si="958"/>
        <v/>
      </c>
    </row>
    <row r="58190" spans="8:8" x14ac:dyDescent="0.3">
      <c r="H58190" t="str">
        <f t="shared" si="958"/>
        <v/>
      </c>
    </row>
    <row r="58191" spans="8:8" x14ac:dyDescent="0.3">
      <c r="H58191" t="str">
        <f t="shared" si="958"/>
        <v/>
      </c>
    </row>
    <row r="58192" spans="8:8" x14ac:dyDescent="0.3">
      <c r="H58192" t="str">
        <f t="shared" si="958"/>
        <v/>
      </c>
    </row>
    <row r="58193" spans="8:8" x14ac:dyDescent="0.3">
      <c r="H58193" t="str">
        <f t="shared" si="958"/>
        <v/>
      </c>
    </row>
    <row r="58194" spans="8:8" x14ac:dyDescent="0.3">
      <c r="H58194" t="str">
        <f t="shared" si="958"/>
        <v/>
      </c>
    </row>
    <row r="58195" spans="8:8" x14ac:dyDescent="0.3">
      <c r="H58195" t="str">
        <f t="shared" si="958"/>
        <v/>
      </c>
    </row>
    <row r="58196" spans="8:8" x14ac:dyDescent="0.3">
      <c r="H58196" t="str">
        <f t="shared" si="958"/>
        <v/>
      </c>
    </row>
    <row r="58197" spans="8:8" x14ac:dyDescent="0.3">
      <c r="H58197" t="str">
        <f t="shared" si="958"/>
        <v/>
      </c>
    </row>
    <row r="58198" spans="8:8" x14ac:dyDescent="0.3">
      <c r="H58198" t="str">
        <f t="shared" si="958"/>
        <v/>
      </c>
    </row>
    <row r="58199" spans="8:8" x14ac:dyDescent="0.3">
      <c r="H58199" t="str">
        <f t="shared" ref="H58199:H58262" si="959">IF(B58199="","",$C$12)</f>
        <v/>
      </c>
    </row>
    <row r="58200" spans="8:8" x14ac:dyDescent="0.3">
      <c r="H58200" t="str">
        <f t="shared" si="959"/>
        <v/>
      </c>
    </row>
    <row r="58201" spans="8:8" x14ac:dyDescent="0.3">
      <c r="H58201" t="str">
        <f t="shared" si="959"/>
        <v/>
      </c>
    </row>
    <row r="58202" spans="8:8" x14ac:dyDescent="0.3">
      <c r="H58202" t="str">
        <f t="shared" si="959"/>
        <v/>
      </c>
    </row>
    <row r="58203" spans="8:8" x14ac:dyDescent="0.3">
      <c r="H58203" t="str">
        <f t="shared" si="959"/>
        <v/>
      </c>
    </row>
    <row r="58204" spans="8:8" x14ac:dyDescent="0.3">
      <c r="H58204" t="str">
        <f t="shared" si="959"/>
        <v/>
      </c>
    </row>
    <row r="58205" spans="8:8" x14ac:dyDescent="0.3">
      <c r="H58205" t="str">
        <f t="shared" si="959"/>
        <v/>
      </c>
    </row>
    <row r="58206" spans="8:8" x14ac:dyDescent="0.3">
      <c r="H58206" t="str">
        <f t="shared" si="959"/>
        <v/>
      </c>
    </row>
    <row r="58207" spans="8:8" x14ac:dyDescent="0.3">
      <c r="H58207" t="str">
        <f t="shared" si="959"/>
        <v/>
      </c>
    </row>
    <row r="58208" spans="8:8" x14ac:dyDescent="0.3">
      <c r="H58208" t="str">
        <f t="shared" si="959"/>
        <v/>
      </c>
    </row>
    <row r="58209" spans="8:8" x14ac:dyDescent="0.3">
      <c r="H58209" t="str">
        <f t="shared" si="959"/>
        <v/>
      </c>
    </row>
    <row r="58210" spans="8:8" x14ac:dyDescent="0.3">
      <c r="H58210" t="str">
        <f t="shared" si="959"/>
        <v/>
      </c>
    </row>
    <row r="58211" spans="8:8" x14ac:dyDescent="0.3">
      <c r="H58211" t="str">
        <f t="shared" si="959"/>
        <v/>
      </c>
    </row>
    <row r="58212" spans="8:8" x14ac:dyDescent="0.3">
      <c r="H58212" t="str">
        <f t="shared" si="959"/>
        <v/>
      </c>
    </row>
    <row r="58213" spans="8:8" x14ac:dyDescent="0.3">
      <c r="H58213" t="str">
        <f t="shared" si="959"/>
        <v/>
      </c>
    </row>
    <row r="58214" spans="8:8" x14ac:dyDescent="0.3">
      <c r="H58214" t="str">
        <f t="shared" si="959"/>
        <v/>
      </c>
    </row>
    <row r="58215" spans="8:8" x14ac:dyDescent="0.3">
      <c r="H58215" t="str">
        <f t="shared" si="959"/>
        <v/>
      </c>
    </row>
    <row r="58216" spans="8:8" x14ac:dyDescent="0.3">
      <c r="H58216" t="str">
        <f t="shared" si="959"/>
        <v/>
      </c>
    </row>
    <row r="58217" spans="8:8" x14ac:dyDescent="0.3">
      <c r="H58217" t="str">
        <f t="shared" si="959"/>
        <v/>
      </c>
    </row>
    <row r="58218" spans="8:8" x14ac:dyDescent="0.3">
      <c r="H58218" t="str">
        <f t="shared" si="959"/>
        <v/>
      </c>
    </row>
    <row r="58219" spans="8:8" x14ac:dyDescent="0.3">
      <c r="H58219" t="str">
        <f t="shared" si="959"/>
        <v/>
      </c>
    </row>
    <row r="58220" spans="8:8" x14ac:dyDescent="0.3">
      <c r="H58220" t="str">
        <f t="shared" si="959"/>
        <v/>
      </c>
    </row>
    <row r="58221" spans="8:8" x14ac:dyDescent="0.3">
      <c r="H58221" t="str">
        <f t="shared" si="959"/>
        <v/>
      </c>
    </row>
    <row r="58222" spans="8:8" x14ac:dyDescent="0.3">
      <c r="H58222" t="str">
        <f t="shared" si="959"/>
        <v/>
      </c>
    </row>
    <row r="58223" spans="8:8" x14ac:dyDescent="0.3">
      <c r="H58223" t="str">
        <f t="shared" si="959"/>
        <v/>
      </c>
    </row>
    <row r="58224" spans="8:8" x14ac:dyDescent="0.3">
      <c r="H58224" t="str">
        <f t="shared" si="959"/>
        <v/>
      </c>
    </row>
    <row r="58225" spans="8:8" x14ac:dyDescent="0.3">
      <c r="H58225" t="str">
        <f t="shared" si="959"/>
        <v/>
      </c>
    </row>
    <row r="58226" spans="8:8" x14ac:dyDescent="0.3">
      <c r="H58226" t="str">
        <f t="shared" si="959"/>
        <v/>
      </c>
    </row>
    <row r="58227" spans="8:8" x14ac:dyDescent="0.3">
      <c r="H58227" t="str">
        <f t="shared" si="959"/>
        <v/>
      </c>
    </row>
    <row r="58228" spans="8:8" x14ac:dyDescent="0.3">
      <c r="H58228" t="str">
        <f t="shared" si="959"/>
        <v/>
      </c>
    </row>
    <row r="58229" spans="8:8" x14ac:dyDescent="0.3">
      <c r="H58229" t="str">
        <f t="shared" si="959"/>
        <v/>
      </c>
    </row>
    <row r="58230" spans="8:8" x14ac:dyDescent="0.3">
      <c r="H58230" t="str">
        <f t="shared" si="959"/>
        <v/>
      </c>
    </row>
    <row r="58231" spans="8:8" x14ac:dyDescent="0.3">
      <c r="H58231" t="str">
        <f t="shared" si="959"/>
        <v/>
      </c>
    </row>
    <row r="58232" spans="8:8" x14ac:dyDescent="0.3">
      <c r="H58232" t="str">
        <f t="shared" si="959"/>
        <v/>
      </c>
    </row>
    <row r="58233" spans="8:8" x14ac:dyDescent="0.3">
      <c r="H58233" t="str">
        <f t="shared" si="959"/>
        <v/>
      </c>
    </row>
    <row r="58234" spans="8:8" x14ac:dyDescent="0.3">
      <c r="H58234" t="str">
        <f t="shared" si="959"/>
        <v/>
      </c>
    </row>
    <row r="58235" spans="8:8" x14ac:dyDescent="0.3">
      <c r="H58235" t="str">
        <f t="shared" si="959"/>
        <v/>
      </c>
    </row>
    <row r="58236" spans="8:8" x14ac:dyDescent="0.3">
      <c r="H58236" t="str">
        <f t="shared" si="959"/>
        <v/>
      </c>
    </row>
    <row r="58237" spans="8:8" x14ac:dyDescent="0.3">
      <c r="H58237" t="str">
        <f t="shared" si="959"/>
        <v/>
      </c>
    </row>
    <row r="58238" spans="8:8" x14ac:dyDescent="0.3">
      <c r="H58238" t="str">
        <f t="shared" si="959"/>
        <v/>
      </c>
    </row>
    <row r="58239" spans="8:8" x14ac:dyDescent="0.3">
      <c r="H58239" t="str">
        <f t="shared" si="959"/>
        <v/>
      </c>
    </row>
    <row r="58240" spans="8:8" x14ac:dyDescent="0.3">
      <c r="H58240" t="str">
        <f t="shared" si="959"/>
        <v/>
      </c>
    </row>
    <row r="58241" spans="8:8" x14ac:dyDescent="0.3">
      <c r="H58241" t="str">
        <f t="shared" si="959"/>
        <v/>
      </c>
    </row>
    <row r="58242" spans="8:8" x14ac:dyDescent="0.3">
      <c r="H58242" t="str">
        <f t="shared" si="959"/>
        <v/>
      </c>
    </row>
    <row r="58243" spans="8:8" x14ac:dyDescent="0.3">
      <c r="H58243" t="str">
        <f t="shared" si="959"/>
        <v/>
      </c>
    </row>
    <row r="58244" spans="8:8" x14ac:dyDescent="0.3">
      <c r="H58244" t="str">
        <f t="shared" si="959"/>
        <v/>
      </c>
    </row>
    <row r="58245" spans="8:8" x14ac:dyDescent="0.3">
      <c r="H58245" t="str">
        <f t="shared" si="959"/>
        <v/>
      </c>
    </row>
    <row r="58246" spans="8:8" x14ac:dyDescent="0.3">
      <c r="H58246" t="str">
        <f t="shared" si="959"/>
        <v/>
      </c>
    </row>
    <row r="58247" spans="8:8" x14ac:dyDescent="0.3">
      <c r="H58247" t="str">
        <f t="shared" si="959"/>
        <v/>
      </c>
    </row>
    <row r="58248" spans="8:8" x14ac:dyDescent="0.3">
      <c r="H58248" t="str">
        <f t="shared" si="959"/>
        <v/>
      </c>
    </row>
    <row r="58249" spans="8:8" x14ac:dyDescent="0.3">
      <c r="H58249" t="str">
        <f t="shared" si="959"/>
        <v/>
      </c>
    </row>
    <row r="58250" spans="8:8" x14ac:dyDescent="0.3">
      <c r="H58250" t="str">
        <f t="shared" si="959"/>
        <v/>
      </c>
    </row>
    <row r="58251" spans="8:8" x14ac:dyDescent="0.3">
      <c r="H58251" t="str">
        <f t="shared" si="959"/>
        <v/>
      </c>
    </row>
    <row r="58252" spans="8:8" x14ac:dyDescent="0.3">
      <c r="H58252" t="str">
        <f t="shared" si="959"/>
        <v/>
      </c>
    </row>
    <row r="58253" spans="8:8" x14ac:dyDescent="0.3">
      <c r="H58253" t="str">
        <f t="shared" si="959"/>
        <v/>
      </c>
    </row>
    <row r="58254" spans="8:8" x14ac:dyDescent="0.3">
      <c r="H58254" t="str">
        <f t="shared" si="959"/>
        <v/>
      </c>
    </row>
    <row r="58255" spans="8:8" x14ac:dyDescent="0.3">
      <c r="H58255" t="str">
        <f t="shared" si="959"/>
        <v/>
      </c>
    </row>
    <row r="58256" spans="8:8" x14ac:dyDescent="0.3">
      <c r="H58256" t="str">
        <f t="shared" si="959"/>
        <v/>
      </c>
    </row>
    <row r="58257" spans="8:8" x14ac:dyDescent="0.3">
      <c r="H58257" t="str">
        <f t="shared" si="959"/>
        <v/>
      </c>
    </row>
    <row r="58258" spans="8:8" x14ac:dyDescent="0.3">
      <c r="H58258" t="str">
        <f t="shared" si="959"/>
        <v/>
      </c>
    </row>
    <row r="58259" spans="8:8" x14ac:dyDescent="0.3">
      <c r="H58259" t="str">
        <f t="shared" si="959"/>
        <v/>
      </c>
    </row>
    <row r="58260" spans="8:8" x14ac:dyDescent="0.3">
      <c r="H58260" t="str">
        <f t="shared" si="959"/>
        <v/>
      </c>
    </row>
    <row r="58261" spans="8:8" x14ac:dyDescent="0.3">
      <c r="H58261" t="str">
        <f t="shared" si="959"/>
        <v/>
      </c>
    </row>
    <row r="58262" spans="8:8" x14ac:dyDescent="0.3">
      <c r="H58262" t="str">
        <f t="shared" si="959"/>
        <v/>
      </c>
    </row>
    <row r="58263" spans="8:8" x14ac:dyDescent="0.3">
      <c r="H58263" t="str">
        <f t="shared" ref="H58263:H58326" si="960">IF(B58263="","",$C$12)</f>
        <v/>
      </c>
    </row>
    <row r="58264" spans="8:8" x14ac:dyDescent="0.3">
      <c r="H58264" t="str">
        <f t="shared" si="960"/>
        <v/>
      </c>
    </row>
    <row r="58265" spans="8:8" x14ac:dyDescent="0.3">
      <c r="H58265" t="str">
        <f t="shared" si="960"/>
        <v/>
      </c>
    </row>
    <row r="58266" spans="8:8" x14ac:dyDescent="0.3">
      <c r="H58266" t="str">
        <f t="shared" si="960"/>
        <v/>
      </c>
    </row>
    <row r="58267" spans="8:8" x14ac:dyDescent="0.3">
      <c r="H58267" t="str">
        <f t="shared" si="960"/>
        <v/>
      </c>
    </row>
    <row r="58268" spans="8:8" x14ac:dyDescent="0.3">
      <c r="H58268" t="str">
        <f t="shared" si="960"/>
        <v/>
      </c>
    </row>
    <row r="58269" spans="8:8" x14ac:dyDescent="0.3">
      <c r="H58269" t="str">
        <f t="shared" si="960"/>
        <v/>
      </c>
    </row>
    <row r="58270" spans="8:8" x14ac:dyDescent="0.3">
      <c r="H58270" t="str">
        <f t="shared" si="960"/>
        <v/>
      </c>
    </row>
    <row r="58271" spans="8:8" x14ac:dyDescent="0.3">
      <c r="H58271" t="str">
        <f t="shared" si="960"/>
        <v/>
      </c>
    </row>
    <row r="58272" spans="8:8" x14ac:dyDescent="0.3">
      <c r="H58272" t="str">
        <f t="shared" si="960"/>
        <v/>
      </c>
    </row>
    <row r="58273" spans="8:8" x14ac:dyDescent="0.3">
      <c r="H58273" t="str">
        <f t="shared" si="960"/>
        <v/>
      </c>
    </row>
    <row r="58274" spans="8:8" x14ac:dyDescent="0.3">
      <c r="H58274" t="str">
        <f t="shared" si="960"/>
        <v/>
      </c>
    </row>
    <row r="58275" spans="8:8" x14ac:dyDescent="0.3">
      <c r="H58275" t="str">
        <f t="shared" si="960"/>
        <v/>
      </c>
    </row>
    <row r="58276" spans="8:8" x14ac:dyDescent="0.3">
      <c r="H58276" t="str">
        <f t="shared" si="960"/>
        <v/>
      </c>
    </row>
    <row r="58277" spans="8:8" x14ac:dyDescent="0.3">
      <c r="H58277" t="str">
        <f t="shared" si="960"/>
        <v/>
      </c>
    </row>
    <row r="58278" spans="8:8" x14ac:dyDescent="0.3">
      <c r="H58278" t="str">
        <f t="shared" si="960"/>
        <v/>
      </c>
    </row>
    <row r="58279" spans="8:8" x14ac:dyDescent="0.3">
      <c r="H58279" t="str">
        <f t="shared" si="960"/>
        <v/>
      </c>
    </row>
    <row r="58280" spans="8:8" x14ac:dyDescent="0.3">
      <c r="H58280" t="str">
        <f t="shared" si="960"/>
        <v/>
      </c>
    </row>
    <row r="58281" spans="8:8" x14ac:dyDescent="0.3">
      <c r="H58281" t="str">
        <f t="shared" si="960"/>
        <v/>
      </c>
    </row>
    <row r="58282" spans="8:8" x14ac:dyDescent="0.3">
      <c r="H58282" t="str">
        <f t="shared" si="960"/>
        <v/>
      </c>
    </row>
    <row r="58283" spans="8:8" x14ac:dyDescent="0.3">
      <c r="H58283" t="str">
        <f t="shared" si="960"/>
        <v/>
      </c>
    </row>
    <row r="58284" spans="8:8" x14ac:dyDescent="0.3">
      <c r="H58284" t="str">
        <f t="shared" si="960"/>
        <v/>
      </c>
    </row>
    <row r="58285" spans="8:8" x14ac:dyDescent="0.3">
      <c r="H58285" t="str">
        <f t="shared" si="960"/>
        <v/>
      </c>
    </row>
    <row r="58286" spans="8:8" x14ac:dyDescent="0.3">
      <c r="H58286" t="str">
        <f t="shared" si="960"/>
        <v/>
      </c>
    </row>
    <row r="58287" spans="8:8" x14ac:dyDescent="0.3">
      <c r="H58287" t="str">
        <f t="shared" si="960"/>
        <v/>
      </c>
    </row>
    <row r="58288" spans="8:8" x14ac:dyDescent="0.3">
      <c r="H58288" t="str">
        <f t="shared" si="960"/>
        <v/>
      </c>
    </row>
    <row r="58289" spans="8:8" x14ac:dyDescent="0.3">
      <c r="H58289" t="str">
        <f t="shared" si="960"/>
        <v/>
      </c>
    </row>
    <row r="58290" spans="8:8" x14ac:dyDescent="0.3">
      <c r="H58290" t="str">
        <f t="shared" si="960"/>
        <v/>
      </c>
    </row>
    <row r="58291" spans="8:8" x14ac:dyDescent="0.3">
      <c r="H58291" t="str">
        <f t="shared" si="960"/>
        <v/>
      </c>
    </row>
    <row r="58292" spans="8:8" x14ac:dyDescent="0.3">
      <c r="H58292" t="str">
        <f t="shared" si="960"/>
        <v/>
      </c>
    </row>
    <row r="58293" spans="8:8" x14ac:dyDescent="0.3">
      <c r="H58293" t="str">
        <f t="shared" si="960"/>
        <v/>
      </c>
    </row>
    <row r="58294" spans="8:8" x14ac:dyDescent="0.3">
      <c r="H58294" t="str">
        <f t="shared" si="960"/>
        <v/>
      </c>
    </row>
    <row r="58295" spans="8:8" x14ac:dyDescent="0.3">
      <c r="H58295" t="str">
        <f t="shared" si="960"/>
        <v/>
      </c>
    </row>
    <row r="58296" spans="8:8" x14ac:dyDescent="0.3">
      <c r="H58296" t="str">
        <f t="shared" si="960"/>
        <v/>
      </c>
    </row>
    <row r="58297" spans="8:8" x14ac:dyDescent="0.3">
      <c r="H58297" t="str">
        <f t="shared" si="960"/>
        <v/>
      </c>
    </row>
    <row r="58298" spans="8:8" x14ac:dyDescent="0.3">
      <c r="H58298" t="str">
        <f t="shared" si="960"/>
        <v/>
      </c>
    </row>
    <row r="58299" spans="8:8" x14ac:dyDescent="0.3">
      <c r="H58299" t="str">
        <f t="shared" si="960"/>
        <v/>
      </c>
    </row>
    <row r="58300" spans="8:8" x14ac:dyDescent="0.3">
      <c r="H58300" t="str">
        <f t="shared" si="960"/>
        <v/>
      </c>
    </row>
    <row r="58301" spans="8:8" x14ac:dyDescent="0.3">
      <c r="H58301" t="str">
        <f t="shared" si="960"/>
        <v/>
      </c>
    </row>
    <row r="58302" spans="8:8" x14ac:dyDescent="0.3">
      <c r="H58302" t="str">
        <f t="shared" si="960"/>
        <v/>
      </c>
    </row>
    <row r="58303" spans="8:8" x14ac:dyDescent="0.3">
      <c r="H58303" t="str">
        <f t="shared" si="960"/>
        <v/>
      </c>
    </row>
    <row r="58304" spans="8:8" x14ac:dyDescent="0.3">
      <c r="H58304" t="str">
        <f t="shared" si="960"/>
        <v/>
      </c>
    </row>
    <row r="58305" spans="8:8" x14ac:dyDescent="0.3">
      <c r="H58305" t="str">
        <f t="shared" si="960"/>
        <v/>
      </c>
    </row>
    <row r="58306" spans="8:8" x14ac:dyDescent="0.3">
      <c r="H58306" t="str">
        <f t="shared" si="960"/>
        <v/>
      </c>
    </row>
    <row r="58307" spans="8:8" x14ac:dyDescent="0.3">
      <c r="H58307" t="str">
        <f t="shared" si="960"/>
        <v/>
      </c>
    </row>
    <row r="58308" spans="8:8" x14ac:dyDescent="0.3">
      <c r="H58308" t="str">
        <f t="shared" si="960"/>
        <v/>
      </c>
    </row>
    <row r="58309" spans="8:8" x14ac:dyDescent="0.3">
      <c r="H58309" t="str">
        <f t="shared" si="960"/>
        <v/>
      </c>
    </row>
    <row r="58310" spans="8:8" x14ac:dyDescent="0.3">
      <c r="H58310" t="str">
        <f t="shared" si="960"/>
        <v/>
      </c>
    </row>
    <row r="58311" spans="8:8" x14ac:dyDescent="0.3">
      <c r="H58311" t="str">
        <f t="shared" si="960"/>
        <v/>
      </c>
    </row>
    <row r="58312" spans="8:8" x14ac:dyDescent="0.3">
      <c r="H58312" t="str">
        <f t="shared" si="960"/>
        <v/>
      </c>
    </row>
    <row r="58313" spans="8:8" x14ac:dyDescent="0.3">
      <c r="H58313" t="str">
        <f t="shared" si="960"/>
        <v/>
      </c>
    </row>
    <row r="58314" spans="8:8" x14ac:dyDescent="0.3">
      <c r="H58314" t="str">
        <f t="shared" si="960"/>
        <v/>
      </c>
    </row>
    <row r="58315" spans="8:8" x14ac:dyDescent="0.3">
      <c r="H58315" t="str">
        <f t="shared" si="960"/>
        <v/>
      </c>
    </row>
    <row r="58316" spans="8:8" x14ac:dyDescent="0.3">
      <c r="H58316" t="str">
        <f t="shared" si="960"/>
        <v/>
      </c>
    </row>
    <row r="58317" spans="8:8" x14ac:dyDescent="0.3">
      <c r="H58317" t="str">
        <f t="shared" si="960"/>
        <v/>
      </c>
    </row>
    <row r="58318" spans="8:8" x14ac:dyDescent="0.3">
      <c r="H58318" t="str">
        <f t="shared" si="960"/>
        <v/>
      </c>
    </row>
    <row r="58319" spans="8:8" x14ac:dyDescent="0.3">
      <c r="H58319" t="str">
        <f t="shared" si="960"/>
        <v/>
      </c>
    </row>
    <row r="58320" spans="8:8" x14ac:dyDescent="0.3">
      <c r="H58320" t="str">
        <f t="shared" si="960"/>
        <v/>
      </c>
    </row>
    <row r="58321" spans="8:8" x14ac:dyDescent="0.3">
      <c r="H58321" t="str">
        <f t="shared" si="960"/>
        <v/>
      </c>
    </row>
    <row r="58322" spans="8:8" x14ac:dyDescent="0.3">
      <c r="H58322" t="str">
        <f t="shared" si="960"/>
        <v/>
      </c>
    </row>
    <row r="58323" spans="8:8" x14ac:dyDescent="0.3">
      <c r="H58323" t="str">
        <f t="shared" si="960"/>
        <v/>
      </c>
    </row>
    <row r="58324" spans="8:8" x14ac:dyDescent="0.3">
      <c r="H58324" t="str">
        <f t="shared" si="960"/>
        <v/>
      </c>
    </row>
    <row r="58325" spans="8:8" x14ac:dyDescent="0.3">
      <c r="H58325" t="str">
        <f t="shared" si="960"/>
        <v/>
      </c>
    </row>
    <row r="58326" spans="8:8" x14ac:dyDescent="0.3">
      <c r="H58326" t="str">
        <f t="shared" si="960"/>
        <v/>
      </c>
    </row>
    <row r="58327" spans="8:8" x14ac:dyDescent="0.3">
      <c r="H58327" t="str">
        <f t="shared" ref="H58327:H58390" si="961">IF(B58327="","",$C$12)</f>
        <v/>
      </c>
    </row>
    <row r="58328" spans="8:8" x14ac:dyDescent="0.3">
      <c r="H58328" t="str">
        <f t="shared" si="961"/>
        <v/>
      </c>
    </row>
    <row r="58329" spans="8:8" x14ac:dyDescent="0.3">
      <c r="H58329" t="str">
        <f t="shared" si="961"/>
        <v/>
      </c>
    </row>
    <row r="58330" spans="8:8" x14ac:dyDescent="0.3">
      <c r="H58330" t="str">
        <f t="shared" si="961"/>
        <v/>
      </c>
    </row>
    <row r="58331" spans="8:8" x14ac:dyDescent="0.3">
      <c r="H58331" t="str">
        <f t="shared" si="961"/>
        <v/>
      </c>
    </row>
    <row r="58332" spans="8:8" x14ac:dyDescent="0.3">
      <c r="H58332" t="str">
        <f t="shared" si="961"/>
        <v/>
      </c>
    </row>
    <row r="58333" spans="8:8" x14ac:dyDescent="0.3">
      <c r="H58333" t="str">
        <f t="shared" si="961"/>
        <v/>
      </c>
    </row>
    <row r="58334" spans="8:8" x14ac:dyDescent="0.3">
      <c r="H58334" t="str">
        <f t="shared" si="961"/>
        <v/>
      </c>
    </row>
    <row r="58335" spans="8:8" x14ac:dyDescent="0.3">
      <c r="H58335" t="str">
        <f t="shared" si="961"/>
        <v/>
      </c>
    </row>
    <row r="58336" spans="8:8" x14ac:dyDescent="0.3">
      <c r="H58336" t="str">
        <f t="shared" si="961"/>
        <v/>
      </c>
    </row>
    <row r="58337" spans="8:8" x14ac:dyDescent="0.3">
      <c r="H58337" t="str">
        <f t="shared" si="961"/>
        <v/>
      </c>
    </row>
    <row r="58338" spans="8:8" x14ac:dyDescent="0.3">
      <c r="H58338" t="str">
        <f t="shared" si="961"/>
        <v/>
      </c>
    </row>
    <row r="58339" spans="8:8" x14ac:dyDescent="0.3">
      <c r="H58339" t="str">
        <f t="shared" si="961"/>
        <v/>
      </c>
    </row>
    <row r="58340" spans="8:8" x14ac:dyDescent="0.3">
      <c r="H58340" t="str">
        <f t="shared" si="961"/>
        <v/>
      </c>
    </row>
    <row r="58341" spans="8:8" x14ac:dyDescent="0.3">
      <c r="H58341" t="str">
        <f t="shared" si="961"/>
        <v/>
      </c>
    </row>
    <row r="58342" spans="8:8" x14ac:dyDescent="0.3">
      <c r="H58342" t="str">
        <f t="shared" si="961"/>
        <v/>
      </c>
    </row>
    <row r="58343" spans="8:8" x14ac:dyDescent="0.3">
      <c r="H58343" t="str">
        <f t="shared" si="961"/>
        <v/>
      </c>
    </row>
    <row r="58344" spans="8:8" x14ac:dyDescent="0.3">
      <c r="H58344" t="str">
        <f t="shared" si="961"/>
        <v/>
      </c>
    </row>
    <row r="58345" spans="8:8" x14ac:dyDescent="0.3">
      <c r="H58345" t="str">
        <f t="shared" si="961"/>
        <v/>
      </c>
    </row>
    <row r="58346" spans="8:8" x14ac:dyDescent="0.3">
      <c r="H58346" t="str">
        <f t="shared" si="961"/>
        <v/>
      </c>
    </row>
    <row r="58347" spans="8:8" x14ac:dyDescent="0.3">
      <c r="H58347" t="str">
        <f t="shared" si="961"/>
        <v/>
      </c>
    </row>
    <row r="58348" spans="8:8" x14ac:dyDescent="0.3">
      <c r="H58348" t="str">
        <f t="shared" si="961"/>
        <v/>
      </c>
    </row>
    <row r="58349" spans="8:8" x14ac:dyDescent="0.3">
      <c r="H58349" t="str">
        <f t="shared" si="961"/>
        <v/>
      </c>
    </row>
    <row r="58350" spans="8:8" x14ac:dyDescent="0.3">
      <c r="H58350" t="str">
        <f t="shared" si="961"/>
        <v/>
      </c>
    </row>
    <row r="58351" spans="8:8" x14ac:dyDescent="0.3">
      <c r="H58351" t="str">
        <f t="shared" si="961"/>
        <v/>
      </c>
    </row>
    <row r="58352" spans="8:8" x14ac:dyDescent="0.3">
      <c r="H58352" t="str">
        <f t="shared" si="961"/>
        <v/>
      </c>
    </row>
    <row r="58353" spans="8:8" x14ac:dyDescent="0.3">
      <c r="H58353" t="str">
        <f t="shared" si="961"/>
        <v/>
      </c>
    </row>
    <row r="58354" spans="8:8" x14ac:dyDescent="0.3">
      <c r="H58354" t="str">
        <f t="shared" si="961"/>
        <v/>
      </c>
    </row>
    <row r="58355" spans="8:8" x14ac:dyDescent="0.3">
      <c r="H58355" t="str">
        <f t="shared" si="961"/>
        <v/>
      </c>
    </row>
    <row r="58356" spans="8:8" x14ac:dyDescent="0.3">
      <c r="H58356" t="str">
        <f t="shared" si="961"/>
        <v/>
      </c>
    </row>
    <row r="58357" spans="8:8" x14ac:dyDescent="0.3">
      <c r="H58357" t="str">
        <f t="shared" si="961"/>
        <v/>
      </c>
    </row>
    <row r="58358" spans="8:8" x14ac:dyDescent="0.3">
      <c r="H58358" t="str">
        <f t="shared" si="961"/>
        <v/>
      </c>
    </row>
    <row r="58359" spans="8:8" x14ac:dyDescent="0.3">
      <c r="H58359" t="str">
        <f t="shared" si="961"/>
        <v/>
      </c>
    </row>
    <row r="58360" spans="8:8" x14ac:dyDescent="0.3">
      <c r="H58360" t="str">
        <f t="shared" si="961"/>
        <v/>
      </c>
    </row>
    <row r="58361" spans="8:8" x14ac:dyDescent="0.3">
      <c r="H58361" t="str">
        <f t="shared" si="961"/>
        <v/>
      </c>
    </row>
    <row r="58362" spans="8:8" x14ac:dyDescent="0.3">
      <c r="H58362" t="str">
        <f t="shared" si="961"/>
        <v/>
      </c>
    </row>
    <row r="58363" spans="8:8" x14ac:dyDescent="0.3">
      <c r="H58363" t="str">
        <f t="shared" si="961"/>
        <v/>
      </c>
    </row>
    <row r="58364" spans="8:8" x14ac:dyDescent="0.3">
      <c r="H58364" t="str">
        <f t="shared" si="961"/>
        <v/>
      </c>
    </row>
    <row r="58365" spans="8:8" x14ac:dyDescent="0.3">
      <c r="H58365" t="str">
        <f t="shared" si="961"/>
        <v/>
      </c>
    </row>
    <row r="58366" spans="8:8" x14ac:dyDescent="0.3">
      <c r="H58366" t="str">
        <f t="shared" si="961"/>
        <v/>
      </c>
    </row>
    <row r="58367" spans="8:8" x14ac:dyDescent="0.3">
      <c r="H58367" t="str">
        <f t="shared" si="961"/>
        <v/>
      </c>
    </row>
    <row r="58368" spans="8:8" x14ac:dyDescent="0.3">
      <c r="H58368" t="str">
        <f t="shared" si="961"/>
        <v/>
      </c>
    </row>
    <row r="58369" spans="8:8" x14ac:dyDescent="0.3">
      <c r="H58369" t="str">
        <f t="shared" si="961"/>
        <v/>
      </c>
    </row>
    <row r="58370" spans="8:8" x14ac:dyDescent="0.3">
      <c r="H58370" t="str">
        <f t="shared" si="961"/>
        <v/>
      </c>
    </row>
    <row r="58371" spans="8:8" x14ac:dyDescent="0.3">
      <c r="H58371" t="str">
        <f t="shared" si="961"/>
        <v/>
      </c>
    </row>
    <row r="58372" spans="8:8" x14ac:dyDescent="0.3">
      <c r="H58372" t="str">
        <f t="shared" si="961"/>
        <v/>
      </c>
    </row>
    <row r="58373" spans="8:8" x14ac:dyDescent="0.3">
      <c r="H58373" t="str">
        <f t="shared" si="961"/>
        <v/>
      </c>
    </row>
    <row r="58374" spans="8:8" x14ac:dyDescent="0.3">
      <c r="H58374" t="str">
        <f t="shared" si="961"/>
        <v/>
      </c>
    </row>
    <row r="58375" spans="8:8" x14ac:dyDescent="0.3">
      <c r="H58375" t="str">
        <f t="shared" si="961"/>
        <v/>
      </c>
    </row>
    <row r="58376" spans="8:8" x14ac:dyDescent="0.3">
      <c r="H58376" t="str">
        <f t="shared" si="961"/>
        <v/>
      </c>
    </row>
    <row r="58377" spans="8:8" x14ac:dyDescent="0.3">
      <c r="H58377" t="str">
        <f t="shared" si="961"/>
        <v/>
      </c>
    </row>
    <row r="58378" spans="8:8" x14ac:dyDescent="0.3">
      <c r="H58378" t="str">
        <f t="shared" si="961"/>
        <v/>
      </c>
    </row>
    <row r="58379" spans="8:8" x14ac:dyDescent="0.3">
      <c r="H58379" t="str">
        <f t="shared" si="961"/>
        <v/>
      </c>
    </row>
    <row r="58380" spans="8:8" x14ac:dyDescent="0.3">
      <c r="H58380" t="str">
        <f t="shared" si="961"/>
        <v/>
      </c>
    </row>
    <row r="58381" spans="8:8" x14ac:dyDescent="0.3">
      <c r="H58381" t="str">
        <f t="shared" si="961"/>
        <v/>
      </c>
    </row>
    <row r="58382" spans="8:8" x14ac:dyDescent="0.3">
      <c r="H58382" t="str">
        <f t="shared" si="961"/>
        <v/>
      </c>
    </row>
    <row r="58383" spans="8:8" x14ac:dyDescent="0.3">
      <c r="H58383" t="str">
        <f t="shared" si="961"/>
        <v/>
      </c>
    </row>
    <row r="58384" spans="8:8" x14ac:dyDescent="0.3">
      <c r="H58384" t="str">
        <f t="shared" si="961"/>
        <v/>
      </c>
    </row>
    <row r="58385" spans="8:8" x14ac:dyDescent="0.3">
      <c r="H58385" t="str">
        <f t="shared" si="961"/>
        <v/>
      </c>
    </row>
    <row r="58386" spans="8:8" x14ac:dyDescent="0.3">
      <c r="H58386" t="str">
        <f t="shared" si="961"/>
        <v/>
      </c>
    </row>
    <row r="58387" spans="8:8" x14ac:dyDescent="0.3">
      <c r="H58387" t="str">
        <f t="shared" si="961"/>
        <v/>
      </c>
    </row>
    <row r="58388" spans="8:8" x14ac:dyDescent="0.3">
      <c r="H58388" t="str">
        <f t="shared" si="961"/>
        <v/>
      </c>
    </row>
    <row r="58389" spans="8:8" x14ac:dyDescent="0.3">
      <c r="H58389" t="str">
        <f t="shared" si="961"/>
        <v/>
      </c>
    </row>
    <row r="58390" spans="8:8" x14ac:dyDescent="0.3">
      <c r="H58390" t="str">
        <f t="shared" si="961"/>
        <v/>
      </c>
    </row>
    <row r="58391" spans="8:8" x14ac:dyDescent="0.3">
      <c r="H58391" t="str">
        <f t="shared" ref="H58391:H58454" si="962">IF(B58391="","",$C$12)</f>
        <v/>
      </c>
    </row>
    <row r="58392" spans="8:8" x14ac:dyDescent="0.3">
      <c r="H58392" t="str">
        <f t="shared" si="962"/>
        <v/>
      </c>
    </row>
    <row r="58393" spans="8:8" x14ac:dyDescent="0.3">
      <c r="H58393" t="str">
        <f t="shared" si="962"/>
        <v/>
      </c>
    </row>
    <row r="58394" spans="8:8" x14ac:dyDescent="0.3">
      <c r="H58394" t="str">
        <f t="shared" si="962"/>
        <v/>
      </c>
    </row>
    <row r="58395" spans="8:8" x14ac:dyDescent="0.3">
      <c r="H58395" t="str">
        <f t="shared" si="962"/>
        <v/>
      </c>
    </row>
    <row r="58396" spans="8:8" x14ac:dyDescent="0.3">
      <c r="H58396" t="str">
        <f t="shared" si="962"/>
        <v/>
      </c>
    </row>
    <row r="58397" spans="8:8" x14ac:dyDescent="0.3">
      <c r="H58397" t="str">
        <f t="shared" si="962"/>
        <v/>
      </c>
    </row>
    <row r="58398" spans="8:8" x14ac:dyDescent="0.3">
      <c r="H58398" t="str">
        <f t="shared" si="962"/>
        <v/>
      </c>
    </row>
    <row r="58399" spans="8:8" x14ac:dyDescent="0.3">
      <c r="H58399" t="str">
        <f t="shared" si="962"/>
        <v/>
      </c>
    </row>
    <row r="58400" spans="8:8" x14ac:dyDescent="0.3">
      <c r="H58400" t="str">
        <f t="shared" si="962"/>
        <v/>
      </c>
    </row>
    <row r="58401" spans="8:8" x14ac:dyDescent="0.3">
      <c r="H58401" t="str">
        <f t="shared" si="962"/>
        <v/>
      </c>
    </row>
    <row r="58402" spans="8:8" x14ac:dyDescent="0.3">
      <c r="H58402" t="str">
        <f t="shared" si="962"/>
        <v/>
      </c>
    </row>
    <row r="58403" spans="8:8" x14ac:dyDescent="0.3">
      <c r="H58403" t="str">
        <f t="shared" si="962"/>
        <v/>
      </c>
    </row>
    <row r="58404" spans="8:8" x14ac:dyDescent="0.3">
      <c r="H58404" t="str">
        <f t="shared" si="962"/>
        <v/>
      </c>
    </row>
    <row r="58405" spans="8:8" x14ac:dyDescent="0.3">
      <c r="H58405" t="str">
        <f t="shared" si="962"/>
        <v/>
      </c>
    </row>
    <row r="58406" spans="8:8" x14ac:dyDescent="0.3">
      <c r="H58406" t="str">
        <f t="shared" si="962"/>
        <v/>
      </c>
    </row>
    <row r="58407" spans="8:8" x14ac:dyDescent="0.3">
      <c r="H58407" t="str">
        <f t="shared" si="962"/>
        <v/>
      </c>
    </row>
    <row r="58408" spans="8:8" x14ac:dyDescent="0.3">
      <c r="H58408" t="str">
        <f t="shared" si="962"/>
        <v/>
      </c>
    </row>
    <row r="58409" spans="8:8" x14ac:dyDescent="0.3">
      <c r="H58409" t="str">
        <f t="shared" si="962"/>
        <v/>
      </c>
    </row>
    <row r="58410" spans="8:8" x14ac:dyDescent="0.3">
      <c r="H58410" t="str">
        <f t="shared" si="962"/>
        <v/>
      </c>
    </row>
    <row r="58411" spans="8:8" x14ac:dyDescent="0.3">
      <c r="H58411" t="str">
        <f t="shared" si="962"/>
        <v/>
      </c>
    </row>
    <row r="58412" spans="8:8" x14ac:dyDescent="0.3">
      <c r="H58412" t="str">
        <f t="shared" si="962"/>
        <v/>
      </c>
    </row>
    <row r="58413" spans="8:8" x14ac:dyDescent="0.3">
      <c r="H58413" t="str">
        <f t="shared" si="962"/>
        <v/>
      </c>
    </row>
    <row r="58414" spans="8:8" x14ac:dyDescent="0.3">
      <c r="H58414" t="str">
        <f t="shared" si="962"/>
        <v/>
      </c>
    </row>
    <row r="58415" spans="8:8" x14ac:dyDescent="0.3">
      <c r="H58415" t="str">
        <f t="shared" si="962"/>
        <v/>
      </c>
    </row>
    <row r="58416" spans="8:8" x14ac:dyDescent="0.3">
      <c r="H58416" t="str">
        <f t="shared" si="962"/>
        <v/>
      </c>
    </row>
    <row r="58417" spans="8:8" x14ac:dyDescent="0.3">
      <c r="H58417" t="str">
        <f t="shared" si="962"/>
        <v/>
      </c>
    </row>
    <row r="58418" spans="8:8" x14ac:dyDescent="0.3">
      <c r="H58418" t="str">
        <f t="shared" si="962"/>
        <v/>
      </c>
    </row>
    <row r="58419" spans="8:8" x14ac:dyDescent="0.3">
      <c r="H58419" t="str">
        <f t="shared" si="962"/>
        <v/>
      </c>
    </row>
    <row r="58420" spans="8:8" x14ac:dyDescent="0.3">
      <c r="H58420" t="str">
        <f t="shared" si="962"/>
        <v/>
      </c>
    </row>
    <row r="58421" spans="8:8" x14ac:dyDescent="0.3">
      <c r="H58421" t="str">
        <f t="shared" si="962"/>
        <v/>
      </c>
    </row>
    <row r="58422" spans="8:8" x14ac:dyDescent="0.3">
      <c r="H58422" t="str">
        <f t="shared" si="962"/>
        <v/>
      </c>
    </row>
    <row r="58423" spans="8:8" x14ac:dyDescent="0.3">
      <c r="H58423" t="str">
        <f t="shared" si="962"/>
        <v/>
      </c>
    </row>
    <row r="58424" spans="8:8" x14ac:dyDescent="0.3">
      <c r="H58424" t="str">
        <f t="shared" si="962"/>
        <v/>
      </c>
    </row>
    <row r="58425" spans="8:8" x14ac:dyDescent="0.3">
      <c r="H58425" t="str">
        <f t="shared" si="962"/>
        <v/>
      </c>
    </row>
    <row r="58426" spans="8:8" x14ac:dyDescent="0.3">
      <c r="H58426" t="str">
        <f t="shared" si="962"/>
        <v/>
      </c>
    </row>
    <row r="58427" spans="8:8" x14ac:dyDescent="0.3">
      <c r="H58427" t="str">
        <f t="shared" si="962"/>
        <v/>
      </c>
    </row>
    <row r="58428" spans="8:8" x14ac:dyDescent="0.3">
      <c r="H58428" t="str">
        <f t="shared" si="962"/>
        <v/>
      </c>
    </row>
    <row r="58429" spans="8:8" x14ac:dyDescent="0.3">
      <c r="H58429" t="str">
        <f t="shared" si="962"/>
        <v/>
      </c>
    </row>
    <row r="58430" spans="8:8" x14ac:dyDescent="0.3">
      <c r="H58430" t="str">
        <f t="shared" si="962"/>
        <v/>
      </c>
    </row>
    <row r="58431" spans="8:8" x14ac:dyDescent="0.3">
      <c r="H58431" t="str">
        <f t="shared" si="962"/>
        <v/>
      </c>
    </row>
    <row r="58432" spans="8:8" x14ac:dyDescent="0.3">
      <c r="H58432" t="str">
        <f t="shared" si="962"/>
        <v/>
      </c>
    </row>
    <row r="58433" spans="8:8" x14ac:dyDescent="0.3">
      <c r="H58433" t="str">
        <f t="shared" si="962"/>
        <v/>
      </c>
    </row>
    <row r="58434" spans="8:8" x14ac:dyDescent="0.3">
      <c r="H58434" t="str">
        <f t="shared" si="962"/>
        <v/>
      </c>
    </row>
    <row r="58435" spans="8:8" x14ac:dyDescent="0.3">
      <c r="H58435" t="str">
        <f t="shared" si="962"/>
        <v/>
      </c>
    </row>
    <row r="58436" spans="8:8" x14ac:dyDescent="0.3">
      <c r="H58436" t="str">
        <f t="shared" si="962"/>
        <v/>
      </c>
    </row>
    <row r="58437" spans="8:8" x14ac:dyDescent="0.3">
      <c r="H58437" t="str">
        <f t="shared" si="962"/>
        <v/>
      </c>
    </row>
    <row r="58438" spans="8:8" x14ac:dyDescent="0.3">
      <c r="H58438" t="str">
        <f t="shared" si="962"/>
        <v/>
      </c>
    </row>
    <row r="58439" spans="8:8" x14ac:dyDescent="0.3">
      <c r="H58439" t="str">
        <f t="shared" si="962"/>
        <v/>
      </c>
    </row>
    <row r="58440" spans="8:8" x14ac:dyDescent="0.3">
      <c r="H58440" t="str">
        <f t="shared" si="962"/>
        <v/>
      </c>
    </row>
    <row r="58441" spans="8:8" x14ac:dyDescent="0.3">
      <c r="H58441" t="str">
        <f t="shared" si="962"/>
        <v/>
      </c>
    </row>
    <row r="58442" spans="8:8" x14ac:dyDescent="0.3">
      <c r="H58442" t="str">
        <f t="shared" si="962"/>
        <v/>
      </c>
    </row>
    <row r="58443" spans="8:8" x14ac:dyDescent="0.3">
      <c r="H58443" t="str">
        <f t="shared" si="962"/>
        <v/>
      </c>
    </row>
    <row r="58444" spans="8:8" x14ac:dyDescent="0.3">
      <c r="H58444" t="str">
        <f t="shared" si="962"/>
        <v/>
      </c>
    </row>
    <row r="58445" spans="8:8" x14ac:dyDescent="0.3">
      <c r="H58445" t="str">
        <f t="shared" si="962"/>
        <v/>
      </c>
    </row>
    <row r="58446" spans="8:8" x14ac:dyDescent="0.3">
      <c r="H58446" t="str">
        <f t="shared" si="962"/>
        <v/>
      </c>
    </row>
    <row r="58447" spans="8:8" x14ac:dyDescent="0.3">
      <c r="H58447" t="str">
        <f t="shared" si="962"/>
        <v/>
      </c>
    </row>
    <row r="58448" spans="8:8" x14ac:dyDescent="0.3">
      <c r="H58448" t="str">
        <f t="shared" si="962"/>
        <v/>
      </c>
    </row>
    <row r="58449" spans="8:8" x14ac:dyDescent="0.3">
      <c r="H58449" t="str">
        <f t="shared" si="962"/>
        <v/>
      </c>
    </row>
    <row r="58450" spans="8:8" x14ac:dyDescent="0.3">
      <c r="H58450" t="str">
        <f t="shared" si="962"/>
        <v/>
      </c>
    </row>
    <row r="58451" spans="8:8" x14ac:dyDescent="0.3">
      <c r="H58451" t="str">
        <f t="shared" si="962"/>
        <v/>
      </c>
    </row>
    <row r="58452" spans="8:8" x14ac:dyDescent="0.3">
      <c r="H58452" t="str">
        <f t="shared" si="962"/>
        <v/>
      </c>
    </row>
    <row r="58453" spans="8:8" x14ac:dyDescent="0.3">
      <c r="H58453" t="str">
        <f t="shared" si="962"/>
        <v/>
      </c>
    </row>
    <row r="58454" spans="8:8" x14ac:dyDescent="0.3">
      <c r="H58454" t="str">
        <f t="shared" si="962"/>
        <v/>
      </c>
    </row>
    <row r="58455" spans="8:8" x14ac:dyDescent="0.3">
      <c r="H58455" t="str">
        <f t="shared" ref="H58455:H58518" si="963">IF(B58455="","",$C$12)</f>
        <v/>
      </c>
    </row>
    <row r="58456" spans="8:8" x14ac:dyDescent="0.3">
      <c r="H58456" t="str">
        <f t="shared" si="963"/>
        <v/>
      </c>
    </row>
    <row r="58457" spans="8:8" x14ac:dyDescent="0.3">
      <c r="H58457" t="str">
        <f t="shared" si="963"/>
        <v/>
      </c>
    </row>
    <row r="58458" spans="8:8" x14ac:dyDescent="0.3">
      <c r="H58458" t="str">
        <f t="shared" si="963"/>
        <v/>
      </c>
    </row>
    <row r="58459" spans="8:8" x14ac:dyDescent="0.3">
      <c r="H58459" t="str">
        <f t="shared" si="963"/>
        <v/>
      </c>
    </row>
    <row r="58460" spans="8:8" x14ac:dyDescent="0.3">
      <c r="H58460" t="str">
        <f t="shared" si="963"/>
        <v/>
      </c>
    </row>
    <row r="58461" spans="8:8" x14ac:dyDescent="0.3">
      <c r="H58461" t="str">
        <f t="shared" si="963"/>
        <v/>
      </c>
    </row>
    <row r="58462" spans="8:8" x14ac:dyDescent="0.3">
      <c r="H58462" t="str">
        <f t="shared" si="963"/>
        <v/>
      </c>
    </row>
    <row r="58463" spans="8:8" x14ac:dyDescent="0.3">
      <c r="H58463" t="str">
        <f t="shared" si="963"/>
        <v/>
      </c>
    </row>
    <row r="58464" spans="8:8" x14ac:dyDescent="0.3">
      <c r="H58464" t="str">
        <f t="shared" si="963"/>
        <v/>
      </c>
    </row>
    <row r="58465" spans="8:8" x14ac:dyDescent="0.3">
      <c r="H58465" t="str">
        <f t="shared" si="963"/>
        <v/>
      </c>
    </row>
    <row r="58466" spans="8:8" x14ac:dyDescent="0.3">
      <c r="H58466" t="str">
        <f t="shared" si="963"/>
        <v/>
      </c>
    </row>
    <row r="58467" spans="8:8" x14ac:dyDescent="0.3">
      <c r="H58467" t="str">
        <f t="shared" si="963"/>
        <v/>
      </c>
    </row>
    <row r="58468" spans="8:8" x14ac:dyDescent="0.3">
      <c r="H58468" t="str">
        <f t="shared" si="963"/>
        <v/>
      </c>
    </row>
    <row r="58469" spans="8:8" x14ac:dyDescent="0.3">
      <c r="H58469" t="str">
        <f t="shared" si="963"/>
        <v/>
      </c>
    </row>
    <row r="58470" spans="8:8" x14ac:dyDescent="0.3">
      <c r="H58470" t="str">
        <f t="shared" si="963"/>
        <v/>
      </c>
    </row>
    <row r="58471" spans="8:8" x14ac:dyDescent="0.3">
      <c r="H58471" t="str">
        <f t="shared" si="963"/>
        <v/>
      </c>
    </row>
    <row r="58472" spans="8:8" x14ac:dyDescent="0.3">
      <c r="H58472" t="str">
        <f t="shared" si="963"/>
        <v/>
      </c>
    </row>
    <row r="58473" spans="8:8" x14ac:dyDescent="0.3">
      <c r="H58473" t="str">
        <f t="shared" si="963"/>
        <v/>
      </c>
    </row>
    <row r="58474" spans="8:8" x14ac:dyDescent="0.3">
      <c r="H58474" t="str">
        <f t="shared" si="963"/>
        <v/>
      </c>
    </row>
    <row r="58475" spans="8:8" x14ac:dyDescent="0.3">
      <c r="H58475" t="str">
        <f t="shared" si="963"/>
        <v/>
      </c>
    </row>
    <row r="58476" spans="8:8" x14ac:dyDescent="0.3">
      <c r="H58476" t="str">
        <f t="shared" si="963"/>
        <v/>
      </c>
    </row>
    <row r="58477" spans="8:8" x14ac:dyDescent="0.3">
      <c r="H58477" t="str">
        <f t="shared" si="963"/>
        <v/>
      </c>
    </row>
    <row r="58478" spans="8:8" x14ac:dyDescent="0.3">
      <c r="H58478" t="str">
        <f t="shared" si="963"/>
        <v/>
      </c>
    </row>
    <row r="58479" spans="8:8" x14ac:dyDescent="0.3">
      <c r="H58479" t="str">
        <f t="shared" si="963"/>
        <v/>
      </c>
    </row>
    <row r="58480" spans="8:8" x14ac:dyDescent="0.3">
      <c r="H58480" t="str">
        <f t="shared" si="963"/>
        <v/>
      </c>
    </row>
    <row r="58481" spans="8:8" x14ac:dyDescent="0.3">
      <c r="H58481" t="str">
        <f t="shared" si="963"/>
        <v/>
      </c>
    </row>
    <row r="58482" spans="8:8" x14ac:dyDescent="0.3">
      <c r="H58482" t="str">
        <f t="shared" si="963"/>
        <v/>
      </c>
    </row>
    <row r="58483" spans="8:8" x14ac:dyDescent="0.3">
      <c r="H58483" t="str">
        <f t="shared" si="963"/>
        <v/>
      </c>
    </row>
    <row r="58484" spans="8:8" x14ac:dyDescent="0.3">
      <c r="H58484" t="str">
        <f t="shared" si="963"/>
        <v/>
      </c>
    </row>
    <row r="58485" spans="8:8" x14ac:dyDescent="0.3">
      <c r="H58485" t="str">
        <f t="shared" si="963"/>
        <v/>
      </c>
    </row>
    <row r="58486" spans="8:8" x14ac:dyDescent="0.3">
      <c r="H58486" t="str">
        <f t="shared" si="963"/>
        <v/>
      </c>
    </row>
    <row r="58487" spans="8:8" x14ac:dyDescent="0.3">
      <c r="H58487" t="str">
        <f t="shared" si="963"/>
        <v/>
      </c>
    </row>
    <row r="58488" spans="8:8" x14ac:dyDescent="0.3">
      <c r="H58488" t="str">
        <f t="shared" si="963"/>
        <v/>
      </c>
    </row>
    <row r="58489" spans="8:8" x14ac:dyDescent="0.3">
      <c r="H58489" t="str">
        <f t="shared" si="963"/>
        <v/>
      </c>
    </row>
    <row r="58490" spans="8:8" x14ac:dyDescent="0.3">
      <c r="H58490" t="str">
        <f t="shared" si="963"/>
        <v/>
      </c>
    </row>
    <row r="58491" spans="8:8" x14ac:dyDescent="0.3">
      <c r="H58491" t="str">
        <f t="shared" si="963"/>
        <v/>
      </c>
    </row>
    <row r="58492" spans="8:8" x14ac:dyDescent="0.3">
      <c r="H58492" t="str">
        <f t="shared" si="963"/>
        <v/>
      </c>
    </row>
    <row r="58493" spans="8:8" x14ac:dyDescent="0.3">
      <c r="H58493" t="str">
        <f t="shared" si="963"/>
        <v/>
      </c>
    </row>
    <row r="58494" spans="8:8" x14ac:dyDescent="0.3">
      <c r="H58494" t="str">
        <f t="shared" si="963"/>
        <v/>
      </c>
    </row>
    <row r="58495" spans="8:8" x14ac:dyDescent="0.3">
      <c r="H58495" t="str">
        <f t="shared" si="963"/>
        <v/>
      </c>
    </row>
    <row r="58496" spans="8:8" x14ac:dyDescent="0.3">
      <c r="H58496" t="str">
        <f t="shared" si="963"/>
        <v/>
      </c>
    </row>
    <row r="58497" spans="8:8" x14ac:dyDescent="0.3">
      <c r="H58497" t="str">
        <f t="shared" si="963"/>
        <v/>
      </c>
    </row>
    <row r="58498" spans="8:8" x14ac:dyDescent="0.3">
      <c r="H58498" t="str">
        <f t="shared" si="963"/>
        <v/>
      </c>
    </row>
    <row r="58499" spans="8:8" x14ac:dyDescent="0.3">
      <c r="H58499" t="str">
        <f t="shared" si="963"/>
        <v/>
      </c>
    </row>
    <row r="58500" spans="8:8" x14ac:dyDescent="0.3">
      <c r="H58500" t="str">
        <f t="shared" si="963"/>
        <v/>
      </c>
    </row>
    <row r="58501" spans="8:8" x14ac:dyDescent="0.3">
      <c r="H58501" t="str">
        <f t="shared" si="963"/>
        <v/>
      </c>
    </row>
    <row r="58502" spans="8:8" x14ac:dyDescent="0.3">
      <c r="H58502" t="str">
        <f t="shared" si="963"/>
        <v/>
      </c>
    </row>
    <row r="58503" spans="8:8" x14ac:dyDescent="0.3">
      <c r="H58503" t="str">
        <f t="shared" si="963"/>
        <v/>
      </c>
    </row>
    <row r="58504" spans="8:8" x14ac:dyDescent="0.3">
      <c r="H58504" t="str">
        <f t="shared" si="963"/>
        <v/>
      </c>
    </row>
    <row r="58505" spans="8:8" x14ac:dyDescent="0.3">
      <c r="H58505" t="str">
        <f t="shared" si="963"/>
        <v/>
      </c>
    </row>
    <row r="58506" spans="8:8" x14ac:dyDescent="0.3">
      <c r="H58506" t="str">
        <f t="shared" si="963"/>
        <v/>
      </c>
    </row>
    <row r="58507" spans="8:8" x14ac:dyDescent="0.3">
      <c r="H58507" t="str">
        <f t="shared" si="963"/>
        <v/>
      </c>
    </row>
    <row r="58508" spans="8:8" x14ac:dyDescent="0.3">
      <c r="H58508" t="str">
        <f t="shared" si="963"/>
        <v/>
      </c>
    </row>
    <row r="58509" spans="8:8" x14ac:dyDescent="0.3">
      <c r="H58509" t="str">
        <f t="shared" si="963"/>
        <v/>
      </c>
    </row>
    <row r="58510" spans="8:8" x14ac:dyDescent="0.3">
      <c r="H58510" t="str">
        <f t="shared" si="963"/>
        <v/>
      </c>
    </row>
    <row r="58511" spans="8:8" x14ac:dyDescent="0.3">
      <c r="H58511" t="str">
        <f t="shared" si="963"/>
        <v/>
      </c>
    </row>
    <row r="58512" spans="8:8" x14ac:dyDescent="0.3">
      <c r="H58512" t="str">
        <f t="shared" si="963"/>
        <v/>
      </c>
    </row>
    <row r="58513" spans="8:8" x14ac:dyDescent="0.3">
      <c r="H58513" t="str">
        <f t="shared" si="963"/>
        <v/>
      </c>
    </row>
    <row r="58514" spans="8:8" x14ac:dyDescent="0.3">
      <c r="H58514" t="str">
        <f t="shared" si="963"/>
        <v/>
      </c>
    </row>
    <row r="58515" spans="8:8" x14ac:dyDescent="0.3">
      <c r="H58515" t="str">
        <f t="shared" si="963"/>
        <v/>
      </c>
    </row>
    <row r="58516" spans="8:8" x14ac:dyDescent="0.3">
      <c r="H58516" t="str">
        <f t="shared" si="963"/>
        <v/>
      </c>
    </row>
    <row r="58517" spans="8:8" x14ac:dyDescent="0.3">
      <c r="H58517" t="str">
        <f t="shared" si="963"/>
        <v/>
      </c>
    </row>
    <row r="58518" spans="8:8" x14ac:dyDescent="0.3">
      <c r="H58518" t="str">
        <f t="shared" si="963"/>
        <v/>
      </c>
    </row>
    <row r="58519" spans="8:8" x14ac:dyDescent="0.3">
      <c r="H58519" t="str">
        <f t="shared" ref="H58519:H58582" si="964">IF(B58519="","",$C$12)</f>
        <v/>
      </c>
    </row>
    <row r="58520" spans="8:8" x14ac:dyDescent="0.3">
      <c r="H58520" t="str">
        <f t="shared" si="964"/>
        <v/>
      </c>
    </row>
    <row r="58521" spans="8:8" x14ac:dyDescent="0.3">
      <c r="H58521" t="str">
        <f t="shared" si="964"/>
        <v/>
      </c>
    </row>
    <row r="58522" spans="8:8" x14ac:dyDescent="0.3">
      <c r="H58522" t="str">
        <f t="shared" si="964"/>
        <v/>
      </c>
    </row>
    <row r="58523" spans="8:8" x14ac:dyDescent="0.3">
      <c r="H58523" t="str">
        <f t="shared" si="964"/>
        <v/>
      </c>
    </row>
    <row r="58524" spans="8:8" x14ac:dyDescent="0.3">
      <c r="H58524" t="str">
        <f t="shared" si="964"/>
        <v/>
      </c>
    </row>
    <row r="58525" spans="8:8" x14ac:dyDescent="0.3">
      <c r="H58525" t="str">
        <f t="shared" si="964"/>
        <v/>
      </c>
    </row>
    <row r="58526" spans="8:8" x14ac:dyDescent="0.3">
      <c r="H58526" t="str">
        <f t="shared" si="964"/>
        <v/>
      </c>
    </row>
    <row r="58527" spans="8:8" x14ac:dyDescent="0.3">
      <c r="H58527" t="str">
        <f t="shared" si="964"/>
        <v/>
      </c>
    </row>
    <row r="58528" spans="8:8" x14ac:dyDescent="0.3">
      <c r="H58528" t="str">
        <f t="shared" si="964"/>
        <v/>
      </c>
    </row>
    <row r="58529" spans="8:8" x14ac:dyDescent="0.3">
      <c r="H58529" t="str">
        <f t="shared" si="964"/>
        <v/>
      </c>
    </row>
    <row r="58530" spans="8:8" x14ac:dyDescent="0.3">
      <c r="H58530" t="str">
        <f t="shared" si="964"/>
        <v/>
      </c>
    </row>
    <row r="58531" spans="8:8" x14ac:dyDescent="0.3">
      <c r="H58531" t="str">
        <f t="shared" si="964"/>
        <v/>
      </c>
    </row>
    <row r="58532" spans="8:8" x14ac:dyDescent="0.3">
      <c r="H58532" t="str">
        <f t="shared" si="964"/>
        <v/>
      </c>
    </row>
    <row r="58533" spans="8:8" x14ac:dyDescent="0.3">
      <c r="H58533" t="str">
        <f t="shared" si="964"/>
        <v/>
      </c>
    </row>
    <row r="58534" spans="8:8" x14ac:dyDescent="0.3">
      <c r="H58534" t="str">
        <f t="shared" si="964"/>
        <v/>
      </c>
    </row>
    <row r="58535" spans="8:8" x14ac:dyDescent="0.3">
      <c r="H58535" t="str">
        <f t="shared" si="964"/>
        <v/>
      </c>
    </row>
    <row r="58536" spans="8:8" x14ac:dyDescent="0.3">
      <c r="H58536" t="str">
        <f t="shared" si="964"/>
        <v/>
      </c>
    </row>
    <row r="58537" spans="8:8" x14ac:dyDescent="0.3">
      <c r="H58537" t="str">
        <f t="shared" si="964"/>
        <v/>
      </c>
    </row>
    <row r="58538" spans="8:8" x14ac:dyDescent="0.3">
      <c r="H58538" t="str">
        <f t="shared" si="964"/>
        <v/>
      </c>
    </row>
    <row r="58539" spans="8:8" x14ac:dyDescent="0.3">
      <c r="H58539" t="str">
        <f t="shared" si="964"/>
        <v/>
      </c>
    </row>
    <row r="58540" spans="8:8" x14ac:dyDescent="0.3">
      <c r="H58540" t="str">
        <f t="shared" si="964"/>
        <v/>
      </c>
    </row>
    <row r="58541" spans="8:8" x14ac:dyDescent="0.3">
      <c r="H58541" t="str">
        <f t="shared" si="964"/>
        <v/>
      </c>
    </row>
    <row r="58542" spans="8:8" x14ac:dyDescent="0.3">
      <c r="H58542" t="str">
        <f t="shared" si="964"/>
        <v/>
      </c>
    </row>
    <row r="58543" spans="8:8" x14ac:dyDescent="0.3">
      <c r="H58543" t="str">
        <f t="shared" si="964"/>
        <v/>
      </c>
    </row>
    <row r="58544" spans="8:8" x14ac:dyDescent="0.3">
      <c r="H58544" t="str">
        <f t="shared" si="964"/>
        <v/>
      </c>
    </row>
    <row r="58545" spans="8:8" x14ac:dyDescent="0.3">
      <c r="H58545" t="str">
        <f t="shared" si="964"/>
        <v/>
      </c>
    </row>
    <row r="58546" spans="8:8" x14ac:dyDescent="0.3">
      <c r="H58546" t="str">
        <f t="shared" si="964"/>
        <v/>
      </c>
    </row>
    <row r="58547" spans="8:8" x14ac:dyDescent="0.3">
      <c r="H58547" t="str">
        <f t="shared" si="964"/>
        <v/>
      </c>
    </row>
    <row r="58548" spans="8:8" x14ac:dyDescent="0.3">
      <c r="H58548" t="str">
        <f t="shared" si="964"/>
        <v/>
      </c>
    </row>
    <row r="58549" spans="8:8" x14ac:dyDescent="0.3">
      <c r="H58549" t="str">
        <f t="shared" si="964"/>
        <v/>
      </c>
    </row>
    <row r="58550" spans="8:8" x14ac:dyDescent="0.3">
      <c r="H58550" t="str">
        <f t="shared" si="964"/>
        <v/>
      </c>
    </row>
    <row r="58551" spans="8:8" x14ac:dyDescent="0.3">
      <c r="H58551" t="str">
        <f t="shared" si="964"/>
        <v/>
      </c>
    </row>
    <row r="58552" spans="8:8" x14ac:dyDescent="0.3">
      <c r="H58552" t="str">
        <f t="shared" si="964"/>
        <v/>
      </c>
    </row>
    <row r="58553" spans="8:8" x14ac:dyDescent="0.3">
      <c r="H58553" t="str">
        <f t="shared" si="964"/>
        <v/>
      </c>
    </row>
    <row r="58554" spans="8:8" x14ac:dyDescent="0.3">
      <c r="H58554" t="str">
        <f t="shared" si="964"/>
        <v/>
      </c>
    </row>
    <row r="58555" spans="8:8" x14ac:dyDescent="0.3">
      <c r="H58555" t="str">
        <f t="shared" si="964"/>
        <v/>
      </c>
    </row>
    <row r="58556" spans="8:8" x14ac:dyDescent="0.3">
      <c r="H58556" t="str">
        <f t="shared" si="964"/>
        <v/>
      </c>
    </row>
    <row r="58557" spans="8:8" x14ac:dyDescent="0.3">
      <c r="H58557" t="str">
        <f t="shared" si="964"/>
        <v/>
      </c>
    </row>
    <row r="58558" spans="8:8" x14ac:dyDescent="0.3">
      <c r="H58558" t="str">
        <f t="shared" si="964"/>
        <v/>
      </c>
    </row>
    <row r="58559" spans="8:8" x14ac:dyDescent="0.3">
      <c r="H58559" t="str">
        <f t="shared" si="964"/>
        <v/>
      </c>
    </row>
    <row r="58560" spans="8:8" x14ac:dyDescent="0.3">
      <c r="H58560" t="str">
        <f t="shared" si="964"/>
        <v/>
      </c>
    </row>
    <row r="58561" spans="8:8" x14ac:dyDescent="0.3">
      <c r="H58561" t="str">
        <f t="shared" si="964"/>
        <v/>
      </c>
    </row>
    <row r="58562" spans="8:8" x14ac:dyDescent="0.3">
      <c r="H58562" t="str">
        <f t="shared" si="964"/>
        <v/>
      </c>
    </row>
    <row r="58563" spans="8:8" x14ac:dyDescent="0.3">
      <c r="H58563" t="str">
        <f t="shared" si="964"/>
        <v/>
      </c>
    </row>
    <row r="58564" spans="8:8" x14ac:dyDescent="0.3">
      <c r="H58564" t="str">
        <f t="shared" si="964"/>
        <v/>
      </c>
    </row>
    <row r="58565" spans="8:8" x14ac:dyDescent="0.3">
      <c r="H58565" t="str">
        <f t="shared" si="964"/>
        <v/>
      </c>
    </row>
    <row r="58566" spans="8:8" x14ac:dyDescent="0.3">
      <c r="H58566" t="str">
        <f t="shared" si="964"/>
        <v/>
      </c>
    </row>
    <row r="58567" spans="8:8" x14ac:dyDescent="0.3">
      <c r="H58567" t="str">
        <f t="shared" si="964"/>
        <v/>
      </c>
    </row>
    <row r="58568" spans="8:8" x14ac:dyDescent="0.3">
      <c r="H58568" t="str">
        <f t="shared" si="964"/>
        <v/>
      </c>
    </row>
    <row r="58569" spans="8:8" x14ac:dyDescent="0.3">
      <c r="H58569" t="str">
        <f t="shared" si="964"/>
        <v/>
      </c>
    </row>
    <row r="58570" spans="8:8" x14ac:dyDescent="0.3">
      <c r="H58570" t="str">
        <f t="shared" si="964"/>
        <v/>
      </c>
    </row>
    <row r="58571" spans="8:8" x14ac:dyDescent="0.3">
      <c r="H58571" t="str">
        <f t="shared" si="964"/>
        <v/>
      </c>
    </row>
    <row r="58572" spans="8:8" x14ac:dyDescent="0.3">
      <c r="H58572" t="str">
        <f t="shared" si="964"/>
        <v/>
      </c>
    </row>
    <row r="58573" spans="8:8" x14ac:dyDescent="0.3">
      <c r="H58573" t="str">
        <f t="shared" si="964"/>
        <v/>
      </c>
    </row>
    <row r="58574" spans="8:8" x14ac:dyDescent="0.3">
      <c r="H58574" t="str">
        <f t="shared" si="964"/>
        <v/>
      </c>
    </row>
    <row r="58575" spans="8:8" x14ac:dyDescent="0.3">
      <c r="H58575" t="str">
        <f t="shared" si="964"/>
        <v/>
      </c>
    </row>
    <row r="58576" spans="8:8" x14ac:dyDescent="0.3">
      <c r="H58576" t="str">
        <f t="shared" si="964"/>
        <v/>
      </c>
    </row>
    <row r="58577" spans="8:8" x14ac:dyDescent="0.3">
      <c r="H58577" t="str">
        <f t="shared" si="964"/>
        <v/>
      </c>
    </row>
    <row r="58578" spans="8:8" x14ac:dyDescent="0.3">
      <c r="H58578" t="str">
        <f t="shared" si="964"/>
        <v/>
      </c>
    </row>
    <row r="58579" spans="8:8" x14ac:dyDescent="0.3">
      <c r="H58579" t="str">
        <f t="shared" si="964"/>
        <v/>
      </c>
    </row>
    <row r="58580" spans="8:8" x14ac:dyDescent="0.3">
      <c r="H58580" t="str">
        <f t="shared" si="964"/>
        <v/>
      </c>
    </row>
    <row r="58581" spans="8:8" x14ac:dyDescent="0.3">
      <c r="H58581" t="str">
        <f t="shared" si="964"/>
        <v/>
      </c>
    </row>
    <row r="58582" spans="8:8" x14ac:dyDescent="0.3">
      <c r="H58582" t="str">
        <f t="shared" si="964"/>
        <v/>
      </c>
    </row>
    <row r="58583" spans="8:8" x14ac:dyDescent="0.3">
      <c r="H58583" t="str">
        <f t="shared" ref="H58583:H58646" si="965">IF(B58583="","",$C$12)</f>
        <v/>
      </c>
    </row>
    <row r="58584" spans="8:8" x14ac:dyDescent="0.3">
      <c r="H58584" t="str">
        <f t="shared" si="965"/>
        <v/>
      </c>
    </row>
    <row r="58585" spans="8:8" x14ac:dyDescent="0.3">
      <c r="H58585" t="str">
        <f t="shared" si="965"/>
        <v/>
      </c>
    </row>
    <row r="58586" spans="8:8" x14ac:dyDescent="0.3">
      <c r="H58586" t="str">
        <f t="shared" si="965"/>
        <v/>
      </c>
    </row>
    <row r="58587" spans="8:8" x14ac:dyDescent="0.3">
      <c r="H58587" t="str">
        <f t="shared" si="965"/>
        <v/>
      </c>
    </row>
    <row r="58588" spans="8:8" x14ac:dyDescent="0.3">
      <c r="H58588" t="str">
        <f t="shared" si="965"/>
        <v/>
      </c>
    </row>
    <row r="58589" spans="8:8" x14ac:dyDescent="0.3">
      <c r="H58589" t="str">
        <f t="shared" si="965"/>
        <v/>
      </c>
    </row>
    <row r="58590" spans="8:8" x14ac:dyDescent="0.3">
      <c r="H58590" t="str">
        <f t="shared" si="965"/>
        <v/>
      </c>
    </row>
    <row r="58591" spans="8:8" x14ac:dyDescent="0.3">
      <c r="H58591" t="str">
        <f t="shared" si="965"/>
        <v/>
      </c>
    </row>
    <row r="58592" spans="8:8" x14ac:dyDescent="0.3">
      <c r="H58592" t="str">
        <f t="shared" si="965"/>
        <v/>
      </c>
    </row>
    <row r="58593" spans="8:8" x14ac:dyDescent="0.3">
      <c r="H58593" t="str">
        <f t="shared" si="965"/>
        <v/>
      </c>
    </row>
    <row r="58594" spans="8:8" x14ac:dyDescent="0.3">
      <c r="H58594" t="str">
        <f t="shared" si="965"/>
        <v/>
      </c>
    </row>
    <row r="58595" spans="8:8" x14ac:dyDescent="0.3">
      <c r="H58595" t="str">
        <f t="shared" si="965"/>
        <v/>
      </c>
    </row>
    <row r="58596" spans="8:8" x14ac:dyDescent="0.3">
      <c r="H58596" t="str">
        <f t="shared" si="965"/>
        <v/>
      </c>
    </row>
    <row r="58597" spans="8:8" x14ac:dyDescent="0.3">
      <c r="H58597" t="str">
        <f t="shared" si="965"/>
        <v/>
      </c>
    </row>
    <row r="58598" spans="8:8" x14ac:dyDescent="0.3">
      <c r="H58598" t="str">
        <f t="shared" si="965"/>
        <v/>
      </c>
    </row>
    <row r="58599" spans="8:8" x14ac:dyDescent="0.3">
      <c r="H58599" t="str">
        <f t="shared" si="965"/>
        <v/>
      </c>
    </row>
    <row r="58600" spans="8:8" x14ac:dyDescent="0.3">
      <c r="H58600" t="str">
        <f t="shared" si="965"/>
        <v/>
      </c>
    </row>
    <row r="58601" spans="8:8" x14ac:dyDescent="0.3">
      <c r="H58601" t="str">
        <f t="shared" si="965"/>
        <v/>
      </c>
    </row>
    <row r="58602" spans="8:8" x14ac:dyDescent="0.3">
      <c r="H58602" t="str">
        <f t="shared" si="965"/>
        <v/>
      </c>
    </row>
    <row r="58603" spans="8:8" x14ac:dyDescent="0.3">
      <c r="H58603" t="str">
        <f t="shared" si="965"/>
        <v/>
      </c>
    </row>
    <row r="58604" spans="8:8" x14ac:dyDescent="0.3">
      <c r="H58604" t="str">
        <f t="shared" si="965"/>
        <v/>
      </c>
    </row>
    <row r="58605" spans="8:8" x14ac:dyDescent="0.3">
      <c r="H58605" t="str">
        <f t="shared" si="965"/>
        <v/>
      </c>
    </row>
    <row r="58606" spans="8:8" x14ac:dyDescent="0.3">
      <c r="H58606" t="str">
        <f t="shared" si="965"/>
        <v/>
      </c>
    </row>
    <row r="58607" spans="8:8" x14ac:dyDescent="0.3">
      <c r="H58607" t="str">
        <f t="shared" si="965"/>
        <v/>
      </c>
    </row>
    <row r="58608" spans="8:8" x14ac:dyDescent="0.3">
      <c r="H58608" t="str">
        <f t="shared" si="965"/>
        <v/>
      </c>
    </row>
    <row r="58609" spans="8:8" x14ac:dyDescent="0.3">
      <c r="H58609" t="str">
        <f t="shared" si="965"/>
        <v/>
      </c>
    </row>
    <row r="58610" spans="8:8" x14ac:dyDescent="0.3">
      <c r="H58610" t="str">
        <f t="shared" si="965"/>
        <v/>
      </c>
    </row>
    <row r="58611" spans="8:8" x14ac:dyDescent="0.3">
      <c r="H58611" t="str">
        <f t="shared" si="965"/>
        <v/>
      </c>
    </row>
    <row r="58612" spans="8:8" x14ac:dyDescent="0.3">
      <c r="H58612" t="str">
        <f t="shared" si="965"/>
        <v/>
      </c>
    </row>
    <row r="58613" spans="8:8" x14ac:dyDescent="0.3">
      <c r="H58613" t="str">
        <f t="shared" si="965"/>
        <v/>
      </c>
    </row>
    <row r="58614" spans="8:8" x14ac:dyDescent="0.3">
      <c r="H58614" t="str">
        <f t="shared" si="965"/>
        <v/>
      </c>
    </row>
    <row r="58615" spans="8:8" x14ac:dyDescent="0.3">
      <c r="H58615" t="str">
        <f t="shared" si="965"/>
        <v/>
      </c>
    </row>
    <row r="58616" spans="8:8" x14ac:dyDescent="0.3">
      <c r="H58616" t="str">
        <f t="shared" si="965"/>
        <v/>
      </c>
    </row>
    <row r="58617" spans="8:8" x14ac:dyDescent="0.3">
      <c r="H58617" t="str">
        <f t="shared" si="965"/>
        <v/>
      </c>
    </row>
    <row r="58618" spans="8:8" x14ac:dyDescent="0.3">
      <c r="H58618" t="str">
        <f t="shared" si="965"/>
        <v/>
      </c>
    </row>
    <row r="58619" spans="8:8" x14ac:dyDescent="0.3">
      <c r="H58619" t="str">
        <f t="shared" si="965"/>
        <v/>
      </c>
    </row>
    <row r="58620" spans="8:8" x14ac:dyDescent="0.3">
      <c r="H58620" t="str">
        <f t="shared" si="965"/>
        <v/>
      </c>
    </row>
    <row r="58621" spans="8:8" x14ac:dyDescent="0.3">
      <c r="H58621" t="str">
        <f t="shared" si="965"/>
        <v/>
      </c>
    </row>
    <row r="58622" spans="8:8" x14ac:dyDescent="0.3">
      <c r="H58622" t="str">
        <f t="shared" si="965"/>
        <v/>
      </c>
    </row>
    <row r="58623" spans="8:8" x14ac:dyDescent="0.3">
      <c r="H58623" t="str">
        <f t="shared" si="965"/>
        <v/>
      </c>
    </row>
    <row r="58624" spans="8:8" x14ac:dyDescent="0.3">
      <c r="H58624" t="str">
        <f t="shared" si="965"/>
        <v/>
      </c>
    </row>
    <row r="58625" spans="8:8" x14ac:dyDescent="0.3">
      <c r="H58625" t="str">
        <f t="shared" si="965"/>
        <v/>
      </c>
    </row>
    <row r="58626" spans="8:8" x14ac:dyDescent="0.3">
      <c r="H58626" t="str">
        <f t="shared" si="965"/>
        <v/>
      </c>
    </row>
    <row r="58627" spans="8:8" x14ac:dyDescent="0.3">
      <c r="H58627" t="str">
        <f t="shared" si="965"/>
        <v/>
      </c>
    </row>
    <row r="58628" spans="8:8" x14ac:dyDescent="0.3">
      <c r="H58628" t="str">
        <f t="shared" si="965"/>
        <v/>
      </c>
    </row>
    <row r="58629" spans="8:8" x14ac:dyDescent="0.3">
      <c r="H58629" t="str">
        <f t="shared" si="965"/>
        <v/>
      </c>
    </row>
    <row r="58630" spans="8:8" x14ac:dyDescent="0.3">
      <c r="H58630" t="str">
        <f t="shared" si="965"/>
        <v/>
      </c>
    </row>
    <row r="58631" spans="8:8" x14ac:dyDescent="0.3">
      <c r="H58631" t="str">
        <f t="shared" si="965"/>
        <v/>
      </c>
    </row>
    <row r="58632" spans="8:8" x14ac:dyDescent="0.3">
      <c r="H58632" t="str">
        <f t="shared" si="965"/>
        <v/>
      </c>
    </row>
    <row r="58633" spans="8:8" x14ac:dyDescent="0.3">
      <c r="H58633" t="str">
        <f t="shared" si="965"/>
        <v/>
      </c>
    </row>
    <row r="58634" spans="8:8" x14ac:dyDescent="0.3">
      <c r="H58634" t="str">
        <f t="shared" si="965"/>
        <v/>
      </c>
    </row>
    <row r="58635" spans="8:8" x14ac:dyDescent="0.3">
      <c r="H58635" t="str">
        <f t="shared" si="965"/>
        <v/>
      </c>
    </row>
    <row r="58636" spans="8:8" x14ac:dyDescent="0.3">
      <c r="H58636" t="str">
        <f t="shared" si="965"/>
        <v/>
      </c>
    </row>
    <row r="58637" spans="8:8" x14ac:dyDescent="0.3">
      <c r="H58637" t="str">
        <f t="shared" si="965"/>
        <v/>
      </c>
    </row>
    <row r="58638" spans="8:8" x14ac:dyDescent="0.3">
      <c r="H58638" t="str">
        <f t="shared" si="965"/>
        <v/>
      </c>
    </row>
    <row r="58639" spans="8:8" x14ac:dyDescent="0.3">
      <c r="H58639" t="str">
        <f t="shared" si="965"/>
        <v/>
      </c>
    </row>
    <row r="58640" spans="8:8" x14ac:dyDescent="0.3">
      <c r="H58640" t="str">
        <f t="shared" si="965"/>
        <v/>
      </c>
    </row>
    <row r="58641" spans="8:8" x14ac:dyDescent="0.3">
      <c r="H58641" t="str">
        <f t="shared" si="965"/>
        <v/>
      </c>
    </row>
    <row r="58642" spans="8:8" x14ac:dyDescent="0.3">
      <c r="H58642" t="str">
        <f t="shared" si="965"/>
        <v/>
      </c>
    </row>
    <row r="58643" spans="8:8" x14ac:dyDescent="0.3">
      <c r="H58643" t="str">
        <f t="shared" si="965"/>
        <v/>
      </c>
    </row>
    <row r="58644" spans="8:8" x14ac:dyDescent="0.3">
      <c r="H58644" t="str">
        <f t="shared" si="965"/>
        <v/>
      </c>
    </row>
    <row r="58645" spans="8:8" x14ac:dyDescent="0.3">
      <c r="H58645" t="str">
        <f t="shared" si="965"/>
        <v/>
      </c>
    </row>
    <row r="58646" spans="8:8" x14ac:dyDescent="0.3">
      <c r="H58646" t="str">
        <f t="shared" si="965"/>
        <v/>
      </c>
    </row>
    <row r="58647" spans="8:8" x14ac:dyDescent="0.3">
      <c r="H58647" t="str">
        <f t="shared" ref="H58647:H58710" si="966">IF(B58647="","",$C$12)</f>
        <v/>
      </c>
    </row>
    <row r="58648" spans="8:8" x14ac:dyDescent="0.3">
      <c r="H58648" t="str">
        <f t="shared" si="966"/>
        <v/>
      </c>
    </row>
    <row r="58649" spans="8:8" x14ac:dyDescent="0.3">
      <c r="H58649" t="str">
        <f t="shared" si="966"/>
        <v/>
      </c>
    </row>
    <row r="58650" spans="8:8" x14ac:dyDescent="0.3">
      <c r="H58650" t="str">
        <f t="shared" si="966"/>
        <v/>
      </c>
    </row>
    <row r="58651" spans="8:8" x14ac:dyDescent="0.3">
      <c r="H58651" t="str">
        <f t="shared" si="966"/>
        <v/>
      </c>
    </row>
    <row r="58652" spans="8:8" x14ac:dyDescent="0.3">
      <c r="H58652" t="str">
        <f t="shared" si="966"/>
        <v/>
      </c>
    </row>
    <row r="58653" spans="8:8" x14ac:dyDescent="0.3">
      <c r="H58653" t="str">
        <f t="shared" si="966"/>
        <v/>
      </c>
    </row>
    <row r="58654" spans="8:8" x14ac:dyDescent="0.3">
      <c r="H58654" t="str">
        <f t="shared" si="966"/>
        <v/>
      </c>
    </row>
    <row r="58655" spans="8:8" x14ac:dyDescent="0.3">
      <c r="H58655" t="str">
        <f t="shared" si="966"/>
        <v/>
      </c>
    </row>
    <row r="58656" spans="8:8" x14ac:dyDescent="0.3">
      <c r="H58656" t="str">
        <f t="shared" si="966"/>
        <v/>
      </c>
    </row>
    <row r="58657" spans="8:8" x14ac:dyDescent="0.3">
      <c r="H58657" t="str">
        <f t="shared" si="966"/>
        <v/>
      </c>
    </row>
    <row r="58658" spans="8:8" x14ac:dyDescent="0.3">
      <c r="H58658" t="str">
        <f t="shared" si="966"/>
        <v/>
      </c>
    </row>
    <row r="58659" spans="8:8" x14ac:dyDescent="0.3">
      <c r="H58659" t="str">
        <f t="shared" si="966"/>
        <v/>
      </c>
    </row>
    <row r="58660" spans="8:8" x14ac:dyDescent="0.3">
      <c r="H58660" t="str">
        <f t="shared" si="966"/>
        <v/>
      </c>
    </row>
    <row r="58661" spans="8:8" x14ac:dyDescent="0.3">
      <c r="H58661" t="str">
        <f t="shared" si="966"/>
        <v/>
      </c>
    </row>
    <row r="58662" spans="8:8" x14ac:dyDescent="0.3">
      <c r="H58662" t="str">
        <f t="shared" si="966"/>
        <v/>
      </c>
    </row>
    <row r="58663" spans="8:8" x14ac:dyDescent="0.3">
      <c r="H58663" t="str">
        <f t="shared" si="966"/>
        <v/>
      </c>
    </row>
    <row r="58664" spans="8:8" x14ac:dyDescent="0.3">
      <c r="H58664" t="str">
        <f t="shared" si="966"/>
        <v/>
      </c>
    </row>
    <row r="58665" spans="8:8" x14ac:dyDescent="0.3">
      <c r="H58665" t="str">
        <f t="shared" si="966"/>
        <v/>
      </c>
    </row>
    <row r="58666" spans="8:8" x14ac:dyDescent="0.3">
      <c r="H58666" t="str">
        <f t="shared" si="966"/>
        <v/>
      </c>
    </row>
    <row r="58667" spans="8:8" x14ac:dyDescent="0.3">
      <c r="H58667" t="str">
        <f t="shared" si="966"/>
        <v/>
      </c>
    </row>
    <row r="58668" spans="8:8" x14ac:dyDescent="0.3">
      <c r="H58668" t="str">
        <f t="shared" si="966"/>
        <v/>
      </c>
    </row>
    <row r="58669" spans="8:8" x14ac:dyDescent="0.3">
      <c r="H58669" t="str">
        <f t="shared" si="966"/>
        <v/>
      </c>
    </row>
    <row r="58670" spans="8:8" x14ac:dyDescent="0.3">
      <c r="H58670" t="str">
        <f t="shared" si="966"/>
        <v/>
      </c>
    </row>
    <row r="58671" spans="8:8" x14ac:dyDescent="0.3">
      <c r="H58671" t="str">
        <f t="shared" si="966"/>
        <v/>
      </c>
    </row>
    <row r="58672" spans="8:8" x14ac:dyDescent="0.3">
      <c r="H58672" t="str">
        <f t="shared" si="966"/>
        <v/>
      </c>
    </row>
    <row r="58673" spans="8:8" x14ac:dyDescent="0.3">
      <c r="H58673" t="str">
        <f t="shared" si="966"/>
        <v/>
      </c>
    </row>
    <row r="58674" spans="8:8" x14ac:dyDescent="0.3">
      <c r="H58674" t="str">
        <f t="shared" si="966"/>
        <v/>
      </c>
    </row>
    <row r="58675" spans="8:8" x14ac:dyDescent="0.3">
      <c r="H58675" t="str">
        <f t="shared" si="966"/>
        <v/>
      </c>
    </row>
    <row r="58676" spans="8:8" x14ac:dyDescent="0.3">
      <c r="H58676" t="str">
        <f t="shared" si="966"/>
        <v/>
      </c>
    </row>
    <row r="58677" spans="8:8" x14ac:dyDescent="0.3">
      <c r="H58677" t="str">
        <f t="shared" si="966"/>
        <v/>
      </c>
    </row>
    <row r="58678" spans="8:8" x14ac:dyDescent="0.3">
      <c r="H58678" t="str">
        <f t="shared" si="966"/>
        <v/>
      </c>
    </row>
    <row r="58679" spans="8:8" x14ac:dyDescent="0.3">
      <c r="H58679" t="str">
        <f t="shared" si="966"/>
        <v/>
      </c>
    </row>
    <row r="58680" spans="8:8" x14ac:dyDescent="0.3">
      <c r="H58680" t="str">
        <f t="shared" si="966"/>
        <v/>
      </c>
    </row>
    <row r="58681" spans="8:8" x14ac:dyDescent="0.3">
      <c r="H58681" t="str">
        <f t="shared" si="966"/>
        <v/>
      </c>
    </row>
    <row r="58682" spans="8:8" x14ac:dyDescent="0.3">
      <c r="H58682" t="str">
        <f t="shared" si="966"/>
        <v/>
      </c>
    </row>
    <row r="58683" spans="8:8" x14ac:dyDescent="0.3">
      <c r="H58683" t="str">
        <f t="shared" si="966"/>
        <v/>
      </c>
    </row>
    <row r="58684" spans="8:8" x14ac:dyDescent="0.3">
      <c r="H58684" t="str">
        <f t="shared" si="966"/>
        <v/>
      </c>
    </row>
    <row r="58685" spans="8:8" x14ac:dyDescent="0.3">
      <c r="H58685" t="str">
        <f t="shared" si="966"/>
        <v/>
      </c>
    </row>
    <row r="58686" spans="8:8" x14ac:dyDescent="0.3">
      <c r="H58686" t="str">
        <f t="shared" si="966"/>
        <v/>
      </c>
    </row>
    <row r="58687" spans="8:8" x14ac:dyDescent="0.3">
      <c r="H58687" t="str">
        <f t="shared" si="966"/>
        <v/>
      </c>
    </row>
    <row r="58688" spans="8:8" x14ac:dyDescent="0.3">
      <c r="H58688" t="str">
        <f t="shared" si="966"/>
        <v/>
      </c>
    </row>
    <row r="58689" spans="8:8" x14ac:dyDescent="0.3">
      <c r="H58689" t="str">
        <f t="shared" si="966"/>
        <v/>
      </c>
    </row>
    <row r="58690" spans="8:8" x14ac:dyDescent="0.3">
      <c r="H58690" t="str">
        <f t="shared" si="966"/>
        <v/>
      </c>
    </row>
    <row r="58691" spans="8:8" x14ac:dyDescent="0.3">
      <c r="H58691" t="str">
        <f t="shared" si="966"/>
        <v/>
      </c>
    </row>
    <row r="58692" spans="8:8" x14ac:dyDescent="0.3">
      <c r="H58692" t="str">
        <f t="shared" si="966"/>
        <v/>
      </c>
    </row>
    <row r="58693" spans="8:8" x14ac:dyDescent="0.3">
      <c r="H58693" t="str">
        <f t="shared" si="966"/>
        <v/>
      </c>
    </row>
    <row r="58694" spans="8:8" x14ac:dyDescent="0.3">
      <c r="H58694" t="str">
        <f t="shared" si="966"/>
        <v/>
      </c>
    </row>
    <row r="58695" spans="8:8" x14ac:dyDescent="0.3">
      <c r="H58695" t="str">
        <f t="shared" si="966"/>
        <v/>
      </c>
    </row>
    <row r="58696" spans="8:8" x14ac:dyDescent="0.3">
      <c r="H58696" t="str">
        <f t="shared" si="966"/>
        <v/>
      </c>
    </row>
    <row r="58697" spans="8:8" x14ac:dyDescent="0.3">
      <c r="H58697" t="str">
        <f t="shared" si="966"/>
        <v/>
      </c>
    </row>
    <row r="58698" spans="8:8" x14ac:dyDescent="0.3">
      <c r="H58698" t="str">
        <f t="shared" si="966"/>
        <v/>
      </c>
    </row>
    <row r="58699" spans="8:8" x14ac:dyDescent="0.3">
      <c r="H58699" t="str">
        <f t="shared" si="966"/>
        <v/>
      </c>
    </row>
    <row r="58700" spans="8:8" x14ac:dyDescent="0.3">
      <c r="H58700" t="str">
        <f t="shared" si="966"/>
        <v/>
      </c>
    </row>
    <row r="58701" spans="8:8" x14ac:dyDescent="0.3">
      <c r="H58701" t="str">
        <f t="shared" si="966"/>
        <v/>
      </c>
    </row>
    <row r="58702" spans="8:8" x14ac:dyDescent="0.3">
      <c r="H58702" t="str">
        <f t="shared" si="966"/>
        <v/>
      </c>
    </row>
    <row r="58703" spans="8:8" x14ac:dyDescent="0.3">
      <c r="H58703" t="str">
        <f t="shared" si="966"/>
        <v/>
      </c>
    </row>
    <row r="58704" spans="8:8" x14ac:dyDescent="0.3">
      <c r="H58704" t="str">
        <f t="shared" si="966"/>
        <v/>
      </c>
    </row>
    <row r="58705" spans="8:8" x14ac:dyDescent="0.3">
      <c r="H58705" t="str">
        <f t="shared" si="966"/>
        <v/>
      </c>
    </row>
    <row r="58706" spans="8:8" x14ac:dyDescent="0.3">
      <c r="H58706" t="str">
        <f t="shared" si="966"/>
        <v/>
      </c>
    </row>
    <row r="58707" spans="8:8" x14ac:dyDescent="0.3">
      <c r="H58707" t="str">
        <f t="shared" si="966"/>
        <v/>
      </c>
    </row>
    <row r="58708" spans="8:8" x14ac:dyDescent="0.3">
      <c r="H58708" t="str">
        <f t="shared" si="966"/>
        <v/>
      </c>
    </row>
    <row r="58709" spans="8:8" x14ac:dyDescent="0.3">
      <c r="H58709" t="str">
        <f t="shared" si="966"/>
        <v/>
      </c>
    </row>
    <row r="58710" spans="8:8" x14ac:dyDescent="0.3">
      <c r="H58710" t="str">
        <f t="shared" si="966"/>
        <v/>
      </c>
    </row>
    <row r="58711" spans="8:8" x14ac:dyDescent="0.3">
      <c r="H58711" t="str">
        <f t="shared" ref="H58711:H58774" si="967">IF(B58711="","",$C$12)</f>
        <v/>
      </c>
    </row>
    <row r="58712" spans="8:8" x14ac:dyDescent="0.3">
      <c r="H58712" t="str">
        <f t="shared" si="967"/>
        <v/>
      </c>
    </row>
    <row r="58713" spans="8:8" x14ac:dyDescent="0.3">
      <c r="H58713" t="str">
        <f t="shared" si="967"/>
        <v/>
      </c>
    </row>
    <row r="58714" spans="8:8" x14ac:dyDescent="0.3">
      <c r="H58714" t="str">
        <f t="shared" si="967"/>
        <v/>
      </c>
    </row>
    <row r="58715" spans="8:8" x14ac:dyDescent="0.3">
      <c r="H58715" t="str">
        <f t="shared" si="967"/>
        <v/>
      </c>
    </row>
    <row r="58716" spans="8:8" x14ac:dyDescent="0.3">
      <c r="H58716" t="str">
        <f t="shared" si="967"/>
        <v/>
      </c>
    </row>
    <row r="58717" spans="8:8" x14ac:dyDescent="0.3">
      <c r="H58717" t="str">
        <f t="shared" si="967"/>
        <v/>
      </c>
    </row>
    <row r="58718" spans="8:8" x14ac:dyDescent="0.3">
      <c r="H58718" t="str">
        <f t="shared" si="967"/>
        <v/>
      </c>
    </row>
    <row r="58719" spans="8:8" x14ac:dyDescent="0.3">
      <c r="H58719" t="str">
        <f t="shared" si="967"/>
        <v/>
      </c>
    </row>
    <row r="58720" spans="8:8" x14ac:dyDescent="0.3">
      <c r="H58720" t="str">
        <f t="shared" si="967"/>
        <v/>
      </c>
    </row>
    <row r="58721" spans="8:8" x14ac:dyDescent="0.3">
      <c r="H58721" t="str">
        <f t="shared" si="967"/>
        <v/>
      </c>
    </row>
    <row r="58722" spans="8:8" x14ac:dyDescent="0.3">
      <c r="H58722" t="str">
        <f t="shared" si="967"/>
        <v/>
      </c>
    </row>
    <row r="58723" spans="8:8" x14ac:dyDescent="0.3">
      <c r="H58723" t="str">
        <f t="shared" si="967"/>
        <v/>
      </c>
    </row>
    <row r="58724" spans="8:8" x14ac:dyDescent="0.3">
      <c r="H58724" t="str">
        <f t="shared" si="967"/>
        <v/>
      </c>
    </row>
    <row r="58725" spans="8:8" x14ac:dyDescent="0.3">
      <c r="H58725" t="str">
        <f t="shared" si="967"/>
        <v/>
      </c>
    </row>
    <row r="58726" spans="8:8" x14ac:dyDescent="0.3">
      <c r="H58726" t="str">
        <f t="shared" si="967"/>
        <v/>
      </c>
    </row>
    <row r="58727" spans="8:8" x14ac:dyDescent="0.3">
      <c r="H58727" t="str">
        <f t="shared" si="967"/>
        <v/>
      </c>
    </row>
    <row r="58728" spans="8:8" x14ac:dyDescent="0.3">
      <c r="H58728" t="str">
        <f t="shared" si="967"/>
        <v/>
      </c>
    </row>
    <row r="58729" spans="8:8" x14ac:dyDescent="0.3">
      <c r="H58729" t="str">
        <f t="shared" si="967"/>
        <v/>
      </c>
    </row>
    <row r="58730" spans="8:8" x14ac:dyDescent="0.3">
      <c r="H58730" t="str">
        <f t="shared" si="967"/>
        <v/>
      </c>
    </row>
    <row r="58731" spans="8:8" x14ac:dyDescent="0.3">
      <c r="H58731" t="str">
        <f t="shared" si="967"/>
        <v/>
      </c>
    </row>
    <row r="58732" spans="8:8" x14ac:dyDescent="0.3">
      <c r="H58732" t="str">
        <f t="shared" si="967"/>
        <v/>
      </c>
    </row>
    <row r="58733" spans="8:8" x14ac:dyDescent="0.3">
      <c r="H58733" t="str">
        <f t="shared" si="967"/>
        <v/>
      </c>
    </row>
    <row r="58734" spans="8:8" x14ac:dyDescent="0.3">
      <c r="H58734" t="str">
        <f t="shared" si="967"/>
        <v/>
      </c>
    </row>
    <row r="58735" spans="8:8" x14ac:dyDescent="0.3">
      <c r="H58735" t="str">
        <f t="shared" si="967"/>
        <v/>
      </c>
    </row>
    <row r="58736" spans="8:8" x14ac:dyDescent="0.3">
      <c r="H58736" t="str">
        <f t="shared" si="967"/>
        <v/>
      </c>
    </row>
    <row r="58737" spans="8:8" x14ac:dyDescent="0.3">
      <c r="H58737" t="str">
        <f t="shared" si="967"/>
        <v/>
      </c>
    </row>
    <row r="58738" spans="8:8" x14ac:dyDescent="0.3">
      <c r="H58738" t="str">
        <f t="shared" si="967"/>
        <v/>
      </c>
    </row>
    <row r="58739" spans="8:8" x14ac:dyDescent="0.3">
      <c r="H58739" t="str">
        <f t="shared" si="967"/>
        <v/>
      </c>
    </row>
    <row r="58740" spans="8:8" x14ac:dyDescent="0.3">
      <c r="H58740" t="str">
        <f t="shared" si="967"/>
        <v/>
      </c>
    </row>
    <row r="58741" spans="8:8" x14ac:dyDescent="0.3">
      <c r="H58741" t="str">
        <f t="shared" si="967"/>
        <v/>
      </c>
    </row>
    <row r="58742" spans="8:8" x14ac:dyDescent="0.3">
      <c r="H58742" t="str">
        <f t="shared" si="967"/>
        <v/>
      </c>
    </row>
    <row r="58743" spans="8:8" x14ac:dyDescent="0.3">
      <c r="H58743" t="str">
        <f t="shared" si="967"/>
        <v/>
      </c>
    </row>
    <row r="58744" spans="8:8" x14ac:dyDescent="0.3">
      <c r="H58744" t="str">
        <f t="shared" si="967"/>
        <v/>
      </c>
    </row>
    <row r="58745" spans="8:8" x14ac:dyDescent="0.3">
      <c r="H58745" t="str">
        <f t="shared" si="967"/>
        <v/>
      </c>
    </row>
    <row r="58746" spans="8:8" x14ac:dyDescent="0.3">
      <c r="H58746" t="str">
        <f t="shared" si="967"/>
        <v/>
      </c>
    </row>
    <row r="58747" spans="8:8" x14ac:dyDescent="0.3">
      <c r="H58747" t="str">
        <f t="shared" si="967"/>
        <v/>
      </c>
    </row>
    <row r="58748" spans="8:8" x14ac:dyDescent="0.3">
      <c r="H58748" t="str">
        <f t="shared" si="967"/>
        <v/>
      </c>
    </row>
    <row r="58749" spans="8:8" x14ac:dyDescent="0.3">
      <c r="H58749" t="str">
        <f t="shared" si="967"/>
        <v/>
      </c>
    </row>
    <row r="58750" spans="8:8" x14ac:dyDescent="0.3">
      <c r="H58750" t="str">
        <f t="shared" si="967"/>
        <v/>
      </c>
    </row>
    <row r="58751" spans="8:8" x14ac:dyDescent="0.3">
      <c r="H58751" t="str">
        <f t="shared" si="967"/>
        <v/>
      </c>
    </row>
    <row r="58752" spans="8:8" x14ac:dyDescent="0.3">
      <c r="H58752" t="str">
        <f t="shared" si="967"/>
        <v/>
      </c>
    </row>
    <row r="58753" spans="8:8" x14ac:dyDescent="0.3">
      <c r="H58753" t="str">
        <f t="shared" si="967"/>
        <v/>
      </c>
    </row>
    <row r="58754" spans="8:8" x14ac:dyDescent="0.3">
      <c r="H58754" t="str">
        <f t="shared" si="967"/>
        <v/>
      </c>
    </row>
    <row r="58755" spans="8:8" x14ac:dyDescent="0.3">
      <c r="H58755" t="str">
        <f t="shared" si="967"/>
        <v/>
      </c>
    </row>
    <row r="58756" spans="8:8" x14ac:dyDescent="0.3">
      <c r="H58756" t="str">
        <f t="shared" si="967"/>
        <v/>
      </c>
    </row>
    <row r="58757" spans="8:8" x14ac:dyDescent="0.3">
      <c r="H58757" t="str">
        <f t="shared" si="967"/>
        <v/>
      </c>
    </row>
    <row r="58758" spans="8:8" x14ac:dyDescent="0.3">
      <c r="H58758" t="str">
        <f t="shared" si="967"/>
        <v/>
      </c>
    </row>
    <row r="58759" spans="8:8" x14ac:dyDescent="0.3">
      <c r="H58759" t="str">
        <f t="shared" si="967"/>
        <v/>
      </c>
    </row>
    <row r="58760" spans="8:8" x14ac:dyDescent="0.3">
      <c r="H58760" t="str">
        <f t="shared" si="967"/>
        <v/>
      </c>
    </row>
    <row r="58761" spans="8:8" x14ac:dyDescent="0.3">
      <c r="H58761" t="str">
        <f t="shared" si="967"/>
        <v/>
      </c>
    </row>
    <row r="58762" spans="8:8" x14ac:dyDescent="0.3">
      <c r="H58762" t="str">
        <f t="shared" si="967"/>
        <v/>
      </c>
    </row>
    <row r="58763" spans="8:8" x14ac:dyDescent="0.3">
      <c r="H58763" t="str">
        <f t="shared" si="967"/>
        <v/>
      </c>
    </row>
    <row r="58764" spans="8:8" x14ac:dyDescent="0.3">
      <c r="H58764" t="str">
        <f t="shared" si="967"/>
        <v/>
      </c>
    </row>
    <row r="58765" spans="8:8" x14ac:dyDescent="0.3">
      <c r="H58765" t="str">
        <f t="shared" si="967"/>
        <v/>
      </c>
    </row>
    <row r="58766" spans="8:8" x14ac:dyDescent="0.3">
      <c r="H58766" t="str">
        <f t="shared" si="967"/>
        <v/>
      </c>
    </row>
    <row r="58767" spans="8:8" x14ac:dyDescent="0.3">
      <c r="H58767" t="str">
        <f t="shared" si="967"/>
        <v/>
      </c>
    </row>
    <row r="58768" spans="8:8" x14ac:dyDescent="0.3">
      <c r="H58768" t="str">
        <f t="shared" si="967"/>
        <v/>
      </c>
    </row>
    <row r="58769" spans="8:8" x14ac:dyDescent="0.3">
      <c r="H58769" t="str">
        <f t="shared" si="967"/>
        <v/>
      </c>
    </row>
    <row r="58770" spans="8:8" x14ac:dyDescent="0.3">
      <c r="H58770" t="str">
        <f t="shared" si="967"/>
        <v/>
      </c>
    </row>
    <row r="58771" spans="8:8" x14ac:dyDescent="0.3">
      <c r="H58771" t="str">
        <f t="shared" si="967"/>
        <v/>
      </c>
    </row>
    <row r="58772" spans="8:8" x14ac:dyDescent="0.3">
      <c r="H58772" t="str">
        <f t="shared" si="967"/>
        <v/>
      </c>
    </row>
    <row r="58773" spans="8:8" x14ac:dyDescent="0.3">
      <c r="H58773" t="str">
        <f t="shared" si="967"/>
        <v/>
      </c>
    </row>
    <row r="58774" spans="8:8" x14ac:dyDescent="0.3">
      <c r="H58774" t="str">
        <f t="shared" si="967"/>
        <v/>
      </c>
    </row>
    <row r="58775" spans="8:8" x14ac:dyDescent="0.3">
      <c r="H58775" t="str">
        <f t="shared" ref="H58775:H58838" si="968">IF(B58775="","",$C$12)</f>
        <v/>
      </c>
    </row>
    <row r="58776" spans="8:8" x14ac:dyDescent="0.3">
      <c r="H58776" t="str">
        <f t="shared" si="968"/>
        <v/>
      </c>
    </row>
    <row r="58777" spans="8:8" x14ac:dyDescent="0.3">
      <c r="H58777" t="str">
        <f t="shared" si="968"/>
        <v/>
      </c>
    </row>
    <row r="58778" spans="8:8" x14ac:dyDescent="0.3">
      <c r="H58778" t="str">
        <f t="shared" si="968"/>
        <v/>
      </c>
    </row>
    <row r="58779" spans="8:8" x14ac:dyDescent="0.3">
      <c r="H58779" t="str">
        <f t="shared" si="968"/>
        <v/>
      </c>
    </row>
    <row r="58780" spans="8:8" x14ac:dyDescent="0.3">
      <c r="H58780" t="str">
        <f t="shared" si="968"/>
        <v/>
      </c>
    </row>
    <row r="58781" spans="8:8" x14ac:dyDescent="0.3">
      <c r="H58781" t="str">
        <f t="shared" si="968"/>
        <v/>
      </c>
    </row>
    <row r="58782" spans="8:8" x14ac:dyDescent="0.3">
      <c r="H58782" t="str">
        <f t="shared" si="968"/>
        <v/>
      </c>
    </row>
    <row r="58783" spans="8:8" x14ac:dyDescent="0.3">
      <c r="H58783" t="str">
        <f t="shared" si="968"/>
        <v/>
      </c>
    </row>
    <row r="58784" spans="8:8" x14ac:dyDescent="0.3">
      <c r="H58784" t="str">
        <f t="shared" si="968"/>
        <v/>
      </c>
    </row>
    <row r="58785" spans="8:8" x14ac:dyDescent="0.3">
      <c r="H58785" t="str">
        <f t="shared" si="968"/>
        <v/>
      </c>
    </row>
    <row r="58786" spans="8:8" x14ac:dyDescent="0.3">
      <c r="H58786" t="str">
        <f t="shared" si="968"/>
        <v/>
      </c>
    </row>
    <row r="58787" spans="8:8" x14ac:dyDescent="0.3">
      <c r="H58787" t="str">
        <f t="shared" si="968"/>
        <v/>
      </c>
    </row>
    <row r="58788" spans="8:8" x14ac:dyDescent="0.3">
      <c r="H58788" t="str">
        <f t="shared" si="968"/>
        <v/>
      </c>
    </row>
    <row r="58789" spans="8:8" x14ac:dyDescent="0.3">
      <c r="H58789" t="str">
        <f t="shared" si="968"/>
        <v/>
      </c>
    </row>
    <row r="58790" spans="8:8" x14ac:dyDescent="0.3">
      <c r="H58790" t="str">
        <f t="shared" si="968"/>
        <v/>
      </c>
    </row>
    <row r="58791" spans="8:8" x14ac:dyDescent="0.3">
      <c r="H58791" t="str">
        <f t="shared" si="968"/>
        <v/>
      </c>
    </row>
    <row r="58792" spans="8:8" x14ac:dyDescent="0.3">
      <c r="H58792" t="str">
        <f t="shared" si="968"/>
        <v/>
      </c>
    </row>
    <row r="58793" spans="8:8" x14ac:dyDescent="0.3">
      <c r="H58793" t="str">
        <f t="shared" si="968"/>
        <v/>
      </c>
    </row>
    <row r="58794" spans="8:8" x14ac:dyDescent="0.3">
      <c r="H58794" t="str">
        <f t="shared" si="968"/>
        <v/>
      </c>
    </row>
    <row r="58795" spans="8:8" x14ac:dyDescent="0.3">
      <c r="H58795" t="str">
        <f t="shared" si="968"/>
        <v/>
      </c>
    </row>
    <row r="58796" spans="8:8" x14ac:dyDescent="0.3">
      <c r="H58796" t="str">
        <f t="shared" si="968"/>
        <v/>
      </c>
    </row>
    <row r="58797" spans="8:8" x14ac:dyDescent="0.3">
      <c r="H58797" t="str">
        <f t="shared" si="968"/>
        <v/>
      </c>
    </row>
    <row r="58798" spans="8:8" x14ac:dyDescent="0.3">
      <c r="H58798" t="str">
        <f t="shared" si="968"/>
        <v/>
      </c>
    </row>
    <row r="58799" spans="8:8" x14ac:dyDescent="0.3">
      <c r="H58799" t="str">
        <f t="shared" si="968"/>
        <v/>
      </c>
    </row>
    <row r="58800" spans="8:8" x14ac:dyDescent="0.3">
      <c r="H58800" t="str">
        <f t="shared" si="968"/>
        <v/>
      </c>
    </row>
    <row r="58801" spans="8:8" x14ac:dyDescent="0.3">
      <c r="H58801" t="str">
        <f t="shared" si="968"/>
        <v/>
      </c>
    </row>
    <row r="58802" spans="8:8" x14ac:dyDescent="0.3">
      <c r="H58802" t="str">
        <f t="shared" si="968"/>
        <v/>
      </c>
    </row>
    <row r="58803" spans="8:8" x14ac:dyDescent="0.3">
      <c r="H58803" t="str">
        <f t="shared" si="968"/>
        <v/>
      </c>
    </row>
    <row r="58804" spans="8:8" x14ac:dyDescent="0.3">
      <c r="H58804" t="str">
        <f t="shared" si="968"/>
        <v/>
      </c>
    </row>
    <row r="58805" spans="8:8" x14ac:dyDescent="0.3">
      <c r="H58805" t="str">
        <f t="shared" si="968"/>
        <v/>
      </c>
    </row>
    <row r="58806" spans="8:8" x14ac:dyDescent="0.3">
      <c r="H58806" t="str">
        <f t="shared" si="968"/>
        <v/>
      </c>
    </row>
    <row r="58807" spans="8:8" x14ac:dyDescent="0.3">
      <c r="H58807" t="str">
        <f t="shared" si="968"/>
        <v/>
      </c>
    </row>
    <row r="58808" spans="8:8" x14ac:dyDescent="0.3">
      <c r="H58808" t="str">
        <f t="shared" si="968"/>
        <v/>
      </c>
    </row>
    <row r="58809" spans="8:8" x14ac:dyDescent="0.3">
      <c r="H58809" t="str">
        <f t="shared" si="968"/>
        <v/>
      </c>
    </row>
    <row r="58810" spans="8:8" x14ac:dyDescent="0.3">
      <c r="H58810" t="str">
        <f t="shared" si="968"/>
        <v/>
      </c>
    </row>
    <row r="58811" spans="8:8" x14ac:dyDescent="0.3">
      <c r="H58811" t="str">
        <f t="shared" si="968"/>
        <v/>
      </c>
    </row>
    <row r="58812" spans="8:8" x14ac:dyDescent="0.3">
      <c r="H58812" t="str">
        <f t="shared" si="968"/>
        <v/>
      </c>
    </row>
    <row r="58813" spans="8:8" x14ac:dyDescent="0.3">
      <c r="H58813" t="str">
        <f t="shared" si="968"/>
        <v/>
      </c>
    </row>
    <row r="58814" spans="8:8" x14ac:dyDescent="0.3">
      <c r="H58814" t="str">
        <f t="shared" si="968"/>
        <v/>
      </c>
    </row>
    <row r="58815" spans="8:8" x14ac:dyDescent="0.3">
      <c r="H58815" t="str">
        <f t="shared" si="968"/>
        <v/>
      </c>
    </row>
    <row r="58816" spans="8:8" x14ac:dyDescent="0.3">
      <c r="H58816" t="str">
        <f t="shared" si="968"/>
        <v/>
      </c>
    </row>
    <row r="58817" spans="8:8" x14ac:dyDescent="0.3">
      <c r="H58817" t="str">
        <f t="shared" si="968"/>
        <v/>
      </c>
    </row>
    <row r="58818" spans="8:8" x14ac:dyDescent="0.3">
      <c r="H58818" t="str">
        <f t="shared" si="968"/>
        <v/>
      </c>
    </row>
    <row r="58819" spans="8:8" x14ac:dyDescent="0.3">
      <c r="H58819" t="str">
        <f t="shared" si="968"/>
        <v/>
      </c>
    </row>
    <row r="58820" spans="8:8" x14ac:dyDescent="0.3">
      <c r="H58820" t="str">
        <f t="shared" si="968"/>
        <v/>
      </c>
    </row>
    <row r="58821" spans="8:8" x14ac:dyDescent="0.3">
      <c r="H58821" t="str">
        <f t="shared" si="968"/>
        <v/>
      </c>
    </row>
    <row r="58822" spans="8:8" x14ac:dyDescent="0.3">
      <c r="H58822" t="str">
        <f t="shared" si="968"/>
        <v/>
      </c>
    </row>
    <row r="58823" spans="8:8" x14ac:dyDescent="0.3">
      <c r="H58823" t="str">
        <f t="shared" si="968"/>
        <v/>
      </c>
    </row>
    <row r="58824" spans="8:8" x14ac:dyDescent="0.3">
      <c r="H58824" t="str">
        <f t="shared" si="968"/>
        <v/>
      </c>
    </row>
    <row r="58825" spans="8:8" x14ac:dyDescent="0.3">
      <c r="H58825" t="str">
        <f t="shared" si="968"/>
        <v/>
      </c>
    </row>
    <row r="58826" spans="8:8" x14ac:dyDescent="0.3">
      <c r="H58826" t="str">
        <f t="shared" si="968"/>
        <v/>
      </c>
    </row>
    <row r="58827" spans="8:8" x14ac:dyDescent="0.3">
      <c r="H58827" t="str">
        <f t="shared" si="968"/>
        <v/>
      </c>
    </row>
    <row r="58828" spans="8:8" x14ac:dyDescent="0.3">
      <c r="H58828" t="str">
        <f t="shared" si="968"/>
        <v/>
      </c>
    </row>
    <row r="58829" spans="8:8" x14ac:dyDescent="0.3">
      <c r="H58829" t="str">
        <f t="shared" si="968"/>
        <v/>
      </c>
    </row>
    <row r="58830" spans="8:8" x14ac:dyDescent="0.3">
      <c r="H58830" t="str">
        <f t="shared" si="968"/>
        <v/>
      </c>
    </row>
    <row r="58831" spans="8:8" x14ac:dyDescent="0.3">
      <c r="H58831" t="str">
        <f t="shared" si="968"/>
        <v/>
      </c>
    </row>
    <row r="58832" spans="8:8" x14ac:dyDescent="0.3">
      <c r="H58832" t="str">
        <f t="shared" si="968"/>
        <v/>
      </c>
    </row>
    <row r="58833" spans="8:8" x14ac:dyDescent="0.3">
      <c r="H58833" t="str">
        <f t="shared" si="968"/>
        <v/>
      </c>
    </row>
    <row r="58834" spans="8:8" x14ac:dyDescent="0.3">
      <c r="H58834" t="str">
        <f t="shared" si="968"/>
        <v/>
      </c>
    </row>
    <row r="58835" spans="8:8" x14ac:dyDescent="0.3">
      <c r="H58835" t="str">
        <f t="shared" si="968"/>
        <v/>
      </c>
    </row>
    <row r="58836" spans="8:8" x14ac:dyDescent="0.3">
      <c r="H58836" t="str">
        <f t="shared" si="968"/>
        <v/>
      </c>
    </row>
    <row r="58837" spans="8:8" x14ac:dyDescent="0.3">
      <c r="H58837" t="str">
        <f t="shared" si="968"/>
        <v/>
      </c>
    </row>
    <row r="58838" spans="8:8" x14ac:dyDescent="0.3">
      <c r="H58838" t="str">
        <f t="shared" si="968"/>
        <v/>
      </c>
    </row>
    <row r="58839" spans="8:8" x14ac:dyDescent="0.3">
      <c r="H58839" t="str">
        <f t="shared" ref="H58839:H58902" si="969">IF(B58839="","",$C$12)</f>
        <v/>
      </c>
    </row>
    <row r="58840" spans="8:8" x14ac:dyDescent="0.3">
      <c r="H58840" t="str">
        <f t="shared" si="969"/>
        <v/>
      </c>
    </row>
    <row r="58841" spans="8:8" x14ac:dyDescent="0.3">
      <c r="H58841" t="str">
        <f t="shared" si="969"/>
        <v/>
      </c>
    </row>
    <row r="58842" spans="8:8" x14ac:dyDescent="0.3">
      <c r="H58842" t="str">
        <f t="shared" si="969"/>
        <v/>
      </c>
    </row>
    <row r="58843" spans="8:8" x14ac:dyDescent="0.3">
      <c r="H58843" t="str">
        <f t="shared" si="969"/>
        <v/>
      </c>
    </row>
    <row r="58844" spans="8:8" x14ac:dyDescent="0.3">
      <c r="H58844" t="str">
        <f t="shared" si="969"/>
        <v/>
      </c>
    </row>
    <row r="58845" spans="8:8" x14ac:dyDescent="0.3">
      <c r="H58845" t="str">
        <f t="shared" si="969"/>
        <v/>
      </c>
    </row>
    <row r="58846" spans="8:8" x14ac:dyDescent="0.3">
      <c r="H58846" t="str">
        <f t="shared" si="969"/>
        <v/>
      </c>
    </row>
    <row r="58847" spans="8:8" x14ac:dyDescent="0.3">
      <c r="H58847" t="str">
        <f t="shared" si="969"/>
        <v/>
      </c>
    </row>
    <row r="58848" spans="8:8" x14ac:dyDescent="0.3">
      <c r="H58848" t="str">
        <f t="shared" si="969"/>
        <v/>
      </c>
    </row>
    <row r="58849" spans="8:8" x14ac:dyDescent="0.3">
      <c r="H58849" t="str">
        <f t="shared" si="969"/>
        <v/>
      </c>
    </row>
    <row r="58850" spans="8:8" x14ac:dyDescent="0.3">
      <c r="H58850" t="str">
        <f t="shared" si="969"/>
        <v/>
      </c>
    </row>
    <row r="58851" spans="8:8" x14ac:dyDescent="0.3">
      <c r="H58851" t="str">
        <f t="shared" si="969"/>
        <v/>
      </c>
    </row>
    <row r="58852" spans="8:8" x14ac:dyDescent="0.3">
      <c r="H58852" t="str">
        <f t="shared" si="969"/>
        <v/>
      </c>
    </row>
    <row r="58853" spans="8:8" x14ac:dyDescent="0.3">
      <c r="H58853" t="str">
        <f t="shared" si="969"/>
        <v/>
      </c>
    </row>
    <row r="58854" spans="8:8" x14ac:dyDescent="0.3">
      <c r="H58854" t="str">
        <f t="shared" si="969"/>
        <v/>
      </c>
    </row>
    <row r="58855" spans="8:8" x14ac:dyDescent="0.3">
      <c r="H58855" t="str">
        <f t="shared" si="969"/>
        <v/>
      </c>
    </row>
    <row r="58856" spans="8:8" x14ac:dyDescent="0.3">
      <c r="H58856" t="str">
        <f t="shared" si="969"/>
        <v/>
      </c>
    </row>
    <row r="58857" spans="8:8" x14ac:dyDescent="0.3">
      <c r="H58857" t="str">
        <f t="shared" si="969"/>
        <v/>
      </c>
    </row>
    <row r="58858" spans="8:8" x14ac:dyDescent="0.3">
      <c r="H58858" t="str">
        <f t="shared" si="969"/>
        <v/>
      </c>
    </row>
    <row r="58859" spans="8:8" x14ac:dyDescent="0.3">
      <c r="H58859" t="str">
        <f t="shared" si="969"/>
        <v/>
      </c>
    </row>
    <row r="58860" spans="8:8" x14ac:dyDescent="0.3">
      <c r="H58860" t="str">
        <f t="shared" si="969"/>
        <v/>
      </c>
    </row>
    <row r="58861" spans="8:8" x14ac:dyDescent="0.3">
      <c r="H58861" t="str">
        <f t="shared" si="969"/>
        <v/>
      </c>
    </row>
    <row r="58862" spans="8:8" x14ac:dyDescent="0.3">
      <c r="H58862" t="str">
        <f t="shared" si="969"/>
        <v/>
      </c>
    </row>
    <row r="58863" spans="8:8" x14ac:dyDescent="0.3">
      <c r="H58863" t="str">
        <f t="shared" si="969"/>
        <v/>
      </c>
    </row>
    <row r="58864" spans="8:8" x14ac:dyDescent="0.3">
      <c r="H58864" t="str">
        <f t="shared" si="969"/>
        <v/>
      </c>
    </row>
    <row r="58865" spans="8:8" x14ac:dyDescent="0.3">
      <c r="H58865" t="str">
        <f t="shared" si="969"/>
        <v/>
      </c>
    </row>
    <row r="58866" spans="8:8" x14ac:dyDescent="0.3">
      <c r="H58866" t="str">
        <f t="shared" si="969"/>
        <v/>
      </c>
    </row>
    <row r="58867" spans="8:8" x14ac:dyDescent="0.3">
      <c r="H58867" t="str">
        <f t="shared" si="969"/>
        <v/>
      </c>
    </row>
    <row r="58868" spans="8:8" x14ac:dyDescent="0.3">
      <c r="H58868" t="str">
        <f t="shared" si="969"/>
        <v/>
      </c>
    </row>
    <row r="58869" spans="8:8" x14ac:dyDescent="0.3">
      <c r="H58869" t="str">
        <f t="shared" si="969"/>
        <v/>
      </c>
    </row>
    <row r="58870" spans="8:8" x14ac:dyDescent="0.3">
      <c r="H58870" t="str">
        <f t="shared" si="969"/>
        <v/>
      </c>
    </row>
    <row r="58871" spans="8:8" x14ac:dyDescent="0.3">
      <c r="H58871" t="str">
        <f t="shared" si="969"/>
        <v/>
      </c>
    </row>
    <row r="58872" spans="8:8" x14ac:dyDescent="0.3">
      <c r="H58872" t="str">
        <f t="shared" si="969"/>
        <v/>
      </c>
    </row>
    <row r="58873" spans="8:8" x14ac:dyDescent="0.3">
      <c r="H58873" t="str">
        <f t="shared" si="969"/>
        <v/>
      </c>
    </row>
    <row r="58874" spans="8:8" x14ac:dyDescent="0.3">
      <c r="H58874" t="str">
        <f t="shared" si="969"/>
        <v/>
      </c>
    </row>
    <row r="58875" spans="8:8" x14ac:dyDescent="0.3">
      <c r="H58875" t="str">
        <f t="shared" si="969"/>
        <v/>
      </c>
    </row>
    <row r="58876" spans="8:8" x14ac:dyDescent="0.3">
      <c r="H58876" t="str">
        <f t="shared" si="969"/>
        <v/>
      </c>
    </row>
    <row r="58877" spans="8:8" x14ac:dyDescent="0.3">
      <c r="H58877" t="str">
        <f t="shared" si="969"/>
        <v/>
      </c>
    </row>
    <row r="58878" spans="8:8" x14ac:dyDescent="0.3">
      <c r="H58878" t="str">
        <f t="shared" si="969"/>
        <v/>
      </c>
    </row>
    <row r="58879" spans="8:8" x14ac:dyDescent="0.3">
      <c r="H58879" t="str">
        <f t="shared" si="969"/>
        <v/>
      </c>
    </row>
    <row r="58880" spans="8:8" x14ac:dyDescent="0.3">
      <c r="H58880" t="str">
        <f t="shared" si="969"/>
        <v/>
      </c>
    </row>
    <row r="58881" spans="8:8" x14ac:dyDescent="0.3">
      <c r="H58881" t="str">
        <f t="shared" si="969"/>
        <v/>
      </c>
    </row>
    <row r="58882" spans="8:8" x14ac:dyDescent="0.3">
      <c r="H58882" t="str">
        <f t="shared" si="969"/>
        <v/>
      </c>
    </row>
    <row r="58883" spans="8:8" x14ac:dyDescent="0.3">
      <c r="H58883" t="str">
        <f t="shared" si="969"/>
        <v/>
      </c>
    </row>
    <row r="58884" spans="8:8" x14ac:dyDescent="0.3">
      <c r="H58884" t="str">
        <f t="shared" si="969"/>
        <v/>
      </c>
    </row>
    <row r="58885" spans="8:8" x14ac:dyDescent="0.3">
      <c r="H58885" t="str">
        <f t="shared" si="969"/>
        <v/>
      </c>
    </row>
    <row r="58886" spans="8:8" x14ac:dyDescent="0.3">
      <c r="H58886" t="str">
        <f t="shared" si="969"/>
        <v/>
      </c>
    </row>
    <row r="58887" spans="8:8" x14ac:dyDescent="0.3">
      <c r="H58887" t="str">
        <f t="shared" si="969"/>
        <v/>
      </c>
    </row>
    <row r="58888" spans="8:8" x14ac:dyDescent="0.3">
      <c r="H58888" t="str">
        <f t="shared" si="969"/>
        <v/>
      </c>
    </row>
    <row r="58889" spans="8:8" x14ac:dyDescent="0.3">
      <c r="H58889" t="str">
        <f t="shared" si="969"/>
        <v/>
      </c>
    </row>
    <row r="58890" spans="8:8" x14ac:dyDescent="0.3">
      <c r="H58890" t="str">
        <f t="shared" si="969"/>
        <v/>
      </c>
    </row>
    <row r="58891" spans="8:8" x14ac:dyDescent="0.3">
      <c r="H58891" t="str">
        <f t="shared" si="969"/>
        <v/>
      </c>
    </row>
    <row r="58892" spans="8:8" x14ac:dyDescent="0.3">
      <c r="H58892" t="str">
        <f t="shared" si="969"/>
        <v/>
      </c>
    </row>
    <row r="58893" spans="8:8" x14ac:dyDescent="0.3">
      <c r="H58893" t="str">
        <f t="shared" si="969"/>
        <v/>
      </c>
    </row>
    <row r="58894" spans="8:8" x14ac:dyDescent="0.3">
      <c r="H58894" t="str">
        <f t="shared" si="969"/>
        <v/>
      </c>
    </row>
    <row r="58895" spans="8:8" x14ac:dyDescent="0.3">
      <c r="H58895" t="str">
        <f t="shared" si="969"/>
        <v/>
      </c>
    </row>
    <row r="58896" spans="8:8" x14ac:dyDescent="0.3">
      <c r="H58896" t="str">
        <f t="shared" si="969"/>
        <v/>
      </c>
    </row>
    <row r="58897" spans="8:8" x14ac:dyDescent="0.3">
      <c r="H58897" t="str">
        <f t="shared" si="969"/>
        <v/>
      </c>
    </row>
    <row r="58898" spans="8:8" x14ac:dyDescent="0.3">
      <c r="H58898" t="str">
        <f t="shared" si="969"/>
        <v/>
      </c>
    </row>
    <row r="58899" spans="8:8" x14ac:dyDescent="0.3">
      <c r="H58899" t="str">
        <f t="shared" si="969"/>
        <v/>
      </c>
    </row>
    <row r="58900" spans="8:8" x14ac:dyDescent="0.3">
      <c r="H58900" t="str">
        <f t="shared" si="969"/>
        <v/>
      </c>
    </row>
    <row r="58901" spans="8:8" x14ac:dyDescent="0.3">
      <c r="H58901" t="str">
        <f t="shared" si="969"/>
        <v/>
      </c>
    </row>
    <row r="58902" spans="8:8" x14ac:dyDescent="0.3">
      <c r="H58902" t="str">
        <f t="shared" si="969"/>
        <v/>
      </c>
    </row>
    <row r="58903" spans="8:8" x14ac:dyDescent="0.3">
      <c r="H58903" t="str">
        <f t="shared" ref="H58903:H58966" si="970">IF(B58903="","",$C$12)</f>
        <v/>
      </c>
    </row>
    <row r="58904" spans="8:8" x14ac:dyDescent="0.3">
      <c r="H58904" t="str">
        <f t="shared" si="970"/>
        <v/>
      </c>
    </row>
    <row r="58905" spans="8:8" x14ac:dyDescent="0.3">
      <c r="H58905" t="str">
        <f t="shared" si="970"/>
        <v/>
      </c>
    </row>
    <row r="58906" spans="8:8" x14ac:dyDescent="0.3">
      <c r="H58906" t="str">
        <f t="shared" si="970"/>
        <v/>
      </c>
    </row>
    <row r="58907" spans="8:8" x14ac:dyDescent="0.3">
      <c r="H58907" t="str">
        <f t="shared" si="970"/>
        <v/>
      </c>
    </row>
    <row r="58908" spans="8:8" x14ac:dyDescent="0.3">
      <c r="H58908" t="str">
        <f t="shared" si="970"/>
        <v/>
      </c>
    </row>
    <row r="58909" spans="8:8" x14ac:dyDescent="0.3">
      <c r="H58909" t="str">
        <f t="shared" si="970"/>
        <v/>
      </c>
    </row>
    <row r="58910" spans="8:8" x14ac:dyDescent="0.3">
      <c r="H58910" t="str">
        <f t="shared" si="970"/>
        <v/>
      </c>
    </row>
    <row r="58911" spans="8:8" x14ac:dyDescent="0.3">
      <c r="H58911" t="str">
        <f t="shared" si="970"/>
        <v/>
      </c>
    </row>
    <row r="58912" spans="8:8" x14ac:dyDescent="0.3">
      <c r="H58912" t="str">
        <f t="shared" si="970"/>
        <v/>
      </c>
    </row>
    <row r="58913" spans="8:8" x14ac:dyDescent="0.3">
      <c r="H58913" t="str">
        <f t="shared" si="970"/>
        <v/>
      </c>
    </row>
    <row r="58914" spans="8:8" x14ac:dyDescent="0.3">
      <c r="H58914" t="str">
        <f t="shared" si="970"/>
        <v/>
      </c>
    </row>
    <row r="58915" spans="8:8" x14ac:dyDescent="0.3">
      <c r="H58915" t="str">
        <f t="shared" si="970"/>
        <v/>
      </c>
    </row>
    <row r="58916" spans="8:8" x14ac:dyDescent="0.3">
      <c r="H58916" t="str">
        <f t="shared" si="970"/>
        <v/>
      </c>
    </row>
    <row r="58917" spans="8:8" x14ac:dyDescent="0.3">
      <c r="H58917" t="str">
        <f t="shared" si="970"/>
        <v/>
      </c>
    </row>
    <row r="58918" spans="8:8" x14ac:dyDescent="0.3">
      <c r="H58918" t="str">
        <f t="shared" si="970"/>
        <v/>
      </c>
    </row>
    <row r="58919" spans="8:8" x14ac:dyDescent="0.3">
      <c r="H58919" t="str">
        <f t="shared" si="970"/>
        <v/>
      </c>
    </row>
    <row r="58920" spans="8:8" x14ac:dyDescent="0.3">
      <c r="H58920" t="str">
        <f t="shared" si="970"/>
        <v/>
      </c>
    </row>
    <row r="58921" spans="8:8" x14ac:dyDescent="0.3">
      <c r="H58921" t="str">
        <f t="shared" si="970"/>
        <v/>
      </c>
    </row>
    <row r="58922" spans="8:8" x14ac:dyDescent="0.3">
      <c r="H58922" t="str">
        <f t="shared" si="970"/>
        <v/>
      </c>
    </row>
    <row r="58923" spans="8:8" x14ac:dyDescent="0.3">
      <c r="H58923" t="str">
        <f t="shared" si="970"/>
        <v/>
      </c>
    </row>
    <row r="58924" spans="8:8" x14ac:dyDescent="0.3">
      <c r="H58924" t="str">
        <f t="shared" si="970"/>
        <v/>
      </c>
    </row>
    <row r="58925" spans="8:8" x14ac:dyDescent="0.3">
      <c r="H58925" t="str">
        <f t="shared" si="970"/>
        <v/>
      </c>
    </row>
    <row r="58926" spans="8:8" x14ac:dyDescent="0.3">
      <c r="H58926" t="str">
        <f t="shared" si="970"/>
        <v/>
      </c>
    </row>
    <row r="58927" spans="8:8" x14ac:dyDescent="0.3">
      <c r="H58927" t="str">
        <f t="shared" si="970"/>
        <v/>
      </c>
    </row>
    <row r="58928" spans="8:8" x14ac:dyDescent="0.3">
      <c r="H58928" t="str">
        <f t="shared" si="970"/>
        <v/>
      </c>
    </row>
    <row r="58929" spans="8:8" x14ac:dyDescent="0.3">
      <c r="H58929" t="str">
        <f t="shared" si="970"/>
        <v/>
      </c>
    </row>
    <row r="58930" spans="8:8" x14ac:dyDescent="0.3">
      <c r="H58930" t="str">
        <f t="shared" si="970"/>
        <v/>
      </c>
    </row>
    <row r="58931" spans="8:8" x14ac:dyDescent="0.3">
      <c r="H58931" t="str">
        <f t="shared" si="970"/>
        <v/>
      </c>
    </row>
    <row r="58932" spans="8:8" x14ac:dyDescent="0.3">
      <c r="H58932" t="str">
        <f t="shared" si="970"/>
        <v/>
      </c>
    </row>
    <row r="58933" spans="8:8" x14ac:dyDescent="0.3">
      <c r="H58933" t="str">
        <f t="shared" si="970"/>
        <v/>
      </c>
    </row>
    <row r="58934" spans="8:8" x14ac:dyDescent="0.3">
      <c r="H58934" t="str">
        <f t="shared" si="970"/>
        <v/>
      </c>
    </row>
    <row r="58935" spans="8:8" x14ac:dyDescent="0.3">
      <c r="H58935" t="str">
        <f t="shared" si="970"/>
        <v/>
      </c>
    </row>
    <row r="58936" spans="8:8" x14ac:dyDescent="0.3">
      <c r="H58936" t="str">
        <f t="shared" si="970"/>
        <v/>
      </c>
    </row>
    <row r="58937" spans="8:8" x14ac:dyDescent="0.3">
      <c r="H58937" t="str">
        <f t="shared" si="970"/>
        <v/>
      </c>
    </row>
    <row r="58938" spans="8:8" x14ac:dyDescent="0.3">
      <c r="H58938" t="str">
        <f t="shared" si="970"/>
        <v/>
      </c>
    </row>
    <row r="58939" spans="8:8" x14ac:dyDescent="0.3">
      <c r="H58939" t="str">
        <f t="shared" si="970"/>
        <v/>
      </c>
    </row>
    <row r="58940" spans="8:8" x14ac:dyDescent="0.3">
      <c r="H58940" t="str">
        <f t="shared" si="970"/>
        <v/>
      </c>
    </row>
    <row r="58941" spans="8:8" x14ac:dyDescent="0.3">
      <c r="H58941" t="str">
        <f t="shared" si="970"/>
        <v/>
      </c>
    </row>
    <row r="58942" spans="8:8" x14ac:dyDescent="0.3">
      <c r="H58942" t="str">
        <f t="shared" si="970"/>
        <v/>
      </c>
    </row>
    <row r="58943" spans="8:8" x14ac:dyDescent="0.3">
      <c r="H58943" t="str">
        <f t="shared" si="970"/>
        <v/>
      </c>
    </row>
    <row r="58944" spans="8:8" x14ac:dyDescent="0.3">
      <c r="H58944" t="str">
        <f t="shared" si="970"/>
        <v/>
      </c>
    </row>
    <row r="58945" spans="8:8" x14ac:dyDescent="0.3">
      <c r="H58945" t="str">
        <f t="shared" si="970"/>
        <v/>
      </c>
    </row>
    <row r="58946" spans="8:8" x14ac:dyDescent="0.3">
      <c r="H58946" t="str">
        <f t="shared" si="970"/>
        <v/>
      </c>
    </row>
    <row r="58947" spans="8:8" x14ac:dyDescent="0.3">
      <c r="H58947" t="str">
        <f t="shared" si="970"/>
        <v/>
      </c>
    </row>
    <row r="58948" spans="8:8" x14ac:dyDescent="0.3">
      <c r="H58948" t="str">
        <f t="shared" si="970"/>
        <v/>
      </c>
    </row>
    <row r="58949" spans="8:8" x14ac:dyDescent="0.3">
      <c r="H58949" t="str">
        <f t="shared" si="970"/>
        <v/>
      </c>
    </row>
    <row r="58950" spans="8:8" x14ac:dyDescent="0.3">
      <c r="H58950" t="str">
        <f t="shared" si="970"/>
        <v/>
      </c>
    </row>
    <row r="58951" spans="8:8" x14ac:dyDescent="0.3">
      <c r="H58951" t="str">
        <f t="shared" si="970"/>
        <v/>
      </c>
    </row>
    <row r="58952" spans="8:8" x14ac:dyDescent="0.3">
      <c r="H58952" t="str">
        <f t="shared" si="970"/>
        <v/>
      </c>
    </row>
    <row r="58953" spans="8:8" x14ac:dyDescent="0.3">
      <c r="H58953" t="str">
        <f t="shared" si="970"/>
        <v/>
      </c>
    </row>
    <row r="58954" spans="8:8" x14ac:dyDescent="0.3">
      <c r="H58954" t="str">
        <f t="shared" si="970"/>
        <v/>
      </c>
    </row>
    <row r="58955" spans="8:8" x14ac:dyDescent="0.3">
      <c r="H58955" t="str">
        <f t="shared" si="970"/>
        <v/>
      </c>
    </row>
    <row r="58956" spans="8:8" x14ac:dyDescent="0.3">
      <c r="H58956" t="str">
        <f t="shared" si="970"/>
        <v/>
      </c>
    </row>
    <row r="58957" spans="8:8" x14ac:dyDescent="0.3">
      <c r="H58957" t="str">
        <f t="shared" si="970"/>
        <v/>
      </c>
    </row>
    <row r="58958" spans="8:8" x14ac:dyDescent="0.3">
      <c r="H58958" t="str">
        <f t="shared" si="970"/>
        <v/>
      </c>
    </row>
    <row r="58959" spans="8:8" x14ac:dyDescent="0.3">
      <c r="H58959" t="str">
        <f t="shared" si="970"/>
        <v/>
      </c>
    </row>
    <row r="58960" spans="8:8" x14ac:dyDescent="0.3">
      <c r="H58960" t="str">
        <f t="shared" si="970"/>
        <v/>
      </c>
    </row>
    <row r="58961" spans="8:8" x14ac:dyDescent="0.3">
      <c r="H58961" t="str">
        <f t="shared" si="970"/>
        <v/>
      </c>
    </row>
    <row r="58962" spans="8:8" x14ac:dyDescent="0.3">
      <c r="H58962" t="str">
        <f t="shared" si="970"/>
        <v/>
      </c>
    </row>
    <row r="58963" spans="8:8" x14ac:dyDescent="0.3">
      <c r="H58963" t="str">
        <f t="shared" si="970"/>
        <v/>
      </c>
    </row>
    <row r="58964" spans="8:8" x14ac:dyDescent="0.3">
      <c r="H58964" t="str">
        <f t="shared" si="970"/>
        <v/>
      </c>
    </row>
    <row r="58965" spans="8:8" x14ac:dyDescent="0.3">
      <c r="H58965" t="str">
        <f t="shared" si="970"/>
        <v/>
      </c>
    </row>
    <row r="58966" spans="8:8" x14ac:dyDescent="0.3">
      <c r="H58966" t="str">
        <f t="shared" si="970"/>
        <v/>
      </c>
    </row>
    <row r="58967" spans="8:8" x14ac:dyDescent="0.3">
      <c r="H58967" t="str">
        <f t="shared" ref="H58967:H59030" si="971">IF(B58967="","",$C$12)</f>
        <v/>
      </c>
    </row>
    <row r="58968" spans="8:8" x14ac:dyDescent="0.3">
      <c r="H58968" t="str">
        <f t="shared" si="971"/>
        <v/>
      </c>
    </row>
    <row r="58969" spans="8:8" x14ac:dyDescent="0.3">
      <c r="H58969" t="str">
        <f t="shared" si="971"/>
        <v/>
      </c>
    </row>
    <row r="58970" spans="8:8" x14ac:dyDescent="0.3">
      <c r="H58970" t="str">
        <f t="shared" si="971"/>
        <v/>
      </c>
    </row>
    <row r="58971" spans="8:8" x14ac:dyDescent="0.3">
      <c r="H58971" t="str">
        <f t="shared" si="971"/>
        <v/>
      </c>
    </row>
    <row r="58972" spans="8:8" x14ac:dyDescent="0.3">
      <c r="H58972" t="str">
        <f t="shared" si="971"/>
        <v/>
      </c>
    </row>
    <row r="58973" spans="8:8" x14ac:dyDescent="0.3">
      <c r="H58973" t="str">
        <f t="shared" si="971"/>
        <v/>
      </c>
    </row>
    <row r="58974" spans="8:8" x14ac:dyDescent="0.3">
      <c r="H58974" t="str">
        <f t="shared" si="971"/>
        <v/>
      </c>
    </row>
    <row r="58975" spans="8:8" x14ac:dyDescent="0.3">
      <c r="H58975" t="str">
        <f t="shared" si="971"/>
        <v/>
      </c>
    </row>
    <row r="58976" spans="8:8" x14ac:dyDescent="0.3">
      <c r="H58976" t="str">
        <f t="shared" si="971"/>
        <v/>
      </c>
    </row>
    <row r="58977" spans="8:8" x14ac:dyDescent="0.3">
      <c r="H58977" t="str">
        <f t="shared" si="971"/>
        <v/>
      </c>
    </row>
    <row r="58978" spans="8:8" x14ac:dyDescent="0.3">
      <c r="H58978" t="str">
        <f t="shared" si="971"/>
        <v/>
      </c>
    </row>
    <row r="58979" spans="8:8" x14ac:dyDescent="0.3">
      <c r="H58979" t="str">
        <f t="shared" si="971"/>
        <v/>
      </c>
    </row>
    <row r="58980" spans="8:8" x14ac:dyDescent="0.3">
      <c r="H58980" t="str">
        <f t="shared" si="971"/>
        <v/>
      </c>
    </row>
    <row r="58981" spans="8:8" x14ac:dyDescent="0.3">
      <c r="H58981" t="str">
        <f t="shared" si="971"/>
        <v/>
      </c>
    </row>
    <row r="58982" spans="8:8" x14ac:dyDescent="0.3">
      <c r="H58982" t="str">
        <f t="shared" si="971"/>
        <v/>
      </c>
    </row>
    <row r="58983" spans="8:8" x14ac:dyDescent="0.3">
      <c r="H58983" t="str">
        <f t="shared" si="971"/>
        <v/>
      </c>
    </row>
    <row r="58984" spans="8:8" x14ac:dyDescent="0.3">
      <c r="H58984" t="str">
        <f t="shared" si="971"/>
        <v/>
      </c>
    </row>
    <row r="58985" spans="8:8" x14ac:dyDescent="0.3">
      <c r="H58985" t="str">
        <f t="shared" si="971"/>
        <v/>
      </c>
    </row>
    <row r="58986" spans="8:8" x14ac:dyDescent="0.3">
      <c r="H58986" t="str">
        <f t="shared" si="971"/>
        <v/>
      </c>
    </row>
    <row r="58987" spans="8:8" x14ac:dyDescent="0.3">
      <c r="H58987" t="str">
        <f t="shared" si="971"/>
        <v/>
      </c>
    </row>
    <row r="58988" spans="8:8" x14ac:dyDescent="0.3">
      <c r="H58988" t="str">
        <f t="shared" si="971"/>
        <v/>
      </c>
    </row>
    <row r="58989" spans="8:8" x14ac:dyDescent="0.3">
      <c r="H58989" t="str">
        <f t="shared" si="971"/>
        <v/>
      </c>
    </row>
    <row r="58990" spans="8:8" x14ac:dyDescent="0.3">
      <c r="H58990" t="str">
        <f t="shared" si="971"/>
        <v/>
      </c>
    </row>
    <row r="58991" spans="8:8" x14ac:dyDescent="0.3">
      <c r="H58991" t="str">
        <f t="shared" si="971"/>
        <v/>
      </c>
    </row>
    <row r="58992" spans="8:8" x14ac:dyDescent="0.3">
      <c r="H58992" t="str">
        <f t="shared" si="971"/>
        <v/>
      </c>
    </row>
    <row r="58993" spans="8:8" x14ac:dyDescent="0.3">
      <c r="H58993" t="str">
        <f t="shared" si="971"/>
        <v/>
      </c>
    </row>
    <row r="58994" spans="8:8" x14ac:dyDescent="0.3">
      <c r="H58994" t="str">
        <f t="shared" si="971"/>
        <v/>
      </c>
    </row>
    <row r="58995" spans="8:8" x14ac:dyDescent="0.3">
      <c r="H58995" t="str">
        <f t="shared" si="971"/>
        <v/>
      </c>
    </row>
    <row r="58996" spans="8:8" x14ac:dyDescent="0.3">
      <c r="H58996" t="str">
        <f t="shared" si="971"/>
        <v/>
      </c>
    </row>
    <row r="58997" spans="8:8" x14ac:dyDescent="0.3">
      <c r="H58997" t="str">
        <f t="shared" si="971"/>
        <v/>
      </c>
    </row>
    <row r="58998" spans="8:8" x14ac:dyDescent="0.3">
      <c r="H58998" t="str">
        <f t="shared" si="971"/>
        <v/>
      </c>
    </row>
    <row r="58999" spans="8:8" x14ac:dyDescent="0.3">
      <c r="H58999" t="str">
        <f t="shared" si="971"/>
        <v/>
      </c>
    </row>
    <row r="59000" spans="8:8" x14ac:dyDescent="0.3">
      <c r="H59000" t="str">
        <f t="shared" si="971"/>
        <v/>
      </c>
    </row>
    <row r="59001" spans="8:8" x14ac:dyDescent="0.3">
      <c r="H59001" t="str">
        <f t="shared" si="971"/>
        <v/>
      </c>
    </row>
    <row r="59002" spans="8:8" x14ac:dyDescent="0.3">
      <c r="H59002" t="str">
        <f t="shared" si="971"/>
        <v/>
      </c>
    </row>
    <row r="59003" spans="8:8" x14ac:dyDescent="0.3">
      <c r="H59003" t="str">
        <f t="shared" si="971"/>
        <v/>
      </c>
    </row>
    <row r="59004" spans="8:8" x14ac:dyDescent="0.3">
      <c r="H59004" t="str">
        <f t="shared" si="971"/>
        <v/>
      </c>
    </row>
    <row r="59005" spans="8:8" x14ac:dyDescent="0.3">
      <c r="H59005" t="str">
        <f t="shared" si="971"/>
        <v/>
      </c>
    </row>
    <row r="59006" spans="8:8" x14ac:dyDescent="0.3">
      <c r="H59006" t="str">
        <f t="shared" si="971"/>
        <v/>
      </c>
    </row>
    <row r="59007" spans="8:8" x14ac:dyDescent="0.3">
      <c r="H59007" t="str">
        <f t="shared" si="971"/>
        <v/>
      </c>
    </row>
    <row r="59008" spans="8:8" x14ac:dyDescent="0.3">
      <c r="H59008" t="str">
        <f t="shared" si="971"/>
        <v/>
      </c>
    </row>
    <row r="59009" spans="8:8" x14ac:dyDescent="0.3">
      <c r="H59009" t="str">
        <f t="shared" si="971"/>
        <v/>
      </c>
    </row>
    <row r="59010" spans="8:8" x14ac:dyDescent="0.3">
      <c r="H59010" t="str">
        <f t="shared" si="971"/>
        <v/>
      </c>
    </row>
    <row r="59011" spans="8:8" x14ac:dyDescent="0.3">
      <c r="H59011" t="str">
        <f t="shared" si="971"/>
        <v/>
      </c>
    </row>
    <row r="59012" spans="8:8" x14ac:dyDescent="0.3">
      <c r="H59012" t="str">
        <f t="shared" si="971"/>
        <v/>
      </c>
    </row>
    <row r="59013" spans="8:8" x14ac:dyDescent="0.3">
      <c r="H59013" t="str">
        <f t="shared" si="971"/>
        <v/>
      </c>
    </row>
    <row r="59014" spans="8:8" x14ac:dyDescent="0.3">
      <c r="H59014" t="str">
        <f t="shared" si="971"/>
        <v/>
      </c>
    </row>
    <row r="59015" spans="8:8" x14ac:dyDescent="0.3">
      <c r="H59015" t="str">
        <f t="shared" si="971"/>
        <v/>
      </c>
    </row>
    <row r="59016" spans="8:8" x14ac:dyDescent="0.3">
      <c r="H59016" t="str">
        <f t="shared" si="971"/>
        <v/>
      </c>
    </row>
    <row r="59017" spans="8:8" x14ac:dyDescent="0.3">
      <c r="H59017" t="str">
        <f t="shared" si="971"/>
        <v/>
      </c>
    </row>
    <row r="59018" spans="8:8" x14ac:dyDescent="0.3">
      <c r="H59018" t="str">
        <f t="shared" si="971"/>
        <v/>
      </c>
    </row>
    <row r="59019" spans="8:8" x14ac:dyDescent="0.3">
      <c r="H59019" t="str">
        <f t="shared" si="971"/>
        <v/>
      </c>
    </row>
    <row r="59020" spans="8:8" x14ac:dyDescent="0.3">
      <c r="H59020" t="str">
        <f t="shared" si="971"/>
        <v/>
      </c>
    </row>
    <row r="59021" spans="8:8" x14ac:dyDescent="0.3">
      <c r="H59021" t="str">
        <f t="shared" si="971"/>
        <v/>
      </c>
    </row>
    <row r="59022" spans="8:8" x14ac:dyDescent="0.3">
      <c r="H59022" t="str">
        <f t="shared" si="971"/>
        <v/>
      </c>
    </row>
    <row r="59023" spans="8:8" x14ac:dyDescent="0.3">
      <c r="H59023" t="str">
        <f t="shared" si="971"/>
        <v/>
      </c>
    </row>
    <row r="59024" spans="8:8" x14ac:dyDescent="0.3">
      <c r="H59024" t="str">
        <f t="shared" si="971"/>
        <v/>
      </c>
    </row>
    <row r="59025" spans="8:8" x14ac:dyDescent="0.3">
      <c r="H59025" t="str">
        <f t="shared" si="971"/>
        <v/>
      </c>
    </row>
    <row r="59026" spans="8:8" x14ac:dyDescent="0.3">
      <c r="H59026" t="str">
        <f t="shared" si="971"/>
        <v/>
      </c>
    </row>
    <row r="59027" spans="8:8" x14ac:dyDescent="0.3">
      <c r="H59027" t="str">
        <f t="shared" si="971"/>
        <v/>
      </c>
    </row>
    <row r="59028" spans="8:8" x14ac:dyDescent="0.3">
      <c r="H59028" t="str">
        <f t="shared" si="971"/>
        <v/>
      </c>
    </row>
    <row r="59029" spans="8:8" x14ac:dyDescent="0.3">
      <c r="H59029" t="str">
        <f t="shared" si="971"/>
        <v/>
      </c>
    </row>
    <row r="59030" spans="8:8" x14ac:dyDescent="0.3">
      <c r="H59030" t="str">
        <f t="shared" si="971"/>
        <v/>
      </c>
    </row>
    <row r="59031" spans="8:8" x14ac:dyDescent="0.3">
      <c r="H59031" t="str">
        <f t="shared" ref="H59031:H59094" si="972">IF(B59031="","",$C$12)</f>
        <v/>
      </c>
    </row>
    <row r="59032" spans="8:8" x14ac:dyDescent="0.3">
      <c r="H59032" t="str">
        <f t="shared" si="972"/>
        <v/>
      </c>
    </row>
    <row r="59033" spans="8:8" x14ac:dyDescent="0.3">
      <c r="H59033" t="str">
        <f t="shared" si="972"/>
        <v/>
      </c>
    </row>
    <row r="59034" spans="8:8" x14ac:dyDescent="0.3">
      <c r="H59034" t="str">
        <f t="shared" si="972"/>
        <v/>
      </c>
    </row>
    <row r="59035" spans="8:8" x14ac:dyDescent="0.3">
      <c r="H59035" t="str">
        <f t="shared" si="972"/>
        <v/>
      </c>
    </row>
    <row r="59036" spans="8:8" x14ac:dyDescent="0.3">
      <c r="H59036" t="str">
        <f t="shared" si="972"/>
        <v/>
      </c>
    </row>
    <row r="59037" spans="8:8" x14ac:dyDescent="0.3">
      <c r="H59037" t="str">
        <f t="shared" si="972"/>
        <v/>
      </c>
    </row>
    <row r="59038" spans="8:8" x14ac:dyDescent="0.3">
      <c r="H59038" t="str">
        <f t="shared" si="972"/>
        <v/>
      </c>
    </row>
    <row r="59039" spans="8:8" x14ac:dyDescent="0.3">
      <c r="H59039" t="str">
        <f t="shared" si="972"/>
        <v/>
      </c>
    </row>
    <row r="59040" spans="8:8" x14ac:dyDescent="0.3">
      <c r="H59040" t="str">
        <f t="shared" si="972"/>
        <v/>
      </c>
    </row>
    <row r="59041" spans="8:8" x14ac:dyDescent="0.3">
      <c r="H59041" t="str">
        <f t="shared" si="972"/>
        <v/>
      </c>
    </row>
    <row r="59042" spans="8:8" x14ac:dyDescent="0.3">
      <c r="H59042" t="str">
        <f t="shared" si="972"/>
        <v/>
      </c>
    </row>
    <row r="59043" spans="8:8" x14ac:dyDescent="0.3">
      <c r="H59043" t="str">
        <f t="shared" si="972"/>
        <v/>
      </c>
    </row>
    <row r="59044" spans="8:8" x14ac:dyDescent="0.3">
      <c r="H59044" t="str">
        <f t="shared" si="972"/>
        <v/>
      </c>
    </row>
    <row r="59045" spans="8:8" x14ac:dyDescent="0.3">
      <c r="H59045" t="str">
        <f t="shared" si="972"/>
        <v/>
      </c>
    </row>
    <row r="59046" spans="8:8" x14ac:dyDescent="0.3">
      <c r="H59046" t="str">
        <f t="shared" si="972"/>
        <v/>
      </c>
    </row>
    <row r="59047" spans="8:8" x14ac:dyDescent="0.3">
      <c r="H59047" t="str">
        <f t="shared" si="972"/>
        <v/>
      </c>
    </row>
    <row r="59048" spans="8:8" x14ac:dyDescent="0.3">
      <c r="H59048" t="str">
        <f t="shared" si="972"/>
        <v/>
      </c>
    </row>
    <row r="59049" spans="8:8" x14ac:dyDescent="0.3">
      <c r="H59049" t="str">
        <f t="shared" si="972"/>
        <v/>
      </c>
    </row>
    <row r="59050" spans="8:8" x14ac:dyDescent="0.3">
      <c r="H59050" t="str">
        <f t="shared" si="972"/>
        <v/>
      </c>
    </row>
    <row r="59051" spans="8:8" x14ac:dyDescent="0.3">
      <c r="H59051" t="str">
        <f t="shared" si="972"/>
        <v/>
      </c>
    </row>
    <row r="59052" spans="8:8" x14ac:dyDescent="0.3">
      <c r="H59052" t="str">
        <f t="shared" si="972"/>
        <v/>
      </c>
    </row>
    <row r="59053" spans="8:8" x14ac:dyDescent="0.3">
      <c r="H59053" t="str">
        <f t="shared" si="972"/>
        <v/>
      </c>
    </row>
    <row r="59054" spans="8:8" x14ac:dyDescent="0.3">
      <c r="H59054" t="str">
        <f t="shared" si="972"/>
        <v/>
      </c>
    </row>
    <row r="59055" spans="8:8" x14ac:dyDescent="0.3">
      <c r="H59055" t="str">
        <f t="shared" si="972"/>
        <v/>
      </c>
    </row>
    <row r="59056" spans="8:8" x14ac:dyDescent="0.3">
      <c r="H59056" t="str">
        <f t="shared" si="972"/>
        <v/>
      </c>
    </row>
    <row r="59057" spans="8:8" x14ac:dyDescent="0.3">
      <c r="H59057" t="str">
        <f t="shared" si="972"/>
        <v/>
      </c>
    </row>
    <row r="59058" spans="8:8" x14ac:dyDescent="0.3">
      <c r="H59058" t="str">
        <f t="shared" si="972"/>
        <v/>
      </c>
    </row>
    <row r="59059" spans="8:8" x14ac:dyDescent="0.3">
      <c r="H59059" t="str">
        <f t="shared" si="972"/>
        <v/>
      </c>
    </row>
    <row r="59060" spans="8:8" x14ac:dyDescent="0.3">
      <c r="H59060" t="str">
        <f t="shared" si="972"/>
        <v/>
      </c>
    </row>
    <row r="59061" spans="8:8" x14ac:dyDescent="0.3">
      <c r="H59061" t="str">
        <f t="shared" si="972"/>
        <v/>
      </c>
    </row>
    <row r="59062" spans="8:8" x14ac:dyDescent="0.3">
      <c r="H59062" t="str">
        <f t="shared" si="972"/>
        <v/>
      </c>
    </row>
    <row r="59063" spans="8:8" x14ac:dyDescent="0.3">
      <c r="H59063" t="str">
        <f t="shared" si="972"/>
        <v/>
      </c>
    </row>
    <row r="59064" spans="8:8" x14ac:dyDescent="0.3">
      <c r="H59064" t="str">
        <f t="shared" si="972"/>
        <v/>
      </c>
    </row>
    <row r="59065" spans="8:8" x14ac:dyDescent="0.3">
      <c r="H59065" t="str">
        <f t="shared" si="972"/>
        <v/>
      </c>
    </row>
    <row r="59066" spans="8:8" x14ac:dyDescent="0.3">
      <c r="H59066" t="str">
        <f t="shared" si="972"/>
        <v/>
      </c>
    </row>
    <row r="59067" spans="8:8" x14ac:dyDescent="0.3">
      <c r="H59067" t="str">
        <f t="shared" si="972"/>
        <v/>
      </c>
    </row>
    <row r="59068" spans="8:8" x14ac:dyDescent="0.3">
      <c r="H59068" t="str">
        <f t="shared" si="972"/>
        <v/>
      </c>
    </row>
    <row r="59069" spans="8:8" x14ac:dyDescent="0.3">
      <c r="H59069" t="str">
        <f t="shared" si="972"/>
        <v/>
      </c>
    </row>
    <row r="59070" spans="8:8" x14ac:dyDescent="0.3">
      <c r="H59070" t="str">
        <f t="shared" si="972"/>
        <v/>
      </c>
    </row>
    <row r="59071" spans="8:8" x14ac:dyDescent="0.3">
      <c r="H59071" t="str">
        <f t="shared" si="972"/>
        <v/>
      </c>
    </row>
    <row r="59072" spans="8:8" x14ac:dyDescent="0.3">
      <c r="H59072" t="str">
        <f t="shared" si="972"/>
        <v/>
      </c>
    </row>
    <row r="59073" spans="8:8" x14ac:dyDescent="0.3">
      <c r="H59073" t="str">
        <f t="shared" si="972"/>
        <v/>
      </c>
    </row>
    <row r="59074" spans="8:8" x14ac:dyDescent="0.3">
      <c r="H59074" t="str">
        <f t="shared" si="972"/>
        <v/>
      </c>
    </row>
    <row r="59075" spans="8:8" x14ac:dyDescent="0.3">
      <c r="H59075" t="str">
        <f t="shared" si="972"/>
        <v/>
      </c>
    </row>
    <row r="59076" spans="8:8" x14ac:dyDescent="0.3">
      <c r="H59076" t="str">
        <f t="shared" si="972"/>
        <v/>
      </c>
    </row>
    <row r="59077" spans="8:8" x14ac:dyDescent="0.3">
      <c r="H59077" t="str">
        <f t="shared" si="972"/>
        <v/>
      </c>
    </row>
    <row r="59078" spans="8:8" x14ac:dyDescent="0.3">
      <c r="H59078" t="str">
        <f t="shared" si="972"/>
        <v/>
      </c>
    </row>
    <row r="59079" spans="8:8" x14ac:dyDescent="0.3">
      <c r="H59079" t="str">
        <f t="shared" si="972"/>
        <v/>
      </c>
    </row>
    <row r="59080" spans="8:8" x14ac:dyDescent="0.3">
      <c r="H59080" t="str">
        <f t="shared" si="972"/>
        <v/>
      </c>
    </row>
    <row r="59081" spans="8:8" x14ac:dyDescent="0.3">
      <c r="H59081" t="str">
        <f t="shared" si="972"/>
        <v/>
      </c>
    </row>
    <row r="59082" spans="8:8" x14ac:dyDescent="0.3">
      <c r="H59082" t="str">
        <f t="shared" si="972"/>
        <v/>
      </c>
    </row>
    <row r="59083" spans="8:8" x14ac:dyDescent="0.3">
      <c r="H59083" t="str">
        <f t="shared" si="972"/>
        <v/>
      </c>
    </row>
    <row r="59084" spans="8:8" x14ac:dyDescent="0.3">
      <c r="H59084" t="str">
        <f t="shared" si="972"/>
        <v/>
      </c>
    </row>
    <row r="59085" spans="8:8" x14ac:dyDescent="0.3">
      <c r="H59085" t="str">
        <f t="shared" si="972"/>
        <v/>
      </c>
    </row>
    <row r="59086" spans="8:8" x14ac:dyDescent="0.3">
      <c r="H59086" t="str">
        <f t="shared" si="972"/>
        <v/>
      </c>
    </row>
    <row r="59087" spans="8:8" x14ac:dyDescent="0.3">
      <c r="H59087" t="str">
        <f t="shared" si="972"/>
        <v/>
      </c>
    </row>
    <row r="59088" spans="8:8" x14ac:dyDescent="0.3">
      <c r="H59088" t="str">
        <f t="shared" si="972"/>
        <v/>
      </c>
    </row>
    <row r="59089" spans="8:8" x14ac:dyDescent="0.3">
      <c r="H59089" t="str">
        <f t="shared" si="972"/>
        <v/>
      </c>
    </row>
    <row r="59090" spans="8:8" x14ac:dyDescent="0.3">
      <c r="H59090" t="str">
        <f t="shared" si="972"/>
        <v/>
      </c>
    </row>
    <row r="59091" spans="8:8" x14ac:dyDescent="0.3">
      <c r="H59091" t="str">
        <f t="shared" si="972"/>
        <v/>
      </c>
    </row>
    <row r="59092" spans="8:8" x14ac:dyDescent="0.3">
      <c r="H59092" t="str">
        <f t="shared" si="972"/>
        <v/>
      </c>
    </row>
    <row r="59093" spans="8:8" x14ac:dyDescent="0.3">
      <c r="H59093" t="str">
        <f t="shared" si="972"/>
        <v/>
      </c>
    </row>
    <row r="59094" spans="8:8" x14ac:dyDescent="0.3">
      <c r="H59094" t="str">
        <f t="shared" si="972"/>
        <v/>
      </c>
    </row>
    <row r="59095" spans="8:8" x14ac:dyDescent="0.3">
      <c r="H59095" t="str">
        <f t="shared" ref="H59095:H59158" si="973">IF(B59095="","",$C$12)</f>
        <v/>
      </c>
    </row>
    <row r="59096" spans="8:8" x14ac:dyDescent="0.3">
      <c r="H59096" t="str">
        <f t="shared" si="973"/>
        <v/>
      </c>
    </row>
    <row r="59097" spans="8:8" x14ac:dyDescent="0.3">
      <c r="H59097" t="str">
        <f t="shared" si="973"/>
        <v/>
      </c>
    </row>
    <row r="59098" spans="8:8" x14ac:dyDescent="0.3">
      <c r="H59098" t="str">
        <f t="shared" si="973"/>
        <v/>
      </c>
    </row>
    <row r="59099" spans="8:8" x14ac:dyDescent="0.3">
      <c r="H59099" t="str">
        <f t="shared" si="973"/>
        <v/>
      </c>
    </row>
    <row r="59100" spans="8:8" x14ac:dyDescent="0.3">
      <c r="H59100" t="str">
        <f t="shared" si="973"/>
        <v/>
      </c>
    </row>
    <row r="59101" spans="8:8" x14ac:dyDescent="0.3">
      <c r="H59101" t="str">
        <f t="shared" si="973"/>
        <v/>
      </c>
    </row>
    <row r="59102" spans="8:8" x14ac:dyDescent="0.3">
      <c r="H59102" t="str">
        <f t="shared" si="973"/>
        <v/>
      </c>
    </row>
    <row r="59103" spans="8:8" x14ac:dyDescent="0.3">
      <c r="H59103" t="str">
        <f t="shared" si="973"/>
        <v/>
      </c>
    </row>
    <row r="59104" spans="8:8" x14ac:dyDescent="0.3">
      <c r="H59104" t="str">
        <f t="shared" si="973"/>
        <v/>
      </c>
    </row>
    <row r="59105" spans="8:8" x14ac:dyDescent="0.3">
      <c r="H59105" t="str">
        <f t="shared" si="973"/>
        <v/>
      </c>
    </row>
    <row r="59106" spans="8:8" x14ac:dyDescent="0.3">
      <c r="H59106" t="str">
        <f t="shared" si="973"/>
        <v/>
      </c>
    </row>
    <row r="59107" spans="8:8" x14ac:dyDescent="0.3">
      <c r="H59107" t="str">
        <f t="shared" si="973"/>
        <v/>
      </c>
    </row>
    <row r="59108" spans="8:8" x14ac:dyDescent="0.3">
      <c r="H59108" t="str">
        <f t="shared" si="973"/>
        <v/>
      </c>
    </row>
    <row r="59109" spans="8:8" x14ac:dyDescent="0.3">
      <c r="H59109" t="str">
        <f t="shared" si="973"/>
        <v/>
      </c>
    </row>
    <row r="59110" spans="8:8" x14ac:dyDescent="0.3">
      <c r="H59110" t="str">
        <f t="shared" si="973"/>
        <v/>
      </c>
    </row>
    <row r="59111" spans="8:8" x14ac:dyDescent="0.3">
      <c r="H59111" t="str">
        <f t="shared" si="973"/>
        <v/>
      </c>
    </row>
    <row r="59112" spans="8:8" x14ac:dyDescent="0.3">
      <c r="H59112" t="str">
        <f t="shared" si="973"/>
        <v/>
      </c>
    </row>
    <row r="59113" spans="8:8" x14ac:dyDescent="0.3">
      <c r="H59113" t="str">
        <f t="shared" si="973"/>
        <v/>
      </c>
    </row>
    <row r="59114" spans="8:8" x14ac:dyDescent="0.3">
      <c r="H59114" t="str">
        <f t="shared" si="973"/>
        <v/>
      </c>
    </row>
    <row r="59115" spans="8:8" x14ac:dyDescent="0.3">
      <c r="H59115" t="str">
        <f t="shared" si="973"/>
        <v/>
      </c>
    </row>
    <row r="59116" spans="8:8" x14ac:dyDescent="0.3">
      <c r="H59116" t="str">
        <f t="shared" si="973"/>
        <v/>
      </c>
    </row>
    <row r="59117" spans="8:8" x14ac:dyDescent="0.3">
      <c r="H59117" t="str">
        <f t="shared" si="973"/>
        <v/>
      </c>
    </row>
    <row r="59118" spans="8:8" x14ac:dyDescent="0.3">
      <c r="H59118" t="str">
        <f t="shared" si="973"/>
        <v/>
      </c>
    </row>
    <row r="59119" spans="8:8" x14ac:dyDescent="0.3">
      <c r="H59119" t="str">
        <f t="shared" si="973"/>
        <v/>
      </c>
    </row>
    <row r="59120" spans="8:8" x14ac:dyDescent="0.3">
      <c r="H59120" t="str">
        <f t="shared" si="973"/>
        <v/>
      </c>
    </row>
    <row r="59121" spans="8:8" x14ac:dyDescent="0.3">
      <c r="H59121" t="str">
        <f t="shared" si="973"/>
        <v/>
      </c>
    </row>
    <row r="59122" spans="8:8" x14ac:dyDescent="0.3">
      <c r="H59122" t="str">
        <f t="shared" si="973"/>
        <v/>
      </c>
    </row>
    <row r="59123" spans="8:8" x14ac:dyDescent="0.3">
      <c r="H59123" t="str">
        <f t="shared" si="973"/>
        <v/>
      </c>
    </row>
    <row r="59124" spans="8:8" x14ac:dyDescent="0.3">
      <c r="H59124" t="str">
        <f t="shared" si="973"/>
        <v/>
      </c>
    </row>
    <row r="59125" spans="8:8" x14ac:dyDescent="0.3">
      <c r="H59125" t="str">
        <f t="shared" si="973"/>
        <v/>
      </c>
    </row>
    <row r="59126" spans="8:8" x14ac:dyDescent="0.3">
      <c r="H59126" t="str">
        <f t="shared" si="973"/>
        <v/>
      </c>
    </row>
    <row r="59127" spans="8:8" x14ac:dyDescent="0.3">
      <c r="H59127" t="str">
        <f t="shared" si="973"/>
        <v/>
      </c>
    </row>
    <row r="59128" spans="8:8" x14ac:dyDescent="0.3">
      <c r="H59128" t="str">
        <f t="shared" si="973"/>
        <v/>
      </c>
    </row>
    <row r="59129" spans="8:8" x14ac:dyDescent="0.3">
      <c r="H59129" t="str">
        <f t="shared" si="973"/>
        <v/>
      </c>
    </row>
    <row r="59130" spans="8:8" x14ac:dyDescent="0.3">
      <c r="H59130" t="str">
        <f t="shared" si="973"/>
        <v/>
      </c>
    </row>
    <row r="59131" spans="8:8" x14ac:dyDescent="0.3">
      <c r="H59131" t="str">
        <f t="shared" si="973"/>
        <v/>
      </c>
    </row>
    <row r="59132" spans="8:8" x14ac:dyDescent="0.3">
      <c r="H59132" t="str">
        <f t="shared" si="973"/>
        <v/>
      </c>
    </row>
    <row r="59133" spans="8:8" x14ac:dyDescent="0.3">
      <c r="H59133" t="str">
        <f t="shared" si="973"/>
        <v/>
      </c>
    </row>
    <row r="59134" spans="8:8" x14ac:dyDescent="0.3">
      <c r="H59134" t="str">
        <f t="shared" si="973"/>
        <v/>
      </c>
    </row>
    <row r="59135" spans="8:8" x14ac:dyDescent="0.3">
      <c r="H59135" t="str">
        <f t="shared" si="973"/>
        <v/>
      </c>
    </row>
    <row r="59136" spans="8:8" x14ac:dyDescent="0.3">
      <c r="H59136" t="str">
        <f t="shared" si="973"/>
        <v/>
      </c>
    </row>
    <row r="59137" spans="8:8" x14ac:dyDescent="0.3">
      <c r="H59137" t="str">
        <f t="shared" si="973"/>
        <v/>
      </c>
    </row>
    <row r="59138" spans="8:8" x14ac:dyDescent="0.3">
      <c r="H59138" t="str">
        <f t="shared" si="973"/>
        <v/>
      </c>
    </row>
    <row r="59139" spans="8:8" x14ac:dyDescent="0.3">
      <c r="H59139" t="str">
        <f t="shared" si="973"/>
        <v/>
      </c>
    </row>
    <row r="59140" spans="8:8" x14ac:dyDescent="0.3">
      <c r="H59140" t="str">
        <f t="shared" si="973"/>
        <v/>
      </c>
    </row>
    <row r="59141" spans="8:8" x14ac:dyDescent="0.3">
      <c r="H59141" t="str">
        <f t="shared" si="973"/>
        <v/>
      </c>
    </row>
    <row r="59142" spans="8:8" x14ac:dyDescent="0.3">
      <c r="H59142" t="str">
        <f t="shared" si="973"/>
        <v/>
      </c>
    </row>
    <row r="59143" spans="8:8" x14ac:dyDescent="0.3">
      <c r="H59143" t="str">
        <f t="shared" si="973"/>
        <v/>
      </c>
    </row>
    <row r="59144" spans="8:8" x14ac:dyDescent="0.3">
      <c r="H59144" t="str">
        <f t="shared" si="973"/>
        <v/>
      </c>
    </row>
    <row r="59145" spans="8:8" x14ac:dyDescent="0.3">
      <c r="H59145" t="str">
        <f t="shared" si="973"/>
        <v/>
      </c>
    </row>
    <row r="59146" spans="8:8" x14ac:dyDescent="0.3">
      <c r="H59146" t="str">
        <f t="shared" si="973"/>
        <v/>
      </c>
    </row>
    <row r="59147" spans="8:8" x14ac:dyDescent="0.3">
      <c r="H59147" t="str">
        <f t="shared" si="973"/>
        <v/>
      </c>
    </row>
    <row r="59148" spans="8:8" x14ac:dyDescent="0.3">
      <c r="H59148" t="str">
        <f t="shared" si="973"/>
        <v/>
      </c>
    </row>
    <row r="59149" spans="8:8" x14ac:dyDescent="0.3">
      <c r="H59149" t="str">
        <f t="shared" si="973"/>
        <v/>
      </c>
    </row>
    <row r="59150" spans="8:8" x14ac:dyDescent="0.3">
      <c r="H59150" t="str">
        <f t="shared" si="973"/>
        <v/>
      </c>
    </row>
    <row r="59151" spans="8:8" x14ac:dyDescent="0.3">
      <c r="H59151" t="str">
        <f t="shared" si="973"/>
        <v/>
      </c>
    </row>
    <row r="59152" spans="8:8" x14ac:dyDescent="0.3">
      <c r="H59152" t="str">
        <f t="shared" si="973"/>
        <v/>
      </c>
    </row>
    <row r="59153" spans="8:8" x14ac:dyDescent="0.3">
      <c r="H59153" t="str">
        <f t="shared" si="973"/>
        <v/>
      </c>
    </row>
    <row r="59154" spans="8:8" x14ac:dyDescent="0.3">
      <c r="H59154" t="str">
        <f t="shared" si="973"/>
        <v/>
      </c>
    </row>
    <row r="59155" spans="8:8" x14ac:dyDescent="0.3">
      <c r="H59155" t="str">
        <f t="shared" si="973"/>
        <v/>
      </c>
    </row>
    <row r="59156" spans="8:8" x14ac:dyDescent="0.3">
      <c r="H59156" t="str">
        <f t="shared" si="973"/>
        <v/>
      </c>
    </row>
    <row r="59157" spans="8:8" x14ac:dyDescent="0.3">
      <c r="H59157" t="str">
        <f t="shared" si="973"/>
        <v/>
      </c>
    </row>
    <row r="59158" spans="8:8" x14ac:dyDescent="0.3">
      <c r="H59158" t="str">
        <f t="shared" si="973"/>
        <v/>
      </c>
    </row>
    <row r="59159" spans="8:8" x14ac:dyDescent="0.3">
      <c r="H59159" t="str">
        <f t="shared" ref="H59159:H59222" si="974">IF(B59159="","",$C$12)</f>
        <v/>
      </c>
    </row>
    <row r="59160" spans="8:8" x14ac:dyDescent="0.3">
      <c r="H59160" t="str">
        <f t="shared" si="974"/>
        <v/>
      </c>
    </row>
    <row r="59161" spans="8:8" x14ac:dyDescent="0.3">
      <c r="H59161" t="str">
        <f t="shared" si="974"/>
        <v/>
      </c>
    </row>
    <row r="59162" spans="8:8" x14ac:dyDescent="0.3">
      <c r="H59162" t="str">
        <f t="shared" si="974"/>
        <v/>
      </c>
    </row>
    <row r="59163" spans="8:8" x14ac:dyDescent="0.3">
      <c r="H59163" t="str">
        <f t="shared" si="974"/>
        <v/>
      </c>
    </row>
    <row r="59164" spans="8:8" x14ac:dyDescent="0.3">
      <c r="H59164" t="str">
        <f t="shared" si="974"/>
        <v/>
      </c>
    </row>
    <row r="59165" spans="8:8" x14ac:dyDescent="0.3">
      <c r="H59165" t="str">
        <f t="shared" si="974"/>
        <v/>
      </c>
    </row>
    <row r="59166" spans="8:8" x14ac:dyDescent="0.3">
      <c r="H59166" t="str">
        <f t="shared" si="974"/>
        <v/>
      </c>
    </row>
    <row r="59167" spans="8:8" x14ac:dyDescent="0.3">
      <c r="H59167" t="str">
        <f t="shared" si="974"/>
        <v/>
      </c>
    </row>
    <row r="59168" spans="8:8" x14ac:dyDescent="0.3">
      <c r="H59168" t="str">
        <f t="shared" si="974"/>
        <v/>
      </c>
    </row>
    <row r="59169" spans="8:8" x14ac:dyDescent="0.3">
      <c r="H59169" t="str">
        <f t="shared" si="974"/>
        <v/>
      </c>
    </row>
    <row r="59170" spans="8:8" x14ac:dyDescent="0.3">
      <c r="H59170" t="str">
        <f t="shared" si="974"/>
        <v/>
      </c>
    </row>
    <row r="59171" spans="8:8" x14ac:dyDescent="0.3">
      <c r="H59171" t="str">
        <f t="shared" si="974"/>
        <v/>
      </c>
    </row>
    <row r="59172" spans="8:8" x14ac:dyDescent="0.3">
      <c r="H59172" t="str">
        <f t="shared" si="974"/>
        <v/>
      </c>
    </row>
    <row r="59173" spans="8:8" x14ac:dyDescent="0.3">
      <c r="H59173" t="str">
        <f t="shared" si="974"/>
        <v/>
      </c>
    </row>
    <row r="59174" spans="8:8" x14ac:dyDescent="0.3">
      <c r="H59174" t="str">
        <f t="shared" si="974"/>
        <v/>
      </c>
    </row>
    <row r="59175" spans="8:8" x14ac:dyDescent="0.3">
      <c r="H59175" t="str">
        <f t="shared" si="974"/>
        <v/>
      </c>
    </row>
    <row r="59176" spans="8:8" x14ac:dyDescent="0.3">
      <c r="H59176" t="str">
        <f t="shared" si="974"/>
        <v/>
      </c>
    </row>
    <row r="59177" spans="8:8" x14ac:dyDescent="0.3">
      <c r="H59177" t="str">
        <f t="shared" si="974"/>
        <v/>
      </c>
    </row>
    <row r="59178" spans="8:8" x14ac:dyDescent="0.3">
      <c r="H59178" t="str">
        <f t="shared" si="974"/>
        <v/>
      </c>
    </row>
    <row r="59179" spans="8:8" x14ac:dyDescent="0.3">
      <c r="H59179" t="str">
        <f t="shared" si="974"/>
        <v/>
      </c>
    </row>
    <row r="59180" spans="8:8" x14ac:dyDescent="0.3">
      <c r="H59180" t="str">
        <f t="shared" si="974"/>
        <v/>
      </c>
    </row>
    <row r="59181" spans="8:8" x14ac:dyDescent="0.3">
      <c r="H59181" t="str">
        <f t="shared" si="974"/>
        <v/>
      </c>
    </row>
    <row r="59182" spans="8:8" x14ac:dyDescent="0.3">
      <c r="H59182" t="str">
        <f t="shared" si="974"/>
        <v/>
      </c>
    </row>
    <row r="59183" spans="8:8" x14ac:dyDescent="0.3">
      <c r="H59183" t="str">
        <f t="shared" si="974"/>
        <v/>
      </c>
    </row>
    <row r="59184" spans="8:8" x14ac:dyDescent="0.3">
      <c r="H59184" t="str">
        <f t="shared" si="974"/>
        <v/>
      </c>
    </row>
    <row r="59185" spans="8:8" x14ac:dyDescent="0.3">
      <c r="H59185" t="str">
        <f t="shared" si="974"/>
        <v/>
      </c>
    </row>
    <row r="59186" spans="8:8" x14ac:dyDescent="0.3">
      <c r="H59186" t="str">
        <f t="shared" si="974"/>
        <v/>
      </c>
    </row>
    <row r="59187" spans="8:8" x14ac:dyDescent="0.3">
      <c r="H59187" t="str">
        <f t="shared" si="974"/>
        <v/>
      </c>
    </row>
    <row r="59188" spans="8:8" x14ac:dyDescent="0.3">
      <c r="H59188" t="str">
        <f t="shared" si="974"/>
        <v/>
      </c>
    </row>
    <row r="59189" spans="8:8" x14ac:dyDescent="0.3">
      <c r="H59189" t="str">
        <f t="shared" si="974"/>
        <v/>
      </c>
    </row>
    <row r="59190" spans="8:8" x14ac:dyDescent="0.3">
      <c r="H59190" t="str">
        <f t="shared" si="974"/>
        <v/>
      </c>
    </row>
    <row r="59191" spans="8:8" x14ac:dyDescent="0.3">
      <c r="H59191" t="str">
        <f t="shared" si="974"/>
        <v/>
      </c>
    </row>
    <row r="59192" spans="8:8" x14ac:dyDescent="0.3">
      <c r="H59192" t="str">
        <f t="shared" si="974"/>
        <v/>
      </c>
    </row>
    <row r="59193" spans="8:8" x14ac:dyDescent="0.3">
      <c r="H59193" t="str">
        <f t="shared" si="974"/>
        <v/>
      </c>
    </row>
    <row r="59194" spans="8:8" x14ac:dyDescent="0.3">
      <c r="H59194" t="str">
        <f t="shared" si="974"/>
        <v/>
      </c>
    </row>
    <row r="59195" spans="8:8" x14ac:dyDescent="0.3">
      <c r="H59195" t="str">
        <f t="shared" si="974"/>
        <v/>
      </c>
    </row>
    <row r="59196" spans="8:8" x14ac:dyDescent="0.3">
      <c r="H59196" t="str">
        <f t="shared" si="974"/>
        <v/>
      </c>
    </row>
    <row r="59197" spans="8:8" x14ac:dyDescent="0.3">
      <c r="H59197" t="str">
        <f t="shared" si="974"/>
        <v/>
      </c>
    </row>
    <row r="59198" spans="8:8" x14ac:dyDescent="0.3">
      <c r="H59198" t="str">
        <f t="shared" si="974"/>
        <v/>
      </c>
    </row>
    <row r="59199" spans="8:8" x14ac:dyDescent="0.3">
      <c r="H59199" t="str">
        <f t="shared" si="974"/>
        <v/>
      </c>
    </row>
    <row r="59200" spans="8:8" x14ac:dyDescent="0.3">
      <c r="H59200" t="str">
        <f t="shared" si="974"/>
        <v/>
      </c>
    </row>
    <row r="59201" spans="8:8" x14ac:dyDescent="0.3">
      <c r="H59201" t="str">
        <f t="shared" si="974"/>
        <v/>
      </c>
    </row>
    <row r="59202" spans="8:8" x14ac:dyDescent="0.3">
      <c r="H59202" t="str">
        <f t="shared" si="974"/>
        <v/>
      </c>
    </row>
    <row r="59203" spans="8:8" x14ac:dyDescent="0.3">
      <c r="H59203" t="str">
        <f t="shared" si="974"/>
        <v/>
      </c>
    </row>
    <row r="59204" spans="8:8" x14ac:dyDescent="0.3">
      <c r="H59204" t="str">
        <f t="shared" si="974"/>
        <v/>
      </c>
    </row>
    <row r="59205" spans="8:8" x14ac:dyDescent="0.3">
      <c r="H59205" t="str">
        <f t="shared" si="974"/>
        <v/>
      </c>
    </row>
    <row r="59206" spans="8:8" x14ac:dyDescent="0.3">
      <c r="H59206" t="str">
        <f t="shared" si="974"/>
        <v/>
      </c>
    </row>
    <row r="59207" spans="8:8" x14ac:dyDescent="0.3">
      <c r="H59207" t="str">
        <f t="shared" si="974"/>
        <v/>
      </c>
    </row>
    <row r="59208" spans="8:8" x14ac:dyDescent="0.3">
      <c r="H59208" t="str">
        <f t="shared" si="974"/>
        <v/>
      </c>
    </row>
    <row r="59209" spans="8:8" x14ac:dyDescent="0.3">
      <c r="H59209" t="str">
        <f t="shared" si="974"/>
        <v/>
      </c>
    </row>
    <row r="59210" spans="8:8" x14ac:dyDescent="0.3">
      <c r="H59210" t="str">
        <f t="shared" si="974"/>
        <v/>
      </c>
    </row>
    <row r="59211" spans="8:8" x14ac:dyDescent="0.3">
      <c r="H59211" t="str">
        <f t="shared" si="974"/>
        <v/>
      </c>
    </row>
    <row r="59212" spans="8:8" x14ac:dyDescent="0.3">
      <c r="H59212" t="str">
        <f t="shared" si="974"/>
        <v/>
      </c>
    </row>
    <row r="59213" spans="8:8" x14ac:dyDescent="0.3">
      <c r="H59213" t="str">
        <f t="shared" si="974"/>
        <v/>
      </c>
    </row>
    <row r="59214" spans="8:8" x14ac:dyDescent="0.3">
      <c r="H59214" t="str">
        <f t="shared" si="974"/>
        <v/>
      </c>
    </row>
    <row r="59215" spans="8:8" x14ac:dyDescent="0.3">
      <c r="H59215" t="str">
        <f t="shared" si="974"/>
        <v/>
      </c>
    </row>
    <row r="59216" spans="8:8" x14ac:dyDescent="0.3">
      <c r="H59216" t="str">
        <f t="shared" si="974"/>
        <v/>
      </c>
    </row>
    <row r="59217" spans="8:8" x14ac:dyDescent="0.3">
      <c r="H59217" t="str">
        <f t="shared" si="974"/>
        <v/>
      </c>
    </row>
    <row r="59218" spans="8:8" x14ac:dyDescent="0.3">
      <c r="H59218" t="str">
        <f t="shared" si="974"/>
        <v/>
      </c>
    </row>
    <row r="59219" spans="8:8" x14ac:dyDescent="0.3">
      <c r="H59219" t="str">
        <f t="shared" si="974"/>
        <v/>
      </c>
    </row>
    <row r="59220" spans="8:8" x14ac:dyDescent="0.3">
      <c r="H59220" t="str">
        <f t="shared" si="974"/>
        <v/>
      </c>
    </row>
    <row r="59221" spans="8:8" x14ac:dyDescent="0.3">
      <c r="H59221" t="str">
        <f t="shared" si="974"/>
        <v/>
      </c>
    </row>
    <row r="59222" spans="8:8" x14ac:dyDescent="0.3">
      <c r="H59222" t="str">
        <f t="shared" si="974"/>
        <v/>
      </c>
    </row>
    <row r="59223" spans="8:8" x14ac:dyDescent="0.3">
      <c r="H59223" t="str">
        <f t="shared" ref="H59223:H59286" si="975">IF(B59223="","",$C$12)</f>
        <v/>
      </c>
    </row>
    <row r="59224" spans="8:8" x14ac:dyDescent="0.3">
      <c r="H59224" t="str">
        <f t="shared" si="975"/>
        <v/>
      </c>
    </row>
    <row r="59225" spans="8:8" x14ac:dyDescent="0.3">
      <c r="H59225" t="str">
        <f t="shared" si="975"/>
        <v/>
      </c>
    </row>
    <row r="59226" spans="8:8" x14ac:dyDescent="0.3">
      <c r="H59226" t="str">
        <f t="shared" si="975"/>
        <v/>
      </c>
    </row>
    <row r="59227" spans="8:8" x14ac:dyDescent="0.3">
      <c r="H59227" t="str">
        <f t="shared" si="975"/>
        <v/>
      </c>
    </row>
    <row r="59228" spans="8:8" x14ac:dyDescent="0.3">
      <c r="H59228" t="str">
        <f t="shared" si="975"/>
        <v/>
      </c>
    </row>
    <row r="59229" spans="8:8" x14ac:dyDescent="0.3">
      <c r="H59229" t="str">
        <f t="shared" si="975"/>
        <v/>
      </c>
    </row>
    <row r="59230" spans="8:8" x14ac:dyDescent="0.3">
      <c r="H59230" t="str">
        <f t="shared" si="975"/>
        <v/>
      </c>
    </row>
    <row r="59231" spans="8:8" x14ac:dyDescent="0.3">
      <c r="H59231" t="str">
        <f t="shared" si="975"/>
        <v/>
      </c>
    </row>
    <row r="59232" spans="8:8" x14ac:dyDescent="0.3">
      <c r="H59232" t="str">
        <f t="shared" si="975"/>
        <v/>
      </c>
    </row>
    <row r="59233" spans="8:8" x14ac:dyDescent="0.3">
      <c r="H59233" t="str">
        <f t="shared" si="975"/>
        <v/>
      </c>
    </row>
    <row r="59234" spans="8:8" x14ac:dyDescent="0.3">
      <c r="H59234" t="str">
        <f t="shared" si="975"/>
        <v/>
      </c>
    </row>
    <row r="59235" spans="8:8" x14ac:dyDescent="0.3">
      <c r="H59235" t="str">
        <f t="shared" si="975"/>
        <v/>
      </c>
    </row>
    <row r="59236" spans="8:8" x14ac:dyDescent="0.3">
      <c r="H59236" t="str">
        <f t="shared" si="975"/>
        <v/>
      </c>
    </row>
    <row r="59237" spans="8:8" x14ac:dyDescent="0.3">
      <c r="H59237" t="str">
        <f t="shared" si="975"/>
        <v/>
      </c>
    </row>
    <row r="59238" spans="8:8" x14ac:dyDescent="0.3">
      <c r="H59238" t="str">
        <f t="shared" si="975"/>
        <v/>
      </c>
    </row>
    <row r="59239" spans="8:8" x14ac:dyDescent="0.3">
      <c r="H59239" t="str">
        <f t="shared" si="975"/>
        <v/>
      </c>
    </row>
    <row r="59240" spans="8:8" x14ac:dyDescent="0.3">
      <c r="H59240" t="str">
        <f t="shared" si="975"/>
        <v/>
      </c>
    </row>
    <row r="59241" spans="8:8" x14ac:dyDescent="0.3">
      <c r="H59241" t="str">
        <f t="shared" si="975"/>
        <v/>
      </c>
    </row>
    <row r="59242" spans="8:8" x14ac:dyDescent="0.3">
      <c r="H59242" t="str">
        <f t="shared" si="975"/>
        <v/>
      </c>
    </row>
    <row r="59243" spans="8:8" x14ac:dyDescent="0.3">
      <c r="H59243" t="str">
        <f t="shared" si="975"/>
        <v/>
      </c>
    </row>
    <row r="59244" spans="8:8" x14ac:dyDescent="0.3">
      <c r="H59244" t="str">
        <f t="shared" si="975"/>
        <v/>
      </c>
    </row>
    <row r="59245" spans="8:8" x14ac:dyDescent="0.3">
      <c r="H59245" t="str">
        <f t="shared" si="975"/>
        <v/>
      </c>
    </row>
    <row r="59246" spans="8:8" x14ac:dyDescent="0.3">
      <c r="H59246" t="str">
        <f t="shared" si="975"/>
        <v/>
      </c>
    </row>
    <row r="59247" spans="8:8" x14ac:dyDescent="0.3">
      <c r="H59247" t="str">
        <f t="shared" si="975"/>
        <v/>
      </c>
    </row>
    <row r="59248" spans="8:8" x14ac:dyDescent="0.3">
      <c r="H59248" t="str">
        <f t="shared" si="975"/>
        <v/>
      </c>
    </row>
    <row r="59249" spans="8:8" x14ac:dyDescent="0.3">
      <c r="H59249" t="str">
        <f t="shared" si="975"/>
        <v/>
      </c>
    </row>
    <row r="59250" spans="8:8" x14ac:dyDescent="0.3">
      <c r="H59250" t="str">
        <f t="shared" si="975"/>
        <v/>
      </c>
    </row>
    <row r="59251" spans="8:8" x14ac:dyDescent="0.3">
      <c r="H59251" t="str">
        <f t="shared" si="975"/>
        <v/>
      </c>
    </row>
    <row r="59252" spans="8:8" x14ac:dyDescent="0.3">
      <c r="H59252" t="str">
        <f t="shared" si="975"/>
        <v/>
      </c>
    </row>
    <row r="59253" spans="8:8" x14ac:dyDescent="0.3">
      <c r="H59253" t="str">
        <f t="shared" si="975"/>
        <v/>
      </c>
    </row>
    <row r="59254" spans="8:8" x14ac:dyDescent="0.3">
      <c r="H59254" t="str">
        <f t="shared" si="975"/>
        <v/>
      </c>
    </row>
    <row r="59255" spans="8:8" x14ac:dyDescent="0.3">
      <c r="H59255" t="str">
        <f t="shared" si="975"/>
        <v/>
      </c>
    </row>
    <row r="59256" spans="8:8" x14ac:dyDescent="0.3">
      <c r="H59256" t="str">
        <f t="shared" si="975"/>
        <v/>
      </c>
    </row>
    <row r="59257" spans="8:8" x14ac:dyDescent="0.3">
      <c r="H59257" t="str">
        <f t="shared" si="975"/>
        <v/>
      </c>
    </row>
    <row r="59258" spans="8:8" x14ac:dyDescent="0.3">
      <c r="H59258" t="str">
        <f t="shared" si="975"/>
        <v/>
      </c>
    </row>
    <row r="59259" spans="8:8" x14ac:dyDescent="0.3">
      <c r="H59259" t="str">
        <f t="shared" si="975"/>
        <v/>
      </c>
    </row>
    <row r="59260" spans="8:8" x14ac:dyDescent="0.3">
      <c r="H59260" t="str">
        <f t="shared" si="975"/>
        <v/>
      </c>
    </row>
    <row r="59261" spans="8:8" x14ac:dyDescent="0.3">
      <c r="H59261" t="str">
        <f t="shared" si="975"/>
        <v/>
      </c>
    </row>
    <row r="59262" spans="8:8" x14ac:dyDescent="0.3">
      <c r="H59262" t="str">
        <f t="shared" si="975"/>
        <v/>
      </c>
    </row>
    <row r="59263" spans="8:8" x14ac:dyDescent="0.3">
      <c r="H59263" t="str">
        <f t="shared" si="975"/>
        <v/>
      </c>
    </row>
    <row r="59264" spans="8:8" x14ac:dyDescent="0.3">
      <c r="H59264" t="str">
        <f t="shared" si="975"/>
        <v/>
      </c>
    </row>
    <row r="59265" spans="8:8" x14ac:dyDescent="0.3">
      <c r="H59265" t="str">
        <f t="shared" si="975"/>
        <v/>
      </c>
    </row>
    <row r="59266" spans="8:8" x14ac:dyDescent="0.3">
      <c r="H59266" t="str">
        <f t="shared" si="975"/>
        <v/>
      </c>
    </row>
    <row r="59267" spans="8:8" x14ac:dyDescent="0.3">
      <c r="H59267" t="str">
        <f t="shared" si="975"/>
        <v/>
      </c>
    </row>
    <row r="59268" spans="8:8" x14ac:dyDescent="0.3">
      <c r="H59268" t="str">
        <f t="shared" si="975"/>
        <v/>
      </c>
    </row>
    <row r="59269" spans="8:8" x14ac:dyDescent="0.3">
      <c r="H59269" t="str">
        <f t="shared" si="975"/>
        <v/>
      </c>
    </row>
    <row r="59270" spans="8:8" x14ac:dyDescent="0.3">
      <c r="H59270" t="str">
        <f t="shared" si="975"/>
        <v/>
      </c>
    </row>
    <row r="59271" spans="8:8" x14ac:dyDescent="0.3">
      <c r="H59271" t="str">
        <f t="shared" si="975"/>
        <v/>
      </c>
    </row>
    <row r="59272" spans="8:8" x14ac:dyDescent="0.3">
      <c r="H59272" t="str">
        <f t="shared" si="975"/>
        <v/>
      </c>
    </row>
    <row r="59273" spans="8:8" x14ac:dyDescent="0.3">
      <c r="H59273" t="str">
        <f t="shared" si="975"/>
        <v/>
      </c>
    </row>
    <row r="59274" spans="8:8" x14ac:dyDescent="0.3">
      <c r="H59274" t="str">
        <f t="shared" si="975"/>
        <v/>
      </c>
    </row>
    <row r="59275" spans="8:8" x14ac:dyDescent="0.3">
      <c r="H59275" t="str">
        <f t="shared" si="975"/>
        <v/>
      </c>
    </row>
    <row r="59276" spans="8:8" x14ac:dyDescent="0.3">
      <c r="H59276" t="str">
        <f t="shared" si="975"/>
        <v/>
      </c>
    </row>
    <row r="59277" spans="8:8" x14ac:dyDescent="0.3">
      <c r="H59277" t="str">
        <f t="shared" si="975"/>
        <v/>
      </c>
    </row>
    <row r="59278" spans="8:8" x14ac:dyDescent="0.3">
      <c r="H59278" t="str">
        <f t="shared" si="975"/>
        <v/>
      </c>
    </row>
    <row r="59279" spans="8:8" x14ac:dyDescent="0.3">
      <c r="H59279" t="str">
        <f t="shared" si="975"/>
        <v/>
      </c>
    </row>
    <row r="59280" spans="8:8" x14ac:dyDescent="0.3">
      <c r="H59280" t="str">
        <f t="shared" si="975"/>
        <v/>
      </c>
    </row>
    <row r="59281" spans="8:8" x14ac:dyDescent="0.3">
      <c r="H59281" t="str">
        <f t="shared" si="975"/>
        <v/>
      </c>
    </row>
    <row r="59282" spans="8:8" x14ac:dyDescent="0.3">
      <c r="H59282" t="str">
        <f t="shared" si="975"/>
        <v/>
      </c>
    </row>
    <row r="59283" spans="8:8" x14ac:dyDescent="0.3">
      <c r="H59283" t="str">
        <f t="shared" si="975"/>
        <v/>
      </c>
    </row>
    <row r="59284" spans="8:8" x14ac:dyDescent="0.3">
      <c r="H59284" t="str">
        <f t="shared" si="975"/>
        <v/>
      </c>
    </row>
    <row r="59285" spans="8:8" x14ac:dyDescent="0.3">
      <c r="H59285" t="str">
        <f t="shared" si="975"/>
        <v/>
      </c>
    </row>
    <row r="59286" spans="8:8" x14ac:dyDescent="0.3">
      <c r="H59286" t="str">
        <f t="shared" si="975"/>
        <v/>
      </c>
    </row>
    <row r="59287" spans="8:8" x14ac:dyDescent="0.3">
      <c r="H59287" t="str">
        <f t="shared" ref="H59287:H59350" si="976">IF(B59287="","",$C$12)</f>
        <v/>
      </c>
    </row>
    <row r="59288" spans="8:8" x14ac:dyDescent="0.3">
      <c r="H59288" t="str">
        <f t="shared" si="976"/>
        <v/>
      </c>
    </row>
    <row r="59289" spans="8:8" x14ac:dyDescent="0.3">
      <c r="H59289" t="str">
        <f t="shared" si="976"/>
        <v/>
      </c>
    </row>
    <row r="59290" spans="8:8" x14ac:dyDescent="0.3">
      <c r="H59290" t="str">
        <f t="shared" si="976"/>
        <v/>
      </c>
    </row>
    <row r="59291" spans="8:8" x14ac:dyDescent="0.3">
      <c r="H59291" t="str">
        <f t="shared" si="976"/>
        <v/>
      </c>
    </row>
    <row r="59292" spans="8:8" x14ac:dyDescent="0.3">
      <c r="H59292" t="str">
        <f t="shared" si="976"/>
        <v/>
      </c>
    </row>
    <row r="59293" spans="8:8" x14ac:dyDescent="0.3">
      <c r="H59293" t="str">
        <f t="shared" si="976"/>
        <v/>
      </c>
    </row>
    <row r="59294" spans="8:8" x14ac:dyDescent="0.3">
      <c r="H59294" t="str">
        <f t="shared" si="976"/>
        <v/>
      </c>
    </row>
    <row r="59295" spans="8:8" x14ac:dyDescent="0.3">
      <c r="H59295" t="str">
        <f t="shared" si="976"/>
        <v/>
      </c>
    </row>
    <row r="59296" spans="8:8" x14ac:dyDescent="0.3">
      <c r="H59296" t="str">
        <f t="shared" si="976"/>
        <v/>
      </c>
    </row>
    <row r="59297" spans="8:8" x14ac:dyDescent="0.3">
      <c r="H59297" t="str">
        <f t="shared" si="976"/>
        <v/>
      </c>
    </row>
    <row r="59298" spans="8:8" x14ac:dyDescent="0.3">
      <c r="H59298" t="str">
        <f t="shared" si="976"/>
        <v/>
      </c>
    </row>
    <row r="59299" spans="8:8" x14ac:dyDescent="0.3">
      <c r="H59299" t="str">
        <f t="shared" si="976"/>
        <v/>
      </c>
    </row>
    <row r="59300" spans="8:8" x14ac:dyDescent="0.3">
      <c r="H59300" t="str">
        <f t="shared" si="976"/>
        <v/>
      </c>
    </row>
    <row r="59301" spans="8:8" x14ac:dyDescent="0.3">
      <c r="H59301" t="str">
        <f t="shared" si="976"/>
        <v/>
      </c>
    </row>
    <row r="59302" spans="8:8" x14ac:dyDescent="0.3">
      <c r="H59302" t="str">
        <f t="shared" si="976"/>
        <v/>
      </c>
    </row>
    <row r="59303" spans="8:8" x14ac:dyDescent="0.3">
      <c r="H59303" t="str">
        <f t="shared" si="976"/>
        <v/>
      </c>
    </row>
    <row r="59304" spans="8:8" x14ac:dyDescent="0.3">
      <c r="H59304" t="str">
        <f t="shared" si="976"/>
        <v/>
      </c>
    </row>
    <row r="59305" spans="8:8" x14ac:dyDescent="0.3">
      <c r="H59305" t="str">
        <f t="shared" si="976"/>
        <v/>
      </c>
    </row>
    <row r="59306" spans="8:8" x14ac:dyDescent="0.3">
      <c r="H59306" t="str">
        <f t="shared" si="976"/>
        <v/>
      </c>
    </row>
    <row r="59307" spans="8:8" x14ac:dyDescent="0.3">
      <c r="H59307" t="str">
        <f t="shared" si="976"/>
        <v/>
      </c>
    </row>
    <row r="59308" spans="8:8" x14ac:dyDescent="0.3">
      <c r="H59308" t="str">
        <f t="shared" si="976"/>
        <v/>
      </c>
    </row>
    <row r="59309" spans="8:8" x14ac:dyDescent="0.3">
      <c r="H59309" t="str">
        <f t="shared" si="976"/>
        <v/>
      </c>
    </row>
    <row r="59310" spans="8:8" x14ac:dyDescent="0.3">
      <c r="H59310" t="str">
        <f t="shared" si="976"/>
        <v/>
      </c>
    </row>
    <row r="59311" spans="8:8" x14ac:dyDescent="0.3">
      <c r="H59311" t="str">
        <f t="shared" si="976"/>
        <v/>
      </c>
    </row>
    <row r="59312" spans="8:8" x14ac:dyDescent="0.3">
      <c r="H59312" t="str">
        <f t="shared" si="976"/>
        <v/>
      </c>
    </row>
    <row r="59313" spans="8:8" x14ac:dyDescent="0.3">
      <c r="H59313" t="str">
        <f t="shared" si="976"/>
        <v/>
      </c>
    </row>
    <row r="59314" spans="8:8" x14ac:dyDescent="0.3">
      <c r="H59314" t="str">
        <f t="shared" si="976"/>
        <v/>
      </c>
    </row>
    <row r="59315" spans="8:8" x14ac:dyDescent="0.3">
      <c r="H59315" t="str">
        <f t="shared" si="976"/>
        <v/>
      </c>
    </row>
    <row r="59316" spans="8:8" x14ac:dyDescent="0.3">
      <c r="H59316" t="str">
        <f t="shared" si="976"/>
        <v/>
      </c>
    </row>
    <row r="59317" spans="8:8" x14ac:dyDescent="0.3">
      <c r="H59317" t="str">
        <f t="shared" si="976"/>
        <v/>
      </c>
    </row>
    <row r="59318" spans="8:8" x14ac:dyDescent="0.3">
      <c r="H59318" t="str">
        <f t="shared" si="976"/>
        <v/>
      </c>
    </row>
    <row r="59319" spans="8:8" x14ac:dyDescent="0.3">
      <c r="H59319" t="str">
        <f t="shared" si="976"/>
        <v/>
      </c>
    </row>
    <row r="59320" spans="8:8" x14ac:dyDescent="0.3">
      <c r="H59320" t="str">
        <f t="shared" si="976"/>
        <v/>
      </c>
    </row>
    <row r="59321" spans="8:8" x14ac:dyDescent="0.3">
      <c r="H59321" t="str">
        <f t="shared" si="976"/>
        <v/>
      </c>
    </row>
    <row r="59322" spans="8:8" x14ac:dyDescent="0.3">
      <c r="H59322" t="str">
        <f t="shared" si="976"/>
        <v/>
      </c>
    </row>
    <row r="59323" spans="8:8" x14ac:dyDescent="0.3">
      <c r="H59323" t="str">
        <f t="shared" si="976"/>
        <v/>
      </c>
    </row>
    <row r="59324" spans="8:8" x14ac:dyDescent="0.3">
      <c r="H59324" t="str">
        <f t="shared" si="976"/>
        <v/>
      </c>
    </row>
    <row r="59325" spans="8:8" x14ac:dyDescent="0.3">
      <c r="H59325" t="str">
        <f t="shared" si="976"/>
        <v/>
      </c>
    </row>
    <row r="59326" spans="8:8" x14ac:dyDescent="0.3">
      <c r="H59326" t="str">
        <f t="shared" si="976"/>
        <v/>
      </c>
    </row>
    <row r="59327" spans="8:8" x14ac:dyDescent="0.3">
      <c r="H59327" t="str">
        <f t="shared" si="976"/>
        <v/>
      </c>
    </row>
    <row r="59328" spans="8:8" x14ac:dyDescent="0.3">
      <c r="H59328" t="str">
        <f t="shared" si="976"/>
        <v/>
      </c>
    </row>
    <row r="59329" spans="8:8" x14ac:dyDescent="0.3">
      <c r="H59329" t="str">
        <f t="shared" si="976"/>
        <v/>
      </c>
    </row>
    <row r="59330" spans="8:8" x14ac:dyDescent="0.3">
      <c r="H59330" t="str">
        <f t="shared" si="976"/>
        <v/>
      </c>
    </row>
    <row r="59331" spans="8:8" x14ac:dyDescent="0.3">
      <c r="H59331" t="str">
        <f t="shared" si="976"/>
        <v/>
      </c>
    </row>
    <row r="59332" spans="8:8" x14ac:dyDescent="0.3">
      <c r="H59332" t="str">
        <f t="shared" si="976"/>
        <v/>
      </c>
    </row>
    <row r="59333" spans="8:8" x14ac:dyDescent="0.3">
      <c r="H59333" t="str">
        <f t="shared" si="976"/>
        <v/>
      </c>
    </row>
    <row r="59334" spans="8:8" x14ac:dyDescent="0.3">
      <c r="H59334" t="str">
        <f t="shared" si="976"/>
        <v/>
      </c>
    </row>
    <row r="59335" spans="8:8" x14ac:dyDescent="0.3">
      <c r="H59335" t="str">
        <f t="shared" si="976"/>
        <v/>
      </c>
    </row>
    <row r="59336" spans="8:8" x14ac:dyDescent="0.3">
      <c r="H59336" t="str">
        <f t="shared" si="976"/>
        <v/>
      </c>
    </row>
    <row r="59337" spans="8:8" x14ac:dyDescent="0.3">
      <c r="H59337" t="str">
        <f t="shared" si="976"/>
        <v/>
      </c>
    </row>
    <row r="59338" spans="8:8" x14ac:dyDescent="0.3">
      <c r="H59338" t="str">
        <f t="shared" si="976"/>
        <v/>
      </c>
    </row>
    <row r="59339" spans="8:8" x14ac:dyDescent="0.3">
      <c r="H59339" t="str">
        <f t="shared" si="976"/>
        <v/>
      </c>
    </row>
    <row r="59340" spans="8:8" x14ac:dyDescent="0.3">
      <c r="H59340" t="str">
        <f t="shared" si="976"/>
        <v/>
      </c>
    </row>
    <row r="59341" spans="8:8" x14ac:dyDescent="0.3">
      <c r="H59341" t="str">
        <f t="shared" si="976"/>
        <v/>
      </c>
    </row>
    <row r="59342" spans="8:8" x14ac:dyDescent="0.3">
      <c r="H59342" t="str">
        <f t="shared" si="976"/>
        <v/>
      </c>
    </row>
    <row r="59343" spans="8:8" x14ac:dyDescent="0.3">
      <c r="H59343" t="str">
        <f t="shared" si="976"/>
        <v/>
      </c>
    </row>
    <row r="59344" spans="8:8" x14ac:dyDescent="0.3">
      <c r="H59344" t="str">
        <f t="shared" si="976"/>
        <v/>
      </c>
    </row>
    <row r="59345" spans="8:8" x14ac:dyDescent="0.3">
      <c r="H59345" t="str">
        <f t="shared" si="976"/>
        <v/>
      </c>
    </row>
    <row r="59346" spans="8:8" x14ac:dyDescent="0.3">
      <c r="H59346" t="str">
        <f t="shared" si="976"/>
        <v/>
      </c>
    </row>
    <row r="59347" spans="8:8" x14ac:dyDescent="0.3">
      <c r="H59347" t="str">
        <f t="shared" si="976"/>
        <v/>
      </c>
    </row>
    <row r="59348" spans="8:8" x14ac:dyDescent="0.3">
      <c r="H59348" t="str">
        <f t="shared" si="976"/>
        <v/>
      </c>
    </row>
    <row r="59349" spans="8:8" x14ac:dyDescent="0.3">
      <c r="H59349" t="str">
        <f t="shared" si="976"/>
        <v/>
      </c>
    </row>
    <row r="59350" spans="8:8" x14ac:dyDescent="0.3">
      <c r="H59350" t="str">
        <f t="shared" si="976"/>
        <v/>
      </c>
    </row>
    <row r="59351" spans="8:8" x14ac:dyDescent="0.3">
      <c r="H59351" t="str">
        <f t="shared" ref="H59351:H59414" si="977">IF(B59351="","",$C$12)</f>
        <v/>
      </c>
    </row>
    <row r="59352" spans="8:8" x14ac:dyDescent="0.3">
      <c r="H59352" t="str">
        <f t="shared" si="977"/>
        <v/>
      </c>
    </row>
    <row r="59353" spans="8:8" x14ac:dyDescent="0.3">
      <c r="H59353" t="str">
        <f t="shared" si="977"/>
        <v/>
      </c>
    </row>
    <row r="59354" spans="8:8" x14ac:dyDescent="0.3">
      <c r="H59354" t="str">
        <f t="shared" si="977"/>
        <v/>
      </c>
    </row>
    <row r="59355" spans="8:8" x14ac:dyDescent="0.3">
      <c r="H59355" t="str">
        <f t="shared" si="977"/>
        <v/>
      </c>
    </row>
    <row r="59356" spans="8:8" x14ac:dyDescent="0.3">
      <c r="H59356" t="str">
        <f t="shared" si="977"/>
        <v/>
      </c>
    </row>
    <row r="59357" spans="8:8" x14ac:dyDescent="0.3">
      <c r="H59357" t="str">
        <f t="shared" si="977"/>
        <v/>
      </c>
    </row>
    <row r="59358" spans="8:8" x14ac:dyDescent="0.3">
      <c r="H59358" t="str">
        <f t="shared" si="977"/>
        <v/>
      </c>
    </row>
    <row r="59359" spans="8:8" x14ac:dyDescent="0.3">
      <c r="H59359" t="str">
        <f t="shared" si="977"/>
        <v/>
      </c>
    </row>
    <row r="59360" spans="8:8" x14ac:dyDescent="0.3">
      <c r="H59360" t="str">
        <f t="shared" si="977"/>
        <v/>
      </c>
    </row>
    <row r="59361" spans="8:8" x14ac:dyDescent="0.3">
      <c r="H59361" t="str">
        <f t="shared" si="977"/>
        <v/>
      </c>
    </row>
    <row r="59362" spans="8:8" x14ac:dyDescent="0.3">
      <c r="H59362" t="str">
        <f t="shared" si="977"/>
        <v/>
      </c>
    </row>
    <row r="59363" spans="8:8" x14ac:dyDescent="0.3">
      <c r="H59363" t="str">
        <f t="shared" si="977"/>
        <v/>
      </c>
    </row>
    <row r="59364" spans="8:8" x14ac:dyDescent="0.3">
      <c r="H59364" t="str">
        <f t="shared" si="977"/>
        <v/>
      </c>
    </row>
    <row r="59365" spans="8:8" x14ac:dyDescent="0.3">
      <c r="H59365" t="str">
        <f t="shared" si="977"/>
        <v/>
      </c>
    </row>
    <row r="59366" spans="8:8" x14ac:dyDescent="0.3">
      <c r="H59366" t="str">
        <f t="shared" si="977"/>
        <v/>
      </c>
    </row>
    <row r="59367" spans="8:8" x14ac:dyDescent="0.3">
      <c r="H59367" t="str">
        <f t="shared" si="977"/>
        <v/>
      </c>
    </row>
    <row r="59368" spans="8:8" x14ac:dyDescent="0.3">
      <c r="H59368" t="str">
        <f t="shared" si="977"/>
        <v/>
      </c>
    </row>
    <row r="59369" spans="8:8" x14ac:dyDescent="0.3">
      <c r="H59369" t="str">
        <f t="shared" si="977"/>
        <v/>
      </c>
    </row>
    <row r="59370" spans="8:8" x14ac:dyDescent="0.3">
      <c r="H59370" t="str">
        <f t="shared" si="977"/>
        <v/>
      </c>
    </row>
    <row r="59371" spans="8:8" x14ac:dyDescent="0.3">
      <c r="H59371" t="str">
        <f t="shared" si="977"/>
        <v/>
      </c>
    </row>
    <row r="59372" spans="8:8" x14ac:dyDescent="0.3">
      <c r="H59372" t="str">
        <f t="shared" si="977"/>
        <v/>
      </c>
    </row>
    <row r="59373" spans="8:8" x14ac:dyDescent="0.3">
      <c r="H59373" t="str">
        <f t="shared" si="977"/>
        <v/>
      </c>
    </row>
    <row r="59374" spans="8:8" x14ac:dyDescent="0.3">
      <c r="H59374" t="str">
        <f t="shared" si="977"/>
        <v/>
      </c>
    </row>
    <row r="59375" spans="8:8" x14ac:dyDescent="0.3">
      <c r="H59375" t="str">
        <f t="shared" si="977"/>
        <v/>
      </c>
    </row>
    <row r="59376" spans="8:8" x14ac:dyDescent="0.3">
      <c r="H59376" t="str">
        <f t="shared" si="977"/>
        <v/>
      </c>
    </row>
    <row r="59377" spans="8:8" x14ac:dyDescent="0.3">
      <c r="H59377" t="str">
        <f t="shared" si="977"/>
        <v/>
      </c>
    </row>
    <row r="59378" spans="8:8" x14ac:dyDescent="0.3">
      <c r="H59378" t="str">
        <f t="shared" si="977"/>
        <v/>
      </c>
    </row>
    <row r="59379" spans="8:8" x14ac:dyDescent="0.3">
      <c r="H59379" t="str">
        <f t="shared" si="977"/>
        <v/>
      </c>
    </row>
    <row r="59380" spans="8:8" x14ac:dyDescent="0.3">
      <c r="H59380" t="str">
        <f t="shared" si="977"/>
        <v/>
      </c>
    </row>
    <row r="59381" spans="8:8" x14ac:dyDescent="0.3">
      <c r="H59381" t="str">
        <f t="shared" si="977"/>
        <v/>
      </c>
    </row>
    <row r="59382" spans="8:8" x14ac:dyDescent="0.3">
      <c r="H59382" t="str">
        <f t="shared" si="977"/>
        <v/>
      </c>
    </row>
    <row r="59383" spans="8:8" x14ac:dyDescent="0.3">
      <c r="H59383" t="str">
        <f t="shared" si="977"/>
        <v/>
      </c>
    </row>
    <row r="59384" spans="8:8" x14ac:dyDescent="0.3">
      <c r="H59384" t="str">
        <f t="shared" si="977"/>
        <v/>
      </c>
    </row>
    <row r="59385" spans="8:8" x14ac:dyDescent="0.3">
      <c r="H59385" t="str">
        <f t="shared" si="977"/>
        <v/>
      </c>
    </row>
    <row r="59386" spans="8:8" x14ac:dyDescent="0.3">
      <c r="H59386" t="str">
        <f t="shared" si="977"/>
        <v/>
      </c>
    </row>
    <row r="59387" spans="8:8" x14ac:dyDescent="0.3">
      <c r="H59387" t="str">
        <f t="shared" si="977"/>
        <v/>
      </c>
    </row>
    <row r="59388" spans="8:8" x14ac:dyDescent="0.3">
      <c r="H59388" t="str">
        <f t="shared" si="977"/>
        <v/>
      </c>
    </row>
    <row r="59389" spans="8:8" x14ac:dyDescent="0.3">
      <c r="H59389" t="str">
        <f t="shared" si="977"/>
        <v/>
      </c>
    </row>
    <row r="59390" spans="8:8" x14ac:dyDescent="0.3">
      <c r="H59390" t="str">
        <f t="shared" si="977"/>
        <v/>
      </c>
    </row>
    <row r="59391" spans="8:8" x14ac:dyDescent="0.3">
      <c r="H59391" t="str">
        <f t="shared" si="977"/>
        <v/>
      </c>
    </row>
    <row r="59392" spans="8:8" x14ac:dyDescent="0.3">
      <c r="H59392" t="str">
        <f t="shared" si="977"/>
        <v/>
      </c>
    </row>
    <row r="59393" spans="8:8" x14ac:dyDescent="0.3">
      <c r="H59393" t="str">
        <f t="shared" si="977"/>
        <v/>
      </c>
    </row>
    <row r="59394" spans="8:8" x14ac:dyDescent="0.3">
      <c r="H59394" t="str">
        <f t="shared" si="977"/>
        <v/>
      </c>
    </row>
    <row r="59395" spans="8:8" x14ac:dyDescent="0.3">
      <c r="H59395" t="str">
        <f t="shared" si="977"/>
        <v/>
      </c>
    </row>
    <row r="59396" spans="8:8" x14ac:dyDescent="0.3">
      <c r="H59396" t="str">
        <f t="shared" si="977"/>
        <v/>
      </c>
    </row>
    <row r="59397" spans="8:8" x14ac:dyDescent="0.3">
      <c r="H59397" t="str">
        <f t="shared" si="977"/>
        <v/>
      </c>
    </row>
    <row r="59398" spans="8:8" x14ac:dyDescent="0.3">
      <c r="H59398" t="str">
        <f t="shared" si="977"/>
        <v/>
      </c>
    </row>
    <row r="59399" spans="8:8" x14ac:dyDescent="0.3">
      <c r="H59399" t="str">
        <f t="shared" si="977"/>
        <v/>
      </c>
    </row>
    <row r="59400" spans="8:8" x14ac:dyDescent="0.3">
      <c r="H59400" t="str">
        <f t="shared" si="977"/>
        <v/>
      </c>
    </row>
    <row r="59401" spans="8:8" x14ac:dyDescent="0.3">
      <c r="H59401" t="str">
        <f t="shared" si="977"/>
        <v/>
      </c>
    </row>
    <row r="59402" spans="8:8" x14ac:dyDescent="0.3">
      <c r="H59402" t="str">
        <f t="shared" si="977"/>
        <v/>
      </c>
    </row>
    <row r="59403" spans="8:8" x14ac:dyDescent="0.3">
      <c r="H59403" t="str">
        <f t="shared" si="977"/>
        <v/>
      </c>
    </row>
    <row r="59404" spans="8:8" x14ac:dyDescent="0.3">
      <c r="H59404" t="str">
        <f t="shared" si="977"/>
        <v/>
      </c>
    </row>
    <row r="59405" spans="8:8" x14ac:dyDescent="0.3">
      <c r="H59405" t="str">
        <f t="shared" si="977"/>
        <v/>
      </c>
    </row>
    <row r="59406" spans="8:8" x14ac:dyDescent="0.3">
      <c r="H59406" t="str">
        <f t="shared" si="977"/>
        <v/>
      </c>
    </row>
    <row r="59407" spans="8:8" x14ac:dyDescent="0.3">
      <c r="H59407" t="str">
        <f t="shared" si="977"/>
        <v/>
      </c>
    </row>
    <row r="59408" spans="8:8" x14ac:dyDescent="0.3">
      <c r="H59408" t="str">
        <f t="shared" si="977"/>
        <v/>
      </c>
    </row>
    <row r="59409" spans="8:8" x14ac:dyDescent="0.3">
      <c r="H59409" t="str">
        <f t="shared" si="977"/>
        <v/>
      </c>
    </row>
    <row r="59410" spans="8:8" x14ac:dyDescent="0.3">
      <c r="H59410" t="str">
        <f t="shared" si="977"/>
        <v/>
      </c>
    </row>
    <row r="59411" spans="8:8" x14ac:dyDescent="0.3">
      <c r="H59411" t="str">
        <f t="shared" si="977"/>
        <v/>
      </c>
    </row>
    <row r="59412" spans="8:8" x14ac:dyDescent="0.3">
      <c r="H59412" t="str">
        <f t="shared" si="977"/>
        <v/>
      </c>
    </row>
    <row r="59413" spans="8:8" x14ac:dyDescent="0.3">
      <c r="H59413" t="str">
        <f t="shared" si="977"/>
        <v/>
      </c>
    </row>
    <row r="59414" spans="8:8" x14ac:dyDescent="0.3">
      <c r="H59414" t="str">
        <f t="shared" si="977"/>
        <v/>
      </c>
    </row>
    <row r="59415" spans="8:8" x14ac:dyDescent="0.3">
      <c r="H59415" t="str">
        <f t="shared" ref="H59415:H59478" si="978">IF(B59415="","",$C$12)</f>
        <v/>
      </c>
    </row>
    <row r="59416" spans="8:8" x14ac:dyDescent="0.3">
      <c r="H59416" t="str">
        <f t="shared" si="978"/>
        <v/>
      </c>
    </row>
    <row r="59417" spans="8:8" x14ac:dyDescent="0.3">
      <c r="H59417" t="str">
        <f t="shared" si="978"/>
        <v/>
      </c>
    </row>
    <row r="59418" spans="8:8" x14ac:dyDescent="0.3">
      <c r="H59418" t="str">
        <f t="shared" si="978"/>
        <v/>
      </c>
    </row>
    <row r="59419" spans="8:8" x14ac:dyDescent="0.3">
      <c r="H59419" t="str">
        <f t="shared" si="978"/>
        <v/>
      </c>
    </row>
    <row r="59420" spans="8:8" x14ac:dyDescent="0.3">
      <c r="H59420" t="str">
        <f t="shared" si="978"/>
        <v/>
      </c>
    </row>
    <row r="59421" spans="8:8" x14ac:dyDescent="0.3">
      <c r="H59421" t="str">
        <f t="shared" si="978"/>
        <v/>
      </c>
    </row>
    <row r="59422" spans="8:8" x14ac:dyDescent="0.3">
      <c r="H59422" t="str">
        <f t="shared" si="978"/>
        <v/>
      </c>
    </row>
    <row r="59423" spans="8:8" x14ac:dyDescent="0.3">
      <c r="H59423" t="str">
        <f t="shared" si="978"/>
        <v/>
      </c>
    </row>
    <row r="59424" spans="8:8" x14ac:dyDescent="0.3">
      <c r="H59424" t="str">
        <f t="shared" si="978"/>
        <v/>
      </c>
    </row>
    <row r="59425" spans="8:8" x14ac:dyDescent="0.3">
      <c r="H59425" t="str">
        <f t="shared" si="978"/>
        <v/>
      </c>
    </row>
    <row r="59426" spans="8:8" x14ac:dyDescent="0.3">
      <c r="H59426" t="str">
        <f t="shared" si="978"/>
        <v/>
      </c>
    </row>
    <row r="59427" spans="8:8" x14ac:dyDescent="0.3">
      <c r="H59427" t="str">
        <f t="shared" si="978"/>
        <v/>
      </c>
    </row>
    <row r="59428" spans="8:8" x14ac:dyDescent="0.3">
      <c r="H59428" t="str">
        <f t="shared" si="978"/>
        <v/>
      </c>
    </row>
    <row r="59429" spans="8:8" x14ac:dyDescent="0.3">
      <c r="H59429" t="str">
        <f t="shared" si="978"/>
        <v/>
      </c>
    </row>
    <row r="59430" spans="8:8" x14ac:dyDescent="0.3">
      <c r="H59430" t="str">
        <f t="shared" si="978"/>
        <v/>
      </c>
    </row>
    <row r="59431" spans="8:8" x14ac:dyDescent="0.3">
      <c r="H59431" t="str">
        <f t="shared" si="978"/>
        <v/>
      </c>
    </row>
    <row r="59432" spans="8:8" x14ac:dyDescent="0.3">
      <c r="H59432" t="str">
        <f t="shared" si="978"/>
        <v/>
      </c>
    </row>
    <row r="59433" spans="8:8" x14ac:dyDescent="0.3">
      <c r="H59433" t="str">
        <f t="shared" si="978"/>
        <v/>
      </c>
    </row>
    <row r="59434" spans="8:8" x14ac:dyDescent="0.3">
      <c r="H59434" t="str">
        <f t="shared" si="978"/>
        <v/>
      </c>
    </row>
    <row r="59435" spans="8:8" x14ac:dyDescent="0.3">
      <c r="H59435" t="str">
        <f t="shared" si="978"/>
        <v/>
      </c>
    </row>
    <row r="59436" spans="8:8" x14ac:dyDescent="0.3">
      <c r="H59436" t="str">
        <f t="shared" si="978"/>
        <v/>
      </c>
    </row>
    <row r="59437" spans="8:8" x14ac:dyDescent="0.3">
      <c r="H59437" t="str">
        <f t="shared" si="978"/>
        <v/>
      </c>
    </row>
    <row r="59438" spans="8:8" x14ac:dyDescent="0.3">
      <c r="H59438" t="str">
        <f t="shared" si="978"/>
        <v/>
      </c>
    </row>
    <row r="59439" spans="8:8" x14ac:dyDescent="0.3">
      <c r="H59439" t="str">
        <f t="shared" si="978"/>
        <v/>
      </c>
    </row>
    <row r="59440" spans="8:8" x14ac:dyDescent="0.3">
      <c r="H59440" t="str">
        <f t="shared" si="978"/>
        <v/>
      </c>
    </row>
    <row r="59441" spans="8:8" x14ac:dyDescent="0.3">
      <c r="H59441" t="str">
        <f t="shared" si="978"/>
        <v/>
      </c>
    </row>
    <row r="59442" spans="8:8" x14ac:dyDescent="0.3">
      <c r="H59442" t="str">
        <f t="shared" si="978"/>
        <v/>
      </c>
    </row>
    <row r="59443" spans="8:8" x14ac:dyDescent="0.3">
      <c r="H59443" t="str">
        <f t="shared" si="978"/>
        <v/>
      </c>
    </row>
    <row r="59444" spans="8:8" x14ac:dyDescent="0.3">
      <c r="H59444" t="str">
        <f t="shared" si="978"/>
        <v/>
      </c>
    </row>
    <row r="59445" spans="8:8" x14ac:dyDescent="0.3">
      <c r="H59445" t="str">
        <f t="shared" si="978"/>
        <v/>
      </c>
    </row>
    <row r="59446" spans="8:8" x14ac:dyDescent="0.3">
      <c r="H59446" t="str">
        <f t="shared" si="978"/>
        <v/>
      </c>
    </row>
    <row r="59447" spans="8:8" x14ac:dyDescent="0.3">
      <c r="H59447" t="str">
        <f t="shared" si="978"/>
        <v/>
      </c>
    </row>
    <row r="59448" spans="8:8" x14ac:dyDescent="0.3">
      <c r="H59448" t="str">
        <f t="shared" si="978"/>
        <v/>
      </c>
    </row>
    <row r="59449" spans="8:8" x14ac:dyDescent="0.3">
      <c r="H59449" t="str">
        <f t="shared" si="978"/>
        <v/>
      </c>
    </row>
    <row r="59450" spans="8:8" x14ac:dyDescent="0.3">
      <c r="H59450" t="str">
        <f t="shared" si="978"/>
        <v/>
      </c>
    </row>
    <row r="59451" spans="8:8" x14ac:dyDescent="0.3">
      <c r="H59451" t="str">
        <f t="shared" si="978"/>
        <v/>
      </c>
    </row>
    <row r="59452" spans="8:8" x14ac:dyDescent="0.3">
      <c r="H59452" t="str">
        <f t="shared" si="978"/>
        <v/>
      </c>
    </row>
    <row r="59453" spans="8:8" x14ac:dyDescent="0.3">
      <c r="H59453" t="str">
        <f t="shared" si="978"/>
        <v/>
      </c>
    </row>
    <row r="59454" spans="8:8" x14ac:dyDescent="0.3">
      <c r="H59454" t="str">
        <f t="shared" si="978"/>
        <v/>
      </c>
    </row>
    <row r="59455" spans="8:8" x14ac:dyDescent="0.3">
      <c r="H59455" t="str">
        <f t="shared" si="978"/>
        <v/>
      </c>
    </row>
    <row r="59456" spans="8:8" x14ac:dyDescent="0.3">
      <c r="H59456" t="str">
        <f t="shared" si="978"/>
        <v/>
      </c>
    </row>
    <row r="59457" spans="8:8" x14ac:dyDescent="0.3">
      <c r="H59457" t="str">
        <f t="shared" si="978"/>
        <v/>
      </c>
    </row>
    <row r="59458" spans="8:8" x14ac:dyDescent="0.3">
      <c r="H59458" t="str">
        <f t="shared" si="978"/>
        <v/>
      </c>
    </row>
    <row r="59459" spans="8:8" x14ac:dyDescent="0.3">
      <c r="H59459" t="str">
        <f t="shared" si="978"/>
        <v/>
      </c>
    </row>
    <row r="59460" spans="8:8" x14ac:dyDescent="0.3">
      <c r="H59460" t="str">
        <f t="shared" si="978"/>
        <v/>
      </c>
    </row>
    <row r="59461" spans="8:8" x14ac:dyDescent="0.3">
      <c r="H59461" t="str">
        <f t="shared" si="978"/>
        <v/>
      </c>
    </row>
    <row r="59462" spans="8:8" x14ac:dyDescent="0.3">
      <c r="H59462" t="str">
        <f t="shared" si="978"/>
        <v/>
      </c>
    </row>
    <row r="59463" spans="8:8" x14ac:dyDescent="0.3">
      <c r="H59463" t="str">
        <f t="shared" si="978"/>
        <v/>
      </c>
    </row>
    <row r="59464" spans="8:8" x14ac:dyDescent="0.3">
      <c r="H59464" t="str">
        <f t="shared" si="978"/>
        <v/>
      </c>
    </row>
    <row r="59465" spans="8:8" x14ac:dyDescent="0.3">
      <c r="H59465" t="str">
        <f t="shared" si="978"/>
        <v/>
      </c>
    </row>
    <row r="59466" spans="8:8" x14ac:dyDescent="0.3">
      <c r="H59466" t="str">
        <f t="shared" si="978"/>
        <v/>
      </c>
    </row>
    <row r="59467" spans="8:8" x14ac:dyDescent="0.3">
      <c r="H59467" t="str">
        <f t="shared" si="978"/>
        <v/>
      </c>
    </row>
    <row r="59468" spans="8:8" x14ac:dyDescent="0.3">
      <c r="H59468" t="str">
        <f t="shared" si="978"/>
        <v/>
      </c>
    </row>
    <row r="59469" spans="8:8" x14ac:dyDescent="0.3">
      <c r="H59469" t="str">
        <f t="shared" si="978"/>
        <v/>
      </c>
    </row>
    <row r="59470" spans="8:8" x14ac:dyDescent="0.3">
      <c r="H59470" t="str">
        <f t="shared" si="978"/>
        <v/>
      </c>
    </row>
    <row r="59471" spans="8:8" x14ac:dyDescent="0.3">
      <c r="H59471" t="str">
        <f t="shared" si="978"/>
        <v/>
      </c>
    </row>
    <row r="59472" spans="8:8" x14ac:dyDescent="0.3">
      <c r="H59472" t="str">
        <f t="shared" si="978"/>
        <v/>
      </c>
    </row>
    <row r="59473" spans="8:8" x14ac:dyDescent="0.3">
      <c r="H59473" t="str">
        <f t="shared" si="978"/>
        <v/>
      </c>
    </row>
    <row r="59474" spans="8:8" x14ac:dyDescent="0.3">
      <c r="H59474" t="str">
        <f t="shared" si="978"/>
        <v/>
      </c>
    </row>
    <row r="59475" spans="8:8" x14ac:dyDescent="0.3">
      <c r="H59475" t="str">
        <f t="shared" si="978"/>
        <v/>
      </c>
    </row>
    <row r="59476" spans="8:8" x14ac:dyDescent="0.3">
      <c r="H59476" t="str">
        <f t="shared" si="978"/>
        <v/>
      </c>
    </row>
    <row r="59477" spans="8:8" x14ac:dyDescent="0.3">
      <c r="H59477" t="str">
        <f t="shared" si="978"/>
        <v/>
      </c>
    </row>
    <row r="59478" spans="8:8" x14ac:dyDescent="0.3">
      <c r="H59478" t="str">
        <f t="shared" si="978"/>
        <v/>
      </c>
    </row>
    <row r="59479" spans="8:8" x14ac:dyDescent="0.3">
      <c r="H59479" t="str">
        <f t="shared" ref="H59479:H59542" si="979">IF(B59479="","",$C$12)</f>
        <v/>
      </c>
    </row>
    <row r="59480" spans="8:8" x14ac:dyDescent="0.3">
      <c r="H59480" t="str">
        <f t="shared" si="979"/>
        <v/>
      </c>
    </row>
    <row r="59481" spans="8:8" x14ac:dyDescent="0.3">
      <c r="H59481" t="str">
        <f t="shared" si="979"/>
        <v/>
      </c>
    </row>
    <row r="59482" spans="8:8" x14ac:dyDescent="0.3">
      <c r="H59482" t="str">
        <f t="shared" si="979"/>
        <v/>
      </c>
    </row>
    <row r="59483" spans="8:8" x14ac:dyDescent="0.3">
      <c r="H59483" t="str">
        <f t="shared" si="979"/>
        <v/>
      </c>
    </row>
    <row r="59484" spans="8:8" x14ac:dyDescent="0.3">
      <c r="H59484" t="str">
        <f t="shared" si="979"/>
        <v/>
      </c>
    </row>
    <row r="59485" spans="8:8" x14ac:dyDescent="0.3">
      <c r="H59485" t="str">
        <f t="shared" si="979"/>
        <v/>
      </c>
    </row>
    <row r="59486" spans="8:8" x14ac:dyDescent="0.3">
      <c r="H59486" t="str">
        <f t="shared" si="979"/>
        <v/>
      </c>
    </row>
    <row r="59487" spans="8:8" x14ac:dyDescent="0.3">
      <c r="H59487" t="str">
        <f t="shared" si="979"/>
        <v/>
      </c>
    </row>
    <row r="59488" spans="8:8" x14ac:dyDescent="0.3">
      <c r="H59488" t="str">
        <f t="shared" si="979"/>
        <v/>
      </c>
    </row>
    <row r="59489" spans="8:8" x14ac:dyDescent="0.3">
      <c r="H59489" t="str">
        <f t="shared" si="979"/>
        <v/>
      </c>
    </row>
    <row r="59490" spans="8:8" x14ac:dyDescent="0.3">
      <c r="H59490" t="str">
        <f t="shared" si="979"/>
        <v/>
      </c>
    </row>
    <row r="59491" spans="8:8" x14ac:dyDescent="0.3">
      <c r="H59491" t="str">
        <f t="shared" si="979"/>
        <v/>
      </c>
    </row>
    <row r="59492" spans="8:8" x14ac:dyDescent="0.3">
      <c r="H59492" t="str">
        <f t="shared" si="979"/>
        <v/>
      </c>
    </row>
    <row r="59493" spans="8:8" x14ac:dyDescent="0.3">
      <c r="H59493" t="str">
        <f t="shared" si="979"/>
        <v/>
      </c>
    </row>
    <row r="59494" spans="8:8" x14ac:dyDescent="0.3">
      <c r="H59494" t="str">
        <f t="shared" si="979"/>
        <v/>
      </c>
    </row>
    <row r="59495" spans="8:8" x14ac:dyDescent="0.3">
      <c r="H59495" t="str">
        <f t="shared" si="979"/>
        <v/>
      </c>
    </row>
    <row r="59496" spans="8:8" x14ac:dyDescent="0.3">
      <c r="H59496" t="str">
        <f t="shared" si="979"/>
        <v/>
      </c>
    </row>
    <row r="59497" spans="8:8" x14ac:dyDescent="0.3">
      <c r="H59497" t="str">
        <f t="shared" si="979"/>
        <v/>
      </c>
    </row>
    <row r="59498" spans="8:8" x14ac:dyDescent="0.3">
      <c r="H59498" t="str">
        <f t="shared" si="979"/>
        <v/>
      </c>
    </row>
    <row r="59499" spans="8:8" x14ac:dyDescent="0.3">
      <c r="H59499" t="str">
        <f t="shared" si="979"/>
        <v/>
      </c>
    </row>
    <row r="59500" spans="8:8" x14ac:dyDescent="0.3">
      <c r="H59500" t="str">
        <f t="shared" si="979"/>
        <v/>
      </c>
    </row>
    <row r="59501" spans="8:8" x14ac:dyDescent="0.3">
      <c r="H59501" t="str">
        <f t="shared" si="979"/>
        <v/>
      </c>
    </row>
    <row r="59502" spans="8:8" x14ac:dyDescent="0.3">
      <c r="H59502" t="str">
        <f t="shared" si="979"/>
        <v/>
      </c>
    </row>
    <row r="59503" spans="8:8" x14ac:dyDescent="0.3">
      <c r="H59503" t="str">
        <f t="shared" si="979"/>
        <v/>
      </c>
    </row>
    <row r="59504" spans="8:8" x14ac:dyDescent="0.3">
      <c r="H59504" t="str">
        <f t="shared" si="979"/>
        <v/>
      </c>
    </row>
    <row r="59505" spans="8:8" x14ac:dyDescent="0.3">
      <c r="H59505" t="str">
        <f t="shared" si="979"/>
        <v/>
      </c>
    </row>
    <row r="59506" spans="8:8" x14ac:dyDescent="0.3">
      <c r="H59506" t="str">
        <f t="shared" si="979"/>
        <v/>
      </c>
    </row>
    <row r="59507" spans="8:8" x14ac:dyDescent="0.3">
      <c r="H59507" t="str">
        <f t="shared" si="979"/>
        <v/>
      </c>
    </row>
    <row r="59508" spans="8:8" x14ac:dyDescent="0.3">
      <c r="H59508" t="str">
        <f t="shared" si="979"/>
        <v/>
      </c>
    </row>
    <row r="59509" spans="8:8" x14ac:dyDescent="0.3">
      <c r="H59509" t="str">
        <f t="shared" si="979"/>
        <v/>
      </c>
    </row>
    <row r="59510" spans="8:8" x14ac:dyDescent="0.3">
      <c r="H59510" t="str">
        <f t="shared" si="979"/>
        <v/>
      </c>
    </row>
    <row r="59511" spans="8:8" x14ac:dyDescent="0.3">
      <c r="H59511" t="str">
        <f t="shared" si="979"/>
        <v/>
      </c>
    </row>
    <row r="59512" spans="8:8" x14ac:dyDescent="0.3">
      <c r="H59512" t="str">
        <f t="shared" si="979"/>
        <v/>
      </c>
    </row>
    <row r="59513" spans="8:8" x14ac:dyDescent="0.3">
      <c r="H59513" t="str">
        <f t="shared" si="979"/>
        <v/>
      </c>
    </row>
    <row r="59514" spans="8:8" x14ac:dyDescent="0.3">
      <c r="H59514" t="str">
        <f t="shared" si="979"/>
        <v/>
      </c>
    </row>
    <row r="59515" spans="8:8" x14ac:dyDescent="0.3">
      <c r="H59515" t="str">
        <f t="shared" si="979"/>
        <v/>
      </c>
    </row>
    <row r="59516" spans="8:8" x14ac:dyDescent="0.3">
      <c r="H59516" t="str">
        <f t="shared" si="979"/>
        <v/>
      </c>
    </row>
    <row r="59517" spans="8:8" x14ac:dyDescent="0.3">
      <c r="H59517" t="str">
        <f t="shared" si="979"/>
        <v/>
      </c>
    </row>
    <row r="59518" spans="8:8" x14ac:dyDescent="0.3">
      <c r="H59518" t="str">
        <f t="shared" si="979"/>
        <v/>
      </c>
    </row>
    <row r="59519" spans="8:8" x14ac:dyDescent="0.3">
      <c r="H59519" t="str">
        <f t="shared" si="979"/>
        <v/>
      </c>
    </row>
    <row r="59520" spans="8:8" x14ac:dyDescent="0.3">
      <c r="H59520" t="str">
        <f t="shared" si="979"/>
        <v/>
      </c>
    </row>
    <row r="59521" spans="8:8" x14ac:dyDescent="0.3">
      <c r="H59521" t="str">
        <f t="shared" si="979"/>
        <v/>
      </c>
    </row>
    <row r="59522" spans="8:8" x14ac:dyDescent="0.3">
      <c r="H59522" t="str">
        <f t="shared" si="979"/>
        <v/>
      </c>
    </row>
    <row r="59523" spans="8:8" x14ac:dyDescent="0.3">
      <c r="H59523" t="str">
        <f t="shared" si="979"/>
        <v/>
      </c>
    </row>
    <row r="59524" spans="8:8" x14ac:dyDescent="0.3">
      <c r="H59524" t="str">
        <f t="shared" si="979"/>
        <v/>
      </c>
    </row>
    <row r="59525" spans="8:8" x14ac:dyDescent="0.3">
      <c r="H59525" t="str">
        <f t="shared" si="979"/>
        <v/>
      </c>
    </row>
    <row r="59526" spans="8:8" x14ac:dyDescent="0.3">
      <c r="H59526" t="str">
        <f t="shared" si="979"/>
        <v/>
      </c>
    </row>
    <row r="59527" spans="8:8" x14ac:dyDescent="0.3">
      <c r="H59527" t="str">
        <f t="shared" si="979"/>
        <v/>
      </c>
    </row>
    <row r="59528" spans="8:8" x14ac:dyDescent="0.3">
      <c r="H59528" t="str">
        <f t="shared" si="979"/>
        <v/>
      </c>
    </row>
    <row r="59529" spans="8:8" x14ac:dyDescent="0.3">
      <c r="H59529" t="str">
        <f t="shared" si="979"/>
        <v/>
      </c>
    </row>
    <row r="59530" spans="8:8" x14ac:dyDescent="0.3">
      <c r="H59530" t="str">
        <f t="shared" si="979"/>
        <v/>
      </c>
    </row>
    <row r="59531" spans="8:8" x14ac:dyDescent="0.3">
      <c r="H59531" t="str">
        <f t="shared" si="979"/>
        <v/>
      </c>
    </row>
    <row r="59532" spans="8:8" x14ac:dyDescent="0.3">
      <c r="H59532" t="str">
        <f t="shared" si="979"/>
        <v/>
      </c>
    </row>
    <row r="59533" spans="8:8" x14ac:dyDescent="0.3">
      <c r="H59533" t="str">
        <f t="shared" si="979"/>
        <v/>
      </c>
    </row>
    <row r="59534" spans="8:8" x14ac:dyDescent="0.3">
      <c r="H59534" t="str">
        <f t="shared" si="979"/>
        <v/>
      </c>
    </row>
    <row r="59535" spans="8:8" x14ac:dyDescent="0.3">
      <c r="H59535" t="str">
        <f t="shared" si="979"/>
        <v/>
      </c>
    </row>
    <row r="59536" spans="8:8" x14ac:dyDescent="0.3">
      <c r="H59536" t="str">
        <f t="shared" si="979"/>
        <v/>
      </c>
    </row>
    <row r="59537" spans="8:8" x14ac:dyDescent="0.3">
      <c r="H59537" t="str">
        <f t="shared" si="979"/>
        <v/>
      </c>
    </row>
    <row r="59538" spans="8:8" x14ac:dyDescent="0.3">
      <c r="H59538" t="str">
        <f t="shared" si="979"/>
        <v/>
      </c>
    </row>
    <row r="59539" spans="8:8" x14ac:dyDescent="0.3">
      <c r="H59539" t="str">
        <f t="shared" si="979"/>
        <v/>
      </c>
    </row>
    <row r="59540" spans="8:8" x14ac:dyDescent="0.3">
      <c r="H59540" t="str">
        <f t="shared" si="979"/>
        <v/>
      </c>
    </row>
    <row r="59541" spans="8:8" x14ac:dyDescent="0.3">
      <c r="H59541" t="str">
        <f t="shared" si="979"/>
        <v/>
      </c>
    </row>
    <row r="59542" spans="8:8" x14ac:dyDescent="0.3">
      <c r="H59542" t="str">
        <f t="shared" si="979"/>
        <v/>
      </c>
    </row>
    <row r="59543" spans="8:8" x14ac:dyDescent="0.3">
      <c r="H59543" t="str">
        <f t="shared" ref="H59543:H59606" si="980">IF(B59543="","",$C$12)</f>
        <v/>
      </c>
    </row>
    <row r="59544" spans="8:8" x14ac:dyDescent="0.3">
      <c r="H59544" t="str">
        <f t="shared" si="980"/>
        <v/>
      </c>
    </row>
    <row r="59545" spans="8:8" x14ac:dyDescent="0.3">
      <c r="H59545" t="str">
        <f t="shared" si="980"/>
        <v/>
      </c>
    </row>
    <row r="59546" spans="8:8" x14ac:dyDescent="0.3">
      <c r="H59546" t="str">
        <f t="shared" si="980"/>
        <v/>
      </c>
    </row>
    <row r="59547" spans="8:8" x14ac:dyDescent="0.3">
      <c r="H59547" t="str">
        <f t="shared" si="980"/>
        <v/>
      </c>
    </row>
    <row r="59548" spans="8:8" x14ac:dyDescent="0.3">
      <c r="H59548" t="str">
        <f t="shared" si="980"/>
        <v/>
      </c>
    </row>
    <row r="59549" spans="8:8" x14ac:dyDescent="0.3">
      <c r="H59549" t="str">
        <f t="shared" si="980"/>
        <v/>
      </c>
    </row>
    <row r="59550" spans="8:8" x14ac:dyDescent="0.3">
      <c r="H59550" t="str">
        <f t="shared" si="980"/>
        <v/>
      </c>
    </row>
    <row r="59551" spans="8:8" x14ac:dyDescent="0.3">
      <c r="H59551" t="str">
        <f t="shared" si="980"/>
        <v/>
      </c>
    </row>
    <row r="59552" spans="8:8" x14ac:dyDescent="0.3">
      <c r="H59552" t="str">
        <f t="shared" si="980"/>
        <v/>
      </c>
    </row>
    <row r="59553" spans="8:8" x14ac:dyDescent="0.3">
      <c r="H59553" t="str">
        <f t="shared" si="980"/>
        <v/>
      </c>
    </row>
    <row r="59554" spans="8:8" x14ac:dyDescent="0.3">
      <c r="H59554" t="str">
        <f t="shared" si="980"/>
        <v/>
      </c>
    </row>
    <row r="59555" spans="8:8" x14ac:dyDescent="0.3">
      <c r="H59555" t="str">
        <f t="shared" si="980"/>
        <v/>
      </c>
    </row>
    <row r="59556" spans="8:8" x14ac:dyDescent="0.3">
      <c r="H59556" t="str">
        <f t="shared" si="980"/>
        <v/>
      </c>
    </row>
    <row r="59557" spans="8:8" x14ac:dyDescent="0.3">
      <c r="H59557" t="str">
        <f t="shared" si="980"/>
        <v/>
      </c>
    </row>
    <row r="59558" spans="8:8" x14ac:dyDescent="0.3">
      <c r="H59558" t="str">
        <f t="shared" si="980"/>
        <v/>
      </c>
    </row>
    <row r="59559" spans="8:8" x14ac:dyDescent="0.3">
      <c r="H59559" t="str">
        <f t="shared" si="980"/>
        <v/>
      </c>
    </row>
    <row r="59560" spans="8:8" x14ac:dyDescent="0.3">
      <c r="H59560" t="str">
        <f t="shared" si="980"/>
        <v/>
      </c>
    </row>
    <row r="59561" spans="8:8" x14ac:dyDescent="0.3">
      <c r="H59561" t="str">
        <f t="shared" si="980"/>
        <v/>
      </c>
    </row>
    <row r="59562" spans="8:8" x14ac:dyDescent="0.3">
      <c r="H59562" t="str">
        <f t="shared" si="980"/>
        <v/>
      </c>
    </row>
    <row r="59563" spans="8:8" x14ac:dyDescent="0.3">
      <c r="H59563" t="str">
        <f t="shared" si="980"/>
        <v/>
      </c>
    </row>
    <row r="59564" spans="8:8" x14ac:dyDescent="0.3">
      <c r="H59564" t="str">
        <f t="shared" si="980"/>
        <v/>
      </c>
    </row>
    <row r="59565" spans="8:8" x14ac:dyDescent="0.3">
      <c r="H59565" t="str">
        <f t="shared" si="980"/>
        <v/>
      </c>
    </row>
    <row r="59566" spans="8:8" x14ac:dyDescent="0.3">
      <c r="H59566" t="str">
        <f t="shared" si="980"/>
        <v/>
      </c>
    </row>
    <row r="59567" spans="8:8" x14ac:dyDescent="0.3">
      <c r="H59567" t="str">
        <f t="shared" si="980"/>
        <v/>
      </c>
    </row>
    <row r="59568" spans="8:8" x14ac:dyDescent="0.3">
      <c r="H59568" t="str">
        <f t="shared" si="980"/>
        <v/>
      </c>
    </row>
    <row r="59569" spans="8:8" x14ac:dyDescent="0.3">
      <c r="H59569" t="str">
        <f t="shared" si="980"/>
        <v/>
      </c>
    </row>
    <row r="59570" spans="8:8" x14ac:dyDescent="0.3">
      <c r="H59570" t="str">
        <f t="shared" si="980"/>
        <v/>
      </c>
    </row>
    <row r="59571" spans="8:8" x14ac:dyDescent="0.3">
      <c r="H59571" t="str">
        <f t="shared" si="980"/>
        <v/>
      </c>
    </row>
    <row r="59572" spans="8:8" x14ac:dyDescent="0.3">
      <c r="H59572" t="str">
        <f t="shared" si="980"/>
        <v/>
      </c>
    </row>
    <row r="59573" spans="8:8" x14ac:dyDescent="0.3">
      <c r="H59573" t="str">
        <f t="shared" si="980"/>
        <v/>
      </c>
    </row>
    <row r="59574" spans="8:8" x14ac:dyDescent="0.3">
      <c r="H59574" t="str">
        <f t="shared" si="980"/>
        <v/>
      </c>
    </row>
    <row r="59575" spans="8:8" x14ac:dyDescent="0.3">
      <c r="H59575" t="str">
        <f t="shared" si="980"/>
        <v/>
      </c>
    </row>
    <row r="59576" spans="8:8" x14ac:dyDescent="0.3">
      <c r="H59576" t="str">
        <f t="shared" si="980"/>
        <v/>
      </c>
    </row>
    <row r="59577" spans="8:8" x14ac:dyDescent="0.3">
      <c r="H59577" t="str">
        <f t="shared" si="980"/>
        <v/>
      </c>
    </row>
    <row r="59578" spans="8:8" x14ac:dyDescent="0.3">
      <c r="H59578" t="str">
        <f t="shared" si="980"/>
        <v/>
      </c>
    </row>
    <row r="59579" spans="8:8" x14ac:dyDescent="0.3">
      <c r="H59579" t="str">
        <f t="shared" si="980"/>
        <v/>
      </c>
    </row>
    <row r="59580" spans="8:8" x14ac:dyDescent="0.3">
      <c r="H59580" t="str">
        <f t="shared" si="980"/>
        <v/>
      </c>
    </row>
    <row r="59581" spans="8:8" x14ac:dyDescent="0.3">
      <c r="H59581" t="str">
        <f t="shared" si="980"/>
        <v/>
      </c>
    </row>
    <row r="59582" spans="8:8" x14ac:dyDescent="0.3">
      <c r="H59582" t="str">
        <f t="shared" si="980"/>
        <v/>
      </c>
    </row>
    <row r="59583" spans="8:8" x14ac:dyDescent="0.3">
      <c r="H59583" t="str">
        <f t="shared" si="980"/>
        <v/>
      </c>
    </row>
    <row r="59584" spans="8:8" x14ac:dyDescent="0.3">
      <c r="H59584" t="str">
        <f t="shared" si="980"/>
        <v/>
      </c>
    </row>
    <row r="59585" spans="8:8" x14ac:dyDescent="0.3">
      <c r="H59585" t="str">
        <f t="shared" si="980"/>
        <v/>
      </c>
    </row>
    <row r="59586" spans="8:8" x14ac:dyDescent="0.3">
      <c r="H59586" t="str">
        <f t="shared" si="980"/>
        <v/>
      </c>
    </row>
    <row r="59587" spans="8:8" x14ac:dyDescent="0.3">
      <c r="H59587" t="str">
        <f t="shared" si="980"/>
        <v/>
      </c>
    </row>
    <row r="59588" spans="8:8" x14ac:dyDescent="0.3">
      <c r="H59588" t="str">
        <f t="shared" si="980"/>
        <v/>
      </c>
    </row>
    <row r="59589" spans="8:8" x14ac:dyDescent="0.3">
      <c r="H59589" t="str">
        <f t="shared" si="980"/>
        <v/>
      </c>
    </row>
    <row r="59590" spans="8:8" x14ac:dyDescent="0.3">
      <c r="H59590" t="str">
        <f t="shared" si="980"/>
        <v/>
      </c>
    </row>
    <row r="59591" spans="8:8" x14ac:dyDescent="0.3">
      <c r="H59591" t="str">
        <f t="shared" si="980"/>
        <v/>
      </c>
    </row>
    <row r="59592" spans="8:8" x14ac:dyDescent="0.3">
      <c r="H59592" t="str">
        <f t="shared" si="980"/>
        <v/>
      </c>
    </row>
    <row r="59593" spans="8:8" x14ac:dyDescent="0.3">
      <c r="H59593" t="str">
        <f t="shared" si="980"/>
        <v/>
      </c>
    </row>
    <row r="59594" spans="8:8" x14ac:dyDescent="0.3">
      <c r="H59594" t="str">
        <f t="shared" si="980"/>
        <v/>
      </c>
    </row>
    <row r="59595" spans="8:8" x14ac:dyDescent="0.3">
      <c r="H59595" t="str">
        <f t="shared" si="980"/>
        <v/>
      </c>
    </row>
    <row r="59596" spans="8:8" x14ac:dyDescent="0.3">
      <c r="H59596" t="str">
        <f t="shared" si="980"/>
        <v/>
      </c>
    </row>
    <row r="59597" spans="8:8" x14ac:dyDescent="0.3">
      <c r="H59597" t="str">
        <f t="shared" si="980"/>
        <v/>
      </c>
    </row>
    <row r="59598" spans="8:8" x14ac:dyDescent="0.3">
      <c r="H59598" t="str">
        <f t="shared" si="980"/>
        <v/>
      </c>
    </row>
    <row r="59599" spans="8:8" x14ac:dyDescent="0.3">
      <c r="H59599" t="str">
        <f t="shared" si="980"/>
        <v/>
      </c>
    </row>
    <row r="59600" spans="8:8" x14ac:dyDescent="0.3">
      <c r="H59600" t="str">
        <f t="shared" si="980"/>
        <v/>
      </c>
    </row>
    <row r="59601" spans="8:8" x14ac:dyDescent="0.3">
      <c r="H59601" t="str">
        <f t="shared" si="980"/>
        <v/>
      </c>
    </row>
    <row r="59602" spans="8:8" x14ac:dyDescent="0.3">
      <c r="H59602" t="str">
        <f t="shared" si="980"/>
        <v/>
      </c>
    </row>
    <row r="59603" spans="8:8" x14ac:dyDescent="0.3">
      <c r="H59603" t="str">
        <f t="shared" si="980"/>
        <v/>
      </c>
    </row>
    <row r="59604" spans="8:8" x14ac:dyDescent="0.3">
      <c r="H59604" t="str">
        <f t="shared" si="980"/>
        <v/>
      </c>
    </row>
    <row r="59605" spans="8:8" x14ac:dyDescent="0.3">
      <c r="H59605" t="str">
        <f t="shared" si="980"/>
        <v/>
      </c>
    </row>
    <row r="59606" spans="8:8" x14ac:dyDescent="0.3">
      <c r="H59606" t="str">
        <f t="shared" si="980"/>
        <v/>
      </c>
    </row>
    <row r="59607" spans="8:8" x14ac:dyDescent="0.3">
      <c r="H59607" t="str">
        <f t="shared" ref="H59607:H59670" si="981">IF(B59607="","",$C$12)</f>
        <v/>
      </c>
    </row>
    <row r="59608" spans="8:8" x14ac:dyDescent="0.3">
      <c r="H59608" t="str">
        <f t="shared" si="981"/>
        <v/>
      </c>
    </row>
    <row r="59609" spans="8:8" x14ac:dyDescent="0.3">
      <c r="H59609" t="str">
        <f t="shared" si="981"/>
        <v/>
      </c>
    </row>
    <row r="59610" spans="8:8" x14ac:dyDescent="0.3">
      <c r="H59610" t="str">
        <f t="shared" si="981"/>
        <v/>
      </c>
    </row>
    <row r="59611" spans="8:8" x14ac:dyDescent="0.3">
      <c r="H59611" t="str">
        <f t="shared" si="981"/>
        <v/>
      </c>
    </row>
    <row r="59612" spans="8:8" x14ac:dyDescent="0.3">
      <c r="H59612" t="str">
        <f t="shared" si="981"/>
        <v/>
      </c>
    </row>
    <row r="59613" spans="8:8" x14ac:dyDescent="0.3">
      <c r="H59613" t="str">
        <f t="shared" si="981"/>
        <v/>
      </c>
    </row>
    <row r="59614" spans="8:8" x14ac:dyDescent="0.3">
      <c r="H59614" t="str">
        <f t="shared" si="981"/>
        <v/>
      </c>
    </row>
    <row r="59615" spans="8:8" x14ac:dyDescent="0.3">
      <c r="H59615" t="str">
        <f t="shared" si="981"/>
        <v/>
      </c>
    </row>
    <row r="59616" spans="8:8" x14ac:dyDescent="0.3">
      <c r="H59616" t="str">
        <f t="shared" si="981"/>
        <v/>
      </c>
    </row>
    <row r="59617" spans="8:8" x14ac:dyDescent="0.3">
      <c r="H59617" t="str">
        <f t="shared" si="981"/>
        <v/>
      </c>
    </row>
    <row r="59618" spans="8:8" x14ac:dyDescent="0.3">
      <c r="H59618" t="str">
        <f t="shared" si="981"/>
        <v/>
      </c>
    </row>
    <row r="59619" spans="8:8" x14ac:dyDescent="0.3">
      <c r="H59619" t="str">
        <f t="shared" si="981"/>
        <v/>
      </c>
    </row>
    <row r="59620" spans="8:8" x14ac:dyDescent="0.3">
      <c r="H59620" t="str">
        <f t="shared" si="981"/>
        <v/>
      </c>
    </row>
    <row r="59621" spans="8:8" x14ac:dyDescent="0.3">
      <c r="H59621" t="str">
        <f t="shared" si="981"/>
        <v/>
      </c>
    </row>
    <row r="59622" spans="8:8" x14ac:dyDescent="0.3">
      <c r="H59622" t="str">
        <f t="shared" si="981"/>
        <v/>
      </c>
    </row>
    <row r="59623" spans="8:8" x14ac:dyDescent="0.3">
      <c r="H59623" t="str">
        <f t="shared" si="981"/>
        <v/>
      </c>
    </row>
    <row r="59624" spans="8:8" x14ac:dyDescent="0.3">
      <c r="H59624" t="str">
        <f t="shared" si="981"/>
        <v/>
      </c>
    </row>
    <row r="59625" spans="8:8" x14ac:dyDescent="0.3">
      <c r="H59625" t="str">
        <f t="shared" si="981"/>
        <v/>
      </c>
    </row>
    <row r="59626" spans="8:8" x14ac:dyDescent="0.3">
      <c r="H59626" t="str">
        <f t="shared" si="981"/>
        <v/>
      </c>
    </row>
    <row r="59627" spans="8:8" x14ac:dyDescent="0.3">
      <c r="H59627" t="str">
        <f t="shared" si="981"/>
        <v/>
      </c>
    </row>
    <row r="59628" spans="8:8" x14ac:dyDescent="0.3">
      <c r="H59628" t="str">
        <f t="shared" si="981"/>
        <v/>
      </c>
    </row>
    <row r="59629" spans="8:8" x14ac:dyDescent="0.3">
      <c r="H59629" t="str">
        <f t="shared" si="981"/>
        <v/>
      </c>
    </row>
    <row r="59630" spans="8:8" x14ac:dyDescent="0.3">
      <c r="H59630" t="str">
        <f t="shared" si="981"/>
        <v/>
      </c>
    </row>
    <row r="59631" spans="8:8" x14ac:dyDescent="0.3">
      <c r="H59631" t="str">
        <f t="shared" si="981"/>
        <v/>
      </c>
    </row>
    <row r="59632" spans="8:8" x14ac:dyDescent="0.3">
      <c r="H59632" t="str">
        <f t="shared" si="981"/>
        <v/>
      </c>
    </row>
    <row r="59633" spans="8:8" x14ac:dyDescent="0.3">
      <c r="H59633" t="str">
        <f t="shared" si="981"/>
        <v/>
      </c>
    </row>
    <row r="59634" spans="8:8" x14ac:dyDescent="0.3">
      <c r="H59634" t="str">
        <f t="shared" si="981"/>
        <v/>
      </c>
    </row>
    <row r="59635" spans="8:8" x14ac:dyDescent="0.3">
      <c r="H59635" t="str">
        <f t="shared" si="981"/>
        <v/>
      </c>
    </row>
    <row r="59636" spans="8:8" x14ac:dyDescent="0.3">
      <c r="H59636" t="str">
        <f t="shared" si="981"/>
        <v/>
      </c>
    </row>
    <row r="59637" spans="8:8" x14ac:dyDescent="0.3">
      <c r="H59637" t="str">
        <f t="shared" si="981"/>
        <v/>
      </c>
    </row>
    <row r="59638" spans="8:8" x14ac:dyDescent="0.3">
      <c r="H59638" t="str">
        <f t="shared" si="981"/>
        <v/>
      </c>
    </row>
    <row r="59639" spans="8:8" x14ac:dyDescent="0.3">
      <c r="H59639" t="str">
        <f t="shared" si="981"/>
        <v/>
      </c>
    </row>
    <row r="59640" spans="8:8" x14ac:dyDescent="0.3">
      <c r="H59640" t="str">
        <f t="shared" si="981"/>
        <v/>
      </c>
    </row>
    <row r="59641" spans="8:8" x14ac:dyDescent="0.3">
      <c r="H59641" t="str">
        <f t="shared" si="981"/>
        <v/>
      </c>
    </row>
    <row r="59642" spans="8:8" x14ac:dyDescent="0.3">
      <c r="H59642" t="str">
        <f t="shared" si="981"/>
        <v/>
      </c>
    </row>
    <row r="59643" spans="8:8" x14ac:dyDescent="0.3">
      <c r="H59643" t="str">
        <f t="shared" si="981"/>
        <v/>
      </c>
    </row>
    <row r="59644" spans="8:8" x14ac:dyDescent="0.3">
      <c r="H59644" t="str">
        <f t="shared" si="981"/>
        <v/>
      </c>
    </row>
    <row r="59645" spans="8:8" x14ac:dyDescent="0.3">
      <c r="H59645" t="str">
        <f t="shared" si="981"/>
        <v/>
      </c>
    </row>
    <row r="59646" spans="8:8" x14ac:dyDescent="0.3">
      <c r="H59646" t="str">
        <f t="shared" si="981"/>
        <v/>
      </c>
    </row>
    <row r="59647" spans="8:8" x14ac:dyDescent="0.3">
      <c r="H59647" t="str">
        <f t="shared" si="981"/>
        <v/>
      </c>
    </row>
    <row r="59648" spans="8:8" x14ac:dyDescent="0.3">
      <c r="H59648" t="str">
        <f t="shared" si="981"/>
        <v/>
      </c>
    </row>
    <row r="59649" spans="8:8" x14ac:dyDescent="0.3">
      <c r="H59649" t="str">
        <f t="shared" si="981"/>
        <v/>
      </c>
    </row>
    <row r="59650" spans="8:8" x14ac:dyDescent="0.3">
      <c r="H59650" t="str">
        <f t="shared" si="981"/>
        <v/>
      </c>
    </row>
    <row r="59651" spans="8:8" x14ac:dyDescent="0.3">
      <c r="H59651" t="str">
        <f t="shared" si="981"/>
        <v/>
      </c>
    </row>
    <row r="59652" spans="8:8" x14ac:dyDescent="0.3">
      <c r="H59652" t="str">
        <f t="shared" si="981"/>
        <v/>
      </c>
    </row>
    <row r="59653" spans="8:8" x14ac:dyDescent="0.3">
      <c r="H59653" t="str">
        <f t="shared" si="981"/>
        <v/>
      </c>
    </row>
    <row r="59654" spans="8:8" x14ac:dyDescent="0.3">
      <c r="H59654" t="str">
        <f t="shared" si="981"/>
        <v/>
      </c>
    </row>
    <row r="59655" spans="8:8" x14ac:dyDescent="0.3">
      <c r="H59655" t="str">
        <f t="shared" si="981"/>
        <v/>
      </c>
    </row>
    <row r="59656" spans="8:8" x14ac:dyDescent="0.3">
      <c r="H59656" t="str">
        <f t="shared" si="981"/>
        <v/>
      </c>
    </row>
    <row r="59657" spans="8:8" x14ac:dyDescent="0.3">
      <c r="H59657" t="str">
        <f t="shared" si="981"/>
        <v/>
      </c>
    </row>
    <row r="59658" spans="8:8" x14ac:dyDescent="0.3">
      <c r="H59658" t="str">
        <f t="shared" si="981"/>
        <v/>
      </c>
    </row>
    <row r="59659" spans="8:8" x14ac:dyDescent="0.3">
      <c r="H59659" t="str">
        <f t="shared" si="981"/>
        <v/>
      </c>
    </row>
    <row r="59660" spans="8:8" x14ac:dyDescent="0.3">
      <c r="H59660" t="str">
        <f t="shared" si="981"/>
        <v/>
      </c>
    </row>
    <row r="59661" spans="8:8" x14ac:dyDescent="0.3">
      <c r="H59661" t="str">
        <f t="shared" si="981"/>
        <v/>
      </c>
    </row>
    <row r="59662" spans="8:8" x14ac:dyDescent="0.3">
      <c r="H59662" t="str">
        <f t="shared" si="981"/>
        <v/>
      </c>
    </row>
    <row r="59663" spans="8:8" x14ac:dyDescent="0.3">
      <c r="H59663" t="str">
        <f t="shared" si="981"/>
        <v/>
      </c>
    </row>
    <row r="59664" spans="8:8" x14ac:dyDescent="0.3">
      <c r="H59664" t="str">
        <f t="shared" si="981"/>
        <v/>
      </c>
    </row>
    <row r="59665" spans="8:8" x14ac:dyDescent="0.3">
      <c r="H59665" t="str">
        <f t="shared" si="981"/>
        <v/>
      </c>
    </row>
    <row r="59666" spans="8:8" x14ac:dyDescent="0.3">
      <c r="H59666" t="str">
        <f t="shared" si="981"/>
        <v/>
      </c>
    </row>
    <row r="59667" spans="8:8" x14ac:dyDescent="0.3">
      <c r="H59667" t="str">
        <f t="shared" si="981"/>
        <v/>
      </c>
    </row>
    <row r="59668" spans="8:8" x14ac:dyDescent="0.3">
      <c r="H59668" t="str">
        <f t="shared" si="981"/>
        <v/>
      </c>
    </row>
    <row r="59669" spans="8:8" x14ac:dyDescent="0.3">
      <c r="H59669" t="str">
        <f t="shared" si="981"/>
        <v/>
      </c>
    </row>
    <row r="59670" spans="8:8" x14ac:dyDescent="0.3">
      <c r="H59670" t="str">
        <f t="shared" si="981"/>
        <v/>
      </c>
    </row>
    <row r="59671" spans="8:8" x14ac:dyDescent="0.3">
      <c r="H59671" t="str">
        <f t="shared" ref="H59671:H59734" si="982">IF(B59671="","",$C$12)</f>
        <v/>
      </c>
    </row>
    <row r="59672" spans="8:8" x14ac:dyDescent="0.3">
      <c r="H59672" t="str">
        <f t="shared" si="982"/>
        <v/>
      </c>
    </row>
    <row r="59673" spans="8:8" x14ac:dyDescent="0.3">
      <c r="H59673" t="str">
        <f t="shared" si="982"/>
        <v/>
      </c>
    </row>
    <row r="59674" spans="8:8" x14ac:dyDescent="0.3">
      <c r="H59674" t="str">
        <f t="shared" si="982"/>
        <v/>
      </c>
    </row>
    <row r="59675" spans="8:8" x14ac:dyDescent="0.3">
      <c r="H59675" t="str">
        <f t="shared" si="982"/>
        <v/>
      </c>
    </row>
    <row r="59676" spans="8:8" x14ac:dyDescent="0.3">
      <c r="H59676" t="str">
        <f t="shared" si="982"/>
        <v/>
      </c>
    </row>
    <row r="59677" spans="8:8" x14ac:dyDescent="0.3">
      <c r="H59677" t="str">
        <f t="shared" si="982"/>
        <v/>
      </c>
    </row>
    <row r="59678" spans="8:8" x14ac:dyDescent="0.3">
      <c r="H59678" t="str">
        <f t="shared" si="982"/>
        <v/>
      </c>
    </row>
    <row r="59679" spans="8:8" x14ac:dyDescent="0.3">
      <c r="H59679" t="str">
        <f t="shared" si="982"/>
        <v/>
      </c>
    </row>
    <row r="59680" spans="8:8" x14ac:dyDescent="0.3">
      <c r="H59680" t="str">
        <f t="shared" si="982"/>
        <v/>
      </c>
    </row>
    <row r="59681" spans="8:8" x14ac:dyDescent="0.3">
      <c r="H59681" t="str">
        <f t="shared" si="982"/>
        <v/>
      </c>
    </row>
    <row r="59682" spans="8:8" x14ac:dyDescent="0.3">
      <c r="H59682" t="str">
        <f t="shared" si="982"/>
        <v/>
      </c>
    </row>
    <row r="59683" spans="8:8" x14ac:dyDescent="0.3">
      <c r="H59683" t="str">
        <f t="shared" si="982"/>
        <v/>
      </c>
    </row>
    <row r="59684" spans="8:8" x14ac:dyDescent="0.3">
      <c r="H59684" t="str">
        <f t="shared" si="982"/>
        <v/>
      </c>
    </row>
    <row r="59685" spans="8:8" x14ac:dyDescent="0.3">
      <c r="H59685" t="str">
        <f t="shared" si="982"/>
        <v/>
      </c>
    </row>
    <row r="59686" spans="8:8" x14ac:dyDescent="0.3">
      <c r="H59686" t="str">
        <f t="shared" si="982"/>
        <v/>
      </c>
    </row>
    <row r="59687" spans="8:8" x14ac:dyDescent="0.3">
      <c r="H59687" t="str">
        <f t="shared" si="982"/>
        <v/>
      </c>
    </row>
    <row r="59688" spans="8:8" x14ac:dyDescent="0.3">
      <c r="H59688" t="str">
        <f t="shared" si="982"/>
        <v/>
      </c>
    </row>
    <row r="59689" spans="8:8" x14ac:dyDescent="0.3">
      <c r="H59689" t="str">
        <f t="shared" si="982"/>
        <v/>
      </c>
    </row>
    <row r="59690" spans="8:8" x14ac:dyDescent="0.3">
      <c r="H59690" t="str">
        <f t="shared" si="982"/>
        <v/>
      </c>
    </row>
    <row r="59691" spans="8:8" x14ac:dyDescent="0.3">
      <c r="H59691" t="str">
        <f t="shared" si="982"/>
        <v/>
      </c>
    </row>
    <row r="59692" spans="8:8" x14ac:dyDescent="0.3">
      <c r="H59692" t="str">
        <f t="shared" si="982"/>
        <v/>
      </c>
    </row>
    <row r="59693" spans="8:8" x14ac:dyDescent="0.3">
      <c r="H59693" t="str">
        <f t="shared" si="982"/>
        <v/>
      </c>
    </row>
    <row r="59694" spans="8:8" x14ac:dyDescent="0.3">
      <c r="H59694" t="str">
        <f t="shared" si="982"/>
        <v/>
      </c>
    </row>
    <row r="59695" spans="8:8" x14ac:dyDescent="0.3">
      <c r="H59695" t="str">
        <f t="shared" si="982"/>
        <v/>
      </c>
    </row>
    <row r="59696" spans="8:8" x14ac:dyDescent="0.3">
      <c r="H59696" t="str">
        <f t="shared" si="982"/>
        <v/>
      </c>
    </row>
    <row r="59697" spans="8:8" x14ac:dyDescent="0.3">
      <c r="H59697" t="str">
        <f t="shared" si="982"/>
        <v/>
      </c>
    </row>
    <row r="59698" spans="8:8" x14ac:dyDescent="0.3">
      <c r="H59698" t="str">
        <f t="shared" si="982"/>
        <v/>
      </c>
    </row>
    <row r="59699" spans="8:8" x14ac:dyDescent="0.3">
      <c r="H59699" t="str">
        <f t="shared" si="982"/>
        <v/>
      </c>
    </row>
    <row r="59700" spans="8:8" x14ac:dyDescent="0.3">
      <c r="H59700" t="str">
        <f t="shared" si="982"/>
        <v/>
      </c>
    </row>
    <row r="59701" spans="8:8" x14ac:dyDescent="0.3">
      <c r="H59701" t="str">
        <f t="shared" si="982"/>
        <v/>
      </c>
    </row>
    <row r="59702" spans="8:8" x14ac:dyDescent="0.3">
      <c r="H59702" t="str">
        <f t="shared" si="982"/>
        <v/>
      </c>
    </row>
    <row r="59703" spans="8:8" x14ac:dyDescent="0.3">
      <c r="H59703" t="str">
        <f t="shared" si="982"/>
        <v/>
      </c>
    </row>
    <row r="59704" spans="8:8" x14ac:dyDescent="0.3">
      <c r="H59704" t="str">
        <f t="shared" si="982"/>
        <v/>
      </c>
    </row>
    <row r="59705" spans="8:8" x14ac:dyDescent="0.3">
      <c r="H59705" t="str">
        <f t="shared" si="982"/>
        <v/>
      </c>
    </row>
    <row r="59706" spans="8:8" x14ac:dyDescent="0.3">
      <c r="H59706" t="str">
        <f t="shared" si="982"/>
        <v/>
      </c>
    </row>
    <row r="59707" spans="8:8" x14ac:dyDescent="0.3">
      <c r="H59707" t="str">
        <f t="shared" si="982"/>
        <v/>
      </c>
    </row>
    <row r="59708" spans="8:8" x14ac:dyDescent="0.3">
      <c r="H59708" t="str">
        <f t="shared" si="982"/>
        <v/>
      </c>
    </row>
    <row r="59709" spans="8:8" x14ac:dyDescent="0.3">
      <c r="H59709" t="str">
        <f t="shared" si="982"/>
        <v/>
      </c>
    </row>
    <row r="59710" spans="8:8" x14ac:dyDescent="0.3">
      <c r="H59710" t="str">
        <f t="shared" si="982"/>
        <v/>
      </c>
    </row>
    <row r="59711" spans="8:8" x14ac:dyDescent="0.3">
      <c r="H59711" t="str">
        <f t="shared" si="982"/>
        <v/>
      </c>
    </row>
    <row r="59712" spans="8:8" x14ac:dyDescent="0.3">
      <c r="H59712" t="str">
        <f t="shared" si="982"/>
        <v/>
      </c>
    </row>
    <row r="59713" spans="8:8" x14ac:dyDescent="0.3">
      <c r="H59713" t="str">
        <f t="shared" si="982"/>
        <v/>
      </c>
    </row>
    <row r="59714" spans="8:8" x14ac:dyDescent="0.3">
      <c r="H59714" t="str">
        <f t="shared" si="982"/>
        <v/>
      </c>
    </row>
    <row r="59715" spans="8:8" x14ac:dyDescent="0.3">
      <c r="H59715" t="str">
        <f t="shared" si="982"/>
        <v/>
      </c>
    </row>
    <row r="59716" spans="8:8" x14ac:dyDescent="0.3">
      <c r="H59716" t="str">
        <f t="shared" si="982"/>
        <v/>
      </c>
    </row>
    <row r="59717" spans="8:8" x14ac:dyDescent="0.3">
      <c r="H59717" t="str">
        <f t="shared" si="982"/>
        <v/>
      </c>
    </row>
    <row r="59718" spans="8:8" x14ac:dyDescent="0.3">
      <c r="H59718" t="str">
        <f t="shared" si="982"/>
        <v/>
      </c>
    </row>
    <row r="59719" spans="8:8" x14ac:dyDescent="0.3">
      <c r="H59719" t="str">
        <f t="shared" si="982"/>
        <v/>
      </c>
    </row>
    <row r="59720" spans="8:8" x14ac:dyDescent="0.3">
      <c r="H59720" t="str">
        <f t="shared" si="982"/>
        <v/>
      </c>
    </row>
    <row r="59721" spans="8:8" x14ac:dyDescent="0.3">
      <c r="H59721" t="str">
        <f t="shared" si="982"/>
        <v/>
      </c>
    </row>
    <row r="59722" spans="8:8" x14ac:dyDescent="0.3">
      <c r="H59722" t="str">
        <f t="shared" si="982"/>
        <v/>
      </c>
    </row>
    <row r="59723" spans="8:8" x14ac:dyDescent="0.3">
      <c r="H59723" t="str">
        <f t="shared" si="982"/>
        <v/>
      </c>
    </row>
    <row r="59724" spans="8:8" x14ac:dyDescent="0.3">
      <c r="H59724" t="str">
        <f t="shared" si="982"/>
        <v/>
      </c>
    </row>
    <row r="59725" spans="8:8" x14ac:dyDescent="0.3">
      <c r="H59725" t="str">
        <f t="shared" si="982"/>
        <v/>
      </c>
    </row>
    <row r="59726" spans="8:8" x14ac:dyDescent="0.3">
      <c r="H59726" t="str">
        <f t="shared" si="982"/>
        <v/>
      </c>
    </row>
    <row r="59727" spans="8:8" x14ac:dyDescent="0.3">
      <c r="H59727" t="str">
        <f t="shared" si="982"/>
        <v/>
      </c>
    </row>
    <row r="59728" spans="8:8" x14ac:dyDescent="0.3">
      <c r="H59728" t="str">
        <f t="shared" si="982"/>
        <v/>
      </c>
    </row>
    <row r="59729" spans="8:8" x14ac:dyDescent="0.3">
      <c r="H59729" t="str">
        <f t="shared" si="982"/>
        <v/>
      </c>
    </row>
    <row r="59730" spans="8:8" x14ac:dyDescent="0.3">
      <c r="H59730" t="str">
        <f t="shared" si="982"/>
        <v/>
      </c>
    </row>
    <row r="59731" spans="8:8" x14ac:dyDescent="0.3">
      <c r="H59731" t="str">
        <f t="shared" si="982"/>
        <v/>
      </c>
    </row>
    <row r="59732" spans="8:8" x14ac:dyDescent="0.3">
      <c r="H59732" t="str">
        <f t="shared" si="982"/>
        <v/>
      </c>
    </row>
    <row r="59733" spans="8:8" x14ac:dyDescent="0.3">
      <c r="H59733" t="str">
        <f t="shared" si="982"/>
        <v/>
      </c>
    </row>
    <row r="59734" spans="8:8" x14ac:dyDescent="0.3">
      <c r="H59734" t="str">
        <f t="shared" si="982"/>
        <v/>
      </c>
    </row>
    <row r="59735" spans="8:8" x14ac:dyDescent="0.3">
      <c r="H59735" t="str">
        <f t="shared" ref="H59735:H59798" si="983">IF(B59735="","",$C$12)</f>
        <v/>
      </c>
    </row>
    <row r="59736" spans="8:8" x14ac:dyDescent="0.3">
      <c r="H59736" t="str">
        <f t="shared" si="983"/>
        <v/>
      </c>
    </row>
    <row r="59737" spans="8:8" x14ac:dyDescent="0.3">
      <c r="H59737" t="str">
        <f t="shared" si="983"/>
        <v/>
      </c>
    </row>
    <row r="59738" spans="8:8" x14ac:dyDescent="0.3">
      <c r="H59738" t="str">
        <f t="shared" si="983"/>
        <v/>
      </c>
    </row>
    <row r="59739" spans="8:8" x14ac:dyDescent="0.3">
      <c r="H59739" t="str">
        <f t="shared" si="983"/>
        <v/>
      </c>
    </row>
    <row r="59740" spans="8:8" x14ac:dyDescent="0.3">
      <c r="H59740" t="str">
        <f t="shared" si="983"/>
        <v/>
      </c>
    </row>
    <row r="59741" spans="8:8" x14ac:dyDescent="0.3">
      <c r="H59741" t="str">
        <f t="shared" si="983"/>
        <v/>
      </c>
    </row>
    <row r="59742" spans="8:8" x14ac:dyDescent="0.3">
      <c r="H59742" t="str">
        <f t="shared" si="983"/>
        <v/>
      </c>
    </row>
    <row r="59743" spans="8:8" x14ac:dyDescent="0.3">
      <c r="H59743" t="str">
        <f t="shared" si="983"/>
        <v/>
      </c>
    </row>
    <row r="59744" spans="8:8" x14ac:dyDescent="0.3">
      <c r="H59744" t="str">
        <f t="shared" si="983"/>
        <v/>
      </c>
    </row>
    <row r="59745" spans="8:8" x14ac:dyDescent="0.3">
      <c r="H59745" t="str">
        <f t="shared" si="983"/>
        <v/>
      </c>
    </row>
    <row r="59746" spans="8:8" x14ac:dyDescent="0.3">
      <c r="H59746" t="str">
        <f t="shared" si="983"/>
        <v/>
      </c>
    </row>
    <row r="59747" spans="8:8" x14ac:dyDescent="0.3">
      <c r="H59747" t="str">
        <f t="shared" si="983"/>
        <v/>
      </c>
    </row>
    <row r="59748" spans="8:8" x14ac:dyDescent="0.3">
      <c r="H59748" t="str">
        <f t="shared" si="983"/>
        <v/>
      </c>
    </row>
    <row r="59749" spans="8:8" x14ac:dyDescent="0.3">
      <c r="H59749" t="str">
        <f t="shared" si="983"/>
        <v/>
      </c>
    </row>
    <row r="59750" spans="8:8" x14ac:dyDescent="0.3">
      <c r="H59750" t="str">
        <f t="shared" si="983"/>
        <v/>
      </c>
    </row>
    <row r="59751" spans="8:8" x14ac:dyDescent="0.3">
      <c r="H59751" t="str">
        <f t="shared" si="983"/>
        <v/>
      </c>
    </row>
    <row r="59752" spans="8:8" x14ac:dyDescent="0.3">
      <c r="H59752" t="str">
        <f t="shared" si="983"/>
        <v/>
      </c>
    </row>
    <row r="59753" spans="8:8" x14ac:dyDescent="0.3">
      <c r="H59753" t="str">
        <f t="shared" si="983"/>
        <v/>
      </c>
    </row>
    <row r="59754" spans="8:8" x14ac:dyDescent="0.3">
      <c r="H59754" t="str">
        <f t="shared" si="983"/>
        <v/>
      </c>
    </row>
    <row r="59755" spans="8:8" x14ac:dyDescent="0.3">
      <c r="H59755" t="str">
        <f t="shared" si="983"/>
        <v/>
      </c>
    </row>
    <row r="59756" spans="8:8" x14ac:dyDescent="0.3">
      <c r="H59756" t="str">
        <f t="shared" si="983"/>
        <v/>
      </c>
    </row>
    <row r="59757" spans="8:8" x14ac:dyDescent="0.3">
      <c r="H59757" t="str">
        <f t="shared" si="983"/>
        <v/>
      </c>
    </row>
    <row r="59758" spans="8:8" x14ac:dyDescent="0.3">
      <c r="H59758" t="str">
        <f t="shared" si="983"/>
        <v/>
      </c>
    </row>
    <row r="59759" spans="8:8" x14ac:dyDescent="0.3">
      <c r="H59759" t="str">
        <f t="shared" si="983"/>
        <v/>
      </c>
    </row>
    <row r="59760" spans="8:8" x14ac:dyDescent="0.3">
      <c r="H59760" t="str">
        <f t="shared" si="983"/>
        <v/>
      </c>
    </row>
    <row r="59761" spans="8:8" x14ac:dyDescent="0.3">
      <c r="H59761" t="str">
        <f t="shared" si="983"/>
        <v/>
      </c>
    </row>
    <row r="59762" spans="8:8" x14ac:dyDescent="0.3">
      <c r="H59762" t="str">
        <f t="shared" si="983"/>
        <v/>
      </c>
    </row>
    <row r="59763" spans="8:8" x14ac:dyDescent="0.3">
      <c r="H59763" t="str">
        <f t="shared" si="983"/>
        <v/>
      </c>
    </row>
    <row r="59764" spans="8:8" x14ac:dyDescent="0.3">
      <c r="H59764" t="str">
        <f t="shared" si="983"/>
        <v/>
      </c>
    </row>
    <row r="59765" spans="8:8" x14ac:dyDescent="0.3">
      <c r="H59765" t="str">
        <f t="shared" si="983"/>
        <v/>
      </c>
    </row>
    <row r="59766" spans="8:8" x14ac:dyDescent="0.3">
      <c r="H59766" t="str">
        <f t="shared" si="983"/>
        <v/>
      </c>
    </row>
    <row r="59767" spans="8:8" x14ac:dyDescent="0.3">
      <c r="H59767" t="str">
        <f t="shared" si="983"/>
        <v/>
      </c>
    </row>
    <row r="59768" spans="8:8" x14ac:dyDescent="0.3">
      <c r="H59768" t="str">
        <f t="shared" si="983"/>
        <v/>
      </c>
    </row>
    <row r="59769" spans="8:8" x14ac:dyDescent="0.3">
      <c r="H59769" t="str">
        <f t="shared" si="983"/>
        <v/>
      </c>
    </row>
    <row r="59770" spans="8:8" x14ac:dyDescent="0.3">
      <c r="H59770" t="str">
        <f t="shared" si="983"/>
        <v/>
      </c>
    </row>
    <row r="59771" spans="8:8" x14ac:dyDescent="0.3">
      <c r="H59771" t="str">
        <f t="shared" si="983"/>
        <v/>
      </c>
    </row>
    <row r="59772" spans="8:8" x14ac:dyDescent="0.3">
      <c r="H59772" t="str">
        <f t="shared" si="983"/>
        <v/>
      </c>
    </row>
    <row r="59773" spans="8:8" x14ac:dyDescent="0.3">
      <c r="H59773" t="str">
        <f t="shared" si="983"/>
        <v/>
      </c>
    </row>
    <row r="59774" spans="8:8" x14ac:dyDescent="0.3">
      <c r="H59774" t="str">
        <f t="shared" si="983"/>
        <v/>
      </c>
    </row>
    <row r="59775" spans="8:8" x14ac:dyDescent="0.3">
      <c r="H59775" t="str">
        <f t="shared" si="983"/>
        <v/>
      </c>
    </row>
    <row r="59776" spans="8:8" x14ac:dyDescent="0.3">
      <c r="H59776" t="str">
        <f t="shared" si="983"/>
        <v/>
      </c>
    </row>
    <row r="59777" spans="8:8" x14ac:dyDescent="0.3">
      <c r="H59777" t="str">
        <f t="shared" si="983"/>
        <v/>
      </c>
    </row>
    <row r="59778" spans="8:8" x14ac:dyDescent="0.3">
      <c r="H59778" t="str">
        <f t="shared" si="983"/>
        <v/>
      </c>
    </row>
    <row r="59779" spans="8:8" x14ac:dyDescent="0.3">
      <c r="H59779" t="str">
        <f t="shared" si="983"/>
        <v/>
      </c>
    </row>
    <row r="59780" spans="8:8" x14ac:dyDescent="0.3">
      <c r="H59780" t="str">
        <f t="shared" si="983"/>
        <v/>
      </c>
    </row>
    <row r="59781" spans="8:8" x14ac:dyDescent="0.3">
      <c r="H59781" t="str">
        <f t="shared" si="983"/>
        <v/>
      </c>
    </row>
    <row r="59782" spans="8:8" x14ac:dyDescent="0.3">
      <c r="H59782" t="str">
        <f t="shared" si="983"/>
        <v/>
      </c>
    </row>
    <row r="59783" spans="8:8" x14ac:dyDescent="0.3">
      <c r="H59783" t="str">
        <f t="shared" si="983"/>
        <v/>
      </c>
    </row>
    <row r="59784" spans="8:8" x14ac:dyDescent="0.3">
      <c r="H59784" t="str">
        <f t="shared" si="983"/>
        <v/>
      </c>
    </row>
    <row r="59785" spans="8:8" x14ac:dyDescent="0.3">
      <c r="H59785" t="str">
        <f t="shared" si="983"/>
        <v/>
      </c>
    </row>
    <row r="59786" spans="8:8" x14ac:dyDescent="0.3">
      <c r="H59786" t="str">
        <f t="shared" si="983"/>
        <v/>
      </c>
    </row>
    <row r="59787" spans="8:8" x14ac:dyDescent="0.3">
      <c r="H59787" t="str">
        <f t="shared" si="983"/>
        <v/>
      </c>
    </row>
    <row r="59788" spans="8:8" x14ac:dyDescent="0.3">
      <c r="H59788" t="str">
        <f t="shared" si="983"/>
        <v/>
      </c>
    </row>
    <row r="59789" spans="8:8" x14ac:dyDescent="0.3">
      <c r="H59789" t="str">
        <f t="shared" si="983"/>
        <v/>
      </c>
    </row>
    <row r="59790" spans="8:8" x14ac:dyDescent="0.3">
      <c r="H59790" t="str">
        <f t="shared" si="983"/>
        <v/>
      </c>
    </row>
    <row r="59791" spans="8:8" x14ac:dyDescent="0.3">
      <c r="H59791" t="str">
        <f t="shared" si="983"/>
        <v/>
      </c>
    </row>
    <row r="59792" spans="8:8" x14ac:dyDescent="0.3">
      <c r="H59792" t="str">
        <f t="shared" si="983"/>
        <v/>
      </c>
    </row>
    <row r="59793" spans="8:8" x14ac:dyDescent="0.3">
      <c r="H59793" t="str">
        <f t="shared" si="983"/>
        <v/>
      </c>
    </row>
    <row r="59794" spans="8:8" x14ac:dyDescent="0.3">
      <c r="H59794" t="str">
        <f t="shared" si="983"/>
        <v/>
      </c>
    </row>
    <row r="59795" spans="8:8" x14ac:dyDescent="0.3">
      <c r="H59795" t="str">
        <f t="shared" si="983"/>
        <v/>
      </c>
    </row>
    <row r="59796" spans="8:8" x14ac:dyDescent="0.3">
      <c r="H59796" t="str">
        <f t="shared" si="983"/>
        <v/>
      </c>
    </row>
    <row r="59797" spans="8:8" x14ac:dyDescent="0.3">
      <c r="H59797" t="str">
        <f t="shared" si="983"/>
        <v/>
      </c>
    </row>
    <row r="59798" spans="8:8" x14ac:dyDescent="0.3">
      <c r="H59798" t="str">
        <f t="shared" si="983"/>
        <v/>
      </c>
    </row>
    <row r="59799" spans="8:8" x14ac:dyDescent="0.3">
      <c r="H59799" t="str">
        <f t="shared" ref="H59799:H59862" si="984">IF(B59799="","",$C$12)</f>
        <v/>
      </c>
    </row>
    <row r="59800" spans="8:8" x14ac:dyDescent="0.3">
      <c r="H59800" t="str">
        <f t="shared" si="984"/>
        <v/>
      </c>
    </row>
    <row r="59801" spans="8:8" x14ac:dyDescent="0.3">
      <c r="H59801" t="str">
        <f t="shared" si="984"/>
        <v/>
      </c>
    </row>
    <row r="59802" spans="8:8" x14ac:dyDescent="0.3">
      <c r="H59802" t="str">
        <f t="shared" si="984"/>
        <v/>
      </c>
    </row>
    <row r="59803" spans="8:8" x14ac:dyDescent="0.3">
      <c r="H59803" t="str">
        <f t="shared" si="984"/>
        <v/>
      </c>
    </row>
    <row r="59804" spans="8:8" x14ac:dyDescent="0.3">
      <c r="H59804" t="str">
        <f t="shared" si="984"/>
        <v/>
      </c>
    </row>
    <row r="59805" spans="8:8" x14ac:dyDescent="0.3">
      <c r="H59805" t="str">
        <f t="shared" si="984"/>
        <v/>
      </c>
    </row>
    <row r="59806" spans="8:8" x14ac:dyDescent="0.3">
      <c r="H59806" t="str">
        <f t="shared" si="984"/>
        <v/>
      </c>
    </row>
    <row r="59807" spans="8:8" x14ac:dyDescent="0.3">
      <c r="H59807" t="str">
        <f t="shared" si="984"/>
        <v/>
      </c>
    </row>
    <row r="59808" spans="8:8" x14ac:dyDescent="0.3">
      <c r="H59808" t="str">
        <f t="shared" si="984"/>
        <v/>
      </c>
    </row>
    <row r="59809" spans="8:8" x14ac:dyDescent="0.3">
      <c r="H59809" t="str">
        <f t="shared" si="984"/>
        <v/>
      </c>
    </row>
    <row r="59810" spans="8:8" x14ac:dyDescent="0.3">
      <c r="H59810" t="str">
        <f t="shared" si="984"/>
        <v/>
      </c>
    </row>
    <row r="59811" spans="8:8" x14ac:dyDescent="0.3">
      <c r="H59811" t="str">
        <f t="shared" si="984"/>
        <v/>
      </c>
    </row>
    <row r="59812" spans="8:8" x14ac:dyDescent="0.3">
      <c r="H59812" t="str">
        <f t="shared" si="984"/>
        <v/>
      </c>
    </row>
    <row r="59813" spans="8:8" x14ac:dyDescent="0.3">
      <c r="H59813" t="str">
        <f t="shared" si="984"/>
        <v/>
      </c>
    </row>
    <row r="59814" spans="8:8" x14ac:dyDescent="0.3">
      <c r="H59814" t="str">
        <f t="shared" si="984"/>
        <v/>
      </c>
    </row>
    <row r="59815" spans="8:8" x14ac:dyDescent="0.3">
      <c r="H59815" t="str">
        <f t="shared" si="984"/>
        <v/>
      </c>
    </row>
    <row r="59816" spans="8:8" x14ac:dyDescent="0.3">
      <c r="H59816" t="str">
        <f t="shared" si="984"/>
        <v/>
      </c>
    </row>
    <row r="59817" spans="8:8" x14ac:dyDescent="0.3">
      <c r="H59817" t="str">
        <f t="shared" si="984"/>
        <v/>
      </c>
    </row>
    <row r="59818" spans="8:8" x14ac:dyDescent="0.3">
      <c r="H59818" t="str">
        <f t="shared" si="984"/>
        <v/>
      </c>
    </row>
    <row r="59819" spans="8:8" x14ac:dyDescent="0.3">
      <c r="H59819" t="str">
        <f t="shared" si="984"/>
        <v/>
      </c>
    </row>
    <row r="59820" spans="8:8" x14ac:dyDescent="0.3">
      <c r="H59820" t="str">
        <f t="shared" si="984"/>
        <v/>
      </c>
    </row>
    <row r="59821" spans="8:8" x14ac:dyDescent="0.3">
      <c r="H59821" t="str">
        <f t="shared" si="984"/>
        <v/>
      </c>
    </row>
    <row r="59822" spans="8:8" x14ac:dyDescent="0.3">
      <c r="H59822" t="str">
        <f t="shared" si="984"/>
        <v/>
      </c>
    </row>
    <row r="59823" spans="8:8" x14ac:dyDescent="0.3">
      <c r="H59823" t="str">
        <f t="shared" si="984"/>
        <v/>
      </c>
    </row>
    <row r="59824" spans="8:8" x14ac:dyDescent="0.3">
      <c r="H59824" t="str">
        <f t="shared" si="984"/>
        <v/>
      </c>
    </row>
    <row r="59825" spans="8:8" x14ac:dyDescent="0.3">
      <c r="H59825" t="str">
        <f t="shared" si="984"/>
        <v/>
      </c>
    </row>
    <row r="59826" spans="8:8" x14ac:dyDescent="0.3">
      <c r="H59826" t="str">
        <f t="shared" si="984"/>
        <v/>
      </c>
    </row>
    <row r="59827" spans="8:8" x14ac:dyDescent="0.3">
      <c r="H59827" t="str">
        <f t="shared" si="984"/>
        <v/>
      </c>
    </row>
    <row r="59828" spans="8:8" x14ac:dyDescent="0.3">
      <c r="H59828" t="str">
        <f t="shared" si="984"/>
        <v/>
      </c>
    </row>
    <row r="59829" spans="8:8" x14ac:dyDescent="0.3">
      <c r="H59829" t="str">
        <f t="shared" si="984"/>
        <v/>
      </c>
    </row>
    <row r="59830" spans="8:8" x14ac:dyDescent="0.3">
      <c r="H59830" t="str">
        <f t="shared" si="984"/>
        <v/>
      </c>
    </row>
    <row r="59831" spans="8:8" x14ac:dyDescent="0.3">
      <c r="H59831" t="str">
        <f t="shared" si="984"/>
        <v/>
      </c>
    </row>
    <row r="59832" spans="8:8" x14ac:dyDescent="0.3">
      <c r="H59832" t="str">
        <f t="shared" si="984"/>
        <v/>
      </c>
    </row>
    <row r="59833" spans="8:8" x14ac:dyDescent="0.3">
      <c r="H59833" t="str">
        <f t="shared" si="984"/>
        <v/>
      </c>
    </row>
    <row r="59834" spans="8:8" x14ac:dyDescent="0.3">
      <c r="H59834" t="str">
        <f t="shared" si="984"/>
        <v/>
      </c>
    </row>
    <row r="59835" spans="8:8" x14ac:dyDescent="0.3">
      <c r="H59835" t="str">
        <f t="shared" si="984"/>
        <v/>
      </c>
    </row>
    <row r="59836" spans="8:8" x14ac:dyDescent="0.3">
      <c r="H59836" t="str">
        <f t="shared" si="984"/>
        <v/>
      </c>
    </row>
    <row r="59837" spans="8:8" x14ac:dyDescent="0.3">
      <c r="H59837" t="str">
        <f t="shared" si="984"/>
        <v/>
      </c>
    </row>
    <row r="59838" spans="8:8" x14ac:dyDescent="0.3">
      <c r="H59838" t="str">
        <f t="shared" si="984"/>
        <v/>
      </c>
    </row>
    <row r="59839" spans="8:8" x14ac:dyDescent="0.3">
      <c r="H59839" t="str">
        <f t="shared" si="984"/>
        <v/>
      </c>
    </row>
    <row r="59840" spans="8:8" x14ac:dyDescent="0.3">
      <c r="H59840" t="str">
        <f t="shared" si="984"/>
        <v/>
      </c>
    </row>
    <row r="59841" spans="8:8" x14ac:dyDescent="0.3">
      <c r="H59841" t="str">
        <f t="shared" si="984"/>
        <v/>
      </c>
    </row>
    <row r="59842" spans="8:8" x14ac:dyDescent="0.3">
      <c r="H59842" t="str">
        <f t="shared" si="984"/>
        <v/>
      </c>
    </row>
    <row r="59843" spans="8:8" x14ac:dyDescent="0.3">
      <c r="H59843" t="str">
        <f t="shared" si="984"/>
        <v/>
      </c>
    </row>
    <row r="59844" spans="8:8" x14ac:dyDescent="0.3">
      <c r="H59844" t="str">
        <f t="shared" si="984"/>
        <v/>
      </c>
    </row>
    <row r="59845" spans="8:8" x14ac:dyDescent="0.3">
      <c r="H59845" t="str">
        <f t="shared" si="984"/>
        <v/>
      </c>
    </row>
    <row r="59846" spans="8:8" x14ac:dyDescent="0.3">
      <c r="H59846" t="str">
        <f t="shared" si="984"/>
        <v/>
      </c>
    </row>
    <row r="59847" spans="8:8" x14ac:dyDescent="0.3">
      <c r="H59847" t="str">
        <f t="shared" si="984"/>
        <v/>
      </c>
    </row>
    <row r="59848" spans="8:8" x14ac:dyDescent="0.3">
      <c r="H59848" t="str">
        <f t="shared" si="984"/>
        <v/>
      </c>
    </row>
    <row r="59849" spans="8:8" x14ac:dyDescent="0.3">
      <c r="H59849" t="str">
        <f t="shared" si="984"/>
        <v/>
      </c>
    </row>
    <row r="59850" spans="8:8" x14ac:dyDescent="0.3">
      <c r="H59850" t="str">
        <f t="shared" si="984"/>
        <v/>
      </c>
    </row>
    <row r="59851" spans="8:8" x14ac:dyDescent="0.3">
      <c r="H59851" t="str">
        <f t="shared" si="984"/>
        <v/>
      </c>
    </row>
    <row r="59852" spans="8:8" x14ac:dyDescent="0.3">
      <c r="H59852" t="str">
        <f t="shared" si="984"/>
        <v/>
      </c>
    </row>
    <row r="59853" spans="8:8" x14ac:dyDescent="0.3">
      <c r="H59853" t="str">
        <f t="shared" si="984"/>
        <v/>
      </c>
    </row>
    <row r="59854" spans="8:8" x14ac:dyDescent="0.3">
      <c r="H59854" t="str">
        <f t="shared" si="984"/>
        <v/>
      </c>
    </row>
    <row r="59855" spans="8:8" x14ac:dyDescent="0.3">
      <c r="H59855" t="str">
        <f t="shared" si="984"/>
        <v/>
      </c>
    </row>
    <row r="59856" spans="8:8" x14ac:dyDescent="0.3">
      <c r="H59856" t="str">
        <f t="shared" si="984"/>
        <v/>
      </c>
    </row>
    <row r="59857" spans="8:8" x14ac:dyDescent="0.3">
      <c r="H59857" t="str">
        <f t="shared" si="984"/>
        <v/>
      </c>
    </row>
    <row r="59858" spans="8:8" x14ac:dyDescent="0.3">
      <c r="H59858" t="str">
        <f t="shared" si="984"/>
        <v/>
      </c>
    </row>
    <row r="59859" spans="8:8" x14ac:dyDescent="0.3">
      <c r="H59859" t="str">
        <f t="shared" si="984"/>
        <v/>
      </c>
    </row>
    <row r="59860" spans="8:8" x14ac:dyDescent="0.3">
      <c r="H59860" t="str">
        <f t="shared" si="984"/>
        <v/>
      </c>
    </row>
    <row r="59861" spans="8:8" x14ac:dyDescent="0.3">
      <c r="H59861" t="str">
        <f t="shared" si="984"/>
        <v/>
      </c>
    </row>
    <row r="59862" spans="8:8" x14ac:dyDescent="0.3">
      <c r="H59862" t="str">
        <f t="shared" si="984"/>
        <v/>
      </c>
    </row>
    <row r="59863" spans="8:8" x14ac:dyDescent="0.3">
      <c r="H59863" t="str">
        <f t="shared" ref="H59863:H59926" si="985">IF(B59863="","",$C$12)</f>
        <v/>
      </c>
    </row>
    <row r="59864" spans="8:8" x14ac:dyDescent="0.3">
      <c r="H59864" t="str">
        <f t="shared" si="985"/>
        <v/>
      </c>
    </row>
    <row r="59865" spans="8:8" x14ac:dyDescent="0.3">
      <c r="H59865" t="str">
        <f t="shared" si="985"/>
        <v/>
      </c>
    </row>
    <row r="59866" spans="8:8" x14ac:dyDescent="0.3">
      <c r="H59866" t="str">
        <f t="shared" si="985"/>
        <v/>
      </c>
    </row>
    <row r="59867" spans="8:8" x14ac:dyDescent="0.3">
      <c r="H59867" t="str">
        <f t="shared" si="985"/>
        <v/>
      </c>
    </row>
    <row r="59868" spans="8:8" x14ac:dyDescent="0.3">
      <c r="H59868" t="str">
        <f t="shared" si="985"/>
        <v/>
      </c>
    </row>
    <row r="59869" spans="8:8" x14ac:dyDescent="0.3">
      <c r="H59869" t="str">
        <f t="shared" si="985"/>
        <v/>
      </c>
    </row>
    <row r="59870" spans="8:8" x14ac:dyDescent="0.3">
      <c r="H59870" t="str">
        <f t="shared" si="985"/>
        <v/>
      </c>
    </row>
    <row r="59871" spans="8:8" x14ac:dyDescent="0.3">
      <c r="H59871" t="str">
        <f t="shared" si="985"/>
        <v/>
      </c>
    </row>
    <row r="59872" spans="8:8" x14ac:dyDescent="0.3">
      <c r="H59872" t="str">
        <f t="shared" si="985"/>
        <v/>
      </c>
    </row>
    <row r="59873" spans="8:8" x14ac:dyDescent="0.3">
      <c r="H59873" t="str">
        <f t="shared" si="985"/>
        <v/>
      </c>
    </row>
    <row r="59874" spans="8:8" x14ac:dyDescent="0.3">
      <c r="H59874" t="str">
        <f t="shared" si="985"/>
        <v/>
      </c>
    </row>
    <row r="59875" spans="8:8" x14ac:dyDescent="0.3">
      <c r="H59875" t="str">
        <f t="shared" si="985"/>
        <v/>
      </c>
    </row>
    <row r="59876" spans="8:8" x14ac:dyDescent="0.3">
      <c r="H59876" t="str">
        <f t="shared" si="985"/>
        <v/>
      </c>
    </row>
    <row r="59877" spans="8:8" x14ac:dyDescent="0.3">
      <c r="H59877" t="str">
        <f t="shared" si="985"/>
        <v/>
      </c>
    </row>
    <row r="59878" spans="8:8" x14ac:dyDescent="0.3">
      <c r="H59878" t="str">
        <f t="shared" si="985"/>
        <v/>
      </c>
    </row>
    <row r="59879" spans="8:8" x14ac:dyDescent="0.3">
      <c r="H59879" t="str">
        <f t="shared" si="985"/>
        <v/>
      </c>
    </row>
    <row r="59880" spans="8:8" x14ac:dyDescent="0.3">
      <c r="H59880" t="str">
        <f t="shared" si="985"/>
        <v/>
      </c>
    </row>
    <row r="59881" spans="8:8" x14ac:dyDescent="0.3">
      <c r="H59881" t="str">
        <f t="shared" si="985"/>
        <v/>
      </c>
    </row>
    <row r="59882" spans="8:8" x14ac:dyDescent="0.3">
      <c r="H59882" t="str">
        <f t="shared" si="985"/>
        <v/>
      </c>
    </row>
    <row r="59883" spans="8:8" x14ac:dyDescent="0.3">
      <c r="H59883" t="str">
        <f t="shared" si="985"/>
        <v/>
      </c>
    </row>
    <row r="59884" spans="8:8" x14ac:dyDescent="0.3">
      <c r="H59884" t="str">
        <f t="shared" si="985"/>
        <v/>
      </c>
    </row>
    <row r="59885" spans="8:8" x14ac:dyDescent="0.3">
      <c r="H59885" t="str">
        <f t="shared" si="985"/>
        <v/>
      </c>
    </row>
    <row r="59886" spans="8:8" x14ac:dyDescent="0.3">
      <c r="H59886" t="str">
        <f t="shared" si="985"/>
        <v/>
      </c>
    </row>
    <row r="59887" spans="8:8" x14ac:dyDescent="0.3">
      <c r="H59887" t="str">
        <f t="shared" si="985"/>
        <v/>
      </c>
    </row>
    <row r="59888" spans="8:8" x14ac:dyDescent="0.3">
      <c r="H59888" t="str">
        <f t="shared" si="985"/>
        <v/>
      </c>
    </row>
    <row r="59889" spans="8:8" x14ac:dyDescent="0.3">
      <c r="H59889" t="str">
        <f t="shared" si="985"/>
        <v/>
      </c>
    </row>
    <row r="59890" spans="8:8" x14ac:dyDescent="0.3">
      <c r="H59890" t="str">
        <f t="shared" si="985"/>
        <v/>
      </c>
    </row>
    <row r="59891" spans="8:8" x14ac:dyDescent="0.3">
      <c r="H59891" t="str">
        <f t="shared" si="985"/>
        <v/>
      </c>
    </row>
    <row r="59892" spans="8:8" x14ac:dyDescent="0.3">
      <c r="H59892" t="str">
        <f t="shared" si="985"/>
        <v/>
      </c>
    </row>
    <row r="59893" spans="8:8" x14ac:dyDescent="0.3">
      <c r="H59893" t="str">
        <f t="shared" si="985"/>
        <v/>
      </c>
    </row>
    <row r="59894" spans="8:8" x14ac:dyDescent="0.3">
      <c r="H59894" t="str">
        <f t="shared" si="985"/>
        <v/>
      </c>
    </row>
    <row r="59895" spans="8:8" x14ac:dyDescent="0.3">
      <c r="H59895" t="str">
        <f t="shared" si="985"/>
        <v/>
      </c>
    </row>
    <row r="59896" spans="8:8" x14ac:dyDescent="0.3">
      <c r="H59896" t="str">
        <f t="shared" si="985"/>
        <v/>
      </c>
    </row>
    <row r="59897" spans="8:8" x14ac:dyDescent="0.3">
      <c r="H59897" t="str">
        <f t="shared" si="985"/>
        <v/>
      </c>
    </row>
    <row r="59898" spans="8:8" x14ac:dyDescent="0.3">
      <c r="H59898" t="str">
        <f t="shared" si="985"/>
        <v/>
      </c>
    </row>
    <row r="59899" spans="8:8" x14ac:dyDescent="0.3">
      <c r="H59899" t="str">
        <f t="shared" si="985"/>
        <v/>
      </c>
    </row>
    <row r="59900" spans="8:8" x14ac:dyDescent="0.3">
      <c r="H59900" t="str">
        <f t="shared" si="985"/>
        <v/>
      </c>
    </row>
    <row r="59901" spans="8:8" x14ac:dyDescent="0.3">
      <c r="H59901" t="str">
        <f t="shared" si="985"/>
        <v/>
      </c>
    </row>
    <row r="59902" spans="8:8" x14ac:dyDescent="0.3">
      <c r="H59902" t="str">
        <f t="shared" si="985"/>
        <v/>
      </c>
    </row>
    <row r="59903" spans="8:8" x14ac:dyDescent="0.3">
      <c r="H59903" t="str">
        <f t="shared" si="985"/>
        <v/>
      </c>
    </row>
    <row r="59904" spans="8:8" x14ac:dyDescent="0.3">
      <c r="H59904" t="str">
        <f t="shared" si="985"/>
        <v/>
      </c>
    </row>
    <row r="59905" spans="8:8" x14ac:dyDescent="0.3">
      <c r="H59905" t="str">
        <f t="shared" si="985"/>
        <v/>
      </c>
    </row>
    <row r="59906" spans="8:8" x14ac:dyDescent="0.3">
      <c r="H59906" t="str">
        <f t="shared" si="985"/>
        <v/>
      </c>
    </row>
    <row r="59907" spans="8:8" x14ac:dyDescent="0.3">
      <c r="H59907" t="str">
        <f t="shared" si="985"/>
        <v/>
      </c>
    </row>
    <row r="59908" spans="8:8" x14ac:dyDescent="0.3">
      <c r="H59908" t="str">
        <f t="shared" si="985"/>
        <v/>
      </c>
    </row>
    <row r="59909" spans="8:8" x14ac:dyDescent="0.3">
      <c r="H59909" t="str">
        <f t="shared" si="985"/>
        <v/>
      </c>
    </row>
    <row r="59910" spans="8:8" x14ac:dyDescent="0.3">
      <c r="H59910" t="str">
        <f t="shared" si="985"/>
        <v/>
      </c>
    </row>
    <row r="59911" spans="8:8" x14ac:dyDescent="0.3">
      <c r="H59911" t="str">
        <f t="shared" si="985"/>
        <v/>
      </c>
    </row>
    <row r="59912" spans="8:8" x14ac:dyDescent="0.3">
      <c r="H59912" t="str">
        <f t="shared" si="985"/>
        <v/>
      </c>
    </row>
    <row r="59913" spans="8:8" x14ac:dyDescent="0.3">
      <c r="H59913" t="str">
        <f t="shared" si="985"/>
        <v/>
      </c>
    </row>
    <row r="59914" spans="8:8" x14ac:dyDescent="0.3">
      <c r="H59914" t="str">
        <f t="shared" si="985"/>
        <v/>
      </c>
    </row>
    <row r="59915" spans="8:8" x14ac:dyDescent="0.3">
      <c r="H59915" t="str">
        <f t="shared" si="985"/>
        <v/>
      </c>
    </row>
    <row r="59916" spans="8:8" x14ac:dyDescent="0.3">
      <c r="H59916" t="str">
        <f t="shared" si="985"/>
        <v/>
      </c>
    </row>
    <row r="59917" spans="8:8" x14ac:dyDescent="0.3">
      <c r="H59917" t="str">
        <f t="shared" si="985"/>
        <v/>
      </c>
    </row>
    <row r="59918" spans="8:8" x14ac:dyDescent="0.3">
      <c r="H59918" t="str">
        <f t="shared" si="985"/>
        <v/>
      </c>
    </row>
    <row r="59919" spans="8:8" x14ac:dyDescent="0.3">
      <c r="H59919" t="str">
        <f t="shared" si="985"/>
        <v/>
      </c>
    </row>
    <row r="59920" spans="8:8" x14ac:dyDescent="0.3">
      <c r="H59920" t="str">
        <f t="shared" si="985"/>
        <v/>
      </c>
    </row>
    <row r="59921" spans="8:8" x14ac:dyDescent="0.3">
      <c r="H59921" t="str">
        <f t="shared" si="985"/>
        <v/>
      </c>
    </row>
    <row r="59922" spans="8:8" x14ac:dyDescent="0.3">
      <c r="H59922" t="str">
        <f t="shared" si="985"/>
        <v/>
      </c>
    </row>
    <row r="59923" spans="8:8" x14ac:dyDescent="0.3">
      <c r="H59923" t="str">
        <f t="shared" si="985"/>
        <v/>
      </c>
    </row>
    <row r="59924" spans="8:8" x14ac:dyDescent="0.3">
      <c r="H59924" t="str">
        <f t="shared" si="985"/>
        <v/>
      </c>
    </row>
    <row r="59925" spans="8:8" x14ac:dyDescent="0.3">
      <c r="H59925" t="str">
        <f t="shared" si="985"/>
        <v/>
      </c>
    </row>
    <row r="59926" spans="8:8" x14ac:dyDescent="0.3">
      <c r="H59926" t="str">
        <f t="shared" si="985"/>
        <v/>
      </c>
    </row>
    <row r="59927" spans="8:8" x14ac:dyDescent="0.3">
      <c r="H59927" t="str">
        <f t="shared" ref="H59927:H59990" si="986">IF(B59927="","",$C$12)</f>
        <v/>
      </c>
    </row>
    <row r="59928" spans="8:8" x14ac:dyDescent="0.3">
      <c r="H59928" t="str">
        <f t="shared" si="986"/>
        <v/>
      </c>
    </row>
    <row r="59929" spans="8:8" x14ac:dyDescent="0.3">
      <c r="H59929" t="str">
        <f t="shared" si="986"/>
        <v/>
      </c>
    </row>
    <row r="59930" spans="8:8" x14ac:dyDescent="0.3">
      <c r="H59930" t="str">
        <f t="shared" si="986"/>
        <v/>
      </c>
    </row>
    <row r="59931" spans="8:8" x14ac:dyDescent="0.3">
      <c r="H59931" t="str">
        <f t="shared" si="986"/>
        <v/>
      </c>
    </row>
    <row r="59932" spans="8:8" x14ac:dyDescent="0.3">
      <c r="H59932" t="str">
        <f t="shared" si="986"/>
        <v/>
      </c>
    </row>
    <row r="59933" spans="8:8" x14ac:dyDescent="0.3">
      <c r="H59933" t="str">
        <f t="shared" si="986"/>
        <v/>
      </c>
    </row>
    <row r="59934" spans="8:8" x14ac:dyDescent="0.3">
      <c r="H59934" t="str">
        <f t="shared" si="986"/>
        <v/>
      </c>
    </row>
    <row r="59935" spans="8:8" x14ac:dyDescent="0.3">
      <c r="H59935" t="str">
        <f t="shared" si="986"/>
        <v/>
      </c>
    </row>
    <row r="59936" spans="8:8" x14ac:dyDescent="0.3">
      <c r="H59936" t="str">
        <f t="shared" si="986"/>
        <v/>
      </c>
    </row>
    <row r="59937" spans="8:8" x14ac:dyDescent="0.3">
      <c r="H59937" t="str">
        <f t="shared" si="986"/>
        <v/>
      </c>
    </row>
    <row r="59938" spans="8:8" x14ac:dyDescent="0.3">
      <c r="H59938" t="str">
        <f t="shared" si="986"/>
        <v/>
      </c>
    </row>
    <row r="59939" spans="8:8" x14ac:dyDescent="0.3">
      <c r="H59939" t="str">
        <f t="shared" si="986"/>
        <v/>
      </c>
    </row>
    <row r="59940" spans="8:8" x14ac:dyDescent="0.3">
      <c r="H59940" t="str">
        <f t="shared" si="986"/>
        <v/>
      </c>
    </row>
    <row r="59941" spans="8:8" x14ac:dyDescent="0.3">
      <c r="H59941" t="str">
        <f t="shared" si="986"/>
        <v/>
      </c>
    </row>
    <row r="59942" spans="8:8" x14ac:dyDescent="0.3">
      <c r="H59942" t="str">
        <f t="shared" si="986"/>
        <v/>
      </c>
    </row>
    <row r="59943" spans="8:8" x14ac:dyDescent="0.3">
      <c r="H59943" t="str">
        <f t="shared" si="986"/>
        <v/>
      </c>
    </row>
    <row r="59944" spans="8:8" x14ac:dyDescent="0.3">
      <c r="H59944" t="str">
        <f t="shared" si="986"/>
        <v/>
      </c>
    </row>
    <row r="59945" spans="8:8" x14ac:dyDescent="0.3">
      <c r="H59945" t="str">
        <f t="shared" si="986"/>
        <v/>
      </c>
    </row>
    <row r="59946" spans="8:8" x14ac:dyDescent="0.3">
      <c r="H59946" t="str">
        <f t="shared" si="986"/>
        <v/>
      </c>
    </row>
    <row r="59947" spans="8:8" x14ac:dyDescent="0.3">
      <c r="H59947" t="str">
        <f t="shared" si="986"/>
        <v/>
      </c>
    </row>
    <row r="59948" spans="8:8" x14ac:dyDescent="0.3">
      <c r="H59948" t="str">
        <f t="shared" si="986"/>
        <v/>
      </c>
    </row>
    <row r="59949" spans="8:8" x14ac:dyDescent="0.3">
      <c r="H59949" t="str">
        <f t="shared" si="986"/>
        <v/>
      </c>
    </row>
    <row r="59950" spans="8:8" x14ac:dyDescent="0.3">
      <c r="H59950" t="str">
        <f t="shared" si="986"/>
        <v/>
      </c>
    </row>
    <row r="59951" spans="8:8" x14ac:dyDescent="0.3">
      <c r="H59951" t="str">
        <f t="shared" si="986"/>
        <v/>
      </c>
    </row>
    <row r="59952" spans="8:8" x14ac:dyDescent="0.3">
      <c r="H59952" t="str">
        <f t="shared" si="986"/>
        <v/>
      </c>
    </row>
    <row r="59953" spans="8:8" x14ac:dyDescent="0.3">
      <c r="H59953" t="str">
        <f t="shared" si="986"/>
        <v/>
      </c>
    </row>
    <row r="59954" spans="8:8" x14ac:dyDescent="0.3">
      <c r="H59954" t="str">
        <f t="shared" si="986"/>
        <v/>
      </c>
    </row>
    <row r="59955" spans="8:8" x14ac:dyDescent="0.3">
      <c r="H59955" t="str">
        <f t="shared" si="986"/>
        <v/>
      </c>
    </row>
    <row r="59956" spans="8:8" x14ac:dyDescent="0.3">
      <c r="H59956" t="str">
        <f t="shared" si="986"/>
        <v/>
      </c>
    </row>
    <row r="59957" spans="8:8" x14ac:dyDescent="0.3">
      <c r="H59957" t="str">
        <f t="shared" si="986"/>
        <v/>
      </c>
    </row>
    <row r="59958" spans="8:8" x14ac:dyDescent="0.3">
      <c r="H59958" t="str">
        <f t="shared" si="986"/>
        <v/>
      </c>
    </row>
    <row r="59959" spans="8:8" x14ac:dyDescent="0.3">
      <c r="H59959" t="str">
        <f t="shared" si="986"/>
        <v/>
      </c>
    </row>
    <row r="59960" spans="8:8" x14ac:dyDescent="0.3">
      <c r="H59960" t="str">
        <f t="shared" si="986"/>
        <v/>
      </c>
    </row>
    <row r="59961" spans="8:8" x14ac:dyDescent="0.3">
      <c r="H59961" t="str">
        <f t="shared" si="986"/>
        <v/>
      </c>
    </row>
    <row r="59962" spans="8:8" x14ac:dyDescent="0.3">
      <c r="H59962" t="str">
        <f t="shared" si="986"/>
        <v/>
      </c>
    </row>
    <row r="59963" spans="8:8" x14ac:dyDescent="0.3">
      <c r="H59963" t="str">
        <f t="shared" si="986"/>
        <v/>
      </c>
    </row>
    <row r="59964" spans="8:8" x14ac:dyDescent="0.3">
      <c r="H59964" t="str">
        <f t="shared" si="986"/>
        <v/>
      </c>
    </row>
    <row r="59965" spans="8:8" x14ac:dyDescent="0.3">
      <c r="H59965" t="str">
        <f t="shared" si="986"/>
        <v/>
      </c>
    </row>
    <row r="59966" spans="8:8" x14ac:dyDescent="0.3">
      <c r="H59966" t="str">
        <f t="shared" si="986"/>
        <v/>
      </c>
    </row>
    <row r="59967" spans="8:8" x14ac:dyDescent="0.3">
      <c r="H59967" t="str">
        <f t="shared" si="986"/>
        <v/>
      </c>
    </row>
    <row r="59968" spans="8:8" x14ac:dyDescent="0.3">
      <c r="H59968" t="str">
        <f t="shared" si="986"/>
        <v/>
      </c>
    </row>
    <row r="59969" spans="8:8" x14ac:dyDescent="0.3">
      <c r="H59969" t="str">
        <f t="shared" si="986"/>
        <v/>
      </c>
    </row>
    <row r="59970" spans="8:8" x14ac:dyDescent="0.3">
      <c r="H59970" t="str">
        <f t="shared" si="986"/>
        <v/>
      </c>
    </row>
    <row r="59971" spans="8:8" x14ac:dyDescent="0.3">
      <c r="H59971" t="str">
        <f t="shared" si="986"/>
        <v/>
      </c>
    </row>
    <row r="59972" spans="8:8" x14ac:dyDescent="0.3">
      <c r="H59972" t="str">
        <f t="shared" si="986"/>
        <v/>
      </c>
    </row>
    <row r="59973" spans="8:8" x14ac:dyDescent="0.3">
      <c r="H59973" t="str">
        <f t="shared" si="986"/>
        <v/>
      </c>
    </row>
    <row r="59974" spans="8:8" x14ac:dyDescent="0.3">
      <c r="H59974" t="str">
        <f t="shared" si="986"/>
        <v/>
      </c>
    </row>
    <row r="59975" spans="8:8" x14ac:dyDescent="0.3">
      <c r="H59975" t="str">
        <f t="shared" si="986"/>
        <v/>
      </c>
    </row>
    <row r="59976" spans="8:8" x14ac:dyDescent="0.3">
      <c r="H59976" t="str">
        <f t="shared" si="986"/>
        <v/>
      </c>
    </row>
    <row r="59977" spans="8:8" x14ac:dyDescent="0.3">
      <c r="H59977" t="str">
        <f t="shared" si="986"/>
        <v/>
      </c>
    </row>
    <row r="59978" spans="8:8" x14ac:dyDescent="0.3">
      <c r="H59978" t="str">
        <f t="shared" si="986"/>
        <v/>
      </c>
    </row>
    <row r="59979" spans="8:8" x14ac:dyDescent="0.3">
      <c r="H59979" t="str">
        <f t="shared" si="986"/>
        <v/>
      </c>
    </row>
    <row r="59980" spans="8:8" x14ac:dyDescent="0.3">
      <c r="H59980" t="str">
        <f t="shared" si="986"/>
        <v/>
      </c>
    </row>
    <row r="59981" spans="8:8" x14ac:dyDescent="0.3">
      <c r="H59981" t="str">
        <f t="shared" si="986"/>
        <v/>
      </c>
    </row>
    <row r="59982" spans="8:8" x14ac:dyDescent="0.3">
      <c r="H59982" t="str">
        <f t="shared" si="986"/>
        <v/>
      </c>
    </row>
    <row r="59983" spans="8:8" x14ac:dyDescent="0.3">
      <c r="H59983" t="str">
        <f t="shared" si="986"/>
        <v/>
      </c>
    </row>
    <row r="59984" spans="8:8" x14ac:dyDescent="0.3">
      <c r="H59984" t="str">
        <f t="shared" si="986"/>
        <v/>
      </c>
    </row>
    <row r="59985" spans="8:8" x14ac:dyDescent="0.3">
      <c r="H59985" t="str">
        <f t="shared" si="986"/>
        <v/>
      </c>
    </row>
    <row r="59986" spans="8:8" x14ac:dyDescent="0.3">
      <c r="H59986" t="str">
        <f t="shared" si="986"/>
        <v/>
      </c>
    </row>
    <row r="59987" spans="8:8" x14ac:dyDescent="0.3">
      <c r="H59987" t="str">
        <f t="shared" si="986"/>
        <v/>
      </c>
    </row>
    <row r="59988" spans="8:8" x14ac:dyDescent="0.3">
      <c r="H59988" t="str">
        <f t="shared" si="986"/>
        <v/>
      </c>
    </row>
    <row r="59989" spans="8:8" x14ac:dyDescent="0.3">
      <c r="H59989" t="str">
        <f t="shared" si="986"/>
        <v/>
      </c>
    </row>
    <row r="59990" spans="8:8" x14ac:dyDescent="0.3">
      <c r="H59990" t="str">
        <f t="shared" si="986"/>
        <v/>
      </c>
    </row>
    <row r="59991" spans="8:8" x14ac:dyDescent="0.3">
      <c r="H59991" t="str">
        <f t="shared" ref="H59991:H60054" si="987">IF(B59991="","",$C$12)</f>
        <v/>
      </c>
    </row>
    <row r="59992" spans="8:8" x14ac:dyDescent="0.3">
      <c r="H59992" t="str">
        <f t="shared" si="987"/>
        <v/>
      </c>
    </row>
    <row r="59993" spans="8:8" x14ac:dyDescent="0.3">
      <c r="H59993" t="str">
        <f t="shared" si="987"/>
        <v/>
      </c>
    </row>
    <row r="59994" spans="8:8" x14ac:dyDescent="0.3">
      <c r="H59994" t="str">
        <f t="shared" si="987"/>
        <v/>
      </c>
    </row>
    <row r="59995" spans="8:8" x14ac:dyDescent="0.3">
      <c r="H59995" t="str">
        <f t="shared" si="987"/>
        <v/>
      </c>
    </row>
    <row r="59996" spans="8:8" x14ac:dyDescent="0.3">
      <c r="H59996" t="str">
        <f t="shared" si="987"/>
        <v/>
      </c>
    </row>
    <row r="59997" spans="8:8" x14ac:dyDescent="0.3">
      <c r="H59997" t="str">
        <f t="shared" si="987"/>
        <v/>
      </c>
    </row>
    <row r="59998" spans="8:8" x14ac:dyDescent="0.3">
      <c r="H59998" t="str">
        <f t="shared" si="987"/>
        <v/>
      </c>
    </row>
    <row r="59999" spans="8:8" x14ac:dyDescent="0.3">
      <c r="H59999" t="str">
        <f t="shared" si="987"/>
        <v/>
      </c>
    </row>
    <row r="60000" spans="8:8" x14ac:dyDescent="0.3">
      <c r="H60000" t="str">
        <f t="shared" si="987"/>
        <v/>
      </c>
    </row>
    <row r="60001" spans="8:8" x14ac:dyDescent="0.3">
      <c r="H60001" t="str">
        <f t="shared" si="987"/>
        <v/>
      </c>
    </row>
    <row r="60002" spans="8:8" x14ac:dyDescent="0.3">
      <c r="H60002" t="str">
        <f t="shared" si="987"/>
        <v/>
      </c>
    </row>
    <row r="60003" spans="8:8" x14ac:dyDescent="0.3">
      <c r="H60003" t="str">
        <f t="shared" si="987"/>
        <v/>
      </c>
    </row>
    <row r="60004" spans="8:8" x14ac:dyDescent="0.3">
      <c r="H60004" t="str">
        <f t="shared" si="987"/>
        <v/>
      </c>
    </row>
    <row r="60005" spans="8:8" x14ac:dyDescent="0.3">
      <c r="H60005" t="str">
        <f t="shared" si="987"/>
        <v/>
      </c>
    </row>
    <row r="60006" spans="8:8" x14ac:dyDescent="0.3">
      <c r="H60006" t="str">
        <f t="shared" si="987"/>
        <v/>
      </c>
    </row>
    <row r="60007" spans="8:8" x14ac:dyDescent="0.3">
      <c r="H60007" t="str">
        <f t="shared" si="987"/>
        <v/>
      </c>
    </row>
    <row r="60008" spans="8:8" x14ac:dyDescent="0.3">
      <c r="H60008" t="str">
        <f t="shared" si="987"/>
        <v/>
      </c>
    </row>
    <row r="60009" spans="8:8" x14ac:dyDescent="0.3">
      <c r="H60009" t="str">
        <f t="shared" si="987"/>
        <v/>
      </c>
    </row>
    <row r="60010" spans="8:8" x14ac:dyDescent="0.3">
      <c r="H60010" t="str">
        <f t="shared" si="987"/>
        <v/>
      </c>
    </row>
    <row r="60011" spans="8:8" x14ac:dyDescent="0.3">
      <c r="H60011" t="str">
        <f t="shared" si="987"/>
        <v/>
      </c>
    </row>
    <row r="60012" spans="8:8" x14ac:dyDescent="0.3">
      <c r="H60012" t="str">
        <f t="shared" si="987"/>
        <v/>
      </c>
    </row>
    <row r="60013" spans="8:8" x14ac:dyDescent="0.3">
      <c r="H60013" t="str">
        <f t="shared" si="987"/>
        <v/>
      </c>
    </row>
    <row r="60014" spans="8:8" x14ac:dyDescent="0.3">
      <c r="H60014" t="str">
        <f t="shared" si="987"/>
        <v/>
      </c>
    </row>
    <row r="60015" spans="8:8" x14ac:dyDescent="0.3">
      <c r="H60015" t="str">
        <f t="shared" si="987"/>
        <v/>
      </c>
    </row>
    <row r="60016" spans="8:8" x14ac:dyDescent="0.3">
      <c r="H60016" t="str">
        <f t="shared" si="987"/>
        <v/>
      </c>
    </row>
    <row r="60017" spans="8:8" x14ac:dyDescent="0.3">
      <c r="H60017" t="str">
        <f t="shared" si="987"/>
        <v/>
      </c>
    </row>
    <row r="60018" spans="8:8" x14ac:dyDescent="0.3">
      <c r="H60018" t="str">
        <f t="shared" si="987"/>
        <v/>
      </c>
    </row>
    <row r="60019" spans="8:8" x14ac:dyDescent="0.3">
      <c r="H60019" t="str">
        <f t="shared" si="987"/>
        <v/>
      </c>
    </row>
    <row r="60020" spans="8:8" x14ac:dyDescent="0.3">
      <c r="H60020" t="str">
        <f t="shared" si="987"/>
        <v/>
      </c>
    </row>
    <row r="60021" spans="8:8" x14ac:dyDescent="0.3">
      <c r="H60021" t="str">
        <f t="shared" si="987"/>
        <v/>
      </c>
    </row>
    <row r="60022" spans="8:8" x14ac:dyDescent="0.3">
      <c r="H60022" t="str">
        <f t="shared" si="987"/>
        <v/>
      </c>
    </row>
    <row r="60023" spans="8:8" x14ac:dyDescent="0.3">
      <c r="H60023" t="str">
        <f t="shared" si="987"/>
        <v/>
      </c>
    </row>
    <row r="60024" spans="8:8" x14ac:dyDescent="0.3">
      <c r="H60024" t="str">
        <f t="shared" si="987"/>
        <v/>
      </c>
    </row>
    <row r="60025" spans="8:8" x14ac:dyDescent="0.3">
      <c r="H60025" t="str">
        <f t="shared" si="987"/>
        <v/>
      </c>
    </row>
    <row r="60026" spans="8:8" x14ac:dyDescent="0.3">
      <c r="H60026" t="str">
        <f t="shared" si="987"/>
        <v/>
      </c>
    </row>
    <row r="60027" spans="8:8" x14ac:dyDescent="0.3">
      <c r="H60027" t="str">
        <f t="shared" si="987"/>
        <v/>
      </c>
    </row>
    <row r="60028" spans="8:8" x14ac:dyDescent="0.3">
      <c r="H60028" t="str">
        <f t="shared" si="987"/>
        <v/>
      </c>
    </row>
    <row r="60029" spans="8:8" x14ac:dyDescent="0.3">
      <c r="H60029" t="str">
        <f t="shared" si="987"/>
        <v/>
      </c>
    </row>
    <row r="60030" spans="8:8" x14ac:dyDescent="0.3">
      <c r="H60030" t="str">
        <f t="shared" si="987"/>
        <v/>
      </c>
    </row>
    <row r="60031" spans="8:8" x14ac:dyDescent="0.3">
      <c r="H60031" t="str">
        <f t="shared" si="987"/>
        <v/>
      </c>
    </row>
    <row r="60032" spans="8:8" x14ac:dyDescent="0.3">
      <c r="H60032" t="str">
        <f t="shared" si="987"/>
        <v/>
      </c>
    </row>
    <row r="60033" spans="8:8" x14ac:dyDescent="0.3">
      <c r="H60033" t="str">
        <f t="shared" si="987"/>
        <v/>
      </c>
    </row>
    <row r="60034" spans="8:8" x14ac:dyDescent="0.3">
      <c r="H60034" t="str">
        <f t="shared" si="987"/>
        <v/>
      </c>
    </row>
    <row r="60035" spans="8:8" x14ac:dyDescent="0.3">
      <c r="H60035" t="str">
        <f t="shared" si="987"/>
        <v/>
      </c>
    </row>
    <row r="60036" spans="8:8" x14ac:dyDescent="0.3">
      <c r="H60036" t="str">
        <f t="shared" si="987"/>
        <v/>
      </c>
    </row>
    <row r="60037" spans="8:8" x14ac:dyDescent="0.3">
      <c r="H60037" t="str">
        <f t="shared" si="987"/>
        <v/>
      </c>
    </row>
    <row r="60038" spans="8:8" x14ac:dyDescent="0.3">
      <c r="H60038" t="str">
        <f t="shared" si="987"/>
        <v/>
      </c>
    </row>
    <row r="60039" spans="8:8" x14ac:dyDescent="0.3">
      <c r="H60039" t="str">
        <f t="shared" si="987"/>
        <v/>
      </c>
    </row>
    <row r="60040" spans="8:8" x14ac:dyDescent="0.3">
      <c r="H60040" t="str">
        <f t="shared" si="987"/>
        <v/>
      </c>
    </row>
    <row r="60041" spans="8:8" x14ac:dyDescent="0.3">
      <c r="H60041" t="str">
        <f t="shared" si="987"/>
        <v/>
      </c>
    </row>
    <row r="60042" spans="8:8" x14ac:dyDescent="0.3">
      <c r="H60042" t="str">
        <f t="shared" si="987"/>
        <v/>
      </c>
    </row>
    <row r="60043" spans="8:8" x14ac:dyDescent="0.3">
      <c r="H60043" t="str">
        <f t="shared" si="987"/>
        <v/>
      </c>
    </row>
    <row r="60044" spans="8:8" x14ac:dyDescent="0.3">
      <c r="H60044" t="str">
        <f t="shared" si="987"/>
        <v/>
      </c>
    </row>
    <row r="60045" spans="8:8" x14ac:dyDescent="0.3">
      <c r="H60045" t="str">
        <f t="shared" si="987"/>
        <v/>
      </c>
    </row>
    <row r="60046" spans="8:8" x14ac:dyDescent="0.3">
      <c r="H60046" t="str">
        <f t="shared" si="987"/>
        <v/>
      </c>
    </row>
    <row r="60047" spans="8:8" x14ac:dyDescent="0.3">
      <c r="H60047" t="str">
        <f t="shared" si="987"/>
        <v/>
      </c>
    </row>
    <row r="60048" spans="8:8" x14ac:dyDescent="0.3">
      <c r="H60048" t="str">
        <f t="shared" si="987"/>
        <v/>
      </c>
    </row>
    <row r="60049" spans="8:8" x14ac:dyDescent="0.3">
      <c r="H60049" t="str">
        <f t="shared" si="987"/>
        <v/>
      </c>
    </row>
    <row r="60050" spans="8:8" x14ac:dyDescent="0.3">
      <c r="H60050" t="str">
        <f t="shared" si="987"/>
        <v/>
      </c>
    </row>
    <row r="60051" spans="8:8" x14ac:dyDescent="0.3">
      <c r="H60051" t="str">
        <f t="shared" si="987"/>
        <v/>
      </c>
    </row>
    <row r="60052" spans="8:8" x14ac:dyDescent="0.3">
      <c r="H60052" t="str">
        <f t="shared" si="987"/>
        <v/>
      </c>
    </row>
    <row r="60053" spans="8:8" x14ac:dyDescent="0.3">
      <c r="H60053" t="str">
        <f t="shared" si="987"/>
        <v/>
      </c>
    </row>
    <row r="60054" spans="8:8" x14ac:dyDescent="0.3">
      <c r="H60054" t="str">
        <f t="shared" si="987"/>
        <v/>
      </c>
    </row>
    <row r="60055" spans="8:8" x14ac:dyDescent="0.3">
      <c r="H60055" t="str">
        <f t="shared" ref="H60055:H60118" si="988">IF(B60055="","",$C$12)</f>
        <v/>
      </c>
    </row>
    <row r="60056" spans="8:8" x14ac:dyDescent="0.3">
      <c r="H60056" t="str">
        <f t="shared" si="988"/>
        <v/>
      </c>
    </row>
    <row r="60057" spans="8:8" x14ac:dyDescent="0.3">
      <c r="H60057" t="str">
        <f t="shared" si="988"/>
        <v/>
      </c>
    </row>
    <row r="60058" spans="8:8" x14ac:dyDescent="0.3">
      <c r="H60058" t="str">
        <f t="shared" si="988"/>
        <v/>
      </c>
    </row>
    <row r="60059" spans="8:8" x14ac:dyDescent="0.3">
      <c r="H60059" t="str">
        <f t="shared" si="988"/>
        <v/>
      </c>
    </row>
    <row r="60060" spans="8:8" x14ac:dyDescent="0.3">
      <c r="H60060" t="str">
        <f t="shared" si="988"/>
        <v/>
      </c>
    </row>
    <row r="60061" spans="8:8" x14ac:dyDescent="0.3">
      <c r="H60061" t="str">
        <f t="shared" si="988"/>
        <v/>
      </c>
    </row>
    <row r="60062" spans="8:8" x14ac:dyDescent="0.3">
      <c r="H60062" t="str">
        <f t="shared" si="988"/>
        <v/>
      </c>
    </row>
    <row r="60063" spans="8:8" x14ac:dyDescent="0.3">
      <c r="H60063" t="str">
        <f t="shared" si="988"/>
        <v/>
      </c>
    </row>
    <row r="60064" spans="8:8" x14ac:dyDescent="0.3">
      <c r="H60064" t="str">
        <f t="shared" si="988"/>
        <v/>
      </c>
    </row>
    <row r="60065" spans="8:8" x14ac:dyDescent="0.3">
      <c r="H60065" t="str">
        <f t="shared" si="988"/>
        <v/>
      </c>
    </row>
    <row r="60066" spans="8:8" x14ac:dyDescent="0.3">
      <c r="H60066" t="str">
        <f t="shared" si="988"/>
        <v/>
      </c>
    </row>
    <row r="60067" spans="8:8" x14ac:dyDescent="0.3">
      <c r="H60067" t="str">
        <f t="shared" si="988"/>
        <v/>
      </c>
    </row>
    <row r="60068" spans="8:8" x14ac:dyDescent="0.3">
      <c r="H60068" t="str">
        <f t="shared" si="988"/>
        <v/>
      </c>
    </row>
    <row r="60069" spans="8:8" x14ac:dyDescent="0.3">
      <c r="H60069" t="str">
        <f t="shared" si="988"/>
        <v/>
      </c>
    </row>
    <row r="60070" spans="8:8" x14ac:dyDescent="0.3">
      <c r="H60070" t="str">
        <f t="shared" si="988"/>
        <v/>
      </c>
    </row>
    <row r="60071" spans="8:8" x14ac:dyDescent="0.3">
      <c r="H60071" t="str">
        <f t="shared" si="988"/>
        <v/>
      </c>
    </row>
    <row r="60072" spans="8:8" x14ac:dyDescent="0.3">
      <c r="H60072" t="str">
        <f t="shared" si="988"/>
        <v/>
      </c>
    </row>
    <row r="60073" spans="8:8" x14ac:dyDescent="0.3">
      <c r="H60073" t="str">
        <f t="shared" si="988"/>
        <v/>
      </c>
    </row>
    <row r="60074" spans="8:8" x14ac:dyDescent="0.3">
      <c r="H60074" t="str">
        <f t="shared" si="988"/>
        <v/>
      </c>
    </row>
    <row r="60075" spans="8:8" x14ac:dyDescent="0.3">
      <c r="H60075" t="str">
        <f t="shared" si="988"/>
        <v/>
      </c>
    </row>
    <row r="60076" spans="8:8" x14ac:dyDescent="0.3">
      <c r="H60076" t="str">
        <f t="shared" si="988"/>
        <v/>
      </c>
    </row>
    <row r="60077" spans="8:8" x14ac:dyDescent="0.3">
      <c r="H60077" t="str">
        <f t="shared" si="988"/>
        <v/>
      </c>
    </row>
    <row r="60078" spans="8:8" x14ac:dyDescent="0.3">
      <c r="H60078" t="str">
        <f t="shared" si="988"/>
        <v/>
      </c>
    </row>
    <row r="60079" spans="8:8" x14ac:dyDescent="0.3">
      <c r="H60079" t="str">
        <f t="shared" si="988"/>
        <v/>
      </c>
    </row>
    <row r="60080" spans="8:8" x14ac:dyDescent="0.3">
      <c r="H60080" t="str">
        <f t="shared" si="988"/>
        <v/>
      </c>
    </row>
    <row r="60081" spans="8:8" x14ac:dyDescent="0.3">
      <c r="H60081" t="str">
        <f t="shared" si="988"/>
        <v/>
      </c>
    </row>
    <row r="60082" spans="8:8" x14ac:dyDescent="0.3">
      <c r="H60082" t="str">
        <f t="shared" si="988"/>
        <v/>
      </c>
    </row>
    <row r="60083" spans="8:8" x14ac:dyDescent="0.3">
      <c r="H60083" t="str">
        <f t="shared" si="988"/>
        <v/>
      </c>
    </row>
    <row r="60084" spans="8:8" x14ac:dyDescent="0.3">
      <c r="H60084" t="str">
        <f t="shared" si="988"/>
        <v/>
      </c>
    </row>
    <row r="60085" spans="8:8" x14ac:dyDescent="0.3">
      <c r="H60085" t="str">
        <f t="shared" si="988"/>
        <v/>
      </c>
    </row>
    <row r="60086" spans="8:8" x14ac:dyDescent="0.3">
      <c r="H60086" t="str">
        <f t="shared" si="988"/>
        <v/>
      </c>
    </row>
    <row r="60087" spans="8:8" x14ac:dyDescent="0.3">
      <c r="H60087" t="str">
        <f t="shared" si="988"/>
        <v/>
      </c>
    </row>
    <row r="60088" spans="8:8" x14ac:dyDescent="0.3">
      <c r="H60088" t="str">
        <f t="shared" si="988"/>
        <v/>
      </c>
    </row>
    <row r="60089" spans="8:8" x14ac:dyDescent="0.3">
      <c r="H60089" t="str">
        <f t="shared" si="988"/>
        <v/>
      </c>
    </row>
    <row r="60090" spans="8:8" x14ac:dyDescent="0.3">
      <c r="H60090" t="str">
        <f t="shared" si="988"/>
        <v/>
      </c>
    </row>
    <row r="60091" spans="8:8" x14ac:dyDescent="0.3">
      <c r="H60091" t="str">
        <f t="shared" si="988"/>
        <v/>
      </c>
    </row>
    <row r="60092" spans="8:8" x14ac:dyDescent="0.3">
      <c r="H60092" t="str">
        <f t="shared" si="988"/>
        <v/>
      </c>
    </row>
    <row r="60093" spans="8:8" x14ac:dyDescent="0.3">
      <c r="H60093" t="str">
        <f t="shared" si="988"/>
        <v/>
      </c>
    </row>
    <row r="60094" spans="8:8" x14ac:dyDescent="0.3">
      <c r="H60094" t="str">
        <f t="shared" si="988"/>
        <v/>
      </c>
    </row>
    <row r="60095" spans="8:8" x14ac:dyDescent="0.3">
      <c r="H60095" t="str">
        <f t="shared" si="988"/>
        <v/>
      </c>
    </row>
    <row r="60096" spans="8:8" x14ac:dyDescent="0.3">
      <c r="H60096" t="str">
        <f t="shared" si="988"/>
        <v/>
      </c>
    </row>
    <row r="60097" spans="8:8" x14ac:dyDescent="0.3">
      <c r="H60097" t="str">
        <f t="shared" si="988"/>
        <v/>
      </c>
    </row>
    <row r="60098" spans="8:8" x14ac:dyDescent="0.3">
      <c r="H60098" t="str">
        <f t="shared" si="988"/>
        <v/>
      </c>
    </row>
    <row r="60099" spans="8:8" x14ac:dyDescent="0.3">
      <c r="H60099" t="str">
        <f t="shared" si="988"/>
        <v/>
      </c>
    </row>
    <row r="60100" spans="8:8" x14ac:dyDescent="0.3">
      <c r="H60100" t="str">
        <f t="shared" si="988"/>
        <v/>
      </c>
    </row>
    <row r="60101" spans="8:8" x14ac:dyDescent="0.3">
      <c r="H60101" t="str">
        <f t="shared" si="988"/>
        <v/>
      </c>
    </row>
    <row r="60102" spans="8:8" x14ac:dyDescent="0.3">
      <c r="H60102" t="str">
        <f t="shared" si="988"/>
        <v/>
      </c>
    </row>
    <row r="60103" spans="8:8" x14ac:dyDescent="0.3">
      <c r="H60103" t="str">
        <f t="shared" si="988"/>
        <v/>
      </c>
    </row>
    <row r="60104" spans="8:8" x14ac:dyDescent="0.3">
      <c r="H60104" t="str">
        <f t="shared" si="988"/>
        <v/>
      </c>
    </row>
    <row r="60105" spans="8:8" x14ac:dyDescent="0.3">
      <c r="H60105" t="str">
        <f t="shared" si="988"/>
        <v/>
      </c>
    </row>
    <row r="60106" spans="8:8" x14ac:dyDescent="0.3">
      <c r="H60106" t="str">
        <f t="shared" si="988"/>
        <v/>
      </c>
    </row>
    <row r="60107" spans="8:8" x14ac:dyDescent="0.3">
      <c r="H60107" t="str">
        <f t="shared" si="988"/>
        <v/>
      </c>
    </row>
    <row r="60108" spans="8:8" x14ac:dyDescent="0.3">
      <c r="H60108" t="str">
        <f t="shared" si="988"/>
        <v/>
      </c>
    </row>
    <row r="60109" spans="8:8" x14ac:dyDescent="0.3">
      <c r="H60109" t="str">
        <f t="shared" si="988"/>
        <v/>
      </c>
    </row>
    <row r="60110" spans="8:8" x14ac:dyDescent="0.3">
      <c r="H60110" t="str">
        <f t="shared" si="988"/>
        <v/>
      </c>
    </row>
    <row r="60111" spans="8:8" x14ac:dyDescent="0.3">
      <c r="H60111" t="str">
        <f t="shared" si="988"/>
        <v/>
      </c>
    </row>
    <row r="60112" spans="8:8" x14ac:dyDescent="0.3">
      <c r="H60112" t="str">
        <f t="shared" si="988"/>
        <v/>
      </c>
    </row>
    <row r="60113" spans="8:8" x14ac:dyDescent="0.3">
      <c r="H60113" t="str">
        <f t="shared" si="988"/>
        <v/>
      </c>
    </row>
    <row r="60114" spans="8:8" x14ac:dyDescent="0.3">
      <c r="H60114" t="str">
        <f t="shared" si="988"/>
        <v/>
      </c>
    </row>
    <row r="60115" spans="8:8" x14ac:dyDescent="0.3">
      <c r="H60115" t="str">
        <f t="shared" si="988"/>
        <v/>
      </c>
    </row>
    <row r="60116" spans="8:8" x14ac:dyDescent="0.3">
      <c r="H60116" t="str">
        <f t="shared" si="988"/>
        <v/>
      </c>
    </row>
    <row r="60117" spans="8:8" x14ac:dyDescent="0.3">
      <c r="H60117" t="str">
        <f t="shared" si="988"/>
        <v/>
      </c>
    </row>
    <row r="60118" spans="8:8" x14ac:dyDescent="0.3">
      <c r="H60118" t="str">
        <f t="shared" si="988"/>
        <v/>
      </c>
    </row>
    <row r="60119" spans="8:8" x14ac:dyDescent="0.3">
      <c r="H60119" t="str">
        <f t="shared" ref="H60119:H60182" si="989">IF(B60119="","",$C$12)</f>
        <v/>
      </c>
    </row>
    <row r="60120" spans="8:8" x14ac:dyDescent="0.3">
      <c r="H60120" t="str">
        <f t="shared" si="989"/>
        <v/>
      </c>
    </row>
    <row r="60121" spans="8:8" x14ac:dyDescent="0.3">
      <c r="H60121" t="str">
        <f t="shared" si="989"/>
        <v/>
      </c>
    </row>
    <row r="60122" spans="8:8" x14ac:dyDescent="0.3">
      <c r="H60122" t="str">
        <f t="shared" si="989"/>
        <v/>
      </c>
    </row>
    <row r="60123" spans="8:8" x14ac:dyDescent="0.3">
      <c r="H60123" t="str">
        <f t="shared" si="989"/>
        <v/>
      </c>
    </row>
    <row r="60124" spans="8:8" x14ac:dyDescent="0.3">
      <c r="H60124" t="str">
        <f t="shared" si="989"/>
        <v/>
      </c>
    </row>
    <row r="60125" spans="8:8" x14ac:dyDescent="0.3">
      <c r="H60125" t="str">
        <f t="shared" si="989"/>
        <v/>
      </c>
    </row>
    <row r="60126" spans="8:8" x14ac:dyDescent="0.3">
      <c r="H60126" t="str">
        <f t="shared" si="989"/>
        <v/>
      </c>
    </row>
    <row r="60127" spans="8:8" x14ac:dyDescent="0.3">
      <c r="H60127" t="str">
        <f t="shared" si="989"/>
        <v/>
      </c>
    </row>
    <row r="60128" spans="8:8" x14ac:dyDescent="0.3">
      <c r="H60128" t="str">
        <f t="shared" si="989"/>
        <v/>
      </c>
    </row>
    <row r="60129" spans="8:8" x14ac:dyDescent="0.3">
      <c r="H60129" t="str">
        <f t="shared" si="989"/>
        <v/>
      </c>
    </row>
    <row r="60130" spans="8:8" x14ac:dyDescent="0.3">
      <c r="H60130" t="str">
        <f t="shared" si="989"/>
        <v/>
      </c>
    </row>
    <row r="60131" spans="8:8" x14ac:dyDescent="0.3">
      <c r="H60131" t="str">
        <f t="shared" si="989"/>
        <v/>
      </c>
    </row>
    <row r="60132" spans="8:8" x14ac:dyDescent="0.3">
      <c r="H60132" t="str">
        <f t="shared" si="989"/>
        <v/>
      </c>
    </row>
    <row r="60133" spans="8:8" x14ac:dyDescent="0.3">
      <c r="H60133" t="str">
        <f t="shared" si="989"/>
        <v/>
      </c>
    </row>
    <row r="60134" spans="8:8" x14ac:dyDescent="0.3">
      <c r="H60134" t="str">
        <f t="shared" si="989"/>
        <v/>
      </c>
    </row>
    <row r="60135" spans="8:8" x14ac:dyDescent="0.3">
      <c r="H60135" t="str">
        <f t="shared" si="989"/>
        <v/>
      </c>
    </row>
    <row r="60136" spans="8:8" x14ac:dyDescent="0.3">
      <c r="H60136" t="str">
        <f t="shared" si="989"/>
        <v/>
      </c>
    </row>
    <row r="60137" spans="8:8" x14ac:dyDescent="0.3">
      <c r="H60137" t="str">
        <f t="shared" si="989"/>
        <v/>
      </c>
    </row>
    <row r="60138" spans="8:8" x14ac:dyDescent="0.3">
      <c r="H60138" t="str">
        <f t="shared" si="989"/>
        <v/>
      </c>
    </row>
    <row r="60139" spans="8:8" x14ac:dyDescent="0.3">
      <c r="H60139" t="str">
        <f t="shared" si="989"/>
        <v/>
      </c>
    </row>
    <row r="60140" spans="8:8" x14ac:dyDescent="0.3">
      <c r="H60140" t="str">
        <f t="shared" si="989"/>
        <v/>
      </c>
    </row>
    <row r="60141" spans="8:8" x14ac:dyDescent="0.3">
      <c r="H60141" t="str">
        <f t="shared" si="989"/>
        <v/>
      </c>
    </row>
    <row r="60142" spans="8:8" x14ac:dyDescent="0.3">
      <c r="H60142" t="str">
        <f t="shared" si="989"/>
        <v/>
      </c>
    </row>
    <row r="60143" spans="8:8" x14ac:dyDescent="0.3">
      <c r="H60143" t="str">
        <f t="shared" si="989"/>
        <v/>
      </c>
    </row>
    <row r="60144" spans="8:8" x14ac:dyDescent="0.3">
      <c r="H60144" t="str">
        <f t="shared" si="989"/>
        <v/>
      </c>
    </row>
    <row r="60145" spans="8:8" x14ac:dyDescent="0.3">
      <c r="H60145" t="str">
        <f t="shared" si="989"/>
        <v/>
      </c>
    </row>
    <row r="60146" spans="8:8" x14ac:dyDescent="0.3">
      <c r="H60146" t="str">
        <f t="shared" si="989"/>
        <v/>
      </c>
    </row>
    <row r="60147" spans="8:8" x14ac:dyDescent="0.3">
      <c r="H60147" t="str">
        <f t="shared" si="989"/>
        <v/>
      </c>
    </row>
    <row r="60148" spans="8:8" x14ac:dyDescent="0.3">
      <c r="H60148" t="str">
        <f t="shared" si="989"/>
        <v/>
      </c>
    </row>
    <row r="60149" spans="8:8" x14ac:dyDescent="0.3">
      <c r="H60149" t="str">
        <f t="shared" si="989"/>
        <v/>
      </c>
    </row>
    <row r="60150" spans="8:8" x14ac:dyDescent="0.3">
      <c r="H60150" t="str">
        <f t="shared" si="989"/>
        <v/>
      </c>
    </row>
    <row r="60151" spans="8:8" x14ac:dyDescent="0.3">
      <c r="H60151" t="str">
        <f t="shared" si="989"/>
        <v/>
      </c>
    </row>
    <row r="60152" spans="8:8" x14ac:dyDescent="0.3">
      <c r="H60152" t="str">
        <f t="shared" si="989"/>
        <v/>
      </c>
    </row>
    <row r="60153" spans="8:8" x14ac:dyDescent="0.3">
      <c r="H60153" t="str">
        <f t="shared" si="989"/>
        <v/>
      </c>
    </row>
    <row r="60154" spans="8:8" x14ac:dyDescent="0.3">
      <c r="H60154" t="str">
        <f t="shared" si="989"/>
        <v/>
      </c>
    </row>
    <row r="60155" spans="8:8" x14ac:dyDescent="0.3">
      <c r="H60155" t="str">
        <f t="shared" si="989"/>
        <v/>
      </c>
    </row>
    <row r="60156" spans="8:8" x14ac:dyDescent="0.3">
      <c r="H60156" t="str">
        <f t="shared" si="989"/>
        <v/>
      </c>
    </row>
    <row r="60157" spans="8:8" x14ac:dyDescent="0.3">
      <c r="H60157" t="str">
        <f t="shared" si="989"/>
        <v/>
      </c>
    </row>
    <row r="60158" spans="8:8" x14ac:dyDescent="0.3">
      <c r="H60158" t="str">
        <f t="shared" si="989"/>
        <v/>
      </c>
    </row>
    <row r="60159" spans="8:8" x14ac:dyDescent="0.3">
      <c r="H60159" t="str">
        <f t="shared" si="989"/>
        <v/>
      </c>
    </row>
    <row r="60160" spans="8:8" x14ac:dyDescent="0.3">
      <c r="H60160" t="str">
        <f t="shared" si="989"/>
        <v/>
      </c>
    </row>
    <row r="60161" spans="8:8" x14ac:dyDescent="0.3">
      <c r="H60161" t="str">
        <f t="shared" si="989"/>
        <v/>
      </c>
    </row>
    <row r="60162" spans="8:8" x14ac:dyDescent="0.3">
      <c r="H60162" t="str">
        <f t="shared" si="989"/>
        <v/>
      </c>
    </row>
    <row r="60163" spans="8:8" x14ac:dyDescent="0.3">
      <c r="H60163" t="str">
        <f t="shared" si="989"/>
        <v/>
      </c>
    </row>
    <row r="60164" spans="8:8" x14ac:dyDescent="0.3">
      <c r="H60164" t="str">
        <f t="shared" si="989"/>
        <v/>
      </c>
    </row>
    <row r="60165" spans="8:8" x14ac:dyDescent="0.3">
      <c r="H60165" t="str">
        <f t="shared" si="989"/>
        <v/>
      </c>
    </row>
    <row r="60166" spans="8:8" x14ac:dyDescent="0.3">
      <c r="H60166" t="str">
        <f t="shared" si="989"/>
        <v/>
      </c>
    </row>
    <row r="60167" spans="8:8" x14ac:dyDescent="0.3">
      <c r="H60167" t="str">
        <f t="shared" si="989"/>
        <v/>
      </c>
    </row>
    <row r="60168" spans="8:8" x14ac:dyDescent="0.3">
      <c r="H60168" t="str">
        <f t="shared" si="989"/>
        <v/>
      </c>
    </row>
    <row r="60169" spans="8:8" x14ac:dyDescent="0.3">
      <c r="H60169" t="str">
        <f t="shared" si="989"/>
        <v/>
      </c>
    </row>
    <row r="60170" spans="8:8" x14ac:dyDescent="0.3">
      <c r="H60170" t="str">
        <f t="shared" si="989"/>
        <v/>
      </c>
    </row>
    <row r="60171" spans="8:8" x14ac:dyDescent="0.3">
      <c r="H60171" t="str">
        <f t="shared" si="989"/>
        <v/>
      </c>
    </row>
    <row r="60172" spans="8:8" x14ac:dyDescent="0.3">
      <c r="H60172" t="str">
        <f t="shared" si="989"/>
        <v/>
      </c>
    </row>
    <row r="60173" spans="8:8" x14ac:dyDescent="0.3">
      <c r="H60173" t="str">
        <f t="shared" si="989"/>
        <v/>
      </c>
    </row>
    <row r="60174" spans="8:8" x14ac:dyDescent="0.3">
      <c r="H60174" t="str">
        <f t="shared" si="989"/>
        <v/>
      </c>
    </row>
    <row r="60175" spans="8:8" x14ac:dyDescent="0.3">
      <c r="H60175" t="str">
        <f t="shared" si="989"/>
        <v/>
      </c>
    </row>
    <row r="60176" spans="8:8" x14ac:dyDescent="0.3">
      <c r="H60176" t="str">
        <f t="shared" si="989"/>
        <v/>
      </c>
    </row>
    <row r="60177" spans="8:8" x14ac:dyDescent="0.3">
      <c r="H60177" t="str">
        <f t="shared" si="989"/>
        <v/>
      </c>
    </row>
    <row r="60178" spans="8:8" x14ac:dyDescent="0.3">
      <c r="H60178" t="str">
        <f t="shared" si="989"/>
        <v/>
      </c>
    </row>
    <row r="60179" spans="8:8" x14ac:dyDescent="0.3">
      <c r="H60179" t="str">
        <f t="shared" si="989"/>
        <v/>
      </c>
    </row>
    <row r="60180" spans="8:8" x14ac:dyDescent="0.3">
      <c r="H60180" t="str">
        <f t="shared" si="989"/>
        <v/>
      </c>
    </row>
    <row r="60181" spans="8:8" x14ac:dyDescent="0.3">
      <c r="H60181" t="str">
        <f t="shared" si="989"/>
        <v/>
      </c>
    </row>
    <row r="60182" spans="8:8" x14ac:dyDescent="0.3">
      <c r="H60182" t="str">
        <f t="shared" si="989"/>
        <v/>
      </c>
    </row>
    <row r="60183" spans="8:8" x14ac:dyDescent="0.3">
      <c r="H60183" t="str">
        <f t="shared" ref="H60183:H60246" si="990">IF(B60183="","",$C$12)</f>
        <v/>
      </c>
    </row>
    <row r="60184" spans="8:8" x14ac:dyDescent="0.3">
      <c r="H60184" t="str">
        <f t="shared" si="990"/>
        <v/>
      </c>
    </row>
    <row r="60185" spans="8:8" x14ac:dyDescent="0.3">
      <c r="H60185" t="str">
        <f t="shared" si="990"/>
        <v/>
      </c>
    </row>
    <row r="60186" spans="8:8" x14ac:dyDescent="0.3">
      <c r="H60186" t="str">
        <f t="shared" si="990"/>
        <v/>
      </c>
    </row>
    <row r="60187" spans="8:8" x14ac:dyDescent="0.3">
      <c r="H60187" t="str">
        <f t="shared" si="990"/>
        <v/>
      </c>
    </row>
    <row r="60188" spans="8:8" x14ac:dyDescent="0.3">
      <c r="H60188" t="str">
        <f t="shared" si="990"/>
        <v/>
      </c>
    </row>
    <row r="60189" spans="8:8" x14ac:dyDescent="0.3">
      <c r="H60189" t="str">
        <f t="shared" si="990"/>
        <v/>
      </c>
    </row>
    <row r="60190" spans="8:8" x14ac:dyDescent="0.3">
      <c r="H60190" t="str">
        <f t="shared" si="990"/>
        <v/>
      </c>
    </row>
    <row r="60191" spans="8:8" x14ac:dyDescent="0.3">
      <c r="H60191" t="str">
        <f t="shared" si="990"/>
        <v/>
      </c>
    </row>
    <row r="60192" spans="8:8" x14ac:dyDescent="0.3">
      <c r="H60192" t="str">
        <f t="shared" si="990"/>
        <v/>
      </c>
    </row>
    <row r="60193" spans="8:8" x14ac:dyDescent="0.3">
      <c r="H60193" t="str">
        <f t="shared" si="990"/>
        <v/>
      </c>
    </row>
    <row r="60194" spans="8:8" x14ac:dyDescent="0.3">
      <c r="H60194" t="str">
        <f t="shared" si="990"/>
        <v/>
      </c>
    </row>
    <row r="60195" spans="8:8" x14ac:dyDescent="0.3">
      <c r="H60195" t="str">
        <f t="shared" si="990"/>
        <v/>
      </c>
    </row>
    <row r="60196" spans="8:8" x14ac:dyDescent="0.3">
      <c r="H60196" t="str">
        <f t="shared" si="990"/>
        <v/>
      </c>
    </row>
    <row r="60197" spans="8:8" x14ac:dyDescent="0.3">
      <c r="H60197" t="str">
        <f t="shared" si="990"/>
        <v/>
      </c>
    </row>
    <row r="60198" spans="8:8" x14ac:dyDescent="0.3">
      <c r="H60198" t="str">
        <f t="shared" si="990"/>
        <v/>
      </c>
    </row>
    <row r="60199" spans="8:8" x14ac:dyDescent="0.3">
      <c r="H60199" t="str">
        <f t="shared" si="990"/>
        <v/>
      </c>
    </row>
    <row r="60200" spans="8:8" x14ac:dyDescent="0.3">
      <c r="H60200" t="str">
        <f t="shared" si="990"/>
        <v/>
      </c>
    </row>
    <row r="60201" spans="8:8" x14ac:dyDescent="0.3">
      <c r="H60201" t="str">
        <f t="shared" si="990"/>
        <v/>
      </c>
    </row>
    <row r="60202" spans="8:8" x14ac:dyDescent="0.3">
      <c r="H60202" t="str">
        <f t="shared" si="990"/>
        <v/>
      </c>
    </row>
    <row r="60203" spans="8:8" x14ac:dyDescent="0.3">
      <c r="H60203" t="str">
        <f t="shared" si="990"/>
        <v/>
      </c>
    </row>
    <row r="60204" spans="8:8" x14ac:dyDescent="0.3">
      <c r="H60204" t="str">
        <f t="shared" si="990"/>
        <v/>
      </c>
    </row>
    <row r="60205" spans="8:8" x14ac:dyDescent="0.3">
      <c r="H60205" t="str">
        <f t="shared" si="990"/>
        <v/>
      </c>
    </row>
    <row r="60206" spans="8:8" x14ac:dyDescent="0.3">
      <c r="H60206" t="str">
        <f t="shared" si="990"/>
        <v/>
      </c>
    </row>
    <row r="60207" spans="8:8" x14ac:dyDescent="0.3">
      <c r="H60207" t="str">
        <f t="shared" si="990"/>
        <v/>
      </c>
    </row>
    <row r="60208" spans="8:8" x14ac:dyDescent="0.3">
      <c r="H60208" t="str">
        <f t="shared" si="990"/>
        <v/>
      </c>
    </row>
    <row r="60209" spans="8:8" x14ac:dyDescent="0.3">
      <c r="H60209" t="str">
        <f t="shared" si="990"/>
        <v/>
      </c>
    </row>
    <row r="60210" spans="8:8" x14ac:dyDescent="0.3">
      <c r="H60210" t="str">
        <f t="shared" si="990"/>
        <v/>
      </c>
    </row>
    <row r="60211" spans="8:8" x14ac:dyDescent="0.3">
      <c r="H60211" t="str">
        <f t="shared" si="990"/>
        <v/>
      </c>
    </row>
    <row r="60212" spans="8:8" x14ac:dyDescent="0.3">
      <c r="H60212" t="str">
        <f t="shared" si="990"/>
        <v/>
      </c>
    </row>
    <row r="60213" spans="8:8" x14ac:dyDescent="0.3">
      <c r="H60213" t="str">
        <f t="shared" si="990"/>
        <v/>
      </c>
    </row>
    <row r="60214" spans="8:8" x14ac:dyDescent="0.3">
      <c r="H60214" t="str">
        <f t="shared" si="990"/>
        <v/>
      </c>
    </row>
    <row r="60215" spans="8:8" x14ac:dyDescent="0.3">
      <c r="H60215" t="str">
        <f t="shared" si="990"/>
        <v/>
      </c>
    </row>
    <row r="60216" spans="8:8" x14ac:dyDescent="0.3">
      <c r="H60216" t="str">
        <f t="shared" si="990"/>
        <v/>
      </c>
    </row>
    <row r="60217" spans="8:8" x14ac:dyDescent="0.3">
      <c r="H60217" t="str">
        <f t="shared" si="990"/>
        <v/>
      </c>
    </row>
    <row r="60218" spans="8:8" x14ac:dyDescent="0.3">
      <c r="H60218" t="str">
        <f t="shared" si="990"/>
        <v/>
      </c>
    </row>
    <row r="60219" spans="8:8" x14ac:dyDescent="0.3">
      <c r="H60219" t="str">
        <f t="shared" si="990"/>
        <v/>
      </c>
    </row>
    <row r="60220" spans="8:8" x14ac:dyDescent="0.3">
      <c r="H60220" t="str">
        <f t="shared" si="990"/>
        <v/>
      </c>
    </row>
    <row r="60221" spans="8:8" x14ac:dyDescent="0.3">
      <c r="H60221" t="str">
        <f t="shared" si="990"/>
        <v/>
      </c>
    </row>
    <row r="60222" spans="8:8" x14ac:dyDescent="0.3">
      <c r="H60222" t="str">
        <f t="shared" si="990"/>
        <v/>
      </c>
    </row>
    <row r="60223" spans="8:8" x14ac:dyDescent="0.3">
      <c r="H60223" t="str">
        <f t="shared" si="990"/>
        <v/>
      </c>
    </row>
    <row r="60224" spans="8:8" x14ac:dyDescent="0.3">
      <c r="H60224" t="str">
        <f t="shared" si="990"/>
        <v/>
      </c>
    </row>
    <row r="60225" spans="8:8" x14ac:dyDescent="0.3">
      <c r="H60225" t="str">
        <f t="shared" si="990"/>
        <v/>
      </c>
    </row>
    <row r="60226" spans="8:8" x14ac:dyDescent="0.3">
      <c r="H60226" t="str">
        <f t="shared" si="990"/>
        <v/>
      </c>
    </row>
    <row r="60227" spans="8:8" x14ac:dyDescent="0.3">
      <c r="H60227" t="str">
        <f t="shared" si="990"/>
        <v/>
      </c>
    </row>
    <row r="60228" spans="8:8" x14ac:dyDescent="0.3">
      <c r="H60228" t="str">
        <f t="shared" si="990"/>
        <v/>
      </c>
    </row>
    <row r="60229" spans="8:8" x14ac:dyDescent="0.3">
      <c r="H60229" t="str">
        <f t="shared" si="990"/>
        <v/>
      </c>
    </row>
    <row r="60230" spans="8:8" x14ac:dyDescent="0.3">
      <c r="H60230" t="str">
        <f t="shared" si="990"/>
        <v/>
      </c>
    </row>
    <row r="60231" spans="8:8" x14ac:dyDescent="0.3">
      <c r="H60231" t="str">
        <f t="shared" si="990"/>
        <v/>
      </c>
    </row>
    <row r="60232" spans="8:8" x14ac:dyDescent="0.3">
      <c r="H60232" t="str">
        <f t="shared" si="990"/>
        <v/>
      </c>
    </row>
    <row r="60233" spans="8:8" x14ac:dyDescent="0.3">
      <c r="H60233" t="str">
        <f t="shared" si="990"/>
        <v/>
      </c>
    </row>
    <row r="60234" spans="8:8" x14ac:dyDescent="0.3">
      <c r="H60234" t="str">
        <f t="shared" si="990"/>
        <v/>
      </c>
    </row>
    <row r="60235" spans="8:8" x14ac:dyDescent="0.3">
      <c r="H60235" t="str">
        <f t="shared" si="990"/>
        <v/>
      </c>
    </row>
    <row r="60236" spans="8:8" x14ac:dyDescent="0.3">
      <c r="H60236" t="str">
        <f t="shared" si="990"/>
        <v/>
      </c>
    </row>
    <row r="60237" spans="8:8" x14ac:dyDescent="0.3">
      <c r="H60237" t="str">
        <f t="shared" si="990"/>
        <v/>
      </c>
    </row>
    <row r="60238" spans="8:8" x14ac:dyDescent="0.3">
      <c r="H60238" t="str">
        <f t="shared" si="990"/>
        <v/>
      </c>
    </row>
    <row r="60239" spans="8:8" x14ac:dyDescent="0.3">
      <c r="H60239" t="str">
        <f t="shared" si="990"/>
        <v/>
      </c>
    </row>
    <row r="60240" spans="8:8" x14ac:dyDescent="0.3">
      <c r="H60240" t="str">
        <f t="shared" si="990"/>
        <v/>
      </c>
    </row>
    <row r="60241" spans="8:8" x14ac:dyDescent="0.3">
      <c r="H60241" t="str">
        <f t="shared" si="990"/>
        <v/>
      </c>
    </row>
    <row r="60242" spans="8:8" x14ac:dyDescent="0.3">
      <c r="H60242" t="str">
        <f t="shared" si="990"/>
        <v/>
      </c>
    </row>
    <row r="60243" spans="8:8" x14ac:dyDescent="0.3">
      <c r="H60243" t="str">
        <f t="shared" si="990"/>
        <v/>
      </c>
    </row>
    <row r="60244" spans="8:8" x14ac:dyDescent="0.3">
      <c r="H60244" t="str">
        <f t="shared" si="990"/>
        <v/>
      </c>
    </row>
    <row r="60245" spans="8:8" x14ac:dyDescent="0.3">
      <c r="H60245" t="str">
        <f t="shared" si="990"/>
        <v/>
      </c>
    </row>
    <row r="60246" spans="8:8" x14ac:dyDescent="0.3">
      <c r="H60246" t="str">
        <f t="shared" si="990"/>
        <v/>
      </c>
    </row>
    <row r="60247" spans="8:8" x14ac:dyDescent="0.3">
      <c r="H60247" t="str">
        <f t="shared" ref="H60247:H60310" si="991">IF(B60247="","",$C$12)</f>
        <v/>
      </c>
    </row>
    <row r="60248" spans="8:8" x14ac:dyDescent="0.3">
      <c r="H60248" t="str">
        <f t="shared" si="991"/>
        <v/>
      </c>
    </row>
    <row r="60249" spans="8:8" x14ac:dyDescent="0.3">
      <c r="H60249" t="str">
        <f t="shared" si="991"/>
        <v/>
      </c>
    </row>
    <row r="60250" spans="8:8" x14ac:dyDescent="0.3">
      <c r="H60250" t="str">
        <f t="shared" si="991"/>
        <v/>
      </c>
    </row>
    <row r="60251" spans="8:8" x14ac:dyDescent="0.3">
      <c r="H60251" t="str">
        <f t="shared" si="991"/>
        <v/>
      </c>
    </row>
    <row r="60252" spans="8:8" x14ac:dyDescent="0.3">
      <c r="H60252" t="str">
        <f t="shared" si="991"/>
        <v/>
      </c>
    </row>
    <row r="60253" spans="8:8" x14ac:dyDescent="0.3">
      <c r="H60253" t="str">
        <f t="shared" si="991"/>
        <v/>
      </c>
    </row>
    <row r="60254" spans="8:8" x14ac:dyDescent="0.3">
      <c r="H60254" t="str">
        <f t="shared" si="991"/>
        <v/>
      </c>
    </row>
    <row r="60255" spans="8:8" x14ac:dyDescent="0.3">
      <c r="H60255" t="str">
        <f t="shared" si="991"/>
        <v/>
      </c>
    </row>
    <row r="60256" spans="8:8" x14ac:dyDescent="0.3">
      <c r="H60256" t="str">
        <f t="shared" si="991"/>
        <v/>
      </c>
    </row>
    <row r="60257" spans="8:8" x14ac:dyDescent="0.3">
      <c r="H60257" t="str">
        <f t="shared" si="991"/>
        <v/>
      </c>
    </row>
    <row r="60258" spans="8:8" x14ac:dyDescent="0.3">
      <c r="H60258" t="str">
        <f t="shared" si="991"/>
        <v/>
      </c>
    </row>
    <row r="60259" spans="8:8" x14ac:dyDescent="0.3">
      <c r="H60259" t="str">
        <f t="shared" si="991"/>
        <v/>
      </c>
    </row>
    <row r="60260" spans="8:8" x14ac:dyDescent="0.3">
      <c r="H60260" t="str">
        <f t="shared" si="991"/>
        <v/>
      </c>
    </row>
    <row r="60261" spans="8:8" x14ac:dyDescent="0.3">
      <c r="H60261" t="str">
        <f t="shared" si="991"/>
        <v/>
      </c>
    </row>
    <row r="60262" spans="8:8" x14ac:dyDescent="0.3">
      <c r="H60262" t="str">
        <f t="shared" si="991"/>
        <v/>
      </c>
    </row>
    <row r="60263" spans="8:8" x14ac:dyDescent="0.3">
      <c r="H60263" t="str">
        <f t="shared" si="991"/>
        <v/>
      </c>
    </row>
    <row r="60264" spans="8:8" x14ac:dyDescent="0.3">
      <c r="H60264" t="str">
        <f t="shared" si="991"/>
        <v/>
      </c>
    </row>
    <row r="60265" spans="8:8" x14ac:dyDescent="0.3">
      <c r="H60265" t="str">
        <f t="shared" si="991"/>
        <v/>
      </c>
    </row>
    <row r="60266" spans="8:8" x14ac:dyDescent="0.3">
      <c r="H60266" t="str">
        <f t="shared" si="991"/>
        <v/>
      </c>
    </row>
    <row r="60267" spans="8:8" x14ac:dyDescent="0.3">
      <c r="H60267" t="str">
        <f t="shared" si="991"/>
        <v/>
      </c>
    </row>
    <row r="60268" spans="8:8" x14ac:dyDescent="0.3">
      <c r="H60268" t="str">
        <f t="shared" si="991"/>
        <v/>
      </c>
    </row>
    <row r="60269" spans="8:8" x14ac:dyDescent="0.3">
      <c r="H60269" t="str">
        <f t="shared" si="991"/>
        <v/>
      </c>
    </row>
    <row r="60270" spans="8:8" x14ac:dyDescent="0.3">
      <c r="H60270" t="str">
        <f t="shared" si="991"/>
        <v/>
      </c>
    </row>
    <row r="60271" spans="8:8" x14ac:dyDescent="0.3">
      <c r="H60271" t="str">
        <f t="shared" si="991"/>
        <v/>
      </c>
    </row>
    <row r="60272" spans="8:8" x14ac:dyDescent="0.3">
      <c r="H60272" t="str">
        <f t="shared" si="991"/>
        <v/>
      </c>
    </row>
    <row r="60273" spans="8:8" x14ac:dyDescent="0.3">
      <c r="H60273" t="str">
        <f t="shared" si="991"/>
        <v/>
      </c>
    </row>
    <row r="60274" spans="8:8" x14ac:dyDescent="0.3">
      <c r="H60274" t="str">
        <f t="shared" si="991"/>
        <v/>
      </c>
    </row>
    <row r="60275" spans="8:8" x14ac:dyDescent="0.3">
      <c r="H60275" t="str">
        <f t="shared" si="991"/>
        <v/>
      </c>
    </row>
    <row r="60276" spans="8:8" x14ac:dyDescent="0.3">
      <c r="H60276" t="str">
        <f t="shared" si="991"/>
        <v/>
      </c>
    </row>
    <row r="60277" spans="8:8" x14ac:dyDescent="0.3">
      <c r="H60277" t="str">
        <f t="shared" si="991"/>
        <v/>
      </c>
    </row>
    <row r="60278" spans="8:8" x14ac:dyDescent="0.3">
      <c r="H60278" t="str">
        <f t="shared" si="991"/>
        <v/>
      </c>
    </row>
    <row r="60279" spans="8:8" x14ac:dyDescent="0.3">
      <c r="H60279" t="str">
        <f t="shared" si="991"/>
        <v/>
      </c>
    </row>
    <row r="60280" spans="8:8" x14ac:dyDescent="0.3">
      <c r="H60280" t="str">
        <f t="shared" si="991"/>
        <v/>
      </c>
    </row>
    <row r="60281" spans="8:8" x14ac:dyDescent="0.3">
      <c r="H60281" t="str">
        <f t="shared" si="991"/>
        <v/>
      </c>
    </row>
    <row r="60282" spans="8:8" x14ac:dyDescent="0.3">
      <c r="H60282" t="str">
        <f t="shared" si="991"/>
        <v/>
      </c>
    </row>
    <row r="60283" spans="8:8" x14ac:dyDescent="0.3">
      <c r="H60283" t="str">
        <f t="shared" si="991"/>
        <v/>
      </c>
    </row>
    <row r="60284" spans="8:8" x14ac:dyDescent="0.3">
      <c r="H60284" t="str">
        <f t="shared" si="991"/>
        <v/>
      </c>
    </row>
    <row r="60285" spans="8:8" x14ac:dyDescent="0.3">
      <c r="H60285" t="str">
        <f t="shared" si="991"/>
        <v/>
      </c>
    </row>
    <row r="60286" spans="8:8" x14ac:dyDescent="0.3">
      <c r="H60286" t="str">
        <f t="shared" si="991"/>
        <v/>
      </c>
    </row>
    <row r="60287" spans="8:8" x14ac:dyDescent="0.3">
      <c r="H60287" t="str">
        <f t="shared" si="991"/>
        <v/>
      </c>
    </row>
    <row r="60288" spans="8:8" x14ac:dyDescent="0.3">
      <c r="H60288" t="str">
        <f t="shared" si="991"/>
        <v/>
      </c>
    </row>
    <row r="60289" spans="8:8" x14ac:dyDescent="0.3">
      <c r="H60289" t="str">
        <f t="shared" si="991"/>
        <v/>
      </c>
    </row>
    <row r="60290" spans="8:8" x14ac:dyDescent="0.3">
      <c r="H60290" t="str">
        <f t="shared" si="991"/>
        <v/>
      </c>
    </row>
    <row r="60291" spans="8:8" x14ac:dyDescent="0.3">
      <c r="H60291" t="str">
        <f t="shared" si="991"/>
        <v/>
      </c>
    </row>
    <row r="60292" spans="8:8" x14ac:dyDescent="0.3">
      <c r="H60292" t="str">
        <f t="shared" si="991"/>
        <v/>
      </c>
    </row>
    <row r="60293" spans="8:8" x14ac:dyDescent="0.3">
      <c r="H60293" t="str">
        <f t="shared" si="991"/>
        <v/>
      </c>
    </row>
    <row r="60294" spans="8:8" x14ac:dyDescent="0.3">
      <c r="H60294" t="str">
        <f t="shared" si="991"/>
        <v/>
      </c>
    </row>
    <row r="60295" spans="8:8" x14ac:dyDescent="0.3">
      <c r="H60295" t="str">
        <f t="shared" si="991"/>
        <v/>
      </c>
    </row>
    <row r="60296" spans="8:8" x14ac:dyDescent="0.3">
      <c r="H60296" t="str">
        <f t="shared" si="991"/>
        <v/>
      </c>
    </row>
    <row r="60297" spans="8:8" x14ac:dyDescent="0.3">
      <c r="H60297" t="str">
        <f t="shared" si="991"/>
        <v/>
      </c>
    </row>
    <row r="60298" spans="8:8" x14ac:dyDescent="0.3">
      <c r="H60298" t="str">
        <f t="shared" si="991"/>
        <v/>
      </c>
    </row>
    <row r="60299" spans="8:8" x14ac:dyDescent="0.3">
      <c r="H60299" t="str">
        <f t="shared" si="991"/>
        <v/>
      </c>
    </row>
    <row r="60300" spans="8:8" x14ac:dyDescent="0.3">
      <c r="H60300" t="str">
        <f t="shared" si="991"/>
        <v/>
      </c>
    </row>
    <row r="60301" spans="8:8" x14ac:dyDescent="0.3">
      <c r="H60301" t="str">
        <f t="shared" si="991"/>
        <v/>
      </c>
    </row>
    <row r="60302" spans="8:8" x14ac:dyDescent="0.3">
      <c r="H60302" t="str">
        <f t="shared" si="991"/>
        <v/>
      </c>
    </row>
    <row r="60303" spans="8:8" x14ac:dyDescent="0.3">
      <c r="H60303" t="str">
        <f t="shared" si="991"/>
        <v/>
      </c>
    </row>
    <row r="60304" spans="8:8" x14ac:dyDescent="0.3">
      <c r="H60304" t="str">
        <f t="shared" si="991"/>
        <v/>
      </c>
    </row>
    <row r="60305" spans="8:8" x14ac:dyDescent="0.3">
      <c r="H60305" t="str">
        <f t="shared" si="991"/>
        <v/>
      </c>
    </row>
    <row r="60306" spans="8:8" x14ac:dyDescent="0.3">
      <c r="H60306" t="str">
        <f t="shared" si="991"/>
        <v/>
      </c>
    </row>
    <row r="60307" spans="8:8" x14ac:dyDescent="0.3">
      <c r="H60307" t="str">
        <f t="shared" si="991"/>
        <v/>
      </c>
    </row>
    <row r="60308" spans="8:8" x14ac:dyDescent="0.3">
      <c r="H60308" t="str">
        <f t="shared" si="991"/>
        <v/>
      </c>
    </row>
    <row r="60309" spans="8:8" x14ac:dyDescent="0.3">
      <c r="H60309" t="str">
        <f t="shared" si="991"/>
        <v/>
      </c>
    </row>
    <row r="60310" spans="8:8" x14ac:dyDescent="0.3">
      <c r="H60310" t="str">
        <f t="shared" si="991"/>
        <v/>
      </c>
    </row>
    <row r="60311" spans="8:8" x14ac:dyDescent="0.3">
      <c r="H60311" t="str">
        <f t="shared" ref="H60311:H60374" si="992">IF(B60311="","",$C$12)</f>
        <v/>
      </c>
    </row>
    <row r="60312" spans="8:8" x14ac:dyDescent="0.3">
      <c r="H60312" t="str">
        <f t="shared" si="992"/>
        <v/>
      </c>
    </row>
    <row r="60313" spans="8:8" x14ac:dyDescent="0.3">
      <c r="H60313" t="str">
        <f t="shared" si="992"/>
        <v/>
      </c>
    </row>
    <row r="60314" spans="8:8" x14ac:dyDescent="0.3">
      <c r="H60314" t="str">
        <f t="shared" si="992"/>
        <v/>
      </c>
    </row>
    <row r="60315" spans="8:8" x14ac:dyDescent="0.3">
      <c r="H60315" t="str">
        <f t="shared" si="992"/>
        <v/>
      </c>
    </row>
    <row r="60316" spans="8:8" x14ac:dyDescent="0.3">
      <c r="H60316" t="str">
        <f t="shared" si="992"/>
        <v/>
      </c>
    </row>
    <row r="60317" spans="8:8" x14ac:dyDescent="0.3">
      <c r="H60317" t="str">
        <f t="shared" si="992"/>
        <v/>
      </c>
    </row>
    <row r="60318" spans="8:8" x14ac:dyDescent="0.3">
      <c r="H60318" t="str">
        <f t="shared" si="992"/>
        <v/>
      </c>
    </row>
    <row r="60319" spans="8:8" x14ac:dyDescent="0.3">
      <c r="H60319" t="str">
        <f t="shared" si="992"/>
        <v/>
      </c>
    </row>
    <row r="60320" spans="8:8" x14ac:dyDescent="0.3">
      <c r="H60320" t="str">
        <f t="shared" si="992"/>
        <v/>
      </c>
    </row>
    <row r="60321" spans="8:8" x14ac:dyDescent="0.3">
      <c r="H60321" t="str">
        <f t="shared" si="992"/>
        <v/>
      </c>
    </row>
    <row r="60322" spans="8:8" x14ac:dyDescent="0.3">
      <c r="H60322" t="str">
        <f t="shared" si="992"/>
        <v/>
      </c>
    </row>
    <row r="60323" spans="8:8" x14ac:dyDescent="0.3">
      <c r="H60323" t="str">
        <f t="shared" si="992"/>
        <v/>
      </c>
    </row>
    <row r="60324" spans="8:8" x14ac:dyDescent="0.3">
      <c r="H60324" t="str">
        <f t="shared" si="992"/>
        <v/>
      </c>
    </row>
    <row r="60325" spans="8:8" x14ac:dyDescent="0.3">
      <c r="H60325" t="str">
        <f t="shared" si="992"/>
        <v/>
      </c>
    </row>
    <row r="60326" spans="8:8" x14ac:dyDescent="0.3">
      <c r="H60326" t="str">
        <f t="shared" si="992"/>
        <v/>
      </c>
    </row>
    <row r="60327" spans="8:8" x14ac:dyDescent="0.3">
      <c r="H60327" t="str">
        <f t="shared" si="992"/>
        <v/>
      </c>
    </row>
    <row r="60328" spans="8:8" x14ac:dyDescent="0.3">
      <c r="H60328" t="str">
        <f t="shared" si="992"/>
        <v/>
      </c>
    </row>
    <row r="60329" spans="8:8" x14ac:dyDescent="0.3">
      <c r="H60329" t="str">
        <f t="shared" si="992"/>
        <v/>
      </c>
    </row>
    <row r="60330" spans="8:8" x14ac:dyDescent="0.3">
      <c r="H60330" t="str">
        <f t="shared" si="992"/>
        <v/>
      </c>
    </row>
    <row r="60331" spans="8:8" x14ac:dyDescent="0.3">
      <c r="H60331" t="str">
        <f t="shared" si="992"/>
        <v/>
      </c>
    </row>
    <row r="60332" spans="8:8" x14ac:dyDescent="0.3">
      <c r="H60332" t="str">
        <f t="shared" si="992"/>
        <v/>
      </c>
    </row>
    <row r="60333" spans="8:8" x14ac:dyDescent="0.3">
      <c r="H60333" t="str">
        <f t="shared" si="992"/>
        <v/>
      </c>
    </row>
    <row r="60334" spans="8:8" x14ac:dyDescent="0.3">
      <c r="H60334" t="str">
        <f t="shared" si="992"/>
        <v/>
      </c>
    </row>
    <row r="60335" spans="8:8" x14ac:dyDescent="0.3">
      <c r="H60335" t="str">
        <f t="shared" si="992"/>
        <v/>
      </c>
    </row>
    <row r="60336" spans="8:8" x14ac:dyDescent="0.3">
      <c r="H60336" t="str">
        <f t="shared" si="992"/>
        <v/>
      </c>
    </row>
    <row r="60337" spans="8:8" x14ac:dyDescent="0.3">
      <c r="H60337" t="str">
        <f t="shared" si="992"/>
        <v/>
      </c>
    </row>
    <row r="60338" spans="8:8" x14ac:dyDescent="0.3">
      <c r="H60338" t="str">
        <f t="shared" si="992"/>
        <v/>
      </c>
    </row>
    <row r="60339" spans="8:8" x14ac:dyDescent="0.3">
      <c r="H60339" t="str">
        <f t="shared" si="992"/>
        <v/>
      </c>
    </row>
    <row r="60340" spans="8:8" x14ac:dyDescent="0.3">
      <c r="H60340" t="str">
        <f t="shared" si="992"/>
        <v/>
      </c>
    </row>
    <row r="60341" spans="8:8" x14ac:dyDescent="0.3">
      <c r="H60341" t="str">
        <f t="shared" si="992"/>
        <v/>
      </c>
    </row>
    <row r="60342" spans="8:8" x14ac:dyDescent="0.3">
      <c r="H60342" t="str">
        <f t="shared" si="992"/>
        <v/>
      </c>
    </row>
    <row r="60343" spans="8:8" x14ac:dyDescent="0.3">
      <c r="H60343" t="str">
        <f t="shared" si="992"/>
        <v/>
      </c>
    </row>
    <row r="60344" spans="8:8" x14ac:dyDescent="0.3">
      <c r="H60344" t="str">
        <f t="shared" si="992"/>
        <v/>
      </c>
    </row>
    <row r="60345" spans="8:8" x14ac:dyDescent="0.3">
      <c r="H60345" t="str">
        <f t="shared" si="992"/>
        <v/>
      </c>
    </row>
    <row r="60346" spans="8:8" x14ac:dyDescent="0.3">
      <c r="H60346" t="str">
        <f t="shared" si="992"/>
        <v/>
      </c>
    </row>
    <row r="60347" spans="8:8" x14ac:dyDescent="0.3">
      <c r="H60347" t="str">
        <f t="shared" si="992"/>
        <v/>
      </c>
    </row>
    <row r="60348" spans="8:8" x14ac:dyDescent="0.3">
      <c r="H60348" t="str">
        <f t="shared" si="992"/>
        <v/>
      </c>
    </row>
    <row r="60349" spans="8:8" x14ac:dyDescent="0.3">
      <c r="H60349" t="str">
        <f t="shared" si="992"/>
        <v/>
      </c>
    </row>
    <row r="60350" spans="8:8" x14ac:dyDescent="0.3">
      <c r="H60350" t="str">
        <f t="shared" si="992"/>
        <v/>
      </c>
    </row>
    <row r="60351" spans="8:8" x14ac:dyDescent="0.3">
      <c r="H60351" t="str">
        <f t="shared" si="992"/>
        <v/>
      </c>
    </row>
    <row r="60352" spans="8:8" x14ac:dyDescent="0.3">
      <c r="H60352" t="str">
        <f t="shared" si="992"/>
        <v/>
      </c>
    </row>
    <row r="60353" spans="8:8" x14ac:dyDescent="0.3">
      <c r="H60353" t="str">
        <f t="shared" si="992"/>
        <v/>
      </c>
    </row>
    <row r="60354" spans="8:8" x14ac:dyDescent="0.3">
      <c r="H60354" t="str">
        <f t="shared" si="992"/>
        <v/>
      </c>
    </row>
    <row r="60355" spans="8:8" x14ac:dyDescent="0.3">
      <c r="H60355" t="str">
        <f t="shared" si="992"/>
        <v/>
      </c>
    </row>
    <row r="60356" spans="8:8" x14ac:dyDescent="0.3">
      <c r="H60356" t="str">
        <f t="shared" si="992"/>
        <v/>
      </c>
    </row>
    <row r="60357" spans="8:8" x14ac:dyDescent="0.3">
      <c r="H60357" t="str">
        <f t="shared" si="992"/>
        <v/>
      </c>
    </row>
    <row r="60358" spans="8:8" x14ac:dyDescent="0.3">
      <c r="H60358" t="str">
        <f t="shared" si="992"/>
        <v/>
      </c>
    </row>
    <row r="60359" spans="8:8" x14ac:dyDescent="0.3">
      <c r="H60359" t="str">
        <f t="shared" si="992"/>
        <v/>
      </c>
    </row>
    <row r="60360" spans="8:8" x14ac:dyDescent="0.3">
      <c r="H60360" t="str">
        <f t="shared" si="992"/>
        <v/>
      </c>
    </row>
    <row r="60361" spans="8:8" x14ac:dyDescent="0.3">
      <c r="H60361" t="str">
        <f t="shared" si="992"/>
        <v/>
      </c>
    </row>
    <row r="60362" spans="8:8" x14ac:dyDescent="0.3">
      <c r="H60362" t="str">
        <f t="shared" si="992"/>
        <v/>
      </c>
    </row>
    <row r="60363" spans="8:8" x14ac:dyDescent="0.3">
      <c r="H60363" t="str">
        <f t="shared" si="992"/>
        <v/>
      </c>
    </row>
    <row r="60364" spans="8:8" x14ac:dyDescent="0.3">
      <c r="H60364" t="str">
        <f t="shared" si="992"/>
        <v/>
      </c>
    </row>
    <row r="60365" spans="8:8" x14ac:dyDescent="0.3">
      <c r="H60365" t="str">
        <f t="shared" si="992"/>
        <v/>
      </c>
    </row>
    <row r="60366" spans="8:8" x14ac:dyDescent="0.3">
      <c r="H60366" t="str">
        <f t="shared" si="992"/>
        <v/>
      </c>
    </row>
    <row r="60367" spans="8:8" x14ac:dyDescent="0.3">
      <c r="H60367" t="str">
        <f t="shared" si="992"/>
        <v/>
      </c>
    </row>
    <row r="60368" spans="8:8" x14ac:dyDescent="0.3">
      <c r="H60368" t="str">
        <f t="shared" si="992"/>
        <v/>
      </c>
    </row>
    <row r="60369" spans="8:8" x14ac:dyDescent="0.3">
      <c r="H60369" t="str">
        <f t="shared" si="992"/>
        <v/>
      </c>
    </row>
    <row r="60370" spans="8:8" x14ac:dyDescent="0.3">
      <c r="H60370" t="str">
        <f t="shared" si="992"/>
        <v/>
      </c>
    </row>
    <row r="60371" spans="8:8" x14ac:dyDescent="0.3">
      <c r="H60371" t="str">
        <f t="shared" si="992"/>
        <v/>
      </c>
    </row>
    <row r="60372" spans="8:8" x14ac:dyDescent="0.3">
      <c r="H60372" t="str">
        <f t="shared" si="992"/>
        <v/>
      </c>
    </row>
    <row r="60373" spans="8:8" x14ac:dyDescent="0.3">
      <c r="H60373" t="str">
        <f t="shared" si="992"/>
        <v/>
      </c>
    </row>
    <row r="60374" spans="8:8" x14ac:dyDescent="0.3">
      <c r="H60374" t="str">
        <f t="shared" si="992"/>
        <v/>
      </c>
    </row>
    <row r="60375" spans="8:8" x14ac:dyDescent="0.3">
      <c r="H60375" t="str">
        <f t="shared" ref="H60375:H60438" si="993">IF(B60375="","",$C$12)</f>
        <v/>
      </c>
    </row>
    <row r="60376" spans="8:8" x14ac:dyDescent="0.3">
      <c r="H60376" t="str">
        <f t="shared" si="993"/>
        <v/>
      </c>
    </row>
    <row r="60377" spans="8:8" x14ac:dyDescent="0.3">
      <c r="H60377" t="str">
        <f t="shared" si="993"/>
        <v/>
      </c>
    </row>
    <row r="60378" spans="8:8" x14ac:dyDescent="0.3">
      <c r="H60378" t="str">
        <f t="shared" si="993"/>
        <v/>
      </c>
    </row>
    <row r="60379" spans="8:8" x14ac:dyDescent="0.3">
      <c r="H60379" t="str">
        <f t="shared" si="993"/>
        <v/>
      </c>
    </row>
    <row r="60380" spans="8:8" x14ac:dyDescent="0.3">
      <c r="H60380" t="str">
        <f t="shared" si="993"/>
        <v/>
      </c>
    </row>
    <row r="60381" spans="8:8" x14ac:dyDescent="0.3">
      <c r="H60381" t="str">
        <f t="shared" si="993"/>
        <v/>
      </c>
    </row>
    <row r="60382" spans="8:8" x14ac:dyDescent="0.3">
      <c r="H60382" t="str">
        <f t="shared" si="993"/>
        <v/>
      </c>
    </row>
    <row r="60383" spans="8:8" x14ac:dyDescent="0.3">
      <c r="H60383" t="str">
        <f t="shared" si="993"/>
        <v/>
      </c>
    </row>
    <row r="60384" spans="8:8" x14ac:dyDescent="0.3">
      <c r="H60384" t="str">
        <f t="shared" si="993"/>
        <v/>
      </c>
    </row>
    <row r="60385" spans="8:8" x14ac:dyDescent="0.3">
      <c r="H60385" t="str">
        <f t="shared" si="993"/>
        <v/>
      </c>
    </row>
    <row r="60386" spans="8:8" x14ac:dyDescent="0.3">
      <c r="H60386" t="str">
        <f t="shared" si="993"/>
        <v/>
      </c>
    </row>
    <row r="60387" spans="8:8" x14ac:dyDescent="0.3">
      <c r="H60387" t="str">
        <f t="shared" si="993"/>
        <v/>
      </c>
    </row>
    <row r="60388" spans="8:8" x14ac:dyDescent="0.3">
      <c r="H60388" t="str">
        <f t="shared" si="993"/>
        <v/>
      </c>
    </row>
    <row r="60389" spans="8:8" x14ac:dyDescent="0.3">
      <c r="H60389" t="str">
        <f t="shared" si="993"/>
        <v/>
      </c>
    </row>
    <row r="60390" spans="8:8" x14ac:dyDescent="0.3">
      <c r="H60390" t="str">
        <f t="shared" si="993"/>
        <v/>
      </c>
    </row>
    <row r="60391" spans="8:8" x14ac:dyDescent="0.3">
      <c r="H60391" t="str">
        <f t="shared" si="993"/>
        <v/>
      </c>
    </row>
    <row r="60392" spans="8:8" x14ac:dyDescent="0.3">
      <c r="H60392" t="str">
        <f t="shared" si="993"/>
        <v/>
      </c>
    </row>
    <row r="60393" spans="8:8" x14ac:dyDescent="0.3">
      <c r="H60393" t="str">
        <f t="shared" si="993"/>
        <v/>
      </c>
    </row>
    <row r="60394" spans="8:8" x14ac:dyDescent="0.3">
      <c r="H60394" t="str">
        <f t="shared" si="993"/>
        <v/>
      </c>
    </row>
    <row r="60395" spans="8:8" x14ac:dyDescent="0.3">
      <c r="H60395" t="str">
        <f t="shared" si="993"/>
        <v/>
      </c>
    </row>
    <row r="60396" spans="8:8" x14ac:dyDescent="0.3">
      <c r="H60396" t="str">
        <f t="shared" si="993"/>
        <v/>
      </c>
    </row>
    <row r="60397" spans="8:8" x14ac:dyDescent="0.3">
      <c r="H60397" t="str">
        <f t="shared" si="993"/>
        <v/>
      </c>
    </row>
    <row r="60398" spans="8:8" x14ac:dyDescent="0.3">
      <c r="H60398" t="str">
        <f t="shared" si="993"/>
        <v/>
      </c>
    </row>
    <row r="60399" spans="8:8" x14ac:dyDescent="0.3">
      <c r="H60399" t="str">
        <f t="shared" si="993"/>
        <v/>
      </c>
    </row>
    <row r="60400" spans="8:8" x14ac:dyDescent="0.3">
      <c r="H60400" t="str">
        <f t="shared" si="993"/>
        <v/>
      </c>
    </row>
    <row r="60401" spans="8:8" x14ac:dyDescent="0.3">
      <c r="H60401" t="str">
        <f t="shared" si="993"/>
        <v/>
      </c>
    </row>
    <row r="60402" spans="8:8" x14ac:dyDescent="0.3">
      <c r="H60402" t="str">
        <f t="shared" si="993"/>
        <v/>
      </c>
    </row>
    <row r="60403" spans="8:8" x14ac:dyDescent="0.3">
      <c r="H60403" t="str">
        <f t="shared" si="993"/>
        <v/>
      </c>
    </row>
    <row r="60404" spans="8:8" x14ac:dyDescent="0.3">
      <c r="H60404" t="str">
        <f t="shared" si="993"/>
        <v/>
      </c>
    </row>
    <row r="60405" spans="8:8" x14ac:dyDescent="0.3">
      <c r="H60405" t="str">
        <f t="shared" si="993"/>
        <v/>
      </c>
    </row>
    <row r="60406" spans="8:8" x14ac:dyDescent="0.3">
      <c r="H60406" t="str">
        <f t="shared" si="993"/>
        <v/>
      </c>
    </row>
    <row r="60407" spans="8:8" x14ac:dyDescent="0.3">
      <c r="H60407" t="str">
        <f t="shared" si="993"/>
        <v/>
      </c>
    </row>
    <row r="60408" spans="8:8" x14ac:dyDescent="0.3">
      <c r="H60408" t="str">
        <f t="shared" si="993"/>
        <v/>
      </c>
    </row>
    <row r="60409" spans="8:8" x14ac:dyDescent="0.3">
      <c r="H60409" t="str">
        <f t="shared" si="993"/>
        <v/>
      </c>
    </row>
    <row r="60410" spans="8:8" x14ac:dyDescent="0.3">
      <c r="H60410" t="str">
        <f t="shared" si="993"/>
        <v/>
      </c>
    </row>
    <row r="60411" spans="8:8" x14ac:dyDescent="0.3">
      <c r="H60411" t="str">
        <f t="shared" si="993"/>
        <v/>
      </c>
    </row>
    <row r="60412" spans="8:8" x14ac:dyDescent="0.3">
      <c r="H60412" t="str">
        <f t="shared" si="993"/>
        <v/>
      </c>
    </row>
    <row r="60413" spans="8:8" x14ac:dyDescent="0.3">
      <c r="H60413" t="str">
        <f t="shared" si="993"/>
        <v/>
      </c>
    </row>
    <row r="60414" spans="8:8" x14ac:dyDescent="0.3">
      <c r="H60414" t="str">
        <f t="shared" si="993"/>
        <v/>
      </c>
    </row>
    <row r="60415" spans="8:8" x14ac:dyDescent="0.3">
      <c r="H60415" t="str">
        <f t="shared" si="993"/>
        <v/>
      </c>
    </row>
    <row r="60416" spans="8:8" x14ac:dyDescent="0.3">
      <c r="H60416" t="str">
        <f t="shared" si="993"/>
        <v/>
      </c>
    </row>
    <row r="60417" spans="8:8" x14ac:dyDescent="0.3">
      <c r="H60417" t="str">
        <f t="shared" si="993"/>
        <v/>
      </c>
    </row>
    <row r="60418" spans="8:8" x14ac:dyDescent="0.3">
      <c r="H60418" t="str">
        <f t="shared" si="993"/>
        <v/>
      </c>
    </row>
    <row r="60419" spans="8:8" x14ac:dyDescent="0.3">
      <c r="H60419" t="str">
        <f t="shared" si="993"/>
        <v/>
      </c>
    </row>
    <row r="60420" spans="8:8" x14ac:dyDescent="0.3">
      <c r="H60420" t="str">
        <f t="shared" si="993"/>
        <v/>
      </c>
    </row>
    <row r="60421" spans="8:8" x14ac:dyDescent="0.3">
      <c r="H60421" t="str">
        <f t="shared" si="993"/>
        <v/>
      </c>
    </row>
    <row r="60422" spans="8:8" x14ac:dyDescent="0.3">
      <c r="H60422" t="str">
        <f t="shared" si="993"/>
        <v/>
      </c>
    </row>
    <row r="60423" spans="8:8" x14ac:dyDescent="0.3">
      <c r="H60423" t="str">
        <f t="shared" si="993"/>
        <v/>
      </c>
    </row>
    <row r="60424" spans="8:8" x14ac:dyDescent="0.3">
      <c r="H60424" t="str">
        <f t="shared" si="993"/>
        <v/>
      </c>
    </row>
    <row r="60425" spans="8:8" x14ac:dyDescent="0.3">
      <c r="H60425" t="str">
        <f t="shared" si="993"/>
        <v/>
      </c>
    </row>
    <row r="60426" spans="8:8" x14ac:dyDescent="0.3">
      <c r="H60426" t="str">
        <f t="shared" si="993"/>
        <v/>
      </c>
    </row>
    <row r="60427" spans="8:8" x14ac:dyDescent="0.3">
      <c r="H60427" t="str">
        <f t="shared" si="993"/>
        <v/>
      </c>
    </row>
    <row r="60428" spans="8:8" x14ac:dyDescent="0.3">
      <c r="H60428" t="str">
        <f t="shared" si="993"/>
        <v/>
      </c>
    </row>
    <row r="60429" spans="8:8" x14ac:dyDescent="0.3">
      <c r="H60429" t="str">
        <f t="shared" si="993"/>
        <v/>
      </c>
    </row>
    <row r="60430" spans="8:8" x14ac:dyDescent="0.3">
      <c r="H60430" t="str">
        <f t="shared" si="993"/>
        <v/>
      </c>
    </row>
    <row r="60431" spans="8:8" x14ac:dyDescent="0.3">
      <c r="H60431" t="str">
        <f t="shared" si="993"/>
        <v/>
      </c>
    </row>
    <row r="60432" spans="8:8" x14ac:dyDescent="0.3">
      <c r="H60432" t="str">
        <f t="shared" si="993"/>
        <v/>
      </c>
    </row>
    <row r="60433" spans="8:8" x14ac:dyDescent="0.3">
      <c r="H60433" t="str">
        <f t="shared" si="993"/>
        <v/>
      </c>
    </row>
    <row r="60434" spans="8:8" x14ac:dyDescent="0.3">
      <c r="H60434" t="str">
        <f t="shared" si="993"/>
        <v/>
      </c>
    </row>
    <row r="60435" spans="8:8" x14ac:dyDescent="0.3">
      <c r="H60435" t="str">
        <f t="shared" si="993"/>
        <v/>
      </c>
    </row>
    <row r="60436" spans="8:8" x14ac:dyDescent="0.3">
      <c r="H60436" t="str">
        <f t="shared" si="993"/>
        <v/>
      </c>
    </row>
    <row r="60437" spans="8:8" x14ac:dyDescent="0.3">
      <c r="H60437" t="str">
        <f t="shared" si="993"/>
        <v/>
      </c>
    </row>
    <row r="60438" spans="8:8" x14ac:dyDescent="0.3">
      <c r="H60438" t="str">
        <f t="shared" si="993"/>
        <v/>
      </c>
    </row>
    <row r="60439" spans="8:8" x14ac:dyDescent="0.3">
      <c r="H60439" t="str">
        <f t="shared" ref="H60439:H60502" si="994">IF(B60439="","",$C$12)</f>
        <v/>
      </c>
    </row>
    <row r="60440" spans="8:8" x14ac:dyDescent="0.3">
      <c r="H60440" t="str">
        <f t="shared" si="994"/>
        <v/>
      </c>
    </row>
    <row r="60441" spans="8:8" x14ac:dyDescent="0.3">
      <c r="H60441" t="str">
        <f t="shared" si="994"/>
        <v/>
      </c>
    </row>
    <row r="60442" spans="8:8" x14ac:dyDescent="0.3">
      <c r="H60442" t="str">
        <f t="shared" si="994"/>
        <v/>
      </c>
    </row>
    <row r="60443" spans="8:8" x14ac:dyDescent="0.3">
      <c r="H60443" t="str">
        <f t="shared" si="994"/>
        <v/>
      </c>
    </row>
    <row r="60444" spans="8:8" x14ac:dyDescent="0.3">
      <c r="H60444" t="str">
        <f t="shared" si="994"/>
        <v/>
      </c>
    </row>
    <row r="60445" spans="8:8" x14ac:dyDescent="0.3">
      <c r="H60445" t="str">
        <f t="shared" si="994"/>
        <v/>
      </c>
    </row>
    <row r="60446" spans="8:8" x14ac:dyDescent="0.3">
      <c r="H60446" t="str">
        <f t="shared" si="994"/>
        <v/>
      </c>
    </row>
    <row r="60447" spans="8:8" x14ac:dyDescent="0.3">
      <c r="H60447" t="str">
        <f t="shared" si="994"/>
        <v/>
      </c>
    </row>
    <row r="60448" spans="8:8" x14ac:dyDescent="0.3">
      <c r="H60448" t="str">
        <f t="shared" si="994"/>
        <v/>
      </c>
    </row>
    <row r="60449" spans="8:8" x14ac:dyDescent="0.3">
      <c r="H60449" t="str">
        <f t="shared" si="994"/>
        <v/>
      </c>
    </row>
    <row r="60450" spans="8:8" x14ac:dyDescent="0.3">
      <c r="H60450" t="str">
        <f t="shared" si="994"/>
        <v/>
      </c>
    </row>
    <row r="60451" spans="8:8" x14ac:dyDescent="0.3">
      <c r="H60451" t="str">
        <f t="shared" si="994"/>
        <v/>
      </c>
    </row>
    <row r="60452" spans="8:8" x14ac:dyDescent="0.3">
      <c r="H60452" t="str">
        <f t="shared" si="994"/>
        <v/>
      </c>
    </row>
    <row r="60453" spans="8:8" x14ac:dyDescent="0.3">
      <c r="H60453" t="str">
        <f t="shared" si="994"/>
        <v/>
      </c>
    </row>
    <row r="60454" spans="8:8" x14ac:dyDescent="0.3">
      <c r="H60454" t="str">
        <f t="shared" si="994"/>
        <v/>
      </c>
    </row>
    <row r="60455" spans="8:8" x14ac:dyDescent="0.3">
      <c r="H60455" t="str">
        <f t="shared" si="994"/>
        <v/>
      </c>
    </row>
    <row r="60456" spans="8:8" x14ac:dyDescent="0.3">
      <c r="H60456" t="str">
        <f t="shared" si="994"/>
        <v/>
      </c>
    </row>
    <row r="60457" spans="8:8" x14ac:dyDescent="0.3">
      <c r="H60457" t="str">
        <f t="shared" si="994"/>
        <v/>
      </c>
    </row>
    <row r="60458" spans="8:8" x14ac:dyDescent="0.3">
      <c r="H60458" t="str">
        <f t="shared" si="994"/>
        <v/>
      </c>
    </row>
    <row r="60459" spans="8:8" x14ac:dyDescent="0.3">
      <c r="H60459" t="str">
        <f t="shared" si="994"/>
        <v/>
      </c>
    </row>
    <row r="60460" spans="8:8" x14ac:dyDescent="0.3">
      <c r="H60460" t="str">
        <f t="shared" si="994"/>
        <v/>
      </c>
    </row>
    <row r="60461" spans="8:8" x14ac:dyDescent="0.3">
      <c r="H60461" t="str">
        <f t="shared" si="994"/>
        <v/>
      </c>
    </row>
    <row r="60462" spans="8:8" x14ac:dyDescent="0.3">
      <c r="H60462" t="str">
        <f t="shared" si="994"/>
        <v/>
      </c>
    </row>
    <row r="60463" spans="8:8" x14ac:dyDescent="0.3">
      <c r="H60463" t="str">
        <f t="shared" si="994"/>
        <v/>
      </c>
    </row>
    <row r="60464" spans="8:8" x14ac:dyDescent="0.3">
      <c r="H60464" t="str">
        <f t="shared" si="994"/>
        <v/>
      </c>
    </row>
    <row r="60465" spans="8:8" x14ac:dyDescent="0.3">
      <c r="H60465" t="str">
        <f t="shared" si="994"/>
        <v/>
      </c>
    </row>
    <row r="60466" spans="8:8" x14ac:dyDescent="0.3">
      <c r="H60466" t="str">
        <f t="shared" si="994"/>
        <v/>
      </c>
    </row>
    <row r="60467" spans="8:8" x14ac:dyDescent="0.3">
      <c r="H60467" t="str">
        <f t="shared" si="994"/>
        <v/>
      </c>
    </row>
    <row r="60468" spans="8:8" x14ac:dyDescent="0.3">
      <c r="H60468" t="str">
        <f t="shared" si="994"/>
        <v/>
      </c>
    </row>
    <row r="60469" spans="8:8" x14ac:dyDescent="0.3">
      <c r="H60469" t="str">
        <f t="shared" si="994"/>
        <v/>
      </c>
    </row>
    <row r="60470" spans="8:8" x14ac:dyDescent="0.3">
      <c r="H60470" t="str">
        <f t="shared" si="994"/>
        <v/>
      </c>
    </row>
    <row r="60471" spans="8:8" x14ac:dyDescent="0.3">
      <c r="H60471" t="str">
        <f t="shared" si="994"/>
        <v/>
      </c>
    </row>
    <row r="60472" spans="8:8" x14ac:dyDescent="0.3">
      <c r="H60472" t="str">
        <f t="shared" si="994"/>
        <v/>
      </c>
    </row>
    <row r="60473" spans="8:8" x14ac:dyDescent="0.3">
      <c r="H60473" t="str">
        <f t="shared" si="994"/>
        <v/>
      </c>
    </row>
    <row r="60474" spans="8:8" x14ac:dyDescent="0.3">
      <c r="H60474" t="str">
        <f t="shared" si="994"/>
        <v/>
      </c>
    </row>
    <row r="60475" spans="8:8" x14ac:dyDescent="0.3">
      <c r="H60475" t="str">
        <f t="shared" si="994"/>
        <v/>
      </c>
    </row>
    <row r="60476" spans="8:8" x14ac:dyDescent="0.3">
      <c r="H60476" t="str">
        <f t="shared" si="994"/>
        <v/>
      </c>
    </row>
    <row r="60477" spans="8:8" x14ac:dyDescent="0.3">
      <c r="H60477" t="str">
        <f t="shared" si="994"/>
        <v/>
      </c>
    </row>
    <row r="60478" spans="8:8" x14ac:dyDescent="0.3">
      <c r="H60478" t="str">
        <f t="shared" si="994"/>
        <v/>
      </c>
    </row>
    <row r="60479" spans="8:8" x14ac:dyDescent="0.3">
      <c r="H60479" t="str">
        <f t="shared" si="994"/>
        <v/>
      </c>
    </row>
    <row r="60480" spans="8:8" x14ac:dyDescent="0.3">
      <c r="H60480" t="str">
        <f t="shared" si="994"/>
        <v/>
      </c>
    </row>
    <row r="60481" spans="8:8" x14ac:dyDescent="0.3">
      <c r="H60481" t="str">
        <f t="shared" si="994"/>
        <v/>
      </c>
    </row>
    <row r="60482" spans="8:8" x14ac:dyDescent="0.3">
      <c r="H60482" t="str">
        <f t="shared" si="994"/>
        <v/>
      </c>
    </row>
    <row r="60483" spans="8:8" x14ac:dyDescent="0.3">
      <c r="H60483" t="str">
        <f t="shared" si="994"/>
        <v/>
      </c>
    </row>
    <row r="60484" spans="8:8" x14ac:dyDescent="0.3">
      <c r="H60484" t="str">
        <f t="shared" si="994"/>
        <v/>
      </c>
    </row>
    <row r="60485" spans="8:8" x14ac:dyDescent="0.3">
      <c r="H60485" t="str">
        <f t="shared" si="994"/>
        <v/>
      </c>
    </row>
    <row r="60486" spans="8:8" x14ac:dyDescent="0.3">
      <c r="H60486" t="str">
        <f t="shared" si="994"/>
        <v/>
      </c>
    </row>
    <row r="60487" spans="8:8" x14ac:dyDescent="0.3">
      <c r="H60487" t="str">
        <f t="shared" si="994"/>
        <v/>
      </c>
    </row>
    <row r="60488" spans="8:8" x14ac:dyDescent="0.3">
      <c r="H60488" t="str">
        <f t="shared" si="994"/>
        <v/>
      </c>
    </row>
    <row r="60489" spans="8:8" x14ac:dyDescent="0.3">
      <c r="H60489" t="str">
        <f t="shared" si="994"/>
        <v/>
      </c>
    </row>
    <row r="60490" spans="8:8" x14ac:dyDescent="0.3">
      <c r="H60490" t="str">
        <f t="shared" si="994"/>
        <v/>
      </c>
    </row>
    <row r="60491" spans="8:8" x14ac:dyDescent="0.3">
      <c r="H60491" t="str">
        <f t="shared" si="994"/>
        <v/>
      </c>
    </row>
    <row r="60492" spans="8:8" x14ac:dyDescent="0.3">
      <c r="H60492" t="str">
        <f t="shared" si="994"/>
        <v/>
      </c>
    </row>
    <row r="60493" spans="8:8" x14ac:dyDescent="0.3">
      <c r="H60493" t="str">
        <f t="shared" si="994"/>
        <v/>
      </c>
    </row>
    <row r="60494" spans="8:8" x14ac:dyDescent="0.3">
      <c r="H60494" t="str">
        <f t="shared" si="994"/>
        <v/>
      </c>
    </row>
    <row r="60495" spans="8:8" x14ac:dyDescent="0.3">
      <c r="H60495" t="str">
        <f t="shared" si="994"/>
        <v/>
      </c>
    </row>
    <row r="60496" spans="8:8" x14ac:dyDescent="0.3">
      <c r="H60496" t="str">
        <f t="shared" si="994"/>
        <v/>
      </c>
    </row>
    <row r="60497" spans="8:8" x14ac:dyDescent="0.3">
      <c r="H60497" t="str">
        <f t="shared" si="994"/>
        <v/>
      </c>
    </row>
    <row r="60498" spans="8:8" x14ac:dyDescent="0.3">
      <c r="H60498" t="str">
        <f t="shared" si="994"/>
        <v/>
      </c>
    </row>
    <row r="60499" spans="8:8" x14ac:dyDescent="0.3">
      <c r="H60499" t="str">
        <f t="shared" si="994"/>
        <v/>
      </c>
    </row>
    <row r="60500" spans="8:8" x14ac:dyDescent="0.3">
      <c r="H60500" t="str">
        <f t="shared" si="994"/>
        <v/>
      </c>
    </row>
    <row r="60501" spans="8:8" x14ac:dyDescent="0.3">
      <c r="H60501" t="str">
        <f t="shared" si="994"/>
        <v/>
      </c>
    </row>
    <row r="60502" spans="8:8" x14ac:dyDescent="0.3">
      <c r="H60502" t="str">
        <f t="shared" si="994"/>
        <v/>
      </c>
    </row>
    <row r="60503" spans="8:8" x14ac:dyDescent="0.3">
      <c r="H60503" t="str">
        <f t="shared" ref="H60503:H60566" si="995">IF(B60503="","",$C$12)</f>
        <v/>
      </c>
    </row>
    <row r="60504" spans="8:8" x14ac:dyDescent="0.3">
      <c r="H60504" t="str">
        <f t="shared" si="995"/>
        <v/>
      </c>
    </row>
    <row r="60505" spans="8:8" x14ac:dyDescent="0.3">
      <c r="H60505" t="str">
        <f t="shared" si="995"/>
        <v/>
      </c>
    </row>
    <row r="60506" spans="8:8" x14ac:dyDescent="0.3">
      <c r="H60506" t="str">
        <f t="shared" si="995"/>
        <v/>
      </c>
    </row>
    <row r="60507" spans="8:8" x14ac:dyDescent="0.3">
      <c r="H60507" t="str">
        <f t="shared" si="995"/>
        <v/>
      </c>
    </row>
    <row r="60508" spans="8:8" x14ac:dyDescent="0.3">
      <c r="H60508" t="str">
        <f t="shared" si="995"/>
        <v/>
      </c>
    </row>
    <row r="60509" spans="8:8" x14ac:dyDescent="0.3">
      <c r="H60509" t="str">
        <f t="shared" si="995"/>
        <v/>
      </c>
    </row>
    <row r="60510" spans="8:8" x14ac:dyDescent="0.3">
      <c r="H60510" t="str">
        <f t="shared" si="995"/>
        <v/>
      </c>
    </row>
    <row r="60511" spans="8:8" x14ac:dyDescent="0.3">
      <c r="H60511" t="str">
        <f t="shared" si="995"/>
        <v/>
      </c>
    </row>
    <row r="60512" spans="8:8" x14ac:dyDescent="0.3">
      <c r="H60512" t="str">
        <f t="shared" si="995"/>
        <v/>
      </c>
    </row>
    <row r="60513" spans="8:8" x14ac:dyDescent="0.3">
      <c r="H60513" t="str">
        <f t="shared" si="995"/>
        <v/>
      </c>
    </row>
    <row r="60514" spans="8:8" x14ac:dyDescent="0.3">
      <c r="H60514" t="str">
        <f t="shared" si="995"/>
        <v/>
      </c>
    </row>
    <row r="60515" spans="8:8" x14ac:dyDescent="0.3">
      <c r="H60515" t="str">
        <f t="shared" si="995"/>
        <v/>
      </c>
    </row>
    <row r="60516" spans="8:8" x14ac:dyDescent="0.3">
      <c r="H60516" t="str">
        <f t="shared" si="995"/>
        <v/>
      </c>
    </row>
    <row r="60517" spans="8:8" x14ac:dyDescent="0.3">
      <c r="H60517" t="str">
        <f t="shared" si="995"/>
        <v/>
      </c>
    </row>
    <row r="60518" spans="8:8" x14ac:dyDescent="0.3">
      <c r="H60518" t="str">
        <f t="shared" si="995"/>
        <v/>
      </c>
    </row>
    <row r="60519" spans="8:8" x14ac:dyDescent="0.3">
      <c r="H60519" t="str">
        <f t="shared" si="995"/>
        <v/>
      </c>
    </row>
    <row r="60520" spans="8:8" x14ac:dyDescent="0.3">
      <c r="H60520" t="str">
        <f t="shared" si="995"/>
        <v/>
      </c>
    </row>
    <row r="60521" spans="8:8" x14ac:dyDescent="0.3">
      <c r="H60521" t="str">
        <f t="shared" si="995"/>
        <v/>
      </c>
    </row>
    <row r="60522" spans="8:8" x14ac:dyDescent="0.3">
      <c r="H60522" t="str">
        <f t="shared" si="995"/>
        <v/>
      </c>
    </row>
    <row r="60523" spans="8:8" x14ac:dyDescent="0.3">
      <c r="H60523" t="str">
        <f t="shared" si="995"/>
        <v/>
      </c>
    </row>
    <row r="60524" spans="8:8" x14ac:dyDescent="0.3">
      <c r="H60524" t="str">
        <f t="shared" si="995"/>
        <v/>
      </c>
    </row>
    <row r="60525" spans="8:8" x14ac:dyDescent="0.3">
      <c r="H60525" t="str">
        <f t="shared" si="995"/>
        <v/>
      </c>
    </row>
    <row r="60526" spans="8:8" x14ac:dyDescent="0.3">
      <c r="H60526" t="str">
        <f t="shared" si="995"/>
        <v/>
      </c>
    </row>
    <row r="60527" spans="8:8" x14ac:dyDescent="0.3">
      <c r="H60527" t="str">
        <f t="shared" si="995"/>
        <v/>
      </c>
    </row>
    <row r="60528" spans="8:8" x14ac:dyDescent="0.3">
      <c r="H60528" t="str">
        <f t="shared" si="995"/>
        <v/>
      </c>
    </row>
    <row r="60529" spans="8:8" x14ac:dyDescent="0.3">
      <c r="H60529" t="str">
        <f t="shared" si="995"/>
        <v/>
      </c>
    </row>
    <row r="60530" spans="8:8" x14ac:dyDescent="0.3">
      <c r="H60530" t="str">
        <f t="shared" si="995"/>
        <v/>
      </c>
    </row>
    <row r="60531" spans="8:8" x14ac:dyDescent="0.3">
      <c r="H60531" t="str">
        <f t="shared" si="995"/>
        <v/>
      </c>
    </row>
    <row r="60532" spans="8:8" x14ac:dyDescent="0.3">
      <c r="H60532" t="str">
        <f t="shared" si="995"/>
        <v/>
      </c>
    </row>
    <row r="60533" spans="8:8" x14ac:dyDescent="0.3">
      <c r="H60533" t="str">
        <f t="shared" si="995"/>
        <v/>
      </c>
    </row>
    <row r="60534" spans="8:8" x14ac:dyDescent="0.3">
      <c r="H60534" t="str">
        <f t="shared" si="995"/>
        <v/>
      </c>
    </row>
    <row r="60535" spans="8:8" x14ac:dyDescent="0.3">
      <c r="H60535" t="str">
        <f t="shared" si="995"/>
        <v/>
      </c>
    </row>
    <row r="60536" spans="8:8" x14ac:dyDescent="0.3">
      <c r="H60536" t="str">
        <f t="shared" si="995"/>
        <v/>
      </c>
    </row>
    <row r="60537" spans="8:8" x14ac:dyDescent="0.3">
      <c r="H60537" t="str">
        <f t="shared" si="995"/>
        <v/>
      </c>
    </row>
    <row r="60538" spans="8:8" x14ac:dyDescent="0.3">
      <c r="H60538" t="str">
        <f t="shared" si="995"/>
        <v/>
      </c>
    </row>
    <row r="60539" spans="8:8" x14ac:dyDescent="0.3">
      <c r="H60539" t="str">
        <f t="shared" si="995"/>
        <v/>
      </c>
    </row>
    <row r="60540" spans="8:8" x14ac:dyDescent="0.3">
      <c r="H60540" t="str">
        <f t="shared" si="995"/>
        <v/>
      </c>
    </row>
    <row r="60541" spans="8:8" x14ac:dyDescent="0.3">
      <c r="H60541" t="str">
        <f t="shared" si="995"/>
        <v/>
      </c>
    </row>
    <row r="60542" spans="8:8" x14ac:dyDescent="0.3">
      <c r="H60542" t="str">
        <f t="shared" si="995"/>
        <v/>
      </c>
    </row>
    <row r="60543" spans="8:8" x14ac:dyDescent="0.3">
      <c r="H60543" t="str">
        <f t="shared" si="995"/>
        <v/>
      </c>
    </row>
    <row r="60544" spans="8:8" x14ac:dyDescent="0.3">
      <c r="H60544" t="str">
        <f t="shared" si="995"/>
        <v/>
      </c>
    </row>
    <row r="60545" spans="8:8" x14ac:dyDescent="0.3">
      <c r="H60545" t="str">
        <f t="shared" si="995"/>
        <v/>
      </c>
    </row>
    <row r="60546" spans="8:8" x14ac:dyDescent="0.3">
      <c r="H60546" t="str">
        <f t="shared" si="995"/>
        <v/>
      </c>
    </row>
    <row r="60547" spans="8:8" x14ac:dyDescent="0.3">
      <c r="H60547" t="str">
        <f t="shared" si="995"/>
        <v/>
      </c>
    </row>
    <row r="60548" spans="8:8" x14ac:dyDescent="0.3">
      <c r="H60548" t="str">
        <f t="shared" si="995"/>
        <v/>
      </c>
    </row>
    <row r="60549" spans="8:8" x14ac:dyDescent="0.3">
      <c r="H60549" t="str">
        <f t="shared" si="995"/>
        <v/>
      </c>
    </row>
    <row r="60550" spans="8:8" x14ac:dyDescent="0.3">
      <c r="H60550" t="str">
        <f t="shared" si="995"/>
        <v/>
      </c>
    </row>
    <row r="60551" spans="8:8" x14ac:dyDescent="0.3">
      <c r="H60551" t="str">
        <f t="shared" si="995"/>
        <v/>
      </c>
    </row>
    <row r="60552" spans="8:8" x14ac:dyDescent="0.3">
      <c r="H60552" t="str">
        <f t="shared" si="995"/>
        <v/>
      </c>
    </row>
    <row r="60553" spans="8:8" x14ac:dyDescent="0.3">
      <c r="H60553" t="str">
        <f t="shared" si="995"/>
        <v/>
      </c>
    </row>
    <row r="60554" spans="8:8" x14ac:dyDescent="0.3">
      <c r="H60554" t="str">
        <f t="shared" si="995"/>
        <v/>
      </c>
    </row>
    <row r="60555" spans="8:8" x14ac:dyDescent="0.3">
      <c r="H60555" t="str">
        <f t="shared" si="995"/>
        <v/>
      </c>
    </row>
    <row r="60556" spans="8:8" x14ac:dyDescent="0.3">
      <c r="H60556" t="str">
        <f t="shared" si="995"/>
        <v/>
      </c>
    </row>
    <row r="60557" spans="8:8" x14ac:dyDescent="0.3">
      <c r="H60557" t="str">
        <f t="shared" si="995"/>
        <v/>
      </c>
    </row>
    <row r="60558" spans="8:8" x14ac:dyDescent="0.3">
      <c r="H60558" t="str">
        <f t="shared" si="995"/>
        <v/>
      </c>
    </row>
    <row r="60559" spans="8:8" x14ac:dyDescent="0.3">
      <c r="H60559" t="str">
        <f t="shared" si="995"/>
        <v/>
      </c>
    </row>
    <row r="60560" spans="8:8" x14ac:dyDescent="0.3">
      <c r="H60560" t="str">
        <f t="shared" si="995"/>
        <v/>
      </c>
    </row>
    <row r="60561" spans="8:8" x14ac:dyDescent="0.3">
      <c r="H60561" t="str">
        <f t="shared" si="995"/>
        <v/>
      </c>
    </row>
    <row r="60562" spans="8:8" x14ac:dyDescent="0.3">
      <c r="H60562" t="str">
        <f t="shared" si="995"/>
        <v/>
      </c>
    </row>
    <row r="60563" spans="8:8" x14ac:dyDescent="0.3">
      <c r="H60563" t="str">
        <f t="shared" si="995"/>
        <v/>
      </c>
    </row>
    <row r="60564" spans="8:8" x14ac:dyDescent="0.3">
      <c r="H60564" t="str">
        <f t="shared" si="995"/>
        <v/>
      </c>
    </row>
    <row r="60565" spans="8:8" x14ac:dyDescent="0.3">
      <c r="H60565" t="str">
        <f t="shared" si="995"/>
        <v/>
      </c>
    </row>
    <row r="60566" spans="8:8" x14ac:dyDescent="0.3">
      <c r="H60566" t="str">
        <f t="shared" si="995"/>
        <v/>
      </c>
    </row>
    <row r="60567" spans="8:8" x14ac:dyDescent="0.3">
      <c r="H60567" t="str">
        <f t="shared" ref="H60567:H60630" si="996">IF(B60567="","",$C$12)</f>
        <v/>
      </c>
    </row>
    <row r="60568" spans="8:8" x14ac:dyDescent="0.3">
      <c r="H60568" t="str">
        <f t="shared" si="996"/>
        <v/>
      </c>
    </row>
    <row r="60569" spans="8:8" x14ac:dyDescent="0.3">
      <c r="H60569" t="str">
        <f t="shared" si="996"/>
        <v/>
      </c>
    </row>
    <row r="60570" spans="8:8" x14ac:dyDescent="0.3">
      <c r="H60570" t="str">
        <f t="shared" si="996"/>
        <v/>
      </c>
    </row>
    <row r="60571" spans="8:8" x14ac:dyDescent="0.3">
      <c r="H60571" t="str">
        <f t="shared" si="996"/>
        <v/>
      </c>
    </row>
    <row r="60572" spans="8:8" x14ac:dyDescent="0.3">
      <c r="H60572" t="str">
        <f t="shared" si="996"/>
        <v/>
      </c>
    </row>
    <row r="60573" spans="8:8" x14ac:dyDescent="0.3">
      <c r="H60573" t="str">
        <f t="shared" si="996"/>
        <v/>
      </c>
    </row>
    <row r="60574" spans="8:8" x14ac:dyDescent="0.3">
      <c r="H60574" t="str">
        <f t="shared" si="996"/>
        <v/>
      </c>
    </row>
    <row r="60575" spans="8:8" x14ac:dyDescent="0.3">
      <c r="H60575" t="str">
        <f t="shared" si="996"/>
        <v/>
      </c>
    </row>
    <row r="60576" spans="8:8" x14ac:dyDescent="0.3">
      <c r="H60576" t="str">
        <f t="shared" si="996"/>
        <v/>
      </c>
    </row>
    <row r="60577" spans="8:8" x14ac:dyDescent="0.3">
      <c r="H60577" t="str">
        <f t="shared" si="996"/>
        <v/>
      </c>
    </row>
    <row r="60578" spans="8:8" x14ac:dyDescent="0.3">
      <c r="H60578" t="str">
        <f t="shared" si="996"/>
        <v/>
      </c>
    </row>
    <row r="60579" spans="8:8" x14ac:dyDescent="0.3">
      <c r="H60579" t="str">
        <f t="shared" si="996"/>
        <v/>
      </c>
    </row>
    <row r="60580" spans="8:8" x14ac:dyDescent="0.3">
      <c r="H60580" t="str">
        <f t="shared" si="996"/>
        <v/>
      </c>
    </row>
    <row r="60581" spans="8:8" x14ac:dyDescent="0.3">
      <c r="H60581" t="str">
        <f t="shared" si="996"/>
        <v/>
      </c>
    </row>
    <row r="60582" spans="8:8" x14ac:dyDescent="0.3">
      <c r="H60582" t="str">
        <f t="shared" si="996"/>
        <v/>
      </c>
    </row>
    <row r="60583" spans="8:8" x14ac:dyDescent="0.3">
      <c r="H60583" t="str">
        <f t="shared" si="996"/>
        <v/>
      </c>
    </row>
    <row r="60584" spans="8:8" x14ac:dyDescent="0.3">
      <c r="H60584" t="str">
        <f t="shared" si="996"/>
        <v/>
      </c>
    </row>
    <row r="60585" spans="8:8" x14ac:dyDescent="0.3">
      <c r="H60585" t="str">
        <f t="shared" si="996"/>
        <v/>
      </c>
    </row>
    <row r="60586" spans="8:8" x14ac:dyDescent="0.3">
      <c r="H60586" t="str">
        <f t="shared" si="996"/>
        <v/>
      </c>
    </row>
    <row r="60587" spans="8:8" x14ac:dyDescent="0.3">
      <c r="H60587" t="str">
        <f t="shared" si="996"/>
        <v/>
      </c>
    </row>
    <row r="60588" spans="8:8" x14ac:dyDescent="0.3">
      <c r="H60588" t="str">
        <f t="shared" si="996"/>
        <v/>
      </c>
    </row>
    <row r="60589" spans="8:8" x14ac:dyDescent="0.3">
      <c r="H60589" t="str">
        <f t="shared" si="996"/>
        <v/>
      </c>
    </row>
    <row r="60590" spans="8:8" x14ac:dyDescent="0.3">
      <c r="H60590" t="str">
        <f t="shared" si="996"/>
        <v/>
      </c>
    </row>
    <row r="60591" spans="8:8" x14ac:dyDescent="0.3">
      <c r="H60591" t="str">
        <f t="shared" si="996"/>
        <v/>
      </c>
    </row>
    <row r="60592" spans="8:8" x14ac:dyDescent="0.3">
      <c r="H60592" t="str">
        <f t="shared" si="996"/>
        <v/>
      </c>
    </row>
    <row r="60593" spans="8:8" x14ac:dyDescent="0.3">
      <c r="H60593" t="str">
        <f t="shared" si="996"/>
        <v/>
      </c>
    </row>
    <row r="60594" spans="8:8" x14ac:dyDescent="0.3">
      <c r="H60594" t="str">
        <f t="shared" si="996"/>
        <v/>
      </c>
    </row>
    <row r="60595" spans="8:8" x14ac:dyDescent="0.3">
      <c r="H60595" t="str">
        <f t="shared" si="996"/>
        <v/>
      </c>
    </row>
    <row r="60596" spans="8:8" x14ac:dyDescent="0.3">
      <c r="H60596" t="str">
        <f t="shared" si="996"/>
        <v/>
      </c>
    </row>
    <row r="60597" spans="8:8" x14ac:dyDescent="0.3">
      <c r="H60597" t="str">
        <f t="shared" si="996"/>
        <v/>
      </c>
    </row>
    <row r="60598" spans="8:8" x14ac:dyDescent="0.3">
      <c r="H60598" t="str">
        <f t="shared" si="996"/>
        <v/>
      </c>
    </row>
    <row r="60599" spans="8:8" x14ac:dyDescent="0.3">
      <c r="H60599" t="str">
        <f t="shared" si="996"/>
        <v/>
      </c>
    </row>
    <row r="60600" spans="8:8" x14ac:dyDescent="0.3">
      <c r="H60600" t="str">
        <f t="shared" si="996"/>
        <v/>
      </c>
    </row>
    <row r="60601" spans="8:8" x14ac:dyDescent="0.3">
      <c r="H60601" t="str">
        <f t="shared" si="996"/>
        <v/>
      </c>
    </row>
    <row r="60602" spans="8:8" x14ac:dyDescent="0.3">
      <c r="H60602" t="str">
        <f t="shared" si="996"/>
        <v/>
      </c>
    </row>
    <row r="60603" spans="8:8" x14ac:dyDescent="0.3">
      <c r="H60603" t="str">
        <f t="shared" si="996"/>
        <v/>
      </c>
    </row>
    <row r="60604" spans="8:8" x14ac:dyDescent="0.3">
      <c r="H60604" t="str">
        <f t="shared" si="996"/>
        <v/>
      </c>
    </row>
    <row r="60605" spans="8:8" x14ac:dyDescent="0.3">
      <c r="H60605" t="str">
        <f t="shared" si="996"/>
        <v/>
      </c>
    </row>
    <row r="60606" spans="8:8" x14ac:dyDescent="0.3">
      <c r="H60606" t="str">
        <f t="shared" si="996"/>
        <v/>
      </c>
    </row>
    <row r="60607" spans="8:8" x14ac:dyDescent="0.3">
      <c r="H60607" t="str">
        <f t="shared" si="996"/>
        <v/>
      </c>
    </row>
    <row r="60608" spans="8:8" x14ac:dyDescent="0.3">
      <c r="H60608" t="str">
        <f t="shared" si="996"/>
        <v/>
      </c>
    </row>
    <row r="60609" spans="8:8" x14ac:dyDescent="0.3">
      <c r="H60609" t="str">
        <f t="shared" si="996"/>
        <v/>
      </c>
    </row>
    <row r="60610" spans="8:8" x14ac:dyDescent="0.3">
      <c r="H60610" t="str">
        <f t="shared" si="996"/>
        <v/>
      </c>
    </row>
    <row r="60611" spans="8:8" x14ac:dyDescent="0.3">
      <c r="H60611" t="str">
        <f t="shared" si="996"/>
        <v/>
      </c>
    </row>
    <row r="60612" spans="8:8" x14ac:dyDescent="0.3">
      <c r="H60612" t="str">
        <f t="shared" si="996"/>
        <v/>
      </c>
    </row>
    <row r="60613" spans="8:8" x14ac:dyDescent="0.3">
      <c r="H60613" t="str">
        <f t="shared" si="996"/>
        <v/>
      </c>
    </row>
    <row r="60614" spans="8:8" x14ac:dyDescent="0.3">
      <c r="H60614" t="str">
        <f t="shared" si="996"/>
        <v/>
      </c>
    </row>
    <row r="60615" spans="8:8" x14ac:dyDescent="0.3">
      <c r="H60615" t="str">
        <f t="shared" si="996"/>
        <v/>
      </c>
    </row>
    <row r="60616" spans="8:8" x14ac:dyDescent="0.3">
      <c r="H60616" t="str">
        <f t="shared" si="996"/>
        <v/>
      </c>
    </row>
    <row r="60617" spans="8:8" x14ac:dyDescent="0.3">
      <c r="H60617" t="str">
        <f t="shared" si="996"/>
        <v/>
      </c>
    </row>
    <row r="60618" spans="8:8" x14ac:dyDescent="0.3">
      <c r="H60618" t="str">
        <f t="shared" si="996"/>
        <v/>
      </c>
    </row>
    <row r="60619" spans="8:8" x14ac:dyDescent="0.3">
      <c r="H60619" t="str">
        <f t="shared" si="996"/>
        <v/>
      </c>
    </row>
    <row r="60620" spans="8:8" x14ac:dyDescent="0.3">
      <c r="H60620" t="str">
        <f t="shared" si="996"/>
        <v/>
      </c>
    </row>
    <row r="60621" spans="8:8" x14ac:dyDescent="0.3">
      <c r="H60621" t="str">
        <f t="shared" si="996"/>
        <v/>
      </c>
    </row>
    <row r="60622" spans="8:8" x14ac:dyDescent="0.3">
      <c r="H60622" t="str">
        <f t="shared" si="996"/>
        <v/>
      </c>
    </row>
    <row r="60623" spans="8:8" x14ac:dyDescent="0.3">
      <c r="H60623" t="str">
        <f t="shared" si="996"/>
        <v/>
      </c>
    </row>
    <row r="60624" spans="8:8" x14ac:dyDescent="0.3">
      <c r="H60624" t="str">
        <f t="shared" si="996"/>
        <v/>
      </c>
    </row>
    <row r="60625" spans="8:8" x14ac:dyDescent="0.3">
      <c r="H60625" t="str">
        <f t="shared" si="996"/>
        <v/>
      </c>
    </row>
    <row r="60626" spans="8:8" x14ac:dyDescent="0.3">
      <c r="H60626" t="str">
        <f t="shared" si="996"/>
        <v/>
      </c>
    </row>
    <row r="60627" spans="8:8" x14ac:dyDescent="0.3">
      <c r="H60627" t="str">
        <f t="shared" si="996"/>
        <v/>
      </c>
    </row>
    <row r="60628" spans="8:8" x14ac:dyDescent="0.3">
      <c r="H60628" t="str">
        <f t="shared" si="996"/>
        <v/>
      </c>
    </row>
    <row r="60629" spans="8:8" x14ac:dyDescent="0.3">
      <c r="H60629" t="str">
        <f t="shared" si="996"/>
        <v/>
      </c>
    </row>
    <row r="60630" spans="8:8" x14ac:dyDescent="0.3">
      <c r="H60630" t="str">
        <f t="shared" si="996"/>
        <v/>
      </c>
    </row>
    <row r="60631" spans="8:8" x14ac:dyDescent="0.3">
      <c r="H60631" t="str">
        <f t="shared" ref="H60631:H60694" si="997">IF(B60631="","",$C$12)</f>
        <v/>
      </c>
    </row>
    <row r="60632" spans="8:8" x14ac:dyDescent="0.3">
      <c r="H60632" t="str">
        <f t="shared" si="997"/>
        <v/>
      </c>
    </row>
    <row r="60633" spans="8:8" x14ac:dyDescent="0.3">
      <c r="H60633" t="str">
        <f t="shared" si="997"/>
        <v/>
      </c>
    </row>
    <row r="60634" spans="8:8" x14ac:dyDescent="0.3">
      <c r="H60634" t="str">
        <f t="shared" si="997"/>
        <v/>
      </c>
    </row>
    <row r="60635" spans="8:8" x14ac:dyDescent="0.3">
      <c r="H60635" t="str">
        <f t="shared" si="997"/>
        <v/>
      </c>
    </row>
    <row r="60636" spans="8:8" x14ac:dyDescent="0.3">
      <c r="H60636" t="str">
        <f t="shared" si="997"/>
        <v/>
      </c>
    </row>
    <row r="60637" spans="8:8" x14ac:dyDescent="0.3">
      <c r="H60637" t="str">
        <f t="shared" si="997"/>
        <v/>
      </c>
    </row>
    <row r="60638" spans="8:8" x14ac:dyDescent="0.3">
      <c r="H60638" t="str">
        <f t="shared" si="997"/>
        <v/>
      </c>
    </row>
    <row r="60639" spans="8:8" x14ac:dyDescent="0.3">
      <c r="H60639" t="str">
        <f t="shared" si="997"/>
        <v/>
      </c>
    </row>
    <row r="60640" spans="8:8" x14ac:dyDescent="0.3">
      <c r="H60640" t="str">
        <f t="shared" si="997"/>
        <v/>
      </c>
    </row>
    <row r="60641" spans="8:8" x14ac:dyDescent="0.3">
      <c r="H60641" t="str">
        <f t="shared" si="997"/>
        <v/>
      </c>
    </row>
    <row r="60642" spans="8:8" x14ac:dyDescent="0.3">
      <c r="H60642" t="str">
        <f t="shared" si="997"/>
        <v/>
      </c>
    </row>
    <row r="60643" spans="8:8" x14ac:dyDescent="0.3">
      <c r="H60643" t="str">
        <f t="shared" si="997"/>
        <v/>
      </c>
    </row>
    <row r="60644" spans="8:8" x14ac:dyDescent="0.3">
      <c r="H60644" t="str">
        <f t="shared" si="997"/>
        <v/>
      </c>
    </row>
    <row r="60645" spans="8:8" x14ac:dyDescent="0.3">
      <c r="H60645" t="str">
        <f t="shared" si="997"/>
        <v/>
      </c>
    </row>
    <row r="60646" spans="8:8" x14ac:dyDescent="0.3">
      <c r="H60646" t="str">
        <f t="shared" si="997"/>
        <v/>
      </c>
    </row>
    <row r="60647" spans="8:8" x14ac:dyDescent="0.3">
      <c r="H60647" t="str">
        <f t="shared" si="997"/>
        <v/>
      </c>
    </row>
    <row r="60648" spans="8:8" x14ac:dyDescent="0.3">
      <c r="H60648" t="str">
        <f t="shared" si="997"/>
        <v/>
      </c>
    </row>
    <row r="60649" spans="8:8" x14ac:dyDescent="0.3">
      <c r="H60649" t="str">
        <f t="shared" si="997"/>
        <v/>
      </c>
    </row>
    <row r="60650" spans="8:8" x14ac:dyDescent="0.3">
      <c r="H60650" t="str">
        <f t="shared" si="997"/>
        <v/>
      </c>
    </row>
    <row r="60651" spans="8:8" x14ac:dyDescent="0.3">
      <c r="H60651" t="str">
        <f t="shared" si="997"/>
        <v/>
      </c>
    </row>
    <row r="60652" spans="8:8" x14ac:dyDescent="0.3">
      <c r="H60652" t="str">
        <f t="shared" si="997"/>
        <v/>
      </c>
    </row>
    <row r="60653" spans="8:8" x14ac:dyDescent="0.3">
      <c r="H60653" t="str">
        <f t="shared" si="997"/>
        <v/>
      </c>
    </row>
    <row r="60654" spans="8:8" x14ac:dyDescent="0.3">
      <c r="H60654" t="str">
        <f t="shared" si="997"/>
        <v/>
      </c>
    </row>
    <row r="60655" spans="8:8" x14ac:dyDescent="0.3">
      <c r="H60655" t="str">
        <f t="shared" si="997"/>
        <v/>
      </c>
    </row>
    <row r="60656" spans="8:8" x14ac:dyDescent="0.3">
      <c r="H60656" t="str">
        <f t="shared" si="997"/>
        <v/>
      </c>
    </row>
    <row r="60657" spans="8:8" x14ac:dyDescent="0.3">
      <c r="H60657" t="str">
        <f t="shared" si="997"/>
        <v/>
      </c>
    </row>
    <row r="60658" spans="8:8" x14ac:dyDescent="0.3">
      <c r="H60658" t="str">
        <f t="shared" si="997"/>
        <v/>
      </c>
    </row>
    <row r="60659" spans="8:8" x14ac:dyDescent="0.3">
      <c r="H60659" t="str">
        <f t="shared" si="997"/>
        <v/>
      </c>
    </row>
    <row r="60660" spans="8:8" x14ac:dyDescent="0.3">
      <c r="H60660" t="str">
        <f t="shared" si="997"/>
        <v/>
      </c>
    </row>
    <row r="60661" spans="8:8" x14ac:dyDescent="0.3">
      <c r="H60661" t="str">
        <f t="shared" si="997"/>
        <v/>
      </c>
    </row>
    <row r="60662" spans="8:8" x14ac:dyDescent="0.3">
      <c r="H60662" t="str">
        <f t="shared" si="997"/>
        <v/>
      </c>
    </row>
    <row r="60663" spans="8:8" x14ac:dyDescent="0.3">
      <c r="H60663" t="str">
        <f t="shared" si="997"/>
        <v/>
      </c>
    </row>
    <row r="60664" spans="8:8" x14ac:dyDescent="0.3">
      <c r="H60664" t="str">
        <f t="shared" si="997"/>
        <v/>
      </c>
    </row>
    <row r="60665" spans="8:8" x14ac:dyDescent="0.3">
      <c r="H60665" t="str">
        <f t="shared" si="997"/>
        <v/>
      </c>
    </row>
    <row r="60666" spans="8:8" x14ac:dyDescent="0.3">
      <c r="H60666" t="str">
        <f t="shared" si="997"/>
        <v/>
      </c>
    </row>
    <row r="60667" spans="8:8" x14ac:dyDescent="0.3">
      <c r="H60667" t="str">
        <f t="shared" si="997"/>
        <v/>
      </c>
    </row>
    <row r="60668" spans="8:8" x14ac:dyDescent="0.3">
      <c r="H60668" t="str">
        <f t="shared" si="997"/>
        <v/>
      </c>
    </row>
    <row r="60669" spans="8:8" x14ac:dyDescent="0.3">
      <c r="H60669" t="str">
        <f t="shared" si="997"/>
        <v/>
      </c>
    </row>
    <row r="60670" spans="8:8" x14ac:dyDescent="0.3">
      <c r="H60670" t="str">
        <f t="shared" si="997"/>
        <v/>
      </c>
    </row>
    <row r="60671" spans="8:8" x14ac:dyDescent="0.3">
      <c r="H60671" t="str">
        <f t="shared" si="997"/>
        <v/>
      </c>
    </row>
    <row r="60672" spans="8:8" x14ac:dyDescent="0.3">
      <c r="H60672" t="str">
        <f t="shared" si="997"/>
        <v/>
      </c>
    </row>
    <row r="60673" spans="8:8" x14ac:dyDescent="0.3">
      <c r="H60673" t="str">
        <f t="shared" si="997"/>
        <v/>
      </c>
    </row>
    <row r="60674" spans="8:8" x14ac:dyDescent="0.3">
      <c r="H60674" t="str">
        <f t="shared" si="997"/>
        <v/>
      </c>
    </row>
    <row r="60675" spans="8:8" x14ac:dyDescent="0.3">
      <c r="H60675" t="str">
        <f t="shared" si="997"/>
        <v/>
      </c>
    </row>
    <row r="60676" spans="8:8" x14ac:dyDescent="0.3">
      <c r="H60676" t="str">
        <f t="shared" si="997"/>
        <v/>
      </c>
    </row>
    <row r="60677" spans="8:8" x14ac:dyDescent="0.3">
      <c r="H60677" t="str">
        <f t="shared" si="997"/>
        <v/>
      </c>
    </row>
    <row r="60678" spans="8:8" x14ac:dyDescent="0.3">
      <c r="H60678" t="str">
        <f t="shared" si="997"/>
        <v/>
      </c>
    </row>
    <row r="60679" spans="8:8" x14ac:dyDescent="0.3">
      <c r="H60679" t="str">
        <f t="shared" si="997"/>
        <v/>
      </c>
    </row>
    <row r="60680" spans="8:8" x14ac:dyDescent="0.3">
      <c r="H60680" t="str">
        <f t="shared" si="997"/>
        <v/>
      </c>
    </row>
    <row r="60681" spans="8:8" x14ac:dyDescent="0.3">
      <c r="H60681" t="str">
        <f t="shared" si="997"/>
        <v/>
      </c>
    </row>
    <row r="60682" spans="8:8" x14ac:dyDescent="0.3">
      <c r="H60682" t="str">
        <f t="shared" si="997"/>
        <v/>
      </c>
    </row>
    <row r="60683" spans="8:8" x14ac:dyDescent="0.3">
      <c r="H60683" t="str">
        <f t="shared" si="997"/>
        <v/>
      </c>
    </row>
    <row r="60684" spans="8:8" x14ac:dyDescent="0.3">
      <c r="H60684" t="str">
        <f t="shared" si="997"/>
        <v/>
      </c>
    </row>
    <row r="60685" spans="8:8" x14ac:dyDescent="0.3">
      <c r="H60685" t="str">
        <f t="shared" si="997"/>
        <v/>
      </c>
    </row>
    <row r="60686" spans="8:8" x14ac:dyDescent="0.3">
      <c r="H60686" t="str">
        <f t="shared" si="997"/>
        <v/>
      </c>
    </row>
    <row r="60687" spans="8:8" x14ac:dyDescent="0.3">
      <c r="H60687" t="str">
        <f t="shared" si="997"/>
        <v/>
      </c>
    </row>
    <row r="60688" spans="8:8" x14ac:dyDescent="0.3">
      <c r="H60688" t="str">
        <f t="shared" si="997"/>
        <v/>
      </c>
    </row>
    <row r="60689" spans="8:8" x14ac:dyDescent="0.3">
      <c r="H60689" t="str">
        <f t="shared" si="997"/>
        <v/>
      </c>
    </row>
    <row r="60690" spans="8:8" x14ac:dyDescent="0.3">
      <c r="H60690" t="str">
        <f t="shared" si="997"/>
        <v/>
      </c>
    </row>
    <row r="60691" spans="8:8" x14ac:dyDescent="0.3">
      <c r="H60691" t="str">
        <f t="shared" si="997"/>
        <v/>
      </c>
    </row>
    <row r="60692" spans="8:8" x14ac:dyDescent="0.3">
      <c r="H60692" t="str">
        <f t="shared" si="997"/>
        <v/>
      </c>
    </row>
    <row r="60693" spans="8:8" x14ac:dyDescent="0.3">
      <c r="H60693" t="str">
        <f t="shared" si="997"/>
        <v/>
      </c>
    </row>
    <row r="60694" spans="8:8" x14ac:dyDescent="0.3">
      <c r="H60694" t="str">
        <f t="shared" si="997"/>
        <v/>
      </c>
    </row>
    <row r="60695" spans="8:8" x14ac:dyDescent="0.3">
      <c r="H60695" t="str">
        <f t="shared" ref="H60695:H60758" si="998">IF(B60695="","",$C$12)</f>
        <v/>
      </c>
    </row>
    <row r="60696" spans="8:8" x14ac:dyDescent="0.3">
      <c r="H60696" t="str">
        <f t="shared" si="998"/>
        <v/>
      </c>
    </row>
    <row r="60697" spans="8:8" x14ac:dyDescent="0.3">
      <c r="H60697" t="str">
        <f t="shared" si="998"/>
        <v/>
      </c>
    </row>
    <row r="60698" spans="8:8" x14ac:dyDescent="0.3">
      <c r="H60698" t="str">
        <f t="shared" si="998"/>
        <v/>
      </c>
    </row>
    <row r="60699" spans="8:8" x14ac:dyDescent="0.3">
      <c r="H60699" t="str">
        <f t="shared" si="998"/>
        <v/>
      </c>
    </row>
    <row r="60700" spans="8:8" x14ac:dyDescent="0.3">
      <c r="H60700" t="str">
        <f t="shared" si="998"/>
        <v/>
      </c>
    </row>
    <row r="60701" spans="8:8" x14ac:dyDescent="0.3">
      <c r="H60701" t="str">
        <f t="shared" si="998"/>
        <v/>
      </c>
    </row>
    <row r="60702" spans="8:8" x14ac:dyDescent="0.3">
      <c r="H60702" t="str">
        <f t="shared" si="998"/>
        <v/>
      </c>
    </row>
    <row r="60703" spans="8:8" x14ac:dyDescent="0.3">
      <c r="H60703" t="str">
        <f t="shared" si="998"/>
        <v/>
      </c>
    </row>
    <row r="60704" spans="8:8" x14ac:dyDescent="0.3">
      <c r="H60704" t="str">
        <f t="shared" si="998"/>
        <v/>
      </c>
    </row>
    <row r="60705" spans="8:8" x14ac:dyDescent="0.3">
      <c r="H60705" t="str">
        <f t="shared" si="998"/>
        <v/>
      </c>
    </row>
    <row r="60706" spans="8:8" x14ac:dyDescent="0.3">
      <c r="H60706" t="str">
        <f t="shared" si="998"/>
        <v/>
      </c>
    </row>
    <row r="60707" spans="8:8" x14ac:dyDescent="0.3">
      <c r="H60707" t="str">
        <f t="shared" si="998"/>
        <v/>
      </c>
    </row>
    <row r="60708" spans="8:8" x14ac:dyDescent="0.3">
      <c r="H60708" t="str">
        <f t="shared" si="998"/>
        <v/>
      </c>
    </row>
    <row r="60709" spans="8:8" x14ac:dyDescent="0.3">
      <c r="H60709" t="str">
        <f t="shared" si="998"/>
        <v/>
      </c>
    </row>
    <row r="60710" spans="8:8" x14ac:dyDescent="0.3">
      <c r="H60710" t="str">
        <f t="shared" si="998"/>
        <v/>
      </c>
    </row>
    <row r="60711" spans="8:8" x14ac:dyDescent="0.3">
      <c r="H60711" t="str">
        <f t="shared" si="998"/>
        <v/>
      </c>
    </row>
    <row r="60712" spans="8:8" x14ac:dyDescent="0.3">
      <c r="H60712" t="str">
        <f t="shared" si="998"/>
        <v/>
      </c>
    </row>
    <row r="60713" spans="8:8" x14ac:dyDescent="0.3">
      <c r="H60713" t="str">
        <f t="shared" si="998"/>
        <v/>
      </c>
    </row>
    <row r="60714" spans="8:8" x14ac:dyDescent="0.3">
      <c r="H60714" t="str">
        <f t="shared" si="998"/>
        <v/>
      </c>
    </row>
    <row r="60715" spans="8:8" x14ac:dyDescent="0.3">
      <c r="H60715" t="str">
        <f t="shared" si="998"/>
        <v/>
      </c>
    </row>
    <row r="60716" spans="8:8" x14ac:dyDescent="0.3">
      <c r="H60716" t="str">
        <f t="shared" si="998"/>
        <v/>
      </c>
    </row>
    <row r="60717" spans="8:8" x14ac:dyDescent="0.3">
      <c r="H60717" t="str">
        <f t="shared" si="998"/>
        <v/>
      </c>
    </row>
    <row r="60718" spans="8:8" x14ac:dyDescent="0.3">
      <c r="H60718" t="str">
        <f t="shared" si="998"/>
        <v/>
      </c>
    </row>
    <row r="60719" spans="8:8" x14ac:dyDescent="0.3">
      <c r="H60719" t="str">
        <f t="shared" si="998"/>
        <v/>
      </c>
    </row>
    <row r="60720" spans="8:8" x14ac:dyDescent="0.3">
      <c r="H60720" t="str">
        <f t="shared" si="998"/>
        <v/>
      </c>
    </row>
    <row r="60721" spans="8:8" x14ac:dyDescent="0.3">
      <c r="H60721" t="str">
        <f t="shared" si="998"/>
        <v/>
      </c>
    </row>
    <row r="60722" spans="8:8" x14ac:dyDescent="0.3">
      <c r="H60722" t="str">
        <f t="shared" si="998"/>
        <v/>
      </c>
    </row>
    <row r="60723" spans="8:8" x14ac:dyDescent="0.3">
      <c r="H60723" t="str">
        <f t="shared" si="998"/>
        <v/>
      </c>
    </row>
    <row r="60724" spans="8:8" x14ac:dyDescent="0.3">
      <c r="H60724" t="str">
        <f t="shared" si="998"/>
        <v/>
      </c>
    </row>
    <row r="60725" spans="8:8" x14ac:dyDescent="0.3">
      <c r="H60725" t="str">
        <f t="shared" si="998"/>
        <v/>
      </c>
    </row>
    <row r="60726" spans="8:8" x14ac:dyDescent="0.3">
      <c r="H60726" t="str">
        <f t="shared" si="998"/>
        <v/>
      </c>
    </row>
    <row r="60727" spans="8:8" x14ac:dyDescent="0.3">
      <c r="H60727" t="str">
        <f t="shared" si="998"/>
        <v/>
      </c>
    </row>
    <row r="60728" spans="8:8" x14ac:dyDescent="0.3">
      <c r="H60728" t="str">
        <f t="shared" si="998"/>
        <v/>
      </c>
    </row>
    <row r="60729" spans="8:8" x14ac:dyDescent="0.3">
      <c r="H60729" t="str">
        <f t="shared" si="998"/>
        <v/>
      </c>
    </row>
    <row r="60730" spans="8:8" x14ac:dyDescent="0.3">
      <c r="H60730" t="str">
        <f t="shared" si="998"/>
        <v/>
      </c>
    </row>
    <row r="60731" spans="8:8" x14ac:dyDescent="0.3">
      <c r="H60731" t="str">
        <f t="shared" si="998"/>
        <v/>
      </c>
    </row>
    <row r="60732" spans="8:8" x14ac:dyDescent="0.3">
      <c r="H60732" t="str">
        <f t="shared" si="998"/>
        <v/>
      </c>
    </row>
    <row r="60733" spans="8:8" x14ac:dyDescent="0.3">
      <c r="H60733" t="str">
        <f t="shared" si="998"/>
        <v/>
      </c>
    </row>
    <row r="60734" spans="8:8" x14ac:dyDescent="0.3">
      <c r="H60734" t="str">
        <f t="shared" si="998"/>
        <v/>
      </c>
    </row>
    <row r="60735" spans="8:8" x14ac:dyDescent="0.3">
      <c r="H60735" t="str">
        <f t="shared" si="998"/>
        <v/>
      </c>
    </row>
    <row r="60736" spans="8:8" x14ac:dyDescent="0.3">
      <c r="H60736" t="str">
        <f t="shared" si="998"/>
        <v/>
      </c>
    </row>
    <row r="60737" spans="8:8" x14ac:dyDescent="0.3">
      <c r="H60737" t="str">
        <f t="shared" si="998"/>
        <v/>
      </c>
    </row>
    <row r="60738" spans="8:8" x14ac:dyDescent="0.3">
      <c r="H60738" t="str">
        <f t="shared" si="998"/>
        <v/>
      </c>
    </row>
    <row r="60739" spans="8:8" x14ac:dyDescent="0.3">
      <c r="H60739" t="str">
        <f t="shared" si="998"/>
        <v/>
      </c>
    </row>
    <row r="60740" spans="8:8" x14ac:dyDescent="0.3">
      <c r="H60740" t="str">
        <f t="shared" si="998"/>
        <v/>
      </c>
    </row>
    <row r="60741" spans="8:8" x14ac:dyDescent="0.3">
      <c r="H60741" t="str">
        <f t="shared" si="998"/>
        <v/>
      </c>
    </row>
    <row r="60742" spans="8:8" x14ac:dyDescent="0.3">
      <c r="H60742" t="str">
        <f t="shared" si="998"/>
        <v/>
      </c>
    </row>
    <row r="60743" spans="8:8" x14ac:dyDescent="0.3">
      <c r="H60743" t="str">
        <f t="shared" si="998"/>
        <v/>
      </c>
    </row>
    <row r="60744" spans="8:8" x14ac:dyDescent="0.3">
      <c r="H60744" t="str">
        <f t="shared" si="998"/>
        <v/>
      </c>
    </row>
    <row r="60745" spans="8:8" x14ac:dyDescent="0.3">
      <c r="H60745" t="str">
        <f t="shared" si="998"/>
        <v/>
      </c>
    </row>
    <row r="60746" spans="8:8" x14ac:dyDescent="0.3">
      <c r="H60746" t="str">
        <f t="shared" si="998"/>
        <v/>
      </c>
    </row>
    <row r="60747" spans="8:8" x14ac:dyDescent="0.3">
      <c r="H60747" t="str">
        <f t="shared" si="998"/>
        <v/>
      </c>
    </row>
    <row r="60748" spans="8:8" x14ac:dyDescent="0.3">
      <c r="H60748" t="str">
        <f t="shared" si="998"/>
        <v/>
      </c>
    </row>
    <row r="60749" spans="8:8" x14ac:dyDescent="0.3">
      <c r="H60749" t="str">
        <f t="shared" si="998"/>
        <v/>
      </c>
    </row>
    <row r="60750" spans="8:8" x14ac:dyDescent="0.3">
      <c r="H60750" t="str">
        <f t="shared" si="998"/>
        <v/>
      </c>
    </row>
    <row r="60751" spans="8:8" x14ac:dyDescent="0.3">
      <c r="H60751" t="str">
        <f t="shared" si="998"/>
        <v/>
      </c>
    </row>
    <row r="60752" spans="8:8" x14ac:dyDescent="0.3">
      <c r="H60752" t="str">
        <f t="shared" si="998"/>
        <v/>
      </c>
    </row>
    <row r="60753" spans="8:8" x14ac:dyDescent="0.3">
      <c r="H60753" t="str">
        <f t="shared" si="998"/>
        <v/>
      </c>
    </row>
    <row r="60754" spans="8:8" x14ac:dyDescent="0.3">
      <c r="H60754" t="str">
        <f t="shared" si="998"/>
        <v/>
      </c>
    </row>
    <row r="60755" spans="8:8" x14ac:dyDescent="0.3">
      <c r="H60755" t="str">
        <f t="shared" si="998"/>
        <v/>
      </c>
    </row>
    <row r="60756" spans="8:8" x14ac:dyDescent="0.3">
      <c r="H60756" t="str">
        <f t="shared" si="998"/>
        <v/>
      </c>
    </row>
    <row r="60757" spans="8:8" x14ac:dyDescent="0.3">
      <c r="H60757" t="str">
        <f t="shared" si="998"/>
        <v/>
      </c>
    </row>
    <row r="60758" spans="8:8" x14ac:dyDescent="0.3">
      <c r="H60758" t="str">
        <f t="shared" si="998"/>
        <v/>
      </c>
    </row>
    <row r="60759" spans="8:8" x14ac:dyDescent="0.3">
      <c r="H60759" t="str">
        <f t="shared" ref="H60759:H60822" si="999">IF(B60759="","",$C$12)</f>
        <v/>
      </c>
    </row>
    <row r="60760" spans="8:8" x14ac:dyDescent="0.3">
      <c r="H60760" t="str">
        <f t="shared" si="999"/>
        <v/>
      </c>
    </row>
    <row r="60761" spans="8:8" x14ac:dyDescent="0.3">
      <c r="H60761" t="str">
        <f t="shared" si="999"/>
        <v/>
      </c>
    </row>
    <row r="60762" spans="8:8" x14ac:dyDescent="0.3">
      <c r="H60762" t="str">
        <f t="shared" si="999"/>
        <v/>
      </c>
    </row>
    <row r="60763" spans="8:8" x14ac:dyDescent="0.3">
      <c r="H60763" t="str">
        <f t="shared" si="999"/>
        <v/>
      </c>
    </row>
    <row r="60764" spans="8:8" x14ac:dyDescent="0.3">
      <c r="H60764" t="str">
        <f t="shared" si="999"/>
        <v/>
      </c>
    </row>
    <row r="60765" spans="8:8" x14ac:dyDescent="0.3">
      <c r="H60765" t="str">
        <f t="shared" si="999"/>
        <v/>
      </c>
    </row>
    <row r="60766" spans="8:8" x14ac:dyDescent="0.3">
      <c r="H60766" t="str">
        <f t="shared" si="999"/>
        <v/>
      </c>
    </row>
    <row r="60767" spans="8:8" x14ac:dyDescent="0.3">
      <c r="H60767" t="str">
        <f t="shared" si="999"/>
        <v/>
      </c>
    </row>
    <row r="60768" spans="8:8" x14ac:dyDescent="0.3">
      <c r="H60768" t="str">
        <f t="shared" si="999"/>
        <v/>
      </c>
    </row>
    <row r="60769" spans="8:8" x14ac:dyDescent="0.3">
      <c r="H60769" t="str">
        <f t="shared" si="999"/>
        <v/>
      </c>
    </row>
    <row r="60770" spans="8:8" x14ac:dyDescent="0.3">
      <c r="H60770" t="str">
        <f t="shared" si="999"/>
        <v/>
      </c>
    </row>
    <row r="60771" spans="8:8" x14ac:dyDescent="0.3">
      <c r="H60771" t="str">
        <f t="shared" si="999"/>
        <v/>
      </c>
    </row>
    <row r="60772" spans="8:8" x14ac:dyDescent="0.3">
      <c r="H60772" t="str">
        <f t="shared" si="999"/>
        <v/>
      </c>
    </row>
    <row r="60773" spans="8:8" x14ac:dyDescent="0.3">
      <c r="H60773" t="str">
        <f t="shared" si="999"/>
        <v/>
      </c>
    </row>
    <row r="60774" spans="8:8" x14ac:dyDescent="0.3">
      <c r="H60774" t="str">
        <f t="shared" si="999"/>
        <v/>
      </c>
    </row>
    <row r="60775" spans="8:8" x14ac:dyDescent="0.3">
      <c r="H60775" t="str">
        <f t="shared" si="999"/>
        <v/>
      </c>
    </row>
    <row r="60776" spans="8:8" x14ac:dyDescent="0.3">
      <c r="H60776" t="str">
        <f t="shared" si="999"/>
        <v/>
      </c>
    </row>
    <row r="60777" spans="8:8" x14ac:dyDescent="0.3">
      <c r="H60777" t="str">
        <f t="shared" si="999"/>
        <v/>
      </c>
    </row>
    <row r="60778" spans="8:8" x14ac:dyDescent="0.3">
      <c r="H60778" t="str">
        <f t="shared" si="999"/>
        <v/>
      </c>
    </row>
    <row r="60779" spans="8:8" x14ac:dyDescent="0.3">
      <c r="H60779" t="str">
        <f t="shared" si="999"/>
        <v/>
      </c>
    </row>
    <row r="60780" spans="8:8" x14ac:dyDescent="0.3">
      <c r="H60780" t="str">
        <f t="shared" si="999"/>
        <v/>
      </c>
    </row>
    <row r="60781" spans="8:8" x14ac:dyDescent="0.3">
      <c r="H60781" t="str">
        <f t="shared" si="999"/>
        <v/>
      </c>
    </row>
    <row r="60782" spans="8:8" x14ac:dyDescent="0.3">
      <c r="H60782" t="str">
        <f t="shared" si="999"/>
        <v/>
      </c>
    </row>
    <row r="60783" spans="8:8" x14ac:dyDescent="0.3">
      <c r="H60783" t="str">
        <f t="shared" si="999"/>
        <v/>
      </c>
    </row>
    <row r="60784" spans="8:8" x14ac:dyDescent="0.3">
      <c r="H60784" t="str">
        <f t="shared" si="999"/>
        <v/>
      </c>
    </row>
    <row r="60785" spans="8:8" x14ac:dyDescent="0.3">
      <c r="H60785" t="str">
        <f t="shared" si="999"/>
        <v/>
      </c>
    </row>
    <row r="60786" spans="8:8" x14ac:dyDescent="0.3">
      <c r="H60786" t="str">
        <f t="shared" si="999"/>
        <v/>
      </c>
    </row>
    <row r="60787" spans="8:8" x14ac:dyDescent="0.3">
      <c r="H60787" t="str">
        <f t="shared" si="999"/>
        <v/>
      </c>
    </row>
    <row r="60788" spans="8:8" x14ac:dyDescent="0.3">
      <c r="H60788" t="str">
        <f t="shared" si="999"/>
        <v/>
      </c>
    </row>
    <row r="60789" spans="8:8" x14ac:dyDescent="0.3">
      <c r="H60789" t="str">
        <f t="shared" si="999"/>
        <v/>
      </c>
    </row>
    <row r="60790" spans="8:8" x14ac:dyDescent="0.3">
      <c r="H60790" t="str">
        <f t="shared" si="999"/>
        <v/>
      </c>
    </row>
    <row r="60791" spans="8:8" x14ac:dyDescent="0.3">
      <c r="H60791" t="str">
        <f t="shared" si="999"/>
        <v/>
      </c>
    </row>
    <row r="60792" spans="8:8" x14ac:dyDescent="0.3">
      <c r="H60792" t="str">
        <f t="shared" si="999"/>
        <v/>
      </c>
    </row>
    <row r="60793" spans="8:8" x14ac:dyDescent="0.3">
      <c r="H60793" t="str">
        <f t="shared" si="999"/>
        <v/>
      </c>
    </row>
    <row r="60794" spans="8:8" x14ac:dyDescent="0.3">
      <c r="H60794" t="str">
        <f t="shared" si="999"/>
        <v/>
      </c>
    </row>
    <row r="60795" spans="8:8" x14ac:dyDescent="0.3">
      <c r="H60795" t="str">
        <f t="shared" si="999"/>
        <v/>
      </c>
    </row>
    <row r="60796" spans="8:8" x14ac:dyDescent="0.3">
      <c r="H60796" t="str">
        <f t="shared" si="999"/>
        <v/>
      </c>
    </row>
    <row r="60797" spans="8:8" x14ac:dyDescent="0.3">
      <c r="H60797" t="str">
        <f t="shared" si="999"/>
        <v/>
      </c>
    </row>
    <row r="60798" spans="8:8" x14ac:dyDescent="0.3">
      <c r="H60798" t="str">
        <f t="shared" si="999"/>
        <v/>
      </c>
    </row>
    <row r="60799" spans="8:8" x14ac:dyDescent="0.3">
      <c r="H60799" t="str">
        <f t="shared" si="999"/>
        <v/>
      </c>
    </row>
    <row r="60800" spans="8:8" x14ac:dyDescent="0.3">
      <c r="H60800" t="str">
        <f t="shared" si="999"/>
        <v/>
      </c>
    </row>
    <row r="60801" spans="8:8" x14ac:dyDescent="0.3">
      <c r="H60801" t="str">
        <f t="shared" si="999"/>
        <v/>
      </c>
    </row>
    <row r="60802" spans="8:8" x14ac:dyDescent="0.3">
      <c r="H60802" t="str">
        <f t="shared" si="999"/>
        <v/>
      </c>
    </row>
    <row r="60803" spans="8:8" x14ac:dyDescent="0.3">
      <c r="H60803" t="str">
        <f t="shared" si="999"/>
        <v/>
      </c>
    </row>
    <row r="60804" spans="8:8" x14ac:dyDescent="0.3">
      <c r="H60804" t="str">
        <f t="shared" si="999"/>
        <v/>
      </c>
    </row>
    <row r="60805" spans="8:8" x14ac:dyDescent="0.3">
      <c r="H60805" t="str">
        <f t="shared" si="999"/>
        <v/>
      </c>
    </row>
    <row r="60806" spans="8:8" x14ac:dyDescent="0.3">
      <c r="H60806" t="str">
        <f t="shared" si="999"/>
        <v/>
      </c>
    </row>
    <row r="60807" spans="8:8" x14ac:dyDescent="0.3">
      <c r="H60807" t="str">
        <f t="shared" si="999"/>
        <v/>
      </c>
    </row>
    <row r="60808" spans="8:8" x14ac:dyDescent="0.3">
      <c r="H60808" t="str">
        <f t="shared" si="999"/>
        <v/>
      </c>
    </row>
    <row r="60809" spans="8:8" x14ac:dyDescent="0.3">
      <c r="H60809" t="str">
        <f t="shared" si="999"/>
        <v/>
      </c>
    </row>
    <row r="60810" spans="8:8" x14ac:dyDescent="0.3">
      <c r="H60810" t="str">
        <f t="shared" si="999"/>
        <v/>
      </c>
    </row>
    <row r="60811" spans="8:8" x14ac:dyDescent="0.3">
      <c r="H60811" t="str">
        <f t="shared" si="999"/>
        <v/>
      </c>
    </row>
    <row r="60812" spans="8:8" x14ac:dyDescent="0.3">
      <c r="H60812" t="str">
        <f t="shared" si="999"/>
        <v/>
      </c>
    </row>
    <row r="60813" spans="8:8" x14ac:dyDescent="0.3">
      <c r="H60813" t="str">
        <f t="shared" si="999"/>
        <v/>
      </c>
    </row>
    <row r="60814" spans="8:8" x14ac:dyDescent="0.3">
      <c r="H60814" t="str">
        <f t="shared" si="999"/>
        <v/>
      </c>
    </row>
    <row r="60815" spans="8:8" x14ac:dyDescent="0.3">
      <c r="H60815" t="str">
        <f t="shared" si="999"/>
        <v/>
      </c>
    </row>
    <row r="60816" spans="8:8" x14ac:dyDescent="0.3">
      <c r="H60816" t="str">
        <f t="shared" si="999"/>
        <v/>
      </c>
    </row>
    <row r="60817" spans="8:8" x14ac:dyDescent="0.3">
      <c r="H60817" t="str">
        <f t="shared" si="999"/>
        <v/>
      </c>
    </row>
    <row r="60818" spans="8:8" x14ac:dyDescent="0.3">
      <c r="H60818" t="str">
        <f t="shared" si="999"/>
        <v/>
      </c>
    </row>
    <row r="60819" spans="8:8" x14ac:dyDescent="0.3">
      <c r="H60819" t="str">
        <f t="shared" si="999"/>
        <v/>
      </c>
    </row>
    <row r="60820" spans="8:8" x14ac:dyDescent="0.3">
      <c r="H60820" t="str">
        <f t="shared" si="999"/>
        <v/>
      </c>
    </row>
    <row r="60821" spans="8:8" x14ac:dyDescent="0.3">
      <c r="H60821" t="str">
        <f t="shared" si="999"/>
        <v/>
      </c>
    </row>
    <row r="60822" spans="8:8" x14ac:dyDescent="0.3">
      <c r="H60822" t="str">
        <f t="shared" si="999"/>
        <v/>
      </c>
    </row>
    <row r="60823" spans="8:8" x14ac:dyDescent="0.3">
      <c r="H60823" t="str">
        <f t="shared" ref="H60823:H60886" si="1000">IF(B60823="","",$C$12)</f>
        <v/>
      </c>
    </row>
    <row r="60824" spans="8:8" x14ac:dyDescent="0.3">
      <c r="H60824" t="str">
        <f t="shared" si="1000"/>
        <v/>
      </c>
    </row>
    <row r="60825" spans="8:8" x14ac:dyDescent="0.3">
      <c r="H60825" t="str">
        <f t="shared" si="1000"/>
        <v/>
      </c>
    </row>
    <row r="60826" spans="8:8" x14ac:dyDescent="0.3">
      <c r="H60826" t="str">
        <f t="shared" si="1000"/>
        <v/>
      </c>
    </row>
    <row r="60827" spans="8:8" x14ac:dyDescent="0.3">
      <c r="H60827" t="str">
        <f t="shared" si="1000"/>
        <v/>
      </c>
    </row>
    <row r="60828" spans="8:8" x14ac:dyDescent="0.3">
      <c r="H60828" t="str">
        <f t="shared" si="1000"/>
        <v/>
      </c>
    </row>
    <row r="60829" spans="8:8" x14ac:dyDescent="0.3">
      <c r="H60829" t="str">
        <f t="shared" si="1000"/>
        <v/>
      </c>
    </row>
    <row r="60830" spans="8:8" x14ac:dyDescent="0.3">
      <c r="H60830" t="str">
        <f t="shared" si="1000"/>
        <v/>
      </c>
    </row>
    <row r="60831" spans="8:8" x14ac:dyDescent="0.3">
      <c r="H60831" t="str">
        <f t="shared" si="1000"/>
        <v/>
      </c>
    </row>
    <row r="60832" spans="8:8" x14ac:dyDescent="0.3">
      <c r="H60832" t="str">
        <f t="shared" si="1000"/>
        <v/>
      </c>
    </row>
    <row r="60833" spans="8:8" x14ac:dyDescent="0.3">
      <c r="H60833" t="str">
        <f t="shared" si="1000"/>
        <v/>
      </c>
    </row>
    <row r="60834" spans="8:8" x14ac:dyDescent="0.3">
      <c r="H60834" t="str">
        <f t="shared" si="1000"/>
        <v/>
      </c>
    </row>
    <row r="60835" spans="8:8" x14ac:dyDescent="0.3">
      <c r="H60835" t="str">
        <f t="shared" si="1000"/>
        <v/>
      </c>
    </row>
    <row r="60836" spans="8:8" x14ac:dyDescent="0.3">
      <c r="H60836" t="str">
        <f t="shared" si="1000"/>
        <v/>
      </c>
    </row>
    <row r="60837" spans="8:8" x14ac:dyDescent="0.3">
      <c r="H60837" t="str">
        <f t="shared" si="1000"/>
        <v/>
      </c>
    </row>
    <row r="60838" spans="8:8" x14ac:dyDescent="0.3">
      <c r="H60838" t="str">
        <f t="shared" si="1000"/>
        <v/>
      </c>
    </row>
    <row r="60839" spans="8:8" x14ac:dyDescent="0.3">
      <c r="H60839" t="str">
        <f t="shared" si="1000"/>
        <v/>
      </c>
    </row>
    <row r="60840" spans="8:8" x14ac:dyDescent="0.3">
      <c r="H60840" t="str">
        <f t="shared" si="1000"/>
        <v/>
      </c>
    </row>
    <row r="60841" spans="8:8" x14ac:dyDescent="0.3">
      <c r="H60841" t="str">
        <f t="shared" si="1000"/>
        <v/>
      </c>
    </row>
    <row r="60842" spans="8:8" x14ac:dyDescent="0.3">
      <c r="H60842" t="str">
        <f t="shared" si="1000"/>
        <v/>
      </c>
    </row>
    <row r="60843" spans="8:8" x14ac:dyDescent="0.3">
      <c r="H60843" t="str">
        <f t="shared" si="1000"/>
        <v/>
      </c>
    </row>
    <row r="60844" spans="8:8" x14ac:dyDescent="0.3">
      <c r="H60844" t="str">
        <f t="shared" si="1000"/>
        <v/>
      </c>
    </row>
    <row r="60845" spans="8:8" x14ac:dyDescent="0.3">
      <c r="H60845" t="str">
        <f t="shared" si="1000"/>
        <v/>
      </c>
    </row>
    <row r="60846" spans="8:8" x14ac:dyDescent="0.3">
      <c r="H60846" t="str">
        <f t="shared" si="1000"/>
        <v/>
      </c>
    </row>
    <row r="60847" spans="8:8" x14ac:dyDescent="0.3">
      <c r="H60847" t="str">
        <f t="shared" si="1000"/>
        <v/>
      </c>
    </row>
    <row r="60848" spans="8:8" x14ac:dyDescent="0.3">
      <c r="H60848" t="str">
        <f t="shared" si="1000"/>
        <v/>
      </c>
    </row>
    <row r="60849" spans="8:8" x14ac:dyDescent="0.3">
      <c r="H60849" t="str">
        <f t="shared" si="1000"/>
        <v/>
      </c>
    </row>
    <row r="60850" spans="8:8" x14ac:dyDescent="0.3">
      <c r="H60850" t="str">
        <f t="shared" si="1000"/>
        <v/>
      </c>
    </row>
    <row r="60851" spans="8:8" x14ac:dyDescent="0.3">
      <c r="H60851" t="str">
        <f t="shared" si="1000"/>
        <v/>
      </c>
    </row>
    <row r="60852" spans="8:8" x14ac:dyDescent="0.3">
      <c r="H60852" t="str">
        <f t="shared" si="1000"/>
        <v/>
      </c>
    </row>
    <row r="60853" spans="8:8" x14ac:dyDescent="0.3">
      <c r="H60853" t="str">
        <f t="shared" si="1000"/>
        <v/>
      </c>
    </row>
    <row r="60854" spans="8:8" x14ac:dyDescent="0.3">
      <c r="H60854" t="str">
        <f t="shared" si="1000"/>
        <v/>
      </c>
    </row>
    <row r="60855" spans="8:8" x14ac:dyDescent="0.3">
      <c r="H60855" t="str">
        <f t="shared" si="1000"/>
        <v/>
      </c>
    </row>
    <row r="60856" spans="8:8" x14ac:dyDescent="0.3">
      <c r="H60856" t="str">
        <f t="shared" si="1000"/>
        <v/>
      </c>
    </row>
    <row r="60857" spans="8:8" x14ac:dyDescent="0.3">
      <c r="H60857" t="str">
        <f t="shared" si="1000"/>
        <v/>
      </c>
    </row>
    <row r="60858" spans="8:8" x14ac:dyDescent="0.3">
      <c r="H60858" t="str">
        <f t="shared" si="1000"/>
        <v/>
      </c>
    </row>
    <row r="60859" spans="8:8" x14ac:dyDescent="0.3">
      <c r="H60859" t="str">
        <f t="shared" si="1000"/>
        <v/>
      </c>
    </row>
    <row r="60860" spans="8:8" x14ac:dyDescent="0.3">
      <c r="H60860" t="str">
        <f t="shared" si="1000"/>
        <v/>
      </c>
    </row>
    <row r="60861" spans="8:8" x14ac:dyDescent="0.3">
      <c r="H60861" t="str">
        <f t="shared" si="1000"/>
        <v/>
      </c>
    </row>
    <row r="60862" spans="8:8" x14ac:dyDescent="0.3">
      <c r="H60862" t="str">
        <f t="shared" si="1000"/>
        <v/>
      </c>
    </row>
    <row r="60863" spans="8:8" x14ac:dyDescent="0.3">
      <c r="H60863" t="str">
        <f t="shared" si="1000"/>
        <v/>
      </c>
    </row>
    <row r="60864" spans="8:8" x14ac:dyDescent="0.3">
      <c r="H60864" t="str">
        <f t="shared" si="1000"/>
        <v/>
      </c>
    </row>
    <row r="60865" spans="8:8" x14ac:dyDescent="0.3">
      <c r="H60865" t="str">
        <f t="shared" si="1000"/>
        <v/>
      </c>
    </row>
    <row r="60866" spans="8:8" x14ac:dyDescent="0.3">
      <c r="H60866" t="str">
        <f t="shared" si="1000"/>
        <v/>
      </c>
    </row>
    <row r="60867" spans="8:8" x14ac:dyDescent="0.3">
      <c r="H60867" t="str">
        <f t="shared" si="1000"/>
        <v/>
      </c>
    </row>
    <row r="60868" spans="8:8" x14ac:dyDescent="0.3">
      <c r="H60868" t="str">
        <f t="shared" si="1000"/>
        <v/>
      </c>
    </row>
    <row r="60869" spans="8:8" x14ac:dyDescent="0.3">
      <c r="H60869" t="str">
        <f t="shared" si="1000"/>
        <v/>
      </c>
    </row>
    <row r="60870" spans="8:8" x14ac:dyDescent="0.3">
      <c r="H60870" t="str">
        <f t="shared" si="1000"/>
        <v/>
      </c>
    </row>
    <row r="60871" spans="8:8" x14ac:dyDescent="0.3">
      <c r="H60871" t="str">
        <f t="shared" si="1000"/>
        <v/>
      </c>
    </row>
    <row r="60872" spans="8:8" x14ac:dyDescent="0.3">
      <c r="H60872" t="str">
        <f t="shared" si="1000"/>
        <v/>
      </c>
    </row>
    <row r="60873" spans="8:8" x14ac:dyDescent="0.3">
      <c r="H60873" t="str">
        <f t="shared" si="1000"/>
        <v/>
      </c>
    </row>
    <row r="60874" spans="8:8" x14ac:dyDescent="0.3">
      <c r="H60874" t="str">
        <f t="shared" si="1000"/>
        <v/>
      </c>
    </row>
    <row r="60875" spans="8:8" x14ac:dyDescent="0.3">
      <c r="H60875" t="str">
        <f t="shared" si="1000"/>
        <v/>
      </c>
    </row>
    <row r="60876" spans="8:8" x14ac:dyDescent="0.3">
      <c r="H60876" t="str">
        <f t="shared" si="1000"/>
        <v/>
      </c>
    </row>
    <row r="60877" spans="8:8" x14ac:dyDescent="0.3">
      <c r="H60877" t="str">
        <f t="shared" si="1000"/>
        <v/>
      </c>
    </row>
    <row r="60878" spans="8:8" x14ac:dyDescent="0.3">
      <c r="H60878" t="str">
        <f t="shared" si="1000"/>
        <v/>
      </c>
    </row>
    <row r="60879" spans="8:8" x14ac:dyDescent="0.3">
      <c r="H60879" t="str">
        <f t="shared" si="1000"/>
        <v/>
      </c>
    </row>
    <row r="60880" spans="8:8" x14ac:dyDescent="0.3">
      <c r="H60880" t="str">
        <f t="shared" si="1000"/>
        <v/>
      </c>
    </row>
    <row r="60881" spans="8:8" x14ac:dyDescent="0.3">
      <c r="H60881" t="str">
        <f t="shared" si="1000"/>
        <v/>
      </c>
    </row>
    <row r="60882" spans="8:8" x14ac:dyDescent="0.3">
      <c r="H60882" t="str">
        <f t="shared" si="1000"/>
        <v/>
      </c>
    </row>
    <row r="60883" spans="8:8" x14ac:dyDescent="0.3">
      <c r="H60883" t="str">
        <f t="shared" si="1000"/>
        <v/>
      </c>
    </row>
    <row r="60884" spans="8:8" x14ac:dyDescent="0.3">
      <c r="H60884" t="str">
        <f t="shared" si="1000"/>
        <v/>
      </c>
    </row>
    <row r="60885" spans="8:8" x14ac:dyDescent="0.3">
      <c r="H60885" t="str">
        <f t="shared" si="1000"/>
        <v/>
      </c>
    </row>
    <row r="60886" spans="8:8" x14ac:dyDescent="0.3">
      <c r="H60886" t="str">
        <f t="shared" si="1000"/>
        <v/>
      </c>
    </row>
    <row r="60887" spans="8:8" x14ac:dyDescent="0.3">
      <c r="H60887" t="str">
        <f t="shared" ref="H60887:H60950" si="1001">IF(B60887="","",$C$12)</f>
        <v/>
      </c>
    </row>
    <row r="60888" spans="8:8" x14ac:dyDescent="0.3">
      <c r="H60888" t="str">
        <f t="shared" si="1001"/>
        <v/>
      </c>
    </row>
    <row r="60889" spans="8:8" x14ac:dyDescent="0.3">
      <c r="H60889" t="str">
        <f t="shared" si="1001"/>
        <v/>
      </c>
    </row>
    <row r="60890" spans="8:8" x14ac:dyDescent="0.3">
      <c r="H60890" t="str">
        <f t="shared" si="1001"/>
        <v/>
      </c>
    </row>
    <row r="60891" spans="8:8" x14ac:dyDescent="0.3">
      <c r="H60891" t="str">
        <f t="shared" si="1001"/>
        <v/>
      </c>
    </row>
    <row r="60892" spans="8:8" x14ac:dyDescent="0.3">
      <c r="H60892" t="str">
        <f t="shared" si="1001"/>
        <v/>
      </c>
    </row>
    <row r="60893" spans="8:8" x14ac:dyDescent="0.3">
      <c r="H60893" t="str">
        <f t="shared" si="1001"/>
        <v/>
      </c>
    </row>
    <row r="60894" spans="8:8" x14ac:dyDescent="0.3">
      <c r="H60894" t="str">
        <f t="shared" si="1001"/>
        <v/>
      </c>
    </row>
    <row r="60895" spans="8:8" x14ac:dyDescent="0.3">
      <c r="H60895" t="str">
        <f t="shared" si="1001"/>
        <v/>
      </c>
    </row>
    <row r="60896" spans="8:8" x14ac:dyDescent="0.3">
      <c r="H60896" t="str">
        <f t="shared" si="1001"/>
        <v/>
      </c>
    </row>
    <row r="60897" spans="8:8" x14ac:dyDescent="0.3">
      <c r="H60897" t="str">
        <f t="shared" si="1001"/>
        <v/>
      </c>
    </row>
    <row r="60898" spans="8:8" x14ac:dyDescent="0.3">
      <c r="H60898" t="str">
        <f t="shared" si="1001"/>
        <v/>
      </c>
    </row>
    <row r="60899" spans="8:8" x14ac:dyDescent="0.3">
      <c r="H60899" t="str">
        <f t="shared" si="1001"/>
        <v/>
      </c>
    </row>
    <row r="60900" spans="8:8" x14ac:dyDescent="0.3">
      <c r="H60900" t="str">
        <f t="shared" si="1001"/>
        <v/>
      </c>
    </row>
    <row r="60901" spans="8:8" x14ac:dyDescent="0.3">
      <c r="H60901" t="str">
        <f t="shared" si="1001"/>
        <v/>
      </c>
    </row>
    <row r="60902" spans="8:8" x14ac:dyDescent="0.3">
      <c r="H60902" t="str">
        <f t="shared" si="1001"/>
        <v/>
      </c>
    </row>
    <row r="60903" spans="8:8" x14ac:dyDescent="0.3">
      <c r="H60903" t="str">
        <f t="shared" si="1001"/>
        <v/>
      </c>
    </row>
    <row r="60904" spans="8:8" x14ac:dyDescent="0.3">
      <c r="H60904" t="str">
        <f t="shared" si="1001"/>
        <v/>
      </c>
    </row>
    <row r="60905" spans="8:8" x14ac:dyDescent="0.3">
      <c r="H60905" t="str">
        <f t="shared" si="1001"/>
        <v/>
      </c>
    </row>
    <row r="60906" spans="8:8" x14ac:dyDescent="0.3">
      <c r="H60906" t="str">
        <f t="shared" si="1001"/>
        <v/>
      </c>
    </row>
    <row r="60907" spans="8:8" x14ac:dyDescent="0.3">
      <c r="H60907" t="str">
        <f t="shared" si="1001"/>
        <v/>
      </c>
    </row>
    <row r="60908" spans="8:8" x14ac:dyDescent="0.3">
      <c r="H60908" t="str">
        <f t="shared" si="1001"/>
        <v/>
      </c>
    </row>
    <row r="60909" spans="8:8" x14ac:dyDescent="0.3">
      <c r="H60909" t="str">
        <f t="shared" si="1001"/>
        <v/>
      </c>
    </row>
    <row r="60910" spans="8:8" x14ac:dyDescent="0.3">
      <c r="H60910" t="str">
        <f t="shared" si="1001"/>
        <v/>
      </c>
    </row>
    <row r="60911" spans="8:8" x14ac:dyDescent="0.3">
      <c r="H60911" t="str">
        <f t="shared" si="1001"/>
        <v/>
      </c>
    </row>
    <row r="60912" spans="8:8" x14ac:dyDescent="0.3">
      <c r="H60912" t="str">
        <f t="shared" si="1001"/>
        <v/>
      </c>
    </row>
    <row r="60913" spans="8:8" x14ac:dyDescent="0.3">
      <c r="H60913" t="str">
        <f t="shared" si="1001"/>
        <v/>
      </c>
    </row>
    <row r="60914" spans="8:8" x14ac:dyDescent="0.3">
      <c r="H60914" t="str">
        <f t="shared" si="1001"/>
        <v/>
      </c>
    </row>
    <row r="60915" spans="8:8" x14ac:dyDescent="0.3">
      <c r="H60915" t="str">
        <f t="shared" si="1001"/>
        <v/>
      </c>
    </row>
    <row r="60916" spans="8:8" x14ac:dyDescent="0.3">
      <c r="H60916" t="str">
        <f t="shared" si="1001"/>
        <v/>
      </c>
    </row>
    <row r="60917" spans="8:8" x14ac:dyDescent="0.3">
      <c r="H60917" t="str">
        <f t="shared" si="1001"/>
        <v/>
      </c>
    </row>
    <row r="60918" spans="8:8" x14ac:dyDescent="0.3">
      <c r="H60918" t="str">
        <f t="shared" si="1001"/>
        <v/>
      </c>
    </row>
    <row r="60919" spans="8:8" x14ac:dyDescent="0.3">
      <c r="H60919" t="str">
        <f t="shared" si="1001"/>
        <v/>
      </c>
    </row>
    <row r="60920" spans="8:8" x14ac:dyDescent="0.3">
      <c r="H60920" t="str">
        <f t="shared" si="1001"/>
        <v/>
      </c>
    </row>
    <row r="60921" spans="8:8" x14ac:dyDescent="0.3">
      <c r="H60921" t="str">
        <f t="shared" si="1001"/>
        <v/>
      </c>
    </row>
    <row r="60922" spans="8:8" x14ac:dyDescent="0.3">
      <c r="H60922" t="str">
        <f t="shared" si="1001"/>
        <v/>
      </c>
    </row>
    <row r="60923" spans="8:8" x14ac:dyDescent="0.3">
      <c r="H60923" t="str">
        <f t="shared" si="1001"/>
        <v/>
      </c>
    </row>
    <row r="60924" spans="8:8" x14ac:dyDescent="0.3">
      <c r="H60924" t="str">
        <f t="shared" si="1001"/>
        <v/>
      </c>
    </row>
    <row r="60925" spans="8:8" x14ac:dyDescent="0.3">
      <c r="H60925" t="str">
        <f t="shared" si="1001"/>
        <v/>
      </c>
    </row>
    <row r="60926" spans="8:8" x14ac:dyDescent="0.3">
      <c r="H60926" t="str">
        <f t="shared" si="1001"/>
        <v/>
      </c>
    </row>
    <row r="60927" spans="8:8" x14ac:dyDescent="0.3">
      <c r="H60927" t="str">
        <f t="shared" si="1001"/>
        <v/>
      </c>
    </row>
    <row r="60928" spans="8:8" x14ac:dyDescent="0.3">
      <c r="H60928" t="str">
        <f t="shared" si="1001"/>
        <v/>
      </c>
    </row>
    <row r="60929" spans="8:8" x14ac:dyDescent="0.3">
      <c r="H60929" t="str">
        <f t="shared" si="1001"/>
        <v/>
      </c>
    </row>
    <row r="60930" spans="8:8" x14ac:dyDescent="0.3">
      <c r="H60930" t="str">
        <f t="shared" si="1001"/>
        <v/>
      </c>
    </row>
    <row r="60931" spans="8:8" x14ac:dyDescent="0.3">
      <c r="H60931" t="str">
        <f t="shared" si="1001"/>
        <v/>
      </c>
    </row>
    <row r="60932" spans="8:8" x14ac:dyDescent="0.3">
      <c r="H60932" t="str">
        <f t="shared" si="1001"/>
        <v/>
      </c>
    </row>
    <row r="60933" spans="8:8" x14ac:dyDescent="0.3">
      <c r="H60933" t="str">
        <f t="shared" si="1001"/>
        <v/>
      </c>
    </row>
    <row r="60934" spans="8:8" x14ac:dyDescent="0.3">
      <c r="H60934" t="str">
        <f t="shared" si="1001"/>
        <v/>
      </c>
    </row>
    <row r="60935" spans="8:8" x14ac:dyDescent="0.3">
      <c r="H60935" t="str">
        <f t="shared" si="1001"/>
        <v/>
      </c>
    </row>
    <row r="60936" spans="8:8" x14ac:dyDescent="0.3">
      <c r="H60936" t="str">
        <f t="shared" si="1001"/>
        <v/>
      </c>
    </row>
    <row r="60937" spans="8:8" x14ac:dyDescent="0.3">
      <c r="H60937" t="str">
        <f t="shared" si="1001"/>
        <v/>
      </c>
    </row>
    <row r="60938" spans="8:8" x14ac:dyDescent="0.3">
      <c r="H60938" t="str">
        <f t="shared" si="1001"/>
        <v/>
      </c>
    </row>
    <row r="60939" spans="8:8" x14ac:dyDescent="0.3">
      <c r="H60939" t="str">
        <f t="shared" si="1001"/>
        <v/>
      </c>
    </row>
    <row r="60940" spans="8:8" x14ac:dyDescent="0.3">
      <c r="H60940" t="str">
        <f t="shared" si="1001"/>
        <v/>
      </c>
    </row>
    <row r="60941" spans="8:8" x14ac:dyDescent="0.3">
      <c r="H60941" t="str">
        <f t="shared" si="1001"/>
        <v/>
      </c>
    </row>
    <row r="60942" spans="8:8" x14ac:dyDescent="0.3">
      <c r="H60942" t="str">
        <f t="shared" si="1001"/>
        <v/>
      </c>
    </row>
    <row r="60943" spans="8:8" x14ac:dyDescent="0.3">
      <c r="H60943" t="str">
        <f t="shared" si="1001"/>
        <v/>
      </c>
    </row>
    <row r="60944" spans="8:8" x14ac:dyDescent="0.3">
      <c r="H60944" t="str">
        <f t="shared" si="1001"/>
        <v/>
      </c>
    </row>
    <row r="60945" spans="8:8" x14ac:dyDescent="0.3">
      <c r="H60945" t="str">
        <f t="shared" si="1001"/>
        <v/>
      </c>
    </row>
    <row r="60946" spans="8:8" x14ac:dyDescent="0.3">
      <c r="H60946" t="str">
        <f t="shared" si="1001"/>
        <v/>
      </c>
    </row>
    <row r="60947" spans="8:8" x14ac:dyDescent="0.3">
      <c r="H60947" t="str">
        <f t="shared" si="1001"/>
        <v/>
      </c>
    </row>
    <row r="60948" spans="8:8" x14ac:dyDescent="0.3">
      <c r="H60948" t="str">
        <f t="shared" si="1001"/>
        <v/>
      </c>
    </row>
    <row r="60949" spans="8:8" x14ac:dyDescent="0.3">
      <c r="H60949" t="str">
        <f t="shared" si="1001"/>
        <v/>
      </c>
    </row>
    <row r="60950" spans="8:8" x14ac:dyDescent="0.3">
      <c r="H60950" t="str">
        <f t="shared" si="1001"/>
        <v/>
      </c>
    </row>
    <row r="60951" spans="8:8" x14ac:dyDescent="0.3">
      <c r="H60951" t="str">
        <f t="shared" ref="H60951:H61014" si="1002">IF(B60951="","",$C$12)</f>
        <v/>
      </c>
    </row>
    <row r="60952" spans="8:8" x14ac:dyDescent="0.3">
      <c r="H60952" t="str">
        <f t="shared" si="1002"/>
        <v/>
      </c>
    </row>
    <row r="60953" spans="8:8" x14ac:dyDescent="0.3">
      <c r="H60953" t="str">
        <f t="shared" si="1002"/>
        <v/>
      </c>
    </row>
    <row r="60954" spans="8:8" x14ac:dyDescent="0.3">
      <c r="H60954" t="str">
        <f t="shared" si="1002"/>
        <v/>
      </c>
    </row>
    <row r="60955" spans="8:8" x14ac:dyDescent="0.3">
      <c r="H60955" t="str">
        <f t="shared" si="1002"/>
        <v/>
      </c>
    </row>
    <row r="60956" spans="8:8" x14ac:dyDescent="0.3">
      <c r="H60956" t="str">
        <f t="shared" si="1002"/>
        <v/>
      </c>
    </row>
    <row r="60957" spans="8:8" x14ac:dyDescent="0.3">
      <c r="H60957" t="str">
        <f t="shared" si="1002"/>
        <v/>
      </c>
    </row>
    <row r="60958" spans="8:8" x14ac:dyDescent="0.3">
      <c r="H60958" t="str">
        <f t="shared" si="1002"/>
        <v/>
      </c>
    </row>
    <row r="60959" spans="8:8" x14ac:dyDescent="0.3">
      <c r="H60959" t="str">
        <f t="shared" si="1002"/>
        <v/>
      </c>
    </row>
    <row r="60960" spans="8:8" x14ac:dyDescent="0.3">
      <c r="H60960" t="str">
        <f t="shared" si="1002"/>
        <v/>
      </c>
    </row>
    <row r="60961" spans="8:8" x14ac:dyDescent="0.3">
      <c r="H60961" t="str">
        <f t="shared" si="1002"/>
        <v/>
      </c>
    </row>
    <row r="60962" spans="8:8" x14ac:dyDescent="0.3">
      <c r="H60962" t="str">
        <f t="shared" si="1002"/>
        <v/>
      </c>
    </row>
    <row r="60963" spans="8:8" x14ac:dyDescent="0.3">
      <c r="H60963" t="str">
        <f t="shared" si="1002"/>
        <v/>
      </c>
    </row>
    <row r="60964" spans="8:8" x14ac:dyDescent="0.3">
      <c r="H60964" t="str">
        <f t="shared" si="1002"/>
        <v/>
      </c>
    </row>
    <row r="60965" spans="8:8" x14ac:dyDescent="0.3">
      <c r="H60965" t="str">
        <f t="shared" si="1002"/>
        <v/>
      </c>
    </row>
    <row r="60966" spans="8:8" x14ac:dyDescent="0.3">
      <c r="H60966" t="str">
        <f t="shared" si="1002"/>
        <v/>
      </c>
    </row>
    <row r="60967" spans="8:8" x14ac:dyDescent="0.3">
      <c r="H60967" t="str">
        <f t="shared" si="1002"/>
        <v/>
      </c>
    </row>
    <row r="60968" spans="8:8" x14ac:dyDescent="0.3">
      <c r="H60968" t="str">
        <f t="shared" si="1002"/>
        <v/>
      </c>
    </row>
    <row r="60969" spans="8:8" x14ac:dyDescent="0.3">
      <c r="H60969" t="str">
        <f t="shared" si="1002"/>
        <v/>
      </c>
    </row>
    <row r="60970" spans="8:8" x14ac:dyDescent="0.3">
      <c r="H60970" t="str">
        <f t="shared" si="1002"/>
        <v/>
      </c>
    </row>
    <row r="60971" spans="8:8" x14ac:dyDescent="0.3">
      <c r="H60971" t="str">
        <f t="shared" si="1002"/>
        <v/>
      </c>
    </row>
    <row r="60972" spans="8:8" x14ac:dyDescent="0.3">
      <c r="H60972" t="str">
        <f t="shared" si="1002"/>
        <v/>
      </c>
    </row>
    <row r="60973" spans="8:8" x14ac:dyDescent="0.3">
      <c r="H60973" t="str">
        <f t="shared" si="1002"/>
        <v/>
      </c>
    </row>
    <row r="60974" spans="8:8" x14ac:dyDescent="0.3">
      <c r="H60974" t="str">
        <f t="shared" si="1002"/>
        <v/>
      </c>
    </row>
    <row r="60975" spans="8:8" x14ac:dyDescent="0.3">
      <c r="H60975" t="str">
        <f t="shared" si="1002"/>
        <v/>
      </c>
    </row>
    <row r="60976" spans="8:8" x14ac:dyDescent="0.3">
      <c r="H60976" t="str">
        <f t="shared" si="1002"/>
        <v/>
      </c>
    </row>
    <row r="60977" spans="8:8" x14ac:dyDescent="0.3">
      <c r="H60977" t="str">
        <f t="shared" si="1002"/>
        <v/>
      </c>
    </row>
    <row r="60978" spans="8:8" x14ac:dyDescent="0.3">
      <c r="H60978" t="str">
        <f t="shared" si="1002"/>
        <v/>
      </c>
    </row>
    <row r="60979" spans="8:8" x14ac:dyDescent="0.3">
      <c r="H60979" t="str">
        <f t="shared" si="1002"/>
        <v/>
      </c>
    </row>
    <row r="60980" spans="8:8" x14ac:dyDescent="0.3">
      <c r="H60980" t="str">
        <f t="shared" si="1002"/>
        <v/>
      </c>
    </row>
    <row r="60981" spans="8:8" x14ac:dyDescent="0.3">
      <c r="H60981" t="str">
        <f t="shared" si="1002"/>
        <v/>
      </c>
    </row>
    <row r="60982" spans="8:8" x14ac:dyDescent="0.3">
      <c r="H60982" t="str">
        <f t="shared" si="1002"/>
        <v/>
      </c>
    </row>
    <row r="60983" spans="8:8" x14ac:dyDescent="0.3">
      <c r="H60983" t="str">
        <f t="shared" si="1002"/>
        <v/>
      </c>
    </row>
    <row r="60984" spans="8:8" x14ac:dyDescent="0.3">
      <c r="H60984" t="str">
        <f t="shared" si="1002"/>
        <v/>
      </c>
    </row>
    <row r="60985" spans="8:8" x14ac:dyDescent="0.3">
      <c r="H60985" t="str">
        <f t="shared" si="1002"/>
        <v/>
      </c>
    </row>
    <row r="60986" spans="8:8" x14ac:dyDescent="0.3">
      <c r="H60986" t="str">
        <f t="shared" si="1002"/>
        <v/>
      </c>
    </row>
    <row r="60987" spans="8:8" x14ac:dyDescent="0.3">
      <c r="H60987" t="str">
        <f t="shared" si="1002"/>
        <v/>
      </c>
    </row>
    <row r="60988" spans="8:8" x14ac:dyDescent="0.3">
      <c r="H60988" t="str">
        <f t="shared" si="1002"/>
        <v/>
      </c>
    </row>
    <row r="60989" spans="8:8" x14ac:dyDescent="0.3">
      <c r="H60989" t="str">
        <f t="shared" si="1002"/>
        <v/>
      </c>
    </row>
    <row r="60990" spans="8:8" x14ac:dyDescent="0.3">
      <c r="H60990" t="str">
        <f t="shared" si="1002"/>
        <v/>
      </c>
    </row>
    <row r="60991" spans="8:8" x14ac:dyDescent="0.3">
      <c r="H60991" t="str">
        <f t="shared" si="1002"/>
        <v/>
      </c>
    </row>
    <row r="60992" spans="8:8" x14ac:dyDescent="0.3">
      <c r="H60992" t="str">
        <f t="shared" si="1002"/>
        <v/>
      </c>
    </row>
    <row r="60993" spans="8:8" x14ac:dyDescent="0.3">
      <c r="H60993" t="str">
        <f t="shared" si="1002"/>
        <v/>
      </c>
    </row>
    <row r="60994" spans="8:8" x14ac:dyDescent="0.3">
      <c r="H60994" t="str">
        <f t="shared" si="1002"/>
        <v/>
      </c>
    </row>
    <row r="60995" spans="8:8" x14ac:dyDescent="0.3">
      <c r="H60995" t="str">
        <f t="shared" si="1002"/>
        <v/>
      </c>
    </row>
    <row r="60996" spans="8:8" x14ac:dyDescent="0.3">
      <c r="H60996" t="str">
        <f t="shared" si="1002"/>
        <v/>
      </c>
    </row>
    <row r="60997" spans="8:8" x14ac:dyDescent="0.3">
      <c r="H60997" t="str">
        <f t="shared" si="1002"/>
        <v/>
      </c>
    </row>
    <row r="60998" spans="8:8" x14ac:dyDescent="0.3">
      <c r="H60998" t="str">
        <f t="shared" si="1002"/>
        <v/>
      </c>
    </row>
    <row r="60999" spans="8:8" x14ac:dyDescent="0.3">
      <c r="H60999" t="str">
        <f t="shared" si="1002"/>
        <v/>
      </c>
    </row>
    <row r="61000" spans="8:8" x14ac:dyDescent="0.3">
      <c r="H61000" t="str">
        <f t="shared" si="1002"/>
        <v/>
      </c>
    </row>
    <row r="61001" spans="8:8" x14ac:dyDescent="0.3">
      <c r="H61001" t="str">
        <f t="shared" si="1002"/>
        <v/>
      </c>
    </row>
    <row r="61002" spans="8:8" x14ac:dyDescent="0.3">
      <c r="H61002" t="str">
        <f t="shared" si="1002"/>
        <v/>
      </c>
    </row>
    <row r="61003" spans="8:8" x14ac:dyDescent="0.3">
      <c r="H61003" t="str">
        <f t="shared" si="1002"/>
        <v/>
      </c>
    </row>
    <row r="61004" spans="8:8" x14ac:dyDescent="0.3">
      <c r="H61004" t="str">
        <f t="shared" si="1002"/>
        <v/>
      </c>
    </row>
    <row r="61005" spans="8:8" x14ac:dyDescent="0.3">
      <c r="H61005" t="str">
        <f t="shared" si="1002"/>
        <v/>
      </c>
    </row>
    <row r="61006" spans="8:8" x14ac:dyDescent="0.3">
      <c r="H61006" t="str">
        <f t="shared" si="1002"/>
        <v/>
      </c>
    </row>
    <row r="61007" spans="8:8" x14ac:dyDescent="0.3">
      <c r="H61007" t="str">
        <f t="shared" si="1002"/>
        <v/>
      </c>
    </row>
    <row r="61008" spans="8:8" x14ac:dyDescent="0.3">
      <c r="H61008" t="str">
        <f t="shared" si="1002"/>
        <v/>
      </c>
    </row>
    <row r="61009" spans="8:8" x14ac:dyDescent="0.3">
      <c r="H61009" t="str">
        <f t="shared" si="1002"/>
        <v/>
      </c>
    </row>
    <row r="61010" spans="8:8" x14ac:dyDescent="0.3">
      <c r="H61010" t="str">
        <f t="shared" si="1002"/>
        <v/>
      </c>
    </row>
    <row r="61011" spans="8:8" x14ac:dyDescent="0.3">
      <c r="H61011" t="str">
        <f t="shared" si="1002"/>
        <v/>
      </c>
    </row>
    <row r="61012" spans="8:8" x14ac:dyDescent="0.3">
      <c r="H61012" t="str">
        <f t="shared" si="1002"/>
        <v/>
      </c>
    </row>
    <row r="61013" spans="8:8" x14ac:dyDescent="0.3">
      <c r="H61013" t="str">
        <f t="shared" si="1002"/>
        <v/>
      </c>
    </row>
    <row r="61014" spans="8:8" x14ac:dyDescent="0.3">
      <c r="H61014" t="str">
        <f t="shared" si="1002"/>
        <v/>
      </c>
    </row>
    <row r="61015" spans="8:8" x14ac:dyDescent="0.3">
      <c r="H61015" t="str">
        <f t="shared" ref="H61015:H61078" si="1003">IF(B61015="","",$C$12)</f>
        <v/>
      </c>
    </row>
    <row r="61016" spans="8:8" x14ac:dyDescent="0.3">
      <c r="H61016" t="str">
        <f t="shared" si="1003"/>
        <v/>
      </c>
    </row>
    <row r="61017" spans="8:8" x14ac:dyDescent="0.3">
      <c r="H61017" t="str">
        <f t="shared" si="1003"/>
        <v/>
      </c>
    </row>
    <row r="61018" spans="8:8" x14ac:dyDescent="0.3">
      <c r="H61018" t="str">
        <f t="shared" si="1003"/>
        <v/>
      </c>
    </row>
    <row r="61019" spans="8:8" x14ac:dyDescent="0.3">
      <c r="H61019" t="str">
        <f t="shared" si="1003"/>
        <v/>
      </c>
    </row>
    <row r="61020" spans="8:8" x14ac:dyDescent="0.3">
      <c r="H61020" t="str">
        <f t="shared" si="1003"/>
        <v/>
      </c>
    </row>
    <row r="61021" spans="8:8" x14ac:dyDescent="0.3">
      <c r="H61021" t="str">
        <f t="shared" si="1003"/>
        <v/>
      </c>
    </row>
    <row r="61022" spans="8:8" x14ac:dyDescent="0.3">
      <c r="H61022" t="str">
        <f t="shared" si="1003"/>
        <v/>
      </c>
    </row>
    <row r="61023" spans="8:8" x14ac:dyDescent="0.3">
      <c r="H61023" t="str">
        <f t="shared" si="1003"/>
        <v/>
      </c>
    </row>
    <row r="61024" spans="8:8" x14ac:dyDescent="0.3">
      <c r="H61024" t="str">
        <f t="shared" si="1003"/>
        <v/>
      </c>
    </row>
    <row r="61025" spans="8:8" x14ac:dyDescent="0.3">
      <c r="H61025" t="str">
        <f t="shared" si="1003"/>
        <v/>
      </c>
    </row>
    <row r="61026" spans="8:8" x14ac:dyDescent="0.3">
      <c r="H61026" t="str">
        <f t="shared" si="1003"/>
        <v/>
      </c>
    </row>
    <row r="61027" spans="8:8" x14ac:dyDescent="0.3">
      <c r="H61027" t="str">
        <f t="shared" si="1003"/>
        <v/>
      </c>
    </row>
    <row r="61028" spans="8:8" x14ac:dyDescent="0.3">
      <c r="H61028" t="str">
        <f t="shared" si="1003"/>
        <v/>
      </c>
    </row>
    <row r="61029" spans="8:8" x14ac:dyDescent="0.3">
      <c r="H61029" t="str">
        <f t="shared" si="1003"/>
        <v/>
      </c>
    </row>
    <row r="61030" spans="8:8" x14ac:dyDescent="0.3">
      <c r="H61030" t="str">
        <f t="shared" si="1003"/>
        <v/>
      </c>
    </row>
    <row r="61031" spans="8:8" x14ac:dyDescent="0.3">
      <c r="H61031" t="str">
        <f t="shared" si="1003"/>
        <v/>
      </c>
    </row>
    <row r="61032" spans="8:8" x14ac:dyDescent="0.3">
      <c r="H61032" t="str">
        <f t="shared" si="1003"/>
        <v/>
      </c>
    </row>
    <row r="61033" spans="8:8" x14ac:dyDescent="0.3">
      <c r="H61033" t="str">
        <f t="shared" si="1003"/>
        <v/>
      </c>
    </row>
    <row r="61034" spans="8:8" x14ac:dyDescent="0.3">
      <c r="H61034" t="str">
        <f t="shared" si="1003"/>
        <v/>
      </c>
    </row>
    <row r="61035" spans="8:8" x14ac:dyDescent="0.3">
      <c r="H61035" t="str">
        <f t="shared" si="1003"/>
        <v/>
      </c>
    </row>
    <row r="61036" spans="8:8" x14ac:dyDescent="0.3">
      <c r="H61036" t="str">
        <f t="shared" si="1003"/>
        <v/>
      </c>
    </row>
    <row r="61037" spans="8:8" x14ac:dyDescent="0.3">
      <c r="H61037" t="str">
        <f t="shared" si="1003"/>
        <v/>
      </c>
    </row>
    <row r="61038" spans="8:8" x14ac:dyDescent="0.3">
      <c r="H61038" t="str">
        <f t="shared" si="1003"/>
        <v/>
      </c>
    </row>
    <row r="61039" spans="8:8" x14ac:dyDescent="0.3">
      <c r="H61039" t="str">
        <f t="shared" si="1003"/>
        <v/>
      </c>
    </row>
    <row r="61040" spans="8:8" x14ac:dyDescent="0.3">
      <c r="H61040" t="str">
        <f t="shared" si="1003"/>
        <v/>
      </c>
    </row>
    <row r="61041" spans="8:8" x14ac:dyDescent="0.3">
      <c r="H61041" t="str">
        <f t="shared" si="1003"/>
        <v/>
      </c>
    </row>
    <row r="61042" spans="8:8" x14ac:dyDescent="0.3">
      <c r="H61042" t="str">
        <f t="shared" si="1003"/>
        <v/>
      </c>
    </row>
    <row r="61043" spans="8:8" x14ac:dyDescent="0.3">
      <c r="H61043" t="str">
        <f t="shared" si="1003"/>
        <v/>
      </c>
    </row>
    <row r="61044" spans="8:8" x14ac:dyDescent="0.3">
      <c r="H61044" t="str">
        <f t="shared" si="1003"/>
        <v/>
      </c>
    </row>
    <row r="61045" spans="8:8" x14ac:dyDescent="0.3">
      <c r="H61045" t="str">
        <f t="shared" si="1003"/>
        <v/>
      </c>
    </row>
    <row r="61046" spans="8:8" x14ac:dyDescent="0.3">
      <c r="H61046" t="str">
        <f t="shared" si="1003"/>
        <v/>
      </c>
    </row>
    <row r="61047" spans="8:8" x14ac:dyDescent="0.3">
      <c r="H61047" t="str">
        <f t="shared" si="1003"/>
        <v/>
      </c>
    </row>
    <row r="61048" spans="8:8" x14ac:dyDescent="0.3">
      <c r="H61048" t="str">
        <f t="shared" si="1003"/>
        <v/>
      </c>
    </row>
    <row r="61049" spans="8:8" x14ac:dyDescent="0.3">
      <c r="H61049" t="str">
        <f t="shared" si="1003"/>
        <v/>
      </c>
    </row>
    <row r="61050" spans="8:8" x14ac:dyDescent="0.3">
      <c r="H61050" t="str">
        <f t="shared" si="1003"/>
        <v/>
      </c>
    </row>
    <row r="61051" spans="8:8" x14ac:dyDescent="0.3">
      <c r="H61051" t="str">
        <f t="shared" si="1003"/>
        <v/>
      </c>
    </row>
    <row r="61052" spans="8:8" x14ac:dyDescent="0.3">
      <c r="H61052" t="str">
        <f t="shared" si="1003"/>
        <v/>
      </c>
    </row>
    <row r="61053" spans="8:8" x14ac:dyDescent="0.3">
      <c r="H61053" t="str">
        <f t="shared" si="1003"/>
        <v/>
      </c>
    </row>
    <row r="61054" spans="8:8" x14ac:dyDescent="0.3">
      <c r="H61054" t="str">
        <f t="shared" si="1003"/>
        <v/>
      </c>
    </row>
    <row r="61055" spans="8:8" x14ac:dyDescent="0.3">
      <c r="H61055" t="str">
        <f t="shared" si="1003"/>
        <v/>
      </c>
    </row>
    <row r="61056" spans="8:8" x14ac:dyDescent="0.3">
      <c r="H61056" t="str">
        <f t="shared" si="1003"/>
        <v/>
      </c>
    </row>
    <row r="61057" spans="8:8" x14ac:dyDescent="0.3">
      <c r="H61057" t="str">
        <f t="shared" si="1003"/>
        <v/>
      </c>
    </row>
    <row r="61058" spans="8:8" x14ac:dyDescent="0.3">
      <c r="H61058" t="str">
        <f t="shared" si="1003"/>
        <v/>
      </c>
    </row>
    <row r="61059" spans="8:8" x14ac:dyDescent="0.3">
      <c r="H61059" t="str">
        <f t="shared" si="1003"/>
        <v/>
      </c>
    </row>
    <row r="61060" spans="8:8" x14ac:dyDescent="0.3">
      <c r="H61060" t="str">
        <f t="shared" si="1003"/>
        <v/>
      </c>
    </row>
    <row r="61061" spans="8:8" x14ac:dyDescent="0.3">
      <c r="H61061" t="str">
        <f t="shared" si="1003"/>
        <v/>
      </c>
    </row>
    <row r="61062" spans="8:8" x14ac:dyDescent="0.3">
      <c r="H61062" t="str">
        <f t="shared" si="1003"/>
        <v/>
      </c>
    </row>
    <row r="61063" spans="8:8" x14ac:dyDescent="0.3">
      <c r="H61063" t="str">
        <f t="shared" si="1003"/>
        <v/>
      </c>
    </row>
    <row r="61064" spans="8:8" x14ac:dyDescent="0.3">
      <c r="H61064" t="str">
        <f t="shared" si="1003"/>
        <v/>
      </c>
    </row>
    <row r="61065" spans="8:8" x14ac:dyDescent="0.3">
      <c r="H61065" t="str">
        <f t="shared" si="1003"/>
        <v/>
      </c>
    </row>
    <row r="61066" spans="8:8" x14ac:dyDescent="0.3">
      <c r="H61066" t="str">
        <f t="shared" si="1003"/>
        <v/>
      </c>
    </row>
    <row r="61067" spans="8:8" x14ac:dyDescent="0.3">
      <c r="H61067" t="str">
        <f t="shared" si="1003"/>
        <v/>
      </c>
    </row>
    <row r="61068" spans="8:8" x14ac:dyDescent="0.3">
      <c r="H61068" t="str">
        <f t="shared" si="1003"/>
        <v/>
      </c>
    </row>
    <row r="61069" spans="8:8" x14ac:dyDescent="0.3">
      <c r="H61069" t="str">
        <f t="shared" si="1003"/>
        <v/>
      </c>
    </row>
    <row r="61070" spans="8:8" x14ac:dyDescent="0.3">
      <c r="H61070" t="str">
        <f t="shared" si="1003"/>
        <v/>
      </c>
    </row>
    <row r="61071" spans="8:8" x14ac:dyDescent="0.3">
      <c r="H61071" t="str">
        <f t="shared" si="1003"/>
        <v/>
      </c>
    </row>
    <row r="61072" spans="8:8" x14ac:dyDescent="0.3">
      <c r="H61072" t="str">
        <f t="shared" si="1003"/>
        <v/>
      </c>
    </row>
    <row r="61073" spans="8:8" x14ac:dyDescent="0.3">
      <c r="H61073" t="str">
        <f t="shared" si="1003"/>
        <v/>
      </c>
    </row>
    <row r="61074" spans="8:8" x14ac:dyDescent="0.3">
      <c r="H61074" t="str">
        <f t="shared" si="1003"/>
        <v/>
      </c>
    </row>
    <row r="61075" spans="8:8" x14ac:dyDescent="0.3">
      <c r="H61075" t="str">
        <f t="shared" si="1003"/>
        <v/>
      </c>
    </row>
    <row r="61076" spans="8:8" x14ac:dyDescent="0.3">
      <c r="H61076" t="str">
        <f t="shared" si="1003"/>
        <v/>
      </c>
    </row>
    <row r="61077" spans="8:8" x14ac:dyDescent="0.3">
      <c r="H61077" t="str">
        <f t="shared" si="1003"/>
        <v/>
      </c>
    </row>
    <row r="61078" spans="8:8" x14ac:dyDescent="0.3">
      <c r="H61078" t="str">
        <f t="shared" si="1003"/>
        <v/>
      </c>
    </row>
    <row r="61079" spans="8:8" x14ac:dyDescent="0.3">
      <c r="H61079" t="str">
        <f t="shared" ref="H61079:H61142" si="1004">IF(B61079="","",$C$12)</f>
        <v/>
      </c>
    </row>
    <row r="61080" spans="8:8" x14ac:dyDescent="0.3">
      <c r="H61080" t="str">
        <f t="shared" si="1004"/>
        <v/>
      </c>
    </row>
    <row r="61081" spans="8:8" x14ac:dyDescent="0.3">
      <c r="H61081" t="str">
        <f t="shared" si="1004"/>
        <v/>
      </c>
    </row>
    <row r="61082" spans="8:8" x14ac:dyDescent="0.3">
      <c r="H61082" t="str">
        <f t="shared" si="1004"/>
        <v/>
      </c>
    </row>
    <row r="61083" spans="8:8" x14ac:dyDescent="0.3">
      <c r="H61083" t="str">
        <f t="shared" si="1004"/>
        <v/>
      </c>
    </row>
    <row r="61084" spans="8:8" x14ac:dyDescent="0.3">
      <c r="H61084" t="str">
        <f t="shared" si="1004"/>
        <v/>
      </c>
    </row>
    <row r="61085" spans="8:8" x14ac:dyDescent="0.3">
      <c r="H61085" t="str">
        <f t="shared" si="1004"/>
        <v/>
      </c>
    </row>
    <row r="61086" spans="8:8" x14ac:dyDescent="0.3">
      <c r="H61086" t="str">
        <f t="shared" si="1004"/>
        <v/>
      </c>
    </row>
    <row r="61087" spans="8:8" x14ac:dyDescent="0.3">
      <c r="H61087" t="str">
        <f t="shared" si="1004"/>
        <v/>
      </c>
    </row>
    <row r="61088" spans="8:8" x14ac:dyDescent="0.3">
      <c r="H61088" t="str">
        <f t="shared" si="1004"/>
        <v/>
      </c>
    </row>
    <row r="61089" spans="8:8" x14ac:dyDescent="0.3">
      <c r="H61089" t="str">
        <f t="shared" si="1004"/>
        <v/>
      </c>
    </row>
    <row r="61090" spans="8:8" x14ac:dyDescent="0.3">
      <c r="H61090" t="str">
        <f t="shared" si="1004"/>
        <v/>
      </c>
    </row>
    <row r="61091" spans="8:8" x14ac:dyDescent="0.3">
      <c r="H61091" t="str">
        <f t="shared" si="1004"/>
        <v/>
      </c>
    </row>
    <row r="61092" spans="8:8" x14ac:dyDescent="0.3">
      <c r="H61092" t="str">
        <f t="shared" si="1004"/>
        <v/>
      </c>
    </row>
    <row r="61093" spans="8:8" x14ac:dyDescent="0.3">
      <c r="H61093" t="str">
        <f t="shared" si="1004"/>
        <v/>
      </c>
    </row>
    <row r="61094" spans="8:8" x14ac:dyDescent="0.3">
      <c r="H61094" t="str">
        <f t="shared" si="1004"/>
        <v/>
      </c>
    </row>
    <row r="61095" spans="8:8" x14ac:dyDescent="0.3">
      <c r="H61095" t="str">
        <f t="shared" si="1004"/>
        <v/>
      </c>
    </row>
    <row r="61096" spans="8:8" x14ac:dyDescent="0.3">
      <c r="H61096" t="str">
        <f t="shared" si="1004"/>
        <v/>
      </c>
    </row>
    <row r="61097" spans="8:8" x14ac:dyDescent="0.3">
      <c r="H61097" t="str">
        <f t="shared" si="1004"/>
        <v/>
      </c>
    </row>
    <row r="61098" spans="8:8" x14ac:dyDescent="0.3">
      <c r="H61098" t="str">
        <f t="shared" si="1004"/>
        <v/>
      </c>
    </row>
    <row r="61099" spans="8:8" x14ac:dyDescent="0.3">
      <c r="H61099" t="str">
        <f t="shared" si="1004"/>
        <v/>
      </c>
    </row>
    <row r="61100" spans="8:8" x14ac:dyDescent="0.3">
      <c r="H61100" t="str">
        <f t="shared" si="1004"/>
        <v/>
      </c>
    </row>
    <row r="61101" spans="8:8" x14ac:dyDescent="0.3">
      <c r="H61101" t="str">
        <f t="shared" si="1004"/>
        <v/>
      </c>
    </row>
    <row r="61102" spans="8:8" x14ac:dyDescent="0.3">
      <c r="H61102" t="str">
        <f t="shared" si="1004"/>
        <v/>
      </c>
    </row>
    <row r="61103" spans="8:8" x14ac:dyDescent="0.3">
      <c r="H61103" t="str">
        <f t="shared" si="1004"/>
        <v/>
      </c>
    </row>
    <row r="61104" spans="8:8" x14ac:dyDescent="0.3">
      <c r="H61104" t="str">
        <f t="shared" si="1004"/>
        <v/>
      </c>
    </row>
    <row r="61105" spans="8:8" x14ac:dyDescent="0.3">
      <c r="H61105" t="str">
        <f t="shared" si="1004"/>
        <v/>
      </c>
    </row>
    <row r="61106" spans="8:8" x14ac:dyDescent="0.3">
      <c r="H61106" t="str">
        <f t="shared" si="1004"/>
        <v/>
      </c>
    </row>
    <row r="61107" spans="8:8" x14ac:dyDescent="0.3">
      <c r="H61107" t="str">
        <f t="shared" si="1004"/>
        <v/>
      </c>
    </row>
    <row r="61108" spans="8:8" x14ac:dyDescent="0.3">
      <c r="H61108" t="str">
        <f t="shared" si="1004"/>
        <v/>
      </c>
    </row>
    <row r="61109" spans="8:8" x14ac:dyDescent="0.3">
      <c r="H61109" t="str">
        <f t="shared" si="1004"/>
        <v/>
      </c>
    </row>
    <row r="61110" spans="8:8" x14ac:dyDescent="0.3">
      <c r="H61110" t="str">
        <f t="shared" si="1004"/>
        <v/>
      </c>
    </row>
    <row r="61111" spans="8:8" x14ac:dyDescent="0.3">
      <c r="H61111" t="str">
        <f t="shared" si="1004"/>
        <v/>
      </c>
    </row>
    <row r="61112" spans="8:8" x14ac:dyDescent="0.3">
      <c r="H61112" t="str">
        <f t="shared" si="1004"/>
        <v/>
      </c>
    </row>
    <row r="61113" spans="8:8" x14ac:dyDescent="0.3">
      <c r="H61113" t="str">
        <f t="shared" si="1004"/>
        <v/>
      </c>
    </row>
    <row r="61114" spans="8:8" x14ac:dyDescent="0.3">
      <c r="H61114" t="str">
        <f t="shared" si="1004"/>
        <v/>
      </c>
    </row>
    <row r="61115" spans="8:8" x14ac:dyDescent="0.3">
      <c r="H61115" t="str">
        <f t="shared" si="1004"/>
        <v/>
      </c>
    </row>
    <row r="61116" spans="8:8" x14ac:dyDescent="0.3">
      <c r="H61116" t="str">
        <f t="shared" si="1004"/>
        <v/>
      </c>
    </row>
    <row r="61117" spans="8:8" x14ac:dyDescent="0.3">
      <c r="H61117" t="str">
        <f t="shared" si="1004"/>
        <v/>
      </c>
    </row>
    <row r="61118" spans="8:8" x14ac:dyDescent="0.3">
      <c r="H61118" t="str">
        <f t="shared" si="1004"/>
        <v/>
      </c>
    </row>
    <row r="61119" spans="8:8" x14ac:dyDescent="0.3">
      <c r="H61119" t="str">
        <f t="shared" si="1004"/>
        <v/>
      </c>
    </row>
    <row r="61120" spans="8:8" x14ac:dyDescent="0.3">
      <c r="H61120" t="str">
        <f t="shared" si="1004"/>
        <v/>
      </c>
    </row>
    <row r="61121" spans="8:8" x14ac:dyDescent="0.3">
      <c r="H61121" t="str">
        <f t="shared" si="1004"/>
        <v/>
      </c>
    </row>
    <row r="61122" spans="8:8" x14ac:dyDescent="0.3">
      <c r="H61122" t="str">
        <f t="shared" si="1004"/>
        <v/>
      </c>
    </row>
    <row r="61123" spans="8:8" x14ac:dyDescent="0.3">
      <c r="H61123" t="str">
        <f t="shared" si="1004"/>
        <v/>
      </c>
    </row>
    <row r="61124" spans="8:8" x14ac:dyDescent="0.3">
      <c r="H61124" t="str">
        <f t="shared" si="1004"/>
        <v/>
      </c>
    </row>
    <row r="61125" spans="8:8" x14ac:dyDescent="0.3">
      <c r="H61125" t="str">
        <f t="shared" si="1004"/>
        <v/>
      </c>
    </row>
    <row r="61126" spans="8:8" x14ac:dyDescent="0.3">
      <c r="H61126" t="str">
        <f t="shared" si="1004"/>
        <v/>
      </c>
    </row>
    <row r="61127" spans="8:8" x14ac:dyDescent="0.3">
      <c r="H61127" t="str">
        <f t="shared" si="1004"/>
        <v/>
      </c>
    </row>
    <row r="61128" spans="8:8" x14ac:dyDescent="0.3">
      <c r="H61128" t="str">
        <f t="shared" si="1004"/>
        <v/>
      </c>
    </row>
    <row r="61129" spans="8:8" x14ac:dyDescent="0.3">
      <c r="H61129" t="str">
        <f t="shared" si="1004"/>
        <v/>
      </c>
    </row>
    <row r="61130" spans="8:8" x14ac:dyDescent="0.3">
      <c r="H61130" t="str">
        <f t="shared" si="1004"/>
        <v/>
      </c>
    </row>
    <row r="61131" spans="8:8" x14ac:dyDescent="0.3">
      <c r="H61131" t="str">
        <f t="shared" si="1004"/>
        <v/>
      </c>
    </row>
    <row r="61132" spans="8:8" x14ac:dyDescent="0.3">
      <c r="H61132" t="str">
        <f t="shared" si="1004"/>
        <v/>
      </c>
    </row>
    <row r="61133" spans="8:8" x14ac:dyDescent="0.3">
      <c r="H61133" t="str">
        <f t="shared" si="1004"/>
        <v/>
      </c>
    </row>
    <row r="61134" spans="8:8" x14ac:dyDescent="0.3">
      <c r="H61134" t="str">
        <f t="shared" si="1004"/>
        <v/>
      </c>
    </row>
    <row r="61135" spans="8:8" x14ac:dyDescent="0.3">
      <c r="H61135" t="str">
        <f t="shared" si="1004"/>
        <v/>
      </c>
    </row>
    <row r="61136" spans="8:8" x14ac:dyDescent="0.3">
      <c r="H61136" t="str">
        <f t="shared" si="1004"/>
        <v/>
      </c>
    </row>
    <row r="61137" spans="8:8" x14ac:dyDescent="0.3">
      <c r="H61137" t="str">
        <f t="shared" si="1004"/>
        <v/>
      </c>
    </row>
    <row r="61138" spans="8:8" x14ac:dyDescent="0.3">
      <c r="H61138" t="str">
        <f t="shared" si="1004"/>
        <v/>
      </c>
    </row>
    <row r="61139" spans="8:8" x14ac:dyDescent="0.3">
      <c r="H61139" t="str">
        <f t="shared" si="1004"/>
        <v/>
      </c>
    </row>
    <row r="61140" spans="8:8" x14ac:dyDescent="0.3">
      <c r="H61140" t="str">
        <f t="shared" si="1004"/>
        <v/>
      </c>
    </row>
    <row r="61141" spans="8:8" x14ac:dyDescent="0.3">
      <c r="H61141" t="str">
        <f t="shared" si="1004"/>
        <v/>
      </c>
    </row>
    <row r="61142" spans="8:8" x14ac:dyDescent="0.3">
      <c r="H61142" t="str">
        <f t="shared" si="1004"/>
        <v/>
      </c>
    </row>
    <row r="61143" spans="8:8" x14ac:dyDescent="0.3">
      <c r="H61143" t="str">
        <f t="shared" ref="H61143:H61206" si="1005">IF(B61143="","",$C$12)</f>
        <v/>
      </c>
    </row>
    <row r="61144" spans="8:8" x14ac:dyDescent="0.3">
      <c r="H61144" t="str">
        <f t="shared" si="1005"/>
        <v/>
      </c>
    </row>
    <row r="61145" spans="8:8" x14ac:dyDescent="0.3">
      <c r="H61145" t="str">
        <f t="shared" si="1005"/>
        <v/>
      </c>
    </row>
    <row r="61146" spans="8:8" x14ac:dyDescent="0.3">
      <c r="H61146" t="str">
        <f t="shared" si="1005"/>
        <v/>
      </c>
    </row>
    <row r="61147" spans="8:8" x14ac:dyDescent="0.3">
      <c r="H61147" t="str">
        <f t="shared" si="1005"/>
        <v/>
      </c>
    </row>
    <row r="61148" spans="8:8" x14ac:dyDescent="0.3">
      <c r="H61148" t="str">
        <f t="shared" si="1005"/>
        <v/>
      </c>
    </row>
    <row r="61149" spans="8:8" x14ac:dyDescent="0.3">
      <c r="H61149" t="str">
        <f t="shared" si="1005"/>
        <v/>
      </c>
    </row>
    <row r="61150" spans="8:8" x14ac:dyDescent="0.3">
      <c r="H61150" t="str">
        <f t="shared" si="1005"/>
        <v/>
      </c>
    </row>
    <row r="61151" spans="8:8" x14ac:dyDescent="0.3">
      <c r="H61151" t="str">
        <f t="shared" si="1005"/>
        <v/>
      </c>
    </row>
    <row r="61152" spans="8:8" x14ac:dyDescent="0.3">
      <c r="H61152" t="str">
        <f t="shared" si="1005"/>
        <v/>
      </c>
    </row>
    <row r="61153" spans="8:8" x14ac:dyDescent="0.3">
      <c r="H61153" t="str">
        <f t="shared" si="1005"/>
        <v/>
      </c>
    </row>
    <row r="61154" spans="8:8" x14ac:dyDescent="0.3">
      <c r="H61154" t="str">
        <f t="shared" si="1005"/>
        <v/>
      </c>
    </row>
    <row r="61155" spans="8:8" x14ac:dyDescent="0.3">
      <c r="H61155" t="str">
        <f t="shared" si="1005"/>
        <v/>
      </c>
    </row>
    <row r="61156" spans="8:8" x14ac:dyDescent="0.3">
      <c r="H61156" t="str">
        <f t="shared" si="1005"/>
        <v/>
      </c>
    </row>
    <row r="61157" spans="8:8" x14ac:dyDescent="0.3">
      <c r="H61157" t="str">
        <f t="shared" si="1005"/>
        <v/>
      </c>
    </row>
    <row r="61158" spans="8:8" x14ac:dyDescent="0.3">
      <c r="H61158" t="str">
        <f t="shared" si="1005"/>
        <v/>
      </c>
    </row>
    <row r="61159" spans="8:8" x14ac:dyDescent="0.3">
      <c r="H61159" t="str">
        <f t="shared" si="1005"/>
        <v/>
      </c>
    </row>
    <row r="61160" spans="8:8" x14ac:dyDescent="0.3">
      <c r="H61160" t="str">
        <f t="shared" si="1005"/>
        <v/>
      </c>
    </row>
    <row r="61161" spans="8:8" x14ac:dyDescent="0.3">
      <c r="H61161" t="str">
        <f t="shared" si="1005"/>
        <v/>
      </c>
    </row>
    <row r="61162" spans="8:8" x14ac:dyDescent="0.3">
      <c r="H61162" t="str">
        <f t="shared" si="1005"/>
        <v/>
      </c>
    </row>
    <row r="61163" spans="8:8" x14ac:dyDescent="0.3">
      <c r="H61163" t="str">
        <f t="shared" si="1005"/>
        <v/>
      </c>
    </row>
    <row r="61164" spans="8:8" x14ac:dyDescent="0.3">
      <c r="H61164" t="str">
        <f t="shared" si="1005"/>
        <v/>
      </c>
    </row>
    <row r="61165" spans="8:8" x14ac:dyDescent="0.3">
      <c r="H61165" t="str">
        <f t="shared" si="1005"/>
        <v/>
      </c>
    </row>
    <row r="61166" spans="8:8" x14ac:dyDescent="0.3">
      <c r="H61166" t="str">
        <f t="shared" si="1005"/>
        <v/>
      </c>
    </row>
    <row r="61167" spans="8:8" x14ac:dyDescent="0.3">
      <c r="H61167" t="str">
        <f t="shared" si="1005"/>
        <v/>
      </c>
    </row>
    <row r="61168" spans="8:8" x14ac:dyDescent="0.3">
      <c r="H61168" t="str">
        <f t="shared" si="1005"/>
        <v/>
      </c>
    </row>
    <row r="61169" spans="8:8" x14ac:dyDescent="0.3">
      <c r="H61169" t="str">
        <f t="shared" si="1005"/>
        <v/>
      </c>
    </row>
    <row r="61170" spans="8:8" x14ac:dyDescent="0.3">
      <c r="H61170" t="str">
        <f t="shared" si="1005"/>
        <v/>
      </c>
    </row>
    <row r="61171" spans="8:8" x14ac:dyDescent="0.3">
      <c r="H61171" t="str">
        <f t="shared" si="1005"/>
        <v/>
      </c>
    </row>
    <row r="61172" spans="8:8" x14ac:dyDescent="0.3">
      <c r="H61172" t="str">
        <f t="shared" si="1005"/>
        <v/>
      </c>
    </row>
    <row r="61173" spans="8:8" x14ac:dyDescent="0.3">
      <c r="H61173" t="str">
        <f t="shared" si="1005"/>
        <v/>
      </c>
    </row>
    <row r="61174" spans="8:8" x14ac:dyDescent="0.3">
      <c r="H61174" t="str">
        <f t="shared" si="1005"/>
        <v/>
      </c>
    </row>
    <row r="61175" spans="8:8" x14ac:dyDescent="0.3">
      <c r="H61175" t="str">
        <f t="shared" si="1005"/>
        <v/>
      </c>
    </row>
    <row r="61176" spans="8:8" x14ac:dyDescent="0.3">
      <c r="H61176" t="str">
        <f t="shared" si="1005"/>
        <v/>
      </c>
    </row>
    <row r="61177" spans="8:8" x14ac:dyDescent="0.3">
      <c r="H61177" t="str">
        <f t="shared" si="1005"/>
        <v/>
      </c>
    </row>
    <row r="61178" spans="8:8" x14ac:dyDescent="0.3">
      <c r="H61178" t="str">
        <f t="shared" si="1005"/>
        <v/>
      </c>
    </row>
    <row r="61179" spans="8:8" x14ac:dyDescent="0.3">
      <c r="H61179" t="str">
        <f t="shared" si="1005"/>
        <v/>
      </c>
    </row>
    <row r="61180" spans="8:8" x14ac:dyDescent="0.3">
      <c r="H61180" t="str">
        <f t="shared" si="1005"/>
        <v/>
      </c>
    </row>
    <row r="61181" spans="8:8" x14ac:dyDescent="0.3">
      <c r="H61181" t="str">
        <f t="shared" si="1005"/>
        <v/>
      </c>
    </row>
    <row r="61182" spans="8:8" x14ac:dyDescent="0.3">
      <c r="H61182" t="str">
        <f t="shared" si="1005"/>
        <v/>
      </c>
    </row>
    <row r="61183" spans="8:8" x14ac:dyDescent="0.3">
      <c r="H61183" t="str">
        <f t="shared" si="1005"/>
        <v/>
      </c>
    </row>
    <row r="61184" spans="8:8" x14ac:dyDescent="0.3">
      <c r="H61184" t="str">
        <f t="shared" si="1005"/>
        <v/>
      </c>
    </row>
    <row r="61185" spans="8:8" x14ac:dyDescent="0.3">
      <c r="H61185" t="str">
        <f t="shared" si="1005"/>
        <v/>
      </c>
    </row>
    <row r="61186" spans="8:8" x14ac:dyDescent="0.3">
      <c r="H61186" t="str">
        <f t="shared" si="1005"/>
        <v/>
      </c>
    </row>
    <row r="61187" spans="8:8" x14ac:dyDescent="0.3">
      <c r="H61187" t="str">
        <f t="shared" si="1005"/>
        <v/>
      </c>
    </row>
    <row r="61188" spans="8:8" x14ac:dyDescent="0.3">
      <c r="H61188" t="str">
        <f t="shared" si="1005"/>
        <v/>
      </c>
    </row>
    <row r="61189" spans="8:8" x14ac:dyDescent="0.3">
      <c r="H61189" t="str">
        <f t="shared" si="1005"/>
        <v/>
      </c>
    </row>
    <row r="61190" spans="8:8" x14ac:dyDescent="0.3">
      <c r="H61190" t="str">
        <f t="shared" si="1005"/>
        <v/>
      </c>
    </row>
    <row r="61191" spans="8:8" x14ac:dyDescent="0.3">
      <c r="H61191" t="str">
        <f t="shared" si="1005"/>
        <v/>
      </c>
    </row>
    <row r="61192" spans="8:8" x14ac:dyDescent="0.3">
      <c r="H61192" t="str">
        <f t="shared" si="1005"/>
        <v/>
      </c>
    </row>
    <row r="61193" spans="8:8" x14ac:dyDescent="0.3">
      <c r="H61193" t="str">
        <f t="shared" si="1005"/>
        <v/>
      </c>
    </row>
    <row r="61194" spans="8:8" x14ac:dyDescent="0.3">
      <c r="H61194" t="str">
        <f t="shared" si="1005"/>
        <v/>
      </c>
    </row>
    <row r="61195" spans="8:8" x14ac:dyDescent="0.3">
      <c r="H61195" t="str">
        <f t="shared" si="1005"/>
        <v/>
      </c>
    </row>
    <row r="61196" spans="8:8" x14ac:dyDescent="0.3">
      <c r="H61196" t="str">
        <f t="shared" si="1005"/>
        <v/>
      </c>
    </row>
    <row r="61197" spans="8:8" x14ac:dyDescent="0.3">
      <c r="H61197" t="str">
        <f t="shared" si="1005"/>
        <v/>
      </c>
    </row>
    <row r="61198" spans="8:8" x14ac:dyDescent="0.3">
      <c r="H61198" t="str">
        <f t="shared" si="1005"/>
        <v/>
      </c>
    </row>
    <row r="61199" spans="8:8" x14ac:dyDescent="0.3">
      <c r="H61199" t="str">
        <f t="shared" si="1005"/>
        <v/>
      </c>
    </row>
    <row r="61200" spans="8:8" x14ac:dyDescent="0.3">
      <c r="H61200" t="str">
        <f t="shared" si="1005"/>
        <v/>
      </c>
    </row>
    <row r="61201" spans="8:8" x14ac:dyDescent="0.3">
      <c r="H61201" t="str">
        <f t="shared" si="1005"/>
        <v/>
      </c>
    </row>
    <row r="61202" spans="8:8" x14ac:dyDescent="0.3">
      <c r="H61202" t="str">
        <f t="shared" si="1005"/>
        <v/>
      </c>
    </row>
    <row r="61203" spans="8:8" x14ac:dyDescent="0.3">
      <c r="H61203" t="str">
        <f t="shared" si="1005"/>
        <v/>
      </c>
    </row>
    <row r="61204" spans="8:8" x14ac:dyDescent="0.3">
      <c r="H61204" t="str">
        <f t="shared" si="1005"/>
        <v/>
      </c>
    </row>
    <row r="61205" spans="8:8" x14ac:dyDescent="0.3">
      <c r="H61205" t="str">
        <f t="shared" si="1005"/>
        <v/>
      </c>
    </row>
    <row r="61206" spans="8:8" x14ac:dyDescent="0.3">
      <c r="H61206" t="str">
        <f t="shared" si="1005"/>
        <v/>
      </c>
    </row>
    <row r="61207" spans="8:8" x14ac:dyDescent="0.3">
      <c r="H61207" t="str">
        <f t="shared" ref="H61207:H61270" si="1006">IF(B61207="","",$C$12)</f>
        <v/>
      </c>
    </row>
    <row r="61208" spans="8:8" x14ac:dyDescent="0.3">
      <c r="H61208" t="str">
        <f t="shared" si="1006"/>
        <v/>
      </c>
    </row>
    <row r="61209" spans="8:8" x14ac:dyDescent="0.3">
      <c r="H61209" t="str">
        <f t="shared" si="1006"/>
        <v/>
      </c>
    </row>
    <row r="61210" spans="8:8" x14ac:dyDescent="0.3">
      <c r="H61210" t="str">
        <f t="shared" si="1006"/>
        <v/>
      </c>
    </row>
    <row r="61211" spans="8:8" x14ac:dyDescent="0.3">
      <c r="H61211" t="str">
        <f t="shared" si="1006"/>
        <v/>
      </c>
    </row>
    <row r="61212" spans="8:8" x14ac:dyDescent="0.3">
      <c r="H61212" t="str">
        <f t="shared" si="1006"/>
        <v/>
      </c>
    </row>
    <row r="61213" spans="8:8" x14ac:dyDescent="0.3">
      <c r="H61213" t="str">
        <f t="shared" si="1006"/>
        <v/>
      </c>
    </row>
    <row r="61214" spans="8:8" x14ac:dyDescent="0.3">
      <c r="H61214" t="str">
        <f t="shared" si="1006"/>
        <v/>
      </c>
    </row>
    <row r="61215" spans="8:8" x14ac:dyDescent="0.3">
      <c r="H61215" t="str">
        <f t="shared" si="1006"/>
        <v/>
      </c>
    </row>
    <row r="61216" spans="8:8" x14ac:dyDescent="0.3">
      <c r="H61216" t="str">
        <f t="shared" si="1006"/>
        <v/>
      </c>
    </row>
    <row r="61217" spans="8:8" x14ac:dyDescent="0.3">
      <c r="H61217" t="str">
        <f t="shared" si="1006"/>
        <v/>
      </c>
    </row>
    <row r="61218" spans="8:8" x14ac:dyDescent="0.3">
      <c r="H61218" t="str">
        <f t="shared" si="1006"/>
        <v/>
      </c>
    </row>
    <row r="61219" spans="8:8" x14ac:dyDescent="0.3">
      <c r="H61219" t="str">
        <f t="shared" si="1006"/>
        <v/>
      </c>
    </row>
    <row r="61220" spans="8:8" x14ac:dyDescent="0.3">
      <c r="H61220" t="str">
        <f t="shared" si="1006"/>
        <v/>
      </c>
    </row>
    <row r="61221" spans="8:8" x14ac:dyDescent="0.3">
      <c r="H61221" t="str">
        <f t="shared" si="1006"/>
        <v/>
      </c>
    </row>
    <row r="61222" spans="8:8" x14ac:dyDescent="0.3">
      <c r="H61222" t="str">
        <f t="shared" si="1006"/>
        <v/>
      </c>
    </row>
    <row r="61223" spans="8:8" x14ac:dyDescent="0.3">
      <c r="H61223" t="str">
        <f t="shared" si="1006"/>
        <v/>
      </c>
    </row>
    <row r="61224" spans="8:8" x14ac:dyDescent="0.3">
      <c r="H61224" t="str">
        <f t="shared" si="1006"/>
        <v/>
      </c>
    </row>
    <row r="61225" spans="8:8" x14ac:dyDescent="0.3">
      <c r="H61225" t="str">
        <f t="shared" si="1006"/>
        <v/>
      </c>
    </row>
    <row r="61226" spans="8:8" x14ac:dyDescent="0.3">
      <c r="H61226" t="str">
        <f t="shared" si="1006"/>
        <v/>
      </c>
    </row>
    <row r="61227" spans="8:8" x14ac:dyDescent="0.3">
      <c r="H61227" t="str">
        <f t="shared" si="1006"/>
        <v/>
      </c>
    </row>
    <row r="61228" spans="8:8" x14ac:dyDescent="0.3">
      <c r="H61228" t="str">
        <f t="shared" si="1006"/>
        <v/>
      </c>
    </row>
    <row r="61229" spans="8:8" x14ac:dyDescent="0.3">
      <c r="H61229" t="str">
        <f t="shared" si="1006"/>
        <v/>
      </c>
    </row>
    <row r="61230" spans="8:8" x14ac:dyDescent="0.3">
      <c r="H61230" t="str">
        <f t="shared" si="1006"/>
        <v/>
      </c>
    </row>
    <row r="61231" spans="8:8" x14ac:dyDescent="0.3">
      <c r="H61231" t="str">
        <f t="shared" si="1006"/>
        <v/>
      </c>
    </row>
    <row r="61232" spans="8:8" x14ac:dyDescent="0.3">
      <c r="H61232" t="str">
        <f t="shared" si="1006"/>
        <v/>
      </c>
    </row>
    <row r="61233" spans="8:8" x14ac:dyDescent="0.3">
      <c r="H61233" t="str">
        <f t="shared" si="1006"/>
        <v/>
      </c>
    </row>
    <row r="61234" spans="8:8" x14ac:dyDescent="0.3">
      <c r="H61234" t="str">
        <f t="shared" si="1006"/>
        <v/>
      </c>
    </row>
    <row r="61235" spans="8:8" x14ac:dyDescent="0.3">
      <c r="H61235" t="str">
        <f t="shared" si="1006"/>
        <v/>
      </c>
    </row>
    <row r="61236" spans="8:8" x14ac:dyDescent="0.3">
      <c r="H61236" t="str">
        <f t="shared" si="1006"/>
        <v/>
      </c>
    </row>
    <row r="61237" spans="8:8" x14ac:dyDescent="0.3">
      <c r="H61237" t="str">
        <f t="shared" si="1006"/>
        <v/>
      </c>
    </row>
    <row r="61238" spans="8:8" x14ac:dyDescent="0.3">
      <c r="H61238" t="str">
        <f t="shared" si="1006"/>
        <v/>
      </c>
    </row>
    <row r="61239" spans="8:8" x14ac:dyDescent="0.3">
      <c r="H61239" t="str">
        <f t="shared" si="1006"/>
        <v/>
      </c>
    </row>
    <row r="61240" spans="8:8" x14ac:dyDescent="0.3">
      <c r="H61240" t="str">
        <f t="shared" si="1006"/>
        <v/>
      </c>
    </row>
    <row r="61241" spans="8:8" x14ac:dyDescent="0.3">
      <c r="H61241" t="str">
        <f t="shared" si="1006"/>
        <v/>
      </c>
    </row>
    <row r="61242" spans="8:8" x14ac:dyDescent="0.3">
      <c r="H61242" t="str">
        <f t="shared" si="1006"/>
        <v/>
      </c>
    </row>
    <row r="61243" spans="8:8" x14ac:dyDescent="0.3">
      <c r="H61243" t="str">
        <f t="shared" si="1006"/>
        <v/>
      </c>
    </row>
    <row r="61244" spans="8:8" x14ac:dyDescent="0.3">
      <c r="H61244" t="str">
        <f t="shared" si="1006"/>
        <v/>
      </c>
    </row>
    <row r="61245" spans="8:8" x14ac:dyDescent="0.3">
      <c r="H61245" t="str">
        <f t="shared" si="1006"/>
        <v/>
      </c>
    </row>
    <row r="61246" spans="8:8" x14ac:dyDescent="0.3">
      <c r="H61246" t="str">
        <f t="shared" si="1006"/>
        <v/>
      </c>
    </row>
    <row r="61247" spans="8:8" x14ac:dyDescent="0.3">
      <c r="H61247" t="str">
        <f t="shared" si="1006"/>
        <v/>
      </c>
    </row>
    <row r="61248" spans="8:8" x14ac:dyDescent="0.3">
      <c r="H61248" t="str">
        <f t="shared" si="1006"/>
        <v/>
      </c>
    </row>
    <row r="61249" spans="8:8" x14ac:dyDescent="0.3">
      <c r="H61249" t="str">
        <f t="shared" si="1006"/>
        <v/>
      </c>
    </row>
    <row r="61250" spans="8:8" x14ac:dyDescent="0.3">
      <c r="H61250" t="str">
        <f t="shared" si="1006"/>
        <v/>
      </c>
    </row>
    <row r="61251" spans="8:8" x14ac:dyDescent="0.3">
      <c r="H61251" t="str">
        <f t="shared" si="1006"/>
        <v/>
      </c>
    </row>
    <row r="61252" spans="8:8" x14ac:dyDescent="0.3">
      <c r="H61252" t="str">
        <f t="shared" si="1006"/>
        <v/>
      </c>
    </row>
    <row r="61253" spans="8:8" x14ac:dyDescent="0.3">
      <c r="H61253" t="str">
        <f t="shared" si="1006"/>
        <v/>
      </c>
    </row>
    <row r="61254" spans="8:8" x14ac:dyDescent="0.3">
      <c r="H61254" t="str">
        <f t="shared" si="1006"/>
        <v/>
      </c>
    </row>
    <row r="61255" spans="8:8" x14ac:dyDescent="0.3">
      <c r="H61255" t="str">
        <f t="shared" si="1006"/>
        <v/>
      </c>
    </row>
    <row r="61256" spans="8:8" x14ac:dyDescent="0.3">
      <c r="H61256" t="str">
        <f t="shared" si="1006"/>
        <v/>
      </c>
    </row>
    <row r="61257" spans="8:8" x14ac:dyDescent="0.3">
      <c r="H61257" t="str">
        <f t="shared" si="1006"/>
        <v/>
      </c>
    </row>
    <row r="61258" spans="8:8" x14ac:dyDescent="0.3">
      <c r="H61258" t="str">
        <f t="shared" si="1006"/>
        <v/>
      </c>
    </row>
    <row r="61259" spans="8:8" x14ac:dyDescent="0.3">
      <c r="H61259" t="str">
        <f t="shared" si="1006"/>
        <v/>
      </c>
    </row>
    <row r="61260" spans="8:8" x14ac:dyDescent="0.3">
      <c r="H61260" t="str">
        <f t="shared" si="1006"/>
        <v/>
      </c>
    </row>
    <row r="61261" spans="8:8" x14ac:dyDescent="0.3">
      <c r="H61261" t="str">
        <f t="shared" si="1006"/>
        <v/>
      </c>
    </row>
    <row r="61262" spans="8:8" x14ac:dyDescent="0.3">
      <c r="H61262" t="str">
        <f t="shared" si="1006"/>
        <v/>
      </c>
    </row>
    <row r="61263" spans="8:8" x14ac:dyDescent="0.3">
      <c r="H61263" t="str">
        <f t="shared" si="1006"/>
        <v/>
      </c>
    </row>
    <row r="61264" spans="8:8" x14ac:dyDescent="0.3">
      <c r="H61264" t="str">
        <f t="shared" si="1006"/>
        <v/>
      </c>
    </row>
    <row r="61265" spans="8:8" x14ac:dyDescent="0.3">
      <c r="H61265" t="str">
        <f t="shared" si="1006"/>
        <v/>
      </c>
    </row>
    <row r="61266" spans="8:8" x14ac:dyDescent="0.3">
      <c r="H61266" t="str">
        <f t="shared" si="1006"/>
        <v/>
      </c>
    </row>
    <row r="61267" spans="8:8" x14ac:dyDescent="0.3">
      <c r="H61267" t="str">
        <f t="shared" si="1006"/>
        <v/>
      </c>
    </row>
    <row r="61268" spans="8:8" x14ac:dyDescent="0.3">
      <c r="H61268" t="str">
        <f t="shared" si="1006"/>
        <v/>
      </c>
    </row>
    <row r="61269" spans="8:8" x14ac:dyDescent="0.3">
      <c r="H61269" t="str">
        <f t="shared" si="1006"/>
        <v/>
      </c>
    </row>
    <row r="61270" spans="8:8" x14ac:dyDescent="0.3">
      <c r="H61270" t="str">
        <f t="shared" si="1006"/>
        <v/>
      </c>
    </row>
    <row r="61271" spans="8:8" x14ac:dyDescent="0.3">
      <c r="H61271" t="str">
        <f t="shared" ref="H61271:H61334" si="1007">IF(B61271="","",$C$12)</f>
        <v/>
      </c>
    </row>
    <row r="61272" spans="8:8" x14ac:dyDescent="0.3">
      <c r="H61272" t="str">
        <f t="shared" si="1007"/>
        <v/>
      </c>
    </row>
    <row r="61273" spans="8:8" x14ac:dyDescent="0.3">
      <c r="H61273" t="str">
        <f t="shared" si="1007"/>
        <v/>
      </c>
    </row>
    <row r="61274" spans="8:8" x14ac:dyDescent="0.3">
      <c r="H61274" t="str">
        <f t="shared" si="1007"/>
        <v/>
      </c>
    </row>
    <row r="61275" spans="8:8" x14ac:dyDescent="0.3">
      <c r="H61275" t="str">
        <f t="shared" si="1007"/>
        <v/>
      </c>
    </row>
    <row r="61276" spans="8:8" x14ac:dyDescent="0.3">
      <c r="H61276" t="str">
        <f t="shared" si="1007"/>
        <v/>
      </c>
    </row>
    <row r="61277" spans="8:8" x14ac:dyDescent="0.3">
      <c r="H61277" t="str">
        <f t="shared" si="1007"/>
        <v/>
      </c>
    </row>
    <row r="61278" spans="8:8" x14ac:dyDescent="0.3">
      <c r="H61278" t="str">
        <f t="shared" si="1007"/>
        <v/>
      </c>
    </row>
    <row r="61279" spans="8:8" x14ac:dyDescent="0.3">
      <c r="H61279" t="str">
        <f t="shared" si="1007"/>
        <v/>
      </c>
    </row>
    <row r="61280" spans="8:8" x14ac:dyDescent="0.3">
      <c r="H61280" t="str">
        <f t="shared" si="1007"/>
        <v/>
      </c>
    </row>
    <row r="61281" spans="8:8" x14ac:dyDescent="0.3">
      <c r="H61281" t="str">
        <f t="shared" si="1007"/>
        <v/>
      </c>
    </row>
    <row r="61282" spans="8:8" x14ac:dyDescent="0.3">
      <c r="H61282" t="str">
        <f t="shared" si="1007"/>
        <v/>
      </c>
    </row>
    <row r="61283" spans="8:8" x14ac:dyDescent="0.3">
      <c r="H61283" t="str">
        <f t="shared" si="1007"/>
        <v/>
      </c>
    </row>
    <row r="61284" spans="8:8" x14ac:dyDescent="0.3">
      <c r="H61284" t="str">
        <f t="shared" si="1007"/>
        <v/>
      </c>
    </row>
    <row r="61285" spans="8:8" x14ac:dyDescent="0.3">
      <c r="H61285" t="str">
        <f t="shared" si="1007"/>
        <v/>
      </c>
    </row>
    <row r="61286" spans="8:8" x14ac:dyDescent="0.3">
      <c r="H61286" t="str">
        <f t="shared" si="1007"/>
        <v/>
      </c>
    </row>
    <row r="61287" spans="8:8" x14ac:dyDescent="0.3">
      <c r="H61287" t="str">
        <f t="shared" si="1007"/>
        <v/>
      </c>
    </row>
    <row r="61288" spans="8:8" x14ac:dyDescent="0.3">
      <c r="H61288" t="str">
        <f t="shared" si="1007"/>
        <v/>
      </c>
    </row>
    <row r="61289" spans="8:8" x14ac:dyDescent="0.3">
      <c r="H61289" t="str">
        <f t="shared" si="1007"/>
        <v/>
      </c>
    </row>
    <row r="61290" spans="8:8" x14ac:dyDescent="0.3">
      <c r="H61290" t="str">
        <f t="shared" si="1007"/>
        <v/>
      </c>
    </row>
    <row r="61291" spans="8:8" x14ac:dyDescent="0.3">
      <c r="H61291" t="str">
        <f t="shared" si="1007"/>
        <v/>
      </c>
    </row>
    <row r="61292" spans="8:8" x14ac:dyDescent="0.3">
      <c r="H61292" t="str">
        <f t="shared" si="1007"/>
        <v/>
      </c>
    </row>
    <row r="61293" spans="8:8" x14ac:dyDescent="0.3">
      <c r="H61293" t="str">
        <f t="shared" si="1007"/>
        <v/>
      </c>
    </row>
    <row r="61294" spans="8:8" x14ac:dyDescent="0.3">
      <c r="H61294" t="str">
        <f t="shared" si="1007"/>
        <v/>
      </c>
    </row>
    <row r="61295" spans="8:8" x14ac:dyDescent="0.3">
      <c r="H61295" t="str">
        <f t="shared" si="1007"/>
        <v/>
      </c>
    </row>
    <row r="61296" spans="8:8" x14ac:dyDescent="0.3">
      <c r="H61296" t="str">
        <f t="shared" si="1007"/>
        <v/>
      </c>
    </row>
    <row r="61297" spans="8:8" x14ac:dyDescent="0.3">
      <c r="H61297" t="str">
        <f t="shared" si="1007"/>
        <v/>
      </c>
    </row>
    <row r="61298" spans="8:8" x14ac:dyDescent="0.3">
      <c r="H61298" t="str">
        <f t="shared" si="1007"/>
        <v/>
      </c>
    </row>
    <row r="61299" spans="8:8" x14ac:dyDescent="0.3">
      <c r="H61299" t="str">
        <f t="shared" si="1007"/>
        <v/>
      </c>
    </row>
    <row r="61300" spans="8:8" x14ac:dyDescent="0.3">
      <c r="H61300" t="str">
        <f t="shared" si="1007"/>
        <v/>
      </c>
    </row>
    <row r="61301" spans="8:8" x14ac:dyDescent="0.3">
      <c r="H61301" t="str">
        <f t="shared" si="1007"/>
        <v/>
      </c>
    </row>
    <row r="61302" spans="8:8" x14ac:dyDescent="0.3">
      <c r="H61302" t="str">
        <f t="shared" si="1007"/>
        <v/>
      </c>
    </row>
    <row r="61303" spans="8:8" x14ac:dyDescent="0.3">
      <c r="H61303" t="str">
        <f t="shared" si="1007"/>
        <v/>
      </c>
    </row>
    <row r="61304" spans="8:8" x14ac:dyDescent="0.3">
      <c r="H61304" t="str">
        <f t="shared" si="1007"/>
        <v/>
      </c>
    </row>
    <row r="61305" spans="8:8" x14ac:dyDescent="0.3">
      <c r="H61305" t="str">
        <f t="shared" si="1007"/>
        <v/>
      </c>
    </row>
    <row r="61306" spans="8:8" x14ac:dyDescent="0.3">
      <c r="H61306" t="str">
        <f t="shared" si="1007"/>
        <v/>
      </c>
    </row>
    <row r="61307" spans="8:8" x14ac:dyDescent="0.3">
      <c r="H61307" t="str">
        <f t="shared" si="1007"/>
        <v/>
      </c>
    </row>
    <row r="61308" spans="8:8" x14ac:dyDescent="0.3">
      <c r="H61308" t="str">
        <f t="shared" si="1007"/>
        <v/>
      </c>
    </row>
    <row r="61309" spans="8:8" x14ac:dyDescent="0.3">
      <c r="H61309" t="str">
        <f t="shared" si="1007"/>
        <v/>
      </c>
    </row>
    <row r="61310" spans="8:8" x14ac:dyDescent="0.3">
      <c r="H61310" t="str">
        <f t="shared" si="1007"/>
        <v/>
      </c>
    </row>
    <row r="61311" spans="8:8" x14ac:dyDescent="0.3">
      <c r="H61311" t="str">
        <f t="shared" si="1007"/>
        <v/>
      </c>
    </row>
    <row r="61312" spans="8:8" x14ac:dyDescent="0.3">
      <c r="H61312" t="str">
        <f t="shared" si="1007"/>
        <v/>
      </c>
    </row>
    <row r="61313" spans="8:8" x14ac:dyDescent="0.3">
      <c r="H61313" t="str">
        <f t="shared" si="1007"/>
        <v/>
      </c>
    </row>
    <row r="61314" spans="8:8" x14ac:dyDescent="0.3">
      <c r="H61314" t="str">
        <f t="shared" si="1007"/>
        <v/>
      </c>
    </row>
    <row r="61315" spans="8:8" x14ac:dyDescent="0.3">
      <c r="H61315" t="str">
        <f t="shared" si="1007"/>
        <v/>
      </c>
    </row>
    <row r="61316" spans="8:8" x14ac:dyDescent="0.3">
      <c r="H61316" t="str">
        <f t="shared" si="1007"/>
        <v/>
      </c>
    </row>
    <row r="61317" spans="8:8" x14ac:dyDescent="0.3">
      <c r="H61317" t="str">
        <f t="shared" si="1007"/>
        <v/>
      </c>
    </row>
    <row r="61318" spans="8:8" x14ac:dyDescent="0.3">
      <c r="H61318" t="str">
        <f t="shared" si="1007"/>
        <v/>
      </c>
    </row>
    <row r="61319" spans="8:8" x14ac:dyDescent="0.3">
      <c r="H61319" t="str">
        <f t="shared" si="1007"/>
        <v/>
      </c>
    </row>
    <row r="61320" spans="8:8" x14ac:dyDescent="0.3">
      <c r="H61320" t="str">
        <f t="shared" si="1007"/>
        <v/>
      </c>
    </row>
    <row r="61321" spans="8:8" x14ac:dyDescent="0.3">
      <c r="H61321" t="str">
        <f t="shared" si="1007"/>
        <v/>
      </c>
    </row>
    <row r="61322" spans="8:8" x14ac:dyDescent="0.3">
      <c r="H61322" t="str">
        <f t="shared" si="1007"/>
        <v/>
      </c>
    </row>
    <row r="61323" spans="8:8" x14ac:dyDescent="0.3">
      <c r="H61323" t="str">
        <f t="shared" si="1007"/>
        <v/>
      </c>
    </row>
    <row r="61324" spans="8:8" x14ac:dyDescent="0.3">
      <c r="H61324" t="str">
        <f t="shared" si="1007"/>
        <v/>
      </c>
    </row>
    <row r="61325" spans="8:8" x14ac:dyDescent="0.3">
      <c r="H61325" t="str">
        <f t="shared" si="1007"/>
        <v/>
      </c>
    </row>
    <row r="61326" spans="8:8" x14ac:dyDescent="0.3">
      <c r="H61326" t="str">
        <f t="shared" si="1007"/>
        <v/>
      </c>
    </row>
    <row r="61327" spans="8:8" x14ac:dyDescent="0.3">
      <c r="H61327" t="str">
        <f t="shared" si="1007"/>
        <v/>
      </c>
    </row>
    <row r="61328" spans="8:8" x14ac:dyDescent="0.3">
      <c r="H61328" t="str">
        <f t="shared" si="1007"/>
        <v/>
      </c>
    </row>
    <row r="61329" spans="8:8" x14ac:dyDescent="0.3">
      <c r="H61329" t="str">
        <f t="shared" si="1007"/>
        <v/>
      </c>
    </row>
    <row r="61330" spans="8:8" x14ac:dyDescent="0.3">
      <c r="H61330" t="str">
        <f t="shared" si="1007"/>
        <v/>
      </c>
    </row>
    <row r="61331" spans="8:8" x14ac:dyDescent="0.3">
      <c r="H61331" t="str">
        <f t="shared" si="1007"/>
        <v/>
      </c>
    </row>
    <row r="61332" spans="8:8" x14ac:dyDescent="0.3">
      <c r="H61332" t="str">
        <f t="shared" si="1007"/>
        <v/>
      </c>
    </row>
    <row r="61333" spans="8:8" x14ac:dyDescent="0.3">
      <c r="H61333" t="str">
        <f t="shared" si="1007"/>
        <v/>
      </c>
    </row>
    <row r="61334" spans="8:8" x14ac:dyDescent="0.3">
      <c r="H61334" t="str">
        <f t="shared" si="1007"/>
        <v/>
      </c>
    </row>
    <row r="61335" spans="8:8" x14ac:dyDescent="0.3">
      <c r="H61335" t="str">
        <f t="shared" ref="H61335:H61398" si="1008">IF(B61335="","",$C$12)</f>
        <v/>
      </c>
    </row>
    <row r="61336" spans="8:8" x14ac:dyDescent="0.3">
      <c r="H61336" t="str">
        <f t="shared" si="1008"/>
        <v/>
      </c>
    </row>
    <row r="61337" spans="8:8" x14ac:dyDescent="0.3">
      <c r="H61337" t="str">
        <f t="shared" si="1008"/>
        <v/>
      </c>
    </row>
    <row r="61338" spans="8:8" x14ac:dyDescent="0.3">
      <c r="H61338" t="str">
        <f t="shared" si="1008"/>
        <v/>
      </c>
    </row>
    <row r="61339" spans="8:8" x14ac:dyDescent="0.3">
      <c r="H61339" t="str">
        <f t="shared" si="1008"/>
        <v/>
      </c>
    </row>
    <row r="61340" spans="8:8" x14ac:dyDescent="0.3">
      <c r="H61340" t="str">
        <f t="shared" si="1008"/>
        <v/>
      </c>
    </row>
    <row r="61341" spans="8:8" x14ac:dyDescent="0.3">
      <c r="H61341" t="str">
        <f t="shared" si="1008"/>
        <v/>
      </c>
    </row>
    <row r="61342" spans="8:8" x14ac:dyDescent="0.3">
      <c r="H61342" t="str">
        <f t="shared" si="1008"/>
        <v/>
      </c>
    </row>
    <row r="61343" spans="8:8" x14ac:dyDescent="0.3">
      <c r="H61343" t="str">
        <f t="shared" si="1008"/>
        <v/>
      </c>
    </row>
    <row r="61344" spans="8:8" x14ac:dyDescent="0.3">
      <c r="H61344" t="str">
        <f t="shared" si="1008"/>
        <v/>
      </c>
    </row>
    <row r="61345" spans="8:8" x14ac:dyDescent="0.3">
      <c r="H61345" t="str">
        <f t="shared" si="1008"/>
        <v/>
      </c>
    </row>
    <row r="61346" spans="8:8" x14ac:dyDescent="0.3">
      <c r="H61346" t="str">
        <f t="shared" si="1008"/>
        <v/>
      </c>
    </row>
    <row r="61347" spans="8:8" x14ac:dyDescent="0.3">
      <c r="H61347" t="str">
        <f t="shared" si="1008"/>
        <v/>
      </c>
    </row>
    <row r="61348" spans="8:8" x14ac:dyDescent="0.3">
      <c r="H61348" t="str">
        <f t="shared" si="1008"/>
        <v/>
      </c>
    </row>
    <row r="61349" spans="8:8" x14ac:dyDescent="0.3">
      <c r="H61349" t="str">
        <f t="shared" si="1008"/>
        <v/>
      </c>
    </row>
    <row r="61350" spans="8:8" x14ac:dyDescent="0.3">
      <c r="H61350" t="str">
        <f t="shared" si="1008"/>
        <v/>
      </c>
    </row>
    <row r="61351" spans="8:8" x14ac:dyDescent="0.3">
      <c r="H61351" t="str">
        <f t="shared" si="1008"/>
        <v/>
      </c>
    </row>
    <row r="61352" spans="8:8" x14ac:dyDescent="0.3">
      <c r="H61352" t="str">
        <f t="shared" si="1008"/>
        <v/>
      </c>
    </row>
    <row r="61353" spans="8:8" x14ac:dyDescent="0.3">
      <c r="H61353" t="str">
        <f t="shared" si="1008"/>
        <v/>
      </c>
    </row>
    <row r="61354" spans="8:8" x14ac:dyDescent="0.3">
      <c r="H61354" t="str">
        <f t="shared" si="1008"/>
        <v/>
      </c>
    </row>
    <row r="61355" spans="8:8" x14ac:dyDescent="0.3">
      <c r="H61355" t="str">
        <f t="shared" si="1008"/>
        <v/>
      </c>
    </row>
    <row r="61356" spans="8:8" x14ac:dyDescent="0.3">
      <c r="H61356" t="str">
        <f t="shared" si="1008"/>
        <v/>
      </c>
    </row>
    <row r="61357" spans="8:8" x14ac:dyDescent="0.3">
      <c r="H61357" t="str">
        <f t="shared" si="1008"/>
        <v/>
      </c>
    </row>
    <row r="61358" spans="8:8" x14ac:dyDescent="0.3">
      <c r="H61358" t="str">
        <f t="shared" si="1008"/>
        <v/>
      </c>
    </row>
    <row r="61359" spans="8:8" x14ac:dyDescent="0.3">
      <c r="H61359" t="str">
        <f t="shared" si="1008"/>
        <v/>
      </c>
    </row>
    <row r="61360" spans="8:8" x14ac:dyDescent="0.3">
      <c r="H61360" t="str">
        <f t="shared" si="1008"/>
        <v/>
      </c>
    </row>
    <row r="61361" spans="8:8" x14ac:dyDescent="0.3">
      <c r="H61361" t="str">
        <f t="shared" si="1008"/>
        <v/>
      </c>
    </row>
    <row r="61362" spans="8:8" x14ac:dyDescent="0.3">
      <c r="H61362" t="str">
        <f t="shared" si="1008"/>
        <v/>
      </c>
    </row>
    <row r="61363" spans="8:8" x14ac:dyDescent="0.3">
      <c r="H61363" t="str">
        <f t="shared" si="1008"/>
        <v/>
      </c>
    </row>
    <row r="61364" spans="8:8" x14ac:dyDescent="0.3">
      <c r="H61364" t="str">
        <f t="shared" si="1008"/>
        <v/>
      </c>
    </row>
    <row r="61365" spans="8:8" x14ac:dyDescent="0.3">
      <c r="H61365" t="str">
        <f t="shared" si="1008"/>
        <v/>
      </c>
    </row>
    <row r="61366" spans="8:8" x14ac:dyDescent="0.3">
      <c r="H61366" t="str">
        <f t="shared" si="1008"/>
        <v/>
      </c>
    </row>
    <row r="61367" spans="8:8" x14ac:dyDescent="0.3">
      <c r="H61367" t="str">
        <f t="shared" si="1008"/>
        <v/>
      </c>
    </row>
    <row r="61368" spans="8:8" x14ac:dyDescent="0.3">
      <c r="H61368" t="str">
        <f t="shared" si="1008"/>
        <v/>
      </c>
    </row>
    <row r="61369" spans="8:8" x14ac:dyDescent="0.3">
      <c r="H61369" t="str">
        <f t="shared" si="1008"/>
        <v/>
      </c>
    </row>
    <row r="61370" spans="8:8" x14ac:dyDescent="0.3">
      <c r="H61370" t="str">
        <f t="shared" si="1008"/>
        <v/>
      </c>
    </row>
    <row r="61371" spans="8:8" x14ac:dyDescent="0.3">
      <c r="H61371" t="str">
        <f t="shared" si="1008"/>
        <v/>
      </c>
    </row>
    <row r="61372" spans="8:8" x14ac:dyDescent="0.3">
      <c r="H61372" t="str">
        <f t="shared" si="1008"/>
        <v/>
      </c>
    </row>
    <row r="61373" spans="8:8" x14ac:dyDescent="0.3">
      <c r="H61373" t="str">
        <f t="shared" si="1008"/>
        <v/>
      </c>
    </row>
    <row r="61374" spans="8:8" x14ac:dyDescent="0.3">
      <c r="H61374" t="str">
        <f t="shared" si="1008"/>
        <v/>
      </c>
    </row>
    <row r="61375" spans="8:8" x14ac:dyDescent="0.3">
      <c r="H61375" t="str">
        <f t="shared" si="1008"/>
        <v/>
      </c>
    </row>
    <row r="61376" spans="8:8" x14ac:dyDescent="0.3">
      <c r="H61376" t="str">
        <f t="shared" si="1008"/>
        <v/>
      </c>
    </row>
    <row r="61377" spans="8:8" x14ac:dyDescent="0.3">
      <c r="H61377" t="str">
        <f t="shared" si="1008"/>
        <v/>
      </c>
    </row>
    <row r="61378" spans="8:8" x14ac:dyDescent="0.3">
      <c r="H61378" t="str">
        <f t="shared" si="1008"/>
        <v/>
      </c>
    </row>
    <row r="61379" spans="8:8" x14ac:dyDescent="0.3">
      <c r="H61379" t="str">
        <f t="shared" si="1008"/>
        <v/>
      </c>
    </row>
    <row r="61380" spans="8:8" x14ac:dyDescent="0.3">
      <c r="H61380" t="str">
        <f t="shared" si="1008"/>
        <v/>
      </c>
    </row>
    <row r="61381" spans="8:8" x14ac:dyDescent="0.3">
      <c r="H61381" t="str">
        <f t="shared" si="1008"/>
        <v/>
      </c>
    </row>
    <row r="61382" spans="8:8" x14ac:dyDescent="0.3">
      <c r="H61382" t="str">
        <f t="shared" si="1008"/>
        <v/>
      </c>
    </row>
    <row r="61383" spans="8:8" x14ac:dyDescent="0.3">
      <c r="H61383" t="str">
        <f t="shared" si="1008"/>
        <v/>
      </c>
    </row>
    <row r="61384" spans="8:8" x14ac:dyDescent="0.3">
      <c r="H61384" t="str">
        <f t="shared" si="1008"/>
        <v/>
      </c>
    </row>
    <row r="61385" spans="8:8" x14ac:dyDescent="0.3">
      <c r="H61385" t="str">
        <f t="shared" si="1008"/>
        <v/>
      </c>
    </row>
    <row r="61386" spans="8:8" x14ac:dyDescent="0.3">
      <c r="H61386" t="str">
        <f t="shared" si="1008"/>
        <v/>
      </c>
    </row>
    <row r="61387" spans="8:8" x14ac:dyDescent="0.3">
      <c r="H61387" t="str">
        <f t="shared" si="1008"/>
        <v/>
      </c>
    </row>
    <row r="61388" spans="8:8" x14ac:dyDescent="0.3">
      <c r="H61388" t="str">
        <f t="shared" si="1008"/>
        <v/>
      </c>
    </row>
    <row r="61389" spans="8:8" x14ac:dyDescent="0.3">
      <c r="H61389" t="str">
        <f t="shared" si="1008"/>
        <v/>
      </c>
    </row>
    <row r="61390" spans="8:8" x14ac:dyDescent="0.3">
      <c r="H61390" t="str">
        <f t="shared" si="1008"/>
        <v/>
      </c>
    </row>
    <row r="61391" spans="8:8" x14ac:dyDescent="0.3">
      <c r="H61391" t="str">
        <f t="shared" si="1008"/>
        <v/>
      </c>
    </row>
    <row r="61392" spans="8:8" x14ac:dyDescent="0.3">
      <c r="H61392" t="str">
        <f t="shared" si="1008"/>
        <v/>
      </c>
    </row>
    <row r="61393" spans="8:8" x14ac:dyDescent="0.3">
      <c r="H61393" t="str">
        <f t="shared" si="1008"/>
        <v/>
      </c>
    </row>
    <row r="61394" spans="8:8" x14ac:dyDescent="0.3">
      <c r="H61394" t="str">
        <f t="shared" si="1008"/>
        <v/>
      </c>
    </row>
    <row r="61395" spans="8:8" x14ac:dyDescent="0.3">
      <c r="H61395" t="str">
        <f t="shared" si="1008"/>
        <v/>
      </c>
    </row>
    <row r="61396" spans="8:8" x14ac:dyDescent="0.3">
      <c r="H61396" t="str">
        <f t="shared" si="1008"/>
        <v/>
      </c>
    </row>
    <row r="61397" spans="8:8" x14ac:dyDescent="0.3">
      <c r="H61397" t="str">
        <f t="shared" si="1008"/>
        <v/>
      </c>
    </row>
    <row r="61398" spans="8:8" x14ac:dyDescent="0.3">
      <c r="H61398" t="str">
        <f t="shared" si="1008"/>
        <v/>
      </c>
    </row>
    <row r="61399" spans="8:8" x14ac:dyDescent="0.3">
      <c r="H61399" t="str">
        <f t="shared" ref="H61399:H61462" si="1009">IF(B61399="","",$C$12)</f>
        <v/>
      </c>
    </row>
    <row r="61400" spans="8:8" x14ac:dyDescent="0.3">
      <c r="H61400" t="str">
        <f t="shared" si="1009"/>
        <v/>
      </c>
    </row>
    <row r="61401" spans="8:8" x14ac:dyDescent="0.3">
      <c r="H61401" t="str">
        <f t="shared" si="1009"/>
        <v/>
      </c>
    </row>
    <row r="61402" spans="8:8" x14ac:dyDescent="0.3">
      <c r="H61402" t="str">
        <f t="shared" si="1009"/>
        <v/>
      </c>
    </row>
    <row r="61403" spans="8:8" x14ac:dyDescent="0.3">
      <c r="H61403" t="str">
        <f t="shared" si="1009"/>
        <v/>
      </c>
    </row>
    <row r="61404" spans="8:8" x14ac:dyDescent="0.3">
      <c r="H61404" t="str">
        <f t="shared" si="1009"/>
        <v/>
      </c>
    </row>
    <row r="61405" spans="8:8" x14ac:dyDescent="0.3">
      <c r="H61405" t="str">
        <f t="shared" si="1009"/>
        <v/>
      </c>
    </row>
    <row r="61406" spans="8:8" x14ac:dyDescent="0.3">
      <c r="H61406" t="str">
        <f t="shared" si="1009"/>
        <v/>
      </c>
    </row>
    <row r="61407" spans="8:8" x14ac:dyDescent="0.3">
      <c r="H61407" t="str">
        <f t="shared" si="1009"/>
        <v/>
      </c>
    </row>
    <row r="61408" spans="8:8" x14ac:dyDescent="0.3">
      <c r="H61408" t="str">
        <f t="shared" si="1009"/>
        <v/>
      </c>
    </row>
    <row r="61409" spans="8:8" x14ac:dyDescent="0.3">
      <c r="H61409" t="str">
        <f t="shared" si="1009"/>
        <v/>
      </c>
    </row>
    <row r="61410" spans="8:8" x14ac:dyDescent="0.3">
      <c r="H61410" t="str">
        <f t="shared" si="1009"/>
        <v/>
      </c>
    </row>
    <row r="61411" spans="8:8" x14ac:dyDescent="0.3">
      <c r="H61411" t="str">
        <f t="shared" si="1009"/>
        <v/>
      </c>
    </row>
    <row r="61412" spans="8:8" x14ac:dyDescent="0.3">
      <c r="H61412" t="str">
        <f t="shared" si="1009"/>
        <v/>
      </c>
    </row>
    <row r="61413" spans="8:8" x14ac:dyDescent="0.3">
      <c r="H61413" t="str">
        <f t="shared" si="1009"/>
        <v/>
      </c>
    </row>
    <row r="61414" spans="8:8" x14ac:dyDescent="0.3">
      <c r="H61414" t="str">
        <f t="shared" si="1009"/>
        <v/>
      </c>
    </row>
    <row r="61415" spans="8:8" x14ac:dyDescent="0.3">
      <c r="H61415" t="str">
        <f t="shared" si="1009"/>
        <v/>
      </c>
    </row>
    <row r="61416" spans="8:8" x14ac:dyDescent="0.3">
      <c r="H61416" t="str">
        <f t="shared" si="1009"/>
        <v/>
      </c>
    </row>
    <row r="61417" spans="8:8" x14ac:dyDescent="0.3">
      <c r="H61417" t="str">
        <f t="shared" si="1009"/>
        <v/>
      </c>
    </row>
    <row r="61418" spans="8:8" x14ac:dyDescent="0.3">
      <c r="H61418" t="str">
        <f t="shared" si="1009"/>
        <v/>
      </c>
    </row>
    <row r="61419" spans="8:8" x14ac:dyDescent="0.3">
      <c r="H61419" t="str">
        <f t="shared" si="1009"/>
        <v/>
      </c>
    </row>
    <row r="61420" spans="8:8" x14ac:dyDescent="0.3">
      <c r="H61420" t="str">
        <f t="shared" si="1009"/>
        <v/>
      </c>
    </row>
    <row r="61421" spans="8:8" x14ac:dyDescent="0.3">
      <c r="H61421" t="str">
        <f t="shared" si="1009"/>
        <v/>
      </c>
    </row>
    <row r="61422" spans="8:8" x14ac:dyDescent="0.3">
      <c r="H61422" t="str">
        <f t="shared" si="1009"/>
        <v/>
      </c>
    </row>
    <row r="61423" spans="8:8" x14ac:dyDescent="0.3">
      <c r="H61423" t="str">
        <f t="shared" si="1009"/>
        <v/>
      </c>
    </row>
    <row r="61424" spans="8:8" x14ac:dyDescent="0.3">
      <c r="H61424" t="str">
        <f t="shared" si="1009"/>
        <v/>
      </c>
    </row>
    <row r="61425" spans="8:8" x14ac:dyDescent="0.3">
      <c r="H61425" t="str">
        <f t="shared" si="1009"/>
        <v/>
      </c>
    </row>
    <row r="61426" spans="8:8" x14ac:dyDescent="0.3">
      <c r="H61426" t="str">
        <f t="shared" si="1009"/>
        <v/>
      </c>
    </row>
    <row r="61427" spans="8:8" x14ac:dyDescent="0.3">
      <c r="H61427" t="str">
        <f t="shared" si="1009"/>
        <v/>
      </c>
    </row>
    <row r="61428" spans="8:8" x14ac:dyDescent="0.3">
      <c r="H61428" t="str">
        <f t="shared" si="1009"/>
        <v/>
      </c>
    </row>
    <row r="61429" spans="8:8" x14ac:dyDescent="0.3">
      <c r="H61429" t="str">
        <f t="shared" si="1009"/>
        <v/>
      </c>
    </row>
    <row r="61430" spans="8:8" x14ac:dyDescent="0.3">
      <c r="H61430" t="str">
        <f t="shared" si="1009"/>
        <v/>
      </c>
    </row>
    <row r="61431" spans="8:8" x14ac:dyDescent="0.3">
      <c r="H61431" t="str">
        <f t="shared" si="1009"/>
        <v/>
      </c>
    </row>
    <row r="61432" spans="8:8" x14ac:dyDescent="0.3">
      <c r="H61432" t="str">
        <f t="shared" si="1009"/>
        <v/>
      </c>
    </row>
    <row r="61433" spans="8:8" x14ac:dyDescent="0.3">
      <c r="H61433" t="str">
        <f t="shared" si="1009"/>
        <v/>
      </c>
    </row>
    <row r="61434" spans="8:8" x14ac:dyDescent="0.3">
      <c r="H61434" t="str">
        <f t="shared" si="1009"/>
        <v/>
      </c>
    </row>
    <row r="61435" spans="8:8" x14ac:dyDescent="0.3">
      <c r="H61435" t="str">
        <f t="shared" si="1009"/>
        <v/>
      </c>
    </row>
    <row r="61436" spans="8:8" x14ac:dyDescent="0.3">
      <c r="H61436" t="str">
        <f t="shared" si="1009"/>
        <v/>
      </c>
    </row>
    <row r="61437" spans="8:8" x14ac:dyDescent="0.3">
      <c r="H61437" t="str">
        <f t="shared" si="1009"/>
        <v/>
      </c>
    </row>
    <row r="61438" spans="8:8" x14ac:dyDescent="0.3">
      <c r="H61438" t="str">
        <f t="shared" si="1009"/>
        <v/>
      </c>
    </row>
    <row r="61439" spans="8:8" x14ac:dyDescent="0.3">
      <c r="H61439" t="str">
        <f t="shared" si="1009"/>
        <v/>
      </c>
    </row>
    <row r="61440" spans="8:8" x14ac:dyDescent="0.3">
      <c r="H61440" t="str">
        <f t="shared" si="1009"/>
        <v/>
      </c>
    </row>
    <row r="61441" spans="8:8" x14ac:dyDescent="0.3">
      <c r="H61441" t="str">
        <f t="shared" si="1009"/>
        <v/>
      </c>
    </row>
    <row r="61442" spans="8:8" x14ac:dyDescent="0.3">
      <c r="H61442" t="str">
        <f t="shared" si="1009"/>
        <v/>
      </c>
    </row>
    <row r="61443" spans="8:8" x14ac:dyDescent="0.3">
      <c r="H61443" t="str">
        <f t="shared" si="1009"/>
        <v/>
      </c>
    </row>
    <row r="61444" spans="8:8" x14ac:dyDescent="0.3">
      <c r="H61444" t="str">
        <f t="shared" si="1009"/>
        <v/>
      </c>
    </row>
    <row r="61445" spans="8:8" x14ac:dyDescent="0.3">
      <c r="H61445" t="str">
        <f t="shared" si="1009"/>
        <v/>
      </c>
    </row>
    <row r="61446" spans="8:8" x14ac:dyDescent="0.3">
      <c r="H61446" t="str">
        <f t="shared" si="1009"/>
        <v/>
      </c>
    </row>
    <row r="61447" spans="8:8" x14ac:dyDescent="0.3">
      <c r="H61447" t="str">
        <f t="shared" si="1009"/>
        <v/>
      </c>
    </row>
    <row r="61448" spans="8:8" x14ac:dyDescent="0.3">
      <c r="H61448" t="str">
        <f t="shared" si="1009"/>
        <v/>
      </c>
    </row>
    <row r="61449" spans="8:8" x14ac:dyDescent="0.3">
      <c r="H61449" t="str">
        <f t="shared" si="1009"/>
        <v/>
      </c>
    </row>
    <row r="61450" spans="8:8" x14ac:dyDescent="0.3">
      <c r="H61450" t="str">
        <f t="shared" si="1009"/>
        <v/>
      </c>
    </row>
    <row r="61451" spans="8:8" x14ac:dyDescent="0.3">
      <c r="H61451" t="str">
        <f t="shared" si="1009"/>
        <v/>
      </c>
    </row>
    <row r="61452" spans="8:8" x14ac:dyDescent="0.3">
      <c r="H61452" t="str">
        <f t="shared" si="1009"/>
        <v/>
      </c>
    </row>
    <row r="61453" spans="8:8" x14ac:dyDescent="0.3">
      <c r="H61453" t="str">
        <f t="shared" si="1009"/>
        <v/>
      </c>
    </row>
    <row r="61454" spans="8:8" x14ac:dyDescent="0.3">
      <c r="H61454" t="str">
        <f t="shared" si="1009"/>
        <v/>
      </c>
    </row>
    <row r="61455" spans="8:8" x14ac:dyDescent="0.3">
      <c r="H61455" t="str">
        <f t="shared" si="1009"/>
        <v/>
      </c>
    </row>
    <row r="61456" spans="8:8" x14ac:dyDescent="0.3">
      <c r="H61456" t="str">
        <f t="shared" si="1009"/>
        <v/>
      </c>
    </row>
    <row r="61457" spans="8:8" x14ac:dyDescent="0.3">
      <c r="H61457" t="str">
        <f t="shared" si="1009"/>
        <v/>
      </c>
    </row>
    <row r="61458" spans="8:8" x14ac:dyDescent="0.3">
      <c r="H61458" t="str">
        <f t="shared" si="1009"/>
        <v/>
      </c>
    </row>
    <row r="61459" spans="8:8" x14ac:dyDescent="0.3">
      <c r="H61459" t="str">
        <f t="shared" si="1009"/>
        <v/>
      </c>
    </row>
    <row r="61460" spans="8:8" x14ac:dyDescent="0.3">
      <c r="H61460" t="str">
        <f t="shared" si="1009"/>
        <v/>
      </c>
    </row>
    <row r="61461" spans="8:8" x14ac:dyDescent="0.3">
      <c r="H61461" t="str">
        <f t="shared" si="1009"/>
        <v/>
      </c>
    </row>
    <row r="61462" spans="8:8" x14ac:dyDescent="0.3">
      <c r="H61462" t="str">
        <f t="shared" si="1009"/>
        <v/>
      </c>
    </row>
    <row r="61463" spans="8:8" x14ac:dyDescent="0.3">
      <c r="H61463" t="str">
        <f t="shared" ref="H61463:H61526" si="1010">IF(B61463="","",$C$12)</f>
        <v/>
      </c>
    </row>
    <row r="61464" spans="8:8" x14ac:dyDescent="0.3">
      <c r="H61464" t="str">
        <f t="shared" si="1010"/>
        <v/>
      </c>
    </row>
    <row r="61465" spans="8:8" x14ac:dyDescent="0.3">
      <c r="H61465" t="str">
        <f t="shared" si="1010"/>
        <v/>
      </c>
    </row>
    <row r="61466" spans="8:8" x14ac:dyDescent="0.3">
      <c r="H61466" t="str">
        <f t="shared" si="1010"/>
        <v/>
      </c>
    </row>
    <row r="61467" spans="8:8" x14ac:dyDescent="0.3">
      <c r="H61467" t="str">
        <f t="shared" si="1010"/>
        <v/>
      </c>
    </row>
    <row r="61468" spans="8:8" x14ac:dyDescent="0.3">
      <c r="H61468" t="str">
        <f t="shared" si="1010"/>
        <v/>
      </c>
    </row>
    <row r="61469" spans="8:8" x14ac:dyDescent="0.3">
      <c r="H61469" t="str">
        <f t="shared" si="1010"/>
        <v/>
      </c>
    </row>
    <row r="61470" spans="8:8" x14ac:dyDescent="0.3">
      <c r="H61470" t="str">
        <f t="shared" si="1010"/>
        <v/>
      </c>
    </row>
    <row r="61471" spans="8:8" x14ac:dyDescent="0.3">
      <c r="H61471" t="str">
        <f t="shared" si="1010"/>
        <v/>
      </c>
    </row>
    <row r="61472" spans="8:8" x14ac:dyDescent="0.3">
      <c r="H61472" t="str">
        <f t="shared" si="1010"/>
        <v/>
      </c>
    </row>
    <row r="61473" spans="8:8" x14ac:dyDescent="0.3">
      <c r="H61473" t="str">
        <f t="shared" si="1010"/>
        <v/>
      </c>
    </row>
    <row r="61474" spans="8:8" x14ac:dyDescent="0.3">
      <c r="H61474" t="str">
        <f t="shared" si="1010"/>
        <v/>
      </c>
    </row>
    <row r="61475" spans="8:8" x14ac:dyDescent="0.3">
      <c r="H61475" t="str">
        <f t="shared" si="1010"/>
        <v/>
      </c>
    </row>
    <row r="61476" spans="8:8" x14ac:dyDescent="0.3">
      <c r="H61476" t="str">
        <f t="shared" si="1010"/>
        <v/>
      </c>
    </row>
    <row r="61477" spans="8:8" x14ac:dyDescent="0.3">
      <c r="H61477" t="str">
        <f t="shared" si="1010"/>
        <v/>
      </c>
    </row>
    <row r="61478" spans="8:8" x14ac:dyDescent="0.3">
      <c r="H61478" t="str">
        <f t="shared" si="1010"/>
        <v/>
      </c>
    </row>
    <row r="61479" spans="8:8" x14ac:dyDescent="0.3">
      <c r="H61479" t="str">
        <f t="shared" si="1010"/>
        <v/>
      </c>
    </row>
    <row r="61480" spans="8:8" x14ac:dyDescent="0.3">
      <c r="H61480" t="str">
        <f t="shared" si="1010"/>
        <v/>
      </c>
    </row>
    <row r="61481" spans="8:8" x14ac:dyDescent="0.3">
      <c r="H61481" t="str">
        <f t="shared" si="1010"/>
        <v/>
      </c>
    </row>
    <row r="61482" spans="8:8" x14ac:dyDescent="0.3">
      <c r="H61482" t="str">
        <f t="shared" si="1010"/>
        <v/>
      </c>
    </row>
    <row r="61483" spans="8:8" x14ac:dyDescent="0.3">
      <c r="H61483" t="str">
        <f t="shared" si="1010"/>
        <v/>
      </c>
    </row>
    <row r="61484" spans="8:8" x14ac:dyDescent="0.3">
      <c r="H61484" t="str">
        <f t="shared" si="1010"/>
        <v/>
      </c>
    </row>
    <row r="61485" spans="8:8" x14ac:dyDescent="0.3">
      <c r="H61485" t="str">
        <f t="shared" si="1010"/>
        <v/>
      </c>
    </row>
    <row r="61486" spans="8:8" x14ac:dyDescent="0.3">
      <c r="H61486" t="str">
        <f t="shared" si="1010"/>
        <v/>
      </c>
    </row>
    <row r="61487" spans="8:8" x14ac:dyDescent="0.3">
      <c r="H61487" t="str">
        <f t="shared" si="1010"/>
        <v/>
      </c>
    </row>
    <row r="61488" spans="8:8" x14ac:dyDescent="0.3">
      <c r="H61488" t="str">
        <f t="shared" si="1010"/>
        <v/>
      </c>
    </row>
    <row r="61489" spans="8:8" x14ac:dyDescent="0.3">
      <c r="H61489" t="str">
        <f t="shared" si="1010"/>
        <v/>
      </c>
    </row>
    <row r="61490" spans="8:8" x14ac:dyDescent="0.3">
      <c r="H61490" t="str">
        <f t="shared" si="1010"/>
        <v/>
      </c>
    </row>
    <row r="61491" spans="8:8" x14ac:dyDescent="0.3">
      <c r="H61491" t="str">
        <f t="shared" si="1010"/>
        <v/>
      </c>
    </row>
    <row r="61492" spans="8:8" x14ac:dyDescent="0.3">
      <c r="H61492" t="str">
        <f t="shared" si="1010"/>
        <v/>
      </c>
    </row>
    <row r="61493" spans="8:8" x14ac:dyDescent="0.3">
      <c r="H61493" t="str">
        <f t="shared" si="1010"/>
        <v/>
      </c>
    </row>
    <row r="61494" spans="8:8" x14ac:dyDescent="0.3">
      <c r="H61494" t="str">
        <f t="shared" si="1010"/>
        <v/>
      </c>
    </row>
    <row r="61495" spans="8:8" x14ac:dyDescent="0.3">
      <c r="H61495" t="str">
        <f t="shared" si="1010"/>
        <v/>
      </c>
    </row>
    <row r="61496" spans="8:8" x14ac:dyDescent="0.3">
      <c r="H61496" t="str">
        <f t="shared" si="1010"/>
        <v/>
      </c>
    </row>
    <row r="61497" spans="8:8" x14ac:dyDescent="0.3">
      <c r="H61497" t="str">
        <f t="shared" si="1010"/>
        <v/>
      </c>
    </row>
    <row r="61498" spans="8:8" x14ac:dyDescent="0.3">
      <c r="H61498" t="str">
        <f t="shared" si="1010"/>
        <v/>
      </c>
    </row>
    <row r="61499" spans="8:8" x14ac:dyDescent="0.3">
      <c r="H61499" t="str">
        <f t="shared" si="1010"/>
        <v/>
      </c>
    </row>
    <row r="61500" spans="8:8" x14ac:dyDescent="0.3">
      <c r="H61500" t="str">
        <f t="shared" si="1010"/>
        <v/>
      </c>
    </row>
    <row r="61501" spans="8:8" x14ac:dyDescent="0.3">
      <c r="H61501" t="str">
        <f t="shared" si="1010"/>
        <v/>
      </c>
    </row>
    <row r="61502" spans="8:8" x14ac:dyDescent="0.3">
      <c r="H61502" t="str">
        <f t="shared" si="1010"/>
        <v/>
      </c>
    </row>
    <row r="61503" spans="8:8" x14ac:dyDescent="0.3">
      <c r="H61503" t="str">
        <f t="shared" si="1010"/>
        <v/>
      </c>
    </row>
    <row r="61504" spans="8:8" x14ac:dyDescent="0.3">
      <c r="H61504" t="str">
        <f t="shared" si="1010"/>
        <v/>
      </c>
    </row>
    <row r="61505" spans="8:8" x14ac:dyDescent="0.3">
      <c r="H61505" t="str">
        <f t="shared" si="1010"/>
        <v/>
      </c>
    </row>
    <row r="61506" spans="8:8" x14ac:dyDescent="0.3">
      <c r="H61506" t="str">
        <f t="shared" si="1010"/>
        <v/>
      </c>
    </row>
    <row r="61507" spans="8:8" x14ac:dyDescent="0.3">
      <c r="H61507" t="str">
        <f t="shared" si="1010"/>
        <v/>
      </c>
    </row>
    <row r="61508" spans="8:8" x14ac:dyDescent="0.3">
      <c r="H61508" t="str">
        <f t="shared" si="1010"/>
        <v/>
      </c>
    </row>
    <row r="61509" spans="8:8" x14ac:dyDescent="0.3">
      <c r="H61509" t="str">
        <f t="shared" si="1010"/>
        <v/>
      </c>
    </row>
    <row r="61510" spans="8:8" x14ac:dyDescent="0.3">
      <c r="H61510" t="str">
        <f t="shared" si="1010"/>
        <v/>
      </c>
    </row>
    <row r="61511" spans="8:8" x14ac:dyDescent="0.3">
      <c r="H61511" t="str">
        <f t="shared" si="1010"/>
        <v/>
      </c>
    </row>
    <row r="61512" spans="8:8" x14ac:dyDescent="0.3">
      <c r="H61512" t="str">
        <f t="shared" si="1010"/>
        <v/>
      </c>
    </row>
    <row r="61513" spans="8:8" x14ac:dyDescent="0.3">
      <c r="H61513" t="str">
        <f t="shared" si="1010"/>
        <v/>
      </c>
    </row>
    <row r="61514" spans="8:8" x14ac:dyDescent="0.3">
      <c r="H61514" t="str">
        <f t="shared" si="1010"/>
        <v/>
      </c>
    </row>
    <row r="61515" spans="8:8" x14ac:dyDescent="0.3">
      <c r="H61515" t="str">
        <f t="shared" si="1010"/>
        <v/>
      </c>
    </row>
    <row r="61516" spans="8:8" x14ac:dyDescent="0.3">
      <c r="H61516" t="str">
        <f t="shared" si="1010"/>
        <v/>
      </c>
    </row>
    <row r="61517" spans="8:8" x14ac:dyDescent="0.3">
      <c r="H61517" t="str">
        <f t="shared" si="1010"/>
        <v/>
      </c>
    </row>
    <row r="61518" spans="8:8" x14ac:dyDescent="0.3">
      <c r="H61518" t="str">
        <f t="shared" si="1010"/>
        <v/>
      </c>
    </row>
    <row r="61519" spans="8:8" x14ac:dyDescent="0.3">
      <c r="H61519" t="str">
        <f t="shared" si="1010"/>
        <v/>
      </c>
    </row>
    <row r="61520" spans="8:8" x14ac:dyDescent="0.3">
      <c r="H61520" t="str">
        <f t="shared" si="1010"/>
        <v/>
      </c>
    </row>
    <row r="61521" spans="8:8" x14ac:dyDescent="0.3">
      <c r="H61521" t="str">
        <f t="shared" si="1010"/>
        <v/>
      </c>
    </row>
    <row r="61522" spans="8:8" x14ac:dyDescent="0.3">
      <c r="H61522" t="str">
        <f t="shared" si="1010"/>
        <v/>
      </c>
    </row>
    <row r="61523" spans="8:8" x14ac:dyDescent="0.3">
      <c r="H61523" t="str">
        <f t="shared" si="1010"/>
        <v/>
      </c>
    </row>
    <row r="61524" spans="8:8" x14ac:dyDescent="0.3">
      <c r="H61524" t="str">
        <f t="shared" si="1010"/>
        <v/>
      </c>
    </row>
    <row r="61525" spans="8:8" x14ac:dyDescent="0.3">
      <c r="H61525" t="str">
        <f t="shared" si="1010"/>
        <v/>
      </c>
    </row>
    <row r="61526" spans="8:8" x14ac:dyDescent="0.3">
      <c r="H61526" t="str">
        <f t="shared" si="1010"/>
        <v/>
      </c>
    </row>
    <row r="61527" spans="8:8" x14ac:dyDescent="0.3">
      <c r="H61527" t="str">
        <f t="shared" ref="H61527:H61590" si="1011">IF(B61527="","",$C$12)</f>
        <v/>
      </c>
    </row>
    <row r="61528" spans="8:8" x14ac:dyDescent="0.3">
      <c r="H61528" t="str">
        <f t="shared" si="1011"/>
        <v/>
      </c>
    </row>
    <row r="61529" spans="8:8" x14ac:dyDescent="0.3">
      <c r="H61529" t="str">
        <f t="shared" si="1011"/>
        <v/>
      </c>
    </row>
    <row r="61530" spans="8:8" x14ac:dyDescent="0.3">
      <c r="H61530" t="str">
        <f t="shared" si="1011"/>
        <v/>
      </c>
    </row>
    <row r="61531" spans="8:8" x14ac:dyDescent="0.3">
      <c r="H61531" t="str">
        <f t="shared" si="1011"/>
        <v/>
      </c>
    </row>
    <row r="61532" spans="8:8" x14ac:dyDescent="0.3">
      <c r="H61532" t="str">
        <f t="shared" si="1011"/>
        <v/>
      </c>
    </row>
    <row r="61533" spans="8:8" x14ac:dyDescent="0.3">
      <c r="H61533" t="str">
        <f t="shared" si="1011"/>
        <v/>
      </c>
    </row>
    <row r="61534" spans="8:8" x14ac:dyDescent="0.3">
      <c r="H61534" t="str">
        <f t="shared" si="1011"/>
        <v/>
      </c>
    </row>
    <row r="61535" spans="8:8" x14ac:dyDescent="0.3">
      <c r="H61535" t="str">
        <f t="shared" si="1011"/>
        <v/>
      </c>
    </row>
    <row r="61536" spans="8:8" x14ac:dyDescent="0.3">
      <c r="H61536" t="str">
        <f t="shared" si="1011"/>
        <v/>
      </c>
    </row>
    <row r="61537" spans="8:8" x14ac:dyDescent="0.3">
      <c r="H61537" t="str">
        <f t="shared" si="1011"/>
        <v/>
      </c>
    </row>
    <row r="61538" spans="8:8" x14ac:dyDescent="0.3">
      <c r="H61538" t="str">
        <f t="shared" si="1011"/>
        <v/>
      </c>
    </row>
    <row r="61539" spans="8:8" x14ac:dyDescent="0.3">
      <c r="H61539" t="str">
        <f t="shared" si="1011"/>
        <v/>
      </c>
    </row>
    <row r="61540" spans="8:8" x14ac:dyDescent="0.3">
      <c r="H61540" t="str">
        <f t="shared" si="1011"/>
        <v/>
      </c>
    </row>
    <row r="61541" spans="8:8" x14ac:dyDescent="0.3">
      <c r="H61541" t="str">
        <f t="shared" si="1011"/>
        <v/>
      </c>
    </row>
    <row r="61542" spans="8:8" x14ac:dyDescent="0.3">
      <c r="H61542" t="str">
        <f t="shared" si="1011"/>
        <v/>
      </c>
    </row>
    <row r="61543" spans="8:8" x14ac:dyDescent="0.3">
      <c r="H61543" t="str">
        <f t="shared" si="1011"/>
        <v/>
      </c>
    </row>
    <row r="61544" spans="8:8" x14ac:dyDescent="0.3">
      <c r="H61544" t="str">
        <f t="shared" si="1011"/>
        <v/>
      </c>
    </row>
    <row r="61545" spans="8:8" x14ac:dyDescent="0.3">
      <c r="H61545" t="str">
        <f t="shared" si="1011"/>
        <v/>
      </c>
    </row>
    <row r="61546" spans="8:8" x14ac:dyDescent="0.3">
      <c r="H61546" t="str">
        <f t="shared" si="1011"/>
        <v/>
      </c>
    </row>
    <row r="61547" spans="8:8" x14ac:dyDescent="0.3">
      <c r="H61547" t="str">
        <f t="shared" si="1011"/>
        <v/>
      </c>
    </row>
    <row r="61548" spans="8:8" x14ac:dyDescent="0.3">
      <c r="H61548" t="str">
        <f t="shared" si="1011"/>
        <v/>
      </c>
    </row>
    <row r="61549" spans="8:8" x14ac:dyDescent="0.3">
      <c r="H61549" t="str">
        <f t="shared" si="1011"/>
        <v/>
      </c>
    </row>
    <row r="61550" spans="8:8" x14ac:dyDescent="0.3">
      <c r="H61550" t="str">
        <f t="shared" si="1011"/>
        <v/>
      </c>
    </row>
    <row r="61551" spans="8:8" x14ac:dyDescent="0.3">
      <c r="H61551" t="str">
        <f t="shared" si="1011"/>
        <v/>
      </c>
    </row>
    <row r="61552" spans="8:8" x14ac:dyDescent="0.3">
      <c r="H61552" t="str">
        <f t="shared" si="1011"/>
        <v/>
      </c>
    </row>
    <row r="61553" spans="8:8" x14ac:dyDescent="0.3">
      <c r="H61553" t="str">
        <f t="shared" si="1011"/>
        <v/>
      </c>
    </row>
    <row r="61554" spans="8:8" x14ac:dyDescent="0.3">
      <c r="H61554" t="str">
        <f t="shared" si="1011"/>
        <v/>
      </c>
    </row>
    <row r="61555" spans="8:8" x14ac:dyDescent="0.3">
      <c r="H61555" t="str">
        <f t="shared" si="1011"/>
        <v/>
      </c>
    </row>
    <row r="61556" spans="8:8" x14ac:dyDescent="0.3">
      <c r="H61556" t="str">
        <f t="shared" si="1011"/>
        <v/>
      </c>
    </row>
    <row r="61557" spans="8:8" x14ac:dyDescent="0.3">
      <c r="H61557" t="str">
        <f t="shared" si="1011"/>
        <v/>
      </c>
    </row>
    <row r="61558" spans="8:8" x14ac:dyDescent="0.3">
      <c r="H61558" t="str">
        <f t="shared" si="1011"/>
        <v/>
      </c>
    </row>
    <row r="61559" spans="8:8" x14ac:dyDescent="0.3">
      <c r="H61559" t="str">
        <f t="shared" si="1011"/>
        <v/>
      </c>
    </row>
    <row r="61560" spans="8:8" x14ac:dyDescent="0.3">
      <c r="H61560" t="str">
        <f t="shared" si="1011"/>
        <v/>
      </c>
    </row>
    <row r="61561" spans="8:8" x14ac:dyDescent="0.3">
      <c r="H61561" t="str">
        <f t="shared" si="1011"/>
        <v/>
      </c>
    </row>
    <row r="61562" spans="8:8" x14ac:dyDescent="0.3">
      <c r="H61562" t="str">
        <f t="shared" si="1011"/>
        <v/>
      </c>
    </row>
    <row r="61563" spans="8:8" x14ac:dyDescent="0.3">
      <c r="H61563" t="str">
        <f t="shared" si="1011"/>
        <v/>
      </c>
    </row>
    <row r="61564" spans="8:8" x14ac:dyDescent="0.3">
      <c r="H61564" t="str">
        <f t="shared" si="1011"/>
        <v/>
      </c>
    </row>
    <row r="61565" spans="8:8" x14ac:dyDescent="0.3">
      <c r="H61565" t="str">
        <f t="shared" si="1011"/>
        <v/>
      </c>
    </row>
    <row r="61566" spans="8:8" x14ac:dyDescent="0.3">
      <c r="H61566" t="str">
        <f t="shared" si="1011"/>
        <v/>
      </c>
    </row>
    <row r="61567" spans="8:8" x14ac:dyDescent="0.3">
      <c r="H61567" t="str">
        <f t="shared" si="1011"/>
        <v/>
      </c>
    </row>
    <row r="61568" spans="8:8" x14ac:dyDescent="0.3">
      <c r="H61568" t="str">
        <f t="shared" si="1011"/>
        <v/>
      </c>
    </row>
    <row r="61569" spans="8:8" x14ac:dyDescent="0.3">
      <c r="H61569" t="str">
        <f t="shared" si="1011"/>
        <v/>
      </c>
    </row>
    <row r="61570" spans="8:8" x14ac:dyDescent="0.3">
      <c r="H61570" t="str">
        <f t="shared" si="1011"/>
        <v/>
      </c>
    </row>
    <row r="61571" spans="8:8" x14ac:dyDescent="0.3">
      <c r="H61571" t="str">
        <f t="shared" si="1011"/>
        <v/>
      </c>
    </row>
    <row r="61572" spans="8:8" x14ac:dyDescent="0.3">
      <c r="H61572" t="str">
        <f t="shared" si="1011"/>
        <v/>
      </c>
    </row>
    <row r="61573" spans="8:8" x14ac:dyDescent="0.3">
      <c r="H61573" t="str">
        <f t="shared" si="1011"/>
        <v/>
      </c>
    </row>
    <row r="61574" spans="8:8" x14ac:dyDescent="0.3">
      <c r="H61574" t="str">
        <f t="shared" si="1011"/>
        <v/>
      </c>
    </row>
    <row r="61575" spans="8:8" x14ac:dyDescent="0.3">
      <c r="H61575" t="str">
        <f t="shared" si="1011"/>
        <v/>
      </c>
    </row>
    <row r="61576" spans="8:8" x14ac:dyDescent="0.3">
      <c r="H61576" t="str">
        <f t="shared" si="1011"/>
        <v/>
      </c>
    </row>
    <row r="61577" spans="8:8" x14ac:dyDescent="0.3">
      <c r="H61577" t="str">
        <f t="shared" si="1011"/>
        <v/>
      </c>
    </row>
    <row r="61578" spans="8:8" x14ac:dyDescent="0.3">
      <c r="H61578" t="str">
        <f t="shared" si="1011"/>
        <v/>
      </c>
    </row>
    <row r="61579" spans="8:8" x14ac:dyDescent="0.3">
      <c r="H61579" t="str">
        <f t="shared" si="1011"/>
        <v/>
      </c>
    </row>
    <row r="61580" spans="8:8" x14ac:dyDescent="0.3">
      <c r="H61580" t="str">
        <f t="shared" si="1011"/>
        <v/>
      </c>
    </row>
    <row r="61581" spans="8:8" x14ac:dyDescent="0.3">
      <c r="H61581" t="str">
        <f t="shared" si="1011"/>
        <v/>
      </c>
    </row>
    <row r="61582" spans="8:8" x14ac:dyDescent="0.3">
      <c r="H61582" t="str">
        <f t="shared" si="1011"/>
        <v/>
      </c>
    </row>
    <row r="61583" spans="8:8" x14ac:dyDescent="0.3">
      <c r="H61583" t="str">
        <f t="shared" si="1011"/>
        <v/>
      </c>
    </row>
    <row r="61584" spans="8:8" x14ac:dyDescent="0.3">
      <c r="H61584" t="str">
        <f t="shared" si="1011"/>
        <v/>
      </c>
    </row>
    <row r="61585" spans="8:8" x14ac:dyDescent="0.3">
      <c r="H61585" t="str">
        <f t="shared" si="1011"/>
        <v/>
      </c>
    </row>
    <row r="61586" spans="8:8" x14ac:dyDescent="0.3">
      <c r="H61586" t="str">
        <f t="shared" si="1011"/>
        <v/>
      </c>
    </row>
    <row r="61587" spans="8:8" x14ac:dyDescent="0.3">
      <c r="H61587" t="str">
        <f t="shared" si="1011"/>
        <v/>
      </c>
    </row>
    <row r="61588" spans="8:8" x14ac:dyDescent="0.3">
      <c r="H61588" t="str">
        <f t="shared" si="1011"/>
        <v/>
      </c>
    </row>
    <row r="61589" spans="8:8" x14ac:dyDescent="0.3">
      <c r="H61589" t="str">
        <f t="shared" si="1011"/>
        <v/>
      </c>
    </row>
    <row r="61590" spans="8:8" x14ac:dyDescent="0.3">
      <c r="H61590" t="str">
        <f t="shared" si="1011"/>
        <v/>
      </c>
    </row>
    <row r="61591" spans="8:8" x14ac:dyDescent="0.3">
      <c r="H61591" t="str">
        <f t="shared" ref="H61591:H61654" si="1012">IF(B61591="","",$C$12)</f>
        <v/>
      </c>
    </row>
    <row r="61592" spans="8:8" x14ac:dyDescent="0.3">
      <c r="H61592" t="str">
        <f t="shared" si="1012"/>
        <v/>
      </c>
    </row>
    <row r="61593" spans="8:8" x14ac:dyDescent="0.3">
      <c r="H61593" t="str">
        <f t="shared" si="1012"/>
        <v/>
      </c>
    </row>
    <row r="61594" spans="8:8" x14ac:dyDescent="0.3">
      <c r="H61594" t="str">
        <f t="shared" si="1012"/>
        <v/>
      </c>
    </row>
    <row r="61595" spans="8:8" x14ac:dyDescent="0.3">
      <c r="H61595" t="str">
        <f t="shared" si="1012"/>
        <v/>
      </c>
    </row>
    <row r="61596" spans="8:8" x14ac:dyDescent="0.3">
      <c r="H61596" t="str">
        <f t="shared" si="1012"/>
        <v/>
      </c>
    </row>
    <row r="61597" spans="8:8" x14ac:dyDescent="0.3">
      <c r="H61597" t="str">
        <f t="shared" si="1012"/>
        <v/>
      </c>
    </row>
    <row r="61598" spans="8:8" x14ac:dyDescent="0.3">
      <c r="H61598" t="str">
        <f t="shared" si="1012"/>
        <v/>
      </c>
    </row>
    <row r="61599" spans="8:8" x14ac:dyDescent="0.3">
      <c r="H61599" t="str">
        <f t="shared" si="1012"/>
        <v/>
      </c>
    </row>
    <row r="61600" spans="8:8" x14ac:dyDescent="0.3">
      <c r="H61600" t="str">
        <f t="shared" si="1012"/>
        <v/>
      </c>
    </row>
    <row r="61601" spans="8:8" x14ac:dyDescent="0.3">
      <c r="H61601" t="str">
        <f t="shared" si="1012"/>
        <v/>
      </c>
    </row>
    <row r="61602" spans="8:8" x14ac:dyDescent="0.3">
      <c r="H61602" t="str">
        <f t="shared" si="1012"/>
        <v/>
      </c>
    </row>
    <row r="61603" spans="8:8" x14ac:dyDescent="0.3">
      <c r="H61603" t="str">
        <f t="shared" si="1012"/>
        <v/>
      </c>
    </row>
    <row r="61604" spans="8:8" x14ac:dyDescent="0.3">
      <c r="H61604" t="str">
        <f t="shared" si="1012"/>
        <v/>
      </c>
    </row>
    <row r="61605" spans="8:8" x14ac:dyDescent="0.3">
      <c r="H61605" t="str">
        <f t="shared" si="1012"/>
        <v/>
      </c>
    </row>
    <row r="61606" spans="8:8" x14ac:dyDescent="0.3">
      <c r="H61606" t="str">
        <f t="shared" si="1012"/>
        <v/>
      </c>
    </row>
    <row r="61607" spans="8:8" x14ac:dyDescent="0.3">
      <c r="H61607" t="str">
        <f t="shared" si="1012"/>
        <v/>
      </c>
    </row>
    <row r="61608" spans="8:8" x14ac:dyDescent="0.3">
      <c r="H61608" t="str">
        <f t="shared" si="1012"/>
        <v/>
      </c>
    </row>
    <row r="61609" spans="8:8" x14ac:dyDescent="0.3">
      <c r="H61609" t="str">
        <f t="shared" si="1012"/>
        <v/>
      </c>
    </row>
    <row r="61610" spans="8:8" x14ac:dyDescent="0.3">
      <c r="H61610" t="str">
        <f t="shared" si="1012"/>
        <v/>
      </c>
    </row>
    <row r="61611" spans="8:8" x14ac:dyDescent="0.3">
      <c r="H61611" t="str">
        <f t="shared" si="1012"/>
        <v/>
      </c>
    </row>
    <row r="61612" spans="8:8" x14ac:dyDescent="0.3">
      <c r="H61612" t="str">
        <f t="shared" si="1012"/>
        <v/>
      </c>
    </row>
    <row r="61613" spans="8:8" x14ac:dyDescent="0.3">
      <c r="H61613" t="str">
        <f t="shared" si="1012"/>
        <v/>
      </c>
    </row>
    <row r="61614" spans="8:8" x14ac:dyDescent="0.3">
      <c r="H61614" t="str">
        <f t="shared" si="1012"/>
        <v/>
      </c>
    </row>
    <row r="61615" spans="8:8" x14ac:dyDescent="0.3">
      <c r="H61615" t="str">
        <f t="shared" si="1012"/>
        <v/>
      </c>
    </row>
    <row r="61616" spans="8:8" x14ac:dyDescent="0.3">
      <c r="H61616" t="str">
        <f t="shared" si="1012"/>
        <v/>
      </c>
    </row>
    <row r="61617" spans="8:8" x14ac:dyDescent="0.3">
      <c r="H61617" t="str">
        <f t="shared" si="1012"/>
        <v/>
      </c>
    </row>
    <row r="61618" spans="8:8" x14ac:dyDescent="0.3">
      <c r="H61618" t="str">
        <f t="shared" si="1012"/>
        <v/>
      </c>
    </row>
    <row r="61619" spans="8:8" x14ac:dyDescent="0.3">
      <c r="H61619" t="str">
        <f t="shared" si="1012"/>
        <v/>
      </c>
    </row>
    <row r="61620" spans="8:8" x14ac:dyDescent="0.3">
      <c r="H61620" t="str">
        <f t="shared" si="1012"/>
        <v/>
      </c>
    </row>
    <row r="61621" spans="8:8" x14ac:dyDescent="0.3">
      <c r="H61621" t="str">
        <f t="shared" si="1012"/>
        <v/>
      </c>
    </row>
    <row r="61622" spans="8:8" x14ac:dyDescent="0.3">
      <c r="H61622" t="str">
        <f t="shared" si="1012"/>
        <v/>
      </c>
    </row>
    <row r="61623" spans="8:8" x14ac:dyDescent="0.3">
      <c r="H61623" t="str">
        <f t="shared" si="1012"/>
        <v/>
      </c>
    </row>
    <row r="61624" spans="8:8" x14ac:dyDescent="0.3">
      <c r="H61624" t="str">
        <f t="shared" si="1012"/>
        <v/>
      </c>
    </row>
    <row r="61625" spans="8:8" x14ac:dyDescent="0.3">
      <c r="H61625" t="str">
        <f t="shared" si="1012"/>
        <v/>
      </c>
    </row>
    <row r="61626" spans="8:8" x14ac:dyDescent="0.3">
      <c r="H61626" t="str">
        <f t="shared" si="1012"/>
        <v/>
      </c>
    </row>
    <row r="61627" spans="8:8" x14ac:dyDescent="0.3">
      <c r="H61627" t="str">
        <f t="shared" si="1012"/>
        <v/>
      </c>
    </row>
    <row r="61628" spans="8:8" x14ac:dyDescent="0.3">
      <c r="H61628" t="str">
        <f t="shared" si="1012"/>
        <v/>
      </c>
    </row>
    <row r="61629" spans="8:8" x14ac:dyDescent="0.3">
      <c r="H61629" t="str">
        <f t="shared" si="1012"/>
        <v/>
      </c>
    </row>
    <row r="61630" spans="8:8" x14ac:dyDescent="0.3">
      <c r="H61630" t="str">
        <f t="shared" si="1012"/>
        <v/>
      </c>
    </row>
    <row r="61631" spans="8:8" x14ac:dyDescent="0.3">
      <c r="H61631" t="str">
        <f t="shared" si="1012"/>
        <v/>
      </c>
    </row>
    <row r="61632" spans="8:8" x14ac:dyDescent="0.3">
      <c r="H61632" t="str">
        <f t="shared" si="1012"/>
        <v/>
      </c>
    </row>
    <row r="61633" spans="8:8" x14ac:dyDescent="0.3">
      <c r="H61633" t="str">
        <f t="shared" si="1012"/>
        <v/>
      </c>
    </row>
    <row r="61634" spans="8:8" x14ac:dyDescent="0.3">
      <c r="H61634" t="str">
        <f t="shared" si="1012"/>
        <v/>
      </c>
    </row>
    <row r="61635" spans="8:8" x14ac:dyDescent="0.3">
      <c r="H61635" t="str">
        <f t="shared" si="1012"/>
        <v/>
      </c>
    </row>
    <row r="61636" spans="8:8" x14ac:dyDescent="0.3">
      <c r="H61636" t="str">
        <f t="shared" si="1012"/>
        <v/>
      </c>
    </row>
    <row r="61637" spans="8:8" x14ac:dyDescent="0.3">
      <c r="H61637" t="str">
        <f t="shared" si="1012"/>
        <v/>
      </c>
    </row>
    <row r="61638" spans="8:8" x14ac:dyDescent="0.3">
      <c r="H61638" t="str">
        <f t="shared" si="1012"/>
        <v/>
      </c>
    </row>
    <row r="61639" spans="8:8" x14ac:dyDescent="0.3">
      <c r="H61639" t="str">
        <f t="shared" si="1012"/>
        <v/>
      </c>
    </row>
    <row r="61640" spans="8:8" x14ac:dyDescent="0.3">
      <c r="H61640" t="str">
        <f t="shared" si="1012"/>
        <v/>
      </c>
    </row>
    <row r="61641" spans="8:8" x14ac:dyDescent="0.3">
      <c r="H61641" t="str">
        <f t="shared" si="1012"/>
        <v/>
      </c>
    </row>
    <row r="61642" spans="8:8" x14ac:dyDescent="0.3">
      <c r="H61642" t="str">
        <f t="shared" si="1012"/>
        <v/>
      </c>
    </row>
    <row r="61643" spans="8:8" x14ac:dyDescent="0.3">
      <c r="H61643" t="str">
        <f t="shared" si="1012"/>
        <v/>
      </c>
    </row>
    <row r="61644" spans="8:8" x14ac:dyDescent="0.3">
      <c r="H61644" t="str">
        <f t="shared" si="1012"/>
        <v/>
      </c>
    </row>
    <row r="61645" spans="8:8" x14ac:dyDescent="0.3">
      <c r="H61645" t="str">
        <f t="shared" si="1012"/>
        <v/>
      </c>
    </row>
    <row r="61646" spans="8:8" x14ac:dyDescent="0.3">
      <c r="H61646" t="str">
        <f t="shared" si="1012"/>
        <v/>
      </c>
    </row>
    <row r="61647" spans="8:8" x14ac:dyDescent="0.3">
      <c r="H61647" t="str">
        <f t="shared" si="1012"/>
        <v/>
      </c>
    </row>
    <row r="61648" spans="8:8" x14ac:dyDescent="0.3">
      <c r="H61648" t="str">
        <f t="shared" si="1012"/>
        <v/>
      </c>
    </row>
    <row r="61649" spans="8:8" x14ac:dyDescent="0.3">
      <c r="H61649" t="str">
        <f t="shared" si="1012"/>
        <v/>
      </c>
    </row>
    <row r="61650" spans="8:8" x14ac:dyDescent="0.3">
      <c r="H61650" t="str">
        <f t="shared" si="1012"/>
        <v/>
      </c>
    </row>
    <row r="61651" spans="8:8" x14ac:dyDescent="0.3">
      <c r="H61651" t="str">
        <f t="shared" si="1012"/>
        <v/>
      </c>
    </row>
    <row r="61652" spans="8:8" x14ac:dyDescent="0.3">
      <c r="H61652" t="str">
        <f t="shared" si="1012"/>
        <v/>
      </c>
    </row>
    <row r="61653" spans="8:8" x14ac:dyDescent="0.3">
      <c r="H61653" t="str">
        <f t="shared" si="1012"/>
        <v/>
      </c>
    </row>
    <row r="61654" spans="8:8" x14ac:dyDescent="0.3">
      <c r="H61654" t="str">
        <f t="shared" si="1012"/>
        <v/>
      </c>
    </row>
    <row r="61655" spans="8:8" x14ac:dyDescent="0.3">
      <c r="H61655" t="str">
        <f t="shared" ref="H61655:H61718" si="1013">IF(B61655="","",$C$12)</f>
        <v/>
      </c>
    </row>
    <row r="61656" spans="8:8" x14ac:dyDescent="0.3">
      <c r="H61656" t="str">
        <f t="shared" si="1013"/>
        <v/>
      </c>
    </row>
    <row r="61657" spans="8:8" x14ac:dyDescent="0.3">
      <c r="H61657" t="str">
        <f t="shared" si="1013"/>
        <v/>
      </c>
    </row>
    <row r="61658" spans="8:8" x14ac:dyDescent="0.3">
      <c r="H61658" t="str">
        <f t="shared" si="1013"/>
        <v/>
      </c>
    </row>
    <row r="61659" spans="8:8" x14ac:dyDescent="0.3">
      <c r="H61659" t="str">
        <f t="shared" si="1013"/>
        <v/>
      </c>
    </row>
    <row r="61660" spans="8:8" x14ac:dyDescent="0.3">
      <c r="H61660" t="str">
        <f t="shared" si="1013"/>
        <v/>
      </c>
    </row>
    <row r="61661" spans="8:8" x14ac:dyDescent="0.3">
      <c r="H61661" t="str">
        <f t="shared" si="1013"/>
        <v/>
      </c>
    </row>
    <row r="61662" spans="8:8" x14ac:dyDescent="0.3">
      <c r="H61662" t="str">
        <f t="shared" si="1013"/>
        <v/>
      </c>
    </row>
    <row r="61663" spans="8:8" x14ac:dyDescent="0.3">
      <c r="H61663" t="str">
        <f t="shared" si="1013"/>
        <v/>
      </c>
    </row>
    <row r="61664" spans="8:8" x14ac:dyDescent="0.3">
      <c r="H61664" t="str">
        <f t="shared" si="1013"/>
        <v/>
      </c>
    </row>
    <row r="61665" spans="8:8" x14ac:dyDescent="0.3">
      <c r="H61665" t="str">
        <f t="shared" si="1013"/>
        <v/>
      </c>
    </row>
    <row r="61666" spans="8:8" x14ac:dyDescent="0.3">
      <c r="H61666" t="str">
        <f t="shared" si="1013"/>
        <v/>
      </c>
    </row>
    <row r="61667" spans="8:8" x14ac:dyDescent="0.3">
      <c r="H61667" t="str">
        <f t="shared" si="1013"/>
        <v/>
      </c>
    </row>
    <row r="61668" spans="8:8" x14ac:dyDescent="0.3">
      <c r="H61668" t="str">
        <f t="shared" si="1013"/>
        <v/>
      </c>
    </row>
    <row r="61669" spans="8:8" x14ac:dyDescent="0.3">
      <c r="H61669" t="str">
        <f t="shared" si="1013"/>
        <v/>
      </c>
    </row>
    <row r="61670" spans="8:8" x14ac:dyDescent="0.3">
      <c r="H61670" t="str">
        <f t="shared" si="1013"/>
        <v/>
      </c>
    </row>
    <row r="61671" spans="8:8" x14ac:dyDescent="0.3">
      <c r="H61671" t="str">
        <f t="shared" si="1013"/>
        <v/>
      </c>
    </row>
    <row r="61672" spans="8:8" x14ac:dyDescent="0.3">
      <c r="H61672" t="str">
        <f t="shared" si="1013"/>
        <v/>
      </c>
    </row>
    <row r="61673" spans="8:8" x14ac:dyDescent="0.3">
      <c r="H61673" t="str">
        <f t="shared" si="1013"/>
        <v/>
      </c>
    </row>
    <row r="61674" spans="8:8" x14ac:dyDescent="0.3">
      <c r="H61674" t="str">
        <f t="shared" si="1013"/>
        <v/>
      </c>
    </row>
    <row r="61675" spans="8:8" x14ac:dyDescent="0.3">
      <c r="H61675" t="str">
        <f t="shared" si="1013"/>
        <v/>
      </c>
    </row>
    <row r="61676" spans="8:8" x14ac:dyDescent="0.3">
      <c r="H61676" t="str">
        <f t="shared" si="1013"/>
        <v/>
      </c>
    </row>
    <row r="61677" spans="8:8" x14ac:dyDescent="0.3">
      <c r="H61677" t="str">
        <f t="shared" si="1013"/>
        <v/>
      </c>
    </row>
    <row r="61678" spans="8:8" x14ac:dyDescent="0.3">
      <c r="H61678" t="str">
        <f t="shared" si="1013"/>
        <v/>
      </c>
    </row>
    <row r="61679" spans="8:8" x14ac:dyDescent="0.3">
      <c r="H61679" t="str">
        <f t="shared" si="1013"/>
        <v/>
      </c>
    </row>
    <row r="61680" spans="8:8" x14ac:dyDescent="0.3">
      <c r="H61680" t="str">
        <f t="shared" si="1013"/>
        <v/>
      </c>
    </row>
    <row r="61681" spans="8:8" x14ac:dyDescent="0.3">
      <c r="H61681" t="str">
        <f t="shared" si="1013"/>
        <v/>
      </c>
    </row>
    <row r="61682" spans="8:8" x14ac:dyDescent="0.3">
      <c r="H61682" t="str">
        <f t="shared" si="1013"/>
        <v/>
      </c>
    </row>
    <row r="61683" spans="8:8" x14ac:dyDescent="0.3">
      <c r="H61683" t="str">
        <f t="shared" si="1013"/>
        <v/>
      </c>
    </row>
    <row r="61684" spans="8:8" x14ac:dyDescent="0.3">
      <c r="H61684" t="str">
        <f t="shared" si="1013"/>
        <v/>
      </c>
    </row>
    <row r="61685" spans="8:8" x14ac:dyDescent="0.3">
      <c r="H61685" t="str">
        <f t="shared" si="1013"/>
        <v/>
      </c>
    </row>
    <row r="61686" spans="8:8" x14ac:dyDescent="0.3">
      <c r="H61686" t="str">
        <f t="shared" si="1013"/>
        <v/>
      </c>
    </row>
    <row r="61687" spans="8:8" x14ac:dyDescent="0.3">
      <c r="H61687" t="str">
        <f t="shared" si="1013"/>
        <v/>
      </c>
    </row>
    <row r="61688" spans="8:8" x14ac:dyDescent="0.3">
      <c r="H61688" t="str">
        <f t="shared" si="1013"/>
        <v/>
      </c>
    </row>
    <row r="61689" spans="8:8" x14ac:dyDescent="0.3">
      <c r="H61689" t="str">
        <f t="shared" si="1013"/>
        <v/>
      </c>
    </row>
    <row r="61690" spans="8:8" x14ac:dyDescent="0.3">
      <c r="H61690" t="str">
        <f t="shared" si="1013"/>
        <v/>
      </c>
    </row>
    <row r="61691" spans="8:8" x14ac:dyDescent="0.3">
      <c r="H61691" t="str">
        <f t="shared" si="1013"/>
        <v/>
      </c>
    </row>
    <row r="61692" spans="8:8" x14ac:dyDescent="0.3">
      <c r="H61692" t="str">
        <f t="shared" si="1013"/>
        <v/>
      </c>
    </row>
    <row r="61693" spans="8:8" x14ac:dyDescent="0.3">
      <c r="H61693" t="str">
        <f t="shared" si="1013"/>
        <v/>
      </c>
    </row>
    <row r="61694" spans="8:8" x14ac:dyDescent="0.3">
      <c r="H61694" t="str">
        <f t="shared" si="1013"/>
        <v/>
      </c>
    </row>
    <row r="61695" spans="8:8" x14ac:dyDescent="0.3">
      <c r="H61695" t="str">
        <f t="shared" si="1013"/>
        <v/>
      </c>
    </row>
    <row r="61696" spans="8:8" x14ac:dyDescent="0.3">
      <c r="H61696" t="str">
        <f t="shared" si="1013"/>
        <v/>
      </c>
    </row>
    <row r="61697" spans="8:8" x14ac:dyDescent="0.3">
      <c r="H61697" t="str">
        <f t="shared" si="1013"/>
        <v/>
      </c>
    </row>
    <row r="61698" spans="8:8" x14ac:dyDescent="0.3">
      <c r="H61698" t="str">
        <f t="shared" si="1013"/>
        <v/>
      </c>
    </row>
    <row r="61699" spans="8:8" x14ac:dyDescent="0.3">
      <c r="H61699" t="str">
        <f t="shared" si="1013"/>
        <v/>
      </c>
    </row>
    <row r="61700" spans="8:8" x14ac:dyDescent="0.3">
      <c r="H61700" t="str">
        <f t="shared" si="1013"/>
        <v/>
      </c>
    </row>
    <row r="61701" spans="8:8" x14ac:dyDescent="0.3">
      <c r="H61701" t="str">
        <f t="shared" si="1013"/>
        <v/>
      </c>
    </row>
    <row r="61702" spans="8:8" x14ac:dyDescent="0.3">
      <c r="H61702" t="str">
        <f t="shared" si="1013"/>
        <v/>
      </c>
    </row>
    <row r="61703" spans="8:8" x14ac:dyDescent="0.3">
      <c r="H61703" t="str">
        <f t="shared" si="1013"/>
        <v/>
      </c>
    </row>
    <row r="61704" spans="8:8" x14ac:dyDescent="0.3">
      <c r="H61704" t="str">
        <f t="shared" si="1013"/>
        <v/>
      </c>
    </row>
    <row r="61705" spans="8:8" x14ac:dyDescent="0.3">
      <c r="H61705" t="str">
        <f t="shared" si="1013"/>
        <v/>
      </c>
    </row>
    <row r="61706" spans="8:8" x14ac:dyDescent="0.3">
      <c r="H61706" t="str">
        <f t="shared" si="1013"/>
        <v/>
      </c>
    </row>
    <row r="61707" spans="8:8" x14ac:dyDescent="0.3">
      <c r="H61707" t="str">
        <f t="shared" si="1013"/>
        <v/>
      </c>
    </row>
    <row r="61708" spans="8:8" x14ac:dyDescent="0.3">
      <c r="H61708" t="str">
        <f t="shared" si="1013"/>
        <v/>
      </c>
    </row>
    <row r="61709" spans="8:8" x14ac:dyDescent="0.3">
      <c r="H61709" t="str">
        <f t="shared" si="1013"/>
        <v/>
      </c>
    </row>
    <row r="61710" spans="8:8" x14ac:dyDescent="0.3">
      <c r="H61710" t="str">
        <f t="shared" si="1013"/>
        <v/>
      </c>
    </row>
    <row r="61711" spans="8:8" x14ac:dyDescent="0.3">
      <c r="H61711" t="str">
        <f t="shared" si="1013"/>
        <v/>
      </c>
    </row>
    <row r="61712" spans="8:8" x14ac:dyDescent="0.3">
      <c r="H61712" t="str">
        <f t="shared" si="1013"/>
        <v/>
      </c>
    </row>
    <row r="61713" spans="8:8" x14ac:dyDescent="0.3">
      <c r="H61713" t="str">
        <f t="shared" si="1013"/>
        <v/>
      </c>
    </row>
    <row r="61714" spans="8:8" x14ac:dyDescent="0.3">
      <c r="H61714" t="str">
        <f t="shared" si="1013"/>
        <v/>
      </c>
    </row>
    <row r="61715" spans="8:8" x14ac:dyDescent="0.3">
      <c r="H61715" t="str">
        <f t="shared" si="1013"/>
        <v/>
      </c>
    </row>
    <row r="61716" spans="8:8" x14ac:dyDescent="0.3">
      <c r="H61716" t="str">
        <f t="shared" si="1013"/>
        <v/>
      </c>
    </row>
    <row r="61717" spans="8:8" x14ac:dyDescent="0.3">
      <c r="H61717" t="str">
        <f t="shared" si="1013"/>
        <v/>
      </c>
    </row>
    <row r="61718" spans="8:8" x14ac:dyDescent="0.3">
      <c r="H61718" t="str">
        <f t="shared" si="1013"/>
        <v/>
      </c>
    </row>
    <row r="61719" spans="8:8" x14ac:dyDescent="0.3">
      <c r="H61719" t="str">
        <f t="shared" ref="H61719:H61782" si="1014">IF(B61719="","",$C$12)</f>
        <v/>
      </c>
    </row>
    <row r="61720" spans="8:8" x14ac:dyDescent="0.3">
      <c r="H61720" t="str">
        <f t="shared" si="1014"/>
        <v/>
      </c>
    </row>
    <row r="61721" spans="8:8" x14ac:dyDescent="0.3">
      <c r="H61721" t="str">
        <f t="shared" si="1014"/>
        <v/>
      </c>
    </row>
    <row r="61722" spans="8:8" x14ac:dyDescent="0.3">
      <c r="H61722" t="str">
        <f t="shared" si="1014"/>
        <v/>
      </c>
    </row>
    <row r="61723" spans="8:8" x14ac:dyDescent="0.3">
      <c r="H61723" t="str">
        <f t="shared" si="1014"/>
        <v/>
      </c>
    </row>
    <row r="61724" spans="8:8" x14ac:dyDescent="0.3">
      <c r="H61724" t="str">
        <f t="shared" si="1014"/>
        <v/>
      </c>
    </row>
    <row r="61725" spans="8:8" x14ac:dyDescent="0.3">
      <c r="H61725" t="str">
        <f t="shared" si="1014"/>
        <v/>
      </c>
    </row>
    <row r="61726" spans="8:8" x14ac:dyDescent="0.3">
      <c r="H61726" t="str">
        <f t="shared" si="1014"/>
        <v/>
      </c>
    </row>
    <row r="61727" spans="8:8" x14ac:dyDescent="0.3">
      <c r="H61727" t="str">
        <f t="shared" si="1014"/>
        <v/>
      </c>
    </row>
    <row r="61728" spans="8:8" x14ac:dyDescent="0.3">
      <c r="H61728" t="str">
        <f t="shared" si="1014"/>
        <v/>
      </c>
    </row>
    <row r="61729" spans="8:8" x14ac:dyDescent="0.3">
      <c r="H61729" t="str">
        <f t="shared" si="1014"/>
        <v/>
      </c>
    </row>
    <row r="61730" spans="8:8" x14ac:dyDescent="0.3">
      <c r="H61730" t="str">
        <f t="shared" si="1014"/>
        <v/>
      </c>
    </row>
    <row r="61731" spans="8:8" x14ac:dyDescent="0.3">
      <c r="H61731" t="str">
        <f t="shared" si="1014"/>
        <v/>
      </c>
    </row>
    <row r="61732" spans="8:8" x14ac:dyDescent="0.3">
      <c r="H61732" t="str">
        <f t="shared" si="1014"/>
        <v/>
      </c>
    </row>
    <row r="61733" spans="8:8" x14ac:dyDescent="0.3">
      <c r="H61733" t="str">
        <f t="shared" si="1014"/>
        <v/>
      </c>
    </row>
    <row r="61734" spans="8:8" x14ac:dyDescent="0.3">
      <c r="H61734" t="str">
        <f t="shared" si="1014"/>
        <v/>
      </c>
    </row>
    <row r="61735" spans="8:8" x14ac:dyDescent="0.3">
      <c r="H61735" t="str">
        <f t="shared" si="1014"/>
        <v/>
      </c>
    </row>
    <row r="61736" spans="8:8" x14ac:dyDescent="0.3">
      <c r="H61736" t="str">
        <f t="shared" si="1014"/>
        <v/>
      </c>
    </row>
    <row r="61737" spans="8:8" x14ac:dyDescent="0.3">
      <c r="H61737" t="str">
        <f t="shared" si="1014"/>
        <v/>
      </c>
    </row>
    <row r="61738" spans="8:8" x14ac:dyDescent="0.3">
      <c r="H61738" t="str">
        <f t="shared" si="1014"/>
        <v/>
      </c>
    </row>
    <row r="61739" spans="8:8" x14ac:dyDescent="0.3">
      <c r="H61739" t="str">
        <f t="shared" si="1014"/>
        <v/>
      </c>
    </row>
    <row r="61740" spans="8:8" x14ac:dyDescent="0.3">
      <c r="H61740" t="str">
        <f t="shared" si="1014"/>
        <v/>
      </c>
    </row>
    <row r="61741" spans="8:8" x14ac:dyDescent="0.3">
      <c r="H61741" t="str">
        <f t="shared" si="1014"/>
        <v/>
      </c>
    </row>
    <row r="61742" spans="8:8" x14ac:dyDescent="0.3">
      <c r="H61742" t="str">
        <f t="shared" si="1014"/>
        <v/>
      </c>
    </row>
    <row r="61743" spans="8:8" x14ac:dyDescent="0.3">
      <c r="H61743" t="str">
        <f t="shared" si="1014"/>
        <v/>
      </c>
    </row>
    <row r="61744" spans="8:8" x14ac:dyDescent="0.3">
      <c r="H61744" t="str">
        <f t="shared" si="1014"/>
        <v/>
      </c>
    </row>
    <row r="61745" spans="8:8" x14ac:dyDescent="0.3">
      <c r="H61745" t="str">
        <f t="shared" si="1014"/>
        <v/>
      </c>
    </row>
    <row r="61746" spans="8:8" x14ac:dyDescent="0.3">
      <c r="H61746" t="str">
        <f t="shared" si="1014"/>
        <v/>
      </c>
    </row>
    <row r="61747" spans="8:8" x14ac:dyDescent="0.3">
      <c r="H61747" t="str">
        <f t="shared" si="1014"/>
        <v/>
      </c>
    </row>
    <row r="61748" spans="8:8" x14ac:dyDescent="0.3">
      <c r="H61748" t="str">
        <f t="shared" si="1014"/>
        <v/>
      </c>
    </row>
    <row r="61749" spans="8:8" x14ac:dyDescent="0.3">
      <c r="H61749" t="str">
        <f t="shared" si="1014"/>
        <v/>
      </c>
    </row>
    <row r="61750" spans="8:8" x14ac:dyDescent="0.3">
      <c r="H61750" t="str">
        <f t="shared" si="1014"/>
        <v/>
      </c>
    </row>
    <row r="61751" spans="8:8" x14ac:dyDescent="0.3">
      <c r="H61751" t="str">
        <f t="shared" si="1014"/>
        <v/>
      </c>
    </row>
    <row r="61752" spans="8:8" x14ac:dyDescent="0.3">
      <c r="H61752" t="str">
        <f t="shared" si="1014"/>
        <v/>
      </c>
    </row>
    <row r="61753" spans="8:8" x14ac:dyDescent="0.3">
      <c r="H61753" t="str">
        <f t="shared" si="1014"/>
        <v/>
      </c>
    </row>
    <row r="61754" spans="8:8" x14ac:dyDescent="0.3">
      <c r="H61754" t="str">
        <f t="shared" si="1014"/>
        <v/>
      </c>
    </row>
    <row r="61755" spans="8:8" x14ac:dyDescent="0.3">
      <c r="H61755" t="str">
        <f t="shared" si="1014"/>
        <v/>
      </c>
    </row>
    <row r="61756" spans="8:8" x14ac:dyDescent="0.3">
      <c r="H61756" t="str">
        <f t="shared" si="1014"/>
        <v/>
      </c>
    </row>
    <row r="61757" spans="8:8" x14ac:dyDescent="0.3">
      <c r="H61757" t="str">
        <f t="shared" si="1014"/>
        <v/>
      </c>
    </row>
    <row r="61758" spans="8:8" x14ac:dyDescent="0.3">
      <c r="H61758" t="str">
        <f t="shared" si="1014"/>
        <v/>
      </c>
    </row>
    <row r="61759" spans="8:8" x14ac:dyDescent="0.3">
      <c r="H61759" t="str">
        <f t="shared" si="1014"/>
        <v/>
      </c>
    </row>
    <row r="61760" spans="8:8" x14ac:dyDescent="0.3">
      <c r="H61760" t="str">
        <f t="shared" si="1014"/>
        <v/>
      </c>
    </row>
    <row r="61761" spans="8:8" x14ac:dyDescent="0.3">
      <c r="H61761" t="str">
        <f t="shared" si="1014"/>
        <v/>
      </c>
    </row>
    <row r="61762" spans="8:8" x14ac:dyDescent="0.3">
      <c r="H61762" t="str">
        <f t="shared" si="1014"/>
        <v/>
      </c>
    </row>
    <row r="61763" spans="8:8" x14ac:dyDescent="0.3">
      <c r="H61763" t="str">
        <f t="shared" si="1014"/>
        <v/>
      </c>
    </row>
    <row r="61764" spans="8:8" x14ac:dyDescent="0.3">
      <c r="H61764" t="str">
        <f t="shared" si="1014"/>
        <v/>
      </c>
    </row>
    <row r="61765" spans="8:8" x14ac:dyDescent="0.3">
      <c r="H61765" t="str">
        <f t="shared" si="1014"/>
        <v/>
      </c>
    </row>
    <row r="61766" spans="8:8" x14ac:dyDescent="0.3">
      <c r="H61766" t="str">
        <f t="shared" si="1014"/>
        <v/>
      </c>
    </row>
    <row r="61767" spans="8:8" x14ac:dyDescent="0.3">
      <c r="H61767" t="str">
        <f t="shared" si="1014"/>
        <v/>
      </c>
    </row>
    <row r="61768" spans="8:8" x14ac:dyDescent="0.3">
      <c r="H61768" t="str">
        <f t="shared" si="1014"/>
        <v/>
      </c>
    </row>
    <row r="61769" spans="8:8" x14ac:dyDescent="0.3">
      <c r="H61769" t="str">
        <f t="shared" si="1014"/>
        <v/>
      </c>
    </row>
    <row r="61770" spans="8:8" x14ac:dyDescent="0.3">
      <c r="H61770" t="str">
        <f t="shared" si="1014"/>
        <v/>
      </c>
    </row>
    <row r="61771" spans="8:8" x14ac:dyDescent="0.3">
      <c r="H61771" t="str">
        <f t="shared" si="1014"/>
        <v/>
      </c>
    </row>
    <row r="61772" spans="8:8" x14ac:dyDescent="0.3">
      <c r="H61772" t="str">
        <f t="shared" si="1014"/>
        <v/>
      </c>
    </row>
    <row r="61773" spans="8:8" x14ac:dyDescent="0.3">
      <c r="H61773" t="str">
        <f t="shared" si="1014"/>
        <v/>
      </c>
    </row>
    <row r="61774" spans="8:8" x14ac:dyDescent="0.3">
      <c r="H61774" t="str">
        <f t="shared" si="1014"/>
        <v/>
      </c>
    </row>
    <row r="61775" spans="8:8" x14ac:dyDescent="0.3">
      <c r="H61775" t="str">
        <f t="shared" si="1014"/>
        <v/>
      </c>
    </row>
    <row r="61776" spans="8:8" x14ac:dyDescent="0.3">
      <c r="H61776" t="str">
        <f t="shared" si="1014"/>
        <v/>
      </c>
    </row>
    <row r="61777" spans="8:8" x14ac:dyDescent="0.3">
      <c r="H61777" t="str">
        <f t="shared" si="1014"/>
        <v/>
      </c>
    </row>
    <row r="61778" spans="8:8" x14ac:dyDescent="0.3">
      <c r="H61778" t="str">
        <f t="shared" si="1014"/>
        <v/>
      </c>
    </row>
    <row r="61779" spans="8:8" x14ac:dyDescent="0.3">
      <c r="H61779" t="str">
        <f t="shared" si="1014"/>
        <v/>
      </c>
    </row>
    <row r="61780" spans="8:8" x14ac:dyDescent="0.3">
      <c r="H61780" t="str">
        <f t="shared" si="1014"/>
        <v/>
      </c>
    </row>
    <row r="61781" spans="8:8" x14ac:dyDescent="0.3">
      <c r="H61781" t="str">
        <f t="shared" si="1014"/>
        <v/>
      </c>
    </row>
    <row r="61782" spans="8:8" x14ac:dyDescent="0.3">
      <c r="H61782" t="str">
        <f t="shared" si="1014"/>
        <v/>
      </c>
    </row>
    <row r="61783" spans="8:8" x14ac:dyDescent="0.3">
      <c r="H61783" t="str">
        <f t="shared" ref="H61783:H61846" si="1015">IF(B61783="","",$C$12)</f>
        <v/>
      </c>
    </row>
    <row r="61784" spans="8:8" x14ac:dyDescent="0.3">
      <c r="H61784" t="str">
        <f t="shared" si="1015"/>
        <v/>
      </c>
    </row>
    <row r="61785" spans="8:8" x14ac:dyDescent="0.3">
      <c r="H61785" t="str">
        <f t="shared" si="1015"/>
        <v/>
      </c>
    </row>
    <row r="61786" spans="8:8" x14ac:dyDescent="0.3">
      <c r="H61786" t="str">
        <f t="shared" si="1015"/>
        <v/>
      </c>
    </row>
    <row r="61787" spans="8:8" x14ac:dyDescent="0.3">
      <c r="H61787" t="str">
        <f t="shared" si="1015"/>
        <v/>
      </c>
    </row>
    <row r="61788" spans="8:8" x14ac:dyDescent="0.3">
      <c r="H61788" t="str">
        <f t="shared" si="1015"/>
        <v/>
      </c>
    </row>
    <row r="61789" spans="8:8" x14ac:dyDescent="0.3">
      <c r="H61789" t="str">
        <f t="shared" si="1015"/>
        <v/>
      </c>
    </row>
    <row r="61790" spans="8:8" x14ac:dyDescent="0.3">
      <c r="H61790" t="str">
        <f t="shared" si="1015"/>
        <v/>
      </c>
    </row>
    <row r="61791" spans="8:8" x14ac:dyDescent="0.3">
      <c r="H61791" t="str">
        <f t="shared" si="1015"/>
        <v/>
      </c>
    </row>
    <row r="61792" spans="8:8" x14ac:dyDescent="0.3">
      <c r="H61792" t="str">
        <f t="shared" si="1015"/>
        <v/>
      </c>
    </row>
    <row r="61793" spans="8:8" x14ac:dyDescent="0.3">
      <c r="H61793" t="str">
        <f t="shared" si="1015"/>
        <v/>
      </c>
    </row>
    <row r="61794" spans="8:8" x14ac:dyDescent="0.3">
      <c r="H61794" t="str">
        <f t="shared" si="1015"/>
        <v/>
      </c>
    </row>
    <row r="61795" spans="8:8" x14ac:dyDescent="0.3">
      <c r="H61795" t="str">
        <f t="shared" si="1015"/>
        <v/>
      </c>
    </row>
    <row r="61796" spans="8:8" x14ac:dyDescent="0.3">
      <c r="H61796" t="str">
        <f t="shared" si="1015"/>
        <v/>
      </c>
    </row>
    <row r="61797" spans="8:8" x14ac:dyDescent="0.3">
      <c r="H61797" t="str">
        <f t="shared" si="1015"/>
        <v/>
      </c>
    </row>
    <row r="61798" spans="8:8" x14ac:dyDescent="0.3">
      <c r="H61798" t="str">
        <f t="shared" si="1015"/>
        <v/>
      </c>
    </row>
    <row r="61799" spans="8:8" x14ac:dyDescent="0.3">
      <c r="H61799" t="str">
        <f t="shared" si="1015"/>
        <v/>
      </c>
    </row>
    <row r="61800" spans="8:8" x14ac:dyDescent="0.3">
      <c r="H61800" t="str">
        <f t="shared" si="1015"/>
        <v/>
      </c>
    </row>
    <row r="61801" spans="8:8" x14ac:dyDescent="0.3">
      <c r="H61801" t="str">
        <f t="shared" si="1015"/>
        <v/>
      </c>
    </row>
    <row r="61802" spans="8:8" x14ac:dyDescent="0.3">
      <c r="H61802" t="str">
        <f t="shared" si="1015"/>
        <v/>
      </c>
    </row>
    <row r="61803" spans="8:8" x14ac:dyDescent="0.3">
      <c r="H61803" t="str">
        <f t="shared" si="1015"/>
        <v/>
      </c>
    </row>
    <row r="61804" spans="8:8" x14ac:dyDescent="0.3">
      <c r="H61804" t="str">
        <f t="shared" si="1015"/>
        <v/>
      </c>
    </row>
    <row r="61805" spans="8:8" x14ac:dyDescent="0.3">
      <c r="H61805" t="str">
        <f t="shared" si="1015"/>
        <v/>
      </c>
    </row>
    <row r="61806" spans="8:8" x14ac:dyDescent="0.3">
      <c r="H61806" t="str">
        <f t="shared" si="1015"/>
        <v/>
      </c>
    </row>
    <row r="61807" spans="8:8" x14ac:dyDescent="0.3">
      <c r="H61807" t="str">
        <f t="shared" si="1015"/>
        <v/>
      </c>
    </row>
    <row r="61808" spans="8:8" x14ac:dyDescent="0.3">
      <c r="H61808" t="str">
        <f t="shared" si="1015"/>
        <v/>
      </c>
    </row>
    <row r="61809" spans="8:8" x14ac:dyDescent="0.3">
      <c r="H61809" t="str">
        <f t="shared" si="1015"/>
        <v/>
      </c>
    </row>
    <row r="61810" spans="8:8" x14ac:dyDescent="0.3">
      <c r="H61810" t="str">
        <f t="shared" si="1015"/>
        <v/>
      </c>
    </row>
    <row r="61811" spans="8:8" x14ac:dyDescent="0.3">
      <c r="H61811" t="str">
        <f t="shared" si="1015"/>
        <v/>
      </c>
    </row>
    <row r="61812" spans="8:8" x14ac:dyDescent="0.3">
      <c r="H61812" t="str">
        <f t="shared" si="1015"/>
        <v/>
      </c>
    </row>
    <row r="61813" spans="8:8" x14ac:dyDescent="0.3">
      <c r="H61813" t="str">
        <f t="shared" si="1015"/>
        <v/>
      </c>
    </row>
    <row r="61814" spans="8:8" x14ac:dyDescent="0.3">
      <c r="H61814" t="str">
        <f t="shared" si="1015"/>
        <v/>
      </c>
    </row>
    <row r="61815" spans="8:8" x14ac:dyDescent="0.3">
      <c r="H61815" t="str">
        <f t="shared" si="1015"/>
        <v/>
      </c>
    </row>
    <row r="61816" spans="8:8" x14ac:dyDescent="0.3">
      <c r="H61816" t="str">
        <f t="shared" si="1015"/>
        <v/>
      </c>
    </row>
    <row r="61817" spans="8:8" x14ac:dyDescent="0.3">
      <c r="H61817" t="str">
        <f t="shared" si="1015"/>
        <v/>
      </c>
    </row>
    <row r="61818" spans="8:8" x14ac:dyDescent="0.3">
      <c r="H61818" t="str">
        <f t="shared" si="1015"/>
        <v/>
      </c>
    </row>
    <row r="61819" spans="8:8" x14ac:dyDescent="0.3">
      <c r="H61819" t="str">
        <f t="shared" si="1015"/>
        <v/>
      </c>
    </row>
    <row r="61820" spans="8:8" x14ac:dyDescent="0.3">
      <c r="H61820" t="str">
        <f t="shared" si="1015"/>
        <v/>
      </c>
    </row>
    <row r="61821" spans="8:8" x14ac:dyDescent="0.3">
      <c r="H61821" t="str">
        <f t="shared" si="1015"/>
        <v/>
      </c>
    </row>
    <row r="61822" spans="8:8" x14ac:dyDescent="0.3">
      <c r="H61822" t="str">
        <f t="shared" si="1015"/>
        <v/>
      </c>
    </row>
    <row r="61823" spans="8:8" x14ac:dyDescent="0.3">
      <c r="H61823" t="str">
        <f t="shared" si="1015"/>
        <v/>
      </c>
    </row>
    <row r="61824" spans="8:8" x14ac:dyDescent="0.3">
      <c r="H61824" t="str">
        <f t="shared" si="1015"/>
        <v/>
      </c>
    </row>
    <row r="61825" spans="8:8" x14ac:dyDescent="0.3">
      <c r="H61825" t="str">
        <f t="shared" si="1015"/>
        <v/>
      </c>
    </row>
    <row r="61826" spans="8:8" x14ac:dyDescent="0.3">
      <c r="H61826" t="str">
        <f t="shared" si="1015"/>
        <v/>
      </c>
    </row>
    <row r="61827" spans="8:8" x14ac:dyDescent="0.3">
      <c r="H61827" t="str">
        <f t="shared" si="1015"/>
        <v/>
      </c>
    </row>
    <row r="61828" spans="8:8" x14ac:dyDescent="0.3">
      <c r="H61828" t="str">
        <f t="shared" si="1015"/>
        <v/>
      </c>
    </row>
    <row r="61829" spans="8:8" x14ac:dyDescent="0.3">
      <c r="H61829" t="str">
        <f t="shared" si="1015"/>
        <v/>
      </c>
    </row>
    <row r="61830" spans="8:8" x14ac:dyDescent="0.3">
      <c r="H61830" t="str">
        <f t="shared" si="1015"/>
        <v/>
      </c>
    </row>
    <row r="61831" spans="8:8" x14ac:dyDescent="0.3">
      <c r="H61831" t="str">
        <f t="shared" si="1015"/>
        <v/>
      </c>
    </row>
    <row r="61832" spans="8:8" x14ac:dyDescent="0.3">
      <c r="H61832" t="str">
        <f t="shared" si="1015"/>
        <v/>
      </c>
    </row>
    <row r="61833" spans="8:8" x14ac:dyDescent="0.3">
      <c r="H61833" t="str">
        <f t="shared" si="1015"/>
        <v/>
      </c>
    </row>
    <row r="61834" spans="8:8" x14ac:dyDescent="0.3">
      <c r="H61834" t="str">
        <f t="shared" si="1015"/>
        <v/>
      </c>
    </row>
    <row r="61835" spans="8:8" x14ac:dyDescent="0.3">
      <c r="H61835" t="str">
        <f t="shared" si="1015"/>
        <v/>
      </c>
    </row>
    <row r="61836" spans="8:8" x14ac:dyDescent="0.3">
      <c r="H61836" t="str">
        <f t="shared" si="1015"/>
        <v/>
      </c>
    </row>
    <row r="61837" spans="8:8" x14ac:dyDescent="0.3">
      <c r="H61837" t="str">
        <f t="shared" si="1015"/>
        <v/>
      </c>
    </row>
    <row r="61838" spans="8:8" x14ac:dyDescent="0.3">
      <c r="H61838" t="str">
        <f t="shared" si="1015"/>
        <v/>
      </c>
    </row>
    <row r="61839" spans="8:8" x14ac:dyDescent="0.3">
      <c r="H61839" t="str">
        <f t="shared" si="1015"/>
        <v/>
      </c>
    </row>
    <row r="61840" spans="8:8" x14ac:dyDescent="0.3">
      <c r="H61840" t="str">
        <f t="shared" si="1015"/>
        <v/>
      </c>
    </row>
    <row r="61841" spans="8:8" x14ac:dyDescent="0.3">
      <c r="H61841" t="str">
        <f t="shared" si="1015"/>
        <v/>
      </c>
    </row>
    <row r="61842" spans="8:8" x14ac:dyDescent="0.3">
      <c r="H61842" t="str">
        <f t="shared" si="1015"/>
        <v/>
      </c>
    </row>
    <row r="61843" spans="8:8" x14ac:dyDescent="0.3">
      <c r="H61843" t="str">
        <f t="shared" si="1015"/>
        <v/>
      </c>
    </row>
    <row r="61844" spans="8:8" x14ac:dyDescent="0.3">
      <c r="H61844" t="str">
        <f t="shared" si="1015"/>
        <v/>
      </c>
    </row>
    <row r="61845" spans="8:8" x14ac:dyDescent="0.3">
      <c r="H61845" t="str">
        <f t="shared" si="1015"/>
        <v/>
      </c>
    </row>
    <row r="61846" spans="8:8" x14ac:dyDescent="0.3">
      <c r="H61846" t="str">
        <f t="shared" si="1015"/>
        <v/>
      </c>
    </row>
    <row r="61847" spans="8:8" x14ac:dyDescent="0.3">
      <c r="H61847" t="str">
        <f t="shared" ref="H61847:H61910" si="1016">IF(B61847="","",$C$12)</f>
        <v/>
      </c>
    </row>
    <row r="61848" spans="8:8" x14ac:dyDescent="0.3">
      <c r="H61848" t="str">
        <f t="shared" si="1016"/>
        <v/>
      </c>
    </row>
    <row r="61849" spans="8:8" x14ac:dyDescent="0.3">
      <c r="H61849" t="str">
        <f t="shared" si="1016"/>
        <v/>
      </c>
    </row>
    <row r="61850" spans="8:8" x14ac:dyDescent="0.3">
      <c r="H61850" t="str">
        <f t="shared" si="1016"/>
        <v/>
      </c>
    </row>
    <row r="61851" spans="8:8" x14ac:dyDescent="0.3">
      <c r="H61851" t="str">
        <f t="shared" si="1016"/>
        <v/>
      </c>
    </row>
    <row r="61852" spans="8:8" x14ac:dyDescent="0.3">
      <c r="H61852" t="str">
        <f t="shared" si="1016"/>
        <v/>
      </c>
    </row>
    <row r="61853" spans="8:8" x14ac:dyDescent="0.3">
      <c r="H61853" t="str">
        <f t="shared" si="1016"/>
        <v/>
      </c>
    </row>
    <row r="61854" spans="8:8" x14ac:dyDescent="0.3">
      <c r="H61854" t="str">
        <f t="shared" si="1016"/>
        <v/>
      </c>
    </row>
    <row r="61855" spans="8:8" x14ac:dyDescent="0.3">
      <c r="H61855" t="str">
        <f t="shared" si="1016"/>
        <v/>
      </c>
    </row>
    <row r="61856" spans="8:8" x14ac:dyDescent="0.3">
      <c r="H61856" t="str">
        <f t="shared" si="1016"/>
        <v/>
      </c>
    </row>
    <row r="61857" spans="8:8" x14ac:dyDescent="0.3">
      <c r="H61857" t="str">
        <f t="shared" si="1016"/>
        <v/>
      </c>
    </row>
    <row r="61858" spans="8:8" x14ac:dyDescent="0.3">
      <c r="H61858" t="str">
        <f t="shared" si="1016"/>
        <v/>
      </c>
    </row>
    <row r="61859" spans="8:8" x14ac:dyDescent="0.3">
      <c r="H61859" t="str">
        <f t="shared" si="1016"/>
        <v/>
      </c>
    </row>
    <row r="61860" spans="8:8" x14ac:dyDescent="0.3">
      <c r="H61860" t="str">
        <f t="shared" si="1016"/>
        <v/>
      </c>
    </row>
    <row r="61861" spans="8:8" x14ac:dyDescent="0.3">
      <c r="H61861" t="str">
        <f t="shared" si="1016"/>
        <v/>
      </c>
    </row>
    <row r="61862" spans="8:8" x14ac:dyDescent="0.3">
      <c r="H61862" t="str">
        <f t="shared" si="1016"/>
        <v/>
      </c>
    </row>
    <row r="61863" spans="8:8" x14ac:dyDescent="0.3">
      <c r="H61863" t="str">
        <f t="shared" si="1016"/>
        <v/>
      </c>
    </row>
    <row r="61864" spans="8:8" x14ac:dyDescent="0.3">
      <c r="H61864" t="str">
        <f t="shared" si="1016"/>
        <v/>
      </c>
    </row>
    <row r="61865" spans="8:8" x14ac:dyDescent="0.3">
      <c r="H61865" t="str">
        <f t="shared" si="1016"/>
        <v/>
      </c>
    </row>
    <row r="61866" spans="8:8" x14ac:dyDescent="0.3">
      <c r="H61866" t="str">
        <f t="shared" si="1016"/>
        <v/>
      </c>
    </row>
    <row r="61867" spans="8:8" x14ac:dyDescent="0.3">
      <c r="H61867" t="str">
        <f t="shared" si="1016"/>
        <v/>
      </c>
    </row>
    <row r="61868" spans="8:8" x14ac:dyDescent="0.3">
      <c r="H61868" t="str">
        <f t="shared" si="1016"/>
        <v/>
      </c>
    </row>
    <row r="61869" spans="8:8" x14ac:dyDescent="0.3">
      <c r="H61869" t="str">
        <f t="shared" si="1016"/>
        <v/>
      </c>
    </row>
    <row r="61870" spans="8:8" x14ac:dyDescent="0.3">
      <c r="H61870" t="str">
        <f t="shared" si="1016"/>
        <v/>
      </c>
    </row>
    <row r="61871" spans="8:8" x14ac:dyDescent="0.3">
      <c r="H61871" t="str">
        <f t="shared" si="1016"/>
        <v/>
      </c>
    </row>
    <row r="61872" spans="8:8" x14ac:dyDescent="0.3">
      <c r="H61872" t="str">
        <f t="shared" si="1016"/>
        <v/>
      </c>
    </row>
    <row r="61873" spans="8:8" x14ac:dyDescent="0.3">
      <c r="H61873" t="str">
        <f t="shared" si="1016"/>
        <v/>
      </c>
    </row>
    <row r="61874" spans="8:8" x14ac:dyDescent="0.3">
      <c r="H61874" t="str">
        <f t="shared" si="1016"/>
        <v/>
      </c>
    </row>
    <row r="61875" spans="8:8" x14ac:dyDescent="0.3">
      <c r="H61875" t="str">
        <f t="shared" si="1016"/>
        <v/>
      </c>
    </row>
    <row r="61876" spans="8:8" x14ac:dyDescent="0.3">
      <c r="H61876" t="str">
        <f t="shared" si="1016"/>
        <v/>
      </c>
    </row>
    <row r="61877" spans="8:8" x14ac:dyDescent="0.3">
      <c r="H61877" t="str">
        <f t="shared" si="1016"/>
        <v/>
      </c>
    </row>
    <row r="61878" spans="8:8" x14ac:dyDescent="0.3">
      <c r="H61878" t="str">
        <f t="shared" si="1016"/>
        <v/>
      </c>
    </row>
    <row r="61879" spans="8:8" x14ac:dyDescent="0.3">
      <c r="H61879" t="str">
        <f t="shared" si="1016"/>
        <v/>
      </c>
    </row>
    <row r="61880" spans="8:8" x14ac:dyDescent="0.3">
      <c r="H61880" t="str">
        <f t="shared" si="1016"/>
        <v/>
      </c>
    </row>
    <row r="61881" spans="8:8" x14ac:dyDescent="0.3">
      <c r="H61881" t="str">
        <f t="shared" si="1016"/>
        <v/>
      </c>
    </row>
    <row r="61882" spans="8:8" x14ac:dyDescent="0.3">
      <c r="H61882" t="str">
        <f t="shared" si="1016"/>
        <v/>
      </c>
    </row>
    <row r="61883" spans="8:8" x14ac:dyDescent="0.3">
      <c r="H61883" t="str">
        <f t="shared" si="1016"/>
        <v/>
      </c>
    </row>
    <row r="61884" spans="8:8" x14ac:dyDescent="0.3">
      <c r="H61884" t="str">
        <f t="shared" si="1016"/>
        <v/>
      </c>
    </row>
    <row r="61885" spans="8:8" x14ac:dyDescent="0.3">
      <c r="H61885" t="str">
        <f t="shared" si="1016"/>
        <v/>
      </c>
    </row>
    <row r="61886" spans="8:8" x14ac:dyDescent="0.3">
      <c r="H61886" t="str">
        <f t="shared" si="1016"/>
        <v/>
      </c>
    </row>
    <row r="61887" spans="8:8" x14ac:dyDescent="0.3">
      <c r="H61887" t="str">
        <f t="shared" si="1016"/>
        <v/>
      </c>
    </row>
    <row r="61888" spans="8:8" x14ac:dyDescent="0.3">
      <c r="H61888" t="str">
        <f t="shared" si="1016"/>
        <v/>
      </c>
    </row>
    <row r="61889" spans="8:8" x14ac:dyDescent="0.3">
      <c r="H61889" t="str">
        <f t="shared" si="1016"/>
        <v/>
      </c>
    </row>
    <row r="61890" spans="8:8" x14ac:dyDescent="0.3">
      <c r="H61890" t="str">
        <f t="shared" si="1016"/>
        <v/>
      </c>
    </row>
    <row r="61891" spans="8:8" x14ac:dyDescent="0.3">
      <c r="H61891" t="str">
        <f t="shared" si="1016"/>
        <v/>
      </c>
    </row>
    <row r="61892" spans="8:8" x14ac:dyDescent="0.3">
      <c r="H61892" t="str">
        <f t="shared" si="1016"/>
        <v/>
      </c>
    </row>
    <row r="61893" spans="8:8" x14ac:dyDescent="0.3">
      <c r="H61893" t="str">
        <f t="shared" si="1016"/>
        <v/>
      </c>
    </row>
    <row r="61894" spans="8:8" x14ac:dyDescent="0.3">
      <c r="H61894" t="str">
        <f t="shared" si="1016"/>
        <v/>
      </c>
    </row>
    <row r="61895" spans="8:8" x14ac:dyDescent="0.3">
      <c r="H61895" t="str">
        <f t="shared" si="1016"/>
        <v/>
      </c>
    </row>
    <row r="61896" spans="8:8" x14ac:dyDescent="0.3">
      <c r="H61896" t="str">
        <f t="shared" si="1016"/>
        <v/>
      </c>
    </row>
    <row r="61897" spans="8:8" x14ac:dyDescent="0.3">
      <c r="H61897" t="str">
        <f t="shared" si="1016"/>
        <v/>
      </c>
    </row>
    <row r="61898" spans="8:8" x14ac:dyDescent="0.3">
      <c r="H61898" t="str">
        <f t="shared" si="1016"/>
        <v/>
      </c>
    </row>
    <row r="61899" spans="8:8" x14ac:dyDescent="0.3">
      <c r="H61899" t="str">
        <f t="shared" si="1016"/>
        <v/>
      </c>
    </row>
    <row r="61900" spans="8:8" x14ac:dyDescent="0.3">
      <c r="H61900" t="str">
        <f t="shared" si="1016"/>
        <v/>
      </c>
    </row>
    <row r="61901" spans="8:8" x14ac:dyDescent="0.3">
      <c r="H61901" t="str">
        <f t="shared" si="1016"/>
        <v/>
      </c>
    </row>
    <row r="61902" spans="8:8" x14ac:dyDescent="0.3">
      <c r="H61902" t="str">
        <f t="shared" si="1016"/>
        <v/>
      </c>
    </row>
    <row r="61903" spans="8:8" x14ac:dyDescent="0.3">
      <c r="H61903" t="str">
        <f t="shared" si="1016"/>
        <v/>
      </c>
    </row>
    <row r="61904" spans="8:8" x14ac:dyDescent="0.3">
      <c r="H61904" t="str">
        <f t="shared" si="1016"/>
        <v/>
      </c>
    </row>
    <row r="61905" spans="8:8" x14ac:dyDescent="0.3">
      <c r="H61905" t="str">
        <f t="shared" si="1016"/>
        <v/>
      </c>
    </row>
    <row r="61906" spans="8:8" x14ac:dyDescent="0.3">
      <c r="H61906" t="str">
        <f t="shared" si="1016"/>
        <v/>
      </c>
    </row>
    <row r="61907" spans="8:8" x14ac:dyDescent="0.3">
      <c r="H61907" t="str">
        <f t="shared" si="1016"/>
        <v/>
      </c>
    </row>
    <row r="61908" spans="8:8" x14ac:dyDescent="0.3">
      <c r="H61908" t="str">
        <f t="shared" si="1016"/>
        <v/>
      </c>
    </row>
    <row r="61909" spans="8:8" x14ac:dyDescent="0.3">
      <c r="H61909" t="str">
        <f t="shared" si="1016"/>
        <v/>
      </c>
    </row>
    <row r="61910" spans="8:8" x14ac:dyDescent="0.3">
      <c r="H61910" t="str">
        <f t="shared" si="1016"/>
        <v/>
      </c>
    </row>
    <row r="61911" spans="8:8" x14ac:dyDescent="0.3">
      <c r="H61911" t="str">
        <f t="shared" ref="H61911:H61974" si="1017">IF(B61911="","",$C$12)</f>
        <v/>
      </c>
    </row>
    <row r="61912" spans="8:8" x14ac:dyDescent="0.3">
      <c r="H61912" t="str">
        <f t="shared" si="1017"/>
        <v/>
      </c>
    </row>
    <row r="61913" spans="8:8" x14ac:dyDescent="0.3">
      <c r="H61913" t="str">
        <f t="shared" si="1017"/>
        <v/>
      </c>
    </row>
    <row r="61914" spans="8:8" x14ac:dyDescent="0.3">
      <c r="H61914" t="str">
        <f t="shared" si="1017"/>
        <v/>
      </c>
    </row>
    <row r="61915" spans="8:8" x14ac:dyDescent="0.3">
      <c r="H61915" t="str">
        <f t="shared" si="1017"/>
        <v/>
      </c>
    </row>
    <row r="61916" spans="8:8" x14ac:dyDescent="0.3">
      <c r="H61916" t="str">
        <f t="shared" si="1017"/>
        <v/>
      </c>
    </row>
    <row r="61917" spans="8:8" x14ac:dyDescent="0.3">
      <c r="H61917" t="str">
        <f t="shared" si="1017"/>
        <v/>
      </c>
    </row>
    <row r="61918" spans="8:8" x14ac:dyDescent="0.3">
      <c r="H61918" t="str">
        <f t="shared" si="1017"/>
        <v/>
      </c>
    </row>
    <row r="61919" spans="8:8" x14ac:dyDescent="0.3">
      <c r="H61919" t="str">
        <f t="shared" si="1017"/>
        <v/>
      </c>
    </row>
    <row r="61920" spans="8:8" x14ac:dyDescent="0.3">
      <c r="H61920" t="str">
        <f t="shared" si="1017"/>
        <v/>
      </c>
    </row>
    <row r="61921" spans="8:8" x14ac:dyDescent="0.3">
      <c r="H61921" t="str">
        <f t="shared" si="1017"/>
        <v/>
      </c>
    </row>
    <row r="61922" spans="8:8" x14ac:dyDescent="0.3">
      <c r="H61922" t="str">
        <f t="shared" si="1017"/>
        <v/>
      </c>
    </row>
    <row r="61923" spans="8:8" x14ac:dyDescent="0.3">
      <c r="H61923" t="str">
        <f t="shared" si="1017"/>
        <v/>
      </c>
    </row>
    <row r="61924" spans="8:8" x14ac:dyDescent="0.3">
      <c r="H61924" t="str">
        <f t="shared" si="1017"/>
        <v/>
      </c>
    </row>
    <row r="61925" spans="8:8" x14ac:dyDescent="0.3">
      <c r="H61925" t="str">
        <f t="shared" si="1017"/>
        <v/>
      </c>
    </row>
    <row r="61926" spans="8:8" x14ac:dyDescent="0.3">
      <c r="H61926" t="str">
        <f t="shared" si="1017"/>
        <v/>
      </c>
    </row>
    <row r="61927" spans="8:8" x14ac:dyDescent="0.3">
      <c r="H61927" t="str">
        <f t="shared" si="1017"/>
        <v/>
      </c>
    </row>
    <row r="61928" spans="8:8" x14ac:dyDescent="0.3">
      <c r="H61928" t="str">
        <f t="shared" si="1017"/>
        <v/>
      </c>
    </row>
    <row r="61929" spans="8:8" x14ac:dyDescent="0.3">
      <c r="H61929" t="str">
        <f t="shared" si="1017"/>
        <v/>
      </c>
    </row>
    <row r="61930" spans="8:8" x14ac:dyDescent="0.3">
      <c r="H61930" t="str">
        <f t="shared" si="1017"/>
        <v/>
      </c>
    </row>
    <row r="61931" spans="8:8" x14ac:dyDescent="0.3">
      <c r="H61931" t="str">
        <f t="shared" si="1017"/>
        <v/>
      </c>
    </row>
    <row r="61932" spans="8:8" x14ac:dyDescent="0.3">
      <c r="H61932" t="str">
        <f t="shared" si="1017"/>
        <v/>
      </c>
    </row>
    <row r="61933" spans="8:8" x14ac:dyDescent="0.3">
      <c r="H61933" t="str">
        <f t="shared" si="1017"/>
        <v/>
      </c>
    </row>
    <row r="61934" spans="8:8" x14ac:dyDescent="0.3">
      <c r="H61934" t="str">
        <f t="shared" si="1017"/>
        <v/>
      </c>
    </row>
    <row r="61935" spans="8:8" x14ac:dyDescent="0.3">
      <c r="H61935" t="str">
        <f t="shared" si="1017"/>
        <v/>
      </c>
    </row>
    <row r="61936" spans="8:8" x14ac:dyDescent="0.3">
      <c r="H61936" t="str">
        <f t="shared" si="1017"/>
        <v/>
      </c>
    </row>
    <row r="61937" spans="8:8" x14ac:dyDescent="0.3">
      <c r="H61937" t="str">
        <f t="shared" si="1017"/>
        <v/>
      </c>
    </row>
    <row r="61938" spans="8:8" x14ac:dyDescent="0.3">
      <c r="H61938" t="str">
        <f t="shared" si="1017"/>
        <v/>
      </c>
    </row>
    <row r="61939" spans="8:8" x14ac:dyDescent="0.3">
      <c r="H61939" t="str">
        <f t="shared" si="1017"/>
        <v/>
      </c>
    </row>
    <row r="61940" spans="8:8" x14ac:dyDescent="0.3">
      <c r="H61940" t="str">
        <f t="shared" si="1017"/>
        <v/>
      </c>
    </row>
    <row r="61941" spans="8:8" x14ac:dyDescent="0.3">
      <c r="H61941" t="str">
        <f t="shared" si="1017"/>
        <v/>
      </c>
    </row>
    <row r="61942" spans="8:8" x14ac:dyDescent="0.3">
      <c r="H61942" t="str">
        <f t="shared" si="1017"/>
        <v/>
      </c>
    </row>
    <row r="61943" spans="8:8" x14ac:dyDescent="0.3">
      <c r="H61943" t="str">
        <f t="shared" si="1017"/>
        <v/>
      </c>
    </row>
    <row r="61944" spans="8:8" x14ac:dyDescent="0.3">
      <c r="H61944" t="str">
        <f t="shared" si="1017"/>
        <v/>
      </c>
    </row>
    <row r="61945" spans="8:8" x14ac:dyDescent="0.3">
      <c r="H61945" t="str">
        <f t="shared" si="1017"/>
        <v/>
      </c>
    </row>
    <row r="61946" spans="8:8" x14ac:dyDescent="0.3">
      <c r="H61946" t="str">
        <f t="shared" si="1017"/>
        <v/>
      </c>
    </row>
    <row r="61947" spans="8:8" x14ac:dyDescent="0.3">
      <c r="H61947" t="str">
        <f t="shared" si="1017"/>
        <v/>
      </c>
    </row>
    <row r="61948" spans="8:8" x14ac:dyDescent="0.3">
      <c r="H61948" t="str">
        <f t="shared" si="1017"/>
        <v/>
      </c>
    </row>
    <row r="61949" spans="8:8" x14ac:dyDescent="0.3">
      <c r="H61949" t="str">
        <f t="shared" si="1017"/>
        <v/>
      </c>
    </row>
    <row r="61950" spans="8:8" x14ac:dyDescent="0.3">
      <c r="H61950" t="str">
        <f t="shared" si="1017"/>
        <v/>
      </c>
    </row>
    <row r="61951" spans="8:8" x14ac:dyDescent="0.3">
      <c r="H61951" t="str">
        <f t="shared" si="1017"/>
        <v/>
      </c>
    </row>
    <row r="61952" spans="8:8" x14ac:dyDescent="0.3">
      <c r="H61952" t="str">
        <f t="shared" si="1017"/>
        <v/>
      </c>
    </row>
    <row r="61953" spans="8:8" x14ac:dyDescent="0.3">
      <c r="H61953" t="str">
        <f t="shared" si="1017"/>
        <v/>
      </c>
    </row>
    <row r="61954" spans="8:8" x14ac:dyDescent="0.3">
      <c r="H61954" t="str">
        <f t="shared" si="1017"/>
        <v/>
      </c>
    </row>
    <row r="61955" spans="8:8" x14ac:dyDescent="0.3">
      <c r="H61955" t="str">
        <f t="shared" si="1017"/>
        <v/>
      </c>
    </row>
    <row r="61956" spans="8:8" x14ac:dyDescent="0.3">
      <c r="H61956" t="str">
        <f t="shared" si="1017"/>
        <v/>
      </c>
    </row>
    <row r="61957" spans="8:8" x14ac:dyDescent="0.3">
      <c r="H61957" t="str">
        <f t="shared" si="1017"/>
        <v/>
      </c>
    </row>
    <row r="61958" spans="8:8" x14ac:dyDescent="0.3">
      <c r="H61958" t="str">
        <f t="shared" si="1017"/>
        <v/>
      </c>
    </row>
    <row r="61959" spans="8:8" x14ac:dyDescent="0.3">
      <c r="H61959" t="str">
        <f t="shared" si="1017"/>
        <v/>
      </c>
    </row>
    <row r="61960" spans="8:8" x14ac:dyDescent="0.3">
      <c r="H61960" t="str">
        <f t="shared" si="1017"/>
        <v/>
      </c>
    </row>
    <row r="61961" spans="8:8" x14ac:dyDescent="0.3">
      <c r="H61961" t="str">
        <f t="shared" si="1017"/>
        <v/>
      </c>
    </row>
    <row r="61962" spans="8:8" x14ac:dyDescent="0.3">
      <c r="H61962" t="str">
        <f t="shared" si="1017"/>
        <v/>
      </c>
    </row>
    <row r="61963" spans="8:8" x14ac:dyDescent="0.3">
      <c r="H61963" t="str">
        <f t="shared" si="1017"/>
        <v/>
      </c>
    </row>
    <row r="61964" spans="8:8" x14ac:dyDescent="0.3">
      <c r="H61964" t="str">
        <f t="shared" si="1017"/>
        <v/>
      </c>
    </row>
    <row r="61965" spans="8:8" x14ac:dyDescent="0.3">
      <c r="H61965" t="str">
        <f t="shared" si="1017"/>
        <v/>
      </c>
    </row>
    <row r="61966" spans="8:8" x14ac:dyDescent="0.3">
      <c r="H61966" t="str">
        <f t="shared" si="1017"/>
        <v/>
      </c>
    </row>
    <row r="61967" spans="8:8" x14ac:dyDescent="0.3">
      <c r="H61967" t="str">
        <f t="shared" si="1017"/>
        <v/>
      </c>
    </row>
    <row r="61968" spans="8:8" x14ac:dyDescent="0.3">
      <c r="H61968" t="str">
        <f t="shared" si="1017"/>
        <v/>
      </c>
    </row>
    <row r="61969" spans="8:8" x14ac:dyDescent="0.3">
      <c r="H61969" t="str">
        <f t="shared" si="1017"/>
        <v/>
      </c>
    </row>
    <row r="61970" spans="8:8" x14ac:dyDescent="0.3">
      <c r="H61970" t="str">
        <f t="shared" si="1017"/>
        <v/>
      </c>
    </row>
    <row r="61971" spans="8:8" x14ac:dyDescent="0.3">
      <c r="H61971" t="str">
        <f t="shared" si="1017"/>
        <v/>
      </c>
    </row>
    <row r="61972" spans="8:8" x14ac:dyDescent="0.3">
      <c r="H61972" t="str">
        <f t="shared" si="1017"/>
        <v/>
      </c>
    </row>
    <row r="61973" spans="8:8" x14ac:dyDescent="0.3">
      <c r="H61973" t="str">
        <f t="shared" si="1017"/>
        <v/>
      </c>
    </row>
    <row r="61974" spans="8:8" x14ac:dyDescent="0.3">
      <c r="H61974" t="str">
        <f t="shared" si="1017"/>
        <v/>
      </c>
    </row>
    <row r="61975" spans="8:8" x14ac:dyDescent="0.3">
      <c r="H61975" t="str">
        <f t="shared" ref="H61975:H62038" si="1018">IF(B61975="","",$C$12)</f>
        <v/>
      </c>
    </row>
    <row r="61976" spans="8:8" x14ac:dyDescent="0.3">
      <c r="H61976" t="str">
        <f t="shared" si="1018"/>
        <v/>
      </c>
    </row>
    <row r="61977" spans="8:8" x14ac:dyDescent="0.3">
      <c r="H61977" t="str">
        <f t="shared" si="1018"/>
        <v/>
      </c>
    </row>
    <row r="61978" spans="8:8" x14ac:dyDescent="0.3">
      <c r="H61978" t="str">
        <f t="shared" si="1018"/>
        <v/>
      </c>
    </row>
    <row r="61979" spans="8:8" x14ac:dyDescent="0.3">
      <c r="H61979" t="str">
        <f t="shared" si="1018"/>
        <v/>
      </c>
    </row>
    <row r="61980" spans="8:8" x14ac:dyDescent="0.3">
      <c r="H61980" t="str">
        <f t="shared" si="1018"/>
        <v/>
      </c>
    </row>
    <row r="61981" spans="8:8" x14ac:dyDescent="0.3">
      <c r="H61981" t="str">
        <f t="shared" si="1018"/>
        <v/>
      </c>
    </row>
    <row r="61982" spans="8:8" x14ac:dyDescent="0.3">
      <c r="H61982" t="str">
        <f t="shared" si="1018"/>
        <v/>
      </c>
    </row>
    <row r="61983" spans="8:8" x14ac:dyDescent="0.3">
      <c r="H61983" t="str">
        <f t="shared" si="1018"/>
        <v/>
      </c>
    </row>
    <row r="61984" spans="8:8" x14ac:dyDescent="0.3">
      <c r="H61984" t="str">
        <f t="shared" si="1018"/>
        <v/>
      </c>
    </row>
    <row r="61985" spans="8:8" x14ac:dyDescent="0.3">
      <c r="H61985" t="str">
        <f t="shared" si="1018"/>
        <v/>
      </c>
    </row>
    <row r="61986" spans="8:8" x14ac:dyDescent="0.3">
      <c r="H61986" t="str">
        <f t="shared" si="1018"/>
        <v/>
      </c>
    </row>
    <row r="61987" spans="8:8" x14ac:dyDescent="0.3">
      <c r="H61987" t="str">
        <f t="shared" si="1018"/>
        <v/>
      </c>
    </row>
    <row r="61988" spans="8:8" x14ac:dyDescent="0.3">
      <c r="H61988" t="str">
        <f t="shared" si="1018"/>
        <v/>
      </c>
    </row>
    <row r="61989" spans="8:8" x14ac:dyDescent="0.3">
      <c r="H61989" t="str">
        <f t="shared" si="1018"/>
        <v/>
      </c>
    </row>
    <row r="61990" spans="8:8" x14ac:dyDescent="0.3">
      <c r="H61990" t="str">
        <f t="shared" si="1018"/>
        <v/>
      </c>
    </row>
    <row r="61991" spans="8:8" x14ac:dyDescent="0.3">
      <c r="H61991" t="str">
        <f t="shared" si="1018"/>
        <v/>
      </c>
    </row>
    <row r="61992" spans="8:8" x14ac:dyDescent="0.3">
      <c r="H61992" t="str">
        <f t="shared" si="1018"/>
        <v/>
      </c>
    </row>
    <row r="61993" spans="8:8" x14ac:dyDescent="0.3">
      <c r="H61993" t="str">
        <f t="shared" si="1018"/>
        <v/>
      </c>
    </row>
    <row r="61994" spans="8:8" x14ac:dyDescent="0.3">
      <c r="H61994" t="str">
        <f t="shared" si="1018"/>
        <v/>
      </c>
    </row>
    <row r="61995" spans="8:8" x14ac:dyDescent="0.3">
      <c r="H61995" t="str">
        <f t="shared" si="1018"/>
        <v/>
      </c>
    </row>
    <row r="61996" spans="8:8" x14ac:dyDescent="0.3">
      <c r="H61996" t="str">
        <f t="shared" si="1018"/>
        <v/>
      </c>
    </row>
    <row r="61997" spans="8:8" x14ac:dyDescent="0.3">
      <c r="H61997" t="str">
        <f t="shared" si="1018"/>
        <v/>
      </c>
    </row>
    <row r="61998" spans="8:8" x14ac:dyDescent="0.3">
      <c r="H61998" t="str">
        <f t="shared" si="1018"/>
        <v/>
      </c>
    </row>
    <row r="61999" spans="8:8" x14ac:dyDescent="0.3">
      <c r="H61999" t="str">
        <f t="shared" si="1018"/>
        <v/>
      </c>
    </row>
    <row r="62000" spans="8:8" x14ac:dyDescent="0.3">
      <c r="H62000" t="str">
        <f t="shared" si="1018"/>
        <v/>
      </c>
    </row>
    <row r="62001" spans="8:8" x14ac:dyDescent="0.3">
      <c r="H62001" t="str">
        <f t="shared" si="1018"/>
        <v/>
      </c>
    </row>
    <row r="62002" spans="8:8" x14ac:dyDescent="0.3">
      <c r="H62002" t="str">
        <f t="shared" si="1018"/>
        <v/>
      </c>
    </row>
    <row r="62003" spans="8:8" x14ac:dyDescent="0.3">
      <c r="H62003" t="str">
        <f t="shared" si="1018"/>
        <v/>
      </c>
    </row>
    <row r="62004" spans="8:8" x14ac:dyDescent="0.3">
      <c r="H62004" t="str">
        <f t="shared" si="1018"/>
        <v/>
      </c>
    </row>
    <row r="62005" spans="8:8" x14ac:dyDescent="0.3">
      <c r="H62005" t="str">
        <f t="shared" si="1018"/>
        <v/>
      </c>
    </row>
    <row r="62006" spans="8:8" x14ac:dyDescent="0.3">
      <c r="H62006" t="str">
        <f t="shared" si="1018"/>
        <v/>
      </c>
    </row>
    <row r="62007" spans="8:8" x14ac:dyDescent="0.3">
      <c r="H62007" t="str">
        <f t="shared" si="1018"/>
        <v/>
      </c>
    </row>
    <row r="62008" spans="8:8" x14ac:dyDescent="0.3">
      <c r="H62008" t="str">
        <f t="shared" si="1018"/>
        <v/>
      </c>
    </row>
    <row r="62009" spans="8:8" x14ac:dyDescent="0.3">
      <c r="H62009" t="str">
        <f t="shared" si="1018"/>
        <v/>
      </c>
    </row>
    <row r="62010" spans="8:8" x14ac:dyDescent="0.3">
      <c r="H62010" t="str">
        <f t="shared" si="1018"/>
        <v/>
      </c>
    </row>
    <row r="62011" spans="8:8" x14ac:dyDescent="0.3">
      <c r="H62011" t="str">
        <f t="shared" si="1018"/>
        <v/>
      </c>
    </row>
    <row r="62012" spans="8:8" x14ac:dyDescent="0.3">
      <c r="H62012" t="str">
        <f t="shared" si="1018"/>
        <v/>
      </c>
    </row>
    <row r="62013" spans="8:8" x14ac:dyDescent="0.3">
      <c r="H62013" t="str">
        <f t="shared" si="1018"/>
        <v/>
      </c>
    </row>
    <row r="62014" spans="8:8" x14ac:dyDescent="0.3">
      <c r="H62014" t="str">
        <f t="shared" si="1018"/>
        <v/>
      </c>
    </row>
    <row r="62015" spans="8:8" x14ac:dyDescent="0.3">
      <c r="H62015" t="str">
        <f t="shared" si="1018"/>
        <v/>
      </c>
    </row>
    <row r="62016" spans="8:8" x14ac:dyDescent="0.3">
      <c r="H62016" t="str">
        <f t="shared" si="1018"/>
        <v/>
      </c>
    </row>
    <row r="62017" spans="8:8" x14ac:dyDescent="0.3">
      <c r="H62017" t="str">
        <f t="shared" si="1018"/>
        <v/>
      </c>
    </row>
    <row r="62018" spans="8:8" x14ac:dyDescent="0.3">
      <c r="H62018" t="str">
        <f t="shared" si="1018"/>
        <v/>
      </c>
    </row>
    <row r="62019" spans="8:8" x14ac:dyDescent="0.3">
      <c r="H62019" t="str">
        <f t="shared" si="1018"/>
        <v/>
      </c>
    </row>
    <row r="62020" spans="8:8" x14ac:dyDescent="0.3">
      <c r="H62020" t="str">
        <f t="shared" si="1018"/>
        <v/>
      </c>
    </row>
    <row r="62021" spans="8:8" x14ac:dyDescent="0.3">
      <c r="H62021" t="str">
        <f t="shared" si="1018"/>
        <v/>
      </c>
    </row>
    <row r="62022" spans="8:8" x14ac:dyDescent="0.3">
      <c r="H62022" t="str">
        <f t="shared" si="1018"/>
        <v/>
      </c>
    </row>
    <row r="62023" spans="8:8" x14ac:dyDescent="0.3">
      <c r="H62023" t="str">
        <f t="shared" si="1018"/>
        <v/>
      </c>
    </row>
    <row r="62024" spans="8:8" x14ac:dyDescent="0.3">
      <c r="H62024" t="str">
        <f t="shared" si="1018"/>
        <v/>
      </c>
    </row>
    <row r="62025" spans="8:8" x14ac:dyDescent="0.3">
      <c r="H62025" t="str">
        <f t="shared" si="1018"/>
        <v/>
      </c>
    </row>
    <row r="62026" spans="8:8" x14ac:dyDescent="0.3">
      <c r="H62026" t="str">
        <f t="shared" si="1018"/>
        <v/>
      </c>
    </row>
    <row r="62027" spans="8:8" x14ac:dyDescent="0.3">
      <c r="H62027" t="str">
        <f t="shared" si="1018"/>
        <v/>
      </c>
    </row>
    <row r="62028" spans="8:8" x14ac:dyDescent="0.3">
      <c r="H62028" t="str">
        <f t="shared" si="1018"/>
        <v/>
      </c>
    </row>
    <row r="62029" spans="8:8" x14ac:dyDescent="0.3">
      <c r="H62029" t="str">
        <f t="shared" si="1018"/>
        <v/>
      </c>
    </row>
    <row r="62030" spans="8:8" x14ac:dyDescent="0.3">
      <c r="H62030" t="str">
        <f t="shared" si="1018"/>
        <v/>
      </c>
    </row>
    <row r="62031" spans="8:8" x14ac:dyDescent="0.3">
      <c r="H62031" t="str">
        <f t="shared" si="1018"/>
        <v/>
      </c>
    </row>
    <row r="62032" spans="8:8" x14ac:dyDescent="0.3">
      <c r="H62032" t="str">
        <f t="shared" si="1018"/>
        <v/>
      </c>
    </row>
    <row r="62033" spans="8:8" x14ac:dyDescent="0.3">
      <c r="H62033" t="str">
        <f t="shared" si="1018"/>
        <v/>
      </c>
    </row>
    <row r="62034" spans="8:8" x14ac:dyDescent="0.3">
      <c r="H62034" t="str">
        <f t="shared" si="1018"/>
        <v/>
      </c>
    </row>
    <row r="62035" spans="8:8" x14ac:dyDescent="0.3">
      <c r="H62035" t="str">
        <f t="shared" si="1018"/>
        <v/>
      </c>
    </row>
    <row r="62036" spans="8:8" x14ac:dyDescent="0.3">
      <c r="H62036" t="str">
        <f t="shared" si="1018"/>
        <v/>
      </c>
    </row>
    <row r="62037" spans="8:8" x14ac:dyDescent="0.3">
      <c r="H62037" t="str">
        <f t="shared" si="1018"/>
        <v/>
      </c>
    </row>
    <row r="62038" spans="8:8" x14ac:dyDescent="0.3">
      <c r="H62038" t="str">
        <f t="shared" si="1018"/>
        <v/>
      </c>
    </row>
    <row r="62039" spans="8:8" x14ac:dyDescent="0.3">
      <c r="H62039" t="str">
        <f t="shared" ref="H62039:H62102" si="1019">IF(B62039="","",$C$12)</f>
        <v/>
      </c>
    </row>
    <row r="62040" spans="8:8" x14ac:dyDescent="0.3">
      <c r="H62040" t="str">
        <f t="shared" si="1019"/>
        <v/>
      </c>
    </row>
    <row r="62041" spans="8:8" x14ac:dyDescent="0.3">
      <c r="H62041" t="str">
        <f t="shared" si="1019"/>
        <v/>
      </c>
    </row>
    <row r="62042" spans="8:8" x14ac:dyDescent="0.3">
      <c r="H62042" t="str">
        <f t="shared" si="1019"/>
        <v/>
      </c>
    </row>
    <row r="62043" spans="8:8" x14ac:dyDescent="0.3">
      <c r="H62043" t="str">
        <f t="shared" si="1019"/>
        <v/>
      </c>
    </row>
    <row r="62044" spans="8:8" x14ac:dyDescent="0.3">
      <c r="H62044" t="str">
        <f t="shared" si="1019"/>
        <v/>
      </c>
    </row>
    <row r="62045" spans="8:8" x14ac:dyDescent="0.3">
      <c r="H62045" t="str">
        <f t="shared" si="1019"/>
        <v/>
      </c>
    </row>
    <row r="62046" spans="8:8" x14ac:dyDescent="0.3">
      <c r="H62046" t="str">
        <f t="shared" si="1019"/>
        <v/>
      </c>
    </row>
    <row r="62047" spans="8:8" x14ac:dyDescent="0.3">
      <c r="H62047" t="str">
        <f t="shared" si="1019"/>
        <v/>
      </c>
    </row>
    <row r="62048" spans="8:8" x14ac:dyDescent="0.3">
      <c r="H62048" t="str">
        <f t="shared" si="1019"/>
        <v/>
      </c>
    </row>
    <row r="62049" spans="8:8" x14ac:dyDescent="0.3">
      <c r="H62049" t="str">
        <f t="shared" si="1019"/>
        <v/>
      </c>
    </row>
    <row r="62050" spans="8:8" x14ac:dyDescent="0.3">
      <c r="H62050" t="str">
        <f t="shared" si="1019"/>
        <v/>
      </c>
    </row>
    <row r="62051" spans="8:8" x14ac:dyDescent="0.3">
      <c r="H62051" t="str">
        <f t="shared" si="1019"/>
        <v/>
      </c>
    </row>
    <row r="62052" spans="8:8" x14ac:dyDescent="0.3">
      <c r="H62052" t="str">
        <f t="shared" si="1019"/>
        <v/>
      </c>
    </row>
    <row r="62053" spans="8:8" x14ac:dyDescent="0.3">
      <c r="H62053" t="str">
        <f t="shared" si="1019"/>
        <v/>
      </c>
    </row>
    <row r="62054" spans="8:8" x14ac:dyDescent="0.3">
      <c r="H62054" t="str">
        <f t="shared" si="1019"/>
        <v/>
      </c>
    </row>
    <row r="62055" spans="8:8" x14ac:dyDescent="0.3">
      <c r="H62055" t="str">
        <f t="shared" si="1019"/>
        <v/>
      </c>
    </row>
    <row r="62056" spans="8:8" x14ac:dyDescent="0.3">
      <c r="H62056" t="str">
        <f t="shared" si="1019"/>
        <v/>
      </c>
    </row>
    <row r="62057" spans="8:8" x14ac:dyDescent="0.3">
      <c r="H62057" t="str">
        <f t="shared" si="1019"/>
        <v/>
      </c>
    </row>
    <row r="62058" spans="8:8" x14ac:dyDescent="0.3">
      <c r="H62058" t="str">
        <f t="shared" si="1019"/>
        <v/>
      </c>
    </row>
    <row r="62059" spans="8:8" x14ac:dyDescent="0.3">
      <c r="H62059" t="str">
        <f t="shared" si="1019"/>
        <v/>
      </c>
    </row>
    <row r="62060" spans="8:8" x14ac:dyDescent="0.3">
      <c r="H62060" t="str">
        <f t="shared" si="1019"/>
        <v/>
      </c>
    </row>
    <row r="62061" spans="8:8" x14ac:dyDescent="0.3">
      <c r="H62061" t="str">
        <f t="shared" si="1019"/>
        <v/>
      </c>
    </row>
    <row r="62062" spans="8:8" x14ac:dyDescent="0.3">
      <c r="H62062" t="str">
        <f t="shared" si="1019"/>
        <v/>
      </c>
    </row>
    <row r="62063" spans="8:8" x14ac:dyDescent="0.3">
      <c r="H62063" t="str">
        <f t="shared" si="1019"/>
        <v/>
      </c>
    </row>
    <row r="62064" spans="8:8" x14ac:dyDescent="0.3">
      <c r="H62064" t="str">
        <f t="shared" si="1019"/>
        <v/>
      </c>
    </row>
    <row r="62065" spans="8:8" x14ac:dyDescent="0.3">
      <c r="H62065" t="str">
        <f t="shared" si="1019"/>
        <v/>
      </c>
    </row>
    <row r="62066" spans="8:8" x14ac:dyDescent="0.3">
      <c r="H62066" t="str">
        <f t="shared" si="1019"/>
        <v/>
      </c>
    </row>
    <row r="62067" spans="8:8" x14ac:dyDescent="0.3">
      <c r="H62067" t="str">
        <f t="shared" si="1019"/>
        <v/>
      </c>
    </row>
    <row r="62068" spans="8:8" x14ac:dyDescent="0.3">
      <c r="H62068" t="str">
        <f t="shared" si="1019"/>
        <v/>
      </c>
    </row>
    <row r="62069" spans="8:8" x14ac:dyDescent="0.3">
      <c r="H62069" t="str">
        <f t="shared" si="1019"/>
        <v/>
      </c>
    </row>
    <row r="62070" spans="8:8" x14ac:dyDescent="0.3">
      <c r="H62070" t="str">
        <f t="shared" si="1019"/>
        <v/>
      </c>
    </row>
    <row r="62071" spans="8:8" x14ac:dyDescent="0.3">
      <c r="H62071" t="str">
        <f t="shared" si="1019"/>
        <v/>
      </c>
    </row>
    <row r="62072" spans="8:8" x14ac:dyDescent="0.3">
      <c r="H62072" t="str">
        <f t="shared" si="1019"/>
        <v/>
      </c>
    </row>
    <row r="62073" spans="8:8" x14ac:dyDescent="0.3">
      <c r="H62073" t="str">
        <f t="shared" si="1019"/>
        <v/>
      </c>
    </row>
    <row r="62074" spans="8:8" x14ac:dyDescent="0.3">
      <c r="H62074" t="str">
        <f t="shared" si="1019"/>
        <v/>
      </c>
    </row>
    <row r="62075" spans="8:8" x14ac:dyDescent="0.3">
      <c r="H62075" t="str">
        <f t="shared" si="1019"/>
        <v/>
      </c>
    </row>
    <row r="62076" spans="8:8" x14ac:dyDescent="0.3">
      <c r="H62076" t="str">
        <f t="shared" si="1019"/>
        <v/>
      </c>
    </row>
    <row r="62077" spans="8:8" x14ac:dyDescent="0.3">
      <c r="H62077" t="str">
        <f t="shared" si="1019"/>
        <v/>
      </c>
    </row>
    <row r="62078" spans="8:8" x14ac:dyDescent="0.3">
      <c r="H62078" t="str">
        <f t="shared" si="1019"/>
        <v/>
      </c>
    </row>
    <row r="62079" spans="8:8" x14ac:dyDescent="0.3">
      <c r="H62079" t="str">
        <f t="shared" si="1019"/>
        <v/>
      </c>
    </row>
    <row r="62080" spans="8:8" x14ac:dyDescent="0.3">
      <c r="H62080" t="str">
        <f t="shared" si="1019"/>
        <v/>
      </c>
    </row>
    <row r="62081" spans="8:8" x14ac:dyDescent="0.3">
      <c r="H62081" t="str">
        <f t="shared" si="1019"/>
        <v/>
      </c>
    </row>
    <row r="62082" spans="8:8" x14ac:dyDescent="0.3">
      <c r="H62082" t="str">
        <f t="shared" si="1019"/>
        <v/>
      </c>
    </row>
    <row r="62083" spans="8:8" x14ac:dyDescent="0.3">
      <c r="H62083" t="str">
        <f t="shared" si="1019"/>
        <v/>
      </c>
    </row>
    <row r="62084" spans="8:8" x14ac:dyDescent="0.3">
      <c r="H62084" t="str">
        <f t="shared" si="1019"/>
        <v/>
      </c>
    </row>
    <row r="62085" spans="8:8" x14ac:dyDescent="0.3">
      <c r="H62085" t="str">
        <f t="shared" si="1019"/>
        <v/>
      </c>
    </row>
    <row r="62086" spans="8:8" x14ac:dyDescent="0.3">
      <c r="H62086" t="str">
        <f t="shared" si="1019"/>
        <v/>
      </c>
    </row>
    <row r="62087" spans="8:8" x14ac:dyDescent="0.3">
      <c r="H62087" t="str">
        <f t="shared" si="1019"/>
        <v/>
      </c>
    </row>
    <row r="62088" spans="8:8" x14ac:dyDescent="0.3">
      <c r="H62088" t="str">
        <f t="shared" si="1019"/>
        <v/>
      </c>
    </row>
    <row r="62089" spans="8:8" x14ac:dyDescent="0.3">
      <c r="H62089" t="str">
        <f t="shared" si="1019"/>
        <v/>
      </c>
    </row>
    <row r="62090" spans="8:8" x14ac:dyDescent="0.3">
      <c r="H62090" t="str">
        <f t="shared" si="1019"/>
        <v/>
      </c>
    </row>
    <row r="62091" spans="8:8" x14ac:dyDescent="0.3">
      <c r="H62091" t="str">
        <f t="shared" si="1019"/>
        <v/>
      </c>
    </row>
    <row r="62092" spans="8:8" x14ac:dyDescent="0.3">
      <c r="H62092" t="str">
        <f t="shared" si="1019"/>
        <v/>
      </c>
    </row>
    <row r="62093" spans="8:8" x14ac:dyDescent="0.3">
      <c r="H62093" t="str">
        <f t="shared" si="1019"/>
        <v/>
      </c>
    </row>
    <row r="62094" spans="8:8" x14ac:dyDescent="0.3">
      <c r="H62094" t="str">
        <f t="shared" si="1019"/>
        <v/>
      </c>
    </row>
    <row r="62095" spans="8:8" x14ac:dyDescent="0.3">
      <c r="H62095" t="str">
        <f t="shared" si="1019"/>
        <v/>
      </c>
    </row>
    <row r="62096" spans="8:8" x14ac:dyDescent="0.3">
      <c r="H62096" t="str">
        <f t="shared" si="1019"/>
        <v/>
      </c>
    </row>
    <row r="62097" spans="8:8" x14ac:dyDescent="0.3">
      <c r="H62097" t="str">
        <f t="shared" si="1019"/>
        <v/>
      </c>
    </row>
    <row r="62098" spans="8:8" x14ac:dyDescent="0.3">
      <c r="H62098" t="str">
        <f t="shared" si="1019"/>
        <v/>
      </c>
    </row>
    <row r="62099" spans="8:8" x14ac:dyDescent="0.3">
      <c r="H62099" t="str">
        <f t="shared" si="1019"/>
        <v/>
      </c>
    </row>
    <row r="62100" spans="8:8" x14ac:dyDescent="0.3">
      <c r="H62100" t="str">
        <f t="shared" si="1019"/>
        <v/>
      </c>
    </row>
    <row r="62101" spans="8:8" x14ac:dyDescent="0.3">
      <c r="H62101" t="str">
        <f t="shared" si="1019"/>
        <v/>
      </c>
    </row>
    <row r="62102" spans="8:8" x14ac:dyDescent="0.3">
      <c r="H62102" t="str">
        <f t="shared" si="1019"/>
        <v/>
      </c>
    </row>
    <row r="62103" spans="8:8" x14ac:dyDescent="0.3">
      <c r="H62103" t="str">
        <f t="shared" ref="H62103:H62166" si="1020">IF(B62103="","",$C$12)</f>
        <v/>
      </c>
    </row>
    <row r="62104" spans="8:8" x14ac:dyDescent="0.3">
      <c r="H62104" t="str">
        <f t="shared" si="1020"/>
        <v/>
      </c>
    </row>
    <row r="62105" spans="8:8" x14ac:dyDescent="0.3">
      <c r="H62105" t="str">
        <f t="shared" si="1020"/>
        <v/>
      </c>
    </row>
    <row r="62106" spans="8:8" x14ac:dyDescent="0.3">
      <c r="H62106" t="str">
        <f t="shared" si="1020"/>
        <v/>
      </c>
    </row>
    <row r="62107" spans="8:8" x14ac:dyDescent="0.3">
      <c r="H62107" t="str">
        <f t="shared" si="1020"/>
        <v/>
      </c>
    </row>
    <row r="62108" spans="8:8" x14ac:dyDescent="0.3">
      <c r="H62108" t="str">
        <f t="shared" si="1020"/>
        <v/>
      </c>
    </row>
    <row r="62109" spans="8:8" x14ac:dyDescent="0.3">
      <c r="H62109" t="str">
        <f t="shared" si="1020"/>
        <v/>
      </c>
    </row>
    <row r="62110" spans="8:8" x14ac:dyDescent="0.3">
      <c r="H62110" t="str">
        <f t="shared" si="1020"/>
        <v/>
      </c>
    </row>
    <row r="62111" spans="8:8" x14ac:dyDescent="0.3">
      <c r="H62111" t="str">
        <f t="shared" si="1020"/>
        <v/>
      </c>
    </row>
    <row r="62112" spans="8:8" x14ac:dyDescent="0.3">
      <c r="H62112" t="str">
        <f t="shared" si="1020"/>
        <v/>
      </c>
    </row>
    <row r="62113" spans="8:8" x14ac:dyDescent="0.3">
      <c r="H62113" t="str">
        <f t="shared" si="1020"/>
        <v/>
      </c>
    </row>
    <row r="62114" spans="8:8" x14ac:dyDescent="0.3">
      <c r="H62114" t="str">
        <f t="shared" si="1020"/>
        <v/>
      </c>
    </row>
    <row r="62115" spans="8:8" x14ac:dyDescent="0.3">
      <c r="H62115" t="str">
        <f t="shared" si="1020"/>
        <v/>
      </c>
    </row>
    <row r="62116" spans="8:8" x14ac:dyDescent="0.3">
      <c r="H62116" t="str">
        <f t="shared" si="1020"/>
        <v/>
      </c>
    </row>
    <row r="62117" spans="8:8" x14ac:dyDescent="0.3">
      <c r="H62117" t="str">
        <f t="shared" si="1020"/>
        <v/>
      </c>
    </row>
    <row r="62118" spans="8:8" x14ac:dyDescent="0.3">
      <c r="H62118" t="str">
        <f t="shared" si="1020"/>
        <v/>
      </c>
    </row>
    <row r="62119" spans="8:8" x14ac:dyDescent="0.3">
      <c r="H62119" t="str">
        <f t="shared" si="1020"/>
        <v/>
      </c>
    </row>
    <row r="62120" spans="8:8" x14ac:dyDescent="0.3">
      <c r="H62120" t="str">
        <f t="shared" si="1020"/>
        <v/>
      </c>
    </row>
    <row r="62121" spans="8:8" x14ac:dyDescent="0.3">
      <c r="H62121" t="str">
        <f t="shared" si="1020"/>
        <v/>
      </c>
    </row>
    <row r="62122" spans="8:8" x14ac:dyDescent="0.3">
      <c r="H62122" t="str">
        <f t="shared" si="1020"/>
        <v/>
      </c>
    </row>
    <row r="62123" spans="8:8" x14ac:dyDescent="0.3">
      <c r="H62123" t="str">
        <f t="shared" si="1020"/>
        <v/>
      </c>
    </row>
    <row r="62124" spans="8:8" x14ac:dyDescent="0.3">
      <c r="H62124" t="str">
        <f t="shared" si="1020"/>
        <v/>
      </c>
    </row>
    <row r="62125" spans="8:8" x14ac:dyDescent="0.3">
      <c r="H62125" t="str">
        <f t="shared" si="1020"/>
        <v/>
      </c>
    </row>
    <row r="62126" spans="8:8" x14ac:dyDescent="0.3">
      <c r="H62126" t="str">
        <f t="shared" si="1020"/>
        <v/>
      </c>
    </row>
    <row r="62127" spans="8:8" x14ac:dyDescent="0.3">
      <c r="H62127" t="str">
        <f t="shared" si="1020"/>
        <v/>
      </c>
    </row>
    <row r="62128" spans="8:8" x14ac:dyDescent="0.3">
      <c r="H62128" t="str">
        <f t="shared" si="1020"/>
        <v/>
      </c>
    </row>
    <row r="62129" spans="8:8" x14ac:dyDescent="0.3">
      <c r="H62129" t="str">
        <f t="shared" si="1020"/>
        <v/>
      </c>
    </row>
    <row r="62130" spans="8:8" x14ac:dyDescent="0.3">
      <c r="H62130" t="str">
        <f t="shared" si="1020"/>
        <v/>
      </c>
    </row>
    <row r="62131" spans="8:8" x14ac:dyDescent="0.3">
      <c r="H62131" t="str">
        <f t="shared" si="1020"/>
        <v/>
      </c>
    </row>
    <row r="62132" spans="8:8" x14ac:dyDescent="0.3">
      <c r="H62132" t="str">
        <f t="shared" si="1020"/>
        <v/>
      </c>
    </row>
    <row r="62133" spans="8:8" x14ac:dyDescent="0.3">
      <c r="H62133" t="str">
        <f t="shared" si="1020"/>
        <v/>
      </c>
    </row>
    <row r="62134" spans="8:8" x14ac:dyDescent="0.3">
      <c r="H62134" t="str">
        <f t="shared" si="1020"/>
        <v/>
      </c>
    </row>
    <row r="62135" spans="8:8" x14ac:dyDescent="0.3">
      <c r="H62135" t="str">
        <f t="shared" si="1020"/>
        <v/>
      </c>
    </row>
    <row r="62136" spans="8:8" x14ac:dyDescent="0.3">
      <c r="H62136" t="str">
        <f t="shared" si="1020"/>
        <v/>
      </c>
    </row>
    <row r="62137" spans="8:8" x14ac:dyDescent="0.3">
      <c r="H62137" t="str">
        <f t="shared" si="1020"/>
        <v/>
      </c>
    </row>
    <row r="62138" spans="8:8" x14ac:dyDescent="0.3">
      <c r="H62138" t="str">
        <f t="shared" si="1020"/>
        <v/>
      </c>
    </row>
    <row r="62139" spans="8:8" x14ac:dyDescent="0.3">
      <c r="H62139" t="str">
        <f t="shared" si="1020"/>
        <v/>
      </c>
    </row>
    <row r="62140" spans="8:8" x14ac:dyDescent="0.3">
      <c r="H62140" t="str">
        <f t="shared" si="1020"/>
        <v/>
      </c>
    </row>
    <row r="62141" spans="8:8" x14ac:dyDescent="0.3">
      <c r="H62141" t="str">
        <f t="shared" si="1020"/>
        <v/>
      </c>
    </row>
    <row r="62142" spans="8:8" x14ac:dyDescent="0.3">
      <c r="H62142" t="str">
        <f t="shared" si="1020"/>
        <v/>
      </c>
    </row>
    <row r="62143" spans="8:8" x14ac:dyDescent="0.3">
      <c r="H62143" t="str">
        <f t="shared" si="1020"/>
        <v/>
      </c>
    </row>
    <row r="62144" spans="8:8" x14ac:dyDescent="0.3">
      <c r="H62144" t="str">
        <f t="shared" si="1020"/>
        <v/>
      </c>
    </row>
    <row r="62145" spans="8:8" x14ac:dyDescent="0.3">
      <c r="H62145" t="str">
        <f t="shared" si="1020"/>
        <v/>
      </c>
    </row>
    <row r="62146" spans="8:8" x14ac:dyDescent="0.3">
      <c r="H62146" t="str">
        <f t="shared" si="1020"/>
        <v/>
      </c>
    </row>
    <row r="62147" spans="8:8" x14ac:dyDescent="0.3">
      <c r="H62147" t="str">
        <f t="shared" si="1020"/>
        <v/>
      </c>
    </row>
    <row r="62148" spans="8:8" x14ac:dyDescent="0.3">
      <c r="H62148" t="str">
        <f t="shared" si="1020"/>
        <v/>
      </c>
    </row>
    <row r="62149" spans="8:8" x14ac:dyDescent="0.3">
      <c r="H62149" t="str">
        <f t="shared" si="1020"/>
        <v/>
      </c>
    </row>
    <row r="62150" spans="8:8" x14ac:dyDescent="0.3">
      <c r="H62150" t="str">
        <f t="shared" si="1020"/>
        <v/>
      </c>
    </row>
    <row r="62151" spans="8:8" x14ac:dyDescent="0.3">
      <c r="H62151" t="str">
        <f t="shared" si="1020"/>
        <v/>
      </c>
    </row>
    <row r="62152" spans="8:8" x14ac:dyDescent="0.3">
      <c r="H62152" t="str">
        <f t="shared" si="1020"/>
        <v/>
      </c>
    </row>
    <row r="62153" spans="8:8" x14ac:dyDescent="0.3">
      <c r="H62153" t="str">
        <f t="shared" si="1020"/>
        <v/>
      </c>
    </row>
    <row r="62154" spans="8:8" x14ac:dyDescent="0.3">
      <c r="H62154" t="str">
        <f t="shared" si="1020"/>
        <v/>
      </c>
    </row>
    <row r="62155" spans="8:8" x14ac:dyDescent="0.3">
      <c r="H62155" t="str">
        <f t="shared" si="1020"/>
        <v/>
      </c>
    </row>
    <row r="62156" spans="8:8" x14ac:dyDescent="0.3">
      <c r="H62156" t="str">
        <f t="shared" si="1020"/>
        <v/>
      </c>
    </row>
    <row r="62157" spans="8:8" x14ac:dyDescent="0.3">
      <c r="H62157" t="str">
        <f t="shared" si="1020"/>
        <v/>
      </c>
    </row>
    <row r="62158" spans="8:8" x14ac:dyDescent="0.3">
      <c r="H62158" t="str">
        <f t="shared" si="1020"/>
        <v/>
      </c>
    </row>
    <row r="62159" spans="8:8" x14ac:dyDescent="0.3">
      <c r="H62159" t="str">
        <f t="shared" si="1020"/>
        <v/>
      </c>
    </row>
    <row r="62160" spans="8:8" x14ac:dyDescent="0.3">
      <c r="H62160" t="str">
        <f t="shared" si="1020"/>
        <v/>
      </c>
    </row>
    <row r="62161" spans="8:8" x14ac:dyDescent="0.3">
      <c r="H62161" t="str">
        <f t="shared" si="1020"/>
        <v/>
      </c>
    </row>
    <row r="62162" spans="8:8" x14ac:dyDescent="0.3">
      <c r="H62162" t="str">
        <f t="shared" si="1020"/>
        <v/>
      </c>
    </row>
    <row r="62163" spans="8:8" x14ac:dyDescent="0.3">
      <c r="H62163" t="str">
        <f t="shared" si="1020"/>
        <v/>
      </c>
    </row>
    <row r="62164" spans="8:8" x14ac:dyDescent="0.3">
      <c r="H62164" t="str">
        <f t="shared" si="1020"/>
        <v/>
      </c>
    </row>
    <row r="62165" spans="8:8" x14ac:dyDescent="0.3">
      <c r="H62165" t="str">
        <f t="shared" si="1020"/>
        <v/>
      </c>
    </row>
    <row r="62166" spans="8:8" x14ac:dyDescent="0.3">
      <c r="H62166" t="str">
        <f t="shared" si="1020"/>
        <v/>
      </c>
    </row>
    <row r="62167" spans="8:8" x14ac:dyDescent="0.3">
      <c r="H62167" t="str">
        <f t="shared" ref="H62167:H62230" si="1021">IF(B62167="","",$C$12)</f>
        <v/>
      </c>
    </row>
    <row r="62168" spans="8:8" x14ac:dyDescent="0.3">
      <c r="H62168" t="str">
        <f t="shared" si="1021"/>
        <v/>
      </c>
    </row>
    <row r="62169" spans="8:8" x14ac:dyDescent="0.3">
      <c r="H62169" t="str">
        <f t="shared" si="1021"/>
        <v/>
      </c>
    </row>
    <row r="62170" spans="8:8" x14ac:dyDescent="0.3">
      <c r="H62170" t="str">
        <f t="shared" si="1021"/>
        <v/>
      </c>
    </row>
    <row r="62171" spans="8:8" x14ac:dyDescent="0.3">
      <c r="H62171" t="str">
        <f t="shared" si="1021"/>
        <v/>
      </c>
    </row>
    <row r="62172" spans="8:8" x14ac:dyDescent="0.3">
      <c r="H62172" t="str">
        <f t="shared" si="1021"/>
        <v/>
      </c>
    </row>
    <row r="62173" spans="8:8" x14ac:dyDescent="0.3">
      <c r="H62173" t="str">
        <f t="shared" si="1021"/>
        <v/>
      </c>
    </row>
    <row r="62174" spans="8:8" x14ac:dyDescent="0.3">
      <c r="H62174" t="str">
        <f t="shared" si="1021"/>
        <v/>
      </c>
    </row>
    <row r="62175" spans="8:8" x14ac:dyDescent="0.3">
      <c r="H62175" t="str">
        <f t="shared" si="1021"/>
        <v/>
      </c>
    </row>
    <row r="62176" spans="8:8" x14ac:dyDescent="0.3">
      <c r="H62176" t="str">
        <f t="shared" si="1021"/>
        <v/>
      </c>
    </row>
    <row r="62177" spans="8:8" x14ac:dyDescent="0.3">
      <c r="H62177" t="str">
        <f t="shared" si="1021"/>
        <v/>
      </c>
    </row>
    <row r="62178" spans="8:8" x14ac:dyDescent="0.3">
      <c r="H62178" t="str">
        <f t="shared" si="1021"/>
        <v/>
      </c>
    </row>
    <row r="62179" spans="8:8" x14ac:dyDescent="0.3">
      <c r="H62179" t="str">
        <f t="shared" si="1021"/>
        <v/>
      </c>
    </row>
    <row r="62180" spans="8:8" x14ac:dyDescent="0.3">
      <c r="H62180" t="str">
        <f t="shared" si="1021"/>
        <v/>
      </c>
    </row>
    <row r="62181" spans="8:8" x14ac:dyDescent="0.3">
      <c r="H62181" t="str">
        <f t="shared" si="1021"/>
        <v/>
      </c>
    </row>
    <row r="62182" spans="8:8" x14ac:dyDescent="0.3">
      <c r="H62182" t="str">
        <f t="shared" si="1021"/>
        <v/>
      </c>
    </row>
    <row r="62183" spans="8:8" x14ac:dyDescent="0.3">
      <c r="H62183" t="str">
        <f t="shared" si="1021"/>
        <v/>
      </c>
    </row>
    <row r="62184" spans="8:8" x14ac:dyDescent="0.3">
      <c r="H62184" t="str">
        <f t="shared" si="1021"/>
        <v/>
      </c>
    </row>
    <row r="62185" spans="8:8" x14ac:dyDescent="0.3">
      <c r="H62185" t="str">
        <f t="shared" si="1021"/>
        <v/>
      </c>
    </row>
    <row r="62186" spans="8:8" x14ac:dyDescent="0.3">
      <c r="H62186" t="str">
        <f t="shared" si="1021"/>
        <v/>
      </c>
    </row>
    <row r="62187" spans="8:8" x14ac:dyDescent="0.3">
      <c r="H62187" t="str">
        <f t="shared" si="1021"/>
        <v/>
      </c>
    </row>
    <row r="62188" spans="8:8" x14ac:dyDescent="0.3">
      <c r="H62188" t="str">
        <f t="shared" si="1021"/>
        <v/>
      </c>
    </row>
    <row r="62189" spans="8:8" x14ac:dyDescent="0.3">
      <c r="H62189" t="str">
        <f t="shared" si="1021"/>
        <v/>
      </c>
    </row>
    <row r="62190" spans="8:8" x14ac:dyDescent="0.3">
      <c r="H62190" t="str">
        <f t="shared" si="1021"/>
        <v/>
      </c>
    </row>
    <row r="62191" spans="8:8" x14ac:dyDescent="0.3">
      <c r="H62191" t="str">
        <f t="shared" si="1021"/>
        <v/>
      </c>
    </row>
    <row r="62192" spans="8:8" x14ac:dyDescent="0.3">
      <c r="H62192" t="str">
        <f t="shared" si="1021"/>
        <v/>
      </c>
    </row>
    <row r="62193" spans="8:8" x14ac:dyDescent="0.3">
      <c r="H62193" t="str">
        <f t="shared" si="1021"/>
        <v/>
      </c>
    </row>
    <row r="62194" spans="8:8" x14ac:dyDescent="0.3">
      <c r="H62194" t="str">
        <f t="shared" si="1021"/>
        <v/>
      </c>
    </row>
    <row r="62195" spans="8:8" x14ac:dyDescent="0.3">
      <c r="H62195" t="str">
        <f t="shared" si="1021"/>
        <v/>
      </c>
    </row>
    <row r="62196" spans="8:8" x14ac:dyDescent="0.3">
      <c r="H62196" t="str">
        <f t="shared" si="1021"/>
        <v/>
      </c>
    </row>
    <row r="62197" spans="8:8" x14ac:dyDescent="0.3">
      <c r="H62197" t="str">
        <f t="shared" si="1021"/>
        <v/>
      </c>
    </row>
    <row r="62198" spans="8:8" x14ac:dyDescent="0.3">
      <c r="H62198" t="str">
        <f t="shared" si="1021"/>
        <v/>
      </c>
    </row>
    <row r="62199" spans="8:8" x14ac:dyDescent="0.3">
      <c r="H62199" t="str">
        <f t="shared" si="1021"/>
        <v/>
      </c>
    </row>
    <row r="62200" spans="8:8" x14ac:dyDescent="0.3">
      <c r="H62200" t="str">
        <f t="shared" si="1021"/>
        <v/>
      </c>
    </row>
    <row r="62201" spans="8:8" x14ac:dyDescent="0.3">
      <c r="H62201" t="str">
        <f t="shared" si="1021"/>
        <v/>
      </c>
    </row>
    <row r="62202" spans="8:8" x14ac:dyDescent="0.3">
      <c r="H62202" t="str">
        <f t="shared" si="1021"/>
        <v/>
      </c>
    </row>
    <row r="62203" spans="8:8" x14ac:dyDescent="0.3">
      <c r="H62203" t="str">
        <f t="shared" si="1021"/>
        <v/>
      </c>
    </row>
    <row r="62204" spans="8:8" x14ac:dyDescent="0.3">
      <c r="H62204" t="str">
        <f t="shared" si="1021"/>
        <v/>
      </c>
    </row>
    <row r="62205" spans="8:8" x14ac:dyDescent="0.3">
      <c r="H62205" t="str">
        <f t="shared" si="1021"/>
        <v/>
      </c>
    </row>
    <row r="62206" spans="8:8" x14ac:dyDescent="0.3">
      <c r="H62206" t="str">
        <f t="shared" si="1021"/>
        <v/>
      </c>
    </row>
    <row r="62207" spans="8:8" x14ac:dyDescent="0.3">
      <c r="H62207" t="str">
        <f t="shared" si="1021"/>
        <v/>
      </c>
    </row>
    <row r="62208" spans="8:8" x14ac:dyDescent="0.3">
      <c r="H62208" t="str">
        <f t="shared" si="1021"/>
        <v/>
      </c>
    </row>
    <row r="62209" spans="8:8" x14ac:dyDescent="0.3">
      <c r="H62209" t="str">
        <f t="shared" si="1021"/>
        <v/>
      </c>
    </row>
    <row r="62210" spans="8:8" x14ac:dyDescent="0.3">
      <c r="H62210" t="str">
        <f t="shared" si="1021"/>
        <v/>
      </c>
    </row>
    <row r="62211" spans="8:8" x14ac:dyDescent="0.3">
      <c r="H62211" t="str">
        <f t="shared" si="1021"/>
        <v/>
      </c>
    </row>
    <row r="62212" spans="8:8" x14ac:dyDescent="0.3">
      <c r="H62212" t="str">
        <f t="shared" si="1021"/>
        <v/>
      </c>
    </row>
    <row r="62213" spans="8:8" x14ac:dyDescent="0.3">
      <c r="H62213" t="str">
        <f t="shared" si="1021"/>
        <v/>
      </c>
    </row>
    <row r="62214" spans="8:8" x14ac:dyDescent="0.3">
      <c r="H62214" t="str">
        <f t="shared" si="1021"/>
        <v/>
      </c>
    </row>
    <row r="62215" spans="8:8" x14ac:dyDescent="0.3">
      <c r="H62215" t="str">
        <f t="shared" si="1021"/>
        <v/>
      </c>
    </row>
    <row r="62216" spans="8:8" x14ac:dyDescent="0.3">
      <c r="H62216" t="str">
        <f t="shared" si="1021"/>
        <v/>
      </c>
    </row>
    <row r="62217" spans="8:8" x14ac:dyDescent="0.3">
      <c r="H62217" t="str">
        <f t="shared" si="1021"/>
        <v/>
      </c>
    </row>
    <row r="62218" spans="8:8" x14ac:dyDescent="0.3">
      <c r="H62218" t="str">
        <f t="shared" si="1021"/>
        <v/>
      </c>
    </row>
    <row r="62219" spans="8:8" x14ac:dyDescent="0.3">
      <c r="H62219" t="str">
        <f t="shared" si="1021"/>
        <v/>
      </c>
    </row>
    <row r="62220" spans="8:8" x14ac:dyDescent="0.3">
      <c r="H62220" t="str">
        <f t="shared" si="1021"/>
        <v/>
      </c>
    </row>
    <row r="62221" spans="8:8" x14ac:dyDescent="0.3">
      <c r="H62221" t="str">
        <f t="shared" si="1021"/>
        <v/>
      </c>
    </row>
    <row r="62222" spans="8:8" x14ac:dyDescent="0.3">
      <c r="H62222" t="str">
        <f t="shared" si="1021"/>
        <v/>
      </c>
    </row>
    <row r="62223" spans="8:8" x14ac:dyDescent="0.3">
      <c r="H62223" t="str">
        <f t="shared" si="1021"/>
        <v/>
      </c>
    </row>
    <row r="62224" spans="8:8" x14ac:dyDescent="0.3">
      <c r="H62224" t="str">
        <f t="shared" si="1021"/>
        <v/>
      </c>
    </row>
    <row r="62225" spans="8:8" x14ac:dyDescent="0.3">
      <c r="H62225" t="str">
        <f t="shared" si="1021"/>
        <v/>
      </c>
    </row>
    <row r="62226" spans="8:8" x14ac:dyDescent="0.3">
      <c r="H62226" t="str">
        <f t="shared" si="1021"/>
        <v/>
      </c>
    </row>
    <row r="62227" spans="8:8" x14ac:dyDescent="0.3">
      <c r="H62227" t="str">
        <f t="shared" si="1021"/>
        <v/>
      </c>
    </row>
    <row r="62228" spans="8:8" x14ac:dyDescent="0.3">
      <c r="H62228" t="str">
        <f t="shared" si="1021"/>
        <v/>
      </c>
    </row>
    <row r="62229" spans="8:8" x14ac:dyDescent="0.3">
      <c r="H62229" t="str">
        <f t="shared" si="1021"/>
        <v/>
      </c>
    </row>
    <row r="62230" spans="8:8" x14ac:dyDescent="0.3">
      <c r="H62230" t="str">
        <f t="shared" si="1021"/>
        <v/>
      </c>
    </row>
    <row r="62231" spans="8:8" x14ac:dyDescent="0.3">
      <c r="H62231" t="str">
        <f t="shared" ref="H62231:H62294" si="1022">IF(B62231="","",$C$12)</f>
        <v/>
      </c>
    </row>
    <row r="62232" spans="8:8" x14ac:dyDescent="0.3">
      <c r="H62232" t="str">
        <f t="shared" si="1022"/>
        <v/>
      </c>
    </row>
    <row r="62233" spans="8:8" x14ac:dyDescent="0.3">
      <c r="H62233" t="str">
        <f t="shared" si="1022"/>
        <v/>
      </c>
    </row>
    <row r="62234" spans="8:8" x14ac:dyDescent="0.3">
      <c r="H62234" t="str">
        <f t="shared" si="1022"/>
        <v/>
      </c>
    </row>
    <row r="62235" spans="8:8" x14ac:dyDescent="0.3">
      <c r="H62235" t="str">
        <f t="shared" si="1022"/>
        <v/>
      </c>
    </row>
    <row r="62236" spans="8:8" x14ac:dyDescent="0.3">
      <c r="H62236" t="str">
        <f t="shared" si="1022"/>
        <v/>
      </c>
    </row>
    <row r="62237" spans="8:8" x14ac:dyDescent="0.3">
      <c r="H62237" t="str">
        <f t="shared" si="1022"/>
        <v/>
      </c>
    </row>
    <row r="62238" spans="8:8" x14ac:dyDescent="0.3">
      <c r="H62238" t="str">
        <f t="shared" si="1022"/>
        <v/>
      </c>
    </row>
    <row r="62239" spans="8:8" x14ac:dyDescent="0.3">
      <c r="H62239" t="str">
        <f t="shared" si="1022"/>
        <v/>
      </c>
    </row>
    <row r="62240" spans="8:8" x14ac:dyDescent="0.3">
      <c r="H62240" t="str">
        <f t="shared" si="1022"/>
        <v/>
      </c>
    </row>
    <row r="62241" spans="8:8" x14ac:dyDescent="0.3">
      <c r="H62241" t="str">
        <f t="shared" si="1022"/>
        <v/>
      </c>
    </row>
    <row r="62242" spans="8:8" x14ac:dyDescent="0.3">
      <c r="H62242" t="str">
        <f t="shared" si="1022"/>
        <v/>
      </c>
    </row>
    <row r="62243" spans="8:8" x14ac:dyDescent="0.3">
      <c r="H62243" t="str">
        <f t="shared" si="1022"/>
        <v/>
      </c>
    </row>
    <row r="62244" spans="8:8" x14ac:dyDescent="0.3">
      <c r="H62244" t="str">
        <f t="shared" si="1022"/>
        <v/>
      </c>
    </row>
    <row r="62245" spans="8:8" x14ac:dyDescent="0.3">
      <c r="H62245" t="str">
        <f t="shared" si="1022"/>
        <v/>
      </c>
    </row>
    <row r="62246" spans="8:8" x14ac:dyDescent="0.3">
      <c r="H62246" t="str">
        <f t="shared" si="1022"/>
        <v/>
      </c>
    </row>
    <row r="62247" spans="8:8" x14ac:dyDescent="0.3">
      <c r="H62247" t="str">
        <f t="shared" si="1022"/>
        <v/>
      </c>
    </row>
    <row r="62248" spans="8:8" x14ac:dyDescent="0.3">
      <c r="H62248" t="str">
        <f t="shared" si="1022"/>
        <v/>
      </c>
    </row>
    <row r="62249" spans="8:8" x14ac:dyDescent="0.3">
      <c r="H62249" t="str">
        <f t="shared" si="1022"/>
        <v/>
      </c>
    </row>
    <row r="62250" spans="8:8" x14ac:dyDescent="0.3">
      <c r="H62250" t="str">
        <f t="shared" si="1022"/>
        <v/>
      </c>
    </row>
    <row r="62251" spans="8:8" x14ac:dyDescent="0.3">
      <c r="H62251" t="str">
        <f t="shared" si="1022"/>
        <v/>
      </c>
    </row>
    <row r="62252" spans="8:8" x14ac:dyDescent="0.3">
      <c r="H62252" t="str">
        <f t="shared" si="1022"/>
        <v/>
      </c>
    </row>
    <row r="62253" spans="8:8" x14ac:dyDescent="0.3">
      <c r="H62253" t="str">
        <f t="shared" si="1022"/>
        <v/>
      </c>
    </row>
    <row r="62254" spans="8:8" x14ac:dyDescent="0.3">
      <c r="H62254" t="str">
        <f t="shared" si="1022"/>
        <v/>
      </c>
    </row>
    <row r="62255" spans="8:8" x14ac:dyDescent="0.3">
      <c r="H62255" t="str">
        <f t="shared" si="1022"/>
        <v/>
      </c>
    </row>
    <row r="62256" spans="8:8" x14ac:dyDescent="0.3">
      <c r="H62256" t="str">
        <f t="shared" si="1022"/>
        <v/>
      </c>
    </row>
    <row r="62257" spans="8:8" x14ac:dyDescent="0.3">
      <c r="H62257" t="str">
        <f t="shared" si="1022"/>
        <v/>
      </c>
    </row>
    <row r="62258" spans="8:8" x14ac:dyDescent="0.3">
      <c r="H62258" t="str">
        <f t="shared" si="1022"/>
        <v/>
      </c>
    </row>
    <row r="62259" spans="8:8" x14ac:dyDescent="0.3">
      <c r="H62259" t="str">
        <f t="shared" si="1022"/>
        <v/>
      </c>
    </row>
    <row r="62260" spans="8:8" x14ac:dyDescent="0.3">
      <c r="H62260" t="str">
        <f t="shared" si="1022"/>
        <v/>
      </c>
    </row>
    <row r="62261" spans="8:8" x14ac:dyDescent="0.3">
      <c r="H62261" t="str">
        <f t="shared" si="1022"/>
        <v/>
      </c>
    </row>
    <row r="62262" spans="8:8" x14ac:dyDescent="0.3">
      <c r="H62262" t="str">
        <f t="shared" si="1022"/>
        <v/>
      </c>
    </row>
    <row r="62263" spans="8:8" x14ac:dyDescent="0.3">
      <c r="H62263" t="str">
        <f t="shared" si="1022"/>
        <v/>
      </c>
    </row>
    <row r="62264" spans="8:8" x14ac:dyDescent="0.3">
      <c r="H62264" t="str">
        <f t="shared" si="1022"/>
        <v/>
      </c>
    </row>
    <row r="62265" spans="8:8" x14ac:dyDescent="0.3">
      <c r="H62265" t="str">
        <f t="shared" si="1022"/>
        <v/>
      </c>
    </row>
    <row r="62266" spans="8:8" x14ac:dyDescent="0.3">
      <c r="H62266" t="str">
        <f t="shared" si="1022"/>
        <v/>
      </c>
    </row>
    <row r="62267" spans="8:8" x14ac:dyDescent="0.3">
      <c r="H62267" t="str">
        <f t="shared" si="1022"/>
        <v/>
      </c>
    </row>
    <row r="62268" spans="8:8" x14ac:dyDescent="0.3">
      <c r="H62268" t="str">
        <f t="shared" si="1022"/>
        <v/>
      </c>
    </row>
    <row r="62269" spans="8:8" x14ac:dyDescent="0.3">
      <c r="H62269" t="str">
        <f t="shared" si="1022"/>
        <v/>
      </c>
    </row>
    <row r="62270" spans="8:8" x14ac:dyDescent="0.3">
      <c r="H62270" t="str">
        <f t="shared" si="1022"/>
        <v/>
      </c>
    </row>
    <row r="62271" spans="8:8" x14ac:dyDescent="0.3">
      <c r="H62271" t="str">
        <f t="shared" si="1022"/>
        <v/>
      </c>
    </row>
    <row r="62272" spans="8:8" x14ac:dyDescent="0.3">
      <c r="H62272" t="str">
        <f t="shared" si="1022"/>
        <v/>
      </c>
    </row>
    <row r="62273" spans="8:8" x14ac:dyDescent="0.3">
      <c r="H62273" t="str">
        <f t="shared" si="1022"/>
        <v/>
      </c>
    </row>
    <row r="62274" spans="8:8" x14ac:dyDescent="0.3">
      <c r="H62274" t="str">
        <f t="shared" si="1022"/>
        <v/>
      </c>
    </row>
    <row r="62275" spans="8:8" x14ac:dyDescent="0.3">
      <c r="H62275" t="str">
        <f t="shared" si="1022"/>
        <v/>
      </c>
    </row>
    <row r="62276" spans="8:8" x14ac:dyDescent="0.3">
      <c r="H62276" t="str">
        <f t="shared" si="1022"/>
        <v/>
      </c>
    </row>
    <row r="62277" spans="8:8" x14ac:dyDescent="0.3">
      <c r="H62277" t="str">
        <f t="shared" si="1022"/>
        <v/>
      </c>
    </row>
    <row r="62278" spans="8:8" x14ac:dyDescent="0.3">
      <c r="H62278" t="str">
        <f t="shared" si="1022"/>
        <v/>
      </c>
    </row>
    <row r="62279" spans="8:8" x14ac:dyDescent="0.3">
      <c r="H62279" t="str">
        <f t="shared" si="1022"/>
        <v/>
      </c>
    </row>
    <row r="62280" spans="8:8" x14ac:dyDescent="0.3">
      <c r="H62280" t="str">
        <f t="shared" si="1022"/>
        <v/>
      </c>
    </row>
    <row r="62281" spans="8:8" x14ac:dyDescent="0.3">
      <c r="H62281" t="str">
        <f t="shared" si="1022"/>
        <v/>
      </c>
    </row>
    <row r="62282" spans="8:8" x14ac:dyDescent="0.3">
      <c r="H62282" t="str">
        <f t="shared" si="1022"/>
        <v/>
      </c>
    </row>
    <row r="62283" spans="8:8" x14ac:dyDescent="0.3">
      <c r="H62283" t="str">
        <f t="shared" si="1022"/>
        <v/>
      </c>
    </row>
    <row r="62284" spans="8:8" x14ac:dyDescent="0.3">
      <c r="H62284" t="str">
        <f t="shared" si="1022"/>
        <v/>
      </c>
    </row>
    <row r="62285" spans="8:8" x14ac:dyDescent="0.3">
      <c r="H62285" t="str">
        <f t="shared" si="1022"/>
        <v/>
      </c>
    </row>
    <row r="62286" spans="8:8" x14ac:dyDescent="0.3">
      <c r="H62286" t="str">
        <f t="shared" si="1022"/>
        <v/>
      </c>
    </row>
    <row r="62287" spans="8:8" x14ac:dyDescent="0.3">
      <c r="H62287" t="str">
        <f t="shared" si="1022"/>
        <v/>
      </c>
    </row>
    <row r="62288" spans="8:8" x14ac:dyDescent="0.3">
      <c r="H62288" t="str">
        <f t="shared" si="1022"/>
        <v/>
      </c>
    </row>
    <row r="62289" spans="8:8" x14ac:dyDescent="0.3">
      <c r="H62289" t="str">
        <f t="shared" si="1022"/>
        <v/>
      </c>
    </row>
    <row r="62290" spans="8:8" x14ac:dyDescent="0.3">
      <c r="H62290" t="str">
        <f t="shared" si="1022"/>
        <v/>
      </c>
    </row>
    <row r="62291" spans="8:8" x14ac:dyDescent="0.3">
      <c r="H62291" t="str">
        <f t="shared" si="1022"/>
        <v/>
      </c>
    </row>
    <row r="62292" spans="8:8" x14ac:dyDescent="0.3">
      <c r="H62292" t="str">
        <f t="shared" si="1022"/>
        <v/>
      </c>
    </row>
    <row r="62293" spans="8:8" x14ac:dyDescent="0.3">
      <c r="H62293" t="str">
        <f t="shared" si="1022"/>
        <v/>
      </c>
    </row>
    <row r="62294" spans="8:8" x14ac:dyDescent="0.3">
      <c r="H62294" t="str">
        <f t="shared" si="1022"/>
        <v/>
      </c>
    </row>
    <row r="62295" spans="8:8" x14ac:dyDescent="0.3">
      <c r="H62295" t="str">
        <f t="shared" ref="H62295:H62358" si="1023">IF(B62295="","",$C$12)</f>
        <v/>
      </c>
    </row>
    <row r="62296" spans="8:8" x14ac:dyDescent="0.3">
      <c r="H62296" t="str">
        <f t="shared" si="1023"/>
        <v/>
      </c>
    </row>
    <row r="62297" spans="8:8" x14ac:dyDescent="0.3">
      <c r="H62297" t="str">
        <f t="shared" si="1023"/>
        <v/>
      </c>
    </row>
    <row r="62298" spans="8:8" x14ac:dyDescent="0.3">
      <c r="H62298" t="str">
        <f t="shared" si="1023"/>
        <v/>
      </c>
    </row>
    <row r="62299" spans="8:8" x14ac:dyDescent="0.3">
      <c r="H62299" t="str">
        <f t="shared" si="1023"/>
        <v/>
      </c>
    </row>
    <row r="62300" spans="8:8" x14ac:dyDescent="0.3">
      <c r="H62300" t="str">
        <f t="shared" si="1023"/>
        <v/>
      </c>
    </row>
    <row r="62301" spans="8:8" x14ac:dyDescent="0.3">
      <c r="H62301" t="str">
        <f t="shared" si="1023"/>
        <v/>
      </c>
    </row>
    <row r="62302" spans="8:8" x14ac:dyDescent="0.3">
      <c r="H62302" t="str">
        <f t="shared" si="1023"/>
        <v/>
      </c>
    </row>
    <row r="62303" spans="8:8" x14ac:dyDescent="0.3">
      <c r="H62303" t="str">
        <f t="shared" si="1023"/>
        <v/>
      </c>
    </row>
    <row r="62304" spans="8:8" x14ac:dyDescent="0.3">
      <c r="H62304" t="str">
        <f t="shared" si="1023"/>
        <v/>
      </c>
    </row>
    <row r="62305" spans="8:8" x14ac:dyDescent="0.3">
      <c r="H62305" t="str">
        <f t="shared" si="1023"/>
        <v/>
      </c>
    </row>
    <row r="62306" spans="8:8" x14ac:dyDescent="0.3">
      <c r="H62306" t="str">
        <f t="shared" si="1023"/>
        <v/>
      </c>
    </row>
    <row r="62307" spans="8:8" x14ac:dyDescent="0.3">
      <c r="H62307" t="str">
        <f t="shared" si="1023"/>
        <v/>
      </c>
    </row>
    <row r="62308" spans="8:8" x14ac:dyDescent="0.3">
      <c r="H62308" t="str">
        <f t="shared" si="1023"/>
        <v/>
      </c>
    </row>
    <row r="62309" spans="8:8" x14ac:dyDescent="0.3">
      <c r="H62309" t="str">
        <f t="shared" si="1023"/>
        <v/>
      </c>
    </row>
    <row r="62310" spans="8:8" x14ac:dyDescent="0.3">
      <c r="H62310" t="str">
        <f t="shared" si="1023"/>
        <v/>
      </c>
    </row>
    <row r="62311" spans="8:8" x14ac:dyDescent="0.3">
      <c r="H62311" t="str">
        <f t="shared" si="1023"/>
        <v/>
      </c>
    </row>
    <row r="62312" spans="8:8" x14ac:dyDescent="0.3">
      <c r="H62312" t="str">
        <f t="shared" si="1023"/>
        <v/>
      </c>
    </row>
    <row r="62313" spans="8:8" x14ac:dyDescent="0.3">
      <c r="H62313" t="str">
        <f t="shared" si="1023"/>
        <v/>
      </c>
    </row>
    <row r="62314" spans="8:8" x14ac:dyDescent="0.3">
      <c r="H62314" t="str">
        <f t="shared" si="1023"/>
        <v/>
      </c>
    </row>
    <row r="62315" spans="8:8" x14ac:dyDescent="0.3">
      <c r="H62315" t="str">
        <f t="shared" si="1023"/>
        <v/>
      </c>
    </row>
    <row r="62316" spans="8:8" x14ac:dyDescent="0.3">
      <c r="H62316" t="str">
        <f t="shared" si="1023"/>
        <v/>
      </c>
    </row>
    <row r="62317" spans="8:8" x14ac:dyDescent="0.3">
      <c r="H62317" t="str">
        <f t="shared" si="1023"/>
        <v/>
      </c>
    </row>
    <row r="62318" spans="8:8" x14ac:dyDescent="0.3">
      <c r="H62318" t="str">
        <f t="shared" si="1023"/>
        <v/>
      </c>
    </row>
    <row r="62319" spans="8:8" x14ac:dyDescent="0.3">
      <c r="H62319" t="str">
        <f t="shared" si="1023"/>
        <v/>
      </c>
    </row>
    <row r="62320" spans="8:8" x14ac:dyDescent="0.3">
      <c r="H62320" t="str">
        <f t="shared" si="1023"/>
        <v/>
      </c>
    </row>
    <row r="62321" spans="8:8" x14ac:dyDescent="0.3">
      <c r="H62321" t="str">
        <f t="shared" si="1023"/>
        <v/>
      </c>
    </row>
    <row r="62322" spans="8:8" x14ac:dyDescent="0.3">
      <c r="H62322" t="str">
        <f t="shared" si="1023"/>
        <v/>
      </c>
    </row>
    <row r="62323" spans="8:8" x14ac:dyDescent="0.3">
      <c r="H62323" t="str">
        <f t="shared" si="1023"/>
        <v/>
      </c>
    </row>
    <row r="62324" spans="8:8" x14ac:dyDescent="0.3">
      <c r="H62324" t="str">
        <f t="shared" si="1023"/>
        <v/>
      </c>
    </row>
    <row r="62325" spans="8:8" x14ac:dyDescent="0.3">
      <c r="H62325" t="str">
        <f t="shared" si="1023"/>
        <v/>
      </c>
    </row>
    <row r="62326" spans="8:8" x14ac:dyDescent="0.3">
      <c r="H62326" t="str">
        <f t="shared" si="1023"/>
        <v/>
      </c>
    </row>
    <row r="62327" spans="8:8" x14ac:dyDescent="0.3">
      <c r="H62327" t="str">
        <f t="shared" si="1023"/>
        <v/>
      </c>
    </row>
    <row r="62328" spans="8:8" x14ac:dyDescent="0.3">
      <c r="H62328" t="str">
        <f t="shared" si="1023"/>
        <v/>
      </c>
    </row>
    <row r="62329" spans="8:8" x14ac:dyDescent="0.3">
      <c r="H62329" t="str">
        <f t="shared" si="1023"/>
        <v/>
      </c>
    </row>
    <row r="62330" spans="8:8" x14ac:dyDescent="0.3">
      <c r="H62330" t="str">
        <f t="shared" si="1023"/>
        <v/>
      </c>
    </row>
    <row r="62331" spans="8:8" x14ac:dyDescent="0.3">
      <c r="H62331" t="str">
        <f t="shared" si="1023"/>
        <v/>
      </c>
    </row>
    <row r="62332" spans="8:8" x14ac:dyDescent="0.3">
      <c r="H62332" t="str">
        <f t="shared" si="1023"/>
        <v/>
      </c>
    </row>
    <row r="62333" spans="8:8" x14ac:dyDescent="0.3">
      <c r="H62333" t="str">
        <f t="shared" si="1023"/>
        <v/>
      </c>
    </row>
    <row r="62334" spans="8:8" x14ac:dyDescent="0.3">
      <c r="H62334" t="str">
        <f t="shared" si="1023"/>
        <v/>
      </c>
    </row>
    <row r="62335" spans="8:8" x14ac:dyDescent="0.3">
      <c r="H62335" t="str">
        <f t="shared" si="1023"/>
        <v/>
      </c>
    </row>
    <row r="62336" spans="8:8" x14ac:dyDescent="0.3">
      <c r="H62336" t="str">
        <f t="shared" si="1023"/>
        <v/>
      </c>
    </row>
    <row r="62337" spans="8:8" x14ac:dyDescent="0.3">
      <c r="H62337" t="str">
        <f t="shared" si="1023"/>
        <v/>
      </c>
    </row>
    <row r="62338" spans="8:8" x14ac:dyDescent="0.3">
      <c r="H62338" t="str">
        <f t="shared" si="1023"/>
        <v/>
      </c>
    </row>
    <row r="62339" spans="8:8" x14ac:dyDescent="0.3">
      <c r="H62339" t="str">
        <f t="shared" si="1023"/>
        <v/>
      </c>
    </row>
    <row r="62340" spans="8:8" x14ac:dyDescent="0.3">
      <c r="H62340" t="str">
        <f t="shared" si="1023"/>
        <v/>
      </c>
    </row>
    <row r="62341" spans="8:8" x14ac:dyDescent="0.3">
      <c r="H62341" t="str">
        <f t="shared" si="1023"/>
        <v/>
      </c>
    </row>
    <row r="62342" spans="8:8" x14ac:dyDescent="0.3">
      <c r="H62342" t="str">
        <f t="shared" si="1023"/>
        <v/>
      </c>
    </row>
    <row r="62343" spans="8:8" x14ac:dyDescent="0.3">
      <c r="H62343" t="str">
        <f t="shared" si="1023"/>
        <v/>
      </c>
    </row>
    <row r="62344" spans="8:8" x14ac:dyDescent="0.3">
      <c r="H62344" t="str">
        <f t="shared" si="1023"/>
        <v/>
      </c>
    </row>
    <row r="62345" spans="8:8" x14ac:dyDescent="0.3">
      <c r="H62345" t="str">
        <f t="shared" si="1023"/>
        <v/>
      </c>
    </row>
    <row r="62346" spans="8:8" x14ac:dyDescent="0.3">
      <c r="H62346" t="str">
        <f t="shared" si="1023"/>
        <v/>
      </c>
    </row>
    <row r="62347" spans="8:8" x14ac:dyDescent="0.3">
      <c r="H62347" t="str">
        <f t="shared" si="1023"/>
        <v/>
      </c>
    </row>
    <row r="62348" spans="8:8" x14ac:dyDescent="0.3">
      <c r="H62348" t="str">
        <f t="shared" si="1023"/>
        <v/>
      </c>
    </row>
    <row r="62349" spans="8:8" x14ac:dyDescent="0.3">
      <c r="H62349" t="str">
        <f t="shared" si="1023"/>
        <v/>
      </c>
    </row>
    <row r="62350" spans="8:8" x14ac:dyDescent="0.3">
      <c r="H62350" t="str">
        <f t="shared" si="1023"/>
        <v/>
      </c>
    </row>
    <row r="62351" spans="8:8" x14ac:dyDescent="0.3">
      <c r="H62351" t="str">
        <f t="shared" si="1023"/>
        <v/>
      </c>
    </row>
    <row r="62352" spans="8:8" x14ac:dyDescent="0.3">
      <c r="H62352" t="str">
        <f t="shared" si="1023"/>
        <v/>
      </c>
    </row>
    <row r="62353" spans="8:8" x14ac:dyDescent="0.3">
      <c r="H62353" t="str">
        <f t="shared" si="1023"/>
        <v/>
      </c>
    </row>
    <row r="62354" spans="8:8" x14ac:dyDescent="0.3">
      <c r="H62354" t="str">
        <f t="shared" si="1023"/>
        <v/>
      </c>
    </row>
    <row r="62355" spans="8:8" x14ac:dyDescent="0.3">
      <c r="H62355" t="str">
        <f t="shared" si="1023"/>
        <v/>
      </c>
    </row>
    <row r="62356" spans="8:8" x14ac:dyDescent="0.3">
      <c r="H62356" t="str">
        <f t="shared" si="1023"/>
        <v/>
      </c>
    </row>
    <row r="62357" spans="8:8" x14ac:dyDescent="0.3">
      <c r="H62357" t="str">
        <f t="shared" si="1023"/>
        <v/>
      </c>
    </row>
    <row r="62358" spans="8:8" x14ac:dyDescent="0.3">
      <c r="H62358" t="str">
        <f t="shared" si="1023"/>
        <v/>
      </c>
    </row>
    <row r="62359" spans="8:8" x14ac:dyDescent="0.3">
      <c r="H62359" t="str">
        <f t="shared" ref="H62359:H62422" si="1024">IF(B62359="","",$C$12)</f>
        <v/>
      </c>
    </row>
    <row r="62360" spans="8:8" x14ac:dyDescent="0.3">
      <c r="H62360" t="str">
        <f t="shared" si="1024"/>
        <v/>
      </c>
    </row>
    <row r="62361" spans="8:8" x14ac:dyDescent="0.3">
      <c r="H62361" t="str">
        <f t="shared" si="1024"/>
        <v/>
      </c>
    </row>
    <row r="62362" spans="8:8" x14ac:dyDescent="0.3">
      <c r="H62362" t="str">
        <f t="shared" si="1024"/>
        <v/>
      </c>
    </row>
    <row r="62363" spans="8:8" x14ac:dyDescent="0.3">
      <c r="H62363" t="str">
        <f t="shared" si="1024"/>
        <v/>
      </c>
    </row>
    <row r="62364" spans="8:8" x14ac:dyDescent="0.3">
      <c r="H62364" t="str">
        <f t="shared" si="1024"/>
        <v/>
      </c>
    </row>
    <row r="62365" spans="8:8" x14ac:dyDescent="0.3">
      <c r="H62365" t="str">
        <f t="shared" si="1024"/>
        <v/>
      </c>
    </row>
    <row r="62366" spans="8:8" x14ac:dyDescent="0.3">
      <c r="H62366" t="str">
        <f t="shared" si="1024"/>
        <v/>
      </c>
    </row>
    <row r="62367" spans="8:8" x14ac:dyDescent="0.3">
      <c r="H62367" t="str">
        <f t="shared" si="1024"/>
        <v/>
      </c>
    </row>
    <row r="62368" spans="8:8" x14ac:dyDescent="0.3">
      <c r="H62368" t="str">
        <f t="shared" si="1024"/>
        <v/>
      </c>
    </row>
    <row r="62369" spans="8:8" x14ac:dyDescent="0.3">
      <c r="H62369" t="str">
        <f t="shared" si="1024"/>
        <v/>
      </c>
    </row>
    <row r="62370" spans="8:8" x14ac:dyDescent="0.3">
      <c r="H62370" t="str">
        <f t="shared" si="1024"/>
        <v/>
      </c>
    </row>
    <row r="62371" spans="8:8" x14ac:dyDescent="0.3">
      <c r="H62371" t="str">
        <f t="shared" si="1024"/>
        <v/>
      </c>
    </row>
    <row r="62372" spans="8:8" x14ac:dyDescent="0.3">
      <c r="H62372" t="str">
        <f t="shared" si="1024"/>
        <v/>
      </c>
    </row>
    <row r="62373" spans="8:8" x14ac:dyDescent="0.3">
      <c r="H62373" t="str">
        <f t="shared" si="1024"/>
        <v/>
      </c>
    </row>
    <row r="62374" spans="8:8" x14ac:dyDescent="0.3">
      <c r="H62374" t="str">
        <f t="shared" si="1024"/>
        <v/>
      </c>
    </row>
    <row r="62375" spans="8:8" x14ac:dyDescent="0.3">
      <c r="H62375" t="str">
        <f t="shared" si="1024"/>
        <v/>
      </c>
    </row>
    <row r="62376" spans="8:8" x14ac:dyDescent="0.3">
      <c r="H62376" t="str">
        <f t="shared" si="1024"/>
        <v/>
      </c>
    </row>
    <row r="62377" spans="8:8" x14ac:dyDescent="0.3">
      <c r="H62377" t="str">
        <f t="shared" si="1024"/>
        <v/>
      </c>
    </row>
    <row r="62378" spans="8:8" x14ac:dyDescent="0.3">
      <c r="H62378" t="str">
        <f t="shared" si="1024"/>
        <v/>
      </c>
    </row>
    <row r="62379" spans="8:8" x14ac:dyDescent="0.3">
      <c r="H62379" t="str">
        <f t="shared" si="1024"/>
        <v/>
      </c>
    </row>
    <row r="62380" spans="8:8" x14ac:dyDescent="0.3">
      <c r="H62380" t="str">
        <f t="shared" si="1024"/>
        <v/>
      </c>
    </row>
    <row r="62381" spans="8:8" x14ac:dyDescent="0.3">
      <c r="H62381" t="str">
        <f t="shared" si="1024"/>
        <v/>
      </c>
    </row>
    <row r="62382" spans="8:8" x14ac:dyDescent="0.3">
      <c r="H62382" t="str">
        <f t="shared" si="1024"/>
        <v/>
      </c>
    </row>
    <row r="62383" spans="8:8" x14ac:dyDescent="0.3">
      <c r="H62383" t="str">
        <f t="shared" si="1024"/>
        <v/>
      </c>
    </row>
    <row r="62384" spans="8:8" x14ac:dyDescent="0.3">
      <c r="H62384" t="str">
        <f t="shared" si="1024"/>
        <v/>
      </c>
    </row>
    <row r="62385" spans="8:8" x14ac:dyDescent="0.3">
      <c r="H62385" t="str">
        <f t="shared" si="1024"/>
        <v/>
      </c>
    </row>
    <row r="62386" spans="8:8" x14ac:dyDescent="0.3">
      <c r="H62386" t="str">
        <f t="shared" si="1024"/>
        <v/>
      </c>
    </row>
    <row r="62387" spans="8:8" x14ac:dyDescent="0.3">
      <c r="H62387" t="str">
        <f t="shared" si="1024"/>
        <v/>
      </c>
    </row>
    <row r="62388" spans="8:8" x14ac:dyDescent="0.3">
      <c r="H62388" t="str">
        <f t="shared" si="1024"/>
        <v/>
      </c>
    </row>
    <row r="62389" spans="8:8" x14ac:dyDescent="0.3">
      <c r="H62389" t="str">
        <f t="shared" si="1024"/>
        <v/>
      </c>
    </row>
    <row r="62390" spans="8:8" x14ac:dyDescent="0.3">
      <c r="H62390" t="str">
        <f t="shared" si="1024"/>
        <v/>
      </c>
    </row>
    <row r="62391" spans="8:8" x14ac:dyDescent="0.3">
      <c r="H62391" t="str">
        <f t="shared" si="1024"/>
        <v/>
      </c>
    </row>
    <row r="62392" spans="8:8" x14ac:dyDescent="0.3">
      <c r="H62392" t="str">
        <f t="shared" si="1024"/>
        <v/>
      </c>
    </row>
    <row r="62393" spans="8:8" x14ac:dyDescent="0.3">
      <c r="H62393" t="str">
        <f t="shared" si="1024"/>
        <v/>
      </c>
    </row>
    <row r="62394" spans="8:8" x14ac:dyDescent="0.3">
      <c r="H62394" t="str">
        <f t="shared" si="1024"/>
        <v/>
      </c>
    </row>
    <row r="62395" spans="8:8" x14ac:dyDescent="0.3">
      <c r="H62395" t="str">
        <f t="shared" si="1024"/>
        <v/>
      </c>
    </row>
    <row r="62396" spans="8:8" x14ac:dyDescent="0.3">
      <c r="H62396" t="str">
        <f t="shared" si="1024"/>
        <v/>
      </c>
    </row>
    <row r="62397" spans="8:8" x14ac:dyDescent="0.3">
      <c r="H62397" t="str">
        <f t="shared" si="1024"/>
        <v/>
      </c>
    </row>
    <row r="62398" spans="8:8" x14ac:dyDescent="0.3">
      <c r="H62398" t="str">
        <f t="shared" si="1024"/>
        <v/>
      </c>
    </row>
    <row r="62399" spans="8:8" x14ac:dyDescent="0.3">
      <c r="H62399" t="str">
        <f t="shared" si="1024"/>
        <v/>
      </c>
    </row>
    <row r="62400" spans="8:8" x14ac:dyDescent="0.3">
      <c r="H62400" t="str">
        <f t="shared" si="1024"/>
        <v/>
      </c>
    </row>
    <row r="62401" spans="8:8" x14ac:dyDescent="0.3">
      <c r="H62401" t="str">
        <f t="shared" si="1024"/>
        <v/>
      </c>
    </row>
    <row r="62402" spans="8:8" x14ac:dyDescent="0.3">
      <c r="H62402" t="str">
        <f t="shared" si="1024"/>
        <v/>
      </c>
    </row>
    <row r="62403" spans="8:8" x14ac:dyDescent="0.3">
      <c r="H62403" t="str">
        <f t="shared" si="1024"/>
        <v/>
      </c>
    </row>
    <row r="62404" spans="8:8" x14ac:dyDescent="0.3">
      <c r="H62404" t="str">
        <f t="shared" si="1024"/>
        <v/>
      </c>
    </row>
    <row r="62405" spans="8:8" x14ac:dyDescent="0.3">
      <c r="H62405" t="str">
        <f t="shared" si="1024"/>
        <v/>
      </c>
    </row>
    <row r="62406" spans="8:8" x14ac:dyDescent="0.3">
      <c r="H62406" t="str">
        <f t="shared" si="1024"/>
        <v/>
      </c>
    </row>
    <row r="62407" spans="8:8" x14ac:dyDescent="0.3">
      <c r="H62407" t="str">
        <f t="shared" si="1024"/>
        <v/>
      </c>
    </row>
    <row r="62408" spans="8:8" x14ac:dyDescent="0.3">
      <c r="H62408" t="str">
        <f t="shared" si="1024"/>
        <v/>
      </c>
    </row>
    <row r="62409" spans="8:8" x14ac:dyDescent="0.3">
      <c r="H62409" t="str">
        <f t="shared" si="1024"/>
        <v/>
      </c>
    </row>
    <row r="62410" spans="8:8" x14ac:dyDescent="0.3">
      <c r="H62410" t="str">
        <f t="shared" si="1024"/>
        <v/>
      </c>
    </row>
    <row r="62411" spans="8:8" x14ac:dyDescent="0.3">
      <c r="H62411" t="str">
        <f t="shared" si="1024"/>
        <v/>
      </c>
    </row>
    <row r="62412" spans="8:8" x14ac:dyDescent="0.3">
      <c r="H62412" t="str">
        <f t="shared" si="1024"/>
        <v/>
      </c>
    </row>
    <row r="62413" spans="8:8" x14ac:dyDescent="0.3">
      <c r="H62413" t="str">
        <f t="shared" si="1024"/>
        <v/>
      </c>
    </row>
    <row r="62414" spans="8:8" x14ac:dyDescent="0.3">
      <c r="H62414" t="str">
        <f t="shared" si="1024"/>
        <v/>
      </c>
    </row>
    <row r="62415" spans="8:8" x14ac:dyDescent="0.3">
      <c r="H62415" t="str">
        <f t="shared" si="1024"/>
        <v/>
      </c>
    </row>
    <row r="62416" spans="8:8" x14ac:dyDescent="0.3">
      <c r="H62416" t="str">
        <f t="shared" si="1024"/>
        <v/>
      </c>
    </row>
    <row r="62417" spans="8:8" x14ac:dyDescent="0.3">
      <c r="H62417" t="str">
        <f t="shared" si="1024"/>
        <v/>
      </c>
    </row>
    <row r="62418" spans="8:8" x14ac:dyDescent="0.3">
      <c r="H62418" t="str">
        <f t="shared" si="1024"/>
        <v/>
      </c>
    </row>
    <row r="62419" spans="8:8" x14ac:dyDescent="0.3">
      <c r="H62419" t="str">
        <f t="shared" si="1024"/>
        <v/>
      </c>
    </row>
    <row r="62420" spans="8:8" x14ac:dyDescent="0.3">
      <c r="H62420" t="str">
        <f t="shared" si="1024"/>
        <v/>
      </c>
    </row>
    <row r="62421" spans="8:8" x14ac:dyDescent="0.3">
      <c r="H62421" t="str">
        <f t="shared" si="1024"/>
        <v/>
      </c>
    </row>
    <row r="62422" spans="8:8" x14ac:dyDescent="0.3">
      <c r="H62422" t="str">
        <f t="shared" si="1024"/>
        <v/>
      </c>
    </row>
    <row r="62423" spans="8:8" x14ac:dyDescent="0.3">
      <c r="H62423" t="str">
        <f t="shared" ref="H62423:H62486" si="1025">IF(B62423="","",$C$12)</f>
        <v/>
      </c>
    </row>
    <row r="62424" spans="8:8" x14ac:dyDescent="0.3">
      <c r="H62424" t="str">
        <f t="shared" si="1025"/>
        <v/>
      </c>
    </row>
    <row r="62425" spans="8:8" x14ac:dyDescent="0.3">
      <c r="H62425" t="str">
        <f t="shared" si="1025"/>
        <v/>
      </c>
    </row>
    <row r="62426" spans="8:8" x14ac:dyDescent="0.3">
      <c r="H62426" t="str">
        <f t="shared" si="1025"/>
        <v/>
      </c>
    </row>
    <row r="62427" spans="8:8" x14ac:dyDescent="0.3">
      <c r="H62427" t="str">
        <f t="shared" si="1025"/>
        <v/>
      </c>
    </row>
    <row r="62428" spans="8:8" x14ac:dyDescent="0.3">
      <c r="H62428" t="str">
        <f t="shared" si="1025"/>
        <v/>
      </c>
    </row>
    <row r="62429" spans="8:8" x14ac:dyDescent="0.3">
      <c r="H62429" t="str">
        <f t="shared" si="1025"/>
        <v/>
      </c>
    </row>
    <row r="62430" spans="8:8" x14ac:dyDescent="0.3">
      <c r="H62430" t="str">
        <f t="shared" si="1025"/>
        <v/>
      </c>
    </row>
    <row r="62431" spans="8:8" x14ac:dyDescent="0.3">
      <c r="H62431" t="str">
        <f t="shared" si="1025"/>
        <v/>
      </c>
    </row>
    <row r="62432" spans="8:8" x14ac:dyDescent="0.3">
      <c r="H62432" t="str">
        <f t="shared" si="1025"/>
        <v/>
      </c>
    </row>
    <row r="62433" spans="8:8" x14ac:dyDescent="0.3">
      <c r="H62433" t="str">
        <f t="shared" si="1025"/>
        <v/>
      </c>
    </row>
    <row r="62434" spans="8:8" x14ac:dyDescent="0.3">
      <c r="H62434" t="str">
        <f t="shared" si="1025"/>
        <v/>
      </c>
    </row>
    <row r="62435" spans="8:8" x14ac:dyDescent="0.3">
      <c r="H62435" t="str">
        <f t="shared" si="1025"/>
        <v/>
      </c>
    </row>
    <row r="62436" spans="8:8" x14ac:dyDescent="0.3">
      <c r="H62436" t="str">
        <f t="shared" si="1025"/>
        <v/>
      </c>
    </row>
    <row r="62437" spans="8:8" x14ac:dyDescent="0.3">
      <c r="H62437" t="str">
        <f t="shared" si="1025"/>
        <v/>
      </c>
    </row>
    <row r="62438" spans="8:8" x14ac:dyDescent="0.3">
      <c r="H62438" t="str">
        <f t="shared" si="1025"/>
        <v/>
      </c>
    </row>
    <row r="62439" spans="8:8" x14ac:dyDescent="0.3">
      <c r="H62439" t="str">
        <f t="shared" si="1025"/>
        <v/>
      </c>
    </row>
    <row r="62440" spans="8:8" x14ac:dyDescent="0.3">
      <c r="H62440" t="str">
        <f t="shared" si="1025"/>
        <v/>
      </c>
    </row>
    <row r="62441" spans="8:8" x14ac:dyDescent="0.3">
      <c r="H62441" t="str">
        <f t="shared" si="1025"/>
        <v/>
      </c>
    </row>
    <row r="62442" spans="8:8" x14ac:dyDescent="0.3">
      <c r="H62442" t="str">
        <f t="shared" si="1025"/>
        <v/>
      </c>
    </row>
    <row r="62443" spans="8:8" x14ac:dyDescent="0.3">
      <c r="H62443" t="str">
        <f t="shared" si="1025"/>
        <v/>
      </c>
    </row>
    <row r="62444" spans="8:8" x14ac:dyDescent="0.3">
      <c r="H62444" t="str">
        <f t="shared" si="1025"/>
        <v/>
      </c>
    </row>
    <row r="62445" spans="8:8" x14ac:dyDescent="0.3">
      <c r="H62445" t="str">
        <f t="shared" si="1025"/>
        <v/>
      </c>
    </row>
    <row r="62446" spans="8:8" x14ac:dyDescent="0.3">
      <c r="H62446" t="str">
        <f t="shared" si="1025"/>
        <v/>
      </c>
    </row>
    <row r="62447" spans="8:8" x14ac:dyDescent="0.3">
      <c r="H62447" t="str">
        <f t="shared" si="1025"/>
        <v/>
      </c>
    </row>
    <row r="62448" spans="8:8" x14ac:dyDescent="0.3">
      <c r="H62448" t="str">
        <f t="shared" si="1025"/>
        <v/>
      </c>
    </row>
    <row r="62449" spans="8:8" x14ac:dyDescent="0.3">
      <c r="H62449" t="str">
        <f t="shared" si="1025"/>
        <v/>
      </c>
    </row>
    <row r="62450" spans="8:8" x14ac:dyDescent="0.3">
      <c r="H62450" t="str">
        <f t="shared" si="1025"/>
        <v/>
      </c>
    </row>
    <row r="62451" spans="8:8" x14ac:dyDescent="0.3">
      <c r="H62451" t="str">
        <f t="shared" si="1025"/>
        <v/>
      </c>
    </row>
    <row r="62452" spans="8:8" x14ac:dyDescent="0.3">
      <c r="H62452" t="str">
        <f t="shared" si="1025"/>
        <v/>
      </c>
    </row>
    <row r="62453" spans="8:8" x14ac:dyDescent="0.3">
      <c r="H62453" t="str">
        <f t="shared" si="1025"/>
        <v/>
      </c>
    </row>
    <row r="62454" spans="8:8" x14ac:dyDescent="0.3">
      <c r="H62454" t="str">
        <f t="shared" si="1025"/>
        <v/>
      </c>
    </row>
    <row r="62455" spans="8:8" x14ac:dyDescent="0.3">
      <c r="H62455" t="str">
        <f t="shared" si="1025"/>
        <v/>
      </c>
    </row>
    <row r="62456" spans="8:8" x14ac:dyDescent="0.3">
      <c r="H62456" t="str">
        <f t="shared" si="1025"/>
        <v/>
      </c>
    </row>
    <row r="62457" spans="8:8" x14ac:dyDescent="0.3">
      <c r="H62457" t="str">
        <f t="shared" si="1025"/>
        <v/>
      </c>
    </row>
    <row r="62458" spans="8:8" x14ac:dyDescent="0.3">
      <c r="H62458" t="str">
        <f t="shared" si="1025"/>
        <v/>
      </c>
    </row>
    <row r="62459" spans="8:8" x14ac:dyDescent="0.3">
      <c r="H62459" t="str">
        <f t="shared" si="1025"/>
        <v/>
      </c>
    </row>
    <row r="62460" spans="8:8" x14ac:dyDescent="0.3">
      <c r="H62460" t="str">
        <f t="shared" si="1025"/>
        <v/>
      </c>
    </row>
    <row r="62461" spans="8:8" x14ac:dyDescent="0.3">
      <c r="H62461" t="str">
        <f t="shared" si="1025"/>
        <v/>
      </c>
    </row>
    <row r="62462" spans="8:8" x14ac:dyDescent="0.3">
      <c r="H62462" t="str">
        <f t="shared" si="1025"/>
        <v/>
      </c>
    </row>
    <row r="62463" spans="8:8" x14ac:dyDescent="0.3">
      <c r="H62463" t="str">
        <f t="shared" si="1025"/>
        <v/>
      </c>
    </row>
    <row r="62464" spans="8:8" x14ac:dyDescent="0.3">
      <c r="H62464" t="str">
        <f t="shared" si="1025"/>
        <v/>
      </c>
    </row>
    <row r="62465" spans="8:8" x14ac:dyDescent="0.3">
      <c r="H62465" t="str">
        <f t="shared" si="1025"/>
        <v/>
      </c>
    </row>
    <row r="62466" spans="8:8" x14ac:dyDescent="0.3">
      <c r="H62466" t="str">
        <f t="shared" si="1025"/>
        <v/>
      </c>
    </row>
    <row r="62467" spans="8:8" x14ac:dyDescent="0.3">
      <c r="H62467" t="str">
        <f t="shared" si="1025"/>
        <v/>
      </c>
    </row>
    <row r="62468" spans="8:8" x14ac:dyDescent="0.3">
      <c r="H62468" t="str">
        <f t="shared" si="1025"/>
        <v/>
      </c>
    </row>
    <row r="62469" spans="8:8" x14ac:dyDescent="0.3">
      <c r="H62469" t="str">
        <f t="shared" si="1025"/>
        <v/>
      </c>
    </row>
    <row r="62470" spans="8:8" x14ac:dyDescent="0.3">
      <c r="H62470" t="str">
        <f t="shared" si="1025"/>
        <v/>
      </c>
    </row>
    <row r="62471" spans="8:8" x14ac:dyDescent="0.3">
      <c r="H62471" t="str">
        <f t="shared" si="1025"/>
        <v/>
      </c>
    </row>
    <row r="62472" spans="8:8" x14ac:dyDescent="0.3">
      <c r="H62472" t="str">
        <f t="shared" si="1025"/>
        <v/>
      </c>
    </row>
    <row r="62473" spans="8:8" x14ac:dyDescent="0.3">
      <c r="H62473" t="str">
        <f t="shared" si="1025"/>
        <v/>
      </c>
    </row>
    <row r="62474" spans="8:8" x14ac:dyDescent="0.3">
      <c r="H62474" t="str">
        <f t="shared" si="1025"/>
        <v/>
      </c>
    </row>
    <row r="62475" spans="8:8" x14ac:dyDescent="0.3">
      <c r="H62475" t="str">
        <f t="shared" si="1025"/>
        <v/>
      </c>
    </row>
    <row r="62476" spans="8:8" x14ac:dyDescent="0.3">
      <c r="H62476" t="str">
        <f t="shared" si="1025"/>
        <v/>
      </c>
    </row>
    <row r="62477" spans="8:8" x14ac:dyDescent="0.3">
      <c r="H62477" t="str">
        <f t="shared" si="1025"/>
        <v/>
      </c>
    </row>
    <row r="62478" spans="8:8" x14ac:dyDescent="0.3">
      <c r="H62478" t="str">
        <f t="shared" si="1025"/>
        <v/>
      </c>
    </row>
    <row r="62479" spans="8:8" x14ac:dyDescent="0.3">
      <c r="H62479" t="str">
        <f t="shared" si="1025"/>
        <v/>
      </c>
    </row>
    <row r="62480" spans="8:8" x14ac:dyDescent="0.3">
      <c r="H62480" t="str">
        <f t="shared" si="1025"/>
        <v/>
      </c>
    </row>
    <row r="62481" spans="8:8" x14ac:dyDescent="0.3">
      <c r="H62481" t="str">
        <f t="shared" si="1025"/>
        <v/>
      </c>
    </row>
    <row r="62482" spans="8:8" x14ac:dyDescent="0.3">
      <c r="H62482" t="str">
        <f t="shared" si="1025"/>
        <v/>
      </c>
    </row>
    <row r="62483" spans="8:8" x14ac:dyDescent="0.3">
      <c r="H62483" t="str">
        <f t="shared" si="1025"/>
        <v/>
      </c>
    </row>
    <row r="62484" spans="8:8" x14ac:dyDescent="0.3">
      <c r="H62484" t="str">
        <f t="shared" si="1025"/>
        <v/>
      </c>
    </row>
    <row r="62485" spans="8:8" x14ac:dyDescent="0.3">
      <c r="H62485" t="str">
        <f t="shared" si="1025"/>
        <v/>
      </c>
    </row>
    <row r="62486" spans="8:8" x14ac:dyDescent="0.3">
      <c r="H62486" t="str">
        <f t="shared" si="1025"/>
        <v/>
      </c>
    </row>
    <row r="62487" spans="8:8" x14ac:dyDescent="0.3">
      <c r="H62487" t="str">
        <f t="shared" ref="H62487:H62550" si="1026">IF(B62487="","",$C$12)</f>
        <v/>
      </c>
    </row>
    <row r="62488" spans="8:8" x14ac:dyDescent="0.3">
      <c r="H62488" t="str">
        <f t="shared" si="1026"/>
        <v/>
      </c>
    </row>
    <row r="62489" spans="8:8" x14ac:dyDescent="0.3">
      <c r="H62489" t="str">
        <f t="shared" si="1026"/>
        <v/>
      </c>
    </row>
    <row r="62490" spans="8:8" x14ac:dyDescent="0.3">
      <c r="H62490" t="str">
        <f t="shared" si="1026"/>
        <v/>
      </c>
    </row>
    <row r="62491" spans="8:8" x14ac:dyDescent="0.3">
      <c r="H62491" t="str">
        <f t="shared" si="1026"/>
        <v/>
      </c>
    </row>
    <row r="62492" spans="8:8" x14ac:dyDescent="0.3">
      <c r="H62492" t="str">
        <f t="shared" si="1026"/>
        <v/>
      </c>
    </row>
    <row r="62493" spans="8:8" x14ac:dyDescent="0.3">
      <c r="H62493" t="str">
        <f t="shared" si="1026"/>
        <v/>
      </c>
    </row>
    <row r="62494" spans="8:8" x14ac:dyDescent="0.3">
      <c r="H62494" t="str">
        <f t="shared" si="1026"/>
        <v/>
      </c>
    </row>
    <row r="62495" spans="8:8" x14ac:dyDescent="0.3">
      <c r="H62495" t="str">
        <f t="shared" si="1026"/>
        <v/>
      </c>
    </row>
    <row r="62496" spans="8:8" x14ac:dyDescent="0.3">
      <c r="H62496" t="str">
        <f t="shared" si="1026"/>
        <v/>
      </c>
    </row>
    <row r="62497" spans="8:8" x14ac:dyDescent="0.3">
      <c r="H62497" t="str">
        <f t="shared" si="1026"/>
        <v/>
      </c>
    </row>
    <row r="62498" spans="8:8" x14ac:dyDescent="0.3">
      <c r="H62498" t="str">
        <f t="shared" si="1026"/>
        <v/>
      </c>
    </row>
    <row r="62499" spans="8:8" x14ac:dyDescent="0.3">
      <c r="H62499" t="str">
        <f t="shared" si="1026"/>
        <v/>
      </c>
    </row>
    <row r="62500" spans="8:8" x14ac:dyDescent="0.3">
      <c r="H62500" t="str">
        <f t="shared" si="1026"/>
        <v/>
      </c>
    </row>
    <row r="62501" spans="8:8" x14ac:dyDescent="0.3">
      <c r="H62501" t="str">
        <f t="shared" si="1026"/>
        <v/>
      </c>
    </row>
    <row r="62502" spans="8:8" x14ac:dyDescent="0.3">
      <c r="H62502" t="str">
        <f t="shared" si="1026"/>
        <v/>
      </c>
    </row>
    <row r="62503" spans="8:8" x14ac:dyDescent="0.3">
      <c r="H62503" t="str">
        <f t="shared" si="1026"/>
        <v/>
      </c>
    </row>
    <row r="62504" spans="8:8" x14ac:dyDescent="0.3">
      <c r="H62504" t="str">
        <f t="shared" si="1026"/>
        <v/>
      </c>
    </row>
    <row r="62505" spans="8:8" x14ac:dyDescent="0.3">
      <c r="H62505" t="str">
        <f t="shared" si="1026"/>
        <v/>
      </c>
    </row>
    <row r="62506" spans="8:8" x14ac:dyDescent="0.3">
      <c r="H62506" t="str">
        <f t="shared" si="1026"/>
        <v/>
      </c>
    </row>
    <row r="62507" spans="8:8" x14ac:dyDescent="0.3">
      <c r="H62507" t="str">
        <f t="shared" si="1026"/>
        <v/>
      </c>
    </row>
    <row r="62508" spans="8:8" x14ac:dyDescent="0.3">
      <c r="H62508" t="str">
        <f t="shared" si="1026"/>
        <v/>
      </c>
    </row>
    <row r="62509" spans="8:8" x14ac:dyDescent="0.3">
      <c r="H62509" t="str">
        <f t="shared" si="1026"/>
        <v/>
      </c>
    </row>
    <row r="62510" spans="8:8" x14ac:dyDescent="0.3">
      <c r="H62510" t="str">
        <f t="shared" si="1026"/>
        <v/>
      </c>
    </row>
    <row r="62511" spans="8:8" x14ac:dyDescent="0.3">
      <c r="H62511" t="str">
        <f t="shared" si="1026"/>
        <v/>
      </c>
    </row>
    <row r="62512" spans="8:8" x14ac:dyDescent="0.3">
      <c r="H62512" t="str">
        <f t="shared" si="1026"/>
        <v/>
      </c>
    </row>
    <row r="62513" spans="8:8" x14ac:dyDescent="0.3">
      <c r="H62513" t="str">
        <f t="shared" si="1026"/>
        <v/>
      </c>
    </row>
    <row r="62514" spans="8:8" x14ac:dyDescent="0.3">
      <c r="H62514" t="str">
        <f t="shared" si="1026"/>
        <v/>
      </c>
    </row>
    <row r="62515" spans="8:8" x14ac:dyDescent="0.3">
      <c r="H62515" t="str">
        <f t="shared" si="1026"/>
        <v/>
      </c>
    </row>
    <row r="62516" spans="8:8" x14ac:dyDescent="0.3">
      <c r="H62516" t="str">
        <f t="shared" si="1026"/>
        <v/>
      </c>
    </row>
    <row r="62517" spans="8:8" x14ac:dyDescent="0.3">
      <c r="H62517" t="str">
        <f t="shared" si="1026"/>
        <v/>
      </c>
    </row>
    <row r="62518" spans="8:8" x14ac:dyDescent="0.3">
      <c r="H62518" t="str">
        <f t="shared" si="1026"/>
        <v/>
      </c>
    </row>
    <row r="62519" spans="8:8" x14ac:dyDescent="0.3">
      <c r="H62519" t="str">
        <f t="shared" si="1026"/>
        <v/>
      </c>
    </row>
    <row r="62520" spans="8:8" x14ac:dyDescent="0.3">
      <c r="H62520" t="str">
        <f t="shared" si="1026"/>
        <v/>
      </c>
    </row>
    <row r="62521" spans="8:8" x14ac:dyDescent="0.3">
      <c r="H62521" t="str">
        <f t="shared" si="1026"/>
        <v/>
      </c>
    </row>
    <row r="62522" spans="8:8" x14ac:dyDescent="0.3">
      <c r="H62522" t="str">
        <f t="shared" si="1026"/>
        <v/>
      </c>
    </row>
    <row r="62523" spans="8:8" x14ac:dyDescent="0.3">
      <c r="H62523" t="str">
        <f t="shared" si="1026"/>
        <v/>
      </c>
    </row>
    <row r="62524" spans="8:8" x14ac:dyDescent="0.3">
      <c r="H62524" t="str">
        <f t="shared" si="1026"/>
        <v/>
      </c>
    </row>
    <row r="62525" spans="8:8" x14ac:dyDescent="0.3">
      <c r="H62525" t="str">
        <f t="shared" si="1026"/>
        <v/>
      </c>
    </row>
    <row r="62526" spans="8:8" x14ac:dyDescent="0.3">
      <c r="H62526" t="str">
        <f t="shared" si="1026"/>
        <v/>
      </c>
    </row>
    <row r="62527" spans="8:8" x14ac:dyDescent="0.3">
      <c r="H62527" t="str">
        <f t="shared" si="1026"/>
        <v/>
      </c>
    </row>
    <row r="62528" spans="8:8" x14ac:dyDescent="0.3">
      <c r="H62528" t="str">
        <f t="shared" si="1026"/>
        <v/>
      </c>
    </row>
    <row r="62529" spans="8:8" x14ac:dyDescent="0.3">
      <c r="H62529" t="str">
        <f t="shared" si="1026"/>
        <v/>
      </c>
    </row>
    <row r="62530" spans="8:8" x14ac:dyDescent="0.3">
      <c r="H62530" t="str">
        <f t="shared" si="1026"/>
        <v/>
      </c>
    </row>
    <row r="62531" spans="8:8" x14ac:dyDescent="0.3">
      <c r="H62531" t="str">
        <f t="shared" si="1026"/>
        <v/>
      </c>
    </row>
    <row r="62532" spans="8:8" x14ac:dyDescent="0.3">
      <c r="H62532" t="str">
        <f t="shared" si="1026"/>
        <v/>
      </c>
    </row>
    <row r="62533" spans="8:8" x14ac:dyDescent="0.3">
      <c r="H62533" t="str">
        <f t="shared" si="1026"/>
        <v/>
      </c>
    </row>
    <row r="62534" spans="8:8" x14ac:dyDescent="0.3">
      <c r="H62534" t="str">
        <f t="shared" si="1026"/>
        <v/>
      </c>
    </row>
    <row r="62535" spans="8:8" x14ac:dyDescent="0.3">
      <c r="H62535" t="str">
        <f t="shared" si="1026"/>
        <v/>
      </c>
    </row>
    <row r="62536" spans="8:8" x14ac:dyDescent="0.3">
      <c r="H62536" t="str">
        <f t="shared" si="1026"/>
        <v/>
      </c>
    </row>
    <row r="62537" spans="8:8" x14ac:dyDescent="0.3">
      <c r="H62537" t="str">
        <f t="shared" si="1026"/>
        <v/>
      </c>
    </row>
    <row r="62538" spans="8:8" x14ac:dyDescent="0.3">
      <c r="H62538" t="str">
        <f t="shared" si="1026"/>
        <v/>
      </c>
    </row>
    <row r="62539" spans="8:8" x14ac:dyDescent="0.3">
      <c r="H62539" t="str">
        <f t="shared" si="1026"/>
        <v/>
      </c>
    </row>
    <row r="62540" spans="8:8" x14ac:dyDescent="0.3">
      <c r="H62540" t="str">
        <f t="shared" si="1026"/>
        <v/>
      </c>
    </row>
    <row r="62541" spans="8:8" x14ac:dyDescent="0.3">
      <c r="H62541" t="str">
        <f t="shared" si="1026"/>
        <v/>
      </c>
    </row>
    <row r="62542" spans="8:8" x14ac:dyDescent="0.3">
      <c r="H62542" t="str">
        <f t="shared" si="1026"/>
        <v/>
      </c>
    </row>
    <row r="62543" spans="8:8" x14ac:dyDescent="0.3">
      <c r="H62543" t="str">
        <f t="shared" si="1026"/>
        <v/>
      </c>
    </row>
    <row r="62544" spans="8:8" x14ac:dyDescent="0.3">
      <c r="H62544" t="str">
        <f t="shared" si="1026"/>
        <v/>
      </c>
    </row>
    <row r="62545" spans="8:8" x14ac:dyDescent="0.3">
      <c r="H62545" t="str">
        <f t="shared" si="1026"/>
        <v/>
      </c>
    </row>
    <row r="62546" spans="8:8" x14ac:dyDescent="0.3">
      <c r="H62546" t="str">
        <f t="shared" si="1026"/>
        <v/>
      </c>
    </row>
    <row r="62547" spans="8:8" x14ac:dyDescent="0.3">
      <c r="H62547" t="str">
        <f t="shared" si="1026"/>
        <v/>
      </c>
    </row>
    <row r="62548" spans="8:8" x14ac:dyDescent="0.3">
      <c r="H62548" t="str">
        <f t="shared" si="1026"/>
        <v/>
      </c>
    </row>
    <row r="62549" spans="8:8" x14ac:dyDescent="0.3">
      <c r="H62549" t="str">
        <f t="shared" si="1026"/>
        <v/>
      </c>
    </row>
    <row r="62550" spans="8:8" x14ac:dyDescent="0.3">
      <c r="H62550" t="str">
        <f t="shared" si="1026"/>
        <v/>
      </c>
    </row>
    <row r="62551" spans="8:8" x14ac:dyDescent="0.3">
      <c r="H62551" t="str">
        <f t="shared" ref="H62551:H62614" si="1027">IF(B62551="","",$C$12)</f>
        <v/>
      </c>
    </row>
    <row r="62552" spans="8:8" x14ac:dyDescent="0.3">
      <c r="H62552" t="str">
        <f t="shared" si="1027"/>
        <v/>
      </c>
    </row>
    <row r="62553" spans="8:8" x14ac:dyDescent="0.3">
      <c r="H62553" t="str">
        <f t="shared" si="1027"/>
        <v/>
      </c>
    </row>
    <row r="62554" spans="8:8" x14ac:dyDescent="0.3">
      <c r="H62554" t="str">
        <f t="shared" si="1027"/>
        <v/>
      </c>
    </row>
    <row r="62555" spans="8:8" x14ac:dyDescent="0.3">
      <c r="H62555" t="str">
        <f t="shared" si="1027"/>
        <v/>
      </c>
    </row>
    <row r="62556" spans="8:8" x14ac:dyDescent="0.3">
      <c r="H62556" t="str">
        <f t="shared" si="1027"/>
        <v/>
      </c>
    </row>
    <row r="62557" spans="8:8" x14ac:dyDescent="0.3">
      <c r="H62557" t="str">
        <f t="shared" si="1027"/>
        <v/>
      </c>
    </row>
    <row r="62558" spans="8:8" x14ac:dyDescent="0.3">
      <c r="H62558" t="str">
        <f t="shared" si="1027"/>
        <v/>
      </c>
    </row>
    <row r="62559" spans="8:8" x14ac:dyDescent="0.3">
      <c r="H62559" t="str">
        <f t="shared" si="1027"/>
        <v/>
      </c>
    </row>
    <row r="62560" spans="8:8" x14ac:dyDescent="0.3">
      <c r="H62560" t="str">
        <f t="shared" si="1027"/>
        <v/>
      </c>
    </row>
    <row r="62561" spans="8:8" x14ac:dyDescent="0.3">
      <c r="H62561" t="str">
        <f t="shared" si="1027"/>
        <v/>
      </c>
    </row>
    <row r="62562" spans="8:8" x14ac:dyDescent="0.3">
      <c r="H62562" t="str">
        <f t="shared" si="1027"/>
        <v/>
      </c>
    </row>
    <row r="62563" spans="8:8" x14ac:dyDescent="0.3">
      <c r="H62563" t="str">
        <f t="shared" si="1027"/>
        <v/>
      </c>
    </row>
    <row r="62564" spans="8:8" x14ac:dyDescent="0.3">
      <c r="H62564" t="str">
        <f t="shared" si="1027"/>
        <v/>
      </c>
    </row>
    <row r="62565" spans="8:8" x14ac:dyDescent="0.3">
      <c r="H62565" t="str">
        <f t="shared" si="1027"/>
        <v/>
      </c>
    </row>
    <row r="62566" spans="8:8" x14ac:dyDescent="0.3">
      <c r="H62566" t="str">
        <f t="shared" si="1027"/>
        <v/>
      </c>
    </row>
    <row r="62567" spans="8:8" x14ac:dyDescent="0.3">
      <c r="H62567" t="str">
        <f t="shared" si="1027"/>
        <v/>
      </c>
    </row>
    <row r="62568" spans="8:8" x14ac:dyDescent="0.3">
      <c r="H62568" t="str">
        <f t="shared" si="1027"/>
        <v/>
      </c>
    </row>
    <row r="62569" spans="8:8" x14ac:dyDescent="0.3">
      <c r="H62569" t="str">
        <f t="shared" si="1027"/>
        <v/>
      </c>
    </row>
    <row r="62570" spans="8:8" x14ac:dyDescent="0.3">
      <c r="H62570" t="str">
        <f t="shared" si="1027"/>
        <v/>
      </c>
    </row>
    <row r="62571" spans="8:8" x14ac:dyDescent="0.3">
      <c r="H62571" t="str">
        <f t="shared" si="1027"/>
        <v/>
      </c>
    </row>
    <row r="62572" spans="8:8" x14ac:dyDescent="0.3">
      <c r="H62572" t="str">
        <f t="shared" si="1027"/>
        <v/>
      </c>
    </row>
    <row r="62573" spans="8:8" x14ac:dyDescent="0.3">
      <c r="H62573" t="str">
        <f t="shared" si="1027"/>
        <v/>
      </c>
    </row>
    <row r="62574" spans="8:8" x14ac:dyDescent="0.3">
      <c r="H62574" t="str">
        <f t="shared" si="1027"/>
        <v/>
      </c>
    </row>
    <row r="62575" spans="8:8" x14ac:dyDescent="0.3">
      <c r="H62575" t="str">
        <f t="shared" si="1027"/>
        <v/>
      </c>
    </row>
    <row r="62576" spans="8:8" x14ac:dyDescent="0.3">
      <c r="H62576" t="str">
        <f t="shared" si="1027"/>
        <v/>
      </c>
    </row>
    <row r="62577" spans="8:8" x14ac:dyDescent="0.3">
      <c r="H62577" t="str">
        <f t="shared" si="1027"/>
        <v/>
      </c>
    </row>
    <row r="62578" spans="8:8" x14ac:dyDescent="0.3">
      <c r="H62578" t="str">
        <f t="shared" si="1027"/>
        <v/>
      </c>
    </row>
    <row r="62579" spans="8:8" x14ac:dyDescent="0.3">
      <c r="H62579" t="str">
        <f t="shared" si="1027"/>
        <v/>
      </c>
    </row>
    <row r="62580" spans="8:8" x14ac:dyDescent="0.3">
      <c r="H62580" t="str">
        <f t="shared" si="1027"/>
        <v/>
      </c>
    </row>
    <row r="62581" spans="8:8" x14ac:dyDescent="0.3">
      <c r="H62581" t="str">
        <f t="shared" si="1027"/>
        <v/>
      </c>
    </row>
    <row r="62582" spans="8:8" x14ac:dyDescent="0.3">
      <c r="H62582" t="str">
        <f t="shared" si="1027"/>
        <v/>
      </c>
    </row>
    <row r="62583" spans="8:8" x14ac:dyDescent="0.3">
      <c r="H62583" t="str">
        <f t="shared" si="1027"/>
        <v/>
      </c>
    </row>
    <row r="62584" spans="8:8" x14ac:dyDescent="0.3">
      <c r="H62584" t="str">
        <f t="shared" si="1027"/>
        <v/>
      </c>
    </row>
    <row r="62585" spans="8:8" x14ac:dyDescent="0.3">
      <c r="H62585" t="str">
        <f t="shared" si="1027"/>
        <v/>
      </c>
    </row>
    <row r="62586" spans="8:8" x14ac:dyDescent="0.3">
      <c r="H62586" t="str">
        <f t="shared" si="1027"/>
        <v/>
      </c>
    </row>
    <row r="62587" spans="8:8" x14ac:dyDescent="0.3">
      <c r="H62587" t="str">
        <f t="shared" si="1027"/>
        <v/>
      </c>
    </row>
    <row r="62588" spans="8:8" x14ac:dyDescent="0.3">
      <c r="H62588" t="str">
        <f t="shared" si="1027"/>
        <v/>
      </c>
    </row>
    <row r="62589" spans="8:8" x14ac:dyDescent="0.3">
      <c r="H62589" t="str">
        <f t="shared" si="1027"/>
        <v/>
      </c>
    </row>
    <row r="62590" spans="8:8" x14ac:dyDescent="0.3">
      <c r="H62590" t="str">
        <f t="shared" si="1027"/>
        <v/>
      </c>
    </row>
    <row r="62591" spans="8:8" x14ac:dyDescent="0.3">
      <c r="H62591" t="str">
        <f t="shared" si="1027"/>
        <v/>
      </c>
    </row>
    <row r="62592" spans="8:8" x14ac:dyDescent="0.3">
      <c r="H62592" t="str">
        <f t="shared" si="1027"/>
        <v/>
      </c>
    </row>
    <row r="62593" spans="8:8" x14ac:dyDescent="0.3">
      <c r="H62593" t="str">
        <f t="shared" si="1027"/>
        <v/>
      </c>
    </row>
    <row r="62594" spans="8:8" x14ac:dyDescent="0.3">
      <c r="H62594" t="str">
        <f t="shared" si="1027"/>
        <v/>
      </c>
    </row>
    <row r="62595" spans="8:8" x14ac:dyDescent="0.3">
      <c r="H62595" t="str">
        <f t="shared" si="1027"/>
        <v/>
      </c>
    </row>
    <row r="62596" spans="8:8" x14ac:dyDescent="0.3">
      <c r="H62596" t="str">
        <f t="shared" si="1027"/>
        <v/>
      </c>
    </row>
    <row r="62597" spans="8:8" x14ac:dyDescent="0.3">
      <c r="H62597" t="str">
        <f t="shared" si="1027"/>
        <v/>
      </c>
    </row>
    <row r="62598" spans="8:8" x14ac:dyDescent="0.3">
      <c r="H62598" t="str">
        <f t="shared" si="1027"/>
        <v/>
      </c>
    </row>
    <row r="62599" spans="8:8" x14ac:dyDescent="0.3">
      <c r="H62599" t="str">
        <f t="shared" si="1027"/>
        <v/>
      </c>
    </row>
    <row r="62600" spans="8:8" x14ac:dyDescent="0.3">
      <c r="H62600" t="str">
        <f t="shared" si="1027"/>
        <v/>
      </c>
    </row>
    <row r="62601" spans="8:8" x14ac:dyDescent="0.3">
      <c r="H62601" t="str">
        <f t="shared" si="1027"/>
        <v/>
      </c>
    </row>
    <row r="62602" spans="8:8" x14ac:dyDescent="0.3">
      <c r="H62602" t="str">
        <f t="shared" si="1027"/>
        <v/>
      </c>
    </row>
    <row r="62603" spans="8:8" x14ac:dyDescent="0.3">
      <c r="H62603" t="str">
        <f t="shared" si="1027"/>
        <v/>
      </c>
    </row>
    <row r="62604" spans="8:8" x14ac:dyDescent="0.3">
      <c r="H62604" t="str">
        <f t="shared" si="1027"/>
        <v/>
      </c>
    </row>
    <row r="62605" spans="8:8" x14ac:dyDescent="0.3">
      <c r="H62605" t="str">
        <f t="shared" si="1027"/>
        <v/>
      </c>
    </row>
    <row r="62606" spans="8:8" x14ac:dyDescent="0.3">
      <c r="H62606" t="str">
        <f t="shared" si="1027"/>
        <v/>
      </c>
    </row>
    <row r="62607" spans="8:8" x14ac:dyDescent="0.3">
      <c r="H62607" t="str">
        <f t="shared" si="1027"/>
        <v/>
      </c>
    </row>
    <row r="62608" spans="8:8" x14ac:dyDescent="0.3">
      <c r="H62608" t="str">
        <f t="shared" si="1027"/>
        <v/>
      </c>
    </row>
    <row r="62609" spans="8:8" x14ac:dyDescent="0.3">
      <c r="H62609" t="str">
        <f t="shared" si="1027"/>
        <v/>
      </c>
    </row>
    <row r="62610" spans="8:8" x14ac:dyDescent="0.3">
      <c r="H62610" t="str">
        <f t="shared" si="1027"/>
        <v/>
      </c>
    </row>
    <row r="62611" spans="8:8" x14ac:dyDescent="0.3">
      <c r="H62611" t="str">
        <f t="shared" si="1027"/>
        <v/>
      </c>
    </row>
    <row r="62612" spans="8:8" x14ac:dyDescent="0.3">
      <c r="H62612" t="str">
        <f t="shared" si="1027"/>
        <v/>
      </c>
    </row>
    <row r="62613" spans="8:8" x14ac:dyDescent="0.3">
      <c r="H62613" t="str">
        <f t="shared" si="1027"/>
        <v/>
      </c>
    </row>
    <row r="62614" spans="8:8" x14ac:dyDescent="0.3">
      <c r="H62614" t="str">
        <f t="shared" si="1027"/>
        <v/>
      </c>
    </row>
    <row r="62615" spans="8:8" x14ac:dyDescent="0.3">
      <c r="H62615" t="str">
        <f t="shared" ref="H62615:H62678" si="1028">IF(B62615="","",$C$12)</f>
        <v/>
      </c>
    </row>
    <row r="62616" spans="8:8" x14ac:dyDescent="0.3">
      <c r="H62616" t="str">
        <f t="shared" si="1028"/>
        <v/>
      </c>
    </row>
    <row r="62617" spans="8:8" x14ac:dyDescent="0.3">
      <c r="H62617" t="str">
        <f t="shared" si="1028"/>
        <v/>
      </c>
    </row>
    <row r="62618" spans="8:8" x14ac:dyDescent="0.3">
      <c r="H62618" t="str">
        <f t="shared" si="1028"/>
        <v/>
      </c>
    </row>
    <row r="62619" spans="8:8" x14ac:dyDescent="0.3">
      <c r="H62619" t="str">
        <f t="shared" si="1028"/>
        <v/>
      </c>
    </row>
    <row r="62620" spans="8:8" x14ac:dyDescent="0.3">
      <c r="H62620" t="str">
        <f t="shared" si="1028"/>
        <v/>
      </c>
    </row>
    <row r="62621" spans="8:8" x14ac:dyDescent="0.3">
      <c r="H62621" t="str">
        <f t="shared" si="1028"/>
        <v/>
      </c>
    </row>
    <row r="62622" spans="8:8" x14ac:dyDescent="0.3">
      <c r="H62622" t="str">
        <f t="shared" si="1028"/>
        <v/>
      </c>
    </row>
    <row r="62623" spans="8:8" x14ac:dyDescent="0.3">
      <c r="H62623" t="str">
        <f t="shared" si="1028"/>
        <v/>
      </c>
    </row>
    <row r="62624" spans="8:8" x14ac:dyDescent="0.3">
      <c r="H62624" t="str">
        <f t="shared" si="1028"/>
        <v/>
      </c>
    </row>
    <row r="62625" spans="8:8" x14ac:dyDescent="0.3">
      <c r="H62625" t="str">
        <f t="shared" si="1028"/>
        <v/>
      </c>
    </row>
    <row r="62626" spans="8:8" x14ac:dyDescent="0.3">
      <c r="H62626" t="str">
        <f t="shared" si="1028"/>
        <v/>
      </c>
    </row>
    <row r="62627" spans="8:8" x14ac:dyDescent="0.3">
      <c r="H62627" t="str">
        <f t="shared" si="1028"/>
        <v/>
      </c>
    </row>
    <row r="62628" spans="8:8" x14ac:dyDescent="0.3">
      <c r="H62628" t="str">
        <f t="shared" si="1028"/>
        <v/>
      </c>
    </row>
    <row r="62629" spans="8:8" x14ac:dyDescent="0.3">
      <c r="H62629" t="str">
        <f t="shared" si="1028"/>
        <v/>
      </c>
    </row>
    <row r="62630" spans="8:8" x14ac:dyDescent="0.3">
      <c r="H62630" t="str">
        <f t="shared" si="1028"/>
        <v/>
      </c>
    </row>
    <row r="62631" spans="8:8" x14ac:dyDescent="0.3">
      <c r="H62631" t="str">
        <f t="shared" si="1028"/>
        <v/>
      </c>
    </row>
    <row r="62632" spans="8:8" x14ac:dyDescent="0.3">
      <c r="H62632" t="str">
        <f t="shared" si="1028"/>
        <v/>
      </c>
    </row>
    <row r="62633" spans="8:8" x14ac:dyDescent="0.3">
      <c r="H62633" t="str">
        <f t="shared" si="1028"/>
        <v/>
      </c>
    </row>
    <row r="62634" spans="8:8" x14ac:dyDescent="0.3">
      <c r="H62634" t="str">
        <f t="shared" si="1028"/>
        <v/>
      </c>
    </row>
    <row r="62635" spans="8:8" x14ac:dyDescent="0.3">
      <c r="H62635" t="str">
        <f t="shared" si="1028"/>
        <v/>
      </c>
    </row>
    <row r="62636" spans="8:8" x14ac:dyDescent="0.3">
      <c r="H62636" t="str">
        <f t="shared" si="1028"/>
        <v/>
      </c>
    </row>
    <row r="62637" spans="8:8" x14ac:dyDescent="0.3">
      <c r="H62637" t="str">
        <f t="shared" si="1028"/>
        <v/>
      </c>
    </row>
    <row r="62638" spans="8:8" x14ac:dyDescent="0.3">
      <c r="H62638" t="str">
        <f t="shared" si="1028"/>
        <v/>
      </c>
    </row>
    <row r="62639" spans="8:8" x14ac:dyDescent="0.3">
      <c r="H62639" t="str">
        <f t="shared" si="1028"/>
        <v/>
      </c>
    </row>
    <row r="62640" spans="8:8" x14ac:dyDescent="0.3">
      <c r="H62640" t="str">
        <f t="shared" si="1028"/>
        <v/>
      </c>
    </row>
    <row r="62641" spans="8:8" x14ac:dyDescent="0.3">
      <c r="H62641" t="str">
        <f t="shared" si="1028"/>
        <v/>
      </c>
    </row>
    <row r="62642" spans="8:8" x14ac:dyDescent="0.3">
      <c r="H62642" t="str">
        <f t="shared" si="1028"/>
        <v/>
      </c>
    </row>
    <row r="62643" spans="8:8" x14ac:dyDescent="0.3">
      <c r="H62643" t="str">
        <f t="shared" si="1028"/>
        <v/>
      </c>
    </row>
    <row r="62644" spans="8:8" x14ac:dyDescent="0.3">
      <c r="H62644" t="str">
        <f t="shared" si="1028"/>
        <v/>
      </c>
    </row>
    <row r="62645" spans="8:8" x14ac:dyDescent="0.3">
      <c r="H62645" t="str">
        <f t="shared" si="1028"/>
        <v/>
      </c>
    </row>
    <row r="62646" spans="8:8" x14ac:dyDescent="0.3">
      <c r="H62646" t="str">
        <f t="shared" si="1028"/>
        <v/>
      </c>
    </row>
    <row r="62647" spans="8:8" x14ac:dyDescent="0.3">
      <c r="H62647" t="str">
        <f t="shared" si="1028"/>
        <v/>
      </c>
    </row>
    <row r="62648" spans="8:8" x14ac:dyDescent="0.3">
      <c r="H62648" t="str">
        <f t="shared" si="1028"/>
        <v/>
      </c>
    </row>
    <row r="62649" spans="8:8" x14ac:dyDescent="0.3">
      <c r="H62649" t="str">
        <f t="shared" si="1028"/>
        <v/>
      </c>
    </row>
    <row r="62650" spans="8:8" x14ac:dyDescent="0.3">
      <c r="H62650" t="str">
        <f t="shared" si="1028"/>
        <v/>
      </c>
    </row>
    <row r="62651" spans="8:8" x14ac:dyDescent="0.3">
      <c r="H62651" t="str">
        <f t="shared" si="1028"/>
        <v/>
      </c>
    </row>
    <row r="62652" spans="8:8" x14ac:dyDescent="0.3">
      <c r="H62652" t="str">
        <f t="shared" si="1028"/>
        <v/>
      </c>
    </row>
    <row r="62653" spans="8:8" x14ac:dyDescent="0.3">
      <c r="H62653" t="str">
        <f t="shared" si="1028"/>
        <v/>
      </c>
    </row>
    <row r="62654" spans="8:8" x14ac:dyDescent="0.3">
      <c r="H62654" t="str">
        <f t="shared" si="1028"/>
        <v/>
      </c>
    </row>
    <row r="62655" spans="8:8" x14ac:dyDescent="0.3">
      <c r="H62655" t="str">
        <f t="shared" si="1028"/>
        <v/>
      </c>
    </row>
    <row r="62656" spans="8:8" x14ac:dyDescent="0.3">
      <c r="H62656" t="str">
        <f t="shared" si="1028"/>
        <v/>
      </c>
    </row>
    <row r="62657" spans="8:8" x14ac:dyDescent="0.3">
      <c r="H62657" t="str">
        <f t="shared" si="1028"/>
        <v/>
      </c>
    </row>
    <row r="62658" spans="8:8" x14ac:dyDescent="0.3">
      <c r="H62658" t="str">
        <f t="shared" si="1028"/>
        <v/>
      </c>
    </row>
    <row r="62659" spans="8:8" x14ac:dyDescent="0.3">
      <c r="H62659" t="str">
        <f t="shared" si="1028"/>
        <v/>
      </c>
    </row>
    <row r="62660" spans="8:8" x14ac:dyDescent="0.3">
      <c r="H62660" t="str">
        <f t="shared" si="1028"/>
        <v/>
      </c>
    </row>
    <row r="62661" spans="8:8" x14ac:dyDescent="0.3">
      <c r="H62661" t="str">
        <f t="shared" si="1028"/>
        <v/>
      </c>
    </row>
    <row r="62662" spans="8:8" x14ac:dyDescent="0.3">
      <c r="H62662" t="str">
        <f t="shared" si="1028"/>
        <v/>
      </c>
    </row>
    <row r="62663" spans="8:8" x14ac:dyDescent="0.3">
      <c r="H62663" t="str">
        <f t="shared" si="1028"/>
        <v/>
      </c>
    </row>
    <row r="62664" spans="8:8" x14ac:dyDescent="0.3">
      <c r="H62664" t="str">
        <f t="shared" si="1028"/>
        <v/>
      </c>
    </row>
    <row r="62665" spans="8:8" x14ac:dyDescent="0.3">
      <c r="H62665" t="str">
        <f t="shared" si="1028"/>
        <v/>
      </c>
    </row>
    <row r="62666" spans="8:8" x14ac:dyDescent="0.3">
      <c r="H62666" t="str">
        <f t="shared" si="1028"/>
        <v/>
      </c>
    </row>
    <row r="62667" spans="8:8" x14ac:dyDescent="0.3">
      <c r="H62667" t="str">
        <f t="shared" si="1028"/>
        <v/>
      </c>
    </row>
    <row r="62668" spans="8:8" x14ac:dyDescent="0.3">
      <c r="H62668" t="str">
        <f t="shared" si="1028"/>
        <v/>
      </c>
    </row>
    <row r="62669" spans="8:8" x14ac:dyDescent="0.3">
      <c r="H62669" t="str">
        <f t="shared" si="1028"/>
        <v/>
      </c>
    </row>
    <row r="62670" spans="8:8" x14ac:dyDescent="0.3">
      <c r="H62670" t="str">
        <f t="shared" si="1028"/>
        <v/>
      </c>
    </row>
    <row r="62671" spans="8:8" x14ac:dyDescent="0.3">
      <c r="H62671" t="str">
        <f t="shared" si="1028"/>
        <v/>
      </c>
    </row>
    <row r="62672" spans="8:8" x14ac:dyDescent="0.3">
      <c r="H62672" t="str">
        <f t="shared" si="1028"/>
        <v/>
      </c>
    </row>
    <row r="62673" spans="8:8" x14ac:dyDescent="0.3">
      <c r="H62673" t="str">
        <f t="shared" si="1028"/>
        <v/>
      </c>
    </row>
    <row r="62674" spans="8:8" x14ac:dyDescent="0.3">
      <c r="H62674" t="str">
        <f t="shared" si="1028"/>
        <v/>
      </c>
    </row>
    <row r="62675" spans="8:8" x14ac:dyDescent="0.3">
      <c r="H62675" t="str">
        <f t="shared" si="1028"/>
        <v/>
      </c>
    </row>
    <row r="62676" spans="8:8" x14ac:dyDescent="0.3">
      <c r="H62676" t="str">
        <f t="shared" si="1028"/>
        <v/>
      </c>
    </row>
    <row r="62677" spans="8:8" x14ac:dyDescent="0.3">
      <c r="H62677" t="str">
        <f t="shared" si="1028"/>
        <v/>
      </c>
    </row>
    <row r="62678" spans="8:8" x14ac:dyDescent="0.3">
      <c r="H62678" t="str">
        <f t="shared" si="1028"/>
        <v/>
      </c>
    </row>
    <row r="62679" spans="8:8" x14ac:dyDescent="0.3">
      <c r="H62679" t="str">
        <f t="shared" ref="H62679:H62742" si="1029">IF(B62679="","",$C$12)</f>
        <v/>
      </c>
    </row>
    <row r="62680" spans="8:8" x14ac:dyDescent="0.3">
      <c r="H62680" t="str">
        <f t="shared" si="1029"/>
        <v/>
      </c>
    </row>
    <row r="62681" spans="8:8" x14ac:dyDescent="0.3">
      <c r="H62681" t="str">
        <f t="shared" si="1029"/>
        <v/>
      </c>
    </row>
    <row r="62682" spans="8:8" x14ac:dyDescent="0.3">
      <c r="H62682" t="str">
        <f t="shared" si="1029"/>
        <v/>
      </c>
    </row>
    <row r="62683" spans="8:8" x14ac:dyDescent="0.3">
      <c r="H62683" t="str">
        <f t="shared" si="1029"/>
        <v/>
      </c>
    </row>
    <row r="62684" spans="8:8" x14ac:dyDescent="0.3">
      <c r="H62684" t="str">
        <f t="shared" si="1029"/>
        <v/>
      </c>
    </row>
    <row r="62685" spans="8:8" x14ac:dyDescent="0.3">
      <c r="H62685" t="str">
        <f t="shared" si="1029"/>
        <v/>
      </c>
    </row>
    <row r="62686" spans="8:8" x14ac:dyDescent="0.3">
      <c r="H62686" t="str">
        <f t="shared" si="1029"/>
        <v/>
      </c>
    </row>
    <row r="62687" spans="8:8" x14ac:dyDescent="0.3">
      <c r="H62687" t="str">
        <f t="shared" si="1029"/>
        <v/>
      </c>
    </row>
    <row r="62688" spans="8:8" x14ac:dyDescent="0.3">
      <c r="H62688" t="str">
        <f t="shared" si="1029"/>
        <v/>
      </c>
    </row>
    <row r="62689" spans="8:8" x14ac:dyDescent="0.3">
      <c r="H62689" t="str">
        <f t="shared" si="1029"/>
        <v/>
      </c>
    </row>
    <row r="62690" spans="8:8" x14ac:dyDescent="0.3">
      <c r="H62690" t="str">
        <f t="shared" si="1029"/>
        <v/>
      </c>
    </row>
    <row r="62691" spans="8:8" x14ac:dyDescent="0.3">
      <c r="H62691" t="str">
        <f t="shared" si="1029"/>
        <v/>
      </c>
    </row>
    <row r="62692" spans="8:8" x14ac:dyDescent="0.3">
      <c r="H62692" t="str">
        <f t="shared" si="1029"/>
        <v/>
      </c>
    </row>
    <row r="62693" spans="8:8" x14ac:dyDescent="0.3">
      <c r="H62693" t="str">
        <f t="shared" si="1029"/>
        <v/>
      </c>
    </row>
    <row r="62694" spans="8:8" x14ac:dyDescent="0.3">
      <c r="H62694" t="str">
        <f t="shared" si="1029"/>
        <v/>
      </c>
    </row>
    <row r="62695" spans="8:8" x14ac:dyDescent="0.3">
      <c r="H62695" t="str">
        <f t="shared" si="1029"/>
        <v/>
      </c>
    </row>
    <row r="62696" spans="8:8" x14ac:dyDescent="0.3">
      <c r="H62696" t="str">
        <f t="shared" si="1029"/>
        <v/>
      </c>
    </row>
    <row r="62697" spans="8:8" x14ac:dyDescent="0.3">
      <c r="H62697" t="str">
        <f t="shared" si="1029"/>
        <v/>
      </c>
    </row>
    <row r="62698" spans="8:8" x14ac:dyDescent="0.3">
      <c r="H62698" t="str">
        <f t="shared" si="1029"/>
        <v/>
      </c>
    </row>
    <row r="62699" spans="8:8" x14ac:dyDescent="0.3">
      <c r="H62699" t="str">
        <f t="shared" si="1029"/>
        <v/>
      </c>
    </row>
    <row r="62700" spans="8:8" x14ac:dyDescent="0.3">
      <c r="H62700" t="str">
        <f t="shared" si="1029"/>
        <v/>
      </c>
    </row>
    <row r="62701" spans="8:8" x14ac:dyDescent="0.3">
      <c r="H62701" t="str">
        <f t="shared" si="1029"/>
        <v/>
      </c>
    </row>
    <row r="62702" spans="8:8" x14ac:dyDescent="0.3">
      <c r="H62702" t="str">
        <f t="shared" si="1029"/>
        <v/>
      </c>
    </row>
    <row r="62703" spans="8:8" x14ac:dyDescent="0.3">
      <c r="H62703" t="str">
        <f t="shared" si="1029"/>
        <v/>
      </c>
    </row>
    <row r="62704" spans="8:8" x14ac:dyDescent="0.3">
      <c r="H62704" t="str">
        <f t="shared" si="1029"/>
        <v/>
      </c>
    </row>
    <row r="62705" spans="8:8" x14ac:dyDescent="0.3">
      <c r="H62705" t="str">
        <f t="shared" si="1029"/>
        <v/>
      </c>
    </row>
    <row r="62706" spans="8:8" x14ac:dyDescent="0.3">
      <c r="H62706" t="str">
        <f t="shared" si="1029"/>
        <v/>
      </c>
    </row>
    <row r="62707" spans="8:8" x14ac:dyDescent="0.3">
      <c r="H62707" t="str">
        <f t="shared" si="1029"/>
        <v/>
      </c>
    </row>
    <row r="62708" spans="8:8" x14ac:dyDescent="0.3">
      <c r="H62708" t="str">
        <f t="shared" si="1029"/>
        <v/>
      </c>
    </row>
    <row r="62709" spans="8:8" x14ac:dyDescent="0.3">
      <c r="H62709" t="str">
        <f t="shared" si="1029"/>
        <v/>
      </c>
    </row>
    <row r="62710" spans="8:8" x14ac:dyDescent="0.3">
      <c r="H62710" t="str">
        <f t="shared" si="1029"/>
        <v/>
      </c>
    </row>
    <row r="62711" spans="8:8" x14ac:dyDescent="0.3">
      <c r="H62711" t="str">
        <f t="shared" si="1029"/>
        <v/>
      </c>
    </row>
    <row r="62712" spans="8:8" x14ac:dyDescent="0.3">
      <c r="H62712" t="str">
        <f t="shared" si="1029"/>
        <v/>
      </c>
    </row>
    <row r="62713" spans="8:8" x14ac:dyDescent="0.3">
      <c r="H62713" t="str">
        <f t="shared" si="1029"/>
        <v/>
      </c>
    </row>
    <row r="62714" spans="8:8" x14ac:dyDescent="0.3">
      <c r="H62714" t="str">
        <f t="shared" si="1029"/>
        <v/>
      </c>
    </row>
    <row r="62715" spans="8:8" x14ac:dyDescent="0.3">
      <c r="H62715" t="str">
        <f t="shared" si="1029"/>
        <v/>
      </c>
    </row>
    <row r="62716" spans="8:8" x14ac:dyDescent="0.3">
      <c r="H62716" t="str">
        <f t="shared" si="1029"/>
        <v/>
      </c>
    </row>
    <row r="62717" spans="8:8" x14ac:dyDescent="0.3">
      <c r="H62717" t="str">
        <f t="shared" si="1029"/>
        <v/>
      </c>
    </row>
    <row r="62718" spans="8:8" x14ac:dyDescent="0.3">
      <c r="H62718" t="str">
        <f t="shared" si="1029"/>
        <v/>
      </c>
    </row>
    <row r="62719" spans="8:8" x14ac:dyDescent="0.3">
      <c r="H62719" t="str">
        <f t="shared" si="1029"/>
        <v/>
      </c>
    </row>
    <row r="62720" spans="8:8" x14ac:dyDescent="0.3">
      <c r="H62720" t="str">
        <f t="shared" si="1029"/>
        <v/>
      </c>
    </row>
    <row r="62721" spans="8:8" x14ac:dyDescent="0.3">
      <c r="H62721" t="str">
        <f t="shared" si="1029"/>
        <v/>
      </c>
    </row>
    <row r="62722" spans="8:8" x14ac:dyDescent="0.3">
      <c r="H62722" t="str">
        <f t="shared" si="1029"/>
        <v/>
      </c>
    </row>
    <row r="62723" spans="8:8" x14ac:dyDescent="0.3">
      <c r="H62723" t="str">
        <f t="shared" si="1029"/>
        <v/>
      </c>
    </row>
    <row r="62724" spans="8:8" x14ac:dyDescent="0.3">
      <c r="H62724" t="str">
        <f t="shared" si="1029"/>
        <v/>
      </c>
    </row>
    <row r="62725" spans="8:8" x14ac:dyDescent="0.3">
      <c r="H62725" t="str">
        <f t="shared" si="1029"/>
        <v/>
      </c>
    </row>
    <row r="62726" spans="8:8" x14ac:dyDescent="0.3">
      <c r="H62726" t="str">
        <f t="shared" si="1029"/>
        <v/>
      </c>
    </row>
    <row r="62727" spans="8:8" x14ac:dyDescent="0.3">
      <c r="H62727" t="str">
        <f t="shared" si="1029"/>
        <v/>
      </c>
    </row>
    <row r="62728" spans="8:8" x14ac:dyDescent="0.3">
      <c r="H62728" t="str">
        <f t="shared" si="1029"/>
        <v/>
      </c>
    </row>
    <row r="62729" spans="8:8" x14ac:dyDescent="0.3">
      <c r="H62729" t="str">
        <f t="shared" si="1029"/>
        <v/>
      </c>
    </row>
    <row r="62730" spans="8:8" x14ac:dyDescent="0.3">
      <c r="H62730" t="str">
        <f t="shared" si="1029"/>
        <v/>
      </c>
    </row>
    <row r="62731" spans="8:8" x14ac:dyDescent="0.3">
      <c r="H62731" t="str">
        <f t="shared" si="1029"/>
        <v/>
      </c>
    </row>
    <row r="62732" spans="8:8" x14ac:dyDescent="0.3">
      <c r="H62732" t="str">
        <f t="shared" si="1029"/>
        <v/>
      </c>
    </row>
    <row r="62733" spans="8:8" x14ac:dyDescent="0.3">
      <c r="H62733" t="str">
        <f t="shared" si="1029"/>
        <v/>
      </c>
    </row>
    <row r="62734" spans="8:8" x14ac:dyDescent="0.3">
      <c r="H62734" t="str">
        <f t="shared" si="1029"/>
        <v/>
      </c>
    </row>
    <row r="62735" spans="8:8" x14ac:dyDescent="0.3">
      <c r="H62735" t="str">
        <f t="shared" si="1029"/>
        <v/>
      </c>
    </row>
    <row r="62736" spans="8:8" x14ac:dyDescent="0.3">
      <c r="H62736" t="str">
        <f t="shared" si="1029"/>
        <v/>
      </c>
    </row>
    <row r="62737" spans="8:8" x14ac:dyDescent="0.3">
      <c r="H62737" t="str">
        <f t="shared" si="1029"/>
        <v/>
      </c>
    </row>
    <row r="62738" spans="8:8" x14ac:dyDescent="0.3">
      <c r="H62738" t="str">
        <f t="shared" si="1029"/>
        <v/>
      </c>
    </row>
    <row r="62739" spans="8:8" x14ac:dyDescent="0.3">
      <c r="H62739" t="str">
        <f t="shared" si="1029"/>
        <v/>
      </c>
    </row>
    <row r="62740" spans="8:8" x14ac:dyDescent="0.3">
      <c r="H62740" t="str">
        <f t="shared" si="1029"/>
        <v/>
      </c>
    </row>
    <row r="62741" spans="8:8" x14ac:dyDescent="0.3">
      <c r="H62741" t="str">
        <f t="shared" si="1029"/>
        <v/>
      </c>
    </row>
    <row r="62742" spans="8:8" x14ac:dyDescent="0.3">
      <c r="H62742" t="str">
        <f t="shared" si="1029"/>
        <v/>
      </c>
    </row>
    <row r="62743" spans="8:8" x14ac:dyDescent="0.3">
      <c r="H62743" t="str">
        <f t="shared" ref="H62743:H62806" si="1030">IF(B62743="","",$C$12)</f>
        <v/>
      </c>
    </row>
    <row r="62744" spans="8:8" x14ac:dyDescent="0.3">
      <c r="H62744" t="str">
        <f t="shared" si="1030"/>
        <v/>
      </c>
    </row>
    <row r="62745" spans="8:8" x14ac:dyDescent="0.3">
      <c r="H62745" t="str">
        <f t="shared" si="1030"/>
        <v/>
      </c>
    </row>
    <row r="62746" spans="8:8" x14ac:dyDescent="0.3">
      <c r="H62746" t="str">
        <f t="shared" si="1030"/>
        <v/>
      </c>
    </row>
    <row r="62747" spans="8:8" x14ac:dyDescent="0.3">
      <c r="H62747" t="str">
        <f t="shared" si="1030"/>
        <v/>
      </c>
    </row>
    <row r="62748" spans="8:8" x14ac:dyDescent="0.3">
      <c r="H62748" t="str">
        <f t="shared" si="1030"/>
        <v/>
      </c>
    </row>
    <row r="62749" spans="8:8" x14ac:dyDescent="0.3">
      <c r="H62749" t="str">
        <f t="shared" si="1030"/>
        <v/>
      </c>
    </row>
    <row r="62750" spans="8:8" x14ac:dyDescent="0.3">
      <c r="H62750" t="str">
        <f t="shared" si="1030"/>
        <v/>
      </c>
    </row>
    <row r="62751" spans="8:8" x14ac:dyDescent="0.3">
      <c r="H62751" t="str">
        <f t="shared" si="1030"/>
        <v/>
      </c>
    </row>
    <row r="62752" spans="8:8" x14ac:dyDescent="0.3">
      <c r="H62752" t="str">
        <f t="shared" si="1030"/>
        <v/>
      </c>
    </row>
    <row r="62753" spans="8:8" x14ac:dyDescent="0.3">
      <c r="H62753" t="str">
        <f t="shared" si="1030"/>
        <v/>
      </c>
    </row>
    <row r="62754" spans="8:8" x14ac:dyDescent="0.3">
      <c r="H62754" t="str">
        <f t="shared" si="1030"/>
        <v/>
      </c>
    </row>
    <row r="62755" spans="8:8" x14ac:dyDescent="0.3">
      <c r="H62755" t="str">
        <f t="shared" si="1030"/>
        <v/>
      </c>
    </row>
    <row r="62756" spans="8:8" x14ac:dyDescent="0.3">
      <c r="H62756" t="str">
        <f t="shared" si="1030"/>
        <v/>
      </c>
    </row>
    <row r="62757" spans="8:8" x14ac:dyDescent="0.3">
      <c r="H62757" t="str">
        <f t="shared" si="1030"/>
        <v/>
      </c>
    </row>
    <row r="62758" spans="8:8" x14ac:dyDescent="0.3">
      <c r="H62758" t="str">
        <f t="shared" si="1030"/>
        <v/>
      </c>
    </row>
    <row r="62759" spans="8:8" x14ac:dyDescent="0.3">
      <c r="H62759" t="str">
        <f t="shared" si="1030"/>
        <v/>
      </c>
    </row>
    <row r="62760" spans="8:8" x14ac:dyDescent="0.3">
      <c r="H62760" t="str">
        <f t="shared" si="1030"/>
        <v/>
      </c>
    </row>
    <row r="62761" spans="8:8" x14ac:dyDescent="0.3">
      <c r="H62761" t="str">
        <f t="shared" si="1030"/>
        <v/>
      </c>
    </row>
    <row r="62762" spans="8:8" x14ac:dyDescent="0.3">
      <c r="H62762" t="str">
        <f t="shared" si="1030"/>
        <v/>
      </c>
    </row>
    <row r="62763" spans="8:8" x14ac:dyDescent="0.3">
      <c r="H62763" t="str">
        <f t="shared" si="1030"/>
        <v/>
      </c>
    </row>
    <row r="62764" spans="8:8" x14ac:dyDescent="0.3">
      <c r="H62764" t="str">
        <f t="shared" si="1030"/>
        <v/>
      </c>
    </row>
    <row r="62765" spans="8:8" x14ac:dyDescent="0.3">
      <c r="H62765" t="str">
        <f t="shared" si="1030"/>
        <v/>
      </c>
    </row>
    <row r="62766" spans="8:8" x14ac:dyDescent="0.3">
      <c r="H62766" t="str">
        <f t="shared" si="1030"/>
        <v/>
      </c>
    </row>
    <row r="62767" spans="8:8" x14ac:dyDescent="0.3">
      <c r="H62767" t="str">
        <f t="shared" si="1030"/>
        <v/>
      </c>
    </row>
    <row r="62768" spans="8:8" x14ac:dyDescent="0.3">
      <c r="H62768" t="str">
        <f t="shared" si="1030"/>
        <v/>
      </c>
    </row>
    <row r="62769" spans="8:8" x14ac:dyDescent="0.3">
      <c r="H62769" t="str">
        <f t="shared" si="1030"/>
        <v/>
      </c>
    </row>
    <row r="62770" spans="8:8" x14ac:dyDescent="0.3">
      <c r="H62770" t="str">
        <f t="shared" si="1030"/>
        <v/>
      </c>
    </row>
    <row r="62771" spans="8:8" x14ac:dyDescent="0.3">
      <c r="H62771" t="str">
        <f t="shared" si="1030"/>
        <v/>
      </c>
    </row>
    <row r="62772" spans="8:8" x14ac:dyDescent="0.3">
      <c r="H62772" t="str">
        <f t="shared" si="1030"/>
        <v/>
      </c>
    </row>
    <row r="62773" spans="8:8" x14ac:dyDescent="0.3">
      <c r="H62773" t="str">
        <f t="shared" si="1030"/>
        <v/>
      </c>
    </row>
    <row r="62774" spans="8:8" x14ac:dyDescent="0.3">
      <c r="H62774" t="str">
        <f t="shared" si="1030"/>
        <v/>
      </c>
    </row>
    <row r="62775" spans="8:8" x14ac:dyDescent="0.3">
      <c r="H62775" t="str">
        <f t="shared" si="1030"/>
        <v/>
      </c>
    </row>
    <row r="62776" spans="8:8" x14ac:dyDescent="0.3">
      <c r="H62776" t="str">
        <f t="shared" si="1030"/>
        <v/>
      </c>
    </row>
    <row r="62777" spans="8:8" x14ac:dyDescent="0.3">
      <c r="H62777" t="str">
        <f t="shared" si="1030"/>
        <v/>
      </c>
    </row>
    <row r="62778" spans="8:8" x14ac:dyDescent="0.3">
      <c r="H62778" t="str">
        <f t="shared" si="1030"/>
        <v/>
      </c>
    </row>
    <row r="62779" spans="8:8" x14ac:dyDescent="0.3">
      <c r="H62779" t="str">
        <f t="shared" si="1030"/>
        <v/>
      </c>
    </row>
    <row r="62780" spans="8:8" x14ac:dyDescent="0.3">
      <c r="H62780" t="str">
        <f t="shared" si="1030"/>
        <v/>
      </c>
    </row>
    <row r="62781" spans="8:8" x14ac:dyDescent="0.3">
      <c r="H62781" t="str">
        <f t="shared" si="1030"/>
        <v/>
      </c>
    </row>
    <row r="62782" spans="8:8" x14ac:dyDescent="0.3">
      <c r="H62782" t="str">
        <f t="shared" si="1030"/>
        <v/>
      </c>
    </row>
    <row r="62783" spans="8:8" x14ac:dyDescent="0.3">
      <c r="H62783" t="str">
        <f t="shared" si="1030"/>
        <v/>
      </c>
    </row>
    <row r="62784" spans="8:8" x14ac:dyDescent="0.3">
      <c r="H62784" t="str">
        <f t="shared" si="1030"/>
        <v/>
      </c>
    </row>
    <row r="62785" spans="8:8" x14ac:dyDescent="0.3">
      <c r="H62785" t="str">
        <f t="shared" si="1030"/>
        <v/>
      </c>
    </row>
    <row r="62786" spans="8:8" x14ac:dyDescent="0.3">
      <c r="H62786" t="str">
        <f t="shared" si="1030"/>
        <v/>
      </c>
    </row>
    <row r="62787" spans="8:8" x14ac:dyDescent="0.3">
      <c r="H62787" t="str">
        <f t="shared" si="1030"/>
        <v/>
      </c>
    </row>
    <row r="62788" spans="8:8" x14ac:dyDescent="0.3">
      <c r="H62788" t="str">
        <f t="shared" si="1030"/>
        <v/>
      </c>
    </row>
    <row r="62789" spans="8:8" x14ac:dyDescent="0.3">
      <c r="H62789" t="str">
        <f t="shared" si="1030"/>
        <v/>
      </c>
    </row>
    <row r="62790" spans="8:8" x14ac:dyDescent="0.3">
      <c r="H62790" t="str">
        <f t="shared" si="1030"/>
        <v/>
      </c>
    </row>
    <row r="62791" spans="8:8" x14ac:dyDescent="0.3">
      <c r="H62791" t="str">
        <f t="shared" si="1030"/>
        <v/>
      </c>
    </row>
    <row r="62792" spans="8:8" x14ac:dyDescent="0.3">
      <c r="H62792" t="str">
        <f t="shared" si="1030"/>
        <v/>
      </c>
    </row>
    <row r="62793" spans="8:8" x14ac:dyDescent="0.3">
      <c r="H62793" t="str">
        <f t="shared" si="1030"/>
        <v/>
      </c>
    </row>
    <row r="62794" spans="8:8" x14ac:dyDescent="0.3">
      <c r="H62794" t="str">
        <f t="shared" si="1030"/>
        <v/>
      </c>
    </row>
    <row r="62795" spans="8:8" x14ac:dyDescent="0.3">
      <c r="H62795" t="str">
        <f t="shared" si="1030"/>
        <v/>
      </c>
    </row>
    <row r="62796" spans="8:8" x14ac:dyDescent="0.3">
      <c r="H62796" t="str">
        <f t="shared" si="1030"/>
        <v/>
      </c>
    </row>
    <row r="62797" spans="8:8" x14ac:dyDescent="0.3">
      <c r="H62797" t="str">
        <f t="shared" si="1030"/>
        <v/>
      </c>
    </row>
    <row r="62798" spans="8:8" x14ac:dyDescent="0.3">
      <c r="H62798" t="str">
        <f t="shared" si="1030"/>
        <v/>
      </c>
    </row>
    <row r="62799" spans="8:8" x14ac:dyDescent="0.3">
      <c r="H62799" t="str">
        <f t="shared" si="1030"/>
        <v/>
      </c>
    </row>
    <row r="62800" spans="8:8" x14ac:dyDescent="0.3">
      <c r="H62800" t="str">
        <f t="shared" si="1030"/>
        <v/>
      </c>
    </row>
    <row r="62801" spans="8:8" x14ac:dyDescent="0.3">
      <c r="H62801" t="str">
        <f t="shared" si="1030"/>
        <v/>
      </c>
    </row>
    <row r="62802" spans="8:8" x14ac:dyDescent="0.3">
      <c r="H62802" t="str">
        <f t="shared" si="1030"/>
        <v/>
      </c>
    </row>
    <row r="62803" spans="8:8" x14ac:dyDescent="0.3">
      <c r="H62803" t="str">
        <f t="shared" si="1030"/>
        <v/>
      </c>
    </row>
    <row r="62804" spans="8:8" x14ac:dyDescent="0.3">
      <c r="H62804" t="str">
        <f t="shared" si="1030"/>
        <v/>
      </c>
    </row>
    <row r="62805" spans="8:8" x14ac:dyDescent="0.3">
      <c r="H62805" t="str">
        <f t="shared" si="1030"/>
        <v/>
      </c>
    </row>
    <row r="62806" spans="8:8" x14ac:dyDescent="0.3">
      <c r="H62806" t="str">
        <f t="shared" si="1030"/>
        <v/>
      </c>
    </row>
    <row r="62807" spans="8:8" x14ac:dyDescent="0.3">
      <c r="H62807" t="str">
        <f t="shared" ref="H62807:H62870" si="1031">IF(B62807="","",$C$12)</f>
        <v/>
      </c>
    </row>
    <row r="62808" spans="8:8" x14ac:dyDescent="0.3">
      <c r="H62808" t="str">
        <f t="shared" si="1031"/>
        <v/>
      </c>
    </row>
    <row r="62809" spans="8:8" x14ac:dyDescent="0.3">
      <c r="H62809" t="str">
        <f t="shared" si="1031"/>
        <v/>
      </c>
    </row>
    <row r="62810" spans="8:8" x14ac:dyDescent="0.3">
      <c r="H62810" t="str">
        <f t="shared" si="1031"/>
        <v/>
      </c>
    </row>
    <row r="62811" spans="8:8" x14ac:dyDescent="0.3">
      <c r="H62811" t="str">
        <f t="shared" si="1031"/>
        <v/>
      </c>
    </row>
    <row r="62812" spans="8:8" x14ac:dyDescent="0.3">
      <c r="H62812" t="str">
        <f t="shared" si="1031"/>
        <v/>
      </c>
    </row>
    <row r="62813" spans="8:8" x14ac:dyDescent="0.3">
      <c r="H62813" t="str">
        <f t="shared" si="1031"/>
        <v/>
      </c>
    </row>
    <row r="62814" spans="8:8" x14ac:dyDescent="0.3">
      <c r="H62814" t="str">
        <f t="shared" si="1031"/>
        <v/>
      </c>
    </row>
    <row r="62815" spans="8:8" x14ac:dyDescent="0.3">
      <c r="H62815" t="str">
        <f t="shared" si="1031"/>
        <v/>
      </c>
    </row>
    <row r="62816" spans="8:8" x14ac:dyDescent="0.3">
      <c r="H62816" t="str">
        <f t="shared" si="1031"/>
        <v/>
      </c>
    </row>
    <row r="62817" spans="8:8" x14ac:dyDescent="0.3">
      <c r="H62817" t="str">
        <f t="shared" si="1031"/>
        <v/>
      </c>
    </row>
    <row r="62818" spans="8:8" x14ac:dyDescent="0.3">
      <c r="H62818" t="str">
        <f t="shared" si="1031"/>
        <v/>
      </c>
    </row>
    <row r="62819" spans="8:8" x14ac:dyDescent="0.3">
      <c r="H62819" t="str">
        <f t="shared" si="1031"/>
        <v/>
      </c>
    </row>
    <row r="62820" spans="8:8" x14ac:dyDescent="0.3">
      <c r="H62820" t="str">
        <f t="shared" si="1031"/>
        <v/>
      </c>
    </row>
    <row r="62821" spans="8:8" x14ac:dyDescent="0.3">
      <c r="H62821" t="str">
        <f t="shared" si="1031"/>
        <v/>
      </c>
    </row>
    <row r="62822" spans="8:8" x14ac:dyDescent="0.3">
      <c r="H62822" t="str">
        <f t="shared" si="1031"/>
        <v/>
      </c>
    </row>
    <row r="62823" spans="8:8" x14ac:dyDescent="0.3">
      <c r="H62823" t="str">
        <f t="shared" si="1031"/>
        <v/>
      </c>
    </row>
    <row r="62824" spans="8:8" x14ac:dyDescent="0.3">
      <c r="H62824" t="str">
        <f t="shared" si="1031"/>
        <v/>
      </c>
    </row>
    <row r="62825" spans="8:8" x14ac:dyDescent="0.3">
      <c r="H62825" t="str">
        <f t="shared" si="1031"/>
        <v/>
      </c>
    </row>
    <row r="62826" spans="8:8" x14ac:dyDescent="0.3">
      <c r="H62826" t="str">
        <f t="shared" si="1031"/>
        <v/>
      </c>
    </row>
    <row r="62827" spans="8:8" x14ac:dyDescent="0.3">
      <c r="H62827" t="str">
        <f t="shared" si="1031"/>
        <v/>
      </c>
    </row>
    <row r="62828" spans="8:8" x14ac:dyDescent="0.3">
      <c r="H62828" t="str">
        <f t="shared" si="1031"/>
        <v/>
      </c>
    </row>
    <row r="62829" spans="8:8" x14ac:dyDescent="0.3">
      <c r="H62829" t="str">
        <f t="shared" si="1031"/>
        <v/>
      </c>
    </row>
    <row r="62830" spans="8:8" x14ac:dyDescent="0.3">
      <c r="H62830" t="str">
        <f t="shared" si="1031"/>
        <v/>
      </c>
    </row>
    <row r="62831" spans="8:8" x14ac:dyDescent="0.3">
      <c r="H62831" t="str">
        <f t="shared" si="1031"/>
        <v/>
      </c>
    </row>
    <row r="62832" spans="8:8" x14ac:dyDescent="0.3">
      <c r="H62832" t="str">
        <f t="shared" si="1031"/>
        <v/>
      </c>
    </row>
    <row r="62833" spans="8:8" x14ac:dyDescent="0.3">
      <c r="H62833" t="str">
        <f t="shared" si="1031"/>
        <v/>
      </c>
    </row>
    <row r="62834" spans="8:8" x14ac:dyDescent="0.3">
      <c r="H62834" t="str">
        <f t="shared" si="1031"/>
        <v/>
      </c>
    </row>
    <row r="62835" spans="8:8" x14ac:dyDescent="0.3">
      <c r="H62835" t="str">
        <f t="shared" si="1031"/>
        <v/>
      </c>
    </row>
    <row r="62836" spans="8:8" x14ac:dyDescent="0.3">
      <c r="H62836" t="str">
        <f t="shared" si="1031"/>
        <v/>
      </c>
    </row>
    <row r="62837" spans="8:8" x14ac:dyDescent="0.3">
      <c r="H62837" t="str">
        <f t="shared" si="1031"/>
        <v/>
      </c>
    </row>
    <row r="62838" spans="8:8" x14ac:dyDescent="0.3">
      <c r="H62838" t="str">
        <f t="shared" si="1031"/>
        <v/>
      </c>
    </row>
    <row r="62839" spans="8:8" x14ac:dyDescent="0.3">
      <c r="H62839" t="str">
        <f t="shared" si="1031"/>
        <v/>
      </c>
    </row>
    <row r="62840" spans="8:8" x14ac:dyDescent="0.3">
      <c r="H62840" t="str">
        <f t="shared" si="1031"/>
        <v/>
      </c>
    </row>
    <row r="62841" spans="8:8" x14ac:dyDescent="0.3">
      <c r="H62841" t="str">
        <f t="shared" si="1031"/>
        <v/>
      </c>
    </row>
    <row r="62842" spans="8:8" x14ac:dyDescent="0.3">
      <c r="H62842" t="str">
        <f t="shared" si="1031"/>
        <v/>
      </c>
    </row>
    <row r="62843" spans="8:8" x14ac:dyDescent="0.3">
      <c r="H62843" t="str">
        <f t="shared" si="1031"/>
        <v/>
      </c>
    </row>
    <row r="62844" spans="8:8" x14ac:dyDescent="0.3">
      <c r="H62844" t="str">
        <f t="shared" si="1031"/>
        <v/>
      </c>
    </row>
    <row r="62845" spans="8:8" x14ac:dyDescent="0.3">
      <c r="H62845" t="str">
        <f t="shared" si="1031"/>
        <v/>
      </c>
    </row>
    <row r="62846" spans="8:8" x14ac:dyDescent="0.3">
      <c r="H62846" t="str">
        <f t="shared" si="1031"/>
        <v/>
      </c>
    </row>
    <row r="62847" spans="8:8" x14ac:dyDescent="0.3">
      <c r="H62847" t="str">
        <f t="shared" si="1031"/>
        <v/>
      </c>
    </row>
    <row r="62848" spans="8:8" x14ac:dyDescent="0.3">
      <c r="H62848" t="str">
        <f t="shared" si="1031"/>
        <v/>
      </c>
    </row>
    <row r="62849" spans="8:8" x14ac:dyDescent="0.3">
      <c r="H62849" t="str">
        <f t="shared" si="1031"/>
        <v/>
      </c>
    </row>
    <row r="62850" spans="8:8" x14ac:dyDescent="0.3">
      <c r="H62850" t="str">
        <f t="shared" si="1031"/>
        <v/>
      </c>
    </row>
    <row r="62851" spans="8:8" x14ac:dyDescent="0.3">
      <c r="H62851" t="str">
        <f t="shared" si="1031"/>
        <v/>
      </c>
    </row>
    <row r="62852" spans="8:8" x14ac:dyDescent="0.3">
      <c r="H62852" t="str">
        <f t="shared" si="1031"/>
        <v/>
      </c>
    </row>
    <row r="62853" spans="8:8" x14ac:dyDescent="0.3">
      <c r="H62853" t="str">
        <f t="shared" si="1031"/>
        <v/>
      </c>
    </row>
    <row r="62854" spans="8:8" x14ac:dyDescent="0.3">
      <c r="H62854" t="str">
        <f t="shared" si="1031"/>
        <v/>
      </c>
    </row>
    <row r="62855" spans="8:8" x14ac:dyDescent="0.3">
      <c r="H62855" t="str">
        <f t="shared" si="1031"/>
        <v/>
      </c>
    </row>
    <row r="62856" spans="8:8" x14ac:dyDescent="0.3">
      <c r="H62856" t="str">
        <f t="shared" si="1031"/>
        <v/>
      </c>
    </row>
    <row r="62857" spans="8:8" x14ac:dyDescent="0.3">
      <c r="H62857" t="str">
        <f t="shared" si="1031"/>
        <v/>
      </c>
    </row>
    <row r="62858" spans="8:8" x14ac:dyDescent="0.3">
      <c r="H62858" t="str">
        <f t="shared" si="1031"/>
        <v/>
      </c>
    </row>
    <row r="62859" spans="8:8" x14ac:dyDescent="0.3">
      <c r="H62859" t="str">
        <f t="shared" si="1031"/>
        <v/>
      </c>
    </row>
    <row r="62860" spans="8:8" x14ac:dyDescent="0.3">
      <c r="H62860" t="str">
        <f t="shared" si="1031"/>
        <v/>
      </c>
    </row>
    <row r="62861" spans="8:8" x14ac:dyDescent="0.3">
      <c r="H62861" t="str">
        <f t="shared" si="1031"/>
        <v/>
      </c>
    </row>
    <row r="62862" spans="8:8" x14ac:dyDescent="0.3">
      <c r="H62862" t="str">
        <f t="shared" si="1031"/>
        <v/>
      </c>
    </row>
    <row r="62863" spans="8:8" x14ac:dyDescent="0.3">
      <c r="H62863" t="str">
        <f t="shared" si="1031"/>
        <v/>
      </c>
    </row>
    <row r="62864" spans="8:8" x14ac:dyDescent="0.3">
      <c r="H62864" t="str">
        <f t="shared" si="1031"/>
        <v/>
      </c>
    </row>
    <row r="62865" spans="8:8" x14ac:dyDescent="0.3">
      <c r="H62865" t="str">
        <f t="shared" si="1031"/>
        <v/>
      </c>
    </row>
    <row r="62866" spans="8:8" x14ac:dyDescent="0.3">
      <c r="H62866" t="str">
        <f t="shared" si="1031"/>
        <v/>
      </c>
    </row>
    <row r="62867" spans="8:8" x14ac:dyDescent="0.3">
      <c r="H62867" t="str">
        <f t="shared" si="1031"/>
        <v/>
      </c>
    </row>
    <row r="62868" spans="8:8" x14ac:dyDescent="0.3">
      <c r="H62868" t="str">
        <f t="shared" si="1031"/>
        <v/>
      </c>
    </row>
    <row r="62869" spans="8:8" x14ac:dyDescent="0.3">
      <c r="H62869" t="str">
        <f t="shared" si="1031"/>
        <v/>
      </c>
    </row>
    <row r="62870" spans="8:8" x14ac:dyDescent="0.3">
      <c r="H62870" t="str">
        <f t="shared" si="1031"/>
        <v/>
      </c>
    </row>
    <row r="62871" spans="8:8" x14ac:dyDescent="0.3">
      <c r="H62871" t="str">
        <f t="shared" ref="H62871:H62934" si="1032">IF(B62871="","",$C$12)</f>
        <v/>
      </c>
    </row>
    <row r="62872" spans="8:8" x14ac:dyDescent="0.3">
      <c r="H62872" t="str">
        <f t="shared" si="1032"/>
        <v/>
      </c>
    </row>
    <row r="62873" spans="8:8" x14ac:dyDescent="0.3">
      <c r="H62873" t="str">
        <f t="shared" si="1032"/>
        <v/>
      </c>
    </row>
    <row r="62874" spans="8:8" x14ac:dyDescent="0.3">
      <c r="H62874" t="str">
        <f t="shared" si="1032"/>
        <v/>
      </c>
    </row>
    <row r="62875" spans="8:8" x14ac:dyDescent="0.3">
      <c r="H62875" t="str">
        <f t="shared" si="1032"/>
        <v/>
      </c>
    </row>
    <row r="62876" spans="8:8" x14ac:dyDescent="0.3">
      <c r="H62876" t="str">
        <f t="shared" si="1032"/>
        <v/>
      </c>
    </row>
    <row r="62877" spans="8:8" x14ac:dyDescent="0.3">
      <c r="H62877" t="str">
        <f t="shared" si="1032"/>
        <v/>
      </c>
    </row>
    <row r="62878" spans="8:8" x14ac:dyDescent="0.3">
      <c r="H62878" t="str">
        <f t="shared" si="1032"/>
        <v/>
      </c>
    </row>
    <row r="62879" spans="8:8" x14ac:dyDescent="0.3">
      <c r="H62879" t="str">
        <f t="shared" si="1032"/>
        <v/>
      </c>
    </row>
    <row r="62880" spans="8:8" x14ac:dyDescent="0.3">
      <c r="H62880" t="str">
        <f t="shared" si="1032"/>
        <v/>
      </c>
    </row>
    <row r="62881" spans="8:8" x14ac:dyDescent="0.3">
      <c r="H62881" t="str">
        <f t="shared" si="1032"/>
        <v/>
      </c>
    </row>
    <row r="62882" spans="8:8" x14ac:dyDescent="0.3">
      <c r="H62882" t="str">
        <f t="shared" si="1032"/>
        <v/>
      </c>
    </row>
    <row r="62883" spans="8:8" x14ac:dyDescent="0.3">
      <c r="H62883" t="str">
        <f t="shared" si="1032"/>
        <v/>
      </c>
    </row>
    <row r="62884" spans="8:8" x14ac:dyDescent="0.3">
      <c r="H62884" t="str">
        <f t="shared" si="1032"/>
        <v/>
      </c>
    </row>
    <row r="62885" spans="8:8" x14ac:dyDescent="0.3">
      <c r="H62885" t="str">
        <f t="shared" si="1032"/>
        <v/>
      </c>
    </row>
    <row r="62886" spans="8:8" x14ac:dyDescent="0.3">
      <c r="H62886" t="str">
        <f t="shared" si="1032"/>
        <v/>
      </c>
    </row>
    <row r="62887" spans="8:8" x14ac:dyDescent="0.3">
      <c r="H62887" t="str">
        <f t="shared" si="1032"/>
        <v/>
      </c>
    </row>
    <row r="62888" spans="8:8" x14ac:dyDescent="0.3">
      <c r="H62888" t="str">
        <f t="shared" si="1032"/>
        <v/>
      </c>
    </row>
    <row r="62889" spans="8:8" x14ac:dyDescent="0.3">
      <c r="H62889" t="str">
        <f t="shared" si="1032"/>
        <v/>
      </c>
    </row>
    <row r="62890" spans="8:8" x14ac:dyDescent="0.3">
      <c r="H62890" t="str">
        <f t="shared" si="1032"/>
        <v/>
      </c>
    </row>
    <row r="62891" spans="8:8" x14ac:dyDescent="0.3">
      <c r="H62891" t="str">
        <f t="shared" si="1032"/>
        <v/>
      </c>
    </row>
    <row r="62892" spans="8:8" x14ac:dyDescent="0.3">
      <c r="H62892" t="str">
        <f t="shared" si="1032"/>
        <v/>
      </c>
    </row>
    <row r="62893" spans="8:8" x14ac:dyDescent="0.3">
      <c r="H62893" t="str">
        <f t="shared" si="1032"/>
        <v/>
      </c>
    </row>
    <row r="62894" spans="8:8" x14ac:dyDescent="0.3">
      <c r="H62894" t="str">
        <f t="shared" si="1032"/>
        <v/>
      </c>
    </row>
    <row r="62895" spans="8:8" x14ac:dyDescent="0.3">
      <c r="H62895" t="str">
        <f t="shared" si="1032"/>
        <v/>
      </c>
    </row>
    <row r="62896" spans="8:8" x14ac:dyDescent="0.3">
      <c r="H62896" t="str">
        <f t="shared" si="1032"/>
        <v/>
      </c>
    </row>
    <row r="62897" spans="8:8" x14ac:dyDescent="0.3">
      <c r="H62897" t="str">
        <f t="shared" si="1032"/>
        <v/>
      </c>
    </row>
    <row r="62898" spans="8:8" x14ac:dyDescent="0.3">
      <c r="H62898" t="str">
        <f t="shared" si="1032"/>
        <v/>
      </c>
    </row>
    <row r="62899" spans="8:8" x14ac:dyDescent="0.3">
      <c r="H62899" t="str">
        <f t="shared" si="1032"/>
        <v/>
      </c>
    </row>
    <row r="62900" spans="8:8" x14ac:dyDescent="0.3">
      <c r="H62900" t="str">
        <f t="shared" si="1032"/>
        <v/>
      </c>
    </row>
    <row r="62901" spans="8:8" x14ac:dyDescent="0.3">
      <c r="H62901" t="str">
        <f t="shared" si="1032"/>
        <v/>
      </c>
    </row>
    <row r="62902" spans="8:8" x14ac:dyDescent="0.3">
      <c r="H62902" t="str">
        <f t="shared" si="1032"/>
        <v/>
      </c>
    </row>
    <row r="62903" spans="8:8" x14ac:dyDescent="0.3">
      <c r="H62903" t="str">
        <f t="shared" si="1032"/>
        <v/>
      </c>
    </row>
    <row r="62904" spans="8:8" x14ac:dyDescent="0.3">
      <c r="H62904" t="str">
        <f t="shared" si="1032"/>
        <v/>
      </c>
    </row>
    <row r="62905" spans="8:8" x14ac:dyDescent="0.3">
      <c r="H62905" t="str">
        <f t="shared" si="1032"/>
        <v/>
      </c>
    </row>
    <row r="62906" spans="8:8" x14ac:dyDescent="0.3">
      <c r="H62906" t="str">
        <f t="shared" si="1032"/>
        <v/>
      </c>
    </row>
    <row r="62907" spans="8:8" x14ac:dyDescent="0.3">
      <c r="H62907" t="str">
        <f t="shared" si="1032"/>
        <v/>
      </c>
    </row>
    <row r="62908" spans="8:8" x14ac:dyDescent="0.3">
      <c r="H62908" t="str">
        <f t="shared" si="1032"/>
        <v/>
      </c>
    </row>
    <row r="62909" spans="8:8" x14ac:dyDescent="0.3">
      <c r="H62909" t="str">
        <f t="shared" si="1032"/>
        <v/>
      </c>
    </row>
    <row r="62910" spans="8:8" x14ac:dyDescent="0.3">
      <c r="H62910" t="str">
        <f t="shared" si="1032"/>
        <v/>
      </c>
    </row>
    <row r="62911" spans="8:8" x14ac:dyDescent="0.3">
      <c r="H62911" t="str">
        <f t="shared" si="1032"/>
        <v/>
      </c>
    </row>
    <row r="62912" spans="8:8" x14ac:dyDescent="0.3">
      <c r="H62912" t="str">
        <f t="shared" si="1032"/>
        <v/>
      </c>
    </row>
    <row r="62913" spans="8:8" x14ac:dyDescent="0.3">
      <c r="H62913" t="str">
        <f t="shared" si="1032"/>
        <v/>
      </c>
    </row>
    <row r="62914" spans="8:8" x14ac:dyDescent="0.3">
      <c r="H62914" t="str">
        <f t="shared" si="1032"/>
        <v/>
      </c>
    </row>
    <row r="62915" spans="8:8" x14ac:dyDescent="0.3">
      <c r="H62915" t="str">
        <f t="shared" si="1032"/>
        <v/>
      </c>
    </row>
    <row r="62916" spans="8:8" x14ac:dyDescent="0.3">
      <c r="H62916" t="str">
        <f t="shared" si="1032"/>
        <v/>
      </c>
    </row>
    <row r="62917" spans="8:8" x14ac:dyDescent="0.3">
      <c r="H62917" t="str">
        <f t="shared" si="1032"/>
        <v/>
      </c>
    </row>
    <row r="62918" spans="8:8" x14ac:dyDescent="0.3">
      <c r="H62918" t="str">
        <f t="shared" si="1032"/>
        <v/>
      </c>
    </row>
    <row r="62919" spans="8:8" x14ac:dyDescent="0.3">
      <c r="H62919" t="str">
        <f t="shared" si="1032"/>
        <v/>
      </c>
    </row>
    <row r="62920" spans="8:8" x14ac:dyDescent="0.3">
      <c r="H62920" t="str">
        <f t="shared" si="1032"/>
        <v/>
      </c>
    </row>
    <row r="62921" spans="8:8" x14ac:dyDescent="0.3">
      <c r="H62921" t="str">
        <f t="shared" si="1032"/>
        <v/>
      </c>
    </row>
    <row r="62922" spans="8:8" x14ac:dyDescent="0.3">
      <c r="H62922" t="str">
        <f t="shared" si="1032"/>
        <v/>
      </c>
    </row>
    <row r="62923" spans="8:8" x14ac:dyDescent="0.3">
      <c r="H62923" t="str">
        <f t="shared" si="1032"/>
        <v/>
      </c>
    </row>
    <row r="62924" spans="8:8" x14ac:dyDescent="0.3">
      <c r="H62924" t="str">
        <f t="shared" si="1032"/>
        <v/>
      </c>
    </row>
    <row r="62925" spans="8:8" x14ac:dyDescent="0.3">
      <c r="H62925" t="str">
        <f t="shared" si="1032"/>
        <v/>
      </c>
    </row>
    <row r="62926" spans="8:8" x14ac:dyDescent="0.3">
      <c r="H62926" t="str">
        <f t="shared" si="1032"/>
        <v/>
      </c>
    </row>
    <row r="62927" spans="8:8" x14ac:dyDescent="0.3">
      <c r="H62927" t="str">
        <f t="shared" si="1032"/>
        <v/>
      </c>
    </row>
    <row r="62928" spans="8:8" x14ac:dyDescent="0.3">
      <c r="H62928" t="str">
        <f t="shared" si="1032"/>
        <v/>
      </c>
    </row>
    <row r="62929" spans="8:8" x14ac:dyDescent="0.3">
      <c r="H62929" t="str">
        <f t="shared" si="1032"/>
        <v/>
      </c>
    </row>
    <row r="62930" spans="8:8" x14ac:dyDescent="0.3">
      <c r="H62930" t="str">
        <f t="shared" si="1032"/>
        <v/>
      </c>
    </row>
    <row r="62931" spans="8:8" x14ac:dyDescent="0.3">
      <c r="H62931" t="str">
        <f t="shared" si="1032"/>
        <v/>
      </c>
    </row>
    <row r="62932" spans="8:8" x14ac:dyDescent="0.3">
      <c r="H62932" t="str">
        <f t="shared" si="1032"/>
        <v/>
      </c>
    </row>
    <row r="62933" spans="8:8" x14ac:dyDescent="0.3">
      <c r="H62933" t="str">
        <f t="shared" si="1032"/>
        <v/>
      </c>
    </row>
    <row r="62934" spans="8:8" x14ac:dyDescent="0.3">
      <c r="H62934" t="str">
        <f t="shared" si="1032"/>
        <v/>
      </c>
    </row>
    <row r="62935" spans="8:8" x14ac:dyDescent="0.3">
      <c r="H62935" t="str">
        <f t="shared" ref="H62935:H62998" si="1033">IF(B62935="","",$C$12)</f>
        <v/>
      </c>
    </row>
    <row r="62936" spans="8:8" x14ac:dyDescent="0.3">
      <c r="H62936" t="str">
        <f t="shared" si="1033"/>
        <v/>
      </c>
    </row>
    <row r="62937" spans="8:8" x14ac:dyDescent="0.3">
      <c r="H62937" t="str">
        <f t="shared" si="1033"/>
        <v/>
      </c>
    </row>
    <row r="62938" spans="8:8" x14ac:dyDescent="0.3">
      <c r="H62938" t="str">
        <f t="shared" si="1033"/>
        <v/>
      </c>
    </row>
    <row r="62939" spans="8:8" x14ac:dyDescent="0.3">
      <c r="H62939" t="str">
        <f t="shared" si="1033"/>
        <v/>
      </c>
    </row>
    <row r="62940" spans="8:8" x14ac:dyDescent="0.3">
      <c r="H62940" t="str">
        <f t="shared" si="1033"/>
        <v/>
      </c>
    </row>
    <row r="62941" spans="8:8" x14ac:dyDescent="0.3">
      <c r="H62941" t="str">
        <f t="shared" si="1033"/>
        <v/>
      </c>
    </row>
    <row r="62942" spans="8:8" x14ac:dyDescent="0.3">
      <c r="H62942" t="str">
        <f t="shared" si="1033"/>
        <v/>
      </c>
    </row>
    <row r="62943" spans="8:8" x14ac:dyDescent="0.3">
      <c r="H62943" t="str">
        <f t="shared" si="1033"/>
        <v/>
      </c>
    </row>
    <row r="62944" spans="8:8" x14ac:dyDescent="0.3">
      <c r="H62944" t="str">
        <f t="shared" si="1033"/>
        <v/>
      </c>
    </row>
    <row r="62945" spans="8:8" x14ac:dyDescent="0.3">
      <c r="H62945" t="str">
        <f t="shared" si="1033"/>
        <v/>
      </c>
    </row>
    <row r="62946" spans="8:8" x14ac:dyDescent="0.3">
      <c r="H62946" t="str">
        <f t="shared" si="1033"/>
        <v/>
      </c>
    </row>
    <row r="62947" spans="8:8" x14ac:dyDescent="0.3">
      <c r="H62947" t="str">
        <f t="shared" si="1033"/>
        <v/>
      </c>
    </row>
    <row r="62948" spans="8:8" x14ac:dyDescent="0.3">
      <c r="H62948" t="str">
        <f t="shared" si="1033"/>
        <v/>
      </c>
    </row>
    <row r="62949" spans="8:8" x14ac:dyDescent="0.3">
      <c r="H62949" t="str">
        <f t="shared" si="1033"/>
        <v/>
      </c>
    </row>
    <row r="62950" spans="8:8" x14ac:dyDescent="0.3">
      <c r="H62950" t="str">
        <f t="shared" si="1033"/>
        <v/>
      </c>
    </row>
    <row r="62951" spans="8:8" x14ac:dyDescent="0.3">
      <c r="H62951" t="str">
        <f t="shared" si="1033"/>
        <v/>
      </c>
    </row>
    <row r="62952" spans="8:8" x14ac:dyDescent="0.3">
      <c r="H62952" t="str">
        <f t="shared" si="1033"/>
        <v/>
      </c>
    </row>
    <row r="62953" spans="8:8" x14ac:dyDescent="0.3">
      <c r="H62953" t="str">
        <f t="shared" si="1033"/>
        <v/>
      </c>
    </row>
    <row r="62954" spans="8:8" x14ac:dyDescent="0.3">
      <c r="H62954" t="str">
        <f t="shared" si="1033"/>
        <v/>
      </c>
    </row>
    <row r="62955" spans="8:8" x14ac:dyDescent="0.3">
      <c r="H62955" t="str">
        <f t="shared" si="1033"/>
        <v/>
      </c>
    </row>
    <row r="62956" spans="8:8" x14ac:dyDescent="0.3">
      <c r="H62956" t="str">
        <f t="shared" si="1033"/>
        <v/>
      </c>
    </row>
    <row r="62957" spans="8:8" x14ac:dyDescent="0.3">
      <c r="H62957" t="str">
        <f t="shared" si="1033"/>
        <v/>
      </c>
    </row>
    <row r="62958" spans="8:8" x14ac:dyDescent="0.3">
      <c r="H62958" t="str">
        <f t="shared" si="1033"/>
        <v/>
      </c>
    </row>
    <row r="62959" spans="8:8" x14ac:dyDescent="0.3">
      <c r="H62959" t="str">
        <f t="shared" si="1033"/>
        <v/>
      </c>
    </row>
    <row r="62960" spans="8:8" x14ac:dyDescent="0.3">
      <c r="H62960" t="str">
        <f t="shared" si="1033"/>
        <v/>
      </c>
    </row>
    <row r="62961" spans="8:8" x14ac:dyDescent="0.3">
      <c r="H62961" t="str">
        <f t="shared" si="1033"/>
        <v/>
      </c>
    </row>
    <row r="62962" spans="8:8" x14ac:dyDescent="0.3">
      <c r="H62962" t="str">
        <f t="shared" si="1033"/>
        <v/>
      </c>
    </row>
    <row r="62963" spans="8:8" x14ac:dyDescent="0.3">
      <c r="H62963" t="str">
        <f t="shared" si="1033"/>
        <v/>
      </c>
    </row>
    <row r="62964" spans="8:8" x14ac:dyDescent="0.3">
      <c r="H62964" t="str">
        <f t="shared" si="1033"/>
        <v/>
      </c>
    </row>
    <row r="62965" spans="8:8" x14ac:dyDescent="0.3">
      <c r="H62965" t="str">
        <f t="shared" si="1033"/>
        <v/>
      </c>
    </row>
    <row r="62966" spans="8:8" x14ac:dyDescent="0.3">
      <c r="H62966" t="str">
        <f t="shared" si="1033"/>
        <v/>
      </c>
    </row>
    <row r="62967" spans="8:8" x14ac:dyDescent="0.3">
      <c r="H62967" t="str">
        <f t="shared" si="1033"/>
        <v/>
      </c>
    </row>
    <row r="62968" spans="8:8" x14ac:dyDescent="0.3">
      <c r="H62968" t="str">
        <f t="shared" si="1033"/>
        <v/>
      </c>
    </row>
    <row r="62969" spans="8:8" x14ac:dyDescent="0.3">
      <c r="H62969" t="str">
        <f t="shared" si="1033"/>
        <v/>
      </c>
    </row>
    <row r="62970" spans="8:8" x14ac:dyDescent="0.3">
      <c r="H62970" t="str">
        <f t="shared" si="1033"/>
        <v/>
      </c>
    </row>
    <row r="62971" spans="8:8" x14ac:dyDescent="0.3">
      <c r="H62971" t="str">
        <f t="shared" si="1033"/>
        <v/>
      </c>
    </row>
    <row r="62972" spans="8:8" x14ac:dyDescent="0.3">
      <c r="H62972" t="str">
        <f t="shared" si="1033"/>
        <v/>
      </c>
    </row>
    <row r="62973" spans="8:8" x14ac:dyDescent="0.3">
      <c r="H62973" t="str">
        <f t="shared" si="1033"/>
        <v/>
      </c>
    </row>
    <row r="62974" spans="8:8" x14ac:dyDescent="0.3">
      <c r="H62974" t="str">
        <f t="shared" si="1033"/>
        <v/>
      </c>
    </row>
    <row r="62975" spans="8:8" x14ac:dyDescent="0.3">
      <c r="H62975" t="str">
        <f t="shared" si="1033"/>
        <v/>
      </c>
    </row>
    <row r="62976" spans="8:8" x14ac:dyDescent="0.3">
      <c r="H62976" t="str">
        <f t="shared" si="1033"/>
        <v/>
      </c>
    </row>
    <row r="62977" spans="8:8" x14ac:dyDescent="0.3">
      <c r="H62977" t="str">
        <f t="shared" si="1033"/>
        <v/>
      </c>
    </row>
    <row r="62978" spans="8:8" x14ac:dyDescent="0.3">
      <c r="H62978" t="str">
        <f t="shared" si="1033"/>
        <v/>
      </c>
    </row>
    <row r="62979" spans="8:8" x14ac:dyDescent="0.3">
      <c r="H62979" t="str">
        <f t="shared" si="1033"/>
        <v/>
      </c>
    </row>
    <row r="62980" spans="8:8" x14ac:dyDescent="0.3">
      <c r="H62980" t="str">
        <f t="shared" si="1033"/>
        <v/>
      </c>
    </row>
    <row r="62981" spans="8:8" x14ac:dyDescent="0.3">
      <c r="H62981" t="str">
        <f t="shared" si="1033"/>
        <v/>
      </c>
    </row>
    <row r="62982" spans="8:8" x14ac:dyDescent="0.3">
      <c r="H62982" t="str">
        <f t="shared" si="1033"/>
        <v/>
      </c>
    </row>
    <row r="62983" spans="8:8" x14ac:dyDescent="0.3">
      <c r="H62983" t="str">
        <f t="shared" si="1033"/>
        <v/>
      </c>
    </row>
    <row r="62984" spans="8:8" x14ac:dyDescent="0.3">
      <c r="H62984" t="str">
        <f t="shared" si="1033"/>
        <v/>
      </c>
    </row>
    <row r="62985" spans="8:8" x14ac:dyDescent="0.3">
      <c r="H62985" t="str">
        <f t="shared" si="1033"/>
        <v/>
      </c>
    </row>
    <row r="62986" spans="8:8" x14ac:dyDescent="0.3">
      <c r="H62986" t="str">
        <f t="shared" si="1033"/>
        <v/>
      </c>
    </row>
    <row r="62987" spans="8:8" x14ac:dyDescent="0.3">
      <c r="H62987" t="str">
        <f t="shared" si="1033"/>
        <v/>
      </c>
    </row>
    <row r="62988" spans="8:8" x14ac:dyDescent="0.3">
      <c r="H62988" t="str">
        <f t="shared" si="1033"/>
        <v/>
      </c>
    </row>
    <row r="62989" spans="8:8" x14ac:dyDescent="0.3">
      <c r="H62989" t="str">
        <f t="shared" si="1033"/>
        <v/>
      </c>
    </row>
    <row r="62990" spans="8:8" x14ac:dyDescent="0.3">
      <c r="H62990" t="str">
        <f t="shared" si="1033"/>
        <v/>
      </c>
    </row>
    <row r="62991" spans="8:8" x14ac:dyDescent="0.3">
      <c r="H62991" t="str">
        <f t="shared" si="1033"/>
        <v/>
      </c>
    </row>
    <row r="62992" spans="8:8" x14ac:dyDescent="0.3">
      <c r="H62992" t="str">
        <f t="shared" si="1033"/>
        <v/>
      </c>
    </row>
    <row r="62993" spans="8:8" x14ac:dyDescent="0.3">
      <c r="H62993" t="str">
        <f t="shared" si="1033"/>
        <v/>
      </c>
    </row>
    <row r="62994" spans="8:8" x14ac:dyDescent="0.3">
      <c r="H62994" t="str">
        <f t="shared" si="1033"/>
        <v/>
      </c>
    </row>
    <row r="62995" spans="8:8" x14ac:dyDescent="0.3">
      <c r="H62995" t="str">
        <f t="shared" si="1033"/>
        <v/>
      </c>
    </row>
    <row r="62996" spans="8:8" x14ac:dyDescent="0.3">
      <c r="H62996" t="str">
        <f t="shared" si="1033"/>
        <v/>
      </c>
    </row>
    <row r="62997" spans="8:8" x14ac:dyDescent="0.3">
      <c r="H62997" t="str">
        <f t="shared" si="1033"/>
        <v/>
      </c>
    </row>
    <row r="62998" spans="8:8" x14ac:dyDescent="0.3">
      <c r="H62998" t="str">
        <f t="shared" si="1033"/>
        <v/>
      </c>
    </row>
    <row r="62999" spans="8:8" x14ac:dyDescent="0.3">
      <c r="H62999" t="str">
        <f t="shared" ref="H62999:H63062" si="1034">IF(B62999="","",$C$12)</f>
        <v/>
      </c>
    </row>
    <row r="63000" spans="8:8" x14ac:dyDescent="0.3">
      <c r="H63000" t="str">
        <f t="shared" si="1034"/>
        <v/>
      </c>
    </row>
    <row r="63001" spans="8:8" x14ac:dyDescent="0.3">
      <c r="H63001" t="str">
        <f t="shared" si="1034"/>
        <v/>
      </c>
    </row>
    <row r="63002" spans="8:8" x14ac:dyDescent="0.3">
      <c r="H63002" t="str">
        <f t="shared" si="1034"/>
        <v/>
      </c>
    </row>
    <row r="63003" spans="8:8" x14ac:dyDescent="0.3">
      <c r="H63003" t="str">
        <f t="shared" si="1034"/>
        <v/>
      </c>
    </row>
    <row r="63004" spans="8:8" x14ac:dyDescent="0.3">
      <c r="H63004" t="str">
        <f t="shared" si="1034"/>
        <v/>
      </c>
    </row>
    <row r="63005" spans="8:8" x14ac:dyDescent="0.3">
      <c r="H63005" t="str">
        <f t="shared" si="1034"/>
        <v/>
      </c>
    </row>
    <row r="63006" spans="8:8" x14ac:dyDescent="0.3">
      <c r="H63006" t="str">
        <f t="shared" si="1034"/>
        <v/>
      </c>
    </row>
    <row r="63007" spans="8:8" x14ac:dyDescent="0.3">
      <c r="H63007" t="str">
        <f t="shared" si="1034"/>
        <v/>
      </c>
    </row>
    <row r="63008" spans="8:8" x14ac:dyDescent="0.3">
      <c r="H63008" t="str">
        <f t="shared" si="1034"/>
        <v/>
      </c>
    </row>
    <row r="63009" spans="8:8" x14ac:dyDescent="0.3">
      <c r="H63009" t="str">
        <f t="shared" si="1034"/>
        <v/>
      </c>
    </row>
    <row r="63010" spans="8:8" x14ac:dyDescent="0.3">
      <c r="H63010" t="str">
        <f t="shared" si="1034"/>
        <v/>
      </c>
    </row>
    <row r="63011" spans="8:8" x14ac:dyDescent="0.3">
      <c r="H63011" t="str">
        <f t="shared" si="1034"/>
        <v/>
      </c>
    </row>
    <row r="63012" spans="8:8" x14ac:dyDescent="0.3">
      <c r="H63012" t="str">
        <f t="shared" si="1034"/>
        <v/>
      </c>
    </row>
    <row r="63013" spans="8:8" x14ac:dyDescent="0.3">
      <c r="H63013" t="str">
        <f t="shared" si="1034"/>
        <v/>
      </c>
    </row>
    <row r="63014" spans="8:8" x14ac:dyDescent="0.3">
      <c r="H63014" t="str">
        <f t="shared" si="1034"/>
        <v/>
      </c>
    </row>
    <row r="63015" spans="8:8" x14ac:dyDescent="0.3">
      <c r="H63015" t="str">
        <f t="shared" si="1034"/>
        <v/>
      </c>
    </row>
    <row r="63016" spans="8:8" x14ac:dyDescent="0.3">
      <c r="H63016" t="str">
        <f t="shared" si="1034"/>
        <v/>
      </c>
    </row>
    <row r="63017" spans="8:8" x14ac:dyDescent="0.3">
      <c r="H63017" t="str">
        <f t="shared" si="1034"/>
        <v/>
      </c>
    </row>
    <row r="63018" spans="8:8" x14ac:dyDescent="0.3">
      <c r="H63018" t="str">
        <f t="shared" si="1034"/>
        <v/>
      </c>
    </row>
    <row r="63019" spans="8:8" x14ac:dyDescent="0.3">
      <c r="H63019" t="str">
        <f t="shared" si="1034"/>
        <v/>
      </c>
    </row>
    <row r="63020" spans="8:8" x14ac:dyDescent="0.3">
      <c r="H63020" t="str">
        <f t="shared" si="1034"/>
        <v/>
      </c>
    </row>
    <row r="63021" spans="8:8" x14ac:dyDescent="0.3">
      <c r="H63021" t="str">
        <f t="shared" si="1034"/>
        <v/>
      </c>
    </row>
    <row r="63022" spans="8:8" x14ac:dyDescent="0.3">
      <c r="H63022" t="str">
        <f t="shared" si="1034"/>
        <v/>
      </c>
    </row>
    <row r="63023" spans="8:8" x14ac:dyDescent="0.3">
      <c r="H63023" t="str">
        <f t="shared" si="1034"/>
        <v/>
      </c>
    </row>
    <row r="63024" spans="8:8" x14ac:dyDescent="0.3">
      <c r="H63024" t="str">
        <f t="shared" si="1034"/>
        <v/>
      </c>
    </row>
    <row r="63025" spans="8:8" x14ac:dyDescent="0.3">
      <c r="H63025" t="str">
        <f t="shared" si="1034"/>
        <v/>
      </c>
    </row>
    <row r="63026" spans="8:8" x14ac:dyDescent="0.3">
      <c r="H63026" t="str">
        <f t="shared" si="1034"/>
        <v/>
      </c>
    </row>
    <row r="63027" spans="8:8" x14ac:dyDescent="0.3">
      <c r="H63027" t="str">
        <f t="shared" si="1034"/>
        <v/>
      </c>
    </row>
    <row r="63028" spans="8:8" x14ac:dyDescent="0.3">
      <c r="H63028" t="str">
        <f t="shared" si="1034"/>
        <v/>
      </c>
    </row>
    <row r="63029" spans="8:8" x14ac:dyDescent="0.3">
      <c r="H63029" t="str">
        <f t="shared" si="1034"/>
        <v/>
      </c>
    </row>
    <row r="63030" spans="8:8" x14ac:dyDescent="0.3">
      <c r="H63030" t="str">
        <f t="shared" si="1034"/>
        <v/>
      </c>
    </row>
    <row r="63031" spans="8:8" x14ac:dyDescent="0.3">
      <c r="H63031" t="str">
        <f t="shared" si="1034"/>
        <v/>
      </c>
    </row>
    <row r="63032" spans="8:8" x14ac:dyDescent="0.3">
      <c r="H63032" t="str">
        <f t="shared" si="1034"/>
        <v/>
      </c>
    </row>
    <row r="63033" spans="8:8" x14ac:dyDescent="0.3">
      <c r="H63033" t="str">
        <f t="shared" si="1034"/>
        <v/>
      </c>
    </row>
    <row r="63034" spans="8:8" x14ac:dyDescent="0.3">
      <c r="H63034" t="str">
        <f t="shared" si="1034"/>
        <v/>
      </c>
    </row>
    <row r="63035" spans="8:8" x14ac:dyDescent="0.3">
      <c r="H63035" t="str">
        <f t="shared" si="1034"/>
        <v/>
      </c>
    </row>
    <row r="63036" spans="8:8" x14ac:dyDescent="0.3">
      <c r="H63036" t="str">
        <f t="shared" si="1034"/>
        <v/>
      </c>
    </row>
    <row r="63037" spans="8:8" x14ac:dyDescent="0.3">
      <c r="H63037" t="str">
        <f t="shared" si="1034"/>
        <v/>
      </c>
    </row>
    <row r="63038" spans="8:8" x14ac:dyDescent="0.3">
      <c r="H63038" t="str">
        <f t="shared" si="1034"/>
        <v/>
      </c>
    </row>
    <row r="63039" spans="8:8" x14ac:dyDescent="0.3">
      <c r="H63039" t="str">
        <f t="shared" si="1034"/>
        <v/>
      </c>
    </row>
    <row r="63040" spans="8:8" x14ac:dyDescent="0.3">
      <c r="H63040" t="str">
        <f t="shared" si="1034"/>
        <v/>
      </c>
    </row>
    <row r="63041" spans="8:8" x14ac:dyDescent="0.3">
      <c r="H63041" t="str">
        <f t="shared" si="1034"/>
        <v/>
      </c>
    </row>
    <row r="63042" spans="8:8" x14ac:dyDescent="0.3">
      <c r="H63042" t="str">
        <f t="shared" si="1034"/>
        <v/>
      </c>
    </row>
    <row r="63043" spans="8:8" x14ac:dyDescent="0.3">
      <c r="H63043" t="str">
        <f t="shared" si="1034"/>
        <v/>
      </c>
    </row>
    <row r="63044" spans="8:8" x14ac:dyDescent="0.3">
      <c r="H63044" t="str">
        <f t="shared" si="1034"/>
        <v/>
      </c>
    </row>
    <row r="63045" spans="8:8" x14ac:dyDescent="0.3">
      <c r="H63045" t="str">
        <f t="shared" si="1034"/>
        <v/>
      </c>
    </row>
    <row r="63046" spans="8:8" x14ac:dyDescent="0.3">
      <c r="H63046" t="str">
        <f t="shared" si="1034"/>
        <v/>
      </c>
    </row>
    <row r="63047" spans="8:8" x14ac:dyDescent="0.3">
      <c r="H63047" t="str">
        <f t="shared" si="1034"/>
        <v/>
      </c>
    </row>
    <row r="63048" spans="8:8" x14ac:dyDescent="0.3">
      <c r="H63048" t="str">
        <f t="shared" si="1034"/>
        <v/>
      </c>
    </row>
    <row r="63049" spans="8:8" x14ac:dyDescent="0.3">
      <c r="H63049" t="str">
        <f t="shared" si="1034"/>
        <v/>
      </c>
    </row>
    <row r="63050" spans="8:8" x14ac:dyDescent="0.3">
      <c r="H63050" t="str">
        <f t="shared" si="1034"/>
        <v/>
      </c>
    </row>
    <row r="63051" spans="8:8" x14ac:dyDescent="0.3">
      <c r="H63051" t="str">
        <f t="shared" si="1034"/>
        <v/>
      </c>
    </row>
    <row r="63052" spans="8:8" x14ac:dyDescent="0.3">
      <c r="H63052" t="str">
        <f t="shared" si="1034"/>
        <v/>
      </c>
    </row>
    <row r="63053" spans="8:8" x14ac:dyDescent="0.3">
      <c r="H63053" t="str">
        <f t="shared" si="1034"/>
        <v/>
      </c>
    </row>
    <row r="63054" spans="8:8" x14ac:dyDescent="0.3">
      <c r="H63054" t="str">
        <f t="shared" si="1034"/>
        <v/>
      </c>
    </row>
    <row r="63055" spans="8:8" x14ac:dyDescent="0.3">
      <c r="H63055" t="str">
        <f t="shared" si="1034"/>
        <v/>
      </c>
    </row>
    <row r="63056" spans="8:8" x14ac:dyDescent="0.3">
      <c r="H63056" t="str">
        <f t="shared" si="1034"/>
        <v/>
      </c>
    </row>
    <row r="63057" spans="8:8" x14ac:dyDescent="0.3">
      <c r="H63057" t="str">
        <f t="shared" si="1034"/>
        <v/>
      </c>
    </row>
    <row r="63058" spans="8:8" x14ac:dyDescent="0.3">
      <c r="H63058" t="str">
        <f t="shared" si="1034"/>
        <v/>
      </c>
    </row>
    <row r="63059" spans="8:8" x14ac:dyDescent="0.3">
      <c r="H63059" t="str">
        <f t="shared" si="1034"/>
        <v/>
      </c>
    </row>
    <row r="63060" spans="8:8" x14ac:dyDescent="0.3">
      <c r="H63060" t="str">
        <f t="shared" si="1034"/>
        <v/>
      </c>
    </row>
    <row r="63061" spans="8:8" x14ac:dyDescent="0.3">
      <c r="H63061" t="str">
        <f t="shared" si="1034"/>
        <v/>
      </c>
    </row>
    <row r="63062" spans="8:8" x14ac:dyDescent="0.3">
      <c r="H63062" t="str">
        <f t="shared" si="1034"/>
        <v/>
      </c>
    </row>
    <row r="63063" spans="8:8" x14ac:dyDescent="0.3">
      <c r="H63063" t="str">
        <f t="shared" ref="H63063:H63126" si="1035">IF(B63063="","",$C$12)</f>
        <v/>
      </c>
    </row>
    <row r="63064" spans="8:8" x14ac:dyDescent="0.3">
      <c r="H63064" t="str">
        <f t="shared" si="1035"/>
        <v/>
      </c>
    </row>
    <row r="63065" spans="8:8" x14ac:dyDescent="0.3">
      <c r="H63065" t="str">
        <f t="shared" si="1035"/>
        <v/>
      </c>
    </row>
    <row r="63066" spans="8:8" x14ac:dyDescent="0.3">
      <c r="H63066" t="str">
        <f t="shared" si="1035"/>
        <v/>
      </c>
    </row>
    <row r="63067" spans="8:8" x14ac:dyDescent="0.3">
      <c r="H63067" t="str">
        <f t="shared" si="1035"/>
        <v/>
      </c>
    </row>
    <row r="63068" spans="8:8" x14ac:dyDescent="0.3">
      <c r="H63068" t="str">
        <f t="shared" si="1035"/>
        <v/>
      </c>
    </row>
    <row r="63069" spans="8:8" x14ac:dyDescent="0.3">
      <c r="H63069" t="str">
        <f t="shared" si="1035"/>
        <v/>
      </c>
    </row>
    <row r="63070" spans="8:8" x14ac:dyDescent="0.3">
      <c r="H63070" t="str">
        <f t="shared" si="1035"/>
        <v/>
      </c>
    </row>
    <row r="63071" spans="8:8" x14ac:dyDescent="0.3">
      <c r="H63071" t="str">
        <f t="shared" si="1035"/>
        <v/>
      </c>
    </row>
    <row r="63072" spans="8:8" x14ac:dyDescent="0.3">
      <c r="H63072" t="str">
        <f t="shared" si="1035"/>
        <v/>
      </c>
    </row>
    <row r="63073" spans="8:8" x14ac:dyDescent="0.3">
      <c r="H63073" t="str">
        <f t="shared" si="1035"/>
        <v/>
      </c>
    </row>
    <row r="63074" spans="8:8" x14ac:dyDescent="0.3">
      <c r="H63074" t="str">
        <f t="shared" si="1035"/>
        <v/>
      </c>
    </row>
    <row r="63075" spans="8:8" x14ac:dyDescent="0.3">
      <c r="H63075" t="str">
        <f t="shared" si="1035"/>
        <v/>
      </c>
    </row>
    <row r="63076" spans="8:8" x14ac:dyDescent="0.3">
      <c r="H63076" t="str">
        <f t="shared" si="1035"/>
        <v/>
      </c>
    </row>
    <row r="63077" spans="8:8" x14ac:dyDescent="0.3">
      <c r="H63077" t="str">
        <f t="shared" si="1035"/>
        <v/>
      </c>
    </row>
    <row r="63078" spans="8:8" x14ac:dyDescent="0.3">
      <c r="H63078" t="str">
        <f t="shared" si="1035"/>
        <v/>
      </c>
    </row>
    <row r="63079" spans="8:8" x14ac:dyDescent="0.3">
      <c r="H63079" t="str">
        <f t="shared" si="1035"/>
        <v/>
      </c>
    </row>
    <row r="63080" spans="8:8" x14ac:dyDescent="0.3">
      <c r="H63080" t="str">
        <f t="shared" si="1035"/>
        <v/>
      </c>
    </row>
    <row r="63081" spans="8:8" x14ac:dyDescent="0.3">
      <c r="H63081" t="str">
        <f t="shared" si="1035"/>
        <v/>
      </c>
    </row>
    <row r="63082" spans="8:8" x14ac:dyDescent="0.3">
      <c r="H63082" t="str">
        <f t="shared" si="1035"/>
        <v/>
      </c>
    </row>
    <row r="63083" spans="8:8" x14ac:dyDescent="0.3">
      <c r="H63083" t="str">
        <f t="shared" si="1035"/>
        <v/>
      </c>
    </row>
    <row r="63084" spans="8:8" x14ac:dyDescent="0.3">
      <c r="H63084" t="str">
        <f t="shared" si="1035"/>
        <v/>
      </c>
    </row>
    <row r="63085" spans="8:8" x14ac:dyDescent="0.3">
      <c r="H63085" t="str">
        <f t="shared" si="1035"/>
        <v/>
      </c>
    </row>
    <row r="63086" spans="8:8" x14ac:dyDescent="0.3">
      <c r="H63086" t="str">
        <f t="shared" si="1035"/>
        <v/>
      </c>
    </row>
    <row r="63087" spans="8:8" x14ac:dyDescent="0.3">
      <c r="H63087" t="str">
        <f t="shared" si="1035"/>
        <v/>
      </c>
    </row>
    <row r="63088" spans="8:8" x14ac:dyDescent="0.3">
      <c r="H63088" t="str">
        <f t="shared" si="1035"/>
        <v/>
      </c>
    </row>
    <row r="63089" spans="8:8" x14ac:dyDescent="0.3">
      <c r="H63089" t="str">
        <f t="shared" si="1035"/>
        <v/>
      </c>
    </row>
    <row r="63090" spans="8:8" x14ac:dyDescent="0.3">
      <c r="H63090" t="str">
        <f t="shared" si="1035"/>
        <v/>
      </c>
    </row>
    <row r="63091" spans="8:8" x14ac:dyDescent="0.3">
      <c r="H63091" t="str">
        <f t="shared" si="1035"/>
        <v/>
      </c>
    </row>
    <row r="63092" spans="8:8" x14ac:dyDescent="0.3">
      <c r="H63092" t="str">
        <f t="shared" si="1035"/>
        <v/>
      </c>
    </row>
    <row r="63093" spans="8:8" x14ac:dyDescent="0.3">
      <c r="H63093" t="str">
        <f t="shared" si="1035"/>
        <v/>
      </c>
    </row>
    <row r="63094" spans="8:8" x14ac:dyDescent="0.3">
      <c r="H63094" t="str">
        <f t="shared" si="1035"/>
        <v/>
      </c>
    </row>
    <row r="63095" spans="8:8" x14ac:dyDescent="0.3">
      <c r="H63095" t="str">
        <f t="shared" si="1035"/>
        <v/>
      </c>
    </row>
    <row r="63096" spans="8:8" x14ac:dyDescent="0.3">
      <c r="H63096" t="str">
        <f t="shared" si="1035"/>
        <v/>
      </c>
    </row>
    <row r="63097" spans="8:8" x14ac:dyDescent="0.3">
      <c r="H63097" t="str">
        <f t="shared" si="1035"/>
        <v/>
      </c>
    </row>
    <row r="63098" spans="8:8" x14ac:dyDescent="0.3">
      <c r="H63098" t="str">
        <f t="shared" si="1035"/>
        <v/>
      </c>
    </row>
    <row r="63099" spans="8:8" x14ac:dyDescent="0.3">
      <c r="H63099" t="str">
        <f t="shared" si="1035"/>
        <v/>
      </c>
    </row>
    <row r="63100" spans="8:8" x14ac:dyDescent="0.3">
      <c r="H63100" t="str">
        <f t="shared" si="1035"/>
        <v/>
      </c>
    </row>
    <row r="63101" spans="8:8" x14ac:dyDescent="0.3">
      <c r="H63101" t="str">
        <f t="shared" si="1035"/>
        <v/>
      </c>
    </row>
    <row r="63102" spans="8:8" x14ac:dyDescent="0.3">
      <c r="H63102" t="str">
        <f t="shared" si="1035"/>
        <v/>
      </c>
    </row>
    <row r="63103" spans="8:8" x14ac:dyDescent="0.3">
      <c r="H63103" t="str">
        <f t="shared" si="1035"/>
        <v/>
      </c>
    </row>
    <row r="63104" spans="8:8" x14ac:dyDescent="0.3">
      <c r="H63104" t="str">
        <f t="shared" si="1035"/>
        <v/>
      </c>
    </row>
    <row r="63105" spans="8:8" x14ac:dyDescent="0.3">
      <c r="H63105" t="str">
        <f t="shared" si="1035"/>
        <v/>
      </c>
    </row>
    <row r="63106" spans="8:8" x14ac:dyDescent="0.3">
      <c r="H63106" t="str">
        <f t="shared" si="1035"/>
        <v/>
      </c>
    </row>
    <row r="63107" spans="8:8" x14ac:dyDescent="0.3">
      <c r="H63107" t="str">
        <f t="shared" si="1035"/>
        <v/>
      </c>
    </row>
    <row r="63108" spans="8:8" x14ac:dyDescent="0.3">
      <c r="H63108" t="str">
        <f t="shared" si="1035"/>
        <v/>
      </c>
    </row>
    <row r="63109" spans="8:8" x14ac:dyDescent="0.3">
      <c r="H63109" t="str">
        <f t="shared" si="1035"/>
        <v/>
      </c>
    </row>
    <row r="63110" spans="8:8" x14ac:dyDescent="0.3">
      <c r="H63110" t="str">
        <f t="shared" si="1035"/>
        <v/>
      </c>
    </row>
    <row r="63111" spans="8:8" x14ac:dyDescent="0.3">
      <c r="H63111" t="str">
        <f t="shared" si="1035"/>
        <v/>
      </c>
    </row>
    <row r="63112" spans="8:8" x14ac:dyDescent="0.3">
      <c r="H63112" t="str">
        <f t="shared" si="1035"/>
        <v/>
      </c>
    </row>
    <row r="63113" spans="8:8" x14ac:dyDescent="0.3">
      <c r="H63113" t="str">
        <f t="shared" si="1035"/>
        <v/>
      </c>
    </row>
    <row r="63114" spans="8:8" x14ac:dyDescent="0.3">
      <c r="H63114" t="str">
        <f t="shared" si="1035"/>
        <v/>
      </c>
    </row>
    <row r="63115" spans="8:8" x14ac:dyDescent="0.3">
      <c r="H63115" t="str">
        <f t="shared" si="1035"/>
        <v/>
      </c>
    </row>
    <row r="63116" spans="8:8" x14ac:dyDescent="0.3">
      <c r="H63116" t="str">
        <f t="shared" si="1035"/>
        <v/>
      </c>
    </row>
    <row r="63117" spans="8:8" x14ac:dyDescent="0.3">
      <c r="H63117" t="str">
        <f t="shared" si="1035"/>
        <v/>
      </c>
    </row>
    <row r="63118" spans="8:8" x14ac:dyDescent="0.3">
      <c r="H63118" t="str">
        <f t="shared" si="1035"/>
        <v/>
      </c>
    </row>
    <row r="63119" spans="8:8" x14ac:dyDescent="0.3">
      <c r="H63119" t="str">
        <f t="shared" si="1035"/>
        <v/>
      </c>
    </row>
    <row r="63120" spans="8:8" x14ac:dyDescent="0.3">
      <c r="H63120" t="str">
        <f t="shared" si="1035"/>
        <v/>
      </c>
    </row>
    <row r="63121" spans="8:8" x14ac:dyDescent="0.3">
      <c r="H63121" t="str">
        <f t="shared" si="1035"/>
        <v/>
      </c>
    </row>
    <row r="63122" spans="8:8" x14ac:dyDescent="0.3">
      <c r="H63122" t="str">
        <f t="shared" si="1035"/>
        <v/>
      </c>
    </row>
    <row r="63123" spans="8:8" x14ac:dyDescent="0.3">
      <c r="H63123" t="str">
        <f t="shared" si="1035"/>
        <v/>
      </c>
    </row>
    <row r="63124" spans="8:8" x14ac:dyDescent="0.3">
      <c r="H63124" t="str">
        <f t="shared" si="1035"/>
        <v/>
      </c>
    </row>
    <row r="63125" spans="8:8" x14ac:dyDescent="0.3">
      <c r="H63125" t="str">
        <f t="shared" si="1035"/>
        <v/>
      </c>
    </row>
    <row r="63126" spans="8:8" x14ac:dyDescent="0.3">
      <c r="H63126" t="str">
        <f t="shared" si="1035"/>
        <v/>
      </c>
    </row>
    <row r="63127" spans="8:8" x14ac:dyDescent="0.3">
      <c r="H63127" t="str">
        <f t="shared" ref="H63127:H63190" si="1036">IF(B63127="","",$C$12)</f>
        <v/>
      </c>
    </row>
    <row r="63128" spans="8:8" x14ac:dyDescent="0.3">
      <c r="H63128" t="str">
        <f t="shared" si="1036"/>
        <v/>
      </c>
    </row>
    <row r="63129" spans="8:8" x14ac:dyDescent="0.3">
      <c r="H63129" t="str">
        <f t="shared" si="1036"/>
        <v/>
      </c>
    </row>
    <row r="63130" spans="8:8" x14ac:dyDescent="0.3">
      <c r="H63130" t="str">
        <f t="shared" si="1036"/>
        <v/>
      </c>
    </row>
    <row r="63131" spans="8:8" x14ac:dyDescent="0.3">
      <c r="H63131" t="str">
        <f t="shared" si="1036"/>
        <v/>
      </c>
    </row>
    <row r="63132" spans="8:8" x14ac:dyDescent="0.3">
      <c r="H63132" t="str">
        <f t="shared" si="1036"/>
        <v/>
      </c>
    </row>
    <row r="63133" spans="8:8" x14ac:dyDescent="0.3">
      <c r="H63133" t="str">
        <f t="shared" si="1036"/>
        <v/>
      </c>
    </row>
    <row r="63134" spans="8:8" x14ac:dyDescent="0.3">
      <c r="H63134" t="str">
        <f t="shared" si="1036"/>
        <v/>
      </c>
    </row>
    <row r="63135" spans="8:8" x14ac:dyDescent="0.3">
      <c r="H63135" t="str">
        <f t="shared" si="1036"/>
        <v/>
      </c>
    </row>
    <row r="63136" spans="8:8" x14ac:dyDescent="0.3">
      <c r="H63136" t="str">
        <f t="shared" si="1036"/>
        <v/>
      </c>
    </row>
    <row r="63137" spans="8:8" x14ac:dyDescent="0.3">
      <c r="H63137" t="str">
        <f t="shared" si="1036"/>
        <v/>
      </c>
    </row>
    <row r="63138" spans="8:8" x14ac:dyDescent="0.3">
      <c r="H63138" t="str">
        <f t="shared" si="1036"/>
        <v/>
      </c>
    </row>
    <row r="63139" spans="8:8" x14ac:dyDescent="0.3">
      <c r="H63139" t="str">
        <f t="shared" si="1036"/>
        <v/>
      </c>
    </row>
    <row r="63140" spans="8:8" x14ac:dyDescent="0.3">
      <c r="H63140" t="str">
        <f t="shared" si="1036"/>
        <v/>
      </c>
    </row>
    <row r="63141" spans="8:8" x14ac:dyDescent="0.3">
      <c r="H63141" t="str">
        <f t="shared" si="1036"/>
        <v/>
      </c>
    </row>
    <row r="63142" spans="8:8" x14ac:dyDescent="0.3">
      <c r="H63142" t="str">
        <f t="shared" si="1036"/>
        <v/>
      </c>
    </row>
    <row r="63143" spans="8:8" x14ac:dyDescent="0.3">
      <c r="H63143" t="str">
        <f t="shared" si="1036"/>
        <v/>
      </c>
    </row>
    <row r="63144" spans="8:8" x14ac:dyDescent="0.3">
      <c r="H63144" t="str">
        <f t="shared" si="1036"/>
        <v/>
      </c>
    </row>
    <row r="63145" spans="8:8" x14ac:dyDescent="0.3">
      <c r="H63145" t="str">
        <f t="shared" si="1036"/>
        <v/>
      </c>
    </row>
    <row r="63146" spans="8:8" x14ac:dyDescent="0.3">
      <c r="H63146" t="str">
        <f t="shared" si="1036"/>
        <v/>
      </c>
    </row>
    <row r="63147" spans="8:8" x14ac:dyDescent="0.3">
      <c r="H63147" t="str">
        <f t="shared" si="1036"/>
        <v/>
      </c>
    </row>
    <row r="63148" spans="8:8" x14ac:dyDescent="0.3">
      <c r="H63148" t="str">
        <f t="shared" si="1036"/>
        <v/>
      </c>
    </row>
    <row r="63149" spans="8:8" x14ac:dyDescent="0.3">
      <c r="H63149" t="str">
        <f t="shared" si="1036"/>
        <v/>
      </c>
    </row>
    <row r="63150" spans="8:8" x14ac:dyDescent="0.3">
      <c r="H63150" t="str">
        <f t="shared" si="1036"/>
        <v/>
      </c>
    </row>
    <row r="63151" spans="8:8" x14ac:dyDescent="0.3">
      <c r="H63151" t="str">
        <f t="shared" si="1036"/>
        <v/>
      </c>
    </row>
    <row r="63152" spans="8:8" x14ac:dyDescent="0.3">
      <c r="H63152" t="str">
        <f t="shared" si="1036"/>
        <v/>
      </c>
    </row>
    <row r="63153" spans="8:8" x14ac:dyDescent="0.3">
      <c r="H63153" t="str">
        <f t="shared" si="1036"/>
        <v/>
      </c>
    </row>
    <row r="63154" spans="8:8" x14ac:dyDescent="0.3">
      <c r="H63154" t="str">
        <f t="shared" si="1036"/>
        <v/>
      </c>
    </row>
    <row r="63155" spans="8:8" x14ac:dyDescent="0.3">
      <c r="H63155" t="str">
        <f t="shared" si="1036"/>
        <v/>
      </c>
    </row>
    <row r="63156" spans="8:8" x14ac:dyDescent="0.3">
      <c r="H63156" t="str">
        <f t="shared" si="1036"/>
        <v/>
      </c>
    </row>
    <row r="63157" spans="8:8" x14ac:dyDescent="0.3">
      <c r="H63157" t="str">
        <f t="shared" si="1036"/>
        <v/>
      </c>
    </row>
    <row r="63158" spans="8:8" x14ac:dyDescent="0.3">
      <c r="H63158" t="str">
        <f t="shared" si="1036"/>
        <v/>
      </c>
    </row>
    <row r="63159" spans="8:8" x14ac:dyDescent="0.3">
      <c r="H63159" t="str">
        <f t="shared" si="1036"/>
        <v/>
      </c>
    </row>
    <row r="63160" spans="8:8" x14ac:dyDescent="0.3">
      <c r="H63160" t="str">
        <f t="shared" si="1036"/>
        <v/>
      </c>
    </row>
    <row r="63161" spans="8:8" x14ac:dyDescent="0.3">
      <c r="H63161" t="str">
        <f t="shared" si="1036"/>
        <v/>
      </c>
    </row>
    <row r="63162" spans="8:8" x14ac:dyDescent="0.3">
      <c r="H63162" t="str">
        <f t="shared" si="1036"/>
        <v/>
      </c>
    </row>
    <row r="63163" spans="8:8" x14ac:dyDescent="0.3">
      <c r="H63163" t="str">
        <f t="shared" si="1036"/>
        <v/>
      </c>
    </row>
    <row r="63164" spans="8:8" x14ac:dyDescent="0.3">
      <c r="H63164" t="str">
        <f t="shared" si="1036"/>
        <v/>
      </c>
    </row>
    <row r="63165" spans="8:8" x14ac:dyDescent="0.3">
      <c r="H63165" t="str">
        <f t="shared" si="1036"/>
        <v/>
      </c>
    </row>
    <row r="63166" spans="8:8" x14ac:dyDescent="0.3">
      <c r="H63166" t="str">
        <f t="shared" si="1036"/>
        <v/>
      </c>
    </row>
    <row r="63167" spans="8:8" x14ac:dyDescent="0.3">
      <c r="H63167" t="str">
        <f t="shared" si="1036"/>
        <v/>
      </c>
    </row>
    <row r="63168" spans="8:8" x14ac:dyDescent="0.3">
      <c r="H63168" t="str">
        <f t="shared" si="1036"/>
        <v/>
      </c>
    </row>
    <row r="63169" spans="8:8" x14ac:dyDescent="0.3">
      <c r="H63169" t="str">
        <f t="shared" si="1036"/>
        <v/>
      </c>
    </row>
    <row r="63170" spans="8:8" x14ac:dyDescent="0.3">
      <c r="H63170" t="str">
        <f t="shared" si="1036"/>
        <v/>
      </c>
    </row>
    <row r="63171" spans="8:8" x14ac:dyDescent="0.3">
      <c r="H63171" t="str">
        <f t="shared" si="1036"/>
        <v/>
      </c>
    </row>
    <row r="63172" spans="8:8" x14ac:dyDescent="0.3">
      <c r="H63172" t="str">
        <f t="shared" si="1036"/>
        <v/>
      </c>
    </row>
    <row r="63173" spans="8:8" x14ac:dyDescent="0.3">
      <c r="H63173" t="str">
        <f t="shared" si="1036"/>
        <v/>
      </c>
    </row>
    <row r="63174" spans="8:8" x14ac:dyDescent="0.3">
      <c r="H63174" t="str">
        <f t="shared" si="1036"/>
        <v/>
      </c>
    </row>
    <row r="63175" spans="8:8" x14ac:dyDescent="0.3">
      <c r="H63175" t="str">
        <f t="shared" si="1036"/>
        <v/>
      </c>
    </row>
    <row r="63176" spans="8:8" x14ac:dyDescent="0.3">
      <c r="H63176" t="str">
        <f t="shared" si="1036"/>
        <v/>
      </c>
    </row>
    <row r="63177" spans="8:8" x14ac:dyDescent="0.3">
      <c r="H63177" t="str">
        <f t="shared" si="1036"/>
        <v/>
      </c>
    </row>
    <row r="63178" spans="8:8" x14ac:dyDescent="0.3">
      <c r="H63178" t="str">
        <f t="shared" si="1036"/>
        <v/>
      </c>
    </row>
    <row r="63179" spans="8:8" x14ac:dyDescent="0.3">
      <c r="H63179" t="str">
        <f t="shared" si="1036"/>
        <v/>
      </c>
    </row>
    <row r="63180" spans="8:8" x14ac:dyDescent="0.3">
      <c r="H63180" t="str">
        <f t="shared" si="1036"/>
        <v/>
      </c>
    </row>
    <row r="63181" spans="8:8" x14ac:dyDescent="0.3">
      <c r="H63181" t="str">
        <f t="shared" si="1036"/>
        <v/>
      </c>
    </row>
    <row r="63182" spans="8:8" x14ac:dyDescent="0.3">
      <c r="H63182" t="str">
        <f t="shared" si="1036"/>
        <v/>
      </c>
    </row>
    <row r="63183" spans="8:8" x14ac:dyDescent="0.3">
      <c r="H63183" t="str">
        <f t="shared" si="1036"/>
        <v/>
      </c>
    </row>
    <row r="63184" spans="8:8" x14ac:dyDescent="0.3">
      <c r="H63184" t="str">
        <f t="shared" si="1036"/>
        <v/>
      </c>
    </row>
    <row r="63185" spans="8:8" x14ac:dyDescent="0.3">
      <c r="H63185" t="str">
        <f t="shared" si="1036"/>
        <v/>
      </c>
    </row>
    <row r="63186" spans="8:8" x14ac:dyDescent="0.3">
      <c r="H63186" t="str">
        <f t="shared" si="1036"/>
        <v/>
      </c>
    </row>
    <row r="63187" spans="8:8" x14ac:dyDescent="0.3">
      <c r="H63187" t="str">
        <f t="shared" si="1036"/>
        <v/>
      </c>
    </row>
    <row r="63188" spans="8:8" x14ac:dyDescent="0.3">
      <c r="H63188" t="str">
        <f t="shared" si="1036"/>
        <v/>
      </c>
    </row>
    <row r="63189" spans="8:8" x14ac:dyDescent="0.3">
      <c r="H63189" t="str">
        <f t="shared" si="1036"/>
        <v/>
      </c>
    </row>
    <row r="63190" spans="8:8" x14ac:dyDescent="0.3">
      <c r="H63190" t="str">
        <f t="shared" si="1036"/>
        <v/>
      </c>
    </row>
    <row r="63191" spans="8:8" x14ac:dyDescent="0.3">
      <c r="H63191" t="str">
        <f t="shared" ref="H63191:H63254" si="1037">IF(B63191="","",$C$12)</f>
        <v/>
      </c>
    </row>
    <row r="63192" spans="8:8" x14ac:dyDescent="0.3">
      <c r="H63192" t="str">
        <f t="shared" si="1037"/>
        <v/>
      </c>
    </row>
    <row r="63193" spans="8:8" x14ac:dyDescent="0.3">
      <c r="H63193" t="str">
        <f t="shared" si="1037"/>
        <v/>
      </c>
    </row>
    <row r="63194" spans="8:8" x14ac:dyDescent="0.3">
      <c r="H63194" t="str">
        <f t="shared" si="1037"/>
        <v/>
      </c>
    </row>
    <row r="63195" spans="8:8" x14ac:dyDescent="0.3">
      <c r="H63195" t="str">
        <f t="shared" si="1037"/>
        <v/>
      </c>
    </row>
    <row r="63196" spans="8:8" x14ac:dyDescent="0.3">
      <c r="H63196" t="str">
        <f t="shared" si="1037"/>
        <v/>
      </c>
    </row>
    <row r="63197" spans="8:8" x14ac:dyDescent="0.3">
      <c r="H63197" t="str">
        <f t="shared" si="1037"/>
        <v/>
      </c>
    </row>
    <row r="63198" spans="8:8" x14ac:dyDescent="0.3">
      <c r="H63198" t="str">
        <f t="shared" si="1037"/>
        <v/>
      </c>
    </row>
    <row r="63199" spans="8:8" x14ac:dyDescent="0.3">
      <c r="H63199" t="str">
        <f t="shared" si="1037"/>
        <v/>
      </c>
    </row>
    <row r="63200" spans="8:8" x14ac:dyDescent="0.3">
      <c r="H63200" t="str">
        <f t="shared" si="1037"/>
        <v/>
      </c>
    </row>
    <row r="63201" spans="8:8" x14ac:dyDescent="0.3">
      <c r="H63201" t="str">
        <f t="shared" si="1037"/>
        <v/>
      </c>
    </row>
    <row r="63202" spans="8:8" x14ac:dyDescent="0.3">
      <c r="H63202" t="str">
        <f t="shared" si="1037"/>
        <v/>
      </c>
    </row>
    <row r="63203" spans="8:8" x14ac:dyDescent="0.3">
      <c r="H63203" t="str">
        <f t="shared" si="1037"/>
        <v/>
      </c>
    </row>
    <row r="63204" spans="8:8" x14ac:dyDescent="0.3">
      <c r="H63204" t="str">
        <f t="shared" si="1037"/>
        <v/>
      </c>
    </row>
    <row r="63205" spans="8:8" x14ac:dyDescent="0.3">
      <c r="H63205" t="str">
        <f t="shared" si="1037"/>
        <v/>
      </c>
    </row>
    <row r="63206" spans="8:8" x14ac:dyDescent="0.3">
      <c r="H63206" t="str">
        <f t="shared" si="1037"/>
        <v/>
      </c>
    </row>
    <row r="63207" spans="8:8" x14ac:dyDescent="0.3">
      <c r="H63207" t="str">
        <f t="shared" si="1037"/>
        <v/>
      </c>
    </row>
    <row r="63208" spans="8:8" x14ac:dyDescent="0.3">
      <c r="H63208" t="str">
        <f t="shared" si="1037"/>
        <v/>
      </c>
    </row>
    <row r="63209" spans="8:8" x14ac:dyDescent="0.3">
      <c r="H63209" t="str">
        <f t="shared" si="1037"/>
        <v/>
      </c>
    </row>
    <row r="63210" spans="8:8" x14ac:dyDescent="0.3">
      <c r="H63210" t="str">
        <f t="shared" si="1037"/>
        <v/>
      </c>
    </row>
    <row r="63211" spans="8:8" x14ac:dyDescent="0.3">
      <c r="H63211" t="str">
        <f t="shared" si="1037"/>
        <v/>
      </c>
    </row>
    <row r="63212" spans="8:8" x14ac:dyDescent="0.3">
      <c r="H63212" t="str">
        <f t="shared" si="1037"/>
        <v/>
      </c>
    </row>
    <row r="63213" spans="8:8" x14ac:dyDescent="0.3">
      <c r="H63213" t="str">
        <f t="shared" si="1037"/>
        <v/>
      </c>
    </row>
    <row r="63214" spans="8:8" x14ac:dyDescent="0.3">
      <c r="H63214" t="str">
        <f t="shared" si="1037"/>
        <v/>
      </c>
    </row>
    <row r="63215" spans="8:8" x14ac:dyDescent="0.3">
      <c r="H63215" t="str">
        <f t="shared" si="1037"/>
        <v/>
      </c>
    </row>
    <row r="63216" spans="8:8" x14ac:dyDescent="0.3">
      <c r="H63216" t="str">
        <f t="shared" si="1037"/>
        <v/>
      </c>
    </row>
    <row r="63217" spans="8:8" x14ac:dyDescent="0.3">
      <c r="H63217" t="str">
        <f t="shared" si="1037"/>
        <v/>
      </c>
    </row>
    <row r="63218" spans="8:8" x14ac:dyDescent="0.3">
      <c r="H63218" t="str">
        <f t="shared" si="1037"/>
        <v/>
      </c>
    </row>
    <row r="63219" spans="8:8" x14ac:dyDescent="0.3">
      <c r="H63219" t="str">
        <f t="shared" si="1037"/>
        <v/>
      </c>
    </row>
    <row r="63220" spans="8:8" x14ac:dyDescent="0.3">
      <c r="H63220" t="str">
        <f t="shared" si="1037"/>
        <v/>
      </c>
    </row>
    <row r="63221" spans="8:8" x14ac:dyDescent="0.3">
      <c r="H63221" t="str">
        <f t="shared" si="1037"/>
        <v/>
      </c>
    </row>
    <row r="63222" spans="8:8" x14ac:dyDescent="0.3">
      <c r="H63222" t="str">
        <f t="shared" si="1037"/>
        <v/>
      </c>
    </row>
    <row r="63223" spans="8:8" x14ac:dyDescent="0.3">
      <c r="H63223" t="str">
        <f t="shared" si="1037"/>
        <v/>
      </c>
    </row>
    <row r="63224" spans="8:8" x14ac:dyDescent="0.3">
      <c r="H63224" t="str">
        <f t="shared" si="1037"/>
        <v/>
      </c>
    </row>
    <row r="63225" spans="8:8" x14ac:dyDescent="0.3">
      <c r="H63225" t="str">
        <f t="shared" si="1037"/>
        <v/>
      </c>
    </row>
    <row r="63226" spans="8:8" x14ac:dyDescent="0.3">
      <c r="H63226" t="str">
        <f t="shared" si="1037"/>
        <v/>
      </c>
    </row>
    <row r="63227" spans="8:8" x14ac:dyDescent="0.3">
      <c r="H63227" t="str">
        <f t="shared" si="1037"/>
        <v/>
      </c>
    </row>
    <row r="63228" spans="8:8" x14ac:dyDescent="0.3">
      <c r="H63228" t="str">
        <f t="shared" si="1037"/>
        <v/>
      </c>
    </row>
    <row r="63229" spans="8:8" x14ac:dyDescent="0.3">
      <c r="H63229" t="str">
        <f t="shared" si="1037"/>
        <v/>
      </c>
    </row>
    <row r="63230" spans="8:8" x14ac:dyDescent="0.3">
      <c r="H63230" t="str">
        <f t="shared" si="1037"/>
        <v/>
      </c>
    </row>
    <row r="63231" spans="8:8" x14ac:dyDescent="0.3">
      <c r="H63231" t="str">
        <f t="shared" si="1037"/>
        <v/>
      </c>
    </row>
    <row r="63232" spans="8:8" x14ac:dyDescent="0.3">
      <c r="H63232" t="str">
        <f t="shared" si="1037"/>
        <v/>
      </c>
    </row>
    <row r="63233" spans="8:8" x14ac:dyDescent="0.3">
      <c r="H63233" t="str">
        <f t="shared" si="1037"/>
        <v/>
      </c>
    </row>
    <row r="63234" spans="8:8" x14ac:dyDescent="0.3">
      <c r="H63234" t="str">
        <f t="shared" si="1037"/>
        <v/>
      </c>
    </row>
    <row r="63235" spans="8:8" x14ac:dyDescent="0.3">
      <c r="H63235" t="str">
        <f t="shared" si="1037"/>
        <v/>
      </c>
    </row>
    <row r="63236" spans="8:8" x14ac:dyDescent="0.3">
      <c r="H63236" t="str">
        <f t="shared" si="1037"/>
        <v/>
      </c>
    </row>
    <row r="63237" spans="8:8" x14ac:dyDescent="0.3">
      <c r="H63237" t="str">
        <f t="shared" si="1037"/>
        <v/>
      </c>
    </row>
    <row r="63238" spans="8:8" x14ac:dyDescent="0.3">
      <c r="H63238" t="str">
        <f t="shared" si="1037"/>
        <v/>
      </c>
    </row>
    <row r="63239" spans="8:8" x14ac:dyDescent="0.3">
      <c r="H63239" t="str">
        <f t="shared" si="1037"/>
        <v/>
      </c>
    </row>
    <row r="63240" spans="8:8" x14ac:dyDescent="0.3">
      <c r="H63240" t="str">
        <f t="shared" si="1037"/>
        <v/>
      </c>
    </row>
    <row r="63241" spans="8:8" x14ac:dyDescent="0.3">
      <c r="H63241" t="str">
        <f t="shared" si="1037"/>
        <v/>
      </c>
    </row>
    <row r="63242" spans="8:8" x14ac:dyDescent="0.3">
      <c r="H63242" t="str">
        <f t="shared" si="1037"/>
        <v/>
      </c>
    </row>
    <row r="63243" spans="8:8" x14ac:dyDescent="0.3">
      <c r="H63243" t="str">
        <f t="shared" si="1037"/>
        <v/>
      </c>
    </row>
    <row r="63244" spans="8:8" x14ac:dyDescent="0.3">
      <c r="H63244" t="str">
        <f t="shared" si="1037"/>
        <v/>
      </c>
    </row>
    <row r="63245" spans="8:8" x14ac:dyDescent="0.3">
      <c r="H63245" t="str">
        <f t="shared" si="1037"/>
        <v/>
      </c>
    </row>
    <row r="63246" spans="8:8" x14ac:dyDescent="0.3">
      <c r="H63246" t="str">
        <f t="shared" si="1037"/>
        <v/>
      </c>
    </row>
    <row r="63247" spans="8:8" x14ac:dyDescent="0.3">
      <c r="H63247" t="str">
        <f t="shared" si="1037"/>
        <v/>
      </c>
    </row>
    <row r="63248" spans="8:8" x14ac:dyDescent="0.3">
      <c r="H63248" t="str">
        <f t="shared" si="1037"/>
        <v/>
      </c>
    </row>
    <row r="63249" spans="8:8" x14ac:dyDescent="0.3">
      <c r="H63249" t="str">
        <f t="shared" si="1037"/>
        <v/>
      </c>
    </row>
    <row r="63250" spans="8:8" x14ac:dyDescent="0.3">
      <c r="H63250" t="str">
        <f t="shared" si="1037"/>
        <v/>
      </c>
    </row>
    <row r="63251" spans="8:8" x14ac:dyDescent="0.3">
      <c r="H63251" t="str">
        <f t="shared" si="1037"/>
        <v/>
      </c>
    </row>
    <row r="63252" spans="8:8" x14ac:dyDescent="0.3">
      <c r="H63252" t="str">
        <f t="shared" si="1037"/>
        <v/>
      </c>
    </row>
    <row r="63253" spans="8:8" x14ac:dyDescent="0.3">
      <c r="H63253" t="str">
        <f t="shared" si="1037"/>
        <v/>
      </c>
    </row>
    <row r="63254" spans="8:8" x14ac:dyDescent="0.3">
      <c r="H63254" t="str">
        <f t="shared" si="1037"/>
        <v/>
      </c>
    </row>
    <row r="63255" spans="8:8" x14ac:dyDescent="0.3">
      <c r="H63255" t="str">
        <f t="shared" ref="H63255:H63318" si="1038">IF(B63255="","",$C$12)</f>
        <v/>
      </c>
    </row>
    <row r="63256" spans="8:8" x14ac:dyDescent="0.3">
      <c r="H63256" t="str">
        <f t="shared" si="1038"/>
        <v/>
      </c>
    </row>
    <row r="63257" spans="8:8" x14ac:dyDescent="0.3">
      <c r="H63257" t="str">
        <f t="shared" si="1038"/>
        <v/>
      </c>
    </row>
    <row r="63258" spans="8:8" x14ac:dyDescent="0.3">
      <c r="H63258" t="str">
        <f t="shared" si="1038"/>
        <v/>
      </c>
    </row>
    <row r="63259" spans="8:8" x14ac:dyDescent="0.3">
      <c r="H63259" t="str">
        <f t="shared" si="1038"/>
        <v/>
      </c>
    </row>
    <row r="63260" spans="8:8" x14ac:dyDescent="0.3">
      <c r="H63260" t="str">
        <f t="shared" si="1038"/>
        <v/>
      </c>
    </row>
    <row r="63261" spans="8:8" x14ac:dyDescent="0.3">
      <c r="H63261" t="str">
        <f t="shared" si="1038"/>
        <v/>
      </c>
    </row>
    <row r="63262" spans="8:8" x14ac:dyDescent="0.3">
      <c r="H63262" t="str">
        <f t="shared" si="1038"/>
        <v/>
      </c>
    </row>
    <row r="63263" spans="8:8" x14ac:dyDescent="0.3">
      <c r="H63263" t="str">
        <f t="shared" si="1038"/>
        <v/>
      </c>
    </row>
    <row r="63264" spans="8:8" x14ac:dyDescent="0.3">
      <c r="H63264" t="str">
        <f t="shared" si="1038"/>
        <v/>
      </c>
    </row>
    <row r="63265" spans="8:8" x14ac:dyDescent="0.3">
      <c r="H63265" t="str">
        <f t="shared" si="1038"/>
        <v/>
      </c>
    </row>
    <row r="63266" spans="8:8" x14ac:dyDescent="0.3">
      <c r="H63266" t="str">
        <f t="shared" si="1038"/>
        <v/>
      </c>
    </row>
    <row r="63267" spans="8:8" x14ac:dyDescent="0.3">
      <c r="H63267" t="str">
        <f t="shared" si="1038"/>
        <v/>
      </c>
    </row>
    <row r="63268" spans="8:8" x14ac:dyDescent="0.3">
      <c r="H63268" t="str">
        <f t="shared" si="1038"/>
        <v/>
      </c>
    </row>
    <row r="63269" spans="8:8" x14ac:dyDescent="0.3">
      <c r="H63269" t="str">
        <f t="shared" si="1038"/>
        <v/>
      </c>
    </row>
    <row r="63270" spans="8:8" x14ac:dyDescent="0.3">
      <c r="H63270" t="str">
        <f t="shared" si="1038"/>
        <v/>
      </c>
    </row>
    <row r="63271" spans="8:8" x14ac:dyDescent="0.3">
      <c r="H63271" t="str">
        <f t="shared" si="1038"/>
        <v/>
      </c>
    </row>
    <row r="63272" spans="8:8" x14ac:dyDescent="0.3">
      <c r="H63272" t="str">
        <f t="shared" si="1038"/>
        <v/>
      </c>
    </row>
    <row r="63273" spans="8:8" x14ac:dyDescent="0.3">
      <c r="H63273" t="str">
        <f t="shared" si="1038"/>
        <v/>
      </c>
    </row>
    <row r="63274" spans="8:8" x14ac:dyDescent="0.3">
      <c r="H63274" t="str">
        <f t="shared" si="1038"/>
        <v/>
      </c>
    </row>
    <row r="63275" spans="8:8" x14ac:dyDescent="0.3">
      <c r="H63275" t="str">
        <f t="shared" si="1038"/>
        <v/>
      </c>
    </row>
    <row r="63276" spans="8:8" x14ac:dyDescent="0.3">
      <c r="H63276" t="str">
        <f t="shared" si="1038"/>
        <v/>
      </c>
    </row>
    <row r="63277" spans="8:8" x14ac:dyDescent="0.3">
      <c r="H63277" t="str">
        <f t="shared" si="1038"/>
        <v/>
      </c>
    </row>
    <row r="63278" spans="8:8" x14ac:dyDescent="0.3">
      <c r="H63278" t="str">
        <f t="shared" si="1038"/>
        <v/>
      </c>
    </row>
    <row r="63279" spans="8:8" x14ac:dyDescent="0.3">
      <c r="H63279" t="str">
        <f t="shared" si="1038"/>
        <v/>
      </c>
    </row>
    <row r="63280" spans="8:8" x14ac:dyDescent="0.3">
      <c r="H63280" t="str">
        <f t="shared" si="1038"/>
        <v/>
      </c>
    </row>
    <row r="63281" spans="8:8" x14ac:dyDescent="0.3">
      <c r="H63281" t="str">
        <f t="shared" si="1038"/>
        <v/>
      </c>
    </row>
    <row r="63282" spans="8:8" x14ac:dyDescent="0.3">
      <c r="H63282" t="str">
        <f t="shared" si="1038"/>
        <v/>
      </c>
    </row>
    <row r="63283" spans="8:8" x14ac:dyDescent="0.3">
      <c r="H63283" t="str">
        <f t="shared" si="1038"/>
        <v/>
      </c>
    </row>
    <row r="63284" spans="8:8" x14ac:dyDescent="0.3">
      <c r="H63284" t="str">
        <f t="shared" si="1038"/>
        <v/>
      </c>
    </row>
    <row r="63285" spans="8:8" x14ac:dyDescent="0.3">
      <c r="H63285" t="str">
        <f t="shared" si="1038"/>
        <v/>
      </c>
    </row>
    <row r="63286" spans="8:8" x14ac:dyDescent="0.3">
      <c r="H63286" t="str">
        <f t="shared" si="1038"/>
        <v/>
      </c>
    </row>
    <row r="63287" spans="8:8" x14ac:dyDescent="0.3">
      <c r="H63287" t="str">
        <f t="shared" si="1038"/>
        <v/>
      </c>
    </row>
    <row r="63288" spans="8:8" x14ac:dyDescent="0.3">
      <c r="H63288" t="str">
        <f t="shared" si="1038"/>
        <v/>
      </c>
    </row>
    <row r="63289" spans="8:8" x14ac:dyDescent="0.3">
      <c r="H63289" t="str">
        <f t="shared" si="1038"/>
        <v/>
      </c>
    </row>
    <row r="63290" spans="8:8" x14ac:dyDescent="0.3">
      <c r="H63290" t="str">
        <f t="shared" si="1038"/>
        <v/>
      </c>
    </row>
    <row r="63291" spans="8:8" x14ac:dyDescent="0.3">
      <c r="H63291" t="str">
        <f t="shared" si="1038"/>
        <v/>
      </c>
    </row>
    <row r="63292" spans="8:8" x14ac:dyDescent="0.3">
      <c r="H63292" t="str">
        <f t="shared" si="1038"/>
        <v/>
      </c>
    </row>
    <row r="63293" spans="8:8" x14ac:dyDescent="0.3">
      <c r="H63293" t="str">
        <f t="shared" si="1038"/>
        <v/>
      </c>
    </row>
    <row r="63294" spans="8:8" x14ac:dyDescent="0.3">
      <c r="H63294" t="str">
        <f t="shared" si="1038"/>
        <v/>
      </c>
    </row>
    <row r="63295" spans="8:8" x14ac:dyDescent="0.3">
      <c r="H63295" t="str">
        <f t="shared" si="1038"/>
        <v/>
      </c>
    </row>
    <row r="63296" spans="8:8" x14ac:dyDescent="0.3">
      <c r="H63296" t="str">
        <f t="shared" si="1038"/>
        <v/>
      </c>
    </row>
    <row r="63297" spans="8:8" x14ac:dyDescent="0.3">
      <c r="H63297" t="str">
        <f t="shared" si="1038"/>
        <v/>
      </c>
    </row>
    <row r="63298" spans="8:8" x14ac:dyDescent="0.3">
      <c r="H63298" t="str">
        <f t="shared" si="1038"/>
        <v/>
      </c>
    </row>
    <row r="63299" spans="8:8" x14ac:dyDescent="0.3">
      <c r="H63299" t="str">
        <f t="shared" si="1038"/>
        <v/>
      </c>
    </row>
    <row r="63300" spans="8:8" x14ac:dyDescent="0.3">
      <c r="H63300" t="str">
        <f t="shared" si="1038"/>
        <v/>
      </c>
    </row>
    <row r="63301" spans="8:8" x14ac:dyDescent="0.3">
      <c r="H63301" t="str">
        <f t="shared" si="1038"/>
        <v/>
      </c>
    </row>
    <row r="63302" spans="8:8" x14ac:dyDescent="0.3">
      <c r="H63302" t="str">
        <f t="shared" si="1038"/>
        <v/>
      </c>
    </row>
    <row r="63303" spans="8:8" x14ac:dyDescent="0.3">
      <c r="H63303" t="str">
        <f t="shared" si="1038"/>
        <v/>
      </c>
    </row>
    <row r="63304" spans="8:8" x14ac:dyDescent="0.3">
      <c r="H63304" t="str">
        <f t="shared" si="1038"/>
        <v/>
      </c>
    </row>
    <row r="63305" spans="8:8" x14ac:dyDescent="0.3">
      <c r="H63305" t="str">
        <f t="shared" si="1038"/>
        <v/>
      </c>
    </row>
    <row r="63306" spans="8:8" x14ac:dyDescent="0.3">
      <c r="H63306" t="str">
        <f t="shared" si="1038"/>
        <v/>
      </c>
    </row>
    <row r="63307" spans="8:8" x14ac:dyDescent="0.3">
      <c r="H63307" t="str">
        <f t="shared" si="1038"/>
        <v/>
      </c>
    </row>
    <row r="63308" spans="8:8" x14ac:dyDescent="0.3">
      <c r="H63308" t="str">
        <f t="shared" si="1038"/>
        <v/>
      </c>
    </row>
    <row r="63309" spans="8:8" x14ac:dyDescent="0.3">
      <c r="H63309" t="str">
        <f t="shared" si="1038"/>
        <v/>
      </c>
    </row>
    <row r="63310" spans="8:8" x14ac:dyDescent="0.3">
      <c r="H63310" t="str">
        <f t="shared" si="1038"/>
        <v/>
      </c>
    </row>
    <row r="63311" spans="8:8" x14ac:dyDescent="0.3">
      <c r="H63311" t="str">
        <f t="shared" si="1038"/>
        <v/>
      </c>
    </row>
    <row r="63312" spans="8:8" x14ac:dyDescent="0.3">
      <c r="H63312" t="str">
        <f t="shared" si="1038"/>
        <v/>
      </c>
    </row>
    <row r="63313" spans="8:8" x14ac:dyDescent="0.3">
      <c r="H63313" t="str">
        <f t="shared" si="1038"/>
        <v/>
      </c>
    </row>
    <row r="63314" spans="8:8" x14ac:dyDescent="0.3">
      <c r="H63314" t="str">
        <f t="shared" si="1038"/>
        <v/>
      </c>
    </row>
    <row r="63315" spans="8:8" x14ac:dyDescent="0.3">
      <c r="H63315" t="str">
        <f t="shared" si="1038"/>
        <v/>
      </c>
    </row>
    <row r="63316" spans="8:8" x14ac:dyDescent="0.3">
      <c r="H63316" t="str">
        <f t="shared" si="1038"/>
        <v/>
      </c>
    </row>
    <row r="63317" spans="8:8" x14ac:dyDescent="0.3">
      <c r="H63317" t="str">
        <f t="shared" si="1038"/>
        <v/>
      </c>
    </row>
    <row r="63318" spans="8:8" x14ac:dyDescent="0.3">
      <c r="H63318" t="str">
        <f t="shared" si="1038"/>
        <v/>
      </c>
    </row>
    <row r="63319" spans="8:8" x14ac:dyDescent="0.3">
      <c r="H63319" t="str">
        <f t="shared" ref="H63319:H63382" si="1039">IF(B63319="","",$C$12)</f>
        <v/>
      </c>
    </row>
    <row r="63320" spans="8:8" x14ac:dyDescent="0.3">
      <c r="H63320" t="str">
        <f t="shared" si="1039"/>
        <v/>
      </c>
    </row>
    <row r="63321" spans="8:8" x14ac:dyDescent="0.3">
      <c r="H63321" t="str">
        <f t="shared" si="1039"/>
        <v/>
      </c>
    </row>
    <row r="63322" spans="8:8" x14ac:dyDescent="0.3">
      <c r="H63322" t="str">
        <f t="shared" si="1039"/>
        <v/>
      </c>
    </row>
    <row r="63323" spans="8:8" x14ac:dyDescent="0.3">
      <c r="H63323" t="str">
        <f t="shared" si="1039"/>
        <v/>
      </c>
    </row>
    <row r="63324" spans="8:8" x14ac:dyDescent="0.3">
      <c r="H63324" t="str">
        <f t="shared" si="1039"/>
        <v/>
      </c>
    </row>
    <row r="63325" spans="8:8" x14ac:dyDescent="0.3">
      <c r="H63325" t="str">
        <f t="shared" si="1039"/>
        <v/>
      </c>
    </row>
    <row r="63326" spans="8:8" x14ac:dyDescent="0.3">
      <c r="H63326" t="str">
        <f t="shared" si="1039"/>
        <v/>
      </c>
    </row>
    <row r="63327" spans="8:8" x14ac:dyDescent="0.3">
      <c r="H63327" t="str">
        <f t="shared" si="1039"/>
        <v/>
      </c>
    </row>
    <row r="63328" spans="8:8" x14ac:dyDescent="0.3">
      <c r="H63328" t="str">
        <f t="shared" si="1039"/>
        <v/>
      </c>
    </row>
    <row r="63329" spans="8:8" x14ac:dyDescent="0.3">
      <c r="H63329" t="str">
        <f t="shared" si="1039"/>
        <v/>
      </c>
    </row>
    <row r="63330" spans="8:8" x14ac:dyDescent="0.3">
      <c r="H63330" t="str">
        <f t="shared" si="1039"/>
        <v/>
      </c>
    </row>
    <row r="63331" spans="8:8" x14ac:dyDescent="0.3">
      <c r="H63331" t="str">
        <f t="shared" si="1039"/>
        <v/>
      </c>
    </row>
    <row r="63332" spans="8:8" x14ac:dyDescent="0.3">
      <c r="H63332" t="str">
        <f t="shared" si="1039"/>
        <v/>
      </c>
    </row>
    <row r="63333" spans="8:8" x14ac:dyDescent="0.3">
      <c r="H63333" t="str">
        <f t="shared" si="1039"/>
        <v/>
      </c>
    </row>
    <row r="63334" spans="8:8" x14ac:dyDescent="0.3">
      <c r="H63334" t="str">
        <f t="shared" si="1039"/>
        <v/>
      </c>
    </row>
    <row r="63335" spans="8:8" x14ac:dyDescent="0.3">
      <c r="H63335" t="str">
        <f t="shared" si="1039"/>
        <v/>
      </c>
    </row>
    <row r="63336" spans="8:8" x14ac:dyDescent="0.3">
      <c r="H63336" t="str">
        <f t="shared" si="1039"/>
        <v/>
      </c>
    </row>
    <row r="63337" spans="8:8" x14ac:dyDescent="0.3">
      <c r="H63337" t="str">
        <f t="shared" si="1039"/>
        <v/>
      </c>
    </row>
    <row r="63338" spans="8:8" x14ac:dyDescent="0.3">
      <c r="H63338" t="str">
        <f t="shared" si="1039"/>
        <v/>
      </c>
    </row>
    <row r="63339" spans="8:8" x14ac:dyDescent="0.3">
      <c r="H63339" t="str">
        <f t="shared" si="1039"/>
        <v/>
      </c>
    </row>
    <row r="63340" spans="8:8" x14ac:dyDescent="0.3">
      <c r="H63340" t="str">
        <f t="shared" si="1039"/>
        <v/>
      </c>
    </row>
    <row r="63341" spans="8:8" x14ac:dyDescent="0.3">
      <c r="H63341" t="str">
        <f t="shared" si="1039"/>
        <v/>
      </c>
    </row>
    <row r="63342" spans="8:8" x14ac:dyDescent="0.3">
      <c r="H63342" t="str">
        <f t="shared" si="1039"/>
        <v/>
      </c>
    </row>
    <row r="63343" spans="8:8" x14ac:dyDescent="0.3">
      <c r="H63343" t="str">
        <f t="shared" si="1039"/>
        <v/>
      </c>
    </row>
    <row r="63344" spans="8:8" x14ac:dyDescent="0.3">
      <c r="H63344" t="str">
        <f t="shared" si="1039"/>
        <v/>
      </c>
    </row>
    <row r="63345" spans="8:8" x14ac:dyDescent="0.3">
      <c r="H63345" t="str">
        <f t="shared" si="1039"/>
        <v/>
      </c>
    </row>
    <row r="63346" spans="8:8" x14ac:dyDescent="0.3">
      <c r="H63346" t="str">
        <f t="shared" si="1039"/>
        <v/>
      </c>
    </row>
    <row r="63347" spans="8:8" x14ac:dyDescent="0.3">
      <c r="H63347" t="str">
        <f t="shared" si="1039"/>
        <v/>
      </c>
    </row>
    <row r="63348" spans="8:8" x14ac:dyDescent="0.3">
      <c r="H63348" t="str">
        <f t="shared" si="1039"/>
        <v/>
      </c>
    </row>
    <row r="63349" spans="8:8" x14ac:dyDescent="0.3">
      <c r="H63349" t="str">
        <f t="shared" si="1039"/>
        <v/>
      </c>
    </row>
    <row r="63350" spans="8:8" x14ac:dyDescent="0.3">
      <c r="H63350" t="str">
        <f t="shared" si="1039"/>
        <v/>
      </c>
    </row>
    <row r="63351" spans="8:8" x14ac:dyDescent="0.3">
      <c r="H63351" t="str">
        <f t="shared" si="1039"/>
        <v/>
      </c>
    </row>
    <row r="63352" spans="8:8" x14ac:dyDescent="0.3">
      <c r="H63352" t="str">
        <f t="shared" si="1039"/>
        <v/>
      </c>
    </row>
    <row r="63353" spans="8:8" x14ac:dyDescent="0.3">
      <c r="H63353" t="str">
        <f t="shared" si="1039"/>
        <v/>
      </c>
    </row>
    <row r="63354" spans="8:8" x14ac:dyDescent="0.3">
      <c r="H63354" t="str">
        <f t="shared" si="1039"/>
        <v/>
      </c>
    </row>
    <row r="63355" spans="8:8" x14ac:dyDescent="0.3">
      <c r="H63355" t="str">
        <f t="shared" si="1039"/>
        <v/>
      </c>
    </row>
    <row r="63356" spans="8:8" x14ac:dyDescent="0.3">
      <c r="H63356" t="str">
        <f t="shared" si="1039"/>
        <v/>
      </c>
    </row>
    <row r="63357" spans="8:8" x14ac:dyDescent="0.3">
      <c r="H63357" t="str">
        <f t="shared" si="1039"/>
        <v/>
      </c>
    </row>
    <row r="63358" spans="8:8" x14ac:dyDescent="0.3">
      <c r="H63358" t="str">
        <f t="shared" si="1039"/>
        <v/>
      </c>
    </row>
    <row r="63359" spans="8:8" x14ac:dyDescent="0.3">
      <c r="H63359" t="str">
        <f t="shared" si="1039"/>
        <v/>
      </c>
    </row>
    <row r="63360" spans="8:8" x14ac:dyDescent="0.3">
      <c r="H63360" t="str">
        <f t="shared" si="1039"/>
        <v/>
      </c>
    </row>
    <row r="63361" spans="8:8" x14ac:dyDescent="0.3">
      <c r="H63361" t="str">
        <f t="shared" si="1039"/>
        <v/>
      </c>
    </row>
    <row r="63362" spans="8:8" x14ac:dyDescent="0.3">
      <c r="H63362" t="str">
        <f t="shared" si="1039"/>
        <v/>
      </c>
    </row>
    <row r="63363" spans="8:8" x14ac:dyDescent="0.3">
      <c r="H63363" t="str">
        <f t="shared" si="1039"/>
        <v/>
      </c>
    </row>
    <row r="63364" spans="8:8" x14ac:dyDescent="0.3">
      <c r="H63364" t="str">
        <f t="shared" si="1039"/>
        <v/>
      </c>
    </row>
    <row r="63365" spans="8:8" x14ac:dyDescent="0.3">
      <c r="H63365" t="str">
        <f t="shared" si="1039"/>
        <v/>
      </c>
    </row>
    <row r="63366" spans="8:8" x14ac:dyDescent="0.3">
      <c r="H63366" t="str">
        <f t="shared" si="1039"/>
        <v/>
      </c>
    </row>
    <row r="63367" spans="8:8" x14ac:dyDescent="0.3">
      <c r="H63367" t="str">
        <f t="shared" si="1039"/>
        <v/>
      </c>
    </row>
    <row r="63368" spans="8:8" x14ac:dyDescent="0.3">
      <c r="H63368" t="str">
        <f t="shared" si="1039"/>
        <v/>
      </c>
    </row>
    <row r="63369" spans="8:8" x14ac:dyDescent="0.3">
      <c r="H63369" t="str">
        <f t="shared" si="1039"/>
        <v/>
      </c>
    </row>
    <row r="63370" spans="8:8" x14ac:dyDescent="0.3">
      <c r="H63370" t="str">
        <f t="shared" si="1039"/>
        <v/>
      </c>
    </row>
    <row r="63371" spans="8:8" x14ac:dyDescent="0.3">
      <c r="H63371" t="str">
        <f t="shared" si="1039"/>
        <v/>
      </c>
    </row>
    <row r="63372" spans="8:8" x14ac:dyDescent="0.3">
      <c r="H63372" t="str">
        <f t="shared" si="1039"/>
        <v/>
      </c>
    </row>
    <row r="63373" spans="8:8" x14ac:dyDescent="0.3">
      <c r="H63373" t="str">
        <f t="shared" si="1039"/>
        <v/>
      </c>
    </row>
    <row r="63374" spans="8:8" x14ac:dyDescent="0.3">
      <c r="H63374" t="str">
        <f t="shared" si="1039"/>
        <v/>
      </c>
    </row>
    <row r="63375" spans="8:8" x14ac:dyDescent="0.3">
      <c r="H63375" t="str">
        <f t="shared" si="1039"/>
        <v/>
      </c>
    </row>
    <row r="63376" spans="8:8" x14ac:dyDescent="0.3">
      <c r="H63376" t="str">
        <f t="shared" si="1039"/>
        <v/>
      </c>
    </row>
    <row r="63377" spans="8:8" x14ac:dyDescent="0.3">
      <c r="H63377" t="str">
        <f t="shared" si="1039"/>
        <v/>
      </c>
    </row>
    <row r="63378" spans="8:8" x14ac:dyDescent="0.3">
      <c r="H63378" t="str">
        <f t="shared" si="1039"/>
        <v/>
      </c>
    </row>
    <row r="63379" spans="8:8" x14ac:dyDescent="0.3">
      <c r="H63379" t="str">
        <f t="shared" si="1039"/>
        <v/>
      </c>
    </row>
    <row r="63380" spans="8:8" x14ac:dyDescent="0.3">
      <c r="H63380" t="str">
        <f t="shared" si="1039"/>
        <v/>
      </c>
    </row>
    <row r="63381" spans="8:8" x14ac:dyDescent="0.3">
      <c r="H63381" t="str">
        <f t="shared" si="1039"/>
        <v/>
      </c>
    </row>
    <row r="63382" spans="8:8" x14ac:dyDescent="0.3">
      <c r="H63382" t="str">
        <f t="shared" si="1039"/>
        <v/>
      </c>
    </row>
    <row r="63383" spans="8:8" x14ac:dyDescent="0.3">
      <c r="H63383" t="str">
        <f t="shared" ref="H63383:H63446" si="1040">IF(B63383="","",$C$12)</f>
        <v/>
      </c>
    </row>
    <row r="63384" spans="8:8" x14ac:dyDescent="0.3">
      <c r="H63384" t="str">
        <f t="shared" si="1040"/>
        <v/>
      </c>
    </row>
    <row r="63385" spans="8:8" x14ac:dyDescent="0.3">
      <c r="H63385" t="str">
        <f t="shared" si="1040"/>
        <v/>
      </c>
    </row>
    <row r="63386" spans="8:8" x14ac:dyDescent="0.3">
      <c r="H63386" t="str">
        <f t="shared" si="1040"/>
        <v/>
      </c>
    </row>
    <row r="63387" spans="8:8" x14ac:dyDescent="0.3">
      <c r="H63387" t="str">
        <f t="shared" si="1040"/>
        <v/>
      </c>
    </row>
    <row r="63388" spans="8:8" x14ac:dyDescent="0.3">
      <c r="H63388" t="str">
        <f t="shared" si="1040"/>
        <v/>
      </c>
    </row>
    <row r="63389" spans="8:8" x14ac:dyDescent="0.3">
      <c r="H63389" t="str">
        <f t="shared" si="1040"/>
        <v/>
      </c>
    </row>
    <row r="63390" spans="8:8" x14ac:dyDescent="0.3">
      <c r="H63390" t="str">
        <f t="shared" si="1040"/>
        <v/>
      </c>
    </row>
    <row r="63391" spans="8:8" x14ac:dyDescent="0.3">
      <c r="H63391" t="str">
        <f t="shared" si="1040"/>
        <v/>
      </c>
    </row>
    <row r="63392" spans="8:8" x14ac:dyDescent="0.3">
      <c r="H63392" t="str">
        <f t="shared" si="1040"/>
        <v/>
      </c>
    </row>
    <row r="63393" spans="8:8" x14ac:dyDescent="0.3">
      <c r="H63393" t="str">
        <f t="shared" si="1040"/>
        <v/>
      </c>
    </row>
    <row r="63394" spans="8:8" x14ac:dyDescent="0.3">
      <c r="H63394" t="str">
        <f t="shared" si="1040"/>
        <v/>
      </c>
    </row>
    <row r="63395" spans="8:8" x14ac:dyDescent="0.3">
      <c r="H63395" t="str">
        <f t="shared" si="1040"/>
        <v/>
      </c>
    </row>
    <row r="63396" spans="8:8" x14ac:dyDescent="0.3">
      <c r="H63396" t="str">
        <f t="shared" si="1040"/>
        <v/>
      </c>
    </row>
    <row r="63397" spans="8:8" x14ac:dyDescent="0.3">
      <c r="H63397" t="str">
        <f t="shared" si="1040"/>
        <v/>
      </c>
    </row>
    <row r="63398" spans="8:8" x14ac:dyDescent="0.3">
      <c r="H63398" t="str">
        <f t="shared" si="1040"/>
        <v/>
      </c>
    </row>
    <row r="63399" spans="8:8" x14ac:dyDescent="0.3">
      <c r="H63399" t="str">
        <f t="shared" si="1040"/>
        <v/>
      </c>
    </row>
    <row r="63400" spans="8:8" x14ac:dyDescent="0.3">
      <c r="H63400" t="str">
        <f t="shared" si="1040"/>
        <v/>
      </c>
    </row>
    <row r="63401" spans="8:8" x14ac:dyDescent="0.3">
      <c r="H63401" t="str">
        <f t="shared" si="1040"/>
        <v/>
      </c>
    </row>
    <row r="63402" spans="8:8" x14ac:dyDescent="0.3">
      <c r="H63402" t="str">
        <f t="shared" si="1040"/>
        <v/>
      </c>
    </row>
    <row r="63403" spans="8:8" x14ac:dyDescent="0.3">
      <c r="H63403" t="str">
        <f t="shared" si="1040"/>
        <v/>
      </c>
    </row>
    <row r="63404" spans="8:8" x14ac:dyDescent="0.3">
      <c r="H63404" t="str">
        <f t="shared" si="1040"/>
        <v/>
      </c>
    </row>
    <row r="63405" spans="8:8" x14ac:dyDescent="0.3">
      <c r="H63405" t="str">
        <f t="shared" si="1040"/>
        <v/>
      </c>
    </row>
    <row r="63406" spans="8:8" x14ac:dyDescent="0.3">
      <c r="H63406" t="str">
        <f t="shared" si="1040"/>
        <v/>
      </c>
    </row>
    <row r="63407" spans="8:8" x14ac:dyDescent="0.3">
      <c r="H63407" t="str">
        <f t="shared" si="1040"/>
        <v/>
      </c>
    </row>
    <row r="63408" spans="8:8" x14ac:dyDescent="0.3">
      <c r="H63408" t="str">
        <f t="shared" si="1040"/>
        <v/>
      </c>
    </row>
    <row r="63409" spans="8:8" x14ac:dyDescent="0.3">
      <c r="H63409" t="str">
        <f t="shared" si="1040"/>
        <v/>
      </c>
    </row>
    <row r="63410" spans="8:8" x14ac:dyDescent="0.3">
      <c r="H63410" t="str">
        <f t="shared" si="1040"/>
        <v/>
      </c>
    </row>
    <row r="63411" spans="8:8" x14ac:dyDescent="0.3">
      <c r="H63411" t="str">
        <f t="shared" si="1040"/>
        <v/>
      </c>
    </row>
    <row r="63412" spans="8:8" x14ac:dyDescent="0.3">
      <c r="H63412" t="str">
        <f t="shared" si="1040"/>
        <v/>
      </c>
    </row>
    <row r="63413" spans="8:8" x14ac:dyDescent="0.3">
      <c r="H63413" t="str">
        <f t="shared" si="1040"/>
        <v/>
      </c>
    </row>
    <row r="63414" spans="8:8" x14ac:dyDescent="0.3">
      <c r="H63414" t="str">
        <f t="shared" si="1040"/>
        <v/>
      </c>
    </row>
    <row r="63415" spans="8:8" x14ac:dyDescent="0.3">
      <c r="H63415" t="str">
        <f t="shared" si="1040"/>
        <v/>
      </c>
    </row>
    <row r="63416" spans="8:8" x14ac:dyDescent="0.3">
      <c r="H63416" t="str">
        <f t="shared" si="1040"/>
        <v/>
      </c>
    </row>
    <row r="63417" spans="8:8" x14ac:dyDescent="0.3">
      <c r="H63417" t="str">
        <f t="shared" si="1040"/>
        <v/>
      </c>
    </row>
    <row r="63418" spans="8:8" x14ac:dyDescent="0.3">
      <c r="H63418" t="str">
        <f t="shared" si="1040"/>
        <v/>
      </c>
    </row>
    <row r="63419" spans="8:8" x14ac:dyDescent="0.3">
      <c r="H63419" t="str">
        <f t="shared" si="1040"/>
        <v/>
      </c>
    </row>
    <row r="63420" spans="8:8" x14ac:dyDescent="0.3">
      <c r="H63420" t="str">
        <f t="shared" si="1040"/>
        <v/>
      </c>
    </row>
    <row r="63421" spans="8:8" x14ac:dyDescent="0.3">
      <c r="H63421" t="str">
        <f t="shared" si="1040"/>
        <v/>
      </c>
    </row>
    <row r="63422" spans="8:8" x14ac:dyDescent="0.3">
      <c r="H63422" t="str">
        <f t="shared" si="1040"/>
        <v/>
      </c>
    </row>
    <row r="63423" spans="8:8" x14ac:dyDescent="0.3">
      <c r="H63423" t="str">
        <f t="shared" si="1040"/>
        <v/>
      </c>
    </row>
    <row r="63424" spans="8:8" x14ac:dyDescent="0.3">
      <c r="H63424" t="str">
        <f t="shared" si="1040"/>
        <v/>
      </c>
    </row>
    <row r="63425" spans="8:8" x14ac:dyDescent="0.3">
      <c r="H63425" t="str">
        <f t="shared" si="1040"/>
        <v/>
      </c>
    </row>
    <row r="63426" spans="8:8" x14ac:dyDescent="0.3">
      <c r="H63426" t="str">
        <f t="shared" si="1040"/>
        <v/>
      </c>
    </row>
    <row r="63427" spans="8:8" x14ac:dyDescent="0.3">
      <c r="H63427" t="str">
        <f t="shared" si="1040"/>
        <v/>
      </c>
    </row>
    <row r="63428" spans="8:8" x14ac:dyDescent="0.3">
      <c r="H63428" t="str">
        <f t="shared" si="1040"/>
        <v/>
      </c>
    </row>
    <row r="63429" spans="8:8" x14ac:dyDescent="0.3">
      <c r="H63429" t="str">
        <f t="shared" si="1040"/>
        <v/>
      </c>
    </row>
    <row r="63430" spans="8:8" x14ac:dyDescent="0.3">
      <c r="H63430" t="str">
        <f t="shared" si="1040"/>
        <v/>
      </c>
    </row>
    <row r="63431" spans="8:8" x14ac:dyDescent="0.3">
      <c r="H63431" t="str">
        <f t="shared" si="1040"/>
        <v/>
      </c>
    </row>
    <row r="63432" spans="8:8" x14ac:dyDescent="0.3">
      <c r="H63432" t="str">
        <f t="shared" si="1040"/>
        <v/>
      </c>
    </row>
    <row r="63433" spans="8:8" x14ac:dyDescent="0.3">
      <c r="H63433" t="str">
        <f t="shared" si="1040"/>
        <v/>
      </c>
    </row>
    <row r="63434" spans="8:8" x14ac:dyDescent="0.3">
      <c r="H63434" t="str">
        <f t="shared" si="1040"/>
        <v/>
      </c>
    </row>
    <row r="63435" spans="8:8" x14ac:dyDescent="0.3">
      <c r="H63435" t="str">
        <f t="shared" si="1040"/>
        <v/>
      </c>
    </row>
    <row r="63436" spans="8:8" x14ac:dyDescent="0.3">
      <c r="H63436" t="str">
        <f t="shared" si="1040"/>
        <v/>
      </c>
    </row>
    <row r="63437" spans="8:8" x14ac:dyDescent="0.3">
      <c r="H63437" t="str">
        <f t="shared" si="1040"/>
        <v/>
      </c>
    </row>
    <row r="63438" spans="8:8" x14ac:dyDescent="0.3">
      <c r="H63438" t="str">
        <f t="shared" si="1040"/>
        <v/>
      </c>
    </row>
    <row r="63439" spans="8:8" x14ac:dyDescent="0.3">
      <c r="H63439" t="str">
        <f t="shared" si="1040"/>
        <v/>
      </c>
    </row>
    <row r="63440" spans="8:8" x14ac:dyDescent="0.3">
      <c r="H63440" t="str">
        <f t="shared" si="1040"/>
        <v/>
      </c>
    </row>
    <row r="63441" spans="8:8" x14ac:dyDescent="0.3">
      <c r="H63441" t="str">
        <f t="shared" si="1040"/>
        <v/>
      </c>
    </row>
    <row r="63442" spans="8:8" x14ac:dyDescent="0.3">
      <c r="H63442" t="str">
        <f t="shared" si="1040"/>
        <v/>
      </c>
    </row>
    <row r="63443" spans="8:8" x14ac:dyDescent="0.3">
      <c r="H63443" t="str">
        <f t="shared" si="1040"/>
        <v/>
      </c>
    </row>
    <row r="63444" spans="8:8" x14ac:dyDescent="0.3">
      <c r="H63444" t="str">
        <f t="shared" si="1040"/>
        <v/>
      </c>
    </row>
    <row r="63445" spans="8:8" x14ac:dyDescent="0.3">
      <c r="H63445" t="str">
        <f t="shared" si="1040"/>
        <v/>
      </c>
    </row>
    <row r="63446" spans="8:8" x14ac:dyDescent="0.3">
      <c r="H63446" t="str">
        <f t="shared" si="1040"/>
        <v/>
      </c>
    </row>
    <row r="63447" spans="8:8" x14ac:dyDescent="0.3">
      <c r="H63447" t="str">
        <f t="shared" ref="H63447:H63510" si="1041">IF(B63447="","",$C$12)</f>
        <v/>
      </c>
    </row>
    <row r="63448" spans="8:8" x14ac:dyDescent="0.3">
      <c r="H63448" t="str">
        <f t="shared" si="1041"/>
        <v/>
      </c>
    </row>
    <row r="63449" spans="8:8" x14ac:dyDescent="0.3">
      <c r="H63449" t="str">
        <f t="shared" si="1041"/>
        <v/>
      </c>
    </row>
    <row r="63450" spans="8:8" x14ac:dyDescent="0.3">
      <c r="H63450" t="str">
        <f t="shared" si="1041"/>
        <v/>
      </c>
    </row>
    <row r="63451" spans="8:8" x14ac:dyDescent="0.3">
      <c r="H63451" t="str">
        <f t="shared" si="1041"/>
        <v/>
      </c>
    </row>
    <row r="63452" spans="8:8" x14ac:dyDescent="0.3">
      <c r="H63452" t="str">
        <f t="shared" si="1041"/>
        <v/>
      </c>
    </row>
    <row r="63453" spans="8:8" x14ac:dyDescent="0.3">
      <c r="H63453" t="str">
        <f t="shared" si="1041"/>
        <v/>
      </c>
    </row>
    <row r="63454" spans="8:8" x14ac:dyDescent="0.3">
      <c r="H63454" t="str">
        <f t="shared" si="1041"/>
        <v/>
      </c>
    </row>
    <row r="63455" spans="8:8" x14ac:dyDescent="0.3">
      <c r="H63455" t="str">
        <f t="shared" si="1041"/>
        <v/>
      </c>
    </row>
    <row r="63456" spans="8:8" x14ac:dyDescent="0.3">
      <c r="H63456" t="str">
        <f t="shared" si="1041"/>
        <v/>
      </c>
    </row>
    <row r="63457" spans="8:8" x14ac:dyDescent="0.3">
      <c r="H63457" t="str">
        <f t="shared" si="1041"/>
        <v/>
      </c>
    </row>
    <row r="63458" spans="8:8" x14ac:dyDescent="0.3">
      <c r="H63458" t="str">
        <f t="shared" si="1041"/>
        <v/>
      </c>
    </row>
    <row r="63459" spans="8:8" x14ac:dyDescent="0.3">
      <c r="H63459" t="str">
        <f t="shared" si="1041"/>
        <v/>
      </c>
    </row>
    <row r="63460" spans="8:8" x14ac:dyDescent="0.3">
      <c r="H63460" t="str">
        <f t="shared" si="1041"/>
        <v/>
      </c>
    </row>
    <row r="63461" spans="8:8" x14ac:dyDescent="0.3">
      <c r="H63461" t="str">
        <f t="shared" si="1041"/>
        <v/>
      </c>
    </row>
    <row r="63462" spans="8:8" x14ac:dyDescent="0.3">
      <c r="H63462" t="str">
        <f t="shared" si="1041"/>
        <v/>
      </c>
    </row>
    <row r="63463" spans="8:8" x14ac:dyDescent="0.3">
      <c r="H63463" t="str">
        <f t="shared" si="1041"/>
        <v/>
      </c>
    </row>
    <row r="63464" spans="8:8" x14ac:dyDescent="0.3">
      <c r="H63464" t="str">
        <f t="shared" si="1041"/>
        <v/>
      </c>
    </row>
    <row r="63465" spans="8:8" x14ac:dyDescent="0.3">
      <c r="H63465" t="str">
        <f t="shared" si="1041"/>
        <v/>
      </c>
    </row>
    <row r="63466" spans="8:8" x14ac:dyDescent="0.3">
      <c r="H63466" t="str">
        <f t="shared" si="1041"/>
        <v/>
      </c>
    </row>
    <row r="63467" spans="8:8" x14ac:dyDescent="0.3">
      <c r="H63467" t="str">
        <f t="shared" si="1041"/>
        <v/>
      </c>
    </row>
    <row r="63468" spans="8:8" x14ac:dyDescent="0.3">
      <c r="H63468" t="str">
        <f t="shared" si="1041"/>
        <v/>
      </c>
    </row>
    <row r="63469" spans="8:8" x14ac:dyDescent="0.3">
      <c r="H63469" t="str">
        <f t="shared" si="1041"/>
        <v/>
      </c>
    </row>
    <row r="63470" spans="8:8" x14ac:dyDescent="0.3">
      <c r="H63470" t="str">
        <f t="shared" si="1041"/>
        <v/>
      </c>
    </row>
    <row r="63471" spans="8:8" x14ac:dyDescent="0.3">
      <c r="H63471" t="str">
        <f t="shared" si="1041"/>
        <v/>
      </c>
    </row>
    <row r="63472" spans="8:8" x14ac:dyDescent="0.3">
      <c r="H63472" t="str">
        <f t="shared" si="1041"/>
        <v/>
      </c>
    </row>
    <row r="63473" spans="8:8" x14ac:dyDescent="0.3">
      <c r="H63473" t="str">
        <f t="shared" si="1041"/>
        <v/>
      </c>
    </row>
    <row r="63474" spans="8:8" x14ac:dyDescent="0.3">
      <c r="H63474" t="str">
        <f t="shared" si="1041"/>
        <v/>
      </c>
    </row>
    <row r="63475" spans="8:8" x14ac:dyDescent="0.3">
      <c r="H63475" t="str">
        <f t="shared" si="1041"/>
        <v/>
      </c>
    </row>
    <row r="63476" spans="8:8" x14ac:dyDescent="0.3">
      <c r="H63476" t="str">
        <f t="shared" si="1041"/>
        <v/>
      </c>
    </row>
    <row r="63477" spans="8:8" x14ac:dyDescent="0.3">
      <c r="H63477" t="str">
        <f t="shared" si="1041"/>
        <v/>
      </c>
    </row>
    <row r="63478" spans="8:8" x14ac:dyDescent="0.3">
      <c r="H63478" t="str">
        <f t="shared" si="1041"/>
        <v/>
      </c>
    </row>
    <row r="63479" spans="8:8" x14ac:dyDescent="0.3">
      <c r="H63479" t="str">
        <f t="shared" si="1041"/>
        <v/>
      </c>
    </row>
    <row r="63480" spans="8:8" x14ac:dyDescent="0.3">
      <c r="H63480" t="str">
        <f t="shared" si="1041"/>
        <v/>
      </c>
    </row>
    <row r="63481" spans="8:8" x14ac:dyDescent="0.3">
      <c r="H63481" t="str">
        <f t="shared" si="1041"/>
        <v/>
      </c>
    </row>
    <row r="63482" spans="8:8" x14ac:dyDescent="0.3">
      <c r="H63482" t="str">
        <f t="shared" si="1041"/>
        <v/>
      </c>
    </row>
    <row r="63483" spans="8:8" x14ac:dyDescent="0.3">
      <c r="H63483" t="str">
        <f t="shared" si="1041"/>
        <v/>
      </c>
    </row>
    <row r="63484" spans="8:8" x14ac:dyDescent="0.3">
      <c r="H63484" t="str">
        <f t="shared" si="1041"/>
        <v/>
      </c>
    </row>
    <row r="63485" spans="8:8" x14ac:dyDescent="0.3">
      <c r="H63485" t="str">
        <f t="shared" si="1041"/>
        <v/>
      </c>
    </row>
    <row r="63486" spans="8:8" x14ac:dyDescent="0.3">
      <c r="H63486" t="str">
        <f t="shared" si="1041"/>
        <v/>
      </c>
    </row>
    <row r="63487" spans="8:8" x14ac:dyDescent="0.3">
      <c r="H63487" t="str">
        <f t="shared" si="1041"/>
        <v/>
      </c>
    </row>
    <row r="63488" spans="8:8" x14ac:dyDescent="0.3">
      <c r="H63488" t="str">
        <f t="shared" si="1041"/>
        <v/>
      </c>
    </row>
    <row r="63489" spans="8:8" x14ac:dyDescent="0.3">
      <c r="H63489" t="str">
        <f t="shared" si="1041"/>
        <v/>
      </c>
    </row>
    <row r="63490" spans="8:8" x14ac:dyDescent="0.3">
      <c r="H63490" t="str">
        <f t="shared" si="1041"/>
        <v/>
      </c>
    </row>
    <row r="63491" spans="8:8" x14ac:dyDescent="0.3">
      <c r="H63491" t="str">
        <f t="shared" si="1041"/>
        <v/>
      </c>
    </row>
    <row r="63492" spans="8:8" x14ac:dyDescent="0.3">
      <c r="H63492" t="str">
        <f t="shared" si="1041"/>
        <v/>
      </c>
    </row>
    <row r="63493" spans="8:8" x14ac:dyDescent="0.3">
      <c r="H63493" t="str">
        <f t="shared" si="1041"/>
        <v/>
      </c>
    </row>
    <row r="63494" spans="8:8" x14ac:dyDescent="0.3">
      <c r="H63494" t="str">
        <f t="shared" si="1041"/>
        <v/>
      </c>
    </row>
    <row r="63495" spans="8:8" x14ac:dyDescent="0.3">
      <c r="H63495" t="str">
        <f t="shared" si="1041"/>
        <v/>
      </c>
    </row>
    <row r="63496" spans="8:8" x14ac:dyDescent="0.3">
      <c r="H63496" t="str">
        <f t="shared" si="1041"/>
        <v/>
      </c>
    </row>
    <row r="63497" spans="8:8" x14ac:dyDescent="0.3">
      <c r="H63497" t="str">
        <f t="shared" si="1041"/>
        <v/>
      </c>
    </row>
    <row r="63498" spans="8:8" x14ac:dyDescent="0.3">
      <c r="H63498" t="str">
        <f t="shared" si="1041"/>
        <v/>
      </c>
    </row>
    <row r="63499" spans="8:8" x14ac:dyDescent="0.3">
      <c r="H63499" t="str">
        <f t="shared" si="1041"/>
        <v/>
      </c>
    </row>
    <row r="63500" spans="8:8" x14ac:dyDescent="0.3">
      <c r="H63500" t="str">
        <f t="shared" si="1041"/>
        <v/>
      </c>
    </row>
    <row r="63501" spans="8:8" x14ac:dyDescent="0.3">
      <c r="H63501" t="str">
        <f t="shared" si="1041"/>
        <v/>
      </c>
    </row>
    <row r="63502" spans="8:8" x14ac:dyDescent="0.3">
      <c r="H63502" t="str">
        <f t="shared" si="1041"/>
        <v/>
      </c>
    </row>
    <row r="63503" spans="8:8" x14ac:dyDescent="0.3">
      <c r="H63503" t="str">
        <f t="shared" si="1041"/>
        <v/>
      </c>
    </row>
    <row r="63504" spans="8:8" x14ac:dyDescent="0.3">
      <c r="H63504" t="str">
        <f t="shared" si="1041"/>
        <v/>
      </c>
    </row>
    <row r="63505" spans="8:8" x14ac:dyDescent="0.3">
      <c r="H63505" t="str">
        <f t="shared" si="1041"/>
        <v/>
      </c>
    </row>
    <row r="63506" spans="8:8" x14ac:dyDescent="0.3">
      <c r="H63506" t="str">
        <f t="shared" si="1041"/>
        <v/>
      </c>
    </row>
    <row r="63507" spans="8:8" x14ac:dyDescent="0.3">
      <c r="H63507" t="str">
        <f t="shared" si="1041"/>
        <v/>
      </c>
    </row>
    <row r="63508" spans="8:8" x14ac:dyDescent="0.3">
      <c r="H63508" t="str">
        <f t="shared" si="1041"/>
        <v/>
      </c>
    </row>
    <row r="63509" spans="8:8" x14ac:dyDescent="0.3">
      <c r="H63509" t="str">
        <f t="shared" si="1041"/>
        <v/>
      </c>
    </row>
    <row r="63510" spans="8:8" x14ac:dyDescent="0.3">
      <c r="H63510" t="str">
        <f t="shared" si="1041"/>
        <v/>
      </c>
    </row>
    <row r="63511" spans="8:8" x14ac:dyDescent="0.3">
      <c r="H63511" t="str">
        <f t="shared" ref="H63511:H63574" si="1042">IF(B63511="","",$C$12)</f>
        <v/>
      </c>
    </row>
    <row r="63512" spans="8:8" x14ac:dyDescent="0.3">
      <c r="H63512" t="str">
        <f t="shared" si="1042"/>
        <v/>
      </c>
    </row>
    <row r="63513" spans="8:8" x14ac:dyDescent="0.3">
      <c r="H63513" t="str">
        <f t="shared" si="1042"/>
        <v/>
      </c>
    </row>
    <row r="63514" spans="8:8" x14ac:dyDescent="0.3">
      <c r="H63514" t="str">
        <f t="shared" si="1042"/>
        <v/>
      </c>
    </row>
    <row r="63515" spans="8:8" x14ac:dyDescent="0.3">
      <c r="H63515" t="str">
        <f t="shared" si="1042"/>
        <v/>
      </c>
    </row>
    <row r="63516" spans="8:8" x14ac:dyDescent="0.3">
      <c r="H63516" t="str">
        <f t="shared" si="1042"/>
        <v/>
      </c>
    </row>
    <row r="63517" spans="8:8" x14ac:dyDescent="0.3">
      <c r="H63517" t="str">
        <f t="shared" si="1042"/>
        <v/>
      </c>
    </row>
    <row r="63518" spans="8:8" x14ac:dyDescent="0.3">
      <c r="H63518" t="str">
        <f t="shared" si="1042"/>
        <v/>
      </c>
    </row>
    <row r="63519" spans="8:8" x14ac:dyDescent="0.3">
      <c r="H63519" t="str">
        <f t="shared" si="1042"/>
        <v/>
      </c>
    </row>
    <row r="63520" spans="8:8" x14ac:dyDescent="0.3">
      <c r="H63520" t="str">
        <f t="shared" si="1042"/>
        <v/>
      </c>
    </row>
    <row r="63521" spans="8:8" x14ac:dyDescent="0.3">
      <c r="H63521" t="str">
        <f t="shared" si="1042"/>
        <v/>
      </c>
    </row>
    <row r="63522" spans="8:8" x14ac:dyDescent="0.3">
      <c r="H63522" t="str">
        <f t="shared" si="1042"/>
        <v/>
      </c>
    </row>
    <row r="63523" spans="8:8" x14ac:dyDescent="0.3">
      <c r="H63523" t="str">
        <f t="shared" si="1042"/>
        <v/>
      </c>
    </row>
    <row r="63524" spans="8:8" x14ac:dyDescent="0.3">
      <c r="H63524" t="str">
        <f t="shared" si="1042"/>
        <v/>
      </c>
    </row>
    <row r="63525" spans="8:8" x14ac:dyDescent="0.3">
      <c r="H63525" t="str">
        <f t="shared" si="1042"/>
        <v/>
      </c>
    </row>
    <row r="63526" spans="8:8" x14ac:dyDescent="0.3">
      <c r="H63526" t="str">
        <f t="shared" si="1042"/>
        <v/>
      </c>
    </row>
    <row r="63527" spans="8:8" x14ac:dyDescent="0.3">
      <c r="H63527" t="str">
        <f t="shared" si="1042"/>
        <v/>
      </c>
    </row>
    <row r="63528" spans="8:8" x14ac:dyDescent="0.3">
      <c r="H63528" t="str">
        <f t="shared" si="1042"/>
        <v/>
      </c>
    </row>
    <row r="63529" spans="8:8" x14ac:dyDescent="0.3">
      <c r="H63529" t="str">
        <f t="shared" si="1042"/>
        <v/>
      </c>
    </row>
    <row r="63530" spans="8:8" x14ac:dyDescent="0.3">
      <c r="H63530" t="str">
        <f t="shared" si="1042"/>
        <v/>
      </c>
    </row>
    <row r="63531" spans="8:8" x14ac:dyDescent="0.3">
      <c r="H63531" t="str">
        <f t="shared" si="1042"/>
        <v/>
      </c>
    </row>
    <row r="63532" spans="8:8" x14ac:dyDescent="0.3">
      <c r="H63532" t="str">
        <f t="shared" si="1042"/>
        <v/>
      </c>
    </row>
    <row r="63533" spans="8:8" x14ac:dyDescent="0.3">
      <c r="H63533" t="str">
        <f t="shared" si="1042"/>
        <v/>
      </c>
    </row>
    <row r="63534" spans="8:8" x14ac:dyDescent="0.3">
      <c r="H63534" t="str">
        <f t="shared" si="1042"/>
        <v/>
      </c>
    </row>
    <row r="63535" spans="8:8" x14ac:dyDescent="0.3">
      <c r="H63535" t="str">
        <f t="shared" si="1042"/>
        <v/>
      </c>
    </row>
    <row r="63536" spans="8:8" x14ac:dyDescent="0.3">
      <c r="H63536" t="str">
        <f t="shared" si="1042"/>
        <v/>
      </c>
    </row>
    <row r="63537" spans="8:8" x14ac:dyDescent="0.3">
      <c r="H63537" t="str">
        <f t="shared" si="1042"/>
        <v/>
      </c>
    </row>
    <row r="63538" spans="8:8" x14ac:dyDescent="0.3">
      <c r="H63538" t="str">
        <f t="shared" si="1042"/>
        <v/>
      </c>
    </row>
    <row r="63539" spans="8:8" x14ac:dyDescent="0.3">
      <c r="H63539" t="str">
        <f t="shared" si="1042"/>
        <v/>
      </c>
    </row>
    <row r="63540" spans="8:8" x14ac:dyDescent="0.3">
      <c r="H63540" t="str">
        <f t="shared" si="1042"/>
        <v/>
      </c>
    </row>
    <row r="63541" spans="8:8" x14ac:dyDescent="0.3">
      <c r="H63541" t="str">
        <f t="shared" si="1042"/>
        <v/>
      </c>
    </row>
    <row r="63542" spans="8:8" x14ac:dyDescent="0.3">
      <c r="H63542" t="str">
        <f t="shared" si="1042"/>
        <v/>
      </c>
    </row>
    <row r="63543" spans="8:8" x14ac:dyDescent="0.3">
      <c r="H63543" t="str">
        <f t="shared" si="1042"/>
        <v/>
      </c>
    </row>
    <row r="63544" spans="8:8" x14ac:dyDescent="0.3">
      <c r="H63544" t="str">
        <f t="shared" si="1042"/>
        <v/>
      </c>
    </row>
    <row r="63545" spans="8:8" x14ac:dyDescent="0.3">
      <c r="H63545" t="str">
        <f t="shared" si="1042"/>
        <v/>
      </c>
    </row>
    <row r="63546" spans="8:8" x14ac:dyDescent="0.3">
      <c r="H63546" t="str">
        <f t="shared" si="1042"/>
        <v/>
      </c>
    </row>
    <row r="63547" spans="8:8" x14ac:dyDescent="0.3">
      <c r="H63547" t="str">
        <f t="shared" si="1042"/>
        <v/>
      </c>
    </row>
    <row r="63548" spans="8:8" x14ac:dyDescent="0.3">
      <c r="H63548" t="str">
        <f t="shared" si="1042"/>
        <v/>
      </c>
    </row>
    <row r="63549" spans="8:8" x14ac:dyDescent="0.3">
      <c r="H63549" t="str">
        <f t="shared" si="1042"/>
        <v/>
      </c>
    </row>
    <row r="63550" spans="8:8" x14ac:dyDescent="0.3">
      <c r="H63550" t="str">
        <f t="shared" si="1042"/>
        <v/>
      </c>
    </row>
    <row r="63551" spans="8:8" x14ac:dyDescent="0.3">
      <c r="H63551" t="str">
        <f t="shared" si="1042"/>
        <v/>
      </c>
    </row>
    <row r="63552" spans="8:8" x14ac:dyDescent="0.3">
      <c r="H63552" t="str">
        <f t="shared" si="1042"/>
        <v/>
      </c>
    </row>
    <row r="63553" spans="8:8" x14ac:dyDescent="0.3">
      <c r="H63553" t="str">
        <f t="shared" si="1042"/>
        <v/>
      </c>
    </row>
    <row r="63554" spans="8:8" x14ac:dyDescent="0.3">
      <c r="H63554" t="str">
        <f t="shared" si="1042"/>
        <v/>
      </c>
    </row>
    <row r="63555" spans="8:8" x14ac:dyDescent="0.3">
      <c r="H63555" t="str">
        <f t="shared" si="1042"/>
        <v/>
      </c>
    </row>
    <row r="63556" spans="8:8" x14ac:dyDescent="0.3">
      <c r="H63556" t="str">
        <f t="shared" si="1042"/>
        <v/>
      </c>
    </row>
    <row r="63557" spans="8:8" x14ac:dyDescent="0.3">
      <c r="H63557" t="str">
        <f t="shared" si="1042"/>
        <v/>
      </c>
    </row>
    <row r="63558" spans="8:8" x14ac:dyDescent="0.3">
      <c r="H63558" t="str">
        <f t="shared" si="1042"/>
        <v/>
      </c>
    </row>
    <row r="63559" spans="8:8" x14ac:dyDescent="0.3">
      <c r="H63559" t="str">
        <f t="shared" si="1042"/>
        <v/>
      </c>
    </row>
    <row r="63560" spans="8:8" x14ac:dyDescent="0.3">
      <c r="H63560" t="str">
        <f t="shared" si="1042"/>
        <v/>
      </c>
    </row>
    <row r="63561" spans="8:8" x14ac:dyDescent="0.3">
      <c r="H63561" t="str">
        <f t="shared" si="1042"/>
        <v/>
      </c>
    </row>
    <row r="63562" spans="8:8" x14ac:dyDescent="0.3">
      <c r="H63562" t="str">
        <f t="shared" si="1042"/>
        <v/>
      </c>
    </row>
    <row r="63563" spans="8:8" x14ac:dyDescent="0.3">
      <c r="H63563" t="str">
        <f t="shared" si="1042"/>
        <v/>
      </c>
    </row>
    <row r="63564" spans="8:8" x14ac:dyDescent="0.3">
      <c r="H63564" t="str">
        <f t="shared" si="1042"/>
        <v/>
      </c>
    </row>
    <row r="63565" spans="8:8" x14ac:dyDescent="0.3">
      <c r="H63565" t="str">
        <f t="shared" si="1042"/>
        <v/>
      </c>
    </row>
    <row r="63566" spans="8:8" x14ac:dyDescent="0.3">
      <c r="H63566" t="str">
        <f t="shared" si="1042"/>
        <v/>
      </c>
    </row>
    <row r="63567" spans="8:8" x14ac:dyDescent="0.3">
      <c r="H63567" t="str">
        <f t="shared" si="1042"/>
        <v/>
      </c>
    </row>
    <row r="63568" spans="8:8" x14ac:dyDescent="0.3">
      <c r="H63568" t="str">
        <f t="shared" si="1042"/>
        <v/>
      </c>
    </row>
    <row r="63569" spans="8:8" x14ac:dyDescent="0.3">
      <c r="H63569" t="str">
        <f t="shared" si="1042"/>
        <v/>
      </c>
    </row>
    <row r="63570" spans="8:8" x14ac:dyDescent="0.3">
      <c r="H63570" t="str">
        <f t="shared" si="1042"/>
        <v/>
      </c>
    </row>
    <row r="63571" spans="8:8" x14ac:dyDescent="0.3">
      <c r="H63571" t="str">
        <f t="shared" si="1042"/>
        <v/>
      </c>
    </row>
    <row r="63572" spans="8:8" x14ac:dyDescent="0.3">
      <c r="H63572" t="str">
        <f t="shared" si="1042"/>
        <v/>
      </c>
    </row>
    <row r="63573" spans="8:8" x14ac:dyDescent="0.3">
      <c r="H63573" t="str">
        <f t="shared" si="1042"/>
        <v/>
      </c>
    </row>
    <row r="63574" spans="8:8" x14ac:dyDescent="0.3">
      <c r="H63574" t="str">
        <f t="shared" si="1042"/>
        <v/>
      </c>
    </row>
    <row r="63575" spans="8:8" x14ac:dyDescent="0.3">
      <c r="H63575" t="str">
        <f t="shared" ref="H63575:H63638" si="1043">IF(B63575="","",$C$12)</f>
        <v/>
      </c>
    </row>
    <row r="63576" spans="8:8" x14ac:dyDescent="0.3">
      <c r="H63576" t="str">
        <f t="shared" si="1043"/>
        <v/>
      </c>
    </row>
    <row r="63577" spans="8:8" x14ac:dyDescent="0.3">
      <c r="H63577" t="str">
        <f t="shared" si="1043"/>
        <v/>
      </c>
    </row>
    <row r="63578" spans="8:8" x14ac:dyDescent="0.3">
      <c r="H63578" t="str">
        <f t="shared" si="1043"/>
        <v/>
      </c>
    </row>
    <row r="63579" spans="8:8" x14ac:dyDescent="0.3">
      <c r="H63579" t="str">
        <f t="shared" si="1043"/>
        <v/>
      </c>
    </row>
    <row r="63580" spans="8:8" x14ac:dyDescent="0.3">
      <c r="H63580" t="str">
        <f t="shared" si="1043"/>
        <v/>
      </c>
    </row>
    <row r="63581" spans="8:8" x14ac:dyDescent="0.3">
      <c r="H63581" t="str">
        <f t="shared" si="1043"/>
        <v/>
      </c>
    </row>
    <row r="63582" spans="8:8" x14ac:dyDescent="0.3">
      <c r="H63582" t="str">
        <f t="shared" si="1043"/>
        <v/>
      </c>
    </row>
    <row r="63583" spans="8:8" x14ac:dyDescent="0.3">
      <c r="H63583" t="str">
        <f t="shared" si="1043"/>
        <v/>
      </c>
    </row>
    <row r="63584" spans="8:8" x14ac:dyDescent="0.3">
      <c r="H63584" t="str">
        <f t="shared" si="1043"/>
        <v/>
      </c>
    </row>
    <row r="63585" spans="8:8" x14ac:dyDescent="0.3">
      <c r="H63585" t="str">
        <f t="shared" si="1043"/>
        <v/>
      </c>
    </row>
    <row r="63586" spans="8:8" x14ac:dyDescent="0.3">
      <c r="H63586" t="str">
        <f t="shared" si="1043"/>
        <v/>
      </c>
    </row>
    <row r="63587" spans="8:8" x14ac:dyDescent="0.3">
      <c r="H63587" t="str">
        <f t="shared" si="1043"/>
        <v/>
      </c>
    </row>
    <row r="63588" spans="8:8" x14ac:dyDescent="0.3">
      <c r="H63588" t="str">
        <f t="shared" si="1043"/>
        <v/>
      </c>
    </row>
    <row r="63589" spans="8:8" x14ac:dyDescent="0.3">
      <c r="H63589" t="str">
        <f t="shared" si="1043"/>
        <v/>
      </c>
    </row>
    <row r="63590" spans="8:8" x14ac:dyDescent="0.3">
      <c r="H63590" t="str">
        <f t="shared" si="1043"/>
        <v/>
      </c>
    </row>
    <row r="63591" spans="8:8" x14ac:dyDescent="0.3">
      <c r="H63591" t="str">
        <f t="shared" si="1043"/>
        <v/>
      </c>
    </row>
    <row r="63592" spans="8:8" x14ac:dyDescent="0.3">
      <c r="H63592" t="str">
        <f t="shared" si="1043"/>
        <v/>
      </c>
    </row>
    <row r="63593" spans="8:8" x14ac:dyDescent="0.3">
      <c r="H63593" t="str">
        <f t="shared" si="1043"/>
        <v/>
      </c>
    </row>
    <row r="63594" spans="8:8" x14ac:dyDescent="0.3">
      <c r="H63594" t="str">
        <f t="shared" si="1043"/>
        <v/>
      </c>
    </row>
    <row r="63595" spans="8:8" x14ac:dyDescent="0.3">
      <c r="H63595" t="str">
        <f t="shared" si="1043"/>
        <v/>
      </c>
    </row>
    <row r="63596" spans="8:8" x14ac:dyDescent="0.3">
      <c r="H63596" t="str">
        <f t="shared" si="1043"/>
        <v/>
      </c>
    </row>
    <row r="63597" spans="8:8" x14ac:dyDescent="0.3">
      <c r="H63597" t="str">
        <f t="shared" si="1043"/>
        <v/>
      </c>
    </row>
    <row r="63598" spans="8:8" x14ac:dyDescent="0.3">
      <c r="H63598" t="str">
        <f t="shared" si="1043"/>
        <v/>
      </c>
    </row>
    <row r="63599" spans="8:8" x14ac:dyDescent="0.3">
      <c r="H63599" t="str">
        <f t="shared" si="1043"/>
        <v/>
      </c>
    </row>
    <row r="63600" spans="8:8" x14ac:dyDescent="0.3">
      <c r="H63600" t="str">
        <f t="shared" si="1043"/>
        <v/>
      </c>
    </row>
    <row r="63601" spans="8:8" x14ac:dyDescent="0.3">
      <c r="H63601" t="str">
        <f t="shared" si="1043"/>
        <v/>
      </c>
    </row>
    <row r="63602" spans="8:8" x14ac:dyDescent="0.3">
      <c r="H63602" t="str">
        <f t="shared" si="1043"/>
        <v/>
      </c>
    </row>
    <row r="63603" spans="8:8" x14ac:dyDescent="0.3">
      <c r="H63603" t="str">
        <f t="shared" si="1043"/>
        <v/>
      </c>
    </row>
    <row r="63604" spans="8:8" x14ac:dyDescent="0.3">
      <c r="H63604" t="str">
        <f t="shared" si="1043"/>
        <v/>
      </c>
    </row>
    <row r="63605" spans="8:8" x14ac:dyDescent="0.3">
      <c r="H63605" t="str">
        <f t="shared" si="1043"/>
        <v/>
      </c>
    </row>
    <row r="63606" spans="8:8" x14ac:dyDescent="0.3">
      <c r="H63606" t="str">
        <f t="shared" si="1043"/>
        <v/>
      </c>
    </row>
    <row r="63607" spans="8:8" x14ac:dyDescent="0.3">
      <c r="H63607" t="str">
        <f t="shared" si="1043"/>
        <v/>
      </c>
    </row>
    <row r="63608" spans="8:8" x14ac:dyDescent="0.3">
      <c r="H63608" t="str">
        <f t="shared" si="1043"/>
        <v/>
      </c>
    </row>
    <row r="63609" spans="8:8" x14ac:dyDescent="0.3">
      <c r="H63609" t="str">
        <f t="shared" si="1043"/>
        <v/>
      </c>
    </row>
    <row r="63610" spans="8:8" x14ac:dyDescent="0.3">
      <c r="H63610" t="str">
        <f t="shared" si="1043"/>
        <v/>
      </c>
    </row>
    <row r="63611" spans="8:8" x14ac:dyDescent="0.3">
      <c r="H63611" t="str">
        <f t="shared" si="1043"/>
        <v/>
      </c>
    </row>
    <row r="63612" spans="8:8" x14ac:dyDescent="0.3">
      <c r="H63612" t="str">
        <f t="shared" si="1043"/>
        <v/>
      </c>
    </row>
    <row r="63613" spans="8:8" x14ac:dyDescent="0.3">
      <c r="H63613" t="str">
        <f t="shared" si="1043"/>
        <v/>
      </c>
    </row>
    <row r="63614" spans="8:8" x14ac:dyDescent="0.3">
      <c r="H63614" t="str">
        <f t="shared" si="1043"/>
        <v/>
      </c>
    </row>
    <row r="63615" spans="8:8" x14ac:dyDescent="0.3">
      <c r="H63615" t="str">
        <f t="shared" si="1043"/>
        <v/>
      </c>
    </row>
    <row r="63616" spans="8:8" x14ac:dyDescent="0.3">
      <c r="H63616" t="str">
        <f t="shared" si="1043"/>
        <v/>
      </c>
    </row>
    <row r="63617" spans="8:8" x14ac:dyDescent="0.3">
      <c r="H63617" t="str">
        <f t="shared" si="1043"/>
        <v/>
      </c>
    </row>
    <row r="63618" spans="8:8" x14ac:dyDescent="0.3">
      <c r="H63618" t="str">
        <f t="shared" si="1043"/>
        <v/>
      </c>
    </row>
    <row r="63619" spans="8:8" x14ac:dyDescent="0.3">
      <c r="H63619" t="str">
        <f t="shared" si="1043"/>
        <v/>
      </c>
    </row>
    <row r="63620" spans="8:8" x14ac:dyDescent="0.3">
      <c r="H63620" t="str">
        <f t="shared" si="1043"/>
        <v/>
      </c>
    </row>
    <row r="63621" spans="8:8" x14ac:dyDescent="0.3">
      <c r="H63621" t="str">
        <f t="shared" si="1043"/>
        <v/>
      </c>
    </row>
    <row r="63622" spans="8:8" x14ac:dyDescent="0.3">
      <c r="H63622" t="str">
        <f t="shared" si="1043"/>
        <v/>
      </c>
    </row>
    <row r="63623" spans="8:8" x14ac:dyDescent="0.3">
      <c r="H63623" t="str">
        <f t="shared" si="1043"/>
        <v/>
      </c>
    </row>
    <row r="63624" spans="8:8" x14ac:dyDescent="0.3">
      <c r="H63624" t="str">
        <f t="shared" si="1043"/>
        <v/>
      </c>
    </row>
    <row r="63625" spans="8:8" x14ac:dyDescent="0.3">
      <c r="H63625" t="str">
        <f t="shared" si="1043"/>
        <v/>
      </c>
    </row>
    <row r="63626" spans="8:8" x14ac:dyDescent="0.3">
      <c r="H63626" t="str">
        <f t="shared" si="1043"/>
        <v/>
      </c>
    </row>
    <row r="63627" spans="8:8" x14ac:dyDescent="0.3">
      <c r="H63627" t="str">
        <f t="shared" si="1043"/>
        <v/>
      </c>
    </row>
    <row r="63628" spans="8:8" x14ac:dyDescent="0.3">
      <c r="H63628" t="str">
        <f t="shared" si="1043"/>
        <v/>
      </c>
    </row>
    <row r="63629" spans="8:8" x14ac:dyDescent="0.3">
      <c r="H63629" t="str">
        <f t="shared" si="1043"/>
        <v/>
      </c>
    </row>
    <row r="63630" spans="8:8" x14ac:dyDescent="0.3">
      <c r="H63630" t="str">
        <f t="shared" si="1043"/>
        <v/>
      </c>
    </row>
    <row r="63631" spans="8:8" x14ac:dyDescent="0.3">
      <c r="H63631" t="str">
        <f t="shared" si="1043"/>
        <v/>
      </c>
    </row>
    <row r="63632" spans="8:8" x14ac:dyDescent="0.3">
      <c r="H63632" t="str">
        <f t="shared" si="1043"/>
        <v/>
      </c>
    </row>
    <row r="63633" spans="8:8" x14ac:dyDescent="0.3">
      <c r="H63633" t="str">
        <f t="shared" si="1043"/>
        <v/>
      </c>
    </row>
    <row r="63634" spans="8:8" x14ac:dyDescent="0.3">
      <c r="H63634" t="str">
        <f t="shared" si="1043"/>
        <v/>
      </c>
    </row>
    <row r="63635" spans="8:8" x14ac:dyDescent="0.3">
      <c r="H63635" t="str">
        <f t="shared" si="1043"/>
        <v/>
      </c>
    </row>
    <row r="63636" spans="8:8" x14ac:dyDescent="0.3">
      <c r="H63636" t="str">
        <f t="shared" si="1043"/>
        <v/>
      </c>
    </row>
    <row r="63637" spans="8:8" x14ac:dyDescent="0.3">
      <c r="H63637" t="str">
        <f t="shared" si="1043"/>
        <v/>
      </c>
    </row>
    <row r="63638" spans="8:8" x14ac:dyDescent="0.3">
      <c r="H63638" t="str">
        <f t="shared" si="1043"/>
        <v/>
      </c>
    </row>
    <row r="63639" spans="8:8" x14ac:dyDescent="0.3">
      <c r="H63639" t="str">
        <f t="shared" ref="H63639:H63702" si="1044">IF(B63639="","",$C$12)</f>
        <v/>
      </c>
    </row>
    <row r="63640" spans="8:8" x14ac:dyDescent="0.3">
      <c r="H63640" t="str">
        <f t="shared" si="1044"/>
        <v/>
      </c>
    </row>
    <row r="63641" spans="8:8" x14ac:dyDescent="0.3">
      <c r="H63641" t="str">
        <f t="shared" si="1044"/>
        <v/>
      </c>
    </row>
    <row r="63642" spans="8:8" x14ac:dyDescent="0.3">
      <c r="H63642" t="str">
        <f t="shared" si="1044"/>
        <v/>
      </c>
    </row>
    <row r="63643" spans="8:8" x14ac:dyDescent="0.3">
      <c r="H63643" t="str">
        <f t="shared" si="1044"/>
        <v/>
      </c>
    </row>
    <row r="63644" spans="8:8" x14ac:dyDescent="0.3">
      <c r="H63644" t="str">
        <f t="shared" si="1044"/>
        <v/>
      </c>
    </row>
    <row r="63645" spans="8:8" x14ac:dyDescent="0.3">
      <c r="H63645" t="str">
        <f t="shared" si="1044"/>
        <v/>
      </c>
    </row>
    <row r="63646" spans="8:8" x14ac:dyDescent="0.3">
      <c r="H63646" t="str">
        <f t="shared" si="1044"/>
        <v/>
      </c>
    </row>
    <row r="63647" spans="8:8" x14ac:dyDescent="0.3">
      <c r="H63647" t="str">
        <f t="shared" si="1044"/>
        <v/>
      </c>
    </row>
    <row r="63648" spans="8:8" x14ac:dyDescent="0.3">
      <c r="H63648" t="str">
        <f t="shared" si="1044"/>
        <v/>
      </c>
    </row>
    <row r="63649" spans="8:8" x14ac:dyDescent="0.3">
      <c r="H63649" t="str">
        <f t="shared" si="1044"/>
        <v/>
      </c>
    </row>
    <row r="63650" spans="8:8" x14ac:dyDescent="0.3">
      <c r="H63650" t="str">
        <f t="shared" si="1044"/>
        <v/>
      </c>
    </row>
    <row r="63651" spans="8:8" x14ac:dyDescent="0.3">
      <c r="H63651" t="str">
        <f t="shared" si="1044"/>
        <v/>
      </c>
    </row>
    <row r="63652" spans="8:8" x14ac:dyDescent="0.3">
      <c r="H63652" t="str">
        <f t="shared" si="1044"/>
        <v/>
      </c>
    </row>
    <row r="63653" spans="8:8" x14ac:dyDescent="0.3">
      <c r="H63653" t="str">
        <f t="shared" si="1044"/>
        <v/>
      </c>
    </row>
    <row r="63654" spans="8:8" x14ac:dyDescent="0.3">
      <c r="H63654" t="str">
        <f t="shared" si="1044"/>
        <v/>
      </c>
    </row>
    <row r="63655" spans="8:8" x14ac:dyDescent="0.3">
      <c r="H63655" t="str">
        <f t="shared" si="1044"/>
        <v/>
      </c>
    </row>
    <row r="63656" spans="8:8" x14ac:dyDescent="0.3">
      <c r="H63656" t="str">
        <f t="shared" si="1044"/>
        <v/>
      </c>
    </row>
    <row r="63657" spans="8:8" x14ac:dyDescent="0.3">
      <c r="H63657" t="str">
        <f t="shared" si="1044"/>
        <v/>
      </c>
    </row>
    <row r="63658" spans="8:8" x14ac:dyDescent="0.3">
      <c r="H63658" t="str">
        <f t="shared" si="1044"/>
        <v/>
      </c>
    </row>
    <row r="63659" spans="8:8" x14ac:dyDescent="0.3">
      <c r="H63659" t="str">
        <f t="shared" si="1044"/>
        <v/>
      </c>
    </row>
    <row r="63660" spans="8:8" x14ac:dyDescent="0.3">
      <c r="H63660" t="str">
        <f t="shared" si="1044"/>
        <v/>
      </c>
    </row>
    <row r="63661" spans="8:8" x14ac:dyDescent="0.3">
      <c r="H63661" t="str">
        <f t="shared" si="1044"/>
        <v/>
      </c>
    </row>
    <row r="63662" spans="8:8" x14ac:dyDescent="0.3">
      <c r="H63662" t="str">
        <f t="shared" si="1044"/>
        <v/>
      </c>
    </row>
    <row r="63663" spans="8:8" x14ac:dyDescent="0.3">
      <c r="H63663" t="str">
        <f t="shared" si="1044"/>
        <v/>
      </c>
    </row>
    <row r="63664" spans="8:8" x14ac:dyDescent="0.3">
      <c r="H63664" t="str">
        <f t="shared" si="1044"/>
        <v/>
      </c>
    </row>
    <row r="63665" spans="8:8" x14ac:dyDescent="0.3">
      <c r="H63665" t="str">
        <f t="shared" si="1044"/>
        <v/>
      </c>
    </row>
    <row r="63666" spans="8:8" x14ac:dyDescent="0.3">
      <c r="H63666" t="str">
        <f t="shared" si="1044"/>
        <v/>
      </c>
    </row>
    <row r="63667" spans="8:8" x14ac:dyDescent="0.3">
      <c r="H63667" t="str">
        <f t="shared" si="1044"/>
        <v/>
      </c>
    </row>
    <row r="63668" spans="8:8" x14ac:dyDescent="0.3">
      <c r="H63668" t="str">
        <f t="shared" si="1044"/>
        <v/>
      </c>
    </row>
    <row r="63669" spans="8:8" x14ac:dyDescent="0.3">
      <c r="H63669" t="str">
        <f t="shared" si="1044"/>
        <v/>
      </c>
    </row>
    <row r="63670" spans="8:8" x14ac:dyDescent="0.3">
      <c r="H63670" t="str">
        <f t="shared" si="1044"/>
        <v/>
      </c>
    </row>
    <row r="63671" spans="8:8" x14ac:dyDescent="0.3">
      <c r="H63671" t="str">
        <f t="shared" si="1044"/>
        <v/>
      </c>
    </row>
    <row r="63672" spans="8:8" x14ac:dyDescent="0.3">
      <c r="H63672" t="str">
        <f t="shared" si="1044"/>
        <v/>
      </c>
    </row>
    <row r="63673" spans="8:8" x14ac:dyDescent="0.3">
      <c r="H63673" t="str">
        <f t="shared" si="1044"/>
        <v/>
      </c>
    </row>
    <row r="63674" spans="8:8" x14ac:dyDescent="0.3">
      <c r="H63674" t="str">
        <f t="shared" si="1044"/>
        <v/>
      </c>
    </row>
    <row r="63675" spans="8:8" x14ac:dyDescent="0.3">
      <c r="H63675" t="str">
        <f t="shared" si="1044"/>
        <v/>
      </c>
    </row>
    <row r="63676" spans="8:8" x14ac:dyDescent="0.3">
      <c r="H63676" t="str">
        <f t="shared" si="1044"/>
        <v/>
      </c>
    </row>
    <row r="63677" spans="8:8" x14ac:dyDescent="0.3">
      <c r="H63677" t="str">
        <f t="shared" si="1044"/>
        <v/>
      </c>
    </row>
    <row r="63678" spans="8:8" x14ac:dyDescent="0.3">
      <c r="H63678" t="str">
        <f t="shared" si="1044"/>
        <v/>
      </c>
    </row>
    <row r="63679" spans="8:8" x14ac:dyDescent="0.3">
      <c r="H63679" t="str">
        <f t="shared" si="1044"/>
        <v/>
      </c>
    </row>
    <row r="63680" spans="8:8" x14ac:dyDescent="0.3">
      <c r="H63680" t="str">
        <f t="shared" si="1044"/>
        <v/>
      </c>
    </row>
    <row r="63681" spans="8:8" x14ac:dyDescent="0.3">
      <c r="H63681" t="str">
        <f t="shared" si="1044"/>
        <v/>
      </c>
    </row>
    <row r="63682" spans="8:8" x14ac:dyDescent="0.3">
      <c r="H63682" t="str">
        <f t="shared" si="1044"/>
        <v/>
      </c>
    </row>
    <row r="63683" spans="8:8" x14ac:dyDescent="0.3">
      <c r="H63683" t="str">
        <f t="shared" si="1044"/>
        <v/>
      </c>
    </row>
    <row r="63684" spans="8:8" x14ac:dyDescent="0.3">
      <c r="H63684" t="str">
        <f t="shared" si="1044"/>
        <v/>
      </c>
    </row>
    <row r="63685" spans="8:8" x14ac:dyDescent="0.3">
      <c r="H63685" t="str">
        <f t="shared" si="1044"/>
        <v/>
      </c>
    </row>
    <row r="63686" spans="8:8" x14ac:dyDescent="0.3">
      <c r="H63686" t="str">
        <f t="shared" si="1044"/>
        <v/>
      </c>
    </row>
    <row r="63687" spans="8:8" x14ac:dyDescent="0.3">
      <c r="H63687" t="str">
        <f t="shared" si="1044"/>
        <v/>
      </c>
    </row>
    <row r="63688" spans="8:8" x14ac:dyDescent="0.3">
      <c r="H63688" t="str">
        <f t="shared" si="1044"/>
        <v/>
      </c>
    </row>
    <row r="63689" spans="8:8" x14ac:dyDescent="0.3">
      <c r="H63689" t="str">
        <f t="shared" si="1044"/>
        <v/>
      </c>
    </row>
    <row r="63690" spans="8:8" x14ac:dyDescent="0.3">
      <c r="H63690" t="str">
        <f t="shared" si="1044"/>
        <v/>
      </c>
    </row>
    <row r="63691" spans="8:8" x14ac:dyDescent="0.3">
      <c r="H63691" t="str">
        <f t="shared" si="1044"/>
        <v/>
      </c>
    </row>
    <row r="63692" spans="8:8" x14ac:dyDescent="0.3">
      <c r="H63692" t="str">
        <f t="shared" si="1044"/>
        <v/>
      </c>
    </row>
    <row r="63693" spans="8:8" x14ac:dyDescent="0.3">
      <c r="H63693" t="str">
        <f t="shared" si="1044"/>
        <v/>
      </c>
    </row>
    <row r="63694" spans="8:8" x14ac:dyDescent="0.3">
      <c r="H63694" t="str">
        <f t="shared" si="1044"/>
        <v/>
      </c>
    </row>
    <row r="63695" spans="8:8" x14ac:dyDescent="0.3">
      <c r="H63695" t="str">
        <f t="shared" si="1044"/>
        <v/>
      </c>
    </row>
    <row r="63696" spans="8:8" x14ac:dyDescent="0.3">
      <c r="H63696" t="str">
        <f t="shared" si="1044"/>
        <v/>
      </c>
    </row>
    <row r="63697" spans="8:8" x14ac:dyDescent="0.3">
      <c r="H63697" t="str">
        <f t="shared" si="1044"/>
        <v/>
      </c>
    </row>
    <row r="63698" spans="8:8" x14ac:dyDescent="0.3">
      <c r="H63698" t="str">
        <f t="shared" si="1044"/>
        <v/>
      </c>
    </row>
    <row r="63699" spans="8:8" x14ac:dyDescent="0.3">
      <c r="H63699" t="str">
        <f t="shared" si="1044"/>
        <v/>
      </c>
    </row>
    <row r="63700" spans="8:8" x14ac:dyDescent="0.3">
      <c r="H63700" t="str">
        <f t="shared" si="1044"/>
        <v/>
      </c>
    </row>
    <row r="63701" spans="8:8" x14ac:dyDescent="0.3">
      <c r="H63701" t="str">
        <f t="shared" si="1044"/>
        <v/>
      </c>
    </row>
    <row r="63702" spans="8:8" x14ac:dyDescent="0.3">
      <c r="H63702" t="str">
        <f t="shared" si="1044"/>
        <v/>
      </c>
    </row>
    <row r="63703" spans="8:8" x14ac:dyDescent="0.3">
      <c r="H63703" t="str">
        <f t="shared" ref="H63703:H63766" si="1045">IF(B63703="","",$C$12)</f>
        <v/>
      </c>
    </row>
    <row r="63704" spans="8:8" x14ac:dyDescent="0.3">
      <c r="H63704" t="str">
        <f t="shared" si="1045"/>
        <v/>
      </c>
    </row>
    <row r="63705" spans="8:8" x14ac:dyDescent="0.3">
      <c r="H63705" t="str">
        <f t="shared" si="1045"/>
        <v/>
      </c>
    </row>
    <row r="63706" spans="8:8" x14ac:dyDescent="0.3">
      <c r="H63706" t="str">
        <f t="shared" si="1045"/>
        <v/>
      </c>
    </row>
    <row r="63707" spans="8:8" x14ac:dyDescent="0.3">
      <c r="H63707" t="str">
        <f t="shared" si="1045"/>
        <v/>
      </c>
    </row>
    <row r="63708" spans="8:8" x14ac:dyDescent="0.3">
      <c r="H63708" t="str">
        <f t="shared" si="1045"/>
        <v/>
      </c>
    </row>
    <row r="63709" spans="8:8" x14ac:dyDescent="0.3">
      <c r="H63709" t="str">
        <f t="shared" si="1045"/>
        <v/>
      </c>
    </row>
    <row r="63710" spans="8:8" x14ac:dyDescent="0.3">
      <c r="H63710" t="str">
        <f t="shared" si="1045"/>
        <v/>
      </c>
    </row>
    <row r="63711" spans="8:8" x14ac:dyDescent="0.3">
      <c r="H63711" t="str">
        <f t="shared" si="1045"/>
        <v/>
      </c>
    </row>
    <row r="63712" spans="8:8" x14ac:dyDescent="0.3">
      <c r="H63712" t="str">
        <f t="shared" si="1045"/>
        <v/>
      </c>
    </row>
    <row r="63713" spans="8:8" x14ac:dyDescent="0.3">
      <c r="H63713" t="str">
        <f t="shared" si="1045"/>
        <v/>
      </c>
    </row>
    <row r="63714" spans="8:8" x14ac:dyDescent="0.3">
      <c r="H63714" t="str">
        <f t="shared" si="1045"/>
        <v/>
      </c>
    </row>
    <row r="63715" spans="8:8" x14ac:dyDescent="0.3">
      <c r="H63715" t="str">
        <f t="shared" si="1045"/>
        <v/>
      </c>
    </row>
    <row r="63716" spans="8:8" x14ac:dyDescent="0.3">
      <c r="H63716" t="str">
        <f t="shared" si="1045"/>
        <v/>
      </c>
    </row>
    <row r="63717" spans="8:8" x14ac:dyDescent="0.3">
      <c r="H63717" t="str">
        <f t="shared" si="1045"/>
        <v/>
      </c>
    </row>
    <row r="63718" spans="8:8" x14ac:dyDescent="0.3">
      <c r="H63718" t="str">
        <f t="shared" si="1045"/>
        <v/>
      </c>
    </row>
    <row r="63719" spans="8:8" x14ac:dyDescent="0.3">
      <c r="H63719" t="str">
        <f t="shared" si="1045"/>
        <v/>
      </c>
    </row>
    <row r="63720" spans="8:8" x14ac:dyDescent="0.3">
      <c r="H63720" t="str">
        <f t="shared" si="1045"/>
        <v/>
      </c>
    </row>
    <row r="63721" spans="8:8" x14ac:dyDescent="0.3">
      <c r="H63721" t="str">
        <f t="shared" si="1045"/>
        <v/>
      </c>
    </row>
    <row r="63722" spans="8:8" x14ac:dyDescent="0.3">
      <c r="H63722" t="str">
        <f t="shared" si="1045"/>
        <v/>
      </c>
    </row>
    <row r="63723" spans="8:8" x14ac:dyDescent="0.3">
      <c r="H63723" t="str">
        <f t="shared" si="1045"/>
        <v/>
      </c>
    </row>
    <row r="63724" spans="8:8" x14ac:dyDescent="0.3">
      <c r="H63724" t="str">
        <f t="shared" si="1045"/>
        <v/>
      </c>
    </row>
    <row r="63725" spans="8:8" x14ac:dyDescent="0.3">
      <c r="H63725" t="str">
        <f t="shared" si="1045"/>
        <v/>
      </c>
    </row>
    <row r="63726" spans="8:8" x14ac:dyDescent="0.3">
      <c r="H63726" t="str">
        <f t="shared" si="1045"/>
        <v/>
      </c>
    </row>
    <row r="63727" spans="8:8" x14ac:dyDescent="0.3">
      <c r="H63727" t="str">
        <f t="shared" si="1045"/>
        <v/>
      </c>
    </row>
    <row r="63728" spans="8:8" x14ac:dyDescent="0.3">
      <c r="H63728" t="str">
        <f t="shared" si="1045"/>
        <v/>
      </c>
    </row>
    <row r="63729" spans="8:8" x14ac:dyDescent="0.3">
      <c r="H63729" t="str">
        <f t="shared" si="1045"/>
        <v/>
      </c>
    </row>
    <row r="63730" spans="8:8" x14ac:dyDescent="0.3">
      <c r="H63730" t="str">
        <f t="shared" si="1045"/>
        <v/>
      </c>
    </row>
    <row r="63731" spans="8:8" x14ac:dyDescent="0.3">
      <c r="H63731" t="str">
        <f t="shared" si="1045"/>
        <v/>
      </c>
    </row>
    <row r="63732" spans="8:8" x14ac:dyDescent="0.3">
      <c r="H63732" t="str">
        <f t="shared" si="1045"/>
        <v/>
      </c>
    </row>
    <row r="63733" spans="8:8" x14ac:dyDescent="0.3">
      <c r="H63733" t="str">
        <f t="shared" si="1045"/>
        <v/>
      </c>
    </row>
    <row r="63734" spans="8:8" x14ac:dyDescent="0.3">
      <c r="H63734" t="str">
        <f t="shared" si="1045"/>
        <v/>
      </c>
    </row>
    <row r="63735" spans="8:8" x14ac:dyDescent="0.3">
      <c r="H63735" t="str">
        <f t="shared" si="1045"/>
        <v/>
      </c>
    </row>
    <row r="63736" spans="8:8" x14ac:dyDescent="0.3">
      <c r="H63736" t="str">
        <f t="shared" si="1045"/>
        <v/>
      </c>
    </row>
    <row r="63737" spans="8:8" x14ac:dyDescent="0.3">
      <c r="H63737" t="str">
        <f t="shared" si="1045"/>
        <v/>
      </c>
    </row>
    <row r="63738" spans="8:8" x14ac:dyDescent="0.3">
      <c r="H63738" t="str">
        <f t="shared" si="1045"/>
        <v/>
      </c>
    </row>
    <row r="63739" spans="8:8" x14ac:dyDescent="0.3">
      <c r="H63739" t="str">
        <f t="shared" si="1045"/>
        <v/>
      </c>
    </row>
    <row r="63740" spans="8:8" x14ac:dyDescent="0.3">
      <c r="H63740" t="str">
        <f t="shared" si="1045"/>
        <v/>
      </c>
    </row>
    <row r="63741" spans="8:8" x14ac:dyDescent="0.3">
      <c r="H63741" t="str">
        <f t="shared" si="1045"/>
        <v/>
      </c>
    </row>
    <row r="63742" spans="8:8" x14ac:dyDescent="0.3">
      <c r="H63742" t="str">
        <f t="shared" si="1045"/>
        <v/>
      </c>
    </row>
    <row r="63743" spans="8:8" x14ac:dyDescent="0.3">
      <c r="H63743" t="str">
        <f t="shared" si="1045"/>
        <v/>
      </c>
    </row>
    <row r="63744" spans="8:8" x14ac:dyDescent="0.3">
      <c r="H63744" t="str">
        <f t="shared" si="1045"/>
        <v/>
      </c>
    </row>
    <row r="63745" spans="8:8" x14ac:dyDescent="0.3">
      <c r="H63745" t="str">
        <f t="shared" si="1045"/>
        <v/>
      </c>
    </row>
    <row r="63746" spans="8:8" x14ac:dyDescent="0.3">
      <c r="H63746" t="str">
        <f t="shared" si="1045"/>
        <v/>
      </c>
    </row>
    <row r="63747" spans="8:8" x14ac:dyDescent="0.3">
      <c r="H63747" t="str">
        <f t="shared" si="1045"/>
        <v/>
      </c>
    </row>
    <row r="63748" spans="8:8" x14ac:dyDescent="0.3">
      <c r="H63748" t="str">
        <f t="shared" si="1045"/>
        <v/>
      </c>
    </row>
    <row r="63749" spans="8:8" x14ac:dyDescent="0.3">
      <c r="H63749" t="str">
        <f t="shared" si="1045"/>
        <v/>
      </c>
    </row>
    <row r="63750" spans="8:8" x14ac:dyDescent="0.3">
      <c r="H63750" t="str">
        <f t="shared" si="1045"/>
        <v/>
      </c>
    </row>
    <row r="63751" spans="8:8" x14ac:dyDescent="0.3">
      <c r="H63751" t="str">
        <f t="shared" si="1045"/>
        <v/>
      </c>
    </row>
    <row r="63752" spans="8:8" x14ac:dyDescent="0.3">
      <c r="H63752" t="str">
        <f t="shared" si="1045"/>
        <v/>
      </c>
    </row>
    <row r="63753" spans="8:8" x14ac:dyDescent="0.3">
      <c r="H63753" t="str">
        <f t="shared" si="1045"/>
        <v/>
      </c>
    </row>
    <row r="63754" spans="8:8" x14ac:dyDescent="0.3">
      <c r="H63754" t="str">
        <f t="shared" si="1045"/>
        <v/>
      </c>
    </row>
    <row r="63755" spans="8:8" x14ac:dyDescent="0.3">
      <c r="H63755" t="str">
        <f t="shared" si="1045"/>
        <v/>
      </c>
    </row>
    <row r="63756" spans="8:8" x14ac:dyDescent="0.3">
      <c r="H63756" t="str">
        <f t="shared" si="1045"/>
        <v/>
      </c>
    </row>
    <row r="63757" spans="8:8" x14ac:dyDescent="0.3">
      <c r="H63757" t="str">
        <f t="shared" si="1045"/>
        <v/>
      </c>
    </row>
    <row r="63758" spans="8:8" x14ac:dyDescent="0.3">
      <c r="H63758" t="str">
        <f t="shared" si="1045"/>
        <v/>
      </c>
    </row>
    <row r="63759" spans="8:8" x14ac:dyDescent="0.3">
      <c r="H63759" t="str">
        <f t="shared" si="1045"/>
        <v/>
      </c>
    </row>
    <row r="63760" spans="8:8" x14ac:dyDescent="0.3">
      <c r="H63760" t="str">
        <f t="shared" si="1045"/>
        <v/>
      </c>
    </row>
    <row r="63761" spans="8:8" x14ac:dyDescent="0.3">
      <c r="H63761" t="str">
        <f t="shared" si="1045"/>
        <v/>
      </c>
    </row>
    <row r="63762" spans="8:8" x14ac:dyDescent="0.3">
      <c r="H63762" t="str">
        <f t="shared" si="1045"/>
        <v/>
      </c>
    </row>
    <row r="63763" spans="8:8" x14ac:dyDescent="0.3">
      <c r="H63763" t="str">
        <f t="shared" si="1045"/>
        <v/>
      </c>
    </row>
    <row r="63764" spans="8:8" x14ac:dyDescent="0.3">
      <c r="H63764" t="str">
        <f t="shared" si="1045"/>
        <v/>
      </c>
    </row>
    <row r="63765" spans="8:8" x14ac:dyDescent="0.3">
      <c r="H63765" t="str">
        <f t="shared" si="1045"/>
        <v/>
      </c>
    </row>
    <row r="63766" spans="8:8" x14ac:dyDescent="0.3">
      <c r="H63766" t="str">
        <f t="shared" si="1045"/>
        <v/>
      </c>
    </row>
    <row r="63767" spans="8:8" x14ac:dyDescent="0.3">
      <c r="H63767" t="str">
        <f t="shared" ref="H63767:H63830" si="1046">IF(B63767="","",$C$12)</f>
        <v/>
      </c>
    </row>
    <row r="63768" spans="8:8" x14ac:dyDescent="0.3">
      <c r="H63768" t="str">
        <f t="shared" si="1046"/>
        <v/>
      </c>
    </row>
    <row r="63769" spans="8:8" x14ac:dyDescent="0.3">
      <c r="H63769" t="str">
        <f t="shared" si="1046"/>
        <v/>
      </c>
    </row>
    <row r="63770" spans="8:8" x14ac:dyDescent="0.3">
      <c r="H63770" t="str">
        <f t="shared" si="1046"/>
        <v/>
      </c>
    </row>
    <row r="63771" spans="8:8" x14ac:dyDescent="0.3">
      <c r="H63771" t="str">
        <f t="shared" si="1046"/>
        <v/>
      </c>
    </row>
    <row r="63772" spans="8:8" x14ac:dyDescent="0.3">
      <c r="H63772" t="str">
        <f t="shared" si="1046"/>
        <v/>
      </c>
    </row>
    <row r="63773" spans="8:8" x14ac:dyDescent="0.3">
      <c r="H63773" t="str">
        <f t="shared" si="1046"/>
        <v/>
      </c>
    </row>
    <row r="63774" spans="8:8" x14ac:dyDescent="0.3">
      <c r="H63774" t="str">
        <f t="shared" si="1046"/>
        <v/>
      </c>
    </row>
    <row r="63775" spans="8:8" x14ac:dyDescent="0.3">
      <c r="H63775" t="str">
        <f t="shared" si="1046"/>
        <v/>
      </c>
    </row>
    <row r="63776" spans="8:8" x14ac:dyDescent="0.3">
      <c r="H63776" t="str">
        <f t="shared" si="1046"/>
        <v/>
      </c>
    </row>
    <row r="63777" spans="8:8" x14ac:dyDescent="0.3">
      <c r="H63777" t="str">
        <f t="shared" si="1046"/>
        <v/>
      </c>
    </row>
    <row r="63778" spans="8:8" x14ac:dyDescent="0.3">
      <c r="H63778" t="str">
        <f t="shared" si="1046"/>
        <v/>
      </c>
    </row>
    <row r="63779" spans="8:8" x14ac:dyDescent="0.3">
      <c r="H63779" t="str">
        <f t="shared" si="1046"/>
        <v/>
      </c>
    </row>
    <row r="63780" spans="8:8" x14ac:dyDescent="0.3">
      <c r="H63780" t="str">
        <f t="shared" si="1046"/>
        <v/>
      </c>
    </row>
    <row r="63781" spans="8:8" x14ac:dyDescent="0.3">
      <c r="H63781" t="str">
        <f t="shared" si="1046"/>
        <v/>
      </c>
    </row>
    <row r="63782" spans="8:8" x14ac:dyDescent="0.3">
      <c r="H63782" t="str">
        <f t="shared" si="1046"/>
        <v/>
      </c>
    </row>
    <row r="63783" spans="8:8" x14ac:dyDescent="0.3">
      <c r="H63783" t="str">
        <f t="shared" si="1046"/>
        <v/>
      </c>
    </row>
    <row r="63784" spans="8:8" x14ac:dyDescent="0.3">
      <c r="H63784" t="str">
        <f t="shared" si="1046"/>
        <v/>
      </c>
    </row>
    <row r="63785" spans="8:8" x14ac:dyDescent="0.3">
      <c r="H63785" t="str">
        <f t="shared" si="1046"/>
        <v/>
      </c>
    </row>
    <row r="63786" spans="8:8" x14ac:dyDescent="0.3">
      <c r="H63786" t="str">
        <f t="shared" si="1046"/>
        <v/>
      </c>
    </row>
    <row r="63787" spans="8:8" x14ac:dyDescent="0.3">
      <c r="H63787" t="str">
        <f t="shared" si="1046"/>
        <v/>
      </c>
    </row>
    <row r="63788" spans="8:8" x14ac:dyDescent="0.3">
      <c r="H63788" t="str">
        <f t="shared" si="1046"/>
        <v/>
      </c>
    </row>
    <row r="63789" spans="8:8" x14ac:dyDescent="0.3">
      <c r="H63789" t="str">
        <f t="shared" si="1046"/>
        <v/>
      </c>
    </row>
    <row r="63790" spans="8:8" x14ac:dyDescent="0.3">
      <c r="H63790" t="str">
        <f t="shared" si="1046"/>
        <v/>
      </c>
    </row>
    <row r="63791" spans="8:8" x14ac:dyDescent="0.3">
      <c r="H63791" t="str">
        <f t="shared" si="1046"/>
        <v/>
      </c>
    </row>
    <row r="63792" spans="8:8" x14ac:dyDescent="0.3">
      <c r="H63792" t="str">
        <f t="shared" si="1046"/>
        <v/>
      </c>
    </row>
    <row r="63793" spans="8:8" x14ac:dyDescent="0.3">
      <c r="H63793" t="str">
        <f t="shared" si="1046"/>
        <v/>
      </c>
    </row>
    <row r="63794" spans="8:8" x14ac:dyDescent="0.3">
      <c r="H63794" t="str">
        <f t="shared" si="1046"/>
        <v/>
      </c>
    </row>
    <row r="63795" spans="8:8" x14ac:dyDescent="0.3">
      <c r="H63795" t="str">
        <f t="shared" si="1046"/>
        <v/>
      </c>
    </row>
    <row r="63796" spans="8:8" x14ac:dyDescent="0.3">
      <c r="H63796" t="str">
        <f t="shared" si="1046"/>
        <v/>
      </c>
    </row>
    <row r="63797" spans="8:8" x14ac:dyDescent="0.3">
      <c r="H63797" t="str">
        <f t="shared" si="1046"/>
        <v/>
      </c>
    </row>
    <row r="63798" spans="8:8" x14ac:dyDescent="0.3">
      <c r="H63798" t="str">
        <f t="shared" si="1046"/>
        <v/>
      </c>
    </row>
    <row r="63799" spans="8:8" x14ac:dyDescent="0.3">
      <c r="H63799" t="str">
        <f t="shared" si="1046"/>
        <v/>
      </c>
    </row>
    <row r="63800" spans="8:8" x14ac:dyDescent="0.3">
      <c r="H63800" t="str">
        <f t="shared" si="1046"/>
        <v/>
      </c>
    </row>
    <row r="63801" spans="8:8" x14ac:dyDescent="0.3">
      <c r="H63801" t="str">
        <f t="shared" si="1046"/>
        <v/>
      </c>
    </row>
    <row r="63802" spans="8:8" x14ac:dyDescent="0.3">
      <c r="H63802" t="str">
        <f t="shared" si="1046"/>
        <v/>
      </c>
    </row>
    <row r="63803" spans="8:8" x14ac:dyDescent="0.3">
      <c r="H63803" t="str">
        <f t="shared" si="1046"/>
        <v/>
      </c>
    </row>
    <row r="63804" spans="8:8" x14ac:dyDescent="0.3">
      <c r="H63804" t="str">
        <f t="shared" si="1046"/>
        <v/>
      </c>
    </row>
    <row r="63805" spans="8:8" x14ac:dyDescent="0.3">
      <c r="H63805" t="str">
        <f t="shared" si="1046"/>
        <v/>
      </c>
    </row>
    <row r="63806" spans="8:8" x14ac:dyDescent="0.3">
      <c r="H63806" t="str">
        <f t="shared" si="1046"/>
        <v/>
      </c>
    </row>
    <row r="63807" spans="8:8" x14ac:dyDescent="0.3">
      <c r="H63807" t="str">
        <f t="shared" si="1046"/>
        <v/>
      </c>
    </row>
    <row r="63808" spans="8:8" x14ac:dyDescent="0.3">
      <c r="H63808" t="str">
        <f t="shared" si="1046"/>
        <v/>
      </c>
    </row>
    <row r="63809" spans="8:8" x14ac:dyDescent="0.3">
      <c r="H63809" t="str">
        <f t="shared" si="1046"/>
        <v/>
      </c>
    </row>
    <row r="63810" spans="8:8" x14ac:dyDescent="0.3">
      <c r="H63810" t="str">
        <f t="shared" si="1046"/>
        <v/>
      </c>
    </row>
    <row r="63811" spans="8:8" x14ac:dyDescent="0.3">
      <c r="H63811" t="str">
        <f t="shared" si="1046"/>
        <v/>
      </c>
    </row>
    <row r="63812" spans="8:8" x14ac:dyDescent="0.3">
      <c r="H63812" t="str">
        <f t="shared" si="1046"/>
        <v/>
      </c>
    </row>
    <row r="63813" spans="8:8" x14ac:dyDescent="0.3">
      <c r="H63813" t="str">
        <f t="shared" si="1046"/>
        <v/>
      </c>
    </row>
    <row r="63814" spans="8:8" x14ac:dyDescent="0.3">
      <c r="H63814" t="str">
        <f t="shared" si="1046"/>
        <v/>
      </c>
    </row>
    <row r="63815" spans="8:8" x14ac:dyDescent="0.3">
      <c r="H63815" t="str">
        <f t="shared" si="1046"/>
        <v/>
      </c>
    </row>
    <row r="63816" spans="8:8" x14ac:dyDescent="0.3">
      <c r="H63816" t="str">
        <f t="shared" si="1046"/>
        <v/>
      </c>
    </row>
    <row r="63817" spans="8:8" x14ac:dyDescent="0.3">
      <c r="H63817" t="str">
        <f t="shared" si="1046"/>
        <v/>
      </c>
    </row>
    <row r="63818" spans="8:8" x14ac:dyDescent="0.3">
      <c r="H63818" t="str">
        <f t="shared" si="1046"/>
        <v/>
      </c>
    </row>
    <row r="63819" spans="8:8" x14ac:dyDescent="0.3">
      <c r="H63819" t="str">
        <f t="shared" si="1046"/>
        <v/>
      </c>
    </row>
    <row r="63820" spans="8:8" x14ac:dyDescent="0.3">
      <c r="H63820" t="str">
        <f t="shared" si="1046"/>
        <v/>
      </c>
    </row>
    <row r="63821" spans="8:8" x14ac:dyDescent="0.3">
      <c r="H63821" t="str">
        <f t="shared" si="1046"/>
        <v/>
      </c>
    </row>
    <row r="63822" spans="8:8" x14ac:dyDescent="0.3">
      <c r="H63822" t="str">
        <f t="shared" si="1046"/>
        <v/>
      </c>
    </row>
    <row r="63823" spans="8:8" x14ac:dyDescent="0.3">
      <c r="H63823" t="str">
        <f t="shared" si="1046"/>
        <v/>
      </c>
    </row>
    <row r="63824" spans="8:8" x14ac:dyDescent="0.3">
      <c r="H63824" t="str">
        <f t="shared" si="1046"/>
        <v/>
      </c>
    </row>
    <row r="63825" spans="8:8" x14ac:dyDescent="0.3">
      <c r="H63825" t="str">
        <f t="shared" si="1046"/>
        <v/>
      </c>
    </row>
    <row r="63826" spans="8:8" x14ac:dyDescent="0.3">
      <c r="H63826" t="str">
        <f t="shared" si="1046"/>
        <v/>
      </c>
    </row>
    <row r="63827" spans="8:8" x14ac:dyDescent="0.3">
      <c r="H63827" t="str">
        <f t="shared" si="1046"/>
        <v/>
      </c>
    </row>
    <row r="63828" spans="8:8" x14ac:dyDescent="0.3">
      <c r="H63828" t="str">
        <f t="shared" si="1046"/>
        <v/>
      </c>
    </row>
    <row r="63829" spans="8:8" x14ac:dyDescent="0.3">
      <c r="H63829" t="str">
        <f t="shared" si="1046"/>
        <v/>
      </c>
    </row>
    <row r="63830" spans="8:8" x14ac:dyDescent="0.3">
      <c r="H63830" t="str">
        <f t="shared" si="1046"/>
        <v/>
      </c>
    </row>
    <row r="63831" spans="8:8" x14ac:dyDescent="0.3">
      <c r="H63831" t="str">
        <f t="shared" ref="H63831:H63894" si="1047">IF(B63831="","",$C$12)</f>
        <v/>
      </c>
    </row>
    <row r="63832" spans="8:8" x14ac:dyDescent="0.3">
      <c r="H63832" t="str">
        <f t="shared" si="1047"/>
        <v/>
      </c>
    </row>
    <row r="63833" spans="8:8" x14ac:dyDescent="0.3">
      <c r="H63833" t="str">
        <f t="shared" si="1047"/>
        <v/>
      </c>
    </row>
    <row r="63834" spans="8:8" x14ac:dyDescent="0.3">
      <c r="H63834" t="str">
        <f t="shared" si="1047"/>
        <v/>
      </c>
    </row>
    <row r="63835" spans="8:8" x14ac:dyDescent="0.3">
      <c r="H63835" t="str">
        <f t="shared" si="1047"/>
        <v/>
      </c>
    </row>
    <row r="63836" spans="8:8" x14ac:dyDescent="0.3">
      <c r="H63836" t="str">
        <f t="shared" si="1047"/>
        <v/>
      </c>
    </row>
    <row r="63837" spans="8:8" x14ac:dyDescent="0.3">
      <c r="H63837" t="str">
        <f t="shared" si="1047"/>
        <v/>
      </c>
    </row>
    <row r="63838" spans="8:8" x14ac:dyDescent="0.3">
      <c r="H63838" t="str">
        <f t="shared" si="1047"/>
        <v/>
      </c>
    </row>
    <row r="63839" spans="8:8" x14ac:dyDescent="0.3">
      <c r="H63839" t="str">
        <f t="shared" si="1047"/>
        <v/>
      </c>
    </row>
    <row r="63840" spans="8:8" x14ac:dyDescent="0.3">
      <c r="H63840" t="str">
        <f t="shared" si="1047"/>
        <v/>
      </c>
    </row>
    <row r="63841" spans="8:8" x14ac:dyDescent="0.3">
      <c r="H63841" t="str">
        <f t="shared" si="1047"/>
        <v/>
      </c>
    </row>
    <row r="63842" spans="8:8" x14ac:dyDescent="0.3">
      <c r="H63842" t="str">
        <f t="shared" si="1047"/>
        <v/>
      </c>
    </row>
    <row r="63843" spans="8:8" x14ac:dyDescent="0.3">
      <c r="H63843" t="str">
        <f t="shared" si="1047"/>
        <v/>
      </c>
    </row>
    <row r="63844" spans="8:8" x14ac:dyDescent="0.3">
      <c r="H63844" t="str">
        <f t="shared" si="1047"/>
        <v/>
      </c>
    </row>
    <row r="63845" spans="8:8" x14ac:dyDescent="0.3">
      <c r="H63845" t="str">
        <f t="shared" si="1047"/>
        <v/>
      </c>
    </row>
    <row r="63846" spans="8:8" x14ac:dyDescent="0.3">
      <c r="H63846" t="str">
        <f t="shared" si="1047"/>
        <v/>
      </c>
    </row>
    <row r="63847" spans="8:8" x14ac:dyDescent="0.3">
      <c r="H63847" t="str">
        <f t="shared" si="1047"/>
        <v/>
      </c>
    </row>
    <row r="63848" spans="8:8" x14ac:dyDescent="0.3">
      <c r="H63848" t="str">
        <f t="shared" si="1047"/>
        <v/>
      </c>
    </row>
    <row r="63849" spans="8:8" x14ac:dyDescent="0.3">
      <c r="H63849" t="str">
        <f t="shared" si="1047"/>
        <v/>
      </c>
    </row>
    <row r="63850" spans="8:8" x14ac:dyDescent="0.3">
      <c r="H63850" t="str">
        <f t="shared" si="1047"/>
        <v/>
      </c>
    </row>
    <row r="63851" spans="8:8" x14ac:dyDescent="0.3">
      <c r="H63851" t="str">
        <f t="shared" si="1047"/>
        <v/>
      </c>
    </row>
    <row r="63852" spans="8:8" x14ac:dyDescent="0.3">
      <c r="H63852" t="str">
        <f t="shared" si="1047"/>
        <v/>
      </c>
    </row>
    <row r="63853" spans="8:8" x14ac:dyDescent="0.3">
      <c r="H63853" t="str">
        <f t="shared" si="1047"/>
        <v/>
      </c>
    </row>
    <row r="63854" spans="8:8" x14ac:dyDescent="0.3">
      <c r="H63854" t="str">
        <f t="shared" si="1047"/>
        <v/>
      </c>
    </row>
    <row r="63855" spans="8:8" x14ac:dyDescent="0.3">
      <c r="H63855" t="str">
        <f t="shared" si="1047"/>
        <v/>
      </c>
    </row>
    <row r="63856" spans="8:8" x14ac:dyDescent="0.3">
      <c r="H63856" t="str">
        <f t="shared" si="1047"/>
        <v/>
      </c>
    </row>
    <row r="63857" spans="8:8" x14ac:dyDescent="0.3">
      <c r="H63857" t="str">
        <f t="shared" si="1047"/>
        <v/>
      </c>
    </row>
    <row r="63858" spans="8:8" x14ac:dyDescent="0.3">
      <c r="H63858" t="str">
        <f t="shared" si="1047"/>
        <v/>
      </c>
    </row>
    <row r="63859" spans="8:8" x14ac:dyDescent="0.3">
      <c r="H63859" t="str">
        <f t="shared" si="1047"/>
        <v/>
      </c>
    </row>
    <row r="63860" spans="8:8" x14ac:dyDescent="0.3">
      <c r="H63860" t="str">
        <f t="shared" si="1047"/>
        <v/>
      </c>
    </row>
    <row r="63861" spans="8:8" x14ac:dyDescent="0.3">
      <c r="H63861" t="str">
        <f t="shared" si="1047"/>
        <v/>
      </c>
    </row>
    <row r="63862" spans="8:8" x14ac:dyDescent="0.3">
      <c r="H63862" t="str">
        <f t="shared" si="1047"/>
        <v/>
      </c>
    </row>
    <row r="63863" spans="8:8" x14ac:dyDescent="0.3">
      <c r="H63863" t="str">
        <f t="shared" si="1047"/>
        <v/>
      </c>
    </row>
    <row r="63864" spans="8:8" x14ac:dyDescent="0.3">
      <c r="H63864" t="str">
        <f t="shared" si="1047"/>
        <v/>
      </c>
    </row>
    <row r="63865" spans="8:8" x14ac:dyDescent="0.3">
      <c r="H63865" t="str">
        <f t="shared" si="1047"/>
        <v/>
      </c>
    </row>
    <row r="63866" spans="8:8" x14ac:dyDescent="0.3">
      <c r="H63866" t="str">
        <f t="shared" si="1047"/>
        <v/>
      </c>
    </row>
    <row r="63867" spans="8:8" x14ac:dyDescent="0.3">
      <c r="H63867" t="str">
        <f t="shared" si="1047"/>
        <v/>
      </c>
    </row>
    <row r="63868" spans="8:8" x14ac:dyDescent="0.3">
      <c r="H63868" t="str">
        <f t="shared" si="1047"/>
        <v/>
      </c>
    </row>
    <row r="63869" spans="8:8" x14ac:dyDescent="0.3">
      <c r="H63869" t="str">
        <f t="shared" si="1047"/>
        <v/>
      </c>
    </row>
    <row r="63870" spans="8:8" x14ac:dyDescent="0.3">
      <c r="H63870" t="str">
        <f t="shared" si="1047"/>
        <v/>
      </c>
    </row>
    <row r="63871" spans="8:8" x14ac:dyDescent="0.3">
      <c r="H63871" t="str">
        <f t="shared" si="1047"/>
        <v/>
      </c>
    </row>
    <row r="63872" spans="8:8" x14ac:dyDescent="0.3">
      <c r="H63872" t="str">
        <f t="shared" si="1047"/>
        <v/>
      </c>
    </row>
    <row r="63873" spans="8:8" x14ac:dyDescent="0.3">
      <c r="H63873" t="str">
        <f t="shared" si="1047"/>
        <v/>
      </c>
    </row>
    <row r="63874" spans="8:8" x14ac:dyDescent="0.3">
      <c r="H63874" t="str">
        <f t="shared" si="1047"/>
        <v/>
      </c>
    </row>
    <row r="63875" spans="8:8" x14ac:dyDescent="0.3">
      <c r="H63875" t="str">
        <f t="shared" si="1047"/>
        <v/>
      </c>
    </row>
    <row r="63876" spans="8:8" x14ac:dyDescent="0.3">
      <c r="H63876" t="str">
        <f t="shared" si="1047"/>
        <v/>
      </c>
    </row>
    <row r="63877" spans="8:8" x14ac:dyDescent="0.3">
      <c r="H63877" t="str">
        <f t="shared" si="1047"/>
        <v/>
      </c>
    </row>
    <row r="63878" spans="8:8" x14ac:dyDescent="0.3">
      <c r="H63878" t="str">
        <f t="shared" si="1047"/>
        <v/>
      </c>
    </row>
    <row r="63879" spans="8:8" x14ac:dyDescent="0.3">
      <c r="H63879" t="str">
        <f t="shared" si="1047"/>
        <v/>
      </c>
    </row>
    <row r="63880" spans="8:8" x14ac:dyDescent="0.3">
      <c r="H63880" t="str">
        <f t="shared" si="1047"/>
        <v/>
      </c>
    </row>
    <row r="63881" spans="8:8" x14ac:dyDescent="0.3">
      <c r="H63881" t="str">
        <f t="shared" si="1047"/>
        <v/>
      </c>
    </row>
    <row r="63882" spans="8:8" x14ac:dyDescent="0.3">
      <c r="H63882" t="str">
        <f t="shared" si="1047"/>
        <v/>
      </c>
    </row>
    <row r="63883" spans="8:8" x14ac:dyDescent="0.3">
      <c r="H63883" t="str">
        <f t="shared" si="1047"/>
        <v/>
      </c>
    </row>
    <row r="63884" spans="8:8" x14ac:dyDescent="0.3">
      <c r="H63884" t="str">
        <f t="shared" si="1047"/>
        <v/>
      </c>
    </row>
    <row r="63885" spans="8:8" x14ac:dyDescent="0.3">
      <c r="H63885" t="str">
        <f t="shared" si="1047"/>
        <v/>
      </c>
    </row>
    <row r="63886" spans="8:8" x14ac:dyDescent="0.3">
      <c r="H63886" t="str">
        <f t="shared" si="1047"/>
        <v/>
      </c>
    </row>
    <row r="63887" spans="8:8" x14ac:dyDescent="0.3">
      <c r="H63887" t="str">
        <f t="shared" si="1047"/>
        <v/>
      </c>
    </row>
    <row r="63888" spans="8:8" x14ac:dyDescent="0.3">
      <c r="H63888" t="str">
        <f t="shared" si="1047"/>
        <v/>
      </c>
    </row>
    <row r="63889" spans="8:8" x14ac:dyDescent="0.3">
      <c r="H63889" t="str">
        <f t="shared" si="1047"/>
        <v/>
      </c>
    </row>
    <row r="63890" spans="8:8" x14ac:dyDescent="0.3">
      <c r="H63890" t="str">
        <f t="shared" si="1047"/>
        <v/>
      </c>
    </row>
    <row r="63891" spans="8:8" x14ac:dyDescent="0.3">
      <c r="H63891" t="str">
        <f t="shared" si="1047"/>
        <v/>
      </c>
    </row>
    <row r="63892" spans="8:8" x14ac:dyDescent="0.3">
      <c r="H63892" t="str">
        <f t="shared" si="1047"/>
        <v/>
      </c>
    </row>
    <row r="63893" spans="8:8" x14ac:dyDescent="0.3">
      <c r="H63893" t="str">
        <f t="shared" si="1047"/>
        <v/>
      </c>
    </row>
    <row r="63894" spans="8:8" x14ac:dyDescent="0.3">
      <c r="H63894" t="str">
        <f t="shared" si="1047"/>
        <v/>
      </c>
    </row>
    <row r="63895" spans="8:8" x14ac:dyDescent="0.3">
      <c r="H63895" t="str">
        <f t="shared" ref="H63895:H63958" si="1048">IF(B63895="","",$C$12)</f>
        <v/>
      </c>
    </row>
    <row r="63896" spans="8:8" x14ac:dyDescent="0.3">
      <c r="H63896" t="str">
        <f t="shared" si="1048"/>
        <v/>
      </c>
    </row>
    <row r="63897" spans="8:8" x14ac:dyDescent="0.3">
      <c r="H63897" t="str">
        <f t="shared" si="1048"/>
        <v/>
      </c>
    </row>
    <row r="63898" spans="8:8" x14ac:dyDescent="0.3">
      <c r="H63898" t="str">
        <f t="shared" si="1048"/>
        <v/>
      </c>
    </row>
    <row r="63899" spans="8:8" x14ac:dyDescent="0.3">
      <c r="H63899" t="str">
        <f t="shared" si="1048"/>
        <v/>
      </c>
    </row>
    <row r="63900" spans="8:8" x14ac:dyDescent="0.3">
      <c r="H63900" t="str">
        <f t="shared" si="1048"/>
        <v/>
      </c>
    </row>
    <row r="63901" spans="8:8" x14ac:dyDescent="0.3">
      <c r="H63901" t="str">
        <f t="shared" si="1048"/>
        <v/>
      </c>
    </row>
    <row r="63902" spans="8:8" x14ac:dyDescent="0.3">
      <c r="H63902" t="str">
        <f t="shared" si="1048"/>
        <v/>
      </c>
    </row>
    <row r="63903" spans="8:8" x14ac:dyDescent="0.3">
      <c r="H63903" t="str">
        <f t="shared" si="1048"/>
        <v/>
      </c>
    </row>
    <row r="63904" spans="8:8" x14ac:dyDescent="0.3">
      <c r="H63904" t="str">
        <f t="shared" si="1048"/>
        <v/>
      </c>
    </row>
    <row r="63905" spans="8:8" x14ac:dyDescent="0.3">
      <c r="H63905" t="str">
        <f t="shared" si="1048"/>
        <v/>
      </c>
    </row>
    <row r="63906" spans="8:8" x14ac:dyDescent="0.3">
      <c r="H63906" t="str">
        <f t="shared" si="1048"/>
        <v/>
      </c>
    </row>
    <row r="63907" spans="8:8" x14ac:dyDescent="0.3">
      <c r="H63907" t="str">
        <f t="shared" si="1048"/>
        <v/>
      </c>
    </row>
    <row r="63908" spans="8:8" x14ac:dyDescent="0.3">
      <c r="H63908" t="str">
        <f t="shared" si="1048"/>
        <v/>
      </c>
    </row>
    <row r="63909" spans="8:8" x14ac:dyDescent="0.3">
      <c r="H63909" t="str">
        <f t="shared" si="1048"/>
        <v/>
      </c>
    </row>
    <row r="63910" spans="8:8" x14ac:dyDescent="0.3">
      <c r="H63910" t="str">
        <f t="shared" si="1048"/>
        <v/>
      </c>
    </row>
    <row r="63911" spans="8:8" x14ac:dyDescent="0.3">
      <c r="H63911" t="str">
        <f t="shared" si="1048"/>
        <v/>
      </c>
    </row>
    <row r="63912" spans="8:8" x14ac:dyDescent="0.3">
      <c r="H63912" t="str">
        <f t="shared" si="1048"/>
        <v/>
      </c>
    </row>
    <row r="63913" spans="8:8" x14ac:dyDescent="0.3">
      <c r="H63913" t="str">
        <f t="shared" si="1048"/>
        <v/>
      </c>
    </row>
    <row r="63914" spans="8:8" x14ac:dyDescent="0.3">
      <c r="H63914" t="str">
        <f t="shared" si="1048"/>
        <v/>
      </c>
    </row>
    <row r="63915" spans="8:8" x14ac:dyDescent="0.3">
      <c r="H63915" t="str">
        <f t="shared" si="1048"/>
        <v/>
      </c>
    </row>
    <row r="63916" spans="8:8" x14ac:dyDescent="0.3">
      <c r="H63916" t="str">
        <f t="shared" si="1048"/>
        <v/>
      </c>
    </row>
    <row r="63917" spans="8:8" x14ac:dyDescent="0.3">
      <c r="H63917" t="str">
        <f t="shared" si="1048"/>
        <v/>
      </c>
    </row>
    <row r="63918" spans="8:8" x14ac:dyDescent="0.3">
      <c r="H63918" t="str">
        <f t="shared" si="1048"/>
        <v/>
      </c>
    </row>
    <row r="63919" spans="8:8" x14ac:dyDescent="0.3">
      <c r="H63919" t="str">
        <f t="shared" si="1048"/>
        <v/>
      </c>
    </row>
    <row r="63920" spans="8:8" x14ac:dyDescent="0.3">
      <c r="H63920" t="str">
        <f t="shared" si="1048"/>
        <v/>
      </c>
    </row>
    <row r="63921" spans="8:8" x14ac:dyDescent="0.3">
      <c r="H63921" t="str">
        <f t="shared" si="1048"/>
        <v/>
      </c>
    </row>
    <row r="63922" spans="8:8" x14ac:dyDescent="0.3">
      <c r="H63922" t="str">
        <f t="shared" si="1048"/>
        <v/>
      </c>
    </row>
    <row r="63923" spans="8:8" x14ac:dyDescent="0.3">
      <c r="H63923" t="str">
        <f t="shared" si="1048"/>
        <v/>
      </c>
    </row>
    <row r="63924" spans="8:8" x14ac:dyDescent="0.3">
      <c r="H63924" t="str">
        <f t="shared" si="1048"/>
        <v/>
      </c>
    </row>
    <row r="63925" spans="8:8" x14ac:dyDescent="0.3">
      <c r="H63925" t="str">
        <f t="shared" si="1048"/>
        <v/>
      </c>
    </row>
    <row r="63926" spans="8:8" x14ac:dyDescent="0.3">
      <c r="H63926" t="str">
        <f t="shared" si="1048"/>
        <v/>
      </c>
    </row>
    <row r="63927" spans="8:8" x14ac:dyDescent="0.3">
      <c r="H63927" t="str">
        <f t="shared" si="1048"/>
        <v/>
      </c>
    </row>
    <row r="63928" spans="8:8" x14ac:dyDescent="0.3">
      <c r="H63928" t="str">
        <f t="shared" si="1048"/>
        <v/>
      </c>
    </row>
    <row r="63929" spans="8:8" x14ac:dyDescent="0.3">
      <c r="H63929" t="str">
        <f t="shared" si="1048"/>
        <v/>
      </c>
    </row>
    <row r="63930" spans="8:8" x14ac:dyDescent="0.3">
      <c r="H63930" t="str">
        <f t="shared" si="1048"/>
        <v/>
      </c>
    </row>
    <row r="63931" spans="8:8" x14ac:dyDescent="0.3">
      <c r="H63931" t="str">
        <f t="shared" si="1048"/>
        <v/>
      </c>
    </row>
    <row r="63932" spans="8:8" x14ac:dyDescent="0.3">
      <c r="H63932" t="str">
        <f t="shared" si="1048"/>
        <v/>
      </c>
    </row>
    <row r="63933" spans="8:8" x14ac:dyDescent="0.3">
      <c r="H63933" t="str">
        <f t="shared" si="1048"/>
        <v/>
      </c>
    </row>
    <row r="63934" spans="8:8" x14ac:dyDescent="0.3">
      <c r="H63934" t="str">
        <f t="shared" si="1048"/>
        <v/>
      </c>
    </row>
    <row r="63935" spans="8:8" x14ac:dyDescent="0.3">
      <c r="H63935" t="str">
        <f t="shared" si="1048"/>
        <v/>
      </c>
    </row>
    <row r="63936" spans="8:8" x14ac:dyDescent="0.3">
      <c r="H63936" t="str">
        <f t="shared" si="1048"/>
        <v/>
      </c>
    </row>
    <row r="63937" spans="8:8" x14ac:dyDescent="0.3">
      <c r="H63937" t="str">
        <f t="shared" si="1048"/>
        <v/>
      </c>
    </row>
    <row r="63938" spans="8:8" x14ac:dyDescent="0.3">
      <c r="H63938" t="str">
        <f t="shared" si="1048"/>
        <v/>
      </c>
    </row>
    <row r="63939" spans="8:8" x14ac:dyDescent="0.3">
      <c r="H63939" t="str">
        <f t="shared" si="1048"/>
        <v/>
      </c>
    </row>
    <row r="63940" spans="8:8" x14ac:dyDescent="0.3">
      <c r="H63940" t="str">
        <f t="shared" si="1048"/>
        <v/>
      </c>
    </row>
    <row r="63941" spans="8:8" x14ac:dyDescent="0.3">
      <c r="H63941" t="str">
        <f t="shared" si="1048"/>
        <v/>
      </c>
    </row>
    <row r="63942" spans="8:8" x14ac:dyDescent="0.3">
      <c r="H63942" t="str">
        <f t="shared" si="1048"/>
        <v/>
      </c>
    </row>
    <row r="63943" spans="8:8" x14ac:dyDescent="0.3">
      <c r="H63943" t="str">
        <f t="shared" si="1048"/>
        <v/>
      </c>
    </row>
    <row r="63944" spans="8:8" x14ac:dyDescent="0.3">
      <c r="H63944" t="str">
        <f t="shared" si="1048"/>
        <v/>
      </c>
    </row>
    <row r="63945" spans="8:8" x14ac:dyDescent="0.3">
      <c r="H63945" t="str">
        <f t="shared" si="1048"/>
        <v/>
      </c>
    </row>
    <row r="63946" spans="8:8" x14ac:dyDescent="0.3">
      <c r="H63946" t="str">
        <f t="shared" si="1048"/>
        <v/>
      </c>
    </row>
    <row r="63947" spans="8:8" x14ac:dyDescent="0.3">
      <c r="H63947" t="str">
        <f t="shared" si="1048"/>
        <v/>
      </c>
    </row>
    <row r="63948" spans="8:8" x14ac:dyDescent="0.3">
      <c r="H63948" t="str">
        <f t="shared" si="1048"/>
        <v/>
      </c>
    </row>
    <row r="63949" spans="8:8" x14ac:dyDescent="0.3">
      <c r="H63949" t="str">
        <f t="shared" si="1048"/>
        <v/>
      </c>
    </row>
    <row r="63950" spans="8:8" x14ac:dyDescent="0.3">
      <c r="H63950" t="str">
        <f t="shared" si="1048"/>
        <v/>
      </c>
    </row>
    <row r="63951" spans="8:8" x14ac:dyDescent="0.3">
      <c r="H63951" t="str">
        <f t="shared" si="1048"/>
        <v/>
      </c>
    </row>
    <row r="63952" spans="8:8" x14ac:dyDescent="0.3">
      <c r="H63952" t="str">
        <f t="shared" si="1048"/>
        <v/>
      </c>
    </row>
    <row r="63953" spans="8:8" x14ac:dyDescent="0.3">
      <c r="H63953" t="str">
        <f t="shared" si="1048"/>
        <v/>
      </c>
    </row>
    <row r="63954" spans="8:8" x14ac:dyDescent="0.3">
      <c r="H63954" t="str">
        <f t="shared" si="1048"/>
        <v/>
      </c>
    </row>
    <row r="63955" spans="8:8" x14ac:dyDescent="0.3">
      <c r="H63955" t="str">
        <f t="shared" si="1048"/>
        <v/>
      </c>
    </row>
    <row r="63956" spans="8:8" x14ac:dyDescent="0.3">
      <c r="H63956" t="str">
        <f t="shared" si="1048"/>
        <v/>
      </c>
    </row>
    <row r="63957" spans="8:8" x14ac:dyDescent="0.3">
      <c r="H63957" t="str">
        <f t="shared" si="1048"/>
        <v/>
      </c>
    </row>
    <row r="63958" spans="8:8" x14ac:dyDescent="0.3">
      <c r="H63958" t="str">
        <f t="shared" si="1048"/>
        <v/>
      </c>
    </row>
    <row r="63959" spans="8:8" x14ac:dyDescent="0.3">
      <c r="H63959" t="str">
        <f t="shared" ref="H63959:H64022" si="1049">IF(B63959="","",$C$12)</f>
        <v/>
      </c>
    </row>
    <row r="63960" spans="8:8" x14ac:dyDescent="0.3">
      <c r="H63960" t="str">
        <f t="shared" si="1049"/>
        <v/>
      </c>
    </row>
    <row r="63961" spans="8:8" x14ac:dyDescent="0.3">
      <c r="H63961" t="str">
        <f t="shared" si="1049"/>
        <v/>
      </c>
    </row>
    <row r="63962" spans="8:8" x14ac:dyDescent="0.3">
      <c r="H63962" t="str">
        <f t="shared" si="1049"/>
        <v/>
      </c>
    </row>
    <row r="63963" spans="8:8" x14ac:dyDescent="0.3">
      <c r="H63963" t="str">
        <f t="shared" si="1049"/>
        <v/>
      </c>
    </row>
    <row r="63964" spans="8:8" x14ac:dyDescent="0.3">
      <c r="H63964" t="str">
        <f t="shared" si="1049"/>
        <v/>
      </c>
    </row>
    <row r="63965" spans="8:8" x14ac:dyDescent="0.3">
      <c r="H63965" t="str">
        <f t="shared" si="1049"/>
        <v/>
      </c>
    </row>
    <row r="63966" spans="8:8" x14ac:dyDescent="0.3">
      <c r="H63966" t="str">
        <f t="shared" si="1049"/>
        <v/>
      </c>
    </row>
    <row r="63967" spans="8:8" x14ac:dyDescent="0.3">
      <c r="H63967" t="str">
        <f t="shared" si="1049"/>
        <v/>
      </c>
    </row>
    <row r="63968" spans="8:8" x14ac:dyDescent="0.3">
      <c r="H63968" t="str">
        <f t="shared" si="1049"/>
        <v/>
      </c>
    </row>
    <row r="63969" spans="8:8" x14ac:dyDescent="0.3">
      <c r="H63969" t="str">
        <f t="shared" si="1049"/>
        <v/>
      </c>
    </row>
    <row r="63970" spans="8:8" x14ac:dyDescent="0.3">
      <c r="H63970" t="str">
        <f t="shared" si="1049"/>
        <v/>
      </c>
    </row>
    <row r="63971" spans="8:8" x14ac:dyDescent="0.3">
      <c r="H63971" t="str">
        <f t="shared" si="1049"/>
        <v/>
      </c>
    </row>
    <row r="63972" spans="8:8" x14ac:dyDescent="0.3">
      <c r="H63972" t="str">
        <f t="shared" si="1049"/>
        <v/>
      </c>
    </row>
    <row r="63973" spans="8:8" x14ac:dyDescent="0.3">
      <c r="H63973" t="str">
        <f t="shared" si="1049"/>
        <v/>
      </c>
    </row>
    <row r="63974" spans="8:8" x14ac:dyDescent="0.3">
      <c r="H63974" t="str">
        <f t="shared" si="1049"/>
        <v/>
      </c>
    </row>
    <row r="63975" spans="8:8" x14ac:dyDescent="0.3">
      <c r="H63975" t="str">
        <f t="shared" si="1049"/>
        <v/>
      </c>
    </row>
    <row r="63976" spans="8:8" x14ac:dyDescent="0.3">
      <c r="H63976" t="str">
        <f t="shared" si="1049"/>
        <v/>
      </c>
    </row>
    <row r="63977" spans="8:8" x14ac:dyDescent="0.3">
      <c r="H63977" t="str">
        <f t="shared" si="1049"/>
        <v/>
      </c>
    </row>
    <row r="63978" spans="8:8" x14ac:dyDescent="0.3">
      <c r="H63978" t="str">
        <f t="shared" si="1049"/>
        <v/>
      </c>
    </row>
    <row r="63979" spans="8:8" x14ac:dyDescent="0.3">
      <c r="H63979" t="str">
        <f t="shared" si="1049"/>
        <v/>
      </c>
    </row>
    <row r="63980" spans="8:8" x14ac:dyDescent="0.3">
      <c r="H63980" t="str">
        <f t="shared" si="1049"/>
        <v/>
      </c>
    </row>
    <row r="63981" spans="8:8" x14ac:dyDescent="0.3">
      <c r="H63981" t="str">
        <f t="shared" si="1049"/>
        <v/>
      </c>
    </row>
    <row r="63982" spans="8:8" x14ac:dyDescent="0.3">
      <c r="H63982" t="str">
        <f t="shared" si="1049"/>
        <v/>
      </c>
    </row>
    <row r="63983" spans="8:8" x14ac:dyDescent="0.3">
      <c r="H63983" t="str">
        <f t="shared" si="1049"/>
        <v/>
      </c>
    </row>
    <row r="63984" spans="8:8" x14ac:dyDescent="0.3">
      <c r="H63984" t="str">
        <f t="shared" si="1049"/>
        <v/>
      </c>
    </row>
    <row r="63985" spans="8:8" x14ac:dyDescent="0.3">
      <c r="H63985" t="str">
        <f t="shared" si="1049"/>
        <v/>
      </c>
    </row>
    <row r="63986" spans="8:8" x14ac:dyDescent="0.3">
      <c r="H63986" t="str">
        <f t="shared" si="1049"/>
        <v/>
      </c>
    </row>
    <row r="63987" spans="8:8" x14ac:dyDescent="0.3">
      <c r="H63987" t="str">
        <f t="shared" si="1049"/>
        <v/>
      </c>
    </row>
    <row r="63988" spans="8:8" x14ac:dyDescent="0.3">
      <c r="H63988" t="str">
        <f t="shared" si="1049"/>
        <v/>
      </c>
    </row>
    <row r="63989" spans="8:8" x14ac:dyDescent="0.3">
      <c r="H63989" t="str">
        <f t="shared" si="1049"/>
        <v/>
      </c>
    </row>
    <row r="63990" spans="8:8" x14ac:dyDescent="0.3">
      <c r="H63990" t="str">
        <f t="shared" si="1049"/>
        <v/>
      </c>
    </row>
    <row r="63991" spans="8:8" x14ac:dyDescent="0.3">
      <c r="H63991" t="str">
        <f t="shared" si="1049"/>
        <v/>
      </c>
    </row>
    <row r="63992" spans="8:8" x14ac:dyDescent="0.3">
      <c r="H63992" t="str">
        <f t="shared" si="1049"/>
        <v/>
      </c>
    </row>
    <row r="63993" spans="8:8" x14ac:dyDescent="0.3">
      <c r="H63993" t="str">
        <f t="shared" si="1049"/>
        <v/>
      </c>
    </row>
    <row r="63994" spans="8:8" x14ac:dyDescent="0.3">
      <c r="H63994" t="str">
        <f t="shared" si="1049"/>
        <v/>
      </c>
    </row>
    <row r="63995" spans="8:8" x14ac:dyDescent="0.3">
      <c r="H63995" t="str">
        <f t="shared" si="1049"/>
        <v/>
      </c>
    </row>
    <row r="63996" spans="8:8" x14ac:dyDescent="0.3">
      <c r="H63996" t="str">
        <f t="shared" si="1049"/>
        <v/>
      </c>
    </row>
    <row r="63997" spans="8:8" x14ac:dyDescent="0.3">
      <c r="H63997" t="str">
        <f t="shared" si="1049"/>
        <v/>
      </c>
    </row>
    <row r="63998" spans="8:8" x14ac:dyDescent="0.3">
      <c r="H63998" t="str">
        <f t="shared" si="1049"/>
        <v/>
      </c>
    </row>
    <row r="63999" spans="8:8" x14ac:dyDescent="0.3">
      <c r="H63999" t="str">
        <f t="shared" si="1049"/>
        <v/>
      </c>
    </row>
    <row r="64000" spans="8:8" x14ac:dyDescent="0.3">
      <c r="H64000" t="str">
        <f t="shared" si="1049"/>
        <v/>
      </c>
    </row>
    <row r="64001" spans="8:8" x14ac:dyDescent="0.3">
      <c r="H64001" t="str">
        <f t="shared" si="1049"/>
        <v/>
      </c>
    </row>
    <row r="64002" spans="8:8" x14ac:dyDescent="0.3">
      <c r="H64002" t="str">
        <f t="shared" si="1049"/>
        <v/>
      </c>
    </row>
    <row r="64003" spans="8:8" x14ac:dyDescent="0.3">
      <c r="H64003" t="str">
        <f t="shared" si="1049"/>
        <v/>
      </c>
    </row>
    <row r="64004" spans="8:8" x14ac:dyDescent="0.3">
      <c r="H64004" t="str">
        <f t="shared" si="1049"/>
        <v/>
      </c>
    </row>
    <row r="64005" spans="8:8" x14ac:dyDescent="0.3">
      <c r="H64005" t="str">
        <f t="shared" si="1049"/>
        <v/>
      </c>
    </row>
    <row r="64006" spans="8:8" x14ac:dyDescent="0.3">
      <c r="H64006" t="str">
        <f t="shared" si="1049"/>
        <v/>
      </c>
    </row>
    <row r="64007" spans="8:8" x14ac:dyDescent="0.3">
      <c r="H64007" t="str">
        <f t="shared" si="1049"/>
        <v/>
      </c>
    </row>
    <row r="64008" spans="8:8" x14ac:dyDescent="0.3">
      <c r="H64008" t="str">
        <f t="shared" si="1049"/>
        <v/>
      </c>
    </row>
    <row r="64009" spans="8:8" x14ac:dyDescent="0.3">
      <c r="H64009" t="str">
        <f t="shared" si="1049"/>
        <v/>
      </c>
    </row>
    <row r="64010" spans="8:8" x14ac:dyDescent="0.3">
      <c r="H64010" t="str">
        <f t="shared" si="1049"/>
        <v/>
      </c>
    </row>
    <row r="64011" spans="8:8" x14ac:dyDescent="0.3">
      <c r="H64011" t="str">
        <f t="shared" si="1049"/>
        <v/>
      </c>
    </row>
    <row r="64012" spans="8:8" x14ac:dyDescent="0.3">
      <c r="H64012" t="str">
        <f t="shared" si="1049"/>
        <v/>
      </c>
    </row>
    <row r="64013" spans="8:8" x14ac:dyDescent="0.3">
      <c r="H64013" t="str">
        <f t="shared" si="1049"/>
        <v/>
      </c>
    </row>
    <row r="64014" spans="8:8" x14ac:dyDescent="0.3">
      <c r="H64014" t="str">
        <f t="shared" si="1049"/>
        <v/>
      </c>
    </row>
    <row r="64015" spans="8:8" x14ac:dyDescent="0.3">
      <c r="H64015" t="str">
        <f t="shared" si="1049"/>
        <v/>
      </c>
    </row>
    <row r="64016" spans="8:8" x14ac:dyDescent="0.3">
      <c r="H64016" t="str">
        <f t="shared" si="1049"/>
        <v/>
      </c>
    </row>
    <row r="64017" spans="8:8" x14ac:dyDescent="0.3">
      <c r="H64017" t="str">
        <f t="shared" si="1049"/>
        <v/>
      </c>
    </row>
    <row r="64018" spans="8:8" x14ac:dyDescent="0.3">
      <c r="H64018" t="str">
        <f t="shared" si="1049"/>
        <v/>
      </c>
    </row>
    <row r="64019" spans="8:8" x14ac:dyDescent="0.3">
      <c r="H64019" t="str">
        <f t="shared" si="1049"/>
        <v/>
      </c>
    </row>
    <row r="64020" spans="8:8" x14ac:dyDescent="0.3">
      <c r="H64020" t="str">
        <f t="shared" si="1049"/>
        <v/>
      </c>
    </row>
    <row r="64021" spans="8:8" x14ac:dyDescent="0.3">
      <c r="H64021" t="str">
        <f t="shared" si="1049"/>
        <v/>
      </c>
    </row>
    <row r="64022" spans="8:8" x14ac:dyDescent="0.3">
      <c r="H64022" t="str">
        <f t="shared" si="1049"/>
        <v/>
      </c>
    </row>
    <row r="64023" spans="8:8" x14ac:dyDescent="0.3">
      <c r="H64023" t="str">
        <f t="shared" ref="H64023:H64086" si="1050">IF(B64023="","",$C$12)</f>
        <v/>
      </c>
    </row>
    <row r="64024" spans="8:8" x14ac:dyDescent="0.3">
      <c r="H64024" t="str">
        <f t="shared" si="1050"/>
        <v/>
      </c>
    </row>
    <row r="64025" spans="8:8" x14ac:dyDescent="0.3">
      <c r="H64025" t="str">
        <f t="shared" si="1050"/>
        <v/>
      </c>
    </row>
    <row r="64026" spans="8:8" x14ac:dyDescent="0.3">
      <c r="H64026" t="str">
        <f t="shared" si="1050"/>
        <v/>
      </c>
    </row>
    <row r="64027" spans="8:8" x14ac:dyDescent="0.3">
      <c r="H64027" t="str">
        <f t="shared" si="1050"/>
        <v/>
      </c>
    </row>
    <row r="64028" spans="8:8" x14ac:dyDescent="0.3">
      <c r="H64028" t="str">
        <f t="shared" si="1050"/>
        <v/>
      </c>
    </row>
    <row r="64029" spans="8:8" x14ac:dyDescent="0.3">
      <c r="H64029" t="str">
        <f t="shared" si="1050"/>
        <v/>
      </c>
    </row>
    <row r="64030" spans="8:8" x14ac:dyDescent="0.3">
      <c r="H64030" t="str">
        <f t="shared" si="1050"/>
        <v/>
      </c>
    </row>
    <row r="64031" spans="8:8" x14ac:dyDescent="0.3">
      <c r="H64031" t="str">
        <f t="shared" si="1050"/>
        <v/>
      </c>
    </row>
    <row r="64032" spans="8:8" x14ac:dyDescent="0.3">
      <c r="H64032" t="str">
        <f t="shared" si="1050"/>
        <v/>
      </c>
    </row>
    <row r="64033" spans="8:8" x14ac:dyDescent="0.3">
      <c r="H64033" t="str">
        <f t="shared" si="1050"/>
        <v/>
      </c>
    </row>
    <row r="64034" spans="8:8" x14ac:dyDescent="0.3">
      <c r="H64034" t="str">
        <f t="shared" si="1050"/>
        <v/>
      </c>
    </row>
    <row r="64035" spans="8:8" x14ac:dyDescent="0.3">
      <c r="H64035" t="str">
        <f t="shared" si="1050"/>
        <v/>
      </c>
    </row>
    <row r="64036" spans="8:8" x14ac:dyDescent="0.3">
      <c r="H64036" t="str">
        <f t="shared" si="1050"/>
        <v/>
      </c>
    </row>
    <row r="64037" spans="8:8" x14ac:dyDescent="0.3">
      <c r="H64037" t="str">
        <f t="shared" si="1050"/>
        <v/>
      </c>
    </row>
    <row r="64038" spans="8:8" x14ac:dyDescent="0.3">
      <c r="H64038" t="str">
        <f t="shared" si="1050"/>
        <v/>
      </c>
    </row>
    <row r="64039" spans="8:8" x14ac:dyDescent="0.3">
      <c r="H64039" t="str">
        <f t="shared" si="1050"/>
        <v/>
      </c>
    </row>
    <row r="64040" spans="8:8" x14ac:dyDescent="0.3">
      <c r="H64040" t="str">
        <f t="shared" si="1050"/>
        <v/>
      </c>
    </row>
    <row r="64041" spans="8:8" x14ac:dyDescent="0.3">
      <c r="H64041" t="str">
        <f t="shared" si="1050"/>
        <v/>
      </c>
    </row>
    <row r="64042" spans="8:8" x14ac:dyDescent="0.3">
      <c r="H64042" t="str">
        <f t="shared" si="1050"/>
        <v/>
      </c>
    </row>
    <row r="64043" spans="8:8" x14ac:dyDescent="0.3">
      <c r="H64043" t="str">
        <f t="shared" si="1050"/>
        <v/>
      </c>
    </row>
    <row r="64044" spans="8:8" x14ac:dyDescent="0.3">
      <c r="H64044" t="str">
        <f t="shared" si="1050"/>
        <v/>
      </c>
    </row>
    <row r="64045" spans="8:8" x14ac:dyDescent="0.3">
      <c r="H64045" t="str">
        <f t="shared" si="1050"/>
        <v/>
      </c>
    </row>
    <row r="64046" spans="8:8" x14ac:dyDescent="0.3">
      <c r="H64046" t="str">
        <f t="shared" si="1050"/>
        <v/>
      </c>
    </row>
    <row r="64047" spans="8:8" x14ac:dyDescent="0.3">
      <c r="H64047" t="str">
        <f t="shared" si="1050"/>
        <v/>
      </c>
    </row>
    <row r="64048" spans="8:8" x14ac:dyDescent="0.3">
      <c r="H64048" t="str">
        <f t="shared" si="1050"/>
        <v/>
      </c>
    </row>
    <row r="64049" spans="8:8" x14ac:dyDescent="0.3">
      <c r="H64049" t="str">
        <f t="shared" si="1050"/>
        <v/>
      </c>
    </row>
    <row r="64050" spans="8:8" x14ac:dyDescent="0.3">
      <c r="H64050" t="str">
        <f t="shared" si="1050"/>
        <v/>
      </c>
    </row>
    <row r="64051" spans="8:8" x14ac:dyDescent="0.3">
      <c r="H64051" t="str">
        <f t="shared" si="1050"/>
        <v/>
      </c>
    </row>
    <row r="64052" spans="8:8" x14ac:dyDescent="0.3">
      <c r="H64052" t="str">
        <f t="shared" si="1050"/>
        <v/>
      </c>
    </row>
    <row r="64053" spans="8:8" x14ac:dyDescent="0.3">
      <c r="H64053" t="str">
        <f t="shared" si="1050"/>
        <v/>
      </c>
    </row>
    <row r="64054" spans="8:8" x14ac:dyDescent="0.3">
      <c r="H64054" t="str">
        <f t="shared" si="1050"/>
        <v/>
      </c>
    </row>
    <row r="64055" spans="8:8" x14ac:dyDescent="0.3">
      <c r="H64055" t="str">
        <f t="shared" si="1050"/>
        <v/>
      </c>
    </row>
    <row r="64056" spans="8:8" x14ac:dyDescent="0.3">
      <c r="H64056" t="str">
        <f t="shared" si="1050"/>
        <v/>
      </c>
    </row>
    <row r="64057" spans="8:8" x14ac:dyDescent="0.3">
      <c r="H64057" t="str">
        <f t="shared" si="1050"/>
        <v/>
      </c>
    </row>
    <row r="64058" spans="8:8" x14ac:dyDescent="0.3">
      <c r="H64058" t="str">
        <f t="shared" si="1050"/>
        <v/>
      </c>
    </row>
    <row r="64059" spans="8:8" x14ac:dyDescent="0.3">
      <c r="H64059" t="str">
        <f t="shared" si="1050"/>
        <v/>
      </c>
    </row>
    <row r="64060" spans="8:8" x14ac:dyDescent="0.3">
      <c r="H64060" t="str">
        <f t="shared" si="1050"/>
        <v/>
      </c>
    </row>
    <row r="64061" spans="8:8" x14ac:dyDescent="0.3">
      <c r="H64061" t="str">
        <f t="shared" si="1050"/>
        <v/>
      </c>
    </row>
    <row r="64062" spans="8:8" x14ac:dyDescent="0.3">
      <c r="H64062" t="str">
        <f t="shared" si="1050"/>
        <v/>
      </c>
    </row>
    <row r="64063" spans="8:8" x14ac:dyDescent="0.3">
      <c r="H64063" t="str">
        <f t="shared" si="1050"/>
        <v/>
      </c>
    </row>
    <row r="64064" spans="8:8" x14ac:dyDescent="0.3">
      <c r="H64064" t="str">
        <f t="shared" si="1050"/>
        <v/>
      </c>
    </row>
    <row r="64065" spans="8:8" x14ac:dyDescent="0.3">
      <c r="H64065" t="str">
        <f t="shared" si="1050"/>
        <v/>
      </c>
    </row>
    <row r="64066" spans="8:8" x14ac:dyDescent="0.3">
      <c r="H64066" t="str">
        <f t="shared" si="1050"/>
        <v/>
      </c>
    </row>
    <row r="64067" spans="8:8" x14ac:dyDescent="0.3">
      <c r="H64067" t="str">
        <f t="shared" si="1050"/>
        <v/>
      </c>
    </row>
    <row r="64068" spans="8:8" x14ac:dyDescent="0.3">
      <c r="H64068" t="str">
        <f t="shared" si="1050"/>
        <v/>
      </c>
    </row>
    <row r="64069" spans="8:8" x14ac:dyDescent="0.3">
      <c r="H64069" t="str">
        <f t="shared" si="1050"/>
        <v/>
      </c>
    </row>
    <row r="64070" spans="8:8" x14ac:dyDescent="0.3">
      <c r="H64070" t="str">
        <f t="shared" si="1050"/>
        <v/>
      </c>
    </row>
    <row r="64071" spans="8:8" x14ac:dyDescent="0.3">
      <c r="H64071" t="str">
        <f t="shared" si="1050"/>
        <v/>
      </c>
    </row>
    <row r="64072" spans="8:8" x14ac:dyDescent="0.3">
      <c r="H64072" t="str">
        <f t="shared" si="1050"/>
        <v/>
      </c>
    </row>
    <row r="64073" spans="8:8" x14ac:dyDescent="0.3">
      <c r="H64073" t="str">
        <f t="shared" si="1050"/>
        <v/>
      </c>
    </row>
    <row r="64074" spans="8:8" x14ac:dyDescent="0.3">
      <c r="H64074" t="str">
        <f t="shared" si="1050"/>
        <v/>
      </c>
    </row>
    <row r="64075" spans="8:8" x14ac:dyDescent="0.3">
      <c r="H64075" t="str">
        <f t="shared" si="1050"/>
        <v/>
      </c>
    </row>
    <row r="64076" spans="8:8" x14ac:dyDescent="0.3">
      <c r="H64076" t="str">
        <f t="shared" si="1050"/>
        <v/>
      </c>
    </row>
    <row r="64077" spans="8:8" x14ac:dyDescent="0.3">
      <c r="H64077" t="str">
        <f t="shared" si="1050"/>
        <v/>
      </c>
    </row>
    <row r="64078" spans="8:8" x14ac:dyDescent="0.3">
      <c r="H64078" t="str">
        <f t="shared" si="1050"/>
        <v/>
      </c>
    </row>
    <row r="64079" spans="8:8" x14ac:dyDescent="0.3">
      <c r="H64079" t="str">
        <f t="shared" si="1050"/>
        <v/>
      </c>
    </row>
    <row r="64080" spans="8:8" x14ac:dyDescent="0.3">
      <c r="H64080" t="str">
        <f t="shared" si="1050"/>
        <v/>
      </c>
    </row>
    <row r="64081" spans="8:8" x14ac:dyDescent="0.3">
      <c r="H64081" t="str">
        <f t="shared" si="1050"/>
        <v/>
      </c>
    </row>
    <row r="64082" spans="8:8" x14ac:dyDescent="0.3">
      <c r="H64082" t="str">
        <f t="shared" si="1050"/>
        <v/>
      </c>
    </row>
    <row r="64083" spans="8:8" x14ac:dyDescent="0.3">
      <c r="H64083" t="str">
        <f t="shared" si="1050"/>
        <v/>
      </c>
    </row>
    <row r="64084" spans="8:8" x14ac:dyDescent="0.3">
      <c r="H64084" t="str">
        <f t="shared" si="1050"/>
        <v/>
      </c>
    </row>
    <row r="64085" spans="8:8" x14ac:dyDescent="0.3">
      <c r="H64085" t="str">
        <f t="shared" si="1050"/>
        <v/>
      </c>
    </row>
    <row r="64086" spans="8:8" x14ac:dyDescent="0.3">
      <c r="H64086" t="str">
        <f t="shared" si="1050"/>
        <v/>
      </c>
    </row>
    <row r="64087" spans="8:8" x14ac:dyDescent="0.3">
      <c r="H64087" t="str">
        <f t="shared" ref="H64087:H64150" si="1051">IF(B64087="","",$C$12)</f>
        <v/>
      </c>
    </row>
    <row r="64088" spans="8:8" x14ac:dyDescent="0.3">
      <c r="H64088" t="str">
        <f t="shared" si="1051"/>
        <v/>
      </c>
    </row>
    <row r="64089" spans="8:8" x14ac:dyDescent="0.3">
      <c r="H64089" t="str">
        <f t="shared" si="1051"/>
        <v/>
      </c>
    </row>
    <row r="64090" spans="8:8" x14ac:dyDescent="0.3">
      <c r="H64090" t="str">
        <f t="shared" si="1051"/>
        <v/>
      </c>
    </row>
    <row r="64091" spans="8:8" x14ac:dyDescent="0.3">
      <c r="H64091" t="str">
        <f t="shared" si="1051"/>
        <v/>
      </c>
    </row>
    <row r="64092" spans="8:8" x14ac:dyDescent="0.3">
      <c r="H64092" t="str">
        <f t="shared" si="1051"/>
        <v/>
      </c>
    </row>
    <row r="64093" spans="8:8" x14ac:dyDescent="0.3">
      <c r="H64093" t="str">
        <f t="shared" si="1051"/>
        <v/>
      </c>
    </row>
    <row r="64094" spans="8:8" x14ac:dyDescent="0.3">
      <c r="H64094" t="str">
        <f t="shared" si="1051"/>
        <v/>
      </c>
    </row>
    <row r="64095" spans="8:8" x14ac:dyDescent="0.3">
      <c r="H64095" t="str">
        <f t="shared" si="1051"/>
        <v/>
      </c>
    </row>
    <row r="64096" spans="8:8" x14ac:dyDescent="0.3">
      <c r="H64096" t="str">
        <f t="shared" si="1051"/>
        <v/>
      </c>
    </row>
    <row r="64097" spans="8:8" x14ac:dyDescent="0.3">
      <c r="H64097" t="str">
        <f t="shared" si="1051"/>
        <v/>
      </c>
    </row>
    <row r="64098" spans="8:8" x14ac:dyDescent="0.3">
      <c r="H64098" t="str">
        <f t="shared" si="1051"/>
        <v/>
      </c>
    </row>
    <row r="64099" spans="8:8" x14ac:dyDescent="0.3">
      <c r="H64099" t="str">
        <f t="shared" si="1051"/>
        <v/>
      </c>
    </row>
    <row r="64100" spans="8:8" x14ac:dyDescent="0.3">
      <c r="H64100" t="str">
        <f t="shared" si="1051"/>
        <v/>
      </c>
    </row>
    <row r="64101" spans="8:8" x14ac:dyDescent="0.3">
      <c r="H64101" t="str">
        <f t="shared" si="1051"/>
        <v/>
      </c>
    </row>
    <row r="64102" spans="8:8" x14ac:dyDescent="0.3">
      <c r="H64102" t="str">
        <f t="shared" si="1051"/>
        <v/>
      </c>
    </row>
    <row r="64103" spans="8:8" x14ac:dyDescent="0.3">
      <c r="H64103" t="str">
        <f t="shared" si="1051"/>
        <v/>
      </c>
    </row>
    <row r="64104" spans="8:8" x14ac:dyDescent="0.3">
      <c r="H64104" t="str">
        <f t="shared" si="1051"/>
        <v/>
      </c>
    </row>
    <row r="64105" spans="8:8" x14ac:dyDescent="0.3">
      <c r="H64105" t="str">
        <f t="shared" si="1051"/>
        <v/>
      </c>
    </row>
    <row r="64106" spans="8:8" x14ac:dyDescent="0.3">
      <c r="H64106" t="str">
        <f t="shared" si="1051"/>
        <v/>
      </c>
    </row>
    <row r="64107" spans="8:8" x14ac:dyDescent="0.3">
      <c r="H64107" t="str">
        <f t="shared" si="1051"/>
        <v/>
      </c>
    </row>
    <row r="64108" spans="8:8" x14ac:dyDescent="0.3">
      <c r="H64108" t="str">
        <f t="shared" si="1051"/>
        <v/>
      </c>
    </row>
    <row r="64109" spans="8:8" x14ac:dyDescent="0.3">
      <c r="H64109" t="str">
        <f t="shared" si="1051"/>
        <v/>
      </c>
    </row>
    <row r="64110" spans="8:8" x14ac:dyDescent="0.3">
      <c r="H64110" t="str">
        <f t="shared" si="1051"/>
        <v/>
      </c>
    </row>
    <row r="64111" spans="8:8" x14ac:dyDescent="0.3">
      <c r="H64111" t="str">
        <f t="shared" si="1051"/>
        <v/>
      </c>
    </row>
    <row r="64112" spans="8:8" x14ac:dyDescent="0.3">
      <c r="H64112" t="str">
        <f t="shared" si="1051"/>
        <v/>
      </c>
    </row>
    <row r="64113" spans="8:8" x14ac:dyDescent="0.3">
      <c r="H64113" t="str">
        <f t="shared" si="1051"/>
        <v/>
      </c>
    </row>
    <row r="64114" spans="8:8" x14ac:dyDescent="0.3">
      <c r="H64114" t="str">
        <f t="shared" si="1051"/>
        <v/>
      </c>
    </row>
    <row r="64115" spans="8:8" x14ac:dyDescent="0.3">
      <c r="H64115" t="str">
        <f t="shared" si="1051"/>
        <v/>
      </c>
    </row>
    <row r="64116" spans="8:8" x14ac:dyDescent="0.3">
      <c r="H64116" t="str">
        <f t="shared" si="1051"/>
        <v/>
      </c>
    </row>
    <row r="64117" spans="8:8" x14ac:dyDescent="0.3">
      <c r="H64117" t="str">
        <f t="shared" si="1051"/>
        <v/>
      </c>
    </row>
    <row r="64118" spans="8:8" x14ac:dyDescent="0.3">
      <c r="H64118" t="str">
        <f t="shared" si="1051"/>
        <v/>
      </c>
    </row>
    <row r="64119" spans="8:8" x14ac:dyDescent="0.3">
      <c r="H64119" t="str">
        <f t="shared" si="1051"/>
        <v/>
      </c>
    </row>
    <row r="64120" spans="8:8" x14ac:dyDescent="0.3">
      <c r="H64120" t="str">
        <f t="shared" si="1051"/>
        <v/>
      </c>
    </row>
    <row r="64121" spans="8:8" x14ac:dyDescent="0.3">
      <c r="H64121" t="str">
        <f t="shared" si="1051"/>
        <v/>
      </c>
    </row>
    <row r="64122" spans="8:8" x14ac:dyDescent="0.3">
      <c r="H64122" t="str">
        <f t="shared" si="1051"/>
        <v/>
      </c>
    </row>
    <row r="64123" spans="8:8" x14ac:dyDescent="0.3">
      <c r="H64123" t="str">
        <f t="shared" si="1051"/>
        <v/>
      </c>
    </row>
    <row r="64124" spans="8:8" x14ac:dyDescent="0.3">
      <c r="H64124" t="str">
        <f t="shared" si="1051"/>
        <v/>
      </c>
    </row>
    <row r="64125" spans="8:8" x14ac:dyDescent="0.3">
      <c r="H64125" t="str">
        <f t="shared" si="1051"/>
        <v/>
      </c>
    </row>
    <row r="64126" spans="8:8" x14ac:dyDescent="0.3">
      <c r="H64126" t="str">
        <f t="shared" si="1051"/>
        <v/>
      </c>
    </row>
    <row r="64127" spans="8:8" x14ac:dyDescent="0.3">
      <c r="H64127" t="str">
        <f t="shared" si="1051"/>
        <v/>
      </c>
    </row>
    <row r="64128" spans="8:8" x14ac:dyDescent="0.3">
      <c r="H64128" t="str">
        <f t="shared" si="1051"/>
        <v/>
      </c>
    </row>
    <row r="64129" spans="8:8" x14ac:dyDescent="0.3">
      <c r="H64129" t="str">
        <f t="shared" si="1051"/>
        <v/>
      </c>
    </row>
    <row r="64130" spans="8:8" x14ac:dyDescent="0.3">
      <c r="H64130" t="str">
        <f t="shared" si="1051"/>
        <v/>
      </c>
    </row>
    <row r="64131" spans="8:8" x14ac:dyDescent="0.3">
      <c r="H64131" t="str">
        <f t="shared" si="1051"/>
        <v/>
      </c>
    </row>
    <row r="64132" spans="8:8" x14ac:dyDescent="0.3">
      <c r="H64132" t="str">
        <f t="shared" si="1051"/>
        <v/>
      </c>
    </row>
    <row r="64133" spans="8:8" x14ac:dyDescent="0.3">
      <c r="H64133" t="str">
        <f t="shared" si="1051"/>
        <v/>
      </c>
    </row>
    <row r="64134" spans="8:8" x14ac:dyDescent="0.3">
      <c r="H64134" t="str">
        <f t="shared" si="1051"/>
        <v/>
      </c>
    </row>
    <row r="64135" spans="8:8" x14ac:dyDescent="0.3">
      <c r="H64135" t="str">
        <f t="shared" si="1051"/>
        <v/>
      </c>
    </row>
    <row r="64136" spans="8:8" x14ac:dyDescent="0.3">
      <c r="H64136" t="str">
        <f t="shared" si="1051"/>
        <v/>
      </c>
    </row>
    <row r="64137" spans="8:8" x14ac:dyDescent="0.3">
      <c r="H64137" t="str">
        <f t="shared" si="1051"/>
        <v/>
      </c>
    </row>
    <row r="64138" spans="8:8" x14ac:dyDescent="0.3">
      <c r="H64138" t="str">
        <f t="shared" si="1051"/>
        <v/>
      </c>
    </row>
    <row r="64139" spans="8:8" x14ac:dyDescent="0.3">
      <c r="H64139" t="str">
        <f t="shared" si="1051"/>
        <v/>
      </c>
    </row>
    <row r="64140" spans="8:8" x14ac:dyDescent="0.3">
      <c r="H64140" t="str">
        <f t="shared" si="1051"/>
        <v/>
      </c>
    </row>
    <row r="64141" spans="8:8" x14ac:dyDescent="0.3">
      <c r="H64141" t="str">
        <f t="shared" si="1051"/>
        <v/>
      </c>
    </row>
    <row r="64142" spans="8:8" x14ac:dyDescent="0.3">
      <c r="H64142" t="str">
        <f t="shared" si="1051"/>
        <v/>
      </c>
    </row>
    <row r="64143" spans="8:8" x14ac:dyDescent="0.3">
      <c r="H64143" t="str">
        <f t="shared" si="1051"/>
        <v/>
      </c>
    </row>
    <row r="64144" spans="8:8" x14ac:dyDescent="0.3">
      <c r="H64144" t="str">
        <f t="shared" si="1051"/>
        <v/>
      </c>
    </row>
    <row r="64145" spans="8:8" x14ac:dyDescent="0.3">
      <c r="H64145" t="str">
        <f t="shared" si="1051"/>
        <v/>
      </c>
    </row>
    <row r="64146" spans="8:8" x14ac:dyDescent="0.3">
      <c r="H64146" t="str">
        <f t="shared" si="1051"/>
        <v/>
      </c>
    </row>
    <row r="64147" spans="8:8" x14ac:dyDescent="0.3">
      <c r="H64147" t="str">
        <f t="shared" si="1051"/>
        <v/>
      </c>
    </row>
    <row r="64148" spans="8:8" x14ac:dyDescent="0.3">
      <c r="H64148" t="str">
        <f t="shared" si="1051"/>
        <v/>
      </c>
    </row>
    <row r="64149" spans="8:8" x14ac:dyDescent="0.3">
      <c r="H64149" t="str">
        <f t="shared" si="1051"/>
        <v/>
      </c>
    </row>
    <row r="64150" spans="8:8" x14ac:dyDescent="0.3">
      <c r="H64150" t="str">
        <f t="shared" si="1051"/>
        <v/>
      </c>
    </row>
    <row r="64151" spans="8:8" x14ac:dyDescent="0.3">
      <c r="H64151" t="str">
        <f t="shared" ref="H64151:H64214" si="1052">IF(B64151="","",$C$12)</f>
        <v/>
      </c>
    </row>
    <row r="64152" spans="8:8" x14ac:dyDescent="0.3">
      <c r="H64152" t="str">
        <f t="shared" si="1052"/>
        <v/>
      </c>
    </row>
    <row r="64153" spans="8:8" x14ac:dyDescent="0.3">
      <c r="H64153" t="str">
        <f t="shared" si="1052"/>
        <v/>
      </c>
    </row>
    <row r="64154" spans="8:8" x14ac:dyDescent="0.3">
      <c r="H64154" t="str">
        <f t="shared" si="1052"/>
        <v/>
      </c>
    </row>
    <row r="64155" spans="8:8" x14ac:dyDescent="0.3">
      <c r="H64155" t="str">
        <f t="shared" si="1052"/>
        <v/>
      </c>
    </row>
    <row r="64156" spans="8:8" x14ac:dyDescent="0.3">
      <c r="H64156" t="str">
        <f t="shared" si="1052"/>
        <v/>
      </c>
    </row>
    <row r="64157" spans="8:8" x14ac:dyDescent="0.3">
      <c r="H64157" t="str">
        <f t="shared" si="1052"/>
        <v/>
      </c>
    </row>
    <row r="64158" spans="8:8" x14ac:dyDescent="0.3">
      <c r="H64158" t="str">
        <f t="shared" si="1052"/>
        <v/>
      </c>
    </row>
    <row r="64159" spans="8:8" x14ac:dyDescent="0.3">
      <c r="H64159" t="str">
        <f t="shared" si="1052"/>
        <v/>
      </c>
    </row>
    <row r="64160" spans="8:8" x14ac:dyDescent="0.3">
      <c r="H64160" t="str">
        <f t="shared" si="1052"/>
        <v/>
      </c>
    </row>
    <row r="64161" spans="8:8" x14ac:dyDescent="0.3">
      <c r="H64161" t="str">
        <f t="shared" si="1052"/>
        <v/>
      </c>
    </row>
    <row r="64162" spans="8:8" x14ac:dyDescent="0.3">
      <c r="H64162" t="str">
        <f t="shared" si="1052"/>
        <v/>
      </c>
    </row>
    <row r="64163" spans="8:8" x14ac:dyDescent="0.3">
      <c r="H64163" t="str">
        <f t="shared" si="1052"/>
        <v/>
      </c>
    </row>
    <row r="64164" spans="8:8" x14ac:dyDescent="0.3">
      <c r="H64164" t="str">
        <f t="shared" si="1052"/>
        <v/>
      </c>
    </row>
    <row r="64165" spans="8:8" x14ac:dyDescent="0.3">
      <c r="H64165" t="str">
        <f t="shared" si="1052"/>
        <v/>
      </c>
    </row>
    <row r="64166" spans="8:8" x14ac:dyDescent="0.3">
      <c r="H64166" t="str">
        <f t="shared" si="1052"/>
        <v/>
      </c>
    </row>
    <row r="64167" spans="8:8" x14ac:dyDescent="0.3">
      <c r="H64167" t="str">
        <f t="shared" si="1052"/>
        <v/>
      </c>
    </row>
    <row r="64168" spans="8:8" x14ac:dyDescent="0.3">
      <c r="H64168" t="str">
        <f t="shared" si="1052"/>
        <v/>
      </c>
    </row>
    <row r="64169" spans="8:8" x14ac:dyDescent="0.3">
      <c r="H64169" t="str">
        <f t="shared" si="1052"/>
        <v/>
      </c>
    </row>
    <row r="64170" spans="8:8" x14ac:dyDescent="0.3">
      <c r="H64170" t="str">
        <f t="shared" si="1052"/>
        <v/>
      </c>
    </row>
    <row r="64171" spans="8:8" x14ac:dyDescent="0.3">
      <c r="H64171" t="str">
        <f t="shared" si="1052"/>
        <v/>
      </c>
    </row>
    <row r="64172" spans="8:8" x14ac:dyDescent="0.3">
      <c r="H64172" t="str">
        <f t="shared" si="1052"/>
        <v/>
      </c>
    </row>
    <row r="64173" spans="8:8" x14ac:dyDescent="0.3">
      <c r="H64173" t="str">
        <f t="shared" si="1052"/>
        <v/>
      </c>
    </row>
    <row r="64174" spans="8:8" x14ac:dyDescent="0.3">
      <c r="H64174" t="str">
        <f t="shared" si="1052"/>
        <v/>
      </c>
    </row>
    <row r="64175" spans="8:8" x14ac:dyDescent="0.3">
      <c r="H64175" t="str">
        <f t="shared" si="1052"/>
        <v/>
      </c>
    </row>
    <row r="64176" spans="8:8" x14ac:dyDescent="0.3">
      <c r="H64176" t="str">
        <f t="shared" si="1052"/>
        <v/>
      </c>
    </row>
    <row r="64177" spans="8:8" x14ac:dyDescent="0.3">
      <c r="H64177" t="str">
        <f t="shared" si="1052"/>
        <v/>
      </c>
    </row>
    <row r="64178" spans="8:8" x14ac:dyDescent="0.3">
      <c r="H64178" t="str">
        <f t="shared" si="1052"/>
        <v/>
      </c>
    </row>
    <row r="64179" spans="8:8" x14ac:dyDescent="0.3">
      <c r="H64179" t="str">
        <f t="shared" si="1052"/>
        <v/>
      </c>
    </row>
    <row r="64180" spans="8:8" x14ac:dyDescent="0.3">
      <c r="H64180" t="str">
        <f t="shared" si="1052"/>
        <v/>
      </c>
    </row>
    <row r="64181" spans="8:8" x14ac:dyDescent="0.3">
      <c r="H64181" t="str">
        <f t="shared" si="1052"/>
        <v/>
      </c>
    </row>
    <row r="64182" spans="8:8" x14ac:dyDescent="0.3">
      <c r="H64182" t="str">
        <f t="shared" si="1052"/>
        <v/>
      </c>
    </row>
    <row r="64183" spans="8:8" x14ac:dyDescent="0.3">
      <c r="H64183" t="str">
        <f t="shared" si="1052"/>
        <v/>
      </c>
    </row>
    <row r="64184" spans="8:8" x14ac:dyDescent="0.3">
      <c r="H64184" t="str">
        <f t="shared" si="1052"/>
        <v/>
      </c>
    </row>
    <row r="64185" spans="8:8" x14ac:dyDescent="0.3">
      <c r="H64185" t="str">
        <f t="shared" si="1052"/>
        <v/>
      </c>
    </row>
    <row r="64186" spans="8:8" x14ac:dyDescent="0.3">
      <c r="H64186" t="str">
        <f t="shared" si="1052"/>
        <v/>
      </c>
    </row>
    <row r="64187" spans="8:8" x14ac:dyDescent="0.3">
      <c r="H64187" t="str">
        <f t="shared" si="1052"/>
        <v/>
      </c>
    </row>
    <row r="64188" spans="8:8" x14ac:dyDescent="0.3">
      <c r="H64188" t="str">
        <f t="shared" si="1052"/>
        <v/>
      </c>
    </row>
    <row r="64189" spans="8:8" x14ac:dyDescent="0.3">
      <c r="H64189" t="str">
        <f t="shared" si="1052"/>
        <v/>
      </c>
    </row>
    <row r="64190" spans="8:8" x14ac:dyDescent="0.3">
      <c r="H64190" t="str">
        <f t="shared" si="1052"/>
        <v/>
      </c>
    </row>
    <row r="64191" spans="8:8" x14ac:dyDescent="0.3">
      <c r="H64191" t="str">
        <f t="shared" si="1052"/>
        <v/>
      </c>
    </row>
    <row r="64192" spans="8:8" x14ac:dyDescent="0.3">
      <c r="H64192" t="str">
        <f t="shared" si="1052"/>
        <v/>
      </c>
    </row>
    <row r="64193" spans="8:8" x14ac:dyDescent="0.3">
      <c r="H64193" t="str">
        <f t="shared" si="1052"/>
        <v/>
      </c>
    </row>
    <row r="64194" spans="8:8" x14ac:dyDescent="0.3">
      <c r="H64194" t="str">
        <f t="shared" si="1052"/>
        <v/>
      </c>
    </row>
    <row r="64195" spans="8:8" x14ac:dyDescent="0.3">
      <c r="H64195" t="str">
        <f t="shared" si="1052"/>
        <v/>
      </c>
    </row>
    <row r="64196" spans="8:8" x14ac:dyDescent="0.3">
      <c r="H64196" t="str">
        <f t="shared" si="1052"/>
        <v/>
      </c>
    </row>
    <row r="64197" spans="8:8" x14ac:dyDescent="0.3">
      <c r="H64197" t="str">
        <f t="shared" si="1052"/>
        <v/>
      </c>
    </row>
    <row r="64198" spans="8:8" x14ac:dyDescent="0.3">
      <c r="H64198" t="str">
        <f t="shared" si="1052"/>
        <v/>
      </c>
    </row>
    <row r="64199" spans="8:8" x14ac:dyDescent="0.3">
      <c r="H64199" t="str">
        <f t="shared" si="1052"/>
        <v/>
      </c>
    </row>
    <row r="64200" spans="8:8" x14ac:dyDescent="0.3">
      <c r="H64200" t="str">
        <f t="shared" si="1052"/>
        <v/>
      </c>
    </row>
    <row r="64201" spans="8:8" x14ac:dyDescent="0.3">
      <c r="H64201" t="str">
        <f t="shared" si="1052"/>
        <v/>
      </c>
    </row>
    <row r="64202" spans="8:8" x14ac:dyDescent="0.3">
      <c r="H64202" t="str">
        <f t="shared" si="1052"/>
        <v/>
      </c>
    </row>
    <row r="64203" spans="8:8" x14ac:dyDescent="0.3">
      <c r="H64203" t="str">
        <f t="shared" si="1052"/>
        <v/>
      </c>
    </row>
    <row r="64204" spans="8:8" x14ac:dyDescent="0.3">
      <c r="H64204" t="str">
        <f t="shared" si="1052"/>
        <v/>
      </c>
    </row>
    <row r="64205" spans="8:8" x14ac:dyDescent="0.3">
      <c r="H64205" t="str">
        <f t="shared" si="1052"/>
        <v/>
      </c>
    </row>
    <row r="64206" spans="8:8" x14ac:dyDescent="0.3">
      <c r="H64206" t="str">
        <f t="shared" si="1052"/>
        <v/>
      </c>
    </row>
    <row r="64207" spans="8:8" x14ac:dyDescent="0.3">
      <c r="H64207" t="str">
        <f t="shared" si="1052"/>
        <v/>
      </c>
    </row>
    <row r="64208" spans="8:8" x14ac:dyDescent="0.3">
      <c r="H64208" t="str">
        <f t="shared" si="1052"/>
        <v/>
      </c>
    </row>
    <row r="64209" spans="8:8" x14ac:dyDescent="0.3">
      <c r="H64209" t="str">
        <f t="shared" si="1052"/>
        <v/>
      </c>
    </row>
    <row r="64210" spans="8:8" x14ac:dyDescent="0.3">
      <c r="H64210" t="str">
        <f t="shared" si="1052"/>
        <v/>
      </c>
    </row>
    <row r="64211" spans="8:8" x14ac:dyDescent="0.3">
      <c r="H64211" t="str">
        <f t="shared" si="1052"/>
        <v/>
      </c>
    </row>
    <row r="64212" spans="8:8" x14ac:dyDescent="0.3">
      <c r="H64212" t="str">
        <f t="shared" si="1052"/>
        <v/>
      </c>
    </row>
    <row r="64213" spans="8:8" x14ac:dyDescent="0.3">
      <c r="H64213" t="str">
        <f t="shared" si="1052"/>
        <v/>
      </c>
    </row>
    <row r="64214" spans="8:8" x14ac:dyDescent="0.3">
      <c r="H64214" t="str">
        <f t="shared" si="1052"/>
        <v/>
      </c>
    </row>
    <row r="64215" spans="8:8" x14ac:dyDescent="0.3">
      <c r="H64215" t="str">
        <f t="shared" ref="H64215:H64278" si="1053">IF(B64215="","",$C$12)</f>
        <v/>
      </c>
    </row>
    <row r="64216" spans="8:8" x14ac:dyDescent="0.3">
      <c r="H64216" t="str">
        <f t="shared" si="1053"/>
        <v/>
      </c>
    </row>
    <row r="64217" spans="8:8" x14ac:dyDescent="0.3">
      <c r="H64217" t="str">
        <f t="shared" si="1053"/>
        <v/>
      </c>
    </row>
    <row r="64218" spans="8:8" x14ac:dyDescent="0.3">
      <c r="H64218" t="str">
        <f t="shared" si="1053"/>
        <v/>
      </c>
    </row>
    <row r="64219" spans="8:8" x14ac:dyDescent="0.3">
      <c r="H64219" t="str">
        <f t="shared" si="1053"/>
        <v/>
      </c>
    </row>
    <row r="64220" spans="8:8" x14ac:dyDescent="0.3">
      <c r="H64220" t="str">
        <f t="shared" si="1053"/>
        <v/>
      </c>
    </row>
    <row r="64221" spans="8:8" x14ac:dyDescent="0.3">
      <c r="H64221" t="str">
        <f t="shared" si="1053"/>
        <v/>
      </c>
    </row>
    <row r="64222" spans="8:8" x14ac:dyDescent="0.3">
      <c r="H64222" t="str">
        <f t="shared" si="1053"/>
        <v/>
      </c>
    </row>
    <row r="64223" spans="8:8" x14ac:dyDescent="0.3">
      <c r="H64223" t="str">
        <f t="shared" si="1053"/>
        <v/>
      </c>
    </row>
    <row r="64224" spans="8:8" x14ac:dyDescent="0.3">
      <c r="H64224" t="str">
        <f t="shared" si="1053"/>
        <v/>
      </c>
    </row>
    <row r="64225" spans="8:8" x14ac:dyDescent="0.3">
      <c r="H64225" t="str">
        <f t="shared" si="1053"/>
        <v/>
      </c>
    </row>
    <row r="64226" spans="8:8" x14ac:dyDescent="0.3">
      <c r="H64226" t="str">
        <f t="shared" si="1053"/>
        <v/>
      </c>
    </row>
    <row r="64227" spans="8:8" x14ac:dyDescent="0.3">
      <c r="H64227" t="str">
        <f t="shared" si="1053"/>
        <v/>
      </c>
    </row>
    <row r="64228" spans="8:8" x14ac:dyDescent="0.3">
      <c r="H64228" t="str">
        <f t="shared" si="1053"/>
        <v/>
      </c>
    </row>
    <row r="64229" spans="8:8" x14ac:dyDescent="0.3">
      <c r="H64229" t="str">
        <f t="shared" si="1053"/>
        <v/>
      </c>
    </row>
    <row r="64230" spans="8:8" x14ac:dyDescent="0.3">
      <c r="H64230" t="str">
        <f t="shared" si="1053"/>
        <v/>
      </c>
    </row>
    <row r="64231" spans="8:8" x14ac:dyDescent="0.3">
      <c r="H64231" t="str">
        <f t="shared" si="1053"/>
        <v/>
      </c>
    </row>
    <row r="64232" spans="8:8" x14ac:dyDescent="0.3">
      <c r="H64232" t="str">
        <f t="shared" si="1053"/>
        <v/>
      </c>
    </row>
    <row r="64233" spans="8:8" x14ac:dyDescent="0.3">
      <c r="H64233" t="str">
        <f t="shared" si="1053"/>
        <v/>
      </c>
    </row>
    <row r="64234" spans="8:8" x14ac:dyDescent="0.3">
      <c r="H64234" t="str">
        <f t="shared" si="1053"/>
        <v/>
      </c>
    </row>
    <row r="64235" spans="8:8" x14ac:dyDescent="0.3">
      <c r="H64235" t="str">
        <f t="shared" si="1053"/>
        <v/>
      </c>
    </row>
    <row r="64236" spans="8:8" x14ac:dyDescent="0.3">
      <c r="H64236" t="str">
        <f t="shared" si="1053"/>
        <v/>
      </c>
    </row>
    <row r="64237" spans="8:8" x14ac:dyDescent="0.3">
      <c r="H64237" t="str">
        <f t="shared" si="1053"/>
        <v/>
      </c>
    </row>
    <row r="64238" spans="8:8" x14ac:dyDescent="0.3">
      <c r="H64238" t="str">
        <f t="shared" si="1053"/>
        <v/>
      </c>
    </row>
    <row r="64239" spans="8:8" x14ac:dyDescent="0.3">
      <c r="H64239" t="str">
        <f t="shared" si="1053"/>
        <v/>
      </c>
    </row>
    <row r="64240" spans="8:8" x14ac:dyDescent="0.3">
      <c r="H64240" t="str">
        <f t="shared" si="1053"/>
        <v/>
      </c>
    </row>
    <row r="64241" spans="8:8" x14ac:dyDescent="0.3">
      <c r="H64241" t="str">
        <f t="shared" si="1053"/>
        <v/>
      </c>
    </row>
    <row r="64242" spans="8:8" x14ac:dyDescent="0.3">
      <c r="H64242" t="str">
        <f t="shared" si="1053"/>
        <v/>
      </c>
    </row>
    <row r="64243" spans="8:8" x14ac:dyDescent="0.3">
      <c r="H64243" t="str">
        <f t="shared" si="1053"/>
        <v/>
      </c>
    </row>
    <row r="64244" spans="8:8" x14ac:dyDescent="0.3">
      <c r="H64244" t="str">
        <f t="shared" si="1053"/>
        <v/>
      </c>
    </row>
    <row r="64245" spans="8:8" x14ac:dyDescent="0.3">
      <c r="H64245" t="str">
        <f t="shared" si="1053"/>
        <v/>
      </c>
    </row>
    <row r="64246" spans="8:8" x14ac:dyDescent="0.3">
      <c r="H64246" t="str">
        <f t="shared" si="1053"/>
        <v/>
      </c>
    </row>
    <row r="64247" spans="8:8" x14ac:dyDescent="0.3">
      <c r="H64247" t="str">
        <f t="shared" si="1053"/>
        <v/>
      </c>
    </row>
    <row r="64248" spans="8:8" x14ac:dyDescent="0.3">
      <c r="H64248" t="str">
        <f t="shared" si="1053"/>
        <v/>
      </c>
    </row>
    <row r="64249" spans="8:8" x14ac:dyDescent="0.3">
      <c r="H64249" t="str">
        <f t="shared" si="1053"/>
        <v/>
      </c>
    </row>
    <row r="64250" spans="8:8" x14ac:dyDescent="0.3">
      <c r="H64250" t="str">
        <f t="shared" si="1053"/>
        <v/>
      </c>
    </row>
    <row r="64251" spans="8:8" x14ac:dyDescent="0.3">
      <c r="H64251" t="str">
        <f t="shared" si="1053"/>
        <v/>
      </c>
    </row>
    <row r="64252" spans="8:8" x14ac:dyDescent="0.3">
      <c r="H64252" t="str">
        <f t="shared" si="1053"/>
        <v/>
      </c>
    </row>
    <row r="64253" spans="8:8" x14ac:dyDescent="0.3">
      <c r="H64253" t="str">
        <f t="shared" si="1053"/>
        <v/>
      </c>
    </row>
    <row r="64254" spans="8:8" x14ac:dyDescent="0.3">
      <c r="H64254" t="str">
        <f t="shared" si="1053"/>
        <v/>
      </c>
    </row>
    <row r="64255" spans="8:8" x14ac:dyDescent="0.3">
      <c r="H64255" t="str">
        <f t="shared" si="1053"/>
        <v/>
      </c>
    </row>
    <row r="64256" spans="8:8" x14ac:dyDescent="0.3">
      <c r="H64256" t="str">
        <f t="shared" si="1053"/>
        <v/>
      </c>
    </row>
    <row r="64257" spans="8:8" x14ac:dyDescent="0.3">
      <c r="H64257" t="str">
        <f t="shared" si="1053"/>
        <v/>
      </c>
    </row>
    <row r="64258" spans="8:8" x14ac:dyDescent="0.3">
      <c r="H64258" t="str">
        <f t="shared" si="1053"/>
        <v/>
      </c>
    </row>
    <row r="64259" spans="8:8" x14ac:dyDescent="0.3">
      <c r="H64259" t="str">
        <f t="shared" si="1053"/>
        <v/>
      </c>
    </row>
    <row r="64260" spans="8:8" x14ac:dyDescent="0.3">
      <c r="H64260" t="str">
        <f t="shared" si="1053"/>
        <v/>
      </c>
    </row>
    <row r="64261" spans="8:8" x14ac:dyDescent="0.3">
      <c r="H64261" t="str">
        <f t="shared" si="1053"/>
        <v/>
      </c>
    </row>
    <row r="64262" spans="8:8" x14ac:dyDescent="0.3">
      <c r="H64262" t="str">
        <f t="shared" si="1053"/>
        <v/>
      </c>
    </row>
    <row r="64263" spans="8:8" x14ac:dyDescent="0.3">
      <c r="H64263" t="str">
        <f t="shared" si="1053"/>
        <v/>
      </c>
    </row>
    <row r="64264" spans="8:8" x14ac:dyDescent="0.3">
      <c r="H64264" t="str">
        <f t="shared" si="1053"/>
        <v/>
      </c>
    </row>
    <row r="64265" spans="8:8" x14ac:dyDescent="0.3">
      <c r="H64265" t="str">
        <f t="shared" si="1053"/>
        <v/>
      </c>
    </row>
    <row r="64266" spans="8:8" x14ac:dyDescent="0.3">
      <c r="H64266" t="str">
        <f t="shared" si="1053"/>
        <v/>
      </c>
    </row>
    <row r="64267" spans="8:8" x14ac:dyDescent="0.3">
      <c r="H64267" t="str">
        <f t="shared" si="1053"/>
        <v/>
      </c>
    </row>
    <row r="64268" spans="8:8" x14ac:dyDescent="0.3">
      <c r="H64268" t="str">
        <f t="shared" si="1053"/>
        <v/>
      </c>
    </row>
    <row r="64269" spans="8:8" x14ac:dyDescent="0.3">
      <c r="H64269" t="str">
        <f t="shared" si="1053"/>
        <v/>
      </c>
    </row>
    <row r="64270" spans="8:8" x14ac:dyDescent="0.3">
      <c r="H64270" t="str">
        <f t="shared" si="1053"/>
        <v/>
      </c>
    </row>
    <row r="64271" spans="8:8" x14ac:dyDescent="0.3">
      <c r="H64271" t="str">
        <f t="shared" si="1053"/>
        <v/>
      </c>
    </row>
    <row r="64272" spans="8:8" x14ac:dyDescent="0.3">
      <c r="H64272" t="str">
        <f t="shared" si="1053"/>
        <v/>
      </c>
    </row>
    <row r="64273" spans="8:8" x14ac:dyDescent="0.3">
      <c r="H64273" t="str">
        <f t="shared" si="1053"/>
        <v/>
      </c>
    </row>
    <row r="64274" spans="8:8" x14ac:dyDescent="0.3">
      <c r="H64274" t="str">
        <f t="shared" si="1053"/>
        <v/>
      </c>
    </row>
    <row r="64275" spans="8:8" x14ac:dyDescent="0.3">
      <c r="H64275" t="str">
        <f t="shared" si="1053"/>
        <v/>
      </c>
    </row>
    <row r="64276" spans="8:8" x14ac:dyDescent="0.3">
      <c r="H64276" t="str">
        <f t="shared" si="1053"/>
        <v/>
      </c>
    </row>
    <row r="64277" spans="8:8" x14ac:dyDescent="0.3">
      <c r="H64277" t="str">
        <f t="shared" si="1053"/>
        <v/>
      </c>
    </row>
    <row r="64278" spans="8:8" x14ac:dyDescent="0.3">
      <c r="H64278" t="str">
        <f t="shared" si="1053"/>
        <v/>
      </c>
    </row>
    <row r="64279" spans="8:8" x14ac:dyDescent="0.3">
      <c r="H64279" t="str">
        <f t="shared" ref="H64279:H64342" si="1054">IF(B64279="","",$C$12)</f>
        <v/>
      </c>
    </row>
    <row r="64280" spans="8:8" x14ac:dyDescent="0.3">
      <c r="H64280" t="str">
        <f t="shared" si="1054"/>
        <v/>
      </c>
    </row>
    <row r="64281" spans="8:8" x14ac:dyDescent="0.3">
      <c r="H64281" t="str">
        <f t="shared" si="1054"/>
        <v/>
      </c>
    </row>
    <row r="64282" spans="8:8" x14ac:dyDescent="0.3">
      <c r="H64282" t="str">
        <f t="shared" si="1054"/>
        <v/>
      </c>
    </row>
    <row r="64283" spans="8:8" x14ac:dyDescent="0.3">
      <c r="H64283" t="str">
        <f t="shared" si="1054"/>
        <v/>
      </c>
    </row>
    <row r="64284" spans="8:8" x14ac:dyDescent="0.3">
      <c r="H64284" t="str">
        <f t="shared" si="1054"/>
        <v/>
      </c>
    </row>
    <row r="64285" spans="8:8" x14ac:dyDescent="0.3">
      <c r="H64285" t="str">
        <f t="shared" si="1054"/>
        <v/>
      </c>
    </row>
    <row r="64286" spans="8:8" x14ac:dyDescent="0.3">
      <c r="H64286" t="str">
        <f t="shared" si="1054"/>
        <v/>
      </c>
    </row>
    <row r="64287" spans="8:8" x14ac:dyDescent="0.3">
      <c r="H64287" t="str">
        <f t="shared" si="1054"/>
        <v/>
      </c>
    </row>
    <row r="64288" spans="8:8" x14ac:dyDescent="0.3">
      <c r="H64288" t="str">
        <f t="shared" si="1054"/>
        <v/>
      </c>
    </row>
    <row r="64289" spans="8:8" x14ac:dyDescent="0.3">
      <c r="H64289" t="str">
        <f t="shared" si="1054"/>
        <v/>
      </c>
    </row>
    <row r="64290" spans="8:8" x14ac:dyDescent="0.3">
      <c r="H64290" t="str">
        <f t="shared" si="1054"/>
        <v/>
      </c>
    </row>
    <row r="64291" spans="8:8" x14ac:dyDescent="0.3">
      <c r="H64291" t="str">
        <f t="shared" si="1054"/>
        <v/>
      </c>
    </row>
    <row r="64292" spans="8:8" x14ac:dyDescent="0.3">
      <c r="H64292" t="str">
        <f t="shared" si="1054"/>
        <v/>
      </c>
    </row>
    <row r="64293" spans="8:8" x14ac:dyDescent="0.3">
      <c r="H64293" t="str">
        <f t="shared" si="1054"/>
        <v/>
      </c>
    </row>
    <row r="64294" spans="8:8" x14ac:dyDescent="0.3">
      <c r="H64294" t="str">
        <f t="shared" si="1054"/>
        <v/>
      </c>
    </row>
    <row r="64295" spans="8:8" x14ac:dyDescent="0.3">
      <c r="H64295" t="str">
        <f t="shared" si="1054"/>
        <v/>
      </c>
    </row>
    <row r="64296" spans="8:8" x14ac:dyDescent="0.3">
      <c r="H64296" t="str">
        <f t="shared" si="1054"/>
        <v/>
      </c>
    </row>
    <row r="64297" spans="8:8" x14ac:dyDescent="0.3">
      <c r="H64297" t="str">
        <f t="shared" si="1054"/>
        <v/>
      </c>
    </row>
    <row r="64298" spans="8:8" x14ac:dyDescent="0.3">
      <c r="H64298" t="str">
        <f t="shared" si="1054"/>
        <v/>
      </c>
    </row>
    <row r="64299" spans="8:8" x14ac:dyDescent="0.3">
      <c r="H64299" t="str">
        <f t="shared" si="1054"/>
        <v/>
      </c>
    </row>
    <row r="64300" spans="8:8" x14ac:dyDescent="0.3">
      <c r="H64300" t="str">
        <f t="shared" si="1054"/>
        <v/>
      </c>
    </row>
    <row r="64301" spans="8:8" x14ac:dyDescent="0.3">
      <c r="H64301" t="str">
        <f t="shared" si="1054"/>
        <v/>
      </c>
    </row>
    <row r="64302" spans="8:8" x14ac:dyDescent="0.3">
      <c r="H64302" t="str">
        <f t="shared" si="1054"/>
        <v/>
      </c>
    </row>
    <row r="64303" spans="8:8" x14ac:dyDescent="0.3">
      <c r="H64303" t="str">
        <f t="shared" si="1054"/>
        <v/>
      </c>
    </row>
    <row r="64304" spans="8:8" x14ac:dyDescent="0.3">
      <c r="H64304" t="str">
        <f t="shared" si="1054"/>
        <v/>
      </c>
    </row>
    <row r="64305" spans="8:8" x14ac:dyDescent="0.3">
      <c r="H64305" t="str">
        <f t="shared" si="1054"/>
        <v/>
      </c>
    </row>
    <row r="64306" spans="8:8" x14ac:dyDescent="0.3">
      <c r="H64306" t="str">
        <f t="shared" si="1054"/>
        <v/>
      </c>
    </row>
    <row r="64307" spans="8:8" x14ac:dyDescent="0.3">
      <c r="H64307" t="str">
        <f t="shared" si="1054"/>
        <v/>
      </c>
    </row>
    <row r="64308" spans="8:8" x14ac:dyDescent="0.3">
      <c r="H64308" t="str">
        <f t="shared" si="1054"/>
        <v/>
      </c>
    </row>
    <row r="64309" spans="8:8" x14ac:dyDescent="0.3">
      <c r="H64309" t="str">
        <f t="shared" si="1054"/>
        <v/>
      </c>
    </row>
    <row r="64310" spans="8:8" x14ac:dyDescent="0.3">
      <c r="H64310" t="str">
        <f t="shared" si="1054"/>
        <v/>
      </c>
    </row>
    <row r="64311" spans="8:8" x14ac:dyDescent="0.3">
      <c r="H64311" t="str">
        <f t="shared" si="1054"/>
        <v/>
      </c>
    </row>
    <row r="64312" spans="8:8" x14ac:dyDescent="0.3">
      <c r="H64312" t="str">
        <f t="shared" si="1054"/>
        <v/>
      </c>
    </row>
    <row r="64313" spans="8:8" x14ac:dyDescent="0.3">
      <c r="H64313" t="str">
        <f t="shared" si="1054"/>
        <v/>
      </c>
    </row>
    <row r="64314" spans="8:8" x14ac:dyDescent="0.3">
      <c r="H64314" t="str">
        <f t="shared" si="1054"/>
        <v/>
      </c>
    </row>
    <row r="64315" spans="8:8" x14ac:dyDescent="0.3">
      <c r="H64315" t="str">
        <f t="shared" si="1054"/>
        <v/>
      </c>
    </row>
    <row r="64316" spans="8:8" x14ac:dyDescent="0.3">
      <c r="H64316" t="str">
        <f t="shared" si="1054"/>
        <v/>
      </c>
    </row>
    <row r="64317" spans="8:8" x14ac:dyDescent="0.3">
      <c r="H64317" t="str">
        <f t="shared" si="1054"/>
        <v/>
      </c>
    </row>
    <row r="64318" spans="8:8" x14ac:dyDescent="0.3">
      <c r="H64318" t="str">
        <f t="shared" si="1054"/>
        <v/>
      </c>
    </row>
    <row r="64319" spans="8:8" x14ac:dyDescent="0.3">
      <c r="H64319" t="str">
        <f t="shared" si="1054"/>
        <v/>
      </c>
    </row>
    <row r="64320" spans="8:8" x14ac:dyDescent="0.3">
      <c r="H64320" t="str">
        <f t="shared" si="1054"/>
        <v/>
      </c>
    </row>
    <row r="64321" spans="8:8" x14ac:dyDescent="0.3">
      <c r="H64321" t="str">
        <f t="shared" si="1054"/>
        <v/>
      </c>
    </row>
    <row r="64322" spans="8:8" x14ac:dyDescent="0.3">
      <c r="H64322" t="str">
        <f t="shared" si="1054"/>
        <v/>
      </c>
    </row>
    <row r="64323" spans="8:8" x14ac:dyDescent="0.3">
      <c r="H64323" t="str">
        <f t="shared" si="1054"/>
        <v/>
      </c>
    </row>
    <row r="64324" spans="8:8" x14ac:dyDescent="0.3">
      <c r="H64324" t="str">
        <f t="shared" si="1054"/>
        <v/>
      </c>
    </row>
    <row r="64325" spans="8:8" x14ac:dyDescent="0.3">
      <c r="H64325" t="str">
        <f t="shared" si="1054"/>
        <v/>
      </c>
    </row>
    <row r="64326" spans="8:8" x14ac:dyDescent="0.3">
      <c r="H64326" t="str">
        <f t="shared" si="1054"/>
        <v/>
      </c>
    </row>
    <row r="64327" spans="8:8" x14ac:dyDescent="0.3">
      <c r="H64327" t="str">
        <f t="shared" si="1054"/>
        <v/>
      </c>
    </row>
    <row r="64328" spans="8:8" x14ac:dyDescent="0.3">
      <c r="H64328" t="str">
        <f t="shared" si="1054"/>
        <v/>
      </c>
    </row>
    <row r="64329" spans="8:8" x14ac:dyDescent="0.3">
      <c r="H64329" t="str">
        <f t="shared" si="1054"/>
        <v/>
      </c>
    </row>
    <row r="64330" spans="8:8" x14ac:dyDescent="0.3">
      <c r="H64330" t="str">
        <f t="shared" si="1054"/>
        <v/>
      </c>
    </row>
    <row r="64331" spans="8:8" x14ac:dyDescent="0.3">
      <c r="H64331" t="str">
        <f t="shared" si="1054"/>
        <v/>
      </c>
    </row>
    <row r="64332" spans="8:8" x14ac:dyDescent="0.3">
      <c r="H64332" t="str">
        <f t="shared" si="1054"/>
        <v/>
      </c>
    </row>
    <row r="64333" spans="8:8" x14ac:dyDescent="0.3">
      <c r="H64333" t="str">
        <f t="shared" si="1054"/>
        <v/>
      </c>
    </row>
    <row r="64334" spans="8:8" x14ac:dyDescent="0.3">
      <c r="H64334" t="str">
        <f t="shared" si="1054"/>
        <v/>
      </c>
    </row>
    <row r="64335" spans="8:8" x14ac:dyDescent="0.3">
      <c r="H64335" t="str">
        <f t="shared" si="1054"/>
        <v/>
      </c>
    </row>
    <row r="64336" spans="8:8" x14ac:dyDescent="0.3">
      <c r="H64336" t="str">
        <f t="shared" si="1054"/>
        <v/>
      </c>
    </row>
    <row r="64337" spans="8:8" x14ac:dyDescent="0.3">
      <c r="H64337" t="str">
        <f t="shared" si="1054"/>
        <v/>
      </c>
    </row>
    <row r="64338" spans="8:8" x14ac:dyDescent="0.3">
      <c r="H64338" t="str">
        <f t="shared" si="1054"/>
        <v/>
      </c>
    </row>
    <row r="64339" spans="8:8" x14ac:dyDescent="0.3">
      <c r="H64339" t="str">
        <f t="shared" si="1054"/>
        <v/>
      </c>
    </row>
    <row r="64340" spans="8:8" x14ac:dyDescent="0.3">
      <c r="H64340" t="str">
        <f t="shared" si="1054"/>
        <v/>
      </c>
    </row>
    <row r="64341" spans="8:8" x14ac:dyDescent="0.3">
      <c r="H64341" t="str">
        <f t="shared" si="1054"/>
        <v/>
      </c>
    </row>
    <row r="64342" spans="8:8" x14ac:dyDescent="0.3">
      <c r="H64342" t="str">
        <f t="shared" si="1054"/>
        <v/>
      </c>
    </row>
    <row r="64343" spans="8:8" x14ac:dyDescent="0.3">
      <c r="H64343" t="str">
        <f t="shared" ref="H64343:H64406" si="1055">IF(B64343="","",$C$12)</f>
        <v/>
      </c>
    </row>
    <row r="64344" spans="8:8" x14ac:dyDescent="0.3">
      <c r="H64344" t="str">
        <f t="shared" si="1055"/>
        <v/>
      </c>
    </row>
    <row r="64345" spans="8:8" x14ac:dyDescent="0.3">
      <c r="H64345" t="str">
        <f t="shared" si="1055"/>
        <v/>
      </c>
    </row>
    <row r="64346" spans="8:8" x14ac:dyDescent="0.3">
      <c r="H64346" t="str">
        <f t="shared" si="1055"/>
        <v/>
      </c>
    </row>
    <row r="64347" spans="8:8" x14ac:dyDescent="0.3">
      <c r="H64347" t="str">
        <f t="shared" si="1055"/>
        <v/>
      </c>
    </row>
    <row r="64348" spans="8:8" x14ac:dyDescent="0.3">
      <c r="H64348" t="str">
        <f t="shared" si="1055"/>
        <v/>
      </c>
    </row>
    <row r="64349" spans="8:8" x14ac:dyDescent="0.3">
      <c r="H64349" t="str">
        <f t="shared" si="1055"/>
        <v/>
      </c>
    </row>
    <row r="64350" spans="8:8" x14ac:dyDescent="0.3">
      <c r="H64350" t="str">
        <f t="shared" si="1055"/>
        <v/>
      </c>
    </row>
    <row r="64351" spans="8:8" x14ac:dyDescent="0.3">
      <c r="H64351" t="str">
        <f t="shared" si="1055"/>
        <v/>
      </c>
    </row>
    <row r="64352" spans="8:8" x14ac:dyDescent="0.3">
      <c r="H64352" t="str">
        <f t="shared" si="1055"/>
        <v/>
      </c>
    </row>
    <row r="64353" spans="8:8" x14ac:dyDescent="0.3">
      <c r="H64353" t="str">
        <f t="shared" si="1055"/>
        <v/>
      </c>
    </row>
    <row r="64354" spans="8:8" x14ac:dyDescent="0.3">
      <c r="H64354" t="str">
        <f t="shared" si="1055"/>
        <v/>
      </c>
    </row>
    <row r="64355" spans="8:8" x14ac:dyDescent="0.3">
      <c r="H64355" t="str">
        <f t="shared" si="1055"/>
        <v/>
      </c>
    </row>
    <row r="64356" spans="8:8" x14ac:dyDescent="0.3">
      <c r="H64356" t="str">
        <f t="shared" si="1055"/>
        <v/>
      </c>
    </row>
    <row r="64357" spans="8:8" x14ac:dyDescent="0.3">
      <c r="H64357" t="str">
        <f t="shared" si="1055"/>
        <v/>
      </c>
    </row>
    <row r="64358" spans="8:8" x14ac:dyDescent="0.3">
      <c r="H64358" t="str">
        <f t="shared" si="1055"/>
        <v/>
      </c>
    </row>
    <row r="64359" spans="8:8" x14ac:dyDescent="0.3">
      <c r="H64359" t="str">
        <f t="shared" si="1055"/>
        <v/>
      </c>
    </row>
    <row r="64360" spans="8:8" x14ac:dyDescent="0.3">
      <c r="H64360" t="str">
        <f t="shared" si="1055"/>
        <v/>
      </c>
    </row>
    <row r="64361" spans="8:8" x14ac:dyDescent="0.3">
      <c r="H64361" t="str">
        <f t="shared" si="1055"/>
        <v/>
      </c>
    </row>
    <row r="64362" spans="8:8" x14ac:dyDescent="0.3">
      <c r="H64362" t="str">
        <f t="shared" si="1055"/>
        <v/>
      </c>
    </row>
    <row r="64363" spans="8:8" x14ac:dyDescent="0.3">
      <c r="H64363" t="str">
        <f t="shared" si="1055"/>
        <v/>
      </c>
    </row>
    <row r="64364" spans="8:8" x14ac:dyDescent="0.3">
      <c r="H64364" t="str">
        <f t="shared" si="1055"/>
        <v/>
      </c>
    </row>
    <row r="64365" spans="8:8" x14ac:dyDescent="0.3">
      <c r="H64365" t="str">
        <f t="shared" si="1055"/>
        <v/>
      </c>
    </row>
    <row r="64366" spans="8:8" x14ac:dyDescent="0.3">
      <c r="H64366" t="str">
        <f t="shared" si="1055"/>
        <v/>
      </c>
    </row>
    <row r="64367" spans="8:8" x14ac:dyDescent="0.3">
      <c r="H64367" t="str">
        <f t="shared" si="1055"/>
        <v/>
      </c>
    </row>
    <row r="64368" spans="8:8" x14ac:dyDescent="0.3">
      <c r="H64368" t="str">
        <f t="shared" si="1055"/>
        <v/>
      </c>
    </row>
    <row r="64369" spans="8:8" x14ac:dyDescent="0.3">
      <c r="H64369" t="str">
        <f t="shared" si="1055"/>
        <v/>
      </c>
    </row>
    <row r="64370" spans="8:8" x14ac:dyDescent="0.3">
      <c r="H64370" t="str">
        <f t="shared" si="1055"/>
        <v/>
      </c>
    </row>
    <row r="64371" spans="8:8" x14ac:dyDescent="0.3">
      <c r="H64371" t="str">
        <f t="shared" si="1055"/>
        <v/>
      </c>
    </row>
    <row r="64372" spans="8:8" x14ac:dyDescent="0.3">
      <c r="H64372" t="str">
        <f t="shared" si="1055"/>
        <v/>
      </c>
    </row>
    <row r="64373" spans="8:8" x14ac:dyDescent="0.3">
      <c r="H64373" t="str">
        <f t="shared" si="1055"/>
        <v/>
      </c>
    </row>
    <row r="64374" spans="8:8" x14ac:dyDescent="0.3">
      <c r="H64374" t="str">
        <f t="shared" si="1055"/>
        <v/>
      </c>
    </row>
    <row r="64375" spans="8:8" x14ac:dyDescent="0.3">
      <c r="H64375" t="str">
        <f t="shared" si="1055"/>
        <v/>
      </c>
    </row>
    <row r="64376" spans="8:8" x14ac:dyDescent="0.3">
      <c r="H64376" t="str">
        <f t="shared" si="1055"/>
        <v/>
      </c>
    </row>
    <row r="64377" spans="8:8" x14ac:dyDescent="0.3">
      <c r="H64377" t="str">
        <f t="shared" si="1055"/>
        <v/>
      </c>
    </row>
    <row r="64378" spans="8:8" x14ac:dyDescent="0.3">
      <c r="H64378" t="str">
        <f t="shared" si="1055"/>
        <v/>
      </c>
    </row>
    <row r="64379" spans="8:8" x14ac:dyDescent="0.3">
      <c r="H64379" t="str">
        <f t="shared" si="1055"/>
        <v/>
      </c>
    </row>
    <row r="64380" spans="8:8" x14ac:dyDescent="0.3">
      <c r="H64380" t="str">
        <f t="shared" si="1055"/>
        <v/>
      </c>
    </row>
    <row r="64381" spans="8:8" x14ac:dyDescent="0.3">
      <c r="H64381" t="str">
        <f t="shared" si="1055"/>
        <v/>
      </c>
    </row>
    <row r="64382" spans="8:8" x14ac:dyDescent="0.3">
      <c r="H64382" t="str">
        <f t="shared" si="1055"/>
        <v/>
      </c>
    </row>
    <row r="64383" spans="8:8" x14ac:dyDescent="0.3">
      <c r="H64383" t="str">
        <f t="shared" si="1055"/>
        <v/>
      </c>
    </row>
    <row r="64384" spans="8:8" x14ac:dyDescent="0.3">
      <c r="H64384" t="str">
        <f t="shared" si="1055"/>
        <v/>
      </c>
    </row>
    <row r="64385" spans="8:8" x14ac:dyDescent="0.3">
      <c r="H64385" t="str">
        <f t="shared" si="1055"/>
        <v/>
      </c>
    </row>
    <row r="64386" spans="8:8" x14ac:dyDescent="0.3">
      <c r="H64386" t="str">
        <f t="shared" si="1055"/>
        <v/>
      </c>
    </row>
    <row r="64387" spans="8:8" x14ac:dyDescent="0.3">
      <c r="H64387" t="str">
        <f t="shared" si="1055"/>
        <v/>
      </c>
    </row>
    <row r="64388" spans="8:8" x14ac:dyDescent="0.3">
      <c r="H64388" t="str">
        <f t="shared" si="1055"/>
        <v/>
      </c>
    </row>
    <row r="64389" spans="8:8" x14ac:dyDescent="0.3">
      <c r="H64389" t="str">
        <f t="shared" si="1055"/>
        <v/>
      </c>
    </row>
    <row r="64390" spans="8:8" x14ac:dyDescent="0.3">
      <c r="H64390" t="str">
        <f t="shared" si="1055"/>
        <v/>
      </c>
    </row>
    <row r="64391" spans="8:8" x14ac:dyDescent="0.3">
      <c r="H64391" t="str">
        <f t="shared" si="1055"/>
        <v/>
      </c>
    </row>
    <row r="64392" spans="8:8" x14ac:dyDescent="0.3">
      <c r="H64392" t="str">
        <f t="shared" si="1055"/>
        <v/>
      </c>
    </row>
    <row r="64393" spans="8:8" x14ac:dyDescent="0.3">
      <c r="H64393" t="str">
        <f t="shared" si="1055"/>
        <v/>
      </c>
    </row>
    <row r="64394" spans="8:8" x14ac:dyDescent="0.3">
      <c r="H64394" t="str">
        <f t="shared" si="1055"/>
        <v/>
      </c>
    </row>
    <row r="64395" spans="8:8" x14ac:dyDescent="0.3">
      <c r="H64395" t="str">
        <f t="shared" si="1055"/>
        <v/>
      </c>
    </row>
    <row r="64396" spans="8:8" x14ac:dyDescent="0.3">
      <c r="H64396" t="str">
        <f t="shared" si="1055"/>
        <v/>
      </c>
    </row>
    <row r="64397" spans="8:8" x14ac:dyDescent="0.3">
      <c r="H64397" t="str">
        <f t="shared" si="1055"/>
        <v/>
      </c>
    </row>
    <row r="64398" spans="8:8" x14ac:dyDescent="0.3">
      <c r="H64398" t="str">
        <f t="shared" si="1055"/>
        <v/>
      </c>
    </row>
    <row r="64399" spans="8:8" x14ac:dyDescent="0.3">
      <c r="H64399" t="str">
        <f t="shared" si="1055"/>
        <v/>
      </c>
    </row>
    <row r="64400" spans="8:8" x14ac:dyDescent="0.3">
      <c r="H64400" t="str">
        <f t="shared" si="1055"/>
        <v/>
      </c>
    </row>
    <row r="64401" spans="8:8" x14ac:dyDescent="0.3">
      <c r="H64401" t="str">
        <f t="shared" si="1055"/>
        <v/>
      </c>
    </row>
    <row r="64402" spans="8:8" x14ac:dyDescent="0.3">
      <c r="H64402" t="str">
        <f t="shared" si="1055"/>
        <v/>
      </c>
    </row>
    <row r="64403" spans="8:8" x14ac:dyDescent="0.3">
      <c r="H64403" t="str">
        <f t="shared" si="1055"/>
        <v/>
      </c>
    </row>
    <row r="64404" spans="8:8" x14ac:dyDescent="0.3">
      <c r="H64404" t="str">
        <f t="shared" si="1055"/>
        <v/>
      </c>
    </row>
    <row r="64405" spans="8:8" x14ac:dyDescent="0.3">
      <c r="H64405" t="str">
        <f t="shared" si="1055"/>
        <v/>
      </c>
    </row>
    <row r="64406" spans="8:8" x14ac:dyDescent="0.3">
      <c r="H64406" t="str">
        <f t="shared" si="1055"/>
        <v/>
      </c>
    </row>
    <row r="64407" spans="8:8" x14ac:dyDescent="0.3">
      <c r="H64407" t="str">
        <f t="shared" ref="H64407:H64470" si="1056">IF(B64407="","",$C$12)</f>
        <v/>
      </c>
    </row>
    <row r="64408" spans="8:8" x14ac:dyDescent="0.3">
      <c r="H64408" t="str">
        <f t="shared" si="1056"/>
        <v/>
      </c>
    </row>
    <row r="64409" spans="8:8" x14ac:dyDescent="0.3">
      <c r="H64409" t="str">
        <f t="shared" si="1056"/>
        <v/>
      </c>
    </row>
    <row r="64410" spans="8:8" x14ac:dyDescent="0.3">
      <c r="H64410" t="str">
        <f t="shared" si="1056"/>
        <v/>
      </c>
    </row>
    <row r="64411" spans="8:8" x14ac:dyDescent="0.3">
      <c r="H64411" t="str">
        <f t="shared" si="1056"/>
        <v/>
      </c>
    </row>
    <row r="64412" spans="8:8" x14ac:dyDescent="0.3">
      <c r="H64412" t="str">
        <f t="shared" si="1056"/>
        <v/>
      </c>
    </row>
    <row r="64413" spans="8:8" x14ac:dyDescent="0.3">
      <c r="H64413" t="str">
        <f t="shared" si="1056"/>
        <v/>
      </c>
    </row>
    <row r="64414" spans="8:8" x14ac:dyDescent="0.3">
      <c r="H64414" t="str">
        <f t="shared" si="1056"/>
        <v/>
      </c>
    </row>
    <row r="64415" spans="8:8" x14ac:dyDescent="0.3">
      <c r="H64415" t="str">
        <f t="shared" si="1056"/>
        <v/>
      </c>
    </row>
    <row r="64416" spans="8:8" x14ac:dyDescent="0.3">
      <c r="H64416" t="str">
        <f t="shared" si="1056"/>
        <v/>
      </c>
    </row>
    <row r="64417" spans="8:8" x14ac:dyDescent="0.3">
      <c r="H64417" t="str">
        <f t="shared" si="1056"/>
        <v/>
      </c>
    </row>
    <row r="64418" spans="8:8" x14ac:dyDescent="0.3">
      <c r="H64418" t="str">
        <f t="shared" si="1056"/>
        <v/>
      </c>
    </row>
    <row r="64419" spans="8:8" x14ac:dyDescent="0.3">
      <c r="H64419" t="str">
        <f t="shared" si="1056"/>
        <v/>
      </c>
    </row>
    <row r="64420" spans="8:8" x14ac:dyDescent="0.3">
      <c r="H64420" t="str">
        <f t="shared" si="1056"/>
        <v/>
      </c>
    </row>
    <row r="64421" spans="8:8" x14ac:dyDescent="0.3">
      <c r="H64421" t="str">
        <f t="shared" si="1056"/>
        <v/>
      </c>
    </row>
    <row r="64422" spans="8:8" x14ac:dyDescent="0.3">
      <c r="H64422" t="str">
        <f t="shared" si="1056"/>
        <v/>
      </c>
    </row>
    <row r="64423" spans="8:8" x14ac:dyDescent="0.3">
      <c r="H64423" t="str">
        <f t="shared" si="1056"/>
        <v/>
      </c>
    </row>
    <row r="64424" spans="8:8" x14ac:dyDescent="0.3">
      <c r="H64424" t="str">
        <f t="shared" si="1056"/>
        <v/>
      </c>
    </row>
    <row r="64425" spans="8:8" x14ac:dyDescent="0.3">
      <c r="H64425" t="str">
        <f t="shared" si="1056"/>
        <v/>
      </c>
    </row>
    <row r="64426" spans="8:8" x14ac:dyDescent="0.3">
      <c r="H64426" t="str">
        <f t="shared" si="1056"/>
        <v/>
      </c>
    </row>
    <row r="64427" spans="8:8" x14ac:dyDescent="0.3">
      <c r="H64427" t="str">
        <f t="shared" si="1056"/>
        <v/>
      </c>
    </row>
    <row r="64428" spans="8:8" x14ac:dyDescent="0.3">
      <c r="H64428" t="str">
        <f t="shared" si="1056"/>
        <v/>
      </c>
    </row>
    <row r="64429" spans="8:8" x14ac:dyDescent="0.3">
      <c r="H64429" t="str">
        <f t="shared" si="1056"/>
        <v/>
      </c>
    </row>
    <row r="64430" spans="8:8" x14ac:dyDescent="0.3">
      <c r="H64430" t="str">
        <f t="shared" si="1056"/>
        <v/>
      </c>
    </row>
    <row r="64431" spans="8:8" x14ac:dyDescent="0.3">
      <c r="H64431" t="str">
        <f t="shared" si="1056"/>
        <v/>
      </c>
    </row>
    <row r="64432" spans="8:8" x14ac:dyDescent="0.3">
      <c r="H64432" t="str">
        <f t="shared" si="1056"/>
        <v/>
      </c>
    </row>
    <row r="64433" spans="8:8" x14ac:dyDescent="0.3">
      <c r="H64433" t="str">
        <f t="shared" si="1056"/>
        <v/>
      </c>
    </row>
    <row r="64434" spans="8:8" x14ac:dyDescent="0.3">
      <c r="H64434" t="str">
        <f t="shared" si="1056"/>
        <v/>
      </c>
    </row>
    <row r="64435" spans="8:8" x14ac:dyDescent="0.3">
      <c r="H64435" t="str">
        <f t="shared" si="1056"/>
        <v/>
      </c>
    </row>
    <row r="64436" spans="8:8" x14ac:dyDescent="0.3">
      <c r="H64436" t="str">
        <f t="shared" si="1056"/>
        <v/>
      </c>
    </row>
    <row r="64437" spans="8:8" x14ac:dyDescent="0.3">
      <c r="H64437" t="str">
        <f t="shared" si="1056"/>
        <v/>
      </c>
    </row>
    <row r="64438" spans="8:8" x14ac:dyDescent="0.3">
      <c r="H64438" t="str">
        <f t="shared" si="1056"/>
        <v/>
      </c>
    </row>
    <row r="64439" spans="8:8" x14ac:dyDescent="0.3">
      <c r="H64439" t="str">
        <f t="shared" si="1056"/>
        <v/>
      </c>
    </row>
    <row r="64440" spans="8:8" x14ac:dyDescent="0.3">
      <c r="H64440" t="str">
        <f t="shared" si="1056"/>
        <v/>
      </c>
    </row>
    <row r="64441" spans="8:8" x14ac:dyDescent="0.3">
      <c r="H64441" t="str">
        <f t="shared" si="1056"/>
        <v/>
      </c>
    </row>
    <row r="64442" spans="8:8" x14ac:dyDescent="0.3">
      <c r="H64442" t="str">
        <f t="shared" si="1056"/>
        <v/>
      </c>
    </row>
    <row r="64443" spans="8:8" x14ac:dyDescent="0.3">
      <c r="H64443" t="str">
        <f t="shared" si="1056"/>
        <v/>
      </c>
    </row>
    <row r="64444" spans="8:8" x14ac:dyDescent="0.3">
      <c r="H64444" t="str">
        <f t="shared" si="1056"/>
        <v/>
      </c>
    </row>
    <row r="64445" spans="8:8" x14ac:dyDescent="0.3">
      <c r="H64445" t="str">
        <f t="shared" si="1056"/>
        <v/>
      </c>
    </row>
    <row r="64446" spans="8:8" x14ac:dyDescent="0.3">
      <c r="H64446" t="str">
        <f t="shared" si="1056"/>
        <v/>
      </c>
    </row>
    <row r="64447" spans="8:8" x14ac:dyDescent="0.3">
      <c r="H64447" t="str">
        <f t="shared" si="1056"/>
        <v/>
      </c>
    </row>
    <row r="64448" spans="8:8" x14ac:dyDescent="0.3">
      <c r="H64448" t="str">
        <f t="shared" si="1056"/>
        <v/>
      </c>
    </row>
    <row r="64449" spans="8:8" x14ac:dyDescent="0.3">
      <c r="H64449" t="str">
        <f t="shared" si="1056"/>
        <v/>
      </c>
    </row>
    <row r="64450" spans="8:8" x14ac:dyDescent="0.3">
      <c r="H64450" t="str">
        <f t="shared" si="1056"/>
        <v/>
      </c>
    </row>
    <row r="64451" spans="8:8" x14ac:dyDescent="0.3">
      <c r="H64451" t="str">
        <f t="shared" si="1056"/>
        <v/>
      </c>
    </row>
    <row r="64452" spans="8:8" x14ac:dyDescent="0.3">
      <c r="H64452" t="str">
        <f t="shared" si="1056"/>
        <v/>
      </c>
    </row>
    <row r="64453" spans="8:8" x14ac:dyDescent="0.3">
      <c r="H64453" t="str">
        <f t="shared" si="1056"/>
        <v/>
      </c>
    </row>
    <row r="64454" spans="8:8" x14ac:dyDescent="0.3">
      <c r="H64454" t="str">
        <f t="shared" si="1056"/>
        <v/>
      </c>
    </row>
    <row r="64455" spans="8:8" x14ac:dyDescent="0.3">
      <c r="H64455" t="str">
        <f t="shared" si="1056"/>
        <v/>
      </c>
    </row>
    <row r="64456" spans="8:8" x14ac:dyDescent="0.3">
      <c r="H64456" t="str">
        <f t="shared" si="1056"/>
        <v/>
      </c>
    </row>
    <row r="64457" spans="8:8" x14ac:dyDescent="0.3">
      <c r="H64457" t="str">
        <f t="shared" si="1056"/>
        <v/>
      </c>
    </row>
    <row r="64458" spans="8:8" x14ac:dyDescent="0.3">
      <c r="H64458" t="str">
        <f t="shared" si="1056"/>
        <v/>
      </c>
    </row>
    <row r="64459" spans="8:8" x14ac:dyDescent="0.3">
      <c r="H64459" t="str">
        <f t="shared" si="1056"/>
        <v/>
      </c>
    </row>
    <row r="64460" spans="8:8" x14ac:dyDescent="0.3">
      <c r="H64460" t="str">
        <f t="shared" si="1056"/>
        <v/>
      </c>
    </row>
    <row r="64461" spans="8:8" x14ac:dyDescent="0.3">
      <c r="H64461" t="str">
        <f t="shared" si="1056"/>
        <v/>
      </c>
    </row>
    <row r="64462" spans="8:8" x14ac:dyDescent="0.3">
      <c r="H64462" t="str">
        <f t="shared" si="1056"/>
        <v/>
      </c>
    </row>
    <row r="64463" spans="8:8" x14ac:dyDescent="0.3">
      <c r="H64463" t="str">
        <f t="shared" si="1056"/>
        <v/>
      </c>
    </row>
    <row r="64464" spans="8:8" x14ac:dyDescent="0.3">
      <c r="H64464" t="str">
        <f t="shared" si="1056"/>
        <v/>
      </c>
    </row>
    <row r="64465" spans="8:8" x14ac:dyDescent="0.3">
      <c r="H64465" t="str">
        <f t="shared" si="1056"/>
        <v/>
      </c>
    </row>
    <row r="64466" spans="8:8" x14ac:dyDescent="0.3">
      <c r="H64466" t="str">
        <f t="shared" si="1056"/>
        <v/>
      </c>
    </row>
    <row r="64467" spans="8:8" x14ac:dyDescent="0.3">
      <c r="H64467" t="str">
        <f t="shared" si="1056"/>
        <v/>
      </c>
    </row>
    <row r="64468" spans="8:8" x14ac:dyDescent="0.3">
      <c r="H64468" t="str">
        <f t="shared" si="1056"/>
        <v/>
      </c>
    </row>
    <row r="64469" spans="8:8" x14ac:dyDescent="0.3">
      <c r="H64469" t="str">
        <f t="shared" si="1056"/>
        <v/>
      </c>
    </row>
    <row r="64470" spans="8:8" x14ac:dyDescent="0.3">
      <c r="H64470" t="str">
        <f t="shared" si="1056"/>
        <v/>
      </c>
    </row>
    <row r="64471" spans="8:8" x14ac:dyDescent="0.3">
      <c r="H64471" t="str">
        <f t="shared" ref="H64471:H64534" si="1057">IF(B64471="","",$C$12)</f>
        <v/>
      </c>
    </row>
    <row r="64472" spans="8:8" x14ac:dyDescent="0.3">
      <c r="H64472" t="str">
        <f t="shared" si="1057"/>
        <v/>
      </c>
    </row>
    <row r="64473" spans="8:8" x14ac:dyDescent="0.3">
      <c r="H64473" t="str">
        <f t="shared" si="1057"/>
        <v/>
      </c>
    </row>
    <row r="64474" spans="8:8" x14ac:dyDescent="0.3">
      <c r="H64474" t="str">
        <f t="shared" si="1057"/>
        <v/>
      </c>
    </row>
    <row r="64475" spans="8:8" x14ac:dyDescent="0.3">
      <c r="H64475" t="str">
        <f t="shared" si="1057"/>
        <v/>
      </c>
    </row>
    <row r="64476" spans="8:8" x14ac:dyDescent="0.3">
      <c r="H64476" t="str">
        <f t="shared" si="1057"/>
        <v/>
      </c>
    </row>
    <row r="64477" spans="8:8" x14ac:dyDescent="0.3">
      <c r="H64477" t="str">
        <f t="shared" si="1057"/>
        <v/>
      </c>
    </row>
    <row r="64478" spans="8:8" x14ac:dyDescent="0.3">
      <c r="H64478" t="str">
        <f t="shared" si="1057"/>
        <v/>
      </c>
    </row>
    <row r="64479" spans="8:8" x14ac:dyDescent="0.3">
      <c r="H64479" t="str">
        <f t="shared" si="1057"/>
        <v/>
      </c>
    </row>
    <row r="64480" spans="8:8" x14ac:dyDescent="0.3">
      <c r="H64480" t="str">
        <f t="shared" si="1057"/>
        <v/>
      </c>
    </row>
    <row r="64481" spans="8:8" x14ac:dyDescent="0.3">
      <c r="H64481" t="str">
        <f t="shared" si="1057"/>
        <v/>
      </c>
    </row>
    <row r="64482" spans="8:8" x14ac:dyDescent="0.3">
      <c r="H64482" t="str">
        <f t="shared" si="1057"/>
        <v/>
      </c>
    </row>
    <row r="64483" spans="8:8" x14ac:dyDescent="0.3">
      <c r="H64483" t="str">
        <f t="shared" si="1057"/>
        <v/>
      </c>
    </row>
    <row r="64484" spans="8:8" x14ac:dyDescent="0.3">
      <c r="H64484" t="str">
        <f t="shared" si="1057"/>
        <v/>
      </c>
    </row>
    <row r="64485" spans="8:8" x14ac:dyDescent="0.3">
      <c r="H64485" t="str">
        <f t="shared" si="1057"/>
        <v/>
      </c>
    </row>
    <row r="64486" spans="8:8" x14ac:dyDescent="0.3">
      <c r="H64486" t="str">
        <f t="shared" si="1057"/>
        <v/>
      </c>
    </row>
    <row r="64487" spans="8:8" x14ac:dyDescent="0.3">
      <c r="H64487" t="str">
        <f t="shared" si="1057"/>
        <v/>
      </c>
    </row>
    <row r="64488" spans="8:8" x14ac:dyDescent="0.3">
      <c r="H64488" t="str">
        <f t="shared" si="1057"/>
        <v/>
      </c>
    </row>
    <row r="64489" spans="8:8" x14ac:dyDescent="0.3">
      <c r="H64489" t="str">
        <f t="shared" si="1057"/>
        <v/>
      </c>
    </row>
    <row r="64490" spans="8:8" x14ac:dyDescent="0.3">
      <c r="H64490" t="str">
        <f t="shared" si="1057"/>
        <v/>
      </c>
    </row>
    <row r="64491" spans="8:8" x14ac:dyDescent="0.3">
      <c r="H64491" t="str">
        <f t="shared" si="1057"/>
        <v/>
      </c>
    </row>
    <row r="64492" spans="8:8" x14ac:dyDescent="0.3">
      <c r="H64492" t="str">
        <f t="shared" si="1057"/>
        <v/>
      </c>
    </row>
    <row r="64493" spans="8:8" x14ac:dyDescent="0.3">
      <c r="H64493" t="str">
        <f t="shared" si="1057"/>
        <v/>
      </c>
    </row>
    <row r="64494" spans="8:8" x14ac:dyDescent="0.3">
      <c r="H64494" t="str">
        <f t="shared" si="1057"/>
        <v/>
      </c>
    </row>
    <row r="64495" spans="8:8" x14ac:dyDescent="0.3">
      <c r="H64495" t="str">
        <f t="shared" si="1057"/>
        <v/>
      </c>
    </row>
    <row r="64496" spans="8:8" x14ac:dyDescent="0.3">
      <c r="H64496" t="str">
        <f t="shared" si="1057"/>
        <v/>
      </c>
    </row>
    <row r="64497" spans="8:8" x14ac:dyDescent="0.3">
      <c r="H64497" t="str">
        <f t="shared" si="1057"/>
        <v/>
      </c>
    </row>
    <row r="64498" spans="8:8" x14ac:dyDescent="0.3">
      <c r="H64498" t="str">
        <f t="shared" si="1057"/>
        <v/>
      </c>
    </row>
    <row r="64499" spans="8:8" x14ac:dyDescent="0.3">
      <c r="H64499" t="str">
        <f t="shared" si="1057"/>
        <v/>
      </c>
    </row>
    <row r="64500" spans="8:8" x14ac:dyDescent="0.3">
      <c r="H64500" t="str">
        <f t="shared" si="1057"/>
        <v/>
      </c>
    </row>
    <row r="64501" spans="8:8" x14ac:dyDescent="0.3">
      <c r="H64501" t="str">
        <f t="shared" si="1057"/>
        <v/>
      </c>
    </row>
    <row r="64502" spans="8:8" x14ac:dyDescent="0.3">
      <c r="H64502" t="str">
        <f t="shared" si="1057"/>
        <v/>
      </c>
    </row>
    <row r="64503" spans="8:8" x14ac:dyDescent="0.3">
      <c r="H64503" t="str">
        <f t="shared" si="1057"/>
        <v/>
      </c>
    </row>
    <row r="64504" spans="8:8" x14ac:dyDescent="0.3">
      <c r="H64504" t="str">
        <f t="shared" si="1057"/>
        <v/>
      </c>
    </row>
    <row r="64505" spans="8:8" x14ac:dyDescent="0.3">
      <c r="H64505" t="str">
        <f t="shared" si="1057"/>
        <v/>
      </c>
    </row>
    <row r="64506" spans="8:8" x14ac:dyDescent="0.3">
      <c r="H64506" t="str">
        <f t="shared" si="1057"/>
        <v/>
      </c>
    </row>
    <row r="64507" spans="8:8" x14ac:dyDescent="0.3">
      <c r="H64507" t="str">
        <f t="shared" si="1057"/>
        <v/>
      </c>
    </row>
    <row r="64508" spans="8:8" x14ac:dyDescent="0.3">
      <c r="H64508" t="str">
        <f t="shared" si="1057"/>
        <v/>
      </c>
    </row>
    <row r="64509" spans="8:8" x14ac:dyDescent="0.3">
      <c r="H64509" t="str">
        <f t="shared" si="1057"/>
        <v/>
      </c>
    </row>
    <row r="64510" spans="8:8" x14ac:dyDescent="0.3">
      <c r="H64510" t="str">
        <f t="shared" si="1057"/>
        <v/>
      </c>
    </row>
    <row r="64511" spans="8:8" x14ac:dyDescent="0.3">
      <c r="H64511" t="str">
        <f t="shared" si="1057"/>
        <v/>
      </c>
    </row>
    <row r="64512" spans="8:8" x14ac:dyDescent="0.3">
      <c r="H64512" t="str">
        <f t="shared" si="1057"/>
        <v/>
      </c>
    </row>
    <row r="64513" spans="8:8" x14ac:dyDescent="0.3">
      <c r="H64513" t="str">
        <f t="shared" si="1057"/>
        <v/>
      </c>
    </row>
    <row r="64514" spans="8:8" x14ac:dyDescent="0.3">
      <c r="H64514" t="str">
        <f t="shared" si="1057"/>
        <v/>
      </c>
    </row>
    <row r="64515" spans="8:8" x14ac:dyDescent="0.3">
      <c r="H64515" t="str">
        <f t="shared" si="1057"/>
        <v/>
      </c>
    </row>
    <row r="64516" spans="8:8" x14ac:dyDescent="0.3">
      <c r="H64516" t="str">
        <f t="shared" si="1057"/>
        <v/>
      </c>
    </row>
    <row r="64517" spans="8:8" x14ac:dyDescent="0.3">
      <c r="H64517" t="str">
        <f t="shared" si="1057"/>
        <v/>
      </c>
    </row>
    <row r="64518" spans="8:8" x14ac:dyDescent="0.3">
      <c r="H64518" t="str">
        <f t="shared" si="1057"/>
        <v/>
      </c>
    </row>
    <row r="64519" spans="8:8" x14ac:dyDescent="0.3">
      <c r="H64519" t="str">
        <f t="shared" si="1057"/>
        <v/>
      </c>
    </row>
    <row r="64520" spans="8:8" x14ac:dyDescent="0.3">
      <c r="H64520" t="str">
        <f t="shared" si="1057"/>
        <v/>
      </c>
    </row>
    <row r="64521" spans="8:8" x14ac:dyDescent="0.3">
      <c r="H64521" t="str">
        <f t="shared" si="1057"/>
        <v/>
      </c>
    </row>
    <row r="64522" spans="8:8" x14ac:dyDescent="0.3">
      <c r="H64522" t="str">
        <f t="shared" si="1057"/>
        <v/>
      </c>
    </row>
    <row r="64523" spans="8:8" x14ac:dyDescent="0.3">
      <c r="H64523" t="str">
        <f t="shared" si="1057"/>
        <v/>
      </c>
    </row>
    <row r="64524" spans="8:8" x14ac:dyDescent="0.3">
      <c r="H64524" t="str">
        <f t="shared" si="1057"/>
        <v/>
      </c>
    </row>
    <row r="64525" spans="8:8" x14ac:dyDescent="0.3">
      <c r="H64525" t="str">
        <f t="shared" si="1057"/>
        <v/>
      </c>
    </row>
    <row r="64526" spans="8:8" x14ac:dyDescent="0.3">
      <c r="H64526" t="str">
        <f t="shared" si="1057"/>
        <v/>
      </c>
    </row>
    <row r="64527" spans="8:8" x14ac:dyDescent="0.3">
      <c r="H64527" t="str">
        <f t="shared" si="1057"/>
        <v/>
      </c>
    </row>
    <row r="64528" spans="8:8" x14ac:dyDescent="0.3">
      <c r="H64528" t="str">
        <f t="shared" si="1057"/>
        <v/>
      </c>
    </row>
    <row r="64529" spans="8:8" x14ac:dyDescent="0.3">
      <c r="H64529" t="str">
        <f t="shared" si="1057"/>
        <v/>
      </c>
    </row>
    <row r="64530" spans="8:8" x14ac:dyDescent="0.3">
      <c r="H64530" t="str">
        <f t="shared" si="1057"/>
        <v/>
      </c>
    </row>
    <row r="64531" spans="8:8" x14ac:dyDescent="0.3">
      <c r="H64531" t="str">
        <f t="shared" si="1057"/>
        <v/>
      </c>
    </row>
    <row r="64532" spans="8:8" x14ac:dyDescent="0.3">
      <c r="H64532" t="str">
        <f t="shared" si="1057"/>
        <v/>
      </c>
    </row>
    <row r="64533" spans="8:8" x14ac:dyDescent="0.3">
      <c r="H64533" t="str">
        <f t="shared" si="1057"/>
        <v/>
      </c>
    </row>
    <row r="64534" spans="8:8" x14ac:dyDescent="0.3">
      <c r="H64534" t="str">
        <f t="shared" si="1057"/>
        <v/>
      </c>
    </row>
    <row r="64535" spans="8:8" x14ac:dyDescent="0.3">
      <c r="H64535" t="str">
        <f t="shared" ref="H64535:H64598" si="1058">IF(B64535="","",$C$12)</f>
        <v/>
      </c>
    </row>
    <row r="64536" spans="8:8" x14ac:dyDescent="0.3">
      <c r="H64536" t="str">
        <f t="shared" si="1058"/>
        <v/>
      </c>
    </row>
    <row r="64537" spans="8:8" x14ac:dyDescent="0.3">
      <c r="H64537" t="str">
        <f t="shared" si="1058"/>
        <v/>
      </c>
    </row>
    <row r="64538" spans="8:8" x14ac:dyDescent="0.3">
      <c r="H64538" t="str">
        <f t="shared" si="1058"/>
        <v/>
      </c>
    </row>
    <row r="64539" spans="8:8" x14ac:dyDescent="0.3">
      <c r="H64539" t="str">
        <f t="shared" si="1058"/>
        <v/>
      </c>
    </row>
    <row r="64540" spans="8:8" x14ac:dyDescent="0.3">
      <c r="H64540" t="str">
        <f t="shared" si="1058"/>
        <v/>
      </c>
    </row>
    <row r="64541" spans="8:8" x14ac:dyDescent="0.3">
      <c r="H64541" t="str">
        <f t="shared" si="1058"/>
        <v/>
      </c>
    </row>
    <row r="64542" spans="8:8" x14ac:dyDescent="0.3">
      <c r="H64542" t="str">
        <f t="shared" si="1058"/>
        <v/>
      </c>
    </row>
    <row r="64543" spans="8:8" x14ac:dyDescent="0.3">
      <c r="H64543" t="str">
        <f t="shared" si="1058"/>
        <v/>
      </c>
    </row>
    <row r="64544" spans="8:8" x14ac:dyDescent="0.3">
      <c r="H64544" t="str">
        <f t="shared" si="1058"/>
        <v/>
      </c>
    </row>
    <row r="64545" spans="8:8" x14ac:dyDescent="0.3">
      <c r="H64545" t="str">
        <f t="shared" si="1058"/>
        <v/>
      </c>
    </row>
    <row r="64546" spans="8:8" x14ac:dyDescent="0.3">
      <c r="H64546" t="str">
        <f t="shared" si="1058"/>
        <v/>
      </c>
    </row>
    <row r="64547" spans="8:8" x14ac:dyDescent="0.3">
      <c r="H64547" t="str">
        <f t="shared" si="1058"/>
        <v/>
      </c>
    </row>
    <row r="64548" spans="8:8" x14ac:dyDescent="0.3">
      <c r="H64548" t="str">
        <f t="shared" si="1058"/>
        <v/>
      </c>
    </row>
    <row r="64549" spans="8:8" x14ac:dyDescent="0.3">
      <c r="H64549" t="str">
        <f t="shared" si="1058"/>
        <v/>
      </c>
    </row>
    <row r="64550" spans="8:8" x14ac:dyDescent="0.3">
      <c r="H64550" t="str">
        <f t="shared" si="1058"/>
        <v/>
      </c>
    </row>
    <row r="64551" spans="8:8" x14ac:dyDescent="0.3">
      <c r="H64551" t="str">
        <f t="shared" si="1058"/>
        <v/>
      </c>
    </row>
    <row r="64552" spans="8:8" x14ac:dyDescent="0.3">
      <c r="H64552" t="str">
        <f t="shared" si="1058"/>
        <v/>
      </c>
    </row>
    <row r="64553" spans="8:8" x14ac:dyDescent="0.3">
      <c r="H64553" t="str">
        <f t="shared" si="1058"/>
        <v/>
      </c>
    </row>
    <row r="64554" spans="8:8" x14ac:dyDescent="0.3">
      <c r="H64554" t="str">
        <f t="shared" si="1058"/>
        <v/>
      </c>
    </row>
    <row r="64555" spans="8:8" x14ac:dyDescent="0.3">
      <c r="H64555" t="str">
        <f t="shared" si="1058"/>
        <v/>
      </c>
    </row>
    <row r="64556" spans="8:8" x14ac:dyDescent="0.3">
      <c r="H64556" t="str">
        <f t="shared" si="1058"/>
        <v/>
      </c>
    </row>
    <row r="64557" spans="8:8" x14ac:dyDescent="0.3">
      <c r="H64557" t="str">
        <f t="shared" si="1058"/>
        <v/>
      </c>
    </row>
    <row r="64558" spans="8:8" x14ac:dyDescent="0.3">
      <c r="H64558" t="str">
        <f t="shared" si="1058"/>
        <v/>
      </c>
    </row>
    <row r="64559" spans="8:8" x14ac:dyDescent="0.3">
      <c r="H64559" t="str">
        <f t="shared" si="1058"/>
        <v/>
      </c>
    </row>
    <row r="64560" spans="8:8" x14ac:dyDescent="0.3">
      <c r="H64560" t="str">
        <f t="shared" si="1058"/>
        <v/>
      </c>
    </row>
    <row r="64561" spans="8:8" x14ac:dyDescent="0.3">
      <c r="H64561" t="str">
        <f t="shared" si="1058"/>
        <v/>
      </c>
    </row>
    <row r="64562" spans="8:8" x14ac:dyDescent="0.3">
      <c r="H64562" t="str">
        <f t="shared" si="1058"/>
        <v/>
      </c>
    </row>
    <row r="64563" spans="8:8" x14ac:dyDescent="0.3">
      <c r="H64563" t="str">
        <f t="shared" si="1058"/>
        <v/>
      </c>
    </row>
    <row r="64564" spans="8:8" x14ac:dyDescent="0.3">
      <c r="H64564" t="str">
        <f t="shared" si="1058"/>
        <v/>
      </c>
    </row>
    <row r="64565" spans="8:8" x14ac:dyDescent="0.3">
      <c r="H64565" t="str">
        <f t="shared" si="1058"/>
        <v/>
      </c>
    </row>
    <row r="64566" spans="8:8" x14ac:dyDescent="0.3">
      <c r="H64566" t="str">
        <f t="shared" si="1058"/>
        <v/>
      </c>
    </row>
    <row r="64567" spans="8:8" x14ac:dyDescent="0.3">
      <c r="H64567" t="str">
        <f t="shared" si="1058"/>
        <v/>
      </c>
    </row>
    <row r="64568" spans="8:8" x14ac:dyDescent="0.3">
      <c r="H64568" t="str">
        <f t="shared" si="1058"/>
        <v/>
      </c>
    </row>
    <row r="64569" spans="8:8" x14ac:dyDescent="0.3">
      <c r="H64569" t="str">
        <f t="shared" si="1058"/>
        <v/>
      </c>
    </row>
    <row r="64570" spans="8:8" x14ac:dyDescent="0.3">
      <c r="H64570" t="str">
        <f t="shared" si="1058"/>
        <v/>
      </c>
    </row>
    <row r="64571" spans="8:8" x14ac:dyDescent="0.3">
      <c r="H64571" t="str">
        <f t="shared" si="1058"/>
        <v/>
      </c>
    </row>
    <row r="64572" spans="8:8" x14ac:dyDescent="0.3">
      <c r="H64572" t="str">
        <f t="shared" si="1058"/>
        <v/>
      </c>
    </row>
    <row r="64573" spans="8:8" x14ac:dyDescent="0.3">
      <c r="H64573" t="str">
        <f t="shared" si="1058"/>
        <v/>
      </c>
    </row>
    <row r="64574" spans="8:8" x14ac:dyDescent="0.3">
      <c r="H64574" t="str">
        <f t="shared" si="1058"/>
        <v/>
      </c>
    </row>
    <row r="64575" spans="8:8" x14ac:dyDescent="0.3">
      <c r="H64575" t="str">
        <f t="shared" si="1058"/>
        <v/>
      </c>
    </row>
    <row r="64576" spans="8:8" x14ac:dyDescent="0.3">
      <c r="H64576" t="str">
        <f t="shared" si="1058"/>
        <v/>
      </c>
    </row>
    <row r="64577" spans="8:8" x14ac:dyDescent="0.3">
      <c r="H64577" t="str">
        <f t="shared" si="1058"/>
        <v/>
      </c>
    </row>
    <row r="64578" spans="8:8" x14ac:dyDescent="0.3">
      <c r="H64578" t="str">
        <f t="shared" si="1058"/>
        <v/>
      </c>
    </row>
    <row r="64579" spans="8:8" x14ac:dyDescent="0.3">
      <c r="H64579" t="str">
        <f t="shared" si="1058"/>
        <v/>
      </c>
    </row>
    <row r="64580" spans="8:8" x14ac:dyDescent="0.3">
      <c r="H64580" t="str">
        <f t="shared" si="1058"/>
        <v/>
      </c>
    </row>
    <row r="64581" spans="8:8" x14ac:dyDescent="0.3">
      <c r="H64581" t="str">
        <f t="shared" si="1058"/>
        <v/>
      </c>
    </row>
    <row r="64582" spans="8:8" x14ac:dyDescent="0.3">
      <c r="H64582" t="str">
        <f t="shared" si="1058"/>
        <v/>
      </c>
    </row>
    <row r="64583" spans="8:8" x14ac:dyDescent="0.3">
      <c r="H64583" t="str">
        <f t="shared" si="1058"/>
        <v/>
      </c>
    </row>
    <row r="64584" spans="8:8" x14ac:dyDescent="0.3">
      <c r="H64584" t="str">
        <f t="shared" si="1058"/>
        <v/>
      </c>
    </row>
    <row r="64585" spans="8:8" x14ac:dyDescent="0.3">
      <c r="H64585" t="str">
        <f t="shared" si="1058"/>
        <v/>
      </c>
    </row>
    <row r="64586" spans="8:8" x14ac:dyDescent="0.3">
      <c r="H64586" t="str">
        <f t="shared" si="1058"/>
        <v/>
      </c>
    </row>
    <row r="64587" spans="8:8" x14ac:dyDescent="0.3">
      <c r="H64587" t="str">
        <f t="shared" si="1058"/>
        <v/>
      </c>
    </row>
    <row r="64588" spans="8:8" x14ac:dyDescent="0.3">
      <c r="H64588" t="str">
        <f t="shared" si="1058"/>
        <v/>
      </c>
    </row>
    <row r="64589" spans="8:8" x14ac:dyDescent="0.3">
      <c r="H64589" t="str">
        <f t="shared" si="1058"/>
        <v/>
      </c>
    </row>
    <row r="64590" spans="8:8" x14ac:dyDescent="0.3">
      <c r="H64590" t="str">
        <f t="shared" si="1058"/>
        <v/>
      </c>
    </row>
    <row r="64591" spans="8:8" x14ac:dyDescent="0.3">
      <c r="H64591" t="str">
        <f t="shared" si="1058"/>
        <v/>
      </c>
    </row>
    <row r="64592" spans="8:8" x14ac:dyDescent="0.3">
      <c r="H64592" t="str">
        <f t="shared" si="1058"/>
        <v/>
      </c>
    </row>
    <row r="64593" spans="8:8" x14ac:dyDescent="0.3">
      <c r="H64593" t="str">
        <f t="shared" si="1058"/>
        <v/>
      </c>
    </row>
    <row r="64594" spans="8:8" x14ac:dyDescent="0.3">
      <c r="H64594" t="str">
        <f t="shared" si="1058"/>
        <v/>
      </c>
    </row>
    <row r="64595" spans="8:8" x14ac:dyDescent="0.3">
      <c r="H64595" t="str">
        <f t="shared" si="1058"/>
        <v/>
      </c>
    </row>
    <row r="64596" spans="8:8" x14ac:dyDescent="0.3">
      <c r="H64596" t="str">
        <f t="shared" si="1058"/>
        <v/>
      </c>
    </row>
    <row r="64597" spans="8:8" x14ac:dyDescent="0.3">
      <c r="H64597" t="str">
        <f t="shared" si="1058"/>
        <v/>
      </c>
    </row>
    <row r="64598" spans="8:8" x14ac:dyDescent="0.3">
      <c r="H64598" t="str">
        <f t="shared" si="1058"/>
        <v/>
      </c>
    </row>
    <row r="64599" spans="8:8" x14ac:dyDescent="0.3">
      <c r="H64599" t="str">
        <f t="shared" ref="H64599:H64662" si="1059">IF(B64599="","",$C$12)</f>
        <v/>
      </c>
    </row>
    <row r="64600" spans="8:8" x14ac:dyDescent="0.3">
      <c r="H64600" t="str">
        <f t="shared" si="1059"/>
        <v/>
      </c>
    </row>
    <row r="64601" spans="8:8" x14ac:dyDescent="0.3">
      <c r="H64601" t="str">
        <f t="shared" si="1059"/>
        <v/>
      </c>
    </row>
    <row r="64602" spans="8:8" x14ac:dyDescent="0.3">
      <c r="H64602" t="str">
        <f t="shared" si="1059"/>
        <v/>
      </c>
    </row>
    <row r="64603" spans="8:8" x14ac:dyDescent="0.3">
      <c r="H64603" t="str">
        <f t="shared" si="1059"/>
        <v/>
      </c>
    </row>
    <row r="64604" spans="8:8" x14ac:dyDescent="0.3">
      <c r="H64604" t="str">
        <f t="shared" si="1059"/>
        <v/>
      </c>
    </row>
    <row r="64605" spans="8:8" x14ac:dyDescent="0.3">
      <c r="H64605" t="str">
        <f t="shared" si="1059"/>
        <v/>
      </c>
    </row>
    <row r="64606" spans="8:8" x14ac:dyDescent="0.3">
      <c r="H64606" t="str">
        <f t="shared" si="1059"/>
        <v/>
      </c>
    </row>
    <row r="64607" spans="8:8" x14ac:dyDescent="0.3">
      <c r="H64607" t="str">
        <f t="shared" si="1059"/>
        <v/>
      </c>
    </row>
    <row r="64608" spans="8:8" x14ac:dyDescent="0.3">
      <c r="H64608" t="str">
        <f t="shared" si="1059"/>
        <v/>
      </c>
    </row>
    <row r="64609" spans="8:8" x14ac:dyDescent="0.3">
      <c r="H64609" t="str">
        <f t="shared" si="1059"/>
        <v/>
      </c>
    </row>
    <row r="64610" spans="8:8" x14ac:dyDescent="0.3">
      <c r="H64610" t="str">
        <f t="shared" si="1059"/>
        <v/>
      </c>
    </row>
    <row r="64611" spans="8:8" x14ac:dyDescent="0.3">
      <c r="H64611" t="str">
        <f t="shared" si="1059"/>
        <v/>
      </c>
    </row>
    <row r="64612" spans="8:8" x14ac:dyDescent="0.3">
      <c r="H64612" t="str">
        <f t="shared" si="1059"/>
        <v/>
      </c>
    </row>
    <row r="64613" spans="8:8" x14ac:dyDescent="0.3">
      <c r="H64613" t="str">
        <f t="shared" si="1059"/>
        <v/>
      </c>
    </row>
    <row r="64614" spans="8:8" x14ac:dyDescent="0.3">
      <c r="H64614" t="str">
        <f t="shared" si="1059"/>
        <v/>
      </c>
    </row>
    <row r="64615" spans="8:8" x14ac:dyDescent="0.3">
      <c r="H64615" t="str">
        <f t="shared" si="1059"/>
        <v/>
      </c>
    </row>
    <row r="64616" spans="8:8" x14ac:dyDescent="0.3">
      <c r="H64616" t="str">
        <f t="shared" si="1059"/>
        <v/>
      </c>
    </row>
    <row r="64617" spans="8:8" x14ac:dyDescent="0.3">
      <c r="H64617" t="str">
        <f t="shared" si="1059"/>
        <v/>
      </c>
    </row>
    <row r="64618" spans="8:8" x14ac:dyDescent="0.3">
      <c r="H64618" t="str">
        <f t="shared" si="1059"/>
        <v/>
      </c>
    </row>
    <row r="64619" spans="8:8" x14ac:dyDescent="0.3">
      <c r="H64619" t="str">
        <f t="shared" si="1059"/>
        <v/>
      </c>
    </row>
    <row r="64620" spans="8:8" x14ac:dyDescent="0.3">
      <c r="H64620" t="str">
        <f t="shared" si="1059"/>
        <v/>
      </c>
    </row>
    <row r="64621" spans="8:8" x14ac:dyDescent="0.3">
      <c r="H64621" t="str">
        <f t="shared" si="1059"/>
        <v/>
      </c>
    </row>
    <row r="64622" spans="8:8" x14ac:dyDescent="0.3">
      <c r="H64622" t="str">
        <f t="shared" si="1059"/>
        <v/>
      </c>
    </row>
    <row r="64623" spans="8:8" x14ac:dyDescent="0.3">
      <c r="H64623" t="str">
        <f t="shared" si="1059"/>
        <v/>
      </c>
    </row>
    <row r="64624" spans="8:8" x14ac:dyDescent="0.3">
      <c r="H64624" t="str">
        <f t="shared" si="1059"/>
        <v/>
      </c>
    </row>
    <row r="64625" spans="8:8" x14ac:dyDescent="0.3">
      <c r="H64625" t="str">
        <f t="shared" si="1059"/>
        <v/>
      </c>
    </row>
    <row r="64626" spans="8:8" x14ac:dyDescent="0.3">
      <c r="H64626" t="str">
        <f t="shared" si="1059"/>
        <v/>
      </c>
    </row>
    <row r="64627" spans="8:8" x14ac:dyDescent="0.3">
      <c r="H64627" t="str">
        <f t="shared" si="1059"/>
        <v/>
      </c>
    </row>
    <row r="64628" spans="8:8" x14ac:dyDescent="0.3">
      <c r="H64628" t="str">
        <f t="shared" si="1059"/>
        <v/>
      </c>
    </row>
    <row r="64629" spans="8:8" x14ac:dyDescent="0.3">
      <c r="H64629" t="str">
        <f t="shared" si="1059"/>
        <v/>
      </c>
    </row>
    <row r="64630" spans="8:8" x14ac:dyDescent="0.3">
      <c r="H64630" t="str">
        <f t="shared" si="1059"/>
        <v/>
      </c>
    </row>
    <row r="64631" spans="8:8" x14ac:dyDescent="0.3">
      <c r="H64631" t="str">
        <f t="shared" si="1059"/>
        <v/>
      </c>
    </row>
    <row r="64632" spans="8:8" x14ac:dyDescent="0.3">
      <c r="H64632" t="str">
        <f t="shared" si="1059"/>
        <v/>
      </c>
    </row>
    <row r="64633" spans="8:8" x14ac:dyDescent="0.3">
      <c r="H64633" t="str">
        <f t="shared" si="1059"/>
        <v/>
      </c>
    </row>
    <row r="64634" spans="8:8" x14ac:dyDescent="0.3">
      <c r="H64634" t="str">
        <f t="shared" si="1059"/>
        <v/>
      </c>
    </row>
    <row r="64635" spans="8:8" x14ac:dyDescent="0.3">
      <c r="H64635" t="str">
        <f t="shared" si="1059"/>
        <v/>
      </c>
    </row>
    <row r="64636" spans="8:8" x14ac:dyDescent="0.3">
      <c r="H64636" t="str">
        <f t="shared" si="1059"/>
        <v/>
      </c>
    </row>
    <row r="64637" spans="8:8" x14ac:dyDescent="0.3">
      <c r="H64637" t="str">
        <f t="shared" si="1059"/>
        <v/>
      </c>
    </row>
    <row r="64638" spans="8:8" x14ac:dyDescent="0.3">
      <c r="H64638" t="str">
        <f t="shared" si="1059"/>
        <v/>
      </c>
    </row>
    <row r="64639" spans="8:8" x14ac:dyDescent="0.3">
      <c r="H64639" t="str">
        <f t="shared" si="1059"/>
        <v/>
      </c>
    </row>
    <row r="64640" spans="8:8" x14ac:dyDescent="0.3">
      <c r="H64640" t="str">
        <f t="shared" si="1059"/>
        <v/>
      </c>
    </row>
    <row r="64641" spans="8:8" x14ac:dyDescent="0.3">
      <c r="H64641" t="str">
        <f t="shared" si="1059"/>
        <v/>
      </c>
    </row>
    <row r="64642" spans="8:8" x14ac:dyDescent="0.3">
      <c r="H64642" t="str">
        <f t="shared" si="1059"/>
        <v/>
      </c>
    </row>
    <row r="64643" spans="8:8" x14ac:dyDescent="0.3">
      <c r="H64643" t="str">
        <f t="shared" si="1059"/>
        <v/>
      </c>
    </row>
    <row r="64644" spans="8:8" x14ac:dyDescent="0.3">
      <c r="H64644" t="str">
        <f t="shared" si="1059"/>
        <v/>
      </c>
    </row>
    <row r="64645" spans="8:8" x14ac:dyDescent="0.3">
      <c r="H64645" t="str">
        <f t="shared" si="1059"/>
        <v/>
      </c>
    </row>
    <row r="64646" spans="8:8" x14ac:dyDescent="0.3">
      <c r="H64646" t="str">
        <f t="shared" si="1059"/>
        <v/>
      </c>
    </row>
    <row r="64647" spans="8:8" x14ac:dyDescent="0.3">
      <c r="H64647" t="str">
        <f t="shared" si="1059"/>
        <v/>
      </c>
    </row>
    <row r="64648" spans="8:8" x14ac:dyDescent="0.3">
      <c r="H64648" t="str">
        <f t="shared" si="1059"/>
        <v/>
      </c>
    </row>
    <row r="64649" spans="8:8" x14ac:dyDescent="0.3">
      <c r="H64649" t="str">
        <f t="shared" si="1059"/>
        <v/>
      </c>
    </row>
    <row r="64650" spans="8:8" x14ac:dyDescent="0.3">
      <c r="H64650" t="str">
        <f t="shared" si="1059"/>
        <v/>
      </c>
    </row>
    <row r="64651" spans="8:8" x14ac:dyDescent="0.3">
      <c r="H64651" t="str">
        <f t="shared" si="1059"/>
        <v/>
      </c>
    </row>
    <row r="64652" spans="8:8" x14ac:dyDescent="0.3">
      <c r="H64652" t="str">
        <f t="shared" si="1059"/>
        <v/>
      </c>
    </row>
    <row r="64653" spans="8:8" x14ac:dyDescent="0.3">
      <c r="H64653" t="str">
        <f t="shared" si="1059"/>
        <v/>
      </c>
    </row>
    <row r="64654" spans="8:8" x14ac:dyDescent="0.3">
      <c r="H64654" t="str">
        <f t="shared" si="1059"/>
        <v/>
      </c>
    </row>
    <row r="64655" spans="8:8" x14ac:dyDescent="0.3">
      <c r="H64655" t="str">
        <f t="shared" si="1059"/>
        <v/>
      </c>
    </row>
    <row r="64656" spans="8:8" x14ac:dyDescent="0.3">
      <c r="H64656" t="str">
        <f t="shared" si="1059"/>
        <v/>
      </c>
    </row>
    <row r="64657" spans="8:8" x14ac:dyDescent="0.3">
      <c r="H64657" t="str">
        <f t="shared" si="1059"/>
        <v/>
      </c>
    </row>
    <row r="64658" spans="8:8" x14ac:dyDescent="0.3">
      <c r="H64658" t="str">
        <f t="shared" si="1059"/>
        <v/>
      </c>
    </row>
    <row r="64659" spans="8:8" x14ac:dyDescent="0.3">
      <c r="H64659" t="str">
        <f t="shared" si="1059"/>
        <v/>
      </c>
    </row>
    <row r="64660" spans="8:8" x14ac:dyDescent="0.3">
      <c r="H64660" t="str">
        <f t="shared" si="1059"/>
        <v/>
      </c>
    </row>
    <row r="64661" spans="8:8" x14ac:dyDescent="0.3">
      <c r="H64661" t="str">
        <f t="shared" si="1059"/>
        <v/>
      </c>
    </row>
    <row r="64662" spans="8:8" x14ac:dyDescent="0.3">
      <c r="H64662" t="str">
        <f t="shared" si="1059"/>
        <v/>
      </c>
    </row>
    <row r="64663" spans="8:8" x14ac:dyDescent="0.3">
      <c r="H64663" t="str">
        <f t="shared" ref="H64663:H64726" si="1060">IF(B64663="","",$C$12)</f>
        <v/>
      </c>
    </row>
    <row r="64664" spans="8:8" x14ac:dyDescent="0.3">
      <c r="H64664" t="str">
        <f t="shared" si="1060"/>
        <v/>
      </c>
    </row>
    <row r="64665" spans="8:8" x14ac:dyDescent="0.3">
      <c r="H64665" t="str">
        <f t="shared" si="1060"/>
        <v/>
      </c>
    </row>
    <row r="64666" spans="8:8" x14ac:dyDescent="0.3">
      <c r="H64666" t="str">
        <f t="shared" si="1060"/>
        <v/>
      </c>
    </row>
    <row r="64667" spans="8:8" x14ac:dyDescent="0.3">
      <c r="H64667" t="str">
        <f t="shared" si="1060"/>
        <v/>
      </c>
    </row>
    <row r="64668" spans="8:8" x14ac:dyDescent="0.3">
      <c r="H64668" t="str">
        <f t="shared" si="1060"/>
        <v/>
      </c>
    </row>
    <row r="64669" spans="8:8" x14ac:dyDescent="0.3">
      <c r="H64669" t="str">
        <f t="shared" si="1060"/>
        <v/>
      </c>
    </row>
    <row r="64670" spans="8:8" x14ac:dyDescent="0.3">
      <c r="H64670" t="str">
        <f t="shared" si="1060"/>
        <v/>
      </c>
    </row>
    <row r="64671" spans="8:8" x14ac:dyDescent="0.3">
      <c r="H64671" t="str">
        <f t="shared" si="1060"/>
        <v/>
      </c>
    </row>
    <row r="64672" spans="8:8" x14ac:dyDescent="0.3">
      <c r="H64672" t="str">
        <f t="shared" si="1060"/>
        <v/>
      </c>
    </row>
    <row r="64673" spans="8:8" x14ac:dyDescent="0.3">
      <c r="H64673" t="str">
        <f t="shared" si="1060"/>
        <v/>
      </c>
    </row>
    <row r="64674" spans="8:8" x14ac:dyDescent="0.3">
      <c r="H64674" t="str">
        <f t="shared" si="1060"/>
        <v/>
      </c>
    </row>
    <row r="64675" spans="8:8" x14ac:dyDescent="0.3">
      <c r="H64675" t="str">
        <f t="shared" si="1060"/>
        <v/>
      </c>
    </row>
    <row r="64676" spans="8:8" x14ac:dyDescent="0.3">
      <c r="H64676" t="str">
        <f t="shared" si="1060"/>
        <v/>
      </c>
    </row>
    <row r="64677" spans="8:8" x14ac:dyDescent="0.3">
      <c r="H64677" t="str">
        <f t="shared" si="1060"/>
        <v/>
      </c>
    </row>
    <row r="64678" spans="8:8" x14ac:dyDescent="0.3">
      <c r="H64678" t="str">
        <f t="shared" si="1060"/>
        <v/>
      </c>
    </row>
    <row r="64679" spans="8:8" x14ac:dyDescent="0.3">
      <c r="H64679" t="str">
        <f t="shared" si="1060"/>
        <v/>
      </c>
    </row>
    <row r="64680" spans="8:8" x14ac:dyDescent="0.3">
      <c r="H64680" t="str">
        <f t="shared" si="1060"/>
        <v/>
      </c>
    </row>
    <row r="64681" spans="8:8" x14ac:dyDescent="0.3">
      <c r="H64681" t="str">
        <f t="shared" si="1060"/>
        <v/>
      </c>
    </row>
    <row r="64682" spans="8:8" x14ac:dyDescent="0.3">
      <c r="H64682" t="str">
        <f t="shared" si="1060"/>
        <v/>
      </c>
    </row>
    <row r="64683" spans="8:8" x14ac:dyDescent="0.3">
      <c r="H64683" t="str">
        <f t="shared" si="1060"/>
        <v/>
      </c>
    </row>
    <row r="64684" spans="8:8" x14ac:dyDescent="0.3">
      <c r="H64684" t="str">
        <f t="shared" si="1060"/>
        <v/>
      </c>
    </row>
    <row r="64685" spans="8:8" x14ac:dyDescent="0.3">
      <c r="H64685" t="str">
        <f t="shared" si="1060"/>
        <v/>
      </c>
    </row>
    <row r="64686" spans="8:8" x14ac:dyDescent="0.3">
      <c r="H64686" t="str">
        <f t="shared" si="1060"/>
        <v/>
      </c>
    </row>
    <row r="64687" spans="8:8" x14ac:dyDescent="0.3">
      <c r="H64687" t="str">
        <f t="shared" si="1060"/>
        <v/>
      </c>
    </row>
    <row r="64688" spans="8:8" x14ac:dyDescent="0.3">
      <c r="H64688" t="str">
        <f t="shared" si="1060"/>
        <v/>
      </c>
    </row>
    <row r="64689" spans="8:8" x14ac:dyDescent="0.3">
      <c r="H64689" t="str">
        <f t="shared" si="1060"/>
        <v/>
      </c>
    </row>
    <row r="64690" spans="8:8" x14ac:dyDescent="0.3">
      <c r="H64690" t="str">
        <f t="shared" si="1060"/>
        <v/>
      </c>
    </row>
    <row r="64691" spans="8:8" x14ac:dyDescent="0.3">
      <c r="H64691" t="str">
        <f t="shared" si="1060"/>
        <v/>
      </c>
    </row>
    <row r="64692" spans="8:8" x14ac:dyDescent="0.3">
      <c r="H64692" t="str">
        <f t="shared" si="1060"/>
        <v/>
      </c>
    </row>
    <row r="64693" spans="8:8" x14ac:dyDescent="0.3">
      <c r="H64693" t="str">
        <f t="shared" si="1060"/>
        <v/>
      </c>
    </row>
    <row r="64694" spans="8:8" x14ac:dyDescent="0.3">
      <c r="H64694" t="str">
        <f t="shared" si="1060"/>
        <v/>
      </c>
    </row>
    <row r="64695" spans="8:8" x14ac:dyDescent="0.3">
      <c r="H64695" t="str">
        <f t="shared" si="1060"/>
        <v/>
      </c>
    </row>
    <row r="64696" spans="8:8" x14ac:dyDescent="0.3">
      <c r="H64696" t="str">
        <f t="shared" si="1060"/>
        <v/>
      </c>
    </row>
    <row r="64697" spans="8:8" x14ac:dyDescent="0.3">
      <c r="H64697" t="str">
        <f t="shared" si="1060"/>
        <v/>
      </c>
    </row>
    <row r="64698" spans="8:8" x14ac:dyDescent="0.3">
      <c r="H64698" t="str">
        <f t="shared" si="1060"/>
        <v/>
      </c>
    </row>
    <row r="64699" spans="8:8" x14ac:dyDescent="0.3">
      <c r="H64699" t="str">
        <f t="shared" si="1060"/>
        <v/>
      </c>
    </row>
    <row r="64700" spans="8:8" x14ac:dyDescent="0.3">
      <c r="H64700" t="str">
        <f t="shared" si="1060"/>
        <v/>
      </c>
    </row>
    <row r="64701" spans="8:8" x14ac:dyDescent="0.3">
      <c r="H64701" t="str">
        <f t="shared" si="1060"/>
        <v/>
      </c>
    </row>
    <row r="64702" spans="8:8" x14ac:dyDescent="0.3">
      <c r="H64702" t="str">
        <f t="shared" si="1060"/>
        <v/>
      </c>
    </row>
    <row r="64703" spans="8:8" x14ac:dyDescent="0.3">
      <c r="H64703" t="str">
        <f t="shared" si="1060"/>
        <v/>
      </c>
    </row>
    <row r="64704" spans="8:8" x14ac:dyDescent="0.3">
      <c r="H64704" t="str">
        <f t="shared" si="1060"/>
        <v/>
      </c>
    </row>
    <row r="64705" spans="8:8" x14ac:dyDescent="0.3">
      <c r="H64705" t="str">
        <f t="shared" si="1060"/>
        <v/>
      </c>
    </row>
    <row r="64706" spans="8:8" x14ac:dyDescent="0.3">
      <c r="H64706" t="str">
        <f t="shared" si="1060"/>
        <v/>
      </c>
    </row>
    <row r="64707" spans="8:8" x14ac:dyDescent="0.3">
      <c r="H64707" t="str">
        <f t="shared" si="1060"/>
        <v/>
      </c>
    </row>
    <row r="64708" spans="8:8" x14ac:dyDescent="0.3">
      <c r="H64708" t="str">
        <f t="shared" si="1060"/>
        <v/>
      </c>
    </row>
    <row r="64709" spans="8:8" x14ac:dyDescent="0.3">
      <c r="H64709" t="str">
        <f t="shared" si="1060"/>
        <v/>
      </c>
    </row>
    <row r="64710" spans="8:8" x14ac:dyDescent="0.3">
      <c r="H64710" t="str">
        <f t="shared" si="1060"/>
        <v/>
      </c>
    </row>
    <row r="64711" spans="8:8" x14ac:dyDescent="0.3">
      <c r="H64711" t="str">
        <f t="shared" si="1060"/>
        <v/>
      </c>
    </row>
    <row r="64712" spans="8:8" x14ac:dyDescent="0.3">
      <c r="H64712" t="str">
        <f t="shared" si="1060"/>
        <v/>
      </c>
    </row>
    <row r="64713" spans="8:8" x14ac:dyDescent="0.3">
      <c r="H64713" t="str">
        <f t="shared" si="1060"/>
        <v/>
      </c>
    </row>
    <row r="64714" spans="8:8" x14ac:dyDescent="0.3">
      <c r="H64714" t="str">
        <f t="shared" si="1060"/>
        <v/>
      </c>
    </row>
    <row r="64715" spans="8:8" x14ac:dyDescent="0.3">
      <c r="H64715" t="str">
        <f t="shared" si="1060"/>
        <v/>
      </c>
    </row>
    <row r="64716" spans="8:8" x14ac:dyDescent="0.3">
      <c r="H64716" t="str">
        <f t="shared" si="1060"/>
        <v/>
      </c>
    </row>
    <row r="64717" spans="8:8" x14ac:dyDescent="0.3">
      <c r="H64717" t="str">
        <f t="shared" si="1060"/>
        <v/>
      </c>
    </row>
    <row r="64718" spans="8:8" x14ac:dyDescent="0.3">
      <c r="H64718" t="str">
        <f t="shared" si="1060"/>
        <v/>
      </c>
    </row>
    <row r="64719" spans="8:8" x14ac:dyDescent="0.3">
      <c r="H64719" t="str">
        <f t="shared" si="1060"/>
        <v/>
      </c>
    </row>
    <row r="64720" spans="8:8" x14ac:dyDescent="0.3">
      <c r="H64720" t="str">
        <f t="shared" si="1060"/>
        <v/>
      </c>
    </row>
    <row r="64721" spans="8:8" x14ac:dyDescent="0.3">
      <c r="H64721" t="str">
        <f t="shared" si="1060"/>
        <v/>
      </c>
    </row>
    <row r="64722" spans="8:8" x14ac:dyDescent="0.3">
      <c r="H64722" t="str">
        <f t="shared" si="1060"/>
        <v/>
      </c>
    </row>
    <row r="64723" spans="8:8" x14ac:dyDescent="0.3">
      <c r="H64723" t="str">
        <f t="shared" si="1060"/>
        <v/>
      </c>
    </row>
    <row r="64724" spans="8:8" x14ac:dyDescent="0.3">
      <c r="H64724" t="str">
        <f t="shared" si="1060"/>
        <v/>
      </c>
    </row>
    <row r="64725" spans="8:8" x14ac:dyDescent="0.3">
      <c r="H64725" t="str">
        <f t="shared" si="1060"/>
        <v/>
      </c>
    </row>
    <row r="64726" spans="8:8" x14ac:dyDescent="0.3">
      <c r="H64726" t="str">
        <f t="shared" si="1060"/>
        <v/>
      </c>
    </row>
    <row r="64727" spans="8:8" x14ac:dyDescent="0.3">
      <c r="H64727" t="str">
        <f t="shared" ref="H64727:H64790" si="1061">IF(B64727="","",$C$12)</f>
        <v/>
      </c>
    </row>
    <row r="64728" spans="8:8" x14ac:dyDescent="0.3">
      <c r="H64728" t="str">
        <f t="shared" si="1061"/>
        <v/>
      </c>
    </row>
    <row r="64729" spans="8:8" x14ac:dyDescent="0.3">
      <c r="H64729" t="str">
        <f t="shared" si="1061"/>
        <v/>
      </c>
    </row>
    <row r="64730" spans="8:8" x14ac:dyDescent="0.3">
      <c r="H64730" t="str">
        <f t="shared" si="1061"/>
        <v/>
      </c>
    </row>
    <row r="64731" spans="8:8" x14ac:dyDescent="0.3">
      <c r="H64731" t="str">
        <f t="shared" si="1061"/>
        <v/>
      </c>
    </row>
    <row r="64732" spans="8:8" x14ac:dyDescent="0.3">
      <c r="H64732" t="str">
        <f t="shared" si="1061"/>
        <v/>
      </c>
    </row>
    <row r="64733" spans="8:8" x14ac:dyDescent="0.3">
      <c r="H64733" t="str">
        <f t="shared" si="1061"/>
        <v/>
      </c>
    </row>
    <row r="64734" spans="8:8" x14ac:dyDescent="0.3">
      <c r="H64734" t="str">
        <f t="shared" si="1061"/>
        <v/>
      </c>
    </row>
    <row r="64735" spans="8:8" x14ac:dyDescent="0.3">
      <c r="H64735" t="str">
        <f t="shared" si="1061"/>
        <v/>
      </c>
    </row>
    <row r="64736" spans="8:8" x14ac:dyDescent="0.3">
      <c r="H64736" t="str">
        <f t="shared" si="1061"/>
        <v/>
      </c>
    </row>
    <row r="64737" spans="8:8" x14ac:dyDescent="0.3">
      <c r="H64737" t="str">
        <f t="shared" si="1061"/>
        <v/>
      </c>
    </row>
    <row r="64738" spans="8:8" x14ac:dyDescent="0.3">
      <c r="H64738" t="str">
        <f t="shared" si="1061"/>
        <v/>
      </c>
    </row>
    <row r="64739" spans="8:8" x14ac:dyDescent="0.3">
      <c r="H64739" t="str">
        <f t="shared" si="1061"/>
        <v/>
      </c>
    </row>
    <row r="64740" spans="8:8" x14ac:dyDescent="0.3">
      <c r="H64740" t="str">
        <f t="shared" si="1061"/>
        <v/>
      </c>
    </row>
    <row r="64741" spans="8:8" x14ac:dyDescent="0.3">
      <c r="H64741" t="str">
        <f t="shared" si="1061"/>
        <v/>
      </c>
    </row>
    <row r="64742" spans="8:8" x14ac:dyDescent="0.3">
      <c r="H64742" t="str">
        <f t="shared" si="1061"/>
        <v/>
      </c>
    </row>
    <row r="64743" spans="8:8" x14ac:dyDescent="0.3">
      <c r="H64743" t="str">
        <f t="shared" si="1061"/>
        <v/>
      </c>
    </row>
    <row r="64744" spans="8:8" x14ac:dyDescent="0.3">
      <c r="H64744" t="str">
        <f t="shared" si="1061"/>
        <v/>
      </c>
    </row>
    <row r="64745" spans="8:8" x14ac:dyDescent="0.3">
      <c r="H64745" t="str">
        <f t="shared" si="1061"/>
        <v/>
      </c>
    </row>
    <row r="64746" spans="8:8" x14ac:dyDescent="0.3">
      <c r="H64746" t="str">
        <f t="shared" si="1061"/>
        <v/>
      </c>
    </row>
    <row r="64747" spans="8:8" x14ac:dyDescent="0.3">
      <c r="H64747" t="str">
        <f t="shared" si="1061"/>
        <v/>
      </c>
    </row>
    <row r="64748" spans="8:8" x14ac:dyDescent="0.3">
      <c r="H64748" t="str">
        <f t="shared" si="1061"/>
        <v/>
      </c>
    </row>
    <row r="64749" spans="8:8" x14ac:dyDescent="0.3">
      <c r="H64749" t="str">
        <f t="shared" si="1061"/>
        <v/>
      </c>
    </row>
    <row r="64750" spans="8:8" x14ac:dyDescent="0.3">
      <c r="H64750" t="str">
        <f t="shared" si="1061"/>
        <v/>
      </c>
    </row>
    <row r="64751" spans="8:8" x14ac:dyDescent="0.3">
      <c r="H64751" t="str">
        <f t="shared" si="1061"/>
        <v/>
      </c>
    </row>
    <row r="64752" spans="8:8" x14ac:dyDescent="0.3">
      <c r="H64752" t="str">
        <f t="shared" si="1061"/>
        <v/>
      </c>
    </row>
    <row r="64753" spans="8:8" x14ac:dyDescent="0.3">
      <c r="H64753" t="str">
        <f t="shared" si="1061"/>
        <v/>
      </c>
    </row>
    <row r="64754" spans="8:8" x14ac:dyDescent="0.3">
      <c r="H64754" t="str">
        <f t="shared" si="1061"/>
        <v/>
      </c>
    </row>
    <row r="64755" spans="8:8" x14ac:dyDescent="0.3">
      <c r="H64755" t="str">
        <f t="shared" si="1061"/>
        <v/>
      </c>
    </row>
    <row r="64756" spans="8:8" x14ac:dyDescent="0.3">
      <c r="H64756" t="str">
        <f t="shared" si="1061"/>
        <v/>
      </c>
    </row>
    <row r="64757" spans="8:8" x14ac:dyDescent="0.3">
      <c r="H64757" t="str">
        <f t="shared" si="1061"/>
        <v/>
      </c>
    </row>
    <row r="64758" spans="8:8" x14ac:dyDescent="0.3">
      <c r="H64758" t="str">
        <f t="shared" si="1061"/>
        <v/>
      </c>
    </row>
    <row r="64759" spans="8:8" x14ac:dyDescent="0.3">
      <c r="H64759" t="str">
        <f t="shared" si="1061"/>
        <v/>
      </c>
    </row>
    <row r="64760" spans="8:8" x14ac:dyDescent="0.3">
      <c r="H64760" t="str">
        <f t="shared" si="1061"/>
        <v/>
      </c>
    </row>
    <row r="64761" spans="8:8" x14ac:dyDescent="0.3">
      <c r="H64761" t="str">
        <f t="shared" si="1061"/>
        <v/>
      </c>
    </row>
    <row r="64762" spans="8:8" x14ac:dyDescent="0.3">
      <c r="H64762" t="str">
        <f t="shared" si="1061"/>
        <v/>
      </c>
    </row>
    <row r="64763" spans="8:8" x14ac:dyDescent="0.3">
      <c r="H64763" t="str">
        <f t="shared" si="1061"/>
        <v/>
      </c>
    </row>
    <row r="64764" spans="8:8" x14ac:dyDescent="0.3">
      <c r="H64764" t="str">
        <f t="shared" si="1061"/>
        <v/>
      </c>
    </row>
    <row r="64765" spans="8:8" x14ac:dyDescent="0.3">
      <c r="H64765" t="str">
        <f t="shared" si="1061"/>
        <v/>
      </c>
    </row>
    <row r="64766" spans="8:8" x14ac:dyDescent="0.3">
      <c r="H64766" t="str">
        <f t="shared" si="1061"/>
        <v/>
      </c>
    </row>
    <row r="64767" spans="8:8" x14ac:dyDescent="0.3">
      <c r="H64767" t="str">
        <f t="shared" si="1061"/>
        <v/>
      </c>
    </row>
    <row r="64768" spans="8:8" x14ac:dyDescent="0.3">
      <c r="H64768" t="str">
        <f t="shared" si="1061"/>
        <v/>
      </c>
    </row>
    <row r="64769" spans="8:8" x14ac:dyDescent="0.3">
      <c r="H64769" t="str">
        <f t="shared" si="1061"/>
        <v/>
      </c>
    </row>
    <row r="64770" spans="8:8" x14ac:dyDescent="0.3">
      <c r="H64770" t="str">
        <f t="shared" si="1061"/>
        <v/>
      </c>
    </row>
    <row r="64771" spans="8:8" x14ac:dyDescent="0.3">
      <c r="H64771" t="str">
        <f t="shared" si="1061"/>
        <v/>
      </c>
    </row>
    <row r="64772" spans="8:8" x14ac:dyDescent="0.3">
      <c r="H64772" t="str">
        <f t="shared" si="1061"/>
        <v/>
      </c>
    </row>
    <row r="64773" spans="8:8" x14ac:dyDescent="0.3">
      <c r="H64773" t="str">
        <f t="shared" si="1061"/>
        <v/>
      </c>
    </row>
    <row r="64774" spans="8:8" x14ac:dyDescent="0.3">
      <c r="H64774" t="str">
        <f t="shared" si="1061"/>
        <v/>
      </c>
    </row>
    <row r="64775" spans="8:8" x14ac:dyDescent="0.3">
      <c r="H64775" t="str">
        <f t="shared" si="1061"/>
        <v/>
      </c>
    </row>
    <row r="64776" spans="8:8" x14ac:dyDescent="0.3">
      <c r="H64776" t="str">
        <f t="shared" si="1061"/>
        <v/>
      </c>
    </row>
    <row r="64777" spans="8:8" x14ac:dyDescent="0.3">
      <c r="H64777" t="str">
        <f t="shared" si="1061"/>
        <v/>
      </c>
    </row>
    <row r="64778" spans="8:8" x14ac:dyDescent="0.3">
      <c r="H64778" t="str">
        <f t="shared" si="1061"/>
        <v/>
      </c>
    </row>
    <row r="64779" spans="8:8" x14ac:dyDescent="0.3">
      <c r="H64779" t="str">
        <f t="shared" si="1061"/>
        <v/>
      </c>
    </row>
    <row r="64780" spans="8:8" x14ac:dyDescent="0.3">
      <c r="H64780" t="str">
        <f t="shared" si="1061"/>
        <v/>
      </c>
    </row>
    <row r="64781" spans="8:8" x14ac:dyDescent="0.3">
      <c r="H64781" t="str">
        <f t="shared" si="1061"/>
        <v/>
      </c>
    </row>
    <row r="64782" spans="8:8" x14ac:dyDescent="0.3">
      <c r="H64782" t="str">
        <f t="shared" si="1061"/>
        <v/>
      </c>
    </row>
    <row r="64783" spans="8:8" x14ac:dyDescent="0.3">
      <c r="H64783" t="str">
        <f t="shared" si="1061"/>
        <v/>
      </c>
    </row>
    <row r="64784" spans="8:8" x14ac:dyDescent="0.3">
      <c r="H64784" t="str">
        <f t="shared" si="1061"/>
        <v/>
      </c>
    </row>
    <row r="64785" spans="8:8" x14ac:dyDescent="0.3">
      <c r="H64785" t="str">
        <f t="shared" si="1061"/>
        <v/>
      </c>
    </row>
    <row r="64786" spans="8:8" x14ac:dyDescent="0.3">
      <c r="H64786" t="str">
        <f t="shared" si="1061"/>
        <v/>
      </c>
    </row>
    <row r="64787" spans="8:8" x14ac:dyDescent="0.3">
      <c r="H64787" t="str">
        <f t="shared" si="1061"/>
        <v/>
      </c>
    </row>
    <row r="64788" spans="8:8" x14ac:dyDescent="0.3">
      <c r="H64788" t="str">
        <f t="shared" si="1061"/>
        <v/>
      </c>
    </row>
    <row r="64789" spans="8:8" x14ac:dyDescent="0.3">
      <c r="H64789" t="str">
        <f t="shared" si="1061"/>
        <v/>
      </c>
    </row>
    <row r="64790" spans="8:8" x14ac:dyDescent="0.3">
      <c r="H64790" t="str">
        <f t="shared" si="1061"/>
        <v/>
      </c>
    </row>
    <row r="64791" spans="8:8" x14ac:dyDescent="0.3">
      <c r="H64791" t="str">
        <f t="shared" ref="H64791:H64854" si="1062">IF(B64791="","",$C$12)</f>
        <v/>
      </c>
    </row>
    <row r="64792" spans="8:8" x14ac:dyDescent="0.3">
      <c r="H64792" t="str">
        <f t="shared" si="1062"/>
        <v/>
      </c>
    </row>
    <row r="64793" spans="8:8" x14ac:dyDescent="0.3">
      <c r="H64793" t="str">
        <f t="shared" si="1062"/>
        <v/>
      </c>
    </row>
    <row r="64794" spans="8:8" x14ac:dyDescent="0.3">
      <c r="H64794" t="str">
        <f t="shared" si="1062"/>
        <v/>
      </c>
    </row>
    <row r="64795" spans="8:8" x14ac:dyDescent="0.3">
      <c r="H64795" t="str">
        <f t="shared" si="1062"/>
        <v/>
      </c>
    </row>
    <row r="64796" spans="8:8" x14ac:dyDescent="0.3">
      <c r="H64796" t="str">
        <f t="shared" si="1062"/>
        <v/>
      </c>
    </row>
    <row r="64797" spans="8:8" x14ac:dyDescent="0.3">
      <c r="H64797" t="str">
        <f t="shared" si="1062"/>
        <v/>
      </c>
    </row>
    <row r="64798" spans="8:8" x14ac:dyDescent="0.3">
      <c r="H64798" t="str">
        <f t="shared" si="1062"/>
        <v/>
      </c>
    </row>
    <row r="64799" spans="8:8" x14ac:dyDescent="0.3">
      <c r="H64799" t="str">
        <f t="shared" si="1062"/>
        <v/>
      </c>
    </row>
    <row r="64800" spans="8:8" x14ac:dyDescent="0.3">
      <c r="H64800" t="str">
        <f t="shared" si="1062"/>
        <v/>
      </c>
    </row>
    <row r="64801" spans="8:8" x14ac:dyDescent="0.3">
      <c r="H64801" t="str">
        <f t="shared" si="1062"/>
        <v/>
      </c>
    </row>
    <row r="64802" spans="8:8" x14ac:dyDescent="0.3">
      <c r="H64802" t="str">
        <f t="shared" si="1062"/>
        <v/>
      </c>
    </row>
    <row r="64803" spans="8:8" x14ac:dyDescent="0.3">
      <c r="H64803" t="str">
        <f t="shared" si="1062"/>
        <v/>
      </c>
    </row>
    <row r="64804" spans="8:8" x14ac:dyDescent="0.3">
      <c r="H64804" t="str">
        <f t="shared" si="1062"/>
        <v/>
      </c>
    </row>
    <row r="64805" spans="8:8" x14ac:dyDescent="0.3">
      <c r="H64805" t="str">
        <f t="shared" si="1062"/>
        <v/>
      </c>
    </row>
    <row r="64806" spans="8:8" x14ac:dyDescent="0.3">
      <c r="H64806" t="str">
        <f t="shared" si="1062"/>
        <v/>
      </c>
    </row>
    <row r="64807" spans="8:8" x14ac:dyDescent="0.3">
      <c r="H64807" t="str">
        <f t="shared" si="1062"/>
        <v/>
      </c>
    </row>
    <row r="64808" spans="8:8" x14ac:dyDescent="0.3">
      <c r="H64808" t="str">
        <f t="shared" si="1062"/>
        <v/>
      </c>
    </row>
    <row r="64809" spans="8:8" x14ac:dyDescent="0.3">
      <c r="H64809" t="str">
        <f t="shared" si="1062"/>
        <v/>
      </c>
    </row>
    <row r="64810" spans="8:8" x14ac:dyDescent="0.3">
      <c r="H64810" t="str">
        <f t="shared" si="1062"/>
        <v/>
      </c>
    </row>
    <row r="64811" spans="8:8" x14ac:dyDescent="0.3">
      <c r="H64811" t="str">
        <f t="shared" si="1062"/>
        <v/>
      </c>
    </row>
    <row r="64812" spans="8:8" x14ac:dyDescent="0.3">
      <c r="H64812" t="str">
        <f t="shared" si="1062"/>
        <v/>
      </c>
    </row>
    <row r="64813" spans="8:8" x14ac:dyDescent="0.3">
      <c r="H64813" t="str">
        <f t="shared" si="1062"/>
        <v/>
      </c>
    </row>
    <row r="64814" spans="8:8" x14ac:dyDescent="0.3">
      <c r="H64814" t="str">
        <f t="shared" si="1062"/>
        <v/>
      </c>
    </row>
    <row r="64815" spans="8:8" x14ac:dyDescent="0.3">
      <c r="H64815" t="str">
        <f t="shared" si="1062"/>
        <v/>
      </c>
    </row>
    <row r="64816" spans="8:8" x14ac:dyDescent="0.3">
      <c r="H64816" t="str">
        <f t="shared" si="1062"/>
        <v/>
      </c>
    </row>
    <row r="64817" spans="8:8" x14ac:dyDescent="0.3">
      <c r="H64817" t="str">
        <f t="shared" si="1062"/>
        <v/>
      </c>
    </row>
    <row r="64818" spans="8:8" x14ac:dyDescent="0.3">
      <c r="H64818" t="str">
        <f t="shared" si="1062"/>
        <v/>
      </c>
    </row>
    <row r="64819" spans="8:8" x14ac:dyDescent="0.3">
      <c r="H64819" t="str">
        <f t="shared" si="1062"/>
        <v/>
      </c>
    </row>
    <row r="64820" spans="8:8" x14ac:dyDescent="0.3">
      <c r="H64820" t="str">
        <f t="shared" si="1062"/>
        <v/>
      </c>
    </row>
    <row r="64821" spans="8:8" x14ac:dyDescent="0.3">
      <c r="H64821" t="str">
        <f t="shared" si="1062"/>
        <v/>
      </c>
    </row>
    <row r="64822" spans="8:8" x14ac:dyDescent="0.3">
      <c r="H64822" t="str">
        <f t="shared" si="1062"/>
        <v/>
      </c>
    </row>
    <row r="64823" spans="8:8" x14ac:dyDescent="0.3">
      <c r="H64823" t="str">
        <f t="shared" si="1062"/>
        <v/>
      </c>
    </row>
    <row r="64824" spans="8:8" x14ac:dyDescent="0.3">
      <c r="H64824" t="str">
        <f t="shared" si="1062"/>
        <v/>
      </c>
    </row>
    <row r="64825" spans="8:8" x14ac:dyDescent="0.3">
      <c r="H64825" t="str">
        <f t="shared" si="1062"/>
        <v/>
      </c>
    </row>
    <row r="64826" spans="8:8" x14ac:dyDescent="0.3">
      <c r="H64826" t="str">
        <f t="shared" si="1062"/>
        <v/>
      </c>
    </row>
    <row r="64827" spans="8:8" x14ac:dyDescent="0.3">
      <c r="H64827" t="str">
        <f t="shared" si="1062"/>
        <v/>
      </c>
    </row>
    <row r="64828" spans="8:8" x14ac:dyDescent="0.3">
      <c r="H64828" t="str">
        <f t="shared" si="1062"/>
        <v/>
      </c>
    </row>
    <row r="64829" spans="8:8" x14ac:dyDescent="0.3">
      <c r="H64829" t="str">
        <f t="shared" si="1062"/>
        <v/>
      </c>
    </row>
    <row r="64830" spans="8:8" x14ac:dyDescent="0.3">
      <c r="H64830" t="str">
        <f t="shared" si="1062"/>
        <v/>
      </c>
    </row>
    <row r="64831" spans="8:8" x14ac:dyDescent="0.3">
      <c r="H64831" t="str">
        <f t="shared" si="1062"/>
        <v/>
      </c>
    </row>
    <row r="64832" spans="8:8" x14ac:dyDescent="0.3">
      <c r="H64832" t="str">
        <f t="shared" si="1062"/>
        <v/>
      </c>
    </row>
    <row r="64833" spans="8:8" x14ac:dyDescent="0.3">
      <c r="H64833" t="str">
        <f t="shared" si="1062"/>
        <v/>
      </c>
    </row>
    <row r="64834" spans="8:8" x14ac:dyDescent="0.3">
      <c r="H64834" t="str">
        <f t="shared" si="1062"/>
        <v/>
      </c>
    </row>
    <row r="64835" spans="8:8" x14ac:dyDescent="0.3">
      <c r="H64835" t="str">
        <f t="shared" si="1062"/>
        <v/>
      </c>
    </row>
    <row r="64836" spans="8:8" x14ac:dyDescent="0.3">
      <c r="H64836" t="str">
        <f t="shared" si="1062"/>
        <v/>
      </c>
    </row>
    <row r="64837" spans="8:8" x14ac:dyDescent="0.3">
      <c r="H64837" t="str">
        <f t="shared" si="1062"/>
        <v/>
      </c>
    </row>
    <row r="64838" spans="8:8" x14ac:dyDescent="0.3">
      <c r="H64838" t="str">
        <f t="shared" si="1062"/>
        <v/>
      </c>
    </row>
    <row r="64839" spans="8:8" x14ac:dyDescent="0.3">
      <c r="H64839" t="str">
        <f t="shared" si="1062"/>
        <v/>
      </c>
    </row>
    <row r="64840" spans="8:8" x14ac:dyDescent="0.3">
      <c r="H64840" t="str">
        <f t="shared" si="1062"/>
        <v/>
      </c>
    </row>
    <row r="64841" spans="8:8" x14ac:dyDescent="0.3">
      <c r="H64841" t="str">
        <f t="shared" si="1062"/>
        <v/>
      </c>
    </row>
    <row r="64842" spans="8:8" x14ac:dyDescent="0.3">
      <c r="H64842" t="str">
        <f t="shared" si="1062"/>
        <v/>
      </c>
    </row>
    <row r="64843" spans="8:8" x14ac:dyDescent="0.3">
      <c r="H64843" t="str">
        <f t="shared" si="1062"/>
        <v/>
      </c>
    </row>
    <row r="64844" spans="8:8" x14ac:dyDescent="0.3">
      <c r="H64844" t="str">
        <f t="shared" si="1062"/>
        <v/>
      </c>
    </row>
    <row r="64845" spans="8:8" x14ac:dyDescent="0.3">
      <c r="H64845" t="str">
        <f t="shared" si="1062"/>
        <v/>
      </c>
    </row>
    <row r="64846" spans="8:8" x14ac:dyDescent="0.3">
      <c r="H64846" t="str">
        <f t="shared" si="1062"/>
        <v/>
      </c>
    </row>
    <row r="64847" spans="8:8" x14ac:dyDescent="0.3">
      <c r="H64847" t="str">
        <f t="shared" si="1062"/>
        <v/>
      </c>
    </row>
    <row r="64848" spans="8:8" x14ac:dyDescent="0.3">
      <c r="H64848" t="str">
        <f t="shared" si="1062"/>
        <v/>
      </c>
    </row>
    <row r="64849" spans="8:8" x14ac:dyDescent="0.3">
      <c r="H64849" t="str">
        <f t="shared" si="1062"/>
        <v/>
      </c>
    </row>
    <row r="64850" spans="8:8" x14ac:dyDescent="0.3">
      <c r="H64850" t="str">
        <f t="shared" si="1062"/>
        <v/>
      </c>
    </row>
    <row r="64851" spans="8:8" x14ac:dyDescent="0.3">
      <c r="H64851" t="str">
        <f t="shared" si="1062"/>
        <v/>
      </c>
    </row>
    <row r="64852" spans="8:8" x14ac:dyDescent="0.3">
      <c r="H64852" t="str">
        <f t="shared" si="1062"/>
        <v/>
      </c>
    </row>
    <row r="64853" spans="8:8" x14ac:dyDescent="0.3">
      <c r="H64853" t="str">
        <f t="shared" si="1062"/>
        <v/>
      </c>
    </row>
    <row r="64854" spans="8:8" x14ac:dyDescent="0.3">
      <c r="H64854" t="str">
        <f t="shared" si="1062"/>
        <v/>
      </c>
    </row>
    <row r="64855" spans="8:8" x14ac:dyDescent="0.3">
      <c r="H64855" t="str">
        <f t="shared" ref="H64855:H64918" si="1063">IF(B64855="","",$C$12)</f>
        <v/>
      </c>
    </row>
    <row r="64856" spans="8:8" x14ac:dyDescent="0.3">
      <c r="H64856" t="str">
        <f t="shared" si="1063"/>
        <v/>
      </c>
    </row>
    <row r="64857" spans="8:8" x14ac:dyDescent="0.3">
      <c r="H64857" t="str">
        <f t="shared" si="1063"/>
        <v/>
      </c>
    </row>
    <row r="64858" spans="8:8" x14ac:dyDescent="0.3">
      <c r="H64858" t="str">
        <f t="shared" si="1063"/>
        <v/>
      </c>
    </row>
    <row r="64859" spans="8:8" x14ac:dyDescent="0.3">
      <c r="H64859" t="str">
        <f t="shared" si="1063"/>
        <v/>
      </c>
    </row>
    <row r="64860" spans="8:8" x14ac:dyDescent="0.3">
      <c r="H64860" t="str">
        <f t="shared" si="1063"/>
        <v/>
      </c>
    </row>
    <row r="64861" spans="8:8" x14ac:dyDescent="0.3">
      <c r="H64861" t="str">
        <f t="shared" si="1063"/>
        <v/>
      </c>
    </row>
    <row r="64862" spans="8:8" x14ac:dyDescent="0.3">
      <c r="H64862" t="str">
        <f t="shared" si="1063"/>
        <v/>
      </c>
    </row>
    <row r="64863" spans="8:8" x14ac:dyDescent="0.3">
      <c r="H64863" t="str">
        <f t="shared" si="1063"/>
        <v/>
      </c>
    </row>
    <row r="64864" spans="8:8" x14ac:dyDescent="0.3">
      <c r="H64864" t="str">
        <f t="shared" si="1063"/>
        <v/>
      </c>
    </row>
    <row r="64865" spans="8:8" x14ac:dyDescent="0.3">
      <c r="H64865" t="str">
        <f t="shared" si="1063"/>
        <v/>
      </c>
    </row>
    <row r="64866" spans="8:8" x14ac:dyDescent="0.3">
      <c r="H64866" t="str">
        <f t="shared" si="1063"/>
        <v/>
      </c>
    </row>
    <row r="64867" spans="8:8" x14ac:dyDescent="0.3">
      <c r="H64867" t="str">
        <f t="shared" si="1063"/>
        <v/>
      </c>
    </row>
    <row r="64868" spans="8:8" x14ac:dyDescent="0.3">
      <c r="H64868" t="str">
        <f t="shared" si="1063"/>
        <v/>
      </c>
    </row>
    <row r="64869" spans="8:8" x14ac:dyDescent="0.3">
      <c r="H64869" t="str">
        <f t="shared" si="1063"/>
        <v/>
      </c>
    </row>
    <row r="64870" spans="8:8" x14ac:dyDescent="0.3">
      <c r="H64870" t="str">
        <f t="shared" si="1063"/>
        <v/>
      </c>
    </row>
    <row r="64871" spans="8:8" x14ac:dyDescent="0.3">
      <c r="H64871" t="str">
        <f t="shared" si="1063"/>
        <v/>
      </c>
    </row>
    <row r="64872" spans="8:8" x14ac:dyDescent="0.3">
      <c r="H64872" t="str">
        <f t="shared" si="1063"/>
        <v/>
      </c>
    </row>
    <row r="64873" spans="8:8" x14ac:dyDescent="0.3">
      <c r="H64873" t="str">
        <f t="shared" si="1063"/>
        <v/>
      </c>
    </row>
    <row r="64874" spans="8:8" x14ac:dyDescent="0.3">
      <c r="H64874" t="str">
        <f t="shared" si="1063"/>
        <v/>
      </c>
    </row>
    <row r="64875" spans="8:8" x14ac:dyDescent="0.3">
      <c r="H64875" t="str">
        <f t="shared" si="1063"/>
        <v/>
      </c>
    </row>
    <row r="64876" spans="8:8" x14ac:dyDescent="0.3">
      <c r="H64876" t="str">
        <f t="shared" si="1063"/>
        <v/>
      </c>
    </row>
    <row r="64877" spans="8:8" x14ac:dyDescent="0.3">
      <c r="H64877" t="str">
        <f t="shared" si="1063"/>
        <v/>
      </c>
    </row>
    <row r="64878" spans="8:8" x14ac:dyDescent="0.3">
      <c r="H64878" t="str">
        <f t="shared" si="1063"/>
        <v/>
      </c>
    </row>
    <row r="64879" spans="8:8" x14ac:dyDescent="0.3">
      <c r="H64879" t="str">
        <f t="shared" si="1063"/>
        <v/>
      </c>
    </row>
    <row r="64880" spans="8:8" x14ac:dyDescent="0.3">
      <c r="H64880" t="str">
        <f t="shared" si="1063"/>
        <v/>
      </c>
    </row>
    <row r="64881" spans="8:8" x14ac:dyDescent="0.3">
      <c r="H64881" t="str">
        <f t="shared" si="1063"/>
        <v/>
      </c>
    </row>
    <row r="64882" spans="8:8" x14ac:dyDescent="0.3">
      <c r="H64882" t="str">
        <f t="shared" si="1063"/>
        <v/>
      </c>
    </row>
    <row r="64883" spans="8:8" x14ac:dyDescent="0.3">
      <c r="H64883" t="str">
        <f t="shared" si="1063"/>
        <v/>
      </c>
    </row>
    <row r="64884" spans="8:8" x14ac:dyDescent="0.3">
      <c r="H64884" t="str">
        <f t="shared" si="1063"/>
        <v/>
      </c>
    </row>
    <row r="64885" spans="8:8" x14ac:dyDescent="0.3">
      <c r="H64885" t="str">
        <f t="shared" si="1063"/>
        <v/>
      </c>
    </row>
    <row r="64886" spans="8:8" x14ac:dyDescent="0.3">
      <c r="H64886" t="str">
        <f t="shared" si="1063"/>
        <v/>
      </c>
    </row>
    <row r="64887" spans="8:8" x14ac:dyDescent="0.3">
      <c r="H64887" t="str">
        <f t="shared" si="1063"/>
        <v/>
      </c>
    </row>
    <row r="64888" spans="8:8" x14ac:dyDescent="0.3">
      <c r="H64888" t="str">
        <f t="shared" si="1063"/>
        <v/>
      </c>
    </row>
    <row r="64889" spans="8:8" x14ac:dyDescent="0.3">
      <c r="H64889" t="str">
        <f t="shared" si="1063"/>
        <v/>
      </c>
    </row>
    <row r="64890" spans="8:8" x14ac:dyDescent="0.3">
      <c r="H64890" t="str">
        <f t="shared" si="1063"/>
        <v/>
      </c>
    </row>
    <row r="64891" spans="8:8" x14ac:dyDescent="0.3">
      <c r="H64891" t="str">
        <f t="shared" si="1063"/>
        <v/>
      </c>
    </row>
    <row r="64892" spans="8:8" x14ac:dyDescent="0.3">
      <c r="H64892" t="str">
        <f t="shared" si="1063"/>
        <v/>
      </c>
    </row>
    <row r="64893" spans="8:8" x14ac:dyDescent="0.3">
      <c r="H64893" t="str">
        <f t="shared" si="1063"/>
        <v/>
      </c>
    </row>
    <row r="64894" spans="8:8" x14ac:dyDescent="0.3">
      <c r="H64894" t="str">
        <f t="shared" si="1063"/>
        <v/>
      </c>
    </row>
    <row r="64895" spans="8:8" x14ac:dyDescent="0.3">
      <c r="H64895" t="str">
        <f t="shared" si="1063"/>
        <v/>
      </c>
    </row>
    <row r="64896" spans="8:8" x14ac:dyDescent="0.3">
      <c r="H64896" t="str">
        <f t="shared" si="1063"/>
        <v/>
      </c>
    </row>
    <row r="64897" spans="8:8" x14ac:dyDescent="0.3">
      <c r="H64897" t="str">
        <f t="shared" si="1063"/>
        <v/>
      </c>
    </row>
    <row r="64898" spans="8:8" x14ac:dyDescent="0.3">
      <c r="H64898" t="str">
        <f t="shared" si="1063"/>
        <v/>
      </c>
    </row>
    <row r="64899" spans="8:8" x14ac:dyDescent="0.3">
      <c r="H64899" t="str">
        <f t="shared" si="1063"/>
        <v/>
      </c>
    </row>
    <row r="64900" spans="8:8" x14ac:dyDescent="0.3">
      <c r="H64900" t="str">
        <f t="shared" si="1063"/>
        <v/>
      </c>
    </row>
    <row r="64901" spans="8:8" x14ac:dyDescent="0.3">
      <c r="H64901" t="str">
        <f t="shared" si="1063"/>
        <v/>
      </c>
    </row>
    <row r="64902" spans="8:8" x14ac:dyDescent="0.3">
      <c r="H64902" t="str">
        <f t="shared" si="1063"/>
        <v/>
      </c>
    </row>
    <row r="64903" spans="8:8" x14ac:dyDescent="0.3">
      <c r="H64903" t="str">
        <f t="shared" si="1063"/>
        <v/>
      </c>
    </row>
    <row r="64904" spans="8:8" x14ac:dyDescent="0.3">
      <c r="H64904" t="str">
        <f t="shared" si="1063"/>
        <v/>
      </c>
    </row>
    <row r="64905" spans="8:8" x14ac:dyDescent="0.3">
      <c r="H64905" t="str">
        <f t="shared" si="1063"/>
        <v/>
      </c>
    </row>
    <row r="64906" spans="8:8" x14ac:dyDescent="0.3">
      <c r="H64906" t="str">
        <f t="shared" si="1063"/>
        <v/>
      </c>
    </row>
    <row r="64907" spans="8:8" x14ac:dyDescent="0.3">
      <c r="H64907" t="str">
        <f t="shared" si="1063"/>
        <v/>
      </c>
    </row>
    <row r="64908" spans="8:8" x14ac:dyDescent="0.3">
      <c r="H64908" t="str">
        <f t="shared" si="1063"/>
        <v/>
      </c>
    </row>
    <row r="64909" spans="8:8" x14ac:dyDescent="0.3">
      <c r="H64909" t="str">
        <f t="shared" si="1063"/>
        <v/>
      </c>
    </row>
    <row r="64910" spans="8:8" x14ac:dyDescent="0.3">
      <c r="H64910" t="str">
        <f t="shared" si="1063"/>
        <v/>
      </c>
    </row>
    <row r="64911" spans="8:8" x14ac:dyDescent="0.3">
      <c r="H64911" t="str">
        <f t="shared" si="1063"/>
        <v/>
      </c>
    </row>
    <row r="64912" spans="8:8" x14ac:dyDescent="0.3">
      <c r="H64912" t="str">
        <f t="shared" si="1063"/>
        <v/>
      </c>
    </row>
    <row r="64913" spans="8:8" x14ac:dyDescent="0.3">
      <c r="H64913" t="str">
        <f t="shared" si="1063"/>
        <v/>
      </c>
    </row>
    <row r="64914" spans="8:8" x14ac:dyDescent="0.3">
      <c r="H64914" t="str">
        <f t="shared" si="1063"/>
        <v/>
      </c>
    </row>
    <row r="64915" spans="8:8" x14ac:dyDescent="0.3">
      <c r="H64915" t="str">
        <f t="shared" si="1063"/>
        <v/>
      </c>
    </row>
    <row r="64916" spans="8:8" x14ac:dyDescent="0.3">
      <c r="H64916" t="str">
        <f t="shared" si="1063"/>
        <v/>
      </c>
    </row>
    <row r="64917" spans="8:8" x14ac:dyDescent="0.3">
      <c r="H64917" t="str">
        <f t="shared" si="1063"/>
        <v/>
      </c>
    </row>
    <row r="64918" spans="8:8" x14ac:dyDescent="0.3">
      <c r="H64918" t="str">
        <f t="shared" si="1063"/>
        <v/>
      </c>
    </row>
    <row r="64919" spans="8:8" x14ac:dyDescent="0.3">
      <c r="H64919" t="str">
        <f t="shared" ref="H64919:H64982" si="1064">IF(B64919="","",$C$12)</f>
        <v/>
      </c>
    </row>
    <row r="64920" spans="8:8" x14ac:dyDescent="0.3">
      <c r="H64920" t="str">
        <f t="shared" si="1064"/>
        <v/>
      </c>
    </row>
    <row r="64921" spans="8:8" x14ac:dyDescent="0.3">
      <c r="H64921" t="str">
        <f t="shared" si="1064"/>
        <v/>
      </c>
    </row>
    <row r="64922" spans="8:8" x14ac:dyDescent="0.3">
      <c r="H64922" t="str">
        <f t="shared" si="1064"/>
        <v/>
      </c>
    </row>
    <row r="64923" spans="8:8" x14ac:dyDescent="0.3">
      <c r="H64923" t="str">
        <f t="shared" si="1064"/>
        <v/>
      </c>
    </row>
    <row r="64924" spans="8:8" x14ac:dyDescent="0.3">
      <c r="H64924" t="str">
        <f t="shared" si="1064"/>
        <v/>
      </c>
    </row>
    <row r="64925" spans="8:8" x14ac:dyDescent="0.3">
      <c r="H64925" t="str">
        <f t="shared" si="1064"/>
        <v/>
      </c>
    </row>
    <row r="64926" spans="8:8" x14ac:dyDescent="0.3">
      <c r="H64926" t="str">
        <f t="shared" si="1064"/>
        <v/>
      </c>
    </row>
    <row r="64927" spans="8:8" x14ac:dyDescent="0.3">
      <c r="H64927" t="str">
        <f t="shared" si="1064"/>
        <v/>
      </c>
    </row>
    <row r="64928" spans="8:8" x14ac:dyDescent="0.3">
      <c r="H64928" t="str">
        <f t="shared" si="1064"/>
        <v/>
      </c>
    </row>
    <row r="64929" spans="8:8" x14ac:dyDescent="0.3">
      <c r="H64929" t="str">
        <f t="shared" si="1064"/>
        <v/>
      </c>
    </row>
    <row r="64930" spans="8:8" x14ac:dyDescent="0.3">
      <c r="H64930" t="str">
        <f t="shared" si="1064"/>
        <v/>
      </c>
    </row>
    <row r="64931" spans="8:8" x14ac:dyDescent="0.3">
      <c r="H64931" t="str">
        <f t="shared" si="1064"/>
        <v/>
      </c>
    </row>
    <row r="64932" spans="8:8" x14ac:dyDescent="0.3">
      <c r="H64932" t="str">
        <f t="shared" si="1064"/>
        <v/>
      </c>
    </row>
    <row r="64933" spans="8:8" x14ac:dyDescent="0.3">
      <c r="H64933" t="str">
        <f t="shared" si="1064"/>
        <v/>
      </c>
    </row>
    <row r="64934" spans="8:8" x14ac:dyDescent="0.3">
      <c r="H64934" t="str">
        <f t="shared" si="1064"/>
        <v/>
      </c>
    </row>
    <row r="64935" spans="8:8" x14ac:dyDescent="0.3">
      <c r="H64935" t="str">
        <f t="shared" si="1064"/>
        <v/>
      </c>
    </row>
    <row r="64936" spans="8:8" x14ac:dyDescent="0.3">
      <c r="H64936" t="str">
        <f t="shared" si="1064"/>
        <v/>
      </c>
    </row>
    <row r="64937" spans="8:8" x14ac:dyDescent="0.3">
      <c r="H64937" t="str">
        <f t="shared" si="1064"/>
        <v/>
      </c>
    </row>
    <row r="64938" spans="8:8" x14ac:dyDescent="0.3">
      <c r="H64938" t="str">
        <f t="shared" si="1064"/>
        <v/>
      </c>
    </row>
    <row r="64939" spans="8:8" x14ac:dyDescent="0.3">
      <c r="H64939" t="str">
        <f t="shared" si="1064"/>
        <v/>
      </c>
    </row>
    <row r="64940" spans="8:8" x14ac:dyDescent="0.3">
      <c r="H64940" t="str">
        <f t="shared" si="1064"/>
        <v/>
      </c>
    </row>
    <row r="64941" spans="8:8" x14ac:dyDescent="0.3">
      <c r="H64941" t="str">
        <f t="shared" si="1064"/>
        <v/>
      </c>
    </row>
    <row r="64942" spans="8:8" x14ac:dyDescent="0.3">
      <c r="H64942" t="str">
        <f t="shared" si="1064"/>
        <v/>
      </c>
    </row>
    <row r="64943" spans="8:8" x14ac:dyDescent="0.3">
      <c r="H64943" t="str">
        <f t="shared" si="1064"/>
        <v/>
      </c>
    </row>
    <row r="64944" spans="8:8" x14ac:dyDescent="0.3">
      <c r="H64944" t="str">
        <f t="shared" si="1064"/>
        <v/>
      </c>
    </row>
    <row r="64945" spans="8:8" x14ac:dyDescent="0.3">
      <c r="H64945" t="str">
        <f t="shared" si="1064"/>
        <v/>
      </c>
    </row>
    <row r="64946" spans="8:8" x14ac:dyDescent="0.3">
      <c r="H64946" t="str">
        <f t="shared" si="1064"/>
        <v/>
      </c>
    </row>
    <row r="64947" spans="8:8" x14ac:dyDescent="0.3">
      <c r="H64947" t="str">
        <f t="shared" si="1064"/>
        <v/>
      </c>
    </row>
    <row r="64948" spans="8:8" x14ac:dyDescent="0.3">
      <c r="H64948" t="str">
        <f t="shared" si="1064"/>
        <v/>
      </c>
    </row>
    <row r="64949" spans="8:8" x14ac:dyDescent="0.3">
      <c r="H64949" t="str">
        <f t="shared" si="1064"/>
        <v/>
      </c>
    </row>
    <row r="64950" spans="8:8" x14ac:dyDescent="0.3">
      <c r="H64950" t="str">
        <f t="shared" si="1064"/>
        <v/>
      </c>
    </row>
    <row r="64951" spans="8:8" x14ac:dyDescent="0.3">
      <c r="H64951" t="str">
        <f t="shared" si="1064"/>
        <v/>
      </c>
    </row>
    <row r="64952" spans="8:8" x14ac:dyDescent="0.3">
      <c r="H64952" t="str">
        <f t="shared" si="1064"/>
        <v/>
      </c>
    </row>
    <row r="64953" spans="8:8" x14ac:dyDescent="0.3">
      <c r="H64953" t="str">
        <f t="shared" si="1064"/>
        <v/>
      </c>
    </row>
    <row r="64954" spans="8:8" x14ac:dyDescent="0.3">
      <c r="H64954" t="str">
        <f t="shared" si="1064"/>
        <v/>
      </c>
    </row>
    <row r="64955" spans="8:8" x14ac:dyDescent="0.3">
      <c r="H64955" t="str">
        <f t="shared" si="1064"/>
        <v/>
      </c>
    </row>
    <row r="64956" spans="8:8" x14ac:dyDescent="0.3">
      <c r="H64956" t="str">
        <f t="shared" si="1064"/>
        <v/>
      </c>
    </row>
    <row r="64957" spans="8:8" x14ac:dyDescent="0.3">
      <c r="H64957" t="str">
        <f t="shared" si="1064"/>
        <v/>
      </c>
    </row>
    <row r="64958" spans="8:8" x14ac:dyDescent="0.3">
      <c r="H64958" t="str">
        <f t="shared" si="1064"/>
        <v/>
      </c>
    </row>
    <row r="64959" spans="8:8" x14ac:dyDescent="0.3">
      <c r="H64959" t="str">
        <f t="shared" si="1064"/>
        <v/>
      </c>
    </row>
    <row r="64960" spans="8:8" x14ac:dyDescent="0.3">
      <c r="H64960" t="str">
        <f t="shared" si="1064"/>
        <v/>
      </c>
    </row>
    <row r="64961" spans="8:8" x14ac:dyDescent="0.3">
      <c r="H64961" t="str">
        <f t="shared" si="1064"/>
        <v/>
      </c>
    </row>
    <row r="64962" spans="8:8" x14ac:dyDescent="0.3">
      <c r="H64962" t="str">
        <f t="shared" si="1064"/>
        <v/>
      </c>
    </row>
    <row r="64963" spans="8:8" x14ac:dyDescent="0.3">
      <c r="H64963" t="str">
        <f t="shared" si="1064"/>
        <v/>
      </c>
    </row>
    <row r="64964" spans="8:8" x14ac:dyDescent="0.3">
      <c r="H64964" t="str">
        <f t="shared" si="1064"/>
        <v/>
      </c>
    </row>
    <row r="64965" spans="8:8" x14ac:dyDescent="0.3">
      <c r="H64965" t="str">
        <f t="shared" si="1064"/>
        <v/>
      </c>
    </row>
    <row r="64966" spans="8:8" x14ac:dyDescent="0.3">
      <c r="H64966" t="str">
        <f t="shared" si="1064"/>
        <v/>
      </c>
    </row>
    <row r="64967" spans="8:8" x14ac:dyDescent="0.3">
      <c r="H64967" t="str">
        <f t="shared" si="1064"/>
        <v/>
      </c>
    </row>
    <row r="64968" spans="8:8" x14ac:dyDescent="0.3">
      <c r="H64968" t="str">
        <f t="shared" si="1064"/>
        <v/>
      </c>
    </row>
    <row r="64969" spans="8:8" x14ac:dyDescent="0.3">
      <c r="H64969" t="str">
        <f t="shared" si="1064"/>
        <v/>
      </c>
    </row>
    <row r="64970" spans="8:8" x14ac:dyDescent="0.3">
      <c r="H64970" t="str">
        <f t="shared" si="1064"/>
        <v/>
      </c>
    </row>
    <row r="64971" spans="8:8" x14ac:dyDescent="0.3">
      <c r="H64971" t="str">
        <f t="shared" si="1064"/>
        <v/>
      </c>
    </row>
    <row r="64972" spans="8:8" x14ac:dyDescent="0.3">
      <c r="H64972" t="str">
        <f t="shared" si="1064"/>
        <v/>
      </c>
    </row>
    <row r="64973" spans="8:8" x14ac:dyDescent="0.3">
      <c r="H64973" t="str">
        <f t="shared" si="1064"/>
        <v/>
      </c>
    </row>
    <row r="64974" spans="8:8" x14ac:dyDescent="0.3">
      <c r="H64974" t="str">
        <f t="shared" si="1064"/>
        <v/>
      </c>
    </row>
    <row r="64975" spans="8:8" x14ac:dyDescent="0.3">
      <c r="H64975" t="str">
        <f t="shared" si="1064"/>
        <v/>
      </c>
    </row>
    <row r="64976" spans="8:8" x14ac:dyDescent="0.3">
      <c r="H64976" t="str">
        <f t="shared" si="1064"/>
        <v/>
      </c>
    </row>
    <row r="64977" spans="8:8" x14ac:dyDescent="0.3">
      <c r="H64977" t="str">
        <f t="shared" si="1064"/>
        <v/>
      </c>
    </row>
    <row r="64978" spans="8:8" x14ac:dyDescent="0.3">
      <c r="H64978" t="str">
        <f t="shared" si="1064"/>
        <v/>
      </c>
    </row>
    <row r="64979" spans="8:8" x14ac:dyDescent="0.3">
      <c r="H64979" t="str">
        <f t="shared" si="1064"/>
        <v/>
      </c>
    </row>
    <row r="64980" spans="8:8" x14ac:dyDescent="0.3">
      <c r="H64980" t="str">
        <f t="shared" si="1064"/>
        <v/>
      </c>
    </row>
    <row r="64981" spans="8:8" x14ac:dyDescent="0.3">
      <c r="H64981" t="str">
        <f t="shared" si="1064"/>
        <v/>
      </c>
    </row>
    <row r="64982" spans="8:8" x14ac:dyDescent="0.3">
      <c r="H64982" t="str">
        <f t="shared" si="1064"/>
        <v/>
      </c>
    </row>
    <row r="64983" spans="8:8" x14ac:dyDescent="0.3">
      <c r="H64983" t="str">
        <f t="shared" ref="H64983:H65046" si="1065">IF(B64983="","",$C$12)</f>
        <v/>
      </c>
    </row>
    <row r="64984" spans="8:8" x14ac:dyDescent="0.3">
      <c r="H64984" t="str">
        <f t="shared" si="1065"/>
        <v/>
      </c>
    </row>
    <row r="64985" spans="8:8" x14ac:dyDescent="0.3">
      <c r="H64985" t="str">
        <f t="shared" si="1065"/>
        <v/>
      </c>
    </row>
    <row r="64986" spans="8:8" x14ac:dyDescent="0.3">
      <c r="H64986" t="str">
        <f t="shared" si="1065"/>
        <v/>
      </c>
    </row>
    <row r="64987" spans="8:8" x14ac:dyDescent="0.3">
      <c r="H64987" t="str">
        <f t="shared" si="1065"/>
        <v/>
      </c>
    </row>
    <row r="64988" spans="8:8" x14ac:dyDescent="0.3">
      <c r="H64988" t="str">
        <f t="shared" si="1065"/>
        <v/>
      </c>
    </row>
    <row r="64989" spans="8:8" x14ac:dyDescent="0.3">
      <c r="H64989" t="str">
        <f t="shared" si="1065"/>
        <v/>
      </c>
    </row>
    <row r="64990" spans="8:8" x14ac:dyDescent="0.3">
      <c r="H64990" t="str">
        <f t="shared" si="1065"/>
        <v/>
      </c>
    </row>
    <row r="64991" spans="8:8" x14ac:dyDescent="0.3">
      <c r="H64991" t="str">
        <f t="shared" si="1065"/>
        <v/>
      </c>
    </row>
    <row r="64992" spans="8:8" x14ac:dyDescent="0.3">
      <c r="H64992" t="str">
        <f t="shared" si="1065"/>
        <v/>
      </c>
    </row>
    <row r="64993" spans="8:8" x14ac:dyDescent="0.3">
      <c r="H64993" t="str">
        <f t="shared" si="1065"/>
        <v/>
      </c>
    </row>
    <row r="64994" spans="8:8" x14ac:dyDescent="0.3">
      <c r="H64994" t="str">
        <f t="shared" si="1065"/>
        <v/>
      </c>
    </row>
    <row r="64995" spans="8:8" x14ac:dyDescent="0.3">
      <c r="H64995" t="str">
        <f t="shared" si="1065"/>
        <v/>
      </c>
    </row>
    <row r="64996" spans="8:8" x14ac:dyDescent="0.3">
      <c r="H64996" t="str">
        <f t="shared" si="1065"/>
        <v/>
      </c>
    </row>
    <row r="64997" spans="8:8" x14ac:dyDescent="0.3">
      <c r="H64997" t="str">
        <f t="shared" si="1065"/>
        <v/>
      </c>
    </row>
    <row r="64998" spans="8:8" x14ac:dyDescent="0.3">
      <c r="H64998" t="str">
        <f t="shared" si="1065"/>
        <v/>
      </c>
    </row>
    <row r="64999" spans="8:8" x14ac:dyDescent="0.3">
      <c r="H64999" t="str">
        <f t="shared" si="1065"/>
        <v/>
      </c>
    </row>
    <row r="65000" spans="8:8" x14ac:dyDescent="0.3">
      <c r="H65000" t="str">
        <f t="shared" si="1065"/>
        <v/>
      </c>
    </row>
    <row r="65001" spans="8:8" x14ac:dyDescent="0.3">
      <c r="H65001" t="str">
        <f t="shared" si="1065"/>
        <v/>
      </c>
    </row>
    <row r="65002" spans="8:8" x14ac:dyDescent="0.3">
      <c r="H65002" t="str">
        <f t="shared" si="1065"/>
        <v/>
      </c>
    </row>
    <row r="65003" spans="8:8" x14ac:dyDescent="0.3">
      <c r="H65003" t="str">
        <f t="shared" si="1065"/>
        <v/>
      </c>
    </row>
    <row r="65004" spans="8:8" x14ac:dyDescent="0.3">
      <c r="H65004" t="str">
        <f t="shared" si="1065"/>
        <v/>
      </c>
    </row>
    <row r="65005" spans="8:8" x14ac:dyDescent="0.3">
      <c r="H65005" t="str">
        <f t="shared" si="1065"/>
        <v/>
      </c>
    </row>
    <row r="65006" spans="8:8" x14ac:dyDescent="0.3">
      <c r="H65006" t="str">
        <f t="shared" si="1065"/>
        <v/>
      </c>
    </row>
    <row r="65007" spans="8:8" x14ac:dyDescent="0.3">
      <c r="H65007" t="str">
        <f t="shared" si="1065"/>
        <v/>
      </c>
    </row>
    <row r="65008" spans="8:8" x14ac:dyDescent="0.3">
      <c r="H65008" t="str">
        <f t="shared" si="1065"/>
        <v/>
      </c>
    </row>
    <row r="65009" spans="8:8" x14ac:dyDescent="0.3">
      <c r="H65009" t="str">
        <f t="shared" si="1065"/>
        <v/>
      </c>
    </row>
    <row r="65010" spans="8:8" x14ac:dyDescent="0.3">
      <c r="H65010" t="str">
        <f t="shared" si="1065"/>
        <v/>
      </c>
    </row>
    <row r="65011" spans="8:8" x14ac:dyDescent="0.3">
      <c r="H65011" t="str">
        <f t="shared" si="1065"/>
        <v/>
      </c>
    </row>
    <row r="65012" spans="8:8" x14ac:dyDescent="0.3">
      <c r="H65012" t="str">
        <f t="shared" si="1065"/>
        <v/>
      </c>
    </row>
    <row r="65013" spans="8:8" x14ac:dyDescent="0.3">
      <c r="H65013" t="str">
        <f t="shared" si="1065"/>
        <v/>
      </c>
    </row>
    <row r="65014" spans="8:8" x14ac:dyDescent="0.3">
      <c r="H65014" t="str">
        <f t="shared" si="1065"/>
        <v/>
      </c>
    </row>
    <row r="65015" spans="8:8" x14ac:dyDescent="0.3">
      <c r="H65015" t="str">
        <f t="shared" si="1065"/>
        <v/>
      </c>
    </row>
    <row r="65016" spans="8:8" x14ac:dyDescent="0.3">
      <c r="H65016" t="str">
        <f t="shared" si="1065"/>
        <v/>
      </c>
    </row>
    <row r="65017" spans="8:8" x14ac:dyDescent="0.3">
      <c r="H65017" t="str">
        <f t="shared" si="1065"/>
        <v/>
      </c>
    </row>
    <row r="65018" spans="8:8" x14ac:dyDescent="0.3">
      <c r="H65018" t="str">
        <f t="shared" si="1065"/>
        <v/>
      </c>
    </row>
    <row r="65019" spans="8:8" x14ac:dyDescent="0.3">
      <c r="H65019" t="str">
        <f t="shared" si="1065"/>
        <v/>
      </c>
    </row>
    <row r="65020" spans="8:8" x14ac:dyDescent="0.3">
      <c r="H65020" t="str">
        <f t="shared" si="1065"/>
        <v/>
      </c>
    </row>
    <row r="65021" spans="8:8" x14ac:dyDescent="0.3">
      <c r="H65021" t="str">
        <f t="shared" si="1065"/>
        <v/>
      </c>
    </row>
    <row r="65022" spans="8:8" x14ac:dyDescent="0.3">
      <c r="H65022" t="str">
        <f t="shared" si="1065"/>
        <v/>
      </c>
    </row>
    <row r="65023" spans="8:8" x14ac:dyDescent="0.3">
      <c r="H65023" t="str">
        <f t="shared" si="1065"/>
        <v/>
      </c>
    </row>
    <row r="65024" spans="8:8" x14ac:dyDescent="0.3">
      <c r="H65024" t="str">
        <f t="shared" si="1065"/>
        <v/>
      </c>
    </row>
    <row r="65025" spans="8:8" x14ac:dyDescent="0.3">
      <c r="H65025" t="str">
        <f t="shared" si="1065"/>
        <v/>
      </c>
    </row>
    <row r="65026" spans="8:8" x14ac:dyDescent="0.3">
      <c r="H65026" t="str">
        <f t="shared" si="1065"/>
        <v/>
      </c>
    </row>
    <row r="65027" spans="8:8" x14ac:dyDescent="0.3">
      <c r="H65027" t="str">
        <f t="shared" si="1065"/>
        <v/>
      </c>
    </row>
    <row r="65028" spans="8:8" x14ac:dyDescent="0.3">
      <c r="H65028" t="str">
        <f t="shared" si="1065"/>
        <v/>
      </c>
    </row>
    <row r="65029" spans="8:8" x14ac:dyDescent="0.3">
      <c r="H65029" t="str">
        <f t="shared" si="1065"/>
        <v/>
      </c>
    </row>
    <row r="65030" spans="8:8" x14ac:dyDescent="0.3">
      <c r="H65030" t="str">
        <f t="shared" si="1065"/>
        <v/>
      </c>
    </row>
    <row r="65031" spans="8:8" x14ac:dyDescent="0.3">
      <c r="H65031" t="str">
        <f t="shared" si="1065"/>
        <v/>
      </c>
    </row>
    <row r="65032" spans="8:8" x14ac:dyDescent="0.3">
      <c r="H65032" t="str">
        <f t="shared" si="1065"/>
        <v/>
      </c>
    </row>
    <row r="65033" spans="8:8" x14ac:dyDescent="0.3">
      <c r="H65033" t="str">
        <f t="shared" si="1065"/>
        <v/>
      </c>
    </row>
    <row r="65034" spans="8:8" x14ac:dyDescent="0.3">
      <c r="H65034" t="str">
        <f t="shared" si="1065"/>
        <v/>
      </c>
    </row>
    <row r="65035" spans="8:8" x14ac:dyDescent="0.3">
      <c r="H65035" t="str">
        <f t="shared" si="1065"/>
        <v/>
      </c>
    </row>
    <row r="65036" spans="8:8" x14ac:dyDescent="0.3">
      <c r="H65036" t="str">
        <f t="shared" si="1065"/>
        <v/>
      </c>
    </row>
    <row r="65037" spans="8:8" x14ac:dyDescent="0.3">
      <c r="H65037" t="str">
        <f t="shared" si="1065"/>
        <v/>
      </c>
    </row>
    <row r="65038" spans="8:8" x14ac:dyDescent="0.3">
      <c r="H65038" t="str">
        <f t="shared" si="1065"/>
        <v/>
      </c>
    </row>
    <row r="65039" spans="8:8" x14ac:dyDescent="0.3">
      <c r="H65039" t="str">
        <f t="shared" si="1065"/>
        <v/>
      </c>
    </row>
    <row r="65040" spans="8:8" x14ac:dyDescent="0.3">
      <c r="H65040" t="str">
        <f t="shared" si="1065"/>
        <v/>
      </c>
    </row>
    <row r="65041" spans="8:8" x14ac:dyDescent="0.3">
      <c r="H65041" t="str">
        <f t="shared" si="1065"/>
        <v/>
      </c>
    </row>
    <row r="65042" spans="8:8" x14ac:dyDescent="0.3">
      <c r="H65042" t="str">
        <f t="shared" si="1065"/>
        <v/>
      </c>
    </row>
    <row r="65043" spans="8:8" x14ac:dyDescent="0.3">
      <c r="H65043" t="str">
        <f t="shared" si="1065"/>
        <v/>
      </c>
    </row>
    <row r="65044" spans="8:8" x14ac:dyDescent="0.3">
      <c r="H65044" t="str">
        <f t="shared" si="1065"/>
        <v/>
      </c>
    </row>
    <row r="65045" spans="8:8" x14ac:dyDescent="0.3">
      <c r="H65045" t="str">
        <f t="shared" si="1065"/>
        <v/>
      </c>
    </row>
    <row r="65046" spans="8:8" x14ac:dyDescent="0.3">
      <c r="H65046" t="str">
        <f t="shared" si="1065"/>
        <v/>
      </c>
    </row>
    <row r="65047" spans="8:8" x14ac:dyDescent="0.3">
      <c r="H65047" t="str">
        <f t="shared" ref="H65047:H65110" si="1066">IF(B65047="","",$C$12)</f>
        <v/>
      </c>
    </row>
    <row r="65048" spans="8:8" x14ac:dyDescent="0.3">
      <c r="H65048" t="str">
        <f t="shared" si="1066"/>
        <v/>
      </c>
    </row>
    <row r="65049" spans="8:8" x14ac:dyDescent="0.3">
      <c r="H65049" t="str">
        <f t="shared" si="1066"/>
        <v/>
      </c>
    </row>
    <row r="65050" spans="8:8" x14ac:dyDescent="0.3">
      <c r="H65050" t="str">
        <f t="shared" si="1066"/>
        <v/>
      </c>
    </row>
    <row r="65051" spans="8:8" x14ac:dyDescent="0.3">
      <c r="H65051" t="str">
        <f t="shared" si="1066"/>
        <v/>
      </c>
    </row>
    <row r="65052" spans="8:8" x14ac:dyDescent="0.3">
      <c r="H65052" t="str">
        <f t="shared" si="1066"/>
        <v/>
      </c>
    </row>
    <row r="65053" spans="8:8" x14ac:dyDescent="0.3">
      <c r="H65053" t="str">
        <f t="shared" si="1066"/>
        <v/>
      </c>
    </row>
    <row r="65054" spans="8:8" x14ac:dyDescent="0.3">
      <c r="H65054" t="str">
        <f t="shared" si="1066"/>
        <v/>
      </c>
    </row>
    <row r="65055" spans="8:8" x14ac:dyDescent="0.3">
      <c r="H65055" t="str">
        <f t="shared" si="1066"/>
        <v/>
      </c>
    </row>
    <row r="65056" spans="8:8" x14ac:dyDescent="0.3">
      <c r="H65056" t="str">
        <f t="shared" si="1066"/>
        <v/>
      </c>
    </row>
    <row r="65057" spans="8:8" x14ac:dyDescent="0.3">
      <c r="H65057" t="str">
        <f t="shared" si="1066"/>
        <v/>
      </c>
    </row>
    <row r="65058" spans="8:8" x14ac:dyDescent="0.3">
      <c r="H65058" t="str">
        <f t="shared" si="1066"/>
        <v/>
      </c>
    </row>
    <row r="65059" spans="8:8" x14ac:dyDescent="0.3">
      <c r="H65059" t="str">
        <f t="shared" si="1066"/>
        <v/>
      </c>
    </row>
    <row r="65060" spans="8:8" x14ac:dyDescent="0.3">
      <c r="H65060" t="str">
        <f t="shared" si="1066"/>
        <v/>
      </c>
    </row>
    <row r="65061" spans="8:8" x14ac:dyDescent="0.3">
      <c r="H65061" t="str">
        <f t="shared" si="1066"/>
        <v/>
      </c>
    </row>
    <row r="65062" spans="8:8" x14ac:dyDescent="0.3">
      <c r="H65062" t="str">
        <f t="shared" si="1066"/>
        <v/>
      </c>
    </row>
    <row r="65063" spans="8:8" x14ac:dyDescent="0.3">
      <c r="H65063" t="str">
        <f t="shared" si="1066"/>
        <v/>
      </c>
    </row>
    <row r="65064" spans="8:8" x14ac:dyDescent="0.3">
      <c r="H65064" t="str">
        <f t="shared" si="1066"/>
        <v/>
      </c>
    </row>
    <row r="65065" spans="8:8" x14ac:dyDescent="0.3">
      <c r="H65065" t="str">
        <f t="shared" si="1066"/>
        <v/>
      </c>
    </row>
    <row r="65066" spans="8:8" x14ac:dyDescent="0.3">
      <c r="H65066" t="str">
        <f t="shared" si="1066"/>
        <v/>
      </c>
    </row>
    <row r="65067" spans="8:8" x14ac:dyDescent="0.3">
      <c r="H65067" t="str">
        <f t="shared" si="1066"/>
        <v/>
      </c>
    </row>
    <row r="65068" spans="8:8" x14ac:dyDescent="0.3">
      <c r="H65068" t="str">
        <f t="shared" si="1066"/>
        <v/>
      </c>
    </row>
    <row r="65069" spans="8:8" x14ac:dyDescent="0.3">
      <c r="H65069" t="str">
        <f t="shared" si="1066"/>
        <v/>
      </c>
    </row>
    <row r="65070" spans="8:8" x14ac:dyDescent="0.3">
      <c r="H65070" t="str">
        <f t="shared" si="1066"/>
        <v/>
      </c>
    </row>
    <row r="65071" spans="8:8" x14ac:dyDescent="0.3">
      <c r="H65071" t="str">
        <f t="shared" si="1066"/>
        <v/>
      </c>
    </row>
    <row r="65072" spans="8:8" x14ac:dyDescent="0.3">
      <c r="H65072" t="str">
        <f t="shared" si="1066"/>
        <v/>
      </c>
    </row>
    <row r="65073" spans="8:8" x14ac:dyDescent="0.3">
      <c r="H65073" t="str">
        <f t="shared" si="1066"/>
        <v/>
      </c>
    </row>
    <row r="65074" spans="8:8" x14ac:dyDescent="0.3">
      <c r="H65074" t="str">
        <f t="shared" si="1066"/>
        <v/>
      </c>
    </row>
    <row r="65075" spans="8:8" x14ac:dyDescent="0.3">
      <c r="H65075" t="str">
        <f t="shared" si="1066"/>
        <v/>
      </c>
    </row>
    <row r="65076" spans="8:8" x14ac:dyDescent="0.3">
      <c r="H65076" t="str">
        <f t="shared" si="1066"/>
        <v/>
      </c>
    </row>
    <row r="65077" spans="8:8" x14ac:dyDescent="0.3">
      <c r="H65077" t="str">
        <f t="shared" si="1066"/>
        <v/>
      </c>
    </row>
    <row r="65078" spans="8:8" x14ac:dyDescent="0.3">
      <c r="H65078" t="str">
        <f t="shared" si="1066"/>
        <v/>
      </c>
    </row>
    <row r="65079" spans="8:8" x14ac:dyDescent="0.3">
      <c r="H65079" t="str">
        <f t="shared" si="1066"/>
        <v/>
      </c>
    </row>
    <row r="65080" spans="8:8" x14ac:dyDescent="0.3">
      <c r="H65080" t="str">
        <f t="shared" si="1066"/>
        <v/>
      </c>
    </row>
    <row r="65081" spans="8:8" x14ac:dyDescent="0.3">
      <c r="H65081" t="str">
        <f t="shared" si="1066"/>
        <v/>
      </c>
    </row>
    <row r="65082" spans="8:8" x14ac:dyDescent="0.3">
      <c r="H65082" t="str">
        <f t="shared" si="1066"/>
        <v/>
      </c>
    </row>
    <row r="65083" spans="8:8" x14ac:dyDescent="0.3">
      <c r="H65083" t="str">
        <f t="shared" si="1066"/>
        <v/>
      </c>
    </row>
    <row r="65084" spans="8:8" x14ac:dyDescent="0.3">
      <c r="H65084" t="str">
        <f t="shared" si="1066"/>
        <v/>
      </c>
    </row>
    <row r="65085" spans="8:8" x14ac:dyDescent="0.3">
      <c r="H65085" t="str">
        <f t="shared" si="1066"/>
        <v/>
      </c>
    </row>
    <row r="65086" spans="8:8" x14ac:dyDescent="0.3">
      <c r="H65086" t="str">
        <f t="shared" si="1066"/>
        <v/>
      </c>
    </row>
    <row r="65087" spans="8:8" x14ac:dyDescent="0.3">
      <c r="H65087" t="str">
        <f t="shared" si="1066"/>
        <v/>
      </c>
    </row>
    <row r="65088" spans="8:8" x14ac:dyDescent="0.3">
      <c r="H65088" t="str">
        <f t="shared" si="1066"/>
        <v/>
      </c>
    </row>
    <row r="65089" spans="8:8" x14ac:dyDescent="0.3">
      <c r="H65089" t="str">
        <f t="shared" si="1066"/>
        <v/>
      </c>
    </row>
    <row r="65090" spans="8:8" x14ac:dyDescent="0.3">
      <c r="H65090" t="str">
        <f t="shared" si="1066"/>
        <v/>
      </c>
    </row>
    <row r="65091" spans="8:8" x14ac:dyDescent="0.3">
      <c r="H65091" t="str">
        <f t="shared" si="1066"/>
        <v/>
      </c>
    </row>
    <row r="65092" spans="8:8" x14ac:dyDescent="0.3">
      <c r="H65092" t="str">
        <f t="shared" si="1066"/>
        <v/>
      </c>
    </row>
    <row r="65093" spans="8:8" x14ac:dyDescent="0.3">
      <c r="H65093" t="str">
        <f t="shared" si="1066"/>
        <v/>
      </c>
    </row>
    <row r="65094" spans="8:8" x14ac:dyDescent="0.3">
      <c r="H65094" t="str">
        <f t="shared" si="1066"/>
        <v/>
      </c>
    </row>
    <row r="65095" spans="8:8" x14ac:dyDescent="0.3">
      <c r="H65095" t="str">
        <f t="shared" si="1066"/>
        <v/>
      </c>
    </row>
    <row r="65096" spans="8:8" x14ac:dyDescent="0.3">
      <c r="H65096" t="str">
        <f t="shared" si="1066"/>
        <v/>
      </c>
    </row>
    <row r="65097" spans="8:8" x14ac:dyDescent="0.3">
      <c r="H65097" t="str">
        <f t="shared" si="1066"/>
        <v/>
      </c>
    </row>
    <row r="65098" spans="8:8" x14ac:dyDescent="0.3">
      <c r="H65098" t="str">
        <f t="shared" si="1066"/>
        <v/>
      </c>
    </row>
    <row r="65099" spans="8:8" x14ac:dyDescent="0.3">
      <c r="H65099" t="str">
        <f t="shared" si="1066"/>
        <v/>
      </c>
    </row>
    <row r="65100" spans="8:8" x14ac:dyDescent="0.3">
      <c r="H65100" t="str">
        <f t="shared" si="1066"/>
        <v/>
      </c>
    </row>
    <row r="65101" spans="8:8" x14ac:dyDescent="0.3">
      <c r="H65101" t="str">
        <f t="shared" si="1066"/>
        <v/>
      </c>
    </row>
    <row r="65102" spans="8:8" x14ac:dyDescent="0.3">
      <c r="H65102" t="str">
        <f t="shared" si="1066"/>
        <v/>
      </c>
    </row>
    <row r="65103" spans="8:8" x14ac:dyDescent="0.3">
      <c r="H65103" t="str">
        <f t="shared" si="1066"/>
        <v/>
      </c>
    </row>
    <row r="65104" spans="8:8" x14ac:dyDescent="0.3">
      <c r="H65104" t="str">
        <f t="shared" si="1066"/>
        <v/>
      </c>
    </row>
    <row r="65105" spans="8:8" x14ac:dyDescent="0.3">
      <c r="H65105" t="str">
        <f t="shared" si="1066"/>
        <v/>
      </c>
    </row>
    <row r="65106" spans="8:8" x14ac:dyDescent="0.3">
      <c r="H65106" t="str">
        <f t="shared" si="1066"/>
        <v/>
      </c>
    </row>
    <row r="65107" spans="8:8" x14ac:dyDescent="0.3">
      <c r="H65107" t="str">
        <f t="shared" si="1066"/>
        <v/>
      </c>
    </row>
    <row r="65108" spans="8:8" x14ac:dyDescent="0.3">
      <c r="H65108" t="str">
        <f t="shared" si="1066"/>
        <v/>
      </c>
    </row>
    <row r="65109" spans="8:8" x14ac:dyDescent="0.3">
      <c r="H65109" t="str">
        <f t="shared" si="1066"/>
        <v/>
      </c>
    </row>
    <row r="65110" spans="8:8" x14ac:dyDescent="0.3">
      <c r="H65110" t="str">
        <f t="shared" si="1066"/>
        <v/>
      </c>
    </row>
    <row r="65111" spans="8:8" x14ac:dyDescent="0.3">
      <c r="H65111" t="str">
        <f t="shared" ref="H65111:H65174" si="1067">IF(B65111="","",$C$12)</f>
        <v/>
      </c>
    </row>
    <row r="65112" spans="8:8" x14ac:dyDescent="0.3">
      <c r="H65112" t="str">
        <f t="shared" si="1067"/>
        <v/>
      </c>
    </row>
    <row r="65113" spans="8:8" x14ac:dyDescent="0.3">
      <c r="H65113" t="str">
        <f t="shared" si="1067"/>
        <v/>
      </c>
    </row>
    <row r="65114" spans="8:8" x14ac:dyDescent="0.3">
      <c r="H65114" t="str">
        <f t="shared" si="1067"/>
        <v/>
      </c>
    </row>
    <row r="65115" spans="8:8" x14ac:dyDescent="0.3">
      <c r="H65115" t="str">
        <f t="shared" si="1067"/>
        <v/>
      </c>
    </row>
    <row r="65116" spans="8:8" x14ac:dyDescent="0.3">
      <c r="H65116" t="str">
        <f t="shared" si="1067"/>
        <v/>
      </c>
    </row>
    <row r="65117" spans="8:8" x14ac:dyDescent="0.3">
      <c r="H65117" t="str">
        <f t="shared" si="1067"/>
        <v/>
      </c>
    </row>
    <row r="65118" spans="8:8" x14ac:dyDescent="0.3">
      <c r="H65118" t="str">
        <f t="shared" si="1067"/>
        <v/>
      </c>
    </row>
    <row r="65119" spans="8:8" x14ac:dyDescent="0.3">
      <c r="H65119" t="str">
        <f t="shared" si="1067"/>
        <v/>
      </c>
    </row>
    <row r="65120" spans="8:8" x14ac:dyDescent="0.3">
      <c r="H65120" t="str">
        <f t="shared" si="1067"/>
        <v/>
      </c>
    </row>
    <row r="65121" spans="8:8" x14ac:dyDescent="0.3">
      <c r="H65121" t="str">
        <f t="shared" si="1067"/>
        <v/>
      </c>
    </row>
    <row r="65122" spans="8:8" x14ac:dyDescent="0.3">
      <c r="H65122" t="str">
        <f t="shared" si="1067"/>
        <v/>
      </c>
    </row>
    <row r="65123" spans="8:8" x14ac:dyDescent="0.3">
      <c r="H65123" t="str">
        <f t="shared" si="1067"/>
        <v/>
      </c>
    </row>
    <row r="65124" spans="8:8" x14ac:dyDescent="0.3">
      <c r="H65124" t="str">
        <f t="shared" si="1067"/>
        <v/>
      </c>
    </row>
    <row r="65125" spans="8:8" x14ac:dyDescent="0.3">
      <c r="H65125" t="str">
        <f t="shared" si="1067"/>
        <v/>
      </c>
    </row>
    <row r="65126" spans="8:8" x14ac:dyDescent="0.3">
      <c r="H65126" t="str">
        <f t="shared" si="1067"/>
        <v/>
      </c>
    </row>
    <row r="65127" spans="8:8" x14ac:dyDescent="0.3">
      <c r="H65127" t="str">
        <f t="shared" si="1067"/>
        <v/>
      </c>
    </row>
    <row r="65128" spans="8:8" x14ac:dyDescent="0.3">
      <c r="H65128" t="str">
        <f t="shared" si="1067"/>
        <v/>
      </c>
    </row>
    <row r="65129" spans="8:8" x14ac:dyDescent="0.3">
      <c r="H65129" t="str">
        <f t="shared" si="1067"/>
        <v/>
      </c>
    </row>
    <row r="65130" spans="8:8" x14ac:dyDescent="0.3">
      <c r="H65130" t="str">
        <f t="shared" si="1067"/>
        <v/>
      </c>
    </row>
    <row r="65131" spans="8:8" x14ac:dyDescent="0.3">
      <c r="H65131" t="str">
        <f t="shared" si="1067"/>
        <v/>
      </c>
    </row>
    <row r="65132" spans="8:8" x14ac:dyDescent="0.3">
      <c r="H65132" t="str">
        <f t="shared" si="1067"/>
        <v/>
      </c>
    </row>
    <row r="65133" spans="8:8" x14ac:dyDescent="0.3">
      <c r="H65133" t="str">
        <f t="shared" si="1067"/>
        <v/>
      </c>
    </row>
    <row r="65134" spans="8:8" x14ac:dyDescent="0.3">
      <c r="H65134" t="str">
        <f t="shared" si="1067"/>
        <v/>
      </c>
    </row>
    <row r="65135" spans="8:8" x14ac:dyDescent="0.3">
      <c r="H65135" t="str">
        <f t="shared" si="1067"/>
        <v/>
      </c>
    </row>
    <row r="65136" spans="8:8" x14ac:dyDescent="0.3">
      <c r="H65136" t="str">
        <f t="shared" si="1067"/>
        <v/>
      </c>
    </row>
    <row r="65137" spans="8:8" x14ac:dyDescent="0.3">
      <c r="H65137" t="str">
        <f t="shared" si="1067"/>
        <v/>
      </c>
    </row>
    <row r="65138" spans="8:8" x14ac:dyDescent="0.3">
      <c r="H65138" t="str">
        <f t="shared" si="1067"/>
        <v/>
      </c>
    </row>
    <row r="65139" spans="8:8" x14ac:dyDescent="0.3">
      <c r="H65139" t="str">
        <f t="shared" si="1067"/>
        <v/>
      </c>
    </row>
    <row r="65140" spans="8:8" x14ac:dyDescent="0.3">
      <c r="H65140" t="str">
        <f t="shared" si="1067"/>
        <v/>
      </c>
    </row>
    <row r="65141" spans="8:8" x14ac:dyDescent="0.3">
      <c r="H65141" t="str">
        <f t="shared" si="1067"/>
        <v/>
      </c>
    </row>
    <row r="65142" spans="8:8" x14ac:dyDescent="0.3">
      <c r="H65142" t="str">
        <f t="shared" si="1067"/>
        <v/>
      </c>
    </row>
    <row r="65143" spans="8:8" x14ac:dyDescent="0.3">
      <c r="H65143" t="str">
        <f t="shared" si="1067"/>
        <v/>
      </c>
    </row>
    <row r="65144" spans="8:8" x14ac:dyDescent="0.3">
      <c r="H65144" t="str">
        <f t="shared" si="1067"/>
        <v/>
      </c>
    </row>
    <row r="65145" spans="8:8" x14ac:dyDescent="0.3">
      <c r="H65145" t="str">
        <f t="shared" si="1067"/>
        <v/>
      </c>
    </row>
    <row r="65146" spans="8:8" x14ac:dyDescent="0.3">
      <c r="H65146" t="str">
        <f t="shared" si="1067"/>
        <v/>
      </c>
    </row>
    <row r="65147" spans="8:8" x14ac:dyDescent="0.3">
      <c r="H65147" t="str">
        <f t="shared" si="1067"/>
        <v/>
      </c>
    </row>
    <row r="65148" spans="8:8" x14ac:dyDescent="0.3">
      <c r="H65148" t="str">
        <f t="shared" si="1067"/>
        <v/>
      </c>
    </row>
    <row r="65149" spans="8:8" x14ac:dyDescent="0.3">
      <c r="H65149" t="str">
        <f t="shared" si="1067"/>
        <v/>
      </c>
    </row>
    <row r="65150" spans="8:8" x14ac:dyDescent="0.3">
      <c r="H65150" t="str">
        <f t="shared" si="1067"/>
        <v/>
      </c>
    </row>
    <row r="65151" spans="8:8" x14ac:dyDescent="0.3">
      <c r="H65151" t="str">
        <f t="shared" si="1067"/>
        <v/>
      </c>
    </row>
    <row r="65152" spans="8:8" x14ac:dyDescent="0.3">
      <c r="H65152" t="str">
        <f t="shared" si="1067"/>
        <v/>
      </c>
    </row>
    <row r="65153" spans="8:8" x14ac:dyDescent="0.3">
      <c r="H65153" t="str">
        <f t="shared" si="1067"/>
        <v/>
      </c>
    </row>
    <row r="65154" spans="8:8" x14ac:dyDescent="0.3">
      <c r="H65154" t="str">
        <f t="shared" si="1067"/>
        <v/>
      </c>
    </row>
    <row r="65155" spans="8:8" x14ac:dyDescent="0.3">
      <c r="H65155" t="str">
        <f t="shared" si="1067"/>
        <v/>
      </c>
    </row>
    <row r="65156" spans="8:8" x14ac:dyDescent="0.3">
      <c r="H65156" t="str">
        <f t="shared" si="1067"/>
        <v/>
      </c>
    </row>
    <row r="65157" spans="8:8" x14ac:dyDescent="0.3">
      <c r="H65157" t="str">
        <f t="shared" si="1067"/>
        <v/>
      </c>
    </row>
    <row r="65158" spans="8:8" x14ac:dyDescent="0.3">
      <c r="H65158" t="str">
        <f t="shared" si="1067"/>
        <v/>
      </c>
    </row>
    <row r="65159" spans="8:8" x14ac:dyDescent="0.3">
      <c r="H65159" t="str">
        <f t="shared" si="1067"/>
        <v/>
      </c>
    </row>
    <row r="65160" spans="8:8" x14ac:dyDescent="0.3">
      <c r="H65160" t="str">
        <f t="shared" si="1067"/>
        <v/>
      </c>
    </row>
    <row r="65161" spans="8:8" x14ac:dyDescent="0.3">
      <c r="H65161" t="str">
        <f t="shared" si="1067"/>
        <v/>
      </c>
    </row>
    <row r="65162" spans="8:8" x14ac:dyDescent="0.3">
      <c r="H65162" t="str">
        <f t="shared" si="1067"/>
        <v/>
      </c>
    </row>
    <row r="65163" spans="8:8" x14ac:dyDescent="0.3">
      <c r="H65163" t="str">
        <f t="shared" si="1067"/>
        <v/>
      </c>
    </row>
    <row r="65164" spans="8:8" x14ac:dyDescent="0.3">
      <c r="H65164" t="str">
        <f t="shared" si="1067"/>
        <v/>
      </c>
    </row>
    <row r="65165" spans="8:8" x14ac:dyDescent="0.3">
      <c r="H65165" t="str">
        <f t="shared" si="1067"/>
        <v/>
      </c>
    </row>
    <row r="65166" spans="8:8" x14ac:dyDescent="0.3">
      <c r="H65166" t="str">
        <f t="shared" si="1067"/>
        <v/>
      </c>
    </row>
    <row r="65167" spans="8:8" x14ac:dyDescent="0.3">
      <c r="H65167" t="str">
        <f t="shared" si="1067"/>
        <v/>
      </c>
    </row>
    <row r="65168" spans="8:8" x14ac:dyDescent="0.3">
      <c r="H65168" t="str">
        <f t="shared" si="1067"/>
        <v/>
      </c>
    </row>
    <row r="65169" spans="8:8" x14ac:dyDescent="0.3">
      <c r="H65169" t="str">
        <f t="shared" si="1067"/>
        <v/>
      </c>
    </row>
    <row r="65170" spans="8:8" x14ac:dyDescent="0.3">
      <c r="H65170" t="str">
        <f t="shared" si="1067"/>
        <v/>
      </c>
    </row>
    <row r="65171" spans="8:8" x14ac:dyDescent="0.3">
      <c r="H65171" t="str">
        <f t="shared" si="1067"/>
        <v/>
      </c>
    </row>
    <row r="65172" spans="8:8" x14ac:dyDescent="0.3">
      <c r="H65172" t="str">
        <f t="shared" si="1067"/>
        <v/>
      </c>
    </row>
    <row r="65173" spans="8:8" x14ac:dyDescent="0.3">
      <c r="H65173" t="str">
        <f t="shared" si="1067"/>
        <v/>
      </c>
    </row>
    <row r="65174" spans="8:8" x14ac:dyDescent="0.3">
      <c r="H65174" t="str">
        <f t="shared" si="1067"/>
        <v/>
      </c>
    </row>
    <row r="65175" spans="8:8" x14ac:dyDescent="0.3">
      <c r="H65175" t="str">
        <f t="shared" ref="H65175:H65238" si="1068">IF(B65175="","",$C$12)</f>
        <v/>
      </c>
    </row>
    <row r="65176" spans="8:8" x14ac:dyDescent="0.3">
      <c r="H65176" t="str">
        <f t="shared" si="1068"/>
        <v/>
      </c>
    </row>
    <row r="65177" spans="8:8" x14ac:dyDescent="0.3">
      <c r="H65177" t="str">
        <f t="shared" si="1068"/>
        <v/>
      </c>
    </row>
    <row r="65178" spans="8:8" x14ac:dyDescent="0.3">
      <c r="H65178" t="str">
        <f t="shared" si="1068"/>
        <v/>
      </c>
    </row>
    <row r="65179" spans="8:8" x14ac:dyDescent="0.3">
      <c r="H65179" t="str">
        <f t="shared" si="1068"/>
        <v/>
      </c>
    </row>
    <row r="65180" spans="8:8" x14ac:dyDescent="0.3">
      <c r="H65180" t="str">
        <f t="shared" si="1068"/>
        <v/>
      </c>
    </row>
    <row r="65181" spans="8:8" x14ac:dyDescent="0.3">
      <c r="H65181" t="str">
        <f t="shared" si="1068"/>
        <v/>
      </c>
    </row>
    <row r="65182" spans="8:8" x14ac:dyDescent="0.3">
      <c r="H65182" t="str">
        <f t="shared" si="1068"/>
        <v/>
      </c>
    </row>
    <row r="65183" spans="8:8" x14ac:dyDescent="0.3">
      <c r="H65183" t="str">
        <f t="shared" si="1068"/>
        <v/>
      </c>
    </row>
    <row r="65184" spans="8:8" x14ac:dyDescent="0.3">
      <c r="H65184" t="str">
        <f t="shared" si="1068"/>
        <v/>
      </c>
    </row>
    <row r="65185" spans="8:8" x14ac:dyDescent="0.3">
      <c r="H65185" t="str">
        <f t="shared" si="1068"/>
        <v/>
      </c>
    </row>
    <row r="65186" spans="8:8" x14ac:dyDescent="0.3">
      <c r="H65186" t="str">
        <f t="shared" si="1068"/>
        <v/>
      </c>
    </row>
    <row r="65187" spans="8:8" x14ac:dyDescent="0.3">
      <c r="H65187" t="str">
        <f t="shared" si="1068"/>
        <v/>
      </c>
    </row>
    <row r="65188" spans="8:8" x14ac:dyDescent="0.3">
      <c r="H65188" t="str">
        <f t="shared" si="1068"/>
        <v/>
      </c>
    </row>
    <row r="65189" spans="8:8" x14ac:dyDescent="0.3">
      <c r="H65189" t="str">
        <f t="shared" si="1068"/>
        <v/>
      </c>
    </row>
    <row r="65190" spans="8:8" x14ac:dyDescent="0.3">
      <c r="H65190" t="str">
        <f t="shared" si="1068"/>
        <v/>
      </c>
    </row>
    <row r="65191" spans="8:8" x14ac:dyDescent="0.3">
      <c r="H65191" t="str">
        <f t="shared" si="1068"/>
        <v/>
      </c>
    </row>
    <row r="65192" spans="8:8" x14ac:dyDescent="0.3">
      <c r="H65192" t="str">
        <f t="shared" si="1068"/>
        <v/>
      </c>
    </row>
    <row r="65193" spans="8:8" x14ac:dyDescent="0.3">
      <c r="H65193" t="str">
        <f t="shared" si="1068"/>
        <v/>
      </c>
    </row>
    <row r="65194" spans="8:8" x14ac:dyDescent="0.3">
      <c r="H65194" t="str">
        <f t="shared" si="1068"/>
        <v/>
      </c>
    </row>
    <row r="65195" spans="8:8" x14ac:dyDescent="0.3">
      <c r="H65195" t="str">
        <f t="shared" si="1068"/>
        <v/>
      </c>
    </row>
    <row r="65196" spans="8:8" x14ac:dyDescent="0.3">
      <c r="H65196" t="str">
        <f t="shared" si="1068"/>
        <v/>
      </c>
    </row>
    <row r="65197" spans="8:8" x14ac:dyDescent="0.3">
      <c r="H65197" t="str">
        <f t="shared" si="1068"/>
        <v/>
      </c>
    </row>
    <row r="65198" spans="8:8" x14ac:dyDescent="0.3">
      <c r="H65198" t="str">
        <f t="shared" si="1068"/>
        <v/>
      </c>
    </row>
    <row r="65199" spans="8:8" x14ac:dyDescent="0.3">
      <c r="H65199" t="str">
        <f t="shared" si="1068"/>
        <v/>
      </c>
    </row>
    <row r="65200" spans="8:8" x14ac:dyDescent="0.3">
      <c r="H65200" t="str">
        <f t="shared" si="1068"/>
        <v/>
      </c>
    </row>
    <row r="65201" spans="8:8" x14ac:dyDescent="0.3">
      <c r="H65201" t="str">
        <f t="shared" si="1068"/>
        <v/>
      </c>
    </row>
    <row r="65202" spans="8:8" x14ac:dyDescent="0.3">
      <c r="H65202" t="str">
        <f t="shared" si="1068"/>
        <v/>
      </c>
    </row>
    <row r="65203" spans="8:8" x14ac:dyDescent="0.3">
      <c r="H65203" t="str">
        <f t="shared" si="1068"/>
        <v/>
      </c>
    </row>
    <row r="65204" spans="8:8" x14ac:dyDescent="0.3">
      <c r="H65204" t="str">
        <f t="shared" si="1068"/>
        <v/>
      </c>
    </row>
    <row r="65205" spans="8:8" x14ac:dyDescent="0.3">
      <c r="H65205" t="str">
        <f t="shared" si="1068"/>
        <v/>
      </c>
    </row>
    <row r="65206" spans="8:8" x14ac:dyDescent="0.3">
      <c r="H65206" t="str">
        <f t="shared" si="1068"/>
        <v/>
      </c>
    </row>
    <row r="65207" spans="8:8" x14ac:dyDescent="0.3">
      <c r="H65207" t="str">
        <f t="shared" si="1068"/>
        <v/>
      </c>
    </row>
    <row r="65208" spans="8:8" x14ac:dyDescent="0.3">
      <c r="H65208" t="str">
        <f t="shared" si="1068"/>
        <v/>
      </c>
    </row>
    <row r="65209" spans="8:8" x14ac:dyDescent="0.3">
      <c r="H65209" t="str">
        <f t="shared" si="1068"/>
        <v/>
      </c>
    </row>
    <row r="65210" spans="8:8" x14ac:dyDescent="0.3">
      <c r="H65210" t="str">
        <f t="shared" si="1068"/>
        <v/>
      </c>
    </row>
    <row r="65211" spans="8:8" x14ac:dyDescent="0.3">
      <c r="H65211" t="str">
        <f t="shared" si="1068"/>
        <v/>
      </c>
    </row>
    <row r="65212" spans="8:8" x14ac:dyDescent="0.3">
      <c r="H65212" t="str">
        <f t="shared" si="1068"/>
        <v/>
      </c>
    </row>
    <row r="65213" spans="8:8" x14ac:dyDescent="0.3">
      <c r="H65213" t="str">
        <f t="shared" si="1068"/>
        <v/>
      </c>
    </row>
    <row r="65214" spans="8:8" x14ac:dyDescent="0.3">
      <c r="H65214" t="str">
        <f t="shared" si="1068"/>
        <v/>
      </c>
    </row>
    <row r="65215" spans="8:8" x14ac:dyDescent="0.3">
      <c r="H65215" t="str">
        <f t="shared" si="1068"/>
        <v/>
      </c>
    </row>
    <row r="65216" spans="8:8" x14ac:dyDescent="0.3">
      <c r="H65216" t="str">
        <f t="shared" si="1068"/>
        <v/>
      </c>
    </row>
    <row r="65217" spans="8:8" x14ac:dyDescent="0.3">
      <c r="H65217" t="str">
        <f t="shared" si="1068"/>
        <v/>
      </c>
    </row>
    <row r="65218" spans="8:8" x14ac:dyDescent="0.3">
      <c r="H65218" t="str">
        <f t="shared" si="1068"/>
        <v/>
      </c>
    </row>
    <row r="65219" spans="8:8" x14ac:dyDescent="0.3">
      <c r="H65219" t="str">
        <f t="shared" si="1068"/>
        <v/>
      </c>
    </row>
    <row r="65220" spans="8:8" x14ac:dyDescent="0.3">
      <c r="H65220" t="str">
        <f t="shared" si="1068"/>
        <v/>
      </c>
    </row>
    <row r="65221" spans="8:8" x14ac:dyDescent="0.3">
      <c r="H65221" t="str">
        <f t="shared" si="1068"/>
        <v/>
      </c>
    </row>
    <row r="65222" spans="8:8" x14ac:dyDescent="0.3">
      <c r="H65222" t="str">
        <f t="shared" si="1068"/>
        <v/>
      </c>
    </row>
    <row r="65223" spans="8:8" x14ac:dyDescent="0.3">
      <c r="H65223" t="str">
        <f t="shared" si="1068"/>
        <v/>
      </c>
    </row>
    <row r="65224" spans="8:8" x14ac:dyDescent="0.3">
      <c r="H65224" t="str">
        <f t="shared" si="1068"/>
        <v/>
      </c>
    </row>
    <row r="65225" spans="8:8" x14ac:dyDescent="0.3">
      <c r="H65225" t="str">
        <f t="shared" si="1068"/>
        <v/>
      </c>
    </row>
    <row r="65226" spans="8:8" x14ac:dyDescent="0.3">
      <c r="H65226" t="str">
        <f t="shared" si="1068"/>
        <v/>
      </c>
    </row>
    <row r="65227" spans="8:8" x14ac:dyDescent="0.3">
      <c r="H65227" t="str">
        <f t="shared" si="1068"/>
        <v/>
      </c>
    </row>
    <row r="65228" spans="8:8" x14ac:dyDescent="0.3">
      <c r="H65228" t="str">
        <f t="shared" si="1068"/>
        <v/>
      </c>
    </row>
    <row r="65229" spans="8:8" x14ac:dyDescent="0.3">
      <c r="H65229" t="str">
        <f t="shared" si="1068"/>
        <v/>
      </c>
    </row>
    <row r="65230" spans="8:8" x14ac:dyDescent="0.3">
      <c r="H65230" t="str">
        <f t="shared" si="1068"/>
        <v/>
      </c>
    </row>
    <row r="65231" spans="8:8" x14ac:dyDescent="0.3">
      <c r="H65231" t="str">
        <f t="shared" si="1068"/>
        <v/>
      </c>
    </row>
    <row r="65232" spans="8:8" x14ac:dyDescent="0.3">
      <c r="H65232" t="str">
        <f t="shared" si="1068"/>
        <v/>
      </c>
    </row>
    <row r="65233" spans="8:8" x14ac:dyDescent="0.3">
      <c r="H65233" t="str">
        <f t="shared" si="1068"/>
        <v/>
      </c>
    </row>
    <row r="65234" spans="8:8" x14ac:dyDescent="0.3">
      <c r="H65234" t="str">
        <f t="shared" si="1068"/>
        <v/>
      </c>
    </row>
    <row r="65235" spans="8:8" x14ac:dyDescent="0.3">
      <c r="H65235" t="str">
        <f t="shared" si="1068"/>
        <v/>
      </c>
    </row>
    <row r="65236" spans="8:8" x14ac:dyDescent="0.3">
      <c r="H65236" t="str">
        <f t="shared" si="1068"/>
        <v/>
      </c>
    </row>
    <row r="65237" spans="8:8" x14ac:dyDescent="0.3">
      <c r="H65237" t="str">
        <f t="shared" si="1068"/>
        <v/>
      </c>
    </row>
    <row r="65238" spans="8:8" x14ac:dyDescent="0.3">
      <c r="H65238" t="str">
        <f t="shared" si="1068"/>
        <v/>
      </c>
    </row>
    <row r="65239" spans="8:8" x14ac:dyDescent="0.3">
      <c r="H65239" t="str">
        <f t="shared" ref="H65239:H65302" si="1069">IF(B65239="","",$C$12)</f>
        <v/>
      </c>
    </row>
    <row r="65240" spans="8:8" x14ac:dyDescent="0.3">
      <c r="H65240" t="str">
        <f t="shared" si="1069"/>
        <v/>
      </c>
    </row>
    <row r="65241" spans="8:8" x14ac:dyDescent="0.3">
      <c r="H65241" t="str">
        <f t="shared" si="1069"/>
        <v/>
      </c>
    </row>
    <row r="65242" spans="8:8" x14ac:dyDescent="0.3">
      <c r="H65242" t="str">
        <f t="shared" si="1069"/>
        <v/>
      </c>
    </row>
    <row r="65243" spans="8:8" x14ac:dyDescent="0.3">
      <c r="H65243" t="str">
        <f t="shared" si="1069"/>
        <v/>
      </c>
    </row>
    <row r="65244" spans="8:8" x14ac:dyDescent="0.3">
      <c r="H65244" t="str">
        <f t="shared" si="1069"/>
        <v/>
      </c>
    </row>
    <row r="65245" spans="8:8" x14ac:dyDescent="0.3">
      <c r="H65245" t="str">
        <f t="shared" si="1069"/>
        <v/>
      </c>
    </row>
    <row r="65246" spans="8:8" x14ac:dyDescent="0.3">
      <c r="H65246" t="str">
        <f t="shared" si="1069"/>
        <v/>
      </c>
    </row>
    <row r="65247" spans="8:8" x14ac:dyDescent="0.3">
      <c r="H65247" t="str">
        <f t="shared" si="1069"/>
        <v/>
      </c>
    </row>
    <row r="65248" spans="8:8" x14ac:dyDescent="0.3">
      <c r="H65248" t="str">
        <f t="shared" si="1069"/>
        <v/>
      </c>
    </row>
    <row r="65249" spans="8:8" x14ac:dyDescent="0.3">
      <c r="H65249" t="str">
        <f t="shared" si="1069"/>
        <v/>
      </c>
    </row>
    <row r="65250" spans="8:8" x14ac:dyDescent="0.3">
      <c r="H65250" t="str">
        <f t="shared" si="1069"/>
        <v/>
      </c>
    </row>
    <row r="65251" spans="8:8" x14ac:dyDescent="0.3">
      <c r="H65251" t="str">
        <f t="shared" si="1069"/>
        <v/>
      </c>
    </row>
    <row r="65252" spans="8:8" x14ac:dyDescent="0.3">
      <c r="H65252" t="str">
        <f t="shared" si="1069"/>
        <v/>
      </c>
    </row>
    <row r="65253" spans="8:8" x14ac:dyDescent="0.3">
      <c r="H65253" t="str">
        <f t="shared" si="1069"/>
        <v/>
      </c>
    </row>
    <row r="65254" spans="8:8" x14ac:dyDescent="0.3">
      <c r="H65254" t="str">
        <f t="shared" si="1069"/>
        <v/>
      </c>
    </row>
    <row r="65255" spans="8:8" x14ac:dyDescent="0.3">
      <c r="H65255" t="str">
        <f t="shared" si="1069"/>
        <v/>
      </c>
    </row>
    <row r="65256" spans="8:8" x14ac:dyDescent="0.3">
      <c r="H65256" t="str">
        <f t="shared" si="1069"/>
        <v/>
      </c>
    </row>
    <row r="65257" spans="8:8" x14ac:dyDescent="0.3">
      <c r="H65257" t="str">
        <f t="shared" si="1069"/>
        <v/>
      </c>
    </row>
    <row r="65258" spans="8:8" x14ac:dyDescent="0.3">
      <c r="H65258" t="str">
        <f t="shared" si="1069"/>
        <v/>
      </c>
    </row>
    <row r="65259" spans="8:8" x14ac:dyDescent="0.3">
      <c r="H65259" t="str">
        <f t="shared" si="1069"/>
        <v/>
      </c>
    </row>
    <row r="65260" spans="8:8" x14ac:dyDescent="0.3">
      <c r="H65260" t="str">
        <f t="shared" si="1069"/>
        <v/>
      </c>
    </row>
    <row r="65261" spans="8:8" x14ac:dyDescent="0.3">
      <c r="H65261" t="str">
        <f t="shared" si="1069"/>
        <v/>
      </c>
    </row>
    <row r="65262" spans="8:8" x14ac:dyDescent="0.3">
      <c r="H65262" t="str">
        <f t="shared" si="1069"/>
        <v/>
      </c>
    </row>
    <row r="65263" spans="8:8" x14ac:dyDescent="0.3">
      <c r="H65263" t="str">
        <f t="shared" si="1069"/>
        <v/>
      </c>
    </row>
    <row r="65264" spans="8:8" x14ac:dyDescent="0.3">
      <c r="H65264" t="str">
        <f t="shared" si="1069"/>
        <v/>
      </c>
    </row>
    <row r="65265" spans="8:8" x14ac:dyDescent="0.3">
      <c r="H65265" t="str">
        <f t="shared" si="1069"/>
        <v/>
      </c>
    </row>
    <row r="65266" spans="8:8" x14ac:dyDescent="0.3">
      <c r="H65266" t="str">
        <f t="shared" si="1069"/>
        <v/>
      </c>
    </row>
    <row r="65267" spans="8:8" x14ac:dyDescent="0.3">
      <c r="H65267" t="str">
        <f t="shared" si="1069"/>
        <v/>
      </c>
    </row>
    <row r="65268" spans="8:8" x14ac:dyDescent="0.3">
      <c r="H65268" t="str">
        <f t="shared" si="1069"/>
        <v/>
      </c>
    </row>
    <row r="65269" spans="8:8" x14ac:dyDescent="0.3">
      <c r="H65269" t="str">
        <f t="shared" si="1069"/>
        <v/>
      </c>
    </row>
    <row r="65270" spans="8:8" x14ac:dyDescent="0.3">
      <c r="H65270" t="str">
        <f t="shared" si="1069"/>
        <v/>
      </c>
    </row>
    <row r="65271" spans="8:8" x14ac:dyDescent="0.3">
      <c r="H65271" t="str">
        <f t="shared" si="1069"/>
        <v/>
      </c>
    </row>
    <row r="65272" spans="8:8" x14ac:dyDescent="0.3">
      <c r="H65272" t="str">
        <f t="shared" si="1069"/>
        <v/>
      </c>
    </row>
    <row r="65273" spans="8:8" x14ac:dyDescent="0.3">
      <c r="H65273" t="str">
        <f t="shared" si="1069"/>
        <v/>
      </c>
    </row>
    <row r="65274" spans="8:8" x14ac:dyDescent="0.3">
      <c r="H65274" t="str">
        <f t="shared" si="1069"/>
        <v/>
      </c>
    </row>
    <row r="65275" spans="8:8" x14ac:dyDescent="0.3">
      <c r="H65275" t="str">
        <f t="shared" si="1069"/>
        <v/>
      </c>
    </row>
    <row r="65276" spans="8:8" x14ac:dyDescent="0.3">
      <c r="H65276" t="str">
        <f t="shared" si="1069"/>
        <v/>
      </c>
    </row>
    <row r="65277" spans="8:8" x14ac:dyDescent="0.3">
      <c r="H65277" t="str">
        <f t="shared" si="1069"/>
        <v/>
      </c>
    </row>
    <row r="65278" spans="8:8" x14ac:dyDescent="0.3">
      <c r="H65278" t="str">
        <f t="shared" si="1069"/>
        <v/>
      </c>
    </row>
    <row r="65279" spans="8:8" x14ac:dyDescent="0.3">
      <c r="H65279" t="str">
        <f t="shared" si="1069"/>
        <v/>
      </c>
    </row>
    <row r="65280" spans="8:8" x14ac:dyDescent="0.3">
      <c r="H65280" t="str">
        <f t="shared" si="1069"/>
        <v/>
      </c>
    </row>
    <row r="65281" spans="8:8" x14ac:dyDescent="0.3">
      <c r="H65281" t="str">
        <f t="shared" si="1069"/>
        <v/>
      </c>
    </row>
    <row r="65282" spans="8:8" x14ac:dyDescent="0.3">
      <c r="H65282" t="str">
        <f t="shared" si="1069"/>
        <v/>
      </c>
    </row>
    <row r="65283" spans="8:8" x14ac:dyDescent="0.3">
      <c r="H65283" t="str">
        <f t="shared" si="1069"/>
        <v/>
      </c>
    </row>
    <row r="65284" spans="8:8" x14ac:dyDescent="0.3">
      <c r="H65284" t="str">
        <f t="shared" si="1069"/>
        <v/>
      </c>
    </row>
    <row r="65285" spans="8:8" x14ac:dyDescent="0.3">
      <c r="H65285" t="str">
        <f t="shared" si="1069"/>
        <v/>
      </c>
    </row>
    <row r="65286" spans="8:8" x14ac:dyDescent="0.3">
      <c r="H65286" t="str">
        <f t="shared" si="1069"/>
        <v/>
      </c>
    </row>
    <row r="65287" spans="8:8" x14ac:dyDescent="0.3">
      <c r="H65287" t="str">
        <f t="shared" si="1069"/>
        <v/>
      </c>
    </row>
    <row r="65288" spans="8:8" x14ac:dyDescent="0.3">
      <c r="H65288" t="str">
        <f t="shared" si="1069"/>
        <v/>
      </c>
    </row>
    <row r="65289" spans="8:8" x14ac:dyDescent="0.3">
      <c r="H65289" t="str">
        <f t="shared" si="1069"/>
        <v/>
      </c>
    </row>
    <row r="65290" spans="8:8" x14ac:dyDescent="0.3">
      <c r="H65290" t="str">
        <f t="shared" si="1069"/>
        <v/>
      </c>
    </row>
    <row r="65291" spans="8:8" x14ac:dyDescent="0.3">
      <c r="H65291" t="str">
        <f t="shared" si="1069"/>
        <v/>
      </c>
    </row>
    <row r="65292" spans="8:8" x14ac:dyDescent="0.3">
      <c r="H65292" t="str">
        <f t="shared" si="1069"/>
        <v/>
      </c>
    </row>
    <row r="65293" spans="8:8" x14ac:dyDescent="0.3">
      <c r="H65293" t="str">
        <f t="shared" si="1069"/>
        <v/>
      </c>
    </row>
    <row r="65294" spans="8:8" x14ac:dyDescent="0.3">
      <c r="H65294" t="str">
        <f t="shared" si="1069"/>
        <v/>
      </c>
    </row>
    <row r="65295" spans="8:8" x14ac:dyDescent="0.3">
      <c r="H65295" t="str">
        <f t="shared" si="1069"/>
        <v/>
      </c>
    </row>
    <row r="65296" spans="8:8" x14ac:dyDescent="0.3">
      <c r="H65296" t="str">
        <f t="shared" si="1069"/>
        <v/>
      </c>
    </row>
    <row r="65297" spans="8:8" x14ac:dyDescent="0.3">
      <c r="H65297" t="str">
        <f t="shared" si="1069"/>
        <v/>
      </c>
    </row>
    <row r="65298" spans="8:8" x14ac:dyDescent="0.3">
      <c r="H65298" t="str">
        <f t="shared" si="1069"/>
        <v/>
      </c>
    </row>
    <row r="65299" spans="8:8" x14ac:dyDescent="0.3">
      <c r="H65299" t="str">
        <f t="shared" si="1069"/>
        <v/>
      </c>
    </row>
    <row r="65300" spans="8:8" x14ac:dyDescent="0.3">
      <c r="H65300" t="str">
        <f t="shared" si="1069"/>
        <v/>
      </c>
    </row>
    <row r="65301" spans="8:8" x14ac:dyDescent="0.3">
      <c r="H65301" t="str">
        <f t="shared" si="1069"/>
        <v/>
      </c>
    </row>
    <row r="65302" spans="8:8" x14ac:dyDescent="0.3">
      <c r="H65302" t="str">
        <f t="shared" si="1069"/>
        <v/>
      </c>
    </row>
    <row r="65303" spans="8:8" x14ac:dyDescent="0.3">
      <c r="H65303" t="str">
        <f t="shared" ref="H65303:H65366" si="1070">IF(B65303="","",$C$12)</f>
        <v/>
      </c>
    </row>
    <row r="65304" spans="8:8" x14ac:dyDescent="0.3">
      <c r="H65304" t="str">
        <f t="shared" si="1070"/>
        <v/>
      </c>
    </row>
    <row r="65305" spans="8:8" x14ac:dyDescent="0.3">
      <c r="H65305" t="str">
        <f t="shared" si="1070"/>
        <v/>
      </c>
    </row>
    <row r="65306" spans="8:8" x14ac:dyDescent="0.3">
      <c r="H65306" t="str">
        <f t="shared" si="1070"/>
        <v/>
      </c>
    </row>
    <row r="65307" spans="8:8" x14ac:dyDescent="0.3">
      <c r="H65307" t="str">
        <f t="shared" si="1070"/>
        <v/>
      </c>
    </row>
    <row r="65308" spans="8:8" x14ac:dyDescent="0.3">
      <c r="H65308" t="str">
        <f t="shared" si="1070"/>
        <v/>
      </c>
    </row>
    <row r="65309" spans="8:8" x14ac:dyDescent="0.3">
      <c r="H65309" t="str">
        <f t="shared" si="1070"/>
        <v/>
      </c>
    </row>
    <row r="65310" spans="8:8" x14ac:dyDescent="0.3">
      <c r="H65310" t="str">
        <f t="shared" si="1070"/>
        <v/>
      </c>
    </row>
    <row r="65311" spans="8:8" x14ac:dyDescent="0.3">
      <c r="H65311" t="str">
        <f t="shared" si="1070"/>
        <v/>
      </c>
    </row>
    <row r="65312" spans="8:8" x14ac:dyDescent="0.3">
      <c r="H65312" t="str">
        <f t="shared" si="1070"/>
        <v/>
      </c>
    </row>
    <row r="65313" spans="8:8" x14ac:dyDescent="0.3">
      <c r="H65313" t="str">
        <f t="shared" si="1070"/>
        <v/>
      </c>
    </row>
    <row r="65314" spans="8:8" x14ac:dyDescent="0.3">
      <c r="H65314" t="str">
        <f t="shared" si="1070"/>
        <v/>
      </c>
    </row>
    <row r="65315" spans="8:8" x14ac:dyDescent="0.3">
      <c r="H65315" t="str">
        <f t="shared" si="1070"/>
        <v/>
      </c>
    </row>
    <row r="65316" spans="8:8" x14ac:dyDescent="0.3">
      <c r="H65316" t="str">
        <f t="shared" si="1070"/>
        <v/>
      </c>
    </row>
    <row r="65317" spans="8:8" x14ac:dyDescent="0.3">
      <c r="H65317" t="str">
        <f t="shared" si="1070"/>
        <v/>
      </c>
    </row>
    <row r="65318" spans="8:8" x14ac:dyDescent="0.3">
      <c r="H65318" t="str">
        <f t="shared" si="1070"/>
        <v/>
      </c>
    </row>
    <row r="65319" spans="8:8" x14ac:dyDescent="0.3">
      <c r="H65319" t="str">
        <f t="shared" si="1070"/>
        <v/>
      </c>
    </row>
    <row r="65320" spans="8:8" x14ac:dyDescent="0.3">
      <c r="H65320" t="str">
        <f t="shared" si="1070"/>
        <v/>
      </c>
    </row>
    <row r="65321" spans="8:8" x14ac:dyDescent="0.3">
      <c r="H65321" t="str">
        <f t="shared" si="1070"/>
        <v/>
      </c>
    </row>
    <row r="65322" spans="8:8" x14ac:dyDescent="0.3">
      <c r="H65322" t="str">
        <f t="shared" si="1070"/>
        <v/>
      </c>
    </row>
    <row r="65323" spans="8:8" x14ac:dyDescent="0.3">
      <c r="H65323" t="str">
        <f t="shared" si="1070"/>
        <v/>
      </c>
    </row>
    <row r="65324" spans="8:8" x14ac:dyDescent="0.3">
      <c r="H65324" t="str">
        <f t="shared" si="1070"/>
        <v/>
      </c>
    </row>
    <row r="65325" spans="8:8" x14ac:dyDescent="0.3">
      <c r="H65325" t="str">
        <f t="shared" si="1070"/>
        <v/>
      </c>
    </row>
    <row r="65326" spans="8:8" x14ac:dyDescent="0.3">
      <c r="H65326" t="str">
        <f t="shared" si="1070"/>
        <v/>
      </c>
    </row>
    <row r="65327" spans="8:8" x14ac:dyDescent="0.3">
      <c r="H65327" t="str">
        <f t="shared" si="1070"/>
        <v/>
      </c>
    </row>
    <row r="65328" spans="8:8" x14ac:dyDescent="0.3">
      <c r="H65328" t="str">
        <f t="shared" si="1070"/>
        <v/>
      </c>
    </row>
    <row r="65329" spans="8:8" x14ac:dyDescent="0.3">
      <c r="H65329" t="str">
        <f t="shared" si="1070"/>
        <v/>
      </c>
    </row>
    <row r="65330" spans="8:8" x14ac:dyDescent="0.3">
      <c r="H65330" t="str">
        <f t="shared" si="1070"/>
        <v/>
      </c>
    </row>
    <row r="65331" spans="8:8" x14ac:dyDescent="0.3">
      <c r="H65331" t="str">
        <f t="shared" si="1070"/>
        <v/>
      </c>
    </row>
    <row r="65332" spans="8:8" x14ac:dyDescent="0.3">
      <c r="H65332" t="str">
        <f t="shared" si="1070"/>
        <v/>
      </c>
    </row>
    <row r="65333" spans="8:8" x14ac:dyDescent="0.3">
      <c r="H65333" t="str">
        <f t="shared" si="1070"/>
        <v/>
      </c>
    </row>
    <row r="65334" spans="8:8" x14ac:dyDescent="0.3">
      <c r="H65334" t="str">
        <f t="shared" si="1070"/>
        <v/>
      </c>
    </row>
    <row r="65335" spans="8:8" x14ac:dyDescent="0.3">
      <c r="H65335" t="str">
        <f t="shared" si="1070"/>
        <v/>
      </c>
    </row>
    <row r="65336" spans="8:8" x14ac:dyDescent="0.3">
      <c r="H65336" t="str">
        <f t="shared" si="1070"/>
        <v/>
      </c>
    </row>
    <row r="65337" spans="8:8" x14ac:dyDescent="0.3">
      <c r="H65337" t="str">
        <f t="shared" si="1070"/>
        <v/>
      </c>
    </row>
    <row r="65338" spans="8:8" x14ac:dyDescent="0.3">
      <c r="H65338" t="str">
        <f t="shared" si="1070"/>
        <v/>
      </c>
    </row>
    <row r="65339" spans="8:8" x14ac:dyDescent="0.3">
      <c r="H65339" t="str">
        <f t="shared" si="1070"/>
        <v/>
      </c>
    </row>
    <row r="65340" spans="8:8" x14ac:dyDescent="0.3">
      <c r="H65340" t="str">
        <f t="shared" si="1070"/>
        <v/>
      </c>
    </row>
    <row r="65341" spans="8:8" x14ac:dyDescent="0.3">
      <c r="H65341" t="str">
        <f t="shared" si="1070"/>
        <v/>
      </c>
    </row>
    <row r="65342" spans="8:8" x14ac:dyDescent="0.3">
      <c r="H65342" t="str">
        <f t="shared" si="1070"/>
        <v/>
      </c>
    </row>
    <row r="65343" spans="8:8" x14ac:dyDescent="0.3">
      <c r="H65343" t="str">
        <f t="shared" si="1070"/>
        <v/>
      </c>
    </row>
    <row r="65344" spans="8:8" x14ac:dyDescent="0.3">
      <c r="H65344" t="str">
        <f t="shared" si="1070"/>
        <v/>
      </c>
    </row>
    <row r="65345" spans="8:8" x14ac:dyDescent="0.3">
      <c r="H65345" t="str">
        <f t="shared" si="1070"/>
        <v/>
      </c>
    </row>
    <row r="65346" spans="8:8" x14ac:dyDescent="0.3">
      <c r="H65346" t="str">
        <f t="shared" si="1070"/>
        <v/>
      </c>
    </row>
    <row r="65347" spans="8:8" x14ac:dyDescent="0.3">
      <c r="H65347" t="str">
        <f t="shared" si="1070"/>
        <v/>
      </c>
    </row>
    <row r="65348" spans="8:8" x14ac:dyDescent="0.3">
      <c r="H65348" t="str">
        <f t="shared" si="1070"/>
        <v/>
      </c>
    </row>
    <row r="65349" spans="8:8" x14ac:dyDescent="0.3">
      <c r="H65349" t="str">
        <f t="shared" si="1070"/>
        <v/>
      </c>
    </row>
    <row r="65350" spans="8:8" x14ac:dyDescent="0.3">
      <c r="H65350" t="str">
        <f t="shared" si="1070"/>
        <v/>
      </c>
    </row>
    <row r="65351" spans="8:8" x14ac:dyDescent="0.3">
      <c r="H65351" t="str">
        <f t="shared" si="1070"/>
        <v/>
      </c>
    </row>
    <row r="65352" spans="8:8" x14ac:dyDescent="0.3">
      <c r="H65352" t="str">
        <f t="shared" si="1070"/>
        <v/>
      </c>
    </row>
    <row r="65353" spans="8:8" x14ac:dyDescent="0.3">
      <c r="H65353" t="str">
        <f t="shared" si="1070"/>
        <v/>
      </c>
    </row>
    <row r="65354" spans="8:8" x14ac:dyDescent="0.3">
      <c r="H65354" t="str">
        <f t="shared" si="1070"/>
        <v/>
      </c>
    </row>
    <row r="65355" spans="8:8" x14ac:dyDescent="0.3">
      <c r="H65355" t="str">
        <f t="shared" si="1070"/>
        <v/>
      </c>
    </row>
    <row r="65356" spans="8:8" x14ac:dyDescent="0.3">
      <c r="H65356" t="str">
        <f t="shared" si="1070"/>
        <v/>
      </c>
    </row>
    <row r="65357" spans="8:8" x14ac:dyDescent="0.3">
      <c r="H65357" t="str">
        <f t="shared" si="1070"/>
        <v/>
      </c>
    </row>
    <row r="65358" spans="8:8" x14ac:dyDescent="0.3">
      <c r="H65358" t="str">
        <f t="shared" si="1070"/>
        <v/>
      </c>
    </row>
    <row r="65359" spans="8:8" x14ac:dyDescent="0.3">
      <c r="H65359" t="str">
        <f t="shared" si="1070"/>
        <v/>
      </c>
    </row>
    <row r="65360" spans="8:8" x14ac:dyDescent="0.3">
      <c r="H65360" t="str">
        <f t="shared" si="1070"/>
        <v/>
      </c>
    </row>
    <row r="65361" spans="8:8" x14ac:dyDescent="0.3">
      <c r="H65361" t="str">
        <f t="shared" si="1070"/>
        <v/>
      </c>
    </row>
    <row r="65362" spans="8:8" x14ac:dyDescent="0.3">
      <c r="H65362" t="str">
        <f t="shared" si="1070"/>
        <v/>
      </c>
    </row>
    <row r="65363" spans="8:8" x14ac:dyDescent="0.3">
      <c r="H65363" t="str">
        <f t="shared" si="1070"/>
        <v/>
      </c>
    </row>
    <row r="65364" spans="8:8" x14ac:dyDescent="0.3">
      <c r="H65364" t="str">
        <f t="shared" si="1070"/>
        <v/>
      </c>
    </row>
    <row r="65365" spans="8:8" x14ac:dyDescent="0.3">
      <c r="H65365" t="str">
        <f t="shared" si="1070"/>
        <v/>
      </c>
    </row>
    <row r="65366" spans="8:8" x14ac:dyDescent="0.3">
      <c r="H65366" t="str">
        <f t="shared" si="1070"/>
        <v/>
      </c>
    </row>
    <row r="65367" spans="8:8" x14ac:dyDescent="0.3">
      <c r="H65367" t="str">
        <f t="shared" ref="H65367:H65430" si="1071">IF(B65367="","",$C$12)</f>
        <v/>
      </c>
    </row>
    <row r="65368" spans="8:8" x14ac:dyDescent="0.3">
      <c r="H65368" t="str">
        <f t="shared" si="1071"/>
        <v/>
      </c>
    </row>
    <row r="65369" spans="8:8" x14ac:dyDescent="0.3">
      <c r="H65369" t="str">
        <f t="shared" si="1071"/>
        <v/>
      </c>
    </row>
    <row r="65370" spans="8:8" x14ac:dyDescent="0.3">
      <c r="H65370" t="str">
        <f t="shared" si="1071"/>
        <v/>
      </c>
    </row>
    <row r="65371" spans="8:8" x14ac:dyDescent="0.3">
      <c r="H65371" t="str">
        <f t="shared" si="1071"/>
        <v/>
      </c>
    </row>
    <row r="65372" spans="8:8" x14ac:dyDescent="0.3">
      <c r="H65372" t="str">
        <f t="shared" si="1071"/>
        <v/>
      </c>
    </row>
    <row r="65373" spans="8:8" x14ac:dyDescent="0.3">
      <c r="H65373" t="str">
        <f t="shared" si="1071"/>
        <v/>
      </c>
    </row>
    <row r="65374" spans="8:8" x14ac:dyDescent="0.3">
      <c r="H65374" t="str">
        <f t="shared" si="1071"/>
        <v/>
      </c>
    </row>
    <row r="65375" spans="8:8" x14ac:dyDescent="0.3">
      <c r="H65375" t="str">
        <f t="shared" si="1071"/>
        <v/>
      </c>
    </row>
    <row r="65376" spans="8:8" x14ac:dyDescent="0.3">
      <c r="H65376" t="str">
        <f t="shared" si="1071"/>
        <v/>
      </c>
    </row>
    <row r="65377" spans="8:8" x14ac:dyDescent="0.3">
      <c r="H65377" t="str">
        <f t="shared" si="1071"/>
        <v/>
      </c>
    </row>
    <row r="65378" spans="8:8" x14ac:dyDescent="0.3">
      <c r="H65378" t="str">
        <f t="shared" si="1071"/>
        <v/>
      </c>
    </row>
    <row r="65379" spans="8:8" x14ac:dyDescent="0.3">
      <c r="H65379" t="str">
        <f t="shared" si="1071"/>
        <v/>
      </c>
    </row>
    <row r="65380" spans="8:8" x14ac:dyDescent="0.3">
      <c r="H65380" t="str">
        <f t="shared" si="1071"/>
        <v/>
      </c>
    </row>
    <row r="65381" spans="8:8" x14ac:dyDescent="0.3">
      <c r="H65381" t="str">
        <f t="shared" si="1071"/>
        <v/>
      </c>
    </row>
    <row r="65382" spans="8:8" x14ac:dyDescent="0.3">
      <c r="H65382" t="str">
        <f t="shared" si="1071"/>
        <v/>
      </c>
    </row>
    <row r="65383" spans="8:8" x14ac:dyDescent="0.3">
      <c r="H65383" t="str">
        <f t="shared" si="1071"/>
        <v/>
      </c>
    </row>
    <row r="65384" spans="8:8" x14ac:dyDescent="0.3">
      <c r="H65384" t="str">
        <f t="shared" si="1071"/>
        <v/>
      </c>
    </row>
    <row r="65385" spans="8:8" x14ac:dyDescent="0.3">
      <c r="H65385" t="str">
        <f t="shared" si="1071"/>
        <v/>
      </c>
    </row>
    <row r="65386" spans="8:8" x14ac:dyDescent="0.3">
      <c r="H65386" t="str">
        <f t="shared" si="1071"/>
        <v/>
      </c>
    </row>
    <row r="65387" spans="8:8" x14ac:dyDescent="0.3">
      <c r="H65387" t="str">
        <f t="shared" si="1071"/>
        <v/>
      </c>
    </row>
    <row r="65388" spans="8:8" x14ac:dyDescent="0.3">
      <c r="H65388" t="str">
        <f t="shared" si="1071"/>
        <v/>
      </c>
    </row>
    <row r="65389" spans="8:8" x14ac:dyDescent="0.3">
      <c r="H65389" t="str">
        <f t="shared" si="1071"/>
        <v/>
      </c>
    </row>
    <row r="65390" spans="8:8" x14ac:dyDescent="0.3">
      <c r="H65390" t="str">
        <f t="shared" si="1071"/>
        <v/>
      </c>
    </row>
    <row r="65391" spans="8:8" x14ac:dyDescent="0.3">
      <c r="H65391" t="str">
        <f t="shared" si="1071"/>
        <v/>
      </c>
    </row>
    <row r="65392" spans="8:8" x14ac:dyDescent="0.3">
      <c r="H65392" t="str">
        <f t="shared" si="1071"/>
        <v/>
      </c>
    </row>
    <row r="65393" spans="8:8" x14ac:dyDescent="0.3">
      <c r="H65393" t="str">
        <f t="shared" si="1071"/>
        <v/>
      </c>
    </row>
    <row r="65394" spans="8:8" x14ac:dyDescent="0.3">
      <c r="H65394" t="str">
        <f t="shared" si="1071"/>
        <v/>
      </c>
    </row>
    <row r="65395" spans="8:8" x14ac:dyDescent="0.3">
      <c r="H65395" t="str">
        <f t="shared" si="1071"/>
        <v/>
      </c>
    </row>
    <row r="65396" spans="8:8" x14ac:dyDescent="0.3">
      <c r="H65396" t="str">
        <f t="shared" si="1071"/>
        <v/>
      </c>
    </row>
    <row r="65397" spans="8:8" x14ac:dyDescent="0.3">
      <c r="H65397" t="str">
        <f t="shared" si="1071"/>
        <v/>
      </c>
    </row>
    <row r="65398" spans="8:8" x14ac:dyDescent="0.3">
      <c r="H65398" t="str">
        <f t="shared" si="1071"/>
        <v/>
      </c>
    </row>
    <row r="65399" spans="8:8" x14ac:dyDescent="0.3">
      <c r="H65399" t="str">
        <f t="shared" si="1071"/>
        <v/>
      </c>
    </row>
    <row r="65400" spans="8:8" x14ac:dyDescent="0.3">
      <c r="H65400" t="str">
        <f t="shared" si="1071"/>
        <v/>
      </c>
    </row>
    <row r="65401" spans="8:8" x14ac:dyDescent="0.3">
      <c r="H65401" t="str">
        <f t="shared" si="1071"/>
        <v/>
      </c>
    </row>
    <row r="65402" spans="8:8" x14ac:dyDescent="0.3">
      <c r="H65402" t="str">
        <f t="shared" si="1071"/>
        <v/>
      </c>
    </row>
    <row r="65403" spans="8:8" x14ac:dyDescent="0.3">
      <c r="H65403" t="str">
        <f t="shared" si="1071"/>
        <v/>
      </c>
    </row>
    <row r="65404" spans="8:8" x14ac:dyDescent="0.3">
      <c r="H65404" t="str">
        <f t="shared" si="1071"/>
        <v/>
      </c>
    </row>
    <row r="65405" spans="8:8" x14ac:dyDescent="0.3">
      <c r="H65405" t="str">
        <f t="shared" si="1071"/>
        <v/>
      </c>
    </row>
    <row r="65406" spans="8:8" x14ac:dyDescent="0.3">
      <c r="H65406" t="str">
        <f t="shared" si="1071"/>
        <v/>
      </c>
    </row>
    <row r="65407" spans="8:8" x14ac:dyDescent="0.3">
      <c r="H65407" t="str">
        <f t="shared" si="1071"/>
        <v/>
      </c>
    </row>
    <row r="65408" spans="8:8" x14ac:dyDescent="0.3">
      <c r="H65408" t="str">
        <f t="shared" si="1071"/>
        <v/>
      </c>
    </row>
    <row r="65409" spans="8:8" x14ac:dyDescent="0.3">
      <c r="H65409" t="str">
        <f t="shared" si="1071"/>
        <v/>
      </c>
    </row>
    <row r="65410" spans="8:8" x14ac:dyDescent="0.3">
      <c r="H65410" t="str">
        <f t="shared" si="1071"/>
        <v/>
      </c>
    </row>
    <row r="65411" spans="8:8" x14ac:dyDescent="0.3">
      <c r="H65411" t="str">
        <f t="shared" si="1071"/>
        <v/>
      </c>
    </row>
    <row r="65412" spans="8:8" x14ac:dyDescent="0.3">
      <c r="H65412" t="str">
        <f t="shared" si="1071"/>
        <v/>
      </c>
    </row>
    <row r="65413" spans="8:8" x14ac:dyDescent="0.3">
      <c r="H65413" t="str">
        <f t="shared" si="1071"/>
        <v/>
      </c>
    </row>
    <row r="65414" spans="8:8" x14ac:dyDescent="0.3">
      <c r="H65414" t="str">
        <f t="shared" si="1071"/>
        <v/>
      </c>
    </row>
    <row r="65415" spans="8:8" x14ac:dyDescent="0.3">
      <c r="H65415" t="str">
        <f t="shared" si="1071"/>
        <v/>
      </c>
    </row>
    <row r="65416" spans="8:8" x14ac:dyDescent="0.3">
      <c r="H65416" t="str">
        <f t="shared" si="1071"/>
        <v/>
      </c>
    </row>
    <row r="65417" spans="8:8" x14ac:dyDescent="0.3">
      <c r="H65417" t="str">
        <f t="shared" si="1071"/>
        <v/>
      </c>
    </row>
    <row r="65418" spans="8:8" x14ac:dyDescent="0.3">
      <c r="H65418" t="str">
        <f t="shared" si="1071"/>
        <v/>
      </c>
    </row>
    <row r="65419" spans="8:8" x14ac:dyDescent="0.3">
      <c r="H65419" t="str">
        <f t="shared" si="1071"/>
        <v/>
      </c>
    </row>
    <row r="65420" spans="8:8" x14ac:dyDescent="0.3">
      <c r="H65420" t="str">
        <f t="shared" si="1071"/>
        <v/>
      </c>
    </row>
    <row r="65421" spans="8:8" x14ac:dyDescent="0.3">
      <c r="H65421" t="str">
        <f t="shared" si="1071"/>
        <v/>
      </c>
    </row>
    <row r="65422" spans="8:8" x14ac:dyDescent="0.3">
      <c r="H65422" t="str">
        <f t="shared" si="1071"/>
        <v/>
      </c>
    </row>
    <row r="65423" spans="8:8" x14ac:dyDescent="0.3">
      <c r="H65423" t="str">
        <f t="shared" si="1071"/>
        <v/>
      </c>
    </row>
    <row r="65424" spans="8:8" x14ac:dyDescent="0.3">
      <c r="H65424" t="str">
        <f t="shared" si="1071"/>
        <v/>
      </c>
    </row>
    <row r="65425" spans="8:8" x14ac:dyDescent="0.3">
      <c r="H65425" t="str">
        <f t="shared" si="1071"/>
        <v/>
      </c>
    </row>
    <row r="65426" spans="8:8" x14ac:dyDescent="0.3">
      <c r="H65426" t="str">
        <f t="shared" si="1071"/>
        <v/>
      </c>
    </row>
    <row r="65427" spans="8:8" x14ac:dyDescent="0.3">
      <c r="H65427" t="str">
        <f t="shared" si="1071"/>
        <v/>
      </c>
    </row>
    <row r="65428" spans="8:8" x14ac:dyDescent="0.3">
      <c r="H65428" t="str">
        <f t="shared" si="1071"/>
        <v/>
      </c>
    </row>
    <row r="65429" spans="8:8" x14ac:dyDescent="0.3">
      <c r="H65429" t="str">
        <f t="shared" si="1071"/>
        <v/>
      </c>
    </row>
    <row r="65430" spans="8:8" x14ac:dyDescent="0.3">
      <c r="H65430" t="str">
        <f t="shared" si="1071"/>
        <v/>
      </c>
    </row>
    <row r="65431" spans="8:8" x14ac:dyDescent="0.3">
      <c r="H65431" t="str">
        <f t="shared" ref="H65431:H65494" si="1072">IF(B65431="","",$C$12)</f>
        <v/>
      </c>
    </row>
    <row r="65432" spans="8:8" x14ac:dyDescent="0.3">
      <c r="H65432" t="str">
        <f t="shared" si="1072"/>
        <v/>
      </c>
    </row>
    <row r="65433" spans="8:8" x14ac:dyDescent="0.3">
      <c r="H65433" t="str">
        <f t="shared" si="1072"/>
        <v/>
      </c>
    </row>
    <row r="65434" spans="8:8" x14ac:dyDescent="0.3">
      <c r="H65434" t="str">
        <f t="shared" si="1072"/>
        <v/>
      </c>
    </row>
    <row r="65435" spans="8:8" x14ac:dyDescent="0.3">
      <c r="H65435" t="str">
        <f t="shared" si="1072"/>
        <v/>
      </c>
    </row>
    <row r="65436" spans="8:8" x14ac:dyDescent="0.3">
      <c r="H65436" t="str">
        <f t="shared" si="1072"/>
        <v/>
      </c>
    </row>
    <row r="65437" spans="8:8" x14ac:dyDescent="0.3">
      <c r="H65437" t="str">
        <f t="shared" si="1072"/>
        <v/>
      </c>
    </row>
    <row r="65438" spans="8:8" x14ac:dyDescent="0.3">
      <c r="H65438" t="str">
        <f t="shared" si="1072"/>
        <v/>
      </c>
    </row>
    <row r="65439" spans="8:8" x14ac:dyDescent="0.3">
      <c r="H65439" t="str">
        <f t="shared" si="1072"/>
        <v/>
      </c>
    </row>
    <row r="65440" spans="8:8" x14ac:dyDescent="0.3">
      <c r="H65440" t="str">
        <f t="shared" si="1072"/>
        <v/>
      </c>
    </row>
    <row r="65441" spans="8:8" x14ac:dyDescent="0.3">
      <c r="H65441" t="str">
        <f t="shared" si="1072"/>
        <v/>
      </c>
    </row>
    <row r="65442" spans="8:8" x14ac:dyDescent="0.3">
      <c r="H65442" t="str">
        <f t="shared" si="1072"/>
        <v/>
      </c>
    </row>
    <row r="65443" spans="8:8" x14ac:dyDescent="0.3">
      <c r="H65443" t="str">
        <f t="shared" si="1072"/>
        <v/>
      </c>
    </row>
    <row r="65444" spans="8:8" x14ac:dyDescent="0.3">
      <c r="H65444" t="str">
        <f t="shared" si="1072"/>
        <v/>
      </c>
    </row>
    <row r="65445" spans="8:8" x14ac:dyDescent="0.3">
      <c r="H65445" t="str">
        <f t="shared" si="1072"/>
        <v/>
      </c>
    </row>
    <row r="65446" spans="8:8" x14ac:dyDescent="0.3">
      <c r="H65446" t="str">
        <f t="shared" si="1072"/>
        <v/>
      </c>
    </row>
    <row r="65447" spans="8:8" x14ac:dyDescent="0.3">
      <c r="H65447" t="str">
        <f t="shared" si="1072"/>
        <v/>
      </c>
    </row>
    <row r="65448" spans="8:8" x14ac:dyDescent="0.3">
      <c r="H65448" t="str">
        <f t="shared" si="1072"/>
        <v/>
      </c>
    </row>
    <row r="65449" spans="8:8" x14ac:dyDescent="0.3">
      <c r="H65449" t="str">
        <f t="shared" si="1072"/>
        <v/>
      </c>
    </row>
    <row r="65450" spans="8:8" x14ac:dyDescent="0.3">
      <c r="H65450" t="str">
        <f t="shared" si="1072"/>
        <v/>
      </c>
    </row>
    <row r="65451" spans="8:8" x14ac:dyDescent="0.3">
      <c r="H65451" t="str">
        <f t="shared" si="1072"/>
        <v/>
      </c>
    </row>
    <row r="65452" spans="8:8" x14ac:dyDescent="0.3">
      <c r="H65452" t="str">
        <f t="shared" si="1072"/>
        <v/>
      </c>
    </row>
    <row r="65453" spans="8:8" x14ac:dyDescent="0.3">
      <c r="H65453" t="str">
        <f t="shared" si="1072"/>
        <v/>
      </c>
    </row>
    <row r="65454" spans="8:8" x14ac:dyDescent="0.3">
      <c r="H65454" t="str">
        <f t="shared" si="1072"/>
        <v/>
      </c>
    </row>
    <row r="65455" spans="8:8" x14ac:dyDescent="0.3">
      <c r="H65455" t="str">
        <f t="shared" si="1072"/>
        <v/>
      </c>
    </row>
    <row r="65456" spans="8:8" x14ac:dyDescent="0.3">
      <c r="H65456" t="str">
        <f t="shared" si="1072"/>
        <v/>
      </c>
    </row>
    <row r="65457" spans="8:8" x14ac:dyDescent="0.3">
      <c r="H65457" t="str">
        <f t="shared" si="1072"/>
        <v/>
      </c>
    </row>
    <row r="65458" spans="8:8" x14ac:dyDescent="0.3">
      <c r="H65458" t="str">
        <f t="shared" si="1072"/>
        <v/>
      </c>
    </row>
    <row r="65459" spans="8:8" x14ac:dyDescent="0.3">
      <c r="H65459" t="str">
        <f t="shared" si="1072"/>
        <v/>
      </c>
    </row>
    <row r="65460" spans="8:8" x14ac:dyDescent="0.3">
      <c r="H65460" t="str">
        <f t="shared" si="1072"/>
        <v/>
      </c>
    </row>
    <row r="65461" spans="8:8" x14ac:dyDescent="0.3">
      <c r="H65461" t="str">
        <f t="shared" si="1072"/>
        <v/>
      </c>
    </row>
    <row r="65462" spans="8:8" x14ac:dyDescent="0.3">
      <c r="H65462" t="str">
        <f t="shared" si="1072"/>
        <v/>
      </c>
    </row>
    <row r="65463" spans="8:8" x14ac:dyDescent="0.3">
      <c r="H65463" t="str">
        <f t="shared" si="1072"/>
        <v/>
      </c>
    </row>
    <row r="65464" spans="8:8" x14ac:dyDescent="0.3">
      <c r="H65464" t="str">
        <f t="shared" si="1072"/>
        <v/>
      </c>
    </row>
    <row r="65465" spans="8:8" x14ac:dyDescent="0.3">
      <c r="H65465" t="str">
        <f t="shared" si="1072"/>
        <v/>
      </c>
    </row>
    <row r="65466" spans="8:8" x14ac:dyDescent="0.3">
      <c r="H65466" t="str">
        <f t="shared" si="1072"/>
        <v/>
      </c>
    </row>
    <row r="65467" spans="8:8" x14ac:dyDescent="0.3">
      <c r="H65467" t="str">
        <f t="shared" si="1072"/>
        <v/>
      </c>
    </row>
    <row r="65468" spans="8:8" x14ac:dyDescent="0.3">
      <c r="H65468" t="str">
        <f t="shared" si="1072"/>
        <v/>
      </c>
    </row>
    <row r="65469" spans="8:8" x14ac:dyDescent="0.3">
      <c r="H65469" t="str">
        <f t="shared" si="1072"/>
        <v/>
      </c>
    </row>
    <row r="65470" spans="8:8" x14ac:dyDescent="0.3">
      <c r="H65470" t="str">
        <f t="shared" si="1072"/>
        <v/>
      </c>
    </row>
    <row r="65471" spans="8:8" x14ac:dyDescent="0.3">
      <c r="H65471" t="str">
        <f t="shared" si="1072"/>
        <v/>
      </c>
    </row>
    <row r="65472" spans="8:8" x14ac:dyDescent="0.3">
      <c r="H65472" t="str">
        <f t="shared" si="1072"/>
        <v/>
      </c>
    </row>
    <row r="65473" spans="8:8" x14ac:dyDescent="0.3">
      <c r="H65473" t="str">
        <f t="shared" si="1072"/>
        <v/>
      </c>
    </row>
    <row r="65474" spans="8:8" x14ac:dyDescent="0.3">
      <c r="H65474" t="str">
        <f t="shared" si="1072"/>
        <v/>
      </c>
    </row>
    <row r="65475" spans="8:8" x14ac:dyDescent="0.3">
      <c r="H65475" t="str">
        <f t="shared" si="1072"/>
        <v/>
      </c>
    </row>
    <row r="65476" spans="8:8" x14ac:dyDescent="0.3">
      <c r="H65476" t="str">
        <f t="shared" si="1072"/>
        <v/>
      </c>
    </row>
    <row r="65477" spans="8:8" x14ac:dyDescent="0.3">
      <c r="H65477" t="str">
        <f t="shared" si="1072"/>
        <v/>
      </c>
    </row>
    <row r="65478" spans="8:8" x14ac:dyDescent="0.3">
      <c r="H65478" t="str">
        <f t="shared" si="1072"/>
        <v/>
      </c>
    </row>
    <row r="65479" spans="8:8" x14ac:dyDescent="0.3">
      <c r="H65479" t="str">
        <f t="shared" si="1072"/>
        <v/>
      </c>
    </row>
    <row r="65480" spans="8:8" x14ac:dyDescent="0.3">
      <c r="H65480" t="str">
        <f t="shared" si="1072"/>
        <v/>
      </c>
    </row>
    <row r="65481" spans="8:8" x14ac:dyDescent="0.3">
      <c r="H65481" t="str">
        <f t="shared" si="1072"/>
        <v/>
      </c>
    </row>
    <row r="65482" spans="8:8" x14ac:dyDescent="0.3">
      <c r="H65482" t="str">
        <f t="shared" si="1072"/>
        <v/>
      </c>
    </row>
    <row r="65483" spans="8:8" x14ac:dyDescent="0.3">
      <c r="H65483" t="str">
        <f t="shared" si="1072"/>
        <v/>
      </c>
    </row>
    <row r="65484" spans="8:8" x14ac:dyDescent="0.3">
      <c r="H65484" t="str">
        <f t="shared" si="1072"/>
        <v/>
      </c>
    </row>
    <row r="65485" spans="8:8" x14ac:dyDescent="0.3">
      <c r="H65485" t="str">
        <f t="shared" si="1072"/>
        <v/>
      </c>
    </row>
    <row r="65486" spans="8:8" x14ac:dyDescent="0.3">
      <c r="H65486" t="str">
        <f t="shared" si="1072"/>
        <v/>
      </c>
    </row>
    <row r="65487" spans="8:8" x14ac:dyDescent="0.3">
      <c r="H65487" t="str">
        <f t="shared" si="1072"/>
        <v/>
      </c>
    </row>
    <row r="65488" spans="8:8" x14ac:dyDescent="0.3">
      <c r="H65488" t="str">
        <f t="shared" si="1072"/>
        <v/>
      </c>
    </row>
    <row r="65489" spans="8:8" x14ac:dyDescent="0.3">
      <c r="H65489" t="str">
        <f t="shared" si="1072"/>
        <v/>
      </c>
    </row>
    <row r="65490" spans="8:8" x14ac:dyDescent="0.3">
      <c r="H65490" t="str">
        <f t="shared" si="1072"/>
        <v/>
      </c>
    </row>
    <row r="65491" spans="8:8" x14ac:dyDescent="0.3">
      <c r="H65491" t="str">
        <f t="shared" si="1072"/>
        <v/>
      </c>
    </row>
    <row r="65492" spans="8:8" x14ac:dyDescent="0.3">
      <c r="H65492" t="str">
        <f t="shared" si="1072"/>
        <v/>
      </c>
    </row>
    <row r="65493" spans="8:8" x14ac:dyDescent="0.3">
      <c r="H65493" t="str">
        <f t="shared" si="1072"/>
        <v/>
      </c>
    </row>
    <row r="65494" spans="8:8" x14ac:dyDescent="0.3">
      <c r="H65494" t="str">
        <f t="shared" si="1072"/>
        <v/>
      </c>
    </row>
    <row r="65495" spans="8:8" x14ac:dyDescent="0.3">
      <c r="H65495" t="str">
        <f t="shared" ref="H65495:H65536" si="1073">IF(B65495="","",$C$12)</f>
        <v/>
      </c>
    </row>
    <row r="65496" spans="8:8" x14ac:dyDescent="0.3">
      <c r="H65496" t="str">
        <f t="shared" si="1073"/>
        <v/>
      </c>
    </row>
    <row r="65497" spans="8:8" x14ac:dyDescent="0.3">
      <c r="H65497" t="str">
        <f t="shared" si="1073"/>
        <v/>
      </c>
    </row>
    <row r="65498" spans="8:8" x14ac:dyDescent="0.3">
      <c r="H65498" t="str">
        <f t="shared" si="1073"/>
        <v/>
      </c>
    </row>
    <row r="65499" spans="8:8" x14ac:dyDescent="0.3">
      <c r="H65499" t="str">
        <f t="shared" si="1073"/>
        <v/>
      </c>
    </row>
    <row r="65500" spans="8:8" x14ac:dyDescent="0.3">
      <c r="H65500" t="str">
        <f t="shared" si="1073"/>
        <v/>
      </c>
    </row>
    <row r="65501" spans="8:8" x14ac:dyDescent="0.3">
      <c r="H65501" t="str">
        <f t="shared" si="1073"/>
        <v/>
      </c>
    </row>
    <row r="65502" spans="8:8" x14ac:dyDescent="0.3">
      <c r="H65502" t="str">
        <f t="shared" si="1073"/>
        <v/>
      </c>
    </row>
    <row r="65503" spans="8:8" x14ac:dyDescent="0.3">
      <c r="H65503" t="str">
        <f t="shared" si="1073"/>
        <v/>
      </c>
    </row>
    <row r="65504" spans="8:8" x14ac:dyDescent="0.3">
      <c r="H65504" t="str">
        <f t="shared" si="1073"/>
        <v/>
      </c>
    </row>
    <row r="65505" spans="8:8" x14ac:dyDescent="0.3">
      <c r="H65505" t="str">
        <f t="shared" si="1073"/>
        <v/>
      </c>
    </row>
    <row r="65506" spans="8:8" x14ac:dyDescent="0.3">
      <c r="H65506" t="str">
        <f t="shared" si="1073"/>
        <v/>
      </c>
    </row>
    <row r="65507" spans="8:8" x14ac:dyDescent="0.3">
      <c r="H65507" t="str">
        <f t="shared" si="1073"/>
        <v/>
      </c>
    </row>
    <row r="65508" spans="8:8" x14ac:dyDescent="0.3">
      <c r="H65508" t="str">
        <f t="shared" si="1073"/>
        <v/>
      </c>
    </row>
    <row r="65509" spans="8:8" x14ac:dyDescent="0.3">
      <c r="H65509" t="str">
        <f t="shared" si="1073"/>
        <v/>
      </c>
    </row>
    <row r="65510" spans="8:8" x14ac:dyDescent="0.3">
      <c r="H65510" t="str">
        <f t="shared" si="1073"/>
        <v/>
      </c>
    </row>
    <row r="65511" spans="8:8" x14ac:dyDescent="0.3">
      <c r="H65511" t="str">
        <f t="shared" si="1073"/>
        <v/>
      </c>
    </row>
    <row r="65512" spans="8:8" x14ac:dyDescent="0.3">
      <c r="H65512" t="str">
        <f t="shared" si="1073"/>
        <v/>
      </c>
    </row>
    <row r="65513" spans="8:8" x14ac:dyDescent="0.3">
      <c r="H65513" t="str">
        <f t="shared" si="1073"/>
        <v/>
      </c>
    </row>
    <row r="65514" spans="8:8" x14ac:dyDescent="0.3">
      <c r="H65514" t="str">
        <f t="shared" si="1073"/>
        <v/>
      </c>
    </row>
    <row r="65515" spans="8:8" x14ac:dyDescent="0.3">
      <c r="H65515" t="str">
        <f t="shared" si="1073"/>
        <v/>
      </c>
    </row>
    <row r="65516" spans="8:8" x14ac:dyDescent="0.3">
      <c r="H65516" t="str">
        <f t="shared" si="1073"/>
        <v/>
      </c>
    </row>
    <row r="65517" spans="8:8" x14ac:dyDescent="0.3">
      <c r="H65517" t="str">
        <f t="shared" si="1073"/>
        <v/>
      </c>
    </row>
    <row r="65518" spans="8:8" x14ac:dyDescent="0.3">
      <c r="H65518" t="str">
        <f t="shared" si="1073"/>
        <v/>
      </c>
    </row>
    <row r="65519" spans="8:8" x14ac:dyDescent="0.3">
      <c r="H65519" t="str">
        <f t="shared" si="1073"/>
        <v/>
      </c>
    </row>
    <row r="65520" spans="8:8" x14ac:dyDescent="0.3">
      <c r="H65520" t="str">
        <f t="shared" si="1073"/>
        <v/>
      </c>
    </row>
    <row r="65521" spans="8:8" x14ac:dyDescent="0.3">
      <c r="H65521" t="str">
        <f t="shared" si="1073"/>
        <v/>
      </c>
    </row>
    <row r="65522" spans="8:8" x14ac:dyDescent="0.3">
      <c r="H65522" t="str">
        <f t="shared" si="1073"/>
        <v/>
      </c>
    </row>
    <row r="65523" spans="8:8" x14ac:dyDescent="0.3">
      <c r="H65523" t="str">
        <f t="shared" si="1073"/>
        <v/>
      </c>
    </row>
    <row r="65524" spans="8:8" x14ac:dyDescent="0.3">
      <c r="H65524" t="str">
        <f t="shared" si="1073"/>
        <v/>
      </c>
    </row>
    <row r="65525" spans="8:8" x14ac:dyDescent="0.3">
      <c r="H65525" t="str">
        <f t="shared" si="1073"/>
        <v/>
      </c>
    </row>
    <row r="65526" spans="8:8" x14ac:dyDescent="0.3">
      <c r="H65526" t="str">
        <f t="shared" si="1073"/>
        <v/>
      </c>
    </row>
    <row r="65527" spans="8:8" x14ac:dyDescent="0.3">
      <c r="H65527" t="str">
        <f t="shared" si="1073"/>
        <v/>
      </c>
    </row>
    <row r="65528" spans="8:8" x14ac:dyDescent="0.3">
      <c r="H65528" t="str">
        <f t="shared" si="1073"/>
        <v/>
      </c>
    </row>
    <row r="65529" spans="8:8" x14ac:dyDescent="0.3">
      <c r="H65529" t="str">
        <f t="shared" si="1073"/>
        <v/>
      </c>
    </row>
    <row r="65530" spans="8:8" x14ac:dyDescent="0.3">
      <c r="H65530" t="str">
        <f t="shared" si="1073"/>
        <v/>
      </c>
    </row>
    <row r="65531" spans="8:8" x14ac:dyDescent="0.3">
      <c r="H65531" t="str">
        <f t="shared" si="1073"/>
        <v/>
      </c>
    </row>
    <row r="65532" spans="8:8" x14ac:dyDescent="0.3">
      <c r="H65532" t="str">
        <f t="shared" si="1073"/>
        <v/>
      </c>
    </row>
    <row r="65533" spans="8:8" x14ac:dyDescent="0.3">
      <c r="H65533" t="str">
        <f t="shared" si="1073"/>
        <v/>
      </c>
    </row>
    <row r="65534" spans="8:8" x14ac:dyDescent="0.3">
      <c r="H65534" t="str">
        <f t="shared" si="1073"/>
        <v/>
      </c>
    </row>
    <row r="65535" spans="8:8" x14ac:dyDescent="0.3">
      <c r="H65535" t="str">
        <f t="shared" si="1073"/>
        <v/>
      </c>
    </row>
    <row r="65536" spans="8:8" x14ac:dyDescent="0.3">
      <c r="H65536" t="str">
        <f t="shared" si="1073"/>
        <v/>
      </c>
    </row>
  </sheetData>
  <phoneticPr fontId="0" type="noConversion"/>
  <dataValidations count="2">
    <dataValidation type="list" allowBlank="1" showInputMessage="1" showErrorMessage="1" sqref="C9" xr:uid="{00000000-0002-0000-0400-000000000000}">
      <formula1>$AB$1:$AB$4</formula1>
    </dataValidation>
    <dataValidation type="list" allowBlank="1" showInputMessage="1" showErrorMessage="1" sqref="C10" xr:uid="{00000000-0002-0000-0400-000001000000}">
      <formula1>$AE$1:$AE$3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3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AK139"/>
  <sheetViews>
    <sheetView showGridLines="0" zoomScaleNormal="100" workbookViewId="0"/>
  </sheetViews>
  <sheetFormatPr baseColWidth="10" defaultRowHeight="12.45" x14ac:dyDescent="0.3"/>
  <cols>
    <col min="1" max="1" width="5" customWidth="1"/>
    <col min="6" max="6" width="19.84375" customWidth="1"/>
    <col min="7" max="7" width="11.53515625" bestFit="1" customWidth="1"/>
    <col min="8" max="8" width="13.84375" customWidth="1"/>
    <col min="9" max="9" width="18.69140625" customWidth="1"/>
    <col min="16" max="16" width="12.69140625" bestFit="1" customWidth="1"/>
    <col min="18" max="18" width="15.3046875" bestFit="1" customWidth="1"/>
  </cols>
  <sheetData>
    <row r="1" spans="1:37" x14ac:dyDescent="0.3">
      <c r="A1" s="96"/>
      <c r="AB1" s="22" t="s">
        <v>23</v>
      </c>
      <c r="AC1" s="22">
        <v>12</v>
      </c>
      <c r="AD1" s="22"/>
      <c r="AE1" s="22" t="s">
        <v>27</v>
      </c>
      <c r="AG1" s="22"/>
      <c r="AH1" s="22"/>
      <c r="AJ1" s="22"/>
      <c r="AK1" s="23"/>
    </row>
    <row r="2" spans="1:37" x14ac:dyDescent="0.3">
      <c r="B2" s="12" t="s">
        <v>22</v>
      </c>
      <c r="C2" s="94">
        <f>'Courbe des taux'!D2</f>
        <v>45296</v>
      </c>
      <c r="E2" s="12" t="s">
        <v>39</v>
      </c>
      <c r="F2" s="33">
        <v>100000000</v>
      </c>
      <c r="AB2" s="22" t="s">
        <v>24</v>
      </c>
      <c r="AC2" s="22">
        <v>6</v>
      </c>
      <c r="AD2" s="22"/>
      <c r="AE2" s="22" t="s">
        <v>28</v>
      </c>
      <c r="AG2" s="22"/>
      <c r="AH2" s="22"/>
      <c r="AJ2" s="22"/>
      <c r="AK2" s="23"/>
    </row>
    <row r="3" spans="1:37" x14ac:dyDescent="0.3">
      <c r="P3" s="18"/>
      <c r="AB3" s="22" t="s">
        <v>25</v>
      </c>
      <c r="AC3" s="22">
        <v>3</v>
      </c>
      <c r="AD3" s="22"/>
      <c r="AE3" s="22" t="s">
        <v>29</v>
      </c>
      <c r="AG3" s="22"/>
      <c r="AH3" s="22"/>
      <c r="AJ3" s="22"/>
      <c r="AK3" s="23"/>
    </row>
    <row r="4" spans="1:37" x14ac:dyDescent="0.3">
      <c r="AB4" s="22" t="s">
        <v>26</v>
      </c>
      <c r="AC4" s="22">
        <v>1</v>
      </c>
      <c r="AD4" s="22"/>
      <c r="AE4" s="22"/>
    </row>
    <row r="5" spans="1:37" x14ac:dyDescent="0.3">
      <c r="B5" s="12" t="s">
        <v>90</v>
      </c>
      <c r="C5" s="12"/>
      <c r="E5" s="12" t="s">
        <v>89</v>
      </c>
      <c r="F5" s="12"/>
      <c r="AB5" s="22"/>
      <c r="AC5" s="22"/>
      <c r="AD5" s="22"/>
      <c r="AE5" s="22"/>
    </row>
    <row r="6" spans="1:37" x14ac:dyDescent="0.3">
      <c r="B6" t="s">
        <v>91</v>
      </c>
      <c r="C6" s="17">
        <v>5</v>
      </c>
      <c r="E6" t="s">
        <v>41</v>
      </c>
      <c r="F6" s="25">
        <f>DATE(YEAR(C2)+C6,MONTH(C2),DAY(C2)+2)</f>
        <v>47125</v>
      </c>
    </row>
    <row r="7" spans="1:37" x14ac:dyDescent="0.3">
      <c r="B7" t="s">
        <v>92</v>
      </c>
      <c r="C7" s="17">
        <v>10</v>
      </c>
      <c r="E7" t="s">
        <v>42</v>
      </c>
      <c r="F7" s="25">
        <f>DATE(YEAR(F6)+C7,MONTH(F6),DAY(F6))</f>
        <v>50777</v>
      </c>
    </row>
    <row r="8" spans="1:37" x14ac:dyDescent="0.3">
      <c r="B8" t="s">
        <v>95</v>
      </c>
      <c r="C8" s="17" t="s">
        <v>96</v>
      </c>
    </row>
    <row r="9" spans="1:37" x14ac:dyDescent="0.3">
      <c r="B9" t="s">
        <v>64</v>
      </c>
      <c r="C9" s="49">
        <v>2.7344124766539371E-2</v>
      </c>
      <c r="E9" s="12" t="s">
        <v>90</v>
      </c>
      <c r="F9" s="4"/>
    </row>
    <row r="10" spans="1:37" ht="15" x14ac:dyDescent="0.35">
      <c r="B10" t="s">
        <v>88</v>
      </c>
      <c r="C10" s="17" t="s">
        <v>23</v>
      </c>
      <c r="E10" s="16" t="s">
        <v>93</v>
      </c>
      <c r="F10" s="35">
        <f>SUMPRODUCT(E19:E138,F19:F138)*F2</f>
        <v>762780467.28130734</v>
      </c>
    </row>
    <row r="11" spans="1:37" ht="15" x14ac:dyDescent="0.35">
      <c r="B11" t="s">
        <v>94</v>
      </c>
      <c r="C11" s="17" t="s">
        <v>29</v>
      </c>
      <c r="E11" s="16" t="s">
        <v>97</v>
      </c>
      <c r="F11" s="71">
        <f>(DF(F6-$C$2,Maturities,ZcRates)-DF(F7-$C$2,Maturities,ZcRates))/SUMPRODUCT(E19:E138,F19:F138)</f>
        <v>2.7344267557921222E-2</v>
      </c>
    </row>
    <row r="12" spans="1:37" ht="18" thickBot="1" x14ac:dyDescent="0.45">
      <c r="B12" s="16" t="s">
        <v>120</v>
      </c>
      <c r="C12" s="14">
        <v>8.8999999999999999E-3</v>
      </c>
      <c r="E12" s="37" t="s">
        <v>90</v>
      </c>
      <c r="F12" s="36">
        <f>IF(C8="PAYEUSE",NORMcall((B19-C2)/365,C9,F11,C12)*F10,Normput((B19-C2)/365,C9,F11,C12)*F10)</f>
        <v>6059354.76771471</v>
      </c>
    </row>
    <row r="16" spans="1:37" ht="12.9" x14ac:dyDescent="0.35">
      <c r="B16" s="13" t="s">
        <v>87</v>
      </c>
    </row>
    <row r="18" spans="2:8" x14ac:dyDescent="0.3">
      <c r="B18" s="27" t="s">
        <v>55</v>
      </c>
      <c r="C18" s="27" t="s">
        <v>46</v>
      </c>
      <c r="D18" s="27" t="s">
        <v>47</v>
      </c>
      <c r="E18" s="27" t="s">
        <v>56</v>
      </c>
      <c r="F18" s="27" t="s">
        <v>54</v>
      </c>
      <c r="H18" s="29"/>
    </row>
    <row r="19" spans="2:8" x14ac:dyDescent="0.3">
      <c r="B19" s="97">
        <f t="shared" ref="B19:B50" si="0">IF(C19="","",C19-2)</f>
        <v>47123</v>
      </c>
      <c r="C19" s="97">
        <f>F6</f>
        <v>47125</v>
      </c>
      <c r="D19" s="97">
        <f t="shared" ref="D19:D50" si="1">IF(C19="","",DATE(YEAR(C19),MONTH(C19)+VLOOKUP($C$10,$AB$1:$AC$4,2,FALSE),DAY(C19)))</f>
        <v>47490</v>
      </c>
      <c r="E19" s="8">
        <f t="shared" ref="E19:E50" si="2">IF(B19="","",IF($C$11="30/360",DAYS360(C19,D19)/360,IF($C$11="ACT/360",(D19-C19)/360,IF($C$11="ACT/365",(D19-C19)/365))))</f>
        <v>1</v>
      </c>
      <c r="F19" s="8">
        <f t="shared" ref="F19:F50" si="3">IF(B19="","",DF(D19-$C$2,Maturities,ZcRates))</f>
        <v>0.85835274279133356</v>
      </c>
    </row>
    <row r="20" spans="2:8" x14ac:dyDescent="0.3">
      <c r="B20" s="97">
        <f t="shared" si="0"/>
        <v>47488</v>
      </c>
      <c r="C20" s="97">
        <f t="shared" ref="C20:C51" si="4">IF(OR(D19=$F$7,D19=""),"",D19)</f>
        <v>47490</v>
      </c>
      <c r="D20" s="97">
        <f t="shared" si="1"/>
        <v>47855</v>
      </c>
      <c r="E20" s="8">
        <f t="shared" si="2"/>
        <v>1</v>
      </c>
      <c r="F20" s="8">
        <f t="shared" si="3"/>
        <v>0.83703090565271954</v>
      </c>
      <c r="G20" s="8"/>
    </row>
    <row r="21" spans="2:8" x14ac:dyDescent="0.3">
      <c r="B21" s="97">
        <f t="shared" si="0"/>
        <v>47853</v>
      </c>
      <c r="C21" s="97">
        <f t="shared" si="4"/>
        <v>47855</v>
      </c>
      <c r="D21" s="97">
        <f t="shared" si="1"/>
        <v>48220</v>
      </c>
      <c r="E21" s="8">
        <f t="shared" si="2"/>
        <v>1</v>
      </c>
      <c r="F21" s="8">
        <f t="shared" si="3"/>
        <v>0.81505277236275409</v>
      </c>
      <c r="G21" s="8"/>
    </row>
    <row r="22" spans="2:8" x14ac:dyDescent="0.3">
      <c r="B22" s="97">
        <f t="shared" si="0"/>
        <v>48218</v>
      </c>
      <c r="C22" s="97">
        <f t="shared" si="4"/>
        <v>48220</v>
      </c>
      <c r="D22" s="97">
        <f t="shared" si="1"/>
        <v>48586</v>
      </c>
      <c r="E22" s="8">
        <f t="shared" si="2"/>
        <v>1</v>
      </c>
      <c r="F22" s="8">
        <f t="shared" si="3"/>
        <v>0.79342115580509442</v>
      </c>
      <c r="G22" s="8"/>
    </row>
    <row r="23" spans="2:8" x14ac:dyDescent="0.3">
      <c r="B23" s="97">
        <f t="shared" si="0"/>
        <v>48584</v>
      </c>
      <c r="C23" s="97">
        <f t="shared" si="4"/>
        <v>48586</v>
      </c>
      <c r="D23" s="97">
        <f t="shared" si="1"/>
        <v>48951</v>
      </c>
      <c r="E23" s="8">
        <f t="shared" si="2"/>
        <v>1</v>
      </c>
      <c r="F23" s="8">
        <f t="shared" si="3"/>
        <v>0.7721356407665636</v>
      </c>
      <c r="G23" s="8"/>
    </row>
    <row r="24" spans="2:8" x14ac:dyDescent="0.3">
      <c r="B24" s="97">
        <f t="shared" si="0"/>
        <v>48949</v>
      </c>
      <c r="C24" s="97">
        <f t="shared" si="4"/>
        <v>48951</v>
      </c>
      <c r="D24" s="97">
        <f t="shared" si="1"/>
        <v>49316</v>
      </c>
      <c r="E24" s="8">
        <f t="shared" si="2"/>
        <v>1</v>
      </c>
      <c r="F24" s="8">
        <f t="shared" si="3"/>
        <v>0.75058249392316667</v>
      </c>
      <c r="G24" s="8"/>
    </row>
    <row r="25" spans="2:8" x14ac:dyDescent="0.3">
      <c r="B25" s="97">
        <f t="shared" si="0"/>
        <v>49314</v>
      </c>
      <c r="C25" s="97">
        <f t="shared" si="4"/>
        <v>49316</v>
      </c>
      <c r="D25" s="97">
        <f t="shared" si="1"/>
        <v>49681</v>
      </c>
      <c r="E25" s="8">
        <f t="shared" si="2"/>
        <v>1</v>
      </c>
      <c r="F25" s="8">
        <f t="shared" si="3"/>
        <v>0.72929535205587148</v>
      </c>
      <c r="G25" s="8"/>
    </row>
    <row r="26" spans="2:8" x14ac:dyDescent="0.3">
      <c r="B26" s="97">
        <f t="shared" si="0"/>
        <v>49679</v>
      </c>
      <c r="C26" s="97">
        <f t="shared" si="4"/>
        <v>49681</v>
      </c>
      <c r="D26" s="97">
        <f t="shared" si="1"/>
        <v>50047</v>
      </c>
      <c r="E26" s="8">
        <f t="shared" si="2"/>
        <v>1</v>
      </c>
      <c r="F26" s="8">
        <f t="shared" si="3"/>
        <v>0.70969230895928237</v>
      </c>
      <c r="G26" s="8"/>
    </row>
    <row r="27" spans="2:8" x14ac:dyDescent="0.3">
      <c r="B27" s="97">
        <f t="shared" si="0"/>
        <v>50045</v>
      </c>
      <c r="C27" s="97">
        <f t="shared" si="4"/>
        <v>50047</v>
      </c>
      <c r="D27" s="97">
        <f t="shared" si="1"/>
        <v>50412</v>
      </c>
      <c r="E27" s="8">
        <f t="shared" si="2"/>
        <v>1</v>
      </c>
      <c r="F27" s="8">
        <f t="shared" si="3"/>
        <v>0.69050751374684738</v>
      </c>
      <c r="G27" s="8"/>
    </row>
    <row r="28" spans="2:8" x14ac:dyDescent="0.3">
      <c r="B28" s="97">
        <f t="shared" si="0"/>
        <v>50410</v>
      </c>
      <c r="C28" s="97">
        <f t="shared" si="4"/>
        <v>50412</v>
      </c>
      <c r="D28" s="97">
        <f t="shared" si="1"/>
        <v>50777</v>
      </c>
      <c r="E28" s="8">
        <f t="shared" si="2"/>
        <v>1</v>
      </c>
      <c r="F28" s="8">
        <f t="shared" si="3"/>
        <v>0.67173378674944006</v>
      </c>
      <c r="G28" s="8"/>
    </row>
    <row r="29" spans="2:8" x14ac:dyDescent="0.3">
      <c r="B29" s="97" t="str">
        <f t="shared" si="0"/>
        <v/>
      </c>
      <c r="C29" s="97" t="str">
        <f t="shared" si="4"/>
        <v/>
      </c>
      <c r="D29" s="97" t="str">
        <f t="shared" si="1"/>
        <v/>
      </c>
      <c r="E29" s="8" t="str">
        <f t="shared" si="2"/>
        <v/>
      </c>
      <c r="F29" s="8" t="str">
        <f t="shared" si="3"/>
        <v/>
      </c>
      <c r="G29" s="8"/>
      <c r="H29" s="21"/>
    </row>
    <row r="30" spans="2:8" x14ac:dyDescent="0.3">
      <c r="B30" s="97" t="str">
        <f t="shared" si="0"/>
        <v/>
      </c>
      <c r="C30" s="97" t="str">
        <f t="shared" si="4"/>
        <v/>
      </c>
      <c r="D30" s="97" t="str">
        <f t="shared" si="1"/>
        <v/>
      </c>
      <c r="E30" s="8" t="str">
        <f t="shared" si="2"/>
        <v/>
      </c>
      <c r="F30" s="8" t="str">
        <f t="shared" si="3"/>
        <v/>
      </c>
      <c r="G30" s="8"/>
      <c r="H30" s="21"/>
    </row>
    <row r="31" spans="2:8" x14ac:dyDescent="0.3">
      <c r="B31" s="97" t="str">
        <f t="shared" si="0"/>
        <v/>
      </c>
      <c r="C31" s="97" t="str">
        <f t="shared" si="4"/>
        <v/>
      </c>
      <c r="D31" s="97" t="str">
        <f t="shared" si="1"/>
        <v/>
      </c>
      <c r="E31" s="8" t="str">
        <f t="shared" si="2"/>
        <v/>
      </c>
      <c r="F31" s="8" t="str">
        <f t="shared" si="3"/>
        <v/>
      </c>
      <c r="G31" s="8"/>
      <c r="H31" s="21"/>
    </row>
    <row r="32" spans="2:8" x14ac:dyDescent="0.3">
      <c r="B32" s="97" t="str">
        <f t="shared" si="0"/>
        <v/>
      </c>
      <c r="C32" s="97" t="str">
        <f t="shared" si="4"/>
        <v/>
      </c>
      <c r="D32" s="97" t="str">
        <f t="shared" si="1"/>
        <v/>
      </c>
      <c r="E32" s="8" t="str">
        <f t="shared" si="2"/>
        <v/>
      </c>
      <c r="F32" s="8" t="str">
        <f t="shared" si="3"/>
        <v/>
      </c>
      <c r="G32" s="8"/>
      <c r="H32" s="21"/>
    </row>
    <row r="33" spans="2:8" x14ac:dyDescent="0.3">
      <c r="B33" s="97" t="str">
        <f t="shared" si="0"/>
        <v/>
      </c>
      <c r="C33" s="97" t="str">
        <f t="shared" si="4"/>
        <v/>
      </c>
      <c r="D33" s="97" t="str">
        <f t="shared" si="1"/>
        <v/>
      </c>
      <c r="E33" s="8" t="str">
        <f t="shared" si="2"/>
        <v/>
      </c>
      <c r="F33" s="8" t="str">
        <f t="shared" si="3"/>
        <v/>
      </c>
      <c r="G33" s="8"/>
      <c r="H33" s="21"/>
    </row>
    <row r="34" spans="2:8" x14ac:dyDescent="0.3">
      <c r="B34" s="97" t="str">
        <f t="shared" si="0"/>
        <v/>
      </c>
      <c r="C34" s="97" t="str">
        <f t="shared" si="4"/>
        <v/>
      </c>
      <c r="D34" s="97" t="str">
        <f t="shared" si="1"/>
        <v/>
      </c>
      <c r="E34" s="8" t="str">
        <f t="shared" si="2"/>
        <v/>
      </c>
      <c r="F34" s="8" t="str">
        <f t="shared" si="3"/>
        <v/>
      </c>
      <c r="G34" s="8"/>
      <c r="H34" s="21"/>
    </row>
    <row r="35" spans="2:8" x14ac:dyDescent="0.3">
      <c r="B35" s="97" t="str">
        <f t="shared" si="0"/>
        <v/>
      </c>
      <c r="C35" s="97" t="str">
        <f t="shared" si="4"/>
        <v/>
      </c>
      <c r="D35" s="97" t="str">
        <f t="shared" si="1"/>
        <v/>
      </c>
      <c r="E35" s="8" t="str">
        <f t="shared" si="2"/>
        <v/>
      </c>
      <c r="F35" s="8" t="str">
        <f t="shared" si="3"/>
        <v/>
      </c>
      <c r="G35" s="8"/>
      <c r="H35" s="21"/>
    </row>
    <row r="36" spans="2:8" x14ac:dyDescent="0.3">
      <c r="B36" s="97" t="str">
        <f t="shared" si="0"/>
        <v/>
      </c>
      <c r="C36" s="97" t="str">
        <f t="shared" si="4"/>
        <v/>
      </c>
      <c r="D36" s="97" t="str">
        <f t="shared" si="1"/>
        <v/>
      </c>
      <c r="E36" s="8" t="str">
        <f t="shared" si="2"/>
        <v/>
      </c>
      <c r="F36" s="8" t="str">
        <f t="shared" si="3"/>
        <v/>
      </c>
      <c r="G36" s="8"/>
      <c r="H36" s="21"/>
    </row>
    <row r="37" spans="2:8" x14ac:dyDescent="0.3">
      <c r="B37" s="97" t="str">
        <f t="shared" si="0"/>
        <v/>
      </c>
      <c r="C37" s="97" t="str">
        <f t="shared" si="4"/>
        <v/>
      </c>
      <c r="D37" s="97" t="str">
        <f t="shared" si="1"/>
        <v/>
      </c>
      <c r="E37" s="8" t="str">
        <f t="shared" si="2"/>
        <v/>
      </c>
      <c r="F37" s="8" t="str">
        <f t="shared" si="3"/>
        <v/>
      </c>
      <c r="G37" s="8"/>
      <c r="H37" s="21"/>
    </row>
    <row r="38" spans="2:8" x14ac:dyDescent="0.3">
      <c r="B38" s="97" t="str">
        <f t="shared" si="0"/>
        <v/>
      </c>
      <c r="C38" s="97" t="str">
        <f t="shared" si="4"/>
        <v/>
      </c>
      <c r="D38" s="97" t="str">
        <f t="shared" si="1"/>
        <v/>
      </c>
      <c r="E38" s="8" t="str">
        <f t="shared" si="2"/>
        <v/>
      </c>
      <c r="F38" s="8" t="str">
        <f t="shared" si="3"/>
        <v/>
      </c>
      <c r="G38" s="8"/>
      <c r="H38" s="21"/>
    </row>
    <row r="39" spans="2:8" x14ac:dyDescent="0.3">
      <c r="B39" s="97" t="str">
        <f t="shared" si="0"/>
        <v/>
      </c>
      <c r="C39" s="97" t="str">
        <f t="shared" si="4"/>
        <v/>
      </c>
      <c r="D39" s="97" t="str">
        <f t="shared" si="1"/>
        <v/>
      </c>
      <c r="E39" s="8" t="str">
        <f t="shared" si="2"/>
        <v/>
      </c>
      <c r="F39" s="8" t="str">
        <f t="shared" si="3"/>
        <v/>
      </c>
      <c r="G39" s="8"/>
      <c r="H39" s="21"/>
    </row>
    <row r="40" spans="2:8" x14ac:dyDescent="0.3">
      <c r="B40" s="97" t="str">
        <f t="shared" si="0"/>
        <v/>
      </c>
      <c r="C40" s="97" t="str">
        <f t="shared" si="4"/>
        <v/>
      </c>
      <c r="D40" s="97" t="str">
        <f t="shared" si="1"/>
        <v/>
      </c>
      <c r="E40" s="8" t="str">
        <f t="shared" si="2"/>
        <v/>
      </c>
      <c r="F40" s="8" t="str">
        <f t="shared" si="3"/>
        <v/>
      </c>
      <c r="G40" s="8"/>
      <c r="H40" s="21"/>
    </row>
    <row r="41" spans="2:8" x14ac:dyDescent="0.3">
      <c r="B41" s="97" t="str">
        <f t="shared" si="0"/>
        <v/>
      </c>
      <c r="C41" s="97" t="str">
        <f t="shared" si="4"/>
        <v/>
      </c>
      <c r="D41" s="97" t="str">
        <f t="shared" si="1"/>
        <v/>
      </c>
      <c r="E41" s="8" t="str">
        <f t="shared" si="2"/>
        <v/>
      </c>
      <c r="F41" s="8" t="str">
        <f t="shared" si="3"/>
        <v/>
      </c>
      <c r="G41" s="8"/>
      <c r="H41" s="21"/>
    </row>
    <row r="42" spans="2:8" x14ac:dyDescent="0.3">
      <c r="B42" s="97" t="str">
        <f t="shared" si="0"/>
        <v/>
      </c>
      <c r="C42" s="97" t="str">
        <f t="shared" si="4"/>
        <v/>
      </c>
      <c r="D42" s="97" t="str">
        <f t="shared" si="1"/>
        <v/>
      </c>
      <c r="E42" s="8" t="str">
        <f t="shared" si="2"/>
        <v/>
      </c>
      <c r="F42" s="8" t="str">
        <f t="shared" si="3"/>
        <v/>
      </c>
      <c r="G42" s="8"/>
      <c r="H42" s="21"/>
    </row>
    <row r="43" spans="2:8" x14ac:dyDescent="0.3">
      <c r="B43" s="97" t="str">
        <f t="shared" si="0"/>
        <v/>
      </c>
      <c r="C43" s="97" t="str">
        <f t="shared" si="4"/>
        <v/>
      </c>
      <c r="D43" s="97" t="str">
        <f t="shared" si="1"/>
        <v/>
      </c>
      <c r="E43" s="8" t="str">
        <f t="shared" si="2"/>
        <v/>
      </c>
      <c r="F43" s="8" t="str">
        <f t="shared" si="3"/>
        <v/>
      </c>
      <c r="G43" s="8"/>
      <c r="H43" s="21"/>
    </row>
    <row r="44" spans="2:8" x14ac:dyDescent="0.3">
      <c r="B44" s="97" t="str">
        <f t="shared" si="0"/>
        <v/>
      </c>
      <c r="C44" s="97" t="str">
        <f t="shared" si="4"/>
        <v/>
      </c>
      <c r="D44" s="97" t="str">
        <f t="shared" si="1"/>
        <v/>
      </c>
      <c r="E44" s="8" t="str">
        <f t="shared" si="2"/>
        <v/>
      </c>
      <c r="F44" s="8" t="str">
        <f t="shared" si="3"/>
        <v/>
      </c>
      <c r="G44" s="8"/>
      <c r="H44" s="21"/>
    </row>
    <row r="45" spans="2:8" x14ac:dyDescent="0.3">
      <c r="B45" s="97" t="str">
        <f t="shared" si="0"/>
        <v/>
      </c>
      <c r="C45" s="97" t="str">
        <f t="shared" si="4"/>
        <v/>
      </c>
      <c r="D45" s="97" t="str">
        <f t="shared" si="1"/>
        <v/>
      </c>
      <c r="E45" s="8" t="str">
        <f t="shared" si="2"/>
        <v/>
      </c>
      <c r="F45" s="8" t="str">
        <f t="shared" si="3"/>
        <v/>
      </c>
      <c r="G45" s="8"/>
      <c r="H45" s="21"/>
    </row>
    <row r="46" spans="2:8" x14ac:dyDescent="0.3">
      <c r="B46" s="97" t="str">
        <f t="shared" si="0"/>
        <v/>
      </c>
      <c r="C46" s="97" t="str">
        <f t="shared" si="4"/>
        <v/>
      </c>
      <c r="D46" s="97" t="str">
        <f t="shared" si="1"/>
        <v/>
      </c>
      <c r="E46" s="8" t="str">
        <f t="shared" si="2"/>
        <v/>
      </c>
      <c r="F46" s="8" t="str">
        <f t="shared" si="3"/>
        <v/>
      </c>
      <c r="G46" s="8"/>
      <c r="H46" s="21"/>
    </row>
    <row r="47" spans="2:8" x14ac:dyDescent="0.3">
      <c r="B47" s="97" t="str">
        <f t="shared" si="0"/>
        <v/>
      </c>
      <c r="C47" s="97" t="str">
        <f t="shared" si="4"/>
        <v/>
      </c>
      <c r="D47" s="97" t="str">
        <f t="shared" si="1"/>
        <v/>
      </c>
      <c r="E47" s="8" t="str">
        <f t="shared" si="2"/>
        <v/>
      </c>
      <c r="F47" s="8" t="str">
        <f t="shared" si="3"/>
        <v/>
      </c>
      <c r="G47" s="8"/>
      <c r="H47" s="21"/>
    </row>
    <row r="48" spans="2:8" x14ac:dyDescent="0.3">
      <c r="B48" s="97" t="str">
        <f t="shared" si="0"/>
        <v/>
      </c>
      <c r="C48" s="97" t="str">
        <f t="shared" si="4"/>
        <v/>
      </c>
      <c r="D48" s="97" t="str">
        <f t="shared" si="1"/>
        <v/>
      </c>
      <c r="E48" s="8" t="str">
        <f t="shared" si="2"/>
        <v/>
      </c>
      <c r="F48" s="8" t="str">
        <f t="shared" si="3"/>
        <v/>
      </c>
      <c r="G48" s="8"/>
      <c r="H48" s="21"/>
    </row>
    <row r="49" spans="2:8" x14ac:dyDescent="0.3">
      <c r="B49" s="97" t="str">
        <f t="shared" si="0"/>
        <v/>
      </c>
      <c r="C49" s="97" t="str">
        <f t="shared" si="4"/>
        <v/>
      </c>
      <c r="D49" s="97" t="str">
        <f t="shared" si="1"/>
        <v/>
      </c>
      <c r="E49" s="8" t="str">
        <f t="shared" si="2"/>
        <v/>
      </c>
      <c r="F49" s="8" t="str">
        <f t="shared" si="3"/>
        <v/>
      </c>
      <c r="G49" s="8"/>
      <c r="H49" s="21"/>
    </row>
    <row r="50" spans="2:8" x14ac:dyDescent="0.3">
      <c r="B50" s="97" t="str">
        <f t="shared" si="0"/>
        <v/>
      </c>
      <c r="C50" s="97" t="str">
        <f t="shared" si="4"/>
        <v/>
      </c>
      <c r="D50" s="97" t="str">
        <f t="shared" si="1"/>
        <v/>
      </c>
      <c r="E50" s="8" t="str">
        <f t="shared" si="2"/>
        <v/>
      </c>
      <c r="F50" s="8" t="str">
        <f t="shared" si="3"/>
        <v/>
      </c>
      <c r="G50" s="8"/>
      <c r="H50" s="21"/>
    </row>
    <row r="51" spans="2:8" x14ac:dyDescent="0.3">
      <c r="B51" s="97" t="str">
        <f t="shared" ref="B51:B82" si="5">IF(C51="","",C51-2)</f>
        <v/>
      </c>
      <c r="C51" s="97" t="str">
        <f t="shared" si="4"/>
        <v/>
      </c>
      <c r="D51" s="97" t="str">
        <f t="shared" ref="D51:D82" si="6">IF(C51="","",DATE(YEAR(C51),MONTH(C51)+VLOOKUP($C$10,$AB$1:$AC$4,2,FALSE),DAY(C51)))</f>
        <v/>
      </c>
      <c r="E51" s="8" t="str">
        <f t="shared" ref="E51:E82" si="7">IF(B51="","",IF($C$11="30/360",DAYS360(C51,D51)/360,IF($C$11="ACT/360",(D51-C51)/360,IF($C$11="ACT/365",(D51-C51)/365))))</f>
        <v/>
      </c>
      <c r="F51" s="8" t="str">
        <f t="shared" ref="F51:F82" si="8">IF(B51="","",DF(D51-$C$2,Maturities,ZcRates))</f>
        <v/>
      </c>
      <c r="G51" s="8"/>
      <c r="H51" s="21"/>
    </row>
    <row r="52" spans="2:8" x14ac:dyDescent="0.3">
      <c r="B52" s="97" t="str">
        <f t="shared" si="5"/>
        <v/>
      </c>
      <c r="C52" s="97" t="str">
        <f t="shared" ref="C52:C83" si="9">IF(OR(D51=$F$7,D51=""),"",D51)</f>
        <v/>
      </c>
      <c r="D52" s="97" t="str">
        <f t="shared" si="6"/>
        <v/>
      </c>
      <c r="E52" s="8" t="str">
        <f t="shared" si="7"/>
        <v/>
      </c>
      <c r="F52" s="8" t="str">
        <f t="shared" si="8"/>
        <v/>
      </c>
      <c r="G52" s="8"/>
      <c r="H52" s="21"/>
    </row>
    <row r="53" spans="2:8" x14ac:dyDescent="0.3">
      <c r="B53" s="97" t="str">
        <f t="shared" si="5"/>
        <v/>
      </c>
      <c r="C53" s="97" t="str">
        <f t="shared" si="9"/>
        <v/>
      </c>
      <c r="D53" s="97" t="str">
        <f t="shared" si="6"/>
        <v/>
      </c>
      <c r="E53" s="8" t="str">
        <f t="shared" si="7"/>
        <v/>
      </c>
      <c r="F53" s="8" t="str">
        <f t="shared" si="8"/>
        <v/>
      </c>
      <c r="G53" s="8"/>
      <c r="H53" s="21"/>
    </row>
    <row r="54" spans="2:8" x14ac:dyDescent="0.3">
      <c r="B54" s="97" t="str">
        <f t="shared" si="5"/>
        <v/>
      </c>
      <c r="C54" s="97" t="str">
        <f t="shared" si="9"/>
        <v/>
      </c>
      <c r="D54" s="97" t="str">
        <f t="shared" si="6"/>
        <v/>
      </c>
      <c r="E54" s="8" t="str">
        <f t="shared" si="7"/>
        <v/>
      </c>
      <c r="F54" s="8" t="str">
        <f t="shared" si="8"/>
        <v/>
      </c>
      <c r="G54" s="8"/>
      <c r="H54" s="21"/>
    </row>
    <row r="55" spans="2:8" x14ac:dyDescent="0.3">
      <c r="B55" s="97" t="str">
        <f t="shared" si="5"/>
        <v/>
      </c>
      <c r="C55" s="97" t="str">
        <f t="shared" si="9"/>
        <v/>
      </c>
      <c r="D55" s="97" t="str">
        <f t="shared" si="6"/>
        <v/>
      </c>
      <c r="E55" s="8" t="str">
        <f t="shared" si="7"/>
        <v/>
      </c>
      <c r="F55" s="8" t="str">
        <f t="shared" si="8"/>
        <v/>
      </c>
      <c r="G55" s="8"/>
      <c r="H55" s="21"/>
    </row>
    <row r="56" spans="2:8" x14ac:dyDescent="0.3">
      <c r="B56" s="97" t="str">
        <f t="shared" si="5"/>
        <v/>
      </c>
      <c r="C56" s="97" t="str">
        <f t="shared" si="9"/>
        <v/>
      </c>
      <c r="D56" s="97" t="str">
        <f t="shared" si="6"/>
        <v/>
      </c>
      <c r="E56" s="8" t="str">
        <f t="shared" si="7"/>
        <v/>
      </c>
      <c r="F56" s="8" t="str">
        <f t="shared" si="8"/>
        <v/>
      </c>
      <c r="G56" s="8"/>
      <c r="H56" s="21"/>
    </row>
    <row r="57" spans="2:8" x14ac:dyDescent="0.3">
      <c r="B57" s="97" t="str">
        <f t="shared" si="5"/>
        <v/>
      </c>
      <c r="C57" s="97" t="str">
        <f t="shared" si="9"/>
        <v/>
      </c>
      <c r="D57" s="97" t="str">
        <f t="shared" si="6"/>
        <v/>
      </c>
      <c r="E57" s="8" t="str">
        <f t="shared" si="7"/>
        <v/>
      </c>
      <c r="F57" s="8" t="str">
        <f t="shared" si="8"/>
        <v/>
      </c>
      <c r="G57" s="8"/>
      <c r="H57" s="21"/>
    </row>
    <row r="58" spans="2:8" x14ac:dyDescent="0.3">
      <c r="B58" s="97" t="str">
        <f t="shared" si="5"/>
        <v/>
      </c>
      <c r="C58" s="97" t="str">
        <f t="shared" si="9"/>
        <v/>
      </c>
      <c r="D58" s="97" t="str">
        <f t="shared" si="6"/>
        <v/>
      </c>
      <c r="E58" s="8" t="str">
        <f t="shared" si="7"/>
        <v/>
      </c>
      <c r="F58" s="8" t="str">
        <f t="shared" si="8"/>
        <v/>
      </c>
      <c r="G58" s="8"/>
      <c r="H58" s="21"/>
    </row>
    <row r="59" spans="2:8" x14ac:dyDescent="0.3">
      <c r="B59" s="97" t="str">
        <f t="shared" si="5"/>
        <v/>
      </c>
      <c r="C59" s="97" t="str">
        <f t="shared" si="9"/>
        <v/>
      </c>
      <c r="D59" s="97" t="str">
        <f t="shared" si="6"/>
        <v/>
      </c>
      <c r="E59" s="8" t="str">
        <f t="shared" si="7"/>
        <v/>
      </c>
      <c r="F59" s="8" t="str">
        <f t="shared" si="8"/>
        <v/>
      </c>
      <c r="G59" s="8"/>
      <c r="H59" s="21"/>
    </row>
    <row r="60" spans="2:8" x14ac:dyDescent="0.3">
      <c r="B60" s="97" t="str">
        <f t="shared" si="5"/>
        <v/>
      </c>
      <c r="C60" s="97" t="str">
        <f t="shared" si="9"/>
        <v/>
      </c>
      <c r="D60" s="97" t="str">
        <f t="shared" si="6"/>
        <v/>
      </c>
      <c r="E60" s="8" t="str">
        <f t="shared" si="7"/>
        <v/>
      </c>
      <c r="F60" s="8" t="str">
        <f t="shared" si="8"/>
        <v/>
      </c>
      <c r="G60" s="8"/>
      <c r="H60" s="21"/>
    </row>
    <row r="61" spans="2:8" x14ac:dyDescent="0.3">
      <c r="B61" s="97" t="str">
        <f t="shared" si="5"/>
        <v/>
      </c>
      <c r="C61" s="97" t="str">
        <f t="shared" si="9"/>
        <v/>
      </c>
      <c r="D61" s="97" t="str">
        <f t="shared" si="6"/>
        <v/>
      </c>
      <c r="E61" s="8" t="str">
        <f t="shared" si="7"/>
        <v/>
      </c>
      <c r="F61" s="8" t="str">
        <f t="shared" si="8"/>
        <v/>
      </c>
      <c r="G61" s="8"/>
      <c r="H61" s="21"/>
    </row>
    <row r="62" spans="2:8" x14ac:dyDescent="0.3">
      <c r="B62" s="97" t="str">
        <f t="shared" si="5"/>
        <v/>
      </c>
      <c r="C62" s="97" t="str">
        <f t="shared" si="9"/>
        <v/>
      </c>
      <c r="D62" s="97" t="str">
        <f t="shared" si="6"/>
        <v/>
      </c>
      <c r="E62" s="8" t="str">
        <f t="shared" si="7"/>
        <v/>
      </c>
      <c r="F62" s="8" t="str">
        <f t="shared" si="8"/>
        <v/>
      </c>
      <c r="G62" s="8"/>
      <c r="H62" s="21"/>
    </row>
    <row r="63" spans="2:8" x14ac:dyDescent="0.3">
      <c r="B63" s="97" t="str">
        <f t="shared" si="5"/>
        <v/>
      </c>
      <c r="C63" s="97" t="str">
        <f t="shared" si="9"/>
        <v/>
      </c>
      <c r="D63" s="97" t="str">
        <f t="shared" si="6"/>
        <v/>
      </c>
      <c r="E63" s="8" t="str">
        <f t="shared" si="7"/>
        <v/>
      </c>
      <c r="F63" s="8" t="str">
        <f t="shared" si="8"/>
        <v/>
      </c>
      <c r="G63" s="8"/>
      <c r="H63" s="21"/>
    </row>
    <row r="64" spans="2:8" x14ac:dyDescent="0.3">
      <c r="B64" s="97" t="str">
        <f t="shared" si="5"/>
        <v/>
      </c>
      <c r="C64" s="97" t="str">
        <f t="shared" si="9"/>
        <v/>
      </c>
      <c r="D64" s="97" t="str">
        <f t="shared" si="6"/>
        <v/>
      </c>
      <c r="E64" s="8" t="str">
        <f t="shared" si="7"/>
        <v/>
      </c>
      <c r="F64" s="8" t="str">
        <f t="shared" si="8"/>
        <v/>
      </c>
      <c r="G64" s="8"/>
      <c r="H64" s="21"/>
    </row>
    <row r="65" spans="2:8" x14ac:dyDescent="0.3">
      <c r="B65" s="97" t="str">
        <f t="shared" si="5"/>
        <v/>
      </c>
      <c r="C65" s="97" t="str">
        <f t="shared" si="9"/>
        <v/>
      </c>
      <c r="D65" s="97" t="str">
        <f t="shared" si="6"/>
        <v/>
      </c>
      <c r="E65" s="8" t="str">
        <f t="shared" si="7"/>
        <v/>
      </c>
      <c r="F65" s="8" t="str">
        <f t="shared" si="8"/>
        <v/>
      </c>
      <c r="G65" s="8"/>
      <c r="H65" s="21"/>
    </row>
    <row r="66" spans="2:8" x14ac:dyDescent="0.3">
      <c r="B66" s="97" t="str">
        <f t="shared" si="5"/>
        <v/>
      </c>
      <c r="C66" s="97" t="str">
        <f t="shared" si="9"/>
        <v/>
      </c>
      <c r="D66" s="97" t="str">
        <f t="shared" si="6"/>
        <v/>
      </c>
      <c r="E66" s="8" t="str">
        <f t="shared" si="7"/>
        <v/>
      </c>
      <c r="F66" s="8" t="str">
        <f t="shared" si="8"/>
        <v/>
      </c>
      <c r="G66" s="8"/>
      <c r="H66" s="21"/>
    </row>
    <row r="67" spans="2:8" x14ac:dyDescent="0.3">
      <c r="B67" s="97" t="str">
        <f t="shared" si="5"/>
        <v/>
      </c>
      <c r="C67" s="97" t="str">
        <f t="shared" si="9"/>
        <v/>
      </c>
      <c r="D67" s="97" t="str">
        <f t="shared" si="6"/>
        <v/>
      </c>
      <c r="E67" s="8" t="str">
        <f t="shared" si="7"/>
        <v/>
      </c>
      <c r="F67" s="8" t="str">
        <f t="shared" si="8"/>
        <v/>
      </c>
      <c r="G67" s="8"/>
      <c r="H67" s="21"/>
    </row>
    <row r="68" spans="2:8" x14ac:dyDescent="0.3">
      <c r="B68" s="97" t="str">
        <f t="shared" si="5"/>
        <v/>
      </c>
      <c r="C68" s="97" t="str">
        <f t="shared" si="9"/>
        <v/>
      </c>
      <c r="D68" s="97" t="str">
        <f t="shared" si="6"/>
        <v/>
      </c>
      <c r="E68" s="8" t="str">
        <f t="shared" si="7"/>
        <v/>
      </c>
      <c r="F68" s="8" t="str">
        <f t="shared" si="8"/>
        <v/>
      </c>
      <c r="G68" s="8"/>
      <c r="H68" s="21"/>
    </row>
    <row r="69" spans="2:8" x14ac:dyDescent="0.3">
      <c r="B69" s="97" t="str">
        <f t="shared" si="5"/>
        <v/>
      </c>
      <c r="C69" s="97" t="str">
        <f t="shared" si="9"/>
        <v/>
      </c>
      <c r="D69" s="97" t="str">
        <f t="shared" si="6"/>
        <v/>
      </c>
      <c r="E69" s="8" t="str">
        <f t="shared" si="7"/>
        <v/>
      </c>
      <c r="F69" s="8" t="str">
        <f t="shared" si="8"/>
        <v/>
      </c>
      <c r="G69" s="8"/>
      <c r="H69" s="21"/>
    </row>
    <row r="70" spans="2:8" x14ac:dyDescent="0.3">
      <c r="B70" s="97" t="str">
        <f t="shared" si="5"/>
        <v/>
      </c>
      <c r="C70" s="97" t="str">
        <f t="shared" si="9"/>
        <v/>
      </c>
      <c r="D70" s="97" t="str">
        <f t="shared" si="6"/>
        <v/>
      </c>
      <c r="E70" s="8" t="str">
        <f t="shared" si="7"/>
        <v/>
      </c>
      <c r="F70" s="8" t="str">
        <f t="shared" si="8"/>
        <v/>
      </c>
      <c r="G70" s="8"/>
      <c r="H70" s="21"/>
    </row>
    <row r="71" spans="2:8" x14ac:dyDescent="0.3">
      <c r="B71" s="97" t="str">
        <f t="shared" si="5"/>
        <v/>
      </c>
      <c r="C71" s="97" t="str">
        <f t="shared" si="9"/>
        <v/>
      </c>
      <c r="D71" s="97" t="str">
        <f t="shared" si="6"/>
        <v/>
      </c>
      <c r="E71" s="8" t="str">
        <f t="shared" si="7"/>
        <v/>
      </c>
      <c r="F71" s="8" t="str">
        <f t="shared" si="8"/>
        <v/>
      </c>
      <c r="G71" s="8"/>
      <c r="H71" s="21"/>
    </row>
    <row r="72" spans="2:8" x14ac:dyDescent="0.3">
      <c r="B72" s="97" t="str">
        <f t="shared" si="5"/>
        <v/>
      </c>
      <c r="C72" s="97" t="str">
        <f t="shared" si="9"/>
        <v/>
      </c>
      <c r="D72" s="97" t="str">
        <f t="shared" si="6"/>
        <v/>
      </c>
      <c r="E72" s="8" t="str">
        <f t="shared" si="7"/>
        <v/>
      </c>
      <c r="F72" s="8" t="str">
        <f t="shared" si="8"/>
        <v/>
      </c>
      <c r="G72" s="8"/>
      <c r="H72" s="21"/>
    </row>
    <row r="73" spans="2:8" x14ac:dyDescent="0.3">
      <c r="B73" s="97" t="str">
        <f t="shared" si="5"/>
        <v/>
      </c>
      <c r="C73" s="97" t="str">
        <f t="shared" si="9"/>
        <v/>
      </c>
      <c r="D73" s="97" t="str">
        <f t="shared" si="6"/>
        <v/>
      </c>
      <c r="E73" s="8" t="str">
        <f t="shared" si="7"/>
        <v/>
      </c>
      <c r="F73" s="8" t="str">
        <f t="shared" si="8"/>
        <v/>
      </c>
      <c r="G73" s="8"/>
      <c r="H73" s="21"/>
    </row>
    <row r="74" spans="2:8" x14ac:dyDescent="0.3">
      <c r="B74" s="97" t="str">
        <f t="shared" si="5"/>
        <v/>
      </c>
      <c r="C74" s="97" t="str">
        <f t="shared" si="9"/>
        <v/>
      </c>
      <c r="D74" s="97" t="str">
        <f t="shared" si="6"/>
        <v/>
      </c>
      <c r="E74" s="8" t="str">
        <f t="shared" si="7"/>
        <v/>
      </c>
      <c r="F74" s="8" t="str">
        <f t="shared" si="8"/>
        <v/>
      </c>
      <c r="G74" s="8"/>
      <c r="H74" s="21"/>
    </row>
    <row r="75" spans="2:8" x14ac:dyDescent="0.3">
      <c r="B75" s="97" t="str">
        <f t="shared" si="5"/>
        <v/>
      </c>
      <c r="C75" s="97" t="str">
        <f t="shared" si="9"/>
        <v/>
      </c>
      <c r="D75" s="97" t="str">
        <f t="shared" si="6"/>
        <v/>
      </c>
      <c r="E75" s="8" t="str">
        <f t="shared" si="7"/>
        <v/>
      </c>
      <c r="F75" s="8" t="str">
        <f t="shared" si="8"/>
        <v/>
      </c>
      <c r="G75" s="8"/>
      <c r="H75" s="21"/>
    </row>
    <row r="76" spans="2:8" x14ac:dyDescent="0.3">
      <c r="B76" s="97" t="str">
        <f t="shared" si="5"/>
        <v/>
      </c>
      <c r="C76" s="97" t="str">
        <f t="shared" si="9"/>
        <v/>
      </c>
      <c r="D76" s="97" t="str">
        <f t="shared" si="6"/>
        <v/>
      </c>
      <c r="E76" s="8" t="str">
        <f t="shared" si="7"/>
        <v/>
      </c>
      <c r="F76" s="8" t="str">
        <f t="shared" si="8"/>
        <v/>
      </c>
      <c r="G76" s="8"/>
      <c r="H76" s="21"/>
    </row>
    <row r="77" spans="2:8" x14ac:dyDescent="0.3">
      <c r="B77" s="97" t="str">
        <f t="shared" si="5"/>
        <v/>
      </c>
      <c r="C77" s="97" t="str">
        <f t="shared" si="9"/>
        <v/>
      </c>
      <c r="D77" s="97" t="str">
        <f t="shared" si="6"/>
        <v/>
      </c>
      <c r="E77" s="8" t="str">
        <f t="shared" si="7"/>
        <v/>
      </c>
      <c r="F77" s="8" t="str">
        <f t="shared" si="8"/>
        <v/>
      </c>
      <c r="G77" s="8"/>
      <c r="H77" s="21"/>
    </row>
    <row r="78" spans="2:8" x14ac:dyDescent="0.3">
      <c r="B78" s="97" t="str">
        <f t="shared" si="5"/>
        <v/>
      </c>
      <c r="C78" s="97" t="str">
        <f t="shared" si="9"/>
        <v/>
      </c>
      <c r="D78" s="97" t="str">
        <f t="shared" si="6"/>
        <v/>
      </c>
      <c r="E78" s="8" t="str">
        <f t="shared" si="7"/>
        <v/>
      </c>
      <c r="F78" s="8" t="str">
        <f t="shared" si="8"/>
        <v/>
      </c>
      <c r="G78" s="8"/>
      <c r="H78" s="21"/>
    </row>
    <row r="79" spans="2:8" x14ac:dyDescent="0.3">
      <c r="B79" s="97" t="str">
        <f t="shared" si="5"/>
        <v/>
      </c>
      <c r="C79" s="97" t="str">
        <f t="shared" si="9"/>
        <v/>
      </c>
      <c r="D79" s="97" t="str">
        <f t="shared" si="6"/>
        <v/>
      </c>
      <c r="E79" s="8" t="str">
        <f t="shared" si="7"/>
        <v/>
      </c>
      <c r="F79" s="8" t="str">
        <f t="shared" si="8"/>
        <v/>
      </c>
      <c r="G79" s="8"/>
      <c r="H79" s="21"/>
    </row>
    <row r="80" spans="2:8" x14ac:dyDescent="0.3">
      <c r="B80" s="97" t="str">
        <f t="shared" si="5"/>
        <v/>
      </c>
      <c r="C80" s="97" t="str">
        <f t="shared" si="9"/>
        <v/>
      </c>
      <c r="D80" s="97" t="str">
        <f t="shared" si="6"/>
        <v/>
      </c>
      <c r="E80" s="8" t="str">
        <f t="shared" si="7"/>
        <v/>
      </c>
      <c r="F80" s="8" t="str">
        <f t="shared" si="8"/>
        <v/>
      </c>
      <c r="G80" s="8"/>
      <c r="H80" s="21"/>
    </row>
    <row r="81" spans="2:8" x14ac:dyDescent="0.3">
      <c r="B81" s="97" t="str">
        <f t="shared" si="5"/>
        <v/>
      </c>
      <c r="C81" s="97" t="str">
        <f t="shared" si="9"/>
        <v/>
      </c>
      <c r="D81" s="97" t="str">
        <f t="shared" si="6"/>
        <v/>
      </c>
      <c r="E81" s="8" t="str">
        <f t="shared" si="7"/>
        <v/>
      </c>
      <c r="F81" s="8" t="str">
        <f t="shared" si="8"/>
        <v/>
      </c>
      <c r="G81" s="8"/>
      <c r="H81" s="21"/>
    </row>
    <row r="82" spans="2:8" x14ac:dyDescent="0.3">
      <c r="B82" s="97" t="str">
        <f t="shared" si="5"/>
        <v/>
      </c>
      <c r="C82" s="97" t="str">
        <f t="shared" si="9"/>
        <v/>
      </c>
      <c r="D82" s="97" t="str">
        <f t="shared" si="6"/>
        <v/>
      </c>
      <c r="E82" s="8" t="str">
        <f t="shared" si="7"/>
        <v/>
      </c>
      <c r="F82" s="8" t="str">
        <f t="shared" si="8"/>
        <v/>
      </c>
      <c r="G82" s="8"/>
      <c r="H82" s="21"/>
    </row>
    <row r="83" spans="2:8" x14ac:dyDescent="0.3">
      <c r="B83" s="97" t="str">
        <f t="shared" ref="B83:B114" si="10">IF(C83="","",C83-2)</f>
        <v/>
      </c>
      <c r="C83" s="97" t="str">
        <f t="shared" si="9"/>
        <v/>
      </c>
      <c r="D83" s="97" t="str">
        <f t="shared" ref="D83:D114" si="11">IF(C83="","",DATE(YEAR(C83),MONTH(C83)+VLOOKUP($C$10,$AB$1:$AC$4,2,FALSE),DAY(C83)))</f>
        <v/>
      </c>
      <c r="E83" s="8" t="str">
        <f t="shared" ref="E83:E114" si="12">IF(B83="","",IF($C$11="30/360",DAYS360(C83,D83)/360,IF($C$11="ACT/360",(D83-C83)/360,IF($C$11="ACT/365",(D83-C83)/365))))</f>
        <v/>
      </c>
      <c r="F83" s="8" t="str">
        <f t="shared" ref="F83:F114" si="13">IF(B83="","",DF(D83-$C$2,Maturities,ZcRates))</f>
        <v/>
      </c>
      <c r="G83" s="8"/>
      <c r="H83" s="21"/>
    </row>
    <row r="84" spans="2:8" x14ac:dyDescent="0.3">
      <c r="B84" s="97" t="str">
        <f t="shared" si="10"/>
        <v/>
      </c>
      <c r="C84" s="97" t="str">
        <f t="shared" ref="C84:C115" si="14">IF(OR(D83=$F$7,D83=""),"",D83)</f>
        <v/>
      </c>
      <c r="D84" s="97" t="str">
        <f t="shared" si="11"/>
        <v/>
      </c>
      <c r="E84" s="8" t="str">
        <f t="shared" si="12"/>
        <v/>
      </c>
      <c r="F84" s="8" t="str">
        <f t="shared" si="13"/>
        <v/>
      </c>
      <c r="G84" s="8"/>
      <c r="H84" s="21"/>
    </row>
    <row r="85" spans="2:8" x14ac:dyDescent="0.3">
      <c r="B85" s="97" t="str">
        <f t="shared" si="10"/>
        <v/>
      </c>
      <c r="C85" s="97" t="str">
        <f t="shared" si="14"/>
        <v/>
      </c>
      <c r="D85" s="97" t="str">
        <f t="shared" si="11"/>
        <v/>
      </c>
      <c r="E85" s="8" t="str">
        <f t="shared" si="12"/>
        <v/>
      </c>
      <c r="F85" s="8" t="str">
        <f t="shared" si="13"/>
        <v/>
      </c>
      <c r="G85" s="8"/>
      <c r="H85" s="21"/>
    </row>
    <row r="86" spans="2:8" x14ac:dyDescent="0.3">
      <c r="B86" s="97" t="str">
        <f t="shared" si="10"/>
        <v/>
      </c>
      <c r="C86" s="97" t="str">
        <f t="shared" si="14"/>
        <v/>
      </c>
      <c r="D86" s="97" t="str">
        <f t="shared" si="11"/>
        <v/>
      </c>
      <c r="E86" s="8" t="str">
        <f t="shared" si="12"/>
        <v/>
      </c>
      <c r="F86" s="8" t="str">
        <f t="shared" si="13"/>
        <v/>
      </c>
      <c r="G86" s="8"/>
      <c r="H86" s="21"/>
    </row>
    <row r="87" spans="2:8" x14ac:dyDescent="0.3">
      <c r="B87" s="97" t="str">
        <f t="shared" si="10"/>
        <v/>
      </c>
      <c r="C87" s="97" t="str">
        <f t="shared" si="14"/>
        <v/>
      </c>
      <c r="D87" s="97" t="str">
        <f t="shared" si="11"/>
        <v/>
      </c>
      <c r="E87" s="8" t="str">
        <f t="shared" si="12"/>
        <v/>
      </c>
      <c r="F87" s="8" t="str">
        <f t="shared" si="13"/>
        <v/>
      </c>
      <c r="G87" s="8"/>
      <c r="H87" s="21"/>
    </row>
    <row r="88" spans="2:8" x14ac:dyDescent="0.3">
      <c r="B88" s="97" t="str">
        <f t="shared" si="10"/>
        <v/>
      </c>
      <c r="C88" s="97" t="str">
        <f t="shared" si="14"/>
        <v/>
      </c>
      <c r="D88" s="97" t="str">
        <f t="shared" si="11"/>
        <v/>
      </c>
      <c r="E88" s="8" t="str">
        <f t="shared" si="12"/>
        <v/>
      </c>
      <c r="F88" s="8" t="str">
        <f t="shared" si="13"/>
        <v/>
      </c>
      <c r="G88" s="8"/>
      <c r="H88" s="21"/>
    </row>
    <row r="89" spans="2:8" x14ac:dyDescent="0.3">
      <c r="B89" s="97" t="str">
        <f t="shared" si="10"/>
        <v/>
      </c>
      <c r="C89" s="97" t="str">
        <f t="shared" si="14"/>
        <v/>
      </c>
      <c r="D89" s="97" t="str">
        <f t="shared" si="11"/>
        <v/>
      </c>
      <c r="E89" s="8" t="str">
        <f t="shared" si="12"/>
        <v/>
      </c>
      <c r="F89" s="8" t="str">
        <f t="shared" si="13"/>
        <v/>
      </c>
      <c r="G89" s="8"/>
      <c r="H89" s="21"/>
    </row>
    <row r="90" spans="2:8" x14ac:dyDescent="0.3">
      <c r="B90" s="97" t="str">
        <f t="shared" si="10"/>
        <v/>
      </c>
      <c r="C90" s="97" t="str">
        <f t="shared" si="14"/>
        <v/>
      </c>
      <c r="D90" s="97" t="str">
        <f t="shared" si="11"/>
        <v/>
      </c>
      <c r="E90" s="8" t="str">
        <f t="shared" si="12"/>
        <v/>
      </c>
      <c r="F90" s="8" t="str">
        <f t="shared" si="13"/>
        <v/>
      </c>
      <c r="G90" s="8"/>
      <c r="H90" s="21"/>
    </row>
    <row r="91" spans="2:8" x14ac:dyDescent="0.3">
      <c r="B91" s="97" t="str">
        <f t="shared" si="10"/>
        <v/>
      </c>
      <c r="C91" s="97" t="str">
        <f t="shared" si="14"/>
        <v/>
      </c>
      <c r="D91" s="97" t="str">
        <f t="shared" si="11"/>
        <v/>
      </c>
      <c r="E91" s="8" t="str">
        <f t="shared" si="12"/>
        <v/>
      </c>
      <c r="F91" s="8" t="str">
        <f t="shared" si="13"/>
        <v/>
      </c>
      <c r="G91" s="8"/>
      <c r="H91" s="21"/>
    </row>
    <row r="92" spans="2:8" x14ac:dyDescent="0.3">
      <c r="B92" s="97" t="str">
        <f t="shared" si="10"/>
        <v/>
      </c>
      <c r="C92" s="97" t="str">
        <f t="shared" si="14"/>
        <v/>
      </c>
      <c r="D92" s="97" t="str">
        <f t="shared" si="11"/>
        <v/>
      </c>
      <c r="E92" s="8" t="str">
        <f t="shared" si="12"/>
        <v/>
      </c>
      <c r="F92" s="8" t="str">
        <f t="shared" si="13"/>
        <v/>
      </c>
      <c r="G92" s="8"/>
      <c r="H92" s="21"/>
    </row>
    <row r="93" spans="2:8" x14ac:dyDescent="0.3">
      <c r="B93" s="97" t="str">
        <f t="shared" si="10"/>
        <v/>
      </c>
      <c r="C93" s="97" t="str">
        <f t="shared" si="14"/>
        <v/>
      </c>
      <c r="D93" s="97" t="str">
        <f t="shared" si="11"/>
        <v/>
      </c>
      <c r="E93" s="8" t="str">
        <f t="shared" si="12"/>
        <v/>
      </c>
      <c r="F93" s="8" t="str">
        <f t="shared" si="13"/>
        <v/>
      </c>
      <c r="G93" s="8"/>
      <c r="H93" s="21"/>
    </row>
    <row r="94" spans="2:8" x14ac:dyDescent="0.3">
      <c r="B94" s="97" t="str">
        <f t="shared" si="10"/>
        <v/>
      </c>
      <c r="C94" s="97" t="str">
        <f t="shared" si="14"/>
        <v/>
      </c>
      <c r="D94" s="97" t="str">
        <f t="shared" si="11"/>
        <v/>
      </c>
      <c r="E94" s="8" t="str">
        <f t="shared" si="12"/>
        <v/>
      </c>
      <c r="F94" s="8" t="str">
        <f t="shared" si="13"/>
        <v/>
      </c>
      <c r="G94" s="8"/>
      <c r="H94" s="21"/>
    </row>
    <row r="95" spans="2:8" x14ac:dyDescent="0.3">
      <c r="B95" s="97" t="str">
        <f t="shared" si="10"/>
        <v/>
      </c>
      <c r="C95" s="97" t="str">
        <f t="shared" si="14"/>
        <v/>
      </c>
      <c r="D95" s="97" t="str">
        <f t="shared" si="11"/>
        <v/>
      </c>
      <c r="E95" s="8" t="str">
        <f t="shared" si="12"/>
        <v/>
      </c>
      <c r="F95" s="8" t="str">
        <f t="shared" si="13"/>
        <v/>
      </c>
      <c r="G95" s="8"/>
      <c r="H95" s="21"/>
    </row>
    <row r="96" spans="2:8" x14ac:dyDescent="0.3">
      <c r="B96" s="97" t="str">
        <f t="shared" si="10"/>
        <v/>
      </c>
      <c r="C96" s="97" t="str">
        <f t="shared" si="14"/>
        <v/>
      </c>
      <c r="D96" s="97" t="str">
        <f t="shared" si="11"/>
        <v/>
      </c>
      <c r="E96" s="8" t="str">
        <f t="shared" si="12"/>
        <v/>
      </c>
      <c r="F96" s="8" t="str">
        <f t="shared" si="13"/>
        <v/>
      </c>
      <c r="G96" s="8"/>
      <c r="H96" s="21"/>
    </row>
    <row r="97" spans="2:8" x14ac:dyDescent="0.3">
      <c r="B97" s="97" t="str">
        <f t="shared" si="10"/>
        <v/>
      </c>
      <c r="C97" s="97" t="str">
        <f t="shared" si="14"/>
        <v/>
      </c>
      <c r="D97" s="97" t="str">
        <f t="shared" si="11"/>
        <v/>
      </c>
      <c r="E97" s="8" t="str">
        <f t="shared" si="12"/>
        <v/>
      </c>
      <c r="F97" s="8" t="str">
        <f t="shared" si="13"/>
        <v/>
      </c>
      <c r="G97" s="8"/>
      <c r="H97" s="21"/>
    </row>
    <row r="98" spans="2:8" x14ac:dyDescent="0.3">
      <c r="B98" s="97" t="str">
        <f t="shared" si="10"/>
        <v/>
      </c>
      <c r="C98" s="97" t="str">
        <f t="shared" si="14"/>
        <v/>
      </c>
      <c r="D98" s="97" t="str">
        <f t="shared" si="11"/>
        <v/>
      </c>
      <c r="E98" s="8" t="str">
        <f t="shared" si="12"/>
        <v/>
      </c>
      <c r="F98" s="8" t="str">
        <f t="shared" si="13"/>
        <v/>
      </c>
      <c r="G98" s="8"/>
      <c r="H98" s="21"/>
    </row>
    <row r="99" spans="2:8" x14ac:dyDescent="0.3">
      <c r="B99" s="97" t="str">
        <f t="shared" si="10"/>
        <v/>
      </c>
      <c r="C99" s="97" t="str">
        <f t="shared" si="14"/>
        <v/>
      </c>
      <c r="D99" s="97" t="str">
        <f t="shared" si="11"/>
        <v/>
      </c>
      <c r="E99" s="8" t="str">
        <f t="shared" si="12"/>
        <v/>
      </c>
      <c r="F99" s="8" t="str">
        <f t="shared" si="13"/>
        <v/>
      </c>
      <c r="G99" s="8"/>
      <c r="H99" s="21"/>
    </row>
    <row r="100" spans="2:8" x14ac:dyDescent="0.3">
      <c r="B100" s="97" t="str">
        <f t="shared" si="10"/>
        <v/>
      </c>
      <c r="C100" s="97" t="str">
        <f t="shared" si="14"/>
        <v/>
      </c>
      <c r="D100" s="97" t="str">
        <f t="shared" si="11"/>
        <v/>
      </c>
      <c r="E100" s="8" t="str">
        <f t="shared" si="12"/>
        <v/>
      </c>
      <c r="F100" s="8" t="str">
        <f t="shared" si="13"/>
        <v/>
      </c>
      <c r="G100" s="8"/>
      <c r="H100" s="21"/>
    </row>
    <row r="101" spans="2:8" x14ac:dyDescent="0.3">
      <c r="B101" s="97" t="str">
        <f t="shared" si="10"/>
        <v/>
      </c>
      <c r="C101" s="97" t="str">
        <f t="shared" si="14"/>
        <v/>
      </c>
      <c r="D101" s="97" t="str">
        <f t="shared" si="11"/>
        <v/>
      </c>
      <c r="E101" s="8" t="str">
        <f t="shared" si="12"/>
        <v/>
      </c>
      <c r="F101" s="8" t="str">
        <f t="shared" si="13"/>
        <v/>
      </c>
      <c r="G101" s="8"/>
      <c r="H101" s="21"/>
    </row>
    <row r="102" spans="2:8" x14ac:dyDescent="0.3">
      <c r="B102" s="97" t="str">
        <f t="shared" si="10"/>
        <v/>
      </c>
      <c r="C102" s="97" t="str">
        <f t="shared" si="14"/>
        <v/>
      </c>
      <c r="D102" s="97" t="str">
        <f t="shared" si="11"/>
        <v/>
      </c>
      <c r="E102" s="8" t="str">
        <f t="shared" si="12"/>
        <v/>
      </c>
      <c r="F102" s="8" t="str">
        <f t="shared" si="13"/>
        <v/>
      </c>
      <c r="G102" s="8"/>
      <c r="H102" s="21"/>
    </row>
    <row r="103" spans="2:8" x14ac:dyDescent="0.3">
      <c r="B103" s="97" t="str">
        <f t="shared" si="10"/>
        <v/>
      </c>
      <c r="C103" s="97" t="str">
        <f t="shared" si="14"/>
        <v/>
      </c>
      <c r="D103" s="97" t="str">
        <f t="shared" si="11"/>
        <v/>
      </c>
      <c r="E103" s="8" t="str">
        <f t="shared" si="12"/>
        <v/>
      </c>
      <c r="F103" s="8" t="str">
        <f t="shared" si="13"/>
        <v/>
      </c>
      <c r="G103" s="8"/>
      <c r="H103" s="21"/>
    </row>
    <row r="104" spans="2:8" x14ac:dyDescent="0.3">
      <c r="B104" s="97" t="str">
        <f t="shared" si="10"/>
        <v/>
      </c>
      <c r="C104" s="97" t="str">
        <f t="shared" si="14"/>
        <v/>
      </c>
      <c r="D104" s="97" t="str">
        <f t="shared" si="11"/>
        <v/>
      </c>
      <c r="E104" s="8" t="str">
        <f t="shared" si="12"/>
        <v/>
      </c>
      <c r="F104" s="8" t="str">
        <f t="shared" si="13"/>
        <v/>
      </c>
      <c r="G104" s="8"/>
      <c r="H104" s="21"/>
    </row>
    <row r="105" spans="2:8" x14ac:dyDescent="0.3">
      <c r="B105" s="97" t="str">
        <f t="shared" si="10"/>
        <v/>
      </c>
      <c r="C105" s="97" t="str">
        <f t="shared" si="14"/>
        <v/>
      </c>
      <c r="D105" s="97" t="str">
        <f t="shared" si="11"/>
        <v/>
      </c>
      <c r="E105" s="8" t="str">
        <f t="shared" si="12"/>
        <v/>
      </c>
      <c r="F105" s="8" t="str">
        <f t="shared" si="13"/>
        <v/>
      </c>
      <c r="G105" s="8"/>
      <c r="H105" s="21"/>
    </row>
    <row r="106" spans="2:8" x14ac:dyDescent="0.3">
      <c r="B106" s="97" t="str">
        <f t="shared" si="10"/>
        <v/>
      </c>
      <c r="C106" s="97" t="str">
        <f t="shared" si="14"/>
        <v/>
      </c>
      <c r="D106" s="97" t="str">
        <f t="shared" si="11"/>
        <v/>
      </c>
      <c r="E106" s="8" t="str">
        <f t="shared" si="12"/>
        <v/>
      </c>
      <c r="F106" s="8" t="str">
        <f t="shared" si="13"/>
        <v/>
      </c>
      <c r="G106" s="8"/>
      <c r="H106" s="21"/>
    </row>
    <row r="107" spans="2:8" x14ac:dyDescent="0.3">
      <c r="B107" s="97" t="str">
        <f t="shared" si="10"/>
        <v/>
      </c>
      <c r="C107" s="97" t="str">
        <f t="shared" si="14"/>
        <v/>
      </c>
      <c r="D107" s="97" t="str">
        <f t="shared" si="11"/>
        <v/>
      </c>
      <c r="E107" s="8" t="str">
        <f t="shared" si="12"/>
        <v/>
      </c>
      <c r="F107" s="8" t="str">
        <f t="shared" si="13"/>
        <v/>
      </c>
      <c r="G107" s="8"/>
      <c r="H107" s="21"/>
    </row>
    <row r="108" spans="2:8" x14ac:dyDescent="0.3">
      <c r="B108" s="97" t="str">
        <f t="shared" si="10"/>
        <v/>
      </c>
      <c r="C108" s="97" t="str">
        <f t="shared" si="14"/>
        <v/>
      </c>
      <c r="D108" s="97" t="str">
        <f t="shared" si="11"/>
        <v/>
      </c>
      <c r="E108" s="8" t="str">
        <f t="shared" si="12"/>
        <v/>
      </c>
      <c r="F108" s="8" t="str">
        <f t="shared" si="13"/>
        <v/>
      </c>
      <c r="G108" s="8"/>
      <c r="H108" s="21"/>
    </row>
    <row r="109" spans="2:8" x14ac:dyDescent="0.3">
      <c r="B109" s="97" t="str">
        <f t="shared" si="10"/>
        <v/>
      </c>
      <c r="C109" s="97" t="str">
        <f t="shared" si="14"/>
        <v/>
      </c>
      <c r="D109" s="97" t="str">
        <f t="shared" si="11"/>
        <v/>
      </c>
      <c r="E109" s="8" t="str">
        <f t="shared" si="12"/>
        <v/>
      </c>
      <c r="F109" s="8" t="str">
        <f t="shared" si="13"/>
        <v/>
      </c>
      <c r="G109" s="8"/>
      <c r="H109" s="21"/>
    </row>
    <row r="110" spans="2:8" x14ac:dyDescent="0.3">
      <c r="B110" s="97" t="str">
        <f t="shared" si="10"/>
        <v/>
      </c>
      <c r="C110" s="97" t="str">
        <f t="shared" si="14"/>
        <v/>
      </c>
      <c r="D110" s="97" t="str">
        <f t="shared" si="11"/>
        <v/>
      </c>
      <c r="E110" s="8" t="str">
        <f t="shared" si="12"/>
        <v/>
      </c>
      <c r="F110" s="8" t="str">
        <f t="shared" si="13"/>
        <v/>
      </c>
      <c r="G110" s="8"/>
      <c r="H110" s="21"/>
    </row>
    <row r="111" spans="2:8" x14ac:dyDescent="0.3">
      <c r="B111" s="97" t="str">
        <f t="shared" si="10"/>
        <v/>
      </c>
      <c r="C111" s="97" t="str">
        <f t="shared" si="14"/>
        <v/>
      </c>
      <c r="D111" s="97" t="str">
        <f t="shared" si="11"/>
        <v/>
      </c>
      <c r="E111" s="8" t="str">
        <f t="shared" si="12"/>
        <v/>
      </c>
      <c r="F111" s="8" t="str">
        <f t="shared" si="13"/>
        <v/>
      </c>
      <c r="G111" s="8"/>
      <c r="H111" s="21"/>
    </row>
    <row r="112" spans="2:8" x14ac:dyDescent="0.3">
      <c r="B112" s="97" t="str">
        <f t="shared" si="10"/>
        <v/>
      </c>
      <c r="C112" s="97" t="str">
        <f t="shared" si="14"/>
        <v/>
      </c>
      <c r="D112" s="97" t="str">
        <f t="shared" si="11"/>
        <v/>
      </c>
      <c r="E112" s="8" t="str">
        <f t="shared" si="12"/>
        <v/>
      </c>
      <c r="F112" s="8" t="str">
        <f t="shared" si="13"/>
        <v/>
      </c>
      <c r="G112" s="8"/>
      <c r="H112" s="21"/>
    </row>
    <row r="113" spans="2:8" x14ac:dyDescent="0.3">
      <c r="B113" s="97" t="str">
        <f t="shared" si="10"/>
        <v/>
      </c>
      <c r="C113" s="97" t="str">
        <f t="shared" si="14"/>
        <v/>
      </c>
      <c r="D113" s="97" t="str">
        <f t="shared" si="11"/>
        <v/>
      </c>
      <c r="E113" s="8" t="str">
        <f t="shared" si="12"/>
        <v/>
      </c>
      <c r="F113" s="8" t="str">
        <f t="shared" si="13"/>
        <v/>
      </c>
      <c r="G113" s="8"/>
      <c r="H113" s="21"/>
    </row>
    <row r="114" spans="2:8" x14ac:dyDescent="0.3">
      <c r="B114" s="97" t="str">
        <f t="shared" si="10"/>
        <v/>
      </c>
      <c r="C114" s="97" t="str">
        <f t="shared" si="14"/>
        <v/>
      </c>
      <c r="D114" s="97" t="str">
        <f t="shared" si="11"/>
        <v/>
      </c>
      <c r="E114" s="8" t="str">
        <f t="shared" si="12"/>
        <v/>
      </c>
      <c r="F114" s="8" t="str">
        <f t="shared" si="13"/>
        <v/>
      </c>
      <c r="G114" s="8"/>
      <c r="H114" s="21"/>
    </row>
    <row r="115" spans="2:8" x14ac:dyDescent="0.3">
      <c r="B115" s="97" t="str">
        <f t="shared" ref="B115:B138" si="15">IF(C115="","",C115-2)</f>
        <v/>
      </c>
      <c r="C115" s="97" t="str">
        <f t="shared" si="14"/>
        <v/>
      </c>
      <c r="D115" s="97" t="str">
        <f t="shared" ref="D115:D138" si="16">IF(C115="","",DATE(YEAR(C115),MONTH(C115)+VLOOKUP($C$10,$AB$1:$AC$4,2,FALSE),DAY(C115)))</f>
        <v/>
      </c>
      <c r="E115" s="8" t="str">
        <f t="shared" ref="E115:E138" si="17">IF(B115="","",IF($C$11="30/360",DAYS360(C115,D115)/360,IF($C$11="ACT/360",(D115-C115)/360,IF($C$11="ACT/365",(D115-C115)/365))))</f>
        <v/>
      </c>
      <c r="F115" s="8" t="str">
        <f t="shared" ref="F115:F138" si="18">IF(B115="","",DF(D115-$C$2,Maturities,ZcRates))</f>
        <v/>
      </c>
      <c r="G115" s="8"/>
      <c r="H115" s="21"/>
    </row>
    <row r="116" spans="2:8" x14ac:dyDescent="0.3">
      <c r="B116" s="97" t="str">
        <f t="shared" si="15"/>
        <v/>
      </c>
      <c r="C116" s="97" t="str">
        <f t="shared" ref="C116:C138" si="19">IF(OR(D115=$F$7,D115=""),"",D115)</f>
        <v/>
      </c>
      <c r="D116" s="97" t="str">
        <f t="shared" si="16"/>
        <v/>
      </c>
      <c r="E116" s="8" t="str">
        <f t="shared" si="17"/>
        <v/>
      </c>
      <c r="F116" s="8" t="str">
        <f t="shared" si="18"/>
        <v/>
      </c>
      <c r="G116" s="8"/>
      <c r="H116" s="21"/>
    </row>
    <row r="117" spans="2:8" x14ac:dyDescent="0.3">
      <c r="B117" s="97" t="str">
        <f t="shared" si="15"/>
        <v/>
      </c>
      <c r="C117" s="97" t="str">
        <f t="shared" si="19"/>
        <v/>
      </c>
      <c r="D117" s="97" t="str">
        <f t="shared" si="16"/>
        <v/>
      </c>
      <c r="E117" s="8" t="str">
        <f t="shared" si="17"/>
        <v/>
      </c>
      <c r="F117" s="8" t="str">
        <f t="shared" si="18"/>
        <v/>
      </c>
      <c r="G117" s="8"/>
      <c r="H117" s="21"/>
    </row>
    <row r="118" spans="2:8" x14ac:dyDescent="0.3">
      <c r="B118" s="97" t="str">
        <f t="shared" si="15"/>
        <v/>
      </c>
      <c r="C118" s="97" t="str">
        <f t="shared" si="19"/>
        <v/>
      </c>
      <c r="D118" s="97" t="str">
        <f t="shared" si="16"/>
        <v/>
      </c>
      <c r="E118" s="8" t="str">
        <f t="shared" si="17"/>
        <v/>
      </c>
      <c r="F118" s="8" t="str">
        <f t="shared" si="18"/>
        <v/>
      </c>
      <c r="G118" s="8"/>
      <c r="H118" s="21"/>
    </row>
    <row r="119" spans="2:8" x14ac:dyDescent="0.3">
      <c r="B119" s="97" t="str">
        <f t="shared" si="15"/>
        <v/>
      </c>
      <c r="C119" s="97" t="str">
        <f t="shared" si="19"/>
        <v/>
      </c>
      <c r="D119" s="97" t="str">
        <f t="shared" si="16"/>
        <v/>
      </c>
      <c r="E119" s="8" t="str">
        <f t="shared" si="17"/>
        <v/>
      </c>
      <c r="F119" s="8" t="str">
        <f t="shared" si="18"/>
        <v/>
      </c>
      <c r="G119" s="8"/>
      <c r="H119" s="21"/>
    </row>
    <row r="120" spans="2:8" x14ac:dyDescent="0.3">
      <c r="B120" s="97" t="str">
        <f t="shared" si="15"/>
        <v/>
      </c>
      <c r="C120" s="97" t="str">
        <f t="shared" si="19"/>
        <v/>
      </c>
      <c r="D120" s="97" t="str">
        <f t="shared" si="16"/>
        <v/>
      </c>
      <c r="E120" s="8" t="str">
        <f t="shared" si="17"/>
        <v/>
      </c>
      <c r="F120" s="8" t="str">
        <f t="shared" si="18"/>
        <v/>
      </c>
      <c r="G120" s="8"/>
      <c r="H120" s="21"/>
    </row>
    <row r="121" spans="2:8" x14ac:dyDescent="0.3">
      <c r="B121" s="97" t="str">
        <f t="shared" si="15"/>
        <v/>
      </c>
      <c r="C121" s="97" t="str">
        <f t="shared" si="19"/>
        <v/>
      </c>
      <c r="D121" s="97" t="str">
        <f t="shared" si="16"/>
        <v/>
      </c>
      <c r="E121" s="8" t="str">
        <f t="shared" si="17"/>
        <v/>
      </c>
      <c r="F121" s="8" t="str">
        <f t="shared" si="18"/>
        <v/>
      </c>
      <c r="G121" s="8"/>
      <c r="H121" s="21"/>
    </row>
    <row r="122" spans="2:8" x14ac:dyDescent="0.3">
      <c r="B122" s="97" t="str">
        <f t="shared" si="15"/>
        <v/>
      </c>
      <c r="C122" s="97" t="str">
        <f t="shared" si="19"/>
        <v/>
      </c>
      <c r="D122" s="97" t="str">
        <f t="shared" si="16"/>
        <v/>
      </c>
      <c r="E122" s="8" t="str">
        <f t="shared" si="17"/>
        <v/>
      </c>
      <c r="F122" s="8" t="str">
        <f t="shared" si="18"/>
        <v/>
      </c>
      <c r="G122" s="8"/>
      <c r="H122" s="21"/>
    </row>
    <row r="123" spans="2:8" x14ac:dyDescent="0.3">
      <c r="B123" s="97" t="str">
        <f t="shared" si="15"/>
        <v/>
      </c>
      <c r="C123" s="97" t="str">
        <f t="shared" si="19"/>
        <v/>
      </c>
      <c r="D123" s="97" t="str">
        <f t="shared" si="16"/>
        <v/>
      </c>
      <c r="E123" s="8" t="str">
        <f t="shared" si="17"/>
        <v/>
      </c>
      <c r="F123" s="8" t="str">
        <f t="shared" si="18"/>
        <v/>
      </c>
      <c r="G123" s="8"/>
      <c r="H123" s="21"/>
    </row>
    <row r="124" spans="2:8" x14ac:dyDescent="0.3">
      <c r="B124" s="97" t="str">
        <f t="shared" si="15"/>
        <v/>
      </c>
      <c r="C124" s="97" t="str">
        <f t="shared" si="19"/>
        <v/>
      </c>
      <c r="D124" s="97" t="str">
        <f t="shared" si="16"/>
        <v/>
      </c>
      <c r="E124" s="8" t="str">
        <f t="shared" si="17"/>
        <v/>
      </c>
      <c r="F124" s="8" t="str">
        <f t="shared" si="18"/>
        <v/>
      </c>
      <c r="G124" s="8"/>
      <c r="H124" s="21"/>
    </row>
    <row r="125" spans="2:8" x14ac:dyDescent="0.3">
      <c r="B125" s="97" t="str">
        <f t="shared" si="15"/>
        <v/>
      </c>
      <c r="C125" s="97" t="str">
        <f t="shared" si="19"/>
        <v/>
      </c>
      <c r="D125" s="97" t="str">
        <f t="shared" si="16"/>
        <v/>
      </c>
      <c r="E125" s="8" t="str">
        <f t="shared" si="17"/>
        <v/>
      </c>
      <c r="F125" s="8" t="str">
        <f t="shared" si="18"/>
        <v/>
      </c>
      <c r="G125" s="8"/>
      <c r="H125" s="21"/>
    </row>
    <row r="126" spans="2:8" x14ac:dyDescent="0.3">
      <c r="B126" s="97" t="str">
        <f t="shared" si="15"/>
        <v/>
      </c>
      <c r="C126" s="97" t="str">
        <f t="shared" si="19"/>
        <v/>
      </c>
      <c r="D126" s="97" t="str">
        <f t="shared" si="16"/>
        <v/>
      </c>
      <c r="E126" s="8" t="str">
        <f t="shared" si="17"/>
        <v/>
      </c>
      <c r="F126" s="8" t="str">
        <f t="shared" si="18"/>
        <v/>
      </c>
      <c r="G126" s="8"/>
      <c r="H126" s="21"/>
    </row>
    <row r="127" spans="2:8" x14ac:dyDescent="0.3">
      <c r="B127" s="97" t="str">
        <f t="shared" si="15"/>
        <v/>
      </c>
      <c r="C127" s="97" t="str">
        <f t="shared" si="19"/>
        <v/>
      </c>
      <c r="D127" s="97" t="str">
        <f t="shared" si="16"/>
        <v/>
      </c>
      <c r="E127" s="8" t="str">
        <f t="shared" si="17"/>
        <v/>
      </c>
      <c r="F127" s="8" t="str">
        <f t="shared" si="18"/>
        <v/>
      </c>
      <c r="G127" s="8"/>
      <c r="H127" s="21"/>
    </row>
    <row r="128" spans="2:8" x14ac:dyDescent="0.3">
      <c r="B128" s="97" t="str">
        <f t="shared" si="15"/>
        <v/>
      </c>
      <c r="C128" s="97" t="str">
        <f t="shared" si="19"/>
        <v/>
      </c>
      <c r="D128" s="97" t="str">
        <f t="shared" si="16"/>
        <v/>
      </c>
      <c r="E128" s="8" t="str">
        <f t="shared" si="17"/>
        <v/>
      </c>
      <c r="F128" s="8" t="str">
        <f t="shared" si="18"/>
        <v/>
      </c>
      <c r="G128" s="8"/>
      <c r="H128" s="21"/>
    </row>
    <row r="129" spans="2:18" x14ac:dyDescent="0.3">
      <c r="B129" s="97" t="str">
        <f t="shared" si="15"/>
        <v/>
      </c>
      <c r="C129" s="97" t="str">
        <f t="shared" si="19"/>
        <v/>
      </c>
      <c r="D129" s="97" t="str">
        <f t="shared" si="16"/>
        <v/>
      </c>
      <c r="E129" s="8" t="str">
        <f t="shared" si="17"/>
        <v/>
      </c>
      <c r="F129" s="8" t="str">
        <f t="shared" si="18"/>
        <v/>
      </c>
      <c r="G129" s="8"/>
      <c r="H129" s="21"/>
    </row>
    <row r="130" spans="2:18" x14ac:dyDescent="0.3">
      <c r="B130" s="97" t="str">
        <f t="shared" si="15"/>
        <v/>
      </c>
      <c r="C130" s="97" t="str">
        <f t="shared" si="19"/>
        <v/>
      </c>
      <c r="D130" s="97" t="str">
        <f t="shared" si="16"/>
        <v/>
      </c>
      <c r="E130" s="8" t="str">
        <f t="shared" si="17"/>
        <v/>
      </c>
      <c r="F130" s="8" t="str">
        <f t="shared" si="18"/>
        <v/>
      </c>
      <c r="G130" s="8"/>
      <c r="H130" s="21"/>
    </row>
    <row r="131" spans="2:18" x14ac:dyDescent="0.3">
      <c r="B131" s="97" t="str">
        <f t="shared" si="15"/>
        <v/>
      </c>
      <c r="C131" s="97" t="str">
        <f t="shared" si="19"/>
        <v/>
      </c>
      <c r="D131" s="97" t="str">
        <f t="shared" si="16"/>
        <v/>
      </c>
      <c r="E131" s="8" t="str">
        <f t="shared" si="17"/>
        <v/>
      </c>
      <c r="F131" s="8" t="str">
        <f t="shared" si="18"/>
        <v/>
      </c>
      <c r="G131" s="8"/>
      <c r="H131" s="21"/>
    </row>
    <row r="132" spans="2:18" x14ac:dyDescent="0.3">
      <c r="B132" s="97" t="str">
        <f t="shared" si="15"/>
        <v/>
      </c>
      <c r="C132" s="97" t="str">
        <f t="shared" si="19"/>
        <v/>
      </c>
      <c r="D132" s="97" t="str">
        <f t="shared" si="16"/>
        <v/>
      </c>
      <c r="E132" s="8" t="str">
        <f t="shared" si="17"/>
        <v/>
      </c>
      <c r="F132" s="8" t="str">
        <f t="shared" si="18"/>
        <v/>
      </c>
      <c r="G132" s="8"/>
      <c r="H132" s="21"/>
    </row>
    <row r="133" spans="2:18" x14ac:dyDescent="0.3">
      <c r="B133" s="97" t="str">
        <f t="shared" si="15"/>
        <v/>
      </c>
      <c r="C133" s="97" t="str">
        <f t="shared" si="19"/>
        <v/>
      </c>
      <c r="D133" s="97" t="str">
        <f t="shared" si="16"/>
        <v/>
      </c>
      <c r="E133" s="8" t="str">
        <f t="shared" si="17"/>
        <v/>
      </c>
      <c r="F133" s="8" t="str">
        <f t="shared" si="18"/>
        <v/>
      </c>
      <c r="G133" s="8"/>
      <c r="H133" s="21"/>
    </row>
    <row r="134" spans="2:18" x14ac:dyDescent="0.3">
      <c r="B134" s="97" t="str">
        <f t="shared" si="15"/>
        <v/>
      </c>
      <c r="C134" s="97" t="str">
        <f t="shared" si="19"/>
        <v/>
      </c>
      <c r="D134" s="97" t="str">
        <f t="shared" si="16"/>
        <v/>
      </c>
      <c r="E134" s="8" t="str">
        <f t="shared" si="17"/>
        <v/>
      </c>
      <c r="F134" s="8" t="str">
        <f t="shared" si="18"/>
        <v/>
      </c>
      <c r="G134" s="8"/>
      <c r="H134" s="21"/>
    </row>
    <row r="135" spans="2:18" x14ac:dyDescent="0.3">
      <c r="B135" s="97" t="str">
        <f t="shared" si="15"/>
        <v/>
      </c>
      <c r="C135" s="97" t="str">
        <f t="shared" si="19"/>
        <v/>
      </c>
      <c r="D135" s="97" t="str">
        <f t="shared" si="16"/>
        <v/>
      </c>
      <c r="E135" s="8" t="str">
        <f t="shared" si="17"/>
        <v/>
      </c>
      <c r="F135" s="8" t="str">
        <f t="shared" si="18"/>
        <v/>
      </c>
      <c r="G135" s="8"/>
      <c r="H135" s="21"/>
    </row>
    <row r="136" spans="2:18" x14ac:dyDescent="0.3">
      <c r="B136" s="97" t="str">
        <f t="shared" si="15"/>
        <v/>
      </c>
      <c r="C136" s="97" t="str">
        <f t="shared" si="19"/>
        <v/>
      </c>
      <c r="D136" s="97" t="str">
        <f t="shared" si="16"/>
        <v/>
      </c>
      <c r="E136" s="8" t="str">
        <f t="shared" si="17"/>
        <v/>
      </c>
      <c r="F136" s="8" t="str">
        <f t="shared" si="18"/>
        <v/>
      </c>
      <c r="G136" s="8"/>
      <c r="H136" s="21"/>
    </row>
    <row r="137" spans="2:18" x14ac:dyDescent="0.3">
      <c r="B137" s="97" t="str">
        <f t="shared" si="15"/>
        <v/>
      </c>
      <c r="C137" s="97" t="str">
        <f t="shared" si="19"/>
        <v/>
      </c>
      <c r="D137" s="97" t="str">
        <f t="shared" si="16"/>
        <v/>
      </c>
      <c r="E137" s="8" t="str">
        <f t="shared" si="17"/>
        <v/>
      </c>
      <c r="F137" s="8" t="str">
        <f t="shared" si="18"/>
        <v/>
      </c>
      <c r="G137" s="8"/>
      <c r="H137" s="21"/>
    </row>
    <row r="138" spans="2:18" x14ac:dyDescent="0.3">
      <c r="B138" s="97" t="str">
        <f t="shared" si="15"/>
        <v/>
      </c>
      <c r="C138" s="97" t="str">
        <f t="shared" si="19"/>
        <v/>
      </c>
      <c r="D138" s="97" t="str">
        <f t="shared" si="16"/>
        <v/>
      </c>
      <c r="E138" s="8" t="str">
        <f t="shared" si="17"/>
        <v/>
      </c>
      <c r="F138" s="8" t="str">
        <f t="shared" si="18"/>
        <v/>
      </c>
      <c r="G138" s="8"/>
      <c r="H138" s="21"/>
    </row>
    <row r="139" spans="2:18" x14ac:dyDescent="0.3">
      <c r="R139" s="10"/>
    </row>
  </sheetData>
  <phoneticPr fontId="0" type="noConversion"/>
  <dataValidations count="3">
    <dataValidation type="list" allowBlank="1" showInputMessage="1" showErrorMessage="1" sqref="C10" xr:uid="{00000000-0002-0000-0600-000000000000}">
      <formula1>$AB$1:$AB$4</formula1>
    </dataValidation>
    <dataValidation type="list" allowBlank="1" showInputMessage="1" showErrorMessage="1" sqref="C11" xr:uid="{00000000-0002-0000-0600-000001000000}">
      <formula1>$AE$1:$AE$3</formula1>
    </dataValidation>
    <dataValidation type="list" allowBlank="1" showInputMessage="1" showErrorMessage="1" sqref="C8" xr:uid="{00000000-0002-0000-0600-000002000000}">
      <formula1>"PAYEUSE,RECEVEUSE"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3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9"/>
  <dimension ref="B2:AL58"/>
  <sheetViews>
    <sheetView showGridLines="0" workbookViewId="0"/>
  </sheetViews>
  <sheetFormatPr baseColWidth="10" defaultRowHeight="12.45" x14ac:dyDescent="0.3"/>
  <cols>
    <col min="1" max="1" width="4.07421875" customWidth="1"/>
    <col min="2" max="2" width="13.07421875" customWidth="1"/>
    <col min="3" max="3" width="17.07421875" bestFit="1" customWidth="1"/>
    <col min="4" max="4" width="15.07421875" customWidth="1"/>
    <col min="5" max="5" width="16.4609375" customWidth="1"/>
    <col min="19" max="19" width="12.4609375" bestFit="1" customWidth="1"/>
    <col min="32" max="32" width="13" bestFit="1" customWidth="1"/>
  </cols>
  <sheetData>
    <row r="2" spans="2:38" ht="19.5" customHeight="1" x14ac:dyDescent="0.3">
      <c r="B2" s="58" t="s">
        <v>103</v>
      </c>
      <c r="C2" s="59">
        <f>Swap!I8</f>
        <v>-8.9406967163085938E-8</v>
      </c>
      <c r="D2" s="60" t="s">
        <v>104</v>
      </c>
      <c r="AA2" s="52" t="s">
        <v>106</v>
      </c>
      <c r="AB2" s="18">
        <f>'Courbe des taux'!D2</f>
        <v>45296</v>
      </c>
    </row>
    <row r="3" spans="2:38" x14ac:dyDescent="0.3">
      <c r="AA3" s="52" t="s">
        <v>46</v>
      </c>
      <c r="AB3" s="18">
        <f>Hedge!AB2+2</f>
        <v>45298</v>
      </c>
    </row>
    <row r="4" spans="2:38" ht="12.9" thickBot="1" x14ac:dyDescent="0.35"/>
    <row r="5" spans="2:38" x14ac:dyDescent="0.3">
      <c r="B5" s="55" t="s">
        <v>100</v>
      </c>
      <c r="C5" s="56" t="s">
        <v>101</v>
      </c>
      <c r="D5" s="65" t="s">
        <v>102</v>
      </c>
      <c r="E5" s="57" t="s">
        <v>112</v>
      </c>
      <c r="F5" s="29" t="s">
        <v>108</v>
      </c>
      <c r="G5" s="70">
        <v>1E-4</v>
      </c>
      <c r="AA5" s="15" t="s">
        <v>47</v>
      </c>
      <c r="AB5" s="15" t="s">
        <v>18</v>
      </c>
      <c r="AC5" s="15" t="s">
        <v>105</v>
      </c>
      <c r="AE5" s="15" t="s">
        <v>107</v>
      </c>
      <c r="AF5" s="15" t="s">
        <v>109</v>
      </c>
      <c r="AG5" s="15" t="s">
        <v>110</v>
      </c>
    </row>
    <row r="6" spans="2:38" x14ac:dyDescent="0.3">
      <c r="B6" s="53" t="str">
        <f>IF('Courbe des taux'!B8="","",'Courbe des taux'!B8)</f>
        <v>JJ</v>
      </c>
      <c r="C6" s="54" t="str">
        <f>IF('Courbe des taux'!C8="","",'Courbe des taux'!C8)</f>
        <v>DEPOSIT</v>
      </c>
      <c r="D6" s="66">
        <v>0</v>
      </c>
      <c r="E6" s="61" t="s">
        <v>113</v>
      </c>
      <c r="AA6" s="63">
        <f>DATE(YEAR(AB3)+1,MONTH(AB3),DAY(AB3))</f>
        <v>45664</v>
      </c>
      <c r="AB6" s="1">
        <f t="shared" ref="AB6:AB35" si="0">DF(AA6-$AB$2,Maturities,ZcRates)</f>
        <v>0.96532140607087813</v>
      </c>
      <c r="AC6" s="1">
        <f>AB6</f>
        <v>0.96532140607087813</v>
      </c>
      <c r="AE6" s="69" t="s">
        <v>113</v>
      </c>
      <c r="AF6" s="69" t="s">
        <v>113</v>
      </c>
      <c r="AG6" s="69" t="s">
        <v>113</v>
      </c>
    </row>
    <row r="7" spans="2:38" x14ac:dyDescent="0.3">
      <c r="B7" s="53" t="str">
        <f>IF('Courbe des taux'!B9="","",'Courbe des taux'!B9)</f>
        <v>3M</v>
      </c>
      <c r="C7" s="54" t="str">
        <f>IF('Courbe des taux'!C9="","",'Courbe des taux'!C9)</f>
        <v>DEPOSIT</v>
      </c>
      <c r="D7" s="66">
        <v>0</v>
      </c>
      <c r="E7" s="61" t="s">
        <v>113</v>
      </c>
      <c r="AA7" s="63">
        <f>DATE(YEAR(AA6)+1,MONTH(AA6),DAY(AA6))</f>
        <v>46029</v>
      </c>
      <c r="AB7" s="1">
        <f t="shared" si="0"/>
        <v>0.94310317034796876</v>
      </c>
      <c r="AC7" s="1">
        <f>AC6+AB7</f>
        <v>1.908424576418847</v>
      </c>
      <c r="AE7" s="69" t="s">
        <v>113</v>
      </c>
      <c r="AF7" s="69" t="s">
        <v>113</v>
      </c>
      <c r="AG7" s="69" t="s">
        <v>113</v>
      </c>
    </row>
    <row r="8" spans="2:38" x14ac:dyDescent="0.3">
      <c r="B8" s="53" t="str">
        <f>IF('Courbe des taux'!B10="","",'Courbe des taux'!B10)</f>
        <v>6M</v>
      </c>
      <c r="C8" s="54" t="str">
        <f>IF('Courbe des taux'!C10="","",'Courbe des taux'!C10)</f>
        <v>DEPOSIT</v>
      </c>
      <c r="D8" s="66">
        <v>0</v>
      </c>
      <c r="E8" s="61" t="s">
        <v>113</v>
      </c>
      <c r="AA8" s="63">
        <f t="shared" ref="AA8:AA35" si="1">DATE(YEAR(AA7)+1,MONTH(AA7),DAY(AA7))</f>
        <v>46394</v>
      </c>
      <c r="AB8" s="1">
        <f t="shared" si="0"/>
        <v>0.92249916220322581</v>
      </c>
      <c r="AC8" s="1">
        <f t="shared" ref="AC8:AC35" si="2">AC7+AB8</f>
        <v>2.8309237386220727</v>
      </c>
      <c r="AE8" s="69" t="s">
        <v>113</v>
      </c>
      <c r="AF8" s="69" t="s">
        <v>113</v>
      </c>
      <c r="AG8" s="69" t="s">
        <v>113</v>
      </c>
    </row>
    <row r="9" spans="2:38" x14ac:dyDescent="0.3">
      <c r="B9" s="53" t="str">
        <f>IF('Courbe des taux'!B11="","",'Courbe des taux'!B11)</f>
        <v>1Y</v>
      </c>
      <c r="C9" s="54" t="str">
        <f>IF('Courbe des taux'!C11="","",'Courbe des taux'!C11)</f>
        <v>SWAP</v>
      </c>
      <c r="D9" s="66">
        <v>0</v>
      </c>
      <c r="E9" s="61">
        <v>0</v>
      </c>
      <c r="H9" s="16"/>
      <c r="AA9" s="63">
        <f t="shared" si="1"/>
        <v>46759</v>
      </c>
      <c r="AB9" s="1">
        <f t="shared" si="0"/>
        <v>0.901617544520947</v>
      </c>
      <c r="AC9" s="1">
        <f t="shared" si="2"/>
        <v>3.7325412831430196</v>
      </c>
      <c r="AE9" s="1" t="str">
        <f>IF(B9="","",IF(LEN(B9)=2,LEFT(B9,1),LEFT(B9,2)))</f>
        <v>1</v>
      </c>
      <c r="AF9" s="1">
        <f ca="1">IF(AE9="","",OFFSET($AC$5,AE9,0)*$G$5)</f>
        <v>9.6532140607087812E-5</v>
      </c>
      <c r="AG9" s="1"/>
    </row>
    <row r="10" spans="2:38" x14ac:dyDescent="0.3">
      <c r="B10" s="53" t="str">
        <f>IF('Courbe des taux'!B12="","",'Courbe des taux'!B12)</f>
        <v>2Y</v>
      </c>
      <c r="C10" s="54" t="str">
        <f>IF('Courbe des taux'!C12="","",'Courbe des taux'!C12)</f>
        <v>SWAP</v>
      </c>
      <c r="D10" s="66">
        <v>0</v>
      </c>
      <c r="E10" s="61">
        <v>0</v>
      </c>
      <c r="AA10" s="63">
        <f t="shared" si="1"/>
        <v>47125</v>
      </c>
      <c r="AB10" s="1">
        <f t="shared" si="0"/>
        <v>0.8803105186024025</v>
      </c>
      <c r="AC10" s="1">
        <f t="shared" si="2"/>
        <v>4.6128518017454221</v>
      </c>
      <c r="AE10" s="1" t="str">
        <f t="shared" ref="AE10:AE40" si="3">IF(B10="","",IF(LEN(B10)=2,LEFT(B10,1),LEFT(B10,2)))</f>
        <v>2</v>
      </c>
      <c r="AF10" s="1">
        <f t="shared" ref="AF10:AF40" ca="1" si="4">IF(AE10="","",OFFSET($AC$5,AE10,0)*$G$5)</f>
        <v>1.9084245764188472E-4</v>
      </c>
      <c r="AG10" s="1"/>
    </row>
    <row r="11" spans="2:38" x14ac:dyDescent="0.3">
      <c r="B11" s="53" t="str">
        <f>IF('Courbe des taux'!B13="","",'Courbe des taux'!B13)</f>
        <v>3Y</v>
      </c>
      <c r="C11" s="54" t="str">
        <f>IF('Courbe des taux'!C13="","",'Courbe des taux'!C13)</f>
        <v>SWAP</v>
      </c>
      <c r="D11" s="66">
        <v>0</v>
      </c>
      <c r="E11" s="61">
        <v>0</v>
      </c>
      <c r="AA11" s="63">
        <f t="shared" si="1"/>
        <v>47490</v>
      </c>
      <c r="AB11" s="1">
        <f t="shared" si="0"/>
        <v>0.85835274279133356</v>
      </c>
      <c r="AC11" s="1">
        <f t="shared" si="2"/>
        <v>5.4712045445367554</v>
      </c>
      <c r="AE11" s="1" t="str">
        <f t="shared" si="3"/>
        <v>3</v>
      </c>
      <c r="AF11" s="1">
        <f t="shared" ca="1" si="4"/>
        <v>2.8309237386220728E-4</v>
      </c>
      <c r="AG11" s="1"/>
    </row>
    <row r="12" spans="2:38" x14ac:dyDescent="0.3">
      <c r="B12" s="53" t="str">
        <f>IF('Courbe des taux'!B14="","",'Courbe des taux'!B14)</f>
        <v>4Y</v>
      </c>
      <c r="C12" s="54" t="str">
        <f>IF('Courbe des taux'!C14="","",'Courbe des taux'!C14)</f>
        <v>SWAP</v>
      </c>
      <c r="D12" s="66">
        <v>0</v>
      </c>
      <c r="E12" s="61">
        <v>0</v>
      </c>
      <c r="AA12" s="63">
        <f t="shared" si="1"/>
        <v>47855</v>
      </c>
      <c r="AB12" s="1">
        <f t="shared" si="0"/>
        <v>0.83703090565271954</v>
      </c>
      <c r="AC12" s="1">
        <f t="shared" si="2"/>
        <v>6.3082354501894748</v>
      </c>
      <c r="AE12" s="1" t="str">
        <f t="shared" si="3"/>
        <v>4</v>
      </c>
      <c r="AF12" s="1">
        <f t="shared" ca="1" si="4"/>
        <v>3.73254128314302E-4</v>
      </c>
      <c r="AG12" s="1"/>
      <c r="AL12" s="16" t="s">
        <v>111</v>
      </c>
    </row>
    <row r="13" spans="2:38" x14ac:dyDescent="0.3">
      <c r="B13" s="53" t="str">
        <f>IF('Courbe des taux'!B15="","",'Courbe des taux'!B15)</f>
        <v>5Y</v>
      </c>
      <c r="C13" s="54" t="str">
        <f>IF('Courbe des taux'!C15="","",'Courbe des taux'!C15)</f>
        <v>SWAP</v>
      </c>
      <c r="D13" s="66">
        <v>0</v>
      </c>
      <c r="E13" s="61">
        <v>0</v>
      </c>
      <c r="AA13" s="63">
        <f t="shared" si="1"/>
        <v>48220</v>
      </c>
      <c r="AB13" s="1">
        <f t="shared" si="0"/>
        <v>0.81505277236275409</v>
      </c>
      <c r="AC13" s="1">
        <f t="shared" si="2"/>
        <v>7.1232882225522287</v>
      </c>
      <c r="AE13" s="1" t="str">
        <f t="shared" si="3"/>
        <v>5</v>
      </c>
      <c r="AF13" s="1">
        <f t="shared" ca="1" si="4"/>
        <v>4.6128518017454225E-4</v>
      </c>
      <c r="AG13" s="1"/>
    </row>
    <row r="14" spans="2:38" x14ac:dyDescent="0.3">
      <c r="B14" s="53" t="str">
        <f>IF('Courbe des taux'!B16="","",'Courbe des taux'!B16)</f>
        <v>7Y</v>
      </c>
      <c r="C14" s="54" t="str">
        <f>IF('Courbe des taux'!C16="","",'Courbe des taux'!C16)</f>
        <v>SWAP</v>
      </c>
      <c r="D14" s="66">
        <v>0</v>
      </c>
      <c r="E14" s="61">
        <v>0</v>
      </c>
      <c r="AA14" s="63">
        <f t="shared" si="1"/>
        <v>48586</v>
      </c>
      <c r="AB14" s="1">
        <f t="shared" si="0"/>
        <v>0.79342115580509442</v>
      </c>
      <c r="AC14" s="1">
        <f t="shared" si="2"/>
        <v>7.9167093783573232</v>
      </c>
      <c r="AE14" s="1" t="str">
        <f t="shared" si="3"/>
        <v>7</v>
      </c>
      <c r="AF14" s="1">
        <f t="shared" ca="1" si="4"/>
        <v>6.3082354501894748E-4</v>
      </c>
      <c r="AG14" s="1"/>
    </row>
    <row r="15" spans="2:38" x14ac:dyDescent="0.3">
      <c r="B15" s="53" t="str">
        <f>IF('Courbe des taux'!B17="","",'Courbe des taux'!B17)</f>
        <v>10Y</v>
      </c>
      <c r="C15" s="54" t="str">
        <f>IF('Courbe des taux'!C17="","",'Courbe des taux'!C17)</f>
        <v>SWAP</v>
      </c>
      <c r="D15" s="66">
        <v>86872.77</v>
      </c>
      <c r="E15" s="61">
        <v>-99999999.973299235</v>
      </c>
      <c r="AA15" s="63">
        <f t="shared" si="1"/>
        <v>48951</v>
      </c>
      <c r="AB15" s="1">
        <f t="shared" si="0"/>
        <v>0.7721356407665636</v>
      </c>
      <c r="AC15" s="1">
        <f t="shared" si="2"/>
        <v>8.6888450191238871</v>
      </c>
      <c r="AE15" s="1" t="str">
        <f t="shared" si="3"/>
        <v>10</v>
      </c>
      <c r="AF15" s="1">
        <f t="shared" ca="1" si="4"/>
        <v>8.6888450191238871E-4</v>
      </c>
      <c r="AG15" s="1"/>
    </row>
    <row r="16" spans="2:38" x14ac:dyDescent="0.3">
      <c r="B16" s="53" t="str">
        <f>IF('Courbe des taux'!B18="","",'Courbe des taux'!B18)</f>
        <v>12Y</v>
      </c>
      <c r="C16" s="54" t="str">
        <f>IF('Courbe des taux'!C18="","",'Courbe des taux'!C18)</f>
        <v>SWAP</v>
      </c>
      <c r="D16" s="66">
        <v>0</v>
      </c>
      <c r="E16" s="61">
        <v>0</v>
      </c>
      <c r="AA16" s="63">
        <f t="shared" si="1"/>
        <v>49316</v>
      </c>
      <c r="AB16" s="1">
        <f t="shared" si="0"/>
        <v>0.75058249392316667</v>
      </c>
      <c r="AC16" s="1">
        <f t="shared" si="2"/>
        <v>9.439427513047054</v>
      </c>
      <c r="AE16" s="1" t="str">
        <f t="shared" si="3"/>
        <v>12</v>
      </c>
      <c r="AF16" s="1">
        <f t="shared" ca="1" si="4"/>
        <v>1.0168722865102925E-3</v>
      </c>
      <c r="AG16" s="1"/>
    </row>
    <row r="17" spans="2:33" x14ac:dyDescent="0.3">
      <c r="B17" s="53" t="str">
        <f>IF('Courbe des taux'!B19="","",'Courbe des taux'!B19)</f>
        <v>15Y</v>
      </c>
      <c r="C17" s="54" t="str">
        <f>IF('Courbe des taux'!C19="","",'Courbe des taux'!C19)</f>
        <v>SWAP</v>
      </c>
      <c r="D17" s="66">
        <v>0</v>
      </c>
      <c r="E17" s="61">
        <v>0</v>
      </c>
      <c r="AA17" s="63">
        <f t="shared" si="1"/>
        <v>49681</v>
      </c>
      <c r="AB17" s="1">
        <f t="shared" si="0"/>
        <v>0.72929535205587148</v>
      </c>
      <c r="AC17" s="1">
        <f t="shared" si="2"/>
        <v>10.168722865102925</v>
      </c>
      <c r="AE17" s="1" t="str">
        <f t="shared" si="3"/>
        <v>15</v>
      </c>
      <c r="AF17" s="1">
        <f t="shared" ca="1" si="4"/>
        <v>1.2240656474558497E-3</v>
      </c>
      <c r="AG17" s="1"/>
    </row>
    <row r="18" spans="2:33" x14ac:dyDescent="0.3">
      <c r="B18" s="53" t="str">
        <f>IF('Courbe des taux'!B20="","",'Courbe des taux'!B20)</f>
        <v>20Y</v>
      </c>
      <c r="C18" s="54" t="str">
        <f>IF('Courbe des taux'!C20="","",'Courbe des taux'!C20)</f>
        <v>SWAP</v>
      </c>
      <c r="D18" s="66">
        <v>0</v>
      </c>
      <c r="E18" s="61">
        <v>0</v>
      </c>
      <c r="AA18" s="63">
        <f t="shared" si="1"/>
        <v>50047</v>
      </c>
      <c r="AB18" s="1">
        <f t="shared" si="0"/>
        <v>0.70969230895928237</v>
      </c>
      <c r="AC18" s="1">
        <f t="shared" si="2"/>
        <v>10.878415174062207</v>
      </c>
      <c r="AE18" s="1" t="str">
        <f t="shared" si="3"/>
        <v>20</v>
      </c>
      <c r="AF18" s="1">
        <f t="shared" ca="1" si="4"/>
        <v>1.5370006361090502E-3</v>
      </c>
      <c r="AG18" s="1"/>
    </row>
    <row r="19" spans="2:33" x14ac:dyDescent="0.3">
      <c r="B19" s="53" t="str">
        <f>IF('Courbe des taux'!B21="","",'Courbe des taux'!B21)</f>
        <v>25Y</v>
      </c>
      <c r="C19" s="54" t="str">
        <f>IF('Courbe des taux'!C21="","",'Courbe des taux'!C21)</f>
        <v>SWAP</v>
      </c>
      <c r="D19" s="66">
        <v>0</v>
      </c>
      <c r="E19" s="61">
        <v>0</v>
      </c>
      <c r="AA19" s="63">
        <f t="shared" si="1"/>
        <v>50412</v>
      </c>
      <c r="AB19" s="1">
        <f t="shared" si="0"/>
        <v>0.69050751374684738</v>
      </c>
      <c r="AC19" s="1">
        <f t="shared" si="2"/>
        <v>11.568922687809055</v>
      </c>
      <c r="AE19" s="1" t="str">
        <f t="shared" si="3"/>
        <v>25</v>
      </c>
      <c r="AF19" s="1">
        <f t="shared" ca="1" si="4"/>
        <v>1.8181327146130273E-3</v>
      </c>
      <c r="AG19" s="1"/>
    </row>
    <row r="20" spans="2:33" x14ac:dyDescent="0.3">
      <c r="B20" s="53" t="str">
        <f>IF('Courbe des taux'!B22="","",'Courbe des taux'!B22)</f>
        <v>30Y</v>
      </c>
      <c r="C20" s="54" t="str">
        <f>IF('Courbe des taux'!C22="","",'Courbe des taux'!C22)</f>
        <v>SWAP</v>
      </c>
      <c r="D20" s="66">
        <v>0</v>
      </c>
      <c r="E20" s="61">
        <v>0</v>
      </c>
      <c r="AA20" s="63">
        <f t="shared" si="1"/>
        <v>50777</v>
      </c>
      <c r="AB20" s="1">
        <f t="shared" si="0"/>
        <v>0.67173378674944006</v>
      </c>
      <c r="AC20" s="1">
        <f t="shared" si="2"/>
        <v>12.240656474558495</v>
      </c>
      <c r="AE20" s="1" t="str">
        <f t="shared" si="3"/>
        <v>30</v>
      </c>
      <c r="AF20" s="1">
        <f t="shared" ca="1" si="4"/>
        <v>2.0739904783826863E-3</v>
      </c>
      <c r="AG20" s="1"/>
    </row>
    <row r="21" spans="2:33" x14ac:dyDescent="0.3">
      <c r="B21" s="53" t="str">
        <f>IF('Courbe des taux'!B23="","",'Courbe des taux'!B23)</f>
        <v/>
      </c>
      <c r="C21" s="54" t="str">
        <f>IF('Courbe des taux'!C23="","",'Courbe des taux'!C23)</f>
        <v/>
      </c>
      <c r="D21" s="66"/>
      <c r="E21" s="61"/>
      <c r="AA21" s="63">
        <f t="shared" si="1"/>
        <v>51142</v>
      </c>
      <c r="AB21" s="1">
        <f t="shared" si="0"/>
        <v>0.65570836631315277</v>
      </c>
      <c r="AC21" s="1">
        <f t="shared" si="2"/>
        <v>12.896364840871648</v>
      </c>
      <c r="AE21" s="1" t="str">
        <f t="shared" si="3"/>
        <v/>
      </c>
      <c r="AF21" s="1" t="str">
        <f t="shared" ca="1" si="4"/>
        <v/>
      </c>
      <c r="AG21" s="1"/>
    </row>
    <row r="22" spans="2:33" x14ac:dyDescent="0.3">
      <c r="B22" s="53" t="str">
        <f>IF('Courbe des taux'!B24="","",'Courbe des taux'!B24)</f>
        <v/>
      </c>
      <c r="C22" s="54" t="str">
        <f>IF('Courbe des taux'!C24="","",'Courbe des taux'!C24)</f>
        <v/>
      </c>
      <c r="D22" s="66"/>
      <c r="E22" s="61"/>
      <c r="AA22" s="63">
        <f t="shared" si="1"/>
        <v>51508</v>
      </c>
      <c r="AB22" s="1">
        <f t="shared" si="0"/>
        <v>0.64025086706481715</v>
      </c>
      <c r="AC22" s="1">
        <f t="shared" si="2"/>
        <v>13.536615707936464</v>
      </c>
      <c r="AE22" s="1" t="str">
        <f t="shared" si="3"/>
        <v/>
      </c>
      <c r="AF22" s="1" t="str">
        <f t="shared" ca="1" si="4"/>
        <v/>
      </c>
      <c r="AG22" s="1"/>
    </row>
    <row r="23" spans="2:33" x14ac:dyDescent="0.3">
      <c r="B23" s="53" t="str">
        <f>IF('Courbe des taux'!B25="","",'Courbe des taux'!B25)</f>
        <v/>
      </c>
      <c r="C23" s="54" t="str">
        <f>IF('Courbe des taux'!C25="","",'Courbe des taux'!C25)</f>
        <v/>
      </c>
      <c r="D23" s="66"/>
      <c r="E23" s="61"/>
      <c r="AA23" s="63">
        <f t="shared" si="1"/>
        <v>51873</v>
      </c>
      <c r="AB23" s="1">
        <f t="shared" si="0"/>
        <v>0.62534123860115365</v>
      </c>
      <c r="AC23" s="1">
        <f t="shared" si="2"/>
        <v>14.161956946537618</v>
      </c>
      <c r="AE23" s="1" t="str">
        <f t="shared" si="3"/>
        <v/>
      </c>
      <c r="AF23" s="1" t="str">
        <f t="shared" ca="1" si="4"/>
        <v/>
      </c>
      <c r="AG23" s="1"/>
    </row>
    <row r="24" spans="2:33" x14ac:dyDescent="0.3">
      <c r="B24" s="53" t="str">
        <f>IF('Courbe des taux'!B26="","",'Courbe des taux'!B26)</f>
        <v/>
      </c>
      <c r="C24" s="54" t="str">
        <f>IF('Courbe des taux'!C26="","",'Courbe des taux'!C26)</f>
        <v/>
      </c>
      <c r="D24" s="66"/>
      <c r="E24" s="61"/>
      <c r="AA24" s="63">
        <f t="shared" si="1"/>
        <v>52238</v>
      </c>
      <c r="AB24" s="1">
        <f t="shared" si="0"/>
        <v>0.61096020094584458</v>
      </c>
      <c r="AC24" s="1">
        <f t="shared" si="2"/>
        <v>14.772917147483463</v>
      </c>
      <c r="AE24" s="1" t="str">
        <f t="shared" si="3"/>
        <v/>
      </c>
      <c r="AF24" s="1" t="str">
        <f t="shared" ca="1" si="4"/>
        <v/>
      </c>
      <c r="AG24" s="1"/>
    </row>
    <row r="25" spans="2:33" x14ac:dyDescent="0.3">
      <c r="B25" s="53" t="str">
        <f>IF('Courbe des taux'!B27="","",'Courbe des taux'!B27)</f>
        <v/>
      </c>
      <c r="C25" s="54" t="str">
        <f>IF('Courbe des taux'!C27="","",'Courbe des taux'!C27)</f>
        <v/>
      </c>
      <c r="D25" s="66"/>
      <c r="E25" s="61"/>
      <c r="AA25" s="63">
        <f t="shared" si="1"/>
        <v>52603</v>
      </c>
      <c r="AB25" s="1">
        <f t="shared" si="0"/>
        <v>0.59708921360703793</v>
      </c>
      <c r="AC25" s="1">
        <f t="shared" si="2"/>
        <v>15.370006361090502</v>
      </c>
      <c r="AE25" s="1" t="str">
        <f t="shared" si="3"/>
        <v/>
      </c>
      <c r="AF25" s="1" t="str">
        <f t="shared" ca="1" si="4"/>
        <v/>
      </c>
      <c r="AG25" s="1"/>
    </row>
    <row r="26" spans="2:33" x14ac:dyDescent="0.3">
      <c r="B26" s="53" t="str">
        <f>IF('Courbe des taux'!B28="","",'Courbe des taux'!B28)</f>
        <v/>
      </c>
      <c r="C26" s="54" t="str">
        <f>IF('Courbe des taux'!C28="","",'Courbe des taux'!C28)</f>
        <v/>
      </c>
      <c r="D26" s="66"/>
      <c r="E26" s="61"/>
      <c r="AA26" s="63">
        <f t="shared" si="1"/>
        <v>52969</v>
      </c>
      <c r="AB26" s="1">
        <f t="shared" si="0"/>
        <v>0.5847988955425808</v>
      </c>
      <c r="AC26" s="1">
        <f t="shared" si="2"/>
        <v>15.954805256633083</v>
      </c>
      <c r="AE26" s="1" t="str">
        <f t="shared" si="3"/>
        <v/>
      </c>
      <c r="AF26" s="1" t="str">
        <f t="shared" ca="1" si="4"/>
        <v/>
      </c>
      <c r="AG26" s="1"/>
    </row>
    <row r="27" spans="2:33" x14ac:dyDescent="0.3">
      <c r="B27" s="53" t="str">
        <f>IF('Courbe des taux'!B29="","",'Courbe des taux'!B29)</f>
        <v/>
      </c>
      <c r="C27" s="54" t="str">
        <f>IF('Courbe des taux'!C29="","",'Courbe des taux'!C29)</f>
        <v/>
      </c>
      <c r="D27" s="66"/>
      <c r="E27" s="61"/>
      <c r="AA27" s="63">
        <f t="shared" si="1"/>
        <v>53334</v>
      </c>
      <c r="AB27" s="1">
        <f t="shared" si="0"/>
        <v>0.57303455629773536</v>
      </c>
      <c r="AC27" s="1">
        <f t="shared" si="2"/>
        <v>16.527839812930818</v>
      </c>
      <c r="AE27" s="1" t="str">
        <f t="shared" si="3"/>
        <v/>
      </c>
      <c r="AF27" s="1" t="str">
        <f t="shared" ca="1" si="4"/>
        <v/>
      </c>
      <c r="AG27" s="1"/>
    </row>
    <row r="28" spans="2:33" x14ac:dyDescent="0.3">
      <c r="B28" s="53" t="str">
        <f>IF('Courbe des taux'!B30="","",'Courbe des taux'!B30)</f>
        <v/>
      </c>
      <c r="C28" s="54" t="str">
        <f>IF('Courbe des taux'!C30="","",'Courbe des taux'!C30)</f>
        <v/>
      </c>
      <c r="D28" s="66"/>
      <c r="E28" s="61"/>
      <c r="AA28" s="63">
        <f t="shared" si="1"/>
        <v>53699</v>
      </c>
      <c r="AB28" s="1">
        <f t="shared" si="0"/>
        <v>0.56177651381316007</v>
      </c>
      <c r="AC28" s="1">
        <f t="shared" si="2"/>
        <v>17.089616326743979</v>
      </c>
      <c r="AE28" s="1" t="str">
        <f t="shared" si="3"/>
        <v/>
      </c>
      <c r="AF28" s="1" t="str">
        <f t="shared" ca="1" si="4"/>
        <v/>
      </c>
      <c r="AG28" s="1"/>
    </row>
    <row r="29" spans="2:33" x14ac:dyDescent="0.3">
      <c r="B29" s="53" t="str">
        <f>IF('Courbe des taux'!B31="","",'Courbe des taux'!B31)</f>
        <v/>
      </c>
      <c r="C29" s="54" t="str">
        <f>IF('Courbe des taux'!C31="","",'Courbe des taux'!C31)</f>
        <v/>
      </c>
      <c r="D29" s="66"/>
      <c r="E29" s="61"/>
      <c r="AA29" s="63">
        <f t="shared" si="1"/>
        <v>54064</v>
      </c>
      <c r="AB29" s="1">
        <f t="shared" si="0"/>
        <v>0.55100594955847493</v>
      </c>
      <c r="AC29" s="1">
        <f t="shared" si="2"/>
        <v>17.640622276302455</v>
      </c>
      <c r="AE29" s="1" t="str">
        <f t="shared" si="3"/>
        <v/>
      </c>
      <c r="AF29" s="1" t="str">
        <f t="shared" ca="1" si="4"/>
        <v/>
      </c>
      <c r="AG29" s="1"/>
    </row>
    <row r="30" spans="2:33" x14ac:dyDescent="0.3">
      <c r="B30" s="53" t="str">
        <f>IF('Courbe des taux'!B32="","",'Courbe des taux'!B32)</f>
        <v/>
      </c>
      <c r="C30" s="54" t="str">
        <f>IF('Courbe des taux'!C32="","",'Courbe des taux'!C32)</f>
        <v/>
      </c>
      <c r="D30" s="66"/>
      <c r="E30" s="61"/>
      <c r="AA30" s="63">
        <f t="shared" si="1"/>
        <v>54430</v>
      </c>
      <c r="AB30" s="1">
        <f t="shared" si="0"/>
        <v>0.54070486982781807</v>
      </c>
      <c r="AC30" s="1">
        <f t="shared" si="2"/>
        <v>18.181327146130272</v>
      </c>
      <c r="AE30" s="1" t="str">
        <f t="shared" si="3"/>
        <v/>
      </c>
      <c r="AF30" s="1" t="str">
        <f t="shared" ca="1" si="4"/>
        <v/>
      </c>
      <c r="AG30" s="1"/>
    </row>
    <row r="31" spans="2:33" x14ac:dyDescent="0.3">
      <c r="B31" s="53" t="str">
        <f>IF('Courbe des taux'!B33="","",'Courbe des taux'!B33)</f>
        <v/>
      </c>
      <c r="C31" s="54" t="str">
        <f>IF('Courbe des taux'!C33="","",'Courbe des taux'!C33)</f>
        <v/>
      </c>
      <c r="D31" s="66"/>
      <c r="E31" s="61"/>
      <c r="AA31" s="63">
        <f t="shared" si="1"/>
        <v>54795</v>
      </c>
      <c r="AB31" s="1">
        <f t="shared" si="0"/>
        <v>0.5304909816235418</v>
      </c>
      <c r="AC31" s="1">
        <f t="shared" si="2"/>
        <v>18.711818127753812</v>
      </c>
      <c r="AE31" s="1" t="str">
        <f t="shared" si="3"/>
        <v/>
      </c>
      <c r="AF31" s="1" t="str">
        <f t="shared" ca="1" si="4"/>
        <v/>
      </c>
      <c r="AG31" s="1"/>
    </row>
    <row r="32" spans="2:33" x14ac:dyDescent="0.3">
      <c r="B32" s="53" t="str">
        <f>IF('Courbe des taux'!B34="","",'Courbe des taux'!B34)</f>
        <v/>
      </c>
      <c r="C32" s="54" t="str">
        <f>IF('Courbe des taux'!C34="","",'Courbe des taux'!C34)</f>
        <v/>
      </c>
      <c r="D32" s="66" t="str">
        <f>Swap!J39</f>
        <v/>
      </c>
      <c r="E32" s="61"/>
      <c r="AA32" s="63">
        <f t="shared" si="1"/>
        <v>55160</v>
      </c>
      <c r="AB32" s="1">
        <f t="shared" si="0"/>
        <v>0.52070132080403198</v>
      </c>
      <c r="AC32" s="1">
        <f t="shared" si="2"/>
        <v>19.232519448557845</v>
      </c>
      <c r="AE32" s="1" t="str">
        <f t="shared" si="3"/>
        <v/>
      </c>
      <c r="AF32" s="1" t="str">
        <f t="shared" ca="1" si="4"/>
        <v/>
      </c>
      <c r="AG32" s="1"/>
    </row>
    <row r="33" spans="2:33" x14ac:dyDescent="0.3">
      <c r="B33" s="53" t="str">
        <f>IF('Courbe des taux'!B35="","",'Courbe des taux'!B35)</f>
        <v/>
      </c>
      <c r="C33" s="54" t="str">
        <f>IF('Courbe des taux'!C35="","",'Courbe des taux'!C35)</f>
        <v/>
      </c>
      <c r="D33" s="66" t="str">
        <f>Swap!J40</f>
        <v/>
      </c>
      <c r="E33" s="61"/>
      <c r="R33" s="16"/>
      <c r="AA33" s="63">
        <f t="shared" si="1"/>
        <v>55525</v>
      </c>
      <c r="AB33" s="1">
        <f t="shared" si="0"/>
        <v>0.51132077318176994</v>
      </c>
      <c r="AC33" s="1">
        <f t="shared" si="2"/>
        <v>19.743840221739614</v>
      </c>
      <c r="AE33" s="1" t="str">
        <f t="shared" si="3"/>
        <v/>
      </c>
      <c r="AF33" s="1" t="str">
        <f t="shared" ca="1" si="4"/>
        <v/>
      </c>
      <c r="AG33" s="1"/>
    </row>
    <row r="34" spans="2:33" x14ac:dyDescent="0.3">
      <c r="B34" s="53" t="str">
        <f>IF('Courbe des taux'!B36="","",'Courbe des taux'!B36)</f>
        <v/>
      </c>
      <c r="C34" s="54" t="str">
        <f>IF('Courbe des taux'!C36="","",'Courbe des taux'!C36)</f>
        <v/>
      </c>
      <c r="D34" s="66" t="str">
        <f>Swap!J41</f>
        <v/>
      </c>
      <c r="E34" s="61"/>
      <c r="R34" s="16"/>
      <c r="S34" s="68"/>
      <c r="AA34" s="63">
        <f t="shared" si="1"/>
        <v>55891</v>
      </c>
      <c r="AB34" s="1">
        <f t="shared" si="0"/>
        <v>0.50233485854501481</v>
      </c>
      <c r="AC34" s="1">
        <f t="shared" si="2"/>
        <v>20.24617508028463</v>
      </c>
      <c r="AE34" s="1" t="str">
        <f t="shared" si="3"/>
        <v/>
      </c>
      <c r="AF34" s="1" t="str">
        <f t="shared" ca="1" si="4"/>
        <v/>
      </c>
      <c r="AG34" s="1"/>
    </row>
    <row r="35" spans="2:33" x14ac:dyDescent="0.3">
      <c r="B35" s="53" t="str">
        <f>IF('Courbe des taux'!B37="","",'Courbe des taux'!B37)</f>
        <v/>
      </c>
      <c r="C35" s="54" t="str">
        <f>IF('Courbe des taux'!C37="","",'Courbe des taux'!C37)</f>
        <v/>
      </c>
      <c r="D35" s="66" t="str">
        <f>Swap!J42</f>
        <v/>
      </c>
      <c r="E35" s="61"/>
      <c r="AA35" s="63">
        <f t="shared" si="1"/>
        <v>56256</v>
      </c>
      <c r="AB35" s="1">
        <f t="shared" si="0"/>
        <v>0.49372970354223344</v>
      </c>
      <c r="AC35" s="1">
        <f t="shared" si="2"/>
        <v>20.739904783826862</v>
      </c>
      <c r="AE35" s="1" t="str">
        <f t="shared" si="3"/>
        <v/>
      </c>
      <c r="AF35" s="1" t="str">
        <f t="shared" ca="1" si="4"/>
        <v/>
      </c>
      <c r="AG35" s="1"/>
    </row>
    <row r="36" spans="2:33" x14ac:dyDescent="0.3">
      <c r="B36" s="53" t="str">
        <f>IF('Courbe des taux'!B38="","",'Courbe des taux'!B38)</f>
        <v/>
      </c>
      <c r="C36" s="54" t="str">
        <f>IF('Courbe des taux'!C38="","",'Courbe des taux'!C38)</f>
        <v/>
      </c>
      <c r="D36" s="66" t="str">
        <f>Swap!J43</f>
        <v/>
      </c>
      <c r="E36" s="61"/>
      <c r="AA36" s="10"/>
      <c r="AE36" s="1" t="str">
        <f t="shared" si="3"/>
        <v/>
      </c>
      <c r="AF36" s="1" t="str">
        <f t="shared" ca="1" si="4"/>
        <v/>
      </c>
      <c r="AG36" s="1"/>
    </row>
    <row r="37" spans="2:33" x14ac:dyDescent="0.3">
      <c r="B37" s="53" t="str">
        <f>IF('Courbe des taux'!B39="","",'Courbe des taux'!B39)</f>
        <v/>
      </c>
      <c r="C37" s="54" t="str">
        <f>IF('Courbe des taux'!C39="","",'Courbe des taux'!C39)</f>
        <v/>
      </c>
      <c r="D37" s="66" t="str">
        <f>Swap!J44</f>
        <v/>
      </c>
      <c r="E37" s="61"/>
      <c r="AA37" s="10"/>
      <c r="AE37" s="1" t="str">
        <f t="shared" si="3"/>
        <v/>
      </c>
      <c r="AF37" s="1" t="str">
        <f t="shared" ca="1" si="4"/>
        <v/>
      </c>
      <c r="AG37" s="1"/>
    </row>
    <row r="38" spans="2:33" x14ac:dyDescent="0.3">
      <c r="B38" s="53" t="str">
        <f>IF('Courbe des taux'!B40="","",'Courbe des taux'!B40)</f>
        <v/>
      </c>
      <c r="C38" s="54" t="str">
        <f>IF('Courbe des taux'!C40="","",'Courbe des taux'!C40)</f>
        <v/>
      </c>
      <c r="D38" s="66" t="str">
        <f>Swap!J45</f>
        <v/>
      </c>
      <c r="E38" s="61"/>
      <c r="AA38" s="10"/>
      <c r="AE38" s="1" t="str">
        <f t="shared" si="3"/>
        <v/>
      </c>
      <c r="AF38" s="1" t="str">
        <f t="shared" ca="1" si="4"/>
        <v/>
      </c>
      <c r="AG38" s="1"/>
    </row>
    <row r="39" spans="2:33" x14ac:dyDescent="0.3">
      <c r="B39" s="53" t="str">
        <f>IF('Courbe des taux'!B41="","",'Courbe des taux'!B41)</f>
        <v/>
      </c>
      <c r="C39" s="54" t="str">
        <f>IF('Courbe des taux'!C41="","",'Courbe des taux'!C41)</f>
        <v/>
      </c>
      <c r="D39" s="66" t="str">
        <f>Swap!J46</f>
        <v/>
      </c>
      <c r="E39" s="61"/>
      <c r="AA39" s="10"/>
      <c r="AE39" s="1" t="str">
        <f t="shared" si="3"/>
        <v/>
      </c>
      <c r="AF39" s="1" t="str">
        <f t="shared" ca="1" si="4"/>
        <v/>
      </c>
      <c r="AG39" s="1"/>
    </row>
    <row r="40" spans="2:33" ht="12.9" thickBot="1" x14ac:dyDescent="0.35">
      <c r="B40" s="53" t="str">
        <f>IF('Courbe des taux'!B42="","",'Courbe des taux'!B42)</f>
        <v/>
      </c>
      <c r="C40" s="54" t="str">
        <f>IF('Courbe des taux'!C42="","",'Courbe des taux'!C42)</f>
        <v/>
      </c>
      <c r="D40" s="67" t="str">
        <f>Swap!J47</f>
        <v/>
      </c>
      <c r="E40" s="62"/>
      <c r="AA40" s="10"/>
      <c r="AE40" s="1" t="str">
        <f t="shared" si="3"/>
        <v/>
      </c>
      <c r="AF40" s="1" t="str">
        <f t="shared" ca="1" si="4"/>
        <v/>
      </c>
      <c r="AG40" s="1"/>
    </row>
    <row r="41" spans="2:33" x14ac:dyDescent="0.3">
      <c r="AE41" s="64"/>
    </row>
    <row r="42" spans="2:33" x14ac:dyDescent="0.3">
      <c r="AE42" s="64"/>
    </row>
    <row r="43" spans="2:33" x14ac:dyDescent="0.3">
      <c r="AE43" s="64"/>
    </row>
    <row r="44" spans="2:33" x14ac:dyDescent="0.3">
      <c r="AE44" s="64"/>
    </row>
    <row r="45" spans="2:33" x14ac:dyDescent="0.3">
      <c r="AE45" s="64"/>
    </row>
    <row r="46" spans="2:33" x14ac:dyDescent="0.3">
      <c r="AE46" s="64"/>
    </row>
    <row r="47" spans="2:33" x14ac:dyDescent="0.3">
      <c r="AE47" s="64"/>
    </row>
    <row r="48" spans="2:33" x14ac:dyDescent="0.3">
      <c r="AE48" s="64"/>
    </row>
    <row r="49" spans="31:31" x14ac:dyDescent="0.3">
      <c r="AE49" s="64"/>
    </row>
    <row r="50" spans="31:31" x14ac:dyDescent="0.3">
      <c r="AE50" s="64"/>
    </row>
    <row r="51" spans="31:31" x14ac:dyDescent="0.3">
      <c r="AE51" s="64"/>
    </row>
    <row r="52" spans="31:31" x14ac:dyDescent="0.3">
      <c r="AE52" s="64"/>
    </row>
    <row r="53" spans="31:31" x14ac:dyDescent="0.3">
      <c r="AE53" s="64"/>
    </row>
    <row r="54" spans="31:31" x14ac:dyDescent="0.3">
      <c r="AE54" s="64"/>
    </row>
    <row r="55" spans="31:31" x14ac:dyDescent="0.3">
      <c r="AE55" s="64"/>
    </row>
    <row r="56" spans="31:31" x14ac:dyDescent="0.3">
      <c r="AE56" s="64"/>
    </row>
    <row r="57" spans="31:31" x14ac:dyDescent="0.3">
      <c r="AE57" s="64"/>
    </row>
    <row r="58" spans="31:31" x14ac:dyDescent="0.3">
      <c r="AE58" s="64"/>
    </row>
  </sheetData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omputePortfolioSensis">
                <anchor moveWithCells="1" sizeWithCells="1">
                  <from>
                    <xdr:col>5</xdr:col>
                    <xdr:colOff>272143</xdr:colOff>
                    <xdr:row>5</xdr:row>
                    <xdr:rowOff>114300</xdr:rowOff>
                  </from>
                  <to>
                    <xdr:col>7</xdr:col>
                    <xdr:colOff>5443</xdr:colOff>
                    <xdr:row>7</xdr:row>
                    <xdr:rowOff>108857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3</vt:i4>
      </vt:variant>
    </vt:vector>
  </HeadingPairs>
  <TitlesOfParts>
    <vt:vector size="10" baseType="lpstr">
      <vt:lpstr>Courbe des taux</vt:lpstr>
      <vt:lpstr>Market vols</vt:lpstr>
      <vt:lpstr>Swap</vt:lpstr>
      <vt:lpstr>Cap &amp; Floor</vt:lpstr>
      <vt:lpstr>Tunnel</vt:lpstr>
      <vt:lpstr>Swaption</vt:lpstr>
      <vt:lpstr>Hedge</vt:lpstr>
      <vt:lpstr>Maturities</vt:lpstr>
      <vt:lpstr>PortfolioPV</vt:lpstr>
      <vt:lpstr>ZcRates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</dc:creator>
  <cp:lastModifiedBy>Antonin Chaix</cp:lastModifiedBy>
  <dcterms:created xsi:type="dcterms:W3CDTF">2009-06-16T04:15:43Z</dcterms:created>
  <dcterms:modified xsi:type="dcterms:W3CDTF">2025-05-07T15:52:10Z</dcterms:modified>
</cp:coreProperties>
</file>